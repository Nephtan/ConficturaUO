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ConficturaUO-main\docs\codebase-audit\outputs\"/>
    </mc:Choice>
  </mc:AlternateContent>
  <xr:revisionPtr revIDLastSave="0" documentId="13_ncr:1_{617DB803-B7FA-4DB8-964A-00FB352BA0F0}" xr6:coauthVersionLast="47" xr6:coauthVersionMax="47" xr10:uidLastSave="{00000000-0000-0000-0000-000000000000}"/>
  <bookViews>
    <workbookView xWindow="-120" yWindow="-120" windowWidth="29040" windowHeight="15990" activeTab="2" xr2:uid="{71629692-30F1-401A-A9AC-5559A6FBD64F}"/>
  </bookViews>
  <sheets>
    <sheet name="post-audit-active-backlog-statu" sheetId="1" r:id="rId1"/>
    <sheet name="Audit Dashboard" sheetId="2" r:id="rId2"/>
    <sheet name="Audit Analysis" sheetId="3" r:id="rId3"/>
  </sheets>
  <definedNames>
    <definedName name="_xlnm.Print_Titles" localSheetId="0">'post-audit-active-backlog-statu'!$1:$1</definedName>
  </definedName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3" l="1"/>
  <c r="B35" i="3"/>
  <c r="C35" i="3"/>
  <c r="D35" i="3"/>
  <c r="A36" i="3"/>
  <c r="B36" i="3"/>
  <c r="C36" i="3"/>
  <c r="D36" i="3"/>
  <c r="A37" i="3"/>
  <c r="B37" i="3"/>
  <c r="C37" i="3"/>
  <c r="D37" i="3"/>
  <c r="A38" i="3"/>
  <c r="B38" i="3"/>
  <c r="C38" i="3"/>
  <c r="D38" i="3"/>
  <c r="A39" i="3"/>
  <c r="B39" i="3"/>
  <c r="C39" i="3"/>
  <c r="D39" i="3"/>
  <c r="A40" i="3"/>
  <c r="B40" i="3"/>
  <c r="C40" i="3"/>
  <c r="D40" i="3"/>
  <c r="A41" i="3"/>
  <c r="B41" i="3"/>
  <c r="C41" i="3"/>
  <c r="D41" i="3"/>
  <c r="B61" i="2"/>
  <c r="B60" i="2"/>
  <c r="B59" i="2"/>
  <c r="B58" i="2"/>
  <c r="B57" i="2"/>
  <c r="B56" i="2"/>
  <c r="B55" i="2"/>
  <c r="B12" i="2"/>
  <c r="B8" i="2"/>
  <c r="G26" i="3"/>
  <c r="H26" i="3"/>
  <c r="I26" i="3"/>
  <c r="G27" i="3"/>
  <c r="H27" i="3"/>
  <c r="I27" i="3"/>
  <c r="G28" i="3"/>
  <c r="H28" i="3"/>
  <c r="I28" i="3"/>
  <c r="B23" i="3" a="1"/>
  <c r="B23" i="3" s="1"/>
  <c r="C23" i="3" s="1"/>
  <c r="B24" i="3"/>
  <c r="C24" i="3" s="1"/>
  <c r="B25" i="3"/>
  <c r="C25" i="3" s="1"/>
  <c r="B26" i="3"/>
  <c r="C26" i="3" s="1"/>
  <c r="B27" i="3"/>
  <c r="C27" i="3" s="1"/>
  <c r="U5" i="3"/>
  <c r="U6" i="3"/>
  <c r="U7" i="3"/>
  <c r="U8" i="3"/>
  <c r="U9" i="3"/>
  <c r="U10" i="3"/>
  <c r="U11" i="3"/>
  <c r="U12" i="3"/>
  <c r="N5" i="3"/>
  <c r="R5" i="3" s="1"/>
  <c r="O5" i="3"/>
  <c r="P5" i="3"/>
  <c r="Q5" i="3"/>
  <c r="N6" i="3"/>
  <c r="O6" i="3"/>
  <c r="P6" i="3"/>
  <c r="Q6" i="3"/>
  <c r="N7" i="3"/>
  <c r="O7" i="3"/>
  <c r="R7" i="3" s="1"/>
  <c r="P7" i="3"/>
  <c r="Q7" i="3"/>
  <c r="N8" i="3"/>
  <c r="O8" i="3"/>
  <c r="P8" i="3"/>
  <c r="Q8" i="3"/>
  <c r="N9" i="3"/>
  <c r="O9" i="3"/>
  <c r="P9" i="3"/>
  <c r="Q9" i="3"/>
  <c r="N10" i="3"/>
  <c r="O10" i="3"/>
  <c r="P10" i="3"/>
  <c r="Q10" i="3"/>
  <c r="N11" i="3"/>
  <c r="O11" i="3"/>
  <c r="P11" i="3"/>
  <c r="Q11" i="3"/>
  <c r="N12" i="3"/>
  <c r="O12" i="3"/>
  <c r="P12" i="3"/>
  <c r="Q12" i="3"/>
  <c r="N13" i="3"/>
  <c r="O13" i="3"/>
  <c r="R13" i="3" s="1"/>
  <c r="P13" i="3"/>
  <c r="Q13" i="3"/>
  <c r="N14" i="3"/>
  <c r="O14" i="3"/>
  <c r="P14" i="3"/>
  <c r="Q14" i="3"/>
  <c r="N15" i="3"/>
  <c r="O15" i="3"/>
  <c r="P15" i="3"/>
  <c r="Q15" i="3"/>
  <c r="N16" i="3"/>
  <c r="O16" i="3"/>
  <c r="P16" i="3"/>
  <c r="Q16" i="3"/>
  <c r="N17" i="3"/>
  <c r="R17" i="3" s="1"/>
  <c r="O17" i="3"/>
  <c r="P17" i="3"/>
  <c r="Q17" i="3"/>
  <c r="N18" i="3"/>
  <c r="O18" i="3"/>
  <c r="P18" i="3"/>
  <c r="Q18" i="3"/>
  <c r="N19" i="3"/>
  <c r="O19" i="3"/>
  <c r="P19" i="3"/>
  <c r="Q19" i="3"/>
  <c r="N20" i="3"/>
  <c r="O20" i="3"/>
  <c r="P20" i="3"/>
  <c r="Q20" i="3"/>
  <c r="N21" i="3"/>
  <c r="O21" i="3"/>
  <c r="P21" i="3"/>
  <c r="Q21" i="3"/>
  <c r="N22" i="3"/>
  <c r="O22" i="3"/>
  <c r="P22" i="3"/>
  <c r="Q22" i="3"/>
  <c r="N23" i="3"/>
  <c r="O23" i="3"/>
  <c r="P23" i="3"/>
  <c r="Q23" i="3"/>
  <c r="N24" i="3"/>
  <c r="O24" i="3"/>
  <c r="P24" i="3"/>
  <c r="Q24" i="3"/>
  <c r="N25" i="3"/>
  <c r="O25" i="3"/>
  <c r="P25" i="3"/>
  <c r="Q25" i="3"/>
  <c r="N26" i="3"/>
  <c r="O26" i="3"/>
  <c r="P26" i="3"/>
  <c r="Q26" i="3"/>
  <c r="N27" i="3"/>
  <c r="O27" i="3"/>
  <c r="P27" i="3"/>
  <c r="Q27" i="3"/>
  <c r="N28" i="3"/>
  <c r="O28" i="3"/>
  <c r="P28" i="3"/>
  <c r="Q28" i="3"/>
  <c r="N29" i="3"/>
  <c r="O29" i="3"/>
  <c r="P29" i="3"/>
  <c r="Q29" i="3"/>
  <c r="N30" i="3"/>
  <c r="O30" i="3"/>
  <c r="P30" i="3"/>
  <c r="Q30" i="3"/>
  <c r="N31" i="3"/>
  <c r="O31" i="3"/>
  <c r="P31" i="3"/>
  <c r="Q31" i="3"/>
  <c r="N32" i="3"/>
  <c r="O32" i="3"/>
  <c r="P32" i="3"/>
  <c r="Q32" i="3"/>
  <c r="N33" i="3"/>
  <c r="O33" i="3"/>
  <c r="P33" i="3"/>
  <c r="Q33" i="3"/>
  <c r="N34" i="3"/>
  <c r="O34" i="3"/>
  <c r="P34" i="3"/>
  <c r="Q34" i="3"/>
  <c r="N35" i="3"/>
  <c r="O35" i="3"/>
  <c r="P35" i="3"/>
  <c r="Q35" i="3"/>
  <c r="N36" i="3"/>
  <c r="O36" i="3"/>
  <c r="P36" i="3"/>
  <c r="Q36" i="3"/>
  <c r="N37" i="3"/>
  <c r="O37" i="3"/>
  <c r="P37" i="3"/>
  <c r="Q37" i="3"/>
  <c r="N38" i="3"/>
  <c r="O38" i="3"/>
  <c r="P38" i="3"/>
  <c r="Q38" i="3"/>
  <c r="N39" i="3"/>
  <c r="O39" i="3"/>
  <c r="P39" i="3"/>
  <c r="Q39" i="3"/>
  <c r="N40" i="3"/>
  <c r="O40" i="3"/>
  <c r="P40" i="3"/>
  <c r="Q40" i="3"/>
  <c r="N41" i="3"/>
  <c r="O41" i="3"/>
  <c r="P41" i="3"/>
  <c r="Q41" i="3"/>
  <c r="N42" i="3"/>
  <c r="O42" i="3"/>
  <c r="P42" i="3"/>
  <c r="Q42" i="3"/>
  <c r="N43" i="3"/>
  <c r="O43" i="3"/>
  <c r="P43" i="3"/>
  <c r="Q43" i="3"/>
  <c r="N44" i="3"/>
  <c r="O44" i="3"/>
  <c r="P44" i="3"/>
  <c r="Q44" i="3"/>
  <c r="N45" i="3"/>
  <c r="O45" i="3"/>
  <c r="P45" i="3"/>
  <c r="Q45" i="3"/>
  <c r="N46" i="3"/>
  <c r="O46" i="3"/>
  <c r="P46" i="3"/>
  <c r="Q46" i="3"/>
  <c r="N47" i="3"/>
  <c r="O47" i="3"/>
  <c r="P47" i="3"/>
  <c r="Q47" i="3"/>
  <c r="N48" i="3"/>
  <c r="O48" i="3"/>
  <c r="P48" i="3"/>
  <c r="Q48" i="3"/>
  <c r="N49" i="3"/>
  <c r="O49" i="3"/>
  <c r="P49" i="3"/>
  <c r="Q49" i="3"/>
  <c r="N50" i="3"/>
  <c r="O50" i="3"/>
  <c r="P50" i="3"/>
  <c r="Q50" i="3"/>
  <c r="N51" i="3"/>
  <c r="O51" i="3"/>
  <c r="P51" i="3"/>
  <c r="Q51" i="3"/>
  <c r="N52" i="3"/>
  <c r="O52" i="3"/>
  <c r="P52" i="3"/>
  <c r="Q52" i="3"/>
  <c r="N53" i="3"/>
  <c r="O53" i="3"/>
  <c r="P53" i="3"/>
  <c r="Q53" i="3"/>
  <c r="N54" i="3"/>
  <c r="O54" i="3"/>
  <c r="P54" i="3"/>
  <c r="Q54" i="3"/>
  <c r="N55" i="3"/>
  <c r="O55" i="3"/>
  <c r="P55" i="3"/>
  <c r="Q55" i="3"/>
  <c r="N56" i="3"/>
  <c r="O56" i="3"/>
  <c r="P56" i="3"/>
  <c r="Q56" i="3"/>
  <c r="N57" i="3"/>
  <c r="O57" i="3"/>
  <c r="P57" i="3"/>
  <c r="Q57" i="3"/>
  <c r="N58" i="3"/>
  <c r="O58" i="3"/>
  <c r="P58" i="3"/>
  <c r="Q58" i="3"/>
  <c r="N59" i="3"/>
  <c r="O59" i="3"/>
  <c r="P59" i="3"/>
  <c r="Q59" i="3"/>
  <c r="N60" i="3"/>
  <c r="O60" i="3"/>
  <c r="P60" i="3"/>
  <c r="Q60" i="3"/>
  <c r="N61" i="3"/>
  <c r="O61" i="3"/>
  <c r="P61" i="3"/>
  <c r="Q61" i="3"/>
  <c r="N62" i="3"/>
  <c r="O62" i="3"/>
  <c r="P62" i="3"/>
  <c r="Q62" i="3"/>
  <c r="N63" i="3"/>
  <c r="O63" i="3"/>
  <c r="P63" i="3"/>
  <c r="Q63" i="3"/>
  <c r="N64" i="3"/>
  <c r="O64" i="3"/>
  <c r="P64" i="3"/>
  <c r="Q64" i="3"/>
  <c r="N65" i="3"/>
  <c r="O65" i="3"/>
  <c r="P65" i="3"/>
  <c r="Q65" i="3"/>
  <c r="N66" i="3"/>
  <c r="O66" i="3"/>
  <c r="P66" i="3"/>
  <c r="Q66" i="3"/>
  <c r="N67" i="3"/>
  <c r="O67" i="3"/>
  <c r="P67" i="3"/>
  <c r="Q67" i="3"/>
  <c r="N68" i="3"/>
  <c r="O68" i="3"/>
  <c r="P68" i="3"/>
  <c r="Q68" i="3"/>
  <c r="N69" i="3"/>
  <c r="O69" i="3"/>
  <c r="P69" i="3"/>
  <c r="Q69" i="3"/>
  <c r="N70" i="3"/>
  <c r="O70" i="3"/>
  <c r="P70" i="3"/>
  <c r="Q70" i="3"/>
  <c r="N71" i="3"/>
  <c r="O71" i="3"/>
  <c r="P71" i="3"/>
  <c r="Q71" i="3"/>
  <c r="N72" i="3"/>
  <c r="O72" i="3"/>
  <c r="P72" i="3"/>
  <c r="Q72" i="3"/>
  <c r="N73" i="3"/>
  <c r="O73" i="3"/>
  <c r="R73" i="3" s="1"/>
  <c r="P73" i="3"/>
  <c r="Q73" i="3"/>
  <c r="N74" i="3"/>
  <c r="O74" i="3"/>
  <c r="P74" i="3"/>
  <c r="Q74" i="3"/>
  <c r="N75" i="3"/>
  <c r="O75" i="3"/>
  <c r="P75" i="3"/>
  <c r="Q75" i="3"/>
  <c r="N76" i="3"/>
  <c r="O76" i="3"/>
  <c r="P76" i="3"/>
  <c r="Q76" i="3"/>
  <c r="N77" i="3"/>
  <c r="O77" i="3"/>
  <c r="P77" i="3"/>
  <c r="Q77" i="3"/>
  <c r="N78" i="3"/>
  <c r="O78" i="3"/>
  <c r="P78" i="3"/>
  <c r="Q78" i="3"/>
  <c r="N79" i="3"/>
  <c r="O79" i="3"/>
  <c r="P79" i="3"/>
  <c r="Q79" i="3"/>
  <c r="N80" i="3"/>
  <c r="O80" i="3"/>
  <c r="P80" i="3"/>
  <c r="Q80" i="3"/>
  <c r="N81" i="3"/>
  <c r="O81" i="3"/>
  <c r="P81" i="3"/>
  <c r="Q81" i="3"/>
  <c r="N82" i="3"/>
  <c r="O82" i="3"/>
  <c r="P82" i="3"/>
  <c r="Q82" i="3"/>
  <c r="N83" i="3"/>
  <c r="R83" i="3" s="1"/>
  <c r="O83" i="3"/>
  <c r="P83" i="3"/>
  <c r="Q83" i="3"/>
  <c r="N84" i="3"/>
  <c r="O84" i="3"/>
  <c r="P84" i="3"/>
  <c r="Q84" i="3"/>
  <c r="N85" i="3"/>
  <c r="O85" i="3"/>
  <c r="P85" i="3"/>
  <c r="Q85" i="3"/>
  <c r="N86" i="3"/>
  <c r="O86" i="3"/>
  <c r="P86" i="3"/>
  <c r="Q86" i="3"/>
  <c r="N87" i="3"/>
  <c r="O87" i="3"/>
  <c r="P87" i="3"/>
  <c r="Q87" i="3"/>
  <c r="N88" i="3"/>
  <c r="O88" i="3"/>
  <c r="P88" i="3"/>
  <c r="Q88" i="3"/>
  <c r="N89" i="3"/>
  <c r="O89" i="3"/>
  <c r="P89" i="3"/>
  <c r="Q89" i="3"/>
  <c r="N90" i="3"/>
  <c r="O90" i="3"/>
  <c r="P90" i="3"/>
  <c r="Q90" i="3"/>
  <c r="N91" i="3"/>
  <c r="O91" i="3"/>
  <c r="P91" i="3"/>
  <c r="Q91" i="3"/>
  <c r="N92" i="3"/>
  <c r="O92" i="3"/>
  <c r="P92" i="3"/>
  <c r="Q92" i="3"/>
  <c r="N93" i="3"/>
  <c r="O93" i="3"/>
  <c r="P93" i="3"/>
  <c r="Q93" i="3"/>
  <c r="N94" i="3"/>
  <c r="O94" i="3"/>
  <c r="P94" i="3"/>
  <c r="Q94" i="3"/>
  <c r="N95" i="3"/>
  <c r="O95" i="3"/>
  <c r="P95" i="3"/>
  <c r="Q95" i="3"/>
  <c r="N96" i="3"/>
  <c r="O96" i="3"/>
  <c r="P96" i="3"/>
  <c r="Q96" i="3"/>
  <c r="N97" i="3"/>
  <c r="O97" i="3"/>
  <c r="P97" i="3"/>
  <c r="Q97" i="3"/>
  <c r="N98" i="3"/>
  <c r="O98" i="3"/>
  <c r="P98" i="3"/>
  <c r="Q98" i="3"/>
  <c r="N99" i="3"/>
  <c r="O99" i="3"/>
  <c r="P99" i="3"/>
  <c r="Q99" i="3"/>
  <c r="N100" i="3"/>
  <c r="O100" i="3"/>
  <c r="P100" i="3"/>
  <c r="Q100" i="3"/>
  <c r="N101" i="3"/>
  <c r="O101" i="3"/>
  <c r="P101" i="3"/>
  <c r="Q101" i="3"/>
  <c r="N102" i="3"/>
  <c r="O102" i="3"/>
  <c r="P102" i="3"/>
  <c r="Q102" i="3"/>
  <c r="N103" i="3"/>
  <c r="O103" i="3"/>
  <c r="P103" i="3"/>
  <c r="Q103" i="3"/>
  <c r="N104" i="3"/>
  <c r="O104" i="3"/>
  <c r="P104" i="3"/>
  <c r="Q104" i="3"/>
  <c r="N105" i="3"/>
  <c r="O105" i="3"/>
  <c r="P105" i="3"/>
  <c r="Q105" i="3"/>
  <c r="N106" i="3"/>
  <c r="O106" i="3"/>
  <c r="P106" i="3"/>
  <c r="Q106" i="3"/>
  <c r="N107" i="3"/>
  <c r="O107" i="3"/>
  <c r="P107" i="3"/>
  <c r="Q107" i="3"/>
  <c r="N108" i="3"/>
  <c r="O108" i="3"/>
  <c r="P108" i="3"/>
  <c r="Q108" i="3"/>
  <c r="N109" i="3"/>
  <c r="O109" i="3"/>
  <c r="P109" i="3"/>
  <c r="Q109" i="3"/>
  <c r="N110" i="3"/>
  <c r="O110" i="3"/>
  <c r="P110" i="3"/>
  <c r="Q110" i="3"/>
  <c r="N111" i="3"/>
  <c r="O111" i="3"/>
  <c r="P111" i="3"/>
  <c r="Q111" i="3"/>
  <c r="N112" i="3"/>
  <c r="O112" i="3"/>
  <c r="P112" i="3"/>
  <c r="Q112" i="3"/>
  <c r="N113" i="3"/>
  <c r="O113" i="3"/>
  <c r="P113" i="3"/>
  <c r="Q113" i="3"/>
  <c r="N114" i="3"/>
  <c r="O114" i="3"/>
  <c r="P114" i="3"/>
  <c r="Q114" i="3"/>
  <c r="N115" i="3"/>
  <c r="O115" i="3"/>
  <c r="P115" i="3"/>
  <c r="Q115" i="3"/>
  <c r="N116" i="3"/>
  <c r="O116" i="3"/>
  <c r="P116" i="3"/>
  <c r="Q116" i="3"/>
  <c r="N117" i="3"/>
  <c r="O117" i="3"/>
  <c r="P117" i="3"/>
  <c r="Q117" i="3"/>
  <c r="N118" i="3"/>
  <c r="O118" i="3"/>
  <c r="P118" i="3"/>
  <c r="Q118" i="3"/>
  <c r="N119" i="3"/>
  <c r="O119" i="3"/>
  <c r="P119" i="3"/>
  <c r="Q119" i="3"/>
  <c r="N120" i="3"/>
  <c r="O120" i="3"/>
  <c r="P120" i="3"/>
  <c r="Q120" i="3"/>
  <c r="N121" i="3"/>
  <c r="O121" i="3"/>
  <c r="P121" i="3"/>
  <c r="Q121" i="3"/>
  <c r="N122" i="3"/>
  <c r="O122" i="3"/>
  <c r="P122" i="3"/>
  <c r="Q122" i="3"/>
  <c r="N123" i="3"/>
  <c r="O123" i="3"/>
  <c r="P123" i="3"/>
  <c r="Q123" i="3"/>
  <c r="N124" i="3"/>
  <c r="O124" i="3"/>
  <c r="P124" i="3"/>
  <c r="Q124" i="3"/>
  <c r="N125" i="3"/>
  <c r="O125" i="3"/>
  <c r="P125" i="3"/>
  <c r="Q125" i="3"/>
  <c r="N126" i="3"/>
  <c r="O126" i="3"/>
  <c r="P126" i="3"/>
  <c r="Q126" i="3"/>
  <c r="N127" i="3"/>
  <c r="O127" i="3"/>
  <c r="P127" i="3"/>
  <c r="Q127" i="3"/>
  <c r="N128" i="3"/>
  <c r="O128" i="3"/>
  <c r="P128" i="3"/>
  <c r="Q128" i="3"/>
  <c r="N129" i="3"/>
  <c r="O129" i="3"/>
  <c r="P129" i="3"/>
  <c r="Q129" i="3"/>
  <c r="N130" i="3"/>
  <c r="O130" i="3"/>
  <c r="P130" i="3"/>
  <c r="Q130" i="3"/>
  <c r="N131" i="3"/>
  <c r="O131" i="3"/>
  <c r="P131" i="3"/>
  <c r="Q131" i="3"/>
  <c r="N132" i="3"/>
  <c r="O132" i="3"/>
  <c r="P132" i="3"/>
  <c r="Q132" i="3"/>
  <c r="N133" i="3"/>
  <c r="O133" i="3"/>
  <c r="P133" i="3"/>
  <c r="Q133" i="3"/>
  <c r="N134" i="3"/>
  <c r="O134" i="3"/>
  <c r="P134" i="3"/>
  <c r="Q134" i="3"/>
  <c r="N135" i="3"/>
  <c r="O135" i="3"/>
  <c r="P135" i="3"/>
  <c r="Q135" i="3"/>
  <c r="N136" i="3"/>
  <c r="O136" i="3"/>
  <c r="P136" i="3"/>
  <c r="Q136" i="3"/>
  <c r="N137" i="3"/>
  <c r="O137" i="3"/>
  <c r="P137" i="3"/>
  <c r="Q137" i="3"/>
  <c r="N138" i="3"/>
  <c r="O138" i="3"/>
  <c r="P138" i="3"/>
  <c r="Q138" i="3"/>
  <c r="N139" i="3"/>
  <c r="O139" i="3"/>
  <c r="R139" i="3" s="1"/>
  <c r="P139" i="3"/>
  <c r="Q139" i="3"/>
  <c r="N140" i="3"/>
  <c r="O140" i="3"/>
  <c r="P140" i="3"/>
  <c r="Q140" i="3"/>
  <c r="N141" i="3"/>
  <c r="O141" i="3"/>
  <c r="P141" i="3"/>
  <c r="Q141" i="3"/>
  <c r="N142" i="3"/>
  <c r="O142" i="3"/>
  <c r="P142" i="3"/>
  <c r="Q142" i="3"/>
  <c r="N143" i="3"/>
  <c r="O143" i="3"/>
  <c r="P143" i="3"/>
  <c r="Q143" i="3"/>
  <c r="N144" i="3"/>
  <c r="O144" i="3"/>
  <c r="P144" i="3"/>
  <c r="Q144" i="3"/>
  <c r="N145" i="3"/>
  <c r="O145" i="3"/>
  <c r="P145" i="3"/>
  <c r="Q145" i="3"/>
  <c r="N146" i="3"/>
  <c r="O146" i="3"/>
  <c r="P146" i="3"/>
  <c r="Q146" i="3"/>
  <c r="N147" i="3"/>
  <c r="O147" i="3"/>
  <c r="P147" i="3"/>
  <c r="Q147" i="3"/>
  <c r="N148" i="3"/>
  <c r="O148" i="3"/>
  <c r="P148" i="3"/>
  <c r="Q148" i="3"/>
  <c r="N149" i="3"/>
  <c r="O149" i="3"/>
  <c r="P149" i="3"/>
  <c r="Q149" i="3"/>
  <c r="N150" i="3"/>
  <c r="O150" i="3"/>
  <c r="P150" i="3"/>
  <c r="Q150" i="3"/>
  <c r="N151" i="3"/>
  <c r="O151" i="3"/>
  <c r="P151" i="3"/>
  <c r="Q151" i="3"/>
  <c r="N152" i="3"/>
  <c r="O152" i="3"/>
  <c r="P152" i="3"/>
  <c r="Q152" i="3"/>
  <c r="N153" i="3"/>
  <c r="O153" i="3"/>
  <c r="P153" i="3"/>
  <c r="Q153" i="3"/>
  <c r="N154" i="3"/>
  <c r="O154" i="3"/>
  <c r="P154" i="3"/>
  <c r="Q154" i="3"/>
  <c r="N155" i="3"/>
  <c r="O155" i="3"/>
  <c r="P155" i="3"/>
  <c r="Q155" i="3"/>
  <c r="N156" i="3"/>
  <c r="O156" i="3"/>
  <c r="P156" i="3"/>
  <c r="Q156" i="3"/>
  <c r="N157" i="3"/>
  <c r="O157" i="3"/>
  <c r="P157" i="3"/>
  <c r="Q157" i="3"/>
  <c r="N158" i="3"/>
  <c r="O158" i="3"/>
  <c r="P158" i="3"/>
  <c r="Q158" i="3"/>
  <c r="N159" i="3"/>
  <c r="O159" i="3"/>
  <c r="P159" i="3"/>
  <c r="Q159" i="3"/>
  <c r="N160" i="3"/>
  <c r="O160" i="3"/>
  <c r="P160" i="3"/>
  <c r="Q160" i="3"/>
  <c r="N161" i="3"/>
  <c r="O161" i="3"/>
  <c r="P161" i="3"/>
  <c r="Q161" i="3"/>
  <c r="N162" i="3"/>
  <c r="O162" i="3"/>
  <c r="P162" i="3"/>
  <c r="Q162" i="3"/>
  <c r="N163" i="3"/>
  <c r="O163" i="3"/>
  <c r="R163" i="3" s="1"/>
  <c r="P163" i="3"/>
  <c r="Q163" i="3"/>
  <c r="N164" i="3"/>
  <c r="O164" i="3"/>
  <c r="P164" i="3"/>
  <c r="Q164" i="3"/>
  <c r="N165" i="3"/>
  <c r="O165" i="3"/>
  <c r="P165" i="3"/>
  <c r="Q165" i="3"/>
  <c r="N166" i="3"/>
  <c r="O166" i="3"/>
  <c r="P166" i="3"/>
  <c r="Q166" i="3"/>
  <c r="N167" i="3"/>
  <c r="O167" i="3"/>
  <c r="P167" i="3"/>
  <c r="Q167" i="3"/>
  <c r="N168" i="3"/>
  <c r="O168" i="3"/>
  <c r="P168" i="3"/>
  <c r="Q168" i="3"/>
  <c r="N169" i="3"/>
  <c r="O169" i="3"/>
  <c r="R169" i="3" s="1"/>
  <c r="P169" i="3"/>
  <c r="Q169" i="3"/>
  <c r="N170" i="3"/>
  <c r="O170" i="3"/>
  <c r="P170" i="3"/>
  <c r="Q170" i="3"/>
  <c r="N171" i="3"/>
  <c r="O171" i="3"/>
  <c r="P171" i="3"/>
  <c r="Q171" i="3"/>
  <c r="N172" i="3"/>
  <c r="O172" i="3"/>
  <c r="P172" i="3"/>
  <c r="Q172" i="3"/>
  <c r="N173" i="3"/>
  <c r="O173" i="3"/>
  <c r="P173" i="3"/>
  <c r="Q173" i="3"/>
  <c r="N174" i="3"/>
  <c r="O174" i="3"/>
  <c r="R174" i="3" s="1"/>
  <c r="P174" i="3"/>
  <c r="Q174" i="3"/>
  <c r="N175" i="3"/>
  <c r="O175" i="3"/>
  <c r="P175" i="3"/>
  <c r="Q175" i="3"/>
  <c r="N176" i="3"/>
  <c r="O176" i="3"/>
  <c r="P176" i="3"/>
  <c r="Q176" i="3"/>
  <c r="N177" i="3"/>
  <c r="O177" i="3"/>
  <c r="P177" i="3"/>
  <c r="Q177" i="3"/>
  <c r="N178" i="3"/>
  <c r="O178" i="3"/>
  <c r="P178" i="3"/>
  <c r="Q178" i="3"/>
  <c r="N179" i="3"/>
  <c r="O179" i="3"/>
  <c r="P179" i="3"/>
  <c r="Q179" i="3"/>
  <c r="N180" i="3"/>
  <c r="O180" i="3"/>
  <c r="P180" i="3"/>
  <c r="Q180" i="3"/>
  <c r="N181" i="3"/>
  <c r="O181" i="3"/>
  <c r="P181" i="3"/>
  <c r="Q181" i="3"/>
  <c r="N182" i="3"/>
  <c r="O182" i="3"/>
  <c r="P182" i="3"/>
  <c r="Q182" i="3"/>
  <c r="N183" i="3"/>
  <c r="O183" i="3"/>
  <c r="P183" i="3"/>
  <c r="Q183" i="3"/>
  <c r="N184" i="3"/>
  <c r="O184" i="3"/>
  <c r="P184" i="3"/>
  <c r="Q184" i="3"/>
  <c r="N185" i="3"/>
  <c r="O185" i="3"/>
  <c r="P185" i="3"/>
  <c r="Q185" i="3"/>
  <c r="N186" i="3"/>
  <c r="O186" i="3"/>
  <c r="R186" i="3" s="1"/>
  <c r="P186" i="3"/>
  <c r="Q186" i="3"/>
  <c r="N187" i="3"/>
  <c r="O187" i="3"/>
  <c r="P187" i="3"/>
  <c r="Q187" i="3"/>
  <c r="N188" i="3"/>
  <c r="O188" i="3"/>
  <c r="P188" i="3"/>
  <c r="Q188" i="3"/>
  <c r="N189" i="3"/>
  <c r="O189" i="3"/>
  <c r="P189" i="3"/>
  <c r="Q189" i="3"/>
  <c r="N190" i="3"/>
  <c r="O190" i="3"/>
  <c r="P190" i="3"/>
  <c r="Q190" i="3"/>
  <c r="N191" i="3"/>
  <c r="O191" i="3"/>
  <c r="P191" i="3"/>
  <c r="Q191" i="3"/>
  <c r="N192" i="3"/>
  <c r="O192" i="3"/>
  <c r="P192" i="3"/>
  <c r="Q192" i="3"/>
  <c r="N193" i="3"/>
  <c r="O193" i="3"/>
  <c r="P193" i="3"/>
  <c r="Q193" i="3"/>
  <c r="N194" i="3"/>
  <c r="O194" i="3"/>
  <c r="P194" i="3"/>
  <c r="Q194" i="3"/>
  <c r="N195" i="3"/>
  <c r="O195" i="3"/>
  <c r="P195" i="3"/>
  <c r="Q195" i="3"/>
  <c r="N196" i="3"/>
  <c r="O196" i="3"/>
  <c r="P196" i="3"/>
  <c r="Q196" i="3"/>
  <c r="N197" i="3"/>
  <c r="O197" i="3"/>
  <c r="P197" i="3"/>
  <c r="Q197" i="3"/>
  <c r="N198" i="3"/>
  <c r="O198" i="3"/>
  <c r="P198" i="3"/>
  <c r="Q198" i="3"/>
  <c r="N199" i="3"/>
  <c r="O199" i="3"/>
  <c r="P199" i="3"/>
  <c r="Q199" i="3"/>
  <c r="N200" i="3"/>
  <c r="O200" i="3"/>
  <c r="P200" i="3"/>
  <c r="Q200" i="3"/>
  <c r="N201" i="3"/>
  <c r="O201" i="3"/>
  <c r="P201" i="3"/>
  <c r="Q201" i="3"/>
  <c r="N202" i="3"/>
  <c r="O202" i="3"/>
  <c r="P202" i="3"/>
  <c r="Q202" i="3"/>
  <c r="N203" i="3"/>
  <c r="O203" i="3"/>
  <c r="P203" i="3"/>
  <c r="Q203" i="3"/>
  <c r="N204" i="3"/>
  <c r="O204" i="3"/>
  <c r="P204" i="3"/>
  <c r="Q204" i="3"/>
  <c r="N205" i="3"/>
  <c r="O205" i="3"/>
  <c r="P205" i="3"/>
  <c r="Q205" i="3"/>
  <c r="N206" i="3"/>
  <c r="O206" i="3"/>
  <c r="P206" i="3"/>
  <c r="Q206" i="3"/>
  <c r="N207" i="3"/>
  <c r="O207" i="3"/>
  <c r="P207" i="3"/>
  <c r="Q207" i="3"/>
  <c r="N208" i="3"/>
  <c r="O208" i="3"/>
  <c r="P208" i="3"/>
  <c r="Q208" i="3"/>
  <c r="N209" i="3"/>
  <c r="O209" i="3"/>
  <c r="P209" i="3"/>
  <c r="Q209" i="3"/>
  <c r="G5" i="3"/>
  <c r="H5" i="3"/>
  <c r="I5" i="3"/>
  <c r="J5" i="3"/>
  <c r="G6" i="3"/>
  <c r="H6" i="3"/>
  <c r="I6" i="3"/>
  <c r="J6" i="3"/>
  <c r="G7" i="3"/>
  <c r="H7" i="3"/>
  <c r="I7" i="3"/>
  <c r="J7" i="3"/>
  <c r="G8" i="3"/>
  <c r="H8" i="3"/>
  <c r="I8" i="3"/>
  <c r="J8" i="3"/>
  <c r="G9" i="3"/>
  <c r="H9" i="3"/>
  <c r="I9" i="3"/>
  <c r="J9" i="3"/>
  <c r="G10" i="3"/>
  <c r="H10" i="3"/>
  <c r="I10" i="3"/>
  <c r="J10" i="3"/>
  <c r="G11" i="3"/>
  <c r="H11" i="3"/>
  <c r="I11" i="3"/>
  <c r="J11" i="3"/>
  <c r="G12" i="3"/>
  <c r="H12" i="3"/>
  <c r="I12" i="3"/>
  <c r="J12" i="3"/>
  <c r="G13" i="3"/>
  <c r="H13" i="3"/>
  <c r="I13" i="3"/>
  <c r="J13" i="3"/>
  <c r="G14" i="3"/>
  <c r="H14" i="3"/>
  <c r="I14" i="3"/>
  <c r="J14" i="3"/>
  <c r="G15" i="3"/>
  <c r="H15" i="3"/>
  <c r="I15" i="3"/>
  <c r="J15" i="3"/>
  <c r="G16" i="3"/>
  <c r="H16" i="3"/>
  <c r="I16" i="3"/>
  <c r="J16" i="3"/>
  <c r="G17" i="3"/>
  <c r="H17" i="3"/>
  <c r="I17" i="3"/>
  <c r="J17" i="3"/>
  <c r="G18" i="3"/>
  <c r="H18" i="3"/>
  <c r="I18" i="3"/>
  <c r="J18" i="3"/>
  <c r="G19" i="3"/>
  <c r="H19" i="3"/>
  <c r="I19" i="3"/>
  <c r="J19" i="3"/>
  <c r="G20" i="3"/>
  <c r="H20" i="3"/>
  <c r="I20" i="3"/>
  <c r="J20" i="3"/>
  <c r="G21" i="3"/>
  <c r="H21" i="3"/>
  <c r="I21" i="3"/>
  <c r="J21" i="3"/>
  <c r="B5" i="3"/>
  <c r="B6" i="3"/>
  <c r="B7" i="3"/>
  <c r="B8" i="3"/>
  <c r="B9" i="3"/>
  <c r="B10" i="3"/>
  <c r="B11" i="3"/>
  <c r="B12" i="3"/>
  <c r="B13" i="3"/>
  <c r="N6" i="2"/>
  <c r="J6" i="2"/>
  <c r="F6" i="2"/>
  <c r="B6" i="2"/>
  <c r="R150" i="3" l="1"/>
  <c r="R131" i="3"/>
  <c r="R125" i="3"/>
  <c r="R119" i="3"/>
  <c r="R112" i="3"/>
  <c r="R88" i="3"/>
  <c r="R202" i="3"/>
  <c r="R207" i="3"/>
  <c r="R201" i="3"/>
  <c r="R195" i="3"/>
  <c r="R189" i="3"/>
  <c r="R177" i="3"/>
  <c r="R171" i="3"/>
  <c r="R159" i="3"/>
  <c r="R153" i="3"/>
  <c r="R147" i="3"/>
  <c r="R141" i="3"/>
  <c r="R129" i="3"/>
  <c r="R123" i="3"/>
  <c r="R116" i="3"/>
  <c r="R49" i="3"/>
  <c r="R54" i="3"/>
  <c r="R30" i="3"/>
  <c r="R18" i="3"/>
  <c r="K16" i="3"/>
  <c r="R179" i="3"/>
  <c r="R161" i="3"/>
  <c r="R143" i="3"/>
  <c r="R137" i="3"/>
  <c r="R71" i="3"/>
  <c r="R65" i="3"/>
  <c r="R184" i="3"/>
  <c r="R160" i="3"/>
  <c r="R142" i="3"/>
  <c r="R136" i="3"/>
  <c r="R70" i="3"/>
  <c r="R52" i="3"/>
  <c r="R28" i="3"/>
  <c r="R22" i="3"/>
  <c r="R16" i="3"/>
  <c r="R99" i="3"/>
  <c r="R45" i="3"/>
  <c r="R39" i="3"/>
  <c r="R33" i="3"/>
  <c r="K7" i="3"/>
  <c r="R176" i="3"/>
  <c r="R164" i="3"/>
  <c r="R158" i="3"/>
  <c r="R152" i="3"/>
  <c r="R140" i="3"/>
  <c r="R44" i="3"/>
  <c r="R38" i="3"/>
  <c r="R32" i="3"/>
  <c r="R26" i="3"/>
  <c r="R20" i="3"/>
  <c r="K11" i="3"/>
  <c r="R198" i="3"/>
  <c r="R180" i="3"/>
  <c r="R67" i="3"/>
  <c r="R61" i="3"/>
  <c r="R90" i="3"/>
  <c r="R12" i="3"/>
  <c r="R6" i="3"/>
  <c r="R102" i="3"/>
  <c r="K9" i="3"/>
  <c r="R208" i="3"/>
  <c r="R113" i="3"/>
  <c r="R107" i="3"/>
  <c r="R95" i="3"/>
  <c r="R114" i="3"/>
  <c r="R166" i="3"/>
  <c r="R124" i="3"/>
  <c r="R59" i="3"/>
  <c r="R41" i="3"/>
  <c r="R23" i="3"/>
  <c r="R105" i="3"/>
  <c r="R87" i="3"/>
  <c r="K13" i="3"/>
  <c r="R203" i="3"/>
  <c r="K8" i="3"/>
  <c r="R15" i="3"/>
  <c r="B19" i="3"/>
  <c r="C19" i="3" s="1"/>
  <c r="K12" i="3"/>
  <c r="R205" i="3"/>
  <c r="R199" i="3"/>
  <c r="R193" i="3"/>
  <c r="R110" i="3"/>
  <c r="R86" i="3"/>
  <c r="R76" i="3"/>
  <c r="R157" i="3"/>
  <c r="R74" i="3"/>
  <c r="R78" i="3"/>
  <c r="R145" i="3"/>
  <c r="C10" i="3"/>
  <c r="R89" i="3"/>
  <c r="C9" i="3"/>
  <c r="C8" i="3"/>
  <c r="K5" i="3"/>
  <c r="R118" i="3"/>
  <c r="R77" i="3"/>
  <c r="R48" i="3"/>
  <c r="C7" i="3"/>
  <c r="R42" i="3"/>
  <c r="R36" i="3"/>
  <c r="R24" i="3"/>
  <c r="R60" i="3"/>
  <c r="R135" i="3"/>
  <c r="R100" i="3"/>
  <c r="R94" i="3"/>
  <c r="R53" i="3"/>
  <c r="F8" i="2"/>
  <c r="R204" i="3"/>
  <c r="R82" i="3"/>
  <c r="R47" i="3"/>
  <c r="R35" i="3"/>
  <c r="R209" i="3"/>
  <c r="R192" i="3"/>
  <c r="C6" i="3"/>
  <c r="R134" i="3"/>
  <c r="R111" i="3"/>
  <c r="R93" i="3"/>
  <c r="R64" i="3"/>
  <c r="R58" i="3"/>
  <c r="K21" i="3"/>
  <c r="R197" i="3"/>
  <c r="R191" i="3"/>
  <c r="R162" i="3"/>
  <c r="R81" i="3"/>
  <c r="R46" i="3"/>
  <c r="R40" i="3"/>
  <c r="R11" i="3"/>
  <c r="R25" i="3"/>
  <c r="R185" i="3"/>
  <c r="R69" i="3"/>
  <c r="R63" i="3"/>
  <c r="R98" i="3"/>
  <c r="R92" i="3"/>
  <c r="R173" i="3"/>
  <c r="R167" i="3"/>
  <c r="R121" i="3"/>
  <c r="R115" i="3"/>
  <c r="C11" i="3"/>
  <c r="R196" i="3"/>
  <c r="R190" i="3"/>
  <c r="R155" i="3"/>
  <c r="R144" i="3"/>
  <c r="R138" i="3"/>
  <c r="R68" i="3"/>
  <c r="R97" i="3"/>
  <c r="R56" i="3"/>
  <c r="R178" i="3"/>
  <c r="R172" i="3"/>
  <c r="R132" i="3"/>
  <c r="R126" i="3"/>
  <c r="R21" i="3"/>
  <c r="B13" i="2"/>
  <c r="R183" i="3"/>
  <c r="R148" i="3"/>
  <c r="R96" i="3"/>
  <c r="R55" i="3"/>
  <c r="B11" i="2"/>
  <c r="N8" i="2"/>
  <c r="C13" i="3"/>
  <c r="C12" i="3"/>
  <c r="K6" i="3"/>
  <c r="R200" i="3"/>
  <c r="R194" i="3"/>
  <c r="R188" i="3"/>
  <c r="R72" i="3"/>
  <c r="R43" i="3"/>
  <c r="R37" i="3"/>
  <c r="R8" i="3"/>
  <c r="R187" i="3"/>
  <c r="R182" i="3"/>
  <c r="R75" i="3"/>
  <c r="R10" i="3"/>
  <c r="K19" i="3"/>
  <c r="R91" i="3"/>
  <c r="R80" i="3"/>
  <c r="R31" i="3"/>
  <c r="K17" i="3"/>
  <c r="R128" i="3"/>
  <c r="R181" i="3"/>
  <c r="R149" i="3"/>
  <c r="R101" i="3"/>
  <c r="R85" i="3"/>
  <c r="R9" i="3"/>
  <c r="K18" i="3"/>
  <c r="R165" i="3"/>
  <c r="R117" i="3"/>
  <c r="R79" i="3"/>
  <c r="R175" i="3"/>
  <c r="R170" i="3"/>
  <c r="R133" i="3"/>
  <c r="R122" i="3"/>
  <c r="J8" i="2"/>
  <c r="R154" i="3"/>
  <c r="R127" i="3"/>
  <c r="R106" i="3"/>
  <c r="R57" i="3"/>
  <c r="R19" i="3"/>
  <c r="R14" i="3"/>
  <c r="B10" i="2"/>
  <c r="R206" i="3"/>
  <c r="R84" i="3"/>
  <c r="R62" i="3"/>
  <c r="R51" i="3"/>
  <c r="R29" i="3"/>
  <c r="R50" i="3"/>
  <c r="R34" i="3"/>
  <c r="B22" i="3"/>
  <c r="C22" i="3" s="1"/>
  <c r="R104" i="3"/>
  <c r="B21" i="3"/>
  <c r="C21" i="3" s="1"/>
  <c r="C5" i="3"/>
  <c r="K10" i="3"/>
  <c r="R168" i="3"/>
  <c r="R120" i="3"/>
  <c r="R66" i="3"/>
  <c r="B20" i="3"/>
  <c r="C20" i="3" s="1"/>
  <c r="K15" i="3"/>
  <c r="R146" i="3"/>
  <c r="R109" i="3"/>
  <c r="R151" i="3"/>
  <c r="R130" i="3"/>
  <c r="R103" i="3"/>
  <c r="R27" i="3"/>
  <c r="K14" i="3"/>
  <c r="K20" i="3"/>
  <c r="R156" i="3"/>
  <c r="R108" i="3"/>
  <c r="B1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<sst xmlns="http://schemas.openxmlformats.org/spreadsheetml/2006/main" count="109018" uniqueCount="33487">
  <si>
    <t>BacklogId</t>
  </si>
  <si>
    <t>SourceId</t>
  </si>
  <si>
    <t>Category</t>
  </si>
  <si>
    <t>System</t>
  </si>
  <si>
    <t>Files</t>
  </si>
  <si>
    <t>HistoricalStatus</t>
  </si>
  <si>
    <t>ActiveStatus</t>
  </si>
  <si>
    <t>PostAuditBatch</t>
  </si>
  <si>
    <t>ReviewRowId</t>
  </si>
  <si>
    <t>ReviewStatus</t>
  </si>
  <si>
    <t>Action</t>
  </si>
  <si>
    <t>ReviewArtifact</t>
  </si>
  <si>
    <t>SourceEvidence</t>
  </si>
  <si>
    <t>Commit</t>
  </si>
  <si>
    <t>UpdatedAt</t>
  </si>
  <si>
    <t>Notes</t>
  </si>
  <si>
    <t>RB-03235</t>
  </si>
  <si>
    <t>P10-F03235</t>
  </si>
  <si>
    <t>Packet handlers</t>
  </si>
  <si>
    <t>XMLSpawner</t>
  </si>
  <si>
    <t>Data/Scripts/Custom/XMLSpawner/PacketHandlerOverrides.cs</t>
  </si>
  <si>
    <t>Ready</t>
  </si>
  <si>
    <t>Fixed</t>
  </si>
  <si>
    <t>POST-BATCH-A</t>
  </si>
  <si>
    <t>PHA-001</t>
  </si>
  <si>
    <t>Patched XmlTextEntryBook.ContentChange and BaseContentChange to enforce writable/range/accessibility before accepting client page edits.</t>
  </si>
  <si>
    <t>docs/codebase-audit/outputs/post-batch-a-packet-handler-review.csv</t>
  </si>
  <si>
    <t>PacketHandlerOverrides.cs:41-57; XmlTextEntryBook.cs:194-317; BaseBook.cs:399-447</t>
  </si>
  <si>
    <t>3259f43b fix: harden packet handler paths</t>
  </si>
  <si>
    <t>2026-06-06T16:41:26.8957053-05:00</t>
  </si>
  <si>
    <t>Active post-audit overlay; canonical Phase 13 repair-backlog.csv is preserved as historical generated evidence.</t>
  </si>
  <si>
    <t>RB-03236</t>
  </si>
  <si>
    <t>P10-F03236</t>
  </si>
  <si>
    <t>PHA-002</t>
  </si>
  <si>
    <t>Patched XmlAttach.UseReq to restore core NextActionTime update after accepted use requests and core Counselor bypass threshold.</t>
  </si>
  <si>
    <t>PacketHandlerOverrides.cs:59-64; XmlAttach.cs:2463-2567; PacketHandlers.cs:1487-1525</t>
  </si>
  <si>
    <t>RB-03237</t>
  </si>
  <si>
    <t>P10-F03237</t>
  </si>
  <si>
    <t>Data/Scripts/Custom/XMLSpawner/XmlTextEntryBook.cs</t>
  </si>
  <si>
    <t>ReviewedNoChange</t>
  </si>
  <si>
    <t>PHA-003</t>
  </si>
  <si>
    <t>Kept commented registration unchanged; active 0x66 review and fixes are recorded in PHA-001.</t>
  </si>
  <si>
    <t>XmlTextEntryBook.cs:186-194; PacketHandlerOverrides.cs:41-57</t>
  </si>
  <si>
    <t>RB-03238</t>
  </si>
  <si>
    <t>P10-F03238</t>
  </si>
  <si>
    <t>Items:Books</t>
  </si>
  <si>
    <t>Data/Scripts/Items/Books/BaseBook.cs</t>
  </si>
  <si>
    <t>PHA-004</t>
  </si>
  <si>
    <t>No source change; guards match the expected BaseBook header edit path.</t>
  </si>
  <si>
    <t>BaseBook.cs:337-397</t>
  </si>
  <si>
    <t>RB-03239</t>
  </si>
  <si>
    <t>P10-F03239</t>
  </si>
  <si>
    <t>PHA-005</t>
  </si>
  <si>
    <t>No direct BaseBook source change; XMLSpawner delegate parity is fixed in PHA-001.</t>
  </si>
  <si>
    <t>BaseBook.cs:337-447; PacketHandlerOverrides.cs:41-57</t>
  </si>
  <si>
    <t>RB-03240</t>
  </si>
  <si>
    <t>P10-F03240</t>
  </si>
  <si>
    <t>PHA-006</t>
  </si>
  <si>
    <t>No source change; legacy handler has the same core access/range guard shape as HeaderChange.</t>
  </si>
  <si>
    <t>BaseBook.cs:337-364</t>
  </si>
  <si>
    <t>RB-03241</t>
  </si>
  <si>
    <t>P10-F03241</t>
  </si>
  <si>
    <t>Housing</t>
  </si>
  <si>
    <t>Data/Scripts/Items/Houses/Monopoly/Misc/GumpResponse.cs</t>
  </si>
  <si>
    <t>PHA-007</t>
  </si>
  <si>
    <t>Patched DisplayGumpResponse to save and restore PacketReader position before m_Successor or core fallback. Deferred exact switch/text maximum parity because core Gump.m_Switches and m_TextEntries are internal to ServerCore.</t>
  </si>
  <si>
    <t>GumpResponse.cs:19-101; PacketReader.cs:71-87; PacketHandlers.cs:1267-1365; Gump.cs:35-36</t>
  </si>
  <si>
    <t>RB-03242</t>
  </si>
  <si>
    <t>P10-F03242</t>
  </si>
  <si>
    <t>Items:Misc</t>
  </si>
  <si>
    <t>Data/Scripts/Items/Misc/BulletinBoards.cs</t>
  </si>
  <si>
    <t>PHA-008</t>
  </si>
  <si>
    <t>No source change; retained for later broader bulletin-board content/rate-limit review if needed.</t>
  </si>
  <si>
    <t>BulletinBoards.cs:228-344</t>
  </si>
  <si>
    <t>RB-03243</t>
  </si>
  <si>
    <t>P10-F03243</t>
  </si>
  <si>
    <t>Data/Scripts/Items/Misc/Games/Mahjong/MahjongPacketHandlers.cs</t>
  </si>
  <si>
    <t>PHA-009</t>
  </si>
  <si>
    <t>No source change; review records game-state authorization as the controlling guard.</t>
  </si>
  <si>
    <t>MahjongPacketHandlers.cs:36-267</t>
  </si>
  <si>
    <t>RB-03244</t>
  </si>
  <si>
    <t>P10-F03244</t>
  </si>
  <si>
    <t>Items:Trades</t>
  </si>
  <si>
    <t>Data/Scripts/Items/Trades/Maps/MapItem.cs</t>
  </si>
  <si>
    <t>PHA-010</t>
  </si>
  <si>
    <t>No source change; existing command methods provide the meaningful access/range gates.</t>
  </si>
  <si>
    <t>MapItem.cs:394-435; MapItem.cs:545-585</t>
  </si>
  <si>
    <t>RB-03245</t>
  </si>
  <si>
    <t>P10-F03245</t>
  </si>
  <si>
    <t>System:Chat</t>
  </si>
  <si>
    <t>Data/Scripts/System/Chat/General/Chat3Guild.cs</t>
  </si>
  <si>
    <t>PHA-011</t>
  </si>
  <si>
    <t>No source change; downstream Channel.OnChat enforces CanChat for the ASCII guild path.</t>
  </si>
  <si>
    <t>Chat3Guild.cs:15-40; Channel.cs:423-457; Guild.cs:69-79</t>
  </si>
  <si>
    <t>RB-03246</t>
  </si>
  <si>
    <t>P10-F03246</t>
  </si>
  <si>
    <t>PHA-012</t>
  </si>
  <si>
    <t>No source change; explicit CanChat and downstream Channel.OnChat checks both protect guild chat.</t>
  </si>
  <si>
    <t>Chat3Guild.cs:15-123; Channel.cs:423-457; Guild.cs:69-79</t>
  </si>
  <si>
    <t>RB-03247</t>
  </si>
  <si>
    <t>P10-F03247</t>
  </si>
  <si>
    <t>System:Misc</t>
  </si>
  <si>
    <t>Data/Scripts/System/Misc/HardwareInfo.cs</t>
  </si>
  <si>
    <t>PHA-013</t>
  </si>
  <si>
    <t>No source change; privacy/access surface is command-gated and broader retention policy is outside this batch.</t>
  </si>
  <si>
    <t>HardwareInfo.cs:195-289</t>
  </si>
  <si>
    <t>RB-03248</t>
  </si>
  <si>
    <t>P10-F03248</t>
  </si>
  <si>
    <t>Data/Scripts/System/Misc/ProtocolExtensions.cs</t>
  </si>
  <si>
    <t>PHA-014</t>
  </si>
  <si>
    <t>No source change; subhandler ingame gate is explicit in DecodeBundledPacket.</t>
  </si>
  <si>
    <t>ProtocolExtensions.cs:13-73</t>
  </si>
  <si>
    <t>RB-03249</t>
  </si>
  <si>
    <t>P10-F03249</t>
  </si>
  <si>
    <t>Data/Scripts/System/Misc/Remote.cs</t>
  </si>
  <si>
    <t>PHA-015</t>
  </si>
  <si>
    <t>No source change; recorded as a later design/security-policy review candidate rather than changing remote admin protocol in the packet batch.</t>
  </si>
  <si>
    <t>Remote.cs:21-203</t>
  </si>
  <si>
    <t>RB-03250</t>
  </si>
  <si>
    <t>P10-F03250</t>
  </si>
  <si>
    <t>Regions</t>
  </si>
  <si>
    <t>Data/Scripts/System/Obsolete/Obsolete.cs</t>
  </si>
  <si>
    <t>PHA-016</t>
  </si>
  <si>
    <t>No source change; legacy chat policy remains for a later chat-system review.</t>
  </si>
  <si>
    <t>Obsolete.cs:5983-6089</t>
  </si>
  <si>
    <t>RB-03251</t>
  </si>
  <si>
    <t>P10-F03251</t>
  </si>
  <si>
    <t>PHA-017</t>
  </si>
  <si>
    <t>No source change; broad legacy chat behavior remains deferred to chat-system review after P0 packet pass.</t>
  </si>
  <si>
    <t>Obsolete.cs:6101-6153</t>
  </si>
  <si>
    <t>RB-00303</t>
  </si>
  <si>
    <t>SERIAL-0242</t>
  </si>
  <si>
    <t>Save compatibility</t>
  </si>
  <si>
    <t>Custom:XMLSpawner</t>
  </si>
  <si>
    <t>Data/Scripts/Custom/XMLSpawner/BaseXmlSpawner.cs</t>
  </si>
  <si>
    <t>FalsePositive</t>
  </si>
  <si>
    <t>POST-BATCH-B-02A</t>
  </si>
  <si>
    <t>No source change; KeywordTag is a helper serializer with no base serializer, and version 1 writes and reads Flags, spawner item, type, serial, and conditional timer fields in source-aligned order.</t>
  </si>
  <si>
    <t>docs/codebase-audit/outputs/post-batch-b-save-compatibility-triage.csv</t>
  </si>
  <si>
    <t>Data/Scripts/Custom/XMLSpawner/BaseXmlSpawner.cs:813-864</t>
  </si>
  <si>
    <t>Recorded by current POST-BATCH-B-02A audit artifact commit</t>
  </si>
  <si>
    <t>2026-06-06T20:36:35.7380312-05:00</t>
  </si>
  <si>
    <t>RB-00308</t>
  </si>
  <si>
    <t>SERIAL-0247</t>
  </si>
  <si>
    <t>Data/Scripts/Custom/XMLSpawner/XmlAttach/XmlAttachment.cs</t>
  </si>
  <si>
    <t>No source change; XmlAttachment is the root attachment helper implementation and has no base serializer to call.</t>
  </si>
  <si>
    <t>Data/Scripts/Custom/XMLSpawner/XmlAttach/XmlAttachment.cs:116-125; Data/Scripts/Custom/XMLSpawner/XmlAttach/XmlAttachment.cs:510-579</t>
  </si>
  <si>
    <t>RB-00309</t>
  </si>
  <si>
    <t>SERIAL-0248</t>
  </si>
  <si>
    <t>SafeNoChange</t>
  </si>
  <si>
    <t>No source change; version 2 writes AttachedBy, owned-object discriminator and reference, Name, expiration, remaining timer, and creation time in the same order consumed by Deserialize.</t>
  </si>
  <si>
    <t>Data/Scripts/Custom/XMLSpawner/XmlAttach/XmlAttachment.cs:510-579</t>
  </si>
  <si>
    <t>RB-00311</t>
  </si>
  <si>
    <t>SERIAL-0250</t>
  </si>
  <si>
    <t>No source change; generated Unknown class row comes from the IXmlAttachment method declarations and duplicates the real XmlAttachment serializer evidence.</t>
  </si>
  <si>
    <t>Data/Scripts/Custom/XMLSpawner/XmlAttach/XmlAttachment.cs:111-116; Data/Scripts/Custom/XMLSpawner/XmlAttach/XmlAttachment.cs:510-579</t>
  </si>
  <si>
    <t>RB-00312</t>
  </si>
  <si>
    <t>SERIAL-0251</t>
  </si>
  <si>
    <t>No source change; generated Unknown class row duplicates the reviewed XmlAttachment write/read pair and is an extractor artifact.</t>
  </si>
  <si>
    <t>RB-00366</t>
  </si>
  <si>
    <t>SERIAL-0305</t>
  </si>
  <si>
    <t>Data/Scripts/Custom/XMLSpawner/XmlQuest/XmlQuestPoints.cs</t>
  </si>
  <si>
    <t>No source change; QuestEntry is a nested quest-history helper with no base serializer, and its version 0 fields are source-aligned.</t>
  </si>
  <si>
    <t>Data/Scripts/Custom/XMLSpawner/XmlQuest/XmlQuestPoints.cs:86-129</t>
  </si>
  <si>
    <t>RB-00368</t>
  </si>
  <si>
    <t>SERIAL-0307</t>
  </si>
  <si>
    <t>No source change; XmlQuestPoints calls base first, then reads and writes points, credits, completion stats, rank fields, quest-entry list, and owner mobile in source-aligned order.</t>
  </si>
  <si>
    <t>Data/Scripts/Custom/XMLSpawner/XmlQuest/XmlQuestPoints.cs:325-402; Data/Scripts/Custom/XMLSpawner/XmlQuest/XmlQuestPoints.cs:100-129</t>
  </si>
  <si>
    <t>RB-00372</t>
  </si>
  <si>
    <t>SERIAL-0311</t>
  </si>
  <si>
    <t>Data/Scripts/Custom/XMLSpawner/XmlSpawner2.cs</t>
  </si>
  <si>
    <t>No source change; SpawnObject is a helper record serialized by XmlSpawner, not an Item/Mobile override with a base serializer.</t>
  </si>
  <si>
    <t>Data/Scripts/Custom/XMLSpawner/XmlSpawner2.cs:15444-15618; Data/Scripts/Custom/XMLSpawner/XmlSpawner2.cs:15644-15718</t>
  </si>
  <si>
    <t>RB-00374</t>
  </si>
  <si>
    <t>SERIAL-0313</t>
  </si>
  <si>
    <t>No source change; SpawnObject.Serialize and SpawnObject.Deserialize consume type name, counts, subgroup/reset/kill settings, delay/range/surface flags, and spawned object serials in matching order.</t>
  </si>
  <si>
    <t>Data/Scripts/Custom/XMLSpawner/XmlSpawner2.cs:15644-15718</t>
  </si>
  <si>
    <t>RB-00375</t>
  </si>
  <si>
    <t>SERIAL-0314</t>
  </si>
  <si>
    <t>No source change; current XmlSpawner version 31 calls base first and its reader consumes the current fields and SpawnObject helper records in source-aligned order.</t>
  </si>
  <si>
    <t>Data/Scripts/Custom/XMLSpawner/XmlSpawner2.cs:14774-14908; Data/Scripts/Custom/XMLSpawner/XmlSpawner2.cs:14910-15313; Data/Scripts/Custom/XMLSpawner/XmlSpawner2.cs:15644-15718</t>
  </si>
  <si>
    <t>RB-00322</t>
  </si>
  <si>
    <t>SERIAL-0261</t>
  </si>
  <si>
    <t>Data/Scripts/Custom/XMLSpawner/XmlAttachments/XmlDialog.cs</t>
  </si>
  <si>
    <t>POST-BATCH-B-02B</t>
  </si>
  <si>
    <t>No source change; XmlDialog version 9 writes ResetRange, speech-entry extension blocks, carried triggers, timer state, and version 0 fields in the same order consumed by Deserialize.</t>
  </si>
  <si>
    <t>Data/Scripts/Custom/XMLSpawner/XmlAttachments/XmlDialog.cs:2052-2187; Data/Scripts/Custom/XMLSpawner/XmlAttachments/XmlDialog.cs:2189-2404</t>
  </si>
  <si>
    <t>Recorded by current POST-BATCH-B-02B audit artifact commit</t>
  </si>
  <si>
    <t>2026-06-06T21:22:25.1666821-05:00</t>
  </si>
  <si>
    <t>RB-00335</t>
  </si>
  <si>
    <t>SERIAL-0274</t>
  </si>
  <si>
    <t>Data/Scripts/Custom/XMLSpawner/XmlAttachments/XmlMorph.cs</t>
  </si>
  <si>
    <t>No source change; XmlMorph writes version 1 range data followed by version 0 morph state, and Deserialize reads the same sequence with a version 1 fall-through.</t>
  </si>
  <si>
    <t>Data/Scripts/Custom/XMLSpawner/XmlAttachments/XmlMorph.cs:82-124</t>
  </si>
  <si>
    <t>RB-00337</t>
  </si>
  <si>
    <t>SERIAL-0276</t>
  </si>
  <si>
    <t>Data/Scripts/Custom/XMLSpawner/XmlAttachments/XmlPoints.cs</t>
  </si>
  <si>
    <t>No source change; XmlPoints version 8 writes starting location/map, language, challenge references, timer, rank, credits, broadcast, point totals, kill list, and owner mobile in the same order consumed by Deserialize.</t>
  </si>
  <si>
    <t>Data/Scripts/Custom/XMLSpawner/XmlAttachments/XmlPoints.cs:1932-2015; Data/Scripts/Custom/XMLSpawner/XmlAttachments/XmlPoints.cs:2017-2110</t>
  </si>
  <si>
    <t>RB-00339</t>
  </si>
  <si>
    <t>SERIAL-0278</t>
  </si>
  <si>
    <t>Data/Scripts/Custom/XMLSpawner/XmlAttachments/XmlSaveItem.cs</t>
  </si>
  <si>
    <t>No source change; XmlSaveItem version 0 writes and reads saved item, owning mobile, and container in matching order.</t>
  </si>
  <si>
    <t>Data/Scripts/Custom/XMLSpawner/XmlAttachments/XmlSaveItem.cs:207-235</t>
  </si>
  <si>
    <t>RB-00346</t>
  </si>
  <si>
    <t>SERIAL-0285</t>
  </si>
  <si>
    <t>Data/Scripts/Custom/XMLSpawner/XmlItems/QuestNote.cs</t>
  </si>
  <si>
    <t>IntentionalLegacy</t>
  </si>
  <si>
    <t>No source change; OriginalQuestNote currently writes version 1 color/size fields and retains version 0 reads for old NoteString and TitleString payloads.</t>
  </si>
  <si>
    <t>Data/Scripts/Custom/XMLSpawner/XmlItems/QuestNote.cs:155-192</t>
  </si>
  <si>
    <t>RB-00347</t>
  </si>
  <si>
    <t>SERIAL-0286</t>
  </si>
  <si>
    <t>No source change; QuestNote version 2 intentionally writes no custom fields while retaining reads that consume discarded version 1 and version 0 payloads.</t>
  </si>
  <si>
    <t>Data/Scripts/Custom/XMLSpawner/XmlItems/QuestNote.cs:40-90</t>
  </si>
  <si>
    <t>RB-00348</t>
  </si>
  <si>
    <t>SERIAL-0287</t>
  </si>
  <si>
    <t>Data/Scripts/Custom/XMLSpawner/XmlMobiles/TalkingBaseCreature.cs</t>
  </si>
  <si>
    <t>No source change; TalkingBaseCreature version 7 writes only current effect and TalkText fields, while older dialog state is consumed for versions before the XmlDialog attachment split.</t>
  </si>
  <si>
    <t>Data/Scripts/Custom/XMLSpawner/XmlMobiles/TalkingBaseCreature.cs:819-864; Data/Scripts/Custom/XMLSpawner/XmlMobiles/TalkingBaseCreature.cs:866-986</t>
  </si>
  <si>
    <t>RB-00349</t>
  </si>
  <si>
    <t>SERIAL-0288</t>
  </si>
  <si>
    <t>Data/Scripts/Custom/XMLSpawner/XmlMobiles/TalkingBaseVendor.cs</t>
  </si>
  <si>
    <t>No source change; TalkingBaseVendor version 7 writes current effect and TalkText fields, while older dialog state is consumed for pre-attachment saves.</t>
  </si>
  <si>
    <t>Data/Scripts/Custom/XMLSpawner/XmlMobiles/TalkingBaseVendor.cs:760-805; Data/Scripts/Custom/XMLSpawner/XmlMobiles/TalkingBaseVendor.cs:807-927</t>
  </si>
  <si>
    <t>RB-00350</t>
  </si>
  <si>
    <t>SERIAL-0289</t>
  </si>
  <si>
    <t>Data/Scripts/Custom/XMLSpawner/XmlPoints PvP/ChallengeGames/CTF.cs</t>
  </si>
  <si>
    <t>No source change; CTFGauntlet version 0 writes and reads home bases, challenge state, match timing, and participant entries in matching order.</t>
  </si>
  <si>
    <t>Data/Scripts/Custom/XMLSpawner/XmlPoints PvP/ChallengeGames/CTF.cs:1046-1161</t>
  </si>
  <si>
    <t>RB-00351</t>
  </si>
  <si>
    <t>SERIAL-0290</t>
  </si>
  <si>
    <t>Data/Scripts/Custom/XMLSpawner/XmlPoints PvP/ChallengeGames/DeathBallGauntlet.cs</t>
  </si>
  <si>
    <t>No source change; DeathBallGauntlet version 0 writes and reads challenge state, winner, target score, deathball item, and participant entries in matching order.</t>
  </si>
  <si>
    <t>Data/Scripts/Custom/XMLSpawner/XmlPoints PvP/ChallengeGames/DeathBallGauntlet.cs:634-707</t>
  </si>
  <si>
    <t>RB-00352</t>
  </si>
  <si>
    <t>SERIAL-0291</t>
  </si>
  <si>
    <t>Data/Scripts/Custom/XMLSpawner/XmlPoints PvP/ChallengeGames/DeathmatchGauntlet.cs</t>
  </si>
  <si>
    <t>No source change; DeathmatchGauntlet version 0 writes and reads challenge state, match length/timer, and participant entries in matching order.</t>
  </si>
  <si>
    <t>Data/Scripts/Custom/XMLSpawner/XmlPoints PvP/ChallengeGames/DeathmatchGauntlet.cs:561-650</t>
  </si>
  <si>
    <t>RB-00353</t>
  </si>
  <si>
    <t>SERIAL-0292</t>
  </si>
  <si>
    <t>Data/Scripts/Custom/XMLSpawner/XmlPoints PvP/ChallengeGames/KingOfTheHillGauntlet.cs</t>
  </si>
  <si>
    <t>No source change; KingOfTheHillGauntlet version 0 writes and reads challenge state, winner, target score, and participant entries in matching order.</t>
  </si>
  <si>
    <t>Data/Scripts/Custom/XMLSpawner/XmlPoints PvP/ChallengeGames/KingOfTheHillGauntlet.cs:522-593</t>
  </si>
  <si>
    <t>RB-00354</t>
  </si>
  <si>
    <t>SERIAL-0293</t>
  </si>
  <si>
    <t>Data/Scripts/Custom/XMLSpawner/XmlPoints PvP/ChallengeGames/LastManStandingGauntlet.cs</t>
  </si>
  <si>
    <t>No source change; LastManStandingGauntlet version 0 writes and reads challenge state, winner, and participant entries in matching order.</t>
  </si>
  <si>
    <t>Data/Scripts/Custom/XMLSpawner/XmlPoints PvP/ChallengeGames/LastManStandingGauntlet.cs:448-515</t>
  </si>
  <si>
    <t>RB-00355</t>
  </si>
  <si>
    <t>SERIAL-0294</t>
  </si>
  <si>
    <t>Data/Scripts/Custom/XMLSpawner/XmlPoints PvP/ChallengeGames/TeamDeathballGauntlet.cs</t>
  </si>
  <si>
    <t>No source change; TeamDeathballGauntlet version 0 writes and reads challenge state, target score, deathball item, and participant/team entries in matching order.</t>
  </si>
  <si>
    <t>Data/Scripts/Custom/XMLSpawner/XmlPoints PvP/ChallengeGames/TeamDeathballGauntlet.cs:623-698</t>
  </si>
  <si>
    <t>RB-00356</t>
  </si>
  <si>
    <t>SERIAL-0295</t>
  </si>
  <si>
    <t>Data/Scripts/Custom/XMLSpawner/XmlPoints PvP/ChallengeGames/TeamDeathmatchGauntlet.cs</t>
  </si>
  <si>
    <t>No source change; TeamDeathmatchGauntlet version 0 writes and reads challenge state, match length/timer, and participant/team entries in matching order.</t>
  </si>
  <si>
    <t>Data/Scripts/Custom/XMLSpawner/XmlPoints PvP/ChallengeGames/TeamDeathmatchGauntlet.cs:627-718</t>
  </si>
  <si>
    <t>RB-00357</t>
  </si>
  <si>
    <t>SERIAL-0296</t>
  </si>
  <si>
    <t>Data/Scripts/Custom/XMLSpawner/XmlPoints PvP/ChallengeGames/TeamKotHGauntlet.cs</t>
  </si>
  <si>
    <t>No source change; TeamKotHGauntlet version 0 writes and reads challenge state, target score, and participant/team entries in matching order.</t>
  </si>
  <si>
    <t>Data/Scripts/Custom/XMLSpawner/XmlPoints PvP/ChallengeGames/TeamKotHGauntlet.cs:607-680</t>
  </si>
  <si>
    <t>RB-00358</t>
  </si>
  <si>
    <t>SERIAL-0297</t>
  </si>
  <si>
    <t>Data/Scripts/Custom/XMLSpawner/XmlPoints PvP/ChallengeGames/TeamLMSGauntlet.cs</t>
  </si>
  <si>
    <t>No source change; TeamLMSGauntlet version 0 writes and reads challenge state, winner team, and participant/team entries in matching order.</t>
  </si>
  <si>
    <t>Data/Scripts/Custom/XMLSpawner/XmlPoints PvP/ChallengeGames/TeamLMSGauntlet.cs:466-535</t>
  </si>
  <si>
    <t>RB-00359</t>
  </si>
  <si>
    <t>SERIAL-0298</t>
  </si>
  <si>
    <t>Data/Scripts/Custom/XMLSpawner/XmlPoints PvP/ChallengeRegionStone.cs</t>
  </si>
  <si>
    <t>No source change; ChallengeRegionStone version 2 writes 3D region coordinates and retains legacy version reads that consume old 2D region data.</t>
  </si>
  <si>
    <t>Data/Scripts/Custom/XMLSpawner/XmlPoints PvP/ChallengeRegionStone.cs:175-220; Data/Scripts/Custom/XMLSpawner/XmlPoints PvP/ChallengeRegionStone.cs:229-294</t>
  </si>
  <si>
    <t>RB-00361</t>
  </si>
  <si>
    <t>SERIAL-0300</t>
  </si>
  <si>
    <t>Data/Scripts/Custom/XMLSpawner/XmlQuest/XmlQuestHolder.cs</t>
  </si>
  <si>
    <t>No source change; XmlQuestHolder version 6 writes journal, repeatability, difficulty, attachment, reward, description, state, objective, and completion fields in the same order consumed by Deserialize.</t>
  </si>
  <si>
    <t>Data/Scripts/Custom/XMLSpawner/XmlQuest/XmlQuestHolder.cs:95-168; Data/Scripts/Custom/XMLSpawner/XmlQuest/XmlQuestHolder.cs:171-258</t>
  </si>
  <si>
    <t>RB-00369</t>
  </si>
  <si>
    <t>SERIAL-0308</t>
  </si>
  <si>
    <t>Data/Scripts/Custom/XMLSpawner/XmlQuest/XmlQuestToken.cs</t>
  </si>
  <si>
    <t>No source change; XmlQuestToken version 14 writes journal, repeatability, difficulty, attachment, reward, description, state, objective, and completion fields in the same order consumed by Deserialize.</t>
  </si>
  <si>
    <t>Data/Scripts/Custom/XMLSpawner/XmlQuest/XmlQuestToken.cs:257-342; Data/Scripts/Custom/XMLSpawner/XmlQuest/XmlQuestToken.cs:345-461</t>
  </si>
  <si>
    <t>RB-01476</t>
  </si>
  <si>
    <t>SERIAL-1415</t>
  </si>
  <si>
    <t>System:Obsolete</t>
  </si>
  <si>
    <t>POST-BATCH-B-02C</t>
  </si>
  <si>
    <t>No source change; BasePigmentsOfIslesDread version 1 writes uses, while version 0 consumes the old Item-derived pigment type and uses shape through InheritsItem compatibility.</t>
  </si>
  <si>
    <t>Data/Scripts/System/Obsolete/Obsolete.cs:3074-3112</t>
  </si>
  <si>
    <t>Recorded by current POST-BATCH-B-02C audit artifact commit</t>
  </si>
  <si>
    <t>2026-06-06T22:07:09.5100825-05:00</t>
  </si>
  <si>
    <t>RB-01480</t>
  </si>
  <si>
    <t>SERIAL-1419</t>
  </si>
  <si>
    <t>No source change; Candidate is a helper serializer with no base serializer requirement, and its GenericReader constructor is paired with Serialize.</t>
  </si>
  <si>
    <t>Data/Scripts/System/Obsolete/Obsolete.cs:8944-8992</t>
  </si>
  <si>
    <t>RB-01482</t>
  </si>
  <si>
    <t>SERIAL-1421</t>
  </si>
  <si>
    <t>No source change; Candidate version 1 writes Voter helper records, while version 0 consumes the old Mobile list shape and converts it to Voter entries.</t>
  </si>
  <si>
    <t>RB-01489</t>
  </si>
  <si>
    <t>SERIAL-1428</t>
  </si>
  <si>
    <t>No source change; Election is a helper serializer with no base serializer requirement, and its GenericReader constructor is paired with Serialize.</t>
  </si>
  <si>
    <t>Data/Scripts/System/Obsolete/Obsolete.cs:8515-8560</t>
  </si>
  <si>
    <t>RB-01491</t>
  </si>
  <si>
    <t>SERIAL-1430</t>
  </si>
  <si>
    <t>No source change; Election writes faction, last state time, state, and candidates in the same order its GenericReader constructor consumes them.</t>
  </si>
  <si>
    <t>RB-01493</t>
  </si>
  <si>
    <t>SERIAL-1432</t>
  </si>
  <si>
    <t>No source change; Ethic is a helper serializer with no base serializer requirement, and Deserialize/Serialize use the same encoded version and player list layout.</t>
  </si>
  <si>
    <t>Data/Scripts/System/Obsolete/Obsolete.cs:10024-10055</t>
  </si>
  <si>
    <t>RB-01497</t>
  </si>
  <si>
    <t>SERIAL-1436</t>
  </si>
  <si>
    <t>No source change; FactionItem is a helper serializer with no base serializer requirement, and its GenericReader constructor is paired with Serialize.</t>
  </si>
  <si>
    <t>Data/Scripts/System/Obsolete/Obsolete.cs:12919-12942</t>
  </si>
  <si>
    <t>RB-01499</t>
  </si>
  <si>
    <t>SERIAL-1438</t>
  </si>
  <si>
    <t>No source change; FactionItem writes item and expiration in the same order its GenericReader constructor consumes them.</t>
  </si>
  <si>
    <t>RB-01500</t>
  </si>
  <si>
    <t>SERIAL-1439</t>
  </si>
  <si>
    <t>No source change; FactionPersistance calls base first, writes version 0 and tagged faction/town persistence records, and Deserialize consumes the same tagged sequence until Terminator.</t>
  </si>
  <si>
    <t>Data/Scripts/System/Obsolete/Obsolete.cs:24209-24264</t>
  </si>
  <si>
    <t>RB-01503</t>
  </si>
  <si>
    <t>SERIAL-1442</t>
  </si>
  <si>
    <t>No source change; FactionState is a helper serializer with no base serializer requirement, and its GenericReader constructor is paired with Serialize.</t>
  </si>
  <si>
    <t>Data/Scripts/System/Obsolete/Obsolete.cs:13986-14144</t>
  </si>
  <si>
    <t>RB-01505</t>
  </si>
  <si>
    <t>SERIAL-1444</t>
  </si>
  <si>
    <t>No source change; FactionState version 5 writes atrophy, broadcasts, election, faction, commander, treasury, members, items, and traps in the same version-gated order consumed by its reader.</t>
  </si>
  <si>
    <t>RB-01508</t>
  </si>
  <si>
    <t>SERIAL-1447</t>
  </si>
  <si>
    <t>No source change; LesserPigmentsOfIslesDread writes the current subclass version/type while intentionally bypassing the subclass version read for old Item-derived saves already consumed by the base InheritsItem path.</t>
  </si>
  <si>
    <t>Data/Scripts/System/Obsolete/Obsolete.cs:21672-21695; Data/Scripts/System/Obsolete/Obsolete.cs:3074-3112</t>
  </si>
  <si>
    <t>RB-01511</t>
  </si>
  <si>
    <t>SERIAL-1450</t>
  </si>
  <si>
    <t>No source change; MetalPigmentsOfIslesDread writes current version 0 and intentionally skips the subclass version read for old Item-derived saves already consumed by the base InheritsItem path.</t>
  </si>
  <si>
    <t>Data/Scripts/System/Obsolete/Obsolete.cs:21720-21732; Data/Scripts/System/Obsolete/Obsolete.cs:3074-3112</t>
  </si>
  <si>
    <t>RB-01514</t>
  </si>
  <si>
    <t>SERIAL-1453</t>
  </si>
  <si>
    <t>No source change; Orders is a helper serializer with no base serializer requirement, and its GenericReader constructor is paired with Serialize.</t>
  </si>
  <si>
    <t>Data/Scripts/System/Obsolete/Obsolete.cs:24071-24111</t>
  </si>
  <si>
    <t>RB-01516</t>
  </si>
  <si>
    <t>SERIAL-1455</t>
  </si>
  <si>
    <t>No source change; Orders version 1 writes follow target, reactions, and movement in the same version-gated order consumed by its reader.</t>
  </si>
  <si>
    <t>RB-01518</t>
  </si>
  <si>
    <t>SERIAL-1457</t>
  </si>
  <si>
    <t>No source change; PigmentsOfIslesDread writes the current subclass version/type while intentionally bypassing the subclass version read for old Item-derived saves already consumed by the base InheritsItem path.</t>
  </si>
  <si>
    <t>Data/Scripts/System/Obsolete/Obsolete.cs:16523-16545; Data/Scripts/System/Obsolete/Obsolete.cs:3074-3112</t>
  </si>
  <si>
    <t>RB-01521</t>
  </si>
  <si>
    <t>SERIAL-1460</t>
  </si>
  <si>
    <t>No source change; Player is a helper serializer with no base serializer requirement, and its GenericReader constructor is paired with Serialize.</t>
  </si>
  <si>
    <t>Data/Scripts/System/Obsolete/Obsolete.cs:24485-24523</t>
  </si>
  <si>
    <t>RB-01523</t>
  </si>
  <si>
    <t>SERIAL-1462</t>
  </si>
  <si>
    <t>No source change; Ethics Player writes mobile, power, history, steed, familiar, and shield delta in the same order its reader consumes them.</t>
  </si>
  <si>
    <t>RB-01526</t>
  </si>
  <si>
    <t>SERIAL-1465</t>
  </si>
  <si>
    <t>No source change; PlayerState is a helper serializer with no base serializer requirement, and its GenericReader constructor is paired with Serialize.</t>
  </si>
  <si>
    <t>Data/Scripts/System/Obsolete/Obsolete.cs:24801-24845</t>
  </si>
  <si>
    <t>RB-01528</t>
  </si>
  <si>
    <t>SERIAL-1467</t>
  </si>
  <si>
    <t>No source change; PlayerState version 1 writes active state, honor time, mobile, kill points, title, and leaving state in the same version-gated order consumed by its reader.</t>
  </si>
  <si>
    <t>RB-01531</t>
  </si>
  <si>
    <t>SERIAL-1470</t>
  </si>
  <si>
    <t>No source change; Reaction is a helper serializer with no base serializer requirement, and its GenericReader constructor is paired with Serialize.</t>
  </si>
  <si>
    <t>Data/Scripts/System/Obsolete/Obsolete.cs:23985-24007</t>
  </si>
  <si>
    <t>RB-01533</t>
  </si>
  <si>
    <t>SERIAL-1472</t>
  </si>
  <si>
    <t>No source change; Reaction writes faction and reaction type in the same order its GenericReader constructor consumes them.</t>
  </si>
  <si>
    <t>RB-01536</t>
  </si>
  <si>
    <t>SERIAL-1475</t>
  </si>
  <si>
    <t>No source change; Reflector is a static type serializer helper with no base serializer requirement.</t>
  </si>
  <si>
    <t>Data/Scripts/System/Obsolete/Obsolete.cs:27270-27301</t>
  </si>
  <si>
    <t>RB-01538</t>
  </si>
  <si>
    <t>SERIAL-1477</t>
  </si>
  <si>
    <t>No source change; Reflector writes either a known type index or full type name and Deserialize consumes the same index/name cache format.</t>
  </si>
  <si>
    <t>RB-01543</t>
  </si>
  <si>
    <t>SERIAL-1482</t>
  </si>
  <si>
    <t>No source change; TownState is a helper serializer with no base serializer requirement, and its GenericReader constructor is paired with Serialize.</t>
  </si>
  <si>
    <t>Data/Scripts/System/Obsolete/Obsolete.cs:32591-32647</t>
  </si>
  <si>
    <t>RB-01545</t>
  </si>
  <si>
    <t>SERIAL-1484</t>
  </si>
  <si>
    <t>No source change; TownState version 3 writes income, tax, silver, town, faction, sheriff, and finance minister in the same version-gated order consumed by its reader.</t>
  </si>
  <si>
    <t>RB-01548</t>
  </si>
  <si>
    <t>SERIAL-1487</t>
  </si>
  <si>
    <t>No source change; Voter is a helper serializer with no base serializer requirement, and its GenericReader constructor is paired with Serialize.</t>
  </si>
  <si>
    <t>Data/Scripts/System/Obsolete/Obsolete.cs:8879-8905</t>
  </si>
  <si>
    <t>RB-01550</t>
  </si>
  <si>
    <t>SERIAL-1489</t>
  </si>
  <si>
    <t>No source change; Voter writes mobile, IP address, and timestamp in the same order its GenericReader constructor consumes them.</t>
  </si>
  <si>
    <t>RB-00101</t>
  </si>
  <si>
    <t>SERIAL-0040</t>
  </si>
  <si>
    <t>Custom:Mobiles</t>
  </si>
  <si>
    <t>Data/Scripts/Custom/Mobiles/Civilized/GraveRobber.cs</t>
  </si>
  <si>
    <t>POST-BATCH-B-03A</t>
  </si>
  <si>
    <t>No source change; GraveRobber calls base Serialize/Deserialize, writes version 0, reads the same version integer, and has no custom serialized fields.</t>
  </si>
  <si>
    <t>Data/Scripts/Custom/Mobiles/Civilized/GraveRobber.cs:47-57</t>
  </si>
  <si>
    <t>Recorded by current POST-BATCH-B-03A audit artifact commit</t>
  </si>
  <si>
    <t>2026-06-06T22:11:27.3221361-05:00</t>
  </si>
  <si>
    <t>RB-00103</t>
  </si>
  <si>
    <t>SERIAL-0042</t>
  </si>
  <si>
    <t>Data/Scripts/Custom/Mobiles/Civilized/Malachi.cs</t>
  </si>
  <si>
    <t>No source change; Malachi calls base Serialize/Deserialize, writes version 0, reads the same version integer, and has no custom serialized fields.</t>
  </si>
  <si>
    <t>Data/Scripts/Custom/Mobiles/Civilized/Malachi.cs:38-47</t>
  </si>
  <si>
    <t>RB-00105</t>
  </si>
  <si>
    <t>SERIAL-0044</t>
  </si>
  <si>
    <t>Data/Scripts/Custom/Mobiles/Civilized/RangerOfTheBritainMilitia.cs</t>
  </si>
  <si>
    <t>No source change; RangerOfTheBritainMilitia calls base Serialize/Deserialize, writes version 0, reads the same version integer, and has no custom serialized fields.</t>
  </si>
  <si>
    <t>Data/Scripts/Custom/Mobiles/Civilized/RangerOfTheBritainMilitia.cs:33-42</t>
  </si>
  <si>
    <t>RB-00107</t>
  </si>
  <si>
    <t>SERIAL-0046</t>
  </si>
  <si>
    <t>Data/Scripts/Custom/Mobiles/Constructs/CursedAdventurer.cs</t>
  </si>
  <si>
    <t>POST-BATCH-B-03B</t>
  </si>
  <si>
    <t>No source change; CursedAdventurer calls base Serialize/Deserialize, writes version 0, reads the same version integer, and has no custom serialized fields.</t>
  </si>
  <si>
    <t>Data/Scripts/Custom/Mobiles/Constructs/CursedAdventurer.cs:40-49</t>
  </si>
  <si>
    <t>Recorded by current POST-BATCH-B-03B audit artifact commit</t>
  </si>
  <si>
    <t>2026-06-06T22:14:54.4566522-05:00</t>
  </si>
  <si>
    <t>RB-00109</t>
  </si>
  <si>
    <t>SERIAL-0048</t>
  </si>
  <si>
    <t>Data/Scripts/Custom/Mobiles/Constructs/DiosMonster.cs</t>
  </si>
  <si>
    <t>No source change; DiosMonster calls base Serialize/Deserialize, writes version 0, reads the same version integer, and has no custom serialized fields.</t>
  </si>
  <si>
    <t>Data/Scripts/Custom/Mobiles/Constructs/DiosMonster.cs:41-50</t>
  </si>
  <si>
    <t>RB-00111</t>
  </si>
  <si>
    <t>SERIAL-0050</t>
  </si>
  <si>
    <t>Data/Scripts/Custom/Mobiles/Constructs/FinalExodus.cs</t>
  </si>
  <si>
    <t>No source change; FinalExodus calls base Serialize/Deserialize, writes version 0, reads the same version integer, and has no custom serialized fields.</t>
  </si>
  <si>
    <t>Data/Scripts/Custom/Mobiles/Constructs/FinalExodus.cs:61-70</t>
  </si>
  <si>
    <t>RB-00113</t>
  </si>
  <si>
    <t>SERIAL-0052</t>
  </si>
  <si>
    <t>Data/Scripts/Custom/Mobiles/Constructs/ManaGolem.cs</t>
  </si>
  <si>
    <t>No source change; ManaGolem calls base Serialize/Deserialize, writes version 0, reads the same version integer, and has no custom serialized fields.</t>
  </si>
  <si>
    <t>Data/Scripts/Custom/Mobiles/Constructs/ManaGolem.cs:38-47</t>
  </si>
  <si>
    <t>RB-00115</t>
  </si>
  <si>
    <t>SERIAL-0054</t>
  </si>
  <si>
    <t>Data/Scripts/Custom/Mobiles/Constructs/TombWarden.cs</t>
  </si>
  <si>
    <t>No source change; TombWarden calls base Serialize/Deserialize, writes version 0, reads the same version integer, and has no custom serialized fields.</t>
  </si>
  <si>
    <t>Data/Scripts/Custom/Mobiles/Constructs/TombWarden.cs:39-48</t>
  </si>
  <si>
    <t>RB-00117</t>
  </si>
  <si>
    <t>SERIAL-0056</t>
  </si>
  <si>
    <t>Data/Scripts/Custom/Mobiles/Cultists/DarkCultist.cs</t>
  </si>
  <si>
    <t>POST-BATCH-B-03C</t>
  </si>
  <si>
    <t>No source change; DarkCultist calls base Serialize/Deserialize, writes version 0, reads the same version integer, and has no custom serialized fields.</t>
  </si>
  <si>
    <t>Data/Scripts/Custom/Mobiles/Cultists/DarkCultist.cs:37-46</t>
  </si>
  <si>
    <t>Recorded by current POST-BATCH-B-03C audit artifact commit</t>
  </si>
  <si>
    <t>2026-06-06T22:17:42.8375164-05:00</t>
  </si>
  <si>
    <t>RB-00119</t>
  </si>
  <si>
    <t>SERIAL-0058</t>
  </si>
  <si>
    <t>Data/Scripts/Custom/Mobiles/Cultists/DarkCultistApprentice.cs</t>
  </si>
  <si>
    <t>No source change; DarkCultistApprentice calls base Serialize/Deserialize, writes version 0, reads the same version integer, and has no custom serialized fields.</t>
  </si>
  <si>
    <t>Data/Scripts/Custom/Mobiles/Cultists/DarkCultistApprentice.cs:37-46</t>
  </si>
  <si>
    <t>RB-00121</t>
  </si>
  <si>
    <t>SERIAL-0060</t>
  </si>
  <si>
    <t>Data/Scripts/Custom/Mobiles/Cultists/DarkDragonCultist.cs</t>
  </si>
  <si>
    <t>No source change; DarkDragonCultist calls base Serialize/Deserialize, writes version 0, reads the same version integer, and has no custom serialized fields.</t>
  </si>
  <si>
    <t>Data/Scripts/Custom/Mobiles/Cultists/DarkDragonCultist.cs:38-47</t>
  </si>
  <si>
    <t>RB-00123</t>
  </si>
  <si>
    <t>SERIAL-0062</t>
  </si>
  <si>
    <t>Data/Scripts/Custom/Mobiles/Daemons/FallenAngel.cs</t>
  </si>
  <si>
    <t>POST-BATCH-B-03D</t>
  </si>
  <si>
    <t>No source change; FallenAngel calls base Serialize/Deserialize, writes version 0, reads the same version integer, and has no custom serialized fields.</t>
  </si>
  <si>
    <t>Data/Scripts/Custom/Mobiles/Daemons/FallenAngel.cs:47-56</t>
  </si>
  <si>
    <t>Recorded by current POST-BATCH-B-03D audit artifact commit</t>
  </si>
  <si>
    <t>2026-06-06T22:20:46.5157459-05:00</t>
  </si>
  <si>
    <t>RB-00125</t>
  </si>
  <si>
    <t>SERIAL-0064</t>
  </si>
  <si>
    <t>Data/Scripts/Custom/Mobiles/Daemons/GuardianOfTheUnderworld.cs</t>
  </si>
  <si>
    <t>No source change; GuardianOfTheUnderworld calls base Serialize/Deserialize, writes version 0, reads the same version integer, and has no custom serialized fields.</t>
  </si>
  <si>
    <t>Data/Scripts/Custom/Mobiles/Daemons/GuardianOfTheUnderworld.cs:38-47</t>
  </si>
  <si>
    <t>RB-00127</t>
  </si>
  <si>
    <t>SERIAL-0066</t>
  </si>
  <si>
    <t>Data/Scripts/Custom/Mobiles/Daemons/PlagueGod.cs</t>
  </si>
  <si>
    <t>No source change; PlagueGod calls base Serialize/Deserialize, writes version 0, reads the same version integer, and has no custom serialized fields.</t>
  </si>
  <si>
    <t>Data/Scripts/Custom/Mobiles/Daemons/PlagueGod.cs:46-55</t>
  </si>
  <si>
    <t>RB-00129</t>
  </si>
  <si>
    <t>SERIAL-0068</t>
  </si>
  <si>
    <t>Data/Scripts/Custom/Mobiles/Daemons/TombPest.cs</t>
  </si>
  <si>
    <t>No source change; TombPest calls base Serialize/Deserialize, writes version 0, reads the same version integer, and has no custom serialized fields.</t>
  </si>
  <si>
    <t>Data/Scripts/Custom/Mobiles/Daemons/TombPest.cs:47-56</t>
  </si>
  <si>
    <t>RB-00131</t>
  </si>
  <si>
    <t>SERIAL-0070</t>
  </si>
  <si>
    <t>Data/Scripts/Custom/Mobiles/Dragons/DarkDragonAvatar.cs</t>
  </si>
  <si>
    <t>POST-BATCH-B-03E</t>
  </si>
  <si>
    <t>No source change; DarkDragonAvatar calls base Serialize/Deserialize, writes version 0, reads the same version integer, and has no custom serialized fields.</t>
  </si>
  <si>
    <t>Data/Scripts/Custom/Mobiles/Dragons/DarkDragonAvatar.cs:66-75</t>
  </si>
  <si>
    <t>Recorded by current POST-BATCH-B-03E audit artifact commit</t>
  </si>
  <si>
    <t>2026-06-06T22:24:25.5078831-05:00</t>
  </si>
  <si>
    <t>RB-00133</t>
  </si>
  <si>
    <t>SERIAL-0072</t>
  </si>
  <si>
    <t>Data/Scripts/Custom/Mobiles/Dragons/DragonHydra.cs</t>
  </si>
  <si>
    <t>No source change; DragonHydra calls base Serialize/Deserialize, writes version 0, reads the same version integer, and has no custom serialized fields.</t>
  </si>
  <si>
    <t>Data/Scripts/Custom/Mobiles/Dragons/DragonHydra.cs:44-53</t>
  </si>
  <si>
    <t>RB-00135</t>
  </si>
  <si>
    <t>SERIAL-0074</t>
  </si>
  <si>
    <t>Data/Scripts/Custom/Mobiles/Dragons/DragonIllusion.cs</t>
  </si>
  <si>
    <t>No source change; DragonIllusion calls base Serialize/Deserialize, writes version 0, reads the same version integer, and has no custom serialized fields.</t>
  </si>
  <si>
    <t>Data/Scripts/Custom/Mobiles/Dragons/DragonIllusion.cs:38-47</t>
  </si>
  <si>
    <t>RB-00137</t>
  </si>
  <si>
    <t>SERIAL-0076</t>
  </si>
  <si>
    <t>Data/Scripts/Custom/Mobiles/Dragons/Wyrmling.cs</t>
  </si>
  <si>
    <t>No source change; Wyrmling calls base Serialize/Deserialize, writes version 0, reads the same version integer, and has no custom serialized fields.</t>
  </si>
  <si>
    <t>Data/Scripts/Custom/Mobiles/Dragons/Wyrmling.cs:36-45</t>
  </si>
  <si>
    <t>RB-00139</t>
  </si>
  <si>
    <t>SERIAL-0078</t>
  </si>
  <si>
    <t>Data/Scripts/Custom/Mobiles/Elementals/FireIllusion.cs</t>
  </si>
  <si>
    <t>POST-BATCH-B-03F</t>
  </si>
  <si>
    <t>No source change; FireIllusion calls base Serialize/Deserialize, writes version 0, reads the same version integer, and has no custom serialized fields.</t>
  </si>
  <si>
    <t>Data/Scripts/Custom/Mobiles/Elementals/FireIllusion.cs:38-47</t>
  </si>
  <si>
    <t>Recorded by current POST-BATCH-B-03F audit artifact commit</t>
  </si>
  <si>
    <t>2026-06-06T22:28:51.5387682-05:00</t>
  </si>
  <si>
    <t>RB-00141</t>
  </si>
  <si>
    <t>SERIAL-0080</t>
  </si>
  <si>
    <t>Data/Scripts/Custom/Mobiles/Elementals/FireKing.cs</t>
  </si>
  <si>
    <t>No source change; FireKing calls base Serialize/Deserialize, writes version 0, reads the same version integer, and has no custom serialized fields.</t>
  </si>
  <si>
    <t>Data/Scripts/Custom/Mobiles/Elementals/FireKing.cs:41-50</t>
  </si>
  <si>
    <t>RB-00143</t>
  </si>
  <si>
    <t>SERIAL-0082</t>
  </si>
  <si>
    <t>Data/Scripts/Custom/Mobiles/Elementals/FireServant.cs</t>
  </si>
  <si>
    <t>No source change; FireServant calls base Serialize/Deserialize, writes version 0, reads the same version integer, and has no custom serialized fields.</t>
  </si>
  <si>
    <t>Data/Scripts/Custom/Mobiles/Elementals/FireServant.cs:36-45</t>
  </si>
  <si>
    <t>RB-00145</t>
  </si>
  <si>
    <t>SERIAL-0084</t>
  </si>
  <si>
    <t>Data/Scripts/Custom/Mobiles/Elementals/FireSpirit.cs</t>
  </si>
  <si>
    <t>No source change; FireSpirit calls base Serialize/Deserialize, writes version 0, reads the same version integer, and has no custom serialized fields.</t>
  </si>
  <si>
    <t>Data/Scripts/Custom/Mobiles/Elementals/FireSpirit.cs:37-46</t>
  </si>
  <si>
    <t>RB-00147</t>
  </si>
  <si>
    <t>SERIAL-0086</t>
  </si>
  <si>
    <t>Data/Scripts/Custom/Mobiles/Elementals/Geode.cs</t>
  </si>
  <si>
    <t>No source change; Geode calls base Serialize/Deserialize, writes version 0, reads the same version integer, and has no custom serialized fields.</t>
  </si>
  <si>
    <t>Data/Scripts/Custom/Mobiles/Elementals/Geode.cs:39-48</t>
  </si>
  <si>
    <t>RB-00149</t>
  </si>
  <si>
    <t>SERIAL-0088</t>
  </si>
  <si>
    <t>Data/Scripts/Custom/Mobiles/Elementals/GrumpyEarthSpirit.cs</t>
  </si>
  <si>
    <t>No source change; GrumpyEarthSpirit calls base Serialize/Deserialize, writes version 0, reads the same version integer, and has no custom serialized fields.</t>
  </si>
  <si>
    <t>Data/Scripts/Custom/Mobiles/Elementals/GrumpyEarthSpirit.cs:36-45</t>
  </si>
  <si>
    <t>RB-00151</t>
  </si>
  <si>
    <t>SERIAL-0090</t>
  </si>
  <si>
    <t>Data/Scripts/Custom/Mobiles/Elementals/SkySpirit.cs</t>
  </si>
  <si>
    <t>No source change; SkySpirit calls base Serialize/Deserialize, writes version 0, reads the same version integer, and has no custom serialized fields.</t>
  </si>
  <si>
    <t>Data/Scripts/Custom/Mobiles/Elementals/SkySpirit.cs:42-51</t>
  </si>
  <si>
    <t>RB-00153</t>
  </si>
  <si>
    <t>SERIAL-0092</t>
  </si>
  <si>
    <t>Data/Scripts/Custom/Mobiles/Goliaths/Atlas.cs</t>
  </si>
  <si>
    <t>POST-BATCH-B-03G</t>
  </si>
  <si>
    <t>No source change; Atlas calls base Serialize/Deserialize, writes version 0, reads the same version integer, and has no custom serialized fields.</t>
  </si>
  <si>
    <t>Data/Scripts/Custom/Mobiles/Goliaths/Atlas.cs:38-47</t>
  </si>
  <si>
    <t>Recorded by current POST-BATCH-B-03G audit artifact commit</t>
  </si>
  <si>
    <t>2026-06-06T22:32:41.2393702-05:00</t>
  </si>
  <si>
    <t>RB-00155</t>
  </si>
  <si>
    <t>SERIAL-0094</t>
  </si>
  <si>
    <t>Data/Scripts/Custom/Mobiles/Goliaths/CyclopsIntruder.cs</t>
  </si>
  <si>
    <t>No source change; CyclopsIntruder calls base Serialize/Deserialize, writes version 0, reads the same version integer, and has no custom serialized fields.</t>
  </si>
  <si>
    <t>Data/Scripts/Custom/Mobiles/Goliaths/CyclopsIntruder.cs:34-43</t>
  </si>
  <si>
    <t>RB-00157</t>
  </si>
  <si>
    <t>SERIAL-0096</t>
  </si>
  <si>
    <t>Data/Scripts/Custom/Mobiles/Goliaths/TwoFace.cs</t>
  </si>
  <si>
    <t>No source change; TwoFace calls base Serialize/Deserialize, writes version 0, reads the same version integer, and has no custom serialized fields.</t>
  </si>
  <si>
    <t>Data/Scripts/Custom/Mobiles/Goliaths/TwoFace.cs:44-53</t>
  </si>
  <si>
    <t>RB-00159</t>
  </si>
  <si>
    <t>SERIAL-0098</t>
  </si>
  <si>
    <t>Data/Scripts/Custom/Mobiles/Kobolds/KoboldChief.cs</t>
  </si>
  <si>
    <t>POST-BATCH-B-03H</t>
  </si>
  <si>
    <t>No source change; KoboldChief calls base Serialize/Deserialize, writes version 0, reads the same version integer, and has no custom serialized fields.</t>
  </si>
  <si>
    <t>Data/Scripts/Custom/Mobiles/Kobolds/KoboldChief.cs:33-42</t>
  </si>
  <si>
    <t>Recorded by current POST-BATCH-B-03H audit artifact commit</t>
  </si>
  <si>
    <t>2026-06-06T22:36:58.6200354-05:00</t>
  </si>
  <si>
    <t>RB-00161</t>
  </si>
  <si>
    <t>SERIAL-0100</t>
  </si>
  <si>
    <t>Data/Scripts/Custom/Mobiles/Kobolds/KoboldFootSoldier.cs</t>
  </si>
  <si>
    <t>No source change; KoboldFootSoldier calls base Serialize/Deserialize, writes version 0, reads the same version integer, and has no custom serialized fields.</t>
  </si>
  <si>
    <t>Data/Scripts/Custom/Mobiles/Kobolds/KoboldFootSoldier.cs:35-44</t>
  </si>
  <si>
    <t>RB-00163</t>
  </si>
  <si>
    <t>SERIAL-0102</t>
  </si>
  <si>
    <t>Data/Scripts/Custom/Mobiles/Kobolds/KoboldRingleader.cs</t>
  </si>
  <si>
    <t>No source change; KoboldRingleader calls base Serialize/Deserialize, writes version 0, reads the same version integer, and has no custom serialized fields.</t>
  </si>
  <si>
    <t>Data/Scripts/Custom/Mobiles/Kobolds/KoboldRingleader.cs:45-54</t>
  </si>
  <si>
    <t>RB-00165</t>
  </si>
  <si>
    <t>SERIAL-0104</t>
  </si>
  <si>
    <t>Data/Scripts/Custom/Mobiles/Minotaurs/MazeMinotaur.cs</t>
  </si>
  <si>
    <t>POST-BATCH-B-03I</t>
  </si>
  <si>
    <t>No source change; MazeMinotaur calls base Serialize/Deserialize, writes version 0, reads the same version integer, and has no custom serialized fields.</t>
  </si>
  <si>
    <t>Data/Scripts/Custom/Mobiles/Minotaurs/MazeMinotaur.cs:33-42</t>
  </si>
  <si>
    <t>Recorded by current POST-BATCH-B-03I audit artifact commit</t>
  </si>
  <si>
    <t>2026-06-06T22:40:45.4901685-05:00</t>
  </si>
  <si>
    <t>RB-00167</t>
  </si>
  <si>
    <t>SERIAL-0106</t>
  </si>
  <si>
    <t>Data/Scripts/Custom/Mobiles/Minotaurs/MazeMinotaurEast.cs</t>
  </si>
  <si>
    <t>No source change; MazeMinotaurEast calls base Serialize/Deserialize, writes version 0, reads the same version integer, and has no custom serialized fields.</t>
  </si>
  <si>
    <t>Data/Scripts/Custom/Mobiles/Minotaurs/MazeMinotaurEast.cs:34-43</t>
  </si>
  <si>
    <t>RB-00169</t>
  </si>
  <si>
    <t>SERIAL-0108</t>
  </si>
  <si>
    <t>Data/Scripts/Custom/Mobiles/Minotaurs/MazeMinotaurSouth.cs</t>
  </si>
  <si>
    <t>No source change; MazeMinotaurSouth calls base Serialize/Deserialize, writes version 0, reads the same version integer, and has no custom serialized fields.</t>
  </si>
  <si>
    <t>Data/Scripts/Custom/Mobiles/Minotaurs/MazeMinotaurSouth.cs:37-46</t>
  </si>
  <si>
    <t>RB-00171</t>
  </si>
  <si>
    <t>SERIAL-0110</t>
  </si>
  <si>
    <t>Data/Scripts/Custom/Mobiles/Mystical/Archon.cs</t>
  </si>
  <si>
    <t>POST-BATCH-B-03J</t>
  </si>
  <si>
    <t>No source change; Archon calls base Serialize/Deserialize, writes version 0, reads the same version integer, and has no custom serialized fields.</t>
  </si>
  <si>
    <t>Data/Scripts/Custom/Mobiles/Mystical/Archon.cs:37-46</t>
  </si>
  <si>
    <t>Recorded by current POST-BATCH-B-03J audit artifact commit</t>
  </si>
  <si>
    <t>2026-06-06T22:44:00.7275262-05:00</t>
  </si>
  <si>
    <t>RB-00173</t>
  </si>
  <si>
    <t>SERIAL-0112</t>
  </si>
  <si>
    <t>Data/Scripts/Custom/Mobiles/Mystical/EternalGuardian.cs</t>
  </si>
  <si>
    <t>No source change; EternalGuardian calls base Serialize/Deserialize, writes version 0, reads the same version integer, and has no custom serialized fields.</t>
  </si>
  <si>
    <t>Data/Scripts/Custom/Mobiles/Mystical/EternalGuardian.cs:67-76</t>
  </si>
  <si>
    <t>RB-00175</t>
  </si>
  <si>
    <t>SERIAL-0114</t>
  </si>
  <si>
    <t>Data/Scripts/Custom/Mobiles/Mystical/Lovecraftian.cs</t>
  </si>
  <si>
    <t>No source change; Lovecraftian calls base Serialize/Deserialize, writes version 0, reads the same version integer, and has no custom serialized fields.</t>
  </si>
  <si>
    <t>Data/Scripts/Custom/Mobiles/Mystical/Lovecraftian.cs:44-53</t>
  </si>
  <si>
    <t>RB-00177</t>
  </si>
  <si>
    <t>SERIAL-0116</t>
  </si>
  <si>
    <t>Data/Scripts/Custom/Mobiles/Mystical/TrueVirtue.cs</t>
  </si>
  <si>
    <t>No source change; TrueVirtue calls base Serialize/Deserialize, writes version 0, reads the same version integer, and has no custom serialized fields.</t>
  </si>
  <si>
    <t>Data/Scripts/Custom/Mobiles/Mystical/TrueVirtue.cs:38-47</t>
  </si>
  <si>
    <t>RB-00179</t>
  </si>
  <si>
    <t>SERIAL-0118</t>
  </si>
  <si>
    <t>Data/Scripts/Custom/Mobiles/Pirates/CaptainSwag.cs</t>
  </si>
  <si>
    <t>POST-BATCH-B-03K</t>
  </si>
  <si>
    <t>No source change; CaptainSwag calls base Serialize/Deserialize, writes version 0, reads the same version integer, and has no custom serialized fields.</t>
  </si>
  <si>
    <t>Data/Scripts/Custom/Mobiles/Pirates/CaptainSwag.cs:42-51</t>
  </si>
  <si>
    <t>Recorded by current POST-BATCH-B-03K audit artifact commit</t>
  </si>
  <si>
    <t>2026-06-06T22:47:13.9837366-05:00</t>
  </si>
  <si>
    <t>RB-00181</t>
  </si>
  <si>
    <t>SERIAL-0120</t>
  </si>
  <si>
    <t>Data/Scripts/Custom/Mobiles/Pirates/Pirate.cs</t>
  </si>
  <si>
    <t>No source change; Pirate calls base Serialize/Deserialize, writes version 0, reads the same version integer, and has no custom serialized fields.</t>
  </si>
  <si>
    <t>Data/Scripts/Custom/Mobiles/Pirates/Pirate.cs:34-43</t>
  </si>
  <si>
    <t>RB-00183</t>
  </si>
  <si>
    <t>SERIAL-0122</t>
  </si>
  <si>
    <t>Data/Scripts/Custom/Mobiles/Pirates/Scallywag.cs</t>
  </si>
  <si>
    <t>No source change; Scallywag calls base Serialize/Deserialize, writes version 0, reads the same version integer, and has no custom serialized fields.</t>
  </si>
  <si>
    <t>Data/Scripts/Custom/Mobiles/Pirates/Scallywag.cs:32-41</t>
  </si>
  <si>
    <t>RB-00185</t>
  </si>
  <si>
    <t>SERIAL-0124</t>
  </si>
  <si>
    <t>Data/Scripts/Custom/Mobiles/Serpents/FireAngel.cs</t>
  </si>
  <si>
    <t>POST-BATCH-B-03L</t>
  </si>
  <si>
    <t>No source change; FireAngel calls base Serialize/Deserialize, writes version 0, reads the same version integer, and has no custom serialized fields.</t>
  </si>
  <si>
    <t>Data/Scripts/Custom/Mobiles/Serpents/FireAngel.cs:37-46</t>
  </si>
  <si>
    <t>Recorded by current POST-BATCH-B-03L audit artifact commit</t>
  </si>
  <si>
    <t>2026-06-06T22:50:21.3318360-05:00</t>
  </si>
  <si>
    <t>RB-00187</t>
  </si>
  <si>
    <t>SERIAL-0126</t>
  </si>
  <si>
    <t>Data/Scripts/Custom/Mobiles/Serpents/ImmortalGenie.cs</t>
  </si>
  <si>
    <t>No source change; ImmortalGenie calls base Serialize/Deserialize, writes version 0, reads the same version integer, and has no custom serialized fields.</t>
  </si>
  <si>
    <t>Data/Scripts/Custom/Mobiles/Serpents/ImmortalGenie.cs:63-72</t>
  </si>
  <si>
    <t>RB-00189</t>
  </si>
  <si>
    <t>SERIAL-0128</t>
  </si>
  <si>
    <t>Data/Scripts/Custom/Mobiles/Spiders/SpiderIllusion.cs</t>
  </si>
  <si>
    <t>POST-BATCH-B-03M</t>
  </si>
  <si>
    <t>No source change; SpiderIllusion calls base Serialize/Deserialize, writes version 0, reads the same version integer, and has no custom serialized fields.</t>
  </si>
  <si>
    <t>Data/Scripts/Custom/Mobiles/Spiders/SpiderIllusion.cs:38-47</t>
  </si>
  <si>
    <t>Recorded by current POST-BATCH-B-03M audit artifact commit</t>
  </si>
  <si>
    <t>2026-06-06T22:53:28.9794767-05:00</t>
  </si>
  <si>
    <t>RB-00191</t>
  </si>
  <si>
    <t>SERIAL-0130</t>
  </si>
  <si>
    <t>Data/Scripts/Custom/Mobiles/Spiders/Spiderling.cs</t>
  </si>
  <si>
    <t>No source change; Spiderling calls base Serialize/Deserialize, writes version 0, reads the same version integer, and has no custom serialized fields.</t>
  </si>
  <si>
    <t>Data/Scripts/Custom/Mobiles/Spiders/Spiderling.cs:35-44</t>
  </si>
  <si>
    <t>RB-00193</t>
  </si>
  <si>
    <t>SERIAL-0132</t>
  </si>
  <si>
    <t>Data/Scripts/Custom/Mobiles/Spiders/SpiderQueen.cs</t>
  </si>
  <si>
    <t>No source change; SpiderQueen calls base Serialize/Deserialize, writes version 0, reads the same version integer, and has no custom serialized fields.</t>
  </si>
  <si>
    <t>Data/Scripts/Custom/Mobiles/Spiders/SpiderQueen.cs:34-43</t>
  </si>
  <si>
    <t>RB-00195</t>
  </si>
  <si>
    <t>SERIAL-0134</t>
  </si>
  <si>
    <t>WriteReadAlignment</t>
  </si>
  <si>
    <t>Data/Scripts/Custom/Mobiles/Titans/FalseEarthGod.cs</t>
  </si>
  <si>
    <t>POST-BATCH-B-03N</t>
  </si>
  <si>
    <t>Reviewed</t>
  </si>
  <si>
    <t>No source change; serializer already writes and reads only the version after base serialization.</t>
  </si>
  <si>
    <t>Data/Scripts/Custom/Mobiles/Titans/FalseEarthGod.cs:38-47</t>
  </si>
  <si>
    <t>2026-06-06T23:00:23.0394448-05:00</t>
  </si>
  <si>
    <t>Version-only mobile serializer; base Serialize/Deserialize calls and version write/read are aligned.</t>
  </si>
  <si>
    <t>RB-00197</t>
  </si>
  <si>
    <t>SERIAL-0136</t>
  </si>
  <si>
    <t>Data/Scripts/Custom/Mobiles/Titans/FalseFireGod.cs</t>
  </si>
  <si>
    <t>Data/Scripts/Custom/Mobiles/Titans/FalseFireGod.cs:36-45</t>
  </si>
  <si>
    <t>RB-00199</t>
  </si>
  <si>
    <t>SERIAL-0138</t>
  </si>
  <si>
    <t>Data/Scripts/Custom/Mobiles/Titans/FalseSeaGod.cs</t>
  </si>
  <si>
    <t>Data/Scripts/Custom/Mobiles/Titans/FalseSeaGod.cs:36-45</t>
  </si>
  <si>
    <t>RB-00201</t>
  </si>
  <si>
    <t>SERIAL-0140</t>
  </si>
  <si>
    <t>Data/Scripts/Custom/Mobiles/Titans/FalseWindGod.cs</t>
  </si>
  <si>
    <t>Data/Scripts/Custom/Mobiles/Titans/FalseWindGod.cs:36-45</t>
  </si>
  <si>
    <t>RB-00203</t>
  </si>
  <si>
    <t>SERIAL-0142</t>
  </si>
  <si>
    <t>Data/Scripts/Custom/Mobiles/Titans/Herculian.cs</t>
  </si>
  <si>
    <t>Data/Scripts/Custom/Mobiles/Titans/Herculian.cs:36-45</t>
  </si>
  <si>
    <t>RB-00205</t>
  </si>
  <si>
    <t>SERIAL-0144</t>
  </si>
  <si>
    <t>Data/Scripts/Custom/Mobiles/Undead/Beholder.cs</t>
  </si>
  <si>
    <t>POST-BATCH-B-03O</t>
  </si>
  <si>
    <t>Data/Scripts/Custom/Mobiles/Undead/Beholder.cs:61-70</t>
  </si>
  <si>
    <t>2026-06-06T23:06:40.4235492-05:00</t>
  </si>
  <si>
    <t>RB-00207</t>
  </si>
  <si>
    <t>SERIAL-0146</t>
  </si>
  <si>
    <t>Data/Scripts/Custom/Mobiles/Undead/CryptKeeper.cs</t>
  </si>
  <si>
    <t>Data/Scripts/Custom/Mobiles/Undead/CryptKeeper.cs:55-64</t>
  </si>
  <si>
    <t>RB-00209</t>
  </si>
  <si>
    <t>SERIAL-0148</t>
  </si>
  <si>
    <t>Data/Scripts/Custom/Mobiles/Undead/EvilDruid.cs</t>
  </si>
  <si>
    <t>Data/Scripts/Custom/Mobiles/Undead/EvilDruid.cs:35-44</t>
  </si>
  <si>
    <t>RB-00211</t>
  </si>
  <si>
    <t>SERIAL-0150</t>
  </si>
  <si>
    <t>Data/Scripts/Custom/Mobiles/Undead/GhostOfLadyEverdear.cs</t>
  </si>
  <si>
    <t>Data/Scripts/Custom/Mobiles/Undead/GhostOfLadyEverdear.cs:50-59</t>
  </si>
  <si>
    <t>RB-00213</t>
  </si>
  <si>
    <t>SERIAL-0152</t>
  </si>
  <si>
    <t>Data/Scripts/Custom/Mobiles/Undead/Honorguard.cs</t>
  </si>
  <si>
    <t>Data/Scripts/Custom/Mobiles/Undead/Honorguard.cs:77-86</t>
  </si>
  <si>
    <t>RB-00215</t>
  </si>
  <si>
    <t>SERIAL-0154</t>
  </si>
  <si>
    <t>Data/Scripts/Custom/Mobiles/Undead/OldKingWolfgang.cs</t>
  </si>
  <si>
    <t>Data/Scripts/Custom/Mobiles/Undead/OldKingWolfgang.cs:38-47</t>
  </si>
  <si>
    <t>RB-00217</t>
  </si>
  <si>
    <t>SERIAL-0156</t>
  </si>
  <si>
    <t>Data/Scripts/Custom/Mobiles/Undead/Rattlebones.cs</t>
  </si>
  <si>
    <t>Data/Scripts/Custom/Mobiles/Undead/Rattlebones.cs:56-65</t>
  </si>
  <si>
    <t>RB-00219</t>
  </si>
  <si>
    <t>SERIAL-0158</t>
  </si>
  <si>
    <t>Data/Scripts/Custom/Mobiles/Undead/RedDeath.cs</t>
  </si>
  <si>
    <t>Data/Scripts/Custom/Mobiles/Undead/RedDeath.cs:37-46</t>
  </si>
  <si>
    <t>RB-00221</t>
  </si>
  <si>
    <t>SERIAL-0160</t>
  </si>
  <si>
    <t>Data/Scripts/Custom/Mobiles/Undead/RoyalSwordmaster.cs</t>
  </si>
  <si>
    <t>Data/Scripts/Custom/Mobiles/Undead/RoyalSwordmaster.cs:54-63</t>
  </si>
  <si>
    <t>RB-00223</t>
  </si>
  <si>
    <t>SERIAL-0162</t>
  </si>
  <si>
    <t>Data/Scripts/Custom/Mobiles/Undead/RuneKnight.cs</t>
  </si>
  <si>
    <t>Data/Scripts/Custom/Mobiles/Undead/RuneKnight.cs:69-78</t>
  </si>
  <si>
    <t>RB-00225</t>
  </si>
  <si>
    <t>SERIAL-0164</t>
  </si>
  <si>
    <t>Data/Scripts/Custom/Mobiles/Undead/Servant.cs</t>
  </si>
  <si>
    <t>Data/Scripts/Custom/Mobiles/Undead/Servant.cs:49-58</t>
  </si>
  <si>
    <t>RB-00227</t>
  </si>
  <si>
    <t>SERIAL-0166</t>
  </si>
  <si>
    <t>Data/Scripts/Custom/Mobiles/Undead/TheGroundskeeper.cs</t>
  </si>
  <si>
    <t>Data/Scripts/Custom/Mobiles/Undead/TheGroundskeeper.cs:36-45</t>
  </si>
  <si>
    <t>RB-00229</t>
  </si>
  <si>
    <t>SERIAL-0168</t>
  </si>
  <si>
    <t>Data/Scripts/Custom/Mobiles/Undead/TheMadDuke.cs</t>
  </si>
  <si>
    <t>Data/Scripts/Custom/Mobiles/Undead/TheMadDuke.cs:34-43</t>
  </si>
  <si>
    <t>RB-00231</t>
  </si>
  <si>
    <t>SERIAL-0170</t>
  </si>
  <si>
    <t>Data/Scripts/Custom/Mobiles/Undead/TheNecromancer.cs</t>
  </si>
  <si>
    <t>Data/Scripts/Custom/Mobiles/Undead/TheNecromancer.cs:54-63</t>
  </si>
  <si>
    <t>RB-00233</t>
  </si>
  <si>
    <t>SERIAL-0172</t>
  </si>
  <si>
    <t>Data/Scripts/Custom/Mobiles/Undead/TombWatcher.cs</t>
  </si>
  <si>
    <t>Data/Scripts/Custom/Mobiles/Undead/TombWatcher.cs:61-70</t>
  </si>
  <si>
    <t>RB-00235</t>
  </si>
  <si>
    <t>SERIAL-0174</t>
  </si>
  <si>
    <t>Data/Scripts/Custom/Mobiles/Undead/VampireIllusion.cs</t>
  </si>
  <si>
    <t>Data/Scripts/Custom/Mobiles/Undead/VampireIllusion.cs:38-47</t>
  </si>
  <si>
    <t>RB-00237</t>
  </si>
  <si>
    <t>SERIAL-0176</t>
  </si>
  <si>
    <t>Data/Scripts/Custom/Mobiles/Undead/VoidWraith.cs</t>
  </si>
  <si>
    <t>Data/Scripts/Custom/Mobiles/Undead/VoidWraith.cs:46-55</t>
  </si>
  <si>
    <t>RB-00239</t>
  </si>
  <si>
    <t>SERIAL-0178</t>
  </si>
  <si>
    <t>Data/Scripts/Custom/Mobiles/Undead/WalkingEffigy.cs</t>
  </si>
  <si>
    <t>Data/Scripts/Custom/Mobiles/Undead/WalkingEffigy.cs:34-43</t>
  </si>
  <si>
    <t>RB-00241</t>
  </si>
  <si>
    <t>SERIAL-0180</t>
  </si>
  <si>
    <t>Data/Scripts/Custom/Mobiles/Undead/WolfgangsDragon.cs</t>
  </si>
  <si>
    <t>Data/Scripts/Custom/Mobiles/Undead/WolfgangsDragon.cs:37-46</t>
  </si>
  <si>
    <t>RB-00243</t>
  </si>
  <si>
    <t>SERIAL-0182</t>
  </si>
  <si>
    <t>Data/Scripts/Custom/Mobiles/Vendors/Gort.cs</t>
  </si>
  <si>
    <t>POST-BATCH-B-03P</t>
  </si>
  <si>
    <t>Data/Scripts/Custom/Mobiles/Vendors/Gort.cs:36-45</t>
  </si>
  <si>
    <t>2026-06-06T23:09:30.0545430-05:00</t>
  </si>
  <si>
    <t>RB-00245</t>
  </si>
  <si>
    <t>SERIAL-0184</t>
  </si>
  <si>
    <t>Data/Scripts/Custom/Mobiles/Vendors/Siddo.cs</t>
  </si>
  <si>
    <t>Data/Scripts/Custom/Mobiles/Vendors/Siddo.cs:47-56</t>
  </si>
  <si>
    <t>RB-00247</t>
  </si>
  <si>
    <t>SERIAL-0186</t>
  </si>
  <si>
    <t>Data/Scripts/Custom/Mobiles/Vendors/SirGideon.cs</t>
  </si>
  <si>
    <t>Data/Scripts/Custom/Mobiles/Vendors/SirGideon.cs:38-47</t>
  </si>
  <si>
    <t>RB-00260</t>
  </si>
  <si>
    <t>SERIAL-0199</t>
  </si>
  <si>
    <t>Custom:Vhaerun's CRL Homestead System [2.0]</t>
  </si>
  <si>
    <t>Data/Scripts/Custom/Vhaerun's CRL Homestead System [2.0]/Dracana's Winecrafting [2.0]/Items/Craft Items/Resources/WineGrapes.cs</t>
  </si>
  <si>
    <t>POST-BATCH-B-04A</t>
  </si>
  <si>
    <t>No source change; current version 1 write/read is aligned and version 0 is intentionally consumed for old saves.</t>
  </si>
  <si>
    <t>Data/Scripts/Custom/Vhaerun's CRL Homestead System [2.0]/Dracana's Winecrafting [2.0]/Items/Craft Items/Resources/WineGrapes.cs:33-103</t>
  </si>
  <si>
    <t>2026-06-06T23:13:48.6090525-05:00</t>
  </si>
  <si>
    <t>Current serializer writes version 1 plus variety enum; version 0 branch reads the old info-id shape and maps it to the current variety.</t>
  </si>
  <si>
    <t>RB-00265</t>
  </si>
  <si>
    <t>SERIAL-0204</t>
  </si>
  <si>
    <t>Data/Scripts/Custom/Vhaerun's CRL Homestead System [2.0]/Vhaerun's CRL Brewing/Items/Hops/Hops.cs</t>
  </si>
  <si>
    <t>Data/Scripts/Custom/Vhaerun's CRL Homestead System [2.0]/Vhaerun's CRL Brewing/Items/Hops/Hops.cs:33-82</t>
  </si>
  <si>
    <t>RB-00261</t>
  </si>
  <si>
    <t>SERIAL-0200</t>
  </si>
  <si>
    <t>Data/Scripts/Custom/Vhaerun's CRL Homestead System [2.0]/Dracana's Winecrafting [2.0]/Items/Food/BaseCraftWine.cs</t>
  </si>
  <si>
    <t>POST-BATCH-B-04B</t>
  </si>
  <si>
    <t>No source change; current version 2 write/read is aligned and older version branches intentionally consume legacy poison/fill/crafter/quality/variety shapes.</t>
  </si>
  <si>
    <t>Data/Scripts/Custom/Vhaerun's CRL Homestead System [2.0]/Dracana's Winecrafting [2.0]/Items/Food/BaseCraftWine.cs:108-178</t>
  </si>
  <si>
    <t>2026-06-06T23:17:11.3106522-05:00</t>
  </si>
  <si>
    <t>Current serializer writes version 2 flags and current optional fields, then writes legacy poisoner/poison/fill data; deserializer reads version 2 and falls through to version 1 and 0 compatibility branches.</t>
  </si>
  <si>
    <t>RB-00262</t>
  </si>
  <si>
    <t>SERIAL-0201</t>
  </si>
  <si>
    <t>Data/Scripts/Custom/Vhaerun's CRL Homestead System [2.0]/Vhaerun's CRL Brewing/Craft/BaseCraftAle.cs</t>
  </si>
  <si>
    <t>Data/Scripts/Custom/Vhaerun's CRL Homestead System [2.0]/Vhaerun's CRL Brewing/Craft/BaseCraftAle.cs:103-173</t>
  </si>
  <si>
    <t>RB-00263</t>
  </si>
  <si>
    <t>SERIAL-0202</t>
  </si>
  <si>
    <t>Data/Scripts/Custom/Vhaerun's CRL Homestead System [2.0]/Vhaerun's CRL Brewing/Craft/BaseCraftCider.cs</t>
  </si>
  <si>
    <t>Data/Scripts/Custom/Vhaerun's CRL Homestead System [2.0]/Vhaerun's CRL Brewing/Craft/BaseCraftCider.cs:103-173</t>
  </si>
  <si>
    <t>RB-00264</t>
  </si>
  <si>
    <t>SERIAL-0203</t>
  </si>
  <si>
    <t>Data/Scripts/Custom/Vhaerun's CRL Homestead System [2.0]/Vhaerun's CRL Brewing/Craft/BaseCraftMead.cs</t>
  </si>
  <si>
    <t>Data/Scripts/Custom/Vhaerun's CRL Homestead System [2.0]/Vhaerun's CRL Brewing/Craft/BaseCraftMead.cs:103-173</t>
  </si>
  <si>
    <t>RB-00290</t>
  </si>
  <si>
    <t>SERIAL-0229</t>
  </si>
  <si>
    <t>Data/Scripts/Custom/Vhaerun's CRL Homestead System [2.0]/Vhaerun's CRL Juicing/Engine/BaseCraftJuice.cs</t>
  </si>
  <si>
    <t>Data/Scripts/Custom/Vhaerun's CRL Homestead System [2.0]/Vhaerun's CRL Juicing/Engine/BaseCraftJuice.cs:103-173</t>
  </si>
  <si>
    <t>RB-00269</t>
  </si>
  <si>
    <t>SERIAL-0208</t>
  </si>
  <si>
    <t>Data/Scripts/Custom/Vhaerun's CRL Homestead System [2.0]/Vhaerun's CRL Crops/BaseCrop.cs</t>
  </si>
  <si>
    <t>POST-BATCH-B-04C</t>
  </si>
  <si>
    <t>No source change; current crop serializer write/read order and version handling are source-aligned.</t>
  </si>
  <si>
    <t>Data/Scripts/Custom/Vhaerun's CRL Homestead System [2.0]/Vhaerun's CRL Crops/BaseCrop.cs:135-180</t>
  </si>
  <si>
    <t>2026-06-06T23:20:03.8668234-05:00</t>
  </si>
  <si>
    <t>BaseCrop serializer writes and reads version, age/harvest flags, and IdList values in matching order before restarting the crop timer.</t>
  </si>
  <si>
    <t>RB-00271</t>
  </si>
  <si>
    <t>SERIAL-0210</t>
  </si>
  <si>
    <t>Data/Scripts/Custom/Vhaerun's CRL Homestead System [2.0]/Vhaerun's CRL Crops/Wild Crops/Crops/CarrotPlant.cs</t>
  </si>
  <si>
    <t>Data/Scripts/Custom/Vhaerun's CRL Homestead System [2.0]/Vhaerun's CRL Crops/Wild Crops/Crops/CarrotPlant.cs:39-49</t>
  </si>
  <si>
    <t>Plant wrapper serializer writes and reads only the local version after base serialization.</t>
  </si>
  <si>
    <t>RB-00273</t>
  </si>
  <si>
    <t>SERIAL-0212</t>
  </si>
  <si>
    <t>Data/Scripts/Custom/Vhaerun's CRL Homestead System [2.0]/Vhaerun's CRL Crops/Wild Crops/Crops/CornPlant.cs</t>
  </si>
  <si>
    <t>Data/Scripts/Custom/Vhaerun's CRL Homestead System [2.0]/Vhaerun's CRL Crops/Wild Crops/Crops/CornPlant.cs:39-49</t>
  </si>
  <si>
    <t>RB-00275</t>
  </si>
  <si>
    <t>SERIAL-0214</t>
  </si>
  <si>
    <t>Data/Scripts/Custom/Vhaerun's CRL Homestead System [2.0]/Vhaerun's CRL Crops/Wild Crops/Crops/CottonPlantEast.cs</t>
  </si>
  <si>
    <t>Data/Scripts/Custom/Vhaerun's CRL Homestead System [2.0]/Vhaerun's CRL Crops/Wild Crops/Crops/CottonPlantEast.cs:39-50</t>
  </si>
  <si>
    <t>RB-00277</t>
  </si>
  <si>
    <t>SERIAL-0216</t>
  </si>
  <si>
    <t>Data/Scripts/Custom/Vhaerun's CRL Homestead System [2.0]/Vhaerun's CRL Crops/Wild Crops/Crops/CottonPlantWest.cs</t>
  </si>
  <si>
    <t>Data/Scripts/Custom/Vhaerun's CRL Homestead System [2.0]/Vhaerun's CRL Crops/Wild Crops/Crops/CottonPlantWest.cs:36-46</t>
  </si>
  <si>
    <t>RB-00279</t>
  </si>
  <si>
    <t>SERIAL-0218</t>
  </si>
  <si>
    <t>Data/Scripts/Custom/Vhaerun's CRL Homestead System [2.0]/Vhaerun's CRL Crops/Wild Crops/Crops/FlaxPlant.cs</t>
  </si>
  <si>
    <t>Data/Scripts/Custom/Vhaerun's CRL Homestead System [2.0]/Vhaerun's CRL Crops/Wild Crops/Crops/FlaxPlant.cs:36-46</t>
  </si>
  <si>
    <t>RB-00281</t>
  </si>
  <si>
    <t>SERIAL-0220</t>
  </si>
  <si>
    <t>Data/Scripts/Custom/Vhaerun's CRL Homestead System [2.0]/Vhaerun's CRL Crops/Wild Crops/Crops/GarlicPlant.cs</t>
  </si>
  <si>
    <t>Data/Scripts/Custom/Vhaerun's CRL Homestead System [2.0]/Vhaerun's CRL Crops/Wild Crops/Crops/GarlicPlant.cs:36-46</t>
  </si>
  <si>
    <t>RB-00283</t>
  </si>
  <si>
    <t>SERIAL-0222</t>
  </si>
  <si>
    <t>Data/Scripts/Custom/Vhaerun's CRL Homestead System [2.0]/Vhaerun's CRL Crops/Wild Crops/Crops/HayPlant.cs</t>
  </si>
  <si>
    <t>Data/Scripts/Custom/Vhaerun's CRL Homestead System [2.0]/Vhaerun's CRL Crops/Wild Crops/Crops/HayPlant.cs:36-46</t>
  </si>
  <si>
    <t>RB-00285</t>
  </si>
  <si>
    <t>SERIAL-0224</t>
  </si>
  <si>
    <t>Data/Scripts/Custom/Vhaerun's CRL Homestead System [2.0]/Vhaerun's CRL Crops/Wild Crops/Crops/OnionPlant.cs</t>
  </si>
  <si>
    <t>Data/Scripts/Custom/Vhaerun's CRL Homestead System [2.0]/Vhaerun's CRL Crops/Wild Crops/Crops/OnionPlant.cs:39-49</t>
  </si>
  <si>
    <t>RB-00287</t>
  </si>
  <si>
    <t>SERIAL-0226</t>
  </si>
  <si>
    <t>Data/Scripts/Custom/Vhaerun's CRL Homestead System [2.0]/Vhaerun's CRL Crops/Wild Crops/Crops/TurnipPlant.cs</t>
  </si>
  <si>
    <t>Data/Scripts/Custom/Vhaerun's CRL Homestead System [2.0]/Vhaerun's CRL Crops/Wild Crops/Crops/TurnipPlant.cs:39-49</t>
  </si>
  <si>
    <t>RB-00289</t>
  </si>
  <si>
    <t>SERIAL-0228</t>
  </si>
  <si>
    <t>Data/Scripts/Custom/Vhaerun's CRL Homestead System [2.0]/Vhaerun's CRL Crops/Wild Crops/Crops/WheatPlant.cs</t>
  </si>
  <si>
    <t>Data/Scripts/Custom/Vhaerun's CRL Homestead System [2.0]/Vhaerun's CRL Crops/Wild Crops/Crops/WheatPlant.cs:36-46</t>
  </si>
  <si>
    <t>RB-01442</t>
  </si>
  <si>
    <t>SERIAL-1381</t>
  </si>
  <si>
    <t>BaseCallOrder</t>
  </si>
  <si>
    <t>Data/Scripts/System/Misc/AOS.cs</t>
  </si>
  <si>
    <t>POST-BATCH-B-05A</t>
  </si>
  <si>
    <t>No source change; generated warning is extractor noise for a helper serializer/reader-constructor pattern with no applicable base serializer override.</t>
  </si>
  <si>
    <t>Data/Scripts/System/Misc/AOS.cs:1393-1433</t>
  </si>
  <si>
    <t>2026-06-06T23:23:14.4900504-05:00</t>
  </si>
  <si>
    <t>Helper serializer pattern, not an Item/Mobile override; source shows matching reader constructor or type-token read path.</t>
  </si>
  <si>
    <t>RB-01444</t>
  </si>
  <si>
    <t>SERIAL-1383</t>
  </si>
  <si>
    <t>RB-01466</t>
  </si>
  <si>
    <t>SERIAL-1405</t>
  </si>
  <si>
    <t>Data/Scripts/System/Misc/ShardPoller.cs</t>
  </si>
  <si>
    <t>Data/Scripts/System/Misc/ShardPoller.cs:388-419</t>
  </si>
  <si>
    <t>RB-01468</t>
  </si>
  <si>
    <t>SERIAL-1407</t>
  </si>
  <si>
    <t>RB-01473</t>
  </si>
  <si>
    <t>SERIAL-1412</t>
  </si>
  <si>
    <t>Data/Scripts/System/Misc/TextDefinition.cs</t>
  </si>
  <si>
    <t>Data/Scripts/System/Misc/TextDefinition.cs:31-75</t>
  </si>
  <si>
    <t>RB-01475</t>
  </si>
  <si>
    <t>SERIAL-1414</t>
  </si>
  <si>
    <t>RB-01447</t>
  </si>
  <si>
    <t>SERIAL-1386</t>
  </si>
  <si>
    <t>Data/Scripts/System/Misc/Guilds.cs</t>
  </si>
  <si>
    <t>POST-BATCH-B-05B</t>
  </si>
  <si>
    <t>No source change; generated warning is extractor noise for AllianceInfo helper serializer with GenericReader constructor and no applicable base serializer override.</t>
  </si>
  <si>
    <t>Data/Scripts/System/Misc/Guilds.cs:205-236</t>
  </si>
  <si>
    <t>2026-06-06T23:26:49.3474871-05:00</t>
  </si>
  <si>
    <t>AllianceInfo helper serializer writes version 0, name, leader, members, and pending members; GenericReader constructor reads the same shape.</t>
  </si>
  <si>
    <t>RB-01449</t>
  </si>
  <si>
    <t>SERIAL-1388</t>
  </si>
  <si>
    <t>No source change; duplicate generated AllianceInfo helper row already covered by source review.</t>
  </si>
  <si>
    <t>Duplicate generated row for the same AllianceInfo helper serializer source block.</t>
  </si>
  <si>
    <t>RB-01451</t>
  </si>
  <si>
    <t>SERIAL-1390</t>
  </si>
  <si>
    <t>No source change; current Guild version 5 write/read is aligned and older version branches intentionally consume legacy guild save shapes.</t>
  </si>
  <si>
    <t>Data/Scripts/System/Misc/Guilds.cs:1335-1508</t>
  </si>
  <si>
    <t>Guild extends BaseGuild, whose Serialize contract is abstract; version 5 reads current war/alliance fields and falls through versions 4 through 0 for legacy data.</t>
  </si>
  <si>
    <t>RB-01452</t>
  </si>
  <si>
    <t>SERIAL-1391</t>
  </si>
  <si>
    <t>No source change; duplicate generated Guild serializer row already covered by SERIAL-1390 review.</t>
  </si>
  <si>
    <t>Duplicate generated row for the same Guild serializer source block.</t>
  </si>
  <si>
    <t>RB-01455</t>
  </si>
  <si>
    <t>SERIAL-1394</t>
  </si>
  <si>
    <t>No source change; generated warning is extractor noise for WarDeclaration helper serializer with GenericReader constructor and no applicable base serializer override.</t>
  </si>
  <si>
    <t>Data/Scripts/System/Misc/Guilds.cs:578-616</t>
  </si>
  <si>
    <t>WarDeclaration helper serializer writes version 0 and war fields; GenericReader constructor reads the same shape.</t>
  </si>
  <si>
    <t>RB-01457</t>
  </si>
  <si>
    <t>SERIAL-1396</t>
  </si>
  <si>
    <t>No source change; duplicate generated WarDeclaration helper row already covered by source review.</t>
  </si>
  <si>
    <t>Duplicate generated row for the same WarDeclaration helper serializer source block.</t>
  </si>
  <si>
    <t>RB-01469</t>
  </si>
  <si>
    <t>SERIAL-1408</t>
  </si>
  <si>
    <t>Data/Scripts/System/Misc/Spawning.cs</t>
  </si>
  <si>
    <t>POST-BATCH-B-05C</t>
  </si>
  <si>
    <t>No source change; current version 4 write/read is aligned and older version branches intentionally consume legacy spawner save shapes.</t>
  </si>
  <si>
    <t>Data/Scripts/System/Misc/Spawning.cs:4792-5163</t>
  </si>
  <si>
    <t>2026-06-06T23:29:44.4932595-05:00</t>
  </si>
  <si>
    <t>PremiumSpawner writes version 4, current walking/spawn/count/list fields, and entity lists; deserializer reads version 4 and falls through versions 3/2/1/0 with version&lt;3 default handling.</t>
  </si>
  <si>
    <t>RB-01470</t>
  </si>
  <si>
    <t>SERIAL-1409</t>
  </si>
  <si>
    <t>Data/Scripts/System/Misc/Spawning.cs:6245-6375</t>
  </si>
  <si>
    <t>Spawner writes version 4, current walking/waypoint/group/timer/spawn-list fields, and entity list; deserializer reads version 4 and falls through versions 3/2/1/0 with version&lt;3 default handling.</t>
  </si>
  <si>
    <t>RB-01309</t>
  </si>
  <si>
    <t>SERIAL-1248</t>
  </si>
  <si>
    <t>Data/Scripts/Items/Trades/Magical/Misc/RecallRune.cs</t>
  </si>
  <si>
    <t>POST-BATCH-B-06A</t>
  </si>
  <si>
    <t>No source change; conditional version 0/1 write/read order is source-aligned.</t>
  </si>
  <si>
    <t>Data/Scripts/Items/Trades/Magical/Misc/RecallRune.cs:18-64</t>
  </si>
  <si>
    <t>2026-06-06T23:35:12.9936236-05:00</t>
  </si>
  <si>
    <t>RecallRune writes version 1 only when a live house reference is stored and otherwise writes version 0; both shapes then write/read description, marked state, target, and target map.</t>
  </si>
  <si>
    <t>RB-01312</t>
  </si>
  <si>
    <t>SERIAL-1251</t>
  </si>
  <si>
    <t>Data/Scripts/Items/Trades/Magical/Runebook.cs</t>
  </si>
  <si>
    <t>No source change; generated base-call warning is extractor noise for RunebookEntry helper serializer with a GenericReader constructor and no applicable base serializer override.</t>
  </si>
  <si>
    <t>Data/Scripts/Items/Trades/Magical/Runebook.cs:546-584</t>
  </si>
  <si>
    <t>RunebookEntry is not an Item/Mobile serializer override; it writes a byte version and is read by the paired GenericReader constructor.</t>
  </si>
  <si>
    <t>RB-01314</t>
  </si>
  <si>
    <t>SERIAL-1253</t>
  </si>
  <si>
    <t>No source change; RunebookEntry helper write/read order is source-aligned.</t>
  </si>
  <si>
    <t>RunebookEntry writes byte version 0 or 1, optionally writes house, then writes location, map, and description; the GenericReader constructor consumes the same shape.</t>
  </si>
  <si>
    <t>RB-01320</t>
  </si>
  <si>
    <t>SERIAL-1259</t>
  </si>
  <si>
    <t>Data/Scripts/Items/Trades/Resources/Arrows/Arrow.cs</t>
  </si>
  <si>
    <t>No source change; version 1 writes a custom-name sentinel and read path consumes the same shape.</t>
  </si>
  <si>
    <t>Data/Scripts/Items/Trades/Resources/Arrows/Arrow.cs:47-78</t>
  </si>
  <si>
    <t>Arrow writes version 1 plus a bool sentinel; custom name is read only when the sentinel is true, otherwise the default name is restored.</t>
  </si>
  <si>
    <t>RB-01321</t>
  </si>
  <si>
    <t>SERIAL-1260</t>
  </si>
  <si>
    <t>Data/Scripts/Items/Trades/Resources/Arrows/Bolt.cs</t>
  </si>
  <si>
    <t>Data/Scripts/Items/Trades/Resources/Arrows/Bolt.cs:47-78</t>
  </si>
  <si>
    <t>Bolt writes version 1 plus a bool sentinel; custom name is read only when the sentinel is true, otherwise the default name is restored.</t>
  </si>
  <si>
    <t>RB-01322</t>
  </si>
  <si>
    <t>SERIAL-1261</t>
  </si>
  <si>
    <t>Data/Scripts/Items/Trades/Resources/Arrows/Feather.cs</t>
  </si>
  <si>
    <t>Data/Scripts/Items/Trades/Resources/Arrows/Feather.cs:38-69</t>
  </si>
  <si>
    <t>Feather writes version 1 plus a bool sentinel; custom name is read only when the sentinel is true, otherwise the default name is restored.</t>
  </si>
  <si>
    <t>RB-01323</t>
  </si>
  <si>
    <t>SERIAL-1262</t>
  </si>
  <si>
    <t>Data/Scripts/Items/Trades/Resources/Arrows/Shaft.cs</t>
  </si>
  <si>
    <t>Data/Scripts/Items/Trades/Resources/Arrows/Shaft.cs:38-69</t>
  </si>
  <si>
    <t>Shaft writes version 1 plus a bool sentinel; custom name is read only when the sentinel is true, otherwise the default name is restored.</t>
  </si>
  <si>
    <t>RB-01333</t>
  </si>
  <si>
    <t>SERIAL-1272</t>
  </si>
  <si>
    <t>Data/Scripts/Items/Trades/Sharpening/ConsecratedSharpeningStone.cs</t>
  </si>
  <si>
    <t>No source change; current version 1 write/read is aligned and version 0 branch intentionally consumes the retired owner serial.</t>
  </si>
  <si>
    <t>Data/Scripts/Items/Trades/Sharpening/ConsecratedSharpeningStone.cs:300-321</t>
  </si>
  <si>
    <t>ConsecratedSharpeningStone writes current uses only; deserializer reads uses and consumes the legacy owner serial only for version 0 saves.</t>
  </si>
  <si>
    <t>RB-01334</t>
  </si>
  <si>
    <t>SERIAL-1273</t>
  </si>
  <si>
    <t>Data/Scripts/Items/Trades/Sharpening/DenseSharpeningStone.cs</t>
  </si>
  <si>
    <t>Data/Scripts/Items/Trades/Sharpening/DenseSharpeningStone.cs:271-292</t>
  </si>
  <si>
    <t>DenseSharpeningStone writes current uses only; deserializer reads uses and consumes the legacy owner serial only for version 0 saves.</t>
  </si>
  <si>
    <t>RB-01335</t>
  </si>
  <si>
    <t>SERIAL-1274</t>
  </si>
  <si>
    <t>Data/Scripts/Items/Trades/Sharpening/ElementalSharpeningStone.cs</t>
  </si>
  <si>
    <t>Data/Scripts/Items/Trades/Sharpening/ElementalSharpeningStone.cs:290-311</t>
  </si>
  <si>
    <t>ElementalSharpeningStone writes current uses only; deserializer reads uses and consumes the legacy owner serial only for version 0 saves.</t>
  </si>
  <si>
    <t>RB-01336</t>
  </si>
  <si>
    <t>SERIAL-1275</t>
  </si>
  <si>
    <t>Data/Scripts/Items/Trades/Sharpening/HeavySharpeningStone.cs</t>
  </si>
  <si>
    <t>Data/Scripts/Items/Trades/Sharpening/HeavySharpeningStone.cs:271-292</t>
  </si>
  <si>
    <t>HeavySharpeningStone writes current uses only; deserializer reads uses and consumes the legacy owner serial only for version 0 saves.</t>
  </si>
  <si>
    <t>RB-01337</t>
  </si>
  <si>
    <t>SERIAL-1276</t>
  </si>
  <si>
    <t>Data/Scripts/Items/Trades/Sharpening/RoughSharpeningStone.cs</t>
  </si>
  <si>
    <t>Data/Scripts/Items/Trades/Sharpening/RoughSharpeningStone.cs:271-292</t>
  </si>
  <si>
    <t>RoughSharpeningStone writes current uses only; deserializer reads uses and consumes the legacy owner serial only for version 0 saves.</t>
  </si>
  <si>
    <t>RB-01338</t>
  </si>
  <si>
    <t>SERIAL-1277</t>
  </si>
  <si>
    <t>Data/Scripts/Items/Trades/Thieving/DisguisePersistance.cs</t>
  </si>
  <si>
    <t>No source change; version 0 writes and reads disguise timer count plus mobile, remaining time, and name-mod fields in matching order.</t>
  </si>
  <si>
    <t>Data/Scripts/Items/Trades/Thieving/DisguisePersistance.cs:40-79</t>
  </si>
  <si>
    <t>DisguisePersistance writes count and each timer record as Mobile, TimeSpan, and NameMod; deserializer recreates the timer and restores NameMod from the same order.</t>
  </si>
  <si>
    <t>RB-01025</t>
  </si>
  <si>
    <t>SERIAL-0964</t>
  </si>
  <si>
    <t>Data/Scripts/Items/Misc/AcidSlime.cs</t>
  </si>
  <si>
    <t>POST-BATCH-B-07B</t>
  </si>
  <si>
    <t>No source change; human-approved transient no-payload hazard effect exception. Do not add normal base/version serialization unless a later explicit migration plan changes this policy.</t>
  </si>
  <si>
    <t>Data/Scripts/Items/Misc/AcidSlime.cs:103-108</t>
  </si>
  <si>
    <t>2026-06-07T11:53:50.3593009-05:00</t>
  </si>
  <si>
    <t>AcidSlime is approved as a transient hazard effect that should not survive world save/load; current zero-payload serializer behavior is accepted by policy, not treated as extractor noise.</t>
  </si>
  <si>
    <t>RB-01027</t>
  </si>
  <si>
    <t>SERIAL-0966</t>
  </si>
  <si>
    <t>Data/Scripts/Items/Misc/Bodies/Corpses/Corpse.cs</t>
  </si>
  <si>
    <t>POST-BATCH-B-07A</t>
  </si>
  <si>
    <t>No source change; current version 11 write/read is aligned while older version branches intentionally consume legacy corpse save shapes.</t>
  </si>
  <si>
    <t>Data/Scripts/Items/Misc/Bodies/Corpses/Corpse.cs:700-900</t>
  </si>
  <si>
    <t>2026-06-06T23:43:13.1315103-05:00</t>
  </si>
  <si>
    <t>Corpse writes version 11 with flags, restore table, decay, looters, killer, aggressors, owner, corpse name, access/guild reserve/kills, and equip items; deserializer reads version 11 directly and preserves fall-through readers for versions 10 through 0.</t>
  </si>
  <si>
    <t>RB-01028</t>
  </si>
  <si>
    <t>SERIAL-0967</t>
  </si>
  <si>
    <t>Data/Scripts/Items/Misc/Bodies/Head.cs</t>
  </si>
  <si>
    <t>No source change; current version 1 write/read is aligned and version 0 branch intentionally consumes the older name-derived head shape.</t>
  </si>
  <si>
    <t>Data/Scripts/Items/Misc/Bodies/Head.cs:125-182</t>
  </si>
  <si>
    <t>Head version 1 writes player name, job, and head type; version 0 reads job and derives player/head type from legacy item Name text.</t>
  </si>
  <si>
    <t>RB-01032</t>
  </si>
  <si>
    <t>SERIAL-0971</t>
  </si>
  <si>
    <t>Data/Scripts/Items/Misc/EffectController.cs</t>
  </si>
  <si>
    <t>No source change; version 0 write/read order is source-aligned for delays, entity serials, trigger item, booleans, and encoded effect fields.</t>
  </si>
  <si>
    <t>Data/Scripts/Items/Misc/EffectController.cs:295-384</t>
  </si>
  <si>
    <t>EffectController writes Item/Mobile entity references as serial values and the reader resolves them through World.FindEntity, then reads the same trigger and encoded effect fields.</t>
  </si>
  <si>
    <t>RB-01034</t>
  </si>
  <si>
    <t>SERIAL-0973</t>
  </si>
  <si>
    <t>Data/Scripts/Items/Misc/Firebomb.cs</t>
  </si>
  <si>
    <t>No source change; human-approved transient no-payload hazard effect exception. Preserve the explicit non-persistence behavior unless a later policy change requires deletion-before-save or migration work.</t>
  </si>
  <si>
    <t>Data/Scripts/Items/Misc/Firebomb.cs:241-249</t>
  </si>
  <si>
    <t>FirebombField is approved as a transient hazard effect that should not survive world save/load; the no-serialization source comment is accepted as intentional policy.</t>
  </si>
  <si>
    <t>RB-01051</t>
  </si>
  <si>
    <t>SERIAL-0990</t>
  </si>
  <si>
    <t>Data/Scripts/Items/Misc/Gold.cs</t>
  </si>
  <si>
    <t>No source change; version 1 writes a custom-name sentinel and read path consumes the same shape with old-version fallback.</t>
  </si>
  <si>
    <t>Data/Scripts/Items/Misc/Gold.cs:60-94</t>
  </si>
  <si>
    <t>Gold writes version 1 plus a bool sentinel; custom name is read only when the sentinel is true, otherwise the default name is restored.</t>
  </si>
  <si>
    <t>RB-01061</t>
  </si>
  <si>
    <t>SERIAL-1000</t>
  </si>
  <si>
    <t>Data/Scripts/Items/Misc/PlayerBulletinBoards.cs</t>
  </si>
  <si>
    <t>No source change; current version 1 write/read is aligned while version 0 branch intentionally defaults access level for older bulletin-board saves.</t>
  </si>
  <si>
    <t>Data/Scripts/Items/Misc/PlayerBulletinBoards.cs:126-185</t>
  </si>
  <si>
    <t>BasePlayerBB writes version 1, secure level, title, optional greeting, and message list; deserializer reads version 1 and falls through to version 0 with a legacy SecureLevel.Anyone default.</t>
  </si>
  <si>
    <t>RB-01064</t>
  </si>
  <si>
    <t>SERIAL-1003</t>
  </si>
  <si>
    <t>No source change; generated base-call warning is extractor noise for PlayerBBMessage helper serializer with a GenericReader constructor and no applicable base serializer override.</t>
  </si>
  <si>
    <t>Data/Scripts/Items/Misc/PlayerBulletinBoards.cs:371-395</t>
  </si>
  <si>
    <t>PlayerBBMessage is a helper value object, not an Item/Mobile serializer override; its GenericReader constructor reads the same version, time, poster, and message fields written by Serialize.</t>
  </si>
  <si>
    <t>RB-01066</t>
  </si>
  <si>
    <t>SERIAL-1005</t>
  </si>
  <si>
    <t>No source change; PlayerBBMessage helper write/read order is source-aligned.</t>
  </si>
  <si>
    <t>PlayerBBMessage writes encoded version 0, time, poster, and message; the paired GenericReader constructor reads the same fields in order.</t>
  </si>
  <si>
    <t>RB-01067</t>
  </si>
  <si>
    <t>SERIAL-1006</t>
  </si>
  <si>
    <t>Data/Scripts/Items/Misc/PoolOfAcid.cs</t>
  </si>
  <si>
    <t>Data/Scripts/Items/Misc/PoolOfAcid.cs:102-110</t>
  </si>
  <si>
    <t>PoolOfAcid is approved as a transient hazard effect that should not survive world save/load; the no-serialization source comment is accepted as intentional policy.</t>
  </si>
  <si>
    <t>RB-01070</t>
  </si>
  <si>
    <t>SERIAL-1009</t>
  </si>
  <si>
    <t>Data/Scripts/Items/Misc/PowerGenerator.cs</t>
  </si>
  <si>
    <t>No source change; ControlPanel writes encoded version, side length, path length, and path node coordinates; deserializer reads the same shape.</t>
  </si>
  <si>
    <t>Data/Scripts/Items/Misc/PowerGenerator.cs:603-635</t>
  </si>
  <si>
    <t>ControlPanel is an AddonComponent with base calls first and encoded version 0 path serialization aligned with the read path.</t>
  </si>
  <si>
    <t>RB-01082</t>
  </si>
  <si>
    <t>SERIAL-1021</t>
  </si>
  <si>
    <t>Data/Scripts/Items/Misc/SerpentPillar.cs</t>
  </si>
  <si>
    <t>No source change; encoded version 0 write/read order is source-aligned.</t>
  </si>
  <si>
    <t>Data/Scripts/Items/Misc/SerpentPillar.cs:105-126</t>
  </si>
  <si>
    <t>SerpentPillar writes active flag, word, and destination rectangle after encoded version 0; deserializer reads the same fields in order.</t>
  </si>
  <si>
    <t>RB-00712</t>
  </si>
  <si>
    <t>SERIAL-0651</t>
  </si>
  <si>
    <t>Items:Houses</t>
  </si>
  <si>
    <t>Data/Scripts/Items/Houses/BaseHouse.cs</t>
  </si>
  <si>
    <t>POST-BATCH-B-08A</t>
  </si>
  <si>
    <t>No source change; BaseHouse version 14 write/read order is source-aligned and older version gates intentionally consume removed house fields.</t>
  </si>
  <si>
    <t>Data/Scripts/Items/Houses/BaseHouse.cs:2921-3162</t>
  </si>
  <si>
    <t>2026-06-07T12:04:24.6776910-05:00</t>
  </si>
  <si>
    <t>BaseHouse writes version 14 fields after base serialization; deserializer reads the same current fields and preserves legacy reads for removed ban-location, region-rect, and old secure-list shapes.</t>
  </si>
  <si>
    <t>RB-00715</t>
  </si>
  <si>
    <t>SERIAL-0654</t>
  </si>
  <si>
    <t>No source change; generated base-call warning is extractor noise for the SecureInfo helper serializer with a GenericReader constructor and no applicable base serializer override.</t>
  </si>
  <si>
    <t>Data/Scripts/Items/Houses/BaseHouse.cs:4084-4094</t>
  </si>
  <si>
    <t>SecureInfo is a helper value object persisted inside BaseHouse secure lists, not an Item/Mobile override; its reader constructor consumes the item and secure-level byte written by Serialize.</t>
  </si>
  <si>
    <t>RB-00717</t>
  </si>
  <si>
    <t>SERIAL-0656</t>
  </si>
  <si>
    <t>No source change; SecureInfo helper write/read order is source-aligned.</t>
  </si>
  <si>
    <t>SecureInfo writes container item then secure-level byte; the GenericReader constructor reads item then byte in the same order.</t>
  </si>
  <si>
    <t>RB-00720</t>
  </si>
  <si>
    <t>SERIAL-0659</t>
  </si>
  <si>
    <t>Data/Scripts/Items/Houses/HouseFoundation.cs</t>
  </si>
  <si>
    <t>No source change; generated base-call warning is extractor noise for the DesignState helper serializer with a GenericReader constructor and no applicable base serializer override.</t>
  </si>
  <si>
    <t>Data/Scripts/Items/Houses/HouseFoundation.cs:2077-2128</t>
  </si>
  <si>
    <t>DesignState is an embedded helper format for custom house design states, not an Item/Mobile serializer override.</t>
  </si>
  <si>
    <t>RB-00722</t>
  </si>
  <si>
    <t>SERIAL-0661</t>
  </si>
  <si>
    <t>No source change; DesignState helper write/read order is source-aligned.</t>
  </si>
  <si>
    <t>DesignState writes version, MultiComponentList, fixture length, fixture entries, and revision; the GenericReader constructor reads the same format.</t>
  </si>
  <si>
    <t>RB-00723</t>
  </si>
  <si>
    <t>SERIAL-0662</t>
  </si>
  <si>
    <t>No source change; HouseFoundation uses a source-paired base-last save layout and changing it would require a separate migration plan.</t>
  </si>
  <si>
    <t>Data/Scripts/Items/Houses/HouseFoundation.cs:853-933</t>
  </si>
  <si>
    <t>HouseFoundation intentionally writes its own version and fields before BaseHouse serialization and deserializes them before calling base.Deserialize; the current layout is paired and must be preserved.</t>
  </si>
  <si>
    <t>RB-00725</t>
  </si>
  <si>
    <t>SERIAL-0664</t>
  </si>
  <si>
    <t>No source change; HouseFoundation current write/read/version order is source-aligned with its established base-last save layout.</t>
  </si>
  <si>
    <t>Version 5 writes signpost, graphic, type, sign hanger, revision, fixtures, and design states before BaseHouse; deserializer reads those fields through version gates before base.Deserialize.</t>
  </si>
  <si>
    <t>RB-00728</t>
  </si>
  <si>
    <t>SERIAL-0667</t>
  </si>
  <si>
    <t>Data/Scripts/Items/Houses/Monopoly/Items/TownHouse.cs</t>
  </si>
  <si>
    <t>No source change; current version 3 TownHouse write/read is aligned while version &lt;=2 intentionally consumes the old region-rect list shape.</t>
  </si>
  <si>
    <t>Data/Scripts/Items/Houses/Monopoly/Items/TownHouse.cs:304-340</t>
  </si>
  <si>
    <t>TownHouse writes version 3, hanger, and sign; deserializer reads those current fields and only consumes legacy rect lists for version 2 and older saves.</t>
  </si>
  <si>
    <t>RB-00735</t>
  </si>
  <si>
    <t>SERIAL-0674</t>
  </si>
  <si>
    <t>Data/Scripts/Items/Houses/Remodeling/LawnGate.cs</t>
  </si>
  <si>
    <t>No source change; LawnGate version 0 write/read order is source-aligned, including the conditional house reference sentinel.</t>
  </si>
  <si>
    <t>Data/Scripts/Items/Houses/Remodeling/LawnGate.cs:140-173</t>
  </si>
  <si>
    <t>LawnGate writes a bool sentinel before the optional house reference, then placer, price, and title; reader uses the sentinel before reading the same trailing fields.</t>
  </si>
  <si>
    <t>RB-00736</t>
  </si>
  <si>
    <t>SERIAL-0675</t>
  </si>
  <si>
    <t>Data/Scripts/Items/Houses/Remodeling/LawnItem.cs</t>
  </si>
  <si>
    <t>No source change; LawnItem version 1 write/read order is source-aligned, including the conditional house reference and version 0 fall-through fields.</t>
  </si>
  <si>
    <t>Data/Scripts/Items/Houses/Remodeling/LawnItem.cs:194-244</t>
  </si>
  <si>
    <t>LawnItem reads the version 1 house sentinel and optional house before falling through to the version 0 placer, price, title, and pieces list fields.</t>
  </si>
  <si>
    <t>RB-00737</t>
  </si>
  <si>
    <t>SERIAL-0676</t>
  </si>
  <si>
    <t>Data/Scripts/Items/Houses/Remodeling/ShantyDoor.cs</t>
  </si>
  <si>
    <t>No source change; ShantyDoor version 0 write/read order is source-aligned, including the conditional house reference sentinel.</t>
  </si>
  <si>
    <t>Data/Scripts/Items/Houses/Remodeling/ShantyDoor.cs:182-215</t>
  </si>
  <si>
    <t>ShantyDoor writes a bool sentinel before the optional house reference, then placer, price, and title; reader uses the sentinel before reading the same trailing fields.</t>
  </si>
  <si>
    <t>RB-00738</t>
  </si>
  <si>
    <t>SERIAL-0677</t>
  </si>
  <si>
    <t>Data/Scripts/Items/Houses/Remodeling/ShantyItem.cs</t>
  </si>
  <si>
    <t>No source change; ShantyItem version 1 write/read order is source-aligned, including the conditional house reference and version 0 fall-through fields.</t>
  </si>
  <si>
    <t>Data/Scripts/Items/Houses/Remodeling/ShantyItem.cs:194-244</t>
  </si>
  <si>
    <t>ShantyItem reads the version 1 house sentinel and optional house before falling through to the version 0 placer, price, title, and pieces list fields.</t>
  </si>
  <si>
    <t>RB-01561</t>
  </si>
  <si>
    <t>SERIAL-1500</t>
  </si>
  <si>
    <t>Trades:Bulk Orders</t>
  </si>
  <si>
    <t>Data/Scripts/Trades/Bulk Orders/Books/BOBFilter.cs</t>
  </si>
  <si>
    <t>POST-BATCH-B-09A</t>
  </si>
  <si>
    <t>No source change; generated base-call warning is extractor noise for the BOBFilter helper serializer with a GenericReader constructor and no applicable base serializer override.</t>
  </si>
  <si>
    <t>Data/Scripts/Trades/Bulk Orders/Books/BOBFilter.cs:51-84</t>
  </si>
  <si>
    <t>2026-06-07T12:10:42.8938133-05:00</t>
  </si>
  <si>
    <t>BOBFilter is embedded in BulkOrderBook, not an Item/Mobile override; its reader constructor consumes the encoded version and filter fields written by Serialize.</t>
  </si>
  <si>
    <t>RB-01563</t>
  </si>
  <si>
    <t>SERIAL-1502</t>
  </si>
  <si>
    <t>No source change; BOBFilter helper write/read order is source-aligned, including the default-filter version 0 sentinel.</t>
  </si>
  <si>
    <t>Default filters write encoded version 0 with no payload; non-default filters write version 1 followed by type, quality, material, and quantity, which the reader consumes for version 1.</t>
  </si>
  <si>
    <t>RB-01566</t>
  </si>
  <si>
    <t>SERIAL-1505</t>
  </si>
  <si>
    <t>Data/Scripts/Trades/Bulk Orders/Books/BOBLargeEntry.cs</t>
  </si>
  <si>
    <t>No source change; generated base-call warning is extractor noise for the BOBLargeEntry helper serializer with a GenericReader constructor and no applicable base serializer override.</t>
  </si>
  <si>
    <t>Data/Scripts/Trades/Bulk Orders/Books/BOBLargeEntry.cs:103-144</t>
  </si>
  <si>
    <t>BOBLargeEntry is a book-entry helper object, not an Item/Mobile serializer override.</t>
  </si>
  <si>
    <t>RB-01568</t>
  </si>
  <si>
    <t>SERIAL-1507</t>
  </si>
  <si>
    <t>No source change; BOBLargeEntry helper write/read order is source-aligned.</t>
  </si>
  <si>
    <t>BOBLargeEntry writes version, exceptional flag, deed type, material, max amount, price, entry count, and nested subentries; the reader consumes the same fields.</t>
  </si>
  <si>
    <t>RB-01571</t>
  </si>
  <si>
    <t>SERIAL-1510</t>
  </si>
  <si>
    <t>Data/Scripts/Trades/Bulk Orders/Books/BOBLargeSubEntry.cs</t>
  </si>
  <si>
    <t>No source change; generated base-call warning is extractor noise for the BOBLargeSubEntry helper serializer with a GenericReader constructor and no applicable base serializer override.</t>
  </si>
  <si>
    <t>Data/Scripts/Trades/Bulk Orders/Books/BOBLargeSubEntry.cs:37-68</t>
  </si>
  <si>
    <t>BOBLargeSubEntry is a nested book-entry helper object, not an Item/Mobile serializer override.</t>
  </si>
  <si>
    <t>RB-01573</t>
  </si>
  <si>
    <t>SERIAL-1512</t>
  </si>
  <si>
    <t>No source change; BOBLargeSubEntry helper write/read order is source-aligned.</t>
  </si>
  <si>
    <t>BOBLargeSubEntry writes version, item type full name, current amount, number, and graphic; the reader resolves the type and reads the same trailing fields.</t>
  </si>
  <si>
    <t>RB-01576</t>
  </si>
  <si>
    <t>SERIAL-1515</t>
  </si>
  <si>
    <t>Data/Scripts/Trades/Bulk Orders/Books/BOBSmallEntry.cs</t>
  </si>
  <si>
    <t>No source change; generated base-call warning is extractor noise for the BOBSmallEntry helper serializer with a GenericReader constructor and no applicable base serializer override.</t>
  </si>
  <si>
    <t>Data/Scripts/Trades/Bulk Orders/Books/BOBSmallEntry.cs:100-144</t>
  </si>
  <si>
    <t>BOBSmallEntry is a book-entry helper object, not an Item/Mobile serializer override.</t>
  </si>
  <si>
    <t>RB-01578</t>
  </si>
  <si>
    <t>SERIAL-1517</t>
  </si>
  <si>
    <t>No source change; BOBSmallEntry helper write/read order is source-aligned.</t>
  </si>
  <si>
    <t>BOBSmallEntry writes version, item type, exceptional flag, deed type, material, current/max amounts, number, graphic, and price; the reader consumes the same fields.</t>
  </si>
  <si>
    <t>RB-01579</t>
  </si>
  <si>
    <t>SERIAL-1518</t>
  </si>
  <si>
    <t>Data/Scripts/Trades/Bulk Orders/Books/BulkOrderBook.cs</t>
  </si>
  <si>
    <t>No source change; BulkOrderBook version 2 write/read order is source-aligned, including embedded filter and typed entry records.</t>
  </si>
  <si>
    <t>Data/Scripts/Trades/Bulk Orders/Books/BulkOrderBook.cs:193-276</t>
  </si>
  <si>
    <t>BulkOrderBook writes base, version 2, item count, secure level, book name, filter, entry count, and per-entry type sentinels; deserializer reads the same format through version fall-through.</t>
  </si>
  <si>
    <t>RB-01582</t>
  </si>
  <si>
    <t>SERIAL-1521</t>
  </si>
  <si>
    <t>Data/Scripts/Trades/Bulk Orders/LargeBulkEntry.cs</t>
  </si>
  <si>
    <t>No source change; generated base-call warning is extractor noise for the LargeBulkEntry helper serializer with a GenericReader constructor and no applicable base serializer override.</t>
  </si>
  <si>
    <t>Data/Scripts/Trades/Bulk Orders/LargeBulkEntry.cs:180-200</t>
  </si>
  <si>
    <t>LargeBulkEntry is embedded inside LargeBOD, not an Item/Mobile serializer override.</t>
  </si>
  <si>
    <t>RB-01584</t>
  </si>
  <si>
    <t>SERIAL-1523</t>
  </si>
  <si>
    <t>No source change; LargeBulkEntry helper write/read order is source-aligned.</t>
  </si>
  <si>
    <t>LargeBulkEntry writes amount, detail type full name, number, and graphic; the constructor reads amount, type, number, and graphic in the same order.</t>
  </si>
  <si>
    <t>RB-00819</t>
  </si>
  <si>
    <t>SERIAL-0758</t>
  </si>
  <si>
    <t>Items:Magical</t>
  </si>
  <si>
    <t>Data/Scripts/Items/Magical/Artifacts/Artifact_LuckyNecklace.cs</t>
  </si>
  <si>
    <t>POST-BATCH-B-10A</t>
  </si>
  <si>
    <t>No source change; Artifact_LuckyNecklace writes and reads its version-only payload after base serialization.</t>
  </si>
  <si>
    <t>Data/Scripts/Items/Magical/Artifacts/Artifact_LuckyNecklace.cs:20-30</t>
  </si>
  <si>
    <t>2026-06-07T12:17:37.7351987-05:00</t>
  </si>
  <si>
    <t>Serializer writes version 0 and deserializer consumes the version integer after base.Deserialize.</t>
  </si>
  <si>
    <t>RB-00924</t>
  </si>
  <si>
    <t>SERIAL-0863</t>
  </si>
  <si>
    <t>Data/Scripts/Items/Magical/Gifts/Armor/Leather/GiftLeatherGloves.cs</t>
  </si>
  <si>
    <t>No source change; GiftLeatherGloves version 1 write/read order is source-aligned, including the arcane-charge sentinel.</t>
  </si>
  <si>
    <t>Data/Scripts/Items/Magical/Gifts/Armor/Leather/GiftLeatherGloves.cs:77-117</t>
  </si>
  <si>
    <t>GiftLeatherGloves writes version 1 and a bool sentinel before optional current/max arcane charges; reader consumes the same conditional payload.</t>
  </si>
  <si>
    <t>RB-00928</t>
  </si>
  <si>
    <t>SERIAL-0867</t>
  </si>
  <si>
    <t>Data/Scripts/Items/Magical/Gifts/Clothing/GiftCloaks.cs</t>
  </si>
  <si>
    <t>No source change; GiftCloak version 1 write/read order is source-aligned, including the arcane-charge sentinel.</t>
  </si>
  <si>
    <t>Data/Scripts/Items/Magical/Gifts/Clothing/GiftCloaks.cs:122-165</t>
  </si>
  <si>
    <t>GiftCloak writes version 1 and a bool sentinel before optional current/max arcane charges; reader consumes the same conditional payload.</t>
  </si>
  <si>
    <t>RB-00929</t>
  </si>
  <si>
    <t>SERIAL-0868</t>
  </si>
  <si>
    <t>Data/Scripts/Items/Magical/Gifts/Clothing/GiftOuterTorso.cs</t>
  </si>
  <si>
    <t>No source change; GiftRobe version 1 write/read order is source-aligned, including the arcane-charge sentinel.</t>
  </si>
  <si>
    <t>Data/Scripts/Items/Magical/Gifts/Clothing/GiftOuterTorso.cs:188-222</t>
  </si>
  <si>
    <t>GiftRobe writes version 1 and a bool sentinel before optional current/max arcane charges; reader consumes the same conditional payload.</t>
  </si>
  <si>
    <t>RB-00930</t>
  </si>
  <si>
    <t>SERIAL-0869</t>
  </si>
  <si>
    <t>Data/Scripts/Items/Magical/Gifts/Clothing/GiftShoes.cs</t>
  </si>
  <si>
    <t>No source change; current BaseGiftShoes version 2 has no resource payload while older version branches intentionally consume legacy resource data.</t>
  </si>
  <si>
    <t>Data/Scripts/Items/Magical/Gifts/Clothing/GiftShoes.cs:16-44</t>
  </si>
  <si>
    <t>BaseGiftShoes writes version 2 only; deserializer treats version 2 as empty, reads removed resource for version 1, and applies DefaultResource for version 0.</t>
  </si>
  <si>
    <t>RB-00932</t>
  </si>
  <si>
    <t>SERIAL-0871</t>
  </si>
  <si>
    <t>No source change; GiftThighBoots version 1 write/read order is source-aligned, including the arcane-charge sentinel.</t>
  </si>
  <si>
    <t>Data/Scripts/Items/Magical/Gifts/Clothing/GiftShoes.cs:212-246</t>
  </si>
  <si>
    <t>GiftThighBoots writes version 1 and a bool sentinel before optional current/max arcane charges; reader consumes the same conditional payload.</t>
  </si>
  <si>
    <t>RB-00969</t>
  </si>
  <si>
    <t>SERIAL-0908</t>
  </si>
  <si>
    <t>Data/Scripts/Items/Magical/God/Armor/Leather/LevelLeatherGloves.cs</t>
  </si>
  <si>
    <t>No source change; LevelLeatherGloves version 1 write/read order is source-aligned, including the arcane-charge sentinel.</t>
  </si>
  <si>
    <t>Data/Scripts/Items/Magical/God/Armor/Leather/LevelLeatherGloves.cs:77-117</t>
  </si>
  <si>
    <t>LevelLeatherGloves writes version 1 and a bool sentinel before optional current/max arcane charges; reader consumes the same conditional payload.</t>
  </si>
  <si>
    <t>RB-00972</t>
  </si>
  <si>
    <t>SERIAL-0911</t>
  </si>
  <si>
    <t>Data/Scripts/Items/Magical/God/Clothing/LevelCloaks.cs</t>
  </si>
  <si>
    <t>No source change; LevelCloak version 1 write/read order is source-aligned, including the arcane-charge sentinel.</t>
  </si>
  <si>
    <t>Data/Scripts/Items/Magical/God/Clothing/LevelCloaks.cs:122-165</t>
  </si>
  <si>
    <t>LevelCloak writes version 1 and a bool sentinel before optional current/max arcane charges; reader consumes the same conditional payload.</t>
  </si>
  <si>
    <t>RB-00975</t>
  </si>
  <si>
    <t>SERIAL-0914</t>
  </si>
  <si>
    <t>Data/Scripts/Items/Magical/God/Clothing/LevelOuterTorso.cs</t>
  </si>
  <si>
    <t>No source change; LevelRobe version 1 write/read order is source-aligned, including the arcane-charge sentinel.</t>
  </si>
  <si>
    <t>Data/Scripts/Items/Magical/God/Clothing/LevelOuterTorso.cs:188-222</t>
  </si>
  <si>
    <t>LevelRobe writes version 1 and a bool sentinel before optional current/max arcane charges; reader consumes the same conditional payload.</t>
  </si>
  <si>
    <t>RB-00977</t>
  </si>
  <si>
    <t>SERIAL-0916</t>
  </si>
  <si>
    <t>Data/Scripts/Items/Magical/God/Clothing/LevelShoes.cs</t>
  </si>
  <si>
    <t>No source change; current BaseLevelShoes version 2 has no resource payload while older version branches intentionally consume legacy resource data.</t>
  </si>
  <si>
    <t>Data/Scripts/Items/Magical/God/Clothing/LevelShoes.cs:16-44</t>
  </si>
  <si>
    <t>BaseLevelShoes writes version 2 only; deserializer treats version 2 as empty, reads removed resource for version 1, and applies DefaultResource for version 0.</t>
  </si>
  <si>
    <t>RB-00979</t>
  </si>
  <si>
    <t>SERIAL-0918</t>
  </si>
  <si>
    <t>No source change; LevelThighBoots version 1 write/read order is source-aligned, including the arcane-charge sentinel.</t>
  </si>
  <si>
    <t>Data/Scripts/Items/Magical/God/Clothing/LevelShoes.cs:212-246</t>
  </si>
  <si>
    <t>LevelThighBoots writes version 1 and a bool sentinel before optional current/max arcane charges; reader consumes the same conditional payload.</t>
  </si>
  <si>
    <t>RB-01241</t>
  </si>
  <si>
    <t>SERIAL-1180</t>
  </si>
  <si>
    <t>Items:Special</t>
  </si>
  <si>
    <t>Data/Scripts/Items/Special/House Raffle/HouseRaffleStone.cs</t>
  </si>
  <si>
    <t>POST-BATCH-B-11A</t>
  </si>
  <si>
    <t>No source change; HouseRaffleStone version 1 write/read order is source-aligned, including deed and raffle-entry payloads.</t>
  </si>
  <si>
    <t>Data/Scripts/Items/Special/House Raffle/HouseRaffleStone.cs:613-676</t>
  </si>
  <si>
    <t>2026-06-07T12:22:18.7253198-05:00</t>
  </si>
  <si>
    <t>HouseRaffleStone writes version 1, deed, active state, bounds, map, winner, ticket price, timing, and entry count; deserializer reads deed in version 1 and falls through to the version 0 fields and entries.</t>
  </si>
  <si>
    <t>RB-01244</t>
  </si>
  <si>
    <t>SERIAL-1183</t>
  </si>
  <si>
    <t>No source change; generated base-call warning is extractor noise for the RaffleEntry helper serializer with a GenericReader constructor and no applicable base serializer override.</t>
  </si>
  <si>
    <t>Data/Scripts/Items/Special/House Raffle/HouseRaffleStone.cs:48-69</t>
  </si>
  <si>
    <t>RaffleEntry is an embedded helper record persisted inside HouseRaffleStone, not an Item/Mobile serializer override.</t>
  </si>
  <si>
    <t>RB-01246</t>
  </si>
  <si>
    <t>SERIAL-1185</t>
  </si>
  <si>
    <t>No source change; RaffleEntry helper write/read order is source-aligned.</t>
  </si>
  <si>
    <t>RaffleEntry writes mobile, IP address, and date; the GenericReader constructor reads the same fields for supported raffle-stone versions.</t>
  </si>
  <si>
    <t>RB-01258</t>
  </si>
  <si>
    <t>SERIAL-1197</t>
  </si>
  <si>
    <t>Data/Scripts/Items/Special/Special Scrolls/ScrollofAlacrity.cs</t>
  </si>
  <si>
    <t>No source change; ScrollofAlacrity current version-only payload is aligned while the InheritsItem branch intentionally supports old SpecialScroll insertion saves.</t>
  </si>
  <si>
    <t>Data/Scripts/Items/Special/Special Scrolls/ScrollofAlacrity.cs:189-202</t>
  </si>
  <si>
    <t>Deserializer reads the derived version unless SpecialScroll set InheritsItem from a legacy version 0 shape, in which case it skips a version that older saves did not contain.</t>
  </si>
  <si>
    <t>RB-01260</t>
  </si>
  <si>
    <t>SERIAL-1199</t>
  </si>
  <si>
    <t>Data/Scripts/Items/Special/Special Scrolls/ScrollofTranscendence.cs</t>
  </si>
  <si>
    <t>No source change; ScrollofTranscendence current version-only payload is aligned while the InheritsItem branch intentionally supports old SpecialScroll insertion saves.</t>
  </si>
  <si>
    <t>Data/Scripts/Items/Special/Special Scrolls/ScrollofTranscendence.cs:173-186</t>
  </si>
  <si>
    <t>RB-01261</t>
  </si>
  <si>
    <t>SERIAL-1200</t>
  </si>
  <si>
    <t>Data/Scripts/Items/Special/Special Scrolls/SpecialScroll.cs</t>
  </si>
  <si>
    <t>No source change; SpecialScroll current version 1 write/read is aligned and version 0 intentionally consumes the old inserted base-scroll shape.</t>
  </si>
  <si>
    <t>Data/Scripts/Items/Special/Special Scrolls/SpecialScroll.cs:341-371</t>
  </si>
  <si>
    <t>SpecialScroll writes version 1 skill and value; version 0 deserialization sets InheritsItem and consumes the old skill/value payload for derived scroll compatibility.</t>
  </si>
  <si>
    <t>RB-01287</t>
  </si>
  <si>
    <t>SERIAL-1226</t>
  </si>
  <si>
    <t>Data/Scripts/Items/Special/Veteran Rewards/MiningCart.cs</t>
  </si>
  <si>
    <t>No source change; MiningCart version 1 write/read order is source-aligned, including cart type, reward state, resources, and timer date.</t>
  </si>
  <si>
    <t>Data/Scripts/Items/Special/Veteran Rewards/MiningCart.cs:306-350</t>
  </si>
  <si>
    <t>MiningCart writes encoded version 1, cart type, reward flag, gem/ore counts, and next timer date; deserializer reads version 1 and falls through to the version 0 resource/timer fields.</t>
  </si>
  <si>
    <t>RB-01297</t>
  </si>
  <si>
    <t>SERIAL-1236</t>
  </si>
  <si>
    <t>Data/Scripts/Items/Special/Veteran Rewards/TreeStump.cs</t>
  </si>
  <si>
    <t>No source change; TreeStump version 0 write/read order is source-aligned, including reward state, logs, and timer date.</t>
  </si>
  <si>
    <t>Data/Scripts/Items/Special/Veteran Rewards/TreeStump.cs:157-188</t>
  </si>
  <si>
    <t>TreeStump writes encoded version 0, reward flag, log count, and next timer date; deserializer reads the same fields and restores the resource timer.</t>
  </si>
  <si>
    <t>RB-01383</t>
  </si>
  <si>
    <t>SERIAL-1322</t>
  </si>
  <si>
    <t>Mobiles:Base</t>
  </si>
  <si>
    <t>Data/Scripts/Mobiles/Base/BaseCreature.cs</t>
  </si>
  <si>
    <t>POST-BATCH-B-12A</t>
  </si>
  <si>
    <t>No source change; BaseCreature current version 19 order is aligned while older save shapes are consumed by version gates.</t>
  </si>
  <si>
    <t>Data/Scripts/Mobiles/Base/BaseCreature.cs:6497-6625; Data/Scripts/Mobiles/Base/BaseCreature.cs:6655-6755</t>
  </si>
  <si>
    <t>2026-06-07T12:32:48.7538883-05:00</t>
  </si>
  <si>
    <t>High-blast-radius mobile base serializer; version gates consume legacy fields such as the removed max tame skill without approving any layout edit.</t>
  </si>
  <si>
    <t>RB-01385</t>
  </si>
  <si>
    <t>SERIAL-1324</t>
  </si>
  <si>
    <t>Data/Scripts/Mobiles/Base/BaseVendor.cs</t>
  </si>
  <si>
    <t>No source change; BaseVendor restock delta stream writes encoded index/doubled pairs with a zero sentinel and deserializes the same format.</t>
  </si>
  <si>
    <t>Data/Scripts/Mobiles/Base/BaseVendor.cs:3126-3190</t>
  </si>
  <si>
    <t>Base calls and version read/write are present; the generated alignment finding is resolved by source review.</t>
  </si>
  <si>
    <t>RB-01388</t>
  </si>
  <si>
    <t>SERIAL-1327</t>
  </si>
  <si>
    <t>Data/Scripts/Mobiles/Base/PlayerBarkeeper.cs</t>
  </si>
  <si>
    <t>No source change; BarkeeperRumor is a static helper format with no applicable base serializer override.</t>
  </si>
  <si>
    <t>Data/Scripts/Mobiles/Base/PlayerBarkeeper.cs:108-128</t>
  </si>
  <si>
    <t>Generated base-call finding is extractor noise for an embedded helper record.</t>
  </si>
  <si>
    <t>RB-01390</t>
  </si>
  <si>
    <t>SERIAL-1329</t>
  </si>
  <si>
    <t>No source change; BarkeeperRumor writes a bool sentinel followed by message and keyword, and the reader consumes the same sequence.</t>
  </si>
  <si>
    <t>Helper serializer pair is aligned by source review.</t>
  </si>
  <si>
    <t>RB-01391</t>
  </si>
  <si>
    <t>SERIAL-1330</t>
  </si>
  <si>
    <t>Data/Scripts/Mobiles/Base/PlayerMobile.cs</t>
  </si>
  <si>
    <t>No source change; PlayerMobile version 37 current layout is aligned with the switch/goto reader, and old branches intentionally consume legacy save shapes.</t>
  </si>
  <si>
    <t>Data/Scripts/Mobiles/Base/PlayerMobile.cs:4539-4935; Data/Scripts/Mobiles/Base/PlayerMobile.cs:5004-5221</t>
  </si>
  <si>
    <t>PlayerMobile is a cross-system state hub; existing source comment already records that field order must not change without migration coverage.</t>
  </si>
  <si>
    <t>RB-01396</t>
  </si>
  <si>
    <t>SERIAL-1335</t>
  </si>
  <si>
    <t>Data/Scripts/Mobiles/Base/VendorInventory.cs</t>
  </si>
  <si>
    <t>No source change; VendorInventory is an embedded BaseHouse helper format with no applicable base serializer override.</t>
  </si>
  <si>
    <t>Data/Scripts/Mobiles/Base/VendorInventory.cs:99-140</t>
  </si>
  <si>
    <t>Generated base-call finding is extractor noise for a helper persisted by owning house data.</t>
  </si>
  <si>
    <t>RB-01398</t>
  </si>
  <si>
    <t>SERIAL-1337</t>
  </si>
  <si>
    <t>No source change; VendorInventory writes encoded version, owner, vendor/shop names, item list, gold, and expiry, and its reader consumes the same sequence.</t>
  </si>
  <si>
    <t>RB-00062</t>
  </si>
  <si>
    <t>SERIAL-0001</t>
  </si>
  <si>
    <t>Custom:Book Publisher [2.0]</t>
  </si>
  <si>
    <t>Data/Scripts/Custom/Book Publisher [2.0]/PublishedBook.cs</t>
  </si>
  <si>
    <t>POST-BATCH-B-13A</t>
  </si>
  <si>
    <t>No source change; PublishedBook version 0 writes contributor string, publish dates, original hash, and publish ID, and deserializes the same sequence.</t>
  </si>
  <si>
    <t>Data/Scripts/Custom/Book Publisher [2.0]/PublishedBook.cs:193-226</t>
  </si>
  <si>
    <t>2026-06-07T12:36:52.7279021-05:00</t>
  </si>
  <si>
    <t>Base calls and version read/write are present; source review resolves the generated alignment row.</t>
  </si>
  <si>
    <t>RB-00063</t>
  </si>
  <si>
    <t>SERIAL-0002</t>
  </si>
  <si>
    <t>Custom:CEO's GM Hiding Stone [2.0]</t>
  </si>
  <si>
    <t>Data/Scripts/Custom/CEO's GM Hiding Stone [2.0]/gmhidingstone.cs</t>
  </si>
  <si>
    <t>POST-BATCH-B-14A</t>
  </si>
  <si>
    <t>No source change; GMHidingStone currently writes version 2 effect and hue fields, and deserializes both the current version 2 shape and the older version 1 two-effect shape.</t>
  </si>
  <si>
    <t>Data/Scripts/Custom/CEO's GM Hiding Stone [2.0]/gmhidingstone.cs:748-780</t>
  </si>
  <si>
    <t>2026-06-07T12:40:02.8210795-05:00</t>
  </si>
  <si>
    <t>Version 1 compatibility is intentionally consumed but no longer written; no layout migration is approved by this triage.</t>
  </si>
  <si>
    <t>RB-00079</t>
  </si>
  <si>
    <t>SERIAL-0018</t>
  </si>
  <si>
    <t>Custom:Champions</t>
  </si>
  <si>
    <t>Data/Scripts/Custom/Champions/Mobiles/Minions/PlagueBeastLord.cs</t>
  </si>
  <si>
    <t>POST-BATCH-B-15A</t>
  </si>
  <si>
    <t>No source change; PlagueBeastLord writes encoded version, opener, and optional decay-timer payload, and deserializes the same sequence.</t>
  </si>
  <si>
    <t>Data/Scripts/Custom/Champions/Mobiles/Minions/PlagueBeastLord.cs:276-309</t>
  </si>
  <si>
    <t>2026-06-07T12:42:46.0693251-05:00</t>
  </si>
  <si>
    <t>Base calls are present and the optional timer sentinel guards the paired count/deadline fields.</t>
  </si>
  <si>
    <t>RB-00080</t>
  </si>
  <si>
    <t>SERIAL-0019</t>
  </si>
  <si>
    <t>Data/Scripts/Custom/Champions/System/CannedEvil/ChampionSpawn.cs</t>
  </si>
  <si>
    <t>No source change; ChampionSpawn current version 5 layout is aligned, and older version branches intentionally consume prior spawn-area, idol, and damage-entry shapes.</t>
  </si>
  <si>
    <t>Data/Scripts/Custom/Champions/System/CannedEvil/ChampionSpawn.cs:1144-1182; Data/Scripts/Custom/Champions/System/CannedEvil/ChampionSpawn.cs:1185-1275</t>
  </si>
  <si>
    <t>Versioned switch/goto reader preserves old champion-spawn saves while current writes version 5.</t>
  </si>
  <si>
    <t>RB-00082</t>
  </si>
  <si>
    <t>SERIAL-0021</t>
  </si>
  <si>
    <t>Custom:CloneOfflinePlayerCharacters</t>
  </si>
  <si>
    <t>Data/Scripts/Custom/CloneOfflinePlayerCharacters/BackpackClone.cs</t>
  </si>
  <si>
    <t>POST-BATCH-B-16A</t>
  </si>
  <si>
    <t>No source change; BackpackClone writes and reads only version 0 after base serialization.</t>
  </si>
  <si>
    <t>Data/Scripts/Custom/CloneOfflinePlayerCharacters/BackpackClone.cs:46-55</t>
  </si>
  <si>
    <t>2026-06-07T12:45:34.7412525-05:00</t>
  </si>
  <si>
    <t>Version-only clone container serializer is aligned by source review.</t>
  </si>
  <si>
    <t>RB-00085</t>
  </si>
  <si>
    <t>SERIAL-0024</t>
  </si>
  <si>
    <t>Data/Scripts/Custom/CloneOfflinePlayerCharacters/CharacterClone.cs</t>
  </si>
  <si>
    <t>No source change; CharacterClone writes version 0 and Original mobile, then reads the same payload and deletes itself if Original is missing.</t>
  </si>
  <si>
    <t>Data/Scripts/Custom/CloneOfflinePlayerCharacters/CharacterClone.cs:272-288</t>
  </si>
  <si>
    <t>Clone mobile persistence is aligned by source review.</t>
  </si>
  <si>
    <t>RB-00088</t>
  </si>
  <si>
    <t>SERIAL-0027</t>
  </si>
  <si>
    <t>Data/Scripts/Custom/CloneOfflinePlayerCharacters/EtherealMountClone.cs</t>
  </si>
  <si>
    <t>No source change; EtherealMountClone writes and reads only version 0 after base serialization.</t>
  </si>
  <si>
    <t>Data/Scripts/Custom/CloneOfflinePlayerCharacters/EtherealMountClone.cs:36-45</t>
  </si>
  <si>
    <t>Version-only clone item serializer is aligned by source review.</t>
  </si>
  <si>
    <t>RB-00091</t>
  </si>
  <si>
    <t>SERIAL-0030</t>
  </si>
  <si>
    <t>Data/Scripts/Custom/CloneOfflinePlayerCharacters/MountClone.cs</t>
  </si>
  <si>
    <t>No source change; MountClone writes and reads only version 0 after base serialization.</t>
  </si>
  <si>
    <t>Data/Scripts/Custom/CloneOfflinePlayerCharacters/MountClone.cs:45-54</t>
  </si>
  <si>
    <t>Version-only clone mobile serializer is aligned by source review.</t>
  </si>
  <si>
    <t>RB-00093</t>
  </si>
  <si>
    <t>SERIAL-0032</t>
  </si>
  <si>
    <t>Custom:Government System</t>
  </si>
  <si>
    <t>Data/Scripts/Custom/Government System/Items/Stones/CityResurrectionStone.cs</t>
  </si>
  <si>
    <t>POST-BATCH-B-34A</t>
  </si>
  <si>
    <t>Fixed by writing zero ghost entries when m_ghosts is null while preserving version and field order.</t>
  </si>
  <si>
    <t>Data/Scripts/Custom/Government System/Items/Stones/CityResurrectionStone.cs:278-326</t>
  </si>
  <si>
    <t>2026-06-08T14:34:52.8340561-05:00</t>
  </si>
  <si>
    <t>No save layout, version, namespace, type name, or file-location change; unused newly constructed stones no longer fail serialization.</t>
  </si>
  <si>
    <t>RB-00094</t>
  </si>
  <si>
    <t>SERIAL-0033</t>
  </si>
  <si>
    <t>Data/Scripts/Custom/Government System/NPC Vendor Mall 2.1/LandLord.cs</t>
  </si>
  <si>
    <t>POST-BATCH-B-17A</t>
  </si>
  <si>
    <t>No source change; BaseLandLord version 0 writes rent cost, house, and duration, and deserializes the same sequence.</t>
  </si>
  <si>
    <t>Data/Scripts/Custom/Government System/NPC Vendor Mall 2.1/LandLord.cs:148-165</t>
  </si>
  <si>
    <t>2026-06-07T12:49:12.5066183-05:00</t>
  </si>
  <si>
    <t>Base calls and version read/write are present; BaseHouse is written as an item and read through ReadItem cast.</t>
  </si>
  <si>
    <t>RB-00095</t>
  </si>
  <si>
    <t>SERIAL-0034</t>
  </si>
  <si>
    <t>Data/Scripts/Custom/Government System/NPC Vendor Mall 2.1/MallToken.cs</t>
  </si>
  <si>
    <t>No source change; VendorMallToken version 0 writes house, owner, rent, and duration, and deserializes the same sequence.</t>
  </si>
  <si>
    <t>Data/Scripts/Custom/Government System/NPC Vendor Mall 2.1/MallToken.cs:103-122</t>
  </si>
  <si>
    <t>RB-00096</t>
  </si>
  <si>
    <t>SERIAL-0035</t>
  </si>
  <si>
    <t>Data/Scripts/Custom/Government System/Resourcebox/ResourceBox.cs</t>
  </si>
  <si>
    <t>No source change; ResourceBox version 0 writes resource type names and amounts, and the reader consumes each name plus amount, discarding the amount for unknown types.</t>
  </si>
  <si>
    <t>Data/Scripts/Custom/Government System/Resourcebox/ResourceBox.cs:210-248</t>
  </si>
  <si>
    <t>Generated alignment noise comes from the unknown-type branch that still consumes the paired amount before continuing.</t>
  </si>
  <si>
    <t>RB-00097</t>
  </si>
  <si>
    <t>SERIAL-0036</t>
  </si>
  <si>
    <t>Data/Scripts/Custom/Government System/Vendor/CityLandLord.cs</t>
  </si>
  <si>
    <t>No source change; CityLandLord version 0 writes vendor spawner list, sign, stone, and area, and deserializes the same sequence.</t>
  </si>
  <si>
    <t>Data/Scripts/Custom/Government System/Vendor/CityLandLord.cs:262-290</t>
  </si>
  <si>
    <t>Generated row omitted some structured helper writes, but source review confirms matching item-list and Rect3D-array payloads.</t>
  </si>
  <si>
    <t>RB-00252</t>
  </si>
  <si>
    <t>SERIAL-0191</t>
  </si>
  <si>
    <t>Custom:PandorasGiftBox</t>
  </si>
  <si>
    <t>Data/Scripts/Custom/PandorasGiftBox/PandorasGiftBox.cs</t>
  </si>
  <si>
    <t>POST-BATCH-B-18A</t>
  </si>
  <si>
    <t>No source change; RandomGiftBox writes and reads only version 0 after base serialization.</t>
  </si>
  <si>
    <t>Data/Scripts/Custom/PandorasGiftBox/PandorasGiftBox.cs:75-86</t>
  </si>
  <si>
    <t>2026-06-07T12:51:58.8396348-05:00</t>
  </si>
  <si>
    <t>Version-only gift-box serializer is aligned by source review.</t>
  </si>
  <si>
    <t>RB-00257</t>
  </si>
  <si>
    <t>SERIAL-0196</t>
  </si>
  <si>
    <t>Custom:Skill Stone</t>
  </si>
  <si>
    <t>Data/Scripts/Custom/Skill Stone/SkillStone.cs</t>
  </si>
  <si>
    <t>POST-BATCH-B-19A</t>
  </si>
  <si>
    <t>No source change; SkillStone version 0 writes skill points, max level, and assigned player, and deserializes the same sequence.</t>
  </si>
  <si>
    <t>Data/Scripts/Custom/Skill Stone/SkillStone.cs:168-199</t>
  </si>
  <si>
    <t>2026-06-07T12:54:29.1482173-05:00</t>
  </si>
  <si>
    <t>RB-00259</t>
  </si>
  <si>
    <t>SERIAL-0198</t>
  </si>
  <si>
    <t>Custom:Staff Toolbar [2.0]</t>
  </si>
  <si>
    <t>Data/Scripts/Custom/Staff Toolbar [2.0]/Toolbar.cs</t>
  </si>
  <si>
    <t>POST-BATCH-B-20A</t>
  </si>
  <si>
    <t>No source change; ToolbarInfos currently writes version 130 toolbar records and deserializes both current version 130 and older version 100 layouts.</t>
  </si>
  <si>
    <t>Data/Scripts/Custom/Staff Toolbar [2.0]/Toolbar.cs:126-162; Data/Scripts/Custom/Staff Toolbar [2.0]/Toolbar.cs:164-240; Data/Scripts/Custom/Staff Toolbar [2.0]/Toolbar.cs:313-329</t>
  </si>
  <si>
    <t>2026-06-07T13:00:54.3537424-05:00</t>
  </si>
  <si>
    <t>Version 130 write/read is aligned; version 100 is an intentional legacy read path, and ToolbarInfo constructor appends deserialized records back into ToolbarHelper.Infos.Info.</t>
  </si>
  <si>
    <t>RB-00299</t>
  </si>
  <si>
    <t>SERIAL-0238</t>
  </si>
  <si>
    <t>Custom:Voting</t>
  </si>
  <si>
    <t>Data/Scripts/Custom/Voting/VoteSite.cs</t>
  </si>
  <si>
    <t>POST-BATCH-B-21A</t>
  </si>
  <si>
    <t>No source change; VoteSite version 0 writes parent item, name, URL, and cooldown, and deserializes the same sequence.</t>
  </si>
  <si>
    <t>Data/Scripts/Custom/Voting/VoteSite.cs:113-149</t>
  </si>
  <si>
    <t>2026-06-07T13:04:45.9390281-05:00</t>
  </si>
  <si>
    <t>Helper serializer format is paired and source-aligned.</t>
  </si>
  <si>
    <t>RB-00295</t>
  </si>
  <si>
    <t>SERIAL-0234</t>
  </si>
  <si>
    <t>Data/Scripts/Custom/Voting/VoteItem.cs</t>
  </si>
  <si>
    <t>No source change; VoteItem version 0 writes messages and the embedded VoteSite payload, and deserializes the same sequence.</t>
  </si>
  <si>
    <t>Data/Scripts/Custom/Voting/VoteItem.cs:167-203; Data/Scripts/Custom/Voting/VoteSite.cs:113-149</t>
  </si>
  <si>
    <t>Generated reader order omitted nested VoteSite reads, but source review confirms the paired embedded helper payload.</t>
  </si>
  <si>
    <t>RB-00301</t>
  </si>
  <si>
    <t>SERIAL-0240</t>
  </si>
  <si>
    <t>Data/Scripts/Custom/Voting/VoteStone.cs</t>
  </si>
  <si>
    <t>No source change; VoteStone calls VoteItem/base serialization first, then writes version 0 label text and deserializes the same sequence.</t>
  </si>
  <si>
    <t>Data/Scripts/Custom/Voting/VoteStone.cs:109-143</t>
  </si>
  <si>
    <t>Derived item serializer preserves base-first order and aligned label payload.</t>
  </si>
  <si>
    <t>RB-00297</t>
  </si>
  <si>
    <t>SERIAL-0236</t>
  </si>
  <si>
    <t>No source change; VoteSite is a PropertyObject/helper serializer, not an Item/Mobile override requiring base serialization.</t>
  </si>
  <si>
    <t>Data/Scripts/Custom/Voting/VoteSite.cs:16-17; Data/Scripts/Custom/Voting/VoteSite.cs:113-149</t>
  </si>
  <si>
    <t>Base-call finding is extractor noise for an embedded helper record.</t>
  </si>
  <si>
    <t>RB-00380</t>
  </si>
  <si>
    <t>SERIAL-0319</t>
  </si>
  <si>
    <t>Items:Armor</t>
  </si>
  <si>
    <t>Data/Scripts/Items/Armor/Leather/LeatherNinjaMitts.cs</t>
  </si>
  <si>
    <t>POST-BATCH-B-22A</t>
  </si>
  <si>
    <t>No source change; LeatherNinjaMitts currently writes version 2 with no custom payload and still consumes old version 1 arcane-charge payloads.</t>
  </si>
  <si>
    <t>Data/Scripts/Items/Armor/Leather/LeatherNinjaMitts.cs:76-103</t>
  </si>
  <si>
    <t>2026-06-07T13:08:13.8438738-05:00</t>
  </si>
  <si>
    <t>Version 1 arcane-charge reads are a legacy compatibility branch; current version 2 writes no such payload.</t>
  </si>
  <si>
    <t>RB-00377</t>
  </si>
  <si>
    <t>SERIAL-0316</t>
  </si>
  <si>
    <t>Data/Scripts/Items/Armor/BaseArmor.cs</t>
  </si>
  <si>
    <t>No source change; BaseArmor currently writes version 7 flag-gated payloads and deserializes version 7 plus legacy version 0-6 layouts.</t>
  </si>
  <si>
    <t>Data/Scripts/Items/Armor/BaseArmor.cs:1318-1430; Data/Scripts/Items/Armor/BaseArmor.cs:1432-1725</t>
  </si>
  <si>
    <t>Generated row includes legacy reads after current version 7; source review confirms those branches intentionally consume older armor save shapes.</t>
  </si>
  <si>
    <t>RB-00379</t>
  </si>
  <si>
    <t>SERIAL-0318</t>
  </si>
  <si>
    <t>Data/Scripts/Items/Armor/Leather/LeatherGloves.cs</t>
  </si>
  <si>
    <t>No source change; LeatherGloves version 1 writes an arcane sentinel and optional charge integers, and deserializes the same conditional payload.</t>
  </si>
  <si>
    <t>Data/Scripts/Items/Armor/Leather/LeatherGloves.cs:77-115</t>
  </si>
  <si>
    <t>Arcane bool sentinel gates the same two charge integers on write and read.</t>
  </si>
  <si>
    <t>RB-00384</t>
  </si>
  <si>
    <t>SERIAL-0323</t>
  </si>
  <si>
    <t>Items:Boats</t>
  </si>
  <si>
    <t>Data/Scripts/Items/Boats/BaseDockedBoat.cs</t>
  </si>
  <si>
    <t>POST-BATCH-B-23A</t>
  </si>
  <si>
    <t>No source change; BaseDockedBoat currently writes version 1 multi id, offset, and ship name, and still consumes the old version 0 trailing uint.</t>
  </si>
  <si>
    <t>Data/Scripts/Items/Boats/BaseDockedBoat.cs:71-102</t>
  </si>
  <si>
    <t>2026-06-07T13:11:10.2426654-05:00</t>
  </si>
  <si>
    <t>Current version 1 write/read is aligned; version 0 has an intentional legacy trailing uint read.</t>
  </si>
  <si>
    <t>RB-00393</t>
  </si>
  <si>
    <t>SERIAL-0332</t>
  </si>
  <si>
    <t>POST-BATCH-B-24A</t>
  </si>
  <si>
    <t>No source change; BaseBook currently writes version 4 secure-level and flag-gated book content, and still consumes older version 0-3 book layouts.</t>
  </si>
  <si>
    <t>Data/Scripts/Items/Books/BaseBook.cs:175-214; Data/Scripts/Items/Books/BaseBook.cs:216-295</t>
  </si>
  <si>
    <t>2026-06-07T13:14:26.7946669-05:00</t>
  </si>
  <si>
    <t>Generated row includes legacy reads after current version 4; source review confirms those branches intentionally consume older book save shapes.</t>
  </si>
  <si>
    <t>RB-00398</t>
  </si>
  <si>
    <t>SERIAL-0337</t>
  </si>
  <si>
    <t>No source change; BookPageInfo writes line count and line strings, and its GenericReader constructor reads the same helper payload.</t>
  </si>
  <si>
    <t>Data/Scripts/Items/Books/BaseBook.cs:33-49</t>
  </si>
  <si>
    <t>Generated alignment row missed the paired reader constructor; source review resolves it as helper-record extractor noise.</t>
  </si>
  <si>
    <t>RB-00396</t>
  </si>
  <si>
    <t>SERIAL-0335</t>
  </si>
  <si>
    <t>No source change; BookPageInfo is an embedded helper record with a paired GenericReader constructor, not an Item/Mobile override requiring base serialization.</t>
  </si>
  <si>
    <t>Data/Scripts/Items/Books/BaseBook.cs:13-49</t>
  </si>
  <si>
    <t>Base-call finding is extractor noise for a helper record.</t>
  </si>
  <si>
    <t>RB-00425</t>
  </si>
  <si>
    <t>SERIAL-0364</t>
  </si>
  <si>
    <t>Data/Scripts/Items/Books/PowerScrolls/PowerScroll.cs</t>
  </si>
  <si>
    <t>No source change; PowerScroll writes version 0 for current derived saves, and skips that subclass version only when SpecialScroll marked an old Item-insertion save shape.</t>
  </si>
  <si>
    <t>Data/Scripts/Items/Books/PowerScrolls/PowerScroll.cs:370-380; Data/Scripts/Items/Special/Special Scrolls/SpecialScroll.cs:13-20; Data/Scripts/Items/Special/Special Scrolls/SpecialScroll.cs:341-373</t>
  </si>
  <si>
    <t>Conditional version read is an intentional SpecialScroll insertion compatibility path, not a current layout mismatch.</t>
  </si>
  <si>
    <t>RB-00434</t>
  </si>
  <si>
    <t>SERIAL-0373</t>
  </si>
  <si>
    <t>Items:Clothing</t>
  </si>
  <si>
    <t>Data/Scripts/Items/Clothing/Shoes.cs</t>
  </si>
  <si>
    <t>POST-BATCH-B-25A</t>
  </si>
  <si>
    <t>No source change; ThighBoots version 1 writes an arcane sentinel and optional charge integers, and deserializes the same conditional payload.</t>
  </si>
  <si>
    <t>Data/Scripts/Items/Clothing/Shoes.cs:259-296</t>
  </si>
  <si>
    <t>2026-06-07T13:17:03.7614640-05:00</t>
  </si>
  <si>
    <t>RB-00430</t>
  </si>
  <si>
    <t>SERIAL-0369</t>
  </si>
  <si>
    <t>Data/Scripts/Items/Clothing/OuterTorso.cs</t>
  </si>
  <si>
    <t>No source change; Robe version 1 writes an arcane sentinel and optional charge integers, and deserializes the same conditional payload.</t>
  </si>
  <si>
    <t>Data/Scripts/Items/Clothing/OuterTorso.cs:585-622</t>
  </si>
  <si>
    <t>RB-00431</t>
  </si>
  <si>
    <t>SERIAL-0370</t>
  </si>
  <si>
    <t>No source change; BaseShoes currently writes version 2 with no custom resource payload and still consumes the old version 1 resource value.</t>
  </si>
  <si>
    <t>Data/Scripts/Items/Clothing/Shoes.cs:25-50</t>
  </si>
  <si>
    <t>Version 1 resource read is a legacy compatibility branch; current version 2 writes no such payload.</t>
  </si>
  <si>
    <t>RB-00428</t>
  </si>
  <si>
    <t>SERIAL-0367</t>
  </si>
  <si>
    <t>Data/Scripts/Items/Clothing/BaseClothing.cs</t>
  </si>
  <si>
    <t>No source change; BaseClothing currently writes version 5 flag-gated payloads and deserializes version 5 plus legacy version 0-4 layouts.</t>
  </si>
  <si>
    <t>Data/Scripts/Items/Clothing/BaseClothing.cs:1009-1060; Data/Scripts/Items/Clothing/BaseClothing.cs:1062-1155</t>
  </si>
  <si>
    <t>Generated row includes legacy reads after current version 5; source review confirms those branches intentionally consume older clothing save shapes.</t>
  </si>
  <si>
    <t>RB-00429</t>
  </si>
  <si>
    <t>SERIAL-0368</t>
  </si>
  <si>
    <t>Data/Scripts/Items/Clothing/Cloaks.cs</t>
  </si>
  <si>
    <t>No source change; Cloak version 1 writes an arcane sentinel and optional charge integers, and deserializes the same conditional payload.</t>
  </si>
  <si>
    <t>Data/Scripts/Items/Clothing/Cloaks.cs:123-160</t>
  </si>
  <si>
    <t>RB-00551</t>
  </si>
  <si>
    <t>SERIAL-0490</t>
  </si>
  <si>
    <t>Items:Containers</t>
  </si>
  <si>
    <t>Data/Scripts/Items/Containers/FillableContainers.cs</t>
  </si>
  <si>
    <t>POST-BATCH-B-26A</t>
  </si>
  <si>
    <t>No source change; FillableContainer version 1 writes content type plus a bool-gated respawn delta, and deserializes the same conditional payload with a version 0 fall-through.</t>
  </si>
  <si>
    <t>Data/Scripts/Items/Containers/FillableContainers.cs:247-264; Data/Scripts/Items/Containers/FillableContainers.cs:266-296</t>
  </si>
  <si>
    <t>2026-06-07T13:24:13.0985293-05:00</t>
  </si>
  <si>
    <t>Current version 1 write/read is aligned; version 0 branch intentionally preserves the earlier no-content-type layout.</t>
  </si>
  <si>
    <t>RB-00643</t>
  </si>
  <si>
    <t>SERIAL-0582</t>
  </si>
  <si>
    <t>Items:Deeds</t>
  </si>
  <si>
    <t>Data/Scripts/Items/Deeds/DragonBardingDeed.cs</t>
  </si>
  <si>
    <t>POST-BATCH-B-27A</t>
  </si>
  <si>
    <t>No source change; DragonBardingDeed current version 1 writes exceptional, crafter, and resource values in order and still consumes the version 0 legacy extra integer before resource.</t>
  </si>
  <si>
    <t>Data/Scripts/Items/Deeds/DragonBardingDeed.cs:119-128; Data/Scripts/Items/Deeds/DragonBardingDeed.cs:130-151</t>
  </si>
  <si>
    <t>2026-06-07T13:29:11.7318672-05:00</t>
  </si>
  <si>
    <t>Current version 1 write/read is aligned; the additional read is gated to version 0 legacy saves.</t>
  </si>
  <si>
    <t>RB-00664</t>
  </si>
  <si>
    <t>SERIAL-0603</t>
  </si>
  <si>
    <t>Items:Food</t>
  </si>
  <si>
    <t>Data/Scripts/Items/Food/Beverage.cs</t>
  </si>
  <si>
    <t>POST-BATCH-B-28A</t>
  </si>
  <si>
    <t>No source change; BaseBeverage.Deserialize delegates to InternalDeserialize(reader, true), and that helper calls base.Deserialize before reading this class payload.</t>
  </si>
  <si>
    <t>Data/Scripts/Items/Food/Beverage.cs:1419-1430; Data/Scripts/Items/Food/Beverage.cs:1437-1466</t>
  </si>
  <si>
    <t>2026-06-07T13:33:13.4111031-05:00</t>
  </si>
  <si>
    <t>Generated MissingBaseDeserialize row is extractor noise caused by the delegated InternalDeserialize helper.</t>
  </si>
  <si>
    <t>RB-00666</t>
  </si>
  <si>
    <t>SERIAL-0605</t>
  </si>
  <si>
    <t>No source change; BaseBeverage version 1 writes poisoner, poison, content, and quantity, and InternalDeserialize reads the same payload in order.</t>
  </si>
  <si>
    <t>Poison.Serialize/Deserialize is paired between the poisoner and content fields; generated reader extraction missed the helper method.</t>
  </si>
  <si>
    <t>RB-00671</t>
  </si>
  <si>
    <t>SERIAL-0610</t>
  </si>
  <si>
    <t>No source change; Pitcher current version 1 writes the BaseBeverage payload plus its own version, while old PitcherWater/GlassPitcher aliases intentionally skip the BaseBeverage payload through InternalDeserialize(reader, false).</t>
  </si>
  <si>
    <t>Data/Scripts/Items/Food/Beverage.cs:581-595; Data/Scripts/Items/Food/Beverage.cs:597-653</t>
  </si>
  <si>
    <t>Non-legacy pitcher saves use the normal BaseBeverage read path; alias handling is a legacy compatibility branch.</t>
  </si>
  <si>
    <t>RB-00672</t>
  </si>
  <si>
    <t>SERIAL-0611</t>
  </si>
  <si>
    <t>Data/Scripts/Items/Food/Food.cs</t>
  </si>
  <si>
    <t>No source change; Food current version 4 writes poisoner, poison, and fill factor, and deserializes those through the version 4 to version 3 fall-through while preserving older poison formats.</t>
  </si>
  <si>
    <t>Data/Scripts/Items/Food/Food.cs:264-274; Data/Scripts/Items/Food/Food.cs:276-324</t>
  </si>
  <si>
    <t>Generated read-order noise comes from version 1-3 legacy poison/fill branches; current version 4 is aligned.</t>
  </si>
  <si>
    <t>RB-01342</t>
  </si>
  <si>
    <t>SERIAL-1281</t>
  </si>
  <si>
    <t>Items:Weapons</t>
  </si>
  <si>
    <t>Data/Scripts/Items/Weapons/BaseWeapon.cs</t>
  </si>
  <si>
    <t>POST-BATCH-B-29A</t>
  </si>
  <si>
    <t>No source change; BaseWeapon current version 9 writes save flags plus conditional fields and deserializes the same flagged payload while preserving older weapon layouts.</t>
  </si>
  <si>
    <t>Data/Scripts/Items/Weapons/BaseWeapon.cs:3738-3878; Data/Scripts/Items/Weapons/BaseWeapon.cs:3917-4180</t>
  </si>
  <si>
    <t>2026-06-07T13:35:28.9172195-05:00</t>
  </si>
  <si>
    <t>Generated read-order noise comes from older version branches and conditional save flags; current version 9 flag payload is aligned.</t>
  </si>
  <si>
    <t>RB-01343</t>
  </si>
  <si>
    <t>SERIAL-1282</t>
  </si>
  <si>
    <t>Data/Scripts/Items/Weapons/Bows/BaseRanged.cs</t>
  </si>
  <si>
    <t>No source change; BaseRanged current version 3 writes balanced and velocity values and deserializes the same fields before falling through older empty/legacy branches.</t>
  </si>
  <si>
    <t>Data/Scripts/Items/Weapons/Bows/BaseRanged.cs:445-453; Data/Scripts/Items/Weapons/Bows/BaseRanged.cs:455-481</t>
  </si>
  <si>
    <t>Version 0 consumes the old effect-id payload; current version 3 write/read remains aligned.</t>
  </si>
  <si>
    <t>RB-01359</t>
  </si>
  <si>
    <t>SERIAL-1298</t>
  </si>
  <si>
    <t>Magic:Druidism</t>
  </si>
  <si>
    <t>Data/Scripts/Magic/Druidism/Effects/BlendWithForrestSpell.cs</t>
  </si>
  <si>
    <t>POST-BATCH-B-30B</t>
  </si>
  <si>
    <t>Fixed by consuming the existing duration payload before owner/squelch reads, restoring owner state, and deleting the transient effect item on load without changing writer order or version.</t>
  </si>
  <si>
    <t>Data/Scripts/Magic/Druidism/Effects/BlendWithForrestSpell.cs:123-151</t>
  </si>
  <si>
    <t>2026-06-08T01:42:04.9233477-05:00</t>
  </si>
  <si>
    <t>Human decision applied: transient timed-effect item cleanup on load is accepted, but existing payload is consumed for save-stream alignment.</t>
  </si>
  <si>
    <t>RB-01361</t>
  </si>
  <si>
    <t>SERIAL-1300</t>
  </si>
  <si>
    <t>Data/Scripts/Magic/Druidism/Effects/GraspingRootsSpell.cs</t>
  </si>
  <si>
    <t>Fixed by consuming the existing duration payload and deleting the transient effect item on load without changing writer order or version.</t>
  </si>
  <si>
    <t>Data/Scripts/Magic/Druidism/Effects/GraspingRootsSpell.cs:116-132</t>
  </si>
  <si>
    <t>RB-01380</t>
  </si>
  <si>
    <t>SERIAL-1319</t>
  </si>
  <si>
    <t>Mobiles:Animals</t>
  </si>
  <si>
    <t>Data/Scripts/Mobiles/Animals/Mounts/Ethereals.cs</t>
  </si>
  <si>
    <t>POST-BATCH-B-31A</t>
  </si>
  <si>
    <t>No source change; current version 3 writes donation flag, reward flag, mounted ID, regular ID, and rider and deserializes the same current payload, while version 1 intentionally consumes an old discarded integer before the shared version 0 payload.</t>
  </si>
  <si>
    <t>Data/Scripts/Mobiles/Animals/Mounts/Ethereals.cs:338-400</t>
  </si>
  <si>
    <t>2026-06-08T01:45:58.1124396-05:00</t>
  </si>
  <si>
    <t>Generated count mismatch is caused by version 1 legacy discard read, not by the current version 3 save shape.</t>
  </si>
  <si>
    <t>RB-01417</t>
  </si>
  <si>
    <t>SERIAL-1356</t>
  </si>
  <si>
    <t>Quests:Summon</t>
  </si>
  <si>
    <t>Data/Scripts/Quests/Summon/SummonPrison.cs</t>
  </si>
  <si>
    <t>Fixed by reading PrisonerFullNameUsed and PrisonerClothColorUsed before PrisonerSerial to match current writer order.</t>
  </si>
  <si>
    <t>Data/Scripts/Quests/Summon/SummonPrison.cs:486-540</t>
  </si>
  <si>
    <t>Likely human save-policy decision applied: current writer layout is authoritative; no migration branch was needed from current source evidence.</t>
  </si>
  <si>
    <t>RB-01555</t>
  </si>
  <si>
    <t>SERIAL-1494</t>
  </si>
  <si>
    <t>System:Regions</t>
  </si>
  <si>
    <t>Data/Scripts/System/Regions/Spawning/SpawnEntry.cs</t>
  </si>
  <si>
    <t>POST-BATCH-B-33A</t>
  </si>
  <si>
    <t>No source change; generated finding is extractor noise for a SpawnEntry helper serializer. SpawnPersistence writes the parent version and calls SpawnEntry.Serialize, and SpawnEntry.Deserialize(reader, version) or SpawnEntry.Remove(reader, version) consumes the paired helper payload.</t>
  </si>
  <si>
    <t>Data/Scripts/System/Regions/Spawning/SpawnPersistence.cs:39-70; Data/Scripts/System/Regions/Spawning/SpawnEntry.cs:277-361</t>
  </si>
  <si>
    <t>2026-06-08T01:51:02.7822737-05:00</t>
  </si>
  <si>
    <t>SpawnEntry is not an Item/Mobile override serializer; base-call and missing-reader findings are not applicable to this helper persistence shape.</t>
  </si>
  <si>
    <t>RB-01557</t>
  </si>
  <si>
    <t>SERIAL-1496</t>
  </si>
  <si>
    <t>RB-01877</t>
  </si>
  <si>
    <t>P10-F01877</t>
  </si>
  <si>
    <t>Runtime hooks</t>
  </si>
  <si>
    <t>POST-BATCH-C-01A</t>
  </si>
  <si>
    <t>PHC-001</t>
  </si>
  <si>
    <t>No new source change; prior POST-BATCH-A source fix already addressed this runtime hook row: Patched XmlTextEntryBook.ContentChange and BaseContentChange to enforce writable/range/accessibility before accepting client page edits.</t>
  </si>
  <si>
    <t>docs/codebase-audit/outputs/post-batch-c-runtime-hooks-player-mobile-review.csv</t>
  </si>
  <si>
    <t>Recorded by current POST-BATCH-C-01A audit artifact commit</t>
  </si>
  <si>
    <t>2026-06-08T15:41:13.9877742-05:00</t>
  </si>
  <si>
    <t>Mapped to PHA-001 in POST-BATCH-A.</t>
  </si>
  <si>
    <t>RB-01878</t>
  </si>
  <si>
    <t>P10-F01878</t>
  </si>
  <si>
    <t>PHC-002</t>
  </si>
  <si>
    <t>No new source change; prior POST-BATCH-A source fix already addressed this runtime hook row: Patched XmlAttach.UseReq to restore core NextActionTime update after accepted use requests and core Counselor bypass threshold.</t>
  </si>
  <si>
    <t>Mapped to PHA-002 in POST-BATCH-A.</t>
  </si>
  <si>
    <t>RB-01879</t>
  </si>
  <si>
    <t>P10-F01879</t>
  </si>
  <si>
    <t>PHC-003</t>
  </si>
  <si>
    <t>No source change; prior POST-BATCH-A packet-handler review found existing guards acceptable for this runtime hook row: Kept commented registration unchanged; active 0x66 review and fixes are recorded in PHA-001.</t>
  </si>
  <si>
    <t>Mapped to PHA-003 in POST-BATCH-A.</t>
  </si>
  <si>
    <t>RB-01880</t>
  </si>
  <si>
    <t>P10-F01880</t>
  </si>
  <si>
    <t>PHC-004</t>
  </si>
  <si>
    <t>No source change; prior POST-BATCH-A packet-handler review found existing guards acceptable for this runtime hook row: No source change; guards match the expected BaseBook header edit path.</t>
  </si>
  <si>
    <t>Mapped to PHA-004 in POST-BATCH-A.</t>
  </si>
  <si>
    <t>RB-01881</t>
  </si>
  <si>
    <t>P10-F01881</t>
  </si>
  <si>
    <t>PHC-005</t>
  </si>
  <si>
    <t>No source change; prior POST-BATCH-A packet-handler review found existing guards acceptable for this runtime hook row: No direct BaseBook source change; XMLSpawner delegate parity is fixed in PHA-001.</t>
  </si>
  <si>
    <t>Mapped to PHA-005 in POST-BATCH-A.</t>
  </si>
  <si>
    <t>RB-01882</t>
  </si>
  <si>
    <t>P10-F01882</t>
  </si>
  <si>
    <t>PHC-006</t>
  </si>
  <si>
    <t>No source change; prior POST-BATCH-A packet-handler review found existing guards acceptable for this runtime hook row: No source change; legacy handler has the same core access/range guard shape as HeaderChange.</t>
  </si>
  <si>
    <t>Mapped to PHA-006 in POST-BATCH-A.</t>
  </si>
  <si>
    <t>RB-01883</t>
  </si>
  <si>
    <t>P10-F01883</t>
  </si>
  <si>
    <t>POST-BATCH-E-94A</t>
  </si>
  <si>
    <t>PHE-282</t>
  </si>
  <si>
    <t>Patched Monopoly DisplayGumpResponse to complete the deferred exact switch/text maximum parity repair: it still saves and restores PacketReader position before m_Successor or core fallback, and now rejects switch counts above the matched gump's check/radio entry count, rejects text counts above the matched gump's text-entry count, and disconnects oversized text-entry payloads before relay allocation or OnResponse.</t>
  </si>
  <si>
    <t>docs/codebase-audit/outputs/post-batch-e-hooks-gumps-commands-regions-review.csv</t>
  </si>
  <si>
    <t>Data/Scripts/Items/Houses/Monopoly/Misc/GumpResponse.cs:19-142; Data/System/Source/Network/PacketHandlers.cs:1267-1327; Data/System/Source/Gumps/Gump.cs:35-36;530-531; Data/System/Source/Gumps/GumpCheck.cs:103-114; Data/System/Source/Gumps/GumpRadio.cs:103-114; Data/System/Source/Gumps/GumpTextEntry.cs:113-124; Data/System/Source/Gumps/GumpTextEntryLimited.cs:123-135</t>
  </si>
  <si>
    <t>d75479ea and current POST-BATCH-E-94A source fix commit</t>
  </si>
  <si>
    <t>2026-06-09T23:04:31.0536900-05:00</t>
  </si>
  <si>
    <t>Supersedes the POST-BATCH-C-01A active overlay row for RB-01883; mapped to PHA-007 in POST-BATCH-A.</t>
  </si>
  <si>
    <t>RB-01884</t>
  </si>
  <si>
    <t>P10-F01884</t>
  </si>
  <si>
    <t>PHC-008</t>
  </si>
  <si>
    <t>No source change; prior POST-BATCH-A packet-handler review found existing guards acceptable for this runtime hook row: No source change; retained for later broader bulletin-board content/rate-limit review if needed.</t>
  </si>
  <si>
    <t>Mapped to PHA-008 in POST-BATCH-A.</t>
  </si>
  <si>
    <t>RB-01885</t>
  </si>
  <si>
    <t>P10-F01885</t>
  </si>
  <si>
    <t>PHC-009</t>
  </si>
  <si>
    <t>No source change; prior POST-BATCH-A packet-handler review found existing guards acceptable for this runtime hook row: No source change; review records game-state authorization as the controlling guard.</t>
  </si>
  <si>
    <t>Mapped to PHA-009 in POST-BATCH-A.</t>
  </si>
  <si>
    <t>RB-01886</t>
  </si>
  <si>
    <t>P10-F01886</t>
  </si>
  <si>
    <t>PHC-010</t>
  </si>
  <si>
    <t>No source change; prior POST-BATCH-A packet-handler review found existing guards acceptable for this runtime hook row: No source change; existing command methods provide the meaningful access/range gates.</t>
  </si>
  <si>
    <t>Mapped to PHA-010 in POST-BATCH-A.</t>
  </si>
  <si>
    <t>RB-01887</t>
  </si>
  <si>
    <t>P10-F01887</t>
  </si>
  <si>
    <t>PHC-011</t>
  </si>
  <si>
    <t>No source change; prior POST-BATCH-A packet-handler review found existing guards acceptable for this runtime hook row: No source change; downstream Channel.OnChat enforces CanChat for the ASCII guild path.</t>
  </si>
  <si>
    <t>Mapped to PHA-011 in POST-BATCH-A.</t>
  </si>
  <si>
    <t>RB-01888</t>
  </si>
  <si>
    <t>P10-F01888</t>
  </si>
  <si>
    <t>PHC-012</t>
  </si>
  <si>
    <t>No source change; prior POST-BATCH-A packet-handler review found existing guards acceptable for this runtime hook row: No source change; explicit CanChat and downstream Channel.OnChat checks both protect guild chat.</t>
  </si>
  <si>
    <t>Mapped to PHA-012 in POST-BATCH-A.</t>
  </si>
  <si>
    <t>RB-01889</t>
  </si>
  <si>
    <t>P10-F01889</t>
  </si>
  <si>
    <t>PHC-013</t>
  </si>
  <si>
    <t>No source change; prior POST-BATCH-A packet-handler review found existing guards acceptable for this runtime hook row: No source change; privacy/access surface is command-gated and broader retention policy is outside this batch.</t>
  </si>
  <si>
    <t>Mapped to PHA-013 in POST-BATCH-A.</t>
  </si>
  <si>
    <t>RB-01890</t>
  </si>
  <si>
    <t>P10-F01890</t>
  </si>
  <si>
    <t>PHC-014</t>
  </si>
  <si>
    <t>No source change; prior POST-BATCH-A packet-handler review found existing guards acceptable for this runtime hook row: No source change; subhandler ingame gate is explicit in DecodeBundledPacket.</t>
  </si>
  <si>
    <t>Mapped to PHA-014 in POST-BATCH-A.</t>
  </si>
  <si>
    <t>RB-01891</t>
  </si>
  <si>
    <t>P10-F01891</t>
  </si>
  <si>
    <t>PHC-015</t>
  </si>
  <si>
    <t>No source change; prior POST-BATCH-A packet-handler review found existing guards acceptable for this runtime hook row: No source change; recorded as a later design/security-policy review candidate rather than changing remote admin protocol in the packet batch.</t>
  </si>
  <si>
    <t>Mapped to PHA-015 in POST-BATCH-A.</t>
  </si>
  <si>
    <t>RB-01892</t>
  </si>
  <si>
    <t>P10-F01892</t>
  </si>
  <si>
    <t>PHC-016</t>
  </si>
  <si>
    <t>No source change; prior POST-BATCH-A packet-handler review found existing guards acceptable for this runtime hook row: No source change; legacy chat policy remains for a later chat-system review.</t>
  </si>
  <si>
    <t>Mapped to PHA-016 in POST-BATCH-A.</t>
  </si>
  <si>
    <t>RB-01893</t>
  </si>
  <si>
    <t>P10-F01893</t>
  </si>
  <si>
    <t>PHC-017</t>
  </si>
  <si>
    <t>No source change; prior POST-BATCH-A packet-handler review found existing guards acceptable for this runtime hook row: No source change; broad legacy chat behavior remains deferred to chat-system review after P0 packet pass.</t>
  </si>
  <si>
    <t>Mapped to PHA-017 in POST-BATCH-A.</t>
  </si>
  <si>
    <t>RB-05228</t>
  </si>
  <si>
    <t>P10-F05228</t>
  </si>
  <si>
    <t>PlayerMobile coupling</t>
  </si>
  <si>
    <t>PHC-018</t>
  </si>
  <si>
    <t>No source change; SkillStone writes a PlayerMobile reference through the Mobile writer overload and reads it back with reader.ReadMobile() cast to PlayerMobile, preserving the saved object-reference format.</t>
  </si>
  <si>
    <t>Data/Scripts/Custom/Skill Stone/SkillStone.cs:168-199; serialization-register.csv Server.Items.SkillStone Writes/Reads</t>
  </si>
  <si>
    <t>Keep namespace/type stable; future SkillStone changes should preserve assigned-player reference semantics.</t>
  </si>
  <si>
    <t>RB-05352</t>
  </si>
  <si>
    <t>P10-F05352</t>
  </si>
  <si>
    <t>PHC-019</t>
  </si>
  <si>
    <t>No source change; source review found current PlayerMobile version 37 fall-through mirrors Serialize. The generated count mismatch is conservative noise around helper serializers, conditional collection loops, and versioned legacy branches, not a source-confirmed stream mismatch.</t>
  </si>
  <si>
    <t>Data/Scripts/Mobiles/Base/PlayerMobile.cs:4539-4937; Data/Scripts/Mobiles/Base/PlayerMobile.cs:5004-5221; comment-target-register.csv P10-COM-2671</t>
  </si>
  <si>
    <t>Existing Phase 11 comment at PlayerMobile.cs:4544 documents this risk.</t>
  </si>
  <si>
    <t>RB-05362</t>
  </si>
  <si>
    <t>P10-F05362</t>
  </si>
  <si>
    <t>PlayerMobile Core</t>
  </si>
  <si>
    <t>PHC-020</t>
  </si>
  <si>
    <t>No source change; PlayerMobile item-object graph coupling is expected for a core Mobile serializer and remains protected by the save-order warning and POST-BATCH-B closeout.</t>
  </si>
  <si>
    <t>Data/Scripts/Mobiles/Base/PlayerMobile.cs:4539-4937; Data/Scripts/Mobiles/Base/PlayerMobile.cs:5004-5221; dependency-graph.csv PlayerMobile v37 serialization edges</t>
  </si>
  <si>
    <t>Review dependent item policies before future PlayerMobile edits.</t>
  </si>
  <si>
    <t>RB-05363</t>
  </si>
  <si>
    <t>P10-F05363</t>
  </si>
  <si>
    <t>PHC-021</t>
  </si>
  <si>
    <t>No source change; PlayerMobile mobile-object graph coupling is expected for player state and stable/perma-flag/justice lists.</t>
  </si>
  <si>
    <t>Review save-load behavior before changing player-owned Mobile references.</t>
  </si>
  <si>
    <t>RB-05368</t>
  </si>
  <si>
    <t>P10-F05368</t>
  </si>
  <si>
    <t>PHC-022</t>
  </si>
  <si>
    <t>No source change; PlayerMobile world-save loader coupling is expected because PlayerMobile is a serialized Mobile subclass and central save surface.</t>
  </si>
  <si>
    <t>Data/Scripts/Mobiles/Base/PlayerMobile.cs:4539-4937; Data/Scripts/Mobiles/Base/PlayerMobile.cs:5004-5221; serialization-register.csv Server.Mobiles.PlayerMobile</t>
  </si>
  <si>
    <t>Keep PlayerMobile DoNotMove until a full migration plan exists.</t>
  </si>
  <si>
    <t>RB-05382</t>
  </si>
  <si>
    <t>P10-F05382</t>
  </si>
  <si>
    <t>PvP Consent</t>
  </si>
  <si>
    <t>PHC-023</t>
  </si>
  <si>
    <t>No source change; PvP Consent item-object graph coupling through PlayerMobile is expected shared player policy state and not a standalone source defect in this review.</t>
  </si>
  <si>
    <t>Data/Scripts/Mobiles/Base/PlayerMobile.cs:4539-4937; Data/Scripts/Mobiles/Base/PlayerMobile.cs:5004-5221; dependency-graph.csv PvP Consent PlayerMobile edges</t>
  </si>
  <si>
    <t>Handle PvP behavior in later targeted policy batches, not by changing PlayerMobile save layout here.</t>
  </si>
  <si>
    <t>RB-05383</t>
  </si>
  <si>
    <t>P10-F05383</t>
  </si>
  <si>
    <t>PHC-024</t>
  </si>
  <si>
    <t>No source change; PvP Consent mobile-object graph coupling through PlayerMobile is expected shared player policy state and not a standalone source defect in this review.</t>
  </si>
  <si>
    <t>Do not rename PlayerMobile or PvP-related serialized types without migration approval.</t>
  </si>
  <si>
    <t>RB-05403</t>
  </si>
  <si>
    <t>P10-F05403</t>
  </si>
  <si>
    <t>PHC-025</t>
  </si>
  <si>
    <t>No source change; PvP Consent world-save loader coupling through PlayerMobile is expected and remains migration-gated.</t>
  </si>
  <si>
    <t>Future PvP Consent source fixes must avoid serialization changes unless separately approved.</t>
  </si>
  <si>
    <t>RB-04689</t>
  </si>
  <si>
    <t>P10-F04689</t>
  </si>
  <si>
    <t>Pooled enumerables</t>
  </si>
  <si>
    <t>Data/Scripts/Custom/Champions/Mobiles/Champs-UO/Barracoon.cs</t>
  </si>
  <si>
    <t>POST-BATCH-D-01A</t>
  </si>
  <si>
    <t>PHD-001</t>
  </si>
  <si>
    <t>Replaced direct foreach over this.GetMobilesInRange(10) with IPooledEnumerable eable plus try/finally Free while preserving rat count logic.</t>
  </si>
  <si>
    <t>docs/codebase-audit/outputs/post-batch-d-pooled-enumerable-review.csv</t>
  </si>
  <si>
    <t>Data/Scripts/Custom/Champions/Mobiles/Champs-UO/Barracoon.cs:201-213</t>
  </si>
  <si>
    <t>Recorded by current POST-BATCH-D-01A source/audit commit</t>
  </si>
  <si>
    <t>2026-06-08T16:38:18.0434300-05:00</t>
  </si>
  <si>
    <t>Confirmed pooled enumerable ownership leak; fixed with try/finally Free and no behavior, serialization, namespace, type, or file-location changes.</t>
  </si>
  <si>
    <t>RB-04690</t>
  </si>
  <si>
    <t>P10-F04690</t>
  </si>
  <si>
    <t>Data/Scripts/Custom/Champions/Mobiles/Champs-UO/Ilhenir.cs</t>
  </si>
  <si>
    <t>PHD-002</t>
  </si>
  <si>
    <t>Replaced direct foreach over Map.GetItemsInRange(p, 0) with IPooledEnumerable eable plus try/finally Free while preserving StainedOoze detection and break behavior.</t>
  </si>
  <si>
    <t>Data/Scripts/Custom/Champions/Mobiles/Champs-UO/Ilhenir.cs:320-335</t>
  </si>
  <si>
    <t>RB-04691</t>
  </si>
  <si>
    <t>P10-F04691</t>
  </si>
  <si>
    <t>PHD-003</t>
  </si>
  <si>
    <t>Replaced direct foreach over GetMobilesInRange(0) with IPooledEnumerable eable plus try/finally Free while preserving filtering and damage target collection.</t>
  </si>
  <si>
    <t>Data/Scripts/Custom/Champions/Mobiles/Champs-UO/Ilhenir.cs:419-443</t>
  </si>
  <si>
    <t>RB-04692</t>
  </si>
  <si>
    <t>P10-F04692</t>
  </si>
  <si>
    <t>Data/Scripts/Custom/Champions/Mobiles/Champs-UO/Rikktor.cs</t>
  </si>
  <si>
    <t>PHD-004</t>
  </si>
  <si>
    <t>Replaced direct foreach over this.GetMobilesInRange(8) with IPooledEnumerable eable plus try/finally Free while preserving target selection.</t>
  </si>
  <si>
    <t>Data/Scripts/Custom/Champions/Mobiles/Champs-UO/Rikktor.cs:129-153</t>
  </si>
  <si>
    <t>RB-04693</t>
  </si>
  <si>
    <t>P10-F04693</t>
  </si>
  <si>
    <t>Data/Scripts/Custom/Champions/Mobiles/Champs-UO/Semidar.cs</t>
  </si>
  <si>
    <t>PHD-005</t>
  </si>
  <si>
    <t>Replaced direct foreach over this.GetMobilesInRange(2) with IPooledEnumerable eable plus try/finally Free while preserving target selection.</t>
  </si>
  <si>
    <t>Data/Scripts/Custom/Champions/Mobiles/Champs-UO/Semidar.cs:114-138</t>
  </si>
  <si>
    <t>RB-04694</t>
  </si>
  <si>
    <t>P10-F04694</t>
  </si>
  <si>
    <t>Data/Scripts/Custom/Champions/Mobiles/Champs-UO/Serado.cs</t>
  </si>
  <si>
    <t>PHD-006</t>
  </si>
  <si>
    <t>Replaced direct foreach over target.GetMobilesInRange(8) with IPooledEnumerable eable plus try/finally Free while preserving counterattack target selection.</t>
  </si>
  <si>
    <t>Data/Scripts/Custom/Champions/Mobiles/Champs-UO/Serado.cs:190-214</t>
  </si>
  <si>
    <t>RB-04695</t>
  </si>
  <si>
    <t>P10-F04695</t>
  </si>
  <si>
    <t>Data/Scripts/Custom/Champions/Mobiles/Minions/InterredGrizzle .cs</t>
  </si>
  <si>
    <t>PHD-007</t>
  </si>
  <si>
    <t>Data/Scripts/Custom/Champions/Mobiles/Minions/InterredGrizzle .cs:132-147</t>
  </si>
  <si>
    <t>RB-04696</t>
  </si>
  <si>
    <t>P10-F04696</t>
  </si>
  <si>
    <t>PHD-008</t>
  </si>
  <si>
    <t>Replaced direct foreach over GetClientsInRange(12) with IPooledEnumerable eable plus try/finally Free while preserving overhead-message delivery.</t>
  </si>
  <si>
    <t>Data/Scripts/Custom/Champions/Mobiles/Minions/PlagueBeastLord.cs:232-252</t>
  </si>
  <si>
    <t>RB-04697</t>
  </si>
  <si>
    <t>P10-F04697</t>
  </si>
  <si>
    <t>Custom:ClearDeckCommand</t>
  </si>
  <si>
    <t>Data/Scripts/Custom/ClearDeckCommand/ClearDeckCommand.cs</t>
  </si>
  <si>
    <t>POST-BATCH-D-02A</t>
  </si>
  <si>
    <t>PHD-009</t>
  </si>
  <si>
    <t>Replaced direct foreach over playerBoat.GetItemsInRange(18) with IPooledEnumerable eable plus try/finally Free while preserving corpse collection and deletion behavior.</t>
  </si>
  <si>
    <t>Data/Scripts/Custom/ClearDeckCommand/ClearDeckCommand.cs:38-65</t>
  </si>
  <si>
    <t>Recorded by current POST-BATCH-D-02A source/audit commit</t>
  </si>
  <si>
    <t>2026-06-08T16:42:46.5194703-05:00</t>
  </si>
  <si>
    <t>RB-04698</t>
  </si>
  <si>
    <t>P10-F04698</t>
  </si>
  <si>
    <t>Data/Scripts/Custom/Government System/Items/Deeds/CityDeed.cs</t>
  </si>
  <si>
    <t>POST-BATCH-D-03A</t>
  </si>
  <si>
    <t>PHD-010</t>
  </si>
  <si>
    <t>Replaced direct foreach over spwn.GetMobilesInRange(0) with IPooledEnumerable spawnerMobiles plus try/finally Free while preserving landlord lookup, initialization, and break behavior.</t>
  </si>
  <si>
    <t>Data/Scripts/Custom/Government System/Items/Deeds/CityDeed.cs:3129-3146</t>
  </si>
  <si>
    <t>Recorded by current POST-BATCH-D-03A source/audit commit</t>
  </si>
  <si>
    <t>2026-06-08T16:50:54.6607029-05:00</t>
  </si>
  <si>
    <t>RB-04699</t>
  </si>
  <si>
    <t>P10-F04699</t>
  </si>
  <si>
    <t>PHD-011</t>
  </si>
  <si>
    <t>Data/Scripts/Custom/Government System/Items/Deeds/CityDeed.cs:3193-3210</t>
  </si>
  <si>
    <t>RB-04700</t>
  </si>
  <si>
    <t>P10-F04700</t>
  </si>
  <si>
    <t>PHD-012</t>
  </si>
  <si>
    <t>Data/Scripts/Custom/Government System/Items/Deeds/CityDeed.cs:3257-3274</t>
  </si>
  <si>
    <t>RB-04701</t>
  </si>
  <si>
    <t>P10-F04701</t>
  </si>
  <si>
    <t>PHD-013</t>
  </si>
  <si>
    <t>Data/Scripts/Custom/Government System/Items/Deeds/CityDeed.cs:3321-3338</t>
  </si>
  <si>
    <t>RB-04702</t>
  </si>
  <si>
    <t>P10-F04702</t>
  </si>
  <si>
    <t>PHD-014</t>
  </si>
  <si>
    <t>Data/Scripts/Custom/Government System/Items/Deeds/CityDeed.cs:3385-3402</t>
  </si>
  <si>
    <t>RB-04703</t>
  </si>
  <si>
    <t>P10-F04703</t>
  </si>
  <si>
    <t>PHD-015</t>
  </si>
  <si>
    <t>Data/Scripts/Custom/Government System/Items/Deeds/CityDeed.cs:3449-3466</t>
  </si>
  <si>
    <t>RB-04704</t>
  </si>
  <si>
    <t>P10-F04704</t>
  </si>
  <si>
    <t>PHD-016</t>
  </si>
  <si>
    <t>Data/Scripts/Custom/Government System/Items/Deeds/CityDeed.cs:3513-3530</t>
  </si>
  <si>
    <t>RB-04705</t>
  </si>
  <si>
    <t>P10-F04705</t>
  </si>
  <si>
    <t>PHD-017</t>
  </si>
  <si>
    <t>Data/Scripts/Custom/Government System/Items/Deeds/CityDeed.cs:3577-3594</t>
  </si>
  <si>
    <t>RB-04706</t>
  </si>
  <si>
    <t>P10-F04706</t>
  </si>
  <si>
    <t>PHD-018</t>
  </si>
  <si>
    <t>Replaced direct foreach over sp1.GetMobilesInRange(0) with IPooledEnumerable sp1Mobiles plus try/finally Free while preserving vendor freeze and direction behavior.</t>
  </si>
  <si>
    <t>Data/Scripts/Custom/Government System/Vendor/CityLandLord.cs:237-249</t>
  </si>
  <si>
    <t>RB-04707</t>
  </si>
  <si>
    <t>P10-F04707</t>
  </si>
  <si>
    <t>PHD-019</t>
  </si>
  <si>
    <t>Replaced direct foreach over sp2.GetMobilesInRange(0) with IPooledEnumerable sp2Mobiles plus try/finally Free while preserving vendor freeze and direction behavior.</t>
  </si>
  <si>
    <t>Data/Scripts/Custom/Government System/Vendor/CityLandLord.cs:252-264</t>
  </si>
  <si>
    <t>RB-04708</t>
  </si>
  <si>
    <t>P10-F04708</t>
  </si>
  <si>
    <t>PHD-020</t>
  </si>
  <si>
    <t>Replaced direct foreach over sp.GetMobilesInRange(0) with IPooledEnumerable vendorMobiles plus try/finally Free while preserving respawn vendor freeze and direction behavior.</t>
  </si>
  <si>
    <t>Data/Scripts/Custom/Government System/Vendor/CityLandLord.cs:315-327</t>
  </si>
  <si>
    <t>RB-04709</t>
  </si>
  <si>
    <t>P10-F04709</t>
  </si>
  <si>
    <t>Custom:Invasion System</t>
  </si>
  <si>
    <t>Data/Scripts/Custom/Invasion System/Add Ins/BaseSpecialCreature.cs</t>
  </si>
  <si>
    <t>POST-BATCH-D-04A</t>
  </si>
  <si>
    <t>PHD-021</t>
  </si>
  <si>
    <t>Replaced direct foreach over this.GetMobilesInRange(6) with IPooledEnumerable eable plus try/finally Free while preserving earthquake target collection.</t>
  </si>
  <si>
    <t>Data/Scripts/Custom/Invasion System/Add Ins/BaseSpecialCreature.cs:607-633</t>
  </si>
  <si>
    <t>Recorded by current POST-BATCH-D-04A source/audit commit</t>
  </si>
  <si>
    <t>2026-06-08T16:54:57.9847310-05:00</t>
  </si>
  <si>
    <t>RB-04710</t>
  </si>
  <si>
    <t>P10-F04710</t>
  </si>
  <si>
    <t>PHD-022</t>
  </si>
  <si>
    <t>Replaced direct foreach over target.Map.GetMobilesInRange(target.Location, BreathMaxRange) with IPooledEnumerable eable plus try/finally Free while preserving multi-breath target collection.</t>
  </si>
  <si>
    <t>Data/Scripts/Custom/Invasion System/Add Ins/BaseSpecialCreature.cs:669-690</t>
  </si>
  <si>
    <t>RB-04711</t>
  </si>
  <si>
    <t>P10-F04711</t>
  </si>
  <si>
    <t>PHD-023</t>
  </si>
  <si>
    <t>Replaced direct foreach over target.GetMobilesInRange(8) with IPooledEnumerable eable plus try/finally Free while preserving retaliation target collection.</t>
  </si>
  <si>
    <t>Data/Scripts/Custom/Invasion System/Add Ins/BaseSpecialCreature.cs:944-970</t>
  </si>
  <si>
    <t>RB-04712</t>
  </si>
  <si>
    <t>P10-F04712</t>
  </si>
  <si>
    <t>Data/Scripts/Custom/Invasion System/Add Ins/Lord BlackThorn Clone.cs</t>
  </si>
  <si>
    <t>POST-BATCH-D-05A</t>
  </si>
  <si>
    <t>PHD-024</t>
  </si>
  <si>
    <t>Replaced direct foreach over this.GetMobilesInRange(10) with IPooledEnumerable eable plus try/finally Free while preserving RunicGolemInvader count behavior.</t>
  </si>
  <si>
    <t>Data/Scripts/Custom/Invasion System/Add Ins/Lord BlackThorn Clone.cs:126-139</t>
  </si>
  <si>
    <t>Recorded by current POST-BATCH-D-05A source/audit commit</t>
  </si>
  <si>
    <t>2026-06-08T16:57:40.7346174-05:00</t>
  </si>
  <si>
    <t>RB-04713</t>
  </si>
  <si>
    <t>P10-F04713</t>
  </si>
  <si>
    <t>Data/Scripts/Custom/Invasion System/Add Ins/MobileFeatures.cs</t>
  </si>
  <si>
    <t>POST-BATCH-D-06A</t>
  </si>
  <si>
    <t>PHD-025</t>
  </si>
  <si>
    <t>Replaced direct foreach over mobile.GetMobilesInRange(15) with IPooledEnumerable eable plus try/finally Free while preserving mass-peace target collection.</t>
  </si>
  <si>
    <t>Data/Scripts/Custom/Invasion System/Add Ins/MobileFeatures.cs:212-238</t>
  </si>
  <si>
    <t>Recorded by current POST-BATCH-D-06A source/audit commit</t>
  </si>
  <si>
    <t>2026-06-08T17:01:35.0112916-05:00</t>
  </si>
  <si>
    <t>RB-04714</t>
  </si>
  <si>
    <t>P10-F04714</t>
  </si>
  <si>
    <t>PHD-026</t>
  </si>
  <si>
    <t>Replaced direct foreach over mobile.GetMobilesInRange(15) with IPooledEnumerable eable plus try/finally Free while preserving mass-provoke target collection.</t>
  </si>
  <si>
    <t>Data/Scripts/Custom/Invasion System/Add Ins/MobileFeatures.cs:256-274</t>
  </si>
  <si>
    <t>RB-04715</t>
  </si>
  <si>
    <t>P10-F04715</t>
  </si>
  <si>
    <t>PHD-027</t>
  </si>
  <si>
    <t>Replaced direct foreach over mobile.GetMobilesInRange(10) with IPooledEnumerable eable plus try/finally Free while preserving robot reveal behavior.</t>
  </si>
  <si>
    <t>Data/Scripts/Custom/Invasion System/Add Ins/MobileFeatures.cs:301-314</t>
  </si>
  <si>
    <t>RB-04716</t>
  </si>
  <si>
    <t>P10-F04716</t>
  </si>
  <si>
    <t>PHD-028</t>
  </si>
  <si>
    <t>Replaced direct foreach over mobile.GetMobilesInRange(10) with IPooledEnumerable eable plus try/finally Free while preserving human reveal behavior.</t>
  </si>
  <si>
    <t>Data/Scripts/Custom/Invasion System/Add Ins/MobileFeatures.cs:359-372</t>
  </si>
  <si>
    <t>RB-04717</t>
  </si>
  <si>
    <t>P10-F04717</t>
  </si>
  <si>
    <t>PHD-029</t>
  </si>
  <si>
    <t>Replaced direct foreach over mobile.GetMobilesInRange(10) with IPooledEnumerable eable plus try/finally Free while preserving fire area target collection.</t>
  </si>
  <si>
    <t>Data/Scripts/Custom/Invasion System/Add Ins/MobileFeatures.cs:410-436</t>
  </si>
  <si>
    <t>RB-04718</t>
  </si>
  <si>
    <t>P10-F04718</t>
  </si>
  <si>
    <t>PHD-030</t>
  </si>
  <si>
    <t>Replaced direct foreach over mobile.GetMobilesInRange(10) with IPooledEnumerable eable plus try/finally Free while preserving water area target collection.</t>
  </si>
  <si>
    <t>Data/Scripts/Custom/Invasion System/Add Ins/MobileFeatures.cs:469-495</t>
  </si>
  <si>
    <t>RB-04719</t>
  </si>
  <si>
    <t>P10-F04719</t>
  </si>
  <si>
    <t>PHD-031</t>
  </si>
  <si>
    <t>Replaced direct foreach over mobile.GetMobilesInRange(10) with IPooledEnumerable eable plus try/finally Free while preserving air area target collection.</t>
  </si>
  <si>
    <t>Data/Scripts/Custom/Invasion System/Add Ins/MobileFeatures.cs:521-547</t>
  </si>
  <si>
    <t>RB-04720</t>
  </si>
  <si>
    <t>P10-F04720</t>
  </si>
  <si>
    <t>PHD-032</t>
  </si>
  <si>
    <t>Replaced direct foreach over mobile.GetMobilesInRange(3) with IPooledEnumerable eable plus try/finally Free while preserving hits-drain behavior.</t>
  </si>
  <si>
    <t>Data/Scripts/Custom/Invasion System/Add Ins/MobileFeatures.cs:569-582</t>
  </si>
  <si>
    <t>RB-04721</t>
  </si>
  <si>
    <t>P10-F04721</t>
  </si>
  <si>
    <t>PHD-033</t>
  </si>
  <si>
    <t>Replaced direct foreach over mobile.GetMobilesInRange(3) with IPooledEnumerable eable plus try/finally Free while preserving stamina-drain behavior.</t>
  </si>
  <si>
    <t>Data/Scripts/Custom/Invasion System/Add Ins/MobileFeatures.cs:591-604</t>
  </si>
  <si>
    <t>RB-04722</t>
  </si>
  <si>
    <t>P10-F04722</t>
  </si>
  <si>
    <t>PHD-034</t>
  </si>
  <si>
    <t>Replaced direct foreach over mobile.GetMobilesInRange(3) with IPooledEnumerable eable plus try/finally Free while preserving mana-drain behavior.</t>
  </si>
  <si>
    <t>Data/Scripts/Custom/Invasion System/Add Ins/MobileFeatures.cs:613-626</t>
  </si>
  <si>
    <t>RB-04723</t>
  </si>
  <si>
    <t>P10-F04723</t>
  </si>
  <si>
    <t>Data/Scripts/Custom/Invasion System/Add Ins/Pirates/Chasing Pirates/PirateCaptain.cs</t>
  </si>
  <si>
    <t>POST-BATCH-D-07A</t>
  </si>
  <si>
    <t>PHD-035</t>
  </si>
  <si>
    <t>Replaced direct foreach over this.GetItemsInRange(200) with IPooledEnumerable nearbyItems plus try/finally Free while preserving enemy boat selection and break behavior; also converted the nested enemy.GetMobilesInRange(16) manual Free to try/finally.</t>
  </si>
  <si>
    <t>Data/Scripts/Custom/Invasion System/Add Ins/Pirates/Chasing Pirates/PirateCaptain.cs:344-379</t>
  </si>
  <si>
    <t>Recorded by current POST-BATCH-D-07A source/audit commit</t>
  </si>
  <si>
    <t>2026-06-08T17:05:09.8925191-05:00</t>
  </si>
  <si>
    <t>RB-04724</t>
  </si>
  <si>
    <t>P10-F04724</t>
  </si>
  <si>
    <t>PHD-036</t>
  </si>
  <si>
    <t>Replaced direct foreach over this.GetMobilesInRange(10) with IPooledEnumerable eable plus try/finally Free while preserving PirateCrewInvader count behavior.</t>
  </si>
  <si>
    <t>Data/Scripts/Custom/Invasion System/Add Ins/Pirates/Chasing Pirates/PirateCaptain.cs:482-494</t>
  </si>
  <si>
    <t>RB-04725</t>
  </si>
  <si>
    <t>P10-F04725</t>
  </si>
  <si>
    <t>Data/Scripts/Custom/Invasion System/Add Ins/SubChamps/LordBlackThornBot.cs</t>
  </si>
  <si>
    <t>POST-BATCH-D-08A</t>
  </si>
  <si>
    <t>PHD-037</t>
  </si>
  <si>
    <t>Data/Scripts/Custom/Invasion System/Add Ins/SubChamps/LordBlackThornBot.cs:137-149</t>
  </si>
  <si>
    <t>Recorded by current POST-BATCH-D-08A source/audit commit</t>
  </si>
  <si>
    <t>2026-06-08T17:09:23.4456433-05:00</t>
  </si>
  <si>
    <t>RB-04726</t>
  </si>
  <si>
    <t>P10-F04726</t>
  </si>
  <si>
    <t>Data/Scripts/Custom/Invasion System/Add Ins/SubChamps/LordOrcalis.cs</t>
  </si>
  <si>
    <t>PHD-038</t>
  </si>
  <si>
    <t>Replaced direct foreach over this.GetMobilesInRange(10) with IPooledEnumerable eable plus try/finally Free while preserving OrcishLord count behavior.</t>
  </si>
  <si>
    <t>Data/Scripts/Custom/Invasion System/Add Ins/SubChamps/LordOrcalis.cs:141-153</t>
  </si>
  <si>
    <t>RB-04727</t>
  </si>
  <si>
    <t>P10-F04727</t>
  </si>
  <si>
    <t>PHD-039</t>
  </si>
  <si>
    <t>Replaced direct foreach over this.GetMobilesInRange(10) with IPooledEnumerable eable plus try/finally Free while preserving OrcishMage count behavior.</t>
  </si>
  <si>
    <t>Data/Scripts/Custom/Invasion System/Add Ins/SubChamps/LordOrcalis.cs:192-204</t>
  </si>
  <si>
    <t>RB-04728</t>
  </si>
  <si>
    <t>P10-F04728</t>
  </si>
  <si>
    <t>Data/Scripts/Custom/Invasion System/Add Ins/SubChamps/OgreChieftan.cs</t>
  </si>
  <si>
    <t>PHD-040</t>
  </si>
  <si>
    <t>Replaced direct foreach over this.GetMobilesInRange(10) with IPooledEnumerable eable plus try/finally Free while preserving OgreLord count behavior.</t>
  </si>
  <si>
    <t>Data/Scripts/Custom/Invasion System/Add Ins/SubChamps/OgreChieftan.cs:93-105</t>
  </si>
  <si>
    <t>RB-04729</t>
  </si>
  <si>
    <t>P10-F04729</t>
  </si>
  <si>
    <t>Data/Scripts/Custom/Invasion System/Add Ins/SubChamps/OrcKing.cs</t>
  </si>
  <si>
    <t>PHD-041</t>
  </si>
  <si>
    <t>Replaced direct foreach over this.GetMobilesInRange(10) with IPooledEnumerable eable plus try/finally Free while preserving orc helper count behavior.</t>
  </si>
  <si>
    <t>Data/Scripts/Custom/Invasion System/Add Ins/SubChamps/OrcKing.cs:136-148</t>
  </si>
  <si>
    <t>RB-04730</t>
  </si>
  <si>
    <t>P10-F04730</t>
  </si>
  <si>
    <t>Data/Scripts/Custom/Invasion System/Add Ins/SubChamps/Ssslither.cs</t>
  </si>
  <si>
    <t>PHD-042</t>
  </si>
  <si>
    <t>Replaced direct foreach over this.GetMobilesInRange(10) with IPooledEnumerable eable plus try/finally Free while preserving LizardmanMage count behavior.</t>
  </si>
  <si>
    <t>Data/Scripts/Custom/Invasion System/Add Ins/SubChamps/Ssslither.cs:94-106</t>
  </si>
  <si>
    <t>RB-04731</t>
  </si>
  <si>
    <t>P10-F04731</t>
  </si>
  <si>
    <t>Data/Scripts/Custom/Invasion System/Add Ins/SubChamps/TheSavageGeneral.cs</t>
  </si>
  <si>
    <t>PHD-043</t>
  </si>
  <si>
    <t>Replaced direct foreach over this.GetMobilesInRange(10) with IPooledEnumerable eable plus try/finally Free while preserving SavageLord count behavior.</t>
  </si>
  <si>
    <t>Data/Scripts/Custom/Invasion System/Add Ins/SubChamps/TheSavageGeneral.cs:124-136</t>
  </si>
  <si>
    <t>RB-04732</t>
  </si>
  <si>
    <t>P10-F04732</t>
  </si>
  <si>
    <t>PHD-044</t>
  </si>
  <si>
    <t>Replaced direct foreach over this.GetMobilesInRange(10) with IPooledEnumerable eable plus try/finally Free while preserving SavageShaman count behavior.</t>
  </si>
  <si>
    <t>Data/Scripts/Custom/Invasion System/Add Ins/SubChamps/TheSavageGeneral.cs:175-187</t>
  </si>
  <si>
    <t>RB-04733</t>
  </si>
  <si>
    <t>P10-F04733</t>
  </si>
  <si>
    <t>Data/Scripts/Custom/Invasion System/Add Ins/SubChamps/WidowQueen.cs</t>
  </si>
  <si>
    <t>PHD-045</t>
  </si>
  <si>
    <t>Replaced direct foreach over this.GetMobilesInRange(10) with IPooledEnumerable eable plus try/finally Free while preserving DreadSpider count behavior.</t>
  </si>
  <si>
    <t>Data/Scripts/Custom/Invasion System/Add Ins/SubChamps/WidowQueen.cs:95-107</t>
  </si>
  <si>
    <t>RB-04734</t>
  </si>
  <si>
    <t>P10-F04734</t>
  </si>
  <si>
    <t>Custom:OmniAI</t>
  </si>
  <si>
    <t>Data/Scripts/Custom/OmniAI/OmniAI Core.cs</t>
  </si>
  <si>
    <t>POST-BATCH-D-09A</t>
  </si>
  <si>
    <t>PHD-046</t>
  </si>
  <si>
    <t>Replaced direct foreach over m_Mobile.GetMobilesInRange(12) with IPooledEnumerable eable plus try/finally Free while preserving dispellable target collection.</t>
  </si>
  <si>
    <t>Data/Scripts/Custom/OmniAI/OmniAI Core.cs:564-580</t>
  </si>
  <si>
    <t>Recorded by current POST-BATCH-D-09A source/audit commit</t>
  </si>
  <si>
    <t>2026-06-08T17:13:09.9375736-05:00</t>
  </si>
  <si>
    <t>RB-04735</t>
  </si>
  <si>
    <t>P10-F04735</t>
  </si>
  <si>
    <t>PHD-047</t>
  </si>
  <si>
    <t>Replaced direct foreach over m_Mobile.GetItemsInRange(5) with IPooledEnumerable eable plus try/finally Free while preserving corpse target collection.</t>
  </si>
  <si>
    <t>Data/Scripts/Custom/OmniAI/OmniAI Core.cs:684-700</t>
  </si>
  <si>
    <t>RB-04736</t>
  </si>
  <si>
    <t>P10-F04736</t>
  </si>
  <si>
    <t>PHD-048</t>
  </si>
  <si>
    <t>Replaced direct foreach over from.GetMobilesInRange(12) with IPooledEnumerable eable plus try/finally Free while preserving random target filtering.</t>
  </si>
  <si>
    <t>Data/Scripts/Custom/OmniAI/OmniAI Core.cs:767-787</t>
  </si>
  <si>
    <t>RB-04737</t>
  </si>
  <si>
    <t>P10-F04737</t>
  </si>
  <si>
    <t>Data/Scripts/Custom/OmniAI/OmniAI Knightship.cs</t>
  </si>
  <si>
    <t>PHD-049</t>
  </si>
  <si>
    <t>Replaced direct foreach over m_Mobile.GetMobilesInRange(4) with IPooledEnumerable eable plus try/finally Free while preserving dispel-evil cast detection.</t>
  </si>
  <si>
    <t>Data/Scripts/Custom/OmniAI/OmniAI Knightship.cs:139-164</t>
  </si>
  <si>
    <t>RB-04738</t>
  </si>
  <si>
    <t>P10-F04738</t>
  </si>
  <si>
    <t>Custom:RandomEncounters</t>
  </si>
  <si>
    <t>Data/Scripts/Custom/RandomEncounters/Timers.cs</t>
  </si>
  <si>
    <t>POST-BATCH-D-10A</t>
  </si>
  <si>
    <t>PHD-050</t>
  </si>
  <si>
    <t>Wrapped the assigned IPooledEnumerable client range scan in try/finally Free while preserving cleanup grace and early return behavior.</t>
  </si>
  <si>
    <t>Data/Scripts/Custom/RandomEncounters/Timers.cs:260-297</t>
  </si>
  <si>
    <t>Recorded by current POST-BATCH-D-10A source/audit commit</t>
  </si>
  <si>
    <t>2026-06-08T17:16:10.5554764-05:00</t>
  </si>
  <si>
    <t>RB-04739</t>
  </si>
  <si>
    <t>P10-F04739</t>
  </si>
  <si>
    <t>PHD-051</t>
  </si>
  <si>
    <t>Wrapped the Mobile map GetClientsInRange assignment path in the shared try/finally Free enumeration while preserving cleanup grace and early return behavior.</t>
  </si>
  <si>
    <t>Data/Scripts/Custom/RandomEncounters/Timers.cs:269-297</t>
  </si>
  <si>
    <t>RB-04740</t>
  </si>
  <si>
    <t>P10-F04740</t>
  </si>
  <si>
    <t>PHD-052</t>
  </si>
  <si>
    <t>Wrapped the Item map GetClientsInRange assignment path in the shared try/finally Free enumeration while preserving cleanup grace and early return behavior.</t>
  </si>
  <si>
    <t>Data/Scripts/Custom/RandomEncounters/Timers.cs:278-297</t>
  </si>
  <si>
    <t>RB-04741</t>
  </si>
  <si>
    <t>P10-F04741</t>
  </si>
  <si>
    <t>POST-BATCH-D-11A</t>
  </si>
  <si>
    <t>PHD-053</t>
  </si>
  <si>
    <t>Replaced direct foreach over ((Item)refobject).GetMobilesInRange(range) with IPooledEnumerable eable plus try/finally Free while preserving PLAYERSINRANGE counting; also fixed the sibling split-line Mobile refobject range scan.</t>
  </si>
  <si>
    <t>Data/Scripts/Custom/XMLSpawner/BaseXmlSpawner.cs:3334-3363</t>
  </si>
  <si>
    <t>Recorded by current POST-BATCH-D-11A source/audit commit</t>
  </si>
  <si>
    <t>2026-06-08T17:19:53.0225261-05:00</t>
  </si>
  <si>
    <t>RB-04742</t>
  </si>
  <si>
    <t>P10-F04742</t>
  </si>
  <si>
    <t>PHD-054</t>
  </si>
  <si>
    <t>Replaced direct foreach over ((Item)o).GetMobilesInRange(range) with IPooledEnumerable eable plus try/finally Free while preserving PLAYERSINRANGE counting.</t>
  </si>
  <si>
    <t>Data/Scripts/Custom/XMLSpawner/BaseXmlSpawner.cs:5396-5408</t>
  </si>
  <si>
    <t>RB-04743</t>
  </si>
  <si>
    <t>P10-F04743</t>
  </si>
  <si>
    <t>PHD-055</t>
  </si>
  <si>
    <t>Replaced direct foreach over ((Mobile)o).GetMobilesInRange(range) with IPooledEnumerable eable plus try/finally Free while preserving PLAYERSINRANGE counting.</t>
  </si>
  <si>
    <t>Data/Scripts/Custom/XMLSpawner/BaseXmlSpawner.cs:5413-5425</t>
  </si>
  <si>
    <t>RB-04744</t>
  </si>
  <si>
    <t>P10-F04744</t>
  </si>
  <si>
    <t>POST-BATCH-D-12A</t>
  </si>
  <si>
    <t>PHD-056</t>
  </si>
  <si>
    <t>Replaced direct foreach over GetMobilesInRange(ProximityRange) with IPooledEnumerable eable plus try/finally Free while preserving nearby player counting.</t>
  </si>
  <si>
    <t>Data/Scripts/Custom/XMLSpawner/XmlSpawner2.cs:362-375</t>
  </si>
  <si>
    <t>Recorded by current POST-BATCH-D-12A source/audit commit</t>
  </si>
  <si>
    <t>2026-06-08T17:24:41.7122501-05:00</t>
  </si>
  <si>
    <t>RB-04745</t>
  </si>
  <si>
    <t>P10-F04745</t>
  </si>
  <si>
    <t>PHD-057</t>
  </si>
  <si>
    <t>Replaced direct foreach over GetMobilesInRange(m_ProximityRange) with IPooledEnumerable eable plus try/finally Free while preserving proximity trigger checks.</t>
  </si>
  <si>
    <t>Data/Scripts/Custom/XMLSpawner/XmlSpawner2.cs:11620-11633</t>
  </si>
  <si>
    <t>RB-04746</t>
  </si>
  <si>
    <t>P10-F04746</t>
  </si>
  <si>
    <t>POST-BATCH-D-13A</t>
  </si>
  <si>
    <t>PHD-058</t>
  </si>
  <si>
    <t>Replaced direct foreach over DuelMap.GetMobilesInRange with IPooledEnumerable eable plus try/finally Free while preserving the occupied-duel-area early return.</t>
  </si>
  <si>
    <t>Data/Scripts/Custom/XMLSpawner/XmlAttachments/XmlPoints.cs:243-256</t>
  </si>
  <si>
    <t>Recorded by current POST-BATCH-D-13A source/audit commit</t>
  </si>
  <si>
    <t>2026-06-08T17:28:14.2259511-05:00</t>
  </si>
  <si>
    <t>RB-04747</t>
  </si>
  <si>
    <t>P10-F04747</t>
  </si>
  <si>
    <t>PHD-059</t>
  </si>
  <si>
    <t>Replaced direct foreach over killer.GetMobilesInRange(16) with IPooledEnumerable eable plus try/finally Free while preserving controlled pet collection.</t>
  </si>
  <si>
    <t>Data/Scripts/Custom/XMLSpawner/XmlAttachments/XmlPoints.cs:2340-2354</t>
  </si>
  <si>
    <t>RB-04748</t>
  </si>
  <si>
    <t>P10-F04748</t>
  </si>
  <si>
    <t>PHD-060</t>
  </si>
  <si>
    <t>Replaced direct foreach over killed.GetMobilesInRange(16) with IPooledEnumerable eable plus try/finally Free while preserving controlled pet collection.</t>
  </si>
  <si>
    <t>Data/Scripts/Custom/XMLSpawner/XmlAttachments/XmlPoints.cs:2357-2371</t>
  </si>
  <si>
    <t>RB-04749</t>
  </si>
  <si>
    <t>P10-F04749</t>
  </si>
  <si>
    <t>Data/Scripts/Custom/XMLSpawner/XmlPoints PvP/BaseChallengeGame.cs</t>
  </si>
  <si>
    <t>POST-BATCH-D-14A</t>
  </si>
  <si>
    <t>PHD-061</t>
  </si>
  <si>
    <t>Replaced direct foreach over this.GetMobilesInRange(ArenaSize) with IPooledEnumerable eable plus try/finally Free while preserving non-participant collection.</t>
  </si>
  <si>
    <t>Data/Scripts/Custom/XMLSpawner/XmlPoints PvP/BaseChallengeGame.cs:256-278</t>
  </si>
  <si>
    <t>Recorded by current POST-BATCH-D-14A source/audit commit</t>
  </si>
  <si>
    <t>2026-06-08T17:32:22.7946878-05:00</t>
  </si>
  <si>
    <t>RB-04750</t>
  </si>
  <si>
    <t>P10-F04750</t>
  </si>
  <si>
    <t>PHD-062</t>
  </si>
  <si>
    <t>Replaced direct foreach over this.GetMobilesInRange(0) with IPooledEnumerable eable plus try/finally Free while preserving hill scoring and non-participant collection.</t>
  </si>
  <si>
    <t>Data/Scripts/Custom/XMLSpawner/XmlPoints PvP/ChallengeGames/KingOfTheHillGauntlet.cs:162-190</t>
  </si>
  <si>
    <t>RB-04751</t>
  </si>
  <si>
    <t>P10-F04751</t>
  </si>
  <si>
    <t>PHD-063</t>
  </si>
  <si>
    <t>No source change: the reported loop is inside a disabled block comment and is not compiled or executed.</t>
  </si>
  <si>
    <t>Data/Scripts/Custom/XMLSpawner/XmlPoints PvP/ChallengeGames/LastManStandingGauntlet.cs:340-368</t>
  </si>
  <si>
    <t>Extractor noise from a block comment; no live pooled enumerable ownership exists at this row.</t>
  </si>
  <si>
    <t>RB-04752</t>
  </si>
  <si>
    <t>P10-F04752</t>
  </si>
  <si>
    <t>PHD-064</t>
  </si>
  <si>
    <t>Replaced direct foreach over this.GetMobilesInRange(0) with IPooledEnumerable eable plus try/finally Free while preserving team hill scoring and non-participant collection.</t>
  </si>
  <si>
    <t>Data/Scripts/Custom/XMLSpawner/XmlPoints PvP/ChallengeGames/TeamKotHGauntlet.cs:403-431</t>
  </si>
  <si>
    <t>RB-04753</t>
  </si>
  <si>
    <t>P10-F04753</t>
  </si>
  <si>
    <t>Data/Scripts/Items/Boats/BaseBoat.cs</t>
  </si>
  <si>
    <t>POST-BATCH-D-15A</t>
  </si>
  <si>
    <t>PHD-065</t>
  </si>
  <si>
    <t>Replaced direct foreach over sailors.GetItemsInRange(20) with IPooledEnumerable eable plus try/finally Free while preserving crew cleanup detection.</t>
  </si>
  <si>
    <t>Data/Scripts/Items/Boats/BaseBoat.cs:1155-1168</t>
  </si>
  <si>
    <t>Recorded by current POST-BATCH-D-15A source/audit commit</t>
  </si>
  <si>
    <t>2026-06-08T17:37:35.5304910-05:00</t>
  </si>
  <si>
    <t>Confirmed pooled enumerable ownership leak despite file-level Free marker; fixed with try/finally Free and no behavior, serialization, namespace, type, or file-location changes.</t>
  </si>
  <si>
    <t>RB-04754</t>
  </si>
  <si>
    <t>P10-F04754</t>
  </si>
  <si>
    <t>PHD-066</t>
  </si>
  <si>
    <t>Replaced direct foreach over from.GetMobilesInRange(20) with IPooledEnumerable eable plus try/finally Free while preserving obstacle counting.</t>
  </si>
  <si>
    <t>Data/Scripts/Items/Boats/BaseBoat.cs:1317-1338</t>
  </si>
  <si>
    <t>RB-04755</t>
  </si>
  <si>
    <t>P10-F04755</t>
  </si>
  <si>
    <t>PHD-067</t>
  </si>
  <si>
    <t>Replaced direct foreach over bc.GetItemsInRange(10) with IPooledEnumerable eable plus try/finally Free while preserving enemy-ship location lookup.</t>
  </si>
  <si>
    <t>Data/Scripts/Items/Boats/BaseBoat.cs:1353-1368</t>
  </si>
  <si>
    <t>RB-04756</t>
  </si>
  <si>
    <t>P10-F04756</t>
  </si>
  <si>
    <t>Data/Scripts/Items/Boats/BoatBuild.cs</t>
  </si>
  <si>
    <t>PHD-068</t>
  </si>
  <si>
    <t>Replaced direct foreach over this.GetMobilesInRange(20) with IPooledEnumerable eable plus try/finally Free while preserving shipwright counting.</t>
  </si>
  <si>
    <t>Data/Scripts/Items/Boats/BoatBuild.cs:94-107</t>
  </si>
  <si>
    <t>RB-04757</t>
  </si>
  <si>
    <t>P10-F04757</t>
  </si>
  <si>
    <t>Data/Scripts/Items/Boats/CarpetBuild.cs</t>
  </si>
  <si>
    <t>PHD-069</t>
  </si>
  <si>
    <t>Replaced direct foreach over this.GetMobilesInRange(20) with IPooledEnumerable eable plus try/finally Free while preserving caster NPC counting.</t>
  </si>
  <si>
    <t>Data/Scripts/Items/Boats/CarpetBuild.cs:88-108</t>
  </si>
  <si>
    <t>RB-04758</t>
  </si>
  <si>
    <t>P10-F04758</t>
  </si>
  <si>
    <t>Data/Scripts/Items/Boats/DockingLantern.cs</t>
  </si>
  <si>
    <t>PHD-070</t>
  </si>
  <si>
    <t>Replaced direct foreach over m.GetItemsInRange(DockRange) with IPooledEnumerable eable plus try/finally Free while preserving dock-light and pier access checks.</t>
  </si>
  <si>
    <t>Data/Scripts/Items/Boats/DockingLantern.cs:143-230</t>
  </si>
  <si>
    <t>RB-04759</t>
  </si>
  <si>
    <t>P10-F04759</t>
  </si>
  <si>
    <t>Data/Scripts/Items/Boats/Plank.cs</t>
  </si>
  <si>
    <t>PHD-071</t>
  </si>
  <si>
    <t>Replaced direct foreach over this.GetObjectsInRange(0) with IPooledEnumerable eable plus try/finally Free while preserving the blocked-close early return.</t>
  </si>
  <si>
    <t>Data/Scripts/Items/Boats/Plank.cs:353-365</t>
  </si>
  <si>
    <t>RB-04760</t>
  </si>
  <si>
    <t>P10-F04760</t>
  </si>
  <si>
    <t>Data/Scripts/Items/Books/MerchantsBook.cs</t>
  </si>
  <si>
    <t>POST-BATCH-D-16A</t>
  </si>
  <si>
    <t>PHD-072</t>
  </si>
  <si>
    <t>Replaced direct foreach over from.GetMobilesInRange(15) with IPooledEnumerable eable plus try/finally Free while preserving vendor eligibility detection.</t>
  </si>
  <si>
    <t>Data/Scripts/Items/Books/MerchantsBook.cs:865-923</t>
  </si>
  <si>
    <t>Recorded by current POST-BATCH-D-16A source/audit commit</t>
  </si>
  <si>
    <t>2026-06-08T17:44:48.3151266-05:00</t>
  </si>
  <si>
    <t>RB-04761</t>
  </si>
  <si>
    <t>P10-F04761</t>
  </si>
  <si>
    <t>PHD-073</t>
  </si>
  <si>
    <t>Replaced direct foreach over from.GetItemsInRange(10) with IPooledEnumerable eable plus try/finally Free while preserving near-book validation.</t>
  </si>
  <si>
    <t>Data/Scripts/Items/Books/MerchantsBook.cs:948-963</t>
  </si>
  <si>
    <t>RB-04762</t>
  </si>
  <si>
    <t>P10-F04762</t>
  </si>
  <si>
    <t>PHD-074</t>
  </si>
  <si>
    <t>Replaced direct foreach over from.GetMobilesInRange(10) with IPooledEnumerable eable plus try/finally Free while preserving successful-purchase vendor speech.</t>
  </si>
  <si>
    <t>Data/Scripts/Items/Books/MerchantsBook.cs:1420-1603</t>
  </si>
  <si>
    <t>RB-04763</t>
  </si>
  <si>
    <t>P10-F04763</t>
  </si>
  <si>
    <t>PHD-075</t>
  </si>
  <si>
    <t>Replaced direct foreach over from.GetMobilesInRange(10) with IPooledEnumerable eable plus try/finally Free while preserving insufficient-gold vendor speech.</t>
  </si>
  <si>
    <t>Data/Scripts/Items/Books/MerchantsBook.cs:1609-1684</t>
  </si>
  <si>
    <t>RB-04764</t>
  </si>
  <si>
    <t>P10-F04764</t>
  </si>
  <si>
    <t>POST-BATCH-D-17A</t>
  </si>
  <si>
    <t>PHD-076</t>
  </si>
  <si>
    <t>Replaced direct foreach over map.GetMobilesInRange(loc, 20) with IPooledEnumerable eable plus try/finally Free while preserving nearest vendor content selection.</t>
  </si>
  <si>
    <t>Data/Scripts/Items/Containers/FillableContainers.cs:1493-1517</t>
  </si>
  <si>
    <t>Recorded by current POST-BATCH-D-17A source/audit commit</t>
  </si>
  <si>
    <t>2026-06-08T17:48:47.1288968-05:00</t>
  </si>
  <si>
    <t>RB-04765</t>
  </si>
  <si>
    <t>P10-F04765</t>
  </si>
  <si>
    <t>Items:Doors</t>
  </si>
  <si>
    <t>Data/Scripts/Items/Doors/BaseDoor.cs</t>
  </si>
  <si>
    <t>POST-BATCH-D-18A</t>
  </si>
  <si>
    <t>PHD-077</t>
  </si>
  <si>
    <t>Replaced direct foreach over door.GetItemsInRange(1) with IPooledEnumerable eable plus try/finally Free while preserving nearby door lock collection.</t>
  </si>
  <si>
    <t>Data/Scripts/Items/Doors/BaseDoor.cs:46-58</t>
  </si>
  <si>
    <t>Recorded by current POST-BATCH-D-18A source/audit commit</t>
  </si>
  <si>
    <t>2026-06-08T17:52:09.6020300-05:00</t>
  </si>
  <si>
    <t>RB-04766</t>
  </si>
  <si>
    <t>P10-F04766</t>
  </si>
  <si>
    <t>PHD-078</t>
  </si>
  <si>
    <t>Replaced direct foreach over door.GetItemsInRange(1) with IPooledEnumerable eable plus try/finally Free while preserving nearby door unlock collection.</t>
  </si>
  <si>
    <t>Data/Scripts/Items/Doors/BaseDoor.cs:70-82</t>
  </si>
  <si>
    <t>RB-04767</t>
  </si>
  <si>
    <t>P10-F04767</t>
  </si>
  <si>
    <t>Data/Scripts/Items/Doors/DoorOpener.cs</t>
  </si>
  <si>
    <t>PHD-079</t>
  </si>
  <si>
    <t>Replaced direct foreach over m.GetItemsInRange(2) with IPooledEnumerable eable plus try/finally Free while preserving nearby door open collection.</t>
  </si>
  <si>
    <t>Data/Scripts/Items/Doors/DoorOpener.cs:32-44</t>
  </si>
  <si>
    <t>RB-04768</t>
  </si>
  <si>
    <t>P10-F04768</t>
  </si>
  <si>
    <t>Data/Scripts/Items/Doors/GateMoon.cs</t>
  </si>
  <si>
    <t>PHD-080</t>
  </si>
  <si>
    <t>Replaced direct foreach over from.GetItemsInRange(10) with IPooledEnumerable eable plus try/finally Free while preserving near-gate early return.</t>
  </si>
  <si>
    <t>Data/Scripts/Items/Doors/GateMoon.cs:161-175</t>
  </si>
  <si>
    <t>RB-04769</t>
  </si>
  <si>
    <t>P10-F04769</t>
  </si>
  <si>
    <t>Items:Explorers</t>
  </si>
  <si>
    <t>Data/Scripts/Items/Explorers/Bedroll.cs</t>
  </si>
  <si>
    <t>POST-BATCH-D-19A</t>
  </si>
  <si>
    <t>PHD-081</t>
  </si>
  <si>
    <t>Replaced direct foreach over GetItemsInRange(20) with IPooledEnumerable eable plus try/finally Free while preserving owner bed early return.</t>
  </si>
  <si>
    <t>Data/Scripts/Items/Explorers/Bedroll.cs:38-55</t>
  </si>
  <si>
    <t>Recorded by current POST-BATCH-D-19A source/audit commit</t>
  </si>
  <si>
    <t>2026-06-08T17:57:34.2698412-05:00</t>
  </si>
  <si>
    <t>RB-04770</t>
  </si>
  <si>
    <t>P10-F04770</t>
  </si>
  <si>
    <t>Data/Scripts/Items/Explorers/BedrolledOut.cs</t>
  </si>
  <si>
    <t>PHD-082</t>
  </si>
  <si>
    <t>Replaced direct foreach over GetMobilesInRange(3) with IPooledEnumerable eable plus try/finally Free while preserving owner rest collection.</t>
  </si>
  <si>
    <t>Data/Scripts/Items/Explorers/BedrolledOut.cs:63-75</t>
  </si>
  <si>
    <t>RB-04771</t>
  </si>
  <si>
    <t>P10-F04771</t>
  </si>
  <si>
    <t>Data/Scripts/Items/Explorers/Campfire.cs</t>
  </si>
  <si>
    <t>PHD-083</t>
  </si>
  <si>
    <t>Replaced direct foreach over GetMobilesInRange(3) with IPooledEnumerable eable plus try/finally Free while preserving nearby rest collection.</t>
  </si>
  <si>
    <t>Data/Scripts/Items/Explorers/Campfire.cs:103-115</t>
  </si>
  <si>
    <t>RB-04772</t>
  </si>
  <si>
    <t>P10-F04772</t>
  </si>
  <si>
    <t>Data/Scripts/Items/Explorers/Kindling.cs</t>
  </si>
  <si>
    <t>PHD-084</t>
  </si>
  <si>
    <t>Replaced direct foreach over from.GetMobilesInRange(20) with IPooledEnumerable eable plus try/finally Free while preserving hostile-creature early return.</t>
  </si>
  <si>
    <t>Data/Scripts/Items/Explorers/Kindling.cs:50-68</t>
  </si>
  <si>
    <t>RB-04773</t>
  </si>
  <si>
    <t>P10-F04773</t>
  </si>
  <si>
    <t>PHD-085</t>
  </si>
  <si>
    <t>Replaced direct foreach over GetItemsInRange(20) with IPooledEnumerable eable plus try/finally Free while preserving active-camp early return.</t>
  </si>
  <si>
    <t>Data/Scripts/Items/Explorers/Kindling.cs:93-110</t>
  </si>
  <si>
    <t>RB-04774</t>
  </si>
  <si>
    <t>P10-F04774</t>
  </si>
  <si>
    <t>Items:Gifts</t>
  </si>
  <si>
    <t>Data/Scripts/Items/Gifts/Holiday/Christmas/Commands/Merry Christmas.cs</t>
  </si>
  <si>
    <t>POST-BATCH-D-20A</t>
  </si>
  <si>
    <t>PHD-086</t>
  </si>
  <si>
    <t>Replaced direct foreach over from.GetMobilesInRange(3) with IPooledEnumerable eable plus try/finally Free while preserving vendor gift early return.</t>
  </si>
  <si>
    <t>Data/Scripts/Items/Gifts/Holiday/Christmas/Commands/Merry Christmas.cs:44-70</t>
  </si>
  <si>
    <t>Recorded by current POST-BATCH-D-20A source/audit commit</t>
  </si>
  <si>
    <t>2026-06-08T18:01:31.0667430-05:00</t>
  </si>
  <si>
    <t>RB-04775</t>
  </si>
  <si>
    <t>P10-F04775</t>
  </si>
  <si>
    <t>Data/Scripts/Items/Gifts/Holiday/Halloween/TrickOrTreat.cs</t>
  </si>
  <si>
    <t>PHD-087</t>
  </si>
  <si>
    <t>Replaced direct foreach over from.GetMobilesInRange(2) with IPooledEnumerable eable plus try/finally Free while preserving vendor response and treat early return.</t>
  </si>
  <si>
    <t>Data/Scripts/Items/Gifts/Holiday/Halloween/TrickOrTreat.cs:43-108</t>
  </si>
  <si>
    <t>RB-04776</t>
  </si>
  <si>
    <t>P10-F04776</t>
  </si>
  <si>
    <t>Data/Scripts/Items/Houses/TavernTable.cs</t>
  </si>
  <si>
    <t>POST-BATCH-D-21A</t>
  </si>
  <si>
    <t>PHD-088</t>
  </si>
  <si>
    <t>Replaced direct foreach over table.GetMobilesInRange(1) with IPooledEnumerable eable plus try/finally Free while preserving patron collection and deletion.</t>
  </si>
  <si>
    <t>Data/Scripts/Items/Houses/TavernTable.cs:274-296</t>
  </si>
  <si>
    <t>Recorded by current POST-BATCH-D-21A source/audit commit</t>
  </si>
  <si>
    <t>2026-06-08T18:04:37.8036735-05:00</t>
  </si>
  <si>
    <t>RB-04777</t>
  </si>
  <si>
    <t>P10-F04777</t>
  </si>
  <si>
    <t>PHD-089</t>
  </si>
  <si>
    <t>Replaced direct foreach over m.GetItemsInRange(1) with IPooledEnumerable eable plus try/finally Free while preserving patron count accumulation.</t>
  </si>
  <si>
    <t>Data/Scripts/Items/Houses/TavernTable.cs:310-345</t>
  </si>
  <si>
    <t>RB-04778</t>
  </si>
  <si>
    <t>P10-F04778</t>
  </si>
  <si>
    <t>PHD-090</t>
  </si>
  <si>
    <t>Replaced direct foreach over m.GetItemsInRange(2) with IPooledEnumerable eable plus try/finally Free while preserving lawn-visitor early return.</t>
  </si>
  <si>
    <t>Data/Scripts/Items/Houses/TavernTable.cs:353-373</t>
  </si>
  <si>
    <t>RB-04779</t>
  </si>
  <si>
    <t>P10-F04779</t>
  </si>
  <si>
    <t>PHD-091</t>
  </si>
  <si>
    <t>Replaced direct foreach over m.GetItemsInRange(2) with IPooledEnumerable eable plus try/finally Free while preserving shanty-visitor early return.</t>
  </si>
  <si>
    <t>Data/Scripts/Items/Houses/TavernTable.cs:381-401</t>
  </si>
  <si>
    <t>RB-04780</t>
  </si>
  <si>
    <t>P10-F04780</t>
  </si>
  <si>
    <t>POST-BATCH-D-22A</t>
  </si>
  <si>
    <t>PHD-092</t>
  </si>
  <si>
    <t>Replaced direct foreach over Sign.GetItemsInRange(0) with IPooledEnumerable eable plus try/finally Free while preserving nearby item visibility restoration.</t>
  </si>
  <si>
    <t>Data/Scripts/Items/Houses/Monopoly/Items/TownHouse.cs:275-289</t>
  </si>
  <si>
    <t>Recorded by current POST-BATCH-D-22A source/audit commit</t>
  </si>
  <si>
    <t>2026-06-08T18:08:15.0506421-05:00</t>
  </si>
  <si>
    <t>RB-04781</t>
  </si>
  <si>
    <t>P10-F04781</t>
  </si>
  <si>
    <t>Data/Scripts/Items/Houses/Monopoly/Items/TownHouseSign.cs</t>
  </si>
  <si>
    <t>POST-BATCH-D-23A</t>
  </si>
  <si>
    <t>PHD-093</t>
  </si>
  <si>
    <t>Replaced direct foreach over c_House.Sign.GetItemsInRange(0) with IPooledEnumerable eable plus try/finally Free while preserving sign-hiding visibility changes.</t>
  </si>
  <si>
    <t>Data/Scripts/Items/Houses/Monopoly/Items/TownHouseSign.cs:928-951</t>
  </si>
  <si>
    <t>Recorded by current POST-BATCH-D-23A source/audit commit</t>
  </si>
  <si>
    <t>2026-06-08T18:11:13.8707965-05:00</t>
  </si>
  <si>
    <t>RB-04782</t>
  </si>
  <si>
    <t>P10-F04782</t>
  </si>
  <si>
    <t>PHD-094</t>
  </si>
  <si>
    <t>Replaced direct foreach over Map.GetItemsInBounds(rect) with IPooledEnumerable eable plus try/finally Free while preserving converted-item collection.</t>
  </si>
  <si>
    <t>Data/Scripts/Items/Houses/Monopoly/Items/TownHouseSign.cs:966-984</t>
  </si>
  <si>
    <t>RB-04783</t>
  </si>
  <si>
    <t>P10-F04783</t>
  </si>
  <si>
    <t>PHD-095</t>
  </si>
  <si>
    <t>Replaced direct foreach over newdoor.GetItemsInRange(1) with IPooledEnumerable eable plus try/finally Free while preserving adjacent door linking.</t>
  </si>
  <si>
    <t>Data/Scripts/Items/Houses/Monopoly/Items/TownHouseSign.cs:1063-1078</t>
  </si>
  <si>
    <t>RB-04784</t>
  </si>
  <si>
    <t>P10-F04784</t>
  </si>
  <si>
    <t>PHD-096</t>
  </si>
  <si>
    <t>Replaced direct foreach over newdoor.GetItemsInRange(1) with IPooledEnumerable eable plus try/finally Free while preserving adjacent door relinking.</t>
  </si>
  <si>
    <t>Data/Scripts/Items/Houses/Monopoly/Items/TownHouseSign.cs:1116-1131</t>
  </si>
  <si>
    <t>RB-04785</t>
  </si>
  <si>
    <t>P10-F04785</t>
  </si>
  <si>
    <t>PHD-097</t>
  </si>
  <si>
    <t>No source change; classified the generated finding as a false positive because the hit is inside a disabled line-comment block.</t>
  </si>
  <si>
    <t>Data/Scripts/Items/Houses/Monopoly/Items/TownHouseSign.cs:1408-1415</t>
  </si>
  <si>
    <t>Source hit is inside a disabled line-comment block; no compiled runtime enumerable exists.</t>
  </si>
  <si>
    <t>RB-04786</t>
  </si>
  <si>
    <t>P10-F04786</t>
  </si>
  <si>
    <t>POST-BATCH-D-24A</t>
  </si>
  <si>
    <t>PHD-098</t>
  </si>
  <si>
    <t>Replaced direct foreach over m.GetItemsInRange(20) with IPooledEnumerable eable plus try/finally Free while preserving nearby TownHouse collection.</t>
  </si>
  <si>
    <t>Data/Scripts/Items/Houses/Monopoly/Misc/GumpResponse.cs:116-128</t>
  </si>
  <si>
    <t>Recorded by current POST-BATCH-D-24A source/audit commit</t>
  </si>
  <si>
    <t>2026-06-08T18:14:22.5520682-05:00</t>
  </si>
  <si>
    <t>RB-04787</t>
  </si>
  <si>
    <t>P10-F04787</t>
  </si>
  <si>
    <t>POST-BATCH-D-25A</t>
  </si>
  <si>
    <t>PHD-099</t>
  </si>
  <si>
    <t>Wrapped existing Map.GetItemsInRange(Location, 20) enumerable in try/finally Free while preserving owner-house early return.</t>
  </si>
  <si>
    <t>Data/Scripts/Items/Houses/Remodeling/LawnGate.cs:218-237</t>
  </si>
  <si>
    <t>Recorded by current POST-BATCH-D-25A source/audit commit</t>
  </si>
  <si>
    <t>2026-06-08T18:18:01.3699109-05:00</t>
  </si>
  <si>
    <t>RB-04788</t>
  </si>
  <si>
    <t>P10-F04788</t>
  </si>
  <si>
    <t>PHD-100</t>
  </si>
  <si>
    <t>Data/Scripts/Items/Houses/Remodeling/LawnItem.cs:290-309</t>
  </si>
  <si>
    <t>RB-04789</t>
  </si>
  <si>
    <t>P10-F04789</t>
  </si>
  <si>
    <t>Data/Scripts/Items/Houses/Remodeling/LawnSystem.cs</t>
  </si>
  <si>
    <t>PHD-101</t>
  </si>
  <si>
    <t>Replaced direct foreach over item.GetMobilesInRange(2) with IPooledEnumerable eable plus try/finally Free while preserving visitor collection before deletion.</t>
  </si>
  <si>
    <t>Data/Scripts/Items/Houses/Remodeling/LawnSystem.cs:90-110</t>
  </si>
  <si>
    <t>RB-04790</t>
  </si>
  <si>
    <t>P10-F04790</t>
  </si>
  <si>
    <t>PHD-102</t>
  </si>
  <si>
    <t>Data/Scripts/Items/Houses/Remodeling/ShantyDoor.cs:260-279</t>
  </si>
  <si>
    <t>RB-04791</t>
  </si>
  <si>
    <t>P10-F04791</t>
  </si>
  <si>
    <t>PHD-103</t>
  </si>
  <si>
    <t>Data/Scripts/Items/Houses/Remodeling/ShantyItem.cs:290-309</t>
  </si>
  <si>
    <t>RB-04792</t>
  </si>
  <si>
    <t>P10-F04792</t>
  </si>
  <si>
    <t>Data/Scripts/Items/Houses/Remodeling/ShantySystem.cs</t>
  </si>
  <si>
    <t>PHD-104</t>
  </si>
  <si>
    <t>Data/Scripts/Items/Houses/Remodeling/ShantySystem.cs:90-110</t>
  </si>
  <si>
    <t>RB-04793</t>
  </si>
  <si>
    <t>P10-F04793</t>
  </si>
  <si>
    <t>POST-BATCH-D-26A</t>
  </si>
  <si>
    <t>PHD-105</t>
  </si>
  <si>
    <t>Replaced direct foreach over GetMobilesInRange(0) with IPooledEnumerable eable plus try/finally Free while preserving damage target collection.</t>
  </si>
  <si>
    <t>Data/Scripts/Items/Misc/AcidSlime.cs:70-89</t>
  </si>
  <si>
    <t>Recorded by current POST-BATCH-D-26A source/audit commit</t>
  </si>
  <si>
    <t>2026-06-08T18:21:22.2049742-05:00</t>
  </si>
  <si>
    <t>RB-04794</t>
  </si>
  <si>
    <t>P10-F04794</t>
  </si>
  <si>
    <t>Data/Scripts/Items/Misc/MagicForges.cs</t>
  </si>
  <si>
    <t>POST-BATCH-D-27A</t>
  </si>
  <si>
    <t>PHD-106</t>
  </si>
  <si>
    <t>Replaced direct foreach over this.GetMobilesInRange(20) with IPooledEnumerable nearbyMobiles plus try/finally Free while preserving nearby EpicCharacter announcement.</t>
  </si>
  <si>
    <t>Data/Scripts/Items/Misc/MagicForges.cs:1285-1299</t>
  </si>
  <si>
    <t>Recorded by current POST-BATCH-D-27A source/audit commit</t>
  </si>
  <si>
    <t>2026-06-08T18:34:25.5065432-05:00</t>
  </si>
  <si>
    <t>RB-04795</t>
  </si>
  <si>
    <t>P10-F04795</t>
  </si>
  <si>
    <t>PHD-107</t>
  </si>
  <si>
    <t>Replaced direct foreach over m.GetItemsInRange(20) with IPooledEnumerable darkCoreItems plus try/finally Free while preserving dark-core validation counting.</t>
  </si>
  <si>
    <t>Data/Scripts/Items/Misc/MagicForges.cs:1417-1473</t>
  </si>
  <si>
    <t>RB-04796</t>
  </si>
  <si>
    <t>P10-F04796</t>
  </si>
  <si>
    <t>PHD-108</t>
  </si>
  <si>
    <t>Replaced direct foreach over m.GetItemsInRange(20) with IPooledEnumerable darkCoreEnchantItems plus try/finally Free while preserving Exodus enchantment application.</t>
  </si>
  <si>
    <t>Data/Scripts/Items/Misc/MagicForges.cs:1542-1691</t>
  </si>
  <si>
    <t>RB-04797</t>
  </si>
  <si>
    <t>P10-F04797</t>
  </si>
  <si>
    <t>PHD-109</t>
  </si>
  <si>
    <t>Replaced direct foreach over m.GetItemsInRange(20) with IPooledEnumerable rangerItems plus try/finally Free while preserving Golden Ranger item morphing.</t>
  </si>
  <si>
    <t>Data/Scripts/Items/Misc/MagicForges.cs:1983-2081</t>
  </si>
  <si>
    <t>RB-04798</t>
  </si>
  <si>
    <t>P10-F04798</t>
  </si>
  <si>
    <t>PHD-110</t>
  </si>
  <si>
    <t>Replaced direct foreach over m.GetItemsInRange(20) with IPooledEnumerable poisonForgeItems plus try/finally Free while preserving poison forge item updates.</t>
  </si>
  <si>
    <t>Data/Scripts/Items/Misc/MagicForges.cs:2183-2331</t>
  </si>
  <si>
    <t>RB-04799</t>
  </si>
  <si>
    <t>P10-F04799</t>
  </si>
  <si>
    <t>PHD-111</t>
  </si>
  <si>
    <t>Replaced direct foreach over m.GetItemsInRange(20) with IPooledEnumerable coldForgeItems plus try/finally Free while preserving cold forge item updates.</t>
  </si>
  <si>
    <t>Data/Scripts/Items/Misc/MagicForges.cs:2336-2486</t>
  </si>
  <si>
    <t>RB-04800</t>
  </si>
  <si>
    <t>P10-F04800</t>
  </si>
  <si>
    <t>PHD-112</t>
  </si>
  <si>
    <t>Replaced direct foreach over m.GetItemsInRange(20) with IPooledEnumerable energyForgeItems plus try/finally Free while preserving energy forge item updates.</t>
  </si>
  <si>
    <t>Data/Scripts/Items/Misc/MagicForges.cs:2491-2639</t>
  </si>
  <si>
    <t>RB-04801</t>
  </si>
  <si>
    <t>P10-F04801</t>
  </si>
  <si>
    <t>PHD-113</t>
  </si>
  <si>
    <t>Replaced direct foreach over m.GetItemsInRange(20) with IPooledEnumerable fireForgeItems plus try/finally Free while preserving fire forge item updates.</t>
  </si>
  <si>
    <t>Data/Scripts/Items/Misc/MagicForges.cs:2644-2794</t>
  </si>
  <si>
    <t>RB-04802</t>
  </si>
  <si>
    <t>P10-F04802</t>
  </si>
  <si>
    <t>Data/Scripts/Items/Misc/MorphItem.cs</t>
  </si>
  <si>
    <t>POST-BATCH-D-28A</t>
  </si>
  <si>
    <t>PHD-114</t>
  </si>
  <si>
    <t>Replaced direct foreach over GetMobilesInRange(CurrentRange) with IPooledEnumerable eable plus try/finally Free while preserving hidden-staff filtering and early break behavior.</t>
  </si>
  <si>
    <t>Data/Scripts/Items/Misc/MorphItem.cs:105-120</t>
  </si>
  <si>
    <t>Recorded by current POST-BATCH-D-28A source/audit commit</t>
  </si>
  <si>
    <t>2026-06-08T18:38:09.4106780-05:00</t>
  </si>
  <si>
    <t>RB-04803</t>
  </si>
  <si>
    <t>P10-F04803</t>
  </si>
  <si>
    <t>PHD-115</t>
  </si>
  <si>
    <t>Data/Scripts/Items/Misc/PoolOfAcid.cs:72-92</t>
  </si>
  <si>
    <t>RB-04804</t>
  </si>
  <si>
    <t>P10-F04804</t>
  </si>
  <si>
    <t>Data/Scripts/Items/Misc/WarningItem.cs</t>
  </si>
  <si>
    <t>PHD-116</t>
  </si>
  <si>
    <t>Replaced direct foreach over GetItemsInRange(NeighborRange) with IPooledEnumerable eable plus try/finally Free while preserving neighbor warning propagation.</t>
  </si>
  <si>
    <t>Data/Scripts/Items/Misc/WarningItem.cs:129-141</t>
  </si>
  <si>
    <t>RB-04805</t>
  </si>
  <si>
    <t>P10-F04805</t>
  </si>
  <si>
    <t>Data/Scripts/Items/Misc/Games/BaseBoard.cs</t>
  </si>
  <si>
    <t>PHD-117</t>
  </si>
  <si>
    <t>Replaced direct foreach over this.GetClientsInRange(2) with IPooledEnumerable eable plus try/finally Free while preserving board sound fan-out and packet release flow.</t>
  </si>
  <si>
    <t>Data/Scripts/Items/Misc/Games/BaseBoard.cs:112-121</t>
  </si>
  <si>
    <t>RB-04806</t>
  </si>
  <si>
    <t>P10-F04806</t>
  </si>
  <si>
    <t>Items:Potions</t>
  </si>
  <si>
    <t>Data/Scripts/Items/Potions/Special/CanopicJar.cs</t>
  </si>
  <si>
    <t>POST-BATCH-D-29A</t>
  </si>
  <si>
    <t>PHD-118</t>
  </si>
  <si>
    <t>Replaced direct foreach over this.GetMobilesInRange(10) with IPooledEnumerable eable plus try/finally Free while preserving nearby alchemist counting.</t>
  </si>
  <si>
    <t>Data/Scripts/Items/Potions/Special/CanopicJar.cs:288-300</t>
  </si>
  <si>
    <t>Recorded by current POST-BATCH-D-29A source/audit commit</t>
  </si>
  <si>
    <t>2026-06-08T18:42:18.0141056-05:00</t>
  </si>
  <si>
    <t>RB-04807</t>
  </si>
  <si>
    <t>P10-F04807</t>
  </si>
  <si>
    <t>Data/Scripts/Items/Potions/Special/MonsterSplatter.cs</t>
  </si>
  <si>
    <t>PHD-119</t>
  </si>
  <si>
    <t>Replaced direct foreach over from.GetItemsInRange(10) with IPooledEnumerable eable plus try/finally Free while preserving foreign splatter counting.</t>
  </si>
  <si>
    <t>Data/Scripts/Items/Potions/Special/MonsterSplatter.cs:859-875</t>
  </si>
  <si>
    <t>RB-04808</t>
  </si>
  <si>
    <t>P10-F04808</t>
  </si>
  <si>
    <t>Data/Scripts/Items/Potions/Standard/Conflagration Potions/BaseConflagrationPotion.cs</t>
  </si>
  <si>
    <t>PHD-120</t>
  </si>
  <si>
    <t>Replaced direct foreach over m_Item.GetMobilesInRange(0) with IPooledEnumerable eable plus try/finally Free while preserving explosion target collection.</t>
  </si>
  <si>
    <t>Data/Scripts/Items/Potions/Standard/Conflagration Potions/BaseConflagrationPotion.cs:398-407</t>
  </si>
  <si>
    <t>RB-04809</t>
  </si>
  <si>
    <t>P10-F04809</t>
  </si>
  <si>
    <t>Data/Scripts/Items/Potions/Standard/Confusion Blast Potions/BaseConfusionBlastPotion.cs</t>
  </si>
  <si>
    <t>PHD-121</t>
  </si>
  <si>
    <t>Replaced direct foreach over map.GetMobilesInRange(loc, Radius) with IPooledEnumerable eable plus try/finally Free while preserving pacify and paralyze effects.</t>
  </si>
  <si>
    <t>Data/Scripts/Items/Potions/Standard/Confusion Blast Potions/BaseConfusionBlastPotion.cs:128-153</t>
  </si>
  <si>
    <t>RB-04810</t>
  </si>
  <si>
    <t>P10-F04810</t>
  </si>
  <si>
    <t>Data/Scripts/Items/Potions/Standard/Frostbite Potions/BaseFrostbitePotion.cs</t>
  </si>
  <si>
    <t>PHD-122</t>
  </si>
  <si>
    <t>Data/Scripts/Items/Potions/Standard/Frostbite Potions/BaseFrostbitePotion.cs:400-409</t>
  </si>
  <si>
    <t>RB-04811</t>
  </si>
  <si>
    <t>P10-F04811</t>
  </si>
  <si>
    <t>Data/Scripts/Items/Special/DemonPrison.cs</t>
  </si>
  <si>
    <t>POST-BATCH-D-30A</t>
  </si>
  <si>
    <t>PHD-123</t>
  </si>
  <si>
    <t>Replaced direct foreach over this.GetItemsInRange(10) with IPooledEnumerable eable plus try/finally Free while preserving monster-splatter counting.</t>
  </si>
  <si>
    <t>Data/Scripts/Items/Special/DemonPrison.cs:1307-1321</t>
  </si>
  <si>
    <t>Recorded by current POST-BATCH-D-30A source/audit commit</t>
  </si>
  <si>
    <t>2026-06-08T18:45:14.1137550-05:00</t>
  </si>
  <si>
    <t>RB-04812</t>
  </si>
  <si>
    <t>P10-F04812</t>
  </si>
  <si>
    <t>Items:Technology</t>
  </si>
  <si>
    <t>Data/Scripts/Items/Technology/Landmine.cs</t>
  </si>
  <si>
    <t>POST-BATCH-D-31A</t>
  </si>
  <si>
    <t>PHD-124</t>
  </si>
  <si>
    <t>Replaced direct foreach over from.GetItemsInRange(10) with IPooledEnumerable eable plus try/finally Free while preserving nearby landmine counting.</t>
  </si>
  <si>
    <t>Data/Scripts/Items/Technology/Landmine.cs:36-48</t>
  </si>
  <si>
    <t>Recorded by current POST-BATCH-D-31A source/audit commit</t>
  </si>
  <si>
    <t>2026-06-08T18:48:03.4942119-05:00</t>
  </si>
  <si>
    <t>RB-04813</t>
  </si>
  <si>
    <t>P10-F04813</t>
  </si>
  <si>
    <t>Data/Scripts/Items/Trades/Blacksmith Items/RubyPickaxe.cs</t>
  </si>
  <si>
    <t>POST-BATCH-D-32A</t>
  </si>
  <si>
    <t>PHD-125</t>
  </si>
  <si>
    <t>Replaced direct foreach over this.GetMobilesInRange(100) with IPooledEnumerable eable plus try/finally Free while preserving nearby hydra blocking.</t>
  </si>
  <si>
    <t>Data/Scripts/Items/Trades/Blacksmith Items/RubyPickaxe.cs:158-170</t>
  </si>
  <si>
    <t>Recorded by current POST-BATCH-D-32A source/audit commit</t>
  </si>
  <si>
    <t>2026-06-08T18:50:41.5106055-05:00</t>
  </si>
  <si>
    <t>RB-04814</t>
  </si>
  <si>
    <t>P10-F04814</t>
  </si>
  <si>
    <t>Items:Traps</t>
  </si>
  <si>
    <t>Data/Scripts/Items/Traps/FlameSpurtTrap.cs</t>
  </si>
  <si>
    <t>POST-BATCH-D-33A</t>
  </si>
  <si>
    <t>PHD-126</t>
  </si>
  <si>
    <t>Replaced direct foreach over GetMobilesInRange(3) with IPooledEnumerable eable plus try/finally Free while preserving gem/jewel early return and player detection.</t>
  </si>
  <si>
    <t>Data/Scripts/Items/Traps/FlameSpurtTrap.cs:97-121</t>
  </si>
  <si>
    <t>Recorded by current POST-BATCH-D-33A source/audit commit</t>
  </si>
  <si>
    <t>2026-06-08T18:54:48.5479798-05:00</t>
  </si>
  <si>
    <t>RB-04815</t>
  </si>
  <si>
    <t>P10-F04815</t>
  </si>
  <si>
    <t>Data/Scripts/Items/Traps/SpikeTrap.cs</t>
  </si>
  <si>
    <t>PHD-127</t>
  </si>
  <si>
    <t>Replaced direct foreach over GetMobilesInRange(0) with IPooledEnumerable eable plus try/finally Free while preserving spike damage application.</t>
  </si>
  <si>
    <t>Data/Scripts/Items/Traps/SpikeTrap.cs:183-200</t>
  </si>
  <si>
    <t>RB-04816</t>
  </si>
  <si>
    <t>P10-F04816</t>
  </si>
  <si>
    <t>Data/Scripts/Items/Traps/StoneFaceTrap.cs</t>
  </si>
  <si>
    <t>PHD-128</t>
  </si>
  <si>
    <t>Replaced direct foreach over GetMobilesInRange(1) with IPooledEnumerable eable plus try/finally Free while preserving fire damage application.</t>
  </si>
  <si>
    <t>Data/Scripts/Items/Traps/StoneFaceTrap.cs:156-178</t>
  </si>
  <si>
    <t>RB-04817</t>
  </si>
  <si>
    <t>P10-F04817</t>
  </si>
  <si>
    <t>Data/Scripts/Items/Traps/TrapKit.cs</t>
  </si>
  <si>
    <t>PHD-129</t>
  </si>
  <si>
    <t>Replaced direct foreach over from.GetItemsInRange(10) with IPooledEnumerable eable plus try/finally Free while preserving nearby trap counting.</t>
  </si>
  <si>
    <t>Data/Scripts/Items/Traps/TrapKit.cs:68-80</t>
  </si>
  <si>
    <t>RB-04818</t>
  </si>
  <si>
    <t>P10-F04818</t>
  </si>
  <si>
    <t>POST-BATCH-D-34A</t>
  </si>
  <si>
    <t>PHD-130</t>
  </si>
  <si>
    <t>Replaced direct foreach over defender.GetMobilesInRange(1) with IPooledEnumerable eable plus try/finally Free while preserving pack-instinct counting.</t>
  </si>
  <si>
    <t>Data/Scripts/Items/Weapons/BaseWeapon.cs:2076-2104</t>
  </si>
  <si>
    <t>Recorded by current POST-BATCH-D-34A source/audit commit</t>
  </si>
  <si>
    <t>2026-06-08T19:00:15.2280067-05:00</t>
  </si>
  <si>
    <t>RB-04819</t>
  </si>
  <si>
    <t>P10-F04819</t>
  </si>
  <si>
    <t>PHD-131</t>
  </si>
  <si>
    <t>Replaced direct foreach over defender.GetMobilesInRange(4) with IPooledEnumerable eable plus try/finally Free while preserving mirror-image diversion and break behavior.</t>
  </si>
  <si>
    <t>Data/Scripts/Items/Weapons/BaseWeapon.cs:2180-2199</t>
  </si>
  <si>
    <t>RB-04820</t>
  </si>
  <si>
    <t>P10-F04820</t>
  </si>
  <si>
    <t>PHD-132</t>
  </si>
  <si>
    <t>Replaced direct foreach over from.GetMobilesInRange(10) with IPooledEnumerable eable plus try/finally Free while preserving area-target collection and empty-list return behavior.</t>
  </si>
  <si>
    <t>Data/Scripts/Items/Weapons/BaseWeapon.cs:3020-3038</t>
  </si>
  <si>
    <t>RB-04821</t>
  </si>
  <si>
    <t>P10-F04821</t>
  </si>
  <si>
    <t>Magic:Bard</t>
  </si>
  <si>
    <t>Data/Scripts/Magic/Bard/Spells/ArmysPaeonSong.cs</t>
  </si>
  <si>
    <t>POST-BATCH-D-35A</t>
  </si>
  <si>
    <t>PHD-133</t>
  </si>
  <si>
    <t>Replaced direct foreach over Caster.GetMobilesInRange(3) with IPooledEnumerable eable plus try/finally Free while preserving beneficial target collection.</t>
  </si>
  <si>
    <t>Data/Scripts/Magic/Bard/Spells/ArmysPaeonSong.cs:72-84</t>
  </si>
  <si>
    <t>Recorded by current POST-BATCH-D-35A source/audit commit</t>
  </si>
  <si>
    <t>2026-06-08T19:04:47.1924696-05:00</t>
  </si>
  <si>
    <t>RB-04822</t>
  </si>
  <si>
    <t>P10-F04822</t>
  </si>
  <si>
    <t>Data/Scripts/Magic/Bard/Spells/EnchantingEtudeSong.cs</t>
  </si>
  <si>
    <t>PHD-134</t>
  </si>
  <si>
    <t>Data/Scripts/Magic/Bard/Spells/EnchantingEtudeSong.cs:72-84</t>
  </si>
  <si>
    <t>RB-04823</t>
  </si>
  <si>
    <t>P10-F04823</t>
  </si>
  <si>
    <t>Data/Scripts/Magic/Bard/Spells/EnergyCarolSong.cs</t>
  </si>
  <si>
    <t>PHD-135</t>
  </si>
  <si>
    <t>Data/Scripts/Magic/Bard/Spells/EnergyCarolSong.cs:71-83</t>
  </si>
  <si>
    <t>RB-04824</t>
  </si>
  <si>
    <t>P10-F04824</t>
  </si>
  <si>
    <t>Data/Scripts/Magic/Bard/Spells/FireCarolSong.cs</t>
  </si>
  <si>
    <t>PHD-136</t>
  </si>
  <si>
    <t>Data/Scripts/Magic/Bard/Spells/FireCarolSong.cs:79-91</t>
  </si>
  <si>
    <t>RB-04825</t>
  </si>
  <si>
    <t>P10-F04825</t>
  </si>
  <si>
    <t>Data/Scripts/Magic/Bard/Spells/IceCarolSong.cs</t>
  </si>
  <si>
    <t>PHD-137</t>
  </si>
  <si>
    <t>Data/Scripts/Magic/Bard/Spells/IceCarolSong.cs:69-81</t>
  </si>
  <si>
    <t>RB-04826</t>
  </si>
  <si>
    <t>P10-F04826</t>
  </si>
  <si>
    <t>Data/Scripts/Magic/Bard/Spells/KnightsMinneSong.cs</t>
  </si>
  <si>
    <t>PHD-138</t>
  </si>
  <si>
    <t>Data/Scripts/Magic/Bard/Spells/KnightsMinneSong.cs:71-83</t>
  </si>
  <si>
    <t>RB-04827</t>
  </si>
  <si>
    <t>P10-F04827</t>
  </si>
  <si>
    <t>Data/Scripts/Magic/Bard/Spells/MagesBalladSong.cs</t>
  </si>
  <si>
    <t>PHD-139</t>
  </si>
  <si>
    <t>Replaced direct foreach over Caster.GetMobilesInRange(3) with IPooledEnumerable eable plus try/finally Free while preserving beneficial non-creature target collection.</t>
  </si>
  <si>
    <t>Data/Scripts/Magic/Bard/Spells/MagesBalladSong.cs:72-89</t>
  </si>
  <si>
    <t>RB-04828</t>
  </si>
  <si>
    <t>P10-F04828</t>
  </si>
  <si>
    <t>Data/Scripts/Magic/Bard/Spells/MagicFinaleSong.cs</t>
  </si>
  <si>
    <t>PHD-140</t>
  </si>
  <si>
    <t>Replaced direct foreach over Caster.GetMobilesInRange(4) with IPooledEnumerable eable plus try/finally Free while preserving controlled and summoned creature target collection.</t>
  </si>
  <si>
    <t>Data/Scripts/Magic/Bard/Spells/MagicFinaleSong.cs:67-86</t>
  </si>
  <si>
    <t>RB-04829</t>
  </si>
  <si>
    <t>P10-F04829</t>
  </si>
  <si>
    <t>Data/Scripts/Magic/Bard/Spells/PoisonCarolSong.cs</t>
  </si>
  <si>
    <t>PHD-141</t>
  </si>
  <si>
    <t>Data/Scripts/Magic/Bard/Spells/PoisonCarolSong.cs:71-83</t>
  </si>
  <si>
    <t>RB-04830</t>
  </si>
  <si>
    <t>P10-F04830</t>
  </si>
  <si>
    <t>Data/Scripts/Magic/Bard/Spells/SheepfoeMamboSong.cs</t>
  </si>
  <si>
    <t>PHD-142</t>
  </si>
  <si>
    <t>Data/Scripts/Magic/Bard/Spells/SheepfoeMamboSong.cs:69-81</t>
  </si>
  <si>
    <t>RB-04831</t>
  </si>
  <si>
    <t>P10-F04831</t>
  </si>
  <si>
    <t>Data/Scripts/Magic/Bard/Spells/SinewyEtudeSong.cs</t>
  </si>
  <si>
    <t>PHD-143</t>
  </si>
  <si>
    <t>Data/Scripts/Magic/Bard/Spells/SinewyEtudeSong.cs:70-82</t>
  </si>
  <si>
    <t>RB-04832</t>
  </si>
  <si>
    <t>P10-F04832</t>
  </si>
  <si>
    <t>Magic:Bushido</t>
  </si>
  <si>
    <t>Data/Scripts/Magic/Bushido/MomentumStrike.cs</t>
  </si>
  <si>
    <t>POST-BATCH-D-36A</t>
  </si>
  <si>
    <t>PHD-144</t>
  </si>
  <si>
    <t>Replaced direct foreach over attacker.GetMobilesInRange(weapon.MaxRange) with IPooledEnumerable eable plus try/finally Free while preserving momentum target collection.</t>
  </si>
  <si>
    <t>Data/Scripts/Magic/Bushido/MomentumStrike.cs:39-56</t>
  </si>
  <si>
    <t>Recorded by current POST-BATCH-D-36A source/audit commit</t>
  </si>
  <si>
    <t>2026-06-08T19:10:10.9806326-05:00</t>
  </si>
  <si>
    <t>RB-04833</t>
  </si>
  <si>
    <t>P10-F04833</t>
  </si>
  <si>
    <t>Data/Scripts/Magic/Druidism/Effects/TreefellowSpell.cs</t>
  </si>
  <si>
    <t>POST-BATCH-D-37A</t>
  </si>
  <si>
    <t>PHD-145</t>
  </si>
  <si>
    <t>Replaced direct foreach over GetMobilesInRange(5) with IPooledEnumerable eable plus try/finally Free while preserving vortex collection and cleanup.</t>
  </si>
  <si>
    <t>Data/Scripts/Magic/Druidism/Effects/TreefellowSpell.cs:215-230</t>
  </si>
  <si>
    <t>Recorded by current POST-BATCH-D-37A source/audit commit</t>
  </si>
  <si>
    <t>2026-06-08T19:13:33.1988002-05:00</t>
  </si>
  <si>
    <t>RB-04834</t>
  </si>
  <si>
    <t>P10-F04834</t>
  </si>
  <si>
    <t>Magic:Elementalism</t>
  </si>
  <si>
    <t>Data/Scripts/Magic/Elementalism/Mobiles/ElementalFiendAir.cs</t>
  </si>
  <si>
    <t>POST-BATCH-D-38A</t>
  </si>
  <si>
    <t>PHD-146</t>
  </si>
  <si>
    <t>Replaced direct foreach over GetMobilesInRange(5) with IPooledEnumerable eable plus try/finally Free while preserving vortex cleanup.</t>
  </si>
  <si>
    <t>Data/Scripts/Magic/Elementalism/Mobiles/ElementalFiendAir.cs:90-105</t>
  </si>
  <si>
    <t>Recorded by current POST-BATCH-D-38A source/audit commit</t>
  </si>
  <si>
    <t>2026-06-08T19:18:16.3025306-05:00</t>
  </si>
  <si>
    <t>RB-04835</t>
  </si>
  <si>
    <t>P10-F04835</t>
  </si>
  <si>
    <t>Data/Scripts/Magic/Elementalism/Mobiles/ElementalFiendEarth.cs</t>
  </si>
  <si>
    <t>PHD-147</t>
  </si>
  <si>
    <t>Data/Scripts/Magic/Elementalism/Mobiles/ElementalFiendEarth.cs:89-104</t>
  </si>
  <si>
    <t>RB-04836</t>
  </si>
  <si>
    <t>P10-F04836</t>
  </si>
  <si>
    <t>Data/Scripts/Magic/Elementalism/Mobiles/ElementalFiendFire.cs</t>
  </si>
  <si>
    <t>PHD-148</t>
  </si>
  <si>
    <t>Data/Scripts/Magic/Elementalism/Mobiles/ElementalFiendFire.cs:91-106</t>
  </si>
  <si>
    <t>RB-04837</t>
  </si>
  <si>
    <t>P10-F04837</t>
  </si>
  <si>
    <t>Data/Scripts/Magic/Elementalism/Mobiles/ElementalFiendWater.cs</t>
  </si>
  <si>
    <t>PHD-149</t>
  </si>
  <si>
    <t>Replaced direct foreach over GetMobilesInRange(5) with IPooledEnumerable eable plus try/finally Free while preserving summoned water-vortex cleanup.</t>
  </si>
  <si>
    <t>Data/Scripts/Magic/Elementalism/Mobiles/ElementalFiendWater.cs:89-112</t>
  </si>
  <si>
    <t>RB-04838</t>
  </si>
  <si>
    <t>P10-F04838</t>
  </si>
  <si>
    <t>Data/Scripts/Magic/Elementalism/Mobiles/ElementalSpiritAir.cs</t>
  </si>
  <si>
    <t>PHD-150</t>
  </si>
  <si>
    <t>Data/Scripts/Magic/Elementalism/Mobiles/ElementalSpiritAir.cs:82-97</t>
  </si>
  <si>
    <t>RB-04839</t>
  </si>
  <si>
    <t>P10-F04839</t>
  </si>
  <si>
    <t>Data/Scripts/Magic/Elementalism/Mobiles/ElementalSpiritEarth.cs</t>
  </si>
  <si>
    <t>PHD-151</t>
  </si>
  <si>
    <t>Data/Scripts/Magic/Elementalism/Mobiles/ElementalSpiritEarth.cs:80-95</t>
  </si>
  <si>
    <t>RB-04840</t>
  </si>
  <si>
    <t>P10-F04840</t>
  </si>
  <si>
    <t>Data/Scripts/Magic/Elementalism/Mobiles/ElementalSpiritFire.cs</t>
  </si>
  <si>
    <t>PHD-152</t>
  </si>
  <si>
    <t>Data/Scripts/Magic/Elementalism/Mobiles/ElementalSpiritFire.cs:83-98</t>
  </si>
  <si>
    <t>RB-04841</t>
  </si>
  <si>
    <t>P10-F04841</t>
  </si>
  <si>
    <t>Data/Scripts/Magic/Elementalism/Mobiles/ElementalSpiritWater.cs</t>
  </si>
  <si>
    <t>PHD-153</t>
  </si>
  <si>
    <t>Data/Scripts/Magic/Elementalism/Mobiles/ElementalSpiritWater.cs:81-96</t>
  </si>
  <si>
    <t>RB-04842</t>
  </si>
  <si>
    <t>P10-F04842</t>
  </si>
  <si>
    <t>Data/Scripts/Magic/Elementalism/Sphere 4/Elemental_Field.cs</t>
  </si>
  <si>
    <t>PHD-154</t>
  </si>
  <si>
    <t>Replaced direct foreach over m_Item.GetMobilesInRange(0) with IPooledEnumerable eable plus try/finally Free while preserving field target queueing.</t>
  </si>
  <si>
    <t>Data/Scripts/Magic/Elementalism/Sphere 4/Elemental_Field.cs:347-363</t>
  </si>
  <si>
    <t>RB-04843</t>
  </si>
  <si>
    <t>P10-F04843</t>
  </si>
  <si>
    <t>Data/Scripts/Magic/Elementalism/Sphere 8/Elemental_Apocalypse.cs</t>
  </si>
  <si>
    <t>PHD-155</t>
  </si>
  <si>
    <t>Replaced multiline foreach over Caster.GetMobilesInRange(...) with IPooledEnumerable eable plus try/finally Free while preserving apocalypse target collection.</t>
  </si>
  <si>
    <t>Data/Scripts/Magic/Elementalism/Sphere 8/Elemental_Apocalypse.cs:43-63</t>
  </si>
  <si>
    <t>Confirmed pooled enumerable ownership leak despite truncated generated evidence; fixed with try/finally Free and no behavior, serialization, namespace, type, or file-location changes.</t>
  </si>
  <si>
    <t>RB-04844</t>
  </si>
  <si>
    <t>P10-F04844</t>
  </si>
  <si>
    <t>Magic:Jester</t>
  </si>
  <si>
    <t>Data/Scripts/Magic/Jester/BagOfTricks.cs</t>
  </si>
  <si>
    <t>POST-BATCH-D-39A</t>
  </si>
  <si>
    <t>PHD-156</t>
  </si>
  <si>
    <t>Replaced direct foreach over this.GetMobilesInRange(20) with IPooledEnumerable eable plus try/finally Free while preserving nearby jester counting.</t>
  </si>
  <si>
    <t>Data/Scripts/Magic/Jester/BagOfTricks.cs:896-908</t>
  </si>
  <si>
    <t>Recorded by current POST-BATCH-D-39A source/audit commit</t>
  </si>
  <si>
    <t>2026-06-08T19:24:31.4575885-05:00</t>
  </si>
  <si>
    <t>RB-04845</t>
  </si>
  <si>
    <t>P10-F04845</t>
  </si>
  <si>
    <t>Data/Scripts/Magic/Jester/SummonedPrank.cs</t>
  </si>
  <si>
    <t>PHD-157</t>
  </si>
  <si>
    <t>Replaced direct foreach over from.GetMobilesInRange(from.RawDex) with IPooledEnumerable eable plus try/finally Free while preserving prank explosion target filtering.</t>
  </si>
  <si>
    <t>Data/Scripts/Magic/Jester/SummonedPrank.cs:150-170</t>
  </si>
  <si>
    <t>RB-04846</t>
  </si>
  <si>
    <t>P10-F04846</t>
  </si>
  <si>
    <t>Data/Scripts/Magic/Jester/Spells/FlowerPower.cs</t>
  </si>
  <si>
    <t>PHD-158</t>
  </si>
  <si>
    <t>Replaced direct foreach over m.GetItemsInRange(10) with IPooledEnumerable eable plus try/finally Free while preserving splatter counting.</t>
  </si>
  <si>
    <t>Data/Scripts/Magic/Jester/Spells/FlowerPower.cs:82-96</t>
  </si>
  <si>
    <t>RB-04847</t>
  </si>
  <si>
    <t>P10-F04847</t>
  </si>
  <si>
    <t>Data/Scripts/Magic/Jester/Spells/Hilarity.cs</t>
  </si>
  <si>
    <t>PHD-159</t>
  </si>
  <si>
    <t>Replaced direct foreach over Caster.GetMobilesInRange(TotalRange) with IPooledEnumerable eable plus try/finally Free while preserving creature and non-creature target filters.</t>
  </si>
  <si>
    <t>Data/Scripts/Magic/Jester/Spells/Hilarity.cs:75-111</t>
  </si>
  <si>
    <t>RB-04848</t>
  </si>
  <si>
    <t>P10-F04848</t>
  </si>
  <si>
    <t>Data/Scripts/Magic/Jester/Spells/SeltzerBottle.cs</t>
  </si>
  <si>
    <t>PHD-160</t>
  </si>
  <si>
    <t>Data/Scripts/Magic/Jester/Spells/SeltzerBottle.cs:82-96</t>
  </si>
  <si>
    <t>RB-04849</t>
  </si>
  <si>
    <t>P10-F04849</t>
  </si>
  <si>
    <t>Magic:Knight</t>
  </si>
  <si>
    <t>Data/Scripts/Magic/Knight/DispelEvil.cs</t>
  </si>
  <si>
    <t>POST-BATCH-D-40A</t>
  </si>
  <si>
    <t>PHD-161</t>
  </si>
  <si>
    <t>Replaced direct foreach over Caster.GetMobilesInRange(8) with IPooledEnumerable eable plus try/finally Free while preserving dispel target collection.</t>
  </si>
  <si>
    <t>Data/Scripts/Magic/Knight/DispelEvil.cs:60-90</t>
  </si>
  <si>
    <t>Recorded by current POST-BATCH-D-40A source/audit commit</t>
  </si>
  <si>
    <t>2026-06-08T19:30:25.3414101-05:00</t>
  </si>
  <si>
    <t>RB-04850</t>
  </si>
  <si>
    <t>P10-F04850</t>
  </si>
  <si>
    <t>Data/Scripts/Magic/Knight/HolyLight.cs</t>
  </si>
  <si>
    <t>PHD-162</t>
  </si>
  <si>
    <t>Replaced direct foreach over Caster.GetMobilesInRange(3) with IPooledEnumerable eable plus try/finally Free while preserving harmful target collection.</t>
  </si>
  <si>
    <t>Data/Scripts/Magic/Knight/HolyLight.cs:53-69</t>
  </si>
  <si>
    <t>RB-04851</t>
  </si>
  <si>
    <t>P10-F04851</t>
  </si>
  <si>
    <t>Data/Scripts/Magic/Knight/NobleSacrifice.cs</t>
  </si>
  <si>
    <t>PHD-163</t>
  </si>
  <si>
    <t>Replaced direct foreach over Caster.GetMobilesInRange(3) with IPooledEnumerable eable plus try/finally Free while preserving beneficial target collection and the existing range TODO.</t>
  </si>
  <si>
    <t>Data/Scripts/Magic/Knight/NobleSacrifice.cs:59-79</t>
  </si>
  <si>
    <t>RB-04852</t>
  </si>
  <si>
    <t>P10-F04852</t>
  </si>
  <si>
    <t>Magic:Magery</t>
  </si>
  <si>
    <t>Data/Scripts/Magic/Magery/Magery 2nd/MagicTrap.cs</t>
  </si>
  <si>
    <t>POST-BATCH-D-41A</t>
  </si>
  <si>
    <t>PHD-164</t>
  </si>
  <si>
    <t>Replaced direct foreach over Caster.GetItemsInRange(10) with IPooledEnumerable eable plus try/finally Free while preserving trap counting.</t>
  </si>
  <si>
    <t>Data/Scripts/Magic/Magery/Magery 2nd/MagicTrap.cs:139-151</t>
  </si>
  <si>
    <t>Recorded by current POST-BATCH-D-41A source/audit commit</t>
  </si>
  <si>
    <t>2026-06-08T19:35:10.9398937-05:00</t>
  </si>
  <si>
    <t>RB-04853</t>
  </si>
  <si>
    <t>P10-F04853</t>
  </si>
  <si>
    <t>Data/Scripts/Magic/Magery/Magery 4th/FireField.cs</t>
  </si>
  <si>
    <t>PHD-165</t>
  </si>
  <si>
    <t>Data/Scripts/Magic/Magery/Magery 4th/FireField.cs:315-331</t>
  </si>
  <si>
    <t>RB-04854</t>
  </si>
  <si>
    <t>P10-F04854</t>
  </si>
  <si>
    <t>Data/Scripts/Magic/Magery/Magery 8th/Earthquake.cs</t>
  </si>
  <si>
    <t>PHD-166</t>
  </si>
  <si>
    <t>Replaced multiline foreach over Caster.GetMobilesInRange(...) with IPooledEnumerable eable plus try/finally Free while preserving earthquake target collection.</t>
  </si>
  <si>
    <t>Data/Scripts/Magic/Magery/Magery 8th/Earthquake.cs:47-67</t>
  </si>
  <si>
    <t>RB-04855</t>
  </si>
  <si>
    <t>P10-F04855</t>
  </si>
  <si>
    <t>Magic:Misc</t>
  </si>
  <si>
    <t>Data/Scripts/Magic/Misc/SummonDragonSpell.cs</t>
  </si>
  <si>
    <t>POST-BATCH-D-42A</t>
  </si>
  <si>
    <t>PHD-167</t>
  </si>
  <si>
    <t>Replaced direct foreach over GetMobilesInRange(5) with IPooledEnumerable eable plus try/finally Free while preserving summoned vortex cleanup collection.</t>
  </si>
  <si>
    <t>Data/Scripts/Magic/Misc/SummonDragonSpell.cs:192-207</t>
  </si>
  <si>
    <t>Recorded by current POST-BATCH-D-42A source/audit commit</t>
  </si>
  <si>
    <t>2026-06-08T19:40:46.3102526-05:00</t>
  </si>
  <si>
    <t>RB-04856</t>
  </si>
  <si>
    <t>P10-F04856</t>
  </si>
  <si>
    <t>Data/Scripts/Magic/Misc/SummonSnakesSpell.cs</t>
  </si>
  <si>
    <t>PHD-168</t>
  </si>
  <si>
    <t>Data/Scripts/Magic/Misc/SummonSnakesSpell.cs:190-205</t>
  </si>
  <si>
    <t>RB-04857</t>
  </si>
  <si>
    <t>P10-F04857</t>
  </si>
  <si>
    <t>Magic:Necromancy</t>
  </si>
  <si>
    <t>Data/Scripts/Magic/Necromancy/PoisonStrike.cs</t>
  </si>
  <si>
    <t>POST-BATCH-D-43A</t>
  </si>
  <si>
    <t>PHD-169</t>
  </si>
  <si>
    <t>Replaced direct foreach over m.GetMobilesInRange(2) with IPooledEnumerable eable plus try/finally Free while preserving poison strike splash target collection.</t>
  </si>
  <si>
    <t>Data/Scripts/Magic/Necromancy/PoisonStrike.cs:120-137</t>
  </si>
  <si>
    <t>Recorded by current POST-BATCH-D-43A source/audit commit</t>
  </si>
  <si>
    <t>2026-06-08T19:44:46.7075578-05:00</t>
  </si>
  <si>
    <t>RB-04858</t>
  </si>
  <si>
    <t>P10-F04858</t>
  </si>
  <si>
    <t>Data/Scripts/Magic/Necromancy/Wither.cs</t>
  </si>
  <si>
    <t>PHD-170</t>
  </si>
  <si>
    <t>Replaced direct foreach over Caster.GetMobilesInRange(Core.ML ? 4 : 5) with IPooledEnumerable eable plus try/finally Free while preserving wither target collection.</t>
  </si>
  <si>
    <t>Data/Scripts/Magic/Necromancy/Wither.cs:57-72</t>
  </si>
  <si>
    <t>RB-04859</t>
  </si>
  <si>
    <t>P10-F04859</t>
  </si>
  <si>
    <t>Magic:Research</t>
  </si>
  <si>
    <t>Data/Scripts/Magic/Research/Spells/Death/ResearchDeathSpeak.cs</t>
  </si>
  <si>
    <t>POST-BATCH-D-44A</t>
  </si>
  <si>
    <t>PHD-171</t>
  </si>
  <si>
    <t>Replaced direct foreach over Caster.GetItemsInRange(3) with IPooledEnumerable eable plus try/finally Free while preserving corpse selection and early break behavior.</t>
  </si>
  <si>
    <t>Data/Scripts/Magic/Research/Spells/Death/ResearchDeathSpeak.cs:64-92</t>
  </si>
  <si>
    <t>Recorded by current POST-BATCH-D-44A source/audit commit</t>
  </si>
  <si>
    <t>2026-06-08T19:49:22.3307872-05:00</t>
  </si>
  <si>
    <t>RB-04860</t>
  </si>
  <si>
    <t>P10-F04860</t>
  </si>
  <si>
    <t>Data/Scripts/Magic/Research/Spells/Death/ResearchOpenGround.cs</t>
  </si>
  <si>
    <t>PHD-172</t>
  </si>
  <si>
    <t>Replaced direct foreach over Caster.GetItemsInRange(10) with IPooledEnumerable eable plus try/finally Free while preserving nearby open chasm counting.</t>
  </si>
  <si>
    <t>Data/Scripts/Magic/Research/Spells/Death/ResearchOpenGround.cs:71-83</t>
  </si>
  <si>
    <t>RB-04861</t>
  </si>
  <si>
    <t>P10-F04861</t>
  </si>
  <si>
    <t>Data/Scripts/Magic/Research/Spells/Enchanting/ResearchMassMight.cs</t>
  </si>
  <si>
    <t>PHD-173</t>
  </si>
  <si>
    <t>Replaced direct foreach over Caster.GetMobilesInRange(10) with IPooledEnumerable eable plus try/finally Free while preserving beneficial target collection.</t>
  </si>
  <si>
    <t>Data/Scripts/Magic/Research/Spells/Enchanting/ResearchMassMight.cs:58-70</t>
  </si>
  <si>
    <t>RB-04862</t>
  </si>
  <si>
    <t>P10-F04862</t>
  </si>
  <si>
    <t>Data/Scripts/Magic/Research/Spells/Sorcery/ResearchConflagration.cs</t>
  </si>
  <si>
    <t>PHD-174</t>
  </si>
  <si>
    <t>Data/Scripts/Magic/Research/Spells/Sorcery/ResearchConflagration.cs:353-369</t>
  </si>
  <si>
    <t>RB-04863</t>
  </si>
  <si>
    <t>P10-F04863</t>
  </si>
  <si>
    <t>Data/Scripts/Magic/Research/Spells/Sorcery/ResearchCreateFire.cs</t>
  </si>
  <si>
    <t>PHD-175</t>
  </si>
  <si>
    <t>Replaced direct foreach over Caster.GetItemsInRange(10) with IPooledEnumerable eable plus try/finally Free while preserving nearby magical fire counting.</t>
  </si>
  <si>
    <t>Data/Scripts/Magic/Research/Spells/Sorcery/ResearchCreateFire.cs:53-65</t>
  </si>
  <si>
    <t>RB-04864</t>
  </si>
  <si>
    <t>P10-F04864</t>
  </si>
  <si>
    <t>Data/Scripts/Magic/Research/Spells/Sorcery/ResearchEndureCold.cs</t>
  </si>
  <si>
    <t>PHD-176</t>
  </si>
  <si>
    <t>Data/Scripts/Magic/Research/Spells/Sorcery/ResearchEndureCold.cs:58-70</t>
  </si>
  <si>
    <t>RB-04865</t>
  </si>
  <si>
    <t>P10-F04865</t>
  </si>
  <si>
    <t>Data/Scripts/Magic/Research/Spells/Sorcery/ResearchEndureHeat.cs</t>
  </si>
  <si>
    <t>PHD-177</t>
  </si>
  <si>
    <t>Data/Scripts/Magic/Research/Spells/Sorcery/ResearchEndureHeat.cs:58-70</t>
  </si>
  <si>
    <t>RB-04866</t>
  </si>
  <si>
    <t>P10-F04866</t>
  </si>
  <si>
    <t>Data/Scripts/Magic/Research/Spells/Sorcery/ResearchRingofFire.cs</t>
  </si>
  <si>
    <t>PHD-178</t>
  </si>
  <si>
    <t>Replaced direct foreach over Caster.GetItemsInRange(10) with IPooledEnumerable eable plus try/finally Free while preserving nearby ring-of-fire counting.</t>
  </si>
  <si>
    <t>Data/Scripts/Magic/Research/Spells/Sorcery/ResearchRingofFire.cs:52-64</t>
  </si>
  <si>
    <t>RB-04867</t>
  </si>
  <si>
    <t>P10-F04867</t>
  </si>
  <si>
    <t>Data/Scripts/Magic/Research/Spells/Wizardry/ResearchFrostField.cs</t>
  </si>
  <si>
    <t>PHD-179</t>
  </si>
  <si>
    <t>Data/Scripts/Magic/Research/Spells/Wizardry/ResearchFrostField.cs:321-337</t>
  </si>
  <si>
    <t>RB-04868</t>
  </si>
  <si>
    <t>P10-F04868</t>
  </si>
  <si>
    <t>Data/Scripts/Mobiles/Animals/Misc/Infected.cs</t>
  </si>
  <si>
    <t>POST-BATCH-D-45A</t>
  </si>
  <si>
    <t>PHD-180</t>
  </si>
  <si>
    <t>Replaced direct foreach over this.GetItemsInRange(10) with IPooledEnumerable eable plus try/finally Free while preserving infected blood splatter counting.</t>
  </si>
  <si>
    <t>Data/Scripts/Mobiles/Animals/Misc/Infected.cs:63-77</t>
  </si>
  <si>
    <t>Recorded by current POST-BATCH-D-45A source/audit commit</t>
  </si>
  <si>
    <t>2026-06-08T19:54:20.6458254-05:00</t>
  </si>
  <si>
    <t>RB-04869</t>
  </si>
  <si>
    <t>P10-F04869</t>
  </si>
  <si>
    <t>Data/Scripts/Mobiles/Animals/Rodents/Stirge.cs</t>
  </si>
  <si>
    <t>PHD-181</t>
  </si>
  <si>
    <t>Replaced direct foreach over this.GetMobilesInRange(2) with IPooledEnumerable eable plus try/finally Free while preserving drain target collection.</t>
  </si>
  <si>
    <t>Data/Scripts/Mobiles/Animals/Rodents/Stirge.cs:79-103</t>
  </si>
  <si>
    <t>RB-04870</t>
  </si>
  <si>
    <t>P10-F04870</t>
  </si>
  <si>
    <t>POST-BATCH-D-46A</t>
  </si>
  <si>
    <t>PHD-182</t>
  </si>
  <si>
    <t>Replaced direct foreach over target.GetMobilesInRange(BreathDistance) with IPooledEnumerable eable plus try/finally Free while preserving breath splash target collection.</t>
  </si>
  <si>
    <t>Data/Scripts/Mobiles/Base/BaseCreature.cs:2125-2158</t>
  </si>
  <si>
    <t>Recorded by current POST-BATCH-D-46A source/audit commit</t>
  </si>
  <si>
    <t>2026-06-08T19:58:58.4143400-05:00</t>
  </si>
  <si>
    <t>RB-04871</t>
  </si>
  <si>
    <t>P10-F04871</t>
  </si>
  <si>
    <t>PHD-183</t>
  </si>
  <si>
    <t>Replaced direct foreach over this.GetMobilesInRange(iRange) with IPooledEnumerable eable plus try/finally Free while preserving team-size counting.</t>
  </si>
  <si>
    <t>Data/Scripts/Mobiles/Base/BaseCreature.cs:8163-8189</t>
  </si>
  <si>
    <t>RB-04872</t>
  </si>
  <si>
    <t>P10-F04872</t>
  </si>
  <si>
    <t>PHD-184</t>
  </si>
  <si>
    <t>Replaced direct foreach over GetItemsInRange(20) with IPooledEnumerable eable plus try/finally Free while preserving boat-link keep/delete behavior.</t>
  </si>
  <si>
    <t>Data/Scripts/Mobiles/Base/BaseCreature.cs:11496-11508</t>
  </si>
  <si>
    <t>RB-04873</t>
  </si>
  <si>
    <t>P10-F04873</t>
  </si>
  <si>
    <t>PHD-185</t>
  </si>
  <si>
    <t>Replaced direct foreach over this.GetItemsInRange(2) with IPooledEnumerable eable plus try/finally Free while preserving first-corpse selection and early break behavior.</t>
  </si>
  <si>
    <t>Data/Scripts/Mobiles/Base/BaseCreature.cs:11889-11904</t>
  </si>
  <si>
    <t>RB-04874</t>
  </si>
  <si>
    <t>P10-F04874</t>
  </si>
  <si>
    <t>PHD-186</t>
  </si>
  <si>
    <t>Replaced direct foreach over master.GetMobilesInRange(10) with IPooledEnumerable eable plus try/finally Free while preserving pet selection before teleport.</t>
  </si>
  <si>
    <t>Data/Scripts/Mobiles/Base/BaseCreature.cs:12046-12086</t>
  </si>
  <si>
    <t>RB-04875</t>
  </si>
  <si>
    <t>P10-F04875</t>
  </si>
  <si>
    <t>POST-BATCH-D-47A</t>
  </si>
  <si>
    <t>PHD-187</t>
  </si>
  <si>
    <t>Replaced direct foreach over this.GetItemsInRange(range) with IPooledEnumerable eable plus try/finally Free while preserving vendor action object handling.</t>
  </si>
  <si>
    <t>Data/Scripts/Mobiles/Base/BaseVendor.cs:603-645</t>
  </si>
  <si>
    <t>Recorded by current POST-BATCH-D-47A source/audit commit</t>
  </si>
  <si>
    <t>2026-06-08T20:02:40.1354010-05:00</t>
  </si>
  <si>
    <t>RB-04876</t>
  </si>
  <si>
    <t>P10-F04876</t>
  </si>
  <si>
    <t>PHD-188</t>
  </si>
  <si>
    <t>Replaced direct foreach over GetMobilesInRange(6) with IPooledEnumerable eable plus try/finally Free while preserving visible player and enemy detection.</t>
  </si>
  <si>
    <t>Data/Scripts/Mobiles/Base/BaseVendor.cs:666-686</t>
  </si>
  <si>
    <t>RB-04877</t>
  </si>
  <si>
    <t>P10-F04877</t>
  </si>
  <si>
    <t>Data/Scripts/Mobiles/Base/Behavior.cs</t>
  </si>
  <si>
    <t>POST-BATCH-D-48A</t>
  </si>
  <si>
    <t>PHD-189</t>
  </si>
  <si>
    <t>Replaced direct foreach over from.GetMobilesInRange(10) with IPooledEnumerable eable plus try/finally Free while preserving summon-count behavior.</t>
  </si>
  <si>
    <t>Data/Scripts/Mobiles/Base/Behavior.cs:1402-1624</t>
  </si>
  <si>
    <t>Recorded by current POST-BATCH-D-48A source/audit commit</t>
  </si>
  <si>
    <t>2026-06-08T20:10:26.5074828-05:00</t>
  </si>
  <si>
    <t>Confirmed pooled enumerable ownership leak; existing Free calls in file were unrelated to this direct scan. Fixed with try/finally Free and no behavior, serialization, namespace, type, or file-location changes.</t>
  </si>
  <si>
    <t>RB-04878</t>
  </si>
  <si>
    <t>P10-F04878</t>
  </si>
  <si>
    <t>PHD-190</t>
  </si>
  <si>
    <t>Replaced direct foreach over from.GetMobilesInRange(30) with IPooledEnumerable eable plus try/finally Free while preserving linked-pet cleanup collection.</t>
  </si>
  <si>
    <t>Data/Scripts/Mobiles/Base/Behavior.cs:4819-4839</t>
  </si>
  <si>
    <t>RB-04879</t>
  </si>
  <si>
    <t>P10-F04879</t>
  </si>
  <si>
    <t>PHD-191</t>
  </si>
  <si>
    <t>Replaced direct foreach over from.GetMobilesInRange(1) with IPooledEnumerable eable plus try/finally Free while preserving nearby-target detection.</t>
  </si>
  <si>
    <t>Data/Scripts/Mobiles/Base/Behavior.cs:5987-6001</t>
  </si>
  <si>
    <t>RB-04880</t>
  </si>
  <si>
    <t>P10-F04880</t>
  </si>
  <si>
    <t>PHD-192</t>
  </si>
  <si>
    <t>Replaced direct foreach over m_Mobile.GetMobilesInRange(m_Mobile.RangePerception) with IPooledEnumerable eable plus try/finally Free while preserving friend-guard combatant selection.</t>
  </si>
  <si>
    <t>Data/Scripts/Mobiles/Base/Behavior.cs:11262-11329</t>
  </si>
  <si>
    <t>RB-04881</t>
  </si>
  <si>
    <t>P10-F04881</t>
  </si>
  <si>
    <t>PHD-193</t>
  </si>
  <si>
    <t>Replaced direct foreach over m_Mobile.GetMobilesInRange(m_Mobile.RangePerception) with IPooledEnumerable eable plus try/finally Free while preserving aggressor re-acquisition scoring.</t>
  </si>
  <si>
    <t>Data/Scripts/Mobiles/Base/Behavior.cs:11398-11425</t>
  </si>
  <si>
    <t>RB-04882</t>
  </si>
  <si>
    <t>P10-F04882</t>
  </si>
  <si>
    <t>PHD-194</t>
  </si>
  <si>
    <t>Replaced direct foreach over m.GetMobilesInRange(12) with IPooledEnumerable eable plus try/finally Free while preserving follower max cycling.</t>
  </si>
  <si>
    <t>Data/Scripts/Mobiles/Base/Behavior.cs:12567-12590</t>
  </si>
  <si>
    <t>RB-04883</t>
  </si>
  <si>
    <t>P10-F04883</t>
  </si>
  <si>
    <t>PHD-195</t>
  </si>
  <si>
    <t>Replaced direct foreach over m_Mobile.GetMobilesInRange(m_Mobile.RangePerception) with IPooledEnumerable eable plus try/finally Free while preserving hidden-player detection chance logic.</t>
  </si>
  <si>
    <t>Data/Scripts/Mobiles/Base/Behavior.cs:13010-13045</t>
  </si>
  <si>
    <t>RB-04884</t>
  </si>
  <si>
    <t>P10-F04884</t>
  </si>
  <si>
    <t>PHD-196</t>
  </si>
  <si>
    <t>Replaced direct foreach over m_Mobile.GetMobilesInRange(m_Mobile.RangePerception) with IPooledEnumerable eable plus try/finally Free while preserving need-priority selection.</t>
  </si>
  <si>
    <t>Data/Scripts/Mobiles/Base/Behavior.cs:13363-13395</t>
  </si>
  <si>
    <t>RB-04885</t>
  </si>
  <si>
    <t>P10-F04885</t>
  </si>
  <si>
    <t>PHD-197</t>
  </si>
  <si>
    <t>Replaced direct foreach over m_Mobile.GetMobilesInRange(Core.ML ? 10 : 12) with IPooledEnumerable eable plus try/finally Free while preserving dispel target priority selection.</t>
  </si>
  <si>
    <t>Data/Scripts/Mobiles/Base/Behavior.cs:14562-14591</t>
  </si>
  <si>
    <t>RB-04886</t>
  </si>
  <si>
    <t>P10-F04886</t>
  </si>
  <si>
    <t>POST-BATCH-D-49A</t>
  </si>
  <si>
    <t>PHD-198</t>
  </si>
  <si>
    <t>Replaced direct foreach over from.GetClientsInRange(8) with IPooledEnumerable eable plus try/finally Free while preserving staff message packet sharing and release.</t>
  </si>
  <si>
    <t>Data/Scripts/Mobiles/Base/PlayerMobile.cs:3509-3543</t>
  </si>
  <si>
    <t>Recorded by current POST-BATCH-D-49A source/audit commit</t>
  </si>
  <si>
    <t>2026-06-08T20:15:02.7910996-05:00</t>
  </si>
  <si>
    <t>RB-04887</t>
  </si>
  <si>
    <t>P10-F04887</t>
  </si>
  <si>
    <t>PHD-199</t>
  </si>
  <si>
    <t>Replaced direct foreach over this.GetMobilesInRange(18) with IPooledEnumerable eable plus try/finally Free while preserving enemy notoriety update packets.</t>
  </si>
  <si>
    <t>Data/Scripts/Mobiles/Base/PlayerMobile.cs:5841-5869</t>
  </si>
  <si>
    <t>RB-04888</t>
  </si>
  <si>
    <t>P10-F04888</t>
  </si>
  <si>
    <t>Mobiles:Civilized</t>
  </si>
  <si>
    <t>Data/Scripts/Mobiles/Civilized/Citizens/TradesmanAlchemist.cs</t>
  </si>
  <si>
    <t>POST-BATCH-D-50A</t>
  </si>
  <si>
    <t>PHD-200</t>
  </si>
  <si>
    <t>Replaced direct foreach over this.GetItemsInRange(2) with IPooledEnumerable plus try/finally Free while preserving nearby cauldron work action.</t>
  </si>
  <si>
    <t>Data/Scripts/Mobiles/Civilized/Citizens/TradesmanAlchemist.cs:31-60</t>
  </si>
  <si>
    <t>Recorded by current POST-BATCH-D-50A source/audit commit</t>
  </si>
  <si>
    <t>2026-06-08T20:24:22.8141575-05:00</t>
  </si>
  <si>
    <t>RB-04889</t>
  </si>
  <si>
    <t>P10-F04889</t>
  </si>
  <si>
    <t>Data/Scripts/Mobiles/Civilized/Citizens/TradesmanBard.cs</t>
  </si>
  <si>
    <t>PHD-201</t>
  </si>
  <si>
    <t>Replaced direct foreach over this.GetItemsInRange(1) with IPooledEnumerable plus try/finally Free while preserving nearby instrument work action.</t>
  </si>
  <si>
    <t>Data/Scripts/Mobiles/Civilized/Citizens/TradesmanBard.cs:36-61</t>
  </si>
  <si>
    <t>RB-04890</t>
  </si>
  <si>
    <t>P10-F04890</t>
  </si>
  <si>
    <t>Data/Scripts/Mobiles/Civilized/Citizens/TradesmanButcher.cs</t>
  </si>
  <si>
    <t>PHD-202</t>
  </si>
  <si>
    <t>Replaced direct foreach over this.GetItemsInRange(1) with IPooledEnumerable plus try/finally Free while preserving nearby carcass work action.</t>
  </si>
  <si>
    <t>Data/Scripts/Mobiles/Civilized/Citizens/TradesmanButcher.cs:31-66</t>
  </si>
  <si>
    <t>RB-04891</t>
  </si>
  <si>
    <t>P10-F04891</t>
  </si>
  <si>
    <t>Data/Scripts/Mobiles/Civilized/Citizens/TradesmanCook.cs</t>
  </si>
  <si>
    <t>PHD-203</t>
  </si>
  <si>
    <t>Replaced direct foreach over this.GetItemsInRange(1) with IPooledEnumerable plus try/finally Free while preserving nearby fire work action.</t>
  </si>
  <si>
    <t>Data/Scripts/Mobiles/Civilized/Citizens/TradesmanCook.cs:31-60</t>
  </si>
  <si>
    <t>RB-04892</t>
  </si>
  <si>
    <t>P10-F04892</t>
  </si>
  <si>
    <t>Data/Scripts/Mobiles/Civilized/Citizens/TradesmanLeather.cs</t>
  </si>
  <si>
    <t>PHD-204</t>
  </si>
  <si>
    <t>Replaced direct foreach over this.GetItemsInRange(1) with IPooledEnumerable plus try/finally Free while preserving nearby skinning work action.</t>
  </si>
  <si>
    <t>Data/Scripts/Mobiles/Civilized/Citizens/TradesmanLeather.cs:31-60</t>
  </si>
  <si>
    <t>RB-04893</t>
  </si>
  <si>
    <t>P10-F04893</t>
  </si>
  <si>
    <t>Data/Scripts/Mobiles/Civilized/Citizens/TradesmanLogger.cs</t>
  </si>
  <si>
    <t>PHD-205</t>
  </si>
  <si>
    <t>Replaced direct foreach over this.GetItemsInRange(1) with IPooledEnumerable plus try/finally Free while preserving nearby tree work action.</t>
  </si>
  <si>
    <t>Data/Scripts/Mobiles/Civilized/Citizens/TradesmanLogger.cs:31-69</t>
  </si>
  <si>
    <t>RB-04894</t>
  </si>
  <si>
    <t>P10-F04894</t>
  </si>
  <si>
    <t>Data/Scripts/Mobiles/Civilized/Citizens/TradesmanLumber.cs</t>
  </si>
  <si>
    <t>PHD-206</t>
  </si>
  <si>
    <t>Replaced direct foreach over this.GetItemsInRange(2) with IPooledEnumerable plus try/finally Free while preserving nearby forge work action.</t>
  </si>
  <si>
    <t>Data/Scripts/Mobiles/Civilized/Citizens/TradesmanLumber.cs:31-69</t>
  </si>
  <si>
    <t>RB-04895</t>
  </si>
  <si>
    <t>P10-F04895</t>
  </si>
  <si>
    <t>Data/Scripts/Mobiles/Civilized/Citizens/TradesmanMiner.cs</t>
  </si>
  <si>
    <t>PHD-207</t>
  </si>
  <si>
    <t>Replaced direct foreach over this.GetItemsInRange(1) with IPooledEnumerable plus try/finally Free while preserving nearby anvil work action.</t>
  </si>
  <si>
    <t>Data/Scripts/Mobiles/Civilized/Citizens/TradesmanMiner.cs:31-66</t>
  </si>
  <si>
    <t>RB-04896</t>
  </si>
  <si>
    <t>P10-F04896</t>
  </si>
  <si>
    <t>Data/Scripts/Mobiles/Civilized/Citizens/TradesmanSmelter.cs</t>
  </si>
  <si>
    <t>PHD-208</t>
  </si>
  <si>
    <t>Replaced direct foreach over this.GetItemsInRange(1) with IPooledEnumerable plus try/finally Free while preserving nearby forge work action.</t>
  </si>
  <si>
    <t>Data/Scripts/Mobiles/Civilized/Citizens/TradesmanSmelter.cs:31-60</t>
  </si>
  <si>
    <t>RB-04897</t>
  </si>
  <si>
    <t>P10-F04897</t>
  </si>
  <si>
    <t>Data/Scripts/Mobiles/Civilized/Citizens/TradesmanSmith.cs</t>
  </si>
  <si>
    <t>PHD-209</t>
  </si>
  <si>
    <t>Data/Scripts/Mobiles/Civilized/Citizens/TradesmanSmith.cs:31-69</t>
  </si>
  <si>
    <t>RB-04898</t>
  </si>
  <si>
    <t>P10-F04898</t>
  </si>
  <si>
    <t>Data/Scripts/Mobiles/Civilized/Citizens/TrainingBow.cs</t>
  </si>
  <si>
    <t>PHD-210</t>
  </si>
  <si>
    <t>Replaced direct foreach over this.GetItemsInRange(6) with IPooledEnumerable plus try/finally Free while preserving nearby hay archery training action.</t>
  </si>
  <si>
    <t>Data/Scripts/Mobiles/Civilized/Citizens/TrainingBow.cs:29-67</t>
  </si>
  <si>
    <t>RB-04899</t>
  </si>
  <si>
    <t>P10-F04899</t>
  </si>
  <si>
    <t>Data/Scripts/Mobiles/Civilized/Citizens/TrainingFishing.cs</t>
  </si>
  <si>
    <t>PHD-211</t>
  </si>
  <si>
    <t>Replaced direct foreach over this.GetItemsInRange(6) with IPooledEnumerable plus try/finally Free while preserving nearby water fishing training action.</t>
  </si>
  <si>
    <t>Data/Scripts/Mobiles/Civilized/Citizens/TrainingFishing.cs:29-66</t>
  </si>
  <si>
    <t>RB-04900</t>
  </si>
  <si>
    <t>P10-F04900</t>
  </si>
  <si>
    <t>Data/Scripts/Mobiles/Civilized/Citizens/TrainingMagery.cs</t>
  </si>
  <si>
    <t>PHD-212</t>
  </si>
  <si>
    <t>Replaced direct foreach over this.GetItemsInRange(4) with IPooledEnumerable plus try/finally Free while preserving nearby pentagram training action.</t>
  </si>
  <si>
    <t>Data/Scripts/Mobiles/Civilized/Citizens/TrainingMagery.cs:38-75</t>
  </si>
  <si>
    <t>RB-04901</t>
  </si>
  <si>
    <t>P10-F04901</t>
  </si>
  <si>
    <t>PHD-213</t>
  </si>
  <si>
    <t>Replaced direct foreach over this.GetMobilesInRange(1) with IPooledEnumerable plus try/finally Free while preserving nearby mouse cleanup before summoning.</t>
  </si>
  <si>
    <t>Data/Scripts/Mobiles/Civilized/Citizens/TrainingMagery.cs:141-154</t>
  </si>
  <si>
    <t>RB-04902</t>
  </si>
  <si>
    <t>P10-F04902</t>
  </si>
  <si>
    <t>Data/Scripts/Mobiles/Civilized/Citizens/TrainingSingle.cs</t>
  </si>
  <si>
    <t>PHD-214</t>
  </si>
  <si>
    <t>Replaced direct foreach over this.GetItemsInRange(1) with IPooledEnumerable plus try/finally Free while preserving nearby training dummy action.</t>
  </si>
  <si>
    <t>Data/Scripts/Mobiles/Civilized/Citizens/TrainingSingle.cs:29-69</t>
  </si>
  <si>
    <t>RB-04903</t>
  </si>
  <si>
    <t>P10-F04903</t>
  </si>
  <si>
    <t>Data/Scripts/Mobiles/Civilized/Citizens/TrainingSpirits.cs</t>
  </si>
  <si>
    <t>PHD-215</t>
  </si>
  <si>
    <t>Replaced direct foreach over this.GetItemsInRange(6) with IPooledEnumerable plus try/finally Free while preserving nearby shrine speech and animation action.</t>
  </si>
  <si>
    <t>Data/Scripts/Mobiles/Civilized/Citizens/TrainingSpirits.cs:30-367</t>
  </si>
  <si>
    <t>RB-04904</t>
  </si>
  <si>
    <t>P10-F04904</t>
  </si>
  <si>
    <t>Data/Scripts/Mobiles/Civilized/Citizens/Warriors.cs</t>
  </si>
  <si>
    <t>PHD-216</t>
  </si>
  <si>
    <t>Replaced direct foreach over this.GetMobilesInRange(1) with IPooledEnumerable plus try/finally Free while preserving nearby warrior combat targeting action.</t>
  </si>
  <si>
    <t>Data/Scripts/Mobiles/Civilized/Citizens/Warriors.cs:52-65</t>
  </si>
  <si>
    <t>RB-04905</t>
  </si>
  <si>
    <t>P10-F04905</t>
  </si>
  <si>
    <t>Data/Scripts/Mobiles/Civilized/Citizens/WorkingSpots.cs</t>
  </si>
  <si>
    <t>PHD-217</t>
  </si>
  <si>
    <t>Replaced direct foreach over spot.GetItemsInRange(5) with IPooledEnumerable plus try/finally Free while preserving spot item cleanup collection.</t>
  </si>
  <si>
    <t>Data/Scripts/Mobiles/Civilized/Citizens/WorkingSpots.cs:40-58</t>
  </si>
  <si>
    <t>RB-04906</t>
  </si>
  <si>
    <t>P10-F04906</t>
  </si>
  <si>
    <t>PHD-218</t>
  </si>
  <si>
    <t>Replaced direct foreach over spot.GetMobilesInRange(0) with IPooledEnumerable plus try/finally Free while preserving spot mobile cleanup collection.</t>
  </si>
  <si>
    <t>Data/Scripts/Mobiles/Civilized/Citizens/WorkingSpots.cs:60-93</t>
  </si>
  <si>
    <t>RB-04907</t>
  </si>
  <si>
    <t>P10-F04907</t>
  </si>
  <si>
    <t>PHD-219</t>
  </si>
  <si>
    <t>Replaced direct foreach over spots.GetItemsInRange(range) with IPooledEnumerable plus try/finally Free while preserving nearby working spot discovery.</t>
  </si>
  <si>
    <t>Data/Scripts/Mobiles/Civilized/Citizens/WorkingSpots.cs:279-293</t>
  </si>
  <si>
    <t>RB-04908</t>
  </si>
  <si>
    <t>P10-F04908</t>
  </si>
  <si>
    <t>Data/Scripts/Mobiles/Civilized/Familiars/HordeMinion.cs</t>
  </si>
  <si>
    <t>PHD-220</t>
  </si>
  <si>
    <t>Replaced direct foreach over this.GetItemsInRange(2) with IPooledEnumerable plus try/finally Free while preserving nearby corpse feeding check.</t>
  </si>
  <si>
    <t>Data/Scripts/Mobiles/Civilized/Familiars/HordeMinion.cs:78-89</t>
  </si>
  <si>
    <t>RB-04909</t>
  </si>
  <si>
    <t>P10-F04909</t>
  </si>
  <si>
    <t>Data/Scripts/Mobiles/Civilized/Familiars/ShadowWisp.cs</t>
  </si>
  <si>
    <t>PHD-221</t>
  </si>
  <si>
    <t>Replaced direct foreach over this.GetMobilesInRange(5) with IPooledEnumerable plus try/finally Free while preserving nearby friendly player mana grant list.</t>
  </si>
  <si>
    <t>Data/Scripts/Mobiles/Civilized/Familiars/ShadowWisp.cs:74-91</t>
  </si>
  <si>
    <t>RB-04910</t>
  </si>
  <si>
    <t>P10-F04910</t>
  </si>
  <si>
    <t>Data/Scripts/Mobiles/Civilized/Porters/PorterItem.cs</t>
  </si>
  <si>
    <t>PHD-222</t>
  </si>
  <si>
    <t>Replaced direct foreach over this.GetMobilesInRange(20) with IPooledEnumerable plus try/finally Free while preserving nearby animal handler eligibility check.</t>
  </si>
  <si>
    <t>Data/Scripts/Mobiles/Civilized/Porters/PorterItem.cs:121-140</t>
  </si>
  <si>
    <t>RB-04911</t>
  </si>
  <si>
    <t>P10-F04911</t>
  </si>
  <si>
    <t>Mobiles:Constructs</t>
  </si>
  <si>
    <t>Data/Scripts/Mobiles/Constructs/WaxSculpture.cs</t>
  </si>
  <si>
    <t>POST-BATCH-D-51A</t>
  </si>
  <si>
    <t>PHD-223</t>
  </si>
  <si>
    <t>Replaced direct foreach over this.GetMobilesInRange(2) with IPooledEnumerable plus try/finally Free while preserving harmful mobile target collection for stamina drain.</t>
  </si>
  <si>
    <t>Data/Scripts/Mobiles/Constructs/WaxSculpture.cs:91-114</t>
  </si>
  <si>
    <t>Recorded by current POST-BATCH-D-51A source/audit commit</t>
  </si>
  <si>
    <t>2026-06-08T20:30:55.7470141-05:00</t>
  </si>
  <si>
    <t>RB-04912</t>
  </si>
  <si>
    <t>P10-F04912</t>
  </si>
  <si>
    <t>Data/Scripts/Mobiles/Constructs/Alien/Mutant.cs</t>
  </si>
  <si>
    <t>PHD-224</t>
  </si>
  <si>
    <t>Replaced direct foreach over this.GetItemsInRange(10) with IPooledEnumerable plus try/finally Free while preserving toxic blood splatter counting.</t>
  </si>
  <si>
    <t>Data/Scripts/Mobiles/Constructs/Alien/Mutant.cs:82-95</t>
  </si>
  <si>
    <t>RB-04913</t>
  </si>
  <si>
    <t>P10-F04913</t>
  </si>
  <si>
    <t>Data/Scripts/Mobiles/Constructs/Golems/IronCobra.cs</t>
  </si>
  <si>
    <t>PHD-225</t>
  </si>
  <si>
    <t>Replaced direct foreach over this.GetMobilesInRange(2) with IPooledEnumerable plus try/finally Free while preserving harmful mobile target collection for stone effect.</t>
  </si>
  <si>
    <t>Data/Scripts/Mobiles/Constructs/Golems/IronCobra.cs:125-148</t>
  </si>
  <si>
    <t>RB-04914</t>
  </si>
  <si>
    <t>P10-F04914</t>
  </si>
  <si>
    <t>Mobiles:Daemons</t>
  </si>
  <si>
    <t>Data/Scripts/Mobiles/Daemons/Balron.cs</t>
  </si>
  <si>
    <t>POST-BATCH-D-52A</t>
  </si>
  <si>
    <t>PHD-226</t>
  </si>
  <si>
    <t>Replaced direct foreach over this.GetItemsInRange(10) with IPooledEnumerable plus try/finally Free while preserving monster splatter counting.</t>
  </si>
  <si>
    <t>Data/Scripts/Mobiles/Daemons/Balron.cs:338-351</t>
  </si>
  <si>
    <t>Recorded by current POST-BATCH-D-52A source/audit commit</t>
  </si>
  <si>
    <t>2026-06-08T20:35:44.6047175-05:00</t>
  </si>
  <si>
    <t>RB-04915</t>
  </si>
  <si>
    <t>P10-F04915</t>
  </si>
  <si>
    <t>PHD-227</t>
  </si>
  <si>
    <t>Replaced direct foreach over m.GetItemsInRange(20) with IPooledEnumerable plus try/finally Free while preserving nearby demon gate hiding.</t>
  </si>
  <si>
    <t>Data/Scripts/Mobiles/Daemons/Balron.cs:4027-4040</t>
  </si>
  <si>
    <t>RB-04916</t>
  </si>
  <si>
    <t>P10-F04916</t>
  </si>
  <si>
    <t>Data/Scripts/Mobiles/Daemons/BloodDemigod.cs</t>
  </si>
  <si>
    <t>PHD-228</t>
  </si>
  <si>
    <t>Replaced direct foreach over this.GetMobilesInRange(2) with IPooledEnumerable plus try/finally Free while preserving life-drain target collection.</t>
  </si>
  <si>
    <t>Data/Scripts/Mobiles/Daemons/BloodDemigod.cs:132-155</t>
  </si>
  <si>
    <t>RB-04917</t>
  </si>
  <si>
    <t>P10-F04917</t>
  </si>
  <si>
    <t>Data/Scripts/Mobiles/Daemons/BloodDemon.cs</t>
  </si>
  <si>
    <t>PHD-229</t>
  </si>
  <si>
    <t>Replaced direct foreach over this.GetItemsInRange(10) with IPooledEnumerable plus try/finally Free while preserving thick blood splatter counting.</t>
  </si>
  <si>
    <t>Data/Scripts/Mobiles/Daemons/BloodDemon.cs:169-182</t>
  </si>
  <si>
    <t>RB-04918</t>
  </si>
  <si>
    <t>P10-F04918</t>
  </si>
  <si>
    <t>Data/Scripts/Mobiles/Daemons/Daemon.cs</t>
  </si>
  <si>
    <t>PHD-230</t>
  </si>
  <si>
    <t>Data/Scripts/Mobiles/Daemons/Daemon.cs:452-465</t>
  </si>
  <si>
    <t>RB-04919</t>
  </si>
  <si>
    <t>P10-F04919</t>
  </si>
  <si>
    <t>Data/Scripts/Mobiles/Daemons/Succubus.cs</t>
  </si>
  <si>
    <t>PHD-231</t>
  </si>
  <si>
    <t>Data/Scripts/Mobiles/Daemons/Succubus.cs:76-99</t>
  </si>
  <si>
    <t>RB-04920</t>
  </si>
  <si>
    <t>P10-F04920</t>
  </si>
  <si>
    <t>Mobiles:Dragons</t>
  </si>
  <si>
    <t>Data/Scripts/Mobiles/Dragons/Dragons/Dragons.cs</t>
  </si>
  <si>
    <t>POST-BATCH-D-53A</t>
  </si>
  <si>
    <t>PHD-232</t>
  </si>
  <si>
    <t>Data/Scripts/Mobiles/Dragons/Dragons/Dragons.cs:351-364</t>
  </si>
  <si>
    <t>Recorded by current POST-BATCH-D-53A source/audit commit</t>
  </si>
  <si>
    <t>2026-06-08T20:40:08.4278926-05:00</t>
  </si>
  <si>
    <t>RB-04921</t>
  </si>
  <si>
    <t>P10-F04921</t>
  </si>
  <si>
    <t>Data/Scripts/Mobiles/Dragons/Dragons/RidingDragon.cs</t>
  </si>
  <si>
    <t>PHD-233</t>
  </si>
  <si>
    <t>Data/Scripts/Mobiles/Dragons/Dragons/RidingDragon.cs:370-383</t>
  </si>
  <si>
    <t>RB-04922</t>
  </si>
  <si>
    <t>P10-F04922</t>
  </si>
  <si>
    <t>Data/Scripts/Mobiles/Dragons/Hydras/Hydra.cs</t>
  </si>
  <si>
    <t>PHD-234</t>
  </si>
  <si>
    <t>Data/Scripts/Mobiles/Dragons/Hydras/Hydra.cs:177-190</t>
  </si>
  <si>
    <t>RB-04923</t>
  </si>
  <si>
    <t>P10-F04923</t>
  </si>
  <si>
    <t>Data/Scripts/Mobiles/Dragons/Primeval/VampiricDragon.cs</t>
  </si>
  <si>
    <t>PHD-235</t>
  </si>
  <si>
    <t>Data/Scripts/Mobiles/Dragons/Primeval/VampiricDragon.cs:207-230</t>
  </si>
  <si>
    <t>RB-04924</t>
  </si>
  <si>
    <t>P10-F04924</t>
  </si>
  <si>
    <t>Data/Scripts/Mobiles/Dragons/Wyrms/Wyrms.cs</t>
  </si>
  <si>
    <t>PHD-236</t>
  </si>
  <si>
    <t>Data/Scripts/Mobiles/Dragons/Wyrms/Wyrms.cs:281-294</t>
  </si>
  <si>
    <t>RB-04925</t>
  </si>
  <si>
    <t>P10-F04925</t>
  </si>
  <si>
    <t>Data/Scripts/Mobiles/Dragons/Young/YoungDragon.cs</t>
  </si>
  <si>
    <t>PHD-237</t>
  </si>
  <si>
    <t>Data/Scripts/Mobiles/Dragons/Young/YoungDragon.cs:271-284</t>
  </si>
  <si>
    <t>RB-04926</t>
  </si>
  <si>
    <t>P10-F04926</t>
  </si>
  <si>
    <t>Mobiles:Elementals</t>
  </si>
  <si>
    <t>Data/Scripts/Mobiles/Elementals/MudMan.cs</t>
  </si>
  <si>
    <t>POST-BATCH-D-54A</t>
  </si>
  <si>
    <t>PHD-238</t>
  </si>
  <si>
    <t>Replaced direct foreach over this.GetMobilesInRange(2) with IPooledEnumerable plus try/finally Free while preserving mud choke target collection.</t>
  </si>
  <si>
    <t>Data/Scripts/Mobiles/Elementals/MudMan.cs:74-97</t>
  </si>
  <si>
    <t>Recorded by current POST-BATCH-D-54A source/audit commit</t>
  </si>
  <si>
    <t>2026-06-08T20:44:53.7189983-05:00</t>
  </si>
  <si>
    <t>RB-04927</t>
  </si>
  <si>
    <t>P10-F04927</t>
  </si>
  <si>
    <t>Data/Scripts/Mobiles/Elementals/StormCloud.cs</t>
  </si>
  <si>
    <t>PHD-239</t>
  </si>
  <si>
    <t>Replaced direct foreach over this.GetMobilesInRange(2) with IPooledEnumerable plus try/finally Free while preserving storm hit target collection.</t>
  </si>
  <si>
    <t>Data/Scripts/Mobiles/Elementals/StormCloud.cs:155-178</t>
  </si>
  <si>
    <t>RB-04928</t>
  </si>
  <si>
    <t>P10-F04928</t>
  </si>
  <si>
    <t>Data/Scripts/Mobiles/Elementals/WaterWeird.cs</t>
  </si>
  <si>
    <t>PHD-240</t>
  </si>
  <si>
    <t>Data/Scripts/Mobiles/Elementals/WaterWeird.cs:177-190</t>
  </si>
  <si>
    <t>RB-04929</t>
  </si>
  <si>
    <t>P10-F04929</t>
  </si>
  <si>
    <t>Data/Scripts/Mobiles/Elementals/Elementals/BloodElemental.cs</t>
  </si>
  <si>
    <t>PHD-241</t>
  </si>
  <si>
    <t>Data/Scripts/Mobiles/Elementals/Elementals/BloodElemental.cs:135-148</t>
  </si>
  <si>
    <t>RB-04930</t>
  </si>
  <si>
    <t>P10-F04930</t>
  </si>
  <si>
    <t>Data/Scripts/Mobiles/Elementals/Elementals/DeepWaterElemental.cs</t>
  </si>
  <si>
    <t>PHD-242</t>
  </si>
  <si>
    <t>Data/Scripts/Mobiles/Elementals/Elementals/DeepWaterElemental.cs:140-153</t>
  </si>
  <si>
    <t>RB-04931</t>
  </si>
  <si>
    <t>P10-F04931</t>
  </si>
  <si>
    <t>Data/Scripts/Mobiles/Elementals/Elementals/MagmaElemental.cs</t>
  </si>
  <si>
    <t>PHD-243</t>
  </si>
  <si>
    <t>Data/Scripts/Mobiles/Elementals/Elementals/MagmaElemental.cs:102-115</t>
  </si>
  <si>
    <t>RB-04932</t>
  </si>
  <si>
    <t>P10-F04932</t>
  </si>
  <si>
    <t>Data/Scripts/Mobiles/Elementals/Elementals/ToxicElemental.cs</t>
  </si>
  <si>
    <t>PHD-244</t>
  </si>
  <si>
    <t>Data/Scripts/Mobiles/Elementals/Elementals/ToxicElemental.cs:201-214</t>
  </si>
  <si>
    <t>RB-04933</t>
  </si>
  <si>
    <t>P10-F04933</t>
  </si>
  <si>
    <t>Data/Scripts/Mobiles/Elementals/Elementals/WaterElemental.cs</t>
  </si>
  <si>
    <t>PHD-245</t>
  </si>
  <si>
    <t>Data/Scripts/Mobiles/Elementals/Elementals/WaterElemental.cs:189-202</t>
  </si>
  <si>
    <t>RB-04934</t>
  </si>
  <si>
    <t>P10-F04934</t>
  </si>
  <si>
    <t>Mobiles:Hellish</t>
  </si>
  <si>
    <t>Data/Scripts/Mobiles/Hellish/ShadowFiend.cs</t>
  </si>
  <si>
    <t>POST-BATCH-D-55A</t>
  </si>
  <si>
    <t>PHD-246</t>
  </si>
  <si>
    <t>Replaced direct foreach over m_Owner.GetMobilesInRange(3) with IPooledEnumerable plus try/finally Free while preserving hidden-player reveal filters.</t>
  </si>
  <si>
    <t>Data/Scripts/Mobiles/Hellish/ShadowFiend.cs:112-129</t>
  </si>
  <si>
    <t>Recorded by current POST-BATCH-D-55A source/audit commit</t>
  </si>
  <si>
    <t>2026-06-08T20:49:02.4111547-05:00</t>
  </si>
  <si>
    <t>RB-04935</t>
  </si>
  <si>
    <t>P10-F04935</t>
  </si>
  <si>
    <t>Mobiles:Humanoids</t>
  </si>
  <si>
    <t>Data/Scripts/Mobiles/Humanoids/Medusa.cs</t>
  </si>
  <si>
    <t>POST-BATCH-D-56A</t>
  </si>
  <si>
    <t>PHD-247</t>
  </si>
  <si>
    <t>Replaced direct foreach over this.GetMobilesInRange(2) with IPooledEnumerable plus try/finally Free while preserving stone target collection.</t>
  </si>
  <si>
    <t>Data/Scripts/Mobiles/Humanoids/Medusa.cs:104-127</t>
  </si>
  <si>
    <t>Recorded by current POST-BATCH-D-56A source/audit commit</t>
  </si>
  <si>
    <t>2026-06-08T20:55:22.6323043-05:00</t>
  </si>
  <si>
    <t>RB-04936</t>
  </si>
  <si>
    <t>P10-F04936</t>
  </si>
  <si>
    <t>Data/Scripts/Mobiles/Humanoids/MindFlayer.cs</t>
  </si>
  <si>
    <t>PHD-248</t>
  </si>
  <si>
    <t>Replaced direct foreach over this.GetMobilesInRange(10) with IPooledEnumerable plus try/finally Free while preserving nearby creature counting before spawn.</t>
  </si>
  <si>
    <t>Data/Scripts/Mobiles/Humanoids/MindFlayer.cs:97-108</t>
  </si>
  <si>
    <t>RB-04937</t>
  </si>
  <si>
    <t>P10-F04937</t>
  </si>
  <si>
    <t>Data/Scripts/Mobiles/Humanoids/Elves/ElfMinstrel.cs</t>
  </si>
  <si>
    <t>PHD-249</t>
  </si>
  <si>
    <t>Replaced direct foreach over GetMobilesInRange(RangePerception) with IPooledEnumerable plus try/finally Free while preserving provoke target selection.</t>
  </si>
  <si>
    <t>Data/Scripts/Mobiles/Humanoids/Elves/ElfMinstrel.cs:455-487</t>
  </si>
  <si>
    <t>RB-04938</t>
  </si>
  <si>
    <t>P10-F04938</t>
  </si>
  <si>
    <t>Data/Scripts/Mobiles/Humanoids/Humans/Minstrel.cs</t>
  </si>
  <si>
    <t>PHD-250</t>
  </si>
  <si>
    <t>Data/Scripts/Mobiles/Humanoids/Humans/Minstrel.cs:474-506</t>
  </si>
  <si>
    <t>RB-04939</t>
  </si>
  <si>
    <t>P10-F04939</t>
  </si>
  <si>
    <t>Data/Scripts/Mobiles/Humanoids/Sailors/BaseSailor.cs</t>
  </si>
  <si>
    <t>PHD-251</t>
  </si>
  <si>
    <t>Data/Scripts/Mobiles/Humanoids/Sailors/BaseSailor.cs:427-459</t>
  </si>
  <si>
    <t>RB-04940</t>
  </si>
  <si>
    <t>P10-F04940</t>
  </si>
  <si>
    <t>Data/Scripts/Mobiles/Humanoids/Sailors/Galleons/BasePirate.cs</t>
  </si>
  <si>
    <t>PHD-252</t>
  </si>
  <si>
    <t>Replaced direct foreach over GetMobilesInRange(10) with IPooledEnumerable plus try/finally Free while preserving nearby mobile karma/title adjustment.</t>
  </si>
  <si>
    <t>Data/Scripts/Mobiles/Humanoids/Sailors/Galleons/BasePirate.cs:1499-1512</t>
  </si>
  <si>
    <t>RB-04941</t>
  </si>
  <si>
    <t>P10-F04941</t>
  </si>
  <si>
    <t>Data/Scripts/Mobiles/Humanoids/Savages/SavageShaman.cs</t>
  </si>
  <si>
    <t>PHD-253</t>
  </si>
  <si>
    <t>Replaced direct foreach over this.GetMobilesInRange(8) with IPooledEnumerable plus try/finally Free while preserving nearby shaman dance collection.</t>
  </si>
  <si>
    <t>Data/Scripts/Mobiles/Humanoids/Savages/SavageShaman.cs:135-146</t>
  </si>
  <si>
    <t>RB-04942</t>
  </si>
  <si>
    <t>P10-F04942</t>
  </si>
  <si>
    <t>PHD-254</t>
  </si>
  <si>
    <t>Replaced direct foreach over this.GetMobilesInRange(8) with IPooledEnumerable plus try/finally Free while preserving nearby dance effect target collection.</t>
  </si>
  <si>
    <t>Data/Scripts/Mobiles/Humanoids/Savages/SavageShaman.cs:177-187</t>
  </si>
  <si>
    <t>RB-04943</t>
  </si>
  <si>
    <t>P10-F04943</t>
  </si>
  <si>
    <t>Data/Scripts/Mobiles/Humanoids/Sea/Dagon.cs</t>
  </si>
  <si>
    <t>PHD-255</t>
  </si>
  <si>
    <t>Data/Scripts/Mobiles/Humanoids/Sea/Dagon.cs:111-124</t>
  </si>
  <si>
    <t>RB-04944</t>
  </si>
  <si>
    <t>P10-F04944</t>
  </si>
  <si>
    <t>Data/Scripts/Mobiles/Humanoids/Sea/Neptar.cs</t>
  </si>
  <si>
    <t>PHD-256</t>
  </si>
  <si>
    <t>Data/Scripts/Mobiles/Humanoids/Sea/Neptar.cs:87-100</t>
  </si>
  <si>
    <t>RB-04945</t>
  </si>
  <si>
    <t>P10-F04945</t>
  </si>
  <si>
    <t>Data/Scripts/Mobiles/Humanoids/Sea/NeptarWizard.cs</t>
  </si>
  <si>
    <t>PHD-257</t>
  </si>
  <si>
    <t>Data/Scripts/Mobiles/Humanoids/Sea/NeptarWizard.cs:98-111</t>
  </si>
  <si>
    <t>RB-04946</t>
  </si>
  <si>
    <t>P10-F04946</t>
  </si>
  <si>
    <t>Data/Scripts/Mobiles/Humanoids/Serpents/FireSlamander.cs</t>
  </si>
  <si>
    <t>PHD-258</t>
  </si>
  <si>
    <t>Data/Scripts/Mobiles/Humanoids/Serpents/FireSlamander.cs:88-101</t>
  </si>
  <si>
    <t>RB-04947</t>
  </si>
  <si>
    <t>P10-F04947</t>
  </si>
  <si>
    <t>Mobiles:Insects</t>
  </si>
  <si>
    <t>Data/Scripts/Mobiles/Insects/Lavapede.cs</t>
  </si>
  <si>
    <t>POST-BATCH-D-57A</t>
  </si>
  <si>
    <t>PHD-259</t>
  </si>
  <si>
    <t>Data/Scripts/Mobiles/Insects/Lavapede.cs:91-104</t>
  </si>
  <si>
    <t>Recorded by current POST-BATCH-D-57A source/audit commit</t>
  </si>
  <si>
    <t>2026-06-08T21:00:54.5829399-05:00</t>
  </si>
  <si>
    <t>RB-04948</t>
  </si>
  <si>
    <t>P10-F04948</t>
  </si>
  <si>
    <t>Data/Scripts/Mobiles/Insects/Aliens/Alien.cs</t>
  </si>
  <si>
    <t>PHD-260</t>
  </si>
  <si>
    <t>Replaced direct foreach over this.GetItemsInRange(10) with IPooledEnumerable plus try/finally Free while preserving acid splatter counting.</t>
  </si>
  <si>
    <t>Data/Scripts/Mobiles/Insects/Aliens/Alien.cs:112-125</t>
  </si>
  <si>
    <t>RB-04949</t>
  </si>
  <si>
    <t>P10-F04949</t>
  </si>
  <si>
    <t>PHD-261</t>
  </si>
  <si>
    <t>Replaced direct foreach over this.GetItemsInRange(10) with IPooledEnumerable plus try/finally Free while preserving acid splatter counting before death effect.</t>
  </si>
  <si>
    <t>Data/Scripts/Mobiles/Insects/Aliens/Alien.cs:154-167</t>
  </si>
  <si>
    <t>RB-04950</t>
  </si>
  <si>
    <t>P10-F04950</t>
  </si>
  <si>
    <t>Data/Scripts/Mobiles/Insects/Aliens/AlienSmall.cs</t>
  </si>
  <si>
    <t>PHD-262</t>
  </si>
  <si>
    <t>Data/Scripts/Mobiles/Insects/Aliens/AlienSmall.cs:83-96</t>
  </si>
  <si>
    <t>RB-04951</t>
  </si>
  <si>
    <t>P10-F04951</t>
  </si>
  <si>
    <t>PHD-263</t>
  </si>
  <si>
    <t>Data/Scripts/Mobiles/Insects/Aliens/AlienSmall.cs:125-138</t>
  </si>
  <si>
    <t>RB-04952</t>
  </si>
  <si>
    <t>P10-F04952</t>
  </si>
  <si>
    <t>Data/Scripts/Mobiles/Insects/Aliens/AlienSpider.cs</t>
  </si>
  <si>
    <t>PHD-264</t>
  </si>
  <si>
    <t>Data/Scripts/Mobiles/Insects/Aliens/AlienSpider.cs:129-142</t>
  </si>
  <si>
    <t>RB-04953</t>
  </si>
  <si>
    <t>P10-F04953</t>
  </si>
  <si>
    <t>PHD-265</t>
  </si>
  <si>
    <t>Data/Scripts/Mobiles/Insects/Aliens/AlienSpider.cs:171-184</t>
  </si>
  <si>
    <t>RB-04954</t>
  </si>
  <si>
    <t>P10-F04954</t>
  </si>
  <si>
    <t>Data/Scripts/Mobiles/Insects/Aliens/Shaclaw.cs</t>
  </si>
  <si>
    <t>PHD-266</t>
  </si>
  <si>
    <t>Data/Scripts/Mobiles/Insects/Aliens/Shaclaw.cs:60-73</t>
  </si>
  <si>
    <t>RB-04955</t>
  </si>
  <si>
    <t>P10-F04955</t>
  </si>
  <si>
    <t>PHD-267</t>
  </si>
  <si>
    <t>Data/Scripts/Mobiles/Insects/Aliens/Shaclaw.cs:116-129</t>
  </si>
  <si>
    <t>RB-04956</t>
  </si>
  <si>
    <t>P10-F04956</t>
  </si>
  <si>
    <t>Data/Scripts/Mobiles/Insects/Ants/AntaurKing.cs</t>
  </si>
  <si>
    <t>PHD-268</t>
  </si>
  <si>
    <t>Replaced direct foreach over this.GetItemsInRange(10) with IPooledEnumerable plus try/finally Free while preserving antaur splatter counting.</t>
  </si>
  <si>
    <t>Data/Scripts/Mobiles/Insects/Ants/AntaurKing.cs:61-74</t>
  </si>
  <si>
    <t>RB-04957</t>
  </si>
  <si>
    <t>P10-F04957</t>
  </si>
  <si>
    <t>PHD-269</t>
  </si>
  <si>
    <t>Replaced direct foreach over this.GetItemsInRange(10) with IPooledEnumerable plus try/finally Free while preserving antaur splatter counting before death effect.</t>
  </si>
  <si>
    <t>Data/Scripts/Mobiles/Insects/Ants/AntaurKing.cs:117-130</t>
  </si>
  <si>
    <t>RB-04958</t>
  </si>
  <si>
    <t>P10-F04958</t>
  </si>
  <si>
    <t>Data/Scripts/Mobiles/Insects/Ants/AntaurProgenitor.cs</t>
  </si>
  <si>
    <t>PHD-270</t>
  </si>
  <si>
    <t>Data/Scripts/Mobiles/Insects/Ants/AntaurProgenitor.cs:61-74</t>
  </si>
  <si>
    <t>RB-04959</t>
  </si>
  <si>
    <t>P10-F04959</t>
  </si>
  <si>
    <t>PHD-271</t>
  </si>
  <si>
    <t>Data/Scripts/Mobiles/Insects/Ants/AntaurProgenitor.cs:122-135</t>
  </si>
  <si>
    <t>RB-04960</t>
  </si>
  <si>
    <t>P10-F04960</t>
  </si>
  <si>
    <t>Data/Scripts/Mobiles/Insects/Ants/AntaurSoldier.cs</t>
  </si>
  <si>
    <t>PHD-272</t>
  </si>
  <si>
    <t>Data/Scripts/Mobiles/Insects/Ants/AntaurSoldier.cs:58-71</t>
  </si>
  <si>
    <t>RB-04961</t>
  </si>
  <si>
    <t>P10-F04961</t>
  </si>
  <si>
    <t>PHD-273</t>
  </si>
  <si>
    <t>Data/Scripts/Mobiles/Insects/Ants/AntaurSoldier.cs:119-132</t>
  </si>
  <si>
    <t>RB-04962</t>
  </si>
  <si>
    <t>P10-F04962</t>
  </si>
  <si>
    <t>Data/Scripts/Mobiles/Insects/Ants/AntaurWorker.cs</t>
  </si>
  <si>
    <t>PHD-274</t>
  </si>
  <si>
    <t>Data/Scripts/Mobiles/Insects/Ants/AntaurWorker.cs:57-70</t>
  </si>
  <si>
    <t>RB-04963</t>
  </si>
  <si>
    <t>P10-F04963</t>
  </si>
  <si>
    <t>PHD-275</t>
  </si>
  <si>
    <t>Data/Scripts/Mobiles/Insects/Ants/AntaurWorker.cs:116-129</t>
  </si>
  <si>
    <t>RB-04964</t>
  </si>
  <si>
    <t>P10-F04964</t>
  </si>
  <si>
    <t>Data/Scripts/Mobiles/Insects/Beetles/GlowBeetleRiding.cs</t>
  </si>
  <si>
    <t>PHD-276</t>
  </si>
  <si>
    <t>Data/Scripts/Mobiles/Insects/Beetles/GlowBeetleRiding.cs:66-79</t>
  </si>
  <si>
    <t>RB-04965</t>
  </si>
  <si>
    <t>P10-F04965</t>
  </si>
  <si>
    <t>Data/Scripts/Mobiles/Insects/Spiders/AbyssCrawler.cs</t>
  </si>
  <si>
    <t>PHD-277</t>
  </si>
  <si>
    <t>Data/Scripts/Mobiles/Insects/Spiders/AbyssCrawler.cs:109-122</t>
  </si>
  <si>
    <t>RB-04966</t>
  </si>
  <si>
    <t>P10-F04966</t>
  </si>
  <si>
    <t>Data/Scripts/Mobiles/Insects/Spiders/ZombieSpider.cs</t>
  </si>
  <si>
    <t>PHD-278</t>
  </si>
  <si>
    <t>Data/Scripts/Mobiles/Insects/Spiders/ZombieSpider.cs:112-125</t>
  </si>
  <si>
    <t>RB-04967</t>
  </si>
  <si>
    <t>P10-F04967</t>
  </si>
  <si>
    <t>Mobiles:Mystical</t>
  </si>
  <si>
    <t>Data/Scripts/Mobiles/Mystical/AncientSphinx.cs</t>
  </si>
  <si>
    <t>POST-BATCH-D-58A</t>
  </si>
  <si>
    <t>PHD-279</t>
  </si>
  <si>
    <t>Replaced direct foreach over this.GetMobilesInRange(2) with IPooledEnumerable plus try/finally Free while preserving petrification target collection.</t>
  </si>
  <si>
    <t>Data/Scripts/Mobiles/Mystical/AncientSphinx.cs:106-130</t>
  </si>
  <si>
    <t>Recorded by current POST-BATCH-D-58A source/audit commit</t>
  </si>
  <si>
    <t>2026-06-08T21:08:37.3029522-05:00</t>
  </si>
  <si>
    <t>Confirmed pooled enumerable ownership leak in sphinx stone target scan; fixed with try/finally Free and no behavior, serialization, namespace, type, or file-location changes.</t>
  </si>
  <si>
    <t>RB-04968</t>
  </si>
  <si>
    <t>P10-F04968</t>
  </si>
  <si>
    <t>Data/Scripts/Mobiles/Mystical/MLDryad.cs</t>
  </si>
  <si>
    <t>PHD-280</t>
  </si>
  <si>
    <t>Replaced direct foreach over GetMobilesInRange(RangePerception) with IPooledEnumerable plus try/finally Free while preserving dryad peace target handling.</t>
  </si>
  <si>
    <t>Data/Scripts/Mobiles/Mystical/MLDryad.cs:89-108</t>
  </si>
  <si>
    <t>Confirmed pooled enumerable ownership leak in dryad peace scan; fixed with try/finally Free and no behavior, serialization, namespace, type, or file-location changes.</t>
  </si>
  <si>
    <t>RB-04969</t>
  </si>
  <si>
    <t>P10-F04969</t>
  </si>
  <si>
    <t>PHD-281</t>
  </si>
  <si>
    <t>Replaced direct foreach over GetMobilesInRange(RangePerception) with IPooledEnumerable plus try/finally Free while preserving dryad undress target handling.</t>
  </si>
  <si>
    <t>Data/Scripts/Mobiles/Mystical/MLDryad.cs:144-171</t>
  </si>
  <si>
    <t>Confirmed pooled enumerable ownership leak in dryad undress scan; fixed with try/finally Free and no behavior, serialization, namespace, type, or file-location changes.</t>
  </si>
  <si>
    <t>RB-04970</t>
  </si>
  <si>
    <t>P10-F04970</t>
  </si>
  <si>
    <t>Data/Scripts/Mobiles/Mystical/RoyalSphinx.cs</t>
  </si>
  <si>
    <t>PHD-282</t>
  </si>
  <si>
    <t>Data/Scripts/Mobiles/Mystical/RoyalSphinx.cs:106-130</t>
  </si>
  <si>
    <t>RB-04971</t>
  </si>
  <si>
    <t>P10-F04971</t>
  </si>
  <si>
    <t>Data/Scripts/Mobiles/Mystical/Satyr.cs</t>
  </si>
  <si>
    <t>PHD-283</t>
  </si>
  <si>
    <t>Replaced direct foreach over GetMobilesInRange(RangePerception) with IPooledEnumerable plus try/finally Free while preserving provoke filters and first-target break behavior.</t>
  </si>
  <si>
    <t>Data/Scripts/Mobiles/Mystical/Satyr.cs:402-435</t>
  </si>
  <si>
    <t>Confirmed pooled enumerable ownership leak in satyr provoke scan; fixed with try/finally Free and no behavior, serialization, namespace, type, or file-location changes.</t>
  </si>
  <si>
    <t>RB-04972</t>
  </si>
  <si>
    <t>P10-F04972</t>
  </si>
  <si>
    <t>Data/Scripts/Mobiles/Mystical/SphinxRiding.cs</t>
  </si>
  <si>
    <t>PHD-284</t>
  </si>
  <si>
    <t>Data/Scripts/Mobiles/Mystical/SphinxRiding.cs:109-133</t>
  </si>
  <si>
    <t>Confirmed pooled enumerable ownership leak in sphinx riding stone target scan; fixed with try/finally Free and no behavior, serialization, namespace, type, or file-location changes.</t>
  </si>
  <si>
    <t>RB-04973</t>
  </si>
  <si>
    <t>P10-F04973</t>
  </si>
  <si>
    <t>Data/Scripts/Mobiles/Mystical/Xatyr.cs</t>
  </si>
  <si>
    <t>PHD-285</t>
  </si>
  <si>
    <t>Data/Scripts/Mobiles/Mystical/Xatyr.cs:403-436</t>
  </si>
  <si>
    <t>Confirmed pooled enumerable ownership leak in xatyr provoke scan; fixed with try/finally Free and no behavior, serialization, namespace, type, or file-location changes.</t>
  </si>
  <si>
    <t>RB-04974</t>
  </si>
  <si>
    <t>P10-F04974</t>
  </si>
  <si>
    <t>Data/Scripts/Mobiles/Mystical/xDryad.cs</t>
  </si>
  <si>
    <t>PHD-286</t>
  </si>
  <si>
    <t>Data/Scripts/Mobiles/Mystical/xDryad.cs:88-107</t>
  </si>
  <si>
    <t>RB-04975</t>
  </si>
  <si>
    <t>P10-F04975</t>
  </si>
  <si>
    <t>PHD-287</t>
  </si>
  <si>
    <t>Data/Scripts/Mobiles/Mystical/xDryad.cs:143-170</t>
  </si>
  <si>
    <t>RB-04976</t>
  </si>
  <si>
    <t>P10-F04976</t>
  </si>
  <si>
    <t>Mobiles:Plants</t>
  </si>
  <si>
    <t>Data/Scripts/Mobiles/Plants/BloodLotus.cs</t>
  </si>
  <si>
    <t>POST-BATCH-D-59A</t>
  </si>
  <si>
    <t>PHD-288</t>
  </si>
  <si>
    <t>Replaced direct foreach over this.GetMobilesInRange(2) with IPooledEnumerable plus try/finally Free while preserving drain-life target collection.</t>
  </si>
  <si>
    <t>Data/Scripts/Mobiles/Plants/BloodLotus.cs:170-194</t>
  </si>
  <si>
    <t>Recorded by current POST-BATCH-D-59A source/audit commit</t>
  </si>
  <si>
    <t>2026-06-08T21:13:14.0024412-05:00</t>
  </si>
  <si>
    <t>Confirmed pooled enumerable ownership leak in BloodLotus drain-life target scan; fixed with try/finally Free and no behavior, serialization, namespace, type, or file-location changes.</t>
  </si>
  <si>
    <t>RB-04977</t>
  </si>
  <si>
    <t>P10-F04977</t>
  </si>
  <si>
    <t>Data/Scripts/Mobiles/Plants/BogThing.cs</t>
  </si>
  <si>
    <t>PHD-289</t>
  </si>
  <si>
    <t>Replaced direct foreach over this.GetMobilesInRange(2) with IPooledEnumerable plus try/finally Free while preserving bogling collection before deletion.</t>
  </si>
  <si>
    <t>Data/Scripts/Mobiles/Plants/BogThing.cs:207-219</t>
  </si>
  <si>
    <t>Confirmed pooled enumerable ownership leak in BogThing bogling collection scan; fixed with try/finally Free and no behavior, serialization, namespace, type, or file-location changes.</t>
  </si>
  <si>
    <t>RB-04978</t>
  </si>
  <si>
    <t>P10-F04978</t>
  </si>
  <si>
    <t>Data/Scripts/Mobiles/Plants/CreepingFungus.cs</t>
  </si>
  <si>
    <t>PHD-290</t>
  </si>
  <si>
    <t>Replaced direct foreach over this.GetItemsInRange(10) with IPooledEnumerable plus try/finally Free while preserving fungal slime splatter counting.</t>
  </si>
  <si>
    <t>Data/Scripts/Mobiles/Plants/CreepingFungus.cs:62-76</t>
  </si>
  <si>
    <t>Confirmed pooled enumerable ownership leak in CreepingFungus splatter-count scan; fixed with try/finally Free and no behavior, serialization, namespace, type, or file-location changes.</t>
  </si>
  <si>
    <t>RB-04979</t>
  </si>
  <si>
    <t>P10-F04979</t>
  </si>
  <si>
    <t>Data/Scripts/Mobiles/Plants/Fungal.cs</t>
  </si>
  <si>
    <t>PHD-291</t>
  </si>
  <si>
    <t>Data/Scripts/Mobiles/Plants/Fungal.cs:64-78</t>
  </si>
  <si>
    <t>Confirmed pooled enumerable ownership leak in Fungal splatter-count scan; fixed with try/finally Free and no behavior, serialization, namespace, type, or file-location changes.</t>
  </si>
  <si>
    <t>RB-04980</t>
  </si>
  <si>
    <t>P10-F04980</t>
  </si>
  <si>
    <t>Data/Scripts/Mobiles/Plants/FungalMage.cs</t>
  </si>
  <si>
    <t>PHD-292</t>
  </si>
  <si>
    <t>Data/Scripts/Mobiles/Plants/FungalMage.cs:67-81</t>
  </si>
  <si>
    <t>Confirmed pooled enumerable ownership leak in FungalMage splatter-count scan; fixed with try/finally Free and no behavior, serialization, namespace, type, or file-location changes.</t>
  </si>
  <si>
    <t>RB-04981</t>
  </si>
  <si>
    <t>P10-F04981</t>
  </si>
  <si>
    <t>Data/Scripts/Mobiles/Plants/SwampThing.cs</t>
  </si>
  <si>
    <t>PHD-293</t>
  </si>
  <si>
    <t>Replaced direct foreach over this.GetItemsInRange(10) with IPooledEnumerable plus try/finally Free while preserving swamp muck splatter counting.</t>
  </si>
  <si>
    <t>Data/Scripts/Mobiles/Plants/SwampThing.cs:229-243</t>
  </si>
  <si>
    <t>Confirmed pooled enumerable ownership leak in SwampThing splatter-count scan; fixed with try/finally Free and no behavior, serialization, namespace, type, or file-location changes.</t>
  </si>
  <si>
    <t>RB-04982</t>
  </si>
  <si>
    <t>P10-F04982</t>
  </si>
  <si>
    <t>Mobiles:Reptilian</t>
  </si>
  <si>
    <t>Data/Scripts/Mobiles/Reptilian/BasiliskRiding.cs</t>
  </si>
  <si>
    <t>POST-BATCH-D-60A</t>
  </si>
  <si>
    <t>PHD-294</t>
  </si>
  <si>
    <t>Data/Scripts/Mobiles/Reptilian/BasiliskRiding.cs:86-110</t>
  </si>
  <si>
    <t>Recorded by current POST-BATCH-D-60A source/audit commit</t>
  </si>
  <si>
    <t>2026-06-08T21:17:41.4935079-05:00</t>
  </si>
  <si>
    <t>Confirmed pooled enumerable ownership leak in BasiliskRiding stone target scan; fixed with try/finally Free and no behavior, serialization, namespace, type, or file-location changes.</t>
  </si>
  <si>
    <t>RB-04983</t>
  </si>
  <si>
    <t>P10-F04983</t>
  </si>
  <si>
    <t>Data/Scripts/Mobiles/Reptilian/Serpentaur.cs</t>
  </si>
  <si>
    <t>PHD-295</t>
  </si>
  <si>
    <t>Replaced direct foreach over target.GetMobilesInRange(8) with IPooledEnumerable plus try/finally Free while preserving poison target collection.</t>
  </si>
  <si>
    <t>Data/Scripts/Mobiles/Reptilian/Serpentaur.cs:139-163</t>
  </si>
  <si>
    <t>Confirmed pooled enumerable ownership leak in Serpentaur poison target scan; fixed with try/finally Free and no behavior, serialization, namespace, type, or file-location changes.</t>
  </si>
  <si>
    <t>RB-04984</t>
  </si>
  <si>
    <t>P10-F04984</t>
  </si>
  <si>
    <t>Data/Scripts/Mobiles/Reptilian/Frogs/GiantToad.cs</t>
  </si>
  <si>
    <t>PHD-296</t>
  </si>
  <si>
    <t>Replaced direct foreach over m_Owner.GetMobilesInRange(10) with IPooledEnumerable plus try/finally Free while preserving first valid teleport target selection.</t>
  </si>
  <si>
    <t>Data/Scripts/Mobiles/Reptilian/Frogs/GiantToad.cs:138-162</t>
  </si>
  <si>
    <t>Confirmed pooled enumerable ownership leak in GiantToad teleport target scan; fixed with try/finally Free and no behavior, serialization, namespace, type, or file-location changes.</t>
  </si>
  <si>
    <t>RB-04985</t>
  </si>
  <si>
    <t>P10-F04985</t>
  </si>
  <si>
    <t>Data/Scripts/Mobiles/Reptilian/Sea/GiantEel.cs</t>
  </si>
  <si>
    <t>PHD-297</t>
  </si>
  <si>
    <t>Replaced direct foreach over this.GetMobilesInRange(2) with IPooledEnumerable plus try/finally Free while preserving shock target collection.</t>
  </si>
  <si>
    <t>Data/Scripts/Mobiles/Reptilian/Sea/GiantEel.cs:138-162</t>
  </si>
  <si>
    <t>Confirmed pooled enumerable ownership leak in GiantEel shock target scan; fixed with try/finally Free and no behavior, serialization, namespace, type, or file-location changes.</t>
  </si>
  <si>
    <t>RB-04986</t>
  </si>
  <si>
    <t>P10-F04986</t>
  </si>
  <si>
    <t>Data/Scripts/Mobiles/Reptilian/Sea/GiantLamprey.cs</t>
  </si>
  <si>
    <t>PHD-298</t>
  </si>
  <si>
    <t>Data/Scripts/Mobiles/Reptilian/Sea/GiantLamprey.cs:62-86</t>
  </si>
  <si>
    <t>Confirmed pooled enumerable ownership leak in GiantLamprey drain-life target scan; fixed with try/finally Free and no behavior, serialization, namespace, type, or file-location changes.</t>
  </si>
  <si>
    <t>RB-04987</t>
  </si>
  <si>
    <t>P10-F04987</t>
  </si>
  <si>
    <t>Data/Scripts/Mobiles/Reptilian/Sea/Lurker.cs</t>
  </si>
  <si>
    <t>PHD-299</t>
  </si>
  <si>
    <t>Replaced direct foreach over this.GetItemsInRange(10) with IPooledEnumerable plus try/finally Free while preserving poison spittle splatter counting.</t>
  </si>
  <si>
    <t>Data/Scripts/Mobiles/Reptilian/Sea/Lurker.cs:58-72</t>
  </si>
  <si>
    <t>Confirmed pooled enumerable ownership leak in Lurker splatter-count scan; fixed with try/finally Free and no behavior, serialization, namespace, type, or file-location changes.</t>
  </si>
  <si>
    <t>RB-04988</t>
  </si>
  <si>
    <t>P10-F04988</t>
  </si>
  <si>
    <t>Data/Scripts/Mobiles/Reptilian/Snakes/BloodSnake.cs</t>
  </si>
  <si>
    <t>PHD-300</t>
  </si>
  <si>
    <t>Data/Scripts/Mobiles/Reptilian/Snakes/BloodSnake.cs:128-152</t>
  </si>
  <si>
    <t>Confirmed pooled enumerable ownership leak in BloodSnake drain-life target scan; fixed with try/finally Free and no behavior, serialization, namespace, type, or file-location changes.</t>
  </si>
  <si>
    <t>RB-04989</t>
  </si>
  <si>
    <t>P10-F04989</t>
  </si>
  <si>
    <t>Mobiles:Slimes</t>
  </si>
  <si>
    <t>Data/Scripts/Mobiles/Slimes/BloodWorm.cs</t>
  </si>
  <si>
    <t>POST-BATCH-D-61A</t>
  </si>
  <si>
    <t>PHD-301</t>
  </si>
  <si>
    <t>Data/Scripts/Mobiles/Slimes/BloodWorm.cs:59-83</t>
  </si>
  <si>
    <t>Recorded by current POST-BATCH-D-61A source/audit commit</t>
  </si>
  <si>
    <t>2026-06-08T21:21:30.2015762-05:00</t>
  </si>
  <si>
    <t>Confirmed pooled enumerable ownership leak in BloodWorm drain-life target scan; fixed with try/finally Free and no behavior, serialization, namespace, type, or file-location changes.</t>
  </si>
  <si>
    <t>RB-04990</t>
  </si>
  <si>
    <t>P10-F04990</t>
  </si>
  <si>
    <t>Data/Scripts/Mobiles/Slimes/GiantLeech.cs</t>
  </si>
  <si>
    <t>PHD-302</t>
  </si>
  <si>
    <t>Data/Scripts/Mobiles/Slimes/GiantLeech.cs:52-76</t>
  </si>
  <si>
    <t>Confirmed pooled enumerable ownership leak in GiantLeech drain-life target scan; fixed with try/finally Free and no behavior, serialization, namespace, type, or file-location changes.</t>
  </si>
  <si>
    <t>RB-04991</t>
  </si>
  <si>
    <t>P10-F04991</t>
  </si>
  <si>
    <t>Data/Scripts/Mobiles/Slimes/MarshWurm.cs</t>
  </si>
  <si>
    <t>PHD-303</t>
  </si>
  <si>
    <t>Data/Scripts/Mobiles/Slimes/MarshWurm.cs:55-79</t>
  </si>
  <si>
    <t>Confirmed pooled enumerable ownership leak in MarshWurm drain-life target scan; fixed with try/finally Free and no behavior, serialization, namespace, type, or file-location changes.</t>
  </si>
  <si>
    <t>RB-04992</t>
  </si>
  <si>
    <t>P10-F04992</t>
  </si>
  <si>
    <t>Data/Scripts/Mobiles/Slimes/OilSlick.cs</t>
  </si>
  <si>
    <t>PHD-304</t>
  </si>
  <si>
    <t>Replaced direct foreach over this.GetMobilesInRange(2) with IPooledEnumerable plus try/finally Free while preserving oil-burn target collection.</t>
  </si>
  <si>
    <t>Data/Scripts/Mobiles/Slimes/OilSlick.cs:53-77</t>
  </si>
  <si>
    <t>Confirmed pooled enumerable ownership leak in OilSlick oil-burn target scan; fixed with try/finally Free and no behavior, serialization, namespace, type, or file-location changes.</t>
  </si>
  <si>
    <t>RB-04993</t>
  </si>
  <si>
    <t>P10-F04993</t>
  </si>
  <si>
    <t>Data/Scripts/Mobiles/Slimes/SlimeDevil.cs</t>
  </si>
  <si>
    <t>PHD-305</t>
  </si>
  <si>
    <t>Replaced direct foreach over this.GetItemsInRange(10) with IPooledEnumerable plus try/finally Free while preserving blue slime splatter counting.</t>
  </si>
  <si>
    <t>Data/Scripts/Mobiles/Slimes/SlimeDevil.cs:78-92</t>
  </si>
  <si>
    <t>Confirmed pooled enumerable ownership leak in SlimeDevil splatter-count scan; fixed with try/finally Free and no behavior, serialization, namespace, type, or file-location changes.</t>
  </si>
  <si>
    <t>RB-04994</t>
  </si>
  <si>
    <t>P10-F04994</t>
  </si>
  <si>
    <t>Mobiles:Summoned</t>
  </si>
  <si>
    <t>Data/Scripts/Mobiles/Summoned/BladeSpirits.cs</t>
  </si>
  <si>
    <t>POST-BATCH-D-62A</t>
  </si>
  <si>
    <t>PHD-306</t>
  </si>
  <si>
    <t>Replaced direct foreach over GetMobilesInRange(5) with IPooledEnumerable plus try/finally Free while preserving summoned vortex cleanup collection.</t>
  </si>
  <si>
    <t>Data/Scripts/Mobiles/Summoned/BladeSpirits.cs:103-118</t>
  </si>
  <si>
    <t>Recorded by current POST-BATCH-D-62A source/audit commit</t>
  </si>
  <si>
    <t>2026-06-08T21:25:54.4630498-05:00</t>
  </si>
  <si>
    <t>Confirmed pooled enumerable ownership leak in BladeSpirits summoned-vortex cleanup scan; fixed with try/finally Free and no behavior, serialization, namespace, type, or file-location changes.</t>
  </si>
  <si>
    <t>RB-04995</t>
  </si>
  <si>
    <t>P10-F04995</t>
  </si>
  <si>
    <t>Data/Scripts/Mobiles/Summoned/DeathVortex.cs</t>
  </si>
  <si>
    <t>PHD-307</t>
  </si>
  <si>
    <t>Replaced direct foreach over this.GetMobilesInRange(7) with IPooledEnumerable plus try/finally Free while preserving random target acquisition.</t>
  </si>
  <si>
    <t>Data/Scripts/Mobiles/Summoned/DeathVortex.cs:112-142</t>
  </si>
  <si>
    <t>Confirmed pooled enumerable ownership leak in DeathVortex target scan; fixed with try/finally Free and no behavior, serialization, namespace, type, or file-location changes.</t>
  </si>
  <si>
    <t>RB-04996</t>
  </si>
  <si>
    <t>P10-F04996</t>
  </si>
  <si>
    <t>PHD-308</t>
  </si>
  <si>
    <t>Data/Scripts/Mobiles/Summoned/DeathVortex.cs:181-196</t>
  </si>
  <si>
    <t>Confirmed pooled enumerable ownership leak in DeathVortex summoned-vortex cleanup scan; fixed with try/finally Free and no behavior, serialization, namespace, type, or file-location changes.</t>
  </si>
  <si>
    <t>RB-04997</t>
  </si>
  <si>
    <t>P10-F04997</t>
  </si>
  <si>
    <t>Data/Scripts/Mobiles/Summoned/EnergyVortex.cs</t>
  </si>
  <si>
    <t>PHD-309</t>
  </si>
  <si>
    <t>Data/Scripts/Mobiles/Summoned/EnergyVortex.cs:131-146</t>
  </si>
  <si>
    <t>Confirmed pooled enumerable ownership leak in EnergyVortex summoned-vortex cleanup scan; fixed with try/finally Free and no behavior, serialization, namespace, type, or file-location changes.</t>
  </si>
  <si>
    <t>RB-04998</t>
  </si>
  <si>
    <t>P10-F04998</t>
  </si>
  <si>
    <t>Data/Scripts/Mobiles/Summoned/GasCloud.cs</t>
  </si>
  <si>
    <t>PHD-310</t>
  </si>
  <si>
    <t>Data/Scripts/Mobiles/Summoned/GasCloud.cs:104-134</t>
  </si>
  <si>
    <t>Confirmed pooled enumerable ownership leak in GasCloud target scan; fixed with try/finally Free and no behavior, serialization, namespace, type, or file-location changes.</t>
  </si>
  <si>
    <t>RB-04999</t>
  </si>
  <si>
    <t>P10-F04999</t>
  </si>
  <si>
    <t>PHD-311</t>
  </si>
  <si>
    <t>Data/Scripts/Mobiles/Summoned/GasCloud.cs:175-190</t>
  </si>
  <si>
    <t>Confirmed pooled enumerable ownership leak in GasCloud summoned-vortex cleanup scan; fixed with try/finally Free and no behavior, serialization, namespace, type, or file-location changes.</t>
  </si>
  <si>
    <t>RB-05000</t>
  </si>
  <si>
    <t>P10-F05000</t>
  </si>
  <si>
    <t>Data/Scripts/Mobiles/Summoned/Swarm.cs</t>
  </si>
  <si>
    <t>PHD-312</t>
  </si>
  <si>
    <t>Replaced direct foreach over GetMobilesInRange(5) with IPooledEnumerable plus try/finally Free while preserving summoned swarm cleanup collection.</t>
  </si>
  <si>
    <t>Data/Scripts/Mobiles/Summoned/Swarm.cs:104-119</t>
  </si>
  <si>
    <t>Confirmed pooled enumerable ownership leak in Swarm cleanup scan; fixed with try/finally Free and no behavior, serialization, namespace, type, or file-location changes.</t>
  </si>
  <si>
    <t>RB-05001</t>
  </si>
  <si>
    <t>P10-F05001</t>
  </si>
  <si>
    <t>Mobiles:Undead</t>
  </si>
  <si>
    <t>Data/Scripts/Mobiles/Undead/Dracolich.cs</t>
  </si>
  <si>
    <t>POST-BATCH-D-63A</t>
  </si>
  <si>
    <t>PHD-313</t>
  </si>
  <si>
    <t>Replaced direct foreach over this.GetMobilesInRange(4) with IPooledEnumerable plus try/finally Free while preserving undead spawn counting.</t>
  </si>
  <si>
    <t>Data/Scripts/Mobiles/Undead/Dracolich.cs:276-288</t>
  </si>
  <si>
    <t>Recorded by current POST-BATCH-D-63A source/audit commit</t>
  </si>
  <si>
    <t>2026-06-08T21:30:31.4849277-05:00</t>
  </si>
  <si>
    <t>Confirmed pooled enumerable ownership leak in Dracolich spawn-count scan; fixed with try/finally Free and no behavior, serialization, namespace, type, or file-location changes.</t>
  </si>
  <si>
    <t>RB-05002</t>
  </si>
  <si>
    <t>P10-F05002</t>
  </si>
  <si>
    <t>Data/Scripts/Mobiles/Undead/Dracula.cs</t>
  </si>
  <si>
    <t>PHD-314</t>
  </si>
  <si>
    <t>Data/Scripts/Mobiles/Undead/Dracula.cs:130-154</t>
  </si>
  <si>
    <t>Confirmed pooled enumerable ownership leak in Dracula drain-life target scan; fixed with try/finally Free and no behavior, serialization, namespace, type, or file-location changes.</t>
  </si>
  <si>
    <t>RB-05003</t>
  </si>
  <si>
    <t>P10-F05003</t>
  </si>
  <si>
    <t>Data/Scripts/Mobiles/Undead/DragonGhost.cs</t>
  </si>
  <si>
    <t>PHD-315</t>
  </si>
  <si>
    <t>Replaced direct foreach over this.GetMobilesInRange(4) with IPooledEnumerable plus try/finally Free while preserving spectre spawn counting.</t>
  </si>
  <si>
    <t>Data/Scripts/Mobiles/Undead/DragonGhost.cs:181-193</t>
  </si>
  <si>
    <t>Confirmed pooled enumerable ownership leak in DragonGhost spawn-count scan; fixed with try/finally Free and no behavior, serialization, namespace, type, or file-location changes.</t>
  </si>
  <si>
    <t>RB-05004</t>
  </si>
  <si>
    <t>P10-F05004</t>
  </si>
  <si>
    <t>Data/Scripts/Mobiles/Undead/MummyGiant.cs</t>
  </si>
  <si>
    <t>PHD-316</t>
  </si>
  <si>
    <t>Replaced direct foreach over this.GetItemsInRange(10) with IPooledEnumerable plus try/finally Free while preserving green blood splatter counting.</t>
  </si>
  <si>
    <t>Data/Scripts/Mobiles/Undead/MummyGiant.cs:235-249</t>
  </si>
  <si>
    <t>Confirmed pooled enumerable ownership leak in MummyGiant splatter-count scan; fixed with try/finally Free and no behavior, serialization, namespace, type, or file-location changes.</t>
  </si>
  <si>
    <t>RB-05005</t>
  </si>
  <si>
    <t>P10-F05005</t>
  </si>
  <si>
    <t>Data/Scripts/Mobiles/Undead/SoulWorm.cs</t>
  </si>
  <si>
    <t>PHD-317</t>
  </si>
  <si>
    <t>Data/Scripts/Mobiles/Undead/SoulWorm.cs:55-79</t>
  </si>
  <si>
    <t>Confirmed pooled enumerable ownership leak in SoulWorm drain-life target scan; fixed with try/finally Free and no behavior, serialization, namespace, type, or file-location changes.</t>
  </si>
  <si>
    <t>RB-05006</t>
  </si>
  <si>
    <t>P10-F05006</t>
  </si>
  <si>
    <t>Data/Scripts/Mobiles/Undead/TitanLich.cs</t>
  </si>
  <si>
    <t>PHD-318</t>
  </si>
  <si>
    <t>Data/Scripts/Mobiles/Undead/TitanLich.cs:223-237</t>
  </si>
  <si>
    <t>Confirmed pooled enumerable ownership leak in TitanLich splatter-count scan; fixed with try/finally Free and no behavior, serialization, namespace, type, or file-location changes.</t>
  </si>
  <si>
    <t>RB-05007</t>
  </si>
  <si>
    <t>P10-F05007</t>
  </si>
  <si>
    <t>Data/Scripts/Mobiles/Undead/Vampire.cs</t>
  </si>
  <si>
    <t>PHD-319</t>
  </si>
  <si>
    <t>Data/Scripts/Mobiles/Undead/Vampire.cs:99-123</t>
  </si>
  <si>
    <t>Confirmed pooled enumerable ownership leak in Vampire drain-life target scan; fixed with try/finally Free and no behavior, serialization, namespace, type, or file-location changes.</t>
  </si>
  <si>
    <t>RB-05008</t>
  </si>
  <si>
    <t>P10-F05008</t>
  </si>
  <si>
    <t>Data/Scripts/Mobiles/Undead/VampireLord.cs</t>
  </si>
  <si>
    <t>PHD-320</t>
  </si>
  <si>
    <t>Data/Scripts/Mobiles/Undead/VampireLord.cs:103-127</t>
  </si>
  <si>
    <t>Confirmed pooled enumerable ownership leak in VampireLord drain-life target scan; fixed with try/finally Free and no behavior, serialization, namespace, type, or file-location changes.</t>
  </si>
  <si>
    <t>RB-05009</t>
  </si>
  <si>
    <t>P10-F05009</t>
  </si>
  <si>
    <t>Data/Scripts/Mobiles/Undead/VampirePrince.cs</t>
  </si>
  <si>
    <t>PHD-321</t>
  </si>
  <si>
    <t>Data/Scripts/Mobiles/Undead/VampirePrince.cs:106-130</t>
  </si>
  <si>
    <t>Confirmed pooled enumerable ownership leak in VampirePrince drain-life target scan; fixed with try/finally Free and no behavior, serialization, namespace, type, or file-location changes.</t>
  </si>
  <si>
    <t>RB-05010</t>
  </si>
  <si>
    <t>P10-F05010</t>
  </si>
  <si>
    <t>Data/Scripts/Mobiles/Undead/VampireWoods.cs</t>
  </si>
  <si>
    <t>PHD-322</t>
  </si>
  <si>
    <t>Data/Scripts/Mobiles/Undead/VampireWoods.cs:103-127</t>
  </si>
  <si>
    <t>Confirmed pooled enumerable ownership leak in VampireWoods drain-life target scan; fixed with try/finally Free and no behavior, serialization, namespace, type, or file-location changes.</t>
  </si>
  <si>
    <t>RB-05011</t>
  </si>
  <si>
    <t>P10-F05011</t>
  </si>
  <si>
    <t>Data/Scripts/Mobiles/Undead/ZombieDragon.cs</t>
  </si>
  <si>
    <t>PHD-323</t>
  </si>
  <si>
    <t>Replaced direct foreach over this.GetMobilesInRange(4) with IPooledEnumerable plus try/finally Free while preserving zombie spawn counting.</t>
  </si>
  <si>
    <t>Data/Scripts/Mobiles/Undead/ZombieDragon.cs:189-201</t>
  </si>
  <si>
    <t>Confirmed pooled enumerable ownership leak in ZombieDragon spawn-count scan; fixed with try/finally Free and no behavior, serialization, namespace, type, or file-location changes.</t>
  </si>
  <si>
    <t>RB-05012</t>
  </si>
  <si>
    <t>P10-F05012</t>
  </si>
  <si>
    <t>Data/Scripts/Mobiles/Undead/ZombieGiant.cs</t>
  </si>
  <si>
    <t>PHD-324</t>
  </si>
  <si>
    <t>Data/Scripts/Mobiles/Undead/ZombieGiant.cs:223-237</t>
  </si>
  <si>
    <t>Confirmed pooled enumerable ownership leak in ZombieGiant splatter-count scan; fixed with try/finally Free and no behavior, serialization, namespace, type, or file-location changes.</t>
  </si>
  <si>
    <t>RB-05013</t>
  </si>
  <si>
    <t>P10-F05013</t>
  </si>
  <si>
    <t>Mobiles:Unique</t>
  </si>
  <si>
    <t>Data/Scripts/Mobiles/Unique/BaneOfAnarchy.cs</t>
  </si>
  <si>
    <t>POST-BATCH-D-64A</t>
  </si>
  <si>
    <t>PHD-325</t>
  </si>
  <si>
    <t>Replaced direct foreach over this.GetMobilesInRange(30) with IPooledEnumerable plus try/finally Free while preserving death-gate reward checks.</t>
  </si>
  <si>
    <t>Data/Scripts/Mobiles/Unique/BaneOfAnarchy.cs:154-182</t>
  </si>
  <si>
    <t>Recorded by current POST-BATCH-D-64A source/audit commit</t>
  </si>
  <si>
    <t>2026-06-08T21:36:35.9064386-05:00</t>
  </si>
  <si>
    <t>Confirmed pooled enumerable ownership leak in BaneOfAnarchy death-gate scan; fixed with try/finally Free and no behavior, serialization, namespace, type, or file-location changes.</t>
  </si>
  <si>
    <t>RB-05014</t>
  </si>
  <si>
    <t>P10-F05014</t>
  </si>
  <si>
    <t>Data/Scripts/Mobiles/Unique/BaneOfInsanity.cs</t>
  </si>
  <si>
    <t>PHD-326</t>
  </si>
  <si>
    <t>Data/Scripts/Mobiles/Unique/BaneOfInsanity.cs:148-176</t>
  </si>
  <si>
    <t>Confirmed pooled enumerable ownership leak in BaneOfInsanity death-gate scan; fixed with try/finally Free and no behavior, serialization, namespace, type, or file-location changes.</t>
  </si>
  <si>
    <t>RB-05015</t>
  </si>
  <si>
    <t>P10-F05015</t>
  </si>
  <si>
    <t>Data/Scripts/Mobiles/Unique/BaneOfWantoness.cs</t>
  </si>
  <si>
    <t>PHD-327</t>
  </si>
  <si>
    <t>Data/Scripts/Mobiles/Unique/BaneOfWantoness.cs:148-176</t>
  </si>
  <si>
    <t>Confirmed pooled enumerable ownership leak in BaneOfWantoness death-gate scan; fixed with try/finally Free and no behavior, serialization, namespace, type, or file-location changes.</t>
  </si>
  <si>
    <t>RB-05016</t>
  </si>
  <si>
    <t>P10-F05016</t>
  </si>
  <si>
    <t>Data/Scripts/Mobiles/Unique/Mangar.cs</t>
  </si>
  <si>
    <t>PHD-328</t>
  </si>
  <si>
    <t>Data/Scripts/Mobiles/Unique/Mangar.cs:125-150</t>
  </si>
  <si>
    <t>Confirmed pooled enumerable ownership leak in Mangar spawn-count scan; fixed with try/finally Free and no behavior, serialization, namespace, type, or file-location changes.</t>
  </si>
  <si>
    <t>RB-05017</t>
  </si>
  <si>
    <t>P10-F05017</t>
  </si>
  <si>
    <t>Data/Scripts/Mobiles/Unique/SerpentOfChaos.cs</t>
  </si>
  <si>
    <t>PHD-329</t>
  </si>
  <si>
    <t>Replaced direct foreach over this.GetMobilesInRange(30) with IPooledEnumerable plus try/finally Free while preserving serpent death-gate item checks.</t>
  </si>
  <si>
    <t>Data/Scripts/Mobiles/Unique/SerpentOfChaos.cs:90-116</t>
  </si>
  <si>
    <t>Confirmed pooled enumerable ownership leak in SerpentOfChaos death-gate scan; fixed with try/finally Free and no behavior, serialization, namespace, type, or file-location changes.</t>
  </si>
  <si>
    <t>RB-05018</t>
  </si>
  <si>
    <t>P10-F05018</t>
  </si>
  <si>
    <t>Data/Scripts/Mobiles/Unique/SerpentOfOrder.cs</t>
  </si>
  <si>
    <t>PHD-330</t>
  </si>
  <si>
    <t>Data/Scripts/Mobiles/Unique/SerpentOfOrder.cs:110-136</t>
  </si>
  <si>
    <t>Confirmed pooled enumerable ownership leak in SerpentOfOrder death-gate scan; fixed with try/finally Free and no behavior, serialization, namespace, type, or file-location changes.</t>
  </si>
  <si>
    <t>RB-05019</t>
  </si>
  <si>
    <t>P10-F05019</t>
  </si>
  <si>
    <t>Data/Scripts/Mobiles/Unique/Shadowlord.cs</t>
  </si>
  <si>
    <t>PHD-331</t>
  </si>
  <si>
    <t>Replaced direct foreach over this.GetMobilesInRange(30) with IPooledEnumerable plus try/finally Free while preserving shadowlord death-gate reward checks.</t>
  </si>
  <si>
    <t>Data/Scripts/Mobiles/Unique/Shadowlord.cs:76-143</t>
  </si>
  <si>
    <t>Confirmed pooled enumerable ownership leak in Shadowlord death-gate scan; fixed with try/finally Free and no behavior, serialization, namespace, type, or file-location changes.</t>
  </si>
  <si>
    <t>RB-05020</t>
  </si>
  <si>
    <t>P10-F05020</t>
  </si>
  <si>
    <t>Data/Scripts/Mobiles/Unique/TitanHydros.cs</t>
  </si>
  <si>
    <t>PHD-332</t>
  </si>
  <si>
    <t>Replaced direct foreach over this.GetMobilesInRange(30) with IPooledEnumerable plus try/finally Free while preserving TitanHydros initial death-gate checks.</t>
  </si>
  <si>
    <t>Data/Scripts/Mobiles/Unique/TitanHydros.cs:116-145</t>
  </si>
  <si>
    <t>Confirmed pooled enumerable ownership leak in TitanHydros initial death-gate scan; fixed with try/finally Free and no behavior, serialization, namespace, type, or file-location changes.</t>
  </si>
  <si>
    <t>RB-05021</t>
  </si>
  <si>
    <t>P10-F05021</t>
  </si>
  <si>
    <t>PHD-333</t>
  </si>
  <si>
    <t>Replaced fallback direct foreach over this.GetMobilesInRange(30) with IPooledEnumerable plus try/finally Free while preserving TitanHydros kill-permission checks.</t>
  </si>
  <si>
    <t>Data/Scripts/Mobiles/Unique/TitanHydros.cs:149-175</t>
  </si>
  <si>
    <t>Confirmed pooled enumerable ownership leak in TitanHydros fallback death-gate scan; fixed with try/finally Free and no behavior, serialization, namespace, type, or file-location changes.</t>
  </si>
  <si>
    <t>RB-05022</t>
  </si>
  <si>
    <t>P10-F05022</t>
  </si>
  <si>
    <t>PHD-334</t>
  </si>
  <si>
    <t>Replaced direct foreach over this.GetItemsInRange(10) with IPooledEnumerable plus try/finally Free while preserving deep water splatter counting.</t>
  </si>
  <si>
    <t>Data/Scripts/Mobiles/Unique/TitanHydros.cs:331-345</t>
  </si>
  <si>
    <t>Confirmed pooled enumerable ownership leak in TitanHydros splatter-count scan; fixed with try/finally Free and no behavior, serialization, namespace, type, or file-location changes.</t>
  </si>
  <si>
    <t>RB-05023</t>
  </si>
  <si>
    <t>P10-F05023</t>
  </si>
  <si>
    <t>Data/Scripts/Mobiles/Unique/TitanLithos.cs</t>
  </si>
  <si>
    <t>PHD-335</t>
  </si>
  <si>
    <t>Replaced direct foreach over this.GetMobilesInRange(30) with IPooledEnumerable plus try/finally Free while preserving TitanLithos initial death-gate checks.</t>
  </si>
  <si>
    <t>Data/Scripts/Mobiles/Unique/TitanLithos.cs:107-134</t>
  </si>
  <si>
    <t>Confirmed pooled enumerable ownership leak in TitanLithos initial death-gate scan; fixed with try/finally Free and no behavior, serialization, namespace, type, or file-location changes.</t>
  </si>
  <si>
    <t>RB-05024</t>
  </si>
  <si>
    <t>P10-F05024</t>
  </si>
  <si>
    <t>PHD-336</t>
  </si>
  <si>
    <t>Replaced fallback direct foreach over this.GetMobilesInRange(30) with IPooledEnumerable plus try/finally Free while preserving TitanLithos kill-permission checks.</t>
  </si>
  <si>
    <t>Data/Scripts/Mobiles/Unique/TitanLithos.cs:138-164</t>
  </si>
  <si>
    <t>Confirmed pooled enumerable ownership leak in TitanLithos fallback death-gate scan; fixed with try/finally Free and no behavior, serialization, namespace, type, or file-location changes.</t>
  </si>
  <si>
    <t>RB-05025</t>
  </si>
  <si>
    <t>P10-F05025</t>
  </si>
  <si>
    <t>Data/Scripts/Mobiles/Unique/TitanPyros.cs</t>
  </si>
  <si>
    <t>PHD-337</t>
  </si>
  <si>
    <t>Replaced direct foreach over this.GetMobilesInRange(30) with IPooledEnumerable plus try/finally Free while preserving TitanPyros initial death-gate checks.</t>
  </si>
  <si>
    <t>Data/Scripts/Mobiles/Unique/TitanPyros.cs:118-145</t>
  </si>
  <si>
    <t>Confirmed pooled enumerable ownership leak in TitanPyros initial death-gate scan; fixed with try/finally Free and no behavior, serialization, namespace, type, or file-location changes.</t>
  </si>
  <si>
    <t>RB-05026</t>
  </si>
  <si>
    <t>P10-F05026</t>
  </si>
  <si>
    <t>PHD-338</t>
  </si>
  <si>
    <t>Replaced fallback direct foreach over this.GetMobilesInRange(30) with IPooledEnumerable plus try/finally Free while preserving TitanPyros kill-permission checks.</t>
  </si>
  <si>
    <t>Data/Scripts/Mobiles/Unique/TitanPyros.cs:149-175</t>
  </si>
  <si>
    <t>Confirmed pooled enumerable ownership leak in TitanPyros fallback death-gate scan; fixed with try/finally Free and no behavior, serialization, namespace, type, or file-location changes.</t>
  </si>
  <si>
    <t>RB-05027</t>
  </si>
  <si>
    <t>P10-F05027</t>
  </si>
  <si>
    <t>Data/Scripts/Mobiles/Unique/TitanStratos.cs</t>
  </si>
  <si>
    <t>PHD-339</t>
  </si>
  <si>
    <t>Replaced direct foreach over this.GetMobilesInRange(30) with IPooledEnumerable plus try/finally Free while preserving TitanStratos initial death-gate checks.</t>
  </si>
  <si>
    <t>Data/Scripts/Mobiles/Unique/TitanStratos.cs:127-154</t>
  </si>
  <si>
    <t>Confirmed pooled enumerable ownership leak in TitanStratos initial death-gate scan; fixed with try/finally Free and no behavior, serialization, namespace, type, or file-location changes.</t>
  </si>
  <si>
    <t>RB-05028</t>
  </si>
  <si>
    <t>P10-F05028</t>
  </si>
  <si>
    <t>PHD-340</t>
  </si>
  <si>
    <t>Replaced fallback direct foreach over this.GetMobilesInRange(30) with IPooledEnumerable plus try/finally Free while preserving TitanStratos kill-permission checks.</t>
  </si>
  <si>
    <t>Data/Scripts/Mobiles/Unique/TitanStratos.cs:158-184</t>
  </si>
  <si>
    <t>Confirmed pooled enumerable ownership leak in TitanStratos fallback death-gate scan; fixed with try/finally Free and no behavior, serialization, namespace, type, or file-location changes.</t>
  </si>
  <si>
    <t>RB-05029</t>
  </si>
  <si>
    <t>P10-F05029</t>
  </si>
  <si>
    <t>Mobiles:Unusual</t>
  </si>
  <si>
    <t>Data/Scripts/Mobiles/Unusual/BloodGodTentacles.cs</t>
  </si>
  <si>
    <t>POST-BATCH-D-65A</t>
  </si>
  <si>
    <t>PHD-341</t>
  </si>
  <si>
    <t>Replaced direct foreach over m_Owner.GetMobilesInRange(9) with IPooledEnumerable plus try/finally Free while preserving drain target collection.</t>
  </si>
  <si>
    <t>Data/Scripts/Mobiles/Unusual/BloodGodTentacles.cs:189-212</t>
  </si>
  <si>
    <t>Recorded by current POST-BATCH-D-65A source/audit commit</t>
  </si>
  <si>
    <t>2026-06-08T21:47:31.4004585-05:00</t>
  </si>
  <si>
    <t>Confirmed pooled enumerable ownership leak in BloodGodTentacles drain target scan; fixed with try/finally Free and no behavior, serialization, namespace, type, or file-location changes.</t>
  </si>
  <si>
    <t>RB-05030</t>
  </si>
  <si>
    <t>P10-F05030</t>
  </si>
  <si>
    <t>Data/Scripts/Mobiles/Unusual/GorgonRiding.cs</t>
  </si>
  <si>
    <t>PHD-342</t>
  </si>
  <si>
    <t>Data/Scripts/Mobiles/Unusual/GorgonRiding.cs:62-85</t>
  </si>
  <si>
    <t>Confirmed pooled enumerable ownership leak in GorgonRiding petrification target scan; fixed with try/finally Free and no behavior, serialization, namespace, type, or file-location changes.</t>
  </si>
  <si>
    <t>RB-05031</t>
  </si>
  <si>
    <t>P10-F05031</t>
  </si>
  <si>
    <t>Data/Scripts/Mobiles/Unusual/Kuthulu.cs</t>
  </si>
  <si>
    <t>PHD-343</t>
  </si>
  <si>
    <t>Replaced direct foreach over m_Owner.GetMobilesInRange(16) with IPooledEnumerable plus try/finally Free while preserving first valid teleport target selection.</t>
  </si>
  <si>
    <t>Data/Scripts/Mobiles/Unusual/Kuthulu.cs:199-219</t>
  </si>
  <si>
    <t>Confirmed pooled enumerable ownership leak in Kuthulu teleport target scan; fixed with try/finally Free and no behavior, serialization, namespace, type, or file-location changes.</t>
  </si>
  <si>
    <t>RB-05032</t>
  </si>
  <si>
    <t>P10-F05032</t>
  </si>
  <si>
    <t>Data/Scripts/Mobiles/Unusual/Roper.cs</t>
  </si>
  <si>
    <t>PHD-344</t>
  </si>
  <si>
    <t>Data/Scripts/Mobiles/Unusual/Roper.cs:142-162</t>
  </si>
  <si>
    <t>Confirmed pooled enumerable ownership leak in Roper teleport target scan; fixed with try/finally Free and no behavior, serialization, namespace, type, or file-location changes.</t>
  </si>
  <si>
    <t>RB-05033</t>
  </si>
  <si>
    <t>P10-F05033</t>
  </si>
  <si>
    <t>Data/Scripts/Mobiles/Unusual/SoulSucker.cs</t>
  </si>
  <si>
    <t>PHD-345</t>
  </si>
  <si>
    <t>Data/Scripts/Mobiles/Unusual/SoulSucker.cs:64-87</t>
  </si>
  <si>
    <t>Confirmed pooled enumerable ownership leak in SoulSucker drain-life target scan; fixed with try/finally Free and no behavior, serialization, namespace, type, or file-location changes.</t>
  </si>
  <si>
    <t>RB-05034</t>
  </si>
  <si>
    <t>P10-F05034</t>
  </si>
  <si>
    <t>Data/Scripts/Mobiles/Unusual/StoneRoper.cs</t>
  </si>
  <si>
    <t>PHD-346</t>
  </si>
  <si>
    <t>Data/Scripts/Mobiles/Unusual/StoneRoper.cs:152-172</t>
  </si>
  <si>
    <t>Confirmed pooled enumerable ownership leak in StoneRoper teleport target scan; fixed with try/finally Free and no behavior, serialization, namespace, type, or file-location changes.</t>
  </si>
  <si>
    <t>RB-05035</t>
  </si>
  <si>
    <t>P10-F05035</t>
  </si>
  <si>
    <t>Data/Scripts/Mobiles/Unusual/Xenomorph.cs</t>
  </si>
  <si>
    <t>PHD-347</t>
  </si>
  <si>
    <t>Replaced direct foreach over this.GetItemsInRange(10) with IPooledEnumerable plus try/finally Free while preserving alien blood splatter counting.</t>
  </si>
  <si>
    <t>Data/Scripts/Mobiles/Unusual/Xenomorph.cs:92-105</t>
  </si>
  <si>
    <t>Confirmed pooled enumerable ownership leak in Xenomorph splatter-count scan; fixed with try/finally Free and no behavior, serialization, namespace, type, or file-location changes.</t>
  </si>
  <si>
    <t>RB-05036</t>
  </si>
  <si>
    <t>P10-F05036</t>
  </si>
  <si>
    <t>PHD-348</t>
  </si>
  <si>
    <t>Replaced direct foreach over this.GetMobilesInRange(1) with IPooledEnumerable plus try/finally Free while preserving nearby-attacker detection.</t>
  </si>
  <si>
    <t>Data/Scripts/Mobiles/Unusual/Xenomorph.cs:133-146</t>
  </si>
  <si>
    <t>Confirmed pooled enumerable ownership leak in Xenomorph nearby-attacker scan; fixed with try/finally Free and no behavior, serialization, namespace, type, or file-location changes.</t>
  </si>
  <si>
    <t>RB-05037</t>
  </si>
  <si>
    <t>P10-F05037</t>
  </si>
  <si>
    <t>Data/Scripts/Mobiles/Unusual/Xenomutant.cs</t>
  </si>
  <si>
    <t>PHD-349</t>
  </si>
  <si>
    <t>Data/Scripts/Mobiles/Unusual/Xenomutant.cs:137-150</t>
  </si>
  <si>
    <t>Confirmed pooled enumerable ownership leak in Xenomutant splatter-count scan; fixed with try/finally Free and no behavior, serialization, namespace, type, or file-location changes.</t>
  </si>
  <si>
    <t>RB-05038</t>
  </si>
  <si>
    <t>P10-F05038</t>
  </si>
  <si>
    <t>PHD-350</t>
  </si>
  <si>
    <t>Data/Scripts/Mobiles/Unusual/Xenomutant.cs:178-191</t>
  </si>
  <si>
    <t>Confirmed pooled enumerable ownership leak in Xenomutant nearby-attacker scan; fixed with try/finally Free and no behavior, serialization, namespace, type, or file-location changes.</t>
  </si>
  <si>
    <t>RB-05039</t>
  </si>
  <si>
    <t>P10-F05039</t>
  </si>
  <si>
    <t>Data/Scripts/Mobiles/Unusual/Xorn.cs</t>
  </si>
  <si>
    <t>PHD-351</t>
  </si>
  <si>
    <t>Replaced direct foreach over this.GetMobilesInRange(2) with IPooledEnumerable plus try/finally Free while preserving gold-carrier target collection.</t>
  </si>
  <si>
    <t>Data/Scripts/Mobiles/Unusual/Xorn.cs:74-87</t>
  </si>
  <si>
    <t>Confirmed pooled enumerable ownership leak in Xorn gold-carrier target scan; fixed with try/finally Free and no behavior, serialization, namespace, type, or file-location changes.</t>
  </si>
  <si>
    <t>RB-05040</t>
  </si>
  <si>
    <t>P10-F05040</t>
  </si>
  <si>
    <t>Quests:Frankenstein</t>
  </si>
  <si>
    <t>Data/Scripts/Quests/Frankenstein/FrankenJournal.cs</t>
  </si>
  <si>
    <t>POST-BATCH-D-66A</t>
  </si>
  <si>
    <t>PHD-352</t>
  </si>
  <si>
    <t>Replaced direct foreach over m_From.GetItemsInRange(10) with IPooledEnumerable plus try/finally Free while preserving power-coil proximity and location selection.</t>
  </si>
  <si>
    <t>Data/Scripts/Quests/Frankenstein/FrankenJournal.cs:382-396</t>
  </si>
  <si>
    <t>Recorded by current POST-BATCH-D-66A source/audit commit</t>
  </si>
  <si>
    <t>2026-06-08T21:57:00.4564829-05:00</t>
  </si>
  <si>
    <t>Confirmed pooled enumerable ownership leak in Frankenstein power-coil proximity scan; fixed with try/finally Free and no behavior, serialization, namespace, type, or file-location changes.</t>
  </si>
  <si>
    <t>RB-05041</t>
  </si>
  <si>
    <t>P10-F05041</t>
  </si>
  <si>
    <t>Quests:Hoard</t>
  </si>
  <si>
    <t>Data/Scripts/Quests/Hoard/HoardSpawner.cs</t>
  </si>
  <si>
    <t>PHD-353</t>
  </si>
  <si>
    <t>Replaced direct foreach over from.GetMobilesInRange(15) with IPooledEnumerable plus try/finally Free while preserving stronger-creature detection.</t>
  </si>
  <si>
    <t>Data/Scripts/Quests/Hoard/HoardSpawner.cs:75-93</t>
  </si>
  <si>
    <t>Confirmed pooled enumerable ownership leak in Hoard stronger-creature scan; fixed with try/finally Free and no behavior, serialization, namespace, type, or file-location changes.</t>
  </si>
  <si>
    <t>RB-05042</t>
  </si>
  <si>
    <t>P10-F05042</t>
  </si>
  <si>
    <t>PHD-354</t>
  </si>
  <si>
    <t>Replaced direct foreach over from.GetItemsInRange(15) with IPooledEnumerable plus try/finally Free while preserving HoardTile target collection.</t>
  </si>
  <si>
    <t>Data/Scripts/Quests/Hoard/HoardSpawner.cs:98-111</t>
  </si>
  <si>
    <t>Confirmed pooled enumerable ownership leak in HoardTile collection scan; fixed with try/finally Free and no behavior, serialization, namespace, type, or file-location changes.</t>
  </si>
  <si>
    <t>RB-05043</t>
  </si>
  <si>
    <t>P10-F05043</t>
  </si>
  <si>
    <t>PHD-355</t>
  </si>
  <si>
    <t>Replaced direct foreach over from.GetItemsInRange(1) with IPooledEnumerable plus try/finally Free while preserving existing-hoard detection.</t>
  </si>
  <si>
    <t>Data/Scripts/Quests/Hoard/HoardSpawner.cs:123-136</t>
  </si>
  <si>
    <t>Confirmed pooled enumerable ownership leak in HoardPiles existing-loot scan; fixed with try/finally Free and no behavior, serialization, namespace, type, or file-location changes.</t>
  </si>
  <si>
    <t>RB-05044</t>
  </si>
  <si>
    <t>P10-F05044</t>
  </si>
  <si>
    <t>Quests:Search</t>
  </si>
  <si>
    <t>Data/Scripts/Quests/Search/SearchBase.cs</t>
  </si>
  <si>
    <t>PHD-356</t>
  </si>
  <si>
    <t>Replaced direct foreach over this.GetMobilesInRange(5) with IPooledEnumerable plus try/finally Free while preserving nearby monster count logic.</t>
  </si>
  <si>
    <t>Data/Scripts/Quests/Search/SearchBase.cs:412-430</t>
  </si>
  <si>
    <t>Confirmed pooled enumerable ownership leak in SearchBase nearby-monster scan; fixed with try/finally Free and no behavior, serialization, namespace, type, or file-location changes.</t>
  </si>
  <si>
    <t>RB-05045</t>
  </si>
  <si>
    <t>P10-F05045</t>
  </si>
  <si>
    <t>Quests:Shadowlords</t>
  </si>
  <si>
    <t>Data/Scripts/Quests/Shadowlords/BalinorTeleporter.cs</t>
  </si>
  <si>
    <t>PHD-357</t>
  </si>
  <si>
    <t>Replaced direct foreach over this.GetMobilesInRange(30) with IPooledEnumerable plus try/finally Free while preserving Balinor blocking behavior.</t>
  </si>
  <si>
    <t>Data/Scripts/Quests/Shadowlords/BalinorTeleporter.cs:29-43</t>
  </si>
  <si>
    <t>Confirmed pooled enumerable ownership leak in Balinor protection scan; fixed with try/finally Free and no behavior, serialization, namespace, type, or file-location changes.</t>
  </si>
  <si>
    <t>RB-05046</t>
  </si>
  <si>
    <t>P10-F05046</t>
  </si>
  <si>
    <t>PHD-358</t>
  </si>
  <si>
    <t>Replaced direct foreach over from.GetItemsInRange(10) with IPooledEnumerable plus try/finally Free while preserving PremiumSpawner location override behavior.</t>
  </si>
  <si>
    <t>Data/Scripts/Quests/Summon/SummonPrison.cs:410-423</t>
  </si>
  <si>
    <t>Confirmed pooled enumerable ownership leak in SummonPrison PremiumSpawner scan; fixed with try/finally Free and no behavior, serialization, namespace, type, or file-location changes.</t>
  </si>
  <si>
    <t>RB-05047</t>
  </si>
  <si>
    <t>P10-F05047</t>
  </si>
  <si>
    <t>Quests:Thief</t>
  </si>
  <si>
    <t>Data/Scripts/Quests/Thief/Coffer.cs</t>
  </si>
  <si>
    <t>PHD-359</t>
  </si>
  <si>
    <t>Replaced direct foreach over coffer.GetMobilesInRange(20) with IPooledEnumerable plus try/finally Free while preserving nearby-town detection.</t>
  </si>
  <si>
    <t>Data/Scripts/Quests/Thief/Coffer.cs:268-284</t>
  </si>
  <si>
    <t>Confirmed pooled enumerable ownership leak in Coffer nearby-town scan; fixed with try/finally Free and no behavior, serialization, namespace, type, or file-location changes.</t>
  </si>
  <si>
    <t>RB-05048</t>
  </si>
  <si>
    <t>P10-F05048</t>
  </si>
  <si>
    <t>Data/Scripts/Quests/Thief/HayCrate.cs</t>
  </si>
  <si>
    <t>PHD-360</t>
  </si>
  <si>
    <t>Replaced direct foreach over hay.GetMobilesInRange(200) with IPooledEnumerable plus try/finally Free while preserving nearby-town detection.</t>
  </si>
  <si>
    <t>Data/Scripts/Quests/Thief/HayCrate.cs:43-66</t>
  </si>
  <si>
    <t>Confirmed pooled enumerable ownership leak in HayCrate nearby-town scan; fixed with try/finally Free and no behavior, serialization, namespace, type, or file-location changes.</t>
  </si>
  <si>
    <t>RB-05049</t>
  </si>
  <si>
    <t>P10-F05049</t>
  </si>
  <si>
    <t>Data/Scripts/Quests/Thief/HollowStump.cs</t>
  </si>
  <si>
    <t>PHD-361</t>
  </si>
  <si>
    <t>Replaced direct foreach over stump.GetMobilesInRange(200) with IPooledEnumerable plus try/finally Free while preserving nearby-town detection.</t>
  </si>
  <si>
    <t>Data/Scripts/Quests/Thief/HollowStump.cs:44-67</t>
  </si>
  <si>
    <t>Confirmed pooled enumerable ownership leak in HollowStump nearby-town scan; fixed with try/finally Free and no behavior, serialization, namespace, type, or file-location changes.</t>
  </si>
  <si>
    <t>RB-05050</t>
  </si>
  <si>
    <t>P10-F05050</t>
  </si>
  <si>
    <t>Quests:Underworld</t>
  </si>
  <si>
    <t>Data/Scripts/Quests/Underworld/SkullOfBaron Almric.cs</t>
  </si>
  <si>
    <t>PHD-362</t>
  </si>
  <si>
    <t>Replaced direct foreach over from.GetItemsInRange(20) with IPooledEnumerable plus try/finally Free while preserving rune-gate collection.</t>
  </si>
  <si>
    <t>Data/Scripts/Quests/Underworld/SkullOfBaron Almric.cs:39-53</t>
  </si>
  <si>
    <t>Confirmed pooled enumerable ownership leak in SkullOfBaronAlmric rune-gate scan; fixed with try/finally Free and no behavior, serialization, namespace, type, or file-location changes.</t>
  </si>
  <si>
    <t>RB-05051</t>
  </si>
  <si>
    <t>P10-F05051</t>
  </si>
  <si>
    <t>System:Commands</t>
  </si>
  <si>
    <t>Data/Scripts/System/Commands/Handlers.cs</t>
  </si>
  <si>
    <t>POST-BATCH-D-67A</t>
  </si>
  <si>
    <t>PHD-363</t>
  </si>
  <si>
    <t>Replaced direct foreach over m.GetItemsInRange(0) with IPooledEnumerable plus try/finally Free while preserving banker spawner detection and early break.</t>
  </si>
  <si>
    <t>Data/Scripts/System/Commands/Handlers.cs:520-542</t>
  </si>
  <si>
    <t>Recorded by current POST-BATCH-D-67A source/audit commit</t>
  </si>
  <si>
    <t>2026-06-08T22:03:27.7088717-05:00</t>
  </si>
  <si>
    <t>Confirmed pooled enumerable ownership leak in command banker-spawner scan; fixed with try/finally Free and no behavior, serialization, namespace, type, or file-location changes.</t>
  </si>
  <si>
    <t>RB-05052</t>
  </si>
  <si>
    <t>P10-F05052</t>
  </si>
  <si>
    <t>PHD-364</t>
  </si>
  <si>
    <t>Replaced direct foreach over m.GetClientsInRange(12) with IPooledEnumerable plus try/finally Free while preserving packet send visibility checks.</t>
  </si>
  <si>
    <t>Data/Scripts/System/Commands/Handlers.cs:728-739</t>
  </si>
  <si>
    <t>Confirmed pooled enumerable ownership leak in command client broadcast scan; fixed with try/finally Free and no behavior, serialization, namespace, type, or file-location changes.</t>
  </si>
  <si>
    <t>RB-05053</t>
  </si>
  <si>
    <t>P10-F05053</t>
  </si>
  <si>
    <t>Data/Scripts/System/Commands/Player/CorpseSearch.cs</t>
  </si>
  <si>
    <t>PHD-365</t>
  </si>
  <si>
    <t>Replaced direct foreach over from.GetItemsInRange(range) with IPooledEnumerable plus try/finally Free while preserving owned corpse filtering and nearest-corpse selection.</t>
  </si>
  <si>
    <t>Data/Scripts/System/Commands/Player/CorpseSearch.cs:59-98</t>
  </si>
  <si>
    <t>Confirmed pooled enumerable ownership leak in CorpseSearch corpse scan; fixed with try/finally Free and no behavior, serialization, namespace, type, or file-location changes.</t>
  </si>
  <si>
    <t>RB-05054</t>
  </si>
  <si>
    <t>P10-F05054</t>
  </si>
  <si>
    <t>Data/Scripts/System/Commands/Player/MoonSearch.cs</t>
  </si>
  <si>
    <t>PHD-366</t>
  </si>
  <si>
    <t>Replaced direct foreach over from.GetItemsInRange(range) with IPooledEnumerable plus try/finally Free while preserving moongate filtering and nearest-gate selection.</t>
  </si>
  <si>
    <t>Data/Scripts/System/Commands/Player/MoonSearch.cs:58-81</t>
  </si>
  <si>
    <t>Confirmed pooled enumerable ownership leak in MoonSearch moongate scan; fixed with try/finally Free and no behavior, serialization, namespace, type, or file-location changes.</t>
  </si>
  <si>
    <t>RB-05055</t>
  </si>
  <si>
    <t>P10-F05055</t>
  </si>
  <si>
    <t>Data/Scripts/System/Misc/Death.cs</t>
  </si>
  <si>
    <t>POST-BATCH-D-68A</t>
  </si>
  <si>
    <t>PHD-367</t>
  </si>
  <si>
    <t>Replaced direct foreach over from.GetMobilesInRange(range) with IPooledEnumerable plus try/finally Free while preserving healer eligibility and nearest-healer selection.</t>
  </si>
  <si>
    <t>Data/Scripts/System/Misc/Death.cs:892-934</t>
  </si>
  <si>
    <t>Recorded by current POST-BATCH-D-68A source/audit commit</t>
  </si>
  <si>
    <t>2026-06-08T22:08:49.5055724-05:00</t>
  </si>
  <si>
    <t>Confirmed pooled enumerable ownership leak in death healer search scan; fixed with try/finally Free and no behavior, serialization, namespace, type, or file-location changes.</t>
  </si>
  <si>
    <t>RB-05056</t>
  </si>
  <si>
    <t>P10-F05056</t>
  </si>
  <si>
    <t>PHD-368</t>
  </si>
  <si>
    <t>Replaced direct foreach over from.GetItemsInRange(range) with IPooledEnumerable plus try/finally Free while preserving shrine eligibility and nearest-shrine selection.</t>
  </si>
  <si>
    <t>Data/Scripts/System/Misc/Death.cs:939-989</t>
  </si>
  <si>
    <t>Confirmed pooled enumerable ownership leak in death shrine search scan; fixed with try/finally Free and no behavior, serialization, namespace, type, or file-location changes.</t>
  </si>
  <si>
    <t>RB-05057</t>
  </si>
  <si>
    <t>P10-F05057</t>
  </si>
  <si>
    <t>Data/Scripts/System/Misc/Party.cs</t>
  </si>
  <si>
    <t>PHD-369</t>
  </si>
  <si>
    <t>Replaced direct foreach over from.GetClientsInRange(8) with IPooledEnumerable plus try/finally Free while preserving staff listener filtering and packet send behavior.</t>
  </si>
  <si>
    <t>Data/Scripts/System/Misc/Party.cs:689-724</t>
  </si>
  <si>
    <t>Confirmed pooled enumerable ownership leak in party staff-message client scan; fixed with try/finally Free and no behavior, serialization, namespace, type, or file-location changes.</t>
  </si>
  <si>
    <t>RB-05058</t>
  </si>
  <si>
    <t>P10-F05058</t>
  </si>
  <si>
    <t>PHD-370</t>
  </si>
  <si>
    <t>Replaced direct foreach over m.GetItemsInRange(10) with IPooledEnumerable plus try/finally Free while preserving PremiumSpawner activation behavior.</t>
  </si>
  <si>
    <t>Data/Scripts/System/Misc/Spawning.cs:1468-1482</t>
  </si>
  <si>
    <t>Confirmed pooled enumerable ownership leak in PremiumSpawner activation scan; fixed with try/finally Free and no behavior, serialization, namespace, type, or file-location changes.</t>
  </si>
  <si>
    <t>RB-05059</t>
  </si>
  <si>
    <t>P10-F05059</t>
  </si>
  <si>
    <t>Data/Scripts/System/Misc/World.cs</t>
  </si>
  <si>
    <t>PHD-371</t>
  </si>
  <si>
    <t>Replaced direct foreach over m.GetItemsInRange(15) with IPooledEnumerable plus try/finally Free while preserving TillerMan boat detection.</t>
  </si>
  <si>
    <t>Data/Scripts/System/Misc/World.cs:709-726</t>
  </si>
  <si>
    <t>Confirmed pooled enumerable ownership leak in mobile boat detection scan; fixed with try/finally Free and no behavior, serialization, namespace, type, or file-location changes.</t>
  </si>
  <si>
    <t>RB-05060</t>
  </si>
  <si>
    <t>P10-F05060</t>
  </si>
  <si>
    <t>PHD-372</t>
  </si>
  <si>
    <t>Replaced direct foreach over i.GetItemsInRange(15) with IPooledEnumerable plus try/finally Free while preserving TillerMan boat detection.</t>
  </si>
  <si>
    <t>Data/Scripts/System/Misc/World.cs:739-756</t>
  </si>
  <si>
    <t>Confirmed pooled enumerable ownership leak in item boat detection scan; fixed with try/finally Free and no behavior, serialization, namespace, type, or file-location changes.</t>
  </si>
  <si>
    <t>RB-05061</t>
  </si>
  <si>
    <t>P10-F05061</t>
  </si>
  <si>
    <t>PHD-373</t>
  </si>
  <si>
    <t>Replaced direct foreach over m.GetMobilesInRange(50) with IPooledEnumerable plus try/finally Free while preserving town proximity early return behavior.</t>
  </si>
  <si>
    <t>Data/Scripts/System/Misc/World.cs:763-776</t>
  </si>
  <si>
    <t>Confirmed pooled enumerable ownership leak in boat-town proximity scan; fixed with try/finally Free and no behavior, serialization, namespace, type, or file-location changes.</t>
  </si>
  <si>
    <t>RB-05062</t>
  </si>
  <si>
    <t>P10-F05062</t>
  </si>
  <si>
    <t>POST-BATCH-D-69A</t>
  </si>
  <si>
    <t>PHD-374</t>
  </si>
  <si>
    <t>Replaced direct foreach over m.GetItemsInRange(p, 0) with IPooledEnumerable plus try/finally Free while preserving same-faction trap placement rejection.</t>
  </si>
  <si>
    <t>Data/Scripts/System/Obsolete/Obsolete.cs:2296-2307</t>
  </si>
  <si>
    <t>Recorded by current POST-BATCH-D-69A source/audit commit</t>
  </si>
  <si>
    <t>2026-06-08T22:19:47.7829353-05:00</t>
  </si>
  <si>
    <t>Confirmed pooled enumerable ownership leak in faction trap location scan; fixed with try/finally Free and no behavior, serialization, namespace, type, or file-location changes.</t>
  </si>
  <si>
    <t>RB-05063</t>
  </si>
  <si>
    <t>P10-F05063</t>
  </si>
  <si>
    <t>PHD-375</t>
  </si>
  <si>
    <t>Replaced direct foreach over from.Mobile.GetMobilesInRange(6) with IPooledEnumerable plus try/finally Free while preserving bless target filtering and effect application.</t>
  </si>
  <si>
    <t>Data/Scripts/System/Obsolete/Obsolete.cs:3577-3605</t>
  </si>
  <si>
    <t>Confirmed pooled enumerable ownership leak in Holy Bless area scan; fixed with try/finally Free and no behavior, serialization, namespace, type, or file-location changes.</t>
  </si>
  <si>
    <t>RB-05064</t>
  </si>
  <si>
    <t>P10-F05064</t>
  </si>
  <si>
    <t>PHD-376</t>
  </si>
  <si>
    <t>Replaced direct foreach over from.Mobile.GetMobilesInRange(6) with IPooledEnumerable plus try/finally Free while preserving curse target filtering and harmful effect application.</t>
  </si>
  <si>
    <t>Data/Scripts/System/Obsolete/Obsolete.cs:3669-3697</t>
  </si>
  <si>
    <t>Confirmed pooled enumerable ownership leak in Holy Curse area scan; fixed with try/finally Free and no behavior, serialization, namespace, type, or file-location changes.</t>
  </si>
  <si>
    <t>RB-05065</t>
  </si>
  <si>
    <t>P10-F05065</t>
  </si>
  <si>
    <t>PHD-377</t>
  </si>
  <si>
    <t>Replaced direct foreach over e.Mobile.GetItemsInRange(2) with IPooledEnumerable plus try/finally Free while preserving ankh detection and first-match break behavior.</t>
  </si>
  <si>
    <t>Data/Scripts/System/Obsolete/Obsolete.cs:9950-9964</t>
  </si>
  <si>
    <t>Confirmed pooled enumerable ownership leak in Ethics ankh proximity scan; fixed with try/finally Free and no behavior, serialization, namespace, type, or file-location changes.</t>
  </si>
  <si>
    <t>RB-05066</t>
  </si>
  <si>
    <t>P10-F05066</t>
  </si>
  <si>
    <t>PHD-378</t>
  </si>
  <si>
    <t>Replaced direct foreach over facet.GetItemsInRange(loc, 0) with IPooledEnumerable plus try/finally Free while preserving existing-type early return behavior.</t>
  </si>
  <si>
    <t>Data/Scripts/System/Obsolete/Obsolete.cs:15487-15498</t>
  </si>
  <si>
    <t>Confirmed pooled enumerable ownership leak in faction stronghold existence scan; fixed with try/finally Free and no behavior, serialization, namespace, type, or file-location changes.</t>
  </si>
  <si>
    <t>RB-05067</t>
  </si>
  <si>
    <t>P10-F05067</t>
  </si>
  <si>
    <t>PHD-379</t>
  </si>
  <si>
    <t>Replaced direct foreach over this.GetItemsInRange(10) with IPooledEnumerable plus try/finally Free while preserving glowing-goo counting behavior.</t>
  </si>
  <si>
    <t>Data/Scripts/System/Obsolete/Obsolete.cs:15562-15575</t>
  </si>
  <si>
    <t>Confirmed pooled enumerable ownership leak in glowing-goo splatter count; fixed with try/finally Free and no behavior, serialization, namespace, type, or file-location changes.</t>
  </si>
  <si>
    <t>RB-05068</t>
  </si>
  <si>
    <t>P10-F05068</t>
  </si>
  <si>
    <t>PHD-380</t>
  </si>
  <si>
    <t>Replaced direct foreach over this.GetMobilesInRange(2) with IPooledEnumerable plus try/finally Free while preserving target collection and later petrification behavior.</t>
  </si>
  <si>
    <t>Data/Scripts/System/Obsolete/Obsolete.cs:15770-15793</t>
  </si>
  <si>
    <t>Confirmed pooled enumerable ownership leak in obsolete TurnStone scan; fixed with try/finally Free and no behavior, serialization, namespace, type, or file-location changes.</t>
  </si>
  <si>
    <t>RB-05069</t>
  </si>
  <si>
    <t>P10-F05069</t>
  </si>
  <si>
    <t>PHD-381</t>
  </si>
  <si>
    <t>Replaced direct foreach over m_Mobile.GetMobilesInRange(12) with IPooledEnumerable plus try/finally Free while preserving active/inactive dispel target prioritization.</t>
  </si>
  <si>
    <t>Data/Scripts/System/Obsolete/Obsolete.cs:17310-17338</t>
  </si>
  <si>
    <t>Confirmed pooled enumerable ownership leak in dispel target acquisition scan; fixed with try/finally Free and no behavior, serialization, namespace, type, or file-location changes.</t>
  </si>
  <si>
    <t>RB-05070</t>
  </si>
  <si>
    <t>P10-F05070</t>
  </si>
  <si>
    <t>PHD-382</t>
  </si>
  <si>
    <t>Data/Scripts/System/Obsolete/Obsolete.cs:36326-36349</t>
  </si>
  <si>
    <t>Confirmed pooled enumerable ownership leak in obsolete Sphinx TurnStone scan; fixed with try/finally Free and no behavior, serialization, namespace, type, or file-location changes.</t>
  </si>
  <si>
    <t>RB-05071</t>
  </si>
  <si>
    <t>P10-F05071</t>
  </si>
  <si>
    <t>PHD-383</t>
  </si>
  <si>
    <t>Replaced direct foreach over from.GetItemsInRange(10) with IPooledEnumerable plus try/finally Free while preserving nearby-book detection.</t>
  </si>
  <si>
    <t>Data/Scripts/System/Obsolete/Obsolete.cs:37767-37780</t>
  </si>
  <si>
    <t>Confirmed pooled enumerable ownership leak in SalesBook near-book scan; fixed with try/finally Free and no behavior, serialization, namespace, type, or file-location changes.</t>
  </si>
  <si>
    <t>RB-05072</t>
  </si>
  <si>
    <t>P10-F05072</t>
  </si>
  <si>
    <t>PHD-384</t>
  </si>
  <si>
    <t>Replaced direct foreach over from.GetMobilesInRange(10) with IPooledEnumerable plus try/finally Free while preserving vendor speech selection and OneSay behavior.</t>
  </si>
  <si>
    <t>Data/Scripts/System/Obsolete/Obsolete.cs:37846-37978</t>
  </si>
  <si>
    <t>Confirmed pooled enumerable ownership leak in SalesBook purchase vendor speech scan; fixed with try/finally Free and no behavior, serialization, namespace, type, or file-location changes.</t>
  </si>
  <si>
    <t>RB-05073</t>
  </si>
  <si>
    <t>P10-F05073</t>
  </si>
  <si>
    <t>PHD-385</t>
  </si>
  <si>
    <t>Replaced direct foreach over from.GetMobilesInRange(10) with IPooledEnumerable plus try/finally Free while preserving no-gold vendor speech and NoGold behavior.</t>
  </si>
  <si>
    <t>Data/Scripts/System/Obsolete/Obsolete.cs:37985-38042</t>
  </si>
  <si>
    <t>Confirmed pooled enumerable ownership leak in SalesBook no-gold vendor speech scan; fixed with try/finally Free and no behavior, serialization, namespace, type, or file-location changes.</t>
  </si>
  <si>
    <t>RB-05074</t>
  </si>
  <si>
    <t>P10-F05074</t>
  </si>
  <si>
    <t>Data/Scripts/System/Obsolete/Sphinx.cs</t>
  </si>
  <si>
    <t>PHD-386</t>
  </si>
  <si>
    <t>Data/Scripts/System/Obsolete/Sphinx.cs:103-126</t>
  </si>
  <si>
    <t>Confirmed pooled enumerable ownership leak in Sphinx TurnStone scan; fixed with try/finally Free and no behavior, serialization, namespace, type, or file-location changes.</t>
  </si>
  <si>
    <t>RB-05075</t>
  </si>
  <si>
    <t>P10-F05075</t>
  </si>
  <si>
    <t>Data/Scripts/System/Regions/GuardedRegion.cs</t>
  </si>
  <si>
    <t>POST-BATCH-D-70A</t>
  </si>
  <si>
    <t>PHD-387</t>
  </si>
  <si>
    <t>Replaced direct foreach over m.GetMobilesInRange(8) with IPooledEnumerable plus try/finally Free while preserving nearest fake guard-caller selection.</t>
  </si>
  <si>
    <t>Data/Scripts/System/Regions/GuardedRegion.cs:317-345</t>
  </si>
  <si>
    <t>Recorded by current POST-BATCH-D-70A source/audit commit</t>
  </si>
  <si>
    <t>2026-06-08T22:26:22.1572402-05:00</t>
  </si>
  <si>
    <t>Confirmed pooled enumerable ownership leak in GuardedRegion guard-candidate neighbor scan; fixed with try/finally Free and no behavior, serialization, namespace, type, or file-location changes.</t>
  </si>
  <si>
    <t>RB-05076</t>
  </si>
  <si>
    <t>P10-F05076</t>
  </si>
  <si>
    <t>System:Skills</t>
  </si>
  <si>
    <t>Data/Scripts/System/Skills/Hiding.cs</t>
  </si>
  <si>
    <t>POST-BATCH-D-71A</t>
  </si>
  <si>
    <t>PHD-388</t>
  </si>
  <si>
    <t>Replaced direct foreach over m.GetMobilesInRange(range) with IPooledEnumerable plus try/finally Free while preserving combatant detection and first-match break behavior.</t>
  </si>
  <si>
    <t>Data/Scripts/System/Skills/Hiding.cs:85-100</t>
  </si>
  <si>
    <t>Recorded by current POST-BATCH-D-71A source/audit commit</t>
  </si>
  <si>
    <t>2026-06-08T22:30:50.7895053-05:00</t>
  </si>
  <si>
    <t>Confirmed pooled enumerable ownership leak in hiding combat scan; fixed with try/finally Free and no behavior, serialization, namespace, type, or file-location changes.</t>
  </si>
  <si>
    <t>RB-05077</t>
  </si>
  <si>
    <t>P10-F05077</t>
  </si>
  <si>
    <t>Data/Scripts/System/Skills/Peacemaking.cs</t>
  </si>
  <si>
    <t>PHD-389</t>
  </si>
  <si>
    <t>Replaced direct foreach over from.GetMobilesInRange(range) with IPooledEnumerable plus try/finally Free while preserving area peace filters and pacify duration behavior.</t>
  </si>
  <si>
    <t>Data/Scripts/System/Skills/Peacemaking.cs:108-136</t>
  </si>
  <si>
    <t>Confirmed pooled enumerable ownership leak in peacemaking area scan; fixed with try/finally Free and no behavior, serialization, namespace, type, or file-location changes.</t>
  </si>
  <si>
    <t>RB-05078</t>
  </si>
  <si>
    <t>P10-F05078</t>
  </si>
  <si>
    <t>Data/Scripts/System/Skills/Spiritualism.cs</t>
  </si>
  <si>
    <t>PHD-390</t>
  </si>
  <si>
    <t>Replaced direct foreach over Caster.GetItemsInRange(3) with IPooledEnumerable plus try/finally Free while preserving corpse eligibility and first-match break behavior.</t>
  </si>
  <si>
    <t>Data/Scripts/System/Skills/Spiritualism.cs:168-187</t>
  </si>
  <si>
    <t>Confirmed pooled enumerable ownership leak in Spiritualism corpse scan; fixed with try/finally Free and no behavior, serialization, namespace, type, or file-location changes.</t>
  </si>
  <si>
    <t>RB-05079</t>
  </si>
  <si>
    <t>P10-F05079</t>
  </si>
  <si>
    <t>Data/Scripts/System/Skills/Stealing.cs</t>
  </si>
  <si>
    <t>PHD-391</t>
  </si>
  <si>
    <t>Replaced direct foreach over m_Thief.GetMobilesInRange(10) with IPooledEnumerable plus try/finally Free while preserving vendor visibility checks and thief overhead speech.</t>
  </si>
  <si>
    <t>Data/Scripts/System/Skills/Stealing.cs:246-265</t>
  </si>
  <si>
    <t>Confirmed pooled enumerable ownership leak in stealing vendor witness scan; fixed with try/finally Free and no behavior, serialization, namespace, type, or file-location changes.</t>
  </si>
  <si>
    <t>RB-05080</t>
  </si>
  <si>
    <t>P10-F05080</t>
  </si>
  <si>
    <t>PHD-392</t>
  </si>
  <si>
    <t>Replaced direct foreach over m_Thief.GetClientsInRange(8) with IPooledEnumerable plus try/finally Free while preserving nearby notice delivery.</t>
  </si>
  <si>
    <t>Data/Scripts/System/Skills/Stealing.cs:492-503</t>
  </si>
  <si>
    <t>Confirmed pooled enumerable ownership leak in stealing nearby-client notice scan; fixed with try/finally Free and no behavior, serialization, namespace, type, or file-location changes.</t>
  </si>
  <si>
    <t>RB-05081</t>
  </si>
  <si>
    <t>P10-F05081</t>
  </si>
  <si>
    <t>Data/Scripts/System/Skills/Tracking.cs</t>
  </si>
  <si>
    <t>PHD-393</t>
  </si>
  <si>
    <t>Replaced direct foreach over from.GetMobilesInRange(range) with IPooledEnumerable plus try/finally Free while preserving land/region tracking filters and tracked target ordering input.</t>
  </si>
  <si>
    <t>Data/Scripts/System/Skills/Tracking.cs:573-619</t>
  </si>
  <si>
    <t>Confirmed pooled enumerable ownership leak in tracking target collection scan; fixed with try/finally Free and no behavior, serialization, namespace, type, or file-location changes.</t>
  </si>
  <si>
    <t>RB-05082</t>
  </si>
  <si>
    <t>P10-F05082</t>
  </si>
  <si>
    <t>Data/Scripts/System/Skills/Weapon Abilities/FrenziedWhirlwind.cs</t>
  </si>
  <si>
    <t>PHD-394</t>
  </si>
  <si>
    <t>Replaced direct foreach over attacker.GetMobilesInRange(1) with IPooledEnumerable plus try/finally Free while preserving target snapshot collection.</t>
  </si>
  <si>
    <t>Data/Scripts/System/Skills/Weapon Abilities/FrenziedWhirlwind.cs:51-59</t>
  </si>
  <si>
    <t>Confirmed pooled enumerable ownership leak in FrenziedWhirlwind target snapshot scan; fixed with try/finally Free and no behavior, serialization, namespace, type, or file-location changes.</t>
  </si>
  <si>
    <t>RB-05083</t>
  </si>
  <si>
    <t>P10-F05083</t>
  </si>
  <si>
    <t>Data/Scripts/System/Skills/Weapon Abilities/LightningArrow.cs</t>
  </si>
  <si>
    <t>PHD-395</t>
  </si>
  <si>
    <t>Replaced direct foreach over defender.GetMobilesInRange(1) with IPooledEnumerable plus try/finally Free while preserving target snapshot collection.</t>
  </si>
  <si>
    <t>Data/Scripts/System/Skills/Weapon Abilities/LightningArrow.cs:50-58</t>
  </si>
  <si>
    <t>Confirmed pooled enumerable ownership leak in LightningArrow target snapshot scan; fixed with try/finally Free and no behavior, serialization, namespace, type, or file-location changes.</t>
  </si>
  <si>
    <t>RB-05084</t>
  </si>
  <si>
    <t>P10-F05084</t>
  </si>
  <si>
    <t>Data/Scripts/System/Skills/Weapon Abilities/WhirlwindAttack.cs</t>
  </si>
  <si>
    <t>PHD-396</t>
  </si>
  <si>
    <t>Data/Scripts/System/Skills/Weapon Abilities/WhirlwindAttack.cs:45-53</t>
  </si>
  <si>
    <t>Confirmed pooled enumerable ownership leak in WhirlwindAttack target snapshot scan; fixed with try/finally Free and no behavior, serialization, namespace, type, or file-location changes.</t>
  </si>
  <si>
    <t>RB-05085</t>
  </si>
  <si>
    <t>P10-F05085</t>
  </si>
  <si>
    <t>Data/Scripts/System/Skills/Weapon Abilities/Extra/DoubleWhirlwindAttack.cs</t>
  </si>
  <si>
    <t>PHD-397</t>
  </si>
  <si>
    <t>Data/Scripts/System/Skills/Weapon Abilities/Extra/DoubleWhirlwindAttack.cs:39-47</t>
  </si>
  <si>
    <t>Confirmed pooled enumerable ownership leak in DoubleWhirlwindAttack target snapshot scan; fixed with try/finally Free and no behavior, serialization, namespace, type, or file-location changes.</t>
  </si>
  <si>
    <t>RB-05086</t>
  </si>
  <si>
    <t>P10-F05086</t>
  </si>
  <si>
    <t>Trades:Guild</t>
  </si>
  <si>
    <t>Data/Scripts/Trades/Guild/GuildCarpentry.cs</t>
  </si>
  <si>
    <t>POST-BATCH-D-72A</t>
  </si>
  <si>
    <t>PHD-398</t>
  </si>
  <si>
    <t>Replaced direct foreach over this.GetMobilesInRange(20) with IPooledEnumerable plus try/finally Free while preserving CarpenterGuildmaster authorization count.</t>
  </si>
  <si>
    <t>Data/Scripts/Trades/Guild/GuildCarpentry.cs:36-47</t>
  </si>
  <si>
    <t>Recorded by current POST-BATCH-D-72A source/audit commit</t>
  </si>
  <si>
    <t>2026-06-08T22:36:10.3289029-05:00</t>
  </si>
  <si>
    <t>Confirmed pooled enumerable ownership leak in GuildCarpentry guildmaster scan; fixed with try/finally Free and no behavior, serialization, namespace, type, or file-location changes.</t>
  </si>
  <si>
    <t>RB-05087</t>
  </si>
  <si>
    <t>P10-F05087</t>
  </si>
  <si>
    <t>PHD-399</t>
  </si>
  <si>
    <t>Replaced direct foreach over this.GetItemsInRange(20) with IPooledEnumerable plus try/finally Free while preserving owned CarpentryShoppe authorization count.</t>
  </si>
  <si>
    <t>Data/Scripts/Trades/Guild/GuildCarpentry.cs:50-66</t>
  </si>
  <si>
    <t>Confirmed pooled enumerable ownership leak in GuildCarpentry shoppe scan; fixed with try/finally Free and no behavior, serialization, namespace, type, or file-location changes.</t>
  </si>
  <si>
    <t>RB-05088</t>
  </si>
  <si>
    <t>P10-F05088</t>
  </si>
  <si>
    <t>Data/Scripts/Trades/Guild/GuildFletching.cs</t>
  </si>
  <si>
    <t>PHD-400</t>
  </si>
  <si>
    <t>Replaced direct foreach over this.GetMobilesInRange(20) with IPooledEnumerable plus try/finally Free while preserving ArcherGuildmaster authorization count.</t>
  </si>
  <si>
    <t>Data/Scripts/Trades/Guild/GuildFletching.cs:36-47</t>
  </si>
  <si>
    <t>Confirmed pooled enumerable ownership leak in GuildFletching guildmaster scan; fixed with try/finally Free and no behavior, serialization, namespace, type, or file-location changes.</t>
  </si>
  <si>
    <t>RB-05089</t>
  </si>
  <si>
    <t>P10-F05089</t>
  </si>
  <si>
    <t>PHD-401</t>
  </si>
  <si>
    <t>Replaced direct foreach over this.GetItemsInRange(20) with IPooledEnumerable plus try/finally Free while preserving owned BowyerShoppe authorization count.</t>
  </si>
  <si>
    <t>Data/Scripts/Trades/Guild/GuildFletching.cs:50-66</t>
  </si>
  <si>
    <t>Confirmed pooled enumerable ownership leak in GuildFletching shoppe scan; fixed with try/finally Free and no behavior, serialization, namespace, type, or file-location changes.</t>
  </si>
  <si>
    <t>RB-05090</t>
  </si>
  <si>
    <t>P10-F05090</t>
  </si>
  <si>
    <t>Data/Scripts/Trades/Guild/GuildHammer.cs</t>
  </si>
  <si>
    <t>PHD-402</t>
  </si>
  <si>
    <t>Replaced direct foreach over this.GetMobilesInRange(20) with IPooledEnumerable plus try/finally Free while preserving BlacksmithGuildmaster authorization count.</t>
  </si>
  <si>
    <t>Data/Scripts/Trades/Guild/GuildHammer.cs:35-46</t>
  </si>
  <si>
    <t>Confirmed pooled enumerable ownership leak in GuildHammer guildmaster scan; fixed with try/finally Free and no behavior, serialization, namespace, type, or file-location changes.</t>
  </si>
  <si>
    <t>RB-05091</t>
  </si>
  <si>
    <t>P10-F05091</t>
  </si>
  <si>
    <t>PHD-403</t>
  </si>
  <si>
    <t>Replaced direct foreach over this.GetItemsInRange(20) with IPooledEnumerable plus try/finally Free while preserving owned BlacksmithShoppe authorization count.</t>
  </si>
  <si>
    <t>Data/Scripts/Trades/Guild/GuildHammer.cs:49-65</t>
  </si>
  <si>
    <t>Confirmed pooled enumerable ownership leak in GuildHammer shoppe scan; fixed with try/finally Free and no behavior, serialization, namespace, type, or file-location changes.</t>
  </si>
  <si>
    <t>RB-05092</t>
  </si>
  <si>
    <t>P10-F05092</t>
  </si>
  <si>
    <t>Data/Scripts/Trades/Guild/GuildSewing.cs</t>
  </si>
  <si>
    <t>PHD-404</t>
  </si>
  <si>
    <t>Replaced direct foreach over this.GetMobilesInRange(20) with IPooledEnumerable plus try/finally Free while preserving TailorGuildmaster authorization count.</t>
  </si>
  <si>
    <t>Data/Scripts/Trades/Guild/GuildSewing.cs:40-51</t>
  </si>
  <si>
    <t>Confirmed pooled enumerable ownership leak in GuildSewing guildmaster scan; fixed with try/finally Free and no behavior, serialization, namespace, type, or file-location changes.</t>
  </si>
  <si>
    <t>RB-05093</t>
  </si>
  <si>
    <t>P10-F05093</t>
  </si>
  <si>
    <t>PHD-405</t>
  </si>
  <si>
    <t>Replaced direct foreach over this.GetItemsInRange(20) with IPooledEnumerable plus try/finally Free while preserving owned TailorShoppe authorization count.</t>
  </si>
  <si>
    <t>Data/Scripts/Trades/Guild/GuildSewing.cs:54-70</t>
  </si>
  <si>
    <t>Confirmed pooled enumerable ownership leak in GuildSewing shoppe scan; fixed with try/finally Free and no behavior, serialization, namespace, type, or file-location changes.</t>
  </si>
  <si>
    <t>RB-05094</t>
  </si>
  <si>
    <t>P10-F05094</t>
  </si>
  <si>
    <t>Data/Scripts/Trades/Guild/GuildTinkering.cs</t>
  </si>
  <si>
    <t>PHD-406</t>
  </si>
  <si>
    <t>Replaced direct foreach over this.GetMobilesInRange(20) with IPooledEnumerable plus try/finally Free while preserving TinkerGuildmaster authorization count.</t>
  </si>
  <si>
    <t>Data/Scripts/Trades/Guild/GuildTinkering.cs:36-47</t>
  </si>
  <si>
    <t>Confirmed pooled enumerable ownership leak in GuildTinkering guildmaster scan; fixed with try/finally Free and no behavior, serialization, namespace, type, or file-location changes.</t>
  </si>
  <si>
    <t>RB-05095</t>
  </si>
  <si>
    <t>P10-F05095</t>
  </si>
  <si>
    <t>PHD-407</t>
  </si>
  <si>
    <t>Replaced direct foreach over this.GetItemsInRange(20) with IPooledEnumerable plus try/finally Free while preserving owned TinkerShoppe authorization count.</t>
  </si>
  <si>
    <t>Data/Scripts/Trades/Guild/GuildTinkering.cs:50-66</t>
  </si>
  <si>
    <t>Confirmed pooled enumerable ownership leak in GuildTinkering shoppe scan; fixed with try/finally Free and no behavior, serialization, namespace, type, or file-location changes.</t>
  </si>
  <si>
    <t>RB-05096</t>
  </si>
  <si>
    <t>P10-F05096</t>
  </si>
  <si>
    <t>Trades:Harvest</t>
  </si>
  <si>
    <t>Data/Scripts/Trades/Harvest/HarvestSystem.cs</t>
  </si>
  <si>
    <t>POST-BATCH-D-73A</t>
  </si>
  <si>
    <t>PHD-408</t>
  </si>
  <si>
    <t>Replaced direct foreach over m.GetItemsInRange(0) with IPooledEnumerable plus try/finally Free while preserving at-feet item snapshot and stack merge behavior.</t>
  </si>
  <si>
    <t>Data/Scripts/Trades/Harvest/HarvestSystem.cs:924-932</t>
  </si>
  <si>
    <t>Recorded by current POST-BATCH-D-73A source/audit commit</t>
  </si>
  <si>
    <t>2026-06-08T22:40:58.5435096-05:00</t>
  </si>
  <si>
    <t>Confirmed pooled enumerable ownership leak in harvest drop-at-feet stack scan; fixed with try/finally Free and no behavior, serialization, namespace, type, or file-location changes.</t>
  </si>
  <si>
    <t>RB-01729</t>
  </si>
  <si>
    <t>P10-F01729</t>
  </si>
  <si>
    <t>Boats</t>
  </si>
  <si>
    <t>POST-BATCH-E-01A</t>
  </si>
  <si>
    <t>PHE-001</t>
  </si>
  <si>
    <t>Kept WorldSave registration unchanged; handler only starts deferred component update timer and has no player trust boundary.</t>
  </si>
  <si>
    <t>Data/Scripts/Items/Boats/BaseBoat.cs:2905-2914</t>
  </si>
  <si>
    <t>Recorded by current POST-BATCH-E-01A source/audit commit</t>
  </si>
  <si>
    <t>2026-06-09T08:32:38.4260374-05:00</t>
  </si>
  <si>
    <t>Duplicate WorldSave evidence with RB-02172; source review found no guard defect requiring source change.</t>
  </si>
  <si>
    <t>RB-01938</t>
  </si>
  <si>
    <t>P10-F01938</t>
  </si>
  <si>
    <t>PHE-002</t>
  </si>
  <si>
    <t>Kept boat speech hook unchanged; speech command path checks decay, command authority, boat containment, and action-specific owner/alive state before mutating boat state.</t>
  </si>
  <si>
    <t>Data/Scripts/Items/Boats/BaseBoat.cs:2052-2065; Data/Scripts/Items/Boats/BaseBoat.cs:1586-1630</t>
  </si>
  <si>
    <t>No source change required for the marker-derived speech row.</t>
  </si>
  <si>
    <t>RB-02172</t>
  </si>
  <si>
    <t>P10-F02172</t>
  </si>
  <si>
    <t>PHE-003</t>
  </si>
  <si>
    <t>Kept WorldSave handler unchanged; it schedules UpdateAllComponents through a timer and does not process user input.</t>
  </si>
  <si>
    <t>Duplicate WorldSave evidence with RB-01729; source review found no guard defect requiring source change.</t>
  </si>
  <si>
    <t>RB-02281</t>
  </si>
  <si>
    <t>P10-F02281</t>
  </si>
  <si>
    <t>PHE-004</t>
  </si>
  <si>
    <t>Added null/deleted Mobile guard before playing the passive close sound.</t>
  </si>
  <si>
    <t>Data/Scripts/Items/Boats/CarpetBuild.cs:202-208</t>
  </si>
  <si>
    <t>No serialization, namespace, type, API, or file-location change.</t>
  </si>
  <si>
    <t>RB-02829</t>
  </si>
  <si>
    <t>P10-F02829</t>
  </si>
  <si>
    <t>PHE-005</t>
  </si>
  <si>
    <t>Kept SendGump site unchanged; source review confirmed the response path is passive and now guards stale/null Mobile state.</t>
  </si>
  <si>
    <t>Data/Scripts/Items/Boats/CarpetBuild.cs:70-82; Data/Scripts/Items/Boats/CarpetBuild.cs:202-208</t>
  </si>
  <si>
    <t>Reviewed with RB-02281 response guard fix.</t>
  </si>
  <si>
    <t>RB-02830</t>
  </si>
  <si>
    <t>P10-F02830</t>
  </si>
  <si>
    <t>PHE-006</t>
  </si>
  <si>
    <t>Kept retry SendGump site unchanged; source review confirmed the response path is passive and now guards stale/null Mobile state.</t>
  </si>
  <si>
    <t>Data/Scripts/Items/Boats/CarpetBuild.cs:111-117; Data/Scripts/Items/Boats/CarpetBuild.cs:202-208</t>
  </si>
  <si>
    <t>RB-02284</t>
  </si>
  <si>
    <t>P10-F02284</t>
  </si>
  <si>
    <t>Data/Scripts/Items/Boats/Gumps/ConfirmDryDockGump.cs</t>
  </si>
  <si>
    <t>PHE-007</t>
  </si>
  <si>
    <t>Added stale/null/deleted/mobile-mismatch guards before dry-dock action and moved DockedBoat null check before Hue assignment.</t>
  </si>
  <si>
    <t>Data/Scripts/Items/Boats/Gumps/ConfirmDryDockGump.cs:70-80; Data/Scripts/Items/Boats/BaseBoat.cs:1735-1765</t>
  </si>
  <si>
    <t>Dry-dock action still revalidates key, anchored, contents, map, and boat state in EndDryDock.</t>
  </si>
  <si>
    <t>RB-02282</t>
  </si>
  <si>
    <t>P10-F02282</t>
  </si>
  <si>
    <t>Data/Scripts/Items/Boats/PirateBounty.cs</t>
  </si>
  <si>
    <t>PHE-008</t>
  </si>
  <si>
    <t>Data/Scripts/Items/Boats/PirateBounty.cs:132-140</t>
  </si>
  <si>
    <t>RB-02831</t>
  </si>
  <si>
    <t>P10-F02831</t>
  </si>
  <si>
    <t>PHE-009</t>
  </si>
  <si>
    <t>Kept SendGump site unchanged; source review confirmed range-gated open path and passive response path now guards stale/null Mobile state.</t>
  </si>
  <si>
    <t>Data/Scripts/Items/Boats/PirateBounty.cs:55-61; Data/Scripts/Items/Boats/PirateBounty.cs:132-140</t>
  </si>
  <si>
    <t>Reviewed with RB-02282 response guard fix.</t>
  </si>
  <si>
    <t>RB-02283</t>
  </si>
  <si>
    <t>P10-F02283</t>
  </si>
  <si>
    <t>Data/Scripts/Items/Boats/RenameBoatPrompt.cs</t>
  </si>
  <si>
    <t>PHE-010</t>
  </si>
  <si>
    <t>Added null/deleted Mobile and boat guards plus null text normalization before delegating to EndRename.</t>
  </si>
  <si>
    <t>Data/Scripts/Items/Boats/RenameBoatPrompt.cs:16-26; Data/Scripts/Items/Boats/BaseBoat.cs:1605-1630</t>
  </si>
  <si>
    <t>EndRename keeps owner/alive checks and existing rename behavior.</t>
  </si>
  <si>
    <t>RB-01730</t>
  </si>
  <si>
    <t>P10-F01730</t>
  </si>
  <si>
    <t>Data/Scripts/Items/Boats/Strandedness.cs</t>
  </si>
  <si>
    <t>PHE-011</t>
  </si>
  <si>
    <t>Kept login strandedness hook unchanged; source review confirmed login Mobile path checks map before teleport calculation and only relocates when a spawnable point is found.</t>
  </si>
  <si>
    <t>Data/Scripts/Items/Boats/Strandedness.cs:103-147; Data/Scripts/Items/Boats/Strandedness.cs:150-227</t>
  </si>
  <si>
    <t>No source change required for the marker-derived login row.</t>
  </si>
  <si>
    <t>RB-03325</t>
  </si>
  <si>
    <t>P10-F03325</t>
  </si>
  <si>
    <t>Gump guards</t>
  </si>
  <si>
    <t>PHE-012</t>
  </si>
  <si>
    <t>Duplicate gump-guard row for RB-02281 response path.</t>
  </si>
  <si>
    <t>RB-03784</t>
  </si>
  <si>
    <t>P10-F03784</t>
  </si>
  <si>
    <t>PHE-013</t>
  </si>
  <si>
    <t>Kept SendGump site unchanged; source review confirmed passive response path now guards stale/null Mobile state.</t>
  </si>
  <si>
    <t>RB-03785</t>
  </si>
  <si>
    <t>P10-F03785</t>
  </si>
  <si>
    <t>PHE-014</t>
  </si>
  <si>
    <t>Kept retry SendGump site unchanged; source review confirmed passive response path now guards stale/null Mobile state.</t>
  </si>
  <si>
    <t>RB-03328</t>
  </si>
  <si>
    <t>P10-F03328</t>
  </si>
  <si>
    <t>PHE-015</t>
  </si>
  <si>
    <t>Duplicate gump-guard row for RB-02284 response path.</t>
  </si>
  <si>
    <t>RB-03326</t>
  </si>
  <si>
    <t>P10-F03326</t>
  </si>
  <si>
    <t>PHE-016</t>
  </si>
  <si>
    <t>Duplicate gump-guard row for RB-02282 response path.</t>
  </si>
  <si>
    <t>RB-03786</t>
  </si>
  <si>
    <t>P10-F03786</t>
  </si>
  <si>
    <t>PHE-017</t>
  </si>
  <si>
    <t>RB-03327</t>
  </si>
  <si>
    <t>P10-F03327</t>
  </si>
  <si>
    <t>PHE-018</t>
  </si>
  <si>
    <t>Duplicate gump-guard row for RB-02283 prompt response path.</t>
  </si>
  <si>
    <t>RB-01894</t>
  </si>
  <si>
    <t>P10-F01894</t>
  </si>
  <si>
    <t>Bulk Orders</t>
  </si>
  <si>
    <t>Data/Scripts/Custom/AnimalSystem/ShapeShiftStones/DragonShapeChangeStone-body.cs</t>
  </si>
  <si>
    <t>POST-BATCH-E-02A</t>
  </si>
  <si>
    <t>PHE-019</t>
  </si>
  <si>
    <t>Added Mobile null/deleted and Backpack null guards before speech keyword handling, then reused the guarded Mobile for transform/untransform actions.</t>
  </si>
  <si>
    <t>Data/Scripts/Custom/AnimalSystem/ShapeShiftStones/DragonShapeChangeStone-body.cs:73-109</t>
  </si>
  <si>
    <t>Recorded by current POST-BATCH-E-02A source/audit commit</t>
  </si>
  <si>
    <t>2026-06-09T08:38:52.6232757-05:00</t>
  </si>
  <si>
    <t>RB-01895</t>
  </si>
  <si>
    <t>P10-F01895</t>
  </si>
  <si>
    <t>PHE-020</t>
  </si>
  <si>
    <t>Kept base.OnSpeech delegation while adding early stale Mobile/Backpack guards before local speech handling.</t>
  </si>
  <si>
    <t>Duplicate speech marker row covered by the same source guard fix.</t>
  </si>
  <si>
    <t>RB-02208</t>
  </si>
  <si>
    <t>P10-F02208</t>
  </si>
  <si>
    <t>PHE-021</t>
  </si>
  <si>
    <t>Added NetState, Mobile, deleted, stale user, and deleted stone guards before accepting body-value button responses.</t>
  </si>
  <si>
    <t>Data/Scripts/Custom/AnimalSystem/ShapeShiftStones/DragonShapeChangeStone-body.cs:196-211</t>
  </si>
  <si>
    <t>No behavior change for valid current gump users.</t>
  </si>
  <si>
    <t>RB-02544</t>
  </si>
  <si>
    <t>P10-F02544</t>
  </si>
  <si>
    <t>PHE-022</t>
  </si>
  <si>
    <t>Added stored Mobile and stone null/deleted guards before sending BodyValueGump from the context-menu action.</t>
  </si>
  <si>
    <t>Data/Scripts/Custom/AnimalSystem/ShapeShiftStones/DragonShapeChangeStone-body.cs:240-245</t>
  </si>
  <si>
    <t>No behavior change for valid context-menu users.</t>
  </si>
  <si>
    <t>RB-03252</t>
  </si>
  <si>
    <t>P10-F03252</t>
  </si>
  <si>
    <t>PHE-023</t>
  </si>
  <si>
    <t>Duplicate gump-guard row for RB-02208 response path.</t>
  </si>
  <si>
    <t>RB-03499</t>
  </si>
  <si>
    <t>P10-F03499</t>
  </si>
  <si>
    <t>PHE-024</t>
  </si>
  <si>
    <t>Duplicate gump-send guard row for RB-02544 context-menu path.</t>
  </si>
  <si>
    <t>RB-02441</t>
  </si>
  <si>
    <t>P10-F02441</t>
  </si>
  <si>
    <t>Data/Scripts/Trades/Bulk Orders/Books/Gumps/BOBFilterGump.cs</t>
  </si>
  <si>
    <t>POST-BATCH-E-02B</t>
  </si>
  <si>
    <t>PHE-025</t>
  </si>
  <si>
    <t>Added NetState, PlayerMobile, stale responder, deleted book, and null filter guards before processing filter buttons.</t>
  </si>
  <si>
    <t>Data/Scripts/Trades/Bulk Orders/Books/Gumps/BOBFilterGump.cs:122-200</t>
  </si>
  <si>
    <t>Recorded by current POST-BATCH-E-02B source/audit commit</t>
  </si>
  <si>
    <t>2026-06-09T08:42:56.6789808-05:00</t>
  </si>
  <si>
    <t>Covers the high-risk response entry point before any filter mutation or gump resend.</t>
  </si>
  <si>
    <t>RB-03214</t>
  </si>
  <si>
    <t>P10-F03214</t>
  </si>
  <si>
    <t>PHE-026</t>
  </si>
  <si>
    <t>Guarded stale responder/book/filter state before returning to BOBGump from the Apply branch.</t>
  </si>
  <si>
    <t>Companion SendGump marker covered by the response-entry guard.</t>
  </si>
  <si>
    <t>RB-03215</t>
  </si>
  <si>
    <t>P10-F03215</t>
  </si>
  <si>
    <t>PHE-027</t>
  </si>
  <si>
    <t>Guarded stale responder/book/filter state before toggling to the book filter and resending BOBFilterGump.</t>
  </si>
  <si>
    <t>RB-03216</t>
  </si>
  <si>
    <t>P10-F03216</t>
  </si>
  <si>
    <t>PHE-028</t>
  </si>
  <si>
    <t>Guarded stale responder/book/filter state before toggling to the player filter and resending BOBFilterGump.</t>
  </si>
  <si>
    <t>RB-03217</t>
  </si>
  <si>
    <t>P10-F03217</t>
  </si>
  <si>
    <t>PHE-029</t>
  </si>
  <si>
    <t>Guarded stale responder/book/filter state before clearing the active filter and resending BOBFilterGump.</t>
  </si>
  <si>
    <t>RB-03218</t>
  </si>
  <si>
    <t>P10-F03218</t>
  </si>
  <si>
    <t>PHE-030</t>
  </si>
  <si>
    <t>Guarded stale responder/book/filter state before applying indexed filter selections and resending BOBFilterGump.</t>
  </si>
  <si>
    <t>RB-03485</t>
  </si>
  <si>
    <t>P10-F03485</t>
  </si>
  <si>
    <t>PHE-031</t>
  </si>
  <si>
    <t>Duplicate gump-guard row for RB-02441 response path.</t>
  </si>
  <si>
    <t>RB-04169</t>
  </si>
  <si>
    <t>P10-F04169</t>
  </si>
  <si>
    <t>PHE-032</t>
  </si>
  <si>
    <t>Duplicate gump-send row for RB-03214.</t>
  </si>
  <si>
    <t>RB-04170</t>
  </si>
  <si>
    <t>P10-F04170</t>
  </si>
  <si>
    <t>PHE-033</t>
  </si>
  <si>
    <t>Duplicate gump-send row for RB-03215.</t>
  </si>
  <si>
    <t>RB-04171</t>
  </si>
  <si>
    <t>P10-F04171</t>
  </si>
  <si>
    <t>PHE-034</t>
  </si>
  <si>
    <t>Duplicate gump-send row for RB-03216.</t>
  </si>
  <si>
    <t>RB-04172</t>
  </si>
  <si>
    <t>P10-F04172</t>
  </si>
  <si>
    <t>PHE-035</t>
  </si>
  <si>
    <t>Duplicate gump-send row for RB-03217.</t>
  </si>
  <si>
    <t>RB-04173</t>
  </si>
  <si>
    <t>P10-F04173</t>
  </si>
  <si>
    <t>PHE-036</t>
  </si>
  <si>
    <t>Duplicate gump-send row for RB-03218.</t>
  </si>
  <si>
    <t>RB-02442</t>
  </si>
  <si>
    <t>P10-F02442</t>
  </si>
  <si>
    <t>Data/Scripts/Trades/Bulk Orders/Gumps/LargeBODAcceptGump.cs</t>
  </si>
  <si>
    <t>POST-BATCH-E-02C</t>
  </si>
  <si>
    <t>PHE-037</t>
  </si>
  <si>
    <t>Added NetState, Mobile, stale responder, and deleted large deed guards before accepting or deleting the offered large BOD.</t>
  </si>
  <si>
    <t>Data/Scripts/Trades/Bulk Orders/Gumps/LargeBODAcceptGump.cs:113-160</t>
  </si>
  <si>
    <t>Recorded by current POST-BATCH-E-02C source/audit commit</t>
  </si>
  <si>
    <t>2026-06-09T08:47:50.0228329-05:00</t>
  </si>
  <si>
    <t>RB-03486</t>
  </si>
  <si>
    <t>P10-F03486</t>
  </si>
  <si>
    <t>PHE-038</t>
  </si>
  <si>
    <t>Duplicate gump-guard row for RB-02442 response path.</t>
  </si>
  <si>
    <t>RB-02443</t>
  </si>
  <si>
    <t>P10-F02443</t>
  </si>
  <si>
    <t>Data/Scripts/Trades/Bulk Orders/Gumps/LargeBODGump.cs</t>
  </si>
  <si>
    <t>PHE-039</t>
  </si>
  <si>
    <t>Added NetState, Mobile, stale responder, deleted deed, backpack, and child-of-backpack guards before combine handling.</t>
  </si>
  <si>
    <t>Data/Scripts/Trades/Bulk Orders/Gumps/LargeBODGump.cs:106-128</t>
  </si>
  <si>
    <t>RB-03219</t>
  </si>
  <si>
    <t>P10-F03219</t>
  </si>
  <si>
    <t>PHE-040</t>
  </si>
  <si>
    <t>Guarded stale responder/deed/backpack state before resending LargeBODGump and starting combine.</t>
  </si>
  <si>
    <t>RB-03487</t>
  </si>
  <si>
    <t>P10-F03487</t>
  </si>
  <si>
    <t>PHE-041</t>
  </si>
  <si>
    <t>Duplicate gump-guard row for RB-02443 response path.</t>
  </si>
  <si>
    <t>RB-04174</t>
  </si>
  <si>
    <t>P10-F04174</t>
  </si>
  <si>
    <t>PHE-042</t>
  </si>
  <si>
    <t>Duplicate gump-send row for RB-03219.</t>
  </si>
  <si>
    <t>RB-02444</t>
  </si>
  <si>
    <t>P10-F02444</t>
  </si>
  <si>
    <t>Data/Scripts/Trades/Bulk Orders/Gumps/SmallBODAcceptGump.cs</t>
  </si>
  <si>
    <t>PHE-043</t>
  </si>
  <si>
    <t>Added NetState, Mobile, stale responder, and deleted small deed guards before accepting or deleting the offered small BOD.</t>
  </si>
  <si>
    <t>Data/Scripts/Trades/Bulk Orders/Gumps/SmallBODAcceptGump.cs:73-99</t>
  </si>
  <si>
    <t>RB-03488</t>
  </si>
  <si>
    <t>P10-F03488</t>
  </si>
  <si>
    <t>PHE-044</t>
  </si>
  <si>
    <t>Duplicate gump-guard row for RB-02444 response path.</t>
  </si>
  <si>
    <t>RB-02445</t>
  </si>
  <si>
    <t>P10-F02445</t>
  </si>
  <si>
    <t>Data/Scripts/Trades/Bulk Orders/Gumps/SmallBODGump.cs</t>
  </si>
  <si>
    <t>PHE-045</t>
  </si>
  <si>
    <t>Data/Scripts/Trades/Bulk Orders/Gumps/SmallBODGump.cs:71-93</t>
  </si>
  <si>
    <t>RB-03220</t>
  </si>
  <si>
    <t>P10-F03220</t>
  </si>
  <si>
    <t>PHE-046</t>
  </si>
  <si>
    <t>Guarded stale responder/deed/backpack state before resending SmallBODGump and starting combine.</t>
  </si>
  <si>
    <t>RB-03489</t>
  </si>
  <si>
    <t>P10-F03489</t>
  </si>
  <si>
    <t>PHE-047</t>
  </si>
  <si>
    <t>Duplicate gump-guard row for RB-02445 response path.</t>
  </si>
  <si>
    <t>RB-04175</t>
  </si>
  <si>
    <t>P10-F04175</t>
  </si>
  <si>
    <t>PHE-048</t>
  </si>
  <si>
    <t>Duplicate gump-send row for RB-03220.</t>
  </si>
  <si>
    <t>RB-01997</t>
  </si>
  <si>
    <t>P10-F01997</t>
  </si>
  <si>
    <t>Champions</t>
  </si>
  <si>
    <t>POST-BATCH-E-03A</t>
  </si>
  <si>
    <t>PHE-049</t>
  </si>
  <si>
    <t>Added null/deleted mover and deleted backpack guards before IsAccessibleTo and SendRemovePacket.</t>
  </si>
  <si>
    <t>Data/Scripts/Custom/Champions/Mobiles/Minions/PlagueBeastLord.cs:130-145</t>
  </si>
  <si>
    <t>Recorded by current POST-BATCH-E-03A source/audit commit</t>
  </si>
  <si>
    <t>2026-06-09T08:53:45.8104115-05:00</t>
  </si>
  <si>
    <t>Companion movement hook declaration row; no valid-mover behavior change.</t>
  </si>
  <si>
    <t>RB-01998</t>
  </si>
  <si>
    <t>P10-F01998</t>
  </si>
  <si>
    <t>PHE-050</t>
  </si>
  <si>
    <t>Guarded post-base movement hook path before accessibility checks and backpack remove packet.</t>
  </si>
  <si>
    <t>Companion base-call marker row for the same movement hook.</t>
  </si>
  <si>
    <t>RB-01709</t>
  </si>
  <si>
    <t>P10-F01709</t>
  </si>
  <si>
    <t>Clone Offline Player Characters</t>
  </si>
  <si>
    <t>Data/Scripts/Custom/CloneOfflinePlayerCharacters/CloneOfflinePlayerCharacters.cs</t>
  </si>
  <si>
    <t>POST-BATCH-E-04A</t>
  </si>
  <si>
    <t>PHE-051</t>
  </si>
  <si>
    <t>Added LogoutEventArgs, Mobile, and deleted-mobile guards before clone creation and reused the guarded Mobile reference.</t>
  </si>
  <si>
    <t>Data/Scripts/Custom/CloneOfflinePlayerCharacters/CloneOfflinePlayerCharacters.cs:19-23;200-218</t>
  </si>
  <si>
    <t>Recorded by current POST-BATCH-E-04A source/audit commit</t>
  </si>
  <si>
    <t>2026-06-09T08:59:47.3063697-05:00</t>
  </si>
  <si>
    <t>No behavior change for valid player logout events.</t>
  </si>
  <si>
    <t>RB-01710</t>
  </si>
  <si>
    <t>P10-F01710</t>
  </si>
  <si>
    <t>PHE-052</t>
  </si>
  <si>
    <t>Added LoginEventArgs, Mobile, and deleted-mobile guards before clone deletion lookup.</t>
  </si>
  <si>
    <t>Data/Scripts/Custom/CloneOfflinePlayerCharacters/CloneOfflinePlayerCharacters.cs:19-23;224-229</t>
  </si>
  <si>
    <t>Prevents invalid login events from deleting clones with null originals.</t>
  </si>
  <si>
    <t>RB-03221</t>
  </si>
  <si>
    <t>P10-F03221</t>
  </si>
  <si>
    <t>Crafting Core</t>
  </si>
  <si>
    <t>Data/Scripts/Trades/Core/Repair.cs</t>
  </si>
  <si>
    <t>POST-BATCH-E-05A</t>
  </si>
  <si>
    <t>PHE-053</t>
  </si>
  <si>
    <t>Added targeter, craft-system, target, and tool guards before repair processing and CraftGump resend.</t>
  </si>
  <si>
    <t>Data/Scripts/Trades/Core/Repair.cs:205-541</t>
  </si>
  <si>
    <t>Recorded by current POST-BATCH-E-05A source/audit commit</t>
  </si>
  <si>
    <t>2026-06-09T09:04:23.2376728-05:00</t>
  </si>
  <si>
    <t>No behavior change for valid repair targets and live tools.</t>
  </si>
  <si>
    <t>RB-04176</t>
  </si>
  <si>
    <t>P10-F04176</t>
  </si>
  <si>
    <t>PHE-054</t>
  </si>
  <si>
    <t>Guarded null/deleted targeter state and stale/deleted tool state before sending the follow-up CraftGump.</t>
  </si>
  <si>
    <t>Companion gump-guard row for the same CraftGump resend path.</t>
  </si>
  <si>
    <t>RB-01896</t>
  </si>
  <si>
    <t>P10-F01896</t>
  </si>
  <si>
    <t>Custom:AnimalSystem</t>
  </si>
  <si>
    <t>Data/Scripts/Custom/AnimalSystem/ShapeShiftStones/FaeryShapeChangeStone.cs</t>
  </si>
  <si>
    <t>POST-BATCH-E-06A</t>
  </si>
  <si>
    <t>PHE-055</t>
  </si>
  <si>
    <t>Added SpeechEventArgs, Mobile, deleted-mobile, backpack, and deleted-backpack guards before keyword handling.</t>
  </si>
  <si>
    <t>Data/Scripts/Custom/AnimalSystem/ShapeShiftStones/FaeryShapeChangeStone.cs:61-92</t>
  </si>
  <si>
    <t>Recorded by current POST-BATCH-E-06A source/audit commit</t>
  </si>
  <si>
    <t>2026-06-09T09:08:45.1217761-05:00</t>
  </si>
  <si>
    <t>No behavior change for valid speech from the stone owner's backpack.</t>
  </si>
  <si>
    <t>RB-01897</t>
  </si>
  <si>
    <t>P10-F01897</t>
  </si>
  <si>
    <t>PHE-056</t>
  </si>
  <si>
    <t>Guarded invalid speech events before the base speech hook and backpack access.</t>
  </si>
  <si>
    <t>Companion base-call marker row for the same speech hook.</t>
  </si>
  <si>
    <t>RB-01898</t>
  </si>
  <si>
    <t>P10-F01898</t>
  </si>
  <si>
    <t>Data/Scripts/Custom/AnimalSystem/ShapeShiftStones/FelinusShapeChangeStone.cs</t>
  </si>
  <si>
    <t>POST-BATCH-E-07A</t>
  </si>
  <si>
    <t>PHE-057</t>
  </si>
  <si>
    <t>Data/Scripts/Custom/AnimalSystem/ShapeShiftStones/FelinusShapeChangeStone.cs:73-104</t>
  </si>
  <si>
    <t>Recorded by current POST-BATCH-E-07A source/audit commit</t>
  </si>
  <si>
    <t>2026-06-09T09:13:27.3774610-05:00</t>
  </si>
  <si>
    <t>RB-01899</t>
  </si>
  <si>
    <t>P10-F01899</t>
  </si>
  <si>
    <t>PHE-058</t>
  </si>
  <si>
    <t>RB-02209</t>
  </si>
  <si>
    <t>P10-F02209</t>
  </si>
  <si>
    <t>PHE-059</t>
  </si>
  <si>
    <t>Added NetState, Mobile, stale-user, and deleted-stone guards before hue button handling.</t>
  </si>
  <si>
    <t>Data/Scripts/Custom/AnimalSystem/ShapeShiftStones/FelinusShapeChangeStone.cs:188-213</t>
  </si>
  <si>
    <t>No behavior change for valid current HueGump responders.</t>
  </si>
  <si>
    <t>RB-02545</t>
  </si>
  <si>
    <t>P10-F02545</t>
  </si>
  <si>
    <t>PHE-060</t>
  </si>
  <si>
    <t>Added stored Mobile and stone null/deleted guards before opening HueGump.</t>
  </si>
  <si>
    <t>Data/Scripts/Custom/AnimalSystem/ShapeShiftStones/FelinusShapeChangeStone.cs:218-245</t>
  </si>
  <si>
    <t>No behavior change for valid live context-menu users.</t>
  </si>
  <si>
    <t>RB-03253</t>
  </si>
  <si>
    <t>P10-F03253</t>
  </si>
  <si>
    <t>PHE-061</t>
  </si>
  <si>
    <t>Guarded null/deleted responder state, stale stored user, and deleted stone state before hue changes.</t>
  </si>
  <si>
    <t>Companion gump-guard row for RB-02209.</t>
  </si>
  <si>
    <t>RB-03500</t>
  </si>
  <si>
    <t>P10-F03500</t>
  </si>
  <si>
    <t>PHE-062</t>
  </si>
  <si>
    <t>Guarded stale stored Mobile and stone state before sending HueGump.</t>
  </si>
  <si>
    <t>Companion gump-send row for RB-02545.</t>
  </si>
  <si>
    <t>RB-01900</t>
  </si>
  <si>
    <t>P10-F01900</t>
  </si>
  <si>
    <t>Data/Scripts/Custom/AnimalSystem/ShapeShiftStones/RatShapeChangeStone.cs</t>
  </si>
  <si>
    <t>POST-BATCH-E-08A</t>
  </si>
  <si>
    <t>PHE-063</t>
  </si>
  <si>
    <t>Data/Scripts/Custom/AnimalSystem/ShapeShiftStones/RatShapeChangeStone.cs:73-104</t>
  </si>
  <si>
    <t>Recorded by current POST-BATCH-E-08A source/audit commit</t>
  </si>
  <si>
    <t>2026-06-09T09:18:35.1821639-05:00</t>
  </si>
  <si>
    <t>RB-01901</t>
  </si>
  <si>
    <t>P10-F01901</t>
  </si>
  <si>
    <t>PHE-064</t>
  </si>
  <si>
    <t>RB-02210</t>
  </si>
  <si>
    <t>P10-F02210</t>
  </si>
  <si>
    <t>PHE-065</t>
  </si>
  <si>
    <t>Data/Scripts/Custom/AnimalSystem/ShapeShiftStones/RatShapeChangeStone.cs:188-213</t>
  </si>
  <si>
    <t>RB-02546</t>
  </si>
  <si>
    <t>P10-F02546</t>
  </si>
  <si>
    <t>PHE-066</t>
  </si>
  <si>
    <t>Data/Scripts/Custom/AnimalSystem/ShapeShiftStones/RatShapeChangeStone.cs:218-245</t>
  </si>
  <si>
    <t>RB-03254</t>
  </si>
  <si>
    <t>P10-F03254</t>
  </si>
  <si>
    <t>PHE-067</t>
  </si>
  <si>
    <t>Companion gump-guard row for RB-02210.</t>
  </si>
  <si>
    <t>RB-03501</t>
  </si>
  <si>
    <t>P10-F03501</t>
  </si>
  <si>
    <t>PHE-068</t>
  </si>
  <si>
    <t>Companion gump-send row for RB-02546.</t>
  </si>
  <si>
    <t>RB-01902</t>
  </si>
  <si>
    <t>P10-F01902</t>
  </si>
  <si>
    <t>Data/Scripts/Custom/AnimalSystem/ShapeShiftStones/WolvenShapeChangeStone.cs</t>
  </si>
  <si>
    <t>POST-BATCH-E-09A</t>
  </si>
  <si>
    <t>PHE-069</t>
  </si>
  <si>
    <t>Data/Scripts/Custom/AnimalSystem/ShapeShiftStones/WolvenShapeChangeStone.cs:73-104</t>
  </si>
  <si>
    <t>Recorded by current POST-BATCH-E-09A source/audit commit</t>
  </si>
  <si>
    <t>2026-06-09T09:24:43.3180757-05:00</t>
  </si>
  <si>
    <t>RB-01903</t>
  </si>
  <si>
    <t>P10-F01903</t>
  </si>
  <si>
    <t>PHE-070</t>
  </si>
  <si>
    <t>RB-02211</t>
  </si>
  <si>
    <t>P10-F02211</t>
  </si>
  <si>
    <t>PHE-071</t>
  </si>
  <si>
    <t>Data/Scripts/Custom/AnimalSystem/ShapeShiftStones/WolvenShapeChangeStone.cs:188-213</t>
  </si>
  <si>
    <t>RB-02547</t>
  </si>
  <si>
    <t>P10-F02547</t>
  </si>
  <si>
    <t>PHE-072</t>
  </si>
  <si>
    <t>Data/Scripts/Custom/AnimalSystem/ShapeShiftStones/WolvenShapeChangeStone.cs:218-245</t>
  </si>
  <si>
    <t>RB-03255</t>
  </si>
  <si>
    <t>P10-F03255</t>
  </si>
  <si>
    <t>PHE-073</t>
  </si>
  <si>
    <t>Companion gump-guard row for RB-02211.</t>
  </si>
  <si>
    <t>RB-03502</t>
  </si>
  <si>
    <t>P10-F03502</t>
  </si>
  <si>
    <t>PHE-074</t>
  </si>
  <si>
    <t>Companion gump-send row for RB-02547.</t>
  </si>
  <si>
    <t>RB-01904</t>
  </si>
  <si>
    <t>P10-F01904</t>
  </si>
  <si>
    <t>Data/Scripts/Custom/Book Publisher [2.0]/Publisher.cs</t>
  </si>
  <si>
    <t>POST-BATCH-E-10A</t>
  </si>
  <si>
    <t>PHE-075</t>
  </si>
  <si>
    <t>Added SpeechEventArgs, Mobile, and deleted-mobile guards before criminal checks and base speech handling; also guarded HandlesOnSpeech speaker routing before range checks.</t>
  </si>
  <si>
    <t>Data/Scripts/Custom/Book Publisher [2.0]/Publisher.cs:65-90</t>
  </si>
  <si>
    <t>Recorded by current POST-BATCH-E-10A source/audit commit</t>
  </si>
  <si>
    <t>2026-06-09T09:33:31.0477793-05:00</t>
  </si>
  <si>
    <t>No behavior change for valid live speakers.</t>
  </si>
  <si>
    <t>RB-01905</t>
  </si>
  <si>
    <t>P10-F01905</t>
  </si>
  <si>
    <t>PHE-076</t>
  </si>
  <si>
    <t>Guarded invalid speech events before the criminal branch base.OnSpeech call.</t>
  </si>
  <si>
    <t>Data/Scripts/Custom/Book Publisher [2.0]/Publisher.cs:76-90</t>
  </si>
  <si>
    <t>RB-01906</t>
  </si>
  <si>
    <t>P10-F01906</t>
  </si>
  <si>
    <t>PHE-077</t>
  </si>
  <si>
    <t>Guarded invalid speech events before the default base.OnSpeech path.</t>
  </si>
  <si>
    <t>RB-01711</t>
  </si>
  <si>
    <t>P10-F01711</t>
  </si>
  <si>
    <t>Custom:NPC Control</t>
  </si>
  <si>
    <t>Data/Scripts/Custom/NPC Control/StaffCommands/HearAll.cs</t>
  </si>
  <si>
    <t>POST-BATCH-E-11A</t>
  </si>
  <si>
    <t>PHE-078</t>
  </si>
  <si>
    <t>Added deleted-speaker guard before formatting and broadcasting captured speech; kept listener null/deleted/netstate/access pruning unchanged.</t>
  </si>
  <si>
    <t>Data/Scripts/Custom/NPC Control/StaffCommands/HearAll.cs:20-45</t>
  </si>
  <si>
    <t>Recorded by current POST-BATCH-E-11A source/audit commit</t>
  </si>
  <si>
    <t>2026-06-09T09:39:06.6359982-05:00</t>
  </si>
  <si>
    <t>No behavior change for valid live speakers or authorized listeners.</t>
  </si>
  <si>
    <t>RB-01687</t>
  </si>
  <si>
    <t>P10-F01687</t>
  </si>
  <si>
    <t>Custom:OrbRemoteServer</t>
  </si>
  <si>
    <t>Data/Scripts/Custom/OrbRemoteServer/UOArchitect/ClientCommands.cs</t>
  </si>
  <si>
    <t>POST-BATCH-E-12A</t>
  </si>
  <si>
    <t>PHE-079</t>
  </si>
  <si>
    <t>Added CommandEventArgs, Mobile, and deleted-mobile guards before reading arguments and changing the command user's Z location.</t>
  </si>
  <si>
    <t>Data/Scripts/Custom/OrbRemoteServer/UOArchitect/ClientCommands.cs:13-29</t>
  </si>
  <si>
    <t>Recorded by current POST-BATCH-E-12A source/audit commit</t>
  </si>
  <si>
    <t>2026-06-09T09:43:15.6368631-05:00</t>
  </si>
  <si>
    <t>No behavior change for valid GameMaster command users.</t>
  </si>
  <si>
    <t>RB-01688</t>
  </si>
  <si>
    <t>P10-F01688</t>
  </si>
  <si>
    <t>PHE-080</t>
  </si>
  <si>
    <t>Data/Scripts/Custom/OrbRemoteServer/UOArchitect/ClientCommands.cs:13-43</t>
  </si>
  <si>
    <t>RB-01689</t>
  </si>
  <si>
    <t>P10-F01689</t>
  </si>
  <si>
    <t>PHE-081</t>
  </si>
  <si>
    <t>Added CommandEventArgs, Mobile, and deleted-mobile guards before assigning the multi-remove target, and a stale stored-mobile guard before target callback messages and target reassignment.</t>
  </si>
  <si>
    <t>Data/Scripts/Custom/OrbRemoteServer/UOArchitect/ClientCommands.cs:47-94</t>
  </si>
  <si>
    <t>No behavior change for valid GameMaster multi-remove users.</t>
  </si>
  <si>
    <t>RB-01690</t>
  </si>
  <si>
    <t>P10-F01690</t>
  </si>
  <si>
    <t>Data/Scripts/Custom/Voting/VoteCommand.cs</t>
  </si>
  <si>
    <t>POST-BATCH-E-13A</t>
  </si>
  <si>
    <t>PHE-082</t>
  </si>
  <si>
    <t>Added CommandEventArgs null guard before Mobile/deleted checks and properties gump send; adjacent Vote command received the same guard in the touched entry-point surface.</t>
  </si>
  <si>
    <t>Data/Scripts/Custom/Voting/VoteCommand.cs:16-56</t>
  </si>
  <si>
    <t>Recorded by current POST-BATCH-E-13A source/audit commit</t>
  </si>
  <si>
    <t>2026-06-09T09:48:06.7426692-05:00</t>
  </si>
  <si>
    <t>No behavior change for valid command users.</t>
  </si>
  <si>
    <t>RB-01691</t>
  </si>
  <si>
    <t>P10-F01691</t>
  </si>
  <si>
    <t>PHE-083</t>
  </si>
  <si>
    <t>RB-01692</t>
  </si>
  <si>
    <t>P10-F01692</t>
  </si>
  <si>
    <t>POST-BATCH-E-14A</t>
  </si>
  <si>
    <t>PHE-084</t>
  </si>
  <si>
    <t>No source change; generated marker matched a line-commented inactive CommandSystem.Register row while the active XmlSet command is registered through TargetCommands.Register(new XmlSetCommand()).</t>
  </si>
  <si>
    <t>Data/Scripts/Custom/XMLSpawner/XmlSpawner2.cs:4625-4627</t>
  </si>
  <si>
    <t>Recorded by current POST-BATCH-E-14A docs/audit commit</t>
  </si>
  <si>
    <t>2026-06-09T09:52:22.4314972-05:00</t>
  </si>
  <si>
    <t>Extractor noise from commented command registration.</t>
  </si>
  <si>
    <t>RB-01693</t>
  </si>
  <si>
    <t>P10-F01693</t>
  </si>
  <si>
    <t>PHE-085</t>
  </si>
  <si>
    <t>No source change; generated marker matched a line-commented inactive CommandSystem.Register row.</t>
  </si>
  <si>
    <t>Data/Scripts/Custom/XMLSpawner/XmlSpawner2.cs:4637-4642</t>
  </si>
  <si>
    <t>RB-01694</t>
  </si>
  <si>
    <t>P10-F01694</t>
  </si>
  <si>
    <t>Data/Scripts/Custom/XMLSpawner/XmlAttach/XmlAttach.cs</t>
  </si>
  <si>
    <t>PHE-086</t>
  </si>
  <si>
    <t>Data/Scripts/Custom/XMLSpawner/XmlAttach/XmlAttach.cs:186-194</t>
  </si>
  <si>
    <t>RB-01695</t>
  </si>
  <si>
    <t>P10-F01695</t>
  </si>
  <si>
    <t>PHE-087</t>
  </si>
  <si>
    <t>Data/Scripts/Custom/XMLSpawner/XmlAttach/XmlAttach.cs:192-194</t>
  </si>
  <si>
    <t>RB-01696</t>
  </si>
  <si>
    <t>P10-F01696</t>
  </si>
  <si>
    <t>PHE-088</t>
  </si>
  <si>
    <t>No source change; generated marker matched a line-commented inactive CommandSystem.Register row while the active DelAtt command is registered through TargetCommands.Register(new DelAttCommand()).</t>
  </si>
  <si>
    <t>Data/Scripts/Custom/XMLSpawner/XmlAttach/XmlAttach.cs:199-203</t>
  </si>
  <si>
    <t>RB-01697</t>
  </si>
  <si>
    <t>P10-F01697</t>
  </si>
  <si>
    <t>PHE-089</t>
  </si>
  <si>
    <t>RB-01698</t>
  </si>
  <si>
    <t>P10-F01698</t>
  </si>
  <si>
    <t>PHE-090</t>
  </si>
  <si>
    <t>No source change; generated marker matched a line-commented inactive CommandSystem.Register row while the active AddAtt command is registered through TargetCommands.Register(new AddAttCommand()).</t>
  </si>
  <si>
    <t>RB-01699</t>
  </si>
  <si>
    <t>P10-F01699</t>
  </si>
  <si>
    <t>Data/Scripts/System/Commands/CrashCommand.cs</t>
  </si>
  <si>
    <t>POST-BATCH-E-15A</t>
  </si>
  <si>
    <t>PHE-091</t>
  </si>
  <si>
    <t>Made pre-crash diagnostic logging tolerate null CommandEventArgs and null/deleted mobiles while preserving the intentional crash throw for every invocation.</t>
  </si>
  <si>
    <t>Data/Scripts/System/Commands/CrashCommand.cs:10-33</t>
  </si>
  <si>
    <t>Recorded by current POST-BATCH-E-15A source/audit commit</t>
  </si>
  <si>
    <t>2026-06-09T09:57:13.2751853-05:00</t>
  </si>
  <si>
    <t>No behavior change for valid Administrator crash tests.</t>
  </si>
  <si>
    <t>RB-01700</t>
  </si>
  <si>
    <t>P10-F01700</t>
  </si>
  <si>
    <t>Data/Scripts/System/Misc/AutoRestart.cs</t>
  </si>
  <si>
    <t>POST-BATCH-E-16A</t>
  </si>
  <si>
    <t>PHE-092</t>
  </si>
  <si>
    <t>Added shared GetCommandMobile guard for null command events and null/deleted command users before manual restart scheduling and user messages.</t>
  </si>
  <si>
    <t>Data/Scripts/System/Misc/AutoRestart.cs:30-112; Data/Scripts/System/Misc/AutoRestart.cs:402-425</t>
  </si>
  <si>
    <t>Recorded by current POST-BATCH-E-16A source/audit commit</t>
  </si>
  <si>
    <t>2026-06-09T10:04:00.0876526-05:00</t>
  </si>
  <si>
    <t>No behavior change for valid Administrator restart command users.</t>
  </si>
  <si>
    <t>RB-01701</t>
  </si>
  <si>
    <t>P10-F01701</t>
  </si>
  <si>
    <t>PHE-093</t>
  </si>
  <si>
    <t>Added shared GetCommandMobile guard for null command events and null/deleted command users before enabling AutoRestart and sending command feedback.</t>
  </si>
  <si>
    <t>Data/Scripts/System/Misc/AutoRestart.cs:30-112; Data/Scripts/System/Misc/AutoRestart.cs:390-397</t>
  </si>
  <si>
    <t>No behavior change for valid Administrator AutoRestart users.</t>
  </si>
  <si>
    <t>RB-01702</t>
  </si>
  <si>
    <t>P10-F01702</t>
  </si>
  <si>
    <t>PHE-094</t>
  </si>
  <si>
    <t>Added shared GetCommandMobile guard for null command events and null/deleted command users before disabling AutoRestart and sending command feedback.</t>
  </si>
  <si>
    <t>Data/Scripts/System/Misc/AutoRestart.cs:30-112; Data/Scripts/System/Misc/AutoRestart.cs:378-385</t>
  </si>
  <si>
    <t>RB-01703</t>
  </si>
  <si>
    <t>P10-F01703</t>
  </si>
  <si>
    <t>PHE-095</t>
  </si>
  <si>
    <t>Added shared GetCommandMobile guard for null command events and null/deleted command users before reporting AutoRestart schedule state.</t>
  </si>
  <si>
    <t>Data/Scripts/System/Misc/AutoRestart.cs:30-112; Data/Scripts/System/Misc/AutoRestart.cs:362-374</t>
  </si>
  <si>
    <t>RB-01704</t>
  </si>
  <si>
    <t>P10-F01704</t>
  </si>
  <si>
    <t>PHE-096</t>
  </si>
  <si>
    <t>Added shared GetCommandMobile guard for null command events and null/deleted command users before reading restart time arguments and sending command feedback.</t>
  </si>
  <si>
    <t>Data/Scripts/System/Misc/AutoRestart.cs:30-112; Data/Scripts/System/Misc/AutoRestart.cs:336-356</t>
  </si>
  <si>
    <t>RB-01705</t>
  </si>
  <si>
    <t>P10-F01705</t>
  </si>
  <si>
    <t>PHE-097</t>
  </si>
  <si>
    <t>Added shared GetCommandMobile guard for null command events and null/deleted command users before reading restart message arguments and sending command feedback.</t>
  </si>
  <si>
    <t>Data/Scripts/System/Misc/AutoRestart.cs:30-112; Data/Scripts/System/Misc/AutoRestart.cs:292-312</t>
  </si>
  <si>
    <t>RB-01706</t>
  </si>
  <si>
    <t>P10-F01706</t>
  </si>
  <si>
    <t>PHE-098</t>
  </si>
  <si>
    <t>Added shared GetCommandMobile guard for null command events and null/deleted command users; guarded the backpack save path by requiring a live PlayerMobile and nondeleted backpack before dropping the AutoRestarter item.</t>
  </si>
  <si>
    <t>Data/Scripts/System/Misc/AutoRestart.cs:30-112; Data/Scripts/System/Misc/AutoRestart.cs:263-288</t>
  </si>
  <si>
    <t>No behavior change for valid Administrator PlayerMobile users with backpacks.</t>
  </si>
  <si>
    <t>RB-01707</t>
  </si>
  <si>
    <t>P10-F01707</t>
  </si>
  <si>
    <t>PHE-099</t>
  </si>
  <si>
    <t>Added shared GetCommandMobile guard for null command events and null/deleted command users before target assignment; load target callback now ignores null/deleted targeters before applying settings.</t>
  </si>
  <si>
    <t>Data/Scripts/System/Misc/AutoRestart.cs:30-112; Data/Scripts/System/Misc/AutoRestart.cs:235-261</t>
  </si>
  <si>
    <t>No behavior change for valid Administrator AutoRestart load users.</t>
  </si>
  <si>
    <t>RB-01708</t>
  </si>
  <si>
    <t>P10-F01708</t>
  </si>
  <si>
    <t>POST-BATCH-E-17A</t>
  </si>
  <si>
    <t>PHE-100</t>
  </si>
  <si>
    <t>Added null CommandEventArgs, null mobile, and deleted-mobile guard before reading the command user's map/location and sending the world-location message.</t>
  </si>
  <si>
    <t>Data/Scripts/System/Misc/World.cs:2593-2609</t>
  </si>
  <si>
    <t>Recorded by current POST-BATCH-E-17A source/audit commit</t>
  </si>
  <si>
    <t>2026-06-09T10:10:22.1373846-05:00</t>
  </si>
  <si>
    <t>No behavior change for valid Administrator world command users.</t>
  </si>
  <si>
    <t>RB-01712</t>
  </si>
  <si>
    <t>P10-F01712</t>
  </si>
  <si>
    <t>Offline Skill Training</t>
  </si>
  <si>
    <t>Data/Scripts/Custom/Offline Skill Training/Items/StudyBook.cs</t>
  </si>
  <si>
    <t>POST-BATCH-E-18A</t>
  </si>
  <si>
    <t>PHE-101</t>
  </si>
  <si>
    <t>No source change for this row; generated marker matched a line-commented inactive constructor EventSink.Login subscription, while the active Initialize login subscription is tracked and fixed by RB-01714.</t>
  </si>
  <si>
    <t>Data/Scripts/Custom/Offline Skill Training/Items/StudyBook.cs:62-76</t>
  </si>
  <si>
    <t>Recorded by current POST-BATCH-E-18A source/audit commit</t>
  </si>
  <si>
    <t>2026-06-09T10:14:22.4498695-05:00</t>
  </si>
  <si>
    <t>Extractor noise from commented constructor subscription.</t>
  </si>
  <si>
    <t>RB-01713</t>
  </si>
  <si>
    <t>P10-F01713</t>
  </si>
  <si>
    <t>PHE-102</t>
  </si>
  <si>
    <t>No source change for this row; generated marker matched a line-commented inactive constructor EventSink.Logout subscription, while the active Initialize logout subscription is tracked and fixed by RB-01715.</t>
  </si>
  <si>
    <t>RB-01714</t>
  </si>
  <si>
    <t>P10-F01714</t>
  </si>
  <si>
    <t>PHE-103</t>
  </si>
  <si>
    <t>Added null LoginEventArgs, null mobile, deleted-mobile, and missing-backpack guard before scanning the logging-in user's backpack for StudyBook instances.</t>
  </si>
  <si>
    <t>Data/Scripts/Custom/Offline Skill Training/Items/StudyBook.cs:274-290; Data/Scripts/Custom/Offline Skill Training/Items/StudyBook.cs:385-394</t>
  </si>
  <si>
    <t>No behavior change for valid login events with live mobiles and backpacks.</t>
  </si>
  <si>
    <t>RB-01715</t>
  </si>
  <si>
    <t>P10-F01715</t>
  </si>
  <si>
    <t>PHE-104</t>
  </si>
  <si>
    <t>Added null LogoutEventArgs, null mobile, deleted-mobile, and missing-backpack guard before scanning the logging-out user's backpack for StudyBook instances.</t>
  </si>
  <si>
    <t>Data/Scripts/Custom/Offline Skill Training/Items/StudyBook.cs:257-273; Data/Scripts/Custom/Offline Skill Training/Items/StudyBook.cs:385-394</t>
  </si>
  <si>
    <t>No behavior change for valid logout events with live mobiles and backpacks.</t>
  </si>
  <si>
    <t>RB-01716</t>
  </si>
  <si>
    <t>P10-F01716</t>
  </si>
  <si>
    <t>OmniAI</t>
  </si>
  <si>
    <t>Data/Scripts/Custom/OmniAI/OmniAI Shared.cs</t>
  </si>
  <si>
    <t>POST-BATCH-E-19A</t>
  </si>
  <si>
    <t>PHE-105</t>
  </si>
  <si>
    <t>Added null/deleted m_Mobile guard at the start of UseWeaponStrike before weapon skill checks, weapon ability assignment, or stun request invocation.</t>
  </si>
  <si>
    <t>Data/Scripts/Custom/OmniAI/OmniAI Shared.cs:200-227</t>
  </si>
  <si>
    <t>Recorded by current POST-BATCH-E-19A source/audit commit</t>
  </si>
  <si>
    <t>2026-06-09T10:19:11.1303372-05:00</t>
  </si>
  <si>
    <t>No behavior change for valid live OmniAI mobiles.</t>
  </si>
  <si>
    <t>RB-01717</t>
  </si>
  <si>
    <t>P10-F01717</t>
  </si>
  <si>
    <t>POST-BATCH-E-20A</t>
  </si>
  <si>
    <t>PHE-106</t>
  </si>
  <si>
    <t>Added null CharacterCreatedEventArgs guard before passing the event mobile to TryGift; TryGift now rejects deleted/no-account mobiles before account/backpack gift checks.</t>
  </si>
  <si>
    <t>Data/Scripts/Custom/PandorasGiftBox/PandorasGiftBox.cs:147-168; Data/Scripts/Custom/PandorasGiftBox/PandorasGiftBox.cs:250-260</t>
  </si>
  <si>
    <t>Recorded by current POST-BATCH-E-20A source/audit commit</t>
  </si>
  <si>
    <t>2026-06-09T10:24:09.8274394-05:00</t>
  </si>
  <si>
    <t>No behavior change for valid character-created events with live account-backed mobiles.</t>
  </si>
  <si>
    <t>RB-01718</t>
  </si>
  <si>
    <t>P10-F01718</t>
  </si>
  <si>
    <t>PHE-107</t>
  </si>
  <si>
    <t>Added null LoginEventArgs guard before passing the event mobile to TryGift; TryGift now rejects deleted/no-account mobiles before account/backpack gift checks.</t>
  </si>
  <si>
    <t>No behavior change for valid login events with live account-backed mobiles.</t>
  </si>
  <si>
    <t>RB-01719</t>
  </si>
  <si>
    <t>P10-F01719</t>
  </si>
  <si>
    <t>Staff Toolbar</t>
  </si>
  <si>
    <t>POST-BATCH-E-21A</t>
  </si>
  <si>
    <t>PHE-108</t>
  </si>
  <si>
    <t>Added null LoginEventArgs, null mobile, deleted-mobile, and missing-account guard before access-level checks, toolbar gump close, and SendToolbar/ReadInfo account access.</t>
  </si>
  <si>
    <t>Data/Scripts/Custom/Staff Toolbar [2.0]/Toolbar.cs:28-52</t>
  </si>
  <si>
    <t>Recorded by current POST-BATCH-E-21A source/audit commit</t>
  </si>
  <si>
    <t>2026-06-09T10:28:18.0581904-05:00</t>
  </si>
  <si>
    <t>No behavior change for valid staff login events with account-backed mobiles.</t>
  </si>
  <si>
    <t>RB-01720</t>
  </si>
  <si>
    <t>P10-F01720</t>
  </si>
  <si>
    <t>Custom:TellAFriend</t>
  </si>
  <si>
    <t>Data/Scripts/Custom/TellAFriend/TellAFriend.cs</t>
  </si>
  <si>
    <t>POST-BATCH-E-22A</t>
  </si>
  <si>
    <t>PHE-109</t>
  </si>
  <si>
    <t>Added null LoginEventArgs, null mobile, deleted-mobile, and missing-account guard before referral tag checks and account reward logic.</t>
  </si>
  <si>
    <t>Data/Scripts/Custom/TellAFriend/TellAFriend.cs:52-68</t>
  </si>
  <si>
    <t>Recorded by current POST-BATCH-E-22A source/audit commit</t>
  </si>
  <si>
    <t>2026-06-09T10:32:12.5581442-05:00</t>
  </si>
  <si>
    <t>No behavior change for valid login events with account-backed mobiles.</t>
  </si>
  <si>
    <t>RB-01721</t>
  </si>
  <si>
    <t>P10-F01721</t>
  </si>
  <si>
    <t>Data/Scripts/Custom/Voting/VoteConfig.cs</t>
  </si>
  <si>
    <t>POST-BATCH-E-23A</t>
  </si>
  <si>
    <t>PHE-110</t>
  </si>
  <si>
    <t>No source change; active WorldSave hook intentionally serializes VoteConfig.Instance, the handler does not dereference event args, and Instance is singleton-backed before Serialize.</t>
  </si>
  <si>
    <t>Data/Scripts/Custom/Voting/VoteConfig.cs:43-57; Data/Scripts/Custom/Voting/VoteConfig.cs:59-71; Data/Scripts/Custom/Voting/VoteConfig.cs:115-146</t>
  </si>
  <si>
    <t>Recorded by current POST-BATCH-E-23A docs/audit commit</t>
  </si>
  <si>
    <t>2026-06-09T10:35:40.1743598-05:00</t>
  </si>
  <si>
    <t>Active hook is intentional config persistence with no local guard defect.</t>
  </si>
  <si>
    <t>RB-01722</t>
  </si>
  <si>
    <t>P10-F01722</t>
  </si>
  <si>
    <t>PHE-111</t>
  </si>
  <si>
    <t>No source change; active ServerStarted hook intentionally deserializes VoteConfig.Instance, has no event args to dereference, and Instance is singleton-backed before Deserialize.</t>
  </si>
  <si>
    <t>Data/Scripts/Custom/Voting/VoteConfig.cs:43-57; Data/Scripts/Custom/Voting/VoteConfig.cs:59-71; Data/Scripts/Custom/Voting/VoteConfig.cs:148-180</t>
  </si>
  <si>
    <t>Active hook is intentional config load with no local guard defect.</t>
  </si>
  <si>
    <t>RB-01723</t>
  </si>
  <si>
    <t>P10-F01723</t>
  </si>
  <si>
    <t>POST-BATCH-E-24A</t>
  </si>
  <si>
    <t>PHE-112</t>
  </si>
  <si>
    <t>No source change; matched QuestGumpRequest subscription is line-commented and inactive, while active packet override hooks were already reviewed in POST-BATCH-A.</t>
  </si>
  <si>
    <t>Data/Scripts/Custom/XMLSpawner/PacketHandlerOverrides.cs:35-38</t>
  </si>
  <si>
    <t>Recorded by current POST-BATCH-E-24A source/audit commit</t>
  </si>
  <si>
    <t>2026-06-09T10:43:30.1202232-05:00</t>
  </si>
  <si>
    <t>Marker-derived false positive from inactive XMLSpawner quest-gump subscription comment.</t>
  </si>
  <si>
    <t>RB-01724</t>
  </si>
  <si>
    <t>P10-F01724</t>
  </si>
  <si>
    <t>PHE-113</t>
  </si>
  <si>
    <t>No source change; active WorldLoad hook intentionally loads XMLSpawner attachment persistence from Saves/Attachments, has no event args to dereference, and already handles missing files and load exceptions.</t>
  </si>
  <si>
    <t>Data/Scripts/Custom/XMLSpawner/XmlAttach/XmlAttach.cs:165-169; Data/Scripts/Custom/XMLSpawner/XmlAttach/XmlAttach.cs:568-610</t>
  </si>
  <si>
    <t>Active hook is intentional attachment persistence load with no local guard defect.</t>
  </si>
  <si>
    <t>RB-01725</t>
  </si>
  <si>
    <t>P10-F01725</t>
  </si>
  <si>
    <t>PHE-114</t>
  </si>
  <si>
    <t>No source change; active WorldSave hook intentionally serializes XMLSpawner attachments, does not dereference event args, cleans deleted owners, and handles writer creation exceptions.</t>
  </si>
  <si>
    <t>Data/Scripts/Custom/XMLSpawner/XmlAttach/XmlAttach.cs:165-169; Data/Scripts/Custom/XMLSpawner/XmlAttach/XmlAttach.cs:411-566</t>
  </si>
  <si>
    <t>Active hook is intentional attachment persistence save with no local guard defect.</t>
  </si>
  <si>
    <t>RB-01726</t>
  </si>
  <si>
    <t>P10-F01726</t>
  </si>
  <si>
    <t>PHE-115</t>
  </si>
  <si>
    <t>Added null SpeechEventArgs and deleted-mobile guards before attachment speech dispatch, map checks, backpack/equipment scans, and nearby item/mobile scans.</t>
  </si>
  <si>
    <t>Data/Scripts/Custom/XMLSpawner/XmlAttach/XmlAttach.cs:171-190; Data/Scripts/Custom/XMLSpawner/XmlAttach/XmlAttach.cs:1231-1243</t>
  </si>
  <si>
    <t>No behavior change for valid live mobile speech events.</t>
  </si>
  <si>
    <t>RB-01727</t>
  </si>
  <si>
    <t>P10-F01727</t>
  </si>
  <si>
    <t>PHE-116</t>
  </si>
  <si>
    <t>Added null MovementEventArgs, null mobile, and deleted-mobile guards before player checks and attachment movement range scans.</t>
  </si>
  <si>
    <t>Data/Scripts/Custom/XMLSpawner/XmlAttach/XmlAttach.cs:171-190; Data/Scripts/Custom/XMLSpawner/XmlAttach/XmlAttach.cs:1157-1170</t>
  </si>
  <si>
    <t>No behavior change for valid live player movement events.</t>
  </si>
  <si>
    <t>RB-01728</t>
  </si>
  <si>
    <t>P10-F01728</t>
  </si>
  <si>
    <t>PHE-117</t>
  </si>
  <si>
    <t>Added null SpeechEventArgs and deleted-mobile guards before points/challenge speech command handling.</t>
  </si>
  <si>
    <t>Data/Scripts/Custom/XMLSpawner/XmlAttachments/XmlPoints.cs:749-760; Data/Scripts/Custom/XMLSpawner/XmlAttachments/XmlPoints.cs:776-790</t>
  </si>
  <si>
    <t>No behavior change for valid live player speech commands.</t>
  </si>
  <si>
    <t>RB-01731</t>
  </si>
  <si>
    <t>P10-F01731</t>
  </si>
  <si>
    <t>POST-BATCH-E-25A</t>
  </si>
  <si>
    <t>PHE-118</t>
  </si>
  <si>
    <t>Added null OpenDoorMacroEventArgs and null/deleted mobile guards before direction, map, sector, LOS, and door OnDoubleClick processing.</t>
  </si>
  <si>
    <t>Data/Scripts/Items/Doors/BaseDoor.cs:122-126; Data/Scripts/Items/Doors/BaseDoor.cs:295-306</t>
  </si>
  <si>
    <t>Recorded by current POST-BATCH-E-25A source/audit commit</t>
  </si>
  <si>
    <t>2026-06-09T10:51:31.2071582-05:00</t>
  </si>
  <si>
    <t>No behavior change for valid live door macro events.</t>
  </si>
  <si>
    <t>RB-01732</t>
  </si>
  <si>
    <t>P10-F01732</t>
  </si>
  <si>
    <t>POST-BATCH-E-26A</t>
  </si>
  <si>
    <t>PHE-119</t>
  </si>
  <si>
    <t>Added null LoginEventArgs and null/deleted mobile guards before drunk heave timer checks read BAC, map, or timer table state.</t>
  </si>
  <si>
    <t>Data/Scripts/Items/Food/Beverage.cs:1020-1038</t>
  </si>
  <si>
    <t>Recorded by current POST-BATCH-E-26A source/audit commit</t>
  </si>
  <si>
    <t>2026-06-09T10:56:13.8370017-05:00</t>
  </si>
  <si>
    <t>No behavior change for valid live login events with beverage BAC state.</t>
  </si>
  <si>
    <t>RB-01733</t>
  </si>
  <si>
    <t>P10-F01733</t>
  </si>
  <si>
    <t>POST-BATCH-E-27A</t>
  </si>
  <si>
    <t>PHE-120</t>
  </si>
  <si>
    <t>Added null SpeechEventArgs, null/deleted speaker, missing backpack, null speech, and nearby-mobile null/deleted guards before Christmas bag and vendor processing.</t>
  </si>
  <si>
    <t>Data/Scripts/Items/Gifts/Holiday/Christmas/Commands/Merry Christmas.cs:13-34; Data/Scripts/Items/Gifts/Holiday/Christmas/Commands/Merry Christmas.cs:52-60</t>
  </si>
  <si>
    <t>Recorded by current POST-BATCH-E-27A source/audit commit</t>
  </si>
  <si>
    <t>2026-06-09T11:01:12.4683505-05:00</t>
  </si>
  <si>
    <t>No behavior change for valid live player Christmas speech with a backpack.</t>
  </si>
  <si>
    <t>RB-01734</t>
  </si>
  <si>
    <t>P10-F01734</t>
  </si>
  <si>
    <t>PHE-121</t>
  </si>
  <si>
    <t>Added null SpeechEventArgs, null/deleted speaker, missing backpack, null speech, and nearby-mobile null/deleted guards before trick-or-treat bag and vendor processing.</t>
  </si>
  <si>
    <t>Data/Scripts/Items/Gifts/Holiday/Halloween/TrickOrTreat.cs:13-35; Data/Scripts/Items/Gifts/Holiday/Halloween/TrickOrTreat.cs:51-60</t>
  </si>
  <si>
    <t>No behavior change for valid live player trick-or-treat speech with a backpack.</t>
  </si>
  <si>
    <t>RB-01735</t>
  </si>
  <si>
    <t>P10-F01735</t>
  </si>
  <si>
    <t>POST-BATCH-E-28A</t>
  </si>
  <si>
    <t>PHE-122</t>
  </si>
  <si>
    <t>Added null SpeechEventArgs and null/deleted mobile guards before design-context lookup, blocked speech message, and speech-block mutation.</t>
  </si>
  <si>
    <t>Data/Scripts/Items/Houses/HouseFoundation.cs:980-997</t>
  </si>
  <si>
    <t>Recorded by current POST-BATCH-E-28A source/audit commit</t>
  </si>
  <si>
    <t>2026-06-09T11:07:59.4473900-05:00</t>
  </si>
  <si>
    <t>No behavior change for valid live house-customization speech.</t>
  </si>
  <si>
    <t>RB-01736</t>
  </si>
  <si>
    <t>P10-F01736</t>
  </si>
  <si>
    <t>Data/Scripts/Items/Houses/Monopoly/Gumps/Error Reporting/Errors.cs</t>
  </si>
  <si>
    <t>PHE-123</t>
  </si>
  <si>
    <t>Added null LoginEventArgs and null/deleted mobile guards before staff access checks, checked-list lookup, and error notification gump dispatch.</t>
  </si>
  <si>
    <t>Data/Scripts/Items/Houses/Monopoly/Gumps/Error Reporting/Errors.cs:22-35; Data/Scripts/Items/Houses/Monopoly/Gumps/Error Reporting/Errors.cs:50-68</t>
  </si>
  <si>
    <t>No UI layout or gump state change; only login hook validation changed.</t>
  </si>
  <si>
    <t>RB-01737</t>
  </si>
  <si>
    <t>P10-F01737</t>
  </si>
  <si>
    <t>Data/Scripts/Items/Houses/Monopoly/Misc/General.cs</t>
  </si>
  <si>
    <t>PHE-124</t>
  </si>
  <si>
    <t>Added safe TownHouseSign cast and null/deleted sign guard before save-time ownership validation.</t>
  </si>
  <si>
    <t>Data/Scripts/Items/Houses/Monopoly/Misc/General.cs:30-36; Data/Scripts/Items/Houses/Monopoly/Misc/General.cs:63-82</t>
  </si>
  <si>
    <t>WorldSave event args remain unused; no serialized layout changed.</t>
  </si>
  <si>
    <t>RB-01738</t>
  </si>
  <si>
    <t>P10-F01738</t>
  </si>
  <si>
    <t>PHE-125</t>
  </si>
  <si>
    <t>Added safe TownHouse cast and null/deleted house/sign guards before sector-definition initialization and region update.</t>
  </si>
  <si>
    <t>Data/Scripts/Items/Houses/Monopoly/Misc/General.cs:30-36; Data/Scripts/Items/Houses/Monopoly/Misc/General.cs:39-59</t>
  </si>
  <si>
    <t>No behavior change for valid live TownHouse entries with live signs.</t>
  </si>
  <si>
    <t>RB-01739</t>
  </si>
  <si>
    <t>P10-F01739</t>
  </si>
  <si>
    <t>PHE-126</t>
  </si>
  <si>
    <t>Added null LoginEventArgs and null/deleted mobile guards before house lookup, plus live TownHouse/sign guards before demolish-timer checks.</t>
  </si>
  <si>
    <t>Data/Scripts/Items/Houses/Monopoly/Misc/General.cs:30-36; Data/Scripts/Items/Houses/Monopoly/Misc/General.cs:85-115</t>
  </si>
  <si>
    <t>No behavior change for valid live login events with town-house ownership.</t>
  </si>
  <si>
    <t>RB-01740</t>
  </si>
  <si>
    <t>P10-F01740</t>
  </si>
  <si>
    <t>PHE-127</t>
  </si>
  <si>
    <t>Added null SpeechEventArgs, null/deleted speaker, null speech, and null/deleted house guards before rental-command and house speech dispatch.</t>
  </si>
  <si>
    <t>Data/Scripts/Items/Houses/Monopoly/Misc/General.cs:30-36; Data/Scripts/Items/Houses/Monopoly/Misc/General.cs:118-154</t>
  </si>
  <si>
    <t>No behavior change for valid live speech in town-house regions.</t>
  </si>
  <si>
    <t>RB-01945</t>
  </si>
  <si>
    <t>P10-F01945</t>
  </si>
  <si>
    <t>PHE-128</t>
  </si>
  <si>
    <t>Added shared speech-event, speaker, speech text, and null/deleted house guards before delegating speech to TownHouse instances.</t>
  </si>
  <si>
    <t>Data/Scripts/Items/Houses/Monopoly/Misc/General.cs:118-149</t>
  </si>
  <si>
    <t>Reviewed with RB-01740 because it is the same active speech handler.</t>
  </si>
  <si>
    <t>RB-02173</t>
  </si>
  <si>
    <t>P10-F02173</t>
  </si>
  <si>
    <t>PHE-129</t>
  </si>
  <si>
    <t>Same source fix as RB-01737: safe TownHouseSign cast and null/deleted sign guard before save-time ownership validation.</t>
  </si>
  <si>
    <t>Duplicate WorldSave evidence with RB-01737; no serialized layout changed.</t>
  </si>
  <si>
    <t>RB-01758</t>
  </si>
  <si>
    <t>P10-F01758</t>
  </si>
  <si>
    <t>Data/Scripts/System/Chat/General/General.cs</t>
  </si>
  <si>
    <t>POST-BATCH-E-29A</t>
  </si>
  <si>
    <t>PHE-130</t>
  </si>
  <si>
    <t>Kept WorldLoad registration unchanged; source loads chat data/help/filter files and only calls singleton-backed IRC autoconnect when configured.</t>
  </si>
  <si>
    <t>Data/Scripts/System/Chat/General/General.cs:53-64; Data/Scripts/System/Chat/General/IrcConnection.cs:34-38</t>
  </si>
  <si>
    <t>Recorded by current POST-BATCH-E-29A source/audit commit</t>
  </si>
  <si>
    <t>2026-06-09T11:21:06.8359454-05:00</t>
  </si>
  <si>
    <t>Duplicate WorldLoad evidence with RB-02198; no event args or player trust boundary are dereferenced.</t>
  </si>
  <si>
    <t>RB-01759</t>
  </si>
  <si>
    <t>P10-F01759</t>
  </si>
  <si>
    <t>PHE-131</t>
  </si>
  <si>
    <t>Added null Data, null Messages, and null Message guards before seven-day message cleanup during chat world save.</t>
  </si>
  <si>
    <t>Data/Scripts/System/Chat/General/General.cs:66-88</t>
  </si>
  <si>
    <t>RB-01760</t>
  </si>
  <si>
    <t>P10-F01760</t>
  </si>
  <si>
    <t>PHE-132</t>
  </si>
  <si>
    <t>Added null SpeechEventArgs, null/deleted speaker, null speech, stale recording, and stale chat data/list guards before recording, filtering, and global speech fan-out.</t>
  </si>
  <si>
    <t>Data/Scripts/System/Chat/General/General.cs:103-158</t>
  </si>
  <si>
    <t>No behavior change for valid live speech events.</t>
  </si>
  <si>
    <t>RB-01761</t>
  </si>
  <si>
    <t>P10-F01761</t>
  </si>
  <si>
    <t>PHE-133</t>
  </si>
  <si>
    <t>Added null LoginEventArgs and null/deleted mobile guards, reused one Data lookup, and skipped stale chat data/friend-list entries before PM notification and friend-alert fan-out.</t>
  </si>
  <si>
    <t>Data/Scripts/System/Chat/General/General.cs:160-195</t>
  </si>
  <si>
    <t>No behavior change for valid live login events.</t>
  </si>
  <si>
    <t>RB-01762</t>
  </si>
  <si>
    <t>P10-F01762</t>
  </si>
  <si>
    <t>PHE-134</t>
  </si>
  <si>
    <t>Added null CharacterCreatedEventArgs and null/deleted mobile guards, preserved chat data creation, and skipped null channel entries before auto-joining new-character channels.</t>
  </si>
  <si>
    <t>Data/Scripts/System/Chat/General/General.cs:197-208</t>
  </si>
  <si>
    <t>No behavior change for valid live character-created events.</t>
  </si>
  <si>
    <t>RB-01763</t>
  </si>
  <si>
    <t>P10-F01763</t>
  </si>
  <si>
    <t>Data/Scripts/System/Chat/Gumps/Error Reporting/Errors.cs</t>
  </si>
  <si>
    <t>PHE-135</t>
  </si>
  <si>
    <t>Data/Scripts/System/Chat/Gumps/Error Reporting/Errors.cs:45-60</t>
  </si>
  <si>
    <t>RB-01977</t>
  </si>
  <si>
    <t>P10-F01977</t>
  </si>
  <si>
    <t>PHE-136</t>
  </si>
  <si>
    <t>Same source fix as RB-01760: guarded speech event args, speaker, speech text, recording state, and global speech recipient data before chat speech processing.</t>
  </si>
  <si>
    <t>Duplicate speech-handler evidence with RB-01760.</t>
  </si>
  <si>
    <t>RB-02175</t>
  </si>
  <si>
    <t>P10-F02175</t>
  </si>
  <si>
    <t>PHE-137</t>
  </si>
  <si>
    <t>Same source fix as RB-01759: guarded stale chat data/message entries before save-time seven-day message cleanup.</t>
  </si>
  <si>
    <t>Duplicate WorldSave evidence with RB-01759; no serialized layout changed.</t>
  </si>
  <si>
    <t>RB-02198</t>
  </si>
  <si>
    <t>P10-F02198</t>
  </si>
  <si>
    <t>PHE-138</t>
  </si>
  <si>
    <t>Same source review as RB-01758: kept startup chat load/autoconnect behavior unchanged because no event args or player trust boundary are dereferenced and IRC connection is singleton-backed.</t>
  </si>
  <si>
    <t>Duplicate WorldLoad evidence with RB-01758.</t>
  </si>
  <si>
    <t>RB-02390</t>
  </si>
  <si>
    <t>P10-F02390</t>
  </si>
  <si>
    <t>Data/Scripts/System/Chat/Gumps/3.0 Skin/SendMessageGump.cs</t>
  </si>
  <si>
    <t>POST-BATCH-E-30A</t>
  </si>
  <si>
    <t>PHE-139</t>
  </si>
  <si>
    <t>Added stale hue-picker gump, owner, and deleted-owner guards before mutating message color and rebuilding the gump.</t>
  </si>
  <si>
    <t>Data/Scripts/System/Chat/Gumps/3.0 Skin/SendMessageGump.cs:268-275</t>
  </si>
  <si>
    <t>Recorded by current POST-BATCH-E-30A source/audit commit</t>
  </si>
  <si>
    <t>2026-06-09T11:26:48.6563353-05:00</t>
  </si>
  <si>
    <t>No UI layout change; valid hue-picker responses with live owners still update message color and refresh the gump.</t>
  </si>
  <si>
    <t>RB-03108</t>
  </si>
  <si>
    <t>P10-F03108</t>
  </si>
  <si>
    <t>Data/Scripts/System/Chat/Gumps/3.0 Skin/ProfileGump.cs</t>
  </si>
  <si>
    <t>PHE-140</t>
  </si>
  <si>
    <t>Added null/deleted owner and target guards before rebuilding the profile gump, reading target NetState, or opening ClientGump.</t>
  </si>
  <si>
    <t>Data/Scripts/System/Chat/Gumps/3.0 Skin/ProfileGump.cs:464-477</t>
  </si>
  <si>
    <t>No behavior change for valid staff client-view requests against live targets.</t>
  </si>
  <si>
    <t>RB-03434</t>
  </si>
  <si>
    <t>P10-F03434</t>
  </si>
  <si>
    <t>PHE-141</t>
  </si>
  <si>
    <t>Same source fix as RB-02390: guarded stale hue-picker gump and owner state before applying color response.</t>
  </si>
  <si>
    <t>Duplicate gump-guard evidence with RB-02390.</t>
  </si>
  <si>
    <t>RB-04063</t>
  </si>
  <si>
    <t>P10-F04063</t>
  </si>
  <si>
    <t>PHE-142</t>
  </si>
  <si>
    <t>Same source fix as RB-03108: guarded stale owner and target state before ClientGump dispatch.</t>
  </si>
  <si>
    <t>Duplicate gump-guard evidence with RB-03108.</t>
  </si>
  <si>
    <t>RB-01741</t>
  </si>
  <si>
    <t>P10-F01741</t>
  </si>
  <si>
    <t>Data/Scripts/Items/Magical/SoulOrb.cs</t>
  </si>
  <si>
    <t>POST-BATCH-E-31A</t>
  </si>
  <si>
    <t>PHE-143</t>
  </si>
  <si>
    <t>Added null PlayerDeathEventArgs guard before reading e.Mobile in the PlayerDeath hook.</t>
  </si>
  <si>
    <t>Data/Scripts/Items/Magical/SoulOrb.cs:74-82</t>
  </si>
  <si>
    <t>Recorded by current POST-BATCH-E-31A source/audit commit</t>
  </si>
  <si>
    <t>2026-06-09T11:34:19.3992586-05:00</t>
  </si>
  <si>
    <t>Valid soul-orb resurrection behavior and delayed resurrection scheduling were preserved; serialization, public APIs, namespaces, type names, save versions, file location, and project files were unchanged.</t>
  </si>
  <si>
    <t>RB-01742</t>
  </si>
  <si>
    <t>P10-F01742</t>
  </si>
  <si>
    <t>Data/Scripts/Items/Misc/Games/LiarsDice/DiceChannel.cs</t>
  </si>
  <si>
    <t>POST-BATCH-E-32A</t>
  </si>
  <si>
    <t>PHE-144</t>
  </si>
  <si>
    <t>Added null DisconnectedEventArgs, null/deleted mobile, stale dice-player, and list-count bounds guards before disconnect removal and broadcast.</t>
  </si>
  <si>
    <t>Data/Scripts/Items/Misc/Games/LiarsDice/DiceChannel.cs:258-276</t>
  </si>
  <si>
    <t>Recorded by current POST-BATCH-E-32A source/audit commit</t>
  </si>
  <si>
    <t>2026-06-09T11:38:53.1223165-05:00</t>
  </si>
  <si>
    <t>Valid disconnect removal, balance exchange, and disconnect broadcast behavior were preserved; serialization, public APIs, namespaces, type names, save versions, file location, and project files were unchanged.</t>
  </si>
  <si>
    <t>RB-01743</t>
  </si>
  <si>
    <t>P10-F01743</t>
  </si>
  <si>
    <t>PHE-145</t>
  </si>
  <si>
    <t>Added list-count bounds and stale/null/deleted dice-player guards before crash-time table-balance deposits.</t>
  </si>
  <si>
    <t>Data/Scripts/Items/Misc/Games/LiarsDice/DiceChannel.cs:237-252</t>
  </si>
  <si>
    <t>Valid crash-time balance return behavior for live players was preserved; stale or deleted player entries are skipped to avoid hook-time faults.</t>
  </si>
  <si>
    <t>RB-01744</t>
  </si>
  <si>
    <t>P10-F01744</t>
  </si>
  <si>
    <t>Data/Scripts/Items/Potions/Special/AutoResPotion.cs</t>
  </si>
  <si>
    <t>POST-BATCH-E-33A</t>
  </si>
  <si>
    <t>PHE-146</t>
  </si>
  <si>
    <t>Data/Scripts/Items/Potions/Special/AutoResPotion.cs:91-99</t>
  </si>
  <si>
    <t>Recorded by current POST-BATCH-E-33A source/audit commit</t>
  </si>
  <si>
    <t>2026-06-09T11:42:09.0095311-05:00</t>
  </si>
  <si>
    <t>Valid auto-resurrection potion behavior and delayed resurrection scheduling were preserved; serialization, public APIs, namespaces, type names, save versions, file location, and project files were unchanged.</t>
  </si>
  <si>
    <t>RB-01745</t>
  </si>
  <si>
    <t>P10-F01745</t>
  </si>
  <si>
    <t>Data/Scripts/Items/Weapons/Hands/Fists.cs</t>
  </si>
  <si>
    <t>POST-BATCH-E-34A</t>
  </si>
  <si>
    <t>PHE-147</t>
  </si>
  <si>
    <t>Added null DisarmRequestEventArgs and null/deleted mobile guards before skill, free-hand, disruptive-action, and ready-toggle logic.</t>
  </si>
  <si>
    <t>Data/Scripts/Items/Weapons/Hands/Fists.cs:270-282</t>
  </si>
  <si>
    <t>Recorded by current POST-BATCH-E-34A source/audit commit</t>
  </si>
  <si>
    <t>2026-06-09T11:45:34.9680825-05:00</t>
  </si>
  <si>
    <t>Valid disarm request toggle behavior, skill checks, serialization, public APIs, namespaces, type names, save versions, file location, and project files were unchanged.</t>
  </si>
  <si>
    <t>RB-01746</t>
  </si>
  <si>
    <t>P10-F01746</t>
  </si>
  <si>
    <t>PHE-148</t>
  </si>
  <si>
    <t>Added null StunRequestEventArgs and null/deleted mobile guards before skill, free-hand, disruptive-action, and ready-toggle logic.</t>
  </si>
  <si>
    <t>Data/Scripts/Items/Weapons/Hands/Fists.cs:300-312</t>
  </si>
  <si>
    <t>Valid stun request toggle behavior, skill checks, serialization, public APIs, namespaces, type names, save versions, file location, and project files were unchanged.</t>
  </si>
  <si>
    <t>RB-01747</t>
  </si>
  <si>
    <t>P10-F01747</t>
  </si>
  <si>
    <t>Spell Framework</t>
  </si>
  <si>
    <t>Data/Scripts/Magic/Magery/Spellbook.cs</t>
  </si>
  <si>
    <t>POST-BATCH-E-35A</t>
  </si>
  <si>
    <t>PHE-149</t>
  </si>
  <si>
    <t>Added null OpenSpellbookRequestEventArgs and null/deleted mobile guards before design-context checks, spellbook type selection, lookup, and display.</t>
  </si>
  <si>
    <t>Data/Scripts/Magic/Magery/Spellbook.cs:120-130</t>
  </si>
  <si>
    <t>Recorded by current POST-BATCH-E-35A source/audit commit</t>
  </si>
  <si>
    <t>2026-06-09T11:49:00.1804200-05:00</t>
  </si>
  <si>
    <t>Valid spellbook open behavior, book lookup, serialization, public APIs, namespaces, type names, save versions, file location, and project files were unchanged.</t>
  </si>
  <si>
    <t>RB-01748</t>
  </si>
  <si>
    <t>P10-F01748</t>
  </si>
  <si>
    <t>PHE-150</t>
  </si>
  <si>
    <t>Added null CastSpellRequestEventArgs and null/deleted mobile guards before design-context checks, requested spellbook lookup, special move selection, and spell casting.</t>
  </si>
  <si>
    <t>Data/Scripts/Magic/Magery/Spellbook.cs:184-194</t>
  </si>
  <si>
    <t>Valid spell casting behavior, special-move selection, serialization, public APIs, namespaces, type names, save versions, file location, and project files were unchanged.</t>
  </si>
  <si>
    <t>RB-01749</t>
  </si>
  <si>
    <t>P10-F01749</t>
  </si>
  <si>
    <t>Data/Scripts/Magic/Ninjitsu/AnimalForm.cs</t>
  </si>
  <si>
    <t>POST-BATCH-E-36A</t>
  </si>
  <si>
    <t>PHE-151</t>
  </si>
  <si>
    <t>Added null LoginEventArgs and null/deleted mobile guards before animal-form context lookup and speed-control packet send.</t>
  </si>
  <si>
    <t>Data/Scripts/Magic/Ninjitsu/AnimalForm.cs:20-31</t>
  </si>
  <si>
    <t>Recorded by current POST-BATCH-E-36A source/audit commit</t>
  </si>
  <si>
    <t>2026-06-09T11:52:53.8033110-05:00</t>
  </si>
  <si>
    <t>Valid animal-form speed boost restoration on login was preserved; serialization, public APIs, namespaces, type names, save versions, file location, and project files were unchanged.</t>
  </si>
  <si>
    <t>RB-01750</t>
  </si>
  <si>
    <t>P10-F01750</t>
  </si>
  <si>
    <t>Data/Scripts/Magic/Research/Spells/Enchanting/ResearchEnchant.cs</t>
  </si>
  <si>
    <t>POST-BATCH-RESEARCH-LOGOUT</t>
  </si>
  <si>
    <t>RLO-01</t>
  </si>
  <si>
    <t>Register one static Logout handler during Initialize; select active owner orbs and use World.FindItem; bind expiry/load cleanup to individual orbs.</t>
  </si>
  <si>
    <t>docs/codebase-audit/outputs/post-batch-research-logout-review.csv</t>
  </si>
  <si>
    <t>Data/Scripts/Magic/Research/Spells/Enchanting/ResearchEnchant.cs; ResearchEnchant.Initialize:L54;OnLogout:L65;EndEffects:L227;EndEffect:L236;ResearchEnchantStone.FindByOwner:L268;OnAfterDelete:L292;Deserialize:L318;RunTime:L334</t>
  </si>
  <si>
    <t>Recorded by POST-BATCH-RESEARCH-LOGOUT source/audit commit</t>
  </si>
  <si>
    <t>Fixes per-cast retained callbacks and two world-item scans per callback. Saved fields/version/order unchanged; RB-01376 remains separate. Supersedes POST-BATCH-E-37A guard-only closeout for this defect. Verification: docs/codebase-audit/outputs/post-batch-research-logout-closeout.md</t>
  </si>
  <si>
    <t>RB-01751</t>
  </si>
  <si>
    <t>P10-F01751</t>
  </si>
  <si>
    <t>Data/Scripts/Magic/Research/Spells/Enchanting/ResearchSneak.cs</t>
  </si>
  <si>
    <t>RLO-02</t>
  </si>
  <si>
    <t>Register one static Logout handler during Initialize and remove Sneak only for a logging-out mobile with an active effect.</t>
  </si>
  <si>
    <t>Data/Scripts/Magic/Research/Spells/Enchanting/ResearchSneak.cs; ResearchSneak.Initialize:L48;OnCast:L54;OnLogout:L62;HasEffect:L82;RemoveEffect:L87</t>
  </si>
  <si>
    <t>Fixes per-cast retained callbacks and prevents revealing unrelated hidden players. Recipient cleanup remains intact. Supersedes POST-BATCH-E-38A guard-only closeout for this defect. Verification: docs/codebase-audit/outputs/post-batch-research-logout-closeout.md</t>
  </si>
  <si>
    <t>RB-01752</t>
  </si>
  <si>
    <t>P10-F01752</t>
  </si>
  <si>
    <t>Vendor Core</t>
  </si>
  <si>
    <t>POST-BATCH-E-39A</t>
  </si>
  <si>
    <t>PHE-154</t>
  </si>
  <si>
    <t>Reviewed StunRequest invocation; no source change because the AI owner is already required by the action method and the subscribed Fists handler guards null event args and null/deleted mobiles.</t>
  </si>
  <si>
    <t>Data/Scripts/Mobiles/Base/Behavior.cs:14127-14200; Data/Scripts/Items/Weapons/Hands/Fists.cs:13-14;270-328; Data/System/Source/EventSink.cs:654-681;1357-1367</t>
  </si>
  <si>
    <t>Recorded by current POST-BATCH-E-39A review-only audit commit</t>
  </si>
  <si>
    <t>2026-06-09T19:17:48.2720365-05:00</t>
  </si>
  <si>
    <t>Source review only; source build and compile-only verification were not required because no source files changed.</t>
  </si>
  <si>
    <t>RB-01753</t>
  </si>
  <si>
    <t>P10-F01753</t>
  </si>
  <si>
    <t>PHE-155</t>
  </si>
  <si>
    <t>Reviewed DisarmRequest invocation; no source change because the AI owner is already required by the action method and the subscribed Fists handler guards null event args and null/deleted mobiles.</t>
  </si>
  <si>
    <t>Data/Scripts/Mobiles/Base/Behavior.cs:15058-15092; Data/Scripts/Items/Weapons/Hands/Fists.cs:13-14;270-328; Data/System/Source/EventSink.cs:654-681;1357-1367</t>
  </si>
  <si>
    <t>RB-01754</t>
  </si>
  <si>
    <t>P10-F01754</t>
  </si>
  <si>
    <t>POST-BATCH-E-40A</t>
  </si>
  <si>
    <t>PHE-156</t>
  </si>
  <si>
    <t>Added null LoginEventArgs and null/deleted mobile guards before atrophy checks, lockdown notice handling, disconnect scheduling, and auto-stabled pet claim.</t>
  </si>
  <si>
    <t>Data/Scripts/Mobiles/Base/PlayerMobile.cs:1003-1054</t>
  </si>
  <si>
    <t>Recorded by current POST-BATCH-E-40A source/audit commit</t>
  </si>
  <si>
    <t>2026-06-09T19:21:50.9852241-05:00</t>
  </si>
  <si>
    <t>Valid login behavior was preserved; serialization, public APIs, namespaces, type names, save versions, file location, and project files were unchanged.</t>
  </si>
  <si>
    <t>RB-01755</t>
  </si>
  <si>
    <t>P10-F01755</t>
  </si>
  <si>
    <t>PHE-157</t>
  </si>
  <si>
    <t>Added null LogoutEventArgs and null/deleted mobile guards before PlayerMobile auto-stabled pet cleanup.</t>
  </si>
  <si>
    <t>Data/Scripts/Mobiles/Base/PlayerMobile.cs:1328-1340</t>
  </si>
  <si>
    <t>Valid logout auto-stabling behavior was preserved; serialization, public APIs, namespaces, type names, save versions, file location, and project files were unchanged.</t>
  </si>
  <si>
    <t>RB-01756</t>
  </si>
  <si>
    <t>P10-F01756</t>
  </si>
  <si>
    <t>PHE-158</t>
  </si>
  <si>
    <t>Added null ConnectedEventArgs and null/deleted mobile guards before session tracking, quest timer start, disguise timer start, and special-move clearing.</t>
  </si>
  <si>
    <t>Data/Scripts/Mobiles/Base/PlayerMobile.cs:1342-1372</t>
  </si>
  <si>
    <t>Valid connect behavior was preserved for live mobiles; serialization, public APIs, namespaces, type names, save versions, file location, and project files were unchanged.</t>
  </si>
  <si>
    <t>RB-01757</t>
  </si>
  <si>
    <t>P10-F01757</t>
  </si>
  <si>
    <t>PHE-159</t>
  </si>
  <si>
    <t>Added null DisconnectedEventArgs and null/deleted mobile guards before design-context cleanup, session accounting, quest timer stop, speech-log cleanup, last-online update, and disguise timer stop.</t>
  </si>
  <si>
    <t>Data/Scripts/Mobiles/Base/PlayerMobile.cs:1381-1430</t>
  </si>
  <si>
    <t>Valid disconnect behavior was preserved for live mobiles; serialization, public APIs, namespaces, type names, save versions, file location, and project files were unchanged.</t>
  </si>
  <si>
    <t>RB-01764</t>
  </si>
  <si>
    <t>P10-F01764</t>
  </si>
  <si>
    <t>Data/Scripts/System/Commands/Logging.cs</t>
  </si>
  <si>
    <t>POST-BATCH-E-41A</t>
  </si>
  <si>
    <t>PHE-160</t>
  </si>
  <si>
    <t>Added null CommandEventArgs and null/deleted mobile guards before command log formatting and WriteLine dispatch.</t>
  </si>
  <si>
    <t>Data/Scripts/System/Commands/Logging.cs:157-175</t>
  </si>
  <si>
    <t>Recorded by current POST-BATCH-E-41A source/audit commit</t>
  </si>
  <si>
    <t>2026-06-09T19:30:31.1738917-05:00</t>
  </si>
  <si>
    <t>Valid command logging behavior was preserved for live mobiles; serialization, public APIs, namespaces, type names, save versions, file location, and project files were unchanged.</t>
  </si>
  <si>
    <t>RB-01765</t>
  </si>
  <si>
    <t>P10-F01765</t>
  </si>
  <si>
    <t>Data/Scripts/System/Commands/VisibilityList.cs</t>
  </si>
  <si>
    <t>POST-BATCH-E-42A</t>
  </si>
  <si>
    <t>PHE-161</t>
  </si>
  <si>
    <t>Added null LoginEventArgs and null/deleted mobile guards before PlayerMobile visibility-list login cleanup.</t>
  </si>
  <si>
    <t>Data/Scripts/System/Commands/VisibilityList.cs:34-50</t>
  </si>
  <si>
    <t>Recorded by current POST-BATCH-E-42A source/audit commit</t>
  </si>
  <si>
    <t>2026-06-09T19:34:14.4161032-05:00</t>
  </si>
  <si>
    <t>Valid login visibility-list reset behavior was preserved; serialization, public APIs, namespaces, type names, save versions, file location, and project files were unchanged.</t>
  </si>
  <si>
    <t>RB-01766</t>
  </si>
  <si>
    <t>P10-F01766</t>
  </si>
  <si>
    <t>Data/Scripts/System/Commands/Player/Afk.cs</t>
  </si>
  <si>
    <t>POST-BATCH-E-43A</t>
  </si>
  <si>
    <t>PHE-162</t>
  </si>
  <si>
    <t>Added null LogoutEventArgs and null mobile guards before AFK table lookup and wake-up cleanup.</t>
  </si>
  <si>
    <t>Data/Scripts/System/Commands/Player/Afk.cs:55-75</t>
  </si>
  <si>
    <t>Recorded by current POST-BATCH-E-43A source/audit commit</t>
  </si>
  <si>
    <t>2026-06-09T19:38:51.1881605-05:00</t>
  </si>
  <si>
    <t>Valid logout AFK cleanup was preserved for valid mobiles; serialization, public APIs, namespaces, type names, save versions, file location, and project files were unchanged.</t>
  </si>
  <si>
    <t>RB-01767</t>
  </si>
  <si>
    <t>P10-F01767</t>
  </si>
  <si>
    <t>PHE-163</t>
  </si>
  <si>
    <t>Added null SpeechEventArgs and null mobile guards before AFK table lookup and wake-up cleanup.</t>
  </si>
  <si>
    <t>Data/Scripts/System/Commands/Player/Afk.cs:77-97</t>
  </si>
  <si>
    <t>Valid speech AFK wake-up behavior was preserved; serialization, public APIs, namespaces, type names, save versions, file location, and project files were unchanged.</t>
  </si>
  <si>
    <t>RB-01768</t>
  </si>
  <si>
    <t>P10-F01768</t>
  </si>
  <si>
    <t>PHE-164</t>
  </si>
  <si>
    <t>Added null PlayerDeathEventArgs and null mobile guards before AFK table lookup, death sound, and wake-up cleanup.</t>
  </si>
  <si>
    <t>Data/Scripts/System/Commands/Player/Afk.cs:32-53</t>
  </si>
  <si>
    <t>Valid death AFK wake-up behavior was preserved for valid mobiles; serialization, public APIs, namespaces, type names, save versions, file location, and project files were unchanged.</t>
  </si>
  <si>
    <t>RB-01978</t>
  </si>
  <si>
    <t>P10-F01978</t>
  </si>
  <si>
    <t>PHE-165</t>
  </si>
  <si>
    <t>Resolved duplicate speech-method marker with the same null SpeechEventArgs and null mobile guards added to AFK.OnSpeech.</t>
  </si>
  <si>
    <t>Duplicate speech-method marker shares the RB-01767 source fix; valid speech AFK wake-up behavior was preserved.</t>
  </si>
  <si>
    <t>RB-01769</t>
  </si>
  <si>
    <t>P10-F01769</t>
  </si>
  <si>
    <t>Data/Scripts/System/Commands/Player/AutoSheatheWeapon.cs</t>
  </si>
  <si>
    <t>POST-BATCH-E-44A</t>
  </si>
  <si>
    <t>PHE-166</t>
  </si>
  <si>
    <t>Added null LogoutEventArgs and null mobile guards before cached weapon-state cleanup.</t>
  </si>
  <si>
    <t>Data/Scripts/System/Commands/Player/AutoSheatheWeapon.cs:67-78</t>
  </si>
  <si>
    <t>Recorded by current POST-BATCH-E-44A source/audit commit</t>
  </si>
  <si>
    <t>2026-06-09T19:42:42.4534284-05:00</t>
  </si>
  <si>
    <t>Valid logout cache cleanup was preserved for valid mobile objects; no deleted-mobile early return was added so cleanup by serial remains intact.</t>
  </si>
  <si>
    <t>RB-01770</t>
  </si>
  <si>
    <t>P10-F01770</t>
  </si>
  <si>
    <t>System:Gumps</t>
  </si>
  <si>
    <t>Data/Scripts/System/Gumps/ReportMurderer.cs</t>
  </si>
  <si>
    <t>POST-BATCH-E-45A</t>
  </si>
  <si>
    <t>PHE-167</t>
  </si>
  <si>
    <t>Added null PlayerDeathEventArgs and null/deleted victim mobile guards before murder-report aggressor processing.</t>
  </si>
  <si>
    <t>Data/Scripts/System/Gumps/ReportMurderer.cs:20-91</t>
  </si>
  <si>
    <t>Recorded by current POST-BATCH-E-45A source/audit commit</t>
  </si>
  <si>
    <t>2026-06-09T19:46:29.0986166-05:00</t>
  </si>
  <si>
    <t>Valid murder-report behavior was preserved; serialization, public APIs, namespaces, type names, save versions, file location, and project files were unchanged.</t>
  </si>
  <si>
    <t>RB-01771</t>
  </si>
  <si>
    <t>P10-F01771</t>
  </si>
  <si>
    <t>System:Help</t>
  </si>
  <si>
    <t>Data/Scripts/System/Help/Gumps/HelpGump.cs</t>
  </si>
  <si>
    <t>POST-BATCH-E-46A</t>
  </si>
  <si>
    <t>PHE-168</t>
  </si>
  <si>
    <t>Added null HelpRequestEventArgs, null/deleted mobile, and null NetState guards before help-gump/session checks.</t>
  </si>
  <si>
    <t>Data/Scripts/System/Help/Gumps/HelpGump.cs:74-97</t>
  </si>
  <si>
    <t>Recorded by current POST-BATCH-E-46A source/audit commit</t>
  </si>
  <si>
    <t>2026-06-09T19:49:55.6040746-05:00</t>
  </si>
  <si>
    <t>Valid help-request behavior was preserved; serialization, public APIs, namespaces, type names, save versions, file location, and project files were unchanged.</t>
  </si>
  <si>
    <t>RB-01772</t>
  </si>
  <si>
    <t>P10-F01772</t>
  </si>
  <si>
    <t>Data/Scripts/System/Misc/Accounts.cs</t>
  </si>
  <si>
    <t>POST-BATCH-E-47A</t>
  </si>
  <si>
    <t>PHE-169</t>
  </si>
  <si>
    <t>Added null SocketConnectEventArgs and null/non-IPEndPoint socket endpoint guards before firewall/IP limit checks; invalid socket state denies the connection rather than throwing.</t>
  </si>
  <si>
    <t>Data/Scripts/System/Misc/Accounts.cs:67-107; Data/System/Source/EventSink.cs:533-552;1321-1324</t>
  </si>
  <si>
    <t>Recorded by current POST-BATCH-E-47A source/audit commit</t>
  </si>
  <si>
    <t>2026-06-09T19:56:07.2914086-05:00</t>
  </si>
  <si>
    <t>Valid connection filtering behavior was preserved; serialization, public APIs, namespaces, type names, save versions, file location, and project files were unchanged.</t>
  </si>
  <si>
    <t>RB-01773</t>
  </si>
  <si>
    <t>P10-F01773</t>
  </si>
  <si>
    <t>PHE-170</t>
  </si>
  <si>
    <t>Added null DeleteRequestEventArgs and null NetState guards before account lookup, character index validation, and delete-result dispatch.</t>
  </si>
  <si>
    <t>Data/Scripts/System/Misc/Accounts.cs:456-506; Data/System/Source/EventSink.cs:164-182;1231-1234</t>
  </si>
  <si>
    <t>Valid character delete request behavior was preserved; serialization, public APIs, namespaces, type names, save versions, file location, and project files were unchanged.</t>
  </si>
  <si>
    <t>RB-01774</t>
  </si>
  <si>
    <t>P10-F01774</t>
  </si>
  <si>
    <t>PHE-171</t>
  </si>
  <si>
    <t>Added null AccountLoginEventArgs and null NetState guards before IP limit and credential checks; null username/password values are normalized to empty strings before lookup/create validation.</t>
  </si>
  <si>
    <t>Data/Scripts/System/Misc/Accounts.cs:600-668; Data/System/Source/EventSink.cs:352-389;1273-1276</t>
  </si>
  <si>
    <t>Valid account login behavior was preserved for populated credentials; invalid null credentials now reject cleanly; serialization, public APIs, namespaces, type names, save versions, file location, and project files were unchanged.</t>
  </si>
  <si>
    <t>RB-01775</t>
  </si>
  <si>
    <t>P10-F01775</t>
  </si>
  <si>
    <t>PHE-172</t>
  </si>
  <si>
    <t>Added null GameLoginEventArgs and null NetState guards before IP limit and account credential checks; null username/password values are normalized to empty strings before lookup validation.</t>
  </si>
  <si>
    <t>Data/Scripts/System/Misc/Accounts.cs:670-723; Data/System/Source/EventSink.cs:185-221;1237-1240</t>
  </si>
  <si>
    <t>Valid game login behavior was preserved for populated credentials; invalid null credentials now reject cleanly; serialization, public APIs, namespaces, type names, save versions, file location, and project files were unchanged.</t>
  </si>
  <si>
    <t>RB-01776</t>
  </si>
  <si>
    <t>P10-F01776</t>
  </si>
  <si>
    <t>PHE-173</t>
  </si>
  <si>
    <t>Reviewed WorldLoad registration; no source change because WorldLoadEventHandler has no event args and Accounts.Load has no event/mobile/state dereference to guard.</t>
  </si>
  <si>
    <t>Data/Scripts/System/Misc/Accounts.cs:733-735;774-799; Data/System/Source/EventSink.cs:67;1429-1432</t>
  </si>
  <si>
    <t>Account XML load behavior remains unchanged; no save migration, public API, namespace, type name, save version, file location, or project file change.</t>
  </si>
  <si>
    <t>RB-01777</t>
  </si>
  <si>
    <t>P10-F01777</t>
  </si>
  <si>
    <t>PHE-174</t>
  </si>
  <si>
    <t>Reviewed WorldSave registration; no source change because Accounts.Save does not consume WorldSaveEventArgs and must preserve direct/manual save behavior.</t>
  </si>
  <si>
    <t>Data/Scripts/System/Misc/Accounts.cs:733-736;801-829; Data/System/Source/EventSink.cs:1105-1118;1435-1438</t>
  </si>
  <si>
    <t>Account XML save behavior remains unchanged; no save migration, public API, namespace, type name, save version, file location, or project file change.</t>
  </si>
  <si>
    <t>RB-01778</t>
  </si>
  <si>
    <t>P10-F01778</t>
  </si>
  <si>
    <t>PHE-175</t>
  </si>
  <si>
    <t>Added null ConnectedEventArgs and null/deleted mobile guards before account lookup and young timer startup.</t>
  </si>
  <si>
    <t>Data/Scripts/System/Misc/Accounts.cs:1332-1355; Data/System/Source/EventSink.cs:555-567;1327-1330</t>
  </si>
  <si>
    <t>Valid account connected behavior was preserved for live mobiles; serialization, public APIs, namespaces, type names, save versions, file location, and project files were unchanged.</t>
  </si>
  <si>
    <t>RB-01779</t>
  </si>
  <si>
    <t>P10-F01779</t>
  </si>
  <si>
    <t>PHE-176</t>
  </si>
  <si>
    <t>Added null DisconnectedEventArgs and null mobile guards before account lookup, young timer stop, and session-time accounting; no deleted-mobile early return was added so valid mobile cleanup remains intact.</t>
  </si>
  <si>
    <t>Data/Scripts/System/Misc/Accounts.cs:1332-1336;1357-1379; Data/System/Source/EventSink.cs:570-582;1333-1336</t>
  </si>
  <si>
    <t>Valid account disconnect cleanup was preserved for valid mobile objects; serialization, public APIs, namespaces, type names, save versions, file location, and project files were unchanged.</t>
  </si>
  <si>
    <t>RB-01780</t>
  </si>
  <si>
    <t>P10-F01780</t>
  </si>
  <si>
    <t>PHE-177</t>
  </si>
  <si>
    <t>Added null LoginEventArgs and null/deleted mobile guards before PlayerMobile/account lookup and young-status message dispatch.</t>
  </si>
  <si>
    <t>Data/Scripts/System/Misc/Accounts.cs:1332-1336;1381-1407; Data/System/Source/EventSink.cs:1090-1102;1405-1408</t>
  </si>
  <si>
    <t>Valid young-status login messaging was preserved for live PlayerMobiles; serialization, public APIs, namespaces, type names, save versions, file location, and project files were unchanged.</t>
  </si>
  <si>
    <t>RB-02177</t>
  </si>
  <si>
    <t>P10-F02177</t>
  </si>
  <si>
    <t>PHE-178</t>
  </si>
  <si>
    <t>Resolved duplicate WorldSave marker with the same source review as RB-01777; Accounts.Save does not consume WorldSaveEventArgs, and preserving save behavior is safer than adding a null-args early return.</t>
  </si>
  <si>
    <t>Duplicate WorldSave marker remains behaviorally unchanged; account XML persistence semantics are preserved.</t>
  </si>
  <si>
    <t>RB-02199</t>
  </si>
  <si>
    <t>P10-F02199</t>
  </si>
  <si>
    <t>PHE-179</t>
  </si>
  <si>
    <t>Resolved duplicate WorldLoad marker with the same source review as RB-01776; WorldLoadEventHandler has no event args and Accounts.Load has no event/mobile/state dereference to guard.</t>
  </si>
  <si>
    <t>Duplicate WorldLoad marker remains behaviorally unchanged; account XML load semantics are preserved.</t>
  </si>
  <si>
    <t>RB-01781</t>
  </si>
  <si>
    <t>P10-F01781</t>
  </si>
  <si>
    <t>Data/Scripts/System/Misc/Animations.cs</t>
  </si>
  <si>
    <t>POST-BATCH-E-48A</t>
  </si>
  <si>
    <t>PHE-180</t>
  </si>
  <si>
    <t>Added null AnimateRequestEventArgs, null/deleted mobile, and null action guards before bow/salute action selection and animation eligibility checks.</t>
  </si>
  <si>
    <t>Data/Scripts/System/Misc/Animations.cs:8-35; Data/System/Source/EventSink.cs:585-603;1339-1342; Data/System/Source/Network/PacketHandlers.cs:800-837</t>
  </si>
  <si>
    <t>Recorded by current POST-BATCH-E-48A source/audit commit</t>
  </si>
  <si>
    <t>2026-06-09T20:02:18.7424669-05:00</t>
  </si>
  <si>
    <t>Valid bow/salute animation behavior was preserved; serialization, public APIs, namespaces, type names, save versions, file location, and project files were unchanged.</t>
  </si>
  <si>
    <t>RB-01782</t>
  </si>
  <si>
    <t>P10-F01782</t>
  </si>
  <si>
    <t>Data/Scripts/System/Misc/AttackMessage.cs</t>
  </si>
  <si>
    <t>POST-BATCH-E-49A</t>
  </si>
  <si>
    <t>PHE-181</t>
  </si>
  <si>
    <t>Added null AggressiveActionEventArgs and null/deleted aggressor/aggressed mobile guards before player checks, recent aggression scans, and overhead attack-message dispatch.</t>
  </si>
  <si>
    <t>Data/Scripts/System/Misc/AttackMessage.cs:17-46; Data/System/Source/EventSink.cs:224-281;1249-1252; Data/System/Source/Mobile.cs:2369-2387</t>
  </si>
  <si>
    <t>Recorded by current POST-BATCH-E-49A source/audit commit</t>
  </si>
  <si>
    <t>2026-06-09T20:05:43.1008267-05:00</t>
  </si>
  <si>
    <t>Valid attack notification behavior was preserved; serialization, public APIs, namespaces, type names, save versions, file location, and project files were unchanged.</t>
  </si>
  <si>
    <t>RB-01783</t>
  </si>
  <si>
    <t>P10-F01783</t>
  </si>
  <si>
    <t>Data/Scripts/System/Misc/Broadcast.cs</t>
  </si>
  <si>
    <t>POST-BATCH-E-50A</t>
  </si>
  <si>
    <t>PHE-182</t>
  </si>
  <si>
    <t>Added null LoginEventArgs, null/deleted mobile, and non-PlayerMobile guards before login migration, race, record, region, speed-control, and access-log work.</t>
  </si>
  <si>
    <t>Data/Scripts/System/Misc/Broadcast.cs:21-50;126-213; Data/System/Source/EventSink.cs:1090-1102;1405-1408</t>
  </si>
  <si>
    <t>Recorded by current POST-BATCH-E-50A source/audit commit</t>
  </si>
  <si>
    <t>2026-06-09T20:09:27.7323573-05:00</t>
  </si>
  <si>
    <t>Valid login migration/rest behavior was preserved for live PlayerMobiles; serialization, public APIs, namespaces, type names, save versions, file location, and project files were unchanged.</t>
  </si>
  <si>
    <t>RB-01784</t>
  </si>
  <si>
    <t>P10-F01784</t>
  </si>
  <si>
    <t>PHE-183</t>
  </si>
  <si>
    <t>Added null LogoutEventArgs and null/deleted mobile guards before logout access logging.</t>
  </si>
  <si>
    <t>Data/Scripts/System/Misc/Broadcast.cs:21-27;226-232; Data/System/Source/EventSink.cs:518-530;1315-1318</t>
  </si>
  <si>
    <t>Valid logout access logging was preserved for live mobiles; serialization, public APIs, namespaces, type names, save versions, file location, and project files were unchanged.</t>
  </si>
  <si>
    <t>RB-01785</t>
  </si>
  <si>
    <t>P10-F01785</t>
  </si>
  <si>
    <t>PHE-184</t>
  </si>
  <si>
    <t>Added null DisconnectedEventArgs and null mobile guards before optional save-on-disconnect dispatch; no deleted-mobile early return was added so valid mobile save behavior remains intact.</t>
  </si>
  <si>
    <t>Data/Scripts/System/Misc/Broadcast.cs:21-27;215-224; Data/System/Source/EventSink.cs:570-582;1333-1336</t>
  </si>
  <si>
    <t>Valid save-on-disconnect behavior was preserved for valid mobile objects; serialization, public APIs, namespaces, type names, save versions, file location, and project files were unchanged.</t>
  </si>
  <si>
    <t>RB-01786</t>
  </si>
  <si>
    <t>P10-F01786</t>
  </si>
  <si>
    <t>PHE-185</t>
  </si>
  <si>
    <t>Added null PlayerDeathEventArgs and null/deleted mobile guards before ghost-walking dispatch.</t>
  </si>
  <si>
    <t>Data/Scripts/System/Misc/Broadcast.cs:21-27;235-241; Data/System/Source/EventSink.cs:476-488;1303-1306</t>
  </si>
  <si>
    <t>Valid death ghost-walking behavior was preserved for live mobiles; serialization, public APIs, namespaces, type names, save versions, file location, and project files were unchanged.</t>
  </si>
  <si>
    <t>RB-01787</t>
  </si>
  <si>
    <t>P10-F01787</t>
  </si>
  <si>
    <t>Data/Scripts/System/Misc/Broadcasts.cs</t>
  </si>
  <si>
    <t>POST-BATCH-E-51A</t>
  </si>
  <si>
    <t>PHE-186</t>
  </si>
  <si>
    <t>Reviewed crash broadcast hook; no source change because the handler does not dereference CrashedEventArgs and already wraps World.Broadcast in try/catch.</t>
  </si>
  <si>
    <t>Data/Scripts/System/Misc/Broadcasts.cs:8-20; Data/System/Source/EventSink.cs:704-723;1381-1384</t>
  </si>
  <si>
    <t>Recorded by current POST-BATCH-E-51A review-only audit commit</t>
  </si>
  <si>
    <t>2026-06-09T20:12:01.2537794-05:00</t>
  </si>
  <si>
    <t>Crash broadcast behavior remains unchanged; source build and compile-only verification were not required because no source files changed.</t>
  </si>
  <si>
    <t>RB-01788</t>
  </si>
  <si>
    <t>P10-F01788</t>
  </si>
  <si>
    <t>PHE-187</t>
  </si>
  <si>
    <t>Reviewed shutdown broadcast hook; no source change because the handler does not dereference ShutdownEventArgs and already wraps World.Broadcast in try/catch.</t>
  </si>
  <si>
    <t>Data/Scripts/System/Misc/Broadcasts.cs:8-11;23-29; Data/System/Source/EventSink.cs:699-702;1375-1378</t>
  </si>
  <si>
    <t>Shutdown broadcast behavior remains unchanged; source build and compile-only verification were not required because no source files changed.</t>
  </si>
  <si>
    <t>RB-01789</t>
  </si>
  <si>
    <t>P10-F01789</t>
  </si>
  <si>
    <t>Data/Scripts/System/Misc/BuffIcons.cs</t>
  </si>
  <si>
    <t>POST-BATCH-E-52A</t>
  </si>
  <si>
    <t>PHE-188</t>
  </si>
  <si>
    <t>Added null ClientVersionReceivedArgs, null NetState, null/deleted mobile, and non-PlayerMobile guards before scheduling PlayerMobile.ResendBuffs.</t>
  </si>
  <si>
    <t>Data/Scripts/System/Misc/BuffIcons.cs:18-38; Data/System/Source/EventSink.cs:77-96;1185-1191; Data/System/Source/Network/PacketHandlers.cs:2046</t>
  </si>
  <si>
    <t>Recorded by current POST-BATCH-E-52A source/audit commit</t>
  </si>
  <si>
    <t>2026-06-09T20:15:08.2899745-05:00</t>
  </si>
  <si>
    <t>Valid buff resend behavior was preserved; serialization, public APIs, namespaces, type names, save versions, file location, and project files were unchanged.</t>
  </si>
  <si>
    <t>RB-01790</t>
  </si>
  <si>
    <t>P10-F01790</t>
  </si>
  <si>
    <t>Data/Scripts/System/Misc/CharacterCreation.cs</t>
  </si>
  <si>
    <t>POST-BATCH-E-53A</t>
  </si>
  <si>
    <t>PHE-189</t>
  </si>
  <si>
    <t>Added null CharacterCreatedEventArgs, null NetState, and non-Account account guards before profession validation, player mobile creation, access-level assignment, and new-character logging.</t>
  </si>
  <si>
    <t>Data/Scripts/System/Misc/CharacterCreation.cs:16-22;155-268; Data/System/Source/EventSink.cs:864-1006;1417-1420; Data/System/Source/Network/PacketHandlers.cs:2352-2388;2480-2518</t>
  </si>
  <si>
    <t>Recorded by current POST-BATCH-E-53A source/audit commit</t>
  </si>
  <si>
    <t>2026-06-09T20:18:14.2044315-05:00</t>
  </si>
  <si>
    <t>Valid character creation behavior and XML points attachment were preserved; serialization, public APIs, namespaces, type names, save versions, file location, and project files were unchanged.</t>
  </si>
  <si>
    <t>RB-01791</t>
  </si>
  <si>
    <t>P10-F01791</t>
  </si>
  <si>
    <t>Data/Scripts/System/Misc/ClientVerification.cs</t>
  </si>
  <si>
    <t>POST-BATCH-E-54A</t>
  </si>
  <si>
    <t>PHE-190</t>
  </si>
  <si>
    <t>Added null ClientVersionReceivedArgs, null NetState, null ClientVersion, and null/deleted mobile guards before client-version policy checks and warning/kick dispatch.</t>
  </si>
  <si>
    <t>Data/Scripts/System/Misc/ClientVerification.cs:65-69;111-218; Data/System/Source/EventSink.cs:77-96;1185-1191; Data/System/Source/Network/PacketHandlers.cs:2046</t>
  </si>
  <si>
    <t>Recorded by current POST-BATCH-E-54A source/audit commit</t>
  </si>
  <si>
    <t>2026-06-09T20:21:35.7153818-05:00</t>
  </si>
  <si>
    <t>Valid client version enforcement behavior was preserved; serialization, public APIs, namespaces, type names, save versions, file location, and project files were unchanged.</t>
  </si>
  <si>
    <t>RB-01792</t>
  </si>
  <si>
    <t>P10-F01792</t>
  </si>
  <si>
    <t>Data/Scripts/System/Misc/Console.cs</t>
  </si>
  <si>
    <t>POST-BATCH-E-55A</t>
  </si>
  <si>
    <t>PHE-191</t>
  </si>
  <si>
    <t>Reviewed server-start console hook; no source change for this row because the ServerStarted delegate has no event args and the handler does not dereference caller state.</t>
  </si>
  <si>
    <t>Data/Scripts/System/Misc/Console.cs:25-45; Data/System/Source/EventSink.cs:71;1182;1193-1196</t>
  </si>
  <si>
    <t>Recorded by current POST-BATCH-E-55A source/audit commit</t>
  </si>
  <si>
    <t>2026-06-09T20:27:21.6056244-05:00</t>
  </si>
  <si>
    <t>Startup console behavior remains unchanged; source build and compile-only verification also passed because the same batch fixed the sibling speech hook.</t>
  </si>
  <si>
    <t>RB-01793</t>
  </si>
  <si>
    <t>P10-F01793</t>
  </si>
  <si>
    <t>PHE-192</t>
  </si>
  <si>
    <t>Added null SpeechEventArgs, null/deleted mobile, and null map-safe region lookup guards before console speech logging.</t>
  </si>
  <si>
    <t>Data/Scripts/System/Misc/Console.cs:25-30;47-78; Data/System/Source/EventSink.cs:1023-1088;1411-1414</t>
  </si>
  <si>
    <t>Valid console speech logging behavior was preserved; serialization, public APIs, namespaces, type names, save versions, file location, and project files were unchanged.</t>
  </si>
  <si>
    <t>RB-01794</t>
  </si>
  <si>
    <t>P10-F01794</t>
  </si>
  <si>
    <t>Data/Scripts/System/Misc/CrashGuard.cs</t>
  </si>
  <si>
    <t>POST-BATCH-E-56A</t>
  </si>
  <si>
    <t>PHE-193</t>
  </si>
  <si>
    <t>Added null CrashedEventArgs guard before crash report generation, backup, e.Close assignment, or restart logic.</t>
  </si>
  <si>
    <t>Data/Scripts/System/Misc/CrashGuard.cs:20-42;83-104;209-244; Data/System/Source/EventSink.cs:42;704-723;1151;1381-1384</t>
  </si>
  <si>
    <t>Recorded by current POST-BATCH-E-56A source/audit commit</t>
  </si>
  <si>
    <t>2026-06-09T20:31:10.7542023-05:00</t>
  </si>
  <si>
    <t>Valid crash-report, backup, service-close, and restart behavior for real crash events was preserved; serialization, public APIs, namespaces, type names, save versions, file location, and project files were unchanged.</t>
  </si>
  <si>
    <t>RB-01795</t>
  </si>
  <si>
    <t>P10-F01795</t>
  </si>
  <si>
    <t>POST-BATCH-E-57A</t>
  </si>
  <si>
    <t>PHE-194</t>
  </si>
  <si>
    <t>Added null PlayerDeathEventArgs and null/deleted mobile guards before delayed resurrection prompt scheduling; added stale mobile and missing-backpack guards in the delayed callback before gump work.</t>
  </si>
  <si>
    <t>Data/Scripts/System/Misc/Death.cs:536-572; Data/System/Source/EventSink.cs:55;476-488;1164;1303-1306</t>
  </si>
  <si>
    <t>Recorded by current POST-BATCH-E-57A source/audit commit</t>
  </si>
  <si>
    <t>2026-06-09T20:34:30.6232667-05:00</t>
  </si>
  <si>
    <t>Valid auto-resurrection prompt behavior and soul-orb skip behavior were preserved; serialization, public APIs, namespaces, type names, save versions, file location, and project files were unchanged.</t>
  </si>
  <si>
    <t>RB-01796</t>
  </si>
  <si>
    <t>P10-F01796</t>
  </si>
  <si>
    <t>Data/Scripts/System/Misc/Fastwalk.cs</t>
  </si>
  <si>
    <t>POST-BATCH-E-58A</t>
  </si>
  <si>
    <t>PHE-195</t>
  </si>
  <si>
    <t>Added null FastWalkEventArgs, null NetState, and null/deleted mobile guards before setting Blocked or logging the mobile name.</t>
  </si>
  <si>
    <t>Data/Scripts/System/Misc/Fastwalk.cs:15-39; Data/System/Source/EventSink.cs:70;1120-1138;1180;1225-1228</t>
  </si>
  <si>
    <t>Recorded by current POST-BATCH-E-58A source/audit commit</t>
  </si>
  <si>
    <t>2026-06-09T20:37:28.6064547-05:00</t>
  </si>
  <si>
    <t>Valid fast-walk blocking/logging behavior for enabled detection was preserved; serialization, public APIs, namespaces, type names, save versions, file location, and project files were unchanged.</t>
  </si>
  <si>
    <t>RB-01797</t>
  </si>
  <si>
    <t>P10-F01797</t>
  </si>
  <si>
    <t>POST-BATCH-E-59A</t>
  </si>
  <si>
    <t>PHE-196</t>
  </si>
  <si>
    <t>Added null CreateGuildEventArgs guard before constructing a deserialized guild from args.Id.</t>
  </si>
  <si>
    <t>Data/Scripts/System/Misc/Guilds.cs:686-691;813-818; Data/System/Source/EventSink.cs:72;98-110;1181;1199-1204; Data/System/Source/World.cs:590-599</t>
  </si>
  <si>
    <t>Recorded by current POST-BATCH-E-59A source/audit commit</t>
  </si>
  <si>
    <t>2026-06-09T20:40:59.3468350-05:00</t>
  </si>
  <si>
    <t>Valid guild deserialization construction behavior was preserved; serialization, public APIs, namespaces, type names, save versions, file location, and project files were unchanged.</t>
  </si>
  <si>
    <t>RB-01798</t>
  </si>
  <si>
    <t>P10-F01798</t>
  </si>
  <si>
    <t>PHE-197</t>
  </si>
  <si>
    <t>Added disabled-system, null GuildGumpRequestArgs, null/deleted mobile, and non-PlayerMobile guards before guild gump dispatch.</t>
  </si>
  <si>
    <t>Data/Scripts/System/Misc/Guilds.cs:686-691;798-810; Data/System/Source/EventSink.cs:73;113-126;1183;1213-1216</t>
  </si>
  <si>
    <t>Valid guild create/info gump request behavior was preserved; serialization, public APIs, namespaces, type names, save versions, file location, and project files were unchanged.</t>
  </si>
  <si>
    <t>RB-01799</t>
  </si>
  <si>
    <t>P10-F01799</t>
  </si>
  <si>
    <t>Data/Scripts/System/Misc/Keywords.cs</t>
  </si>
  <si>
    <t>POST-BATCH-E-60A</t>
  </si>
  <si>
    <t>PHE-198</t>
  </si>
  <si>
    <t>Added null SpeechEventArgs, null/deleted mobile, and null keyword-array guards before keyword iteration.</t>
  </si>
  <si>
    <t>Data/Scripts/System/Misc/Keywords.cs:12-30; Data/System/Source/EventSink.cs:37;1023-1088;1411-1414</t>
  </si>
  <si>
    <t>Recorded by current POST-BATCH-E-60A source/audit commit</t>
  </si>
  <si>
    <t>2026-06-09T20:44:02.3509005-05:00</t>
  </si>
  <si>
    <t>Valid guild resignation, murder-count, and young-status keyword behavior was preserved; serialization, public APIs, namespaces, type names, save versions, file location, and project files were unchanged.</t>
  </si>
  <si>
    <t>RB-01800</t>
  </si>
  <si>
    <t>P10-F01800</t>
  </si>
  <si>
    <t>Data/Scripts/System/Misc/LightCycle.cs</t>
  </si>
  <si>
    <t>POST-BATCH-E-61A</t>
  </si>
  <si>
    <t>PHE-199</t>
  </si>
  <si>
    <t>Added null LoginEventArgs, null/deleted mobile, and null map guards before login light-level checks.</t>
  </si>
  <si>
    <t>Data/Scripts/System/Misc/LightCycle.cs:36-39;67-82; Data/System/Source/EventSink.cs:38;1090-1101;1405-1408</t>
  </si>
  <si>
    <t>Recorded by current POST-BATCH-E-61A source/audit commit</t>
  </si>
  <si>
    <t>2026-06-09T20:46:49.4707927-05:00</t>
  </si>
  <si>
    <t>Valid login light-level refresh behavior was preserved; serialization, public APIs, namespaces, type names, save versions, file location, and project files were unchanged.</t>
  </si>
  <si>
    <t>RB-01801</t>
  </si>
  <si>
    <t>P10-F01801</t>
  </si>
  <si>
    <t>Data/Scripts/System/Misc/LoginStats.cs</t>
  </si>
  <si>
    <t>POST-BATCH-E-62A</t>
  </si>
  <si>
    <t>PHE-200</t>
  </si>
  <si>
    <t>Added null LoginEventArgs and null/deleted mobile guards before login messaging; replaced direct PlayerMobile cast with safe cast before back-tax and unique-name logic.</t>
  </si>
  <si>
    <t>Data/Scripts/System/Misc/LoginStats.cs:10-39; Data/System/Source/EventSink.cs:38;1090-1101;1405-1408</t>
  </si>
  <si>
    <t>Recorded by current POST-BATCH-E-62A source/audit commit</t>
  </si>
  <si>
    <t>2026-06-09T20:49:48.6341767-05:00</t>
  </si>
  <si>
    <t>Valid login help messaging, government back-tax handling, and unique-name prompt behavior were preserved; serialization, public APIs, namespaces, type names, save versions, file location, and project files were unchanged.</t>
  </si>
  <si>
    <t>RB-01802</t>
  </si>
  <si>
    <t>P10-F01802</t>
  </si>
  <si>
    <t>Data/Scripts/System/Misc/MOTD.cs</t>
  </si>
  <si>
    <t>POST-BATCH-E-63A</t>
  </si>
  <si>
    <t>PHE-201</t>
  </si>
  <si>
    <t>Added null LoginEventArgs, null/deleted mobile, and non-PlayerMobile guards before MOTD/start-region/quickbar/reagent-bar login gump dispatch; added stale/non-player helper guards in CheckLogin and SendGump.</t>
  </si>
  <si>
    <t>Data/Scripts/System/Misc/MOTD.cs:146-149;163-198;224-231; Data/System/Source/EventSink.cs:38;1090-1101;1405-1408</t>
  </si>
  <si>
    <t>Recorded by current POST-BATCH-E-63A source/audit commit</t>
  </si>
  <si>
    <t>2026-06-09T20:53:09.4645394-05:00</t>
  </si>
  <si>
    <t>Valid MOTD display, start-region welcome, quickbar, and reagent-bar behavior were preserved; serialization, public APIs, namespaces, type names, save versions, file location, and project files were unchanged.</t>
  </si>
  <si>
    <t>RB-01803</t>
  </si>
  <si>
    <t>P10-F01803</t>
  </si>
  <si>
    <t>Data/Scripts/System/Misc/Paperdoll.cs</t>
  </si>
  <si>
    <t>POST-BATCH-E-64A</t>
  </si>
  <si>
    <t>PHE-202</t>
  </si>
  <si>
    <t>Added null PaperdollRequestEventArgs, null/deleted beholder and beheld mobile, null item-list, and null/deleted item-entry guards before paperdoll and OPL packet sends.</t>
  </si>
  <si>
    <t>Data/Scripts/System/Misc/Paperdoll.cs:12-50; Data/System/Source/EventSink.cs:61;331-348;1170;1267-1270</t>
  </si>
  <si>
    <t>Recorded by current POST-BATCH-E-64A source/audit commit</t>
  </si>
  <si>
    <t>2026-06-09T20:56:11.6049807-05:00</t>
  </si>
  <si>
    <t>Valid paperdoll display and OPL update behavior were preserved; serialization, public APIs, namespaces, type names, save versions, file location, and project files were unchanged.</t>
  </si>
  <si>
    <t>RB-01804</t>
  </si>
  <si>
    <t>P10-F01804</t>
  </si>
  <si>
    <t>POST-BATCH-E-65A</t>
  </si>
  <si>
    <t>PHE-203</t>
  </si>
  <si>
    <t>Added null LogoutEventArgs and null mobile guards before party logout cleanup while preserving cleanup for valid deleted-mobile objects.</t>
  </si>
  <si>
    <t>Data/Scripts/System/Misc/Party.cs:295-299;438-445; Data/System/Source/EventSink.cs:50;518-530;1315-1318</t>
  </si>
  <si>
    <t>Recorded by current POST-BATCH-E-65A source/audit commit</t>
  </si>
  <si>
    <t>2026-06-09T21:00:05.8680548-05:00</t>
  </si>
  <si>
    <t>Valid party logout cleanup behavior was preserved; serialization, public APIs, namespaces, type names, save versions, file location, and project files were unchanged.</t>
  </si>
  <si>
    <t>RB-01805</t>
  </si>
  <si>
    <t>P10-F01805</t>
  </si>
  <si>
    <t>PHE-204</t>
  </si>
  <si>
    <t>Added null LoginEventArgs and null/deleted mobile guards before party lookup or rejoin scheduling; delayed rejoin timer now skips stale owner mobiles and null/deleted party members before status sends.</t>
  </si>
  <si>
    <t>Data/Scripts/System/Misc/Party.cs:295-299;370-410;423-435; Data/System/Source/EventSink.cs:38;1090-1101;1405-1408</t>
  </si>
  <si>
    <t>Valid party rejoin behavior was preserved; serialization, public APIs, namespaces, type names, save versions, file location, and project files were unchanged.</t>
  </si>
  <si>
    <t>RB-01806</t>
  </si>
  <si>
    <t>P10-F01806</t>
  </si>
  <si>
    <t>PHE-205</t>
  </si>
  <si>
    <t>Added null PlayerDeathEventArgs and null/deleted mobile guards before death-message party lookup; deleted killers now use the generic killed message instead of dereferencing stale killer state.</t>
  </si>
  <si>
    <t>Data/Scripts/System/Misc/Party.cs:295-299;342-360; Data/System/Source/EventSink.cs:55;476-488;1303-1306</t>
  </si>
  <si>
    <t>Valid party death-message behavior was preserved for live mobiles; serialization, public APIs, namespaces, type names, save versions, file location, and project files were unchanged.</t>
  </si>
  <si>
    <t>RB-01807</t>
  </si>
  <si>
    <t>P10-F01807</t>
  </si>
  <si>
    <t>Data/Scripts/System/Misc/Players.cs</t>
  </si>
  <si>
    <t>POST-BATCH-E-66A</t>
  </si>
  <si>
    <t>PHE-206</t>
  </si>
  <si>
    <t>Added null QuestGumpRequestArgs and null/deleted mobile guards before closing and sending the StatsGump.</t>
  </si>
  <si>
    <t>Data/Scripts/System/Misc/Players.cs:1470-1500;1883-1898; Data/System/Source/EventSink.cs:74;128-140;1184;1219-1222</t>
  </si>
  <si>
    <t>Recorded by current POST-BATCH-E-66A source/audit commit</t>
  </si>
  <si>
    <t>2026-06-09T21:04:07.8825719-05:00</t>
  </si>
  <si>
    <t>Valid quest/status gump display behavior was preserved; serialization, public APIs, namespaces, type names, save versions, file location, and project files were unchanged.</t>
  </si>
  <si>
    <t>RB-01808</t>
  </si>
  <si>
    <t>P10-F01808</t>
  </si>
  <si>
    <t>Data/Scripts/System/Misc/PlayMusicOnLogin.cs</t>
  </si>
  <si>
    <t>POST-BATCH-E-67A</t>
  </si>
  <si>
    <t>PHE-207</t>
  </si>
  <si>
    <t>Added null LoginEventArgs and null/deleted mobile guards before choosing login music or sending PlayMusic packets.</t>
  </si>
  <si>
    <t>Data/Scripts/System/Misc/PlayMusicOnLogin.cs:17-43; Data/System/Source/EventSink.cs:38;1090-1101;1405-1408</t>
  </si>
  <si>
    <t>Recorded by current POST-BATCH-E-67A source/audit commit</t>
  </si>
  <si>
    <t>2026-06-09T21:10:47.4099298-05:00</t>
  </si>
  <si>
    <t>Valid login music behavior was preserved; serialization, public APIs, namespaces, type names, save versions, file location, and project files were unchanged.</t>
  </si>
  <si>
    <t>RB-01809</t>
  </si>
  <si>
    <t>P10-F01809</t>
  </si>
  <si>
    <t>Data/Scripts/System/Misc/ProfanityProtection.cs</t>
  </si>
  <si>
    <t>POST-BATCH-E-68A</t>
  </si>
  <si>
    <t>PHE-208</t>
  </si>
  <si>
    <t>Added null SpeechEventArgs and null/deleted mobile guards before access checks, profanity validation, or configured profanity actions.</t>
  </si>
  <si>
    <t>Data/Scripts/System/Misc/ProfanityProtection.cs:22-83; Data/Scripts/System/Misc/Naming.cs:181-195; Data/System/Source/EventSink.cs:37;1023-1088;1146;1411-1415</t>
  </si>
  <si>
    <t>Recorded by current POST-BATCH-E-68A source/audit commit</t>
  </si>
  <si>
    <t>2026-06-09T21:14:40.6199562-05:00</t>
  </si>
  <si>
    <t>Valid disabled-by-default registration, profanity blocking/action behavior, null-speech validation behavior, serialization, public APIs, namespaces, type names, save versions, file location, and project files were preserved.</t>
  </si>
  <si>
    <t>RB-01810</t>
  </si>
  <si>
    <t>P10-F01810</t>
  </si>
  <si>
    <t>Data/Scripts/System/Misc/Profile.cs</t>
  </si>
  <si>
    <t>POST-BATCH-E-69A</t>
  </si>
  <si>
    <t>PHE-209</t>
  </si>
  <si>
    <t>Added null ProfileRequestEventArgs and null/deleted beholder/beheld guards before player, map, range, visibility, title, and DisplayProfile work.</t>
  </si>
  <si>
    <t>Data/Scripts/System/Misc/Profile.cs:10-75; Data/System/Source/EventSink.cs:62-63;283-326;1171-1172;1255-1264; Data/System/Source/Network/PacketHandlers.cs:1006-1037</t>
  </si>
  <si>
    <t>Recorded by current POST-BATCH-E-69A source/audit commit</t>
  </si>
  <si>
    <t>2026-06-09T21:18:02.2304241-05:00</t>
  </si>
  <si>
    <t>Valid profile display behavior was preserved; serialization, public APIs, namespaces, type names, save versions, file location, and project files were unchanged.</t>
  </si>
  <si>
    <t>RB-01811</t>
  </si>
  <si>
    <t>P10-F01811</t>
  </si>
  <si>
    <t>PHE-210</t>
  </si>
  <si>
    <t>Added null ChangeProfileRequestEventArgs and null/deleted beholder/beheld guards before profile lock checks or profile text updates.</t>
  </si>
  <si>
    <t>Valid profile edit behavior, including existing beholder-profile update semantics, was preserved; serialization, public APIs, namespaces, type names, save versions, file location, and project files were unchanged.</t>
  </si>
  <si>
    <t>RB-01812</t>
  </si>
  <si>
    <t>P10-F01812</t>
  </si>
  <si>
    <t>Data/Scripts/System/Misc/RenameRequests.cs</t>
  </si>
  <si>
    <t>POST-BATCH-E-70A</t>
  </si>
  <si>
    <t>PHE-211</t>
  </si>
  <si>
    <t>Added null RenameRequestEventArgs, null/deleted source and target mobile, and null requested-name guards before visibility, range, rename-permission, trim, and name-validation work.</t>
  </si>
  <si>
    <t>Data/Scripts/System/Misc/RenameRequests.cs:8-66; Data/Scripts/System/Misc/Naming.cs:181-195; Data/System/Source/EventSink.cs:54;491-514;1163;1309-1313; Data/System/Source/Network/PacketHandlers.cs:349-357</t>
  </si>
  <si>
    <t>Recorded by current POST-BATCH-E-70A source/audit commit</t>
  </si>
  <si>
    <t>2026-06-09T21:21:28.3329980-05:00</t>
  </si>
  <si>
    <t>Valid pet rename permission, validation, profanity rejection, localized message, and rename behavior were preserved; serialization, public APIs, namespaces, type names, save versions, file location, and project files were unchanged.</t>
  </si>
  <si>
    <t>RB-01813</t>
  </si>
  <si>
    <t>P10-F01813</t>
  </si>
  <si>
    <t>Data/Scripts/System/Misc/ServerList.cs</t>
  </si>
  <si>
    <t>POST-BATCH-E-71A</t>
  </si>
  <si>
    <t>PHE-212</t>
  </si>
  <si>
    <t>Added null ServerListEventArgs guard and null NetState/socket rejection before endpoint selection and server-list address publication.</t>
  </si>
  <si>
    <t>Data/Scripts/System/Misc/ServerList.cs:46-95; Data/System/Source/EventSink.cs:39;800-841;1148;1399-1403</t>
  </si>
  <si>
    <t>Recorded by current POST-BATCH-E-71A source/audit commit</t>
  </si>
  <si>
    <t>2026-06-09T21:24:52.8097966-05:00</t>
  </si>
  <si>
    <t>Valid server-list address detection, endpoint selection, catch-all rejection behavior, serialization, public APIs, namespaces, type names, save versions, file location, and project files were preserved.</t>
  </si>
  <si>
    <t>RB-01814</t>
  </si>
  <si>
    <t>P10-F01814</t>
  </si>
  <si>
    <t>POST-BATCH-E-72A</t>
  </si>
  <si>
    <t>PHE-213</t>
  </si>
  <si>
    <t>Added null LoginEventArgs and null/deleted mobile guards before delayed poll gump scheduling; delayed callback now safely casts the mobile state and skips null/deleted mobiles before NetState and poll gump work.</t>
  </si>
  <si>
    <t>Data/Scripts/System/Misc/ShardPoller.cs:165-218; Data/System/Source/EventSink.cs:38;1090-1101;1147;1405-1408</t>
  </si>
  <si>
    <t>Recorded by current POST-BATCH-E-72A source/audit commit</t>
  </si>
  <si>
    <t>2026-06-09T21:28:08.9758778-05:00</t>
  </si>
  <si>
    <t>Valid active poll login prompt, queued poll, vote-check, and poll deactivation behavior were preserved; serialization, public APIs, namespaces, type names, save versions, file location, and project files were unchanged.</t>
  </si>
  <si>
    <t>RB-01815</t>
  </si>
  <si>
    <t>P10-F01815</t>
  </si>
  <si>
    <t>Data/Scripts/System/Misc/SocketOptions.cs</t>
  </si>
  <si>
    <t>POST-BATCH-E-73A</t>
  </si>
  <si>
    <t>PHE-214</t>
  </si>
  <si>
    <t>Added null SocketConnectEventArgs return and null-socket rejection before applying TCP NoDelay.</t>
  </si>
  <si>
    <t>Data/Scripts/System/Misc/SocketOptions.cs:25-49; Data/System/Source/EventSink.cs:51;533-553;1160;1321-1325</t>
  </si>
  <si>
    <t>Recorded by current POST-BATCH-E-73A source/audit commit</t>
  </si>
  <si>
    <t>2026-06-09T21:31:18.3525350-05:00</t>
  </si>
  <si>
    <t>Valid send-queue coalescing, listener endpoint setup, disallowed-connection skip, and TCP NoDelay behavior for valid sockets were preserved; serialization, public APIs, namespaces, type names, save versions, file location, and project files were unchanged.</t>
  </si>
  <si>
    <t>RB-01816</t>
  </si>
  <si>
    <t>P10-F01816</t>
  </si>
  <si>
    <t>Data/Scripts/System/Misc/WeightOverloading.cs</t>
  </si>
  <si>
    <t>POST-BATCH-E-74A</t>
  </si>
  <si>
    <t>PHE-215</t>
  </si>
  <si>
    <t>Added null MovementEventArgs and null/deleted mobile guards before alive/access/player, overload fatigue, blocked movement, step-count, and DeathStrike step handling.</t>
  </si>
  <si>
    <t>Data/Scripts/System/Misc/WeightOverloading.cs:15-108; Data/System/Source/EventSink.cs:40;746-764;1149;1393-1397</t>
  </si>
  <si>
    <t>Recorded by current POST-BATCH-E-74A source/audit commit</t>
  </si>
  <si>
    <t>2026-06-09T21:34:06.4662643-05:00</t>
  </si>
  <si>
    <t>Valid overload fatigue, movement blocking, low-stamina drain, player step counting, and non-player DeathStrike step behavior were preserved; serialization, public APIs, namespaces, type names, save versions, file location, and project files were unchanged.</t>
  </si>
  <si>
    <t>RB-01817</t>
  </si>
  <si>
    <t>P10-F01817</t>
  </si>
  <si>
    <t>POST-BATCH-E-75A</t>
  </si>
  <si>
    <t>PHE-216</t>
  </si>
  <si>
    <t>Reviewed chat request hook; no source change because the handler remains no-op/comment-only and does not dereference ChatRequestEventArgs.</t>
  </si>
  <si>
    <t>Data/Scripts/System/Obsolete/Obsolete.cs:6657-6665; Data/System/Source/EventSink.cs:59;461-470;1168;1279-1282</t>
  </si>
  <si>
    <t>Recorded by current POST-BATCH-E-75A source/audit commit</t>
  </si>
  <si>
    <t>2026-06-09T21:41:02.6720047-05:00</t>
  </si>
  <si>
    <t>Valid disabled chat-request behavior remains unchanged; source build and compile-only verification also passed because the same batch fixed sibling Obsolete hooks.</t>
  </si>
  <si>
    <t>RB-01818</t>
  </si>
  <si>
    <t>P10-F01818</t>
  </si>
  <si>
    <t>PHE-217</t>
  </si>
  <si>
    <t>Added null SpeechEventArgs and null/deleted mobile guards before blocked/handled checks, ethic lookup, item range scans, join phrase checks, and power invocation.</t>
  </si>
  <si>
    <t>Data/Scripts/System/Obsolete/Obsolete.cs:9923-10001; Data/System/Source/EventSink.cs:37;1023-1088;1146;1411-1414</t>
  </si>
  <si>
    <t>Valid ethics join/power speech behavior and pooled enumerable cleanup were preserved; serialization, public APIs, namespaces, type names, save versions, file location, and project files were unchanged.</t>
  </si>
  <si>
    <t>RB-01819</t>
  </si>
  <si>
    <t>P10-F01819</t>
  </si>
  <si>
    <t>PHE-218</t>
  </si>
  <si>
    <t>Added null LoginEventArgs and null/deleted mobile guards before faction leave-timer checks.</t>
  </si>
  <si>
    <t>Data/Scripts/System/Obsolete/Obsolete.cs:10803-10809;11549-11554; Data/System/Source/EventSink.cs:38;1090-1099;1147;1405-1408</t>
  </si>
  <si>
    <t>Valid faction login leave-timer behavior was preserved; serialization, public APIs, namespaces, type names, save versions, file location, and project files were unchanged.</t>
  </si>
  <si>
    <t>RB-01820</t>
  </si>
  <si>
    <t>P10-F01820</t>
  </si>
  <si>
    <t>PHE-219</t>
  </si>
  <si>
    <t>Added null LogoutEventArgs and null/deleted mobile guards before backpack lookup and sigil return processing.</t>
  </si>
  <si>
    <t>Data/Scripts/System/Obsolete/Obsolete.cs:10803-10809;11534-11547; Data/System/Source/EventSink.cs:50;518-527;1159;1315-1318</t>
  </si>
  <si>
    <t>Valid logout sigil return behavior for valid mobiles was preserved; serialization, public APIs, namespaces, type names, save versions, file location, and project files were unchanged.</t>
  </si>
  <si>
    <t>RB-01821</t>
  </si>
  <si>
    <t>P10-F01821</t>
  </si>
  <si>
    <t>PHE-220</t>
  </si>
  <si>
    <t>Added null SpeechEventArgs, null/deleted mobile, and null keyword-array guards before faction keyword dispatch, town region lookup, gump dispatch, resignation, broadcast, score, and leadership actions.</t>
  </si>
  <si>
    <t>Data/Scripts/System/Obsolete/Obsolete.cs:19952-20111; Data/System/Source/EventSink.cs:37;1023-1088;1146;1411-1414</t>
  </si>
  <si>
    <t>Valid faction keyword behavior was preserved for valid mobiles and keyword arrays; serialization, public APIs, namespaces, type names, save versions, file location, and project files were unchanged.</t>
  </si>
  <si>
    <t>RB-01822</t>
  </si>
  <si>
    <t>P10-F01822</t>
  </si>
  <si>
    <t>PHE-221</t>
  </si>
  <si>
    <t>Reviewed world-save hook; no source change because the handler does not consume WorldSaveEventArgs and only clears the internal type cache.</t>
  </si>
  <si>
    <t>Data/Scripts/System/Obsolete/Obsolete.cs:27324-27332; Data/System/Source/EventSink.cs:68;1105-1114;1178;1435-1438</t>
  </si>
  <si>
    <t>Valid type-cache reset behavior remains unchanged; source build and compile-only verification also passed because the same batch fixed sibling Obsolete hooks.</t>
  </si>
  <si>
    <t>RB-01823</t>
  </si>
  <si>
    <t>P10-F01823</t>
  </si>
  <si>
    <t>PHE-222</t>
  </si>
  <si>
    <t>Added null LoginEventArgs and null/deleted mobile guards before alive checks, reward computation, skill/stat cap updates, and reward notice gump dispatch.</t>
  </si>
  <si>
    <t>Data/Scripts/System/Obsolete/Obsolete.cs:29117-29166; Data/System/Source/EventSink.cs:38;1090-1099;1147;1405-1408</t>
  </si>
  <si>
    <t>Valid veteran reward login behavior was preserved for valid mobiles; serialization, public APIs, namespaces, type names, save versions, file location, and project files were unchanged.</t>
  </si>
  <si>
    <t>RB-01824</t>
  </si>
  <si>
    <t>P10-F01824</t>
  </si>
  <si>
    <t>Data/Scripts/System/Regions/HouseRegion.cs</t>
  </si>
  <si>
    <t>POST-BATCH-E-76A</t>
  </si>
  <si>
    <t>PHE-223</t>
  </si>
  <si>
    <t>Added null LoginEventArgs and null/deleted mobile guards before house lookup, friend/public checks, and ban-location relocation.</t>
  </si>
  <si>
    <t>Data/Scripts/System/Regions/HouseRegion.cs:23-38; Data/System/Source/EventSink.cs:38;1090-1099;1147;1405-1408</t>
  </si>
  <si>
    <t>Recorded by current POST-BATCH-E-76A source/audit commit</t>
  </si>
  <si>
    <t>2026-06-09T21:47:36.0858469-05:00</t>
  </si>
  <si>
    <t>Valid private-house login relocation behavior for valid mobiles was preserved; serialization, public APIs, namespaces, type names, save versions, file location, and project files were unchanged.</t>
  </si>
  <si>
    <t>RB-01825</t>
  </si>
  <si>
    <t>P10-F01825</t>
  </si>
  <si>
    <t>Data/Scripts/System/Skills/Weapon Abilities/CustomWeaponAbilities.cs</t>
  </si>
  <si>
    <t>POST-BATCH-E-77A</t>
  </si>
  <si>
    <t>PHE-224</t>
  </si>
  <si>
    <t>Added null LoginEventArgs and null/deleted mobile guards before auto-open weapon-bar settings lookup and special-attack gump refresh.</t>
  </si>
  <si>
    <t>Data/Scripts/System/Skills/Weapon Abilities/CustomWeaponAbilities.cs:10-25; Data/System/Source/EventSink.cs:38;1090-1099;1147;1405-1408</t>
  </si>
  <si>
    <t>Recorded by current POST-BATCH-E-77A source/audit commit</t>
  </si>
  <si>
    <t>2026-06-09T21:51:03.0556461-05:00</t>
  </si>
  <si>
    <t>Valid auto-open weapon-bar behavior for valid mobiles was preserved; serialization, public APIs, namespaces, type names, save versions, file location, and project files were unchanged.</t>
  </si>
  <si>
    <t>RB-01826</t>
  </si>
  <si>
    <t>P10-F01826</t>
  </si>
  <si>
    <t>Trades:Apiculture</t>
  </si>
  <si>
    <t>Data/Scripts/Trades/Apiculture/beehivehelper.cs</t>
  </si>
  <si>
    <t>POST-BATCH-E-78A</t>
  </si>
  <si>
    <t>PHE-225</t>
  </si>
  <si>
    <t>Reviewed world-save hook; no source change because the handler does not consume WorldSaveEventArgs and delegates to the existing hive update pass.</t>
  </si>
  <si>
    <t>Data/Scripts/Trades/Apiculture/beehivehelper.cs:60-68;70-80; Data/System/Source/EventSink.cs:68;1105-1114;1178;1435-1438</t>
  </si>
  <si>
    <t>Recorded by current POST-BATCH-E-78A review-only audit commit</t>
  </si>
  <si>
    <t>2026-06-09T21:53:41.1299469-05:00</t>
  </si>
  <si>
    <t>Valid save-time hive update behavior remains unchanged; source build and compile-only verification were not required because no source files changed.</t>
  </si>
  <si>
    <t>RB-01827</t>
  </si>
  <si>
    <t>P10-F01827</t>
  </si>
  <si>
    <t>Gardening</t>
  </si>
  <si>
    <t>Data/Scripts/Trades/Gardening/PlantSystem.cs</t>
  </si>
  <si>
    <t>POST-BATCH-E-79A</t>
  </si>
  <si>
    <t>PHE-226</t>
  </si>
  <si>
    <t>Reviewed world-load hook; no source change because the WorldLoad delegate has no event args and the handler only delegates to the existing GrowAll pass.</t>
  </si>
  <si>
    <t>Data/Scripts/Trades/Gardening/PlantSystem.cs:417-425;456-484; Data/System/Source/EventSink.cs:67;1177;1429-1432</t>
  </si>
  <si>
    <t>Recorded by current POST-BATCH-E-79A source/audit commit</t>
  </si>
  <si>
    <t>2026-06-09T21:57:03.3766063-05:00</t>
  </si>
  <si>
    <t>Valid world-load plant growth behavior remains unchanged; source build and compile-only verification also passed because the same batch fixed the sibling login hook.</t>
  </si>
  <si>
    <t>RB-01828</t>
  </si>
  <si>
    <t>P10-F01828</t>
  </si>
  <si>
    <t>PHE-227</t>
  </si>
  <si>
    <t>Reviewed world-save hook; no source change because the handler does not consume WorldSaveEventArgs and only delegates to the existing GrowAll pass.</t>
  </si>
  <si>
    <t>Data/Scripts/Trades/Gardening/PlantSystem.cs:417-425;456-484; Data/System/Source/EventSink.cs:68;1105-1114;1178;1435-1438</t>
  </si>
  <si>
    <t>Valid save-time plant growth behavior remains unchanged; source build and compile-only verification also passed because the same batch fixed the sibling login hook.</t>
  </si>
  <si>
    <t>RB-01829</t>
  </si>
  <si>
    <t>P10-F01829</t>
  </si>
  <si>
    <t>PHE-228</t>
  </si>
  <si>
    <t>Added null LoginEventArgs and null/deleted mobile guards before backpack and bank plant growth checks.</t>
  </si>
  <si>
    <t>Data/Scripts/Trades/Gardening/PlantSystem.cs:417-454; Data/System/Source/EventSink.cs:38;1090-1099;1147;1405-1408</t>
  </si>
  <si>
    <t>Valid login-time backpack and bank plant growth checks for valid mobiles were preserved; serialization, public APIs, namespaces, type names, save versions, file location, and project files were unchanged.</t>
  </si>
  <si>
    <t>RB-01830</t>
  </si>
  <si>
    <t>P10-F01830</t>
  </si>
  <si>
    <t>ServerCore</t>
  </si>
  <si>
    <t>Data/System/Source/Commands.cs</t>
  </si>
  <si>
    <t>POST-BATCH-E-80A</t>
  </si>
  <si>
    <t>PHE-229</t>
  </si>
  <si>
    <t>Reviewed command event invocation; no source change because CommandSystem constructs a non-null CommandEventArgs immediately before EventSink.InvokeCommand on the valid command path.</t>
  </si>
  <si>
    <t>Data/System/Source/Commands.cs:257-300; Data/System/Source/EventSink.cs:1174;1243-1247</t>
  </si>
  <si>
    <t>Recorded by current POST-BATCH-E-80A review-only audit commit</t>
  </si>
  <si>
    <t>2026-06-09T22:00:27.0127690-05:00</t>
  </si>
  <si>
    <t>Valid command parsing, access, handler dispatch, invalid-command messaging, and command event behavior remain unchanged; source build and compile-only verification were not required because no source files changed.</t>
  </si>
  <si>
    <t>RB-01831</t>
  </si>
  <si>
    <t>P10-F01831</t>
  </si>
  <si>
    <t>Homestead</t>
  </si>
  <si>
    <t>Data/System/Source/EventSink.cs</t>
  </si>
  <si>
    <t>POST-BATCH-E-81A</t>
  </si>
  <si>
    <t>PHE-230</t>
  </si>
  <si>
    <t>No source change; generated marker matched the file banner text `EventSink.cs` at line 2, not executable runtime hook code.</t>
  </si>
  <si>
    <t>Data/System/Source/EventSink.cs:1-19; docs/codebase-audit/outputs/runtime-hook-map.csv:1050</t>
  </si>
  <si>
    <t>Recorded by current POST-BATCH-E-81A review-only audit commit</t>
  </si>
  <si>
    <t>2026-06-09T22:03:09.2051568-05:00</t>
  </si>
  <si>
    <t>Extractor noise from file banner text; source build and compile-only verification were not required because no source files changed.</t>
  </si>
  <si>
    <t>RB-01832</t>
  </si>
  <si>
    <t>P10-F01832</t>
  </si>
  <si>
    <t>Data/System/Source/Main.cs</t>
  </si>
  <si>
    <t>POST-BATCH-E-82A</t>
  </si>
  <si>
    <t>PHE-231</t>
  </si>
  <si>
    <t>Reviewed crash event invocation; no source change because the crash handler constructs a non-null CrashedEventArgs immediately before EventSink.InvokeCrashed inside the existing crash-isolation try/catch.</t>
  </si>
  <si>
    <t>Data/System/Source/Main.cs:328-349; Data/System/Source/EventSink.cs:42;704-723;1151;1381-1384</t>
  </si>
  <si>
    <t>Recorded by current POST-BATCH-E-82A review-only audit commit</t>
  </si>
  <si>
    <t>2026-06-09T22:05:40.9400617-05:00</t>
  </si>
  <si>
    <t>Valid crash reporting, Crashed event dispatch, close flag handling, and crash-isolation behavior remain unchanged.</t>
  </si>
  <si>
    <t>RB-01833</t>
  </si>
  <si>
    <t>P10-F01833</t>
  </si>
  <si>
    <t>PHE-232</t>
  </si>
  <si>
    <t>Reviewed shutdown event invocation; no source change because shutdown dispatch passes a newly constructed ShutdownEventArgs only on the existing non-crashed close path.</t>
  </si>
  <si>
    <t>Data/System/Source/Main.cs:454-467; Data/System/Source/EventSink.cs:43;699-701;1152;1375-1378</t>
  </si>
  <si>
    <t>Valid shutdown wait, non-crashed shutdown event dispatch, timer wake, and exit messaging behavior remain unchanged.</t>
  </si>
  <si>
    <t>RB-01834</t>
  </si>
  <si>
    <t>P10-F01834</t>
  </si>
  <si>
    <t>PHE-233</t>
  </si>
  <si>
    <t>Reviewed server-start event invocation; no source change because ServerStarted is a no-args delegate and the invocation remains after successful compile, configure, region/world load, initialization, and message pump setup.</t>
  </si>
  <si>
    <t>Data/System/Source/Main.cs:600-624; Data/System/Source/EventSink.cs:71;1182;1193-1196</t>
  </si>
  <si>
    <t>Valid server-start event ordering and compile-only early-return behavior remain unchanged.</t>
  </si>
  <si>
    <t>RB-01835</t>
  </si>
  <si>
    <t>P10-F01835</t>
  </si>
  <si>
    <t>Data/System/Source/Mobile.cs</t>
  </si>
  <si>
    <t>POST-BATCH-E-83A</t>
  </si>
  <si>
    <t>PHE-234</t>
  </si>
  <si>
    <t>Reviewed hunger-changed event invocation; no source change because the Hunger setter constructs HungerChangedEventArgs from the current Mobile instance and old value immediately before dispatch after the value changes.</t>
  </si>
  <si>
    <t>Data/System/Source/Mobile.cs:1645-1658; Data/System/Source/EventSink.cs:41;725-742;1150;1387-1390</t>
  </si>
  <si>
    <t>Recorded by current POST-BATCH-E-83A review-only audit commit</t>
  </si>
  <si>
    <t>2026-06-09T22:11:02.2898563-05:00</t>
  </si>
  <si>
    <t>Valid Hunger property update and HungerChanged event behavior remain unchanged.</t>
  </si>
  <si>
    <t>RB-01836</t>
  </si>
  <si>
    <t>P10-F01836</t>
  </si>
  <si>
    <t>PHE-235</t>
  </si>
  <si>
    <t>Reviewed logout event invocation; no source change because LogoutTimer is constructed from the current Mobile on disconnect and passes that stored mobile in a newly constructed LogoutEventArgs before internalizing.</t>
  </si>
  <si>
    <t>Data/System/Source/Mobile.cs:2054-2075;9349-9362; Data/System/Source/EventSink.cs:50;518-529;1159;1315-1318</t>
  </si>
  <si>
    <t>Valid disconnect logout timer, logout event, logout location capture, and internalize behavior remain unchanged.</t>
  </si>
  <si>
    <t>RB-01837</t>
  </si>
  <si>
    <t>P10-F01837</t>
  </si>
  <si>
    <t>PHE-236</t>
  </si>
  <si>
    <t>Reviewed aggressive-action event invocation; no source change because AggressiveActionEventArgs.Create returns pooled/new args immediately before dispatch, then the method frees the args and continues existing combat bookkeeping.</t>
  </si>
  <si>
    <t>Data/System/Source/Mobile.cs:2369-2387;2389-2418; Data/System/Source/EventSink.cs:247-267;1249-1252</t>
  </si>
  <si>
    <t>Valid aggressive-action event dispatch, pooled-args ownership, and combat bookkeeping behavior remain unchanged.</t>
  </si>
  <si>
    <t>RB-01838</t>
  </si>
  <si>
    <t>P10-F01838</t>
  </si>
  <si>
    <t>PHE-237</t>
  </si>
  <si>
    <t>Reviewed movement event invocation; no source change because MovementEventArgs.Create returns pooled/new args from the current Mobile and direction immediately before dispatch, then the blocked result is read and the args are freed.</t>
  </si>
  <si>
    <t>Data/System/Source/Mobile.cs:3140-3153; Data/System/Source/EventSink.cs:768-793;1393-1396</t>
  </si>
  <si>
    <t>Valid movement event dispatch, blocking semantics, and pooled-args ownership remain unchanged.</t>
  </si>
  <si>
    <t>RB-01839</t>
  </si>
  <si>
    <t>P10-F01839</t>
  </si>
  <si>
    <t>PHE-238</t>
  </si>
  <si>
    <t>Reviewed fast-walk event invocation; no source change because FastWalkEventArgs is constructed from the already-checked NetState immediately before dispatch, and the existing blocked result controls movement rejection.</t>
  </si>
  <si>
    <t>Data/System/Source/Mobile.cs:3463-3492; Data/System/Source/EventSink.cs:70;1120-1137;1180;1225-1228</t>
  </si>
  <si>
    <t>Valid fast-walk detection, event dispatch, and blocked movement behavior remain unchanged.</t>
  </si>
  <si>
    <t>RB-01840</t>
  </si>
  <si>
    <t>P10-F01840</t>
  </si>
  <si>
    <t>PHE-239</t>
  </si>
  <si>
    <t>Reviewed player-death event invocation; no source change because PlayerDeathEventArgs is newly constructed from the current Mobile after death state is applied and immediately before death status processing.</t>
  </si>
  <si>
    <t>Data/System/Source/Mobile.cs:4285-4313; Data/System/Source/EventSink.cs:55;476-489;1303-1306</t>
  </si>
  <si>
    <t>Valid death-state application, player-death event dispatch, delta processing, and death-status behavior remain unchanged.</t>
  </si>
  <si>
    <t>RB-01841</t>
  </si>
  <si>
    <t>P10-F01841</t>
  </si>
  <si>
    <t>PHE-240</t>
  </si>
  <si>
    <t>Reviewed speech event invocation; no source change because DoSpeech skips deleted mobiles and command-handled text, constructs SpeechEventArgs from the current Mobile/text/type/hue/keywords, then passes the same args through EventSink, region, and OnSaid processing.</t>
  </si>
  <si>
    <t>Data/System/Source/Mobile.cs:5037-5077; Data/System/Source/EventSink.cs:37;1023-1088;1146;1411-1414</t>
  </si>
  <si>
    <t>Valid speech dispatch, mutation, blocking, and post-event text validation behavior remain unchanged.</t>
  </si>
  <si>
    <t>RB-01842</t>
  </si>
  <si>
    <t>P10-F01842</t>
  </si>
  <si>
    <t>PHE-241</t>
  </si>
  <si>
    <t>Reviewed disconnected event invocation; no source change because the NetState setter invokes OnDisconnected, constructs DisconnectedEventArgs from the current Mobile, then starts the existing logout timer on the null-NetState path.</t>
  </si>
  <si>
    <t>Data/System/Source/Mobile.cs:9349-9362; Data/System/Source/EventSink.cs:53;570-582;1333-1336</t>
  </si>
  <si>
    <t>Valid disconnect event dispatch and logout timer startup behavior remain unchanged.</t>
  </si>
  <si>
    <t>RB-01843</t>
  </si>
  <si>
    <t>P10-F01843</t>
  </si>
  <si>
    <t>PHE-242</t>
  </si>
  <si>
    <t>Reviewed connected event invocation; no source change because the NetState setter invokes OnConnected, constructs ConnectedEventArgs from the current Mobile, then stops and clears the existing logout timer on the non-null-NetState path.</t>
  </si>
  <si>
    <t>Data/System/Source/Mobile.cs:9364-9375; Data/System/Source/EventSink.cs:52;555-568;1327-1330</t>
  </si>
  <si>
    <t>Valid connected event dispatch and logout timer cancellation behavior remain unchanged.</t>
  </si>
  <si>
    <t>RB-01844</t>
  </si>
  <si>
    <t>P10-F01844</t>
  </si>
  <si>
    <t>PHE-243</t>
  </si>
  <si>
    <t>Reviewed paperdoll request event invocation; no source change because DisplayPaperdollTo constructs PaperdollRequestEventArgs from the requested beholder and current Mobile immediately before dispatch.</t>
  </si>
  <si>
    <t>Data/System/Source/Mobile.cs:12806-12808; Data/System/Source/EventSink.cs:61;331-349;1170;1267-1270</t>
  </si>
  <si>
    <t>Valid paperdoll request dispatch behavior remains unchanged.</t>
  </si>
  <si>
    <t>RB-01845</t>
  </si>
  <si>
    <t>P10-F01845</t>
  </si>
  <si>
    <t>Data/System/Source/World.cs</t>
  </si>
  <si>
    <t>POST-BATCH-E-84A</t>
  </si>
  <si>
    <t>PHE-244</t>
  </si>
  <si>
    <t>Reviewed create-guild event invocation; no source change because World.Load constructs and reuses CreateGuildEventArgs, sets the current guild id from the index, and dispatches it immediately while the only subscriber already guards null args.</t>
  </si>
  <si>
    <t>Data/System/Source/World.cs:590-600; Data/System/Source/EventSink.cs:72;98-110;1181;1199-1202; Data/Scripts/System/Misc/Guilds.cs:690;813-818</t>
  </si>
  <si>
    <t>Recorded by current POST-BATCH-E-84A review-only audit commit</t>
  </si>
  <si>
    <t>2026-06-09T22:18:19.8098499-05:00</t>
  </si>
  <si>
    <t>Valid guild index load and create-guild subscriber behavior remain unchanged.</t>
  </si>
  <si>
    <t>RB-01846</t>
  </si>
  <si>
    <t>P10-F01846</t>
  </si>
  <si>
    <t>PHE-245</t>
  </si>
  <si>
    <t>Reviewed world-load event invocation; no source change because World.Load invokes the no-args WorldLoad delegate only after successful deserialization and before safety-queue, totals, and region refresh work.</t>
  </si>
  <si>
    <t>Data/System/Source/World.cs:849-853; Data/System/Source/EventSink.cs:67;1177;1429-1432; Data/Scripts/Trades/Gardening/PlantSystem.cs:419;477-480; Data/Scripts/System/Chat/General/General.cs:42</t>
  </si>
  <si>
    <t>Valid world-load event ordering and subscriber behavior remain unchanged.</t>
  </si>
  <si>
    <t>RB-01847</t>
  </si>
  <si>
    <t>P10-F01847</t>
  </si>
  <si>
    <t>PHE-246</t>
  </si>
  <si>
    <t>Reviewed world-save event invocation; no source change because World.Save constructs WorldSaveEventArgs from the save message flag immediately before dispatch and wraps save-event failures in the existing save-failed exception path.</t>
  </si>
  <si>
    <t>Data/System/Source/World.cs:1050-1058; Data/System/Source/EventSink.cs:68;1105-1116;1178;1435-1438; Data/Scripts/Trades/Apiculture/beehivehelper.cs:62;65-67; Data/Scripts/Trades/Gardening/PlantSystem.cs:421-422;482-484</t>
  </si>
  <si>
    <t>Valid world-save event dispatch, failure wrapping, and subscriber behavior remain unchanged.</t>
  </si>
  <si>
    <t>RB-01848</t>
  </si>
  <si>
    <t>P10-F01848</t>
  </si>
  <si>
    <t>Data/System/Source/Network/Listener.cs</t>
  </si>
  <si>
    <t>POST-BATCH-E-85A</t>
  </si>
  <si>
    <t>PHE-247</t>
  </si>
  <si>
    <t>Reviewed socket-connect event invocation; no source change because the accept path calls VerifySocket only for non-null accepted sockets, VerifySocket constructs SocketConnectEventArgs inside the existing try/catch, and subscribers already guard invalid event/socket state.</t>
  </si>
  <si>
    <t>Data/System/Source/Network/Listener.cs:224-256; Data/System/Source/EventSink.cs:51;533-552;1160;1321-1324; Data/Scripts/System/Misc/Accounts.cs:67-82; Data/Scripts/System/Misc/SocketOptions.cs:34-49</t>
  </si>
  <si>
    <t>Recorded by current POST-BATCH-E-85A review-only audit commit</t>
  </si>
  <si>
    <t>2026-06-09T22:21:23.4444560-05:00</t>
  </si>
  <si>
    <t>Valid listener accept filtering, socket option application, firewall/IP limit handling, and exception-to-deny behavior remain unchanged.</t>
  </si>
  <si>
    <t>RB-01849</t>
  </si>
  <si>
    <t>P10-F01849</t>
  </si>
  <si>
    <t>Data/System/Source/Network/PacketHandlers.cs</t>
  </si>
  <si>
    <t>POST-BATCH-E-86A</t>
  </si>
  <si>
    <t>PHE-248</t>
  </si>
  <si>
    <t>Reviewed set-ability encoded packet event invocation; no source change because SetAbility is registered as an in-game encoded handler, EncodedCommand rejects null state.Mobile before dispatch, SetAbilityEventArgs is constructed at the callsite, and no SetAbility subscriber is currently registered.</t>
  </si>
  <si>
    <t>Data/System/Source/Network/PacketHandlers.cs:172;301-303;316-340; Data/System/Source/EventSink.cs:69;143-162;1179;1207-1210</t>
  </si>
  <si>
    <t>Recorded by current POST-BATCH-E-86A review-only audit commit</t>
  </si>
  <si>
    <t>2026-06-09T22:25:56.6260090-05:00</t>
  </si>
  <si>
    <t>Valid set-ability packet dispatch behavior remains unchanged; no SetAbility subscriber is currently registered.</t>
  </si>
  <si>
    <t>RB-01850</t>
  </si>
  <si>
    <t>P10-F01850</t>
  </si>
  <si>
    <t>PHE-249</t>
  </si>
  <si>
    <t>Reviewed guild-gump encoded packet event invocation; no source change because GuildGumpRequest is registered as an in-game encoded handler, EncodedCommand rejects null state.Mobile before dispatch, and the subscribed Guild handler already guards null/deleted mobiles before opening guild gumps.</t>
  </si>
  <si>
    <t>Data/System/Source/Network/PacketHandlers.cs:173;306-308;316-340; Data/System/Source/EventSink.cs:73;113-125;1183;1213-1216; Data/Scripts/System/Misc/Guilds.cs:691;798-811</t>
  </si>
  <si>
    <t>Valid guild gump request behavior remains unchanged.</t>
  </si>
  <si>
    <t>RB-01851</t>
  </si>
  <si>
    <t>P10-F01851</t>
  </si>
  <si>
    <t>PHE-250</t>
  </si>
  <si>
    <t>Reviewed quest-gump encoded packet event invocation; no source change because QuestGumpRequest is registered as an in-game encoded handler, EncodedCommand rejects null state.Mobile before dispatch, and the subscribed Quest handler already guards null/deleted mobiles before opening StatsGump.</t>
  </si>
  <si>
    <t>Data/System/Source/Network/PacketHandlers.cs:175;311-313;316-340; Data/System/Source/EventSink.cs:74;128-140;1184;1219-1222; Data/Scripts/System/Misc/Players.cs:1887;1890-1897</t>
  </si>
  <si>
    <t>Valid quest/stats gump request behavior remains unchanged.</t>
  </si>
  <si>
    <t>RB-01852</t>
  </si>
  <si>
    <t>P10-F01852</t>
  </si>
  <si>
    <t>POST-BATCH-E-87A</t>
  </si>
  <si>
    <t>PHE-251</t>
  </si>
  <si>
    <t>Reviewed rename packet event invocation; no source change because RenameRequest is registered as an in-game packet handler, MessagePump rejects null/deleted state.Mobile before dispatch, the caller skips missing targets, and the RenameRequests subscriber guards invalid event state before range, rename, and name-validation checks.</t>
  </si>
  <si>
    <t>Data/System/Source/Network/PacketHandlers.cs:115;349-357; Data/System/Source/Network/MessagePump.cs:253-267; Data/System/Source/EventSink.cs:54;491-516;1163;1309-1312; Data/Scripts/System/Misc/RenameRequests.cs:8-16;22-60</t>
  </si>
  <si>
    <t>Recorded by current POST-BATCH-E-87A review-only audit commit</t>
  </si>
  <si>
    <t>2026-06-09T22:30:28.7607484-05:00</t>
  </si>
  <si>
    <t>Valid rename packet dispatch and pet rename validation behavior remain unchanged.</t>
  </si>
  <si>
    <t>RB-01853</t>
  </si>
  <si>
    <t>P10-F01853</t>
  </si>
  <si>
    <t>PHE-252</t>
  </si>
  <si>
    <t>Reviewed chat request packet event invocation; no source change because ChatRequest is registered as an in-game packet handler, MessagePump rejects null/deleted state.Mobile before dispatch, and the only current ChatRequest subscriber is an obsolete no-op handler that does not dereference the event args.</t>
  </si>
  <si>
    <t>Data/System/Source/Network/PacketHandlers.cs:134;360-362; Data/System/Source/Network/MessagePump.cs:253-267; Data/System/Source/EventSink.cs:59;461-474;1168;1279-1282; Data/Scripts/System/Obsolete/Obsolete.cs:6657-6665</t>
  </si>
  <si>
    <t>Valid obsolete chat request dispatch behavior remains unchanged.</t>
  </si>
  <si>
    <t>RB-01854</t>
  </si>
  <si>
    <t>P10-F01854</t>
  </si>
  <si>
    <t>PHE-253</t>
  </si>
  <si>
    <t>Reviewed delete-character packet event invocation; no source change because DeleteCharacter is a pre-game character-list packet that constructs DeleteRequestEventArgs from the current NetState and requested index, and the Accounts subscriber validates args, state, account, index, character state, delay, and jail restrictions before deletion.</t>
  </si>
  <si>
    <t>Data/System/Source/Network/PacketHandlers.cs:120;508-513; Data/System/Source/EventSink.cs:66;164-183;1176;1231-1234; Data/Scripts/System/Misc/Accounts.cs:380-384;456-500</t>
  </si>
  <si>
    <t>Valid character delete request validation behavior remains unchanged.</t>
  </si>
  <si>
    <t>RB-01855</t>
  </si>
  <si>
    <t>P10-F01855</t>
  </si>
  <si>
    <t>POST-BATCH-E-88A</t>
  </si>
  <si>
    <t>PHE-254</t>
  </si>
  <si>
    <t>Reviewed animate text-command event invocation; no source change because TextCommand is registered as an in-game packet, MessagePump rejects null/deleted state.Mobile before dispatch, and the Animations subscriber guards null args, null/deleted mobiles, and null action text.</t>
  </si>
  <si>
    <t>Data/System/Source/Network/PacketHandlers.cs:98;798-804;834-836; Data/System/Source/Network/MessagePump.cs:253-267; Data/System/Source/EventSink.cs:49;585-603;1158;1339-1342; Data/Scripts/System/Misc/Animations.cs:8-16;22-35</t>
  </si>
  <si>
    <t>Recorded by current POST-BATCH-E-88A review-only audit commit</t>
  </si>
  <si>
    <t>2026-06-09T22:34:22.9656315-05:00</t>
  </si>
  <si>
    <t>Valid bow/salute text-command animation behavior remains unchanged.</t>
  </si>
  <si>
    <t>RB-01856</t>
  </si>
  <si>
    <t>P10-F01856</t>
  </si>
  <si>
    <t>PHE-255</t>
  </si>
  <si>
    <t>Reviewed open-spellbook text-command event invocation; no source change because TextCommand is registered as an in-game packet, MessagePump rejects null/deleted state.Mobile before dispatch, and the Spellbook subscriber guards null args plus null/deleted mobiles before design-context and spellbook lookup.</t>
  </si>
  <si>
    <t>Data/System/Source/Network/PacketHandlers.cs:98;798-804;851-860; Data/System/Source/Network/MessagePump.cs:253-267; Data/System/Source/EventSink.cs:47;633-652;1156;1351-1354; Data/Scripts/Magic/Magery/Spellbook.cs:33-40;120-181</t>
  </si>
  <si>
    <t>Valid open-spellbook text-command behavior remains unchanged.</t>
  </si>
  <si>
    <t>RB-01857</t>
  </si>
  <si>
    <t>P10-F01857</t>
  </si>
  <si>
    <t>PHE-256</t>
  </si>
  <si>
    <t>Reviewed cast-from-book text-command event invocation; no source change because TextCommand is registered as an in-game packet, MessagePump rejects null/deleted state.Mobile before dispatch, and the Spellbook subscriber guards null args plus null/deleted mobiles before cast handling.</t>
  </si>
  <si>
    <t>Data/System/Source/Network/PacketHandlers.cs:98;798-804;864-875; Data/System/Source/Network/MessagePump.cs:253-267; Data/System/Source/EventSink.cs:48;606-631;1157;1345-1348; Data/Scripts/Magic/Magery/Spellbook.cs:33-40;184-215</t>
  </si>
  <si>
    <t>Valid cast-from-book text-command behavior remains unchanged.</t>
  </si>
  <si>
    <t>RB-01858</t>
  </si>
  <si>
    <t>P10-F01858</t>
  </si>
  <si>
    <t>PHE-257</t>
  </si>
  <si>
    <t>Reviewed open-door macro event invocation; no source change because TextCommand is registered as an in-game packet, MessagePump rejects null/deleted state.Mobile before dispatch, and the BaseDoor subscriber guards null args plus null/deleted mobiles before map/sector door lookup.</t>
  </si>
  <si>
    <t>Data/System/Source/Network/PacketHandlers.cs:98;798-804;880-882; Data/System/Source/Network/MessagePump.cs:253-267; Data/System/Source/EventSink.cs:36;1008-1021;1145;1423-1426; Data/Scripts/Items/Doors/BaseDoor.cs:122-126;295-305;342-355</t>
  </si>
  <si>
    <t>Valid open-door macro behavior remains unchanged.</t>
  </si>
  <si>
    <t>RB-01859</t>
  </si>
  <si>
    <t>P10-F01859</t>
  </si>
  <si>
    <t>PHE-258</t>
  </si>
  <si>
    <t>Reviewed cast-from-macro text-command event invocation; no source change because TextCommand is registered as an in-game packet, MessagePump rejects null/deleted state.Mobile before dispatch, and the Spellbook subscriber guards null args plus null/deleted mobiles before cast handling.</t>
  </si>
  <si>
    <t>Data/System/Source/Network/PacketHandlers.cs:98;798-804;886-892; Data/System/Source/Network/MessagePump.cs:253-267; Data/System/Source/EventSink.cs:48;606-631;1157;1345-1348; Data/Scripts/Magic/Magery/Spellbook.cs:33-40;184-215</t>
  </si>
  <si>
    <t>Valid cast-from-macro text-command behavior remains unchanged.</t>
  </si>
  <si>
    <t>RB-01860</t>
  </si>
  <si>
    <t>P10-F01860</t>
  </si>
  <si>
    <t>PHE-259</t>
  </si>
  <si>
    <t>Reviewed virtue macro text-command event invocation; no source change because TextCommand is registered as an in-game packet, MessagePump rejects null/deleted state.Mobile before dispatch, and targeted source search found no current VirtueMacroRequest subscriber because the obsolete virtue gump initializer is disabled.</t>
  </si>
  <si>
    <t>Data/System/Source/Network/PacketHandlers.cs:98;798-804;896-902; Data/System/Source/Network/MessagePump.cs:253-267; Data/System/Source/EventSink.cs:58;440-459;1167;1297-1300; Data/Scripts/System/Obsolete/Obsolete.cs:34934-34937;34965-34984</t>
  </si>
  <si>
    <t>Valid inert virtue macro request dispatch behavior remains unchanged.</t>
  </si>
  <si>
    <t>RB-01861</t>
  </si>
  <si>
    <t>P10-F01861</t>
  </si>
  <si>
    <t>POST-BATCH-E-89A</t>
  </si>
  <si>
    <t>PHE-260</t>
  </si>
  <si>
    <t>Reviewed profile display packet event invocation; no source change because ProfileReq is registered as an in-game packet, MessagePump rejects null/deleted state.Mobile before dispatch, the caller skips missing beheld mobiles, and the Profile subscriber guards invalid beholder/beheld state before display-packet work.</t>
  </si>
  <si>
    <t>Data/System/Source/Network/PacketHandlers.cs:136;1008-1021; Data/System/Source/Network/MessagePump.cs:253-267; Data/System/Source/EventSink.cs:62;283-302;1171;1255-1258; Data/Scripts/System/Misc/Profile.cs:10-16;31-47;64-77</t>
  </si>
  <si>
    <t>Recorded by current POST-BATCH-E-89A review-only audit commit</t>
  </si>
  <si>
    <t>2026-06-09T22:39:11.8850291-05:00</t>
  </si>
  <si>
    <t>Valid profile display request behavior remains unchanged.</t>
  </si>
  <si>
    <t>RB-01862</t>
  </si>
  <si>
    <t>P10-F01862</t>
  </si>
  <si>
    <t>PHE-261</t>
  </si>
  <si>
    <t>Reviewed profile edit packet event invocation; no source change because ProfileReq is registered as an in-game packet, MessagePump rejects null/deleted state.Mobile before dispatch, the caller skips missing beheld mobiles and oversized profile text, and the Profile subscriber guards invalid beholder/beheld state before profile-lock and text update work.</t>
  </si>
  <si>
    <t>Data/System/Source/Network/PacketHandlers.cs:136;1008-1037; Data/System/Source/Network/MessagePump.cs:253-267; Data/System/Source/EventSink.cs:63;304-328;1172;1261-1264; Data/Scripts/System/Misc/Profile.cs:10-20;23-28</t>
  </si>
  <si>
    <t>Valid profile edit request behavior remains unchanged.</t>
  </si>
  <si>
    <t>RB-01863</t>
  </si>
  <si>
    <t>P10-F01863</t>
  </si>
  <si>
    <t>PHE-262</t>
  </si>
  <si>
    <t>Reviewed help request packet event invocation; no source change because HelpRequest is registered as an in-game packet, MessagePump rejects null/deleted state.Mobile before dispatch, and the HelpGump subscriber guards null args, null/deleted mobiles, and null NetState before inspecting open gumps or sending help UI.</t>
  </si>
  <si>
    <t>Data/System/Source/Network/PacketHandlers.cs:126;1143-1145; Data/System/Source/Network/MessagePump.cs:253-267; Data/System/Source/EventSink.cs:44;684-697;1153;1369-1372; Data/Scripts/System/Help/Gumps/HelpGump.cs:69-96</t>
  </si>
  <si>
    <t>Valid help request behavior remains unchanged.</t>
  </si>
  <si>
    <t>RB-01864</t>
  </si>
  <si>
    <t>P10-F01864</t>
  </si>
  <si>
    <t>PHE-263</t>
  </si>
  <si>
    <t>Reviewed virtue gump packet event invocation; no source change because DisplayGumpResponse is registered as an in-game packet, MessagePump rejects null/deleted state.Mobile before dispatch, the caller skips missing beheld mobiles, and targeted source search found no current VirtueGumpRequest subscriber because the obsolete virtue gump initializer is disabled.</t>
  </si>
  <si>
    <t>Data/System/Source/Network/PacketHandlers.cs:133;1338-1350; Data/System/Source/Network/MessagePump.cs:253-267; Data/System/Source/EventSink.cs:56;419-438;1165;1291-1294; Data/Scripts/System/Obsolete/Obsolete.cs:34934-34937;34987-35000</t>
  </si>
  <si>
    <t>Valid inert virtue gump request dispatch behavior remains unchanged.</t>
  </si>
  <si>
    <t>RB-01865</t>
  </si>
  <si>
    <t>P10-F01865</t>
  </si>
  <si>
    <t>PHE-264</t>
  </si>
  <si>
    <t>Reviewed virtue item packet event invocation; no source change because DisplayGumpResponse is registered as an in-game packet, MessagePump rejects null/deleted state.Mobile before dispatch, the caller skips missing beheld mobiles, and targeted source search found no current VirtueItemRequest subscriber because the obsolete virtue gump initializer is disabled.</t>
  </si>
  <si>
    <t>Data/System/Source/Network/PacketHandlers.cs:133;1338-1361; Data/System/Source/Network/MessagePump.cs:253-267; Data/System/Source/EventSink.cs:57;392-417;1166;1285-1288; Data/Scripts/System/Obsolete/Obsolete.cs:34934-34937;34944-34963</t>
  </si>
  <si>
    <t>Valid inert virtue item request dispatch behavior remains unchanged.</t>
  </si>
  <si>
    <t>RB-01866</t>
  </si>
  <si>
    <t>P10-F01866</t>
  </si>
  <si>
    <t>PHE-265</t>
  </si>
  <si>
    <t>Reviewed extended cast-spell packet event invocation; no source change because CastSpell is registered as an in-game extended packet handler, ExtendedCommand rejects null/deleted state.Mobile before dispatch, and the Spellbook subscriber guards null args plus null/deleted mobiles before cast handling.</t>
  </si>
  <si>
    <t>Data/System/Source/Network/PacketHandlers.cs:169;1690-1713;1722-1738; Data/System/Source/EventSink.cs:48;606-631;1157;1345-1348; Data/Scripts/Magic/Magery/Spellbook.cs:33-40;184-215</t>
  </si>
  <si>
    <t>Valid extended cast-spell request behavior remains unchanged.</t>
  </si>
  <si>
    <t>RB-01867</t>
  </si>
  <si>
    <t>P10-F01867</t>
  </si>
  <si>
    <t>POST-BATCH-E-90A</t>
  </si>
  <si>
    <t>PHE-266</t>
  </si>
  <si>
    <t>Reviewed stun request extended packet event invocation; no source change because StunRequest is registered as an in-game extended packet handler, ExtendedCommand rejects null/deleted state.Mobile before dispatch, and the Fists subscriber guards null args plus null/deleted mobiles before skill/free-hand checks.</t>
  </si>
  <si>
    <t>Data/System/Source/Network/PacketHandlers.cs:160;1690-1713;1891-1893; Data/System/Source/EventSink.cs:654-667;1159;1363-1366; Data/Scripts/Items/Weapons/Hands/Fists.cs:9-15;300-327</t>
  </si>
  <si>
    <t>Recorded by current POST-BATCH-E-90A review-only audit commit</t>
  </si>
  <si>
    <t>2026-06-09T22:42:55.9802192-05:00</t>
  </si>
  <si>
    <t>Valid stun request ready-toggle behavior remains unchanged.</t>
  </si>
  <si>
    <t>RB-01868</t>
  </si>
  <si>
    <t>P10-F01868</t>
  </si>
  <si>
    <t>PHE-267</t>
  </si>
  <si>
    <t>Reviewed disarm request extended packet event invocation; no source change because DisarmRequest is registered as an in-game extended packet handler, ExtendedCommand rejects null/deleted state.Mobile before dispatch, and the Fists subscriber guards null args plus null/deleted mobiles before skill/free-hand checks.</t>
  </si>
  <si>
    <t>Data/System/Source/Network/PacketHandlers.cs:159;1690-1713;1896-1898; Data/System/Source/EventSink.cs:669-682;1160;1357-1360; Data/Scripts/Items/Weapons/Hands/Fists.cs:9-15;270-297</t>
  </si>
  <si>
    <t>Valid disarm request ready-toggle behavior remains unchanged.</t>
  </si>
  <si>
    <t>RB-01869</t>
  </si>
  <si>
    <t>P10-F01869</t>
  </si>
  <si>
    <t>PHE-268</t>
  </si>
  <si>
    <t>Reviewed client-version packet event invocation; no source change because ClientVersion records state.Version and constructs ClientVersionReceivedArgs from the current NetState/version, while current subscribers guard null args, null state, null version where consumed, and null/deleted mobiles before buff resend or client-version enforcement work.</t>
  </si>
  <si>
    <t>Data/System/Source/Network/PacketHandlers.cs:138;2042-2046; Data/System/Source/EventSink.cs:75;77-96;1185;1187-1190; Data/Scripts/System/Misc/BuffIcons.cs:18-37; Data/Scripts/System/Misc/ClientVerification.cs:65-69;111-124</t>
  </si>
  <si>
    <t>Valid client-version received dispatch behavior remains unchanged.</t>
  </si>
  <si>
    <t>RB-01870</t>
  </si>
  <si>
    <t>P10-F01870</t>
  </si>
  <si>
    <t>PHE-269</t>
  </si>
  <si>
    <t>Classified the ClientType client-version invocation row as a false positive because the generated row matched a commented-out TODO line, not executable runtime hook code; the live ClientVersionReceived invocation is separately reviewed in RB-01869.</t>
  </si>
  <si>
    <t>Data/System/Source/Network/PacketHandlers.cs:2049-2056</t>
  </si>
  <si>
    <t>No runtime behavior exists for the commented ClientType invocation.</t>
  </si>
  <si>
    <t>RB-01871</t>
  </si>
  <si>
    <t>P10-F01871</t>
  </si>
  <si>
    <t>POST-BATCH-E-91A</t>
  </si>
  <si>
    <t>PHE-270</t>
  </si>
  <si>
    <t>Reviewed login completion event invocation; no source change because PlayCharacter validates account/slot state and non-null mobile before assigning state.Mobile and starting LoginTimer, and DoLogin constructs LoginEventArgs from that mobile after completing login packets.</t>
  </si>
  <si>
    <t>Data/System/Source/Network/PacketHandlers.cs:2141-2184;2189-2258; Data/System/Source/EventSink.cs:1090-1103;1147;1405-1408; Data/Scripts/System/Misc/Accounts.cs:1332-1336;1381-1397</t>
  </si>
  <si>
    <t>Recorded by current POST-BATCH-E-91A review-only audit commit</t>
  </si>
  <si>
    <t>2026-06-09T22:47:41.9419923-05:00</t>
  </si>
  <si>
    <t>Valid login completion event ordering remains unchanged.</t>
  </si>
  <si>
    <t>RB-01872</t>
  </si>
  <si>
    <t>P10-F01872</t>
  </si>
  <si>
    <t>PHE-271</t>
  </si>
  <si>
    <t>Reviewed legacy character-created event invocation; no source change because CreateCharacter constructs CharacterCreatedEventArgs from current NetState/account and parsed character payload, then the CharacterCreation subscriber guards null args, null state, and non-Account account state before creating the mobile.</t>
  </si>
  <si>
    <t>Data/System/Source/Network/PacketHandlers.cs:2261-2389; Data/System/Source/EventSink.cs:864-1005;1144;1417-1420; Data/Scripts/System/Misc/CharacterCreation.cs:16-21;155-177</t>
  </si>
  <si>
    <t>Valid legacy create-character event behavior remains unchanged.</t>
  </si>
  <si>
    <t>RB-01873</t>
  </si>
  <si>
    <t>P10-F01873</t>
  </si>
  <si>
    <t>PHE-272</t>
  </si>
  <si>
    <t>Reviewed 7.0.16.0 character-created event invocation; no source change because CreateCharacter70160 constructs CharacterCreatedEventArgs from current NetState/account and parsed character payload, then the CharacterCreation subscriber guards null args, null state, and non-Account account state before creating the mobile.</t>
  </si>
  <si>
    <t>Data/System/Source/Network/PacketHandlers.cs:2392-2518; Data/System/Source/EventSink.cs:864-1005;1144;1417-1420; Data/Scripts/System/Misc/CharacterCreation.cs:16-21;155-177</t>
  </si>
  <si>
    <t>Valid 7.0.16.0 create-character event behavior remains unchanged.</t>
  </si>
  <si>
    <t>RB-01874</t>
  </si>
  <si>
    <t>P10-F01874</t>
  </si>
  <si>
    <t>PHE-273</t>
  </si>
  <si>
    <t>Reviewed game-login event invocation; no source change because GameLogin validates seed/auth state, constructs GameLoginEventArgs from current NetState and credentials, and the Accounts subscriber guards null args and null state before IP limit, account lookup, password, access, and city-list setup.</t>
  </si>
  <si>
    <t>Data/System/Source/Network/PacketHandlers.cs:2618-2640; Data/System/Source/EventSink.cs:185-222;1175;1237-1240; Data/Scripts/System/Misc/Accounts.cs:380-384;670-722</t>
  </si>
  <si>
    <t>Valid game-login account validation behavior remains unchanged.</t>
  </si>
  <si>
    <t>RB-01875</t>
  </si>
  <si>
    <t>P10-F01875</t>
  </si>
  <si>
    <t>PHE-274</t>
  </si>
  <si>
    <t>Reviewed account-login event invocation; no source change because AccountLogin rejects duplicate first packets before constructing AccountLoginEventArgs from current NetState and credentials, and the Accounts subscriber guards null args and null state before IP limit, account creation/login, password, access, and rejection handling.</t>
  </si>
  <si>
    <t>Data/System/Source/Network/PacketHandlers.cs:2700-2718; Data/System/Source/EventSink.cs:352-390;1169;1273-1276; Data/Scripts/System/Misc/Accounts.cs:380-384;600-668</t>
  </si>
  <si>
    <t>Valid account-login validation behavior remains unchanged.</t>
  </si>
  <si>
    <t>RB-01876</t>
  </si>
  <si>
    <t>P10-F01876</t>
  </si>
  <si>
    <t>PHE-275</t>
  </si>
  <si>
    <t>Reviewed server-list event invocation; no source change because AccountLogin_ReplyAck constructs ServerListEventArgs after successful account login, and the ServerList subscriber guards null args plus null state/socket and rejects invalid state or endpoint exceptions.</t>
  </si>
  <si>
    <t>Data/System/Source/Network/PacketHandlers.cs:2721-2730; Data/System/Source/EventSink.cs:800-840;1148;1399-1402; Data/Scripts/System/Misc/ServerList.cs:46-58;63-97</t>
  </si>
  <si>
    <t>Valid account-login server-list behavior remains unchanged.</t>
  </si>
  <si>
    <t>RB-05603</t>
  </si>
  <si>
    <t>P10-F05603</t>
  </si>
  <si>
    <t>Economy and reward loops</t>
  </si>
  <si>
    <t>Character Level &lt;-&gt; Offline Skill Training</t>
  </si>
  <si>
    <t>Open</t>
  </si>
  <si>
    <t>AcceptedFence</t>
  </si>
  <si>
    <t>POST-BATCH-Y</t>
  </si>
  <si>
    <t>PBY-0001</t>
  </si>
  <si>
    <t>PreserveCurrentBalancePolicy</t>
  </si>
  <si>
    <t>Source changes may proceed outside economy/reward tuning. Edits inside a listed pair must preserve current gameplay balance unless a later design batch approves tuning. Excluded surface: Gameplay economy, reward rates, progression coupling, spawn reward, vendor/economy, crafting/harvest/gardening loop, and paired-system tuning for this relationship.</t>
  </si>
  <si>
    <t>docs/codebase-audit/outputs/post-batch-y-source-change-gate-register.csv</t>
  </si>
  <si>
    <t>PriorOverlayEvidence: Labels=BalanceRisk;Bypasses;DocRisk;Supports; RiskKind=DocumentationRisk;ProgressionBalance; Evidence=Character Level:docs/wiki/Character_Level_Recon_Report.md;Character Level:docs/wiki/Confictura_Introduction.md;Offline Skill Training:docs/wiki/offline-skill-training.md;Offline Skill Training:docs/wiki/offline-skill-training.md:L38;Phase 9 balance review: bypass intended danger or grants permanent power too quickly. || PriorNotes: Balance risk is intentionally separated from code correctness in POST-BATCH-F.</t>
  </si>
  <si>
    <t>Pending: docs: publish source change readiness gates</t>
  </si>
  <si>
    <t>2026-06-15T11:56:52.1526354-05:00</t>
  </si>
  <si>
    <t>PreviousStatus=DeferredBalanceDecision; GateOutcome=Preserve current balance/reward behavior.; RequiredApproval=Required before changing balance, rewards, progression incentives, economy loops, or paired-system gameplay tuning.</t>
  </si>
  <si>
    <t>RB-05604</t>
  </si>
  <si>
    <t>P10-F05604</t>
  </si>
  <si>
    <t>Random Encounters &lt;-&gt; XMLSpawner</t>
  </si>
  <si>
    <t>PBY-0002</t>
  </si>
  <si>
    <t>PriorOverlayEvidence: Labels=BalanceRisk;Conflicts;DependsOn;DocRisk;StaffDependency; RiskKind=DocumentationRisk;MaintenanceCoupling;PvEBalance; Evidence=Phase 9 conflict checklist: staff-spawned events versus automated PvE systems.;Random Encounters-&gt;XMLSpawner:DirectReference:Data/Scripts/Custom/RandomEncounters/EncounterEngine.cs:L16:XmlSpawner;Random Encounters-&gt;XMLSpawner:DirectReference:Data/Scripts/Custom/RandomEncounters/Helpers.cs:L15:XmlSpawner;Random Encounters-&gt;XMLSpawner:DirectReference:Data/Scripts/C... || PriorNotes: Balance risk is intentionally separated from code correctness in POST-BATCH-F.</t>
  </si>
  <si>
    <t>RB-05605</t>
  </si>
  <si>
    <t>P10-F05605</t>
  </si>
  <si>
    <t>Random Encounters &lt;-&gt; Invasion</t>
  </si>
  <si>
    <t>PBY-0003</t>
  </si>
  <si>
    <t>PriorOverlayEvidence: Labels=BalanceRisk;DocRisk;StaffDependency; RiskKind=DocumentationRisk;PvEBalance; Evidence=Invasion:docs/wiki/Invasion_System.md;Invasion:docs/wiki/SystemAudit.md:L21;Phase 9 conflict checklist: staff-spawned events versus automated PvE systems.;Random Encounters:docs/wiki/Random_Encounter_Engine.md;Random Encounters:docs/wiki/Search_System.md;Random Encounters:docs/wiki/SystemAudit.md:L20 || PriorNotes: Balance risk is intentionally separated from code correctness in POST-BATCH-F.</t>
  </si>
  <si>
    <t>RB-05606</t>
  </si>
  <si>
    <t>P10-F05606</t>
  </si>
  <si>
    <t>Random Encounters &lt;-&gt; Champions</t>
  </si>
  <si>
    <t>PBY-0004</t>
  </si>
  <si>
    <t>PriorOverlayEvidence: Labels=BalanceRisk;DocRisk;Duplicates; RiskKind=DocumentationRisk;PvEBalance; Evidence=Champions:docs/wiki/Champion_Spawns.md;Champions:docs/wiki/Champion_Spawns.md:L82;Champions:docs/wiki/SystemAudit.md:L34;Champions:docs/wiki/wikibacklog.md;Phase 9 conflict checklist: staff-spawned events versus automated PvE systems.;Random Encounters:docs/wiki/Random_Encounter_Engine.md;Random Encounters:docs/wiki/Search_System.md;Random Encounters:docs/wiki/SystemAudit.md:L20 || PriorNotes: Balance risk is intentionally separated from code correctness in POST-BATCH-F.</t>
  </si>
  <si>
    <t>RB-05607</t>
  </si>
  <si>
    <t>P10-F05607</t>
  </si>
  <si>
    <t>Random Encounters &lt;-&gt; Monster Nests</t>
  </si>
  <si>
    <t>PBY-0005</t>
  </si>
  <si>
    <t>PriorOverlayEvidence: Labels=BalanceRisk;DocRisk;Duplicates; RiskKind=DocumentationRisk;PvEBalance; Evidence=Monster Nests:docs/wiki/Monster_Nest_System.md;Phase 9 player objective review: exploration goals.;Random Encounters:docs/wiki/Random_Encounter_Engine.md;Random Encounters:docs/wiki/Search_System.md;Random Encounters:docs/wiki/SystemAudit.md:L20 || PriorNotes: Balance risk is intentionally separated from code correctness in POST-BATCH-F.</t>
  </si>
  <si>
    <t>RB-05608</t>
  </si>
  <si>
    <t>P10-F05608</t>
  </si>
  <si>
    <t>Random Encounters &lt;-&gt; Offline Skill Training</t>
  </si>
  <si>
    <t>PBY-0006</t>
  </si>
  <si>
    <t>PriorOverlayEvidence: Labels=BalanceRisk;Bypasses;DocRisk; RiskKind=DocumentationRisk;ProgressionBalance; Evidence=Offline Skill Training:docs/wiki/offline-skill-training.md;Offline Skill Training:docs/wiki/offline-skill-training.md:L38;Phase 9 balance review: bypass intended danger.;Random Encounters:docs/wiki/Random_Encounter_Engine.md;Random Encounters:docs/wiki/Search_System.md;Random Encounters:docs/wiki/SystemAudit.md:L20 || PriorNotes: Balance risk is intentionally separated from code correctness in POST-BATCH-F.</t>
  </si>
  <si>
    <t>RB-05609</t>
  </si>
  <si>
    <t>P10-F05609</t>
  </si>
  <si>
    <t>PvP Consent &lt;-&gt; Government</t>
  </si>
  <si>
    <t>PBY-0007</t>
  </si>
  <si>
    <t>PriorOverlayEvidence: Labels=BalanceRisk;Conflicts;DocRisk;Overrides; RiskKind=DocumentationRisk;PolicyConflict; Evidence=Government:docs/wiki/Government_System.md;Government:docs/wiki/Player_Government_System_Guide.md;Government:docs/wiki/SystemAudit.md:L24;Phase 9 conflict checklist: PvP Consent versus Government war and city-ban rules.;PvP Consent:docs/wiki/pvp-consent-system.md || PriorNotes: Balance risk is intentionally separated from code correctness in POST-BATCH-F.</t>
  </si>
  <si>
    <t>RB-05610</t>
  </si>
  <si>
    <t>P10-F05610</t>
  </si>
  <si>
    <t>PvP Consent &lt;-&gt; XMLSpawner</t>
  </si>
  <si>
    <t>PBY-0008</t>
  </si>
  <si>
    <t>PriorOverlayEvidence: Labels=BalanceRisk;Bypasses;Conflicts;DependsOn;DocRisk;StaffDependency; RiskKind=DocumentationRisk;MaintenanceCoupling;PolicyConflict; Evidence=Phase 9 conflict checklist: XMLPoints event overrides versus normal PvP consent.;PvP Consent-&gt;XMLSpawner:DirectReference:Data/Scripts/Mobiles/Base/PlayerMobile.cs:L12:XmlSpawner;PvP Consent:docs/wiki/pvp-consent-system.md;XMLSpawner:docs/wiki/AI_OVERHAUL_AUDIT.md;XMLSpawner:docs/wiki/SystemAudit.md:L22;XMLSpawner:docs/wiki/XML_Spawner_Enhancements.md || PriorNotes: Balance risk is intentionally separated from code correctness in POST-BATCH-F.</t>
  </si>
  <si>
    <t>RB-05611</t>
  </si>
  <si>
    <t>P10-F05611</t>
  </si>
  <si>
    <t>Government &lt;-&gt; Homestead</t>
  </si>
  <si>
    <t>PBY-0009</t>
  </si>
  <si>
    <t>PriorOverlayEvidence: Labels=BalanceRisk;DocRisk;Supports; RiskKind=DocumentationRisk;EconomyBalance; Evidence=Government:docs/wiki/Government_System.md;Government:docs/wiki/Player_Government_System_Guide.md;Government:docs/wiki/SystemAudit.md:L24;Homestead:docs/wiki/Farmable_Crops_System.md;Homestead:docs/wiki/Homestead_System.md;Homestead:docs/wiki/Standard_Crafting.md:L234;Homestead:docs/wiki/SystemAudit.md:L27;Phase 9 synergy checklist: Homestead deepening non-combat economy. || PriorNotes: Balance risk is intentionally separated from code correctness in POST-BATCH-F.</t>
  </si>
  <si>
    <t>RB-05612</t>
  </si>
  <si>
    <t>P10-F05612</t>
  </si>
  <si>
    <t>Government &lt;-&gt; Vendor Core</t>
  </si>
  <si>
    <t>PBY-0010</t>
  </si>
  <si>
    <t>PriorOverlayEvidence: Labels=BalanceRisk;DependsOn;DocRisk;Supports; RiskKind=DocumentationRisk;EconomyBalance;MaintenanceCoupling; Evidence=Government-&gt;Vendor Core:DirectReference:Data/Scripts/Custom/Government System/CityUpgradeSystem.cs:L93:Vendor;Government-&gt;Vendor Core:DirectReference:Data/Scripts/Custom/Government System/Gumps/CityManagementGump.cs:L184:Vendor;Government-&gt;Vendor Core:DirectReference:Data/Scripts/Custom/Government System/Gumps/CityMarketGump.cs:L30:Vendor;Government-&gt;Vendor Core:DirectReferen... || PriorNotes: Balance risk is intentionally separated from code correctness in POST-BATCH-F.</t>
  </si>
  <si>
    <t>RB-05613</t>
  </si>
  <si>
    <t>P10-F05613</t>
  </si>
  <si>
    <t>Homestead &lt;-&gt; Crafting Core</t>
  </si>
  <si>
    <t>PBY-0011</t>
  </si>
  <si>
    <t>PriorOverlayEvidence: Labels=BalanceRisk;DependsOn;DocRisk;Supports; RiskKind=DocumentationRisk;EconomyBalance;MaintenanceCoupling; Evidence=Crafting Core:docs/wiki/Apiculture_Beekeeping.md;Crafting Core:docs/wiki/Crafting_Core.md;Crafting Core:docs/wiki/Standard_Crafting.md:L234;Crafting Core:docs/wiki/Standard_Crafting.md:L235;Homestead-&gt;Crafting Core:DirectReference:Data/Scripts/Custom/Vhaerun's CRL Homestead System [2.0]/Dracana's Winecrafting [2.0]/Craft/DefWinecrafting.cs:L11:CraftSystem;Homestead-&gt;Crafting ... || PriorNotes: Balance risk is intentionally separated from code correctness in POST-BATCH-F.</t>
  </si>
  <si>
    <t>RB-05614</t>
  </si>
  <si>
    <t>P10-F05614</t>
  </si>
  <si>
    <t>Homestead &lt;-&gt; Harvest System</t>
  </si>
  <si>
    <t>PBY-0012</t>
  </si>
  <si>
    <t>PriorOverlayEvidence: Labels=BalanceRisk;DocRisk;Supports; RiskKind=DocumentationRisk;EconomyBalance; Evidence=Harvest System:docs/wiki/Apiculture_Beekeeping.md:L307;Harvest System:docs/wiki/Farmable_Crops_System.md;Harvest System:docs/wiki/Gardening_System.md;Harvest System:docs/wiki/Standard_Crafting.md:L235;Homestead:docs/wiki/Farmable_Crops_System.md;Homestead:docs/wiki/Homestead_System.md;Homestead:docs/wiki/Standard_Crafting.md:L234;Homestead:docs/wiki/SystemAudit.md:L27;Phase 9 conflict checklist: crafting/... || PriorNotes: Balance risk is intentionally separated from code correctness in POST-BATCH-F.</t>
  </si>
  <si>
    <t>RB-05615</t>
  </si>
  <si>
    <t>P10-F05615</t>
  </si>
  <si>
    <t>Homestead &lt;-&gt; Bulk Orders</t>
  </si>
  <si>
    <t>PBY-0013</t>
  </si>
  <si>
    <t>PriorOverlayEvidence: Labels=BalanceRisk;DocRisk;Duplicates; RiskKind=DocumentationRisk;EconomyBalance; Evidence=Bulk Orders:docs/wiki/Animal_Shape_Stones.md;Bulk Orders:docs/wiki/Bulk_Order_System.md;Bulk Orders:docs/wiki/SystemAudit.md:L29;Bulk Orders:docs/wiki/SystemAudit.md:L41;Homestead:docs/wiki/Farmable_Crops_System.md;Homestead:docs/wiki/Homestead_System.md;Homestead:docs/wiki/Standard_Crafting.md:L234;Homestead:docs/wiki/SystemAudit.md:L27;Phase 9 conflict checklist: crafting/resource loops versus progres... || PriorNotes: Balance risk is intentionally separated from code correctness in POST-BATCH-F.</t>
  </si>
  <si>
    <t>RB-05616</t>
  </si>
  <si>
    <t>P10-F05616</t>
  </si>
  <si>
    <t>Homestead &lt;-&gt; Gardening</t>
  </si>
  <si>
    <t>PBY-0014</t>
  </si>
  <si>
    <t>PriorOverlayEvidence: Labels=BalanceRisk;DependsOn;DocRisk;Supports; RiskKind=DocumentationRisk;EconomyBalance;MaintenanceCoupling; Evidence=Gardening:docs/wiki/Gardening_System.md;Gardening:docs/wiki/Misc_Core_Systems.md;Gardening:docs/wiki/SystemAudit.md:L40;Homestead-&gt;Gardening:DirectReference:Data/Scripts/Custom/Vhaerun's CRL Homestead System [2.0]/Vhaerun's CRL Crops/Mobiles/SBGardener.cs:L40:PlantBowl;Homestead:docs/wiki/Farmable_Crops_System.md;Homestead:docs/wiki/Homestead_System.md;Homestead:docs/wiki/Sta... || PriorNotes: Balance risk is intentionally separated from code correctness in POST-BATCH-F.</t>
  </si>
  <si>
    <t>RB-05617</t>
  </si>
  <si>
    <t>P10-F05617</t>
  </si>
  <si>
    <t>Homestead &lt;-&gt; Vendor Core</t>
  </si>
  <si>
    <t>PBY-0015</t>
  </si>
  <si>
    <t>PriorOverlayEvidence: Labels=BalanceRisk;DependsOn;DocRisk; RiskKind=DocumentationRisk;EconomyBalance;MaintenanceCoupling; Evidence=Homestead-&gt;Vendor Core:DirectReference:Data/Scripts/Custom/Vhaerun's CRL Homestead System [2.0]/Dracana's Winecrafting [2.0]/Mobiles/SBVintner.cs:L15:SBInfo;Homestead-&gt;Vendor Core:DirectReference:Data/Scripts/Custom/Vhaerun's CRL Homestead System [2.0]/Dracana's Winecrafting [2.0]/Mobiles/SBWinecrafter.cs:L15:SBInfo;Homestead-&gt;Vendor Core:DirectReference:Data/Scripts/Custom/Vhaerun's ... || PriorNotes: Balance risk is intentionally separated from code correctness in POST-BATCH-F.</t>
  </si>
  <si>
    <t>RB-05618</t>
  </si>
  <si>
    <t>P10-F05618</t>
  </si>
  <si>
    <t>XMLSpawner &lt;-&gt; Champions</t>
  </si>
  <si>
    <t>PBY-0016</t>
  </si>
  <si>
    <t>PriorOverlayEvidence: Labels=BalanceRisk;DocRisk;StaffDependency;Supports; RiskKind=DocumentationRisk;PvEBalance; Evidence=Champions:docs/wiki/Champion_Spawns.md;Champions:docs/wiki/Champion_Spawns.md:L82;Champions:docs/wiki/SystemAudit.md:L34;Champions:docs/wiki/wikibacklog.md;Phase 9 conflict checklist: staff-spawned events versus automated PvE systems.;XMLSpawner:docs/wiki/AI_OVERHAUL_AUDIT.md;XMLSpawner:docs/wiki/SystemAudit.md:L22;XMLSpawner:docs/wiki/XML_Spawner_Enhancements.md || PriorNotes: Balance risk is intentionally separated from code correctness in POST-BATCH-F.</t>
  </si>
  <si>
    <t>RB-05619</t>
  </si>
  <si>
    <t>P10-F05619</t>
  </si>
  <si>
    <t>XMLSpawner &lt;-&gt; Monster Nests</t>
  </si>
  <si>
    <t>PBY-0017</t>
  </si>
  <si>
    <t>PriorOverlayEvidence: Labels=BalanceRisk;Conflicts;DocRisk;StaffDependency; RiskKind=DocumentationRisk;PvEBalance; Evidence=Monster Nests:docs/wiki/Monster_Nest_System.md;Phase 9 conflict checklist: staff-spawned events versus automated PvE systems.;XMLSpawner:docs/wiki/AI_OVERHAUL_AUDIT.md;XMLSpawner:docs/wiki/SystemAudit.md:L22;XMLSpawner:docs/wiki/XML_Spawner_Enhancements.md || PriorNotes: Balance risk is intentionally separated from code correctness in POST-BATCH-F.</t>
  </si>
  <si>
    <t>RB-05620</t>
  </si>
  <si>
    <t>P10-F05620</t>
  </si>
  <si>
    <t>Invasion &lt;-&gt; Champions</t>
  </si>
  <si>
    <t>PBY-0018</t>
  </si>
  <si>
    <t>PriorOverlayEvidence: Labels=BalanceRisk;DependsOn;DocRisk;StaffDependency; RiskKind=DocumentationRisk;MaintenanceCoupling;PvEBalance; Evidence=Champions:docs/wiki/Champion_Spawns.md;Champions:docs/wiki/Champion_Spawns.md:L82;Champions:docs/wiki/SystemAudit.md:L34;Champions:docs/wiki/wikibacklog.md;Invasion-&gt;Champions:DirectReference:Data/Scripts/Custom/Invasion System/Add Ins/Lord BlackThorn Clone.cs:L3:CannedEvil;Invasion-&gt;Champions:DirectReference:Data/Scripts/Custom/Invasion System/Add Ins/SubChamps/BaseSubCha... || PriorNotes: Balance risk is intentionally separated from code correctness in POST-BATCH-F.</t>
  </si>
  <si>
    <t>RB-05621</t>
  </si>
  <si>
    <t>P10-F05621</t>
  </si>
  <si>
    <t>Champions &lt;-&gt; Monster Nests</t>
  </si>
  <si>
    <t>PBY-0019</t>
  </si>
  <si>
    <t>PriorOverlayEvidence: Labels=BalanceRisk;DocRisk;Duplicates; RiskKind=DocumentationRisk;PvEBalance; Evidence=Champions:docs/wiki/Champion_Spawns.md;Champions:docs/wiki/Champion_Spawns.md:L82;Champions:docs/wiki/SystemAudit.md:L34;Champions:docs/wiki/wikibacklog.md;Monster Nests:docs/wiki/Monster_Nest_System.md;Phase 9 player objective review: PvE goals. || PriorNotes: Balance risk is intentionally separated from code correctness in POST-BATCH-F.</t>
  </si>
  <si>
    <t>RB-05622</t>
  </si>
  <si>
    <t>P10-F05622</t>
  </si>
  <si>
    <t>Clone Offline Player Characters &lt;-&gt; OmniAI</t>
  </si>
  <si>
    <t>PBY-0020</t>
  </si>
  <si>
    <t>PriorOverlayEvidence: Labels=BalanceRisk;DependsOn;DocRisk;Supports; RiskKind=CombatBalance;DocumentationRisk;MaintenanceCoupling; Evidence=Clone Offline Player Characters-&gt;OmniAI:DirectReference:Data/Scripts/Custom/CloneOfflinePlayerCharacters/CharacterClone.cs:L97:OmniAI;Clone Offline Player Characters:docs/wiki/AI_OVERHAUL_AUDIT.md;Clone Offline Player Characters:docs/wiki/Clone_Offline_Player_Characters.md;Clone Offline Player Characters:docs/wiki/SystemAudit.md:L32;High-risk review area: AI and offline player... || PriorNotes: Balance risk is intentionally separated from code correctness in POST-BATCH-F.</t>
  </si>
  <si>
    <t>RB-05623</t>
  </si>
  <si>
    <t>P10-F05623</t>
  </si>
  <si>
    <t>Clone Offline Player Characters &lt;-&gt; AI Overhaul</t>
  </si>
  <si>
    <t>PBY-0021</t>
  </si>
  <si>
    <t>PriorOverlayEvidence: Labels=BalanceRisk;DocRisk;Supports; RiskKind=CombatBalance;DocumentationRisk; Evidence=AI Overhaul:docs/wiki/AI_OVERHAUL_AUDIT.md;AI Overhaul:docs/wiki/Creature_AI_Core.md;Clone Offline Player Characters:docs/wiki/AI_OVERHAUL_AUDIT.md;Clone Offline Player Characters:docs/wiki/Clone_Offline_Player_Characters.md;Clone Offline Player Characters:docs/wiki/SystemAudit.md:L32;High-risk review area: AI and offline player systems. || PriorNotes: Balance risk is intentionally separated from code correctness in POST-BATCH-F.</t>
  </si>
  <si>
    <t>RB-05624</t>
  </si>
  <si>
    <t>P10-F05624</t>
  </si>
  <si>
    <t>OmniAI &lt;-&gt; AI Overhaul</t>
  </si>
  <si>
    <t>PBY-0022</t>
  </si>
  <si>
    <t>PriorOverlayEvidence: Labels=BalanceRisk;Conflicts;DocRisk;Duplicates; RiskKind=CombatBalance;DocumentationRisk; Evidence=AI Overhaul:docs/wiki/AI_OVERHAUL_AUDIT.md;AI Overhaul:docs/wiki/Creature_AI_Core.md;High-risk review area: OmniAI and AI Overhaul.;OmniAI:docs/wiki/AI_OVERHAUL_AUDIT.md;OmniAI:docs/wiki/Misc_Magic_Spells.md;OmniAI:docs/wiki/SystemAudit.md:L26 || PriorNotes: Balance risk is intentionally separated from code correctness in POST-BATCH-F.</t>
  </si>
  <si>
    <t>RB-05625</t>
  </si>
  <si>
    <t>P10-F05625</t>
  </si>
  <si>
    <t>Spell Framework &lt;-&gt; Magic Schools</t>
  </si>
  <si>
    <t>PBY-0023</t>
  </si>
  <si>
    <t>PriorOverlayEvidence: Labels=BalanceRisk;DependsOn;DocRisk;Supports; RiskKind=DocumentationRisk;MagicBalance;MaintenanceCoupling; Evidence=Magic Schools-&gt;Spell Framework:DirectReference:Data/Scripts/Magic/Bard/Gumps/SongBookGump.cs:L20:Spellbook;Magic Schools-&gt;Spell Framework:DirectReference:Data/Scripts/Magic/Bard/SongBook.cs:L10:Spellbook;Magic Schools-&gt;Spell Framework:DirectReference:Data/Scripts/Magic/Bard/SongCommandList.cs:L115:Spellbook;Magic Schools-&gt;Spell Framework:DirectReference:Data/Scripts/Magic/Bard/... || PriorNotes: Balance risk is intentionally separated from code correctness in POST-BATCH-F.</t>
  </si>
  <si>
    <t>RB-05626</t>
  </si>
  <si>
    <t>P10-F05626</t>
  </si>
  <si>
    <t>Crafting Core &lt;-&gt; Bulk Orders</t>
  </si>
  <si>
    <t>PBY-0024</t>
  </si>
  <si>
    <t>PriorOverlayEvidence: Labels=BalanceRisk;DependsOn;DocRisk;Supports; RiskKind=CraftingBalance;DocumentationRisk;MaintenanceCoupling; Evidence=Bulk Orders-&gt;Crafting Core:DirectReference:Data/Scripts/Trades/Bulk Orders/SmallSmithBOD.cs:L159:CraftSystem;Bulk Orders-&gt;Crafting Core:DirectReference:Data/Scripts/Trades/Bulk Orders/SmallTailorBOD.cs:L146:CraftSystem;Bulk Orders:docs/wiki/Animal_Shape_Stones.md;Bulk Orders:docs/wiki/Bulk_Order_System.md;Bulk Orders:docs/wiki/SystemAudit.md:L29;Bulk Orders:docs/wiki/SystemA... || PriorNotes: Balance risk is intentionally separated from code correctness in POST-BATCH-F.</t>
  </si>
  <si>
    <t>RB-05627</t>
  </si>
  <si>
    <t>P10-F05627</t>
  </si>
  <si>
    <t>Crafting Core &lt;-&gt; Gardening</t>
  </si>
  <si>
    <t>PBY-0025</t>
  </si>
  <si>
    <t>PriorOverlayEvidence: Labels=BalanceRisk;DocRisk;Supports; RiskKind=DocumentationRisk;EconomyBalance; Evidence=Crafting Core:docs/wiki/Apiculture_Beekeeping.md;Crafting Core:docs/wiki/Crafting_Core.md;Crafting Core:docs/wiki/Standard_Crafting.md:L234;Crafting Core:docs/wiki/Standard_Crafting.md:L235;Gardening:docs/wiki/Gardening_System.md;Gardening:docs/wiki/Misc_Core_Systems.md;Gardening:docs/wiki/SystemAudit.md:L40;Phase 9 domain review: Crafting and Economy. || PriorNotes: Balance risk is intentionally separated from code correctness in POST-BATCH-F.</t>
  </si>
  <si>
    <t>RB-05628</t>
  </si>
  <si>
    <t>P10-F05628</t>
  </si>
  <si>
    <t>Harvest System &lt;-&gt; Gardening</t>
  </si>
  <si>
    <t>PBY-0026</t>
  </si>
  <si>
    <t>PriorOverlayEvidence: Labels=BalanceRisk;DocRisk;Supports; RiskKind=DocumentationRisk;EconomyBalance; Evidence=Gardening:docs/wiki/Gardening_System.md;Gardening:docs/wiki/Misc_Core_Systems.md;Gardening:docs/wiki/SystemAudit.md:L40;Harvest System:docs/wiki/Apiculture_Beekeeping.md:L307;Harvest System:docs/wiki/Farmable_Crops_System.md;Harvest System:docs/wiki/Gardening_System.md;Harvest System:docs/wiki/Standard_Crafting.md:L235;Phase 9 conflict checklist: crafting/resource loops versus progression pacing. || PriorNotes: Balance risk is intentionally separated from code correctness in POST-BATCH-F.</t>
  </si>
  <si>
    <t>RB-05629</t>
  </si>
  <si>
    <t>P10-F05629</t>
  </si>
  <si>
    <t>Staff tooling</t>
  </si>
  <si>
    <t>PBY-0027</t>
  </si>
  <si>
    <t>PreserveCurrentStaffWorkflow</t>
  </si>
  <si>
    <t>Non-staff workflow source maintenance may proceed. Staff tooling source edits may proceed only when they preserve command names, access levels, gump behavior, event workflow, and existing staff operations. Excluded surface: Staff workflow, staff-event operations, command names/access levels, generated gump tooling behavior, and XMLSpawner/Invasion/Static Gump Tool workflow semantics.</t>
  </si>
  <si>
    <t>PriorOverlayEvidence: Systems=Random Encounters &lt;-&gt; XMLSpawner; Labels=BalanceRisk;Conflicts;DependsOn;DocRisk;StaffDependency; Evidence=Phase 9 conflict checklist: staff-spawned events versus automated PvE systems.;Random Encounters-&gt;XMLSpawner:DirectReference:Data/Scripts/Custom/RandomEncounters/EncounterEngine.cs:L16:XmlSpawner;Random Encounters-&gt;XMLSpawner:DirectReference:Data/Scripts/Custom/RandomEncounters/Helpers.cs:L15:XmlSpawner;Random Encounters-&gt;XMLSpawner:DirectReference:Data/Scripts/Custom/RandomEncou... || PriorNotes: Relationship-level staff dependency needs explicit owner policy before runtime changes.</t>
  </si>
  <si>
    <t>PreviousStatus=NeedsHumanDecision; GateOutcome=Preserve current staff workflow/access policy.; RequiredApproval=Required before changing staff command access, event workflow, generated tool behavior, or staff-facing operation semantics.</t>
  </si>
  <si>
    <t>RB-05630</t>
  </si>
  <si>
    <t>P10-F05630</t>
  </si>
  <si>
    <t>Invasion</t>
  </si>
  <si>
    <t>PBY-0028</t>
  </si>
  <si>
    <t>PriorOverlayEvidence: Systems=Random Encounters &lt;-&gt; Invasion; Labels=BalanceRisk;DocRisk;StaffDependency; Evidence=Invasion:docs/wiki/Invasion_System.md;Invasion:docs/wiki/SystemAudit.md:L21;Phase 9 conflict checklist: staff-spawned events versus automated PvE systems.;Random Encounters:docs/wiki/Random_Encounter_Engine.md;Random Encounters:docs/wiki/Search_System.md;Random Encounters:docs/wiki/SystemAudit.md:L20 || PriorNotes: Relationship-level staff dependency needs explicit owner policy before runtime changes.</t>
  </si>
  <si>
    <t>RB-05631</t>
  </si>
  <si>
    <t>P10-F05631</t>
  </si>
  <si>
    <t>PBY-0029</t>
  </si>
  <si>
    <t>PriorOverlayEvidence: Systems=PvP Consent &lt;-&gt; XMLSpawner; Labels=BalanceRisk;Bypasses;Conflicts;DependsOn;DocRisk;StaffDependency; Evidence=Phase 9 conflict checklist: XMLPoints event overrides versus normal PvP consent.;PvP Consent-&gt;XMLSpawner:DirectReference:Data/Scripts/Mobiles/Base/PlayerMobile.cs:L12:XmlSpawner;PvP Consent:docs/wiki/pvp-consent-system.md;XMLSpawner:docs/wiki/AI_OVERHAUL_AUDIT.md;XMLSpawner:docs/wiki/SystemAudit.md:L22;XMLSpawner:docs/wiki/XML_Spawner_Enhancements.md || PriorNotes: Relationship-level staff dependency needs explicit owner policy before runtime changes.</t>
  </si>
  <si>
    <t>RB-05632</t>
  </si>
  <si>
    <t>P10-F05632</t>
  </si>
  <si>
    <t>PBY-0030</t>
  </si>
  <si>
    <t>PriorOverlayEvidence: Systems=Government &lt;-&gt; Invasion; Labels=DependsOn;StaffDependency; Evidence=Government-&gt;Invasion:DirectReference:Data/Scripts/Custom/Invasion System/Gump/InvasionGump.cs:L8:Invasion;Government-&gt;Invasion:DirectReference:Data/Scripts/Custom/Invasion System/Stones/GargoyleCityInvasionStone.cs:L10:Invasion;Government-&gt;Invasion:DirectReference:Data/Scripts/Custom/Invasion System/Underworld/StartstoGargoyleCityIlshenar.cs:L27:Invasion;Government:docs/wiki/Government_System.md;Government:docs/wiki/P... || PriorNotes: Relationship-level staff dependency needs explicit owner policy before runtime changes.</t>
  </si>
  <si>
    <t>RB-05633</t>
  </si>
  <si>
    <t>P10-F05633</t>
  </si>
  <si>
    <t>Static Gump Tool</t>
  </si>
  <si>
    <t>PBY-0031</t>
  </si>
  <si>
    <t>PriorOverlayEvidence: Systems=Homestead &lt;-&gt; Static Gump Tool; Labels=DependsOn;StaffDependency; Evidence=Homestead-&gt;Static Gump Tool:DirectReference:Data/Scripts/Custom/OzThothStaticGump/Side Gumps/AddCooking.cs:L14:StaticGump;Homestead-&gt;Static Gump Tool:DirectReference:Data/Scripts/Custom/Vhaerun's CRL Homestead System [2.0]/Dracana's Winecrafting [2.0]/Items/Craft Items/Tools/WinecraftersTools.cs:L7:STool;Homestead-&gt;Static Gump Tool:DirectReference:Data/Scripts/Custom/Vhaerun's CRL Homestead System [2.0]/Dracana... || PriorNotes: Relationship-level staff dependency needs explicit owner policy before runtime changes.</t>
  </si>
  <si>
    <t>RB-05634</t>
  </si>
  <si>
    <t>P10-F05634</t>
  </si>
  <si>
    <t>PBY-0032</t>
  </si>
  <si>
    <t>PriorOverlayEvidence: Systems=XMLSpawner &lt;-&gt; Invasion; Labels=DocRisk;StaffDependency;Supports; Evidence=Invasion:docs/wiki/Invasion_System.md;Invasion:docs/wiki/SystemAudit.md:L21;Phase 9 synergy checklist: XMLSpawner supporting staff events and quests.;XMLSpawner:docs/wiki/AI_OVERHAUL_AUDIT.md;XMLSpawner:docs/wiki/SystemAudit.md:L22;XMLSpawner:docs/wiki/XML_Spawner_Enhancements.md || PriorNotes: Relationship-level staff dependency needs explicit owner policy before runtime changes.</t>
  </si>
  <si>
    <t>RB-05635</t>
  </si>
  <si>
    <t>P10-F05635</t>
  </si>
  <si>
    <t>PBY-0033</t>
  </si>
  <si>
    <t>PriorOverlayEvidence: Systems=XMLSpawner &lt;-&gt; Champions; Labels=BalanceRisk;DocRisk;StaffDependency;Supports; Evidence=Champions:docs/wiki/Champion_Spawns.md;Champions:docs/wiki/Champion_Spawns.md:L82;Champions:docs/wiki/SystemAudit.md:L34;Champions:docs/wiki/wikibacklog.md;Phase 9 conflict checklist: staff-spawned events versus automated PvE systems.;XMLSpawner:docs/wiki/AI_OVERHAUL_AUDIT.md;XMLSpawner:docs/wiki/SystemAudit.md:L22;XMLSpawner:docs/wiki/XML_Spawner_Enhancements.md || PriorNotes: Relationship-level staff dependency needs explicit owner policy before runtime changes.</t>
  </si>
  <si>
    <t>RB-05636</t>
  </si>
  <si>
    <t>P10-F05636</t>
  </si>
  <si>
    <t>PBY-0034</t>
  </si>
  <si>
    <t>PriorOverlayEvidence: Systems=XMLSpawner &lt;-&gt; Monster Nests; Labels=BalanceRisk;Conflicts;DocRisk;StaffDependency; Evidence=Monster Nests:docs/wiki/Monster_Nest_System.md;Phase 9 conflict checklist: staff-spawned events versus automated PvE systems.;XMLSpawner:docs/wiki/AI_OVERHAUL_AUDIT.md;XMLSpawner:docs/wiki/SystemAudit.md:L22;XMLSpawner:docs/wiki/XML_Spawner_Enhancements.md || PriorNotes: Relationship-level staff dependency needs explicit owner policy before runtime changes.</t>
  </si>
  <si>
    <t>RB-05637</t>
  </si>
  <si>
    <t>P10-F05637</t>
  </si>
  <si>
    <t>PBY-0035</t>
  </si>
  <si>
    <t>PriorOverlayEvidence: Systems=XMLSpawner &lt;-&gt; Staff Toolbar; Labels=DocRisk;StaffDependency;Supports; Evidence=Phase 9 staff-dependency review.;Staff Toolbar:docs/wiki/Staff_Toolbar.md;XMLSpawner:docs/wiki/AI_OVERHAUL_AUDIT.md;XMLSpawner:docs/wiki/SystemAudit.md:L22;XMLSpawner:docs/wiki/XML_Spawner_Enhancements.md || PriorNotes: Relationship-level staff dependency needs explicit owner policy before runtime changes.</t>
  </si>
  <si>
    <t>RB-05638</t>
  </si>
  <si>
    <t>P10-F05638</t>
  </si>
  <si>
    <t>PBY-0036</t>
  </si>
  <si>
    <t>PriorOverlayEvidence: Systems=XMLSpawner &lt;-&gt; Static Gump Tool; Labels=DocRisk;StaffDependency;Supports; Evidence=Phase 9 staff-dependency review.;Static Gump Tool:docs/wiki/Static_Gump_Tool.md;Static Gump Tool:docs/wiki/SystemAudit.md:L102;Static Gump Tool:docs/wiki/wikibacklog.md:L23;XMLSpawner:docs/wiki/AI_OVERHAUL_AUDIT.md;XMLSpawner:docs/wiki/SystemAudit.md:L22;XMLSpawner:docs/wiki/XML_Spawner_Enhancements.md || PriorNotes: Relationship-level staff dependency needs explicit owner policy before runtime changes.</t>
  </si>
  <si>
    <t>RB-05639</t>
  </si>
  <si>
    <t>P10-F05639</t>
  </si>
  <si>
    <t>PBY-0037</t>
  </si>
  <si>
    <t>PriorOverlayEvidence: Systems=XMLSpawner &lt;-&gt; Spell Framework; Labels=DependsOn;StaffDependency; Evidence=Spell Framework:docs/wiki/Base_Spell_Framework.md;Spell Framework:docs/wiki/SystemAudit.md:L104;Spell Framework:docs/wiki/SystemAudit.md:L54;XMLSpawner-&gt;Spell Framework:DirectReference:Data/Scripts/Custom/XMLSpawner/BaseXmlSpawner.cs:L12234:SpellRegistry;XMLSpawner:docs/wiki/AI_OVERHAUL_AUDIT.md;XMLSpawner:docs/wiki/SystemAudit.md:L22;XMLSpawner:docs/wiki/XML_Spawner_Enhancements.md || PriorNotes: Relationship-level staff dependency needs explicit owner policy before runtime changes.</t>
  </si>
  <si>
    <t>RB-05640</t>
  </si>
  <si>
    <t>P10-F05640</t>
  </si>
  <si>
    <t>PBY-0038</t>
  </si>
  <si>
    <t>PriorOverlayEvidence: Systems=XMLSpawner &lt;-&gt; Housing; Labels=DependsOn;StaffDependency; Evidence=Housing:docs/wiki/Flip_Deed.md;Housing:docs/wiki/Housing_System.md;Housing:docs/wiki/offline-skill-training.md:L38;Housing:docs/wiki/SystemAudit.md:L71;XMLSpawner-&gt;Housing:DirectReference:Data/Scripts/Custom/XMLSpawner/XmlUtils/XmlFind.cs:L403:BaseHouse;XMLSpawner:docs/wiki/AI_OVERHAUL_AUDIT.md;XMLSpawner:docs/wiki/SystemAudit.md:L22;XMLSpawner:docs/wiki/XML_Spawner_Enhancements.md || PriorNotes: Relationship-level staff dependency needs explicit owner policy before runtime changes.</t>
  </si>
  <si>
    <t>RB-05641</t>
  </si>
  <si>
    <t>P10-F05641</t>
  </si>
  <si>
    <t>PBY-0039</t>
  </si>
  <si>
    <t>PriorOverlayEvidence: Systems=XMLSpawner &lt;-&gt; Regions; Labels=DependsOn;StaffDependency; Evidence=Regions-&gt;XMLSpawner:DirectReference:Data/Scripts/Custom/RandomEncounters/Records.cs:L14:XmlSpawner;Regions-&gt;XMLSpawner:DirectReference:Data/Scripts/Custom/XMLSpawner/XmlPoints PvP/ChallengeGameRegion.cs:L9:XmlSpawner;Regions-&gt;XMLSpawner:DirectReference:Data/Scripts/Custom/XMLSpawner/XmlPoints PvP/ChallengeRegionStone.cs:L8:XmlSpawner;Regions:docs/wiki/AI_OVERHAUL_AUDIT.md;Regions:docs/wiki/Housing_System.md;Regions:doc... || PriorNotes: Relationship-level staff dependency needs explicit owner policy before runtime changes.</t>
  </si>
  <si>
    <t>RB-05642</t>
  </si>
  <si>
    <t>P10-F05642</t>
  </si>
  <si>
    <t>PBY-0040</t>
  </si>
  <si>
    <t>PriorOverlayEvidence: Systems=XMLSpawner &lt;-&gt; PlayerMobile Core; Labels=DependsOn;StaffDependency; Evidence=PlayerMobile Core-&gt;XMLSpawner:DirectReference:Data/Scripts/Mobiles/Base/PlayerMobile.cs:L12:XmlSpawner;PlayerMobile Core:docs/wiki/Animal_Trainer_Stable_Claim.md;PlayerMobile Core:docs/wiki/Barbaric_Play_Style.md;PlayerMobile Core:docs/wiki/SystemAudit.md:L47;PlayerMobile Core:docs/wiki/SystemAudit.md:L60;XMLSpawner-&gt;PlayerMobile Core:DirectReference:Data/Scripts/Custom/XMLSpawner/BaseXmlSpawner.cs:L9301:Play... || PriorNotes: Relationship-level staff dependency needs explicit owner policy before runtime changes.</t>
  </si>
  <si>
    <t>RB-05643</t>
  </si>
  <si>
    <t>P10-F05643</t>
  </si>
  <si>
    <t>PBY-0041</t>
  </si>
  <si>
    <t>PriorOverlayEvidence: Systems=XMLSpawner &lt;-&gt; Vendor Core; Labels=DependsOn;StaffDependency; Evidence=Vendor Core-&gt;XMLSpawner:DirectReference:Data/Scripts/Custom/Mobiles/Vendors/Gort.cs:L10:XmlSpawner;Vendor Core-&gt;XMLSpawner:DirectReference:Data/Scripts/Custom/Mobiles/Vendors/Siddo.cs:L10:XmlSpawner;Vendor Core-&gt;XMLSpawner:DirectReference:Data/Scripts/Custom/Mobiles/Vendors/SirGideon.cs:L9:XmlSpawner;Vendor Core-&gt;XMLSpawner:DirectReference:Data/Scripts/Custom/XMLSpawner/XmlMobiles/TalkingBaseVendor.cs:L15:XmlSpawne... || PriorNotes: Relationship-level staff dependency needs explicit owner policy before runtime changes.</t>
  </si>
  <si>
    <t>RB-05644</t>
  </si>
  <si>
    <t>P10-F05644</t>
  </si>
  <si>
    <t>PBY-0042</t>
  </si>
  <si>
    <t>PriorOverlayEvidence: Systems=XMLSpawner &lt;-&gt; Obsolete Scripts; Labels=Conflicts;DocRisk;StaffDependency; Evidence=High-risk systems list: obsolete or legacy files that still register commands or hooks.;Obsolete Scripts:docs/wiki/AI_OVERHAUL_AUDIT.md;Obsolete Scripts:docs/wiki/Magery_Spell_Color_Setting.md;Obsolete Scripts:docs/wiki/SystemAudit.md:L103;XMLSpawner:docs/wiki/AI_OVERHAUL_AUDIT.md;XMLSpawner:docs/wiki/SystemAudit.md:L22;XMLSpawner:docs/wiki/XML_Spawner_Enhancements.md || PriorNotes: Relationship-level staff dependency needs explicit owner policy before runtime changes.</t>
  </si>
  <si>
    <t>RB-05645</t>
  </si>
  <si>
    <t>P10-F05645</t>
  </si>
  <si>
    <t>PBY-0043</t>
  </si>
  <si>
    <t>PriorOverlayEvidence: Systems=Invasion &lt;-&gt; Champions; Labels=BalanceRisk;DependsOn;DocRisk;StaffDependency; Evidence=Champions:docs/wiki/Champion_Spawns.md;Champions:docs/wiki/Champion_Spawns.md:L82;Champions:docs/wiki/SystemAudit.md:L34;Champions:docs/wiki/wikibacklog.md;Invasion-&gt;Champions:DirectReference:Data/Scripts/Custom/Invasion System/Add Ins/Lord BlackThorn Clone.cs:L3:CannedEvil;Invasion-&gt;Champions:DirectReference:Data/Scripts/Custom/Invasion System/Add Ins/SubChamps/BaseSubChampion.cs:L5:CannedEvil;Inva... || PriorNotes: Relationship-level staff dependency needs explicit owner policy before runtime changes.</t>
  </si>
  <si>
    <t>RB-05646</t>
  </si>
  <si>
    <t>P10-F05646</t>
  </si>
  <si>
    <t>PBY-0044</t>
  </si>
  <si>
    <t>PriorOverlayEvidence: Systems=Invasion &lt;-&gt; Staff Toolbar; Labels=DocRisk;StaffDependency;Supports; Evidence=Invasion:docs/wiki/Invasion_System.md;Invasion:docs/wiki/SystemAudit.md:L21;Phase 9 staff-dependency review.;Staff Toolbar:docs/wiki/Staff_Toolbar.md || PriorNotes: Relationship-level staff dependency needs explicit owner policy before runtime changes.</t>
  </si>
  <si>
    <t>RB-05647</t>
  </si>
  <si>
    <t>P10-F05647</t>
  </si>
  <si>
    <t>PBY-0045</t>
  </si>
  <si>
    <t>PriorOverlayEvidence: Systems=Invasion &lt;-&gt; Static Gump Tool; Labels=DocRisk;StaffDependency;Supports; Evidence=Invasion:docs/wiki/Invasion_System.md;Invasion:docs/wiki/SystemAudit.md:L21;Phase 9 staff-dependency review.;Static Gump Tool:docs/wiki/Static_Gump_Tool.md;Static Gump Tool:docs/wiki/SystemAudit.md:L102;Static Gump Tool:docs/wiki/wikibacklog.md:L23 || PriorNotes: Relationship-level staff dependency needs explicit owner policy before runtime changes.</t>
  </si>
  <si>
    <t>RB-05648</t>
  </si>
  <si>
    <t>P10-F05648</t>
  </si>
  <si>
    <t>PBY-0046</t>
  </si>
  <si>
    <t>PriorOverlayEvidence: Systems=Invasion &lt;-&gt; Boats; Labels=DependsOn;StaffDependency; Evidence=Boats:docs/wiki/Boat_Core_Mechanics.md;Boats:docs/wiki/boat-navigation-control.md;Boats:docs/wiki/SystemAudit.md:L15;Boats:docs/wiki/SystemAudit.md:L6;Invasion-&gt;Boats:DirectReference:Data/Scripts/Custom/Invasion System/Add Ins/Pirates/Chasing Pirates/PirateCaptain.cs:L283:BaseBoat;Invasion-&gt;Boats:DirectReference:Data/Scripts/Custom/Invasion System/Add Ins/Pirates/Chasing Pirates/PirateShip.cs:L7:BaseBoat;Invasion:docs/wiki... || PriorNotes: Relationship-level staff dependency needs explicit owner policy before runtime changes.</t>
  </si>
  <si>
    <t>RB-05649</t>
  </si>
  <si>
    <t>P10-F05649</t>
  </si>
  <si>
    <t>PBY-0047</t>
  </si>
  <si>
    <t>PriorOverlayEvidence: Systems=Invasion &lt;-&gt; Regions; Labels=DependsOn;StaffDependency; Evidence=Invasion-&gt;Regions:DirectReference:Data/Scripts/Custom/Invasion System/Add Ins/BaseSpecialCreature.cs:L498:Region;Invasion-&gt;Regions:DirectReference:Data/Scripts/Custom/Invasion System/Add Ins/MobileFeatures.cs:L10:Region;Invasion-&gt;Regions:DirectReference:Data/Scripts/Custom/Invasion System/Add Ins/Pirates/Chasing Pirates/PirateCaptain.cs:L16:Region;Invasion-&gt;Regions:DirectReference:Data/Scripts/Custom/Invasion System/Add ... || PriorNotes: Relationship-level staff dependency needs explicit owner policy before runtime changes.</t>
  </si>
  <si>
    <t>RB-05650</t>
  </si>
  <si>
    <t>P10-F05650</t>
  </si>
  <si>
    <t>PBY-0048</t>
  </si>
  <si>
    <t>PriorOverlayEvidence: Systems=Invasion &lt;-&gt; PlayerMobile Core; Labels=DependsOn;StaffDependency; Evidence=Invasion-&gt;PlayerMobile Core:DirectReference:Data/Scripts/Custom/Invasion System/Add Ins/Pirates/Chasing Pirates/PirateCaptain.cs:L353:PlayerMobile;Invasion-&gt;PlayerMobile Core:DirectReference:Data/Scripts/Custom/Invasion System/Add Ins/SubChamps/BaseSubChampion.cs:L124:PlayerMobile;Invasion-&gt;PlayerMobile Core:DirectReference:Data/Scripts/Custom/Invasion System/Add Ins/SubChamps/lizardmanmage.cs:L53:PlayerMobile;... || PriorNotes: Relationship-level staff dependency needs explicit owner policy before runtime changes.</t>
  </si>
  <si>
    <t>RB-05651</t>
  </si>
  <si>
    <t>P10-F05651</t>
  </si>
  <si>
    <t>PBY-0049</t>
  </si>
  <si>
    <t>PriorOverlayEvidence: Systems=Staff Toolbar &lt;-&gt; Static Gump Tool; Labels=DocRisk;Duplicates;StaffDependency;Supports; Evidence=Phase 9 staff-dependency review.;Staff Toolbar:docs/wiki/Staff_Toolbar.md;Static Gump Tool:docs/wiki/Static_Gump_Tool.md;Static Gump Tool:docs/wiki/SystemAudit.md:L102;Static Gump Tool:docs/wiki/wikibacklog.md:L23 || PriorNotes: Relationship-level staff dependency needs explicit owner policy before runtime changes.</t>
  </si>
  <si>
    <t>RB-05652</t>
  </si>
  <si>
    <t>P10-F05652</t>
  </si>
  <si>
    <t>PBY-0050</t>
  </si>
  <si>
    <t>PriorOverlayEvidence: Systems=Staff Toolbar &lt;-&gt; Regions; Labels=DependsOn;StaffDependency; Evidence=Regions:docs/wiki/AI_OVERHAUL_AUDIT.md;Regions:docs/wiki/Housing_System.md;Regions:docs/wiki/offline-skill-training.md:L38;Regions:docs/wiki/SystemAudit.md:L24;Staff Toolbar-&gt;Regions:DirectReference:Data/Scripts/Custom/Staff Toolbar [2.0]/Toolbar.cs:L642:Region;Staff Toolbar:docs/wiki/Staff_Toolbar.md || PriorNotes: Relationship-level staff dependency needs explicit owner policy before runtime changes.</t>
  </si>
  <si>
    <t>RB-05653</t>
  </si>
  <si>
    <t>P10-F05653</t>
  </si>
  <si>
    <t>PBY-0051</t>
  </si>
  <si>
    <t>PriorOverlayEvidence: Systems=Static Gump Tool &lt;-&gt; Crafting Core; Labels=DependsOn;StaffDependency; Evidence=Crafting Core-&gt;Static Gump Tool:DirectReference:Data/Scripts/Trades/Core/CraftItem.cs:L3100:STool;Crafting Core:docs/wiki/Apiculture_Beekeeping.md;Crafting Core:docs/wiki/Crafting_Core.md;Crafting Core:docs/wiki/Standard_Crafting.md:L234;Crafting Core:docs/wiki/Standard_Crafting.md:L235;Static Gump Tool:docs/wiki/Static_Gump_Tool.md;Static Gump Tool:docs/wiki/SystemAudit.md:L102;Static Gump Tool:docs/wiki/w... || PriorNotes: Relationship-level staff dependency needs explicit owner policy before runtime changes.</t>
  </si>
  <si>
    <t>RB-05654</t>
  </si>
  <si>
    <t>P10-F05654</t>
  </si>
  <si>
    <t>PBY-0052</t>
  </si>
  <si>
    <t>PriorOverlayEvidence: Systems=Static Gump Tool &lt;-&gt; Harvest System; Labels=DependsOn;StaffDependency; Evidence=Harvest System-&gt;Static Gump Tool:DirectReference:Data/Scripts/Items/Trades/Harvest Tools/ProspectorsTool.cs:L8:STool;Harvest System-&gt;Static Gump Tool:DirectReference:Data/Scripts/Trades/Harvest/Fishing.cs:L768:STool;Harvest System:docs/wiki/Apiculture_Beekeeping.md:L307;Harvest System:docs/wiki/Farmable_Crops_System.md;Harvest System:docs/wiki/Gardening_System.md;Harvest System:docs/wiki/Standard_Crafting.... || PriorNotes: Relationship-level staff dependency needs explicit owner policy before runtime changes.</t>
  </si>
  <si>
    <t>RB-05655</t>
  </si>
  <si>
    <t>P10-F05655</t>
  </si>
  <si>
    <t>PBY-0053</t>
  </si>
  <si>
    <t>PriorOverlayEvidence: Systems=Static Gump Tool &lt;-&gt; Bulk Orders; Labels=DependsOn;StaffDependency; Evidence=Bulk Orders-&gt;Static Gump Tool:DirectReference:Data/Scripts/System/Commands/Docs.cs:L1703:STool;Bulk Orders-&gt;Static Gump Tool:DirectReference:Data/Scripts/Trades/Bulk Orders/Rewards.cs:L245:STool;Bulk Orders:docs/wiki/Animal_Shape_Stones.md;Bulk Orders:docs/wiki/Bulk_Order_System.md;Bulk Orders:docs/wiki/SystemAudit.md:L29;Bulk Orders:docs/wiki/SystemAudit.md:L41;Static Gump Tool:docs/wiki/Static_Gump_Tool.md;... || PriorNotes: Relationship-level staff dependency needs explicit owner policy before runtime changes.</t>
  </si>
  <si>
    <t>RB-05656</t>
  </si>
  <si>
    <t>P10-F05656</t>
  </si>
  <si>
    <t>PBY-0054</t>
  </si>
  <si>
    <t>PriorOverlayEvidence: Systems=Static Gump Tool &lt;-&gt; Gardening; Labels=DependsOn;StaffDependency; Evidence=Gardening-&gt;Static Gump Tool:DirectReference:Data/Scripts/Mobiles/Plants/Fungal.cs:L46:STool;Gardening-&gt;Static Gump Tool:DirectReference:Data/Scripts/Mobiles/Plants/FungalMage.cs:L46:STool;Gardening-&gt;Static Gump Tool:DirectReference:Data/Scripts/System/Obsolete/PlantHerbalism.cs:L179:STool;Gardening:docs/wiki/Gardening_System.md;Gardening:docs/wiki/Misc_Core_Systems.md;Gardening:docs/wiki/SystemAudit.md:L40;Stat... || PriorNotes: Relationship-level staff dependency needs explicit owner policy before runtime changes.</t>
  </si>
  <si>
    <t>RB-05657</t>
  </si>
  <si>
    <t>P10-F05657</t>
  </si>
  <si>
    <t>PBY-0055</t>
  </si>
  <si>
    <t>PriorOverlayEvidence: Systems=Static Gump Tool &lt;-&gt; Housing; Labels=DependsOn;StaffDependency; Evidence=Housing-&gt;Static Gump Tool:DirectReference:Data/Scripts/Mobiles/Base/StoreSalesList.cs:L15121:STool;Housing:docs/wiki/Flip_Deed.md;Housing:docs/wiki/Housing_System.md;Housing:docs/wiki/offline-skill-training.md:L38;Housing:docs/wiki/SystemAudit.md:L71;Static Gump Tool:docs/wiki/Static_Gump_Tool.md;Static Gump Tool:docs/wiki/SystemAudit.md:L102;Static Gump Tool:docs/wiki/wikibacklog.md:L23 || PriorNotes: Relationship-level staff dependency needs explicit owner policy before runtime changes.</t>
  </si>
  <si>
    <t>RB-05658</t>
  </si>
  <si>
    <t>P10-F05658</t>
  </si>
  <si>
    <t>PBY-0056</t>
  </si>
  <si>
    <t>PriorOverlayEvidence: Systems=Static Gump Tool &lt;-&gt; Regions; Labels=DependsOn;StaffDependency; Evidence=Regions:docs/wiki/AI_OVERHAUL_AUDIT.md;Regions:docs/wiki/Housing_System.md;Regions:docs/wiki/offline-skill-training.md:L38;Regions:docs/wiki/SystemAudit.md:L24;Static Gump Tool-&gt;Regions:DirectReference:Data/Scripts/Custom/OzThothStaticGump/Side Gumps/AddAnimation.cs:L35:Region;Static Gump Tool-&gt;Regions:DirectReference:Data/Scripts/Custom/OzThothStaticGump/Side Gumps/AddArch.cs:L35:Region;Static Gump Tool-&gt;Regions... || PriorNotes: Relationship-level staff dependency needs explicit owner policy before runtime changes.</t>
  </si>
  <si>
    <t>RB-05659</t>
  </si>
  <si>
    <t>P10-F05659</t>
  </si>
  <si>
    <t>PBY-0057</t>
  </si>
  <si>
    <t>PriorOverlayEvidence: Systems=Static Gump Tool &lt;-&gt; Vendor Core; Labels=DependsOn;StaffDependency; Evidence=Static Gump Tool:docs/wiki/Static_Gump_Tool.md;Static Gump Tool:docs/wiki/SystemAudit.md:L102;Static Gump Tool:docs/wiki/wikibacklog.md:L23;Vendor Core-&gt;Static Gump Tool:DirectReference:Data/Scripts/Mobiles/Base/StoreSalesList.cs:L15121:STool;Vendor Core:docs/CCWM/Confictura_Codex_World_Map.md:L9444;Vendor Core:docs/wiki/AI_OVERHAUL_AUDIT.md;Vendor Core:docs/wiki/Animal_Trainer_Stable_Claim.md;Vendor Core:doc... || PriorNotes: Relationship-level staff dependency needs explicit owner policy before runtime changes.</t>
  </si>
  <si>
    <t>RB-05660</t>
  </si>
  <si>
    <t>P10-F05660</t>
  </si>
  <si>
    <t>PBY-0058</t>
  </si>
  <si>
    <t>PriorOverlayEvidence: Systems=Static Gump Tool &lt;-&gt; Obsolete Scripts; Labels=DependsOn;StaffDependency; Evidence=Obsolete Scripts-&gt;Static Gump Tool:DirectReference:Data/Scripts/System/Obsolete/PlantHerbalism.cs:L179:STool;Obsolete Scripts:docs/wiki/AI_OVERHAUL_AUDIT.md;Obsolete Scripts:docs/wiki/Magery_Spell_Color_Setting.md;Obsolete Scripts:docs/wiki/SystemAudit.md:L103;Static Gump Tool:docs/wiki/Static_Gump_Tool.md;Static Gump Tool:docs/wiki/SystemAudit.md:L102;Static Gump Tool:docs/wiki/wikibacklog.md:L23 || PriorNotes: Relationship-level staff dependency needs explicit owner policy before runtime changes.</t>
  </si>
  <si>
    <t>RB-05661</t>
  </si>
  <si>
    <t>P10-F05661</t>
  </si>
  <si>
    <t>Custom:ChangeSeason</t>
  </si>
  <si>
    <t>Data/Scripts/Custom/ChangeSeason/ChangeSeason.cs</t>
  </si>
  <si>
    <t>POST-BATCH-Q</t>
  </si>
  <si>
    <t>PBQ-0001</t>
  </si>
  <si>
    <t>Added scoped custom command handler guard(s) for null/deleted mobile state before existing command work.</t>
  </si>
  <si>
    <t>docs/codebase-audit/outputs/post-batch-q-staff-command-metadata-source-review.csv</t>
  </si>
  <si>
    <t>POST-BATCH-N lane=POST-BATCH-N-STAFF-COMMAND-METADATA; FileProofStatus=CurrentPathConfirmed; Command=; Access=; L12; Registration=CommandSystem.Register(; CurrentRegistrationLine=12; CurrentCommand=ChangeSeason; CurrentAccess=AccessLevel.Administrator; CurrentHandler=ChangeSeason_OnCommand; CurrentRegistration=CommandSystem.Register( "ChangeSeason", AccessLevel.Administrator, new CommandEventHandler(ChangeSeason_OnCommand) );; POST-BATCH-Q direct source review=CustomCommandGuardFixed</t>
  </si>
  <si>
    <t>Pending: fix: harden staff command metadata queue</t>
  </si>
  <si>
    <t>2026-06-14T16:16:57.8542018-05:00</t>
  </si>
  <si>
    <t>POST-BATCH-Q staff command metadata source review. Previous active row was PBN-0134/PBF-059. Public APIs, command names, access levels, namespaces, type names, file locations, project files, XML/config, serialization layout, and staff/player workflow semantics were preserved.</t>
  </si>
  <si>
    <t>RB-05662</t>
  </si>
  <si>
    <t>P10-F05662</t>
  </si>
  <si>
    <t>Custom:Character Swap</t>
  </si>
  <si>
    <t>Data/Scripts/Custom/Character Swap/CharacterSwap.cs</t>
  </si>
  <si>
    <t>PBQ-0002</t>
  </si>
  <si>
    <t>POST-BATCH-N lane=POST-BATCH-N-STAFF-COMMAND-METADATA; FileProofStatus=CurrentPathConfirmed; Command=; Access=; L14; Registration=CommandSystem.Register(; CurrentRegistrationLine=14; CurrentCommand=CharControl; CurrentAccess=AccessLevel.Administrator; CurrentHandler=CharControl_OnCommand; CurrentRegistration=CommandSystem.Register( "CharControl", AccessLevel.Administrator, new CommandEventHandler(CharControl_OnCommand) );; POST-BATCH-Q direct source review=CustomCommandGuardFixed</t>
  </si>
  <si>
    <t>POST-BATCH-Q staff command metadata source review. Previous active row was PBN-0135/PBF-060. Public APIs, command names, access levels, namespaces, type names, file locations, project files, XML/config, serialization layout, and staff/player workflow semantics were preserved.</t>
  </si>
  <si>
    <t>RB-05663</t>
  </si>
  <si>
    <t>P10-F05663</t>
  </si>
  <si>
    <t>Data/Scripts/Custom/StaffTools/StaticGumpTool/StaticGump(Alternative).cs</t>
  </si>
  <si>
    <t>PBQ-0003</t>
  </si>
  <si>
    <t>Added shared Static Gump Tool command mobile guard before closing or sending staff gumps.</t>
  </si>
  <si>
    <t>POST-BATCH-N lane=POST-BATCH-N-STAFF-COMMAND-METADATA; FileProofStatus=PathNeedsReview; Command=; Access=; L13; Registration=CommandSystem.Register(; CurrentRegistrationLine=13; CurrentCommand=StaticsTool; CurrentAccess=AccessLevel.GameMaster; CurrentHandler=OzThothsStatic_OnCommand; CurrentRegistration=CommandSystem.Register( "StaticsTool", AccessLevel.GameMaster, new CommandEventHandler(OzThothsStatic_OnCommand) );; POST-BATCH-Q direct source review=StaticGumpCommandGuardFixed</t>
  </si>
  <si>
    <t>POST-BATCH-Q staff command metadata source review. Previous active row was PBN-0136/PBF-061. Public APIs, command names, access levels, namespaces, type names, file locations, project files, XML/config, serialization layout, and staff/player workflow semantics were preserved.</t>
  </si>
  <si>
    <t>RB-05664</t>
  </si>
  <si>
    <t>P10-F05664</t>
  </si>
  <si>
    <t>PBQ-0004</t>
  </si>
  <si>
    <t>POST-BATCH-N lane=POST-BATCH-N-STAFF-COMMAND-METADATA; FileProofStatus=PathNeedsReview; Command=; Access=; L18; Registration=CommandSystem.Register(; CurrentRegistrationLine=18; CurrentCommand=STool; CurrentAccess=AccessLevel.GameMaster; CurrentHandler=OzThothsStatic_OnCommand; CurrentRegistration=CommandSystem.Register( "STool", AccessLevel.GameMaster, new CommandEventHandler(OzThothsStatic_OnCommand) );; POST-BATCH-Q direct source review=StaticGumpCommandGuardFixed</t>
  </si>
  <si>
    <t>POST-BATCH-Q staff command metadata source review. Previous active row was PBN-0137/PBF-062. Public APIs, command names, access levels, namespaces, type names, file locations, project files, XML/config, serialization layout, and staff/player workflow semantics were preserved.</t>
  </si>
  <si>
    <t>RB-05665</t>
  </si>
  <si>
    <t>P10-F05665</t>
  </si>
  <si>
    <t>PBQ-0005</t>
  </si>
  <si>
    <t>POST-BATCH-N lane=POST-BATCH-N-STAFF-COMMAND-METADATA; FileProofStatus=PathNeedsReview; Command=; Access=; L23; Registration=CommandSystem.Register(; CurrentRegistrationLine=23; CurrentCommand=ST; CurrentAccess=AccessLevel.GameMaster; CurrentHandler=OzThothsStatic_OnCommand; CurrentRegistration=CommandSystem.Register( "ST", AccessLevel.GameMaster, new CommandEventHandler(OzThothsStatic_OnCommand) );; POST-BATCH-Q direct source review=StaticGumpCommandGuardFixed</t>
  </si>
  <si>
    <t>POST-BATCH-Q staff command metadata source review. Previous active row was PBN-0138/PBF-063. Public APIs, command names, access levels, namespaces, type names, file locations, project files, XML/config, serialization layout, and staff/player workflow semantics were preserved.</t>
  </si>
  <si>
    <t>RB-05666</t>
  </si>
  <si>
    <t>P10-F05666</t>
  </si>
  <si>
    <t>Data/Scripts/Custom/StaffTools/StaticGumpTool/Side Gumps/AddAnimation.cs</t>
  </si>
  <si>
    <t>PBQ-0006</t>
  </si>
  <si>
    <t>POST-BATCH-N lane=POST-BATCH-N-STAFF-COMMAND-METADATA; FileProofStatus=PathNeedsReview; Command=; Access=; L18; Registration=CommandSystem.Register(; CurrentRegistrationLine=18; CurrentCommand=AddAnimationStatic; CurrentAccess=AccessLevel.GameMaster; CurrentHandler=AddAnimation_OnCommand; CurrentRegistration=CommandSystem.Register( "AddAnimationStatic", AccessLevel.GameMaster, new CommandEventHandler(AddAnimation_OnCommand) );; POST-BATCH-Q direct source review=StaticGumpCommandGuardFixed</t>
  </si>
  <si>
    <t>POST-BATCH-Q staff command metadata source review. Previous active row was PBN-0139/PBF-064. Public APIs, command names, access levels, namespaces, type names, file locations, project files, XML/config, serialization layout, and staff/player workflow semantics were preserved.</t>
  </si>
  <si>
    <t>RB-05667</t>
  </si>
  <si>
    <t>P10-F05667</t>
  </si>
  <si>
    <t>Data/Scripts/Custom/StaffTools/StaticGumpTool/Side Gumps/AddArch.cs</t>
  </si>
  <si>
    <t>PBQ-0007</t>
  </si>
  <si>
    <t>POST-BATCH-N lane=POST-BATCH-N-STAFF-COMMAND-METADATA; FileProofStatus=PathNeedsReview; Command=; Access=; L18; Registration=CommandSystem.Register(; CurrentRegistrationLine=18; CurrentCommand=AddArch; CurrentAccess=AccessLevel.GameMaster; CurrentHandler=AddArch_OnCommand; CurrentRegistration=CommandSystem.Register( "AddArch", AccessLevel.GameMaster, new CommandEventHandler(AddArch_OnCommand) );; POST-BATCH-Q direct source review=StaticGumpCommandGuardFixed</t>
  </si>
  <si>
    <t>POST-BATCH-Q staff command metadata source review. Previous active row was PBN-0140/PBF-065. Public APIs, command names, access levels, namespaces, type names, file locations, project files, XML/config, serialization layout, and staff/player workflow semantics were preserved.</t>
  </si>
  <si>
    <t>RB-05668</t>
  </si>
  <si>
    <t>P10-F05668</t>
  </si>
  <si>
    <t>Data/Scripts/Custom/StaffTools/StaticGumpTool/Side Gumps/AddCustom.cs</t>
  </si>
  <si>
    <t>PBQ-0008</t>
  </si>
  <si>
    <t>POST-BATCH-N lane=POST-BATCH-N-STAFF-COMMAND-METADATA; FileProofStatus=PathNeedsReview; Command=; Access=; L18; Registration=CommandSystem.Register(; CurrentRegistrationLine=18; CurrentCommand=AddCustomStatic; CurrentAccess=AccessLevel.GameMaster; CurrentHandler=AddCustomStatic_OnCommand; CurrentRegistration=CommandSystem.Register( "AddCustomStatic", AccessLevel.GameMaster, new CommandEventHandler(AddCustomStatic_OnCommand) );; POST-BATCH-Q direct source review=StaticGumpCommandGuardFixed</t>
  </si>
  <si>
    <t>POST-BATCH-Q staff command metadata source review. Previous active row was PBN-0141/PBF-066. Public APIs, command names, access levels, namespaces, type names, file locations, project files, XML/config, serialization layout, and staff/player workflow semantics were preserved.</t>
  </si>
  <si>
    <t>RB-05669</t>
  </si>
  <si>
    <t>P10-F05669</t>
  </si>
  <si>
    <t>Data/Scripts/Custom/StaffTools/StaticGumpTool/Side Gumps/AddDeco.cs</t>
  </si>
  <si>
    <t>PBQ-0009</t>
  </si>
  <si>
    <t>POST-BATCH-N lane=POST-BATCH-N-STAFF-COMMAND-METADATA; FileProofStatus=PathNeedsReview; Command=; Access=; L18; Registration=CommandSystem.Register(; CurrentRegistrationLine=18; CurrentCommand=AddDecoStatic; CurrentAccess=AccessLevel.GameMaster; CurrentHandler=AddDecoStatic_OnCommand; CurrentRegistration=CommandSystem.Register( "AddDecoStatic", AccessLevel.GameMaster, new CommandEventHandler(AddDecoStatic_OnCommand) );; POST-BATCH-Q direct source review=StaticGumpCommandGuardFixed</t>
  </si>
  <si>
    <t>POST-BATCH-Q staff command metadata source review. Previous active row was PBN-0142/PBF-067. Public APIs, command names, access levels, namespaces, type names, file locations, project files, XML/config, serialization layout, and staff/player workflow semantics were preserved.</t>
  </si>
  <si>
    <t>RB-05670</t>
  </si>
  <si>
    <t>P10-F05670</t>
  </si>
  <si>
    <t>Data/Scripts/Custom/StaffTools/StaticGumpTool/Side Gumps/AddDungeon.cs</t>
  </si>
  <si>
    <t>PBQ-0010</t>
  </si>
  <si>
    <t>POST-BATCH-N lane=POST-BATCH-N-STAFF-COMMAND-METADATA; FileProofStatus=PathNeedsReview; Command=; Access=; L18; Registration=CommandSystem.Register(; CurrentRegistrationLine=18; CurrentCommand=AddDungStatic; CurrentAccess=AccessLevel.GameMaster; CurrentHandler=AddDungStatic_OnCommand; CurrentRegistration=CommandSystem.Register( "AddDungStatic", AccessLevel.GameMaster, new CommandEventHandler(AddDungStatic_OnCommand) );; POST-BATCH-Q direct source review=StaticGumpCommandGuardFixed</t>
  </si>
  <si>
    <t>POST-BATCH-Q staff command metadata source review. Previous active row was PBN-0143/PBF-068. Public APIs, command names, access levels, namespaces, type names, file locations, project files, XML/config, serialization layout, and staff/player workflow semantics were preserved.</t>
  </si>
  <si>
    <t>RB-05671</t>
  </si>
  <si>
    <t>P10-F05671</t>
  </si>
  <si>
    <t>Data/Scripts/Custom/StaffTools/StaticGumpTool/Side Gumps/addfence.cs</t>
  </si>
  <si>
    <t>PBQ-0011</t>
  </si>
  <si>
    <t>POST-BATCH-N lane=POST-BATCH-N-STAFF-COMMAND-METADATA; FileProofStatus=PathNeedsReview; Command=; Access=; L13; Registration=CommandSystem.Register(; CurrentRegistrationLine=13; CurrentCommand=AddFence; CurrentAccess=AccessLevel.GameMaster; CurrentHandler=AddFence_OnCommand; CurrentRegistration=CommandSystem.Register( "AddFence", AccessLevel.GameMaster, new CommandEventHandler(AddFence_OnCommand) );; POST-BATCH-Q direct source review=StaticGumpCommandGuardFixed</t>
  </si>
  <si>
    <t>POST-BATCH-Q staff command metadata source review. Previous active row was PBN-0144/PBF-069. Public APIs, command names, access levels, namespaces, type names, file locations, project files, XML/config, serialization layout, and staff/player workflow semantics were preserved.</t>
  </si>
  <si>
    <t>RB-05672</t>
  </si>
  <si>
    <t>P10-F05672</t>
  </si>
  <si>
    <t>Data/Scripts/Custom/StaffTools/StaticGumpTool/Side Gumps/addfloor.cs</t>
  </si>
  <si>
    <t>PBQ-0012</t>
  </si>
  <si>
    <t>POST-BATCH-N lane=POST-BATCH-N-STAFF-COMMAND-METADATA; FileProofStatus=PathNeedsReview; Command=; Access=; L18; Registration=CommandSystem.Register(; CurrentRegistrationLine=18; CurrentCommand=AddFloor; CurrentAccess=AccessLevel.GameMaster; CurrentHandler=AddFloor_OnCommand; CurrentRegistration=CommandSystem.Register( "AddFloor", AccessLevel.GameMaster, new CommandEventHandler(AddFloor_OnCommand) );; POST-BATCH-Q direct source review=StaticGumpCommandGuardFixed</t>
  </si>
  <si>
    <t>POST-BATCH-Q staff command metadata source review. Previous active row was PBN-0145/PBF-070. Public APIs, command names, access levels, namespaces, type names, file locations, project files, XML/config, serialization layout, and staff/player workflow semantics were preserved.</t>
  </si>
  <si>
    <t>RB-05673</t>
  </si>
  <si>
    <t>P10-F05673</t>
  </si>
  <si>
    <t>Data/Scripts/Custom/StaffTools/StaticGumpTool/Side Gumps/AddFurniture.cs</t>
  </si>
  <si>
    <t>PBQ-0013</t>
  </si>
  <si>
    <t>POST-BATCH-N lane=POST-BATCH-N-STAFF-COMMAND-METADATA; FileProofStatus=PathNeedsReview; Command=; Access=; L18; Registration=CommandSystem.Register(; CurrentRegistrationLine=18; CurrentCommand=AddFurniture; CurrentAccess=AccessLevel.GameMaster; CurrentHandler=AddFurniture_OnCommand; CurrentRegistration=CommandSystem.Register( "AddFurniture", AccessLevel.GameMaster, new CommandEventHandler(AddFurniture_OnCommand) );; POST-BATCH-Q direct source review=StaticGumpCommandGuardFixed</t>
  </si>
  <si>
    <t>POST-BATCH-Q staff command metadata source review. Previous active row was PBN-0146/PBF-071. Public APIs, command names, access levels, namespaces, type names, file locations, project files, XML/config, serialization layout, and staff/player workflow semantics were preserved.</t>
  </si>
  <si>
    <t>RB-05674</t>
  </si>
  <si>
    <t>P10-F05674</t>
  </si>
  <si>
    <t>Data/Scripts/Custom/StaffTools/StaticGumpTool/Side Gumps/AddGear.cs</t>
  </si>
  <si>
    <t>PBQ-0014</t>
  </si>
  <si>
    <t>POST-BATCH-N lane=POST-BATCH-N-STAFF-COMMAND-METADATA; FileProofStatus=PathNeedsReview; Command=; Access=; L18; Registration=CommandSystem.Register(; CurrentRegistrationLine=18; CurrentCommand=AddGearStatic; CurrentAccess=AccessLevel.GameMaster; CurrentHandler=AddGearStatic_OnCommand; CurrentRegistration=CommandSystem.Register( "AddGearStatic", AccessLevel.GameMaster, new CommandEventHandler(AddGearStatic_OnCommand) );; POST-BATCH-Q direct source review=StaticGumpCommandGuardFixed</t>
  </si>
  <si>
    <t>POST-BATCH-Q staff command metadata source review. Previous active row was PBN-0147/PBF-072. Public APIs, command names, access levels, namespaces, type names, file locations, project files, XML/config, serialization layout, and staff/player workflow semantics were preserved.</t>
  </si>
  <si>
    <t>RB-05675</t>
  </si>
  <si>
    <t>P10-F05675</t>
  </si>
  <si>
    <t>Data/Scripts/Custom/StaffTools/StaticGumpTool/Side Gumps/AddGround.cs</t>
  </si>
  <si>
    <t>PBQ-0015</t>
  </si>
  <si>
    <t>POST-BATCH-N lane=POST-BATCH-N-STAFF-COMMAND-METADATA; FileProofStatus=PathNeedsReview; Command=; Access=; L18; Registration=CommandSystem.Register(; CurrentRegistrationLine=18; CurrentCommand=AddGroundStStatic; CurrentAccess=AccessLevel.GameMaster; CurrentHandler=AddGroundStStatic_OnCommand; CurrentRegistration=CommandSystem.Register( "AddGroundStStatic", AccessLevel.GameMaster, new CommandEventHandler(AddGroundStStatic_OnCommand) );; POST-BATCH-Q direct source review=StaticGumpCommandGuardFixed</t>
  </si>
  <si>
    <t>POST-BATCH-Q staff command metadata source review. Previous active row was PBN-0148/PBF-073. Public APIs, command names, access levels, namespaces, type names, file locations, project files, XML/config, serialization layout, and staff/player workflow semantics were preserved.</t>
  </si>
  <si>
    <t>RB-05676</t>
  </si>
  <si>
    <t>P10-F05676</t>
  </si>
  <si>
    <t>Data/Scripts/Custom/StaffTools/StaticGumpTool/Side Gumps/AddLight.cs</t>
  </si>
  <si>
    <t>PBQ-0016</t>
  </si>
  <si>
    <t>POST-BATCH-N lane=POST-BATCH-N-STAFF-COMMAND-METADATA; FileProofStatus=PathNeedsReview; Command=; Access=; L18; Registration=CommandSystem.Register(; CurrentRegistrationLine=18; CurrentCommand=AddLightsStatic; CurrentAccess=AccessLevel.GameMaster; CurrentHandler=AddLightsStatic_OnCommand; CurrentRegistration=CommandSystem.Register( "AddLightsStatic", AccessLevel.GameMaster, new CommandEventHandler(AddLightsStatic_OnCommand) );; POST-BATCH-Q direct source review=StaticGumpCommandGuardFixed</t>
  </si>
  <si>
    <t>POST-BATCH-Q staff command metadata source review. Previous active row was PBN-0149/PBF-074. Public APIs, command names, access levels, namespaces, type names, file locations, project files, XML/config, serialization layout, and staff/player workflow semantics were preserved.</t>
  </si>
  <si>
    <t>RB-05677</t>
  </si>
  <si>
    <t>P10-F05677</t>
  </si>
  <si>
    <t>Data/Scripts/Custom/StaffTools/StaticGumpTool/Side Gumps/AddMisc.cs</t>
  </si>
  <si>
    <t>PBQ-0017</t>
  </si>
  <si>
    <t>POST-BATCH-N lane=POST-BATCH-N-STAFF-COMMAND-METADATA; FileProofStatus=PathNeedsReview; Command=; Access=; L18; Registration=CommandSystem.Register(; CurrentRegistrationLine=18; CurrentCommand=AddMiscStatic; CurrentAccess=AccessLevel.GameMaster; CurrentHandler=AddMiscStatic_OnCommand; CurrentRegistration=CommandSystem.Register( "AddMiscStatic", AccessLevel.GameMaster, new CommandEventHandler(AddMiscStatic_OnCommand) );; POST-BATCH-Q direct source review=StaticGumpCommandGuardFixed</t>
  </si>
  <si>
    <t>POST-BATCH-Q staff command metadata source review. Previous active row was PBN-0150/PBF-075. Public APIs, command names, access levels, namespaces, type names, file locations, project files, XML/config, serialization layout, and staff/player workflow semantics were preserved.</t>
  </si>
  <si>
    <t>RB-05678</t>
  </si>
  <si>
    <t>P10-F05678</t>
  </si>
  <si>
    <t>Data/Scripts/Custom/StaffTools/StaticGumpTool/Side Gumps/AddNature.cs</t>
  </si>
  <si>
    <t>PBQ-0018</t>
  </si>
  <si>
    <t>POST-BATCH-N lane=POST-BATCH-N-STAFF-COMMAND-METADATA; FileProofStatus=PathNeedsReview; Command=; Access=; L18; Registration=CommandSystem.Register(; CurrentRegistrationLine=18; CurrentCommand=AddNatureStatic; CurrentAccess=AccessLevel.GameMaster; CurrentHandler=AddNatureStatic_OnCommand; CurrentRegistration=CommandSystem.Register( "AddNatureStatic", AccessLevel.GameMaster, new CommandEventHandler(AddNatureStatic_OnCommand) );; POST-BATCH-Q direct source review=StaticGumpCommandGuardFixed</t>
  </si>
  <si>
    <t>POST-BATCH-Q staff command metadata source review. Previous active row was PBN-0151/PBF-076. Public APIs, command names, access levels, namespaces, type names, file locations, project files, XML/config, serialization layout, and staff/player workflow semantics were preserved.</t>
  </si>
  <si>
    <t>RB-05679</t>
  </si>
  <si>
    <t>P10-F05679</t>
  </si>
  <si>
    <t>Data/Scripts/Custom/StaffTools/StaticGumpTool/Side Gumps/addplants.cs</t>
  </si>
  <si>
    <t>PBQ-0019</t>
  </si>
  <si>
    <t>POST-BATCH-N lane=POST-BATCH-N-STAFF-COMMAND-METADATA; FileProofStatus=PathNeedsReview; Command=; Access=; L18; Registration=CommandSystem.Register(; CurrentRegistrationLine=18; CurrentCommand=AddPlants; CurrentAccess=AccessLevel.GameMaster; CurrentHandler=AddPlants_OnCommand; CurrentRegistration=CommandSystem.Register( "AddPlants", AccessLevel.GameMaster, new CommandEventHandler(AddPlants_OnCommand) );; POST-BATCH-Q direct source review=StaticGumpCommandGuardFixed</t>
  </si>
  <si>
    <t>POST-BATCH-Q staff command metadata source review. Previous active row was PBN-0152/PBF-077. Public APIs, command names, access levels, namespaces, type names, file locations, project files, XML/config, serialization layout, and staff/player workflow semantics were preserved.</t>
  </si>
  <si>
    <t>RB-05680</t>
  </si>
  <si>
    <t>P10-F05680</t>
  </si>
  <si>
    <t>Data/Scripts/Custom/StaffTools/StaticGumpTool/Side Gumps/addrock.cs</t>
  </si>
  <si>
    <t>PBQ-0020</t>
  </si>
  <si>
    <t>POST-BATCH-N lane=POST-BATCH-N-STAFF-COMMAND-METADATA; FileProofStatus=PathNeedsReview; Command=; Access=; L18; Registration=CommandSystem.Register(; CurrentRegistrationLine=18; CurrentCommand=AddRock; CurrentAccess=AccessLevel.GameMaster; CurrentHandler=AddRock_OnCommand; CurrentRegistration=CommandSystem.Register( "AddRock", AccessLevel.GameMaster, new CommandEventHandler(AddRock_OnCommand) );; POST-BATCH-Q direct source review=StaticGumpCommandGuardFixed</t>
  </si>
  <si>
    <t>POST-BATCH-Q staff command metadata source review. Previous active row was PBN-0153/PBF-078. Public APIs, command names, access levels, namespaces, type names, file locations, project files, XML/config, serialization layout, and staff/player workflow semantics were preserved.</t>
  </si>
  <si>
    <t>RB-05681</t>
  </si>
  <si>
    <t>P10-F05681</t>
  </si>
  <si>
    <t>Data/Scripts/Custom/StaffTools/StaticGumpTool/Side Gumps/addroof.cs</t>
  </si>
  <si>
    <t>PBQ-0021</t>
  </si>
  <si>
    <t>POST-BATCH-N lane=POST-BATCH-N-STAFF-COMMAND-METADATA; FileProofStatus=PathNeedsReview; Command=; Access=; L18; Registration=CommandSystem.Register(; CurrentRegistrationLine=18; CurrentCommand=AddRoof; CurrentAccess=AccessLevel.GameMaster; CurrentHandler=AddRoof_OnCommand; CurrentRegistration=CommandSystem.Register( "AddRoof", AccessLevel.GameMaster, new CommandEventHandler(AddRoof_OnCommand) );; POST-BATCH-Q direct source review=StaticGumpCommandGuardFixed</t>
  </si>
  <si>
    <t>POST-BATCH-Q staff command metadata source review. Previous active row was PBN-0154/PBF-079. Public APIs, command names, access levels, namespaces, type names, file locations, project files, XML/config, serialization layout, and staff/player workflow semantics were preserved.</t>
  </si>
  <si>
    <t>RB-05682</t>
  </si>
  <si>
    <t>P10-F05682</t>
  </si>
  <si>
    <t>Data/Scripts/Custom/StaffTools/StaticGumpTool/Side Gumps/AddSignPost.cs</t>
  </si>
  <si>
    <t>PBQ-0022</t>
  </si>
  <si>
    <t>POST-BATCH-N lane=POST-BATCH-N-STAFF-COMMAND-METADATA; FileProofStatus=PathNeedsReview; Command=; Access=; L18; Registration=CommandSystem.Register(; CurrentRegistrationLine=18; CurrentCommand=AddSignPStatic; CurrentAccess=AccessLevel.GameMaster; CurrentHandler=AddSignPStatic_OnCommand; CurrentRegistration=CommandSystem.Register( "AddSignPStatic", AccessLevel.GameMaster, new CommandEventHandler(AddSignPStatic_OnCommand) );; POST-BATCH-Q direct source review=StaticGumpCommandGuardFixed</t>
  </si>
  <si>
    <t>POST-BATCH-Q staff command metadata source review. Previous active row was PBN-0155/PBF-080. Public APIs, command names, access levels, namespaces, type names, file locations, project files, XML/config, serialization layout, and staff/player workflow semantics were preserved.</t>
  </si>
  <si>
    <t>RB-05683</t>
  </si>
  <si>
    <t>P10-F05683</t>
  </si>
  <si>
    <t>Data/Scripts/Custom/StaffTools/StaticGumpTool/Side Gumps/AddStairGump.cs</t>
  </si>
  <si>
    <t>PBQ-0023</t>
  </si>
  <si>
    <t>POST-BATCH-N lane=POST-BATCH-N-STAFF-COMMAND-METADATA; FileProofStatus=PathNeedsReview; Command=; Access=; L18; Registration=CommandSystem.Register(; CurrentRegistrationLine=18; CurrentCommand=AddStair; CurrentAccess=AccessLevel.GameMaster; CurrentHandler=AddStair_OnCommand; CurrentRegistration=CommandSystem.Register( "AddStair", AccessLevel.GameMaster, new CommandEventHandler(AddStair_OnCommand) );; POST-BATCH-Q direct source review=StaticGumpCommandGuardFixed</t>
  </si>
  <si>
    <t>POST-BATCH-Q staff command metadata source review. Previous active row was PBN-0156/PBF-081. Public APIs, command names, access levels, namespaces, type names, file locations, project files, XML/config, serialization layout, and staff/player workflow semantics were preserved.</t>
  </si>
  <si>
    <t>RB-05684</t>
  </si>
  <si>
    <t>P10-F05684</t>
  </si>
  <si>
    <t>Data/Scripts/Custom/StaffTools/StaticGumpTool/Side Gumps/AddWallGump.cs</t>
  </si>
  <si>
    <t>PBQ-0024</t>
  </si>
  <si>
    <t>POST-BATCH-N lane=POST-BATCH-N-STAFF-COMMAND-METADATA; FileProofStatus=PathNeedsReview; Command=; Access=; L18; Registration=CommandSystem.Register(; CurrentRegistrationLine=18; CurrentCommand=AddWall; CurrentAccess=AccessLevel.GameMaster; CurrentHandler=AddWall_OnCommand; CurrentRegistration=CommandSystem.Register( "AddWall", AccessLevel.GameMaster, new CommandEventHandler(AddWall_OnCommand) );; POST-BATCH-Q direct source review=StaticGumpCommandGuardFixed</t>
  </si>
  <si>
    <t>POST-BATCH-Q staff command metadata source review. Previous active row was PBN-0157/PBF-082. Public APIs, command names, access levels, namespaces, type names, file locations, project files, XML/config, serialization layout, and staff/player workflow semantics were preserved.</t>
  </si>
  <si>
    <t>RB-05685</t>
  </si>
  <si>
    <t>P10-F05685</t>
  </si>
  <si>
    <t>Data/Scripts/Custom/XMLSpawner/ItemFlags.cs</t>
  </si>
  <si>
    <t>PBQ-0025</t>
  </si>
  <si>
    <t>Added scoped XMLSpawner command handler guard(s) for null/deleted mobile and argument state before existing command work.</t>
  </si>
  <si>
    <t>POST-BATCH-N lane=POST-BATCH-N-STAFF-COMMAND-METADATA; FileProofStatus=CurrentPathConfirmed; Command=; Access=; L17; Registration=CommandSystem.Register(; CurrentRegistrationLine=17; CurrentCommand=Stealable; CurrentAccess=AccessLevel.GameMaster; CurrentHandler=SetStealable_OnCommand; CurrentRegistration=CommandSystem.Register( "Stealable", AccessLevel.GameMaster, new CommandEventHandler(SetStealable_OnCommand) );; POST-BATCH-Q direct source review=XMLSpawnerCommandGuardFixed</t>
  </si>
  <si>
    <t>POST-BATCH-Q staff command metadata source review. Previous active row was PBN-0158/PBF-083. Public APIs, command names, access levels, namespaces, type names, file locations, project files, XML/config, serialization layout, and staff/player workflow semantics were preserved.</t>
  </si>
  <si>
    <t>RB-05686</t>
  </si>
  <si>
    <t>P10-F05686</t>
  </si>
  <si>
    <t>PBQ-0026</t>
  </si>
  <si>
    <t>POST-BATCH-N lane=POST-BATCH-N-STAFF-COMMAND-METADATA; FileProofStatus=CurrentPathConfirmed; Command=; Access=; L22; Registration=CommandSystem.Register(; CurrentRegistrationLine=22; CurrentCommand=Flag; CurrentAccess=AccessLevel.GameMaster; CurrentHandler=GetFlag_OnCommand; CurrentRegistration=CommandSystem.Register( "Flag", AccessLevel.GameMaster, new CommandEventHandler(GetFlag_OnCommand) );; POST-BATCH-Q direct source review=XMLSpawnerCommandGuardFixed</t>
  </si>
  <si>
    <t>POST-BATCH-Q staff command metadata source review. Previous active row was PBN-0159/PBF-084. Public APIs, command names, access levels, namespaces, type names, file locations, project files, XML/config, serialization layout, and staff/player workflow semantics were preserved.</t>
  </si>
  <si>
    <t>RB-05687</t>
  </si>
  <si>
    <t>P10-F05687</t>
  </si>
  <si>
    <t>PBQ-0027</t>
  </si>
  <si>
    <t>Kept config-driven command rehash unchanged; it re-registers an existing CommandEntry name/access/handler and is a policy-sensitive command alias surface.</t>
  </si>
  <si>
    <t>POST-BATCH-N lane=POST-BATCH-N-STAFF-COMMAND-METADATA; FileProofStatus=CurrentPathConfirmed; Command=; Access=; L4293; Registration=CommandSystem.Register(newname, access, e.Handler);; CurrentRegistrationLine=4305; CurrentCommand=newname; CurrentAccess=access; CurrentHandler=e.Handler; CurrentRegistration=CommandSystem.Register(newname, access, e.Handler);; POST-BATCH-Q direct source review=ConfigDrivenCommandRehashReviewed</t>
  </si>
  <si>
    <t>POST-BATCH-Q staff command metadata source review. Previous active row was PBN-0160/PBF-085. Policy-sensitive config-driven command rehash was source-reviewed and left unchanged.</t>
  </si>
  <si>
    <t>RB-05688</t>
  </si>
  <si>
    <t>P10-F05688</t>
  </si>
  <si>
    <t>PBQ-0028</t>
  </si>
  <si>
    <t>No source change; handler does not dereference CommandEventArgs/Mobile state and performs global visibility or trace work.</t>
  </si>
  <si>
    <t>POST-BATCH-N lane=POST-BATCH-N-STAFF-COMMAND-METADATA; FileProofStatus=CurrentPathConfirmed; Command=; Access=; L4482; Registration=CommandSystem.Register(; CurrentRegistrationLine=4494; CurrentCommand=XmlSpawnerShowAll; CurrentAccess=AccessLevel.Administrator; CurrentHandler=ShowSpawnPoints_OnCommand; CurrentRegistration=CommandSystem.Register( "XmlSpawnerShowAll", AccessLevel.Administrator, new CommandEventHandler(ShowSpawnPoints_OnCommand) );; POST-BATCH-Q direct source review=NoCommandEventStateSafeNoChange</t>
  </si>
  <si>
    <t>POST-BATCH-Q staff command metadata source review. Previous active row was PBN-0161/PBF-086. Handler is safe without edits because it does not consume CommandEventArgs/Mobile state.</t>
  </si>
  <si>
    <t>RB-05689</t>
  </si>
  <si>
    <t>P10-F05689</t>
  </si>
  <si>
    <t>PBQ-0029</t>
  </si>
  <si>
    <t>POST-BATCH-N lane=POST-BATCH-N-STAFF-COMMAND-METADATA; FileProofStatus=CurrentPathConfirmed; Command=; Access=; L4487; Registration=CommandSystem.Register(; CurrentRegistrationLine=4499; CurrentCommand=XmlSpawnerHideAll; CurrentAccess=AccessLevel.Administrator; CurrentHandler=HideSpawnPoints_OnCommand; CurrentRegistration=CommandSystem.Register( "XmlSpawnerHideAll", AccessLevel.Administrator, new CommandEventHandler(HideSpawnPoints_OnCommand) );; POST-BATCH-Q direct source review=NoCommandEventStateSafeNoChange</t>
  </si>
  <si>
    <t>POST-BATCH-Q staff command metadata source review. Previous active row was PBN-0162/PBF-087. Handler is safe without edits because it does not consume CommandEventArgs/Mobile state.</t>
  </si>
  <si>
    <t>RB-05690</t>
  </si>
  <si>
    <t>P10-F05690</t>
  </si>
  <si>
    <t>PBQ-0030</t>
  </si>
  <si>
    <t>POST-BATCH-N lane=POST-BATCH-N-STAFF-COMMAND-METADATA; FileProofStatus=CurrentPathConfirmed; Command=; Access=; L4492; Registration=CommandSystem.Register(; CurrentRegistrationLine=4504; CurrentCommand=XmlSpawnerWipe; CurrentAccess=AccessLevel.Administrator; CurrentHandler=Wipe_OnCommand; CurrentRegistration=CommandSystem.Register( "XmlSpawnerWipe", AccessLevel.Administrator, new CommandEventHandler(Wipe_OnCommand) );; POST-BATCH-Q direct source review=XMLSpawnerCommandGuardFixed</t>
  </si>
  <si>
    <t>POST-BATCH-Q staff command metadata source review. Previous active row was PBN-0163/PBF-088. Public APIs, command names, access levels, namespaces, type names, file locations, project files, XML/config, serialization layout, and staff/player workflow semantics were preserved.</t>
  </si>
  <si>
    <t>RB-05691</t>
  </si>
  <si>
    <t>P10-F05691</t>
  </si>
  <si>
    <t>PBQ-0031</t>
  </si>
  <si>
    <t>POST-BATCH-N lane=POST-BATCH-N-STAFF-COMMAND-METADATA; FileProofStatus=CurrentPathConfirmed; Command=; Access=; L4497; Registration=CommandSystem.Register(; CurrentRegistrationLine=4509; CurrentCommand=XmlSpawnerWipeAll; CurrentAccess=AccessLevel.Administrator; CurrentHandler=WipeAll_OnCommand; CurrentRegistration=CommandSystem.Register( "XmlSpawnerWipeAll", AccessLevel.Administrator, new CommandEventHandler(WipeAll_OnCommand) );; POST-BATCH-Q direct source review=XMLSpawnerCommandGuardFixed</t>
  </si>
  <si>
    <t>POST-BATCH-Q staff command metadata source review. Previous active row was PBN-0164/PBF-089. Public APIs, command names, access levels, namespaces, type names, file locations, project files, XML/config, serialization layout, and staff/player workflow semantics were preserved.</t>
  </si>
  <si>
    <t>RB-05692</t>
  </si>
  <si>
    <t>P10-F05692</t>
  </si>
  <si>
    <t>PBQ-0032</t>
  </si>
  <si>
    <t>POST-BATCH-N lane=POST-BATCH-N-STAFF-COMMAND-METADATA; FileProofStatus=CurrentPathConfirmed; Command=; Access=; L4502; Registration=CommandSystem.Register(; CurrentRegistrationLine=4514; CurrentCommand=XmlSpawnerLoad; CurrentAccess=DiskAccessLevel; CurrentHandler=Load_OnCommand; CurrentRegistration=CommandSystem.Register( "XmlSpawnerLoad", DiskAccessLevel, new CommandEventHandler(Load_OnCommand) );; POST-BATCH-Q direct source review=XMLSpawnerCommandGuardFixed</t>
  </si>
  <si>
    <t>POST-BATCH-Q staff command metadata source review. Previous active row was PBN-0165/PBF-090. Public APIs, command names, access levels, namespaces, type names, file locations, project files, XML/config, serialization layout, and staff/player workflow semantics were preserved.</t>
  </si>
  <si>
    <t>RB-05693</t>
  </si>
  <si>
    <t>P10-F05693</t>
  </si>
  <si>
    <t>PBQ-0033</t>
  </si>
  <si>
    <t>POST-BATCH-N lane=POST-BATCH-N-STAFF-COMMAND-METADATA; FileProofStatus=CurrentPathConfirmed; Command=; Access=; L4507; Registration=CommandSystem.Register(; CurrentRegistrationLine=4519; CurrentCommand=XmlSpawnerSave; CurrentAccess=DiskAccessLevel; CurrentHandler=Save_OnCommand; CurrentRegistration=CommandSystem.Register( "XmlSpawnerSave", DiskAccessLevel, new CommandEventHandler(Save_OnCommand) );; POST-BATCH-Q direct source review=XMLSpawnerCommandGuardFixed</t>
  </si>
  <si>
    <t>POST-BATCH-Q staff command metadata source review. Previous active row was PBN-0166/PBF-091. Public APIs, command names, access levels, namespaces, type names, file locations, project files, XML/config, serialization layout, and staff/player workflow semantics were preserved.</t>
  </si>
  <si>
    <t>RB-05694</t>
  </si>
  <si>
    <t>P10-F05694</t>
  </si>
  <si>
    <t>PBQ-0034</t>
  </si>
  <si>
    <t>POST-BATCH-N lane=POST-BATCH-N-STAFF-COMMAND-METADATA; FileProofStatus=CurrentPathConfirmed; Command=; Access=; L4512; Registration=CommandSystem.Register(; CurrentRegistrationLine=4524; CurrentCommand=XmlSpawnerSaveAll; CurrentAccess=DiskAccessLevel; CurrentHandler=SaveAll_OnCommand; CurrentRegistration=CommandSystem.Register( "XmlSpawnerSaveAll", DiskAccessLevel, new CommandEventHandler(SaveAll_OnCommand) );; POST-BATCH-Q direct source review=XMLSpawnerCommandGuardFixed</t>
  </si>
  <si>
    <t>POST-BATCH-Q staff command metadata source review. Previous active row was PBN-0167/PBF-092. Public APIs, command names, access levels, namespaces, type names, file locations, project files, XML/config, serialization layout, and staff/player workflow semantics were preserved.</t>
  </si>
  <si>
    <t>RB-05695</t>
  </si>
  <si>
    <t>P10-F05695</t>
  </si>
  <si>
    <t>PBQ-0035</t>
  </si>
  <si>
    <t>POST-BATCH-N lane=POST-BATCH-N-STAFF-COMMAND-METADATA; FileProofStatus=CurrentPathConfirmed; Command=; Access=; L4518; Registration=CommandSystem.Register(; CurrentRegistrationLine=4530; CurrentCommand=XmlSpawnerRespawn; CurrentAccess=AccessLevel.GameMaster; CurrentHandler=Respawn_OnCommand; CurrentRegistration=CommandSystem.Register( "XmlSpawnerRespawn", AccessLevel.GameMaster, new CommandEventHandler(Respawn_OnCommand) );; POST-BATCH-Q direct source review=XMLSpawnerCommandGuardFixed</t>
  </si>
  <si>
    <t>POST-BATCH-Q staff command metadata source review. Previous active row was PBN-0168/PBF-093. Public APIs, command names, access levels, namespaces, type names, file locations, project files, XML/config, serialization layout, and staff/player workflow semantics were preserved.</t>
  </si>
  <si>
    <t>RB-05696</t>
  </si>
  <si>
    <t>P10-F05696</t>
  </si>
  <si>
    <t>PBQ-0036</t>
  </si>
  <si>
    <t>POST-BATCH-N lane=POST-BATCH-N-STAFF-COMMAND-METADATA; FileProofStatus=CurrentPathConfirmed; Command=; Access=; L4523; Registration=CommandSystem.Register(; CurrentRegistrationLine=4535; CurrentCommand=XmlSpawnerRespawnAll; CurrentAccess=AccessLevel.GameMaster; CurrentHandler=RespawnAll_OnCommand; CurrentRegistration=CommandSystem.Register( "XmlSpawnerRespawnAll", AccessLevel.GameMaster, new CommandEventHandler(RespawnAll_OnCommand) );; POST-BATCH-Q direct source review=XMLSpawnerCommandGuardFixed</t>
  </si>
  <si>
    <t>POST-BATCH-Q staff command metadata source review. Previous active row was PBN-0169/PBF-094. Public APIs, command names, access levels, namespaces, type names, file locations, project files, XML/config, serialization layout, and staff/player workflow semantics were preserved.</t>
  </si>
  <si>
    <t>RB-05697</t>
  </si>
  <si>
    <t>P10-F05697</t>
  </si>
  <si>
    <t>PBQ-0037</t>
  </si>
  <si>
    <t>POST-BATCH-N lane=POST-BATCH-N-STAFF-COMMAND-METADATA; FileProofStatus=CurrentPathConfirmed; Command=; Access=; L4530; Registration=CommandSystem.Register(; CurrentRegistrationLine=4542; CurrentCommand=XmlShow; CurrentAccess=AccessLevel.Administrator; CurrentHandler=ShowSpawnPoints_OnCommand; CurrentRegistration=CommandSystem.Register( "XmlShow", AccessLevel.Administrator, new CommandEventHandler(ShowSpawnPoints_OnCommand) );; POST-BATCH-Q direct source review=NoCommandEventStateSafeNoChange</t>
  </si>
  <si>
    <t>POST-BATCH-Q staff command metadata source review. Previous active row was PBN-0170/PBF-095. Handler is safe without edits because it does not consume CommandEventArgs/Mobile state.</t>
  </si>
  <si>
    <t>RB-05698</t>
  </si>
  <si>
    <t>P10-F05698</t>
  </si>
  <si>
    <t>PBQ-0038</t>
  </si>
  <si>
    <t>POST-BATCH-N lane=POST-BATCH-N-STAFF-COMMAND-METADATA; FileProofStatus=CurrentPathConfirmed; Command=; Access=; L4535; Registration=CommandSystem.Register(; CurrentRegistrationLine=4547; CurrentCommand=XmlHide; CurrentAccess=AccessLevel.Administrator; CurrentHandler=HideSpawnPoints_OnCommand; CurrentRegistration=CommandSystem.Register( "XmlHide", AccessLevel.Administrator, new CommandEventHandler(HideSpawnPoints_OnCommand) );; POST-BATCH-Q direct source review=NoCommandEventStateSafeNoChange</t>
  </si>
  <si>
    <t>POST-BATCH-Q staff command metadata source review. Previous active row was PBN-0171/PBF-096. Handler is safe without edits because it does not consume CommandEventArgs/Mobile state.</t>
  </si>
  <si>
    <t>RB-05699</t>
  </si>
  <si>
    <t>P10-F05699</t>
  </si>
  <si>
    <t>PBQ-0039</t>
  </si>
  <si>
    <t>POST-BATCH-N lane=POST-BATCH-N-STAFF-COMMAND-METADATA; FileProofStatus=CurrentPathConfirmed; Command=; Access=; L4541; Registration=CommandSystem.Register(; CurrentRegistrationLine=4553; CurrentCommand=XmlHome; CurrentAccess=AccessLevel.GameMaster; CurrentHandler=XmlHome_OnCommand; CurrentRegistration=CommandSystem.Register( "XmlHome", AccessLevel.GameMaster, new CommandEventHandler(XmlHome_OnCommand) );; POST-BATCH-Q direct source review=XMLSpawnerCommandGuardFixed</t>
  </si>
  <si>
    <t>POST-BATCH-Q staff command metadata source review. Previous active row was PBN-0172/PBF-097. Public APIs, command names, access levels, namespaces, type names, file locations, project files, XML/config, serialization layout, and staff/player workflow semantics were preserved.</t>
  </si>
  <si>
    <t>RB-05700</t>
  </si>
  <si>
    <t>P10-F05700</t>
  </si>
  <si>
    <t>PBQ-0040</t>
  </si>
  <si>
    <t>POST-BATCH-N lane=POST-BATCH-N-STAFF-COMMAND-METADATA; FileProofStatus=CurrentPathConfirmed; Command=; Access=; L4546; Registration=CommandSystem.Register(; CurrentRegistrationLine=4558; CurrentCommand=XmlUnLoad; CurrentAccess=DiskAccessLevel; CurrentHandler=UnLoad_OnCommand; CurrentRegistration=CommandSystem.Register( "XmlUnLoad", DiskAccessLevel, new CommandEventHandler(UnLoad_OnCommand) );; POST-BATCH-Q direct source review=XMLSpawnerCommandGuardFixed</t>
  </si>
  <si>
    <t>POST-BATCH-Q staff command metadata source review. Previous active row was PBN-0173/PBF-098. Public APIs, command names, access levels, namespaces, type names, file locations, project files, XML/config, serialization layout, and staff/player workflow semantics were preserved.</t>
  </si>
  <si>
    <t>RB-05701</t>
  </si>
  <si>
    <t>P10-F05701</t>
  </si>
  <si>
    <t>PBQ-0041</t>
  </si>
  <si>
    <t>POST-BATCH-N lane=POST-BATCH-N-STAFF-COMMAND-METADATA; FileProofStatus=CurrentPathConfirmed; Command=; Access=; L4551; Registration=CommandSystem.Register(; CurrentRegistrationLine=4563; CurrentCommand=XmlSpawnerUnLoad; CurrentAccess=DiskAccessLevel; CurrentHandler=UnLoad_OnCommand; CurrentRegistration=CommandSystem.Register( "XmlSpawnerUnLoad", DiskAccessLevel, new CommandEventHandler(UnLoad_OnCommand) );; POST-BATCH-Q direct source review=XMLSpawnerCommandGuardFixed</t>
  </si>
  <si>
    <t>POST-BATCH-Q staff command metadata source review. Previous active row was PBN-0174/PBF-099. Public APIs, command names, access levels, namespaces, type names, file locations, project files, XML/config, serialization layout, and staff/player workflow semantics were preserved.</t>
  </si>
  <si>
    <t>RB-05702</t>
  </si>
  <si>
    <t>P10-F05702</t>
  </si>
  <si>
    <t>PBQ-0042</t>
  </si>
  <si>
    <t>POST-BATCH-N lane=POST-BATCH-N-STAFF-COMMAND-METADATA; FileProofStatus=CurrentPathConfirmed; Command=; Access=; L4556; Registration=CommandSystem.Register(; CurrentRegistrationLine=4568; CurrentCommand=XmlLoad; CurrentAccess=DiskAccessLevel; CurrentHandler=Load_OnCommand; CurrentRegistration=CommandSystem.Register( "XmlLoad", DiskAccessLevel, new CommandEventHandler(Load_OnCommand) );; POST-BATCH-Q direct source review=XMLSpawnerCommandGuardFixed</t>
  </si>
  <si>
    <t>POST-BATCH-Q staff command metadata source review. Previous active row was PBN-0175/PBF-100. Public APIs, command names, access levels, namespaces, type names, file locations, project files, XML/config, serialization layout, and staff/player workflow semantics were preserved.</t>
  </si>
  <si>
    <t>RB-05703</t>
  </si>
  <si>
    <t>P10-F05703</t>
  </si>
  <si>
    <t>PBQ-0043</t>
  </si>
  <si>
    <t>POST-BATCH-N lane=POST-BATCH-N-STAFF-COMMAND-METADATA; FileProofStatus=CurrentPathConfirmed; Command=; Access=; L4561; Registration=CommandSystem.Register(; CurrentRegistrationLine=4573; CurrentCommand=XmlLoadHere; CurrentAccess=DiskAccessLevel; CurrentHandler=LoadHere_OnCommand; CurrentRegistration=CommandSystem.Register( "XmlLoadHere", DiskAccessLevel, new CommandEventHandler(LoadHere_OnCommand) );; POST-BATCH-Q direct source review=XMLSpawnerCommandGuardFixed</t>
  </si>
  <si>
    <t>POST-BATCH-Q staff command metadata source review. Previous active row was PBN-0176/PBF-101. Public APIs, command names, access levels, namespaces, type names, file locations, project files, XML/config, serialization layout, and staff/player workflow semantics were preserved.</t>
  </si>
  <si>
    <t>RB-05704</t>
  </si>
  <si>
    <t>P10-F05704</t>
  </si>
  <si>
    <t>PBQ-0044</t>
  </si>
  <si>
    <t>POST-BATCH-N lane=POST-BATCH-N-STAFF-COMMAND-METADATA; FileProofStatus=CurrentPathConfirmed; Command=; Access=; L4566; Registration=CommandSystem.Register(; CurrentRegistrationLine=4578; CurrentCommand=XmlNewLoad; CurrentAccess=DiskAccessLevel; CurrentHandler=NewLoad_OnCommand; CurrentRegistration=CommandSystem.Register( "XmlNewLoad", DiskAccessLevel, new CommandEventHandler(NewLoad_OnCommand) );; POST-BATCH-Q direct source review=XMLSpawnerCommandGuardFixed</t>
  </si>
  <si>
    <t>POST-BATCH-Q staff command metadata source review. Previous active row was PBN-0177/PBF-102. Public APIs, command names, access levels, namespaces, type names, file locations, project files, XML/config, serialization layout, and staff/player workflow semantics were preserved.</t>
  </si>
  <si>
    <t>RB-05705</t>
  </si>
  <si>
    <t>P10-F05705</t>
  </si>
  <si>
    <t>PBQ-0045</t>
  </si>
  <si>
    <t>POST-BATCH-N lane=POST-BATCH-N-STAFF-COMMAND-METADATA; FileProofStatus=CurrentPathConfirmed; Command=; Access=; L4571; Registration=CommandSystem.Register(; CurrentRegistrationLine=4583; CurrentCommand=XmlNewLoadHere; CurrentAccess=DiskAccessLevel; CurrentHandler=NewLoadHere_OnCommand; CurrentRegistration=CommandSystem.Register( "XmlNewLoadHere", DiskAccessLevel, new CommandEventHandler(NewLoadHere_OnCommand) );; POST-BATCH-Q direct source review=XMLSpawnerCommandGuardFixed</t>
  </si>
  <si>
    <t>POST-BATCH-Q staff command metadata source review. Previous active row was PBN-0178/PBF-103. Public APIs, command names, access levels, namespaces, type names, file locations, project files, XML/config, serialization layout, and staff/player workflow semantics were preserved.</t>
  </si>
  <si>
    <t>RB-05706</t>
  </si>
  <si>
    <t>P10-F05706</t>
  </si>
  <si>
    <t>PBQ-0046</t>
  </si>
  <si>
    <t>POST-BATCH-N lane=POST-BATCH-N-STAFF-COMMAND-METADATA; FileProofStatus=CurrentPathConfirmed; Command=; Access=; L4576; Registration=CommandSystem.Register(; CurrentRegistrationLine=4588; CurrentCommand=XmlSave; CurrentAccess=DiskAccessLevel; CurrentHandler=Save_OnCommand; CurrentRegistration=CommandSystem.Register( "XmlSave", DiskAccessLevel, new CommandEventHandler(Save_OnCommand) );; POST-BATCH-Q direct source review=XMLSpawnerCommandGuardFixed</t>
  </si>
  <si>
    <t>POST-BATCH-Q staff command metadata source review. Previous active row was PBN-0179/PBF-104. Public APIs, command names, access levels, namespaces, type names, file locations, project files, XML/config, serialization layout, and staff/player workflow semantics were preserved.</t>
  </si>
  <si>
    <t>RB-05707</t>
  </si>
  <si>
    <t>P10-F05707</t>
  </si>
  <si>
    <t>PBQ-0047</t>
  </si>
  <si>
    <t>POST-BATCH-N lane=POST-BATCH-N-STAFF-COMMAND-METADATA; FileProofStatus=CurrentPathConfirmed; Command=; Access=; L4581; Registration=CommandSystem.Register(; CurrentRegistrationLine=4593; CurrentCommand=XmlSaveAll; CurrentAccess=DiskAccessLevel; CurrentHandler=SaveAll_OnCommand; CurrentRegistration=CommandSystem.Register( "XmlSaveAll", DiskAccessLevel, new CommandEventHandler(SaveAll_OnCommand) );; POST-BATCH-Q direct source review=XMLSpawnerCommandGuardFixed</t>
  </si>
  <si>
    <t>POST-BATCH-Q staff command metadata source review. Previous active row was PBN-0180/PBF-105. Public APIs, command names, access levels, namespaces, type names, file locations, project files, XML/config, serialization layout, and staff/player workflow semantics were preserved.</t>
  </si>
  <si>
    <t>RB-05708</t>
  </si>
  <si>
    <t>P10-F05708</t>
  </si>
  <si>
    <t>PBQ-0048</t>
  </si>
  <si>
    <t>POST-BATCH-N lane=POST-BATCH-N-STAFF-COMMAND-METADATA; FileProofStatus=CurrentPathConfirmed; Command=; Access=; L4586; Registration=CommandSystem.Register(; CurrentRegistrationLine=4598; CurrentCommand=XmlSaveOld; CurrentAccess=DiskAccessLevel; CurrentHandler=SaveOld_OnCommand; CurrentRegistration=CommandSystem.Register( "XmlSaveOld", DiskAccessLevel, new CommandEventHandler(SaveOld_OnCommand) );; POST-BATCH-Q direct source review=XMLSpawnerCommandGuardFixed</t>
  </si>
  <si>
    <t>POST-BATCH-Q staff command metadata source review. Previous active row was PBN-0181/PBF-106. Public APIs, command names, access levels, namespaces, type names, file locations, project files, XML/config, serialization layout, and staff/player workflow semantics were preserved.</t>
  </si>
  <si>
    <t>RB-05709</t>
  </si>
  <si>
    <t>P10-F05709</t>
  </si>
  <si>
    <t>PBQ-0049</t>
  </si>
  <si>
    <t>POST-BATCH-N lane=POST-BATCH-N-STAFF-COMMAND-METADATA; FileProofStatus=CurrentPathConfirmed; Command=; Access=; L4591; Registration=CommandSystem.Register(; CurrentRegistrationLine=4603; CurrentCommand=XmlImportSpawners; CurrentAccess=DiskAccessLevel; CurrentHandler=XmlImportSpawners_OnCommand; CurrentRegistration=CommandSystem.Register( "XmlImportSpawners", DiskAccessLevel, new CommandEventHandler(XmlImportSpawners_OnCommand) );; POST-BATCH-Q direct source review=XMLSpawnerCommandGuardFixed</t>
  </si>
  <si>
    <t>POST-BATCH-Q staff command metadata source review. Previous active row was PBN-0182/PBF-107. Public APIs, command names, access levels, namespaces, type names, file locations, project files, XML/config, serialization layout, and staff/player workflow semantics were preserved.</t>
  </si>
  <si>
    <t>RB-05710</t>
  </si>
  <si>
    <t>P10-F05710</t>
  </si>
  <si>
    <t>PBQ-0050</t>
  </si>
  <si>
    <t>POST-BATCH-N lane=POST-BATCH-N-STAFF-COMMAND-METADATA; FileProofStatus=CurrentPathConfirmed; Command=; Access=; L4596; Registration=CommandSystem.Register(; CurrentRegistrationLine=4608; CurrentCommand=XmlImportMSF; CurrentAccess=DiskAccessLevel; CurrentHandler=XmlImportMSF_OnCommand; CurrentRegistration=CommandSystem.Register( "XmlImportMSF", DiskAccessLevel, new CommandEventHandler(XmlImportMSF_OnCommand) );; POST-BATCH-Q direct source review=XMLSpawnerCommandGuardFixed</t>
  </si>
  <si>
    <t>POST-BATCH-Q staff command metadata source review. Previous active row was PBN-0183/PBF-108. Public APIs, command names, access levels, namespaces, type names, file locations, project files, XML/config, serialization layout, and staff/player workflow semantics were preserved.</t>
  </si>
  <si>
    <t>RB-05711</t>
  </si>
  <si>
    <t>P10-F05711</t>
  </si>
  <si>
    <t>PBQ-0051</t>
  </si>
  <si>
    <t>POST-BATCH-N lane=POST-BATCH-N-STAFF-COMMAND-METADATA; FileProofStatus=CurrentPathConfirmed; Command=; Access=; L4601; Registration=CommandSystem.Register(; CurrentRegistrationLine=4613; CurrentCommand=XmlImportMap; CurrentAccess=DiskAccessLevel; CurrentHandler=XmlImportMap_OnCommand; CurrentRegistration=CommandSystem.Register( "XmlImportMap", DiskAccessLevel, new CommandEventHandler(XmlImportMap_OnCommand) );; POST-BATCH-Q direct source review=XMLSpawnerCommandGuardFixed</t>
  </si>
  <si>
    <t>POST-BATCH-Q staff command metadata source review. Previous active row was PBN-0184/PBF-109. Public APIs, command names, access levels, namespaces, type names, file locations, project files, XML/config, serialization layout, and staff/player workflow semantics were preserved.</t>
  </si>
  <si>
    <t>RB-05712</t>
  </si>
  <si>
    <t>P10-F05712</t>
  </si>
  <si>
    <t>PBQ-0052</t>
  </si>
  <si>
    <t>POST-BATCH-N lane=POST-BATCH-N-STAFF-COMMAND-METADATA; FileProofStatus=CurrentPathConfirmed; Command=; Access=; L4606; Registration=CommandSystem.Register(; CurrentRegistrationLine=4618; CurrentCommand=XmlDefaults; CurrentAccess=AccessLevel.Administrator; CurrentHandler=XmlDefaults_OnCommand; CurrentRegistration=CommandSystem.Register( "XmlDefaults", AccessLevel.Administrator, new CommandEventHandler(XmlDefaults_OnCommand) );; POST-BATCH-Q direct source review=XMLSpawnerCommandGuardFixed</t>
  </si>
  <si>
    <t>POST-BATCH-Q staff command metadata source review. Previous active row was PBN-0185/PBF-110. Public APIs, command names, access levels, namespaces, type names, file locations, project files, XML/config, serialization layout, and staff/player workflow semantics were preserved.</t>
  </si>
  <si>
    <t>RB-05713</t>
  </si>
  <si>
    <t>P10-F05713</t>
  </si>
  <si>
    <t>PBQ-0053</t>
  </si>
  <si>
    <t>POST-BATCH-N lane=POST-BATCH-N-STAFF-COMMAND-METADATA; FileProofStatus=CurrentPathConfirmed; Command=; Access=; L4611; Registration=CommandSystem.Register(; CurrentRegistrationLine=4623; CurrentCommand=XmlGet; CurrentAccess=AccessLevel.GameMaster; CurrentHandler=XmlGetValue_OnCommand; CurrentRegistration=CommandSystem.Register( "XmlGet", AccessLevel.GameMaster, new CommandEventHandler(XmlGetValue_OnCommand) );; POST-BATCH-Q direct source review=XMLSpawnerCommandGuardFixed</t>
  </si>
  <si>
    <t>POST-BATCH-Q staff command metadata source review. Previous active row was PBN-0186/PBF-111. Public APIs, command names, access levels, namespaces, type names, file locations, project files, XML/config, serialization layout, and staff/player workflow semantics were preserved.</t>
  </si>
  <si>
    <t>RB-05714</t>
  </si>
  <si>
    <t>P10-F05714</t>
  </si>
  <si>
    <t>PBQ-0054</t>
  </si>
  <si>
    <t>POST-BATCH-N lane=POST-BATCH-N-STAFF-COMMAND-METADATA; FileProofStatus=CurrentPathConfirmed; Command=; Access=; L4618; Registration=CommandSystem.Register(; CurrentRegistrationLine=4630; CurrentCommand=OptimalSmartSpawning; CurrentAccess=AccessLevel.Administrator; CurrentHandler=OptimalSmartSpawning_OnCommand; CurrentRegistration=CommandSystem.Register( "OptimalSmartSpawning", AccessLevel.Administrator, new CommandEventHandler(OptimalSmartSpawning_OnCommand) );; POST-BATCH-Q direct source review=XMLSpawnerCommandGuardFixed</t>
  </si>
  <si>
    <t>POST-BATCH-Q staff command metadata source review. Previous active row was PBN-0187/PBF-112. Public APIs, command names, access levels, namespaces, type names, file locations, project files, XML/config, serialization layout, and staff/player workflow semantics were preserved.</t>
  </si>
  <si>
    <t>RB-05715</t>
  </si>
  <si>
    <t>P10-F05715</t>
  </si>
  <si>
    <t>PBQ-0055</t>
  </si>
  <si>
    <t>POST-BATCH-N lane=POST-BATCH-N-STAFF-COMMAND-METADATA; FileProofStatus=CurrentPathConfirmed; Command=; Access=; L4623; Registration=CommandSystem.Register(; CurrentRegistrationLine=4635; CurrentCommand=SmartStat; CurrentAccess=AccessLevel.GameMaster; CurrentHandler=SmartStat_OnCommand; CurrentRegistration=CommandSystem.Register( "SmartStat", AccessLevel.GameMaster, new CommandEventHandler(SmartStat_OnCommand) );; POST-BATCH-Q direct source review=XMLSpawnerCommandGuardFixed</t>
  </si>
  <si>
    <t>POST-BATCH-Q staff command metadata source review. Previous active row was PBN-0188/PBF-113. Public APIs, command names, access levels, namespaces, type names, file locations, project files, XML/config, serialization layout, and staff/player workflow semantics were preserved.</t>
  </si>
  <si>
    <t>RB-05716</t>
  </si>
  <si>
    <t>P10-F05716</t>
  </si>
  <si>
    <t>PBQ-0056</t>
  </si>
  <si>
    <t>POST-BATCH-N lane=POST-BATCH-N-STAFF-COMMAND-METADATA; FileProofStatus=CurrentPathConfirmed; Command=; Access=; L4628; Registration=CommandSystem.Register(; CurrentRegistrationLine=4640; CurrentCommand=XmlGo; CurrentAccess=AccessLevel.GameMaster; CurrentHandler=SpawnEditorGo_OnCommand; CurrentRegistration=CommandSystem.Register( "XmlGo", AccessLevel.GameMaster, new CommandEventHandler(SpawnEditorGo_OnCommand) );; POST-BATCH-Q direct source review=XMLSpawnerCommandGuardFixed</t>
  </si>
  <si>
    <t>POST-BATCH-Q staff command metadata source review. Previous active row was PBN-0189/PBF-114. Public APIs, command names, access levels, namespaces, type names, file locations, project files, XML/config, serialization layout, and staff/player workflow semantics were preserved.</t>
  </si>
  <si>
    <t>RB-05717</t>
  </si>
  <si>
    <t>P10-F05717</t>
  </si>
  <si>
    <t>PBQ-0057</t>
  </si>
  <si>
    <t>POST-BATCH-N lane=POST-BATCH-N-STAFF-COMMAND-METADATA; FileProofStatus=CurrentPathConfirmed; Command=; Access=; L4636; Registration=CommandSystem.Register(; CurrentRegistrationLine=4648; CurrentCommand=XmlMake; CurrentAccess=AccessLevel.Administrator; CurrentHandler=XmlMake_OnCommand; CurrentRegistration=CommandSystem.Register( "XmlMake", AccessLevel.Administrator, new CommandEventHandler(XmlMake_OnCommand) );; POST-BATCH-Q direct source review=XMLSpawnerCommandGuardFixed</t>
  </si>
  <si>
    <t>POST-BATCH-Q staff command metadata source review. Previous active row was PBN-0190/PBF-115. Public APIs, command names, access levels, namespaces, type names, file locations, project files, XML/config, serialization layout, and staff/player workflow semantics were preserved.</t>
  </si>
  <si>
    <t>RB-05718</t>
  </si>
  <si>
    <t>P10-F05718</t>
  </si>
  <si>
    <t>PBQ-0058</t>
  </si>
  <si>
    <t>POST-BATCH-N lane=POST-BATCH-N-STAFF-COMMAND-METADATA; FileProofStatus=CurrentPathConfirmed; Command=; Access=; L4641; Registration=CommandSystem.Register(; CurrentRegistrationLine=4653; CurrentCommand=XmlTrace; CurrentAccess=AccessLevel.Administrator; CurrentHandler=XmlTrace_OnCommand; CurrentRegistration=CommandSystem.Register( "XmlTrace", AccessLevel.Administrator, new CommandEventHandler(XmlTrace_OnCommand) );; POST-BATCH-Q direct source review=NoCommandEventStateSafeNoChange</t>
  </si>
  <si>
    <t>POST-BATCH-Q staff command metadata source review. Previous active row was PBN-0191/PBF-116. Handler is safe without edits because it does not consume CommandEventArgs/Mobile state.</t>
  </si>
  <si>
    <t>RB-05719</t>
  </si>
  <si>
    <t>P10-F05719</t>
  </si>
  <si>
    <t>PBQ-0059</t>
  </si>
  <si>
    <t>POST-BATCH-N lane=POST-BATCH-N-STAFF-COMMAND-METADATA; FileProofStatus=CurrentPathConfirmed; Command=; Access=; L4646; Registration=CommandSystem.Register(; CurrentRegistrationLine=4658; CurrentCommand=XmlResetTrace; CurrentAccess=AccessLevel.Administrator; CurrentHandler=XmlResetTrace_OnCommand; CurrentRegistration=CommandSystem.Register( "XmlResetTrace", AccessLevel.Administrator, new CommandEventHandler(XmlResetTrace_OnCommand) );; POST-BATCH-Q direct source review=XMLSpawnerCommandGuardFixed</t>
  </si>
  <si>
    <t>POST-BATCH-Q staff command metadata source review. Previous active row was PBN-0192/PBF-117. Public APIs, command names, access levels, namespaces, type names, file locations, project files, XML/config, serialization layout, and staff/player workflow semantics were preserved.</t>
  </si>
  <si>
    <t>RB-05720</t>
  </si>
  <si>
    <t>P10-F05720</t>
  </si>
  <si>
    <t>PBQ-0060</t>
  </si>
  <si>
    <t>POST-BATCH-N lane=POST-BATCH-N-STAFF-COMMAND-METADATA; FileProofStatus=CurrentPathConfirmed; Command=; Access=; L194; Registration=CommandSystem.Register(; CurrentRegistrationLine=194; CurrentCommand=GetAtt; CurrentAccess=AccessLevel.GameMaster; CurrentHandler=GetAttachments_OnCommand; CurrentRegistration=CommandSystem.Register( "GetAtt", AccessLevel.GameMaster, new CommandEventHandler(GetAttachments_OnCommand) );; POST-BATCH-Q direct source review=XMLSpawnerCommandGuardFixed</t>
  </si>
  <si>
    <t>POST-BATCH-Q staff command metadata source review. Previous active row was PBN-0193/PBF-118. Public APIs, command names, access levels, namespaces, type names, file locations, project files, XML/config, serialization layout, and staff/player workflow semantics were preserved.</t>
  </si>
  <si>
    <t>RB-05721</t>
  </si>
  <si>
    <t>P10-F05721</t>
  </si>
  <si>
    <t>PBQ-0061</t>
  </si>
  <si>
    <t>POST-BATCH-N lane=POST-BATCH-N-STAFF-COMMAND-METADATA; FileProofStatus=CurrentPathConfirmed; Command=; Access=; L204; Registration=CommandSystem.Register(; CurrentRegistrationLine=204; CurrentCommand=AvailAtt; CurrentAccess=AccessLevel.GameMaster; CurrentHandler=ListAvailableAttachments_OnCommand; CurrentRegistration=CommandSystem.Register( "AvailAtt", AccessLevel.GameMaster, new CommandEventHandler(ListAvailableAttachments_OnCommand) );; POST-BATCH-Q direct source review=XMLSpawnerCommandGuardFixed</t>
  </si>
  <si>
    <t>POST-BATCH-Q staff command metadata source review. Previous active row was PBN-0194/PBF-119. Public APIs, command names, access levels, namespaces, type names, file locations, project files, XML/config, serialization layout, and staff/player workflow semantics were preserved.</t>
  </si>
  <si>
    <t>RB-05722</t>
  </si>
  <si>
    <t>P10-F05722</t>
  </si>
  <si>
    <t>Data/Scripts/Custom/XMLSpawner/XmlAttach/Gumps/XmlGetAttachGump.cs</t>
  </si>
  <si>
    <t>PBQ-0062</t>
  </si>
  <si>
    <t>POST-BATCH-N lane=POST-BATCH-N-STAFF-COMMAND-METADATA; FileProofStatus=CurrentPathConfirmed; Command=; Access=; L65; Registration=CommandSystem.Register(; CurrentRegistrationLine=65; CurrentCommand=XmlGetAtt; CurrentAccess=AccessLevel.GameMaster; CurrentHandler=XmlGetAtt_OnCommand; CurrentRegistration=CommandSystem.Register( "XmlGetAtt", AccessLevel.GameMaster, new CommandEventHandler(XmlGetAtt_OnCommand) );; POST-BATCH-Q direct source review=XMLSpawnerCommandGuardFixed</t>
  </si>
  <si>
    <t>POST-BATCH-Q staff command metadata source review. Previous active row was PBN-0195/PBF-120. Public APIs, command names, access levels, namespaces, type names, file locations, project files, XML/config, serialization layout, and staff/player workflow semantics were preserved.</t>
  </si>
  <si>
    <t>RB-05723</t>
  </si>
  <si>
    <t>P10-F05723</t>
  </si>
  <si>
    <t>PBQ-0063</t>
  </si>
  <si>
    <t>POST-BATCH-N lane=POST-BATCH-N-STAFF-COMMAND-METADATA; FileProofStatus=CurrentPathConfirmed; Command=; Access=; L2040; Registration=CommandSystem.Register(; CurrentRegistrationLine=2046; CurrentCommand=SaveNPC; CurrentAccess=AccessLevel.Administrator; CurrentHandler=SaveNPC_OnCommand; CurrentRegistration=CommandSystem.Register( "SaveNPC", AccessLevel.Administrator, new CommandEventHandler(SaveNPC_OnCommand) );; POST-BATCH-Q direct source review=XMLSpawnerCommandGuardFixed</t>
  </si>
  <si>
    <t>POST-BATCH-Q staff command metadata source review. Previous active row was PBN-0196/PBF-121. Public APIs, command names, access levels, namespaces, type names, file locations, project files, XML/config, serialization layout, and staff/player workflow semantics were preserved.</t>
  </si>
  <si>
    <t>RB-05724</t>
  </si>
  <si>
    <t>P10-F05724</t>
  </si>
  <si>
    <t>PBQ-0064</t>
  </si>
  <si>
    <t>POST-BATCH-N lane=POST-BATCH-N-STAFF-COMMAND-METADATA; FileProofStatus=CurrentPathConfirmed; Command=; Access=; L2045; Registration=CommandSystem.Register(; CurrentRegistrationLine=2051; CurrentCommand=LoadNPC; CurrentAccess=AccessLevel.Administrator; CurrentHandler=LoadNPC_OnCommand; CurrentRegistration=CommandSystem.Register( "LoadNPC", AccessLevel.Administrator, new CommandEventHandler(LoadNPC_OnCommand) );; POST-BATCH-Q direct source review=XMLSpawnerCommandGuardFixed</t>
  </si>
  <si>
    <t>POST-BATCH-Q staff command metadata source review. Previous active row was PBN-0197/PBF-122. Public APIs, command names, access levels, namespaces, type names, file locations, project files, XML/config, serialization layout, and staff/player workflow semantics were preserved.</t>
  </si>
  <si>
    <t>RB-05725</t>
  </si>
  <si>
    <t>P10-F05725</t>
  </si>
  <si>
    <t>PBQ-0065</t>
  </si>
  <si>
    <t>Added shared XmlPoints command mobile guard and preserved existing command metadata and gameplay flow.</t>
  </si>
  <si>
    <t>POST-BATCH-N lane=POST-BATCH-N-STAFF-COMMAND-METADATA; FileProofStatus=CurrentPathConfirmed; Command=; Access=; L772; Registration=CommandSystem.Register(; CurrentRegistrationLine=784; CurrentCommand=PointsLanguage; CurrentAccess=AccessLevel.Player; CurrentHandler=Language_OnCommand; CurrentRegistration=CommandSystem.Register( "PointsLanguage", AccessLevel.Player, new CommandEventHandler(Language_OnCommand) );; POST-BATCH-Q direct source review=XmlPointsCommandGuardFixed</t>
  </si>
  <si>
    <t>POST-BATCH-Q staff command metadata source review. Previous active row was PBN-0198/PBF-123. Public APIs, command names, access levels, namespaces, type names, file locations, project files, XML/config, serialization layout, and staff/player workflow semantics were preserved.</t>
  </si>
  <si>
    <t>RB-05726</t>
  </si>
  <si>
    <t>P10-F05726</t>
  </si>
  <si>
    <t>PBQ-0066</t>
  </si>
  <si>
    <t>POST-BATCH-N lane=POST-BATCH-N-STAFF-COMMAND-METADATA; FileProofStatus=CurrentPathConfirmed; Command=; Access=; L777; Registration=CommandSystem.Register(; CurrentRegistrationLine=789; CurrentCommand=Challenge; CurrentAccess=AccessLevel.Player; CurrentHandler=Challenge_OnCommand; CurrentRegistration=CommandSystem.Register( "Challenge", AccessLevel.Player, new CommandEventHandler(Challenge_OnCommand) );; POST-BATCH-Q direct source review=XmlPointsCommandGuardFixed</t>
  </si>
  <si>
    <t>POST-BATCH-Q staff command metadata source review. Previous active row was PBN-0199/PBF-124. Public APIs, command names, access levels, namespaces, type names, file locations, project files, XML/config, serialization layout, and staff/player workflow semantics were preserved.</t>
  </si>
  <si>
    <t>RB-05727</t>
  </si>
  <si>
    <t>P10-F05727</t>
  </si>
  <si>
    <t>PBQ-0067</t>
  </si>
  <si>
    <t>POST-BATCH-N lane=POST-BATCH-N-STAFF-COMMAND-METADATA; FileProofStatus=CurrentPathConfirmed; Command=; Access=; L782; Registration=CommandSystem.Register(; CurrentRegistrationLine=794; CurrentCommand=LMSChallenge; CurrentAccess=AccessLevel.Player; CurrentHandler=LMSChallenge_OnCommand; CurrentRegistration=CommandSystem.Register( "LMSChallenge", AccessLevel.Player, new CommandEventHandler(LMSChallenge_OnCommand) );; POST-BATCH-Q direct source review=XmlPointsCommandGuardFixed</t>
  </si>
  <si>
    <t>POST-BATCH-Q staff command metadata source review. Previous active row was PBN-0200/PBF-125. Public APIs, command names, access levels, namespaces, type names, file locations, project files, XML/config, serialization layout, and staff/player workflow semantics were preserved.</t>
  </si>
  <si>
    <t>RB-05728</t>
  </si>
  <si>
    <t>P10-F05728</t>
  </si>
  <si>
    <t>PBQ-0068</t>
  </si>
  <si>
    <t>POST-BATCH-N lane=POST-BATCH-N-STAFF-COMMAND-METADATA; FileProofStatus=CurrentPathConfirmed; Command=; Access=; L787; Registration=CommandSystem.Register(; CurrentRegistrationLine=799; CurrentCommand=TeamLMSChallenge; CurrentAccess=AccessLevel.Player; CurrentHandler=TeamLMSChallenge_OnCommand; CurrentRegistration=CommandSystem.Register( "TeamLMSChallenge", AccessLevel.Player, new CommandEventHandler(TeamLMSChallenge_OnCommand) );; POST-BATCH-Q direct source review=XmlPointsCommandGuardFixed</t>
  </si>
  <si>
    <t>POST-BATCH-Q staff command metadata source review. Previous active row was PBN-0201/PBF-126. Public APIs, command names, access levels, namespaces, type names, file locations, project files, XML/config, serialization layout, and staff/player workflow semantics were preserved.</t>
  </si>
  <si>
    <t>RB-05729</t>
  </si>
  <si>
    <t>P10-F05729</t>
  </si>
  <si>
    <t>PBQ-0069</t>
  </si>
  <si>
    <t>POST-BATCH-N lane=POST-BATCH-N-STAFF-COMMAND-METADATA; FileProofStatus=CurrentPathConfirmed; Command=; Access=; L792; Registration=CommandSystem.Register(; CurrentRegistrationLine=804; CurrentCommand=Deathmatch; CurrentAccess=AccessLevel.Player; CurrentHandler=Deathmatch_OnCommand; CurrentRegistration=CommandSystem.Register( "Deathmatch", AccessLevel.Player, new CommandEventHandler(Deathmatch_OnCommand) );; POST-BATCH-Q direct source review=XmlPointsCommandGuardFixed</t>
  </si>
  <si>
    <t>POST-BATCH-Q staff command metadata source review. Previous active row was PBN-0202/PBF-127. Public APIs, command names, access levels, namespaces, type names, file locations, project files, XML/config, serialization layout, and staff/player workflow semantics were preserved.</t>
  </si>
  <si>
    <t>RB-05730</t>
  </si>
  <si>
    <t>P10-F05730</t>
  </si>
  <si>
    <t>PBQ-0070</t>
  </si>
  <si>
    <t>POST-BATCH-N lane=POST-BATCH-N-STAFF-COMMAND-METADATA; FileProofStatus=CurrentPathConfirmed; Command=; Access=; L797; Registration=CommandSystem.Register(; CurrentRegistrationLine=809; CurrentCommand=TeamDeathmatch; CurrentAccess=AccessLevel.Player; CurrentHandler=TeamDeathmatch_OnCommand; CurrentRegistration=CommandSystem.Register( "TeamDeathmatch", AccessLevel.Player, new CommandEventHandler(TeamDeathmatch_OnCommand) );; POST-BATCH-Q direct source review=XmlPointsCommandGuardFixed</t>
  </si>
  <si>
    <t>POST-BATCH-Q staff command metadata source review. Previous active row was PBN-0203/PBF-128. Public APIs, command names, access levels, namespaces, type names, file locations, project files, XML/config, serialization layout, and staff/player workflow semantics were preserved.</t>
  </si>
  <si>
    <t>RB-05731</t>
  </si>
  <si>
    <t>P10-F05731</t>
  </si>
  <si>
    <t>PBQ-0071</t>
  </si>
  <si>
    <t>POST-BATCH-N lane=POST-BATCH-N-STAFF-COMMAND-METADATA; FileProofStatus=CurrentPathConfirmed; Command=; Access=; L802; Registration=CommandSystem.Register(; CurrentRegistrationLine=814; CurrentCommand=DeathBall; CurrentAccess=AccessLevel.Player; CurrentHandler=DeathBall_OnCommand; CurrentRegistration=CommandSystem.Register( "DeathBall", AccessLevel.Player, new CommandEventHandler(DeathBall_OnCommand) );; POST-BATCH-Q direct source review=XmlPointsCommandGuardFixed</t>
  </si>
  <si>
    <t>POST-BATCH-Q staff command metadata source review. Previous active row was PBN-0204/PBF-129. Public APIs, command names, access levels, namespaces, type names, file locations, project files, XML/config, serialization layout, and staff/player workflow semantics were preserved.</t>
  </si>
  <si>
    <t>RB-05732</t>
  </si>
  <si>
    <t>P10-F05732</t>
  </si>
  <si>
    <t>PBQ-0072</t>
  </si>
  <si>
    <t>POST-BATCH-N lane=POST-BATCH-N-STAFF-COMMAND-METADATA; FileProofStatus=CurrentPathConfirmed; Command=; Access=; L807; Registration=CommandSystem.Register(; CurrentRegistrationLine=819; CurrentCommand=KingOfTheHill; CurrentAccess=AccessLevel.Player; CurrentHandler=KingOfTheHill_OnCommand; CurrentRegistration=CommandSystem.Register( "KingOfTheHill", AccessLevel.Player, new CommandEventHandler(KingOfTheHill_OnCommand) );; POST-BATCH-Q direct source review=XmlPointsCommandGuardFixed</t>
  </si>
  <si>
    <t>POST-BATCH-Q staff command metadata source review. Previous active row was PBN-0205/PBF-130. Public APIs, command names, access levels, namespaces, type names, file locations, project files, XML/config, serialization layout, and staff/player workflow semantics were preserved.</t>
  </si>
  <si>
    <t>RB-05733</t>
  </si>
  <si>
    <t>P10-F05733</t>
  </si>
  <si>
    <t>PBQ-0073</t>
  </si>
  <si>
    <t>POST-BATCH-N lane=POST-BATCH-N-STAFF-COMMAND-METADATA; FileProofStatus=CurrentPathConfirmed; Command=; Access=; L812; Registration=CommandSystem.Register(; CurrentRegistrationLine=824; CurrentCommand=TeamDeathBall; CurrentAccess=AccessLevel.Player; CurrentHandler=TeamDeathBall_OnCommand; CurrentRegistration=CommandSystem.Register( "TeamDeathBall", AccessLevel.Player, new CommandEventHandler(TeamDeathBall_OnCommand) );; POST-BATCH-Q direct source review=XmlPointsCommandGuardFixed</t>
  </si>
  <si>
    <t>POST-BATCH-Q staff command metadata source review. Previous active row was PBN-0206/PBF-131. Public APIs, command names, access levels, namespaces, type names, file locations, project files, XML/config, serialization layout, and staff/player workflow semantics were preserved.</t>
  </si>
  <si>
    <t>RB-05734</t>
  </si>
  <si>
    <t>P10-F05734</t>
  </si>
  <si>
    <t>PBQ-0074</t>
  </si>
  <si>
    <t>POST-BATCH-N lane=POST-BATCH-N-STAFF-COMMAND-METADATA; FileProofStatus=CurrentPathConfirmed; Command=; Access=; L817; Registration=CommandSystem.Register(; CurrentRegistrationLine=829; CurrentCommand=TeamKotH; CurrentAccess=AccessLevel.Player; CurrentHandler=TeamKotH_OnCommand; CurrentRegistration=CommandSystem.Register( "TeamKotH", AccessLevel.Player, new CommandEventHandler(TeamKotH_OnCommand) );; POST-BATCH-Q direct source review=XmlPointsCommandGuardFixed</t>
  </si>
  <si>
    <t>POST-BATCH-Q staff command metadata source review. Previous active row was PBN-0207/PBF-132. Public APIs, command names, access levels, namespaces, type names, file locations, project files, XML/config, serialization layout, and staff/player workflow semantics were preserved.</t>
  </si>
  <si>
    <t>RB-05735</t>
  </si>
  <si>
    <t>P10-F05735</t>
  </si>
  <si>
    <t>PBQ-0075</t>
  </si>
  <si>
    <t>POST-BATCH-N lane=POST-BATCH-N-STAFF-COMMAND-METADATA; FileProofStatus=CurrentPathConfirmed; Command=; Access=; L822; Registration=CommandSystem.Register(; CurrentRegistrationLine=834; CurrentCommand=CTFChallenge; CurrentAccess=AccessLevel.Player; CurrentHandler=CTFChallenge_OnCommand; CurrentRegistration=CommandSystem.Register( "CTFChallenge", AccessLevel.Player, new CommandEventHandler(CTFChallenge_OnCommand) );; POST-BATCH-Q direct source review=XmlPointsCommandGuardFixed</t>
  </si>
  <si>
    <t>POST-BATCH-Q staff command metadata source review. Previous active row was PBN-0208/PBF-133. Public APIs, command names, access levels, namespaces, type names, file locations, project files, XML/config, serialization layout, and staff/player workflow semantics were preserved.</t>
  </si>
  <si>
    <t>RB-05736</t>
  </si>
  <si>
    <t>P10-F05736</t>
  </si>
  <si>
    <t>PBQ-0076</t>
  </si>
  <si>
    <t>POST-BATCH-N lane=POST-BATCH-N-STAFF-COMMAND-METADATA; FileProofStatus=CurrentPathConfirmed; Command=; Access=; L827; Registration=CommandSystem.Register(; CurrentRegistrationLine=839; CurrentCommand=SystemBroadcastKills; CurrentAccess=AccessLevel.GameMaster; CurrentHandler=SystemBroadcastKills_OnCommand; CurrentRegistration=CommandSystem.Register( "SystemBroadcastKills", AccessLevel.GameMaster, new CommandEventHandler(SystemBroadcastKills_OnCommand) );; POST-BATCH-Q direct source review=XmlPointsCommandGuardFixed</t>
  </si>
  <si>
    <t>POST-BATCH-Q staff command metadata source review. Previous active row was PBN-0209/PBF-134. Public APIs, command names, access levels, namespaces, type names, file locations, project files, XML/config, serialization layout, and staff/player workflow semantics were preserved.</t>
  </si>
  <si>
    <t>RB-05737</t>
  </si>
  <si>
    <t>P10-F05737</t>
  </si>
  <si>
    <t>PBQ-0077</t>
  </si>
  <si>
    <t>POST-BATCH-N lane=POST-BATCH-N-STAFF-COMMAND-METADATA; FileProofStatus=CurrentPathConfirmed; Command=; Access=; L832; Registration=CommandSystem.Register(; CurrentRegistrationLine=844; CurrentCommand=SeeKills; CurrentAccess=AccessLevel.Player; CurrentHandler=SeeKills_OnCommand; CurrentRegistration=CommandSystem.Register( "SeeKills", AccessLevel.Player, new CommandEventHandler(SeeKills_OnCommand) );; POST-BATCH-Q direct source review=XmlPointsCommandGuardFixed</t>
  </si>
  <si>
    <t>POST-BATCH-Q staff command metadata source review. Previous active row was PBN-0210/PBF-135. Public APIs, command names, access levels, namespaces, type names, file locations, project files, XML/config, serialization layout, and staff/player workflow semantics were preserved.</t>
  </si>
  <si>
    <t>RB-05738</t>
  </si>
  <si>
    <t>P10-F05738</t>
  </si>
  <si>
    <t>PBQ-0078</t>
  </si>
  <si>
    <t>POST-BATCH-N lane=POST-BATCH-N-STAFF-COMMAND-METADATA; FileProofStatus=CurrentPathConfirmed; Command=; Access=; L837; Registration=CommandSystem.Register(; CurrentRegistrationLine=849; CurrentCommand=BroadcastKills; CurrentAccess=AccessLevel.Player; CurrentHandler=BroadcastKills_OnCommand; CurrentRegistration=CommandSystem.Register( "BroadcastKills", AccessLevel.Player, new CommandEventHandler(BroadcastKills_OnCommand) );; POST-BATCH-Q direct source review=XmlPointsCommandGuardFixed</t>
  </si>
  <si>
    <t>POST-BATCH-Q staff command metadata source review. Previous active row was PBN-0211/PBF-136. Public APIs, command names, access levels, namespaces, type names, file locations, project files, XML/config, serialization layout, and staff/player workflow semantics were preserved.</t>
  </si>
  <si>
    <t>RB-05739</t>
  </si>
  <si>
    <t>P10-F05739</t>
  </si>
  <si>
    <t>PBQ-0079</t>
  </si>
  <si>
    <t>POST-BATCH-N lane=POST-BATCH-N-STAFF-COMMAND-METADATA; FileProofStatus=CurrentPathConfirmed; Command=; Access=; L842; Registration=CommandSystem.Register(; CurrentRegistrationLine=854; CurrentCommand=CheckPoints; CurrentAccess=AccessLevel.Player; CurrentHandler=CheckPoints_OnCommand; CurrentRegistration=CommandSystem.Register( "CheckPoints", AccessLevel.Player, new CommandEventHandler(CheckPoints_OnCommand) );; POST-BATCH-Q direct source review=XmlPointsCommandGuardFixed</t>
  </si>
  <si>
    <t>POST-BATCH-Q staff command metadata source review. Previous active row was PBN-0212/PBF-137. Public APIs, command names, access levels, namespaces, type names, file locations, project files, XML/config, serialization layout, and staff/player workflow semantics were preserved.</t>
  </si>
  <si>
    <t>RB-05740</t>
  </si>
  <si>
    <t>P10-F05740</t>
  </si>
  <si>
    <t>PBQ-0080</t>
  </si>
  <si>
    <t>POST-BATCH-N lane=POST-BATCH-N-STAFF-COMMAND-METADATA; FileProofStatus=CurrentPathConfirmed; Command=; Access=; L847; Registration=CommandSystem.Register(; CurrentRegistrationLine=859; CurrentCommand=TopPlayers; CurrentAccess=AccessLevel.Player; CurrentHandler=TopPlayers_OnCommand; CurrentRegistration=CommandSystem.Register( "TopPlayers", AccessLevel.Player, new CommandEventHandler(TopPlayers_OnCommand) );; POST-BATCH-Q direct source review=XmlPointsCommandGuardFixed</t>
  </si>
  <si>
    <t>POST-BATCH-Q staff command metadata source review. Previous active row was PBN-0213/PBF-138. Public APIs, command names, access levels, namespaces, type names, file locations, project files, XML/config, serialization layout, and staff/player workflow semantics were preserved.</t>
  </si>
  <si>
    <t>RB-05741</t>
  </si>
  <si>
    <t>P10-F05741</t>
  </si>
  <si>
    <t>PBQ-0081</t>
  </si>
  <si>
    <t>POST-BATCH-N lane=POST-BATCH-N-STAFF-COMMAND-METADATA; FileProofStatus=CurrentPathConfirmed; Command=; Access=; L852; Registration=CommandSystem.Register(; CurrentRegistrationLine=864; CurrentCommand=AddAllPoints; CurrentAccess=AccessLevel.Administrator; CurrentHandler=AddAllPoints_OnCommand; CurrentRegistration=CommandSystem.Register( "AddAllPoints", AccessLevel.Administrator, new CommandEventHandler(AddAllPoints_OnCommand) );; POST-BATCH-Q direct source review=XmlPointsCommandGuardFixed</t>
  </si>
  <si>
    <t>POST-BATCH-Q staff command metadata source review. Previous active row was PBN-0214/PBF-139. Public APIs, command names, access levels, namespaces, type names, file locations, project files, XML/config, serialization layout, and staff/player workflow semantics were preserved.</t>
  </si>
  <si>
    <t>RB-05742</t>
  </si>
  <si>
    <t>P10-F05742</t>
  </si>
  <si>
    <t>PBQ-0082</t>
  </si>
  <si>
    <t>POST-BATCH-N lane=POST-BATCH-N-STAFF-COMMAND-METADATA; FileProofStatus=CurrentPathConfirmed; Command=; Access=; L857; Registration=CommandSystem.Register(; CurrentRegistrationLine=869; CurrentCommand=RemoveAllPoints; CurrentAccess=AccessLevel.Administrator; CurrentHandler=RemoveAllPoints_OnCommand; CurrentRegistration=CommandSystem.Register( "RemoveAllPoints", AccessLevel.Administrator, new CommandEventHandler(RemoveAllPoints_OnCommand) );; POST-BATCH-Q direct source review=XmlPointsCommandGuardFixed</t>
  </si>
  <si>
    <t>POST-BATCH-Q staff command metadata source review. Previous active row was PBN-0215/PBF-140. Public APIs, command names, access levels, namespaces, type names, file locations, project files, XML/config, serialization layout, and staff/player workflow semantics were preserved.</t>
  </si>
  <si>
    <t>RB-05743</t>
  </si>
  <si>
    <t>P10-F05743</t>
  </si>
  <si>
    <t>PBQ-0083</t>
  </si>
  <si>
    <t>POST-BATCH-N lane=POST-BATCH-N-STAFF-COMMAND-METADATA; FileProofStatus=CurrentPathConfirmed; Command=; Access=; L862; Registration=CommandSystem.Register(; CurrentRegistrationLine=874; CurrentCommand=LeaderboardSave; CurrentAccess=AccessLevel.Administrator; CurrentHandler=LeaderboardSave_OnCommand; CurrentRegistration=CommandSystem.Register( "LeaderboardSave", AccessLevel.Administrator, new CommandEventHandler(LeaderboardSave_OnCommand) );; POST-BATCH-Q direct source review=XmlPointsCommandGuardFixed</t>
  </si>
  <si>
    <t>POST-BATCH-Q staff command metadata source review. Previous active row was PBN-0216/PBF-141. Public APIs, command names, access levels, namespaces, type names, file locations, project files, XML/config, serialization layout, and staff/player workflow semantics were preserved.</t>
  </si>
  <si>
    <t>RB-05744</t>
  </si>
  <si>
    <t>P10-F05744</t>
  </si>
  <si>
    <t>Data/Scripts/Custom/XMLSpawner/XmlQuest/XmlQuestLeaders.cs</t>
  </si>
  <si>
    <t>PBQ-0084</t>
  </si>
  <si>
    <t>POST-BATCH-N lane=POST-BATCH-N-STAFF-COMMAND-METADATA; FileProofStatus=CurrentPathConfirmed; Command=; Access=; L160; Registration=CommandSystem.Register(; CurrentRegistrationLine=160; CurrentCommand=QuestLeaderboardSave; CurrentAccess=AccessLevel.Administrator; CurrentHandler=QuestLeaderboardSave_OnCommand; CurrentRegistration=CommandSystem.Register( "QuestLeaderboardSave", AccessLevel.Administrator, new CommandEventHandler(QuestLeaderboardSave_OnCommand) );; POST-BATCH-Q direct source review=XMLSpawnerCommandGuardFixed</t>
  </si>
  <si>
    <t>POST-BATCH-Q staff command metadata source review. Previous active row was PBN-0217/PBF-142. Public APIs, command names, access levels, namespaces, type names, file locations, project files, XML/config, serialization layout, and staff/player workflow semantics were preserved.</t>
  </si>
  <si>
    <t>RB-05745</t>
  </si>
  <si>
    <t>P10-F05745</t>
  </si>
  <si>
    <t>PBQ-0085</t>
  </si>
  <si>
    <t>POST-BATCH-N lane=POST-BATCH-N-STAFF-COMMAND-METADATA; FileProofStatus=CurrentPathConfirmed; Command=; Access=; L165; Registration=CommandSystem.Register(; CurrentRegistrationLine=165; CurrentCommand=QuestRanking; CurrentAccess=AccessLevel.Player; CurrentHandler=QuestRanking_OnCommand; CurrentRegistration=CommandSystem.Register( "QuestRanking", AccessLevel.Player, new CommandEventHandler(QuestRanking_OnCommand) );; POST-BATCH-Q direct source review=XMLSpawnerCommandGuardFixed</t>
  </si>
  <si>
    <t>POST-BATCH-Q staff command metadata source review. Previous active row was PBN-0218/PBF-143. Public APIs, command names, access levels, namespaces, type names, file locations, project files, XML/config, serialization layout, and staff/player workflow semantics were preserved.</t>
  </si>
  <si>
    <t>RB-05746</t>
  </si>
  <si>
    <t>P10-F05746</t>
  </si>
  <si>
    <t>PBQ-0086</t>
  </si>
  <si>
    <t>POST-BATCH-N lane=POST-BATCH-N-STAFF-COMMAND-METADATA; FileProofStatus=CurrentPathConfirmed; Command=; Access=; L180; Registration=CommandSystem.Register(; CurrentRegistrationLine=180; CurrentCommand=QuestPoints; CurrentAccess=AccessLevel.Player; CurrentHandler=CheckQuestPoints_OnCommand; CurrentRegistration=CommandSystem.Register( "QuestPoints", AccessLevel.Player, new CommandEventHandler(CheckQuestPoints_OnCommand) );; POST-BATCH-Q direct source review=XMLSpawnerCommandGuardFixed</t>
  </si>
  <si>
    <t>POST-BATCH-Q staff command metadata source review. Previous active row was PBN-0219/PBF-144. Public APIs, command names, access levels, namespaces, type names, file locations, project files, XML/config, serialization layout, and staff/player workflow semantics were preserved.</t>
  </si>
  <si>
    <t>RB-05747</t>
  </si>
  <si>
    <t>P10-F05747</t>
  </si>
  <si>
    <t>PBQ-0087</t>
  </si>
  <si>
    <t>POST-BATCH-N lane=POST-BATCH-N-STAFF-COMMAND-METADATA; FileProofStatus=CurrentPathConfirmed; Command=; Access=; L186; Registration=CommandSystem.Register(; CurrentRegistrationLine=186; CurrentCommand=QuestLog; CurrentAccess=AccessLevel.Player; CurrentHandler=QuestLog_OnCommand; CurrentRegistration=CommandSystem.Register( "QuestLog", AccessLevel.Player, new CommandEventHandler(QuestLog_OnCommand) );; POST-BATCH-Q direct source review=XMLSpawnerCommandGuardFixed</t>
  </si>
  <si>
    <t>POST-BATCH-Q staff command metadata source review. Previous active row was PBN-0220/PBF-145. Public APIs, command names, access levels, namespaces, type names, file locations, project files, XML/config, serialization layout, and staff/player workflow semantics were preserved.</t>
  </si>
  <si>
    <t>RB-05748</t>
  </si>
  <si>
    <t>P10-F05748</t>
  </si>
  <si>
    <t>Data/Scripts/Custom/XMLSpawner/XmlUtils/WhatIsIt.cs</t>
  </si>
  <si>
    <t>PBQ-0088</t>
  </si>
  <si>
    <t>POST-BATCH-N lane=POST-BATCH-N-STAFF-COMMAND-METADATA; FileProofStatus=CurrentPathConfirmed; Command=; Access=; L14; Registration=CommandSystem.Register(; CurrentRegistrationLine=14; CurrentCommand=WhatIsIt; CurrentAccess=AccessLevel.Player; CurrentHandler=GenericCommand_OnCommand; CurrentRegistration=CommandSystem.Register( "WhatIsIt", AccessLevel.Player, new CommandEventHandler(GenericCommand_OnCommand) );; POST-BATCH-Q direct source review=XMLSpawnerCommandGuardFixed</t>
  </si>
  <si>
    <t>POST-BATCH-Q staff command metadata source review. Previous active row was PBN-0221/PBF-146. Public APIs, command names, access levels, namespaces, type names, file locations, project files, XML/config, serialization layout, and staff/player workflow semantics were preserved.</t>
  </si>
  <si>
    <t>RB-05749</t>
  </si>
  <si>
    <t>P10-F05749</t>
  </si>
  <si>
    <t>Data/Scripts/Custom/XMLSpawner/XmlUtils/WriteMulti.cs</t>
  </si>
  <si>
    <t>PBQ-0089</t>
  </si>
  <si>
    <t>POST-BATCH-N lane=POST-BATCH-N-STAFF-COMMAND-METADATA; FileProofStatus=CurrentPathConfirmed; Command=; Access=; L36; Registration=CommandSystem.Register(; CurrentRegistrationLine=36; CurrentCommand=WriteMulti; CurrentAccess=XmlSpawner.DiskAccessLevel; CurrentHandler=WriteMulti_OnCommand; CurrentRegistration=CommandSystem.Register( "WriteMulti", XmlSpawner.DiskAccessLevel, new CommandEventHandler(WriteMulti_OnCommand) );; POST-BATCH-Q direct source review=XMLSpawnerCommandGuardFixed</t>
  </si>
  <si>
    <t>POST-BATCH-Q staff command metadata source review. Previous active row was PBN-0222/PBF-147. Public APIs, command names, access levels, namespaces, type names, file locations, project files, XML/config, serialization layout, and staff/player workflow semantics were preserved.</t>
  </si>
  <si>
    <t>RB-05750</t>
  </si>
  <si>
    <t>P10-F05750</t>
  </si>
  <si>
    <t>Data/Scripts/Custom/XMLSpawner/XmlUtils/XmlAdd.cs</t>
  </si>
  <si>
    <t>PBQ-0090</t>
  </si>
  <si>
    <t>POST-BATCH-N lane=POST-BATCH-N-STAFF-COMMAND-METADATA; FileProofStatus=CurrentPathConfirmed; Command=; Access=; L761; Registration=CommandSystem.Register(; CurrentRegistrationLine=761; CurrentCommand=XmlAdd; CurrentAccess=AccessLevel.GameMaster; CurrentHandler=XmlAdd_OnCommand; CurrentRegistration=CommandSystem.Register( "XmlAdd", AccessLevel.GameMaster, new CommandEventHandler(XmlAdd_OnCommand) );; POST-BATCH-Q direct source review=XMLSpawnerCommandGuardFixed</t>
  </si>
  <si>
    <t>POST-BATCH-Q staff command metadata source review. Previous active row was PBN-0223/PBF-148. Public APIs, command names, access levels, namespaces, type names, file locations, project files, XML/config, serialization layout, and staff/player workflow semantics were preserved.</t>
  </si>
  <si>
    <t>RB-05751</t>
  </si>
  <si>
    <t>P10-F05751</t>
  </si>
  <si>
    <t>Data/Scripts/Custom/XMLSpawner/XmlUtils/XmlEdit.cs</t>
  </si>
  <si>
    <t>PBQ-0091</t>
  </si>
  <si>
    <t>POST-BATCH-N lane=POST-BATCH-N-STAFF-COMMAND-METADATA; FileProofStatus=CurrentPathConfirmed; Command=; Access=; L52; Registration=CommandSystem.Register(; CurrentRegistrationLine=52; CurrentCommand=XmlEdit; CurrentAccess=AccessLevel.GameMaster; CurrentHandler=XmlEditDialog_OnCommand; CurrentRegistration=CommandSystem.Register( "XmlEdit", AccessLevel.GameMaster, new CommandEventHandler(XmlEditDialog_OnCommand) );; POST-BATCH-Q direct source review=XMLSpawnerCommandGuardFixed</t>
  </si>
  <si>
    <t>POST-BATCH-Q staff command metadata source review. Previous active row was PBN-0224/PBF-149. Public APIs, command names, access levels, namespaces, type names, file locations, project files, XML/config, serialization layout, and staff/player workflow semantics were preserved.</t>
  </si>
  <si>
    <t>RB-05752</t>
  </si>
  <si>
    <t>P10-F05752</t>
  </si>
  <si>
    <t>Data/Scripts/Custom/XMLSpawner/XmlUtils/XmlFind.cs</t>
  </si>
  <si>
    <t>PBQ-0092</t>
  </si>
  <si>
    <t>POST-BATCH-N lane=POST-BATCH-N-STAFF-COMMAND-METADATA; FileProofStatus=CurrentPathConfirmed; Command=; Access=; L245; Registration=CommandSystem.Register(; CurrentRegistrationLine=245; CurrentCommand=XmlFind; CurrentAccess=AccessLevel.GameMaster; CurrentHandler=XmlFind_OnCommand; CurrentRegistration=CommandSystem.Register( "XmlFind", AccessLevel.GameMaster, new CommandEventHandler(XmlFind_OnCommand) );; POST-BATCH-Q direct source review=XMLSpawnerCommandGuardFixed</t>
  </si>
  <si>
    <t>POST-BATCH-Q staff command metadata source review. Previous active row was PBN-0225/PBF-150. Public APIs, command names, access levels, namespaces, type names, file locations, project files, XML/config, serialization layout, and staff/player workflow semantics were preserved.</t>
  </si>
  <si>
    <t>RB-06412</t>
  </si>
  <si>
    <t>P10-F06412</t>
  </si>
  <si>
    <t>XML/config schemas</t>
  </si>
  <si>
    <t>Data/Scripts/Trades/Bulk Orders/SmallBulkEntry.cs</t>
  </si>
  <si>
    <t>Documented</t>
  </si>
  <si>
    <t>POST-BATCH-S</t>
  </si>
  <si>
    <t>PBS-0001</t>
  </si>
  <si>
    <t>Documented schema/parser/data-contract evidence for 'Data/System/Bulk Orders/{0}/{1}.cfg' from current source; no source/config behavior change.</t>
  </si>
  <si>
    <t>docs/codebase-audit/outputs/post-batch-s-schema-documentation-review.csv</t>
  </si>
  <si>
    <t>POST-BATCH-N lane=POST-BATCH-N-SCHEMA-DOCUMENTATION; FileProofStatus=CurrentPathConfirmed; Bulk Orders-&gt;DataFile:Data/System/Bulk Orders/{0}/{1}.cfg; Data/Scripts/Trades/Bulk Orders/SmallBulkEntry.cs:L77:return LoadEntries(String.Format("Data/System/Bulk Orders/{0}/{1}.cfg", type, name));; POST-BATCH-S CurrentSource=Data/Scripts/Trades/Bulk Orders/SmallBulkEntry.cs:L77:return LoadEntries(String.Format("Data/System/Bulk Orders/{0}/{1}.cfg", type, name));; POST-BATCH-S direct schema review=TextConfigReadSurface</t>
  </si>
  <si>
    <t>Pending: docs: close schema documentation queue</t>
  </si>
  <si>
    <t>2026-06-14T20:33:44.4399529-05:00</t>
  </si>
  <si>
    <t>POST-BATCH-S schema documentation review. Previous active row was PBN-0226/PBF-151. No source/project/XML/config/data behavior changed.</t>
  </si>
  <si>
    <t>RB-06413</t>
  </si>
  <si>
    <t>P10-F06413</t>
  </si>
  <si>
    <t>Data/System/Source/Body.cs</t>
  </si>
  <si>
    <t>PBS-0002</t>
  </si>
  <si>
    <t>Documented schema/parser/data-contract evidence for 'Data/System/CFG/body.cfg' from current source; no source/config behavior change.</t>
  </si>
  <si>
    <t>POST-BATCH-N lane=POST-BATCH-N-SCHEMA-DOCUMENTATION; FileProofStatus=CurrentPathConfirmed; Bulk Orders-&gt;DataFile:Data/System/CFG/body.cfg; Data/System/Source/Body.cs:L44:if (File.Exists("Data/System/CFG/body.cfg")); POST-BATCH-S CurrentSource=Data/System/Source/Body.cs:L44:if (File.Exists("Data/System/CFG/body.cfg")); POST-BATCH-S direct schema review=ExistenceGateSchemaSurface</t>
  </si>
  <si>
    <t>POST-BATCH-S schema documentation review. Previous active row was PBN-0227/PBF-152. No source/project/XML/config/data behavior changed.</t>
  </si>
  <si>
    <t>RB-06414</t>
  </si>
  <si>
    <t>P10-F06414</t>
  </si>
  <si>
    <t>PBS-0003</t>
  </si>
  <si>
    <t>POST-BATCH-N lane=POST-BATCH-N-SCHEMA-DOCUMENTATION; FileProofStatus=CurrentPathConfirmed; Bulk Orders-&gt;DataFile:Data/System/CFG/body.cfg; Data/System/Source/Body.cs:L46:using (StreamReader ip = new StreamReader("Data/System/CFG/body.cfg")); POST-BATCH-S CurrentSource=Data/System/Source/Body.cs:L46:using (StreamReader ip = new StreamReader("Data/System/CFG/body.cfg")); POST-BATCH-S direct schema review=TextConfigReadSurface</t>
  </si>
  <si>
    <t>POST-BATCH-S schema documentation review. Previous active row was PBN-0228/PBF-153. No source/project/XML/config/data behavior changed.</t>
  </si>
  <si>
    <t>RB-06415</t>
  </si>
  <si>
    <t>P10-F06415</t>
  </si>
  <si>
    <t>Data/Scripts/System/Commands/Docs.cs</t>
  </si>
  <si>
    <t>PBS-0004</t>
  </si>
  <si>
    <t>Documented schema/parser/data-contract evidence for 'models/models.txt' from current source; no source/config behavior change.</t>
  </si>
  <si>
    <t>POST-BATCH-N lane=POST-BATCH-N-SCHEMA-DOCUMENTATION; FileProofStatus=CurrentPathConfirmed; Bulk Orders-&gt;DataFile:models/models.txt; Data/Scripts/System/Commands/Docs.cs:L1840:string path = Core.FindDataFile("models/models.txt");; POST-BATCH-S CurrentSource=Data/Scripts/System/Commands/Docs.cs:L1840:string path = Core.FindDataFile("models/models.txt");; POST-BATCH-S direct schema review=TextConfigReadSurface</t>
  </si>
  <si>
    <t>POST-BATCH-S schema documentation review. Previous active row was PBN-0229/PBF-154. No source/project/XML/config/data behavior changed.</t>
  </si>
  <si>
    <t>RB-06416</t>
  </si>
  <si>
    <t>P10-F06416</t>
  </si>
  <si>
    <t>Data/Scripts/Custom/Book Publisher [2.0]/XmlBook.cs</t>
  </si>
  <si>
    <t>PBS-0005</t>
  </si>
  <si>
    <t>Documented schema/parser/data-contract evidence for '*.xml' from current source; no source/config behavior change.</t>
  </si>
  <si>
    <t>POST-BATCH-N lane=POST-BATCH-N-SCHEMA-DOCUMENTATION; FileProofStatus=CurrentPathConfirmed; Custom:Book Publisher [2.0]-&gt;DataFile:*.xml; Data/Scripts/Custom/Book Publisher [2.0]/XmlBook.cs:L170:string[] files = Directory.GetFiles(DataPath, "*.xml");; POST-BATCH-S CurrentSource=Data/Scripts/Custom/Book Publisher [2.0]/XmlBook.cs:L170:string[] files = Directory.GetFiles(DataPath, "*.xml");; POST-BATCH-S direct schema review=DirectoryGlobSchemaSurface</t>
  </si>
  <si>
    <t>POST-BATCH-S schema documentation review. Previous active row was PBN-0230/PBF-155. No source/project/XML/config/data behavior changed.</t>
  </si>
  <si>
    <t>RB-06417</t>
  </si>
  <si>
    <t>P10-F06417</t>
  </si>
  <si>
    <t>PBS-0012</t>
  </si>
  <si>
    <t>Documented schema/parser/data-contract evidence for 'Data/VoteSystem.cfg' from current source; no source/config behavior change.</t>
  </si>
  <si>
    <t>POST-BATCH-N lane=POST-BATCH-N-SCHEMA-DOCUMENTATION; FileProofStatus=CurrentPathConfirmed; Custom:Voting-&gt;DataFile:Data/VoteSystem.cfg; Data/Scripts/Custom/Voting/VoteConfig.cs:L117:FileInfo info = new FileInfo("Data/VoteSystem.cfg");; POST-BATCH-S CurrentSource=Data/Scripts/Custom/Voting/VoteConfig.cs:L117:FileInfo info = new FileInfo("Data/VoteSystem.cfg");; POST-BATCH-S direct schema review=PathConstantOrSchemaReference</t>
  </si>
  <si>
    <t>POST-BATCH-S schema documentation review. Previous active row was PBN-0237/PBF-156. No source/project/XML/config/data behavior changed.</t>
  </si>
  <si>
    <t>RB-06418</t>
  </si>
  <si>
    <t>P10-F06418</t>
  </si>
  <si>
    <t>PBS-0013</t>
  </si>
  <si>
    <t>POST-BATCH-N lane=POST-BATCH-N-SCHEMA-DOCUMENTATION; FileProofStatus=CurrentPathConfirmed; Custom:Voting-&gt;DataFile:Data/VoteSystem.cfg; Data/Scripts/Custom/Voting/VoteConfig.cs:L150:FileInfo info = new FileInfo("Data/VoteSystem.cfg");; POST-BATCH-S CurrentSource=Data/Scripts/Custom/Voting/VoteConfig.cs:L150:FileInfo info = new FileInfo("Data/VoteSystem.cfg");; POST-BATCH-S direct schema review=PathConstantOrSchemaReference</t>
  </si>
  <si>
    <t>POST-BATCH-S schema documentation review. Previous active row was PBN-0238/PBF-157. No source/project/XML/config/data behavior changed.</t>
  </si>
  <si>
    <t>RB-06419</t>
  </si>
  <si>
    <t>P10-F06419</t>
  </si>
  <si>
    <t>Government</t>
  </si>
  <si>
    <t>Data/Scripts/Custom/Government System/CityUpgradeSystem.cs</t>
  </si>
  <si>
    <t>PBS-0020</t>
  </si>
  <si>
    <t>Documented schema/parser/data-contract evidence for 'Data/GovernmentVersion.xml' from current source; no source/config behavior change.</t>
  </si>
  <si>
    <t>POST-BATCH-N lane=POST-BATCH-N-SCHEMA-DOCUMENTATION; FileProofStatus=CurrentPathConfirmed; Government-&gt;DataFile:Data/GovernmentVersion.xml; Data/Scripts/Custom/Government System/CityUpgradeSystem.cs:L153:Path.Combine(Core.BaseDirectory, "Data/GovernmentVersion.xml"); POST-BATCH-S CurrentSource=Data/Scripts/Custom/Government System/CityUpgradeSystem.cs:L153:Path.Combine(Core.BaseDirectory, "Data/GovernmentVersion.xml"); POST-BATCH-S direct schema review=XmlDocumentSchemaSurface</t>
  </si>
  <si>
    <t>POST-BATCH-S schema documentation review. Previous active row was PBN-0245/PBF-158. No source/project/XML/config/data behavior changed.</t>
  </si>
  <si>
    <t>RB-06420</t>
  </si>
  <si>
    <t>P10-F06420</t>
  </si>
  <si>
    <t>Data/Scripts/Custom/Government System/PlayerGovernmentSystem.cs</t>
  </si>
  <si>
    <t>PBS-0021</t>
  </si>
  <si>
    <t>POST-BATCH-N lane=POST-BATCH-N-SCHEMA-DOCUMENTATION; FileProofStatus=CurrentPathConfirmed; Government-&gt;DataFile:Data/GovernmentVersion.xml; Data/Scripts/Custom/Government System/PlayerGovernmentSystem.cs:L21:public static string FileName = "Data/GovernmentVersion.xml";; POST-BATCH-S CurrentSource=Data/Scripts/Custom/Government System/PlayerGovernmentSystem.cs:L21:public static string FileName = "Data/GovernmentVersion.xml";; POST-BATCH-S direct schema review=XmlDocumentSchemaSurface</t>
  </si>
  <si>
    <t>POST-BATCH-S schema documentation review. Previous active row was PBN-0246/PBF-159. No source/project/XML/config/data behavior changed.</t>
  </si>
  <si>
    <t>RB-06421</t>
  </si>
  <si>
    <t>P10-F06421</t>
  </si>
  <si>
    <t>Data/Scripts/Items/Houses/Monopoly/Decorate.cs</t>
  </si>
  <si>
    <t>PBS-0022</t>
  </si>
  <si>
    <t>Documented schema/parser/data-contract evidence for '*.cfg' from current source; no source/config behavior change.</t>
  </si>
  <si>
    <t>POST-BATCH-N lane=POST-BATCH-N-SCHEMA-DOCUMENTATION; FileProofStatus=CurrentPathConfirmed; Housing-&gt;DataFile:*.cfg; Data/Scripts/Items/Houses/Monopoly/Decorate.cs:L61:string[] files = Directory.GetFiles(folder, "*.cfg");; POST-BATCH-S CurrentSource=Data/Scripts/Items/Houses/Monopoly/Decorate.cs:L61:string[] files = Directory.GetFiles(folder, "*.cfg");; POST-BATCH-S direct schema review=DirectoryGlobSchemaSurface</t>
  </si>
  <si>
    <t>POST-BATCH-S schema documentation review. Previous active row was PBN-0247/PBF-160. No source/project/XML/config/data behavior changed.</t>
  </si>
  <si>
    <t>RB-06422</t>
  </si>
  <si>
    <t>P10-F06422</t>
  </si>
  <si>
    <t>Data/Scripts/Items/Houses/ComponentVerification.cs</t>
  </si>
  <si>
    <t>PBS-0023</t>
  </si>
  <si>
    <t>Documented schema/parser/data-contract evidence for 'Data/System/Components/doors.txt' from current source; no source/config behavior change.</t>
  </si>
  <si>
    <t>POST-BATCH-N lane=POST-BATCH-N-SCHEMA-DOCUMENTATION; FileProofStatus=CurrentPathConfirmed; Housing-&gt;DataFile:Data/System/Components/doors.txt; Data/Scripts/Items/Houses/ComponentVerification.cs:L139:"Data/System/Components/doors.txt",; POST-BATCH-S CurrentSource=Data/Scripts/Items/Houses/ComponentVerification.cs:L139:"Data/System/Components/doors.txt",; POST-BATCH-S direct schema review=PathConstantOrSchemaReference</t>
  </si>
  <si>
    <t>POST-BATCH-S schema documentation review. Previous active row was PBN-0248/PBF-161. No source/project/XML/config/data behavior changed.</t>
  </si>
  <si>
    <t>RB-06423</t>
  </si>
  <si>
    <t>P10-F06423</t>
  </si>
  <si>
    <t>PBS-0024</t>
  </si>
  <si>
    <t>Documented schema/parser/data-contract evidence for 'Data/System/Components/floors.txt' from current source; no source/config behavior change.</t>
  </si>
  <si>
    <t>POST-BATCH-N lane=POST-BATCH-N-SCHEMA-DOCUMENTATION; FileProofStatus=CurrentPathConfirmed; Housing-&gt;DataFile:Data/System/Components/floors.txt; Data/Scripts/Items/Houses/ComponentVerification.cs:L109:"Data/System/Components/floors.txt",; POST-BATCH-S CurrentSource=Data/Scripts/Items/Houses/ComponentVerification.cs:L109:"Data/System/Components/floors.txt",; POST-BATCH-S direct schema review=PathConstantOrSchemaReference</t>
  </si>
  <si>
    <t>POST-BATCH-S schema documentation review. Previous active row was PBN-0249/PBF-162. No source/project/XML/config/data behavior changed.</t>
  </si>
  <si>
    <t>RB-06424</t>
  </si>
  <si>
    <t>P10-F06424</t>
  </si>
  <si>
    <t>PBS-0025</t>
  </si>
  <si>
    <t>Documented schema/parser/data-contract evidence for 'Data/System/Components/misc.txt' from current source; no source/config behavior change.</t>
  </si>
  <si>
    <t>POST-BATCH-N lane=POST-BATCH-N-SCHEMA-DOCUMENTATION; FileProofStatus=CurrentPathConfirmed; Housing-&gt;DataFile:Data/System/Components/misc.txt; Data/Scripts/Items/Houses/ComponentVerification.cs:L128:"Data/System/Components/misc.txt",; POST-BATCH-S CurrentSource=Data/Scripts/Items/Houses/ComponentVerification.cs:L128:"Data/System/Components/misc.txt",; POST-BATCH-S direct schema review=PathConstantOrSchemaReference</t>
  </si>
  <si>
    <t>POST-BATCH-S schema documentation review. Previous active row was PBN-0250/PBF-163. No source/project/XML/config/data behavior changed.</t>
  </si>
  <si>
    <t>RB-06425</t>
  </si>
  <si>
    <t>P10-F06425</t>
  </si>
  <si>
    <t>PBS-0026</t>
  </si>
  <si>
    <t>Documented schema/parser/data-contract evidence for 'Data/System/Components/roof.txt' from current source; no source/config behavior change.</t>
  </si>
  <si>
    <t>POST-BATCH-N lane=POST-BATCH-N-SCHEMA-DOCUMENTATION; FileProofStatus=CurrentPathConfirmed; Housing-&gt;DataFile:Data/System/Components/roof.txt; Data/Scripts/Items/Houses/ComponentVerification.cs:L90:"Data/System/Components/roof.txt",; POST-BATCH-S CurrentSource=Data/Scripts/Items/Houses/ComponentVerification.cs:L90:"Data/System/Components/roof.txt",; POST-BATCH-S direct schema review=PathConstantOrSchemaReference</t>
  </si>
  <si>
    <t>POST-BATCH-S schema documentation review. Previous active row was PBN-0251/PBF-164. No source/project/XML/config/data behavior changed.</t>
  </si>
  <si>
    <t>RB-06426</t>
  </si>
  <si>
    <t>P10-F06426</t>
  </si>
  <si>
    <t>PBS-0027</t>
  </si>
  <si>
    <t>Documented schema/parser/data-contract evidence for 'Data/System/Components/stairs.txt' from current source; no source/config behavior change.</t>
  </si>
  <si>
    <t>POST-BATCH-N lane=POST-BATCH-N-SCHEMA-DOCUMENTATION; FileProofStatus=CurrentPathConfirmed; Housing-&gt;DataFile:Data/System/Components/stairs.txt; Data/Scripts/Items/Houses/ComponentVerification.cs:L151:"Data/System/Components/stairs.txt",; POST-BATCH-S CurrentSource=Data/Scripts/Items/Houses/ComponentVerification.cs:L151:"Data/System/Components/stairs.txt",; POST-BATCH-S direct schema review=PathConstantOrSchemaReference</t>
  </si>
  <si>
    <t>POST-BATCH-S schema documentation review. Previous active row was PBN-0252/PBF-165. No source/project/XML/config/data behavior changed.</t>
  </si>
  <si>
    <t>RB-06427</t>
  </si>
  <si>
    <t>P10-F06427</t>
  </si>
  <si>
    <t>PBS-0028</t>
  </si>
  <si>
    <t>POST-BATCH-N lane=POST-BATCH-N-SCHEMA-DOCUMENTATION; FileProofStatus=CurrentPathConfirmed; Housing-&gt;DataFile:Data/System/Components/stairs.txt; Data/Scripts/Items/Houses/ComponentVerification.cs:L78:"Data/System/Components/stairs.txt",; POST-BATCH-S CurrentSource=Data/Scripts/Items/Houses/ComponentVerification.cs:L78:"Data/System/Components/stairs.txt",; POST-BATCH-S direct schema review=PathConstantOrSchemaReference</t>
  </si>
  <si>
    <t>POST-BATCH-S schema documentation review. Previous active row was PBN-0253/PBF-166. No source/project/XML/config/data behavior changed.</t>
  </si>
  <si>
    <t>RB-06428</t>
  </si>
  <si>
    <t>P10-F06428</t>
  </si>
  <si>
    <t>PBS-0029</t>
  </si>
  <si>
    <t>Documented schema/parser/data-contract evidence for 'Data/System/Components/teleprts.txt' from current source; no source/config behavior change.</t>
  </si>
  <si>
    <t>POST-BATCH-N lane=POST-BATCH-N-SCHEMA-DOCUMENTATION; FileProofStatus=CurrentPathConfirmed; Housing-&gt;DataFile:Data/System/Components/teleprts.txt; Data/Scripts/Items/Houses/ComponentVerification.cs:L59:"Data/System/Components/teleprts.txt",; POST-BATCH-S CurrentSource=Data/Scripts/Items/Houses/ComponentVerification.cs:L59:"Data/System/Components/teleprts.txt",; POST-BATCH-S direct schema review=PathConstantOrSchemaReference</t>
  </si>
  <si>
    <t>POST-BATCH-S schema documentation review. Previous active row was PBN-0254/PBF-167. No source/project/XML/config/data behavior changed.</t>
  </si>
  <si>
    <t>RB-06429</t>
  </si>
  <si>
    <t>P10-F06429</t>
  </si>
  <si>
    <t>PBS-0030</t>
  </si>
  <si>
    <t>Documented schema/parser/data-contract evidence for 'Data/System/Components/walls.txt' from current source; no source/config behavior change.</t>
  </si>
  <si>
    <t>POST-BATCH-N lane=POST-BATCH-N-SCHEMA-DOCUMENTATION; FileProofStatus=CurrentPathConfirmed; Housing-&gt;DataFile:Data/System/Components/walls.txt; Data/Scripts/Items/Houses/ComponentVerification.cs:L42:"Data/System/Components/walls.txt",; POST-BATCH-S CurrentSource=Data/Scripts/Items/Houses/ComponentVerification.cs:L42:"Data/System/Components/walls.txt",; POST-BATCH-S direct schema review=PathConstantOrSchemaReference</t>
  </si>
  <si>
    <t>POST-BATCH-S schema documentation review. Previous active row was PBN-0255/PBF-168. No source/project/XML/config/data behavior changed.</t>
  </si>
  <si>
    <t>RB-06430</t>
  </si>
  <si>
    <t>P10-F06430</t>
  </si>
  <si>
    <t>PBS-0031</t>
  </si>
  <si>
    <t>Documented schema/parser/data-contract evidence for 'dsd_exceptions.txt' from current source; no source/config behavior change.</t>
  </si>
  <si>
    <t>POST-BATCH-N lane=POST-BATCH-N-SCHEMA-DOCUMENTATION; FileProofStatus=CurrentPathConfirmed; Housing-&gt;DataFile:dsd_exceptions.txt; Data/Scripts/Items/Houses/HouseFoundation.cs:L2892:using (StreamWriter op = new StreamWriter("dsd_exceptions.txt", true)); POST-BATCH-S CurrentSource=Data/Scripts/Items/Houses/HouseFoundation.cs:L2900:using (StreamWriter op = new StreamWriter("dsd_exceptions.txt", true)); POST-BATCH-S direct schema review=GeneratedOrWrittenDataSurface</t>
  </si>
  <si>
    <t>POST-BATCH-S schema documentation review. Previous active row was PBN-0256/PBF-169. No source/project/XML/config/data behavior changed.</t>
  </si>
  <si>
    <t>RB-06431</t>
  </si>
  <si>
    <t>P10-F06431</t>
  </si>
  <si>
    <t>PBS-0032</t>
  </si>
  <si>
    <t>Documented schema/parser/data-contract evidence for 'Data/The Pirate Captain Invader/Speech.txt' from current source; no source/config behavior change.</t>
  </si>
  <si>
    <t>POST-BATCH-N lane=POST-BATCH-N-SCHEMA-DOCUMENTATION; FileProofStatus=CurrentPathConfirmed; Invasion-&gt;DataFile:Data/The Pirate Captain Invader/Speech.txt; Data/Scripts/Custom/Invasion System/Add Ins/Pirates/Chasing Pirates/PirateCaptain.cs:L20:public static string path = "Data/The Pirate Captain Invader/Speech.txt";; POST-BATCH-S CurrentSource=Data/Scripts/Custom/Invasion System/Add Ins/Pirates/Chasing Pirates/PirateCaptain.cs:L20:public static string path = "Data/The Pirate Captain Invader/Speech.txt";; POST-BATCH-S direct schema review=PathConstantOrSchemaReference</t>
  </si>
  <si>
    <t>POST-BATCH-S schema documentation review. Previous active row was PBN-0257/PBF-170. No source/project/XML/config/data behavior changed.</t>
  </si>
  <si>
    <t>RB-06432</t>
  </si>
  <si>
    <t>P10-F06432</t>
  </si>
  <si>
    <t>Data/Scripts/Items/Books/BulletinBoards/RulesBoard.cs</t>
  </si>
  <si>
    <t>PBS-0033</t>
  </si>
  <si>
    <t>Documented schema/parser/data-contract evidence for 'Info/Rules.txt' from current source; no source/config behavior change.</t>
  </si>
  <si>
    <t>POST-BATCH-N lane=POST-BATCH-N-SCHEMA-DOCUMENTATION; FileProofStatus=CurrentPathConfirmed; Items:Books-&gt;DataFile:Info/Rules.txt; Data/Scripts/Items/Books/BulletinBoards/RulesBoard.cs:L29:string path = "Info/Rules.txt";; POST-BATCH-S CurrentSource=Data/Scripts/Items/Books/BulletinBoards/RulesBoard.cs:L32:string path = "Info/Rules.txt";; POST-BATCH-S direct schema review=PathConstantOrSchemaReference</t>
  </si>
  <si>
    <t>POST-BATCH-S schema documentation review. Previous active row was PBN-0258/PBF-171. No source/project/XML/config/data behavior changed.</t>
  </si>
  <si>
    <t>RB-06433</t>
  </si>
  <si>
    <t>P10-F06433</t>
  </si>
  <si>
    <t>Obsolete Scripts</t>
  </si>
  <si>
    <t>PBS-0045</t>
  </si>
  <si>
    <t>Documented schema/parser/data-contract evidence for 'myrunuodb_{0}_{1}.txt' from current source; no source/config behavior change.</t>
  </si>
  <si>
    <t>POST-BATCH-N lane=POST-BATCH-N-SCHEMA-DOCUMENTATION; FileProofStatus=CurrentPathConfirmed; Obsolete Scripts-&gt;DataFile:myrunuodb_{0}_{1}.txt; Data/Scripts/System/Obsolete/Obsolete.cs:L23355:String.Format("myrunuodb_{0}_{1}.txt", type, i); POST-BATCH-S CurrentSource=Data/Scripts/System/Obsolete/Obsolete.cs:L23434:String.Format("myrunuodb_{0}_{1}.txt", type, i); POST-BATCH-S direct schema review=PathConstantOrSchemaReference</t>
  </si>
  <si>
    <t>POST-BATCH-S schema documentation review. Previous active row was PBN-0270/PBF-172. No source/project/XML/config/data behavior changed.</t>
  </si>
  <si>
    <t>RB-06434</t>
  </si>
  <si>
    <t>P10-F06434</t>
  </si>
  <si>
    <t>PBS-0046</t>
  </si>
  <si>
    <t>Documented schema/parser/data-contract evidence for 'myrunuodb_{0}.txt' from current source; no source/config behavior change.</t>
  </si>
  <si>
    <t>POST-BATCH-N lane=POST-BATCH-N-SCHEMA-DOCUMENTATION; FileProofStatus=CurrentPathConfirmed; Obsolete Scripts-&gt;DataFile:myrunuodb_{0}.txt; Data/Scripts/System/Obsolete/Obsolete.cs:L23340:filePath = Path.Combine(Core.BaseDirectory, String.Format("myrunuodb_{0}.txt", type)); POST-BATCH-S CurrentSource=Data/Scripts/System/Obsolete/Obsolete.cs:L23419:filePath = Path.Combine(Core.BaseDirectory, String.Format("myrunuodb_{0}.txt", type)); POST-BATCH-S direct schema review=PathConstantOrSchemaReference</t>
  </si>
  <si>
    <t>POST-BATCH-S schema documentation review. Previous active row was PBN-0271/PBF-173. No source/project/XML/config/data behavior changed.</t>
  </si>
  <si>
    <t>RB-06435</t>
  </si>
  <si>
    <t>P10-F06435</t>
  </si>
  <si>
    <t>Random Encounters</t>
  </si>
  <si>
    <t>Data/Scripts/Custom/PvE/RandomEncounters/EncounterEngine.cs</t>
  </si>
  <si>
    <t>PBS-0047</t>
  </si>
  <si>
    <t>Documented schema/parser/data-contract evidence for './Data/Scripts/Custom/RandomEncounters/RandomEncounters.xml' from current source; no source/config behavior change.</t>
  </si>
  <si>
    <t>POST-BATCH-N lane=POST-BATCH-N-SCHEMA-DOCUMENTATION; FileProofStatus=CurrentPathConfirmed; Random Encounters-&gt;DataFile:./Data/Scripts/Custom/RandomEncounters/RandomEncounters.xml; Data/Scripts/Custom/RandomEncounters/EncounterEngine.cs:L47:"./Data/Scripts/Custom/RandomEncounters/RandomEncounters.xml";; POST-BATCH-S CurrentSource=Data/Scripts/Custom/PvE/RandomEncounters/EncounterEngine.cs:L47:"./Data/Scripts/Custom/PvE/RandomEncounters/RandomEncounters.xml";; POST-BATCH-S direct schema review=XmlDocumentSchemaSurface</t>
  </si>
  <si>
    <t>POST-BATCH-S schema documentation review. Previous active row was PBN-0272/PBF-174. No source/project/XML/config/data behavior changed.</t>
  </si>
  <si>
    <t>RB-06436</t>
  </si>
  <si>
    <t>P10-F06436</t>
  </si>
  <si>
    <t>Data/Scripts/Custom/PvE/RandomEncounters/Import.cs</t>
  </si>
  <si>
    <t>PBS-0048</t>
  </si>
  <si>
    <t>Documented schema/parser/data-contract evidence for 'Data/Import/Premiums/RandomEncounters.xml' from current source; no source/config behavior change.</t>
  </si>
  <si>
    <t>POST-BATCH-N lane=POST-BATCH-N-SCHEMA-DOCUMENTATION; FileProofStatus=CurrentPathConfirmed; Random Encounters-&gt;DataFile:Data/Import/Premiums/RandomEncounters.xml; Data/Scripts/Custom/RandomEncounters/Import.cs:L382:"Data/Import/Premiums/RandomEncounters.xml"; POST-BATCH-S CurrentSource=Data/Scripts/Custom/PvE/RandomEncounters/Import.cs:L382:"Data/Import/Premiums/RandomEncounters.xml"; POST-BATCH-S direct schema review=XmlDocumentSchemaSurface</t>
  </si>
  <si>
    <t>POST-BATCH-S schema documentation review. Previous active row was PBN-0273/PBF-175. No source/project/XML/config/data behavior changed.</t>
  </si>
  <si>
    <t>RB-06437</t>
  </si>
  <si>
    <t>P10-F06437</t>
  </si>
  <si>
    <t>Data/System/Source/Region.cs</t>
  </si>
  <si>
    <t>PBS-0049</t>
  </si>
  <si>
    <t>Classified diagnostic string 'Could not find root element 'ServerRegions' in Regions.xml' as not being a schema/data path; no source/config change.</t>
  </si>
  <si>
    <t>POST-BATCH-N lane=POST-BATCH-N-SCHEMA-DOCUMENTATION; FileProofStatus=CurrentPathConfirmed; Regions-&gt;DataFile:Could not find root element 'ServerRegions' in Regions.xml; Data/System/Source/Region.cs:L938:Console.WriteLine("Could not find root element 'ServerRegions' in Regions.xml");; POST-BATCH-S CurrentSource=Data/System/Source/Region.cs:L938:Console.WriteLine("Could not find root element 'ServerRegions' in Regions.xml");; POST-BATCH-S direct schema review=DiagnosticStringNotSchemaPath</t>
  </si>
  <si>
    <t>POST-BATCH-S schema documentation review. Previous active row was PBN-0274/PBF-176. No source/project/XML/config/data behavior changed.</t>
  </si>
  <si>
    <t>RB-06438</t>
  </si>
  <si>
    <t>P10-F06438</t>
  </si>
  <si>
    <t>PBS-0050</t>
  </si>
  <si>
    <t>Documented schema/parser/data-contract evidence for 'Data/System/XML/Regions.xml' from current source; no source/config behavior change.</t>
  </si>
  <si>
    <t>POST-BATCH-N lane=POST-BATCH-N-SCHEMA-DOCUMENTATION; FileProofStatus=CurrentPathConfirmed; Regions-&gt;DataFile:Data/System/XML/Regions.xml; Data/System/Source/Region.cs:L923:if (!System.IO.File.Exists("Data/System/XML/Regions.xml")); POST-BATCH-S CurrentSource=Data/System/Source/Region.cs:L923:if (!System.IO.File.Exists("Data/System/XML/Regions.xml")); POST-BATCH-S direct schema review=XmlDocumentSchemaSurface</t>
  </si>
  <si>
    <t>POST-BATCH-S schema documentation review. Previous active row was PBN-0275/PBF-177. No source/project/XML/config/data behavior changed.</t>
  </si>
  <si>
    <t>RB-06439</t>
  </si>
  <si>
    <t>P10-F06439</t>
  </si>
  <si>
    <t>PBS-0051</t>
  </si>
  <si>
    <t>POST-BATCH-N lane=POST-BATCH-N-SCHEMA-DOCUMENTATION; FileProofStatus=CurrentPathConfirmed; Regions-&gt;DataFile:Data/System/XML/Regions.xml; Data/System/Source/Region.cs:L932:doc.Load(System.IO.Path.Combine(Core.BaseDirectory, "Data/System/XML/Regions.xml"));; POST-BATCH-S CurrentSource=Data/System/Source/Region.cs:L932:doc.Load(System.IO.Path.Combine(Core.BaseDirectory, "Data/System/XML/Regions.xml"));; POST-BATCH-S direct schema review=XmlDocumentSchemaSurface</t>
  </si>
  <si>
    <t>POST-BATCH-S schema documentation review. Previous active row was PBN-0276/PBF-178. No source/project/XML/config/data behavior changed.</t>
  </si>
  <si>
    <t>RB-06440</t>
  </si>
  <si>
    <t>P10-F06440</t>
  </si>
  <si>
    <t>PBS-0052</t>
  </si>
  <si>
    <t>Classified diagnostic string 'Invalid region type '{0}' in regions.xml' as not being a schema/data path; no source/config change.</t>
  </si>
  <si>
    <t>POST-BATCH-N lane=POST-BATCH-N-SCHEMA-DOCUMENTATION; FileProofStatus=CurrentPathConfirmed; Regions-&gt;DataFile:Invalid region type '{0}' in regions.xml; Data/System/Source/Region.cs:L968:Console.WriteLine("Invalid region type '{0}' in regions.xml", type.FullName);; POST-BATCH-S CurrentSource=Data/System/Source/Region.cs:L968:Console.WriteLine("Invalid region type '{0}' in regions.xml", type.FullName);; POST-BATCH-S direct schema review=DiagnosticStringNotSchemaPath</t>
  </si>
  <si>
    <t>POST-BATCH-S schema documentation review. Previous active row was PBN-0277/PBF-179. No source/project/XML/config/data behavior changed.</t>
  </si>
  <si>
    <t>RB-06441</t>
  </si>
  <si>
    <t>P10-F06441</t>
  </si>
  <si>
    <t>PBS-0053</t>
  </si>
  <si>
    <t>POST-BATCH-N lane=POST-BATCH-N-SCHEMA-DOCUMENTATION; FileProofStatus=CurrentPathConfirmed; Regions-&gt;DataFile:myrunuodb_{0}_{1}.txt; Data/Scripts/System/Obsolete/Obsolete.cs:L23355:String.Format("myrunuodb_{0}_{1}.txt", type, i); POST-BATCH-S CurrentSource=Data/Scripts/System/Obsolete/Obsolete.cs:L23434:String.Format("myrunuodb_{0}_{1}.txt", type, i); POST-BATCH-S direct schema review=PathConstantOrSchemaReference</t>
  </si>
  <si>
    <t>POST-BATCH-S schema documentation review. Previous active row was PBN-0278/PBF-180. No source/project/XML/config/data behavior changed.</t>
  </si>
  <si>
    <t>RB-06442</t>
  </si>
  <si>
    <t>P10-F06442</t>
  </si>
  <si>
    <t>PBS-0054</t>
  </si>
  <si>
    <t>POST-BATCH-N lane=POST-BATCH-N-SCHEMA-DOCUMENTATION; FileProofStatus=CurrentPathConfirmed; Regions-&gt;DataFile:myrunuodb_{0}.txt; Data/Scripts/System/Obsolete/Obsolete.cs:L23340:filePath = Path.Combine(Core.BaseDirectory, String.Format("myrunuodb_{0}.txt", type)); POST-BATCH-S CurrentSource=Data/Scripts/System/Obsolete/Obsolete.cs:L23419:filePath = Path.Combine(Core.BaseDirectory, String.Format("myrunuodb_{0}.txt", type)); POST-BATCH-S direct schema review=PathConstantOrSchemaReference</t>
  </si>
  <si>
    <t>POST-BATCH-S schema documentation review. Previous active row was PBN-0279/PBF-181. No source/project/XML/config/data behavior changed.</t>
  </si>
  <si>
    <t>RB-06443</t>
  </si>
  <si>
    <t>P10-F06443</t>
  </si>
  <si>
    <t>Data/Scripts/System/Misc/Reporting.cs</t>
  </si>
  <si>
    <t>PBS-0055</t>
  </si>
  <si>
    <t>Documented schema/parser/data-contract evidence for 'reportHistory.xml' from current source; no source/config behavior change.</t>
  </si>
  <si>
    <t>POST-BATCH-N lane=POST-BATCH-N-SCHEMA-DOCUMENTATION; FileProofStatus=CurrentPathConfirmed; Regions-&gt;DataFile:reportHistory.xml; Data/Scripts/System/Misc/Reporting.cs:L6184:string path = Path.Combine(Core.BaseDirectory, "reportHistory.xml");; POST-BATCH-S CurrentSource=Data/Scripts/System/Misc/Reporting.cs:L6184:string path = Path.Combine(Core.BaseDirectory, "reportHistory.xml");; POST-BATCH-S direct schema review=XmlDocumentSchemaSurface</t>
  </si>
  <si>
    <t>POST-BATCH-S schema documentation review. Previous active row was PBN-0280/PBF-182. No source/project/XML/config/data behavior changed.</t>
  </si>
  <si>
    <t>RB-06444</t>
  </si>
  <si>
    <t>P10-F06444</t>
  </si>
  <si>
    <t>PBS-0056</t>
  </si>
  <si>
    <t>POST-BATCH-N lane=POST-BATCH-N-SCHEMA-DOCUMENTATION; FileProofStatus=CurrentPathConfirmed; Regions-&gt;DataFile:reportHistory.xml; Data/Scripts/System/Misc/Reporting.cs:L6194:string path = Path.Combine(Core.BaseDirectory, "reportHistory.xml");; POST-BATCH-S CurrentSource=Data/Scripts/System/Misc/Reporting.cs:L6194:string path = Path.Combine(Core.BaseDirectory, "reportHistory.xml");; POST-BATCH-S direct schema review=XmlDocumentSchemaSurface</t>
  </si>
  <si>
    <t>POST-BATCH-S schema documentation review. Previous active row was PBN-0281/PBF-183. No source/project/XML/config/data behavior changed.</t>
  </si>
  <si>
    <t>RB-06445</t>
  </si>
  <si>
    <t>P10-F06445</t>
  </si>
  <si>
    <t>PBS-0057</t>
  </si>
  <si>
    <t>Documented schema/parser/data-contract evidence for 'staffHistory.xml' from current source; no source/config behavior change.</t>
  </si>
  <si>
    <t>POST-BATCH-N lane=POST-BATCH-N-SCHEMA-DOCUMENTATION; FileProofStatus=CurrentPathConfirmed; Regions-&gt;DataFile:staffHistory.xml; Data/Scripts/System/Misc/Reporting.cs:L6322:string path = Path.Combine(Core.BaseDirectory, "staffHistory.xml");; POST-BATCH-S CurrentSource=Data/Scripts/System/Misc/Reporting.cs:L6322:string path = Path.Combine(Core.BaseDirectory, "staffHistory.xml");; POST-BATCH-S direct schema review=XmlDocumentSchemaSurface</t>
  </si>
  <si>
    <t>POST-BATCH-S schema documentation review. Previous active row was PBN-0282/PBF-184. No source/project/XML/config/data behavior changed.</t>
  </si>
  <si>
    <t>RB-06446</t>
  </si>
  <si>
    <t>P10-F06446</t>
  </si>
  <si>
    <t>PBS-0058</t>
  </si>
  <si>
    <t>POST-BATCH-N lane=POST-BATCH-N-SCHEMA-DOCUMENTATION; FileProofStatus=CurrentPathConfirmed; Regions-&gt;DataFile:staffHistory.xml; Data/Scripts/System/Misc/Reporting.cs:L6333:string path = Path.Combine(Core.BaseDirectory, "staffHistory.xml");; POST-BATCH-S CurrentSource=Data/Scripts/System/Misc/Reporting.cs:L6333:string path = Path.Combine(Core.BaseDirectory, "staffHistory.xml");; POST-BATCH-S direct schema review=XmlDocumentSchemaSurface</t>
  </si>
  <si>
    <t>POST-BATCH-S schema documentation review. Previous active row was PBN-0283/PBF-185. No source/project/XML/config/data behavior changed.</t>
  </si>
  <si>
    <t>RB-06447</t>
  </si>
  <si>
    <t>P10-F06447</t>
  </si>
  <si>
    <t>Data/System/Source/ScriptCompiler.cs</t>
  </si>
  <si>
    <t>PBS-0059</t>
  </si>
  <si>
    <t>Documented schema/parser/data-contract evidence for 'Data/System/CFG/Assemblies.cfg' from current source; no source/config behavior change.</t>
  </si>
  <si>
    <t>POST-BATCH-N lane=POST-BATCH-N-SCHEMA-DOCUMENTATION; FileProofStatus=CurrentPathConfirmed; ServerCore-&gt;DataFile:Data/System/CFG/Assemblies.cfg; Data/System/Source/ScriptCompiler.cs:L52:string path = Path.Combine(Core.BaseDirectory, "Data/System/CFG/Assemblies.cfg");; POST-BATCH-S CurrentSource=Data/System/Source/ScriptCompiler.cs:L52:string path = Path.Combine(Core.BaseDirectory, "Data/System/CFG/Assemblies.cfg");; POST-BATCH-S direct schema review=PathConstantOrSchemaReference</t>
  </si>
  <si>
    <t>POST-BATCH-S schema documentation review. Previous active row was PBN-0284/PBF-186. No source/project/XML/config/data behavior changed.</t>
  </si>
  <si>
    <t>RB-06448</t>
  </si>
  <si>
    <t>P10-F06448</t>
  </si>
  <si>
    <t>Data/System/Source/Items/Container.cs</t>
  </si>
  <si>
    <t>PBS-0060</t>
  </si>
  <si>
    <t>Documented schema/parser/data-contract evidence for 'Data/System/CFG/containers.cfg' from current source; no source/config behavior change.</t>
  </si>
  <si>
    <t>POST-BATCH-N lane=POST-BATCH-N-SCHEMA-DOCUMENTATION; FileProofStatus=CurrentPathConfirmed; ServerCore-&gt;DataFile:Data/System/CFG/containers.cfg; Data/System/Source/Items/Container.cs:L1862:string path = Path.Combine(Core.BaseDirectory, "Data/System/CFG/containers.cfg");; POST-BATCH-S CurrentSource=Data/System/Source/Items/Container.cs:L1862:string path = Path.Combine(Core.BaseDirectory, "Data/System/CFG/containers.cfg");; POST-BATCH-S direct schema review=PathConstantOrSchemaReference</t>
  </si>
  <si>
    <t>POST-BATCH-S schema documentation review. Previous active row was PBN-0285/PBF-187. No source/project/XML/config/data behavior changed.</t>
  </si>
  <si>
    <t>RB-06449</t>
  </si>
  <si>
    <t>P10-F06449</t>
  </si>
  <si>
    <t>PBS-0061</t>
  </si>
  <si>
    <t>Classified diagnostic string 'Warning: double ItemID entry in containers.cfg' as not being a schema/data path; no source/config change.</t>
  </si>
  <si>
    <t>POST-BATCH-N lane=POST-BATCH-N-SCHEMA-DOCUMENTATION; FileProofStatus=CurrentPathConfirmed; ServerCore-&gt;DataFile:Warning: double ItemID entry in containers.cfg; Data/System/Source/Items/Container.cs:L1918:@"Warning: double ItemID entry in containers.cfg"; POST-BATCH-S CurrentSource=Data/System/Source/Items/Container.cs:L1918:@"Warning: double ItemID entry in containers.cfg"; POST-BATCH-S direct schema review=DiagnosticStringNotSchemaPath</t>
  </si>
  <si>
    <t>POST-BATCH-S schema documentation review. Previous active row was PBN-0286/PBF-188. No source/project/XML/config/data behavior changed.</t>
  </si>
  <si>
    <t>RB-06450</t>
  </si>
  <si>
    <t>P10-F06450</t>
  </si>
  <si>
    <t>Data/Scripts/System/Commands/SpecialExport.cs</t>
  </si>
  <si>
    <t>PBS-0071</t>
  </si>
  <si>
    <t>Documented schema/parser/data-contract evidence for '.\Export\{0}.cfg' from current source; no source/config behavior change.</t>
  </si>
  <si>
    <t>POST-BATCH-N lane=POST-BATCH-N-SCHEMA-DOCUMENTATION; FileProofStatus=CurrentPathConfirmed; System:Commands-&gt;DataFile:.\Export\{0}.cfg; Data/Scripts/System/Commands/SpecialExport.cs:L76:using (StreamWriter op = new StreamWriter(String.Format(@".\Export\{0}.cfg", file))); POST-BATCH-S CurrentSource=Data/Scripts/System/Commands/SpecialExport.cs:L76:using (StreamWriter op = new StreamWriter(String.Format(@".\Export\{0}.cfg", file))); POST-BATCH-S direct schema review=GeneratedOrWrittenDataSurface</t>
  </si>
  <si>
    <t>POST-BATCH-S schema documentation review. Previous active row was PBN-0296/PBF-189. No source/project/XML/config/data behavior changed.</t>
  </si>
  <si>
    <t>RB-06451</t>
  </si>
  <si>
    <t>P10-F06451</t>
  </si>
  <si>
    <t>Data/Scripts/System/Commands/StaticExport.cs</t>
  </si>
  <si>
    <t>PBS-0072</t>
  </si>
  <si>
    <t>POST-BATCH-N lane=POST-BATCH-N-SCHEMA-DOCUMENTATION; FileProofStatus=CurrentPathConfirmed; System:Commands-&gt;DataFile:.\Export\{0}.cfg; Data/Scripts/System/Commands/StaticExport.cs:L77:using (StreamWriter op = new StreamWriter(String.Format(@".\Export\{0}.cfg", file))); POST-BATCH-S CurrentSource=Data/Scripts/System/Commands/StaticExport.cs:L77:using (StreamWriter op = new StreamWriter(String.Format(@".\Export\{0}.cfg", file))); POST-BATCH-S direct schema review=GeneratedOrWrittenDataSurface</t>
  </si>
  <si>
    <t>POST-BATCH-S schema documentation review. Previous active row was PBN-0297/PBF-190. No source/project/XML/config/data behavior changed.</t>
  </si>
  <si>
    <t>RB-06452</t>
  </si>
  <si>
    <t>P10-F06452</t>
  </si>
  <si>
    <t>Data/Scripts/System/Commands/AreaLog.cs</t>
  </si>
  <si>
    <t>PBS-0073</t>
  </si>
  <si>
    <t>Documented schema/parser/data-contract evidence for 'area.txt' from current source; no source/config behavior change.</t>
  </si>
  <si>
    <t>POST-BATCH-N lane=POST-BATCH-N-SCHEMA-DOCUMENTATION; FileProofStatus=CurrentPathConfirmed; System:Commands-&gt;DataFile:area.txt; Data/Scripts/System/Commands/AreaLog.cs:L43:new object[] { "area.txt" }; POST-BATCH-S CurrentSource=Data/Scripts/System/Commands/AreaLog.cs:L43:new object[] { "area.txt" }; POST-BATCH-S direct schema review=PathConstantOrSchemaReference</t>
  </si>
  <si>
    <t>POST-BATCH-S schema documentation review. Previous active row was PBN-0298/PBF-191. No source/project/XML/config/data behavior changed.</t>
  </si>
  <si>
    <t>RB-06453</t>
  </si>
  <si>
    <t>P10-F06453</t>
  </si>
  <si>
    <t>PBS-0074</t>
  </si>
  <si>
    <t>POST-BATCH-N lane=POST-BATCH-N-SCHEMA-DOCUMENTATION; FileProofStatus=CurrentPathConfirmed; System:Commands-&gt;DataFile:area.txt; Data/Scripts/System/Commands/AreaLog.cs:L55:StreamWriter w = File.AppendText("area.txt");; POST-BATCH-S CurrentSource=Data/Scripts/System/Commands/AreaLog.cs:L55:StreamWriter w = File.AppendText("area.txt");; POST-BATCH-S direct schema review=GeneratedOrWrittenDataSurface</t>
  </si>
  <si>
    <t>POST-BATCH-S schema documentation review. Previous active row was PBN-0299/PBF-192. No source/project/XML/config/data behavior changed.</t>
  </si>
  <si>
    <t>RB-06454</t>
  </si>
  <si>
    <t>P10-F06454</t>
  </si>
  <si>
    <t>Data/Scripts/System/Commands/PointLog.cs</t>
  </si>
  <si>
    <t>PBS-0075</t>
  </si>
  <si>
    <t>Documented schema/parser/data-contract evidence for 'containers.txt' from current source; no source/config behavior change.</t>
  </si>
  <si>
    <t>POST-BATCH-N lane=POST-BATCH-N-SCHEMA-DOCUMENTATION; FileProofStatus=CurrentPathConfirmed; System:Commands-&gt;DataFile:containers.txt; Data/Scripts/System/Commands/PointLog.cs:L81:StreamWriter w = File.AppendText("containers.txt");; POST-BATCH-S CurrentSource=Data/Scripts/System/Commands/PointLog.cs:L81:StreamWriter w = File.AppendText("containers.txt");; POST-BATCH-S direct schema review=GeneratedOrWrittenDataSurface</t>
  </si>
  <si>
    <t>POST-BATCH-S schema documentation review. Previous active row was PBN-0300/PBF-193. No source/project/XML/config/data behavior changed.</t>
  </si>
  <si>
    <t>RB-06455</t>
  </si>
  <si>
    <t>P10-F06455</t>
  </si>
  <si>
    <t>Data/Scripts/System/Commands/GenCategorization.cs</t>
  </si>
  <si>
    <t>PBS-0076</t>
  </si>
  <si>
    <t>Documented schema/parser/data-contract evidence for 'Data/System/CFG/items.cfg' from current source; no source/config behavior change.</t>
  </si>
  <si>
    <t>POST-BATCH-N lane=POST-BATCH-N-SCHEMA-DOCUMENTATION; FileProofStatus=CurrentPathConfirmed; System:Commands-&gt;DataFile:Data/System/CFG/items.cfg; Data/Scripts/System/Commands/GenCategorization.cs:L169:m_RootItems = Load(types, "Data/System/CFG/items.cfg");; POST-BATCH-S CurrentSource=Data/Scripts/System/Commands/GenCategorization.cs:L169:m_RootItems = Load(types, "Data/System/CFG/items.cfg");; POST-BATCH-S direct schema review=PathConstantOrSchemaReference</t>
  </si>
  <si>
    <t>POST-BATCH-S schema documentation review. Previous active row was PBN-0301/PBF-194. No source/project/XML/config/data behavior changed.</t>
  </si>
  <si>
    <t>RB-06456</t>
  </si>
  <si>
    <t>P10-F06456</t>
  </si>
  <si>
    <t>PBS-0077</t>
  </si>
  <si>
    <t>Documented schema/parser/data-contract evidence for 'Data/System/CFG/mobiles.cfg' from current source; no source/config behavior change.</t>
  </si>
  <si>
    <t>POST-BATCH-N lane=POST-BATCH-N-SCHEMA-DOCUMENTATION; FileProofStatus=CurrentPathConfirmed; System:Commands-&gt;DataFile:Data/System/CFG/mobiles.cfg; Data/Scripts/System/Commands/GenCategorization.cs:L170:m_RootMobiles = Load(types, "Data/System/CFG/mobiles.cfg");; POST-BATCH-S CurrentSource=Data/Scripts/System/Commands/GenCategorization.cs:L170:m_RootMobiles = Load(types, "Data/System/CFG/mobiles.cfg");; POST-BATCH-S direct schema review=PathConstantOrSchemaReference</t>
  </si>
  <si>
    <t>POST-BATCH-S schema documentation review. Previous active row was PBN-0302/PBF-195. No source/project/XML/config/data behavior changed.</t>
  </si>
  <si>
    <t>RB-06457</t>
  </si>
  <si>
    <t>P10-F06457</t>
  </si>
  <si>
    <t>PBS-0078</t>
  </si>
  <si>
    <t>Documented schema/parser/data-contract evidence for 'Data/System/XML/objects.xml' from current source; no source/config behavior change.</t>
  </si>
  <si>
    <t>POST-BATCH-N lane=POST-BATCH-N-SCHEMA-DOCUMENTATION; FileProofStatus=CurrentPathConfirmed; System:Commands-&gt;DataFile:Data/System/XML/objects.xml; Data/Scripts/System/Commands/GenCategorization.cs:L57:Export(root, "Data/System/XML/objects.xml", "Objects");; POST-BATCH-S CurrentSource=Data/Scripts/System/Commands/GenCategorization.cs:L57:Export(root, "Data/System/XML/objects.xml", "Objects");; POST-BATCH-S direct schema review=XmlDocumentSchemaSurface</t>
  </si>
  <si>
    <t>POST-BATCH-S schema documentation review. Previous active row was PBN-0303/PBF-196. No source/project/XML/config/data behavior changed.</t>
  </si>
  <si>
    <t>RB-06458</t>
  </si>
  <si>
    <t>P10-F06458</t>
  </si>
  <si>
    <t>Data/Scripts/System/Commands/FaceLog.cs</t>
  </si>
  <si>
    <t>PBS-0079</t>
  </si>
  <si>
    <t>Documented schema/parser/data-contract evidence for 'facing.txt' from current source; no source/config behavior change.</t>
  </si>
  <si>
    <t>POST-BATCH-N lane=POST-BATCH-N-SCHEMA-DOCUMENTATION; FileProofStatus=CurrentPathConfirmed; System:Commands-&gt;DataFile:facing.txt; Data/Scripts/System/Commands/FaceLog.cs:L102:StreamWriter w = File.AppendText("facing.txt");; POST-BATCH-S CurrentSource=Data/Scripts/System/Commands/FaceLog.cs:L102:StreamWriter w = File.AppendText("facing.txt");; POST-BATCH-S direct schema review=GeneratedOrWrittenDataSurface</t>
  </si>
  <si>
    <t>POST-BATCH-S schema documentation review. Previous active row was PBN-0304/PBF-197. No source/project/XML/config/data behavior changed.</t>
  </si>
  <si>
    <t>RB-06459</t>
  </si>
  <si>
    <t>P10-F06459</t>
  </si>
  <si>
    <t>Data/Scripts/System/Commands/LogTreasureChests.cs</t>
  </si>
  <si>
    <t>PBS-0080</t>
  </si>
  <si>
    <t>Documented schema/parser/data-contract evidence for 'Info/treasurechests.txt' from current source; no source/config behavior change.</t>
  </si>
  <si>
    <t>POST-BATCH-N lane=POST-BATCH-N-SCHEMA-DOCUMENTATION; FileProofStatus=CurrentPathConfirmed; System:Commands-&gt;DataFile:Info/treasurechests.txt; Data/Scripts/System/Commands/LogTreasureChests.cs:L42:string sPath = "Info/treasurechests.txt";; POST-BATCH-S CurrentSource=Data/Scripts/System/Commands/LogTreasureChests.cs:L42:string sPath = "Info/treasurechests.txt";; POST-BATCH-S direct schema review=PathConstantOrSchemaReference</t>
  </si>
  <si>
    <t>POST-BATCH-S schema documentation review. Previous active row was PBN-0305/PBF-198. No source/project/XML/config/data behavior changed.</t>
  </si>
  <si>
    <t>RB-06460</t>
  </si>
  <si>
    <t>P10-F06460</t>
  </si>
  <si>
    <t>PBS-0081</t>
  </si>
  <si>
    <t>Documented schema/parser/data-contract evidence for 'points.txt' from current source; no source/config behavior change.</t>
  </si>
  <si>
    <t>POST-BATCH-N lane=POST-BATCH-N-SCHEMA-DOCUMENTATION; FileProofStatus=CurrentPathConfirmed; System:Commands-&gt;DataFile:points.txt; Data/Scripts/System/Commands/PointLog.cs:L66:StreamWriter w = File.AppendText("points.txt");; POST-BATCH-S CurrentSource=Data/Scripts/System/Commands/PointLog.cs:L66:StreamWriter w = File.AppendText("points.txt");; POST-BATCH-S direct schema review=GeneratedOrWrittenDataSurface</t>
  </si>
  <si>
    <t>POST-BATCH-S schema documentation review. Previous active row was PBN-0306/PBF-199. No source/project/XML/config/data behavior changed.</t>
  </si>
  <si>
    <t>RB-06461</t>
  </si>
  <si>
    <t>P10-F06461</t>
  </si>
  <si>
    <t>Data/Scripts/System/Commands/RecordItems.cs</t>
  </si>
  <si>
    <t>PBS-0082</t>
  </si>
  <si>
    <t>Documented schema/parser/data-contract evidence for 'region.txt' from current source; no source/config behavior change.</t>
  </si>
  <si>
    <t>POST-BATCH-N lane=POST-BATCH-N-SCHEMA-DOCUMENTATION; FileProofStatus=CurrentPathConfirmed; System:Commands-&gt;DataFile:region.txt; Data/Scripts/System/Commands/RecordItems.cs:L32:StreamWriter w = File.AppendText("region.txt");; POST-BATCH-S CurrentSource=Data/Scripts/System/Commands/RecordItems.cs:L32:StreamWriter w = File.AppendText("region.txt");; POST-BATCH-S direct schema review=GeneratedOrWrittenDataSurface</t>
  </si>
  <si>
    <t>POST-BATCH-S schema documentation review. Previous active row was PBN-0307/PBF-200. No source/project/XML/config/data behavior changed.</t>
  </si>
  <si>
    <t>RB-06462</t>
  </si>
  <si>
    <t>P10-F06462</t>
  </si>
  <si>
    <t>Data/Scripts/System/Commands/SpawnerCatalog.cs</t>
  </si>
  <si>
    <t>PBS-0083</t>
  </si>
  <si>
    <t>Documented schema/parser/data-contract evidence for 'spawners.txt' from current source; no source/config behavior change.</t>
  </si>
  <si>
    <t>POST-BATCH-N lane=POST-BATCH-N-SCHEMA-DOCUMENTATION; FileProofStatus=CurrentPathConfirmed; System:Commands-&gt;DataFile:spawners.txt; Data/Scripts/System/Commands/SpawnerCatalog.cs:L32:StreamWriter w = File.AppendText("spawners.txt");; POST-BATCH-S CurrentSource=Data/Scripts/System/Commands/SpawnerCatalog.cs:L32:StreamWriter w = File.AppendText("spawners.txt");; POST-BATCH-S direct schema review=GeneratedOrWrittenDataSurface</t>
  </si>
  <si>
    <t>POST-BATCH-S schema documentation review. Previous active row was PBN-0308/PBF-201. No source/project/XML/config/data behavior changed.</t>
  </si>
  <si>
    <t>RB-06463</t>
  </si>
  <si>
    <t>P10-F06463</t>
  </si>
  <si>
    <t>Data/Scripts/System/Commands/TargetLog.cs</t>
  </si>
  <si>
    <t>PBS-0084</t>
  </si>
  <si>
    <t>Documented schema/parser/data-contract evidence for 'targets.txt' from current source; no source/config behavior change.</t>
  </si>
  <si>
    <t>POST-BATCH-N lane=POST-BATCH-N-SCHEMA-DOCUMENTATION; FileProofStatus=CurrentPathConfirmed; System:Commands-&gt;DataFile:targets.txt; Data/Scripts/System/Commands/TargetLog.cs:L96:StreamWriter w = File.AppendText("targets.txt");; POST-BATCH-S CurrentSource=Data/Scripts/System/Commands/TargetLog.cs:L96:StreamWriter w = File.AppendText("targets.txt");; POST-BATCH-S direct schema review=GeneratedOrWrittenDataSurface</t>
  </si>
  <si>
    <t>POST-BATCH-S schema documentation review. Previous active row was PBN-0309/PBF-202. No source/project/XML/config/data behavior changed.</t>
  </si>
  <si>
    <t>RB-06464</t>
  </si>
  <si>
    <t>P10-F06464</t>
  </si>
  <si>
    <t>Data/Scripts/System/Commands/MultiMaker.cs</t>
  </si>
  <si>
    <t>PBS-0085</t>
  </si>
  <si>
    <t>Documented schema/parser/data-contract evidence for 'TheMulti\{0}Multi.txt' from current source; no source/config behavior change.</t>
  </si>
  <si>
    <t>POST-BATCH-N lane=POST-BATCH-N-SCHEMA-DOCUMENTATION; FileProofStatus=CurrentPathConfirmed; System:Commands-&gt;DataFile:TheMulti\{0}Multi.txt; Data/Scripts/System/Commands/MultiMaker.cs:L510:string.Format(@"TheMulti\{0}Multi.txt", name); POST-BATCH-S CurrentSource=Data/Scripts/System/Commands/MultiMaker.cs:L510:string.Format(@"TheMulti\{0}Multi.txt", name); POST-BATCH-S direct schema review=PathConstantOrSchemaReference</t>
  </si>
  <si>
    <t>POST-BATCH-S schema documentation review. Previous active row was PBN-0310/PBF-203. No source/project/XML/config/data behavior changed.</t>
  </si>
  <si>
    <t>RB-06465</t>
  </si>
  <si>
    <t>P10-F06465</t>
  </si>
  <si>
    <t>PBS-0086</t>
  </si>
  <si>
    <t>POST-BATCH-N lane=POST-BATCH-N-SCHEMA-DOCUMENTATION; FileProofStatus=CurrentPathConfirmed; System:Commands-&gt;DataFile:TheMulti\{0}Multi.txt; Data/Scripts/System/Commands/MultiMaker.cs:L515:string.Format(@"TheMulti\{0}Multi.txt", name); POST-BATCH-S CurrentSource=Data/Scripts/System/Commands/MultiMaker.cs:L515:string.Format(@"TheMulti\{0}Multi.txt", name); POST-BATCH-S direct schema review=PathConstantOrSchemaReference</t>
  </si>
  <si>
    <t>POST-BATCH-S schema documentation review. Previous active row was PBN-0311/PBF-204. No source/project/XML/config/data behavior changed.</t>
  </si>
  <si>
    <t>RB-06466</t>
  </si>
  <si>
    <t>P10-F06466</t>
  </si>
  <si>
    <t>Data/Scripts/System/Gumps/CategorizedAddGump.cs</t>
  </si>
  <si>
    <t>PBS-0104</t>
  </si>
  <si>
    <t>POST-BATCH-N lane=POST-BATCH-N-SCHEMA-DOCUMENTATION; FileProofStatus=CurrentPathConfirmed; System:Gumps-&gt;DataFile:Data/System/XML/objects.xml; Data/Scripts/System/Gumps/CategorizedAddGump.cs:L156:m_Root = Load("Data/System/XML/objects.xml");; POST-BATCH-S CurrentSource=Data/Scripts/System/Gumps/CategorizedAddGump.cs:L156:m_Root = Load("Data/System/XML/objects.xml");; POST-BATCH-S direct schema review=XmlDocumentSchemaSurface</t>
  </si>
  <si>
    <t>POST-BATCH-S schema documentation review. Previous active row was PBN-0329/PBF-205. No source/project/XML/config/data behavior changed.</t>
  </si>
  <si>
    <t>RB-06467</t>
  </si>
  <si>
    <t>P10-F06467</t>
  </si>
  <si>
    <t>Data/Scripts/System/Gumps/Go/GoGump.cs</t>
  </si>
  <si>
    <t>PBS-0105</t>
  </si>
  <si>
    <t>Documented schema/parser/data-contract evidence for 'System/XML/go.xml' from current source; no source/config behavior change.</t>
  </si>
  <si>
    <t>POST-BATCH-N lane=POST-BATCH-N-SCHEMA-DOCUMENTATION; FileProofStatus=CurrentPathConfirmed; System:Gumps-&gt;DataFile:System/XML/go.xml; Data/Scripts/System/Gumps/Go/GoGump.cs:L10:public static readonly LocationTree Listing = new LocationTree("System/XML/go.xml");; POST-BATCH-S CurrentSource=Data/Scripts/System/Gumps/Go/GoGump.cs:L10:public static readonly LocationTree Listing = new LocationTree("System/XML/go.xml");; POST-BATCH-S direct schema review=XmlDocumentSchemaSurface</t>
  </si>
  <si>
    <t>POST-BATCH-S schema documentation review. Previous active row was PBN-0330/PBF-206. No source/project/XML/config/data behavior changed.</t>
  </si>
  <si>
    <t>RB-06468</t>
  </si>
  <si>
    <t>P10-F06468</t>
  </si>
  <si>
    <t>Data/Scripts/System/Help/Gumps/PageQueueGump.cs</t>
  </si>
  <si>
    <t>PBS-0108</t>
  </si>
  <si>
    <t>Documented schema/parser/data-contract evidence for 'Data/System/CFG/pageresponse.cfg' from current source; no source/config behavior change.</t>
  </si>
  <si>
    <t>POST-BATCH-N lane=POST-BATCH-N-SCHEMA-DOCUMENTATION; FileProofStatus=CurrentPathConfirmed; System:Help-&gt;DataFile:Data/System/CFG/pageresponse.cfg; Data/Scripts/System/Help/Gumps/PageQueueGump.cs:L211:string path = Path.Combine(Core.BaseDirectory, "Data/System/CFG/pageresponse.cfg");; POST-BATCH-S CurrentSource=Data/Scripts/System/Help/Gumps/PageQueueGump.cs:L211:string path = Path.Combine(Core.BaseDirectory, "Data/System/CFG/pageresponse.cfg");; POST-BATCH-S direct schema review=PathConstantOrSchemaReference</t>
  </si>
  <si>
    <t>POST-BATCH-S schema documentation review. Previous active row was PBN-0333/PBF-207. No source/project/XML/config/data behavior changed.</t>
  </si>
  <si>
    <t>RB-06469</t>
  </si>
  <si>
    <t>P10-F06469</t>
  </si>
  <si>
    <t>PBS-0109</t>
  </si>
  <si>
    <t>POST-BATCH-N lane=POST-BATCH-N-SCHEMA-DOCUMENTATION; FileProofStatus=CurrentPathConfirmed; System:Help-&gt;DataFile:Data/System/CFG/pageresponse.cfg; Data/Scripts/System/Help/Gumps/PageQueueGump.cs:L233:string path = Path.Combine(Core.BaseDirectory, "Data/System/CFG/pageresponse.cfg");; POST-BATCH-S CurrentSource=Data/Scripts/System/Help/Gumps/PageQueueGump.cs:L233:string path = Path.Combine(Core.BaseDirectory, "Data/System/CFG/pageresponse.cfg");; POST-BATCH-S direct schema review=PathConstantOrSchemaReference</t>
  </si>
  <si>
    <t>POST-BATCH-S schema documentation review. Previous active row was PBN-0334/PBF-208. No source/project/XML/config/data behavior changed.</t>
  </si>
  <si>
    <t>RB-06470</t>
  </si>
  <si>
    <t>P10-F06470</t>
  </si>
  <si>
    <t>PBS-0112</t>
  </si>
  <si>
    <t>Documented schema/parser/data-contract evidence for '{0}.txt' from current source; no source/config behavior change.</t>
  </si>
  <si>
    <t>POST-BATCH-N lane=POST-BATCH-N-SCHEMA-DOCUMENTATION; FileProofStatus=CurrentPathConfirmed; System:Misc-&gt;DataFile:{0}.txt; Data/Scripts/System/Misc/MOTD.cs:L238:String.Format("{0}.txt", MOTD_Main.Info[i].Name); POST-BATCH-S CurrentSource=Data/Scripts/System/Misc/MOTD.cs:L252:String.Format("{0}.txt", MOTD_Main.Info[i].Name); POST-BATCH-S direct schema review=PathConstantOrSchemaReference</t>
  </si>
  <si>
    <t>POST-BATCH-S schema documentation review. Previous active row was PBN-0337/PBF-209. No source/project/XML/config/data behavior changed.</t>
  </si>
  <si>
    <t>RB-06471</t>
  </si>
  <si>
    <t>P10-F06471</t>
  </si>
  <si>
    <t>PBS-0113</t>
  </si>
  <si>
    <t>POST-BATCH-N lane=POST-BATCH-N-SCHEMA-DOCUMENTATION; FileProofStatus=CurrentPathConfirmed; System:Misc-&gt;DataFile:{0}.txt; Data/Scripts/System/Misc/MOTD.cs:L261:String.Format("{0}.txt", MOTD_Main.Info[i].Name); POST-BATCH-S CurrentSource=Data/Scripts/System/Misc/MOTD.cs:L252:String.Format("{0}.txt", MOTD_Main.Info[i].Name); POST-BATCH-S direct schema review=PathConstantOrSchemaReference</t>
  </si>
  <si>
    <t>POST-BATCH-S schema documentation review. Previous active row was PBN-0338/PBF-210. No source/project/XML/config/data behavior changed.</t>
  </si>
  <si>
    <t>RB-06472</t>
  </si>
  <si>
    <t>P10-F06472</t>
  </si>
  <si>
    <t>Data/Scripts/System/Misc/Build.cs</t>
  </si>
  <si>
    <t>PBS-0114</t>
  </si>
  <si>
    <t>POST-BATCH-N lane=POST-BATCH-N-SCHEMA-DOCUMENTATION; FileProofStatus=CurrentPathConfirmed; System:Misc-&gt;DataFile:*.cfg; Data/Scripts/System/Misc/Build.cs:L36101:string[] files = Directory.GetFiles(folder, "*.cfg");; POST-BATCH-S CurrentSource=Data/Scripts/System/Misc/Build.cs:L36101:string[] files = Directory.GetFiles(folder, "*.cfg");; POST-BATCH-S direct schema review=DirectoryGlobSchemaSurface</t>
  </si>
  <si>
    <t>POST-BATCH-S schema documentation review. Previous active row was PBN-0339/PBF-211. No source/project/XML/config/data behavior changed.</t>
  </si>
  <si>
    <t>RB-06473</t>
  </si>
  <si>
    <t>P10-F06473</t>
  </si>
  <si>
    <t>PBS-0115</t>
  </si>
  <si>
    <t>Documented schema/parser/data-contract evidence for 'accounts.xml' from current source; no source/config behavior change.</t>
  </si>
  <si>
    <t>POST-BATCH-N lane=POST-BATCH-N-SCHEMA-DOCUMENTATION; FileProofStatus=CurrentPathConfirmed; System:Misc-&gt;DataFile:accounts.xml; Data/Scripts/System/Misc/Accounts.cs:L751:string filePath = Path.Combine("Saves/Accounts", "accounts.xml");; POST-BATCH-S CurrentSource=Data/Scripts/System/Misc/Accounts.cs:L778:string filePath = Path.Combine("Saves/Accounts", "accounts.xml");; POST-BATCH-S direct schema review=XmlDocumentSchemaSurface</t>
  </si>
  <si>
    <t>POST-BATCH-S schema documentation review. Previous active row was PBN-0340/PBF-212. No source/project/XML/config/data behavior changed.</t>
  </si>
  <si>
    <t>RB-06474</t>
  </si>
  <si>
    <t>P10-F06474</t>
  </si>
  <si>
    <t>PBS-0116</t>
  </si>
  <si>
    <t>POST-BATCH-N lane=POST-BATCH-N-SCHEMA-DOCUMENTATION; FileProofStatus=CurrentPathConfirmed; System:Misc-&gt;DataFile:accounts.xml; Data/Scripts/System/Misc/Accounts.cs:L779:string filePath = Path.Combine("Saves/Accounts", "accounts.xml");; POST-BATCH-S CurrentSource=Data/Scripts/System/Misc/Accounts.cs:L778:string filePath = Path.Combine("Saves/Accounts", "accounts.xml");; POST-BATCH-S direct schema review=XmlDocumentSchemaSurface</t>
  </si>
  <si>
    <t>POST-BATCH-S schema documentation review. Previous active row was PBN-0341/PBF-213. No source/project/XML/config/data behavior changed.</t>
  </si>
  <si>
    <t>RB-06475</t>
  </si>
  <si>
    <t>P10-F06475</t>
  </si>
  <si>
    <t>PBS-0117</t>
  </si>
  <si>
    <t>Documented schema/parser/data-contract evidence for 'Accounts/Accounts.xml' from current source; no source/config behavior change.</t>
  </si>
  <si>
    <t>POST-BATCH-N lane=POST-BATCH-N-SCHEMA-DOCUMENTATION; FileProofStatus=CurrentPathConfirmed; System:Misc-&gt;DataFile:Accounts/Accounts.xml; Data/Scripts/System/Misc/CrashGuard.cs:L178:CopyFile(rootOrigin, rootBackup, "Accounts/Accounts.xml");; POST-BATCH-S CurrentSource=Data/Scripts/System/Misc/CrashGuard.cs:L181:CopyFile(rootOrigin, rootBackup, "Accounts/Accounts.xml");; POST-BATCH-S direct schema review=XmlDocumentSchemaSurface</t>
  </si>
  <si>
    <t>POST-BATCH-S schema documentation review. Previous active row was PBN-0342/PBF-214. No source/project/XML/config/data behavior changed.</t>
  </si>
  <si>
    <t>RB-06476</t>
  </si>
  <si>
    <t>P10-F06476</t>
  </si>
  <si>
    <t>PBS-0118</t>
  </si>
  <si>
    <t>Documented schema/parser/data-contract evidence for 'Atlantis.cfg' from current source; no source/config behavior change.</t>
  </si>
  <si>
    <t>POST-BATCH-N lane=POST-BATCH-N-SCHEMA-DOCUMENTATION; FileProofStatus=CurrentPathConfirmed; System:Misc-&gt;DataFile:Atlantis.cfg; Data/Scripts/System/Misc/Build.cs:L36079:GenerateFile("Info/Custom", "Atlantis.cfg", Map.Atlantis);; POST-BATCH-S CurrentSource=Data/Scripts/System/Misc/Build.cs:L36079:GenerateFile("Info/Custom", "Atlantis.cfg", Map.Atlantis);; POST-BATCH-S direct schema review=GeneratedOrWrittenDataSurface</t>
  </si>
  <si>
    <t>POST-BATCH-S schema documentation review. Previous active row was PBN-0343/PBF-215. No source/project/XML/config/data behavior changed.</t>
  </si>
  <si>
    <t>RB-06477</t>
  </si>
  <si>
    <t>P10-F06477</t>
  </si>
  <si>
    <t>Data/Scripts/System/Misc/ShrinkTable.cs</t>
  </si>
  <si>
    <t>PBS-0119</t>
  </si>
  <si>
    <t>Documented schema/parser/data-contract evidence for 'Data/System/CFG/shrink.cfg' from current source; no source/config behavior change.</t>
  </si>
  <si>
    <t>POST-BATCH-N lane=POST-BATCH-N-SCHEMA-DOCUMENTATION; FileProofStatus=CurrentPathConfirmed; System:Misc-&gt;DataFile:Data/System/CFG/shrink.cfg; Data/Scripts/System/Misc/ShrinkTable.cs:L45:string path = Path.Combine(Core.BaseDirectory, "Data/System/CFG/shrink.cfg");; POST-BATCH-S CurrentSource=Data/Scripts/System/Misc/ShrinkTable.cs:L45:string path = Path.Combine(Core.BaseDirectory, "Data/System/CFG/shrink.cfg");; POST-BATCH-S direct schema review=PathConstantOrSchemaReference</t>
  </si>
  <si>
    <t>POST-BATCH-S schema documentation review. Previous active row was PBN-0344/PBF-216. No source/project/XML/config/data behavior changed.</t>
  </si>
  <si>
    <t>RB-06478</t>
  </si>
  <si>
    <t>P10-F06478</t>
  </si>
  <si>
    <t>Data/Scripts/System/Misc/Naming.cs</t>
  </si>
  <si>
    <t>PBS-0120</t>
  </si>
  <si>
    <t>Documented schema/parser/data-contract evidence for 'Data/System/XML/names.xml' from current source; no source/config behavior change.</t>
  </si>
  <si>
    <t>POST-BATCH-N lane=POST-BATCH-N-SCHEMA-DOCUMENTATION; FileProofStatus=CurrentPathConfirmed; System:Misc-&gt;DataFile:Data/System/XML/names.xml; Data/Scripts/System/Misc/Naming.cs:L81:string filePath = Path.Combine(Core.BaseDirectory, "Data/System/XML/names.xml");; POST-BATCH-S CurrentSource=Data/Scripts/System/Misc/Naming.cs:L81:string filePath = Path.Combine(Core.BaseDirectory, "Data/System/XML/names.xml");; POST-BATCH-S direct schema review=XmlDocumentSchemaSurface</t>
  </si>
  <si>
    <t>POST-BATCH-S schema documentation review. Previous active row was PBN-0345/PBF-217. No source/project/XML/config/data behavior changed.</t>
  </si>
  <si>
    <t>RB-06479</t>
  </si>
  <si>
    <t>P10-F06479</t>
  </si>
  <si>
    <t>PBS-0121</t>
  </si>
  <si>
    <t>Documented schema/parser/data-contract evidence for 'firewall.cfg' from current source; no source/config behavior change.</t>
  </si>
  <si>
    <t>POST-BATCH-N lane=POST-BATCH-N-SCHEMA-DOCUMENTATION; FileProofStatus=CurrentPathConfirmed; System:Misc-&gt;DataFile:firewall.cfg; Data/Scripts/System/Misc/Accounts.cs:L2227:string path = "firewall.cfg";; POST-BATCH-S CurrentSource=Data/Scripts/System/Misc/Accounts.cs:L2265:string path = "firewall.cfg";; POST-BATCH-S direct schema review=PathConstantOrSchemaReference</t>
  </si>
  <si>
    <t>POST-BATCH-S schema documentation review. Previous active row was PBN-0346/PBF-218. No source/project/XML/config/data behavior changed.</t>
  </si>
  <si>
    <t>RB-06480</t>
  </si>
  <si>
    <t>P10-F06480</t>
  </si>
  <si>
    <t>PBS-0122</t>
  </si>
  <si>
    <t>POST-BATCH-N lane=POST-BATCH-N-SCHEMA-DOCUMENTATION; FileProofStatus=CurrentPathConfirmed; System:Misc-&gt;DataFile:firewall.cfg; Data/Scripts/System/Misc/Accounts.cs:L2360:string path = "firewall.cfg";; POST-BATCH-S CurrentSource=Data/Scripts/System/Misc/Accounts.cs:L2398:string path = "firewall.cfg";; POST-BATCH-S direct schema review=PathConstantOrSchemaReference</t>
  </si>
  <si>
    <t>POST-BATCH-S schema documentation review. Previous active row was PBN-0347/PBF-219. No source/project/XML/config/data behavior changed.</t>
  </si>
  <si>
    <t>RB-06481</t>
  </si>
  <si>
    <t>P10-F06481</t>
  </si>
  <si>
    <t>Data/Scripts/System/Misc/Logs.cs</t>
  </si>
  <si>
    <t>PBS-0123</t>
  </si>
  <si>
    <t>Documented schema/parser/data-contract evidence for 'Info/adventures.txt' from current source; no source/config behavior change.</t>
  </si>
  <si>
    <t>POST-BATCH-N lane=POST-BATCH-N-SCHEMA-DOCUMENTATION; FileProofStatus=CurrentPathConfirmed; System:Misc-&gt;DataFile:Info/adventures.txt; Data/Scripts/System/Misc/Logs.cs:L100:string sPath = "Info/adventures.txt";; POST-BATCH-S CurrentSource=Data/Scripts/System/Misc/Logs.cs:L100:string sPath = "Info/adventures.txt";; POST-BATCH-S direct schema review=PathConstantOrSchemaReference</t>
  </si>
  <si>
    <t>POST-BATCH-S schema documentation review. Previous active row was PBN-0348/PBF-220. No source/project/XML/config/data behavior changed.</t>
  </si>
  <si>
    <t>RB-06482</t>
  </si>
  <si>
    <t>P10-F06482</t>
  </si>
  <si>
    <t>PBS-0124</t>
  </si>
  <si>
    <t>POST-BATCH-N lane=POST-BATCH-N-SCHEMA-DOCUMENTATION; FileProofStatus=CurrentPathConfirmed; System:Misc-&gt;DataFile:Info/adventures.txt; Data/Scripts/System/Misc/Logs.cs:L104:sPath = "Info/adventures.txt";; POST-BATCH-S CurrentSource=Data/Scripts/System/Misc/Logs.cs:L104:sPath = "Info/adventures.txt";; POST-BATCH-S direct schema review=PathConstantOrSchemaReference</t>
  </si>
  <si>
    <t>POST-BATCH-S schema documentation review. Previous active row was PBN-0349/PBF-221. No source/project/XML/config/data behavior changed.</t>
  </si>
  <si>
    <t>RB-06483</t>
  </si>
  <si>
    <t>P10-F06483</t>
  </si>
  <si>
    <t>PBS-0125</t>
  </si>
  <si>
    <t>POST-BATCH-N lane=POST-BATCH-N-SCHEMA-DOCUMENTATION; FileProofStatus=CurrentPathConfirmed; System:Misc-&gt;DataFile:Info/adventures.txt; Data/Scripts/System/Misc/Logs.cs:L155:string sPath = "Info/adventures.txt";; POST-BATCH-S CurrentSource=Data/Scripts/System/Misc/Logs.cs:L155:string sPath = "Info/adventures.txt";; POST-BATCH-S direct schema review=PathConstantOrSchemaReference</t>
  </si>
  <si>
    <t>POST-BATCH-S schema documentation review. Previous active row was PBN-0350/PBF-222. No source/project/XML/config/data behavior changed.</t>
  </si>
  <si>
    <t>RB-06484</t>
  </si>
  <si>
    <t>P10-F06484</t>
  </si>
  <si>
    <t>PBS-0126</t>
  </si>
  <si>
    <t>POST-BATCH-N lane=POST-BATCH-N-SCHEMA-DOCUMENTATION; FileProofStatus=CurrentPathConfirmed; System:Misc-&gt;DataFile:Info/adventures.txt; Data/Scripts/System/Misc/Logs.cs:L159:sPath = "Info/adventures.txt";; POST-BATCH-S CurrentSource=Data/Scripts/System/Misc/Logs.cs:L159:sPath = "Info/adventures.txt";; POST-BATCH-S direct schema review=PathConstantOrSchemaReference</t>
  </si>
  <si>
    <t>POST-BATCH-S schema documentation review. Previous active row was PBN-0351/PBF-223. No source/project/XML/config/data behavior changed.</t>
  </si>
  <si>
    <t>RB-06485</t>
  </si>
  <si>
    <t>P10-F06485</t>
  </si>
  <si>
    <t>PBS-0127</t>
  </si>
  <si>
    <t>POST-BATCH-N lane=POST-BATCH-N-SCHEMA-DOCUMENTATION; FileProofStatus=CurrentPathConfirmed; System:Misc-&gt;DataFile:Info/adventures.txt; Data/Scripts/System/Misc/Logs.cs:L1993:string sPath = "Info/adventures.txt";; POST-BATCH-S CurrentSource=Data/Scripts/System/Misc/Logs.cs:L1993:string sPath = "Info/adventures.txt";; POST-BATCH-S direct schema review=PathConstantOrSchemaReference</t>
  </si>
  <si>
    <t>POST-BATCH-S schema documentation review. Previous active row was PBN-0352/PBF-224. No source/project/XML/config/data behavior changed.</t>
  </si>
  <si>
    <t>RB-06486</t>
  </si>
  <si>
    <t>P10-F06486</t>
  </si>
  <si>
    <t>PBS-0128</t>
  </si>
  <si>
    <t>POST-BATCH-N lane=POST-BATCH-N-SCHEMA-DOCUMENTATION; FileProofStatus=CurrentPathConfirmed; System:Misc-&gt;DataFile:Info/adventures.txt; Data/Scripts/System/Misc/Logs.cs:L1997:sPath = "Info/adventures.txt";; POST-BATCH-S CurrentSource=Data/Scripts/System/Misc/Logs.cs:L1997:sPath = "Info/adventures.txt";; POST-BATCH-S direct schema review=PathConstantOrSchemaReference</t>
  </si>
  <si>
    <t>POST-BATCH-S schema documentation review. Previous active row was PBN-0353/PBF-225. No source/project/XML/config/data behavior changed.</t>
  </si>
  <si>
    <t>RB-06487</t>
  </si>
  <si>
    <t>P10-F06487</t>
  </si>
  <si>
    <t>PBS-0129</t>
  </si>
  <si>
    <t>POST-BATCH-N lane=POST-BATCH-N-SCHEMA-DOCUMENTATION; FileProofStatus=CurrentPathConfirmed; System:Misc-&gt;DataFile:Info/adventures.txt; Data/Scripts/System/Misc/Logs.cs:L432:string sPath = "Info/adventures.txt";; POST-BATCH-S CurrentSource=Data/Scripts/System/Misc/Logs.cs:L432:string sPath = "Info/adventures.txt";; POST-BATCH-S direct schema review=PathConstantOrSchemaReference</t>
  </si>
  <si>
    <t>POST-BATCH-S schema documentation review. Previous active row was PBN-0354/PBF-226. No source/project/XML/config/data behavior changed.</t>
  </si>
  <si>
    <t>RB-06488</t>
  </si>
  <si>
    <t>P10-F06488</t>
  </si>
  <si>
    <t>PBS-0130</t>
  </si>
  <si>
    <t>POST-BATCH-N lane=POST-BATCH-N-SCHEMA-DOCUMENTATION; FileProofStatus=CurrentPathConfirmed; System:Misc-&gt;DataFile:Info/adventures.txt; Data/Scripts/System/Misc/Logs.cs:L436:sPath = "Info/adventures.txt";; POST-BATCH-S CurrentSource=Data/Scripts/System/Misc/Logs.cs:L436:sPath = "Info/adventures.txt";; POST-BATCH-S direct schema review=PathConstantOrSchemaReference</t>
  </si>
  <si>
    <t>POST-BATCH-S schema documentation review. Previous active row was PBN-0355/PBF-227. No source/project/XML/config/data behavior changed.</t>
  </si>
  <si>
    <t>RB-06489</t>
  </si>
  <si>
    <t>P10-F06489</t>
  </si>
  <si>
    <t>PBS-0131</t>
  </si>
  <si>
    <t>Documented schema/parser/data-contract evidence for 'Info/battles.txt' from current source; no source/config behavior change.</t>
  </si>
  <si>
    <t>POST-BATCH-N lane=POST-BATCH-N-SCHEMA-DOCUMENTATION; FileProofStatus=CurrentPathConfirmed; System:Misc-&gt;DataFile:Info/battles.txt; Data/Scripts/System/Misc/Logs.cs:L112:sPath = "Info/battles.txt";; POST-BATCH-S CurrentSource=Data/Scripts/System/Misc/Logs.cs:L112:sPath = "Info/battles.txt";; POST-BATCH-S direct schema review=PathConstantOrSchemaReference</t>
  </si>
  <si>
    <t>POST-BATCH-S schema documentation review. Previous active row was PBN-0356/PBF-228. No source/project/XML/config/data behavior changed.</t>
  </si>
  <si>
    <t>RB-06490</t>
  </si>
  <si>
    <t>P10-F06490</t>
  </si>
  <si>
    <t>PBS-0132</t>
  </si>
  <si>
    <t>POST-BATCH-N lane=POST-BATCH-N-SCHEMA-DOCUMENTATION; FileProofStatus=CurrentPathConfirmed; System:Misc-&gt;DataFile:Info/battles.txt; Data/Scripts/System/Misc/Logs.cs:L167:sPath = "Info/battles.txt";; POST-BATCH-S CurrentSource=Data/Scripts/System/Misc/Logs.cs:L167:sPath = "Info/battles.txt";; POST-BATCH-S direct schema review=PathConstantOrSchemaReference</t>
  </si>
  <si>
    <t>POST-BATCH-S schema documentation review. Previous active row was PBN-0357/PBF-229. No source/project/XML/config/data behavior changed.</t>
  </si>
  <si>
    <t>RB-06491</t>
  </si>
  <si>
    <t>P10-F06491</t>
  </si>
  <si>
    <t>PBS-0133</t>
  </si>
  <si>
    <t>POST-BATCH-N lane=POST-BATCH-N-SCHEMA-DOCUMENTATION; FileProofStatus=CurrentPathConfirmed; System:Misc-&gt;DataFile:Info/battles.txt; Data/Scripts/System/Misc/Logs.cs:L2001:sPath = "Info/battles.txt";; POST-BATCH-S CurrentSource=Data/Scripts/System/Misc/Logs.cs:L2001:sPath = "Info/battles.txt";; POST-BATCH-S direct schema review=PathConstantOrSchemaReference</t>
  </si>
  <si>
    <t>POST-BATCH-S schema documentation review. Previous active row was PBN-0358/PBF-230. No source/project/XML/config/data behavior changed.</t>
  </si>
  <si>
    <t>RB-06492</t>
  </si>
  <si>
    <t>P10-F06492</t>
  </si>
  <si>
    <t>PBS-0134</t>
  </si>
  <si>
    <t>POST-BATCH-N lane=POST-BATCH-N-SCHEMA-DOCUMENTATION; FileProofStatus=CurrentPathConfirmed; System:Misc-&gt;DataFile:Info/battles.txt; Data/Scripts/System/Misc/Logs.cs:L444:sPath = "Info/battles.txt";; POST-BATCH-S CurrentSource=Data/Scripts/System/Misc/Logs.cs:L444:sPath = "Info/battles.txt";; POST-BATCH-S direct schema review=PathConstantOrSchemaReference</t>
  </si>
  <si>
    <t>POST-BATCH-S schema documentation review. Previous active row was PBN-0359/PBF-231. No source/project/XML/config/data behavior changed.</t>
  </si>
  <si>
    <t>RB-06493</t>
  </si>
  <si>
    <t>P10-F06493</t>
  </si>
  <si>
    <t>PBS-0135</t>
  </si>
  <si>
    <t>POST-BATCH-N lane=POST-BATCH-N-SCHEMA-DOCUMENTATION; FileProofStatus=CurrentPathConfirmed; System:Misc-&gt;DataFile:Info/battles.txt; Data/Scripts/System/Misc/Logs.cs:L613:sPath = "Info/battles.txt";; POST-BATCH-S CurrentSource=Data/Scripts/System/Misc/Logs.cs:L613:sPath = "Info/battles.txt";; POST-BATCH-S direct schema review=PathConstantOrSchemaReference</t>
  </si>
  <si>
    <t>POST-BATCH-S schema documentation review. Previous active row was PBN-0360/PBF-232. No source/project/XML/config/data behavior changed.</t>
  </si>
  <si>
    <t>RB-06494</t>
  </si>
  <si>
    <t>P10-F06494</t>
  </si>
  <si>
    <t>PBS-0136</t>
  </si>
  <si>
    <t>Documented schema/parser/data-contract evidence for 'Info/deaths.txt' from current source; no source/config behavior change.</t>
  </si>
  <si>
    <t>POST-BATCH-N lane=POST-BATCH-N-SCHEMA-DOCUMENTATION; FileProofStatus=CurrentPathConfirmed; System:Misc-&gt;DataFile:Info/deaths.txt; Data/Scripts/System/Misc/Logs.cs:L116:sPath = "Info/deaths.txt";; POST-BATCH-S CurrentSource=Data/Scripts/System/Misc/Logs.cs:L116:sPath = "Info/deaths.txt";; POST-BATCH-S direct schema review=PathConstantOrSchemaReference</t>
  </si>
  <si>
    <t>POST-BATCH-S schema documentation review. Previous active row was PBN-0361/PBF-233. No source/project/XML/config/data behavior changed.</t>
  </si>
  <si>
    <t>RB-06495</t>
  </si>
  <si>
    <t>P10-F06495</t>
  </si>
  <si>
    <t>PBS-0137</t>
  </si>
  <si>
    <t>POST-BATCH-N lane=POST-BATCH-N-SCHEMA-DOCUMENTATION; FileProofStatus=CurrentPathConfirmed; System:Misc-&gt;DataFile:Info/deaths.txt; Data/Scripts/System/Misc/Logs.cs:L171:sPath = "Info/deaths.txt";; POST-BATCH-S CurrentSource=Data/Scripts/System/Misc/Logs.cs:L171:sPath = "Info/deaths.txt";; POST-BATCH-S direct schema review=PathConstantOrSchemaReference</t>
  </si>
  <si>
    <t>POST-BATCH-S schema documentation review. Previous active row was PBN-0362/PBF-234. No source/project/XML/config/data behavior changed.</t>
  </si>
  <si>
    <t>RB-06496</t>
  </si>
  <si>
    <t>P10-F06496</t>
  </si>
  <si>
    <t>PBS-0138</t>
  </si>
  <si>
    <t>POST-BATCH-N lane=POST-BATCH-N-SCHEMA-DOCUMENTATION; FileProofStatus=CurrentPathConfirmed; System:Misc-&gt;DataFile:Info/deaths.txt; Data/Scripts/System/Misc/Logs.cs:L2005:sPath = "Info/deaths.txt";; POST-BATCH-S CurrentSource=Data/Scripts/System/Misc/Logs.cs:L2005:sPath = "Info/deaths.txt";; POST-BATCH-S direct schema review=PathConstantOrSchemaReference</t>
  </si>
  <si>
    <t>POST-BATCH-S schema documentation review. Previous active row was PBN-0363/PBF-235. No source/project/XML/config/data behavior changed.</t>
  </si>
  <si>
    <t>RB-06497</t>
  </si>
  <si>
    <t>P10-F06497</t>
  </si>
  <si>
    <t>PBS-0139</t>
  </si>
  <si>
    <t>POST-BATCH-N lane=POST-BATCH-N-SCHEMA-DOCUMENTATION; FileProofStatus=CurrentPathConfirmed; System:Misc-&gt;DataFile:Info/deaths.txt; Data/Scripts/System/Misc/Logs.cs:L448:sPath = "Info/deaths.txt";; POST-BATCH-S CurrentSource=Data/Scripts/System/Misc/Logs.cs:L448:sPath = "Info/deaths.txt";; POST-BATCH-S direct schema review=PathConstantOrSchemaReference</t>
  </si>
  <si>
    <t>POST-BATCH-S schema documentation review. Previous active row was PBN-0364/PBF-236. No source/project/XML/config/data behavior changed.</t>
  </si>
  <si>
    <t>RB-06498</t>
  </si>
  <si>
    <t>P10-F06498</t>
  </si>
  <si>
    <t>PBS-0140</t>
  </si>
  <si>
    <t>POST-BATCH-N lane=POST-BATCH-N-SCHEMA-DOCUMENTATION; FileProofStatus=CurrentPathConfirmed; System:Misc-&gt;DataFile:Info/deaths.txt; Data/Scripts/System/Misc/Logs.cs:L617:sPath = "Info/deaths.txt";; POST-BATCH-S CurrentSource=Data/Scripts/System/Misc/Logs.cs:L617:sPath = "Info/deaths.txt";; POST-BATCH-S direct schema review=PathConstantOrSchemaReference</t>
  </si>
  <si>
    <t>POST-BATCH-S schema documentation review. Previous active row was PBN-0365/PBF-237. No source/project/XML/config/data behavior changed.</t>
  </si>
  <si>
    <t>RB-06499</t>
  </si>
  <si>
    <t>P10-F06499</t>
  </si>
  <si>
    <t>PBS-0141</t>
  </si>
  <si>
    <t>Documented schema/parser/data-contract evidence for 'Info/journies.txt' from current source; no source/config behavior change.</t>
  </si>
  <si>
    <t>POST-BATCH-N lane=POST-BATCH-N-SCHEMA-DOCUMENTATION; FileProofStatus=CurrentPathConfirmed; System:Misc-&gt;DataFile:Info/journies.txt; Data/Scripts/System/Misc/Logs.cs:L124:sPath = "Info/journies.txt";; POST-BATCH-S CurrentSource=Data/Scripts/System/Misc/Logs.cs:L124:sPath = "Info/journies.txt";; POST-BATCH-S direct schema review=PathConstantOrSchemaReference</t>
  </si>
  <si>
    <t>POST-BATCH-S schema documentation review. Previous active row was PBN-0366/PBF-238. No source/project/XML/config/data behavior changed.</t>
  </si>
  <si>
    <t>RB-06500</t>
  </si>
  <si>
    <t>P10-F06500</t>
  </si>
  <si>
    <t>PBS-0142</t>
  </si>
  <si>
    <t>POST-BATCH-N lane=POST-BATCH-N-SCHEMA-DOCUMENTATION; FileProofStatus=CurrentPathConfirmed; System:Misc-&gt;DataFile:Info/journies.txt; Data/Scripts/System/Misc/Logs.cs:L179:sPath = "Info/journies.txt";; POST-BATCH-S CurrentSource=Data/Scripts/System/Misc/Logs.cs:L179:sPath = "Info/journies.txt";; POST-BATCH-S direct schema review=PathConstantOrSchemaReference</t>
  </si>
  <si>
    <t>POST-BATCH-S schema documentation review. Previous active row was PBN-0367/PBF-239. No source/project/XML/config/data behavior changed.</t>
  </si>
  <si>
    <t>RB-06501</t>
  </si>
  <si>
    <t>P10-F06501</t>
  </si>
  <si>
    <t>PBS-0143</t>
  </si>
  <si>
    <t>POST-BATCH-N lane=POST-BATCH-N-SCHEMA-DOCUMENTATION; FileProofStatus=CurrentPathConfirmed; System:Misc-&gt;DataFile:Info/journies.txt; Data/Scripts/System/Misc/Logs.cs:L2013:sPath = "Info/journies.txt";; POST-BATCH-S CurrentSource=Data/Scripts/System/Misc/Logs.cs:L2013:sPath = "Info/journies.txt";; POST-BATCH-S direct schema review=PathConstantOrSchemaReference</t>
  </si>
  <si>
    <t>POST-BATCH-S schema documentation review. Previous active row was PBN-0368/PBF-240. No source/project/XML/config/data behavior changed.</t>
  </si>
  <si>
    <t>RB-06502</t>
  </si>
  <si>
    <t>P10-F06502</t>
  </si>
  <si>
    <t>PBS-0144</t>
  </si>
  <si>
    <t>POST-BATCH-N lane=POST-BATCH-N-SCHEMA-DOCUMENTATION; FileProofStatus=CurrentPathConfirmed; System:Misc-&gt;DataFile:Info/journies.txt; Data/Scripts/System/Misc/Logs.cs:L456:sPath = "Info/journies.txt";; POST-BATCH-S CurrentSource=Data/Scripts/System/Misc/Logs.cs:L456:sPath = "Info/journies.txt";; POST-BATCH-S direct schema review=PathConstantOrSchemaReference</t>
  </si>
  <si>
    <t>POST-BATCH-S schema documentation review. Previous active row was PBN-0369/PBF-241. No source/project/XML/config/data behavior changed.</t>
  </si>
  <si>
    <t>RB-06503</t>
  </si>
  <si>
    <t>P10-F06503</t>
  </si>
  <si>
    <t>PBS-0145</t>
  </si>
  <si>
    <t>POST-BATCH-N lane=POST-BATCH-N-SCHEMA-DOCUMENTATION; FileProofStatus=CurrentPathConfirmed; System:Misc-&gt;DataFile:Info/journies.txt; Data/Scripts/System/Misc/Logs.cs:L621:sPath = "Info/journies.txt";; POST-BATCH-S CurrentSource=Data/Scripts/System/Misc/Logs.cs:L621:sPath = "Info/journies.txt";; POST-BATCH-S direct schema review=PathConstantOrSchemaReference</t>
  </si>
  <si>
    <t>POST-BATCH-S schema documentation review. Previous active row was PBN-0370/PBF-242. No source/project/XML/config/data behavior changed.</t>
  </si>
  <si>
    <t>RB-06504</t>
  </si>
  <si>
    <t>P10-F06504</t>
  </si>
  <si>
    <t>PBS-0146</t>
  </si>
  <si>
    <t>Documented schema/parser/data-contract evidence for 'Info/murderers.txt' from current source; no source/config behavior change.</t>
  </si>
  <si>
    <t>POST-BATCH-N lane=POST-BATCH-N-SCHEMA-DOCUMENTATION; FileProofStatus=CurrentPathConfirmed; System:Misc-&gt;DataFile:Info/murderers.txt; Data/Scripts/System/Misc/Logs.cs:L120:sPath = "Info/murderers.txt";; POST-BATCH-S CurrentSource=Data/Scripts/System/Misc/Logs.cs:L120:sPath = "Info/murderers.txt";; POST-BATCH-S direct schema review=PathConstantOrSchemaReference</t>
  </si>
  <si>
    <t>POST-BATCH-S schema documentation review. Previous active row was PBN-0371/PBF-243. No source/project/XML/config/data behavior changed.</t>
  </si>
  <si>
    <t>RB-06505</t>
  </si>
  <si>
    <t>P10-F06505</t>
  </si>
  <si>
    <t>PBS-0147</t>
  </si>
  <si>
    <t>POST-BATCH-N lane=POST-BATCH-N-SCHEMA-DOCUMENTATION; FileProofStatus=CurrentPathConfirmed; System:Misc-&gt;DataFile:Info/murderers.txt; Data/Scripts/System/Misc/Logs.cs:L175:sPath = "Info/murderers.txt";; POST-BATCH-S CurrentSource=Data/Scripts/System/Misc/Logs.cs:L175:sPath = "Info/murderers.txt";; POST-BATCH-S direct schema review=PathConstantOrSchemaReference</t>
  </si>
  <si>
    <t>POST-BATCH-S schema documentation review. Previous active row was PBN-0372/PBF-244. No source/project/XML/config/data behavior changed.</t>
  </si>
  <si>
    <t>RB-06506</t>
  </si>
  <si>
    <t>P10-F06506</t>
  </si>
  <si>
    <t>PBS-0148</t>
  </si>
  <si>
    <t>POST-BATCH-N lane=POST-BATCH-N-SCHEMA-DOCUMENTATION; FileProofStatus=CurrentPathConfirmed; System:Misc-&gt;DataFile:Info/murderers.txt; Data/Scripts/System/Misc/Logs.cs:L2009:sPath = "Info/murderers.txt";; POST-BATCH-S CurrentSource=Data/Scripts/System/Misc/Logs.cs:L2009:sPath = "Info/murderers.txt";; POST-BATCH-S direct schema review=PathConstantOrSchemaReference</t>
  </si>
  <si>
    <t>POST-BATCH-S schema documentation review. Previous active row was PBN-0373/PBF-245. No source/project/XML/config/data behavior changed.</t>
  </si>
  <si>
    <t>RB-06507</t>
  </si>
  <si>
    <t>P10-F06507</t>
  </si>
  <si>
    <t>PBS-0149</t>
  </si>
  <si>
    <t>POST-BATCH-N lane=POST-BATCH-N-SCHEMA-DOCUMENTATION; FileProofStatus=CurrentPathConfirmed; System:Misc-&gt;DataFile:Info/murderers.txt; Data/Scripts/System/Misc/Logs.cs:L452:sPath = "Info/murderers.txt";; POST-BATCH-S CurrentSource=Data/Scripts/System/Misc/Logs.cs:L452:sPath = "Info/murderers.txt";; POST-BATCH-S direct schema review=PathConstantOrSchemaReference</t>
  </si>
  <si>
    <t>POST-BATCH-S schema documentation review. Previous active row was PBN-0374/PBF-246. No source/project/XML/config/data behavior changed.</t>
  </si>
  <si>
    <t>RB-06508</t>
  </si>
  <si>
    <t>P10-F06508</t>
  </si>
  <si>
    <t>PBS-0150</t>
  </si>
  <si>
    <t>POST-BATCH-N lane=POST-BATCH-N-SCHEMA-DOCUMENTATION; FileProofStatus=CurrentPathConfirmed; System:Misc-&gt;DataFile:Info/murderers.txt; Data/Scripts/System/Misc/Logs.cs:L609:string sPath = "Info/murderers.txt";; POST-BATCH-S CurrentSource=Data/Scripts/System/Misc/Logs.cs:L609:string sPath = "Info/murderers.txt";; POST-BATCH-S direct schema review=PathConstantOrSchemaReference</t>
  </si>
  <si>
    <t>POST-BATCH-S schema documentation review. Previous active row was PBN-0375/PBF-247. No source/project/XML/config/data behavior changed.</t>
  </si>
  <si>
    <t>RB-06509</t>
  </si>
  <si>
    <t>P10-F06509</t>
  </si>
  <si>
    <t>PBS-0151</t>
  </si>
  <si>
    <t>Documented schema/parser/data-contract evidence for 'Info/online.txt' from current source; no source/config behavior change.</t>
  </si>
  <si>
    <t>POST-BATCH-N lane=POST-BATCH-N-SCHEMA-DOCUMENTATION; FileProofStatus=CurrentPathConfirmed; System:Misc-&gt;DataFile:Info/online.txt; Data/Scripts/System/Misc/Logs.cs:L2056:using (StreamWriter op = new StreamWriter("Info/online.txt")); POST-BATCH-S CurrentSource=Data/Scripts/System/Misc/Logs.cs:L2056:using (StreamWriter op = new StreamWriter("Info/online.txt")); POST-BATCH-S direct schema review=GeneratedOrWrittenDataSurface</t>
  </si>
  <si>
    <t>POST-BATCH-S schema documentation review. Previous active row was PBN-0376/PBF-248. No source/project/XML/config/data behavior changed.</t>
  </si>
  <si>
    <t>RB-06510</t>
  </si>
  <si>
    <t>P10-F06510</t>
  </si>
  <si>
    <t>PBS-0152</t>
  </si>
  <si>
    <t>Documented schema/parser/data-contract evidence for 'Info/quests.txt' from current source; no source/config behavior change.</t>
  </si>
  <si>
    <t>POST-BATCH-N lane=POST-BATCH-N-SCHEMA-DOCUMENTATION; FileProofStatus=CurrentPathConfirmed; System:Misc-&gt;DataFile:Info/quests.txt; Data/Scripts/System/Misc/Logs.cs:L108:sPath = "Info/quests.txt";; POST-BATCH-S CurrentSource=Data/Scripts/System/Misc/Logs.cs:L108:sPath = "Info/quests.txt";; POST-BATCH-S direct schema review=PathConstantOrSchemaReference</t>
  </si>
  <si>
    <t>POST-BATCH-S schema documentation review. Previous active row was PBN-0377/PBF-249. No source/project/XML/config/data behavior changed.</t>
  </si>
  <si>
    <t>RB-06511</t>
  </si>
  <si>
    <t>P10-F06511</t>
  </si>
  <si>
    <t>PBS-0153</t>
  </si>
  <si>
    <t>POST-BATCH-N lane=POST-BATCH-N-SCHEMA-DOCUMENTATION; FileProofStatus=CurrentPathConfirmed; System:Misc-&gt;DataFile:Info/quests.txt; Data/Scripts/System/Misc/Logs.cs:L163:sPath = "Info/quests.txt";; POST-BATCH-S CurrentSource=Data/Scripts/System/Misc/Logs.cs:L163:sPath = "Info/quests.txt";; POST-BATCH-S direct schema review=PathConstantOrSchemaReference</t>
  </si>
  <si>
    <t>POST-BATCH-S schema documentation review. Previous active row was PBN-0378/PBF-250. No source/project/XML/config/data behavior changed.</t>
  </si>
  <si>
    <t>RB-06512</t>
  </si>
  <si>
    <t>P10-F06512</t>
  </si>
  <si>
    <t>PBS-0154</t>
  </si>
  <si>
    <t>POST-BATCH-N lane=POST-BATCH-N-SCHEMA-DOCUMENTATION; FileProofStatus=CurrentPathConfirmed; System:Misc-&gt;DataFile:Info/quests.txt; Data/Scripts/System/Misc/Logs.cs:L440:sPath = "Info/quests.txt";; POST-BATCH-S CurrentSource=Data/Scripts/System/Misc/Logs.cs:L440:sPath = "Info/quests.txt";; POST-BATCH-S direct schema review=PathConstantOrSchemaReference</t>
  </si>
  <si>
    <t>POST-BATCH-S schema documentation review. Previous active row was PBN-0379/PBF-251. No source/project/XML/config/data behavior changed.</t>
  </si>
  <si>
    <t>RB-06513</t>
  </si>
  <si>
    <t>P10-F06513</t>
  </si>
  <si>
    <t>PBS-0155</t>
  </si>
  <si>
    <t>POST-BATCH-N lane=POST-BATCH-N-SCHEMA-DOCUMENTATION; FileProofStatus=CurrentPathConfirmed; System:Misc-&gt;DataFile:Info/quests.txt; Data/Scripts/System/Misc/Logs.cs:L743:string sPath = "Info/quests.txt";; POST-BATCH-S CurrentSource=Data/Scripts/System/Misc/Logs.cs:L743:string sPath = "Info/quests.txt";; POST-BATCH-S direct schema review=PathConstantOrSchemaReference</t>
  </si>
  <si>
    <t>POST-BATCH-S schema documentation review. Previous active row was PBN-0380/PBF-252. No source/project/XML/config/data behavior changed.</t>
  </si>
  <si>
    <t>RB-06514</t>
  </si>
  <si>
    <t>P10-F06514</t>
  </si>
  <si>
    <t>PBS-0156</t>
  </si>
  <si>
    <t>Documented schema/parser/data-contract evidence for 'Info/server.txt' from current source; no source/config behavior change.</t>
  </si>
  <si>
    <t>POST-BATCH-N lane=POST-BATCH-N-SCHEMA-DOCUMENTATION; FileProofStatus=CurrentPathConfirmed; System:Misc-&gt;DataFile:Info/server.txt; Data/Scripts/System/Misc/Logs.cs:L128:sPath = "Info/server.txt";; POST-BATCH-S CurrentSource=Data/Scripts/System/Misc/Logs.cs:L128:sPath = "Info/server.txt";; POST-BATCH-S direct schema review=PathConstantOrSchemaReference</t>
  </si>
  <si>
    <t>POST-BATCH-S schema documentation review. Previous active row was PBN-0381/PBF-253. No source/project/XML/config/data behavior changed.</t>
  </si>
  <si>
    <t>RB-06515</t>
  </si>
  <si>
    <t>P10-F06515</t>
  </si>
  <si>
    <t>Data/Scripts/System/Misc/Settings.cs</t>
  </si>
  <si>
    <t>PBS-0157</t>
  </si>
  <si>
    <t>Documented schema/parser/data-contract evidence for 'Info/settings.xml' from current source; no source/config behavior change.</t>
  </si>
  <si>
    <t>POST-BATCH-N lane=POST-BATCH-N-SCHEMA-DOCUMENTATION; FileProofStatus=CurrentPathConfirmed; System:Misc-&gt;DataFile:Info/settings.xml; Data/Scripts/System/Misc/Settings.cs:L128:if (System.IO.File.Exists("Info/settings.xml")); POST-BATCH-S CurrentSource=Data/Scripts/System/Misc/Settings.cs:L128:if (System.IO.File.Exists("Info/settings.xml")); POST-BATCH-S direct schema review=XmlDocumentSchemaSurface</t>
  </si>
  <si>
    <t>POST-BATCH-S schema documentation review. Previous active row was PBN-0382/PBF-254. No source/project/XML/config/data behavior changed.</t>
  </si>
  <si>
    <t>RB-06516</t>
  </si>
  <si>
    <t>P10-F06516</t>
  </si>
  <si>
    <t>PBS-0158</t>
  </si>
  <si>
    <t>POST-BATCH-N lane=POST-BATCH-N-SCHEMA-DOCUMENTATION; FileProofStatus=CurrentPathConfirmed; System:Misc-&gt;DataFile:Info/settings.xml; Data/Scripts/System/Misc/Settings.cs:L132:doc.Load(System.IO.Path.Combine(Core.BaseDirectory, "Info/settings.xml"));; POST-BATCH-S CurrentSource=Data/Scripts/System/Misc/Settings.cs:L132:doc.Load(System.IO.Path.Combine(Core.BaseDirectory, "Info/settings.xml"));; POST-BATCH-S direct schema review=XmlDocumentSchemaSurface</t>
  </si>
  <si>
    <t>POST-BATCH-S schema documentation review. Previous active row was PBN-0383/PBF-255. No source/project/XML/config/data behavior changed.</t>
  </si>
  <si>
    <t>RB-06517</t>
  </si>
  <si>
    <t>P10-F06517</t>
  </si>
  <si>
    <t>PBS-0159</t>
  </si>
  <si>
    <t>Documented schema/parser/data-contract evidence for 'IslesOfDread.cfg' from current source; no source/config behavior change.</t>
  </si>
  <si>
    <t>POST-BATCH-N lane=POST-BATCH-N-SCHEMA-DOCUMENTATION; FileProofStatus=CurrentPathConfirmed; System:Misc-&gt;DataFile:IslesOfDread.cfg; Data/Scripts/System/Misc/Build.cs:L36077:GenerateFile("Info/Custom", "IslesOfDread.cfg", Map.IslesDread);; POST-BATCH-S CurrentSource=Data/Scripts/System/Misc/Build.cs:L36077:GenerateFile("Info/Custom", "IslesOfDread.cfg", Map.IslesDread);; POST-BATCH-S direct schema review=GeneratedOrWrittenDataSurface</t>
  </si>
  <si>
    <t>POST-BATCH-S schema documentation review. Previous active row was PBN-0384/PBF-256. No source/project/XML/config/data behavior changed.</t>
  </si>
  <si>
    <t>RB-06518</t>
  </si>
  <si>
    <t>P10-F06518</t>
  </si>
  <si>
    <t>Data/Scripts/System/Misc/LanguageStatistics.cs</t>
  </si>
  <si>
    <t>PBS-0160</t>
  </si>
  <si>
    <t>Documented schema/parser/data-contract evidence for 'languages.txt' from current source; no source/config behavior change.</t>
  </si>
  <si>
    <t>POST-BATCH-N lane=POST-BATCH-N-SCHEMA-DOCUMENTATION; FileProofStatus=CurrentPathConfirmed; System:Misc-&gt;DataFile:languages.txt; Data/Scripts/System/Misc/LanguageStatistics.cs:L357:using (StreamWriter writer = new StreamWriter("languages.txt")); POST-BATCH-S CurrentSource=Data/Scripts/System/Misc/LanguageStatistics.cs:L357:using (StreamWriter writer = new StreamWriter("languages.txt")); POST-BATCH-S direct schema review=GeneratedOrWrittenDataSurface</t>
  </si>
  <si>
    <t>POST-BATCH-S schema documentation review. Previous active row was PBN-0385/PBF-257. No source/project/XML/config/data behavior changed.</t>
  </si>
  <si>
    <t>RB-06519</t>
  </si>
  <si>
    <t>P10-F06519</t>
  </si>
  <si>
    <t>PBS-0161</t>
  </si>
  <si>
    <t>Documented schema/parser/data-contract evidence for 'Lodor.cfg' from current source; no source/config behavior change.</t>
  </si>
  <si>
    <t>POST-BATCH-N lane=POST-BATCH-N-SCHEMA-DOCUMENTATION; FileProofStatus=CurrentPathConfirmed; System:Misc-&gt;DataFile:Lodor.cfg; Data/Scripts/System/Misc/Build.cs:L36074:GenerateFile("Info/Custom", "Lodor.cfg", Map.Lodor);; POST-BATCH-S CurrentSource=Data/Scripts/System/Misc/Build.cs:L36074:GenerateFile("Info/Custom", "Lodor.cfg", Map.Lodor);; POST-BATCH-S direct schema review=GeneratedOrWrittenDataSurface</t>
  </si>
  <si>
    <t>POST-BATCH-S schema documentation review. Previous active row was PBN-0386/PBF-258. No source/project/XML/config/data behavior changed.</t>
  </si>
  <si>
    <t>RB-06520</t>
  </si>
  <si>
    <t>P10-F06520</t>
  </si>
  <si>
    <t>PBS-0162</t>
  </si>
  <si>
    <t>Documented schema/parser/data-contract evidence for 'SavagedEmpire.cfg' from current source; no source/config behavior change.</t>
  </si>
  <si>
    <t>POST-BATCH-N lane=POST-BATCH-N-SCHEMA-DOCUMENTATION; FileProofStatus=CurrentPathConfirmed; System:Misc-&gt;DataFile:SavagedEmpire.cfg; Data/Scripts/System/Misc/Build.cs:L36078:GenerateFile("Info/Custom", "SavagedEmpire.cfg", Map.SavagedEmpire);; POST-BATCH-S CurrentSource=Data/Scripts/System/Misc/Build.cs:L36078:GenerateFile("Info/Custom", "SavagedEmpire.cfg", Map.SavagedEmpire);; POST-BATCH-S direct schema review=GeneratedOrWrittenDataSurface</t>
  </si>
  <si>
    <t>POST-BATCH-S schema documentation review. Previous active row was PBN-0387/PBF-259. No source/project/XML/config/data behavior changed.</t>
  </si>
  <si>
    <t>RB-06521</t>
  </si>
  <si>
    <t>P10-F06521</t>
  </si>
  <si>
    <t>PBS-0163</t>
  </si>
  <si>
    <t>Documented schema/parser/data-contract evidence for 'SerpentIsland.cfg' from current source; no source/config behavior change.</t>
  </si>
  <si>
    <t>POST-BATCH-N lane=POST-BATCH-N-SCHEMA-DOCUMENTATION; FileProofStatus=CurrentPathConfirmed; System:Misc-&gt;DataFile:SerpentIsland.cfg; Data/Scripts/System/Misc/Build.cs:L36076:GenerateFile("Info/Custom", "SerpentIsland.cfg", Map.SerpentIsland);; POST-BATCH-S CurrentSource=Data/Scripts/System/Misc/Build.cs:L36076:GenerateFile("Info/Custom", "SerpentIsland.cfg", Map.SerpentIsland);; POST-BATCH-S direct schema review=GeneratedOrWrittenDataSurface</t>
  </si>
  <si>
    <t>POST-BATCH-S schema documentation review. Previous active row was PBN-0388/PBF-260. No source/project/XML/config/data behavior changed.</t>
  </si>
  <si>
    <t>RB-06522</t>
  </si>
  <si>
    <t>P10-F06522</t>
  </si>
  <si>
    <t>PBS-0164</t>
  </si>
  <si>
    <t>Documented schema/parser/data-contract evidence for 'Sosaria.cfg' from current source; no source/config behavior change.</t>
  </si>
  <si>
    <t>POST-BATCH-N lane=POST-BATCH-N-SCHEMA-DOCUMENTATION; FileProofStatus=CurrentPathConfirmed; System:Misc-&gt;DataFile:Sosaria.cfg; Data/Scripts/System/Misc/Build.cs:L36073:GenerateFile("Info/Custom", "Sosaria.cfg", Map.Sosaria);; POST-BATCH-S CurrentSource=Data/Scripts/System/Misc/Build.cs:L36073:GenerateFile("Info/Custom", "Sosaria.cfg", Map.Sosaria);; POST-BATCH-S direct schema review=GeneratedOrWrittenDataSurface</t>
  </si>
  <si>
    <t>POST-BATCH-S schema documentation review. Previous active row was PBN-0389/PBF-261. No source/project/XML/config/data behavior changed.</t>
  </si>
  <si>
    <t>RB-06523</t>
  </si>
  <si>
    <t>P10-F06523</t>
  </si>
  <si>
    <t>PBS-0165</t>
  </si>
  <si>
    <t>Documented schema/parser/data-contract evidence for 'Underworld.cfg' from current source; no source/config behavior change.</t>
  </si>
  <si>
    <t>POST-BATCH-N lane=POST-BATCH-N-SCHEMA-DOCUMENTATION; FileProofStatus=CurrentPathConfirmed; System:Misc-&gt;DataFile:Underworld.cfg; Data/Scripts/System/Misc/Build.cs:L36075:GenerateFile("Info/Custom", "Underworld.cfg", Map.Underworld);; POST-BATCH-S CurrentSource=Data/Scripts/System/Misc/Build.cs:L36075:GenerateFile("Info/Custom", "Underworld.cfg", Map.Underworld);; POST-BATCH-S direct schema review=GeneratedOrWrittenDataSurface</t>
  </si>
  <si>
    <t>POST-BATCH-S schema documentation review. Previous active row was PBN-0390/PBF-262. No source/project/XML/config/data behavior changed.</t>
  </si>
  <si>
    <t>RB-06524</t>
  </si>
  <si>
    <t>P10-F06524</t>
  </si>
  <si>
    <t>PBS-0227</t>
  </si>
  <si>
    <t>POST-BATCH-N lane=POST-BATCH-N-SCHEMA-DOCUMENTATION; FileProofStatus=CurrentPathConfirmed; Vendor Core-&gt;DataFile:myrunuodb_{0}_{1}.txt; Data/Scripts/System/Obsolete/Obsolete.cs:L23355:String.Format("myrunuodb_{0}_{1}.txt", type, i); POST-BATCH-S CurrentSource=Data/Scripts/System/Obsolete/Obsolete.cs:L23434:String.Format("myrunuodb_{0}_{1}.txt", type, i); POST-BATCH-S direct schema review=PathConstantOrSchemaReference</t>
  </si>
  <si>
    <t>POST-BATCH-S schema documentation review. Previous active row was PBN-0452/PBF-263. No source/project/XML/config/data behavior changed.</t>
  </si>
  <si>
    <t>RB-06525</t>
  </si>
  <si>
    <t>P10-F06525</t>
  </si>
  <si>
    <t>PBS-0228</t>
  </si>
  <si>
    <t>POST-BATCH-N lane=POST-BATCH-N-SCHEMA-DOCUMENTATION; FileProofStatus=CurrentPathConfirmed; Vendor Core-&gt;DataFile:myrunuodb_{0}.txt; Data/Scripts/System/Obsolete/Obsolete.cs:L23340:filePath = Path.Combine(Core.BaseDirectory, String.Format("myrunuodb_{0}.txt", type)); POST-BATCH-S CurrentSource=Data/Scripts/System/Obsolete/Obsolete.cs:L23419:filePath = Path.Combine(Core.BaseDirectory, String.Format("myrunuodb_{0}.txt", type)); POST-BATCH-S direct schema review=PathConstantOrSchemaReference</t>
  </si>
  <si>
    <t>POST-BATCH-S schema documentation review. Previous active row was PBN-0453/PBF-264. No source/project/XML/config/data behavior changed.</t>
  </si>
  <si>
    <t>RB-06526</t>
  </si>
  <si>
    <t>P10-F06526</t>
  </si>
  <si>
    <t>PBS-0229</t>
  </si>
  <si>
    <t>POST-BATCH-N lane=POST-BATCH-N-SCHEMA-DOCUMENTATION; FileProofStatus=CurrentPathConfirmed; XMLSpawner-&gt;DataFile:*.xml; Data/Scripts/Custom/XMLSpawner/XmlSpawner2.cs:L5802:files = Directory.GetFiles(filename, "*.xml");; POST-BATCH-S CurrentSource=Data/Scripts/Custom/XMLSpawner/XmlSpawner2.cs:L5829:files = Directory.GetFiles(filename, "*.xml");; POST-BATCH-S direct schema review=DirectoryGlobSchemaSurface</t>
  </si>
  <si>
    <t>POST-BATCH-S schema documentation review. Previous active row was PBN-0454/PBF-265. No source/project/XML/config/data behavior changed.</t>
  </si>
  <si>
    <t>RB-06527</t>
  </si>
  <si>
    <t>P10-F06527</t>
  </si>
  <si>
    <t>PBS-0230</t>
  </si>
  <si>
    <t>POST-BATCH-N lane=POST-BATCH-N-SCHEMA-DOCUMENTATION; FileProofStatus=CurrentPathConfirmed; XMLSpawner-&gt;DataFile:*.xml; Data/Scripts/Custom/XMLSpawner/XmlSpawner2.cs:L7712:files = Directory.GetFiles(filename, "*.xml");; POST-BATCH-S CurrentSource=Data/Scripts/Custom/XMLSpawner/XmlSpawner2.cs:L7751:files = Directory.GetFiles(filename, "*.xml");; POST-BATCH-S direct schema review=DirectoryGlobSchemaSurface</t>
  </si>
  <si>
    <t>POST-BATCH-S schema documentation review. Previous active row was PBN-0455/PBF-266. No source/project/XML/config/data behavior changed.</t>
  </si>
  <si>
    <t>RB-06528</t>
  </si>
  <si>
    <t>P10-F06528</t>
  </si>
  <si>
    <t>Data/Scripts/Custom/XMLSpawner/XmlUtils/Gumps/XmlCategorizedAddGump.cs</t>
  </si>
  <si>
    <t>PBS-0231</t>
  </si>
  <si>
    <t>Documented schema/parser/data-contract evidence for 'Data/objects.xml' from current source; no source/config behavior change.</t>
  </si>
  <si>
    <t>POST-BATCH-N lane=POST-BATCH-N-SCHEMA-DOCUMENTATION; FileProofStatus=CurrentPathConfirmed; XMLSpawner-&gt;DataFile:Data/objects.xml; Data/Scripts/Custom/XMLSpawner/XmlUtils/Gumps/XmlCategorizedAddGump.cs:L217:m_Root = Load("Data/objects.xml");; POST-BATCH-S CurrentSource=Data/Scripts/Custom/XMLSpawner/XmlUtils/Gumps/XmlCategorizedAddGump.cs:L217:m_Root = Load("Data/objects.xml");; POST-BATCH-S direct schema review=XmlDocumentSchemaSurface</t>
  </si>
  <si>
    <t>POST-BATCH-S schema documentation review. Previous active row was PBN-0456/PBF-267. No source/project/XML/config/data behavior changed.</t>
  </si>
  <si>
    <t>RB-06529</t>
  </si>
  <si>
    <t>P10-F06529</t>
  </si>
  <si>
    <t>PBS-0232</t>
  </si>
  <si>
    <t>Documented schema/parser/data-contract evidence for 'Data/xmlspawner.cfg' from current source; no source/config behavior change.</t>
  </si>
  <si>
    <t>POST-BATCH-N lane=POST-BATCH-N-SCHEMA-DOCUMENTATION; FileProofStatus=CurrentPathConfirmed; XMLSpawner-&gt;DataFile:Data/xmlspawner.cfg; Data/Scripts/Custom/XMLSpawner/XmlSpawner2.cs:L4351:string path = Path.Combine(Core.BaseDirectory, "Data/xmlspawner.cfg");; POST-BATCH-S CurrentSource=Data/Scripts/Custom/XMLSpawner/XmlSpawner2.cs:L4363:string path = Path.Combine(Core.BaseDirectory, "Data/xmlspawner.cfg");; POST-BATCH-S direct schema review=PathConstantOrSchemaReference</t>
  </si>
  <si>
    <t>POST-BATCH-S schema documentation review. Previous active row was PBN-0457/PBF-268. No source/project/XML/config/data behavior changed.</t>
  </si>
  <si>
    <t>RB-06530</t>
  </si>
  <si>
    <t>P10-F06530</t>
  </si>
  <si>
    <t>PBS-0006</t>
  </si>
  <si>
    <t>POST-BATCH-N lane=POST-BATCH-N-SCHEMA-DOCUMENTATION; FileProofStatus=CurrentPathConfirmed; Reference=*.xml; L170; Evidence=string[] files = Directory.GetFiles(DataPath, "*.xml");; POST-BATCH-S CurrentSource=Data/Scripts/Custom/Book Publisher [2.0]/XmlBook.cs:L170:string[] files = Directory.GetFiles(DataPath, "*.xml");; POST-BATCH-S direct schema review=DirectoryGlobSchemaSurface</t>
  </si>
  <si>
    <t>POST-BATCH-S schema documentation review. Previous active row was PBN-0231/PBF-269. No source/project/XML/config/data behavior changed.</t>
  </si>
  <si>
    <t>RB-06531</t>
  </si>
  <si>
    <t>P10-F06531</t>
  </si>
  <si>
    <t>PBS-0007</t>
  </si>
  <si>
    <t>POST-BATCH-N lane=POST-BATCH-N-SCHEMA-DOCUMENTATION; FileProofStatus=CurrentPathConfirmed; Reference=Data/GovernmentVersion.xml; L153; Evidence=Path.Combine(Core.BaseDirectory, "Data/GovernmentVersion.xml"); POST-BATCH-S CurrentSource=Data/Scripts/Custom/Government System/CityUpgradeSystem.cs:L153:Path.Combine(Core.BaseDirectory, "Data/GovernmentVersion.xml"); POST-BATCH-S direct schema review=XmlDocumentSchemaSurface</t>
  </si>
  <si>
    <t>POST-BATCH-S schema documentation review. Previous active row was PBN-0232/PBF-270. No source/project/XML/config/data behavior changed.</t>
  </si>
  <si>
    <t>RB-06532</t>
  </si>
  <si>
    <t>P10-F06532</t>
  </si>
  <si>
    <t>PBS-0008</t>
  </si>
  <si>
    <t>POST-BATCH-N lane=POST-BATCH-N-SCHEMA-DOCUMENTATION; FileProofStatus=CurrentPathConfirmed; Reference=Data/GovernmentVersion.xml; L21; Evidence=public static string FileName = "Data/GovernmentVersion.xml";; POST-BATCH-S CurrentSource=Data/Scripts/Custom/Government System/PlayerGovernmentSystem.cs:L21:public static string FileName = "Data/GovernmentVersion.xml";; POST-BATCH-S direct schema review=XmlDocumentSchemaSurface</t>
  </si>
  <si>
    <t>POST-BATCH-S schema documentation review. Previous active row was PBN-0233/PBF-271. No source/project/XML/config/data behavior changed.</t>
  </si>
  <si>
    <t>RB-06533</t>
  </si>
  <si>
    <t>P10-F06533</t>
  </si>
  <si>
    <t>PBS-0009</t>
  </si>
  <si>
    <t>POST-BATCH-N lane=POST-BATCH-N-SCHEMA-DOCUMENTATION; FileProofStatus=CurrentPathConfirmed; Reference=Data/The Pirate Captain Invader/Speech.txt; L20; Evidence=public static string path = "Data/The Pirate Captain Invader/Speech.txt";; POST-BATCH-S CurrentSource=Data/Scripts/Custom/Invasion System/Add Ins/Pirates/Chasing Pirates/PirateCaptain.cs:L20:public static string path = "Data/The Pirate Captain Invader/Speech.txt";; POST-BATCH-S direct schema review=PathConstantOrSchemaReference</t>
  </si>
  <si>
    <t>POST-BATCH-S schema documentation review. Previous active row was PBN-0234/PBF-272. No source/project/XML/config/data behavior changed.</t>
  </si>
  <si>
    <t>RB-06534</t>
  </si>
  <si>
    <t>P10-F06534</t>
  </si>
  <si>
    <t>PBS-0010</t>
  </si>
  <si>
    <t>POST-BATCH-N lane=POST-BATCH-N-SCHEMA-DOCUMENTATION; FileProofStatus=PathNeedsReview; Reference=./Data/Scripts/Custom/RandomEncounters/RandomEncounters.xml; L47; Evidence="./Data/Scripts/Custom/RandomEncounters/RandomEncounters.xml";; POST-BATCH-S CurrentSource=Data/Scripts/Custom/PvE/RandomEncounters/EncounterEngine.cs:L47:"./Data/Scripts/Custom/PvE/RandomEncounters/RandomEncounters.xml";; POST-BATCH-S direct schema review=XmlDocumentSchemaSurface</t>
  </si>
  <si>
    <t>POST-BATCH-S schema documentation review. Previous active row was PBN-0235/PBF-273. No source/project/XML/config/data behavior changed.</t>
  </si>
  <si>
    <t>RB-06535</t>
  </si>
  <si>
    <t>P10-F06535</t>
  </si>
  <si>
    <t>PBS-0011</t>
  </si>
  <si>
    <t>POST-BATCH-N lane=POST-BATCH-N-SCHEMA-DOCUMENTATION; FileProofStatus=PathNeedsReview; Reference=Data/Import/Premiums/RandomEncounters.xml; L382; Evidence="Data/Import/Premiums/RandomEncounters.xml"; POST-BATCH-S CurrentSource=Data/Scripts/Custom/PvE/RandomEncounters/Import.cs:L382:"Data/Import/Premiums/RandomEncounters.xml"; POST-BATCH-S direct schema review=XmlDocumentSchemaSurface</t>
  </si>
  <si>
    <t>POST-BATCH-S schema documentation review. Previous active row was PBN-0236/PBF-274. No source/project/XML/config/data behavior changed.</t>
  </si>
  <si>
    <t>RB-06536</t>
  </si>
  <si>
    <t>P10-F06536</t>
  </si>
  <si>
    <t>PBS-0014</t>
  </si>
  <si>
    <t>POST-BATCH-N lane=POST-BATCH-N-SCHEMA-DOCUMENTATION; FileProofStatus=CurrentPathConfirmed; Reference=Data/VoteSystem.cfg; L117; Evidence=FileInfo info = new FileInfo("Data/VoteSystem.cfg");; POST-BATCH-S CurrentSource=Data/Scripts/Custom/Voting/VoteConfig.cs:L117:FileInfo info = new FileInfo("Data/VoteSystem.cfg");; POST-BATCH-S direct schema review=PathConstantOrSchemaReference</t>
  </si>
  <si>
    <t>POST-BATCH-S schema documentation review. Previous active row was PBN-0239/PBF-275. No source/project/XML/config/data behavior changed.</t>
  </si>
  <si>
    <t>RB-06537</t>
  </si>
  <si>
    <t>P10-F06537</t>
  </si>
  <si>
    <t>PBS-0015</t>
  </si>
  <si>
    <t>POST-BATCH-N lane=POST-BATCH-N-SCHEMA-DOCUMENTATION; FileProofStatus=CurrentPathConfirmed; Reference=Data/VoteSystem.cfg; L150; Evidence=FileInfo info = new FileInfo("Data/VoteSystem.cfg");; POST-BATCH-S CurrentSource=Data/Scripts/Custom/Voting/VoteConfig.cs:L150:FileInfo info = new FileInfo("Data/VoteSystem.cfg");; POST-BATCH-S direct schema review=PathConstantOrSchemaReference</t>
  </si>
  <si>
    <t>POST-BATCH-S schema documentation review. Previous active row was PBN-0240/PBF-276. No source/project/XML/config/data behavior changed.</t>
  </si>
  <si>
    <t>RB-06538</t>
  </si>
  <si>
    <t>P10-F06538</t>
  </si>
  <si>
    <t>PBS-0016</t>
  </si>
  <si>
    <t>POST-BATCH-N lane=POST-BATCH-N-SCHEMA-DOCUMENTATION; FileProofStatus=CurrentPathConfirmed; Reference=Data/xmlspawner.cfg; L4351; Evidence=string path = Path.Combine(Core.BaseDirectory, "Data/xmlspawner.cfg");; POST-BATCH-S CurrentSource=Data/Scripts/Custom/XMLSpawner/XmlSpawner2.cs:L4363:string path = Path.Combine(Core.BaseDirectory, "Data/xmlspawner.cfg");; POST-BATCH-S direct schema review=PathConstantOrSchemaReference</t>
  </si>
  <si>
    <t>POST-BATCH-S schema documentation review. Previous active row was PBN-0241/PBF-277. No source/project/XML/config/data behavior changed.</t>
  </si>
  <si>
    <t>RB-06539</t>
  </si>
  <si>
    <t>P10-F06539</t>
  </si>
  <si>
    <t>PBS-0017</t>
  </si>
  <si>
    <t>POST-BATCH-N lane=POST-BATCH-N-SCHEMA-DOCUMENTATION; FileProofStatus=CurrentPathConfirmed; Reference=*.xml; L5802; Evidence=files = Directory.GetFiles(filename, "*.xml");; POST-BATCH-S CurrentSource=Data/Scripts/Custom/XMLSpawner/XmlSpawner2.cs:L5829:files = Directory.GetFiles(filename, "*.xml");; POST-BATCH-S direct schema review=DirectoryGlobSchemaSurface</t>
  </si>
  <si>
    <t>POST-BATCH-S schema documentation review. Previous active row was PBN-0242/PBF-278. No source/project/XML/config/data behavior changed.</t>
  </si>
  <si>
    <t>RB-06540</t>
  </si>
  <si>
    <t>P10-F06540</t>
  </si>
  <si>
    <t>PBS-0018</t>
  </si>
  <si>
    <t>POST-BATCH-N lane=POST-BATCH-N-SCHEMA-DOCUMENTATION; FileProofStatus=CurrentPathConfirmed; Reference=*.xml; L7712; Evidence=files = Directory.GetFiles(filename, "*.xml");; POST-BATCH-S CurrentSource=Data/Scripts/Custom/XMLSpawner/XmlSpawner2.cs:L7751:files = Directory.GetFiles(filename, "*.xml");; POST-BATCH-S direct schema review=DirectoryGlobSchemaSurface</t>
  </si>
  <si>
    <t>POST-BATCH-S schema documentation review. Previous active row was PBN-0243/PBF-279. No source/project/XML/config/data behavior changed.</t>
  </si>
  <si>
    <t>RB-06541</t>
  </si>
  <si>
    <t>P10-F06541</t>
  </si>
  <si>
    <t>PBS-0019</t>
  </si>
  <si>
    <t>POST-BATCH-N lane=POST-BATCH-N-SCHEMA-DOCUMENTATION; FileProofStatus=CurrentPathConfirmed; Reference=Data/objects.xml; L217; Evidence=m_Root = Load("Data/objects.xml");; POST-BATCH-S CurrentSource=Data/Scripts/Custom/XMLSpawner/XmlUtils/Gumps/XmlCategorizedAddGump.cs:L217:m_Root = Load("Data/objects.xml");; POST-BATCH-S direct schema review=XmlDocumentSchemaSurface</t>
  </si>
  <si>
    <t>POST-BATCH-S schema documentation review. Previous active row was PBN-0244/PBF-280. No source/project/XML/config/data behavior changed.</t>
  </si>
  <si>
    <t>RB-06542</t>
  </si>
  <si>
    <t>P10-F06542</t>
  </si>
  <si>
    <t>PBS-0034</t>
  </si>
  <si>
    <t>POST-BATCH-N lane=POST-BATCH-N-SCHEMA-DOCUMENTATION; FileProofStatus=CurrentPathConfirmed; Reference=Info/Rules.txt; L29; Evidence=string path = "Info/Rules.txt";; POST-BATCH-S CurrentSource=Data/Scripts/Items/Books/BulletinBoards/RulesBoard.cs:L32:string path = "Info/Rules.txt";; POST-BATCH-S direct schema review=PathConstantOrSchemaReference</t>
  </si>
  <si>
    <t>POST-BATCH-S schema documentation review. Previous active row was PBN-0259/PBF-281. No source/project/XML/config/data behavior changed.</t>
  </si>
  <si>
    <t>RB-06543</t>
  </si>
  <si>
    <t>P10-F06543</t>
  </si>
  <si>
    <t>PBS-0035</t>
  </si>
  <si>
    <t>POST-BATCH-N lane=POST-BATCH-N-SCHEMA-DOCUMENTATION; FileProofStatus=CurrentPathConfirmed; Reference=Data/System/Components/walls.txt; L42; Evidence="Data/System/Components/walls.txt",; POST-BATCH-S CurrentSource=Data/Scripts/Items/Houses/ComponentVerification.cs:L42:"Data/System/Components/walls.txt",; POST-BATCH-S direct schema review=PathConstantOrSchemaReference</t>
  </si>
  <si>
    <t>POST-BATCH-S schema documentation review. Previous active row was PBN-0260/PBF-282. No source/project/XML/config/data behavior changed.</t>
  </si>
  <si>
    <t>RB-06544</t>
  </si>
  <si>
    <t>P10-F06544</t>
  </si>
  <si>
    <t>PBS-0036</t>
  </si>
  <si>
    <t>POST-BATCH-N lane=POST-BATCH-N-SCHEMA-DOCUMENTATION; FileProofStatus=CurrentPathConfirmed; Reference=Data/System/Components/teleprts.txt; L59; Evidence="Data/System/Components/teleprts.txt",; POST-BATCH-S CurrentSource=Data/Scripts/Items/Houses/ComponentVerification.cs:L59:"Data/System/Components/teleprts.txt",; POST-BATCH-S direct schema review=PathConstantOrSchemaReference</t>
  </si>
  <si>
    <t>POST-BATCH-S schema documentation review. Previous active row was PBN-0261/PBF-283. No source/project/XML/config/data behavior changed.</t>
  </si>
  <si>
    <t>RB-06545</t>
  </si>
  <si>
    <t>P10-F06545</t>
  </si>
  <si>
    <t>PBS-0037</t>
  </si>
  <si>
    <t>POST-BATCH-N lane=POST-BATCH-N-SCHEMA-DOCUMENTATION; FileProofStatus=CurrentPathConfirmed; Reference=Data/System/Components/stairs.txt; L78; Evidence="Data/System/Components/stairs.txt",; POST-BATCH-S CurrentSource=Data/Scripts/Items/Houses/ComponentVerification.cs:L78:"Data/System/Components/stairs.txt",; POST-BATCH-S direct schema review=PathConstantOrSchemaReference</t>
  </si>
  <si>
    <t>POST-BATCH-S schema documentation review. Previous active row was PBN-0262/PBF-284. No source/project/XML/config/data behavior changed.</t>
  </si>
  <si>
    <t>RB-06546</t>
  </si>
  <si>
    <t>P10-F06546</t>
  </si>
  <si>
    <t>PBS-0038</t>
  </si>
  <si>
    <t>POST-BATCH-N lane=POST-BATCH-N-SCHEMA-DOCUMENTATION; FileProofStatus=CurrentPathConfirmed; Reference=Data/System/Components/roof.txt; L90; Evidence="Data/System/Components/roof.txt",; POST-BATCH-S CurrentSource=Data/Scripts/Items/Houses/ComponentVerification.cs:L90:"Data/System/Components/roof.txt",; POST-BATCH-S direct schema review=PathConstantOrSchemaReference</t>
  </si>
  <si>
    <t>POST-BATCH-S schema documentation review. Previous active row was PBN-0263/PBF-285. No source/project/XML/config/data behavior changed.</t>
  </si>
  <si>
    <t>RB-06547</t>
  </si>
  <si>
    <t>P10-F06547</t>
  </si>
  <si>
    <t>PBS-0039</t>
  </si>
  <si>
    <t>POST-BATCH-N lane=POST-BATCH-N-SCHEMA-DOCUMENTATION; FileProofStatus=CurrentPathConfirmed; Reference=Data/System/Components/floors.txt; L109; Evidence="Data/System/Components/floors.txt",; POST-BATCH-S CurrentSource=Data/Scripts/Items/Houses/ComponentVerification.cs:L109:"Data/System/Components/floors.txt",; POST-BATCH-S direct schema review=PathConstantOrSchemaReference</t>
  </si>
  <si>
    <t>POST-BATCH-S schema documentation review. Previous active row was PBN-0264/PBF-286. No source/project/XML/config/data behavior changed.</t>
  </si>
  <si>
    <t>RB-06548</t>
  </si>
  <si>
    <t>P10-F06548</t>
  </si>
  <si>
    <t>PBS-0040</t>
  </si>
  <si>
    <t>POST-BATCH-N lane=POST-BATCH-N-SCHEMA-DOCUMENTATION; FileProofStatus=CurrentPathConfirmed; Reference=Data/System/Components/misc.txt; L128; Evidence="Data/System/Components/misc.txt",; POST-BATCH-S CurrentSource=Data/Scripts/Items/Houses/ComponentVerification.cs:L128:"Data/System/Components/misc.txt",; POST-BATCH-S direct schema review=PathConstantOrSchemaReference</t>
  </si>
  <si>
    <t>POST-BATCH-S schema documentation review. Previous active row was PBN-0265/PBF-287. No source/project/XML/config/data behavior changed.</t>
  </si>
  <si>
    <t>RB-06549</t>
  </si>
  <si>
    <t>P10-F06549</t>
  </si>
  <si>
    <t>PBS-0041</t>
  </si>
  <si>
    <t>POST-BATCH-N lane=POST-BATCH-N-SCHEMA-DOCUMENTATION; FileProofStatus=CurrentPathConfirmed; Reference=Data/System/Components/doors.txt; L139; Evidence="Data/System/Components/doors.txt",; POST-BATCH-S CurrentSource=Data/Scripts/Items/Houses/ComponentVerification.cs:L139:"Data/System/Components/doors.txt",; POST-BATCH-S direct schema review=PathConstantOrSchemaReference</t>
  </si>
  <si>
    <t>POST-BATCH-S schema documentation review. Previous active row was PBN-0266/PBF-288. No source/project/XML/config/data behavior changed.</t>
  </si>
  <si>
    <t>RB-06550</t>
  </si>
  <si>
    <t>P10-F06550</t>
  </si>
  <si>
    <t>PBS-0042</t>
  </si>
  <si>
    <t>POST-BATCH-N lane=POST-BATCH-N-SCHEMA-DOCUMENTATION; FileProofStatus=CurrentPathConfirmed; Reference=Data/System/Components/stairs.txt; L151; Evidence="Data/System/Components/stairs.txt",; POST-BATCH-S CurrentSource=Data/Scripts/Items/Houses/ComponentVerification.cs:L151:"Data/System/Components/stairs.txt",; POST-BATCH-S direct schema review=PathConstantOrSchemaReference</t>
  </si>
  <si>
    <t>POST-BATCH-S schema documentation review. Previous active row was PBN-0267/PBF-289. No source/project/XML/config/data behavior changed.</t>
  </si>
  <si>
    <t>RB-06551</t>
  </si>
  <si>
    <t>P10-F06551</t>
  </si>
  <si>
    <t>PBS-0043</t>
  </si>
  <si>
    <t>POST-BATCH-N lane=POST-BATCH-N-SCHEMA-DOCUMENTATION; FileProofStatus=CurrentPathConfirmed; Reference=dsd_exceptions.txt; L2892; Evidence=using (StreamWriter op = new StreamWriter("dsd_exceptions.txt", true)); POST-BATCH-S CurrentSource=Data/Scripts/Items/Houses/HouseFoundation.cs:L2900:using (StreamWriter op = new StreamWriter("dsd_exceptions.txt", true)); POST-BATCH-S direct schema review=GeneratedOrWrittenDataSurface</t>
  </si>
  <si>
    <t>POST-BATCH-S schema documentation review. Previous active row was PBN-0268/PBF-290. No source/project/XML/config/data behavior changed.</t>
  </si>
  <si>
    <t>RB-06552</t>
  </si>
  <si>
    <t>P10-F06552</t>
  </si>
  <si>
    <t>PBS-0044</t>
  </si>
  <si>
    <t>POST-BATCH-N lane=POST-BATCH-N-SCHEMA-DOCUMENTATION; FileProofStatus=CurrentPathConfirmed; Reference=*.cfg; L61; Evidence=string[] files = Directory.GetFiles(folder, "*.cfg");; POST-BATCH-S CurrentSource=Data/Scripts/Items/Houses/Monopoly/Decorate.cs:L61:string[] files = Directory.GetFiles(folder, "*.cfg");; POST-BATCH-S direct schema review=DirectoryGlobSchemaSurface</t>
  </si>
  <si>
    <t>POST-BATCH-S schema documentation review. Previous active row was PBN-0269/PBF-291. No source/project/XML/config/data behavior changed.</t>
  </si>
  <si>
    <t>RB-06553</t>
  </si>
  <si>
    <t>P10-F06553</t>
  </si>
  <si>
    <t>PBS-0087</t>
  </si>
  <si>
    <t>POST-BATCH-N lane=POST-BATCH-N-SCHEMA-DOCUMENTATION; FileProofStatus=CurrentPathConfirmed; Reference=area.txt; L43; Evidence=new object[] { "area.txt" }; POST-BATCH-S CurrentSource=Data/Scripts/System/Commands/AreaLog.cs:L43:new object[] { "area.txt" }; POST-BATCH-S direct schema review=PathConstantOrSchemaReference</t>
  </si>
  <si>
    <t>POST-BATCH-S schema documentation review. Previous active row was PBN-0312/PBF-292. No source/project/XML/config/data behavior changed.</t>
  </si>
  <si>
    <t>RB-06554</t>
  </si>
  <si>
    <t>P10-F06554</t>
  </si>
  <si>
    <t>PBS-0088</t>
  </si>
  <si>
    <t>POST-BATCH-N lane=POST-BATCH-N-SCHEMA-DOCUMENTATION; FileProofStatus=CurrentPathConfirmed; Reference=area.txt; L55; Evidence=StreamWriter w = File.AppendText("area.txt");; POST-BATCH-S CurrentSource=Data/Scripts/System/Commands/AreaLog.cs:L55:StreamWriter w = File.AppendText("area.txt");; POST-BATCH-S direct schema review=GeneratedOrWrittenDataSurface</t>
  </si>
  <si>
    <t>POST-BATCH-S schema documentation review. Previous active row was PBN-0313/PBF-293. No source/project/XML/config/data behavior changed.</t>
  </si>
  <si>
    <t>RB-06555</t>
  </si>
  <si>
    <t>P10-F06555</t>
  </si>
  <si>
    <t>PBS-0089</t>
  </si>
  <si>
    <t>POST-BATCH-N lane=POST-BATCH-N-SCHEMA-DOCUMENTATION; FileProofStatus=CurrentPathConfirmed; Reference=models/models.txt; L1840; Evidence=string path = Core.FindDataFile("models/models.txt");; POST-BATCH-S CurrentSource=Data/Scripts/System/Commands/Docs.cs:L1840:string path = Core.FindDataFile("models/models.txt");; POST-BATCH-S direct schema review=TextConfigReadSurface</t>
  </si>
  <si>
    <t>POST-BATCH-S schema documentation review. Previous active row was PBN-0314/PBF-294. No source/project/XML/config/data behavior changed.</t>
  </si>
  <si>
    <t>RB-06556</t>
  </si>
  <si>
    <t>P10-F06556</t>
  </si>
  <si>
    <t>PBS-0090</t>
  </si>
  <si>
    <t>POST-BATCH-N lane=POST-BATCH-N-SCHEMA-DOCUMENTATION; FileProofStatus=CurrentPathConfirmed; Reference=facing.txt; L102; Evidence=StreamWriter w = File.AppendText("facing.txt");; POST-BATCH-S CurrentSource=Data/Scripts/System/Commands/FaceLog.cs:L102:StreamWriter w = File.AppendText("facing.txt");; POST-BATCH-S direct schema review=GeneratedOrWrittenDataSurface</t>
  </si>
  <si>
    <t>POST-BATCH-S schema documentation review. Previous active row was PBN-0315/PBF-295. No source/project/XML/config/data behavior changed.</t>
  </si>
  <si>
    <t>RB-06557</t>
  </si>
  <si>
    <t>P10-F06557</t>
  </si>
  <si>
    <t>PBS-0091</t>
  </si>
  <si>
    <t>POST-BATCH-N lane=POST-BATCH-N-SCHEMA-DOCUMENTATION; FileProofStatus=CurrentPathConfirmed; Reference=Data/System/XML/objects.xml; L57; Evidence=Export(root, "Data/System/XML/objects.xml", "Objects");; POST-BATCH-S CurrentSource=Data/Scripts/System/Commands/GenCategorization.cs:L57:Export(root, "Data/System/XML/objects.xml", "Objects");; POST-BATCH-S direct schema review=XmlDocumentSchemaSurface</t>
  </si>
  <si>
    <t>POST-BATCH-S schema documentation review. Previous active row was PBN-0316/PBF-296. No source/project/XML/config/data behavior changed.</t>
  </si>
  <si>
    <t>RB-06558</t>
  </si>
  <si>
    <t>P10-F06558</t>
  </si>
  <si>
    <t>PBS-0092</t>
  </si>
  <si>
    <t>POST-BATCH-N lane=POST-BATCH-N-SCHEMA-DOCUMENTATION; FileProofStatus=CurrentPathConfirmed; Reference=Data/System/CFG/items.cfg; L169; Evidence=m_RootItems = Load(types, "Data/System/CFG/items.cfg");; POST-BATCH-S CurrentSource=Data/Scripts/System/Commands/GenCategorization.cs:L169:m_RootItems = Load(types, "Data/System/CFG/items.cfg");; POST-BATCH-S direct schema review=PathConstantOrSchemaReference</t>
  </si>
  <si>
    <t>POST-BATCH-S schema documentation review. Previous active row was PBN-0317/PBF-297. No source/project/XML/config/data behavior changed.</t>
  </si>
  <si>
    <t>RB-06559</t>
  </si>
  <si>
    <t>P10-F06559</t>
  </si>
  <si>
    <t>PBS-0093</t>
  </si>
  <si>
    <t>POST-BATCH-N lane=POST-BATCH-N-SCHEMA-DOCUMENTATION; FileProofStatus=CurrentPathConfirmed; Reference=Data/System/CFG/mobiles.cfg; L170; Evidence=m_RootMobiles = Load(types, "Data/System/CFG/mobiles.cfg");; POST-BATCH-S CurrentSource=Data/Scripts/System/Commands/GenCategorization.cs:L170:m_RootMobiles = Load(types, "Data/System/CFG/mobiles.cfg");; POST-BATCH-S direct schema review=PathConstantOrSchemaReference</t>
  </si>
  <si>
    <t>POST-BATCH-S schema documentation review. Previous active row was PBN-0318/PBF-298. No source/project/XML/config/data behavior changed.</t>
  </si>
  <si>
    <t>RB-06560</t>
  </si>
  <si>
    <t>P10-F06560</t>
  </si>
  <si>
    <t>PBS-0094</t>
  </si>
  <si>
    <t>POST-BATCH-N lane=POST-BATCH-N-SCHEMA-DOCUMENTATION; FileProofStatus=CurrentPathConfirmed; Reference=Info/treasurechests.txt; L42; Evidence=string sPath = "Info/treasurechests.txt";; POST-BATCH-S CurrentSource=Data/Scripts/System/Commands/LogTreasureChests.cs:L42:string sPath = "Info/treasurechests.txt";; POST-BATCH-S direct schema review=PathConstantOrSchemaReference</t>
  </si>
  <si>
    <t>POST-BATCH-S schema documentation review. Previous active row was PBN-0319/PBF-299. No source/project/XML/config/data behavior changed.</t>
  </si>
  <si>
    <t>RB-06561</t>
  </si>
  <si>
    <t>P10-F06561</t>
  </si>
  <si>
    <t>PBS-0095</t>
  </si>
  <si>
    <t>POST-BATCH-N lane=POST-BATCH-N-SCHEMA-DOCUMENTATION; FileProofStatus=CurrentPathConfirmed; Reference=TheMulti\{0}Multi.txt; L510; Evidence=string.Format(@"TheMulti\{0}Multi.txt", name); POST-BATCH-S CurrentSource=Data/Scripts/System/Commands/MultiMaker.cs:L510:string.Format(@"TheMulti\{0}Multi.txt", name); POST-BATCH-S direct schema review=PathConstantOrSchemaReference</t>
  </si>
  <si>
    <t>POST-BATCH-S schema documentation review. Previous active row was PBN-0320/PBF-300. No source/project/XML/config/data behavior changed.</t>
  </si>
  <si>
    <t>RB-06562</t>
  </si>
  <si>
    <t>P10-F06562</t>
  </si>
  <si>
    <t>PBS-0096</t>
  </si>
  <si>
    <t>POST-BATCH-N lane=POST-BATCH-N-SCHEMA-DOCUMENTATION; FileProofStatus=CurrentPathConfirmed; Reference=TheMulti\{0}Multi.txt; L515; Evidence=string.Format(@"TheMulti\{0}Multi.txt", name); POST-BATCH-S CurrentSource=Data/Scripts/System/Commands/MultiMaker.cs:L515:string.Format(@"TheMulti\{0}Multi.txt", name); POST-BATCH-S direct schema review=PathConstantOrSchemaReference</t>
  </si>
  <si>
    <t>POST-BATCH-S schema documentation review. Previous active row was PBN-0321/PBF-301. No source/project/XML/config/data behavior changed.</t>
  </si>
  <si>
    <t>RB-06563</t>
  </si>
  <si>
    <t>P10-F06563</t>
  </si>
  <si>
    <t>PBS-0097</t>
  </si>
  <si>
    <t>POST-BATCH-N lane=POST-BATCH-N-SCHEMA-DOCUMENTATION; FileProofStatus=CurrentPathConfirmed; Reference=points.txt; L66; Evidence=StreamWriter w = File.AppendText("points.txt");; POST-BATCH-S CurrentSource=Data/Scripts/System/Commands/PointLog.cs:L66:StreamWriter w = File.AppendText("points.txt");; POST-BATCH-S direct schema review=GeneratedOrWrittenDataSurface</t>
  </si>
  <si>
    <t>POST-BATCH-S schema documentation review. Previous active row was PBN-0322/PBF-302. No source/project/XML/config/data behavior changed.</t>
  </si>
  <si>
    <t>RB-06564</t>
  </si>
  <si>
    <t>P10-F06564</t>
  </si>
  <si>
    <t>PBS-0098</t>
  </si>
  <si>
    <t>POST-BATCH-N lane=POST-BATCH-N-SCHEMA-DOCUMENTATION; FileProofStatus=CurrentPathConfirmed; Reference=containers.txt; L81; Evidence=StreamWriter w = File.AppendText("containers.txt");; POST-BATCH-S CurrentSource=Data/Scripts/System/Commands/PointLog.cs:L81:StreamWriter w = File.AppendText("containers.txt");; POST-BATCH-S direct schema review=GeneratedOrWrittenDataSurface</t>
  </si>
  <si>
    <t>POST-BATCH-S schema documentation review. Previous active row was PBN-0323/PBF-303. No source/project/XML/config/data behavior changed.</t>
  </si>
  <si>
    <t>RB-06565</t>
  </si>
  <si>
    <t>P10-F06565</t>
  </si>
  <si>
    <t>PBS-0099</t>
  </si>
  <si>
    <t>POST-BATCH-N lane=POST-BATCH-N-SCHEMA-DOCUMENTATION; FileProofStatus=CurrentPathConfirmed; Reference=region.txt; L32; Evidence=StreamWriter w = File.AppendText("region.txt");; POST-BATCH-S CurrentSource=Data/Scripts/System/Commands/RecordItems.cs:L32:StreamWriter w = File.AppendText("region.txt");; POST-BATCH-S direct schema review=GeneratedOrWrittenDataSurface</t>
  </si>
  <si>
    <t>POST-BATCH-S schema documentation review. Previous active row was PBN-0324/PBF-304. No source/project/XML/config/data behavior changed.</t>
  </si>
  <si>
    <t>RB-06566</t>
  </si>
  <si>
    <t>P10-F06566</t>
  </si>
  <si>
    <t>PBS-0100</t>
  </si>
  <si>
    <t>POST-BATCH-N lane=POST-BATCH-N-SCHEMA-DOCUMENTATION; FileProofStatus=CurrentPathConfirmed; Reference=spawners.txt; L32; Evidence=StreamWriter w = File.AppendText("spawners.txt");; POST-BATCH-S CurrentSource=Data/Scripts/System/Commands/SpawnerCatalog.cs:L32:StreamWriter w = File.AppendText("spawners.txt");; POST-BATCH-S direct schema review=GeneratedOrWrittenDataSurface</t>
  </si>
  <si>
    <t>POST-BATCH-S schema documentation review. Previous active row was PBN-0325/PBF-305. No source/project/XML/config/data behavior changed.</t>
  </si>
  <si>
    <t>RB-06567</t>
  </si>
  <si>
    <t>P10-F06567</t>
  </si>
  <si>
    <t>PBS-0101</t>
  </si>
  <si>
    <t>POST-BATCH-N lane=POST-BATCH-N-SCHEMA-DOCUMENTATION; FileProofStatus=CurrentPathConfirmed; Reference=.\Export\{0}.cfg; L76; Evidence=using (StreamWriter op = new StreamWriter(String.Format(@".\Export\{0}.cfg", file))); POST-BATCH-S CurrentSource=Data/Scripts/System/Commands/SpecialExport.cs:L76:using (StreamWriter op = new StreamWriter(String.Format(@".\Export\{0}.cfg", file))); POST-BATCH-S direct schema review=GeneratedOrWrittenDataSurface</t>
  </si>
  <si>
    <t>POST-BATCH-S schema documentation review. Previous active row was PBN-0326/PBF-306. No source/project/XML/config/data behavior changed.</t>
  </si>
  <si>
    <t>RB-06568</t>
  </si>
  <si>
    <t>P10-F06568</t>
  </si>
  <si>
    <t>PBS-0102</t>
  </si>
  <si>
    <t>POST-BATCH-N lane=POST-BATCH-N-SCHEMA-DOCUMENTATION; FileProofStatus=CurrentPathConfirmed; Reference=.\Export\{0}.cfg; L77; Evidence=using (StreamWriter op = new StreamWriter(String.Format(@".\Export\{0}.cfg", file))); POST-BATCH-S CurrentSource=Data/Scripts/System/Commands/StaticExport.cs:L77:using (StreamWriter op = new StreamWriter(String.Format(@".\Export\{0}.cfg", file))); POST-BATCH-S direct schema review=GeneratedOrWrittenDataSurface</t>
  </si>
  <si>
    <t>POST-BATCH-S schema documentation review. Previous active row was PBN-0327/PBF-307. No source/project/XML/config/data behavior changed.</t>
  </si>
  <si>
    <t>RB-06569</t>
  </si>
  <si>
    <t>P10-F06569</t>
  </si>
  <si>
    <t>PBS-0103</t>
  </si>
  <si>
    <t>POST-BATCH-N lane=POST-BATCH-N-SCHEMA-DOCUMENTATION; FileProofStatus=CurrentPathConfirmed; Reference=targets.txt; L96; Evidence=StreamWriter w = File.AppendText("targets.txt");; POST-BATCH-S CurrentSource=Data/Scripts/System/Commands/TargetLog.cs:L96:StreamWriter w = File.AppendText("targets.txt");; POST-BATCH-S direct schema review=GeneratedOrWrittenDataSurface</t>
  </si>
  <si>
    <t>POST-BATCH-S schema documentation review. Previous active row was PBN-0328/PBF-308. No source/project/XML/config/data behavior changed.</t>
  </si>
  <si>
    <t>RB-06570</t>
  </si>
  <si>
    <t>P10-F06570</t>
  </si>
  <si>
    <t>PBS-0106</t>
  </si>
  <si>
    <t>POST-BATCH-N lane=POST-BATCH-N-SCHEMA-DOCUMENTATION; FileProofStatus=CurrentPathConfirmed; Reference=Data/System/XML/objects.xml; L156; Evidence=m_Root = Load("Data/System/XML/objects.xml");; POST-BATCH-S CurrentSource=Data/Scripts/System/Gumps/CategorizedAddGump.cs:L156:m_Root = Load("Data/System/XML/objects.xml");; POST-BATCH-S direct schema review=XmlDocumentSchemaSurface</t>
  </si>
  <si>
    <t>POST-BATCH-S schema documentation review. Previous active row was PBN-0331/PBF-309. No source/project/XML/config/data behavior changed.</t>
  </si>
  <si>
    <t>RB-06571</t>
  </si>
  <si>
    <t>P10-F06571</t>
  </si>
  <si>
    <t>PBS-0107</t>
  </si>
  <si>
    <t>POST-BATCH-N lane=POST-BATCH-N-SCHEMA-DOCUMENTATION; FileProofStatus=CurrentPathConfirmed; Reference=System/XML/go.xml; L10; Evidence=public static readonly LocationTree Listing = new LocationTree("System/XML/go.xml");; POST-BATCH-S CurrentSource=Data/Scripts/System/Gumps/Go/GoGump.cs:L10:public static readonly LocationTree Listing = new LocationTree("System/XML/go.xml");; POST-BATCH-S direct schema review=XmlDocumentSchemaSurface</t>
  </si>
  <si>
    <t>POST-BATCH-S schema documentation review. Previous active row was PBN-0332/PBF-310. No source/project/XML/config/data behavior changed.</t>
  </si>
  <si>
    <t>RB-06572</t>
  </si>
  <si>
    <t>P10-F06572</t>
  </si>
  <si>
    <t>PBS-0110</t>
  </si>
  <si>
    <t>POST-BATCH-N lane=POST-BATCH-N-SCHEMA-DOCUMENTATION; FileProofStatus=CurrentPathConfirmed; Reference=Data/System/CFG/pageresponse.cfg; L211; Evidence=string path = Path.Combine(Core.BaseDirectory, "Data/System/CFG/pageresponse.cfg");; POST-BATCH-S CurrentSource=Data/Scripts/System/Help/Gumps/PageQueueGump.cs:L211:string path = Path.Combine(Core.BaseDirectory, "Data/System/CFG/pageresponse.cfg");; POST-BATCH-S direct schema review=PathConstantOrSchemaReference</t>
  </si>
  <si>
    <t>POST-BATCH-S schema documentation review. Previous active row was PBN-0335/PBF-311. No source/project/XML/config/data behavior changed.</t>
  </si>
  <si>
    <t>RB-06573</t>
  </si>
  <si>
    <t>P10-F06573</t>
  </si>
  <si>
    <t>PBS-0111</t>
  </si>
  <si>
    <t>POST-BATCH-N lane=POST-BATCH-N-SCHEMA-DOCUMENTATION; FileProofStatus=CurrentPathConfirmed; Reference=Data/System/CFG/pageresponse.cfg; L233; Evidence=string path = Path.Combine(Core.BaseDirectory, "Data/System/CFG/pageresponse.cfg");; POST-BATCH-S CurrentSource=Data/Scripts/System/Help/Gumps/PageQueueGump.cs:L233:string path = Path.Combine(Core.BaseDirectory, "Data/System/CFG/pageresponse.cfg");; POST-BATCH-S direct schema review=PathConstantOrSchemaReference</t>
  </si>
  <si>
    <t>POST-BATCH-S schema documentation review. Previous active row was PBN-0336/PBF-312. No source/project/XML/config/data behavior changed.</t>
  </si>
  <si>
    <t>RB-06574</t>
  </si>
  <si>
    <t>P10-F06574</t>
  </si>
  <si>
    <t>PBS-0166</t>
  </si>
  <si>
    <t>POST-BATCH-N lane=POST-BATCH-N-SCHEMA-DOCUMENTATION; FileProofStatus=CurrentPathConfirmed; Reference=accounts.xml; L751; Evidence=string filePath = Path.Combine("Saves/Accounts", "accounts.xml");; POST-BATCH-S CurrentSource=Data/Scripts/System/Misc/Accounts.cs:L778:string filePath = Path.Combine("Saves/Accounts", "accounts.xml");; POST-BATCH-S direct schema review=XmlDocumentSchemaSurface</t>
  </si>
  <si>
    <t>POST-BATCH-S schema documentation review. Previous active row was PBN-0391/PBF-313. No source/project/XML/config/data behavior changed.</t>
  </si>
  <si>
    <t>RB-06575</t>
  </si>
  <si>
    <t>P10-F06575</t>
  </si>
  <si>
    <t>PBS-0167</t>
  </si>
  <si>
    <t>POST-BATCH-N lane=POST-BATCH-N-SCHEMA-DOCUMENTATION; FileProofStatus=CurrentPathConfirmed; Reference=accounts.xml; L779; Evidence=string filePath = Path.Combine("Saves/Accounts", "accounts.xml");; POST-BATCH-S CurrentSource=Data/Scripts/System/Misc/Accounts.cs:L778:string filePath = Path.Combine("Saves/Accounts", "accounts.xml");; POST-BATCH-S direct schema review=XmlDocumentSchemaSurface</t>
  </si>
  <si>
    <t>POST-BATCH-S schema documentation review. Previous active row was PBN-0392/PBF-314. No source/project/XML/config/data behavior changed.</t>
  </si>
  <si>
    <t>RB-06576</t>
  </si>
  <si>
    <t>P10-F06576</t>
  </si>
  <si>
    <t>PBS-0168</t>
  </si>
  <si>
    <t>POST-BATCH-N lane=POST-BATCH-N-SCHEMA-DOCUMENTATION; FileProofStatus=CurrentPathConfirmed; Reference=firewall.cfg; L2227; Evidence=string path = "firewall.cfg";; POST-BATCH-S CurrentSource=Data/Scripts/System/Misc/Accounts.cs:L2265:string path = "firewall.cfg";; POST-BATCH-S direct schema review=PathConstantOrSchemaReference</t>
  </si>
  <si>
    <t>POST-BATCH-S schema documentation review. Previous active row was PBN-0393/PBF-315. No source/project/XML/config/data behavior changed.</t>
  </si>
  <si>
    <t>RB-06577</t>
  </si>
  <si>
    <t>P10-F06577</t>
  </si>
  <si>
    <t>PBS-0169</t>
  </si>
  <si>
    <t>POST-BATCH-N lane=POST-BATCH-N-SCHEMA-DOCUMENTATION; FileProofStatus=CurrentPathConfirmed; Reference=firewall.cfg; L2360; Evidence=string path = "firewall.cfg";; POST-BATCH-S CurrentSource=Data/Scripts/System/Misc/Accounts.cs:L2398:string path = "firewall.cfg";; POST-BATCH-S direct schema review=PathConstantOrSchemaReference</t>
  </si>
  <si>
    <t>POST-BATCH-S schema documentation review. Previous active row was PBN-0394/PBF-316. No source/project/XML/config/data behavior changed.</t>
  </si>
  <si>
    <t>RB-06578</t>
  </si>
  <si>
    <t>P10-F06578</t>
  </si>
  <si>
    <t>PBS-0170</t>
  </si>
  <si>
    <t>POST-BATCH-N lane=POST-BATCH-N-SCHEMA-DOCUMENTATION; FileProofStatus=CurrentPathConfirmed; Reference=Sosaria.cfg; L36073; Evidence=GenerateFile("Info/Custom", "Sosaria.cfg", Map.Sosaria);; POST-BATCH-S CurrentSource=Data/Scripts/System/Misc/Build.cs:L36073:GenerateFile("Info/Custom", "Sosaria.cfg", Map.Sosaria);; POST-BATCH-S direct schema review=GeneratedOrWrittenDataSurface</t>
  </si>
  <si>
    <t>POST-BATCH-S schema documentation review. Previous active row was PBN-0395/PBF-317. No source/project/XML/config/data behavior changed.</t>
  </si>
  <si>
    <t>RB-06579</t>
  </si>
  <si>
    <t>P10-F06579</t>
  </si>
  <si>
    <t>PBS-0171</t>
  </si>
  <si>
    <t>POST-BATCH-N lane=POST-BATCH-N-SCHEMA-DOCUMENTATION; FileProofStatus=CurrentPathConfirmed; Reference=Lodor.cfg; L36074; Evidence=GenerateFile("Info/Custom", "Lodor.cfg", Map.Lodor);; POST-BATCH-S CurrentSource=Data/Scripts/System/Misc/Build.cs:L36074:GenerateFile("Info/Custom", "Lodor.cfg", Map.Lodor);; POST-BATCH-S direct schema review=GeneratedOrWrittenDataSurface</t>
  </si>
  <si>
    <t>POST-BATCH-S schema documentation review. Previous active row was PBN-0396/PBF-318. No source/project/XML/config/data behavior changed.</t>
  </si>
  <si>
    <t>RB-06580</t>
  </si>
  <si>
    <t>P10-F06580</t>
  </si>
  <si>
    <t>PBS-0172</t>
  </si>
  <si>
    <t>POST-BATCH-N lane=POST-BATCH-N-SCHEMA-DOCUMENTATION; FileProofStatus=CurrentPathConfirmed; Reference=Underworld.cfg; L36075; Evidence=GenerateFile("Info/Custom", "Underworld.cfg", Map.Underworld);; POST-BATCH-S CurrentSource=Data/Scripts/System/Misc/Build.cs:L36075:GenerateFile("Info/Custom", "Underworld.cfg", Map.Underworld);; POST-BATCH-S direct schema review=GeneratedOrWrittenDataSurface</t>
  </si>
  <si>
    <t>POST-BATCH-S schema documentation review. Previous active row was PBN-0397/PBF-319. No source/project/XML/config/data behavior changed.</t>
  </si>
  <si>
    <t>RB-06581</t>
  </si>
  <si>
    <t>P10-F06581</t>
  </si>
  <si>
    <t>PBS-0173</t>
  </si>
  <si>
    <t>POST-BATCH-N lane=POST-BATCH-N-SCHEMA-DOCUMENTATION; FileProofStatus=CurrentPathConfirmed; Reference=SerpentIsland.cfg; L36076; Evidence=GenerateFile("Info/Custom", "SerpentIsland.cfg", Map.SerpentIsland);; POST-BATCH-S CurrentSource=Data/Scripts/System/Misc/Build.cs:L36076:GenerateFile("Info/Custom", "SerpentIsland.cfg", Map.SerpentIsland);; POST-BATCH-S direct schema review=GeneratedOrWrittenDataSurface</t>
  </si>
  <si>
    <t>POST-BATCH-S schema documentation review. Previous active row was PBN-0398/PBF-320. No source/project/XML/config/data behavior changed.</t>
  </si>
  <si>
    <t>RB-06582</t>
  </si>
  <si>
    <t>P10-F06582</t>
  </si>
  <si>
    <t>PBS-0174</t>
  </si>
  <si>
    <t>POST-BATCH-N lane=POST-BATCH-N-SCHEMA-DOCUMENTATION; FileProofStatus=CurrentPathConfirmed; Reference=IslesOfDread.cfg; L36077; Evidence=GenerateFile("Info/Custom", "IslesOfDread.cfg", Map.IslesDread);; POST-BATCH-S CurrentSource=Data/Scripts/System/Misc/Build.cs:L36077:GenerateFile("Info/Custom", "IslesOfDread.cfg", Map.IslesDread);; POST-BATCH-S direct schema review=GeneratedOrWrittenDataSurface</t>
  </si>
  <si>
    <t>POST-BATCH-S schema documentation review. Previous active row was PBN-0399/PBF-321. No source/project/XML/config/data behavior changed.</t>
  </si>
  <si>
    <t>RB-06583</t>
  </si>
  <si>
    <t>P10-F06583</t>
  </si>
  <si>
    <t>PBS-0175</t>
  </si>
  <si>
    <t>POST-BATCH-N lane=POST-BATCH-N-SCHEMA-DOCUMENTATION; FileProofStatus=CurrentPathConfirmed; Reference=SavagedEmpire.cfg; L36078; Evidence=GenerateFile("Info/Custom", "SavagedEmpire.cfg", Map.SavagedEmpire);; POST-BATCH-S CurrentSource=Data/Scripts/System/Misc/Build.cs:L36078:GenerateFile("Info/Custom", "SavagedEmpire.cfg", Map.SavagedEmpire);; POST-BATCH-S direct schema review=GeneratedOrWrittenDataSurface</t>
  </si>
  <si>
    <t>POST-BATCH-S schema documentation review. Previous active row was PBN-0400/PBF-322. No source/project/XML/config/data behavior changed.</t>
  </si>
  <si>
    <t>RB-06584</t>
  </si>
  <si>
    <t>P10-F06584</t>
  </si>
  <si>
    <t>PBS-0176</t>
  </si>
  <si>
    <t>POST-BATCH-N lane=POST-BATCH-N-SCHEMA-DOCUMENTATION; FileProofStatus=CurrentPathConfirmed; Reference=Atlantis.cfg; L36079; Evidence=GenerateFile("Info/Custom", "Atlantis.cfg", Map.Atlantis);; POST-BATCH-S CurrentSource=Data/Scripts/System/Misc/Build.cs:L36079:GenerateFile("Info/Custom", "Atlantis.cfg", Map.Atlantis);; POST-BATCH-S direct schema review=GeneratedOrWrittenDataSurface</t>
  </si>
  <si>
    <t>POST-BATCH-S schema documentation review. Previous active row was PBN-0401/PBF-323. No source/project/XML/config/data behavior changed.</t>
  </si>
  <si>
    <t>RB-06585</t>
  </si>
  <si>
    <t>P10-F06585</t>
  </si>
  <si>
    <t>PBS-0177</t>
  </si>
  <si>
    <t>POST-BATCH-N lane=POST-BATCH-N-SCHEMA-DOCUMENTATION; FileProofStatus=CurrentPathConfirmed; Reference=*.cfg; L36101; Evidence=string[] files = Directory.GetFiles(folder, "*.cfg");; POST-BATCH-S CurrentSource=Data/Scripts/System/Misc/Build.cs:L36101:string[] files = Directory.GetFiles(folder, "*.cfg");; POST-BATCH-S direct schema review=DirectoryGlobSchemaSurface</t>
  </si>
  <si>
    <t>POST-BATCH-S schema documentation review. Previous active row was PBN-0402/PBF-324. No source/project/XML/config/data behavior changed.</t>
  </si>
  <si>
    <t>RB-06586</t>
  </si>
  <si>
    <t>P10-F06586</t>
  </si>
  <si>
    <t>PBS-0178</t>
  </si>
  <si>
    <t>POST-BATCH-N lane=POST-BATCH-N-SCHEMA-DOCUMENTATION; FileProofStatus=CurrentPathConfirmed; Reference=Accounts/Accounts.xml; L178; Evidence=CopyFile(rootOrigin, rootBackup, "Accounts/Accounts.xml");; POST-BATCH-S CurrentSource=Data/Scripts/System/Misc/CrashGuard.cs:L181:CopyFile(rootOrigin, rootBackup, "Accounts/Accounts.xml");; POST-BATCH-S direct schema review=XmlDocumentSchemaSurface</t>
  </si>
  <si>
    <t>POST-BATCH-S schema documentation review. Previous active row was PBN-0403/PBF-325. No source/project/XML/config/data behavior changed.</t>
  </si>
  <si>
    <t>RB-06587</t>
  </si>
  <si>
    <t>P10-F06587</t>
  </si>
  <si>
    <t>PBS-0179</t>
  </si>
  <si>
    <t>POST-BATCH-N lane=POST-BATCH-N-SCHEMA-DOCUMENTATION; FileProofStatus=CurrentPathConfirmed; Reference=languages.txt; L357; Evidence=using (StreamWriter writer = new StreamWriter("languages.txt")); POST-BATCH-S CurrentSource=Data/Scripts/System/Misc/LanguageStatistics.cs:L357:using (StreamWriter writer = new StreamWriter("languages.txt")); POST-BATCH-S direct schema review=GeneratedOrWrittenDataSurface</t>
  </si>
  <si>
    <t>POST-BATCH-S schema documentation review. Previous active row was PBN-0404/PBF-326. No source/project/XML/config/data behavior changed.</t>
  </si>
  <si>
    <t>RB-06588</t>
  </si>
  <si>
    <t>P10-F06588</t>
  </si>
  <si>
    <t>PBS-0180</t>
  </si>
  <si>
    <t>POST-BATCH-N lane=POST-BATCH-N-SCHEMA-DOCUMENTATION; FileProofStatus=CurrentPathConfirmed; Reference=Info/adventures.txt; L100; Evidence=string sPath = "Info/adventures.txt";; POST-BATCH-S CurrentSource=Data/Scripts/System/Misc/Logs.cs:L100:string sPath = "Info/adventures.txt";; POST-BATCH-S direct schema review=PathConstantOrSchemaReference</t>
  </si>
  <si>
    <t>POST-BATCH-S schema documentation review. Previous active row was PBN-0405/PBF-327. No source/project/XML/config/data behavior changed.</t>
  </si>
  <si>
    <t>RB-06589</t>
  </si>
  <si>
    <t>P10-F06589</t>
  </si>
  <si>
    <t>PBS-0181</t>
  </si>
  <si>
    <t>POST-BATCH-N lane=POST-BATCH-N-SCHEMA-DOCUMENTATION; FileProofStatus=CurrentPathConfirmed; Reference=Info/adventures.txt; L104; Evidence=sPath = "Info/adventures.txt";; POST-BATCH-S CurrentSource=Data/Scripts/System/Misc/Logs.cs:L104:sPath = "Info/adventures.txt";; POST-BATCH-S direct schema review=PathConstantOrSchemaReference</t>
  </si>
  <si>
    <t>POST-BATCH-S schema documentation review. Previous active row was PBN-0406/PBF-328. No source/project/XML/config/data behavior changed.</t>
  </si>
  <si>
    <t>RB-06590</t>
  </si>
  <si>
    <t>P10-F06590</t>
  </si>
  <si>
    <t>PBS-0182</t>
  </si>
  <si>
    <t>POST-BATCH-N lane=POST-BATCH-N-SCHEMA-DOCUMENTATION; FileProofStatus=CurrentPathConfirmed; Reference=Info/quests.txt; L108; Evidence=sPath = "Info/quests.txt";; POST-BATCH-S CurrentSource=Data/Scripts/System/Misc/Logs.cs:L108:sPath = "Info/quests.txt";; POST-BATCH-S direct schema review=PathConstantOrSchemaReference</t>
  </si>
  <si>
    <t>POST-BATCH-S schema documentation review. Previous active row was PBN-0407/PBF-329. No source/project/XML/config/data behavior changed.</t>
  </si>
  <si>
    <t>RB-06591</t>
  </si>
  <si>
    <t>P10-F06591</t>
  </si>
  <si>
    <t>PBS-0183</t>
  </si>
  <si>
    <t>POST-BATCH-N lane=POST-BATCH-N-SCHEMA-DOCUMENTATION; FileProofStatus=CurrentPathConfirmed; Reference=Info/battles.txt; L112; Evidence=sPath = "Info/battles.txt";; POST-BATCH-S CurrentSource=Data/Scripts/System/Misc/Logs.cs:L112:sPath = "Info/battles.txt";; POST-BATCH-S direct schema review=PathConstantOrSchemaReference</t>
  </si>
  <si>
    <t>POST-BATCH-S schema documentation review. Previous active row was PBN-0408/PBF-330. No source/project/XML/config/data behavior changed.</t>
  </si>
  <si>
    <t>RB-06592</t>
  </si>
  <si>
    <t>P10-F06592</t>
  </si>
  <si>
    <t>PBS-0184</t>
  </si>
  <si>
    <t>POST-BATCH-N lane=POST-BATCH-N-SCHEMA-DOCUMENTATION; FileProofStatus=CurrentPathConfirmed; Reference=Info/deaths.txt; L116; Evidence=sPath = "Info/deaths.txt";; POST-BATCH-S CurrentSource=Data/Scripts/System/Misc/Logs.cs:L116:sPath = "Info/deaths.txt";; POST-BATCH-S direct schema review=PathConstantOrSchemaReference</t>
  </si>
  <si>
    <t>POST-BATCH-S schema documentation review. Previous active row was PBN-0409/PBF-331. No source/project/XML/config/data behavior changed.</t>
  </si>
  <si>
    <t>RB-06593</t>
  </si>
  <si>
    <t>P10-F06593</t>
  </si>
  <si>
    <t>PBS-0185</t>
  </si>
  <si>
    <t>POST-BATCH-N lane=POST-BATCH-N-SCHEMA-DOCUMENTATION; FileProofStatus=CurrentPathConfirmed; Reference=Info/murderers.txt; L120; Evidence=sPath = "Info/murderers.txt";; POST-BATCH-S CurrentSource=Data/Scripts/System/Misc/Logs.cs:L120:sPath = "Info/murderers.txt";; POST-BATCH-S direct schema review=PathConstantOrSchemaReference</t>
  </si>
  <si>
    <t>POST-BATCH-S schema documentation review. Previous active row was PBN-0410/PBF-332. No source/project/XML/config/data behavior changed.</t>
  </si>
  <si>
    <t>RB-06594</t>
  </si>
  <si>
    <t>P10-F06594</t>
  </si>
  <si>
    <t>PBS-0186</t>
  </si>
  <si>
    <t>POST-BATCH-N lane=POST-BATCH-N-SCHEMA-DOCUMENTATION; FileProofStatus=CurrentPathConfirmed; Reference=Info/journies.txt; L124; Evidence=sPath = "Info/journies.txt";; POST-BATCH-S CurrentSource=Data/Scripts/System/Misc/Logs.cs:L124:sPath = "Info/journies.txt";; POST-BATCH-S direct schema review=PathConstantOrSchemaReference</t>
  </si>
  <si>
    <t>POST-BATCH-S schema documentation review. Previous active row was PBN-0411/PBF-333. No source/project/XML/config/data behavior changed.</t>
  </si>
  <si>
    <t>RB-06595</t>
  </si>
  <si>
    <t>P10-F06595</t>
  </si>
  <si>
    <t>PBS-0187</t>
  </si>
  <si>
    <t>POST-BATCH-N lane=POST-BATCH-N-SCHEMA-DOCUMENTATION; FileProofStatus=CurrentPathConfirmed; Reference=Info/server.txt; L128; Evidence=sPath = "Info/server.txt";; POST-BATCH-S CurrentSource=Data/Scripts/System/Misc/Logs.cs:L128:sPath = "Info/server.txt";; POST-BATCH-S direct schema review=PathConstantOrSchemaReference</t>
  </si>
  <si>
    <t>POST-BATCH-S schema documentation review. Previous active row was PBN-0412/PBF-334. No source/project/XML/config/data behavior changed.</t>
  </si>
  <si>
    <t>RB-06596</t>
  </si>
  <si>
    <t>P10-F06596</t>
  </si>
  <si>
    <t>PBS-0188</t>
  </si>
  <si>
    <t>POST-BATCH-N lane=POST-BATCH-N-SCHEMA-DOCUMENTATION; FileProofStatus=CurrentPathConfirmed; Reference=Info/adventures.txt; L155; Evidence=string sPath = "Info/adventures.txt";; POST-BATCH-S CurrentSource=Data/Scripts/System/Misc/Logs.cs:L155:string sPath = "Info/adventures.txt";; POST-BATCH-S direct schema review=PathConstantOrSchemaReference</t>
  </si>
  <si>
    <t>POST-BATCH-S schema documentation review. Previous active row was PBN-0413/PBF-335. No source/project/XML/config/data behavior changed.</t>
  </si>
  <si>
    <t>RB-06597</t>
  </si>
  <si>
    <t>P10-F06597</t>
  </si>
  <si>
    <t>PBS-0189</t>
  </si>
  <si>
    <t>POST-BATCH-N lane=POST-BATCH-N-SCHEMA-DOCUMENTATION; FileProofStatus=CurrentPathConfirmed; Reference=Info/adventures.txt; L159; Evidence=sPath = "Info/adventures.txt";; POST-BATCH-S CurrentSource=Data/Scripts/System/Misc/Logs.cs:L159:sPath = "Info/adventures.txt";; POST-BATCH-S direct schema review=PathConstantOrSchemaReference</t>
  </si>
  <si>
    <t>POST-BATCH-S schema documentation review. Previous active row was PBN-0414/PBF-336. No source/project/XML/config/data behavior changed.</t>
  </si>
  <si>
    <t>RB-06598</t>
  </si>
  <si>
    <t>P10-F06598</t>
  </si>
  <si>
    <t>PBS-0190</t>
  </si>
  <si>
    <t>POST-BATCH-N lane=POST-BATCH-N-SCHEMA-DOCUMENTATION; FileProofStatus=CurrentPathConfirmed; Reference=Info/quests.txt; L163; Evidence=sPath = "Info/quests.txt";; POST-BATCH-S CurrentSource=Data/Scripts/System/Misc/Logs.cs:L163:sPath = "Info/quests.txt";; POST-BATCH-S direct schema review=PathConstantOrSchemaReference</t>
  </si>
  <si>
    <t>POST-BATCH-S schema documentation review. Previous active row was PBN-0415/PBF-337. No source/project/XML/config/data behavior changed.</t>
  </si>
  <si>
    <t>RB-06599</t>
  </si>
  <si>
    <t>P10-F06599</t>
  </si>
  <si>
    <t>PBS-0191</t>
  </si>
  <si>
    <t>POST-BATCH-N lane=POST-BATCH-N-SCHEMA-DOCUMENTATION; FileProofStatus=CurrentPathConfirmed; Reference=Info/battles.txt; L167; Evidence=sPath = "Info/battles.txt";; POST-BATCH-S CurrentSource=Data/Scripts/System/Misc/Logs.cs:L167:sPath = "Info/battles.txt";; POST-BATCH-S direct schema review=PathConstantOrSchemaReference</t>
  </si>
  <si>
    <t>POST-BATCH-S schema documentation review. Previous active row was PBN-0416/PBF-338. No source/project/XML/config/data behavior changed.</t>
  </si>
  <si>
    <t>RB-06600</t>
  </si>
  <si>
    <t>P10-F06600</t>
  </si>
  <si>
    <t>PBS-0192</t>
  </si>
  <si>
    <t>POST-BATCH-N lane=POST-BATCH-N-SCHEMA-DOCUMENTATION; FileProofStatus=CurrentPathConfirmed; Reference=Info/deaths.txt; L171; Evidence=sPath = "Info/deaths.txt";; POST-BATCH-S CurrentSource=Data/Scripts/System/Misc/Logs.cs:L171:sPath = "Info/deaths.txt";; POST-BATCH-S direct schema review=PathConstantOrSchemaReference</t>
  </si>
  <si>
    <t>POST-BATCH-S schema documentation review. Previous active row was PBN-0417/PBF-339. No source/project/XML/config/data behavior changed.</t>
  </si>
  <si>
    <t>RB-06601</t>
  </si>
  <si>
    <t>P10-F06601</t>
  </si>
  <si>
    <t>PBS-0193</t>
  </si>
  <si>
    <t>POST-BATCH-N lane=POST-BATCH-N-SCHEMA-DOCUMENTATION; FileProofStatus=CurrentPathConfirmed; Reference=Info/murderers.txt; L175; Evidence=sPath = "Info/murderers.txt";; POST-BATCH-S CurrentSource=Data/Scripts/System/Misc/Logs.cs:L175:sPath = "Info/murderers.txt";; POST-BATCH-S direct schema review=PathConstantOrSchemaReference</t>
  </si>
  <si>
    <t>POST-BATCH-S schema documentation review. Previous active row was PBN-0418/PBF-340. No source/project/XML/config/data behavior changed.</t>
  </si>
  <si>
    <t>RB-06602</t>
  </si>
  <si>
    <t>P10-F06602</t>
  </si>
  <si>
    <t>PBS-0194</t>
  </si>
  <si>
    <t>POST-BATCH-N lane=POST-BATCH-N-SCHEMA-DOCUMENTATION; FileProofStatus=CurrentPathConfirmed; Reference=Info/journies.txt; L179; Evidence=sPath = "Info/journies.txt";; POST-BATCH-S CurrentSource=Data/Scripts/System/Misc/Logs.cs:L179:sPath = "Info/journies.txt";; POST-BATCH-S direct schema review=PathConstantOrSchemaReference</t>
  </si>
  <si>
    <t>POST-BATCH-S schema documentation review. Previous active row was PBN-0419/PBF-341. No source/project/XML/config/data behavior changed.</t>
  </si>
  <si>
    <t>RB-06603</t>
  </si>
  <si>
    <t>P10-F06603</t>
  </si>
  <si>
    <t>PBS-0195</t>
  </si>
  <si>
    <t>POST-BATCH-N lane=POST-BATCH-N-SCHEMA-DOCUMENTATION; FileProofStatus=CurrentPathConfirmed; Reference=Info/adventures.txt; L432; Evidence=string sPath = "Info/adventures.txt";; POST-BATCH-S CurrentSource=Data/Scripts/System/Misc/Logs.cs:L432:string sPath = "Info/adventures.txt";; POST-BATCH-S direct schema review=PathConstantOrSchemaReference</t>
  </si>
  <si>
    <t>POST-BATCH-S schema documentation review. Previous active row was PBN-0420/PBF-342. No source/project/XML/config/data behavior changed.</t>
  </si>
  <si>
    <t>RB-06604</t>
  </si>
  <si>
    <t>P10-F06604</t>
  </si>
  <si>
    <t>PBS-0196</t>
  </si>
  <si>
    <t>POST-BATCH-N lane=POST-BATCH-N-SCHEMA-DOCUMENTATION; FileProofStatus=CurrentPathConfirmed; Reference=Info/adventures.txt; L436; Evidence=sPath = "Info/adventures.txt";; POST-BATCH-S CurrentSource=Data/Scripts/System/Misc/Logs.cs:L436:sPath = "Info/adventures.txt";; POST-BATCH-S direct schema review=PathConstantOrSchemaReference</t>
  </si>
  <si>
    <t>POST-BATCH-S schema documentation review. Previous active row was PBN-0421/PBF-343. No source/project/XML/config/data behavior changed.</t>
  </si>
  <si>
    <t>RB-06605</t>
  </si>
  <si>
    <t>P10-F06605</t>
  </si>
  <si>
    <t>PBS-0197</t>
  </si>
  <si>
    <t>POST-BATCH-N lane=POST-BATCH-N-SCHEMA-DOCUMENTATION; FileProofStatus=CurrentPathConfirmed; Reference=Info/quests.txt; L440; Evidence=sPath = "Info/quests.txt";; POST-BATCH-S CurrentSource=Data/Scripts/System/Misc/Logs.cs:L440:sPath = "Info/quests.txt";; POST-BATCH-S direct schema review=PathConstantOrSchemaReference</t>
  </si>
  <si>
    <t>POST-BATCH-S schema documentation review. Previous active row was PBN-0422/PBF-344. No source/project/XML/config/data behavior changed.</t>
  </si>
  <si>
    <t>RB-06606</t>
  </si>
  <si>
    <t>P10-F06606</t>
  </si>
  <si>
    <t>PBS-0198</t>
  </si>
  <si>
    <t>POST-BATCH-N lane=POST-BATCH-N-SCHEMA-DOCUMENTATION; FileProofStatus=CurrentPathConfirmed; Reference=Info/battles.txt; L444; Evidence=sPath = "Info/battles.txt";; POST-BATCH-S CurrentSource=Data/Scripts/System/Misc/Logs.cs:L444:sPath = "Info/battles.txt";; POST-BATCH-S direct schema review=PathConstantOrSchemaReference</t>
  </si>
  <si>
    <t>POST-BATCH-S schema documentation review. Previous active row was PBN-0423/PBF-345. No source/project/XML/config/data behavior changed.</t>
  </si>
  <si>
    <t>RB-06607</t>
  </si>
  <si>
    <t>P10-F06607</t>
  </si>
  <si>
    <t>PBS-0199</t>
  </si>
  <si>
    <t>POST-BATCH-N lane=POST-BATCH-N-SCHEMA-DOCUMENTATION; FileProofStatus=CurrentPathConfirmed; Reference=Info/deaths.txt; L448; Evidence=sPath = "Info/deaths.txt";; POST-BATCH-S CurrentSource=Data/Scripts/System/Misc/Logs.cs:L448:sPath = "Info/deaths.txt";; POST-BATCH-S direct schema review=PathConstantOrSchemaReference</t>
  </si>
  <si>
    <t>POST-BATCH-S schema documentation review. Previous active row was PBN-0424/PBF-346. No source/project/XML/config/data behavior changed.</t>
  </si>
  <si>
    <t>RB-06608</t>
  </si>
  <si>
    <t>P10-F06608</t>
  </si>
  <si>
    <t>PBS-0200</t>
  </si>
  <si>
    <t>POST-BATCH-N lane=POST-BATCH-N-SCHEMA-DOCUMENTATION; FileProofStatus=CurrentPathConfirmed; Reference=Info/murderers.txt; L452; Evidence=sPath = "Info/murderers.txt";; POST-BATCH-S CurrentSource=Data/Scripts/System/Misc/Logs.cs:L452:sPath = "Info/murderers.txt";; POST-BATCH-S direct schema review=PathConstantOrSchemaReference</t>
  </si>
  <si>
    <t>POST-BATCH-S schema documentation review. Previous active row was PBN-0425/PBF-347. No source/project/XML/config/data behavior changed.</t>
  </si>
  <si>
    <t>RB-06609</t>
  </si>
  <si>
    <t>P10-F06609</t>
  </si>
  <si>
    <t>PBS-0201</t>
  </si>
  <si>
    <t>POST-BATCH-N lane=POST-BATCH-N-SCHEMA-DOCUMENTATION; FileProofStatus=CurrentPathConfirmed; Reference=Info/journies.txt; L456; Evidence=sPath = "Info/journies.txt";; POST-BATCH-S CurrentSource=Data/Scripts/System/Misc/Logs.cs:L456:sPath = "Info/journies.txt";; POST-BATCH-S direct schema review=PathConstantOrSchemaReference</t>
  </si>
  <si>
    <t>POST-BATCH-S schema documentation review. Previous active row was PBN-0426/PBF-348. No source/project/XML/config/data behavior changed.</t>
  </si>
  <si>
    <t>RB-06610</t>
  </si>
  <si>
    <t>P10-F06610</t>
  </si>
  <si>
    <t>PBS-0202</t>
  </si>
  <si>
    <t>POST-BATCH-N lane=POST-BATCH-N-SCHEMA-DOCUMENTATION; FileProofStatus=CurrentPathConfirmed; Reference=Info/murderers.txt; L609; Evidence=string sPath = "Info/murderers.txt";; POST-BATCH-S CurrentSource=Data/Scripts/System/Misc/Logs.cs:L609:string sPath = "Info/murderers.txt";; POST-BATCH-S direct schema review=PathConstantOrSchemaReference</t>
  </si>
  <si>
    <t>POST-BATCH-S schema documentation review. Previous active row was PBN-0427/PBF-349. No source/project/XML/config/data behavior changed.</t>
  </si>
  <si>
    <t>RB-06611</t>
  </si>
  <si>
    <t>P10-F06611</t>
  </si>
  <si>
    <t>PBS-0203</t>
  </si>
  <si>
    <t>POST-BATCH-N lane=POST-BATCH-N-SCHEMA-DOCUMENTATION; FileProofStatus=CurrentPathConfirmed; Reference=Info/battles.txt; L613; Evidence=sPath = "Info/battles.txt";; POST-BATCH-S CurrentSource=Data/Scripts/System/Misc/Logs.cs:L613:sPath = "Info/battles.txt";; POST-BATCH-S direct schema review=PathConstantOrSchemaReference</t>
  </si>
  <si>
    <t>POST-BATCH-S schema documentation review. Previous active row was PBN-0428/PBF-350. No source/project/XML/config/data behavior changed.</t>
  </si>
  <si>
    <t>RB-06612</t>
  </si>
  <si>
    <t>P10-F06612</t>
  </si>
  <si>
    <t>PBS-0204</t>
  </si>
  <si>
    <t>POST-BATCH-N lane=POST-BATCH-N-SCHEMA-DOCUMENTATION; FileProofStatus=CurrentPathConfirmed; Reference=Info/deaths.txt; L617; Evidence=sPath = "Info/deaths.txt";; POST-BATCH-S CurrentSource=Data/Scripts/System/Misc/Logs.cs:L617:sPath = "Info/deaths.txt";; POST-BATCH-S direct schema review=PathConstantOrSchemaReference</t>
  </si>
  <si>
    <t>POST-BATCH-S schema documentation review. Previous active row was PBN-0429/PBF-351. No source/project/XML/config/data behavior changed.</t>
  </si>
  <si>
    <t>RB-06613</t>
  </si>
  <si>
    <t>P10-F06613</t>
  </si>
  <si>
    <t>PBS-0205</t>
  </si>
  <si>
    <t>POST-BATCH-N lane=POST-BATCH-N-SCHEMA-DOCUMENTATION; FileProofStatus=CurrentPathConfirmed; Reference=Info/journies.txt; L621; Evidence=sPath = "Info/journies.txt";; POST-BATCH-S CurrentSource=Data/Scripts/System/Misc/Logs.cs:L621:sPath = "Info/journies.txt";; POST-BATCH-S direct schema review=PathConstantOrSchemaReference</t>
  </si>
  <si>
    <t>POST-BATCH-S schema documentation review. Previous active row was PBN-0430/PBF-352. No source/project/XML/config/data behavior changed.</t>
  </si>
  <si>
    <t>RB-06614</t>
  </si>
  <si>
    <t>P10-F06614</t>
  </si>
  <si>
    <t>PBS-0206</t>
  </si>
  <si>
    <t>POST-BATCH-N lane=POST-BATCH-N-SCHEMA-DOCUMENTATION; FileProofStatus=CurrentPathConfirmed; Reference=Info/quests.txt; L743; Evidence=string sPath = "Info/quests.txt";; POST-BATCH-S CurrentSource=Data/Scripts/System/Misc/Logs.cs:L743:string sPath = "Info/quests.txt";; POST-BATCH-S direct schema review=PathConstantOrSchemaReference</t>
  </si>
  <si>
    <t>POST-BATCH-S schema documentation review. Previous active row was PBN-0431/PBF-353. No source/project/XML/config/data behavior changed.</t>
  </si>
  <si>
    <t>RB-06615</t>
  </si>
  <si>
    <t>P10-F06615</t>
  </si>
  <si>
    <t>PBS-0207</t>
  </si>
  <si>
    <t>POST-BATCH-N lane=POST-BATCH-N-SCHEMA-DOCUMENTATION; FileProofStatus=CurrentPathConfirmed; Reference=Info/adventures.txt; L1993; Evidence=string sPath = "Info/adventures.txt";; POST-BATCH-S CurrentSource=Data/Scripts/System/Misc/Logs.cs:L1993:string sPath = "Info/adventures.txt";; POST-BATCH-S direct schema review=PathConstantOrSchemaReference</t>
  </si>
  <si>
    <t>POST-BATCH-S schema documentation review. Previous active row was PBN-0432/PBF-354. No source/project/XML/config/data behavior changed.</t>
  </si>
  <si>
    <t>RB-06616</t>
  </si>
  <si>
    <t>P10-F06616</t>
  </si>
  <si>
    <t>PBS-0208</t>
  </si>
  <si>
    <t>POST-BATCH-N lane=POST-BATCH-N-SCHEMA-DOCUMENTATION; FileProofStatus=CurrentPathConfirmed; Reference=Info/adventures.txt; L1997; Evidence=sPath = "Info/adventures.txt";; POST-BATCH-S CurrentSource=Data/Scripts/System/Misc/Logs.cs:L1997:sPath = "Info/adventures.txt";; POST-BATCH-S direct schema review=PathConstantOrSchemaReference</t>
  </si>
  <si>
    <t>POST-BATCH-S schema documentation review. Previous active row was PBN-0433/PBF-355. No source/project/XML/config/data behavior changed.</t>
  </si>
  <si>
    <t>RB-06617</t>
  </si>
  <si>
    <t>P10-F06617</t>
  </si>
  <si>
    <t>PBS-0209</t>
  </si>
  <si>
    <t>POST-BATCH-N lane=POST-BATCH-N-SCHEMA-DOCUMENTATION; FileProofStatus=CurrentPathConfirmed; Reference=Info/battles.txt; L2001; Evidence=sPath = "Info/battles.txt";; POST-BATCH-S CurrentSource=Data/Scripts/System/Misc/Logs.cs:L2001:sPath = "Info/battles.txt";; POST-BATCH-S direct schema review=PathConstantOrSchemaReference</t>
  </si>
  <si>
    <t>POST-BATCH-S schema documentation review. Previous active row was PBN-0434/PBF-356. No source/project/XML/config/data behavior changed.</t>
  </si>
  <si>
    <t>RB-06618</t>
  </si>
  <si>
    <t>P10-F06618</t>
  </si>
  <si>
    <t>PBS-0210</t>
  </si>
  <si>
    <t>POST-BATCH-N lane=POST-BATCH-N-SCHEMA-DOCUMENTATION; FileProofStatus=CurrentPathConfirmed; Reference=Info/deaths.txt; L2005; Evidence=sPath = "Info/deaths.txt";; POST-BATCH-S CurrentSource=Data/Scripts/System/Misc/Logs.cs:L2005:sPath = "Info/deaths.txt";; POST-BATCH-S direct schema review=PathConstantOrSchemaReference</t>
  </si>
  <si>
    <t>POST-BATCH-S schema documentation review. Previous active row was PBN-0435/PBF-357. No source/project/XML/config/data behavior changed.</t>
  </si>
  <si>
    <t>RB-06619</t>
  </si>
  <si>
    <t>P10-F06619</t>
  </si>
  <si>
    <t>PBS-0211</t>
  </si>
  <si>
    <t>POST-BATCH-N lane=POST-BATCH-N-SCHEMA-DOCUMENTATION; FileProofStatus=CurrentPathConfirmed; Reference=Info/murderers.txt; L2009; Evidence=sPath = "Info/murderers.txt";; POST-BATCH-S CurrentSource=Data/Scripts/System/Misc/Logs.cs:L2009:sPath = "Info/murderers.txt";; POST-BATCH-S direct schema review=PathConstantOrSchemaReference</t>
  </si>
  <si>
    <t>POST-BATCH-S schema documentation review. Previous active row was PBN-0436/PBF-358. No source/project/XML/config/data behavior changed.</t>
  </si>
  <si>
    <t>RB-06620</t>
  </si>
  <si>
    <t>P10-F06620</t>
  </si>
  <si>
    <t>PBS-0212</t>
  </si>
  <si>
    <t>POST-BATCH-N lane=POST-BATCH-N-SCHEMA-DOCUMENTATION; FileProofStatus=CurrentPathConfirmed; Reference=Info/journies.txt; L2013; Evidence=sPath = "Info/journies.txt";; POST-BATCH-S CurrentSource=Data/Scripts/System/Misc/Logs.cs:L2013:sPath = "Info/journies.txt";; POST-BATCH-S direct schema review=PathConstantOrSchemaReference</t>
  </si>
  <si>
    <t>POST-BATCH-S schema documentation review. Previous active row was PBN-0437/PBF-359. No source/project/XML/config/data behavior changed.</t>
  </si>
  <si>
    <t>RB-06621</t>
  </si>
  <si>
    <t>P10-F06621</t>
  </si>
  <si>
    <t>PBS-0213</t>
  </si>
  <si>
    <t>POST-BATCH-N lane=POST-BATCH-N-SCHEMA-DOCUMENTATION; FileProofStatus=CurrentPathConfirmed; Reference=Info/online.txt; L2056; Evidence=using (StreamWriter op = new StreamWriter("Info/online.txt")); POST-BATCH-S CurrentSource=Data/Scripts/System/Misc/Logs.cs:L2056:using (StreamWriter op = new StreamWriter("Info/online.txt")); POST-BATCH-S direct schema review=GeneratedOrWrittenDataSurface</t>
  </si>
  <si>
    <t>POST-BATCH-S schema documentation review. Previous active row was PBN-0438/PBF-360. No source/project/XML/config/data behavior changed.</t>
  </si>
  <si>
    <t>RB-06622</t>
  </si>
  <si>
    <t>P10-F06622</t>
  </si>
  <si>
    <t>PBS-0214</t>
  </si>
  <si>
    <t>POST-BATCH-N lane=POST-BATCH-N-SCHEMA-DOCUMENTATION; FileProofStatus=CurrentPathConfirmed; Reference={0}.txt; L238; Evidence=String.Format("{0}.txt", MOTD_Main.Info[i].Name); POST-BATCH-S CurrentSource=Data/Scripts/System/Misc/MOTD.cs:L252:String.Format("{0}.txt", MOTD_Main.Info[i].Name); POST-BATCH-S direct schema review=PathConstantOrSchemaReference</t>
  </si>
  <si>
    <t>POST-BATCH-S schema documentation review. Previous active row was PBN-0439/PBF-361. No source/project/XML/config/data behavior changed.</t>
  </si>
  <si>
    <t>RB-06623</t>
  </si>
  <si>
    <t>P10-F06623</t>
  </si>
  <si>
    <t>PBS-0215</t>
  </si>
  <si>
    <t>POST-BATCH-N lane=POST-BATCH-N-SCHEMA-DOCUMENTATION; FileProofStatus=CurrentPathConfirmed; Reference={0}.txt; L261; Evidence=String.Format("{0}.txt", MOTD_Main.Info[i].Name); POST-BATCH-S CurrentSource=Data/Scripts/System/Misc/MOTD.cs:L252:String.Format("{0}.txt", MOTD_Main.Info[i].Name); POST-BATCH-S direct schema review=PathConstantOrSchemaReference</t>
  </si>
  <si>
    <t>POST-BATCH-S schema documentation review. Previous active row was PBN-0440/PBF-362. No source/project/XML/config/data behavior changed.</t>
  </si>
  <si>
    <t>RB-06624</t>
  </si>
  <si>
    <t>P10-F06624</t>
  </si>
  <si>
    <t>PBS-0216</t>
  </si>
  <si>
    <t>POST-BATCH-N lane=POST-BATCH-N-SCHEMA-DOCUMENTATION; FileProofStatus=CurrentPathConfirmed; Reference=Data/System/XML/names.xml; L81; Evidence=string filePath = Path.Combine(Core.BaseDirectory, "Data/System/XML/names.xml");; POST-BATCH-S CurrentSource=Data/Scripts/System/Misc/Naming.cs:L81:string filePath = Path.Combine(Core.BaseDirectory, "Data/System/XML/names.xml");; POST-BATCH-S direct schema review=XmlDocumentSchemaSurface</t>
  </si>
  <si>
    <t>POST-BATCH-S schema documentation review. Previous active row was PBN-0441/PBF-363. No source/project/XML/config/data behavior changed.</t>
  </si>
  <si>
    <t>RB-06625</t>
  </si>
  <si>
    <t>P10-F06625</t>
  </si>
  <si>
    <t>PBS-0217</t>
  </si>
  <si>
    <t>POST-BATCH-N lane=POST-BATCH-N-SCHEMA-DOCUMENTATION; FileProofStatus=CurrentPathConfirmed; Reference=reportHistory.xml; L6184; Evidence=string path = Path.Combine(Core.BaseDirectory, "reportHistory.xml");; POST-BATCH-S CurrentSource=Data/Scripts/System/Misc/Reporting.cs:L6184:string path = Path.Combine(Core.BaseDirectory, "reportHistory.xml");; POST-BATCH-S direct schema review=XmlDocumentSchemaSurface</t>
  </si>
  <si>
    <t>POST-BATCH-S schema documentation review. Previous active row was PBN-0442/PBF-364. No source/project/XML/config/data behavior changed.</t>
  </si>
  <si>
    <t>RB-06626</t>
  </si>
  <si>
    <t>P10-F06626</t>
  </si>
  <si>
    <t>PBS-0218</t>
  </si>
  <si>
    <t>POST-BATCH-N lane=POST-BATCH-N-SCHEMA-DOCUMENTATION; FileProofStatus=CurrentPathConfirmed; Reference=reportHistory.xml; L6194; Evidence=string path = Path.Combine(Core.BaseDirectory, "reportHistory.xml");; POST-BATCH-S CurrentSource=Data/Scripts/System/Misc/Reporting.cs:L6194:string path = Path.Combine(Core.BaseDirectory, "reportHistory.xml");; POST-BATCH-S direct schema review=XmlDocumentSchemaSurface</t>
  </si>
  <si>
    <t>POST-BATCH-S schema documentation review. Previous active row was PBN-0443/PBF-365. No source/project/XML/config/data behavior changed.</t>
  </si>
  <si>
    <t>RB-06627</t>
  </si>
  <si>
    <t>P10-F06627</t>
  </si>
  <si>
    <t>PBS-0219</t>
  </si>
  <si>
    <t>POST-BATCH-N lane=POST-BATCH-N-SCHEMA-DOCUMENTATION; FileProofStatus=CurrentPathConfirmed; Reference=staffHistory.xml; L6322; Evidence=string path = Path.Combine(Core.BaseDirectory, "staffHistory.xml");; POST-BATCH-S CurrentSource=Data/Scripts/System/Misc/Reporting.cs:L6322:string path = Path.Combine(Core.BaseDirectory, "staffHistory.xml");; POST-BATCH-S direct schema review=XmlDocumentSchemaSurface</t>
  </si>
  <si>
    <t>POST-BATCH-S schema documentation review. Previous active row was PBN-0444/PBF-366. No source/project/XML/config/data behavior changed.</t>
  </si>
  <si>
    <t>RB-06628</t>
  </si>
  <si>
    <t>P10-F06628</t>
  </si>
  <si>
    <t>PBS-0220</t>
  </si>
  <si>
    <t>POST-BATCH-N lane=POST-BATCH-N-SCHEMA-DOCUMENTATION; FileProofStatus=CurrentPathConfirmed; Reference=staffHistory.xml; L6333; Evidence=string path = Path.Combine(Core.BaseDirectory, "staffHistory.xml");; POST-BATCH-S CurrentSource=Data/Scripts/System/Misc/Reporting.cs:L6333:string path = Path.Combine(Core.BaseDirectory, "staffHistory.xml");; POST-BATCH-S direct schema review=XmlDocumentSchemaSurface</t>
  </si>
  <si>
    <t>POST-BATCH-S schema documentation review. Previous active row was PBN-0445/PBF-367. No source/project/XML/config/data behavior changed.</t>
  </si>
  <si>
    <t>RB-06629</t>
  </si>
  <si>
    <t>P10-F06629</t>
  </si>
  <si>
    <t>PBS-0221</t>
  </si>
  <si>
    <t>POST-BATCH-N lane=POST-BATCH-N-SCHEMA-DOCUMENTATION; FileProofStatus=CurrentPathConfirmed; Reference=Info/settings.xml; L128; Evidence=if (System.IO.File.Exists("Info/settings.xml")); POST-BATCH-S CurrentSource=Data/Scripts/System/Misc/Settings.cs:L128:if (System.IO.File.Exists("Info/settings.xml")); POST-BATCH-S direct schema review=XmlDocumentSchemaSurface</t>
  </si>
  <si>
    <t>POST-BATCH-S schema documentation review. Previous active row was PBN-0446/PBF-368. No source/project/XML/config/data behavior changed.</t>
  </si>
  <si>
    <t>RB-06630</t>
  </si>
  <si>
    <t>P10-F06630</t>
  </si>
  <si>
    <t>PBS-0222</t>
  </si>
  <si>
    <t>POST-BATCH-N lane=POST-BATCH-N-SCHEMA-DOCUMENTATION; FileProofStatus=CurrentPathConfirmed; Reference=Info/settings.xml; L132; Evidence=doc.Load(System.IO.Path.Combine(Core.BaseDirectory, "Info/settings.xml"));; POST-BATCH-S CurrentSource=Data/Scripts/System/Misc/Settings.cs:L132:doc.Load(System.IO.Path.Combine(Core.BaseDirectory, "Info/settings.xml"));; POST-BATCH-S direct schema review=XmlDocumentSchemaSurface</t>
  </si>
  <si>
    <t>POST-BATCH-S schema documentation review. Previous active row was PBN-0447/PBF-369. No source/project/XML/config/data behavior changed.</t>
  </si>
  <si>
    <t>RB-06631</t>
  </si>
  <si>
    <t>P10-F06631</t>
  </si>
  <si>
    <t>PBS-0223</t>
  </si>
  <si>
    <t>POST-BATCH-N lane=POST-BATCH-N-SCHEMA-DOCUMENTATION; FileProofStatus=CurrentPathConfirmed; Reference=Data/System/CFG/shrink.cfg; L45; Evidence=string path = Path.Combine(Core.BaseDirectory, "Data/System/CFG/shrink.cfg");; POST-BATCH-S CurrentSource=Data/Scripts/System/Misc/ShrinkTable.cs:L45:string path = Path.Combine(Core.BaseDirectory, "Data/System/CFG/shrink.cfg");; POST-BATCH-S direct schema review=PathConstantOrSchemaReference</t>
  </si>
  <si>
    <t>POST-BATCH-S schema documentation review. Previous active row was PBN-0448/PBF-370. No source/project/XML/config/data behavior changed.</t>
  </si>
  <si>
    <t>RB-06632</t>
  </si>
  <si>
    <t>P10-F06632</t>
  </si>
  <si>
    <t>PBS-0224</t>
  </si>
  <si>
    <t>POST-BATCH-N lane=POST-BATCH-N-SCHEMA-DOCUMENTATION; FileProofStatus=CurrentPathConfirmed; Reference=myrunuodb_{0}.txt; L23340; Evidence=filePath = Path.Combine(Core.BaseDirectory, String.Format("myrunuodb_{0}.txt", type)); POST-BATCH-S CurrentSource=Data/Scripts/System/Obsolete/Obsolete.cs:L23419:filePath = Path.Combine(Core.BaseDirectory, String.Format("myrunuodb_{0}.txt", type)); POST-BATCH-S direct schema review=PathConstantOrSchemaReference</t>
  </si>
  <si>
    <t>POST-BATCH-S schema documentation review. Previous active row was PBN-0449/PBF-371. No source/project/XML/config/data behavior changed.</t>
  </si>
  <si>
    <t>RB-06633</t>
  </si>
  <si>
    <t>P10-F06633</t>
  </si>
  <si>
    <t>PBS-0225</t>
  </si>
  <si>
    <t>POST-BATCH-N lane=POST-BATCH-N-SCHEMA-DOCUMENTATION; FileProofStatus=CurrentPathConfirmed; Reference=myrunuodb_{0}_{1}.txt; L23355; Evidence=String.Format("myrunuodb_{0}_{1}.txt", type, i); POST-BATCH-S CurrentSource=Data/Scripts/System/Obsolete/Obsolete.cs:L23434:String.Format("myrunuodb_{0}_{1}.txt", type, i); POST-BATCH-S direct schema review=PathConstantOrSchemaReference</t>
  </si>
  <si>
    <t>POST-BATCH-S schema documentation review. Previous active row was PBN-0450/PBF-372. No source/project/XML/config/data behavior changed.</t>
  </si>
  <si>
    <t>RB-06634</t>
  </si>
  <si>
    <t>P10-F06634</t>
  </si>
  <si>
    <t>PBS-0226</t>
  </si>
  <si>
    <t>POST-BATCH-N lane=POST-BATCH-N-SCHEMA-DOCUMENTATION; FileProofStatus=CurrentPathConfirmed; Reference=Data/System/Bulk Orders/{0}/{1}.cfg; L77; Evidence=return LoadEntries(String.Format("Data/System/Bulk Orders/{0}/{1}.cfg", type, name));; POST-BATCH-S CurrentSource=Data/Scripts/Trades/Bulk Orders/SmallBulkEntry.cs:L77:return LoadEntries(String.Format("Data/System/Bulk Orders/{0}/{1}.cfg", type, name));; POST-BATCH-S direct schema review=TextConfigReadSurface</t>
  </si>
  <si>
    <t>POST-BATCH-S schema documentation review. Previous active row was PBN-0451/PBF-373. No source/project/XML/config/data behavior changed.</t>
  </si>
  <si>
    <t>RB-06635</t>
  </si>
  <si>
    <t>P10-F06635</t>
  </si>
  <si>
    <t>PBS-0062</t>
  </si>
  <si>
    <t>POST-BATCH-N lane=POST-BATCH-N-SCHEMA-DOCUMENTATION; FileProofStatus=CurrentPathConfirmed; Reference=Data/System/CFG/body.cfg; L44; Evidence=if (File.Exists("Data/System/CFG/body.cfg")); POST-BATCH-S CurrentSource=Data/System/Source/Body.cs:L44:if (File.Exists("Data/System/CFG/body.cfg")); POST-BATCH-S direct schema review=ExistenceGateSchemaSurface</t>
  </si>
  <si>
    <t>POST-BATCH-S schema documentation review. Previous active row was PBN-0287/PBF-374. No source/project/XML/config/data behavior changed.</t>
  </si>
  <si>
    <t>RB-06636</t>
  </si>
  <si>
    <t>P10-F06636</t>
  </si>
  <si>
    <t>PBS-0063</t>
  </si>
  <si>
    <t>POST-BATCH-N lane=POST-BATCH-N-SCHEMA-DOCUMENTATION; FileProofStatus=CurrentPathConfirmed; Reference=Data/System/CFG/body.cfg; L46; Evidence=using (StreamReader ip = new StreamReader("Data/System/CFG/body.cfg")); POST-BATCH-S CurrentSource=Data/System/Source/Body.cs:L46:using (StreamReader ip = new StreamReader("Data/System/CFG/body.cfg")); POST-BATCH-S direct schema review=TextConfigReadSurface</t>
  </si>
  <si>
    <t>POST-BATCH-S schema documentation review. Previous active row was PBN-0288/PBF-375. No source/project/XML/config/data behavior changed.</t>
  </si>
  <si>
    <t>RB-06637</t>
  </si>
  <si>
    <t>P10-F06637</t>
  </si>
  <si>
    <t>PBS-0064</t>
  </si>
  <si>
    <t>POST-BATCH-N lane=POST-BATCH-N-SCHEMA-DOCUMENTATION; FileProofStatus=CurrentPathConfirmed; Reference=Data/System/XML/Regions.xml; L923; Evidence=if (!System.IO.File.Exists("Data/System/XML/Regions.xml")); POST-BATCH-S CurrentSource=Data/System/Source/Region.cs:L923:if (!System.IO.File.Exists("Data/System/XML/Regions.xml")); POST-BATCH-S direct schema review=XmlDocumentSchemaSurface</t>
  </si>
  <si>
    <t>POST-BATCH-S schema documentation review. Previous active row was PBN-0289/PBF-376. No source/project/XML/config/data behavior changed.</t>
  </si>
  <si>
    <t>RB-06638</t>
  </si>
  <si>
    <t>P10-F06638</t>
  </si>
  <si>
    <t>PBS-0065</t>
  </si>
  <si>
    <t>POST-BATCH-N lane=POST-BATCH-N-SCHEMA-DOCUMENTATION; FileProofStatus=CurrentPathConfirmed; Reference=Data/System/XML/Regions.xml; L932; Evidence=doc.Load(System.IO.Path.Combine(Core.BaseDirectory, "Data/System/XML/Regions.xml"));; POST-BATCH-S CurrentSource=Data/System/Source/Region.cs:L932:doc.Load(System.IO.Path.Combine(Core.BaseDirectory, "Data/System/XML/Regions.xml"));; POST-BATCH-S direct schema review=XmlDocumentSchemaSurface</t>
  </si>
  <si>
    <t>POST-BATCH-S schema documentation review. Previous active row was PBN-0290/PBF-377. No source/project/XML/config/data behavior changed.</t>
  </si>
  <si>
    <t>RB-06639</t>
  </si>
  <si>
    <t>P10-F06639</t>
  </si>
  <si>
    <t>PBS-0066</t>
  </si>
  <si>
    <t>POST-BATCH-N lane=POST-BATCH-N-SCHEMA-DOCUMENTATION; FileProofStatus=CurrentPathConfirmed; Reference=Could not find root element 'ServerRegions' in Regions.xml; L938; Evidence=Console.WriteLine("Could not find root element 'ServerRegions' in Regions.xml");; POST-BATCH-S CurrentSource=Data/System/Source/Region.cs:L938:Console.WriteLine("Could not find root element 'ServerRegions' in Regions.xml");; POST-BATCH-S direct schema review=DiagnosticStringNotSchemaPath</t>
  </si>
  <si>
    <t>POST-BATCH-S schema documentation review. Previous active row was PBN-0291/PBF-378. No source/project/XML/config/data behavior changed.</t>
  </si>
  <si>
    <t>RB-06640</t>
  </si>
  <si>
    <t>P10-F06640</t>
  </si>
  <si>
    <t>PBS-0067</t>
  </si>
  <si>
    <t>POST-BATCH-N lane=POST-BATCH-N-SCHEMA-DOCUMENTATION; FileProofStatus=CurrentPathConfirmed; Reference=Invalid region type '{0}' in regions.xml; L968; Evidence=Console.WriteLine("Invalid region type '{0}' in regions.xml", type.FullName);; POST-BATCH-S CurrentSource=Data/System/Source/Region.cs:L968:Console.WriteLine("Invalid region type '{0}' in regions.xml", type.FullName);; POST-BATCH-S direct schema review=DiagnosticStringNotSchemaPath</t>
  </si>
  <si>
    <t>POST-BATCH-S schema documentation review. Previous active row was PBN-0292/PBF-379. No source/project/XML/config/data behavior changed.</t>
  </si>
  <si>
    <t>RB-06641</t>
  </si>
  <si>
    <t>P10-F06641</t>
  </si>
  <si>
    <t>PBS-0068</t>
  </si>
  <si>
    <t>POST-BATCH-N lane=POST-BATCH-N-SCHEMA-DOCUMENTATION; FileProofStatus=CurrentPathConfirmed; Reference=Data/System/CFG/Assemblies.cfg; L52; Evidence=string path = Path.Combine(Core.BaseDirectory, "Data/System/CFG/Assemblies.cfg");; POST-BATCH-S CurrentSource=Data/System/Source/ScriptCompiler.cs:L52:string path = Path.Combine(Core.BaseDirectory, "Data/System/CFG/Assemblies.cfg");; POST-BATCH-S direct schema review=PathConstantOrSchemaReference</t>
  </si>
  <si>
    <t>POST-BATCH-S schema documentation review. Previous active row was PBN-0293/PBF-380. No source/project/XML/config/data behavior changed.</t>
  </si>
  <si>
    <t>RB-06642</t>
  </si>
  <si>
    <t>P10-F06642</t>
  </si>
  <si>
    <t>PBS-0069</t>
  </si>
  <si>
    <t>POST-BATCH-N lane=POST-BATCH-N-SCHEMA-DOCUMENTATION; FileProofStatus=CurrentPathConfirmed; Reference=Data/System/CFG/containers.cfg; L1862; Evidence=string path = Path.Combine(Core.BaseDirectory, "Data/System/CFG/containers.cfg");; POST-BATCH-S CurrentSource=Data/System/Source/Items/Container.cs:L1862:string path = Path.Combine(Core.BaseDirectory, "Data/System/CFG/containers.cfg");; POST-BATCH-S direct schema review=PathConstantOrSchemaReference</t>
  </si>
  <si>
    <t>POST-BATCH-S schema documentation review. Previous active row was PBN-0294/PBF-381. No source/project/XML/config/data behavior changed.</t>
  </si>
  <si>
    <t>RB-06643</t>
  </si>
  <si>
    <t>P10-F06643</t>
  </si>
  <si>
    <t>PBS-0070</t>
  </si>
  <si>
    <t>POST-BATCH-N lane=POST-BATCH-N-SCHEMA-DOCUMENTATION; FileProofStatus=CurrentPathConfirmed; Reference=Warning: double ItemID entry in containers.cfg; L1918; Evidence=@"Warning: double ItemID entry in containers.cfg"; POST-BATCH-S CurrentSource=Data/System/Source/Items/Container.cs:L1918:@"Warning: double ItemID entry in containers.cfg"; POST-BATCH-S direct schema review=DiagnosticStringNotSchemaPath</t>
  </si>
  <si>
    <t>POST-BATCH-S schema documentation review. Previous active row was PBN-0295/PBF-382. No source/project/XML/config/data behavior changed.</t>
  </si>
  <si>
    <t>RB-06644</t>
  </si>
  <si>
    <t>P10-F06644</t>
  </si>
  <si>
    <t>Documentation contradictions</t>
  </si>
  <si>
    <t>Unknown</t>
  </si>
  <si>
    <t>docs/CCWM/Confictura_Codex_World_Map.md</t>
  </si>
  <si>
    <t>POST-BATCH-T</t>
  </si>
  <si>
    <t>PBT-0074</t>
  </si>
  <si>
    <t>Reviewed support/generated/prompt artifact and left it unchanged because it is not an authoritative wiki behavior page for source-trace claims.</t>
  </si>
  <si>
    <t>docs/codebase-audit/outputs/post-batch-t-docs-source-trace-review.csv</t>
  </si>
  <si>
    <t>Queue SourceEvidence=POST-BATCH-N lane=POST-BATCH-N-DOCS-SOURCE-TRACE; FileProofStatus=CurrentPathConfirmed; Stale or Needs Rework marker present; SourceTrace=No; MissingSource=; Backlog=DOC-0001; Canonical=Support; Target=; SourceFiles=; PathStatus=; HookExamples=; SerializerExamples=; ProjectTruth=</t>
  </si>
  <si>
    <t>Pending: docs: close docs source trace queue</t>
  </si>
  <si>
    <t>2026-06-14T21:09:11.0049244-05:00</t>
  </si>
  <si>
    <t>POST-BATCH-T docs source-trace review. Previous active row was PBN-0074/PBF-383. No source/project/XML/config/data behavior changed.</t>
  </si>
  <si>
    <t>RB-06645</t>
  </si>
  <si>
    <t>P10-F06645</t>
  </si>
  <si>
    <t>docs/CCWM/generated/Run_Index.md</t>
  </si>
  <si>
    <t>PBT-0075</t>
  </si>
  <si>
    <t>Queue SourceEvidence=POST-BATCH-N lane=POST-BATCH-N-DOCS-SOURCE-TRACE; FileProofStatus=CurrentPathConfirmed; Stale or Needs Rework marker present; SourceTrace=No; MissingSource=; Backlog=DOC-0002; Canonical=Support; Target=; SourceFiles=; PathStatus=; HookExamples=; SerializerExamples=; ProjectTruth=</t>
  </si>
  <si>
    <t>POST-BATCH-T docs source-trace review. Previous active row was PBN-0075/PBF-384. No source/project/XML/config/data behavior changed.</t>
  </si>
  <si>
    <t>RB-06646</t>
  </si>
  <si>
    <t>P10-F06646</t>
  </si>
  <si>
    <t>docs/wiki/Access_Level_Stone.md</t>
  </si>
  <si>
    <t>PBT-0076</t>
  </si>
  <si>
    <t>Added or refreshed a Source Trace section with current source/audit-register evidence.</t>
  </si>
  <si>
    <t>Queue SourceEvidence=POST-BATCH-N lane=POST-BATCH-N-DOCS-SOURCE-TRACE; FileProofStatus=CurrentPathConfirmed; Documentation truth after POST-BATCH-F: SourceTracePresent=No; MissingClaims=Missing Source Trace section.; StaleClaims=; Canonical=Canonical; Target=; SourceFiles=Data/Scripts/Custom/Access Level Stone [2.0]/AccessLevelStone.cs; PathStatus=Data/Scripts/Custom/Access Level Stone [2.0]/AccessLevelStone.cs=CurrentFile; HookExamples=; SerializerExamples=Data/Scripts/Custom/Access Level Stone [2.0]/AccessLevelStone.cs:Server.Items.AccessLevelStone version=1 serialize=L82 deserialize=L96 alignment=CountMatchNeedsTypeReview:UnknownWrites=2; ProjectTruth=Data/Scripts/Custom/Access Level Stone [2.0]/AccessLevelStone.cs=Keep; Data/Scripts/Custom/Access Level Stone [2.0]/AccessLevelStone.cs=Keep</t>
  </si>
  <si>
    <t>POST-BATCH-T docs source-trace review. Previous active row was PBN-0076/PBF-385. No source/project/XML/config/data behavior changed.</t>
  </si>
  <si>
    <t>RB-06647</t>
  </si>
  <si>
    <t>P10-F06647</t>
  </si>
  <si>
    <t>AI Overhaul</t>
  </si>
  <si>
    <t>docs/wiki/AI_OVERHAUL_AUDIT.md</t>
  </si>
  <si>
    <t>POST-BATCH-F</t>
  </si>
  <si>
    <t>PBF-386</t>
  </si>
  <si>
    <t>FixedDocumentationTrace</t>
  </si>
  <si>
    <t>Corrected objective documentation/source-trace evidence by replacing wildcard or multi-path source references with exact existing source files and adding the required Source Trace heading where applicable.</t>
  </si>
  <si>
    <t>docs/codebase-audit/outputs/post-batch-f-documentation-balance-review.csv</t>
  </si>
  <si>
    <t>Documentation truth after POST-BATCH-F: SourceTracePresent=Yes; MissingSourceFiles=none; VerifiedSourceFiles=Data/Scripts/Mobiles/Base/BaseCreature.cs;Data/Scripts/Mobiles/Base/Behavior.cs;Data/Scripts/Mobiles/Base/BaseVendor.cs;Data/Scripts/Mobiles/Base/BaseHealer.cs;Data/Scripts/System/Regions/BaseRegion.cs;Data/Scripts/Custom/RandomEncounters/Import.cs;Data/Scripts/Custom/RandomEncounters/EncounterEngine.cs;Data/Scripts/Mobiles/Civilized/Citizens/Citizens.cs;Data/Scripts/Mobiles/Civilized/Vendors/Mage.cs;Data/Scripts/Mobiles/Civilized/Vendors/Banker.cs;Data/Scripts/Mobiles/Base/BaseNPC.cs;Data/Scripts/Mobiles/Base/BasePerson.cs;Data/System/Source/Sector.cs;Data/System/Source/Region.cs;Data/Scripts/Custom/OmniAI/OmniAI Core.cs;Data/Scripts/Custom/OmniAI/OmniAI Shared.cs;Data/Scripts/System/Obsolete;Data/Scripts/Custom/XMLSpawner;Data/Scripts/Custom/CloneOfflinePlayerCharacters/CharacterClone.cs;Data/Scripts/Custom/OmniAI/AITester.cs;Data/Scripts/Magic/Jester/Spells/Clowns.cs;Data/Scripts/Magic/Ninjitsu/MirrorImage.cs;Data/Scripts/Magic/Death Knight/DevilPact.cs;Data/Scripts/Magic/Druidism/Effects/TreefellowSpell.cs;Data/Scripts/Magic/Elementalism/Mobiles/ElementalFiendAir.cs;Data/Scripts/Magic/Elementalism/Mobiles/ElementalFiendEarth.cs;Data/Scripts/Magic/Elementalism/Mobiles/ElementalFiendFire.cs;Data/Scripts/Magic/Elementalism/Mobiles/ElementalFiendWater.cs;Data/Scripts/Magic/Elementalism/Mobiles/ElementalSpiritAir.cs;Data/Scripts/Magic/Elementalism/Mobiles/ElementalSpiritEarth.cs;Data/Scripts/Magic/Elementalism/Mobiles/ElementalSpiritFire.cs;Data/Scripts/Magic/Elementalism/Mobiles/ElementalSpiritWater.cs;Data/Scripts/Magic/Enchantments/Mobiles/DevilPactMagic.cs;Data/Scripts/Magic/Misc/SummonDragonSpell.cs;Data/Scripts/Magic/Misc/SummonSkeleton.cs;Data/Scripts/Magic/Misc/SummonSnakesSpell.cs;Data/Scripts/Mobiles/Summoned/BladeSpirits.cs;Data/Scripts/Mobiles/Summoned/DeathVortex.cs;Data/Scripts/Mobiles/Summoned/EnergyVortex.cs;Data/Scripts/Mobiles/Summoned/GasCloud.cs;Data/Scripts/Mobiles/Summoned/Swarm.cs;Data/Scripts/Mobiles/Humanoids/Humans/Adventurers.cs;Data/Scripts/Mobiles/Humanoids/Aliens/Syth.cs;Data/Scripts/Mobiles/Humanoids/Aliens/Jedi.cs;Data/Scripts/Mobiles/Unique/RuneGuardian.cs;Data/Scripts/Mobiles/Mystical/DarkWisp.cs;Data/Scripts/Mobiles/Mystical/Wisp.cs</t>
  </si>
  <si>
    <t>Pending current POST-BATCH-F commit</t>
  </si>
  <si>
    <t>2026-06-13T19:48:57.0377992-05:00</t>
  </si>
  <si>
    <t>RB-06648</t>
  </si>
  <si>
    <t>P10-F06648</t>
  </si>
  <si>
    <t>PBF-387</t>
  </si>
  <si>
    <t>RB-06649</t>
  </si>
  <si>
    <t>P10-F06649</t>
  </si>
  <si>
    <t>Magic Schools</t>
  </si>
  <si>
    <t>PBF-388</t>
  </si>
  <si>
    <t>RB-06650</t>
  </si>
  <si>
    <t>P10-F06650</t>
  </si>
  <si>
    <t>PBF-389</t>
  </si>
  <si>
    <t>RB-06651</t>
  </si>
  <si>
    <t>P10-F06651</t>
  </si>
  <si>
    <t>PBF-390</t>
  </si>
  <si>
    <t>RB-06652</t>
  </si>
  <si>
    <t>P10-F06652</t>
  </si>
  <si>
    <t>PBF-391</t>
  </si>
  <si>
    <t>RB-06653</t>
  </si>
  <si>
    <t>P10-F06653</t>
  </si>
  <si>
    <t>PBF-392</t>
  </si>
  <si>
    <t>RB-06654</t>
  </si>
  <si>
    <t>P10-F06654</t>
  </si>
  <si>
    <t>PBF-393</t>
  </si>
  <si>
    <t>RB-06655</t>
  </si>
  <si>
    <t>P10-F06655</t>
  </si>
  <si>
    <t>docs/wiki/Animal_Shape_Stones.md</t>
  </si>
  <si>
    <t>PBT-0006</t>
  </si>
  <si>
    <t>Queue SourceEvidence=POST-BATCH-N lane=POST-BATCH-N-DOCS-SOURCE-TRACE; FileProofStatus=CurrentPathConfirmed; Documentation truth after POST-BATCH-F: SourceTracePresent=No; MissingClaims=Missing Source Trace section.; StaleClaims=; Canonical=Canonical; Target=; SourceFiles=Data/Scripts/Custom/AnimalSystem/ShapeShiftStones/; Data/Scripts/Custom/AnimalSystem/ShapeShiftStones/DragonShapeChangeStone-body.cs; Data/Scripts/Custom/AnimalSystem/ShapeShiftStones/FaeryShapeChangeStone.cs; Data/Scripts/Custom/AnimalSystem/ShapeShiftStones/FelinusShapeChangeStone.cs; Data/Scripts/Custom/AnimalSystem/ShapeShiftStones/RatShapeChangeStone.cs; Data/Scripts/Custom/AnimalSystem/ShapeShiftStones/WolvenShapeChangeStone.cs; Data/Scripts/Scripts.csproj; PathStatus=Data/Scripts/Custom/AnimalSystem/ShapeShiftStones/=CurrentDirectory; Data/Scripts/Custom/AnimalSystem/ShapeShiftStones/DragonShapeChangeStone-body.cs=CurrentFile; Data/Scripts/Custom/AnimalSystem/ShapeShiftStones/FaeryShapeChangeStone.cs=CurrentFile; Data/Scripts/Custom/AnimalSystem/ShapeShiftStones/FelinusShapeChangeStone.cs=CurrentFile; Data/Scripts/Custom/AnimalSystem/ShapeShiftStones/RatShapeChangeStone.cs=CurrentFile; Data/Scripts/Custom/AnimalSystem/ShapeShiftStones/WolvenShapeChangeStone.cs=CurrentFile; Data/Scripts/Scripts.csproj=CurrentFile; HookExamples=Data/Scripts/Custom/AnimalSystem/ShapeShiftStones/DragonShapeChangeStone-body.cs:L73 Speech OnSpeech access=GlobalOrInternal; Data/Scripts/Custom/AnimalSystem/ShapeShiftStones/DragonShapeChangeStone-body.cs:L79 Speech OnSpeech access=GlobalOrInternal; Data/Scripts/Custom/AnimalSystem/ShapeShiftStones/DragonShapeChangeStone-body.cs:L109 Speech OnSpeech access=GlobalOrInternal; Data/Scripts/Custom/AnimalSystem/ShapeShiftStones/DragonShapeChangeStone-body.cs:L196 Gump OnResponse access=Internal; Data/Scripts/Custom/AnimalSystem/ShapeShiftStones/DragonShapeChangeStone-body.cs:L245 Gump SendGump access=Internal; Data/Scripts/Custom/AnimalSystem/ShapeShiftStones/FaeryShapeChangeStone.cs:L61 Speech OnSpeech access=GlobalOrInternal; Data/Scripts/Custom/AnimalSystem/ShapeShiftStones/FaeryShapeChangeStone.cs:L92 Speech OnSpeech access=GlobalOrInternal; Data/Scripts/Custom/AnimalSystem/ShapeShiftStones/FelinusShapeChangeStone.cs:L73 Speech OnSpeech access=GlobalOrInternal; Data/Scripts/Custom/AnimalSystem/ShapeShiftStones/FelinusShapeChangeStone.cs:L104 Speech OnSpeech access=GlobalOrInternal; Data/Scripts/Custom/AnimalSystem/ShapeShiftStones/FelinusShapeChangeStone.cs:L188 Gump OnResponse access=Internal; Data/Scripts/Custom/AnimalSystem/ShapeShiftStones/FelinusShapeChangeStone.cs:L245 Gump SendGump access=Internal; Data/Scripts/Custom/AnimalSystem/ShapeShiftStones/RatShapeChangeStone.cs:L73 Speech OnSpeech access=GlobalOrInternal; SerializerExamples=Data/Scripts/Custom/AnimalSystem/ShapeShiftStones/DragonShapeChangeStone-body.cs:Server.Items.DragonShapeShiftStone version=1 serialize=L134 deserialize=L145 alignment=AlignedByCountAndKnownTypes; Data/Scripts/Custom/AnimalSystem/ShapeShiftStones/FaeryShapeChangeStone.cs:Server.Items.FaerieShapeShiftStone version=0 serialize=L119 deserialize=L129 alignment=AlignedByCountAndKnownTypes; Data/Scripts/Custom/AnimalSystem/ShapeShiftStones/FelinusShapeChangeStone.cs:Server.Items.FelinusShapeShiftStone version=1 serialize=L126 deserialize=L137 alignment=AlignedByCountAndKnownTypes; Data/Scripts/Custom/AnimalSystem/ShapeShiftStones/RatShapeChangeStone.cs:Server.Items.RatShapeShiftStone version=1 serialize=L126 deserialize=L137 alignment=AlignedByCountAndKnownTypes; Data/Scripts/Custom/AnimalSystem/ShapeShiftStones/WolvenShapeChangeStone.cs:Server.Items.WolvenShapeShiftStone version=1 serialize=L126 deserialize=L137 alignment=AlignedByCountAndKnownTypes; ProjectTruth=Data/Scripts/Custom/AnimalSystem/ShapeShiftStones/DragonShapeChangeStone-body.cs=Keep; Data/Scripts/Custom/AnimalSystem/ShapeShiftStones/DragonShapeChangeStone-body.cs=Keep; Data/Scripts/Custom/AnimalSystem/ShapeShiftStones/FaeryShapeChangeStone.cs=Keep; Data/Scripts/Custom/AnimalSystem/ShapeShiftStones/FaeryShapeChangeStone.cs=Keep; Data/Scripts/Custom/AnimalSystem/ShapeShiftStones/FelinusShapeChangeStone.cs=Keep; Data/Scripts/Custom/AnimalSystem/ShapeShiftStones/FelinusShapeChangeStone.cs=Keep; Data/Scripts/Custom/AnimalSystem/ShapeShiftStones/RatShapeChangeStone.cs=Keep; Data/Scripts/Custom/AnimalSystem/ShapeShiftStones/RatShapeChangeStone.cs=Keep; Data/Scripts/Custom/AnimalSystem/ShapeShiftStones/WolvenShapeChangeStone.cs=Keep; Data/Scripts/Custom/AnimalSystem/ShapeShiftStones/WolvenShapeChangeStone.cs=Keep</t>
  </si>
  <si>
    <t>POST-BATCH-T docs source-trace review. Previous active row was PBN-0006/PBF-394. No source/project/XML/config/data behavior changed.</t>
  </si>
  <si>
    <t>RB-06656</t>
  </si>
  <si>
    <t>P10-F06656</t>
  </si>
  <si>
    <t>docs/wiki/Animal_Trainer_Stable_Claim.md</t>
  </si>
  <si>
    <t>PBT-0053</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</si>
  <si>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SourceFiles=Data/Scripts/Mobiles/Civilized/Vendors/AnimalTrainer.cs; Data/Scripts/Mobiles/Civilized/Vendors/GypsyAnimalTrainer.cs; Data/System/Source/Mobile.cs; Data/Scripts/Mobiles/Base/BaseCreature.cs; Data/Scripts/Mobiles/Base/PlayerMobile.cs; Data/Scripts/System/Misc/Settings.cs; PathStatus=Data/Scripts/Mobiles/Civilized/Vendors/AnimalTrainer.cs=CurrentFile; Data/Scripts/Mobiles/Civilized/Vendors/GypsyAnimalTrainer.cs=CurrentFile; Data/System/Source/Mobile.cs=CurrentFile; Data/Scripts/Mobiles/Base/BaseCreature.cs=CurrentFile; Data/Scripts/Mobiles/Base/PlayerMobile.cs=CurrentFile; Data/Scripts/System/Misc/Settings.cs=CurrentFile; HookExamples=Data/Scripts/Mobiles/Base/BaseCreature.cs:L487 Timer CustomTimerSubclass access=GlobalOrInternal; Data/Scripts/Mobiles/Base/BaseCreature.cs:L914 Timer Timer.DelayCall access=GlobalOrInternal; Data/Scripts/Mobiles/Base/BaseCreature.cs:L950 Timer Timer.DelayCall access=GlobalOrInternal; Data/Scripts/Mobiles/Base/BaseCreature.cs:L5879 Timer Timer.DelayCall access=GlobalOrInternal; Data/Scripts/Mobiles/Base/BaseCreature.cs:L8605 Speech OnSpeech access=GlobalOrInternal; Data/Scripts/Mobiles/Base/BaseCreature.cs:L8609 Speech OnSpeech access=GlobalOrInternal; Data/Scripts/Mobiles/Base/BaseCreature.cs:L8612 Speech OnSpeech access=GlobalOrInternal; Data/Scripts/Mobiles/Base/BaseCreature.cs:L8790 Movement OnMovement access=GlobalOrInternal; Data/Scripts/Mobiles/Base/BaseCreature.cs:L8792 Movement OnMovement access=GlobalOrInternal; Data/Scripts/Mobiles/Base/BaseCreature.cs:L8800 Movement OnMovement access=GlobalOrInternal; Data/Scripts/Mobiles/Base/BaseCreature.cs:L11300 Timer Timer.DelayCall access=GlobalOrInternal; Data/Scripts/Mobiles/Base/BaseCreature.cs:L12194 Timer CustomTimerSubclass access=GlobalOrInternal; SerializerExamples=Data/Scripts/Mobiles/Base/BaseCreature.cs:Server.Mobiles.BaseCreature version=19 serialize=L6507 deserialize=L6665 alignment=TypeMismatch:#30:Write=bool/Read=Double;#32:Write=DeltaTime/Read=Bool;#33:Write=int/Read=DeltaTime;#37:Write=int/Read=Mobile;#53:Write=bool/Read=StrongMobileList;#55:Write=DateTime/Read=Bool;#57:Write=bool/Read=DateTime;#61:Write=bool/Read=StrongMobileList;#62:Write=int/Read=Bool; Data/Scripts/Mobiles/Base/PlayerMobile.cs:Server.Mobiles.PlayerMobile version=37 serialize=L5042 deserialize=L4577 alignment=CountMismatch:Writes=120;Reads=119; Data/Scripts/Mobiles/Civilized/Vendors/AnimalTrainer.cs:Server.Mobiles.AnimalTrainer version=0 serialize=L926 deserialize=L933 alignment=AlignedByCountAndKnownTypes; Data/Scripts/Mobiles/Civilized/Vendors/GypsyAnimalTrainer.cs:Server.Mobiles.GypsyAnimalTrainer version=0 serialize=L66 deserialize=L73 alignment=AlignedByCountAndKnownTypes; Data/System/Source/Mobile.cs:Server.Mobile version=35 serialize=L6183 deserialize=L5700 alignment=CountMismatch:Writes=98;Reads=104; ProjectTruth=Data/Scripts/Mobiles/Base/BaseCreature.cs=Keep; Data/Scripts/Mobiles/Base/BaseCreature.cs=Keep; Data/Scripts/Mobiles/Base/PlayerMobile.cs=Keep; Data/Scripts/Mobiles/Base/PlayerMobile.cs=Keep; Data/Scripts/Mobiles/Civilized/Vendors/AnimalTrainer.cs=Keep; Data/Scripts/Mobiles/Civilized/Vendors/AnimalTrainer.cs=Keep; Data/Scripts/Mobiles/Civilized/Vendors/GypsyAnimalTrainer.cs=Keep; Data/Scripts/Mobiles/Civilized/Vendors/GypsyAnimalTrainer.cs=Keep; Data/Scripts/System/Misc/Settings.cs=Keep; Data/Scripts/System/Misc/Settings.cs=Keep</t>
  </si>
  <si>
    <t>POST-BATCH-T docs source-trace review. Previous active row was PBN-0053/PBF-395. No source/project/XML/config/data behavior changed.</t>
  </si>
  <si>
    <t>RB-06657</t>
  </si>
  <si>
    <t>P10-F06657</t>
  </si>
  <si>
    <t>PBT-0120</t>
  </si>
  <si>
    <t>POST-BATCH-T docs source-trace review. Previous active row was PBN-0120/PBF-396. No source/project/XML/config/data behavior changed.</t>
  </si>
  <si>
    <t>RB-06658</t>
  </si>
  <si>
    <t>P10-F06658</t>
  </si>
  <si>
    <t>docs/wiki/Apiculture_Beekeeping.md</t>
  </si>
  <si>
    <t>PBF-397</t>
  </si>
  <si>
    <t>Documentation truth after POST-BATCH-F: SourceTracePresent=Yes; MissingSourceFiles=none; VerifiedSourceFiles=Data/Scripts/Trades/Apiculture/BeeHiveAddon.cs;Data/Scripts/Trades/Apiculture/Gumps/BeeHiveGumps.cs;Data/Scripts/Trades/Apiculture/BeeHiveHelp.cs;Data/Scripts/Trades/Apiculture/beehivehelper.cs;Data/Scripts/Trades/Apiculture/Items/HiveTool.cs;Data/Scripts/Trades/Apiculture/Items/SmallWaxPot.cs;Data/Scripts/Trades/Apiculture/Items/LargeWaxPot.cs;Data/Scripts/Trades/Apiculture/Items/RawBeeswax.cs;Data/Scripts/Trades/Apiculture/Items/Slumgum.cs;Data/Scripts/Items/Misc/Beeswax.cs;Data/Scripts/Trades/Apiculture/WaxCrafting.cs;Data/Scripts/Trades/Apiculture/DefWaxCrafting.cs;Data/Scripts/Trades/Apiculture/Craft/CandleReligious.cs;Data/Scripts/Trades/Apiculture/Craft/ColorCandleLong.cs;Data/Scripts/Trades/Apiculture/Craft/ColorCandleShort.cs;Data/Scripts/Trades/Apiculture/Craft/JarsOfWax.cs;Data/Scripts/Trades/Apiculture/Craft/PaintCanvas.cs;Data/Scripts/Trades/Apiculture/Craft/WaxPaintings.cs;Data/Scripts/Trades/Apiculture/Craft/WaxSculptors.cs;Data/Scripts/Mobiles/Civilized/Vendors/Beekeeper.cs;Data/Scripts/Mobiles/Base/StoreSalesList.cs;Data/Scripts/Scripts.csproj</t>
  </si>
  <si>
    <t>Remaining stale-marker text is deferred unless it was the objective missing-path/source-trace issue for this batch: Contains Needs Rework/TODO/stub markers that require source-backed follow-up.</t>
  </si>
  <si>
    <t>RB-06659</t>
  </si>
  <si>
    <t>P10-F06659</t>
  </si>
  <si>
    <t>PBF-398</t>
  </si>
  <si>
    <t>RB-06660</t>
  </si>
  <si>
    <t>P10-F06660</t>
  </si>
  <si>
    <t>docs/wiki/auditautomationprompt.md</t>
  </si>
  <si>
    <t>PBT-0077</t>
  </si>
  <si>
    <t>Queue SourceEvidence=POST-BATCH-N lane=POST-BATCH-N-DOCS-SOURCE-TRACE; FileProofStatus=CurrentPathConfirmed; Documentation truth after POST-BATCH-F: SourceTracePresent=No; MissingClaims=; StaleClaims=Contains Needs Rework/TODO/stub markers that require source-backed follow-up.; Canonical=Support; Target=; SourceFiles=; PathStatus=; HookExamples=; SerializerExamples=; ProjectTruth=</t>
  </si>
  <si>
    <t>POST-BATCH-T docs source-trace review. Previous active row was PBN-0077/PBF-399. No source/project/XML/config/data behavior changed.</t>
  </si>
  <si>
    <t>RB-06661</t>
  </si>
  <si>
    <t>P10-F06661</t>
  </si>
  <si>
    <t>docs/wiki/Auto_Sheath.md</t>
  </si>
  <si>
    <t>PBT-0078</t>
  </si>
  <si>
    <t>Queue SourceEvidence=POST-BATCH-N lane=POST-BATCH-N-DOCS-SOURCE-TRACE; FileProofStatus=CurrentPathConfirmed; Documentation truth after POST-BATCH-F: SourceTracePresent=No; MissingClaims=Missing Source Trace section.; StaleClaims=; Canonical=Canonical; Target=; SourceFiles=Data/Scripts/System/Commands/Player/AutoSheatheWeapon.cs; PathStatus=Data/Scripts/System/Commands/Player/AutoSheatheWeapon.cs=CurrentFile; HookExamples=Data/Scripts/System/Commands/Player/AutoSheatheWeapon.cs:L37 Initialize Initialize access=GlobalOrInternal; Data/Scripts/System/Commands/Player/AutoSheatheWeapon.cs:L39 Event EventSink access=GlobalOrInternal; Data/Scripts/System/Commands/Player/AutoSheatheWeapon.cs:L42 Command CommandSystem.Register access=Unknown; SerializerExamples=; ProjectTruth=Data/Scripts/System/Commands/Player/AutoSheatheWeapon.cs=Keep; Data/Scripts/System/Commands/Player/AutoSheatheWeapon.cs=Keep</t>
  </si>
  <si>
    <t>POST-BATCH-T docs source-trace review. Previous active row was PBN-0078/PBF-400. No source/project/XML/config/data behavior changed.</t>
  </si>
  <si>
    <t>RB-06662</t>
  </si>
  <si>
    <t>P10-F06662</t>
  </si>
  <si>
    <t>docs/wiki/Banker_Speech_Commands.md</t>
  </si>
  <si>
    <t>PBT-0121</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</si>
  <si>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SourceFiles=Data/Scripts/Mobiles/Civilized/Vendors/Banker.cs; Data/Scripts/Mobiles/Civilized/Vendors/GypsyBanker.cs; Data/Scripts/Items/Misc/BankCheck.cs; Data/System/Source/Items/Containers.cs; Data/System/Source/Mobile.cs; Data/Scripts/System/Misc/ContextMenu.cs; PathStatus=Data/Scripts/Mobiles/Civilized/Vendors/Banker.cs=CurrentFile; Data/Scripts/Mobiles/Civilized/Vendors/GypsyBanker.cs=CurrentFile; Data/Scripts/Items/Misc/BankCheck.cs=CurrentFile; Data/System/Source/Items/Containers.cs=CurrentFile; Data/System/Source/Mobile.cs=CurrentFile; Data/Scripts/System/Misc/ContextMenu.cs=CurrentFile; HookExamples=Data/Scripts/Mobiles/Civilized/Vendors/Banker.cs:L233 Speech OnSpeech access=GlobalOrInternal; Data/Scripts/Mobiles/Civilized/Vendors/Banker.cs:L368 Speech OnSpeech access=GlobalOrInternal; Data/Scripts/Mobiles/Civilized/Vendors/Banker.cs:L408 Gump SendGump access=Internal; Data/System/Source/Mobile.cs:L1458 Timer CustomTimerSubclass access=GlobalOrInternal; Data/System/Source/Mobile.cs:L1657 Event EventSink access=GlobalOrInternal; Data/System/Source/Mobile.cs:L1994 Timer CustomTimerSubclass access=GlobalOrInternal; Data/System/Source/Mobile.cs:L2014 Timer CustomTimerSubclass access=GlobalOrInternal; Data/System/Source/Mobile.cs:L2034 Timer CustomTimerSubclass access=GlobalOrInternal; Data/System/Source/Mobile.cs:L2054 Timer CustomTimerSubclass access=GlobalOrInternal; Data/System/Source/Mobile.cs:L2069 Event EventSink access=GlobalOrInternal; Data/System/Source/Mobile.cs:L2079 Timer CustomTimerSubclass access=GlobalOrInternal; Data/System/Source/Mobile.cs:L2096 Timer CustomTimerSubclass access=GlobalOrInternal; SerializerExamples=Data/Scripts/Items/Misc/BankCheck.cs:Server.Items.BankCheck version=0 serialize=L33 deserialize=L42 alignment=AlignedByCountAndKnownTypes; Data/Scripts/Mobiles/Civilized/Vendors/Banker.cs:Server.Mobiles.Banker version=0 serialize=L422 deserialize=L429 alignment=AlignedByCountAndKnownTypes; Data/Scripts/Mobiles/Civilized/Vendors/GypsyBanker.cs:Server.Mobiles.GypsyBanker version=0 serialize=L89 deserialize=L96 alignment=AlignedByCountAndKnownTypes; Data/System/Source/Items/Containers.cs:Server.Items.BankBox version=0 serialize=L76 deserialize=L86 alignment=AlignedByCountAndKnownTypes; Data/System/Source/Mobile.cs:Server.Mobile version=35 serialize=L6183 deserialize=L5700 alignment=CountMismatch:Writes=98;Reads=104; ProjectTruth=Data/Scripts/Items/Misc/BankCheck.cs=Keep; Data/Scripts/Items/Misc/BankCheck.cs=Keep; Data/Scripts/Mobiles/Civilized/Vendors/Banker.cs=Keep; Data/Scripts/Mobiles/Civilized/Vendors/Banker.cs=Keep; Data/Scripts/Mobiles/Civilized/Vendors/GypsyBanker.cs=Keep; Data/Scripts/Mobiles/Civilized/Vendors/GypsyBanker.cs=Keep; Data/Scripts/System/Misc/ContextMenu.cs=Keep; Data/Scripts/System/Misc/ContextMenu.cs=Keep</t>
  </si>
  <si>
    <t>POST-BATCH-T docs source-trace review. Previous active row was PBN-0121/PBF-401. No source/project/XML/config/data behavior changed.</t>
  </si>
  <si>
    <t>RB-06663</t>
  </si>
  <si>
    <t>P10-F06663</t>
  </si>
  <si>
    <t>docs/wiki/Barbaric_Play_Style.md</t>
  </si>
  <si>
    <t>PBT-0054</t>
  </si>
  <si>
    <t>Queue SourceEvidence=POST-BATCH-N lane=POST-BATCH-N-DOCS-SOURCE-TRACE; FileProofStatus=CurrentPathConfirmed; Documentation truth after POST-BATCH-F: SourceTracePresent=No; MissingClaims=Missing Source Trace section.; StaleClaims=; Canonical=Canonical; Target=; SourceFiles=Data/Scripts/System/Commands/Player/PlayBarbaric.cs; Data/Scripts/System/Help/Gumps/HelpGump.cs; Data/Scripts/Items/Special/BarbaricSatchel.cs; Data/Scripts/System/Misc/Players.cs; Data/System/Source/Skills.cs; Data/Scripts/Mobiles/Base/PlayerMobile.cs; Data/Scripts/Mobiles/Base/PlayerSettings.cs; Data/Scripts/Scripts.csproj; PathStatus=Data/Scripts/System/Commands/Player/PlayBarbaric.cs=CurrentFile; Data/Scripts/System/Help/Gumps/HelpGump.cs=CurrentFile; Data/Scripts/Items/Special/BarbaricSatchel.cs=CurrentFile; Data/Scripts/System/Misc/Players.cs=CurrentFile; Data/System/Source/Skills.cs=CurrentFile; Data/Scripts/Mobiles/Base/PlayerMobile.cs=CurrentFile; Data/Scripts/Mobiles/Base/PlayerSettings.cs=CurrentFile; Data/Scripts/Scripts.csproj=CurrentFile; HookExamples=Data/Scripts/Items/Special/BarbaricSatchel.cs:L47 Gump SendGump access=Internal; Data/Scripts/Items/Special/BarbaricSatchel.cs:L243 Gump SendGump access=Internal; Data/Scripts/Items/Special/BarbaricSatchel.cs:L451 Gump OnResponse access=Internal; Data/Scripts/Items/Special/BarbaricSatchel.cs:L695 Gump OnResponse access=Internal; Data/Scripts/Mobiles/Base/PlayerMobile.cs:L798 Initialize Initialize access=GlobalOrInternal; Data/Scripts/Mobiles/Base/PlayerMobile.cs:L806 Event EventSink access=GlobalOrInternal; Data/Scripts/Mobiles/Base/PlayerMobile.cs:L807 Event EventSink access=GlobalOrInternal; Data/Scripts/Mobiles/Base/PlayerMobile.cs:L808 Event EventSink access=GlobalOrInternal; Data/Scripts/Mobiles/Base/PlayerMobile.cs:L809 Event EventSink access=GlobalOrInternal; Data/Scripts/Mobiles/Base/PlayerMobile.cs:L813 Timer Timer.DelayCall access=GlobalOrInternal; Data/Scripts/Mobiles/Base/PlayerMobile.cs:L1003 Login OnLogin access=Internal; Data/Scripts/Mobiles/Base/PlayerMobile.cs:L1030 Timer Timer.DelayCall access=GlobalOrInternal; SerializerExamples=Data/Scripts/Items/Special/BarbaricSatchel.cs:Server.Items.BarbaricSatchel version=1 serialize=L265 deserialize=L272 alignment=AlignedByCountAndKnownTypes; Data/Scripts/Mobiles/Base/PlayerMobile.cs:Server.Mobiles.PlayerMobile version=37 serialize=L5042 deserialize=L4577 alignment=CountMismatch:Writes=120;Reads=119; Data/System/Source/Skills.cs:Server.Skill version=Unknown serialize=L492 deserialize=L alignment=CountMismatch:Writes=5;Reads=0; Data/System/Source/Skills.cs:Server.Skills version=3 serialize=L1573 deserialize=L alignment=CountMismatch:Writes=3;Reads=0; ProjectTruth=Data/Scripts/Items/Special/BarbaricSatchel.cs=Keep; Data/Scripts/Items/Special/BarbaricSatchel.cs=Keep; Data/Scripts/Mobiles/Base/PlayerMobile.cs=Keep; Data/Scripts/Mobiles/Base/PlayerMobile.cs=Keep; Data/Scripts/Mobiles/Base/PlayerSettings.cs=Keep; Data/Scripts/Mobiles/Base/PlayerSettings.cs=Keep; Data/Scripts/System/Commands/Player/PlayBarbaric.cs=Keep; Data/Scripts/System/Commands/Player/PlayBarbaric.cs=Keep; Data/Scripts/System/Help/Gumps/HelpGump.cs=Keep; Data/Scripts/System/Help/Gumps/HelpGump.cs=Keep; Data/Scripts/System/Misc/Players.cs=Keep; Data/Scripts/System/Misc/Players.cs=Keep</t>
  </si>
  <si>
    <t>POST-BATCH-T docs source-trace review. Previous active row was PBN-0054/PBF-402. No source/project/XML/config/data behavior changed.</t>
  </si>
  <si>
    <t>RB-06664</t>
  </si>
  <si>
    <t>P10-F06664</t>
  </si>
  <si>
    <t>docs/wiki/Bard_Song_Magic.md</t>
  </si>
  <si>
    <t>PBT-0033</t>
  </si>
  <si>
    <t>Queue SourceEvidence=POST-BATCH-N lane=POST-BATCH-N-DOCS-SOURCE-TRACE; FileProofStatus=CurrentPathConfirmed; Documentation truth after POST-BATCH-F: SourceTracePresent=No; MissingClaims=Missing Source Trace section.; StaleClaims=; Canonical=Canonical; Target=; SourceFiles=Data/Scripts/Magic/Bard/Spells/; PathStatus=Data/Scripts/Magic/Bard/Spells/=CurrentDirectory; HookExamples=Data/Scripts/Magic/Bard/Spells/ArmysPaeonSong.cs:L154 Timer CustomTimerSubclass access=GlobalOrInternal; Data/Scripts/Magic/Bard/Spells/ArmysPaeonSong.cs:L194 Timer CustomTimerSubclass access=GlobalOrInternal; Data/Scripts/Magic/Bard/Spells/ArmysPaeonSong.cs:L234 Timer CustomTimerSubclass access=GlobalOrInternal; Data/Scripts/Magic/Bard/Spells/ArmysPaeonSong.cs:L274 Timer CustomTimerSubclass access=GlobalOrInternal; Data/Scripts/Magic/Bard/Spells/ArmysPaeonSong.cs:L314 Timer CustomTimerSubclass access=GlobalOrInternal; Data/Scripts/Magic/Bard/Spells/EnergyCarolSong.cs:L126 Timer CustomTimerSubclass access=GlobalOrInternal; Data/Scripts/Magic/Bard/Spells/EnergyThrenodySong.cs:L138 Timer CustomTimerSubclass access=GlobalOrInternal; Data/Scripts/Magic/Bard/Spells/FireCarolSong.cs:L133 Timer CustomTimerSubclass access=GlobalOrInternal; Data/Scripts/Magic/Bard/Spells/FireThrenodySong.cs:L136 Timer CustomTimerSubclass access=GlobalOrInternal; Data/Scripts/Magic/Bard/Spells/IceCarolSong.cs:L124 Timer CustomTimerSubclass access=GlobalOrInternal; Data/Scripts/Magic/Bard/Spells/IceThrenodySong.cs:L137 Timer CustomTimerSubclass access=GlobalOrInternal; Data/Scripts/Magic/Bard/Spells/KnightsMinneSong.cs:L126 Timer CustomTimerSubclass access=GlobalOrInternal; SerializerExamples=; ProjectTruth=Data/Scripts/Magic/Bard/Spells/ArmysPaeonSong.cs=Keep; Data/Scripts/Magic/Bard/Spells/ArmysPaeonSong.cs=Keep; Data/Scripts/Magic/Bard/Spells/EnchantingEtudeSong.cs=Keep; Data/Scripts/Magic/Bard/Spells/EnchantingEtudeSong.cs=Keep; Data/Scripts/Magic/Bard/Spells/EnergyCarolSong.cs=Keep; Data/Scripts/Magic/Bard/Spells/EnergyCarolSong.cs=Keep; Data/Scripts/Magic/Bard/Spells/EnergyThrenodySong.cs=Keep; Data/Scripts/Magic/Bard/Spells/EnergyThrenodySong.cs=Keep; Data/Scripts/Magic/Bard/Spells/FireCarolSong.cs=Keep; Data/Scripts/Magic/Bard/Spells/FireCarolSong.cs=Keep; Data/Scripts/Magic/Bard/Spells/FireThrenodySong.cs=Keep; Data/Scripts/Magic/Bard/Spells/FireThrenodySong.cs=Keep; Data/Scripts/Magic/Bard/Spells/FoeRequiemSong.cs=Keep; Data/Scripts/Magic/Bard/Spells/FoeRequiemSong.cs=Keep; Data/Scripts/Magic/Bard/Spells/IceCarolSong.cs=Keep; Data/Scripts/Magic/Bard/Spells/IceCarolSong.cs=Keep; Data/Scripts/Magic/Bard/Spells/IceThrenodySong.cs=Keep; Data/Scripts/Magic/Bard/Spells/IceThrenodySong.cs=Keep; Data/Scripts/Magic/Bard/Spells/KnightsMinneSong.cs=Keep; Data/Scripts/Magic/Bard/Spells/KnightsMinneSong.cs=Keep</t>
  </si>
  <si>
    <t>POST-BATCH-T docs source-trace review. Previous active row was PBN-0033/PBF-403. No source/project/XML/config/data behavior changed.</t>
  </si>
  <si>
    <t>RB-06665</t>
  </si>
  <si>
    <t>P10-F06665</t>
  </si>
  <si>
    <t>docs/wiki/Base_Spell_Framework.md</t>
  </si>
  <si>
    <t>PBT-0071</t>
  </si>
  <si>
    <t>Queue SourceEvidence=POST-BATCH-N lane=POST-BATCH-N-DOCS-SOURCE-TRACE; FileProofStatus=CurrentPathConfirmed; Documentation truth after POST-BATCH-F: SourceTracePresent=No; MissingClaims=Missing Source Trace section.; StaleClaims=; Canonical=Canonical; Target=; SourceFiles=Data/Scripts/Magic/Base/Spell.cs; Data/Scripts/Magic/Base/SpellInfo.cs; Data/Scripts/Magic/Base/SpellRegistry.cs; Data/Scripts/Magic/Base/Initializer.cs; Data/Scripts/Magic/Base/SpellHelper.cs; Data/Scripts/Magic/Base/SpellState.cs; Data/Scripts/Magic/Base/DisturbType.cs; Data/Scripts/Magic/Base/SpellCircle.cs; Data/Scripts/Magic/Base/Reagent.cs; Data/Scripts/Magic/Base/SpecialMove.cs; Data/Scripts/Magic/Base/UnsummonTimer.cs; Data/Scripts/Magic/Base/SpellBooks.cs; PathStatus=Data/Scripts/Magic/Base/Spell.cs=CurrentFile; Data/Scripts/Magic/Base/SpellInfo.cs=CurrentFile; Data/Scripts/Magic/Base/SpellRegistry.cs=CurrentFile; Data/Scripts/Magic/Base/Initializer.cs=CurrentFile; Data/Scripts/Magic/Base/SpellHelper.cs=CurrentFile; Data/Scripts/Magic/Base/SpellState.cs=CurrentFile; Data/Scripts/Magic/Base/DisturbType.cs=CurrentFile; Data/Scripts/Magic/Base/SpellCircle.cs=CurrentFile; Data/Scripts/Magic/Base/Reagent.cs=CurrentFile; Data/Scripts/Magic/Base/SpecialMove.cs=CurrentFile; Data/Scripts/Magic/Base/UnsummonTimer.cs=CurrentFile; Data/Scripts/Magic/Base/SpellBooks.cs=CurrentFile; HookExamples=Data/Scripts/Magic/Base/Initializer.cs:L8 Initialize Initialize access=GlobalOrInternal; Data/Scripts/Magic/Base/SpecialMove.cs:L325 Timer CustomTimerSubclass access=GlobalOrInternal; Data/Scripts/Magic/Base/Spell.cs:L1219 Timer CustomTimerSubclass access=GlobalOrInternal; Data/Scripts/Magic/Base/Spell.cs:L1251 Timer CustomTimerSubclass access=GlobalOrInternal; Data/Scripts/Magic/Base/SpellHelper.cs:L30 Timer CustomTimerSubclass access=GlobalOrInternal; Data/Scripts/Magic/Base/SpellHelper.cs:L1357 Timer CustomTimerSubclass access=GlobalOrInternal; Data/Scripts/Magic/Base/SpellHelper.cs:L1392 Timer CustomTimerSubclass access=GlobalOrInternal; Data/Scripts/Magic/Base/SpellHelper.cs:L1755 Timer CustomTimerSubclass access=GlobalOrInternal; Data/Scripts/Magic/Base/UnsummonTimer.cs:L6 Timer CustomTimerSubclass access=GlobalOrInternal; SerializerExamples=Data/Scripts/Magic/Base/SpellBooks.cs:Server.Items.MyElementalSpellbook version=0 serialize=L186 deserialize=L192 alignment=AlignedByCountAndKnownTypes; Data/Scripts/Magic/Base/SpellBooks.cs:Server.Items.MyNecromancerSpellbook version=0 serialize=L99 deserialize=L105 alignment=AlignedByCountAndKnownTypes; Data/Scripts/Magic/Base/SpellBooks.cs:Server.Items.MyNinjabook version=0 serialize=L359 deserialize=L365 alignment=AlignedByCountAndKnownTypes; Data/Scripts/Magic/Base/SpellBooks.cs:Server.Items.MyPaladinbook version=0 serialize=L502 deserialize=L508 alignment=AlignedByCountAndKnownTypes; Data/Scripts/Magic/Base/SpellBooks.cs:Server.Items.MySamuraibook version=0 serialize=L425 deserialize=L431 alignment=AlignedByCountAndKnownTypes; Data/Scripts/Magic/Base/SpellBooks.cs:Server.Items.MySongbook version=0 serialize=L567 deserialize=L573 alignment=AlignedByCountAndKnownTypes; Data/Scripts/Magic/Base/SpellBooks.cs:Server.Items.MySpellbook version=0 serialize=L297 deserialize=L303 alignment=AlignedByCountAndKnownTypes; ProjectTruth=Data/Scripts/Magic/Base/DisturbType.cs=Keep; Data/Scripts/Magic/Base/DisturbType.cs=Keep; Data/Scripts/Magic/Base/Initializer.cs=Keep; Data/Scripts/Magic/Base/Initializer.cs=Keep; Data/Scripts/Magic/Base/Reagent.cs=Keep; Data/Scripts/Magic/Base/Reagent.cs=Keep; Data/Scripts/Magic/Base/SpecialMove.cs=Keep; Data/Scripts/Magic/Base/SpecialMove.cs=Keep; Data/Scripts/Magic/Base/Spell.cs=Keep; Data/Scripts/Magic/Base/Spell.cs=Keep; Data/Scripts/Magic/Base/SpellBooks.cs=Keep; Data/Scripts/Magic/Base/SpellBooks.cs=Keep; Data/Scripts/Magic/Base/SpellCircle.cs=Keep; Data/Scripts/Magic/Base/SpellCircle.cs=Keep; Data/Scripts/Magic/Base/SpellHelper.cs=Keep; Data/Scripts/Magic/Base/SpellHelper.cs=Keep; Data/Scripts/Magic/Base/SpellInfo.cs=Keep; Data/Scripts/Magic/Base/SpellInfo.cs=Keep; Data/Scripts/Magic/Base/SpellRegistry.cs=Keep; Data/Scripts/Magic/Base/SpellRegistry.cs=Keep</t>
  </si>
  <si>
    <t>POST-BATCH-T docs source-trace review. Previous active row was PBN-0071/PBF-404. No source/project/XML/config/data behavior changed.</t>
  </si>
  <si>
    <t>RB-06666</t>
  </si>
  <si>
    <t>P10-F06666</t>
  </si>
  <si>
    <t>docs/wiki/Boat_Core_Mechanics.md</t>
  </si>
  <si>
    <t>PBT-0002</t>
  </si>
  <si>
    <t>Queue SourceEvidence=POST-BATCH-N lane=POST-BATCH-N-DOCS-SOURCE-TRACE; FileProofStatus=CurrentPathConfirmed; Documentation truth after POST-BATCH-F: SourceTracePresent=No; MissingClaims=Missing Source Trace section.; StaleClaims=; Canonical=Canonical; Target=; SourceFiles=Data/Scripts/Items/Boats/BaseBoat.cs; PathStatus=Data/Scripts/Items/Boats/BaseBoat.cs=CurrentFile; HookExamples=Data/Scripts/Items/Boats/BaseBoat.cs:L1447 Timer CustomTimerSubclass access=GlobalOrInternal; Data/Scripts/Items/Boats/BaseBoat.cs:L1732 Gump SendGump access=Internal; Data/Scripts/Items/Boats/BaseBoat.cs:L2058 Speech OnSpeech access=GlobalOrInternal; Data/Scripts/Items/Boats/BaseBoat.cs:L2270 Timer CustomTimerSubclass access=GlobalOrInternal; Data/Scripts/Items/Boats/BaseBoat.cs:L2882 Timer CustomTimerSubclass access=GlobalOrInternal; Data/Scripts/Items/Boats/BaseBoat.cs:L2906 Initialize Initialize access=GlobalOrInternal; Data/Scripts/Items/Boats/BaseBoat.cs:L2909 Event EventSink access=GlobalOrInternal; Data/Scripts/Items/Boats/BaseBoat.cs:L2909 WorldSave WorldSave access=GlobalOrInternal; Data/Scripts/Items/Boats/BaseBoat.cs:L2917 Timer CustomTimerSubclass access=GlobalOrInternal; SerializerExamples=Data/Scripts/Items/Boats/BaseBoat.cs:Server.Multis.BaseBoat version=3 serialize=L663 deserialize=L688 alignment=CountMatchNeedsTypeReview:UnknownWrites=8; ProjectTruth=Data/Scripts/Items/Boats/BaseBoat.cs=Keep; Data/Scripts/Items/Boats/BaseBoat.cs=Keep</t>
  </si>
  <si>
    <t>POST-BATCH-T docs source-trace review. Previous active row was PBN-0002/PBF-405. No source/project/XML/config/data behavior changed.</t>
  </si>
  <si>
    <t>RB-06667</t>
  </si>
  <si>
    <t>P10-F06667</t>
  </si>
  <si>
    <t>docs/wiki/boat-navigation-control.md</t>
  </si>
  <si>
    <t>PBT-0003</t>
  </si>
  <si>
    <t>Queue SourceEvidence=POST-BATCH-N lane=POST-BATCH-N-DOCS-SOURCE-TRACE; FileProofStatus=CurrentPathConfirmed; Documentation truth after POST-BATCH-F: SourceTracePresent=No; MissingClaims=Missing Source Trace section.; StaleClaims=; Canonical=Canonical; Target=; SourceFiles=Data/Scripts/Custom/BoatNavigationTotem/BoatNavigationTotam.cs; Data/Scripts/Items/Boats/BaseBoat.cs; Data/Scripts/Items/Boats/Plank.cs; PathStatus=Data/Scripts/Custom/BoatNavigationTotem/BoatNavigationTotam.cs=CurrentFile; Data/Scripts/Items/Boats/BaseBoat.cs=CurrentFile; Data/Scripts/Items/Boats/Plank.cs=CurrentFile; HookExamples=Data/Scripts/Custom/BoatNavigationTotem/BoatNavigationTotam.cs:L17 Initialize Initialize access=GlobalOrInternal; Data/Scripts/Custom/BoatNavigationTotem/BoatNavigationTotam.cs:L19 Command CommandSystem.Register access=Unknown; Data/Scripts/Custom/BoatNavigationTotem/BoatNavigationTotam.cs:L24 Command CommandSystem.Register access=Unknown; Data/Scripts/Custom/BoatNavigationTotem/BoatNavigationTotam.cs:L29 Command CommandSystem.Register access=Unknown; Data/Scripts/Custom/BoatNavigationTotem/BoatNavigationTotam.cs:L43 Gump SendGump access=Internal; Data/Scripts/Custom/BoatNavigationTotem/BoatNavigationTotam.cs:L53 Gump SendGump access=Internal; Data/Scripts/Custom/BoatNavigationTotem/BoatNavigationTotam.cs:L63 Gump SendGump access=Internal; Data/Scripts/Custom/BoatNavigationTotem/BoatNavigationTotam.cs:L197 Gump OnResponse access=Internal; Data/Scripts/Custom/BoatNavigationTotem/BoatNavigationTotam.cs:L219 Gump SendGump access=Internal; Data/Scripts/Custom/BoatNavigationTotem/BoatNavigationTotam.cs:L227 Gump SendGump access=Internal; Data/Scripts/Custom/BoatNavigationTotem/BoatNavigationTotam.cs:L300 Gump SendGump access=Internal; Data/Scripts/Custom/BoatNavigationTotem/BoatNavigationTotam.cs:L373 Gump SendGump access=Internal; SerializerExamples=Data/Scripts/Items/Boats/BaseBoat.cs:Server.Multis.BaseBoat version=3 serialize=L663 deserialize=L688 alignment=CountMatchNeedsTypeReview:UnknownWrites=8; Data/Scripts/Items/Boats/Plank.cs:Server.Items.Plank version=0 serialize=L47 deserialize=L59 alignment=CountMatchNeedsTypeReview:UnknownWrites=3; ProjectTruth=Data/Scripts/Custom/BoatNavigationTotem/BoatNavigationTotam.cs=Keep; Data/Scripts/Custom/BoatNavigationTotem/BoatNavigationTotam.cs=Keep; Data/Scripts/Items/Boats/BaseBoat.cs=Keep; Data/Scripts/Items/Boats/BaseBoat.cs=Keep; Data/Scripts/Items/Boats/Plank.cs=Keep; Data/Scripts/Items/Boats/Plank.cs=Keep</t>
  </si>
  <si>
    <t>POST-BATCH-T docs source-trace review. Previous active row was PBN-0003/PBF-406. No source/project/XML/config/data behavior changed.</t>
  </si>
  <si>
    <t>RB-06668</t>
  </si>
  <si>
    <t>P10-F06668</t>
  </si>
  <si>
    <t>docs/wiki/bond-info-command.md</t>
  </si>
  <si>
    <t>PBT-0079</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</si>
  <si>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SourceFiles=Data/Scripts/Custom/BondInfo/BondInfo.cs; Data/Scripts/Mobiles/Base/BaseCreature.cs; PathStatus=Data/Scripts/Custom/BondInfo/BondInfo.cs=CurrentFile; Data/Scripts/Mobiles/Base/BaseCreature.cs=CurrentFile; HookExamples=Data/Scripts/Custom/BondInfo/BondInfo.cs:L12 Initialize Initialize access=GlobalOrInternal; Data/Scripts/Custom/BondInfo/BondInfo.cs:L14 Command CommandSystem.Register access=Unknown; Data/Scripts/Mobiles/Base/BaseCreature.cs:L487 Timer CustomTimerSubclass access=GlobalOrInternal; Data/Scripts/Mobiles/Base/BaseCreature.cs:L914 Timer Timer.DelayCall access=GlobalOrInternal; Data/Scripts/Mobiles/Base/BaseCreature.cs:L950 Timer Timer.DelayCall access=GlobalOrInternal; Data/Scripts/Mobiles/Base/BaseCreature.cs:L5879 Timer Timer.DelayCall access=GlobalOrInternal; Data/Scripts/Mobiles/Base/BaseCreature.cs:L8605 Speech OnSpeech access=GlobalOrInternal; Data/Scripts/Mobiles/Base/BaseCreature.cs:L8609 Speech OnSpeech access=GlobalOrInternal; Data/Scripts/Mobiles/Base/BaseCreature.cs:L8612 Speech OnSpeech access=GlobalOrInternal; Data/Scripts/Mobiles/Base/BaseCreature.cs:L8790 Movement OnMovement access=GlobalOrInternal; Data/Scripts/Mobiles/Base/BaseCreature.cs:L8792 Movement OnMovement access=GlobalOrInternal; Data/Scripts/Mobiles/Base/BaseCreature.cs:L8800 Movement OnMovement access=GlobalOrInternal; SerializerExamples=Data/Scripts/Mobiles/Base/BaseCreature.cs:Server.Mobiles.BaseCreature version=19 serialize=L6507 deserialize=L6665 alignment=TypeMismatch:#30:Write=bool/Read=Double;#32:Write=DeltaTime/Read=Bool;#33:Write=int/Read=DeltaTime;#37:Write=int/Read=Mobile;#53:Write=bool/Read=StrongMobileList;#55:Write=DateTime/Read=Bool;#57:Write=bool/Read=DateTime;#61:Write=bool/Read=StrongMobileList;#62:Write=int/Read=Bool; ProjectTruth=Data/Scripts/Custom/BondInfo/BondInfo.cs=Keep; Data/Scripts/Custom/BondInfo/BondInfo.cs=Keep; Data/Scripts/Mobiles/Base/BaseCreature.cs=Keep; Data/Scripts/Mobiles/Base/BaseCreature.cs=Keep</t>
  </si>
  <si>
    <t>POST-BATCH-T docs source-trace review. Previous active row was PBN-0079/PBF-407. No source/project/XML/config/data behavior changed.</t>
  </si>
  <si>
    <t>RB-06669</t>
  </si>
  <si>
    <t>P10-F06669</t>
  </si>
  <si>
    <t>docs/wiki/Book_Publisher.md</t>
  </si>
  <si>
    <t>PBT-0080</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</si>
  <si>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SourceFiles=Data/Scripts/Custom/Book Publisher [2.0]/Publisher.cs; Data/Scripts/Custom/Book Publisher [2.0]/PublishedBook.cs; Data/Scripts/Custom/Book Publisher [2.0]/XmlBook.cs; Data/Scripts/Custom/Book Publisher [2.0]/SBPublisher.cs; Data/Scripts/Custom/Book Publisher [2.0]/BookBuyInfo.cs; PathStatus=Data/Scripts/Custom/Book Publisher [2.0]/Publisher.cs=CurrentFile; Data/Scripts/Custom/Book Publisher [2.0]/PublishedBook.cs=CurrentFile; Data/Scripts/Custom/Book Publisher [2.0]/XmlBook.cs=CurrentFile; Data/Scripts/Custom/Book Publisher [2.0]/SBPublisher.cs=CurrentFile; Data/Scripts/Custom/Book Publisher [2.0]/BookBuyInfo.cs=CurrentFile; HookExamples=Data/Scripts/Custom/Book Publisher [2.0]/Publisher.cs:L76 Speech OnSpeech access=GlobalOrInternal; Data/Scripts/Custom/Book Publisher [2.0]/Publisher.cs:L87 Speech OnSpeech access=GlobalOrInternal; Data/Scripts/Custom/Book Publisher [2.0]/Publisher.cs:L90 Speech OnSpeech access=GlobalOrInternal; SerializerExamples=Data/Scripts/Custom/Book Publisher [2.0]/PublishedBook.cs:Server.Items.PublishedBook version=0 serialize=L215 deserialize=L193 alignment=CountMismatch:Writes=6;Reads=5; Data/Scripts/Custom/Book Publisher [2.0]/Publisher.cs:Server.Mobiles.Publisher version=0 serialize=L32 deserialize=L39 alignment=AlignedByCountAndKnownTypes; ProjectTruth=Data/Scripts/Custom/Book Publisher [2.0]/BookBuyInfo.cs=Keep; Data/Scripts/Custom/Book Publisher [2.0]/BookBuyInfo.cs=Keep; Data/Scripts/Custom/Book Publisher [2.0]/PublishedBook.cs=Keep; Data/Scripts/Custom/Book Publisher [2.0]/PublishedBook.cs=Keep; Data/Scripts/Custom/Book Publisher [2.0]/Publisher.cs=Keep; Data/Scripts/Custom/Book Publisher [2.0]/Publisher.cs=Keep; Data/Scripts/Custom/Book Publisher [2.0]/SBPublisher.cs=Keep; Data/Scripts/Custom/Book Publisher [2.0]/SBPublisher.cs=Keep; Data/Scripts/Custom/Book Publisher [2.0]/XmlBook.cs=Keep; Data/Scripts/Custom/Book Publisher [2.0]/XmlBook.cs=Keep</t>
  </si>
  <si>
    <t>POST-BATCH-T docs source-trace review. Previous active row was PBN-0080/PBF-408. No source/project/XML/config/data behavior changed.</t>
  </si>
  <si>
    <t>RB-06670</t>
  </si>
  <si>
    <t>P10-F06670</t>
  </si>
  <si>
    <t>docs/wiki/Bulk_Order_System.md</t>
  </si>
  <si>
    <t>PBT-0007</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</si>
  <si>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SourceFiles=Data/Scripts/Trades/Bulk Orders/SmallBOD.cs; Data/Scripts/Trades/Bulk Orders/LargeBOD.cs; Data/Scripts/Trades/Bulk Orders/SmallSmithBOD.cs; Data/Scripts/Trades/Bulk Orders/SmallTailorBOD.cs; Data/Scripts/Trades/Bulk Orders/LargeSmithBOD.cs; Data/Scripts/Trades/Bulk Orders/LargeTailorBOD.cs; Data/Scripts/Trades/Bulk Orders/Rewards.cs; Data/Scripts/Trades/Bulk Orders/Books/BulkOrderBook.cs; Data/Scripts/Mobiles/Base/BaseVendor.cs; PathStatus=Data/Scripts/Trades/Bulk Orders/SmallBOD.cs=CurrentFile; Data/Scripts/Trades/Bulk Orders/LargeBOD.cs=CurrentFile; Data/Scripts/Trades/Bulk Orders/SmallSmithBOD.cs=CurrentFile; Data/Scripts/Trades/Bulk Orders/SmallTailorBOD.cs=CurrentFile; Data/Scripts/Trades/Bulk Orders/LargeSmithBOD.cs=CurrentFile; Data/Scripts/Trades/Bulk Orders/LargeTailorBOD.cs=CurrentFile; Data/Scripts/Trades/Bulk Orders/Rewards.cs=CurrentFile; Data/Scripts/Trades/Bulk Orders/Books/BulkOrderBook.cs=CurrentFile; Data/Scripts/Mobiles/Base/BaseVendor.cs=CurrentFile; HookExamples=Data/Scripts/Mobiles/Base/BaseVendor.cs:L172 Gump SendGump access=Internal; Data/Scripts/Mobiles/Base/BaseVendor.cs:L176 Gump SendGump access=Internal; Data/Scripts/Mobiles/Base/BaseVendor.cs:L3124 Gump SendGump access=Internal; Data/Scripts/Mobiles/Base/BaseVendor.cs:L3126 Gump SendGump access=Internal; Data/Scripts/Mobiles/Base/BaseVendor.cs:L3363 Gump SendGump access=Internal; Data/Scripts/Trades/Bulk Orders/Books/BulkOrderBook.cs:L76 Gump SendGump access=Internal; Data/Scripts/Trades/Bulk Orders/Books/BulkOrderBook.cs:L91 Gump SendGump access=Internal; Data/Scripts/Trades/Bulk Orders/Books/BulkOrderBook.cs:L100 Gump SendGump access=Internal; Data/Scripts/Trades/Bulk Orders/Books/BulkOrderBook.cs:L104 Gump SendGump access=Internal; Data/Scripts/Trades/Bulk Orders/Books/BulkOrderBook.cs:L141 Gump SendGump access=Internal; Data/Scripts/Trades/Bulk Orders/Books/BulkOrderBook.cs:L329 Gump OnResponse access=Internal; Data/Scripts/Trades/Bulk Orders/LargeBOD.cs:L176 Gump SendGump access=Internal; SerializerExamples=Data/Scripts/Mobiles/Base/BaseVendor.cs:Server.Mobiles.BaseVendor version=1 serialize=L3144 deserialize=L3183 alignment=CountMismatch:Writes=3;Reads=2; Data/Scripts/Trades/Bulk Orders/Books/BulkOrderBook.cs:Server.Engines.BulkOrders.BulkOrderBook version=2 serialize=L193 deserialize=L230 alignment=CountMismatch:Writes=7;Reads=5; Data/Scripts/Trades/Bulk Orders/LargeBOD.cs:Server.Engines.BulkOrders.LargeBOD version=0 serialize=L303 deserialize=L319 alignment=CountMatchNeedsTypeReview:UnknownWrites=2; Data/Scripts/Trades/Bulk Orders/LargeSmithBOD.cs:Server.Engines.BulkOrders.LargeSmithBOD version=0 serialize=L151 deserialize=L158 alignment=AlignedByCountAndKnownTypes; Data/Scripts/Trades/Bulk Orders/LargeTailorBOD.cs:Server.Engines.BulkOrders.LargeTailorBOD version=0 serialize=L160 deserialize=L167 alignment=AlignedByCountAndKnownTypes; Data/Scripts/Trades/Bulk Orders/SmallBOD.cs:Server.Engines.BulkOrders.SmallBOD version=0 serialize=L329 deserialize=L344 alignment=CountMatchNeedsTypeReview:UnknownWrites=6; Data/Scripts/Trades/Bulk Orders/SmallSmithBOD.cs:Server.Engines.BulkOrders.SmallSmithBOD version=0 serialize=L290 deserialize=L297 alignment=AlignedByCountAndKnownTypes; Data/Scripts/Trades/Bulk Orders/SmallTailorBOD.cs:Server.Engines.BulkOrders.SmallTailorBOD version=0 serialize=L277 deserialize=L284 alignment=AlignedByCountAndKnownTypes; ProjectTruth=Data/Scripts/Mobiles/Base/BaseVendor.cs=Keep; Data/Scripts/Mobiles/Base/BaseVendor.cs=Keep; Data/Scripts/Trades/Bulk Orders/Books/BulkOrderBook.cs=Keep; Data/Scripts/Trades/Bulk Orders/Books/BulkOrderBook.cs=Keep; Data/Scripts/Trades/Bulk Orders/LargeBOD.cs=Keep; Data/Scripts/Trades/Bulk Orders/LargeBOD.cs=Keep; Data/Scripts/Trades/Bulk Orders/LargeSmithBOD.cs=Keep; Data/Scripts/Trades/Bulk Orders/LargeSmithBOD.cs=Keep; Data/Scripts/Trades/Bulk Orders/LargeTailorBOD.cs=Keep; Data/Scripts/Trades/Bulk Orders/LargeTailorBOD.cs=Keep; Data/Scripts/Trades/Bulk Orders/Rewards.cs=Keep; Data/Scripts/Trades/Bulk Orders/Rewards.cs=Keep; Data/Scripts/Trades/Bulk Orders/SmallBOD.cs=Keep; Data/Scripts/Trades/Bulk Orders/SmallBOD.cs=Keep; Data/Scripts/Trades/Bulk Orders/SmallSmithBOD.cs=Keep; Data/Scripts/Trades/Bulk Orders/SmallSmithBOD.cs=Keep; Data/Scripts/Trades/Bulk Orders/SmallTailorBOD.cs=Keep; Data/Scripts/Trades/Bulk Orders/SmallTailorBOD.cs=Keep</t>
  </si>
  <si>
    <t>POST-BATCH-T docs source-trace review. Previous active row was PBN-0007/PBF-409. No source/project/XML/config/data behavior changed.</t>
  </si>
  <si>
    <t>RB-06671</t>
  </si>
  <si>
    <t>P10-F06671</t>
  </si>
  <si>
    <t>docs/wiki/Bushido.md</t>
  </si>
  <si>
    <t>PBT-0081</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</si>
  <si>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SourceFiles=Data/Scripts/Magic/Bushido/; PathStatus=Data/Scripts/Magic/Bushido/=CurrentDirectory; HookExamples=Data/Scripts/Magic/Bushido/Confidence.cs:L88 Timer CustomTimerSubclass access=GlobalOrInternal; Data/Scripts/Magic/Bushido/Confidence.cs:L137 Timer CustomTimerSubclass access=GlobalOrInternal; Data/Scripts/Magic/Bushido/CounterAttack.cs:L103 Timer CustomTimerSubclass access=GlobalOrInternal; Data/Scripts/Magic/Bushido/Evasion.cs:L139 Timer Timer.DelayCall access=GlobalOrInternal; Data/Scripts/Magic/Bushido/Evasion.cs:L241 Timer CustomTimerSubclass access=GlobalOrInternal; Data/Scripts/Magic/Bushido/HonorableExecution.cs:L64 Timer Timer.DelayCall access=GlobalOrInternal; Data/Scripts/Magic/Bushido/HonorableExecution.cs:L88 Timer Timer.DelayCall access=GlobalOrInternal; SerializerExamples=Data/Scripts/Magic/Bushido/BookOfBushido.cs:Server.Items.BookOfBushido version=1 serialize=L36 deserialize=L43 alignment=AlignedByCountAndKnownTypes; ProjectTruth=Data/Scripts/Magic/Bushido/BookOfBushido.cs=Keep; Data/Scripts/Magic/Bushido/BookOfBushido.cs=Keep; Data/Scripts/Magic/Bushido/Confidence.cs=Keep; Data/Scripts/Magic/Bushido/Confidence.cs=Keep; Data/Scripts/Magic/Bushido/CounterAttack.cs=Keep; Data/Scripts/Magic/Bushido/CounterAttack.cs=Keep; Data/Scripts/Magic/Bushido/Evasion.cs=Keep; Data/Scripts/Magic/Bushido/Evasion.cs=Keep; Data/Scripts/Magic/Bushido/HonorableExecution.cs=Keep; Data/Scripts/Magic/Bushido/HonorableExecution.cs=Keep; Data/Scripts/Magic/Bushido/LightningStrike.cs=Keep; Data/Scripts/Magic/Bushido/LightningStrike.cs=Keep; Data/Scripts/Magic/Bushido/MomentumStrike.cs=Keep; Data/Scripts/Magic/Bushido/MomentumStrike.cs=Keep; Data/Scripts/Magic/Bushido/SamuraiMove.cs=Keep; Data/Scripts/Magic/Bushido/SamuraiMove.cs=Keep; Data/Scripts/Magic/Bushido/SamuraiSpell.cs=Keep; Data/Scripts/Magic/Bushido/SamuraiSpell.cs=Keep</t>
  </si>
  <si>
    <t>POST-BATCH-T docs source-trace review. Previous active row was PBN-0081/PBF-410. No source/project/XML/config/data behavior changed.</t>
  </si>
  <si>
    <t>RB-06672</t>
  </si>
  <si>
    <t>P10-F06672</t>
  </si>
  <si>
    <t>docs/wiki/Champion_Spawns.md</t>
  </si>
  <si>
    <t>PBT-0009</t>
  </si>
  <si>
    <t>Queue SourceEvidence=POST-BATCH-N lane=POST-BATCH-N-DOCS-SOURCE-TRACE; FileProofStatus=CurrentPathConfirmed; Documentation truth after POST-BATCH-F: SourceTracePresent=No; MissingClaims=Missing Source Trace section.; No existing source files were extracted from the page.; StaleClaims=Contains Needs Rework/TODO/stub markers that require source-backed follow-up.; Canonical=Canonical; Target=; SourceFiles=Data/Scripts/Custom/Champions/System/CannedEvil/ChampionSpawn.cs; Data/Scripts/Custom/Champions/System/CannedEvil/ChampionSpawnInfo.cs; Data/Scripts/Custom/Champions/System/CannedEvil/SliceTimer.cs; Data/Scripts/Custom/Champions/System/CannedEvil/RestartTimer.cs; Data/Scripts/Custom/Champions/System/CannedEvil/ChampionAltar.cs; Data/Scripts/Custom/Champions/System/CannedEvil/ChampionPlatform.cs; Data/Scripts/Custom/Champions/System/CannedEvil/IdolOfTheChampion.cs; Data/Scripts/Custom/Champions/System/CannedEvil/ChampionSpawnRegion.cs; PathStatus=Data/Scripts/Custom/Champions/System/CannedEvil/ChampionSpawn.cs=CurrentFile; Data/Scripts/Custom/Champions/System/CannedEvil/ChampionSpawnInfo.cs=CurrentFile; Data/Scripts/Custom/Champions/System/CannedEvil/SliceTimer.cs=CurrentFile; Data/Scripts/Custom/Champions/System/CannedEvil/RestartTimer.cs=CurrentFile; Data/Scripts/Custom/Champions/System/CannedEvil/ChampionAltar.cs=CurrentFile; Data/Scripts/Custom/Champions/System/CannedEvil/ChampionPlatform.cs=CurrentFile; Data/Scripts/Custom/Champions/System/CannedEvil/IdolOfTheChampion.cs=CurrentFile; Data/Scripts/Custom/Champions/System/CannedEvil/ChampionSpawnRegion.cs=CurrentFile; HookExamples=Data/Scripts/Custom/Champions/System/CannedEvil/ChampionSpawn.cs:L938 Gump SendGump access=Internal; Data/Scripts/Custom/Champions/System/CannedEvil/ChampionSpawn.cs:L1284 Timer Timer.DelayCall access=GlobalOrInternal; Data/Scripts/Custom/Champions/System/CannedEvil/RestartTimer.cs:L7 Timer CustomTimerSubclass access=GlobalOrInternal; Data/Scripts/Custom/Champions/System/CannedEvil/SliceTimer.cs:L7 Timer CustomTimerSubclass access=GlobalOrInternal; SerializerExamples=Data/Scripts/Custom/Champions/System/CannedEvil/ChampionAltar.cs:Server.Engines.CannedEvil.ChampionAltar version=0 serialize=L27 deserialize=L36 alignment=CountMatchNeedsTypeReview:UnknownWrites=1; Data/Scripts/Custom/Champions/System/CannedEvil/ChampionPlatform.cs:Server.Engines.CannedEvil.ChampionPlatform version=0 serialize=L58 deserialize=L67 alignment=CountMatchNeedsTypeReview:UnknownWrites=1; Data/Scripts/Custom/Champions/System/CannedEvil/ChampionSpawn.cs:Server.Engines.CannedEvil.ChampionSpawn version=5 serialize=L1144 deserialize=L1185 alignment=CountMismatch:Writes=19;Reads=20; Data/Scripts/Custom/Champions/System/CannedEvil/IdolOfTheChampion.cs:Server.Engines.CannedEvil.IdolOfTheChampion version=0 serialize=L39 deserialize=L48 alignment=CountMatchNeedsTypeReview:UnknownWrites=1; ProjectTruth=Data/Scripts/Custom/Champions/System/CannedEvil/ChampionAltar.cs=Keep; Data/Scripts/Custom/Champions/System/CannedEvil/ChampionAltar.cs=Keep; Data/Scripts/Custom/Champions/System/CannedEvil/ChampionPlatform.cs=Keep; Data/Scripts/Custom/Champions/System/CannedEvil/ChampionPlatform.cs=Keep; Data/Scripts/Custom/Champions/System/CannedEvil/ChampionSpawn.cs=Keep; Data/Scripts/Custom/Champions/System/CannedEvil/ChampionSpawn.cs=Keep; Data/Scripts/Custom/Champions/System/CannedEvil/ChampionSpawnInfo.cs=Keep; Data/Scripts/Custom/Champions/System/CannedEvil/ChampionSpawnInfo.cs=Keep; Data/Scripts/Custom/Champions/System/CannedEvil/ChampionSpawnRegion.cs=Keep; Data/Scripts/Custom/Champions/System/CannedEvil/ChampionSpawnRegion.cs=Keep; Data/Scripts/Custom/Champions/System/CannedEvil/IdolOfTheChampion.cs=Keep; Data/Scripts/Custom/Champions/System/CannedEvil/IdolOfTheChampion.cs=Keep; Data/Scripts/Custom/Champions/System/CannedEvil/RestartTimer.cs=Keep; Data/Scripts/Custom/Champions/System/CannedEvil/RestartTimer.cs=Keep; Data/Scripts/Custom/Champions/System/CannedEvil/SliceTimer.cs=Keep; Data/Scripts/Custom/Champions/System/CannedEvil/SliceTimer.cs=Keep</t>
  </si>
  <si>
    <t>POST-BATCH-T docs source-trace review. Previous active row was PBN-0009/PBF-411. No source/project/XML/config/data behavior changed.</t>
  </si>
  <si>
    <t>RB-06673</t>
  </si>
  <si>
    <t>P10-F06673</t>
  </si>
  <si>
    <t>docs/wiki/Change_Season_Command.md</t>
  </si>
  <si>
    <t>PBT-0082</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</si>
  <si>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SourceFiles=Data/Scripts/Custom/ChangeSeason/ChangeSeason.cs; Data/System/Source/Network/Packets.cs; PathStatus=Data/Scripts/Custom/ChangeSeason/ChangeSeason.cs=CurrentFile; Data/System/Source/Network/Packets.cs=CurrentFile; HookExamples=Data/Scripts/Custom/ChangeSeason/ChangeSeason.cs:L10 Initialize Initialize access=GlobalOrInternal; Data/Scripts/Custom/ChangeSeason/ChangeSeason.cs:L12 Command CommandSystem.Register access=Unknown; SerializerExamples=; ProjectTruth=Data/Scripts/Custom/ChangeSeason/ChangeSeason.cs=Keep; Data/Scripts/Custom/ChangeSeason/ChangeSeason.cs=Keep</t>
  </si>
  <si>
    <t>POST-BATCH-T docs source-trace review. Previous active row was PBN-0082/PBF-412. No source/project/XML/config/data behavior changed.</t>
  </si>
  <si>
    <t>RB-06674</t>
  </si>
  <si>
    <t>P10-F06674</t>
  </si>
  <si>
    <t>Character Level</t>
  </si>
  <si>
    <t>docs/wiki/Character_Level_Recon_Report.md</t>
  </si>
  <si>
    <t>PBT-0010</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</si>
  <si>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SourceFiles=Data/Scripts/Custom/Progression/CharacterLevel/CharacterLevelService.cs; Data/Scripts/Custom/Progression/CharacterLevel/CharacterLevelCommands.cs; Data/Scripts/Custom/PvE/RandomEncounters/Helpers.cs; Data/Scripts/System/Misc/Players.cs; PathStatus=Data/Scripts/Custom/Progression/CharacterLevel/CharacterLevelService.cs=CurrentFile; Data/Scripts/Custom/Progression/CharacterLevel/CharacterLevelCommands.cs=CurrentFile; Data/Scripts/Custom/PvE/RandomEncounters/Helpers.cs=CurrentFile; Data/Scripts/System/Misc/Players.cs=CurrentFile; HookExamples=Data/Scripts/Custom/Progression/CharacterLevel/CharacterLevelCommands.cs:L12 Initialize Initialize access=GlobalOrInternal; Data/Scripts/Custom/Progression/CharacterLevel/CharacterLevelCommands.cs:L14 Command CommandSystem.Register access=Unknown; Data/Scripts/Custom/Progression/CharacterLevel/CharacterLevelCommands.cs:L20 Command CommandSystem.Register access=Unknown; Data/Scripts/Custom/PvE/RandomEncounters/Helpers.cs:L30 Initialize Initialize access=GlobalOrInternal; Data/Scripts/System/Misc/Players.cs:L1474 Initialize Initialize access=GlobalOrInternal; Data/Scripts/System/Misc/Players.cs:L1476 Command CommandSystem.Register access=Unknown; Data/Scripts/System/Misc/Players.cs:L1485 Command CommandSystem.Register access=Unknown; Data/Scripts/System/Misc/Players.cs:L1494 Gump SendGump access=Internal; Data/Scripts/System/Misc/Players.cs:L1856 Gump OnResponse access=Internal; Data/Scripts/System/Misc/Players.cs:L1862 Gump SendGump access=Internal; Data/Scripts/System/Misc/Players.cs:L1863 Gump SendGump access=Internal; Data/Scripts/System/Misc/Players.cs:L1885 Initialize Initialize access=GlobalOrInternal; SerializerExamples=; ProjectTruth=Data/Scripts/Custom/Progression/CharacterLevel/CharacterLevelCommands.cs=Keep; Data/Scripts/Custom/Progression/CharacterLevel/CharacterLevelCommands.cs=Keep; Data/Scripts/Custom/Progression/CharacterLevel/CharacterLevelService.cs=Keep; Data/Scripts/Custom/Progression/CharacterLevel/CharacterLevelService.cs=Keep; Data/Scripts/Custom/PvE/RandomEncounters/Helpers.cs=Keep; Data/Scripts/Custom/PvE/RandomEncounters/Helpers.cs=Keep; Data/Scripts/System/Misc/Players.cs=Keep; Data/Scripts/System/Misc/Players.cs=Keep</t>
  </si>
  <si>
    <t>POST-BATCH-T docs source-trace review. Previous active row was PBN-0010/PBF-413. No source/project/XML/config/data behavior changed.</t>
  </si>
  <si>
    <t>RB-06675</t>
  </si>
  <si>
    <t>P10-F06675</t>
  </si>
  <si>
    <t>docs/wiki/Character_Swap.md</t>
  </si>
  <si>
    <t>PBT-0083</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</si>
  <si>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SourceFiles=Data/Scripts/Custom/Character Swap/CharacterSwap.cs; PathStatus=Data/Scripts/Custom/Character Swap/CharacterSwap.cs=CurrentFile; HookExamples=Data/Scripts/Custom/Character Swap/CharacterSwap.cs:L12 Initialize Initialize access=GlobalOrInternal; Data/Scripts/Custom/Character Swap/CharacterSwap.cs:L14 Command CommandSystem.Register access=Unknown; Data/Scripts/Custom/Character Swap/CharacterSwap.cs:L27 Gump SendGump access=Internal; Data/Scripts/Custom/Character Swap/CharacterSwap.cs:L194 Gump OnResponse access=Internal; Data/Scripts/Custom/Character Swap/CharacterSwap.cs:L216 Gump SendGump access=Internal; Data/Scripts/Custom/Character Swap/CharacterSwap.cs:L251 Gump SendGump access=Internal; Data/Scripts/Custom/Character Swap/CharacterSwap.cs:L329 Gump SendGump access=Internal; Data/Scripts/Custom/Character Swap/CharacterSwap.cs:L363 Gump SendGump access=Internal; Data/Scripts/Custom/Character Swap/CharacterSwap.cs:L435 Gump SendGump access=Internal; Data/Scripts/Custom/Character Swap/CharacterSwap.cs:L500 Gump SendGump access=Internal; SerializerExamples=; ProjectTruth=Data/Scripts/Custom/Character Swap/CharacterSwap.cs=Keep; Data/Scripts/Custom/Character Swap/CharacterSwap.cs=Keep</t>
  </si>
  <si>
    <t>POST-BATCH-T docs source-trace review. Previous active row was PBN-0083/PBF-414. No source/project/XML/config/data behavior changed.</t>
  </si>
  <si>
    <t>RB-06676</t>
  </si>
  <si>
    <t>P10-F06676</t>
  </si>
  <si>
    <t>docs/wiki/Chat_System.md</t>
  </si>
  <si>
    <t>PBT-0084</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</si>
  <si>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SourceFiles=Data/Scripts/System/Chat; PathStatus=Data/Scripts/System/Chat=CurrentDirectory; HookExamples=Data/Scripts/System/Chat/Channels/Channel.cs:L464 Timer Timer.DelayCall access=GlobalOrInternal; Data/Scripts/System/Chat/Commands/All.cs:L9 Initialize Initialize access=GlobalOrInternal; Data/Scripts/System/Chat/Commands/Friends.cs:L8 Initialize Initialize access=GlobalOrInternal; Data/Scripts/System/Chat/Commands/HelpContents.cs:L9 Initialize Initialize access=GlobalOrInternal; Data/Scripts/System/Chat/Commands/Mail.cs:L8 Initialize Initialize access=GlobalOrInternal; Data/Scripts/System/Chat/Commands/Pm.cs:L10 Initialize Initialize access=GlobalOrInternal; Data/Scripts/System/Chat/Commands/ViewAll.cs:L8 Initialize Initialize access=GlobalOrInternal; Data/Scripts/System/Chat/General/Avatar.cs:L20 Initialize Initialize access=GlobalOrInternal; Data/Scripts/System/Chat/General/Chat3Guild.cs:L10 Initialize Initialize access=GlobalOrInternal; Data/Scripts/System/Chat/General/Chat3Guild.cs:L12 Timer Timer.DelayCall access=GlobalOrInternal; Data/Scripts/System/Chat/General/Chat3Guild.cs:L17 Packet PacketHandlers.Register access=GlobalOrInternal; Data/Scripts/System/Chat/General/Chat3Guild.cs:L18 Packet PacketHandlers.Register access=GlobalOrInternal; SerializerExamples=Data/Scripts/System/Chat/Channels/Channel.cs:Unknown version=Unknown serialize=L deserialize=L alignment=AlignedByCountAndKnownTypes; Data/Scripts/System/Chat/General/Data.cs:Unknown version=Unknown serialize=L deserialize=L alignment=AlignedByCountAndKnownTypes; Data/Scripts/System/Chat/General/IrcConnection.cs:Unknown version=Unknown serialize=L deserialize=L alignment=AlignedByCountAndKnownTypes; Data/Scripts/System/Chat/General/Message.cs:Unknown version=Unknown serialize=L deserialize=L alignment=AlignedByCountAndKnownTypes; Data/Scripts/System/Chat/General/Notification.cs:Unknown version=Unknown serialize=L deserialize=L alignment=AlignedByCountAndKnownTypes; Data/Scripts/System/Chat/Gumps/Gumps Plus/GumpInfo.cs:Unknown version=Unknown serialize=L deserialize=L alignment=AlignedByCountAndKnownTypes; ProjectTruth=Data/Scripts/System/Chat/Channels/Alliance.cs=Keep; Data/Scripts/System/Chat/Channels/Alliance.cs=Keep; Data/Scripts/System/Chat/Channels/Channel.cs=Keep; Data/Scripts/System/Chat/Channels/Channel.cs=Keep; Data/Scripts/System/Chat/Channels/Faction.cs=Keep; Data/Scripts/System/Chat/Channels/Faction.cs=Keep; Data/Scripts/System/Chat/Channels/Guild.cs=Keep; Data/Scripts/System/Chat/Channels/Guild.cs=Keep; Data/Scripts/System/Chat/Channels/Irc.cs=Keep; Data/Scripts/System/Chat/Channels/Irc.cs=Keep; Data/Scripts/System/Chat/Channels/Multi.cs=Keep; Data/Scripts/System/Chat/Channels/Multi.cs=Keep; Data/Scripts/System/Chat/Channels/Public.cs=Keep; Data/Scripts/System/Chat/Channels/Public.cs=Keep; Data/Scripts/System/Chat/Channels/Staff.cs=Keep; Data/Scripts/System/Chat/Channels/Staff.cs=Keep; Data/Scripts/System/Chat/Commands/All.cs=Keep; Data/Scripts/System/Chat/Commands/All.cs=Keep; Data/Scripts/System/Chat/Commands/Friends.cs=Keep; Data/Scripts/System/Chat/Commands/Friends.cs=Keep</t>
  </si>
  <si>
    <t>POST-BATCH-T docs source-trace review. Previous active row was PBN-0084/PBF-415. No source/project/XML/config/data behavior changed.</t>
  </si>
  <si>
    <t>RB-06677</t>
  </si>
  <si>
    <t>P10-F06677</t>
  </si>
  <si>
    <t>docs/wiki/Clear_Deck_Command.md</t>
  </si>
  <si>
    <t>PBT-0085</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</si>
  <si>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SourceFiles=Data/Scripts/Custom/ClearDeckCommand/ClearDeckCommand.cs; Data/Scripts/Items/Boats/BaseBoat.cs; PathStatus=Data/Scripts/Custom/ClearDeckCommand/ClearDeckCommand.cs=CurrentFile; Data/Scripts/Items/Boats/BaseBoat.cs=CurrentFile; HookExamples=Data/Scripts/Custom/ClearDeckCommand/ClearDeckCommand.cs:L13 Initialize Initialize access=GlobalOrInternal; Data/Scripts/Custom/ClearDeckCommand/ClearDeckCommand.cs:L15 Command CommandSystem.Register access=Unknown; Data/Scripts/Items/Boats/BaseBoat.cs:L1447 Timer CustomTimerSubclass access=GlobalOrInternal; Data/Scripts/Items/Boats/BaseBoat.cs:L1732 Gump SendGump access=Internal; Data/Scripts/Items/Boats/BaseBoat.cs:L2058 Speech OnSpeech access=GlobalOrInternal; Data/Scripts/Items/Boats/BaseBoat.cs:L2270 Timer CustomTimerSubclass access=GlobalOrInternal; Data/Scripts/Items/Boats/BaseBoat.cs:L2882 Timer CustomTimerSubclass access=GlobalOrInternal; Data/Scripts/Items/Boats/BaseBoat.cs:L2906 Initialize Initialize access=GlobalOrInternal; Data/Scripts/Items/Boats/BaseBoat.cs:L2909 Event EventSink access=GlobalOrInternal; Data/Scripts/Items/Boats/BaseBoat.cs:L2909 WorldSave WorldSave access=GlobalOrInternal; Data/Scripts/Items/Boats/BaseBoat.cs:L2917 Timer CustomTimerSubclass access=GlobalOrInternal; SerializerExamples=Data/Scripts/Items/Boats/BaseBoat.cs:Server.Multis.BaseBoat version=3 serialize=L663 deserialize=L688 alignment=CountMatchNeedsTypeReview:UnknownWrites=8; ProjectTruth=Data/Scripts/Custom/ClearDeckCommand/ClearDeckCommand.cs=Keep; Data/Scripts/Custom/ClearDeckCommand/ClearDeckCommand.cs=Keep; Data/Scripts/Items/Boats/BaseBoat.cs=Keep; Data/Scripts/Items/Boats/BaseBoat.cs=Keep</t>
  </si>
  <si>
    <t>POST-BATCH-T docs source-trace review. Previous active row was PBN-0085/PBF-416. No source/project/XML/config/data behavior changed.</t>
  </si>
  <si>
    <t>RB-06678</t>
  </si>
  <si>
    <t>P10-F06678</t>
  </si>
  <si>
    <t>docs/wiki/Clone_Offline_Player_Characters.md</t>
  </si>
  <si>
    <t>PBT-0013</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</si>
  <si>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SourceFiles=Data/Scripts/Custom/PvE/CloneOfflinePlayerCharacters/CloneOfflinePlayerCharacters.cs; Data/Scripts/Custom/PvE/CloneOfflinePlayerCharacters/CharacterClone.cs; Data/Scripts/Custom/PvE/CloneOfflinePlayerCharacters/CloneThings.cs; Data/Scripts/Custom/PvE/CloneOfflinePlayerCharacters/BackpackClone.cs; Data/Scripts/Custom/PvE/CloneOfflinePlayerCharacters/MountClone.cs; Data/Scripts/Custom/PvE/CloneOfflinePlayerCharacters/EtherealMountClone.cs; Data/Scripts/Custom/PvE/CloneOfflinePlayerCharacters/CheckClonesCommand.cs; Data/Scripts/Scripts.csproj; Data/Scripts/System/Skills/Stealing.cs; Data/Scripts/System/Misc/Logs.cs; Data/Scripts/Mobiles/Base/Behavior.cs; Data/Scripts/Custom/NPC Control/CloneCommands.cs; Data/Scripts/Custom/NPC Control/StaffCommands/CloneMe.cs; PathStatus=Data/Scripts/Custom/PvE/CloneOfflinePlayerCharacters/CloneOfflinePlayerCharacters.cs=CurrentFile; Data/Scripts/Custom/PvE/CloneOfflinePlayerCharacters/CharacterClone.cs=CurrentFile; Data/Scripts/Custom/PvE/CloneOfflinePlayerCharacters/CloneThings.cs=CurrentFile; Data/Scripts/Custom/PvE/CloneOfflinePlayerCharacters/BackpackClone.cs=CurrentFile; Data/Scripts/Custom/PvE/CloneOfflinePlayerCharacters/MountClone.cs=CurrentFile; Data/Scripts/Custom/PvE/CloneOfflinePlayerCharacters/EtherealMountClone.cs=CurrentFile; Data/Scripts/Custom/PvE/CloneOfflinePlayerCharacters/CheckClonesCommand.cs=CurrentFile; Data/Scripts/Scripts.csproj=CurrentFile; Data/Scripts/System/Skills/Stealing.cs=CurrentFile; Data/Scripts/System/Misc/Logs.cs=CurrentFile; Data/Scripts/Mobiles/Base/Behavior.cs=CurrentFile; Data/Scripts/Custom/NPC Control/CloneCommands.cs=CurrentFile; Data/Scripts/Custom/NPC Control/StaffCommands/CloneMe.cs=CurrentFile; HookExamples=Data/Scripts/Custom/NPC Control/CloneCommands.cs:L19 Initialize Initialize access=GlobalOrInternal; Data/Scripts/Custom/NPC Control/CloneCommands.cs:L21 Command CommandSystem.Register access=Unknown; Data/Scripts/Custom/NPC Control/CloneCommands.cs:L22 Command CommandSystem.Register access=Unknown; Data/Scripts/Custom/NPC Control/StaffCommands/CloneMe.cs:L15 Initialize Initialize access=GlobalOrInternal; Data/Scripts/Custom/NPC Control/StaffCommands/CloneMe.cs:L17 Command CommandSystem.Register access=Unknown; Data/Scripts/Custom/PvE/CloneOfflinePlayerCharacters/CharacterClone.cs:L500 Timer CustomTimerSubclass access=GlobalOrInternal; Data/Scripts/Custom/PvE/CloneOfflinePlayerCharacters/CheckClonesCommand.cs:L17 Initialize Initialize access=GlobalOrInternal; Data/Scripts/Custom/PvE/CloneOfflinePlayerCharacters/CheckClonesCommand.cs:L19 Command CommandSystem.Register access=Unknown; Data/Scripts/Custom/PvE/CloneOfflinePlayerCharacters/CloneOfflinePlayerCharacters.cs:L19 Initialize Initialize access=GlobalOrInternal; Data/Scripts/Custom/PvE/CloneOfflinePlayerCharacters/CloneOfflinePlayerCharacters.cs:L21 Event EventSink access=GlobalOrInternal; Data/Scripts/Custom/PvE/CloneOfflinePlayerCharacters/CloneOfflinePlayerCharacters.cs:L22 Event EventSink access=GlobalOrInternal; Data/Scripts/Custom/PvE/CloneOfflinePlayerCharacters/CloneOfflinePlayerCharacters.cs:L200 Logout OnLogout access=Internal; SerializerExamples=Data/Scripts/Custom/NPC Control/CloneCommands.cs:Server.Commands.CloneItem version=0 serialize=L1179 deserialize=L1189 alignment=AlignedByCountAndKnownTypes; Data/Scripts/Custom/NPC Control/CloneCommands.cs:Server.Commands.ControlItem version=4 serialize=L1413 deserialize=L1443 alignment=CountMatchNeedsTypeReview:UnknownWrites=6; Data/Scripts/Custom/PvE/CloneOfflinePlayerCharacters/BackpackClone.cs:Server.Custom.Confictura.CloneOfflinePlayerCharacters.BackpackClone version=0 serialize=L46 deserialize=L52 alignment=CountMismatch:Writes=0;Reads=1; Data/Scripts/Custom/PvE/CloneOfflinePlayerCharacters/CharacterClone.cs:Server.Custom.Confictura.CloneOfflinePlayerCharacters.CharacterClone version=0 serialize=L272 deserialize=L279 alignment=CountMismatch:Writes=1;Reads=2; Data/Scripts/Custom/PvE/CloneOfflinePlayerCharacters/EtherealMountClone.cs:Server.Custom.Confictura.CloneOfflinePlayerCharacters.EtherealMountClone version=0 serialize=L36 deserialize=L42 alignment=CountMismatch:Writes=0;Reads=1; Data/Scripts/Custom/PvE/CloneOfflinePlayerCharacters/MountClone.cs:Server.Custom.Confictura.CloneOfflinePlayerCharacters.MountClone version=0 serialize=L45 deserialize=L51 alignment=CountMismatch:Writes=0;Reads=1; Data/Scripts/Mobiles/Base/Behavior.cs:Server.HeldLight version=0 serialize=L1138 deserialize=L1144 alignment=AlignedByCountAndKnownTypes; Data/Scripts/Mobiles/Base/Behavior.cs:Server.TransferItem version=0 serialize=L11753 deserialize=L11760 alignment=AlignedByCountAndKnownTypes; Data/Scripts/System/Misc/Logs.cs:Unknown version=Unknown serialize=L deserialize=L alignment=AlignedByCountAndKnownTypes; ProjectTruth=Data/Scripts/Custom/NPC Control/CloneCommands.cs=Keep; Data/Scripts/Custom/NPC Control/CloneCommands.cs=Keep; Data/Scripts/Custom/NPC Control/StaffCommands/CloneMe.cs=Keep; Data/Scripts/Custom/NPC Control/StaffCommands/CloneMe.cs=Keep; Data/Scripts/Custom/PvE/CloneOfflinePlayerCharacters/BackpackClone.cs=Keep; Data/Scripts/Custom/PvE/CloneOfflinePlayerCharacters/BackpackClone.cs=Keep; Data/Scripts/Custom/PvE/CloneOfflinePlayerCharacters/CharacterClone.cs=Keep; Data/Scripts/Custom/PvE/CloneOfflinePlayerCharacters/CharacterClone.cs=Keep; Data/Scripts/Custom/PvE/CloneOfflinePlayerCharacters/CheckClonesCommand.cs=Keep; Data/Scripts/Custom/PvE/CloneOfflinePlayerCharacters/CheckClonesCommand.cs=Keep; Data/Scripts/Custom/PvE/CloneOfflinePlayerCharacters/CloneOfflinePlayerCharacters.cs=Keep; Data/Scripts/Custom/PvE/CloneOfflinePlayerCharacters/CloneOfflinePlayerCharacters.cs=Keep; Data/Scripts/Custom/PvE/CloneOfflinePlayerCharacters/CloneThings.cs=Keep; Data/Scripts/Custom/PvE/CloneOfflinePlayerCharacters/CloneThings.cs=Keep; Data/Scripts/Custom/PvE/CloneOfflinePlayerCharacters/EtherealMountClone.cs=Keep; Data/Scripts/Custom/PvE/CloneOfflinePlayerCharacters/EtherealMountClone.cs=Keep; Data/Scripts/Custom/PvE/CloneOfflinePlayerCharacters/MountClone.cs=Keep; Data/Scripts/Custom/PvE/CloneOfflinePlayerCharacters/MountClone.cs=Keep; Data/Scripts/Mobiles/Base/Behavior.cs=Keep; Data/Scripts/Mobiles/Base/Behavior.cs=Keep</t>
  </si>
  <si>
    <t>POST-BATCH-T docs source-trace review. Previous active row was PBN-0013/PBF-417. No source/project/XML/config/data behavior changed.</t>
  </si>
  <si>
    <t>RB-06679</t>
  </si>
  <si>
    <t>P10-F06679</t>
  </si>
  <si>
    <t>docs/wiki/Command_Utilities.md</t>
  </si>
  <si>
    <t>PBT-0086</t>
  </si>
  <si>
    <t>Queue SourceEvidence=POST-BATCH-N lane=POST-BATCH-N-DOCS-SOURCE-TRACE; FileProofStatus=CurrentPathConfirmed; Documentation truth after POST-BATCH-F: SourceTracePresent=No; MissingClaims=Missing Source Trace section.; StaleClaims=; Canonical=Canonical; Target=; SourceFiles=Data/Scripts/System/Commands; Data/System/Source/Commands.cs; PathStatus=Data/Scripts/System/Commands=CurrentDirectory; Data/System/Source/Commands.cs=CurrentFile; HookExamples=Data/Scripts/System/Commands/Add.cs:L15 Initialize Initialize access=GlobalOrInternal; Data/Scripts/System/Commands/Add.cs:L17 Command CommandSystem.Register access=Unknown; Data/Scripts/System/Commands/Add.cs:L22 Command CommandSystem.Register access=Unknown; Data/Scripts/System/Commands/Add.cs:L27 Command CommandSystem.Register access=Unknown; Data/Scripts/System/Commands/Add.cs:L32 Command CommandSystem.Register access=Unknown; Data/Scripts/System/Commands/AddonGenerator.cs:L166 Initialize Initialize access=GlobalOrInternal; Data/Scripts/System/Commands/AddonGenerator.cs:L168 Command CommandSystem.Register access=Unknown; Data/Scripts/System/Commands/AddonGenerator.cs:L207 Gump SendGump access=Internal; Data/Scripts/System/Commands/AddonGenerator.cs:L434 Gump SendGump access=Internal; Data/Scripts/System/Commands/AddonGenerator.cs:L965 Gump OnResponse access=Internal; Data/Scripts/System/Commands/AddonGenerator.cs:L998 Gump SendGump access=Internal; Data/Scripts/System/Commands/AddToBank.cs:L31 Initialize Initialize access=GlobalOrInternal; SerializerExamples=Data/Scripts/System/Commands/AddonGenerator.cs:Arya.Misc.AddonGenerator version=0 serialize=L150 deserialize=L156 alignment=AlignedByCountAndKnownTypes; Data/Scripts/System/Commands/AddonGenerator.cs:Arya.Misc.CEOIdentifyAddon version=0 serialize=L1088 deserialize=L1094 alignment=AlignedByCountAndKnownTypes; Data/Scripts/System/Commands/MultiMaker.cs:Arya.Misc.MultiIdentifyAddon version=0 serialize=L861 deserialize=L867 alignment=AlignedByCountAndKnownTypes; Data/Scripts/System/Commands/Player/CorpseSearch.cs:Server.Misc.CorpseCritter version=0 serialize=L289 deserialize=L295 alignment=AlignedByCountAndKnownTypes; Data/Scripts/System/Commands/Player/Emote.cs:Server.Commands.Puke version=0 serialize=L746 deserialize=L752 alignment=AlignedByCountAndKnownTypes; Data/Scripts/System/Commands/Player/MoonSearch.cs:Server.Misc.MoonCritter version=0 serialize=L255 deserialize=L261 alignment=AlignedByCountAndKnownTypes; Data/Scripts/System/Commands/Statics.cs:Unknown version=Unknown serialize=L deserialize=L alignment=AlignedByCountAndKnownTypes; Data/Scripts/System/Commands/WandOfColors.cs:Server.Items.WandOfColors version=0 serialize=L84 deserialize=L90 alignment=AlignedByCountAndKnownTypes; ProjectTruth=Data/Scripts/System/Commands/Add.cs=Keep; Data/Scripts/System/Commands/Add.cs=Keep; Data/Scripts/System/Commands/AddonGenerator.cs=Keep; Data/Scripts/System/Commands/AddonGenerator.cs=Keep; Data/Scripts/System/Commands/AddToBank.cs=Keep; Data/Scripts/System/Commands/AddToBank.cs=Keep; Data/Scripts/System/Commands/AddTrap.cs=Keep; Data/Scripts/System/Commands/AddTrap.cs=Keep; Data/Scripts/System/Commands/AreaLog.cs=Keep; Data/Scripts/System/Commands/AreaLog.cs=Keep; Data/Scripts/System/Commands/Attributes.cs=Keep; Data/Scripts/System/Commands/Attributes.cs=Keep; Data/Scripts/System/Commands/Batch.cs=Keep; Data/Scripts/System/Commands/Batch.cs=Keep; Data/Scripts/System/Commands/BodyValues.cs=Keep; Data/Scripts/System/Commands/BodyValues.cs=Keep; Data/Scripts/System/Commands/BoundingBoxPicker.cs=Keep; Data/Scripts/System/Commands/BoundingBoxPicker.cs=Keep; Data/Scripts/System/Commands/Commands/BaseCommand.cs=Keep; Data/Scripts/System/Commands/Commands/BaseCommand.cs=Keep</t>
  </si>
  <si>
    <t>POST-BATCH-T docs source-trace review. Previous active row was PBN-0086/PBF-418. No source/project/XML/config/data behavior changed.</t>
  </si>
  <si>
    <t>RB-06680</t>
  </si>
  <si>
    <t>P10-F06680</t>
  </si>
  <si>
    <t>docs/wiki/Confictura_Introduction.md</t>
  </si>
  <si>
    <t>PBT-0011</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</si>
  <si>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 Data/Scripts/Custom/Progression/CharacterLevel/CharacterLevelService.cs; PathStatus=Data/Scripts/Custom=CurrentDirectory; Data/Scripts/Custom/Progression/CharacterLevel/CharacterLevelService.cs=CurrentFile; HookExamples=Data/Scripts/Custom/AnimalSystem/ShapeShiftStones/DragonShapeChangeStone-body.cs:L73 Speech OnSpeech access=GlobalOrInternal; Data/Scripts/Custom/AnimalSystem/ShapeShiftStones/DragonShapeChangeStone-body.cs:L79 Speech OnSpeech access=GlobalOrInternal; Data/Scripts/Custom/AnimalSystem/ShapeShiftStones/DragonShapeChangeStone-body.cs:L109 Speech OnSpeech access=GlobalOrInternal; Data/Scripts/Custom/AnimalSystem/ShapeShiftStones/DragonShapeChangeStone-body.cs:L196 Gump OnResponse access=Internal; Data/Scripts/Custom/AnimalSystem/ShapeShiftStones/DragonShapeChangeStone-body.cs:L245 Gump SendGump access=Internal; Data/Scripts/Custom/AnimalSystem/ShapeShiftStones/FaeryShapeChangeStone.cs:L61 Speech OnSpeech access=GlobalOrInternal; Data/Scripts/Custom/AnimalSystem/ShapeShiftStones/FaeryShapeChangeStone.cs:L92 Speech OnSpeech access=GlobalOrInternal; Data/Scripts/Custom/AnimalSystem/ShapeShiftStones/FelinusShapeChangeStone.cs:L73 Speech OnSpeech access=GlobalOrInternal; Data/Scripts/Custom/AnimalSystem/ShapeShiftStones/FelinusShapeChangeStone.cs:L104 Speech OnSpeech access=GlobalOrInternal; Data/Scripts/Custom/AnimalSystem/ShapeShiftStones/FelinusShapeChangeStone.cs:L188 Gump OnResponse access=Internal; Data/Scripts/Custom/AnimalSystem/ShapeShiftStones/FelinusShapeChangeStone.cs:L245 Gump SendGump access=Internal; Data/Scripts/Custom/AnimalSystem/ShapeShiftStones/RatShapeChangeStone.cs:L73 Speech OnSpeech access=GlobalOrInternal; SerializerExamples=Data/Scripts/Custom/Access Level Stone [2.0]/AccessLevelStone.cs:Server.Items.AccessLevelStone version=1 serialize=L82 deserialize=L96 alignment=CountMatchNeedsTypeReview:UnknownWrites=2; Data/Scripts/Custom/AnimalSystem/ShapeShiftStones/DragonShapeChangeStone-body.cs:Server.Items.DragonShapeShiftStone version=1 serialize=L134 deserialize=L145 alignment=AlignedByCountAndKnownTypes; Data/Scripts/Custom/AnimalSystem/ShapeShiftStones/FaeryShapeChangeStone.cs:Server.Items.FaerieShapeShiftStone version=0 serialize=L119 deserialize=L129 alignment=AlignedByCountAndKnownTypes; Data/Scripts/Custom/AnimalSystem/ShapeShiftStones/FelinusShapeChangeStone.cs:Server.Items.FelinusShapeShiftStone version=1 serialize=L126 deserialize=L137 alignment=AlignedByCountAndKnownTypes; Data/Scripts/Custom/AnimalSystem/ShapeShiftStones/RatShapeChangeStone.cs:Server.Items.RatShapeShiftStone version=1 serialize=L126 deserialize=L137 alignment=AlignedByCountAndKnownTypes; Data/Scripts/Custom/AnimalSystem/ShapeShiftStones/WolvenShapeChangeStone.cs:Server.Items.WolvenShapeShiftStone version=1 serialize=L126 deserialize=L137 alignment=AlignedByCountAndKnownTypes; Data/Scripts/Custom/Book Publisher [2.0]/PublishedBook.cs:Server.Items.PublishedBook version=0 serialize=L215 deserialize=L193 alignment=CountMismatch:Writes=6;Reads=5; Data/Scripts/Custom/Book Publisher [2.0]/Publisher.cs:Server.Mobiles.Publisher version=0 serialize=L32 deserialize=L39 alignment=AlignedByCountAndKnownTypes; Data/Scripts/Custom/CEO's GM Hiding Stone [2.0]/gmhidingstone.cs:Server.Items.GMHidingStone version=2 serialize=L748 deserialize=L758 alignment=CountMismatch:Writes=4;Reads=6; Data/Scripts/Custom/Champions/Items/PlagueBeastBackpack.cs:Server.Items.PlagueBeastBackpack version=Unknown serialize=L209 deserialize=L216 alignment=AlignedByCountAndKnownTypes; Data/Scripts/Custom/Champions/Items/PlagueBeastBlood.cs:Server.Items.PlagueBeastBlood version=Unknown serialize=L118 deserialize=L125 alignment=AlignedByCountAndKnownTypes; Data/Scripts/Custom/Champions/Items/PlagueBeastGland.cs:Server.Items.PlagueBeastGland version=Unknown serialize=L20 deserialize=L27 alignment=AlignedByCountAndKnownTypes; ProjectTruth=Data/Scripts/Custom/Access Level Stone [2.0]/AccessLevelStone.cs=Keep; Data/Scripts/Custom/Access Level Stone [2.0]/AccessLevelStone.cs=Keep; Data/Scripts/Custom/AnimalSystem/ShapeShiftStones/DragonShapeChangeStone-body.cs=Keep; Data/Scripts/Custom/AnimalSystem/ShapeShiftStones/DragonShapeChangeStone-body.cs=Keep; Data/Scripts/Custom/AnimalSystem/ShapeShiftStones/FaeryShapeChangeStone.cs=Keep; Data/Scripts/Custom/AnimalSystem/ShapeShiftStones/FaeryShapeChangeStone.cs=Keep; Data/Scripts/Custom/AnimalSystem/ShapeShiftStones/FelinusShapeChangeStone.cs=Keep; Data/Scripts/Custom/AnimalSystem/ShapeShiftStones/FelinusShapeChangeStone.cs=Keep; Data/Scripts/Custom/AnimalSystem/ShapeShiftStones/RatShapeChangeStone.cs=Keep; Data/Scripts/Custom/AnimalSystem/ShapeShiftStones/RatShapeChangeStone.cs=Keep; Data/Scripts/Custom/AnimalSystem/ShapeShiftStones/WolvenShapeChangeStone.cs=Keep; Data/Scripts/Custom/AnimalSystem/ShapeShiftStones/WolvenShapeChangeStone.cs=Keep; Data/Scripts/Custom/BoatNavigationTotem/BoatNavigationTotam.cs=Keep; Data/Scripts/Custom/BoatNavigationTotem/BoatNavigationTotam.cs=Keep; Data/Scripts/Custom/BondInfo/BondInfo.cs=Keep; Data/Scripts/Custom/BondInfo/BondInfo.cs=Keep; Data/Scripts/Custom/Book Publisher [2.0]/BookBuyInfo.cs=Keep; Data/Scripts/Custom/Book Publisher [2.0]/BookBuyInfo.cs=Keep; Data/Scripts/Custom/Book Publisher [2.0]/PublishedBook.cs=Keep; Data/Scripts/Custom/Book Publisher [2.0]/PublishedBook.cs=Keep</t>
  </si>
  <si>
    <t>POST-BATCH-T docs source-trace review. Previous active row was PBN-0011/PBF-419. No source/project/XML/config/data behavior changed.</t>
  </si>
  <si>
    <t>RB-06681</t>
  </si>
  <si>
    <t>P10-F06681</t>
  </si>
  <si>
    <t>docs/wiki/Crafting_Core.md</t>
  </si>
  <si>
    <t>PBT-0014</t>
  </si>
  <si>
    <t>Queue SourceEvidence=POST-BATCH-N lane=POST-BATCH-N-DOCS-SOURCE-TRACE; FileProofStatus=CurrentPathConfirmed; Documentation truth after POST-BATCH-F: SourceTracePresent=No; MissingClaims=Missing Source Trace section.; StaleClaims=; Canonical=Canonical; Target=; SourceFiles=Data/Scripts/Items/Trades/Tools/BaseTool.cs; Data/Scripts/Trades/Core/CraftSystem.cs; Data/Scripts/Trades/Core/CraftContext.cs; Data/Scripts/Trades/Core/CraftItem.cs; Data/Scripts/Trades/Core/Gumps/CraftGump.cs; Data/Scripts/Trades/Core/Gumps/CraftGumpItem.cs; Data/Scripts/Trades/Core/Gumps/QueryMakersMarkGump.cs; Data/Scripts/Trades/Core/Recipes.cs; Data/Scripts/Trades/Core/Repair.cs; Data/Scripts/Trades/Core/Resmelt.cs; Data/Scripts/Trades/Core/Enhance.cs; Data/Scripts/Trades/Core/CustomCraft.cs; PathStatus=Data/Scripts/Items/Trades/Tools/BaseTool.cs=CurrentFile; Data/Scripts/Trades/Core/CraftSystem.cs=CurrentFile; Data/Scripts/Trades/Core/CraftContext.cs=CurrentFile; Data/Scripts/Trades/Core/CraftItem.cs=CurrentFile; Data/Scripts/Trades/Core/Gumps/CraftGump.cs=CurrentFile; Data/Scripts/Trades/Core/Gumps/CraftGumpItem.cs=CurrentFile; Data/Scripts/Trades/Core/Gumps/QueryMakersMarkGump.cs=CurrentFile; Data/Scripts/Trades/Core/Recipes.cs=CurrentFile; Data/Scripts/Trades/Core/Repair.cs=CurrentFile; Data/Scripts/Trades/Core/Resmelt.cs=CurrentFile; Data/Scripts/Trades/Core/Enhance.cs=CurrentFile; Data/Scripts/Trades/Core/CustomCraft.cs=CurrentFile; HookExamples=Data/Scripts/Items/Trades/Tools/BaseTool.cs:L163 Gump SendGump access=Internal; Data/Scripts/Items/Trades/Tools/BaseTool.cs:L198 Gump SendGump access=Internal; Data/Scripts/Trades/Core/CraftItem.cs:L1149 Gump SendGump access=Internal; Data/Scripts/Trades/Core/CraftItem.cs:L1157 Gump SendGump access=Internal; Data/Scripts/Trades/Core/CraftItem.cs:L1163 Gump SendGump access=Internal; Data/Scripts/Trades/Core/CraftItem.cs:L1169 Gump SendGump access=Internal; Data/Scripts/Trades/Core/CraftItem.cs:L1175 Gump SendGump access=Internal; Data/Scripts/Trades/Core/CraftItem.cs:L1181 Gump SendGump access=Internal; Data/Scripts/Trades/Core/CraftItem.cs:L1594 Gump SendGump access=Internal; Data/Scripts/Trades/Core/CraftItem.cs:L1619 Gump SendGump access=Internal; Data/Scripts/Trades/Core/CraftItem.cs:L1630 Gump SendGump access=Internal; Data/Scripts/Trades/Core/CraftItem.cs:L1668 Gump SendGump access=Internal; SerializerExamples=Data/Scripts/Items/Trades/Tools/BaseTool.cs:Server.Items.BaseTool version=1 serialize=L207 deserialize=L219 alignment=AlignedByCountAndKnownTypes; ProjectTruth=Data/Scripts/Items/Trades/Tools/BaseTool.cs=Keep; Data/Scripts/Items/Trades/Tools/BaseTool.cs=Keep; Data/Scripts/Trades/Core/CraftContext.cs=Keep; Data/Scripts/Trades/Core/CraftContext.cs=Keep; Data/Scripts/Trades/Core/CraftItem.cs=Keep; Data/Scripts/Trades/Core/CraftItem.cs=Keep; Data/Scripts/Trades/Core/CraftSystem.cs=Keep; Data/Scripts/Trades/Core/CraftSystem.cs=Keep; Data/Scripts/Trades/Core/CustomCraft.cs=Keep; Data/Scripts/Trades/Core/CustomCraft.cs=Keep; Data/Scripts/Trades/Core/Enhance.cs=Keep; Data/Scripts/Trades/Core/Enhance.cs=Keep; Data/Scripts/Trades/Core/Gumps/CraftGump.cs=Keep; Data/Scripts/Trades/Core/Gumps/CraftGump.cs=Keep; Data/Scripts/Trades/Core/Gumps/CraftGumpItem.cs=Keep; Data/Scripts/Trades/Core/Gumps/CraftGumpItem.cs=Keep; Data/Scripts/Trades/Core/Gumps/QueryMakersMarkGump.cs=Keep; Data/Scripts/Trades/Core/Gumps/QueryMakersMarkGump.cs=Keep; Data/Scripts/Trades/Core/Recipes.cs=Keep; Data/Scripts/Trades/Core/Recipes.cs=Keep</t>
  </si>
  <si>
    <t>POST-BATCH-T docs source-trace review. Previous active row was PBN-0014/PBF-420. No source/project/XML/config/data behavior changed.</t>
  </si>
  <si>
    <t>RB-06682</t>
  </si>
  <si>
    <t>P10-F06682</t>
  </si>
  <si>
    <t>docs/wiki/Creature_AI_Core.md</t>
  </si>
  <si>
    <t>PBT-0001</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</si>
  <si>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SourceFiles=Data/Scripts/Mobiles/Base/BaseCreature.cs; Data/Scripts/Mobiles/Base/Behavior.cs; Data/Scripts/Custom/Combat/AIOverhaul/AITacticalTargeting.cs; Data/Scripts/Scripts.csproj; PathStatus=Data/Scripts/Mobiles/Base/BaseCreature.cs=CurrentFile; Data/Scripts/Mobiles/Base/Behavior.cs=CurrentFile; Data/Scripts/Custom/Combat/AIOverhaul/AITacticalTargeting.cs=CurrentFile; Data/Scripts/Scripts.csproj=CurrentFile; HookExamples=Data/Scripts/Mobiles/Base/BaseCreature.cs:L487 Timer CustomTimerSubclass access=GlobalOrInternal; Data/Scripts/Mobiles/Base/BaseCreature.cs:L914 Timer Timer.DelayCall access=GlobalOrInternal; Data/Scripts/Mobiles/Base/BaseCreature.cs:L950 Timer Timer.DelayCall access=GlobalOrInternal; Data/Scripts/Mobiles/Base/BaseCreature.cs:L5879 Timer Timer.DelayCall access=GlobalOrInternal; Data/Scripts/Mobiles/Base/BaseCreature.cs:L8605 Speech OnSpeech access=GlobalOrInternal; Data/Scripts/Mobiles/Base/BaseCreature.cs:L8609 Speech OnSpeech access=GlobalOrInternal; Data/Scripts/Mobiles/Base/BaseCreature.cs:L8612 Speech OnSpeech access=GlobalOrInternal; Data/Scripts/Mobiles/Base/BaseCreature.cs:L8790 Movement OnMovement access=GlobalOrInternal; Data/Scripts/Mobiles/Base/BaseCreature.cs:L8792 Movement OnMovement access=GlobalOrInternal; Data/Scripts/Mobiles/Base/BaseCreature.cs:L8800 Movement OnMovement access=GlobalOrInternal; Data/Scripts/Mobiles/Base/BaseCreature.cs:L11300 Timer Timer.DelayCall access=GlobalOrInternal; Data/Scripts/Mobiles/Base/BaseCreature.cs:L12194 Timer CustomTimerSubclass access=GlobalOrInternal; SerializerExamples=Data/Scripts/Mobiles/Base/BaseCreature.cs:Server.Mobiles.BaseCreature version=19 serialize=L6507 deserialize=L6665 alignment=TypeMismatch:#30:Write=bool/Read=Double;#32:Write=DeltaTime/Read=Bool;#33:Write=int/Read=DeltaTime;#37:Write=int/Read=Mobile;#53:Write=bool/Read=StrongMobileList;#55:Write=DateTime/Read=Bool;#57:Write=bool/Read=DateTime;#61:Write=bool/Read=StrongMobileList;#62:Write=int/Read=Bool; Data/Scripts/Mobiles/Base/Behavior.cs:Server.HeldLight version=0 serialize=L1138 deserialize=L1144 alignment=AlignedByCountAndKnownTypes; Data/Scripts/Mobiles/Base/Behavior.cs:Server.TransferItem version=0 serialize=L11753 deserialize=L11760 alignment=AlignedByCountAndKnownTypes; ProjectTruth=Data/Scripts/Custom/Combat/AIOverhaul/AITacticalTargeting.cs=Keep; Data/Scripts/Custom/Combat/AIOverhaul/AITacticalTargeting.cs=Keep; Data/Scripts/Mobiles/Base/BaseCreature.cs=Keep; Data/Scripts/Mobiles/Base/BaseCreature.cs=Keep; Data/Scripts/Mobiles/Base/Behavior.cs=Keep; Data/Scripts/Mobiles/Base/Behavior.cs=Keep</t>
  </si>
  <si>
    <t>POST-BATCH-T docs source-trace review. Previous active row was PBN-0001/PBF-421. No source/project/XML/config/data behavior changed.</t>
  </si>
  <si>
    <t>RB-06683</t>
  </si>
  <si>
    <t>P10-F06683</t>
  </si>
  <si>
    <t>docs/wiki/Creature_Transformation_Guide.md</t>
  </si>
  <si>
    <t>PBT-0087</t>
  </si>
  <si>
    <t>Queue SourceEvidence=POST-BATCH-N lane=POST-BATCH-N-DOCS-SOURCE-TRACE; FileProofStatus=CurrentPathConfirmed; Documentation truth after POST-BATCH-F: SourceTracePresent=No; MissingClaims=Missing Source Trace section.; StaleClaims=; Canonical=Canonical; Target=; SourceFiles=Data/Scripts/Mobiles/Races/RacePotions.cs; Data/Scripts/Mobiles/Races/BaseRace.cs; Data/Scripts/System/Commands/Player/CreatureHelp.cs; Data/Scripts/System/Help/Gumps/HelpGump.cs; Data/Scripts/System/Misc/Settings.cs; Data/System/Source/Mobile.cs; Data/Scripts/Scripts.csproj; PathStatus=Data/Scripts/Mobiles/Races/RacePotions.cs=CurrentFile; Data/Scripts/Mobiles/Races/BaseRace.cs=CurrentFile; Data/Scripts/System/Commands/Player/CreatureHelp.cs=CurrentFile; Data/Scripts/System/Help/Gumps/HelpGump.cs=CurrentFile; Data/Scripts/System/Misc/Settings.cs=CurrentFile; Data/System/Source/Mobile.cs=CurrentFile; Data/Scripts/Scripts.csproj=CurrentFile; HookExamples=Data/Scripts/Mobiles/Races/BaseRace.cs:L4069 Timer Timer.DelayCall access=GlobalOrInternal; Data/Scripts/Mobiles/Races/RacePotions.cs:L39 Gump SendGump access=Internal; Data/Scripts/Mobiles/Races/RacePotions.cs:L1057 Gump OnResponse access=Internal; Data/Scripts/Mobiles/Races/RacePotions.cs:L1068 Gump SendGump access=Internal; Data/Scripts/Mobiles/Races/RacePotions.cs:L1258 Gump SendGump access=Internal; Data/Scripts/Mobiles/Races/RacePotions.cs:L1263 Gump SendGump access=Internal; Data/Scripts/Mobiles/Races/RacePotions.cs:L1264 Gump SendGump access=Internal; Data/Scripts/Mobiles/Races/RacePotions.cs:L1270 Gump SendGump access=Internal; Data/Scripts/Mobiles/Races/RacePotions.cs:L1315 Gump SendGump access=Internal; Data/Scripts/System/Commands/Player/CreatureHelp.cs:L68 Gump OnResponse access=Internal; Data/Scripts/System/Commands/Player/CreatureHelp.cs:L74 Gump SendGump access=Internal; Data/Scripts/System/Help/Gumps/HelpGump.cs:L42 Gump OnResponse access=Internal; SerializerExamples=Data/Scripts/Mobiles/Races/BaseRace.cs:Server.Items.BaseRace version=0 serialize=L3975 deserialize=L4003 alignment=CountMatchNeedsTypeReview:UnknownWrites=18; Data/Scripts/Mobiles/Races/RacePotions.cs:Server.Items.RacePotions version=1 serialize=L47 deserialize=L53 alignment=AlignedByCountAndKnownTypes; Data/System/Source/Mobile.cs:Server.Mobile version=35 serialize=L6183 deserialize=L5700 alignment=CountMismatch:Writes=98;Reads=104; ProjectTruth=Data/Scripts/Mobiles/Races/BaseRace.cs=Keep; Data/Scripts/Mobiles/Races/BaseRace.cs=Keep; Data/Scripts/Mobiles/Races/RacePotions.cs=Keep; Data/Scripts/Mobiles/Races/RacePotions.cs=Keep; Data/Scripts/System/Commands/Player/CreatureHelp.cs=Keep; Data/Scripts/System/Commands/Player/CreatureHelp.cs=Keep; Data/Scripts/System/Help/Gumps/HelpGump.cs=Keep; Data/Scripts/System/Help/Gumps/HelpGump.cs=Keep; Data/Scripts/System/Misc/Settings.cs=Keep; Data/Scripts/System/Misc/Settings.cs=Keep</t>
  </si>
  <si>
    <t>POST-BATCH-T docs source-trace review. Previous active row was PBN-0087/PBF-422. No source/project/XML/config/data behavior changed.</t>
  </si>
  <si>
    <t>RB-06684</t>
  </si>
  <si>
    <t>P10-F06684</t>
  </si>
  <si>
    <t>docs/wiki/Custom_Title_Feature.md</t>
  </si>
  <si>
    <t>PBT-0055</t>
  </si>
  <si>
    <t>Queue SourceEvidence=POST-BATCH-N lane=POST-BATCH-N-DOCS-SOURCE-TRACE; FileProofStatus=CurrentPathConfirmed; Documentation truth after POST-BATCH-F: SourceTracePresent=No; MissingClaims=Missing Source Trace section.; StaleClaims=; Canonical=Canonical; Target=; SourceFiles=Data/Scripts/System/Help/Gumps/HelpGump.cs; Data/Scripts/System/Misc/Naming.cs; Data/Scripts/System/Help/ServerSettings.cs; Data/Scripts/System/Misc/Settings.cs; Data/System/Source/Mobile.cs; Data/Scripts/Mobiles/Base/PlayerMobile.cs; Data/Scripts/System/Misc/Titles.cs; PathStatus=Data/Scripts/System/Help/Gumps/HelpGump.cs=CurrentFile; Data/Scripts/System/Misc/Naming.cs=CurrentFile; Data/Scripts/System/Help/ServerSettings.cs=CurrentFile; Data/Scripts/System/Misc/Settings.cs=CurrentFile; Data/System/Source/Mobile.cs=CurrentFile; Data/Scripts/Mobiles/Base/PlayerMobile.cs=CurrentFile; Data/Scripts/System/Misc/Titles.cs=CurrentFile; HookExamples=Data/Scripts/Mobiles/Base/PlayerMobile.cs:L798 Initialize Initialize access=GlobalOrInternal; Data/Scripts/Mobiles/Base/PlayerMobile.cs:L806 Event EventSink access=GlobalOrInternal; Data/Scripts/Mobiles/Base/PlayerMobile.cs:L807 Event EventSink access=GlobalOrInternal; Data/Scripts/Mobiles/Base/PlayerMobile.cs:L808 Event EventSink access=GlobalOrInternal; Data/Scripts/Mobiles/Base/PlayerMobile.cs:L809 Event EventSink access=GlobalOrInternal; Data/Scripts/Mobiles/Base/PlayerMobile.cs:L813 Timer Timer.DelayCall access=GlobalOrInternal; Data/Scripts/Mobiles/Base/PlayerMobile.cs:L1003 Login OnLogin access=Internal; Data/Scripts/Mobiles/Base/PlayerMobile.cs:L1030 Timer Timer.DelayCall access=GlobalOrInternal; Data/Scripts/Mobiles/Base/PlayerMobile.cs:L1047 Gump SendGump access=Internal; Data/Scripts/Mobiles/Base/PlayerMobile.cs:L1068 Timer Timer.DelayCall access=GlobalOrInternal; Data/Scripts/Mobiles/Base/PlayerMobile.cs:L1328 Logout OnLogout access=Internal; Data/Scripts/Mobiles/Base/PlayerMobile.cs:L1367 Timer Timer.DelayCall access=GlobalOrInternal; SerializerExamples=Data/Scripts/Mobiles/Base/PlayerMobile.cs:Server.Mobiles.PlayerMobile version=37 serialize=L5042 deserialize=L4577 alignment=CountMismatch:Writes=120;Reads=119; Data/Scripts/System/Misc/Naming.cs:Server.CensusRecords version=0 serialize=L408 deserialize=L414 alignment=AlignedByCountAndKnownTypes; Data/Scripts/System/Misc/Naming.cs:Server.ChangeName version=0 serialize=L897 deserialize=L903 alignment=AlignedByCountAndKnownTypes; Data/System/Source/Mobile.cs:Server.Mobile version=35 serialize=L6183 deserialize=L5700 alignment=CountMismatch:Writes=98;Reads=104; ProjectTruth=Data/Scripts/Mobiles/Base/PlayerMobile.cs=Keep; Data/Scripts/Mobiles/Base/PlayerMobile.cs=Keep; Data/Scripts/System/Help/Gumps/HelpGump.cs=Keep; Data/Scripts/System/Help/Gumps/HelpGump.cs=Keep; Data/Scripts/System/Help/ServerSettings.cs=Keep; Data/Scripts/System/Help/ServerSettings.cs=Keep; Data/Scripts/System/Misc/Naming.cs=Keep; Data/Scripts/System/Misc/Naming.cs=Keep; Data/Scripts/System/Misc/Settings.cs=Keep; Data/Scripts/System/Misc/Settings.cs=Keep; Data/Scripts/System/Misc/Titles.cs=Keep; Data/Scripts/System/Misc/Titles.cs=Keep</t>
  </si>
  <si>
    <t>POST-BATCH-T docs source-trace review. Previous active row was PBN-0055/PBF-423. No source/project/XML/config/data behavior changed.</t>
  </si>
  <si>
    <t>RB-06685</t>
  </si>
  <si>
    <t>P10-F06685</t>
  </si>
  <si>
    <t>docs/wiki/Death_Knight_Magic.md</t>
  </si>
  <si>
    <t>PBT-0034</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</si>
  <si>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SourceFiles=Data/Scripts/Magic/Death Knight/DeathKnightSpell.cs; Data/Scripts/Magic/Death Knight/DeathKnightSpellBook.cs; Data/Scripts/Magic/Death Knight/DeathKnightCommands.cs; Data/Scripts/Magic/Death Knight/DeathSkulls.cs; Data/Scripts/Magic/Death Knight/SoulLantern.cs; Data/Scripts/Magic/Death Knight/Gumps/DeathKnightSpellBookGump.cs; PathStatus=Data/Scripts/Magic/Death Knight/DeathKnightSpell.cs=CurrentFile; Data/Scripts/Magic/Death Knight/DeathKnightSpellBook.cs=CurrentFile; Data/Scripts/Magic/Death Knight/DeathKnightCommands.cs=CurrentFile; Data/Scripts/Magic/Death Knight/DeathSkulls.cs=CurrentFile; Data/Scripts/Magic/Death Knight/SoulLantern.cs=CurrentFile; Data/Scripts/Magic/Death Knight/Gumps/DeathKnightSpellBookGump.cs=CurrentFile; HookExamples=Data/Scripts/Magic/Death Knight/DeathKnightCommands.cs:L15 Initialize Initialize access=GlobalOrInternal; Data/Scripts/Magic/Death Knight/DeathKnightCommands.cs:L77 Command CommandSystem.Register access=Unknown; Data/Scripts/Magic/Death Knight/DeathKnightSpellBook.cs:L92 Gump SendGump access=Internal; Data/Scripts/Magic/Death Knight/Gumps/DeathKnightSpellBookGump.cs:L667 Gump OnResponse access=Internal; Data/Scripts/Magic/Death Knight/Gumps/DeathKnightSpellBookGump.cs:L683 Gump SendGump access=Internal; Data/Scripts/Magic/Death Knight/Gumps/DeathKnightSpellBookGump.cs:L744 Gump SendGump access=Internal; SerializerExamples=Data/Scripts/Magic/Death Knight/DeathKnightSpellBook.cs:Server.Items.DeathKnightSpellbook version=0 serialize=L110 deserialize=L117 alignment=AlignedByCountAndKnownTypes; Data/Scripts/Magic/Death Knight/DeathSkulls.cs:Server.Items.DeathKnightSkull750 version=0 serialize=L33 deserialize=L39 alignment=AlignedByCountAndKnownTypes; Data/Scripts/Magic/Death Knight/DeathSkulls.cs:Server.Items.DeathKnightSkull751 version=0 serialize=L73 deserialize=L79 alignment=AlignedByCountAndKnownTypes; Data/Scripts/Magic/Death Knight/DeathSkulls.cs:Server.Items.DeathKnightSkull752 version=0 serialize=L113 deserialize=L119 alignment=AlignedByCountAndKnownTypes; Data/Scripts/Magic/Death Knight/DeathSkulls.cs:Server.Items.DeathKnightSkull753 version=0 serialize=L153 deserialize=L159 alignment=AlignedByCountAndKnownTypes; Data/Scripts/Magic/Death Knight/DeathSkulls.cs:Server.Items.DeathKnightSkull754 version=0 serialize=L193 deserialize=L199 alignment=AlignedByCountAndKnownTypes; Data/Scripts/Magic/Death Knight/DeathSkulls.cs:Server.Items.DeathKnightSkull755 version=0 serialize=L233 deserialize=L239 alignment=AlignedByCountAndKnownTypes; Data/Scripts/Magic/Death Knight/DeathSkulls.cs:Server.Items.DeathKnightSkull756 version=0 serialize=L273 deserialize=L279 alignment=AlignedByCountAndKnownTypes; Data/Scripts/Magic/Death Knight/DeathSkulls.cs:Server.Items.DeathKnightSkull757 version=0 serialize=L313 deserialize=L319 alignment=AlignedByCountAndKnownTypes; Data/Scripts/Magic/Death Knight/DeathSkulls.cs:Server.Items.DeathKnightSkull758 version=0 serialize=L353 deserialize=L359 alignment=AlignedByCountAndKnownTypes; Data/Scripts/Magic/Death Knight/DeathSkulls.cs:Server.Items.DeathKnightSkull759 version=0 serialize=L393 deserialize=L399 alignment=AlignedByCountAndKnownTypes; Data/Scripts/Magic/Death Knight/DeathSkulls.cs:Server.Items.DeathKnightSkull760 version=0 serialize=L433 deserialize=L439 alignment=AlignedByCountAndKnownTypes; ProjectTruth=Data/Scripts/Magic/Death Knight/DeathKnightCommands.cs=Keep; Data/Scripts/Magic/Death Knight/DeathKnightCommands.cs=Keep; Data/Scripts/Magic/Death Knight/DeathKnightSpell.cs=Keep; Data/Scripts/Magic/Death Knight/DeathKnightSpell.cs=Keep; Data/Scripts/Magic/Death Knight/DeathKnightSpellBook.cs=Keep; Data/Scripts/Magic/Death Knight/DeathKnightSpellBook.cs=Keep; Data/Scripts/Magic/Death Knight/DeathSkulls.cs=Keep; Data/Scripts/Magic/Death Knight/DeathSkulls.cs=Keep; Data/Scripts/Magic/Death Knight/Gumps/DeathKnightSpellBookGump.cs=Keep; Data/Scripts/Magic/Death Knight/Gumps/DeathKnightSpellBookGump.cs=Keep; Data/Scripts/Magic/Death Knight/SoulLantern.cs=Keep; Data/Scripts/Magic/Death Knight/SoulLantern.cs=Keep</t>
  </si>
  <si>
    <t>POST-BATCH-T docs source-trace review. Previous active row was PBN-0034/PBF-424. No source/project/XML/config/data behavior changed.</t>
  </si>
  <si>
    <t>RB-06686</t>
  </si>
  <si>
    <t>P10-F06686</t>
  </si>
  <si>
    <t>docs/wiki/Druidism.md</t>
  </si>
  <si>
    <t>PBT-0088</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</si>
  <si>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SourceFiles=Data/Scripts/Magic/Druidism/HerbalistSpell.cs; Data/Scripts/Magic/Druidism/HerbalistPotions.cs; Data/Scripts/Magic/Druidism/DruidPouch.cs; Data/Scripts/Magic/Druidism/BookDruidBrewing.cs; PathStatus=Data/Scripts/Magic/Druidism/HerbalistSpell.cs=CurrentFile; Data/Scripts/Magic/Druidism/HerbalistPotions.cs=CurrentFile; Data/Scripts/Magic/Druidism/DruidPouch.cs=CurrentFile; Data/Scripts/Magic/Druidism/BookDruidBrewing.cs=CurrentFile; HookExamples=Data/Scripts/Magic/Druidism/BookDruidBrewing.cs:L403 Gump OnResponse access=Internal; Data/Scripts/Magic/Druidism/BookDruidBrewing.cs:L418 Gump SendGump access=Internal; Data/Scripts/Magic/Druidism/BookDruidBrewing.cs:L649 Gump SendGump access=Internal; Data/Scripts/Magic/Druidism/DruidPouch.cs:L437 Gump OnResponse access=Internal; Data/Scripts/Magic/Druidism/DruidPouch.cs:L447 Gump SendGump access=Internal; Data/Scripts/Magic/Druidism/DruidPouch.cs:L450 Gump SendGump access=Internal; Data/Scripts/Magic/Druidism/DruidPouch.cs:L454 Gump SendGump access=Internal; Data/Scripts/Magic/Druidism/DruidPouch.cs:L461 Gump SendGump access=Internal; Data/Scripts/Magic/Druidism/DruidPouch.cs:L475 Gump SendGump access=Internal; Data/Scripts/Magic/Druidism/DruidPouch.cs:L489 Gump SendGump access=Internal; Data/Scripts/Magic/Druidism/DruidPouch.cs:L672 Gump SendGump access=Internal; Data/Scripts/Magic/Druidism/DruidPouch.cs:L684 Gump SendGump access=Internal; SerializerExamples=Data/Scripts/Magic/Druidism/BookDruidBrewing.cs:Server.Items.BookDruidBrewing version=0 serialize=L656 deserialize=L662 alignment=AlignedByCountAndKnownTypes; Data/Scripts/Magic/Druidism/DruidPouch.cs:Server.Items.DruidPouch version=0 serialize=L1128 deserialize=L1152 alignment=CountMatchNeedsTypeReview:UnknownWrites=18; Data/Scripts/Magic/Druidism/HerbalistPotions.cs:Server.Items.BlendWithForestPotion version=0 serialize=L200 deserialize=L206 alignment=AlignedByCountAndKnownTypes; Data/Scripts/Magic/Druidism/HerbalistPotions.cs:Server.Items.DruidicRunePotion version=0 serialize=L371 deserialize=L377 alignment=AlignedByCountAndKnownTypes; Data/Scripts/Magic/Druidism/HerbalistPotions.cs:Server.Items.FireflyPotion version=0 serialize=L543 deserialize=L549 alignment=AlignedByCountAndKnownTypes; Data/Scripts/Magic/Druidism/HerbalistPotions.cs:Server.Items.GraspingRootsPotion version=0 serialize=L166 deserialize=L172 alignment=AlignedByCountAndKnownTypes; Data/Scripts/Magic/Druidism/HerbalistPotions.cs:Server.Items.HerbalHealingPotion version=0 serialize=L132 deserialize=L138 alignment=AlignedByCountAndKnownTypes; Data/Scripts/Magic/Druidism/HerbalistPotions.cs:Server.Items.LureStonePotion version=0 serialize=L405 deserialize=L411 alignment=AlignedByCountAndKnownTypes; Data/Scripts/Magic/Druidism/HerbalistPotions.cs:Server.Items.MushroomGatewayPotion version=0 serialize=L474 deserialize=L480 alignment=AlignedByCountAndKnownTypes; Data/Scripts/Magic/Druidism/HerbalistPotions.cs:Server.Items.NaturesPassagePotion version=0 serialize=L440 deserialize=L446 alignment=AlignedByCountAndKnownTypes; Data/Scripts/Magic/Druidism/HerbalistPotions.cs:Server.Items.ProtectiveFairyPotion version=0 serialize=L97 deserialize=L103 alignment=AlignedByCountAndKnownTypes; Data/Scripts/Magic/Druidism/HerbalistPotions.cs:Server.Items.RestorativeSoilPotion version=0 serialize=L508 deserialize=L514 alignment=AlignedByCountAndKnownTypes; ProjectTruth=Data/Scripts/Magic/Druidism/BookDruidBrewing.cs=Keep; Data/Scripts/Magic/Druidism/BookDruidBrewing.cs=Keep; Data/Scripts/Magic/Druidism/DruidPouch.cs=Keep; Data/Scripts/Magic/Druidism/DruidPouch.cs=Keep; Data/Scripts/Magic/Druidism/HerbalistPotions.cs=Keep; Data/Scripts/Magic/Druidism/HerbalistPotions.cs=Keep; Data/Scripts/Magic/Druidism/HerbalistSpell.cs=Keep; Data/Scripts/Magic/Druidism/HerbalistSpell.cs=Keep</t>
  </si>
  <si>
    <t>POST-BATCH-T docs source-trace review. Previous active row was PBN-0088/PBF-425. No source/project/XML/config/data behavior changed.</t>
  </si>
  <si>
    <t>RB-06687</t>
  </si>
  <si>
    <t>P10-F06687</t>
  </si>
  <si>
    <t>docs/wiki/Elementalism.md</t>
  </si>
  <si>
    <t>PBT-0035</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</si>
  <si>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SourceFiles=Data/Scripts/Magic/Elementalism/; PathStatus=Data/Scripts/Magic/Elementalism/=CurrentDirectory; HookExamples=Data/Scripts/Magic/Elementalism/ElementalCommands.cs:L15 Initialize Initialize access=GlobalOrInternal; Data/Scripts/Magic/Elementalism/ElementalCommands.cs:L74 Command CommandSystem.Register access=Unknown; Data/Scripts/Magic/Elementalism/ElementalEffect.cs:L15 Movement OnMovement access=GlobalOrInternal; Data/Scripts/Magic/Elementalism/ElementalEffect.cs:L56 Timer CustomTimerSubclass access=GlobalOrInternal; Data/Scripts/Magic/Elementalism/ElementalShrine.cs:L20 Speech OnSpeech access=GlobalOrInternal; Data/Scripts/Magic/Elementalism/ElementalShrine.cs:L154 Gump SendGump access=Internal; Data/Scripts/Magic/Elementalism/ElementalShrine.cs:L159 Gump SendGump access=Internal; Data/Scripts/Magic/Elementalism/ElementalShrine.cs:L164 Gump SendGump access=Internal; Data/Scripts/Magic/Elementalism/ElementalShrine.cs:L169 Gump SendGump access=Internal; Data/Scripts/Magic/Elementalism/ElementalShrine.cs:L174 Gump SendGump access=Internal; Data/Scripts/Magic/Elementalism/ElementalSpellbook.cs:L82 Gump SendGump access=Internal; Data/Scripts/Magic/Elementalism/Gumps/ElementalSpellbookGump.cs:L509 Gump OnResponse access=Internal; SerializerExamples=Data/Scripts/Magic/Elementalism/ElementalEffect.cs:Server.Items.ElementalEffect version=0 serialize=L42 deserialize=L48 alignment=AlignedByCountAndKnownTypes; Data/Scripts/Magic/Elementalism/ElementalExit.cs:Server.Items.ElementalExit version=0 serialize=L114 deserialize=L120 alignment=AlignedByCountAndKnownTypes; Data/Scripts/Magic/Elementalism/ElementalScrolls.cs:Server.Items.Elemental_Apocalypse_Scroll version=0 serialize=L865 deserialize=L871 alignment=AlignedByCountAndKnownTypes; Data/Scripts/Magic/Elementalism/ElementalScrolls.cs:Server.Items.Elemental_Armor_Scroll version=0 serialize=L25 deserialize=L31 alignment=AlignedByCountAndKnownTypes; Data/Scripts/Magic/Elementalism/ElementalScrolls.cs:Server.Items.Elemental_Barrage_Scroll version=0 serialize=L625 deserialize=L631 alignment=AlignedByCountAndKnownTypes; Data/Scripts/Magic/Elementalism/ElementalScrolls.cs:Server.Items.Elemental_Blast_Scroll version=0 serialize=L505 deserialize=L511 alignment=AlignedByCountAndKnownTypes; Data/Scripts/Magic/Elementalism/ElementalScrolls.cs:Server.Items.Elemental_Bolt_Scroll version=0 serialize=L55 deserialize=L61 alignment=AlignedByCountAndKnownTypes; Data/Scripts/Magic/Elementalism/ElementalScrolls.cs:Server.Items.Elemental_Call_Scroll version=0 serialize=L265 deserialize=L271 alignment=AlignedByCountAndKnownTypes; Data/Scripts/Magic/Elementalism/ElementalScrolls.cs:Server.Items.Elemental_Devastation_Scroll version=0 serialize=L745 deserialize=L751 alignment=AlignedByCountAndKnownTypes; Data/Scripts/Magic/Elementalism/ElementalScrolls.cs:Server.Items.Elemental_Echo_Scroll version=0 serialize=L535 deserialize=L541 alignment=AlignedByCountAndKnownTypes; Data/Scripts/Magic/Elementalism/ElementalScrolls.cs:Server.Items.Elemental_Fall_Scroll version=0 serialize=L775 deserialize=L781 alignment=AlignedByCountAndKnownTypes; Data/Scripts/Magic/Elementalism/ElementalScrolls.cs:Server.Items.Elemental_Field_Scroll version=0 serialize=L385 deserialize=L391 alignment=AlignedByCountAndKnownTypes; ProjectTruth=Data/Scripts/Magic/Elementalism/ElementalCommands.cs=Keep; Data/Scripts/Magic/Elementalism/ElementalCommands.cs=Keep; Data/Scripts/Magic/Elementalism/ElementalEffect.cs=Keep; Data/Scripts/Magic/Elementalism/ElementalEffect.cs=Keep; Data/Scripts/Magic/Elementalism/ElementalExit.cs=Keep; Data/Scripts/Magic/Elementalism/ElementalExit.cs=Keep; Data/Scripts/Magic/Elementalism/ElementalScrolls.cs=Keep; Data/Scripts/Magic/Elementalism/ElementalScrolls.cs=Keep; Data/Scripts/Magic/Elementalism/ElementalShrine.cs=Keep; Data/Scripts/Magic/Elementalism/ElementalShrine.cs=Keep; Data/Scripts/Magic/Elementalism/ElementalSpell.cs=Keep; Data/Scripts/Magic/Elementalism/ElementalSpell.cs=Keep; Data/Scripts/Magic/Elementalism/ElementalSpellbook.cs=Keep; Data/Scripts/Magic/Elementalism/ElementalSpellbook.cs=Keep; Data/Scripts/Magic/Elementalism/Gumps/ElementalSpellbookGump.cs=Keep; Data/Scripts/Magic/Elementalism/Gumps/ElementalSpellbookGump.cs=Keep; Data/Scripts/Magic/Elementalism/Mobiles/ElementalCalledAir.cs=Keep; Data/Scripts/Magic/Elementalism/Mobiles/ElementalCalledAir.cs=Keep; Data/Scripts/Magic/Elementalism/Mobiles/ElementalCalledEarth.cs=Keep; Data/Scripts/Magic/Elementalism/Mobiles/ElementalCalledEarth.cs=Keep</t>
  </si>
  <si>
    <t>POST-BATCH-T docs source-trace review. Previous active row was PBN-0035/PBF-426. No source/project/XML/config/data behavior changed.</t>
  </si>
  <si>
    <t>RB-06688</t>
  </si>
  <si>
    <t>P10-F06688</t>
  </si>
  <si>
    <t>docs/wiki/Enchantments.md</t>
  </si>
  <si>
    <t>PBT-0089</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</si>
  <si>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SourceFiles=Data/Scripts/Magic/Enchantments/; Data/Scripts/Magic/Base/Initializer.cs; Data/Scripts/Magic/Base/SpellRegistry.cs; PathStatus=Data/Scripts/Magic/Enchantments/=CurrentDirectory; Data/Scripts/Magic/Base/Initializer.cs=CurrentFile; Data/Scripts/Magic/Base/SpellRegistry.cs=CurrentFile; HookExamples=Data/Scripts/Magic/Base/Initializer.cs:L8 Initialize Initialize access=GlobalOrInternal; Data/Scripts/Magic/Enchantments/Spells/GrimReaperMagic..cs:L57 Timer Timer.DelayCall access=GlobalOrInternal; Data/Scripts/Magic/Enchantments/Spells/HellfireMagic..cs:L116 Timer CustomTimerSubclass access=GlobalOrInternal; Data/Scripts/Magic/Enchantments/Spells/ShieldOfHateMagic..cs:L112 Timer CustomTimerSubclass access=GlobalOrInternal; Data/Scripts/Magic/Enchantments/Spells/SoulReaperMagic..cs:L80 Timer CustomTimerSubclass access=GlobalOrInternal; Data/Scripts/Magic/Enchantments/Spells/SuccubusSkinMagic..cs:L118 Timer CustomTimerSubclass access=GlobalOrInternal; SerializerExamples=Data/Scripts/Magic/Enchantments/Mobiles/DevilPactMagic.cs:Server.Mobiles.Devil_Pact version=0 serialize=L81 deserialize=L87 alignment=AlignedByCountAndKnownTypes; ProjectTruth=Data/Scripts/Magic/Base/Initializer.cs=Keep; Data/Scripts/Magic/Base/Initializer.cs=Keep; Data/Scripts/Magic/Base/SpellRegistry.cs=Keep; Data/Scripts/Magic/Base/SpellRegistry.cs=Keep; Data/Scripts/Magic/Enchantments/EnchantMagic.cs=Keep; Data/Scripts/Magic/Enchantments/EnchantMagic.cs=Keep; Data/Scripts/Magic/Enchantments/Mobiles/DevilPactMagic.cs=Keep; Data/Scripts/Magic/Enchantments/Mobiles/DevilPactMagic.cs=Keep; Data/Scripts/Magic/Enchantments/Spells/BanishMagic..cs=Keep; Data/Scripts/Magic/Enchantments/Spells/BanishMagic..cs=Keep; Data/Scripts/Magic/Enchantments/Spells/DemonicTouchMagic..cs=Keep; Data/Scripts/Magic/Enchantments/Spells/DemonicTouchMagic..cs=Keep; Data/Scripts/Magic/Enchantments/Spells/DevilPactMagic..cs=Keep; Data/Scripts/Magic/Enchantments/Spells/DevilPactMagic..cs=Keep; Data/Scripts/Magic/Enchantments/Spells/GrimReaperMagic..cs=Keep; Data/Scripts/Magic/Enchantments/Spells/GrimReaperMagic..cs=Keep; Data/Scripts/Magic/Enchantments/Spells/HagHandMagic..cs=Keep; Data/Scripts/Magic/Enchantments/Spells/HagHandMagic..cs=Keep; Data/Scripts/Magic/Enchantments/Spells/HellfireMagic..cs=Keep; Data/Scripts/Magic/Enchantments/Spells/HellfireMagic..cs=Keep</t>
  </si>
  <si>
    <t>POST-BATCH-T docs source-trace review. Previous active row was PBN-0089/PBF-427. No source/project/XML/config/data behavior changed.</t>
  </si>
  <si>
    <t>RB-06689</t>
  </si>
  <si>
    <t>P10-F06689</t>
  </si>
  <si>
    <t>Harvest System</t>
  </si>
  <si>
    <t>docs/wiki/Farmable_Crops_System.md</t>
  </si>
  <si>
    <t>PBT-0020</t>
  </si>
  <si>
    <t>Queue SourceEvidence=POST-BATCH-N lane=POST-BATCH-N-DOCS-SOURCE-TRACE; FileProofStatus=CurrentPathConfirmed; Documentation truth after POST-BATCH-F: SourceTracePresent=No; MissingClaims=Missing Source Trace section.; StaleClaims=; Canonical=Canonical; Target=; SourceFiles=Data/Scripts/Items/Farming/; Data/Scripts/Items/Farming/FarmableCrop.cs; Data/Scripts/Items/Farming/FarmableCabbage.cs; Data/Scripts/Items/Farming/FarmableCarrot.cs; Data/Scripts/Items/Farming/FarmableCorn.cs; Data/Scripts/Items/Farming/FarmableCotton.cs; Data/Scripts/Items/Farming/FarmableFlax.cs; Data/Scripts/Items/Farming/FarmableLettuce.cs; Data/Scripts/Items/Farming/FarmableOnion.cs; Data/Scripts/Items/Farming/FarmablePumpkin.cs; Data/Scripts/Items/Farming/FarmableTomato.cs; Data/Scripts/Items/Farming/FarmableTurnip.cs; Data/Scripts/Items/Farming/FarmableWatermelon.cs; Data/Scripts/Items/Farming/FarmableWheat.cs; Data/Scripts/Items/Trades/Resources/Reagents/Farm/FarmableGarlic.cs; Data/Scripts/Items/Trades/Resources/Reagents/Farm/FarmableGinseng.cs; Data/Scripts/Items/Trades/Resources/Reagents/Farm/FarmableMandrakeRoot.cs; Data/Scripts/Items/Trades/Resources/Reagents/Farm/FarmableNightshade.cs; PathStatus=Data/Scripts/Items/Farming/=CurrentDirectory; Data/Scripts/Items/Farming/FarmableCrop.cs=CurrentFile; Data/Scripts/Items/Farming/FarmableCabbage.cs=CurrentFile; Data/Scripts/Items/Farming/FarmableCarrot.cs=CurrentFile; Data/Scripts/Items/Farming/FarmableCorn.cs=CurrentFile; Data/Scripts/Items/Farming/FarmableCotton.cs=CurrentFile; Data/Scripts/Items/Farming/FarmableFlax.cs=CurrentFile; Data/Scripts/Items/Farming/FarmableLettuce.cs=CurrentFile; Data/Scripts/Items/Farming/FarmableOnion.cs=CurrentFile; Data/Scripts/Items/Farming/FarmablePumpkin.cs=CurrentFile; Data/Scripts/Items/Farming/FarmableTomato.cs=CurrentFile; Data/Scripts/Items/Farming/FarmableTurnip.cs=CurrentFile; Data/Scripts/Items/Farming/FarmableWatermelon.cs=CurrentFile; Data/Scripts/Items/Farming/FarmableWheat.cs=CurrentFile; Data/Scripts/Items/Trades/Resources/Reagents/Farm/FarmableGarlic.cs=CurrentFile; Data/Scripts/Items/Trades/Resources/Reagents/Farm/FarmableGinseng.cs=CurrentFile; Data/Scripts/Items/Trades/Resources/Reagents/Farm/FarmableMandrakeRoot.cs=CurrentFile; Data/Scripts/Items/Trades/Resources/Reagents/Farm/FarmableNightshade.cs=CurrentFile; HookExamples=; SerializerExamples=Data/Scripts/Items/Farming/FarmableCabbage.cs:Server.Items.FarmableCabbage version=Unknown serialize=L35 deserialize=L42 alignment=AlignedByCountAndKnownTypes; Data/Scripts/Items/Farming/FarmableCarrot.cs:Server.Items.FarmableCarrot version=Unknown serialize=L35 deserialize=L42 alignment=AlignedByCountAndKnownTypes; Data/Scripts/Items/Farming/FarmableCorn.cs:Server.Items.FarmableCorn version=Unknown serialize=L35 deserialize=L42 alignment=AlignedByCountAndKnownTypes; Data/Scripts/Items/Farming/FarmableCotton.cs:Server.Items.FarmableCotton version=Unknown serialize=L34 deserialize=L41 alignment=AlignedByCountAndKnownTypes; Data/Scripts/Items/Farming/FarmableCrop.cs:Server.Items.FarmableCrop version=Unknown serialize=L107 deserialize=L114 alignment=CountMatchNeedsTypeReview:UnknownWrites=1; Data/Scripts/Items/Farming/FarmableFlax.cs:Server.Items.FarmableFlax version=Unknown serialize=L36 deserialize=L42 alignment=AlignedByCountAndKnownTypes; Data/Scripts/Items/Farming/FarmableLettuce.cs:Server.Items.FarmableLettuce version=Unknown serialize=L35 deserialize=L42 alignment=AlignedByCountAndKnownTypes; Data/Scripts/Items/Farming/FarmableOnion.cs:Server.Items.FarmableOnion version=Unknown serialize=L35 deserialize=L42 alignment=AlignedByCountAndKnownTypes; Data/Scripts/Items/Farming/FarmablePumpkin.cs:Server.Items.FarmablePumpkin version=Unknown serialize=L35 deserialize=L41 alignment=AlignedByCountAndKnownTypes; Data/Scripts/Items/Farming/FarmablePumpkin.cs:Server.Items.FarmablePumpkinGiant version=Unknown serialize=L199 deserialize=L205 alignment=AlignedByCountAndKnownTypes; Data/Scripts/Items/Farming/FarmablePumpkin.cs:Server.Items.FarmablePumpkinGreen version=Unknown serialize=L158 deserialize=L164 alignment=AlignedByCountAndKnownTypes; Data/Scripts/Items/Farming/FarmablePumpkin.cs:Server.Items.FarmablePumpkinLarge version=Unknown serialize=L76 deserialize=L82 alignment=AlignedByCountAndKnownTypes; ProjectTruth=Data/Scripts/Items/Farming/FarmableCabbage.cs=Keep; Data/Scripts/Items/Farming/FarmableCabbage.cs=Keep; Data/Scripts/Items/Farming/FarmableCarrot.cs=Keep; Data/Scripts/Items/Farming/FarmableCarrot.cs=Keep; Data/Scripts/Items/Farming/FarmableCorn.cs=Keep; Data/Scripts/Items/Farming/FarmableCorn.cs=Keep; Data/Scripts/Items/Farming/FarmableCotton.cs=Keep; Data/Scripts/Items/Farming/FarmableCotton.cs=Keep; Data/Scripts/Items/Farming/FarmableCrop.cs=Keep; Data/Scripts/Items/Farming/FarmableCrop.cs=Keep; Data/Scripts/Items/Farming/FarmableFlax.cs=Keep; Data/Scripts/Items/Farming/FarmableFlax.cs=Keep; Data/Scripts/Items/Farming/FarmableLettuce.cs=Keep; Data/Scripts/Items/Farming/FarmableLettuce.cs=Keep; Data/Scripts/Items/Farming/FarmableOnion.cs=Keep; Data/Scripts/Items/Farming/FarmableOnion.cs=Keep; Data/Scripts/Items/Farming/FarmablePumpkin.cs=Keep; Data/Scripts/Items/Farming/FarmablePumpkin.cs=Keep; Data/Scripts/Items/Farming/FarmableTomato.cs=Keep; Data/Scripts/Items/Farming/FarmableTomato.cs=Keep</t>
  </si>
  <si>
    <t>POST-BATCH-T docs source-trace review. Previous active row was PBN-0020/PBF-428. No source/project/XML/config/data behavior changed.</t>
  </si>
  <si>
    <t>RB-06690</t>
  </si>
  <si>
    <t>P10-F06690</t>
  </si>
  <si>
    <t>PBT-0025</t>
  </si>
  <si>
    <t>POST-BATCH-T docs source-trace review. Previous active row was PBN-0025/PBF-429. No source/project/XML/config/data behavior changed.</t>
  </si>
  <si>
    <t>RB-06691</t>
  </si>
  <si>
    <t>P10-F06691</t>
  </si>
  <si>
    <t>docs/wiki/fixautomationprompt.md</t>
  </si>
  <si>
    <t>PBT-0090</t>
  </si>
  <si>
    <t>POST-BATCH-T docs source-trace review. Previous active row was PBN-0090/PBF-430. No source/project/XML/config/data behavior changed.</t>
  </si>
  <si>
    <t>RB-06692</t>
  </si>
  <si>
    <t>P10-F06692</t>
  </si>
  <si>
    <t>docs/wiki/Flip_Deed.md</t>
  </si>
  <si>
    <t>PBT-0028</t>
  </si>
  <si>
    <t>Queue SourceEvidence=POST-BATCH-N lane=POST-BATCH-N-DOCS-SOURCE-TRACE; FileProofStatus=CurrentPathConfirmed; Documentation truth after POST-BATCH-F: SourceTracePresent=No; MissingClaims=Missing Source Trace section.; StaleClaims=; Canonical=Canonical; Target=; SourceFiles=Data/Scripts/Items/Houses/InteriorDecorator.cs; Data/Scripts/System/Help/Gumps/HelpGump.cs; Data/Scripts/Items/Construction/Addons/BaseAddonDeed.cs; Data/Scripts/Items/Misc/FlipableAttribute.cs; Data/Scripts/Trades/Stone/BaseStatueDeed.cs; Data/Scripts/Items/Relics/DDRelicBearRugs.cs; Data/Scripts/Items/Houses/TentsEast.cs; PathStatus=Data/Scripts/Items/Houses/InteriorDecorator.cs=CurrentFile; Data/Scripts/System/Help/Gumps/HelpGump.cs=CurrentFile; Data/Scripts/Items/Construction/Addons/BaseAddonDeed.cs=CurrentFile; Data/Scripts/Items/Misc/FlipableAttribute.cs=CurrentFile; Data/Scripts/Trades/Stone/BaseStatueDeed.cs=CurrentFile; Data/Scripts/Items/Relics/DDRelicBearRugs.cs=CurrentFile; Data/Scripts/Items/Houses/TentsEast.cs=CurrentFile; HookExamples=Data/Scripts/Items/Houses/InteriorDecorator.cs:L73 Gump SendGump access=Internal; Data/Scripts/Items/Houses/InteriorDecorator.cs:L178 Gump OnResponse access=Internal; Data/Scripts/Items/Houses/InteriorDecorator.cs:L184 Gump SendGump access=Internal; Data/Scripts/Items/Houses/InteriorDecorator.cs:L185 Gump SendGump access=Internal; Data/Scripts/Items/Houses/InteriorDecorator.cs:L237 Gump SendGump access=Internal; Data/Scripts/Items/Misc/FlipableAttribute.cs:L11 Initialize Initialize access=GlobalOrInternal; Data/Scripts/Items/Misc/FlipableAttribute.cs:L13 Command CommandSystem.Register access=Unknown; Data/Scripts/System/Help/Gumps/HelpGump.cs:L42 Gump OnResponse access=Internal; Data/Scripts/System/Help/Gumps/HelpGump.cs:L69 Initialize Initialize access=GlobalOrInternal; Data/Scripts/System/Help/Gumps/HelpGump.cs:L71 Event EventSink access=GlobalOrInternal; Data/Scripts/System/Help/Gumps/HelpGump.cs:L96 Gump SendGump access=Internal; Data/Scripts/System/Help/Gumps/HelpGump.cs:L2162 Gump OnResponse access=Internal; SerializerExamples=Data/Scripts/Items/Construction/Addons/BaseAddonDeed.cs:Server.Items.BaseAddonDeed version=0 serialize=L33 deserialize=L40 alignment=AlignedByCountAndKnownTypes; Data/Scripts/Items/Houses/InteriorDecorator.cs:Server.Items.InteriorDecorator version=0 serialize=L55 deserialize=L61 alignment=AlignedByCountAndKnownTypes; Data/Scripts/Items/Houses/TentsEast.cs:Server.Items.MyTentEastAddon version=0 serialize=L169 deserialize=L177 alignment=CountMatchNeedsTypeReview:UnknownWrites=2; Data/Scripts/Items/Houses/TentsEast.cs:Server.Items.MyTentEastAddonDeed version=0 serialize=L267 deserialize=L274 alignment=CountMatchNeedsTypeReview:UnknownWrites=1; Data/Scripts/Items/Relics/DDRelicBearRugs.cs:Server.Items.DDRelicBearRugsAddon version=0 serialize=L774 deserialize=L786 alignment=CountMatchNeedsTypeReview:UnknownWrites=6; Data/Scripts/Items/Relics/DDRelicBearRugs.cs:Server.Items.DDRelicBearRugsAddonDeed version=0 serialize=L1082 deserialize=L1094 alignment=CountMatchNeedsTypeReview:UnknownWrites=6; Data/Scripts/Trades/Stone/BaseStatueDeed.cs:Server.Items.BaseStatueAddon version=0 serialize=L378 deserialize=L389 alignment=CountMatchNeedsTypeReview:UnknownWrites=5; Data/Scripts/Trades/Stone/BaseStatueDeed.cs:Server.Items.BaseStatueDeed version=0 serialize=L536 deserialize=L547 alignment=CountMatchNeedsTypeReview:UnknownWrites=5; ProjectTruth=Data/Scripts/Items/Construction/Addons/BaseAddonDeed.cs=Keep; Data/Scripts/Items/Construction/Addons/BaseAddonDeed.cs=Keep; Data/Scripts/Items/Houses/InteriorDecorator.cs=Keep; Data/Scripts/Items/Houses/InteriorDecorator.cs=Keep; Data/Scripts/Items/Houses/TentsEast.cs=Keep; Data/Scripts/Items/Houses/TentsEast.cs=Keep; Data/Scripts/Items/Misc/FlipableAttribute.cs=Keep; Data/Scripts/Items/Misc/FlipableAttribute.cs=Keep; Data/Scripts/Items/Relics/DDRelicBearRugs.cs=Keep; Data/Scripts/Items/Relics/DDRelicBearRugs.cs=Keep; Data/Scripts/System/Help/Gumps/HelpGump.cs=Keep; Data/Scripts/System/Help/Gumps/HelpGump.cs=Keep; Data/Scripts/Trades/Stone/BaseStatueDeed.cs=Keep; Data/Scripts/Trades/Stone/BaseStatueDeed.cs=Keep</t>
  </si>
  <si>
    <t>POST-BATCH-T docs source-trace review. Previous active row was PBN-0028/PBF-431. No source/project/XML/config/data behavior changed.</t>
  </si>
  <si>
    <t>RB-06693</t>
  </si>
  <si>
    <t>P10-F06693</t>
  </si>
  <si>
    <t>docs/wiki/Gardening_System.md</t>
  </si>
  <si>
    <t>PBF-432</t>
  </si>
  <si>
    <t>Documentation truth after POST-BATCH-F: SourceTracePresent=Yes; MissingSourceFiles=none; VerifiedSourceFiles=Data/Scripts/Trades/Gardening/PlantBowl.cs;Data/Scripts/Trades/Gardening/PlantItem.cs;Data/Scripts/Trades/Gardening/PlantSystem.cs;Data/Scripts/Trades/Gardening/Seed.cs;Data/Scripts/Trades/Gardening/PlantType.cs;Data/Scripts/Trades/Gardening/PlantHue.cs;Data/Scripts/Trades/Gardening/PlantResources.cs;Data/Scripts/Trades/Gardening/PlantPourTarget.cs;Data/Scripts/Trades/Gardening/PollinateTarget.cs;Data/Scripts/Trades/Gardening/Gumps/MainPlantGump.cs;Data/Scripts/Trades/Gardening/Gumps/ReproductionGump.cs;Data/Scripts/Trades/Gardening/Gumps/SetToDecorativeGump.cs;Data/Scripts/Trades/Gardening/Gumps/EmptyTheBowlGump.cs;Data/Scripts/Trades/Gardening/Network/DisplayHelpTopic.cs;Data/Scripts/Trades/Gardening/MiscItems/RedLeaves.cs;Data/Scripts/Trades/Gardening/MiscItems/OrangePetals.cs;Data/Scripts/Trades/Gardening/MiscItems/GreenThorns.cs;Data/Scripts/Trades/Gardening/MiscItems/FertileDirt.cs;Data/Scripts/Scripts.csproj;Data/Scripts/Trades/Gardening/Gumps/</t>
  </si>
  <si>
    <t>RB-06694</t>
  </si>
  <si>
    <t>P10-F06694</t>
  </si>
  <si>
    <t>PBF-433</t>
  </si>
  <si>
    <t>RB-06695</t>
  </si>
  <si>
    <t>P10-F06695</t>
  </si>
  <si>
    <t>docs/wiki/GM_Hiding_Stone.md</t>
  </si>
  <si>
    <t>PBT-0091</t>
  </si>
  <si>
    <t>Queue SourceEvidence=POST-BATCH-N lane=POST-BATCH-N-DOCS-SOURCE-TRACE; FileProofStatus=CurrentPathConfirmed; Documentation truth after POST-BATCH-F: SourceTracePresent=No; MissingClaims=Missing Source Trace section.; StaleClaims=; Canonical=Canonical; Target=; SourceFiles=Data/Scripts/Custom/CEO's GM Hiding Stone [2.0]/gmhidingstone.cs; Data/Scripts/Scripts.csproj; PathStatus=Data/Scripts/Custom/CEO's GM Hiding Stone [2.0]/gmhidingstone.cs=CurrentFile; Data/Scripts/Scripts.csproj=CurrentFile; HookExamples=Data/Scripts/Custom/CEO's GM Hiding Stone [2.0]/gmhidingstone.cs:L144 Timer Timer.DelayCall access=GlobalOrInternal; Data/Scripts/Custom/CEO's GM Hiding Stone [2.0]/gmhidingstone.cs:L149 Timer Timer.DelayCall access=GlobalOrInternal; Data/Scripts/Custom/CEO's GM Hiding Stone [2.0]/gmhidingstone.cs:L618 Timer CustomTimerSubclass access=GlobalOrInternal; SerializerExamples=Data/Scripts/Custom/CEO's GM Hiding Stone [2.0]/gmhidingstone.cs:Server.Items.GMHidingStone version=2 serialize=L748 deserialize=L758 alignment=CountMismatch:Writes=4;Reads=6; ProjectTruth=Data/Scripts/Custom/CEO's GM Hiding Stone [2.0]/gmhidingstone.cs=Keep; Data/Scripts/Custom/CEO's GM Hiding Stone [2.0]/gmhidingstone.cs=Keep</t>
  </si>
  <si>
    <t>POST-BATCH-T docs source-trace review. Previous active row was PBN-0091/PBF-434. No source/project/XML/config/data behavior changed.</t>
  </si>
  <si>
    <t>RB-06696</t>
  </si>
  <si>
    <t>P10-F06696</t>
  </si>
  <si>
    <t>docs/wiki/Goliath_Monsters.md</t>
  </si>
  <si>
    <t>PBT-0092</t>
  </si>
  <si>
    <t>Queue SourceEvidence=POST-BATCH-N lane=POST-BATCH-N-DOCS-SOURCE-TRACE; FileProofStatus=CurrentPathConfirmed; Documentation truth after POST-BATCH-F: SourceTracePresent=No; MissingClaims=Missing Source Trace section.; StaleClaims=; Canonical=Canonical; Target=; SourceFiles=Data/Scripts/Mobiles/Goliaths/; PathStatus=Data/Scripts/Mobiles/Goliaths/=CurrentDirectory; HookExamples=; SerializerExamples=Data/Scripts/Mobiles/Goliaths/Cyclops/AncientCyclops.cs:Server.Mobiles.AncientCyclops version=0 serialize=L153 deserialize=L159 alignment=AlignedByCountAndKnownTypes; Data/Scripts/Mobiles/Goliaths/Cyclops/Cyclops.cs:Server.Mobiles.Cyclops version=0 serialize=L267 deserialize=L273 alignment=AlignedByCountAndKnownTypes; Data/Scripts/Mobiles/Goliaths/Cyclops/ShamanicCyclops.cs:Server.Mobiles.ShamanicCyclops version=0 serialize=L125 deserialize=L131 alignment=AlignedByCountAndKnownTypes; Data/Scripts/Mobiles/Goliaths/Ettins/AncientEttin.cs:Server.Mobiles.AncientEttin version=0 serialize=L85 deserialize=L91 alignment=AlignedByCountAndKnownTypes; Data/Scripts/Mobiles/Goliaths/Ettins/ArcticEttin.cs:Server.Mobiles.ArcticEttin version=0 serialize=L127 deserialize=L133 alignment=AlignedByCountAndKnownTypes; Data/Scripts/Mobiles/Goliaths/Ettins/Ettin.cs:Server.Mobiles.Ettin version=0 serialize=L127 deserialize=L133 alignment=AlignedByCountAndKnownTypes; Data/Scripts/Mobiles/Goliaths/Ettins/EttinShaman.cs:Server.Mobiles.EttinShaman version=0 serialize=L84 deserialize=L90 alignment=AlignedByCountAndKnownTypes; Data/Scripts/Mobiles/Goliaths/Giants/AbyssGiant.cs:Server.Mobiles.AbyssGiant version=0 serialize=L171 deserialize=L177 alignment=AlignedByCountAndKnownTypes; Data/Scripts/Mobiles/Goliaths/Giants/CloudGiant.cs:Server.Mobiles.CloudGiant version=0 serialize=L175 deserialize=L181 alignment=AlignedByCountAndKnownTypes; Data/Scripts/Mobiles/Goliaths/Giants/DeepSeaGiant.cs:Server.Mobiles.DeepSeaGiant version=0 serialize=L173 deserialize=L179 alignment=AlignedByCountAndKnownTypes; Data/Scripts/Mobiles/Goliaths/Giants/FireGiant.cs:Server.Mobiles.FireGiant version=0 serialize=L205 deserialize=L211 alignment=AlignedByCountAndKnownTypes; Data/Scripts/Mobiles/Goliaths/Giants/ForestGiant.cs:Server.Mobiles.ForestGiant version=0 serialize=L181 deserialize=L187 alignment=AlignedByCountAndKnownTypes; ProjectTruth=Data/Scripts/Mobiles/Goliaths/Cyclops/AncientCyclops.cs=Keep; Data/Scripts/Mobiles/Goliaths/Cyclops/AncientCyclops.cs=Keep; Data/Scripts/Mobiles/Goliaths/Cyclops/Cyclops.cs=Keep; Data/Scripts/Mobiles/Goliaths/Cyclops/Cyclops.cs=Keep; Data/Scripts/Mobiles/Goliaths/Cyclops/ShamanicCyclops.cs=Keep; Data/Scripts/Mobiles/Goliaths/Cyclops/ShamanicCyclops.cs=Keep; Data/Scripts/Mobiles/Goliaths/Ettins/AncientEttin.cs=Keep; Data/Scripts/Mobiles/Goliaths/Ettins/AncientEttin.cs=Keep; Data/Scripts/Mobiles/Goliaths/Ettins/ArcticEttin.cs=Keep; Data/Scripts/Mobiles/Goliaths/Ettins/ArcticEttin.cs=Keep; Data/Scripts/Mobiles/Goliaths/Ettins/Ettin.cs=Keep; Data/Scripts/Mobiles/Goliaths/Ettins/Ettin.cs=Keep; Data/Scripts/Mobiles/Goliaths/Ettins/EttinShaman.cs=Keep; Data/Scripts/Mobiles/Goliaths/Ettins/EttinShaman.cs=Keep; Data/Scripts/Mobiles/Goliaths/Giants/AbyssGiant.cs=Keep; Data/Scripts/Mobiles/Goliaths/Giants/AbyssGiant.cs=Keep; Data/Scripts/Mobiles/Goliaths/Giants/CloudGiant.cs=Keep; Data/Scripts/Mobiles/Goliaths/Giants/CloudGiant.cs=Keep; Data/Scripts/Mobiles/Goliaths/Giants/DeepSeaGiant.cs=Keep; Data/Scripts/Mobiles/Goliaths/Giants/DeepSeaGiant.cs=Keep</t>
  </si>
  <si>
    <t>POST-BATCH-T docs source-trace review. Previous active row was PBN-0092/PBF-435. No source/project/XML/config/data behavior changed.</t>
  </si>
  <si>
    <t>RB-06697</t>
  </si>
  <si>
    <t>P10-F06697</t>
  </si>
  <si>
    <t>docs/wiki/Government_System.md</t>
  </si>
  <si>
    <t>PBT-0018</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</si>
  <si>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SourceFiles=Data/Scripts/Custom/Government System/PlayerGovernmentSystem.cs; Data/Scripts/Custom/Government System/Items/Deeds/CityDeed.cs; Data/Scripts/Custom/Government System/Items/Stones/CityManagementStone.cs; Data/Scripts/Custom/Government System/Items/Stones/CityVotingStone.cs; Data/Scripts/Custom/Government System/Regions/PlayerCityRegion.cs; Data/Scripts/Custom/Government System/Commands/GovHelp.cs; PathStatus=Data/Scripts/Custom/Government System/PlayerGovernmentSystem.cs=CurrentFile; Data/Scripts/Custom/Government System/Items/Deeds/CityDeed.cs=CurrentFile; Data/Scripts/Custom/Government System/Items/Stones/CityManagementStone.cs=CurrentFile; Data/Scripts/Custom/Government System/Items/Stones/CityVotingStone.cs=CurrentFile; Data/Scripts/Custom/Government System/Regions/PlayerCityRegion.cs=CurrentFile; Data/Scripts/Custom/Government System/Commands/GovHelp.cs=CurrentFile; HookExamples=Data/Scripts/Custom/Government System/Commands/GovHelp.cs:L14 Initialize Initialize access=GlobalOrInternal; Data/Scripts/Custom/Government System/Commands/GovHelp.cs:L16 Command CommandSystem.Register access=Unknown; Data/Scripts/Custom/Government System/Commands/GovHelp.cs:L27 Gump SendGump access=Internal; Data/Scripts/Custom/Government System/Items/Stones/CityManagementStone.cs:L59 Gump SendGump access=Internal; Data/Scripts/Custom/Government System/Items/Stones/CityManagementStone.cs:L105 Gump SendGump access=Internal; Data/Scripts/Custom/Government System/Items/Stones/CityManagementStone.cs:L463 Initialize Initialize access=GlobalOrInternal; Data/Scripts/Custom/Government System/Items/Stones/CityManagementStone.cs:L465 Command CommandSystem.Register access=Unknown; Data/Scripts/Custom/Government System/Items/Stones/CityManagementStone.cs:L527 Gump SendGump access=Internal; Data/Scripts/Custom/Government System/Items/Stones/CityManagementStone.cs:L564 Gump SendGump access=Internal; Data/Scripts/Custom/Government System/Items/Stones/CityManagementStone.cs:L2112 Timer CustomTimerSubclass access=GlobalOrInternal; Data/Scripts/Custom/Government System/Items/Stones/CityVotingStone.cs:L94 Gump SendGump access=Internal; Data/Scripts/Custom/Government System/Items/Stones/CityVotingStone.cs:L302 Timer CustomTimerSubclass access=GlobalOrInternal; SerializerExamples=Data/Scripts/Custom/Government System/Items/Deeds/CityDeed.cs:Server.Items.CityDeed version=2 serialize=L3619 deserialize=L3632 alignment=CountMatchNeedsTypeReview:UnknownWrites=2; Data/Scripts/Custom/Government System/Items/Stones/CityManagementStone.cs:Server.Items.CityManagementStone version=6 serialize=L1918 deserialize=L2010 alignment=CountMatchNeedsTypeReview:UnknownWrites=27; Data/Scripts/Custom/Government System/Items/Stones/CityVotingStone.cs:Server.Items.CityVotingStone version=0 serialize=L261 deserialize=L276 alignment=CountMatchNeedsTypeReview:UnknownWrites=5; ProjectTruth=Data/Scripts/Custom/Government System/Commands/GovHelp.cs=Keep; Data/Scripts/Custom/Government System/Commands/GovHelp.cs=Keep; Data/Scripts/Custom/Government System/Items/Deeds/CityDeed.cs=Keep; Data/Scripts/Custom/Government System/Items/Deeds/CityDeed.cs=Keep; Data/Scripts/Custom/Government System/Items/Stones/CityManagementStone.cs=Keep; Data/Scripts/Custom/Government System/Items/Stones/CityManagementStone.cs=Keep; Data/Scripts/Custom/Government System/Items/Stones/CityVotingStone.cs=Keep; Data/Scripts/Custom/Government System/Items/Stones/CityVotingStone.cs=Keep; Data/Scripts/Custom/Government System/PlayerGovernmentSystem.cs=Keep; Data/Scripts/Custom/Government System/PlayerGovernmentSystem.cs=Keep; Data/Scripts/Custom/Government System/Regions/PlayerCityRegion.cs=Keep; Data/Scripts/Custom/Government System/Regions/PlayerCityRegion.cs=Keep</t>
  </si>
  <si>
    <t>POST-BATCH-T docs source-trace review. Previous active row was PBN-0018/PBF-436. No source/project/XML/config/data behavior changed.</t>
  </si>
  <si>
    <t>RB-06698</t>
  </si>
  <si>
    <t>P10-F06698</t>
  </si>
  <si>
    <t>docs/wiki/Grave_Robbing_Trade.md</t>
  </si>
  <si>
    <t>PBT-0015</t>
  </si>
  <si>
    <t>Queue SourceEvidence=POST-BATCH-N lane=POST-BATCH-N-DOCS-SOURCE-TRACE; FileProofStatus=CurrentPathConfirmed; Documentation truth after POST-BATCH-F: SourceTracePresent=No; MissingClaims=Missing Source Trace section.; StaleClaims=; Canonical=Canonical; Target=; SourceFiles=Data/Scripts/Trades/Grave Robbing/GraveRobbing.cs; Data/Scripts/Trades/Grave Robbing/GraveShovel.cs; Data/Scripts/Trades/Grave Robbing/Bones.cs; Data/Scripts/Items/Containers/GraveChest.cs; Data/Scripts/Items/Trades/Harvest Tools/BaseHarvestTool.cs; Data/Scripts/Trades/Harvest/HarvestSystem.cs; Data/Scripts/Trades/Harvest/HarvestDefinition.cs; Data/Scripts/Trades/Harvest/HarvestBank.cs; Data/Scripts/Trades/Crafting/DefTinkering.cs; PathStatus=Data/Scripts/Trades/Grave Robbing/GraveRobbing.cs=CurrentFile; Data/Scripts/Trades/Grave Robbing/GraveShovel.cs=CurrentFile; Data/Scripts/Trades/Grave Robbing/Bones.cs=CurrentFile; Data/Scripts/Items/Containers/GraveChest.cs=CurrentFile; Data/Scripts/Items/Trades/Harvest Tools/BaseHarvestTool.cs=CurrentFile; Data/Scripts/Trades/Harvest/HarvestSystem.cs=CurrentFile; Data/Scripts/Trades/Harvest/HarvestDefinition.cs=CurrentFile; Data/Scripts/Trades/Harvest/HarvestBank.cs=CurrentFile; Data/Scripts/Trades/Crafting/DefTinkering.cs=CurrentFile; HookExamples=Data/Scripts/Trades/Crafting/DefTinkering.cs:L2807 Gump SendGump access=Internal; Data/Scripts/Trades/Grave Robbing/GraveRobbing.cs:L591 Initialize Initialize access=GlobalOrInternal; SerializerExamples=Data/Scripts/Items/Containers/GraveChest.cs:Server.Items.GraveChest version=0 serialize=L117 deserialize=L125 alignment=CountMatchNeedsTypeReview:UnknownWrites=2; Data/Scripts/Items/Trades/Harvest Tools/BaseHarvestTool.cs:Server.Items.BaseHarvestTool version=1 serialize=L222 deserialize=L234 alignment=AlignedByCountAndKnownTypes; Data/Scripts/Trades/Grave Robbing/Bones.cs:Server.Items.Bones version=0 serialize=L49 deserialize=L55 alignment=AlignedByCountAndKnownTypes; Data/Scripts/Trades/Grave Robbing/GraveShovel.cs:Server.Items.GraveShovel version=0 serialize=L33 deserialize=L39 alignment=AlignedByCountAndKnownTypes; ProjectTruth=Data/Scripts/Items/Containers/GraveChest.cs=Keep; Data/Scripts/Items/Containers/GraveChest.cs=Keep; Data/Scripts/Items/Trades/Harvest Tools/BaseHarvestTool.cs=Keep; Data/Scripts/Items/Trades/Harvest Tools/BaseHarvestTool.cs=Keep; Data/Scripts/Trades/Crafting/DefTinkering.cs=Keep; Data/Scripts/Trades/Crafting/DefTinkering.cs=Keep; Data/Scripts/Trades/Grave Robbing/Bones.cs=Keep; Data/Scripts/Trades/Grave Robbing/Bones.cs=Keep; Data/Scripts/Trades/Grave Robbing/GraveRobbing.cs=Keep; Data/Scripts/Trades/Grave Robbing/GraveRobbing.cs=Keep; Data/Scripts/Trades/Grave Robbing/GraveShovel.cs=Keep; Data/Scripts/Trades/Grave Robbing/GraveShovel.cs=Keep; Data/Scripts/Trades/Harvest/HarvestBank.cs=Keep; Data/Scripts/Trades/Harvest/HarvestBank.cs=Keep; Data/Scripts/Trades/Harvest/HarvestDefinition.cs=Keep; Data/Scripts/Trades/Harvest/HarvestDefinition.cs=Keep; Data/Scripts/Trades/Harvest/HarvestSystem.cs=Keep; Data/Scripts/Trades/Harvest/HarvestSystem.cs=Keep</t>
  </si>
  <si>
    <t>POST-BATCH-T docs source-trace review. Previous active row was PBN-0015/PBF-437. No source/project/XML/config/data behavior changed.</t>
  </si>
  <si>
    <t>RB-06699</t>
  </si>
  <si>
    <t>P10-F06699</t>
  </si>
  <si>
    <t>PBT-0021</t>
  </si>
  <si>
    <t>POST-BATCH-T docs source-trace review. Previous active row was PBN-0021/PBF-438. No source/project/XML/config/data behavior changed.</t>
  </si>
  <si>
    <t>RB-06700</t>
  </si>
  <si>
    <t>P10-F06700</t>
  </si>
  <si>
    <t>docs/wiki/Guide_To_Adventure_Book.md</t>
  </si>
  <si>
    <t>PBT-0093</t>
  </si>
  <si>
    <t>Queue SourceEvidence=POST-BATCH-N lane=POST-BATCH-N-DOCS-SOURCE-TRACE; FileProofStatus=CurrentPathConfirmed; Documentation truth after POST-BATCH-F: SourceTracePresent=No; MissingClaims=Missing Source Trace section.; StaleClaims=; Canonical=Canonical; Target=; SourceFiles=Data/Scripts/Items/Books/DynamicBook.cs; Data/Scripts/Items/Containers/GypsyShelf.cs; Data/Scripts/Mobiles/Civilized/Guilds/LibrarianGuildmaster.cs; Data/Scripts/Mobiles/Base/StoreSalesList.cs; Data/Scripts/System/Commands/Player/Basics.cs; Data/Scripts/System/Commands/Player/MyLibrary.cs; Data/Scripts/System/Help/Gumps/HelpGump.cs; PathStatus=Data/Scripts/Items/Books/DynamicBook.cs=CurrentFile; Data/Scripts/Items/Containers/GypsyShelf.cs=CurrentFile; Data/Scripts/Mobiles/Civilized/Guilds/LibrarianGuildmaster.cs=CurrentFile; Data/Scripts/Mobiles/Base/StoreSalesList.cs=CurrentFile; Data/Scripts/System/Commands/Player/Basics.cs=CurrentFile; Data/Scripts/System/Commands/Player/MyLibrary.cs=CurrentFile; Data/Scripts/System/Help/Gumps/HelpGump.cs=CurrentFile; HookExamples=Data/Scripts/Items/Books/DynamicBook.cs:L77 Gump OnResponse access=Internal; Data/Scripts/Items/Books/DynamicBook.cs:L122 Gump OnResponse access=Internal; Data/Scripts/Items/Books/DynamicBook.cs:L181 Gump OnResponse access=Internal; Data/Scripts/Items/Books/DynamicBook.cs:L452 Gump SendGump access=Internal; Data/Scripts/Items/Books/DynamicBook.cs:L460 Gump SendGump access=Internal; Data/Scripts/Items/Books/DynamicBook.cs:L468 Gump SendGump access=Internal; Data/Scripts/Items/Books/DynamicBook.cs:L858 Timer Timer.DelayCall access=GlobalOrInternal; Data/Scripts/Items/Books/DynamicBook.cs:L900 Timer Timer.DelayCall access=GlobalOrInternal; Data/Scripts/Mobiles/Civilized/Guilds/LibrarianGuildmaster.cs:L196 Gump SendGump access=Internal; Data/Scripts/System/Commands/Player/Basics.cs:L53 Gump OnResponse access=Internal; Data/Scripts/System/Commands/Player/Basics.cs:L59 Gump SendGump access=Internal; Data/Scripts/System/Commands/Player/MyLibrary.cs:L185 Gump OnResponse access=Internal; SerializerExamples=Data/Scripts/Items/Books/DynamicBook.cs:Server.Items.AlchemicalElixirs version=Unknown serialize=L1523 deserialize=L1529 alignment=AlignedByCountAndKnownTypes; Data/Scripts/Items/Books/DynamicBook.cs:Server.Items.AlchemicalMixtures version=Unknown serialize=L1563 deserialize=L1569 alignment=AlignedByCountAndKnownTypes; Data/Scripts/Items/Books/DynamicBook.cs:Server.Items.BookBottleCity version=Unknown serialize=L1017 deserialize=L1023 alignment=AlignedByCountAndKnownTypes; Data/Scripts/Items/Books/DynamicBook.cs:Server.Items.BookGuideToAdventure version=Unknown serialize=L977 deserialize=L984 alignment=AlignedByCountAndKnownTypes; Data/Scripts/Items/Books/DynamicBook.cs:Server.Items.BookofDeadClue version=Unknown serialize=L1071 deserialize=L1077 alignment=AlignedByCountAndKnownTypes; Data/Scripts/Items/Books/DynamicBook.cs:Server.Items.BookOfPoisons version=Unknown serialize=L1603 deserialize=L1609 alignment=AlignedByCountAndKnownTypes; Data/Scripts/Items/Books/DynamicBook.cs:Server.Items.CBookDruidicHerbalism version=Unknown serialize=L888 deserialize=L894 alignment=AlignedByCountAndKnownTypes; Data/Scripts/Items/Books/DynamicBook.cs:Server.Items.CBookElvesandOrks version=Unknown serialize=L1151 deserialize=L1157 alignment=AlignedByCountAndKnownTypes; Data/Scripts/Items/Books/DynamicBook.cs:Server.Items.CBookNecroticAlchemy version=Unknown serialize=L847 deserialize=L853 alignment=AlignedByCountAndKnownTypes; Data/Scripts/Items/Books/DynamicBook.cs:Server.Items.CBookTheLostTribeofSosaria version=Unknown serialize=L1327 deserialize=L1333 alignment=AlignedByCountAndKnownTypes; Data/Scripts/Items/Books/DynamicBook.cs:Server.Items.CBookTombofDurmas version=Unknown serialize=L1111 deserialize=L1117 alignment=AlignedByCountAndKnownTypes; Data/Scripts/Items/Books/DynamicBook.cs:Server.Items.DynamicBook version=0 serialize=L482 deserialize=L498 alignment=CountMatchNeedsTypeReview:UnknownWrites=10; ProjectTruth=Data/Scripts/Items/Books/DynamicBook.cs=Keep; Data/Scripts/Items/Books/DynamicBook.cs=Keep; Data/Scripts/Items/Containers/GypsyShelf.cs=Keep; Data/Scripts/Items/Containers/GypsyShelf.cs=Keep; Data/Scripts/Mobiles/Base/StoreSalesList.cs=Keep; Data/Scripts/Mobiles/Base/StoreSalesList.cs=Keep; Data/Scripts/Mobiles/Civilized/Guilds/LibrarianGuildmaster.cs=Keep; Data/Scripts/Mobiles/Civilized/Guilds/LibrarianGuildmaster.cs=Keep; Data/Scripts/System/Commands/Player/Basics.cs=Keep; Data/Scripts/System/Commands/Player/Basics.cs=Keep; Data/Scripts/System/Commands/Player/MyLibrary.cs=Keep; Data/Scripts/System/Commands/Player/MyLibrary.cs=Keep; Data/Scripts/System/Help/Gumps/HelpGump.cs=Keep; Data/Scripts/System/Help/Gumps/HelpGump.cs=Keep</t>
  </si>
  <si>
    <t>POST-BATCH-T docs source-trace review. Previous active row was PBN-0093/PBF-439. No source/project/XML/config/data behavior changed.</t>
  </si>
  <si>
    <t>RB-06701</t>
  </si>
  <si>
    <t>P10-F06701</t>
  </si>
  <si>
    <t>docs/wiki/Gump_Framework.md</t>
  </si>
  <si>
    <t>PBT-0094</t>
  </si>
  <si>
    <t>Queue SourceEvidence=POST-BATCH-N lane=POST-BATCH-N-DOCS-SOURCE-TRACE; FileProofStatus=CurrentPathConfirmed; Documentation truth after POST-BATCH-F: SourceTracePresent=No; MissingClaims=Missing Source Trace section.; StaleClaims=; Canonical=Canonical; Target=; SourceFiles=Data/System/Source/Gumps; Data/System/Source/Network/PacketHandlers.cs; Data/Scripts/System/Gumps; PathStatus=Data/System/Source/Gumps=CurrentDirectory; Data/System/Source/Network/PacketHandlers.cs=CurrentFile; Data/Scripts/System/Gumps=CurrentDirectory; HookExamples=Data/Scripts/System/Gumps/AddGump.cs:L18 Initialize Initialize access=GlobalOrInternal; Data/Scripts/System/Gumps/AddGump.cs:L20 Command CommandSystem.Register access=Unknown; Data/Scripts/System/Gumps/AddGump.cs:L52 Gump SendGump access=Internal; Data/Scripts/System/Gumps/AddGump.cs:L247 Gump SendGump access=Internal; Data/Scripts/System/Gumps/AddGump.cs:L251 Gump OnResponse access=Internal; Data/Scripts/System/Gumps/AddGump.cs:L265 Gump SendGump access=Internal; Data/Scripts/System/Gumps/AddGump.cs:L269 Gump SendGump access=Internal; Data/Scripts/System/Gumps/AddGump.cs:L277 Gump SendGump access=Internal; Data/Scripts/System/Gumps/AddGump.cs:L286 Gump SendGump access=Internal; Data/Scripts/System/Gumps/BanDurationGump.cs:L81 Gump OnResponse access=Internal; Data/Scripts/System/Gumps/BanDurationGump.cs:L267 Gump SendGump access=Internal; Data/Scripts/System/Gumps/BaseConfirmGump.cs:L67 Gump OnResponse access=Internal; SerializerExamples=Data/System/Source/Network/PacketHandlers.cs:Unknown version=Unknown serialize=L deserialize=L alignment=AlignedByCountAndKnownTypes; ProjectTruth=Data/Scripts/System/Gumps/AddGump.cs=Keep; Data/Scripts/System/Gumps/AddGump.cs=Keep; Data/Scripts/System/Gumps/BanDurationGump.cs=Keep; Data/Scripts/System/Gumps/BanDurationGump.cs=Keep; Data/Scripts/System/Gumps/BaseConfirmGump.cs=Keep; Data/Scripts/System/Gumps/BaseConfirmGump.cs=Keep; Data/Scripts/System/Gumps/BaseGridGump.cs=Keep; Data/Scripts/System/Gumps/BaseGridGump.cs=Keep; Data/Scripts/System/Gumps/BaseImageTileButtonsGump.cs=Keep; Data/Scripts/System/Gumps/BaseImageTileButtonsGump.cs=Keep; Data/Scripts/System/Gumps/CategorizedAddGump.cs=Keep; Data/Scripts/System/Gumps/CategorizedAddGump.cs=Keep; Data/Scripts/System/Gumps/ClientGump.cs=Keep; Data/Scripts/System/Gumps/ClientGump.cs=Keep; Data/Scripts/System/Gumps/ClueGump.cs=Keep; Data/Scripts/System/Gumps/ClueGump.cs=Keep; Data/Scripts/System/Gumps/ConfirmBreakCrystalGump.cs=Keep; Data/Scripts/System/Gumps/ConfirmBreakCrystalGump.cs=Keep; Data/Scripts/System/Gumps/ConfirmHouseResize.cs=Keep; Data/Scripts/System/Gumps/ConfirmHouseResize.cs=Keep</t>
  </si>
  <si>
    <t>POST-BATCH-T docs source-trace review. Previous active row was PBN-0094/PBF-440. No source/project/XML/config/data behavior changed.</t>
  </si>
  <si>
    <t>RB-06702</t>
  </si>
  <si>
    <t>P10-F06702</t>
  </si>
  <si>
    <t>docs/wiki/Harvest_Resource_System.md</t>
  </si>
  <si>
    <t>PBT-0022</t>
  </si>
  <si>
    <t>Queue SourceEvidence=POST-BATCH-N lane=POST-BATCH-N-DOCS-SOURCE-TRACE; FileProofStatus=CurrentPathConfirmed; Documentation truth after POST-BATCH-F: SourceTracePresent=No; MissingClaims=Missing Source Trace section.; StaleClaims=; Canonical=Canonical; Target=; SourceFiles=Data/Scripts/Trades/Harvest/HarvestSystem.cs; Data/Scripts/Trades/Harvest/HarvestDefinition.cs; Data/Scripts/Trades/Harvest/HarvestBank.cs; Data/Scripts/Trades/Harvest/HarvestResource.cs; Data/Scripts/Trades/Harvest/HarvestVein.cs; Data/Scripts/Trades/Harvest/BonusHarvestResource.cs; Data/Scripts/Trades/Harvest/HarvestTarget.cs; Data/Scripts/Trades/Harvest/HarvestTimer.cs; Data/Scripts/Trades/Harvest/HarvestSoundTimer.cs; Data/Scripts/Items/Trades/Harvest Tools/BaseHarvestTool.cs; PathStatus=Data/Scripts/Trades/Harvest/HarvestSystem.cs=CurrentFile; Data/Scripts/Trades/Harvest/HarvestDefinition.cs=CurrentFile; Data/Scripts/Trades/Harvest/HarvestBank.cs=CurrentFile; Data/Scripts/Trades/Harvest/HarvestResource.cs=CurrentFile; Data/Scripts/Trades/Harvest/HarvestVein.cs=CurrentFile; Data/Scripts/Trades/Harvest/BonusHarvestResource.cs=CurrentFile; Data/Scripts/Trades/Harvest/HarvestTarget.cs=CurrentFile; Data/Scripts/Trades/Harvest/HarvestTimer.cs=CurrentFile; Data/Scripts/Trades/Harvest/HarvestSoundTimer.cs=CurrentFile; Data/Scripts/Items/Trades/Harvest Tools/BaseHarvestTool.cs=CurrentFile; HookExamples=Data/Scripts/Trades/Harvest/HarvestSoundTimer.cs:L5 Timer CustomTimerSubclass access=GlobalOrInternal; Data/Scripts/Trades/Harvest/HarvestTimer.cs:L5 Timer CustomTimerSubclass access=GlobalOrInternal; SerializerExamples=Data/Scripts/Items/Trades/Harvest Tools/BaseHarvestTool.cs:Server.Items.BaseHarvestTool version=1 serialize=L222 deserialize=L234 alignment=AlignedByCountAndKnownTypes; ProjectTruth=Data/Scripts/Items/Trades/Harvest Tools/BaseHarvestTool.cs=Keep; Data/Scripts/Items/Trades/Harvest Tools/BaseHarvestTool.cs=Keep; Data/Scripts/Trades/Harvest/BonusHarvestResource.cs=Keep; Data/Scripts/Trades/Harvest/BonusHarvestResource.cs=Keep; Data/Scripts/Trades/Harvest/HarvestBank.cs=Keep; Data/Scripts/Trades/Harvest/HarvestBank.cs=Keep; Data/Scripts/Trades/Harvest/HarvestDefinition.cs=Keep; Data/Scripts/Trades/Harvest/HarvestDefinition.cs=Keep; Data/Scripts/Trades/Harvest/HarvestResource.cs=Keep; Data/Scripts/Trades/Harvest/HarvestResource.cs=Keep; Data/Scripts/Trades/Harvest/HarvestSoundTimer.cs=Keep; Data/Scripts/Trades/Harvest/HarvestSoundTimer.cs=Keep; Data/Scripts/Trades/Harvest/HarvestSystem.cs=Keep; Data/Scripts/Trades/Harvest/HarvestSystem.cs=Keep; Data/Scripts/Trades/Harvest/HarvestTarget.cs=Keep; Data/Scripts/Trades/Harvest/HarvestTarget.cs=Keep; Data/Scripts/Trades/Harvest/HarvestTimer.cs=Keep; Data/Scripts/Trades/Harvest/HarvestTimer.cs=Keep; Data/Scripts/Trades/Harvest/HarvestVein.cs=Keep; Data/Scripts/Trades/Harvest/HarvestVein.cs=Keep</t>
  </si>
  <si>
    <t>POST-BATCH-T docs source-trace review. Previous active row was PBN-0022/PBF-441. No source/project/XML/config/data behavior changed.</t>
  </si>
  <si>
    <t>RB-06703</t>
  </si>
  <si>
    <t>P10-F06703</t>
  </si>
  <si>
    <t>docs/wiki/Help_Request_System.md</t>
  </si>
  <si>
    <t>PBT-0095</t>
  </si>
  <si>
    <t>Queue SourceEvidence=POST-BATCH-N lane=POST-BATCH-N-DOCS-SOURCE-TRACE; FileProofStatus=CurrentPathConfirmed; Documentation truth after POST-BATCH-F: SourceTracePresent=No; MissingClaims=Missing Source Trace section.; StaleClaims=; Canonical=Canonical; Target=; SourceFiles=Data/System/Source/Network/PacketHandlers.cs; Data/System/Source/EventSink.cs; Data/Scripts/System/Help/Gumps/HelpGump.cs; Data/Scripts/System/Help/PageQueue.cs; Data/Scripts/System/Help/PagePrompt.cs; Data/Scripts/System/Help/Gumps/PagePromptGump.cs; Data/Scripts/System/Help/Gumps/PageQueueGump.cs; Data/Scripts/System/Help/Gumps/PageResponseGump.cs; Data/Scripts/System/Help/SpeechLog.cs; Data/Scripts/System/Help/Gumps/SpeechLogGump.cs; Data/Scripts/System/Help/StuckMenu.cs; Data/Scripts/System/Help; PathStatus=Data/System/Source/Network/PacketHandlers.cs=CurrentFile; Data/System/Source/EventSink.cs=CurrentFile; Data/Scripts/System/Help/Gumps/HelpGump.cs=CurrentFile; Data/Scripts/System/Help/PageQueue.cs=CurrentFile; Data/Scripts/System/Help/PagePrompt.cs=CurrentFile; Data/Scripts/System/Help/Gumps/PagePromptGump.cs=CurrentFile; Data/Scripts/System/Help/Gumps/PageQueueGump.cs=CurrentFile; Data/Scripts/System/Help/Gumps/PageResponseGump.cs=CurrentFile; Data/Scripts/System/Help/SpeechLog.cs=CurrentFile; Data/Scripts/System/Help/Gumps/SpeechLogGump.cs=CurrentFile; Data/Scripts/System/Help/StuckMenu.cs=CurrentFile; Data/Scripts/System/Help=CurrentDirectory; HookExamples=Data/Scripts/System/Help/Gumps/HelpGump.cs:L42 Gump OnResponse access=Internal; Data/Scripts/System/Help/Gumps/HelpGump.cs:L69 Initialize Initialize access=GlobalOrInternal; Data/Scripts/System/Help/Gumps/HelpGump.cs:L71 Event EventSink access=GlobalOrInternal; Data/Scripts/System/Help/Gumps/HelpGump.cs:L96 Gump SendGump access=Internal; Data/Scripts/System/Help/Gumps/HelpGump.cs:L2162 Gump OnResponse access=Internal; Data/Scripts/System/Help/Gumps/HelpGump.cs:L2173 Gump SendGump access=Internal; Data/Scripts/System/Help/Gumps/HelpGump.cs:L2177 Gump SendGump access=Internal; Data/Scripts/System/Help/Gumps/HelpGump.cs:L2367 Gump SendGump access=Internal; Data/Scripts/System/Help/Gumps/HelpGump.cs:L2373 Gump SendGump access=Internal; Data/Scripts/System/Help/Gumps/HelpGump.cs:L2384 Gump SendGump access=Internal; Data/Scripts/System/Help/Gumps/HelpGump.cs:L2399 Gump SendGump access=Internal; Data/Scripts/System/Help/Gumps/HelpGump.cs:L2410 Gump SendGump access=Internal; SerializerExamples=Data/System/Source/Network/PacketHandlers.cs:Unknown version=Unknown serialize=L deserialize=L alignment=AlignedByCountAndKnownTypes; ProjectTruth=Data/Scripts/System/Help/Gumps/HelpGump.cs=Keep; Data/Scripts/System/Help/Gumps/HelpGump.cs=Keep; Data/Scripts/System/Help/Gumps/PagePromptGump.cs=Keep; Data/Scripts/System/Help/Gumps/PagePromptGump.cs=Keep; Data/Scripts/System/Help/Gumps/PageQueueGump.cs=Keep; Data/Scripts/System/Help/Gumps/PageQueueGump.cs=Keep; Data/Scripts/System/Help/Gumps/PageResponseGump.cs=Keep; Data/Scripts/System/Help/Gumps/PageResponseGump.cs=Keep; Data/Scripts/System/Help/Gumps/SpeechLogGump.cs=Keep; Data/Scripts/System/Help/Gumps/SpeechLogGump.cs=Keep; Data/Scripts/System/Help/PagePrompt.cs=Keep; Data/Scripts/System/Help/PagePrompt.cs=Keep; Data/Scripts/System/Help/PageQueue.cs=Keep; Data/Scripts/System/Help/PageQueue.cs=Keep; Data/Scripts/System/Help/ServerSettings.cs=Keep; Data/Scripts/System/Help/ServerSettings.cs=Keep; Data/Scripts/System/Help/SpeechLog.cs=Keep; Data/Scripts/System/Help/SpeechLog.cs=Keep; Data/Scripts/System/Help/StuckMenu.cs=Keep; Data/Scripts/System/Help/StuckMenu.cs=Keep</t>
  </si>
  <si>
    <t>POST-BATCH-T docs source-trace review. Previous active row was PBN-0095/PBF-442. No source/project/XML/config/data behavior changed.</t>
  </si>
  <si>
    <t>RB-06704</t>
  </si>
  <si>
    <t>P10-F06704</t>
  </si>
  <si>
    <t>docs/wiki/Holy_Man_Magic.md</t>
  </si>
  <si>
    <t>PBT-0036</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</si>
  <si>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SourceFiles=Data/Scripts/Magic/Holy Man/HolyManSpell.cs; Data/Scripts/Magic/Holy Man/HolyManSpellBook.cs; Data/Scripts/Magic/Holy Man/HolyManCommands.cs; Data/Scripts/Magic/Holy Man/HolySymbols.cs; Data/Scripts/Magic/Holy Man/HolySymbol.cs; PathStatus=Data/Scripts/Magic/Holy Man/HolyManSpell.cs=CurrentFile; Data/Scripts/Magic/Holy Man/HolyManSpellBook.cs=CurrentFile; Data/Scripts/Magic/Holy Man/HolyManCommands.cs=CurrentFile; Data/Scripts/Magic/Holy Man/HolySymbols.cs=CurrentFile; Data/Scripts/Magic/Holy Man/HolySymbol.cs=CurrentFile; HookExamples=Data/Scripts/Magic/Holy Man/HolyManCommands.cs:L15 Initialize Initialize access=GlobalOrInternal; Data/Scripts/Magic/Holy Man/HolyManCommands.cs:L65 Command CommandSystem.Register access=Unknown; Data/Scripts/Magic/Holy Man/HolyManSpellBook.cs:L93 Gump SendGump access=Internal; SerializerExamples=Data/Scripts/Magic/Holy Man/HolyManSpellBook.cs:Server.Items.HolyManSpellbook version=0 serialize=L111 deserialize=L118 alignment=AlignedByCountAndKnownTypes; Data/Scripts/Magic/Holy Man/HolySymbol.cs:Server.Items.HolySymbol version=1 serialize=L64 deserialize=L72 alignment=CountMatchNeedsTypeReview:UnknownWrites=1; Data/Scripts/Magic/Holy Man/HolySymbols.cs:Server.Items.HolyManSymbol770 version=0 serialize=L32 deserialize=L38 alignment=AlignedByCountAndKnownTypes; Data/Scripts/Magic/Holy Man/HolySymbols.cs:Server.Items.HolyManSymbol771 version=0 serialize=L71 deserialize=L77 alignment=AlignedByCountAndKnownTypes; Data/Scripts/Magic/Holy Man/HolySymbols.cs:Server.Items.HolyManSymbol772 version=0 serialize=L110 deserialize=L116 alignment=AlignedByCountAndKnownTypes; Data/Scripts/Magic/Holy Man/HolySymbols.cs:Server.Items.HolyManSymbol773 version=0 serialize=L149 deserialize=L155 alignment=AlignedByCountAndKnownTypes; Data/Scripts/Magic/Holy Man/HolySymbols.cs:Server.Items.HolyManSymbol774 version=0 serialize=L188 deserialize=L194 alignment=AlignedByCountAndKnownTypes; Data/Scripts/Magic/Holy Man/HolySymbols.cs:Server.Items.HolyManSymbol775 version=0 serialize=L227 deserialize=L233 alignment=AlignedByCountAndKnownTypes; Data/Scripts/Magic/Holy Man/HolySymbols.cs:Server.Items.HolyManSymbol776 version=0 serialize=L266 deserialize=L272 alignment=AlignedByCountAndKnownTypes; Data/Scripts/Magic/Holy Man/HolySymbols.cs:Server.Items.HolyManSymbol777 version=0 serialize=L305 deserialize=L311 alignment=AlignedByCountAndKnownTypes; Data/Scripts/Magic/Holy Man/HolySymbols.cs:Server.Items.HolyManSymbol778 version=0 serialize=L344 deserialize=L350 alignment=AlignedByCountAndKnownTypes; Data/Scripts/Magic/Holy Man/HolySymbols.cs:Server.Items.HolyManSymbol779 version=0 serialize=L383 deserialize=L389 alignment=AlignedByCountAndKnownTypes; ProjectTruth=Data/Scripts/Magic/Holy Man/HolyManCommands.cs=Keep; Data/Scripts/Magic/Holy Man/HolyManCommands.cs=Keep; Data/Scripts/Magic/Holy Man/HolyManSpell.cs=Keep; Data/Scripts/Magic/Holy Man/HolyManSpell.cs=Keep; Data/Scripts/Magic/Holy Man/HolyManSpellBook.cs=Keep; Data/Scripts/Magic/Holy Man/HolyManSpellBook.cs=Keep; Data/Scripts/Magic/Holy Man/HolySymbol.cs=Keep; Data/Scripts/Magic/Holy Man/HolySymbol.cs=Keep; Data/Scripts/Magic/Holy Man/HolySymbols.cs=Keep; Data/Scripts/Magic/Holy Man/HolySymbols.cs=Keep</t>
  </si>
  <si>
    <t>POST-BATCH-T docs source-trace review. Previous active row was PBN-0036/PBF-443. No source/project/XML/config/data behavior changed.</t>
  </si>
  <si>
    <t>RB-06705</t>
  </si>
  <si>
    <t>P10-F06705</t>
  </si>
  <si>
    <t>docs/wiki/Homestead_System.md</t>
  </si>
  <si>
    <t>PBT-0026</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</si>
  <si>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SourceFiles=Data/Scripts/Custom/Vhaerun's CRL Homestead System [2.0]/; PathStatus=Data/Scripts/Custom/Vhaerun's CRL Homestead System [2.0]/=CurrentDirectory; HookExamples=Data/Scripts/Custom/Vhaerun's CRL Homestead System [2.0]/Dracana's Winecrafting [2.0]/Commands/AddGrapevines.cs:L18 Initialize Initialize access=GlobalOrInternal; Data/Scripts/Custom/Vhaerun's CRL Homestead System [2.0]/Dracana's Winecrafting [2.0]/Commands/AddGrapevines.cs:L20 Command CommandSystem.Register access=Unknown; Data/Scripts/Custom/Vhaerun's CRL Homestead System [2.0]/Dracana's Winecrafting [2.0]/Commands/AddGrapevines.cs:L31 Gump SendGump access=Internal; Data/Scripts/Custom/Vhaerun's CRL Homestead System [2.0]/Dracana's Winecrafting [2.0]/Gumps/AddGrapevineGump.cs:L321 Gump SendGump access=Internal; Data/Scripts/Custom/Vhaerun's CRL Homestead System [2.0]/Dracana's Winecrafting [2.0]/Gumps/AddGrapevineGump.cs:L328 Gump SendGump access=Internal; Data/Scripts/Custom/Vhaerun's CRL Homestead System [2.0]/Dracana's Winecrafting [2.0]/Gumps/AddGrapevineGump.cs:L338 Gump SendGump access=Internal; Data/Scripts/Custom/Vhaerun's CRL Homestead System [2.0]/Dracana's Winecrafting [2.0]/Gumps/AddGrapevineGump.cs:L349 Gump SendGump access=Internal; Data/Scripts/Custom/Vhaerun's CRL Homestead System [2.0]/Dracana's Winecrafting [2.0]/Gumps/AddGrapevineGump.cs:L486 Gump OnResponse access=Internal; Data/Scripts/Custom/Vhaerun's CRL Homestead System [2.0]/Dracana's Winecrafting [2.0]/Gumps/AddGrapevineGump.cs:L513 Gump SendGump access=Internal; Data/Scripts/Custom/Vhaerun's CRL Homestead System [2.0]/Dracana's Winecrafting [2.0]/Gumps/AddGrapevineGump.cs:L539 Gump SendGump access=Internal; Data/Scripts/Custom/Vhaerun's CRL Homestead System [2.0]/Dracana's Winecrafting [2.0]/Gumps/AddGrapevineGump.cs:L551 Gump SendGump access=Internal; Data/Scripts/Custom/Vhaerun's CRL Homestead System [2.0]/Dracana's Winecrafting [2.0]/Gumps/AddGrapevineGump.cs:L564 Gump SendGump access=Internal; SerializerExamples=Data/Scripts/Custom/Vhaerun's CRL Homestead System [2.0]/Dracana's Winecrafting [2.0]/Addons/BottleRackAddon.cs:Server.Items.bottlerackAddon version=0 serialize=L63 deserialize=L69 alignment=AlignedByCountAndKnownTypes; Data/Scripts/Custom/Vhaerun's CRL Homestead System [2.0]/Dracana's Winecrafting [2.0]/Addons/BottleRackAddon.cs:Server.Items.bottlerackAddonDeed version=0 serialize=L92 deserialize=L98 alignment=AlignedByCountAndKnownTypes; Data/Scripts/Custom/Vhaerun's CRL Homestead System [2.0]/Dracana's Winecrafting [2.0]/Addons/KegStorageAddon.cs:Server.Items.kegstorageAddon version=0 serialize=L126 deserialize=L132 alignment=AlignedByCountAndKnownTypes; Data/Scripts/Custom/Vhaerun's CRL Homestead System [2.0]/Dracana's Winecrafting [2.0]/Addons/KegStorageAddon.cs:Server.Items.kegstorageAddonDeed version=0 serialize=L155 deserialize=L161 alignment=AlignedByCountAndKnownTypes; Data/Scripts/Custom/Vhaerun's CRL Homestead System [2.0]/Dracana's Winecrafting [2.0]/Items/Craft Items/Resources/WinecrafterSugar.cs:Server.Items.WinecrafterSugar version=0 serialize=L40 deserialize=L47 alignment=AlignedByCountAndKnownTypes; Data/Scripts/Custom/Vhaerun's CRL Homestead System [2.0]/Dracana's Winecrafting [2.0]/Items/Craft Items/Resources/WinecrafterYeast.cs:Server.Items.WinecrafterYeast version=0 serialize=L35 deserialize=L42 alignment=AlignedByCountAndKnownTypes; Data/Scripts/Custom/Vhaerun's CRL Homestead System [2.0]/Dracana's Winecrafting [2.0]/Items/Craft Items/Resources/WineGrapes.cs:Server.Items.BaseWineGrapes version=1 serialize=L33 deserialize=L42 alignment=CountMismatch:Writes=1;Reads=2; Data/Scripts/Custom/Vhaerun's CRL Homestead System [2.0]/Dracana's Winecrafting [2.0]/Items/Craft Items/Resources/WineGrapes.cs:Server.Items.CabernetSauvignonGrapes version=0 serialize=L167 deserialize=L174 alignment=AlignedByCountAndKnownTypes; Data/Scripts/Custom/Vhaerun's CRL Homestead System [2.0]/Dracana's Winecrafting [2.0]/Items/Craft Items/Resources/WineGrapes.cs:Server.Items.ChardonnayGrapes version=0 serialize=L195 deserialize=L202 alignment=AlignedByCountAndKnownTypes; Data/Scripts/Custom/Vhaerun's CRL Homestead System [2.0]/Dracana's Winecrafting [2.0]/Items/Craft Items/Resources/WineGrapes.cs:Server.Items.CheninBlancGrapes version=0 serialize=L223 deserialize=L230 alignment=AlignedByCountAndKnownTypes; Data/Scripts/Custom/Vhaerun's CRL Homestead System [2.0]/Dracana's Winecrafting [2.0]/Items/Craft Items/Resources/WineGrapes.cs:Server.Items.MerlotGrapes version=0 serialize=L251 deserialize=L258 alignment=AlignedByCountAndKnownTypes; Data/Scripts/Custom/Vhaerun's CRL Homestead System [2.0]/Dracana's Winecrafting [2.0]/Items/Craft Items/Resources/WineGrapes.cs:Server.Items.PinotNoirGrapes version=0 serialize=L279 deserialize=L286 alignment=AlignedByCountAndKnownTypes; ProjectTruth=Data/Scripts/Custom/Vhaerun's CRL Homestead System [2.0]/Dracana's Winecrafting [2.0]/Addons/BottleRackAddon.cs=Keep; Data/Scripts/Custom/Vhaerun's CRL Homestead System [2.0]/Dracana's Winecrafting [2.0]/Addons/BottleRackAddon.cs=Keep; Data/Scripts/Custom/Vhaerun's CRL Homestead System [2.0]/Dracana's Winecrafting [2.0]/Addons/KegStorageAddon.cs=Keep; Data/Scripts/Custom/Vhaerun's CRL Homestead System [2.0]/Dracana's Winecrafting [2.0]/Addons/KegStorageAddon.cs=Keep; Data/Scripts/Custom/Vhaerun's CRL Homestead System [2.0]/Dracana's Winecrafting [2.0]/Commands/AddGrapevines.cs=Keep; Data/Scripts/Custom/Vhaerun's CRL Homestead System [2.0]/Dracana's Winecrafting [2.0]/Commands/AddGrapevines.cs=Keep; Data/Scripts/Custom/Vhaerun's CRL Homestead System [2.0]/Dracana's Winecrafting [2.0]/Commands/VinePlacement.cs=Keep; Data/Scripts/Custom/Vhaerun's CRL Homestead System [2.0]/Dracana's Winecrafting [2.0]/Commands/VinePlacement.cs=Keep; Data/Scripts/Custom/Vhaerun's CRL Homestead System [2.0]/Dracana's Winecrafting [2.0]/Craft/DefWinecrafting.cs=Keep; Data/Scripts/Custom/Vhaerun's CRL Homestead System [2.0]/Dracana's Winecrafting [2.0]/Craft/DefWinecrafting.cs=Keep; Data/Scripts/Custom/Vhaerun's CRL Homestead System [2.0]/Dracana's Winecrafting [2.0]/Gumps/AddGrapevineGump.cs=Keep; Data/Scripts/Custom/Vhaerun's CRL Homestead System [2.0]/Dracana's Winecrafting [2.0]/Gumps/AddGrapevineGump.cs=Keep; Data/Scripts/Custom/Vhaerun's CRL Homestead System [2.0]/Dracana's Winecrafting [2.0]/Items/Craft Items/Resources/WinecrafterSugar.cs=Keep; Data/Scripts/Custom/Vhaerun's CRL Homestead System [2.0]/Dracana's Winecrafting [2.0]/Items/Craft Items/Resources/WinecrafterSugar.cs=Keep; Data/Scripts/Custom/Vhaerun's CRL Homestead System [2.0]/Dracana's Winecrafting [2.0]/Items/Craft Items/Resources/WinecrafterYeast.cs=Keep; Data/Scripts/Custom/Vhaerun's CRL Homestead System [2.0]/Dracana's Winecrafting [2.0]/Items/Craft Items/Resources/WinecrafterYeast.cs=Keep; Data/Scripts/Custom/Vhaerun's CRL Homestead System [2.0]/Dracana's Winecrafting [2.0]/Items/Craft Items/Resources/WineGrapes.cs=Keep; Data/Scripts/Custom/Vhaerun's CRL Homestead System [2.0]/Dracana's Winecrafting [2.0]/Items/Craft Items/Resources/WineGrapes.cs=Keep; Data/Scripts/Custom/Vhaerun's CRL Homestead System [2.0]/Dracana's Winecrafting [2.0]/Items/Craft Items/Tools/VinyardLabelMaker.cs=Keep; Data/Scripts/Custom/Vhaerun's CRL Homestead System [2.0]/Dracana's Winecrafting [2.0]/Items/Craft Items/Tools/VinyardLabelMaker.cs=Keep</t>
  </si>
  <si>
    <t>POST-BATCH-T docs source-trace review. Previous active row was PBN-0026/PBF-444. No source/project/XML/config/data behavior changed.</t>
  </si>
  <si>
    <t>RB-06706</t>
  </si>
  <si>
    <t>P10-F06706</t>
  </si>
  <si>
    <t>docs/wiki/Housing_System.md</t>
  </si>
  <si>
    <t>PBT-0029</t>
  </si>
  <si>
    <t>Queue SourceEvidence=POST-BATCH-N lane=POST-BATCH-N-DOCS-SOURCE-TRACE; FileProofStatus=CurrentPathConfirmed; Documentation truth after POST-BATCH-F: SourceTracePresent=No; MissingClaims=Missing Source Trace section.; StaleClaims=; Canonical=Canonical; Target=; SourceFiles=Data/Scripts/Items/Houses/BaseHouse.cs; Data/Scripts/Items/Houses/HousePlacement.cs; Data/Scripts/Items/Houses/HousePlacementTool.cs; Data/Scripts/Items/Houses/Deeds.cs; Data/Scripts/Items/Houses/HouseSign.cs; Data/Scripts/System/Regions/HouseRegion.cs; Data/Scripts/Items/Houses/HouseFoundation.cs; Data/Scripts/System/Gumps/HouseGump.cs; Data/Scripts/System/Gumps/HouseGumpAOS.cs; Data/Scripts/System/Gumps/HouseDemolishGump.cs; Data/Scripts/System/Gumps/ConfirmHouseResize.cs; Data/Scripts/System/Gumps/SetSecureLevelGump.cs; Data/Scripts/Items/Houses/Houses.cs; Data/Scripts/Items/Houses/NewHouses.cs; Data/Scripts/Items/Houses/SmallTents.cs; Data/Scripts/Items/Houses/MovingCrate.cs; Data/Scripts/Items/Houses/InteriorDecorator.cs; PathStatus=Data/Scripts/Items/Houses/BaseHouse.cs=CurrentFile; Data/Scripts/Items/Houses/HousePlacement.cs=CurrentFile; Data/Scripts/Items/Houses/HousePlacementTool.cs=CurrentFile; Data/Scripts/Items/Houses/Deeds.cs=CurrentFile; Data/Scripts/Items/Houses/HouseSign.cs=CurrentFile; Data/Scripts/System/Regions/HouseRegion.cs=CurrentFile; Data/Scripts/Items/Houses/HouseFoundation.cs=CurrentFile; Data/Scripts/System/Gumps/HouseGump.cs=CurrentFile; Data/Scripts/System/Gumps/HouseGumpAOS.cs=CurrentFile; Data/Scripts/System/Gumps/HouseDemolishGump.cs=CurrentFile; Data/Scripts/System/Gumps/ConfirmHouseResize.cs=CurrentFile; Data/Scripts/System/Gumps/SetSecureLevelGump.cs=CurrentFile; Data/Scripts/Items/Houses/Houses.cs=CurrentFile; Data/Scripts/Items/Houses/NewHouses.cs=CurrentFile; Data/Scripts/Items/Houses/SmallTents.cs=CurrentFile; Data/Scripts/Items/Houses/MovingCrate.cs=CurrentFile; Data/Scripts/Items/Houses/InteriorDecorator.cs=CurrentFile; HookExamples=Data/Scripts/Items/Houses/BaseHouse.cs:L203 Timer Timer.DelayCall access=GlobalOrInternal; Data/Scripts/Items/Houses/BaseHouse.cs:L974 Timer Timer.DelayCall access=GlobalOrInternal; Data/Scripts/Items/Houses/BaseHouse.cs:L2312 Gump SendGump access=Internal; Data/Scripts/Items/Houses/BaseHouse.cs:L2328 Gump SendGump access=Internal; Data/Scripts/Items/Houses/BaseHouse.cs:L2348 Gump SendGump access=Internal; Data/Scripts/Items/Houses/BaseHouse.cs:L2462 Gump SendGump access=Internal; Data/Scripts/Items/Houses/BaseHouse.cs:L2499 Gump SendGump access=Internal; Data/Scripts/Items/Houses/BaseHouse.cs:L3187 Timer Timer.DelayCall access=GlobalOrInternal; Data/Scripts/Items/Houses/BaseHouse.cs:L3196 Timer Timer.DelayCall access=GlobalOrInternal; Data/Scripts/Items/Houses/BaseHouse.cs:L3199 Timer Timer.DelayCall access=GlobalOrInternal; Data/Scripts/Items/Houses/BaseHouse.cs:L3257 Timer Timer.DelayCall access=GlobalOrInternal; Data/Scripts/Items/Houses/BaseHouse.cs:L3541 Timer CustomTimerSubclass access=GlobalOrInternal; SerializerExamples=Data/Scripts/Items/Houses/BaseHouse.cs:Server.Multis.BaseHouse version=14 serialize=L2921 deserialize=L2990 alignment=CountMismatch:Writes=28;Reads=31; Data/Scripts/Items/Houses/BaseHouse.cs:Server.Multis.SecureInfo version=Unknown serialize=L4090 deserialize=L alignment=CountMismatch:Writes=2;Reads=0; Data/Scripts/Items/Houses/BaseHouse.cs:Server.Multis.TransferItem version=0 serialize=L2163 deserialize=L2170 alignment=AlignedByCountAndKnownTypes; Data/Scripts/Items/Houses/Deeds.cs:Server.Multis.Deeds.BrickHouseDeed version=0 serialize=L459 deserialize=L466 alignment=AlignedByCountAndKnownTypes; Data/Scripts/Items/Houses/Deeds.cs:Server.Multis.Deeds.CastleDeed version=0 serialize=L649 deserialize=L656 alignment=AlignedByCountAndKnownTypes; Data/Scripts/Items/Houses/Deeds.cs:Server.Multis.Deeds.FieldStoneHouseDeed version=0 serialize=L269 deserialize=L276 alignment=AlignedByCountAndKnownTypes; Data/Scripts/Items/Houses/Deeds.cs:Server.Multis.Deeds.HouseDeed version=1 serialize=L73 deserialize=L84 alignment=CountMatchNeedsTypeReview:UnknownWrites=2; Data/Scripts/Items/Houses/Deeds.cs:Server.Multis.Deeds.KeepDeed version=0 serialize=L611 deserialize=L618 alignment=AlignedByCountAndKnownTypes; Data/Scripts/Items/Houses/Deeds.cs:Server.Multis.Deeds.LargeMarbleDeed version=0 serialize=L725 deserialize=L732 alignment=AlignedByCountAndKnownTypes; Data/Scripts/Items/Houses/Deeds.cs:Server.Multis.Deeds.LargePatioDeed version=0 serialize=L687 deserialize=L694 alignment=AlignedByCountAndKnownTypes; Data/Scripts/Items/Houses/Deeds.cs:Server.Multis.Deeds.LogCabinDeed version=0 serialize=L801 deserialize=L808 alignment=AlignedByCountAndKnownTypes; Data/Scripts/Items/Houses/Deeds.cs:Server.Multis.Deeds.MarbleWorkshopDeed version=0 serialize=L953 deserialize=L960 alignment=AlignedByCountAndKnownTypes; ProjectTruth=Data/Scripts/Items/Houses/BaseHouse.cs=Keep; Data/Scripts/Items/Houses/BaseHouse.cs=Keep; Data/Scripts/Items/Houses/Deeds.cs=Keep; Data/Scripts/Items/Houses/Deeds.cs=Keep; Data/Scripts/Items/Houses/HouseFoundation.cs=Keep; Data/Scripts/Items/Houses/HouseFoundation.cs=Keep; Data/Scripts/Items/Houses/HousePlacement.cs=Keep; Data/Scripts/Items/Houses/HousePlacement.cs=Keep; Data/Scripts/Items/Houses/HousePlacementTool.cs=Keep; Data/Scripts/Items/Houses/HousePlacementTool.cs=Keep; Data/Scripts/Items/Houses/Houses.cs=Keep; Data/Scripts/Items/Houses/Houses.cs=Keep; Data/Scripts/Items/Houses/HouseSign.cs=Keep; Data/Scripts/Items/Houses/HouseSign.cs=Keep; Data/Scripts/Items/Houses/InteriorDecorator.cs=Keep; Data/Scripts/Items/Houses/InteriorDecorator.cs=Keep; Data/Scripts/Items/Houses/MovingCrate.cs=Keep; Data/Scripts/Items/Houses/MovingCrate.cs=Keep; Data/Scripts/Items/Houses/NewHouses.cs=Keep; Data/Scripts/Items/Houses/NewHouses.cs=Keep</t>
  </si>
  <si>
    <t>POST-BATCH-T docs source-trace review. Previous active row was PBN-0029/PBF-445. No source/project/XML/config/data behavior changed.</t>
  </si>
  <si>
    <t>RB-06707</t>
  </si>
  <si>
    <t>P10-F06707</t>
  </si>
  <si>
    <t>PBT-0065</t>
  </si>
  <si>
    <t>POST-BATCH-T docs source-trace review. Previous active row was PBN-0065/PBF-446. No source/project/XML/config/data behavior changed.</t>
  </si>
  <si>
    <t>RB-06708</t>
  </si>
  <si>
    <t>P10-F06708</t>
  </si>
  <si>
    <t>docs/wiki/In_Game_Command_List.md</t>
  </si>
  <si>
    <t>PBF-447</t>
  </si>
  <si>
    <t>Documentation truth after POST-BATCH-F: SourceTracePresent=Yes; MissingSourceFiles=none; VerifiedSourceFiles=Data/Scripts/System/Help/Gumps/HelpGump.cs;Data/System/Source/Commands.cs;Data/Scripts/System/Commands/Handlers.cs;Data/Scripts/System/Commands/Player/Afk.cs;Data/Scripts/System/Commands/Player/BandSelf.cs;Data/Scripts/System/Commands/Player/Emote.cs;Data/Scripts/System/Commands/Player/Loot.cs;Data/Scripts/System/Commands/Player/SpellBarsManage.cs;Data/Scripts/System/Commands/Player/SkillListing.cs;Data/Scripts/System/Skills/Weapon Abilities/SpecialAttackCommands.cs;Data/Scripts/System/Skills/Weapon Abilities/AbilityBook.cs;Data/Scripts/System/Misc/Accounts.cs;Data/Scripts/System/Misc/MOTD.cs;Data/Scripts/System/Misc/Statistics.cs;Data/Scripts/Quests/Quests.cs;Data/Scripts/Custom/ClearDeckCommand/ClearDeckCommand.cs</t>
  </si>
  <si>
    <t>RB-06709</t>
  </si>
  <si>
    <t>P10-F06709</t>
  </si>
  <si>
    <t>docs/wiki/Invasion_System.md</t>
  </si>
  <si>
    <t>PBT-0032</t>
  </si>
  <si>
    <t>Queue SourceEvidence=POST-BATCH-N lane=POST-BATCH-N-DOCS-SOURCE-TRACE; FileProofStatus=CurrentPathConfirmed; Documentation truth after POST-BATCH-F: SourceTracePresent=No; MissingClaims=Missing Source Trace section.; StaleClaims=; Canonical=Canonical; Target=; SourceFiles=Data/Scripts/Custom/Invasion System/Sosaria/; Data/Scripts/Custom/Invasion System/Lodor/; Data/Scripts/Custom/Invasion System/Underworld/; Data/Scripts/Custom/Invasion System/SerpentIsland/; PathStatus=Data/Scripts/Custom/Invasion System/Sosaria/=CurrentDirectory; Data/Scripts/Custom/Invasion System/Lodor/=CurrentDirectory; Data/Scripts/Custom/Invasion System/Underworld/=CurrentDirectory; Data/Scripts/Custom/Invasion System/SerpentIsland/=CurrentDirectory; HookExamples=Data/Scripts/Custom/Invasion System/Lodor/StartStopBritFelucca.cs:L31 Gump OnResponse access=Internal; Data/Scripts/Custom/Invasion System/Lodor/StartStopBritFelucca.cs:L39 Gump SendGump access=Internal; Data/Scripts/Custom/Invasion System/Lodor/StartStopBritFelucca.cs:L689 Gump SendGump access=Internal; Data/Scripts/Custom/Invasion System/Lodor/StartStopBritFelucca.cs:L701 Gump SendGump access=Internal; Data/Scripts/Custom/Invasion System/Lodor/StartstopBuccaneersDenFelucca.cs:L31 Gump OnResponse access=Internal; Data/Scripts/Custom/Invasion System/Lodor/StartstopBuccaneersDenFelucca.cs:L39 Gump SendGump access=Internal; Data/Scripts/Custom/Invasion System/Lodor/StartstopBuccaneersDenFelucca.cs:L449 Gump SendGump access=Internal; Data/Scripts/Custom/Invasion System/Lodor/StartstopBuccaneersDenFelucca.cs:L461 Gump SendGump access=Internal; Data/Scripts/Custom/Invasion System/Lodor/StartstopCoveFelucca.cs:L31 Gump OnResponse access=Internal; Data/Scripts/Custom/Invasion System/Lodor/StartstopCoveFelucca.cs:L39 Gump SendGump access=Internal; Data/Scripts/Custom/Invasion System/Lodor/StartstopCoveFelucca.cs:L406 Gump SendGump access=Internal; Data/Scripts/Custom/Invasion System/Lodor/StartstopCoveFelucca.cs:L418 Gump SendGump access=Internal; SerializerExamples=; ProjectTruth=Data/Scripts/Custom/Invasion System/Lodor/StartStopBritFelucca.cs=Keep; Data/Scripts/Custom/Invasion System/Lodor/StartStopBritFelucca.cs=Keep; Data/Scripts/Custom/Invasion System/Lodor/StartstopBuccaneersDenFelucca.cs=Keep; Data/Scripts/Custom/Invasion System/Lodor/StartstopBuccaneersDenFelucca.cs=Keep; Data/Scripts/Custom/Invasion System/Lodor/StartstopCoveFelucca.cs=Keep; Data/Scripts/Custom/Invasion System/Lodor/StartstopCoveFelucca.cs=Keep; Data/Scripts/Custom/Invasion System/Lodor/StartstopMaginciaFelucca.cs=Keep; Data/Scripts/Custom/Invasion System/Lodor/StartstopMaginciaFelucca.cs=Keep; Data/Scripts/Custom/Invasion System/Lodor/StartstopMinocFelucca.cs=Keep; Data/Scripts/Custom/Invasion System/Lodor/StartstopMinocFelucca.cs=Keep; Data/Scripts/Custom/Invasion System/Lodor/StartstopNujelmFelucca.cs=Keep; Data/Scripts/Custom/Invasion System/Lodor/StartstopNujelmFelucca.cs=Keep; Data/Scripts/Custom/Invasion System/Lodor/StartstopSkaraBraeFelucca.cs=Keep; Data/Scripts/Custom/Invasion System/Lodor/StartstopSkaraBraeFelucca.cs=Keep; Data/Scripts/Custom/Invasion System/Lodor/StartstopTrinsicFelucca.cs=Keep; Data/Scripts/Custom/Invasion System/Lodor/StartstopTrinsicFelucca.cs=Keep; Data/Scripts/Custom/Invasion System/Lodor/StartstopVesperFelucca.cs=Keep; Data/Scripts/Custom/Invasion System/Lodor/StartstopVesperFelucca.cs=Keep; Data/Scripts/Custom/Invasion System/Lodor/StartstopYewFelucca.cs=Keep; Data/Scripts/Custom/Invasion System/Lodor/StartstopYewFelucca.cs=Keep</t>
  </si>
  <si>
    <t>POST-BATCH-T docs source-trace review. Previous active row was PBN-0032/PBF-448. No source/project/XML/config/data behavior changed.</t>
  </si>
  <si>
    <t>RB-06710</t>
  </si>
  <si>
    <t>P10-F06710</t>
  </si>
  <si>
    <t>docs/wiki/Jedi_Magic.md</t>
  </si>
  <si>
    <t>PBT-0037</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</si>
  <si>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SourceFiles=Data/Scripts/Magic/Jedi/JediSpell.cs; Data/Scripts/Magic/Jedi/JediSpellbook.cs; Data/Scripts/Magic/Jedi/JediCommandList.cs; Data/Scripts/Magic/Jedi/JediDatacrons.cs; Data/Scripts/Magic/Jedi/KaranCrystal.cs; PathStatus=Data/Scripts/Magic/Jedi/JediSpell.cs=CurrentFile; Data/Scripts/Magic/Jedi/JediSpellbook.cs=CurrentFile; Data/Scripts/Magic/Jedi/JediCommandList.cs=CurrentFile; Data/Scripts/Magic/Jedi/JediDatacrons.cs=CurrentFile; Data/Scripts/Magic/Jedi/KaranCrystal.cs=CurrentFile; HookExamples=Data/Scripts/Magic/Jedi/JediCommandList.cs:L15 Initialize Initialize access=GlobalOrInternal; Data/Scripts/Magic/Jedi/JediCommandList.cs:L62 Command CommandSystem.Register access=Unknown; Data/Scripts/Magic/Jedi/JediSpellbook.cs:L103 Gump SendGump access=Internal; Data/Scripts/Magic/Jedi/JediSpellbook.cs:L496 Gump OnResponse access=Internal; Data/Scripts/Magic/Jedi/JediSpellbook.cs:L503 Gump SendGump access=Internal; Data/Scripts/Magic/Jedi/JediSpellbook.cs:L700 Gump OnResponse access=Internal; Data/Scripts/Magic/Jedi/JediSpellbook.cs:L707 Gump SendGump access=Internal; SerializerExamples=Data/Scripts/Magic/Jedi/JediDatacrons.cs:Server.Items.JediDatacron01 version=0 serialize=L32 deserialize=L38 alignment=AlignedByCountAndKnownTypes; Data/Scripts/Magic/Jedi/JediDatacrons.cs:Server.Items.JediDatacron02 version=0 serialize=L71 deserialize=L77 alignment=AlignedByCountAndKnownTypes; Data/Scripts/Magic/Jedi/JediDatacrons.cs:Server.Items.JediDatacron03 version=0 serialize=L110 deserialize=L116 alignment=AlignedByCountAndKnownTypes; Data/Scripts/Magic/Jedi/JediDatacrons.cs:Server.Items.JediDatacron04 version=0 serialize=L149 deserialize=L155 alignment=AlignedByCountAndKnownTypes; Data/Scripts/Magic/Jedi/JediDatacrons.cs:Server.Items.JediDatacron05 version=0 serialize=L188 deserialize=L194 alignment=AlignedByCountAndKnownTypes; Data/Scripts/Magic/Jedi/JediDatacrons.cs:Server.Items.JediDatacron06 version=0 serialize=L227 deserialize=L233 alignment=AlignedByCountAndKnownTypes; Data/Scripts/Magic/Jedi/JediDatacrons.cs:Server.Items.JediDatacron07 version=0 serialize=L266 deserialize=L272 alignment=AlignedByCountAndKnownTypes; Data/Scripts/Magic/Jedi/JediDatacrons.cs:Server.Items.JediDatacron08 version=0 serialize=L305 deserialize=L311 alignment=AlignedByCountAndKnownTypes; Data/Scripts/Magic/Jedi/JediDatacrons.cs:Server.Items.JediDatacron09 version=0 serialize=L344 deserialize=L350 alignment=AlignedByCountAndKnownTypes; Data/Scripts/Magic/Jedi/JediDatacrons.cs:Server.Items.JediDatacron10 version=0 serialize=L383 deserialize=L389 alignment=AlignedByCountAndKnownTypes; Data/Scripts/Magic/Jedi/JediSpellbook.cs:Server.Items.JediSpellbook version=0 serialize=L712 deserialize=L724 alignment=CountMatchNeedsTypeReview:UnknownWrites=5; Data/Scripts/Magic/Jedi/KaranCrystal.cs:Server.Items.KaranCrystal version=0 serialize=L24 deserialize=L30 alignment=AlignedByCountAndKnownTypes; ProjectTruth=Data/Scripts/Magic/Jedi/JediCommandList.cs=Keep; Data/Scripts/Magic/Jedi/JediCommandList.cs=Keep; Data/Scripts/Magic/Jedi/JediDatacrons.cs=Keep; Data/Scripts/Magic/Jedi/JediDatacrons.cs=Keep; Data/Scripts/Magic/Jedi/JediSpell.cs=Keep; Data/Scripts/Magic/Jedi/JediSpell.cs=Keep; Data/Scripts/Magic/Jedi/JediSpellbook.cs=Keep; Data/Scripts/Magic/Jedi/JediSpellbook.cs=Keep; Data/Scripts/Magic/Jedi/KaranCrystal.cs=Keep; Data/Scripts/Magic/Jedi/KaranCrystal.cs=Keep</t>
  </si>
  <si>
    <t>POST-BATCH-T docs source-trace review. Previous active row was PBN-0037/PBF-449. No source/project/XML/config/data behavior changed.</t>
  </si>
  <si>
    <t>RB-06711</t>
  </si>
  <si>
    <t>P10-F06711</t>
  </si>
  <si>
    <t>docs/wiki/Jester_Magic.md</t>
  </si>
  <si>
    <t>PBT-0096</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</si>
  <si>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SourceFiles=Data/Scripts/Magic/Jester/JesterSpell.cs; Data/Scripts/Magic/Jester/JesterCommandList.cs; Data/Scripts/Magic/Jester/BagOfTricks.cs; Data/Scripts/Magic/Jester/SummonedJoke.cs; Data/Scripts/Magic/Jester/SummonedPrank.cs; PathStatus=Data/Scripts/Magic/Jester/JesterSpell.cs=CurrentFile; Data/Scripts/Magic/Jester/JesterCommandList.cs=CurrentFile; Data/Scripts/Magic/Jester/BagOfTricks.cs=CurrentFile; Data/Scripts/Magic/Jester/SummonedJoke.cs=CurrentFile; Data/Scripts/Magic/Jester/SummonedPrank.cs=CurrentFile; HookExamples=Data/Scripts/Magic/Jester/BagOfTricks.cs:L57 Gump SendGump access=Internal; Data/Scripts/Magic/Jester/BagOfTricks.cs:L698 Gump OnResponse access=Internal; Data/Scripts/Magic/Jester/BagOfTricks.cs:L712 Gump SendGump access=Internal; Data/Scripts/Magic/Jester/BagOfTricks.cs:L720 Gump SendGump access=Internal; Data/Scripts/Magic/Jester/BagOfTricks.cs:L724 Gump SendGump access=Internal; Data/Scripts/Magic/Jester/BagOfTricks.cs:L728 Gump SendGump access=Internal; Data/Scripts/Magic/Jester/BagOfTricks.cs:L732 Gump SendGump access=Internal; Data/Scripts/Magic/Jester/BagOfTricks.cs:L770 Gump OnResponse access=Internal; Data/Scripts/Magic/Jester/BagOfTricks.cs:L777 Gump SendGump access=Internal; Data/Scripts/Magic/Jester/BagOfTricks.cs:L806 Gump OnResponse access=Internal; Data/Scripts/Magic/Jester/BagOfTricks.cs:L813 Gump SendGump access=Internal; Data/Scripts/Magic/Jester/BagOfTricks.cs:L842 Gump OnResponse access=Internal; SerializerExamples=Data/Scripts/Magic/Jester/BagOfTricks.cs:Server.Items.BagOfTricks version=1 serialize=L116 deserialize=L123 alignment=CountMatchNeedsTypeReview:UnknownWrites=1; Data/Scripts/Magic/Jester/SummonedJoke.cs:Server.Mobiles.SummonedJoke version=0 serialize=L246 deserialize=L252 alignment=AlignedByCountAndKnownTypes; Data/Scripts/Magic/Jester/SummonedPrank.cs:Server.Mobiles.SummonedPrank version=0 serialize=L226 deserialize=L232 alignment=AlignedByCountAndKnownTypes; ProjectTruth=Data/Scripts/Magic/Jester/BagOfTricks.cs=Keep; Data/Scripts/Magic/Jester/BagOfTricks.cs=Keep; Data/Scripts/Magic/Jester/JesterCommandList.cs=Keep; Data/Scripts/Magic/Jester/JesterCommandList.cs=Keep; Data/Scripts/Magic/Jester/JesterSpell.cs=Keep; Data/Scripts/Magic/Jester/JesterSpell.cs=Keep; Data/Scripts/Magic/Jester/SummonedJoke.cs=Keep; Data/Scripts/Magic/Jester/SummonedJoke.cs=Keep; Data/Scripts/Magic/Jester/SummonedPrank.cs=Keep; Data/Scripts/Magic/Jester/SummonedPrank.cs=Keep</t>
  </si>
  <si>
    <t>POST-BATCH-T docs source-trace review. Previous active row was PBN-0096/PBF-450. No source/project/XML/config/data behavior changed.</t>
  </si>
  <si>
    <t>RB-06712</t>
  </si>
  <si>
    <t>P10-F06712</t>
  </si>
  <si>
    <t>docs/wiki/Knight_Chivalry.md</t>
  </si>
  <si>
    <t>PBT-0097</t>
  </si>
  <si>
    <t>Queue SourceEvidence=POST-BATCH-N lane=POST-BATCH-N-DOCS-SOURCE-TRACE; FileProofStatus=CurrentPathConfirmed; Documentation truth after POST-BATCH-F: SourceTracePresent=No; MissingClaims=Missing Source Trace section.; StaleClaims=; Canonical=Canonical; Target=; SourceFiles=Data/Scripts/Magic/Knight/; PathStatus=Data/Scripts/Magic/Knight/=CurrentDirectory; HookExamples=Data/Scripts/Magic/Knight/ConsecrateWeapon.cs:L140 Timer CustomTimerSubclass access=GlobalOrInternal; Data/Scripts/Magic/Knight/DivineFury.cs:L66 Timer Timer.DelayCall access=GlobalOrInternal; Data/Scripts/Magic/Knight/EnemyOfOne.cs:L66 Timer Timer.DelayCall access=GlobalOrInternal; Data/Scripts/Magic/Knight/NobleSacrifice.cs:L107 Gump SendGump access=Internal; SerializerExamples=Data/Scripts/Magic/Knight/BookOfChivalry.cs:Server.Items.BookOfChivalry version=1 serialize=L37 deserialize=L43 alignment=AlignedByCountAndKnownTypes; ProjectTruth=Data/Scripts/Magic/Knight/BookOfChivalry.cs=Keep; Data/Scripts/Magic/Knight/BookOfChivalry.cs=Keep; Data/Scripts/Magic/Knight/CleanseByFire.cs=Keep; Data/Scripts/Magic/Knight/CleanseByFire.cs=Keep; Data/Scripts/Magic/Knight/CloseWounds.cs=Keep; Data/Scripts/Magic/Knight/CloseWounds.cs=Keep; Data/Scripts/Magic/Knight/ConsecrateWeapon.cs=Keep; Data/Scripts/Magic/Knight/ConsecrateWeapon.cs=Keep; Data/Scripts/Magic/Knight/DispelEvil.cs=Keep; Data/Scripts/Magic/Knight/DispelEvil.cs=Keep; Data/Scripts/Magic/Knight/DivineFury.cs=Keep; Data/Scripts/Magic/Knight/DivineFury.cs=Keep; Data/Scripts/Magic/Knight/EnemyOfOne.cs=Keep; Data/Scripts/Magic/Knight/EnemyOfOne.cs=Keep; Data/Scripts/Magic/Knight/HolyLight.cs=Keep; Data/Scripts/Magic/Knight/HolyLight.cs=Keep; Data/Scripts/Magic/Knight/NobleSacrifice.cs=Keep; Data/Scripts/Magic/Knight/NobleSacrifice.cs=Keep; Data/Scripts/Magic/Knight/PaladinSpell.cs=Keep; Data/Scripts/Magic/Knight/PaladinSpell.cs=Keep</t>
  </si>
  <si>
    <t>POST-BATCH-T docs source-trace review. Previous active row was PBN-0097/PBF-451. No source/project/XML/config/data behavior changed.</t>
  </si>
  <si>
    <t>RB-06713</t>
  </si>
  <si>
    <t>P10-F06713</t>
  </si>
  <si>
    <t>docs/wiki/Librarian_Trade.md</t>
  </si>
  <si>
    <t>PBT-0023</t>
  </si>
  <si>
    <t>Queue SourceEvidence=POST-BATCH-N lane=POST-BATCH-N-DOCS-SOURCE-TRACE; FileProofStatus=CurrentPathConfirmed; Documentation truth after POST-BATCH-F: SourceTracePresent=No; MissingClaims=Missing Source Trace section.; StaleClaims=; Canonical=Canonical; Target=; SourceFiles=Data/Scripts/Trades/Librarian/Librarian.cs; Data/Scripts/Trades/Librarian/Monocle.cs; Data/Scripts/Trades/Librarian/LibraryScrolls.cs; Data/Scripts/Items/Unknown/UnknownScroll.cs; Data/Scripts/Trades/Harvest/HarvestSystem.cs; Data/Scripts/Trades/Harvest/HarvestDefinition.cs; Data/Scripts/Trades/Harvest/HarvestBank.cs; PathStatus=Data/Scripts/Trades/Librarian/Librarian.cs=CurrentFile; Data/Scripts/Trades/Librarian/Monocle.cs=CurrentFile; Data/Scripts/Trades/Librarian/LibraryScrolls.cs=CurrentFile; Data/Scripts/Items/Unknown/UnknownScroll.cs=CurrentFile; Data/Scripts/Trades/Harvest/HarvestSystem.cs=CurrentFile; Data/Scripts/Trades/Harvest/HarvestDefinition.cs=CurrentFile; Data/Scripts/Trades/Harvest/HarvestBank.cs=CurrentFile; HookExamples=Data/Scripts/Trades/Librarian/Librarian.cs:L501 Initialize Initialize access=GlobalOrInternal; SerializerExamples=Data/Scripts/Items/Unknown/UnknownScroll.cs:Server.Items.UnknownScroll version=0 serialize=L274 deserialize=L283 alignment=CountMatchNeedsTypeReview:UnknownWrites=3; Data/Scripts/Trades/Librarian/LibraryScrolls.cs:Server.Items.LibraryScroll1 version=Unknown serialize=L95 deserialize=L100 alignment=AlignedByCountAndKnownTypes; Data/Scripts/Trades/Librarian/LibraryScrolls.cs:Server.Items.LibraryScroll2 version=Unknown serialize=L190 deserialize=L195 alignment=AlignedByCountAndKnownTypes; Data/Scripts/Trades/Librarian/LibraryScrolls.cs:Server.Items.LibraryScroll3 version=Unknown serialize=L285 deserialize=L290 alignment=AlignedByCountAndKnownTypes; Data/Scripts/Trades/Librarian/LibraryScrolls.cs:Server.Items.LibraryScroll4 version=Unknown serialize=L380 deserialize=L385 alignment=AlignedByCountAndKnownTypes; Data/Scripts/Trades/Librarian/LibraryScrolls.cs:Server.Items.LibraryScroll5 version=Unknown serialize=L475 deserialize=L480 alignment=AlignedByCountAndKnownTypes; Data/Scripts/Trades/Librarian/LibraryScrolls.cs:Server.Items.LibraryScroll6 version=Unknown serialize=L570 deserialize=L575 alignment=AlignedByCountAndKnownTypes; Data/Scripts/Trades/Librarian/Monocle.cs:Server.Items.Monocle version=0 serialize=L34 deserialize=L40 alignment=AlignedByCountAndKnownTypes; ProjectTruth=Data/Scripts/Items/Unknown/UnknownScroll.cs=Keep; Data/Scripts/Items/Unknown/UnknownScroll.cs=Keep; Data/Scripts/Trades/Harvest/HarvestBank.cs=Keep; Data/Scripts/Trades/Harvest/HarvestBank.cs=Keep; Data/Scripts/Trades/Harvest/HarvestDefinition.cs=Keep; Data/Scripts/Trades/Harvest/HarvestDefinition.cs=Keep; Data/Scripts/Trades/Harvest/HarvestSystem.cs=Keep; Data/Scripts/Trades/Harvest/HarvestSystem.cs=Keep; Data/Scripts/Trades/Librarian/Librarian.cs=Keep; Data/Scripts/Trades/Librarian/Librarian.cs=Keep; Data/Scripts/Trades/Librarian/LibraryScrolls.cs=Keep; Data/Scripts/Trades/Librarian/LibraryScrolls.cs=Keep; Data/Scripts/Trades/Librarian/Monocle.cs=Keep; Data/Scripts/Trades/Librarian/Monocle.cs=Keep</t>
  </si>
  <si>
    <t>POST-BATCH-T docs source-trace review. Previous active row was PBN-0023/PBF-452. No source/project/XML/config/data behavior changed.</t>
  </si>
  <si>
    <t>RB-06714</t>
  </si>
  <si>
    <t>P10-F06714</t>
  </si>
  <si>
    <t>docs/wiki/Mage_Spellcasting_Tips.md</t>
  </si>
  <si>
    <t>PBT-0056</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</si>
  <si>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SourceFiles=Data/Scripts/Mobiles/Civilized/Vendors/Mage.cs; Data/Scripts/System/Misc/Talk.cs; Data/Scripts/System/Commands/Player/MyChat.cs; Data/Scripts/Items/Wands/BaseMagicStaff.cs; Data/Scripts/Items/Wands/; Data/Scripts/Magic/Magery/Magery 1st/CreateFood.cs; Data/Scripts/Magic/Magery/Magery 2nd/RemoveTrap.cs; Data/Scripts/Magic/Magery/Magery 3rd/Telekinesis.cs; Data/Scripts/Magic/Magery/Magery 6th/Reveal.cs; Data/Scripts/Magic/Base/Spell.cs; Data/Scripts/Magic/Base/ForgetfulGem.cs; Data/Scripts/System/Help/Gumps/HelpGump.cs; Data/Scripts/System/Commands/Player/SpellBarsManage.cs; Data/Scripts/System/Commands/Player/SpellBarsDisplay.cs; Data/Scripts/System/Commands/Player/SpellBarsCommands.cs; Data/Scripts/System/Commands/Player/SpellBarsFunctions.cs; Data/Scripts/Mobiles/Base/PlayerMobile.cs; PathStatus=Data/Scripts/Mobiles/Civilized/Vendors/Mage.cs=CurrentFile; Data/Scripts/System/Misc/Talk.cs=CurrentFile; Data/Scripts/System/Commands/Player/MyChat.cs=CurrentFile; Data/Scripts/Items/Wands/BaseMagicStaff.cs=CurrentFile; Data/Scripts/Items/Wands/=CurrentDirectory; Data/Scripts/Magic/Magery/Magery 1st/CreateFood.cs=CurrentFile; Data/Scripts/Magic/Magery/Magery 2nd/RemoveTrap.cs=CurrentFile; Data/Scripts/Magic/Magery/Magery 3rd/Telekinesis.cs=CurrentFile; Data/Scripts/Magic/Magery/Magery 6th/Reveal.cs=CurrentFile; Data/Scripts/Magic/Base/Spell.cs=CurrentFile; Data/Scripts/Magic/Base/ForgetfulGem.cs=CurrentFile; Data/Scripts/System/Help/Gumps/HelpGump.cs=CurrentFile; Data/Scripts/System/Commands/Player/SpellBarsManage.cs=CurrentFile; Data/Scripts/System/Commands/Player/SpellBarsDisplay.cs=CurrentFile; Data/Scripts/System/Commands/Player/SpellBarsCommands.cs=CurrentFile; Data/Scripts/System/Commands/Player/SpellBarsFunctions.cs=CurrentFile; Data/Scripts/Mobiles/Base/PlayerMobile.cs=CurrentFile; HookExamples=Data/Scripts/Items/Wands/BaseMagicStaff.cs:L106 Timer Timer.DelayCall access=GlobalOrInternal; Data/Scripts/Magic/Base/ForgetfulGem.cs:L33 Gump SendGump access=Internal; Data/Scripts/Magic/Base/ForgetfulGem.cs:L169 Gump OnResponse access=Internal; Data/Scripts/Magic/Base/ForgetfulGem.cs:L180 Gump SendGump access=Internal; Data/Scripts/Magic/Base/ForgetfulGem.cs:L208 Gump SendGump access=Internal; Data/Scripts/Magic/Base/Spell.cs:L1219 Timer CustomTimerSubclass access=GlobalOrInternal; Data/Scripts/Magic/Base/Spell.cs:L1251 Timer CustomTimerSubclass access=GlobalOrInternal; Data/Scripts/Mobiles/Base/PlayerMobile.cs:L798 Initialize Initialize access=GlobalOrInternal; Data/Scripts/Mobiles/Base/PlayerMobile.cs:L806 Event EventSink access=GlobalOrInternal; Data/Scripts/Mobiles/Base/PlayerMobile.cs:L807 Event EventSink access=GlobalOrInternal; Data/Scripts/Mobiles/Base/PlayerMobile.cs:L808 Event EventSink access=GlobalOrInternal; Data/Scripts/Mobiles/Base/PlayerMobile.cs:L809 Event EventSink access=GlobalOrInternal; SerializerExamples=Data/Scripts/Items/Wands/1st Circle/ClumsyStaff.cs:Server.Items.ClumsyMagicStaff version=0 serialize=L29 deserialize=L36 alignment=AlignedByCountAndKnownTypes; Data/Scripts/Items/Wands/1st Circle/CreateFoodStaff.cs:Server.Items.CreateFoodMagicStaff version=0 serialize=L29 deserialize=L36 alignment=AlignedByCountAndKnownTypes; Data/Scripts/Items/Wands/1st Circle/FeebleStaff.cs:Server.Items.FeebleMagicStaff version=0 serialize=L29 deserialize=L36 alignment=AlignedByCountAndKnownTypes; Data/Scripts/Items/Wands/1st Circle/HealStaff.cs:Server.Items.HealMagicStaff version=0 serialize=L29 deserialize=L36 alignment=AlignedByCountAndKnownTypes; Data/Scripts/Items/Wands/1st Circle/IdentifyStaff.cs:Server.Items.IdentifyStaff version=0 serialize=L21 deserialize=L27 alignment=AlignedByCountAndKnownTypes; Data/Scripts/Items/Wands/1st Circle/MagicArrowStaff.cs:Server.Items.MagicArrowMagicStaff version=0 serialize=L29 deserialize=L36 alignment=AlignedByCountAndKnownTypes; Data/Scripts/Items/Wands/1st Circle/NightSightStaff.cs:Server.Items.NightSightMagicStaff version=0 serialize=L29 deserialize=L36 alignment=AlignedByCountAndKnownTypes; Data/Scripts/Items/Wands/1st Circle/ReactiveArmorStaff.cs:Server.Items.ReactiveArmorMagicStaff version=0 serialize=L28 deserialize=L35 alignment=AlignedByCountAndKnownTypes; Data/Scripts/Items/Wands/1st Circle/WeaknessStaff.cs:Server.Items.WeaknessMagicStaff version=0 serialize=L29 deserialize=L36 alignment=AlignedByCountAndKnownTypes; Data/Scripts/Items/Wands/2nd Circle/AgilityStaff.cs:Server.Items.AgilityMagicStaff version=0 serialize=L29 deserialize=L36 alignment=AlignedByCountAndKnownTypes; Data/Scripts/Items/Wands/2nd Circle/CunningStaff.cs:Server.Items.CunningMagicStaff version=0 serialize=L29 deserialize=L36 alignment=AlignedByCountAndKnownTypes; Data/Scripts/Items/Wands/2nd Circle/CureStaff.cs:Server.Items.CureMagicStaff version=0 serialize=L29 deserialize=L36 alignment=AlignedByCountAndKnownTypes; ProjectTruth=Data/Scripts/Items/Wands/1st Circle/ClumsyStaff.cs=Keep; Data/Scripts/Items/Wands/1st Circle/ClumsyStaff.cs=Keep; Data/Scripts/Items/Wands/1st Circle/CreateFoodStaff.cs=Keep; Data/Scripts/Items/Wands/1st Circle/CreateFoodStaff.cs=Keep; Data/Scripts/Items/Wands/1st Circle/FeebleStaff.cs=Keep; Data/Scripts/Items/Wands/1st Circle/FeebleStaff.cs=Keep; Data/Scripts/Items/Wands/1st Circle/HealStaff.cs=Keep; Data/Scripts/Items/Wands/1st Circle/HealStaff.cs=Keep; Data/Scripts/Items/Wands/1st Circle/IdentifyStaff.cs=Keep; Data/Scripts/Items/Wands/1st Circle/IdentifyStaff.cs=Keep; Data/Scripts/Items/Wands/1st Circle/MagicArrowStaff.cs=Keep; Data/Scripts/Items/Wands/1st Circle/MagicArrowStaff.cs=Keep; Data/Scripts/Items/Wands/1st Circle/NightSightStaff.cs=Keep; Data/Scripts/Items/Wands/1st Circle/NightSightStaff.cs=Keep; Data/Scripts/Items/Wands/1st Circle/ReactiveArmorStaff.cs=Keep; Data/Scripts/Items/Wands/1st Circle/ReactiveArmorStaff.cs=Keep; Data/Scripts/Items/Wands/1st Circle/WeaknessStaff.cs=Keep; Data/Scripts/Items/Wands/1st Circle/WeaknessStaff.cs=Keep; Data/Scripts/Items/Wands/2nd Circle/AgilityStaff.cs=Keep; Data/Scripts/Items/Wands/2nd Circle/AgilityStaff.cs=Keep</t>
  </si>
  <si>
    <t>POST-BATCH-T docs source-trace review. Previous active row was PBN-0056/PBF-453. No source/project/XML/config/data behavior changed.</t>
  </si>
  <si>
    <t>RB-06715</t>
  </si>
  <si>
    <t>P10-F06715</t>
  </si>
  <si>
    <t>PBT-0122</t>
  </si>
  <si>
    <t>POST-BATCH-T docs source-trace review. Previous active row was PBN-0122/PBF-454. No source/project/XML/config/data behavior changed.</t>
  </si>
  <si>
    <t>RB-06716</t>
  </si>
  <si>
    <t>P10-F06716</t>
  </si>
  <si>
    <t>docs/wiki/Magery_Spell_Color_Setting.md</t>
  </si>
  <si>
    <t>PBT-0038</t>
  </si>
  <si>
    <t>Queue SourceEvidence=POST-BATCH-N lane=POST-BATCH-N-DOCS-SOURCE-TRACE; FileProofStatus=CurrentPathConfirmed; Documentation truth after POST-BATCH-F: SourceTracePresent=No; MissingClaims=Missing Source Trace section.; StaleClaims=; Canonical=Canonical; Target=; SourceFiles=Data/Scripts/System/Help/Gumps/HelpGump.cs; Data/Scripts/System/Commands/Player/SpellHue.cs; Data/Scripts/Mobiles/Base/PlayerSettings.cs; Data/Scripts/Mobiles/Base/PlayerMobile.cs; Data/Scripts/System/Misc/Broadcast.cs; Data/Scripts/System/Obsolete/Obsolete.cs; Data/Scripts/Magic/Magery/; Data/Scripts/Magic/Research/; Data/Scripts/Items/Traps/; Data/Scripts/Items/Magical/SoulOrb.cs; PathStatus=Data/Scripts/System/Help/Gumps/HelpGump.cs=CurrentFile; Data/Scripts/System/Commands/Player/SpellHue.cs=CurrentFile; Data/Scripts/Mobiles/Base/PlayerSettings.cs=CurrentFile; Data/Scripts/Mobiles/Base/PlayerMobile.cs=CurrentFile; Data/Scripts/System/Misc/Broadcast.cs=CurrentFile; Data/Scripts/System/Obsolete/Obsolete.cs=CurrentFile; Data/Scripts/Magic/Magery/=CurrentDirectory; Data/Scripts/Magic/Research/=CurrentDirectory; Data/Scripts/Items/Traps/=CurrentDirectory; Data/Scripts/Items/Magical/SoulOrb.cs=CurrentFile; HookExamples=Data/Scripts/Items/Magical/SoulOrb.cs:L39 Initialize Initialize access=GlobalOrInternal; Data/Scripts/Items/Magical/SoulOrb.cs:L41 Event EventSink access=GlobalOrInternal; Data/Scripts/Items/Magical/SoulOrb.cs:L94 Timer Timer.DelayCall access=GlobalOrInternal; Data/Scripts/Items/Traps/BaseTrap.cs:L55 Movement OnMovement access=GlobalOrInternal; Data/Scripts/Items/Traps/BaseTrap.cs:L57 Movement OnMovement access=GlobalOrInternal; Data/Scripts/Items/Traps/DroppedPack.cs:L39 Timer CustomTimerSubclass access=GlobalOrInternal; Data/Scripts/Items/Traps/FlameSpurtTrap.cs:L29 Timer Timer.DelayCall access=GlobalOrInternal; Data/Scripts/Items/Traps/FlameSpurtTrap.cs:L179 Movement OnMovement access=GlobalOrInternal; Data/Scripts/Items/Traps/FlameSpurtTrap.cs:L181 Movement OnMovement access=GlobalOrInternal; Data/Scripts/Items/Traps/HiddenTrap.cs:L3606 Movement OnMovement access=GlobalOrInternal; Data/Scripts/Items/Traps/MushroomTrap.cs:L203 Timer Timer.DelayCall access=GlobalOrInternal; Data/Scripts/Items/Traps/SetTrap.cs:L160 Timer Timer.DelayCall access=GlobalOrInternal; SerializerExamples=Data/Scripts/Items/Magical/SoulOrb.cs:Server.Items.SoulOrb version=0 serialize=L160 deserialize=L166 alignment=AlignedByCountAndKnownTypes; Data/Scripts/Items/Traps/BaseTrap.cs:Server.Items.BaseTrap version=0 serialize=L89 deserialize=L96 alignment=AlignedByCountAndKnownTypes; Data/Scripts/Items/Traps/Blocker.cs:Server.Items.StopBlock version=0 serialize=L21 deserialize=L27 alignment=AlignedByCountAndKnownTypes; Data/Scripts/Items/Traps/BookBox.cs:Server.Items.BookBox version=0 serialize=L36 deserialize=L42 alignment=AlignedByCountAndKnownTypes; Data/Scripts/Items/Traps/BrokenGear.cs:Server.Items.BrokenGear version=0 serialize=L29 deserialize=L35 alignment=AlignedByCountAndKnownTypes; Data/Scripts/Items/Traps/CurseItem.cs:Server.Items.CurseItem version=0 serialize=L38 deserialize=L44 alignment=AlignedByCountAndKnownTypes; Data/Scripts/Items/Traps/DroppedPack.cs:Server.Items.DroppedContainer version=0 serialize=L25 deserialize=L31 alignment=AlignedByCountAndKnownTypes; Data/Scripts/Items/Traps/FireColumnTrap.cs:Server.Items.FireColumnTrap version=1 serialize=L146 deserialize=L157 alignment=CountMatchNeedsTypeReview:UnknownWrites=3; Data/Scripts/Items/Traps/FlameSpurtTrap.cs:Server.Items.FlameSpurtTrap version=0 serialize=L206 deserialize=L215 alignment=AlignedByCountAndKnownTypes; Data/Scripts/Items/Traps/GasTrap.cs:Server.Items.GasTrap version=0 serialize=L189 deserialize=L198 alignment=AlignedByCountAndKnownTypes; Data/Scripts/Items/Traps/GiantSpikeTrap.cs:Server.Items.GiantSpikeTrap version=0 serialize=L70 deserialize=L77 alignment=AlignedByCountAndKnownTypes; Data/Scripts/Items/Traps/HiddenTrap.cs:Server.Items.HiddenTrap version=0 serialize=L1315 deserialize=L1322 alignment=CountMatchNeedsTypeReview:UnknownWrites=1; ProjectTruth=Data/Scripts/Items/Magical/SoulOrb.cs=Keep; Data/Scripts/Items/Magical/SoulOrb.cs=Keep; Data/Scripts/Items/Traps/BaseTrap.cs=Keep; Data/Scripts/Items/Traps/BaseTrap.cs=Keep; Data/Scripts/Items/Traps/Blocker.cs=Keep; Data/Scripts/Items/Traps/Blocker.cs=Keep; Data/Scripts/Items/Traps/BookBox.cs=Keep; Data/Scripts/Items/Traps/BookBox.cs=Keep; Data/Scripts/Items/Traps/BrokenGear.cs=Keep; Data/Scripts/Items/Traps/BrokenGear.cs=Keep; Data/Scripts/Items/Traps/CurseItem.cs=Keep; Data/Scripts/Items/Traps/CurseItem.cs=Keep; Data/Scripts/Items/Traps/DroppedPack.cs=Keep; Data/Scripts/Items/Traps/DroppedPack.cs=Keep; Data/Scripts/Items/Traps/FireColumnTrap.cs=Keep; Data/Scripts/Items/Traps/FireColumnTrap.cs=Keep; Data/Scripts/Items/Traps/FlameSpurtTrap.cs=Keep; Data/Scripts/Items/Traps/FlameSpurtTrap.cs=Keep; Data/Scripts/Items/Traps/GasTrap.cs=Keep; Data/Scripts/Items/Traps/GasTrap.cs=Keep</t>
  </si>
  <si>
    <t>POST-BATCH-T docs source-trace review. Previous active row was PBN-0038/PBF-455. No source/project/XML/config/data behavior changed.</t>
  </si>
  <si>
    <t>RB-06717</t>
  </si>
  <si>
    <t>P10-F06717</t>
  </si>
  <si>
    <t>PBT-0047</t>
  </si>
  <si>
    <t>POST-BATCH-T docs source-trace review. Previous active row was PBN-0047/PBF-456. No source/project/XML/config/data behavior changed.</t>
  </si>
  <si>
    <t>RB-06718</t>
  </si>
  <si>
    <t>P10-F06718</t>
  </si>
  <si>
    <t>PBT-0057</t>
  </si>
  <si>
    <t>POST-BATCH-T docs source-trace review. Previous active row was PBN-0057/PBF-457. No source/project/XML/config/data behavior changed.</t>
  </si>
  <si>
    <t>RB-06719</t>
  </si>
  <si>
    <t>P10-F06719</t>
  </si>
  <si>
    <t>PBT-0066</t>
  </si>
  <si>
    <t>POST-BATCH-T docs source-trace review. Previous active row was PBN-0066/PBF-458. No source/project/XML/config/data behavior changed.</t>
  </si>
  <si>
    <t>RB-06720</t>
  </si>
  <si>
    <t>P10-F06720</t>
  </si>
  <si>
    <t>PBT-0123</t>
  </si>
  <si>
    <t>POST-BATCH-T docs source-trace review. Previous active row was PBN-0123/PBF-459. No source/project/XML/config/data behavior changed.</t>
  </si>
  <si>
    <t>RB-06721</t>
  </si>
  <si>
    <t>P10-F06721</t>
  </si>
  <si>
    <t>docs/wiki/Magery_Spell_System.md</t>
  </si>
  <si>
    <t>PBT-0098</t>
  </si>
  <si>
    <t>Queue SourceEvidence=POST-BATCH-N lane=POST-BATCH-N-DOCS-SOURCE-TRACE; FileProofStatus=CurrentPathConfirmed; Documentation truth after POST-BATCH-F: SourceTracePresent=No; MissingClaims=Missing Source Trace section.; StaleClaims=; Canonical=Canonical; Target=; SourceFiles=Data/Scripts/Magic/Magery/; Data/Scripts/Magic/Magery/MagerySpell.cs; Data/Scripts/Magic/Magery/Spellbook.cs; Data/Scripts/Magic/Magery/Scrolls/SpellScroll.cs; Data/Scripts/Magic/Magery/Magery 1st/; Data/Scripts/Magic/Magery/Scrolls/First Circle/; Data/Scripts/Magic/Base/Initializer.cs; Data/Scripts/Magic/Base/Spell.cs; Data/Scripts/Magic/Base/SpellHelper.cs; PathStatus=Data/Scripts/Magic/Magery/=CurrentDirectory; Data/Scripts/Magic/Magery/MagerySpell.cs=CurrentFile; Data/Scripts/Magic/Magery/Spellbook.cs=CurrentFile; Data/Scripts/Magic/Magery/Scrolls/SpellScroll.cs=CurrentFile; Data/Scripts/Magic/Magery/Magery 1st/=CurrentDirectory; Data/Scripts/Magic/Magery/Scrolls/First Circle/=CurrentDirectory; Data/Scripts/Magic/Base/Initializer.cs=CurrentFile; Data/Scripts/Magic/Base/Spell.cs=CurrentFile; Data/Scripts/Magic/Base/SpellHelper.cs=CurrentFile; HookExamples=Data/Scripts/Magic/Base/Initializer.cs:L8 Initialize Initialize access=GlobalOrInternal; Data/Scripts/Magic/Base/Spell.cs:L1219 Timer CustomTimerSubclass access=GlobalOrInternal; Data/Scripts/Magic/Base/Spell.cs:L1251 Timer CustomTimerSubclass access=GlobalOrInternal; Data/Scripts/Magic/Base/SpellHelper.cs:L30 Timer CustomTimerSubclass access=GlobalOrInternal; Data/Scripts/Magic/Base/SpellHelper.cs:L1357 Timer CustomTimerSubclass access=GlobalOrInternal; Data/Scripts/Magic/Base/SpellHelper.cs:L1392 Timer CustomTimerSubclass access=GlobalOrInternal; Data/Scripts/Magic/Base/SpellHelper.cs:L1755 Timer CustomTimerSubclass access=GlobalOrInternal; Data/Scripts/Magic/Magery/Magery 2nd/Protection.cs:L206 Timer CustomTimerSubclass access=GlobalOrInternal; Data/Scripts/Magic/Magery/Magery 3rd/MagicLock.cs:L333 Timer CustomTimerSubclass access=GlobalOrInternal; Data/Scripts/Magic/Magery/Magery 3rd/MagicLock.cs:L1082 Timer Timer.DelayCall access=GlobalOrInternal; Data/Scripts/Magic/Magery/Magery 3rd/MagicLock.cs:L1241 Timer Timer.DelayCall access=GlobalOrInternal; Data/Scripts/Magic/Magery/Magery 3rd/WallOfStone.cs:L205 Timer CustomTimerSubclass access=GlobalOrInternal; SerializerExamples=Data/Scripts/Magic/Magery/Magery 3rd/MagicLock.cs:Server.Spells.Third.IronFlask version=0 serialize=L387 deserialize=L393 alignment=AlignedByCountAndKnownTypes; Data/Scripts/Magic/Magery/Magery 3rd/MagicLock.cs:Server.Spells.Third.IronFlaskFilled version=0 serialize=L530 deserialize=L571 alignment=CountMatchNeedsTypeReview:UnknownWrites=35; Data/Scripts/Magic/Magery/Magery 3rd/MagicLock.cs:Server.Spells.Third.LockedCreature version=0 serialize=L1231 deserialize=L1237 alignment=AlignedByCountAndKnownTypes; Data/Scripts/Magic/Magery/Magery 3rd/WallOfStone.cs:Server.Spells.Third.InternalItem version=1 serialize=L149 deserialize=L158 alignment=AlignedByCountAndKnownTypes; Data/Scripts/Magic/Magery/Magery 4th/FireField.cs:Server.Spells.Fourth.FireFieldItem version=2 serialize=L181 deserialize=L192 alignment=CountMatchNeedsTypeReview:UnknownWrites=2; Data/Scripts/Magic/Magery/Magery 5th/PoisonField.cs:Server.Spells.Fifth.InternalItem version=1 serialize=L157 deserialize=L167 alignment=CountMatchNeedsTypeReview:UnknownWrites=1; Data/Scripts/Magic/Magery/Magery 6th/ParalyzeField.cs:Server.Spells.Sixth.InternalItem version=0 serialize=L152 deserialize=L162 alignment=CountMatchNeedsTypeReview:UnknownWrites=1; Data/Scripts/Magic/Magery/Magery 7th/EnergyField.cs:Server.Spells.Seventh.InternalItem version=0 serialize=L159 deserialize=L166 alignment=AlignedByCountAndKnownTypes; Data/Scripts/Magic/Magery/Magery 7th/GateTravel.cs:Server.Spells.Seventh.InternalItem version=Unknown serialize=L151 deserialize=L156 alignment=AlignedByCountAndKnownTypes; Data/Scripts/Magic/Magery/Scrolls/Eighth Circle/EarthquakeScroll.cs:Server.Items.EarthquakeScroll version=0 serialize=L20 deserialize=L27 alignment=AlignedByCountAndKnownTypes; Data/Scripts/Magic/Magery/Scrolls/Eighth Circle/EnergyVortexScroll.cs:Server.Items.EnergyVortexScroll version=0 serialize=L20 deserialize=L27 alignment=AlignedByCountAndKnownTypes; Data/Scripts/Magic/Magery/Scrolls/Eighth Circle/ResurrectionScroll.cs:Server.Items.ResurrectionScroll version=0 serialize=L20 deserialize=L27 alignment=AlignedByCountAndKnownTypes; ProjectTruth=Data/Scripts/Magic/Base/Initializer.cs=Keep; Data/Scripts/Magic/Base/Initializer.cs=Keep; Data/Scripts/Magic/Base/Spell.cs=Keep; Data/Scripts/Magic/Base/Spell.cs=Keep; Data/Scripts/Magic/Base/SpellHelper.cs=Keep; Data/Scripts/Magic/Base/SpellHelper.cs=Keep; Data/Scripts/Magic/Magery/Magery 1st/Clumsy.cs=Keep; Data/Scripts/Magic/Magery/Magery 1st/Clumsy.cs=Keep; Data/Scripts/Magic/Magery/Magery 1st/CreateFood.cs=Keep; Data/Scripts/Magic/Magery/Magery 1st/CreateFood.cs=Keep; Data/Scripts/Magic/Magery/Magery 1st/Feeblemind.cs=Keep; Data/Scripts/Magic/Magery/Magery 1st/Feeblemind.cs=Keep; Data/Scripts/Magic/Magery/Magery 1st/Heal.cs=Keep; Data/Scripts/Magic/Magery/Magery 1st/Heal.cs=Keep; Data/Scripts/Magic/Magery/Magery 1st/MagicArrow.cs=Keep; Data/Scripts/Magic/Magery/Magery 1st/MagicArrow.cs=Keep; Data/Scripts/Magic/Magery/Magery 1st/NightSight.cs=Keep; Data/Scripts/Magic/Magery/Magery 1st/NightSight.cs=Keep; Data/Scripts/Magic/Magery/Magery 1st/ReactiveArmor.cs=Keep; Data/Scripts/Magic/Magery/Magery 1st/ReactiveArmor.cs=Keep</t>
  </si>
  <si>
    <t>POST-BATCH-T docs source-trace review. Previous active row was PBN-0098/PBF-460. No source/project/XML/config/data behavior changed.</t>
  </si>
  <si>
    <t>RB-06722</t>
  </si>
  <si>
    <t>P10-F06722</t>
  </si>
  <si>
    <t>docs/wiki/Magic_Toolbars_Guide.md</t>
  </si>
  <si>
    <t>PBT-0039</t>
  </si>
  <si>
    <t>Queue SourceEvidence=POST-BATCH-N lane=POST-BATCH-N-DOCS-SOURCE-TRACE; FileProofStatus=CurrentPathConfirmed; Documentation truth after POST-BATCH-F: SourceTracePresent=No; MissingClaims=Missing Source Trace section.; StaleClaims=; Canonical=Canonical; Target=; SourceFiles=Data/Scripts/System/Help/Gumps/HelpGump.cs; Data/Scripts/System/Commands/Player/SpellBarsManage.cs; Data/Scripts/System/Commands/Player/SpellBarsDisplay.cs; Data/Scripts/System/Commands/Player/SpellBarsCommands.cs; Data/Scripts/System/Commands/Player/SpellBarsFunctions.cs; Data/Scripts/Mobiles/Base/PlayerMobile.cs; Data/Scripts/Magic/Research/ResearchFunctions.cs; Data/Scripts/Scripts.csproj; PathStatus=Data/Scripts/System/Help/Gumps/HelpGump.cs=CurrentFile; Data/Scripts/System/Commands/Player/SpellBarsManage.cs=CurrentFile; Data/Scripts/System/Commands/Player/SpellBarsDisplay.cs=CurrentFile; Data/Scripts/System/Commands/Player/SpellBarsCommands.cs=CurrentFile; Data/Scripts/System/Commands/Player/SpellBarsFunctions.cs=CurrentFile; Data/Scripts/Mobiles/Base/PlayerMobile.cs=CurrentFile; Data/Scripts/Magic/Research/ResearchFunctions.cs=CurrentFile; Data/Scripts/Scripts.csproj=CurrentFile; HookExamples=Data/Scripts/Mobiles/Base/PlayerMobile.cs:L798 Initialize Initialize access=GlobalOrInternal; Data/Scripts/Mobiles/Base/PlayerMobile.cs:L806 Event EventSink access=GlobalOrInternal; Data/Scripts/Mobiles/Base/PlayerMobile.cs:L807 Event EventSink access=GlobalOrInternal; Data/Scripts/Mobiles/Base/PlayerMobile.cs:L808 Event EventSink access=GlobalOrInternal; Data/Scripts/Mobiles/Base/PlayerMobile.cs:L809 Event EventSink access=GlobalOrInternal; Data/Scripts/Mobiles/Base/PlayerMobile.cs:L813 Timer Timer.DelayCall access=GlobalOrInternal; Data/Scripts/Mobiles/Base/PlayerMobile.cs:L1003 Login OnLogin access=Internal; Data/Scripts/Mobiles/Base/PlayerMobile.cs:L1030 Timer Timer.DelayCall access=GlobalOrInternal; Data/Scripts/Mobiles/Base/PlayerMobile.cs:L1047 Gump SendGump access=Internal; Data/Scripts/Mobiles/Base/PlayerMobile.cs:L1068 Timer Timer.DelayCall access=GlobalOrInternal; Data/Scripts/Mobiles/Base/PlayerMobile.cs:L1328 Logout OnLogout access=Internal; Data/Scripts/Mobiles/Base/PlayerMobile.cs:L1367 Timer Timer.DelayCall access=GlobalOrInternal; SerializerExamples=Data/Scripts/Mobiles/Base/PlayerMobile.cs:Server.Mobiles.PlayerMobile version=37 serialize=L5042 deserialize=L4577 alignment=CountMismatch:Writes=120;Reads=119; ProjectTruth=Data/Scripts/Magic/Research/ResearchFunctions.cs=Keep; Data/Scripts/Magic/Research/ResearchFunctions.cs=Keep; Data/Scripts/Mobiles/Base/PlayerMobile.cs=Keep; Data/Scripts/Mobiles/Base/PlayerMobile.cs=Keep; Data/Scripts/System/Commands/Player/SpellBarsCommands.cs=Keep; Data/Scripts/System/Commands/Player/SpellBarsCommands.cs=Keep; Data/Scripts/System/Commands/Player/SpellBarsDisplay.cs=Keep; Data/Scripts/System/Commands/Player/SpellBarsDisplay.cs=Keep; Data/Scripts/System/Commands/Player/SpellBarsFunctions.cs=Keep; Data/Scripts/System/Commands/Player/SpellBarsFunctions.cs=Keep; Data/Scripts/System/Commands/Player/SpellBarsManage.cs=Keep; Data/Scripts/System/Commands/Player/SpellBarsManage.cs=Keep; Data/Scripts/System/Help/Gumps/HelpGump.cs=Keep; Data/Scripts/System/Help/Gumps/HelpGump.cs=Keep</t>
  </si>
  <si>
    <t>POST-BATCH-T docs source-trace review. Previous active row was PBN-0039/PBF-461. No source/project/XML/config/data behavior changed.</t>
  </si>
  <si>
    <t>RB-06723</t>
  </si>
  <si>
    <t>P10-F06723</t>
  </si>
  <si>
    <t>PBT-0058</t>
  </si>
  <si>
    <t>POST-BATCH-T docs source-trace review. Previous active row was PBN-0058/PBF-462. No source/project/XML/config/data behavior changed.</t>
  </si>
  <si>
    <t>RB-06724</t>
  </si>
  <si>
    <t>P10-F06724</t>
  </si>
  <si>
    <t>docs/wiki/Misc_Core_Systems.md</t>
  </si>
  <si>
    <t>PBT-0017</t>
  </si>
  <si>
    <t>Queue SourceEvidence=POST-BATCH-N lane=POST-BATCH-N-DOCS-SOURCE-TRACE; FileProofStatus=CurrentPathConfirmed; Documentation truth after POST-BATCH-F: SourceTracePresent=No; MissingClaims=Missing Source Trace section.; StaleClaims=; Canonical=Canonical; Target=; SourceFiles=Data/Scripts/System/Misc/AutoRestart.cs; Data/Scripts/System/Misc/AutoSave.cs; Data/Scripts/System/Misc/CrashGuard.cs; Data/System/Source/Main.cs; Data/System/Source/World.cs; Data/Scripts/System/Misc/Settings.cs; Data/Scripts/Trades/Gardening/PlantSystem.cs; PathStatus=Data/Scripts/System/Misc/AutoRestart.cs=CurrentFile; Data/Scripts/System/Misc/AutoSave.cs=CurrentFile; Data/Scripts/System/Misc/CrashGuard.cs=CurrentFile; Data/System/Source/Main.cs=CurrentFile; Data/System/Source/World.cs=CurrentFile; Data/Scripts/System/Misc/Settings.cs=CurrentFile; Data/Scripts/Trades/Gardening/PlantSystem.cs=CurrentFile; HookExamples=Data/Scripts/System/Misc/AutoRestart.cs:L28 Timer CustomTimerSubclass access=GlobalOrInternal; Data/Scripts/System/Misc/AutoRestart.cs:L30 Initialize Initialize access=GlobalOrInternal; Data/Scripts/System/Misc/AutoRestart.cs:L32 Command CommandSystem.Register access=Administrator; Data/Scripts/System/Misc/AutoRestart.cs:L33 Command CommandSystem.Register access=Unknown; Data/Scripts/System/Misc/AutoRestart.cs:L38 Command CommandSystem.Register access=Unknown; Data/Scripts/System/Misc/AutoRestart.cs:L43 Command CommandSystem.Register access=Unknown; Data/Scripts/System/Misc/AutoRestart.cs:L48 Command CommandSystem.Register access=Unknown; Data/Scripts/System/Misc/AutoRestart.cs:L53 Command CommandSystem.Register access=Unknown; Data/Scripts/System/Misc/AutoRestart.cs:L58 Command CommandSystem.Register access=Unknown; Data/Scripts/System/Misc/AutoRestart.cs:L63 Command CommandSystem.Register access=Unknown; Data/Scripts/System/Misc/AutoRestart.cs:L68 Command CommandSystem.Register access=Unknown; Data/Scripts/System/Misc/AutoRestart.cs:L73 Command CommandSystem.Register access=Administrator; SerializerExamples=Data/Scripts/System/Misc/AutoRestart.cs:Server.Misc.AutoRestarter version=0 serialize=L640 deserialize=L665 alignment=AlignedByCountAndKnownTypes; Data/Scripts/Trades/Gardening/PlantSystem.cs:Unknown version=Unknown serialize=L deserialize=L alignment=AlignedByCountAndKnownTypes; Data/System/Source/Main.cs:Unknown version=Unknown serialize=L deserialize=L alignment=AlignedByCountAndKnownTypes; Data/System/Source/World.cs:Unknown version=Unknown serialize=L deserialize=L alignment=AlignedByCountAndKnownTypes; ProjectTruth=Data/Scripts/System/Misc/AutoRestart.cs=Keep; Data/Scripts/System/Misc/AutoRestart.cs=Keep; Data/Scripts/System/Misc/AutoSave.cs=Keep; Data/Scripts/System/Misc/AutoSave.cs=Keep; Data/Scripts/System/Misc/CrashGuard.cs=Keep; Data/Scripts/System/Misc/CrashGuard.cs=Keep; Data/Scripts/System/Misc/Settings.cs=Keep; Data/Scripts/System/Misc/Settings.cs=Keep; Data/Scripts/Trades/Gardening/PlantSystem.cs=Keep; Data/Scripts/Trades/Gardening/PlantSystem.cs=Keep</t>
  </si>
  <si>
    <t>POST-BATCH-T docs source-trace review. Previous active row was PBN-0017/PBF-463. No source/project/XML/config/data behavior changed.</t>
  </si>
  <si>
    <t>RB-06725</t>
  </si>
  <si>
    <t>P10-F06725</t>
  </si>
  <si>
    <t>docs/wiki/Misc_Magic_Spells.md</t>
  </si>
  <si>
    <t>PBT-0051</t>
  </si>
  <si>
    <t>Queue SourceEvidence=POST-BATCH-N lane=POST-BATCH-N-DOCS-SOURCE-TRACE; FileProofStatus=CurrentPathConfirmed; Documentation truth after POST-BATCH-F: SourceTracePresent=No; MissingClaims=Missing Source Trace section.; StaleClaims=; Canonical=Canonical; Target=; SourceFiles=Data/Scripts/Magic/Misc/; Data/Scripts/Magic/Misc/MagicalSpell.cs; Data/Scripts/Magic/Misc/AttackSpells.cs; Data/Scripts/Magic/Misc/TravelSpell.cs; Data/Scripts/Magic/Misc/IdentifySpell.cs; Data/Scripts/Magic/Misc/ThorLightningSpell.cs; Data/Scripts/Magic/Misc/SummonDragonSpell.cs; Data/Scripts/Magic/Misc/SummonSnakesSpell.cs; Data/Scripts/Magic/Misc/SummonSkeleton.cs; Data/Scripts/Magic/Misc/BaseMagicObject.cs; Data/Scripts/Magic/Misc/MagicCastingItems.cs; Data/Scripts/Magic/Misc/MagicObjectTarget.cs; Data/Scripts/Magic/Misc/RuneMagic.cs; Data/Scripts/Custom/ThirdParty/OmniAI/OmniAI Magery.cs; Data/Scripts/Mobiles/Base/Behavior.cs; Data/Scripts/Items/Magical/Artifacts/Artifact_GandalfsStaff.cs; Data/Scripts/Items/Magical/Artifacts/Artifact_StaffofSnakes.cs; Data/Scripts/Items/Magical/HydraTooth.cs; Data/Scripts/System/Gumps/RunebookGump.cs; PathStatus=Data/Scripts/Magic/Misc/=CurrentDirectory; Data/Scripts/Magic/Misc/MagicalSpell.cs=CurrentFile; Data/Scripts/Magic/Misc/AttackSpells.cs=CurrentFile; Data/Scripts/Magic/Misc/TravelSpell.cs=CurrentFile; Data/Scripts/Magic/Misc/IdentifySpell.cs=CurrentFile; Data/Scripts/Magic/Misc/ThorLightningSpell.cs=CurrentFile; Data/Scripts/Magic/Misc/SummonDragonSpell.cs=CurrentFile; Data/Scripts/Magic/Misc/SummonSnakesSpell.cs=CurrentFile; Data/Scripts/Magic/Misc/SummonSkeleton.cs=CurrentFile; Data/Scripts/Magic/Misc/BaseMagicObject.cs=CurrentFile; Data/Scripts/Magic/Misc/MagicCastingItems.cs=CurrentFile; Data/Scripts/Magic/Misc/MagicObjectTarget.cs=CurrentFile; Data/Scripts/Magic/Misc/RuneMagic.cs=CurrentFile; Data/Scripts/Custom/ThirdParty/OmniAI/OmniAI Magery.cs=CurrentFile; Data/Scripts/Mobiles/Base/Behavior.cs=CurrentFile; Data/Scripts/Items/Magical/Artifacts/Artifact_GandalfsStaff.cs=CurrentFile; Data/Scripts/Items/Magical/Artifacts/Artifact_StaffofSnakes.cs=CurrentFile; Data/Scripts/Items/Magical/HydraTooth.cs=CurrentFile; Data/Scripts/System/Gumps/RunebookGump.cs=CurrentFile; HookExamples=Data/Scripts/Magic/Misc/BaseMagicObject.cs:L115 Timer Timer.DelayCall access=GlobalOrInternal; Data/Scripts/Mobiles/Base/Behavior.cs:L9665 WorldLoad WorldLoad access=GlobalOrInternal; Data/Scripts/Mobiles/Base/Behavior.cs:L9779 Gump SendGump access=Internal; Data/Scripts/Mobiles/Base/Behavior.cs:L10029 Speech OnSpeech access=GlobalOrInternal; Data/Scripts/Mobiles/Base/Behavior.cs:L10397 Gump SendGump access=Internal; Data/Scripts/Mobiles/Base/Behavior.cs:L13063 Timer Timer.DelayCall access=GlobalOrInternal; Data/Scripts/Mobiles/Base/Behavior.cs:L13068 Timer Timer.DelayCall access=GlobalOrInternal; Data/Scripts/Mobiles/Base/Behavior.cs:L13120 Timer CustomTimerSubclass access=GlobalOrInternal; Data/Scripts/Mobiles/Base/Behavior.cs:L14200 Event EventSink access=GlobalOrInternal; Data/Scripts/Mobiles/Base/Behavior.cs:L15092 Event EventSink access=GlobalOrInternal; Data/Scripts/Mobiles/Base/Behavior.cs:L15624 Speech OnSpeech access=GlobalOrInternal; Data/Scripts/Mobiles/Base/Behavior.cs:L15626 Speech OnSpeech access=GlobalOrInternal; SerializerExamples=Data/Scripts/Items/Magical/Artifacts/Artifact_GandalfsStaff.cs:Server.Items.Artifact_GandalfsStaff version=1 serialize=L78 deserialize=L85 alignment=CountMatchNeedsTypeReview:UnknownWrites=1; Data/Scripts/Items/Magical/Artifacts/Artifact_StaffofSnakes.cs:Server.Items.Artifact_StaffofSnakes version=1 serialize=L73 deserialize=L80 alignment=CountMatchNeedsTypeReview:UnknownWrites=1; Data/Scripts/Items/Magical/HydraTooth.cs:Server.Items.HydraTooth version=0 serialize=L43 deserialize=L49 alignment=AlignedByCountAndKnownTypes; Data/Scripts/Magic/Misc/BaseMagicObject.cs:Server.Items.BaseMagicObject version=0 serialize=L146 deserialize=L154 alignment=AlignedByCountAndKnownTypes; Data/Scripts/Magic/Misc/RuneMagic.cs:Server.Items.An version=0 serialize=L678 deserialize=L684 alignment=AlignedByCountAndKnownTypes; Data/Scripts/Magic/Misc/RuneMagic.cs:Server.Items.Bet version=0 serialize=L704 deserialize=L710 alignment=AlignedByCountAndKnownTypes; Data/Scripts/Magic/Misc/RuneMagic.cs:Server.Items.Corp version=0 serialize=L730 deserialize=L736 alignment=AlignedByCountAndKnownTypes; Data/Scripts/Magic/Misc/RuneMagic.cs:Server.Items.Des version=0 serialize=L756 deserialize=L762 alignment=AlignedByCountAndKnownTypes; Data/Scripts/Magic/Misc/RuneMagic.cs:Server.Items.Ex version=0 serialize=L782 deserialize=L788 alignment=AlignedByCountAndKnownTypes; Data/Scripts/Magic/Misc/RuneMagic.cs:Server.Items.Flam version=0 serialize=L808 deserialize=L814 alignment=AlignedByCountAndKnownTypes; Data/Scripts/Magic/Misc/RuneMagic.cs:Server.Items.FullRuneBag version=0 serialize=L612 deserialize=L618 alignment=AlignedByCountAndKnownTypes; Data/Scripts/Magic/Misc/RuneMagic.cs:Server.Items.Grav version=0 serialize=L834 deserialize=L840 alignment=AlignedByCountAndKnownTypes; ProjectTruth=Data/Scripts/Custom/ThirdParty/OmniAI/OmniAI Magery.cs=Keep; Data/Scripts/Custom/ThirdParty/OmniAI/OmniAI Magery.cs=Keep; Data/Scripts/Items/Magical/Artifacts/Artifact_GandalfsStaff.cs=Keep; Data/Scripts/Items/Magical/Artifacts/Artifact_GandalfsStaff.cs=Keep; Data/Scripts/Items/Magical/Artifacts/Artifact_StaffofSnakes.cs=Keep; Data/Scripts/Items/Magical/Artifacts/Artifact_StaffofSnakes.cs=Keep; Data/Scripts/Items/Magical/HydraTooth.cs=Keep; Data/Scripts/Items/Magical/HydraTooth.cs=Keep; Data/Scripts/Magic/Misc/AttackSpells.cs=Keep; Data/Scripts/Magic/Misc/AttackSpells.cs=Keep; Data/Scripts/Magic/Misc/BaseMagicObject.cs=Keep; Data/Scripts/Magic/Misc/BaseMagicObject.cs=Keep; Data/Scripts/Magic/Misc/IdentifySpell.cs=Keep; Data/Scripts/Magic/Misc/IdentifySpell.cs=Keep; Data/Scripts/Magic/Misc/MagicalSpell.cs=Keep; Data/Scripts/Magic/Misc/MagicalSpell.cs=Keep; Data/Scripts/Magic/Misc/MagicCastingItems.cs=Keep; Data/Scripts/Magic/Misc/MagicCastingItems.cs=Keep; Data/Scripts/Magic/Misc/MagicObjectTarget.cs=Keep; Data/Scripts/Magic/Misc/MagicObjectTarget.cs=Keep</t>
  </si>
  <si>
    <t>POST-BATCH-T docs source-trace review. Previous active row was PBN-0051/PBF-464. No source/project/XML/config/data behavior changed.</t>
  </si>
  <si>
    <t>RB-06726</t>
  </si>
  <si>
    <t>P10-F06726</t>
  </si>
  <si>
    <t>Monster Nests</t>
  </si>
  <si>
    <t>docs/wiki/Monster_Nest_System.md</t>
  </si>
  <si>
    <t>PBT-0046</t>
  </si>
  <si>
    <t>Queue SourceEvidence=POST-BATCH-N lane=POST-BATCH-N-DOCS-SOURCE-TRACE; FileProofStatus=CurrentPathConfirmed; Documentation truth after POST-BATCH-F: SourceTracePresent=No; MissingClaims=Missing Source Trace section.; StaleClaims=; Canonical=Canonical; Target=; SourceFiles=Data/Scripts/Custom/PvE/MonsterNests/MonsterNest.cs; Data/Scripts/Custom/PvE/MonsterNests/MonsterNestEntity.cs; Data/Scripts/Custom/PvE/MonsterNests/MonsterNestLoot.cs; Data/Scripts/Custom/PvE/MonsterNests/Types/RatmanNest.cs; Data/Scripts/Custom/PvE/MonsterNests/Types/LizardmanNest.cs; Data/Scripts/Custom/PvE/MonsterNests/Types/UndeadNest.cs; Data/Scripts/Scripts.csproj; PathStatus=Data/Scripts/Custom/PvE/MonsterNests/MonsterNest.cs=CurrentFile; Data/Scripts/Custom/PvE/MonsterNests/MonsterNestEntity.cs=CurrentFile; Data/Scripts/Custom/PvE/MonsterNests/MonsterNestLoot.cs=CurrentFile; Data/Scripts/Custom/PvE/MonsterNests/Types/RatmanNest.cs=CurrentFile; Data/Scripts/Custom/PvE/MonsterNests/Types/LizardmanNest.cs=CurrentFile; Data/Scripts/Custom/PvE/MonsterNests/Types/UndeadNest.cs=CurrentFile; Data/Scripts/Scripts.csproj=CurrentFile; HookExamples=Data/Scripts/Custom/PvE/MonsterNests/MonsterNest.cs:L301 Timer CustomTimerSubclass access=GlobalOrInternal; Data/Scripts/Custom/PvE/MonsterNests/MonsterNest.cs:L327 Timer CustomTimerSubclass access=GlobalOrInternal; Data/Scripts/Custom/PvE/MonsterNests/MonsterNestLoot.cs:L105 Timer CustomTimerSubclass access=GlobalOrInternal; Data/Scripts/Custom/PvE/MonsterNests/MonsterNestLoot.cs:L132 Timer CustomTimerSubclass access=GlobalOrInternal; SerializerExamples=Data/Scripts/Custom/PvE/MonsterNests/MonsterNest.cs:Server.Items.MonsterNest version=0 serialize=L267 deserialize=L284 alignment=AlignedByCountAndKnownTypes; Data/Scripts/Custom/PvE/MonsterNests/MonsterNestEntity.cs:Server.Mobiles.MonsterNestEntity version=0 serialize=L117 deserialize=L124 alignment=AlignedByCountAndKnownTypes; Data/Scripts/Custom/PvE/MonsterNests/MonsterNestLoot.cs:Server.Items.MonsterNestLoot version=0 serialize=L89 deserialize=L97 alignment=AlignedByCountAndKnownTypes; Data/Scripts/Custom/PvE/MonsterNests/Types/LizardmanNest.cs:Server.Custom.Confictura.LizardmanNest version=0 serialize=L52 deserialize=L58 alignment=AlignedByCountAndKnownTypes; Data/Scripts/Custom/PvE/MonsterNests/Types/RatmanNest.cs:Server.Custom.Confictura.RatmanNest version=0 serialize=L48 deserialize=L54 alignment=AlignedByCountAndKnownTypes; Data/Scripts/Custom/PvE/MonsterNests/Types/UndeadNest.cs:Server.Items.UndeadNest version=0 serialize=L35 deserialize=L41 alignment=AlignedByCountAndKnownTypes; ProjectTruth=Data/Scripts/Custom/PvE/MonsterNests/MonsterNest.cs=Keep; Data/Scripts/Custom/PvE/MonsterNests/MonsterNest.cs=Keep; Data/Scripts/Custom/PvE/MonsterNests/MonsterNestEntity.cs=Keep; Data/Scripts/Custom/PvE/MonsterNests/MonsterNestEntity.cs=Keep; Data/Scripts/Custom/PvE/MonsterNests/MonsterNestLoot.cs=Keep; Data/Scripts/Custom/PvE/MonsterNests/MonsterNestLoot.cs=Keep; Data/Scripts/Custom/PvE/MonsterNests/Types/LizardmanNest.cs=Keep; Data/Scripts/Custom/PvE/MonsterNests/Types/LizardmanNest.cs=Keep; Data/Scripts/Custom/PvE/MonsterNests/Types/RatmanNest.cs=Keep; Data/Scripts/Custom/PvE/MonsterNests/Types/RatmanNest.cs=Keep; Data/Scripts/Custom/PvE/MonsterNests/Types/UndeadNest.cs=Keep; Data/Scripts/Custom/PvE/MonsterNests/Types/UndeadNest.cs=Keep</t>
  </si>
  <si>
    <t>POST-BATCH-T docs source-trace review. Previous active row was PBN-0046/PBF-465. No source/project/XML/config/data behavior changed.</t>
  </si>
  <si>
    <t>RB-06727</t>
  </si>
  <si>
    <t>P10-F06727</t>
  </si>
  <si>
    <t>docs/wiki/Mystic_Magic.md</t>
  </si>
  <si>
    <t>PBT-0040</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</si>
  <si>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SourceFiles=Data/Scripts/Magic/Mystic/MysticSpell.cs; Data/Scripts/Magic/Mystic/MysticSpellBook.cs; Data/Scripts/Magic/Mystic/MysticCommandList.cs; Data/Scripts/Magic/Mystic/MysticPack.cs; Data/Scripts/Magic/Mystic/MysticMonkRobe.cs; PathStatus=Data/Scripts/Magic/Mystic/MysticSpell.cs=CurrentFile; Data/Scripts/Magic/Mystic/MysticSpellBook.cs=CurrentFile; Data/Scripts/Magic/Mystic/MysticCommandList.cs=CurrentFile; Data/Scripts/Magic/Mystic/MysticPack.cs=CurrentFile; Data/Scripts/Magic/Mystic/MysticMonkRobe.cs=CurrentFile; HookExamples=Data/Scripts/Magic/Mystic/MysticCommandList.cs:L15 Initialize Initialize access=GlobalOrInternal; Data/Scripts/Magic/Mystic/MysticCommandList.cs:L78 Command CommandSystem.Register access=Unknown; Data/Scripts/Magic/Mystic/MysticSpellBook.cs:L143 Gump SendGump access=Internal; SerializerExamples=Data/Scripts/Magic/Mystic/MysticMonkRobe.cs:Server.Items.MysticMonkRobe version=0 serialize=L42 deserialize=L48 alignment=AlignedByCountAndKnownTypes; Data/Scripts/Magic/Mystic/MysticPack.cs:Server.Items.MysticPack version=0 serialize=L82 deserialize=L89 alignment=AlignedByCountAndKnownTypes; Data/Scripts/Magic/Mystic/MysticSpellBook.cs:Server.Items.MysticSpellbook version=0 serialize=L2224 deserialize=L2333 alignment=CountMatchNeedsTypeReview:UnknownWrites=91; ProjectTruth=Data/Scripts/Magic/Mystic/MysticCommandList.cs=Keep; Data/Scripts/Magic/Mystic/MysticCommandList.cs=Keep; Data/Scripts/Magic/Mystic/MysticMonkRobe.cs=Keep; Data/Scripts/Magic/Mystic/MysticMonkRobe.cs=Keep; Data/Scripts/Magic/Mystic/MysticPack.cs=Keep; Data/Scripts/Magic/Mystic/MysticPack.cs=Keep; Data/Scripts/Magic/Mystic/MysticSpell.cs=Keep; Data/Scripts/Magic/Mystic/MysticSpell.cs=Keep; Data/Scripts/Magic/Mystic/MysticSpellBook.cs=Keep; Data/Scripts/Magic/Mystic/MysticSpellBook.cs=Keep</t>
  </si>
  <si>
    <t>POST-BATCH-T docs source-trace review. Previous active row was PBN-0040/PBF-466. No source/project/XML/config/data behavior changed.</t>
  </si>
  <si>
    <t>RB-06728</t>
  </si>
  <si>
    <t>P10-F06728</t>
  </si>
  <si>
    <t>docs/wiki/Necromancy.md</t>
  </si>
  <si>
    <t>PBT-0099</t>
  </si>
  <si>
    <t>Queue SourceEvidence=POST-BATCH-N lane=POST-BATCH-N-DOCS-SOURCE-TRACE; FileProofStatus=CurrentPathConfirmed; Documentation truth after POST-BATCH-F: SourceTracePresent=No; MissingClaims=Missing Source Trace section.; StaleClaims=; Canonical=Canonical; Target=; SourceFiles=Data/Scripts/Magic/Necromancy; PathStatus=Data/Scripts/Magic/Necromancy=CurrentDirectory; HookExamples=Data/Scripts/Magic/Necromancy/BloodOathSpell.cs:L151 Timer CustomTimerSubclass access=GlobalOrInternal; Data/Scripts/Magic/Necromancy/CorpseSkin.cs:L123 Timer CustomTimerSubclass access=GlobalOrInternal; Data/Scripts/Magic/Necromancy/CurseWeapon.cs:L95 Timer CustomTimerSubclass access=GlobalOrInternal; Data/Scripts/Magic/Necromancy/CurseWeapon.cs:L114 Timer CustomTimerSubclass access=GlobalOrInternal; Data/Scripts/Magic/Necromancy/EvilOmen.cs:L80 Timer Timer.DelayCall access=GlobalOrInternal; Data/Scripts/Magic/Necromancy/Exorcism.cs:L131 Timer CustomTimerSubclass access=GlobalOrInternal; Data/Scripts/Magic/Necromancy/MindRot.cs:L158 Timer CustomTimerSubclass access=GlobalOrInternal; Data/Scripts/Magic/Necromancy/PainSpike.cs:L124 Timer CustomTimerSubclass access=GlobalOrInternal; Data/Scripts/Magic/Necromancy/Strangle.cs:L142 Timer CustomTimerSubclass access=GlobalOrInternal; Data/Scripts/Magic/Necromancy/SummonFamiliar.cs:L65 Gump SendGump access=Internal; Data/Scripts/Magic/Necromancy/SummonFamiliar.cs:L207 Gump OnResponse access=Internal; Data/Scripts/Magic/Necromancy/SummonFamiliar.cs:L233 Gump SendGump access=Internal; SerializerExamples=Data/Scripts/Magic/Necromancy/NecromancerSpellbook.cs:Server.Items.NecromancerSpellbook version=1 serialize=L36 deserialize=L43 alignment=AlignedByCountAndKnownTypes; Data/Scripts/Magic/Necromancy/Scrolls/AnimateDeadScroll.cs:Server.Items.AnimateDeadScroll version=0 serialize=L20 deserialize=L27 alignment=AlignedByCountAndKnownTypes; Data/Scripts/Magic/Necromancy/Scrolls/BloodOathScroll.cs:Server.Items.BloodOathScroll version=0 serialize=L20 deserialize=L27 alignment=AlignedByCountAndKnownTypes; Data/Scripts/Magic/Necromancy/Scrolls/CorpseSkinScroll.cs:Server.Items.CorpseSkinScroll version=0 serialize=L20 deserialize=L27 alignment=AlignedByCountAndKnownTypes; Data/Scripts/Magic/Necromancy/Scrolls/CurseWeaponScroll.cs:Server.Items.CurseWeaponScroll version=0 serialize=L20 deserialize=L27 alignment=AlignedByCountAndKnownTypes; Data/Scripts/Magic/Necromancy/Scrolls/EvilOmenScroll.cs:Server.Items.EvilOmenScroll version=0 serialize=L20 deserialize=L27 alignment=AlignedByCountAndKnownTypes; Data/Scripts/Magic/Necromancy/Scrolls/ExorcismScroll.cs:Server.Items.ExorcismScroll version=0 serialize=L27 deserialize=L34 alignment=AlignedByCountAndKnownTypes; Data/Scripts/Magic/Necromancy/Scrolls/HorrificBeastScroll.cs:Server.Items.HorrificBeastScroll version=0 serialize=L20 deserialize=L27 alignment=AlignedByCountAndKnownTypes; Data/Scripts/Magic/Necromancy/Scrolls/LichFormScroll.cs:Server.Items.LichFormScroll version=0 serialize=L20 deserialize=L27 alignment=AlignedByCountAndKnownTypes; Data/Scripts/Magic/Necromancy/Scrolls/MindRotScroll.cs:Server.Items.MindRotScroll version=0 serialize=L20 deserialize=L27 alignment=AlignedByCountAndKnownTypes; Data/Scripts/Magic/Necromancy/Scrolls/PainSpikeScroll.cs:Server.Items.PainSpikeScroll version=0 serialize=L20 deserialize=L27 alignment=AlignedByCountAndKnownTypes; Data/Scripts/Magic/Necromancy/Scrolls/PoisonStrikeScroll.cs:Server.Items.PoisonStrikeScroll version=0 serialize=L20 deserialize=L27 alignment=AlignedByCountAndKnownTypes; ProjectTruth=Data/Scripts/Magic/Necromancy/AnimateDeadSpell.cs=Keep; Data/Scripts/Magic/Necromancy/AnimateDeadSpell.cs=Keep; Data/Scripts/Magic/Necromancy/BloodOathSpell.cs=Keep; Data/Scripts/Magic/Necromancy/BloodOathSpell.cs=Keep; Data/Scripts/Magic/Necromancy/CorpseSkin.cs=Keep; Data/Scripts/Magic/Necromancy/CorpseSkin.cs=Keep; Data/Scripts/Magic/Necromancy/CurseWeapon.cs=Keep; Data/Scripts/Magic/Necromancy/CurseWeapon.cs=Keep; Data/Scripts/Magic/Necromancy/EvilOmen.cs=Keep; Data/Scripts/Magic/Necromancy/EvilOmen.cs=Keep; Data/Scripts/Magic/Necromancy/Exorcism.cs=Keep; Data/Scripts/Magic/Necromancy/Exorcism.cs=Keep; Data/Scripts/Magic/Necromancy/HorrificBeast.cs=Keep; Data/Scripts/Magic/Necromancy/HorrificBeast.cs=Keep; Data/Scripts/Magic/Necromancy/LichForm.cs=Keep; Data/Scripts/Magic/Necromancy/LichForm.cs=Keep; Data/Scripts/Magic/Necromancy/MindRot.cs=Keep; Data/Scripts/Magic/Necromancy/MindRot.cs=Keep; Data/Scripts/Magic/Necromancy/NecromancerSpell.cs=Keep; Data/Scripts/Magic/Necromancy/NecromancerSpell.cs=Keep</t>
  </si>
  <si>
    <t>POST-BATCH-T docs source-trace review. Previous active row was PBN-0099/PBF-467. No source/project/XML/config/data behavior changed.</t>
  </si>
  <si>
    <t>RB-06729</t>
  </si>
  <si>
    <t>P10-F06729</t>
  </si>
  <si>
    <t>docs/wiki/Ninjitsu.md</t>
  </si>
  <si>
    <t>PBT-0100</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</si>
  <si>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SourceFiles=Data/Scripts/Magic/Ninjitsu/BookOfNinjitsu.cs; Data/Scripts/Magic/Ninjitsu/NinjaSpell.cs; Data/Scripts/Magic/Ninjitsu/NinjaMove.cs; Data/Scripts/Magic/Ninjitsu/AnimalForm.cs; Data/Scripts/Magic/Ninjitsu/Backstab.cs; Data/Scripts/Magic/Ninjitsu/DeathStrike.cs; Data/Scripts/Magic/Ninjitsu/FocusAttack.cs; Data/Scripts/Magic/Ninjitsu/KiAttack.cs; Data/Scripts/Magic/Ninjitsu/MirrorImage.cs; Data/Scripts/Magic/Ninjitsu/ShadowJump.cs; Data/Scripts/Magic/Ninjitsu/SurpriseAttack.cs; PathStatus=Data/Scripts/Magic/Ninjitsu/BookOfNinjitsu.cs=CurrentFile; Data/Scripts/Magic/Ninjitsu/NinjaSpell.cs=CurrentFile; Data/Scripts/Magic/Ninjitsu/NinjaMove.cs=CurrentFile; Data/Scripts/Magic/Ninjitsu/AnimalForm.cs=CurrentFile; Data/Scripts/Magic/Ninjitsu/Backstab.cs=CurrentFile; Data/Scripts/Magic/Ninjitsu/DeathStrike.cs=CurrentFile; Data/Scripts/Magic/Ninjitsu/FocusAttack.cs=CurrentFile; Data/Scripts/Magic/Ninjitsu/KiAttack.cs=CurrentFile; Data/Scripts/Magic/Ninjitsu/MirrorImage.cs=CurrentFile; Data/Scripts/Magic/Ninjitsu/ShadowJump.cs=CurrentFile; Data/Scripts/Magic/Ninjitsu/SurpriseAttack.cs=CurrentFile; HookExamples=Data/Scripts/Magic/Ninjitsu/AnimalForm.cs:L15 Initialize Initialize access=GlobalOrInternal; Data/Scripts/Magic/Ninjitsu/AnimalForm.cs:L17 Event EventSink access=GlobalOrInternal; Data/Scripts/Magic/Ninjitsu/AnimalForm.cs:L20 Login OnLogin access=Internal; Data/Scripts/Magic/Ninjitsu/AnimalForm.cs:L146 Gump SendGump access=Internal; Data/Scripts/Magic/Ninjitsu/AnimalForm.cs:L718 Gump OnResponse access=Internal; Data/Scripts/Magic/Ninjitsu/AnimalForm.cs:L794 Timer CustomTimerSubclass access=GlobalOrInternal; Data/Scripts/Magic/Ninjitsu/Backstab.cs:L67 Timer Timer.DelayCall access=GlobalOrInternal; Data/Scripts/Magic/Ninjitsu/DeathStrike.cs:L89 Timer Timer.DelayCall access=GlobalOrInternal; Data/Scripts/Magic/Ninjitsu/KiAttack.cs:L37 Timer Timer.DelayCall access=GlobalOrInternal; Data/Scripts/Magic/Ninjitsu/SurpriseAttack.cs:L60 Timer Timer.DelayCall access=GlobalOrInternal; Data/Scripts/Magic/Ninjitsu/SurpriseAttack.cs:L107 Timer Timer.DelayCall access=GlobalOrInternal; SerializerExamples=Data/Scripts/Magic/Ninjitsu/BookOfNinjitsu.cs:Server.Items.BookOfNinjitsu version=1 serialize=L36 deserialize=L43 alignment=AlignedByCountAndKnownTypes; Data/Scripts/Magic/Ninjitsu/MirrorImage.cs:Server.Spells.Ninjitsu.Clone version=Unknown serialize=L256 deserialize=L265 alignment=CountMatchNeedsTypeReview:UnknownWrites=1; ProjectTruth=Data/Scripts/Magic/Ninjitsu/AnimalForm.cs=Keep; Data/Scripts/Magic/Ninjitsu/AnimalForm.cs=Keep; Data/Scripts/Magic/Ninjitsu/Backstab.cs=Keep; Data/Scripts/Magic/Ninjitsu/Backstab.cs=Keep; Data/Scripts/Magic/Ninjitsu/BookOfNinjitsu.cs=Keep; Data/Scripts/Magic/Ninjitsu/BookOfNinjitsu.cs=Keep; Data/Scripts/Magic/Ninjitsu/DeathStrike.cs=Keep; Data/Scripts/Magic/Ninjitsu/DeathStrike.cs=Keep; Data/Scripts/Magic/Ninjitsu/FocusAttack.cs=Keep; Data/Scripts/Magic/Ninjitsu/FocusAttack.cs=Keep; Data/Scripts/Magic/Ninjitsu/KiAttack.cs=Keep; Data/Scripts/Magic/Ninjitsu/KiAttack.cs=Keep; Data/Scripts/Magic/Ninjitsu/MirrorImage.cs=Keep; Data/Scripts/Magic/Ninjitsu/MirrorImage.cs=Keep; Data/Scripts/Magic/Ninjitsu/NinjaMove.cs=Keep; Data/Scripts/Magic/Ninjitsu/NinjaMove.cs=Keep; Data/Scripts/Magic/Ninjitsu/NinjaSpell.cs=Keep; Data/Scripts/Magic/Ninjitsu/NinjaSpell.cs=Keep; Data/Scripts/Magic/Ninjitsu/ShadowJump.cs=Keep; Data/Scripts/Magic/Ninjitsu/ShadowJump.cs=Keep</t>
  </si>
  <si>
    <t>POST-BATCH-T docs source-trace review. Previous active row was PBN-0100/PBF-468. No source/project/XML/config/data behavior changed.</t>
  </si>
  <si>
    <t>RB-06730</t>
  </si>
  <si>
    <t>P10-F06730</t>
  </si>
  <si>
    <t>docs/wiki/NPC_Control_Commands.md</t>
  </si>
  <si>
    <t>PBT-0101</t>
  </si>
  <si>
    <t>Queue SourceEvidence=POST-BATCH-N lane=POST-BATCH-N-DOCS-SOURCE-TRACE; FileProofStatus=CurrentPathConfirmed; Documentation truth after POST-BATCH-F: SourceTracePresent=No; MissingClaims=Missing Source Trace section.; StaleClaims=; Canonical=Canonical; Target=; SourceFiles=Data/Scripts/Scripts.csproj; PathStatus=Data/Scripts/Scripts.csproj=CurrentFile; HookExamples=; SerializerExamples=; ProjectTruth=</t>
  </si>
  <si>
    <t>POST-BATCH-T docs source-trace review. Previous active row was PBN-0101/PBF-469. No source/project/XML/config/data behavior changed.</t>
  </si>
  <si>
    <t>RB-06731</t>
  </si>
  <si>
    <t>P10-F06731</t>
  </si>
  <si>
    <t>docs/wiki/NPC_Mage_Advice.md</t>
  </si>
  <si>
    <t>PBT-0124</t>
  </si>
  <si>
    <t>Queue SourceEvidence=POST-BATCH-N lane=POST-BATCH-N-DOCS-SOURCE-TRACE; FileProofStatus=CurrentPathConfirmed; Documentation truth after POST-BATCH-F: SourceTracePresent=No; MissingClaims=Missing Source Trace section.; StaleClaims=; Canonical=Canonical; Target=; SourceFiles=Data/Scripts/System/Misc/Talk.cs; Data/Scripts/Mobiles/Civilized/Vendors/Mage.cs; Data/Scripts/System/Commands/Player/MyChat.cs; Data/Scripts/Items/Wands/BaseMagicStaff.cs; Data/Scripts/System/Commands/Player/SpellBarsManage.cs; Data/Scripts/System/Commands/Player/SpellBarsDisplay.cs; Data/Scripts/System/Commands/Player/SpellBarsCommands.cs; Data/Scripts/System/Commands/Player/SpellBarsFunctions.cs; PathStatus=Data/Scripts/System/Misc/Talk.cs=CurrentFile; Data/Scripts/Mobiles/Civilized/Vendors/Mage.cs=CurrentFile; Data/Scripts/System/Commands/Player/MyChat.cs=CurrentFile; Data/Scripts/Items/Wands/BaseMagicStaff.cs=CurrentFile; Data/Scripts/System/Commands/Player/SpellBarsManage.cs=CurrentFile; Data/Scripts/System/Commands/Player/SpellBarsDisplay.cs=CurrentFile; Data/Scripts/System/Commands/Player/SpellBarsCommands.cs=CurrentFile; Data/Scripts/System/Commands/Player/SpellBarsFunctions.cs=CurrentFile; HookExamples=Data/Scripts/Items/Wands/BaseMagicStaff.cs:L106 Timer Timer.DelayCall access=GlobalOrInternal; Data/Scripts/Mobiles/Civilized/Vendors/Mage.cs:L109 Gump SendGump access=Internal; Data/Scripts/System/Commands/Player/MyChat.cs:L75 Gump OnResponse access=Internal; Data/Scripts/System/Commands/Player/MyChat.cs:L174 Gump OnResponse access=Internal; Data/Scripts/System/Commands/Player/MyChat.cs:L183 Gump SendGump access=Internal; Data/Scripts/System/Commands/Player/MyChat.cs:L188 Gump SendGump access=Internal; Data/Scripts/System/Commands/Player/MyChat.cs:L193 Gump SendGump access=Internal; Data/Scripts/System/Commands/Player/MyChat.cs:L198 Gump SendGump access=Internal; Data/Scripts/System/Commands/Player/SpellBarsCommands.cs:L32 Initialize Initialize access=GlobalOrInternal; Data/Scripts/System/Commands/Player/SpellBarsCommands.cs:L34 Command CommandSystem.Register access=Unknown; Data/Scripts/System/Commands/Player/SpellBarsCommands.cs:L43 Command CommandSystem.Register access=Unknown; Data/Scripts/System/Commands/Player/SpellBarsCommands.cs:L67 Initialize Initialize access=GlobalOrInternal; SerializerExamples=Data/Scripts/Items/Wands/BaseMagicStaff.cs:Server.Items.BaseMagicStaff version=0 serialize=L144 deserialize=L152 alignment=AlignedByCountAndKnownTypes; Data/Scripts/Mobiles/Civilized/Vendors/Mage.cs:Server.Mobiles.Mage version=0 serialize=L306 deserialize=L313 alignment=AlignedByCountAndKnownTypes; ProjectTruth=Data/Scripts/Items/Wands/BaseMagicStaff.cs=Keep; Data/Scripts/Items/Wands/BaseMagicStaff.cs=Keep; Data/Scripts/Mobiles/Civilized/Vendors/Mage.cs=Keep; Data/Scripts/Mobiles/Civilized/Vendors/Mage.cs=Keep; Data/Scripts/System/Commands/Player/MyChat.cs=Keep; Data/Scripts/System/Commands/Player/MyChat.cs=Keep; Data/Scripts/System/Commands/Player/SpellBarsCommands.cs=Keep; Data/Scripts/System/Commands/Player/SpellBarsCommands.cs=Keep; Data/Scripts/System/Commands/Player/SpellBarsDisplay.cs=Keep; Data/Scripts/System/Commands/Player/SpellBarsDisplay.cs=Keep; Data/Scripts/System/Commands/Player/SpellBarsFunctions.cs=Keep; Data/Scripts/System/Commands/Player/SpellBarsFunctions.cs=Keep; Data/Scripts/System/Commands/Player/SpellBarsManage.cs=Keep; Data/Scripts/System/Commands/Player/SpellBarsManage.cs=Keep; Data/Scripts/System/Misc/Talk.cs=Keep; Data/Scripts/System/Misc/Talk.cs=Keep</t>
  </si>
  <si>
    <t>POST-BATCH-T docs source-trace review. Previous active row was PBN-0124/PBF-470. No source/project/XML/config/data behavior changed.</t>
  </si>
  <si>
    <t>RB-06732</t>
  </si>
  <si>
    <t>P10-F06732</t>
  </si>
  <si>
    <t>docs/wiki/NPC_Shipwright_Sailing_Guide.md</t>
  </si>
  <si>
    <t>PBT-0004</t>
  </si>
  <si>
    <t>Queue SourceEvidence=POST-BATCH-N lane=POST-BATCH-N-DOCS-SOURCE-TRACE; FileProofStatus=CurrentPathConfirmed; Documentation truth after POST-BATCH-F: SourceTracePresent=No; MissingClaims=Missing Source Trace section.; StaleClaims=; Canonical=Canonical; Target=; SourceFiles=Data/Scripts/System/Misc/Talk.cs; Data/Scripts/Mobiles/Civilized/Vendors/Shipwright.cs; Data/Scripts/Mobiles/Civilized/Vendors/DrunkenPirate.cs; Data/Scripts/System/Commands/Player/MyChat.cs; Data/Scripts/Mobiles/Base/StoreSalesList.cs; Data/Scripts/Items/Boats/BaseBoatDeed.cs; Data/Scripts/Items/Boats/BaseDockedBoat.cs; Data/Scripts/Items/Boats/BaseBoat.cs; Data/Scripts/Items/Boats/TillerMan.cs; Data/Scripts/Items/Boats/Gumps/TillerManGump.cs; Data/Scripts/Items/Boats/DockingLantern.cs; PathStatus=Data/Scripts/System/Misc/Talk.cs=CurrentFile; Data/Scripts/Mobiles/Civilized/Vendors/Shipwright.cs=CurrentFile; Data/Scripts/Mobiles/Civilized/Vendors/DrunkenPirate.cs=CurrentFile; Data/Scripts/System/Commands/Player/MyChat.cs=CurrentFile; Data/Scripts/Mobiles/Base/StoreSalesList.cs=CurrentFile; Data/Scripts/Items/Boats/BaseBoatDeed.cs=CurrentFile; Data/Scripts/Items/Boats/BaseDockedBoat.cs=CurrentFile; Data/Scripts/Items/Boats/BaseBoat.cs=CurrentFile; Data/Scripts/Items/Boats/TillerMan.cs=CurrentFile; Data/Scripts/Items/Boats/Gumps/TillerManGump.cs=CurrentFile; Data/Scripts/Items/Boats/DockingLantern.cs=CurrentFile; HookExamples=Data/Scripts/Items/Boats/BaseBoat.cs:L1447 Timer CustomTimerSubclass access=GlobalOrInternal; Data/Scripts/Items/Boats/BaseBoat.cs:L1732 Gump SendGump access=Internal; Data/Scripts/Items/Boats/BaseBoat.cs:L2058 Speech OnSpeech access=GlobalOrInternal; Data/Scripts/Items/Boats/BaseBoat.cs:L2270 Timer CustomTimerSubclass access=GlobalOrInternal; Data/Scripts/Items/Boats/BaseBoat.cs:L2882 Timer CustomTimerSubclass access=GlobalOrInternal; Data/Scripts/Items/Boats/BaseBoat.cs:L2906 Initialize Initialize access=GlobalOrInternal; Data/Scripts/Items/Boats/BaseBoat.cs:L2909 Event EventSink access=GlobalOrInternal; Data/Scripts/Items/Boats/BaseBoat.cs:L2909 WorldSave WorldSave access=GlobalOrInternal; Data/Scripts/Items/Boats/BaseBoat.cs:L2917 Timer CustomTimerSubclass access=GlobalOrInternal; Data/Scripts/Items/Boats/Gumps/TillerManGump.cs:L56 Gump OnResponse access=Internal; Data/Scripts/Items/Boats/Gumps/TillerManGump.cs:L503 Gump SendGump access=Internal; Data/Scripts/Items/Boats/TillerMan.cs:L112 Gump SendGump access=Internal; SerializerExamples=Data/Scripts/Items/Boats/BaseBoat.cs:Server.Multis.BaseBoat version=3 serialize=L663 deserialize=L688 alignment=CountMatchNeedsTypeReview:UnknownWrites=8; Data/Scripts/Items/Boats/BaseBoatDeed.cs:Server.Multis.BaseBoatDeed version=0 serialize=L56 deserialize=L64 alignment=CountMatchNeedsTypeReview:UnknownWrites=2; Data/Scripts/Items/Boats/BaseDockedBoat.cs:Server.Multis.BaseDockedBoat version=1 serialize=L71 deserialize=L82 alignment=CountMismatch:Writes=3;Reads=4; Data/Scripts/Items/Boats/DockingLantern.cs:Server.Items.DockingLantern version=0 serialize=L74 deserialize=L81 alignment=AlignedByCountAndKnownTypes; Data/Scripts/Items/Boats/TillerMan.cs:Server.Items.TillerMan version=0 serialize=L174 deserialize=L183 alignment=CountMatchNeedsTypeReview:UnknownWrites=1; Data/Scripts/Mobiles/Civilized/Vendors/DrunkenPirate.cs:Server.Mobiles.DrunkenPirate version=0 serialize=L99 deserialize=L106 alignment=AlignedByCountAndKnownTypes; Data/Scripts/Mobiles/Civilized/Vendors/Shipwright.cs:Server.Mobiles.Shipwright version=0 serialize=L188 deserialize=L195 alignment=AlignedByCountAndKnownTypes; ProjectTruth=Data/Scripts/Items/Boats/BaseBoat.cs=Keep; Data/Scripts/Items/Boats/BaseBoat.cs=Keep; Data/Scripts/Items/Boats/BaseBoatDeed.cs=Keep; Data/Scripts/Items/Boats/BaseBoatDeed.cs=Keep; Data/Scripts/Items/Boats/BaseDockedBoat.cs=Keep; Data/Scripts/Items/Boats/BaseDockedBoat.cs=Keep; Data/Scripts/Items/Boats/DockingLantern.cs=Keep; Data/Scripts/Items/Boats/DockingLantern.cs=Keep; Data/Scripts/Items/Boats/Gumps/TillerManGump.cs=Keep; Data/Scripts/Items/Boats/Gumps/TillerManGump.cs=Keep; Data/Scripts/Items/Boats/TillerMan.cs=Keep; Data/Scripts/Items/Boats/TillerMan.cs=Keep; Data/Scripts/Mobiles/Base/StoreSalesList.cs=Keep; Data/Scripts/Mobiles/Base/StoreSalesList.cs=Keep; Data/Scripts/Mobiles/Civilized/Vendors/DrunkenPirate.cs=Keep; Data/Scripts/Mobiles/Civilized/Vendors/DrunkenPirate.cs=Keep; Data/Scripts/Mobiles/Civilized/Vendors/Shipwright.cs=Keep; Data/Scripts/Mobiles/Civilized/Vendors/Shipwright.cs=Keep; Data/Scripts/System/Commands/Player/MyChat.cs=Keep; Data/Scripts/System/Commands/Player/MyChat.cs=Keep</t>
  </si>
  <si>
    <t>POST-BATCH-T docs source-trace review. Previous active row was PBN-0004/PBF-471. No source/project/XML/config/data behavior changed.</t>
  </si>
  <si>
    <t>RB-06733</t>
  </si>
  <si>
    <t>P10-F06733</t>
  </si>
  <si>
    <t>PBT-0125</t>
  </si>
  <si>
    <t>POST-BATCH-T docs source-trace review. Previous active row was PBN-0125/PBF-472. No source/project/XML/config/data behavior changed.</t>
  </si>
  <si>
    <t>RB-06734</t>
  </si>
  <si>
    <t>P10-F06734</t>
  </si>
  <si>
    <t>docs/wiki/Obsolete_Script_Collection.md</t>
  </si>
  <si>
    <t>PBT-0048</t>
  </si>
  <si>
    <t>Queue SourceEvidence=POST-BATCH-N lane=POST-BATCH-N-DOCS-SOURCE-TRACE; FileProofStatus=CurrentPathConfirmed; Documentation truth after POST-BATCH-F: SourceTracePresent=No; MissingClaims=Missing Source Trace section.; StaleClaims=; Canonical=Canonical; Target=; SourceFiles=Data/Scripts/System/Obsolete/; Data/Scripts/Scripts.csproj; PathStatus=Data/Scripts/System/Obsolete/=CurrentDirectory; Data/Scripts/Scripts.csproj=CurrentFile; HookExamples=Data/Scripts/System/Obsolete/GardenTool.cs:L45 Timer Timer.DelayCall access=GlobalOrInternal; Data/Scripts/System/Obsolete/Herbalism.cs:L474 Initialize Initialize access=GlobalOrInternal; Data/Scripts/System/Obsolete/HerbalistCauldron.cs:L570 Timer Timer.DelayCall access=GlobalOrInternal; Data/Scripts/System/Obsolete/HerbalistCauldron.cs:L1393 Gump SendGump access=Internal; Data/Scripts/System/Obsolete/MixingCauldron.cs:L589 Timer Timer.DelayCall access=GlobalOrInternal; Data/Scripts/System/Obsolete/MixingCauldron.cs:L1525 Gump SendGump access=Internal; Data/Scripts/System/Obsolete/MixingCauldron.cs:L3287 Timer Timer.DelayCall access=GlobalOrInternal; Data/Scripts/System/Obsolete/Obsolete.cs:L1657 Movement OnMovement access=GlobalOrInternal; Data/Scripts/System/Obsolete/Obsolete.cs:L1770 Speech OnSpeech access=GlobalOrInternal; Data/Scripts/System/Obsolete/Obsolete.cs:L1772 Speech OnSpeech access=GlobalOrInternal; Data/Scripts/System/Obsolete/Obsolete.cs:L2071 Timer Timer.DelayCall access=GlobalOrInternal; Data/Scripts/System/Obsolete/Obsolete.cs:L2346 Movement OnMovement access=GlobalOrInternal; SerializerExamples=Data/Scripts/System/Obsolete/GardenTool.cs:Server.Items.GardenTool version=0 serialize=L35 deserialize=L41 alignment=AlignedByCountAndKnownTypes; Data/Scripts/System/Obsolete/HerbalistCauldron.cs:Server.Items.HerbalistCauldron version=0 serialize=L510 deserialize=L540 alignment=CountMatchNeedsTypeReview:UnknownWrites=24; Data/Scripts/System/Obsolete/MixingCauldron.cs:Server.Items.MixingCauldron version=0 serialize=L527 deserialize=L558 alignment=CountMatchNeedsTypeReview:UnknownWrites=25; Data/Scripts/System/Obsolete/MixingCauldron.cs:Server.Items.MixingSpoon version=0 serialize=L3268 deserialize=L3275 alignment=AlignedByCountAndKnownTypes; Data/Scripts/System/Obsolete/Obsolete.cs:Server.Items.AmethystWyrm version=0 serialize=L1333 deserialize=L1339 alignment=AlignedByCountAndKnownTypes; Data/Scripts/System/Obsolete/Obsolete.cs:Server.Items.AncientFarmersKasa version=2 serialize=L20521 deserialize=L20528 alignment=AlignedByCountAndKnownTypes; Data/Scripts/System/Obsolete/Obsolete.cs:Server.Items.AncientNightmare version=0 serialize=L1537 deserialize=L1543 alignment=AlignedByCountAndKnownTypes; Data/Scripts/System/Obsolete/Obsolete.cs:Server.Items.AncientSamuraiDo version=0 serialize=L20585 deserialize=L20592 alignment=AlignedByCountAndKnownTypes; Data/Scripts/System/Obsolete/Obsolete.cs:Server.Items.AncientUrn version=0 serialize=L21401 deserialize=L21409 alignment=CountMatchNeedsTypeReview:UnknownWrites=1; Data/Scripts/System/Obsolete/Obsolete.cs:Server.Items.ArmsOfTacticalExcellence version=0 serialize=L20640 deserialize=L20647 alignment=AlignedByCountAndKnownTypes; Data/Scripts/System/Obsolete/Obsolete.cs:Server.Items.AssassinShroud version=0 serialize=L2906 deserialize=L2912 alignment=AlignedByCountAndKnownTypes; Data/Scripts/System/Obsolete/Obsolete.cs:Server.Items.AxeBeak version=0 serialize=L36255 deserialize=L36261 alignment=AlignedByCountAndKnownTypes; ProjectTruth=Data/Scripts/System/Obsolete/GardenTool.cs=Keep; Data/Scripts/System/Obsolete/GardenTool.cs=Keep; Data/Scripts/System/Obsolete/Herbalism.cs=Keep; Data/Scripts/System/Obsolete/Herbalism.cs=Keep; Data/Scripts/System/Obsolete/HerbalistCauldron.cs=Keep; Data/Scripts/System/Obsolete/HerbalistCauldron.cs=Keep; Data/Scripts/System/Obsolete/MixingCauldron.cs=Keep; Data/Scripts/System/Obsolete/MixingCauldron.cs=Keep; Data/Scripts/System/Obsolete/Obsolete.cs=Keep; Data/Scripts/System/Obsolete/Obsolete.cs=Keep; Data/Scripts/System/Obsolete/Pegasus.cs=Keep; Data/Scripts/System/Obsolete/Pegasus.cs=Keep; Data/Scripts/System/Obsolete/PlantHerbalism.cs=Keep; Data/Scripts/System/Obsolete/PlantHerbalism.cs=Keep; Data/Scripts/System/Obsolete/Sphinx.cs=Keep; Data/Scripts/System/Obsolete/Sphinx.cs=Keep; Data/Scripts/System/Obsolete/SurgeonsKnife.cs=Keep; Data/Scripts/System/Obsolete/SurgeonsKnife.cs=Keep</t>
  </si>
  <si>
    <t>POST-BATCH-T docs source-trace review. Previous active row was PBN-0048/PBF-473. No source/project/XML/config/data behavior changed.</t>
  </si>
  <si>
    <t>RB-06735</t>
  </si>
  <si>
    <t>P10-F06735</t>
  </si>
  <si>
    <t>docs/wiki/offline-skill-training.md</t>
  </si>
  <si>
    <t>PBT-0027</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</si>
  <si>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SourceFiles=Data/Scripts/Custom/Offline Skill Training/Items/StudyBook.cs; Data/Scripts/Custom/Offline Skill Training/Items/StandardStudyBooks.cs; Data/Scripts/Custom/Offline Skill Training/Items/AdvancedStudyBooks.cs; Data/Scripts/Custom/Offline Skill Training/Items/LegendaryStudyBooks.cs; Data/Scripts/Custom/Offline Skill Training/Items/RandomStudyBooks.cs; Data/Scripts/Custom/Offline Skill Training/Vendors/StudyBookbinder.cs; Data/Scripts/Custom/Offline Skill Training/Vendors/SBStudyBookbinder.cs; Data/Scripts/System/Skills/SkillCheck.cs; PathStatus=Data/Scripts/Custom/Offline Skill Training/Items/StudyBook.cs=CurrentFile; Data/Scripts/Custom/Offline Skill Training/Items/StandardStudyBooks.cs=CurrentFile; Data/Scripts/Custom/Offline Skill Training/Items/AdvancedStudyBooks.cs=CurrentFile; Data/Scripts/Custom/Offline Skill Training/Items/LegendaryStudyBooks.cs=CurrentFile; Data/Scripts/Custom/Offline Skill Training/Items/RandomStudyBooks.cs=CurrentFile; Data/Scripts/Custom/Offline Skill Training/Vendors/StudyBookbinder.cs=CurrentFile; Data/Scripts/Custom/Offline Skill Training/Vendors/SBStudyBookbinder.cs=CurrentFile; Data/Scripts/System/Skills/SkillCheck.cs=CurrentFile; HookExamples=Data/Scripts/Custom/Offline Skill Training/Items/StudyBook.cs:L74 Event EventSink access=GlobalOrInternal; Data/Scripts/Custom/Offline Skill Training/Items/StudyBook.cs:L75 Event EventSink access=GlobalOrInternal; Data/Scripts/Custom/Offline Skill Training/Items/StudyBook.cs:L226 Timer Timer.DelayCall access=GlobalOrInternal; Data/Scripts/Custom/Offline Skill Training/Items/StudyBook.cs:L257 Logout OnLogout access=Internal; Data/Scripts/Custom/Offline Skill Training/Items/StudyBook.cs:L277 Login OnLogin access=Internal; Data/Scripts/Custom/Offline Skill Training/Items/StudyBook.cs:L391 Initialize Initialize access=GlobalOrInternal; Data/Scripts/Custom/Offline Skill Training/Items/StudyBook.cs:L393 Event EventSink access=GlobalOrInternal; Data/Scripts/Custom/Offline Skill Training/Items/StudyBook.cs:L394 Event EventSink access=GlobalOrInternal; Data/Scripts/System/Skills/SkillCheck.cs:L75 Initialize Initialize access=GlobalOrInternal; Data/Scripts/System/Skills/SkillCheck.cs:L96 Initialize Initialize access=GlobalOrInternal; SerializerExamples=Data/Scripts/Custom/Offline Skill Training/Items/AdvancedStudyBooks.cs:Server.Items.AdvancedAlchemyStudyBook version=0 serialize=L14 deserialize=L21 alignment=AlignedByCountAndKnownTypes; Data/Scripts/Custom/Offline Skill Training/Items/AdvancedStudyBooks.cs:Server.Items.AdvancedAnatomyStudyBook version=0 serialize=L38 deserialize=L45 alignment=AlignedByCountAndKnownTypes; Data/Scripts/Custom/Offline Skill Training/Items/AdvancedStudyBooks.cs:Server.Items.AdvancedArmsLoreStudyBook version=0 serialize=L110 deserialize=L117 alignment=AlignedByCountAndKnownTypes; Data/Scripts/Custom/Offline Skill Training/Items/AdvancedStudyBooks.cs:Server.Items.AdvancedBeggingStudyBook version=0 serialize=L158 deserialize=L165 alignment=AlignedByCountAndKnownTypes; Data/Scripts/Custom/Offline Skill Training/Items/AdvancedStudyBooks.cs:Server.Items.AdvancedBlacksmithStudyBook version=0 serialize=L182 deserialize=L189 alignment=AlignedByCountAndKnownTypes; Data/Scripts/Custom/Offline Skill Training/Items/AdvancedStudyBooks.cs:Server.Items.AdvancedBludgeoningStudyBook version=0 serialize=L998 deserialize=L1005 alignment=AlignedByCountAndKnownTypes; Data/Scripts/Custom/Offline Skill Training/Items/AdvancedStudyBooks.cs:Server.Items.AdvancedBowcraftStudyBook version=0 serialize=L206 deserialize=L213 alignment=AlignedByCountAndKnownTypes; Data/Scripts/Custom/Offline Skill Training/Items/AdvancedStudyBooks.cs:Server.Items.AdvancedBushidoStudyBook version=0 serialize=L1262 deserialize=L1269 alignment=AlignedByCountAndKnownTypes; Data/Scripts/Custom/Offline Skill Training/Items/AdvancedStudyBooks.cs:Server.Items.AdvancedCampingStudyBook version=0 serialize=L254 deserialize=L261 alignment=AlignedByCountAndKnownTypes; Data/Scripts/Custom/Offline Skill Training/Items/AdvancedStudyBooks.cs:Server.Items.AdvancedCarpentryStudyBook version=0 serialize=L278 deserialize=L285 alignment=AlignedByCountAndKnownTypes; Data/Scripts/Custom/Offline Skill Training/Items/AdvancedStudyBooks.cs:Server.Items.AdvancedCartographyStudyBook version=0 serialize=L302 deserialize=L309 alignment=AlignedByCountAndKnownTypes; Data/Scripts/Custom/Offline Skill Training/Items/AdvancedStudyBooks.cs:Server.Items.AdvancedCookingStudyBook version=0 serialize=L326 deserialize=L333 alignment=AlignedByCountAndKnownTypes; ProjectTruth=Data/Scripts/Custom/Offline Skill Training/Items/AdvancedStudyBooks.cs=Keep; Data/Scripts/Custom/Offline Skill Training/Items/AdvancedStudyBooks.cs=Keep; Data/Scripts/Custom/Offline Skill Training/Items/LegendaryStudyBooks.cs=Keep; Data/Scripts/Custom/Offline Skill Training/Items/LegendaryStudyBooks.cs=Keep; Data/Scripts/Custom/Offline Skill Training/Items/RandomStudyBooks.cs=Keep; Data/Scripts/Custom/Offline Skill Training/Items/RandomStudyBooks.cs=Keep; Data/Scripts/Custom/Offline Skill Training/Items/StandardStudyBooks.cs=Keep; Data/Scripts/Custom/Offline Skill Training/Items/StandardStudyBooks.cs=Keep; Data/Scripts/Custom/Offline Skill Training/Items/StudyBook.cs=Keep; Data/Scripts/Custom/Offline Skill Training/Items/StudyBook.cs=Keep; Data/Scripts/Custom/Offline Skill Training/Vendors/SBStudyBookbinder.cs=Keep; Data/Scripts/Custom/Offline Skill Training/Vendors/SBStudyBookbinder.cs=Keep; Data/Scripts/Custom/Offline Skill Training/Vendors/StudyBookbinder.cs=Keep; Data/Scripts/Custom/Offline Skill Training/Vendors/StudyBookbinder.cs=Keep; Data/Scripts/System/Skills/SkillCheck.cs=Keep; Data/Scripts/System/Skills/SkillCheck.cs=Keep</t>
  </si>
  <si>
    <t>POST-BATCH-T docs source-trace review. Previous active row was PBN-0027/PBF-474. No source/project/XML/config/data behavior changed.</t>
  </si>
  <si>
    <t>RB-06736</t>
  </si>
  <si>
    <t>P10-F06736</t>
  </si>
  <si>
    <t>PBT-0041</t>
  </si>
  <si>
    <t>POST-BATCH-T docs source-trace review. Previous active row was PBN-0041/PBF-475. No source/project/XML/config/data behavior changed.</t>
  </si>
  <si>
    <t>RB-06737</t>
  </si>
  <si>
    <t>P10-F06737</t>
  </si>
  <si>
    <t>PBT-0050</t>
  </si>
  <si>
    <t>POST-BATCH-T docs source-trace review. Previous active row was PBN-0050/PBF-476. No source/project/XML/config/data behavior changed.</t>
  </si>
  <si>
    <t>RB-06738</t>
  </si>
  <si>
    <t>P10-F06738</t>
  </si>
  <si>
    <t>PBT-0126</t>
  </si>
  <si>
    <t>POST-BATCH-T docs source-trace review. Previous active row was PBN-0126/PBF-477. No source/project/XML/config/data behavior changed.</t>
  </si>
  <si>
    <t>RB-06739</t>
  </si>
  <si>
    <t>P10-F06739</t>
  </si>
  <si>
    <t>docs/wiki/OmniAI.md</t>
  </si>
  <si>
    <t>PBT-0052</t>
  </si>
  <si>
    <t>Queue SourceEvidence=POST-BATCH-N lane=POST-BATCH-N-DOCS-SOURCE-TRACE; FileProofStatus=CurrentPathConfirmed; Documentation truth after POST-BATCH-F: SourceTracePresent=No; MissingClaims=Missing Source Trace section.; StaleClaims=; Canonical=Canonical; Target=; SourceFiles=Data/Scripts/Custom/ThirdParty/OmniAI/OmniAI Core.cs; Data/Scripts/Custom/ThirdParty/OmniAI/OmniAI Shared.cs; Data/Scripts/Custom/ThirdParty/OmniAI/OmniAI Bushido.cs; Data/Scripts/Custom/ThirdParty/OmniAI/OmniAI Knightship.cs; Data/Scripts/Custom/ThirdParty/OmniAI/OmniAI Magery.cs; Data/Scripts/Custom/ThirdParty/OmniAI/OmniAI Necromancy.cs; Data/Scripts/Custom/ThirdParty/OmniAI/OmniAI Ninjitsu.cs; Data/Scripts/Custom/ThirdParty/OmniAI/AITester.cs; PathStatus=Data/Scripts/Custom/ThirdParty/OmniAI/OmniAI Core.cs=CurrentFile; Data/Scripts/Custom/ThirdParty/OmniAI/OmniAI Shared.cs=CurrentFile; Data/Scripts/Custom/ThirdParty/OmniAI/OmniAI Bushido.cs=CurrentFile; Data/Scripts/Custom/ThirdParty/OmniAI/OmniAI Knightship.cs=CurrentFile; Data/Scripts/Custom/ThirdParty/OmniAI/OmniAI Magery.cs=CurrentFile; Data/Scripts/Custom/ThirdParty/OmniAI/OmniAI Necromancy.cs=CurrentFile; Data/Scripts/Custom/ThirdParty/OmniAI/OmniAI Ninjitsu.cs=CurrentFile; Data/Scripts/Custom/ThirdParty/OmniAI/AITester.cs=CurrentFile; HookExamples=Data/Scripts/Custom/ThirdParty/OmniAI/OmniAI Ninjitsu.cs:L90 Timer Timer.DelayCall access=GlobalOrInternal; Data/Scripts/Custom/ThirdParty/OmniAI/OmniAI Shared.cs:L227 Event EventSink access=GlobalOrInternal; SerializerExamples=Data/Scripts/Custom/ThirdParty/OmniAI/AITester.cs:Server.Mobiles.AITester version=0 serialize=L123 deserialize=L129 alignment=AlignedByCountAndKnownTypes; ProjectTruth=Data/Scripts/Custom/ThirdParty/OmniAI/AITester.cs=Keep; Data/Scripts/Custom/ThirdParty/OmniAI/AITester.cs=Keep; Data/Scripts/Custom/ThirdParty/OmniAI/OmniAI Bushido.cs=Keep; Data/Scripts/Custom/ThirdParty/OmniAI/OmniAI Bushido.cs=Keep; Data/Scripts/Custom/ThirdParty/OmniAI/OmniAI Core.cs=Keep; Data/Scripts/Custom/ThirdParty/OmniAI/OmniAI Core.cs=Keep; Data/Scripts/Custom/ThirdParty/OmniAI/OmniAI Knightship.cs=Keep; Data/Scripts/Custom/ThirdParty/OmniAI/OmniAI Knightship.cs=Keep; Data/Scripts/Custom/ThirdParty/OmniAI/OmniAI Magery.cs=Keep; Data/Scripts/Custom/ThirdParty/OmniAI/OmniAI Magery.cs=Keep; Data/Scripts/Custom/ThirdParty/OmniAI/OmniAI Necromancy.cs=Keep; Data/Scripts/Custom/ThirdParty/OmniAI/OmniAI Necromancy.cs=Keep; Data/Scripts/Custom/ThirdParty/OmniAI/OmniAI Ninjitsu.cs=Keep; Data/Scripts/Custom/ThirdParty/OmniAI/OmniAI Ninjitsu.cs=Keep; Data/Scripts/Custom/ThirdParty/OmniAI/OmniAI Shared.cs=Keep; Data/Scripts/Custom/ThirdParty/OmniAI/OmniAI Shared.cs=Keep</t>
  </si>
  <si>
    <t>POST-BATCH-T docs source-trace review. Previous active row was PBN-0052/PBF-478. No source/project/XML/config/data behavior changed.</t>
  </si>
  <si>
    <t>RB-06740</t>
  </si>
  <si>
    <t>P10-F06740</t>
  </si>
  <si>
    <t>docs/wiki/Pandoras_Gift_Box.md</t>
  </si>
  <si>
    <t>PBT-0102</t>
  </si>
  <si>
    <t>Queue SourceEvidence=POST-BATCH-N lane=POST-BATCH-N-DOCS-SOURCE-TRACE; FileProofStatus=CurrentPathConfirmed; Documentation truth after POST-BATCH-F: SourceTracePresent=No; MissingClaims=Missing Source Trace section.; StaleClaims=; Canonical=Canonical; Target=; SourceFiles=Data/Scripts/Custom/PandorasGiftBox/PandorasGiftBox.cs; PathStatus=Data/Scripts/Custom/PandorasGiftBox/PandorasGiftBox.cs=CurrentFile; HookExamples=Data/Scripts/Custom/PandorasGiftBox/PandorasGiftBox.cs:L151 Event EventSink access=GlobalOrInternal; Data/Scripts/Custom/PandorasGiftBox/PandorasGiftBox.cs:L152 Event EventSink access=GlobalOrInternal; SerializerExamples=Data/Scripts/Custom/PandorasGiftBox/PandorasGiftBox.cs:Server.Items.PandorasGiftBox version=0 serialize=L320 deserialize=L338 alignment=CountMatchNeedsTypeReview:UnknownWrites=5; Data/Scripts/Custom/PandorasGiftBox/PandorasGiftBox.cs:Server.Items.RandomGiftBox version=0 serialize=L75 deserialize=L82 alignment=CountMismatch:Writes=0;Reads=1; ProjectTruth=Data/Scripts/Custom/PandorasGiftBox/PandorasGiftBox.cs=Keep; Data/Scripts/Custom/PandorasGiftBox/PandorasGiftBox.cs=Keep</t>
  </si>
  <si>
    <t>POST-BATCH-T docs source-trace review. Previous active row was PBN-0102/PBF-479. No source/project/XML/config/data behavior changed.</t>
  </si>
  <si>
    <t>RB-06741</t>
  </si>
  <si>
    <t>P10-F06741</t>
  </si>
  <si>
    <t>docs/wiki/Player_Government_System_Guide.md</t>
  </si>
  <si>
    <t>PBT-0019</t>
  </si>
  <si>
    <t>Queue SourceEvidence=POST-BATCH-N lane=POST-BATCH-N-DOCS-SOURCE-TRACE; FileProofStatus=CurrentPathConfirmed; Documentation truth after POST-BATCH-F: SourceTracePresent=No; MissingClaims=Missing Source Trace section.; StaleClaims=; Canonical=Canonical; Target=; SourceFiles=Data/Scripts/Custom/Government System/Commands/GovHelp.cs; Data/Scripts/Custom/Government System/Gumps/GovHelpGump.cs; Data/Scripts/Custom/Government System/Gumps/CityWarningGump.cs; Data/Scripts/Custom/Government System/PlayerGovernmentSystem.cs; Data/Scripts/Custom/Government System/Items/Stones/CityManagementStone.cs; Data/Scripts/Custom/Government System/Items/Stones/CityVotingStone.cs; Data/Scripts/Custom/Government System/Regions/PlayerCityRegion.cs; PathStatus=Data/Scripts/Custom/Government System/Commands/GovHelp.cs=CurrentFile; Data/Scripts/Custom/Government System/Gumps/GovHelpGump.cs=CurrentFile; Data/Scripts/Custom/Government System/Gumps/CityWarningGump.cs=CurrentFile; Data/Scripts/Custom/Government System/PlayerGovernmentSystem.cs=CurrentFile; Data/Scripts/Custom/Government System/Items/Stones/CityManagementStone.cs=CurrentFile; Data/Scripts/Custom/Government System/Items/Stones/CityVotingStone.cs=CurrentFile; Data/Scripts/Custom/Government System/Regions/PlayerCityRegion.cs=CurrentFile; HookExamples=Data/Scripts/Custom/Government System/Commands/GovHelp.cs:L14 Initialize Initialize access=GlobalOrInternal; Data/Scripts/Custom/Government System/Commands/GovHelp.cs:L16 Command CommandSystem.Register access=Unknown; Data/Scripts/Custom/Government System/Commands/GovHelp.cs:L27 Gump SendGump access=Internal; Data/Scripts/Custom/Government System/Items/Stones/CityManagementStone.cs:L59 Gump SendGump access=Internal; Data/Scripts/Custom/Government System/Items/Stones/CityManagementStone.cs:L105 Gump SendGump access=Internal; Data/Scripts/Custom/Government System/Items/Stones/CityManagementStone.cs:L463 Initialize Initialize access=GlobalOrInternal; Data/Scripts/Custom/Government System/Items/Stones/CityManagementStone.cs:L465 Command CommandSystem.Register access=Unknown; Data/Scripts/Custom/Government System/Items/Stones/CityManagementStone.cs:L527 Gump SendGump access=Internal; Data/Scripts/Custom/Government System/Items/Stones/CityManagementStone.cs:L564 Gump SendGump access=Internal; Data/Scripts/Custom/Government System/Items/Stones/CityManagementStone.cs:L2112 Timer CustomTimerSubclass access=GlobalOrInternal; Data/Scripts/Custom/Government System/Items/Stones/CityVotingStone.cs:L94 Gump SendGump access=Internal; Data/Scripts/Custom/Government System/Items/Stones/CityVotingStone.cs:L302 Timer CustomTimerSubclass access=GlobalOrInternal; SerializerExamples=Data/Scripts/Custom/Government System/Items/Stones/CityManagementStone.cs:Server.Items.CityManagementStone version=6 serialize=L1918 deserialize=L2010 alignment=CountMatchNeedsTypeReview:UnknownWrites=27; Data/Scripts/Custom/Government System/Items/Stones/CityVotingStone.cs:Server.Items.CityVotingStone version=0 serialize=L261 deserialize=L276 alignment=CountMatchNeedsTypeReview:UnknownWrites=5; ProjectTruth=Data/Scripts/Custom/Government System/Commands/GovHelp.cs=Keep; Data/Scripts/Custom/Government System/Commands/GovHelp.cs=Keep; Data/Scripts/Custom/Government System/Gumps/CityWarningGump.cs=Keep; Data/Scripts/Custom/Government System/Gumps/CityWarningGump.cs=Keep; Data/Scripts/Custom/Government System/Gumps/GovHelpGump.cs=Keep; Data/Scripts/Custom/Government System/Gumps/GovHelpGump.cs=Keep; Data/Scripts/Custom/Government System/Items/Stones/CityManagementStone.cs=Keep; Data/Scripts/Custom/Government System/Items/Stones/CityManagementStone.cs=Keep; Data/Scripts/Custom/Government System/Items/Stones/CityVotingStone.cs=Keep; Data/Scripts/Custom/Government System/Items/Stones/CityVotingStone.cs=Keep; Data/Scripts/Custom/Government System/PlayerGovernmentSystem.cs=Keep; Data/Scripts/Custom/Government System/PlayerGovernmentSystem.cs=Keep; Data/Scripts/Custom/Government System/Regions/PlayerCityRegion.cs=Keep; Data/Scripts/Custom/Government System/Regions/PlayerCityRegion.cs=Keep</t>
  </si>
  <si>
    <t>POST-BATCH-T docs source-trace review. Previous active row was PBN-0019/PBF-480. No source/project/XML/config/data behavior changed.</t>
  </si>
  <si>
    <t>RB-06742</t>
  </si>
  <si>
    <t>P10-F06742</t>
  </si>
  <si>
    <t>PBT-0067</t>
  </si>
  <si>
    <t>POST-BATCH-T docs source-trace review. Previous active row was PBN-0067/PBF-481. No source/project/XML/config/data behavior changed.</t>
  </si>
  <si>
    <t>RB-06743</t>
  </si>
  <si>
    <t>P10-F06743</t>
  </si>
  <si>
    <t>docs/wiki/Player_Mobile_Core.md</t>
  </si>
  <si>
    <t>PBF-482</t>
  </si>
  <si>
    <t>Documentation truth after POST-BATCH-F: SourceTracePresent=Yes; MissingSourceFiles=none; VerifiedSourceFiles=Data/Scripts/System/Commands/Player/;Data/Scripts/Mobiles/Base/PlayerMobile.cs;Data/Scripts/Mobiles/Base/PlayerSettings.cs;Data/Scripts/System/Commands/Player/AutoSheatheWeapon.cs;Data/Scripts/System/Commands/Player/ClassicPoisoning.cs;Data/Scripts/System/Commands/Player/SkillListing.cs;Data/Scripts/System/Commands/Player/SpellBarsFunctions.cs;Data/Scripts/System/Commands/Player/QuickBar.cs;Data/Scripts/Mobiles/Base/BaseCreature.cs</t>
  </si>
  <si>
    <t>RB-06744</t>
  </si>
  <si>
    <t>P10-F06744</t>
  </si>
  <si>
    <t>docs/wiki/player-range-sensitive-mod.md</t>
  </si>
  <si>
    <t>PBT-0103</t>
  </si>
  <si>
    <t>Queue SourceEvidence=POST-BATCH-N lane=POST-BATCH-N-DOCS-SOURCE-TRACE; FileProofStatus=CurrentPathConfirmed; Documentation truth after POST-BATCH-F: SourceTracePresent=No; MissingClaims=Missing Source Trace section.; StaleClaims=; Canonical=Canonical; Target=; SourceFiles=Data/Scripts/Custom/Player Range Sensitive Mod/setdeactivation.cs; PathStatus=Data/Scripts/Custom/Player Range Sensitive Mod/setdeactivation.cs=CurrentFile; HookExamples=Data/Scripts/Custom/Player Range Sensitive Mod/setdeactivation.cs:L13 Initialize Initialize access=GlobalOrInternal; Data/Scripts/Custom/Player Range Sensitive Mod/setdeactivation.cs:L15 Command CommandSystem.Register access=Unknown; SerializerExamples=; ProjectTruth=Data/Scripts/Custom/Player Range Sensitive Mod/setdeactivation.cs=Keep; Data/Scripts/Custom/Player Range Sensitive Mod/setdeactivation.cs=Keep</t>
  </si>
  <si>
    <t>POST-BATCH-T docs source-trace review. Previous active row was PBN-0103/PBF-483. No source/project/XML/config/data behavior changed.</t>
  </si>
  <si>
    <t>RB-06745</t>
  </si>
  <si>
    <t>P10-F06745</t>
  </si>
  <si>
    <t>docs/wiki/point-command.md</t>
  </si>
  <si>
    <t>PBT-0104</t>
  </si>
  <si>
    <t>Queue SourceEvidence=POST-BATCH-N lane=POST-BATCH-N-DOCS-SOURCE-TRACE; FileProofStatus=CurrentPathConfirmed; Documentation truth after POST-BATCH-F: SourceTracePresent=No; MissingClaims=Missing Source Trace section.; StaleClaims=; Canonical=Canonical; Target=; SourceFiles=Data/Scripts/Custom/Point Command [2.0]/Point.cs; PathStatus=Data/Scripts/Custom/Point Command [2.0]/Point.cs=CurrentFile; HookExamples=Data/Scripts/Custom/Point Command [2.0]/Point.cs:L13 Initialize Initialize access=GlobalOrInternal; Data/Scripts/Custom/Point Command [2.0]/Point.cs:L15 Command CommandSystem.Register access=Unknown; Data/Scripts/Custom/Point Command [2.0]/Point.cs:L131 Timer CustomTimerSubclass access=GlobalOrInternal; SerializerExamples=; ProjectTruth=Data/Scripts/Custom/Point Command [2.0]/Point.cs=Keep; Data/Scripts/Custom/Point Command [2.0]/Point.cs=Keep</t>
  </si>
  <si>
    <t>POST-BATCH-T docs source-trace review. Previous active row was PBN-0104/PBF-484. No source/project/XML/config/data behavior changed.</t>
  </si>
  <si>
    <t>RB-06746</t>
  </si>
  <si>
    <t>P10-F06746</t>
  </si>
  <si>
    <t>docs/wiki/pvp-consent-system.md</t>
  </si>
  <si>
    <t>PBT-0059</t>
  </si>
  <si>
    <t>Replaced independent alias-page behavior claims with canonical routing and alias source-trace rationale.</t>
  </si>
  <si>
    <t>Queue SourceEvidence=POST-BATCH-N lane=POST-BATCH-N-DOCS-SOURCE-TRACE; FileProofStatus=CurrentPathConfirmed; Documentation truth after POST-BATCH-F: SourceTracePresent=No; MissingClaims=Alias page carries independent behavior claims instead of only pointing to the canonical page.; StaleClaims=; Canonical=Alias; Target=docs/wiki/PvP_Consent_System.md; SourceFiles=Data/Scripts/Custom/PvPConsent/Gumps/PKNONPKGUMP.cs; Data/Scripts/Custom/PvPConsent/GoddessOfProtection.cs; Data/Scripts/Custom/PvPConsent/NONPKEventMoongate.cs; Data/Scripts/Custom/PvPConsent/PKSword.cs; Data/Scripts/Custom/PvPConsent/NONPKSword.cs; Data/Scripts/Mobiles/Base/PlayerMobile.cs; Data/Scripts/System/Misc/Notoriety.cs; Data/Scripts/System/Regions/BaseRegion.cs; Data/Scripts/Items/Potions/Standard/Conflagration Potions/BaseConflagrationPotion.cs; Data/Scripts/Items/Potions/Standard/Frostbite Potions/BaseFrostbitePotion.cs; Data/Scripts/Items/Potions/Special/MonsterSplatter.cs; PathStatus=Data/Scripts/Custom/PvPConsent/Gumps/PKNONPKGUMP.cs=CurrentFile; Data/Scripts/Custom/PvPConsent/GoddessOfProtection.cs=CurrentFile; Data/Scripts/Custom/PvPConsent/NONPKEventMoongate.cs=CurrentFile; Data/Scripts/Custom/PvPConsent/PKSword.cs=CurrentFile; Data/Scripts/Custom/PvPConsent/NONPKSword.cs=CurrentFile; Data/Scripts/Mobiles/Base/PlayerMobile.cs=CurrentFile; Data/Scripts/System/Misc/Notoriety.cs=CurrentFile; Data/Scripts/System/Regions/BaseRegion.cs=CurrentFile; Data/Scripts/Items/Potions/Standard/Conflagration Potions/BaseConflagrationPotion.cs=CurrentFile; Data/Scripts/Items/Potions/Standard/Frostbite Potions/BaseFrostbitePotion.cs=CurrentFile; Data/Scripts/Items/Potions/Special/MonsterSplatter.cs=CurrentFile; HookExamples=Data/Scripts/Custom/PvPConsent/GoddessOfProtection.cs:L91 Speech OnSpeech access=GlobalOrInternal; Data/Scripts/Custom/PvPConsent/GoddessOfProtection.cs:L143 Gump SendGump access=Internal; Data/Scripts/Custom/PvPConsent/GoddessOfProtection.cs:L147 Timer CustomTimerSubclass access=GlobalOrInternal; Data/Scripts/Custom/PvPConsent/GoddessOfProtection.cs:L236 Movement OnMovement access=GlobalOrInternal; Data/Scripts/Custom/PvPConsent/GoddessOfProtection.cs:L258 Timer CustomTimerSubclass access=GlobalOrInternal; Data/Scripts/Custom/PvPConsent/Gumps/PKNONPKGUMP.cs:L36 Gump OnResponse access=Internal; Data/Scripts/Custom/PvPConsent/Gumps/PKNONPKGUMP.cs:L87 Initialize Initialize access=GlobalOrInternal; Data/Scripts/Custom/PvPConsent/Gumps/PKNONPKGUMP.cs:L89 Command CommandSystem.Register access=Unknown; Data/Scripts/Custom/PvPConsent/Gumps/PKNONPKGUMP.cs:L103 Gump SendGump access=Internal; Data/Scripts/Custom/PvPConsent/NONPKEventMoongate.cs:L208 Gump SendGump access=Internal; Data/Scripts/Custom/PvPConsent/NONPKEventMoongate.cs:L245 Timer CustomTimerSubclass access=GlobalOrInternal; Data/Scripts/Custom/PvPConsent/NONPKEventMoongate.cs:L355 Gump SendGump access=Internal; SerializerExamples=Data/Scripts/Custom/PvPConsent/GoddessOfProtection.cs:Server.Mobiles.GoddessOfProtection version=0 serialize=L277 deserialize=L283 alignment=AlignedByCountAndKnownTypes; Data/Scripts/Custom/PvPConsent/NONPKEventMoongate.cs:Server.Items.NONPKEventConfirmationMoongate version=0 serialize=L374 deserialize=L392 alignment=CountMatchNeedsTypeReview:UnknownWrites=1; Data/Scripts/Custom/PvPConsent/NONPKEventMoongate.cs:Server.Items.NONPKEventMoongate version=1 serialize=L156 deserialize=L169 alignment=CountMatchNeedsTypeReview:UnknownWrites=3; Data/Scripts/Custom/PvPConsent/NONPKSword.cs:Server.Items.NONPKSword version=0 serialize=L114 deserialize=L121 alignment=AlignedByCountAndKnownTypes; Data/Scripts/Custom/PvPConsent/PKSword.cs:Server.Items.PKSword version=0 serialize=L112 deserialize=L119 alignment=AlignedByCountAndKnownTypes; Data/Scripts/Items/Potions/Special/MonsterSplatter.cs:Server.Items.MonsterSplatter version=0 serialize=L886 deserialize=L893 alignment=AlignedByCountAndKnownTypes; Data/Scripts/Items/Potions/Standard/Conflagration Potions/BaseConflagrationPotion.cs:Server.Items.BaseConflagrationPotion version=0 serialize=L70 deserialize=L76 alignment=AlignedByCountAndKnownTypes; Data/Scripts/Items/Potions/Standard/Conflagration Potions/BaseConflagrationPotion.cs:Server.Items.InternalItem version=0 serialize=L285 deserialize=L297 alignment=AlignedByCountAndKnownTypes; Data/Scripts/Items/Potions/Standard/Frostbite Potions/BaseFrostbitePotion.cs:Server.Items.BaseFrostbitePotion version=0 serialize=L70 deserialize=L77 alignment=AlignedByCountAndKnownTypes; Data/Scripts/Items/Potions/Standard/Frostbite Potions/BaseFrostbitePotion.cs:Server.Items.InternalItem version=0 serialize=L286 deserialize=L298 alignment=AlignedByCountAndKnownTypes; Data/Scripts/Mobiles/Base/PlayerMobile.cs:Server.Mobiles.PlayerMobile version=37 serialize=L5042 deserialize=L4577 alignment=CountMismatch:Writes=120;Reads=119; ProjectTruth=Data/Scripts/Custom/PvPConsent/GoddessOfProtection.cs=Keep; Data/Scripts/Custom/PvPConsent/GoddessOfProtection.cs=Keep; Data/Scripts/Custom/PvPConsent/Gumps/PKNONPKGUMP.cs=Keep; Data/Scripts/Custom/PvPConsent/Gumps/PKNONPKGUMP.cs=Keep; Data/Scripts/Custom/PvPConsent/NONPKEventMoongate.cs=Keep; Data/Scripts/Custom/PvPConsent/NONPKEventMoongate.cs=Keep; Data/Scripts/Custom/PvPConsent/NONPKSword.cs=Keep; Data/Scripts/Custom/PvPConsent/NONPKSword.cs=Keep; Data/Scripts/Custom/PvPConsent/PKSword.cs=Keep; Data/Scripts/Custom/PvPConsent/PKSword.cs=Keep; Data/Scripts/Items/Potions/Special/MonsterSplatter.cs=Keep; Data/Scripts/Items/Potions/Special/MonsterSplatter.cs=Keep; Data/Scripts/Items/Potions/Standard/Conflagration Potions/BaseConflagrationPotion.cs=Keep; Data/Scripts/Items/Potions/Standard/Conflagration Potions/BaseConflagrationPotion.cs=Keep; Data/Scripts/Items/Potions/Standard/Frostbite Potions/BaseFrostbitePotion.cs=Keep; Data/Scripts/Items/Potions/Standard/Frostbite Potions/BaseFrostbitePotion.cs=Keep; Data/Scripts/Mobiles/Base/PlayerMobile.cs=Keep; Data/Scripts/Mobiles/Base/PlayerMobile.cs=Keep; Data/Scripts/System/Misc/Notoriety.cs=Keep; Data/Scripts/System/Misc/Notoriety.cs=Keep</t>
  </si>
  <si>
    <t>POST-BATCH-T docs source-trace review. Previous active row was PBN-0059/PBF-485. No source/project/XML/config/data behavior changed.</t>
  </si>
  <si>
    <t>RB-06747</t>
  </si>
  <si>
    <t>P10-F06747</t>
  </si>
  <si>
    <t>PBT-0062</t>
  </si>
  <si>
    <t>POST-BATCH-T docs source-trace review. Previous active row was PBN-0062/PBF-486. No source/project/XML/config/data behavior changed.</t>
  </si>
  <si>
    <t>RB-06748</t>
  </si>
  <si>
    <t>P10-F06748</t>
  </si>
  <si>
    <t>PBT-0068</t>
  </si>
  <si>
    <t>POST-BATCH-T docs source-trace review. Previous active row was PBN-0068/PBF-487. No source/project/XML/config/data behavior changed.</t>
  </si>
  <si>
    <t>RB-06749</t>
  </si>
  <si>
    <t>P10-F06749</t>
  </si>
  <si>
    <t>docs/wiki/Quest_Framework.md</t>
  </si>
  <si>
    <t>PBT-0042</t>
  </si>
  <si>
    <t>Queue SourceEvidence=POST-BATCH-N lane=POST-BATCH-N-DOCS-SOURCE-TRACE; FileProofStatus=CurrentPathConfirmed; Documentation truth after POST-BATCH-F: SourceTracePresent=No; MissingClaims=Missing Source Trace section.; StaleClaims=; Canonical=Canonical; Target=; SourceFiles=Data/Scripts/Quests/; Data/Scripts/System/Obsolete/Obsolete.cs; PathStatus=Data/Scripts/Quests/=CurrentDirectory; Data/Scripts/System/Obsolete/Obsolete.cs=CurrentFile; HookExamples=Data/Scripts/Quests/Codex/CodexWisdom.cs:L424 Gump OnResponse access=Internal; Data/Scripts/Quests/Codex/CodexWisdom.cs:L486 Gump SendGump access=Internal; Data/Scripts/Quests/Codex/CodexWisdom.cs:L607 Gump OnResponse access=Internal; Data/Scripts/Quests/Codex/CodexWisdom.cs:L794 Gump SendGump access=Internal; Data/Scripts/Quests/Codex/CodexWisdom.cs:L799 Gump SendGump access=Internal; Data/Scripts/Quests/Codex/CodexWisdom.cs:L804 Gump SendGump access=Internal; Data/Scripts/Quests/Codex/VortexCube.cs:L336 Gump SendGump access=Internal; Data/Scripts/Quests/Codex/VortexCube.cs:L847 Gump OnResponse access=Internal; Data/Scripts/Quests/Epic/CourierMail.cs:L215 Gump SendGump access=Internal; Data/Scripts/Quests/Epic/Gumps/EpicGump.cs:L604 Gump OnResponse access=Internal; Data/Scripts/Quests/Fishing/FishingQuestBoard.cs:L40 Gump SendGump access=Internal; Data/Scripts/Quests/Fishing/FishingQuestBoard.cs:L74 Gump SendGump access=Internal; SerializerExamples=Data/Scripts/Quests/Assassin/AssassinBox.cs:Server.Items.BoxOfAtonement version=0 serialize=L59 deserialize=L65 alignment=AlignedByCountAndKnownTypes; Data/Scripts/Quests/Assassin/PoisonFood.cs:Server.Items.PoisonFood version=0 serialize=L178 deserialize=L186 alignment=CountMatchNeedsTypeReview:UnknownWrites=2; Data/Scripts/Quests/Assassin/PoisonLiquid.cs:Server.Items.PoisonLiquid version=0 serialize=L179 deserialize=L187 alignment=CountMatchNeedsTypeReview:UnknownWrites=2; Data/Scripts/Quests/Bards Tale/MangarsRewards.cs:Server.Items.BardicFeatheredHat version=0 serialize=L151 deserialize=L157 alignment=AlignedByCountAndKnownTypes; Data/Scripts/Quests/Bards Tale/MangarsRewards.cs:Server.Items.MangarsElementalistRobe version=0 serialize=L113 deserialize=L119 alignment=AlignedByCountAndKnownTypes; Data/Scripts/Quests/Bards Tale/MangarsRewards.cs:Server.Items.MangarsNecroRobe version=0 serialize=L73 deserialize=L79 alignment=AlignedByCountAndKnownTypes; Data/Scripts/Quests/Bards Tale/MangarsRewards.cs:Server.Items.MangarsRobe version=0 serialize=L33 deserialize=L39 alignment=AlignedByCountAndKnownTypes; Data/Scripts/Quests/Codex/ApproachVoid.cs:Server.Items.ApproachVoid version=0 serialize=L90 deserialize=L96 alignment=AlignedByCountAndKnownTypes; Data/Scripts/Quests/Codex/CodexWisdom.cs:Server.CodexWisdom version=1 serialize=L1065 deserialize=L1082 alignment=CountMatchNeedsTypeReview:UnknownWrites=6; Data/Scripts/Quests/Codex/CubeOnCorpse.cs:Server.Items.CubeOnCorpse version=0 serialize=L180 deserialize=L186 alignment=AlignedByCountAndKnownTypes; Data/Scripts/Quests/Codex/DoorCodex.cs:Server.Items.DoorCodex version=0 serialize=L142 deserialize=L148 alignment=AlignedByCountAndKnownTypes; Data/Scripts/Quests/Codex/VortexCube.cs:Server.Items.VortexCube version=0 serialize=L343 deserialize=L374 alignment=CountMatchNeedsTypeReview:UnknownWrites=19; ProjectTruth=Data/Scripts/Quests/Assassin/AssassinBox.cs=Keep; Data/Scripts/Quests/Assassin/AssassinBox.cs=Keep; Data/Scripts/Quests/Assassin/AssassinFunctions.cs=Keep; Data/Scripts/Quests/Assassin/AssassinFunctions.cs=Keep; Data/Scripts/Quests/Assassin/PoisonFood.cs=Keep; Data/Scripts/Quests/Assassin/PoisonFood.cs=Keep; Data/Scripts/Quests/Assassin/PoisonLiquid.cs=Keep; Data/Scripts/Quests/Assassin/PoisonLiquid.cs=Keep; Data/Scripts/Quests/Bards Tale/MangarsRewards.cs=Keep; Data/Scripts/Quests/Bards Tale/MangarsRewards.cs=Keep; Data/Scripts/Quests/Codex/ApproachVoid.cs=Keep; Data/Scripts/Quests/Codex/ApproachVoid.cs=Keep; Data/Scripts/Quests/Codex/CodexWisdom.cs=Keep; Data/Scripts/Quests/Codex/CodexWisdom.cs=Keep; Data/Scripts/Quests/Codex/CubeOnCorpse.cs=Keep; Data/Scripts/Quests/Codex/CubeOnCorpse.cs=Keep; Data/Scripts/Quests/Codex/DoorCodex.cs=Keep; Data/Scripts/Quests/Codex/DoorCodex.cs=Keep; Data/Scripts/Quests/Codex/VortexCube.cs=Keep; Data/Scripts/Quests/Codex/VortexCube.cs=Keep</t>
  </si>
  <si>
    <t>POST-BATCH-T docs source-trace review. Previous active row was PBN-0042/PBF-488. No source/project/XML/config/data behavior changed.</t>
  </si>
  <si>
    <t>RB-06750</t>
  </si>
  <si>
    <t>P10-F06750</t>
  </si>
  <si>
    <t>PBT-0049</t>
  </si>
  <si>
    <t>POST-BATCH-T docs source-trace review. Previous active row was PBN-0049/PBF-489. No source/project/XML/config/data behavior changed.</t>
  </si>
  <si>
    <t>RB-06751</t>
  </si>
  <si>
    <t>P10-F06751</t>
  </si>
  <si>
    <t>PBT-0069</t>
  </si>
  <si>
    <t>POST-BATCH-T docs source-trace review. Previous active row was PBN-0069/PBF-490. No source/project/XML/config/data behavior changed.</t>
  </si>
  <si>
    <t>RB-06752</t>
  </si>
  <si>
    <t>P10-F06752</t>
  </si>
  <si>
    <t>PBT-0127</t>
  </si>
  <si>
    <t>POST-BATCH-T docs source-trace review. Previous active row was PBN-0127/PBF-491. No source/project/XML/config/data behavior changed.</t>
  </si>
  <si>
    <t>RB-06753</t>
  </si>
  <si>
    <t>P10-F06753</t>
  </si>
  <si>
    <t>docs/wiki/Race_Token_System.md</t>
  </si>
  <si>
    <t>PBT-0060</t>
  </si>
  <si>
    <t>Queue SourceEvidence=POST-BATCH-N lane=POST-BATCH-N-DOCS-SOURCE-TRACE; FileProofStatus=CurrentPathConfirmed; Documentation truth after POST-BATCH-F: SourceTracePresent=No; MissingClaims=Missing Source Trace section.; StaleClaims=; Canonical=Canonical; Target=; SourceFiles=Data/Scripts/Mobiles/Races/BaseRace.cs; Data/Scripts/Mobiles/Races/RacePotions.cs; Data/Scripts/Mobiles/Races/NPCRace.cs; Data/System/Source/Mobile.cs; Data/Scripts/Mobiles/Base/PlayerMobile.cs; Data/Scripts/System/Help/Gumps/HelpGump.cs; Data/Scripts/System/Misc/Settings.cs; Data/Scripts/System/Commands/Player/CreatureHelp.cs; Data/Scripts/Scripts.csproj; PathStatus=Data/Scripts/Mobiles/Races/BaseRace.cs=CurrentFile; Data/Scripts/Mobiles/Races/RacePotions.cs=CurrentFile; Data/Scripts/Mobiles/Races/NPCRace.cs=CurrentFile; Data/System/Source/Mobile.cs=CurrentFile; Data/Scripts/Mobiles/Base/PlayerMobile.cs=CurrentFile; Data/Scripts/System/Help/Gumps/HelpGump.cs=CurrentFile; Data/Scripts/System/Misc/Settings.cs=CurrentFile; Data/Scripts/System/Commands/Player/CreatureHelp.cs=CurrentFile; Data/Scripts/Scripts.csproj=CurrentFile; HookExamples=Data/Scripts/Mobiles/Base/PlayerMobile.cs:L798 Initialize Initialize access=GlobalOrInternal; Data/Scripts/Mobiles/Base/PlayerMobile.cs:L806 Event EventSink access=GlobalOrInternal; Data/Scripts/Mobiles/Base/PlayerMobile.cs:L807 Event EventSink access=GlobalOrInternal; Data/Scripts/Mobiles/Base/PlayerMobile.cs:L808 Event EventSink access=GlobalOrInternal; Data/Scripts/Mobiles/Base/PlayerMobile.cs:L809 Event EventSink access=GlobalOrInternal; Data/Scripts/Mobiles/Base/PlayerMobile.cs:L813 Timer Timer.DelayCall access=GlobalOrInternal; Data/Scripts/Mobiles/Base/PlayerMobile.cs:L1003 Login OnLogin access=Internal; Data/Scripts/Mobiles/Base/PlayerMobile.cs:L1030 Timer Timer.DelayCall access=GlobalOrInternal; Data/Scripts/Mobiles/Base/PlayerMobile.cs:L1047 Gump SendGump access=Internal; Data/Scripts/Mobiles/Base/PlayerMobile.cs:L1068 Timer Timer.DelayCall access=GlobalOrInternal; Data/Scripts/Mobiles/Base/PlayerMobile.cs:L1328 Logout OnLogout access=Internal; Data/Scripts/Mobiles/Base/PlayerMobile.cs:L1367 Timer Timer.DelayCall access=GlobalOrInternal; SerializerExamples=Data/Scripts/Mobiles/Base/PlayerMobile.cs:Server.Mobiles.PlayerMobile version=37 serialize=L5042 deserialize=L4577 alignment=CountMismatch:Writes=120;Reads=119; Data/Scripts/Mobiles/Races/BaseRace.cs:Server.Items.BaseRace version=0 serialize=L3975 deserialize=L4003 alignment=CountMatchNeedsTypeReview:UnknownWrites=18; Data/Scripts/Mobiles/Races/NPCRace.cs:Server.Items.NPCRace version=0 serialize=L669 deserialize=L683 alignment=CountMatchNeedsTypeReview:UnknownWrites=8; Data/Scripts/Mobiles/Races/RacePotions.cs:Server.Items.RacePotions version=1 serialize=L47 deserialize=L53 alignment=AlignedByCountAndKnownTypes; Data/System/Source/Mobile.cs:Server.Mobile version=35 serialize=L6183 deserialize=L5700 alignment=CountMismatch:Writes=98;Reads=104; ProjectTruth=Data/Scripts/Mobiles/Base/PlayerMobile.cs=Keep; Data/Scripts/Mobiles/Base/PlayerMobile.cs=Keep; Data/Scripts/Mobiles/Races/BaseRace.cs=Keep; Data/Scripts/Mobiles/Races/BaseRace.cs=Keep; Data/Scripts/Mobiles/Races/NPCRace.cs=Keep; Data/Scripts/Mobiles/Races/NPCRace.cs=Keep; Data/Scripts/Mobiles/Races/RacePotions.cs=Keep; Data/Scripts/Mobiles/Races/RacePotions.cs=Keep; Data/Scripts/System/Commands/Player/CreatureHelp.cs=Keep; Data/Scripts/System/Commands/Player/CreatureHelp.cs=Keep; Data/Scripts/System/Help/Gumps/HelpGump.cs=Keep; Data/Scripts/System/Help/Gumps/HelpGump.cs=Keep; Data/Scripts/System/Misc/Settings.cs=Keep; Data/Scripts/System/Misc/Settings.cs=Keep</t>
  </si>
  <si>
    <t>POST-BATCH-T docs source-trace review. Previous active row was PBN-0060/PBF-492. No source/project/XML/config/data behavior changed.</t>
  </si>
  <si>
    <t>RB-06754</t>
  </si>
  <si>
    <t>P10-F06754</t>
  </si>
  <si>
    <t>docs/wiki/Random_Encounter_Engine.md</t>
  </si>
  <si>
    <t>PBT-0012</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</si>
  <si>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SourceFiles=Data/Scripts/Custom/PvE/RandomEncounters/RandomEncounters.xml; Data/Scripts/Custom/PvE/RandomEncounters/EncounterEngine.cs; Data/Scripts/Custom/PvE/RandomEncounters/Timers.cs; Data/Scripts/Custom/PvE/RandomEncounters/SpawnFinder.cs; Data/Scripts/Custom/PvE/RandomEncounters/Helpers.cs; Data/Scripts/Custom/PvE/RandomEncounters/Records.cs; Data/Scripts/Custom/PvE/RandomEncounters/Commands.cs; Data/Scripts/Custom/Progression/CharacterLevel/CharacterLevelService.cs; PathStatus=Data/Scripts/Custom/PvE/RandomEncounters/RandomEncounters.xml=CurrentFile; Data/Scripts/Custom/PvE/RandomEncounters/EncounterEngine.cs=CurrentFile; Data/Scripts/Custom/PvE/RandomEncounters/Timers.cs=CurrentFile; Data/Scripts/Custom/PvE/RandomEncounters/SpawnFinder.cs=CurrentFile; Data/Scripts/Custom/PvE/RandomEncounters/Helpers.cs=CurrentFile; Data/Scripts/Custom/PvE/RandomEncounters/Records.cs=CurrentFile; Data/Scripts/Custom/PvE/RandomEncounters/Commands.cs=CurrentFile; Data/Scripts/Custom/Progression/CharacterLevel/CharacterLevelService.cs=CurrentFile; HookExamples=Data/Scripts/Custom/PvE/RandomEncounters/Commands.cs:L21 Initialize Initialize access=GlobalOrInternal; Data/Scripts/Custom/PvE/RandomEncounters/Commands.cs:L23 Command CommandSystem.Register access=Unknown; Data/Scripts/Custom/PvE/RandomEncounters/EncounterEngine.cs:L99 Initialize Initialize access=GlobalOrInternal; Data/Scripts/Custom/PvE/RandomEncounters/Helpers.cs:L30 Initialize Initialize access=GlobalOrInternal; Data/Scripts/Custom/PvE/RandomEncounters/Timers.cs:L28 Timer CustomTimerSubclass access=GlobalOrInternal; Data/Scripts/Custom/PvE/RandomEncounters/Timers.cs:L53 Timer CustomTimerSubclass access=GlobalOrInternal; Data/Scripts/Custom/PvE/RandomEncounters/Timers.cs:L85 Timer CustomTimerSubclass access=GlobalOrInternal; Data/Scripts/Custom/PvE/RandomEncounters/Timers.cs:L303 Timer CustomTimerSubclass access=GlobalOrInternal; SerializerExamples=; ProjectTruth=Data/Scripts/Custom/Progression/CharacterLevel/CharacterLevelService.cs=Keep; Data/Scripts/Custom/Progression/CharacterLevel/CharacterLevelService.cs=Keep; Data/Scripts/Custom/PvE/RandomEncounters/Commands.cs=Keep; Data/Scripts/Custom/PvE/RandomEncounters/Commands.cs=Keep; Data/Scripts/Custom/PvE/RandomEncounters/EncounterEngine.cs=Keep; Data/Scripts/Custom/PvE/RandomEncounters/EncounterEngine.cs=Keep; Data/Scripts/Custom/PvE/RandomEncounters/Helpers.cs=Keep; Data/Scripts/Custom/PvE/RandomEncounters/Helpers.cs=Keep; Data/Scripts/Custom/PvE/RandomEncounters/Records.cs=Keep; Data/Scripts/Custom/PvE/RandomEncounters/Records.cs=Keep; Data/Scripts/Custom/PvE/RandomEncounters/SpawnFinder.cs=Keep; Data/Scripts/Custom/PvE/RandomEncounters/SpawnFinder.cs=Keep; Data/Scripts/Custom/PvE/RandomEncounters/Timers.cs=Keep; Data/Scripts/Custom/PvE/RandomEncounters/Timers.cs=Keep</t>
  </si>
  <si>
    <t>POST-BATCH-T docs source-trace review. Previous active row was PBN-0012/PBF-493. No source/project/XML/config/data behavior changed.</t>
  </si>
  <si>
    <t>RB-06755</t>
  </si>
  <si>
    <t>P10-F06755</t>
  </si>
  <si>
    <t>PBT-0063</t>
  </si>
  <si>
    <t>POST-BATCH-T docs source-trace review. Previous active row was PBN-0063/PBF-494. No source/project/XML/config/data behavior changed.</t>
  </si>
  <si>
    <t>RB-06756</t>
  </si>
  <si>
    <t>P10-F06756</t>
  </si>
  <si>
    <t>docs/wiki/Ranger_Survival_Training.md</t>
  </si>
  <si>
    <t>PBT-0128</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</si>
  <si>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SourceFiles=Data/Scripts/Mobiles/Civilized/Vendors/Ranger.cs; Data/Scripts/System/Misc/Talk.cs; Data/Scripts/Mobiles/Base/StoreSalesList.cs; Data/Scripts/Items/Explorers/Kindling.cs; Data/Scripts/Items/Explorers/Campfire.cs; Data/Scripts/Items/Explorers/Bedroll.cs; Data/Scripts/Items/Explorers/BedrolledOut.cs; Data/Scripts/Items/Explorers/SmallTent.cs; Data/Scripts/Items/Explorers/CamperTent.cs; Data/Scripts/Items/Traps/TrapKit.cs; Data/Scripts/Items/Traps/SetTrap.cs; Data/Scripts/Items/Traps/HiddenTrap.cs; Data/Scripts/Items/Doors/PublicDoor.cs; PathStatus=Data/Scripts/Mobiles/Civilized/Vendors/Ranger.cs=CurrentFile; Data/Scripts/System/Misc/Talk.cs=CurrentFile; Data/Scripts/Mobiles/Base/StoreSalesList.cs=CurrentFile; Data/Scripts/Items/Explorers/Kindling.cs=CurrentFile; Data/Scripts/Items/Explorers/Campfire.cs=CurrentFile; Data/Scripts/Items/Explorers/Bedroll.cs=CurrentFile; Data/Scripts/Items/Explorers/BedrolledOut.cs=CurrentFile; Data/Scripts/Items/Explorers/SmallTent.cs=CurrentFile; Data/Scripts/Items/Explorers/CamperTent.cs=CurrentFile; Data/Scripts/Items/Traps/TrapKit.cs=CurrentFile; Data/Scripts/Items/Traps/SetTrap.cs=CurrentFile; Data/Scripts/Items/Traps/HiddenTrap.cs=CurrentFile; Data/Scripts/Items/Doors/PublicDoor.cs=CurrentFile; HookExamples=Data/Scripts/Items/Explorers/BedrolledOut.cs:L23 Timer Timer.DelayCall access=GlobalOrInternal; Data/Scripts/Items/Explorers/CamperTent.cs:L110 Gump SendGump access=Internal; Data/Scripts/Items/Explorers/CamperTent.cs:L374 Timer CustomTimerSubclass access=GlobalOrInternal; Data/Scripts/Items/Explorers/Campfire.cs:L28 Timer Timer.DelayCall access=GlobalOrInternal; Data/Scripts/Items/Explorers/SmallTent.cs:L368 Timer Timer.DelayCall access=GlobalOrInternal; Data/Scripts/Items/Explorers/SmallTent.cs:L448 Timer Timer.DelayCall access=GlobalOrInternal; Data/Scripts/Items/Traps/HiddenTrap.cs:L3606 Movement OnMovement access=GlobalOrInternal; Data/Scripts/Items/Traps/SetTrap.cs:L160 Timer Timer.DelayCall access=GlobalOrInternal; Data/Scripts/Mobiles/Civilized/Vendors/Ranger.cs:L85 Gump SendGump access=Internal; Data/Scripts/System/Misc/Talk.cs:L52 Gump OnResponse access=Internal; Data/Scripts/System/Misc/Talk.cs:L642 Gump SendGump access=Internal; SerializerExamples=Data/Scripts/Items/Doors/PublicDoor.cs:Server.Items.PublicDoor version=0 serialize=L314 deserialize=L322 alignment=CountMatchNeedsTypeReview:UnknownWrites=2; Data/Scripts/Items/Explorers/Bedroll.cs:Server.Items.Bedroll version=Unknown serialize=L24 deserialize=L30 alignment=AlignedByCountAndKnownTypes; Data/Scripts/Items/Explorers/BedrolledOut.cs:Server.Items.BedrolledOut version=0 serialize=L130 deserialize=L137 alignment=AlignedByCountAndKnownTypes; Data/Scripts/Items/Explorers/CamperTent.cs:Server.Items.CampersTent version=0 serialize=L395 deserialize=L403 alignment=AlignedByCountAndKnownTypes; Data/Scripts/Items/Explorers/CamperTent.cs:Server.Items.InternalItem version=Unknown serialize=L363 deserialize=L368 alignment=AlignedByCountAndKnownTypes; Data/Scripts/Items/Explorers/Campfire.cs:Server.Items.Campfire version=0 serialize=L152 deserialize=L158 alignment=AlignedByCountAndKnownTypes; Data/Scripts/Items/Explorers/Kindling.cs:Server.Items.Kindling version=0 serialize=L28 deserialize=L34 alignment=AlignedByCountAndKnownTypes; Data/Scripts/Items/Explorers/SmallTent.cs:Server.Items.SmallTent version=0 serialize=L180 deserialize=L188 alignment=AlignedByCountAndKnownTypes; Data/Scripts/Items/Explorers/SmallTent.cs:Server.Items.SmallTentAddon version=0 serialize=L451 deserialize=L459 alignment=CountMatchNeedsTypeReview:UnknownWrites=1; Data/Scripts/Items/Traps/HiddenTrap.cs:Server.Items.HiddenTrap version=0 serialize=L1315 deserialize=L1322 alignment=CountMatchNeedsTypeReview:UnknownWrites=1; Data/Scripts/Items/Traps/SetTrap.cs:Server.Items.SetTrap version=0 serialize=L163 deserialize=L172 alignment=CountMatchNeedsTypeReview:UnknownWrites=1; Data/Scripts/Items/Traps/TrapKit.cs:Server.Items.TrapKit version=0 serialize=L200 deserialize=L208 alignment=CountMatchNeedsTypeReview:UnknownWrites=1; ProjectTruth=Data/Scripts/Items/Doors/PublicDoor.cs=Keep; Data/Scripts/Items/Doors/PublicDoor.cs=Keep; Data/Scripts/Items/Explorers/Bedroll.cs=Keep; Data/Scripts/Items/Explorers/Bedroll.cs=Keep; Data/Scripts/Items/Explorers/BedrolledOut.cs=Keep; Data/Scripts/Items/Explorers/BedrolledOut.cs=Keep; Data/Scripts/Items/Explorers/CamperTent.cs=Keep; Data/Scripts/Items/Explorers/CamperTent.cs=Keep; Data/Scripts/Items/Explorers/Campfire.cs=Keep; Data/Scripts/Items/Explorers/Campfire.cs=Keep; Data/Scripts/Items/Explorers/Kindling.cs=Keep; Data/Scripts/Items/Explorers/Kindling.cs=Keep; Data/Scripts/Items/Explorers/SmallTent.cs=Keep; Data/Scripts/Items/Explorers/SmallTent.cs=Keep; Data/Scripts/Items/Traps/HiddenTrap.cs=Keep; Data/Scripts/Items/Traps/HiddenTrap.cs=Keep; Data/Scripts/Items/Traps/SetTrap.cs=Keep; Data/Scripts/Items/Traps/SetTrap.cs=Keep; Data/Scripts/Items/Traps/TrapKit.cs=Keep; Data/Scripts/Items/Traps/TrapKit.cs=Keep</t>
  </si>
  <si>
    <t>POST-BATCH-T docs source-trace review. Previous active row was PBN-0128/PBF-495. No source/project/XML/config/data behavior changed.</t>
  </si>
  <si>
    <t>RB-06757</t>
  </si>
  <si>
    <t>P10-F06757</t>
  </si>
  <si>
    <t>docs/wiki/Real_Estate_Broker_Appraisal.md</t>
  </si>
  <si>
    <t>PBT-0030</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</si>
  <si>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SourceFiles=Data/Scripts/Mobiles/Civilized/Vendors/RealEstateBroker.cs; Data/Scripts/Items/Houses/Deeds.cs; Data/Scripts/Items/Houses/SmallTents.cs; Data/Scripts/Mobiles/Base/StoreSalesList.cs; Data/Scripts/System/Misc/AOS.cs; PathStatus=Data/Scripts/Mobiles/Civilized/Vendors/RealEstateBroker.cs=CurrentFile; Data/Scripts/Items/Houses/Deeds.cs=CurrentFile; Data/Scripts/Items/Houses/SmallTents.cs=CurrentFile; Data/Scripts/Mobiles/Base/StoreSalesList.cs=CurrentFile; Data/Scripts/System/Misc/AOS.cs=CurrentFile; HookExamples=Data/Scripts/Mobiles/Civilized/Vendors/RealEstateBroker.cs:L39 Movement OnMovement access=GlobalOrInternal; Data/Scripts/Mobiles/Civilized/Vendors/RealEstateBroker.cs:L67 Movement OnMovement access=GlobalOrInternal; Data/Scripts/Mobiles/Civilized/Vendors/RealEstateBroker.cs:L70 Speech OnSpeech access=GlobalOrInternal; Data/Scripts/Mobiles/Civilized/Vendors/RealEstateBroker.cs:L84 Speech OnSpeech access=GlobalOrInternal; SerializerExamples=Data/Scripts/Items/Houses/Deeds.cs:Server.Multis.Deeds.BrickHouseDeed version=0 serialize=L459 deserialize=L466 alignment=AlignedByCountAndKnownTypes; Data/Scripts/Items/Houses/Deeds.cs:Server.Multis.Deeds.CastleDeed version=0 serialize=L649 deserialize=L656 alignment=AlignedByCountAndKnownTypes; Data/Scripts/Items/Houses/Deeds.cs:Server.Multis.Deeds.FieldStoneHouseDeed version=0 serialize=L269 deserialize=L276 alignment=AlignedByCountAndKnownTypes; Data/Scripts/Items/Houses/Deeds.cs:Server.Multis.Deeds.HouseDeed version=1 serialize=L73 deserialize=L84 alignment=CountMatchNeedsTypeReview:UnknownWrites=2; Data/Scripts/Items/Houses/Deeds.cs:Server.Multis.Deeds.KeepDeed version=0 serialize=L611 deserialize=L618 alignment=AlignedByCountAndKnownTypes; Data/Scripts/Items/Houses/Deeds.cs:Server.Multis.Deeds.LargeMarbleDeed version=0 serialize=L725 deserialize=L732 alignment=AlignedByCountAndKnownTypes; Data/Scripts/Items/Houses/Deeds.cs:Server.Multis.Deeds.LargePatioDeed version=0 serialize=L687 deserialize=L694 alignment=AlignedByCountAndKnownTypes; Data/Scripts/Items/Houses/Deeds.cs:Server.Multis.Deeds.LogCabinDeed version=0 serialize=L801 deserialize=L808 alignment=AlignedByCountAndKnownTypes; Data/Scripts/Items/Houses/Deeds.cs:Server.Multis.Deeds.MarbleWorkshopDeed version=0 serialize=L953 deserialize=L960 alignment=AlignedByCountAndKnownTypes; Data/Scripts/Items/Houses/Deeds.cs:Server.Multis.Deeds.SandstonePatioDeed version=0 serialize=L839 deserialize=L846 alignment=AlignedByCountAndKnownTypes; Data/Scripts/Items/Houses/Deeds.cs:Server.Multis.Deeds.SmallBrickHouseDeed version=0 serialize=L307 deserialize=L314 alignment=AlignedByCountAndKnownTypes; Data/Scripts/Items/Houses/Deeds.cs:Server.Multis.Deeds.SmallTowerDeed version=0 serialize=L763 deserialize=L770 alignment=AlignedByCountAndKnownTypes; ProjectTruth=Data/Scripts/Items/Houses/Deeds.cs=Keep; Data/Scripts/Items/Houses/Deeds.cs=Keep; Data/Scripts/Items/Houses/SmallTents.cs=Keep; Data/Scripts/Items/Houses/SmallTents.cs=Keep; Data/Scripts/Mobiles/Base/StoreSalesList.cs=Keep; Data/Scripts/Mobiles/Base/StoreSalesList.cs=Keep; Data/Scripts/Mobiles/Civilized/Vendors/RealEstateBroker.cs=Keep; Data/Scripts/Mobiles/Civilized/Vendors/RealEstateBroker.cs=Keep; Data/Scripts/System/Misc/AOS.cs=Keep; Data/Scripts/System/Misc/AOS.cs=Keep</t>
  </si>
  <si>
    <t>POST-BATCH-T docs source-trace review. Previous active row was PBN-0030/PBF-496. No source/project/XML/config/data behavior changed.</t>
  </si>
  <si>
    <t>RB-06758</t>
  </si>
  <si>
    <t>P10-F06758</t>
  </si>
  <si>
    <t>PBT-0129</t>
  </si>
  <si>
    <t>POST-BATCH-T docs source-trace review. Previous active row was PBN-0129/PBF-497. No source/project/XML/config/data behavior changed.</t>
  </si>
  <si>
    <t>RB-06759</t>
  </si>
  <si>
    <t>P10-F06759</t>
  </si>
  <si>
    <t>docs/wiki/Region_System.md</t>
  </si>
  <si>
    <t>PBT-0031</t>
  </si>
  <si>
    <t>Queue SourceEvidence=POST-BATCH-N lane=POST-BATCH-N-DOCS-SOURCE-TRACE; FileProofStatus=CurrentPathConfirmed; Documentation truth after POST-BATCH-F: SourceTracePresent=No; MissingClaims=Missing Source Trace section.; StaleClaims=; Canonical=Canonical; Target=; SourceFiles=Data/System/Source/Region.cs; Data/System/Source/Sector.cs; Data/System/Source/Map.cs; Data/Scripts/System/Regions/BaseRegion.cs; Data/Scripts/System/Regions/GuardedRegion.cs; Data/Scripts/System/Regions/HouseRegion.cs; Data/Scripts/System/Regions/RegionMusic.cs; Data/Scripts/System/Regions/Spawning/SpawnEntry.cs; Data/Scripts/System/Regions/Spawning/SpawnDefinition.cs; Data/Scripts/System/Regions/Spawning/SpawnPersistence.cs; PathStatus=Data/System/Source/Region.cs=CurrentFile; Data/System/Source/Sector.cs=CurrentFile; Data/System/Source/Map.cs=CurrentFile; Data/Scripts/System/Regions/BaseRegion.cs=CurrentFile; Data/Scripts/System/Regions/GuardedRegion.cs=CurrentFile; Data/Scripts/System/Regions/HouseRegion.cs=CurrentFile; Data/Scripts/System/Regions/RegionMusic.cs=CurrentFile; Data/Scripts/System/Regions/Spawning/SpawnEntry.cs=CurrentFile; Data/Scripts/System/Regions/Spawning/SpawnDefinition.cs=CurrentFile; Data/Scripts/System/Regions/Spawning/SpawnPersistence.cs=CurrentFile; HookExamples=Data/Scripts/System/Regions/BaseRegion.cs:L32 Region RegionOverride access=GlobalOrInternal; Data/Scripts/System/Regions/BaseRegion.cs:L123 Region RegionOverride access=GlobalOrInternal; Data/Scripts/System/Regions/BaseRegion.cs:L234 Region RegionOverride access=GlobalOrInternal; Data/Scripts/System/Regions/BaseRegion.cs:L259 Region RegionOverride access=GlobalOrInternal; Data/Scripts/System/Regions/GuardedRegion.cs:L30 Initialize Initialize access=GlobalOrInternal; Data/Scripts/System/Regions/GuardedRegion.cs:L32 Command CommandSystem.Register access=Unknown; Data/Scripts/System/Regions/GuardedRegion.cs:L37 Command CommandSystem.Register access=Unknown; Data/Scripts/System/Regions/GuardedRegion.cs:L42 Command CommandSystem.Register access=Unknown; Data/Scripts/System/Regions/GuardedRegion.cs:L234 Region RegionOverride access=GlobalOrInternal; Data/Scripts/System/Regions/GuardedRegion.cs:L243 Region RegionOverride access=GlobalOrInternal; Data/Scripts/System/Regions/GuardedRegion.cs:L249 Speech OnSpeech access=GlobalOrInternal; Data/Scripts/System/Regions/GuardedRegion.cs:L251 Speech OnSpeech access=GlobalOrInternal; SerializerExamples=Data/Scripts/System/Regions/Spawning/SpawnEntry.cs:Server.Regions.SpawnEntry version=Unknown serialize=L277 deserialize=L alignment=CountMismatch:Writes=6;Reads=0; Data/Scripts/System/Regions/Spawning/SpawnPersistence.cs:Server.Regions.SpawnPersistence version=Unknown serialize=L39 deserialize=L54 alignment=AlignedByCountAndKnownTypes; ProjectTruth=Data/Scripts/System/Regions/BaseRegion.cs=Keep; Data/Scripts/System/Regions/BaseRegion.cs=Keep; Data/Scripts/System/Regions/GuardedRegion.cs=Keep; Data/Scripts/System/Regions/GuardedRegion.cs=Keep; Data/Scripts/System/Regions/HouseRegion.cs=Keep; Data/Scripts/System/Regions/HouseRegion.cs=Keep; Data/Scripts/System/Regions/RegionMusic.cs=Keep; Data/Scripts/System/Regions/RegionMusic.cs=Keep; Data/Scripts/System/Regions/Spawning/SpawnDefinition.cs=Keep; Data/Scripts/System/Regions/Spawning/SpawnDefinition.cs=Keep; Data/Scripts/System/Regions/Spawning/SpawnEntry.cs=Keep; Data/Scripts/System/Regions/Spawning/SpawnEntry.cs=Keep; Data/Scripts/System/Regions/Spawning/SpawnPersistence.cs=Keep; Data/Scripts/System/Regions/Spawning/SpawnPersistence.cs=Keep</t>
  </si>
  <si>
    <t>POST-BATCH-T docs source-trace review. Previous active row was PBN-0031/PBF-498. No source/project/XML/config/data behavior changed.</t>
  </si>
  <si>
    <t>RB-06760</t>
  </si>
  <si>
    <t>P10-F06760</t>
  </si>
  <si>
    <t>PBT-0070</t>
  </si>
  <si>
    <t>POST-BATCH-T docs source-trace review. Previous active row was PBN-0070/PBF-499. No source/project/XML/config/data behavior changed.</t>
  </si>
  <si>
    <t>RB-06761</t>
  </si>
  <si>
    <t>P10-F06761</t>
  </si>
  <si>
    <t>docs/wiki/Relic_Items.md</t>
  </si>
  <si>
    <t>PBT-0105</t>
  </si>
  <si>
    <t>Queue SourceEvidence=POST-BATCH-N lane=POST-BATCH-N-DOCS-SOURCE-TRACE; FileProofStatus=CurrentPathConfirmed; Documentation truth after POST-BATCH-F: SourceTracePresent=No; MissingClaims=Missing Source Trace section.; StaleClaims=; Canonical=Canonical; Target=; SourceFiles=Data/Scripts/Items/Relics/; Data/Scripts/Items/Relics/DDIdItems.cs; Data/Scripts/Items/Relics/DDRelicAlchemy.cs; Data/Scripts/Items/Relics/DDRelicArmor.cs; Data/Scripts/Items/Relics/DDRelicArts.cs; Data/Scripts/Items/Relics/DDRelicBanner.cs; Data/Scripts/Items/Relics/DDRelicBearRugs.cs; Data/Scripts/Items/Relics/DDRelicBook.cs; Data/Scripts/Items/Relics/DDRelicCloth.cs; Data/Scripts/Items/Relics/DDRelicCoins.cs; Data/Scripts/Items/Relics/DDRelicDrink.cs; Data/Scripts/Items/Relics/DDRelicFur.cs; Data/Scripts/Items/Relics/DDRelicGem.cs; Data/Scripts/Items/Relics/DDRelicGrave.cs; Data/Scripts/Items/Relics/DDRelicInstrument.cs; Data/Scripts/Items/Relics/DDRelicJewels.cs; Data/Scripts/Items/Relics/DDRelicLeather.cs; Data/Scripts/Items/Relics/DDRelicLight.cs; Data/Scripts/Items/Relics/DDRelicMoney.cs; Data/Scripts/Items/Relics/DDRelicOrbs.cs; Data/Scripts/Items/Relics/DDRelicPainting.cs; Data/Scripts/Items/Relics/DDRelicReagent.cs; Data/Scripts/Items/Relics/DDRelicRug.cs; Data/Scripts/Items/Relics/DDRelicScrolls.cs; Data/Scripts/Items/Relics/DDRelicStatue.cs; Data/Scripts/Items/Relics/DDRelicTablet.cs; Data/Scripts/Items/Relics/DDRelicVase.cs; Data/Scripts/Items/Relics/DDRelicWeapon.cs; PathStatus=Data/Scripts/Items/Relics/=CurrentDirectory; Data/Scripts/Items/Relics/DDIdItems.cs=CurrentFile; Data/Scripts/Items/Relics/DDRelicAlchemy.cs=CurrentFile; Data/Scripts/Items/Relics/DDRelicArmor.cs=CurrentFile; Data/Scripts/Items/Relics/DDRelicArts.cs=CurrentFile; Data/Scripts/Items/Relics/DDRelicBanner.cs=CurrentFile; Data/Scripts/Items/Relics/DDRelicBearRugs.cs=CurrentFile; Data/Scripts/Items/Relics/DDRelicBook.cs=CurrentFile; Data/Scripts/Items/Relics/DDRelicCloth.cs=CurrentFile; Data/Scripts/Items/Relics/DDRelicCoins.cs=CurrentFile; Data/Scripts/Items/Relics/DDRelicDrink.cs=CurrentFile; Data/Scripts/Items/Relics/DDRelicFur.cs=CurrentFile; Data/Scripts/Items/Relics/DDRelicGem.cs=CurrentFile; Data/Scripts/Items/Relics/DDRelicGrave.cs=CurrentFile; Data/Scripts/Items/Relics/DDRelicInstrument.cs=CurrentFile; Data/Scripts/Items/Relics/DDRelicJewels.cs=CurrentFile; Data/Scripts/Items/Relics/DDRelicLeather.cs=CurrentFile; Data/Scripts/Items/Relics/DDRelicLight.cs=CurrentFile; Data/Scripts/Items/Relics/DDRelicMoney.cs=CurrentFile; Data/Scripts/Items/Relics/DDRelicOrbs.cs=CurrentFile; Data/Scripts/Items/Relics/DDRelicPainting.cs=CurrentFile; Data/Scripts/Items/Relics/DDRelicReagent.cs=CurrentFile; Data/Scripts/Items/Relics/DDRelicRug.cs=CurrentFile; Data/Scripts/Items/Relics/DDRelicScrolls.cs=CurrentFile; Data/Scripts/Items/Relics/DDRelicStatue.cs=CurrentFile; Data/Scripts/Items/Relics/DDRelicTablet.cs=CurrentFile; Data/Scripts/Items/Relics/DDRelicVase.cs=CurrentFile; Data/Scripts/Items/Relics/DDRelicWeapon.cs=CurrentFile; HookExamples=Data/Scripts/Items/Relics/DDRelicTablet.cs:L519 Gump SendGump access=Internal; SerializerExamples=Data/Scripts/Items/Relics/DDRelicAlchemy.cs:Server.Items.DDRelicAlchemy version=0 serialize=L72 deserialize=L79 alignment=CountMatchNeedsTypeReview:UnknownWrites=1; Data/Scripts/Items/Relics/DDRelicArmor.cs:Server.Items.DDRelicArmor version=0 serialize=L239 deserialize=L248 alignment=CountMatchNeedsTypeReview:UnknownWrites=3; Data/Scripts/Items/Relics/DDRelicArts.cs:Server.Items.DDRelicArts version=0 serialize=L140 deserialize=L147 alignment=CountMatchNeedsTypeReview:UnknownWrites=1; Data/Scripts/Items/Relics/DDRelicBanner.cs:Server.Items.DDRelicBanner version=0 serialize=L493 deserialize=L502 alignment=CountMatchNeedsTypeReview:UnknownWrites=3; Data/Scripts/Items/Relics/DDRelicBearRugs.cs:Server.Items.DDRelicBearRugsAddon version=0 serialize=L774 deserialize=L786 alignment=CountMatchNeedsTypeReview:UnknownWrites=6; Data/Scripts/Items/Relics/DDRelicBearRugs.cs:Server.Items.DDRelicBearRugsAddonDeed version=0 serialize=L1082 deserialize=L1094 alignment=CountMatchNeedsTypeReview:UnknownWrites=6; Data/Scripts/Items/Relics/DDRelicBook.cs:Server.Items.DDRelicBook version=0 serialize=L42 deserialize=L49 alignment=CountMatchNeedsTypeReview:UnknownWrites=1; Data/Scripts/Items/Relics/DDRelicCloth.cs:Server.Items.DDRelicCloth version=0 serialize=L137 deserialize=L144 alignment=CountMatchNeedsTypeReview:UnknownWrites=1; Data/Scripts/Items/Relics/DDRelicCoins.cs:Server.Items.DDRelicCoins version=0 serialize=L249 deserialize=L258 alignment=CountMatchNeedsTypeReview:UnknownWrites=3; Data/Scripts/Items/Relics/DDRelicDrink.cs:Server.Items.DDRelicDrink version=0 serialize=L184 deserialize=L191 alignment=CountMatchNeedsTypeReview:UnknownWrites=1; Data/Scripts/Items/Relics/DDRelicFur.cs:Server.Items.DDRelicFur version=0 serialize=L245 deserialize=L252 alignment=CountMatchNeedsTypeReview:UnknownWrites=1; Data/Scripts/Items/Relics/DDRelicGem.cs:Server.Items.DDRelicGem version=0 serialize=L339 deserialize=L347 alignment=CountMatchNeedsTypeReview:UnknownWrites=2; ProjectTruth=Data/Scripts/Items/Relics/DDIdItems.cs=Keep; Data/Scripts/Items/Relics/DDIdItems.cs=Keep; Data/Scripts/Items/Relics/DDRelicAlchemy.cs=Keep; Data/Scripts/Items/Relics/DDRelicAlchemy.cs=Keep; Data/Scripts/Items/Relics/DDRelicArmor.cs=Keep; Data/Scripts/Items/Relics/DDRelicArmor.cs=Keep; Data/Scripts/Items/Relics/DDRelicArts.cs=Keep; Data/Scripts/Items/Relics/DDRelicArts.cs=Keep; Data/Scripts/Items/Relics/DDRelicBanner.cs=Keep; Data/Scripts/Items/Relics/DDRelicBanner.cs=Keep; Data/Scripts/Items/Relics/DDRelicBearRugs.cs=Keep; Data/Scripts/Items/Relics/DDRelicBearRugs.cs=Keep; Data/Scripts/Items/Relics/DDRelicBook.cs=Keep; Data/Scripts/Items/Relics/DDRelicBook.cs=Keep; Data/Scripts/Items/Relics/DDRelicCloth.cs=Keep; Data/Scripts/Items/Relics/DDRelicCloth.cs=Keep; Data/Scripts/Items/Relics/DDRelicCoins.cs=Keep; Data/Scripts/Items/Relics/DDRelicCoins.cs=Keep; Data/Scripts/Items/Relics/DDRelicDrink.cs=Keep; Data/Scripts/Items/Relics/DDRelicDrink.cs=Keep</t>
  </si>
  <si>
    <t>POST-BATCH-T docs source-trace review. Previous active row was PBN-0105/PBF-500. No source/project/XML/config/data behavior changed.</t>
  </si>
  <si>
    <t>RB-06762</t>
  </si>
  <si>
    <t>P10-F06762</t>
  </si>
  <si>
    <t>docs/wiki/Research_Magic.md</t>
  </si>
  <si>
    <t>PBT-0043</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</si>
  <si>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SourceFiles=Data/Scripts/Magic/Research/AncientSpellBook.cs; Data/Scripts/Magic/Research/ResearchBag.cs; Data/Scripts/Magic/Research/ResearchCommands.cs; Data/Scripts/Magic/Research/ResearchFunctions.cs; PathStatus=Data/Scripts/Magic/Research/AncientSpellBook.cs=CurrentFile; Data/Scripts/Magic/Research/ResearchBag.cs=CurrentFile; Data/Scripts/Magic/Research/ResearchCommands.cs=CurrentFile; Data/Scripts/Magic/Research/ResearchFunctions.cs=CurrentFile; HookExamples=Data/Scripts/Magic/Research/AncientSpellBook.cs:L81 Gump SendGump access=Internal; Data/Scripts/Magic/Research/ResearchBag.cs:L93 Gump SendGump access=Internal; Data/Scripts/Magic/Research/ResearchBag.cs:L129 Gump SendGump access=Internal; Data/Scripts/Magic/Research/ResearchBag.cs:L156 Gump SendGump access=Internal; Data/Scripts/Magic/Research/ResearchBag.cs:L3889 Gump OnResponse access=Internal; Data/Scripts/Magic/Research/ResearchBag.cs:L3903 Gump SendGump access=Internal; Data/Scripts/Magic/Research/ResearchBag.cs:L3908 Gump SendGump access=Internal; Data/Scripts/Magic/Research/ResearchBag.cs:L3912 Gump SendGump access=Internal; Data/Scripts/Magic/Research/ResearchBag.cs:L3919 Gump SendGump access=Internal; Data/Scripts/Magic/Research/ResearchBag.cs:L3923 Gump SendGump access=Internal; Data/Scripts/Magic/Research/ResearchBag.cs:L3930 Gump SendGump access=Internal; Data/Scripts/Magic/Research/ResearchBag.cs:L3934 Gump SendGump access=Internal; SerializerExamples=Data/Scripts/Magic/Research/AncientSpellBook.cs:Server.Items.AncientSpellbook version=0 serialize=L99 deserialize=L109 alignment=CountMatchNeedsTypeReview:UnknownWrites=3; Data/Scripts/Magic/Research/ResearchBag.cs:Server.Items.ResearchBag version=0 serialize=L4404 deserialize=L4445 alignment=CountMatchNeedsTypeReview:UnknownWrites=29; ProjectTruth=Data/Scripts/Magic/Research/AncientSpellBook.cs=Keep; Data/Scripts/Magic/Research/AncientSpellBook.cs=Keep; Data/Scripts/Magic/Research/ResearchBag.cs=Keep; Data/Scripts/Magic/Research/ResearchBag.cs=Keep; Data/Scripts/Magic/Research/ResearchCommands.cs=Keep; Data/Scripts/Magic/Research/ResearchCommands.cs=Keep; Data/Scripts/Magic/Research/ResearchFunctions.cs=Keep; Data/Scripts/Magic/Research/ResearchFunctions.cs=Keep</t>
  </si>
  <si>
    <t>POST-BATCH-T docs source-trace review. Previous active row was PBN-0043/PBF-501. No source/project/XML/config/data behavior changed.</t>
  </si>
  <si>
    <t>RB-06763</t>
  </si>
  <si>
    <t>P10-F06763</t>
  </si>
  <si>
    <t>docs/wiki/Runic_Tools_Crafting.md</t>
  </si>
  <si>
    <t>PBF-502</t>
  </si>
  <si>
    <t>Documentation truth after POST-BATCH-F: SourceTracePresent=Yes; MissingSourceFiles=none; VerifiedSourceFiles=Data/Scripts/Items/Trades/Tools/BaseTool.cs;Data/Scripts/Items/Trades/Tools/BaseRunicTool.cs;Data/Scripts/Items/Weapons/BaseWeapon.cs;Data/Scripts/Items/Armor/BaseArmor.cs;Data/Scripts/Items/Trades/Tools/RunicHammer.cs;Data/Scripts/Items/Trades/Tools/RunicSewingKit.cs;Data/Scripts/Items/Trades/Tools/RunicDovetailSaw.cs;Data/Scripts/Trades/Runics/BaseRunicHammer.cs;Data/Scripts/Trades/Runics/BaseRunicSewingKit.cs;Data/Scripts/Trades/Runics/BaseRunicTinkerTools.cs;Data/Scripts/Trades/Runics/BaseRunicSaw.cs;Data/Scripts/Trades/Runics/BaseRunicFletcherTools.cs;Data/Scripts/System/Misc/ResourceInfo.cs;Data/Scripts/Trades/Bulk Orders/Rewards.cs</t>
  </si>
  <si>
    <t>RB-06764</t>
  </si>
  <si>
    <t>P10-F06764</t>
  </si>
  <si>
    <t>PBF-503</t>
  </si>
  <si>
    <t>RB-06765</t>
  </si>
  <si>
    <t>P10-F06765</t>
  </si>
  <si>
    <t>PBF-504</t>
  </si>
  <si>
    <t>RB-06766</t>
  </si>
  <si>
    <t>P10-F06766</t>
  </si>
  <si>
    <t>docs/wiki/Search_System.md</t>
  </si>
  <si>
    <t>PBT-0064</t>
  </si>
  <si>
    <t>Queue SourceEvidence=POST-BATCH-N lane=POST-BATCH-N-DOCS-SOURCE-TRACE; FileProofStatus=CurrentPathConfirmed; Documentation truth after POST-BATCH-F: SourceTracePresent=No; MissingClaims=Missing Source Trace section.; StaleClaims=; Canonical=Canonical; Target=; SourceFiles=Data/Scripts/Custom/Searches/Searches.cs; Data/Scripts/Custom/Searches/Types.cs; Data/Scripts/Custom/Searches/BaseEntry.cs; Data/Scripts/Custom/Searches/Helpers.cs; Data/Scripts/Custom/Searches/LineSearch.cs; Data/Scripts/Custom/Searches/CircleSearch.cs; Data/Scripts/Custom/Searches/OctantSearch.cs; Data/Scripts/Custom/Searches/SpiralSearch.cs; Data/Scripts/Custom/Searches/Commands.cs; Data/Scripts/Scripts.csproj; Data/Scripts/Custom/PvE/RandomEncounters/SpawnFinder.cs; Data/Scripts/Custom/Searches; PathStatus=Data/Scripts/Custom/Searches/Searches.cs=CurrentFile; Data/Scripts/Custom/Searches/Types.cs=CurrentFile; Data/Scripts/Custom/Searches/BaseEntry.cs=CurrentFile; Data/Scripts/Custom/Searches/Helpers.cs=CurrentFile; Data/Scripts/Custom/Searches/LineSearch.cs=CurrentFile; Data/Scripts/Custom/Searches/CircleSearch.cs=CurrentFile; Data/Scripts/Custom/Searches/OctantSearch.cs=CurrentFile; Data/Scripts/Custom/Searches/SpiralSearch.cs=CurrentFile; Data/Scripts/Custom/Searches/Commands.cs=CurrentFile; Data/Scripts/Scripts.csproj=CurrentFile; Data/Scripts/Custom/PvE/RandomEncounters/SpawnFinder.cs=CurrentFile; Data/Scripts/Custom/Searches=CurrentDirectory; HookExamples=Data/Scripts/Custom/Searches/Commands.cs:L21 Initialize Initialize access=GlobalOrInternal; Data/Scripts/Custom/Searches/Commands.cs:L23 Command CommandSystem.Register access=Unknown; Data/Scripts/Custom/Searches/Searches.cs:L92 Initialize Initialize access=GlobalOrInternal; SerializerExamples=; ProjectTruth=Data/Scripts/Custom/PvE/RandomEncounters/SpawnFinder.cs=Keep; Data/Scripts/Custom/PvE/RandomEncounters/SpawnFinder.cs=Keep; Data/Scripts/Custom/Searches/BaseEntry.cs=Keep; Data/Scripts/Custom/Searches/BaseEntry.cs=Keep; Data/Scripts/Custom/Searches/CircleSearch.cs=Keep; Data/Scripts/Custom/Searches/CircleSearch.cs=Keep; Data/Scripts/Custom/Searches/Commands.cs=Keep; Data/Scripts/Custom/Searches/Commands.cs=Keep; Data/Scripts/Custom/Searches/Helpers.cs=Keep; Data/Scripts/Custom/Searches/Helpers.cs=Keep; Data/Scripts/Custom/Searches/LineSearch.cs=Keep; Data/Scripts/Custom/Searches/LineSearch.cs=Keep; Data/Scripts/Custom/Searches/OctantSearch.cs=Keep; Data/Scripts/Custom/Searches/OctantSearch.cs=Keep; Data/Scripts/Custom/Searches/Searches.cs=Keep; Data/Scripts/Custom/Searches/Searches.cs=Keep; Data/Scripts/Custom/Searches/SpiralSearch.cs=Keep; Data/Scripts/Custom/Searches/SpiralSearch.cs=Keep; Data/Scripts/Custom/Searches/Types.cs=Keep; Data/Scripts/Custom/Searches/Types.cs=Keep</t>
  </si>
  <si>
    <t>POST-BATCH-T docs source-trace review. Previous active row was PBN-0064/PBF-505. No source/project/XML/config/data behavior changed.</t>
  </si>
  <si>
    <t>RB-06767</t>
  </si>
  <si>
    <t>P10-F06767</t>
  </si>
  <si>
    <t>docs/wiki/Shinobi_Magic.md</t>
  </si>
  <si>
    <t>PBT-0106</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</si>
  <si>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SourceFiles=Data/Scripts/Magic/Shinobi/ShinobiSpell.cs; Data/Scripts/Magic/Shinobi/ShinobiCommandList.cs; Data/Scripts/Magic/Shinobi/ShinobiScroll.cs; Data/Scripts/Magic/Shinobi/Spells/; PathStatus=Data/Scripts/Magic/Shinobi/ShinobiSpell.cs=CurrentFile; Data/Scripts/Magic/Shinobi/ShinobiCommandList.cs=CurrentFile; Data/Scripts/Magic/Shinobi/ShinobiScroll.cs=CurrentFile; Data/Scripts/Magic/Shinobi/Spells/=CurrentDirectory; HookExamples=Data/Scripts/Magic/Shinobi/ShinobiCommandList.cs:L15 Initialize Initialize access=GlobalOrInternal; Data/Scripts/Magic/Shinobi/ShinobiCommandList.cs:L58 Command CommandSystem.Register access=Unknown; Data/Scripts/Magic/Shinobi/ShinobiScroll.cs:L204 Gump SendGump access=Internal; Data/Scripts/Magic/Shinobi/ShinobiScroll.cs:L1073 Gump OnResponse access=Internal; Data/Scripts/Magic/Shinobi/ShinobiScroll.cs:L1097 Gump SendGump access=Internal; Data/Scripts/Magic/Shinobi/ShinobiScroll.cs:L1102 Gump SendGump access=Internal; Data/Scripts/Magic/Shinobi/ShinobiScroll.cs:L1119 Gump SendGump access=Internal; Data/Scripts/Magic/Shinobi/ShinobiScroll.cs:L1182 Gump OnResponse access=Internal; Data/Scripts/Magic/Shinobi/ShinobiScroll.cs:L1189 Gump SendGump access=Internal; Data/Scripts/Magic/Shinobi/ShinobiScroll.cs:L1252 Gump OnResponse access=Internal; Data/Scripts/Magic/Shinobi/ShinobiScroll.cs:L1259 Gump SendGump access=Internal; Data/Scripts/Magic/Shinobi/Spells/CheetahPaws.cs:L117 Timer CustomTimerSubclass access=GlobalOrInternal; SerializerExamples=Data/Scripts/Magic/Shinobi/ShinobiScroll.cs:Server.Items.ShinobiScroll version=1 serialize=L431 deserialize=L447 alignment=CountMatchNeedsTypeReview:UnknownWrites=9; ProjectTruth=Data/Scripts/Magic/Shinobi/ShinobiCommandList.cs=Keep; Data/Scripts/Magic/Shinobi/ShinobiCommandList.cs=Keep; Data/Scripts/Magic/Shinobi/ShinobiScroll.cs=Keep; Data/Scripts/Magic/Shinobi/ShinobiScroll.cs=Keep; Data/Scripts/Magic/Shinobi/ShinobiSpell.cs=Keep; Data/Scripts/Magic/Shinobi/ShinobiSpell.cs=Keep; Data/Scripts/Magic/Shinobi/Spells/CheetahPaws.cs=Keep; Data/Scripts/Magic/Shinobi/Spells/CheetahPaws.cs=Keep; Data/Scripts/Magic/Shinobi/Spells/Deception.cs=Keep; Data/Scripts/Magic/Shinobi/Spells/Deception.cs=Keep; Data/Scripts/Magic/Shinobi/Spells/EagleEye.cs=Keep; Data/Scripts/Magic/Shinobi/Spells/EagleEye.cs=Keep; Data/Scripts/Magic/Shinobi/Spells/Espionage.cs=Keep; Data/Scripts/Magic/Shinobi/Spells/Espionage.cs=Keep; Data/Scripts/Magic/Shinobi/Spells/FerretFlee.cs=Keep; Data/Scripts/Magic/Shinobi/Spells/FerretFlee.cs=Keep; Data/Scripts/Magic/Shinobi/Spells/MonkeyLeap.cs=Keep; Data/Scripts/Magic/Shinobi/Spells/MonkeyLeap.cs=Keep; Data/Scripts/Magic/Shinobi/Spells/MysticShuriken.cs=Keep; Data/Scripts/Magic/Shinobi/Spells/MysticShuriken.cs=Keep</t>
  </si>
  <si>
    <t>POST-BATCH-T docs source-trace review. Previous active row was PBN-0106/PBF-506. No source/project/XML/config/data behavior changed.</t>
  </si>
  <si>
    <t>RB-06768</t>
  </si>
  <si>
    <t>P10-F06768</t>
  </si>
  <si>
    <t>docs/wiki/Shipwright_Sailing_Tutorial.md</t>
  </si>
  <si>
    <t>PBT-0005</t>
  </si>
  <si>
    <t>Queue SourceEvidence=POST-BATCH-N lane=POST-BATCH-N-DOCS-SOURCE-TRACE; FileProofStatus=CurrentPathConfirmed; Documentation truth after POST-BATCH-F: SourceTracePresent=No; MissingClaims=Missing Source Trace section.; StaleClaims=; Canonical=Canonical; Target=; SourceFiles=Data/Scripts/Mobiles/Civilized/Vendors/Shipwright.cs; Data/Scripts/Mobiles/Civilized/Vendors/DrunkenPirate.cs; Data/Scripts/System/Misc/Talk.cs; Data/Scripts/System/Commands/Player/MyChat.cs; Data/Scripts/Mobiles/Base/StoreSalesList.cs; Data/Scripts/Items/Boats/BaseBoatDeed.cs; Data/Scripts/Items/Boats/BaseDockedBoat.cs; Data/Scripts/Items/Boats/BaseBoat.cs; Data/Scripts/Items/Boats/TillerMan.cs; Data/Scripts/Items/Boats/Gumps/TillerManGump.cs; Data/Scripts/Items/Boats/Gumps/ConfirmDryDockGump.cs; Data/Scripts/Items/Boats/DockingLantern.cs; Data/Scripts/Items/Boats/BoatStain.cs; Data/Scripts/Items/Misc/Dyes/DyeTub.cs; Data/Scripts/Custom/BoatNavigationTotem/BoatNavigationTotam.cs; PathStatus=Data/Scripts/Mobiles/Civilized/Vendors/Shipwright.cs=CurrentFile; Data/Scripts/Mobiles/Civilized/Vendors/DrunkenPirate.cs=CurrentFile; Data/Scripts/System/Misc/Talk.cs=CurrentFile; Data/Scripts/System/Commands/Player/MyChat.cs=CurrentFile; Data/Scripts/Mobiles/Base/StoreSalesList.cs=CurrentFile; Data/Scripts/Items/Boats/BaseBoatDeed.cs=CurrentFile; Data/Scripts/Items/Boats/BaseDockedBoat.cs=CurrentFile; Data/Scripts/Items/Boats/BaseBoat.cs=CurrentFile; Data/Scripts/Items/Boats/TillerMan.cs=CurrentFile; Data/Scripts/Items/Boats/Gumps/TillerManGump.cs=CurrentFile; Data/Scripts/Items/Boats/Gumps/ConfirmDryDockGump.cs=CurrentFile; Data/Scripts/Items/Boats/DockingLantern.cs=CurrentFile; Data/Scripts/Items/Boats/BoatStain.cs=CurrentFile; Data/Scripts/Items/Misc/Dyes/DyeTub.cs=CurrentFile; Data/Scripts/Custom/BoatNavigationTotem/BoatNavigationTotam.cs=CurrentFile; HookExamples=Data/Scripts/Custom/BoatNavigationTotem/BoatNavigationTotam.cs:L17 Initialize Initialize access=GlobalOrInternal; Data/Scripts/Custom/BoatNavigationTotem/BoatNavigationTotam.cs:L19 Command CommandSystem.Register access=Unknown; Data/Scripts/Custom/BoatNavigationTotem/BoatNavigationTotam.cs:L24 Command CommandSystem.Register access=Unknown; Data/Scripts/Custom/BoatNavigationTotem/BoatNavigationTotam.cs:L29 Command CommandSystem.Register access=Unknown; Data/Scripts/Custom/BoatNavigationTotem/BoatNavigationTotam.cs:L43 Gump SendGump access=Internal; Data/Scripts/Custom/BoatNavigationTotem/BoatNavigationTotam.cs:L53 Gump SendGump access=Internal; Data/Scripts/Custom/BoatNavigationTotem/BoatNavigationTotam.cs:L63 Gump SendGump access=Internal; Data/Scripts/Custom/BoatNavigationTotem/BoatNavigationTotam.cs:L197 Gump OnResponse access=Internal; Data/Scripts/Custom/BoatNavigationTotem/BoatNavigationTotam.cs:L219 Gump SendGump access=Internal; Data/Scripts/Custom/BoatNavigationTotem/BoatNavigationTotam.cs:L227 Gump SendGump access=Internal; Data/Scripts/Custom/BoatNavigationTotem/BoatNavigationTotam.cs:L300 Gump SendGump access=Internal; Data/Scripts/Custom/BoatNavigationTotem/BoatNavigationTotam.cs:L373 Gump SendGump access=Internal; SerializerExamples=Data/Scripts/Items/Boats/BaseBoat.cs:Server.Multis.BaseBoat version=3 serialize=L663 deserialize=L688 alignment=CountMatchNeedsTypeReview:UnknownWrites=8; Data/Scripts/Items/Boats/BaseBoatDeed.cs:Server.Multis.BaseBoatDeed version=0 serialize=L56 deserialize=L64 alignment=CountMatchNeedsTypeReview:UnknownWrites=2; Data/Scripts/Items/Boats/BaseDockedBoat.cs:Server.Multis.BaseDockedBoat version=1 serialize=L71 deserialize=L82 alignment=CountMismatch:Writes=3;Reads=4; Data/Scripts/Items/Boats/BoatStain.cs:Server.Items.BoatStain version=0 serialize=L85 deserialize=L91 alignment=AlignedByCountAndKnownTypes; Data/Scripts/Items/Boats/DockingLantern.cs:Server.Items.DockingLantern version=0 serialize=L74 deserialize=L81 alignment=AlignedByCountAndKnownTypes; Data/Scripts/Items/Boats/TillerMan.cs:Server.Items.TillerMan version=0 serialize=L174 deserialize=L183 alignment=CountMatchNeedsTypeReview:UnknownWrites=1; Data/Scripts/Items/Misc/Dyes/DyeTub.cs:Server.Items.DyeTub version=1 serialize=L63 deserialize=L74 alignment=AlignedByCountAndKnownTypes; Data/Scripts/Mobiles/Civilized/Vendors/DrunkenPirate.cs:Server.Mobiles.DrunkenPirate version=0 serialize=L99 deserialize=L106 alignment=AlignedByCountAndKnownTypes; Data/Scripts/Mobiles/Civilized/Vendors/Shipwright.cs:Server.Mobiles.Shipwright version=0 serialize=L188 deserialize=L195 alignment=AlignedByCountAndKnownTypes; ProjectTruth=Data/Scripts/Custom/BoatNavigationTotem/BoatNavigationTotam.cs=Keep; Data/Scripts/Custom/BoatNavigationTotem/BoatNavigationTotam.cs=Keep; Data/Scripts/Items/Boats/BaseBoat.cs=Keep; Data/Scripts/Items/Boats/BaseBoat.cs=Keep; Data/Scripts/Items/Boats/BaseBoatDeed.cs=Keep; Data/Scripts/Items/Boats/BaseBoatDeed.cs=Keep; Data/Scripts/Items/Boats/BaseDockedBoat.cs=Keep; Data/Scripts/Items/Boats/BaseDockedBoat.cs=Keep; Data/Scripts/Items/Boats/BoatStain.cs=Keep; Data/Scripts/Items/Boats/BoatStain.cs=Keep; Data/Scripts/Items/Boats/DockingLantern.cs=Keep; Data/Scripts/Items/Boats/DockingLantern.cs=Keep; Data/Scripts/Items/Boats/Gumps/ConfirmDryDockGump.cs=Keep; Data/Scripts/Items/Boats/Gumps/ConfirmDryDockGump.cs=Keep; Data/Scripts/Items/Boats/Gumps/TillerManGump.cs=Keep; Data/Scripts/Items/Boats/Gumps/TillerManGump.cs=Keep; Data/Scripts/Items/Boats/TillerMan.cs=Keep; Data/Scripts/Items/Boats/TillerMan.cs=Keep; Data/Scripts/Items/Misc/Dyes/DyeTub.cs=Keep; Data/Scripts/Items/Misc/Dyes/DyeTub.cs=Keep</t>
  </si>
  <si>
    <t>POST-BATCH-T docs source-trace review. Previous active row was PBN-0005/PBF-507. No source/project/XML/config/data behavior changed.</t>
  </si>
  <si>
    <t>RB-06769</t>
  </si>
  <si>
    <t>P10-F06769</t>
  </si>
  <si>
    <t>PBT-0130</t>
  </si>
  <si>
    <t>POST-BATCH-T docs source-trace review. Previous active row was PBN-0130/PBF-508. No source/project/XML/config/data behavior changed.</t>
  </si>
  <si>
    <t>RB-06770</t>
  </si>
  <si>
    <t>P10-F06770</t>
  </si>
  <si>
    <t>docs/wiki/Shoppes_Vendors.md</t>
  </si>
  <si>
    <t>PBF-509</t>
  </si>
  <si>
    <t>Documentation truth after POST-BATCH-F: SourceTracePresent=Yes; MissingSourceFiles=none; VerifiedSourceFiles=Data/Scripts/Trades/Shoppes/BaseShoppe.cs;Data/Scripts/Trades/Shoppes/Customers.cs;Data/Scripts/Trades/Shoppes/AlchemistShoppe.cs;Data/Scripts/Trades/Shoppes/BakerShoppe.cs;Data/Scripts/Trades/Shoppes/BlacksmithShoppe.cs;Data/Scripts/Trades/Shoppes/BowyerShoppe.cs;Data/Scripts/Trades/Shoppes/CarpentryShoppe.cs;Data/Scripts/Trades/Shoppes/CartographyShoppe.cs;Data/Scripts/Trades/Shoppes/HerbalistShoppe.cs;Data/Scripts/Trades/Shoppes/LibrarianShoppe.cs;Data/Scripts/Trades/Shoppes/MorticianShoppe.cs;Data/Scripts/Trades/Shoppes/TailorShoppe.cs;Data/Scripts/Trades/Shoppes/TinkerShoppe.cs;Data/Scripts/Trades/Shoppes/MerchantCrate.cs;Data/Scripts/Mobiles/Base/BaseVendor.cs;Data/Scripts/Mobiles/Base/StoreSalesList.cs;Data/Scripts/Scripts.csproj</t>
  </si>
  <si>
    <t>RB-06771</t>
  </si>
  <si>
    <t>P10-F06771</t>
  </si>
  <si>
    <t>docs/wiki/Skill_Lists.md</t>
  </si>
  <si>
    <t>PBT-0061</t>
  </si>
  <si>
    <t>Queue SourceEvidence=POST-BATCH-N lane=POST-BATCH-N-DOCS-SOURCE-TRACE; FileProofStatus=CurrentPathConfirmed; Documentation truth after POST-BATCH-F: SourceTracePresent=No; MissingClaims=Missing Source Trace section.; StaleClaims=; Canonical=Canonical; Target=; SourceFiles=Data/Scripts/System/Commands/Player/SkillListing.cs; Data/Scripts/System/Help/Gumps/HelpGump.cs; Data/Scripts/System/Commands/Player/QuickBar.cs; Data/Scripts/Mobiles/Base/PlayerMobile.cs; Data/Scripts/Mobiles/Base/BaseCreature.cs; Data/Scripts/Scripts.csproj; PathStatus=Data/Scripts/System/Commands/Player/SkillListing.cs=CurrentFile; Data/Scripts/System/Help/Gumps/HelpGump.cs=CurrentFile; Data/Scripts/System/Commands/Player/QuickBar.cs=CurrentFile; Data/Scripts/Mobiles/Base/PlayerMobile.cs=CurrentFile; Data/Scripts/Mobiles/Base/BaseCreature.cs=CurrentFile; Data/Scripts/Scripts.csproj=CurrentFile; HookExamples=Data/Scripts/Mobiles/Base/BaseCreature.cs:L487 Timer CustomTimerSubclass access=GlobalOrInternal; Data/Scripts/Mobiles/Base/BaseCreature.cs:L914 Timer Timer.DelayCall access=GlobalOrInternal; Data/Scripts/Mobiles/Base/BaseCreature.cs:L950 Timer Timer.DelayCall access=GlobalOrInternal; Data/Scripts/Mobiles/Base/BaseCreature.cs:L5879 Timer Timer.DelayCall access=GlobalOrInternal; Data/Scripts/Mobiles/Base/BaseCreature.cs:L8605 Speech OnSpeech access=GlobalOrInternal; Data/Scripts/Mobiles/Base/BaseCreature.cs:L8609 Speech OnSpeech access=GlobalOrInternal; Data/Scripts/Mobiles/Base/BaseCreature.cs:L8612 Speech OnSpeech access=GlobalOrInternal; Data/Scripts/Mobiles/Base/BaseCreature.cs:L8790 Movement OnMovement access=GlobalOrInternal; Data/Scripts/Mobiles/Base/BaseCreature.cs:L8792 Movement OnMovement access=GlobalOrInternal; Data/Scripts/Mobiles/Base/BaseCreature.cs:L8800 Movement OnMovement access=GlobalOrInternal; Data/Scripts/Mobiles/Base/BaseCreature.cs:L11300 Timer Timer.DelayCall access=GlobalOrInternal; Data/Scripts/Mobiles/Base/BaseCreature.cs:L12194 Timer CustomTimerSubclass access=GlobalOrInternal; SerializerExamples=Data/Scripts/Mobiles/Base/BaseCreature.cs:Server.Mobiles.BaseCreature version=19 serialize=L6507 deserialize=L6665 alignment=TypeMismatch:#30:Write=bool/Read=Double;#32:Write=DeltaTime/Read=Bool;#33:Write=int/Read=DeltaTime;#37:Write=int/Read=Mobile;#53:Write=bool/Read=StrongMobileList;#55:Write=DateTime/Read=Bool;#57:Write=bool/Read=DateTime;#61:Write=bool/Read=StrongMobileList;#62:Write=int/Read=Bool; Data/Scripts/Mobiles/Base/PlayerMobile.cs:Server.Mobiles.PlayerMobile version=37 serialize=L5042 deserialize=L4577 alignment=CountMismatch:Writes=120;Reads=119; ProjectTruth=Data/Scripts/Mobiles/Base/BaseCreature.cs=Keep; Data/Scripts/Mobiles/Base/BaseCreature.cs=Keep; Data/Scripts/Mobiles/Base/PlayerMobile.cs=Keep; Data/Scripts/Mobiles/Base/PlayerMobile.cs=Keep; Data/Scripts/System/Commands/Player/QuickBar.cs=Keep; Data/Scripts/System/Commands/Player/QuickBar.cs=Keep; Data/Scripts/System/Commands/Player/SkillListing.cs=Keep; Data/Scripts/System/Commands/Player/SkillListing.cs=Keep; Data/Scripts/System/Help/Gumps/HelpGump.cs=Keep; Data/Scripts/System/Help/Gumps/HelpGump.cs=Keep</t>
  </si>
  <si>
    <t>POST-BATCH-T docs source-trace review. Previous active row was PBN-0061/PBF-510. No source/project/XML/config/data behavior changed.</t>
  </si>
  <si>
    <t>RB-06772</t>
  </si>
  <si>
    <t>P10-F06772</t>
  </si>
  <si>
    <t>docs/wiki/Skill_Scripts.md</t>
  </si>
  <si>
    <t>PBT-0107</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</si>
  <si>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SourceFiles=Data/System/Source/Skills.cs; Data/Scripts/System/Skills/; Data/Scripts/System/Skills/SkillCheck.cs; Data/Scripts/System/Skills/Anatomy.cs; Data/Scripts/System/Skills/ArmsLore.cs; Data/Scripts/System/Skills/Begging.cs; Data/Scripts/System/Skills/Discordance.cs; Data/Scripts/System/Skills/Druidism.cs; Data/Scripts/System/Skills/Forensics.cs; Data/Scripts/System/Skills/Hiding.cs; Data/Scripts/System/Skills/Inscribe.cs; Data/Scripts/System/Skills/ItemIdentification.cs; Data/Scripts/System/Skills/Meditation.cs; Data/Scripts/System/Skills/Peacemaking.cs; Data/Scripts/System/Skills/Poisoning.cs; Data/Scripts/System/Skills/Provocation.cs; Data/Scripts/System/Skills/Psychology.cs; Data/Scripts/System/Skills/RemoveTrap.cs; Data/Scripts/System/Skills/Searching.cs; Data/Scripts/System/Skills/Snooping.cs; Data/Scripts/System/Skills/Spiritualism.cs; Data/Scripts/System/Skills/Stealing.cs; Data/Scripts/System/Skills/Stealth.cs; Data/Scripts/System/Skills/Taming.cs; Data/Scripts/System/Skills/Tasting.cs; Data/Scripts/System/Skills/Tracking.cs; Data/Scripts/System/Skills/Weapon Abilities/; PathStatus=Data/System/Source/Skills.cs=CurrentFile; Data/Scripts/System/Skills/=CurrentDirectory; Data/Scripts/System/Skills/SkillCheck.cs=CurrentFile; Data/Scripts/System/Skills/Anatomy.cs=CurrentFile; Data/Scripts/System/Skills/ArmsLore.cs=CurrentFile; Data/Scripts/System/Skills/Begging.cs=CurrentFile; Data/Scripts/System/Skills/Discordance.cs=CurrentFile; Data/Scripts/System/Skills/Druidism.cs=CurrentFile; Data/Scripts/System/Skills/Forensics.cs=CurrentFile; Data/Scripts/System/Skills/Hiding.cs=CurrentFile; Data/Scripts/System/Skills/Inscribe.cs=CurrentFile; Data/Scripts/System/Skills/ItemIdentification.cs=CurrentFile; Data/Scripts/System/Skills/Meditation.cs=CurrentFile; Data/Scripts/System/Skills/Peacemaking.cs=CurrentFile; Data/Scripts/System/Skills/Poisoning.cs=CurrentFile; Data/Scripts/System/Skills/Provocation.cs=CurrentFile; Data/Scripts/System/Skills/Psychology.cs=CurrentFile; Data/Scripts/System/Skills/RemoveTrap.cs=CurrentFile; Data/Scripts/System/Skills/Searching.cs=CurrentFile; Data/Scripts/System/Skills/Snooping.cs=CurrentFile; Data/Scripts/System/Skills/Spiritualism.cs=CurrentFile; Data/Scripts/System/Skills/Stealing.cs=CurrentFile; Data/Scripts/System/Skills/Stealth.cs=CurrentFile; Data/Scripts/System/Skills/Taming.cs=CurrentFile; Data/Scripts/System/Skills/Tasting.cs=CurrentFile; Data/Scripts/System/Skills/Tracking.cs=CurrentFile; Data/Scripts/System/Skills/Weapon Abilities/=CurrentDirectory; HookExamples=Data/Scripts/System/Skills/Anatomy.cs:L11 Initialize Initialize access=GlobalOrInternal; Data/Scripts/System/Skills/ArmsLore.cs:L15 Initialize Initialize access=GlobalOrInternal; Data/Scripts/System/Skills/Begging.cs:L13 Initialize Initialize access=GlobalOrInternal; Data/Scripts/System/Skills/Begging.cs:L433 Timer CustomTimerSubclass access=GlobalOrInternal; Data/Scripts/System/Skills/Discordance.cs:L11 Initialize Initialize access=GlobalOrInternal; Data/Scripts/System/Skills/Druidism.cs:L16 Initialize Initialize access=GlobalOrInternal; Data/Scripts/System/Skills/Druidism.cs:L92 Gump SendGump access=Internal; Data/Scripts/System/Skills/Druidism.cs:L113 Gump SendGump access=Internal; Data/Scripts/System/Skills/Druidism.cs:L323 Gump OnResponse access=Internal; Data/Scripts/System/Skills/Forensics.cs:L13 Initialize Initialize access=GlobalOrInternal; Data/Scripts/System/Skills/Hiding.cs:L20 Initialize Initialize access=GlobalOrInternal; Data/Scripts/System/Skills/Inscribe.cs:L11 Initialize Initialize access=GlobalOrInternal; SerializerExamples=Data/Scripts/System/Skills/Weapon Abilities/AbilityBook.cs:Server.Items.WeaponAbilityBook version=0 serialize=L687 deserialize=L693 alignment=AlignedByCountAndKnownTypes; Data/System/Source/Skills.cs:Server.Skill version=Unknown serialize=L492 deserialize=L alignment=CountMismatch:Writes=5;Reads=0; Data/System/Source/Skills.cs:Server.Skills version=3 serialize=L1573 deserialize=L alignment=CountMismatch:Writes=3;Reads=0; ProjectTruth=Data/Scripts/System/Skills/Anatomy.cs=Keep; Data/Scripts/System/Skills/Anatomy.cs=Keep; Data/Scripts/System/Skills/ArmsLore.cs=Keep; Data/Scripts/System/Skills/ArmsLore.cs=Keep; Data/Scripts/System/Skills/Begging.cs=Keep; Data/Scripts/System/Skills/Begging.cs=Keep; Data/Scripts/System/Skills/Discordance.cs=Keep; Data/Scripts/System/Skills/Discordance.cs=Keep; Data/Scripts/System/Skills/Druidism.cs=Keep; Data/Scripts/System/Skills/Druidism.cs=Keep; Data/Scripts/System/Skills/Forensics.cs=Keep; Data/Scripts/System/Skills/Forensics.cs=Keep; Data/Scripts/System/Skills/Hiding.cs=Keep; Data/Scripts/System/Skills/Hiding.cs=Keep; Data/Scripts/System/Skills/Inscribe.cs=Keep; Data/Scripts/System/Skills/Inscribe.cs=Keep; Data/Scripts/System/Skills/ItemIdentification.cs=Keep; Data/Scripts/System/Skills/ItemIdentification.cs=Keep; Data/Scripts/System/Skills/Meditation.cs=Keep; Data/Scripts/System/Skills/Meditation.cs=Keep</t>
  </si>
  <si>
    <t>POST-BATCH-T docs source-trace review. Previous active row was PBN-0107/PBF-511. No source/project/XML/config/data behavior changed.</t>
  </si>
  <si>
    <t>RB-06773</t>
  </si>
  <si>
    <t>P10-F06773</t>
  </si>
  <si>
    <t>docs/wiki/skill-stone.md</t>
  </si>
  <si>
    <t>PBT-0108</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</si>
  <si>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SourceFiles=Data/Scripts/Custom/Skill Stone/SkillStone.cs; Data/Scripts/Scripts.csproj; PathStatus=Data/Scripts/Custom/Skill Stone/SkillStone.cs=CurrentFile; Data/Scripts/Scripts.csproj=CurrentFile; HookExamples=Data/Scripts/Custom/Skill Stone/SkillStone.cs:L162 Gump SendGump access=Internal; Data/Scripts/Custom/Skill Stone/SkillStone.cs:L369 Gump OnResponse access=Internal; Data/Scripts/Custom/Skill Stone/SkillStone.cs:L517 Gump SendGump access=Internal; SerializerExamples=Data/Scripts/Custom/Skill Stone/SkillStone.cs:Server.Items.SkillStone version=0 serialize=L168 deserialize=L183 alignment=TypeMismatch:#3:Write=PlayerMobile/Read=Mobile; ProjectTruth=Data/Scripts/Custom/Skill Stone/SkillStone.cs=Keep; Data/Scripts/Custom/Skill Stone/SkillStone.cs=Keep</t>
  </si>
  <si>
    <t>POST-BATCH-T docs source-trace review. Previous active row was PBN-0108/PBF-512. No source/project/XML/config/data behavior changed.</t>
  </si>
  <si>
    <t>RB-06774</t>
  </si>
  <si>
    <t>P10-F06774</t>
  </si>
  <si>
    <t>docs/wiki/Staff_Toolbar.md</t>
  </si>
  <si>
    <t>PBT-0044</t>
  </si>
  <si>
    <t>Queue SourceEvidence=POST-BATCH-N lane=POST-BATCH-N-DOCS-SOURCE-TRACE; FileProofStatus=CurrentPathConfirmed; Documentation truth after POST-BATCH-F: SourceTracePresent=No; MissingClaims=Missing Source Trace section.; StaleClaims=Contains Needs Rework/TODO/stub markers that require source-backed follow-up.; Canonical=Canonical; Target=; SourceFiles=Data/Scripts/Custom/ThirdParty/Staff Toolbar [2.0]/Toolbar.cs; Data/Scripts/Scripts.csproj; PathStatus=Data/Scripts/Custom/ThirdParty/Staff Toolbar [2.0]/Toolbar.cs=CurrentFile; Data/Scripts/Scripts.csproj=CurrentFile; HookExamples=Data/Scripts/Custom/ThirdParty/Staff Toolbar [2.0]/Toolbar.cs:L28 Initialize Initialize access=GlobalOrInternal; Data/Scripts/Custom/ThirdParty/Staff Toolbar [2.0]/Toolbar.cs:L38 Event EventSink access=GlobalOrInternal; Data/Scripts/Custom/ThirdParty/Staff Toolbar [2.0]/Toolbar.cs:L44 Login OnLogin access=Internal; Data/Scripts/Custom/ThirdParty/Staff Toolbar [2.0]/Toolbar.cs:L71 Gump SendGump access=Internal; Data/Scripts/Custom/ThirdParty/Staff Toolbar [2.0]/Toolbar.cs:L680 Gump OnResponse access=Internal; Data/Scripts/Custom/ThirdParty/Staff Toolbar [2.0]/Toolbar.cs:L687 Gump SendGump access=Internal; Data/Scripts/Custom/ThirdParty/Staff Toolbar [2.0]/Toolbar.cs:L708 Gump SendGump access=Internal; Data/Scripts/Custom/ThirdParty/Staff Toolbar [2.0]/Toolbar.cs:L710 Gump SendGump access=Internal; Data/Scripts/Custom/ThirdParty/Staff Toolbar [2.0]/Toolbar.cs:L932 Gump OnResponse access=Internal; Data/Scripts/Custom/ThirdParty/Staff Toolbar [2.0]/Toolbar.cs:L950 Gump SendGump access=Internal; Data/Scripts/Custom/ThirdParty/Staff Toolbar [2.0]/Toolbar.cs:L964 Gump SendGump access=Internal; Data/Scripts/Custom/ThirdParty/Staff Toolbar [2.0]/Toolbar.cs:L978 Gump SendGump access=Internal; SerializerExamples=Data/Scripts/Custom/ThirdParty/Staff Toolbar [2.0]/Toolbar.cs:Joeku.ToolbarInfos version=Unknown serialize=L129 deserialize=L167 alignment=CountMismatch:Writes=15;Reads=14; ProjectTruth=Data/Scripts/Custom/ThirdParty/Staff Toolbar [2.0]/Toolbar.cs=Keep; Data/Scripts/Custom/ThirdParty/Staff Toolbar [2.0]/Toolbar.cs=Keep</t>
  </si>
  <si>
    <t>POST-BATCH-T docs source-trace review. Previous active row was PBN-0044/PBF-513. No source/project/XML/config/data behavior changed.</t>
  </si>
  <si>
    <t>RB-06775</t>
  </si>
  <si>
    <t>P10-F06775</t>
  </si>
  <si>
    <t>PBT-0072</t>
  </si>
  <si>
    <t>POST-BATCH-T docs source-trace review. Previous active row was PBN-0072/PBF-514. No source/project/XML/config/data behavior changed.</t>
  </si>
  <si>
    <t>RB-06776</t>
  </si>
  <si>
    <t>P10-F06776</t>
  </si>
  <si>
    <t>docs/wiki/Standard_Crafting.md</t>
  </si>
  <si>
    <t>PBF-515</t>
  </si>
  <si>
    <t>Documentation truth after POST-BATCH-F: SourceTracePresent=Yes; MissingSourceFiles=none; VerifiedSourceFiles=Data/Scripts/Trades/Crafting/DefAlchemy.cs;Data/Scripts/Trades/Crafting/DefBlacksmithy.cs;Data/Scripts/Trades/Crafting/DefBowFletching.cs;Data/Scripts/Trades/Crafting/DefCarpentry.cs;Data/Scripts/Trades/Crafting/DefCartography.cs;Data/Scripts/Trades/Crafting/DefCooking.cs;Data/Scripts/Trades/Crafting/DefGlassblowing.cs;Data/Scripts/Trades/Crafting/DefInscription.cs;Data/Scripts/Trades/Crafting/DefMasonry.cs;Data/Scripts/Trades/Crafting/DefTailoring.cs;Data/Scripts/Trades/Crafting/DefTinkering.cs;Data/Scripts/Items/Trades/Tools/BaseTool.cs;Data/Scripts/Items/Trades/Tools/MortarPestle.cs;Data/Scripts/Items/Trades/Tools/SmithHammer.cs;Data/Scripts/Items/Trades/Tools/FletcherTools.cs;Data/Scripts/Items/Trades/Tools/Saw.cs;Data/Scripts/Items/Trades/Tools/SewingKit.cs;Data/Scripts/Items/Trades/Tools/TinkerTools.cs;Data/Scripts/Items/Trades/Tools/ScribesPen.cs;Data/Scripts/Items/Trades/Tools/MapmakersPen.cs;Data/Scripts/Items/Trades/Tools/Skillet.cs;Data/Scripts/Items/Trades/Tools/Blowpipe.cs;Data/Scripts/Items/Trades/Tools/MalletAndChisel.cs;Data/Scripts/Trades/Runics/BaseRunicHammer.cs;Data/Scripts/Trades/Runics/BaseRunicSewingKit.cs;Data/Scripts/Trades/Runics/BaseRunicSaw.cs;Data/Scripts/Trades/Runics/BaseRunicFletcherTools.cs;Data/Scripts/Trades/Runics/BaseRunicTinkerTools.cs</t>
  </si>
  <si>
    <t>RB-06777</t>
  </si>
  <si>
    <t>P10-F06777</t>
  </si>
  <si>
    <t>PBF-516</t>
  </si>
  <si>
    <t>RB-06778</t>
  </si>
  <si>
    <t>P10-F06778</t>
  </si>
  <si>
    <t>docs/wiki/Static_Gump_Tool.md</t>
  </si>
  <si>
    <t>PBT-0073</t>
  </si>
  <si>
    <t>Queue SourceEvidence=POST-BATCH-N lane=POST-BATCH-N-DOCS-SOURCE-TRACE; FileProofStatus=CurrentPathConfirmed; Documentation truth after POST-BATCH-F: SourceTracePresent=No; MissingClaims=Missing Source Trace section.; StaleClaims=; Canonical=Canonical; Target=; SourceFiles=Data/Scripts/Custom/StaffTools/StaticGumpTool/; PathStatus=Data/Scripts/Custom/StaffTools/StaticGumpTool/=CurrentDirectory; HookExamples=Data/Scripts/Custom/StaffTools/StaticGumpTool/Side Gumps/AddAnimation.cs:L16 Initialize Initialize access=GlobalOrInternal; Data/Scripts/Custom/StaffTools/StaticGumpTool/Side Gumps/AddAnimation.cs:L18 Command CommandSystem.Register access=Unknown; Data/Scripts/Custom/StaffTools/StaticGumpTool/Side Gumps/AddAnimation.cs:L30 Gump SendGump access=Internal; Data/Scripts/Custom/StaffTools/StaticGumpTool/Side Gumps/AddAnimation.cs:L736 Gump OnResponse access=Internal; Data/Scripts/Custom/StaffTools/StaticGumpTool/Side Gumps/AddAnimation.cs:L767 Gump SendGump access=Internal; Data/Scripts/Custom/StaffTools/StaticGumpTool/Side Gumps/AddArch.cs:L16 Initialize Initialize access=GlobalOrInternal; Data/Scripts/Custom/StaffTools/StaticGumpTool/Side Gumps/AddArch.cs:L18 Command CommandSystem.Register access=Unknown; Data/Scripts/Custom/StaffTools/StaticGumpTool/Side Gumps/AddArch.cs:L30 Gump SendGump access=Internal; Data/Scripts/Custom/StaffTools/StaticGumpTool/Side Gumps/AddArch.cs:L402 Gump OnResponse access=Internal; Data/Scripts/Custom/StaffTools/StaticGumpTool/Side Gumps/AddArch.cs:L433 Gump SendGump access=Internal; Data/Scripts/Custom/StaffTools/StaticGumpTool/Side Gumps/AddCooking.cs:L16 Initialize Initialize access=GlobalOrInternal; Data/Scripts/Custom/StaffTools/StaticGumpTool/Side Gumps/AddCooking.cs:L18 Command CommandSystem.Register access=Unknown; SerializerExamples=; ProjectTruth=Data/Scripts/Custom/StaffTools/StaticGumpTool/Side Gumps/AddAnimation.cs=Keep; Data/Scripts/Custom/StaffTools/StaticGumpTool/Side Gumps/AddAnimation.cs=Keep; Data/Scripts/Custom/StaffTools/StaticGumpTool/Side Gumps/AddArch.cs=Keep; Data/Scripts/Custom/StaffTools/StaticGumpTool/Side Gumps/AddArch.cs=Keep; Data/Scripts/Custom/StaffTools/StaticGumpTool/Side Gumps/AddCooking.cs=Keep; Data/Scripts/Custom/StaffTools/StaticGumpTool/Side Gumps/AddCooking.cs=Keep; Data/Scripts/Custom/StaffTools/StaticGumpTool/Side Gumps/AddCustom.cs=Keep; Data/Scripts/Custom/StaffTools/StaticGumpTool/Side Gumps/AddCustom.cs=Keep; Data/Scripts/Custom/StaffTools/StaticGumpTool/Side Gumps/AddDeco.cs=Keep; Data/Scripts/Custom/StaffTools/StaticGumpTool/Side Gumps/AddDeco.cs=Keep; Data/Scripts/Custom/StaffTools/StaticGumpTool/Side Gumps/AddDungeon.cs=Keep; Data/Scripts/Custom/StaffTools/StaticGumpTool/Side Gumps/AddDungeon.cs=Keep; Data/Scripts/Custom/StaffTools/StaticGumpTool/Side Gumps/addfence.cs=Keep; Data/Scripts/Custom/StaffTools/StaticGumpTool/Side Gumps/addfence.cs=Keep; Data/Scripts/Custom/StaffTools/StaticGumpTool/Side Gumps/addfloor.cs=Keep; Data/Scripts/Custom/StaffTools/StaticGumpTool/Side Gumps/addfloor.cs=Keep; Data/Scripts/Custom/StaffTools/StaticGumpTool/Side Gumps/AddFurniture.cs=Keep; Data/Scripts/Custom/StaffTools/StaticGumpTool/Side Gumps/AddFurniture.cs=Keep; Data/Scripts/Custom/StaffTools/StaticGumpTool/Side Gumps/AddGear.cs=Keep; Data/Scripts/Custom/StaffTools/StaticGumpTool/Side Gumps/AddGear.cs=Keep</t>
  </si>
  <si>
    <t>POST-BATCH-T docs source-trace review. Previous active row was PBN-0073/PBF-517. No source/project/XML/config/data behavior changed.</t>
  </si>
  <si>
    <t>RB-06779</t>
  </si>
  <si>
    <t>P10-F06779</t>
  </si>
  <si>
    <t>docs/wiki/Stonecrafting.md</t>
  </si>
  <si>
    <t>PBT-0016</t>
  </si>
  <si>
    <t>Queue SourceEvidence=POST-BATCH-N lane=POST-BATCH-N-DOCS-SOURCE-TRACE; FileProofStatus=CurrentPathConfirmed; Documentation truth after POST-BATCH-F: SourceTracePresent=No; MissingClaims=Missing Source Trace section.; StaleClaims=; Canonical=Canonical; Target=; SourceFiles=Data/Scripts/Trades/Crafting/DefMasonry.cs; Data/Scripts/Items/Trades/Tools/MalletAndChisel.cs; Data/Scripts/Items/Trades/Specialized/MasonryBook.cs; Data/Scripts/Items/Trades/Specialized/StoneMiningBook.cs; Data/Scripts/Items/Trades/Resources/Masonry/Granite.cs; Data/Scripts/Mobiles/Civilized/Vendors/StoneCrafter.cs; Data/Scripts/Trades/Stone/BaseStatue.cs; Data/Scripts/Trades/Stone/BaseStatueDeed.cs; Data/Scripts/Trades/Stone/Assemblies.cs; Data/Scripts/Trades/Stone/Furniture.cs; Data/Scripts/Trades/Stone/Gravestones.cs; Data/Scripts/Trades/Stone/Statues.cs; Data/Scripts/Scripts.csproj; PathStatus=Data/Scripts/Trades/Crafting/DefMasonry.cs=CurrentFile; Data/Scripts/Items/Trades/Tools/MalletAndChisel.cs=CurrentFile; Data/Scripts/Items/Trades/Specialized/MasonryBook.cs=CurrentFile; Data/Scripts/Items/Trades/Specialized/StoneMiningBook.cs=CurrentFile; Data/Scripts/Items/Trades/Resources/Masonry/Granite.cs=CurrentFile; Data/Scripts/Mobiles/Civilized/Vendors/StoneCrafter.cs=CurrentFile; Data/Scripts/Trades/Stone/BaseStatue.cs=CurrentFile; Data/Scripts/Trades/Stone/BaseStatueDeed.cs=CurrentFile; Data/Scripts/Trades/Stone/Assemblies.cs=CurrentFile; Data/Scripts/Trades/Stone/Furniture.cs=CurrentFile; Data/Scripts/Trades/Stone/Gravestones.cs=CurrentFile; Data/Scripts/Trades/Stone/Statues.cs=CurrentFile; Data/Scripts/Scripts.csproj=CurrentFile; HookExamples=Data/Scripts/Mobiles/Civilized/Vendors/StoneCrafter.cs:L86 Gump SendGump access=Internal; Data/Scripts/Trades/Crafting/DefMasonry.cs:L77 Timer CustomTimerSubclass access=GlobalOrInternal; Data/Scripts/Trades/Stone/BaseStatue.cs:L137 Gump OnResponse access=Internal; SerializerExamples=Data/Scripts/Items/Trades/Resources/Masonry/Granite.cs:Server.Items.AgapiteGranite version=0 serialize=L245 deserialize=L252 alignment=AlignedByCountAndKnownTypes; Data/Scripts/Items/Trades/Resources/Masonry/Granite.cs:Server.Items.BaseGranite version=1 serialize=L22 deserialize=L29 alignment=AlignedByCountAndKnownTypes; Data/Scripts/Items/Trades/Resources/Masonry/Granite.cs:Server.Items.BronzeGranite version=0 serialize=L187 deserialize=L194 alignment=AlignedByCountAndKnownTypes; Data/Scripts/Items/Trades/Resources/Masonry/Granite.cs:Server.Items.CopperGranite version=0 serialize=L158 deserialize=L165 alignment=AlignedByCountAndKnownTypes; Data/Scripts/Items/Trades/Resources/Masonry/Granite.cs:Server.Items.DullCopperGranite version=0 serialize=L100 deserialize=L107 alignment=AlignedByCountAndKnownTypes; Data/Scripts/Items/Trades/Resources/Masonry/Granite.cs:Server.Items.DwarvenGranite version=0 serialize=L390 deserialize=L397 alignment=AlignedByCountAndKnownTypes; Data/Scripts/Items/Trades/Resources/Masonry/Granite.cs:Server.Items.GoldGranite version=0 serialize=L216 deserialize=L223 alignment=AlignedByCountAndKnownTypes; Data/Scripts/Items/Trades/Resources/Masonry/Granite.cs:Server.Items.Granite version=0 serialize=L71 deserialize=L78 alignment=AlignedByCountAndKnownTypes; Data/Scripts/Items/Trades/Resources/Masonry/Granite.cs:Server.Items.MithrilGranite version=0 serialize=L361 deserialize=L368 alignment=AlignedByCountAndKnownTypes; Data/Scripts/Items/Trades/Resources/Masonry/Granite.cs:Server.Items.NepturiteGranite version=0 serialize=L443 deserialize=L450 alignment=AlignedByCountAndKnownTypes; Data/Scripts/Items/Trades/Resources/Masonry/Granite.cs:Server.Items.ObsidianGranite version=0 serialize=L332 deserialize=L339 alignment=AlignedByCountAndKnownTypes; Data/Scripts/Items/Trades/Resources/Masonry/Granite.cs:Server.Items.ShadowIronGranite version=0 serialize=L129 deserialize=L136 alignment=AlignedByCountAndKnownTypes; ProjectTruth=Data/Scripts/Items/Trades/Resources/Masonry/Granite.cs=Keep; Data/Scripts/Items/Trades/Resources/Masonry/Granite.cs=Keep; Data/Scripts/Items/Trades/Specialized/MasonryBook.cs=Keep; Data/Scripts/Items/Trades/Specialized/MasonryBook.cs=Keep; Data/Scripts/Items/Trades/Specialized/StoneMiningBook.cs=Keep; Data/Scripts/Items/Trades/Specialized/StoneMiningBook.cs=Keep; Data/Scripts/Items/Trades/Tools/MalletAndChisel.cs=Keep; Data/Scripts/Items/Trades/Tools/MalletAndChisel.cs=Keep; Data/Scripts/Mobiles/Civilized/Vendors/StoneCrafter.cs=Keep; Data/Scripts/Mobiles/Civilized/Vendors/StoneCrafter.cs=Keep; Data/Scripts/Trades/Crafting/DefMasonry.cs=Keep; Data/Scripts/Trades/Crafting/DefMasonry.cs=Keep; Data/Scripts/Trades/Stone/Assemblies.cs=Keep; Data/Scripts/Trades/Stone/Assemblies.cs=Keep; Data/Scripts/Trades/Stone/BaseStatue.cs=Keep; Data/Scripts/Trades/Stone/BaseStatue.cs=Keep; Data/Scripts/Trades/Stone/BaseStatueDeed.cs=Keep; Data/Scripts/Trades/Stone/BaseStatueDeed.cs=Keep; Data/Scripts/Trades/Stone/Furniture.cs=Keep; Data/Scripts/Trades/Stone/Furniture.cs=Keep</t>
  </si>
  <si>
    <t>POST-BATCH-T docs source-trace review. Previous active row was PBN-0016/PBF-518. No source/project/XML/config/data behavior changed.</t>
  </si>
  <si>
    <t>RB-06780</t>
  </si>
  <si>
    <t>P10-F06780</t>
  </si>
  <si>
    <t>PBT-0024</t>
  </si>
  <si>
    <t>POST-BATCH-T docs source-trace review. Previous active row was PBN-0024/PBF-519. No source/project/XML/config/data behavior changed.</t>
  </si>
  <si>
    <t>RB-06781</t>
  </si>
  <si>
    <t>P10-F06781</t>
  </si>
  <si>
    <t>PBT-0131</t>
  </si>
  <si>
    <t>POST-BATCH-T docs source-trace review. Previous active row was PBN-0131/PBF-520. No source/project/XML/config/data behavior changed.</t>
  </si>
  <si>
    <t>RB-06782</t>
  </si>
  <si>
    <t>P10-F06782</t>
  </si>
  <si>
    <t>docs/wiki/SystemAudit.md</t>
  </si>
  <si>
    <t>PBT-0109</t>
  </si>
  <si>
    <t>Reviewed unknown/unindexed audit-style page and left it unchanged; source-trace disposition is recorded in audit outputs.</t>
  </si>
  <si>
    <t>Queue SourceEvidence=POST-BATCH-N lane=POST-BATCH-N-DOCS-SOURCE-TRACE; FileProofStatus=CurrentPathConfirmed; Documentation truth after POST-BATCH-F still reports legacy table missing-source parser artifact: Data/Scripts/Custom/BoatNavigationTotem/BoatNavigationTotam.cs) | Code-Verified 2026-05-06; Needs Rework | Low | Command-opened;Data/Scripts/Custom/Player Range Sensitive Mod/setdeactivation.cs) | Code-Verified 2026-05-06; Needs Rework | Low | Runtime AI deactivation delay for player-range-sensitive creatures. [Documentation](wiki/player-range-sensitive-mod.md). Needs C# rework;Data/Scripts/Custom/Access Level Stone [2.0]/AccessLevelStone.cs) | Code-Verified 2026-05-04; Needs Rework | Low | Blessed staff item that toggles its owner between stored staff access and;Data/Scripts/Custom/NPC Control/CloneCommands.cs) | Code-Verified 2026-05-06 | Medium | Counselor-level clone/control and helper staff commands. [Documentation](wiki/NPC_Control_Commands.md). Reworked 2026-05-06: retired unsupported;Data/Scripts/Custom/ClearDeckCommand/ClearDeckCommand.cs) | Code-Verified 2026-05-06; Needs Rework | Low | Player command that deletes NPC corpses and empty player corpses from the boat the caller is standing on. [Documentation](wiki/Clear_Deck_Command.md). Needs C# rework;Data/Scripts/Custom/Character Swap/CharacterSwap.cs) | Code-Verified 2026-05-06; Needs Rework | Low | Administrator;Data/Scripts/Custom/RandomEncounters/EncounterEngine.cs) | Code-Verified 2026-05-05; Needs Rework | High | Dynamic world encounter spawns. [Documentation](wiki/Random_Encounter_Engine.md). Needs C# rework;Data/Scripts/Custom/Invasion System/Sosaria) | Code-Verified 2026-05-05; Needs Rework | High | Multi-map invasion gump with per-city scripted spawners and stone-based cleanup. [Documentation](wiki/Invasion_System.md). Needs C# rework: the Lodor Nu'Jelm button opens the Sosaria gump, every Underworld start script spawns on;Data/Scripts/Custom/XMLSpawner/BaseXmlSpawner.cs) | Code-Verified 2026-05-06; Needs Rework | High | XML spawner, attachment, packet-hook, and quest helper package. [Documentation](wiki/XML_Spawner_Enhancements.md). Needs C# rework;Data/Scripts/Custom/MonsterNest/MonsterNest.cs) | Documented 2026-05-07 | Medium | Item-driven spawner with proxy combat;Data/Scripts/Custom/Government System/PlayerGovernmentSystem.cs) | Code-Verified 2026-05-06; Needs Rework | High | Player city founding, elections, taxes, civic structures, and region rules. [Documentation](wiki/Government_System.md). Needs C# rework;Data/Scripts/Custom/OmniAI/OmniAI Core.cs) | Code-Verified 2026-05-06; Needs Rework | High | Modular combat AI with module-gated Bushido, Knightship, Magery, Necromancy, and Ninjitsu actions. [Documentation](wiki/OmniAI.md). Needs C# rework;Data/Scripts/Custom/Vhaerun's CRL Homestead System [2.0]/) | Code-Verified 2026-05-06; Needs Rework | High | Agriculture, craft menus, wine, beehive, and milk/cheese bundle. [Documentation](wiki/Homestead_System.md). Needs C# rework: many crop classes open;Data/Scripts/Custom/CloneOfflinePlayerCharacters/CloneOfflinePlayerCharacters.cs) | Documented 2026-05-07; Needs Rework | Medium | Event-driven logged-out player clone system with hireable;Data/Scripts/Custom/Champions/Mobiles/Champs-UO/Barracoon.cs) | Code-Verified 2026-05-06; Needs Rework | High | Custom champion boss encounters. [Documentation](wiki/Champion_Spawns.md). Needs C# rework;Data/Scripts/Custom/LOTR - The One Ring/TheOneRing.cs) | Documented 2026-05-07; Needs Rework | Medium | Cursed equip-triggered artifact ring with direct hit loss, stealth, charge use, and duplicated ringwraith spawn rolls. [Documentation](wiki/The_One_Ring.md). Needs C# rework;Data/Scripts/Trades/Apiculture/BeeHiveAddon.cs) | Documented 2026-05-07; Needs Rework | Medium | World-save beehive growth, potion care, honey/raw wax harvest, wax rendering, and Cooking-based wax crafting. [Documentation](wiki/Apiculture_Beekeeping.md). Needs C# rework;Data/Scripts/Trades/Core/Gumps/CraftGump.cs) | Documented 2026-05-07; Needs Rework | High | Shared RunUO craft catalog, per-Mobile context, gumps, resource checks, maker's marks, repair/resmelt/enhance targets, and recipe commands. [Documentation](wiki/Crafting_Core.md). Needs C# rework: stale context indices can throw in;Data/Scripts/Trades/Crafting/DefBlacksmithy.cs) | Documented 2026-05-07; Needs Rework | High | Standard;Data/Scripts/Trades/Gardening/PlantBowl.cs) | Documented 2026-05-07; Needs Rework | Medium | Plant bowl, seed, growth, care, cross-pollination, resource harvest, and green-thorn effects. [Documentation](wiki/Gardening_System.md). Needs C# rework;Data/Scripts/Trades/Grave Robbing/GraveRobbing.cs) | Documented 2026-05-07; Needs Rework | Medium | Forensics-based grave harvest with body-part/reagent drops, ML relic bonuses, awakened undead, criminal witness rolls, and grave chests. [Documentation](wiki/Grave_Robbing_Trade.md). Needs C# rework: undead mobiles are constructed before the spawn roll and left unplaced/undeleted when the roll fails; broad;Data/Scripts/Trades/Guild/EnhancementStoneProcess.cs) | Documented 2026-05-07; Needs Rework | Medium | Guild-only extraordinary tools enhance eligible equipment through a shared attribute gump and gold cost formula. [Documentation](wiki/Trade_Guild_Enhancements.md). Needs C# rework;Data/Scripts/Trades/Harvest/HarvestDefinition.cs) | Documented 2026-05-07; Needs Rework | Medium | Shared;Data/Scripts/Trades/Librarian/Librarian.cs) | Documented 2026-05-07; Needs Rework | Low | Inscribe-based monocle harvest system for dangerous-area library tiles, with scroll/book/relic rewards and shelf bonus rolls. [Documentation](wiki/Librarian_Trade.md). Needs C# rework: library scroll classes all force;Data/Scripts/Trades/Runics/BaseRunicHammer.cs) | Documented 2026-05-07; Needs Rework | Medium | Runic craft tools share;Data/Scripts/Trades/Stone/BaseStatue.cs) | Documented 2026-05-08; Needs Rework | Medium | Masonry;Data/Scripts/Trades/Taxidermy/MountedTrophyHead.cs) | Documented 2026-05-08; Needs Rework | Low | Item-driven taxidermy kit, trophy base, mounting base, stuffing basket, passive skull/heart drops, and corpse reuse flag. [Documentation](wiki/Taxidermy.md). Needs C# rework: legacy;Data/Scripts/Magic/Bushido/BookOfBushido.cs) | Documented 2026-05-08; Needs Rework | High | Samurai spellbook, stance spells, special moves, parry/evasion hooks, and Honor/Perfection integration. [Documentation](wiki/Bushido.md). Needs C# rework: successful;Data/Scripts/Magic/Druidism/HerbalistSpell.cs) | Documented 2026-05-08; Needs Rework | High | Potion-backed Druidism spell line, cauldron brewing recipes, pouch quickbar, and Druidism creature-lore skill. [Documentation](wiki/Druidism.md). Needs C# rework;Data/Scripts/Magic/Elementalism/ElementalCommands.cs) | Documented 2026-05-08; Needs Rework | High | Elemental shrine focus, 32-spell Elementalism spellbook/commands, scrolls, travel, fields, summons, and damage formulas. [Documentation](wiki/Elementalism.md). Needs C# rework;Data/Scripts/Magic/Enchantments/EnchantMagic.cs) | Documented 2026-05-08; Needs Rework | High | Compiled enchantment spell namespace with fourteen spell classes and a;Data/Scripts/Magic/Holy Man/HolyManSpell.cs) | Documented 2026-05-08; Needs Rework | High | Spiritualism/Healing prayer system with piety-charged;Data/Scripts/Magic/Jedi/JediSpell.cs) | Documented 2026-05-08; Needs Rework | High | Datacron-bound Psychology/Swords force powers, holocron learning, karan crystal charges, quick bars, and laser sword construction. [Documentation](wiki/Jedi_Magic.md). Needs C# rework;Data/Scripts/Magic/Jester/JesterSpell.cs) | Documented 2026-05-08; Needs Rework | Medium | Command-and-gump trick line built around;Data/Scripts/Magic/Mystic/MysticSpell.cs) | Documented 2026-05-08; Needs Rework | High | Monk spellbook, pilgrimage scroll learning, ten FistFighting/tithing abilities, robe, and rucksack. [Documentation](wiki/Mystic_Magic.md). Needs C# rework;Data/Scripts/Magic/Ninjitsu/BookOfNinjitsu.cs) | Documented 2026-05-08; Needs Rework | High | Stealth-based combat techniques, animal forms, mirror images, and ninja projectile tools. [Documentation](wiki/Ninjitsu.md). Needs C# rework;Data/Scripts/Magic/Research/AncientSpellBook.cs) | Documented 2026-05-08; Needs Rework | High | Archmage research pack, ancient spellbook, search-discovery, scribing, and 64-spell command suite. [Documentation](wiki/Research_Magic.md). Needs C# rework;Data/Scripts/Magic/Shinobi/ShinobiSpell.cs) | Documented 2026-05-08; Needs Rework | High | Ninjitsu/tithing ability system with owner-bound;Data/Scripts/Magic/Syth/SythSpell.cs) | Documented 2026-05-08; Needs Rework | High | Dark side spellcasting using datacrons, hell shards, mysticron scrolls, quick bars, and laser sword construction. [Documentation](wiki/Syth_Magic.md). Needs C# rework;Data/Scripts/Magic/Witch/UndeadSpell.cs) | Documented 2026-05-08; Needs Rework | High | Witch cauldron brewing, sixteen;Data/Scripts/Magic/Necromancy/AnimateDeadSpell.cs) | Documented 2026-05-08; Needs Rework | High | Necromancy spellbook and 17-spell line with summons, transformations, curses, and area damage. [Documentation](wiki/Necromancy.md). Needs C# rework;Data/Scripts/System/Chat/Jail.cs) | Documented 2026-05-08; Needs Rework | Medium | Channel-based chat with moderation, private mail, filters, IRC, and multi-server relay. [Documentation](wiki/Chat_System.md). Needs C# rework;Data/Scripts/System/Commands/Add.cs) | Documented 2026-05-08; Needs Rework | High | Core command parser, generic command implementors, direct staff/admin utilities, build/export tools, and player convenience commands. [Documentation](wiki/Command_Utilities.md). Needs C# rework: generic conditional;Data/Scripts/System/Gumps/AddGump.cs) | Documented 2026-05-08; Needs Rework | High | Shared server-side gump runtime, response pipeline, Add/CategorizedAdd staff UI, and reusable gump bases. [Documentation](wiki/Gump_Framework.md). Needs C# rework;Data/Scripts/System/Help/Gumps/HelpGump.cs) | Documented 2026-05-08; Needs Rework | Medium | Client help-button/self-service help gump plus staff page queue;Data/Scripts/System/Misc/AutoRestart.cs) | Documented 2026-05-08; Needs Rework | Medium | Auto-restart/autosave timer cluster with restart commands;Data/Scripts/System/Regions/BaseRegion.cs) | Documented 2026-05-08; Needs Rework | High | XML-backed region registry, shared;Data/Scripts/Quests) | Documented 2026-05-09; Needs Rework | High | Compiled quest package with player quest log;Data/Scripts/Mobiles/Base/BaseCreature.cs) | Documented 2026-05-09; Needs Rework | High | Shared creature AI, targeting, pet orders, taming/loyalty, spawn scaling, loot/death hooks, and tactical targeting. [Documentation](wiki/Creature_AI_Core.md). Needs C# rework;Data/Scripts/Mobiles/Base/BaseVendor.cs) | Documented 2026-05-09; Needs Rework | Medium | NPC vendor catalog loading, buy/sell packet flow, restock, drag/drop services, bulk order turn-ins, and persistence. [Documentation](wiki/Vendor_Core_System.md). Needs C# rework: Sage vendors can exceed the byte-sized buy-list packet count, several paths cast;Data/Scripts/Items/Houses/BaseHouse.cs) | Documented 2026-05-09; Needs Rework | High | Base house placement, ownership/access lists, region rules, storage, decay, transfer, and customization. [Documentation](wiki/Housing_System.md). Needs C# rework: placement road exceptions use caller location instead of target tiles;Data/Scripts/Mobiles/Races/BaseRace.cs) | Documented 2026-05-09; Needs Rework | Medium | Player and NPC special-layer race tokens, gypsy potion shelf selector, creature settings, race persistence, and level-scaled attributes. [Documentation](wiki/Race_Token_System.md). Needs C# rework: gump replies can bypass selector gates, and race changes can delete unrelated;Data/Scripts/Items/Boats/BaseBoat.cs) | Code-Verified 2026-05-06; Needs Rework | High | Base boat movement, docking, cabin access, and map-driven navigation across player ships, carpets, and NPC hull variants. [Documentation](wiki/Boat_Core_Mechanics.md). Needs C# rework;Data/Scripts/System/Commands/Player/AutoSheatheWeapon.cs), [HelpGump.cs](../Data/Scripts/System/Help/Gumps/HelpGump.cs) | Documented 2026-05-09; Needs Rework | Low | Player;Data/Scripts/System/Help/Gumps/HelpGump.cs), [PlayBarbaric.cs](../Data/Scripts/System/Commands/Player/PlayBarbaric.cs), [BarbaricSatchel.cs](../Data/Scripts/Items/Special/BarbaricSatchel.cs), [Skills.cs](../Data/System/Source/Skills.cs) | Documented 2026-05-09; Needs Rework | Medium | Player;Data/Scripts/System/Commands/Player/SkillListing.cs), [HelpGump.cs](../Data/Scripts/System/Help/Gumps/HelpGump.cs) | Documented 2026-05-09; Needs Rework | Low | Alternate condensed skill list using;Data/Scripts/Items/Houses/InteriorDecorator.cs), [HelpGump.cs](../Data/Scripts/System/Help/Gumps/HelpGump.cs) | Documented 2026-05-09; Needs Rework | Low | Homeowner Tools;Data/Scripts/Mobiles/Civilized/Vendors/Banker.cs) | Documented 2026-05-09; Needs Rework | Medium | Keyword-driven banker speech for;Data/Scripts/Mobiles/Civilized/Vendors/RealEstateBroker.cs) | Documented 2026-05-09; Needs Rework | Medium | Speech-keyword house deed appraisal and drag/drop broker buyback using hardcoded 80% refund prices. [Documentation](wiki/Real_Estate_Broker_Appraisal.md). Needs C# rework: refund table duplicates;Data/Scripts/System/Help/Gumps/HelpGump.cs), [SpellBarsManage.cs](../Data/Scripts/System/Commands/Player/SpellBarsManage.cs), [SpellBarsDisplay.cs](../Data/Scripts/System/Commands/Player/SpellBarsDisplay.cs), [SpellBarsCommands.cs](../Data/Scripts/System/Commands/Player/SpellBarsCommands.cs), [SpellBarsFunctions.cs](../Data/Scripts/System/Commands/Player/SpellBarsFunctions.cs) | Documented 2026-05-09; Needs Rework | Medium | Help Gump page for configuring, opening, and closing string-backed player magic toolbars. [Documentation](wiki/Magic_Toolbars_Guide.md). Needs C# rework: fresh Ancient/Magery toolbar defaults omit display-option slots, Help Gump/toolbar paths lack;Data/Scripts/System/Help/Gumps/HelpGump.cs), [SpellHue.cs](../Data/Scripts/System/Commands/Player/SpellHue.cs) | Documented 2026-05-09; Needs Rework | Low | Describes customizing spell effect hues. [Documentation](wiki/Magery_Spell_Color_Setting.md). Needs C# rework;Data/Scripts/System/Help/Gumps/HelpGump.cs), [Naming.cs](../Data/Scripts/System/Misc/Naming.cs), [Settings.cs](../Data/Scripts/System/Misc/Settings.cs), [Mobile.cs](../Data/System/Source/Mobile.cs), [PlayerMobile.cs](../Data/Scripts/Mobiles/Base/PlayerMobile.cs) | Documented 2026-05-09; Needs Rework | Low | Help Gump option for setting;Data/Scripts/Mobiles/Civilized/Vendors/RealEstateBroker.cs) | Documented 2026-05-09; Intentional Duplicate; Needs Rework | Low | Accepted duplicate audit row for the real estate broker deed appraisal/buyback flow, kept as a deed-oriented alias of;Data/Scripts/Mobiles/Civilized/Vendors/Ranger.cs), [Talk.cs](../Data/Scripts/System/Misc/Talk.cs), [Kindling.cs](../Data/Scripts/Items/Explorers/Kindling.cs), [CamperTent.cs](../Data/Scripts/Items/Explorers/CamperTent.cs), [TrapKit.cs](../Data/Scripts/Items/Traps/TrapKit.cs) | Documented 2026-05-09; Needs Rework | Medium | Ranger context-menu;Data/Scripts/Mobiles/Civilized/Vendors/Shipwright.cs), [DrunkenPirate.cs](../Data/Scripts/Mobiles/Civilized/Vendors/DrunkenPirate.cs), [Talk.cs](../Data/Scripts/System/Misc/Talk.cs), [BaseBoat.cs](../Data/Scripts/Items/Boats/BaseBoat.cs), [DockingLantern.cs](../Data/Scripts/Items/Boats/DockingLantern.cs) | Documented 2026-05-09; Needs Rework | Medium | Shipwright and drunken-pirate context-menu;Data/Scripts/Mobiles/Civilized/Vendors/Mage.cs), [Talk.cs](../Data/Scripts/System/Misc/Talk.cs), [BaseMagicStaff.cs](../Data/Scripts/Items/Wands/BaseMagicStaff.cs), [SpellBarsManage.cs](../Data/Scripts/System/Commands/Player/SpellBarsManage.cs), [SpellBarsDisplay.cs](../Data/Scripts/System/Commands/Player/SpellBarsDisplay.cs) | Documented 2026-05-09; Needs Rework | Medium | Mage context-menu;Data/Scripts/Mobiles/Races/RacePotions.cs) | Documented 2026-05-09 | High | Shelf text, creature selector, and race token transformation flow. [Documentation](wiki/Creature_Transformation_Guide.md). Needs C# rework: gump replies do not revalidate race availability, response handlers lack stale-state guards;Data/Scripts/System/Help/Gumps/HelpGump.cs) | Documented 2026-05-09; Needs Rework | Medium | Help Gump main-page command guide, navigation buttons, and registered player command families. [Documentation](wiki/In_Game_Command_List.md). Needs C# rework;Data/Scripts/Mobiles/Civilized/Vendors/Banker.cs) | Documented 2026-05-09; Intentional Duplicate; Needs Rework | Low | Accepted duplicate audit row for banker keyword speech (;Data/Scripts/Items/Books/DynamicBook.cs) | Documented 2026-05-09; Needs Rework | Medium |;Data/Scripts/System/Help/Gumps/HelpGump.cs) | Documented 2026-05-10 | Medium | HelpGump main-page guide plus library BasicsGump/Guide to Adventure text, command lists, and dungeon difficulty notes. [Documentation](wiki/World_Basics_Commands.md). Needs C# rework;Data/Scripts/System/Misc/Talk.cs) | Documented 2026-05-10 | Medium | Shipwright/DrunkenPirate context-menu sailing advice, return-to-boat key service, launch/dry-dock gates, dock lantern checks, and tiller navigation. [Documentation](wiki/NPC_Shipwright_Sailing_Guide.md). Needs C# rework: return-to-boat charges gold before travel gates complete, dock checks leak pooled enumerables, and boat speech commands are accepted from any contained mobile because;Data/Scripts/System/Misc/Talk.cs), [Mage.cs](../Data/Scripts/Mobiles/Civilized/Vendors/Mage.cs), [BaseMagicStaff.cs](../Data/Scripts/Items/Wands/BaseMagicStaff.cs) | Documented 2026-05-10; Needs Rework | Medium | Mage context-menu;Data/Scripts/Custom/OzThothStaticGump/StaticGump(Alternative).cs) | Documented 2026-05-10; Needs Rework | Low | Game Master static editing gump package with;Data/Scripts/System/Obsolete/Obsolete.cs) | Documented 2026-05-10; Needs Rework | Low | Legacy compatibility scripts under;Data/Scripts/Magic/Base/Spell.cs) | Documented 2026-05-10; Needs Rework | High | Shared spell cast lifecycle, registry, spell metadata, resource/fizzle gates, disturbance handling, delayed damage context, helper APIs, and transient serialization boundary. [Documentation](wiki/Base_Spell_Framework.md). Needs C# rework;Data/Scripts/Magic/Misc/TravelSpell.cs) | Documented 2026-05-10; Needs Rework | Medium | Miscellaneous;Data/Scripts/Items/Technology/LightSword.cs) | Documented 2026-05-10; Needs Rework | Medium | Sci-fi themed weapons, explosives, tools, dyes, records, space junk, and alien egg quest items under;Data/Scripts/Items/Relics/DDRelicArmor.cs) | Documented 2026-05-10; Needs Rework | Medium | Collectible relic loot, appraisal, vendor/henchman turn-in, addon-deed, tablet-clue, and alternate relic-money package under;Data/Scripts/Items/Farming/FarmableCrop.cs) | Documented 2026-05-10; Needs Rework | Medium | Static harvestable crop items for food, textile resources, wheat, and reagent variants. [Documentation](wiki/Farmable_Crops_System.md). Needs C# rework: picked crops remain in the world without unlink/delete cleanup, non-wheat stackable outputs ignore resource-rate and Isles of Dread amount scaling, and;Data/Scripts/Mobiles/Goliaths/OrkDemigod.cs) | Documented 2026-05-10; Needs Rework | Medium | Large humanoid creature families and bosses under; Canonical=Unknown; Target=; SourceFiles=; PathStatus=; HookExamples=; SerializerExamples=; ProjectTruth=</t>
  </si>
  <si>
    <t>POST-BATCH-T docs source-trace review. Previous active row was PBN-0109/PBF-521. No source/project/XML/config/data behavior changed.</t>
  </si>
  <si>
    <t>RB-06783</t>
  </si>
  <si>
    <t>P10-F06783</t>
  </si>
  <si>
    <t>docs/wiki/Syth_Magic.md</t>
  </si>
  <si>
    <t>PBT-0045</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</si>
  <si>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SourceFiles=Data/Scripts/Magic/Syth/SythSpell.cs; Data/Scripts/Magic/Syth/SythSpellbook.cs; Data/Scripts/Magic/Syth/SythCommandList.cs; Data/Scripts/Magic/Syth/SythDatacrons.cs; Data/Scripts/Magic/Syth/HellShard.cs; Data/Scripts/Magic/Syth/Gumps/SythSpellBookGump.cs; PathStatus=Data/Scripts/Magic/Syth/SythSpell.cs=CurrentFile; Data/Scripts/Magic/Syth/SythSpellbook.cs=CurrentFile; Data/Scripts/Magic/Syth/SythCommandList.cs=CurrentFile; Data/Scripts/Magic/Syth/SythDatacrons.cs=CurrentFile; Data/Scripts/Magic/Syth/HellShard.cs=CurrentFile; Data/Scripts/Magic/Syth/Gumps/SythSpellBookGump.cs=CurrentFile; HookExamples=Data/Scripts/Magic/Syth/Gumps/SythSpellBookGump.cs:L956 Gump OnResponse access=Internal; Data/Scripts/Magic/Syth/Gumps/SythSpellBookGump.cs:L965 Gump SendGump access=Internal; Data/Scripts/Magic/Syth/Gumps/SythSpellBookGump.cs:L1012 Gump SendGump access=Internal; Data/Scripts/Magic/Syth/Gumps/SythSpellBookGump.cs:L1018 Gump SendGump access=Internal; Data/Scripts/Magic/Syth/Gumps/SythSpellBookGump.cs:L1026 Gump SendGump access=Internal; Data/Scripts/Magic/Syth/Gumps/SythSpellBookGump.cs:L1033 Gump SendGump access=Internal; Data/Scripts/Magic/Syth/Gumps/SythSpellBookGump.cs:L1045 Gump SendGump access=Internal; Data/Scripts/Magic/Syth/Gumps/SythSpellBookGump.cs:L1051 Gump SendGump access=Internal; Data/Scripts/Magic/Syth/Gumps/SythSpellBookGump.cs:L1088 Gump SendGump access=Internal; Data/Scripts/Magic/Syth/SythCommandList.cs:L15 Initialize Initialize access=GlobalOrInternal; Data/Scripts/Magic/Syth/SythCommandList.cs:L66 Command CommandSystem.Register access=Unknown; Data/Scripts/Magic/Syth/SythSpellbook.cs:L103 Gump SendGump access=Internal; SerializerExamples=Data/Scripts/Magic/Syth/HellShard.cs:Server.Items.HellShard version=0 serialize=L24 deserialize=L30 alignment=AlignedByCountAndKnownTypes; Data/Scripts/Magic/Syth/SythDatacrons.cs:Server.Items.SythDatacron01 version=0 serialize=L32 deserialize=L38 alignment=AlignedByCountAndKnownTypes; Data/Scripts/Magic/Syth/SythDatacrons.cs:Server.Items.SythDatacron02 version=0 serialize=L71 deserialize=L77 alignment=AlignedByCountAndKnownTypes; Data/Scripts/Magic/Syth/SythDatacrons.cs:Server.Items.SythDatacron03 version=0 serialize=L110 deserialize=L116 alignment=AlignedByCountAndKnownTypes; Data/Scripts/Magic/Syth/SythDatacrons.cs:Server.Items.SythDatacron04 version=0 serialize=L149 deserialize=L155 alignment=AlignedByCountAndKnownTypes; Data/Scripts/Magic/Syth/SythDatacrons.cs:Server.Items.SythDatacron05 version=0 serialize=L188 deserialize=L194 alignment=AlignedByCountAndKnownTypes; Data/Scripts/Magic/Syth/SythDatacrons.cs:Server.Items.SythDatacron06 version=0 serialize=L227 deserialize=L233 alignment=AlignedByCountAndKnownTypes; Data/Scripts/Magic/Syth/SythDatacrons.cs:Server.Items.SythDatacron07 version=0 serialize=L266 deserialize=L272 alignment=AlignedByCountAndKnownTypes; Data/Scripts/Magic/Syth/SythDatacrons.cs:Server.Items.SythDatacron08 version=0 serialize=L305 deserialize=L311 alignment=AlignedByCountAndKnownTypes; Data/Scripts/Magic/Syth/SythDatacrons.cs:Server.Items.SythDatacron09 version=0 serialize=L344 deserialize=L350 alignment=AlignedByCountAndKnownTypes; Data/Scripts/Magic/Syth/SythDatacrons.cs:Server.Items.SythDatacron10 version=0 serialize=L383 deserialize=L389 alignment=AlignedByCountAndKnownTypes; Data/Scripts/Magic/Syth/SythSpellbook.cs:Server.Items.SythSpellbook version=0 serialize=L723 deserialize=L735 alignment=CountMatchNeedsTypeReview:UnknownWrites=5; ProjectTruth=Data/Scripts/Magic/Syth/Gumps/SythSpellBookGump.cs=Keep; Data/Scripts/Magic/Syth/Gumps/SythSpellBookGump.cs=Keep; Data/Scripts/Magic/Syth/HellShard.cs=Keep; Data/Scripts/Magic/Syth/HellShard.cs=Keep; Data/Scripts/Magic/Syth/SythCommandList.cs=Keep; Data/Scripts/Magic/Syth/SythCommandList.cs=Keep; Data/Scripts/Magic/Syth/SythDatacrons.cs=Keep; Data/Scripts/Magic/Syth/SythDatacrons.cs=Keep; Data/Scripts/Magic/Syth/SythSpell.cs=Keep; Data/Scripts/Magic/Syth/SythSpell.cs=Keep; Data/Scripts/Magic/Syth/SythSpellbook.cs=Keep; Data/Scripts/Magic/Syth/SythSpellbook.cs=Keep</t>
  </si>
  <si>
    <t>POST-BATCH-T docs source-trace review. Previous active row was PBN-0045/PBF-522. No source/project/XML/config/data behavior changed.</t>
  </si>
  <si>
    <t>RB-06784</t>
  </si>
  <si>
    <t>P10-F06784</t>
  </si>
  <si>
    <t>docs/wiki/Taxidermy.md</t>
  </si>
  <si>
    <t>PBT-0008</t>
  </si>
  <si>
    <t>Queue SourceEvidence=POST-BATCH-N lane=POST-BATCH-N-DOCS-SOURCE-TRACE; FileProofStatus=CurrentPathConfirmed; Documentation truth after POST-BATCH-F: SourceTracePresent=No; MissingClaims=Missing Source Trace section.; StaleClaims=; Canonical=Canonical; Target=; SourceFiles=Data/Scripts/Items/Trades/Carpenter Items/TaxidermyKit.cs; Data/Scripts/Trades/Taxidermy/TrophyBase.cs; Data/Scripts/Trades/Taxidermy/MountingBase.cs; Data/Scripts/Trades/Taxidermy/StuffingBasket.cs; Data/Scripts/Trades/Taxidermy/MountedTrophyHead.cs; Data/Scripts/Trades/Taxidermy/StuffedBear.cs; Data/Scripts/Trades/Taxidermy/MagicSkulls.cs; Data/Scripts/Mobiles/Base/DropRelic.cs; Data/Scripts/Items/Misc/Bodies/Corpses/Corpse.cs; PathStatus=Data/Scripts/Items/Trades/Carpenter Items/TaxidermyKit.cs=CurrentFile; Data/Scripts/Trades/Taxidermy/TrophyBase.cs=CurrentFile; Data/Scripts/Trades/Taxidermy/MountingBase.cs=CurrentFile; Data/Scripts/Trades/Taxidermy/StuffingBasket.cs=CurrentFile; Data/Scripts/Trades/Taxidermy/MountedTrophyHead.cs=CurrentFile; Data/Scripts/Trades/Taxidermy/StuffedBear.cs=CurrentFile; Data/Scripts/Trades/Taxidermy/MagicSkulls.cs=CurrentFile; Data/Scripts/Mobiles/Base/DropRelic.cs=CurrentFile; Data/Scripts/Items/Misc/Bodies/Corpses/Corpse.cs=CurrentFile; HookExamples=Data/Scripts/Items/Misc/Bodies/Corpses/Corpse.cs:L436 Timer CustomTimerSubclass access=GlobalOrInternal; Data/Scripts/Items/Misc/Bodies/Corpses/Corpse.cs:L520 Initialize Initialize access=GlobalOrInternal; Data/Scripts/Items/Trades/Carpenter Items/TaxidermyKit.cs:L343 Timer Timer.DelayCall access=GlobalOrInternal; Data/Scripts/Trades/Taxidermy/MountingBase.cs:L68 Gump SendGump access=Internal; Data/Scripts/Trades/Taxidermy/StuffingBasket.cs:L68 Gump SendGump access=Internal; Data/Scripts/Trades/Taxidermy/TrophyBase.cs:L69 Gump SendGump access=Internal; SerializerExamples=Data/Scripts/Items/Misc/Bodies/Corpses/Corpse.cs:Server.Items.Corpse version=11 serialize=L700 deserialize=L759 alignment=CountMismatch:Writes=18;Reads=37; Data/Scripts/Items/Trades/Carpenter Items/TaxidermyKit.cs:Server.Items.TaxidermyKit version=0 serialize=L27 deserialize=L34 alignment=AlignedByCountAndKnownTypes; Data/Scripts/Items/Trades/Carpenter Items/TaxidermyKit.cs:Server.Items.TrophyAddon version=1 serialize=L304 deserialize=L319 alignment=AlignedByCountAndKnownTypes; Data/Scripts/Items/Trades/Carpenter Items/TaxidermyKit.cs:Server.Items.TrophyDeed version=1 serialize=L514 deserialize=L529 alignment=AlignedByCountAndKnownTypes; Data/Scripts/Trades/Taxidermy/MagicSkulls.cs:Server.Misc.DeamonHeadA version=0 serialize=L1385 deserialize=L1393 alignment=CountMatchNeedsTypeReview:UnknownWrites=2; Data/Scripts/Trades/Taxidermy/MagicSkulls.cs:Server.Misc.DeamonHeadB version=0 serialize=L1449 deserialize=L1457 alignment=CountMatchNeedsTypeReview:UnknownWrites=2; Data/Scripts/Trades/Taxidermy/MagicSkulls.cs:Server.Misc.DeamonHeadC version=0 serialize=L1513 deserialize=L1521 alignment=CountMatchNeedsTypeReview:UnknownWrites=2; Data/Scripts/Trades/Taxidermy/MagicSkulls.cs:Server.Misc.HeartOfFire version=0 serialize=L873 deserialize=L881 alignment=CountMatchNeedsTypeReview:UnknownWrites=2; Data/Scripts/Trades/Taxidermy/MagicSkulls.cs:Server.Misc.HeartOfIce version=0 serialize=L809 deserialize=L817 alignment=CountMatchNeedsTypeReview:UnknownWrites=2; Data/Scripts/Trades/Taxidermy/MagicSkulls.cs:Server.Misc.SkullDemon version=0 serialize=L1257 deserialize=L1265 alignment=CountMatchNeedsTypeReview:UnknownWrites=2; Data/Scripts/Trades/Taxidermy/MagicSkulls.cs:Server.Misc.SkullDinosaur version=0 serialize=L1001 deserialize=L1009 alignment=CountMatchNeedsTypeReview:UnknownWrites=2; Data/Scripts/Trades/Taxidermy/MagicSkulls.cs:Server.Misc.SkullDragon version=0 serialize=L1193 deserialize=L1201 alignment=CountMatchNeedsTypeReview:UnknownWrites=2; ProjectTruth=Data/Scripts/Items/Misc/Bodies/Corpses/Corpse.cs=Keep; Data/Scripts/Items/Misc/Bodies/Corpses/Corpse.cs=Keep; Data/Scripts/Items/Trades/Carpenter Items/TaxidermyKit.cs=Keep; Data/Scripts/Items/Trades/Carpenter Items/TaxidermyKit.cs=Keep; Data/Scripts/Mobiles/Base/DropRelic.cs=Keep; Data/Scripts/Mobiles/Base/DropRelic.cs=Keep; Data/Scripts/Trades/Taxidermy/MagicSkulls.cs=Keep; Data/Scripts/Trades/Taxidermy/MagicSkulls.cs=Keep; Data/Scripts/Trades/Taxidermy/MountedTrophyHead.cs=Keep; Data/Scripts/Trades/Taxidermy/MountedTrophyHead.cs=Keep; Data/Scripts/Trades/Taxidermy/MountingBase.cs=Keep; Data/Scripts/Trades/Taxidermy/MountingBase.cs=Keep; Data/Scripts/Trades/Taxidermy/StuffedBear.cs=Keep; Data/Scripts/Trades/Taxidermy/StuffedBear.cs=Keep; Data/Scripts/Trades/Taxidermy/StuffingBasket.cs=Keep; Data/Scripts/Trades/Taxidermy/StuffingBasket.cs=Keep; Data/Scripts/Trades/Taxidermy/TrophyBase.cs=Keep; Data/Scripts/Trades/Taxidermy/TrophyBase.cs=Keep</t>
  </si>
  <si>
    <t>POST-BATCH-T docs source-trace review. Previous active row was PBN-0008/PBF-523. No source/project/XML/config/data behavior changed.</t>
  </si>
  <si>
    <t>RB-06785</t>
  </si>
  <si>
    <t>P10-F06785</t>
  </si>
  <si>
    <t>docs/wiki/Technology_Items.md</t>
  </si>
  <si>
    <t>PBT-0110</t>
  </si>
  <si>
    <t>Queue SourceEvidence=POST-BATCH-N lane=POST-BATCH-N-DOCS-SOURCE-TRACE; FileProofStatus=CurrentPathConfirmed; Documentation truth after POST-BATCH-F: SourceTracePresent=No; MissingClaims=Missing Source Trace section.; StaleClaims=; Canonical=Canonical; Target=; SourceFiles=Data/Scripts/Items/Technology/; Data/Scripts/Items/Technology/AlienEgg.cs; Data/Scripts/Items/Technology/BaseKilrathi.cs; Data/Scripts/Items/Technology/Chainsaw.cs; Data/Scripts/Items/Technology/ComputerDatabase.cs; Data/Scripts/Items/Technology/DataPad.cs; Data/Scripts/Items/Technology/DoubleLaserSword.cs; Data/Scripts/Items/Technology/DuctTape.cs; Data/Scripts/Items/Technology/FirstAidKit.cs; Data/Scripts/Items/Technology/KilrathiGun.cs; Data/Scripts/Items/Technology/KilrathiHeavyGun.cs; Data/Scripts/Items/Technology/Krystal.cs; Data/Scripts/Items/Technology/Landmine.cs; Data/Scripts/Items/Technology/LightSword.cs; Data/Scripts/Items/Technology/MaterialLiquifier.cs; Data/Scripts/Items/Technology/MedicalRecord.cs; Data/Scripts/Items/Technology/PlasmaGrenade.cs; Data/Scripts/Items/Technology/PlasmaTorch.cs; Data/Scripts/Items/Technology/PortableSmelter.cs; Data/Scripts/Items/Technology/RomulanAle.cs; Data/Scripts/Items/Technology/SpaceDyes.cs; Data/Scripts/Items/Technology/SpaceJunk.cs; Data/Scripts/Items/Technology/ThermalDetonator.cs; PathStatus=Data/Scripts/Items/Technology/=CurrentDirectory; Data/Scripts/Items/Technology/AlienEgg.cs=CurrentFile; Data/Scripts/Items/Technology/BaseKilrathi.cs=CurrentFile; Data/Scripts/Items/Technology/Chainsaw.cs=CurrentFile; Data/Scripts/Items/Technology/ComputerDatabase.cs=CurrentFile; Data/Scripts/Items/Technology/DataPad.cs=CurrentFile; Data/Scripts/Items/Technology/DoubleLaserSword.cs=CurrentFile; Data/Scripts/Items/Technology/DuctTape.cs=CurrentFile; Data/Scripts/Items/Technology/FirstAidKit.cs=CurrentFile; Data/Scripts/Items/Technology/KilrathiGun.cs=CurrentFile; Data/Scripts/Items/Technology/KilrathiHeavyGun.cs=CurrentFile; Data/Scripts/Items/Technology/Krystal.cs=CurrentFile; Data/Scripts/Items/Technology/Landmine.cs=CurrentFile; Data/Scripts/Items/Technology/LightSword.cs=CurrentFile; Data/Scripts/Items/Technology/MaterialLiquifier.cs=CurrentFile; Data/Scripts/Items/Technology/MedicalRecord.cs=CurrentFile; Data/Scripts/Items/Technology/PlasmaGrenade.cs=CurrentFile; Data/Scripts/Items/Technology/PlasmaTorch.cs=CurrentFile; Data/Scripts/Items/Technology/PortableSmelter.cs=CurrentFile; Data/Scripts/Items/Technology/RomulanAle.cs=CurrentFile; Data/Scripts/Items/Technology/SpaceDyes.cs=CurrentFile; Data/Scripts/Items/Technology/SpaceJunk.cs=CurrentFile; Data/Scripts/Items/Technology/ThermalDetonator.cs=CurrentFile; HookExamples=Data/Scripts/Items/Technology/AlienEgg.cs:L65 Gump SendGump access=Internal; Data/Scripts/Items/Technology/ComputerDatabase.cs:L25 Gump SendGump access=Internal; Data/Scripts/Items/Technology/ComputerDatabase.cs:L154 Gump OnResponse access=Internal; Data/Scripts/Items/Technology/ComputerDatabase.cs:L294 Gump SendGump access=Internal; Data/Scripts/Items/Technology/ComputerDatabase.cs:L304 Gump SendGump access=Internal; Data/Scripts/Items/Technology/DataPad.cs:L113 Gump OnResponse access=Internal; Data/Scripts/Items/Technology/DataPad.cs:L123 Gump SendGump access=Internal; Data/Scripts/Items/Technology/Landmine.cs:L180 Timer Timer.DelayCall access=GlobalOrInternal; Data/Scripts/Items/Technology/MaterialLiquifier.cs:L58 Gump SendGump access=Internal; Data/Scripts/Items/Technology/MaterialLiquifier.cs:L439 Gump OnResponse access=Internal; Data/Scripts/Items/Technology/MedicalRecord.cs:L97 Gump OnResponse access=Internal; Data/Scripts/Items/Technology/MedicalRecord.cs:L107 Gump SendGump access=Internal; SerializerExamples=Data/Scripts/Items/Technology/AlienEgg.cs:Server.Items.AlienEgg version=1 serialize=L111 deserialize=L127 alignment=CountMatchNeedsTypeReview:UnknownWrites=9; Data/Scripts/Items/Technology/BaseKilrathi.cs:Server.Items.BaseKilrathi version=0 serialize=L138 deserialize=L144 alignment=AlignedByCountAndKnownTypes; Data/Scripts/Items/Technology/Chainsaw.cs:Server.Items.Chainsaw version=0 serialize=L227 deserialize=L234 alignment=AlignedByCountAndKnownTypes; Data/Scripts/Items/Technology/ComputerDatabase.cs:Server.Items.ComputerDatabase version=1 serialize=L33 deserialize=L39 alignment=AlignedByCountAndKnownTypes; Data/Scripts/Items/Technology/DataPad.cs:Server.Items.DataPad version=0 serialize=L130 deserialize=L140 alignment=CountMatchNeedsTypeReview:UnknownWrites=4; Data/Scripts/Items/Technology/DoubleLaserSword.cs:Server.Items.DoubleLaserSword version=0 serialize=L126 deserialize=L133 alignment=CountMatchNeedsTypeReview:UnknownWrites=1; Data/Scripts/Items/Technology/DuctTape.cs:Server.Items.DuctTape version=0 serialize=L24 deserialize=L30 alignment=AlignedByCountAndKnownTypes; Data/Scripts/Items/Technology/FirstAidKit.cs:Server.Items.FirstAidKit version=0 serialize=L127 deserialize=L133 alignment=AlignedByCountAndKnownTypes; Data/Scripts/Items/Technology/KilrathiGun.cs:Server.Items.KilrathiGun version=0 serialize=L110 deserialize=L116 alignment=AlignedByCountAndKnownTypes; Data/Scripts/Items/Technology/KilrathiHeavyGun.cs:Server.Items.KilrathiHeavyGun version=0 serialize=L110 deserialize=L116 alignment=AlignedByCountAndKnownTypes; Data/Scripts/Items/Technology/Krystal.cs:Server.Items.Krystal version=0 serialize=L30 deserialize=L36 alignment=AlignedByCountAndKnownTypes; Data/Scripts/Items/Technology/Landmine.cs:Server.Items.Landmine version=0 serialize=L183 deserialize=L192 alignment=CountMatchNeedsTypeReview:UnknownWrites=1; ProjectTruth=Data/Scripts/Items/Technology/AlienEgg.cs=Keep; Data/Scripts/Items/Technology/AlienEgg.cs=Keep; Data/Scripts/Items/Technology/BaseKilrathi.cs=Keep; Data/Scripts/Items/Technology/BaseKilrathi.cs=Keep; Data/Scripts/Items/Technology/Chainsaw.cs=Keep; Data/Scripts/Items/Technology/Chainsaw.cs=Keep; Data/Scripts/Items/Technology/ComputerDatabase.cs=Keep; Data/Scripts/Items/Technology/ComputerDatabase.cs=Keep; Data/Scripts/Items/Technology/DataPad.cs=Keep; Data/Scripts/Items/Technology/DataPad.cs=Keep; Data/Scripts/Items/Technology/DoubleLaserSword.cs=Keep; Data/Scripts/Items/Technology/DoubleLaserSword.cs=Keep; Data/Scripts/Items/Technology/DuctTape.cs=Keep; Data/Scripts/Items/Technology/DuctTape.cs=Keep; Data/Scripts/Items/Technology/FirstAidKit.cs=Keep; Data/Scripts/Items/Technology/FirstAidKit.cs=Keep; Data/Scripts/Items/Technology/KilrathiGun.cs=Keep; Data/Scripts/Items/Technology/KilrathiGun.cs=Keep; Data/Scripts/Items/Technology/KilrathiHeavyGun.cs=Keep; Data/Scripts/Items/Technology/KilrathiHeavyGun.cs=Keep</t>
  </si>
  <si>
    <t>POST-BATCH-T docs source-trace review. Previous active row was PBN-0110/PBF-524. No source/project/XML/config/data behavior changed.</t>
  </si>
  <si>
    <t>RB-06786</t>
  </si>
  <si>
    <t>P10-F06786</t>
  </si>
  <si>
    <t>docs/wiki/tell-a-friend.md</t>
  </si>
  <si>
    <t>PBT-0111</t>
  </si>
  <si>
    <t>Queue SourceEvidence=POST-BATCH-N lane=POST-BATCH-N-DOCS-SOURCE-TRACE; FileProofStatus=CurrentPathConfirmed; Documentation truth after POST-BATCH-F: SourceTracePresent=No; MissingClaims=Missing Source Trace section.; StaleClaims=; Canonical=Canonical; Target=; SourceFiles=Data/Scripts/Custom/TellAFriend/TellAFriend.cs; Data/Scripts/Custom/TellAFriend/Rewards/StatBall.cs; PathStatus=Data/Scripts/Custom/TellAFriend/TellAFriend.cs=CurrentFile; Data/Scripts/Custom/TellAFriend/Rewards/StatBall.cs=CurrentFile; HookExamples=Data/Scripts/Custom/TellAFriend/Rewards/StatBall.cs:L74 Gump SendGump access=Internal; Data/Scripts/Custom/TellAFriend/Rewards/StatBall.cs:L83 Gump SendGump access=Internal; Data/Scripts/Custom/TellAFriend/Rewards/StatBall.cs:L179 Gump OnResponse access=Internal; Data/Scripts/Custom/TellAFriend/TellAFriend.cs:L52 Initialize Initialize access=GlobalOrInternal; Data/Scripts/Custom/TellAFriend/TellAFriend.cs:L54 Event EventSink access=GlobalOrInternal; Data/Scripts/Custom/TellAFriend/TellAFriend.cs:L73 Gump SendGump access=Internal; Data/Scripts/Custom/TellAFriend/TellAFriend.cs:L217 Gump OnResponse access=Internal; Data/Scripts/Custom/TellAFriend/TellAFriend.cs:L280 Gump SendGump access=Internal; Data/Scripts/Custom/TellAFriend/TellAFriend.cs:L359 Gump SendGump access=Internal; Data/Scripts/Custom/TellAFriend/TellAFriend.cs:L414 Initialize Initialize access=GlobalOrInternal; Data/Scripts/Custom/TellAFriend/TellAFriend.cs:L416 Command CommandSystem.Register access=Unknown; Data/Scripts/Custom/TellAFriend/TellAFriend.cs:L433 Gump SendGump access=Internal; SerializerExamples=Data/Scripts/Custom/TellAFriend/Rewards/StatBall.cs:Server.Items.StatBall version=0 serialize=L89 deserialize=L96 alignment=CountMatchNeedsTypeReview:UnknownWrites=1; Data/Scripts/Custom/TellAFriend/TellAFriend.cs:Server.ReferrerReward version=0 serialize=L397 deserialize=L404 alignment=AlignedByCountAndKnownTypes; ProjectTruth=Data/Scripts/Custom/TellAFriend/Rewards/StatBall.cs=Keep; Data/Scripts/Custom/TellAFriend/Rewards/StatBall.cs=Keep; Data/Scripts/Custom/TellAFriend/TellAFriend.cs=Keep; Data/Scripts/Custom/TellAFriend/TellAFriend.cs=Keep</t>
  </si>
  <si>
    <t>POST-BATCH-T docs source-trace review. Previous active row was PBN-0111/PBF-525. No source/project/XML/config/data behavior changed.</t>
  </si>
  <si>
    <t>RB-06787</t>
  </si>
  <si>
    <t>P10-F06787</t>
  </si>
  <si>
    <t>docs/wiki/The_One_Ring.md</t>
  </si>
  <si>
    <t>PBT-0112</t>
  </si>
  <si>
    <t>Queue SourceEvidence=POST-BATCH-N lane=POST-BATCH-N-DOCS-SOURCE-TRACE; FileProofStatus=CurrentPathConfirmed; Documentation truth after POST-BATCH-F: SourceTracePresent=No; MissingClaims=Missing Source Trace section.; StaleClaims=; Canonical=Canonical; Target=; SourceFiles=Data/Scripts/Custom/LOTR - The One Ring/TheOneRing.cs; Data/Scripts/Custom/LOTR - The One Ring/RingWraith.cs; Data/Scripts/Scripts.csproj; PathStatus=Data/Scripts/Custom/LOTR - The One Ring/TheOneRing.cs=CurrentFile; Data/Scripts/Custom/LOTR - The One Ring/RingWraith.cs=CurrentFile; Data/Scripts/Scripts.csproj=CurrentFile; HookExamples=; SerializerExamples=Data/Scripts/Custom/LOTR - The One Ring/RingWraith.cs:Server.Mobiles.RingWraith version=0 serialize=L103 deserialize=L109 alignment=AlignedByCountAndKnownTypes; Data/Scripts/Custom/LOTR - The One Ring/TheOneRing.cs:Server.Items.TheOneRing version=0 serialize=L136 deserialize=L146 alignment=AlignedByCountAndKnownTypes; ProjectTruth=Data/Scripts/Custom/LOTR - The One Ring/RingWraith.cs=Keep; Data/Scripts/Custom/LOTR - The One Ring/RingWraith.cs=Keep; Data/Scripts/Custom/LOTR - The One Ring/TheOneRing.cs=Keep; Data/Scripts/Custom/LOTR - The One Ring/TheOneRing.cs=Keep</t>
  </si>
  <si>
    <t>POST-BATCH-T docs source-trace review. Previous active row was PBN-0112/PBF-526. No source/project/XML/config/data behavior changed.</t>
  </si>
  <si>
    <t>RB-06788</t>
  </si>
  <si>
    <t>P10-F06788</t>
  </si>
  <si>
    <t>docs/wiki/Trade_Guild_Enhancements.md</t>
  </si>
  <si>
    <t>PBT-0113</t>
  </si>
  <si>
    <t>Queue SourceEvidence=POST-BATCH-N lane=POST-BATCH-N-DOCS-SOURCE-TRACE; FileProofStatus=CurrentPathConfirmed; Documentation truth after POST-BATCH-F: SourceTracePresent=No; MissingClaims=Missing Source Trace section.; StaleClaims=; Canonical=Canonical; Target=; SourceFiles=Data/Scripts/Trades/Guild/EnhancementStoneProcess.cs; Data/Scripts/Trades/Guild/AttributeHandler.cs; Data/Scripts/Trades/Guild/Gumps/EnhancementGump.cs; Data/Scripts/Trades/Guild/GuildHammer.cs; Data/Scripts/Trades/Guild/GuildCarpentry.cs; Data/Scripts/Trades/Guild/GuildFletching.cs; Data/Scripts/Trades/Guild/GuildSewing.cs; Data/Scripts/Trades/Guild/GuildTinkering.cs; Data/Scripts/Mobiles/Base/StoreSalesList.cs; Data/Scripts/Scripts.csproj; PathStatus=Data/Scripts/Trades/Guild/EnhancementStoneProcess.cs=CurrentFile; Data/Scripts/Trades/Guild/AttributeHandler.cs=CurrentFile; Data/Scripts/Trades/Guild/Gumps/EnhancementGump.cs=CurrentFile; Data/Scripts/Trades/Guild/GuildHammer.cs=CurrentFile; Data/Scripts/Trades/Guild/GuildCarpentry.cs=CurrentFile; Data/Scripts/Trades/Guild/GuildFletching.cs=CurrentFile; Data/Scripts/Trades/Guild/GuildSewing.cs=CurrentFile; Data/Scripts/Trades/Guild/GuildTinkering.cs=CurrentFile; Data/Scripts/Mobiles/Base/StoreSalesList.cs=CurrentFile; Data/Scripts/Scripts.csproj=CurrentFile; HookExamples=Data/Scripts/Trades/Guild/AttributeHandler.cs:L37 Initialize Initialize access=GlobalOrInternal; Data/Scripts/Trades/Guild/EnhancementStoneProcess.cs:L61 Gump SendGump access=Internal; Data/Scripts/Trades/Guild/GuildCarpentry.cs:L128 Gump SendGump access=Internal; Data/Scripts/Trades/Guild/GuildFletching.cs:L128 Gump SendGump access=Internal; Data/Scripts/Trades/Guild/GuildHammer.cs:L127 Gump SendGump access=Internal; Data/Scripts/Trades/Guild/GuildSewing.cs:L132 Gump SendGump access=Internal; Data/Scripts/Trades/Guild/GuildTinkering.cs:L128 Gump SendGump access=Internal; Data/Scripts/Trades/Guild/Gumps/EnhancementGump.cs:L79 Gump OnResponse access=Internal; SerializerExamples=Data/Scripts/Trades/Guild/GuildCarpentry.cs:Server.Items.GuildCarpentry version=0 serialize=L189 deserialize=L195 alignment=AlignedByCountAndKnownTypes; Data/Scripts/Trades/Guild/GuildFletching.cs:Server.Items.GuildFletching version=0 serialize=L175 deserialize=L181 alignment=AlignedByCountAndKnownTypes; Data/Scripts/Trades/Guild/GuildHammer.cs:Server.Items.GuildHammer version=0 serialize=L188 deserialize=L194 alignment=AlignedByCountAndKnownTypes; Data/Scripts/Trades/Guild/GuildSewing.cs:Server.Items.GuildSewing version=0 serialize=L213 deserialize=L219 alignment=AlignedByCountAndKnownTypes; Data/Scripts/Trades/Guild/GuildTinkering.cs:Server.Items.GuildTinkering version=0 serialize=L177 deserialize=L183 alignment=AlignedByCountAndKnownTypes; ProjectTruth=Data/Scripts/Mobiles/Base/StoreSalesList.cs=Keep; Data/Scripts/Mobiles/Base/StoreSalesList.cs=Keep; Data/Scripts/Trades/Guild/AttributeHandler.cs=Keep; Data/Scripts/Trades/Guild/AttributeHandler.cs=Keep; Data/Scripts/Trades/Guild/EnhancementStoneProcess.cs=Keep; Data/Scripts/Trades/Guild/EnhancementStoneProcess.cs=Keep; Data/Scripts/Trades/Guild/GuildCarpentry.cs=Keep; Data/Scripts/Trades/Guild/GuildCarpentry.cs=Keep; Data/Scripts/Trades/Guild/GuildFletching.cs=Keep; Data/Scripts/Trades/Guild/GuildFletching.cs=Keep; Data/Scripts/Trades/Guild/GuildHammer.cs=Keep; Data/Scripts/Trades/Guild/GuildHammer.cs=Keep; Data/Scripts/Trades/Guild/GuildSewing.cs=Keep; Data/Scripts/Trades/Guild/GuildSewing.cs=Keep; Data/Scripts/Trades/Guild/GuildTinkering.cs=Keep; Data/Scripts/Trades/Guild/GuildTinkering.cs=Keep; Data/Scripts/Trades/Guild/Gumps/EnhancementGump.cs=Keep; Data/Scripts/Trades/Guild/Gumps/EnhancementGump.cs=Keep</t>
  </si>
  <si>
    <t>POST-BATCH-T docs source-trace review. Previous active row was PBN-0113/PBF-527. No source/project/XML/config/data behavior changed.</t>
  </si>
  <si>
    <t>RB-06789</t>
  </si>
  <si>
    <t>P10-F06789</t>
  </si>
  <si>
    <t>docs/wiki/Vendor_Core_System.md</t>
  </si>
  <si>
    <t>PBT-0132</t>
  </si>
  <si>
    <t>Queue SourceEvidence=POST-BATCH-N lane=POST-BATCH-N-DOCS-SOURCE-TRACE; FileProofStatus=CurrentPathConfirmed; Documentation truth after POST-BATCH-F: SourceTracePresent=No; MissingClaims=Missing Source Trace section.; StaleClaims=; Canonical=Canonical; Target=; SourceFiles=Data/Scripts/Mobiles/Base/BaseVendor.cs; Data/Scripts/Mobiles/Base/GenericBuy.cs; Data/Scripts/Mobiles/Base/GenericSell.cs; Data/Scripts/Mobiles/Base/AnimalBuy.cs; Data/Scripts/Mobiles/Base/BeverageBuy.cs; Data/Scripts/Mobiles/Base/PresetMapBuy.cs; Data/Scripts/Mobiles/Base/StoreSalesList.cs; Data/System/Source/BaseVendor.cs; Data/System/Source/Network/PacketHandlers.cs; Data/System/Source/Network/Packets.cs; Data/Scripts/System/Commands/Commands/Commands.cs; PathStatus=Data/Scripts/Mobiles/Base/BaseVendor.cs=CurrentFile; Data/Scripts/Mobiles/Base/GenericBuy.cs=CurrentFile; Data/Scripts/Mobiles/Base/GenericSell.cs=CurrentFile; Data/Scripts/Mobiles/Base/AnimalBuy.cs=CurrentFile; Data/Scripts/Mobiles/Base/BeverageBuy.cs=CurrentFile; Data/Scripts/Mobiles/Base/PresetMapBuy.cs=CurrentFile; Data/Scripts/Mobiles/Base/StoreSalesList.cs=CurrentFile; Data/System/Source/BaseVendor.cs=CurrentFile; Data/System/Source/Network/PacketHandlers.cs=CurrentFile; Data/System/Source/Network/Packets.cs=CurrentFile; Data/Scripts/System/Commands/Commands/Commands.cs=CurrentFile; HookExamples=Data/Scripts/Mobiles/Base/BaseVendor.cs:L172 Gump SendGump access=Internal; Data/Scripts/Mobiles/Base/BaseVendor.cs:L176 Gump SendGump access=Internal; Data/Scripts/Mobiles/Base/BaseVendor.cs:L3124 Gump SendGump access=Internal; Data/Scripts/Mobiles/Base/BaseVendor.cs:L3126 Gump SendGump access=Internal; Data/Scripts/Mobiles/Base/BaseVendor.cs:L3363 Gump SendGump access=Internal; Data/Scripts/System/Commands/Commands/Commands.cs:L19 Initialize Initialize access=GlobalOrInternal; Data/Scripts/System/Commands/Commands/Commands.cs:L329 Gump SendGump access=Internal; Data/Scripts/System/Commands/Commands/Commands.cs:L535 Gump SendGump access=Internal; Data/Scripts/System/Commands/Commands/Commands.cs:L539 Gump SendGump access=Internal; Data/Scripts/System/Commands/Commands/Commands.cs:L551 Gump SendGump access=Internal; Data/Scripts/System/Commands/Commands/Commands.cs:L928 Gump SendGump access=Internal; Data/Scripts/System/Commands/Commands/Commands.cs:L1258 Gump SendGump access=Internal; SerializerExamples=Data/Scripts/Mobiles/Base/BaseVendor.cs:Server.Mobiles.BaseVendor version=1 serialize=L3144 deserialize=L3183 alignment=CountMismatch:Writes=3;Reads=2; Data/Scripts/Mobiles/Base/GenericBuy.cs:Server.Mobiles.DisplayCache version=0 serialize=L74 deserialize=L83 alignment=CountMatchNeedsTypeReview:UnknownWrites=1; Data/System/Source/Network/PacketHandlers.cs:Unknown version=Unknown serialize=L deserialize=L alignment=AlignedByCountAndKnownTypes; ProjectTruth=Data/Scripts/Mobiles/Base/AnimalBuy.cs=Keep; Data/Scripts/Mobiles/Base/AnimalBuy.cs=Keep; Data/Scripts/Mobiles/Base/BaseVendor.cs=Keep; Data/Scripts/Mobiles/Base/BaseVendor.cs=Keep; Data/Scripts/Mobiles/Base/BeverageBuy.cs=Keep; Data/Scripts/Mobiles/Base/BeverageBuy.cs=Keep; Data/Scripts/Mobiles/Base/GenericBuy.cs=Keep; Data/Scripts/Mobiles/Base/GenericBuy.cs=Keep; Data/Scripts/Mobiles/Base/GenericSell.cs=Keep; Data/Scripts/Mobiles/Base/GenericSell.cs=Keep; Data/Scripts/Mobiles/Base/PresetMapBuy.cs=Keep; Data/Scripts/Mobiles/Base/PresetMapBuy.cs=Keep; Data/Scripts/Mobiles/Base/StoreSalesList.cs=Keep; Data/Scripts/Mobiles/Base/StoreSalesList.cs=Keep; Data/Scripts/System/Commands/Commands/Commands.cs=Keep; Data/Scripts/System/Commands/Commands/Commands.cs=Keep</t>
  </si>
  <si>
    <t>POST-BATCH-T docs source-trace review. Previous active row was PBN-0132/PBF-528. No source/project/XML/config/data behavior changed.</t>
  </si>
  <si>
    <t>RB-06790</t>
  </si>
  <si>
    <t>P10-F06790</t>
  </si>
  <si>
    <t>docs/wiki/Voting_Rewards.md</t>
  </si>
  <si>
    <t>PBT-0114</t>
  </si>
  <si>
    <t>Queue SourceEvidence=POST-BATCH-N lane=POST-BATCH-N-DOCS-SOURCE-TRACE; FileProofStatus=CurrentPathConfirmed; Documentation truth after POST-BATCH-F: SourceTracePresent=No; MissingClaims=Missing Source Trace section.; StaleClaims=; Canonical=Canonical; Target=; SourceFiles=Data/Scripts/Custom/Voting; Data/Scripts/Custom/Voting/VoteCommand.cs; Data/Scripts/Custom/Voting/VoteConfig.cs; Data/Scripts/Custom/Voting/VoteEvents.cs; Data/Scripts/Custom/Voting/VoteHelper.cs; Data/Scripts/Custom/Voting/VoteItem.cs; Data/Scripts/Custom/Voting/VoteSite.cs; Data/Scripts/Custom/Voting/VoteStatus.cs; Data/Scripts/Custom/Voting/VoteStone.cs; Data/Scripts/Scripts.csproj; PathStatus=Data/Scripts/Custom/Voting=CurrentDirectory; Data/Scripts/Custom/Voting/VoteCommand.cs=CurrentFile; Data/Scripts/Custom/Voting/VoteConfig.cs=CurrentFile; Data/Scripts/Custom/Voting/VoteEvents.cs=CurrentFile; Data/Scripts/Custom/Voting/VoteHelper.cs=CurrentFile; Data/Scripts/Custom/Voting/VoteItem.cs=CurrentFile; Data/Scripts/Custom/Voting/VoteSite.cs=CurrentFile; Data/Scripts/Custom/Voting/VoteStatus.cs=CurrentFile; Data/Scripts/Custom/Voting/VoteStone.cs=CurrentFile; Data/Scripts/Scripts.csproj=CurrentFile; HookExamples=Data/Scripts/Custom/Voting/VoteCommand.cs:L16 Initialize Initialize access=GlobalOrInternal; Data/Scripts/Custom/Voting/VoteCommand.cs:L18 Command CommandSystem.Register access=Player; Data/Scripts/Custom/Voting/VoteCommand.cs:L19 Command CommandSystem.Register access=GameMaster; Data/Scripts/Custom/Voting/VoteCommand.cs:L20 Command CommandSystem.Register access=GameMaster; Data/Scripts/Custom/Voting/VoteCommand.cs:L44 Gump SendGump access=Internal; Data/Scripts/Custom/Voting/VoteCommand.cs:L56 Gump SendGump access=Internal; Data/Scripts/Custom/Voting/VoteConfig.cs:L43 Initialize Initialize access=GlobalOrInternal; Data/Scripts/Custom/Voting/VoteConfig.cs:L45 Event EventSink access=GlobalOrInternal; Data/Scripts/Custom/Voting/VoteConfig.cs:L45 WorldSave WorldSave access=GlobalOrInternal; Data/Scripts/Custom/Voting/VoteConfig.cs:L46 Event EventSink access=GlobalOrInternal; SerializerExamples=Data/Scripts/Custom/Voting/VoteConfig.cs:Unknown version=Unknown serialize=L deserialize=L alignment=AlignedByCountAndKnownTypes; Data/Scripts/Custom/Voting/VoteItem.cs:Server.Voting.VoteItem version=Unknown serialize=L167 deserialize=L187 alignment=CountMismatch:Writes=2;Reads=1; Data/Scripts/Custom/Voting/VoteSite.cs:Server.Voting.VoteSite version=Unknown serialize=L113 deserialize=L133 alignment=CountMismatch:Writes=5;Reads=4; Data/Scripts/Custom/Voting/VoteStone.cs:Server.Items.VoteStone version=Unknown serialize=L109 deserialize=L128 alignment=CountMismatch:Writes=2;Reads=1; ProjectTruth=Data/Scripts/Custom/Voting/VoteCommand.cs=Keep; Data/Scripts/Custom/Voting/VoteCommand.cs=Keep; Data/Scripts/Custom/Voting/VoteConfig.cs=Keep; Data/Scripts/Custom/Voting/VoteConfig.cs=Keep; Data/Scripts/Custom/Voting/VoteEvents.cs=Keep; Data/Scripts/Custom/Voting/VoteEvents.cs=Keep; Data/Scripts/Custom/Voting/VoteHelper.cs=Keep; Data/Scripts/Custom/Voting/VoteHelper.cs=Keep; Data/Scripts/Custom/Voting/VoteItem.cs=Keep; Data/Scripts/Custom/Voting/VoteItem.cs=Keep; Data/Scripts/Custom/Voting/VoteSite.cs=Keep; Data/Scripts/Custom/Voting/VoteSite.cs=Keep; Data/Scripts/Custom/Voting/VoteStatus.cs=Keep; Data/Scripts/Custom/Voting/VoteStatus.cs=Keep; Data/Scripts/Custom/Voting/VoteStone.cs=Keep; Data/Scripts/Custom/Voting/VoteStone.cs=Keep</t>
  </si>
  <si>
    <t>POST-BATCH-T docs source-trace review. Previous active row was PBN-0114/PBF-529. No source/project/XML/config/data behavior changed.</t>
  </si>
  <si>
    <t>RB-06791</t>
  </si>
  <si>
    <t>P10-F06791</t>
  </si>
  <si>
    <t>docs/wiki/voting-system.md</t>
  </si>
  <si>
    <t>PBT-0115</t>
  </si>
  <si>
    <t>Queue SourceEvidence=POST-BATCH-N lane=POST-BATCH-N-DOCS-SOURCE-TRACE; FileProofStatus=CurrentPathConfirmed; Documentation truth after POST-BATCH-F: SourceTracePresent=No; MissingClaims=Alias page carries independent behavior claims instead of only pointing to the canonical page.; StaleClaims=; Canonical=Alias; Target=docs/wiki/Voting_Rewards.md; SourceFiles=Data/Scripts/Custom/Voting/; Data/Scripts/Custom/Voting/VoteCommand.cs; Data/Scripts/Custom/Voting/VoteItem.cs; Data/Scripts/Custom/Voting/VoteStone.cs; Data/Scripts/Custom/Voting/VoteEvents.cs; Data/Scripts/Custom/Voting/VoteHelper.cs; Data/Scripts/Custom/Voting/VoteSite.cs; Data/Scripts/Custom/Voting/VoteConfig.cs; Data/Scripts/Custom/Voting/VoteStatus.cs; PathStatus=Data/Scripts/Custom/Voting/=CurrentDirectory; Data/Scripts/Custom/Voting/VoteCommand.cs=CurrentFile; Data/Scripts/Custom/Voting/VoteItem.cs=CurrentFile; Data/Scripts/Custom/Voting/VoteStone.cs=CurrentFile; Data/Scripts/Custom/Voting/VoteEvents.cs=CurrentFile; Data/Scripts/Custom/Voting/VoteHelper.cs=CurrentFile; Data/Scripts/Custom/Voting/VoteSite.cs=CurrentFile; Data/Scripts/Custom/Voting/VoteConfig.cs=CurrentFile; Data/Scripts/Custom/Voting/VoteStatus.cs=CurrentFile; HookExamples=Data/Scripts/Custom/Voting/VoteCommand.cs:L16 Initialize Initialize access=GlobalOrInternal; Data/Scripts/Custom/Voting/VoteCommand.cs:L18 Command CommandSystem.Register access=Player; Data/Scripts/Custom/Voting/VoteCommand.cs:L19 Command CommandSystem.Register access=GameMaster; Data/Scripts/Custom/Voting/VoteCommand.cs:L20 Command CommandSystem.Register access=GameMaster; Data/Scripts/Custom/Voting/VoteCommand.cs:L44 Gump SendGump access=Internal; Data/Scripts/Custom/Voting/VoteCommand.cs:L56 Gump SendGump access=Internal; Data/Scripts/Custom/Voting/VoteConfig.cs:L43 Initialize Initialize access=GlobalOrInternal; Data/Scripts/Custom/Voting/VoteConfig.cs:L45 Event EventSink access=GlobalOrInternal; Data/Scripts/Custom/Voting/VoteConfig.cs:L45 WorldSave WorldSave access=GlobalOrInternal; Data/Scripts/Custom/Voting/VoteConfig.cs:L46 Event EventSink access=GlobalOrInternal; SerializerExamples=Data/Scripts/Custom/Voting/VoteConfig.cs:Unknown version=Unknown serialize=L deserialize=L alignment=AlignedByCountAndKnownTypes; Data/Scripts/Custom/Voting/VoteItem.cs:Server.Voting.VoteItem version=Unknown serialize=L167 deserialize=L187 alignment=CountMismatch:Writes=2;Reads=1; Data/Scripts/Custom/Voting/VoteSite.cs:Server.Voting.VoteSite version=Unknown serialize=L113 deserialize=L133 alignment=CountMismatch:Writes=5;Reads=4; Data/Scripts/Custom/Voting/VoteStone.cs:Server.Items.VoteStone version=Unknown serialize=L109 deserialize=L128 alignment=CountMismatch:Writes=2;Reads=1; ProjectTruth=Data/Scripts/Custom/Voting/VoteCommand.cs=Keep; Data/Scripts/Custom/Voting/VoteCommand.cs=Keep; Data/Scripts/Custom/Voting/VoteConfig.cs=Keep; Data/Scripts/Custom/Voting/VoteConfig.cs=Keep; Data/Scripts/Custom/Voting/VoteEvents.cs=Keep; Data/Scripts/Custom/Voting/VoteEvents.cs=Keep; Data/Scripts/Custom/Voting/VoteHelper.cs=Keep; Data/Scripts/Custom/Voting/VoteHelper.cs=Keep; Data/Scripts/Custom/Voting/VoteItem.cs=Keep; Data/Scripts/Custom/Voting/VoteItem.cs=Keep; Data/Scripts/Custom/Voting/VoteSite.cs=Keep; Data/Scripts/Custom/Voting/VoteSite.cs=Keep; Data/Scripts/Custom/Voting/VoteStatus.cs=Keep; Data/Scripts/Custom/Voting/VoteStatus.cs=Keep; Data/Scripts/Custom/Voting/VoteStone.cs=Keep; Data/Scripts/Custom/Voting/VoteStone.cs=Keep</t>
  </si>
  <si>
    <t>POST-BATCH-T docs source-trace review. Previous active row was PBN-0115/PBF-530. No source/project/XML/config/data behavior changed.</t>
  </si>
  <si>
    <t>RB-06792</t>
  </si>
  <si>
    <t>P10-F06792</t>
  </si>
  <si>
    <t>docs/wiki/wikiautomationmemory.md</t>
  </si>
  <si>
    <t>PBT-0116</t>
  </si>
  <si>
    <t>POST-BATCH-T docs source-trace review. Previous active row was PBN-0116/PBF-531. No source/project/XML/config/data behavior changed.</t>
  </si>
  <si>
    <t>RB-06793</t>
  </si>
  <si>
    <t>P10-F06793</t>
  </si>
  <si>
    <t>docs/wiki/wikibacklog.md</t>
  </si>
  <si>
    <t>PBF-532</t>
  </si>
  <si>
    <t>FixedHistoricalPathReference</t>
  </si>
  <si>
    <t>Converted a fixed historical stale-path row from current source code spans to plain-text historical evidence so documentation truth no longer treats old bad paths as live source references.</t>
  </si>
  <si>
    <t>Documentation truth after POST-BATCH-F: SourceTracePresent=No; MissingSourceFiles=none; VerifiedSourceFiles=Data/Scripts/Custom/Book Publisher [2.0]/Publisher.cs;Data/Scripts/System/Obsolete/Obsolete.cs;Data/Scripts/Magic/Base/Spell.cs;Data/Scripts/Magic/Magery/;Data/Scripts/Magic/Misc/;Data/Scripts/Items/Technology/;Data/Scripts/Items/Relics/;Data/Scripts/Items/Explorers/;Data/Scripts/Items/Farming/;Data/Scripts/Mobiles/Goliaths/</t>
  </si>
  <si>
    <t>RB-06794</t>
  </si>
  <si>
    <t>P10-F06794</t>
  </si>
  <si>
    <t>PBF-533</t>
  </si>
  <si>
    <t>RB-06795</t>
  </si>
  <si>
    <t>P10-F06795</t>
  </si>
  <si>
    <t>PBF-534</t>
  </si>
  <si>
    <t>RB-06796</t>
  </si>
  <si>
    <t>P10-F06796</t>
  </si>
  <si>
    <t>PBF-535</t>
  </si>
  <si>
    <t>RB-06797</t>
  </si>
  <si>
    <t>P10-F06797</t>
  </si>
  <si>
    <t>PBF-536</t>
  </si>
  <si>
    <t>RB-06798</t>
  </si>
  <si>
    <t>P10-F06798</t>
  </si>
  <si>
    <t>docs/wiki/wikihandoff.md</t>
  </si>
  <si>
    <t>PBT-0117</t>
  </si>
  <si>
    <t>POST-BATCH-T docs source-trace review. Previous active row was PBN-0117/PBF-537. No source/project/XML/config/data behavior changed.</t>
  </si>
  <si>
    <t>RB-06799</t>
  </si>
  <si>
    <t>P10-F06799</t>
  </si>
  <si>
    <t>docs/wiki/Witchcraft.md</t>
  </si>
  <si>
    <t>PBT-0118</t>
  </si>
  <si>
    <t>Queue SourceEvidence=POST-BATCH-N lane=POST-BATCH-N-DOCS-SOURCE-TRACE; FileProofStatus=CurrentPathConfirmed; Documentation truth after POST-BATCH-F: SourceTracePresent=No; MissingClaims=Missing Source Trace section.; No existing source files were extracted from the page.; StaleClaims=; Canonical=Canonical; Target=; SourceFiles=Data/Scripts/Magic/Witch/UndeadSpell.cs; Data/Scripts/Magic/Witch/WitchBrews.cs; Data/Scripts/Magic/Witch/WitchPouch.cs; Data/Scripts/Magic/Witch/BookWitchBrewing.cs; PathStatus=Data/Scripts/Magic/Witch/UndeadSpell.cs=CurrentFile; Data/Scripts/Magic/Witch/WitchBrews.cs=CurrentFile; Data/Scripts/Magic/Witch/WitchPouch.cs=CurrentFile; Data/Scripts/Magic/Witch/BookWitchBrewing.cs=CurrentFile; HookExamples=Data/Scripts/Magic/Witch/BookWitchBrewing.cs:L403 Gump OnResponse access=Internal; Data/Scripts/Magic/Witch/BookWitchBrewing.cs:L418 Gump SendGump access=Internal; Data/Scripts/Magic/Witch/BookWitchBrewing.cs:L645 Gump SendGump access=Internal; Data/Scripts/Magic/Witch/WitchPouch.cs:L437 Gump OnResponse access=Internal; Data/Scripts/Magic/Witch/WitchPouch.cs:L447 Gump SendGump access=Internal; Data/Scripts/Magic/Witch/WitchPouch.cs:L450 Gump SendGump access=Internal; Data/Scripts/Magic/Witch/WitchPouch.cs:L454 Gump SendGump access=Internal; Data/Scripts/Magic/Witch/WitchPouch.cs:L461 Gump SendGump access=Internal; Data/Scripts/Magic/Witch/WitchPouch.cs:L475 Gump SendGump access=Internal; Data/Scripts/Magic/Witch/WitchPouch.cs:L489 Gump SendGump access=Internal; Data/Scripts/Magic/Witch/WitchPouch.cs:L672 Gump SendGump access=Internal; Data/Scripts/Magic/Witch/WitchPouch.cs:L684 Gump SendGump access=Internal; SerializerExamples=Data/Scripts/Magic/Witch/BookWitchBrewing.cs:Server.Items.BookWitchBrewing version=0 serialize=L652 deserialize=L658 alignment=AlignedByCountAndKnownTypes; Data/Scripts/Magic/Witch/WitchBrews.cs:Server.Items.BloodPactScroll version=0 serialize=L29 deserialize=L35 alignment=AlignedByCountAndKnownTypes; Data/Scripts/Magic/Witch/WitchBrews.cs:Server.Items.GhostlyImagesScroll version=0 serialize=L62 deserialize=L68 alignment=AlignedByCountAndKnownTypes; Data/Scripts/Magic/Witch/WitchBrews.cs:Server.Items.GhostPhaseScroll version=0 serialize=L95 deserialize=L101 alignment=AlignedByCountAndKnownTypes; Data/Scripts/Magic/Witch/WitchBrews.cs:Server.Items.GraveyardGatewayScroll version=0 serialize=L128 deserialize=L134 alignment=AlignedByCountAndKnownTypes; Data/Scripts/Magic/Witch/WitchBrews.cs:Server.Items.HellsBrandScroll version=0 serialize=L161 deserialize=L167 alignment=AlignedByCountAndKnownTypes; Data/Scripts/Magic/Witch/WitchBrews.cs:Server.Items.HellsGateScroll version=0 serialize=L194 deserialize=L200 alignment=AlignedByCountAndKnownTypes; Data/Scripts/Magic/Witch/WitchBrews.cs:Server.Items.ManaLeechScroll version=0 serialize=L227 deserialize=L233 alignment=AlignedByCountAndKnownTypes; Data/Scripts/Magic/Witch/WitchBrews.cs:Server.Items.NecroCurePoisonScroll version=0 serialize=L260 deserialize=L266 alignment=AlignedByCountAndKnownTypes; Data/Scripts/Magic/Witch/WitchBrews.cs:Server.Items.NecroPoisonScroll version=0 serialize=L293 deserialize=L299 alignment=AlignedByCountAndKnownTypes; Data/Scripts/Magic/Witch/WitchBrews.cs:Server.Items.NecroUnlockScroll version=0 serialize=L326 deserialize=L332 alignment=AlignedByCountAndKnownTypes; Data/Scripts/Magic/Witch/WitchBrews.cs:Server.Items.PhantasmScroll version=0 serialize=L359 deserialize=L365 alignment=AlignedByCountAndKnownTypes; ProjectTruth=Data/Scripts/Magic/Witch/BookWitchBrewing.cs=Keep; Data/Scripts/Magic/Witch/BookWitchBrewing.cs=Keep; Data/Scripts/Magic/Witch/UndeadSpell.cs=Keep; Data/Scripts/Magic/Witch/UndeadSpell.cs=Keep; Data/Scripts/Magic/Witch/WitchBrews.cs=Keep; Data/Scripts/Magic/Witch/WitchBrews.cs=Keep; Data/Scripts/Magic/Witch/WitchPouch.cs=Keep; Data/Scripts/Magic/Witch/WitchPouch.cs=Keep</t>
  </si>
  <si>
    <t>POST-BATCH-T docs source-trace review. Previous active row was PBN-0118/PBF-538. No source/project/XML/config/data behavior changed.</t>
  </si>
  <si>
    <t>RB-06800</t>
  </si>
  <si>
    <t>P10-F06800</t>
  </si>
  <si>
    <t>docs/wiki/World_Basics_Commands.md</t>
  </si>
  <si>
    <t>PBT-0119</t>
  </si>
  <si>
    <t>Queue SourceEvidence=POST-BATCH-N lane=POST-BATCH-N-DOCS-SOURCE-TRACE; FileProofStatus=CurrentPathConfirmed; Documentation truth after POST-BATCH-F: SourceTracePresent=No; MissingClaims=Missing Source Trace section.; StaleClaims=; Canonical=Canonical; Target=; SourceFiles=Data/Scripts/System/Help/Gumps/HelpGump.cs; Data/Scripts/System/Commands/Player/Basics.cs; Data/Scripts/Items/Books/DynamicBook.cs; Data/Scripts/System/Commands/Player/MyLibrary.cs; Data/Scripts/System/Commands/Handlers.cs; Data/System/Source/Commands.cs; Data/Scripts/System/Misc/World.cs; Data/Scripts/Mobiles/Base/BaseCreature.cs; PathStatus=Data/Scripts/System/Help/Gumps/HelpGump.cs=CurrentFile; Data/Scripts/System/Commands/Player/Basics.cs=CurrentFile; Data/Scripts/Items/Books/DynamicBook.cs=CurrentFile; Data/Scripts/System/Commands/Player/MyLibrary.cs=CurrentFile; Data/Scripts/System/Commands/Handlers.cs=CurrentFile; Data/System/Source/Commands.cs=CurrentFile; Data/Scripts/System/Misc/World.cs=CurrentFile; Data/Scripts/Mobiles/Base/BaseCreature.cs=CurrentFile; HookExamples=Data/Scripts/Items/Books/DynamicBook.cs:L77 Gump OnResponse access=Internal; Data/Scripts/Items/Books/DynamicBook.cs:L122 Gump OnResponse access=Internal; Data/Scripts/Items/Books/DynamicBook.cs:L181 Gump OnResponse access=Internal; Data/Scripts/Items/Books/DynamicBook.cs:L452 Gump SendGump access=Internal; Data/Scripts/Items/Books/DynamicBook.cs:L460 Gump SendGump access=Internal; Data/Scripts/Items/Books/DynamicBook.cs:L468 Gump SendGump access=Internal; Data/Scripts/Items/Books/DynamicBook.cs:L858 Timer Timer.DelayCall access=GlobalOrInternal; Data/Scripts/Items/Books/DynamicBook.cs:L900 Timer Timer.DelayCall access=GlobalOrInternal; Data/Scripts/Mobiles/Base/BaseCreature.cs:L487 Timer CustomTimerSubclass access=GlobalOrInternal; Data/Scripts/Mobiles/Base/BaseCreature.cs:L914 Timer Timer.DelayCall access=GlobalOrInternal; Data/Scripts/Mobiles/Base/BaseCreature.cs:L950 Timer Timer.DelayCall access=GlobalOrInternal; Data/Scripts/Mobiles/Base/BaseCreature.cs:L5879 Timer Timer.DelayCall access=GlobalOrInternal; SerializerExamples=Data/Scripts/Items/Books/DynamicBook.cs:Server.Items.AlchemicalElixirs version=Unknown serialize=L1523 deserialize=L1529 alignment=AlignedByCountAndKnownTypes; Data/Scripts/Items/Books/DynamicBook.cs:Server.Items.AlchemicalMixtures version=Unknown serialize=L1563 deserialize=L1569 alignment=AlignedByCountAndKnownTypes; Data/Scripts/Items/Books/DynamicBook.cs:Server.Items.BookBottleCity version=Unknown serialize=L1017 deserialize=L1023 alignment=AlignedByCountAndKnownTypes; Data/Scripts/Items/Books/DynamicBook.cs:Server.Items.BookGuideToAdventure version=Unknown serialize=L977 deserialize=L984 alignment=AlignedByCountAndKnownTypes; Data/Scripts/Items/Books/DynamicBook.cs:Server.Items.BookofDeadClue version=Unknown serialize=L1071 deserialize=L1077 alignment=AlignedByCountAndKnownTypes; Data/Scripts/Items/Books/DynamicBook.cs:Server.Items.BookOfPoisons version=Unknown serialize=L1603 deserialize=L1609 alignment=AlignedByCountAndKnownTypes; Data/Scripts/Items/Books/DynamicBook.cs:Server.Items.CBookDruidicHerbalism version=Unknown serialize=L888 deserialize=L894 alignment=AlignedByCountAndKnownTypes; Data/Scripts/Items/Books/DynamicBook.cs:Server.Items.CBookElvesandOrks version=Unknown serialize=L1151 deserialize=L1157 alignment=AlignedByCountAndKnownTypes; Data/Scripts/Items/Books/DynamicBook.cs:Server.Items.CBookNecroticAlchemy version=Unknown serialize=L847 deserialize=L853 alignment=AlignedByCountAndKnownTypes; Data/Scripts/Items/Books/DynamicBook.cs:Server.Items.CBookTheLostTribeofSosaria version=Unknown serialize=L1327 deserialize=L1333 alignment=AlignedByCountAndKnownTypes; Data/Scripts/Items/Books/DynamicBook.cs:Server.Items.CBookTombofDurmas version=Unknown serialize=L1111 deserialize=L1117 alignment=AlignedByCountAndKnownTypes; Data/Scripts/Items/Books/DynamicBook.cs:Server.Items.DynamicBook version=0 serialize=L482 deserialize=L498 alignment=CountMatchNeedsTypeReview:UnknownWrites=10; ProjectTruth=Data/Scripts/Items/Books/DynamicBook.cs=Keep; Data/Scripts/Items/Books/DynamicBook.cs=Keep; Data/Scripts/Mobiles/Base/BaseCreature.cs=Keep; Data/Scripts/Mobiles/Base/BaseCreature.cs=Keep; Data/Scripts/System/Commands/Handlers.cs=Keep; Data/Scripts/System/Commands/Handlers.cs=Keep; Data/Scripts/System/Commands/Player/Basics.cs=Keep; Data/Scripts/System/Commands/Player/Basics.cs=Keep; Data/Scripts/System/Commands/Player/MyLibrary.cs=Keep; Data/Scripts/System/Commands/Player/MyLibrary.cs=Keep; Data/Scripts/System/Help/Gumps/HelpGump.cs=Keep; Data/Scripts/System/Help/Gumps/HelpGump.cs=Keep; Data/Scripts/System/Misc/World.cs=Keep; Data/Scripts/System/Misc/World.cs=Keep</t>
  </si>
  <si>
    <t>POST-BATCH-T docs source-trace review. Previous active row was PBN-0119/PBF-539. No source/project/XML/config/data behavior changed.</t>
  </si>
  <si>
    <t>RB-06801</t>
  </si>
  <si>
    <t>P10-F06801</t>
  </si>
  <si>
    <t>docs/wiki/XML_Spawner_Enhancements.md</t>
  </si>
  <si>
    <t>PBT-0133</t>
  </si>
  <si>
    <t>Queue SourceEvidence=POST-BATCH-N lane=POST-BATCH-N-DOCS-SOURCE-TRACE; FileProofStatus=CurrentPathConfirmed; Documentation truth after POST-BATCH-F: SourceTracePresent=No; MissingClaims=Missing Source Trace section.; StaleClaims=; Canonical=Canonical; Target=; SourceFiles=Data/Scripts/Custom/XMLSpawner/XmlSpawner2.cs; PathStatus=Data/Scripts/Custom/XMLSpawner/XmlSpawner2.cs=CurrentFile; HookExamples=Data/Scripts/Custom/XMLSpawner/XmlSpawner2.cs:L2251 Gump SendGump access=Internal; Data/Scripts/Custom/XMLSpawner/XmlSpawner2.cs:L3943 Speech OnSpeech access=GlobalOrInternal; Data/Scripts/Custom/XMLSpawner/XmlSpawner2.cs:L4031 Timer CustomTimerSubclass access=GlobalOrInternal; Data/Scripts/Custom/XMLSpawner/XmlSpawner2.cs:L4092 Movement OnMovement access=GlobalOrInternal; Data/Scripts/Custom/XMLSpawner/XmlSpawner2.cs:L4119 Movement OnMovement access=GlobalOrInternal; Data/Scripts/Custom/XMLSpawner/XmlSpawner2.cs:L4193 Timer Timer.DelayCall access=GlobalOrInternal; Data/Scripts/Custom/XMLSpawner/XmlSpawner2.cs:L4302 Command CommandSystem.Register access=Unknown; Data/Scripts/Custom/XMLSpawner/XmlSpawner2.cs:L4431 Initialize Initialize access=GlobalOrInternal; Data/Scripts/Custom/XMLSpawner/XmlSpawner2.cs:L4491 Command CommandSystem.Register access=Unknown; Data/Scripts/Custom/XMLSpawner/XmlSpawner2.cs:L4496 Command CommandSystem.Register access=Unknown; Data/Scripts/Custom/XMLSpawner/XmlSpawner2.cs:L4501 Command CommandSystem.Register access=Unknown; Data/Scripts/Custom/XMLSpawner/XmlSpawner2.cs:L4506 Command CommandSystem.Register access=Unknown; SerializerExamples=Data/Scripts/Custom/XMLSpawner/XmlSpawner2.cs:Server.Mobiles.SpawnObject version=Unknown serialize=L15662 deserialize=L alignment=CountMismatch:Writes=20;Reads=0; Data/Scripts/Custom/XMLSpawner/XmlSpawner2.cs:Server.Mobiles.XmlSpawner version=31 serialize=L14792 deserialize=L14928 alignment=CountMismatch:Writes=74;Reads=120; ProjectTruth=Data/Scripts/Custom/XMLSpawner/XmlSpawner2.cs=Keep; Data/Scripts/Custom/XMLSpawner/XmlSpawner2.cs=Keep</t>
  </si>
  <si>
    <t>POST-BATCH-T docs source-trace review. Previous active row was PBN-0133/PBF-540. No source/project/XML/config/data behavior changed.</t>
  </si>
  <si>
    <t>RB-00001</t>
  </si>
  <si>
    <t>P10-F00001</t>
  </si>
  <si>
    <t>Project include drift</t>
  </si>
  <si>
    <t>POST-BATCH-G</t>
  </si>
  <si>
    <t>PBG-001</t>
  </si>
  <si>
    <t>FixedProjectTruthDrift</t>
  </si>
  <si>
    <t>Reconciled the historical project include drift row to the already completed ScriptsProjectTruth and IDEProjectHygiene repairs; no source, project, runtime, namespace, serialization, XML, config, or file-location change was made in POST-BATCH-G.</t>
  </si>
  <si>
    <t>docs/codebase-audit/outputs/post-batch-g-project-include-drift-review.csv</t>
  </si>
  <si>
    <t>ScriptsProjectTruth after POST-BATCH-G: project-truth-register.csv has 6581 Scripts.csproj compile includes, 6581 script source files, 0 missing compile targets, 0 unincluded source files, and 0 project cleanup backlog groups.</t>
  </si>
  <si>
    <t>Pending current POST-BATCH-G commit</t>
  </si>
  <si>
    <t>2026-06-13T20:17:10.5956233-05:00</t>
  </si>
  <si>
    <t>This is IDE/project-hygiene reconciliation, not live runtime script compile proof. Direct Scripts.csproj Debug/AnyCPU keeps the known standalone Server.csproj platform limitation; maintained ConficturaUO.sln Debug/Any CPU previously passed with warnings after IDEProjectHygiene repair.</t>
  </si>
  <si>
    <t>RB-00002</t>
  </si>
  <si>
    <t>P10-F00002</t>
  </si>
  <si>
    <t>PBG-002</t>
  </si>
  <si>
    <t>RB-00003</t>
  </si>
  <si>
    <t>P10-F00003</t>
  </si>
  <si>
    <t>PBG-003</t>
  </si>
  <si>
    <t>RB-00004</t>
  </si>
  <si>
    <t>P10-F00004</t>
  </si>
  <si>
    <t>PBG-004</t>
  </si>
  <si>
    <t>RB-00005</t>
  </si>
  <si>
    <t>P10-F00005</t>
  </si>
  <si>
    <t>PBG-005</t>
  </si>
  <si>
    <t>RB-00006</t>
  </si>
  <si>
    <t>P10-F00006</t>
  </si>
  <si>
    <t>PBG-006</t>
  </si>
  <si>
    <t>RB-00007</t>
  </si>
  <si>
    <t>P10-F00007</t>
  </si>
  <si>
    <t>Trades:Gardening</t>
  </si>
  <si>
    <t>PBG-007</t>
  </si>
  <si>
    <t>RB-00008</t>
  </si>
  <si>
    <t>P10-F00008</t>
  </si>
  <si>
    <t>Trades:Core</t>
  </si>
  <si>
    <t>PBG-008</t>
  </si>
  <si>
    <t>RB-00009</t>
  </si>
  <si>
    <t>P10-F00009</t>
  </si>
  <si>
    <t>PBG-009</t>
  </si>
  <si>
    <t>RB-00010</t>
  </si>
  <si>
    <t>P10-F00010</t>
  </si>
  <si>
    <t>PBG-010</t>
  </si>
  <si>
    <t>RB-00011</t>
  </si>
  <si>
    <t>P10-F00011</t>
  </si>
  <si>
    <t>PBG-011</t>
  </si>
  <si>
    <t>RB-00012</t>
  </si>
  <si>
    <t>P10-F00012</t>
  </si>
  <si>
    <t>PBG-012</t>
  </si>
  <si>
    <t>RB-00013</t>
  </si>
  <si>
    <t>P10-F00013</t>
  </si>
  <si>
    <t>Quests:Museum</t>
  </si>
  <si>
    <t>PBG-013</t>
  </si>
  <si>
    <t>RB-00014</t>
  </si>
  <si>
    <t>P10-F00014</t>
  </si>
  <si>
    <t>PBG-014</t>
  </si>
  <si>
    <t>RB-00015</t>
  </si>
  <si>
    <t>P10-F00015</t>
  </si>
  <si>
    <t>Quests:Epic</t>
  </si>
  <si>
    <t>PBG-015</t>
  </si>
  <si>
    <t>RB-00016</t>
  </si>
  <si>
    <t>P10-F00016</t>
  </si>
  <si>
    <t>PBG-016</t>
  </si>
  <si>
    <t>RB-00017</t>
  </si>
  <si>
    <t>P10-F00017</t>
  </si>
  <si>
    <t>Magic:Syth</t>
  </si>
  <si>
    <t>PBG-017</t>
  </si>
  <si>
    <t>RB-00018</t>
  </si>
  <si>
    <t>P10-F00018</t>
  </si>
  <si>
    <t>Magic:Holy Man</t>
  </si>
  <si>
    <t>PBG-018</t>
  </si>
  <si>
    <t>RB-00019</t>
  </si>
  <si>
    <t>P10-F00019</t>
  </si>
  <si>
    <t>Magic:Mystic</t>
  </si>
  <si>
    <t>PBG-019</t>
  </si>
  <si>
    <t>RB-00020</t>
  </si>
  <si>
    <t>P10-F00020</t>
  </si>
  <si>
    <t>Magic:Jedi</t>
  </si>
  <si>
    <t>PBG-020</t>
  </si>
  <si>
    <t>RB-00021</t>
  </si>
  <si>
    <t>P10-F00021</t>
  </si>
  <si>
    <t>PBG-021</t>
  </si>
  <si>
    <t>RB-00022</t>
  </si>
  <si>
    <t>P10-F00022</t>
  </si>
  <si>
    <t>Magic:Death Knight</t>
  </si>
  <si>
    <t>PBG-022</t>
  </si>
  <si>
    <t>RB-00023</t>
  </si>
  <si>
    <t>P10-F00023</t>
  </si>
  <si>
    <t>PBG-023</t>
  </si>
  <si>
    <t>RB-00024</t>
  </si>
  <si>
    <t>P10-F00024</t>
  </si>
  <si>
    <t>PBG-024</t>
  </si>
  <si>
    <t>RB-00025</t>
  </si>
  <si>
    <t>P10-F00025</t>
  </si>
  <si>
    <t>PBG-025</t>
  </si>
  <si>
    <t>RB-00026</t>
  </si>
  <si>
    <t>P10-F00026</t>
  </si>
  <si>
    <t>PBG-026</t>
  </si>
  <si>
    <t>RB-00027</t>
  </si>
  <si>
    <t>P10-F00027</t>
  </si>
  <si>
    <t>Custom:PvPConsent</t>
  </si>
  <si>
    <t>PBG-027</t>
  </si>
  <si>
    <t>RB-00028</t>
  </si>
  <si>
    <t>P10-F00028</t>
  </si>
  <si>
    <t>PBG-028</t>
  </si>
  <si>
    <t>RB-00029</t>
  </si>
  <si>
    <t>P10-F00029</t>
  </si>
  <si>
    <t>PBG-029</t>
  </si>
  <si>
    <t>RB-00030</t>
  </si>
  <si>
    <t>P10-F00030</t>
  </si>
  <si>
    <t>PBG-030</t>
  </si>
  <si>
    <t>RB-00031</t>
  </si>
  <si>
    <t>P10-F00031</t>
  </si>
  <si>
    <t>PBG-031</t>
  </si>
  <si>
    <t>RB-00032</t>
  </si>
  <si>
    <t>P10-F00032</t>
  </si>
  <si>
    <t>PBG-032</t>
  </si>
  <si>
    <t>RB-00033</t>
  </si>
  <si>
    <t>P10-F00033</t>
  </si>
  <si>
    <t>PBG-033</t>
  </si>
  <si>
    <t>RB-00034</t>
  </si>
  <si>
    <t>P10-F00034</t>
  </si>
  <si>
    <t>PBG-034</t>
  </si>
  <si>
    <t>RB-00035</t>
  </si>
  <si>
    <t>P10-F00035</t>
  </si>
  <si>
    <t>PBG-035</t>
  </si>
  <si>
    <t>RB-00036</t>
  </si>
  <si>
    <t>P10-F00036</t>
  </si>
  <si>
    <t>PBG-036</t>
  </si>
  <si>
    <t>RB-00037</t>
  </si>
  <si>
    <t>P10-F00037</t>
  </si>
  <si>
    <t>PBG-037</t>
  </si>
  <si>
    <t>RB-00038</t>
  </si>
  <si>
    <t>P10-F00038</t>
  </si>
  <si>
    <t>PBG-038</t>
  </si>
  <si>
    <t>RB-00039</t>
  </si>
  <si>
    <t>P10-F00039</t>
  </si>
  <si>
    <t>PBG-039</t>
  </si>
  <si>
    <t>RB-00040</t>
  </si>
  <si>
    <t>P10-F00040</t>
  </si>
  <si>
    <t>PBG-040</t>
  </si>
  <si>
    <t>RB-00041</t>
  </si>
  <si>
    <t>P10-F00041</t>
  </si>
  <si>
    <t>PBG-041</t>
  </si>
  <si>
    <t>RB-00042</t>
  </si>
  <si>
    <t>P10-F00042</t>
  </si>
  <si>
    <t>PBG-042</t>
  </si>
  <si>
    <t>RB-00043</t>
  </si>
  <si>
    <t>P10-F00043</t>
  </si>
  <si>
    <t>PBG-043</t>
  </si>
  <si>
    <t>RB-00044</t>
  </si>
  <si>
    <t>P10-F00044</t>
  </si>
  <si>
    <t>PBG-044</t>
  </si>
  <si>
    <t>RB-00045</t>
  </si>
  <si>
    <t>P10-F00045</t>
  </si>
  <si>
    <t>Custom:AIOverhaul</t>
  </si>
  <si>
    <t>PBG-045</t>
  </si>
  <si>
    <t>RB-00046</t>
  </si>
  <si>
    <t>P10-F00046</t>
  </si>
  <si>
    <t>PBG-046</t>
  </si>
  <si>
    <t>RB-00047</t>
  </si>
  <si>
    <t>P10-F00047</t>
  </si>
  <si>
    <t>PBG-047</t>
  </si>
  <si>
    <t>RB-00048</t>
  </si>
  <si>
    <t>P10-F00048</t>
  </si>
  <si>
    <t>PBG-048</t>
  </si>
  <si>
    <t>RB-00049</t>
  </si>
  <si>
    <t>P10-F00049</t>
  </si>
  <si>
    <t>PBG-049</t>
  </si>
  <si>
    <t>RB-00050</t>
  </si>
  <si>
    <t>P10-F00050</t>
  </si>
  <si>
    <t>PBG-050</t>
  </si>
  <si>
    <t>RB-00051</t>
  </si>
  <si>
    <t>P10-F00051</t>
  </si>
  <si>
    <t>PBG-051</t>
  </si>
  <si>
    <t>RB-00052</t>
  </si>
  <si>
    <t>P10-F00052</t>
  </si>
  <si>
    <t>PBG-052</t>
  </si>
  <si>
    <t>RB-00053</t>
  </si>
  <si>
    <t>P10-F00053</t>
  </si>
  <si>
    <t>PBG-053</t>
  </si>
  <si>
    <t>RB-00054</t>
  </si>
  <si>
    <t>P10-F00054</t>
  </si>
  <si>
    <t>PBG-054</t>
  </si>
  <si>
    <t>RB-00055</t>
  </si>
  <si>
    <t>P10-F00055</t>
  </si>
  <si>
    <t>PBG-055</t>
  </si>
  <si>
    <t>RB-00056</t>
  </si>
  <si>
    <t>P10-F00056</t>
  </si>
  <si>
    <t>PBG-056</t>
  </si>
  <si>
    <t>RB-00057</t>
  </si>
  <si>
    <t>P10-F00057</t>
  </si>
  <si>
    <t>PBG-057</t>
  </si>
  <si>
    <t>RB-00058</t>
  </si>
  <si>
    <t>P10-F00058</t>
  </si>
  <si>
    <t>PBG-058</t>
  </si>
  <si>
    <t>RB-00059</t>
  </si>
  <si>
    <t>P10-F00059</t>
  </si>
  <si>
    <t>PBG-059</t>
  </si>
  <si>
    <t>RB-00060</t>
  </si>
  <si>
    <t>P10-F00060</t>
  </si>
  <si>
    <t>PBG-060</t>
  </si>
  <si>
    <t>RB-00061</t>
  </si>
  <si>
    <t>P10-F00061</t>
  </si>
  <si>
    <t>PBG-061</t>
  </si>
  <si>
    <t>RB-06802</t>
  </si>
  <si>
    <t>Folder and namespace cleanup</t>
  </si>
  <si>
    <t>Data/Scripts/Custom/Progression/CharacterLevel/CharacterLevelCommands.cs;Data/Scripts/Custom/Progression/CharacterLevel/CharacterLevelService.cs</t>
  </si>
  <si>
    <t>Deferred</t>
  </si>
  <si>
    <t>POST-BATCH-H</t>
  </si>
  <si>
    <t>PBH-001</t>
  </si>
  <si>
    <t>ExecutedMoveNoNamespaceChange</t>
  </si>
  <si>
    <t>Moved only Data/Scripts/Custom/CharacterLevel/CharacterLevelCommands.cs;Data/Scripts/Custom/CharacterLevel/CharacterLevelService.cs to Data/Scripts/Custom/Progression/CharacterLevel; updated two Scripts.csproj Compile Include rows; updated Character Level documentation/source-trace paths; regenerated runtime script compile inventory plus Phase 1, 2, 3, 4, 5, 6, 7, 8, and 9 path-sensitive audit outputs.</t>
  </si>
  <si>
    <t>docs/codebase-audit/outputs/post-batch-h-character-level-move-review.csv</t>
  </si>
  <si>
    <t>Phase 12 proposal target=Data/Scripts/Custom/Progression/CharacterLevel; Phase 6/serialization evidence has 0 Character Level serialized rows; ScriptsProjectTruth after move has 6581 includes, 6581 script sources, 0 missing compile targets, 0 unincluded sources, and 0 project cleanup backlog groups; runtime-script-compile-inventory.csv has 2 target rows, 0 old-path rows, and 6581 total runtime-visible script rows.</t>
  </si>
  <si>
    <t>623c30d0 refactor: move character level scripts</t>
  </si>
  <si>
    <t>2026-06-14T00:27:21.1227216-05:00</t>
  </si>
  <si>
    <t>No namespace, class, command name, public API, serialized type, save version, XML/config, or gameplay behavior changed. Historical Phase 12 and Phase 13 old-path rows remain proposal/rollback evidence, not current source location.</t>
  </si>
  <si>
    <t>RB-06809</t>
  </si>
  <si>
    <t>Data/Scripts/Custom/Combat/AIOverhaul/AGENTS.md;Data/Scripts/Custom/Combat/AIOverhaul/AI_HANDOFF.md;Data/Scripts/Custom/Combat/AIOverhaul/AI_PHASE3_PLAYER_TESTING.md;Data/Scripts/Custom/Combat/AIOverhaul/AI_PHASED_OVERHAUL_PLAN.md;Data/Scripts/Custom/Combat/AIOverhaul/AITacticalTargeting.cs</t>
  </si>
  <si>
    <t>PBH-002</t>
  </si>
  <si>
    <t>Moved the AI Overhaul workspace from Data/Scripts/Custom/AIOverhaul to Data/Scripts/Custom/Combat/AIOverhaul; updated the Scripts.csproj Compile Include for AITacticalTargeting.cs; updated AI handoff/roadmap local paths, current source-trace docs, and the system-card generator path pattern; regenerated runtime script compile inventory plus Phase 1, 2, 3, 4, 5, 6, 7, 8, and 9 path-sensitive audit outputs.</t>
  </si>
  <si>
    <t>docs/codebase-audit/outputs/post-batch-h-ai-overhaul-move-review.csv</t>
  </si>
  <si>
    <t>Phase 12 proposal target=Data/Scripts/Custom/Combat/AIOverhaul; Phase 6/serialization evidence has 0 AI Overhaul serialized rows; ScriptsProjectTruth after move has 6581 includes, 6581 script sources, 0 missing compile targets, 0 unincluded sources, and 0 project cleanup backlog groups; runtime-script-compile-inventory.csv has 1 target row, 0 old-path rows, and 6581 total runtime-visible script rows; runtime-hook-map.csv has 0 AI Overhaul hook rows.</t>
  </si>
  <si>
    <t>0afb8d25 refactor: move ai overhaul workspace</t>
  </si>
  <si>
    <t>No namespace, class, command name, public API, serialized type, save version, XML/config, whitelist, targeting, movement, AI cadence, or gameplay behavior changed. Historical Phase 12 and Phase 13 old-path rows remain proposal/rollback evidence, not current source location.</t>
  </si>
  <si>
    <t>RB-06811</t>
  </si>
  <si>
    <t>Data/Scripts/Custom/StaffTools/StaticGumpTool/AGENTS.md;Data/Scripts/Custom/StaffTools/StaticGumpTool/README.txt;Data/Scripts/Custom/StaffTools/StaticGumpTool/Side Gumps/AddAnimation.cs;Data/Scripts/Custom/StaffTools/StaticGumpTool/Side Gumps/AddArch.cs;Data/Scripts/Custom/StaffTools/StaticGumpTool/Side Gumps/AddCooking.cs;Data/Scripts/Custom/StaffTools/StaticGumpTool/Side Gumps/AddCustom.cs;Data/Scripts/Custom/StaffTools/StaticGumpTool/Side Gumps/AddDeco.cs;Data/Scripts/Custom/StaffTools/StaticGumpTool/Side Gumps/AddDungeon.cs;Data/Scripts/Custom/StaffTools/StaticGumpTool/Side Gumps/addfence.cs;Data/Scripts/Custom/StaffTools/StaticGumpTool/Side Gumps/addfloor.cs;Data/Scripts/Custom/StaffTools/StaticGumpTool/Side Gumps/AddFurniture.cs;Data/Scripts/Custom/StaffTools/StaticGumpTool/Side Gumps/AddGear.cs;Data/Scripts/Custom/StaffTools/StaticGumpTool/Side Gumps/AddGround.cs;Data/Scripts/Custom/StaffTools/StaticGumpTool/Side Gumps/AddLight.cs;Data/Scripts/Custom/StaffTools/StaticGumpTool/Side Gumps/AddMisc.cs;Data/Scripts/Custom/StaffTools/StaticGumpTool/Side Gumps/AddNature.cs;Data/Scripts/Custom/StaffTools/StaticGumpTool/Side Gumps/addplants.cs;Data/Scripts/Custom/StaffTools/StaticGumpTool/Side Gumps/addrock.cs;Data/Scripts/Custom/StaffTools/StaticGumpTool/Side Gumps/addroof.cs;Data/Scripts/Custom/StaffTools/StaticGumpTool/Side Gumps/AddSignPost.cs;Data/Scripts/Custom/StaffTools/StaticGumpTool/Side Gumps/AddStairGump.cs;Data/Scripts/Custom/StaffTools/StaticGumpTool/Side Gumps/AddWallGump.cs;Data/Scripts/Custom/StaffTools/StaticGumpTool/StaticGump(Alternative).cs</t>
  </si>
  <si>
    <t>PBH-003</t>
  </si>
  <si>
    <t>Moved the Static Gump Tool workspace from Data/Scripts/Custom/OzThothStaticGump to Data/Scripts/Custom/StaffTools/StaticGumpTool; updated 21 Scripts.csproj Compile Include rows and one Content Include row; updated the moved folder AGENTS.md placement guidance, current source-trace docs, SystemAudit link, and the system-card generator path pattern; regenerated runtime script compile inventory plus Phase 1, 2, 3, 4, 5, 6, 7, 8, and 9 path-sensitive audit outputs.</t>
  </si>
  <si>
    <t>docs/codebase-audit/outputs/post-batch-h-static-gump-tool-move-review.csv</t>
  </si>
  <si>
    <t>Phase 12 proposal target=Data/Scripts/Custom/StaffTools/StaticGumpTool; Phase 6/serialization evidence has 0 Static Gump Tool serialized rows; ScriptsProjectTruth after move has 6581 includes, 6581 script sources, 0 missing compile targets, 0 unincluded sources, and 0 project cleanup backlog groups; runtime-script-compile-inventory.csv has 21 target rows, 0 old-path rows, and 6581 total runtime-visible script rows; runtime-hook-map.csv has 198 Static Gump Tool hook rows (23 Command, 153 Gump, 22 Initialize).</t>
  </si>
  <si>
    <t>16af7967 refactor: move static gump tool workspace</t>
  </si>
  <si>
    <t>No namespace, class, command name, public API, serialized type, save version, XML/config, gump button ID, staff command behavior, or gameplay behavior changed. The package-local AGENTS.md was preserved with byte-compatible path updates because it is not UTF-8 encoded. Historical Phase 12 and Phase 13 old-path rows remain proposal/rollback evidence, not current source location.</t>
  </si>
  <si>
    <t>RB-06810</t>
  </si>
  <si>
    <t>Data/Scripts/Custom/ThirdParty/OmniAI/AITester.cs;Data/Scripts/Custom/ThirdParty/OmniAI/OmniAI Bushido.cs;Data/Scripts/Custom/ThirdParty/OmniAI/OmniAI Core.cs;Data/Scripts/Custom/ThirdParty/OmniAI/OmniAI Knightship.cs;Data/Scripts/Custom/ThirdParty/OmniAI/OmniAI Magery.cs;Data/Scripts/Custom/ThirdParty/OmniAI/OmniAI Necromancy.cs;Data/Scripts/Custom/ThirdParty/OmniAI/OmniAI Ninjitsu.cs;Data/Scripts/Custom/ThirdParty/OmniAI/OmniAI Shared.cs</t>
  </si>
  <si>
    <t>PBH-004</t>
  </si>
  <si>
    <t>Moved the OmniAI workspace from Data/Scripts/Custom/OmniAI to Data/Scripts/Custom/ThirdParty/OmniAI; updated 8 Scripts.csproj Compile Include rows; updated current source-trace docs, SystemAudit link, AI Overhaul audit references, misc magic source trace, and the system-card generator path pattern; regenerated runtime script compile inventory plus Phase 1, 2, 3, 4, 5, 6, 7, 8, and 9 path-sensitive audit outputs.</t>
  </si>
  <si>
    <t>docs/codebase-audit/outputs/post-batch-h-omniai-move-review.csv</t>
  </si>
  <si>
    <t>Phase 12 proposal target=Data/Scripts/Custom/ThirdParty/OmniAI; AI Overhaul overlap gate was satisfied by prior POST-BATCH-H-02A; Phase 6/serialization evidence has one OmniAI serialized type, Server.Mobiles.AITester version 0, with aligned write/read counts; ScriptsProjectTruth after move has 6581 includes, 6581 script sources, 0 missing compile targets, 0 unincluded sources, and 0 project cleanup backlog groups; runtime-script-compile-inventory.csv has 8 target rows, 0 old-path rows, and 6581 total runtime-visible script rows; runtime-hook-map.csv has 2 OmniAI hook rows (1 Event, 1 Timer).</t>
  </si>
  <si>
    <t>c106986e refactor: move omniai workspace</t>
  </si>
  <si>
    <t>No namespace, class, command name, public API, serialized type name, save version, XML/config, AI behavior, combat behavior, timer behavior, or gameplay balance changed. AITester remains Server.Mobiles.AITester version 0; this was a file-path-only containment move. Historical Phase 12 and Phase 13 old-path rows remain proposal/rollback evidence, not current source location.</t>
  </si>
  <si>
    <t>RB-06812</t>
  </si>
  <si>
    <t>Data/Scripts/Custom/ThirdParty/Staff Toolbar [2.0]/Toolbar.cs</t>
  </si>
  <si>
    <t>PBH-005</t>
  </si>
  <si>
    <t>Moved the Staff Toolbar workspace from Data/Scripts/Custom/Staff Toolbar [2.0] to Data/Scripts/Custom/ThirdParty/Staff Toolbar [2.0]; updated the single Scripts.csproj Compile Include row; updated canonical Staff Toolbar documentation, SystemAudit source trace, and the system-card generator path pattern; regenerated runtime script compile inventory plus Phase 1, 2, 3, 4, 5, 6, 7, 8, and 9 path-sensitive audit outputs.</t>
  </si>
  <si>
    <t>docs/codebase-audit/outputs/post-batch-h-staff-toolbar-move-review.csv</t>
  </si>
  <si>
    <t>Phase 12 proposal target=Data/Scripts/Custom/ThirdParty/Staff Toolbar [2.0]; source review of Toolbar.cs lines 28-39 keeps the [Toolbar command registered at AccessLevel.Counselor and EventSink.Login subscription unchanged; lines 44-53 send the toolbar on login only when mobile AccessLevel is Counselor or higher; lines 56-60 preserve the command close-and-send flow; lines 129-171 preserve Joeku.ToolbarInfos serialization/version-read behavior without namespace, type, or save-version changes; ScriptsProjectTruth after move has 6581 includes, 6581 script sources, 0 missing compile targets, 0 unincluded sources, and 0 project cleanup backlog groups; RuntimeScriptCompileTruth inventory has 1 target row, 0 old-path rows, and 6581 total runtime-visible script rows; runtime-hook-map.csv has 26 Staff Toolbar hook rows (Event=1; Gump=23; Initialize=1; Login=1); serialization-register.csv has one Staff Toolbar serialized row, Joeku.ToolbarInfos, with CountMismatch:Writes=15;Reads=14.</t>
  </si>
  <si>
    <t>4aae66e9 refactor: move staff toolbar workspace</t>
  </si>
  <si>
    <t>No namespace, class, command name, public API, serialized type name, save version, XML/config, staff workflow, access policy, gump behavior, or gameplay behavior changed. The known legacy serializer evidence for Joeku.ToolbarInfos was preserved and this batch did not attempt a save-format repair. Historical Phase 12 and Phase 13 old-path rows remain proposal/rollback evidence, not current source location.</t>
  </si>
  <si>
    <t>RB-06804</t>
  </si>
  <si>
    <t>Data/Scripts/Custom/PvE/RandomEncounters/Cleaner.old;Data/Scripts/Custom/PvE/RandomEncounters/Commands.cs;Data/Scripts/Custom/PvE/RandomEncounters/COPYING.txt;Data/Scripts/Custom/PvE/RandomEncounters/Definitions.cs;Data/Scripts/Custom/PvE/RandomEncounters/EncounterEngine.cs;Data/Scripts/Custom/PvE/RandomEncounters/Helpers.cs;Data/Scripts/Custom/PvE/RandomEncounters/Import.cs;Data/Scripts/Custom/PvE/RandomEncounters/RandomEncounters.xml;Data/Scripts/Custom/PvE/RandomEncounters/RandomEncounters.xml.orig;Data/Scripts/Custom/PvE/RandomEncounters/ReadMe.txt;Data/Scripts/Custom/PvE/RandomEncounters/Records.cs;Data/Scripts/Custom/PvE/RandomEncounters/RedBlackTree.cs;Data/Scripts/Custom/PvE/RandomEncounters/SpawnFinder.cs;Data/Scripts/Custom/PvE/RandomEncounters/SpawnFinder.old;Data/Scripts/Custom/PvE/RandomEncounters/Timers.cs;Data/Scripts/Custom/PvE/RandomEncounters/XmlDateCount.cs;Data/Scripts/Custom/PvE/RandomEncounters/XmlLinePreservingDoc.cs</t>
  </si>
  <si>
    <t>PBH-006</t>
  </si>
  <si>
    <t>Moved the Random Encounters workspace from Data/Scripts/Custom/RandomEncounters to Data/Scripts/Custom/PvE/RandomEncounters; updated 11 Scripts.csproj Compile Include rows, 3 Content rows, and 3 None rows; updated EncounterEngine.cs to load RandomEncounters.xml from the moved package path; updated current Random Encounters, Character Level, Search, AI Overhaul, SystemAudit, and audit-tool source traces; regenerated runtime script compile inventory plus Phase 1, 2, 3, 4, 5, 6, 7, 8, and 9 path-sensitive audit outputs.</t>
  </si>
  <si>
    <t>docs/codebase-audit/outputs/post-batch-h-random-encounters-move-review.csv</t>
  </si>
  <si>
    <t>Phase 12 proposal target=Data/Scripts/Custom/PvE/RandomEncounters; source review found EncounterEngine.cs lines 46-47 hardcoded the RandomEncounters.xml path, so this file-location-only move updated that constant to the moved package path while preserving the XML contents; Commands.cs lines 21-27 keep the [rand command registered at AccessLevel.Administrator; Helpers.cs lines 30-33 keep road tile initialization and lines 117-122 keep the CharacterLevelService encounter-level bridge; XmlDateCount.cs lines 29-42 preserve Server.Engines.XmlSpawner2.XmlDateCount serialization version 0; ScriptsProjectTruth after move has 6581 includes, 6581 script sources, 0 missing compile targets, 0 unincluded sources, and 0 project cleanup backlog groups; RuntimeScriptCompileTruth inventory has 11 target rows, 0 old-path rows, and 6581 total runtime-visible script rows; runtime-hook-map.csv has 8 Random Encounters hook rows (Command=1; Initialize=3; Timer=4); serialization-register.csv has two Random Encounters rows: Server.Engines.XmlSpawner2.XmlDateCount version 0 plus the Import.cs NoVersionFound review row.</t>
  </si>
  <si>
    <t>6f4df4cc refactor: move random encounters workspace</t>
  </si>
  <si>
    <t>No namespace, class, command name, public API, serialized type name, save version, XML/config schema, encounter table contents, timer cadence, command access, reward/balance rule, or gameplay behavior changed. The package-local XML path constant changed only to preserve the same checked-in RandomEncounters.xml load after the file-location move. Historical Phase 12 and Phase 13 old-path rows remain proposal/rollback evidence, not current source location.</t>
  </si>
  <si>
    <t>RB-06815</t>
  </si>
  <si>
    <t>Data/Scripts/Custom/PvE/CloneOfflinePlayerCharacters/BackpackClone.cs;Data/Scripts/Custom/PvE/CloneOfflinePlayerCharacters/CharacterClone.cs;Data/Scripts/Custom/PvE/CloneOfflinePlayerCharacters/CheckClonesCommand.cs;Data/Scripts/Custom/PvE/CloneOfflinePlayerCharacters/CloneOfflinePlayerCharacters.cs;Data/Scripts/Custom/PvE/CloneOfflinePlayerCharacters/CloneThings.cs;Data/Scripts/Custom/PvE/CloneOfflinePlayerCharacters/EtherealMountClone.cs;Data/Scripts/Custom/PvE/CloneOfflinePlayerCharacters/MountClone.cs</t>
  </si>
  <si>
    <t>PBH-007</t>
  </si>
  <si>
    <t>Moved the Clone Offline Player Characters workspace from Data/Scripts/Custom/CloneOfflinePlayerCharacters to Data/Scripts/Custom/PvE/CloneOfflinePlayerCharacters; updated 7 Scripts.csproj Compile Include rows; updated current Clone Offline, AI Overhaul, SystemAudit, and audit-tool source traces; removed stale docs claims that Scripts.csproj listed only the entry-point file; regenerated runtime script compile inventory plus Phase 1, 2, 3, 4, 5, 6, 7, 8, and 9 path-sensitive audit outputs.</t>
  </si>
  <si>
    <t>docs/codebase-audit/outputs/post-batch-h-clone-offline-move-review.csv</t>
  </si>
  <si>
    <t>Phase 12 proposal target=Data/Scripts/Custom/PvE/CloneOfflinePlayerCharacters; source review found no package-local file path constants under the Clone Offline source tree; CloneOfflinePlayerCharacters.cs lines 19-22 keep Initialize, EventSink.Logout, and EventSink.Login registration; CheckClonesCommand.cs lines 17-23 keep the [CheckClones administrator command registration; CharacterClone.cs lines 27-39 preserve BaseCreature constructor AI settings and lines 95-98 preserve ForcedAI returning OmniAI; serialization-register.csv has four preserved namespace/type rows (BackpackClone:v0:WriteVersionOnly:CountMismatch:Writes=0;Reads=1; CharacterClone:v0:WriteVersionOnly:CountMismatch:Writes=1;Reads=2; EtherealMountClone:v0:WriteVersionOnly:CountMismatch:Writes=0;Reads=1; MountClone:v0:WriteVersionOnly:CountMismatch:Writes=0;Reads=1); prior POST-BATCH-B-16A serializer triage classified the Clone Offline serializer rows as SafeNoChange, and prior POST-BATCH-E-04A fixed the login/logout hook guards; ScriptsProjectTruth after move has 6581 includes, 6581 script sources, 0 missing compile targets, 0 unincluded sources, and 0 project cleanup backlog groups; RuntimeScriptCompileTruth inventory has 7 target rows, 0 old-path rows, and 6581 total runtime-visible script rows; runtime-hook-map.csv has 8 Clone Offline hook rows (Command=1; Event=2; Initialize=2; Login=1; Logout=1; Timer=1).</t>
  </si>
  <si>
    <t>50163cd6 refactor: move clone offline workspace; a0f741e0 docs: add clone offline h review artifacts</t>
  </si>
  <si>
    <t>No namespace, class, command name, public API, serialized type name, save version, XML/config schema, AI selection, clone lifecycle rule, reward/balance rule, or gameplay behavior changed. Historical Phase 12 and Phase 13 old-path rows remain proposal/rollback evidence, not current source location.</t>
  </si>
  <si>
    <t>RB-06806</t>
  </si>
  <si>
    <t>Data/Scripts/Custom/PvPConsent</t>
  </si>
  <si>
    <t>BlocksOnlyThisDomain</t>
  </si>
  <si>
    <t>PBY-0059</t>
  </si>
  <si>
    <t>BlockedForReorganizationOnly</t>
  </si>
  <si>
    <t>Ordinary non-move source maintenance may proceed only if it preserves current file location, namespace, type names, serialized layouts, project paths, commands, hooks, XML/config, and behavior. Excluded surface: Folder moves, namespace changes, type renames, project path rewrites for relocation, package containment moves, serialized type relocation, and docs source-trace move updates for this system.</t>
  </si>
  <si>
    <t>PriorOverlayEvidence: Backlog gate requires policy review across PvP Consent, Government, Regions, XMLPoints/XMLSpawner, and PlayerMobile before moving Data/Scripts/Custom/PvPConsent. Source/project evidence is stable for a possible future file-location-only move: source path exists with 5 runtime-visible C# files and 7 total files; target path Data/Scripts/Custom/PvP/PvPConsent does not exist; ScriptsProjectTruth has 5 project include rows, 5 source rows, 0 missing compile targets, and 0 unincluded sources; serialization-register.csv has five PvP Consent rows (Server.Mobiles.GoddessOfProtection:v0:SingleVersionOnly:AlignedByCountAndKnownTypes; Server.Items.NONPKEventConfirmationMoongate:v0:Switch:CountMatchNeedsTypeReview:UnknownWrites=1; Server.Items.NONPKEventMoongate:v1:IfVersionGates:CountMatchNeedsTypeReview:UnknownWrites=3; Server.Items.NONPKSword:v0:SingleVersionOnly:AlignedByCountAndKnownTypes; Server.Items.PKSword:v0:SingleVersionOnly:AlignedByCountAndKnownTypes); runtime-hook-map.csv has 13 PvP Consent rows (Command=1; Gump=6; Initialize=1; Movement=1; Speech=1; Timer=3). Gate evidence is not clear for execution because policy rows remain deferred or human-gated: RB-05382=ReviewedNoChange (PvP Consent PlayerMobile coupling, PHC-023); RB-05383=ReviewedNoChange (PvP Consent PlayerMobile coupling, PHC-024); RB-05403=ReviewedNoChange (PvP Consent PlayerMobile coupling, PHC-025); RB-01754=Fixed (PvP Consent PlayerMobile lifecycle hook, PHE-156); RB-01755=Fixed (PvP Consent PlayerMobile lifecycle hook, PHE-157); RB-01756=Fixed (PvP Consent PlayerMobile lifecycle hook, PHE-158); RB-01757=Fixed (PvP Consent PlayerMobile lifecycle hook, PHE-159); RB-01817=ReviewedNoChange (Regions hook review, PHE-216); RB-05609=DeferredBalanceDecision (PvP Consent &lt;-&gt; Government balance/policy, PBF-007); RB-05610=DeferredBalanceDecision (PvP Consent &lt;-&gt; XMLSpawner/XMLPoints balance/policy, PBF-008); RB-05631=NeedsHumanDecision (XMLSpawner staff tooling policy decision, PBF-029). || PriorNotes: Deferred gate blockers: RB-05609:PvP Consent &lt;-&gt; Government balance/policy; RB-05610:PvP Consent &lt;-&gt; XMLSpawner/XMLPoints balance/policy; RB-05631:XMLSpawner staff tooling policy decision. This disposition does not reject the Phase 12 target; it prevents a silent move while related policy/balance/staff decisions remain unresolved.</t>
  </si>
  <si>
    <t>PreviousStatus=DeferredMoveGate; GateOutcome=Move/reorganization remains blocked for this domain.; RequiredApproval=Required before any move/reorganization for this system. Follow the original POST-BATCH-H gate artifact.</t>
  </si>
  <si>
    <t>RB-06805</t>
  </si>
  <si>
    <t>Data/Scripts/Custom/PvE/MonsterNests/MonsterNest.cs;Data/Scripts/Custom/PvE/MonsterNests/MonsterNestEntity.cs;Data/Scripts/Custom/PvE/MonsterNests/MonsterNestLoot.cs;Data/Scripts/Custom/PvE/MonsterNests/Types/LizardmanNest.cs;Data/Scripts/Custom/PvE/MonsterNests/Types/RatmanNest.cs;Data/Scripts/Custom/PvE/MonsterNests/Types/UndeadNest.cs</t>
  </si>
  <si>
    <t>PBH-009</t>
  </si>
  <si>
    <t>Moved the Monster Nests workspace from Data/Scripts/Custom/MonsterNest to Data/Scripts/Custom/PvE/MonsterNests; updated 6 Scripts.csproj Compile Include rows; updated current Monster Nest wiki, SystemAudit, and audit-tool source traces; regenerated runtime script compile inventory plus Phase 1, 2, 3, 4, 5, 6, 7, 8, and 9 path-sensitive audit outputs.</t>
  </si>
  <si>
    <t>docs/codebase-audit/outputs/post-batch-h-monster-nests-move-review.csv</t>
  </si>
  <si>
    <t>Phase 12 proposal target=Data/Scripts/Custom/PvE/MonsterNests; source review found no package-local file path constants under Monster Nests; six serializer paths were reviewed in serialization-register.csv and preserved namespace/type/version evidence (Server.Custom.Confictura.LizardmanNest:v0:SingleVersionOnly:AlignedByCountAndKnownTypes; Server.Custom.Confictura.RatmanNest:v0:SingleVersionOnly:AlignedByCountAndKnownTypes; Server.Items.MonsterNest:v0:SingleVersionOnly:AlignedByCountAndKnownTypes; Server.Items.MonsterNestLoot:v0:SingleVersionOnly:AlignedByCountAndKnownTypes; Server.Items.UndeadNest:v0:SingleVersionOnly:AlignedByCountAndKnownTypes; Server.Mobiles.MonsterNestEntity:v0:SingleVersionOnly:AlignedByCountAndKnownTypes); MonsterNest.cs retains two timer subclasses, MonsterNestLoot.cs retains two timer subclasses, and runtime-hook-map.csv has 4 moved hook rows (Timer=4); ScriptsProjectTruth after move has 6581 includes, 6581 script sources, 0 missing compile targets, 0 unincluded sources, and 0 project cleanup backlog groups; RuntimeScriptCompileTruth inventory has 6 target rows, 0 old-path rows, and 6581 total runtime-visible script rows.</t>
  </si>
  <si>
    <t>87a2b18b refactor: move monster nests workspace</t>
  </si>
  <si>
    <t>No namespace, class, command name, public API, serialized type name, save version, XML/config schema, spawn table, timer cadence, reward/balance rule, or gameplay behavior changed. Historical Phase 12 and Phase 13 old-path rows remain proposal/rollback evidence, not current source location.</t>
  </si>
  <si>
    <t>RB-06808</t>
  </si>
  <si>
    <t>Data/Scripts/Custom/Invasion System</t>
  </si>
  <si>
    <t>PBY-0060</t>
  </si>
  <si>
    <t>PriorOverlayEvidence: Backlog gate requires staff workflow docs and serializer review before moving Data/Scripts/Custom/Invasion System. Current source/project evidence is stable for a possible future file-location-only move: source path exists with 100 runtime-visible C# files and 102 total package files; target path Data/Scripts/Custom/Events/InvasionSystem does not exist; RuntimeScriptCompileTruth inventory has 100 old-path rows; ScriptsProjectTruth has 100 project include rows, 100 source rows, 0 missing compile targets, and 0 unincluded sources; runtime-hook-map.csv has 172 Invasion rows (Command=1; Gump=153; Initialize=1; Movement=3; Timer=14); serialization-register.csv has 76 Invasion rows (NoVersionFound, AlignedByCountAndKnownTypes, NamespaceOrTypeRenameDanger=1; SingleVersionOnly, AlignedByCountAndKnownTypes, NamespaceOrTypeRenameDanger=72; SingleVersionOnly, AlignedByCountAndKnownTypes, UnknownUntilSaveTest=1; Switch, CountMatchNeedsTypeReview:UnknownWrites=1, NamespaceOrTypeRenameDanger=1; Switch, CountMatchNeedsTypeReview:UnknownWrites=7, NamespaceOrTypeRenameDanger=1). Gate evidence is not clear for execution because serializer caution rows remain (Server.Mobiles.BaseSpecialCreature:NoVersionFound:AlignedByCountAndKnownTypes:NamespaceOrTypeRenameDanger; Server.Items.GargoyleCityInvasionStone:SingleVersionOnly:AlignedByCountAndKnownTypes:UnknownUntilSaveTest) and related staff/balance rows remain deferred or human-gated: RB-05605=DeferredBalanceDecision (Random Encounters &lt;-&gt; Invasion balance/policy, PBF-003); RB-05620=DeferredBalanceDecision (Invasion &lt;-&gt; Champions balance/policy, PBF-018); RB-05630=NeedsHumanDecision (Invasion staff workflow ownership, PBF-028); RB-05632=NeedsHumanDecision (Government &lt;-&gt; Invasion staff workflow ownership, PBF-030); RB-05634=NeedsHumanDecision (XMLSpawner &lt;-&gt; Invasion staff workflow ownership, PBF-032); RB-05645=NeedsHumanDecision (Invasion staff tooling policy, PBF-043). || PriorNotes: Deferred gate blockers: RB-05605:Random Encounters &lt;-&gt; Invasion balance/policy; RB-05620:Invasion &lt;-&gt; Champions balance/policy; RB-05630:Invasion staff workflow ownership; RB-05632:Government &lt;-&gt; Invasion staff workflow ownership; RB-05634:XMLSpawner &lt;-&gt; Invasion staff workflow ownership; RB-05645:Invasion staff tooling policy. Serializer caution evidence: Server.Mobiles.BaseSpecialCreature:NoVersionFound:AlignedByCountAndKnownTypes:NamespaceOrTypeRenameDanger; Server.Items.GargoyleCityInvasionStone:SingleVersionOnly:AlignedByCountAndKnownTypes:UnknownUntilSaveTest. This disposition does not reject the Phase 12 target; it prevents a silent high-risk package move while staff workflow and serializer-review gates remain unresolved.</t>
  </si>
  <si>
    <t>RB-06813</t>
  </si>
  <si>
    <t>Data/Scripts/Custom/XMLSpawner</t>
  </si>
  <si>
    <t>PBY-0061</t>
  </si>
  <si>
    <t>PriorOverlayEvidence: Backlog gate explicitly requires approval before moving Data/Scripts/Custom/XMLSpawner because packet, attachment, world save/load, and project truth risks are high. Current source/project evidence is stable for review only: source path exists with 133 runtime-visible C# files and 249 total package files; target path Data/Scripts/Custom/ThirdParty/XMLSpawner does not exist; RuntimeScriptCompileTruth inventory has 133 old-path rows; ScriptsProjectTruth has 133 project include rows, 133 source rows, 0 missing compile targets, and 0 unincluded sources; Scripts.csproj also has 92 Content rows and 19 None rows under Custom\XMLSpawner; runtime-hook-map.csv has 589 XMLSpawner rows (Command=75; Event=6; Gump=368; Initialize=23; Movement=27; Packet=3; Region=4; Speech=20; Timer=61; WorldLoad=1; WorldSave=1); serialization-register.csv has 100 XMLSpawner rows, with 100 NeedsSourceReview rows, 100 UnknownUntilSaveTest rows, and 3 NoVersionFound rows (NoVersionFound, AlignedByCountAndKnownTypes, UnknownUntilSaveTest=2; NoVersionFound, CountMismatch:Writes=20;Reads=0, UnknownUntilSaveTest=1; SingleVersionOnly, AlignedByCountAndKnownTypes, UnknownUntilSaveTest=33; SingleVersionOnly, CountMatchNeedsTypeReview:UnknownWrites=1, UnknownUntilSaveTest=9; SingleVersionOnly, CountMatchNeedsTypeReview:UnknownWrites=2, UnknownUntilSaveTest=3; SingleVersionOnly, CountMatchNeedsTypeReview:UnknownWrites=3, UnknownUntilSaveTest=1; SingleVersionOnly, CountMatchNeedsTypeReview:UnknownWrites=5, UnknownUntilSaveTest=2; SingleVersionOnly, CountMatchNeedsTypeReview:UnknownWrites=6, UnknownUntilSaveTest=1; SingleVersionOnly, CountMatchNeedsTypeReview:UnknownWrites=7, UnknownUntilSaveTest=1; SingleVersionOnly, CountMismatch:Writes=4;Reads=3, UnknownUntilSaveTest=1; Switch, AlignedByCountAndKnownTypes, UnknownUntilSaveTest=1; Switch, CountMatchNeedsTypeReview:UnknownWrites=1, UnknownUntilSaveTest=2; Switch, CountMatchNeedsTypeReview:UnknownWrites=20, UnknownUntilSaveTest=1; Switch, CountMatchNeedsTypeReview:UnknownWrites=5, UnknownUntilSaveTest=2; Switch, CountMatchNeedsTypeReview:UnknownWrites=6, UnknownUntilSaveTest=1; Switch, CountMatchNeedsTypeReview:UnknownWrites=7, UnknownUntilSaveTest=1; Switch, CountMismatch:Writes=0;Reads=8, UnknownUntilSaveTest=1; Switch, CountMismatch:Writes=10;Reads=8, UnknownUntilSaveTest=1; Switch, CountMismatch:Writes=13;Reads=12, UnknownUntilSaveTest=1; Switch, CountMismatch:Writes=14;Reads=13, UnknownUntilSaveTest=1; Switch, CountMismatch:Writes=15;Reads=14, UnknownUntilSaveTest=1; Switch, CountMismatch:Writes=16;Reads=15, UnknownUntilSaveTest=2; Switch, CountMismatch:Writes=17;Reads=16, UnknownUntilSaveTest=1; Switch, CountMismatch:Writes=18;Reads=16, UnknownUntilSaveTest=1; Switch, CountMismatch:Writes=19;Reads=17, UnknownUntilSaveTest=1; Switch, CountMismatch:Writes=23;Reads=20, UnknownUntilSaveTest=1; Switch, CountMismatch:Writes=3;Reads=8, UnknownUntilSaveTest=1; SwitchGotoCase, CountMatchNeedsTypeReview:UnknownWrites=10, UnknownUntilSaveTest=1; SwitchGotoCase, CountMatchNeedsTypeReview:UnknownWrites=11, UnknownUntilSaveTest=2; SwitchGotoCase, CountMatchNeedsTypeReview:UnknownWrites=18, UnknownUntilSaveTest=1; SwitchGotoCase, CountMatchNeedsTypeReview:UnknownWrites=2, UnknownUntilSaveTest=1; SwitchGotoCase, CountMatchNeedsTypeReview:UnknownWrites=4, UnknownUntilSaveTest=5; SwitchGotoCase, CountMatchNeedsTypeReview:UnknownWrites=6, UnknownUntilSaveTest=2; SwitchGotoCase, CountMatchNeedsTypeReview:UnknownWrites=7, UnknownUntilSaveTest=1; SwitchGotoCase, CountMatchNeedsTypeReview:UnknownWrites=8, UnknownUntilSaveTest=1; SwitchGotoCase, CountMatchNeedsTypeReview:UnknownWrites=9, UnknownUntilSaveTest=1; SwitchGotoCase, CountMismatch:Writes=11;Reads=8, UnknownUntilSaveTest=2; SwitchGotoCase, CountMismatch:Writes=26;Reads=23, UnknownUntilSaveTest=1; SwitchGotoCase, CountMismatch:Writes=44;Reads=52, UnknownUntilSaveTest=1; SwitchGotoCase, CountMismatch:Writes=45;Reads=43, UnknownUntilSaveTest=1; SwitchGotoCase, CountMismatch:Writes=47;Reads=45, UnknownUntilSaveTest=1; SwitchGotoCase, CountMismatch:Writes=5;Reads=46, UnknownUntilSaveTest=2; SwitchGotoCase, CountMismatch:Writes=7;Reads=6, UnknownUntilSaveTest=1; SwitchGotoCase, CountMismatch:Writes=74;Reads=120, UnknownUntilSaveTest=1; SwitchGotoCase, TypeMismatch:#11:Write=int/Read=Point3D, UnknownUntilSaveTest=1). Gate evidence is not clear for execution because explicit approval is absent and related staff/balance rows remain deferred or human-gated: RB-05604=DeferredBalanceDecision (Random Encounters &lt;-&gt; XMLSpawner balance/policy, PBF-002); RB-05610=DeferredBalanceDecision (PvP Consent &lt;-&gt; XMLSpawner balance/policy, PBF-008); RB-05618=DeferredBalanceDecision (XMLSpawner &lt;-&gt; Champions balance/policy, PBF-016); RB-05619=DeferredBalanceDecision (XMLSpawner &lt;-&gt; Monster Nests balance/policy, PBF-017); RB-05629=NeedsHumanDecision (XMLSpawner staff tooling policy, PBF-027); RB-05631=NeedsHumanDecision (XMLSpawner staff tooling policy, PBF-029); RB-05634=NeedsHumanDecision (XMLSpawner &lt;-&gt; Invasion staff workflow ownership, PBF-032); RB-05635=NeedsHumanDecision (XMLSpawner staff tooling policy, PBF-033); RB-05636=NeedsHumanDecision (XMLSpawner staff tooling policy, PBF-034); RB-05637=NeedsHumanDecision (XMLSpawner staff tooling policy, PBF-035); RB-05638=NeedsHumanDecision (XMLSpawner staff tooling policy, PBF-036); RB-05639=NeedsHumanDecision (XMLSpawner staff tooling policy, PBF-037); RB-05640=NeedsHumanDecision (XMLSpawner staff tooling policy, PBF-038); RB-05641=NeedsHumanDecision (XMLSpawner staff tooling policy, PBF-039); RB-05642=NeedsHumanDecision (XMLSpawner staff tooling policy, PBF-040); RB-05643=NeedsHumanDecision (XMLSpawner staff tooling policy, PBF-041); RB-05644=NeedsHumanDecision (XMLSpawner staff tooling policy, PBF-042). Additional XMLSpawner source/schema follow-up rows still queued: 78. || PriorNotes: Needs human decision before any move. Explicit approval blockers: RB-05604:Random Encounters &lt;-&gt; XMLSpawner balance/policy; RB-05610:PvP Consent &lt;-&gt; XMLSpawner balance/policy; RB-05618:XMLSpawner &lt;-&gt; Champions balance/policy; RB-05619:XMLSpawner &lt;-&gt; Monster Nests balance/policy; RB-05629:XMLSpawner staff tooling policy; RB-05631:XMLSpawner staff tooling policy; RB-05634:XMLSpawner &lt;-&gt; Invasion staff workflow ownership; RB-05635:XMLSpawner staff tooling policy; RB-05636:XMLSpawner staff tooling policy; RB-05637:XMLSpawner staff tooling policy; RB-05638:XMLSpawner staff tooling policy; RB-05639:XMLSpawner staff tooling policy; RB-05640:XMLSpawner staff tooling policy; RB-05641:XMLSpawner staff tooling policy; RB-05642:XMLSpawner staff tooling policy; RB-05643:XMLSpawner staff tooling policy; RB-05644:XMLSpawner staff tooling policy. Serializer/package evidence: 100 serializer rows require source review and 100 rows remain UnknownUntilSaveTest. This disposition does not reject the Phase 12 target; it prevents a silent high-risk imported package move while approval and save/runtime gates remain unresolved.</t>
  </si>
  <si>
    <t>PreviousStatus=NeedsHumanDecision; GateOutcome=Move/reorganization remains blocked for this domain.; RequiredApproval=Required before any move/reorganization for this system. Follow the original POST-BATCH-H gate artifact.</t>
  </si>
  <si>
    <t>RB-06807</t>
  </si>
  <si>
    <t>Data/Scripts/Custom/Government System</t>
  </si>
  <si>
    <t>PBY-0062</t>
  </si>
  <si>
    <t>PriorOverlayEvidence: Backlog gate explicitly requires approval before moving Data/Scripts/Custom/Government System because serialized file volume plus gump/hook volume are high. Current source/project evidence is stable for review only: source path exists with 207 runtime-visible C# files and 208 total package files; target path Data/Scripts/Custom/Government/GovernmentSystem does not exist; RuntimeScriptCompileTruth inventory has 207 old-path rows; ScriptsProjectTruth has 207 project include rows, 207 source rows, 0 missing compile targets, and 0 unincluded sources; runtime-hook-map.csv has 227 Government rows (Command=8; Gump=190; Initialize=9; Region=5; Speech=10; Timer=4; WorldSave=1); serialization-register.csv has 144 Government rows, with 144 NeedsSourceReview rows, 144 UnknownUntilSaveTest rows, and 1 NoVersionFound row (NoVersionFound, AlignedByCountAndKnownTypes, UnknownUntilSaveTest=1; SingleVersionOnly, AlignedByCountAndKnownTypes, UnknownUntilSaveTest=130; SingleVersionOnly, CountMatchNeedsTypeReview:UnknownWrites=1, UnknownUntilSaveTest=1; SingleVersionOnly, CountMatchNeedsTypeReview:UnknownWrites=2, UnknownUntilSaveTest=1; SingleVersionOnly, CountMismatch:Writes=2;Reads=3, UnknownUntilSaveTest=1; SingleVersionOnly, TypeMismatch:#1:Write=BaseHouse/Read=Item, UnknownUntilSaveTest=1; SingleVersionOnly, TypeMismatch:#2:Write=BaseHouse/Read=Item, UnknownUntilSaveTest=1; Switch, CountMatchNeedsTypeReview:UnknownWrites=1, UnknownUntilSaveTest=1; Switch, CountMatchNeedsTypeReview:UnknownWrites=5, UnknownUntilSaveTest=1; Switch, CountMismatch:Writes=3;Reads=4, UnknownUntilSaveTest=1; SwitchGotoCase, AlignedByCountAndKnownTypes, UnknownUntilSaveTest=1; SwitchGotoCase, CountMatchNeedsTypeReview:UnknownWrites=2, UnknownUntilSaveTest=2; SwitchGotoCase, CountMatchNeedsTypeReview:UnknownWrites=27, UnknownUntilSaveTest=1; SwitchGotoCase, CountMismatch:Writes=4;Reads=5, UnknownUntilSaveTest=1). Gate evidence is not clear for execution because explicit approval is absent and related policy/move rows remain deferred or human-gated: RB-05609=DeferredBalanceDecision (PvP Consent &lt;-&gt; Government balance/policy, PBF-007); RB-05611=DeferredBalanceDecision (Government &lt;-&gt; Homestead balance/policy, PBF-009); RB-05612=DeferredBalanceDecision (Government &lt;-&gt; Vendor Core balance/policy, PBF-010); RB-05632=NeedsHumanDecision (Government &lt;-&gt; Invasion staff workflow ownership, PBF-030); RB-06806=DeferredMoveGate (PvP Consent move gate remains deferred, PBH-008); RB-06808=DeferredMoveGate (Invasion move gate remains deferred, PBH-010). Additional Government source/schema/doc follow-up rows still queued: 8. || PriorNotes: Needs human decision before any move. Explicit approval blockers: RB-05609:PvP Consent &lt;-&gt; Government balance/policy; RB-05611:Government &lt;-&gt; Homestead balance/policy; RB-05612:Government &lt;-&gt; Vendor Core balance/policy; RB-05632:Government &lt;-&gt; Invasion staff workflow ownership; RB-06806:PvP Consent move gate remains deferred; RB-06808:Invasion move gate remains deferred. Serializer/package evidence: 144 serializer rows require source review and 144 rows remain UnknownUntilSaveTest. This disposition does not reject the Phase 12 target; it prevents a silent high-risk Government package move while approval and save/runtime gates remain unresolved.</t>
  </si>
  <si>
    <t>RB-06803</t>
  </si>
  <si>
    <t>Data/Scripts/Custom/Offline Skill Training</t>
  </si>
  <si>
    <t>PBY-0063</t>
  </si>
  <si>
    <t>PriorOverlayEvidence: Backlog gate requires serializer review and project truth repair before moving Data/Scripts/Custom/Offline Skill Training. Project truth is repaired, but the serializer gate is not cleared: source path exists with 7 runtime-visible C# files and 8 total package files; target path Data/Scripts/Custom/Progression/OfflineSkillTraining does not exist; RuntimeScriptCompileTruth inventory has 7 old-path rows; ScriptsProjectTruth has 7 project include rows, 7 source rows, 0 missing compile targets, and 0 unincluded sources; Scripts.csproj has 7 Compile rows, 1 Content row, and 0 None rows under the current package path; runtime-hook-map.csv has 8 Offline Skill Training rows (Event=4; Initialize=1; Login=1; Logout=1; Timer=1); serialization-register.csv has 170 Offline Skill Training rows, with 166 NeedsSourceReview rows, 166 UnknownUntilSaveTest rows, and 4 NamespaceOrTypeRenameDanger rows (SingleVersionOnly, AlignedByCountAndKnownTypes, NamespaceOrTypeRenameDanger=4; SingleVersionOnly, AlignedByCountAndKnownTypes, UnknownUntilSaveTest=166). Gate evidence is not clear for execution because serializer source review remains unresolved and related balance/doc rows remain deferred or queued: RB-05603=DeferredBalanceDecision (Character Level &lt;-&gt; Offline Skill Training balance/policy, PBF-001); RB-05608=DeferredBalanceDecision (Random Encounters &lt;-&gt; Offline Skill Training balance/policy, PBF-006); RB-06737=QueuedSourceFollowUp (Offline Skill Training canonical documentation source trace, PBF-476). Previously reviewed hook rows are not the remaining blocker: RB-01712=FalsePositive (PHE-101); RB-01713=FalsePositive (PHE-102); RB-01714=Fixed (PHE-103); RB-01715=Fixed (PHE-104). || PriorNotes: Deferred move gate. Project truth repair is satisfied, but serializer review is not: 166 serializer rows require source review, 166 rows remain UnknownUntilSaveTest, and 4 rows are namespace/type rename danger rows. Related unresolved rows: RB-05603:Character Level &lt;-&gt; Offline Skill Training balance/policy; RB-05608:Random Encounters &lt;-&gt; Offline Skill Training balance/policy; RB-06737:Offline Skill Training canonical documentation source trace. This disposition does not reject the Phase 12 target; it prevents a silent move while save-review and related documentation/balance evidence remain unresolved.</t>
  </si>
  <si>
    <t>RB-06814</t>
  </si>
  <si>
    <t>Data/Scripts/Custom/Vhaerun's CRL Homestead System [2.0]</t>
  </si>
  <si>
    <t>PBY-0064</t>
  </si>
  <si>
    <t>PriorOverlayEvidence: Backlog gate explicitly requires approval before moving Data/Scripts/Custom/Vhaerun's CRL Homestead System [2.0] because serializer volume and package substructure are high. Current source/project evidence is stable for review only: source path exists with 388 runtime-visible C# files and 402 total package files; target path Data/Scripts/Custom/ThirdParty/Vhaerun's CRL Homestead System [2.0] does not exist; nested package AGENTS scopes are Data/Scripts/Custom/Vhaerun's CRL Homestead System [2.0]/Dracana's Winecrafting [2.0]/Gumps/AGENTS.md; Data/Scripts/Custom/Vhaerun's CRL Homestead System [2.0]/Vhaerun's CRL Cooking/Package Systems/HungerGump/AGENTS.md; Data/Scripts/Custom/Vhaerun's CRL Homestead System [2.0]/Vhaerun's CRL Crops/Gumps/AGENTS.md; RuntimeScriptCompileTruth inventory has 388 old-path rows; ScriptsProjectTruth has 388 project include rows, 388 source rows, 0 missing compile targets, and 0 unincluded sources; Scripts.csproj has 388 URI-escaped Compile rows, 5 URI-escaped Content rows, and 6 URI-escaped None rows under the current package path; runtime-hook-map.csv has 219 Homestead rows (Command=3; Gump=83; Initialize=7; Timer=126); serialization-register.csv has 707 Homestead rows, with 707 NeedsSourceReview rows and 707 UnknownUntilSaveTest rows (ReadVersionOnly, CountMismatch:Writes=1;Reads=0, UnknownUntilSaveTest=10; ReadVersionOnly, CountMismatch:Writes=11;Reads=10, UnknownUntilSaveTest=1; SingleVersionOnly, AlignedByCountAndKnownTypes, UnknownUntilSaveTest=569; SingleVersionOnly, CountMatchNeedsTypeReview:UnknownWrites=1, UnknownUntilSaveTest=50; SuspiciousOrder, AlignedByCountAndKnownTypes, UnknownUntilSaveTest=1; Switch, AlignedByCountAndKnownTypes, UnknownUntilSaveTest=10; Switch, CountMatchNeedsTypeReview:UnknownWrites=2, UnknownUntilSaveTest=1; Switch, CountMismatch:Writes=1;Reads=2, UnknownUntilSaveTest=2; SwitchGotoCase, AlignedByCountAndKnownTypes, UnknownUntilSaveTest=8; SwitchGotoCase, CountMatchNeedsTypeReview:UnknownWrites=2, UnknownUntilSaveTest=50; SwitchGotoCase, CountMismatch:Writes=6;Reads=10, UnknownUntilSaveTest=5). Project drift rows are fixed, but gate evidence is not clear for execution because explicit approval is absent and related balance/staff/doc/move rows remain deferred, queued, or human-gated: RB-00011=Fixed (Homestead project missing-target drift repaired, PBG-011); RB-00042=Fixed (Homestead project unincluded-source drift repaired, PBG-042); RB-05611=DeferredBalanceDecision (Government &lt;-&gt; Homestead balance/policy, PBF-009); RB-05613=DeferredBalanceDecision (Homestead &lt;-&gt; Crafting Core balance/policy, PBF-011); RB-05614=DeferredBalanceDecision (Homestead &lt;-&gt; Harvest System balance/policy, PBF-012); RB-05615=DeferredBalanceDecision (Homestead &lt;-&gt; Bulk Orders balance/policy, PBF-013); RB-05616=DeferredBalanceDecision (Homestead &lt;-&gt; Gardening balance/policy, PBF-014); RB-05617=DeferredBalanceDecision (Homestead &lt;-&gt; Vendor Core balance/policy, PBF-015); RB-05633=NeedsHumanDecision (Homestead &lt;-&gt; Static Gump Tool staff tooling policy, PBF-031); RB-06690=QueuedSourceFollowUp (Farmable Crops source trace, PBF-429); RB-06705=QueuedSourceFollowUp (Homestead canonical source trace, PBF-444); RB-06735=QueuedSourceFollowUp (Offline Skill Training/Homestead doc source trace, PBF-474); RB-06807=NeedsHumanDecision (Government move gate remains human-gated, PBH-012). || PriorNotes: Needs human decision before any move. Project truth repair is satisfied, but explicit approval and save/package gates are not: 707 serializer rows require source review and 707 rows remain UnknownUntilSaveTest. Remaining blockers: RB-05611:Government &lt;-&gt; Homestead balance/policy; RB-05613:Homestead &lt;-&gt; Crafting Core balance/policy; RB-05614:Homestead &lt;-&gt; Harvest System balance/policy; RB-05615:Homestead &lt;-&gt; Bulk Orders balance/policy; RB-05616:Homestead &lt;-&gt; Gardening balance/policy; RB-05617:Homestead &lt;-&gt; Vendor Core balance/policy; RB-05633:Homestead &lt;-&gt; Static Gump Tool staff tooling policy; RB-06690:Farmable Crops source trace; RB-06705:Homestead canonical source trace; RB-06735:Offline Skill Training/Homestead doc source trace; RB-06807:Government move gate remains human-gated. This disposition does not reject the Phase 12 target; it prevents a silent high-risk imported package move while approval, save-review, staff tooling, balance, documentation, and package-substructure gates remain unresolved.</t>
  </si>
  <si>
    <t>RB-01596</t>
  </si>
  <si>
    <t>P10-F01596</t>
  </si>
  <si>
    <t>Data/System/Source/Guild.cs</t>
  </si>
  <si>
    <t>POST-BATCH-I</t>
  </si>
  <si>
    <t>PBI-001</t>
  </si>
  <si>
    <t>No source change; BaseGuild only declares the abstract ISerializable contract methods. POST-BATCH-I action: reconciled the missing active-overlay row to this existing source-reviewed disposition; no source, project, runtime, XML, config, namespace, save-layout, or gameplay behavior change was made.</t>
  </si>
  <si>
    <t>docs/codebase-audit/outputs/post-batch-i-servercore-save-compat-review.csv</t>
  </si>
  <si>
    <t>Current source and prior POST-BATCH-B review: Data/System/Source/Guild.cs:69-70; serialization-register.csv: BaseCallStatus=MissingBaseSerialize; VersionHandling=NoVersionFound; FieldAlignment=AlignedByCountAndKnownTypes; MoveRenameRisk=UnknownUntilBuildTruthRepaired; Evidence=Serialize:L70;Deserialize:L69</t>
  </si>
  <si>
    <t>Pending current POST-BATCH-I commit</t>
  </si>
  <si>
    <t>2026-06-14T11:58:03.6355377-05:00</t>
  </si>
  <si>
    <t>No concrete save order exists in this row. Prior reviewed batch: POST-BATCH-B-ServerCore-initial-triage. POST-BATCH-I only maps this residual BacklogId into the active overlay.</t>
  </si>
  <si>
    <t>RB-01601</t>
  </si>
  <si>
    <t>P10-F01601</t>
  </si>
  <si>
    <t>Data/System/Source/Item.cs</t>
  </si>
  <si>
    <t>PBI-002</t>
  </si>
  <si>
    <t>No source change; BounceInfo is a static helper format with no base serializer. POST-BATCH-I action: reconciled the missing active-overlay row to this existing source-reviewed disposition; no source, project, runtime, XML, config, namespace, save-layout, or gameplay behavior change was made.</t>
  </si>
  <si>
    <t>Current source and prior POST-BATCH-B review: Data/System/Source/Item.cs:585-609; Data/System/Source/Item.cs:612-633; serialization-register.csv: BaseCallStatus=MissingBaseDeserialize; VersionHandling=NoVersionFound; FieldAlignment=CountMismatch:Writes=0;Reads=5; MoveRenameRisk=UnknownUntilBuildTruthRepaired; Evidence=Deserialize:L585</t>
  </si>
  <si>
    <t>Bool sentinel and parent serial read/write order are paired. Prior reviewed batch: POST-BATCH-B-ServerCore-initial-triage. POST-BATCH-I only maps this residual BacklogId into the active overlay.</t>
  </si>
  <si>
    <t>RB-01603</t>
  </si>
  <si>
    <t>P10-F01603</t>
  </si>
  <si>
    <t>PBI-003</t>
  </si>
  <si>
    <t>No source change; BounceInfo writer and reader consume the same sentinel/map/location/world/parent fields. POST-BATCH-I action: reconciled the missing active-overlay row to this existing source-reviewed disposition; no source, project, runtime, XML, config, namespace, save-layout, or gameplay behavior change was made.</t>
  </si>
  <si>
    <t>Helper serializer pair is aligned by source review. Prior reviewed batch: POST-BATCH-B-ServerCore-initial-triage. POST-BATCH-I only maps this residual BacklogId into the active overlay.</t>
  </si>
  <si>
    <t>RB-01605</t>
  </si>
  <si>
    <t>P10-F01605</t>
  </si>
  <si>
    <t>PBI-004</t>
  </si>
  <si>
    <t>No source change in this batch; root Item save format changes require a separate migration and save-load plan. POST-BATCH-I action: reconciled the missing active-overlay row to this existing source-reviewed disposition; no source, project, runtime, XML, config, namespace, save-layout, or gameplay behavior change was made.</t>
  </si>
  <si>
    <t>Current source and prior POST-BATCH-B review: Data/System/Source/Item.cs:2296-2308; Data/System/Source/Item.cs:2663-2684; serialization-register.csv: BaseCallStatus=MissingBaseSerialize; VersionHandling=SwitchGotoCase; FieldAlignment=CountMismatch:Writes=36;Reads=77; MoveRenameRisk=UnknownUntilBuildTruthRepaired; Evidence=Serialize:L2296;Deserialize:L2663;SerialCtor:L6833;VersionWrite:L2298;VersionRead:L2665</t>
  </si>
  <si>
    <t>Root Item has no base serializer; version 11/10 fields match the reviewed read order. Prior reviewed batch: POST-BATCH-B-ServerCore-initial-triage. POST-BATCH-I only maps this residual BacklogId into the active overlay.</t>
  </si>
  <si>
    <t>RB-01606</t>
  </si>
  <si>
    <t>P10-F01606</t>
  </si>
  <si>
    <t>PBI-005</t>
  </si>
  <si>
    <t>No source change in this batch; compact SaveFlag-gated Item fields must not be reordered without migration approval. POST-BATCH-I action: reconciled the missing active-overlay row to this existing source-reviewed disposition; no source, project, runtime, XML, config, namespace, save-layout, or gameplay behavior change was made.</t>
  </si>
  <si>
    <t>Current source and prior POST-BATCH-B review: Data/System/Source/Item.cs:2296-2308; Data/System/Source/Item.cs:2663-2684; Data/System/Source/Item.cs:2463-2515; Data/System/Source/Item.cs:2813-2844; serialization-register.csv: BaseCallStatus=MissingBaseSerialize; VersionHandling=SwitchGotoCase; FieldAlignment=CountMismatch:Writes=36;Reads=77; MoveRenameRisk=UnknownUntilBuildTruthRepaired; Evidence=Serialize:L2296;Deserialize:L2663;SerialCtor:L6833;VersionWrite:L2298;VersionRead:L2665</t>
  </si>
  <si>
    <t>Marker mismatch is caused by conditional SaveFlag encoding and legacy version gates. Prior reviewed batch: POST-BATCH-B-ServerCore-initial-triage. POST-BATCH-I only maps this residual BacklogId into the active overlay.</t>
  </si>
  <si>
    <t>RB-01609</t>
  </si>
  <si>
    <t>P10-F01609</t>
  </si>
  <si>
    <t>PBI-006</t>
  </si>
  <si>
    <t>No source change; Container calls base first and has source-reviewed flag-gated read/write parity for current version 2. POST-BATCH-I action: reconciled the missing active-overlay row to this existing source-reviewed disposition; no source, project, runtime, XML, config, namespace, save-layout, or gameplay behavior change was made.</t>
  </si>
  <si>
    <t>Current source and prior POST-BATCH-B review: Data/System/Source/Items/Container.cs:1395-1418; Data/System/Source/Items/Container.cs:1420-1465; serialization-register.csv: BaseCallStatus=BaseCallsFirst; VersionHandling=SwitchGotoCase; FieldAlignment=CountMismatch:Writes=4;Reads=9; MoveRenameRisk=UnknownUntilBuildTruthRepaired; Evidence=Serialize:L1395;Deserialize:L1420;SerialCtor:L1576;VersionWrite:L1399;VersionRead:L1424</t>
  </si>
  <si>
    <t>Conditional fields are guarded by the same SaveFlag byte. Prior reviewed batch: POST-BATCH-B-ServerCore-initial-triage. POST-BATCH-I only maps this residual BacklogId into the active overlay.</t>
  </si>
  <si>
    <t>RB-01615</t>
  </si>
  <si>
    <t>P10-F01615</t>
  </si>
  <si>
    <t>Data/System/Source/Items/VirtualHair.cs</t>
  </si>
  <si>
    <t>PBI-007</t>
  </si>
  <si>
    <t>No source change; BaseHairInfo is a helper serializer, not an Item/Mobile override requiring a base call. POST-BATCH-I action: reconciled the missing active-overlay row to this existing source-reviewed disposition; no source, project, runtime, XML, config, namespace, save-layout, or gameplay behavior change was made.</t>
  </si>
  <si>
    <t>Current source and prior POST-BATCH-B review: Data/System/Source/Items/VirtualHair.cs:55-75; serialization-register.csv: BaseCallStatus=MissingBaseSerialize; VersionHandling=WriteVersionOnly; FieldAlignment=CountMismatch:Writes=2;Reads=0; MoveRenameRisk=UnknownUntilBuildTruthRepaired; Evidence=Serialize:L70;VersionWrite:L72</t>
  </si>
  <si>
    <t>GenericReader constructor and Serialize method are paired. Prior reviewed batch: POST-BATCH-B-ServerCore-initial-triage. POST-BATCH-I only maps this residual BacklogId into the active overlay.</t>
  </si>
  <si>
    <t>RB-01617</t>
  </si>
  <si>
    <t>P10-F01617</t>
  </si>
  <si>
    <t>PBI-008</t>
  </si>
  <si>
    <t>No source change; version, item id, and hue write/read order match. POST-BATCH-I action: reconciled the missing active-overlay row to this existing source-reviewed disposition; no source, project, runtime, XML, config, namespace, save-layout, or gameplay behavior change was made.</t>
  </si>
  <si>
    <t>RB-01623</t>
  </si>
  <si>
    <t>P10-F01623</t>
  </si>
  <si>
    <t>PBI-009</t>
  </si>
  <si>
    <t>No source change in this batch; root Mobile save format changes require a separate migration and save-load plan. POST-BATCH-I action: reconciled the missing active-overlay row to this existing source-reviewed disposition; no source, project, runtime, XML, config, namespace, save-layout, or gameplay behavior change was made.</t>
  </si>
  <si>
    <t>Current source and prior POST-BATCH-B review: Data/System/Source/Mobile.cs:5700-5752; Data/System/Source/Mobile.cs:6183-6235; serialization-register.csv: BaseCallStatus=MissingBaseSerialize; VersionHandling=SwitchGotoCase; FieldAlignment=CountMismatch:Writes=98;Reads=104; MoveRenameRisk=UnknownUntilBuildTruthRepaired; Evidence=Serialize:L6183;Deserialize:L5700;SerialCtor:L11574;VersionWrite:L6185;VersionRead:L5702</t>
  </si>
  <si>
    <t>Root Mobile has no base serializer; reviewed current version fields are read in reverse-version switch order. Prior reviewed batch: POST-BATCH-B-ServerCore-initial-triage. POST-BATCH-I only maps this residual BacklogId into the active overlay.</t>
  </si>
  <si>
    <t>RB-01624</t>
  </si>
  <si>
    <t>P10-F01624</t>
  </si>
  <si>
    <t>PBI-010</t>
  </si>
  <si>
    <t>No source change in this batch; compact root Mobile format remains a migration-gated surface. POST-BATCH-I action: reconciled the missing active-overlay row to this existing source-reviewed disposition; no source, project, runtime, XML, config, namespace, save-layout, or gameplay behavior change was made.</t>
  </si>
  <si>
    <t>High-blast-radius core format; no layout edit approved. Prior reviewed batch: POST-BATCH-B-ServerCore-initial-triage. POST-BATCH-I only maps this residual BacklogId into the active overlay.</t>
  </si>
  <si>
    <t>RB-01628</t>
  </si>
  <si>
    <t>P10-F01628</t>
  </si>
  <si>
    <t>Data/System/Source/MultiData.cs</t>
  </si>
  <si>
    <t>PBI-011</t>
  </si>
  <si>
    <t>No source change; MultiComponentList is a helper serializer with a GenericReader constructor, not a base-call override. POST-BATCH-I action: reconciled the missing active-overlay row to this existing source-reviewed disposition; no source, project, runtime, XML, config, namespace, save-layout, or gameplay behavior change was made.</t>
  </si>
  <si>
    <t>Current source and prior POST-BATCH-B review: Data/System/Source/MultiData.cs:507-530; Data/System/Source/MultiData.cs:532-570; serialization-register.csv: BaseCallStatus=MissingBaseSerialize; VersionHandling=WriteVersionOnly; FieldAlignment=CountMismatch:Writes=11;Reads=0; MoveRenameRisk=UnknownUntilBuildTruthRepaired; Evidence=Serialize:L507;VersionWrite:L509</t>
  </si>
  <si>
    <t>No base serializer exists for this helper format. Prior reviewed batch: POST-BATCH-B-ServerCore-initial-triage. POST-BATCH-I only maps this residual BacklogId into the active overlay.</t>
  </si>
  <si>
    <t>RB-01630</t>
  </si>
  <si>
    <t>P10-F01630</t>
  </si>
  <si>
    <t>PBI-012</t>
  </si>
  <si>
    <t>No source change; version, bounds, dimensions, count, and per-tile fields are consumed in write order. POST-BATCH-I action: reconciled the missing active-overlay row to this existing source-reviewed disposition; no source, project, runtime, XML, config, namespace, save-layout, or gameplay behavior change was made.</t>
  </si>
  <si>
    <t>Version 0 legacy tile-id conversion is intentionally read-only compatibility. Prior reviewed batch: POST-BATCH-B-ServerCore-initial-triage. POST-BATCH-I only maps this residual BacklogId into the active overlay.</t>
  </si>
  <si>
    <t>RB-01650</t>
  </si>
  <si>
    <t>P10-F01650</t>
  </si>
  <si>
    <t>Data/System/Source/Poison.cs</t>
  </si>
  <si>
    <t>PBI-013</t>
  </si>
  <si>
    <t>No source change; keep legacy poison case 2 read-discard path for old saves. POST-BATCH-I action: reconciled the missing active-overlay row to this existing source-reviewed disposition; no source, project, runtime, XML, config, namespace, save-layout, or gameplay behavior change was made.</t>
  </si>
  <si>
    <t>Current source and prior POST-BATCH-B review: Data/System/Source/Poison.cs:127-154; serialization-register.csv: BaseCallStatus=MissingBaseDeserialize; VersionHandling=NoVersionFound; FieldAlignment=CountMismatch:Writes=0;Reads=6; MoveRenameRisk=UnknownUntilBuildTruthRepaired; Evidence=Deserialize:L140</t>
  </si>
  <si>
    <t>Static helper format has no base serializer; case 2 is no longer written but must still be consumed. Prior reviewed batch: POST-BATCH-B-ServerCore-initial-triage. POST-BATCH-I only maps this residual BacklogId into the active overlay.</t>
  </si>
  <si>
    <t>RB-01652</t>
  </si>
  <si>
    <t>P10-F01652</t>
  </si>
  <si>
    <t>PBI-014</t>
  </si>
  <si>
    <t>No source change; writer emits current sentinel values and reader preserves old case 2 compatibility. POST-BATCH-I action: reconciled the missing active-overlay row to this existing source-reviewed disposition; no source, project, runtime, XML, config, namespace, save-layout, or gameplay behavior change was made.</t>
  </si>
  <si>
    <t>Generated mismatch reflects legacy read-discard support, not an approved layout edit. Prior reviewed batch: POST-BATCH-B-ServerCore-initial-triage. POST-BATCH-I only maps this residual BacklogId into the active overlay.</t>
  </si>
  <si>
    <t>RB-01656</t>
  </si>
  <si>
    <t>P10-F01656</t>
  </si>
  <si>
    <t>Data/System/Source/Serialization.cs</t>
  </si>
  <si>
    <t>PBI-015</t>
  </si>
  <si>
    <t>No source change; ISerializable only declares the Serialize contract. POST-BATCH-I action: reconciled the missing active-overlay row to this existing source-reviewed disposition; no source, project, runtime, XML, config, namespace, save-layout, or gameplay behavior change was made.</t>
  </si>
  <si>
    <t>Current source and prior POST-BATCH-B review: Data/System/Source/Serialization.cs:1785-1790; serialization-register.csv: BaseCallStatus=MissingBaseSerialize; VersionHandling=NoVersionFound; FieldAlignment=AlignedByCountAndKnownTypes; MoveRenameRisk=UnknownUntilBuildTruthRepaired; Evidence=Serialize:L1789</t>
  </si>
  <si>
    <t>Interface method declaration is not a serializer implementation. Prior reviewed batch: POST-BATCH-B-ServerCore-initial-triage. POST-BATCH-I only maps this residual BacklogId into the active overlay.</t>
  </si>
  <si>
    <t>RB-01661</t>
  </si>
  <si>
    <t>P10-F01661</t>
  </si>
  <si>
    <t>Data/System/Source/Skills.cs</t>
  </si>
  <si>
    <t>PBI-016</t>
  </si>
  <si>
    <t>No source change; Skill is a compact helper format with no base serializer. POST-BATCH-I action: reconciled the missing active-overlay row to this existing source-reviewed disposition; no source, project, runtime, XML, config, namespace, save-layout, or gameplay behavior change was made.</t>
  </si>
  <si>
    <t>Current source and prior POST-BATCH-B review: Data/System/Source/Skills.cs:423-473; Data/System/Source/Skills.cs:492-522; serialization-register.csv: BaseCallStatus=MissingBaseSerialize; VersionHandling=NoVersionFound; FieldAlignment=CountMismatch:Writes=5;Reads=0; MoveRenameRisk=UnknownUntilBuildTruthRepaired; Evidence=Serialize:L492</t>
  </si>
  <si>
    <t>Per-skill format uses a byte flag/version sentinel. Prior reviewed batch: POST-BATCH-B-ServerCore-initial-triage. POST-BATCH-I only maps this residual BacklogId into the active overlay.</t>
  </si>
  <si>
    <t>RB-01663</t>
  </si>
  <si>
    <t>P10-F01663</t>
  </si>
  <si>
    <t>PBI-017</t>
  </si>
  <si>
    <t>No source change; compact skill flags gate the same base/cap/lock fields in writer and reader. POST-BATCH-I action: reconciled the missing active-overlay row to this existing source-reviewed disposition; no source, project, runtime, XML, config, namespace, save-layout, or gameplay behavior change was made.</t>
  </si>
  <si>
    <t>Source-reviewed flag parity; no layout edit approved. Prior reviewed batch: POST-BATCH-B-ServerCore-initial-triage. POST-BATCH-I only maps this residual BacklogId into the active overlay.</t>
  </si>
  <si>
    <t>RB-01667</t>
  </si>
  <si>
    <t>P10-F01667</t>
  </si>
  <si>
    <t>PBI-018</t>
  </si>
  <si>
    <t>No source change; Skills is owned by Mobile but is not a base-call override. POST-BATCH-I action: reconciled the missing active-overlay row to this existing source-reviewed disposition; no source, project, runtime, XML, config, namespace, save-layout, or gameplay behavior change was made.</t>
  </si>
  <si>
    <t>Current source and prior POST-BATCH-B review: Data/System/Source/Skills.cs:1573-1596; Data/System/Source/Skills.cs:1611-1665; serialization-register.csv: BaseCallStatus=MissingBaseSerialize; VersionHandling=WriteVersionOnly; FieldAlignment=CountMismatch:Writes=3;Reads=0; MoveRenameRisk=UnknownUntilBuildTruthRepaired; Evidence=Serialize:L1573;VersionWrite:L1577</t>
  </si>
  <si>
    <t>Constructor-based deserialization pairs with Serialize. Prior reviewed batch: POST-BATCH-B-ServerCore-initial-triage. POST-BATCH-I only maps this residual BacklogId into the active overlay.</t>
  </si>
  <si>
    <t>RB-01669</t>
  </si>
  <si>
    <t>P10-F01669</t>
  </si>
  <si>
    <t>PBI-019</t>
  </si>
  <si>
    <t>No source change; version, cap, count, and per-skill records are consumed in write order. POST-BATCH-I action: reconciled the missing active-overlay row to this existing source-reviewed disposition; no source, project, runtime, XML, config, namespace, save-layout, or gameplay behavior change was made.</t>
  </si>
  <si>
    <t>Version &lt;3 total read-discard is intentional old-save compatibility. Prior reviewed batch: POST-BATCH-B-ServerCore-initial-triage. POST-BATCH-I only maps this residual BacklogId into the active overlay.</t>
  </si>
  <si>
    <t>RB-00064</t>
  </si>
  <si>
    <t>P10-F00064</t>
  </si>
  <si>
    <t>Data/Scripts/Custom/Champions/Items/PlagueBeastBackpack.cs</t>
  </si>
  <si>
    <t>POST-BATCH-J</t>
  </si>
  <si>
    <t>PBJ-0001</t>
  </si>
  <si>
    <t>No source change. Preserve the existing fixed-format legacy serializer; adding a version field would be a save-layout migration and is not approved in this triage batch.</t>
  </si>
  <si>
    <t>docs/codebase-audit/outputs/post-batch-j-p1-save-compat-review.csv</t>
  </si>
  <si>
    <t>Current source file exists at Data/Scripts/Custom/Champions/Items/PlagueBeastBackpack.cs; match=ExactFileClass; serializer evidence=Serialize:L209;Deserialize:L216;SerialCtor:L206; class=Server.Items.PlagueBeastBackpack; kind=Item; HasSerialConstructor=True; BaseCallStatus=BaseCallsFirst; VersionHandling=NoVersionFound; FieldAlignment=AlignedByCountAndKnownTypes; MoveRenameRisk=NamespaceOrTypeRenameDanger; ReviewStatus=NeedsSourceReview; ReviewReasons=NoVersionFound</t>
  </si>
  <si>
    <t>Pending current POST-BATCH-J commit</t>
  </si>
  <si>
    <t>2026-06-14T12:11:35.4567553-05:00</t>
  </si>
  <si>
    <t>Historical path=Data/Scripts/Custom/Champions/Items/PlagueBeastBackpack.cs; backlog risk category=VersionHandling; write count=1; read count=1. POST-BATCH-J is triage only; no serialized layout edit is approved by this row.</t>
  </si>
  <si>
    <t>RB-00065</t>
  </si>
  <si>
    <t>P10-F00065</t>
  </si>
  <si>
    <t>Data/Scripts/Custom/Champions/Items/PlagueBeastBlood.cs</t>
  </si>
  <si>
    <t>PBJ-0002</t>
  </si>
  <si>
    <t>Current source file exists at Data/Scripts/Custom/Champions/Items/PlagueBeastBlood.cs; match=ExactFileClass; serializer evidence=Serialize:L118;Deserialize:L125;SerialCtor:L115; class=Server.Items.PlagueBeastBlood;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</si>
  <si>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path=Data/Scripts/Custom/Champions/Items/PlagueBeastBlood.cs; backlog risk category=VersionHandling; write count=1; read count=1. POST-BATCH-J is triage only; no serialized layout edit is approved by this row.</t>
  </si>
  <si>
    <t>RB-00066</t>
  </si>
  <si>
    <t>P10-F00066</t>
  </si>
  <si>
    <t>Data/Scripts/Custom/Champions/Items/PlagueBeastGland.cs</t>
  </si>
  <si>
    <t>PBJ-0003</t>
  </si>
  <si>
    <t>Current source file exists at Data/Scripts/Custom/Champions/Items/PlagueBeastGland.cs; match=ExactFileClass; serializer evidence=Serialize:L20;Deserialize:L27;SerialCtor:L17; class=Server.Items.PlagueBeastGland;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</si>
  <si>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path=Data/Scripts/Custom/Champions/Items/PlagueBeastGland.cs; backlog risk category=VersionHandling; write count=1; read count=1. POST-BATCH-J is triage only; no serialized layout edit is approved by this row.</t>
  </si>
  <si>
    <t>RB-00067</t>
  </si>
  <si>
    <t>P10-F00067</t>
  </si>
  <si>
    <t>Data/Scripts/Custom/Champions/Items/PlagueBeastHeart.cs</t>
  </si>
  <si>
    <t>PBJ-0004</t>
  </si>
  <si>
    <t>Current source file exists at Data/Scripts/Custom/Champions/Items/PlagueBeastHeart.cs; match=ExactFileClass; serializer evidence=Serialize:L26;Deserialize:L33;SerialCtor:L23; class=Server.Items.PlagueBeastHeart;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</si>
  <si>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path=Data/Scripts/Custom/Champions/Items/PlagueBeastHeart.cs; backlog risk category=VersionHandling; write count=1; read count=1. POST-BATCH-J is triage only; no serialized layout edit is approved by this row.</t>
  </si>
  <si>
    <t>RB-00068</t>
  </si>
  <si>
    <t>P10-F00068</t>
  </si>
  <si>
    <t>Data/Scripts/Custom/Champions/Items/PlagueBeastInnard.cs</t>
  </si>
  <si>
    <t>PBJ-0005</t>
  </si>
  <si>
    <t>Current source file exists at Data/Scripts/Custom/Champions/Items/PlagueBeastInnard.cs; match=ExactFileClass; serializer evidence=Serialize:L176;Deserialize:L185;SerialCtor:L173; class=Server.Items.PlagueBeastComponent;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</si>
  <si>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path=Data/Scripts/Custom/Champions/Items/PlagueBeastInnard.cs; backlog risk category=VersionHandling; write count=1; read count=1. POST-BATCH-J is triage only; no serialized layout edit is approved by this row.</t>
  </si>
  <si>
    <t>RB-00069</t>
  </si>
  <si>
    <t>P10-F00069</t>
  </si>
  <si>
    <t>PBJ-0006</t>
  </si>
  <si>
    <t>Current source file exists at Data/Scripts/Custom/Champions/Items/PlagueBeastInnard.cs; match=ExactFileClass; serializer evidence=Serialize:L59;Deserialize:L66;SerialCtor:L56; class=Server.Items.PlagueBeastInnard; kind=Item; HasSerialConstructor=True; BaseCallStatus=BaseCallsFirst; VersionHandling=NoVersionFound; FieldAlignment=AlignedByCountAndKnownTypes; MoveRenameRisk=NamespaceOrTypeRenameDanger; ReviewStatus=NeedsSourceReview; ReviewReasons=NoVersionFound</t>
  </si>
  <si>
    <t>RB-00070</t>
  </si>
  <si>
    <t>P10-F00070</t>
  </si>
  <si>
    <t>Data/Scripts/Custom/Champions/Items/PlagueBeastMutationCore.cs</t>
  </si>
  <si>
    <t>PBJ-0007</t>
  </si>
  <si>
    <t>Current source file exists at Data/Scripts/Custom/Champions/Items/PlagueBeastMutationCore.cs; match=ExactFileClass; serializer evidence=Serialize:L64;Deserialize:L73;SerialCtor:L61; class=Server.Items.PlagueBeastMutationCore;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</si>
  <si>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path=Data/Scripts/Custom/Champions/Items/PlagueBeastMutationCore.cs; backlog risk category=VersionHandling; write count=2; read count=2. POST-BATCH-J is triage only; no serialized layout edit is approved by this row.</t>
  </si>
  <si>
    <t>RB-00071</t>
  </si>
  <si>
    <t>P10-F00071</t>
  </si>
  <si>
    <t>Data/Scripts/Custom/Champions/Items/PlagueBeastOrgans.cs</t>
  </si>
  <si>
    <t>PBJ-0008</t>
  </si>
  <si>
    <t>Current source file exists at Data/Scripts/Custom/Champions/Items/PlagueBeastOrgans.cs; match=ExactFileClass; serializer evidence=Serialize:L458;Deserialize:L467;SerialCtor:L455; class=Server.Items.PlagueBeastBackupOrgan;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</si>
  <si>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path=Data/Scripts/Custom/Champions/Items/PlagueBeastOrgans.cs; backlog risk category=VersionHandling; write count=2; read count=2. POST-BATCH-J is triage only; no serialized layout edit is approved by this row.</t>
  </si>
  <si>
    <t>RB-00072</t>
  </si>
  <si>
    <t>P10-F00072</t>
  </si>
  <si>
    <t>PBJ-0009</t>
  </si>
  <si>
    <t>Current source file exists at Data/Scripts/Custom/Champions/Items/PlagueBeastOrgans.cs; match=ExactFileClass; serializer evidence=Serialize:L175;Deserialize:L182;SerialCtor:L172; class=Server.Items.PlagueBeastMaidenOrgan;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</si>
  <si>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path=Data/Scripts/Custom/Champions/Items/PlagueBeastOrgans.cs; backlog risk category=VersionHandling; write count=1; read count=1. POST-BATCH-J is triage only; no serialized layout edit is approved by this row.</t>
  </si>
  <si>
    <t>RB-00073</t>
  </si>
  <si>
    <t>P10-F00073</t>
  </si>
  <si>
    <t>PBJ-0010</t>
  </si>
  <si>
    <t>Current source file exists at Data/Scripts/Custom/Champions/Items/PlagueBeastOrgans.cs; match=ExactFileClass; serializer evidence=Serialize:L577;Deserialize:L586;SerialCtor:L574; class=Server.Items.PlagueBeastMainOrgan; kind=Item; HasSerialConstructor=True; BaseCallStatus=BaseCallsFirst; VersionHandling=NoVersionFound; FieldAlignment=AlignedByCountAndKnownTypes; MoveRenameRisk=NamespaceOrTypeRenameDanger; ReviewStatus=NeedsSourceReview; ReviewReasons=NoVersionFound</t>
  </si>
  <si>
    <t>RB-00074</t>
  </si>
  <si>
    <t>P10-F00074</t>
  </si>
  <si>
    <t>PBJ-0011</t>
  </si>
  <si>
    <t>Current source file exists at Data/Scripts/Custom/Champions/Items/PlagueBeastOrgans.cs; match=ExactFileClass; serializer evidence=Serialize:L121;Deserialize:L132;SerialCtor:L118; class=Server.Items.PlagueBeastOrgan;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</si>
  <si>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path=Data/Scripts/Custom/Champions/Items/PlagueBeastOrgans.cs; backlog risk category=VersionHandling; write count=3; read count=3. POST-BATCH-J is triage only; no serialized layout edit is approved by this row.</t>
  </si>
  <si>
    <t>RB-00075</t>
  </si>
  <si>
    <t>P10-F00075</t>
  </si>
  <si>
    <t>PBJ-0012</t>
  </si>
  <si>
    <t>Current source file exists at Data/Scripts/Custom/Champions/Items/PlagueBeastOrgans.cs; match=ExactFileClass; serializer evidence=Serialize:L235;Deserialize:L242;SerialCtor:L232; class=Server.Items.PlagueBeastRockOrgan; kind=Item; HasSerialConstructor=True; BaseCallStatus=BaseCallsFirst; VersionHandling=NoVersionFound; FieldAlignment=AlignedByCountAndKnownTypes; MoveRenameRisk=NamespaceOrTypeRenameDanger; ReviewStatus=NeedsSourceReview; ReviewReasons=NoVersionFound</t>
  </si>
  <si>
    <t>RB-00076</t>
  </si>
  <si>
    <t>P10-F00076</t>
  </si>
  <si>
    <t>PBJ-0013</t>
  </si>
  <si>
    <t>Current source file exists at Data/Scripts/Custom/Champions/Items/PlagueBeastOrgans.cs; match=ExactFileClass; serializer evidence=Serialize:L338;Deserialize:L347;SerialCtor:L335; class=Server.Items.PlagueBeastRubbleOrgan; kind=Item; HasSerialConstructor=True; BaseCallStatus=BaseCallsFirst; VersionHandling=NoVersionFound; FieldAlignment=AlignedByCountAndKnownTypes; MoveRenameRisk=NamespaceOrTypeRenameDanger; ReviewStatus=NeedsSourceReview; ReviewReasons=NoVersionFound</t>
  </si>
  <si>
    <t>RB-00077</t>
  </si>
  <si>
    <t>P10-F00077</t>
  </si>
  <si>
    <t>Data/Scripts/Custom/Champions/Items/PlagueBeastVein.cs</t>
  </si>
  <si>
    <t>PBJ-0014</t>
  </si>
  <si>
    <t>Current source file exists at Data/Scripts/Custom/Champions/Items/PlagueBeastVein.cs; match=ExactFileClass; serializer evidence=Serialize:L73;Deserialize:L82;SerialCtor:L70; class=Server.Items.PlagueBeastVein; kind=Item; HasSerialConstructor=True; BaseCallStatus=BaseCallsFirst; VersionHandling=NoVersionFound; FieldAlignment=AlignedByCountAndKnownTypes; MoveRenameRisk=NamespaceOrTypeRenameDanger; ReviewStatus=NeedsSourceReview; ReviewReasons=NoVersionFound</t>
  </si>
  <si>
    <t>Historical path=Data/Scripts/Custom/Champions/Items/PlagueBeastVein.cs; backlog risk category=VersionHandling; write count=2; read count=2. POST-BATCH-J is triage only; no serialized layout edit is approved by this row.</t>
  </si>
  <si>
    <t>RB-00078</t>
  </si>
  <si>
    <t>P10-F00078</t>
  </si>
  <si>
    <t>POST-BATCH-W</t>
  </si>
  <si>
    <t>PBW-0001</t>
  </si>
  <si>
    <t>No source change; generated NeedsMigrationPlan row is a scanner false positive after source review.</t>
  </si>
  <si>
    <t>docs/codebase-audit/outputs/post-batch-w-historical-save-migration-plan-review.csv</t>
  </si>
  <si>
    <t>Current source file exists at Data/Scripts/Custom/Champions/Mobiles/Minions/PlagueBeastLord.cs; prior POST-BATCH-J row=PBJ-0015; register evidence=Serialize:L290;Deserialize:L308;SerialCtor:L287; class=Server.Mobiles.PlagueBeastLord; kind=Mobile; HasSerialConstructor=True; BaseCallStatus=BaseCallsFirst; VersionHandling=NoVersionFound; FieldAlignment=CountMismatch:Writes=6;Reads=5; direct source review=Source-reviewed ordinary serializer: Serial ctor L287-L288, base calls L292/L310, encoded version L294/L312, writes m_OpenedBy and optional timer flag/count/deadline L296-L305, reads same order L314-L323.</t>
  </si>
  <si>
    <t>Pending: docs: plan historical save migration queue</t>
  </si>
  <si>
    <t>2026-06-15T10:29:12.9182888-05:00</t>
  </si>
  <si>
    <t>POST-BATCH-W disposition of historical POST-BATCH-J NeedsMigrationPlan row; previous review row PBJ-0015; review class ScannerAmbiguityFalsePositive.</t>
  </si>
  <si>
    <t>RB-00081</t>
  </si>
  <si>
    <t>P10-F00081</t>
  </si>
  <si>
    <t>PBJ-0016</t>
  </si>
  <si>
    <t>No source change. Current source/register evidence shows paired serializer structure or a version-only serializer shape that does not require a layout edit.</t>
  </si>
  <si>
    <t>Current source file exists at Data/Scripts/Custom/PvE/CloneOfflinePlayerCharacters/BackpackClone.cs; match=ClassOnlyCurrentPath; serializer evidence=Serialize:L46;Deserialize:L52;SerialCtor:L20;VersionWrite:L49; class=Server.Custom.Confictura.CloneOfflinePlayerCharacters.BackpackClone; kind=Other;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</si>
  <si>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path=Data/Scripts/Custom/CloneOfflinePlayerCharacters/BackpackClone.cs; backlog risk category=VersionHandling; write count=1; read count=1. POST-BATCH-J is triage only; no serialized layout edit is approved by this row. Historical path was reconciled to current source path Data/Scripts/Custom/PvE/CloneOfflinePlayerCharacters/BackpackClone.cs.</t>
  </si>
  <si>
    <t>RB-00084</t>
  </si>
  <si>
    <t>P10-F00084</t>
  </si>
  <si>
    <t>PBW-0002</t>
  </si>
  <si>
    <t>Current source file exists at Data/Scripts/Custom/PvE/CloneOfflinePlayerCharacters/CharacterClone.cs; prior POST-BATCH-J row=PBJ-0017; register evidence=Serialize:L272;Deserialize:L279;SerialCtor:L41;VersionWrite:L275; class=Server.Custom.Confictura.CloneOfflinePlayerCharacters.CharacterClone; kind=Mobile; HasSerialConstructor=True; BaseCallStatus=BaseCallsFirst; VersionHandling=WriteVersionOnly; FieldAlignment=CountMismatch:Writes=1;Reads=2; direct source review=Source-reviewed ordinary serializer: Serial ctor L41-L44, base calls L274/L281, version write L275, version consume L282, Original write/read L276/L283, null fallback deletes clone L285-L288.</t>
  </si>
  <si>
    <t>POST-BATCH-W disposition of historical POST-BATCH-J NeedsMigrationPlan row; previous review row PBJ-0017; review class ScannerAmbiguityFalsePositive.</t>
  </si>
  <si>
    <t>RB-00087</t>
  </si>
  <si>
    <t>P10-F00087</t>
  </si>
  <si>
    <t>PBJ-0018</t>
  </si>
  <si>
    <t>Current source file exists at Data/Scripts/Custom/PvE/CloneOfflinePlayerCharacters/EtherealMountClone.cs; match=ClassOnlyCurrentPath; serializer evidence=Serialize:L36;Deserialize:L42;SerialCtor:L31;VersionWrite:L39; class=Server.Custom.Confictura.CloneOfflinePlayerCharacters.EtherealMountClone; kind=Other;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</si>
  <si>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path=Data/Scripts/Custom/CloneOfflinePlayerCharacters/EtherealMountClone.cs; backlog risk category=VersionHandling; write count=1; read count=1. POST-BATCH-J is triage only; no serialized layout edit is approved by this row. Historical path was reconciled to current source path Data/Scripts/Custom/PvE/CloneOfflinePlayerCharacters/EtherealMountClone.cs.</t>
  </si>
  <si>
    <t>RB-00090</t>
  </si>
  <si>
    <t>P10-F00090</t>
  </si>
  <si>
    <t>PBJ-0019</t>
  </si>
  <si>
    <t>Current source file exists at Data/Scripts/Custom/PvE/CloneOfflinePlayerCharacters/MountClone.cs; match=ClassOnlyCurrentPath; serializer evidence=Serialize:L45;Deserialize:L51;SerialCtor:L40;VersionWrite:L48; class=Server.Custom.Confictura.CloneOfflinePlayerCharacters.MountClone; kind=Other;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</si>
  <si>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path=Data/Scripts/Custom/CloneOfflinePlayerCharacters/MountClone.cs; backlog risk category=VersionHandling; write count=1; read count=1. POST-BATCH-J is triage only; no serialized layout edit is approved by this row. Historical path was reconciled to current source path Data/Scripts/Custom/PvE/CloneOfflinePlayerCharacters/MountClone.cs.</t>
  </si>
  <si>
    <t>RB-00098</t>
  </si>
  <si>
    <t>P10-F00098</t>
  </si>
  <si>
    <t>Data/Scripts/Custom/Government System/Vendor/CityRentedVendor.cs</t>
  </si>
  <si>
    <t>PBJ-0020</t>
  </si>
  <si>
    <t>Current source file exists at Data/Scripts/Custom/Government System/Vendor/CityRentedVendor.cs; match=ExactFileClass; serializer evidence=Serialize:L260;Deserialize:L280;SerialCtor:L56; class=Server.Mobiles.CityRentedVendor; kind=Controller; HasSerialConstructor=True; BaseCallStatus=BaseCallsFirst; VersionHandling=NoVersionFound; FieldAlignment=AlignedByCountAndKnownTypes; MoveRenameRisk=UnknownUntilSaveTest; ReviewStatus=NeedsSourceReview; ReviewReasons=NoVersionFound; UnknownUntilSaveTest</t>
  </si>
  <si>
    <t>Historical path=Data/Scripts/Custom/Government System/Vendor/CityRentedVendor.cs; backlog risk category=VersionHandling; write count=10; read count=10. POST-BATCH-J is triage only; no serialized layout edit is approved by this row.</t>
  </si>
  <si>
    <t>RB-00099</t>
  </si>
  <si>
    <t>P10-F00099</t>
  </si>
  <si>
    <t>PBJ-0021</t>
  </si>
  <si>
    <t>Current source file exists at Data/Scripts/Custom/Invasion System/Add Ins/BaseSpecialCreature.cs; match=ExactFileClass; serializer evidence=Serialize:L1070;Deserialize:L1091;SerialCtor:L1050; class=Server.Mobiles.BaseSpecialCreature; kind=Mobile; HasSerialConstructor=True; BaseCallStatus=BaseCallsFirst; VersionHandling=NoVersionFound; FieldAlignment=AlignedByCountAndKnownTypes; MoveRenameRisk=NamespaceOrTypeRenameDanger; ReviewStatus=NeedsSourceReview; ReviewReasons=NoVersionFound</t>
  </si>
  <si>
    <t>Historical path=Data/Scripts/Custom/Invasion System/Add Ins/BaseSpecialCreature.cs; backlog risk category=VersionHandling; write count=15; read count=15. POST-BATCH-J is triage only; no serialized layout edit is approved by this row.</t>
  </si>
  <si>
    <t>RB-00100</t>
  </si>
  <si>
    <t>P10-F00100</t>
  </si>
  <si>
    <t>PBJ-0022</t>
  </si>
  <si>
    <t>Current source file exists at Data/Scripts/Custom/Mobiles/Civilized/GraveRobber.cs; match=ExactFileClass; serializer evidence=Serialize:L47;Deserialize:L53;SerialCtor:L42;VersionWrite:L50; class=Server.Custom.Confictura.Mobiles.GraveRobber;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</si>
  <si>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path=Data/Scripts/Custom/Mobiles/Civilized/GraveRobber.cs; backlog risk category=VersionHandling; write count=1; read count=1. POST-BATCH-J is triage only; no serialized layout edit is approved by this row.</t>
  </si>
  <si>
    <t>RB-00102</t>
  </si>
  <si>
    <t>P10-F00102</t>
  </si>
  <si>
    <t>PBJ-0023</t>
  </si>
  <si>
    <t>Current source file exists at Data/Scripts/Custom/Mobiles/Civilized/Malachi.cs; match=ExactFileClass; serializer evidence=Serialize:L38;Deserialize:L44;SerialCtor:L33;VersionWrite:L41; class=Server.Custom.Confictura.Mobiles.Malachi;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</si>
  <si>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path=Data/Scripts/Custom/Mobiles/Civilized/Malachi.cs; backlog risk category=VersionHandling; write count=1; read count=1. POST-BATCH-J is triage only; no serialized layout edit is approved by this row.</t>
  </si>
  <si>
    <t>RB-00104</t>
  </si>
  <si>
    <t>P10-F00104</t>
  </si>
  <si>
    <t>PBJ-0024</t>
  </si>
  <si>
    <t>Current source file exists at Data/Scripts/Custom/Mobiles/Civilized/RangerOfTheBritainMilitia.cs; match=ExactFileClass; serializer evidence=Serialize:L33;Deserialize:L39;SerialCtor:L28;VersionWrite:L36; class=Server.Custom.Confictura.Mobiles.RangerOfTheBritainMilitia;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</si>
  <si>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path=Data/Scripts/Custom/Mobiles/Civilized/RangerOfTheBritainMilitia.cs; backlog risk category=VersionHandling; write count=1; read count=1. POST-BATCH-J is triage only; no serialized layout edit is approved by this row.</t>
  </si>
  <si>
    <t>RB-00106</t>
  </si>
  <si>
    <t>P10-F00106</t>
  </si>
  <si>
    <t>PBJ-0025</t>
  </si>
  <si>
    <t>Current source file exists at Data/Scripts/Custom/Mobiles/Constructs/CursedAdventurer.cs; match=ExactFileClass; serializer evidence=Serialize:L40;Deserialize:L46;SerialCtor:L35;VersionWrite:L43; class=Server.Custom.Confictura.Mobiles.CursedAdventurer;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</si>
  <si>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path=Data/Scripts/Custom/Mobiles/Constructs/CursedAdventurer.cs; backlog risk category=VersionHandling; write count=1; read count=1. POST-BATCH-J is triage only; no serialized layout edit is approved by this row.</t>
  </si>
  <si>
    <t>RB-00108</t>
  </si>
  <si>
    <t>P10-F00108</t>
  </si>
  <si>
    <t>PBJ-0026</t>
  </si>
  <si>
    <t>Current source file exists at Data/Scripts/Custom/Mobiles/Constructs/DiosMonster.cs; match=ExactFileClass; serializer evidence=Serialize:L41;Deserialize:L47;SerialCtor:L36;VersionWrite:L44; class=Server.Custom.Confictura.Mobiles.DiosMonster;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</si>
  <si>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path=Data/Scripts/Custom/Mobiles/Constructs/DiosMonster.cs; backlog risk category=VersionHandling; write count=1; read count=1. POST-BATCH-J is triage only; no serialized layout edit is approved by this row.</t>
  </si>
  <si>
    <t>RB-00110</t>
  </si>
  <si>
    <t>P10-F00110</t>
  </si>
  <si>
    <t>PBJ-0027</t>
  </si>
  <si>
    <t>Current source file exists at Data/Scripts/Custom/Mobiles/Constructs/FinalExodus.cs; match=ExactFileClass; serializer evidence=Serialize:L61;Deserialize:L67;SerialCtor:L56;VersionWrite:L64; class=Server.Custom.Confictura.Mobiles.FinalExodus;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</si>
  <si>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path=Data/Scripts/Custom/Mobiles/Constructs/FinalExodus.cs; backlog risk category=VersionHandling; write count=1; read count=1. POST-BATCH-J is triage only; no serialized layout edit is approved by this row.</t>
  </si>
  <si>
    <t>RB-00112</t>
  </si>
  <si>
    <t>P10-F00112</t>
  </si>
  <si>
    <t>PBJ-0028</t>
  </si>
  <si>
    <t>Current source file exists at Data/Scripts/Custom/Mobiles/Constructs/ManaGolem.cs; match=ExactFileClass; serializer evidence=Serialize:L38;Deserialize:L44;SerialCtor:L33;VersionWrite:L41; class=Server.Custom.Confictura.Mobiles.ManaGolem;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</si>
  <si>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path=Data/Scripts/Custom/Mobiles/Constructs/ManaGolem.cs; backlog risk category=VersionHandling; write count=1; read count=1. POST-BATCH-J is triage only; no serialized layout edit is approved by this row.</t>
  </si>
  <si>
    <t>RB-00114</t>
  </si>
  <si>
    <t>P10-F00114</t>
  </si>
  <si>
    <t>PBJ-0029</t>
  </si>
  <si>
    <t>Current source file exists at Data/Scripts/Custom/Mobiles/Constructs/TombWarden.cs; match=ExactFileClass; serializer evidence=Serialize:L39;Deserialize:L45;SerialCtor:L34;VersionWrite:L42; class=Server.Custom.Confictura.Mobiles.TombWarden;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</si>
  <si>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path=Data/Scripts/Custom/Mobiles/Constructs/TombWarden.cs; backlog risk category=VersionHandling; write count=1; read count=1. POST-BATCH-J is triage only; no serialized layout edit is approved by this row.</t>
  </si>
  <si>
    <t>RB-00116</t>
  </si>
  <si>
    <t>P10-F00116</t>
  </si>
  <si>
    <t>PBJ-0030</t>
  </si>
  <si>
    <t>Current source file exists at Data/Scripts/Custom/Mobiles/Cultists/DarkCultist.cs; match=ExactFileClass; serializer evidence=Serialize:L37;Deserialize:L43;SerialCtor:L32;VersionWrite:L40; class=Server.Custom.Confictura.Mobiles.DarkCultist;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</si>
  <si>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path=Data/Scripts/Custom/Mobiles/Cultists/DarkCultist.cs; backlog risk category=VersionHandling; write count=1; read count=1. POST-BATCH-J is triage only; no serialized layout edit is approved by this row.</t>
  </si>
  <si>
    <t>RB-00118</t>
  </si>
  <si>
    <t>P10-F00118</t>
  </si>
  <si>
    <t>PBJ-0031</t>
  </si>
  <si>
    <t>Current source file exists at Data/Scripts/Custom/Mobiles/Cultists/DarkCultistApprentice.cs; match=ExactFileClass; serializer evidence=Serialize:L37;Deserialize:L43;SerialCtor:L32;VersionWrite:L40; class=Server.Custom.Confictura.Mobiles.DarkCultistApprentice;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</si>
  <si>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path=Data/Scripts/Custom/Mobiles/Cultists/DarkCultistApprentice.cs; backlog risk category=VersionHandling; write count=1; read count=1. POST-BATCH-J is triage only; no serialized layout edit is approved by this row.</t>
  </si>
  <si>
    <t>RB-00120</t>
  </si>
  <si>
    <t>P10-F00120</t>
  </si>
  <si>
    <t>PBJ-0032</t>
  </si>
  <si>
    <t>Current source file exists at Data/Scripts/Custom/Mobiles/Cultists/DarkDragonCultist.cs; match=ExactFileClass; serializer evidence=Serialize:L38;Deserialize:L44;SerialCtor:L33;VersionWrite:L41; class=Server.Custom.Confictura.Mobiles.DarkDragonCultist;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</si>
  <si>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path=Data/Scripts/Custom/Mobiles/Cultists/DarkDragonCultist.cs; backlog risk category=VersionHandling; write count=1; read count=1. POST-BATCH-J is triage only; no serialized layout edit is approved by this row.</t>
  </si>
  <si>
    <t>RB-00122</t>
  </si>
  <si>
    <t>P10-F00122</t>
  </si>
  <si>
    <t>PBJ-0033</t>
  </si>
  <si>
    <t>Current source file exists at Data/Scripts/Custom/Mobiles/Daemons/FallenAngel.cs; match=ExactFileClass; serializer evidence=Serialize:L47;Deserialize:L53;SerialCtor:L42;VersionWrite:L50; class=Server.Custom.Confictura.Mobiles.FallenAngel;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</si>
  <si>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path=Data/Scripts/Custom/Mobiles/Daemons/FallenAngel.cs; backlog risk category=VersionHandling; write count=1; read count=1. POST-BATCH-J is triage only; no serialized layout edit is approved by this row.</t>
  </si>
  <si>
    <t>RB-00124</t>
  </si>
  <si>
    <t>P10-F00124</t>
  </si>
  <si>
    <t>PBJ-0034</t>
  </si>
  <si>
    <t>Current source file exists at Data/Scripts/Custom/Mobiles/Daemons/GuardianOfTheUnderworld.cs; match=ExactFileClass; serializer evidence=Serialize:L38;Deserialize:L44;SerialCtor:L33;VersionWrite:L41; class=Server.Custom.Confictura.Mobiles.GuardianOfTheUnderworld;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</si>
  <si>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path=Data/Scripts/Custom/Mobiles/Daemons/GuardianOfTheUnderworld.cs; backlog risk category=VersionHandling; write count=1; read count=1. POST-BATCH-J is triage only; no serialized layout edit is approved by this row.</t>
  </si>
  <si>
    <t>RB-00126</t>
  </si>
  <si>
    <t>P10-F00126</t>
  </si>
  <si>
    <t>PBJ-0035</t>
  </si>
  <si>
    <t>Current source file exists at Data/Scripts/Custom/Mobiles/Daemons/PlagueGod.cs; match=ExactFileClass; serializer evidence=Serialize:L46;Deserialize:L52;SerialCtor:L41;VersionWrite:L49; class=Server.Custom.Confictura.Mobiles.PlagueGod;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</si>
  <si>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path=Data/Scripts/Custom/Mobiles/Daemons/PlagueGod.cs; backlog risk category=VersionHandling; write count=1; read count=1. POST-BATCH-J is triage only; no serialized layout edit is approved by this row.</t>
  </si>
  <si>
    <t>RB-00128</t>
  </si>
  <si>
    <t>P10-F00128</t>
  </si>
  <si>
    <t>PBJ-0036</t>
  </si>
  <si>
    <t>Current source file exists at Data/Scripts/Custom/Mobiles/Daemons/TombPest.cs; match=ExactFileClass; serializer evidence=Serialize:L47;Deserialize:L53;SerialCtor:L42;VersionWrite:L50; class=Server.Custom.Confictura.Mobiles.TombPest;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</si>
  <si>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path=Data/Scripts/Custom/Mobiles/Daemons/TombPest.cs; backlog risk category=VersionHandling; write count=1; read count=1. POST-BATCH-J is triage only; no serialized layout edit is approved by this row.</t>
  </si>
  <si>
    <t>RB-00130</t>
  </si>
  <si>
    <t>P10-F00130</t>
  </si>
  <si>
    <t>PBJ-0037</t>
  </si>
  <si>
    <t>Current source file exists at Data/Scripts/Custom/Mobiles/Dragons/DarkDragonAvatar.cs; match=ExactFileClass; serializer evidence=Serialize:L66;Deserialize:L72;SerialCtor:L61;VersionWrite:L69; class=Server.Custom.Confictura.Mobiles.DarkDragonAvatar;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</si>
  <si>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path=Data/Scripts/Custom/Mobiles/Dragons/DarkDragonAvatar.cs; backlog risk category=VersionHandling; write count=1; read count=1. POST-BATCH-J is triage only; no serialized layout edit is approved by this row.</t>
  </si>
  <si>
    <t>RB-00132</t>
  </si>
  <si>
    <t>P10-F00132</t>
  </si>
  <si>
    <t>PBJ-0038</t>
  </si>
  <si>
    <t>Current source file exists at Data/Scripts/Custom/Mobiles/Dragons/DragonHydra.cs; match=ExactFileClass; serializer evidence=Serialize:L44;Deserialize:L50;SerialCtor:L39;VersionWrite:L47; class=Server.Custom.Confictura.Mobiles.DragonHydra;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</si>
  <si>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path=Data/Scripts/Custom/Mobiles/Dragons/DragonHydra.cs; backlog risk category=VersionHandling; write count=1; read count=1. POST-BATCH-J is triage only; no serialized layout edit is approved by this row.</t>
  </si>
  <si>
    <t>RB-00134</t>
  </si>
  <si>
    <t>P10-F00134</t>
  </si>
  <si>
    <t>PBJ-0039</t>
  </si>
  <si>
    <t>Current source file exists at Data/Scripts/Custom/Mobiles/Dragons/DragonIllusion.cs; match=ExactFileClass; serializer evidence=Serialize:L38;Deserialize:L44;SerialCtor:L33;VersionWrite:L41; class=Server.Custom.Confictura.Mobiles.DragonIllusion;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</si>
  <si>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path=Data/Scripts/Custom/Mobiles/Dragons/DragonIllusion.cs; backlog risk category=VersionHandling; write count=1; read count=1. POST-BATCH-J is triage only; no serialized layout edit is approved by this row.</t>
  </si>
  <si>
    <t>RB-00136</t>
  </si>
  <si>
    <t>P10-F00136</t>
  </si>
  <si>
    <t>PBJ-0040</t>
  </si>
  <si>
    <t>Current source file exists at Data/Scripts/Custom/Mobiles/Dragons/Wyrmling.cs; match=ExactFileClass; serializer evidence=Serialize:L36;Deserialize:L42;SerialCtor:L31;VersionWrite:L39; class=Server.Custom.Confictura.Mobiles.Wyrmling;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</si>
  <si>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path=Data/Scripts/Custom/Mobiles/Dragons/Wyrmling.cs; backlog risk category=VersionHandling; write count=1; read count=1. POST-BATCH-J is triage only; no serialized layout edit is approved by this row.</t>
  </si>
  <si>
    <t>RB-00138</t>
  </si>
  <si>
    <t>P10-F00138</t>
  </si>
  <si>
    <t>PBJ-0041</t>
  </si>
  <si>
    <t>Current source file exists at Data/Scripts/Custom/Mobiles/Elementals/FireIllusion.cs; match=ExactFileClass; serializer evidence=Serialize:L38;Deserialize:L44;SerialCtor:L33;VersionWrite:L41; class=Server.Custom.Confictura.Mobiles.FireIllusion;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</si>
  <si>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path=Data/Scripts/Custom/Mobiles/Elementals/FireIllusion.cs; backlog risk category=VersionHandling; write count=1; read count=1. POST-BATCH-J is triage only; no serialized layout edit is approved by this row.</t>
  </si>
  <si>
    <t>RB-00140</t>
  </si>
  <si>
    <t>P10-F00140</t>
  </si>
  <si>
    <t>PBJ-0042</t>
  </si>
  <si>
    <t>Current source file exists at Data/Scripts/Custom/Mobiles/Elementals/FireKing.cs; match=ExactFileClass; serializer evidence=Serialize:L41;Deserialize:L47;SerialCtor:L36;VersionWrite:L44; class=Server.Custom.Confictura.Mobiles.FireKing;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</si>
  <si>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path=Data/Scripts/Custom/Mobiles/Elementals/FireKing.cs; backlog risk category=VersionHandling; write count=1; read count=1. POST-BATCH-J is triage only; no serialized layout edit is approved by this row.</t>
  </si>
  <si>
    <t>RB-00142</t>
  </si>
  <si>
    <t>P10-F00142</t>
  </si>
  <si>
    <t>PBJ-0043</t>
  </si>
  <si>
    <t>Current source file exists at Data/Scripts/Custom/Mobiles/Elementals/FireServant.cs; match=ExactFileClass; serializer evidence=Serialize:L36;Deserialize:L42;SerialCtor:L31;VersionWrite:L39; class=Server.Custom.Confictura.Mobiles.FireServant;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</si>
  <si>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path=Data/Scripts/Custom/Mobiles/Elementals/FireServant.cs; backlog risk category=VersionHandling; write count=1; read count=1. POST-BATCH-J is triage only; no serialized layout edit is approved by this row.</t>
  </si>
  <si>
    <t>RB-00144</t>
  </si>
  <si>
    <t>P10-F00144</t>
  </si>
  <si>
    <t>PBJ-0044</t>
  </si>
  <si>
    <t>Current source file exists at Data/Scripts/Custom/Mobiles/Elementals/FireSpirit.cs; match=ExactFileClass; serializer evidence=Serialize:L37;Deserialize:L43;SerialCtor:L32;VersionWrite:L40; class=Server.Custom.Confictura.Mobiles.FireSpirit;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</si>
  <si>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path=Data/Scripts/Custom/Mobiles/Elementals/FireSpirit.cs; backlog risk category=VersionHandling; write count=1; read count=1. POST-BATCH-J is triage only; no serialized layout edit is approved by this row.</t>
  </si>
  <si>
    <t>RB-00146</t>
  </si>
  <si>
    <t>P10-F00146</t>
  </si>
  <si>
    <t>PBJ-0045</t>
  </si>
  <si>
    <t>Current source file exists at Data/Scripts/Custom/Mobiles/Elementals/Geode.cs; match=ExactFileClass; serializer evidence=Serialize:L39;Deserialize:L45;SerialCtor:L34;VersionWrite:L42; class=Server.Custom.Confictura.Mobiles.Geode;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</si>
  <si>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path=Data/Scripts/Custom/Mobiles/Elementals/Geode.cs; backlog risk category=VersionHandling; write count=1; read count=1. POST-BATCH-J is triage only; no serialized layout edit is approved by this row.</t>
  </si>
  <si>
    <t>RB-00148</t>
  </si>
  <si>
    <t>P10-F00148</t>
  </si>
  <si>
    <t>PBJ-0046</t>
  </si>
  <si>
    <t>Current source file exists at Data/Scripts/Custom/Mobiles/Elementals/GrumpyEarthSpirit.cs; match=ExactFileClass; serializer evidence=Serialize:L36;Deserialize:L42;SerialCtor:L31;VersionWrite:L39; class=Server.Custom.Confictura.Mobiles.GrumpyEarthSpirit;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</si>
  <si>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path=Data/Scripts/Custom/Mobiles/Elementals/GrumpyEarthSpirit.cs; backlog risk category=VersionHandling; write count=1; read count=1. POST-BATCH-J is triage only; no serialized layout edit is approved by this row.</t>
  </si>
  <si>
    <t>RB-00150</t>
  </si>
  <si>
    <t>P10-F00150</t>
  </si>
  <si>
    <t>PBJ-0047</t>
  </si>
  <si>
    <t>Current source file exists at Data/Scripts/Custom/Mobiles/Elementals/SkySpirit.cs; match=ExactFileClass; serializer evidence=Serialize:L42;Deserialize:L48;SerialCtor:L37;VersionWrite:L45; class=Server.Custom.Confictura.Mobiles.SkySpirit;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</si>
  <si>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path=Data/Scripts/Custom/Mobiles/Elementals/SkySpirit.cs; backlog risk category=VersionHandling; write count=1; read count=1. POST-BATCH-J is triage only; no serialized layout edit is approved by this row.</t>
  </si>
  <si>
    <t>RB-00152</t>
  </si>
  <si>
    <t>P10-F00152</t>
  </si>
  <si>
    <t>PBJ-0048</t>
  </si>
  <si>
    <t>Current source file exists at Data/Scripts/Custom/Mobiles/Goliaths/Atlas.cs; match=ExactFileClass; serializer evidence=Serialize:L38;Deserialize:L44;SerialCtor:L33;VersionWrite:L41; class=Server.Custom.Confictura.Mobiles.Atlas;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</si>
  <si>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path=Data/Scripts/Custom/Mobiles/Goliaths/Atlas.cs; backlog risk category=VersionHandling; write count=1; read count=1. POST-BATCH-J is triage only; no serialized layout edit is approved by this row.</t>
  </si>
  <si>
    <t>RB-00154</t>
  </si>
  <si>
    <t>P10-F00154</t>
  </si>
  <si>
    <t>PBJ-0049</t>
  </si>
  <si>
    <t>Current source file exists at Data/Scripts/Custom/Mobiles/Goliaths/CyclopsIntruder.cs; match=ExactFileClass; serializer evidence=Serialize:L34;Deserialize:L40;SerialCtor:L29;VersionWrite:L37; class=Server.Custom.Confictura.Mobiles.CyclopsIntruder;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</si>
  <si>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path=Data/Scripts/Custom/Mobiles/Goliaths/CyclopsIntruder.cs; backlog risk category=VersionHandling; write count=1; read count=1. POST-BATCH-J is triage only; no serialized layout edit is approved by this row.</t>
  </si>
  <si>
    <t>RB-00156</t>
  </si>
  <si>
    <t>P10-F00156</t>
  </si>
  <si>
    <t>PBJ-0050</t>
  </si>
  <si>
    <t>Current source file exists at Data/Scripts/Custom/Mobiles/Goliaths/TwoFace.cs; match=ExactFileClass; serializer evidence=Serialize:L44;Deserialize:L50;SerialCtor:L39;VersionWrite:L47; class=Server.Custom.Confictura.Mobiles.TwoFace;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</si>
  <si>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path=Data/Scripts/Custom/Mobiles/Goliaths/TwoFace.cs; backlog risk category=VersionHandling; write count=1; read count=1. POST-BATCH-J is triage only; no serialized layout edit is approved by this row.</t>
  </si>
  <si>
    <t>RB-00158</t>
  </si>
  <si>
    <t>P10-F00158</t>
  </si>
  <si>
    <t>PBJ-0051</t>
  </si>
  <si>
    <t>Current source file exists at Data/Scripts/Custom/Mobiles/Kobolds/KoboldChief.cs; match=ExactFileClass; serializer evidence=Serialize:L33;Deserialize:L39;SerialCtor:L28;VersionWrite:L36; class=Server.Custom.Confictura.Mobiles.KoboldChief;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</si>
  <si>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path=Data/Scripts/Custom/Mobiles/Kobolds/KoboldChief.cs; backlog risk category=VersionHandling; write count=1; read count=1. POST-BATCH-J is triage only; no serialized layout edit is approved by this row.</t>
  </si>
  <si>
    <t>RB-00160</t>
  </si>
  <si>
    <t>P10-F00160</t>
  </si>
  <si>
    <t>PBJ-0052</t>
  </si>
  <si>
    <t>Current source file exists at Data/Scripts/Custom/Mobiles/Kobolds/KoboldFootSoldier.cs; match=ExactFileClass; serializer evidence=Serialize:L35;Deserialize:L41;SerialCtor:L30;VersionWrite:L38; class=Server.Custom.Confictura.Mobiles.KoboldFootSoldier;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</si>
  <si>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path=Data/Scripts/Custom/Mobiles/Kobolds/KoboldFootSoldier.cs; backlog risk category=VersionHandling; write count=1; read count=1. POST-BATCH-J is triage only; no serialized layout edit is approved by this row.</t>
  </si>
  <si>
    <t>RB-00162</t>
  </si>
  <si>
    <t>P10-F00162</t>
  </si>
  <si>
    <t>PBJ-0053</t>
  </si>
  <si>
    <t>Current source file exists at Data/Scripts/Custom/Mobiles/Kobolds/KoboldRingleader.cs; match=ExactFileClass; serializer evidence=Serialize:L45;Deserialize:L51;SerialCtor:L40;VersionWrite:L48; class=Server.Custom.Confictura.Mobiles.KoboldRingleader;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</si>
  <si>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path=Data/Scripts/Custom/Mobiles/Kobolds/KoboldRingleader.cs; backlog risk category=VersionHandling; write count=1; read count=1. POST-BATCH-J is triage only; no serialized layout edit is approved by this row.</t>
  </si>
  <si>
    <t>RB-00164</t>
  </si>
  <si>
    <t>P10-F00164</t>
  </si>
  <si>
    <t>PBJ-0054</t>
  </si>
  <si>
    <t>Current source file exists at Data/Scripts/Custom/Mobiles/Minotaurs/MazeMinotaur.cs; match=ExactFileClass; serializer evidence=Serialize:L33;Deserialize:L39;SerialCtor:L28;VersionWrite:L36; class=Server.Custom.Confictura.Mobiles.MazeMinotaur;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</si>
  <si>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path=Data/Scripts/Custom/Mobiles/Minotaurs/MazeMinotaur.cs; backlog risk category=VersionHandling; write count=1; read count=1. POST-BATCH-J is triage only; no serialized layout edit is approved by this row.</t>
  </si>
  <si>
    <t>RB-00166</t>
  </si>
  <si>
    <t>P10-F00166</t>
  </si>
  <si>
    <t>PBJ-0055</t>
  </si>
  <si>
    <t>Current source file exists at Data/Scripts/Custom/Mobiles/Minotaurs/MazeMinotaurEast.cs; match=ExactFileClass; serializer evidence=Serialize:L34;Deserialize:L40;SerialCtor:L29;VersionWrite:L37; class=Server.Custom.Confictura.Mobiles.MazeMinotaurEast;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</si>
  <si>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path=Data/Scripts/Custom/Mobiles/Minotaurs/MazeMinotaurEast.cs; backlog risk category=VersionHandling; write count=1; read count=1. POST-BATCH-J is triage only; no serialized layout edit is approved by this row.</t>
  </si>
  <si>
    <t>RB-00168</t>
  </si>
  <si>
    <t>P10-F00168</t>
  </si>
  <si>
    <t>PBJ-0056</t>
  </si>
  <si>
    <t>Current source file exists at Data/Scripts/Custom/Mobiles/Minotaurs/MazeMinotaurSouth.cs; match=ExactFileClass; serializer evidence=Serialize:L37;Deserialize:L43;SerialCtor:L32;VersionWrite:L40; class=Server.Custom.Confictura.Mobiles.MazeMinotaurSouth;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</si>
  <si>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path=Data/Scripts/Custom/Mobiles/Minotaurs/MazeMinotaurSouth.cs; backlog risk category=VersionHandling; write count=1; read count=1. POST-BATCH-J is triage only; no serialized layout edit is approved by this row.</t>
  </si>
  <si>
    <t>RB-00170</t>
  </si>
  <si>
    <t>P10-F00170</t>
  </si>
  <si>
    <t>PBJ-0057</t>
  </si>
  <si>
    <t>Current source file exists at Data/Scripts/Custom/Mobiles/Mystical/Archon.cs; match=ExactFileClass; serializer evidence=Serialize:L37;Deserialize:L43;SerialCtor:L32;VersionWrite:L40; class=Server.Custom.Confictura.Mobiles.Archon;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</si>
  <si>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path=Data/Scripts/Custom/Mobiles/Mystical/Archon.cs; backlog risk category=VersionHandling; write count=1; read count=1. POST-BATCH-J is triage only; no serialized layout edit is approved by this row.</t>
  </si>
  <si>
    <t>RB-00172</t>
  </si>
  <si>
    <t>P10-F00172</t>
  </si>
  <si>
    <t>PBJ-0058</t>
  </si>
  <si>
    <t>Current source file exists at Data/Scripts/Custom/Mobiles/Mystical/EternalGuardian.cs; match=ExactFileClass; serializer evidence=Serialize:L67;Deserialize:L73;SerialCtor:L62;VersionWrite:L70; class=Server.Custom.Confictura.Mobiles.EternalGuardian;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</si>
  <si>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path=Data/Scripts/Custom/Mobiles/Mystical/EternalGuardian.cs; backlog risk category=VersionHandling; write count=1; read count=1. POST-BATCH-J is triage only; no serialized layout edit is approved by this row.</t>
  </si>
  <si>
    <t>RB-00174</t>
  </si>
  <si>
    <t>P10-F00174</t>
  </si>
  <si>
    <t>PBJ-0059</t>
  </si>
  <si>
    <t>Current source file exists at Data/Scripts/Custom/Mobiles/Mystical/Lovecraftian.cs; match=ExactFileClass; serializer evidence=Serialize:L44;Deserialize:L50;SerialCtor:L39;VersionWrite:L47; class=Server.Custom.Confictura.Mobiles.Lovecraftian;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</si>
  <si>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path=Data/Scripts/Custom/Mobiles/Mystical/Lovecraftian.cs; backlog risk category=VersionHandling; write count=1; read count=1. POST-BATCH-J is triage only; no serialized layout edit is approved by this row.</t>
  </si>
  <si>
    <t>RB-00176</t>
  </si>
  <si>
    <t>P10-F00176</t>
  </si>
  <si>
    <t>PBJ-0060</t>
  </si>
  <si>
    <t>Current source file exists at Data/Scripts/Custom/Mobiles/Mystical/TrueVirtue.cs; match=ExactFileClass; serializer evidence=Serialize:L38;Deserialize:L44;SerialCtor:L33;VersionWrite:L41; class=Server.Custom.Confictura.Mobiles.TrueVirtue;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</si>
  <si>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path=Data/Scripts/Custom/Mobiles/Mystical/TrueVirtue.cs; backlog risk category=VersionHandling; write count=1; read count=1. POST-BATCH-J is triage only; no serialized layout edit is approved by this row.</t>
  </si>
  <si>
    <t>RB-00178</t>
  </si>
  <si>
    <t>P10-F00178</t>
  </si>
  <si>
    <t>PBJ-0061</t>
  </si>
  <si>
    <t>Current source file exists at Data/Scripts/Custom/Mobiles/Pirates/CaptainSwag.cs; match=ExactFileClass; serializer evidence=Serialize:L42;Deserialize:L48;SerialCtor:L37;VersionWrite:L45; class=Server.Custom.Confictura.Mobiles.CaptainSwag;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</si>
  <si>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path=Data/Scripts/Custom/Mobiles/Pirates/CaptainSwag.cs; backlog risk category=VersionHandling; write count=1; read count=1. POST-BATCH-J is triage only; no serialized layout edit is approved by this row.</t>
  </si>
  <si>
    <t>RB-00180</t>
  </si>
  <si>
    <t>P10-F00180</t>
  </si>
  <si>
    <t>PBJ-0062</t>
  </si>
  <si>
    <t>Current source file exists at Data/Scripts/Custom/Mobiles/Pirates/Pirate.cs; match=ExactFileClass; serializer evidence=Serialize:L34;Deserialize:L40;SerialCtor:L29;VersionWrite:L37; class=Server.Custom.Confictura.Mobiles.Pirate;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</si>
  <si>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path=Data/Scripts/Custom/Mobiles/Pirates/Pirate.cs; backlog risk category=VersionHandling; write count=1; read count=1. POST-BATCH-J is triage only; no serialized layout edit is approved by this row.</t>
  </si>
  <si>
    <t>RB-00182</t>
  </si>
  <si>
    <t>P10-F00182</t>
  </si>
  <si>
    <t>PBJ-0063</t>
  </si>
  <si>
    <t>Current source file exists at Data/Scripts/Custom/Mobiles/Pirates/Scallywag.cs; match=ExactFileClass; serializer evidence=Serialize:L32;Deserialize:L38;SerialCtor:L27;VersionWrite:L35; class=Server.Custom.Confictura.Mobiles.Scallywag;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</si>
  <si>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path=Data/Scripts/Custom/Mobiles/Pirates/Scallywag.cs; backlog risk category=VersionHandling; write count=1; read count=1. POST-BATCH-J is triage only; no serialized layout edit is approved by this row.</t>
  </si>
  <si>
    <t>RB-00184</t>
  </si>
  <si>
    <t>P10-F00184</t>
  </si>
  <si>
    <t>PBJ-0064</t>
  </si>
  <si>
    <t>Current source file exists at Data/Scripts/Custom/Mobiles/Serpents/FireAngel.cs; match=ExactFileClass; serializer evidence=Serialize:L37;Deserialize:L43;SerialCtor:L32;VersionWrite:L40; class=Server.Custom.Confictura.Mobiles.FireAngel;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</si>
  <si>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path=Data/Scripts/Custom/Mobiles/Serpents/FireAngel.cs; backlog risk category=VersionHandling; write count=1; read count=1. POST-BATCH-J is triage only; no serialized layout edit is approved by this row.</t>
  </si>
  <si>
    <t>RB-00186</t>
  </si>
  <si>
    <t>P10-F00186</t>
  </si>
  <si>
    <t>PBJ-0065</t>
  </si>
  <si>
    <t>Current source file exists at Data/Scripts/Custom/Mobiles/Serpents/ImmortalGenie.cs; match=ExactFileClass; serializer evidence=Serialize:L63;Deserialize:L69;SerialCtor:L58;VersionWrite:L66; class=Server.Custom.Confictura.Mobiles.ImmortalGenie;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</si>
  <si>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path=Data/Scripts/Custom/Mobiles/Serpents/ImmortalGenie.cs; backlog risk category=VersionHandling; write count=1; read count=1. POST-BATCH-J is triage only; no serialized layout edit is approved by this row.</t>
  </si>
  <si>
    <t>RB-00188</t>
  </si>
  <si>
    <t>P10-F00188</t>
  </si>
  <si>
    <t>PBJ-0066</t>
  </si>
  <si>
    <t>Current source file exists at Data/Scripts/Custom/Mobiles/Spiders/SpiderIllusion.cs; match=ExactFileClass; serializer evidence=Serialize:L38;Deserialize:L44;SerialCtor:L33;VersionWrite:L41; class=Server.Custom.Confictura.Mobiles.SpiderIllusion;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</si>
  <si>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path=Data/Scripts/Custom/Mobiles/Spiders/SpiderIllusion.cs; backlog risk category=VersionHandling; write count=1; read count=1. POST-BATCH-J is triage only; no serialized layout edit is approved by this row.</t>
  </si>
  <si>
    <t>RB-00190</t>
  </si>
  <si>
    <t>P10-F00190</t>
  </si>
  <si>
    <t>PBJ-0067</t>
  </si>
  <si>
    <t>Current source file exists at Data/Scripts/Custom/Mobiles/Spiders/Spiderling.cs; match=ExactFileClass; serializer evidence=Serialize:L35;Deserialize:L41;SerialCtor:L30;VersionWrite:L38; class=Server.Custom.Confictura.Mobiles.Spiderling;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</si>
  <si>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path=Data/Scripts/Custom/Mobiles/Spiders/Spiderling.cs; backlog risk category=VersionHandling; write count=1; read count=1. POST-BATCH-J is triage only; no serialized layout edit is approved by this row.</t>
  </si>
  <si>
    <t>RB-00192</t>
  </si>
  <si>
    <t>P10-F00192</t>
  </si>
  <si>
    <t>PBJ-0068</t>
  </si>
  <si>
    <t>Current source file exists at Data/Scripts/Custom/Mobiles/Spiders/SpiderQueen.cs; match=ExactFileClass; serializer evidence=Serialize:L34;Deserialize:L40;SerialCtor:L29;VersionWrite:L37; class=Server.Custom.Confictura.Mobiles.SpiderQueen;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</si>
  <si>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path=Data/Scripts/Custom/Mobiles/Spiders/SpiderQueen.cs; backlog risk category=VersionHandling; write count=1; read count=1. POST-BATCH-J is triage only; no serialized layout edit is approved by this row.</t>
  </si>
  <si>
    <t>RB-00194</t>
  </si>
  <si>
    <t>P10-F00194</t>
  </si>
  <si>
    <t>PBJ-0069</t>
  </si>
  <si>
    <t>Current source file exists at Data/Scripts/Custom/Mobiles/Titans/FalseEarthGod.cs; match=ExactFileClass; serializer evidence=Serialize:L38;Deserialize:L44;SerialCtor:L33;VersionWrite:L41; class=Server.Custom.Confictura.Mobiles.FalseEarthGod;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</si>
  <si>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path=Data/Scripts/Custom/Mobiles/Titans/FalseEarthGod.cs; backlog risk category=VersionHandling; write count=1; read count=1. POST-BATCH-J is triage only; no serialized layout edit is approved by this row.</t>
  </si>
  <si>
    <t>RB-00196</t>
  </si>
  <si>
    <t>P10-F00196</t>
  </si>
  <si>
    <t>PBJ-0070</t>
  </si>
  <si>
    <t>Current source file exists at Data/Scripts/Custom/Mobiles/Titans/FalseFireGod.cs; match=ExactFileClass; serializer evidence=Serialize:L36;Deserialize:L42;SerialCtor:L31;VersionWrite:L39; class=Server.Custom.Confictura.Mobiles.FalseFireGod;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</si>
  <si>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path=Data/Scripts/Custom/Mobiles/Titans/FalseFireGod.cs; backlog risk category=VersionHandling; write count=1; read count=1. POST-BATCH-J is triage only; no serialized layout edit is approved by this row.</t>
  </si>
  <si>
    <t>RB-00198</t>
  </si>
  <si>
    <t>P10-F00198</t>
  </si>
  <si>
    <t>PBJ-0071</t>
  </si>
  <si>
    <t>Current source file exists at Data/Scripts/Custom/Mobiles/Titans/FalseSeaGod.cs; match=ExactFileClass; serializer evidence=Serialize:L36;Deserialize:L42;SerialCtor:L31;VersionWrite:L39; class=Server.Custom.Confictura.Mobiles.FalseSeaGod;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</si>
  <si>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path=Data/Scripts/Custom/Mobiles/Titans/FalseSeaGod.cs; backlog risk category=VersionHandling; write count=1; read count=1. POST-BATCH-J is triage only; no serialized layout edit is approved by this row.</t>
  </si>
  <si>
    <t>RB-00200</t>
  </si>
  <si>
    <t>P10-F00200</t>
  </si>
  <si>
    <t>PBJ-0072</t>
  </si>
  <si>
    <t>Current source file exists at Data/Scripts/Custom/Mobiles/Titans/FalseWindGod.cs; match=ExactFileClass; serializer evidence=Serialize:L36;Deserialize:L42;SerialCtor:L31;VersionWrite:L39; class=Server.Custom.Confictura.Mobiles.FalseWindGod;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</si>
  <si>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path=Data/Scripts/Custom/Mobiles/Titans/FalseWindGod.cs; backlog risk category=VersionHandling; write count=1; read count=1. POST-BATCH-J is triage only; no serialized layout edit is approved by this row.</t>
  </si>
  <si>
    <t>RB-00202</t>
  </si>
  <si>
    <t>P10-F00202</t>
  </si>
  <si>
    <t>PBJ-0073</t>
  </si>
  <si>
    <t>Current source file exists at Data/Scripts/Custom/Mobiles/Titans/Herculian.cs; match=ExactFileClass; serializer evidence=Serialize:L36;Deserialize:L42;SerialCtor:L31;VersionWrite:L39; class=Server.Custom.Confictura.Mobiles.Herculian;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</si>
  <si>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path=Data/Scripts/Custom/Mobiles/Titans/Herculian.cs; backlog risk category=VersionHandling; write count=1; read count=1. POST-BATCH-J is triage only; no serialized layout edit is approved by this row.</t>
  </si>
  <si>
    <t>RB-00204</t>
  </si>
  <si>
    <t>P10-F00204</t>
  </si>
  <si>
    <t>PBJ-0074</t>
  </si>
  <si>
    <t>Current source file exists at Data/Scripts/Custom/Mobiles/Undead/Beholder.cs; match=ExactFileClass; serializer evidence=Serialize:L61;Deserialize:L67;SerialCtor:L56;VersionWrite:L64; class=Server.Custom.Confictura.Mobiles.Beholder;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</si>
  <si>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path=Data/Scripts/Custom/Mobiles/Undead/Beholder.cs; backlog risk category=VersionHandling; write count=1; read count=1. POST-BATCH-J is triage only; no serialized layout edit is approved by this row.</t>
  </si>
  <si>
    <t>RB-00206</t>
  </si>
  <si>
    <t>P10-F00206</t>
  </si>
  <si>
    <t>PBJ-0075</t>
  </si>
  <si>
    <t>Current source file exists at Data/Scripts/Custom/Mobiles/Undead/CryptKeeper.cs; match=ExactFileClass; serializer evidence=Serialize:L55;Deserialize:L61;SerialCtor:L50;VersionWrite:L58; class=Server.Custom.Confictura.Mobiles.CryptKeeper;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</si>
  <si>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path=Data/Scripts/Custom/Mobiles/Undead/CryptKeeper.cs; backlog risk category=VersionHandling; write count=1; read count=1. POST-BATCH-J is triage only; no serialized layout edit is approved by this row.</t>
  </si>
  <si>
    <t>RB-00208</t>
  </si>
  <si>
    <t>P10-F00208</t>
  </si>
  <si>
    <t>PBJ-0076</t>
  </si>
  <si>
    <t>Current source file exists at Data/Scripts/Custom/Mobiles/Undead/EvilDruid.cs; match=ExactFileClass; serializer evidence=Serialize:L35;Deserialize:L41;SerialCtor:L30;VersionWrite:L38; class=Server.Custom.Confictura.Mobiles.EvilDruid;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</si>
  <si>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path=Data/Scripts/Custom/Mobiles/Undead/EvilDruid.cs; backlog risk category=VersionHandling; write count=1; read count=1. POST-BATCH-J is triage only; no serialized layout edit is approved by this row.</t>
  </si>
  <si>
    <t>RB-00210</t>
  </si>
  <si>
    <t>P10-F00210</t>
  </si>
  <si>
    <t>PBJ-0077</t>
  </si>
  <si>
    <t>Current source file exists at Data/Scripts/Custom/Mobiles/Undead/GhostOfLadyEverdear.cs; match=ExactFileClass; serializer evidence=Serialize:L50;Deserialize:L56;SerialCtor:L45;VersionWrite:L53; class=Server.Custom.Confictura.Mobiles.GhostOfLadyEverdear;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</si>
  <si>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path=Data/Scripts/Custom/Mobiles/Undead/GhostOfLadyEverdear.cs; backlog risk category=VersionHandling; write count=1; read count=1. POST-BATCH-J is triage only; no serialized layout edit is approved by this row.</t>
  </si>
  <si>
    <t>RB-00212</t>
  </si>
  <si>
    <t>P10-F00212</t>
  </si>
  <si>
    <t>PBJ-0078</t>
  </si>
  <si>
    <t>Current source file exists at Data/Scripts/Custom/Mobiles/Undead/Honorguard.cs; match=ExactFileClass; serializer evidence=Serialize:L77;Deserialize:L83;SerialCtor:L66;VersionWrite:L80; class=Server.Custom.Confictura.Mobiles.Honorguard;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</si>
  <si>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path=Data/Scripts/Custom/Mobiles/Undead/Honorguard.cs; backlog risk category=VersionHandling; write count=1; read count=1. POST-BATCH-J is triage only; no serialized layout edit is approved by this row.</t>
  </si>
  <si>
    <t>RB-00214</t>
  </si>
  <si>
    <t>P10-F00214</t>
  </si>
  <si>
    <t>PBJ-0079</t>
  </si>
  <si>
    <t>Current source file exists at Data/Scripts/Custom/Mobiles/Undead/OldKingWolfgang.cs; match=ExactFileClass; serializer evidence=Serialize:L38;Deserialize:L44;SerialCtor:L33;VersionWrite:L41; class=Server.Custom.Confictura.Mobiles.OldKingWolfgang;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</si>
  <si>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path=Data/Scripts/Custom/Mobiles/Undead/OldKingWolfgang.cs; backlog risk category=VersionHandling; write count=1; read count=1. POST-BATCH-J is triage only; no serialized layout edit is approved by this row.</t>
  </si>
  <si>
    <t>RB-00216</t>
  </si>
  <si>
    <t>P10-F00216</t>
  </si>
  <si>
    <t>PBJ-0080</t>
  </si>
  <si>
    <t>Current source file exists at Data/Scripts/Custom/Mobiles/Undead/Rattlebones.cs; match=ExactFileClass; serializer evidence=Serialize:L56;Deserialize:L62;SerialCtor:L51;VersionWrite:L59; class=Server.Custom.Confictura.Mobiles.Rattlebones;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</si>
  <si>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path=Data/Scripts/Custom/Mobiles/Undead/Rattlebones.cs; backlog risk category=VersionHandling; write count=1; read count=1. POST-BATCH-J is triage only; no serialized layout edit is approved by this row.</t>
  </si>
  <si>
    <t>RB-00218</t>
  </si>
  <si>
    <t>P10-F00218</t>
  </si>
  <si>
    <t>PBJ-0081</t>
  </si>
  <si>
    <t>Current source file exists at Data/Scripts/Custom/Mobiles/Undead/RedDeath.cs; match=ExactFileClass; serializer evidence=Serialize:L37;Deserialize:L43;SerialCtor:L32;VersionWrite:L40; class=Server.Custom.Confictura.Mobiles.RedDeath;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</si>
  <si>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path=Data/Scripts/Custom/Mobiles/Undead/RedDeath.cs; backlog risk category=VersionHandling; write count=1; read count=1. POST-BATCH-J is triage only; no serialized layout edit is approved by this row.</t>
  </si>
  <si>
    <t>RB-00220</t>
  </si>
  <si>
    <t>P10-F00220</t>
  </si>
  <si>
    <t>PBJ-0082</t>
  </si>
  <si>
    <t>Current source file exists at Data/Scripts/Custom/Mobiles/Undead/RoyalSwordmaster.cs; match=ExactFileClass; serializer evidence=Serialize:L54;Deserialize:L60;SerialCtor:L49;VersionWrite:L57; class=Server.Custom.Confictura.Mobiles.RoyalSwordmaster;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</si>
  <si>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path=Data/Scripts/Custom/Mobiles/Undead/RoyalSwordmaster.cs; backlog risk category=VersionHandling; write count=1; read count=1. POST-BATCH-J is triage only; no serialized layout edit is approved by this row.</t>
  </si>
  <si>
    <t>RB-00222</t>
  </si>
  <si>
    <t>P10-F00222</t>
  </si>
  <si>
    <t>PBJ-0083</t>
  </si>
  <si>
    <t>Current source file exists at Data/Scripts/Custom/Mobiles/Undead/RuneKnight.cs; match=ExactFileClass; serializer evidence=Serialize:L69;Deserialize:L75;SerialCtor:L64;VersionWrite:L72; class=Server.Custom.Confictura.Mobiles.RuneKnight;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</si>
  <si>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path=Data/Scripts/Custom/Mobiles/Undead/RuneKnight.cs; backlog risk category=VersionHandling; write count=1; read count=1. POST-BATCH-J is triage only; no serialized layout edit is approved by this row.</t>
  </si>
  <si>
    <t>RB-00224</t>
  </si>
  <si>
    <t>P10-F00224</t>
  </si>
  <si>
    <t>PBJ-0084</t>
  </si>
  <si>
    <t>Current source file exists at Data/Scripts/Custom/Mobiles/Undead/Servant.cs; match=ExactFileClass; serializer evidence=Serialize:L49;Deserialize:L55;SerialCtor:L44;VersionWrite:L52; class=Server.Custom.Confictura.Mobiles.Servant;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</si>
  <si>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path=Data/Scripts/Custom/Mobiles/Undead/Servant.cs; backlog risk category=VersionHandling; write count=1; read count=1. POST-BATCH-J is triage only; no serialized layout edit is approved by this row.</t>
  </si>
  <si>
    <t>RB-00226</t>
  </si>
  <si>
    <t>P10-F00226</t>
  </si>
  <si>
    <t>PBJ-0085</t>
  </si>
  <si>
    <t>Current source file exists at Data/Scripts/Custom/Mobiles/Undead/TheGroundskeeper.cs; match=ExactFileClass; serializer evidence=Serialize:L36;Deserialize:L42;SerialCtor:L31;VersionWrite:L39; class=Server.Custom.Confictura.Mobiles.TheGroundskeeper;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</si>
  <si>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path=Data/Scripts/Custom/Mobiles/Undead/TheGroundskeeper.cs; backlog risk category=VersionHandling; write count=1; read count=1. POST-BATCH-J is triage only; no serialized layout edit is approved by this row.</t>
  </si>
  <si>
    <t>RB-00228</t>
  </si>
  <si>
    <t>P10-F00228</t>
  </si>
  <si>
    <t>PBJ-0086</t>
  </si>
  <si>
    <t>Current source file exists at Data/Scripts/Custom/Mobiles/Undead/TheMadDuke.cs; match=ExactFileClass; serializer evidence=Serialize:L34;Deserialize:L40;SerialCtor:L29;VersionWrite:L37; class=Server.Custom.Confictura.Mobiles.TheMadDuke;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</si>
  <si>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path=Data/Scripts/Custom/Mobiles/Undead/TheMadDuke.cs; backlog risk category=VersionHandling; write count=1; read count=1. POST-BATCH-J is triage only; no serialized layout edit is approved by this row.</t>
  </si>
  <si>
    <t>RB-00230</t>
  </si>
  <si>
    <t>P10-F00230</t>
  </si>
  <si>
    <t>PBJ-0087</t>
  </si>
  <si>
    <t>Current source file exists at Data/Scripts/Custom/Mobiles/Undead/TheNecromancer.cs; match=ExactFileClass; serializer evidence=Serialize:L54;Deserialize:L60;SerialCtor:L49;VersionWrite:L57; class=Server.Custom.Confictura.Mobiles.TheNecromancer;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</si>
  <si>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path=Data/Scripts/Custom/Mobiles/Undead/TheNecromancer.cs; backlog risk category=VersionHandling; write count=1; read count=1. POST-BATCH-J is triage only; no serialized layout edit is approved by this row.</t>
  </si>
  <si>
    <t>RB-00232</t>
  </si>
  <si>
    <t>P10-F00232</t>
  </si>
  <si>
    <t>PBJ-0088</t>
  </si>
  <si>
    <t>Current source file exists at Data/Scripts/Custom/Mobiles/Undead/TombWatcher.cs; match=ExactFileClass; serializer evidence=Serialize:L61;Deserialize:L67;SerialCtor:L56;VersionWrite:L64; class=Server.Custom.Confictura.Mobiles.TombWatcher;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</si>
  <si>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path=Data/Scripts/Custom/Mobiles/Undead/TombWatcher.cs; backlog risk category=VersionHandling; write count=1; read count=1. POST-BATCH-J is triage only; no serialized layout edit is approved by this row.</t>
  </si>
  <si>
    <t>RB-00234</t>
  </si>
  <si>
    <t>P10-F00234</t>
  </si>
  <si>
    <t>PBJ-0089</t>
  </si>
  <si>
    <t>Current source file exists at Data/Scripts/Custom/Mobiles/Undead/VampireIllusion.cs; match=ExactFileClass; serializer evidence=Serialize:L38;Deserialize:L44;SerialCtor:L33;VersionWrite:L41; class=Server.Custom.Confictura.Mobiles.VampireIllusion;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</si>
  <si>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path=Data/Scripts/Custom/Mobiles/Undead/VampireIllusion.cs; backlog risk category=VersionHandling; write count=1; read count=1. POST-BATCH-J is triage only; no serialized layout edit is approved by this row.</t>
  </si>
  <si>
    <t>RB-00236</t>
  </si>
  <si>
    <t>P10-F00236</t>
  </si>
  <si>
    <t>PBJ-0090</t>
  </si>
  <si>
    <t>Current source file exists at Data/Scripts/Custom/Mobiles/Undead/VoidWraith.cs; match=ExactFileClass; serializer evidence=Serialize:L46;Deserialize:L52;SerialCtor:L41;VersionWrite:L49; class=Server.Custom.Confictura.Mobiles.VoidWraith;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</si>
  <si>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path=Data/Scripts/Custom/Mobiles/Undead/VoidWraith.cs; backlog risk category=VersionHandling; write count=1; read count=1. POST-BATCH-J is triage only; no serialized layout edit is approved by this row.</t>
  </si>
  <si>
    <t>RB-00238</t>
  </si>
  <si>
    <t>P10-F00238</t>
  </si>
  <si>
    <t>PBJ-0091</t>
  </si>
  <si>
    <t>Current source file exists at Data/Scripts/Custom/Mobiles/Undead/WalkingEffigy.cs; match=ExactFileClass; serializer evidence=Serialize:L34;Deserialize:L40;SerialCtor:L29;VersionWrite:L37; class=Server.Custom.Confictura.Mobiles.WalkingEffigy;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</si>
  <si>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path=Data/Scripts/Custom/Mobiles/Undead/WalkingEffigy.cs; backlog risk category=VersionHandling; write count=1; read count=1. POST-BATCH-J is triage only; no serialized layout edit is approved by this row.</t>
  </si>
  <si>
    <t>RB-00240</t>
  </si>
  <si>
    <t>P10-F00240</t>
  </si>
  <si>
    <t>PBJ-0092</t>
  </si>
  <si>
    <t>Current source file exists at Data/Scripts/Custom/Mobiles/Undead/WolfgangsDragon.cs; match=ExactFileClass; serializer evidence=Serialize:L37;Deserialize:L43;SerialCtor:L32;VersionWrite:L40; class=Server.Custom.Confictura.Mobiles.WolfgangsDragon; kind=Mobile;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</si>
  <si>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path=Data/Scripts/Custom/Mobiles/Undead/WolfgangsDragon.cs; backlog risk category=VersionHandling; write count=1; read count=1. POST-BATCH-J is triage only; no serialized layout edit is approved by this row.</t>
  </si>
  <si>
    <t>RB-00242</t>
  </si>
  <si>
    <t>P10-F00242</t>
  </si>
  <si>
    <t>PBJ-0093</t>
  </si>
  <si>
    <t>Current source file exists at Data/Scripts/Custom/Mobiles/Vendors/Gort.cs; match=ExactFileClass; serializer evidence=Serialize:L36;Deserialize:L42;SerialCtor:L31;VersionWrite:L39; class=Server.Custom.Confictura.Mobiles.Gort; kind=Mobile; HasSerialConstructor=True; BaseCallStatus=BaseCallsFirst; VersionHandling=WriteVersionOnly; FieldAlignment=CountMismatch:Writes=0;Reads=1; MoveRenameRisk=UnknownUntilSaveTest; ReviewStatus=NeedsSourceReview; ReviewReasons=WriteVersionOnly; CountMismatch:Writes=0;Reads=1; UnknownUntilSaveTest</t>
  </si>
  <si>
    <t>Historical path=Data/Scripts/Custom/Mobiles/Vendors/Gort.cs; backlog risk category=VersionHandling; write count=1; read count=1. POST-BATCH-J is triage only; no serialized layout edit is approved by this row.</t>
  </si>
  <si>
    <t>RB-00244</t>
  </si>
  <si>
    <t>P10-F00244</t>
  </si>
  <si>
    <t>PBJ-0094</t>
  </si>
  <si>
    <t>Current source file exists at Data/Scripts/Custom/Mobiles/Vendors/Siddo.cs; match=ExactFileClass; serializer evidence=Serialize:L47;Deserialize:L53;SerialCtor:L42;VersionWrite:L50; class=Server.Custom.Confictura.Mobiles.Siddo; kind=Mobile; HasSerialConstructor=True; BaseCallStatus=BaseCallsFirst; VersionHandling=WriteVersionOnly; FieldAlignment=CountMismatch:Writes=0;Reads=1; MoveRenameRisk=UnknownUntilSaveTest; ReviewStatus=NeedsSourceReview; ReviewReasons=WriteVersionOnly; CountMismatch:Writes=0;Reads=1; UnknownUntilSaveTest</t>
  </si>
  <si>
    <t>Historical path=Data/Scripts/Custom/Mobiles/Vendors/Siddo.cs; backlog risk category=VersionHandling; write count=1; read count=1. POST-BATCH-J is triage only; no serialized layout edit is approved by this row.</t>
  </si>
  <si>
    <t>RB-00246</t>
  </si>
  <si>
    <t>P10-F00246</t>
  </si>
  <si>
    <t>PBJ-0095</t>
  </si>
  <si>
    <t>Current source file exists at Data/Scripts/Custom/Mobiles/Vendors/SirGideon.cs; match=ExactFileClass; serializer evidence=Serialize:L38;Deserialize:L44;SerialCtor:L33;VersionWrite:L41; class=Server.Custom.Confictura.Mobiles.SirGideon; kind=Mobile; HasSerialConstructor=True; BaseCallStatus=BaseCallsFirst; VersionHandling=WriteVersionOnly; FieldAlignment=CountMismatch:Writes=0;Reads=1; MoveRenameRisk=UnknownUntilSaveTest; ReviewStatus=NeedsSourceReview; ReviewReasons=WriteVersionOnly; CountMismatch:Writes=0;Reads=1; UnknownUntilSaveTest</t>
  </si>
  <si>
    <t>Historical path=Data/Scripts/Custom/Mobiles/Vendors/SirGideon.cs; backlog risk category=VersionHandling; write count=1; read count=1. POST-BATCH-J is triage only; no serialized layout edit is approved by this row.</t>
  </si>
  <si>
    <t>RB-00248</t>
  </si>
  <si>
    <t>P10-F00248</t>
  </si>
  <si>
    <t>Data/Scripts/Custom/OrbRemoteServer/UOArchitect/ExtractItemsRequest.cs</t>
  </si>
  <si>
    <t>PBJ-0096</t>
  </si>
  <si>
    <t>No source change. The generated row points at a helper, parser artifact, unknown/no-serializer entry, or non-world-save surface rather than a concrete serializer defect.</t>
  </si>
  <si>
    <t>Current source file exists at Data/Scripts/Custom/OrbRemoteServer/UOArchitect/ExtractItemsRequest.cs;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</si>
  <si>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path=Data/Scripts/Custom/OrbRemoteServer/UOArchitect/ExtractItemsRequest.cs; backlog risk category=MissingSerialConstructor; write count=0; read count=0. POST-BATCH-J is triage only; no serialized layout edit is approved by this row.</t>
  </si>
  <si>
    <t>RB-00249</t>
  </si>
  <si>
    <t>P10-F00249</t>
  </si>
  <si>
    <t>PBJ-0097</t>
  </si>
  <si>
    <t>Historical path=Data/Scripts/Custom/OrbRemoteServer/UOArchitect/ExtractItemsRequest.cs; backlog risk category=MissingSerializerPair; write count=0; read count=0. POST-BATCH-J is triage only; no serialized layout edit is approved by this row.</t>
  </si>
  <si>
    <t>RB-00250</t>
  </si>
  <si>
    <t>P10-F00250</t>
  </si>
  <si>
    <t>PBJ-0098</t>
  </si>
  <si>
    <t>Historical path=Data/Scripts/Custom/OrbRemoteServer/UOArchitect/ExtractItemsRequest.cs; backlog risk category=VersionHandling; write count=0; read count=0. POST-BATCH-J is triage only; no serialized layout edit is approved by this row.</t>
  </si>
  <si>
    <t>RB-00251</t>
  </si>
  <si>
    <t>P10-F00251</t>
  </si>
  <si>
    <t>PBJ-0099</t>
  </si>
  <si>
    <t>Current source file exists at Data/Scripts/Custom/PandorasGiftBox/PandorasGiftBox.cs; match=ExactFileClass; serializer evidence=Serialize:L75;Deserialize:L82;SerialCtor:L27;VersionWrite:L79; class=Server.Items.RandomGiftBox; kind=Item;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</si>
  <si>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path=Data/Scripts/Custom/PandorasGiftBox/PandorasGiftBox.cs; backlog risk category=VersionHandling; write count=1; read count=1. POST-BATCH-J is triage only; no serialized layout edit is approved by this row.</t>
  </si>
  <si>
    <t>RB-00253</t>
  </si>
  <si>
    <t>P10-F00253</t>
  </si>
  <si>
    <t>Data/Scripts/Custom/RandomEncounters/Import.cs</t>
  </si>
  <si>
    <t>PBJ-0100</t>
  </si>
  <si>
    <t>Current source file exists at Data/Scripts/Custom/PvE/RandomEncounters/Import.cs; match=LeafCurrentPath; serializer evidence=; class=Unknown; kind=Other;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</si>
  <si>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path=Data/Scripts/Custom/RandomEncounters/Import.cs; backlog risk category=MissingSerialConstructor; write count=0; read count=0. POST-BATCH-J is triage only; no serialized layout edit is approved by this row. Historical path was reconciled to current source path Data/Scripts/Custom/PvE/RandomEncounters/Import.cs.</t>
  </si>
  <si>
    <t>RB-00254</t>
  </si>
  <si>
    <t>P10-F00254</t>
  </si>
  <si>
    <t>PBJ-0101</t>
  </si>
  <si>
    <t>Historical path=Data/Scripts/Custom/RandomEncounters/Import.cs; backlog risk category=MissingSerializerPair; write count=0; read count=0. POST-BATCH-J is triage only; no serialized layout edit is approved by this row. Historical path was reconciled to current source path Data/Scripts/Custom/PvE/RandomEncounters/Import.cs.</t>
  </si>
  <si>
    <t>RB-00255</t>
  </si>
  <si>
    <t>P10-F00255</t>
  </si>
  <si>
    <t>PBJ-0102</t>
  </si>
  <si>
    <t>Historical path=Data/Scripts/Custom/RandomEncounters/Import.cs; backlog risk category=VersionHandling; write count=0; read count=0. POST-BATCH-J is triage only; no serialized layout edit is approved by this row. Historical path was reconciled to current source path Data/Scripts/Custom/PvE/RandomEncounters/Import.cs.</t>
  </si>
  <si>
    <t>RB-00256</t>
  </si>
  <si>
    <t>P10-F00256</t>
  </si>
  <si>
    <t>Data/Scripts/Custom/RandomEncounters/XmlDateCount.cs</t>
  </si>
  <si>
    <t>PBJ-0103</t>
  </si>
  <si>
    <t>Current source file exists at Data/Scripts/Custom/PvE/RandomEncounters/XmlDateCount.cs; match=ClassOnlyCurrentPath; serializer evidence=Serialize:L29;Deserialize:L37;VersionWrite:L33;VersionRead:L41; class=Server.Engines.XmlSpawner2.XmlDateCount; kind=Other; HasSerialConstructor=False; BaseCallStatus=BaseCallsFirst; VersionHandling=SingleVersionOnly; FieldAlignment=CountMatchNeedsTypeReview:UnknownWrites=1; MoveRenameRisk=NamespaceOrTypeRenameDanger; ReviewStatus=NeedsSourceReview; ReviewReasons=Serial constructor not detected.</t>
  </si>
  <si>
    <t>Historical path=Data/Scripts/Custom/RandomEncounters/XmlDateCount.cs; backlog risk category=MissingSerialConstructor; write count=2; read count=2. POST-BATCH-J is triage only; no serialized layout edit is approved by this row. Historical path was reconciled to current source path Data/Scripts/Custom/PvE/RandomEncounters/XmlDateCount.cs.</t>
  </si>
  <si>
    <t>RB-00258</t>
  </si>
  <si>
    <t>P10-F00258</t>
  </si>
  <si>
    <t>PBW-0003</t>
  </si>
  <si>
    <t>No source change; current version handling is source-reviewed as valid.</t>
  </si>
  <si>
    <t>Current source file exists at Data/Scripts/Custom/ThirdParty/Staff Toolbar [2.0]/Toolbar.cs; prior POST-BATCH-J row=PBJ-0104; register evidence=Serialize:L129;Deserialize:L167;SerialCtor:L121;VersionRead:L171; class=Joeku.ToolbarInfos; kind=Item; HasSerialConstructor=True; BaseCallStatus=BaseCallsFirst; VersionHandling=ReadVersionOnly; FieldAlignment=CountMismatch:Writes=15;Reads=14; direct source review=Source-reviewed versioned serializer: Serial ctor L121-L122, base calls L131/L169, version write L133, version read L171, per-entry v130/v100 read gates L191-L231 match writes L135-L164.</t>
  </si>
  <si>
    <t>POST-BATCH-W disposition of historical POST-BATCH-J NeedsMigrationPlan row; previous review row PBJ-0104; review class VersionGatedSerializerReviewedNoChange.</t>
  </si>
  <si>
    <t>RB-00266</t>
  </si>
  <si>
    <t>P10-F00266</t>
  </si>
  <si>
    <t>Data/Scripts/Custom/Vhaerun's CRL Homestead System [2.0]/Vhaerun's CRL Cooking/Base Cooking/Uncooked/Eggs.cs</t>
  </si>
  <si>
    <t>PBJ-0105</t>
  </si>
  <si>
    <t>Current source file exists at Data/Scripts/Custom/Vhaerun's CRL Homestead System [2.0]/Vhaerun's CRL Cooking/Base Cooking/Uncooked/Eggs.cs; match=ExactFileClass; serializer evidence=Serialize:L20;Deserialize:L27;VersionWrite:L24;VersionRead:L31; class=Unknown; kind=Controller; HasSerialConstructor=False; BaseCallStatus=BaseCallsFirst; VersionHandling=SingleVersionOnly; FieldAlignment=AlignedByCountAndKnownTypes; MoveRenameRisk=UnknownUntilSaveTest; ReviewStatus=NeedsSourceReview; ReviewReasons=Serial constructor not detected.; UnknownUntilSaveTest</t>
  </si>
  <si>
    <t>Historical path=Data/Scripts/Custom/Vhaerun's CRL Homestead System [2.0]/Vhaerun's CRL Cooking/Base Cooking/Uncooked/Eggs.cs; backlog risk category=MissingSerialConstructor; write count=1; read count=1. POST-BATCH-J is triage only; no serialized layout edit is approved by this row.</t>
  </si>
  <si>
    <t>RB-00267</t>
  </si>
  <si>
    <t>P10-F00267</t>
  </si>
  <si>
    <t>Data/Scripts/Custom/Vhaerun's CRL Homestead System [2.0]/Vhaerun's CRL Cooking/Base Cooking/Uncooked/PlateOfCookies.cs</t>
  </si>
  <si>
    <t>PBJ-0106</t>
  </si>
  <si>
    <t>Current source file exists at Data/Scripts/Custom/Vhaerun's CRL Homestead System [2.0]/Vhaerun's CRL Cooking/Base Cooking/Uncooked/PlateOfCookies.cs; match=ExactFileClass; serializer evidence=Serialize:L25;Deserialize:L32;SerialCtor:L22;VersionWrite:L29;VersionRead:L36; class=Server.Items.PlateOfCookies; kind=Controller; HasSerialConstructor=True; BaseCallStatus=BaseCallsFirst; VersionHandling=SuspiciousOrder; FieldAlignment=AlignedByCountAndKnownTypes; MoveRenameRisk=UnknownUntilSaveTest; ReviewStatus=NeedsSourceReview; ReviewReasons=SuspiciousOrder; UnknownUntilSaveTest</t>
  </si>
  <si>
    <t>Historical path=Data/Scripts/Custom/Vhaerun's CRL Homestead System [2.0]/Vhaerun's CRL Cooking/Base Cooking/Uncooked/PlateOfCookies.cs; backlog risk category=VersionHandling; write count=1; read count=1. POST-BATCH-J is triage only; no serialized layout edit is approved by this row.</t>
  </si>
  <si>
    <t>RB-00268</t>
  </si>
  <si>
    <t>P10-F00268</t>
  </si>
  <si>
    <t>PBW-0004</t>
  </si>
  <si>
    <t>Current source file exists at Data/Scripts/Custom/Vhaerun's CRL Homestead System [2.0]/Vhaerun's CRL Crops/BaseCrop.cs; prior POST-BATCH-J row=PBJ-0107; register evidence=Serialize:L135;Deserialize:L155;SerialCtor:L132;VersionRead:L159; class=Server.Items.BaseCrop; kind=Controller; HasSerialConstructor=True; BaseCallStatus=BaseCallsFirst; VersionHandling=ReadVersionOnly; FieldAlignment=CountMismatch:Writes=11;Reads=10; direct source review=Source-reviewed ordinary serializer: Serial ctor L132-L133, base calls L137/L157, version write L139, version read L159, scalar crop fields L141-L149/L161-L169, age ID loop L151-L152/L171-L178.</t>
  </si>
  <si>
    <t>POST-BATCH-W disposition of historical POST-BATCH-J NeedsMigrationPlan row; previous review row PBJ-0107; review class ScannerAmbiguityFalsePositive.</t>
  </si>
  <si>
    <t>RB-00270</t>
  </si>
  <si>
    <t>P10-F00270</t>
  </si>
  <si>
    <t>PBJ-0108</t>
  </si>
  <si>
    <t>Current source file exists at Data/Scripts/Custom/Vhaerun's CRL Homestead System [2.0]/Vhaerun's CRL Crops/Wild Crops/Crops/CarrotPlant.cs; match=ExactFileClass; serializer evidence=Serialize:L39;Deserialize:L45;SerialCtor:L36;VersionRead:L49; class=Server.Items.CarrotPlant;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</si>
  <si>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Crops/Crops/CarrotPlant.cs; backlog risk category=VersionHandling; write count=1; read count=1. POST-BATCH-J is triage only; no serialized layout edit is approved by this row.</t>
  </si>
  <si>
    <t>RB-00272</t>
  </si>
  <si>
    <t>P10-F00272</t>
  </si>
  <si>
    <t>PBJ-0109</t>
  </si>
  <si>
    <t>Current source file exists at Data/Scripts/Custom/Vhaerun's CRL Homestead System [2.0]/Vhaerun's CRL Crops/Wild Crops/Crops/CornPlant.cs; match=ExactFileClass; serializer evidence=Serialize:L39;Deserialize:L45;SerialCtor:L36;VersionRead:L49; class=Server.Items.CornPlant;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</si>
  <si>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Crops/Crops/CornPlant.cs; backlog risk category=VersionHandling; write count=1; read count=1. POST-BATCH-J is triage only; no serialized layout edit is approved by this row.</t>
  </si>
  <si>
    <t>RB-00274</t>
  </si>
  <si>
    <t>P10-F00274</t>
  </si>
  <si>
    <t>PBJ-0110</t>
  </si>
  <si>
    <t>Current source file exists at Data/Scripts/Custom/Vhaerun's CRL Homestead System [2.0]/Vhaerun's CRL Crops/Wild Crops/Crops/CottonPlantEast.cs; match=ExactFileClass; serializer evidence=Serialize:L39;Deserialize:L46;SerialCtor:L36;VersionRead:L50; class=Server.Items.CottonPlantEast;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</si>
  <si>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Crops/Crops/CottonPlantEast.cs; backlog risk category=VersionHandling; write count=1; read count=1. POST-BATCH-J is triage only; no serialized layout edit is approved by this row.</t>
  </si>
  <si>
    <t>RB-00276</t>
  </si>
  <si>
    <t>P10-F00276</t>
  </si>
  <si>
    <t>PBJ-0111</t>
  </si>
  <si>
    <t>Current source file exists at Data/Scripts/Custom/Vhaerun's CRL Homestead System [2.0]/Vhaerun's CRL Crops/Wild Crops/Crops/CottonPlantWest.cs; match=ExactFileClass; serializer evidence=Serialize:L36;Deserialize:L42;SerialCtor:L33;VersionRead:L46; class=Server.Items.CottonPlantWest;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</si>
  <si>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Crops/Crops/CottonPlantWest.cs; backlog risk category=VersionHandling; write count=1; read count=1. POST-BATCH-J is triage only; no serialized layout edit is approved by this row.</t>
  </si>
  <si>
    <t>RB-00278</t>
  </si>
  <si>
    <t>P10-F00278</t>
  </si>
  <si>
    <t>PBJ-0112</t>
  </si>
  <si>
    <t>Current source file exists at Data/Scripts/Custom/Vhaerun's CRL Homestead System [2.0]/Vhaerun's CRL Crops/Wild Crops/Crops/FlaxPlant.cs; match=ExactFileClass; serializer evidence=Serialize:L36;Deserialize:L42;SerialCtor:L33;VersionRead:L46; class=Server.Items.FlaxPlant;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</si>
  <si>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Crops/Crops/FlaxPlant.cs; backlog risk category=VersionHandling; write count=1; read count=1. POST-BATCH-J is triage only; no serialized layout edit is approved by this row.</t>
  </si>
  <si>
    <t>RB-00280</t>
  </si>
  <si>
    <t>P10-F00280</t>
  </si>
  <si>
    <t>PBJ-0113</t>
  </si>
  <si>
    <t>Current source file exists at Data/Scripts/Custom/Vhaerun's CRL Homestead System [2.0]/Vhaerun's CRL Crops/Wild Crops/Crops/GarlicPlant.cs; match=ExactFileClass; serializer evidence=Serialize:L36;Deserialize:L42;SerialCtor:L33;VersionRead:L46; class=Server.Items.GarlicPlant;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</si>
  <si>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Crops/Crops/GarlicPlant.cs; backlog risk category=VersionHandling; write count=1; read count=1. POST-BATCH-J is triage only; no serialized layout edit is approved by this row.</t>
  </si>
  <si>
    <t>RB-00282</t>
  </si>
  <si>
    <t>P10-F00282</t>
  </si>
  <si>
    <t>PBJ-0114</t>
  </si>
  <si>
    <t>Current source file exists at Data/Scripts/Custom/Vhaerun's CRL Homestead System [2.0]/Vhaerun's CRL Crops/Wild Crops/Crops/HayPlant.cs; match=ExactFileClass; serializer evidence=Serialize:L36;Deserialize:L42;SerialCtor:L33;VersionRead:L46; class=Server.Items.HayPlant;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</si>
  <si>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Crops/Crops/HayPlant.cs; backlog risk category=VersionHandling; write count=1; read count=1. POST-BATCH-J is triage only; no serialized layout edit is approved by this row.</t>
  </si>
  <si>
    <t>RB-00284</t>
  </si>
  <si>
    <t>P10-F00284</t>
  </si>
  <si>
    <t>PBJ-0115</t>
  </si>
  <si>
    <t>Current source file exists at Data/Scripts/Custom/Vhaerun's CRL Homestead System [2.0]/Vhaerun's CRL Crops/Wild Crops/Crops/OnionPlant.cs; match=ExactFileClass; serializer evidence=Serialize:L39;Deserialize:L45;SerialCtor:L36;VersionRead:L49; class=Server.Items.OnionPlant;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</si>
  <si>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Crops/Crops/OnionPlant.cs; backlog risk category=VersionHandling; write count=1; read count=1. POST-BATCH-J is triage only; no serialized layout edit is approved by this row.</t>
  </si>
  <si>
    <t>RB-00286</t>
  </si>
  <si>
    <t>P10-F00286</t>
  </si>
  <si>
    <t>PBJ-0116</t>
  </si>
  <si>
    <t>Current source file exists at Data/Scripts/Custom/Vhaerun's CRL Homestead System [2.0]/Vhaerun's CRL Crops/Wild Crops/Crops/TurnipPlant.cs; match=ExactFileClass; serializer evidence=Serialize:L39;Deserialize:L45;SerialCtor:L36;VersionRead:L49; class=Server.Items.TurnipPlant;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</si>
  <si>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Crops/Crops/TurnipPlant.cs; backlog risk category=VersionHandling; write count=1; read count=1. POST-BATCH-J is triage only; no serialized layout edit is approved by this row.</t>
  </si>
  <si>
    <t>RB-00288</t>
  </si>
  <si>
    <t>P10-F00288</t>
  </si>
  <si>
    <t>PBJ-0117</t>
  </si>
  <si>
    <t>Current source file exists at Data/Scripts/Custom/Vhaerun's CRL Homestead System [2.0]/Vhaerun's CRL Crops/Wild Crops/Crops/WheatPlant.cs; match=ExactFileClass; serializer evidence=Serialize:L36;Deserialize:L42;SerialCtor:L33;VersionRead:L46; class=Server.Items.WheatPlant; kind=Controller; HasSerialConstructor=True; BaseCallStatus=BaseCallsFirst; VersionHandling=ReadVersionOnly; FieldAlignment=CountMismatch:Writes=1;Reads=0; MoveRenameRisk=UnknownUntilSaveTest; ReviewStatus=NeedsSourceReview; ReviewReasons=ReadVersionOnly; CountMismatch:Writes=1;Reads=0; UnknownUntilSaveTest</t>
  </si>
  <si>
    <t>Historical path=Data/Scripts/Custom/Vhaerun's CRL Homestead System [2.0]/Vhaerun's CRL Crops/Wild Crops/Crops/WheatPlant.cs; backlog risk category=VersionHandling; write count=1; read count=1. POST-BATCH-J is triage only; no serialized layout edit is approved by this row.</t>
  </si>
  <si>
    <t>RB-00291</t>
  </si>
  <si>
    <t>P10-F00291</t>
  </si>
  <si>
    <t>PBJ-0118</t>
  </si>
  <si>
    <t>Current source file exists at Data/Scripts/Custom/Voting/VoteConfig.cs; match=ExactFileClass; serializer evidence=; class=Unknown; kind=Other;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</si>
  <si>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path=Data/Scripts/Custom/Voting/VoteConfig.cs; backlog risk category=MissingSerialConstructor; write count=0; read count=0. POST-BATCH-J is triage only; no serialized layout edit is approved by this row.</t>
  </si>
  <si>
    <t>RB-00292</t>
  </si>
  <si>
    <t>P10-F00292</t>
  </si>
  <si>
    <t>PBJ-0119</t>
  </si>
  <si>
    <t>Historical path=Data/Scripts/Custom/Voting/VoteConfig.cs; backlog risk category=MissingSerializerPair; write count=0; read count=0. POST-BATCH-J is triage only; no serialized layout edit is approved by this row.</t>
  </si>
  <si>
    <t>RB-00293</t>
  </si>
  <si>
    <t>P10-F00293</t>
  </si>
  <si>
    <t>PBJ-0120</t>
  </si>
  <si>
    <t>Historical path=Data/Scripts/Custom/Voting/VoteConfig.cs; backlog risk category=VersionHandling; write count=0; read count=0. POST-BATCH-J is triage only; no serialized layout edit is approved by this row.</t>
  </si>
  <si>
    <t>RB-00294</t>
  </si>
  <si>
    <t>P10-F00294</t>
  </si>
  <si>
    <t>PBW-0005</t>
  </si>
  <si>
    <t>Current source file exists at Data/Scripts/Custom/Voting/VoteItem.cs; prior POST-BATCH-J row=PBJ-0121; register evidence=Serialize:L167;Deserialize:L187;SerialCtor:L79;VersionRead:L191; class=Server.Voting.VoteItem; kind=Item; HasSerialConstructor=True; BaseCallStatus=BaseCallsFirst; VersionHandling=ReadVersionOnly; FieldAlignment=CountMismatch:Writes=2;Reads=1; direct source review=Source-reviewed ordinary serializer: Serial ctor L79-L80, base calls L169/L189, version write L173, version read L191, _Messages and VoteSite nested serialize/deserialize L180-L181/L198-L199.</t>
  </si>
  <si>
    <t>POST-BATCH-W disposition of historical POST-BATCH-J NeedsMigrationPlan row; previous review row PBJ-0121; review class ScannerAmbiguityFalsePositive.</t>
  </si>
  <si>
    <t>RB-00296</t>
  </si>
  <si>
    <t>P10-F00296</t>
  </si>
  <si>
    <t>PBJ-0122</t>
  </si>
  <si>
    <t>Current source file exists at Data/Scripts/Custom/Voting/VoteSite.cs; match=ExactFileClass; serializer evidence=Serialize:L113;Deserialize:L133;VersionRead:L135; class=Server.Voting.VoteSite; kind=Other; HasSerialConstructor=False; BaseCallStatus=MissingBaseSerialize; VersionHandling=ReadVersionOnly; FieldAlignment=CountMismatch:Writes=5;Reads=4; MoveRenameRisk=NamespaceOrTypeRenameDanger; ReviewStatus=NeedsSourceReview; ReviewReasons=Serial constructor not detected.; MissingBaseSerialize; ReadVersionOnly; CountMismatch:Writes=5;Reads=4</t>
  </si>
  <si>
    <t>Historical path=Data/Scripts/Custom/Voting/VoteSite.cs; backlog risk category=MissingSerialConstructor; write count=5; read count=5. POST-BATCH-J is triage only; no serialized layout edit is approved by this row.</t>
  </si>
  <si>
    <t>RB-00298</t>
  </si>
  <si>
    <t>P10-F00298</t>
  </si>
  <si>
    <t>POST-BATCH-U</t>
  </si>
  <si>
    <t>PBU-0001</t>
  </si>
  <si>
    <t>Closed migration gate as reviewed no-change after direct source review of helper/version-gated persistence; no source migration is needed.</t>
  </si>
  <si>
    <t>docs/codebase-audit/outputs/post-batch-u-save-migration-plan-review.csv</t>
  </si>
  <si>
    <t>POST-BATCH-N lane=POST-BATCH-N-SAVE-MIGRATION-PLAN; FileProofStatus=CurrentPathConfirmed; Class=Server.Voting.VoteSite; Serialize=L113; Reader=DeserializeMethod:L133; RegisterBase=MissingBaseSerialize; RegisterVersion=ReadVersionOnly; RegisterAlignment=CountMismatch:Writes=5;Reads=4; Writes=5; Reads=5; WriteEvidence=L117:Write(version)) | L124:Write(_Parent)) | L125:Write(_Name)) | L126:Write(_URL)) | L127:Write(_CoolDown)); ReadEvidence=L135:ReadInt | L142:ReadItem | L143:ReadString | L144:ReadString | L145:ReadTimeSpan; POST-BATCH-U direct source review=HelperSerializerReviewedNoChange</t>
  </si>
  <si>
    <t>Pending: docs: plan save migration queue</t>
  </si>
  <si>
    <t>2026-06-14T22:49:23.8796880-05:00</t>
  </si>
  <si>
    <t>Active post-audit overlay; POST-BATCH-U closed the POST-BATCH-N save migration-plan gate after source-reviewed audit planning. Canonical Phase 13 repair-backlog.csv is preserved as historical generated evidence.</t>
  </si>
  <si>
    <t>RB-00300</t>
  </si>
  <si>
    <t>P10-F00300</t>
  </si>
  <si>
    <t>PBW-0006</t>
  </si>
  <si>
    <t>Current source file exists at Data/Scripts/Custom/Voting/VoteStone.cs; prior POST-BATCH-J row=PBJ-0124; register evidence=Serialize:L109;Deserialize:L128;SerialCtor:L106;VersionRead:L132; class=Server.Items.VoteStone; kind=Item; HasSerialConstructor=True; BaseCallStatus=BaseCallsFirst; VersionHandling=ReadVersionOnly; FieldAlignment=CountMismatch:Writes=2;Reads=1; direct source review=Source-reviewed ordinary serializer: Serial ctor L106-L107, base calls L111/L130, version write L115, version read L132, _LabelMessage write/read L122/L139.</t>
  </si>
  <si>
    <t>POST-BATCH-W disposition of historical POST-BATCH-J NeedsMigrationPlan row; previous review row PBJ-0124; review class ScannerAmbiguityFalsePositive.</t>
  </si>
  <si>
    <t>RB-00302</t>
  </si>
  <si>
    <t>P10-F00302</t>
  </si>
  <si>
    <t>PBU-0002</t>
  </si>
  <si>
    <t>POST-BATCH-N lane=POST-BATCH-N-SAVE-MIGRATION-PLAN; FileProofStatus=CurrentPathConfirmed; Class=Server.Mobiles.KeywordTag; Serialize=L813; Reader=DeserializeMethod:L835; RegisterBase=MissingBaseSerialize; RegisterVersion=SwitchGotoCase; RegisterAlignment=CountMatchNeedsTypeReview:UnknownWrites=10; Writes=12; Reads=12; WriteEvidence=L815:Write((int)1); // version) | L817:Write((int)Flags)) | L819:Write(m_Spawner)) | L820:Write(Type)) | L821:Write(Serial)) | L825:Write(m_End - DateTime.Now)) | L826:Write(m_Delay)) | L827:Write(m_Condition)) | L828:Write(m_Goto)) | L829:Write(m_TimeoutEnd - DateTime.Now)) | L830:Write(m_Timeout)) | L831:Write(m_TrigMob)); ReadEvidence=L837:ReadInt | L841:ReadInt | L844:ReadItem | L845:ReadInt | L846:ReadInt | L850:ReadTimeSpan | L851:ReadTimeSpan | L852:ReadString | L853:ReadInt | L855:ReadTimeSpan | L857:ReadTimeSpan | L858:ReadMobile; POST-BATCH-U direct source review=HelperSerializerReviewedNoChange</t>
  </si>
  <si>
    <t>RB-00304</t>
  </si>
  <si>
    <t>P10-F00304</t>
  </si>
  <si>
    <t>PBJ-0126</t>
  </si>
  <si>
    <t>Current source file exists at Data/Scripts/Custom/XMLSpawner/XmlAttach/XmlAttach.cs; match=ExactFileClass; serializer evidence=; class=Unknown; kind=Spawner; HasSerialConstructor=False; BaseCallStatus=BaseCallsFirst; VersionHandling=NoVersionFound; FieldAlignment=AlignedByCountAndKnownTypes; MoveRenameRisk=UnknownUntilSaveTest; ReviewStatus=NeedsSourceReview; ReviewReasons=Serializer pair is missing one side.; Serial constructor not detected.; NoVersionFound; UnknownUntilSaveTest</t>
  </si>
  <si>
    <t>Historical path=Data/Scripts/Custom/XMLSpawner/XmlAttach/XmlAttach.cs; backlog risk category=MissingSerialConstructor; write count=0; read count=0. POST-BATCH-J is triage only; no serialized layout edit is approved by this row.</t>
  </si>
  <si>
    <t>RB-00305</t>
  </si>
  <si>
    <t>P10-F00305</t>
  </si>
  <si>
    <t>PBJ-0127</t>
  </si>
  <si>
    <t>Historical path=Data/Scripts/Custom/XMLSpawner/XmlAttach/XmlAttach.cs; backlog risk category=MissingSerializerPair; write count=0; read count=0. POST-BATCH-J is triage only; no serialized layout edit is approved by this row.</t>
  </si>
  <si>
    <t>RB-00306</t>
  </si>
  <si>
    <t>P10-F00306</t>
  </si>
  <si>
    <t>PBJ-0128</t>
  </si>
  <si>
    <t>Historical path=Data/Scripts/Custom/XMLSpawner/XmlAttach/XmlAttach.cs; backlog risk category=VersionHandling; write count=0; read count=0. POST-BATCH-J is triage only; no serialized layout edit is approved by this row.</t>
  </si>
  <si>
    <t>RB-00307</t>
  </si>
  <si>
    <t>P10-F00307</t>
  </si>
  <si>
    <t>PBW-0007</t>
  </si>
  <si>
    <t>No source change; current XMLSpawner attachment persistence is source-reviewed as valid.</t>
  </si>
  <si>
    <t>Current source file exists at Data/Scripts/Custom/XMLSpawner/XmlAttach/XmlAttachment.cs; prior POST-BATCH-J row=PBJ-0129; register evidence=Serialize:L510;Deserialize:L544;VersionWrite:L512;VersionRead:L546; class=Server.Engines.XmlSpawner2.XmlAttachment; kind=Spawner; HasSerialConstructor=False; BaseCallStatus=MissingBaseSerialize; VersionHandling=SwitchGotoCase; FieldAlignment=CountMismatch:Writes=11;Reads=8; direct source review=Source-reviewed XMLSpawner attachment base format: local ASerial constructor L338, version write/read L512/L546, owner discriminator branch L516-L527/L553-L565, v0 fields L529-L541/L567-L576; no RunUO Serial constructor/base Serialize requirement for this attachment base.</t>
  </si>
  <si>
    <t>POST-BATCH-W disposition of historical POST-BATCH-J NeedsMigrationPlan row; previous review row PBJ-0129; review class XMLSpawnerAttachmentReviewedNoChange.</t>
  </si>
  <si>
    <t>RB-00310</t>
  </si>
  <si>
    <t>P10-F00310</t>
  </si>
  <si>
    <t>PBJ-0130</t>
  </si>
  <si>
    <t>Current source file exists at Data/Scripts/Custom/XMLSpawner/XmlAttach/XmlAttachment.cs; match=ExactFileClass; serializer evidence=Serialize:L111;Deserialize:L113;VersionWrite:L512;VersionRead:L546; class=Unknown; kind=Spawner; HasSerialConstructor=False; BaseCallStatus=MissingBaseSerialize; VersionHandling=SwitchGotoCase; FieldAlignment=CountMismatch:Writes=11;Reads=8; MoveRenameRisk=UnknownUntilSaveTest; ReviewStatus=NeedsSourceReview; ReviewReasons=Serial constructor not detected.; MissingBaseSerialize; CountMismatch:Writes=11;Reads=8; UnknownUntilSaveTest</t>
  </si>
  <si>
    <t>Historical path=Data/Scripts/Custom/XMLSpawner/XmlAttach/XmlAttachment.cs; backlog risk category=MissingSerialConstructor; write count=12; read count=9. POST-BATCH-J is triage only; no serialized layout edit is approved by this row.</t>
  </si>
  <si>
    <t>RB-00313</t>
  </si>
  <si>
    <t>P10-F00313</t>
  </si>
  <si>
    <t>Data/Scripts/Custom/XMLSpawner/XmlAttachments/TemporaryQuestObject.cs</t>
  </si>
  <si>
    <t>POST-BATCH-R</t>
  </si>
  <si>
    <t>PBR-0001</t>
  </si>
  <si>
    <t>No source change; current XMLSpawner attachment persistence uses the required local ASerial constructor pattern and aligned serializer reads/writes.</t>
  </si>
  <si>
    <t>docs/codebase-audit/outputs/post-batch-r-save-constructor-persistence-review.csv</t>
  </si>
  <si>
    <t>POST-BATCH-N lane=POST-BATCH-N-SAVE-CONSTRUCTOR-PERSISTENCE-REVIEW; FileProofStatus=CurrentPathConfirmed; Current source file exists at Data/Scripts/Custom/XMLSpawner/XmlAttachments/TemporaryQuestObject.cs; match=ExactFileClass; serializer evidence=Serialize:L73;Deserialize:L83;VersionWrite:L77;VersionRead:L87; class=Server.Engines.XmlSpawner2.TemporaryQuestObject;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CurrentClass=TemporaryQuestObject; ASerialCtor=L28; BaseSerialCall=L29; Serialize=L73; Deserialize=L83; VersionWrite=L77; VersionRead=L87; Writes=1; Reads=1; FieldAlignment=AlignedCountAndOrderSourceReviewed; POST-BATCH-R direct source review=XMLSpawnerASerialConstructorFalsePositive</t>
  </si>
  <si>
    <t>Pending: docs: close save constructor persistence queue</t>
  </si>
  <si>
    <t>2026-06-14T20:09:14.2335151-05:00</t>
  </si>
  <si>
    <t>POST-BATCH-R save constructor persistence source review. Previous active row was PBN-0460/PBJ-0131. Reviewed as XMLSpawner attachment persistence: local ASerial constructor pattern is valid; ordinary RunUO Serial constructor is not required for XmlAttachment classes.</t>
  </si>
  <si>
    <t>RB-00314</t>
  </si>
  <si>
    <t>P10-F00314</t>
  </si>
  <si>
    <t>Data/Scripts/Custom/XMLSpawner/XmlAttachments/XmlAddFame.cs</t>
  </si>
  <si>
    <t>PBR-0002</t>
  </si>
  <si>
    <t>POST-BATCH-N lane=POST-BATCH-N-SAVE-CONSTRUCTOR-PERSISTENCE-REVIEW; FileProofStatus=CurrentPathConfirmed; Current source file exists at Data/Scripts/Custom/XMLSpawner/XmlAttachments/XmlAddFame.cs; match=ExactFileClass; serializer evidence=Serialize:L35;Deserialize:L44;VersionWrite:L39;VersionRead:L48; class=Server.Engines.XmlSpawner2.XmlAddFame;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CurrentClass=XmlAddFame; ASerialCtor=L26; BaseSerialCall=L27; Serialize=L35; Deserialize=L44; VersionWrite=L39; VersionRead=L48; Writes=1; Reads=1; FieldAlignment=AlignedCountAndOrderSourceReviewed; POST-BATCH-R direct source review=XMLSpawnerASerialConstructorFalsePositive</t>
  </si>
  <si>
    <t>POST-BATCH-R save constructor persistence source review. Previous active row was PBN-0461/PBJ-0132. Reviewed as XMLSpawner attachment persistence: local ASerial constructor pattern is valid; ordinary RunUO Serial constructor is not required for XmlAttachment classes.</t>
  </si>
  <si>
    <t>RB-00315</t>
  </si>
  <si>
    <t>P10-F00315</t>
  </si>
  <si>
    <t>Data/Scripts/Custom/XMLSpawner/XmlAttachments/XmlAddKarma.cs</t>
  </si>
  <si>
    <t>PBR-0003</t>
  </si>
  <si>
    <t>POST-BATCH-N lane=POST-BATCH-N-SAVE-CONSTRUCTOR-PERSISTENCE-REVIEW; FileProofStatus=CurrentPathConfirmed; Current source file exists at Data/Scripts/Custom/XMLSpawner/XmlAttachments/XmlAddKarma.cs; match=ExactFileClass; serializer evidence=Serialize:L35;Deserialize:L44;VersionWrite:L39;VersionRead:L48; class=Server.Engines.XmlSpawner2.XmlAddKarma;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CurrentClass=XmlAddKarma; ASerialCtor=L26; BaseSerialCall=L27; Serialize=L35; Deserialize=L44; VersionWrite=L39; VersionRead=L48; Writes=1; Reads=1; FieldAlignment=AlignedCountAndOrderSourceReviewed; POST-BATCH-R direct source review=XMLSpawnerASerialConstructorFalsePositive</t>
  </si>
  <si>
    <t>POST-BATCH-R save constructor persistence source review. Previous active row was PBN-0462/PBJ-0133. Reviewed as XMLSpawner attachment persistence: local ASerial constructor pattern is valid; ordinary RunUO Serial constructor is not required for XmlAttachment classes.</t>
  </si>
  <si>
    <t>RB-00316</t>
  </si>
  <si>
    <t>P10-F00316</t>
  </si>
  <si>
    <t>Data/Scripts/Custom/XMLSpawner/XmlAttachments/XmlAddTithing.cs</t>
  </si>
  <si>
    <t>PBR-0004</t>
  </si>
  <si>
    <t>POST-BATCH-N lane=POST-BATCH-N-SAVE-CONSTRUCTOR-PERSISTENCE-REVIEW; FileProofStatus=CurrentPathConfirmed; Current source file exists at Data/Scripts/Custom/XMLSpawner/XmlAttachments/XmlAddTithing.cs; match=ExactFileClass; serializer evidence=Serialize:L35;Deserialize:L44;VersionWrite:L39;VersionRead:L48; class=Server.Engines.XmlSpawner2.XmlAddTithing;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CurrentClass=XmlAddTithing; ASerialCtor=L26; BaseSerialCall=L27; Serialize=L35; Deserialize=L44; VersionWrite=L39; VersionRead=L48; Writes=1; Reads=1; FieldAlignment=AlignedCountAndOrderSourceReviewed; POST-BATCH-R direct source review=XMLSpawnerASerialConstructorFalsePositive</t>
  </si>
  <si>
    <t>POST-BATCH-R save constructor persistence source review. Previous active row was PBN-0463/PBJ-0134. Reviewed as XMLSpawner attachment persistence: local ASerial constructor pattern is valid; ordinary RunUO Serial constructor is not required for XmlAttachment classes.</t>
  </si>
  <si>
    <t>RB-00317</t>
  </si>
  <si>
    <t>P10-F00317</t>
  </si>
  <si>
    <t>Data/Scripts/Custom/XMLSpawner/XmlAttachments/XmlAddVirtue.cs</t>
  </si>
  <si>
    <t>PBR-0005</t>
  </si>
  <si>
    <t>POST-BATCH-N lane=POST-BATCH-N-SAVE-CONSTRUCTOR-PERSISTENCE-REVIEW; FileProofStatus=CurrentPathConfirmed; Current source file exists at Data/Scripts/Custom/XMLSpawner/XmlAttachments/XmlAddVirtue.cs; match=ExactFileClass; serializer evidence=Serialize:L42;Deserialize:L52;VersionWrite:L46;VersionRead:L56; class=Server.Engines.XmlSpawner2.XmlAddVirtue; kind=Spawner; HasSerialConstructor=False; BaseCallStatus=BaseCallsFirst; VersionHandling=SingleVersionOnly; FieldAlignment=CountMatchNeedsTypeReview:UnknownWrites=2; MoveRenameRisk=UnknownUntilSaveTest; ReviewStatus=NeedsSourceReview; ReviewReasons=Serial constructor not detected.; UnknownUntilSaveTest; CurrentClass=XmlAddVirtue; ASerialCtor=L32; BaseSerialCall=L33; Serialize=L42; Deserialize=L52; VersionWrite=L46; VersionRead=L56; Writes=2; Reads=2; FieldAlignment=AlignedCountAndOrderSourceReviewed; POST-BATCH-R direct source review=XMLSpawnerASerialConstructorFalsePositive</t>
  </si>
  <si>
    <t>POST-BATCH-R save constructor persistence source review. Previous active row was PBN-0464/PBJ-0135. Reviewed as XMLSpawner attachment persistence: local ASerial constructor pattern is valid; ordinary RunUO Serial constructor is not required for XmlAttachment classes.</t>
  </si>
  <si>
    <t>RB-00318</t>
  </si>
  <si>
    <t>P10-F00318</t>
  </si>
  <si>
    <t>Data/Scripts/Custom/XMLSpawner/XmlAttachments/XmlData.cs</t>
  </si>
  <si>
    <t>PBJ-0136</t>
  </si>
  <si>
    <t>Current source file exists at Data/Scripts/Custom/XMLSpawner/XmlAttachments/XmlData.cs; match=ExactFileClass; serializer evidence=Serialize:L50;Deserialize:L59;VersionWrite:L54;VersionRead:L63; class=Server.Engines.XmlSpawner2.XmlData; kind=Spawner; HasSerialConstructor=False; BaseCallStatus=BaseCallsFirst; VersionHandling=SingleVersionOnly; FieldAlignment=AlignedByCountAndKnownTypes; MoveRenameRisk=UnknownUntilSaveTest; ReviewStatus=NeedsSourceReview; ReviewReasons=Serial constructor not detected.; UnknownUntilSaveTest</t>
  </si>
  <si>
    <t>Historical path=Data/Scripts/Custom/XMLSpawner/XmlAttachments/XmlData.cs; backlog risk category=MissingSerialConstructor; write count=2; read count=2. POST-BATCH-J is triage only; no serialized layout edit is approved by this row.</t>
  </si>
  <si>
    <t>RB-00319</t>
  </si>
  <si>
    <t>P10-F00319</t>
  </si>
  <si>
    <t>Data/Scripts/Custom/XMLSpawner/XmlAttachments/XmlDate.cs</t>
  </si>
  <si>
    <t>PBR-0006</t>
  </si>
  <si>
    <t>POST-BATCH-N lane=POST-BATCH-N-SAVE-CONSTRUCTOR-PERSISTENCE-REVIEW; FileProofStatus=CurrentPathConfirmed; Current source file exists at Data/Scripts/Custom/XMLSpawner/XmlAttachments/XmlDate.cs; match=ExactFileClass; serializer evidence=Serialize:L51;Deserialize:L60;VersionWrite:L55;VersionRead:L64; class=Server.Engines.XmlSpawner2.XmlDate;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CurrentClass=XmlDate; ASerialCtor=L25; BaseSerialCall=L26; Serialize=L51; Deserialize=L60; VersionWrite=L55; VersionRead=L64; Writes=1; Reads=1; FieldAlignment=AlignedCountAndOrderSourceReviewed; POST-BATCH-R direct source review=XMLSpawnerASerialConstructorFalsePositive</t>
  </si>
  <si>
    <t>POST-BATCH-R save constructor persistence source review. Previous active row was PBN-0465/PBJ-0137. Reviewed as XMLSpawner attachment persistence: local ASerial constructor pattern is valid; ordinary RunUO Serial constructor is not required for XmlAttachment classes.</t>
  </si>
  <si>
    <t>RB-00320</t>
  </si>
  <si>
    <t>P10-F00320</t>
  </si>
  <si>
    <t>Data/Scripts/Custom/XMLSpawner/XmlAttachments/XmlDeathAction.cs</t>
  </si>
  <si>
    <t>PBR-0007</t>
  </si>
  <si>
    <t>POST-BATCH-N lane=POST-BATCH-N-SAVE-CONSTRUCTOR-PERSISTENCE-REVIEW; FileProofStatus=CurrentPathConfirmed; Current source file exists at Data/Scripts/Custom/XMLSpawner/XmlAttachments/XmlDeathAction.cs; match=ExactFileClass; serializer evidence=Serialize:L46;Deserialize:L57;VersionWrite:L50;VersionRead:L61; class=Server.Engines.XmlSpawner2.XmlDeathAction; kind=Spawner; HasSerialConstructor=False; BaseCallStatus=BaseCallsFirst; VersionHandling=SwitchGotoCase; FieldAlignment=CountMatchNeedsTypeReview:UnknownWrites=2; MoveRenameRisk=UnknownUntilSaveTest; ReviewStatus=NeedsSourceReview; ReviewReasons=Serial constructor not detected.; UnknownUntilSaveTest; CurrentClass=XmlDeathAction; ASerialCtor=L34; BaseSerialCall=L35; Serialize=L46; Deserialize=L57; VersionWrite=L50; VersionRead=L61; Writes=2; Reads=2; FieldAlignment=AlignedCountAndOrderSourceReviewed; POST-BATCH-R direct source review=XMLSpawnerASerialConstructorFalsePositive</t>
  </si>
  <si>
    <t>POST-BATCH-R save constructor persistence source review. Previous active row was PBN-0466/PBJ-0138. Reviewed as XMLSpawner attachment persistence: local ASerial constructor pattern is valid; ordinary RunUO Serial constructor is not required for XmlAttachment classes.</t>
  </si>
  <si>
    <t>RB-00321</t>
  </si>
  <si>
    <t>P10-F00321</t>
  </si>
  <si>
    <t>PBW-0008</t>
  </si>
  <si>
    <t>Current source file exists at Data/Scripts/Custom/XMLSpawner/XmlAttachments/XmlDialog.cs; prior POST-BATCH-J row=PBJ-0139; register evidence=Serialize:L2052;Deserialize:L2183;VersionWrite:L2056;VersionRead:L2187; class=Server.Engines.XmlSpawner2.XmlDialog; kind=Spawner; HasSerialConstructor=False; BaseCallStatus=BaseCallsFirst; VersionHandling=SwitchGotoCase; FieldAlignment=CountMismatch:Writes=44;Reads=52; direct source review=Source-reviewed XMLSpawner attachment: local ASerial constructor L119, base calls L2060/L2191, version write/read L2062/L2193, switch-gated old-version fall-through begins L2195-L2225 and continues through the dialog fields.</t>
  </si>
  <si>
    <t>POST-BATCH-W disposition of historical POST-BATCH-J NeedsMigrationPlan row; previous review row PBJ-0139; review class XMLSpawnerAttachmentReviewedNoChange.</t>
  </si>
  <si>
    <t>RB-00323</t>
  </si>
  <si>
    <t>P10-F00323</t>
  </si>
  <si>
    <t>Data/Scripts/Custom/XMLSpawner/XmlAttachments/XmlEnemyMastery.cs</t>
  </si>
  <si>
    <t>PBR-0008</t>
  </si>
  <si>
    <t>POST-BATCH-N lane=POST-BATCH-N-SAVE-CONSTRUCTOR-PERSISTENCE-REVIEW; FileProofStatus=CurrentPathConfirmed; Current source file exists at Data/Scripts/Custom/XMLSpawner/XmlAttachments/XmlEnemyMastery.cs; match=ExactFileClass; serializer evidence=Serialize:L137;Deserialize:L148;VersionWrite:L141;VersionRead:L152; class=Server.Engines.XmlSpawner2.XmlEnemyMastery; kind=Spawner; HasSerialConstructor=False; BaseCallStatus=BaseCallsFirst; VersionHandling=SingleVersionOnly; FieldAlignment=CountMatchNeedsTypeReview:UnknownWrites=3; MoveRenameRisk=UnknownUntilSaveTest; ReviewStatus=NeedsSourceReview; ReviewReasons=Serial constructor not detected.; UnknownUntilSaveTest; CurrentClass=XmlEnemyMastery; ASerialCtor=L49; BaseSerialCall=L50; Serialize=L137; Deserialize=L148; VersionWrite=L141; VersionRead=L152; Writes=3; Reads=3; FieldAlignment=AlignedCountAndOrderSourceReviewed; POST-BATCH-R direct source review=XMLSpawnerASerialConstructorFalsePositive</t>
  </si>
  <si>
    <t>POST-BATCH-R save constructor persistence source review. Previous active row was PBN-0467/PBJ-0140. Reviewed as XMLSpawner attachment persistence: local ASerial constructor pattern is valid; ordinary RunUO Serial constructor is not required for XmlAttachment classes.</t>
  </si>
  <si>
    <t>RB-00324</t>
  </si>
  <si>
    <t>P10-F00324</t>
  </si>
  <si>
    <t>Data/Scripts/Custom/XMLSpawner/XmlAttachments/XmlFire.cs</t>
  </si>
  <si>
    <t>PBR-0009</t>
  </si>
  <si>
    <t>POST-BATCH-N lane=POST-BATCH-N-SAVE-CONSTRUCTOR-PERSISTENCE-REVIEW; FileProofStatus=CurrentPathConfirmed; Current source file exists at Data/Scripts/Custom/XMLSpawner/XmlAttachments/XmlFire.cs; match=ExactFileClass; serializer evidence=Serialize:L121;Deserialize:L134;VersionWrite:L125;VersionRead:L138; class=Server.Engines.XmlSpawner2.XmlFire; kind=Spawner; HasSerialConstructor=False; BaseCallStatus=BaseCallsFirst; VersionHandling=SwitchGotoCase; FieldAlignment=CountMatchNeedsTypeReview:UnknownWrites=4; MoveRenameRisk=UnknownUntilSaveTest; ReviewStatus=NeedsSourceReview; ReviewReasons=Serial constructor not detected.; UnknownUntilSaveTest; CurrentClass=XmlFire; ASerialCtor=L43; BaseSerialCall=L44; Serialize=L121; Deserialize=L134; VersionWrite=L125; VersionRead=L138; Writes=4; Reads=4; FieldAlignment=AlignedCountAndOrderSourceReviewed; POST-BATCH-R direct source review=XMLSpawnerASerialConstructorFalsePositive</t>
  </si>
  <si>
    <t>POST-BATCH-R save constructor persistence source review. Previous active row was PBN-0468/PBJ-0141. Reviewed as XMLSpawner attachment persistence: local ASerial constructor pattern is valid; ordinary RunUO Serial constructor is not required for XmlAttachment classes.</t>
  </si>
  <si>
    <t>RB-00325</t>
  </si>
  <si>
    <t>P10-F00325</t>
  </si>
  <si>
    <t>Data/Scripts/Custom/XMLSpawner/XmlAttachments/XmlFreeze.cs</t>
  </si>
  <si>
    <t>PBJ-0142</t>
  </si>
  <si>
    <t>Current source file exists at Data/Scripts/Custom/XMLSpawner/XmlAttachments/XmlFreeze.cs; match=ExactFileClass; serializer evidence=Serialize:L28;Deserialize:L35;VersionWrite:L32;VersionRead:L39; class=Server.Engines.XmlSpawner2.XmlFreeze; kind=Spawner; HasSerialConstructor=False; BaseCallStatus=BaseCallsFirst; VersionHandling=SingleVersionOnly; FieldAlignment=AlignedByCountAndKnownTypes; MoveRenameRisk=UnknownUntilSaveTest; ReviewStatus=NeedsSourceReview; ReviewReasons=Serial constructor not detected.; UnknownUntilSaveTest</t>
  </si>
  <si>
    <t>Historical path=Data/Scripts/Custom/XMLSpawner/XmlAttachments/XmlFreeze.cs; backlog risk category=MissingSerialConstructor; write count=1; read count=1. POST-BATCH-J is triage only; no serialized layout edit is approved by this row.</t>
  </si>
  <si>
    <t>RB-00326</t>
  </si>
  <si>
    <t>P10-F00326</t>
  </si>
  <si>
    <t>Data/Scripts/Custom/XMLSpawner/XmlAttachments/XmlHue.cs</t>
  </si>
  <si>
    <t>PBR-0010</t>
  </si>
  <si>
    <t>POST-BATCH-N lane=POST-BATCH-N-SAVE-CONSTRUCTOR-PERSISTENCE-REVIEW; FileProofStatus=CurrentPathConfirmed; Current source file exists at Data/Scripts/Custom/XMLSpawner/XmlAttachments/XmlHue.cs; match=ExactFileClass; serializer evidence=Serialize:L43;Deserialize:L53;VersionWrite:L47;VersionRead:L57; class=Server.Engines.XmlSpawner2.XmlHue; kind=Spawner; HasSerialConstructor=False; BaseCallStatus=BaseCallsFirst; VersionHandling=SingleVersionOnly; FieldAlignment=CountMatchNeedsTypeReview:UnknownWrites=2; MoveRenameRisk=UnknownUntilSaveTest; ReviewStatus=NeedsSourceReview; ReviewReasons=Serial constructor not detected.; UnknownUntilSaveTest; CurrentClass=XmlHue; ASerialCtor=L26; BaseSerialCall=L27; Serialize=L43; Deserialize=L53; VersionWrite=L47; VersionRead=L57; Writes=2; Reads=2; FieldAlignment=AlignedCountAndOrderSourceReviewed; POST-BATCH-R direct source review=XMLSpawnerASerialConstructorFalsePositive</t>
  </si>
  <si>
    <t>POST-BATCH-R save constructor persistence source review. Previous active row was PBN-0469/PBJ-0143. Reviewed as XMLSpawner attachment persistence: local ASerial constructor pattern is valid; ordinary RunUO Serial constructor is not required for XmlAttachment classes.</t>
  </si>
  <si>
    <t>RB-00327</t>
  </si>
  <si>
    <t>P10-F00327</t>
  </si>
  <si>
    <t>Data/Scripts/Custom/XMLSpawner/XmlAttachments/XmlLifeDrain.cs</t>
  </si>
  <si>
    <t>PBR-0011</t>
  </si>
  <si>
    <t>POST-BATCH-N lane=POST-BATCH-N-SAVE-CONSTRUCTOR-PERSISTENCE-REVIEW; FileProofStatus=CurrentPathConfirmed; Current source file exists at Data/Scripts/Custom/XMLSpawner/XmlAttachments/XmlLifeDrain.cs; match=ExactFileClass; serializer evidence=Serialize:L136;Deserialize:L149;VersionWrite:L140;VersionRead:L153; class=Server.Engines.XmlSpawner2.XmlLifeDrain; kind=Spawner; HasSerialConstructor=False; BaseCallStatus=BaseCallsFirst; VersionHandling=SwitchGotoCase; FieldAlignment=CountMatchNeedsTypeReview:UnknownWrites=4; MoveRenameRisk=UnknownUntilSaveTest; ReviewStatus=NeedsSourceReview; ReviewReasons=Serial constructor not detected.; UnknownUntilSaveTest; CurrentClass=XmlLifeDrain; ASerialCtor=L43; BaseSerialCall=L44; Serialize=L136; Deserialize=L149; VersionWrite=L140; VersionRead=L153; Writes=4; Reads=4; FieldAlignment=AlignedCountAndOrderSourceReviewed; POST-BATCH-R direct source review=XMLSpawnerASerialConstructorFalsePositive</t>
  </si>
  <si>
    <t>POST-BATCH-R save constructor persistence source review. Previous active row was PBN-0470/PBJ-0144. Reviewed as XMLSpawner attachment persistence: local ASerial constructor pattern is valid; ordinary RunUO Serial constructor is not required for XmlAttachment classes.</t>
  </si>
  <si>
    <t>RB-00328</t>
  </si>
  <si>
    <t>P10-F00328</t>
  </si>
  <si>
    <t>Data/Scripts/Custom/XMLSpawner/XmlAttachments/XmlLightning.cs</t>
  </si>
  <si>
    <t>PBR-0012</t>
  </si>
  <si>
    <t>POST-BATCH-N lane=POST-BATCH-N-SAVE-CONSTRUCTOR-PERSISTENCE-REVIEW; FileProofStatus=CurrentPathConfirmed; Current source file exists at Data/Scripts/Custom/XMLSpawner/XmlAttachments/XmlLightning.cs; match=ExactFileClass; serializer evidence=Serialize:L130;Deserialize:L143;VersionWrite:L134;VersionRead:L147; class=Server.Engines.XmlSpawner2.XmlLightning; kind=Spawner; HasSerialConstructor=False; BaseCallStatus=BaseCallsFirst; VersionHandling=SwitchGotoCase; FieldAlignment=CountMatchNeedsTypeReview:UnknownWrites=4; MoveRenameRisk=UnknownUntilSaveTest; ReviewStatus=NeedsSourceReview; ReviewReasons=Serial constructor not detected.; UnknownUntilSaveTest; CurrentClass=XmlLightning; ASerialCtor=L43; BaseSerialCall=L44; Serialize=L130; Deserialize=L143; VersionWrite=L134; VersionRead=L147; Writes=4; Reads=4; FieldAlignment=AlignedCountAndOrderSourceReviewed; POST-BATCH-R direct source review=XMLSpawnerASerialConstructorFalsePositive</t>
  </si>
  <si>
    <t>POST-BATCH-R save constructor persistence source review. Previous active row was PBN-0471/PBJ-0145. Reviewed as XMLSpawner attachment persistence: local ASerial constructor pattern is valid; ordinary RunUO Serial constructor is not required for XmlAttachment classes.</t>
  </si>
  <si>
    <t>RB-00329</t>
  </si>
  <si>
    <t>P10-F00329</t>
  </si>
  <si>
    <t>Data/Scripts/Custom/XMLSpawner/XmlAttachments/XmlLocalVariable.cs</t>
  </si>
  <si>
    <t>PBJ-0146</t>
  </si>
  <si>
    <t>Current source file exists at Data/Scripts/Custom/XMLSpawner/XmlAttachments/XmlLocalVariable.cs; match=ExactFileClass; serializer evidence=Serialize:L50;Deserialize:L59;VersionWrite:L54;VersionRead:L63; class=Server.Engines.XmlSpawner2.XmlLocalVariable; kind=Spawner; HasSerialConstructor=False; BaseCallStatus=BaseCallsFirst; VersionHandling=SingleVersionOnly; FieldAlignment=AlignedByCountAndKnownTypes; MoveRenameRisk=UnknownUntilSaveTest; ReviewStatus=NeedsSourceReview; ReviewReasons=Serial constructor not detected.; UnknownUntilSaveTest</t>
  </si>
  <si>
    <t>Historical path=Data/Scripts/Custom/XMLSpawner/XmlAttachments/XmlLocalVariable.cs; backlog risk category=MissingSerialConstructor; write count=2; read count=2. POST-BATCH-J is triage only; no serialized layout edit is approved by this row.</t>
  </si>
  <si>
    <t>RB-00330</t>
  </si>
  <si>
    <t>P10-F00330</t>
  </si>
  <si>
    <t>Data/Scripts/Custom/XMLSpawner/XmlAttachments/XmlMagicWord.cs</t>
  </si>
  <si>
    <t>PBR-0013</t>
  </si>
  <si>
    <t>POST-BATCH-N lane=POST-BATCH-N-SAVE-CONSTRUCTOR-PERSISTENCE-REVIEW; FileProofStatus=CurrentPathConfirmed; Current source file exists at Data/Scripts/Custom/XMLSpawner/XmlAttachments/XmlMagicWord.cs; match=ExactFileClass; serializer evidence=Serialize:L88;Deserialize:L103;VersionWrite:L92;VersionRead:L107; class=Server.Engines.XmlSpawner2.XmlMagicWord; kind=Spawner; HasSerialConstructor=False; BaseCallStatus=BaseCallsFirst; VersionHandling=SingleVersionOnly; FieldAlignment=CountMatchNeedsTypeReview:UnknownWrites=7; MoveRenameRisk=UnknownUntilSaveTest; ReviewStatus=NeedsSourceReview; ReviewReasons=Serial constructor not detected.; UnknownUntilSaveTest; CurrentClass=XmlMagicWord; ASerialCtor=L44; BaseSerialCall=L45; Serialize=L88; Deserialize=L103; VersionWrite=L92; VersionRead=L107; Writes=7; Reads=7; FieldAlignment=AlignedCountAndOrderSourceReviewed; POST-BATCH-R direct source review=XMLSpawnerASerialConstructorFalsePositive</t>
  </si>
  <si>
    <t>POST-BATCH-R save constructor persistence source review. Previous active row was PBN-0472/PBJ-0147. Reviewed as XMLSpawner attachment persistence: local ASerial constructor pattern is valid; ordinary RunUO Serial constructor is not required for XmlAttachment classes.</t>
  </si>
  <si>
    <t>RB-00331</t>
  </si>
  <si>
    <t>P10-F00331</t>
  </si>
  <si>
    <t>Data/Scripts/Custom/XMLSpawner/XmlAttachments/XmlManaDrain.cs</t>
  </si>
  <si>
    <t>PBR-0014</t>
  </si>
  <si>
    <t>POST-BATCH-N lane=POST-BATCH-N-SAVE-CONSTRUCTOR-PERSISTENCE-REVIEW; FileProofStatus=CurrentPathConfirmed; Current source file exists at Data/Scripts/Custom/XMLSpawner/XmlAttachments/XmlManaDrain.cs; match=ExactFileClass; serializer evidence=Serialize:L123;Deserialize:L136;VersionWrite:L127;VersionRead:L140; class=Server.Engines.XmlSpawner2.XmlManaDrain; kind=Spawner; HasSerialConstructor=False; BaseCallStatus=BaseCallsFirst; VersionHandling=SwitchGotoCase; FieldAlignment=CountMatchNeedsTypeReview:UnknownWrites=4; MoveRenameRisk=UnknownUntilSaveTest; ReviewStatus=NeedsSourceReview; ReviewReasons=Serial constructor not detected.; UnknownUntilSaveTest; CurrentClass=XmlManaDrain; ASerialCtor=L43; BaseSerialCall=L44; Serialize=L123; Deserialize=L136; VersionWrite=L127; VersionRead=L140; Writes=4; Reads=4; FieldAlignment=AlignedCountAndOrderSourceReviewed; POST-BATCH-R direct source review=XMLSpawnerASerialConstructorFalsePositive</t>
  </si>
  <si>
    <t>POST-BATCH-R save constructor persistence source review. Previous active row was PBN-0473/PBJ-0148. Reviewed as XMLSpawner attachment persistence: local ASerial constructor pattern is valid; ordinary RunUO Serial constructor is not required for XmlAttachment classes.</t>
  </si>
  <si>
    <t>RB-00332</t>
  </si>
  <si>
    <t>P10-F00332</t>
  </si>
  <si>
    <t>Data/Scripts/Custom/XMLSpawner/XmlAttachments/XmlMessage.cs</t>
  </si>
  <si>
    <t>PBR-0015</t>
  </si>
  <si>
    <t>POST-BATCH-N lane=POST-BATCH-N-SAVE-CONSTRUCTOR-PERSISTENCE-REVIEW; FileProofStatus=CurrentPathConfirmed; Current source file exists at Data/Scripts/Custom/XMLSpawner/XmlAttachments/XmlMessage.cs; match=ExactFileClass; serializer evidence=Serialize:L91;Deserialize:L106;VersionWrite:L95;VersionRead:L110; class=Server.Engines.XmlSpawner2.XmlMessage; kind=Spawner; HasSerialConstructor=False; BaseCallStatus=BaseCallsFirst; VersionHandling=SwitchGotoCase; FieldAlignment=CountMatchNeedsTypeReview:UnknownWrites=6; MoveRenameRisk=UnknownUntilSaveTest; ReviewStatus=NeedsSourceReview; ReviewReasons=Serial constructor not detected.; UnknownUntilSaveTest; CurrentClass=XmlMessage; ASerialCtor=L58; BaseSerialCall=L59; Serialize=L91; Deserialize=L106; VersionWrite=L95; VersionRead=L110; Writes=6; Reads=6; FieldAlignment=AlignedCountAndOrderSourceReviewed; POST-BATCH-R direct source review=XMLSpawnerASerialConstructorFalsePositive</t>
  </si>
  <si>
    <t>POST-BATCH-R save constructor persistence source review. Previous active row was PBN-0474/PBJ-0149. Reviewed as XMLSpawner attachment persistence: local ASerial constructor pattern is valid; ordinary RunUO Serial constructor is not required for XmlAttachment classes.</t>
  </si>
  <si>
    <t>RB-00333</t>
  </si>
  <si>
    <t>P10-F00333</t>
  </si>
  <si>
    <t>Data/Scripts/Custom/XMLSpawner/XmlAttachments/XmlMinionStrike.cs</t>
  </si>
  <si>
    <t>PBR-0016</t>
  </si>
  <si>
    <t>POST-BATCH-N lane=POST-BATCH-N-SAVE-CONSTRUCTOR-PERSISTENCE-REVIEW; FileProofStatus=CurrentPathConfirmed; Current source file exists at Data/Scripts/Custom/XMLSpawner/XmlAttachments/XmlMinionStrike.cs; match=ExactFileClass; serializer evidence=Serialize:L170;Deserialize:L185;VersionWrite:L174;VersionRead:L189; class=Server.Engines.XmlSpawner2.XmlMinionStrike; kind=Spawner; HasSerialConstructor=False; BaseCallStatus=BaseCallsFirst; VersionHandling=SingleVersionOnly; FieldAlignment=CountMatchNeedsTypeReview:UnknownWrites=6; MoveRenameRisk=UnknownUntilSaveTest; ReviewStatus=NeedsSourceReview; ReviewReasons=Serial constructor not detected.; UnknownUntilSaveTest; CurrentClass=XmlMinionStrike; ASerialCtor=L45; BaseSerialCall=L46; Serialize=L170; Deserialize=L185; VersionWrite=L174; VersionRead=L189; Writes=6; Reads=6; FieldAlignment=AlignedCountAndOrderSourceReviewed; POST-BATCH-R direct source review=XMLSpawnerASerialConstructorFalsePositive</t>
  </si>
  <si>
    <t>POST-BATCH-R save constructor persistence source review. Previous active row was PBN-0475/PBJ-0150. Reviewed as XMLSpawner attachment persistence: local ASerial constructor pattern is valid; ordinary RunUO Serial constructor is not required for XmlAttachment classes.</t>
  </si>
  <si>
    <t>RB-00334</t>
  </si>
  <si>
    <t>P10-F00334</t>
  </si>
  <si>
    <t>PBW-0009</t>
  </si>
  <si>
    <t>Current source file exists at Data/Scripts/Custom/XMLSpawner/XmlAttachments/XmlMorph.cs; prior POST-BATCH-J row=PBJ-0151; register evidence=Serialize:L82;Deserialize:L104;VersionWrite:L86;VersionRead:L108; class=Server.Engines.XmlSpawner2.XmlMorph; kind=Spawner; HasSerialConstructor=False; BaseCallStatus=BaseCallsFirst; VersionHandling=SwitchGotoCase; FieldAlignment=CountMismatch:Writes=7;Reads=6; direct source review=Source-reviewed XMLSpawner attachment: local ASerial constructor L58-L59, base calls L84/L106, version write/read L86/L108, range v1 and v0 morph/timer fields L88-L101/L111-L125.</t>
  </si>
  <si>
    <t>POST-BATCH-W disposition of historical POST-BATCH-J NeedsMigrationPlan row; previous review row PBJ-0151; review class XMLSpawnerAttachmentReviewedNoChange.</t>
  </si>
  <si>
    <t>RB-00336</t>
  </si>
  <si>
    <t>P10-F00336</t>
  </si>
  <si>
    <t>PBW-0010</t>
  </si>
  <si>
    <t>Current source file exists at Data/Scripts/Custom/XMLSpawner/XmlAttachments/XmlPoints.cs; prior POST-BATCH-J row=PBJ-0152; register evidence=Serialize:L1944;Deserialize:L2023;VersionWrite:L1964;VersionRead:L2027; class=Server.Engines.XmlSpawner2.XmlPoints; kind=Spawner; HasSerialConstructor=False; BaseCallStatus=BaseCallsFirst; VersionHandling=SwitchGotoCase; FieldAlignment=CountMismatch:Writes=26;Reads=23; direct source review=Source-reviewed XMLSpawner attachment: local ASerial constructor L2022-L2023, base calls L2030 and deserialize base call per register L2023, versioned points/team/challenge persistence starts L2048 and is read through switch-gated deserialize.</t>
  </si>
  <si>
    <t>POST-BATCH-W disposition of historical POST-BATCH-J NeedsMigrationPlan row; previous review row PBJ-0152; review class XMLSpawnerAttachmentReviewedNoChange.</t>
  </si>
  <si>
    <t>RB-00338</t>
  </si>
  <si>
    <t>P10-F00338</t>
  </si>
  <si>
    <t>PBW-0011</t>
  </si>
  <si>
    <t>Current source file exists at Data/Scripts/Custom/XMLSpawner/XmlAttachments/XmlSaveItem.cs; prior POST-BATCH-J row=PBJ-0153; register evidence=Serialize:L207;Deserialize:L225;VersionWrite:L211;VersionRead:L229; class=Server.Engines.XmlSpawner2.XmlSaveItem; kind=Spawner; HasSerialConstructor=False; BaseCallStatus=BaseCallsFirst; VersionHandling=SingleVersionOnly; FieldAlignment=CountMismatch:Writes=4;Reads=3; direct source review=Source-reviewed XMLSpawner attachment: local ASerial constructor L161, base calls L209/L227, version write/read L211/L229, saved item/owner/container write/read L213-L222/L231-L233.</t>
  </si>
  <si>
    <t>POST-BATCH-W disposition of historical POST-BATCH-J NeedsMigrationPlan row; previous review row PBJ-0153; review class XMLSpawnerAttachmentReviewedNoChange.</t>
  </si>
  <si>
    <t>RB-00340</t>
  </si>
  <si>
    <t>P10-F00340</t>
  </si>
  <si>
    <t>Data/Scripts/Custom/XMLSpawner/XmlAttachments/XmlSkill.cs</t>
  </si>
  <si>
    <t>PBR-0017</t>
  </si>
  <si>
    <t>POST-BATCH-N lane=POST-BATCH-N-SAVE-CONSTRUCTOR-PERSISTENCE-REVIEW; FileProofStatus=CurrentPathConfirmed; Current source file exists at Data/Scripts/Custom/XMLSpawner/XmlAttachments/XmlSkill.cs; match=ExactFileClass; serializer evidence=Serialize:L115;Deserialize:L129;VersionWrite:L119;VersionRead:L133; class=Server.Engines.XmlSpawner2.XmlSkill; kind=Spawner; HasSerialConstructor=False; BaseCallStatus=BaseCallsFirst; VersionHandling=SingleVersionOnly; FieldAlignment=CountMatchNeedsTypeReview:UnknownWrites=5; MoveRenameRisk=UnknownUntilSaveTest; ReviewStatus=NeedsSourceReview; ReviewReasons=Serial constructor not detected.; UnknownUntilSaveTest; CurrentClass=XmlSkill; ASerialCtor=L62; BaseSerialCall=L63; Serialize=L115; Deserialize=L129; VersionWrite=L119; VersionRead=L133; Writes=6; Reads=6; FieldAlignment=AlignedCountAndOrderSourceReviewed; POST-BATCH-R direct source review=XMLSpawnerASerialConstructorFalsePositive</t>
  </si>
  <si>
    <t>POST-BATCH-R save constructor persistence source review. Previous active row was PBN-0476/PBJ-0154. Reviewed as XMLSpawner attachment persistence: local ASerial constructor pattern is valid; ordinary RunUO Serial constructor is not required for XmlAttachment classes.</t>
  </si>
  <si>
    <t>RB-00341</t>
  </si>
  <si>
    <t>P10-F00341</t>
  </si>
  <si>
    <t>Data/Scripts/Custom/XMLSpawner/XmlAttachments/XmlSound.cs</t>
  </si>
  <si>
    <t>PBR-0018</t>
  </si>
  <si>
    <t>POST-BATCH-N lane=POST-BATCH-N-SAVE-CONSTRUCTOR-PERSISTENCE-REVIEW; FileProofStatus=CurrentPathConfirmed; Current source file exists at Data/Scripts/Custom/XMLSpawner/XmlAttachments/XmlSound.cs; match=ExactFileClass; serializer evidence=Serialize:L102;Deserialize:L117;VersionWrite:L106;VersionRead:L121; class=Server.Engines.XmlSpawner2.XmlSound; kind=Spawner; HasSerialConstructor=False; BaseCallStatus=BaseCallsFirst; VersionHandling=SwitchGotoCase; FieldAlignment=CountMatchNeedsTypeReview:UnknownWrites=6; MoveRenameRisk=UnknownUntilSaveTest; ReviewStatus=NeedsSourceReview; ReviewReasons=Serial constructor not detected.; UnknownUntilSaveTest; CurrentClass=XmlSound; ASerialCtor=L58; BaseSerialCall=L59; Serialize=L102; Deserialize=L117; VersionWrite=L106; VersionRead=L121; Writes=6; Reads=6; FieldAlignment=AlignedCountAndOrderSourceReviewed; POST-BATCH-R direct source review=XMLSpawnerASerialConstructorFalsePositive</t>
  </si>
  <si>
    <t>POST-BATCH-R save constructor persistence source review. Previous active row was PBN-0477/PBJ-0155. Reviewed as XMLSpawner attachment persistence: local ASerial constructor pattern is valid; ordinary RunUO Serial constructor is not required for XmlAttachment classes.</t>
  </si>
  <si>
    <t>RB-00342</t>
  </si>
  <si>
    <t>P10-F00342</t>
  </si>
  <si>
    <t>Data/Scripts/Custom/XMLSpawner/XmlAttachments/XmlStamDrain.cs</t>
  </si>
  <si>
    <t>PBR-0019</t>
  </si>
  <si>
    <t>POST-BATCH-N lane=POST-BATCH-N-SAVE-CONSTRUCTOR-PERSISTENCE-REVIEW; FileProofStatus=CurrentPathConfirmed; Current source file exists at Data/Scripts/Custom/XMLSpawner/XmlAttachments/XmlStamDrain.cs; match=ExactFileClass; serializer evidence=Serialize:L124;Deserialize:L137;VersionWrite:L128;VersionRead:L141; class=Server.Engines.XmlSpawner2.XmlStamDrain; kind=Spawner; HasSerialConstructor=False; BaseCallStatus=BaseCallsFirst; VersionHandling=SwitchGotoCase; FieldAlignment=CountMatchNeedsTypeReview:UnknownWrites=4; MoveRenameRisk=UnknownUntilSaveTest; ReviewStatus=NeedsSourceReview; ReviewReasons=Serial constructor not detected.; UnknownUntilSaveTest; CurrentClass=XmlStamDrain; ASerialCtor=L43; BaseSerialCall=L44; Serialize=L124; Deserialize=L137; VersionWrite=L128; VersionRead=L141; Writes=4; Reads=4; FieldAlignment=AlignedCountAndOrderSourceReviewed; POST-BATCH-R direct source review=XMLSpawnerASerialConstructorFalsePositive</t>
  </si>
  <si>
    <t>POST-BATCH-R save constructor persistence source review. Previous active row was PBN-0478/PBJ-0156. Reviewed as XMLSpawner attachment persistence: local ASerial constructor pattern is valid; ordinary RunUO Serial constructor is not required for XmlAttachment classes.</t>
  </si>
  <si>
    <t>RB-00343</t>
  </si>
  <si>
    <t>P10-F00343</t>
  </si>
  <si>
    <t>Data/Scripts/Custom/XMLSpawner/XmlAttachments/XmlUse.cs</t>
  </si>
  <si>
    <t>PBR-0020</t>
  </si>
  <si>
    <t>POST-BATCH-N lane=POST-BATCH-N-SAVE-CONSTRUCTOR-PERSISTENCE-REVIEW; FileProofStatus=CurrentPathConfirmed; Current source file exists at Data/Scripts/Custom/XMLSpawner/XmlAttachments/XmlUse.cs; match=ExactFileClass; serializer evidence=Serialize:L169;Deserialize:L198;VersionWrite:L173;VersionRead:L202; class=Server.Engines.XmlSpawner2.XmlUse; kind=Spawner; HasSerialConstructor=False; BaseCallStatus=BaseCallsFirst; VersionHandling=SwitchGotoCase; FieldAlignment=CountMatchNeedsTypeReview:UnknownWrites=18; MoveRenameRisk=UnknownUntilSaveTest; ReviewStatus=NeedsSourceReview; ReviewReasons=Serial constructor not detected.; UnknownUntilSaveTest; CurrentClass=XmlUse; ASerialCtor=L150; BaseSerialCall=L151; Serialize=L169; Deserialize=L198; VersionWrite=L173; VersionRead=L202; Writes=18; Reads=18; FieldAlignment=AlignedCountAndOrderSourceReviewed; POST-BATCH-R direct source review=XMLSpawnerASerialConstructorFalsePositive</t>
  </si>
  <si>
    <t>POST-BATCH-R save constructor persistence source review. Previous active row was PBN-0479/PBJ-0157. Reviewed as XMLSpawner attachment persistence: local ASerial constructor pattern is valid; ordinary RunUO Serial constructor is not required for XmlAttachment classes.</t>
  </si>
  <si>
    <t>RB-00344</t>
  </si>
  <si>
    <t>P10-F00344</t>
  </si>
  <si>
    <t>Data/Scripts/Custom/XMLSpawner/XmlAttachments/XmlValue.cs</t>
  </si>
  <si>
    <t>PBR-0021</t>
  </si>
  <si>
    <t>POST-BATCH-N lane=POST-BATCH-N-SAVE-CONSTRUCTOR-PERSISTENCE-REVIEW; FileProofStatus=CurrentPathConfirmed; Current source file exists at Data/Scripts/Custom/XMLSpawner/XmlAttachments/XmlValue.cs; match=ExactFileClass; serializer evidence=Serialize:L43;Deserialize:L52;VersionWrite:L47;VersionRead:L56; class=Server.Engines.XmlSpawner2.XmlValue;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CurrentClass=XmlValue; ASerialCtor=L25; BaseSerialCall=L26; Serialize=L43; Deserialize=L52; VersionWrite=L47; VersionRead=L56; Writes=1; Reads=1; FieldAlignment=AlignedCountAndOrderSourceReviewed; POST-BATCH-R direct source review=XMLSpawnerASerialConstructorFalsePositive</t>
  </si>
  <si>
    <t>POST-BATCH-R save constructor persistence source review. Previous active row was PBN-0480/PBJ-0158. Reviewed as XMLSpawner attachment persistence: local ASerial constructor pattern is valid; ordinary RunUO Serial constructor is not required for XmlAttachment classes.</t>
  </si>
  <si>
    <t>RB-00345</t>
  </si>
  <si>
    <t>P10-F00345</t>
  </si>
  <si>
    <t>Data/Scripts/Custom/XMLSpawner/XmlAttachments/XmlWeaponAbility.cs</t>
  </si>
  <si>
    <t>PBR-0022</t>
  </si>
  <si>
    <t>POST-BATCH-N lane=POST-BATCH-N-SAVE-CONSTRUCTOR-PERSISTENCE-REVIEW; FileProofStatus=CurrentPathConfirmed; Current source file exists at Data/Scripts/Custom/XMLSpawner/XmlAttachments/XmlWeaponAbility.cs; match=ExactFileClass; serializer evidence=Serialize:L84;Deserialize:L93;VersionWrite:L88;VersionRead:L97; class=Server.Engines.XmlSpawner2.XmlWeaponAbility;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CurrentClass=XmlWeaponAbility; ASerialCtor=L60; BaseSerialCall=L61; Serialize=L84; Deserialize=L93; VersionWrite=L88; VersionRead=L97; Writes=1; Reads=1; FieldAlignment=AlignedCountAndOrderSourceReviewed; POST-BATCH-R direct source review=XMLSpawnerASerialConstructorFalsePositive</t>
  </si>
  <si>
    <t>POST-BATCH-R save constructor persistence source review. Previous active row was PBN-0481/PBJ-0159. Reviewed as XMLSpawner attachment persistence: local ASerial constructor pattern is valid; ordinary RunUO Serial constructor is not required for XmlAttachment classes.</t>
  </si>
  <si>
    <t>RB-00360</t>
  </si>
  <si>
    <t>P10-F00360</t>
  </si>
  <si>
    <t>Data/Scripts/Custom/XMLSpawner/XmlQuest/XmlQuestAttachment.cs</t>
  </si>
  <si>
    <t>PBR-0023</t>
  </si>
  <si>
    <t>POST-BATCH-N lane=POST-BATCH-N-SAVE-CONSTRUCTOR-PERSISTENCE-REVIEW; FileProofStatus=CurrentPathConfirmed; Current source file exists at Data/Scripts/Custom/XMLSpawner/XmlQuest/XmlQuestAttachment.cs; match=ExactFileClass; serializer evidence=Serialize:L51;Deserialize:L60;VersionWrite:L55;VersionRead:L64; class=Server.Engines.XmlSpawner2.XmlQuestAttachment; kind=Spawner; HasSerialConstructor=False; BaseCallStatus=BaseCallsFirst; VersionHandling=SingleVersionOnly; FieldAlignment=CountMatchNeedsTypeReview:UnknownWrites=1; MoveRenameRisk=UnknownUntilSaveTest; ReviewStatus=NeedsSourceReview; ReviewReasons=Serial constructor not detected.; UnknownUntilSaveTest; CurrentClass=XmlQuestAttachment; ASerialCtor=L25; BaseSerialCall=L26; Serialize=L51; Deserialize=L60; VersionWrite=L55; VersionRead=L64; Writes=1; Reads=1; FieldAlignment=AlignedCountAndOrderSourceReviewed; POST-BATCH-R direct source review=XMLSpawnerASerialConstructorFalsePositive</t>
  </si>
  <si>
    <t>POST-BATCH-R save constructor persistence source review. Previous active row was PBN-0482/PBJ-0160. Reviewed as XMLSpawner attachment persistence: local ASerial constructor pattern is valid; ordinary RunUO Serial constructor is not required for XmlAttachment classes.</t>
  </si>
  <si>
    <t>RB-00362</t>
  </si>
  <si>
    <t>P10-F00362</t>
  </si>
  <si>
    <t>PBJ-0161</t>
  </si>
  <si>
    <t>Current source file exists at Data/Scripts/Custom/XMLSpawner/XmlQuest/XmlQuestLeaders.cs; match=ExactFileClass; serializer evidence=; class=Unknown; kind=Spawner; HasSerialConstructor=False; BaseCallStatus=BaseCallsFirst; VersionHandling=NoVersionFound; FieldAlignment=AlignedByCountAndKnownTypes; MoveRenameRisk=UnknownUntilSaveTest; ReviewStatus=NeedsSourceReview; ReviewReasons=Serializer pair is missing one side.; Serial constructor not detected.; NoVersionFound; UnknownUntilSaveTest</t>
  </si>
  <si>
    <t>Historical path=Data/Scripts/Custom/XMLSpawner/XmlQuest/XmlQuestLeaders.cs; backlog risk category=MissingSerialConstructor; write count=0; read count=0. POST-BATCH-J is triage only; no serialized layout edit is approved by this row.</t>
  </si>
  <si>
    <t>RB-00363</t>
  </si>
  <si>
    <t>P10-F00363</t>
  </si>
  <si>
    <t>PBJ-0162</t>
  </si>
  <si>
    <t>Historical path=Data/Scripts/Custom/XMLSpawner/XmlQuest/XmlQuestLeaders.cs; backlog risk category=MissingSerializerPair; write count=0; read count=0. POST-BATCH-J is triage only; no serialized layout edit is approved by this row.</t>
  </si>
  <si>
    <t>RB-00364</t>
  </si>
  <si>
    <t>P10-F00364</t>
  </si>
  <si>
    <t>PBJ-0163</t>
  </si>
  <si>
    <t>Historical path=Data/Scripts/Custom/XMLSpawner/XmlQuest/XmlQuestLeaders.cs; backlog risk category=VersionHandling; write count=0; read count=0. POST-BATCH-J is triage only; no serialized layout edit is approved by this row.</t>
  </si>
  <si>
    <t>RB-00365</t>
  </si>
  <si>
    <t>P10-F00365</t>
  </si>
  <si>
    <t>PBU-0003</t>
  </si>
  <si>
    <t>POST-BATCH-N lane=POST-BATCH-N-SAVE-MIGRATION-PLAN; FileProofStatus=CurrentPathConfirmed; Class=Server.Engines.XmlSpawner2.QuestEntry; Serialize=L100; Reader=DeserializeMethod:L113; RegisterBase=MissingBaseSerialize; RegisterVersion=Switch; RegisterAlignment=CountMatchNeedsTypeReview:UnknownWrites=7; Writes=8; Reads=8; WriteEvidence=L102:Write((int)0); // version) | L104:Write(Quester)) | L105:Write(Name)) | L106:Write(WhenCompleted)) | L107:Write(WhenStarted)) | L108:Write(Difficulty)) | L109:Write(TimesCompleted)) | L110:Write(PartyEnabled)); ReadEvidence=L115:ReadInt | L120:ReadMobile | L121:ReadString | L122:ReadDateTime | L123:ReadDateTime | L124:ReadInt | L125:ReadInt | L126:ReadBool; POST-BATCH-U direct source review=HelperSerializerReviewedNoChange</t>
  </si>
  <si>
    <t>RB-00367</t>
  </si>
  <si>
    <t>P10-F00367</t>
  </si>
  <si>
    <t>PBW-0012</t>
  </si>
  <si>
    <t>Current source file exists at Data/Scripts/Custom/XMLSpawner/XmlQuest/XmlQuestPoints.cs; prior POST-BATCH-J row=PBJ-0165; register evidence=Serialize:L325;Deserialize:L360;VersionWrite:L329;VersionRead:L364; class=Server.Engines.XmlSpawner2.XmlQuestPoints; kind=Spawner; HasSerialConstructor=False; BaseCallStatus=BaseCallsFirst; VersionHandling=Switch; FieldAlignment=CountMismatch:Writes=10;Reads=8; direct source review=Source-reviewed XMLSpawner attachment: local ASerial constructor L172, base calls L327/L362, version write/read L329/L364, points/credits/rank/history/quester write/read L331-L357/L370-L399.</t>
  </si>
  <si>
    <t>POST-BATCH-W disposition of historical POST-BATCH-J NeedsMigrationPlan row; previous review row PBJ-0165; review class XMLSpawnerAttachmentReviewedNoChange.</t>
  </si>
  <si>
    <t>RB-00370</t>
  </si>
  <si>
    <t>P10-F00370</t>
  </si>
  <si>
    <t>PBW-0013</t>
  </si>
  <si>
    <t>No source change; helper persistence pattern is valid after source review.</t>
  </si>
  <si>
    <t>Current source file exists at Data/Scripts/Custom/XMLSpawner/XmlSpawner2.cs; prior POST-BATCH-J row=PBJ-0166; register evidence=Serialize:L15662; class=Server.Mobiles.SpawnObject; kind=Spawner; HasSerialConstructor=False; BaseCallStatus=MissingBaseSerialize; VersionHandling=NoVersionFound; FieldAlignment=CountMismatch:Writes=20;Reads=0; direct source review=Source-reviewed helper serializer: Serialize L15710-L15741 pairs with static Deserialize(GenericReader, XmlSpawner) L15744-L15784 for type/max/subgroup/timing/spawned entity refs; not an Item/Mobile world-load serializer.</t>
  </si>
  <si>
    <t>POST-BATCH-W disposition of historical POST-BATCH-J NeedsMigrationPlan row; previous review row PBJ-0166; review class HelperSerializerReviewedNoChange.</t>
  </si>
  <si>
    <t>RB-00371</t>
  </si>
  <si>
    <t>P10-F00371</t>
  </si>
  <si>
    <t>PBW-0014</t>
  </si>
  <si>
    <t>Current source file exists at Data/Scripts/Custom/XMLSpawner/XmlSpawner2.cs; prior POST-BATCH-J row=PBJ-0167; register evidence=Serialize:L15662; class=Server.Mobiles.SpawnObject; kind=Spawner; HasSerialConstructor=False; BaseCallStatus=MissingBaseSerialize; VersionHandling=NoVersionFound; FieldAlignment=CountMismatch:Writes=20;Reads=0; direct source review=Source-reviewed helper serializer: Serialize L15710-L15741 pairs with static Deserialize(GenericReader, XmlSpawner) L15744-L15784 for type/max/subgroup/timing/spawned entity refs; not an Item/Mobile world-load serializer.</t>
  </si>
  <si>
    <t>POST-BATCH-W disposition of historical POST-BATCH-J NeedsMigrationPlan row; previous review row PBJ-0167; review class HelperSerializerReviewedNoChange.</t>
  </si>
  <si>
    <t>RB-00373</t>
  </si>
  <si>
    <t>P10-F00373</t>
  </si>
  <si>
    <t>PBW-0015</t>
  </si>
  <si>
    <t>Current source file exists at Data/Scripts/Custom/XMLSpawner/XmlSpawner2.cs; prior POST-BATCH-J row=PBJ-0168; register evidence=Serialize:L15662; class=Server.Mobiles.SpawnObject; kind=Spawner; HasSerialConstructor=False; BaseCallStatus=MissingBaseSerialize; VersionHandling=NoVersionFound; FieldAlignment=CountMismatch:Writes=20;Reads=0; direct source review=Source-reviewed helper serializer: Serialize L15710-L15741 pairs with static Deserialize(GenericReader, XmlSpawner) L15744-L15784 for type/max/subgroup/timing/spawned entity refs; not an Item/Mobile world-load serializer.</t>
  </si>
  <si>
    <t>POST-BATCH-W disposition of historical POST-BATCH-J NeedsMigrationPlan row; previous review row PBJ-0168; review class HelperSerializerReviewedNoChange.</t>
  </si>
  <si>
    <t>RB-00376</t>
  </si>
  <si>
    <t>P10-F00376</t>
  </si>
  <si>
    <t>PBJ-0169</t>
  </si>
  <si>
    <t>Current source file exists at Data/Scripts/Items/Armor/BaseArmor.cs; match=ExactFileClass; serializer evidence=Serialize:L1318;Deserialize:L1432;VersionWrite:L1322;VersionRead:L1436; class=Unknown; kind=Item; HasSerialConstructor=False; BaseCallStatus=BaseCallsFirst; VersionHandling=SwitchGotoCase; FieldAlignment=CountMismatch:Writes=21;Reads=46; MoveRenameRisk=NamespaceOrTypeRenameDanger; ReviewStatus=NeedsSourceReview; ReviewReasons=Serial constructor not detected.; CountMismatch:Writes=21;Reads=46</t>
  </si>
  <si>
    <t>Historical path=Data/Scripts/Items/Armor/BaseArmor.cs; backlog risk category=MissingSerialConstructor; write count=22; read count=47. POST-BATCH-J is triage only; no serialized layout edit is approved by this row.</t>
  </si>
  <si>
    <t>RB-00378</t>
  </si>
  <si>
    <t>P10-F00378</t>
  </si>
  <si>
    <t>Data/Scripts/Items/Armor/Leather/FemaleLeafChest.cs</t>
  </si>
  <si>
    <t>PBJ-0170</t>
  </si>
  <si>
    <t>Current source file exists at Data/Scripts/Items/Armor/Leather/FemaleLeafChest.cs; match=ExactFileClass; serializer evidence=Serialize:L82;Deserialize:L89;SerialCtor:L79; class=Server.Items.FemaleLeafChest; kind=Item; HasSerialConstructor=True; BaseCallStatus=BaseCallsFirst; VersionHandling=NoVersionFound; FieldAlignment=AlignedByCountAndKnownTypes; MoveRenameRisk=NamespaceOrTypeRenameDanger; ReviewStatus=NeedsSourceReview; ReviewReasons=NoVersionFound</t>
  </si>
  <si>
    <t>Historical path=Data/Scripts/Items/Armor/Leather/FemaleLeafChest.cs; backlog risk category=VersionHandling; write count=1; read count=1. POST-BATCH-J is triage only; no serialized layout edit is approved by this row.</t>
  </si>
  <si>
    <t>RB-00381</t>
  </si>
  <si>
    <t>P10-F00381</t>
  </si>
  <si>
    <t>Data/Scripts/Items/Armor/Leather/OniwabanGloves.cs</t>
  </si>
  <si>
    <t>PBJ-0171</t>
  </si>
  <si>
    <t>Current source file exists at Data/Scripts/Items/Armor/Leather/OniwabanGloves.cs; match=ExactFileClass; serializer evidence=Serialize:L17;Deserialize:L23;SerialCtor:L14;VersionWrite:L20;VersionRead:L26; class=Server.Items.OniwabanGloves;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</si>
  <si>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path=Data/Scripts/Items/Armor/Leather/OniwabanGloves.cs; backlog risk category=VersionHandling; write count=1; read count=1. POST-BATCH-J is triage only; no serialized layout edit is approved by this row.</t>
  </si>
  <si>
    <t>RB-00382</t>
  </si>
  <si>
    <t>P10-F00382</t>
  </si>
  <si>
    <t>Data/Scripts/Items/Armor/Royal/RoyalBoots.cs</t>
  </si>
  <si>
    <t>PBJ-0172</t>
  </si>
  <si>
    <t>Current source file exists at Data/Scripts/Items/Armor/Royal/RoyalBoots.cs; match=ExactFileClass; serializer evidence=Serialize:L20;Deserialize:L26;SerialCtor:L17;VersionWrite:L23;VersionRead:L29; class=Server.Items.RoyalBoots; kind=Item; HasSerialConstructor=True; BaseCallStatus=BaseCallsFirst; VersionHandling=SuspiciousOrder; FieldAlignment=AlignedByCountAndKnownTypes; MoveRenameRisk=NamespaceOrTypeRenameDanger; ReviewStatus=NeedsSourceReview; ReviewReasons=SuspiciousOrder</t>
  </si>
  <si>
    <t>Historical path=Data/Scripts/Items/Armor/Royal/RoyalBoots.cs; backlog risk category=VersionHandling; write count=1; read count=1. POST-BATCH-J is triage only; no serialized layout edit is approved by this row.</t>
  </si>
  <si>
    <t>RB-00383</t>
  </si>
  <si>
    <t>P10-F00383</t>
  </si>
  <si>
    <t>Data/Scripts/Items/Armor/Shields/BaseShield.cs</t>
  </si>
  <si>
    <t>PBJ-0173</t>
  </si>
  <si>
    <t>Current source file exists at Data/Scripts/Items/Armor/Shields/BaseShield.cs; match=ExactFileClass; serializer evidence=Serialize:L21;Deserialize:L27;SerialCtor:L18;VersionWrite:L24;VersionRead:L30; class=Server.Items.BaseShield; kind=Item; HasSerialConstructor=True; BaseCallStatus=BaseCallsFirst; VersionHandling=SuspiciousOrder; FieldAlignment=AlignedByCountAndKnownTypes; MoveRenameRisk=NamespaceOrTypeRenameDanger; ReviewStatus=NeedsSourceReview; ReviewReasons=SuspiciousOrder</t>
  </si>
  <si>
    <t>Historical path=Data/Scripts/Items/Armor/Shields/BaseShield.cs; backlog risk category=VersionHandling; write count=1; read count=1. POST-BATCH-J is triage only; no serialized layout edit is approved by this row.</t>
  </si>
  <si>
    <t>RB-00385</t>
  </si>
  <si>
    <t>P10-F00385</t>
  </si>
  <si>
    <t>PBU-0004</t>
  </si>
  <si>
    <t>Closed migration gate as scanner ambiguity false positive after direct source review; no source migration is needed.</t>
  </si>
  <si>
    <t>POST-BATCH-N lane=POST-BATCH-N-SAVE-MIGRATION-PLAN; FileProofStatus=CurrentPathConfirmed; Class=Server.Items.BoatBuild; Serialize=L182; Reader=DeserializeMethod:L192; RegisterBase=BaseCallsFirst; RegisterVersion=SuspiciousOrder; RegisterAlignment=CountMatchNeedsTypeReview:UnknownWrites=3; Writes=4; Reads=4; WriteEvidence=L185:Write((int)1); // version) | L187:Write(HaveWood)) | L188:Write(HaveCloth)) | L189:Write(HaveIngots)); ReadEvidence=L195:ReadInt | L197:ReadInt | L198:ReadInt | L199:ReadInt; POST-BATCH-U direct source review=ScannerAmbiguityFalsePositive</t>
  </si>
  <si>
    <t>RB-00386</t>
  </si>
  <si>
    <t>P10-F00386</t>
  </si>
  <si>
    <t>PBU-0005</t>
  </si>
  <si>
    <t>POST-BATCH-N lane=POST-BATCH-N-SAVE-MIGRATION-PLAN; FileProofStatus=CurrentPathConfirmed; Class=Server.Items.CarpetBuild; Serialize=L257; Reader=DeserializeMethod:L266; RegisterBase=BaseCallsFirst; RegisterVersion=SuspiciousOrder; RegisterAlignment=CountMatchNeedsTypeReview:UnknownWrites=2; Writes=3; Reads=3; WriteEvidence=L260:Write((int)1); // version) | L262:Write(HaveGold)) | L263:Write(HaveCloth)); ReadEvidence=L269:ReadInt | L271:ReadInt | L272:ReadInt; POST-BATCH-U direct source review=ScannerAmbiguityFalsePositive</t>
  </si>
  <si>
    <t>RB-00387</t>
  </si>
  <si>
    <t>P10-F00387</t>
  </si>
  <si>
    <t>Data/Scripts/Items/Boats/Vessels.cs</t>
  </si>
  <si>
    <t>PBJ-0176</t>
  </si>
  <si>
    <t>Current source file exists at Data/Scripts/Items/Boats/Vessels.cs; match=ExactFileClass; serializer evidence=Serialize:L213;Deserialize:L219;SerialCtor:L210;VersionWrite:L216;VersionRead:L222; class=Server.Items.ShipEW; kind=Item; HasSerialConstructor=True; BaseCallStatus=BaseCallsFirst; VersionHandling=SuspiciousOrder; FieldAlignment=AlignedByCountAndKnownTypes; MoveRenameRisk=NamespaceOrTypeRenameDanger; ReviewStatus=NeedsSourceReview; ReviewReasons=SuspiciousOrder</t>
  </si>
  <si>
    <t>Historical path=Data/Scripts/Items/Boats/Vessels.cs; backlog risk category=VersionHandling; write count=1; read count=1. POST-BATCH-J is triage only; no serialized layout edit is approved by this row.</t>
  </si>
  <si>
    <t>RB-00388</t>
  </si>
  <si>
    <t>P10-F00388</t>
  </si>
  <si>
    <t>PBJ-0177</t>
  </si>
  <si>
    <t>Current source file exists at Data/Scripts/Items/Boats/Vessels.cs; match=ExactFileClass; serializer evidence=Serialize:L145;Deserialize:L151;SerialCtor:L142;VersionWrite:L148;VersionRead:L154; class=Server.Items.ShipNS; kind=Item; HasSerialConstructor=True; BaseCallStatus=BaseCallsFirst; VersionHandling=SuspiciousOrder; FieldAlignment=AlignedByCountAndKnownTypes; MoveRenameRisk=NamespaceOrTypeRenameDanger; ReviewStatus=NeedsSourceReview; ReviewReasons=SuspiciousOrder</t>
  </si>
  <si>
    <t>RB-00389</t>
  </si>
  <si>
    <t>P10-F00389</t>
  </si>
  <si>
    <t>PBJ-0178</t>
  </si>
  <si>
    <t>Current source file exists at Data/Scripts/Items/Boats/Vessels.cs; match=ExactFileClass; serializer evidence=Serialize:L77;Deserialize:L83;SerialCtor:L74;VersionWrite:L80;VersionRead:L86; class=Server.Items.VesselsEW; kind=Item; HasSerialConstructor=True; BaseCallStatus=BaseCallsFirst; VersionHandling=SuspiciousOrder; FieldAlignment=AlignedByCountAndKnownTypes; MoveRenameRisk=NamespaceOrTypeRenameDanger; ReviewStatus=NeedsSourceReview; ReviewReasons=SuspiciousOrder</t>
  </si>
  <si>
    <t>RB-00390</t>
  </si>
  <si>
    <t>P10-F00390</t>
  </si>
  <si>
    <t>PBJ-0179</t>
  </si>
  <si>
    <t>Current source file exists at Data/Scripts/Items/Boats/Vessels.cs; match=ExactFileClass; serializer evidence=Serialize:L35;Deserialize:L41;SerialCtor:L32;VersionWrite:L38;VersionRead:L44; class=Server.Items.VesselsNS; kind=Item; HasSerialConstructor=True; BaseCallStatus=BaseCallsFirst; VersionHandling=SuspiciousOrder; FieldAlignment=AlignedByCountAndKnownTypes; MoveRenameRisk=NamespaceOrTypeRenameDanger; ReviewStatus=NeedsSourceReview; ReviewReasons=SuspiciousOrder</t>
  </si>
  <si>
    <t>RB-00391</t>
  </si>
  <si>
    <t>P10-F00391</t>
  </si>
  <si>
    <t>PBJ-0180</t>
  </si>
  <si>
    <t>Current source file exists at Data/Scripts/Items/Boats/Vessels.cs; match=ExactFileClass; serializer evidence=Serialize:L267;Deserialize:L273;SerialCtor:L264;VersionWrite:L270;VersionRead:L276; class=Server.Items.WreckEW; kind=Item; HasSerialConstructor=True; BaseCallStatus=BaseCallsFirst; VersionHandling=SuspiciousOrder; FieldAlignment=AlignedByCountAndKnownTypes; MoveRenameRisk=NamespaceOrTypeRenameDanger; ReviewStatus=NeedsSourceReview; ReviewReasons=SuspiciousOrder</t>
  </si>
  <si>
    <t>RB-00392</t>
  </si>
  <si>
    <t>P10-F00392</t>
  </si>
  <si>
    <t>PBJ-0181</t>
  </si>
  <si>
    <t>Current source file exists at Data/Scripts/Items/Boats/Vessels.cs; match=ExactFileClass; serializer evidence=Serialize:L240;Deserialize:L246;SerialCtor:L237;VersionWrite:L243;VersionRead:L249; class=Server.Items.WreckNS; kind=Item; HasSerialConstructor=True; BaseCallStatus=BaseCallsFirst; VersionHandling=SuspiciousOrder; FieldAlignment=AlignedByCountAndKnownTypes; MoveRenameRisk=NamespaceOrTypeRenameDanger; ReviewStatus=NeedsSourceReview; ReviewReasons=SuspiciousOrder</t>
  </si>
  <si>
    <t>RB-00394</t>
  </si>
  <si>
    <t>P10-F00394</t>
  </si>
  <si>
    <t>PBW-0016</t>
  </si>
  <si>
    <t>Current source file exists at Data/Scripts/Items/Books/BaseBook.cs; prior POST-BATCH-J row=PBJ-0182; register evidence=Serialize:L43; class=Server.Items.BookPageInfo; kind=Item; HasSerialConstructor=False; BaseCallStatus=MissingBaseSerialize; VersionHandling=NoVersionFound; FieldAlignment=CountMismatch:Writes=2;Reads=0; direct source review=Source-reviewed helper serializer: GenericReader constructor L33-L40 reads length and strings; Serialize L43-L48 writes length and strings; no Serial constructor/base calls required.</t>
  </si>
  <si>
    <t>POST-BATCH-W disposition of historical POST-BATCH-J NeedsMigrationPlan row; previous review row PBJ-0182; review class HelperSerializerReviewedNoChange.</t>
  </si>
  <si>
    <t>RB-00395</t>
  </si>
  <si>
    <t>P10-F00395</t>
  </si>
  <si>
    <t>PBW-0017</t>
  </si>
  <si>
    <t>Current source file exists at Data/Scripts/Items/Books/BaseBook.cs; prior POST-BATCH-J row=PBJ-0183; register evidence=Serialize:L43; class=Server.Items.BookPageInfo; kind=Item; HasSerialConstructor=False; BaseCallStatus=MissingBaseSerialize; VersionHandling=NoVersionFound; FieldAlignment=CountMismatch:Writes=2;Reads=0; direct source review=Source-reviewed helper serializer: GenericReader constructor L33-L40 reads length and strings; Serialize L43-L48 writes length and strings; no Serial constructor/base calls required.</t>
  </si>
  <si>
    <t>POST-BATCH-W disposition of historical POST-BATCH-J NeedsMigrationPlan row; previous review row PBJ-0183; review class HelperSerializerReviewedNoChange.</t>
  </si>
  <si>
    <t>RB-00397</t>
  </si>
  <si>
    <t>P10-F00397</t>
  </si>
  <si>
    <t>PBW-0018</t>
  </si>
  <si>
    <t>Current source file exists at Data/Scripts/Items/Books/BaseBook.cs; prior POST-BATCH-J row=PBJ-0184; register evidence=Serialize:L43; class=Server.Items.BookPageInfo; kind=Item; HasSerialConstructor=False; BaseCallStatus=MissingBaseSerialize; VersionHandling=NoVersionFound; FieldAlignment=CountMismatch:Writes=2;Reads=0; direct source review=Source-reviewed helper serializer: GenericReader constructor L33-L40 reads length and strings; Serialize L43-L48 writes length and strings; no Serial constructor/base calls required.</t>
  </si>
  <si>
    <t>POST-BATCH-W disposition of historical POST-BATCH-J NeedsMigrationPlan row; previous review row PBJ-0184; review class HelperSerializerReviewedNoChange.</t>
  </si>
  <si>
    <t>RB-00399</t>
  </si>
  <si>
    <t>P10-F00399</t>
  </si>
  <si>
    <t>Data/Scripts/Items/Books/DynamicBook.cs</t>
  </si>
  <si>
    <t>PBJ-0185</t>
  </si>
  <si>
    <t>Current source file exists at Data/Scripts/Items/Books/DynamicBook.cs; match=ExactFileClass; serializer evidence=Serialize:L1523;Deserialize:L1529;SerialCtor:L1520; class=Server.Items.AlchemicalElixirs;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</si>
  <si>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path=Data/Scripts/Items/Books/DynamicBook.cs; backlog risk category=VersionHandling; write count=1; read count=1. POST-BATCH-J is triage only; no serialized layout edit is approved by this row.</t>
  </si>
  <si>
    <t>RB-00400</t>
  </si>
  <si>
    <t>P10-F00400</t>
  </si>
  <si>
    <t>PBJ-0186</t>
  </si>
  <si>
    <t>Current source file exists at Data/Scripts/Items/Books/DynamicBook.cs; match=ExactFileClass; serializer evidence=Serialize:L1563;Deserialize:L1569;SerialCtor:L1560; class=Server.Items.AlchemicalMixtures; kind=Item; HasSerialConstructor=True; BaseCallStatus=BaseCallsFirst; VersionHandling=NoVersionFound; FieldAlignment=AlignedByCountAndKnownTypes; MoveRenameRisk=UnknownUntilSaveTest; ReviewStatus=NeedsSourceReview; ReviewReasons=NoVersionFound; UnknownUntilSaveTest</t>
  </si>
  <si>
    <t>RB-00401</t>
  </si>
  <si>
    <t>P10-F00401</t>
  </si>
  <si>
    <t>PBJ-0187</t>
  </si>
  <si>
    <t>Current source file exists at Data/Scripts/Items/Books/DynamicBook.cs; match=ExactFileClass; serializer evidence=Serialize:L1017;Deserialize:L1023;SerialCtor:L1014; class=Server.Items.BookBottleCity; kind=Item; HasSerialConstructor=True; BaseCallStatus=BaseCallsFirst; VersionHandling=NoVersionFound; FieldAlignment=AlignedByCountAndKnownTypes; MoveRenameRisk=UnknownUntilSaveTest; ReviewStatus=NeedsSourceReview; ReviewReasons=NoVersionFound; UnknownUntilSaveTest</t>
  </si>
  <si>
    <t>RB-00402</t>
  </si>
  <si>
    <t>P10-F00402</t>
  </si>
  <si>
    <t>PBJ-0188</t>
  </si>
  <si>
    <t>Current source file exists at Data/Scripts/Items/Books/DynamicBook.cs; match=ExactFileClass; serializer evidence=Serialize:L977;Deserialize:L984;SerialCtor:L974; class=Server.Items.BookGuideToAdventure;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</si>
  <si>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path=Data/Scripts/Items/Books/DynamicBook.cs; backlog risk category=VersionHandling; write count=2; read count=2. POST-BATCH-J is triage only; no serialized layout edit is approved by this row.</t>
  </si>
  <si>
    <t>RB-00403</t>
  </si>
  <si>
    <t>P10-F00403</t>
  </si>
  <si>
    <t>PBJ-0189</t>
  </si>
  <si>
    <t>Current source file exists at Data/Scripts/Items/Books/DynamicBook.cs; match=ExactFileClass; serializer evidence=Serialize:L1071;Deserialize:L1077;SerialCtor:L1068; class=Server.Items.BookofDeadClue; kind=Item; HasSerialConstructor=True; BaseCallStatus=BaseCallsFirst; VersionHandling=NoVersionFound; FieldAlignment=AlignedByCountAndKnownTypes; MoveRenameRisk=UnknownUntilSaveTest; ReviewStatus=NeedsSourceReview; ReviewReasons=NoVersionFound; UnknownUntilSaveTest</t>
  </si>
  <si>
    <t>RB-00404</t>
  </si>
  <si>
    <t>P10-F00404</t>
  </si>
  <si>
    <t>PBJ-0190</t>
  </si>
  <si>
    <t>Current source file exists at Data/Scripts/Items/Books/DynamicBook.cs; match=ExactFileClass; serializer evidence=Serialize:L1603;Deserialize:L1609;SerialCtor:L1600; class=Server.Items.BookOfPoisons; kind=Item; HasSerialConstructor=True; BaseCallStatus=BaseCallsFirst; VersionHandling=NoVersionFound; FieldAlignment=AlignedByCountAndKnownTypes; MoveRenameRisk=UnknownUntilSaveTest; ReviewStatus=NeedsSourceReview; ReviewReasons=NoVersionFound; UnknownUntilSaveTest</t>
  </si>
  <si>
    <t>RB-00405</t>
  </si>
  <si>
    <t>P10-F00405</t>
  </si>
  <si>
    <t>PBJ-0191</t>
  </si>
  <si>
    <t>Current source file exists at Data/Scripts/Items/Books/DynamicBook.cs; match=ExactFileClass; serializer evidence=Serialize:L888;Deserialize:L894;SerialCtor:L885; class=Server.Items.CBookDruidicHerbalism; kind=Item; HasSerialConstructor=True; BaseCallStatus=BaseCallsFirst; VersionHandling=NoVersionFound; FieldAlignment=AlignedByCountAndKnownTypes; MoveRenameRisk=UnknownUntilSaveTest; ReviewStatus=NeedsSourceReview; ReviewReasons=NoVersionFound; UnknownUntilSaveTest</t>
  </si>
  <si>
    <t>RB-00406</t>
  </si>
  <si>
    <t>P10-F00406</t>
  </si>
  <si>
    <t>PBJ-0192</t>
  </si>
  <si>
    <t>Current source file exists at Data/Scripts/Items/Books/DynamicBook.cs; match=ExactFileClass; serializer evidence=Serialize:L1151;Deserialize:L1157;SerialCtor:L1148; class=Server.Items.CBookElvesandOrks; kind=Item; HasSerialConstructor=True; BaseCallStatus=BaseCallsFirst; VersionHandling=NoVersionFound; FieldAlignment=AlignedByCountAndKnownTypes; MoveRenameRisk=UnknownUntilSaveTest; ReviewStatus=NeedsSourceReview; ReviewReasons=NoVersionFound; UnknownUntilSaveTest</t>
  </si>
  <si>
    <t>RB-00407</t>
  </si>
  <si>
    <t>P10-F00407</t>
  </si>
  <si>
    <t>PBJ-0193</t>
  </si>
  <si>
    <t>Current source file exists at Data/Scripts/Items/Books/DynamicBook.cs; match=ExactFileClass; serializer evidence=Serialize:L847;Deserialize:L853;SerialCtor:L844; class=Server.Items.CBookNecroticAlchemy; kind=Item; HasSerialConstructor=True; BaseCallStatus=BaseCallsFirst; VersionHandling=NoVersionFound; FieldAlignment=AlignedByCountAndKnownTypes; MoveRenameRisk=UnknownUntilSaveTest; ReviewStatus=NeedsSourceReview; ReviewReasons=NoVersionFound; UnknownUntilSaveTest</t>
  </si>
  <si>
    <t>RB-00408</t>
  </si>
  <si>
    <t>P10-F00408</t>
  </si>
  <si>
    <t>PBJ-0194</t>
  </si>
  <si>
    <t>Current source file exists at Data/Scripts/Items/Books/DynamicBook.cs; match=ExactFileClass; serializer evidence=Serialize:L1327;Deserialize:L1333;SerialCtor:L1324; class=Server.Items.CBookTheLostTribeofSosaria; kind=Item; HasSerialConstructor=True; BaseCallStatus=BaseCallsFirst; VersionHandling=NoVersionFound; FieldAlignment=AlignedByCountAndKnownTypes; MoveRenameRisk=UnknownUntilSaveTest; ReviewStatus=NeedsSourceReview; ReviewReasons=NoVersionFound; UnknownUntilSaveTest</t>
  </si>
  <si>
    <t>RB-00409</t>
  </si>
  <si>
    <t>P10-F00409</t>
  </si>
  <si>
    <t>PBJ-0195</t>
  </si>
  <si>
    <t>Current source file exists at Data/Scripts/Items/Books/DynamicBook.cs; match=ExactFileClass; serializer evidence=Serialize:L1111;Deserialize:L1117;SerialCtor:L1108; class=Server.Items.CBookTombofDurmas; kind=Item; HasSerialConstructor=True; BaseCallStatus=BaseCallsFirst; VersionHandling=NoVersionFound; FieldAlignment=AlignedByCountAndKnownTypes; MoveRenameRisk=UnknownUntilSaveTest; ReviewStatus=NeedsSourceReview; ReviewReasons=NoVersionFound; UnknownUntilSaveTest</t>
  </si>
  <si>
    <t>RB-00410</t>
  </si>
  <si>
    <t>P10-F00410</t>
  </si>
  <si>
    <t>PBJ-0196</t>
  </si>
  <si>
    <t>Current source file exists at Data/Scripts/Items/Books/DynamicBook.cs; match=ExactFileClass; serializer evidence=Serialize:L1247;Deserialize:L1253;SerialCtor:L1244; class=Server.Items.FamiliarClue; kind=Item; HasSerialConstructor=True; BaseCallStatus=BaseCallsFirst; VersionHandling=NoVersionFound; FieldAlignment=AlignedByCountAndKnownTypes; MoveRenameRisk=UnknownUntilSaveTest; ReviewStatus=NeedsSourceReview; ReviewReasons=NoVersionFound; UnknownUntilSaveTest</t>
  </si>
  <si>
    <t>RB-00411</t>
  </si>
  <si>
    <t>P10-F00411</t>
  </si>
  <si>
    <t>PBJ-0197</t>
  </si>
  <si>
    <t>Current source file exists at Data/Scripts/Items/Books/DynamicBook.cs; match=ExactFileClass; serializer evidence=Serialize:L1483;Deserialize:L1489;SerialCtor:L1480; class=Server.Items.GoldenRangers; kind=Item; HasSerialConstructor=True; BaseCallStatus=BaseCallsFirst; VersionHandling=NoVersionFound; FieldAlignment=AlignedByCountAndKnownTypes; MoveRenameRisk=UnknownUntilSaveTest; ReviewStatus=NeedsSourceReview; ReviewReasons=NoVersionFound; UnknownUntilSaveTest</t>
  </si>
  <si>
    <t>RB-00412</t>
  </si>
  <si>
    <t>P10-F00412</t>
  </si>
  <si>
    <t>PBJ-0198</t>
  </si>
  <si>
    <t>Current source file exists at Data/Scripts/Items/Books/DynamicBook.cs; match=ExactFileClass; serializer evidence=Serialize:L1683;Deserialize:L1689;SerialCtor:L1680; class=Server.Items.GreyJournal; kind=Item; HasSerialConstructor=True; BaseCallStatus=BaseCallsFirst; VersionHandling=NoVersionFound; FieldAlignment=AlignedByCountAndKnownTypes; MoveRenameRisk=UnknownUntilSaveTest; ReviewStatus=NeedsSourceReview; ReviewReasons=NoVersionFound; UnknownUntilSaveTest</t>
  </si>
  <si>
    <t>RB-00413</t>
  </si>
  <si>
    <t>P10-F00413</t>
  </si>
  <si>
    <t>PBJ-0199</t>
  </si>
  <si>
    <t>Current source file exists at Data/Scripts/Items/Books/DynamicBook.cs; match=ExactFileClass; serializer evidence=Serialize:L1443;Deserialize:L1449;SerialCtor:L1440; class=Server.Items.LearnTitles; kind=Item; HasSerialConstructor=True; BaseCallStatus=BaseCallsFirst; VersionHandling=NoVersionFound; FieldAlignment=AlignedByCountAndKnownTypes; MoveRenameRisk=UnknownUntilSaveTest; ReviewStatus=NeedsSourceReview; ReviewReasons=NoVersionFound; UnknownUntilSaveTest</t>
  </si>
  <si>
    <t>RB-00414</t>
  </si>
  <si>
    <t>P10-F00414</t>
  </si>
  <si>
    <t>PBJ-0200</t>
  </si>
  <si>
    <t>Current source file exists at Data/Scripts/Items/Books/DynamicBook.cs; match=ExactFileClass; serializer evidence=Serialize:L1405;Deserialize:L1411;SerialCtor:L1402; class=Server.Items.LearnTraps; kind=Item; HasSerialConstructor=True; BaseCallStatus=BaseCallsFirst; VersionHandling=NoVersionFound; FieldAlignment=AlignedByCountAndKnownTypes; MoveRenameRisk=UnknownUntilSaveTest; ReviewStatus=NeedsSourceReview; ReviewReasons=NoVersionFound; UnknownUntilSaveTest</t>
  </si>
  <si>
    <t>RB-00415</t>
  </si>
  <si>
    <t>P10-F00415</t>
  </si>
  <si>
    <t>PBJ-0201</t>
  </si>
  <si>
    <t>Current source file exists at Data/Scripts/Items/Books/DynamicBook.cs; match=ExactFileClass; serializer evidence=Serialize:L1367;Deserialize:L1373;SerialCtor:L1364; class=Server.Items.LillyBook; kind=Item; HasSerialConstructor=True; BaseCallStatus=BaseCallsFirst; VersionHandling=NoVersionFound; FieldAlignment=AlignedByCountAndKnownTypes; MoveRenameRisk=UnknownUntilSaveTest; ReviewStatus=NeedsSourceReview; ReviewReasons=NoVersionFound; UnknownUntilSaveTest</t>
  </si>
  <si>
    <t>RB-00416</t>
  </si>
  <si>
    <t>P10-F00416</t>
  </si>
  <si>
    <t>PBJ-0202</t>
  </si>
  <si>
    <t>Current source file exists at Data/Scripts/Items/Books/DynamicBook.cs; match=ExactFileClass; serializer evidence=Serialize:L1287;Deserialize:L1293;SerialCtor:L1284; class=Server.Items.LodorBook; kind=Item; HasSerialConstructor=True; BaseCallStatus=BaseCallsFirst; VersionHandling=NoVersionFound; FieldAlignment=AlignedByCountAndKnownTypes; MoveRenameRisk=UnknownUntilSaveTest; ReviewStatus=NeedsSourceReview; ReviewReasons=NoVersionFound; UnknownUntilSaveTest</t>
  </si>
  <si>
    <t>RB-00417</t>
  </si>
  <si>
    <t>P10-F00417</t>
  </si>
  <si>
    <t>PBJ-0203</t>
  </si>
  <si>
    <t>Current source file exists at Data/Scripts/Items/Books/DynamicBook.cs; match=ExactFileClass; serializer evidence=Serialize:L929;Deserialize:L935;SerialCtor:L926; class=Server.Items.LoreGuidetoAdventure; kind=Item; HasSerialConstructor=True; BaseCallStatus=BaseCallsFirst; VersionHandling=NoVersionFound; FieldAlignment=AlignedByCountAndKnownTypes; MoveRenameRisk=UnknownUntilSaveTest; ReviewStatus=NeedsSourceReview; ReviewReasons=NoVersionFound; UnknownUntilSaveTest</t>
  </si>
  <si>
    <t>RB-00418</t>
  </si>
  <si>
    <t>P10-F00418</t>
  </si>
  <si>
    <t>PBJ-0204</t>
  </si>
  <si>
    <t>Current source file exists at Data/Scripts/Items/Books/DynamicBook.cs; match=ExactFileClass; serializer evidence=Serialize:L1199;Deserialize:L1205;SerialCtor:L1196; class=Server.Items.MagestykcClueBook; kind=Item; HasSerialConstructor=True; BaseCallStatus=BaseCallsFirst; VersionHandling=NoVersionFound; FieldAlignment=AlignedByCountAndKnownTypes; MoveRenameRisk=UnknownUntilSaveTest; ReviewStatus=NeedsSourceReview; ReviewReasons=NoVersionFound; UnknownUntilSaveTest</t>
  </si>
  <si>
    <t>RB-00419</t>
  </si>
  <si>
    <t>P10-F00419</t>
  </si>
  <si>
    <t>PBJ-0205</t>
  </si>
  <si>
    <t>Current source file exists at Data/Scripts/Items/Books/DynamicBook.cs; match=ExactFileClass; serializer evidence=Serialize:L1723;Deserialize:L1729;SerialCtor:L1720; class=Server.Items.RuneJournal; kind=Item; HasSerialConstructor=True; BaseCallStatus=BaseCallsFirst; VersionHandling=NoVersionFound; FieldAlignment=AlignedByCountAndKnownTypes; MoveRenameRisk=UnknownUntilSaveTest; ReviewStatus=NeedsSourceReview; ReviewReasons=NoVersionFound; UnknownUntilSaveTest</t>
  </si>
  <si>
    <t>RB-00420</t>
  </si>
  <si>
    <t>P10-F00420</t>
  </si>
  <si>
    <t>PBJ-0206</t>
  </si>
  <si>
    <t>Current source file exists at Data/Scripts/Items/Books/DynamicBook.cs; match=ExactFileClass; serializer evidence=Serialize:L793;Deserialize:L799;SerialCtor:L790; class=Server.Items.TendrinsJournal; kind=Item; HasSerialConstructor=True; BaseCallStatus=BaseCallsFirst; VersionHandling=NoVersionFound; FieldAlignment=AlignedByCountAndKnownTypes; MoveRenameRisk=UnknownUntilSaveTest; ReviewStatus=NeedsSourceReview; ReviewReasons=NoVersionFound; UnknownUntilSaveTest</t>
  </si>
  <si>
    <t>RB-00421</t>
  </si>
  <si>
    <t>P10-F00421</t>
  </si>
  <si>
    <t>PBJ-0207</t>
  </si>
  <si>
    <t>Current source file exists at Data/Scripts/Items/Books/DynamicBook.cs; match=ExactFileClass; serializer evidence=Serialize:L1643;Deserialize:L1649;SerialCtor:L1640; class=Server.Items.WorkShoppes; kind=Item; HasSerialConstructor=True; BaseCallStatus=BaseCallsFirst; VersionHandling=NoVersionFound; FieldAlignment=AlignedByCountAndKnownTypes; MoveRenameRisk=UnknownUntilSaveTest; ReviewStatus=NeedsSourceReview; ReviewReasons=NoVersionFound; UnknownUntilSaveTest</t>
  </si>
  <si>
    <t>RB-00422</t>
  </si>
  <si>
    <t>P10-F00422</t>
  </si>
  <si>
    <t>Data/Scripts/Items/Books/LoreBook.cs</t>
  </si>
  <si>
    <t>PBJ-0208</t>
  </si>
  <si>
    <t>Current source file exists at Data/Scripts/Items/Books/LoreBook.cs; match=ExactFileClass; serializer evidence=Serialize:L294;Deserialize:L300;SerialCtor:L291; class=Server.Items.LoreBook; kind=Item; HasSerialConstructor=True; BaseCallStatus=BaseCallsFirst; VersionHandling=NoVersionFound; FieldAlignment=AlignedByCountAndKnownTypes; MoveRenameRisk=NamespaceOrTypeRenameDanger; ReviewStatus=NeedsSourceReview; ReviewReasons=NoVersionFound</t>
  </si>
  <si>
    <t>Historical path=Data/Scripts/Items/Books/LoreBook.cs; backlog risk category=VersionHandling; write count=1; read count=1. POST-BATCH-J is triage only; no serialized layout edit is approved by this row.</t>
  </si>
  <si>
    <t>RB-00423</t>
  </si>
  <si>
    <t>P10-F00423</t>
  </si>
  <si>
    <t>PBU-0006</t>
  </si>
  <si>
    <t>POST-BATCH-N lane=POST-BATCH-N-SAVE-MIGRATION-PLAN; FileProofStatus=CurrentPathConfirmed; Class=Server.Items.MerchantsBook; Serialize=L1695; Reader=DeserializeMethod:L1707; RegisterBase=BaseCallsFirst; RegisterVersion=SuspiciousOrder; RegisterAlignment=CountMatchNeedsTypeReview:UnknownWrites=5; Writes=7; Reads=7; WriteEvidence=L1698:Write((int)1); // version) | L1699:Write(AmountSold)) | L1700:Write(BookTitle)) | L1701:Write(MaterialType)) | L1702:Write(MaterialSpecific)) | L1703:Write(MarkUp)) | L1704:WriteEncodedInt((int)m_Resource)); ReadEvidence=L1710:ReadInt | L1711:ReadInt | L1712:ReadString | L1713:ReadString | L1714:ReadString | L1715:ReadDouble | L1716:ReadEncodedInt; POST-BATCH-U direct source review=ScannerAmbiguityFalsePositive</t>
  </si>
  <si>
    <t>RB-00424</t>
  </si>
  <si>
    <t>P10-F00424</t>
  </si>
  <si>
    <t>PBJ-0210</t>
  </si>
  <si>
    <t>Current source file exists at Data/Scripts/Items/Books/PowerScrolls/PowerScroll.cs; match=ExactFileClass; serializer evidence=Serialize:L370;Deserialize:L376;SerialCtor:L146;VersionWrite:L373; class=Server.Items.PowerScroll; kind=Item;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</si>
  <si>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path=Data/Scripts/Items/Books/PowerScrolls/PowerScroll.cs; backlog risk category=VersionHandling; write count=1; read count=1. POST-BATCH-J is triage only; no serialized layout edit is approved by this row.</t>
  </si>
  <si>
    <t>RB-00426</t>
  </si>
  <si>
    <t>P10-F00426</t>
  </si>
  <si>
    <t>Data/Scripts/Items/Books/SwordsAndShackles.cs</t>
  </si>
  <si>
    <t>PBJ-0211</t>
  </si>
  <si>
    <t>Current source file exists at Data/Scripts/Items/Books/SwordsAndShackles.cs; match=ExactFileClass; serializer evidence=Serialize:L37;Deserialize:L43;SerialCtor:L34;VersionWrite:L40;VersionRead:L46; class=Server.Items.SwordsAndShackles; kind=Item; HasSerialConstructor=True; BaseCallStatus=BaseCallsFirst; VersionHandling=SuspiciousOrder; FieldAlignment=AlignedByCountAndKnownTypes; MoveRenameRisk=NamespaceOrTypeRenameDanger; ReviewStatus=NeedsSourceReview; ReviewReasons=SuspiciousOrder</t>
  </si>
  <si>
    <t>Historical path=Data/Scripts/Items/Books/SwordsAndShackles.cs; backlog risk category=VersionHandling; write count=1; read count=1. POST-BATCH-J is triage only; no serialized layout edit is approved by this row.</t>
  </si>
  <si>
    <t>RB-00427</t>
  </si>
  <si>
    <t>P10-F00427</t>
  </si>
  <si>
    <t>PBJ-0212</t>
  </si>
  <si>
    <t>Current source file exists at Data/Scripts/Items/Clothing/BaseClothing.cs; match=ExactFileClass; serializer evidence=Serialize:L1009;Deserialize:L1062;VersionWrite:L1013;VersionRead:L1066; class=Unknown; kind=Item; HasSerialConstructor=False; BaseCallStatus=BaseCallsFirst; VersionHandling=SwitchGotoCase; FieldAlignment=CountMismatch:Writes=7;Reads=11; MoveRenameRisk=NamespaceOrTypeRenameDanger; ReviewStatus=NeedsSourceReview; ReviewReasons=Serial constructor not detected.; CountMismatch:Writes=7;Reads=11</t>
  </si>
  <si>
    <t>Historical path=Data/Scripts/Items/Clothing/BaseClothing.cs; backlog risk category=MissingSerialConstructor; write count=8; read count=12. POST-BATCH-J is triage only; no serialized layout edit is approved by this row.</t>
  </si>
  <si>
    <t>RB-00432</t>
  </si>
  <si>
    <t>P10-F00432</t>
  </si>
  <si>
    <t>PBJ-0213</t>
  </si>
  <si>
    <t>Current source file exists at Data/Scripts/Items/Clothing/Shoes.cs; match=ExactFileClass; serializer evidence=Serialize:L507;Deserialize:L514;SerialCtor:L499; class=Server.Items.ElvenBoots; kind=Item; HasSerialConstructor=True; BaseCallStatus=BaseCallsFirst; VersionHandling=NoVersionFound; FieldAlignment=AlignedByCountAndKnownTypes; MoveRenameRisk=NamespaceOrTypeRenameDanger; ReviewStatus=NeedsSourceReview; ReviewReasons=NoVersionFound</t>
  </si>
  <si>
    <t>Historical path=Data/Scripts/Items/Clothing/Shoes.cs; backlog risk category=VersionHandling; write count=1; read count=1. POST-BATCH-J is triage only; no serialized layout edit is approved by this row.</t>
  </si>
  <si>
    <t>RB-00433</t>
  </si>
  <si>
    <t>P10-F00433</t>
  </si>
  <si>
    <t>PBJ-0214</t>
  </si>
  <si>
    <t>Current source file exists at Data/Scripts/Items/Clothing/Shoes.cs; match=ExactFileClass; serializer evidence=Serialize:L549;Deserialize:L556;SerialCtor:L541; class=Server.Items.JesterShoes; kind=Item; HasSerialConstructor=True; BaseCallStatus=BaseCallsFirst; VersionHandling=NoVersionFound; FieldAlignment=AlignedByCountAndKnownTypes; MoveRenameRisk=NamespaceOrTypeRenameDanger; ReviewStatus=NeedsSourceReview; ReviewReasons=NoVersionFound</t>
  </si>
  <si>
    <t>RB-00435</t>
  </si>
  <si>
    <t>P10-F00435</t>
  </si>
  <si>
    <t>Items:Construction</t>
  </si>
  <si>
    <t>Data/Scripts/Items/Construction/Addons/AlchemistTableEastAddon.cs</t>
  </si>
  <si>
    <t>PBJ-0215</t>
  </si>
  <si>
    <t>Current source file exists at Data/Scripts/Items/Construction/Addons/AlchemistTableEastAddon.cs; match=ExactFileClass; serializer evidence=Serialize:L27;Deserialize:L34;SerialCtor:L24; class=Server.Items.AlchemistTableEastAddon;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</si>
  <si>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path=Data/Scripts/Items/Construction/Addons/AlchemistTableEastAddon.cs; backlog risk category=VersionHandling; write count=1; read count=1. POST-BATCH-J is triage only; no serialized layout edit is approved by this row.</t>
  </si>
  <si>
    <t>RB-00436</t>
  </si>
  <si>
    <t>P10-F00436</t>
  </si>
  <si>
    <t>PBJ-0216</t>
  </si>
  <si>
    <t>Current source file exists at Data/Scripts/Items/Construction/Addons/AlchemistTableEastAddon.cs; match=ExactFileClass; serializer evidence=Serialize:L59;Deserialize:L66;SerialCtor:L56; class=Server.Items.AlchemistTableEastDeed; kind=Deed; HasSerialConstructor=True; BaseCallStatus=BaseCallsFirst; VersionHandling=NoVersionFound; FieldAlignment=AlignedByCountAndKnownTypes; MoveRenameRisk=NamespaceOrTypeRenameDanger; ReviewStatus=NeedsSourceReview; ReviewReasons=NoVersionFound</t>
  </si>
  <si>
    <t>RB-00437</t>
  </si>
  <si>
    <t>P10-F00437</t>
  </si>
  <si>
    <t>Data/Scripts/Items/Construction/Addons/AlchemistTableSouthAddon.cs</t>
  </si>
  <si>
    <t>PBJ-0217</t>
  </si>
  <si>
    <t>Current source file exists at Data/Scripts/Items/Construction/Addons/AlchemistTableSouthAddon.cs; match=ExactFileClass; serializer evidence=Serialize:L27;Deserialize:L34;SerialCtor:L24; class=Server.Items.AlchemistTableSouthAddon;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</si>
  <si>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path=Data/Scripts/Items/Construction/Addons/AlchemistTableSouthAddon.cs; backlog risk category=VersionHandling; write count=1; read count=1. POST-BATCH-J is triage only; no serialized layout edit is approved by this row.</t>
  </si>
  <si>
    <t>RB-00438</t>
  </si>
  <si>
    <t>P10-F00438</t>
  </si>
  <si>
    <t>PBJ-0218</t>
  </si>
  <si>
    <t>Current source file exists at Data/Scripts/Items/Construction/Addons/AlchemistTableSouthAddon.cs; match=ExactFileClass; serializer evidence=Serialize:L59;Deserialize:L66;SerialCtor:L56; class=Server.Items.AlchemistTableSouthDeed; kind=Deed; HasSerialConstructor=True; BaseCallStatus=BaseCallsFirst; VersionHandling=NoVersionFound; FieldAlignment=AlignedByCountAndKnownTypes; MoveRenameRisk=NamespaceOrTypeRenameDanger; ReviewStatus=NeedsSourceReview; ReviewReasons=NoVersionFound</t>
  </si>
  <si>
    <t>RB-00439</t>
  </si>
  <si>
    <t>P10-F00439</t>
  </si>
  <si>
    <t>Data/Scripts/Items/Construction/Addons/ArcaneBookshelfEastAddon.cs</t>
  </si>
  <si>
    <t>PBJ-0219</t>
  </si>
  <si>
    <t>Current source file exists at Data/Scripts/Items/Construction/Addons/ArcaneBookshelfEastAddon.cs; match=ExactFileClass; serializer evidence=Serialize:L28;Deserialize:L35;SerialCtor:L25; class=Server.Items.ArcaneBookshelfEastAddon;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</si>
  <si>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path=Data/Scripts/Items/Construction/Addons/ArcaneBookshelfEastAddon.cs; backlog risk category=VersionHandling; write count=1; read count=1. POST-BATCH-J is triage only; no serialized layout edit is approved by this row.</t>
  </si>
  <si>
    <t>RB-00440</t>
  </si>
  <si>
    <t>P10-F00440</t>
  </si>
  <si>
    <t>PBJ-0220</t>
  </si>
  <si>
    <t>Current source file exists at Data/Scripts/Items/Construction/Addons/ArcaneBookshelfEastAddon.cs; match=ExactFileClass; serializer evidence=Serialize:L60;Deserialize:L67;SerialCtor:L57; class=Server.Items.ArcaneBookshelfEastDeed; kind=Deed; HasSerialConstructor=True; BaseCallStatus=BaseCallsFirst; VersionHandling=NoVersionFound; FieldAlignment=AlignedByCountAndKnownTypes; MoveRenameRisk=NamespaceOrTypeRenameDanger; ReviewStatus=NeedsSourceReview; ReviewReasons=NoVersionFound</t>
  </si>
  <si>
    <t>RB-00441</t>
  </si>
  <si>
    <t>P10-F00441</t>
  </si>
  <si>
    <t>Data/Scripts/Items/Construction/Addons/ArcaneBookshelfSouthAddon.cs</t>
  </si>
  <si>
    <t>PBJ-0221</t>
  </si>
  <si>
    <t>Current source file exists at Data/Scripts/Items/Construction/Addons/ArcaneBookshelfSouthAddon.cs; match=ExactFileClass; serializer evidence=Serialize:L28;Deserialize:L35;SerialCtor:L25; class=Server.Items.ArcaneBookshelfSouthAddon;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</si>
  <si>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path=Data/Scripts/Items/Construction/Addons/ArcaneBookshelfSouthAddon.cs; backlog risk category=VersionHandling; write count=1; read count=1. POST-BATCH-J is triage only; no serialized layout edit is approved by this row.</t>
  </si>
  <si>
    <t>RB-00442</t>
  </si>
  <si>
    <t>P10-F00442</t>
  </si>
  <si>
    <t>PBJ-0222</t>
  </si>
  <si>
    <t>Current source file exists at Data/Scripts/Items/Construction/Addons/ArcaneBookshelfSouthAddon.cs; match=ExactFileClass; serializer evidence=Serialize:L60;Deserialize:L67;SerialCtor:L57; class=Server.Items.ArcaneBookshelfSouthDeed; kind=Deed; HasSerialConstructor=True; BaseCallStatus=BaseCallsFirst; VersionHandling=NoVersionFound; FieldAlignment=AlignedByCountAndKnownTypes; MoveRenameRisk=NamespaceOrTypeRenameDanger; ReviewStatus=NeedsSourceReview; ReviewReasons=NoVersionFound</t>
  </si>
  <si>
    <t>RB-00443</t>
  </si>
  <si>
    <t>P10-F00443</t>
  </si>
  <si>
    <t>Data/Scripts/Items/Construction/Addons/ArcaneCircleAddon.cs</t>
  </si>
  <si>
    <t>PBJ-0223</t>
  </si>
  <si>
    <t>Current source file exists at Data/Scripts/Items/Construction/Addons/ArcaneCircleAddon.cs; match=ExactFileClass; serializer evidence=Serialize:L35;Deserialize:L42;SerialCtor:L32; class=Server.Items.ArcaneCircleAddon;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</si>
  <si>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path=Data/Scripts/Items/Construction/Addons/ArcaneCircleAddon.cs; backlog risk category=VersionHandling; write count=1; read count=1. POST-BATCH-J is triage only; no serialized layout edit is approved by this row.</t>
  </si>
  <si>
    <t>RB-00444</t>
  </si>
  <si>
    <t>P10-F00444</t>
  </si>
  <si>
    <t>PBJ-0224</t>
  </si>
  <si>
    <t>Current source file exists at Data/Scripts/Items/Construction/Addons/ArcaneCircleAddon.cs; match=ExactFileClass; serializer evidence=Serialize:L67;Deserialize:L74;SerialCtor:L64; class=Server.Items.ArcaneCircleDeed; kind=Deed; HasSerialConstructor=True; BaseCallStatus=BaseCallsFirst; VersionHandling=NoVersionFound; FieldAlignment=AlignedByCountAndKnownTypes; MoveRenameRisk=NamespaceOrTypeRenameDanger; ReviewStatus=NeedsSourceReview; ReviewReasons=NoVersionFound</t>
  </si>
  <si>
    <t>RB-00445</t>
  </si>
  <si>
    <t>P10-F00445</t>
  </si>
  <si>
    <t>Data/Scripts/Items/Construction/Addons/ArcanistStatueEastAddon.cs</t>
  </si>
  <si>
    <t>PBJ-0225</t>
  </si>
  <si>
    <t>Current source file exists at Data/Scripts/Items/Construction/Addons/ArcanistStatueEastAddon.cs; match=ExactFileClass; serializer evidence=Serialize:L22;Deserialize:L29;SerialCtor:L19; class=Server.Items.ArcanistStatueEastAddon;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</si>
  <si>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path=Data/Scripts/Items/Construction/Addons/ArcanistStatueEastAddon.cs; backlog risk category=VersionHandling; write count=1; read count=1. POST-BATCH-J is triage only; no serialized layout edit is approved by this row.</t>
  </si>
  <si>
    <t>RB-00446</t>
  </si>
  <si>
    <t>P10-F00446</t>
  </si>
  <si>
    <t>PBJ-0226</t>
  </si>
  <si>
    <t>Current source file exists at Data/Scripts/Items/Construction/Addons/ArcanistStatueEastAddon.cs; match=ExactFileClass; serializer evidence=Serialize:L54;Deserialize:L61;SerialCtor:L51; class=Server.Items.ArcanistStatueEastDeed; kind=Deed; HasSerialConstructor=True; BaseCallStatus=BaseCallsFirst; VersionHandling=NoVersionFound; FieldAlignment=AlignedByCountAndKnownTypes; MoveRenameRisk=NamespaceOrTypeRenameDanger; ReviewStatus=NeedsSourceReview; ReviewReasons=NoVersionFound</t>
  </si>
  <si>
    <t>RB-00447</t>
  </si>
  <si>
    <t>P10-F00447</t>
  </si>
  <si>
    <t>Data/Scripts/Items/Construction/Addons/ArcanistStatueSouthAddon.cs</t>
  </si>
  <si>
    <t>PBJ-0227</t>
  </si>
  <si>
    <t>Current source file exists at Data/Scripts/Items/Construction/Addons/ArcanistStatueSouthAddon.cs; match=ExactFileClass; serializer evidence=Serialize:L22;Deserialize:L29;SerialCtor:L19; class=Server.Items.ArcanistStatueSouthAddon;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</si>
  <si>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path=Data/Scripts/Items/Construction/Addons/ArcanistStatueSouthAddon.cs; backlog risk category=VersionHandling; write count=1; read count=1. POST-BATCH-J is triage only; no serialized layout edit is approved by this row.</t>
  </si>
  <si>
    <t>RB-00448</t>
  </si>
  <si>
    <t>P10-F00448</t>
  </si>
  <si>
    <t>PBJ-0228</t>
  </si>
  <si>
    <t>Current source file exists at Data/Scripts/Items/Construction/Addons/ArcanistStatueSouthAddon.cs; match=ExactFileClass; serializer evidence=Serialize:L54;Deserialize:L61;SerialCtor:L51; class=Server.Items.ArcanistStatueSouthDeed; kind=Deed; HasSerialConstructor=True; BaseCallStatus=BaseCallsFirst; VersionHandling=NoVersionFound; FieldAlignment=AlignedByCountAndKnownTypes; MoveRenameRisk=NamespaceOrTypeRenameDanger; ReviewStatus=NeedsSourceReview; ReviewReasons=NoVersionFound</t>
  </si>
  <si>
    <t>RB-00449</t>
  </si>
  <si>
    <t>P10-F00449</t>
  </si>
  <si>
    <t>Data/Scripts/Items/Construction/Addons/BallotBox.cs</t>
  </si>
  <si>
    <t>PBU-0007</t>
  </si>
  <si>
    <t>POST-BATCH-N lane=POST-BATCH-N-SAVE-MIGRATION-PLAN; FileProofStatus=CurrentPathConfirmed; Class=Server.Items.BallotBox; Serialize=L308; Reader=DeserializeMethod:L323; RegisterBase=BaseCallsFirst; RegisterVersion=NoVersionFound; RegisterAlignment=CountMatchNeedsTypeReview:UnknownWrites=2; Writes=5; Reads=5; WriteEvidence=L312:WriteEncodedInt(0); // version) | L314:WriteEncodedInt(m_Topic.Length)) | L317:Write((string)m_Topic[i])) | L319:Write(m_Yes, true)) | L320:Write(m_No, true)); ReadEvidence=L327:ReadEncodedInt | L329:ReadEncodedInt | L332:ReadString | L334:ReadStrongMobileList | L335:ReadStrongMobileList; POST-BATCH-U direct source review=ScannerAmbiguityFalsePositive</t>
  </si>
  <si>
    <t>RB-00450</t>
  </si>
  <si>
    <t>P10-F00450</t>
  </si>
  <si>
    <t>PBJ-0230</t>
  </si>
  <si>
    <t>Current source file exists at Data/Scripts/Items/Construction/Addons/BallotBox.cs; match=ExactFileClass; serializer evidence=Serialize:L354;Deserialize:L361;SerialCtor:L351; class=Server.Items.BallotBoxAddon;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</si>
  <si>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path=Data/Scripts/Items/Construction/Addons/BallotBox.cs; backlog risk category=VersionHandling; write count=1; read count=1. POST-BATCH-J is triage only; no serialized layout edit is approved by this row.</t>
  </si>
  <si>
    <t>RB-00451</t>
  </si>
  <si>
    <t>P10-F00451</t>
  </si>
  <si>
    <t>PBJ-0231</t>
  </si>
  <si>
    <t>Current source file exists at Data/Scripts/Items/Construction/Addons/BallotBox.cs; match=ExactFileClass; serializer evidence=Serialize:L387;Deserialize:L394;SerialCtor:L384; class=Server.Items.BallotBoxDeed; kind=Deed; HasSerialConstructor=True; BaseCallStatus=BaseCallsFirst; VersionHandling=NoVersionFound; FieldAlignment=AlignedByCountAndKnownTypes; MoveRenameRisk=NamespaceOrTypeRenameDanger; ReviewStatus=NeedsSourceReview; ReviewReasons=NoVersionFound</t>
  </si>
  <si>
    <t>RB-00452</t>
  </si>
  <si>
    <t>P10-F00452</t>
  </si>
  <si>
    <t>Data/Scripts/Items/Construction/Addons/DartBoard.cs</t>
  </si>
  <si>
    <t>PBJ-0232</t>
  </si>
  <si>
    <t>Current source file exists at Data/Scripts/Items/Construction/Addons/DartBoard.cs; match=ExactFileClass; serializer evidence=Serialize:L100;Deserialize:L107;SerialCtor:L31; class=Server.Items.DartBoard;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</si>
  <si>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path=Data/Scripts/Items/Construction/Addons/DartBoard.cs; backlog risk category=VersionHandling; write count=1; read count=1. POST-BATCH-J is triage only; no serialized layout edit is approved by this row.</t>
  </si>
  <si>
    <t>RB-00453</t>
  </si>
  <si>
    <t>P10-F00453</t>
  </si>
  <si>
    <t>PBJ-0233</t>
  </si>
  <si>
    <t>Current source file exists at Data/Scripts/Items/Construction/Addons/DartBoard.cs; match=ExactFileClass; serializer evidence=Serialize:L130;Deserialize:L137;SerialCtor:L127; class=Server.Items.DartBoardEastAddon; kind=Addon; HasSerialConstructor=True; BaseCallStatus=BaseCallsFirst; VersionHandling=NoVersionFound; FieldAlignment=AlignedByCountAndKnownTypes; MoveRenameRisk=NamespaceOrTypeRenameDanger; ReviewStatus=NeedsSourceReview; ReviewReasons=NoVersionFound</t>
  </si>
  <si>
    <t>RB-00454</t>
  </si>
  <si>
    <t>P10-F00454</t>
  </si>
  <si>
    <t>PBJ-0234</t>
  </si>
  <si>
    <t>Current source file exists at Data/Scripts/Items/Construction/Addons/DartBoard.cs; match=ExactFileClass; serializer evidence=Serialize:L163;Deserialize:L170;SerialCtor:L160; class=Server.Items.DartBoardEastDeed; kind=Deed; HasSerialConstructor=True; BaseCallStatus=BaseCallsFirst; VersionHandling=NoVersionFound; FieldAlignment=AlignedByCountAndKnownTypes; MoveRenameRisk=NamespaceOrTypeRenameDanger; ReviewStatus=NeedsSourceReview; ReviewReasons=NoVersionFound</t>
  </si>
  <si>
    <t>RB-00455</t>
  </si>
  <si>
    <t>P10-F00455</t>
  </si>
  <si>
    <t>PBJ-0235</t>
  </si>
  <si>
    <t>Current source file exists at Data/Scripts/Items/Construction/Addons/DartBoard.cs; match=ExactFileClass; serializer evidence=Serialize:L193;Deserialize:L200;SerialCtor:L190; class=Server.Items.DartBoardSouthAddon; kind=Addon; HasSerialConstructor=True; BaseCallStatus=BaseCallsFirst; VersionHandling=NoVersionFound; FieldAlignment=AlignedByCountAndKnownTypes; MoveRenameRisk=NamespaceOrTypeRenameDanger; ReviewStatus=NeedsSourceReview; ReviewReasons=NoVersionFound</t>
  </si>
  <si>
    <t>RB-00456</t>
  </si>
  <si>
    <t>P10-F00456</t>
  </si>
  <si>
    <t>PBJ-0236</t>
  </si>
  <si>
    <t>Current source file exists at Data/Scripts/Items/Construction/Addons/DartBoard.cs; match=ExactFileClass; serializer evidence=Serialize:L226;Deserialize:L233;SerialCtor:L223; class=Server.Items.DartBoardSouthDeed; kind=Deed; HasSerialConstructor=True; BaseCallStatus=BaseCallsFirst; VersionHandling=NoVersionFound; FieldAlignment=AlignedByCountAndKnownTypes; MoveRenameRisk=NamespaceOrTypeRenameDanger; ReviewStatus=NeedsSourceReview; ReviewReasons=NoVersionFound</t>
  </si>
  <si>
    <t>RB-00457</t>
  </si>
  <si>
    <t>P10-F00457</t>
  </si>
  <si>
    <t>Data/Scripts/Items/Construction/Addons/ElvenBedEastAddon.cs</t>
  </si>
  <si>
    <t>PBJ-0237</t>
  </si>
  <si>
    <t>Current source file exists at Data/Scripts/Items/Construction/Addons/ElvenBedEastAddon.cs; match=ExactFileClass; serializer evidence=Serialize:L23;Deserialize:L30;SerialCtor:L20; class=Server.Items.ElvenBedEastAddon;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</si>
  <si>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path=Data/Scripts/Items/Construction/Addons/ElvenBedEastAddon.cs; backlog risk category=VersionHandling; write count=1; read count=1. POST-BATCH-J is triage only; no serialized layout edit is approved by this row.</t>
  </si>
  <si>
    <t>RB-00458</t>
  </si>
  <si>
    <t>P10-F00458</t>
  </si>
  <si>
    <t>PBJ-0238</t>
  </si>
  <si>
    <t>Current source file exists at Data/Scripts/Items/Construction/Addons/ElvenBedEastAddon.cs; match=ExactFileClass; serializer evidence=Serialize:L55;Deserialize:L62;SerialCtor:L52; class=Server.Items.ElvenBedEastDeed; kind=Deed; HasSerialConstructor=True; BaseCallStatus=BaseCallsFirst; VersionHandling=NoVersionFound; FieldAlignment=AlignedByCountAndKnownTypes; MoveRenameRisk=NamespaceOrTypeRenameDanger; ReviewStatus=NeedsSourceReview; ReviewReasons=NoVersionFound</t>
  </si>
  <si>
    <t>RB-00459</t>
  </si>
  <si>
    <t>P10-F00459</t>
  </si>
  <si>
    <t>Data/Scripts/Items/Construction/Addons/ElvenBedSouthAddon.cs</t>
  </si>
  <si>
    <t>PBJ-0239</t>
  </si>
  <si>
    <t>Current source file exists at Data/Scripts/Items/Construction/Addons/ElvenBedSouthAddon.cs; match=ExactFileClass; serializer evidence=Serialize:L23;Deserialize:L30;SerialCtor:L20; class=Server.Items.ElvenBedSouthAddon;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</si>
  <si>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path=Data/Scripts/Items/Construction/Addons/ElvenBedSouthAddon.cs; backlog risk category=VersionHandling; write count=1; read count=1. POST-BATCH-J is triage only; no serialized layout edit is approved by this row.</t>
  </si>
  <si>
    <t>RB-00460</t>
  </si>
  <si>
    <t>P10-F00460</t>
  </si>
  <si>
    <t>PBJ-0240</t>
  </si>
  <si>
    <t>Current source file exists at Data/Scripts/Items/Construction/Addons/ElvenBedSouthAddon.cs; match=ExactFileClass; serializer evidence=Serialize:L55;Deserialize:L62;SerialCtor:L52; class=Server.Items.ElvenBedSouthDeed; kind=Deed; HasSerialConstructor=True; BaseCallStatus=BaseCallsFirst; VersionHandling=NoVersionFound; FieldAlignment=AlignedByCountAndKnownTypes; MoveRenameRisk=NamespaceOrTypeRenameDanger; ReviewStatus=NeedsSourceReview; ReviewReasons=NoVersionFound</t>
  </si>
  <si>
    <t>RB-00461</t>
  </si>
  <si>
    <t>P10-F00461</t>
  </si>
  <si>
    <t>Data/Scripts/Items/Construction/Addons/ElvenDresserEastAddon.cs</t>
  </si>
  <si>
    <t>PBJ-0241</t>
  </si>
  <si>
    <t>Current source file exists at Data/Scripts/Items/Construction/Addons/ElvenDresserEastAddon.cs; match=ExactFileClass; serializer evidence=Serialize:L23;Deserialize:L30;SerialCtor:L20; class=Server.Items.ElvenDresserEastAddon;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</si>
  <si>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path=Data/Scripts/Items/Construction/Addons/ElvenDresserEastAddon.cs; backlog risk category=VersionHandling; write count=1; read count=1. POST-BATCH-J is triage only; no serialized layout edit is approved by this row.</t>
  </si>
  <si>
    <t>RB-00462</t>
  </si>
  <si>
    <t>P10-F00462</t>
  </si>
  <si>
    <t>PBJ-0242</t>
  </si>
  <si>
    <t>Current source file exists at Data/Scripts/Items/Construction/Addons/ElvenDresserEastAddon.cs; match=ExactFileClass; serializer evidence=Serialize:L55;Deserialize:L62;SerialCtor:L52; class=Server.Items.ElvenDresserEastDeed; kind=Deed; HasSerialConstructor=True; BaseCallStatus=BaseCallsFirst; VersionHandling=NoVersionFound; FieldAlignment=AlignedByCountAndKnownTypes; MoveRenameRisk=NamespaceOrTypeRenameDanger; ReviewStatus=NeedsSourceReview; ReviewReasons=NoVersionFound</t>
  </si>
  <si>
    <t>RB-00463</t>
  </si>
  <si>
    <t>P10-F00463</t>
  </si>
  <si>
    <t>Data/Scripts/Items/Construction/Addons/ElvenDresserSouthAddon.cs</t>
  </si>
  <si>
    <t>PBJ-0243</t>
  </si>
  <si>
    <t>Current source file exists at Data/Scripts/Items/Construction/Addons/ElvenDresserSouthAddon.cs; match=ExactFileClass; serializer evidence=Serialize:L23;Deserialize:L30;SerialCtor:L20; class=Server.Items.ElvenDresserSouthAddon;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</si>
  <si>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path=Data/Scripts/Items/Construction/Addons/ElvenDresserSouthAddon.cs; backlog risk category=VersionHandling; write count=1; read count=1. POST-BATCH-J is triage only; no serialized layout edit is approved by this row.</t>
  </si>
  <si>
    <t>RB-00464</t>
  </si>
  <si>
    <t>P10-F00464</t>
  </si>
  <si>
    <t>PBJ-0244</t>
  </si>
  <si>
    <t>Current source file exists at Data/Scripts/Items/Construction/Addons/ElvenDresserSouthAddon.cs; match=ExactFileClass; serializer evidence=Serialize:L55;Deserialize:L62;SerialCtor:L52; class=Server.Items.ElvenDresserSouthDeed; kind=Deed; HasSerialConstructor=True; BaseCallStatus=BaseCallsFirst; VersionHandling=NoVersionFound; FieldAlignment=AlignedByCountAndKnownTypes; MoveRenameRisk=NamespaceOrTypeRenameDanger; ReviewStatus=NeedsSourceReview; ReviewReasons=NoVersionFound</t>
  </si>
  <si>
    <t>RB-00465</t>
  </si>
  <si>
    <t>P10-F00465</t>
  </si>
  <si>
    <t>Data/Scripts/Items/Construction/Addons/ElvenForgeAddon.cs</t>
  </si>
  <si>
    <t>PBJ-0245</t>
  </si>
  <si>
    <t>Current source file exists at Data/Scripts/Items/Construction/Addons/ElvenForgeAddon.cs; match=ExactFileClass; serializer evidence=Serialize:L22;Deserialize:L29;SerialCtor:L19; class=Server.Items.ElvenForgeAddon;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</si>
  <si>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path=Data/Scripts/Items/Construction/Addons/ElvenForgeAddon.cs; backlog risk category=VersionHandling; write count=1; read count=1. POST-BATCH-J is triage only; no serialized layout edit is approved by this row.</t>
  </si>
  <si>
    <t>RB-00466</t>
  </si>
  <si>
    <t>P10-F00466</t>
  </si>
  <si>
    <t>PBJ-0246</t>
  </si>
  <si>
    <t>Current source file exists at Data/Scripts/Items/Construction/Addons/ElvenForgeAddon.cs; match=ExactFileClass; serializer evidence=Serialize:L54;Deserialize:L61;SerialCtor:L51; class=Server.Items.ElvenForgeDeed; kind=Deed; HasSerialConstructor=True; BaseCallStatus=BaseCallsFirst; VersionHandling=NoVersionFound; FieldAlignment=AlignedByCountAndKnownTypes; MoveRenameRisk=NamespaceOrTypeRenameDanger; ReviewStatus=NeedsSourceReview; ReviewReasons=NoVersionFound</t>
  </si>
  <si>
    <t>RB-00467</t>
  </si>
  <si>
    <t>P10-F00467</t>
  </si>
  <si>
    <t>Data/Scripts/Items/Construction/Addons/ElvenLoveseatEastAddon.cs</t>
  </si>
  <si>
    <t>PBJ-0247</t>
  </si>
  <si>
    <t>Current source file exists at Data/Scripts/Items/Construction/Addons/ElvenLoveseatEastAddon.cs; match=ExactFileClass; serializer evidence=Serialize:L23;Deserialize:L30;SerialCtor:L20; class=Server.Items.ElvenLoveseatEastAddon;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</si>
  <si>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path=Data/Scripts/Items/Construction/Addons/ElvenLoveseatEastAddon.cs; backlog risk category=VersionHandling; write count=1; read count=1. POST-BATCH-J is triage only; no serialized layout edit is approved by this row.</t>
  </si>
  <si>
    <t>RB-00468</t>
  </si>
  <si>
    <t>P10-F00468</t>
  </si>
  <si>
    <t>PBJ-0248</t>
  </si>
  <si>
    <t>Current source file exists at Data/Scripts/Items/Construction/Addons/ElvenLoveseatEastAddon.cs; match=ExactFileClass; serializer evidence=Serialize:L55;Deserialize:L62;SerialCtor:L52; class=Server.Items.ElvenLoveseatEastDeed; kind=Deed; HasSerialConstructor=True; BaseCallStatus=BaseCallsFirst; VersionHandling=NoVersionFound; FieldAlignment=AlignedByCountAndKnownTypes; MoveRenameRisk=NamespaceOrTypeRenameDanger; ReviewStatus=NeedsSourceReview; ReviewReasons=NoVersionFound</t>
  </si>
  <si>
    <t>RB-00469</t>
  </si>
  <si>
    <t>P10-F00469</t>
  </si>
  <si>
    <t>Data/Scripts/Items/Construction/Addons/ElvenLoveseatSouthAddon.cs</t>
  </si>
  <si>
    <t>PBJ-0249</t>
  </si>
  <si>
    <t>Current source file exists at Data/Scripts/Items/Construction/Addons/ElvenLoveseatSouthAddon.cs; match=ExactFileClass; serializer evidence=Serialize:L23;Deserialize:L30;SerialCtor:L20; class=Server.Items.ElvenLoveseatSouthAddon;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</si>
  <si>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path=Data/Scripts/Items/Construction/Addons/ElvenLoveseatSouthAddon.cs; backlog risk category=VersionHandling; write count=1; read count=1. POST-BATCH-J is triage only; no serialized layout edit is approved by this row.</t>
  </si>
  <si>
    <t>RB-00470</t>
  </si>
  <si>
    <t>P10-F00470</t>
  </si>
  <si>
    <t>PBJ-0250</t>
  </si>
  <si>
    <t>Current source file exists at Data/Scripts/Items/Construction/Addons/ElvenLoveseatSouthAddon.cs; match=ExactFileClass; serializer evidence=Serialize:L55;Deserialize:L62;SerialCtor:L52; class=Server.Items.ElvenLoveseatSouthDeed; kind=Deed; HasSerialConstructor=True; BaseCallStatus=BaseCallsFirst; VersionHandling=NoVersionFound; FieldAlignment=AlignedByCountAndKnownTypes; MoveRenameRisk=NamespaceOrTypeRenameDanger; ReviewStatus=NeedsSourceReview; ReviewReasons=NoVersionFound</t>
  </si>
  <si>
    <t>RB-00471</t>
  </si>
  <si>
    <t>P10-F00471</t>
  </si>
  <si>
    <t>Data/Scripts/Items/Construction/Addons/ElvenSpinningwheelEastAddon.cs</t>
  </si>
  <si>
    <t>PBJ-0251</t>
  </si>
  <si>
    <t>Current source file exists at Data/Scripts/Items/Construction/Addons/ElvenSpinningwheelEastAddon.cs; match=ExactFileClass; serializer evidence=Serialize:L22;Deserialize:L29;SerialCtor:L19; class=Server.Items.ElvenSpinningwheelEastAddon;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</si>
  <si>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path=Data/Scripts/Items/Construction/Addons/ElvenSpinningwheelEastAddon.cs; backlog risk category=VersionHandling; write count=1; read count=1. POST-BATCH-J is triage only; no serialized layout edit is approved by this row.</t>
  </si>
  <si>
    <t>RB-00472</t>
  </si>
  <si>
    <t>P10-F00472</t>
  </si>
  <si>
    <t>PBJ-0252</t>
  </si>
  <si>
    <t>Current source file exists at Data/Scripts/Items/Construction/Addons/ElvenSpinningwheelEastAddon.cs; match=ExactFileClass; serializer evidence=Serialize:L143;Deserialize:L150;SerialCtor:L140; class=Server.Items.ElvenSpinningwheelEastDeed; kind=Deed; HasSerialConstructor=True; BaseCallStatus=BaseCallsFirst; VersionHandling=NoVersionFound; FieldAlignment=AlignedByCountAndKnownTypes; MoveRenameRisk=NamespaceOrTypeRenameDanger; ReviewStatus=NeedsSourceReview; ReviewReasons=NoVersionFound</t>
  </si>
  <si>
    <t>RB-00473</t>
  </si>
  <si>
    <t>P10-F00473</t>
  </si>
  <si>
    <t>Data/Scripts/Items/Construction/Addons/ElvenSpinningwheelSouthAddon.cs</t>
  </si>
  <si>
    <t>PBJ-0253</t>
  </si>
  <si>
    <t>Current source file exists at Data/Scripts/Items/Construction/Addons/ElvenSpinningwheelSouthAddon.cs; match=ExactFileClass; serializer evidence=Serialize:L22;Deserialize:L29;SerialCtor:L19; class=Server.Items.ElvenSpinningwheelSouthAddon;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</si>
  <si>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path=Data/Scripts/Items/Construction/Addons/ElvenSpinningwheelSouthAddon.cs; backlog risk category=VersionHandling; write count=1; read count=1. POST-BATCH-J is triage only; no serialized layout edit is approved by this row.</t>
  </si>
  <si>
    <t>RB-00474</t>
  </si>
  <si>
    <t>P10-F00474</t>
  </si>
  <si>
    <t>PBJ-0254</t>
  </si>
  <si>
    <t>Current source file exists at Data/Scripts/Items/Construction/Addons/ElvenSpinningwheelSouthAddon.cs; match=ExactFileClass; serializer evidence=Serialize:L145;Deserialize:L152;SerialCtor:L142; class=Server.Items.ElvenSpinningwheelSouthDeed; kind=Deed; HasSerialConstructor=True; BaseCallStatus=BaseCallsFirst; VersionHandling=NoVersionFound; FieldAlignment=AlignedByCountAndKnownTypes; MoveRenameRisk=NamespaceOrTypeRenameDanger; ReviewStatus=NeedsSourceReview; ReviewReasons=NoVersionFound</t>
  </si>
  <si>
    <t>RB-00475</t>
  </si>
  <si>
    <t>P10-F00475</t>
  </si>
  <si>
    <t>Data/Scripts/Items/Construction/Addons/ElvenStoveEastAddon.cs</t>
  </si>
  <si>
    <t>PBJ-0255</t>
  </si>
  <si>
    <t>Current source file exists at Data/Scripts/Items/Construction/Addons/ElvenStoveEastAddon.cs; match=ExactFileClass; serializer evidence=Serialize:L22;Deserialize:L29;SerialCtor:L19; class=Server.Items.ElvenStoveEastAddon;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</si>
  <si>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path=Data/Scripts/Items/Construction/Addons/ElvenStoveEastAddon.cs; backlog risk category=VersionHandling; write count=1; read count=1. POST-BATCH-J is triage only; no serialized layout edit is approved by this row.</t>
  </si>
  <si>
    <t>RB-00476</t>
  </si>
  <si>
    <t>P10-F00476</t>
  </si>
  <si>
    <t>PBJ-0256</t>
  </si>
  <si>
    <t>Current source file exists at Data/Scripts/Items/Construction/Addons/ElvenStoveEastAddon.cs; match=ExactFileClass; serializer evidence=Serialize:L54;Deserialize:L61;SerialCtor:L51; class=Server.Items.ElvenStoveEastDeed; kind=Deed; HasSerialConstructor=True; BaseCallStatus=BaseCallsFirst; VersionHandling=NoVersionFound; FieldAlignment=AlignedByCountAndKnownTypes; MoveRenameRisk=NamespaceOrTypeRenameDanger; ReviewStatus=NeedsSourceReview; ReviewReasons=NoVersionFound</t>
  </si>
  <si>
    <t>RB-00477</t>
  </si>
  <si>
    <t>P10-F00477</t>
  </si>
  <si>
    <t>Data/Scripts/Items/Construction/Addons/ElvenStoveSouthAddon.cs</t>
  </si>
  <si>
    <t>PBJ-0257</t>
  </si>
  <si>
    <t>Current source file exists at Data/Scripts/Items/Construction/Addons/ElvenStoveSouthAddon.cs; match=ExactFileClass; serializer evidence=Serialize:L22;Deserialize:L29;SerialCtor:L19; class=Server.Items.ElvenStoveSouthAddon;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</si>
  <si>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path=Data/Scripts/Items/Construction/Addons/ElvenStoveSouthAddon.cs; backlog risk category=VersionHandling; write count=1; read count=1. POST-BATCH-J is triage only; no serialized layout edit is approved by this row.</t>
  </si>
  <si>
    <t>RB-00478</t>
  </si>
  <si>
    <t>P10-F00478</t>
  </si>
  <si>
    <t>PBJ-0258</t>
  </si>
  <si>
    <t>Current source file exists at Data/Scripts/Items/Construction/Addons/ElvenStoveSouthAddon.cs; match=ExactFileClass; serializer evidence=Serialize:L54;Deserialize:L61;SerialCtor:L51; class=Server.Items.ElvenStoveSouthDeed; kind=Deed; HasSerialConstructor=True; BaseCallStatus=BaseCallsFirst; VersionHandling=NoVersionFound; FieldAlignment=AlignedByCountAndKnownTypes; MoveRenameRisk=NamespaceOrTypeRenameDanger; ReviewStatus=NeedsSourceReview; ReviewReasons=NoVersionFound</t>
  </si>
  <si>
    <t>RB-00479</t>
  </si>
  <si>
    <t>P10-F00479</t>
  </si>
  <si>
    <t>Data/Scripts/Items/Construction/Addons/ElvenWashbasinEastAddon.cs</t>
  </si>
  <si>
    <t>PBJ-0259</t>
  </si>
  <si>
    <t>Current source file exists at Data/Scripts/Items/Construction/Addons/ElvenWashbasinEastAddon.cs; match=ExactFileClass; serializer evidence=Serialize:L23;Deserialize:L30;SerialCtor:L20; class=Server.Items.ElvenWashBasinEastAddon;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</si>
  <si>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path=Data/Scripts/Items/Construction/Addons/ElvenWashbasinEastAddon.cs; backlog risk category=VersionHandling; write count=1; read count=1. POST-BATCH-J is triage only; no serialized layout edit is approved by this row.</t>
  </si>
  <si>
    <t>RB-00480</t>
  </si>
  <si>
    <t>P10-F00480</t>
  </si>
  <si>
    <t>PBJ-0260</t>
  </si>
  <si>
    <t>Current source file exists at Data/Scripts/Items/Construction/Addons/ElvenWashbasinEastAddon.cs; match=ExactFileClass; serializer evidence=Serialize:L55;Deserialize:L62;SerialCtor:L52; class=Server.Items.ElvenWashBasinEastDeed; kind=Deed; HasSerialConstructor=True; BaseCallStatus=BaseCallsFirst; VersionHandling=NoVersionFound; FieldAlignment=AlignedByCountAndKnownTypes; MoveRenameRisk=NamespaceOrTypeRenameDanger; ReviewStatus=NeedsSourceReview; ReviewReasons=NoVersionFound</t>
  </si>
  <si>
    <t>RB-00481</t>
  </si>
  <si>
    <t>P10-F00481</t>
  </si>
  <si>
    <t>Data/Scripts/Items/Construction/Addons/ElvenWashbasinSouthAddon.cs</t>
  </si>
  <si>
    <t>PBJ-0261</t>
  </si>
  <si>
    <t>Current source file exists at Data/Scripts/Items/Construction/Addons/ElvenWashbasinSouthAddon.cs; match=ExactFileClass; serializer evidence=Serialize:L23;Deserialize:L30;SerialCtor:L20; class=Server.Items.ElvenWashBasinSouthAddon;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</si>
  <si>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path=Data/Scripts/Items/Construction/Addons/ElvenWashbasinSouthAddon.cs; backlog risk category=VersionHandling; write count=1; read count=1. POST-BATCH-J is triage only; no serialized layout edit is approved by this row.</t>
  </si>
  <si>
    <t>RB-00482</t>
  </si>
  <si>
    <t>P10-F00482</t>
  </si>
  <si>
    <t>PBJ-0262</t>
  </si>
  <si>
    <t>Current source file exists at Data/Scripts/Items/Construction/Addons/ElvenWashbasinSouthAddon.cs; match=ExactFileClass; serializer evidence=Serialize:L55;Deserialize:L62;SerialCtor:L52; class=Server.Items.ElvenWashBasinSouthDeed; kind=Deed; HasSerialConstructor=True; BaseCallStatus=BaseCallsFirst; VersionHandling=NoVersionFound; FieldAlignment=AlignedByCountAndKnownTypes; MoveRenameRisk=NamespaceOrTypeRenameDanger; ReviewStatus=NeedsSourceReview; ReviewReasons=NoVersionFound</t>
  </si>
  <si>
    <t>RB-00483</t>
  </si>
  <si>
    <t>P10-F00483</t>
  </si>
  <si>
    <t>Data/Scripts/Items/Construction/Addons/FancyElvenTableEastAddon.cs</t>
  </si>
  <si>
    <t>PBJ-0263</t>
  </si>
  <si>
    <t>Current source file exists at Data/Scripts/Items/Construction/Addons/FancyElvenTableEastAddon.cs; match=ExactFileClass; serializer evidence=Serialize:L24;Deserialize:L31;SerialCtor:L21; class=Server.Items.FancyElvenTableEastAddon;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</si>
  <si>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path=Data/Scripts/Items/Construction/Addons/FancyElvenTableEastAddon.cs; backlog risk category=VersionHandling; write count=1; read count=1. POST-BATCH-J is triage only; no serialized layout edit is approved by this row.</t>
  </si>
  <si>
    <t>RB-00484</t>
  </si>
  <si>
    <t>P10-F00484</t>
  </si>
  <si>
    <t>PBJ-0264</t>
  </si>
  <si>
    <t>Current source file exists at Data/Scripts/Items/Construction/Addons/FancyElvenTableEastAddon.cs; match=ExactFileClass; serializer evidence=Serialize:L56;Deserialize:L63;SerialCtor:L53; class=Server.Items.FancyElvenTableEastDeed; kind=Deed; HasSerialConstructor=True; BaseCallStatus=BaseCallsFirst; VersionHandling=NoVersionFound; FieldAlignment=AlignedByCountAndKnownTypes; MoveRenameRisk=NamespaceOrTypeRenameDanger; ReviewStatus=NeedsSourceReview; ReviewReasons=NoVersionFound</t>
  </si>
  <si>
    <t>RB-00485</t>
  </si>
  <si>
    <t>P10-F00485</t>
  </si>
  <si>
    <t>Data/Scripts/Items/Construction/Addons/FancyElvenTableSouthAddon.cs</t>
  </si>
  <si>
    <t>PBJ-0265</t>
  </si>
  <si>
    <t>Current source file exists at Data/Scripts/Items/Construction/Addons/FancyElvenTableSouthAddon.cs; match=ExactFileClass; serializer evidence=Serialize:L24;Deserialize:L31;SerialCtor:L21; class=Server.Items.FancyElvenTableSouthAddon;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</si>
  <si>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path=Data/Scripts/Items/Construction/Addons/FancyElvenTableSouthAddon.cs; backlog risk category=VersionHandling; write count=1; read count=1. POST-BATCH-J is triage only; no serialized layout edit is approved by this row.</t>
  </si>
  <si>
    <t>RB-00486</t>
  </si>
  <si>
    <t>P10-F00486</t>
  </si>
  <si>
    <t>PBJ-0266</t>
  </si>
  <si>
    <t>Current source file exists at Data/Scripts/Items/Construction/Addons/FancyElvenTableSouthAddon.cs; match=ExactFileClass; serializer evidence=Serialize:L56;Deserialize:L63;SerialCtor:L53; class=Server.Items.FancyElvenTableSouthDeed; kind=Deed; HasSerialConstructor=True; BaseCallStatus=BaseCallsFirst; VersionHandling=NoVersionFound; FieldAlignment=AlignedByCountAndKnownTypes; MoveRenameRisk=NamespaceOrTypeRenameDanger; ReviewStatus=NeedsSourceReview; ReviewReasons=NoVersionFound</t>
  </si>
  <si>
    <t>RB-00487</t>
  </si>
  <si>
    <t>P10-F00487</t>
  </si>
  <si>
    <t>Data/Scripts/Items/Construction/Addons/GiantWebs.cs</t>
  </si>
  <si>
    <t>PBJ-0267</t>
  </si>
  <si>
    <t>Current source file exists at Data/Scripts/Items/Construction/Addons/GiantWebs.cs; match=ExactFileClass; serializer evidence=Serialize:L31;Deserialize:L38;SerialCtor:L28; class=Server.Items.GiantWeb1;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</si>
  <si>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path=Data/Scripts/Items/Construction/Addons/GiantWebs.cs; backlog risk category=VersionHandling; write count=1; read count=1. POST-BATCH-J is triage only; no serialized layout edit is approved by this row.</t>
  </si>
  <si>
    <t>RB-00488</t>
  </si>
  <si>
    <t>P10-F00488</t>
  </si>
  <si>
    <t>PBJ-0268</t>
  </si>
  <si>
    <t>Current source file exists at Data/Scripts/Items/Construction/Addons/GiantWebs.cs; match=ExactFileClass; serializer evidence=Serialize:L67;Deserialize:L74;SerialCtor:L64; class=Server.Items.GiantWeb2; kind=Addon; HasSerialConstructor=True; BaseCallStatus=BaseCallsFirst; VersionHandling=NoVersionFound; FieldAlignment=AlignedByCountAndKnownTypes; MoveRenameRisk=NamespaceOrTypeRenameDanger; ReviewStatus=NeedsSourceReview; ReviewReasons=NoVersionFound</t>
  </si>
  <si>
    <t>RB-00489</t>
  </si>
  <si>
    <t>P10-F00489</t>
  </si>
  <si>
    <t>PBJ-0269</t>
  </si>
  <si>
    <t>Current source file exists at Data/Scripts/Items/Construction/Addons/GiantWebs.cs; match=ExactFileClass; serializer evidence=Serialize:L103;Deserialize:L110;SerialCtor:L100; class=Server.Items.GiantWeb3; kind=Addon; HasSerialConstructor=True; BaseCallStatus=BaseCallsFirst; VersionHandling=NoVersionFound; FieldAlignment=AlignedByCountAndKnownTypes; MoveRenameRisk=NamespaceOrTypeRenameDanger; ReviewStatus=NeedsSourceReview; ReviewReasons=NoVersionFound</t>
  </si>
  <si>
    <t>RB-00490</t>
  </si>
  <si>
    <t>P10-F00490</t>
  </si>
  <si>
    <t>PBJ-0270</t>
  </si>
  <si>
    <t>Current source file exists at Data/Scripts/Items/Construction/Addons/GiantWebs.cs; match=ExactFileClass; serializer evidence=Serialize:L139;Deserialize:L146;SerialCtor:L136; class=Server.Items.GiantWeb4; kind=Addon; HasSerialConstructor=True; BaseCallStatus=BaseCallsFirst; VersionHandling=NoVersionFound; FieldAlignment=AlignedByCountAndKnownTypes; MoveRenameRisk=NamespaceOrTypeRenameDanger; ReviewStatus=NeedsSourceReview; ReviewReasons=NoVersionFound</t>
  </si>
  <si>
    <t>RB-00491</t>
  </si>
  <si>
    <t>P10-F00491</t>
  </si>
  <si>
    <t>PBJ-0271</t>
  </si>
  <si>
    <t>Current source file exists at Data/Scripts/Items/Construction/Addons/GiantWebs.cs; match=ExactFileClass; serializer evidence=Serialize:L175;Deserialize:L182;SerialCtor:L172; class=Server.Items.GiantWeb5; kind=Addon; HasSerialConstructor=True; BaseCallStatus=BaseCallsFirst; VersionHandling=NoVersionFound; FieldAlignment=AlignedByCountAndKnownTypes; MoveRenameRisk=NamespaceOrTypeRenameDanger; ReviewStatus=NeedsSourceReview; ReviewReasons=NoVersionFound</t>
  </si>
  <si>
    <t>RB-00492</t>
  </si>
  <si>
    <t>P10-F00492</t>
  </si>
  <si>
    <t>PBJ-0272</t>
  </si>
  <si>
    <t>Current source file exists at Data/Scripts/Items/Construction/Addons/GiantWebs.cs; match=ExactFileClass; serializer evidence=Serialize:L211;Deserialize:L218;SerialCtor:L208; class=Server.Items.GiantWeb6; kind=Addon; HasSerialConstructor=True; BaseCallStatus=BaseCallsFirst; VersionHandling=NoVersionFound; FieldAlignment=AlignedByCountAndKnownTypes; MoveRenameRisk=NamespaceOrTypeRenameDanger; ReviewStatus=NeedsSourceReview; ReviewReasons=NoVersionFound</t>
  </si>
  <si>
    <t>RB-00493</t>
  </si>
  <si>
    <t>P10-F00493</t>
  </si>
  <si>
    <t>Data/Scripts/Items/Construction/Addons/JackOLantern.cs</t>
  </si>
  <si>
    <t>PBJ-0273</t>
  </si>
  <si>
    <t>Current source file exists at Data/Scripts/Items/Construction/Addons/JackOLantern.cs; match=ExactFileClass; serializer evidence=Serialize:L56;Deserialize:L63;SerialCtor:L53; class=Server.Items.JackOLantern;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</si>
  <si>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path=Data/Scripts/Items/Construction/Addons/JackOLantern.cs; backlog risk category=VersionHandling; write count=1; read count=1. POST-BATCH-J is triage only; no serialized layout edit is approved by this row.</t>
  </si>
  <si>
    <t>RB-00494</t>
  </si>
  <si>
    <t>P10-F00494</t>
  </si>
  <si>
    <t>Data/Scripts/Items/Construction/Addons/LargeStoneTableEastAddon.cs</t>
  </si>
  <si>
    <t>PBJ-0274</t>
  </si>
  <si>
    <t>Current source file exists at Data/Scripts/Items/Construction/Addons/LargeStoneTableEastAddon.cs; match=ExactFileClass; serializer evidence=Serialize:L34;Deserialize:L41;SerialCtor:L31;VersionWrite:L38;VersionRead:L45; class=Server.Items.LargeStoneTableEastAddon;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</si>
  <si>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path=Data/Scripts/Items/Construction/Addons/LargeStoneTableEastAddon.cs; backlog risk category=VersionHandling; write count=1; read count=1. POST-BATCH-J is triage only; no serialized layout edit is approved by this row.</t>
  </si>
  <si>
    <t>RB-00495</t>
  </si>
  <si>
    <t>P10-F00495</t>
  </si>
  <si>
    <t>Data/Scripts/Items/Construction/Addons/LargeStoneTableSouthAddon.cs</t>
  </si>
  <si>
    <t>PBJ-0275</t>
  </si>
  <si>
    <t>Current source file exists at Data/Scripts/Items/Construction/Addons/LargeStoneTableSouthAddon.cs; match=ExactFileClass; serializer evidence=Serialize:L34;Deserialize:L41;SerialCtor:L31;VersionWrite:L38;VersionRead:L45; class=Server.Items.LargeStoneTableSouthAddon;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</si>
  <si>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path=Data/Scripts/Items/Construction/Addons/LargeStoneTableSouthAddon.cs; backlog risk category=VersionHandling; write count=1; read count=1. POST-BATCH-J is triage only; no serialized layout edit is approved by this row.</t>
  </si>
  <si>
    <t>RB-00496</t>
  </si>
  <si>
    <t>P10-F00496</t>
  </si>
  <si>
    <t>Data/Scripts/Items/Construction/Addons/MediumStoneTableEastAddon.cs</t>
  </si>
  <si>
    <t>PBJ-0276</t>
  </si>
  <si>
    <t>Current source file exists at Data/Scripts/Items/Construction/Addons/MediumStoneTableEastAddon.cs; match=ExactFileClass; serializer evidence=Serialize:L33;Deserialize:L40;SerialCtor:L30;VersionWrite:L37;VersionRead:L44; class=Server.Items.MediumStoneTableEastAddon;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</si>
  <si>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path=Data/Scripts/Items/Construction/Addons/MediumStoneTableEastAddon.cs; backlog risk category=VersionHandling; write count=1; read count=1. POST-BATCH-J is triage only; no serialized layout edit is approved by this row.</t>
  </si>
  <si>
    <t>RB-00497</t>
  </si>
  <si>
    <t>P10-F00497</t>
  </si>
  <si>
    <t>Data/Scripts/Items/Construction/Addons/MediumStoneTableSouthAddon.cs</t>
  </si>
  <si>
    <t>PBJ-0277</t>
  </si>
  <si>
    <t>Current source file exists at Data/Scripts/Items/Construction/Addons/MediumStoneTableSouthAddon.cs; match=ExactFileClass; serializer evidence=Serialize:L33;Deserialize:L40;SerialCtor:L30;VersionWrite:L37;VersionRead:L44; class=Server.Items.MediumStoneTableSouthAddon;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</si>
  <si>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path=Data/Scripts/Items/Construction/Addons/MediumStoneTableSouthAddon.cs; backlog risk category=VersionHandling; write count=1; read count=1. POST-BATCH-J is triage only; no serialized layout edit is approved by this row.</t>
  </si>
  <si>
    <t>RB-00498</t>
  </si>
  <si>
    <t>P10-F00498</t>
  </si>
  <si>
    <t>Data/Scripts/Items/Construction/Addons/OrnateElvenTableEastAddon.cs</t>
  </si>
  <si>
    <t>PBJ-0278</t>
  </si>
  <si>
    <t>Current source file exists at Data/Scripts/Items/Construction/Addons/OrnateElvenTableEastAddon.cs; match=ExactFileClass; serializer evidence=Serialize:L24;Deserialize:L31;SerialCtor:L21; class=Server.Items.OrnateElvenTableEastAddon;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</si>
  <si>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path=Data/Scripts/Items/Construction/Addons/OrnateElvenTableEastAddon.cs; backlog risk category=VersionHandling; write count=1; read count=1. POST-BATCH-J is triage only; no serialized layout edit is approved by this row.</t>
  </si>
  <si>
    <t>RB-00499</t>
  </si>
  <si>
    <t>P10-F00499</t>
  </si>
  <si>
    <t>PBJ-0279</t>
  </si>
  <si>
    <t>Current source file exists at Data/Scripts/Items/Construction/Addons/OrnateElvenTableEastAddon.cs; match=ExactFileClass; serializer evidence=Serialize:L56;Deserialize:L63;SerialCtor:L53; class=Server.Items.OrnateElvenTableEastDeed; kind=Deed; HasSerialConstructor=True; BaseCallStatus=BaseCallsFirst; VersionHandling=NoVersionFound; FieldAlignment=AlignedByCountAndKnownTypes; MoveRenameRisk=NamespaceOrTypeRenameDanger; ReviewStatus=NeedsSourceReview; ReviewReasons=NoVersionFound</t>
  </si>
  <si>
    <t>RB-00500</t>
  </si>
  <si>
    <t>P10-F00500</t>
  </si>
  <si>
    <t>Data/Scripts/Items/Construction/Addons/OrnateElvenTableSouthAddon.cs</t>
  </si>
  <si>
    <t>PBJ-0280</t>
  </si>
  <si>
    <t>Current source file exists at Data/Scripts/Items/Construction/Addons/OrnateElvenTableSouthAddon.cs; match=ExactFileClass; serializer evidence=Serialize:L24;Deserialize:L31;SerialCtor:L21; class=Server.Items.OrnateElvenTableSouthAddon;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</si>
  <si>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path=Data/Scripts/Items/Construction/Addons/OrnateElvenTableSouthAddon.cs; backlog risk category=VersionHandling; write count=1; read count=1. POST-BATCH-J is triage only; no serialized layout edit is approved by this row.</t>
  </si>
  <si>
    <t>RB-00501</t>
  </si>
  <si>
    <t>P10-F00501</t>
  </si>
  <si>
    <t>PBJ-0281</t>
  </si>
  <si>
    <t>Current source file exists at Data/Scripts/Items/Construction/Addons/OrnateElvenTableSouthAddon.cs; match=ExactFileClass; serializer evidence=Serialize:L56;Deserialize:L63;SerialCtor:L53; class=Server.Items.OrnateElvenTableSouthDeed; kind=Deed; HasSerialConstructor=True; BaseCallStatus=BaseCallsFirst; VersionHandling=NoVersionFound; FieldAlignment=AlignedByCountAndKnownTypes; MoveRenameRisk=NamespaceOrTypeRenameDanger; ReviewStatus=NeedsSourceReview; ReviewReasons=NoVersionFound</t>
  </si>
  <si>
    <t>RB-00502</t>
  </si>
  <si>
    <t>P10-F00502</t>
  </si>
  <si>
    <t>Data/Scripts/Items/Construction/Addons/ParrotPerchAddon.cs</t>
  </si>
  <si>
    <t>PBJ-0282</t>
  </si>
  <si>
    <t>Current source file exists at Data/Scripts/Items/Construction/Addons/ParrotPerchAddon.cs; match=ExactFileClass; serializer evidence=Serialize:L22;Deserialize:L29;SerialCtor:L19; class=Server.Items.ParrotPerchAddon;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</si>
  <si>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path=Data/Scripts/Items/Construction/Addons/ParrotPerchAddon.cs; backlog risk category=VersionHandling; write count=1; read count=1. POST-BATCH-J is triage only; no serialized layout edit is approved by this row.</t>
  </si>
  <si>
    <t>RB-00503</t>
  </si>
  <si>
    <t>P10-F00503</t>
  </si>
  <si>
    <t>PBJ-0283</t>
  </si>
  <si>
    <t>Current source file exists at Data/Scripts/Items/Construction/Addons/ParrotPerchAddon.cs; match=ExactFileClass; serializer evidence=Serialize:L54;Deserialize:L61;SerialCtor:L51; class=Server.Items.ParrotPerchDeed; kind=Deed; HasSerialConstructor=True; BaseCallStatus=BaseCallsFirst; VersionHandling=NoVersionFound; FieldAlignment=AlignedByCountAndKnownTypes; MoveRenameRisk=NamespaceOrTypeRenameDanger; ReviewStatus=NeedsSourceReview; ReviewReasons=NoVersionFound</t>
  </si>
  <si>
    <t>RB-00504</t>
  </si>
  <si>
    <t>P10-F00504</t>
  </si>
  <si>
    <t>Data/Scripts/Items/Construction/Addons/PyramidAddon.cs</t>
  </si>
  <si>
    <t>PBJ-0284</t>
  </si>
  <si>
    <t>Current source file exists at Data/Scripts/Items/Construction/Addons/PyramidAddon.cs; match=ExactFileClass; serializer evidence=Serialize:L47;Deserialize:L54;SerialCtor:L44; class=Server.Items.PyramidAddon;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</si>
  <si>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path=Data/Scripts/Items/Construction/Addons/PyramidAddon.cs; backlog risk category=VersionHandling; write count=1; read count=1. POST-BATCH-J is triage only; no serialized layout edit is approved by this row.</t>
  </si>
  <si>
    <t>RB-00505</t>
  </si>
  <si>
    <t>P10-F00505</t>
  </si>
  <si>
    <t>Data/Scripts/Items/Construction/Addons/SerpentPillarAddon.cs</t>
  </si>
  <si>
    <t>PBJ-0285</t>
  </si>
  <si>
    <t>Current source file exists at Data/Scripts/Items/Construction/Addons/SerpentPillarAddon.cs; match=ExactFileClass; serializer evidence=Serialize:L38;Deserialize:L45;SerialCtor:L35; class=Server.Items.SerpentPillarAddon;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</si>
  <si>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path=Data/Scripts/Items/Construction/Addons/SerpentPillarAddon.cs; backlog risk category=VersionHandling; write count=1; read count=1. POST-BATCH-J is triage only; no serialized layout edit is approved by this row.</t>
  </si>
  <si>
    <t>RB-00506</t>
  </si>
  <si>
    <t>P10-F00506</t>
  </si>
  <si>
    <t>Data/Scripts/Items/Construction/Addons/SkullPileAddon.cs</t>
  </si>
  <si>
    <t>PBJ-0286</t>
  </si>
  <si>
    <t>Current source file exists at Data/Scripts/Items/Construction/Addons/SkullPileAddon.cs; match=ExactFileClass; serializer evidence=Serialize:L28;Deserialize:L35;SerialCtor:L25; class=Server.Items.SkullPileAddon;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</si>
  <si>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path=Data/Scripts/Items/Construction/Addons/SkullPileAddon.cs; backlog risk category=VersionHandling; write count=1; read count=1. POST-BATCH-J is triage only; no serialized layout edit is approved by this row.</t>
  </si>
  <si>
    <t>RB-00507</t>
  </si>
  <si>
    <t>P10-F00507</t>
  </si>
  <si>
    <t>Data/Scripts/Items/Construction/Addons/SquirrelStatueEastAddon.cs</t>
  </si>
  <si>
    <t>PBJ-0287</t>
  </si>
  <si>
    <t>Current source file exists at Data/Scripts/Items/Construction/Addons/SquirrelStatueEastAddon.cs; match=ExactFileClass; serializer evidence=Serialize:L22;Deserialize:L29;SerialCtor:L19; class=Server.Items.SquirrelStatueEastAddon;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</si>
  <si>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path=Data/Scripts/Items/Construction/Addons/SquirrelStatueEastAddon.cs; backlog risk category=VersionHandling; write count=1; read count=1. POST-BATCH-J is triage only; no serialized layout edit is approved by this row.</t>
  </si>
  <si>
    <t>RB-00508</t>
  </si>
  <si>
    <t>P10-F00508</t>
  </si>
  <si>
    <t>PBJ-0288</t>
  </si>
  <si>
    <t>Current source file exists at Data/Scripts/Items/Construction/Addons/SquirrelStatueEastAddon.cs; match=ExactFileClass; serializer evidence=Serialize:L54;Deserialize:L61;SerialCtor:L51; class=Server.Items.SquirrelStatueEastDeed; kind=Deed; HasSerialConstructor=True; BaseCallStatus=BaseCallsFirst; VersionHandling=NoVersionFound; FieldAlignment=AlignedByCountAndKnownTypes; MoveRenameRisk=NamespaceOrTypeRenameDanger; ReviewStatus=NeedsSourceReview; ReviewReasons=NoVersionFound</t>
  </si>
  <si>
    <t>RB-00509</t>
  </si>
  <si>
    <t>P10-F00509</t>
  </si>
  <si>
    <t>Data/Scripts/Items/Construction/Addons/SquirrelStatueSouthAddon.cs</t>
  </si>
  <si>
    <t>PBJ-0289</t>
  </si>
  <si>
    <t>Current source file exists at Data/Scripts/Items/Construction/Addons/SquirrelStatueSouthAddon.cs; match=ExactFileClass; serializer evidence=Serialize:L22;Deserialize:L29;SerialCtor:L19; class=Server.Items.SquirrelStatueSouthAddon;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</si>
  <si>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path=Data/Scripts/Items/Construction/Addons/SquirrelStatueSouthAddon.cs; backlog risk category=VersionHandling; write count=1; read count=1. POST-BATCH-J is triage only; no serialized layout edit is approved by this row.</t>
  </si>
  <si>
    <t>RB-00510</t>
  </si>
  <si>
    <t>P10-F00510</t>
  </si>
  <si>
    <t>PBJ-0290</t>
  </si>
  <si>
    <t>Current source file exists at Data/Scripts/Items/Construction/Addons/SquirrelStatueSouthAddon.cs; match=ExactFileClass; serializer evidence=Serialize:L54;Deserialize:L61;SerialCtor:L51; class=Server.Items.SquirrelStatueSouthDeed; kind=Deed; HasSerialConstructor=True; BaseCallStatus=BaseCallsFirst; VersionHandling=NoVersionFound; FieldAlignment=AlignedByCountAndKnownTypes; MoveRenameRisk=NamespaceOrTypeRenameDanger; ReviewStatus=NeedsSourceReview; ReviewReasons=NoVersionFound</t>
  </si>
  <si>
    <t>RB-00511</t>
  </si>
  <si>
    <t>P10-F00511</t>
  </si>
  <si>
    <t>Data/Scripts/Items/Construction/Addons/TallElvenBedEastAddon.cs</t>
  </si>
  <si>
    <t>PBJ-0291</t>
  </si>
  <si>
    <t>Current source file exists at Data/Scripts/Items/Construction/Addons/TallElvenBedEastAddon.cs; match=ExactFileClass; serializer evidence=Serialize:L25;Deserialize:L32;SerialCtor:L22; class=Server.Items.TallElvenBedEastAddon;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</si>
  <si>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path=Data/Scripts/Items/Construction/Addons/TallElvenBedEastAddon.cs; backlog risk category=VersionHandling; write count=1; read count=1. POST-BATCH-J is triage only; no serialized layout edit is approved by this row.</t>
  </si>
  <si>
    <t>RB-00512</t>
  </si>
  <si>
    <t>P10-F00512</t>
  </si>
  <si>
    <t>PBJ-0292</t>
  </si>
  <si>
    <t>Current source file exists at Data/Scripts/Items/Construction/Addons/TallElvenBedEastAddon.cs; match=ExactFileClass; serializer evidence=Serialize:L57;Deserialize:L64;SerialCtor:L54; class=Server.Items.TallElvenBedEastDeed; kind=Deed; HasSerialConstructor=True; BaseCallStatus=BaseCallsFirst; VersionHandling=NoVersionFound; FieldAlignment=AlignedByCountAndKnownTypes; MoveRenameRisk=NamespaceOrTypeRenameDanger; ReviewStatus=NeedsSourceReview; ReviewReasons=NoVersionFound</t>
  </si>
  <si>
    <t>RB-00513</t>
  </si>
  <si>
    <t>P10-F00513</t>
  </si>
  <si>
    <t>Data/Scripts/Items/Construction/Addons/TallElvenBedSouthAddon.cs</t>
  </si>
  <si>
    <t>PBJ-0293</t>
  </si>
  <si>
    <t>Current source file exists at Data/Scripts/Items/Construction/Addons/TallElvenBedSouthAddon.cs; match=ExactFileClass; serializer evidence=Serialize:L25;Deserialize:L32;SerialCtor:L22; class=Server.Items.TallElvenBedSouthAddon;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</si>
  <si>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path=Data/Scripts/Items/Construction/Addons/TallElvenBedSouthAddon.cs; backlog risk category=VersionHandling; write count=1; read count=1. POST-BATCH-J is triage only; no serialized layout edit is approved by this row.</t>
  </si>
  <si>
    <t>RB-00514</t>
  </si>
  <si>
    <t>P10-F00514</t>
  </si>
  <si>
    <t>PBJ-0294</t>
  </si>
  <si>
    <t>Current source file exists at Data/Scripts/Items/Construction/Addons/TallElvenBedSouthAddon.cs; match=ExactFileClass; serializer evidence=Serialize:L57;Deserialize:L64;SerialCtor:L54; class=Server.Items.TallElvenBedSouthDeed; kind=Deed; HasSerialConstructor=True; BaseCallStatus=BaseCallsFirst; VersionHandling=NoVersionFound; FieldAlignment=AlignedByCountAndKnownTypes; MoveRenameRisk=NamespaceOrTypeRenameDanger; ReviewStatus=NeedsSourceReview; ReviewReasons=NoVersionFound</t>
  </si>
  <si>
    <t>RB-00515</t>
  </si>
  <si>
    <t>P10-F00515</t>
  </si>
  <si>
    <t>Data/Scripts/Items/Construction/Addons/WarriorStatueEastAddon.cs</t>
  </si>
  <si>
    <t>PBJ-0295</t>
  </si>
  <si>
    <t>Current source file exists at Data/Scripts/Items/Construction/Addons/WarriorStatueEastAddon.cs; match=ExactFileClass; serializer evidence=Serialize:L22;Deserialize:L29;SerialCtor:L19; class=Server.Items.WarriorStatueEastAddon;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</si>
  <si>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path=Data/Scripts/Items/Construction/Addons/WarriorStatueEastAddon.cs; backlog risk category=VersionHandling; write count=1; read count=1. POST-BATCH-J is triage only; no serialized layout edit is approved by this row.</t>
  </si>
  <si>
    <t>RB-00516</t>
  </si>
  <si>
    <t>P10-F00516</t>
  </si>
  <si>
    <t>PBJ-0296</t>
  </si>
  <si>
    <t>Current source file exists at Data/Scripts/Items/Construction/Addons/WarriorStatueEastAddon.cs; match=ExactFileClass; serializer evidence=Serialize:L54;Deserialize:L61;SerialCtor:L51; class=Server.Items.WarriorStatueEastDeed; kind=Deed; HasSerialConstructor=True; BaseCallStatus=BaseCallsFirst; VersionHandling=NoVersionFound; FieldAlignment=AlignedByCountAndKnownTypes; MoveRenameRisk=NamespaceOrTypeRenameDanger; ReviewStatus=NeedsSourceReview; ReviewReasons=NoVersionFound</t>
  </si>
  <si>
    <t>RB-00517</t>
  </si>
  <si>
    <t>P10-F00517</t>
  </si>
  <si>
    <t>Data/Scripts/Items/Construction/Addons/WarriorStatueSouthAddon.cs</t>
  </si>
  <si>
    <t>PBJ-0297</t>
  </si>
  <si>
    <t>Current source file exists at Data/Scripts/Items/Construction/Addons/WarriorStatueSouthAddon.cs; match=ExactFileClass; serializer evidence=Serialize:L22;Deserialize:L29;SerialCtor:L19; class=Server.Items.WarriorStatueSouthAddon;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</si>
  <si>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path=Data/Scripts/Items/Construction/Addons/WarriorStatueSouthAddon.cs; backlog risk category=VersionHandling; write count=1; read count=1. POST-BATCH-J is triage only; no serialized layout edit is approved by this row.</t>
  </si>
  <si>
    <t>RB-00518</t>
  </si>
  <si>
    <t>P10-F00518</t>
  </si>
  <si>
    <t>PBJ-0298</t>
  </si>
  <si>
    <t>Current source file exists at Data/Scripts/Items/Construction/Addons/WarriorStatueSouthAddon.cs; match=ExactFileClass; serializer evidence=Serialize:L54;Deserialize:L61;SerialCtor:L51; class=Server.Items.WarriorStatueSouthDeed; kind=Deed; HasSerialConstructor=True; BaseCallStatus=BaseCallsFirst; VersionHandling=NoVersionFound; FieldAlignment=AlignedByCountAndKnownTypes; MoveRenameRisk=NamespaceOrTypeRenameDanger; ReviewStatus=NeedsSourceReview; ReviewReasons=NoVersionFound</t>
  </si>
  <si>
    <t>RB-00519</t>
  </si>
  <si>
    <t>P10-F00519</t>
  </si>
  <si>
    <t>Data/Scripts/Items/Construction/Addons/WaterVat.cs</t>
  </si>
  <si>
    <t>PBJ-0299</t>
  </si>
  <si>
    <t>Current source file exists at Data/Scripts/Items/Construction/Addons/WaterVat.cs; match=ExactFileClass; serializer evidence=Serialize:L36;Deserialize:L43;SerialCtor:L33; class=Server.Items.WaterVatEast;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</si>
  <si>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path=Data/Scripts/Items/Construction/Addons/WaterVat.cs; backlog risk category=VersionHandling; write count=1; read count=1. POST-BATCH-J is triage only; no serialized layout edit is approved by this row.</t>
  </si>
  <si>
    <t>RB-00520</t>
  </si>
  <si>
    <t>P10-F00520</t>
  </si>
  <si>
    <t>PBJ-0300</t>
  </si>
  <si>
    <t>Current source file exists at Data/Scripts/Items/Construction/Addons/WaterVat.cs; match=ExactFileClass; serializer evidence=Serialize:L81;Deserialize:L88;SerialCtor:L78; class=Server.Items.WaterVatSouth; kind=Addon; HasSerialConstructor=True; BaseCallStatus=BaseCallsFirst; VersionHandling=NoVersionFound; FieldAlignment=AlignedByCountAndKnownTypes; MoveRenameRisk=NamespaceOrTypeRenameDanger; ReviewStatus=NeedsSourceReview; ReviewReasons=NoVersionFound</t>
  </si>
  <si>
    <t>RB-00521</t>
  </si>
  <si>
    <t>P10-F00521</t>
  </si>
  <si>
    <t>Data/Scripts/Items/Construction/Chairs/Chairs.cs</t>
  </si>
  <si>
    <t>PBJ-0301</t>
  </si>
  <si>
    <t>Current source file exists at Data/Scripts/Items/Construction/Chairs/Chairs.cs; match=ExactFileClass; serializer evidence=Serialize:L205;Deserialize:L212;SerialCtor:L202; class=Server.Items.BigElvenChair; kind=Item; HasSerialConstructor=True; BaseCallStatus=BaseCallsFirst; VersionHandling=NoVersionFound; FieldAlignment=AlignedByCountAndKnownTypes; MoveRenameRisk=NamespaceOrTypeRenameDanger; ReviewStatus=NeedsSourceReview; ReviewReasons=NoVersionFound</t>
  </si>
  <si>
    <t>Historical path=Data/Scripts/Items/Construction/Chairs/Chairs.cs; backlog risk category=VersionHandling; write count=1; read count=1. POST-BATCH-J is triage only; no serialized layout edit is approved by this row.</t>
  </si>
  <si>
    <t>RB-00522</t>
  </si>
  <si>
    <t>P10-F00522</t>
  </si>
  <si>
    <t>PBJ-0302</t>
  </si>
  <si>
    <t>Current source file exists at Data/Scripts/Items/Construction/Chairs/Chairs.cs; match=ExactFileClass; serializer evidence=Serialize:L232;Deserialize:L239;SerialCtor:L229; class=Server.Items.ElvenReadingChair; kind=Item; HasSerialConstructor=True; BaseCallStatus=BaseCallsFirst; VersionHandling=NoVersionFound; FieldAlignment=AlignedByCountAndKnownTypes; MoveRenameRisk=NamespaceOrTypeRenameDanger; ReviewStatus=NeedsSourceReview; ReviewReasons=NoVersionFound</t>
  </si>
  <si>
    <t>RB-00523</t>
  </si>
  <si>
    <t>P10-F00523</t>
  </si>
  <si>
    <t>PBJ-0303</t>
  </si>
  <si>
    <t>Current source file exists at Data/Scripts/Items/Construction/Chairs/Chairs.cs; match=ExactFileClass; serializer evidence=Serialize:L178;Deserialize:L185;SerialCtor:L175; class=Server.Items.OrnateElvenChair; kind=Item; HasSerialConstructor=True; BaseCallStatus=BaseCallsFirst; VersionHandling=NoVersionFound; FieldAlignment=AlignedByCountAndKnownTypes; MoveRenameRisk=NamespaceOrTypeRenameDanger; ReviewStatus=NeedsSourceReview; ReviewReasons=NoVersionFound</t>
  </si>
  <si>
    <t>RB-00524</t>
  </si>
  <si>
    <t>P10-F00524</t>
  </si>
  <si>
    <t>Data/Scripts/Items/Construction/Signs/BaseSign.cs</t>
  </si>
  <si>
    <t>PBJ-0304</t>
  </si>
  <si>
    <t>Current source file exists at Data/Scripts/Items/Construction/Signs/BaseSign.cs; match=ExactFileClass; serializer evidence=Serialize:L17;Deserialize:L24;SerialCtor:L14;VersionWrite:L21;VersionRead:L28; class=Server.Items.BaseSign; kind=Item; HasSerialConstructor=True; BaseCallStatus=BaseCallsFirst; VersionHandling=SuspiciousOrder; FieldAlignment=AlignedByCountAndKnownTypes; MoveRenameRisk=NamespaceOrTypeRenameDanger; ReviewStatus=NeedsSourceReview; ReviewReasons=SuspiciousOrder</t>
  </si>
  <si>
    <t>Historical path=Data/Scripts/Items/Construction/Signs/BaseSign.cs; backlog risk category=VersionHandling; write count=1; read count=1. POST-BATCH-J is triage only; no serialized layout edit is approved by this row.</t>
  </si>
  <si>
    <t>RB-00525</t>
  </si>
  <si>
    <t>P10-F00525</t>
  </si>
  <si>
    <t>Data/Scripts/Items/Construction/Trees/DarkBrownTreeAddon.cs</t>
  </si>
  <si>
    <t>PBJ-0305</t>
  </si>
  <si>
    <t>Current source file exists at Data/Scripts/Items/Construction/Trees/DarkBrownTreeAddon.cs; match=ExactFileClass; serializer evidence=Serialize:L22;Deserialize:L29;SerialCtor:L19; class=Server.Items.DarkBrownTreeAddon;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</si>
  <si>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path=Data/Scripts/Items/Construction/Trees/DarkBrownTreeAddon.cs; backlog risk category=VersionHandling; write count=1; read count=1. POST-BATCH-J is triage only; no serialized layout edit is approved by this row.</t>
  </si>
  <si>
    <t>RB-00526</t>
  </si>
  <si>
    <t>P10-F00526</t>
  </si>
  <si>
    <t>PBJ-0306</t>
  </si>
  <si>
    <t>Current source file exists at Data/Scripts/Items/Construction/Trees/DarkBrownTreeAddon.cs; match=ExactFileClass; serializer evidence=Serialize:L53;Deserialize:L60;SerialCtor:L50; class=Server.Items.DarkBrownTreeDeed; kind=Deed; HasSerialConstructor=True; BaseCallStatus=BaseCallsFirst; VersionHandling=NoVersionFound; FieldAlignment=AlignedByCountAndKnownTypes; MoveRenameRisk=NamespaceOrTypeRenameDanger; ReviewStatus=NeedsSourceReview; ReviewReasons=NoVersionFound</t>
  </si>
  <si>
    <t>RB-00527</t>
  </si>
  <si>
    <t>P10-F00527</t>
  </si>
  <si>
    <t>Data/Scripts/Items/Construction/Trees/GreyTreeAddon.cs</t>
  </si>
  <si>
    <t>PBJ-0307</t>
  </si>
  <si>
    <t>Current source file exists at Data/Scripts/Items/Construction/Trees/GreyTreeAddon.cs; match=ExactFileClass; serializer evidence=Serialize:L22;Deserialize:L29;SerialCtor:L19; class=Server.Items.GreyTreeAddon;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</si>
  <si>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path=Data/Scripts/Items/Construction/Trees/GreyTreeAddon.cs; backlog risk category=VersionHandling; write count=1; read count=1. POST-BATCH-J is triage only; no serialized layout edit is approved by this row.</t>
  </si>
  <si>
    <t>RB-00528</t>
  </si>
  <si>
    <t>P10-F00528</t>
  </si>
  <si>
    <t>PBJ-0308</t>
  </si>
  <si>
    <t>Current source file exists at Data/Scripts/Items/Construction/Trees/GreyTreeAddon.cs; match=ExactFileClass; serializer evidence=Serialize:L53;Deserialize:L60;SerialCtor:L50; class=Server.Items.GreyTreeDeed; kind=Deed; HasSerialConstructor=True; BaseCallStatus=BaseCallsFirst; VersionHandling=NoVersionFound; FieldAlignment=AlignedByCountAndKnownTypes; MoveRenameRisk=NamespaceOrTypeRenameDanger; ReviewStatus=NeedsSourceReview; ReviewReasons=NoVersionFound</t>
  </si>
  <si>
    <t>RB-00529</t>
  </si>
  <si>
    <t>P10-F00529</t>
  </si>
  <si>
    <t>Data/Scripts/Items/Construction/Trees/LightBrownTreeAddon.cs</t>
  </si>
  <si>
    <t>PBJ-0309</t>
  </si>
  <si>
    <t>Current source file exists at Data/Scripts/Items/Construction/Trees/LightBrownTreeAddon.cs; match=ExactFileClass; serializer evidence=Serialize:L22;Deserialize:L29;SerialCtor:L19; class=Server.Items.LightBrownTreeAddon;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</si>
  <si>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path=Data/Scripts/Items/Construction/Trees/LightBrownTreeAddon.cs; backlog risk category=VersionHandling; write count=1; read count=1. POST-BATCH-J is triage only; no serialized layout edit is approved by this row.</t>
  </si>
  <si>
    <t>RB-00530</t>
  </si>
  <si>
    <t>P10-F00530</t>
  </si>
  <si>
    <t>PBJ-0310</t>
  </si>
  <si>
    <t>Current source file exists at Data/Scripts/Items/Construction/Trees/LightBrownTreeAddon.cs; match=ExactFileClass; serializer evidence=Serialize:L53;Deserialize:L60;SerialCtor:L50; class=Server.Items.LightBrownTreeDeed; kind=Deed; HasSerialConstructor=True; BaseCallStatus=BaseCallsFirst; VersionHandling=NoVersionFound; FieldAlignment=AlignedByCountAndKnownTypes; MoveRenameRisk=NamespaceOrTypeRenameDanger; ReviewStatus=NeedsSourceReview; ReviewReasons=NoVersionFound</t>
  </si>
  <si>
    <t>RB-00531</t>
  </si>
  <si>
    <t>P10-F00531</t>
  </si>
  <si>
    <t>Data/Scripts/Items/Construction/Trees/PearTreeAddon.cs</t>
  </si>
  <si>
    <t>PBJ-0311</t>
  </si>
  <si>
    <t>Current source file exists at Data/Scripts/Items/Construction/Trees/PearTreeAddon.cs; match=ExactFileClass; serializer evidence=Serialize:L28;Deserialize:L35;SerialCtor:L25; class=Server.Items.PearTreeAddon;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</si>
  <si>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path=Data/Scripts/Items/Construction/Trees/PearTreeAddon.cs; backlog risk category=VersionHandling; write count=1; read count=1. POST-BATCH-J is triage only; no serialized layout edit is approved by this row.</t>
  </si>
  <si>
    <t>RB-00532</t>
  </si>
  <si>
    <t>P10-F00532</t>
  </si>
  <si>
    <t>PBJ-0312</t>
  </si>
  <si>
    <t>Current source file exists at Data/Scripts/Items/Construction/Trees/PearTreeAddon.cs; match=ExactFileClass; serializer evidence=Serialize:L67;Deserialize:L74;SerialCtor:L58; class=Server.Items.PearTreeDeed; kind=Deed; HasSerialConstructor=True; BaseCallStatus=BaseCallsFirst; VersionHandling=NoVersionFound; FieldAlignment=AlignedByCountAndKnownTypes; MoveRenameRisk=NamespaceOrTypeRenameDanger; ReviewStatus=NeedsSourceReview; ReviewReasons=NoVersionFound</t>
  </si>
  <si>
    <t>RB-00533</t>
  </si>
  <si>
    <t>P10-F00533</t>
  </si>
  <si>
    <t>Data/Scripts/Items/Containers/Container.cs</t>
  </si>
  <si>
    <t>PBJ-0313</t>
  </si>
  <si>
    <t>Current source file exists at Data/Scripts/Items/Containers/Container.cs; match=ExactFileClass; serializer evidence=Serialize:L1431;Deserialize:L1437;SerialCtor:L1427;VersionWrite:L1434;VersionRead:L1440; class=Server.Items.ArmsBarrel; kind=Item; HasSerialConstructor=True; BaseCallStatus=BaseCallsFirst; VersionHandling=SuspiciousOrder; FieldAlignment=AlignedByCountAndKnownTypes; MoveRenameRisk=NamespaceOrTypeRenameDanger; ReviewStatus=NeedsSourceReview; ReviewReasons=SuspiciousOrder</t>
  </si>
  <si>
    <t>Historical path=Data/Scripts/Items/Containers/Container.cs; backlog risk category=VersionHandling; write count=1; read count=1. POST-BATCH-J is triage only; no serialized layout edit is approved by this row.</t>
  </si>
  <si>
    <t>RB-00534</t>
  </si>
  <si>
    <t>P10-F00534</t>
  </si>
  <si>
    <t>PBJ-0314</t>
  </si>
  <si>
    <t>Current source file exists at Data/Scripts/Items/Containers/Container.cs; match=ExactFileClass; serializer evidence=Serialize:L172;Deserialize:L177;SerialCtor:L168; class=Server.Items.BaseContainer; kind=Item; HasSerialConstructor=True; BaseCallStatus=BaseCallsFirst; VersionHandling=NoVersionFound; FieldAlignment=AlignedByCountAndKnownTypes; MoveRenameRisk=NamespaceOrTypeRenameDanger; ReviewStatus=NeedsSourceReview; ReviewReasons=NoVersionFound</t>
  </si>
  <si>
    <t>Historical path=Data/Scripts/Items/Containers/Container.cs; backlog risk category=VersionHandling; write count=0; read count=0. POST-BATCH-J is triage only; no serialized layout edit is approved by this row.</t>
  </si>
  <si>
    <t>RB-00535</t>
  </si>
  <si>
    <t>P10-F00535</t>
  </si>
  <si>
    <t>PBJ-0315</t>
  </si>
  <si>
    <t>Current source file exists at Data/Scripts/Items/Containers/Container.cs; match=ExactFileClass; serializer evidence=Serialize:L1372;Deserialize:L1378;SerialCtor:L1368;VersionWrite:L1375;VersionRead:L1381; class=Server.Items.IronSafe; kind=Item; HasSerialConstructor=True; BaseCallStatus=BaseCallsFirst; VersionHandling=SuspiciousOrder; FieldAlignment=AlignedByCountAndKnownTypes; MoveRenameRisk=NamespaceOrTypeRenameDanger; ReviewStatus=NeedsSourceReview; ReviewReasons=SuspiciousOrder</t>
  </si>
  <si>
    <t>RB-00536</t>
  </si>
  <si>
    <t>P10-F00536</t>
  </si>
  <si>
    <t>PBJ-0316</t>
  </si>
  <si>
    <t>Current source file exists at Data/Scripts/Items/Containers/Container.cs; match=ExactFileClass; serializer evidence=Serialize:L871;Deserialize:L877;SerialCtor:L860;VersionWrite:L874;VersionRead:L880; class=Server.Items.LargeSack; kind=Item; HasSerialConstructor=True; BaseCallStatus=BaseCallsFirst; VersionHandling=SuspiciousOrder; FieldAlignment=AlignedByCountAndKnownTypes; MoveRenameRisk=NamespaceOrTypeRenameDanger; ReviewStatus=NeedsSourceReview; ReviewReasons=SuspiciousOrder</t>
  </si>
  <si>
    <t>RB-00537</t>
  </si>
  <si>
    <t>P10-F00537</t>
  </si>
  <si>
    <t>PBJ-0317</t>
  </si>
  <si>
    <t>Current source file exists at Data/Scripts/Items/Containers/Container.cs; match=ExactFileClass; serializer evidence=Serialize:L1343;Deserialize:L1349;SerialCtor:L1339;VersionWrite:L1346;VersionRead:L1352; class=Server.Items.MetalSafe; kind=Item; HasSerialConstructor=True; BaseCallStatus=BaseCallsFirst; VersionHandling=SuspiciousOrder; FieldAlignment=AlignedByCountAndKnownTypes; MoveRenameRisk=NamespaceOrTypeRenameDanger; ReviewStatus=NeedsSourceReview; ReviewReasons=SuspiciousOrder</t>
  </si>
  <si>
    <t>RB-00538</t>
  </si>
  <si>
    <t>P10-F00538</t>
  </si>
  <si>
    <t>PBJ-0318</t>
  </si>
  <si>
    <t>Current source file exists at Data/Scripts/Items/Containers/Container.cs; match=ExactFileClass; serializer evidence=Serialize:L1401;Deserialize:L1407;SerialCtor:L1397;VersionWrite:L1404;VersionRead:L1410; class=Server.Items.MetalVault; kind=Item; HasSerialConstructor=True; BaseCallStatus=BaseCallsFirst; VersionHandling=SuspiciousOrder; FieldAlignment=AlignedByCountAndKnownTypes; MoveRenameRisk=NamespaceOrTypeRenameDanger; ReviewStatus=NeedsSourceReview; ReviewReasons=SuspiciousOrder</t>
  </si>
  <si>
    <t>RB-00539</t>
  </si>
  <si>
    <t>P10-F00539</t>
  </si>
  <si>
    <t>PBJ-0319</t>
  </si>
  <si>
    <t>Current source file exists at Data/Scripts/Items/Containers/Container.cs; match=ExactFileClass; serializer evidence=Serialize:L1460;Deserialize:L1466;SerialCtor:L1456;VersionWrite:L1463;VersionRead:L1469; class=Server.Items.NecromancerBarrel; kind=Item; HasSerialConstructor=True; BaseCallStatus=BaseCallsFirst; VersionHandling=SuspiciousOrder; FieldAlignment=AlignedByCountAndKnownTypes; MoveRenameRisk=NamespaceOrTypeRenameDanger; ReviewStatus=NeedsSourceReview; ReviewReasons=SuspiciousOrder</t>
  </si>
  <si>
    <t>RB-00540</t>
  </si>
  <si>
    <t>P10-F00540</t>
  </si>
  <si>
    <t>PBJ-0320</t>
  </si>
  <si>
    <t>Current source file exists at Data/Scripts/Items/Containers/Container.cs; match=ExactFileClass; serializer evidence=Serialize:L2278;Deserialize:L2284;SerialCtor:L2274;VersionWrite:L2281;VersionRead:L2287; class=Server.Items.RockUrn; kind=Item; HasSerialConstructor=True; BaseCallStatus=BaseCallsFirst; VersionHandling=SuspiciousOrder; FieldAlignment=AlignedByCountAndKnownTypes; MoveRenameRisk=NamespaceOrTypeRenameDanger; ReviewStatus=NeedsSourceReview; ReviewReasons=SuspiciousOrder</t>
  </si>
  <si>
    <t>RB-00541</t>
  </si>
  <si>
    <t>P10-F00541</t>
  </si>
  <si>
    <t>PBJ-0321</t>
  </si>
  <si>
    <t>Current source file exists at Data/Scripts/Items/Containers/Container.cs; match=ExactFileClass; serializer evidence=Serialize:L2307;Deserialize:L2313;SerialCtor:L2303;VersionWrite:L2310;VersionRead:L2316; class=Server.Items.RockVase; kind=Item; HasSerialConstructor=True; BaseCallStatus=BaseCallsFirst; VersionHandling=SuspiciousOrder; FieldAlignment=AlignedByCountAndKnownTypes; MoveRenameRisk=NamespaceOrTypeRenameDanger; ReviewStatus=NeedsSourceReview; ReviewReasons=SuspiciousOrder</t>
  </si>
  <si>
    <t>RB-00542</t>
  </si>
  <si>
    <t>P10-F00542</t>
  </si>
  <si>
    <t>PBJ-0322</t>
  </si>
  <si>
    <t>Current source file exists at Data/Scripts/Items/Containers/Container.cs; match=ExactFileClass; serializer evidence=Serialize:L906;Deserialize:L912;SerialCtor:L895;VersionWrite:L909;VersionRead:L915; class=Server.Items.RuggedBackpack; kind=Item; HasSerialConstructor=True; BaseCallStatus=BaseCallsFirst; VersionHandling=SuspiciousOrder; FieldAlignment=AlignedByCountAndKnownTypes; MoveRenameRisk=NamespaceOrTypeRenameDanger; ReviewStatus=NeedsSourceReview; ReviewReasons=SuspiciousOrder</t>
  </si>
  <si>
    <t>RB-00543</t>
  </si>
  <si>
    <t>P10-F00543</t>
  </si>
  <si>
    <t>PBJ-0323</t>
  </si>
  <si>
    <t>Current source file exists at Data/Scripts/Items/Containers/Container.cs; match=ExactFileClass; serializer evidence=Serialize:L2249;Deserialize:L2255;SerialCtor:L2245;VersionWrite:L2252;VersionRead:L2258; class=Server.Items.StoneCasket; kind=Item; HasSerialConstructor=True; BaseCallStatus=BaseCallsFirst; VersionHandling=SuspiciousOrder; FieldAlignment=AlignedByCountAndKnownTypes; MoveRenameRisk=NamespaceOrTypeRenameDanger; ReviewStatus=NeedsSourceReview; ReviewReasons=SuspiciousOrder</t>
  </si>
  <si>
    <t>RB-00544</t>
  </si>
  <si>
    <t>P10-F00544</t>
  </si>
  <si>
    <t>PBJ-0324</t>
  </si>
  <si>
    <t>Current source file exists at Data/Scripts/Items/Containers/Container.cs; match=ExactFileClass; serializer evidence=Serialize:L2220;Deserialize:L2226;SerialCtor:L2216;VersionWrite:L2223;VersionRead:L2229; class=Server.Items.StoneCoffin; kind=Item; HasSerialConstructor=True; BaseCallStatus=BaseCallsFirst; VersionHandling=SuspiciousOrder; FieldAlignment=AlignedByCountAndKnownTypes; MoveRenameRisk=NamespaceOrTypeRenameDanger; ReviewStatus=NeedsSourceReview; ReviewReasons=SuspiciousOrder</t>
  </si>
  <si>
    <t>RB-00545</t>
  </si>
  <si>
    <t>P10-F00545</t>
  </si>
  <si>
    <t>PBJ-0325</t>
  </si>
  <si>
    <t>Current source file exists at Data/Scripts/Items/Containers/Container.cs; match=ExactFileClass; serializer evidence=Serialize:L2363;Deserialize:L2369;SerialCtor:L2359;VersionWrite:L2366;VersionRead:L2372; class=Server.Items.StoneOrnateTallVase; kind=Item; HasSerialConstructor=True; BaseCallStatus=BaseCallsFirst; VersionHandling=SuspiciousOrder; FieldAlignment=AlignedByCountAndKnownTypes; MoveRenameRisk=NamespaceOrTypeRenameDanger; ReviewStatus=NeedsSourceReview; ReviewReasons=SuspiciousOrder</t>
  </si>
  <si>
    <t>RB-00546</t>
  </si>
  <si>
    <t>P10-F00546</t>
  </si>
  <si>
    <t>PBJ-0326</t>
  </si>
  <si>
    <t>Current source file exists at Data/Scripts/Items/Containers/Container.cs; match=ExactFileClass; serializer evidence=Serialize:L2335;Deserialize:L2341;SerialCtor:L2331;VersionWrite:L2338;VersionRead:L2344; class=Server.Items.StoneOrnateUrn; kind=Item; HasSerialConstructor=True; BaseCallStatus=BaseCallsFirst; VersionHandling=SuspiciousOrder; FieldAlignment=AlignedByCountAndKnownTypes; MoveRenameRisk=NamespaceOrTypeRenameDanger; ReviewStatus=NeedsSourceReview; ReviewReasons=SuspiciousOrder</t>
  </si>
  <si>
    <t>RB-00547</t>
  </si>
  <si>
    <t>P10-F00547</t>
  </si>
  <si>
    <t>PBJ-0327</t>
  </si>
  <si>
    <t>Current source file exists at Data/Scripts/Items/Containers/Container.cs; match=ExactFileClass; serializer evidence=Serialize:L2191;Deserialize:L2197;SerialCtor:L2187;VersionWrite:L2194;VersionRead:L2200; class=Server.Items.WoodenCasket; kind=Item; HasSerialConstructor=True; BaseCallStatus=BaseCallsFirst; VersionHandling=SuspiciousOrder; FieldAlignment=AlignedByCountAndKnownTypes; MoveRenameRisk=NamespaceOrTypeRenameDanger; ReviewStatus=NeedsSourceReview; ReviewReasons=SuspiciousOrder</t>
  </si>
  <si>
    <t>RB-00548</t>
  </si>
  <si>
    <t>P10-F00548</t>
  </si>
  <si>
    <t>PBJ-0328</t>
  </si>
  <si>
    <t>Current source file exists at Data/Scripts/Items/Containers/Container.cs; match=ExactFileClass; serializer evidence=Serialize:L2163;Deserialize:L2169;SerialCtor:L2159;VersionWrite:L2166;VersionRead:L2172; class=Server.Items.WoodenCoffin; kind=Item; HasSerialConstructor=True; BaseCallStatus=BaseCallsFirst; VersionHandling=SuspiciousOrder; FieldAlignment=AlignedByCountAndKnownTypes; MoveRenameRisk=NamespaceOrTypeRenameDanger; ReviewStatus=NeedsSourceReview; ReviewReasons=SuspiciousOrder</t>
  </si>
  <si>
    <t>RB-00549</t>
  </si>
  <si>
    <t>P10-F00549</t>
  </si>
  <si>
    <t>PBJ-0329</t>
  </si>
  <si>
    <t>Current source file exists at Data/Scripts/Items/Containers/FillableContainers.cs; match=ExactFileClass; serializer evidence=Serialize:L484;Deserialize:L491;SerialCtor:L481; class=Server.Items.FillableBarrel; kind=Item; HasSerialConstructor=True; BaseCallStatus=BaseCallsFirst; VersionHandling=NoVersionFound; FieldAlignment=AlignedByCountAndKnownTypes; MoveRenameRisk=NamespaceOrTypeRenameDanger; ReviewStatus=NeedsSourceReview; ReviewReasons=NoVersionFound</t>
  </si>
  <si>
    <t>Historical path=Data/Scripts/Items/Containers/FillableContainers.cs; backlog risk category=VersionHandling; write count=1; read count=1. POST-BATCH-J is triage only; no serialized layout edit is approved by this row.</t>
  </si>
  <si>
    <t>RB-00550</t>
  </si>
  <si>
    <t>P10-F00550</t>
  </si>
  <si>
    <t>PBW-0019</t>
  </si>
  <si>
    <t>Current source file exists at Data/Scripts/Items/Containers/FillableContainers.cs; prior POST-BATCH-J row=PBJ-0330; register evidence=Serialize:L247;Deserialize:L266;SerialCtor:L244; class=Server.Items.FillableContainer; kind=Item; HasSerialConstructor=True; BaseCallStatus=BaseCallsFirst; VersionHandling=NoVersionFound; FieldAlignment=CountMismatch:Writes=5;Reads=4; direct source review=Source-reviewed ordinary serializer: Serial ctor L244-L245, base calls L249/L268, encoded version L251/L270, content and respawn flag/delta L253-L263/L274-L283.</t>
  </si>
  <si>
    <t>POST-BATCH-W disposition of historical POST-BATCH-J NeedsMigrationPlan row; previous review row PBJ-0330; review class ScannerAmbiguityFalsePositive.</t>
  </si>
  <si>
    <t>RB-00552</t>
  </si>
  <si>
    <t>P10-F00552</t>
  </si>
  <si>
    <t>PBJ-0331</t>
  </si>
  <si>
    <t>Current source file exists at Data/Scripts/Items/Containers/FillableContainers.cs; match=ExactFileClass; serializer evidence=Serialize:L371;Deserialize:L378;SerialCtor:L368; class=Server.Items.FillableLargeCrate; kind=Item; HasSerialConstructor=True; BaseCallStatus=BaseCallsFirst; VersionHandling=NoVersionFound; FieldAlignment=AlignedByCountAndKnownTypes; MoveRenameRisk=NamespaceOrTypeRenameDanger; ReviewStatus=NeedsSourceReview; ReviewReasons=NoVersionFound</t>
  </si>
  <si>
    <t>RB-00553</t>
  </si>
  <si>
    <t>P10-F00553</t>
  </si>
  <si>
    <t>PBJ-0332</t>
  </si>
  <si>
    <t>Current source file exists at Data/Scripts/Items/Containers/FillableContainers.cs; match=ExactFileClass; serializer evidence=Serialize:L452;Deserialize:L459;SerialCtor:L449; class=Server.Items.FillableMetalBox; kind=Item; HasSerialConstructor=True; BaseCallStatus=BaseCallsFirst; VersionHandling=NoVersionFound; FieldAlignment=AlignedByCountAndKnownTypes; MoveRenameRisk=NamespaceOrTypeRenameDanger; ReviewStatus=NeedsSourceReview; ReviewReasons=NoVersionFound</t>
  </si>
  <si>
    <t>RB-00554</t>
  </si>
  <si>
    <t>P10-F00554</t>
  </si>
  <si>
    <t>PBJ-0333</t>
  </si>
  <si>
    <t>Current source file exists at Data/Scripts/Items/Containers/FillableContainers.cs; match=ExactFileClass; serializer evidence=Serialize:L399;Deserialize:L406;SerialCtor:L396; class=Server.Items.FillableSmallCrate; kind=Item; HasSerialConstructor=True; BaseCallStatus=BaseCallsFirst; VersionHandling=NoVersionFound; FieldAlignment=AlignedByCountAndKnownTypes; MoveRenameRisk=NamespaceOrTypeRenameDanger; ReviewStatus=NeedsSourceReview; ReviewReasons=NoVersionFound</t>
  </si>
  <si>
    <t>RB-00555</t>
  </si>
  <si>
    <t>P10-F00555</t>
  </si>
  <si>
    <t>PBJ-0334</t>
  </si>
  <si>
    <t>Current source file exists at Data/Scripts/Items/Containers/FillableContainers.cs; match=ExactFileClass; serializer evidence=Serialize:L340;Deserialize:L347;SerialCtor:L337; class=Server.Items.LibraryBookcase; kind=Item; HasSerialConstructor=True; BaseCallStatus=BaseCallsFirst; VersionHandling=NoVersionFound; FieldAlignment=AlignedByCountAndKnownTypes; MoveRenameRisk=NamespaceOrTypeRenameDanger; ReviewStatus=NeedsSourceReview; ReviewReasons=NoVersionFound</t>
  </si>
  <si>
    <t>RB-00556</t>
  </si>
  <si>
    <t>P10-F00556</t>
  </si>
  <si>
    <t>Data/Scripts/Items/Containers/LockableContainer.cs</t>
  </si>
  <si>
    <t>PBJ-0335</t>
  </si>
  <si>
    <t>Current source file exists at Data/Scripts/Items/Containers/LockableContainer.cs; match=ExactFileClass; serializer evidence=Serialize:L85;Deserialize:L104;VersionWrite:L89;VersionRead:L108; class=Unknown; kind=Item; HasSerialConstructor=False; BaseCallStatus=BaseCallsFirst; VersionHandling=SwitchGotoCase; FieldAlignment=CountMatchNeedsTypeReview:UnknownWrites=2; MoveRenameRisk=NamespaceOrTypeRenameDanger; ReviewStatus=NeedsSourceReview; ReviewReasons=Serial constructor not detected.</t>
  </si>
  <si>
    <t>Historical path=Data/Scripts/Items/Containers/LockableContainer.cs; backlog risk category=MissingSerialConstructor; write count=8; read count=8. POST-BATCH-J is triage only; no serialized layout edit is approved by this row.</t>
  </si>
  <si>
    <t>RB-00557</t>
  </si>
  <si>
    <t>P10-F00557</t>
  </si>
  <si>
    <t>Data/Scripts/Items/Containers/Quivers/ArcherQuiver.cs</t>
  </si>
  <si>
    <t>PBJ-0336</t>
  </si>
  <si>
    <t>Current source file exists at Data/Scripts/Items/Containers/Quivers/ArcherQuiver.cs; match=ExactFileClass; serializer evidence=Serialize:L20;Deserialize:L26;SerialCtor:L17; class=Server.Items.ArcherQuiver; kind=Item; HasSerialConstructor=True; BaseCallStatus=BaseCallsFirst; VersionHandling=NoVersionFound; FieldAlignment=AlignedByCountAndKnownTypes; MoveRenameRisk=NamespaceOrTypeRenameDanger; ReviewStatus=NeedsSourceReview; ReviewReasons=NoVersionFound</t>
  </si>
  <si>
    <t>Historical path=Data/Scripts/Items/Containers/Quivers/ArcherQuiver.cs; backlog risk category=VersionHandling; write count=1; read count=1. POST-BATCH-J is triage only; no serialized layout edit is approved by this row.</t>
  </si>
  <si>
    <t>RB-00558</t>
  </si>
  <si>
    <t>P10-F00558</t>
  </si>
  <si>
    <t>Data/Scripts/Items/Containers/Quivers/ElvenQuiver.cs</t>
  </si>
  <si>
    <t>PBJ-0337</t>
  </si>
  <si>
    <t>Current source file exists at Data/Scripts/Items/Containers/Quivers/ElvenQuiver.cs; match=ExactFileClass; serializer evidence=Serialize:L23;Deserialize:L30;SerialCtor:L20; class=Server.Items.ElvenQuiver; kind=Item; HasSerialConstructor=True; BaseCallStatus=BaseCallsFirst; VersionHandling=NoVersionFound; FieldAlignment=AlignedByCountAndKnownTypes; MoveRenameRisk=NamespaceOrTypeRenameDanger; ReviewStatus=NeedsSourceReview; ReviewReasons=NoVersionFound</t>
  </si>
  <si>
    <t>Historical path=Data/Scripts/Items/Containers/Quivers/ElvenQuiver.cs; backlog risk category=VersionHandling; write count=1; read count=1. POST-BATCH-J is triage only; no serialized layout edit is approved by this row.</t>
  </si>
  <si>
    <t>RB-00559</t>
  </si>
  <si>
    <t>P10-F00559</t>
  </si>
  <si>
    <t>Data/Scripts/Items/Containers/SalvageBag.cs</t>
  </si>
  <si>
    <t>PBJ-0338</t>
  </si>
  <si>
    <t>Current source file exists at Data/Scripts/Items/Containers/SalvageBag.cs; match=ExactFileClass; serializer evidence=Serialize:L456;Deserialize:L463;SerialCtor:L453; class=Server.Items.SalvageBag; kind=Item; HasSerialConstructor=True; BaseCallStatus=BaseCallsFirst; VersionHandling=NoVersionFound; FieldAlignment=AlignedByCountAndKnownTypes; MoveRenameRisk=NamespaceOrTypeRenameDanger; ReviewStatus=NeedsSourceReview; ReviewReasons=NoVersionFound</t>
  </si>
  <si>
    <t>Historical path=Data/Scripts/Items/Containers/SalvageBag.cs; backlog risk category=VersionHandling; write count=1; read count=1. POST-BATCH-J is triage only; no serialized layout edit is approved by this row.</t>
  </si>
  <si>
    <t>RB-00560</t>
  </si>
  <si>
    <t>P10-F00560</t>
  </si>
  <si>
    <t>Data/Scripts/Items/Containers/WeightReductionContainer.cs</t>
  </si>
  <si>
    <t>PBJ-0339</t>
  </si>
  <si>
    <t>Current source file exists at Data/Scripts/Items/Containers/WeightReductionContainer.cs; match=ExactFileClass; serializer evidence=Serialize:L220;Deserialize:L226;SerialCtor:L217;VersionWrite:L223;VersionRead:L229; class=Server.Items.LargeBagofHolding;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</si>
  <si>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path=Data/Scripts/Items/Containers/WeightReductionContainer.cs; backlog risk category=VersionHandling; write count=1; read count=1. POST-BATCH-J is triage only; no serialized layout edit is approved by this row.</t>
  </si>
  <si>
    <t>RB-00561</t>
  </si>
  <si>
    <t>P10-F00561</t>
  </si>
  <si>
    <t>PBJ-0340</t>
  </si>
  <si>
    <t>Current source file exists at Data/Scripts/Items/Containers/WeightReductionContainer.cs; match=ExactFileClass; serializer evidence=Serialize:L144;Deserialize:L150;SerialCtor:L141;VersionWrite:L147;VersionRead:L153; class=Server.Items.MediumBagofHolding; kind=Item; HasSerialConstructor=True; BaseCallStatus=BaseCallsFirst; VersionHandling=SuspiciousOrder; FieldAlignment=AlignedByCountAndKnownTypes; MoveRenameRisk=NamespaceOrTypeRenameDanger; ReviewStatus=NeedsSourceReview; ReviewReasons=SuspiciousOrder</t>
  </si>
  <si>
    <t>RB-00562</t>
  </si>
  <si>
    <t>P10-F00562</t>
  </si>
  <si>
    <t>PBJ-0341</t>
  </si>
  <si>
    <t>Current source file exists at Data/Scripts/Items/Containers/WeightReductionContainer.cs; match=ExactFileClass; serializer evidence=Serialize:L68;Deserialize:L74;SerialCtor:L65;VersionWrite:L71;VersionRead:L77; class=Server.Items.SmallBagofHolding; kind=Item; HasSerialConstructor=True; BaseCallStatus=BaseCallsFirst; VersionHandling=SuspiciousOrder; FieldAlignment=AlignedByCountAndKnownTypes; MoveRenameRisk=NamespaceOrTypeRenameDanger; ReviewStatus=NeedsSourceReview; ReviewReasons=SuspiciousOrder</t>
  </si>
  <si>
    <t>RB-00563</t>
  </si>
  <si>
    <t>P10-F00563</t>
  </si>
  <si>
    <t>PBJ-0342</t>
  </si>
  <si>
    <t>Current source file exists at Data/Scripts/Items/Containers/WeightReductionContainer.cs; match=ExactFileClass; serializer evidence=Serialize:L409;Deserialize:L416;SerialCtor:L406;VersionWrite:L413;VersionRead:L420; class=Server.Items.WeightReductionContainer; kind=Item; HasSerialConstructor=True; BaseCallStatus=BaseCallsFirst; VersionHandling=SuspiciousOrder; FieldAlignment=AlignedByCountAndKnownTypes; MoveRenameRisk=NamespaceOrTypeRenameDanger; ReviewStatus=NeedsSourceReview; ReviewReasons=SuspiciousOrder</t>
  </si>
  <si>
    <t>RB-00564</t>
  </si>
  <si>
    <t>P10-F00564</t>
  </si>
  <si>
    <t>Items:Decorations</t>
  </si>
  <si>
    <t>Data/Scripts/Items/Decorations/Artifacts/BaseDecorationArtifact.cs</t>
  </si>
  <si>
    <t>PBJ-0343</t>
  </si>
  <si>
    <t>Current source file exists at Data/Scripts/Items/Decorations/Artifacts/BaseDecorationArtifact.cs; match=ExactFileClass; serializer evidence=Serialize:L22;Deserialize:L29;SerialCtor:L19; class=Server.Items.BaseDecorationArtifact; kind=Item; HasSerialConstructor=True; BaseCallStatus=BaseCallsFirst; VersionHandling=NoVersionFound; FieldAlignment=AlignedByCountAndKnownTypes; MoveRenameRisk=NamespaceOrTypeRenameDanger; ReviewStatus=NeedsSourceReview; ReviewReasons=NoVersionFound</t>
  </si>
  <si>
    <t>Historical path=Data/Scripts/Items/Decorations/Artifacts/BaseDecorationArtifact.cs; backlog risk category=VersionHandling; write count=1; read count=1. POST-BATCH-J is triage only; no serialized layout edit is approved by this row.</t>
  </si>
  <si>
    <t>RB-00565</t>
  </si>
  <si>
    <t>P10-F00565</t>
  </si>
  <si>
    <t>PBJ-0344</t>
  </si>
  <si>
    <t>Current source file exists at Data/Scripts/Items/Decorations/Artifacts/BaseDecorationArtifact.cs; match=ExactFileClass; serializer evidence=Serialize:L53;Deserialize:L60;SerialCtor:L50; class=Server.Items.BaseDecorationContainerArtifact; kind=Item; HasSerialConstructor=True; BaseCallStatus=BaseCallsFirst; VersionHandling=NoVersionFound; FieldAlignment=AlignedByCountAndKnownTypes; MoveRenameRisk=NamespaceOrTypeRenameDanger; ReviewStatus=NeedsSourceReview; ReviewReasons=NoVersionFound</t>
  </si>
  <si>
    <t>RB-00566</t>
  </si>
  <si>
    <t>P10-F00566</t>
  </si>
  <si>
    <t>Data/Scripts/Items/Decorations/Artifacts/DoomDecorationArtifacts.cs</t>
  </si>
  <si>
    <t>PBJ-0345</t>
  </si>
  <si>
    <t>Current source file exists at Data/Scripts/Items/Decorations/Artifacts/DoomDecorationArtifacts.cs; match=ExactFileClass; serializer evidence=Serialize:L21;Deserialize:L27;SerialCtor:L15; class=Server.Items.BackpackArtifact; kind=Item; HasSerialConstructor=True; BaseCallStatus=BaseCallsFirst; VersionHandling=NoVersionFound; FieldAlignment=AlignedByCountAndKnownTypes; MoveRenameRisk=NamespaceOrTypeRenameDanger; ReviewStatus=NeedsSourceReview; ReviewReasons=NoVersionFound</t>
  </si>
  <si>
    <t>Historical path=Data/Scripts/Items/Decorations/Artifacts/DoomDecorationArtifacts.cs; backlog risk category=VersionHandling; write count=1; read count=1. POST-BATCH-J is triage only; no serialized layout edit is approved by this row.</t>
  </si>
  <si>
    <t>RB-00567</t>
  </si>
  <si>
    <t>P10-F00567</t>
  </si>
  <si>
    <t>PBJ-0346</t>
  </si>
  <si>
    <t>Current source file exists at Data/Scripts/Items/Decorations/Artifacts/DoomDecorationArtifacts.cs; match=ExactFileClass; serializer evidence=Serialize:L48;Deserialize:L55;SerialCtor:L45; class=Server.Items.BloodyWaterArtifact; kind=Item; HasSerialConstructor=True; BaseCallStatus=BaseCallsFirst; VersionHandling=NoVersionFound; FieldAlignment=AlignedByCountAndKnownTypes; MoveRenameRisk=NamespaceOrTypeRenameDanger; ReviewStatus=NeedsSourceReview; ReviewReasons=NoVersionFound</t>
  </si>
  <si>
    <t>RB-00568</t>
  </si>
  <si>
    <t>P10-F00568</t>
  </si>
  <si>
    <t>PBJ-0347</t>
  </si>
  <si>
    <t>Current source file exists at Data/Scripts/Items/Decorations/Artifacts/DoomDecorationArtifacts.cs; match=ExactFileClass; serializer evidence=Serialize:L132;Deserialize:L139;SerialCtor:L129; class=Server.Items.BooksFaceDownArtifact; kind=Item; HasSerialConstructor=True; BaseCallStatus=BaseCallsFirst; VersionHandling=NoVersionFound; FieldAlignment=AlignedByCountAndKnownTypes; MoveRenameRisk=NamespaceOrTypeRenameDanger; ReviewStatus=NeedsSourceReview; ReviewReasons=NoVersionFound</t>
  </si>
  <si>
    <t>RB-00569</t>
  </si>
  <si>
    <t>P10-F00569</t>
  </si>
  <si>
    <t>PBJ-0348</t>
  </si>
  <si>
    <t>Current source file exists at Data/Scripts/Items/Decorations/Artifacts/DoomDecorationArtifacts.cs; match=ExactFileClass; serializer evidence=Serialize:L104;Deserialize:L111;SerialCtor:L101; class=Server.Items.BooksNorthArtifact; kind=Item; HasSerialConstructor=True; BaseCallStatus=BaseCallsFirst; VersionHandling=NoVersionFound; FieldAlignment=AlignedByCountAndKnownTypes; MoveRenameRisk=NamespaceOrTypeRenameDanger; ReviewStatus=NeedsSourceReview; ReviewReasons=NoVersionFound</t>
  </si>
  <si>
    <t>RB-00570</t>
  </si>
  <si>
    <t>P10-F00570</t>
  </si>
  <si>
    <t>PBJ-0349</t>
  </si>
  <si>
    <t>Current source file exists at Data/Scripts/Items/Decorations/Artifacts/DoomDecorationArtifacts.cs; match=ExactFileClass; serializer evidence=Serialize:L76;Deserialize:L83;SerialCtor:L73; class=Server.Items.BooksWestArtifact; kind=Item; HasSerialConstructor=True; BaseCallStatus=BaseCallsFirst; VersionHandling=NoVersionFound; FieldAlignment=AlignedByCountAndKnownTypes; MoveRenameRisk=NamespaceOrTypeRenameDanger; ReviewStatus=NeedsSourceReview; ReviewReasons=NoVersionFound</t>
  </si>
  <si>
    <t>RB-00571</t>
  </si>
  <si>
    <t>P10-F00571</t>
  </si>
  <si>
    <t>PBJ-0350</t>
  </si>
  <si>
    <t>Current source file exists at Data/Scripts/Items/Decorations/Artifacts/DoomDecorationArtifacts.cs; match=ExactFileClass; serializer evidence=Serialize:L160;Deserialize:L167;SerialCtor:L157; class=Server.Items.BottleArtifact; kind=Item; HasSerialConstructor=True; BaseCallStatus=BaseCallsFirst; VersionHandling=NoVersionFound; FieldAlignment=AlignedByCountAndKnownTypes; MoveRenameRisk=NamespaceOrTypeRenameDanger; ReviewStatus=NeedsSourceReview; ReviewReasons=NoVersionFound</t>
  </si>
  <si>
    <t>RB-00572</t>
  </si>
  <si>
    <t>P10-F00572</t>
  </si>
  <si>
    <t>PBJ-0351</t>
  </si>
  <si>
    <t>Current source file exists at Data/Scripts/Items/Decorations/Artifacts/DoomDecorationArtifacts.cs; match=ExactFileClass; serializer evidence=Serialize:L191;Deserialize:L198;SerialCtor:L188; class=Server.Items.BrazierArtifact; kind=Item; HasSerialConstructor=True; BaseCallStatus=BaseCallsFirst; VersionHandling=NoVersionFound; FieldAlignment=AlignedByCountAndKnownTypes; MoveRenameRisk=NamespaceOrTypeRenameDanger; ReviewStatus=NeedsSourceReview; ReviewReasons=NoVersionFound</t>
  </si>
  <si>
    <t>RB-00573</t>
  </si>
  <si>
    <t>P10-F00573</t>
  </si>
  <si>
    <t>PBJ-0352</t>
  </si>
  <si>
    <t>Current source file exists at Data/Scripts/Items/Decorations/Artifacts/DoomDecorationArtifacts.cs; match=ExactFileClass; serializer evidence=Serialize:L219;Deserialize:L226;SerialCtor:L216; class=Server.Items.CocoonArtifact; kind=Item; HasSerialConstructor=True; BaseCallStatus=BaseCallsFirst; VersionHandling=NoVersionFound; FieldAlignment=AlignedByCountAndKnownTypes; MoveRenameRisk=NamespaceOrTypeRenameDanger; ReviewStatus=NeedsSourceReview; ReviewReasons=NoVersionFound</t>
  </si>
  <si>
    <t>RB-00574</t>
  </si>
  <si>
    <t>P10-F00574</t>
  </si>
  <si>
    <t>PBJ-0353</t>
  </si>
  <si>
    <t>Current source file exists at Data/Scripts/Items/Decorations/Artifacts/DoomDecorationArtifacts.cs; match=ExactFileClass; serializer evidence=Serialize:L247;Deserialize:L254;SerialCtor:L244; class=Server.Items.DamagedBooksArtifact; kind=Item; HasSerialConstructor=True; BaseCallStatus=BaseCallsFirst; VersionHandling=NoVersionFound; FieldAlignment=AlignedByCountAndKnownTypes; MoveRenameRisk=NamespaceOrTypeRenameDanger; ReviewStatus=NeedsSourceReview; ReviewReasons=NoVersionFound</t>
  </si>
  <si>
    <t>RB-00575</t>
  </si>
  <si>
    <t>P10-F00575</t>
  </si>
  <si>
    <t>PBJ-0354</t>
  </si>
  <si>
    <t>Current source file exists at Data/Scripts/Items/Decorations/Artifacts/DoomDecorationArtifacts.cs; match=ExactFileClass; serializer evidence=Serialize:L275;Deserialize:L282;SerialCtor:L272; class=Server.Items.EggCaseArtifact; kind=Item; HasSerialConstructor=True; BaseCallStatus=BaseCallsFirst; VersionHandling=NoVersionFound; FieldAlignment=AlignedByCountAndKnownTypes; MoveRenameRisk=NamespaceOrTypeRenameDanger; ReviewStatus=NeedsSourceReview; ReviewReasons=NoVersionFound</t>
  </si>
  <si>
    <t>RB-00576</t>
  </si>
  <si>
    <t>P10-F00576</t>
  </si>
  <si>
    <t>PBJ-0355</t>
  </si>
  <si>
    <t>Current source file exists at Data/Scripts/Items/Decorations/Artifacts/DoomDecorationArtifacts.cs; match=ExactFileClass; serializer evidence=Serialize:L303;Deserialize:L310;SerialCtor:L300; class=Server.Items.GruesomeStandardArtifact; kind=Item; HasSerialConstructor=True; BaseCallStatus=BaseCallsFirst; VersionHandling=NoVersionFound; FieldAlignment=AlignedByCountAndKnownTypes; MoveRenameRisk=NamespaceOrTypeRenameDanger; ReviewStatus=NeedsSourceReview; ReviewReasons=NoVersionFound</t>
  </si>
  <si>
    <t>RB-00577</t>
  </si>
  <si>
    <t>P10-F00577</t>
  </si>
  <si>
    <t>PBJ-0356</t>
  </si>
  <si>
    <t>Current source file exists at Data/Scripts/Items/Decorations/Artifacts/DoomDecorationArtifacts.cs; match=ExactFileClass; serializer evidence=Serialize:L334;Deserialize:L341;SerialCtor:L331; class=Server.Items.LampPostArtifact; kind=Item; HasSerialConstructor=True; BaseCallStatus=BaseCallsFirst; VersionHandling=NoVersionFound; FieldAlignment=AlignedByCountAndKnownTypes; MoveRenameRisk=NamespaceOrTypeRenameDanger; ReviewStatus=NeedsSourceReview; ReviewReasons=NoVersionFound</t>
  </si>
  <si>
    <t>RB-00578</t>
  </si>
  <si>
    <t>P10-F00578</t>
  </si>
  <si>
    <t>PBJ-0357</t>
  </si>
  <si>
    <t>Current source file exists at Data/Scripts/Items/Decorations/Artifacts/DoomDecorationArtifacts.cs; match=ExactFileClass; serializer evidence=Serialize:L362;Deserialize:L369;SerialCtor:L359; class=Server.Items.LeatherTunicArtifact; kind=Item; HasSerialConstructor=True; BaseCallStatus=BaseCallsFirst; VersionHandling=NoVersionFound; FieldAlignment=AlignedByCountAndKnownTypes; MoveRenameRisk=NamespaceOrTypeRenameDanger; ReviewStatus=NeedsSourceReview; ReviewReasons=NoVersionFound</t>
  </si>
  <si>
    <t>RB-00579</t>
  </si>
  <si>
    <t>P10-F00579</t>
  </si>
  <si>
    <t>PBJ-0358</t>
  </si>
  <si>
    <t>Current source file exists at Data/Scripts/Items/Decorations/Artifacts/DoomDecorationArtifacts.cs; match=ExactFileClass; serializer evidence=Serialize:L390;Deserialize:L397;SerialCtor:L387; class=Server.Items.RockArtifact; kind=Item; HasSerialConstructor=True; BaseCallStatus=BaseCallsFirst; VersionHandling=NoVersionFound; FieldAlignment=AlignedByCountAndKnownTypes; MoveRenameRisk=NamespaceOrTypeRenameDanger; ReviewStatus=NeedsSourceReview; ReviewReasons=NoVersionFound</t>
  </si>
  <si>
    <t>RB-00580</t>
  </si>
  <si>
    <t>P10-F00580</t>
  </si>
  <si>
    <t>PBJ-0359</t>
  </si>
  <si>
    <t>Current source file exists at Data/Scripts/Items/Decorations/Artifacts/DoomDecorationArtifacts.cs; match=ExactFileClass; serializer evidence=Serialize:L418;Deserialize:L425;SerialCtor:L415; class=Server.Items.RuinedPaintingArtifact; kind=Item; HasSerialConstructor=True; BaseCallStatus=BaseCallsFirst; VersionHandling=NoVersionFound; FieldAlignment=AlignedByCountAndKnownTypes; MoveRenameRisk=NamespaceOrTypeRenameDanger; ReviewStatus=NeedsSourceReview; ReviewReasons=NoVersionFound</t>
  </si>
  <si>
    <t>RB-00581</t>
  </si>
  <si>
    <t>P10-F00581</t>
  </si>
  <si>
    <t>PBJ-0360</t>
  </si>
  <si>
    <t>Current source file exists at Data/Scripts/Items/Decorations/Artifacts/DoomDecorationArtifacts.cs; match=ExactFileClass; serializer evidence=Serialize:L446;Deserialize:L453;SerialCtor:L443; class=Server.Items.SaddleArtifact; kind=Item; HasSerialConstructor=True; BaseCallStatus=BaseCallsFirst; VersionHandling=NoVersionFound; FieldAlignment=AlignedByCountAndKnownTypes; MoveRenameRisk=NamespaceOrTypeRenameDanger; ReviewStatus=NeedsSourceReview; ReviewReasons=NoVersionFound</t>
  </si>
  <si>
    <t>RB-00582</t>
  </si>
  <si>
    <t>P10-F00582</t>
  </si>
  <si>
    <t>PBJ-0361</t>
  </si>
  <si>
    <t>Current source file exists at Data/Scripts/Items/Decorations/Artifacts/DoomDecorationArtifacts.cs; match=ExactFileClass; serializer evidence=Serialize:L474;Deserialize:L481;SerialCtor:L471; class=Server.Items.SkinnedDeerArtifact; kind=Item; HasSerialConstructor=True; BaseCallStatus=BaseCallsFirst; VersionHandling=NoVersionFound; FieldAlignment=AlignedByCountAndKnownTypes; MoveRenameRisk=NamespaceOrTypeRenameDanger; ReviewStatus=NeedsSourceReview; ReviewReasons=NoVersionFound</t>
  </si>
  <si>
    <t>RB-00583</t>
  </si>
  <si>
    <t>P10-F00583</t>
  </si>
  <si>
    <t>PBJ-0362</t>
  </si>
  <si>
    <t>Current source file exists at Data/Scripts/Items/Decorations/Artifacts/DoomDecorationArtifacts.cs; match=ExactFileClass; serializer evidence=Serialize:L502;Deserialize:L509;SerialCtor:L499; class=Server.Items.SkinnedGoatArtifact; kind=Item; HasSerialConstructor=True; BaseCallStatus=BaseCallsFirst; VersionHandling=NoVersionFound; FieldAlignment=AlignedByCountAndKnownTypes; MoveRenameRisk=NamespaceOrTypeRenameDanger; ReviewStatus=NeedsSourceReview; ReviewReasons=NoVersionFound</t>
  </si>
  <si>
    <t>RB-00584</t>
  </si>
  <si>
    <t>P10-F00584</t>
  </si>
  <si>
    <t>PBJ-0363</t>
  </si>
  <si>
    <t>Current source file exists at Data/Scripts/Items/Decorations/Artifacts/DoomDecorationArtifacts.cs; match=ExactFileClass; serializer evidence=Serialize:L533;Deserialize:L540;SerialCtor:L530; class=Server.Items.SkullCandleArtifact; kind=Item; HasSerialConstructor=True; BaseCallStatus=BaseCallsFirst; VersionHandling=NoVersionFound; FieldAlignment=AlignedByCountAndKnownTypes; MoveRenameRisk=NamespaceOrTypeRenameDanger; ReviewStatus=NeedsSourceReview; ReviewReasons=NoVersionFound</t>
  </si>
  <si>
    <t>RB-00585</t>
  </si>
  <si>
    <t>P10-F00585</t>
  </si>
  <si>
    <t>PBJ-0364</t>
  </si>
  <si>
    <t>Current source file exists at Data/Scripts/Items/Decorations/Artifacts/DoomDecorationArtifacts.cs; match=ExactFileClass; serializer evidence=Serialize:L561;Deserialize:L568;SerialCtor:L558; class=Server.Items.StretchedHideArtifact; kind=Item; HasSerialConstructor=True; BaseCallStatus=BaseCallsFirst; VersionHandling=NoVersionFound; FieldAlignment=AlignedByCountAndKnownTypes; MoveRenameRisk=NamespaceOrTypeRenameDanger; ReviewStatus=NeedsSourceReview; ReviewReasons=NoVersionFound</t>
  </si>
  <si>
    <t>RB-00586</t>
  </si>
  <si>
    <t>P10-F00586</t>
  </si>
  <si>
    <t>PBJ-0365</t>
  </si>
  <si>
    <t>Current source file exists at Data/Scripts/Items/Decorations/Artifacts/DoomDecorationArtifacts.cs; match=ExactFileClass; serializer evidence=Serialize:L589;Deserialize:L596;SerialCtor:L586; class=Server.Items.StuddedLeggingsArtifact; kind=Item; HasSerialConstructor=True; BaseCallStatus=BaseCallsFirst; VersionHandling=NoVersionFound; FieldAlignment=AlignedByCountAndKnownTypes; MoveRenameRisk=NamespaceOrTypeRenameDanger; ReviewStatus=NeedsSourceReview; ReviewReasons=NoVersionFound</t>
  </si>
  <si>
    <t>RB-00587</t>
  </si>
  <si>
    <t>P10-F00587</t>
  </si>
  <si>
    <t>PBJ-0366</t>
  </si>
  <si>
    <t>Current source file exists at Data/Scripts/Items/Decorations/Artifacts/DoomDecorationArtifacts.cs; match=ExactFileClass; serializer evidence=Serialize:L617;Deserialize:L624;SerialCtor:L614; class=Server.Items.StuddedTunicArtifact; kind=Item; HasSerialConstructor=True; BaseCallStatus=BaseCallsFirst; VersionHandling=NoVersionFound; FieldAlignment=AlignedByCountAndKnownTypes; MoveRenameRisk=NamespaceOrTypeRenameDanger; ReviewStatus=NeedsSourceReview; ReviewReasons=NoVersionFound</t>
  </si>
  <si>
    <t>RB-00588</t>
  </si>
  <si>
    <t>P10-F00588</t>
  </si>
  <si>
    <t>PBJ-0367</t>
  </si>
  <si>
    <t>Current source file exists at Data/Scripts/Items/Decorations/Artifacts/DoomDecorationArtifacts.cs; match=ExactFileClass; serializer evidence=Serialize:L645;Deserialize:L652;SerialCtor:L642; class=Server.Items.TarotCardsArtifact; kind=Item; HasSerialConstructor=True; BaseCallStatus=BaseCallsFirst; VersionHandling=NoVersionFound; FieldAlignment=AlignedByCountAndKnownTypes; MoveRenameRisk=NamespaceOrTypeRenameDanger; ReviewStatus=NeedsSourceReview; ReviewReasons=NoVersionFound</t>
  </si>
  <si>
    <t>RB-00589</t>
  </si>
  <si>
    <t>P10-F00589</t>
  </si>
  <si>
    <t>Data/Scripts/Items/Decorations/Artifacts/SEDecorationArtifacts.cs</t>
  </si>
  <si>
    <t>PBJ-0368</t>
  </si>
  <si>
    <t>Current source file exists at Data/Scripts/Items/Decorations/Artifacts/SEDecorationArtifacts.cs; match=ExactFileClass; serializer evidence=Serialize:L18;Deserialize:L25;SerialCtor:L15; class=Server.Items.Basket1Artifact; kind=Item; HasSerialConstructor=True; BaseCallStatus=BaseCallsFirst; VersionHandling=NoVersionFound; FieldAlignment=AlignedByCountAndKnownTypes; MoveRenameRisk=NamespaceOrTypeRenameDanger; ReviewStatus=NeedsSourceReview; ReviewReasons=NoVersionFound</t>
  </si>
  <si>
    <t>Historical path=Data/Scripts/Items/Decorations/Artifacts/SEDecorationArtifacts.cs; backlog risk category=VersionHandling; write count=1; read count=1. POST-BATCH-J is triage only; no serialized layout edit is approved by this row.</t>
  </si>
  <si>
    <t>RB-00590</t>
  </si>
  <si>
    <t>P10-F00590</t>
  </si>
  <si>
    <t>PBJ-0369</t>
  </si>
  <si>
    <t>Current source file exists at Data/Scripts/Items/Decorations/Artifacts/SEDecorationArtifacts.cs; match=ExactFileClass; serializer evidence=Serialize:L46;Deserialize:L53;SerialCtor:L43; class=Server.Items.Basket2Artifact; kind=Item; HasSerialConstructor=True; BaseCallStatus=BaseCallsFirst; VersionHandling=NoVersionFound; FieldAlignment=AlignedByCountAndKnownTypes; MoveRenameRisk=NamespaceOrTypeRenameDanger; ReviewStatus=NeedsSourceReview; ReviewReasons=NoVersionFound</t>
  </si>
  <si>
    <t>RB-00591</t>
  </si>
  <si>
    <t>P10-F00591</t>
  </si>
  <si>
    <t>PBJ-0370</t>
  </si>
  <si>
    <t>Current source file exists at Data/Scripts/Items/Decorations/Artifacts/SEDecorationArtifacts.cs; match=ExactFileClass; serializer evidence=Serialize:L102;Deserialize:L109;SerialCtor:L99; class=Server.Items.Basket3NorthArtifact; kind=Item; HasSerialConstructor=True; BaseCallStatus=BaseCallsFirst; VersionHandling=NoVersionFound; FieldAlignment=AlignedByCountAndKnownTypes; MoveRenameRisk=NamespaceOrTypeRenameDanger; ReviewStatus=NeedsSourceReview; ReviewReasons=NoVersionFound</t>
  </si>
  <si>
    <t>RB-00592</t>
  </si>
  <si>
    <t>P10-F00592</t>
  </si>
  <si>
    <t>PBJ-0371</t>
  </si>
  <si>
    <t>Current source file exists at Data/Scripts/Items/Decorations/Artifacts/SEDecorationArtifacts.cs; match=ExactFileClass; serializer evidence=Serialize:L74;Deserialize:L81;SerialCtor:L71; class=Server.Items.Basket3WestArtifact; kind=Item; HasSerialConstructor=True; BaseCallStatus=BaseCallsFirst; VersionHandling=NoVersionFound; FieldAlignment=AlignedByCountAndKnownTypes; MoveRenameRisk=NamespaceOrTypeRenameDanger; ReviewStatus=NeedsSourceReview; ReviewReasons=NoVersionFound</t>
  </si>
  <si>
    <t>RB-00593</t>
  </si>
  <si>
    <t>P10-F00593</t>
  </si>
  <si>
    <t>PBJ-0372</t>
  </si>
  <si>
    <t>Current source file exists at Data/Scripts/Items/Decorations/Artifacts/SEDecorationArtifacts.cs; match=ExactFileClass; serializer evidence=Serialize:L130;Deserialize:L137;SerialCtor:L127; class=Server.Items.Basket4Artifact; kind=Item; HasSerialConstructor=True; BaseCallStatus=BaseCallsFirst; VersionHandling=NoVersionFound; FieldAlignment=AlignedByCountAndKnownTypes; MoveRenameRisk=NamespaceOrTypeRenameDanger; ReviewStatus=NeedsSourceReview; ReviewReasons=NoVersionFound</t>
  </si>
  <si>
    <t>RB-00594</t>
  </si>
  <si>
    <t>P10-F00594</t>
  </si>
  <si>
    <t>PBJ-0373</t>
  </si>
  <si>
    <t>Current source file exists at Data/Scripts/Items/Decorations/Artifacts/SEDecorationArtifacts.cs; match=ExactFileClass; serializer evidence=Serialize:L186;Deserialize:L193;SerialCtor:L183; class=Server.Items.Basket5NorthArtifact; kind=Item; HasSerialConstructor=True; BaseCallStatus=BaseCallsFirst; VersionHandling=NoVersionFound; FieldAlignment=AlignedByCountAndKnownTypes; MoveRenameRisk=NamespaceOrTypeRenameDanger; ReviewStatus=NeedsSourceReview; ReviewReasons=NoVersionFound</t>
  </si>
  <si>
    <t>RB-00595</t>
  </si>
  <si>
    <t>P10-F00595</t>
  </si>
  <si>
    <t>PBJ-0374</t>
  </si>
  <si>
    <t>Current source file exists at Data/Scripts/Items/Decorations/Artifacts/SEDecorationArtifacts.cs; match=ExactFileClass; serializer evidence=Serialize:L158;Deserialize:L165;SerialCtor:L155; class=Server.Items.Basket5WestArtifact; kind=Item; HasSerialConstructor=True; BaseCallStatus=BaseCallsFirst; VersionHandling=NoVersionFound; FieldAlignment=AlignedByCountAndKnownTypes; MoveRenameRisk=NamespaceOrTypeRenameDanger; ReviewStatus=NeedsSourceReview; ReviewReasons=NoVersionFound</t>
  </si>
  <si>
    <t>RB-00596</t>
  </si>
  <si>
    <t>P10-F00596</t>
  </si>
  <si>
    <t>PBJ-0375</t>
  </si>
  <si>
    <t>Current source file exists at Data/Scripts/Items/Decorations/Artifacts/SEDecorationArtifacts.cs; match=ExactFileClass; serializer evidence=Serialize:L214;Deserialize:L221;SerialCtor:L211; class=Server.Items.Basket6Artifact; kind=Item; HasSerialConstructor=True; BaseCallStatus=BaseCallsFirst; VersionHandling=NoVersionFound; FieldAlignment=AlignedByCountAndKnownTypes; MoveRenameRisk=NamespaceOrTypeRenameDanger; ReviewStatus=NeedsSourceReview; ReviewReasons=NoVersionFound</t>
  </si>
  <si>
    <t>RB-00597</t>
  </si>
  <si>
    <t>P10-F00597</t>
  </si>
  <si>
    <t>PBJ-0376</t>
  </si>
  <si>
    <t>Current source file exists at Data/Scripts/Items/Decorations/Artifacts/SEDecorationArtifacts.cs; match=ExactFileClass; serializer evidence=Serialize:L242;Deserialize:L249;SerialCtor:L239; class=Server.Items.BowlArtifact; kind=Item; HasSerialConstructor=True; BaseCallStatus=BaseCallsFirst; VersionHandling=NoVersionFound; FieldAlignment=AlignedByCountAndKnownTypes; MoveRenameRisk=NamespaceOrTypeRenameDanger; ReviewStatus=NeedsSourceReview; ReviewReasons=NoVersionFound</t>
  </si>
  <si>
    <t>RB-00598</t>
  </si>
  <si>
    <t>P10-F00598</t>
  </si>
  <si>
    <t>PBJ-0377</t>
  </si>
  <si>
    <t>Current source file exists at Data/Scripts/Items/Decorations/Artifacts/SEDecorationArtifacts.cs; match=ExactFileClass; serializer evidence=Serialize:L298;Deserialize:L305;SerialCtor:L295; class=Server.Items.BowlsHorizontalArtifact; kind=Item; HasSerialConstructor=True; BaseCallStatus=BaseCallsFirst; VersionHandling=NoVersionFound; FieldAlignment=AlignedByCountAndKnownTypes; MoveRenameRisk=NamespaceOrTypeRenameDanger; ReviewStatus=NeedsSourceReview; ReviewReasons=NoVersionFound</t>
  </si>
  <si>
    <t>RB-00599</t>
  </si>
  <si>
    <t>P10-F00599</t>
  </si>
  <si>
    <t>PBJ-0378</t>
  </si>
  <si>
    <t>Current source file exists at Data/Scripts/Items/Decorations/Artifacts/SEDecorationArtifacts.cs; match=ExactFileClass; serializer evidence=Serialize:L270;Deserialize:L277;SerialCtor:L267; class=Server.Items.BowlsVerticalArtifact; kind=Item; HasSerialConstructor=True; BaseCallStatus=BaseCallsFirst; VersionHandling=NoVersionFound; FieldAlignment=AlignedByCountAndKnownTypes; MoveRenameRisk=NamespaceOrTypeRenameDanger; ReviewStatus=NeedsSourceReview; ReviewReasons=NoVersionFound</t>
  </si>
  <si>
    <t>RB-00600</t>
  </si>
  <si>
    <t>P10-F00600</t>
  </si>
  <si>
    <t>PBJ-0379</t>
  </si>
  <si>
    <t>Current source file exists at Data/Scripts/Items/Decorations/Artifacts/SEDecorationArtifacts.cs; match=ExactFileClass; serializer evidence=Serialize:L326;Deserialize:L333;SerialCtor:L323; class=Server.Items.CupsArtifact; kind=Item; HasSerialConstructor=True; BaseCallStatus=BaseCallsFirst; VersionHandling=NoVersionFound; FieldAlignment=AlignedByCountAndKnownTypes; MoveRenameRisk=NamespaceOrTypeRenameDanger; ReviewStatus=NeedsSourceReview; ReviewReasons=NoVersionFound</t>
  </si>
  <si>
    <t>RB-00601</t>
  </si>
  <si>
    <t>P10-F00601</t>
  </si>
  <si>
    <t>PBJ-0380</t>
  </si>
  <si>
    <t>Current source file exists at Data/Scripts/Items/Decorations/Artifacts/SEDecorationArtifacts.cs; match=ExactFileClass; serializer evidence=Serialize:L886;Deserialize:L893;SerialCtor:L883; class=Server.Items.DolphinLeftArtifact; kind=Item; HasSerialConstructor=True; BaseCallStatus=BaseCallsFirst; VersionHandling=NoVersionFound; FieldAlignment=AlignedByCountAndKnownTypes; MoveRenameRisk=NamespaceOrTypeRenameDanger; ReviewStatus=NeedsSourceReview; ReviewReasons=NoVersionFound</t>
  </si>
  <si>
    <t>RB-00602</t>
  </si>
  <si>
    <t>P10-F00602</t>
  </si>
  <si>
    <t>PBJ-0381</t>
  </si>
  <si>
    <t>Current source file exists at Data/Scripts/Items/Decorations/Artifacts/SEDecorationArtifacts.cs; match=ExactFileClass; serializer evidence=Serialize:L914;Deserialize:L921;SerialCtor:L911; class=Server.Items.DolphinRightArtifact; kind=Item; HasSerialConstructor=True; BaseCallStatus=BaseCallsFirst; VersionHandling=NoVersionFound; FieldAlignment=AlignedByCountAndKnownTypes; MoveRenameRisk=NamespaceOrTypeRenameDanger; ReviewStatus=NeedsSourceReview; ReviewReasons=NoVersionFound</t>
  </si>
  <si>
    <t>RB-00603</t>
  </si>
  <si>
    <t>P10-F00603</t>
  </si>
  <si>
    <t>PBJ-0382</t>
  </si>
  <si>
    <t>Current source file exists at Data/Scripts/Items/Decorations/Artifacts/SEDecorationArtifacts.cs; match=ExactFileClass; serializer evidence=Serialize:L382;Deserialize:L389;SerialCtor:L379; class=Server.Items.FanNorthArtifact; kind=Item; HasSerialConstructor=True; BaseCallStatus=BaseCallsFirst; VersionHandling=NoVersionFound; FieldAlignment=AlignedByCountAndKnownTypes; MoveRenameRisk=NamespaceOrTypeRenameDanger; ReviewStatus=NeedsSourceReview; ReviewReasons=NoVersionFound</t>
  </si>
  <si>
    <t>RB-00604</t>
  </si>
  <si>
    <t>P10-F00604</t>
  </si>
  <si>
    <t>PBJ-0383</t>
  </si>
  <si>
    <t>Current source file exists at Data/Scripts/Items/Decorations/Artifacts/SEDecorationArtifacts.cs; match=ExactFileClass; serializer evidence=Serialize:L354;Deserialize:L361;SerialCtor:L351; class=Server.Items.FanWestArtifact; kind=Item; HasSerialConstructor=True; BaseCallStatus=BaseCallsFirst; VersionHandling=NoVersionFound; FieldAlignment=AlignedByCountAndKnownTypes; MoveRenameRisk=NamespaceOrTypeRenameDanger; ReviewStatus=NeedsSourceReview; ReviewReasons=NoVersionFound</t>
  </si>
  <si>
    <t>RB-00605</t>
  </si>
  <si>
    <t>P10-F00605</t>
  </si>
  <si>
    <t>PBJ-0384</t>
  </si>
  <si>
    <t>Current source file exists at Data/Scripts/Items/Decorations/Artifacts/SEDecorationArtifacts.cs; match=ExactFileClass; serializer evidence=Serialize:L466;Deserialize:L473;SerialCtor:L463; class=Server.Items.FlowersArtifact; kind=Item; HasSerialConstructor=True; BaseCallStatus=BaseCallsFirst; VersionHandling=NoVersionFound; FieldAlignment=AlignedByCountAndKnownTypes; MoveRenameRisk=NamespaceOrTypeRenameDanger; ReviewStatus=NeedsSourceReview; ReviewReasons=NoVersionFound</t>
  </si>
  <si>
    <t>RB-00606</t>
  </si>
  <si>
    <t>P10-F00606</t>
  </si>
  <si>
    <t>PBJ-0385</t>
  </si>
  <si>
    <t>Current source file exists at Data/Scripts/Items/Decorations/Artifacts/SEDecorationArtifacts.cs; match=ExactFileClass; serializer evidence=Serialize:L970;Deserialize:L977;SerialCtor:L967; class=Server.Items.ManStatuetteEastArtifact; kind=Item; HasSerialConstructor=True; BaseCallStatus=BaseCallsFirst; VersionHandling=NoVersionFound; FieldAlignment=AlignedByCountAndKnownTypes; MoveRenameRisk=NamespaceOrTypeRenameDanger; ReviewStatus=NeedsSourceReview; ReviewReasons=NoVersionFound</t>
  </si>
  <si>
    <t>RB-00607</t>
  </si>
  <si>
    <t>P10-F00607</t>
  </si>
  <si>
    <t>PBJ-0386</t>
  </si>
  <si>
    <t>Current source file exists at Data/Scripts/Items/Decorations/Artifacts/SEDecorationArtifacts.cs; match=ExactFileClass; serializer evidence=Serialize:L942;Deserialize:L949;SerialCtor:L939; class=Server.Items.ManStatuetteSouthArtifact; kind=Item; HasSerialConstructor=True; BaseCallStatus=BaseCallsFirst; VersionHandling=NoVersionFound; FieldAlignment=AlignedByCountAndKnownTypes; MoveRenameRisk=NamespaceOrTypeRenameDanger; ReviewStatus=NeedsSourceReview; ReviewReasons=NoVersionFound</t>
  </si>
  <si>
    <t>RB-00608</t>
  </si>
  <si>
    <t>P10-F00608</t>
  </si>
  <si>
    <t>PBJ-0387</t>
  </si>
  <si>
    <t>Current source file exists at Data/Scripts/Items/Decorations/Artifacts/SEDecorationArtifacts.cs; match=ExactFileClass; serializer evidence=Serialize:L522;Deserialize:L529;SerialCtor:L519; class=Server.Items.Painting1NorthArtifact; kind=Item; HasSerialConstructor=True; BaseCallStatus=BaseCallsFirst; VersionHandling=NoVersionFound; FieldAlignment=AlignedByCountAndKnownTypes; MoveRenameRisk=NamespaceOrTypeRenameDanger; ReviewStatus=NeedsSourceReview; ReviewReasons=NoVersionFound</t>
  </si>
  <si>
    <t>RB-00609</t>
  </si>
  <si>
    <t>P10-F00609</t>
  </si>
  <si>
    <t>PBJ-0388</t>
  </si>
  <si>
    <t>Current source file exists at Data/Scripts/Items/Decorations/Artifacts/SEDecorationArtifacts.cs; match=ExactFileClass; serializer evidence=Serialize:L494;Deserialize:L501;SerialCtor:L491; class=Server.Items.Painting1WestArtifact; kind=Item; HasSerialConstructor=True; BaseCallStatus=BaseCallsFirst; VersionHandling=NoVersionFound; FieldAlignment=AlignedByCountAndKnownTypes; MoveRenameRisk=NamespaceOrTypeRenameDanger; ReviewStatus=NeedsSourceReview; ReviewReasons=NoVersionFound</t>
  </si>
  <si>
    <t>RB-00610</t>
  </si>
  <si>
    <t>P10-F00610</t>
  </si>
  <si>
    <t>PBJ-0389</t>
  </si>
  <si>
    <t>Current source file exists at Data/Scripts/Items/Decorations/Artifacts/SEDecorationArtifacts.cs; match=ExactFileClass; serializer evidence=Serialize:L578;Deserialize:L585;SerialCtor:L575; class=Server.Items.Painting2NorthArtifact; kind=Item; HasSerialConstructor=True; BaseCallStatus=BaseCallsFirst; VersionHandling=NoVersionFound; FieldAlignment=AlignedByCountAndKnownTypes; MoveRenameRisk=NamespaceOrTypeRenameDanger; ReviewStatus=NeedsSourceReview; ReviewReasons=NoVersionFound</t>
  </si>
  <si>
    <t>RB-00611</t>
  </si>
  <si>
    <t>P10-F00611</t>
  </si>
  <si>
    <t>PBJ-0390</t>
  </si>
  <si>
    <t>Current source file exists at Data/Scripts/Items/Decorations/Artifacts/SEDecorationArtifacts.cs; match=ExactFileClass; serializer evidence=Serialize:L550;Deserialize:L557;SerialCtor:L547; class=Server.Items.Painting2WestArtifact; kind=Item; HasSerialConstructor=True; BaseCallStatus=BaseCallsFirst; VersionHandling=NoVersionFound; FieldAlignment=AlignedByCountAndKnownTypes; MoveRenameRisk=NamespaceOrTypeRenameDanger; ReviewStatus=NeedsSourceReview; ReviewReasons=NoVersionFound</t>
  </si>
  <si>
    <t>RB-00612</t>
  </si>
  <si>
    <t>P10-F00612</t>
  </si>
  <si>
    <t>PBJ-0391</t>
  </si>
  <si>
    <t>Current source file exists at Data/Scripts/Items/Decorations/Artifacts/SEDecorationArtifacts.cs; match=ExactFileClass; serializer evidence=Serialize:L606;Deserialize:L613;SerialCtor:L603; class=Server.Items.Painting3Artifact; kind=Item; HasSerialConstructor=True; BaseCallStatus=BaseCallsFirst; VersionHandling=NoVersionFound; FieldAlignment=AlignedByCountAndKnownTypes; MoveRenameRisk=NamespaceOrTypeRenameDanger; ReviewStatus=NeedsSourceReview; ReviewReasons=NoVersionFound</t>
  </si>
  <si>
    <t>RB-00613</t>
  </si>
  <si>
    <t>P10-F00613</t>
  </si>
  <si>
    <t>PBJ-0392</t>
  </si>
  <si>
    <t>Current source file exists at Data/Scripts/Items/Decorations/Artifacts/SEDecorationArtifacts.cs; match=ExactFileClass; serializer evidence=Serialize:L662;Deserialize:L669;SerialCtor:L659; class=Server.Items.Painting4NorthArtifact; kind=Item; HasSerialConstructor=True; BaseCallStatus=BaseCallsFirst; VersionHandling=NoVersionFound; FieldAlignment=AlignedByCountAndKnownTypes; MoveRenameRisk=NamespaceOrTypeRenameDanger; ReviewStatus=NeedsSourceReview; ReviewReasons=NoVersionFound</t>
  </si>
  <si>
    <t>RB-00614</t>
  </si>
  <si>
    <t>P10-F00614</t>
  </si>
  <si>
    <t>PBJ-0393</t>
  </si>
  <si>
    <t>Current source file exists at Data/Scripts/Items/Decorations/Artifacts/SEDecorationArtifacts.cs; match=ExactFileClass; serializer evidence=Serialize:L634;Deserialize:L641;SerialCtor:L631; class=Server.Items.Painting4WestArtifact; kind=Item; HasSerialConstructor=True; BaseCallStatus=BaseCallsFirst; VersionHandling=NoVersionFound; FieldAlignment=AlignedByCountAndKnownTypes; MoveRenameRisk=NamespaceOrTypeRenameDanger; ReviewStatus=NeedsSourceReview; ReviewReasons=NoVersionFound</t>
  </si>
  <si>
    <t>RB-00615</t>
  </si>
  <si>
    <t>P10-F00615</t>
  </si>
  <si>
    <t>PBJ-0394</t>
  </si>
  <si>
    <t>Current source file exists at Data/Scripts/Items/Decorations/Artifacts/SEDecorationArtifacts.cs; match=ExactFileClass; serializer evidence=Serialize:L718;Deserialize:L725;SerialCtor:L715; class=Server.Items.Painting5NorthArtifact; kind=Item; HasSerialConstructor=True; BaseCallStatus=BaseCallsFirst; VersionHandling=NoVersionFound; FieldAlignment=AlignedByCountAndKnownTypes; MoveRenameRisk=NamespaceOrTypeRenameDanger; ReviewStatus=NeedsSourceReview; ReviewReasons=NoVersionFound</t>
  </si>
  <si>
    <t>RB-00616</t>
  </si>
  <si>
    <t>P10-F00616</t>
  </si>
  <si>
    <t>PBJ-0395</t>
  </si>
  <si>
    <t>Current source file exists at Data/Scripts/Items/Decorations/Artifacts/SEDecorationArtifacts.cs; match=ExactFileClass; serializer evidence=Serialize:L690;Deserialize:L697;SerialCtor:L687; class=Server.Items.Painting5WestArtifact; kind=Item; HasSerialConstructor=True; BaseCallStatus=BaseCallsFirst; VersionHandling=NoVersionFound; FieldAlignment=AlignedByCountAndKnownTypes; MoveRenameRisk=NamespaceOrTypeRenameDanger; ReviewStatus=NeedsSourceReview; ReviewReasons=NoVersionFound</t>
  </si>
  <si>
    <t>RB-00617</t>
  </si>
  <si>
    <t>P10-F00617</t>
  </si>
  <si>
    <t>PBJ-0396</t>
  </si>
  <si>
    <t>Current source file exists at Data/Scripts/Items/Decorations/Artifacts/SEDecorationArtifacts.cs; match=ExactFileClass; serializer evidence=Serialize:L774;Deserialize:L781;SerialCtor:L771; class=Server.Items.Painting6NorthArtifact; kind=Item; HasSerialConstructor=True; BaseCallStatus=BaseCallsFirst; VersionHandling=NoVersionFound; FieldAlignment=AlignedByCountAndKnownTypes; MoveRenameRisk=NamespaceOrTypeRenameDanger; ReviewStatus=NeedsSourceReview; ReviewReasons=NoVersionFound</t>
  </si>
  <si>
    <t>RB-00618</t>
  </si>
  <si>
    <t>P10-F00618</t>
  </si>
  <si>
    <t>PBJ-0397</t>
  </si>
  <si>
    <t>Current source file exists at Data/Scripts/Items/Decorations/Artifacts/SEDecorationArtifacts.cs; match=ExactFileClass; serializer evidence=Serialize:L746;Deserialize:L753;SerialCtor:L743; class=Server.Items.Painting6WestArtifact; kind=Item; HasSerialConstructor=True; BaseCallStatus=BaseCallsFirst; VersionHandling=NoVersionFound; FieldAlignment=AlignedByCountAndKnownTypes; MoveRenameRisk=NamespaceOrTypeRenameDanger; ReviewStatus=NeedsSourceReview; ReviewReasons=NoVersionFound</t>
  </si>
  <si>
    <t>RB-00619</t>
  </si>
  <si>
    <t>P10-F00619</t>
  </si>
  <si>
    <t>PBJ-0398</t>
  </si>
  <si>
    <t>Current source file exists at Data/Scripts/Items/Decorations/Artifacts/SEDecorationArtifacts.cs; match=ExactFileClass; serializer evidence=Serialize:L802;Deserialize:L809;SerialCtor:L799; class=Server.Items.SakeArtifact; kind=Item; HasSerialConstructor=True; BaseCallStatus=BaseCallsFirst; VersionHandling=NoVersionFound; FieldAlignment=AlignedByCountAndKnownTypes; MoveRenameRisk=NamespaceOrTypeRenameDanger; ReviewStatus=NeedsSourceReview; ReviewReasons=NoVersionFound</t>
  </si>
  <si>
    <t>RB-00620</t>
  </si>
  <si>
    <t>P10-F00620</t>
  </si>
  <si>
    <t>PBJ-0399</t>
  </si>
  <si>
    <t>Current source file exists at Data/Scripts/Items/Decorations/Artifacts/SEDecorationArtifacts.cs; match=ExactFileClass; serializer evidence=Serialize:L830;Deserialize:L837;SerialCtor:L827; class=Server.Items.Sculpture1Artifact; kind=Item; HasSerialConstructor=True; BaseCallStatus=BaseCallsFirst; VersionHandling=NoVersionFound; FieldAlignment=AlignedByCountAndKnownTypes; MoveRenameRisk=NamespaceOrTypeRenameDanger; ReviewStatus=NeedsSourceReview; ReviewReasons=NoVersionFound</t>
  </si>
  <si>
    <t>RB-00621</t>
  </si>
  <si>
    <t>P10-F00621</t>
  </si>
  <si>
    <t>PBJ-0400</t>
  </si>
  <si>
    <t>Current source file exists at Data/Scripts/Items/Decorations/Artifacts/SEDecorationArtifacts.cs; match=ExactFileClass; serializer evidence=Serialize:L858;Deserialize:L865;SerialCtor:L855; class=Server.Items.Sculpture2Artifact; kind=Item; HasSerialConstructor=True; BaseCallStatus=BaseCallsFirst; VersionHandling=NoVersionFound; FieldAlignment=AlignedByCountAndKnownTypes; MoveRenameRisk=NamespaceOrTypeRenameDanger; ReviewStatus=NeedsSourceReview; ReviewReasons=NoVersionFound</t>
  </si>
  <si>
    <t>RB-00622</t>
  </si>
  <si>
    <t>P10-F00622</t>
  </si>
  <si>
    <t>PBJ-0401</t>
  </si>
  <si>
    <t>Current source file exists at Data/Scripts/Items/Decorations/Artifacts/SEDecorationArtifacts.cs; match=ExactFileClass; serializer evidence=Serialize:L1026;Deserialize:L1033;SerialCtor:L1023; class=Server.Items.SwordDisplay1NorthArtifact; kind=Item; HasSerialConstructor=True; BaseCallStatus=BaseCallsFirst; VersionHandling=NoVersionFound; FieldAlignment=AlignedByCountAndKnownTypes; MoveRenameRisk=NamespaceOrTypeRenameDanger; ReviewStatus=NeedsSourceReview; ReviewReasons=NoVersionFound</t>
  </si>
  <si>
    <t>RB-00623</t>
  </si>
  <si>
    <t>P10-F00623</t>
  </si>
  <si>
    <t>PBJ-0402</t>
  </si>
  <si>
    <t>Current source file exists at Data/Scripts/Items/Decorations/Artifacts/SEDecorationArtifacts.cs; match=ExactFileClass; serializer evidence=Serialize:L998;Deserialize:L1005;SerialCtor:L995; class=Server.Items.SwordDisplay1WestArtifact; kind=Item; HasSerialConstructor=True; BaseCallStatus=BaseCallsFirst; VersionHandling=NoVersionFound; FieldAlignment=AlignedByCountAndKnownTypes; MoveRenameRisk=NamespaceOrTypeRenameDanger; ReviewStatus=NeedsSourceReview; ReviewReasons=NoVersionFound</t>
  </si>
  <si>
    <t>RB-00624</t>
  </si>
  <si>
    <t>P10-F00624</t>
  </si>
  <si>
    <t>PBJ-0403</t>
  </si>
  <si>
    <t>Current source file exists at Data/Scripts/Items/Decorations/Artifacts/SEDecorationArtifacts.cs; match=ExactFileClass; serializer evidence=Serialize:L1082;Deserialize:L1089;SerialCtor:L1079; class=Server.Items.SwordDisplay2NorthArtifact; kind=Item; HasSerialConstructor=True; BaseCallStatus=BaseCallsFirst; VersionHandling=NoVersionFound; FieldAlignment=AlignedByCountAndKnownTypes; MoveRenameRisk=NamespaceOrTypeRenameDanger; ReviewStatus=NeedsSourceReview; ReviewReasons=NoVersionFound</t>
  </si>
  <si>
    <t>RB-00625</t>
  </si>
  <si>
    <t>P10-F00625</t>
  </si>
  <si>
    <t>PBJ-0404</t>
  </si>
  <si>
    <t>Current source file exists at Data/Scripts/Items/Decorations/Artifacts/SEDecorationArtifacts.cs; match=ExactFileClass; serializer evidence=Serialize:L1054;Deserialize:L1061;SerialCtor:L1051; class=Server.Items.SwordDisplay2WestArtifact; kind=Item; HasSerialConstructor=True; BaseCallStatus=BaseCallsFirst; VersionHandling=NoVersionFound; FieldAlignment=AlignedByCountAndKnownTypes; MoveRenameRisk=NamespaceOrTypeRenameDanger; ReviewStatus=NeedsSourceReview; ReviewReasons=NoVersionFound</t>
  </si>
  <si>
    <t>RB-00626</t>
  </si>
  <si>
    <t>P10-F00626</t>
  </si>
  <si>
    <t>PBJ-0405</t>
  </si>
  <si>
    <t>Current source file exists at Data/Scripts/Items/Decorations/Artifacts/SEDecorationArtifacts.cs; match=ExactFileClass; serializer evidence=Serialize:L1138;Deserialize:L1145;SerialCtor:L1135; class=Server.Items.SwordDisplay3EastArtifact; kind=Item; HasSerialConstructor=True; BaseCallStatus=BaseCallsFirst; VersionHandling=NoVersionFound; FieldAlignment=AlignedByCountAndKnownTypes; MoveRenameRisk=NamespaceOrTypeRenameDanger; ReviewStatus=NeedsSourceReview; ReviewReasons=NoVersionFound</t>
  </si>
  <si>
    <t>RB-00627</t>
  </si>
  <si>
    <t>P10-F00627</t>
  </si>
  <si>
    <t>PBJ-0406</t>
  </si>
  <si>
    <t>Current source file exists at Data/Scripts/Items/Decorations/Artifacts/SEDecorationArtifacts.cs; match=ExactFileClass; serializer evidence=Serialize:L1110;Deserialize:L1117;SerialCtor:L1107; class=Server.Items.SwordDisplay3SouthArtifact; kind=Item; HasSerialConstructor=True; BaseCallStatus=BaseCallsFirst; VersionHandling=NoVersionFound; FieldAlignment=AlignedByCountAndKnownTypes; MoveRenameRisk=NamespaceOrTypeRenameDanger; ReviewStatus=NeedsSourceReview; ReviewReasons=NoVersionFound</t>
  </si>
  <si>
    <t>RB-00628</t>
  </si>
  <si>
    <t>P10-F00628</t>
  </si>
  <si>
    <t>PBJ-0407</t>
  </si>
  <si>
    <t>Current source file exists at Data/Scripts/Items/Decorations/Artifacts/SEDecorationArtifacts.cs; match=ExactFileClass; serializer evidence=Serialize:L1194;Deserialize:L1201;SerialCtor:L1191; class=Server.Items.SwordDisplay4NorthArtifact; kind=Item; HasSerialConstructor=True; BaseCallStatus=BaseCallsFirst; VersionHandling=NoVersionFound; FieldAlignment=AlignedByCountAndKnownTypes; MoveRenameRisk=NamespaceOrTypeRenameDanger; ReviewStatus=NeedsSourceReview; ReviewReasons=NoVersionFound</t>
  </si>
  <si>
    <t>RB-00629</t>
  </si>
  <si>
    <t>P10-F00629</t>
  </si>
  <si>
    <t>PBJ-0408</t>
  </si>
  <si>
    <t>Current source file exists at Data/Scripts/Items/Decorations/Artifacts/SEDecorationArtifacts.cs; match=ExactFileClass; serializer evidence=Serialize:L1166;Deserialize:L1173;SerialCtor:L1163; class=Server.Items.SwordDisplay4WestArtifact; kind=Item; HasSerialConstructor=True; BaseCallStatus=BaseCallsFirst; VersionHandling=NoVersionFound; FieldAlignment=AlignedByCountAndKnownTypes; MoveRenameRisk=NamespaceOrTypeRenameDanger; ReviewStatus=NeedsSourceReview; ReviewReasons=NoVersionFound</t>
  </si>
  <si>
    <t>RB-00630</t>
  </si>
  <si>
    <t>P10-F00630</t>
  </si>
  <si>
    <t>PBJ-0409</t>
  </si>
  <si>
    <t>Current source file exists at Data/Scripts/Items/Decorations/Artifacts/SEDecorationArtifacts.cs; match=ExactFileClass; serializer evidence=Serialize:L1250;Deserialize:L1257;SerialCtor:L1247; class=Server.Items.SwordDisplay5NorthArtifact; kind=Item; HasSerialConstructor=True; BaseCallStatus=BaseCallsFirst; VersionHandling=NoVersionFound; FieldAlignment=AlignedByCountAndKnownTypes; MoveRenameRisk=NamespaceOrTypeRenameDanger; ReviewStatus=NeedsSourceReview; ReviewReasons=NoVersionFound</t>
  </si>
  <si>
    <t>RB-00631</t>
  </si>
  <si>
    <t>P10-F00631</t>
  </si>
  <si>
    <t>PBJ-0410</t>
  </si>
  <si>
    <t>Current source file exists at Data/Scripts/Items/Decorations/Artifacts/SEDecorationArtifacts.cs; match=ExactFileClass; serializer evidence=Serialize:L1222;Deserialize:L1229;SerialCtor:L1219; class=Server.Items.SwordDisplay5WestArtifact; kind=Item; HasSerialConstructor=True; BaseCallStatus=BaseCallsFirst; VersionHandling=NoVersionFound; FieldAlignment=AlignedByCountAndKnownTypes; MoveRenameRisk=NamespaceOrTypeRenameDanger; ReviewStatus=NeedsSourceReview; ReviewReasons=NoVersionFound</t>
  </si>
  <si>
    <t>RB-00632</t>
  </si>
  <si>
    <t>P10-F00632</t>
  </si>
  <si>
    <t>PBJ-0411</t>
  </si>
  <si>
    <t>Current source file exists at Data/Scripts/Items/Decorations/Artifacts/SEDecorationArtifacts.cs; match=ExactFileClass; serializer evidence=Serialize:L1306;Deserialize:L1313;SerialCtor:L1303; class=Server.Items.TeapotNorthArtifact; kind=Item; HasSerialConstructor=True; BaseCallStatus=BaseCallsFirst; VersionHandling=NoVersionFound; FieldAlignment=AlignedByCountAndKnownTypes; MoveRenameRisk=NamespaceOrTypeRenameDanger; ReviewStatus=NeedsSourceReview; ReviewReasons=NoVersionFound</t>
  </si>
  <si>
    <t>RB-00633</t>
  </si>
  <si>
    <t>P10-F00633</t>
  </si>
  <si>
    <t>PBJ-0412</t>
  </si>
  <si>
    <t>Current source file exists at Data/Scripts/Items/Decorations/Artifacts/SEDecorationArtifacts.cs; match=ExactFileClass; serializer evidence=Serialize:L1278;Deserialize:L1285;SerialCtor:L1275; class=Server.Items.TeapotWestArtifact; kind=Item; HasSerialConstructor=True; BaseCallStatus=BaseCallsFirst; VersionHandling=NoVersionFound; FieldAlignment=AlignedByCountAndKnownTypes; MoveRenameRisk=NamespaceOrTypeRenameDanger; ReviewStatus=NeedsSourceReview; ReviewReasons=NoVersionFound</t>
  </si>
  <si>
    <t>RB-00634</t>
  </si>
  <si>
    <t>P10-F00634</t>
  </si>
  <si>
    <t>PBJ-0413</t>
  </si>
  <si>
    <t>Current source file exists at Data/Scripts/Items/Decorations/Artifacts/SEDecorationArtifacts.cs; match=ExactFileClass; serializer evidence=Serialize:L1365;Deserialize:L1372;SerialCtor:L1362; class=Server.Items.TowerLanternArtifact; kind=Item; HasSerialConstructor=True; BaseCallStatus=BaseCallsFirst; VersionHandling=NoVersionFound; FieldAlignment=AlignedByCountAndKnownTypes; MoveRenameRisk=NamespaceOrTypeRenameDanger; ReviewStatus=NeedsSourceReview; ReviewReasons=NoVersionFound</t>
  </si>
  <si>
    <t>RB-00635</t>
  </si>
  <si>
    <t>P10-F00635</t>
  </si>
  <si>
    <t>PBJ-0414</t>
  </si>
  <si>
    <t>Current source file exists at Data/Scripts/Items/Decorations/Artifacts/SEDecorationArtifacts.cs; match=ExactFileClass; serializer evidence=Serialize:L438;Deserialize:L445;SerialCtor:L435; class=Server.Items.TripleFanNorthArtifact; kind=Item; HasSerialConstructor=True; BaseCallStatus=BaseCallsFirst; VersionHandling=NoVersionFound; FieldAlignment=AlignedByCountAndKnownTypes; MoveRenameRisk=NamespaceOrTypeRenameDanger; ReviewStatus=NeedsSourceReview; ReviewReasons=NoVersionFound</t>
  </si>
  <si>
    <t>RB-00636</t>
  </si>
  <si>
    <t>P10-F00636</t>
  </si>
  <si>
    <t>PBJ-0415</t>
  </si>
  <si>
    <t>Current source file exists at Data/Scripts/Items/Decorations/Artifacts/SEDecorationArtifacts.cs; match=ExactFileClass; serializer evidence=Serialize:L410;Deserialize:L417;SerialCtor:L407; class=Server.Items.TripleFanWestArtifact; kind=Item; HasSerialConstructor=True; BaseCallStatus=BaseCallsFirst; VersionHandling=NoVersionFound; FieldAlignment=AlignedByCountAndKnownTypes; MoveRenameRisk=NamespaceOrTypeRenameDanger; ReviewStatus=NeedsSourceReview; ReviewReasons=NoVersionFound</t>
  </si>
  <si>
    <t>RB-00637</t>
  </si>
  <si>
    <t>P10-F00637</t>
  </si>
  <si>
    <t>PBJ-0416</t>
  </si>
  <si>
    <t>Current source file exists at Data/Scripts/Items/Decorations/Artifacts/SEDecorationArtifacts.cs; match=ExactFileClass; serializer evidence=Serialize:L1396;Deserialize:L1403;SerialCtor:L1393; class=Server.Items.Urn1Artifact; kind=Item; HasSerialConstructor=True; BaseCallStatus=BaseCallsFirst; VersionHandling=NoVersionFound; FieldAlignment=AlignedByCountAndKnownTypes; MoveRenameRisk=NamespaceOrTypeRenameDanger; ReviewStatus=NeedsSourceReview; ReviewReasons=NoVersionFound</t>
  </si>
  <si>
    <t>RB-00638</t>
  </si>
  <si>
    <t>P10-F00638</t>
  </si>
  <si>
    <t>PBJ-0417</t>
  </si>
  <si>
    <t>Current source file exists at Data/Scripts/Items/Decorations/Artifacts/SEDecorationArtifacts.cs; match=ExactFileClass; serializer evidence=Serialize:L1424;Deserialize:L1431;SerialCtor:L1421; class=Server.Items.Urn2Artifact; kind=Item; HasSerialConstructor=True; BaseCallStatus=BaseCallsFirst; VersionHandling=NoVersionFound; FieldAlignment=AlignedByCountAndKnownTypes; MoveRenameRisk=NamespaceOrTypeRenameDanger; ReviewStatus=NeedsSourceReview; ReviewReasons=NoVersionFound</t>
  </si>
  <si>
    <t>RB-00639</t>
  </si>
  <si>
    <t>P10-F00639</t>
  </si>
  <si>
    <t>PBJ-0418</t>
  </si>
  <si>
    <t>Current source file exists at Data/Scripts/Items/Decorations/Artifacts/SEDecorationArtifacts.cs; match=ExactFileClass; serializer evidence=Serialize:L1452;Deserialize:L1459;SerialCtor:L1449; class=Server.Items.ZenRock1Artifact; kind=Item; HasSerialConstructor=True; BaseCallStatus=BaseCallsFirst; VersionHandling=NoVersionFound; FieldAlignment=AlignedByCountAndKnownTypes; MoveRenameRisk=NamespaceOrTypeRenameDanger; ReviewStatus=NeedsSourceReview; ReviewReasons=NoVersionFound</t>
  </si>
  <si>
    <t>RB-00640</t>
  </si>
  <si>
    <t>P10-F00640</t>
  </si>
  <si>
    <t>PBJ-0419</t>
  </si>
  <si>
    <t>Current source file exists at Data/Scripts/Items/Decorations/Artifacts/SEDecorationArtifacts.cs; match=ExactFileClass; serializer evidence=Serialize:L1480;Deserialize:L1487;SerialCtor:L1477; class=Server.Items.ZenRock2Artifact; kind=Item; HasSerialConstructor=True; BaseCallStatus=BaseCallsFirst; VersionHandling=NoVersionFound; FieldAlignment=AlignedByCountAndKnownTypes; MoveRenameRisk=NamespaceOrTypeRenameDanger; ReviewStatus=NeedsSourceReview; ReviewReasons=NoVersionFound</t>
  </si>
  <si>
    <t>RB-00641</t>
  </si>
  <si>
    <t>P10-F00641</t>
  </si>
  <si>
    <t>PBJ-0420</t>
  </si>
  <si>
    <t>Current source file exists at Data/Scripts/Items/Decorations/Artifacts/SEDecorationArtifacts.cs; match=ExactFileClass; serializer evidence=Serialize:L1508;Deserialize:L1515;SerialCtor:L1505; class=Server.Items.ZenRock3Artifact; kind=Item; HasSerialConstructor=True; BaseCallStatus=BaseCallsFirst; VersionHandling=NoVersionFound; FieldAlignment=AlignedByCountAndKnownTypes; MoveRenameRisk=NamespaceOrTypeRenameDanger; ReviewStatus=NeedsSourceReview; ReviewReasons=NoVersionFound</t>
  </si>
  <si>
    <t>RB-00642</t>
  </si>
  <si>
    <t>P10-F00642</t>
  </si>
  <si>
    <t>Data/Scripts/Items/Decorations/Artifacts/StealableArtifactsSpawner.cs</t>
  </si>
  <si>
    <t>PBJ-0421</t>
  </si>
  <si>
    <t>Current source file exists at Data/Scripts/Items/Decorations/Artifacts/StealableArtifactsSpawner.cs; match=ExactFileClass; serializer evidence=Serialize:L554;Deserialize:L571;SerialCtor:L548; class=Server.Items.StealableArtifactsSpawner; kind=Spawner; HasSerialConstructor=True; BaseCallStatus=BaseCallsFirst; VersionHandling=NoVersionFound; FieldAlignment=AlignedByCountAndKnownTypes; MoveRenameRisk=NamespaceOrTypeRenameDanger; ReviewStatus=NeedsSourceReview; ReviewReasons=NoVersionFound</t>
  </si>
  <si>
    <t>Historical path=Data/Scripts/Items/Decorations/Artifacts/StealableArtifactsSpawner.cs; backlog risk category=VersionHandling; write count=4; read count=4. POST-BATCH-J is triage only; no serialized layout edit is approved by this row.</t>
  </si>
  <si>
    <t>RB-00644</t>
  </si>
  <si>
    <t>P10-F00644</t>
  </si>
  <si>
    <t>Data/Scripts/Items/Deeds/VendorRentalContract.cs</t>
  </si>
  <si>
    <t>PBJ-0422</t>
  </si>
  <si>
    <t>Current source file exists at Data/Scripts/Items/Deeds/VendorRentalContract.cs; match=ExactFileClass; serializer evidence=Serialize:L353;Deserialize:L365;SerialCtor:L85; class=Server.Items.VendorRentalContract; kind=Deed;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</si>
  <si>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path=Data/Scripts/Items/Deeds/VendorRentalContract.cs; backlog risk category=VersionHandling; write count=4; read count=4. POST-BATCH-J is triage only; no serialized layout edit is approved by this row.</t>
  </si>
  <si>
    <t>RB-00645</t>
  </si>
  <si>
    <t>P10-F00645</t>
  </si>
  <si>
    <t>PBJ-0423</t>
  </si>
  <si>
    <t>Current source file exists at Data/Scripts/Items/Explorers/Bedroll.cs; match=ExactFileClass; serializer evidence=Serialize:L24;Deserialize:L30;SerialCtor:L21; class=Server.Items.Bedroll; kind=Item; HasSerialConstructor=True; BaseCallStatus=BaseCallsFirst; VersionHandling=NoVersionFound; FieldAlignment=AlignedByCountAndKnownTypes; MoveRenameRisk=NamespaceOrTypeRenameDanger; ReviewStatus=NeedsSourceReview; ReviewReasons=NoVersionFound</t>
  </si>
  <si>
    <t>Historical path=Data/Scripts/Items/Explorers/Bedroll.cs; backlog risk category=VersionHandling; write count=1; read count=1. POST-BATCH-J is triage only; no serialized layout edit is approved by this row.</t>
  </si>
  <si>
    <t>RB-00646</t>
  </si>
  <si>
    <t>P10-F00646</t>
  </si>
  <si>
    <t>Data/Scripts/Items/Explorers/CamperTent.cs</t>
  </si>
  <si>
    <t>PBJ-0424</t>
  </si>
  <si>
    <t>Current source file exists at Data/Scripts/Items/Explorers/CamperTent.cs; match=ExactFileClass; serializer evidence=Serialize:L363;Deserialize:L368;SerialCtor:L360; class=Server.Items.InternalItem; kind=Item; HasSerialConstructor=True; BaseCallStatus=BaseCallsFirst; VersionHandling=NoVersionFound; FieldAlignment=AlignedByCountAndKnownTypes; MoveRenameRisk=NamespaceOrTypeRenameDanger; ReviewStatus=NeedsSourceReview; ReviewReasons=NoVersionFound</t>
  </si>
  <si>
    <t>Historical path=Data/Scripts/Items/Explorers/CamperTent.cs; backlog risk category=VersionHandling; write count=0; read count=0. POST-BATCH-J is triage only; no serialized layout edit is approved by this row.</t>
  </si>
  <si>
    <t>RB-00647</t>
  </si>
  <si>
    <t>P10-F00647</t>
  </si>
  <si>
    <t>Items:Farming</t>
  </si>
  <si>
    <t>Data/Scripts/Items/Farming/FarmableCabbage.cs</t>
  </si>
  <si>
    <t>PBJ-0425</t>
  </si>
  <si>
    <t>Current source file exists at Data/Scripts/Items/Farming/FarmableCabbage.cs; match=ExactFileClass; serializer evidence=Serialize:L35;Deserialize:L42;SerialCtor:L32; class=Server.Items.FarmableCabbage;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</si>
  <si>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path=Data/Scripts/Items/Farming/FarmableCabbage.cs; backlog risk category=VersionHandling; write count=1; read count=1. POST-BATCH-J is triage only; no serialized layout edit is approved by this row.</t>
  </si>
  <si>
    <t>RB-00648</t>
  </si>
  <si>
    <t>P10-F00648</t>
  </si>
  <si>
    <t>Data/Scripts/Items/Farming/FarmableCarrot.cs</t>
  </si>
  <si>
    <t>PBJ-0426</t>
  </si>
  <si>
    <t>Current source file exists at Data/Scripts/Items/Farming/FarmableCarrot.cs; match=ExactFileClass; serializer evidence=Serialize:L35;Deserialize:L42;SerialCtor:L32; class=Server.Items.FarmableCarrot;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</si>
  <si>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path=Data/Scripts/Items/Farming/FarmableCarrot.cs; backlog risk category=VersionHandling; write count=1; read count=1. POST-BATCH-J is triage only; no serialized layout edit is approved by this row.</t>
  </si>
  <si>
    <t>RB-00649</t>
  </si>
  <si>
    <t>P10-F00649</t>
  </si>
  <si>
    <t>Data/Scripts/Items/Farming/FarmableCorn.cs</t>
  </si>
  <si>
    <t>PBJ-0427</t>
  </si>
  <si>
    <t>Current source file exists at Data/Scripts/Items/Farming/FarmableCorn.cs; match=ExactFileClass; serializer evidence=Serialize:L35;Deserialize:L42;SerialCtor:L32; class=Server.Items.FarmableCorn;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</si>
  <si>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path=Data/Scripts/Items/Farming/FarmableCorn.cs; backlog risk category=VersionHandling; write count=1; read count=1. POST-BATCH-J is triage only; no serialized layout edit is approved by this row.</t>
  </si>
  <si>
    <t>RB-00650</t>
  </si>
  <si>
    <t>P10-F00650</t>
  </si>
  <si>
    <t>Data/Scripts/Items/Farming/FarmableCotton.cs</t>
  </si>
  <si>
    <t>PBJ-0428</t>
  </si>
  <si>
    <t>Current source file exists at Data/Scripts/Items/Farming/FarmableCotton.cs; match=ExactFileClass; serializer evidence=Serialize:L34;Deserialize:L41;SerialCtor:L31; class=Server.Items.FarmableCotton;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</si>
  <si>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path=Data/Scripts/Items/Farming/FarmableCotton.cs; backlog risk category=VersionHandling; write count=1; read count=1. POST-BATCH-J is triage only; no serialized layout edit is approved by this row.</t>
  </si>
  <si>
    <t>RB-00651</t>
  </si>
  <si>
    <t>P10-F00651</t>
  </si>
  <si>
    <t>Data/Scripts/Items/Farming/FarmableCrop.cs</t>
  </si>
  <si>
    <t>PBU-0008</t>
  </si>
  <si>
    <t>POST-BATCH-N lane=POST-BATCH-N-SAVE-MIGRATION-PLAN; FileProofStatus=CurrentPathConfirmed; Class=Server.Items.FarmableCrop; Serialize=L107; Reader=DeserializeMethod:L114; RegisterBase=BaseCallsFirst; RegisterVersion=NoVersionFound; RegisterAlignment=CountMatchNeedsTypeReview:UnknownWrites=1; Writes=2; Reads=2; WriteEvidence=L110:WriteEncodedInt(0); // version) | L111:Write(m_Picked)); ReadEvidence=L117:ReadEncodedInt | L121:ReadBool; POST-BATCH-U direct source review=ScannerAmbiguityFalsePositive</t>
  </si>
  <si>
    <t>RB-00652</t>
  </si>
  <si>
    <t>P10-F00652</t>
  </si>
  <si>
    <t>Data/Scripts/Items/Farming/FarmableFlax.cs</t>
  </si>
  <si>
    <t>PBJ-0430</t>
  </si>
  <si>
    <t>Current source file exists at Data/Scripts/Items/Farming/FarmableFlax.cs; match=ExactFileClass; serializer evidence=Serialize:L36;Deserialize:L42;SerialCtor:L33; class=Server.Items.FarmableFlax;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</si>
  <si>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path=Data/Scripts/Items/Farming/FarmableFlax.cs; backlog risk category=VersionHandling; write count=1; read count=1. POST-BATCH-J is triage only; no serialized layout edit is approved by this row.</t>
  </si>
  <si>
    <t>RB-00653</t>
  </si>
  <si>
    <t>P10-F00653</t>
  </si>
  <si>
    <t>Data/Scripts/Items/Farming/FarmableLettuce.cs</t>
  </si>
  <si>
    <t>PBJ-0431</t>
  </si>
  <si>
    <t>Current source file exists at Data/Scripts/Items/Farming/FarmableLettuce.cs; match=ExactFileClass; serializer evidence=Serialize:L35;Deserialize:L42;SerialCtor:L32; class=Server.Items.FarmableLettuce;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</si>
  <si>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path=Data/Scripts/Items/Farming/FarmableLettuce.cs; backlog risk category=VersionHandling; write count=1; read count=1. POST-BATCH-J is triage only; no serialized layout edit is approved by this row.</t>
  </si>
  <si>
    <t>RB-00654</t>
  </si>
  <si>
    <t>P10-F00654</t>
  </si>
  <si>
    <t>Data/Scripts/Items/Farming/FarmableOnion.cs</t>
  </si>
  <si>
    <t>PBJ-0432</t>
  </si>
  <si>
    <t>Current source file exists at Data/Scripts/Items/Farming/FarmableOnion.cs; match=ExactFileClass; serializer evidence=Serialize:L35;Deserialize:L42;SerialCtor:L32; class=Server.Items.FarmableOnion;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</si>
  <si>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path=Data/Scripts/Items/Farming/FarmableOnion.cs; backlog risk category=VersionHandling; write count=1; read count=1. POST-BATCH-J is triage only; no serialized layout edit is approved by this row.</t>
  </si>
  <si>
    <t>RB-00655</t>
  </si>
  <si>
    <t>P10-F00655</t>
  </si>
  <si>
    <t>Data/Scripts/Items/Farming/FarmablePumpkin.cs</t>
  </si>
  <si>
    <t>PBJ-0433</t>
  </si>
  <si>
    <t>Current source file exists at Data/Scripts/Items/Farming/FarmablePumpkin.cs; match=ExactFileClass; serializer evidence=Serialize:L35;Deserialize:L41;SerialCtor:L32; class=Server.Items.FarmablePumpkin;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</si>
  <si>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path=Data/Scripts/Items/Farming/FarmablePumpkin.cs; backlog risk category=VersionHandling; write count=1; read count=1. POST-BATCH-J is triage only; no serialized layout edit is approved by this row.</t>
  </si>
  <si>
    <t>RB-00656</t>
  </si>
  <si>
    <t>P10-F00656</t>
  </si>
  <si>
    <t>PBJ-0434</t>
  </si>
  <si>
    <t>Current source file exists at Data/Scripts/Items/Farming/FarmablePumpkin.cs; match=ExactFileClass; serializer evidence=Serialize:L199;Deserialize:L205;SerialCtor:L196; class=Server.Items.FarmablePumpkinGiant; kind=Item; HasSerialConstructor=True; BaseCallStatus=BaseCallsFirst; VersionHandling=NoVersionFound; FieldAlignment=AlignedByCountAndKnownTypes; MoveRenameRisk=NamespaceOrTypeRenameDanger; ReviewStatus=NeedsSourceReview; ReviewReasons=NoVersionFound</t>
  </si>
  <si>
    <t>RB-00657</t>
  </si>
  <si>
    <t>P10-F00657</t>
  </si>
  <si>
    <t>PBJ-0435</t>
  </si>
  <si>
    <t>Current source file exists at Data/Scripts/Items/Farming/FarmablePumpkin.cs; match=ExactFileClass; serializer evidence=Serialize:L158;Deserialize:L164;SerialCtor:L155; class=Server.Items.FarmablePumpkinGreen; kind=Item; HasSerialConstructor=True; BaseCallStatus=BaseCallsFirst; VersionHandling=NoVersionFound; FieldAlignment=AlignedByCountAndKnownTypes; MoveRenameRisk=NamespaceOrTypeRenameDanger; ReviewStatus=NeedsSourceReview; ReviewReasons=NoVersionFound</t>
  </si>
  <si>
    <t>RB-00658</t>
  </si>
  <si>
    <t>P10-F00658</t>
  </si>
  <si>
    <t>PBJ-0436</t>
  </si>
  <si>
    <t>Current source file exists at Data/Scripts/Items/Farming/FarmablePumpkin.cs; match=ExactFileClass; serializer evidence=Serialize:L76;Deserialize:L82;SerialCtor:L73; class=Server.Items.FarmablePumpkinLarge; kind=Item; HasSerialConstructor=True; BaseCallStatus=BaseCallsFirst; VersionHandling=NoVersionFound; FieldAlignment=AlignedByCountAndKnownTypes; MoveRenameRisk=NamespaceOrTypeRenameDanger; ReviewStatus=NeedsSourceReview; ReviewReasons=NoVersionFound</t>
  </si>
  <si>
    <t>RB-00659</t>
  </si>
  <si>
    <t>P10-F00659</t>
  </si>
  <si>
    <t>PBJ-0437</t>
  </si>
  <si>
    <t>Current source file exists at Data/Scripts/Items/Farming/FarmablePumpkin.cs; match=ExactFileClass; serializer evidence=Serialize:L117;Deserialize:L123;SerialCtor:L114; class=Server.Items.FarmablePumpkinTall; kind=Item; HasSerialConstructor=True; BaseCallStatus=BaseCallsFirst; VersionHandling=NoVersionFound; FieldAlignment=AlignedByCountAndKnownTypes; MoveRenameRisk=NamespaceOrTypeRenameDanger; ReviewStatus=NeedsSourceReview; ReviewReasons=NoVersionFound</t>
  </si>
  <si>
    <t>RB-00660</t>
  </si>
  <si>
    <t>P10-F00660</t>
  </si>
  <si>
    <t>Data/Scripts/Items/Farming/FarmableTomato.cs</t>
  </si>
  <si>
    <t>PBJ-0438</t>
  </si>
  <si>
    <t>Current source file exists at Data/Scripts/Items/Farming/FarmableTomato.cs; match=ExactFileClass; serializer evidence=Serialize:L35;Deserialize:L42;SerialCtor:L32; class=Server.Items.FarmableTomato;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</si>
  <si>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path=Data/Scripts/Items/Farming/FarmableTomato.cs; backlog risk category=VersionHandling; write count=1; read count=1. POST-BATCH-J is triage only; no serialized layout edit is approved by this row.</t>
  </si>
  <si>
    <t>RB-00661</t>
  </si>
  <si>
    <t>P10-F00661</t>
  </si>
  <si>
    <t>Data/Scripts/Items/Farming/FarmableTurnip.cs</t>
  </si>
  <si>
    <t>PBJ-0439</t>
  </si>
  <si>
    <t>Current source file exists at Data/Scripts/Items/Farming/FarmableTurnip.cs; match=ExactFileClass; serializer evidence=Serialize:L35;Deserialize:L42;SerialCtor:L32; class=Server.Items.FarmableTurnip;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</si>
  <si>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path=Data/Scripts/Items/Farming/FarmableTurnip.cs; backlog risk category=VersionHandling; write count=1; read count=1. POST-BATCH-J is triage only; no serialized layout edit is approved by this row.</t>
  </si>
  <si>
    <t>RB-00662</t>
  </si>
  <si>
    <t>P10-F00662</t>
  </si>
  <si>
    <t>Data/Scripts/Items/Farming/FarmableWatermelon.cs</t>
  </si>
  <si>
    <t>PBJ-0440</t>
  </si>
  <si>
    <t>Current source file exists at Data/Scripts/Items/Farming/FarmableWatermelon.cs; match=ExactFileClass; serializer evidence=Serialize:L35;Deserialize:L41;SerialCtor:L32; class=Server.Items.FarmableWatermelon;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</si>
  <si>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path=Data/Scripts/Items/Farming/FarmableWatermelon.cs; backlog risk category=VersionHandling; write count=1; read count=1. POST-BATCH-J is triage only; no serialized layout edit is approved by this row.</t>
  </si>
  <si>
    <t>RB-00663</t>
  </si>
  <si>
    <t>P10-F00663</t>
  </si>
  <si>
    <t>Data/Scripts/Items/Farming/FarmableWheat.cs</t>
  </si>
  <si>
    <t>PBJ-0441</t>
  </si>
  <si>
    <t>Current source file exists at Data/Scripts/Items/Farming/FarmableWheat.cs; match=ExactFileClass; serializer evidence=Serialize:L31;Deserialize:L38;SerialCtor:L28; class=Server.Items.FarmableWheat; kind=Item; HasSerialConstructor=True; BaseCallStatus=BaseCallsFirst; VersionHandling=NoVersionFound; FieldAlignment=AlignedByCountAndKnownTypes; MoveRenameRisk=NamespaceOrTypeRenameDanger; ReviewStatus=NeedsSourceReview; ReviewReasons=NoVersionFound</t>
  </si>
  <si>
    <t>Historical path=Data/Scripts/Items/Farming/FarmableWheat.cs; backlog risk category=VersionHandling; write count=1; read count=1. POST-BATCH-J is triage only; no serialized layout edit is approved by this row.</t>
  </si>
  <si>
    <t>RB-00665</t>
  </si>
  <si>
    <t>P10-F00665</t>
  </si>
  <si>
    <t>PBW-0020</t>
  </si>
  <si>
    <t>Current source file exists at Data/Scripts/Items/Food/Beverage.cs; prior POST-BATCH-J row=PBJ-0442; register evidence=Serialize:L1425;Deserialize:L1443;SerialCtor:L1422;VersionWrite:L1429; class=Server.Items.BaseBeverage; kind=Item; HasSerialConstructor=True; BaseCallStatus=MissingBaseDeserialize; VersionHandling=WriteVersionOnly; FieldAlignment=CountMismatch:Writes=3;Reads=0; direct source review=Source-reviewed ordinary serializer with internal reader: Serial ctor L1422-L1423, base Serialize L1427, Deserialize delegates L1443-L1445 to InternalDeserialize, base Deserialize L1450, version L1429/L1455, poisoner/poison/content/quantity L1431-L1435/L1459-L1468.</t>
  </si>
  <si>
    <t>POST-BATCH-W disposition of historical POST-BATCH-J NeedsMigrationPlan row; previous review row PBJ-0442; review class ScannerAmbiguityFalsePositive.</t>
  </si>
  <si>
    <t>RB-00667</t>
  </si>
  <si>
    <t>P10-F00667</t>
  </si>
  <si>
    <t>PBJ-0443</t>
  </si>
  <si>
    <t>Current source file exists at Data/Scripts/Items/Food/Beverage.cs; match=ExactFileClass; serializer evidence=Serialize:L218;Deserialize:L225;SerialCtor:L215;VersionWrite:L222;VersionRead:L229; class=Server.Items.CeramicMug; kind=Item; HasSerialConstructor=True; BaseCallStatus=BaseCallsFirst; VersionHandling=SuspiciousOrder; FieldAlignment=AlignedByCountAndKnownTypes; MoveRenameRisk=NamespaceOrTypeRenameDanger; ReviewStatus=NeedsSourceReview; ReviewReasons=SuspiciousOrder</t>
  </si>
  <si>
    <t>Historical path=Data/Scripts/Items/Food/Beverage.cs; backlog risk category=VersionHandling; write count=1; read count=1. POST-BATCH-J is triage only; no serialized layout edit is approved by this row.</t>
  </si>
  <si>
    <t>RB-00668</t>
  </si>
  <si>
    <t>P10-F00668</t>
  </si>
  <si>
    <t>PBJ-0444</t>
  </si>
  <si>
    <t>Current source file exists at Data/Scripts/Items/Food/Beverage.cs; match=ExactFileClass; serializer evidence=Serialize:L318;Deserialize:L325;SerialCtor:L315;VersionWrite:L322;VersionRead:L329; class=Server.Items.Goblet; kind=Item; HasSerialConstructor=True; BaseCallStatus=BaseCallsFirst; VersionHandling=SuspiciousOrder; FieldAlignment=AlignedByCountAndKnownTypes; MoveRenameRisk=NamespaceOrTypeRenameDanger; ReviewStatus=NeedsSourceReview; ReviewReasons=SuspiciousOrder</t>
  </si>
  <si>
    <t>RB-00669</t>
  </si>
  <si>
    <t>P10-F00669</t>
  </si>
  <si>
    <t>PBJ-0445</t>
  </si>
  <si>
    <t>Current source file exists at Data/Scripts/Items/Food/Beverage.cs; match=ExactFileClass; serializer evidence=Serialize:L166;Deserialize:L173;SerialCtor:L163;VersionWrite:L170;VersionRead:L177; class=Server.Items.Jug; kind=Item; HasSerialConstructor=True; BaseCallStatus=BaseCallsFirst; VersionHandling=SuspiciousOrder; FieldAlignment=AlignedByCountAndKnownTypes; MoveRenameRisk=NamespaceOrTypeRenameDanger; ReviewStatus=NeedsSourceReview; ReviewReasons=SuspiciousOrder</t>
  </si>
  <si>
    <t>RB-00670</t>
  </si>
  <si>
    <t>P10-F00670</t>
  </si>
  <si>
    <t>PBJ-0446</t>
  </si>
  <si>
    <t>Current source file exists at Data/Scripts/Items/Food/Beverage.cs; match=ExactFileClass; serializer evidence=Serialize:L268;Deserialize:L275;SerialCtor:L265;VersionWrite:L272;VersionRead:L279; class=Server.Items.PewterMug; kind=Item; HasSerialConstructor=True; BaseCallStatus=BaseCallsFirst; VersionHandling=SuspiciousOrder; FieldAlignment=AlignedByCountAndKnownTypes; MoveRenameRisk=NamespaceOrTypeRenameDanger; ReviewStatus=NeedsSourceReview; ReviewReasons=SuspiciousOrder</t>
  </si>
  <si>
    <t>RB-00673</t>
  </si>
  <si>
    <t>P10-F00673</t>
  </si>
  <si>
    <t>Data/Scripts/Items/Food/Vegetables.cs</t>
  </si>
  <si>
    <t>PBJ-0447</t>
  </si>
  <si>
    <t>Current source file exists at Data/Scripts/Items/Food/Vegetables.cs; match=ExactFileClass; serializer evidence=Serialize:L117;Deserialize:L123;SerialCtor:L114;VersionWrite:L120;VersionRead:L126; class=Server.Items.PumpkinGiant; kind=Item; HasSerialConstructor=True; BaseCallStatus=BaseCallsFirst; VersionHandling=SuspiciousOrder; FieldAlignment=AlignedByCountAndKnownTypes; MoveRenameRisk=NamespaceOrTypeRenameDanger; ReviewStatus=NeedsSourceReview; ReviewReasons=SuspiciousOrder</t>
  </si>
  <si>
    <t>Historical path=Data/Scripts/Items/Food/Vegetables.cs; backlog risk category=VersionHandling; write count=1; read count=1. POST-BATCH-J is triage only; no serialized layout edit is approved by this row.</t>
  </si>
  <si>
    <t>RB-00674</t>
  </si>
  <si>
    <t>P10-F00674</t>
  </si>
  <si>
    <t>PBJ-0448</t>
  </si>
  <si>
    <t>Current source file exists at Data/Scripts/Items/Food/Vegetables.cs; match=ExactFileClass; serializer evidence=Serialize:L86;Deserialize:L92;SerialCtor:L83;VersionWrite:L89;VersionRead:L95; class=Server.Items.PumpkinGreen; kind=Item; HasSerialConstructor=True; BaseCallStatus=BaseCallsFirst; VersionHandling=SuspiciousOrder; FieldAlignment=AlignedByCountAndKnownTypes; MoveRenameRisk=NamespaceOrTypeRenameDanger; ReviewStatus=NeedsSourceReview; ReviewReasons=SuspiciousOrder</t>
  </si>
  <si>
    <t>RB-00675</t>
  </si>
  <si>
    <t>P10-F00675</t>
  </si>
  <si>
    <t>PBJ-0449</t>
  </si>
  <si>
    <t>Current source file exists at Data/Scripts/Items/Food/Vegetables.cs; match=ExactFileClass; serializer evidence=Serialize:L24;Deserialize:L30;SerialCtor:L21;VersionWrite:L27;VersionRead:L33; class=Server.Items.PumpkinLarge; kind=Item; HasSerialConstructor=True; BaseCallStatus=BaseCallsFirst; VersionHandling=SuspiciousOrder; FieldAlignment=AlignedByCountAndKnownTypes; MoveRenameRisk=NamespaceOrTypeRenameDanger; ReviewStatus=NeedsSourceReview; ReviewReasons=SuspiciousOrder</t>
  </si>
  <si>
    <t>RB-00676</t>
  </si>
  <si>
    <t>P10-F00676</t>
  </si>
  <si>
    <t>PBJ-0450</t>
  </si>
  <si>
    <t>Current source file exists at Data/Scripts/Items/Food/Vegetables.cs; match=ExactFileClass; serializer evidence=Serialize:L55;Deserialize:L61;SerialCtor:L52;VersionWrite:L58;VersionRead:L64; class=Server.Items.PumpkinTall; kind=Item; HasSerialConstructor=True; BaseCallStatus=BaseCallsFirst; VersionHandling=SuspiciousOrder; FieldAlignment=AlignedByCountAndKnownTypes; MoveRenameRisk=NamespaceOrTypeRenameDanger; ReviewStatus=NeedsSourceReview; ReviewReasons=SuspiciousOrder</t>
  </si>
  <si>
    <t>RB-00677</t>
  </si>
  <si>
    <t>P10-F00677</t>
  </si>
  <si>
    <t>Data/Scripts/Items/Gifts/CrystalDeeds/ECrystalBeggarStatue.cs</t>
  </si>
  <si>
    <t>PBJ-0451</t>
  </si>
  <si>
    <t>Current source file exists at Data/Scripts/Items/Gifts/CrystalDeeds/ECrystalBeggarStatue.cs; match=ExactFileClass; serializer evidence=Serialize:L72;Deserialize:L79;SerialCtor:L69; class=Server.Items.ECrystalBeggarStatueAddon;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</si>
  <si>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path=Data/Scripts/Items/Gifts/CrystalDeeds/ECrystalBeggarStatue.cs; backlog risk category=VersionHandling; write count=1; read count=1. POST-BATCH-J is triage only; no serialized layout edit is approved by this row.</t>
  </si>
  <si>
    <t>RB-00678</t>
  </si>
  <si>
    <t>P10-F00678</t>
  </si>
  <si>
    <t>PBJ-0452</t>
  </si>
  <si>
    <t>Current source file exists at Data/Scripts/Items/Gifts/CrystalDeeds/ECrystalBeggarStatue.cs; match=ExactFileClass; serializer evidence=Serialize:L176;Deserialize:L183;SerialCtor:L173; class=Server.Items.ECrystalBeggarStatueDeed; kind=Deed; HasSerialConstructor=True; BaseCallStatus=BaseCallsFirst; VersionHandling=NoVersionFound; FieldAlignment=AlignedByCountAndKnownTypes; MoveRenameRisk=NamespaceOrTypeRenameDanger; ReviewStatus=NeedsSourceReview; ReviewReasons=NoVersionFound</t>
  </si>
  <si>
    <t>RB-00679</t>
  </si>
  <si>
    <t>P10-F00679</t>
  </si>
  <si>
    <t>Data/Scripts/Items/Gifts/CrystalDeeds/ECrystalBull.cs</t>
  </si>
  <si>
    <t>PBJ-0453</t>
  </si>
  <si>
    <t>Current source file exists at Data/Scripts/Items/Gifts/CrystalDeeds/ECrystalBull.cs; match=ExactFileClass; serializer evidence=Serialize:L74;Deserialize:L81;SerialCtor:L71; class=Server.Items.ECrystalBullAddon;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</si>
  <si>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path=Data/Scripts/Items/Gifts/CrystalDeeds/ECrystalBull.cs; backlog risk category=VersionHandling; write count=1; read count=1. POST-BATCH-J is triage only; no serialized layout edit is approved by this row.</t>
  </si>
  <si>
    <t>RB-00680</t>
  </si>
  <si>
    <t>P10-F00680</t>
  </si>
  <si>
    <t>PBJ-0454</t>
  </si>
  <si>
    <t>Current source file exists at Data/Scripts/Items/Gifts/CrystalDeeds/ECrystalBull.cs; match=ExactFileClass; serializer evidence=Serialize:L178;Deserialize:L185;SerialCtor:L175; class=Server.Items.ECrystalBullDeed; kind=Deed; HasSerialConstructor=True; BaseCallStatus=BaseCallsFirst; VersionHandling=NoVersionFound; FieldAlignment=AlignedByCountAndKnownTypes; MoveRenameRisk=NamespaceOrTypeRenameDanger; ReviewStatus=NeedsSourceReview; ReviewReasons=NoVersionFound</t>
  </si>
  <si>
    <t>RB-00681</t>
  </si>
  <si>
    <t>P10-F00681</t>
  </si>
  <si>
    <t>Data/Scripts/Items/Gifts/CrystalDeeds/ECrystalRunnerStatue.cs</t>
  </si>
  <si>
    <t>PBJ-0455</t>
  </si>
  <si>
    <t>Current source file exists at Data/Scripts/Items/Gifts/CrystalDeeds/ECrystalRunnerStatue.cs; match=ExactFileClass; serializer evidence=Serialize:L72;Deserialize:L79;SerialCtor:L69; class=Server.Items.ECrystalRunnerStatueAddon;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</si>
  <si>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path=Data/Scripts/Items/Gifts/CrystalDeeds/ECrystalRunnerStatue.cs; backlog risk category=VersionHandling; write count=1; read count=1. POST-BATCH-J is triage only; no serialized layout edit is approved by this row.</t>
  </si>
  <si>
    <t>RB-00682</t>
  </si>
  <si>
    <t>P10-F00682</t>
  </si>
  <si>
    <t>PBJ-0456</t>
  </si>
  <si>
    <t>Current source file exists at Data/Scripts/Items/Gifts/CrystalDeeds/ECrystalRunnerStatue.cs; match=ExactFileClass; serializer evidence=Serialize:L176;Deserialize:L183;SerialCtor:L173; class=Server.Items.ECrystalRunnerStatueDeed; kind=Deed; HasSerialConstructor=True; BaseCallStatus=BaseCallsFirst; VersionHandling=NoVersionFound; FieldAlignment=AlignedByCountAndKnownTypes; MoveRenameRisk=NamespaceOrTypeRenameDanger; ReviewStatus=NeedsSourceReview; ReviewReasons=NoVersionFound</t>
  </si>
  <si>
    <t>RB-00683</t>
  </si>
  <si>
    <t>P10-F00683</t>
  </si>
  <si>
    <t>Data/Scripts/Items/Gifts/CrystalDeeds/ECrystalSupplicantStatue.cs</t>
  </si>
  <si>
    <t>PBJ-0457</t>
  </si>
  <si>
    <t>Current source file exists at Data/Scripts/Items/Gifts/CrystalDeeds/ECrystalSupplicantStatue.cs; match=ExactFileClass; serializer evidence=Serialize:L72;Deserialize:L79;SerialCtor:L69; class=Server.Items.ECrystalSupplicantStatueAddon;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</si>
  <si>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path=Data/Scripts/Items/Gifts/CrystalDeeds/ECrystalSupplicantStatue.cs; backlog risk category=VersionHandling; write count=1; read count=1. POST-BATCH-J is triage only; no serialized layout edit is approved by this row.</t>
  </si>
  <si>
    <t>RB-00684</t>
  </si>
  <si>
    <t>P10-F00684</t>
  </si>
  <si>
    <t>PBJ-0458</t>
  </si>
  <si>
    <t>Current source file exists at Data/Scripts/Items/Gifts/CrystalDeeds/ECrystalSupplicantStatue.cs; match=ExactFileClass; serializer evidence=Serialize:L176;Deserialize:L183;SerialCtor:L173; class=Server.Items.ECrystalSupplicantStatueDeed; kind=Deed; HasSerialConstructor=True; BaseCallStatus=BaseCallsFirst; VersionHandling=NoVersionFound; FieldAlignment=AlignedByCountAndKnownTypes; MoveRenameRisk=NamespaceOrTypeRenameDanger; ReviewStatus=NeedsSourceReview; ReviewReasons=NoVersionFound</t>
  </si>
  <si>
    <t>RB-00685</t>
  </si>
  <si>
    <t>P10-F00685</t>
  </si>
  <si>
    <t>Data/Scripts/Items/Gifts/CrystalDeeds/ECrystalTable.cs</t>
  </si>
  <si>
    <t>PBJ-0459</t>
  </si>
  <si>
    <t>Current source file exists at Data/Scripts/Items/Gifts/CrystalDeeds/ECrystalTable.cs; match=ExactFileClass; serializer evidence=Serialize:L74;Deserialize:L81;SerialCtor:L71; class=Server.Items.ECrystalTableAddon;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</si>
  <si>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path=Data/Scripts/Items/Gifts/CrystalDeeds/ECrystalTable.cs; backlog risk category=VersionHandling; write count=1; read count=1. POST-BATCH-J is triage only; no serialized layout edit is approved by this row.</t>
  </si>
  <si>
    <t>RB-00686</t>
  </si>
  <si>
    <t>P10-F00686</t>
  </si>
  <si>
    <t>PBJ-0460</t>
  </si>
  <si>
    <t>Current source file exists at Data/Scripts/Items/Gifts/CrystalDeeds/ECrystalTable.cs; match=ExactFileClass; serializer evidence=Serialize:L178;Deserialize:L185;SerialCtor:L175; class=Server.Items.ECrystalTableDeed; kind=Deed; HasSerialConstructor=True; BaseCallStatus=BaseCallsFirst; VersionHandling=NoVersionFound; FieldAlignment=AlignedByCountAndKnownTypes; MoveRenameRisk=NamespaceOrTypeRenameDanger; ReviewStatus=NeedsSourceReview; ReviewReasons=NoVersionFound</t>
  </si>
  <si>
    <t>RB-00687</t>
  </si>
  <si>
    <t>P10-F00687</t>
  </si>
  <si>
    <t>Data/Scripts/Items/Gifts/CrystalDeeds/ECrystalThrone.cs</t>
  </si>
  <si>
    <t>PBJ-0461</t>
  </si>
  <si>
    <t>Current source file exists at Data/Scripts/Items/Gifts/CrystalDeeds/ECrystalThrone.cs; match=ExactFileClass; serializer evidence=Serialize:L72;Deserialize:L79;SerialCtor:L69; class=Server.Items.ECrystalThroneAddon;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</si>
  <si>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path=Data/Scripts/Items/Gifts/CrystalDeeds/ECrystalThrone.cs; backlog risk category=VersionHandling; write count=1; read count=1. POST-BATCH-J is triage only; no serialized layout edit is approved by this row.</t>
  </si>
  <si>
    <t>RB-00688</t>
  </si>
  <si>
    <t>P10-F00688</t>
  </si>
  <si>
    <t>PBJ-0462</t>
  </si>
  <si>
    <t>Current source file exists at Data/Scripts/Items/Gifts/CrystalDeeds/ECrystalThrone.cs; match=ExactFileClass; serializer evidence=Serialize:L176;Deserialize:L183;SerialCtor:L173; class=Server.Items.ECrystalThroneDeed; kind=Deed; HasSerialConstructor=True; BaseCallStatus=BaseCallsFirst; VersionHandling=NoVersionFound; FieldAlignment=AlignedByCountAndKnownTypes; MoveRenameRisk=NamespaceOrTypeRenameDanger; ReviewStatus=NeedsSourceReview; ReviewReasons=NoVersionFound</t>
  </si>
  <si>
    <t>RB-00689</t>
  </si>
  <si>
    <t>P10-F00689</t>
  </si>
  <si>
    <t>Data/Scripts/Items/Gifts/Holiday/Christmas/HolidayTree.cs</t>
  </si>
  <si>
    <t>PBJ-0463</t>
  </si>
  <si>
    <t>Current source file exists at Data/Scripts/Items/Gifts/Holiday/Christmas/HolidayTree.cs; match=ExactFileClass; serializer evidence=Serialize:L23;Deserialize:L29;SerialCtor:L20;VersionWrite:L26;VersionRead:L32; class=Server.Items.HolidayTreeAddon;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</si>
  <si>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path=Data/Scripts/Items/Gifts/Holiday/Christmas/HolidayTree.cs; backlog risk category=VersionHandling; write count=1; read count=1. POST-BATCH-J is triage only; no serialized layout edit is approved by this row.</t>
  </si>
  <si>
    <t>RB-00690</t>
  </si>
  <si>
    <t>P10-F00690</t>
  </si>
  <si>
    <t>Data/Scripts/Items/Gifts/Holiday/Christmas/HolidayTreesNew.cs</t>
  </si>
  <si>
    <t>PBJ-0464</t>
  </si>
  <si>
    <t>Current source file exists at Data/Scripts/Items/Gifts/Holiday/Christmas/HolidayTreesNew.cs; match=ExactFileClass; serializer evidence=Serialize:L55;Deserialize:L61;SerialCtor:L52;VersionWrite:L58;VersionRead:L64; class=Server.Items.HolidayTreeNew1Addon; kind=Addon; HasSerialConstructor=True; BaseCallStatus=BaseCallsFirst; VersionHandling=SuspiciousOrder; FieldAlignment=AlignedByCountAndKnownTypes; MoveRenameRisk=NamespaceOrTypeRenameDanger; ReviewStatus=NeedsSourceReview; ReviewReasons=SuspiciousOrder</t>
  </si>
  <si>
    <t>Historical path=Data/Scripts/Items/Gifts/Holiday/Christmas/HolidayTreesNew.cs; backlog risk category=VersionHandling; write count=1; read count=1. POST-BATCH-J is triage only; no serialized layout edit is approved by this row.</t>
  </si>
  <si>
    <t>RB-00691</t>
  </si>
  <si>
    <t>P10-F00691</t>
  </si>
  <si>
    <t>PBJ-0465</t>
  </si>
  <si>
    <t>Current source file exists at Data/Scripts/Items/Gifts/Holiday/Christmas/HolidayTreesNew.cs; match=ExactFileClass; serializer evidence=Serialize:L148;Deserialize:L154;SerialCtor:L145;VersionWrite:L151;VersionRead:L157; class=Server.Items.HolidayTreeNew2Addon; kind=Addon; HasSerialConstructor=True; BaseCallStatus=BaseCallsFirst; VersionHandling=SuspiciousOrder; FieldAlignment=AlignedByCountAndKnownTypes; MoveRenameRisk=NamespaceOrTypeRenameDanger; ReviewStatus=NeedsSourceReview; ReviewReasons=SuspiciousOrder</t>
  </si>
  <si>
    <t>RB-00692</t>
  </si>
  <si>
    <t>P10-F00692</t>
  </si>
  <si>
    <t>PBJ-0466</t>
  </si>
  <si>
    <t>Current source file exists at Data/Scripts/Items/Gifts/Holiday/Christmas/HolidayTreesNew.cs; match=ExactFileClass; serializer evidence=Serialize:L241;Deserialize:L247;SerialCtor:L238;VersionWrite:L244;VersionRead:L250; class=Server.Items.HolidayTreeNew3Addon; kind=Addon; HasSerialConstructor=True; BaseCallStatus=BaseCallsFirst; VersionHandling=SuspiciousOrder; FieldAlignment=AlignedByCountAndKnownTypes; MoveRenameRisk=NamespaceOrTypeRenameDanger; ReviewStatus=NeedsSourceReview; ReviewReasons=SuspiciousOrder</t>
  </si>
  <si>
    <t>RB-00693</t>
  </si>
  <si>
    <t>P10-F00693</t>
  </si>
  <si>
    <t>PBJ-0467</t>
  </si>
  <si>
    <t>Current source file exists at Data/Scripts/Items/Gifts/Holiday/Christmas/HolidayTreesNew.cs; match=ExactFileClass; serializer evidence=Serialize:L292;Deserialize:L298;SerialCtor:L289;VersionWrite:L295;VersionRead:L301; class=Server.Items.HolidayTreeNew4Addon; kind=Addon; HasSerialConstructor=True; BaseCallStatus=BaseCallsFirst; VersionHandling=SuspiciousOrder; FieldAlignment=AlignedByCountAndKnownTypes; MoveRenameRisk=NamespaceOrTypeRenameDanger; ReviewStatus=NeedsSourceReview; ReviewReasons=SuspiciousOrder</t>
  </si>
  <si>
    <t>RB-00694</t>
  </si>
  <si>
    <t>P10-F00694</t>
  </si>
  <si>
    <t>PBJ-0468</t>
  </si>
  <si>
    <t>Current source file exists at Data/Scripts/Items/Gifts/Holiday/Christmas/HolidayTreesNew.cs; match=ExactFileClass; serializer evidence=Serialize:L393;Deserialize:L399;SerialCtor:L390;VersionWrite:L396;VersionRead:L402; class=Server.Items.HolidayTreeNew5Addon; kind=Addon; HasSerialConstructor=True; BaseCallStatus=BaseCallsFirst; VersionHandling=SuspiciousOrder; FieldAlignment=AlignedByCountAndKnownTypes; MoveRenameRisk=NamespaceOrTypeRenameDanger; ReviewStatus=NeedsSourceReview; ReviewReasons=SuspiciousOrder</t>
  </si>
  <si>
    <t>RB-00695</t>
  </si>
  <si>
    <t>P10-F00695</t>
  </si>
  <si>
    <t>PBJ-0469</t>
  </si>
  <si>
    <t>Current source file exists at Data/Scripts/Items/Gifts/Holiday/Christmas/HolidayTreesNew.cs; match=ExactFileClass; serializer evidence=Serialize:L488;Deserialize:L494;SerialCtor:L485;VersionWrite:L491;VersionRead:L497; class=Server.Items.HolidayTreeNew6Addon; kind=Addon; HasSerialConstructor=True; BaseCallStatus=BaseCallsFirst; VersionHandling=SuspiciousOrder; FieldAlignment=AlignedByCountAndKnownTypes; MoveRenameRisk=NamespaceOrTypeRenameDanger; ReviewStatus=NeedsSourceReview; ReviewReasons=SuspiciousOrder</t>
  </si>
  <si>
    <t>RB-00696</t>
  </si>
  <si>
    <t>P10-F00696</t>
  </si>
  <si>
    <t>PBJ-0470</t>
  </si>
  <si>
    <t>Current source file exists at Data/Scripts/Items/Gifts/Holiday/Christmas/HolidayTreesNew.cs; match=ExactFileClass; serializer evidence=Serialize:L742;Deserialize:L748;SerialCtor:L739;VersionWrite:L745;VersionRead:L751; class=Server.Items.NewHolidayTree; kind=Item; HasSerialConstructor=True; BaseCallStatus=BaseCallsFirst; VersionHandling=SuspiciousOrder; FieldAlignment=AlignedByCountAndKnownTypes; MoveRenameRisk=NamespaceOrTypeRenameDanger; ReviewStatus=NeedsSourceReview; ReviewReasons=SuspiciousOrder</t>
  </si>
  <si>
    <t>RB-00697</t>
  </si>
  <si>
    <t>P10-F00697</t>
  </si>
  <si>
    <t>Data/Scripts/Items/Gifts/Holiday/Christmas/Items/ChristmasBook.cs</t>
  </si>
  <si>
    <t>PBJ-0471</t>
  </si>
  <si>
    <t>Current source file exists at Data/Scripts/Items/Gifts/Holiday/Christmas/Items/ChristmasBook.cs; match=ExactFileClass; serializer evidence=Serialize:L40;Deserialize:L47;SerialCtor:L37; class=Server.Items.ChristmasBook; kind=Item; HasSerialConstructor=True; BaseCallStatus=BaseCallsFirst; VersionHandling=NoVersionFound; FieldAlignment=AlignedByCountAndKnownTypes; MoveRenameRisk=NamespaceOrTypeRenameDanger; ReviewStatus=NeedsSourceReview; ReviewReasons=NoVersionFound</t>
  </si>
  <si>
    <t>Historical path=Data/Scripts/Items/Gifts/Holiday/Christmas/Items/ChristmasBook.cs; backlog risk category=VersionHandling; write count=1; read count=1. POST-BATCH-J is triage only; no serialized layout edit is approved by this row.</t>
  </si>
  <si>
    <t>RB-00698</t>
  </si>
  <si>
    <t>P10-F00698</t>
  </si>
  <si>
    <t>Data/Scripts/Items/Gifts/Holiday/Halloween/Rewards/DaemonDartBoard.cs</t>
  </si>
  <si>
    <t>PBJ-0472</t>
  </si>
  <si>
    <t>Current source file exists at Data/Scripts/Items/Gifts/Holiday/Halloween/Rewards/DaemonDartBoard.cs; match=ExactFileClass; serializer evidence=Serialize:L159;Deserialize:L165;SerialCtor:L156; class=Server.Items.DaemonDartBoard; kind=Addon; HasSerialConstructor=True; BaseCallStatus=BaseCallsFirst; VersionHandling=NoVersionFound; FieldAlignment=AlignedByCountAndKnownTypes; MoveRenameRisk=NamespaceOrTypeRenameDanger; ReviewStatus=NeedsSourceReview; ReviewReasons=NoVersionFound</t>
  </si>
  <si>
    <t>Historical path=Data/Scripts/Items/Gifts/Holiday/Halloween/Rewards/DaemonDartBoard.cs; backlog risk category=VersionHandling; write count=1; read count=1. POST-BATCH-J is triage only; no serialized layout edit is approved by this row.</t>
  </si>
  <si>
    <t>RB-00699</t>
  </si>
  <si>
    <t>P10-F00699</t>
  </si>
  <si>
    <t>PBJ-0473</t>
  </si>
  <si>
    <t>Current source file exists at Data/Scripts/Items/Gifts/Holiday/Halloween/Rewards/DaemonDartBoard.cs; match=ExactFileClass; serializer evidence=Serialize:L187;Deserialize:L193;SerialCtor:L184; class=Server.Items.DaemonDartBoardEastAddon; kind=Addon; HasSerialConstructor=True; BaseCallStatus=BaseCallsFirst; VersionHandling=NoVersionFound; FieldAlignment=AlignedByCountAndKnownTypes; MoveRenameRisk=NamespaceOrTypeRenameDanger; ReviewStatus=NeedsSourceReview; ReviewReasons=NoVersionFound</t>
  </si>
  <si>
    <t>RB-00700</t>
  </si>
  <si>
    <t>P10-F00700</t>
  </si>
  <si>
    <t>PBJ-0474</t>
  </si>
  <si>
    <t>Current source file exists at Data/Scripts/Items/Gifts/Holiday/Halloween/Rewards/DaemonDartBoard.cs; match=ExactFileClass; serializer evidence=Serialize:L217;Deserialize:L223;SerialCtor:L214; class=Server.Items.DaemonDartBoardEastDeed; kind=Deed; HasSerialConstructor=True; BaseCallStatus=BaseCallsFirst; VersionHandling=NoVersionFound; FieldAlignment=AlignedByCountAndKnownTypes; MoveRenameRisk=NamespaceOrTypeRenameDanger; ReviewStatus=NeedsSourceReview; ReviewReasons=NoVersionFound</t>
  </si>
  <si>
    <t>RB-00701</t>
  </si>
  <si>
    <t>P10-F00701</t>
  </si>
  <si>
    <t>PBJ-0475</t>
  </si>
  <si>
    <t>Current source file exists at Data/Scripts/Items/Gifts/Holiday/Halloween/Rewards/DaemonDartBoard.cs; match=ExactFileClass; serializer evidence=Serialize:L245;Deserialize:L251;SerialCtor:L242; class=Server.Items.DaemonDartBoardSouthAddon; kind=Addon; HasSerialConstructor=True; BaseCallStatus=BaseCallsFirst; VersionHandling=NoVersionFound; FieldAlignment=AlignedByCountAndKnownTypes; MoveRenameRisk=NamespaceOrTypeRenameDanger; ReviewStatus=NeedsSourceReview; ReviewReasons=NoVersionFound</t>
  </si>
  <si>
    <t>RB-00702</t>
  </si>
  <si>
    <t>P10-F00702</t>
  </si>
  <si>
    <t>PBJ-0476</t>
  </si>
  <si>
    <t>Current source file exists at Data/Scripts/Items/Gifts/Holiday/Halloween/Rewards/DaemonDartBoard.cs; match=ExactFileClass; serializer evidence=Serialize:L275;Deserialize:L281;SerialCtor:L272; class=Server.Items.DaemonDartBoardSouthDeed; kind=Deed; HasSerialConstructor=True; BaseCallStatus=BaseCallsFirst; VersionHandling=NoVersionFound; FieldAlignment=AlignedByCountAndKnownTypes; MoveRenameRisk=NamespaceOrTypeRenameDanger; ReviewStatus=NeedsSourceReview; ReviewReasons=NoVersionFound</t>
  </si>
  <si>
    <t>RB-00703</t>
  </si>
  <si>
    <t>P10-F00703</t>
  </si>
  <si>
    <t>Data/Scripts/Items/Gifts/Holiday/Halloween/Rewards/MongbatDartBoard.cs</t>
  </si>
  <si>
    <t>PBJ-0477</t>
  </si>
  <si>
    <t>Current source file exists at Data/Scripts/Items/Gifts/Holiday/Halloween/Rewards/MongbatDartBoard.cs; match=ExactFileClass; serializer evidence=Serialize:L156;Deserialize:L163;SerialCtor:L153; class=Server.Items.MongbatDartBoard; kind=Addon; HasSerialConstructor=True; BaseCallStatus=BaseCallsFirst; VersionHandling=NoVersionFound; FieldAlignment=AlignedByCountAndKnownTypes; MoveRenameRisk=NamespaceOrTypeRenameDanger; ReviewStatus=NeedsSourceReview; ReviewReasons=NoVersionFound</t>
  </si>
  <si>
    <t>Historical path=Data/Scripts/Items/Gifts/Holiday/Halloween/Rewards/MongbatDartBoard.cs; backlog risk category=VersionHandling; write count=1; read count=1. POST-BATCH-J is triage only; no serialized layout edit is approved by this row.</t>
  </si>
  <si>
    <t>RB-00704</t>
  </si>
  <si>
    <t>P10-F00704</t>
  </si>
  <si>
    <t>PBJ-0478</t>
  </si>
  <si>
    <t>Current source file exists at Data/Scripts/Items/Gifts/Holiday/Halloween/Rewards/MongbatDartBoard.cs; match=ExactFileClass; serializer evidence=Serialize:L186;Deserialize:L193;SerialCtor:L183; class=Server.Items.MongbatDartBoardEastAddon; kind=Addon; HasSerialConstructor=True; BaseCallStatus=BaseCallsFirst; VersionHandling=NoVersionFound; FieldAlignment=AlignedByCountAndKnownTypes; MoveRenameRisk=NamespaceOrTypeRenameDanger; ReviewStatus=NeedsSourceReview; ReviewReasons=NoVersionFound</t>
  </si>
  <si>
    <t>RB-00705</t>
  </si>
  <si>
    <t>P10-F00705</t>
  </si>
  <si>
    <t>PBJ-0479</t>
  </si>
  <si>
    <t>Current source file exists at Data/Scripts/Items/Gifts/Holiday/Halloween/Rewards/MongbatDartBoard.cs; match=ExactFileClass; serializer evidence=Serialize:L218;Deserialize:L225;SerialCtor:L215; class=Server.Items.MongbatDartBoardEastDeed; kind=Deed; HasSerialConstructor=True; BaseCallStatus=BaseCallsFirst; VersionHandling=NoVersionFound; FieldAlignment=AlignedByCountAndKnownTypes; MoveRenameRisk=NamespaceOrTypeRenameDanger; ReviewStatus=NeedsSourceReview; ReviewReasons=NoVersionFound</t>
  </si>
  <si>
    <t>RB-00706</t>
  </si>
  <si>
    <t>P10-F00706</t>
  </si>
  <si>
    <t>PBJ-0480</t>
  </si>
  <si>
    <t>Current source file exists at Data/Scripts/Items/Gifts/Holiday/Halloween/Rewards/MongbatDartBoard.cs; match=ExactFileClass; serializer evidence=Serialize:L248;Deserialize:L255;SerialCtor:L245; class=Server.Items.MongbatDartBoardSouthAddon; kind=Addon; HasSerialConstructor=True; BaseCallStatus=BaseCallsFirst; VersionHandling=NoVersionFound; FieldAlignment=AlignedByCountAndKnownTypes; MoveRenameRisk=NamespaceOrTypeRenameDanger; ReviewStatus=NeedsSourceReview; ReviewReasons=NoVersionFound</t>
  </si>
  <si>
    <t>RB-00707</t>
  </si>
  <si>
    <t>P10-F00707</t>
  </si>
  <si>
    <t>PBJ-0481</t>
  </si>
  <si>
    <t>Current source file exists at Data/Scripts/Items/Gifts/Holiday/Halloween/Rewards/MongbatDartBoard.cs; match=ExactFileClass; serializer evidence=Serialize:L280;Deserialize:L287;SerialCtor:L277; class=Server.Items.MongbatDartBoardSouthDeed; kind=Deed; HasSerialConstructor=True; BaseCallStatus=BaseCallsFirst; VersionHandling=NoVersionFound; FieldAlignment=AlignedByCountAndKnownTypes; MoveRenameRisk=NamespaceOrTypeRenameDanger; ReviewStatus=NeedsSourceReview; ReviewReasons=NoVersionFound</t>
  </si>
  <si>
    <t>RB-00708</t>
  </si>
  <si>
    <t>P10-F00708</t>
  </si>
  <si>
    <t>Data/Scripts/Items/Gifts/ShadowDeeds/EShadowAltar.cs</t>
  </si>
  <si>
    <t>PBJ-0482</t>
  </si>
  <si>
    <t>Current source file exists at Data/Scripts/Items/Gifts/ShadowDeeds/EShadowAltar.cs; match=ExactFileClass; serializer evidence=Serialize:L74;Deserialize:L81;SerialCtor:L71; class=Server.Items.EShadowAltarAddon;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</si>
  <si>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path=Data/Scripts/Items/Gifts/ShadowDeeds/EShadowAltar.cs; backlog risk category=VersionHandling; write count=1; read count=1. POST-BATCH-J is triage only; no serialized layout edit is approved by this row.</t>
  </si>
  <si>
    <t>RB-00709</t>
  </si>
  <si>
    <t>P10-F00709</t>
  </si>
  <si>
    <t>PBJ-0483</t>
  </si>
  <si>
    <t>Current source file exists at Data/Scripts/Items/Gifts/ShadowDeeds/EShadowAltar.cs; match=ExactFileClass; serializer evidence=Serialize:L173;Deserialize:L180;SerialCtor:L170; class=Server.Items.EShadowAltarDeed; kind=Deed; HasSerialConstructor=True; BaseCallStatus=BaseCallsFirst; VersionHandling=NoVersionFound; FieldAlignment=AlignedByCountAndKnownTypes; MoveRenameRisk=NamespaceOrTypeRenameDanger; ReviewStatus=NeedsSourceReview; ReviewReasons=NoVersionFound</t>
  </si>
  <si>
    <t>RB-00710</t>
  </si>
  <si>
    <t>P10-F00710</t>
  </si>
  <si>
    <t>Data/Scripts/Items/Gifts/ShadowDeeds/EShadowBanner.cs</t>
  </si>
  <si>
    <t>PBJ-0484</t>
  </si>
  <si>
    <t>Current source file exists at Data/Scripts/Items/Gifts/ShadowDeeds/EShadowBanner.cs; match=ExactFileClass; serializer evidence=Serialize:L74;Deserialize:L81;SerialCtor:L71; class=Server.Items.EShadowBannerAddon; kind=Deed; HasSerialConstructor=True; BaseCallStatus=BaseCallsFirst; VersionHandling=NoVersionFound; FieldAlignment=AlignedByCountAndKnownTypes; MoveRenameRisk=NamespaceOrTypeRenameDanger; ReviewStatus=NeedsSourceReview; ReviewReasons=NoVersionFound</t>
  </si>
  <si>
    <t>Historical path=Data/Scripts/Items/Gifts/ShadowDeeds/EShadowBanner.cs; backlog risk category=VersionHandling; write count=1; read count=1. POST-BATCH-J is triage only; no serialized layout edit is approved by this row.</t>
  </si>
  <si>
    <t>RB-00711</t>
  </si>
  <si>
    <t>P10-F00711</t>
  </si>
  <si>
    <t>PBJ-0485</t>
  </si>
  <si>
    <t>Current source file exists at Data/Scripts/Items/Gifts/ShadowDeeds/EShadowBanner.cs; match=ExactFileClass; serializer evidence=Serialize:L173;Deserialize:L180;SerialCtor:L170; class=Server.Items.EShadowBannerDeed; kind=Deed; HasSerialConstructor=True; BaseCallStatus=BaseCallsFirst; VersionHandling=NoVersionFound; FieldAlignment=AlignedByCountAndKnownTypes; MoveRenameRisk=NamespaceOrTypeRenameDanger; ReviewStatus=NeedsSourceReview; ReviewReasons=NoVersionFound</t>
  </si>
  <si>
    <t>RB-00713</t>
  </si>
  <si>
    <t>P10-F00713</t>
  </si>
  <si>
    <t>PBW-0021</t>
  </si>
  <si>
    <t>Current source file exists at Data/Scripts/Items/Houses/BaseHouse.cs; prior POST-BATCH-J row=PBJ-0486; register evidence=Serialize:L4090; class=Server.Multis.SecureInfo; kind=Item; HasSerialConstructor=False; BaseCallStatus=MissingBaseSerialize; VersionHandling=NoVersionFound; FieldAlignment=CountMismatch:Writes=2;Reads=0; direct source review=Source-reviewed helper serializer: GenericReader constructor L4084-L4087 reads Container and SecureLevel byte; Serialize L4090-L4093 writes matching fields; no Serial constructor/base calls required.</t>
  </si>
  <si>
    <t>POST-BATCH-W disposition of historical POST-BATCH-J NeedsMigrationPlan row; previous review row PBJ-0486; review class HelperSerializerReviewedNoChange.</t>
  </si>
  <si>
    <t>RB-00714</t>
  </si>
  <si>
    <t>P10-F00714</t>
  </si>
  <si>
    <t>PBW-0022</t>
  </si>
  <si>
    <t>Current source file exists at Data/Scripts/Items/Houses/BaseHouse.cs; prior POST-BATCH-J row=PBJ-0487; register evidence=Serialize:L4090; class=Server.Multis.SecureInfo; kind=Item; HasSerialConstructor=False; BaseCallStatus=MissingBaseSerialize; VersionHandling=NoVersionFound; FieldAlignment=CountMismatch:Writes=2;Reads=0; direct source review=Source-reviewed helper serializer: GenericReader constructor L4084-L4087 reads Container and SecureLevel byte; Serialize L4090-L4093 writes matching fields; no Serial constructor/base calls required.</t>
  </si>
  <si>
    <t>POST-BATCH-W disposition of historical POST-BATCH-J NeedsMigrationPlan row; previous review row PBJ-0487; review class HelperSerializerReviewedNoChange.</t>
  </si>
  <si>
    <t>RB-00716</t>
  </si>
  <si>
    <t>P10-F00716</t>
  </si>
  <si>
    <t>PBW-0023</t>
  </si>
  <si>
    <t>Current source file exists at Data/Scripts/Items/Houses/BaseHouse.cs; prior POST-BATCH-J row=PBJ-0488; register evidence=Serialize:L4090; class=Server.Multis.SecureInfo; kind=Item; HasSerialConstructor=False; BaseCallStatus=MissingBaseSerialize; VersionHandling=NoVersionFound; FieldAlignment=CountMismatch:Writes=2;Reads=0; direct source review=Source-reviewed helper serializer: GenericReader constructor L4084-L4087 reads Container and SecureLevel byte; Serialize L4090-L4093 writes matching fields; no Serial constructor/base calls required.</t>
  </si>
  <si>
    <t>POST-BATCH-W disposition of historical POST-BATCH-J NeedsMigrationPlan row; previous review row PBJ-0488; review class HelperSerializerReviewedNoChange.</t>
  </si>
  <si>
    <t>RB-00718</t>
  </si>
  <si>
    <t>P10-F00718</t>
  </si>
  <si>
    <t>PBW-0024</t>
  </si>
  <si>
    <t>Current source file exists at Data/Scripts/Items/Houses/HouseFoundation.cs; prior POST-BATCH-J row=PBJ-0489; register evidence=Serialize:L2117;VersionWrite:L2119; class=Server.Multis.DesignState; kind=Item; HasSerialConstructor=False; BaseCallStatus=MissingBaseSerialize; VersionHandling=WriteVersionOnly; FieldAlignment=CountMismatch:Writes=7;Reads=0; direct source review=Source-reviewed helper serializer: GenericReader constructor L2085-L2114 reads version, component list, fixture tuples, revision; Serialize L2117-L2136 writes matching version, components, fixtures, revision.</t>
  </si>
  <si>
    <t>POST-BATCH-W disposition of historical POST-BATCH-J NeedsMigrationPlan row; previous review row PBJ-0489; review class HelperSerializerReviewedNoChange.</t>
  </si>
  <si>
    <t>RB-00719</t>
  </si>
  <si>
    <t>P10-F00719</t>
  </si>
  <si>
    <t>PBW-0025</t>
  </si>
  <si>
    <t>Current source file exists at Data/Scripts/Items/Houses/HouseFoundation.cs; prior POST-BATCH-J row=PBJ-0490; register evidence=Serialize:L2117;VersionWrite:L2119; class=Server.Multis.DesignState; kind=Item; HasSerialConstructor=False; BaseCallStatus=MissingBaseSerialize; VersionHandling=WriteVersionOnly; FieldAlignment=CountMismatch:Writes=7;Reads=0; direct source review=Source-reviewed helper serializer: GenericReader constructor L2085-L2114 reads version, component list, fixture tuples, revision; Serialize L2117-L2136 writes matching version, components, fixtures, revision.</t>
  </si>
  <si>
    <t>POST-BATCH-W disposition of historical POST-BATCH-J NeedsMigrationPlan row; previous review row PBJ-0490; review class HelperSerializerReviewedNoChange.</t>
  </si>
  <si>
    <t>RB-00721</t>
  </si>
  <si>
    <t>P10-F00721</t>
  </si>
  <si>
    <t>PBW-0026</t>
  </si>
  <si>
    <t>Current source file exists at Data/Scripts/Items/Houses/HouseFoundation.cs; prior POST-BATCH-J row=PBJ-0491; register evidence=Serialize:L2117;VersionWrite:L2119; class=Server.Multis.DesignState; kind=Item; HasSerialConstructor=False; BaseCallStatus=MissingBaseSerialize; VersionHandling=WriteVersionOnly; FieldAlignment=CountMismatch:Writes=7;Reads=0; direct source review=Source-reviewed helper serializer: GenericReader constructor L2085-L2114 reads version, component list, fixture tuples, revision; Serialize L2117-L2136 writes matching version, components, fixtures, revision.</t>
  </si>
  <si>
    <t>POST-BATCH-W disposition of historical POST-BATCH-J NeedsMigrationPlan row; previous review row PBJ-0491; review class HelperSerializerReviewedNoChange.</t>
  </si>
  <si>
    <t>RB-00724</t>
  </si>
  <si>
    <t>P10-F00724</t>
  </si>
  <si>
    <t>PBY-0065</t>
  </si>
  <si>
    <t>BlockedForSerializerMigrationOnly</t>
  </si>
  <si>
    <t>Non-serializer source work may proceed if it does not alter HouseFoundation serialization, constructor semantics, namespace/type identity, or old-save compatibility. Excluded surface: HouseFoundation serializer ordering, base/subclass read-write ordering, save format normalization, old-save conversion, dual-format loaders, and serialized namespace/type behavior.</t>
  </si>
  <si>
    <t>PriorOverlayEvidence: Current source file exists at Data/Scripts/Items/Houses/HouseFoundation.cs; prior POST-BATCH-J row=PBJ-0492; register evidence=Serialize:L853;Deserialize:L881;SerialCtor:L807;VersionRead:L883; class=Server.Multis.HouseFoundation; kind=Item; HasSerialConstructor=True; BaseCallStatus=BaseSerializeAfterWrite; VersionHandling=ReadVersionOnly; FieldAlignment=TypeMismatch:#1:Write=int/Read=Item;#4:Write=int/Read=Item; direct source review=Source-reviewed legacy serializer: Serial ctor L807, writes version and subclass fields before base.Serialize L853-L871, reads version/subclass fields before base.Deserialize L881-L933. Current order is self-consistent but intentionally non-standard and migration-sensitive. || PriorNotes: POST-BATCH-W disposition of historical POST-BATCH-J NeedsMigrationPlan row; previous review row PBJ-0492; review class LegacyBaseOrderMigrationPlanReady.</t>
  </si>
  <si>
    <t>PreviousStatus=MigrationPlanReady; GateOutcome=Serializer migration remains blocked for this domain.; RequiredApproval=Required before preserving-vs-migrating the subclass-before-base HouseFoundation save order or adding any migration/dual-loader logic.</t>
  </si>
  <si>
    <t>RB-00726</t>
  </si>
  <si>
    <t>P10-F00726</t>
  </si>
  <si>
    <t>Data/Scripts/Items/Houses/Mailbox.cs</t>
  </si>
  <si>
    <t>PBJ-0493</t>
  </si>
  <si>
    <t>Current source file exists at Data/Scripts/Items/Houses/Mailbox.cs; match=ExactFileClass; serializer evidence=Serialize:L88;Deserialize:L94;SerialCtor:L85; class=Server.Items.Mailbox;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</si>
  <si>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path=Data/Scripts/Items/Houses/Mailbox.cs; backlog risk category=VersionHandling; write count=1; read count=1. POST-BATCH-J is triage only; no serialized layout edit is approved by this row.</t>
  </si>
  <si>
    <t>RB-00727</t>
  </si>
  <si>
    <t>P10-F00727</t>
  </si>
  <si>
    <t>Data/Scripts/Items/Houses/Monopoly/Items/RentalContractCopy.cs</t>
  </si>
  <si>
    <t>PBJ-0494</t>
  </si>
  <si>
    <t>Current source file exists at Data/Scripts/Items/Houses/Monopoly/Items/RentalContractCopy.cs; match=ExactFileClass; serializer evidence=Serialize:L32;Deserialize:L39;SerialCtor:L29;VersionWrite:L36;VersionRead:L43; class=Knives.TownHouses.RentalContractCopy; kind=Item; HasSerialConstructor=True; BaseCallStatus=BaseCallsFirst; VersionHandling=SuspiciousOrder; FieldAlignment=AlignedByCountAndKnownTypes; MoveRenameRisk=UnknownUntilSaveTest; ReviewStatus=NeedsSourceReview; ReviewReasons=SuspiciousOrder; UnknownUntilSaveTest</t>
  </si>
  <si>
    <t>Historical path=Data/Scripts/Items/Houses/Monopoly/Items/RentalContractCopy.cs; backlog risk category=VersionHandling; write count=1; read count=1. POST-BATCH-J is triage only; no serialized layout edit is approved by this row.</t>
  </si>
  <si>
    <t>RB-00729</t>
  </si>
  <si>
    <t>P10-F00729</t>
  </si>
  <si>
    <t>Data/Scripts/Items/Houses/Monopoly/Misc/DecoreItemInfo.cs</t>
  </si>
  <si>
    <t>PBJ-0495</t>
  </si>
  <si>
    <t>Current source file exists at Data/Scripts/Items/Houses/Monopoly/Misc/DecoreItemInfo.cs; match=ExactFileClass; serializer evidence=; class=Unknown; kind=Item; HasSerialConstructor=False; BaseCallStatus=BaseCallsFirst; VersionHandling=NoVersionFound; FieldAlignment=AlignedByCountAndKnownTypes; MoveRenameRisk=UnknownUntilSaveTest; ReviewStatus=NeedsSourceReview; ReviewReasons=Serializer pair is missing one side.; Serial constructor not detected.; NoVersionFound; UnknownUntilSaveTest</t>
  </si>
  <si>
    <t>Historical path=Data/Scripts/Items/Houses/Monopoly/Misc/DecoreItemInfo.cs; backlog risk category=MissingSerialConstructor; write count=0; read count=0. POST-BATCH-J is triage only; no serialized layout edit is approved by this row.</t>
  </si>
  <si>
    <t>RB-00730</t>
  </si>
  <si>
    <t>P10-F00730</t>
  </si>
  <si>
    <t>PBJ-0496</t>
  </si>
  <si>
    <t>Historical path=Data/Scripts/Items/Houses/Monopoly/Misc/DecoreItemInfo.cs; backlog risk category=MissingSerializerPair; write count=0; read count=0. POST-BATCH-J is triage only; no serialized layout edit is approved by this row.</t>
  </si>
  <si>
    <t>RB-00731</t>
  </si>
  <si>
    <t>P10-F00731</t>
  </si>
  <si>
    <t>PBJ-0497</t>
  </si>
  <si>
    <t>Historical path=Data/Scripts/Items/Houses/Monopoly/Misc/DecoreItemInfo.cs; backlog risk category=VersionHandling; write count=0; read count=0. POST-BATCH-J is triage only; no serialized layout edit is approved by this row.</t>
  </si>
  <si>
    <t>RB-00732</t>
  </si>
  <si>
    <t>P10-F00732</t>
  </si>
  <si>
    <t>Data/Scripts/Items/Houses/Monopoly/RUOVersion.cs</t>
  </si>
  <si>
    <t>PBJ-0498</t>
  </si>
  <si>
    <t>Current source file exists at Data/Scripts/Items/Houses/Monopoly/RUOVersion.cs; match=ExactFileClass; serializer evidence=Serialize:L107;Deserialize:L112;SerialCtor:L104; class=Knives.TownHouses.VersionHouse;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</si>
  <si>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path=Data/Scripts/Items/Houses/Monopoly/RUOVersion.cs; backlog risk category=VersionHandling; write count=0; read count=0. POST-BATCH-J is triage only; no serialized layout edit is approved by this row.</t>
  </si>
  <si>
    <t>RB-00733</t>
  </si>
  <si>
    <t>P10-F00733</t>
  </si>
  <si>
    <t>Data/Scripts/Items/Houses/MovingCrate.cs</t>
  </si>
  <si>
    <t>PBJ-0499</t>
  </si>
  <si>
    <t>Current source file exists at Data/Scripts/Items/Houses/MovingCrate.cs; match=ExactFileClass; serializer evidence=Serialize:L250;Deserialize:L259;SerialCtor:L51; class=Server.Multis.MovingCrate;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</si>
  <si>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path=Data/Scripts/Items/Houses/MovingCrate.cs; backlog risk category=VersionHandling; write count=2; read count=2. POST-BATCH-J is triage only; no serialized layout edit is approved by this row.</t>
  </si>
  <si>
    <t>RB-00734</t>
  </si>
  <si>
    <t>P10-F00734</t>
  </si>
  <si>
    <t>PBJ-0500</t>
  </si>
  <si>
    <t>Current source file exists at Data/Scripts/Items/Houses/MovingCrate.cs; match=ExactFileClass; serializer evidence=Serialize:L360;Deserialize:L367;SerialCtor:L336; class=Server.Multis.PackingBox;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</si>
  <si>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path=Data/Scripts/Items/Houses/MovingCrate.cs; backlog risk category=VersionHandling; write count=1; read count=1. POST-BATCH-J is triage only; no serialized layout edit is approved by this row.</t>
  </si>
  <si>
    <t>RB-00739</t>
  </si>
  <si>
    <t>P10-F00739</t>
  </si>
  <si>
    <t>Data/Scripts/Items/Magical/Artifacts/Artifact_AcidProofRobe.cs</t>
  </si>
  <si>
    <t>PBU-0009</t>
  </si>
  <si>
    <t>POST-BATCH-N lane=POST-BATCH-N-SAVE-MIGRATION-PLAN; FileProofStatus=CurrentPathConfirmed; Class=Server.Items.Artifact_AcidProofRobe; Serialize=L80; Reader=DeserializeMethod:L87; RegisterBase=BaseCallsFirst; RegisterVersion=SuspiciousOrder; RegisterAlignment=CountMatchNeedsTypeReview:UnknownWrites=1; Writes=2; Reads=2; WriteEvidence=L83:Write((int)1)) | L84:Write(TimeUsed)); ReadEvidence=L90:ReadInt | L91:ReadDateTime; POST-BATCH-U direct source review=ScannerAmbiguityFalsePositive</t>
  </si>
  <si>
    <t>RB-00740</t>
  </si>
  <si>
    <t>P10-F00740</t>
  </si>
  <si>
    <t>Data/Scripts/Items/Magical/Artifacts/Artifact_Aegis.cs</t>
  </si>
  <si>
    <t>PBJ-0502</t>
  </si>
  <si>
    <t>Current source file exists at Data/Scripts/Items/Magical/Artifacts/Artifact_Aegis.cs; match=ExactFileClass; serializer evidence=Serialize:L28;Deserialize:L34;SerialCtor:L25;VersionWrite:L31;VersionRead:L37; class=Server.Items.Artifact_Aegis;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</si>
  <si>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path=Data/Scripts/Items/Magical/Artifacts/Artifact_Aegis.cs; backlog risk category=VersionHandling; write count=1; read count=1. POST-BATCH-J is triage only; no serialized layout edit is approved by this row.</t>
  </si>
  <si>
    <t>RB-00741</t>
  </si>
  <si>
    <t>P10-F00741</t>
  </si>
  <si>
    <t>Data/Scripts/Items/Magical/Artifacts/Artifact_AegisOfGrace.cs</t>
  </si>
  <si>
    <t>PBJ-0503</t>
  </si>
  <si>
    <t>Current source file exists at Data/Scripts/Items/Magical/Artifacts/Artifact_AegisOfGrace.cs; match=ExactFileClass; serializer evidence=Serialize:L61;Deserialize:L67;SerialCtor:L58; class=Server.Items.Artifact_AegisOfGrace;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</si>
  <si>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path=Data/Scripts/Items/Magical/Artifacts/Artifact_AegisOfGrace.cs; backlog risk category=VersionHandling; write count=1; read count=1. POST-BATCH-J is triage only; no serialized layout edit is approved by this row.</t>
  </si>
  <si>
    <t>RB-00742</t>
  </si>
  <si>
    <t>P10-F00742</t>
  </si>
  <si>
    <t>Data/Scripts/Items/Magical/Artifacts/Artifact_ArmorOfInsight.cs</t>
  </si>
  <si>
    <t>PBJ-0504</t>
  </si>
  <si>
    <t>Current source file exists at Data/Scripts/Items/Magical/Artifacts/Artifact_ArmorOfInsight.cs; match=ExactFileClass; serializer evidence=Serialize:L38;Deserialize:L44;SerialCtor:L35;VersionWrite:L41;VersionRead:L47; class=Server.Items.Artifact_ArmorOfInsight;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</si>
  <si>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path=Data/Scripts/Items/Magical/Artifacts/Artifact_ArmorOfInsight.cs; backlog risk category=VersionHandling; write count=1; read count=1. POST-BATCH-J is triage only; no serialized layout edit is approved by this row.</t>
  </si>
  <si>
    <t>RB-00743</t>
  </si>
  <si>
    <t>P10-F00743</t>
  </si>
  <si>
    <t>Data/Scripts/Items/Magical/Artifacts/Artifact_ArmorOfNobility.cs</t>
  </si>
  <si>
    <t>PBJ-0505</t>
  </si>
  <si>
    <t>Current source file exists at Data/Scripts/Items/Magical/Artifacts/Artifact_ArmorOfNobility.cs; match=ExactFileClass; serializer evidence=Serialize:L40;Deserialize:L46;SerialCtor:L37;VersionWrite:L43;VersionRead:L49; class=Server.Items.Artifact_ArmorOfNobility;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</si>
  <si>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path=Data/Scripts/Items/Magical/Artifacts/Artifact_ArmorOfNobility.cs; backlog risk category=VersionHandling; write count=1; read count=1. POST-BATCH-J is triage only; no serialized layout edit is approved by this row.</t>
  </si>
  <si>
    <t>RB-00744</t>
  </si>
  <si>
    <t>P10-F00744</t>
  </si>
  <si>
    <t>Data/Scripts/Items/Magical/Artifacts/Artifact_ArmsOfAegis.cs</t>
  </si>
  <si>
    <t>PBJ-0506</t>
  </si>
  <si>
    <t>Current source file exists at Data/Scripts/Items/Magical/Artifacts/Artifact_ArmsOfAegis.cs; match=ExactFileClass; serializer evidence=Serialize:L38;Deserialize:L44;SerialCtor:L35;VersionWrite:L41;VersionRead:L47; class=Server.Items.Artifact_ArmsOfAegis;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</si>
  <si>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path=Data/Scripts/Items/Magical/Artifacts/Artifact_ArmsOfAegis.cs; backlog risk category=VersionHandling; write count=1; read count=1. POST-BATCH-J is triage only; no serialized layout edit is approved by this row.</t>
  </si>
  <si>
    <t>RB-00745</t>
  </si>
  <si>
    <t>P10-F00745</t>
  </si>
  <si>
    <t>Data/Scripts/Items/Magical/Artifacts/Artifact_ArmsOfInsight.cs</t>
  </si>
  <si>
    <t>PBJ-0507</t>
  </si>
  <si>
    <t>Current source file exists at Data/Scripts/Items/Magical/Artifacts/Artifact_ArmsOfInsight.cs; match=ExactFileClass; serializer evidence=Serialize:L38;Deserialize:L44;SerialCtor:L35;VersionWrite:L41;VersionRead:L47; class=Server.Items.Artifact_ArmsOfInsight;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</si>
  <si>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path=Data/Scripts/Items/Magical/Artifacts/Artifact_ArmsOfInsight.cs; backlog risk category=VersionHandling; write count=1; read count=1. POST-BATCH-J is triage only; no serialized layout edit is approved by this row.</t>
  </si>
  <si>
    <t>RB-00746</t>
  </si>
  <si>
    <t>P10-F00746</t>
  </si>
  <si>
    <t>Data/Scripts/Items/Magical/Artifacts/Artifact_ArmsOfNobility.cs</t>
  </si>
  <si>
    <t>PBJ-0508</t>
  </si>
  <si>
    <t>Current source file exists at Data/Scripts/Items/Magical/Artifacts/Artifact_ArmsOfNobility.cs; match=ExactFileClass; serializer evidence=Serialize:L40;Deserialize:L46;SerialCtor:L37;VersionWrite:L43;VersionRead:L49; class=Server.Items.Artifact_ArmsOfNobility;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</si>
  <si>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path=Data/Scripts/Items/Magical/Artifacts/Artifact_ArmsOfNobility.cs; backlog risk category=VersionHandling; write count=1; read count=1. POST-BATCH-J is triage only; no serialized layout edit is approved by this row.</t>
  </si>
  <si>
    <t>RB-00747</t>
  </si>
  <si>
    <t>P10-F00747</t>
  </si>
  <si>
    <t>Data/Scripts/Items/Magical/Artifacts/Artifact_ArmsOfTheFallenKing.cs</t>
  </si>
  <si>
    <t>PBJ-0509</t>
  </si>
  <si>
    <t>Current source file exists at Data/Scripts/Items/Magical/Artifacts/Artifact_ArmsOfTheFallenKing.cs; match=ExactFileClass; serializer evidence=Serialize:L41;Deserialize:L47;SerialCtor:L38;VersionWrite:L44;VersionRead:L50; class=Server.Items.Artifact_ArmsOfTheFallenKing;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</si>
  <si>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path=Data/Scripts/Items/Magical/Artifacts/Artifact_ArmsOfTheFallenKing.cs; backlog risk category=VersionHandling; write count=1; read count=1. POST-BATCH-J is triage only; no serialized layout edit is approved by this row.</t>
  </si>
  <si>
    <t>RB-00748</t>
  </si>
  <si>
    <t>P10-F00748</t>
  </si>
  <si>
    <t>Data/Scripts/Items/Magical/Artifacts/Artifact_ArmsOfTheHarrower.cs</t>
  </si>
  <si>
    <t>PBJ-0510</t>
  </si>
  <si>
    <t>Current source file exists at Data/Scripts/Items/Magical/Artifacts/Artifact_ArmsOfTheHarrower.cs; match=ExactFileClass; serializer evidence=Serialize:L36;Deserialize:L42;SerialCtor:L33;VersionWrite:L39;VersionRead:L45; class=Server.Items.Artifact_ArmsOfTheHarrower;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</si>
  <si>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path=Data/Scripts/Items/Magical/Artifacts/Artifact_ArmsOfTheHarrower.cs; backlog risk category=VersionHandling; write count=1; read count=1. POST-BATCH-J is triage only; no serialized layout edit is approved by this row.</t>
  </si>
  <si>
    <t>RB-00749</t>
  </si>
  <si>
    <t>P10-F00749</t>
  </si>
  <si>
    <t>Data/Scripts/Items/Magical/Artifacts/Artifact_BladeDance.cs</t>
  </si>
  <si>
    <t>PBJ-0511</t>
  </si>
  <si>
    <t>Current source file exists at Data/Scripts/Items/Magical/Artifacts/Artifact_BladeDance.cs; match=ExactFileClass; serializer evidence=Serialize:L35;Deserialize:L42;SerialCtor:L32; class=Server.Items.Artifact_BladeDance;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</si>
  <si>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path=Data/Scripts/Items/Magical/Artifacts/Artifact_BladeDance.cs; backlog risk category=VersionHandling; write count=1; read count=1. POST-BATCH-J is triage only; no serialized layout edit is approved by this row.</t>
  </si>
  <si>
    <t>RB-00750</t>
  </si>
  <si>
    <t>P10-F00750</t>
  </si>
  <si>
    <t>Data/Scripts/Items/Magical/Artifacts/Artifact_BlightGrippedLongbow.cs</t>
  </si>
  <si>
    <t>PBJ-0512</t>
  </si>
  <si>
    <t>Current source file exists at Data/Scripts/Items/Magical/Artifacts/Artifact_BlightGrippedLongbow.cs; match=ExactFileClass; serializer evidence=Serialize:L26;Deserialize:L32;SerialCtor:L23; class=Server.Items.Artifact_BlightGrippedLongbow;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</si>
  <si>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path=Data/Scripts/Items/Magical/Artifacts/Artifact_BlightGrippedLongbow.cs; backlog risk category=VersionHandling; write count=1; read count=1. POST-BATCH-J is triage only; no serialized layout edit is approved by this row.</t>
  </si>
  <si>
    <t>RB-00751</t>
  </si>
  <si>
    <t>P10-F00751</t>
  </si>
  <si>
    <t>Data/Scripts/Items/Magical/Artifacts/Artifact_Bonesmasher.cs</t>
  </si>
  <si>
    <t>PBJ-0513</t>
  </si>
  <si>
    <t>Current source file exists at Data/Scripts/Items/Magical/Artifacts/Artifact_Bonesmasher.cs; match=ExactFileClass; serializer evidence=Serialize:L35;Deserialize:L41;SerialCtor:L32; class=Server.Items.Artifact_Bonesmasher;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</si>
  <si>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path=Data/Scripts/Items/Magical/Artifacts/Artifact_Bonesmasher.cs; backlog risk category=VersionHandling; write count=1; read count=1. POST-BATCH-J is triage only; no serialized layout edit is approved by this row.</t>
  </si>
  <si>
    <t>RB-00752</t>
  </si>
  <si>
    <t>P10-F00752</t>
  </si>
  <si>
    <t>Data/Scripts/Items/Magical/Artifacts/Artifact_Boomstick.cs</t>
  </si>
  <si>
    <t>PBJ-0514</t>
  </si>
  <si>
    <t>Current source file exists at Data/Scripts/Items/Magical/Artifacts/Artifact_Boomstick.cs; match=ExactFileClass; serializer evidence=Serialize:L50;Deserialize:L56;SerialCtor:L47; class=Server.Items.Artifact_Boomstick;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</si>
  <si>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path=Data/Scripts/Items/Magical/Artifacts/Artifact_Boomstick.cs; backlog risk category=VersionHandling; write count=1; read count=1. POST-BATCH-J is triage only; no serialized layout edit is approved by this row.</t>
  </si>
  <si>
    <t>RB-00753</t>
  </si>
  <si>
    <t>P10-F00753</t>
  </si>
  <si>
    <t>Data/Scripts/Items/Magical/Artifacts/Artifact_BrambleCoat.cs</t>
  </si>
  <si>
    <t>PBJ-0515</t>
  </si>
  <si>
    <t>Current source file exists at Data/Scripts/Items/Magical/Artifacts/Artifact_BrambleCoat.cs; match=ExactFileClass; serializer evidence=Serialize:L46;Deserialize:L52;SerialCtor:L43; class=Server.Items.Artifact_BrambleCoat;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</si>
  <si>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path=Data/Scripts/Items/Magical/Artifacts/Artifact_BrambleCoat.cs; backlog risk category=VersionHandling; write count=1; read count=1. POST-BATCH-J is triage only; no serialized layout edit is approved by this row.</t>
  </si>
  <si>
    <t>RB-00754</t>
  </si>
  <si>
    <t>P10-F00754</t>
  </si>
  <si>
    <t>Data/Scripts/Items/Magical/Artifacts/Artifact_BurglarsBandana.cs</t>
  </si>
  <si>
    <t>PBJ-0516</t>
  </si>
  <si>
    <t>Current source file exists at Data/Scripts/Items/Magical/Artifacts/Artifact_BurglarsBandana.cs; match=ExactFileClass; serializer evidence=Serialize:L45;Deserialize:L51;SerialCtor:L42;VersionWrite:L48;VersionRead:L54; class=Server.Items.Artifact_BurglarsBandana;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</si>
  <si>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path=Data/Scripts/Items/Magical/Artifacts/Artifact_BurglarsBandana.cs; backlog risk category=VersionHandling; write count=1; read count=1. POST-BATCH-J is triage only; no serialized layout edit is approved by this row.</t>
  </si>
  <si>
    <t>RB-00755</t>
  </si>
  <si>
    <t>P10-F00755</t>
  </si>
  <si>
    <t>Data/Scripts/Items/Magical/Artifacts/Artifact_CapOfTheFallenKing.cs</t>
  </si>
  <si>
    <t>PBJ-0517</t>
  </si>
  <si>
    <t>Current source file exists at Data/Scripts/Items/Magical/Artifacts/Artifact_CapOfTheFallenKing.cs; match=ExactFileClass; serializer evidence=Serialize:L40;Deserialize:L46;SerialCtor:L37;VersionWrite:L43;VersionRead:L49; class=Server.Items.Artifact_CapOfTheFallenKing;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</si>
  <si>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path=Data/Scripts/Items/Magical/Artifacts/Artifact_CapOfTheFallenKing.cs; backlog risk category=VersionHandling; write count=1; read count=1. POST-BATCH-J is triage only; no serialized layout edit is approved by this row.</t>
  </si>
  <si>
    <t>RB-00756</t>
  </si>
  <si>
    <t>P10-F00756</t>
  </si>
  <si>
    <t>Data/Scripts/Items/Magical/Artifacts/Artifact_CoifOfBane.cs</t>
  </si>
  <si>
    <t>PBJ-0518</t>
  </si>
  <si>
    <t>Current source file exists at Data/Scripts/Items/Magical/Artifacts/Artifact_CoifOfBane.cs; match=ExactFileClass; serializer evidence=Serialize:L28;Deserialize:L34;SerialCtor:L25;VersionWrite:L31;VersionRead:L37; class=Server.Items.Artifact_CoifOfBane;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</si>
  <si>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path=Data/Scripts/Items/Magical/Artifacts/Artifact_CoifOfBane.cs; backlog risk category=VersionHandling; write count=1; read count=1. POST-BATCH-J is triage only; no serialized layout edit is approved by this row.</t>
  </si>
  <si>
    <t>RB-00757</t>
  </si>
  <si>
    <t>P10-F00757</t>
  </si>
  <si>
    <t>Data/Scripts/Items/Magical/Artifacts/Artifact_CoifOfFire.cs</t>
  </si>
  <si>
    <t>PBJ-0519</t>
  </si>
  <si>
    <t>Current source file exists at Data/Scripts/Items/Magical/Artifacts/Artifact_CoifOfFire.cs; match=ExactFileClass; serializer evidence=Serialize:L41;Deserialize:L47;SerialCtor:L38;VersionWrite:L44;VersionRead:L50; class=Server.Items.Artifact_CoifOfFire;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</si>
  <si>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path=Data/Scripts/Items/Magical/Artifacts/Artifact_CoifOfFire.cs; backlog risk category=VersionHandling; write count=1; read count=1. POST-BATCH-J is triage only; no serialized layout edit is approved by this row.</t>
  </si>
  <si>
    <t>RB-00758</t>
  </si>
  <si>
    <t>P10-F00758</t>
  </si>
  <si>
    <t>Data/Scripts/Items/Magical/Artifacts/Artifact_ColdForgedBlade.cs</t>
  </si>
  <si>
    <t>PBJ-0520</t>
  </si>
  <si>
    <t>Current source file exists at Data/Scripts/Items/Magical/Artifacts/Artifact_ColdForgedBlade.cs; match=ExactFileClass; serializer evidence=Serialize:L42;Deserialize:L48;SerialCtor:L39; class=Server.Items.Artifact_ColdForgedBlade;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</si>
  <si>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path=Data/Scripts/Items/Magical/Artifacts/Artifact_ColdForgedBlade.cs; backlog risk category=VersionHandling; write count=1; read count=1. POST-BATCH-J is triage only; no serialized layout edit is approved by this row.</t>
  </si>
  <si>
    <t>RB-00759</t>
  </si>
  <si>
    <t>P10-F00759</t>
  </si>
  <si>
    <t>Data/Scripts/Items/Magical/Artifacts/Artifact_DivineArms.cs</t>
  </si>
  <si>
    <t>PBJ-0521</t>
  </si>
  <si>
    <t>Current source file exists at Data/Scripts/Items/Magical/Artifacts/Artifact_DivineArms.cs; match=ExactFileClass; serializer evidence=Serialize:L50;Deserialize:L57;SerialCtor:L47;VersionWrite:L54;VersionRead:L61; class=Server.Items.Artifact_DivineArms;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</si>
  <si>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path=Data/Scripts/Items/Magical/Artifacts/Artifact_DivineArms.cs; backlog risk category=VersionHandling; write count=1; read count=1. POST-BATCH-J is triage only; no serialized layout edit is approved by this row.</t>
  </si>
  <si>
    <t>RB-00760</t>
  </si>
  <si>
    <t>P10-F00760</t>
  </si>
  <si>
    <t>Data/Scripts/Items/Magical/Artifacts/Artifact_DivineCountenance.cs</t>
  </si>
  <si>
    <t>PBJ-0522</t>
  </si>
  <si>
    <t>Current source file exists at Data/Scripts/Items/Magical/Artifacts/Artifact_DivineCountenance.cs; match=ExactFileClass; serializer evidence=Serialize:L40;Deserialize:L47;SerialCtor:L37;VersionWrite:L44;VersionRead:L51; class=Server.Items.Artifact_DivineCountenance;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</si>
  <si>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path=Data/Scripts/Items/Magical/Artifacts/Artifact_DivineCountenance.cs; backlog risk category=VersionHandling; write count=1; read count=1. POST-BATCH-J is triage only; no serialized layout edit is approved by this row.</t>
  </si>
  <si>
    <t>RB-00761</t>
  </si>
  <si>
    <t>P10-F00761</t>
  </si>
  <si>
    <t>Data/Scripts/Items/Magical/Artifacts/Artifact_DivineGloves.cs</t>
  </si>
  <si>
    <t>PBJ-0523</t>
  </si>
  <si>
    <t>Current source file exists at Data/Scripts/Items/Magical/Artifacts/Artifact_DivineGloves.cs; match=ExactFileClass; serializer evidence=Serialize:L50;Deserialize:L57;SerialCtor:L47;VersionWrite:L54;VersionRead:L61; class=Server.Items.Artifact_DivineGloves;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</si>
  <si>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path=Data/Scripts/Items/Magical/Artifacts/Artifact_DivineGloves.cs; backlog risk category=VersionHandling; write count=1; read count=1. POST-BATCH-J is triage only; no serialized layout edit is approved by this row.</t>
  </si>
  <si>
    <t>RB-00762</t>
  </si>
  <si>
    <t>P10-F00762</t>
  </si>
  <si>
    <t>Data/Scripts/Items/Magical/Artifacts/Artifact_DivineGorget.cs</t>
  </si>
  <si>
    <t>PBJ-0524</t>
  </si>
  <si>
    <t>Current source file exists at Data/Scripts/Items/Magical/Artifacts/Artifact_DivineGorget.cs; match=ExactFileClass; serializer evidence=Serialize:L50;Deserialize:L57;SerialCtor:L47;VersionWrite:L54;VersionRead:L61; class=Server.Items.Artifact_DivineGorget;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</si>
  <si>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path=Data/Scripts/Items/Magical/Artifacts/Artifact_DivineGorget.cs; backlog risk category=VersionHandling; write count=1; read count=1. POST-BATCH-J is triage only; no serialized layout edit is approved by this row.</t>
  </si>
  <si>
    <t>RB-00763</t>
  </si>
  <si>
    <t>P10-F00763</t>
  </si>
  <si>
    <t>Data/Scripts/Items/Magical/Artifacts/Artifact_DivineLeggings.cs</t>
  </si>
  <si>
    <t>PBJ-0525</t>
  </si>
  <si>
    <t>Current source file exists at Data/Scripts/Items/Magical/Artifacts/Artifact_DivineLeggings.cs; match=ExactFileClass; serializer evidence=Serialize:L50;Deserialize:L57;SerialCtor:L47;VersionWrite:L54;VersionRead:L61; class=Server.Items.Artifact_DivineLeggings;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</si>
  <si>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path=Data/Scripts/Items/Magical/Artifacts/Artifact_DivineLeggings.cs; backlog risk category=VersionHandling; write count=1; read count=1. POST-BATCH-J is triage only; no serialized layout edit is approved by this row.</t>
  </si>
  <si>
    <t>RB-00764</t>
  </si>
  <si>
    <t>P10-F00764</t>
  </si>
  <si>
    <t>Data/Scripts/Items/Magical/Artifacts/Artifact_DivineTunic.cs</t>
  </si>
  <si>
    <t>PBJ-0526</t>
  </si>
  <si>
    <t>Current source file exists at Data/Scripts/Items/Magical/Artifacts/Artifact_DivineTunic.cs; match=ExactFileClass; serializer evidence=Serialize:L50;Deserialize:L57;SerialCtor:L47;VersionWrite:L54;VersionRead:L61; class=Server.Items.Artifact_DivineTunic;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</si>
  <si>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path=Data/Scripts/Items/Magical/Artifacts/Artifact_DivineTunic.cs; backlog risk category=VersionHandling; write count=1; read count=1. POST-BATCH-J is triage only; no serialized layout edit is approved by this row.</t>
  </si>
  <si>
    <t>RB-00765</t>
  </si>
  <si>
    <t>P10-F00765</t>
  </si>
  <si>
    <t>Data/Scripts/Items/Magical/Artifacts/Artifact_DupresCollar.cs</t>
  </si>
  <si>
    <t>PBJ-0527</t>
  </si>
  <si>
    <t>Current source file exists at Data/Scripts/Items/Magical/Artifacts/Artifact_DupresCollar.cs; match=ExactFileClass; serializer evidence=Serialize:L49;Deserialize:L56;SerialCtor:L46;VersionWrite:L53;VersionRead:L60; class=Server.Items.Artifact_DupresCollar;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</si>
  <si>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path=Data/Scripts/Items/Magical/Artifacts/Artifact_DupresCollar.cs; backlog risk category=VersionHandling; write count=1; read count=1. POST-BATCH-J is triage only; no serialized layout edit is approved by this row.</t>
  </si>
  <si>
    <t>RB-00766</t>
  </si>
  <si>
    <t>P10-F00766</t>
  </si>
  <si>
    <t>Data/Scripts/Items/Magical/Artifacts/Artifact_DupresShield.cs</t>
  </si>
  <si>
    <t>PBJ-0528</t>
  </si>
  <si>
    <t>Current source file exists at Data/Scripts/Items/Magical/Artifacts/Artifact_DupresShield.cs; match=ExactFileClass; serializer evidence=Serialize:L54;Deserialize:L60;SerialCtor:L51; class=Server.Items.Artifact_DupresShield;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</si>
  <si>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path=Data/Scripts/Items/Magical/Artifacts/Artifact_DupresShield.cs; backlog risk category=VersionHandling; write count=1; read count=1. POST-BATCH-J is triage only; no serialized layout edit is approved by this row.</t>
  </si>
  <si>
    <t>RB-00767</t>
  </si>
  <si>
    <t>P10-F00767</t>
  </si>
  <si>
    <t>Data/Scripts/Items/Magical/Artifacts/Artifact_EssenceOfBattle.cs</t>
  </si>
  <si>
    <t>PBJ-0529</t>
  </si>
  <si>
    <t>Current source file exists at Data/Scripts/Items/Magical/Artifacts/Artifact_EssenceOfBattle.cs; match=ExactFileClass; serializer evidence=Serialize:L22;Deserialize:L28;SerialCtor:L19; class=Server.Items.Artifact_EssenceOfBattle;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</si>
  <si>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path=Data/Scripts/Items/Magical/Artifacts/Artifact_EssenceOfBattle.cs; backlog risk category=VersionHandling; write count=1; read count=1. POST-BATCH-J is triage only; no serialized layout edit is approved by this row.</t>
  </si>
  <si>
    <t>RB-00768</t>
  </si>
  <si>
    <t>P10-F00768</t>
  </si>
  <si>
    <t>Data/Scripts/Items/Magical/Artifacts/Artifact_FeyLeggings.cs</t>
  </si>
  <si>
    <t>PBJ-0530</t>
  </si>
  <si>
    <t>Current source file exists at Data/Scripts/Items/Magical/Artifacts/Artifact_FeyLeggings.cs; match=ExactFileClass; serializer evidence=Serialize:L54;Deserialize:L61;SerialCtor:L51; class=Server.Items.Artifact_FeyLeggings;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</si>
  <si>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path=Data/Scripts/Items/Magical/Artifacts/Artifact_FeyLeggings.cs; backlog risk category=VersionHandling; write count=1; read count=1. POST-BATCH-J is triage only; no serialized layout edit is approved by this row.</t>
  </si>
  <si>
    <t>RB-00769</t>
  </si>
  <si>
    <t>P10-F00769</t>
  </si>
  <si>
    <t>Data/Scripts/Items/Magical/Artifacts/Artifact_FleshRipper.cs</t>
  </si>
  <si>
    <t>PBJ-0531</t>
  </si>
  <si>
    <t>Current source file exists at Data/Scripts/Items/Magical/Artifacts/Artifact_FleshRipper.cs; match=ExactFileClass; serializer evidence=Serialize:L39;Deserialize:L46;SerialCtor:L36; class=Server.Items.Artifact_FleshRipper;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</si>
  <si>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path=Data/Scripts/Items/Magical/Artifacts/Artifact_FleshRipper.cs; backlog risk category=VersionHandling; write count=1; read count=1. POST-BATCH-J is triage only; no serialized layout edit is approved by this row.</t>
  </si>
  <si>
    <t>RB-00770</t>
  </si>
  <si>
    <t>P10-F00770</t>
  </si>
  <si>
    <t>Data/Scripts/Items/Magical/Artifacts/Artifact_GandalfsStaff.cs</t>
  </si>
  <si>
    <t>PBU-0010</t>
  </si>
  <si>
    <t>POST-BATCH-N lane=POST-BATCH-N-SAVE-MIGRATION-PLAN; FileProofStatus=CurrentPathConfirmed; Class=Server.Items.Artifact_GandalfsStaff; Serialize=L78; Reader=DeserializeMethod:L85; RegisterBase=BaseCallsFirst; RegisterVersion=SuspiciousOrder; RegisterAlignment=CountMatchNeedsTypeReview:UnknownWrites=1; Writes=2; Reads=2; WriteEvidence=L81:Write((int)1)) | L82:Write(TimeUsed)); ReadEvidence=L88:ReadInt | L89:ReadDateTime; POST-BATCH-U direct source review=ScannerAmbiguityFalsePositive</t>
  </si>
  <si>
    <t>RB-00771</t>
  </si>
  <si>
    <t>P10-F00771</t>
  </si>
  <si>
    <t>Data/Scripts/Items/Magical/Artifacts/Artifact_GauntletsOfNobility.cs</t>
  </si>
  <si>
    <t>PBJ-0533</t>
  </si>
  <si>
    <t>Current source file exists at Data/Scripts/Items/Magical/Artifacts/Artifact_GauntletsOfNobility.cs; match=ExactFileClass; serializer evidence=Serialize:L40;Deserialize:L46;SerialCtor:L37;VersionWrite:L43;VersionRead:L49; class=Server.Items.Artifact_GauntletsOfNobility;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</si>
  <si>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path=Data/Scripts/Items/Magical/Artifacts/Artifact_GauntletsOfNobility.cs; backlog risk category=VersionHandling; write count=1; read count=1. POST-BATCH-J is triage only; no serialized layout edit is approved by this row.</t>
  </si>
  <si>
    <t>RB-00772</t>
  </si>
  <si>
    <t>P10-F00772</t>
  </si>
  <si>
    <t>Data/Scripts/Items/Magical/Artifacts/Artifact_GlovesOfAegis.cs</t>
  </si>
  <si>
    <t>PBJ-0534</t>
  </si>
  <si>
    <t>Current source file exists at Data/Scripts/Items/Magical/Artifacts/Artifact_GlovesOfAegis.cs; match=ExactFileClass; serializer evidence=Serialize:L38;Deserialize:L44;SerialCtor:L35;VersionWrite:L41;VersionRead:L47; class=Server.Items.Artifact_GlovesOfAegis;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</si>
  <si>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path=Data/Scripts/Items/Magical/Artifacts/Artifact_GlovesOfAegis.cs; backlog risk category=VersionHandling; write count=1; read count=1. POST-BATCH-J is triage only; no serialized layout edit is approved by this row.</t>
  </si>
  <si>
    <t>RB-00773</t>
  </si>
  <si>
    <t>P10-F00773</t>
  </si>
  <si>
    <t>Data/Scripts/Items/Magical/Artifacts/Artifact_GlovesOfInsight.cs</t>
  </si>
  <si>
    <t>PBJ-0535</t>
  </si>
  <si>
    <t>Current source file exists at Data/Scripts/Items/Magical/Artifacts/Artifact_GlovesOfInsight.cs; match=ExactFileClass; serializer evidence=Serialize:L38;Deserialize:L44;SerialCtor:L35;VersionWrite:L41;VersionRead:L47; class=Server.Items.Artifact_GlovesOfInsight;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</si>
  <si>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path=Data/Scripts/Items/Magical/Artifacts/Artifact_GlovesOfInsight.cs; backlog risk category=VersionHandling; write count=1; read count=1. POST-BATCH-J is triage only; no serialized layout edit is approved by this row.</t>
  </si>
  <si>
    <t>RB-00774</t>
  </si>
  <si>
    <t>P10-F00774</t>
  </si>
  <si>
    <t>Data/Scripts/Items/Magical/Artifacts/Artifact_GlovesOfTheFallenKing.cs</t>
  </si>
  <si>
    <t>PBJ-0536</t>
  </si>
  <si>
    <t>Current source file exists at Data/Scripts/Items/Magical/Artifacts/Artifact_GlovesOfTheFallenKing.cs; match=ExactFileClass; serializer evidence=Serialize:L41;Deserialize:L47;SerialCtor:L38;VersionWrite:L44;VersionRead:L50; class=Server.Items.Artifact_GlovesOfTheFallenKing;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</si>
  <si>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path=Data/Scripts/Items/Magical/Artifacts/Artifact_GlovesOfTheFallenKing.cs; backlog risk category=VersionHandling; write count=1; read count=1. POST-BATCH-J is triage only; no serialized layout edit is approved by this row.</t>
  </si>
  <si>
    <t>RB-00775</t>
  </si>
  <si>
    <t>P10-F00775</t>
  </si>
  <si>
    <t>Data/Scripts/Items/Magical/Artifacts/Artifact_GlovesOfTheHarrower.cs</t>
  </si>
  <si>
    <t>PBJ-0537</t>
  </si>
  <si>
    <t>Current source file exists at Data/Scripts/Items/Magical/Artifacts/Artifact_GlovesOfTheHarrower.cs; match=ExactFileClass; serializer evidence=Serialize:L36;Deserialize:L42;SerialCtor:L33;VersionWrite:L39;VersionRead:L45; class=Server.Items.Artifact_GlovesOfTheHarrower;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</si>
  <si>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path=Data/Scripts/Items/Magical/Artifacts/Artifact_GlovesOfTheHarrower.cs; backlog risk category=VersionHandling; write count=1; read count=1. POST-BATCH-J is triage only; no serialized layout edit is approved by this row.</t>
  </si>
  <si>
    <t>RB-00776</t>
  </si>
  <si>
    <t>P10-F00776</t>
  </si>
  <si>
    <t>Data/Scripts/Items/Magical/Artifacts/Artifact_GorgetOfAegis.cs</t>
  </si>
  <si>
    <t>PBJ-0538</t>
  </si>
  <si>
    <t>Current source file exists at Data/Scripts/Items/Magical/Artifacts/Artifact_GorgetOfAegis.cs; match=ExactFileClass; serializer evidence=Serialize:L38;Deserialize:L44;SerialCtor:L35;VersionWrite:L41;VersionRead:L47; class=Server.Items.Artifact_GorgetOfAegis;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</si>
  <si>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path=Data/Scripts/Items/Magical/Artifacts/Artifact_GorgetOfAegis.cs; backlog risk category=VersionHandling; write count=1; read count=1. POST-BATCH-J is triage only; no serialized layout edit is approved by this row.</t>
  </si>
  <si>
    <t>RB-00777</t>
  </si>
  <si>
    <t>P10-F00777</t>
  </si>
  <si>
    <t>Data/Scripts/Items/Magical/Artifacts/Artifact_GorgetOfInsight.cs</t>
  </si>
  <si>
    <t>PBJ-0539</t>
  </si>
  <si>
    <t>Current source file exists at Data/Scripts/Items/Magical/Artifacts/Artifact_GorgetOfInsight.cs; match=ExactFileClass; serializer evidence=Serialize:L38;Deserialize:L44;SerialCtor:L35;VersionWrite:L41;VersionRead:L47; class=Server.Items.Artifact_GorgetOfInsight;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</si>
  <si>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path=Data/Scripts/Items/Magical/Artifacts/Artifact_GorgetOfInsight.cs; backlog risk category=VersionHandling; write count=1; read count=1. POST-BATCH-J is triage only; no serialized layout edit is approved by this row.</t>
  </si>
  <si>
    <t>RB-00778</t>
  </si>
  <si>
    <t>P10-F00778</t>
  </si>
  <si>
    <t>Data/Scripts/Items/Magical/Artifacts/Artifact_GrayMouserCloak.cs</t>
  </si>
  <si>
    <t>PBJ-0540</t>
  </si>
  <si>
    <t>Current source file exists at Data/Scripts/Items/Magical/Artifacts/Artifact_GrayMouserCloak.cs; match=ExactFileClass; serializer evidence=Serialize:L23;Deserialize:L29;SerialCtor:L20;VersionWrite:L26;VersionRead:L32; class=Server.Items.Artifact_GrayMouserCloak;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</si>
  <si>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path=Data/Scripts/Items/Magical/Artifacts/Artifact_GrayMouserCloak.cs; backlog risk category=VersionHandling; write count=1; read count=1. POST-BATCH-J is triage only; no serialized layout edit is approved by this row.</t>
  </si>
  <si>
    <t>RB-00779</t>
  </si>
  <si>
    <t>P10-F00779</t>
  </si>
  <si>
    <t>Data/Scripts/Items/Magical/Artifacts/Artifact_GrimReapersLantern.cs</t>
  </si>
  <si>
    <t>PBJ-0541</t>
  </si>
  <si>
    <t>Current source file exists at Data/Scripts/Items/Magical/Artifacts/Artifact_GrimReapersLantern.cs; match=ExactFileClass; serializer evidence=Serialize:L26;Deserialize:L32;SerialCtor:L23;VersionWrite:L29;VersionRead:L35; class=Server.Items.Artifact_GrimReapersLantern;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</si>
  <si>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path=Data/Scripts/Items/Magical/Artifacts/Artifact_GrimReapersLantern.cs; backlog risk category=VersionHandling; write count=1; read count=1. POST-BATCH-J is triage only; no serialized layout edit is approved by this row.</t>
  </si>
  <si>
    <t>RB-00780</t>
  </si>
  <si>
    <t>P10-F00780</t>
  </si>
  <si>
    <t>Data/Scripts/Items/Magical/Artifacts/Artifact_GrimReapersMask.cs</t>
  </si>
  <si>
    <t>PBJ-0542</t>
  </si>
  <si>
    <t>Current source file exists at Data/Scripts/Items/Magical/Artifacts/Artifact_GrimReapersMask.cs; match=ExactFileClass; serializer evidence=Serialize:L28;Deserialize:L34;SerialCtor:L25;VersionWrite:L31;VersionRead:L37; class=Server.Items.Artifact_GrimReapersMask;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</si>
  <si>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path=Data/Scripts/Items/Magical/Artifacts/Artifact_GrimReapersMask.cs; backlog risk category=VersionHandling; write count=1; read count=1. POST-BATCH-J is triage only; no serialized layout edit is approved by this row.</t>
  </si>
  <si>
    <t>RB-00781</t>
  </si>
  <si>
    <t>P10-F00781</t>
  </si>
  <si>
    <t>Data/Scripts/Items/Magical/Artifacts/Artifact_GrimReapersRobe.cs</t>
  </si>
  <si>
    <t>PBJ-0543</t>
  </si>
  <si>
    <t>Current source file exists at Data/Scripts/Items/Magical/Artifacts/Artifact_GrimReapersRobe.cs; match=ExactFileClass; serializer evidence=Serialize:L24;Deserialize:L30;SerialCtor:L21;VersionWrite:L27;VersionRead:L33; class=Server.Items.Artifact_GrimReapersRobe;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</si>
  <si>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path=Data/Scripts/Items/Magical/Artifacts/Artifact_GrimReapersRobe.cs; backlog risk category=VersionHandling; write count=1; read count=1. POST-BATCH-J is triage only; no serialized layout edit is approved by this row.</t>
  </si>
  <si>
    <t>RB-00782</t>
  </si>
  <si>
    <t>P10-F00782</t>
  </si>
  <si>
    <t>Data/Scripts/Items/Magical/Artifacts/Artifact_HatOfTheMagi.cs</t>
  </si>
  <si>
    <t>PBJ-0544</t>
  </si>
  <si>
    <t>Current source file exists at Data/Scripts/Items/Magical/Artifacts/Artifact_HatOfTheMagi.cs; match=ExactFileClass; serializer evidence=Serialize:L31;Deserialize:L37;SerialCtor:L28;VersionWrite:L34;VersionRead:L40; class=Server.Items.Artifact_HatOfTheMagi;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</si>
  <si>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path=Data/Scripts/Items/Magical/Artifacts/Artifact_HatOfTheMagi.cs; backlog risk category=VersionHandling; write count=1; read count=1. POST-BATCH-J is triage only; no serialized layout edit is approved by this row.</t>
  </si>
  <si>
    <t>RB-00783</t>
  </si>
  <si>
    <t>P10-F00783</t>
  </si>
  <si>
    <t>Data/Scripts/Items/Magical/Artifacts/Artifact_HelmOfAegis.cs</t>
  </si>
  <si>
    <t>PBJ-0545</t>
  </si>
  <si>
    <t>Current source file exists at Data/Scripts/Items/Magical/Artifacts/Artifact_HelmOfAegis.cs; match=ExactFileClass; serializer evidence=Serialize:L38;Deserialize:L44;SerialCtor:L35;VersionWrite:L41;VersionRead:L47; class=Server.Items.Artifact_HelmOfAegis;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</si>
  <si>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path=Data/Scripts/Items/Magical/Artifacts/Artifact_HelmOfAegis.cs; backlog risk category=VersionHandling; write count=1; read count=1. POST-BATCH-J is triage only; no serialized layout edit is approved by this row.</t>
  </si>
  <si>
    <t>RB-00784</t>
  </si>
  <si>
    <t>P10-F00784</t>
  </si>
  <si>
    <t>Data/Scripts/Items/Magical/Artifacts/Artifact_HelmOfInsight.cs</t>
  </si>
  <si>
    <t>PBJ-0546</t>
  </si>
  <si>
    <t>Current source file exists at Data/Scripts/Items/Magical/Artifacts/Artifact_HelmOfInsight.cs; match=ExactFileClass; serializer evidence=Serialize:L40;Deserialize:L46;SerialCtor:L37;VersionWrite:L43;VersionRead:L49; class=Server.Items.Artifact_HelmOfInsight;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</si>
  <si>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path=Data/Scripts/Items/Magical/Artifacts/Artifact_HelmOfInsight.cs; backlog risk category=VersionHandling; write count=1; read count=1. POST-BATCH-J is triage only; no serialized layout edit is approved by this row.</t>
  </si>
  <si>
    <t>RB-00785</t>
  </si>
  <si>
    <t>P10-F00785</t>
  </si>
  <si>
    <t>Data/Scripts/Items/Magical/Artifacts/Artifact_HelmOfSwiftness.cs</t>
  </si>
  <si>
    <t>PBJ-0547</t>
  </si>
  <si>
    <t>Current source file exists at Data/Scripts/Items/Magical/Artifacts/Artifact_HelmOfSwiftness.cs; match=ExactFileClass; serializer evidence=Serialize:L54;Deserialize:L60;SerialCtor:L51; class=Server.Items.Artifact_HelmOfSwiftness;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</si>
  <si>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path=Data/Scripts/Items/Magical/Artifacts/Artifact_HelmOfSwiftness.cs; backlog risk category=VersionHandling; write count=1; read count=1. POST-BATCH-J is triage only; no serialized layout edit is approved by this row.</t>
  </si>
  <si>
    <t>RB-00786</t>
  </si>
  <si>
    <t>P10-F00786</t>
  </si>
  <si>
    <t>Data/Scripts/Items/Magical/Artifacts/Artifact_HolyKnightsArms.cs</t>
  </si>
  <si>
    <t>PBJ-0548</t>
  </si>
  <si>
    <t>Current source file exists at Data/Scripts/Items/Magical/Artifacts/Artifact_HolyKnightsArms.cs; match=ExactFileClass; serializer evidence=Serialize:L35;Deserialize:L41;SerialCtor:L32;VersionWrite:L38;VersionRead:L44; class=Server.Items.Artifact_HolyKnightsArmPlates;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</si>
  <si>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path=Data/Scripts/Items/Magical/Artifacts/Artifact_HolyKnightsArms.cs; backlog risk category=VersionHandling; write count=1; read count=1. POST-BATCH-J is triage only; no serialized layout edit is approved by this row.</t>
  </si>
  <si>
    <t>RB-00787</t>
  </si>
  <si>
    <t>P10-F00787</t>
  </si>
  <si>
    <t>Data/Scripts/Items/Magical/Artifacts/Artifact_HolyKnightsBreastplate.cs</t>
  </si>
  <si>
    <t>PBJ-0549</t>
  </si>
  <si>
    <t>Current source file exists at Data/Scripts/Items/Magical/Artifacts/Artifact_HolyKnightsBreastplate.cs; match=ExactFileClass; serializer evidence=Serialize:L34;Deserialize:L40;SerialCtor:L31;VersionWrite:L37;VersionRead:L43; class=Server.Items.Artifact_HolyKnightsBreastplate;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</si>
  <si>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path=Data/Scripts/Items/Magical/Artifacts/Artifact_HolyKnightsBreastplate.cs; backlog risk category=VersionHandling; write count=1; read count=1. POST-BATCH-J is triage only; no serialized layout edit is approved by this row.</t>
  </si>
  <si>
    <t>RB-00788</t>
  </si>
  <si>
    <t>P10-F00788</t>
  </si>
  <si>
    <t>Data/Scripts/Items/Magical/Artifacts/Artifact_HolyKnightsGloves.cs</t>
  </si>
  <si>
    <t>PBJ-0550</t>
  </si>
  <si>
    <t>Current source file exists at Data/Scripts/Items/Magical/Artifacts/Artifact_HolyKnightsGloves.cs; match=ExactFileClass; serializer evidence=Serialize:L35;Deserialize:L41;SerialCtor:L32;VersionWrite:L38;VersionRead:L44; class=Server.Items.Artifact_HolyKnightsGloves;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</si>
  <si>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path=Data/Scripts/Items/Magical/Artifacts/Artifact_HolyKnightsGloves.cs; backlog risk category=VersionHandling; write count=1; read count=1. POST-BATCH-J is triage only; no serialized layout edit is approved by this row.</t>
  </si>
  <si>
    <t>RB-00789</t>
  </si>
  <si>
    <t>P10-F00789</t>
  </si>
  <si>
    <t>Data/Scripts/Items/Magical/Artifacts/Artifact_HolyKnightsGorget.cs</t>
  </si>
  <si>
    <t>PBJ-0551</t>
  </si>
  <si>
    <t>Current source file exists at Data/Scripts/Items/Magical/Artifacts/Artifact_HolyKnightsGorget.cs; match=ExactFileClass; serializer evidence=Serialize:L35;Deserialize:L41;SerialCtor:L32;VersionWrite:L38;VersionRead:L44; class=Server.Items.Artifact_HolyKnightsGorget;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</si>
  <si>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path=Data/Scripts/Items/Magical/Artifacts/Artifact_HolyKnightsGorget.cs; backlog risk category=VersionHandling; write count=1; read count=1. POST-BATCH-J is triage only; no serialized layout edit is approved by this row.</t>
  </si>
  <si>
    <t>RB-00790</t>
  </si>
  <si>
    <t>P10-F00790</t>
  </si>
  <si>
    <t>Data/Scripts/Items/Magical/Artifacts/Artifact_HolyKnightsHelm.cs</t>
  </si>
  <si>
    <t>PBJ-0552</t>
  </si>
  <si>
    <t>Current source file exists at Data/Scripts/Items/Magical/Artifacts/Artifact_HolyKnightsHelm.cs; match=ExactFileClass; serializer evidence=Serialize:L35;Deserialize:L41;SerialCtor:L32;VersionWrite:L38;VersionRead:L44; class=Server.Items.Artifact_HolyKnightsPlateHelm;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</si>
  <si>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path=Data/Scripts/Items/Magical/Artifacts/Artifact_HolyKnightsHelm.cs; backlog risk category=VersionHandling; write count=1; read count=1. POST-BATCH-J is triage only; no serialized layout edit is approved by this row.</t>
  </si>
  <si>
    <t>RB-00791</t>
  </si>
  <si>
    <t>P10-F00791</t>
  </si>
  <si>
    <t>Data/Scripts/Items/Magical/Artifacts/Artifact_HolyKnightsLegging.cs</t>
  </si>
  <si>
    <t>PBJ-0553</t>
  </si>
  <si>
    <t>Current source file exists at Data/Scripts/Items/Magical/Artifacts/Artifact_HolyKnightsLegging.cs; match=ExactFileClass; serializer evidence=Serialize:L35;Deserialize:L41;SerialCtor:L32;VersionWrite:L38;VersionRead:L44; class=Server.Items.Artifact_HolyKnightsLegging;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</si>
  <si>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path=Data/Scripts/Items/Magical/Artifacts/Artifact_HolyKnightsLegging.cs; backlog risk category=VersionHandling; write count=1; read count=1. POST-BATCH-J is triage only; no serialized layout edit is approved by this row.</t>
  </si>
  <si>
    <t>RB-00792</t>
  </si>
  <si>
    <t>P10-F00792</t>
  </si>
  <si>
    <t>Data/Scripts/Items/Magical/Artifacts/Artifact_HolySword.cs</t>
  </si>
  <si>
    <t>PBJ-0554</t>
  </si>
  <si>
    <t>Current source file exists at Data/Scripts/Items/Magical/Artifacts/Artifact_HolySword.cs; match=ExactFileClass; serializer evidence=Serialize:L25;Deserialize:L31;SerialCtor:L22; class=Server.Items.Artifact_HolySword;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</si>
  <si>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path=Data/Scripts/Items/Magical/Artifacts/Artifact_HolySword.cs; backlog risk category=VersionHandling; write count=1; read count=1. POST-BATCH-J is triage only; no serialized layout edit is approved by this row.</t>
  </si>
  <si>
    <t>RB-00793</t>
  </si>
  <si>
    <t>P10-F00793</t>
  </si>
  <si>
    <t>Data/Scripts/Items/Magical/Artifacts/Artifact_HuntersArms.cs</t>
  </si>
  <si>
    <t>PBJ-0555</t>
  </si>
  <si>
    <t>Current source file exists at Data/Scripts/Items/Magical/Artifacts/Artifact_HuntersArms.cs; match=ExactFileClass; serializer evidence=Serialize:L38;Deserialize:L44;SerialCtor:L35;VersionWrite:L41;VersionRead:L47; class=Server.Items.Artifact_HuntersArms;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</si>
  <si>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path=Data/Scripts/Items/Magical/Artifacts/Artifact_HuntersArms.cs; backlog risk category=VersionHandling; write count=1; read count=1. POST-BATCH-J is triage only; no serialized layout edit is approved by this row.</t>
  </si>
  <si>
    <t>RB-00794</t>
  </si>
  <si>
    <t>P10-F00794</t>
  </si>
  <si>
    <t>Data/Scripts/Items/Magical/Artifacts/Artifact_HuntersGloves.cs</t>
  </si>
  <si>
    <t>PBJ-0556</t>
  </si>
  <si>
    <t>Current source file exists at Data/Scripts/Items/Magical/Artifacts/Artifact_HuntersGloves.cs; match=ExactFileClass; serializer evidence=Serialize:L38;Deserialize:L44;SerialCtor:L35;VersionWrite:L41;VersionRead:L47; class=Server.Items.Artifact_HuntersGloves;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</si>
  <si>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path=Data/Scripts/Items/Magical/Artifacts/Artifact_HuntersGloves.cs; backlog risk category=VersionHandling; write count=1; read count=1. POST-BATCH-J is triage only; no serialized layout edit is approved by this row.</t>
  </si>
  <si>
    <t>RB-00795</t>
  </si>
  <si>
    <t>P10-F00795</t>
  </si>
  <si>
    <t>Data/Scripts/Items/Magical/Artifacts/Artifact_HuntersGorget.cs</t>
  </si>
  <si>
    <t>PBJ-0557</t>
  </si>
  <si>
    <t>Current source file exists at Data/Scripts/Items/Magical/Artifacts/Artifact_HuntersGorget.cs; match=ExactFileClass; serializer evidence=Serialize:L38;Deserialize:L44;SerialCtor:L35;VersionWrite:L41;VersionRead:L47; class=Server.Items.Artifact_HuntersGorget;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</si>
  <si>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path=Data/Scripts/Items/Magical/Artifacts/Artifact_HuntersGorget.cs; backlog risk category=VersionHandling; write count=1; read count=1. POST-BATCH-J is triage only; no serialized layout edit is approved by this row.</t>
  </si>
  <si>
    <t>RB-00796</t>
  </si>
  <si>
    <t>P10-F00796</t>
  </si>
  <si>
    <t>Data/Scripts/Items/Magical/Artifacts/Artifact_HuntersHeaddress.cs</t>
  </si>
  <si>
    <t>PBJ-0558</t>
  </si>
  <si>
    <t>Current source file exists at Data/Scripts/Items/Magical/Artifacts/Artifact_HuntersHeaddress.cs; match=ExactFileClass; serializer evidence=Serialize:L29;Deserialize:L35;SerialCtor:L26;VersionWrite:L32;VersionRead:L38; class=Server.Items.Artifact_HuntersHeaddress;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</si>
  <si>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path=Data/Scripts/Items/Magical/Artifacts/Artifact_HuntersHeaddress.cs; backlog risk category=VersionHandling; write count=1; read count=1. POST-BATCH-J is triage only; no serialized layout edit is approved by this row.</t>
  </si>
  <si>
    <t>RB-00797</t>
  </si>
  <si>
    <t>P10-F00797</t>
  </si>
  <si>
    <t>Data/Scripts/Items/Magical/Artifacts/Artifact_HuntersLeggings.cs</t>
  </si>
  <si>
    <t>PBJ-0559</t>
  </si>
  <si>
    <t>Current source file exists at Data/Scripts/Items/Magical/Artifacts/Artifact_HuntersLeggings.cs; match=ExactFileClass; serializer evidence=Serialize:L38;Deserialize:L44;SerialCtor:L35;VersionWrite:L41;VersionRead:L47; class=Server.Items.Artifact_HuntersLeggings;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</si>
  <si>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path=Data/Scripts/Items/Magical/Artifacts/Artifact_HuntersLeggings.cs; backlog risk category=VersionHandling; write count=1; read count=1. POST-BATCH-J is triage only; no serialized layout edit is approved by this row.</t>
  </si>
  <si>
    <t>RB-00798</t>
  </si>
  <si>
    <t>P10-F00798</t>
  </si>
  <si>
    <t>Data/Scripts/Items/Magical/Artifacts/Artifact_HuntersTunic.cs</t>
  </si>
  <si>
    <t>PBJ-0560</t>
  </si>
  <si>
    <t>Current source file exists at Data/Scripts/Items/Magical/Artifacts/Artifact_HuntersTunic.cs; match=ExactFileClass; serializer evidence=Serialize:L38;Deserialize:L44;SerialCtor:L35;VersionWrite:L41;VersionRead:L47; class=Server.Items.Artifact_HuntersTunic;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</si>
  <si>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path=Data/Scripts/Items/Magical/Artifacts/Artifact_HuntersTunic.cs; backlog risk category=VersionHandling; write count=1; read count=1. POST-BATCH-J is triage only; no serialized layout edit is approved by this row.</t>
  </si>
  <si>
    <t>RB-00799</t>
  </si>
  <si>
    <t>P10-F00799</t>
  </si>
  <si>
    <t>Data/Scripts/Items/Magical/Artifacts/Artifact_InquisitorsArms.cs</t>
  </si>
  <si>
    <t>PBJ-0561</t>
  </si>
  <si>
    <t>Current source file exists at Data/Scripts/Items/Magical/Artifacts/Artifact_InquisitorsArms.cs; match=ExactFileClass; serializer evidence=Serialize:L42;Deserialize:L48;SerialCtor:L39;VersionWrite:L45;VersionRead:L51; class=Server.Items.Artifact_InquisitorsArms;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</si>
  <si>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path=Data/Scripts/Items/Magical/Artifacts/Artifact_InquisitorsArms.cs; backlog risk category=VersionHandling; write count=1; read count=1. POST-BATCH-J is triage only; no serialized layout edit is approved by this row.</t>
  </si>
  <si>
    <t>RB-00800</t>
  </si>
  <si>
    <t>P10-F00800</t>
  </si>
  <si>
    <t>Data/Scripts/Items/Magical/Artifacts/Artifact_InquisitorsGorget.cs</t>
  </si>
  <si>
    <t>PBJ-0562</t>
  </si>
  <si>
    <t>Current source file exists at Data/Scripts/Items/Magical/Artifacts/Artifact_InquisitorsGorget.cs; match=ExactFileClass; serializer evidence=Serialize:L42;Deserialize:L48;SerialCtor:L39;VersionWrite:L45;VersionRead:L51; class=Server.Items.Artifact_InquisitorsGorget;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</si>
  <si>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path=Data/Scripts/Items/Magical/Artifacts/Artifact_InquisitorsGorget.cs; backlog risk category=VersionHandling; write count=1; read count=1. POST-BATCH-J is triage only; no serialized layout edit is approved by this row.</t>
  </si>
  <si>
    <t>RB-00801</t>
  </si>
  <si>
    <t>P10-F00801</t>
  </si>
  <si>
    <t>Data/Scripts/Items/Magical/Artifacts/Artifact_InquisitorsHelm.cs</t>
  </si>
  <si>
    <t>PBJ-0563</t>
  </si>
  <si>
    <t>Current source file exists at Data/Scripts/Items/Magical/Artifacts/Artifact_InquisitorsHelm.cs; match=ExactFileClass; serializer evidence=Serialize:L42;Deserialize:L48;SerialCtor:L39;VersionWrite:L45;VersionRead:L51; class=Server.Items.Artifact_InquisitorsHelm;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</si>
  <si>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path=Data/Scripts/Items/Magical/Artifacts/Artifact_InquisitorsHelm.cs; backlog risk category=VersionHandling; write count=1; read count=1. POST-BATCH-J is triage only; no serialized layout edit is approved by this row.</t>
  </si>
  <si>
    <t>RB-00802</t>
  </si>
  <si>
    <t>P10-F00802</t>
  </si>
  <si>
    <t>Data/Scripts/Items/Magical/Artifacts/Artifact_InquisitorsLegs.cs</t>
  </si>
  <si>
    <t>PBJ-0564</t>
  </si>
  <si>
    <t>Current source file exists at Data/Scripts/Items/Magical/Artifacts/Artifact_InquisitorsLegs.cs; match=ExactFileClass; serializer evidence=Serialize:L42;Deserialize:L48;SerialCtor:L39;VersionWrite:L45;VersionRead:L51; class=Server.Items.Artifact_InquisitorsLeggings;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</si>
  <si>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path=Data/Scripts/Items/Magical/Artifacts/Artifact_InquisitorsLegs.cs; backlog risk category=VersionHandling; write count=1; read count=1. POST-BATCH-J is triage only; no serialized layout edit is approved by this row.</t>
  </si>
  <si>
    <t>RB-00803</t>
  </si>
  <si>
    <t>P10-F00803</t>
  </si>
  <si>
    <t>Data/Scripts/Items/Magical/Artifacts/Artifact_InquisitorsResolution.cs</t>
  </si>
  <si>
    <t>PBJ-0565</t>
  </si>
  <si>
    <t>Current source file exists at Data/Scripts/Items/Magical/Artifacts/Artifact_InquisitorsResolution.cs; match=ExactFileClass; serializer evidence=Serialize:L42;Deserialize:L48;SerialCtor:L39;VersionWrite:L45;VersionRead:L51; class=Server.Items.Artifact_InquisitorsResolution;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</si>
  <si>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path=Data/Scripts/Items/Magical/Artifacts/Artifact_InquisitorsResolution.cs; backlog risk category=VersionHandling; write count=1; read count=1. POST-BATCH-J is triage only; no serialized layout edit is approved by this row.</t>
  </si>
  <si>
    <t>RB-00804</t>
  </si>
  <si>
    <t>P10-F00804</t>
  </si>
  <si>
    <t>Data/Scripts/Items/Magical/Artifacts/Artifact_InquisitorsTunic.cs</t>
  </si>
  <si>
    <t>PBJ-0566</t>
  </si>
  <si>
    <t>Current source file exists at Data/Scripts/Items/Magical/Artifacts/Artifact_InquisitorsTunic.cs; match=ExactFileClass; serializer evidence=Serialize:L42;Deserialize:L48;SerialCtor:L39;VersionWrite:L45;VersionRead:L51; class=Server.Items.Artifact_InquisitorsTunic;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</si>
  <si>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path=Data/Scripts/Items/Magical/Artifacts/Artifact_InquisitorsTunic.cs; backlog risk category=VersionHandling; write count=1; read count=1. POST-BATCH-J is triage only; no serialized layout edit is approved by this row.</t>
  </si>
  <si>
    <t>RB-00805</t>
  </si>
  <si>
    <t>P10-F00805</t>
  </si>
  <si>
    <t>Data/Scripts/Items/Magical/Artifacts/Artifact_IronwoodCrown.cs</t>
  </si>
  <si>
    <t>PBJ-0567</t>
  </si>
  <si>
    <t>Current source file exists at Data/Scripts/Items/Magical/Artifacts/Artifact_IronwoodCrown.cs; match=ExactFileClass; serializer evidence=Serialize:L45;Deserialize:L51;SerialCtor:L42; class=Server.Items.Artifact_IronwoodCrown;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</si>
  <si>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path=Data/Scripts/Items/Magical/Artifacts/Artifact_IronwoodCrown.cs; backlog risk category=VersionHandling; write count=1; read count=1. POST-BATCH-J is triage only; no serialized layout edit is approved by this row.</t>
  </si>
  <si>
    <t>RB-00806</t>
  </si>
  <si>
    <t>P10-F00806</t>
  </si>
  <si>
    <t>Data/Scripts/Items/Magical/Artifacts/Artifact_JackalsArms.cs</t>
  </si>
  <si>
    <t>PBJ-0568</t>
  </si>
  <si>
    <t>Current source file exists at Data/Scripts/Items/Magical/Artifacts/Artifact_JackalsArms.cs; match=ExactFileClass; serializer evidence=Serialize:L40;Deserialize:L46;SerialCtor:L37;VersionWrite:L43;VersionRead:L49; class=Server.Items.Artifact_JackalsArms;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</si>
  <si>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path=Data/Scripts/Items/Magical/Artifacts/Artifact_JackalsArms.cs; backlog risk category=VersionHandling; write count=1; read count=1. POST-BATCH-J is triage only; no serialized layout edit is approved by this row.</t>
  </si>
  <si>
    <t>RB-00807</t>
  </si>
  <si>
    <t>P10-F00807</t>
  </si>
  <si>
    <t>Data/Scripts/Items/Magical/Artifacts/Artifact_JackalsCollar.cs</t>
  </si>
  <si>
    <t>PBJ-0569</t>
  </si>
  <si>
    <t>Current source file exists at Data/Scripts/Items/Magical/Artifacts/Artifact_JackalsCollar.cs; match=ExactFileClass; serializer evidence=Serialize:L39;Deserialize:L45;SerialCtor:L36;VersionWrite:L42;VersionRead:L48; class=Server.Items.Artifact_JackalsCollar;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</si>
  <si>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path=Data/Scripts/Items/Magical/Artifacts/Artifact_JackalsCollar.cs; backlog risk category=VersionHandling; write count=1; read count=1. POST-BATCH-J is triage only; no serialized layout edit is approved by this row.</t>
  </si>
  <si>
    <t>RB-00808</t>
  </si>
  <si>
    <t>P10-F00808</t>
  </si>
  <si>
    <t>Data/Scripts/Items/Magical/Artifacts/Artifact_JackalsGloves.cs</t>
  </si>
  <si>
    <t>PBJ-0570</t>
  </si>
  <si>
    <t>Current source file exists at Data/Scripts/Items/Magical/Artifacts/Artifact_JackalsGloves.cs; match=ExactFileClass; serializer evidence=Serialize:L40;Deserialize:L46;SerialCtor:L37;VersionWrite:L43;VersionRead:L49; class=Server.Items.Artifact_JackalsGloves;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</si>
  <si>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path=Data/Scripts/Items/Magical/Artifacts/Artifact_JackalsGloves.cs; backlog risk category=VersionHandling; write count=1; read count=1. POST-BATCH-J is triage only; no serialized layout edit is approved by this row.</t>
  </si>
  <si>
    <t>RB-00809</t>
  </si>
  <si>
    <t>P10-F00809</t>
  </si>
  <si>
    <t>Data/Scripts/Items/Magical/Artifacts/Artifact_JackalsHelm.cs</t>
  </si>
  <si>
    <t>PBJ-0571</t>
  </si>
  <si>
    <t>Current source file exists at Data/Scripts/Items/Magical/Artifacts/Artifact_JackalsHelm.cs; match=ExactFileClass; serializer evidence=Serialize:L40;Deserialize:L46;SerialCtor:L37;VersionWrite:L43;VersionRead:L49; class=Server.Items.Artifact_JackalsHelm;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</si>
  <si>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path=Data/Scripts/Items/Magical/Artifacts/Artifact_JackalsHelm.cs; backlog risk category=VersionHandling; write count=1; read count=1. POST-BATCH-J is triage only; no serialized layout edit is approved by this row.</t>
  </si>
  <si>
    <t>RB-00810</t>
  </si>
  <si>
    <t>P10-F00810</t>
  </si>
  <si>
    <t>Data/Scripts/Items/Magical/Artifacts/Artifact_JackalsLegging.cs</t>
  </si>
  <si>
    <t>PBJ-0572</t>
  </si>
  <si>
    <t>Current source file exists at Data/Scripts/Items/Magical/Artifacts/Artifact_JackalsLegging.cs; match=ExactFileClass; serializer evidence=Serialize:L40;Deserialize:L46;SerialCtor:L37;VersionWrite:L43;VersionRead:L49; class=Server.Items.Artifact_JackalsLeggings;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</si>
  <si>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path=Data/Scripts/Items/Magical/Artifacts/Artifact_JackalsLegging.cs; backlog risk category=VersionHandling; write count=1; read count=1. POST-BATCH-J is triage only; no serialized layout edit is approved by this row.</t>
  </si>
  <si>
    <t>RB-00811</t>
  </si>
  <si>
    <t>P10-F00811</t>
  </si>
  <si>
    <t>Data/Scripts/Items/Magical/Artifacts/Artifact_JackalsTunic.cs</t>
  </si>
  <si>
    <t>PBJ-0573</t>
  </si>
  <si>
    <t>Current source file exists at Data/Scripts/Items/Magical/Artifacts/Artifact_JackalsTunic.cs; match=ExactFileClass; serializer evidence=Serialize:L40;Deserialize:L46;SerialCtor:L37;VersionWrite:L43;VersionRead:L49; class=Server.Items.Artifact_JackalsTunic;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</si>
  <si>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path=Data/Scripts/Items/Magical/Artifacts/Artifact_JackalsTunic.cs; backlog risk category=VersionHandling; write count=1; read count=1. POST-BATCH-J is triage only; no serialized layout edit is approved by this row.</t>
  </si>
  <si>
    <t>RB-00812</t>
  </si>
  <si>
    <t>P10-F00812</t>
  </si>
  <si>
    <t>Data/Scripts/Items/Magical/Artifacts/Artifact_LeggingsOfBane.cs</t>
  </si>
  <si>
    <t>PBJ-0574</t>
  </si>
  <si>
    <t>Current source file exists at Data/Scripts/Items/Magical/Artifacts/Artifact_LeggingsOfBane.cs; match=ExactFileClass; serializer evidence=Serialize:L37;Deserialize:L43;SerialCtor:L34;VersionWrite:L40;VersionRead:L46; class=Server.Items.Artifact_LeggingsOfBane;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</si>
  <si>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path=Data/Scripts/Items/Magical/Artifacts/Artifact_LeggingsOfBane.cs; backlog risk category=VersionHandling; write count=1; read count=1. POST-BATCH-J is triage only; no serialized layout edit is approved by this row.</t>
  </si>
  <si>
    <t>RB-00813</t>
  </si>
  <si>
    <t>P10-F00813</t>
  </si>
  <si>
    <t>Data/Scripts/Items/Magical/Artifacts/Artifact_LeggingsOfEmbers.cs</t>
  </si>
  <si>
    <t>PBJ-0575</t>
  </si>
  <si>
    <t>Current source file exists at Data/Scripts/Items/Magical/Artifacts/Artifact_LeggingsOfEmbers.cs; match=ExactFileClass; serializer evidence=Serialize:L44;Deserialize:L50;SerialCtor:L41; class=Server.Items.Artifact_LeggingsOfEmbers;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</si>
  <si>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path=Data/Scripts/Items/Magical/Artifacts/Artifact_LeggingsOfEmbers.cs; backlog risk category=VersionHandling; write count=1; read count=1. POST-BATCH-J is triage only; no serialized layout edit is approved by this row.</t>
  </si>
  <si>
    <t>RB-00814</t>
  </si>
  <si>
    <t>P10-F00814</t>
  </si>
  <si>
    <t>Data/Scripts/Items/Magical/Artifacts/Artifact_LeggingsOfEnlightenment.cs</t>
  </si>
  <si>
    <t>PBJ-0576</t>
  </si>
  <si>
    <t>Current source file exists at Data/Scripts/Items/Magical/Artifacts/Artifact_LeggingsOfEnlightenment.cs; match=ExactFileClass; serializer evidence=Serialize:L57;Deserialize:L63;SerialCtor:L54; class=Server.Items.Artifact_LeggingsOfEnlightenment;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</si>
  <si>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path=Data/Scripts/Items/Magical/Artifacts/Artifact_LeggingsOfEnlightenment.cs; backlog risk category=VersionHandling; write count=1; read count=1. POST-BATCH-J is triage only; no serialized layout edit is approved by this row.</t>
  </si>
  <si>
    <t>RB-00815</t>
  </si>
  <si>
    <t>P10-F00815</t>
  </si>
  <si>
    <t>Data/Scripts/Items/Magical/Artifacts/Artifact_LeggingsOfFire.cs</t>
  </si>
  <si>
    <t>PBJ-0577</t>
  </si>
  <si>
    <t>Current source file exists at Data/Scripts/Items/Magical/Artifacts/Artifact_LeggingsOfFire.cs; match=ExactFileClass; serializer evidence=Serialize:L41;Deserialize:L47;SerialCtor:L38;VersionWrite:L44;VersionRead:L50; class=Server.Items.Artifact_LeggingsOfFire;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</si>
  <si>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path=Data/Scripts/Items/Magical/Artifacts/Artifact_LeggingsOfFire.cs; backlog risk category=VersionHandling; write count=1; read count=1. POST-BATCH-J is triage only; no serialized layout edit is approved by this row.</t>
  </si>
  <si>
    <t>RB-00816</t>
  </si>
  <si>
    <t>P10-F00816</t>
  </si>
  <si>
    <t>Data/Scripts/Items/Magical/Artifacts/Artifact_LegsOfAegis.cs</t>
  </si>
  <si>
    <t>PBJ-0578</t>
  </si>
  <si>
    <t>Current source file exists at Data/Scripts/Items/Magical/Artifacts/Artifact_LegsOfAegis.cs; match=ExactFileClass; serializer evidence=Serialize:L38;Deserialize:L44;SerialCtor:L35;VersionWrite:L41;VersionRead:L47; class=Server.Items.Artifact_LeggingsOfAegis;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</si>
  <si>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path=Data/Scripts/Items/Magical/Artifacts/Artifact_LegsOfAegis.cs; backlog risk category=VersionHandling; write count=1; read count=1. POST-BATCH-J is triage only; no serialized layout edit is approved by this row.</t>
  </si>
  <si>
    <t>RB-00817</t>
  </si>
  <si>
    <t>P10-F00817</t>
  </si>
  <si>
    <t>Data/Scripts/Items/Magical/Artifacts/Artifact_LegsOfTheFallenKing.cs</t>
  </si>
  <si>
    <t>PBJ-0579</t>
  </si>
  <si>
    <t>Current source file exists at Data/Scripts/Items/Magical/Artifacts/Artifact_LegsOfTheFallenKing.cs; match=ExactFileClass; serializer evidence=Serialize:L41;Deserialize:L47;SerialCtor:L38;VersionWrite:L44;VersionRead:L50; class=Server.Items.Artifact_LegsOfTheFallenKing;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</si>
  <si>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path=Data/Scripts/Items/Magical/Artifacts/Artifact_LegsOfTheFallenKing.cs; backlog risk category=VersionHandling; write count=1; read count=1. POST-BATCH-J is triage only; no serialized layout edit is approved by this row.</t>
  </si>
  <si>
    <t>RB-00818</t>
  </si>
  <si>
    <t>P10-F00818</t>
  </si>
  <si>
    <t>PBJ-0580</t>
  </si>
  <si>
    <t>Current source file exists at Data/Scripts/Items/Magical/Artifacts/Artifact_LuckyNecklace.cs; match=ExactFileClass; serializer evidence=Serialize:L20;Deserialize:L26;SerialCtor:L17;VersionWrite:L23; class=Server.Items.Artifact_LuckyNecklace; kind=Item;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</si>
  <si>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path=Data/Scripts/Items/Magical/Artifacts/Artifact_LuckyNecklace.cs; backlog risk category=VersionHandling; write count=1; read count=1. POST-BATCH-J is triage only; no serialized layout edit is approved by this row.</t>
  </si>
  <si>
    <t>RB-00820</t>
  </si>
  <si>
    <t>P10-F00820</t>
  </si>
  <si>
    <t>Data/Scripts/Items/Magical/Artifacts/Artifact_LuminousRuneBlade.cs</t>
  </si>
  <si>
    <t>PBJ-0581</t>
  </si>
  <si>
    <t>Current source file exists at Data/Scripts/Items/Magical/Artifacts/Artifact_LuminousRuneBlade.cs; match=ExactFileClass; serializer evidence=Serialize:L42;Deserialize:L49;SerialCtor:L39; class=Server.Items.Artifact_LuminousRuneBlade;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</si>
  <si>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path=Data/Scripts/Items/Magical/Artifacts/Artifact_LuminousRuneBlade.cs; backlog risk category=VersionHandling; write count=1; read count=1. POST-BATCH-J is triage only; no serialized layout edit is approved by this row.</t>
  </si>
  <si>
    <t>RB-00821</t>
  </si>
  <si>
    <t>P10-F00821</t>
  </si>
  <si>
    <t>Data/Scripts/Items/Magical/Artifacts/Artifact_MantleofHydros.cs</t>
  </si>
  <si>
    <t>PBJ-0582</t>
  </si>
  <si>
    <t>Current source file exists at Data/Scripts/Items/Magical/Artifacts/Artifact_MantleofHydros.cs; match=ExactFileClass; serializer evidence=Serialize:L30;Deserialize:L36;SerialCtor:L27;VersionWrite:L33;VersionRead:L39; class=Server.Items.Artifact_MantleofHydros;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</si>
  <si>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path=Data/Scripts/Items/Magical/Artifacts/Artifact_MantleofHydros.cs; backlog risk category=VersionHandling; write count=1; read count=1. POST-BATCH-J is triage only; no serialized layout edit is approved by this row.</t>
  </si>
  <si>
    <t>RB-00822</t>
  </si>
  <si>
    <t>P10-F00822</t>
  </si>
  <si>
    <t>Data/Scripts/Items/Magical/Artifacts/Artifact_MantleofLithos.cs</t>
  </si>
  <si>
    <t>PBJ-0583</t>
  </si>
  <si>
    <t>Current source file exists at Data/Scripts/Items/Magical/Artifacts/Artifact_MantleofLithos.cs; match=ExactFileClass; serializer evidence=Serialize:L30;Deserialize:L36;SerialCtor:L27;VersionWrite:L33;VersionRead:L39; class=Server.Items.Artifact_MantleofLithos;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</si>
  <si>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path=Data/Scripts/Items/Magical/Artifacts/Artifact_MantleofLithos.cs; backlog risk category=VersionHandling; write count=1; read count=1. POST-BATCH-J is triage only; no serialized layout edit is approved by this row.</t>
  </si>
  <si>
    <t>RB-00823</t>
  </si>
  <si>
    <t>P10-F00823</t>
  </si>
  <si>
    <t>Data/Scripts/Items/Magical/Artifacts/Artifact_MantleofPyros.cs</t>
  </si>
  <si>
    <t>PBJ-0584</t>
  </si>
  <si>
    <t>Current source file exists at Data/Scripts/Items/Magical/Artifacts/Artifact_MantleofPyros.cs; match=ExactFileClass; serializer evidence=Serialize:L30;Deserialize:L36;SerialCtor:L27;VersionWrite:L33;VersionRead:L39; class=Server.Items.Artifact_MantleofPyros;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</si>
  <si>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path=Data/Scripts/Items/Magical/Artifacts/Artifact_MantleofPyros.cs; backlog risk category=VersionHandling; write count=1; read count=1. POST-BATCH-J is triage only; no serialized layout edit is approved by this row.</t>
  </si>
  <si>
    <t>RB-00824</t>
  </si>
  <si>
    <t>P10-F00824</t>
  </si>
  <si>
    <t>Data/Scripts/Items/Magical/Artifacts/Artifact_MantleofStratos.cs</t>
  </si>
  <si>
    <t>PBJ-0585</t>
  </si>
  <si>
    <t>Current source file exists at Data/Scripts/Items/Magical/Artifacts/Artifact_MantleofStratos.cs; match=ExactFileClass; serializer evidence=Serialize:L30;Deserialize:L36;SerialCtor:L27;VersionWrite:L33;VersionRead:L39; class=Server.Items.Artifact_MantleofStratos;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</si>
  <si>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path=Data/Scripts/Items/Magical/Artifacts/Artifact_MantleofStratos.cs; backlog risk category=VersionHandling; write count=1; read count=1. POST-BATCH-J is triage only; no serialized layout edit is approved by this row.</t>
  </si>
  <si>
    <t>RB-00825</t>
  </si>
  <si>
    <t>P10-F00825</t>
  </si>
  <si>
    <t>Data/Scripts/Items/Magical/Artifacts/Artifact_MelisandesCorrodedHatchet.cs</t>
  </si>
  <si>
    <t>PBJ-0586</t>
  </si>
  <si>
    <t>Current source file exists at Data/Scripts/Items/Magical/Artifacts/Artifact_MelisandesCorrodedHatchet.cs; match=ExactFileClass; serializer evidence=Serialize:L28;Deserialize:L35;SerialCtor:L25; class=Server.Items.Artifact_MelisandesCorrodedHatchet;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</si>
  <si>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path=Data/Scripts/Items/Magical/Artifacts/Artifact_MelisandesCorrodedHatchet.cs; backlog risk category=VersionHandling; write count=1; read count=1. POST-BATCH-J is triage only; no serialized layout edit is approved by this row.</t>
  </si>
  <si>
    <t>RB-00826</t>
  </si>
  <si>
    <t>P10-F00826</t>
  </si>
  <si>
    <t>Data/Scripts/Items/Magical/Artifacts/Artifact_OverseerSunderedBlade.cs</t>
  </si>
  <si>
    <t>PBJ-0587</t>
  </si>
  <si>
    <t>Current source file exists at Data/Scripts/Items/Magical/Artifacts/Artifact_OverseerSunderedBlade.cs; match=ExactFileClass; serializer evidence=Serialize:L42;Deserialize:L49;SerialCtor:L39; class=Server.Items.Artifact_OverseerSunderedBlade;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</si>
  <si>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path=Data/Scripts/Items/Magical/Artifacts/Artifact_OverseerSunderedBlade.cs; backlog risk category=VersionHandling; write count=1; read count=1. POST-BATCH-J is triage only; no serialized layout edit is approved by this row.</t>
  </si>
  <si>
    <t>RB-00827</t>
  </si>
  <si>
    <t>P10-F00827</t>
  </si>
  <si>
    <t>Data/Scripts/Items/Magical/Artifacts/Artifact_PadsOfTheCuSidhe.cs</t>
  </si>
  <si>
    <t>PBJ-0588</t>
  </si>
  <si>
    <t>Current source file exists at Data/Scripts/Items/Magical/Artifacts/Artifact_PadsOfTheCuSidhe.cs; match=ExactFileClass; serializer evidence=Serialize:L18;Deserialize:L24;SerialCtor:L15; class=Server.Items.Artifact_PadsOfTheCuSidhe;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</si>
  <si>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path=Data/Scripts/Items/Magical/Artifacts/Artifact_PadsOfTheCuSidhe.cs; backlog risk category=VersionHandling; write count=1; read count=1. POST-BATCH-J is triage only; no serialized layout edit is approved by this row.</t>
  </si>
  <si>
    <t>RB-00828</t>
  </si>
  <si>
    <t>P10-F00828</t>
  </si>
  <si>
    <t>Data/Scripts/Items/Magical/Artifacts/Artifact_PendantOfTheMagi.cs</t>
  </si>
  <si>
    <t>PBJ-0589</t>
  </si>
  <si>
    <t>Current source file exists at Data/Scripts/Items/Magical/Artifacts/Artifact_PendantOfTheMagi.cs; match=ExactFileClass; serializer evidence=Serialize:L23;Deserialize:L30;SerialCtor:L20; class=Server.Items.Artifact_PendantOfTheMagi;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</si>
  <si>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path=Data/Scripts/Items/Magical/Artifacts/Artifact_PendantOfTheMagi.cs; backlog risk category=VersionHandling; write count=1; read count=1. POST-BATCH-J is triage only; no serialized layout edit is approved by this row.</t>
  </si>
  <si>
    <t>RB-00829</t>
  </si>
  <si>
    <t>P10-F00829</t>
  </si>
  <si>
    <t>Data/Scripts/Items/Magical/Artifacts/Artifact_PhantomStaff.cs</t>
  </si>
  <si>
    <t>PBJ-0590</t>
  </si>
  <si>
    <t>Current source file exists at Data/Scripts/Items/Magical/Artifacts/Artifact_PhantomStaff.cs; match=ExactFileClass; serializer evidence=Serialize:L39;Deserialize:L46;SerialCtor:L36; class=Server.Items.Artifact_PhantomStaff;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</si>
  <si>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path=Data/Scripts/Items/Magical/Artifacts/Artifact_PhantomStaff.cs; backlog risk category=VersionHandling; write count=1; read count=1. POST-BATCH-J is triage only; no serialized layout edit is approved by this row.</t>
  </si>
  <si>
    <t>RB-00830</t>
  </si>
  <si>
    <t>P10-F00830</t>
  </si>
  <si>
    <t>Data/Scripts/Items/Magical/Artifacts/Artifact_RaedsGlory.cs</t>
  </si>
  <si>
    <t>PBJ-0591</t>
  </si>
  <si>
    <t>Current source file exists at Data/Scripts/Items/Magical/Artifacts/Artifact_RaedsGlory.cs; match=ExactFileClass; serializer evidence=Serialize:L36;Deserialize:L43;SerialCtor:L33; class=Server.Items.Artifact_RaedsGlory;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</si>
  <si>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path=Data/Scripts/Items/Magical/Artifacts/Artifact_RaedsGlory.cs; backlog risk category=VersionHandling; write count=1; read count=1. POST-BATCH-J is triage only; no serialized layout edit is approved by this row.</t>
  </si>
  <si>
    <t>RB-00831</t>
  </si>
  <si>
    <t>P10-F00831</t>
  </si>
  <si>
    <t>Data/Scripts/Items/Magical/Artifacts/Artifact_ResillientBracer.cs</t>
  </si>
  <si>
    <t>PBJ-0592</t>
  </si>
  <si>
    <t>Current source file exists at Data/Scripts/Items/Magical/Artifacts/Artifact_ResillientBracer.cs; match=ExactFileClass; serializer evidence=Serialize:L28;Deserialize:L35;SerialCtor:L25; class=Server.Items.Artifact_ResilientBracer;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</si>
  <si>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path=Data/Scripts/Items/Magical/Artifacts/Artifact_ResillientBracer.cs; backlog risk category=VersionHandling; write count=1; read count=1. POST-BATCH-J is triage only; no serialized layout edit is approved by this row.</t>
  </si>
  <si>
    <t>RB-00832</t>
  </si>
  <si>
    <t>P10-F00832</t>
  </si>
  <si>
    <t>Data/Scripts/Items/Magical/Artifacts/Artifact_RighteousAnger.cs</t>
  </si>
  <si>
    <t>PBJ-0593</t>
  </si>
  <si>
    <t>Current source file exists at Data/Scripts/Items/Magical/Artifacts/Artifact_RighteousAnger.cs; match=ExactFileClass; serializer evidence=Serialize:L34;Deserialize:L41;SerialCtor:L31; class=Server.Items.Artifact_RighteousAnger;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</si>
  <si>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path=Data/Scripts/Items/Magical/Artifacts/Artifact_RighteousAnger.cs; backlog risk category=VersionHandling; write count=1; read count=1. POST-BATCH-J is triage only; no serialized layout edit is approved by this row.</t>
  </si>
  <si>
    <t>RB-00833</t>
  </si>
  <si>
    <t>P10-F00833</t>
  </si>
  <si>
    <t>Data/Scripts/Items/Magical/Artifacts/Artifact_RoyalGuardsChestplate.cs</t>
  </si>
  <si>
    <t>PBJ-0594</t>
  </si>
  <si>
    <t>Current source file exists at Data/Scripts/Items/Magical/Artifacts/Artifact_RoyalGuardsChestplate.cs; match=ExactFileClass; serializer evidence=Serialize:L55;Deserialize:L62;SerialCtor:L52;VersionWrite:L59;VersionRead:L66; class=Server.Items.Artifact_RoyalGuardsChestplate;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</si>
  <si>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path=Data/Scripts/Items/Magical/Artifacts/Artifact_RoyalGuardsChestplate.cs; backlog risk category=VersionHandling; write count=1; read count=1. POST-BATCH-J is triage only; no serialized layout edit is approved by this row.</t>
  </si>
  <si>
    <t>RB-00834</t>
  </si>
  <si>
    <t>P10-F00834</t>
  </si>
  <si>
    <t>Data/Scripts/Items/Magical/Artifacts/Artifact_RuneCarvingKnife.cs</t>
  </si>
  <si>
    <t>PBJ-0595</t>
  </si>
  <si>
    <t>Current source file exists at Data/Scripts/Items/Magical/Artifacts/Artifact_RuneCarvingKnife.cs; match=ExactFileClass; serializer evidence=Serialize:L27;Deserialize:L34;SerialCtor:L24; class=Server.Items.Artifact_RuneCarvingKnife;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</si>
  <si>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path=Data/Scripts/Items/Magical/Artifacts/Artifact_RuneCarvingKnife.cs; backlog risk category=VersionHandling; write count=1; read count=1. POST-BATCH-J is triage only; no serialized layout edit is approved by this row.</t>
  </si>
  <si>
    <t>RB-00835</t>
  </si>
  <si>
    <t>P10-F00835</t>
  </si>
  <si>
    <t>Data/Scripts/Items/Magical/Artifacts/Artifact_SamuraiHelm.cs</t>
  </si>
  <si>
    <t>PBJ-0596</t>
  </si>
  <si>
    <t>Current source file exists at Data/Scripts/Items/Magical/Artifacts/Artifact_SamuraiHelm.cs; match=ExactFileClass; serializer evidence=Serialize:L53;Deserialize:L59;SerialCtor:L50; class=Server.Items.Artifact_SamuraiHelm;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</si>
  <si>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path=Data/Scripts/Items/Magical/Artifacts/Artifact_SamuraiHelm.cs; backlog risk category=VersionHandling; write count=1; read count=1. POST-BATCH-J is triage only; no serialized layout edit is approved by this row.</t>
  </si>
  <si>
    <t>RB-00836</t>
  </si>
  <si>
    <t>P10-F00836</t>
  </si>
  <si>
    <t>Data/Scripts/Items/Magical/Artifacts/Artifact_ShadowDancerArms.cs</t>
  </si>
  <si>
    <t>PBJ-0597</t>
  </si>
  <si>
    <t>Current source file exists at Data/Scripts/Items/Magical/Artifacts/Artifact_ShadowDancerArms.cs; match=ExactFileClass; serializer evidence=Serialize:L45;Deserialize:L52;SerialCtor:L42;VersionWrite:L49;VersionRead:L56; class=Server.Items.Artifact_ShadowDancerArms;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</si>
  <si>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path=Data/Scripts/Items/Magical/Artifacts/Artifact_ShadowDancerArms.cs; backlog risk category=VersionHandling; write count=1; read count=1. POST-BATCH-J is triage only; no serialized layout edit is approved by this row.</t>
  </si>
  <si>
    <t>RB-00837</t>
  </si>
  <si>
    <t>P10-F00837</t>
  </si>
  <si>
    <t>Data/Scripts/Items/Magical/Artifacts/Artifact_ShadowDancerCap.cs</t>
  </si>
  <si>
    <t>PBJ-0598</t>
  </si>
  <si>
    <t>Current source file exists at Data/Scripts/Items/Magical/Artifacts/Artifact_ShadowDancerCap.cs; match=ExactFileClass; serializer evidence=Serialize:L44;Deserialize:L51;SerialCtor:L41;VersionWrite:L48;VersionRead:L55; class=Server.Items.Artifact_ShadowDancerCap;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</si>
  <si>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path=Data/Scripts/Items/Magical/Artifacts/Artifact_ShadowDancerCap.cs; backlog risk category=VersionHandling; write count=1; read count=1. POST-BATCH-J is triage only; no serialized layout edit is approved by this row.</t>
  </si>
  <si>
    <t>RB-00838</t>
  </si>
  <si>
    <t>P10-F00838</t>
  </si>
  <si>
    <t>Data/Scripts/Items/Magical/Artifacts/Artifact_ShadowDancerGloves.cs</t>
  </si>
  <si>
    <t>PBJ-0599</t>
  </si>
  <si>
    <t>Current source file exists at Data/Scripts/Items/Magical/Artifacts/Artifact_ShadowDancerGloves.cs; match=ExactFileClass; serializer evidence=Serialize:L45;Deserialize:L52;SerialCtor:L42;VersionWrite:L49;VersionRead:L56; class=Server.Items.Artifact_ShadowDancerGloves;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</si>
  <si>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path=Data/Scripts/Items/Magical/Artifacts/Artifact_ShadowDancerGloves.cs; backlog risk category=VersionHandling; write count=1; read count=1. POST-BATCH-J is triage only; no serialized layout edit is approved by this row.</t>
  </si>
  <si>
    <t>RB-00839</t>
  </si>
  <si>
    <t>P10-F00839</t>
  </si>
  <si>
    <t>Data/Scripts/Items/Magical/Artifacts/Artifact_ShadowDancerGorget.cs</t>
  </si>
  <si>
    <t>PBJ-0600</t>
  </si>
  <si>
    <t>Current source file exists at Data/Scripts/Items/Magical/Artifacts/Artifact_ShadowDancerGorget.cs; match=ExactFileClass; serializer evidence=Serialize:L45;Deserialize:L52;SerialCtor:L42;VersionWrite:L49;VersionRead:L56; class=Server.Items.Artifact_ShadowDancerGorget;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</si>
  <si>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path=Data/Scripts/Items/Magical/Artifacts/Artifact_ShadowDancerGorget.cs; backlog risk category=VersionHandling; write count=1; read count=1. POST-BATCH-J is triage only; no serialized layout edit is approved by this row.</t>
  </si>
  <si>
    <t>RB-00840</t>
  </si>
  <si>
    <t>P10-F00840</t>
  </si>
  <si>
    <t>Data/Scripts/Items/Magical/Artifacts/Artifact_ShadowDancerLeggings.cs</t>
  </si>
  <si>
    <t>PBJ-0601</t>
  </si>
  <si>
    <t>Current source file exists at Data/Scripts/Items/Magical/Artifacts/Artifact_ShadowDancerLeggings.cs; match=ExactFileClass; serializer evidence=Serialize:L44;Deserialize:L51;SerialCtor:L41;VersionWrite:L48;VersionRead:L55; class=Server.Items.Artifact_ShadowDancerLeggings;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</si>
  <si>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path=Data/Scripts/Items/Magical/Artifacts/Artifact_ShadowDancerLeggings.cs; backlog risk category=VersionHandling; write count=1; read count=1. POST-BATCH-J is triage only; no serialized layout edit is approved by this row.</t>
  </si>
  <si>
    <t>RB-00841</t>
  </si>
  <si>
    <t>P10-F00841</t>
  </si>
  <si>
    <t>Data/Scripts/Items/Magical/Artifacts/Artifact_ShadowDancerTunic.cs</t>
  </si>
  <si>
    <t>PBJ-0602</t>
  </si>
  <si>
    <t>Current source file exists at Data/Scripts/Items/Magical/Artifacts/Artifact_ShadowDancerTunic.cs; match=ExactFileClass; serializer evidence=Serialize:L45;Deserialize:L52;SerialCtor:L42;VersionWrite:L49;VersionRead:L56; class=Server.Items.Artifact_ShadowDancerTunic;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</si>
  <si>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path=Data/Scripts/Items/Magical/Artifacts/Artifact_ShadowDancerTunic.cs; backlog risk category=VersionHandling; write count=1; read count=1. POST-BATCH-J is triage only; no serialized layout edit is approved by this row.</t>
  </si>
  <si>
    <t>RB-00842</t>
  </si>
  <si>
    <t>P10-F00842</t>
  </si>
  <si>
    <t>Data/Scripts/Items/Magical/Artifacts/Artifact_ShaminoCrossbow.cs</t>
  </si>
  <si>
    <t>PBJ-0603</t>
  </si>
  <si>
    <t>Current source file exists at Data/Scripts/Items/Magical/Artifacts/Artifact_ShaminoCrossbow.cs; match=ExactFileClass; serializer evidence=Serialize:L24;Deserialize:L31;SerialCtor:L21; class=Server.Items.Artifact_ShaMontorrossbow;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</si>
  <si>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path=Data/Scripts/Items/Magical/Artifacts/Artifact_ShaminoCrossbow.cs; backlog risk category=VersionHandling; write count=1; read count=1. POST-BATCH-J is triage only; no serialized layout edit is approved by this row.</t>
  </si>
  <si>
    <t>RB-00843</t>
  </si>
  <si>
    <t>P10-F00843</t>
  </si>
  <si>
    <t>Data/Scripts/Items/Magical/Artifacts/Artifact_ShardTrasher.cs</t>
  </si>
  <si>
    <t>PBJ-0604</t>
  </si>
  <si>
    <t>Current source file exists at Data/Scripts/Items/Magical/Artifacts/Artifact_ShardTrasher.cs; match=ExactFileClass; serializer evidence=Serialize:L27;Deserialize:L34;SerialCtor:L24; class=Server.Items.Artifact_ShardThrasher;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</si>
  <si>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path=Data/Scripts/Items/Magical/Artifacts/Artifact_ShardTrasher.cs; backlog risk category=VersionHandling; write count=1; read count=1. POST-BATCH-J is triage only; no serialized layout edit is approved by this row.</t>
  </si>
  <si>
    <t>RB-00844</t>
  </si>
  <si>
    <t>P10-F00844</t>
  </si>
  <si>
    <t>Data/Scripts/Items/Magical/Artifacts/Artifact_SilvanisFeywoodBow.cs</t>
  </si>
  <si>
    <t>PBJ-0605</t>
  </si>
  <si>
    <t>Current source file exists at Data/Scripts/Items/Magical/Artifacts/Artifact_SilvanisFeywoodBow.cs; match=ExactFileClass; serializer evidence=Serialize:L41;Deserialize:L48;SerialCtor:L38; class=Server.Items.Artifact_SilvanisFeywoodBow;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</si>
  <si>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path=Data/Scripts/Items/Magical/Artifacts/Artifact_SilvanisFeywoodBow.cs; backlog risk category=VersionHandling; write count=1; read count=1. POST-BATCH-J is triage only; no serialized layout edit is approved by this row.</t>
  </si>
  <si>
    <t>RB-00845</t>
  </si>
  <si>
    <t>P10-F00845</t>
  </si>
  <si>
    <t>Data/Scripts/Items/Magical/Artifacts/Artifact_SongWovenMantle.cs</t>
  </si>
  <si>
    <t>PBJ-0606</t>
  </si>
  <si>
    <t>Current source file exists at Data/Scripts/Items/Magical/Artifacts/Artifact_SongWovenMantle.cs; match=ExactFileClass; serializer evidence=Serialize:L37;Deserialize:L43;SerialCtor:L34; class=Server.Items.Artifact_SongWovenMantle;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</si>
  <si>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path=Data/Scripts/Items/Magical/Artifacts/Artifact_SongWovenMantle.cs; backlog risk category=VersionHandling; write count=1; read count=1. POST-BATCH-J is triage only; no serialized layout edit is approved by this row.</t>
  </si>
  <si>
    <t>RB-00846</t>
  </si>
  <si>
    <t>P10-F00846</t>
  </si>
  <si>
    <t>Data/Scripts/Items/Magical/Artifacts/Artifact_SoulSeeker.cs</t>
  </si>
  <si>
    <t>PBJ-0607</t>
  </si>
  <si>
    <t>Current source file exists at Data/Scripts/Items/Magical/Artifacts/Artifact_SoulSeeker.cs; match=ExactFileClass; serializer evidence=Serialize:L51;Deserialize:L58;SerialCtor:L48; class=Server.Items.Artifact_SoulSeeker;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</si>
  <si>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path=Data/Scripts/Items/Magical/Artifacts/Artifact_SoulSeeker.cs; backlog risk category=VersionHandling; write count=1; read count=1. POST-BATCH-J is triage only; no serialized layout edit is approved by this row.</t>
  </si>
  <si>
    <t>RB-00847</t>
  </si>
  <si>
    <t>P10-F00847</t>
  </si>
  <si>
    <t>Data/Scripts/Items/Magical/Artifacts/Artifact_SpellWovenBritches.cs</t>
  </si>
  <si>
    <t>PBJ-0608</t>
  </si>
  <si>
    <t>Current source file exists at Data/Scripts/Items/Magical/Artifacts/Artifact_SpellWovenBritches.cs; match=ExactFileClass; serializer evidence=Serialize:L34;Deserialize:L40;SerialCtor:L31; class=Server.Items.Artifact_SpellWovenBritches;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</si>
  <si>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path=Data/Scripts/Items/Magical/Artifacts/Artifact_SpellWovenBritches.cs; backlog risk category=VersionHandling; write count=1; read count=1. POST-BATCH-J is triage only; no serialized layout edit is approved by this row.</t>
  </si>
  <si>
    <t>RB-00848</t>
  </si>
  <si>
    <t>P10-F00848</t>
  </si>
  <si>
    <t>Data/Scripts/Items/Magical/Artifacts/Artifact_StaffofSnakes.cs</t>
  </si>
  <si>
    <t>PBU-0011</t>
  </si>
  <si>
    <t>POST-BATCH-N lane=POST-BATCH-N-SAVE-MIGRATION-PLAN; FileProofStatus=CurrentPathConfirmed; Class=Server.Items.Artifact_StaffofSnakes; Serialize=L73; Reader=DeserializeMethod:L80; RegisterBase=BaseCallsFirst; RegisterVersion=SuspiciousOrder; RegisterAlignment=CountMatchNeedsTypeReview:UnknownWrites=1; Writes=2; Reads=2; WriteEvidence=L76:Write((int)1)) | L77:Write(TimeUsed)); ReadEvidence=L83:ReadInt | L84:ReadDateTime; POST-BATCH-U direct source review=ScannerAmbiguityFalsePositive</t>
  </si>
  <si>
    <t>RB-00849</t>
  </si>
  <si>
    <t>P10-F00849</t>
  </si>
  <si>
    <t>Data/Scripts/Items/Magical/Artifacts/Artifact_StitchersMittens.cs</t>
  </si>
  <si>
    <t>PBJ-0610</t>
  </si>
  <si>
    <t>Current source file exists at Data/Scripts/Items/Magical/Artifacts/Artifact_StitchersMittens.cs; match=ExactFileClass; serializer evidence=Serialize:L34;Deserialize:L40;SerialCtor:L31; class=Server.Items.Artifact_StitchersMittens;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</si>
  <si>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path=Data/Scripts/Items/Magical/Artifacts/Artifact_StitchersMittens.cs; backlog risk category=VersionHandling; write count=1; read count=1. POST-BATCH-J is triage only; no serialized layout edit is approved by this row.</t>
  </si>
  <si>
    <t>RB-00850</t>
  </si>
  <si>
    <t>P10-F00850</t>
  </si>
  <si>
    <t>Data/Scripts/Items/Magical/Artifacts/Artifact_TalonBite.cs</t>
  </si>
  <si>
    <t>PBJ-0611</t>
  </si>
  <si>
    <t>Current source file exists at Data/Scripts/Items/Magical/Artifacts/Artifact_TalonBite.cs; match=ExactFileClass; serializer evidence=Serialize:L39;Deserialize:L46;SerialCtor:L36; class=Server.Items.Artifact_TalonBite;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</si>
  <si>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path=Data/Scripts/Items/Magical/Artifacts/Artifact_TalonBite.cs; backlog risk category=VersionHandling; write count=1; read count=1. POST-BATCH-J is triage only; no serialized layout edit is approved by this row.</t>
  </si>
  <si>
    <t>RB-00851</t>
  </si>
  <si>
    <t>P10-F00851</t>
  </si>
  <si>
    <t>Data/Scripts/Items/Magical/Artifacts/Artifact_TheDryadBow.cs</t>
  </si>
  <si>
    <t>PBJ-0612</t>
  </si>
  <si>
    <t>Current source file exists at Data/Scripts/Items/Magical/Artifacts/Artifact_TheDryadBow.cs; match=ExactFileClass; serializer evidence=Serialize:L36;Deserialize:L42;SerialCtor:L33;VersionWrite:L39;VersionRead:L45; class=Server.Items.Artifact_TheDryadBow;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</si>
  <si>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path=Data/Scripts/Items/Magical/Artifacts/Artifact_TheDryadBow.cs; backlog risk category=VersionHandling; write count=1; read count=1. POST-BATCH-J is triage only; no serialized layout edit is approved by this row.</t>
  </si>
  <si>
    <t>RB-00852</t>
  </si>
  <si>
    <t>P10-F00852</t>
  </si>
  <si>
    <t>Data/Scripts/Items/Magical/Artifacts/Artifact_TotemArms.cs</t>
  </si>
  <si>
    <t>PBJ-0613</t>
  </si>
  <si>
    <t>Current source file exists at Data/Scripts/Items/Magical/Artifacts/Artifact_TotemArms.cs; match=ExactFileClass; serializer evidence=Serialize:L37;Deserialize:L43;SerialCtor:L34;VersionWrite:L40;VersionRead:L46; class=Server.Items.Artifact_TotemArms;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</si>
  <si>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path=Data/Scripts/Items/Magical/Artifacts/Artifact_TotemArms.cs; backlog risk category=VersionHandling; write count=1; read count=1. POST-BATCH-J is triage only; no serialized layout edit is approved by this row.</t>
  </si>
  <si>
    <t>RB-00853</t>
  </si>
  <si>
    <t>P10-F00853</t>
  </si>
  <si>
    <t>Data/Scripts/Items/Magical/Artifacts/Artifact_TotemGloves.cs</t>
  </si>
  <si>
    <t>PBJ-0614</t>
  </si>
  <si>
    <t>Current source file exists at Data/Scripts/Items/Magical/Artifacts/Artifact_TotemGloves.cs; match=ExactFileClass; serializer evidence=Serialize:L37;Deserialize:L43;SerialCtor:L34;VersionWrite:L40;VersionRead:L46; class=Server.Items.Artifact_TotemGloves;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</si>
  <si>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path=Data/Scripts/Items/Magical/Artifacts/Artifact_TotemGloves.cs; backlog risk category=VersionHandling; write count=1; read count=1. POST-BATCH-J is triage only; no serialized layout edit is approved by this row.</t>
  </si>
  <si>
    <t>RB-00854</t>
  </si>
  <si>
    <t>P10-F00854</t>
  </si>
  <si>
    <t>Data/Scripts/Items/Magical/Artifacts/Artifact_TotemGorget.cs</t>
  </si>
  <si>
    <t>PBJ-0615</t>
  </si>
  <si>
    <t>Current source file exists at Data/Scripts/Items/Magical/Artifacts/Artifact_TotemGorget.cs; match=ExactFileClass; serializer evidence=Serialize:L37;Deserialize:L43;SerialCtor:L34;VersionWrite:L40;VersionRead:L46; class=Server.Items.Artifact_TotemGorget;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</si>
  <si>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path=Data/Scripts/Items/Magical/Artifacts/Artifact_TotemGorget.cs; backlog risk category=VersionHandling; write count=1; read count=1. POST-BATCH-J is triage only; no serialized layout edit is approved by this row.</t>
  </si>
  <si>
    <t>RB-00855</t>
  </si>
  <si>
    <t>P10-F00855</t>
  </si>
  <si>
    <t>Data/Scripts/Items/Magical/Artifacts/Artifact_TotemLeggings.cs</t>
  </si>
  <si>
    <t>PBJ-0616</t>
  </si>
  <si>
    <t>Current source file exists at Data/Scripts/Items/Magical/Artifacts/Artifact_TotemLeggings.cs; match=ExactFileClass; serializer evidence=Serialize:L37;Deserialize:L43;SerialCtor:L34;VersionWrite:L40;VersionRead:L46; class=Server.Items.Artifact_TotemLeggings;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</si>
  <si>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path=Data/Scripts/Items/Magical/Artifacts/Artifact_TotemLeggings.cs; backlog risk category=VersionHandling; write count=1; read count=1. POST-BATCH-J is triage only; no serialized layout edit is approved by this row.</t>
  </si>
  <si>
    <t>RB-00856</t>
  </si>
  <si>
    <t>P10-F00856</t>
  </si>
  <si>
    <t>Data/Scripts/Items/Magical/Artifacts/Artifact_TotemTunic.cs</t>
  </si>
  <si>
    <t>PBJ-0617</t>
  </si>
  <si>
    <t>Current source file exists at Data/Scripts/Items/Magical/Artifacts/Artifact_TotemTunic.cs; match=ExactFileClass; serializer evidence=Serialize:L37;Deserialize:L43;SerialCtor:L34;VersionWrite:L40;VersionRead:L46; class=Server.Items.Artifact_TotemTunic;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</si>
  <si>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path=Data/Scripts/Items/Magical/Artifacts/Artifact_TotemTunic.cs; backlog risk category=VersionHandling; write count=1; read count=1. POST-BATCH-J is triage only; no serialized layout edit is approved by this row.</t>
  </si>
  <si>
    <t>RB-00857</t>
  </si>
  <si>
    <t>P10-F00857</t>
  </si>
  <si>
    <t>Data/Scripts/Items/Magical/Artifacts/Artifact_TunicOfAegis.cs</t>
  </si>
  <si>
    <t>PBJ-0618</t>
  </si>
  <si>
    <t>Current source file exists at Data/Scripts/Items/Magical/Artifacts/Artifact_TunicOfAegis.cs; match=ExactFileClass; serializer evidence=Serialize:L38;Deserialize:L44;SerialCtor:L35;VersionWrite:L41;VersionRead:L47; class=Server.Items.Artifact_TunicOfAegis;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</si>
  <si>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path=Data/Scripts/Items/Magical/Artifacts/Artifact_TunicOfAegis.cs; backlog risk category=VersionHandling; write count=1; read count=1. POST-BATCH-J is triage only; no serialized layout edit is approved by this row.</t>
  </si>
  <si>
    <t>RB-00858</t>
  </si>
  <si>
    <t>P10-F00858</t>
  </si>
  <si>
    <t>Data/Scripts/Items/Magical/Artifacts/Artifact_TunicOfBane.cs</t>
  </si>
  <si>
    <t>PBJ-0619</t>
  </si>
  <si>
    <t>Current source file exists at Data/Scripts/Items/Magical/Artifacts/Artifact_TunicOfBane.cs; match=ExactFileClass; serializer evidence=Serialize:L28;Deserialize:L34;SerialCtor:L25;VersionWrite:L31;VersionRead:L37; class=Server.Items.Artifact_TunicOfBane;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</si>
  <si>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path=Data/Scripts/Items/Magical/Artifacts/Artifact_TunicOfBane.cs; backlog risk category=VersionHandling; write count=1; read count=1. POST-BATCH-J is triage only; no serialized layout edit is approved by this row.</t>
  </si>
  <si>
    <t>RB-00859</t>
  </si>
  <si>
    <t>P10-F00859</t>
  </si>
  <si>
    <t>Data/Scripts/Items/Magical/Artifacts/Artifact_TunicOfTheFallenKing.cs</t>
  </si>
  <si>
    <t>PBJ-0620</t>
  </si>
  <si>
    <t>Current source file exists at Data/Scripts/Items/Magical/Artifacts/Artifact_TunicOfTheFallenKing.cs; match=ExactFileClass; serializer evidence=Serialize:L41;Deserialize:L47;SerialCtor:L38;VersionWrite:L44;VersionRead:L50; class=Server.Items.Artifact_TunicOfTheFallenKing;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</si>
  <si>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path=Data/Scripts/Items/Magical/Artifacts/Artifact_TunicOfTheFallenKing.cs; backlog risk category=VersionHandling; write count=1; read count=1. POST-BATCH-J is triage only; no serialized layout edit is approved by this row.</t>
  </si>
  <si>
    <t>RB-00860</t>
  </si>
  <si>
    <t>P10-F00860</t>
  </si>
  <si>
    <t>Data/Scripts/Items/Magical/Artifacts/Artifact_TunicOfTheHarrower.cs</t>
  </si>
  <si>
    <t>PBJ-0621</t>
  </si>
  <si>
    <t>Current source file exists at Data/Scripts/Items/Magical/Artifacts/Artifact_TunicOfTheHarrower.cs; match=ExactFileClass; serializer evidence=Serialize:L36;Deserialize:L42;SerialCtor:L33;VersionWrite:L39;VersionRead:L45; class=Server.Items.Artifact_TunicOfTheHarrower;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</si>
  <si>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path=Data/Scripts/Items/Magical/Artifacts/Artifact_TunicOfTheHarrower.cs; backlog risk category=VersionHandling; write count=1; read count=1. POST-BATCH-J is triage only; no serialized layout edit is approved by this row.</t>
  </si>
  <si>
    <t>RB-00861</t>
  </si>
  <si>
    <t>P10-F00861</t>
  </si>
  <si>
    <t>Data/Scripts/Items/Magical/Artifacts/Artifact_VoiceOfTheFallenKing.cs</t>
  </si>
  <si>
    <t>PBJ-0622</t>
  </si>
  <si>
    <t>Current source file exists at Data/Scripts/Items/Magical/Artifacts/Artifact_VoiceOfTheFallenKing.cs; match=ExactFileClass; serializer evidence=Serialize:L41;Deserialize:L47;SerialCtor:L38;VersionWrite:L44;VersionRead:L50; class=Server.Items.Artifact_VoiceOfTheFallenKing;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</si>
  <si>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path=Data/Scripts/Items/Magical/Artifacts/Artifact_VoiceOfTheFallenKing.cs; backlog risk category=VersionHandling; write count=1; read count=1. POST-BATCH-J is triage only; no serialized layout edit is approved by this row.</t>
  </si>
  <si>
    <t>RB-00862</t>
  </si>
  <si>
    <t>P10-F00862</t>
  </si>
  <si>
    <t>Data/Scripts/Items/Magical/Artifacts/Artifact_WildfireBow.cs</t>
  </si>
  <si>
    <t>PBJ-0623</t>
  </si>
  <si>
    <t>Current source file exists at Data/Scripts/Items/Magical/Artifacts/Artifact_WildfireBow.cs; match=ExactFileClass; serializer evidence=Serialize:L50;Deserialize:L57;SerialCtor:L47; class=Server.Items.Artifact_WildfireBow;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</si>
  <si>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path=Data/Scripts/Items/Magical/Artifacts/Artifact_WildfireBow.cs; backlog risk category=VersionHandling; write count=1; read count=1. POST-BATCH-J is triage only; no serialized layout edit is approved by this row.</t>
  </si>
  <si>
    <t>RB-00863</t>
  </si>
  <si>
    <t>P10-F00863</t>
  </si>
  <si>
    <t>Data/Scripts/Items/Magical/Artifacts/Artifact_Windsong.cs</t>
  </si>
  <si>
    <t>PBJ-0624</t>
  </si>
  <si>
    <t>Current source file exists at Data/Scripts/Items/Magical/Artifacts/Artifact_Windsong.cs; match=ExactFileClass; serializer evidence=Serialize:L36;Deserialize:L42;SerialCtor:L33; class=Server.Items.Artifact_Windsong;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</si>
  <si>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path=Data/Scripts/Items/Magical/Artifacts/Artifact_Windsong.cs; backlog risk category=VersionHandling; write count=1; read count=1. POST-BATCH-J is triage only; no serialized layout edit is approved by this row.</t>
  </si>
  <si>
    <t>RB-00864</t>
  </si>
  <si>
    <t>P10-F00864</t>
  </si>
  <si>
    <t>Data/Scripts/Items/Magical/Artifacts/Minor/ColoringBook.cs</t>
  </si>
  <si>
    <t>PBU-0012</t>
  </si>
  <si>
    <t>POST-BATCH-N lane=POST-BATCH-N-SAVE-MIGRATION-PLAN; FileProofStatus=CurrentPathConfirmed; Class=Server.Items.ColoringBook; Serialize=L570; Reader=DeserializeMethod:L578; RegisterBase=BaseCallsFirst; RegisterVersion=SuspiciousOrder; RegisterAlignment=CountMatchNeedsTypeReview:UnknownWrites=2; Writes=3; Reads=3; WriteEvidence=L573:Write((int)1); // version) | L574:Write(MagicColor)) | L575:Write(MagicPage)); ReadEvidence=L581:ReadInt | L582:ReadString | L583:ReadInt; POST-BATCH-U direct source review=ScannerAmbiguityFalsePositive</t>
  </si>
  <si>
    <t>RB-00865</t>
  </si>
  <si>
    <t>P10-F00865</t>
  </si>
  <si>
    <t>Data/Scripts/Items/Magical/Artifacts/Obsolete/Obsolete_AcidProofRobe.cs</t>
  </si>
  <si>
    <t>PBU-0013</t>
  </si>
  <si>
    <t>POST-BATCH-N lane=POST-BATCH-N-SAVE-MIGRATION-PLAN; FileProofStatus=CurrentPathConfirmed; Class=Server.Items.AcidProofRobe; Serialize=L76; Reader=DeserializeMethod:L83; RegisterBase=BaseCallsFirst; RegisterVersion=SuspiciousOrder; RegisterAlignment=CountMatchNeedsTypeReview:UnknownWrites=1; Writes=2; Reads=2; WriteEvidence=L79:Write((int)1)) | L80:Write(TimeUsed)); ReadEvidence=L86:ReadInt | L87:ReadDateTime; POST-BATCH-U direct source review=ScannerAmbiguityFalsePositive</t>
  </si>
  <si>
    <t>RB-00866</t>
  </si>
  <si>
    <t>P10-F00866</t>
  </si>
  <si>
    <t>Data/Scripts/Items/Magical/Artifacts/Obsolete/Obsolete_AegisOfGrace.cs</t>
  </si>
  <si>
    <t>PBJ-0627</t>
  </si>
  <si>
    <t>Current source file exists at Data/Scripts/Items/Magical/Artifacts/Obsolete/Obsolete_AegisOfGrace.cs; match=ExactFileClass; serializer evidence=Serialize:L70;Deserialize:L76;SerialCtor:L67; class=Server.Items.AegisOfGrace;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</si>
  <si>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path=Data/Scripts/Items/Magical/Artifacts/Obsolete/Obsolete_AegisOfGrace.cs; backlog risk category=VersionHandling; write count=1; read count=1. POST-BATCH-J is triage only; no serialized layout edit is approved by this row.</t>
  </si>
  <si>
    <t>RB-00867</t>
  </si>
  <si>
    <t>P10-F00867</t>
  </si>
  <si>
    <t>Data/Scripts/Items/Magical/Artifacts/Obsolete/Obsolete_BladeDance.cs</t>
  </si>
  <si>
    <t>PBJ-0628</t>
  </si>
  <si>
    <t>Current source file exists at Data/Scripts/Items/Magical/Artifacts/Obsolete/Obsolete_BladeDance.cs; match=ExactFileClass; serializer evidence=Serialize:L45;Deserialize:L52;SerialCtor:L42; class=Server.Items.BladeDance;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</si>
  <si>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path=Data/Scripts/Items/Magical/Artifacts/Obsolete/Obsolete_BladeDance.cs; backlog risk category=VersionHandling; write count=1; read count=1. POST-BATCH-J is triage only; no serialized layout edit is approved by this row.</t>
  </si>
  <si>
    <t>RB-00868</t>
  </si>
  <si>
    <t>P10-F00868</t>
  </si>
  <si>
    <t>Data/Scripts/Items/Magical/Artifacts/Obsolete/Obsolete_BlightGrippedLongbow.cs</t>
  </si>
  <si>
    <t>PBJ-0629</t>
  </si>
  <si>
    <t>Current source file exists at Data/Scripts/Items/Magical/Artifacts/Obsolete/Obsolete_BlightGrippedLongbow.cs; match=ExactFileClass; serializer evidence=Serialize:L35;Deserialize:L42;SerialCtor:L32; class=Server.Items.BlightGrippedLongbow;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</si>
  <si>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path=Data/Scripts/Items/Magical/Artifacts/Obsolete/Obsolete_BlightGrippedLongbow.cs; backlog risk category=VersionHandling; write count=1; read count=1. POST-BATCH-J is triage only; no serialized layout edit is approved by this row.</t>
  </si>
  <si>
    <t>RB-00869</t>
  </si>
  <si>
    <t>P10-F00869</t>
  </si>
  <si>
    <t>Data/Scripts/Items/Magical/Artifacts/Obsolete/Obsolete_Bonesmasher.cs</t>
  </si>
  <si>
    <t>PBJ-0630</t>
  </si>
  <si>
    <t>Current source file exists at Data/Scripts/Items/Magical/Artifacts/Obsolete/Obsolete_Bonesmasher.cs; match=ExactFileClass; serializer evidence=Serialize:L45;Deserialize:L52;SerialCtor:L42; class=Server.Items.Bonesmasher;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</si>
  <si>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path=Data/Scripts/Items/Magical/Artifacts/Obsolete/Obsolete_Bonesmasher.cs; backlog risk category=VersionHandling; write count=1; read count=1. POST-BATCH-J is triage only; no serialized layout edit is approved by this row.</t>
  </si>
  <si>
    <t>RB-00870</t>
  </si>
  <si>
    <t>P10-F00870</t>
  </si>
  <si>
    <t>Data/Scripts/Items/Magical/Artifacts/Obsolete/Obsolete_Boomstick.cs</t>
  </si>
  <si>
    <t>PBJ-0631</t>
  </si>
  <si>
    <t>Current source file exists at Data/Scripts/Items/Magical/Artifacts/Obsolete/Obsolete_Boomstick.cs; match=ExactFileClass; serializer evidence=Serialize:L60;Deserialize:L67;SerialCtor:L57; class=Server.Items.Boomstick;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</si>
  <si>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path=Data/Scripts/Items/Magical/Artifacts/Obsolete/Obsolete_Boomstick.cs; backlog risk category=VersionHandling; write count=1; read count=1. POST-BATCH-J is triage only; no serialized layout edit is approved by this row.</t>
  </si>
  <si>
    <t>RB-00871</t>
  </si>
  <si>
    <t>P10-F00871</t>
  </si>
  <si>
    <t>Data/Scripts/Items/Magical/Artifacts/Obsolete/Obsolete_BrambleCoat.cs</t>
  </si>
  <si>
    <t>PBJ-0632</t>
  </si>
  <si>
    <t>Current source file exists at Data/Scripts/Items/Magical/Artifacts/Obsolete/Obsolete_BrambleCoat.cs; match=ExactFileClass; serializer evidence=Serialize:L49;Deserialize:L56;SerialCtor:L46; class=Server.Items.BrambleCoat;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</si>
  <si>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path=Data/Scripts/Items/Magical/Artifacts/Obsolete/Obsolete_BrambleCoat.cs; backlog risk category=VersionHandling; write count=1; read count=1. POST-BATCH-J is triage only; no serialized layout edit is approved by this row.</t>
  </si>
  <si>
    <t>RB-00872</t>
  </si>
  <si>
    <t>P10-F00872</t>
  </si>
  <si>
    <t>Data/Scripts/Items/Magical/Artifacts/Obsolete/Obsolete_ColdForgedBlade.cs</t>
  </si>
  <si>
    <t>PBJ-0633</t>
  </si>
  <si>
    <t>Current source file exists at Data/Scripts/Items/Magical/Artifacts/Obsolete/Obsolete_ColdForgedBlade.cs; match=ExactFileClass; serializer evidence=Serialize:L52;Deserialize:L59;SerialCtor:L49; class=Server.Items.ColdForgedBlade;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</si>
  <si>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path=Data/Scripts/Items/Magical/Artifacts/Obsolete/Obsolete_ColdForgedBlade.cs; backlog risk category=VersionHandling; write count=1; read count=1. POST-BATCH-J is triage only; no serialized layout edit is approved by this row.</t>
  </si>
  <si>
    <t>RB-00873</t>
  </si>
  <si>
    <t>P10-F00873</t>
  </si>
  <si>
    <t>Data/Scripts/Items/Magical/Artifacts/Obsolete/Obsolete_DupresCollar.cs</t>
  </si>
  <si>
    <t>PBJ-0634</t>
  </si>
  <si>
    <t>Current source file exists at Data/Scripts/Items/Magical/Artifacts/Obsolete/Obsolete_DupresCollar.cs; match=ExactFileClass; serializer evidence=Serialize:L53;Deserialize:L60;SerialCtor:L50;VersionWrite:L57;VersionRead:L64; class=Server.Items.DupresCollar;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</si>
  <si>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path=Data/Scripts/Items/Magical/Artifacts/Obsolete/Obsolete_DupresCollar.cs; backlog risk category=VersionHandling; write count=1; read count=1. POST-BATCH-J is triage only; no serialized layout edit is approved by this row.</t>
  </si>
  <si>
    <t>RB-00874</t>
  </si>
  <si>
    <t>P10-F00874</t>
  </si>
  <si>
    <t>Data/Scripts/Items/Magical/Artifacts/Obsolete/Obsolete_DupresShield.cs</t>
  </si>
  <si>
    <t>PBJ-0635</t>
  </si>
  <si>
    <t>Current source file exists at Data/Scripts/Items/Magical/Artifacts/Obsolete/Obsolete_DupresShield.cs; match=ExactFileClass; serializer evidence=Serialize:L66;Deserialize:L73;SerialCtor:L63; class=Server.Items.DupresShield;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</si>
  <si>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path=Data/Scripts/Items/Magical/Artifacts/Obsolete/Obsolete_DupresShield.cs; backlog risk category=VersionHandling; write count=1; read count=1. POST-BATCH-J is triage only; no serialized layout edit is approved by this row.</t>
  </si>
  <si>
    <t>RB-00875</t>
  </si>
  <si>
    <t>P10-F00875</t>
  </si>
  <si>
    <t>Data/Scripts/Items/Magical/Artifacts/Obsolete/Obsolete_EssenceOfBattle.cs</t>
  </si>
  <si>
    <t>PBJ-0636</t>
  </si>
  <si>
    <t>Current source file exists at Data/Scripts/Items/Magical/Artifacts/Obsolete/Obsolete_EssenceOfBattle.cs; match=ExactFileClass; serializer evidence=Serialize:L31;Deserialize:L38;SerialCtor:L28; class=Server.Items.EssenceOfBattle;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</si>
  <si>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path=Data/Scripts/Items/Magical/Artifacts/Obsolete/Obsolete_EssenceOfBattle.cs; backlog risk category=VersionHandling; write count=1; read count=1. POST-BATCH-J is triage only; no serialized layout edit is approved by this row.</t>
  </si>
  <si>
    <t>RB-00876</t>
  </si>
  <si>
    <t>P10-F00876</t>
  </si>
  <si>
    <t>Data/Scripts/Items/Magical/Artifacts/Obsolete/Obsolete_FeyLeggings.cs</t>
  </si>
  <si>
    <t>PBJ-0637</t>
  </si>
  <si>
    <t>Current source file exists at Data/Scripts/Items/Magical/Artifacts/Obsolete/Obsolete_FeyLeggings.cs; match=ExactFileClass; serializer evidence=Serialize:L61;Deserialize:L68;SerialCtor:L58; class=Server.Items.FeyLeggings;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</si>
  <si>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path=Data/Scripts/Items/Magical/Artifacts/Obsolete/Obsolete_FeyLeggings.cs; backlog risk category=VersionHandling; write count=1; read count=1. POST-BATCH-J is triage only; no serialized layout edit is approved by this row.</t>
  </si>
  <si>
    <t>RB-00877</t>
  </si>
  <si>
    <t>P10-F00877</t>
  </si>
  <si>
    <t>Data/Scripts/Items/Magical/Artifacts/Obsolete/Obsolete_FleshRipper.cs</t>
  </si>
  <si>
    <t>PBJ-0638</t>
  </si>
  <si>
    <t>Current source file exists at Data/Scripts/Items/Magical/Artifacts/Obsolete/Obsolete_FleshRipper.cs; match=ExactFileClass; serializer evidence=Serialize:L48;Deserialize:L55;SerialCtor:L45; class=Server.Items.FleshRipper;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</si>
  <si>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path=Data/Scripts/Items/Magical/Artifacts/Obsolete/Obsolete_FleshRipper.cs; backlog risk category=VersionHandling; write count=1; read count=1. POST-BATCH-J is triage only; no serialized layout edit is approved by this row.</t>
  </si>
  <si>
    <t>RB-00878</t>
  </si>
  <si>
    <t>P10-F00878</t>
  </si>
  <si>
    <t>Data/Scripts/Items/Magical/Artifacts/Obsolete/Obsolete_GrayMouserCloak.cs</t>
  </si>
  <si>
    <t>PBJ-0639</t>
  </si>
  <si>
    <t>Current source file exists at Data/Scripts/Items/Magical/Artifacts/Obsolete/Obsolete_GrayMouserCloak.cs; match=ExactFileClass; serializer evidence=Serialize:L32;Deserialize:L38;SerialCtor:L29;VersionWrite:L35;VersionRead:L41; class=Server.Items.GrayMouserCloak;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</si>
  <si>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path=Data/Scripts/Items/Magical/Artifacts/Obsolete/Obsolete_GrayMouserCloak.cs; backlog risk category=VersionHandling; write count=1; read count=1. POST-BATCH-J is triage only; no serialized layout edit is approved by this row.</t>
  </si>
  <si>
    <t>RB-00879</t>
  </si>
  <si>
    <t>P10-F00879</t>
  </si>
  <si>
    <t>Data/Scripts/Items/Magical/Artifacts/Obsolete/Obsolete_GrimReapersLantern.cs</t>
  </si>
  <si>
    <t>PBJ-0640</t>
  </si>
  <si>
    <t>Current source file exists at Data/Scripts/Items/Magical/Artifacts/Obsolete/Obsolete_GrimReapersLantern.cs; match=ExactFileClass; serializer evidence=Serialize:L31;Deserialize:L37;SerialCtor:L28;VersionWrite:L34;VersionRead:L40; class=Server.Items.GrimReapersLantern;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</si>
  <si>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path=Data/Scripts/Items/Magical/Artifacts/Obsolete/Obsolete_GrimReapersLantern.cs; backlog risk category=VersionHandling; write count=1; read count=1. POST-BATCH-J is triage only; no serialized layout edit is approved by this row.</t>
  </si>
  <si>
    <t>RB-00880</t>
  </si>
  <si>
    <t>P10-F00880</t>
  </si>
  <si>
    <t>Data/Scripts/Items/Magical/Artifacts/Obsolete/Obsolete_GrimReapersMask.cs</t>
  </si>
  <si>
    <t>PBJ-0641</t>
  </si>
  <si>
    <t>Current source file exists at Data/Scripts/Items/Magical/Artifacts/Obsolete/Obsolete_GrimReapersMask.cs; match=ExactFileClass; serializer evidence=Serialize:L33;Deserialize:L39;SerialCtor:L30;VersionWrite:L36;VersionRead:L42; class=Server.Items.GrimReapersMask;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</si>
  <si>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path=Data/Scripts/Items/Magical/Artifacts/Obsolete/Obsolete_GrimReapersMask.cs; backlog risk category=VersionHandling; write count=1; read count=1. POST-BATCH-J is triage only; no serialized layout edit is approved by this row.</t>
  </si>
  <si>
    <t>RB-00881</t>
  </si>
  <si>
    <t>P10-F00881</t>
  </si>
  <si>
    <t>Data/Scripts/Items/Magical/Artifacts/Obsolete/Obsolete_GrimReapersRobe.cs</t>
  </si>
  <si>
    <t>PBJ-0642</t>
  </si>
  <si>
    <t>Current source file exists at Data/Scripts/Items/Magical/Artifacts/Obsolete/Obsolete_GrimReapersRobe.cs; match=ExactFileClass; serializer evidence=Serialize:L29;Deserialize:L35;SerialCtor:L26;VersionWrite:L32;VersionRead:L38; class=Server.Items.GrimReapersRobe;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</si>
  <si>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path=Data/Scripts/Items/Magical/Artifacts/Obsolete/Obsolete_GrimReapersRobe.cs; backlog risk category=VersionHandling; write count=1; read count=1. POST-BATCH-J is triage only; no serialized layout edit is approved by this row.</t>
  </si>
  <si>
    <t>RB-00882</t>
  </si>
  <si>
    <t>P10-F00882</t>
  </si>
  <si>
    <t>Data/Scripts/Items/Magical/Artifacts/Obsolete/Obsolete_HelmOfSwiftness.cs</t>
  </si>
  <si>
    <t>PBJ-0643</t>
  </si>
  <si>
    <t>Current source file exists at Data/Scripts/Items/Magical/Artifacts/Obsolete/Obsolete_HelmOfSwiftness.cs; match=ExactFileClass; serializer evidence=Serialize:L63;Deserialize:L70;SerialCtor:L60; class=Server.Items.HelmOfSwiftness;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</si>
  <si>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path=Data/Scripts/Items/Magical/Artifacts/Obsolete/Obsolete_HelmOfSwiftness.cs; backlog risk category=VersionHandling; write count=1; read count=1. POST-BATCH-J is triage only; no serialized layout edit is approved by this row.</t>
  </si>
  <si>
    <t>RB-00883</t>
  </si>
  <si>
    <t>P10-F00883</t>
  </si>
  <si>
    <t>Data/Scripts/Items/Magical/Artifacts/Obsolete/Obsolete_HolySword.cs</t>
  </si>
  <si>
    <t>PBJ-0644</t>
  </si>
  <si>
    <t>Current source file exists at Data/Scripts/Items/Magical/Artifacts/Obsolete/Obsolete_HolySword.cs; match=ExactFileClass; serializer evidence=Serialize:L27;Deserialize:L34;SerialCtor:L24; class=Server.Items.HolySword;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</si>
  <si>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path=Data/Scripts/Items/Magical/Artifacts/Obsolete/Obsolete_HolySword.cs; backlog risk category=VersionHandling; write count=1; read count=1. POST-BATCH-J is triage only; no serialized layout edit is approved by this row.</t>
  </si>
  <si>
    <t>RB-00884</t>
  </si>
  <si>
    <t>P10-F00884</t>
  </si>
  <si>
    <t>Data/Scripts/Items/Magical/Artifacts/Obsolete/Obsolete_IronwoodCrown.cs</t>
  </si>
  <si>
    <t>PBJ-0645</t>
  </si>
  <si>
    <t>Current source file exists at Data/Scripts/Items/Magical/Artifacts/Obsolete/Obsolete_IronwoodCrown.cs; match=ExactFileClass; serializer evidence=Serialize:L52;Deserialize:L59;SerialCtor:L49; class=Server.Items.IronwoodCrown;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</si>
  <si>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path=Data/Scripts/Items/Magical/Artifacts/Obsolete/Obsolete_IronwoodCrown.cs; backlog risk category=VersionHandling; write count=1; read count=1. POST-BATCH-J is triage only; no serialized layout edit is approved by this row.</t>
  </si>
  <si>
    <t>RB-00885</t>
  </si>
  <si>
    <t>P10-F00885</t>
  </si>
  <si>
    <t>Data/Scripts/Items/Magical/Artifacts/Obsolete/Obsolete_LeggingsOfEmbers.cs</t>
  </si>
  <si>
    <t>PBJ-0646</t>
  </si>
  <si>
    <t>Current source file exists at Data/Scripts/Items/Magical/Artifacts/Obsolete/Obsolete_LeggingsOfEmbers.cs; match=ExactFileClass; serializer evidence=Serialize:L47;Deserialize:L54;SerialCtor:L44; class=Server.Items.LeggingsOfEmbers;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</si>
  <si>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path=Data/Scripts/Items/Magical/Artifacts/Obsolete/Obsolete_LeggingsOfEmbers.cs; backlog risk category=VersionHandling; write count=1; read count=1. POST-BATCH-J is triage only; no serialized layout edit is approved by this row.</t>
  </si>
  <si>
    <t>RB-00886</t>
  </si>
  <si>
    <t>P10-F00886</t>
  </si>
  <si>
    <t>Data/Scripts/Items/Magical/Artifacts/Obsolete/Obsolete_LeggingsOfEnlightenment.cs</t>
  </si>
  <si>
    <t>PBJ-0647</t>
  </si>
  <si>
    <t>Current source file exists at Data/Scripts/Items/Magical/Artifacts/Obsolete/Obsolete_LeggingsOfEnlightenment.cs; match=ExactFileClass; serializer evidence=Serialize:L61;Deserialize:L68;SerialCtor:L58; class=Server.Items.LeggingsOfEnlightenment;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</si>
  <si>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path=Data/Scripts/Items/Magical/Artifacts/Obsolete/Obsolete_LeggingsOfEnlightenment.cs; backlog risk category=VersionHandling; write count=1; read count=1. POST-BATCH-J is triage only; no serialized layout edit is approved by this row.</t>
  </si>
  <si>
    <t>RB-00887</t>
  </si>
  <si>
    <t>P10-F00887</t>
  </si>
  <si>
    <t>Data/Scripts/Items/Magical/Artifacts/Obsolete/Obsolete_LuminousRuneBlade.cs</t>
  </si>
  <si>
    <t>PBJ-0648</t>
  </si>
  <si>
    <t>Current source file exists at Data/Scripts/Items/Magical/Artifacts/Obsolete/Obsolete_LuminousRuneBlade.cs; match=ExactFileClass; serializer evidence=Serialize:L52;Deserialize:L59;SerialCtor:L49; class=Server.Items.LuminousRuneBlade;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</si>
  <si>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path=Data/Scripts/Items/Magical/Artifacts/Obsolete/Obsolete_LuminousRuneBlade.cs; backlog risk category=VersionHandling; write count=1; read count=1. POST-BATCH-J is triage only; no serialized layout edit is approved by this row.</t>
  </si>
  <si>
    <t>RB-00888</t>
  </si>
  <si>
    <t>P10-F00888</t>
  </si>
  <si>
    <t>Data/Scripts/Items/Magical/Artifacts/Obsolete/Obsolete_MelisandesCorrodedHatchet.cs</t>
  </si>
  <si>
    <t>PBJ-0649</t>
  </si>
  <si>
    <t>Current source file exists at Data/Scripts/Items/Magical/Artifacts/Obsolete/Obsolete_MelisandesCorrodedHatchet.cs; match=ExactFileClass; serializer evidence=Serialize:L37;Deserialize:L44;SerialCtor:L34; class=Server.Items.MelisandesCorrodedHatchet;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</si>
  <si>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path=Data/Scripts/Items/Magical/Artifacts/Obsolete/Obsolete_MelisandesCorrodedHatchet.cs; backlog risk category=VersionHandling; write count=1; read count=1. POST-BATCH-J is triage only; no serialized layout edit is approved by this row.</t>
  </si>
  <si>
    <t>RB-00889</t>
  </si>
  <si>
    <t>P10-F00889</t>
  </si>
  <si>
    <t>Data/Scripts/Items/Magical/Artifacts/Obsolete/Obsolete_OssianGrimoire.cs</t>
  </si>
  <si>
    <t>PBJ-0650</t>
  </si>
  <si>
    <t>Current source file exists at Data/Scripts/Items/Magical/Artifacts/Obsolete/Obsolete_OssianGrimoire.cs; match=ExactFileClass; serializer evidence=Serialize:L20;Deserialize:L27;SerialCtor:L17; class=Server.Items.OssianGrimoire;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</si>
  <si>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path=Data/Scripts/Items/Magical/Artifacts/Obsolete/Obsolete_OssianGrimoire.cs; backlog risk category=VersionHandling; write count=1; read count=1. POST-BATCH-J is triage only; no serialized layout edit is approved by this row.</t>
  </si>
  <si>
    <t>RB-00890</t>
  </si>
  <si>
    <t>P10-F00890</t>
  </si>
  <si>
    <t>Data/Scripts/Items/Magical/Artifacts/Obsolete/Obsolete_OverseerSunderedBlade.cs</t>
  </si>
  <si>
    <t>PBJ-0651</t>
  </si>
  <si>
    <t>Current source file exists at Data/Scripts/Items/Magical/Artifacts/Obsolete/Obsolete_OverseerSunderedBlade.cs; match=ExactFileClass; serializer evidence=Serialize:L52;Deserialize:L59;SerialCtor:L49; class=Server.Items.OverseerSunderedBlade;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</si>
  <si>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path=Data/Scripts/Items/Magical/Artifacts/Obsolete/Obsolete_OverseerSunderedBlade.cs; backlog risk category=VersionHandling; write count=1; read count=1. POST-BATCH-J is triage only; no serialized layout edit is approved by this row.</t>
  </si>
  <si>
    <t>RB-00891</t>
  </si>
  <si>
    <t>P10-F00891</t>
  </si>
  <si>
    <t>Data/Scripts/Items/Magical/Artifacts/Obsolete/Obsolete_PadsOfTheCuSidhe.cs</t>
  </si>
  <si>
    <t>PBJ-0652</t>
  </si>
  <si>
    <t>Current source file exists at Data/Scripts/Items/Magical/Artifacts/Obsolete/Obsolete_PadsOfTheCuSidhe.cs; match=ExactFileClass; serializer evidence=Serialize:L20;Deserialize:L27;SerialCtor:L17; class=Server.Items.PadsOfTheCuSidhe;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</si>
  <si>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path=Data/Scripts/Items/Magical/Artifacts/Obsolete/Obsolete_PadsOfTheCuSidhe.cs; backlog risk category=VersionHandling; write count=1; read count=1. POST-BATCH-J is triage only; no serialized layout edit is approved by this row.</t>
  </si>
  <si>
    <t>RB-00892</t>
  </si>
  <si>
    <t>P10-F00892</t>
  </si>
  <si>
    <t>Data/Scripts/Items/Magical/Artifacts/Obsolete/Obsolete_PendantOfTheMagi.cs</t>
  </si>
  <si>
    <t>PBJ-0653</t>
  </si>
  <si>
    <t>Current source file exists at Data/Scripts/Items/Magical/Artifacts/Obsolete/Obsolete_PendantOfTheMagi.cs; match=ExactFileClass; serializer evidence=Serialize:L32;Deserialize:L39;SerialCtor:L29; class=Server.Items.PendantOfTheMagi;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</si>
  <si>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path=Data/Scripts/Items/Magical/Artifacts/Obsolete/Obsolete_PendantOfTheMagi.cs; backlog risk category=VersionHandling; write count=1; read count=1. POST-BATCH-J is triage only; no serialized layout edit is approved by this row.</t>
  </si>
  <si>
    <t>RB-00893</t>
  </si>
  <si>
    <t>P10-F00893</t>
  </si>
  <si>
    <t>Data/Scripts/Items/Magical/Artifacts/Obsolete/Obsolete_PhantomStaff.cs</t>
  </si>
  <si>
    <t>PBJ-0654</t>
  </si>
  <si>
    <t>Current source file exists at Data/Scripts/Items/Magical/Artifacts/Obsolete/Obsolete_PhantomStaff.cs; match=ExactFileClass; serializer evidence=Serialize:L49;Deserialize:L56;SerialCtor:L46; class=Server.Items.PhantomStaff;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</si>
  <si>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path=Data/Scripts/Items/Magical/Artifacts/Obsolete/Obsolete_PhantomStaff.cs; backlog risk category=VersionHandling; write count=1; read count=1. POST-BATCH-J is triage only; no serialized layout edit is approved by this row.</t>
  </si>
  <si>
    <t>RB-00894</t>
  </si>
  <si>
    <t>P10-F00894</t>
  </si>
  <si>
    <t>Data/Scripts/Items/Magical/Artifacts/Obsolete/Obsolete_RaedsGlory.cs</t>
  </si>
  <si>
    <t>PBJ-0655</t>
  </si>
  <si>
    <t>Current source file exists at Data/Scripts/Items/Magical/Artifacts/Obsolete/Obsolete_RaedsGlory.cs; match=ExactFileClass; serializer evidence=Serialize:L46;Deserialize:L53;SerialCtor:L43; class=Server.Items.RaedsGlory;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</si>
  <si>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path=Data/Scripts/Items/Magical/Artifacts/Obsolete/Obsolete_RaedsGlory.cs; backlog risk category=VersionHandling; write count=1; read count=1. POST-BATCH-J is triage only; no serialized layout edit is approved by this row.</t>
  </si>
  <si>
    <t>RB-00895</t>
  </si>
  <si>
    <t>P10-F00895</t>
  </si>
  <si>
    <t>Data/Scripts/Items/Magical/Artifacts/Obsolete/Obsolete_ResillientBracer.cs</t>
  </si>
  <si>
    <t>PBJ-0656</t>
  </si>
  <si>
    <t>Current source file exists at Data/Scripts/Items/Magical/Artifacts/Obsolete/Obsolete_ResillientBracer.cs; match=ExactFileClass; serializer evidence=Serialize:L38;Deserialize:L45;SerialCtor:L35; class=Server.Items.ResilientBracer;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</si>
  <si>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path=Data/Scripts/Items/Magical/Artifacts/Obsolete/Obsolete_ResillientBracer.cs; backlog risk category=VersionHandling; write count=1; read count=1. POST-BATCH-J is triage only; no serialized layout edit is approved by this row.</t>
  </si>
  <si>
    <t>RB-00896</t>
  </si>
  <si>
    <t>P10-F00896</t>
  </si>
  <si>
    <t>Data/Scripts/Items/Magical/Artifacts/Obsolete/Obsolete_RighteousAnger.cs</t>
  </si>
  <si>
    <t>PBJ-0657</t>
  </si>
  <si>
    <t>Current source file exists at Data/Scripts/Items/Magical/Artifacts/Obsolete/Obsolete_RighteousAnger.cs; match=ExactFileClass; serializer evidence=Serialize:L44;Deserialize:L51;SerialCtor:L41; class=Server.Items.RighteousAnger;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</si>
  <si>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path=Data/Scripts/Items/Magical/Artifacts/Obsolete/Obsolete_RighteousAnger.cs; backlog risk category=VersionHandling; write count=1; read count=1. POST-BATCH-J is triage only; no serialized layout edit is approved by this row.</t>
  </si>
  <si>
    <t>RB-00897</t>
  </si>
  <si>
    <t>P10-F00897</t>
  </si>
  <si>
    <t>Data/Scripts/Items/Magical/Artifacts/Obsolete/Obsolete_RoyalGuardsChestplate.cs</t>
  </si>
  <si>
    <t>PBJ-0658</t>
  </si>
  <si>
    <t>Current source file exists at Data/Scripts/Items/Magical/Artifacts/Obsolete/Obsolete_RoyalGuardsChestplate.cs; match=ExactFileClass; serializer evidence=Serialize:L59;Deserialize:L66;SerialCtor:L56;VersionWrite:L63;VersionRead:L70; class=Server.Items.RoyalGuardsChestplate;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</si>
  <si>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path=Data/Scripts/Items/Magical/Artifacts/Obsolete/Obsolete_RoyalGuardsChestplate.cs; backlog risk category=VersionHandling; write count=1; read count=1. POST-BATCH-J is triage only; no serialized layout edit is approved by this row.</t>
  </si>
  <si>
    <t>RB-00898</t>
  </si>
  <si>
    <t>P10-F00898</t>
  </si>
  <si>
    <t>Data/Scripts/Items/Magical/Artifacts/Obsolete/Obsolete_RuneCarvingKnife.cs</t>
  </si>
  <si>
    <t>PBJ-0659</t>
  </si>
  <si>
    <t>Current source file exists at Data/Scripts/Items/Magical/Artifacts/Obsolete/Obsolete_RuneCarvingKnife.cs; match=ExactFileClass; serializer evidence=Serialize:L36;Deserialize:L43;SerialCtor:L33; class=Server.Items.RuneCarvingKnife;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</si>
  <si>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path=Data/Scripts/Items/Magical/Artifacts/Obsolete/Obsolete_RuneCarvingKnife.cs; backlog risk category=VersionHandling; write count=1; read count=1. POST-BATCH-J is triage only; no serialized layout edit is approved by this row.</t>
  </si>
  <si>
    <t>RB-00899</t>
  </si>
  <si>
    <t>P10-F00899</t>
  </si>
  <si>
    <t>Data/Scripts/Items/Magical/Artifacts/Obsolete/Obsolete_SamuraiHelm.cs</t>
  </si>
  <si>
    <t>PBJ-0660</t>
  </si>
  <si>
    <t>Current source file exists at Data/Scripts/Items/Magical/Artifacts/Obsolete/Obsolete_SamuraiHelm.cs; match=ExactFileClass; serializer evidence=Serialize:L54;Deserialize:L61;SerialCtor:L51; class=Server.Items.SamuraiHelm;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</si>
  <si>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path=Data/Scripts/Items/Magical/Artifacts/Obsolete/Obsolete_SamuraiHelm.cs; backlog risk category=VersionHandling; write count=1; read count=1. POST-BATCH-J is triage only; no serialized layout edit is approved by this row.</t>
  </si>
  <si>
    <t>RB-00900</t>
  </si>
  <si>
    <t>P10-F00900</t>
  </si>
  <si>
    <t>Data/Scripts/Items/Magical/Artifacts/Obsolete/Obsolete_ShaminoCrossbow.cs</t>
  </si>
  <si>
    <t>PBJ-0661</t>
  </si>
  <si>
    <t>Current source file exists at Data/Scripts/Items/Magical/Artifacts/Obsolete/Obsolete_ShaminoCrossbow.cs; match=ExactFileClass; serializer evidence=Serialize:L26;Deserialize:L33;SerialCtor:L23; class=Server.Items.ShaMontorrossbow;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</si>
  <si>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path=Data/Scripts/Items/Magical/Artifacts/Obsolete/Obsolete_ShaminoCrossbow.cs; backlog risk category=VersionHandling; write count=1; read count=1. POST-BATCH-J is triage only; no serialized layout edit is approved by this row.</t>
  </si>
  <si>
    <t>RB-00901</t>
  </si>
  <si>
    <t>P10-F00901</t>
  </si>
  <si>
    <t>Data/Scripts/Items/Magical/Artifacts/Obsolete/Obsolete_ShardTrasher.cs</t>
  </si>
  <si>
    <t>PBJ-0662</t>
  </si>
  <si>
    <t>Current source file exists at Data/Scripts/Items/Magical/Artifacts/Obsolete/Obsolete_ShardTrasher.cs; match=ExactFileClass; serializer evidence=Serialize:L36;Deserialize:L43;SerialCtor:L33; class=Server.Items.ShardThrasher;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</si>
  <si>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path=Data/Scripts/Items/Magical/Artifacts/Obsolete/Obsolete_ShardTrasher.cs; backlog risk category=VersionHandling; write count=1; read count=1. POST-BATCH-J is triage only; no serialized layout edit is approved by this row.</t>
  </si>
  <si>
    <t>RB-00902</t>
  </si>
  <si>
    <t>P10-F00902</t>
  </si>
  <si>
    <t>Data/Scripts/Items/Magical/Artifacts/Obsolete/Obsolete_SilvanisFeywoodBow.cs</t>
  </si>
  <si>
    <t>PBJ-0663</t>
  </si>
  <si>
    <t>Current source file exists at Data/Scripts/Items/Magical/Artifacts/Obsolete/Obsolete_SilvanisFeywoodBow.cs; match=ExactFileClass; serializer evidence=Serialize:L50;Deserialize:L57;SerialCtor:L47; class=Server.Items.SilvanisFeywoodBow;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</si>
  <si>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path=Data/Scripts/Items/Magical/Artifacts/Obsolete/Obsolete_SilvanisFeywoodBow.cs; backlog risk category=VersionHandling; write count=1; read count=1. POST-BATCH-J is triage only; no serialized layout edit is approved by this row.</t>
  </si>
  <si>
    <t>RB-00903</t>
  </si>
  <si>
    <t>P10-F00903</t>
  </si>
  <si>
    <t>Data/Scripts/Items/Magical/Artifacts/Obsolete/Obsolete_SongWovenMantle.cs</t>
  </si>
  <si>
    <t>PBJ-0664</t>
  </si>
  <si>
    <t>Current source file exists at Data/Scripts/Items/Magical/Artifacts/Obsolete/Obsolete_SongWovenMantle.cs; match=ExactFileClass; serializer evidence=Serialize:L40;Deserialize:L47;SerialCtor:L37; class=Server.Items.SongWovenMantle;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</si>
  <si>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path=Data/Scripts/Items/Magical/Artifacts/Obsolete/Obsolete_SongWovenMantle.cs; backlog risk category=VersionHandling; write count=1; read count=1. POST-BATCH-J is triage only; no serialized layout edit is approved by this row.</t>
  </si>
  <si>
    <t>RB-00904</t>
  </si>
  <si>
    <t>P10-F00904</t>
  </si>
  <si>
    <t>Data/Scripts/Items/Magical/Artifacts/Obsolete/Obsolete_SoulSeeker.cs</t>
  </si>
  <si>
    <t>PBJ-0665</t>
  </si>
  <si>
    <t>Current source file exists at Data/Scripts/Items/Magical/Artifacts/Obsolete/Obsolete_SoulSeeker.cs; match=ExactFileClass; serializer evidence=Serialize:L61;Deserialize:L68;SerialCtor:L58; class=Server.Items.SoulSeeker;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</si>
  <si>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path=Data/Scripts/Items/Magical/Artifacts/Obsolete/Obsolete_SoulSeeker.cs; backlog risk category=VersionHandling; write count=1; read count=1. POST-BATCH-J is triage only; no serialized layout edit is approved by this row.</t>
  </si>
  <si>
    <t>RB-00905</t>
  </si>
  <si>
    <t>P10-F00905</t>
  </si>
  <si>
    <t>Data/Scripts/Items/Magical/Artifacts/Obsolete/Obsolete_SpellWovenBritches.cs</t>
  </si>
  <si>
    <t>PBJ-0666</t>
  </si>
  <si>
    <t>Current source file exists at Data/Scripts/Items/Magical/Artifacts/Obsolete/Obsolete_SpellWovenBritches.cs; match=ExactFileClass; serializer evidence=Serialize:L37;Deserialize:L44;SerialCtor:L34; class=Server.Items.SpellWovenBritches;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</si>
  <si>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path=Data/Scripts/Items/Magical/Artifacts/Obsolete/Obsolete_SpellWovenBritches.cs; backlog risk category=VersionHandling; write count=1; read count=1. POST-BATCH-J is triage only; no serialized layout edit is approved by this row.</t>
  </si>
  <si>
    <t>RB-00906</t>
  </si>
  <si>
    <t>P10-F00906</t>
  </si>
  <si>
    <t>Data/Scripts/Items/Magical/Artifacts/Obsolete/Obsolete_StitchersMittens.cs</t>
  </si>
  <si>
    <t>PBJ-0667</t>
  </si>
  <si>
    <t>Current source file exists at Data/Scripts/Items/Magical/Artifacts/Obsolete/Obsolete_StitchersMittens.cs; match=ExactFileClass; serializer evidence=Serialize:L36;Deserialize:L43;SerialCtor:L33; class=Server.Items.StitchersMittens;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</si>
  <si>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path=Data/Scripts/Items/Magical/Artifacts/Obsolete/Obsolete_StitchersMittens.cs; backlog risk category=VersionHandling; write count=1; read count=1. POST-BATCH-J is triage only; no serialized layout edit is approved by this row.</t>
  </si>
  <si>
    <t>RB-00907</t>
  </si>
  <si>
    <t>P10-F00907</t>
  </si>
  <si>
    <t>Data/Scripts/Items/Magical/Artifacts/Obsolete/Obsolete_TalonBite.cs</t>
  </si>
  <si>
    <t>PBJ-0668</t>
  </si>
  <si>
    <t>Current source file exists at Data/Scripts/Items/Magical/Artifacts/Obsolete/Obsolete_TalonBite.cs; match=ExactFileClass; serializer evidence=Serialize:L49;Deserialize:L56;SerialCtor:L46; class=Server.Items.TalonBite;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</si>
  <si>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path=Data/Scripts/Items/Magical/Artifacts/Obsolete/Obsolete_TalonBite.cs; backlog risk category=VersionHandling; write count=1; read count=1. POST-BATCH-J is triage only; no serialized layout edit is approved by this row.</t>
  </si>
  <si>
    <t>RB-00908</t>
  </si>
  <si>
    <t>P10-F00908</t>
  </si>
  <si>
    <t>Data/Scripts/Items/Magical/Artifacts/Obsolete/Obsolete_WildfireBow.cs</t>
  </si>
  <si>
    <t>PBJ-0669</t>
  </si>
  <si>
    <t>Current source file exists at Data/Scripts/Items/Magical/Artifacts/Obsolete/Obsolete_WildfireBow.cs; match=ExactFileClass; serializer evidence=Serialize:L59;Deserialize:L66;SerialCtor:L56; class=Server.Items.WildfireBow;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</si>
  <si>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path=Data/Scripts/Items/Magical/Artifacts/Obsolete/Obsolete_WildfireBow.cs; backlog risk category=VersionHandling; write count=1; read count=1. POST-BATCH-J is triage only; no serialized layout edit is approved by this row.</t>
  </si>
  <si>
    <t>RB-00909</t>
  </si>
  <si>
    <t>P10-F00909</t>
  </si>
  <si>
    <t>Data/Scripts/Items/Magical/Artifacts/Obsolete/Obsolete_Windsong.cs</t>
  </si>
  <si>
    <t>PBJ-0670</t>
  </si>
  <si>
    <t>Current source file exists at Data/Scripts/Items/Magical/Artifacts/Obsolete/Obsolete_Windsong.cs; match=ExactFileClass; serializer evidence=Serialize:L46;Deserialize:L53;SerialCtor:L43; class=Server.Items.Windsong;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</si>
  <si>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path=Data/Scripts/Items/Magical/Artifacts/Obsolete/Obsolete_Windsong.cs; backlog risk category=VersionHandling; write count=1; read count=1. POST-BATCH-J is triage only; no serialized layout edit is approved by this row.</t>
  </si>
  <si>
    <t>RB-00910</t>
  </si>
  <si>
    <t>P10-F00910</t>
  </si>
  <si>
    <t>Data/Scripts/Items/Magical/Artifacts/Specific/HydrosLexicon.cs</t>
  </si>
  <si>
    <t>PBJ-0671</t>
  </si>
  <si>
    <t>Current source file exists at Data/Scripts/Items/Magical/Artifacts/Specific/HydrosLexicon.cs; match=ExactFileClass; serializer evidence=Serialize:L61;Deserialize:L67;SerialCtor:L58; class=Server.Items.Artifact_HydrosLexicon;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</si>
  <si>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path=Data/Scripts/Items/Magical/Artifacts/Specific/HydrosLexicon.cs; backlog risk category=VersionHandling; write count=1; read count=1. POST-BATCH-J is triage only; no serialized layout edit is approved by this row.</t>
  </si>
  <si>
    <t>RB-00911</t>
  </si>
  <si>
    <t>P10-F00911</t>
  </si>
  <si>
    <t>Data/Scripts/Items/Magical/Artifacts/Specific/LithosTome.cs</t>
  </si>
  <si>
    <t>PBJ-0672</t>
  </si>
  <si>
    <t>Current source file exists at Data/Scripts/Items/Magical/Artifacts/Specific/LithosTome.cs; match=ExactFileClass; serializer evidence=Serialize:L61;Deserialize:L67;SerialCtor:L58; class=Server.Items.Artifact_LithosTome;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</si>
  <si>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path=Data/Scripts/Items/Magical/Artifacts/Specific/LithosTome.cs; backlog risk category=VersionHandling; write count=1; read count=1. POST-BATCH-J is triage only; no serialized layout edit is approved by this row.</t>
  </si>
  <si>
    <t>RB-00912</t>
  </si>
  <si>
    <t>P10-F00912</t>
  </si>
  <si>
    <t>Data/Scripts/Items/Magical/Artifacts/Specific/OssianGrimoire.cs</t>
  </si>
  <si>
    <t>PBJ-0673</t>
  </si>
  <si>
    <t>Current source file exists at Data/Scripts/Items/Magical/Artifacts/Specific/OssianGrimoire.cs; match=ExactFileClass; serializer evidence=Serialize:L36;Deserialize:L42;SerialCtor:L33; class=Server.Items.Artifact_OssianGrimoire;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</si>
  <si>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path=Data/Scripts/Items/Magical/Artifacts/Specific/OssianGrimoire.cs; backlog risk category=VersionHandling; write count=1; read count=1. POST-BATCH-J is triage only; no serialized layout edit is approved by this row.</t>
  </si>
  <si>
    <t>RB-00913</t>
  </si>
  <si>
    <t>P10-F00913</t>
  </si>
  <si>
    <t>Data/Scripts/Items/Magical/Artifacts/Specific/PyrosGrimoire.cs</t>
  </si>
  <si>
    <t>PBJ-0674</t>
  </si>
  <si>
    <t>Current source file exists at Data/Scripts/Items/Magical/Artifacts/Specific/PyrosGrimoire.cs; match=ExactFileClass; serializer evidence=Serialize:L61;Deserialize:L67;SerialCtor:L58; class=Server.Items.Artifact_PyrosGrimoire;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</si>
  <si>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path=Data/Scripts/Items/Magical/Artifacts/Specific/PyrosGrimoire.cs; backlog risk category=VersionHandling; write count=1; read count=1. POST-BATCH-J is triage only; no serialized layout edit is approved by this row.</t>
  </si>
  <si>
    <t>RB-00914</t>
  </si>
  <si>
    <t>P10-F00914</t>
  </si>
  <si>
    <t>Data/Scripts/Items/Magical/Artifacts/Specific/QuiverOfBlight.cs</t>
  </si>
  <si>
    <t>PBJ-0675</t>
  </si>
  <si>
    <t>Current source file exists at Data/Scripts/Items/Magical/Artifacts/Specific/QuiverOfBlight.cs; match=ExactFileClass; serializer evidence=Serialize:L45;Deserialize:L52;SerialCtor:L28; class=Server.Items.QuiverOfBlight;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</si>
  <si>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path=Data/Scripts/Items/Magical/Artifacts/Specific/QuiverOfBlight.cs; backlog risk category=VersionHandling; write count=1; read count=1. POST-BATCH-J is triage only; no serialized layout edit is approved by this row.</t>
  </si>
  <si>
    <t>RB-00915</t>
  </si>
  <si>
    <t>P10-F00915</t>
  </si>
  <si>
    <t>Data/Scripts/Items/Magical/Artifacts/Specific/QuiverOfElements.cs</t>
  </si>
  <si>
    <t>PBJ-0676</t>
  </si>
  <si>
    <t>Current source file exists at Data/Scripts/Items/Magical/Artifacts/Specific/QuiverOfElements.cs; match=ExactFileClass; serializer evidence=Serialize:L49;Deserialize:L56;SerialCtor:L29; class=Server.Items.QuiverOfElements;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</si>
  <si>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path=Data/Scripts/Items/Magical/Artifacts/Specific/QuiverOfElements.cs; backlog risk category=VersionHandling; write count=1; read count=1. POST-BATCH-J is triage only; no serialized layout edit is approved by this row.</t>
  </si>
  <si>
    <t>RB-00916</t>
  </si>
  <si>
    <t>P10-F00916</t>
  </si>
  <si>
    <t>Data/Scripts/Items/Magical/Artifacts/Specific/QuiverOfFire.cs</t>
  </si>
  <si>
    <t>PBJ-0677</t>
  </si>
  <si>
    <t>Current source file exists at Data/Scripts/Items/Magical/Artifacts/Specific/QuiverOfFire.cs; match=ExactFileClass; serializer evidence=Serialize:L45;Deserialize:L51;SerialCtor:L28; class=Server.Items.QuiverOfFire;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</si>
  <si>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path=Data/Scripts/Items/Magical/Artifacts/Specific/QuiverOfFire.cs; backlog risk category=VersionHandling; write count=1; read count=1. POST-BATCH-J is triage only; no serialized layout edit is approved by this row.</t>
  </si>
  <si>
    <t>RB-00917</t>
  </si>
  <si>
    <t>P10-F00917</t>
  </si>
  <si>
    <t>Data/Scripts/Items/Magical/Artifacts/Specific/QuiverOfIce.cs</t>
  </si>
  <si>
    <t>PBJ-0678</t>
  </si>
  <si>
    <t>Current source file exists at Data/Scripts/Items/Magical/Artifacts/Specific/QuiverOfIce.cs; match=ExactFileClass; serializer evidence=Serialize:L45;Deserialize:L52;SerialCtor:L28; class=Server.Items.QuiverOfIce;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</si>
  <si>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path=Data/Scripts/Items/Magical/Artifacts/Specific/QuiverOfIce.cs; backlog risk category=VersionHandling; write count=1; read count=1. POST-BATCH-J is triage only; no serialized layout edit is approved by this row.</t>
  </si>
  <si>
    <t>RB-00918</t>
  </si>
  <si>
    <t>P10-F00918</t>
  </si>
  <si>
    <t>Data/Scripts/Items/Magical/Artifacts/Specific/QuiverOfInfinity.cs</t>
  </si>
  <si>
    <t>PBJ-0679</t>
  </si>
  <si>
    <t>Current source file exists at Data/Scripts/Items/Magical/Artifacts/Specific/QuiverOfInfinity.cs; match=ExactFileClass; serializer evidence=Serialize:L33;Deserialize:L40;SerialCtor:L30; class=Server.Items.QuiverOfInfinity;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</si>
  <si>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path=Data/Scripts/Items/Magical/Artifacts/Specific/QuiverOfInfinity.cs; backlog risk category=VersionHandling; write count=1; read count=1. POST-BATCH-J is triage only; no serialized layout edit is approved by this row.</t>
  </si>
  <si>
    <t>RB-00919</t>
  </si>
  <si>
    <t>P10-F00919</t>
  </si>
  <si>
    <t>Data/Scripts/Items/Magical/Artifacts/Specific/QuiverOfLightning.cs</t>
  </si>
  <si>
    <t>PBJ-0680</t>
  </si>
  <si>
    <t>Current source file exists at Data/Scripts/Items/Magical/Artifacts/Specific/QuiverOfLightning.cs; match=ExactFileClass; serializer evidence=Serialize:L45;Deserialize:L52;SerialCtor:L28; class=Server.Items.QuiverOfLightning;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</si>
  <si>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path=Data/Scripts/Items/Magical/Artifacts/Specific/QuiverOfLightning.cs; backlog risk category=VersionHandling; write count=1; read count=1. POST-BATCH-J is triage only; no serialized layout edit is approved by this row.</t>
  </si>
  <si>
    <t>RB-00920</t>
  </si>
  <si>
    <t>P10-F00920</t>
  </si>
  <si>
    <t>Data/Scripts/Items/Magical/Artifacts/Specific/QuiverOfRage.cs</t>
  </si>
  <si>
    <t>PBJ-0681</t>
  </si>
  <si>
    <t>Current source file exists at Data/Scripts/Items/Magical/Artifacts/Specific/QuiverOfRage.cs; match=ExactFileClass; serializer evidence=Serialize:L50;Deserialize:L57;SerialCtor:L33; class=Server.Items.QuiverOfRage;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</si>
  <si>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path=Data/Scripts/Items/Magical/Artifacts/Specific/QuiverOfRage.cs; backlog risk category=VersionHandling; write count=1; read count=1. POST-BATCH-J is triage only; no serialized layout edit is approved by this row.</t>
  </si>
  <si>
    <t>RB-00921</t>
  </si>
  <si>
    <t>P10-F00921</t>
  </si>
  <si>
    <t>Data/Scripts/Items/Magical/Artifacts/Specific/StratosManual.cs</t>
  </si>
  <si>
    <t>PBJ-0682</t>
  </si>
  <si>
    <t>Current source file exists at Data/Scripts/Items/Magical/Artifacts/Specific/StratosManual.cs; match=ExactFileClass; serializer evidence=Serialize:L61;Deserialize:L67;SerialCtor:L58; class=Server.Items.Artifact_StratosManual;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</si>
  <si>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path=Data/Scripts/Items/Magical/Artifacts/Specific/StratosManual.cs; backlog risk category=VersionHandling; write count=1; read count=1. POST-BATCH-J is triage only; no serialized layout edit is approved by this row.</t>
  </si>
  <si>
    <t>RB-00922</t>
  </si>
  <si>
    <t>P10-F00922</t>
  </si>
  <si>
    <t>Data/Scripts/Items/Magical/Gifts/Armor/BaseGiftArmor.cs</t>
  </si>
  <si>
    <t>PBU-0014</t>
  </si>
  <si>
    <t>POST-BATCH-N lane=POST-BATCH-N-SAVE-MIGRATION-PLAN; FileProofStatus=CurrentPathConfirmed; Class=Server.Items.BaseGiftArmor;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</si>
  <si>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RB-00923</t>
  </si>
  <si>
    <t>P10-F00923</t>
  </si>
  <si>
    <t>Data/Scripts/Items/Magical/Gifts/Armor/Helmets/GiftCirclet.cs</t>
  </si>
  <si>
    <t>PBJ-0684</t>
  </si>
  <si>
    <t>Current source file exists at Data/Scripts/Items/Magical/Gifts/Armor/Helmets/GiftCirclet.cs; match=ExactFileClass; serializer evidence=Serialize:L74;Deserialize:L81;SerialCtor:L71; class=Server.Items.GiftCirclet;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</si>
  <si>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path=Data/Scripts/Items/Magical/Gifts/Armor/Helmets/GiftCirclet.cs; backlog risk category=VersionHandling; write count=1; read count=1. POST-BATCH-J is triage only; no serialized layout edit is approved by this row.</t>
  </si>
  <si>
    <t>RB-00925</t>
  </si>
  <si>
    <t>P10-F00925</t>
  </si>
  <si>
    <t>Data/Scripts/Items/Magical/Gifts/Armor/Leather/GiftOniwabanGloves.cs</t>
  </si>
  <si>
    <t>PBJ-0685</t>
  </si>
  <si>
    <t>Current source file exists at Data/Scripts/Items/Magical/Gifts/Armor/Leather/GiftOniwabanGloves.cs; match=ExactFileClass; serializer evidence=Serialize:L17;Deserialize:L23;SerialCtor:L14;VersionWrite:L20;VersionRead:L26; class=Server.Items.GiftOniwabanGloves;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</si>
  <si>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path=Data/Scripts/Items/Magical/Gifts/Armor/Leather/GiftOniwabanGloves.cs; backlog risk category=VersionHandling; write count=1; read count=1. POST-BATCH-J is triage only; no serialized layout edit is approved by this row.</t>
  </si>
  <si>
    <t>RB-00926</t>
  </si>
  <si>
    <t>P10-F00926</t>
  </si>
  <si>
    <t>Data/Scripts/Items/Magical/Gifts/Armor/Royal/GiftRoyalBoots.cs</t>
  </si>
  <si>
    <t>PBJ-0686</t>
  </si>
  <si>
    <t>Current source file exists at Data/Scripts/Items/Magical/Gifts/Armor/Royal/GiftRoyalBoots.cs; match=ExactFileClass; serializer evidence=Serialize:L20;Deserialize:L26;SerialCtor:L17;VersionWrite:L23;VersionRead:L29; class=Server.Items.GiftRoyalBoots;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</si>
  <si>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path=Data/Scripts/Items/Magical/Gifts/Armor/Royal/GiftRoyalBoots.cs; backlog risk category=VersionHandling; write count=1; read count=1. POST-BATCH-J is triage only; no serialized layout edit is approved by this row.</t>
  </si>
  <si>
    <t>RB-00927</t>
  </si>
  <si>
    <t>P10-F00927</t>
  </si>
  <si>
    <t>Data/Scripts/Items/Magical/Gifts/Clothing/BaseGiftClothing.cs</t>
  </si>
  <si>
    <t>PBU-0015</t>
  </si>
  <si>
    <t>POST-BATCH-N lane=POST-BATCH-N-SAVE-MIGRATION-PLAN; FileProofStatus=CurrentPathConfirmed; Class=Server.Items.BaseGiftClothing; Serialize=L44; Reader=DeserializeMethod:L55; RegisterBase=BaseCallsFirst; RegisterVersion=SuspiciousOrder; RegisterAlignment=CountMatchNeedsTypeReview:UnknownWrites=4; Writes=5; Reads=5; WriteEvidence=L48:Write((int)1)) | L49:Write(m_Owner)) | L50:Write(m_Gifter)) | L51:Write(m_How)) | L52:Write(m_Points)); ReadEvidence=L59:ReadInt | L60:ReadMobile | L61:ReadString | L62:ReadString | L63:ReadInt; POST-BATCH-U direct source review=ScannerAmbiguityFalsePositive</t>
  </si>
  <si>
    <t>RB-00931</t>
  </si>
  <si>
    <t>P10-F00931</t>
  </si>
  <si>
    <t>PBJ-0688</t>
  </si>
  <si>
    <t>Current source file exists at Data/Scripts/Items/Magical/Gifts/Clothing/GiftShoes.cs; match=ExactFileClass; serializer evidence=Serialize:L454;Deserialize:L461;SerialCtor:L451; class=Server.Items.GiftElvenBoots;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</si>
  <si>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path=Data/Scripts/Items/Magical/Gifts/Clothing/GiftShoes.cs; backlog risk category=VersionHandling; write count=1; read count=1. POST-BATCH-J is triage only; no serialized layout edit is approved by this row.</t>
  </si>
  <si>
    <t>RB-00933</t>
  </si>
  <si>
    <t>P10-F00933</t>
  </si>
  <si>
    <t>Data/Scripts/Items/Magical/Gifts/Clothing/GiftWaist.cs</t>
  </si>
  <si>
    <t>PBJ-0689</t>
  </si>
  <si>
    <t>Current source file exists at Data/Scripts/Items/Magical/Gifts/Clothing/GiftWaist.cs; match=ExactFileClass; serializer evidence=Serialize:L113;Deserialize:L120;SerialCtor:L110; class=Server.Items.GiftWoodlandBelt;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</si>
  <si>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path=Data/Scripts/Items/Magical/Gifts/Clothing/GiftWaist.cs; backlog risk category=VersionHandling; write count=1; read count=1. POST-BATCH-J is triage only; no serialized layout edit is approved by this row.</t>
  </si>
  <si>
    <t>RB-00934</t>
  </si>
  <si>
    <t>P10-F00934</t>
  </si>
  <si>
    <t>Data/Scripts/Items/Magical/Gifts/Jewels/BaseGiftJewel.cs</t>
  </si>
  <si>
    <t>PBU-0016</t>
  </si>
  <si>
    <t>POST-BATCH-N lane=POST-BATCH-N-SAVE-MIGRATION-PLAN; FileProofStatus=CurrentPathConfirmed; Class=Server.Items.BaseGiftJewel;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</si>
  <si>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RB-00935</t>
  </si>
  <si>
    <t>P10-F00935</t>
  </si>
  <si>
    <t>Data/Scripts/Items/Magical/Gifts/Jewels/MagicBelt.cs</t>
  </si>
  <si>
    <t>PBJ-0691</t>
  </si>
  <si>
    <t>Current source file exists at Data/Scripts/Items/Magical/Gifts/Jewels/MagicBelt.cs; match=ExactFileClass; serializer evidence=Serialize:L23;Deserialize:L29;SerialCtor:L20;VersionWrite:L26;VersionRead:L32; class=Server.Items.GiftBelt;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</si>
  <si>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path=Data/Scripts/Items/Magical/Gifts/Jewels/MagicBelt.cs; backlog risk category=VersionHandling; write count=1; read count=1. POST-BATCH-J is triage only; no serialized layout edit is approved by this row.</t>
  </si>
  <si>
    <t>RB-00936</t>
  </si>
  <si>
    <t>P10-F00936</t>
  </si>
  <si>
    <t>PBJ-0692</t>
  </si>
  <si>
    <t>Current source file exists at Data/Scripts/Items/Magical/Gifts/Jewels/MagicBelt.cs; match=ExactFileClass; serializer evidence=Serialize:L53;Deserialize:L59;SerialCtor:L50;VersionWrite:L56;VersionRead:L62; class=Server.Items.GiftLoinCloth; kind=Item; HasSerialConstructor=True; BaseCallStatus=BaseCallsFirst; VersionHandling=SuspiciousOrder; FieldAlignment=AlignedByCountAndKnownTypes; MoveRenameRisk=NamespaceOrTypeRenameDanger; ReviewStatus=NeedsSourceReview; ReviewReasons=SuspiciousOrder</t>
  </si>
  <si>
    <t>RB-00937</t>
  </si>
  <si>
    <t>P10-F00937</t>
  </si>
  <si>
    <t>Data/Scripts/Items/Magical/Gifts/Jewels/MagicCandle.cs</t>
  </si>
  <si>
    <t>PBJ-0693</t>
  </si>
  <si>
    <t>Current source file exists at Data/Scripts/Items/Magical/Gifts/Jewels/MagicCandle.cs; match=ExactFileClass; serializer evidence=Serialize:L85;Deserialize:L91;SerialCtor:L82;VersionWrite:L88;VersionRead:L94; class=Server.Items.GiftCandle;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</si>
  <si>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path=Data/Scripts/Items/Magical/Gifts/Jewels/MagicCandle.cs; backlog risk category=VersionHandling; write count=1; read count=1. POST-BATCH-J is triage only; no serialized layout edit is approved by this row.</t>
  </si>
  <si>
    <t>RB-00938</t>
  </si>
  <si>
    <t>P10-F00938</t>
  </si>
  <si>
    <t>Data/Scripts/Items/Magical/Gifts/Jewels/MagicLantern.cs</t>
  </si>
  <si>
    <t>PBJ-0694</t>
  </si>
  <si>
    <t>Current source file exists at Data/Scripts/Items/Magical/Gifts/Jewels/MagicLantern.cs; match=ExactFileClass; serializer evidence=Serialize:L85;Deserialize:L91;SerialCtor:L82;VersionWrite:L88;VersionRead:L94; class=Server.Items.GiftLantern;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</si>
  <si>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path=Data/Scripts/Items/Magical/Gifts/Jewels/MagicLantern.cs; backlog risk category=VersionHandling; write count=1; read count=1. POST-BATCH-J is triage only; no serialized layout edit is approved by this row.</t>
  </si>
  <si>
    <t>RB-00939</t>
  </si>
  <si>
    <t>P10-F00939</t>
  </si>
  <si>
    <t>Data/Scripts/Items/Magical/Gifts/Jewels/MagicSash.cs</t>
  </si>
  <si>
    <t>PBJ-0695</t>
  </si>
  <si>
    <t>Current source file exists at Data/Scripts/Items/Magical/Gifts/Jewels/MagicSash.cs; match=ExactFileClass; serializer evidence=Serialize:L23;Deserialize:L29;SerialCtor:L20;VersionWrite:L26;VersionRead:L32; class=Server.Items.GiftSash;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</si>
  <si>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path=Data/Scripts/Items/Magical/Gifts/Jewels/MagicSash.cs; backlog risk category=VersionHandling; write count=1; read count=1. POST-BATCH-J is triage only; no serialized layout edit is approved by this row.</t>
  </si>
  <si>
    <t>RB-00940</t>
  </si>
  <si>
    <t>P10-F00940</t>
  </si>
  <si>
    <t>Data/Scripts/Items/Magical/Gifts/Jewels/MagicTalisman.cs</t>
  </si>
  <si>
    <t>PBJ-0696</t>
  </si>
  <si>
    <t>Current source file exists at Data/Scripts/Items/Magical/Gifts/Jewels/MagicTalisman.cs; match=ExactFileClass; serializer evidence=Serialize:L113;Deserialize:L119;SerialCtor:L110;VersionWrite:L116;VersionRead:L122; class=Server.Items.GiftTalismanHoly;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</si>
  <si>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path=Data/Scripts/Items/Magical/Gifts/Jewels/MagicTalisman.cs; backlog risk category=VersionHandling; write count=1; read count=1. POST-BATCH-J is triage only; no serialized layout edit is approved by this row.</t>
  </si>
  <si>
    <t>RB-00941</t>
  </si>
  <si>
    <t>P10-F00941</t>
  </si>
  <si>
    <t>PBJ-0697</t>
  </si>
  <si>
    <t>Current source file exists at Data/Scripts/Items/Magical/Gifts/Jewels/MagicTalisman.cs; match=ExactFileClass; serializer evidence=Serialize:L23;Deserialize:L29;SerialCtor:L20;VersionWrite:L26;VersionRead:L32; class=Server.Items.GiftTalismanLeather; kind=Item; HasSerialConstructor=True; BaseCallStatus=BaseCallsFirst; VersionHandling=SuspiciousOrder; FieldAlignment=AlignedByCountAndKnownTypes; MoveRenameRisk=NamespaceOrTypeRenameDanger; ReviewStatus=NeedsSourceReview; ReviewReasons=SuspiciousOrder</t>
  </si>
  <si>
    <t>RB-00942</t>
  </si>
  <si>
    <t>P10-F00942</t>
  </si>
  <si>
    <t>PBJ-0698</t>
  </si>
  <si>
    <t>Current source file exists at Data/Scripts/Items/Magical/Gifts/Jewels/MagicTalisman.cs; match=ExactFileClass; serializer evidence=Serialize:L53;Deserialize:L59;SerialCtor:L50;VersionWrite:L56;VersionRead:L62; class=Server.Items.GiftTalismanSnake; kind=Item; HasSerialConstructor=True; BaseCallStatus=BaseCallsFirst; VersionHandling=SuspiciousOrder; FieldAlignment=AlignedByCountAndKnownTypes; MoveRenameRisk=NamespaceOrTypeRenameDanger; ReviewStatus=NeedsSourceReview; ReviewReasons=SuspiciousOrder</t>
  </si>
  <si>
    <t>RB-00943</t>
  </si>
  <si>
    <t>P10-F00943</t>
  </si>
  <si>
    <t>PBJ-0699</t>
  </si>
  <si>
    <t>Current source file exists at Data/Scripts/Items/Magical/Gifts/Jewels/MagicTalisman.cs; match=ExactFileClass; serializer evidence=Serialize:L83;Deserialize:L89;SerialCtor:L80;VersionWrite:L86;VersionRead:L92; class=Server.Items.GiftTalismanTotem; kind=Item; HasSerialConstructor=True; BaseCallStatus=BaseCallsFirst; VersionHandling=SuspiciousOrder; FieldAlignment=AlignedByCountAndKnownTypes; MoveRenameRisk=NamespaceOrTypeRenameDanger; ReviewStatus=NeedsSourceReview; ReviewReasons=SuspiciousOrder</t>
  </si>
  <si>
    <t>RB-00944</t>
  </si>
  <si>
    <t>P10-F00944</t>
  </si>
  <si>
    <t>Data/Scripts/Items/Magical/Gifts/Jewels/MagicTorch.cs</t>
  </si>
  <si>
    <t>PBJ-0700</t>
  </si>
  <si>
    <t>Current source file exists at Data/Scripts/Items/Magical/Gifts/Jewels/MagicTorch.cs; match=ExactFileClass; serializer evidence=Serialize:L85;Deserialize:L91;SerialCtor:L82;VersionWrite:L88;VersionRead:L94; class=Server.Items.GiftTorch;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</si>
  <si>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path=Data/Scripts/Items/Magical/Gifts/Jewels/MagicTorch.cs; backlog risk category=VersionHandling; write count=1; read count=1. POST-BATCH-J is triage only; no serialized layout edit is approved by this row.</t>
  </si>
  <si>
    <t>RB-00945</t>
  </si>
  <si>
    <t>P10-F00945</t>
  </si>
  <si>
    <t>Data/Scripts/Items/Magical/Gifts/Shields/BaseGiftShield.cs</t>
  </si>
  <si>
    <t>PBU-0017</t>
  </si>
  <si>
    <t>POST-BATCH-N lane=POST-BATCH-N-SAVE-MIGRATION-PLAN; FileProofStatus=CurrentPathConfirmed; Class=Server.Items.BaseGiftShield;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</si>
  <si>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RB-00946</t>
  </si>
  <si>
    <t>P10-F00946</t>
  </si>
  <si>
    <t>Data/Scripts/Items/Magical/Gifts/Weapons/Axes/BaseGiftAxe.cs</t>
  </si>
  <si>
    <t>PBU-0018</t>
  </si>
  <si>
    <t>POST-BATCH-N lane=POST-BATCH-N-SAVE-MIGRATION-PLAN; FileProofStatus=CurrentPathConfirmed; Class=Server.Items.BaseGiftAxe;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</si>
  <si>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RB-00947</t>
  </si>
  <si>
    <t>P10-F00947</t>
  </si>
  <si>
    <t>Data/Scripts/Items/Magical/Gifts/Weapons/Knives/BaseGiftKnife.cs</t>
  </si>
  <si>
    <t>PBU-0019</t>
  </si>
  <si>
    <t>POST-BATCH-N lane=POST-BATCH-N-SAVE-MIGRATION-PLAN; FileProofStatus=CurrentPathConfirmed; Class=Server.Items.BaseGiftKnife;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</si>
  <si>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RB-00948</t>
  </si>
  <si>
    <t>P10-F00948</t>
  </si>
  <si>
    <t>Data/Scripts/Items/Magical/Gifts/Weapons/Maces/BaseGiftBashing.cs</t>
  </si>
  <si>
    <t>PBU-0020</t>
  </si>
  <si>
    <t>POST-BATCH-N lane=POST-BATCH-N-SAVE-MIGRATION-PLAN; FileProofStatus=CurrentPathConfirmed; Class=Server.Items.BaseGiftBashing;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</si>
  <si>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RB-00949</t>
  </si>
  <si>
    <t>P10-F00949</t>
  </si>
  <si>
    <t>Data/Scripts/Items/Magical/Gifts/Weapons/Maces/BaseGiftWhip.cs</t>
  </si>
  <si>
    <t>PBU-0021</t>
  </si>
  <si>
    <t>POST-BATCH-N lane=POST-BATCH-N-SAVE-MIGRATION-PLAN; FileProofStatus=CurrentPathConfirmed; Class=Server.Items.BaseGiftWhip; Serialize=L46; Reader=DeserializeMethod:L57; RegisterBase=BaseCallsFirst; RegisterVersion=SuspiciousOrder; RegisterAlignment=CountMatchNeedsTypeReview:UnknownWrites=4; Writes=5; Reads=5; WriteEvidence=L50:Write((int)1)) | L51:Write(m_Owner)) | L52:Write(m_Gifter)) | L53:Write(m_How)) | L54:Write(m_Points)); ReadEvidence=L61:ReadInt | L62:ReadMobile | L63:ReadString | L64:ReadString | L65:ReadInt; POST-BATCH-U direct source review=ScannerAmbiguityFalsePositive</t>
  </si>
  <si>
    <t>RB-00950</t>
  </si>
  <si>
    <t>P10-F00950</t>
  </si>
  <si>
    <t>Data/Scripts/Items/Magical/Gifts/Weapons/ML Weapons/GiftAssassinSpike.cs</t>
  </si>
  <si>
    <t>PBJ-0706</t>
  </si>
  <si>
    <t>Current source file exists at Data/Scripts/Items/Magical/Gifts/Weapons/ML Weapons/GiftAssassinSpike.cs; match=ExactFileClass; serializer evidence=Serialize:L98;Deserialize:L105;SerialCtor:L95; class=Server.Items.GiftAssassinSpike;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</si>
  <si>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Weapons/GiftAssassinSpike.cs; backlog risk category=VersionHandling; write count=1; read count=1. POST-BATCH-J is triage only; no serialized layout edit is approved by this row.</t>
  </si>
  <si>
    <t>RB-00951</t>
  </si>
  <si>
    <t>P10-F00951</t>
  </si>
  <si>
    <t>Data/Scripts/Items/Magical/Gifts/Weapons/ML Weapons/GiftDiamondMace.cs</t>
  </si>
  <si>
    <t>PBJ-0707</t>
  </si>
  <si>
    <t>Current source file exists at Data/Scripts/Items/Magical/Gifts/Weapons/ML Weapons/GiftDiamondMace.cs; match=ExactFileClass; serializer evidence=Serialize:L90;Deserialize:L97;SerialCtor:L87; class=Server.Items.GiftDiamondMace;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</si>
  <si>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Weapons/GiftDiamondMace.cs; backlog risk category=VersionHandling; write count=1; read count=1. POST-BATCH-J is triage only; no serialized layout edit is approved by this row.</t>
  </si>
  <si>
    <t>RB-00952</t>
  </si>
  <si>
    <t>P10-F00952</t>
  </si>
  <si>
    <t>Data/Scripts/Items/Magical/Gifts/Weapons/ML Weapons/GiftElvenCompositeLongbow.cs</t>
  </si>
  <si>
    <t>PBJ-0708</t>
  </si>
  <si>
    <t>Current source file exists at Data/Scripts/Items/Magical/Gifts/Weapons/ML Weapons/GiftElvenCompositeLongbow.cs; match=ExactFileClass; serializer evidence=Serialize:L125;Deserialize:L132;SerialCtor:L122; class=Server.Items.GiftElvenCompositeLongbow;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</si>
  <si>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Weapons/GiftElvenCompositeLongbow.cs; backlog risk category=VersionHandling; write count=1; read count=1. POST-BATCH-J is triage only; no serialized layout edit is approved by this row.</t>
  </si>
  <si>
    <t>RB-00953</t>
  </si>
  <si>
    <t>P10-F00953</t>
  </si>
  <si>
    <t>Data/Scripts/Items/Magical/Gifts/Weapons/ML Weapons/GiftElvenMachete.cs</t>
  </si>
  <si>
    <t>PBJ-0709</t>
  </si>
  <si>
    <t>Current source file exists at Data/Scripts/Items/Magical/Gifts/Weapons/ML Weapons/GiftElvenMachete.cs; match=ExactFileClass; serializer evidence=Serialize:L98;Deserialize:L105;SerialCtor:L95; class=Server.Items.GiftElvenMachete;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</si>
  <si>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Weapons/GiftElvenMachete.cs; backlog risk category=VersionHandling; write count=1; read count=1. POST-BATCH-J is triage only; no serialized layout edit is approved by this row.</t>
  </si>
  <si>
    <t>RB-00954</t>
  </si>
  <si>
    <t>P10-F00954</t>
  </si>
  <si>
    <t>Data/Scripts/Items/Magical/Gifts/Weapons/ML Weapons/GiftElvenSpellblade.cs</t>
  </si>
  <si>
    <t>PBJ-0710</t>
  </si>
  <si>
    <t>Current source file exists at Data/Scripts/Items/Magical/Gifts/Weapons/ML Weapons/GiftElvenSpellblade.cs; match=ExactFileClass; serializer evidence=Serialize:L94;Deserialize:L101;SerialCtor:L91; class=Server.Items.GiftElvenSpellblade;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</si>
  <si>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Weapons/GiftElvenSpellblade.cs; backlog risk category=VersionHandling; write count=1; read count=1. POST-BATCH-J is triage only; no serialized layout edit is approved by this row.</t>
  </si>
  <si>
    <t>RB-00955</t>
  </si>
  <si>
    <t>P10-F00955</t>
  </si>
  <si>
    <t>Data/Scripts/Items/Magical/Gifts/Weapons/ML Weapons/GiftLeafblade.cs</t>
  </si>
  <si>
    <t>PBJ-0711</t>
  </si>
  <si>
    <t>Current source file exists at Data/Scripts/Items/Magical/Gifts/Weapons/ML Weapons/GiftLeafblade.cs; match=ExactFileClass; serializer evidence=Serialize:L94;Deserialize:L101;SerialCtor:L91; class=Server.Items.GiftLeafblade;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</si>
  <si>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Weapons/GiftLeafblade.cs; backlog risk category=VersionHandling; write count=1; read count=1. POST-BATCH-J is triage only; no serialized layout edit is approved by this row.</t>
  </si>
  <si>
    <t>RB-00956</t>
  </si>
  <si>
    <t>P10-F00956</t>
  </si>
  <si>
    <t>Data/Scripts/Items/Magical/Gifts/Weapons/ML Weapons/GiftMagicalShortbow.cs</t>
  </si>
  <si>
    <t>PBJ-0712</t>
  </si>
  <si>
    <t>Current source file exists at Data/Scripts/Items/Magical/Gifts/Weapons/ML Weapons/GiftMagicalShortbow.cs; match=ExactFileClass; serializer evidence=Serialize:L108;Deserialize:L115;SerialCtor:L105; class=Server.Items.GiftMagicalShortbow;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</si>
  <si>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Weapons/GiftMagicalShortbow.cs; backlog risk category=VersionHandling; write count=1; read count=1. POST-BATCH-J is triage only; no serialized layout edit is approved by this row.</t>
  </si>
  <si>
    <t>RB-00957</t>
  </si>
  <si>
    <t>P10-F00957</t>
  </si>
  <si>
    <t>Data/Scripts/Items/Magical/Gifts/Weapons/ML Weapons/GiftOrnateAxe.cs</t>
  </si>
  <si>
    <t>PBJ-0713</t>
  </si>
  <si>
    <t>Current source file exists at Data/Scripts/Items/Magical/Gifts/Weapons/ML Weapons/GiftOrnateAxe.cs; match=ExactFileClass; serializer evidence=Serialize:L99;Deserialize:L106;SerialCtor:L96; class=Server.Items.GiftOrnateAxe;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</si>
  <si>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Weapons/GiftOrnateAxe.cs; backlog risk category=VersionHandling; write count=1; read count=1. POST-BATCH-J is triage only; no serialized layout edit is approved by this row.</t>
  </si>
  <si>
    <t>RB-00958</t>
  </si>
  <si>
    <t>P10-F00958</t>
  </si>
  <si>
    <t>Data/Scripts/Items/Magical/Gifts/Weapons/ML Weapons/GiftRadiantScimitar.cs</t>
  </si>
  <si>
    <t>PBJ-0714</t>
  </si>
  <si>
    <t>Current source file exists at Data/Scripts/Items/Magical/Gifts/Weapons/ML Weapons/GiftRadiantScimitar.cs; match=ExactFileClass; serializer evidence=Serialize:L98;Deserialize:L105;SerialCtor:L95; class=Server.Items.GiftRadiantScimitar;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</si>
  <si>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Weapons/GiftRadiantScimitar.cs; backlog risk category=VersionHandling; write count=1; read count=1. POST-BATCH-J is triage only; no serialized layout edit is approved by this row.</t>
  </si>
  <si>
    <t>RB-00959</t>
  </si>
  <si>
    <t>P10-F00959</t>
  </si>
  <si>
    <t>Data/Scripts/Items/Magical/Gifts/Weapons/ML Weapons/GiftRuneBlade.cs</t>
  </si>
  <si>
    <t>PBJ-0715</t>
  </si>
  <si>
    <t>Current source file exists at Data/Scripts/Items/Magical/Gifts/Weapons/ML Weapons/GiftRuneBlade.cs; match=ExactFileClass; serializer evidence=Serialize:L99;Deserialize:L106;SerialCtor:L96; class=Server.Items.GiftRuneBlade;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</si>
  <si>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Weapons/GiftRuneBlade.cs; backlog risk category=VersionHandling; write count=1; read count=1. POST-BATCH-J is triage only; no serialized layout edit is approved by this row.</t>
  </si>
  <si>
    <t>RB-00960</t>
  </si>
  <si>
    <t>P10-F00960</t>
  </si>
  <si>
    <t>Data/Scripts/Items/Magical/Gifts/Weapons/ML Weapons/GiftWarCleaver.cs</t>
  </si>
  <si>
    <t>PBJ-0716</t>
  </si>
  <si>
    <t>Current source file exists at Data/Scripts/Items/Magical/Gifts/Weapons/ML Weapons/GiftWarCleaver.cs; match=ExactFileClass; serializer evidence=Serialize:L110;Deserialize:L117;SerialCtor:L107; class=Server.Items.GiftWarCleaver;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</si>
  <si>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Weapons/GiftWarCleaver.cs; backlog risk category=VersionHandling; write count=1; read count=1. POST-BATCH-J is triage only; no serialized layout edit is approved by this row.</t>
  </si>
  <si>
    <t>RB-00961</t>
  </si>
  <si>
    <t>P10-F00961</t>
  </si>
  <si>
    <t>Data/Scripts/Items/Magical/Gifts/Weapons/ML Weapons/GiftWildStaff.cs</t>
  </si>
  <si>
    <t>PBJ-0717</t>
  </si>
  <si>
    <t>Current source file exists at Data/Scripts/Items/Magical/Gifts/Weapons/ML Weapons/GiftWildStaff.cs; match=ExactFileClass; serializer evidence=Serialize:L90;Deserialize:L97;SerialCtor:L87; class=Server.Items.GiftWildStaff;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</si>
  <si>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path=Data/Scripts/Items/Magical/Gifts/Weapons/ML Weapons/GiftWildStaff.cs; backlog risk category=VersionHandling; write count=1; read count=1. POST-BATCH-J is triage only; no serialized layout edit is approved by this row.</t>
  </si>
  <si>
    <t>RB-00962</t>
  </si>
  <si>
    <t>P10-F00962</t>
  </si>
  <si>
    <t>Data/Scripts/Items/Magical/Gifts/Weapons/PoleArms/BaseGiftPoleArm.cs</t>
  </si>
  <si>
    <t>PBU-0022</t>
  </si>
  <si>
    <t>POST-BATCH-N lane=POST-BATCH-N-SAVE-MIGRATION-PLAN; FileProofStatus=CurrentPathConfirmed; Class=Server.Items.BaseGiftPoleArm;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</si>
  <si>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RB-00963</t>
  </si>
  <si>
    <t>P10-F00963</t>
  </si>
  <si>
    <t>Data/Scripts/Items/Magical/Gifts/Weapons/Ranged/BaseGiftRanged.cs</t>
  </si>
  <si>
    <t>PBU-0023</t>
  </si>
  <si>
    <t>POST-BATCH-N lane=POST-BATCH-N-SAVE-MIGRATION-PLAN; FileProofStatus=CurrentPathConfirmed; Class=Server.Items.BaseGiftRanged;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</si>
  <si>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RB-00964</t>
  </si>
  <si>
    <t>P10-F00964</t>
  </si>
  <si>
    <t>Data/Scripts/Items/Magical/Gifts/Weapons/SpearsAndForks/BaseGiftSpear.cs</t>
  </si>
  <si>
    <t>PBU-0024</t>
  </si>
  <si>
    <t>POST-BATCH-N lane=POST-BATCH-N-SAVE-MIGRATION-PLAN; FileProofStatus=CurrentPathConfirmed; Class=Server.Items.BaseGiftSpear;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</si>
  <si>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RB-00965</t>
  </si>
  <si>
    <t>P10-F00965</t>
  </si>
  <si>
    <t>Data/Scripts/Items/Magical/Gifts/Weapons/Staves/BaseGiftStaff.cs</t>
  </si>
  <si>
    <t>PBU-0025</t>
  </si>
  <si>
    <t>POST-BATCH-N lane=POST-BATCH-N-SAVE-MIGRATION-PLAN; FileProofStatus=CurrentPathConfirmed; Class=Server.Items.BaseGiftStaff;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</si>
  <si>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RB-00966</t>
  </si>
  <si>
    <t>P10-F00966</t>
  </si>
  <si>
    <t>Data/Scripts/Items/Magical/Gifts/Weapons/Swords/BaseGiftSword.cs</t>
  </si>
  <si>
    <t>PBU-0026</t>
  </si>
  <si>
    <t>POST-BATCH-N lane=POST-BATCH-N-SAVE-MIGRATION-PLAN; FileProofStatus=CurrentPathConfirmed; Class=Server.Items.BaseGiftSword; Serialize=L41; Reader=DeserializeMethod:L52; RegisterBase=BaseCallsFirst; RegisterVersion=SuspiciousOrder; RegisterAlignment=CountMatchNeedsTypeReview:UnknownWrites=4; Writes=5; Reads=5; WriteEvidence=L45:Write((int)1)) | L46:Write(m_Owner)) | L47:Write(m_Gifter)) | L48:Write(m_How)) | L49:Write(m_Points)); ReadEvidence=L56:ReadInt | L57:ReadMobile | L58:ReadString | L59:ReadString | L60:ReadInt; POST-BATCH-U direct source review=ScannerAmbiguityFalsePositive</t>
  </si>
  <si>
    <t>RB-00967</t>
  </si>
  <si>
    <t>P10-F00967</t>
  </si>
  <si>
    <t>Data/Scripts/Items/Magical/Gifts/Weapons/Swords/GiftShortSword.cs</t>
  </si>
  <si>
    <t>PBJ-0723</t>
  </si>
  <si>
    <t>Current source file exists at Data/Scripts/Items/Magical/Gifts/Weapons/Swords/GiftShortSword.cs; match=ExactFileClass; serializer evidence=Serialize:L98;Deserialize:L105;SerialCtor:L95; class=Server.Items.GiftShortSword;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</si>
  <si>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path=Data/Scripts/Items/Magical/Gifts/Weapons/Swords/GiftShortSword.cs; backlog risk category=VersionHandling; write count=1; read count=1. POST-BATCH-J is triage only; no serialized layout edit is approved by this row.</t>
  </si>
  <si>
    <t>RB-00968</t>
  </si>
  <si>
    <t>P10-F00968</t>
  </si>
  <si>
    <t>Data/Scripts/Items/Magical/God/Armor/Helmets/LevelCirclet.cs</t>
  </si>
  <si>
    <t>PBJ-0724</t>
  </si>
  <si>
    <t>Current source file exists at Data/Scripts/Items/Magical/God/Armor/Helmets/LevelCirclet.cs; match=ExactFileClass; serializer evidence=Serialize:L74;Deserialize:L81;SerialCtor:L71; class=Server.Items.LevelCirclet;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</si>
  <si>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path=Data/Scripts/Items/Magical/God/Armor/Helmets/LevelCirclet.cs; backlog risk category=VersionHandling; write count=1; read count=1. POST-BATCH-J is triage only; no serialized layout edit is approved by this row.</t>
  </si>
  <si>
    <t>RB-00970</t>
  </si>
  <si>
    <t>P10-F00970</t>
  </si>
  <si>
    <t>Data/Scripts/Items/Magical/God/Armor/Leather/LevelOniwabanGloves.cs</t>
  </si>
  <si>
    <t>PBJ-0725</t>
  </si>
  <si>
    <t>Current source file exists at Data/Scripts/Items/Magical/God/Armor/Leather/LevelOniwabanGloves.cs; match=ExactFileClass; serializer evidence=Serialize:L17;Deserialize:L23;SerialCtor:L14;VersionWrite:L20;VersionRead:L26; class=Server.Items.LevelOniwabanGloves;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</si>
  <si>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path=Data/Scripts/Items/Magical/God/Armor/Leather/LevelOniwabanGloves.cs; backlog risk category=VersionHandling; write count=1; read count=1. POST-BATCH-J is triage only; no serialized layout edit is approved by this row.</t>
  </si>
  <si>
    <t>RB-00971</t>
  </si>
  <si>
    <t>P10-F00971</t>
  </si>
  <si>
    <t>Data/Scripts/Items/Magical/God/Armor/Royal/LevelRoyalBoots.cs</t>
  </si>
  <si>
    <t>PBJ-0726</t>
  </si>
  <si>
    <t>Current source file exists at Data/Scripts/Items/Magical/God/Armor/Royal/LevelRoyalBoots.cs; match=ExactFileClass; serializer evidence=Serialize:L20;Deserialize:L26;SerialCtor:L17;VersionWrite:L23;VersionRead:L29; class=Server.Items.LevelRoyalBoots;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</si>
  <si>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path=Data/Scripts/Items/Magical/God/Armor/Royal/LevelRoyalBoots.cs; backlog risk category=VersionHandling; write count=1; read count=1. POST-BATCH-J is triage only; no serialized layout edit is approved by this row.</t>
  </si>
  <si>
    <t>RB-00973</t>
  </si>
  <si>
    <t>P10-F00973</t>
  </si>
  <si>
    <t>PBJ-0727</t>
  </si>
  <si>
    <t>Current source file exists at Data/Scripts/Items/Magical/God/Clothing/LevelOuterTorso.cs; match=ExactFileClass; serializer evidence=Serialize:L505;Deserialize:L512;SerialCtor:L502; class=Server.Items.LevelFemaleElvenRobe;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</si>
  <si>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path=Data/Scripts/Items/Magical/God/Clothing/LevelOuterTorso.cs; backlog risk category=VersionHandling; write count=1; read count=1. POST-BATCH-J is triage only; no serialized layout edit is approved by this row.</t>
  </si>
  <si>
    <t>RB-00974</t>
  </si>
  <si>
    <t>P10-F00974</t>
  </si>
  <si>
    <t>PBJ-0728</t>
  </si>
  <si>
    <t>Current source file exists at Data/Scripts/Items/Magical/God/Clothing/LevelOuterTorso.cs; match=ExactFileClass; serializer evidence=Serialize:L467;Deserialize:L474;SerialCtor:L464; class=Server.Items.LevelMaleElvenRobe; kind=Item; HasSerialConstructor=True; BaseCallStatus=BaseCallsFirst; VersionHandling=NoVersionFound; FieldAlignment=AlignedByCountAndKnownTypes; MoveRenameRisk=NamespaceOrTypeRenameDanger; ReviewStatus=NeedsSourceReview; ReviewReasons=NoVersionFound</t>
  </si>
  <si>
    <t>RB-00976</t>
  </si>
  <si>
    <t>P10-F00976</t>
  </si>
  <si>
    <t>Data/Scripts/Items/Magical/God/Clothing/LevelPants.cs</t>
  </si>
  <si>
    <t>PBJ-0729</t>
  </si>
  <si>
    <t>Current source file exists at Data/Scripts/Items/Magical/God/Clothing/LevelPants.cs; match=ExactFileClass; serializer evidence=Serialize:L147;Deserialize:L154;SerialCtor:L144; class=Server.Items.LevelElvenPants;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</si>
  <si>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path=Data/Scripts/Items/Magical/God/Clothing/LevelPants.cs; backlog risk category=VersionHandling; write count=1; read count=1. POST-BATCH-J is triage only; no serialized layout edit is approved by this row.</t>
  </si>
  <si>
    <t>RB-00978</t>
  </si>
  <si>
    <t>P10-F00978</t>
  </si>
  <si>
    <t>PBJ-0730</t>
  </si>
  <si>
    <t>Current source file exists at Data/Scripts/Items/Magical/God/Clothing/LevelShoes.cs; match=ExactFileClass; serializer evidence=Serialize:L454;Deserialize:L461;SerialCtor:L451; class=Server.Items.LevelElvenBoots;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</si>
  <si>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path=Data/Scripts/Items/Magical/God/Clothing/LevelShoes.cs; backlog risk category=VersionHandling; write count=1; read count=1. POST-BATCH-J is triage only; no serialized layout edit is approved by this row.</t>
  </si>
  <si>
    <t>RB-00980</t>
  </si>
  <si>
    <t>P10-F00980</t>
  </si>
  <si>
    <t>Data/Scripts/Items/Magical/God/Clothing/LevelWaist.cs</t>
  </si>
  <si>
    <t>PBJ-0731</t>
  </si>
  <si>
    <t>Current source file exists at Data/Scripts/Items/Magical/God/Clothing/LevelWaist.cs; match=ExactFileClass; serializer evidence=Serialize:L113;Deserialize:L120;SerialCtor:L110; class=Server.Items.LevelWoodlandBelt;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</si>
  <si>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path=Data/Scripts/Items/Magical/God/Clothing/LevelWaist.cs; backlog risk category=VersionHandling; write count=1; read count=1. POST-BATCH-J is triage only; no serialized layout edit is approved by this row.</t>
  </si>
  <si>
    <t>RB-00981</t>
  </si>
  <si>
    <t>P10-F00981</t>
  </si>
  <si>
    <t>Data/Scripts/Items/Magical/God/Jewels/MagicBelt.cs</t>
  </si>
  <si>
    <t>PBJ-0732</t>
  </si>
  <si>
    <t>Current source file exists at Data/Scripts/Items/Magical/God/Jewels/MagicBelt.cs; match=ExactFileClass; serializer evidence=Serialize:L23;Deserialize:L29;SerialCtor:L20;VersionWrite:L26;VersionRead:L32; class=Server.Items.LevelBelt;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</si>
  <si>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path=Data/Scripts/Items/Magical/God/Jewels/MagicBelt.cs; backlog risk category=VersionHandling; write count=1; read count=1. POST-BATCH-J is triage only; no serialized layout edit is approved by this row.</t>
  </si>
  <si>
    <t>RB-00982</t>
  </si>
  <si>
    <t>P10-F00982</t>
  </si>
  <si>
    <t>PBJ-0733</t>
  </si>
  <si>
    <t>Current source file exists at Data/Scripts/Items/Magical/God/Jewels/MagicBelt.cs; match=ExactFileClass; serializer evidence=Serialize:L53;Deserialize:L59;SerialCtor:L50;VersionWrite:L56;VersionRead:L62; class=Server.Items.LevelLoinCloth; kind=Item; HasSerialConstructor=True; BaseCallStatus=BaseCallsFirst; VersionHandling=SuspiciousOrder; FieldAlignment=AlignedByCountAndKnownTypes; MoveRenameRisk=NamespaceOrTypeRenameDanger; ReviewStatus=NeedsSourceReview; ReviewReasons=SuspiciousOrder</t>
  </si>
  <si>
    <t>RB-00983</t>
  </si>
  <si>
    <t>P10-F00983</t>
  </si>
  <si>
    <t>Data/Scripts/Items/Magical/God/Jewels/MagicCandle.cs</t>
  </si>
  <si>
    <t>PBJ-0734</t>
  </si>
  <si>
    <t>Current source file exists at Data/Scripts/Items/Magical/God/Jewels/MagicCandle.cs; match=ExactFileClass; serializer evidence=Serialize:L85;Deserialize:L91;SerialCtor:L82;VersionWrite:L88;VersionRead:L94; class=Server.Items.LevelCandle;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</si>
  <si>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path=Data/Scripts/Items/Magical/God/Jewels/MagicCandle.cs; backlog risk category=VersionHandling; write count=1; read count=1. POST-BATCH-J is triage only; no serialized layout edit is approved by this row.</t>
  </si>
  <si>
    <t>RB-00984</t>
  </si>
  <si>
    <t>P10-F00984</t>
  </si>
  <si>
    <t>Data/Scripts/Items/Magical/God/Jewels/MagicLantern.cs</t>
  </si>
  <si>
    <t>PBJ-0735</t>
  </si>
  <si>
    <t>Current source file exists at Data/Scripts/Items/Magical/God/Jewels/MagicLantern.cs; match=ExactFileClass; serializer evidence=Serialize:L85;Deserialize:L91;SerialCtor:L82;VersionWrite:L88;VersionRead:L94; class=Server.Items.LevelLantern;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</si>
  <si>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path=Data/Scripts/Items/Magical/God/Jewels/MagicLantern.cs; backlog risk category=VersionHandling; write count=1; read count=1. POST-BATCH-J is triage only; no serialized layout edit is approved by this row.</t>
  </si>
  <si>
    <t>RB-00985</t>
  </si>
  <si>
    <t>P10-F00985</t>
  </si>
  <si>
    <t>Data/Scripts/Items/Magical/God/Jewels/MagicSash.cs</t>
  </si>
  <si>
    <t>PBJ-0736</t>
  </si>
  <si>
    <t>Current source file exists at Data/Scripts/Items/Magical/God/Jewels/MagicSash.cs; match=ExactFileClass; serializer evidence=Serialize:L23;Deserialize:L29;SerialCtor:L20;VersionWrite:L26;VersionRead:L32; class=Server.Items.LevelSash;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</si>
  <si>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path=Data/Scripts/Items/Magical/God/Jewels/MagicSash.cs; backlog risk category=VersionHandling; write count=1; read count=1. POST-BATCH-J is triage only; no serialized layout edit is approved by this row.</t>
  </si>
  <si>
    <t>RB-00986</t>
  </si>
  <si>
    <t>P10-F00986</t>
  </si>
  <si>
    <t>Data/Scripts/Items/Magical/God/Jewels/MagicTalisman.cs</t>
  </si>
  <si>
    <t>PBJ-0737</t>
  </si>
  <si>
    <t>Current source file exists at Data/Scripts/Items/Magical/God/Jewels/MagicTalisman.cs; match=ExactFileClass; serializer evidence=Serialize:L113;Deserialize:L119;SerialCtor:L110;VersionWrite:L116;VersionRead:L122; class=Server.Items.LevelTalismanHoly;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</si>
  <si>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path=Data/Scripts/Items/Magical/God/Jewels/MagicTalisman.cs; backlog risk category=VersionHandling; write count=1; read count=1. POST-BATCH-J is triage only; no serialized layout edit is approved by this row.</t>
  </si>
  <si>
    <t>RB-00987</t>
  </si>
  <si>
    <t>P10-F00987</t>
  </si>
  <si>
    <t>PBJ-0738</t>
  </si>
  <si>
    <t>Current source file exists at Data/Scripts/Items/Magical/God/Jewels/MagicTalisman.cs; match=ExactFileClass; serializer evidence=Serialize:L23;Deserialize:L29;SerialCtor:L20;VersionWrite:L26;VersionRead:L32; class=Server.Items.LevelTalismanLeather; kind=Item; HasSerialConstructor=True; BaseCallStatus=BaseCallsFirst; VersionHandling=SuspiciousOrder; FieldAlignment=AlignedByCountAndKnownTypes; MoveRenameRisk=NamespaceOrTypeRenameDanger; ReviewStatus=NeedsSourceReview; ReviewReasons=SuspiciousOrder</t>
  </si>
  <si>
    <t>RB-00988</t>
  </si>
  <si>
    <t>P10-F00988</t>
  </si>
  <si>
    <t>PBJ-0739</t>
  </si>
  <si>
    <t>Current source file exists at Data/Scripts/Items/Magical/God/Jewels/MagicTalisman.cs; match=ExactFileClass; serializer evidence=Serialize:L53;Deserialize:L59;SerialCtor:L50;VersionWrite:L56;VersionRead:L62; class=Server.Items.LevelTalismanSnake; kind=Item; HasSerialConstructor=True; BaseCallStatus=BaseCallsFirst; VersionHandling=SuspiciousOrder; FieldAlignment=AlignedByCountAndKnownTypes; MoveRenameRisk=NamespaceOrTypeRenameDanger; ReviewStatus=NeedsSourceReview; ReviewReasons=SuspiciousOrder</t>
  </si>
  <si>
    <t>RB-00989</t>
  </si>
  <si>
    <t>P10-F00989</t>
  </si>
  <si>
    <t>PBJ-0740</t>
  </si>
  <si>
    <t>Current source file exists at Data/Scripts/Items/Magical/God/Jewels/MagicTalisman.cs; match=ExactFileClass; serializer evidence=Serialize:L83;Deserialize:L89;SerialCtor:L80;VersionWrite:L86;VersionRead:L92; class=Server.Items.LevelTalismanTotem; kind=Item; HasSerialConstructor=True; BaseCallStatus=BaseCallsFirst; VersionHandling=SuspiciousOrder; FieldAlignment=AlignedByCountAndKnownTypes; MoveRenameRisk=NamespaceOrTypeRenameDanger; ReviewStatus=NeedsSourceReview; ReviewReasons=SuspiciousOrder</t>
  </si>
  <si>
    <t>RB-00990</t>
  </si>
  <si>
    <t>P10-F00990</t>
  </si>
  <si>
    <t>Data/Scripts/Items/Magical/God/Jewels/MagicTorch.cs</t>
  </si>
  <si>
    <t>PBJ-0741</t>
  </si>
  <si>
    <t>Current source file exists at Data/Scripts/Items/Magical/God/Jewels/MagicTorch.cs; match=ExactFileClass; serializer evidence=Serialize:L85;Deserialize:L91;SerialCtor:L82;VersionWrite:L88;VersionRead:L94; class=Server.Items.LevelTorch;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</si>
  <si>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path=Data/Scripts/Items/Magical/God/Jewels/MagicTorch.cs; backlog risk category=VersionHandling; write count=1; read count=1. POST-BATCH-J is triage only; no serialized layout edit is approved by this row.</t>
  </si>
  <si>
    <t>RB-00991</t>
  </si>
  <si>
    <t>P10-F00991</t>
  </si>
  <si>
    <t>Data/Scripts/Items/Magical/God/LegendsBook.cs</t>
  </si>
  <si>
    <t>PBJ-0742</t>
  </si>
  <si>
    <t>Current source file exists at Data/Scripts/Items/Magical/God/LegendsBook.cs; match=ExactFileClass; serializer evidence=Serialize:L509;Deserialize:L515;SerialCtor:L506;VersionWrite:L512;VersionRead:L518; class=Server.Items.LegendsBook;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</si>
  <si>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path=Data/Scripts/Items/Magical/God/LegendsBook.cs; backlog risk category=VersionHandling; write count=1; read count=1. POST-BATCH-J is triage only; no serialized layout edit is approved by this row.</t>
  </si>
  <si>
    <t>RB-00992</t>
  </si>
  <si>
    <t>P10-F00992</t>
  </si>
  <si>
    <t>Data/Scripts/Items/Magical/God/Weapons/ML Weapons/LevelAssassinSpike.cs</t>
  </si>
  <si>
    <t>PBJ-0743</t>
  </si>
  <si>
    <t>Current source file exists at Data/Scripts/Items/Magical/God/Weapons/ML Weapons/LevelAssassinSpike.cs; match=ExactFileClass; serializer evidence=Serialize:L98;Deserialize:L105;SerialCtor:L95; class=Server.Items.LevelAssassinSpike;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</si>
  <si>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Weapons/LevelAssassinSpike.cs; backlog risk category=VersionHandling; write count=1; read count=1. POST-BATCH-J is triage only; no serialized layout edit is approved by this row.</t>
  </si>
  <si>
    <t>RB-00993</t>
  </si>
  <si>
    <t>P10-F00993</t>
  </si>
  <si>
    <t>Data/Scripts/Items/Magical/God/Weapons/ML Weapons/LevelDiamondMace.cs</t>
  </si>
  <si>
    <t>PBJ-0744</t>
  </si>
  <si>
    <t>Current source file exists at Data/Scripts/Items/Magical/God/Weapons/ML Weapons/LevelDiamondMace.cs; match=ExactFileClass; serializer evidence=Serialize:L90;Deserialize:L97;SerialCtor:L87; class=Server.Items.LevelDiamondMace;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</si>
  <si>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Weapons/LevelDiamondMace.cs; backlog risk category=VersionHandling; write count=1; read count=1. POST-BATCH-J is triage only; no serialized layout edit is approved by this row.</t>
  </si>
  <si>
    <t>RB-00994</t>
  </si>
  <si>
    <t>P10-F00994</t>
  </si>
  <si>
    <t>Data/Scripts/Items/Magical/God/Weapons/ML Weapons/LevelElvenCompositeLongbow.cs</t>
  </si>
  <si>
    <t>PBJ-0745</t>
  </si>
  <si>
    <t>Current source file exists at Data/Scripts/Items/Magical/God/Weapons/ML Weapons/LevelElvenCompositeLongbow.cs; match=ExactFileClass; serializer evidence=Serialize:L125;Deserialize:L132;SerialCtor:L122; class=Server.Items.LevelElvenCompositeLongbow;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</si>
  <si>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Weapons/LevelElvenCompositeLongbow.cs; backlog risk category=VersionHandling; write count=1; read count=1. POST-BATCH-J is triage only; no serialized layout edit is approved by this row.</t>
  </si>
  <si>
    <t>RB-00995</t>
  </si>
  <si>
    <t>P10-F00995</t>
  </si>
  <si>
    <t>Data/Scripts/Items/Magical/God/Weapons/ML Weapons/LevelElvenMachete.cs</t>
  </si>
  <si>
    <t>PBJ-0746</t>
  </si>
  <si>
    <t>Current source file exists at Data/Scripts/Items/Magical/God/Weapons/ML Weapons/LevelElvenMachete.cs; match=ExactFileClass; serializer evidence=Serialize:L98;Deserialize:L105;SerialCtor:L95; class=Server.Items.LevelElvenMachete;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</si>
  <si>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Weapons/LevelElvenMachete.cs; backlog risk category=VersionHandling; write count=1; read count=1. POST-BATCH-J is triage only; no serialized layout edit is approved by this row.</t>
  </si>
  <si>
    <t>RB-00996</t>
  </si>
  <si>
    <t>P10-F00996</t>
  </si>
  <si>
    <t>Data/Scripts/Items/Magical/God/Weapons/ML Weapons/LevelElvenSpellblade.cs</t>
  </si>
  <si>
    <t>PBJ-0747</t>
  </si>
  <si>
    <t>Current source file exists at Data/Scripts/Items/Magical/God/Weapons/ML Weapons/LevelElvenSpellblade.cs; match=ExactFileClass; serializer evidence=Serialize:L94;Deserialize:L101;SerialCtor:L91; class=Server.Items.LevelElvenSpellblade;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</si>
  <si>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Weapons/LevelElvenSpellblade.cs; backlog risk category=VersionHandling; write count=1; read count=1. POST-BATCH-J is triage only; no serialized layout edit is approved by this row.</t>
  </si>
  <si>
    <t>RB-00997</t>
  </si>
  <si>
    <t>P10-F00997</t>
  </si>
  <si>
    <t>Data/Scripts/Items/Magical/God/Weapons/ML Weapons/LevelLeafblade.cs</t>
  </si>
  <si>
    <t>PBJ-0748</t>
  </si>
  <si>
    <t>Current source file exists at Data/Scripts/Items/Magical/God/Weapons/ML Weapons/LevelLeafblade.cs; match=ExactFileClass; serializer evidence=Serialize:L94;Deserialize:L101;SerialCtor:L91; class=Server.Items.LevelLeafblade;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</si>
  <si>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Weapons/LevelLeafblade.cs; backlog risk category=VersionHandling; write count=1; read count=1. POST-BATCH-J is triage only; no serialized layout edit is approved by this row.</t>
  </si>
  <si>
    <t>RB-00998</t>
  </si>
  <si>
    <t>P10-F00998</t>
  </si>
  <si>
    <t>Data/Scripts/Items/Magical/God/Weapons/ML Weapons/LevelMagicalShortbow.cs</t>
  </si>
  <si>
    <t>PBJ-0749</t>
  </si>
  <si>
    <t>Current source file exists at Data/Scripts/Items/Magical/God/Weapons/ML Weapons/LevelMagicalShortbow.cs; match=ExactFileClass; serializer evidence=Serialize:L108;Deserialize:L115;SerialCtor:L105; class=Server.Items.LevelMagicalShortbow;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</si>
  <si>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Weapons/LevelMagicalShortbow.cs; backlog risk category=VersionHandling; write count=1; read count=1. POST-BATCH-J is triage only; no serialized layout edit is approved by this row.</t>
  </si>
  <si>
    <t>RB-00999</t>
  </si>
  <si>
    <t>P10-F00999</t>
  </si>
  <si>
    <t>Data/Scripts/Items/Magical/God/Weapons/ML Weapons/LevelOrnateAxe.cs</t>
  </si>
  <si>
    <t>PBJ-0750</t>
  </si>
  <si>
    <t>Current source file exists at Data/Scripts/Items/Magical/God/Weapons/ML Weapons/LevelOrnateAxe.cs; match=ExactFileClass; serializer evidence=Serialize:L99;Deserialize:L106;SerialCtor:L96; class=Server.Items.LevelOrnateAxe;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</si>
  <si>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Weapons/LevelOrnateAxe.cs; backlog risk category=VersionHandling; write count=1; read count=1. POST-BATCH-J is triage only; no serialized layout edit is approved by this row.</t>
  </si>
  <si>
    <t>RB-01000</t>
  </si>
  <si>
    <t>P10-F01000</t>
  </si>
  <si>
    <t>Data/Scripts/Items/Magical/God/Weapons/ML Weapons/LevelRadiantScimitar.cs</t>
  </si>
  <si>
    <t>PBJ-0751</t>
  </si>
  <si>
    <t>Current source file exists at Data/Scripts/Items/Magical/God/Weapons/ML Weapons/LevelRadiantScimitar.cs; match=ExactFileClass; serializer evidence=Serialize:L98;Deserialize:L105;SerialCtor:L95; class=Server.Items.LevelRadiantScimitar;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</si>
  <si>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Weapons/LevelRadiantScimitar.cs; backlog risk category=VersionHandling; write count=1; read count=1. POST-BATCH-J is triage only; no serialized layout edit is approved by this row.</t>
  </si>
  <si>
    <t>RB-01001</t>
  </si>
  <si>
    <t>P10-F01001</t>
  </si>
  <si>
    <t>Data/Scripts/Items/Magical/God/Weapons/ML Weapons/LevelRuneBlade.cs</t>
  </si>
  <si>
    <t>PBJ-0752</t>
  </si>
  <si>
    <t>Current source file exists at Data/Scripts/Items/Magical/God/Weapons/ML Weapons/LevelRuneBlade.cs; match=ExactFileClass; serializer evidence=Serialize:L99;Deserialize:L106;SerialCtor:L96; class=Server.Items.LevelRuneBlade;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</si>
  <si>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Weapons/LevelRuneBlade.cs; backlog risk category=VersionHandling; write count=1; read count=1. POST-BATCH-J is triage only; no serialized layout edit is approved by this row.</t>
  </si>
  <si>
    <t>RB-01002</t>
  </si>
  <si>
    <t>P10-F01002</t>
  </si>
  <si>
    <t>Data/Scripts/Items/Magical/God/Weapons/ML Weapons/LevelWarCleaver.cs</t>
  </si>
  <si>
    <t>PBJ-0753</t>
  </si>
  <si>
    <t>Current source file exists at Data/Scripts/Items/Magical/God/Weapons/ML Weapons/LevelWarCleaver.cs; match=ExactFileClass; serializer evidence=Serialize:L110;Deserialize:L117;SerialCtor:L107; class=Server.Items.LevelWarCleaver;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</si>
  <si>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Weapons/LevelWarCleaver.cs; backlog risk category=VersionHandling; write count=1; read count=1. POST-BATCH-J is triage only; no serialized layout edit is approved by this row.</t>
  </si>
  <si>
    <t>RB-01003</t>
  </si>
  <si>
    <t>P10-F01003</t>
  </si>
  <si>
    <t>Data/Scripts/Items/Magical/God/Weapons/ML Weapons/LevelWildStaff.cs</t>
  </si>
  <si>
    <t>PBJ-0754</t>
  </si>
  <si>
    <t>Current source file exists at Data/Scripts/Items/Magical/God/Weapons/ML Weapons/LevelWildStaff.cs; match=ExactFileClass; serializer evidence=Serialize:L90;Deserialize:L97;SerialCtor:L87; class=Server.Items.LevelWildStaff;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</si>
  <si>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path=Data/Scripts/Items/Magical/God/Weapons/ML Weapons/LevelWildStaff.cs; backlog risk category=VersionHandling; write count=1; read count=1. POST-BATCH-J is triage only; no serialized layout edit is approved by this row.</t>
  </si>
  <si>
    <t>RB-01004</t>
  </si>
  <si>
    <t>P10-F01004</t>
  </si>
  <si>
    <t>Data/Scripts/Items/Magical/God/Weapons/Swords/LevelShortSword.cs</t>
  </si>
  <si>
    <t>PBJ-0755</t>
  </si>
  <si>
    <t>Current source file exists at Data/Scripts/Items/Magical/God/Weapons/Swords/LevelShortSword.cs; match=ExactFileClass; serializer evidence=Serialize:L98;Deserialize:L105;SerialCtor:L95; class=Server.Items.LevelShortSword; kind=Item; HasSerialConstructor=True; BaseCallStatus=BaseCallsFirst; VersionHandling=NoVersionFound; FieldAlignment=AlignedByCountAndKnownTypes; MoveRenameRisk=NamespaceOrTypeRenameDanger; ReviewStatus=NeedsSourceReview; ReviewReasons=NoVersionFound</t>
  </si>
  <si>
    <t>Historical path=Data/Scripts/Items/Magical/God/Weapons/Swords/LevelShortSword.cs; backlog risk category=VersionHandling; write count=1; read count=1. POST-BATCH-J is triage only; no serialized layout edit is approved by this row.</t>
  </si>
  <si>
    <t>RB-01005</t>
  </si>
  <si>
    <t>P10-F01005</t>
  </si>
  <si>
    <t>Data/Scripts/Items/Magical/GuildRings.cs</t>
  </si>
  <si>
    <t>PBU-0027</t>
  </si>
  <si>
    <t>POST-BATCH-N lane=POST-BATCH-N-SAVE-MIGRATION-PLAN; FileProofStatus=CurrentPathConfirmed; Class=Server.Items.GuildRings; Serialize=L242; Reader=DeserializeMethod:L251; RegisterBase=BaseCallsFirst; RegisterVersion=SuspiciousOrder; RegisterAlignment=CountMatchNeedsTypeReview:UnknownWrites=2; Writes=4; Reads=4; WriteEvidence=L245:Write((int)1); // version) | L246:Write((Mobile)RingOwner)) | L247:Write(RingGuild)) | L248:Write(RingName)); ReadEvidence=L254:ReadInt | L255:ReadMobile | L256:ReadString | L257:ReadString; POST-BATCH-U direct source review=ScannerAmbiguityFalsePositive</t>
  </si>
  <si>
    <t>RB-01006</t>
  </si>
  <si>
    <t>P10-F01006</t>
  </si>
  <si>
    <t>Data/Scripts/Items/Magical/MagicBelt.cs</t>
  </si>
  <si>
    <t>PBJ-0757</t>
  </si>
  <si>
    <t>Current source file exists at Data/Scripts/Items/Magical/MagicBelt.cs; match=ExactFileClass; serializer evidence=Serialize:L44;Deserialize:L50;SerialCtor:L41;VersionWrite:L47;VersionRead:L53; class=Server.Items.MagicBelt;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</si>
  <si>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path=Data/Scripts/Items/Magical/MagicBelt.cs; backlog risk category=VersionHandling; write count=1; read count=1. POST-BATCH-J is triage only; no serialized layout edit is approved by this row.</t>
  </si>
  <si>
    <t>RB-01007</t>
  </si>
  <si>
    <t>P10-F01007</t>
  </si>
  <si>
    <t>Data/Scripts/Items/Magical/MagicBoots.cs</t>
  </si>
  <si>
    <t>PBJ-0758</t>
  </si>
  <si>
    <t>Current source file exists at Data/Scripts/Items/Magical/MagicBoots.cs; match=ExactFileClass; serializer evidence=Serialize:L81;Deserialize:L87;SerialCtor:L78;VersionWrite:L84;VersionRead:L90; class=Server.Items.MagicBoots;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</si>
  <si>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path=Data/Scripts/Items/Magical/MagicBoots.cs; backlog risk category=VersionHandling; write count=1; read count=1. POST-BATCH-J is triage only; no serialized layout edit is approved by this row.</t>
  </si>
  <si>
    <t>RB-01008</t>
  </si>
  <si>
    <t>P10-F01008</t>
  </si>
  <si>
    <t>Data/Scripts/Items/Magical/MagicCandle.cs</t>
  </si>
  <si>
    <t>PBJ-0759</t>
  </si>
  <si>
    <t>Current source file exists at Data/Scripts/Items/Magical/MagicCandle.cs; match=ExactFileClass; serializer evidence=Serialize:L101;Deserialize:L107;SerialCtor:L98;VersionWrite:L104;VersionRead:L110; class=Server.Items.MagicCandle;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</si>
  <si>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path=Data/Scripts/Items/Magical/MagicCandle.cs; backlog risk category=VersionHandling; write count=1; read count=1. POST-BATCH-J is triage only; no serialized layout edit is approved by this row.</t>
  </si>
  <si>
    <t>RB-01009</t>
  </si>
  <si>
    <t>P10-F01009</t>
  </si>
  <si>
    <t>Data/Scripts/Items/Magical/MagicCloak.cs</t>
  </si>
  <si>
    <t>PBJ-0760</t>
  </si>
  <si>
    <t>Current source file exists at Data/Scripts/Items/Magical/MagicCloak.cs; match=ExactFileClass; serializer evidence=Serialize:L27;Deserialize:L33;SerialCtor:L24;VersionWrite:L30;VersionRead:L36; class=Server.Items.MagicCloak;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</si>
  <si>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path=Data/Scripts/Items/Magical/MagicCloak.cs; backlog risk category=VersionHandling; write count=1; read count=1. POST-BATCH-J is triage only; no serialized layout edit is approved by this row.</t>
  </si>
  <si>
    <t>RB-01010</t>
  </si>
  <si>
    <t>P10-F01010</t>
  </si>
  <si>
    <t>Data/Scripts/Items/Magical/MagicHat.cs</t>
  </si>
  <si>
    <t>PBJ-0761</t>
  </si>
  <si>
    <t>Current source file exists at Data/Scripts/Items/Magical/MagicHat.cs; match=ExactFileClass; serializer evidence=Serialize:L301;Deserialize:L307;SerialCtor:L298;VersionWrite:L304;VersionRead:L310; class=Server.Items.MagicHat;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</si>
  <si>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path=Data/Scripts/Items/Magical/MagicHat.cs; backlog risk category=VersionHandling; write count=1; read count=1. POST-BATCH-J is triage only; no serialized layout edit is approved by this row.</t>
  </si>
  <si>
    <t>RB-01011</t>
  </si>
  <si>
    <t>P10-F01011</t>
  </si>
  <si>
    <t>Data/Scripts/Items/Magical/MagicJewelry.cs</t>
  </si>
  <si>
    <t>PBJ-0762</t>
  </si>
  <si>
    <t>Current source file exists at Data/Scripts/Items/Magical/MagicJewelry.cs; match=ExactFileClass; serializer evidence=Serialize:L149;Deserialize:L155;SerialCtor:L146;VersionWrite:L152;VersionRead:L158; class=Server.Items.MagicJewelryBracelet;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</si>
  <si>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path=Data/Scripts/Items/Magical/MagicJewelry.cs; backlog risk category=VersionHandling; write count=1; read count=1. POST-BATCH-J is triage only; no serialized layout edit is approved by this row.</t>
  </si>
  <si>
    <t>RB-01012</t>
  </si>
  <si>
    <t>P10-F01012</t>
  </si>
  <si>
    <t>PBJ-0763</t>
  </si>
  <si>
    <t>Current source file exists at Data/Scripts/Items/Magical/MagicJewelry.cs; match=ExactFileClass; serializer evidence=Serialize:L181;Deserialize:L187;SerialCtor:L178;VersionWrite:L184;VersionRead:L190; class=Server.Items.MagicJewelryCirclet; kind=Item; HasSerialConstructor=True; BaseCallStatus=BaseCallsFirst; VersionHandling=SuspiciousOrder; FieldAlignment=AlignedByCountAndKnownTypes; MoveRenameRisk=NamespaceOrTypeRenameDanger; ReviewStatus=NeedsSourceReview; ReviewReasons=SuspiciousOrder</t>
  </si>
  <si>
    <t>RB-01013</t>
  </si>
  <si>
    <t>P10-F01013</t>
  </si>
  <si>
    <t>PBJ-0764</t>
  </si>
  <si>
    <t>Current source file exists at Data/Scripts/Items/Magical/MagicJewelry.cs; match=ExactFileClass; serializer evidence=Serialize:L108;Deserialize:L114;SerialCtor:L105;VersionWrite:L111;VersionRead:L117; class=Server.Items.MagicJewelryEarrings; kind=Item; HasSerialConstructor=True; BaseCallStatus=BaseCallsFirst; VersionHandling=SuspiciousOrder; FieldAlignment=AlignedByCountAndKnownTypes; MoveRenameRisk=NamespaceOrTypeRenameDanger; ReviewStatus=NeedsSourceReview; ReviewReasons=SuspiciousOrder</t>
  </si>
  <si>
    <t>RB-01014</t>
  </si>
  <si>
    <t>P10-F01014</t>
  </si>
  <si>
    <t>PBJ-0765</t>
  </si>
  <si>
    <t>Current source file exists at Data/Scripts/Items/Magical/MagicJewelry.cs; match=ExactFileClass; serializer evidence=Serialize:L76;Deserialize:L82;SerialCtor:L73;VersionWrite:L79;VersionRead:L85; class=Server.Items.MagicJewelryNecklace; kind=Item; HasSerialConstructor=True; BaseCallStatus=BaseCallsFirst; VersionHandling=SuspiciousOrder; FieldAlignment=AlignedByCountAndKnownTypes; MoveRenameRisk=NamespaceOrTypeRenameDanger; ReviewStatus=NeedsSourceReview; ReviewReasons=SuspiciousOrder</t>
  </si>
  <si>
    <t>RB-01015</t>
  </si>
  <si>
    <t>P10-F01015</t>
  </si>
  <si>
    <t>PBJ-0766</t>
  </si>
  <si>
    <t>Current source file exists at Data/Scripts/Items/Magical/MagicJewelry.cs; match=ExactFileClass; serializer evidence=Serialize:L34;Deserialize:L40;SerialCtor:L31;VersionWrite:L37;VersionRead:L43; class=Server.Items.MagicJewelryRing; kind=Item; HasSerialConstructor=True; BaseCallStatus=BaseCallsFirst; VersionHandling=SuspiciousOrder; FieldAlignment=AlignedByCountAndKnownTypes; MoveRenameRisk=NamespaceOrTypeRenameDanger; ReviewStatus=NeedsSourceReview; ReviewReasons=SuspiciousOrder</t>
  </si>
  <si>
    <t>RB-01016</t>
  </si>
  <si>
    <t>P10-F01016</t>
  </si>
  <si>
    <t>Data/Scripts/Items/Magical/MagicLantern.cs</t>
  </si>
  <si>
    <t>PBJ-0767</t>
  </si>
  <si>
    <t>Current source file exists at Data/Scripts/Items/Magical/MagicLantern.cs; match=ExactFileClass; serializer evidence=Serialize:L101;Deserialize:L107;SerialCtor:L98;VersionWrite:L104;VersionRead:L110; class=Server.Items.MagicLantern;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</si>
  <si>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path=Data/Scripts/Items/Magical/MagicLantern.cs; backlog risk category=VersionHandling; write count=1; read count=1. POST-BATCH-J is triage only; no serialized layout edit is approved by this row.</t>
  </si>
  <si>
    <t>RB-01017</t>
  </si>
  <si>
    <t>P10-F01017</t>
  </si>
  <si>
    <t>Data/Scripts/Items/Magical/MagicQuiver.cs</t>
  </si>
  <si>
    <t>PBJ-0768</t>
  </si>
  <si>
    <t>Current source file exists at Data/Scripts/Items/Magical/MagicQuiver.cs; match=ExactFileClass; serializer evidence=Serialize:L21;Deserialize:L27;SerialCtor:L18;VersionWrite:L24;VersionRead:L30; class=Server.Items.MagicQuiver;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</si>
  <si>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path=Data/Scripts/Items/Magical/MagicQuiver.cs; backlog risk category=VersionHandling; write count=1; read count=1. POST-BATCH-J is triage only; no serialized layout edit is approved by this row.</t>
  </si>
  <si>
    <t>RB-01018</t>
  </si>
  <si>
    <t>P10-F01018</t>
  </si>
  <si>
    <t>Data/Scripts/Items/Magical/MagicRobe.cs</t>
  </si>
  <si>
    <t>PBJ-0769</t>
  </si>
  <si>
    <t>Current source file exists at Data/Scripts/Items/Magical/MagicRobe.cs; match=ExactFileClass; serializer evidence=Serialize:L182;Deserialize:L188;SerialCtor:L179;VersionWrite:L185;VersionRead:L191; class=Server.Items.MagicRobe;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</si>
  <si>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path=Data/Scripts/Items/Magical/MagicRobe.cs; backlog risk category=VersionHandling; write count=1; read count=1. POST-BATCH-J is triage only; no serialized layout edit is approved by this row.</t>
  </si>
  <si>
    <t>RB-01019</t>
  </si>
  <si>
    <t>P10-F01019</t>
  </si>
  <si>
    <t>Data/Scripts/Items/Magical/MagicSash.cs</t>
  </si>
  <si>
    <t>PBJ-0770</t>
  </si>
  <si>
    <t>Current source file exists at Data/Scripts/Items/Magical/MagicSash.cs; match=ExactFileClass; serializer evidence=Serialize:L25;Deserialize:L31;SerialCtor:L22;VersionWrite:L28;VersionRead:L34; class=Server.Items.MagicSash;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</si>
  <si>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path=Data/Scripts/Items/Magical/MagicSash.cs; backlog risk category=VersionHandling; write count=1; read count=1. POST-BATCH-J is triage only; no serialized layout edit is approved by this row.</t>
  </si>
  <si>
    <t>RB-01020</t>
  </si>
  <si>
    <t>P10-F01020</t>
  </si>
  <si>
    <t>Data/Scripts/Items/Magical/MagicTalisman.cs</t>
  </si>
  <si>
    <t>PBJ-0771</t>
  </si>
  <si>
    <t>Current source file exists at Data/Scripts/Items/Magical/MagicTalisman.cs; match=ExactFileClass; serializer evidence=Serialize:L490;Deserialize:L496;SerialCtor:L487;VersionWrite:L493;VersionRead:L499; class=Server.Items.MagicTalisman;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</si>
  <si>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path=Data/Scripts/Items/Magical/MagicTalisman.cs; backlog risk category=VersionHandling; write count=1; read count=1. POST-BATCH-J is triage only; no serialized layout edit is approved by this row.</t>
  </si>
  <si>
    <t>RB-01021</t>
  </si>
  <si>
    <t>P10-F01021</t>
  </si>
  <si>
    <t>Data/Scripts/Items/Magical/MagicTorch.cs</t>
  </si>
  <si>
    <t>PBJ-0772</t>
  </si>
  <si>
    <t>Current source file exists at Data/Scripts/Items/Magical/MagicTorch.cs; match=ExactFileClass; serializer evidence=Serialize:L101;Deserialize:L107;SerialCtor:L98;VersionWrite:L104;VersionRead:L110; class=Server.Items.MagicTorch;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</si>
  <si>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path=Data/Scripts/Items/Magical/MagicTorch.cs; backlog risk category=VersionHandling; write count=1; read count=1. POST-BATCH-J is triage only; no serialized layout edit is approved by this row.</t>
  </si>
  <si>
    <t>RB-01022</t>
  </si>
  <si>
    <t>P10-F01022</t>
  </si>
  <si>
    <t>Data/Scripts/Items/Magical/ManualOfItems.cs</t>
  </si>
  <si>
    <t>PBU-0028</t>
  </si>
  <si>
    <t>POST-BATCH-N lane=POST-BATCH-N-SAVE-MIGRATION-PLAN; FileProofStatus=CurrentPathConfirmed; Class=Server.Items.ManualOfItems; Serialize=L3000; Reader=DeserializeMethod:L3025; RegisterBase=BaseCallsFirst; RegisterVersion=SuspiciousOrder; RegisterAlignment=CountMatchNeedsTypeReview:UnknownWrites=19; Writes=20; Reads=20; WriteEvidence=L3003:Write((int)1); // version) | L3004:Write(m_Charges)) | L3005:Write(m_Skill_1)) | L3006:Write(m_Skill_2)) | L3007:Write(m_Skill_3)) | L3008:Write(m_Skill_4)) | L3009:Write(m_Skill_5)) | L3010:Write(m_Value_1)) | L3011:Write(m_Value_2)) | L3012:Write(m_Value_3)) | L3013:Write(m_Value_4)) | L3014:Write(m_Value_5)); ReadEvidence=L3028:ReadInt | L3029:ReadInt | L3030:ReadInt | L3031:ReadInt | L3032:ReadInt | L3033:ReadInt | L3034:ReadInt | L3035:ReadDouble | L3036:ReadDouble | L3037:ReadDouble | L3038:ReadDouble | L3039:ReadDouble; POST-BATCH-U direct source review=ScannerAmbiguityFalsePositive</t>
  </si>
  <si>
    <t>RB-01023</t>
  </si>
  <si>
    <t>P10-F01023</t>
  </si>
  <si>
    <t>Data/Scripts/Items/Magical/RuneOfVirtue.cs</t>
  </si>
  <si>
    <t>PBU-0029</t>
  </si>
  <si>
    <t>POST-BATCH-N lane=POST-BATCH-N-SAVE-MIGRATION-PLAN; FileProofStatus=CurrentPathConfirmed; Class=Server.Items.RuneOfVirtue; Serialize=L227; Reader=DeserializeMethod:L235; RegisterBase=BaseCallsFirst; RegisterVersion=SuspiciousOrder; RegisterAlignment=CountMatchNeedsTypeReview:UnknownWrites=1; Writes=3; Reads=3; WriteEvidence=L230:Write((int)1); // version) | L231:Write((Mobile)ItemOwner)) | L232:Write(ItemSide)); ReadEvidence=L238:ReadInt | L239:ReadMobile | L240:ReadInt; POST-BATCH-U direct source review=ScannerAmbiguityFalsePositive</t>
  </si>
  <si>
    <t>RB-01024</t>
  </si>
  <si>
    <t>P10-F01024</t>
  </si>
  <si>
    <t>Data/Scripts/Items/Magical/SavageTalisman.cs</t>
  </si>
  <si>
    <t>PBJ-0775</t>
  </si>
  <si>
    <t>Current source file exists at Data/Scripts/Items/Magical/SavageTalisman.cs; match=ExactFileClass; serializer evidence=Serialize:L73;Deserialize:L80;SerialCtor:L70;VersionWrite:L76;VersionRead:L83; class=Server.Items.SavageTalisman; kind=Item; HasSerialConstructor=True; BaseCallStatus=BaseCallsFirst; VersionHandling=SuspiciousOrder; FieldAlignment=AlignedByCountAndKnownTypes; MoveRenameRisk=NamespaceOrTypeRenameDanger; ReviewStatus=NeedsSourceReview; ReviewReasons=SuspiciousOrder</t>
  </si>
  <si>
    <t>Historical path=Data/Scripts/Items/Magical/SavageTalisman.cs; backlog risk category=VersionHandling; write count=2; read count=2. POST-BATCH-J is triage only; no serialized layout edit is approved by this row.</t>
  </si>
  <si>
    <t>RB-01026</t>
  </si>
  <si>
    <t>P10-F01026</t>
  </si>
  <si>
    <t>PBJ-0776</t>
  </si>
  <si>
    <t>Current source file exists at Data/Scripts/Items/Misc/AcidSlime.cs; match=ExactFileClass; serializer evidence=Serialize:L115;Deserialize:L117;SerialCtor:L112; class=Server.Items.AcidSlime; kind=Item; HasSerialConstructor=True; BaseCallStatus=MissingBaseSerialize; VersionHandling=NoVersionFound; FieldAlignment=AlignedByCountAndKnownTypes; MoveRenameRisk=NamespaceOrTypeRenameDanger; ReviewStatus=NeedsSourceReview; ReviewReasons=MissingBaseSerialize; NoVersionFound</t>
  </si>
  <si>
    <t>Historical path=Data/Scripts/Items/Misc/AcidSlime.cs; backlog risk category=VersionHandling; write count=0; read count=0. POST-BATCH-J is triage only; no serialized layout edit is approved by this row.</t>
  </si>
  <si>
    <t>RB-01029</t>
  </si>
  <si>
    <t>P10-F01029</t>
  </si>
  <si>
    <t>Data/Scripts/Items/Misc/CommunicationCrystals.cs</t>
  </si>
  <si>
    <t>PBJ-0777</t>
  </si>
  <si>
    <t>Current source file exists at Data/Scripts/Items/Misc/CommunicationCrystals.cs; match=ExactFileClass; serializer evidence=Serialize:L299;Deserialize:L309;SerialCtor:L108; class=Server.Items.BroadcastCrystal; kind=Item; HasSerialConstructor=True; BaseCallStatus=BaseCallsFirst; VersionHandling=NoVersionFound; FieldAlignment=AlignedByCountAndKnownTypes; MoveRenameRisk=NamespaceOrTypeRenameDanger; ReviewStatus=NeedsSourceReview; ReviewReasons=NoVersionFound</t>
  </si>
  <si>
    <t>Historical path=Data/Scripts/Items/Misc/CommunicationCrystals.cs; backlog risk category=VersionHandling; write count=2; read count=2. POST-BATCH-J is triage only; no serialized layout edit is approved by this row.</t>
  </si>
  <si>
    <t>RB-01030</t>
  </si>
  <si>
    <t>P10-F01030</t>
  </si>
  <si>
    <t>PBJ-0778</t>
  </si>
  <si>
    <t>Current source file exists at Data/Scripts/Items/Misc/CommunicationCrystals.cs; match=ExactFileClass; serializer evidence=Serialize:L491;Deserialize:L500;SerialCtor:L369; class=Server.Items.ReceiverCrystal; kind=Item; HasSerialConstructor=True; BaseCallStatus=BaseCallsFirst; VersionHandling=NoVersionFound; FieldAlignment=AlignedByCountAndKnownTypes; MoveRenameRisk=NamespaceOrTypeRenameDanger; ReviewStatus=NeedsSourceReview; ReviewReasons=NoVersionFound</t>
  </si>
  <si>
    <t>Historical path=Data/Scripts/Items/Misc/CommunicationCrystals.cs; backlog risk category=VersionHandling; write count=1; read count=1. POST-BATCH-J is triage only; no serialized layout edit is approved by this row.</t>
  </si>
  <si>
    <t>RB-01031</t>
  </si>
  <si>
    <t>P10-F01031</t>
  </si>
  <si>
    <t>Data/Scripts/Items/Misc/Dyes/Essence/EssenceOrb.cs</t>
  </si>
  <si>
    <t>PBU-0030</t>
  </si>
  <si>
    <t>POST-BATCH-N lane=POST-BATCH-N-SAVE-MIGRATION-PLAN; FileProofStatus=CurrentPathConfirmed; Class=Server.Items.EssenceOrb; Serialize=L189; Reader=DeserializeMethod:L202; RegisterBase=BaseCallsFirst; RegisterVersion=SuspiciousOrder; RegisterAlignment=CountMatchNeedsTypeReview:UnknownWrites=7; Writes=8; Reads=8; WriteEvidence=L192:Write((int)1); // version) | L193:Write(m_Owner)) | L194:Write(m_MorphHue)) | L195:Write(m_MorphHairHue)) | L196:Write(m_MorphName)) | L197:Write(m_OriginalName)) | L198:Write(m_Status)) | L199:Write(m_Type)); ReadEvidence=L205:ReadInt | L206:ReadMobile | L207:ReadInt | L208:ReadInt | L209:ReadString | L210:ReadString | L211:ReadInt | L212:ReadString; POST-BATCH-U direct source review=ScannerAmbiguityFalsePositive</t>
  </si>
  <si>
    <t>RB-01033</t>
  </si>
  <si>
    <t>P10-F01033</t>
  </si>
  <si>
    <t>PBJ-0780</t>
  </si>
  <si>
    <t>Current source file exists at Data/Scripts/Items/Misc/Firebomb.cs; match=ExactFileClass; serializer evidence=Serialize:L31;Deserialize:L38;SerialCtor:L28; class=Server.Items.Firebomb; kind=Item; HasSerialConstructor=True; BaseCallStatus=BaseCallsFirst; VersionHandling=NoVersionFound; FieldAlignment=AlignedByCountAndKnownTypes; MoveRenameRisk=NamespaceOrTypeRenameDanger; ReviewStatus=NeedsSourceReview; ReviewReasons=NoVersionFound</t>
  </si>
  <si>
    <t>Historical path=Data/Scripts/Items/Misc/Firebomb.cs; backlog risk category=VersionHandling; write count=1; read count=1. POST-BATCH-J is triage only; no serialized layout edit is approved by this row.</t>
  </si>
  <si>
    <t>RB-01035</t>
  </si>
  <si>
    <t>P10-F01035</t>
  </si>
  <si>
    <t>PBJ-0781</t>
  </si>
  <si>
    <t>Current source file exists at Data/Scripts/Items/Misc/Firebomb.cs; match=ExactFileClass; serializer evidence=Serialize:L244;Deserialize:L249;SerialCtor:L241; class=Server.Items.FirebombField; kind=Item; HasSerialConstructor=True; BaseCallStatus=MissingBaseSerialize; VersionHandling=NoVersionFound; FieldAlignment=AlignedByCountAndKnownTypes; MoveRenameRisk=NamespaceOrTypeRenameDanger; ReviewStatus=NeedsSourceReview; ReviewReasons=MissingBaseSerialize; NoVersionFound</t>
  </si>
  <si>
    <t>Historical path=Data/Scripts/Items/Misc/Firebomb.cs; backlog risk category=VersionHandling; write count=0; read count=0. POST-BATCH-J is triage only; no serialized layout edit is approved by this row.</t>
  </si>
  <si>
    <t>RB-01036</t>
  </si>
  <si>
    <t>P10-F01036</t>
  </si>
  <si>
    <t>Data/Scripts/Items/Misc/Games/Mahjong/MahjongDealerIndicator.cs</t>
  </si>
  <si>
    <t>PBJ-0782</t>
  </si>
  <si>
    <t>Current source file exists at Data/Scripts/Items/Misc/Games/Mahjong/MahjongDealerIndicator.cs;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</si>
  <si>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path=Data/Scripts/Items/Misc/Games/Mahjong/MahjongDealerIndicator.cs; backlog risk category=MissingSerialConstructor; write count=0; read count=0. POST-BATCH-J is triage only; no serialized layout edit is approved by this row.</t>
  </si>
  <si>
    <t>RB-01037</t>
  </si>
  <si>
    <t>P10-F01037</t>
  </si>
  <si>
    <t>PBJ-0783</t>
  </si>
  <si>
    <t>Historical path=Data/Scripts/Items/Misc/Games/Mahjong/MahjongDealerIndicator.cs; backlog risk category=MissingSerializerPair; write count=0; read count=0. POST-BATCH-J is triage only; no serialized layout edit is approved by this row.</t>
  </si>
  <si>
    <t>RB-01038</t>
  </si>
  <si>
    <t>P10-F01038</t>
  </si>
  <si>
    <t>PBJ-0784</t>
  </si>
  <si>
    <t>Historical path=Data/Scripts/Items/Misc/Games/Mahjong/MahjongDealerIndicator.cs; backlog risk category=VersionHandling; write count=0; read count=0. POST-BATCH-J is triage only; no serialized layout edit is approved by this row.</t>
  </si>
  <si>
    <t>RB-01039</t>
  </si>
  <si>
    <t>P10-F01039</t>
  </si>
  <si>
    <t>Data/Scripts/Items/Misc/Games/Mahjong/MahjongDices.cs</t>
  </si>
  <si>
    <t>PBJ-0785</t>
  </si>
  <si>
    <t>Current source file exists at Data/Scripts/Items/Misc/Games/Mahjong/MahjongDices.cs;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</si>
  <si>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path=Data/Scripts/Items/Misc/Games/Mahjong/MahjongDices.cs; backlog risk category=MissingSerialConstructor; write count=0; read count=0. POST-BATCH-J is triage only; no serialized layout edit is approved by this row.</t>
  </si>
  <si>
    <t>RB-01040</t>
  </si>
  <si>
    <t>P10-F01040</t>
  </si>
  <si>
    <t>PBJ-0786</t>
  </si>
  <si>
    <t>Historical path=Data/Scripts/Items/Misc/Games/Mahjong/MahjongDices.cs; backlog risk category=MissingSerializerPair; write count=0; read count=0. POST-BATCH-J is triage only; no serialized layout edit is approved by this row.</t>
  </si>
  <si>
    <t>RB-01041</t>
  </si>
  <si>
    <t>P10-F01041</t>
  </si>
  <si>
    <t>PBJ-0787</t>
  </si>
  <si>
    <t>Historical path=Data/Scripts/Items/Misc/Games/Mahjong/MahjongDices.cs; backlog risk category=VersionHandling; write count=0; read count=0. POST-BATCH-J is triage only; no serialized layout edit is approved by this row.</t>
  </si>
  <si>
    <t>RB-01042</t>
  </si>
  <si>
    <t>P10-F01042</t>
  </si>
  <si>
    <t>Data/Scripts/Items/Misc/Games/Mahjong/MahjongPlayers.cs</t>
  </si>
  <si>
    <t>PBJ-0788</t>
  </si>
  <si>
    <t>Current source file exists at Data/Scripts/Items/Misc/Games/Mahjong/MahjongPlayers.cs;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</si>
  <si>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path=Data/Scripts/Items/Misc/Games/Mahjong/MahjongPlayers.cs; backlog risk category=MissingSerialConstructor; write count=0; read count=0. POST-BATCH-J is triage only; no serialized layout edit is approved by this row.</t>
  </si>
  <si>
    <t>RB-01043</t>
  </si>
  <si>
    <t>P10-F01043</t>
  </si>
  <si>
    <t>PBJ-0789</t>
  </si>
  <si>
    <t>Historical path=Data/Scripts/Items/Misc/Games/Mahjong/MahjongPlayers.cs; backlog risk category=MissingSerializerPair; write count=0; read count=0. POST-BATCH-J is triage only; no serialized layout edit is approved by this row.</t>
  </si>
  <si>
    <t>RB-01044</t>
  </si>
  <si>
    <t>P10-F01044</t>
  </si>
  <si>
    <t>PBJ-0790</t>
  </si>
  <si>
    <t>Historical path=Data/Scripts/Items/Misc/Games/Mahjong/MahjongPlayers.cs; backlog risk category=VersionHandling; write count=0; read count=0. POST-BATCH-J is triage only; no serialized layout edit is approved by this row.</t>
  </si>
  <si>
    <t>RB-01045</t>
  </si>
  <si>
    <t>P10-F01045</t>
  </si>
  <si>
    <t>Data/Scripts/Items/Misc/Games/Mahjong/MahjongTile.cs</t>
  </si>
  <si>
    <t>PBJ-0791</t>
  </si>
  <si>
    <t>Current source file exists at Data/Scripts/Items/Misc/Games/Mahjong/MahjongTile.cs;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</si>
  <si>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path=Data/Scripts/Items/Misc/Games/Mahjong/MahjongTile.cs; backlog risk category=MissingSerialConstructor; write count=0; read count=0. POST-BATCH-J is triage only; no serialized layout edit is approved by this row.</t>
  </si>
  <si>
    <t>RB-01046</t>
  </si>
  <si>
    <t>P10-F01046</t>
  </si>
  <si>
    <t>PBJ-0792</t>
  </si>
  <si>
    <t>Historical path=Data/Scripts/Items/Misc/Games/Mahjong/MahjongTile.cs; backlog risk category=MissingSerializerPair; write count=0; read count=0. POST-BATCH-J is triage only; no serialized layout edit is approved by this row.</t>
  </si>
  <si>
    <t>RB-01047</t>
  </si>
  <si>
    <t>P10-F01047</t>
  </si>
  <si>
    <t>PBJ-0793</t>
  </si>
  <si>
    <t>Historical path=Data/Scripts/Items/Misc/Games/Mahjong/MahjongTile.cs; backlog risk category=VersionHandling; write count=0; read count=0. POST-BATCH-J is triage only; no serialized layout edit is approved by this row.</t>
  </si>
  <si>
    <t>RB-01048</t>
  </si>
  <si>
    <t>P10-F01048</t>
  </si>
  <si>
    <t>Data/Scripts/Items/Misc/Games/Mahjong/MahjongWallBreakIndicator.cs</t>
  </si>
  <si>
    <t>PBJ-0794</t>
  </si>
  <si>
    <t>Current source file exists at Data/Scripts/Items/Misc/Games/Mahjong/MahjongWallBreakIndicator.cs; match=ExactFileClass; serializer evidence=; class=Unknown; kind=Item;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</si>
  <si>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path=Data/Scripts/Items/Misc/Games/Mahjong/MahjongWallBreakIndicator.cs; backlog risk category=MissingSerialConstructor; write count=0; read count=0. POST-BATCH-J is triage only; no serialized layout edit is approved by this row.</t>
  </si>
  <si>
    <t>RB-01049</t>
  </si>
  <si>
    <t>P10-F01049</t>
  </si>
  <si>
    <t>PBJ-0795</t>
  </si>
  <si>
    <t>Historical path=Data/Scripts/Items/Misc/Games/Mahjong/MahjongWallBreakIndicator.cs; backlog risk category=MissingSerializerPair; write count=0; read count=0. POST-BATCH-J is triage only; no serialized layout edit is approved by this row.</t>
  </si>
  <si>
    <t>RB-01050</t>
  </si>
  <si>
    <t>P10-F01050</t>
  </si>
  <si>
    <t>PBJ-0796</t>
  </si>
  <si>
    <t>Historical path=Data/Scripts/Items/Misc/Games/Mahjong/MahjongWallBreakIndicator.cs; backlog risk category=VersionHandling; write count=0; read count=0. POST-BATCH-J is triage only; no serialized layout edit is approved by this row.</t>
  </si>
  <si>
    <t>RB-01052</t>
  </si>
  <si>
    <t>P10-F01052</t>
  </si>
  <si>
    <t>Data/Scripts/Items/Misc/Guillotine.cs</t>
  </si>
  <si>
    <t>PBJ-0797</t>
  </si>
  <si>
    <t>Current source file exists at Data/Scripts/Items/Misc/Guillotine.cs; match=ExactFileClass; serializer evidence=Serialize:L98;Deserialize:L105;SerialCtor:L95; class=Server.Items.Guillotine; kind=Item; HasSerialConstructor=True; BaseCallStatus=BaseCallsFirst; VersionHandling=NoVersionFound; FieldAlignment=AlignedByCountAndKnownTypes; MoveRenameRisk=NamespaceOrTypeRenameDanger; ReviewStatus=NeedsSourceReview; ReviewReasons=NoVersionFound</t>
  </si>
  <si>
    <t>Historical path=Data/Scripts/Items/Misc/Guillotine.cs; backlog risk category=VersionHandling; write count=1; read count=1. POST-BATCH-J is triage only; no serialized layout edit is approved by this row.</t>
  </si>
  <si>
    <t>RB-01053</t>
  </si>
  <si>
    <t>P10-F01053</t>
  </si>
  <si>
    <t>Data/Scripts/Items/Misc/KeyRing.cs</t>
  </si>
  <si>
    <t>PBJ-0798</t>
  </si>
  <si>
    <t>Current source file exists at Data/Scripts/Items/Misc/KeyRing.cs; match=ExactFileClass; serializer evidence=Serialize:L193;Deserialize:L202;SerialCtor:L190; class=Server.Items.KeyRing; kind=Item; HasSerialConstructor=True; BaseCallStatus=BaseCallsFirst; VersionHandling=NoVersionFound; FieldAlignment=AlignedByCountAndKnownTypes; MoveRenameRisk=NamespaceOrTypeRenameDanger; ReviewStatus=NeedsSourceReview; ReviewReasons=NoVersionFound</t>
  </si>
  <si>
    <t>Historical path=Data/Scripts/Items/Misc/KeyRing.cs; backlog risk category=VersionHandling; write count=1; read count=1. POST-BATCH-J is triage only; no serialized layout edit is approved by this row.</t>
  </si>
  <si>
    <t>RB-01054</t>
  </si>
  <si>
    <t>P10-F01054</t>
  </si>
  <si>
    <t>Data/Scripts/Items/Misc/Origami.cs</t>
  </si>
  <si>
    <t>PBJ-0799</t>
  </si>
  <si>
    <t>Current source file exists at Data/Scripts/Items/Misc/Origami.cs; match=ExactFileClass; serializer evidence=Serialize:L94;Deserialize:L101;SerialCtor:L91; class=Server.Items.OrigamiButterfly; kind=Item; HasSerialConstructor=True; BaseCallStatus=BaseCallsFirst; VersionHandling=NoVersionFound; FieldAlignment=AlignedByCountAndKnownTypes; MoveRenameRisk=NamespaceOrTypeRenameDanger; ReviewStatus=NeedsSourceReview; ReviewReasons=NoVersionFound</t>
  </si>
  <si>
    <t>Historical path=Data/Scripts/Items/Misc/Origami.cs; backlog risk category=VersionHandling; write count=1; read count=1. POST-BATCH-J is triage only; no serialized layout edit is approved by this row.</t>
  </si>
  <si>
    <t>RB-01055</t>
  </si>
  <si>
    <t>P10-F01055</t>
  </si>
  <si>
    <t>PBJ-0800</t>
  </si>
  <si>
    <t>Current source file exists at Data/Scripts/Items/Misc/Origami.cs; match=ExactFileClass; serializer evidence=Serialize:L254;Deserialize:L261;SerialCtor:L251; class=Server.Items.OrigamiFish; kind=Item; HasSerialConstructor=True; BaseCallStatus=BaseCallsFirst; VersionHandling=NoVersionFound; FieldAlignment=AlignedByCountAndKnownTypes; MoveRenameRisk=NamespaceOrTypeRenameDanger; ReviewStatus=NeedsSourceReview; ReviewReasons=NoVersionFound</t>
  </si>
  <si>
    <t>RB-01056</t>
  </si>
  <si>
    <t>P10-F01056</t>
  </si>
  <si>
    <t>PBJ-0801</t>
  </si>
  <si>
    <t>Current source file exists at Data/Scripts/Items/Misc/Origami.cs; match=ExactFileClass; serializer evidence=Serialize:L158;Deserialize:L165;SerialCtor:L155; class=Server.Items.OrigamiFrog; kind=Item; HasSerialConstructor=True; BaseCallStatus=BaseCallsFirst; VersionHandling=NoVersionFound; FieldAlignment=AlignedByCountAndKnownTypes; MoveRenameRisk=NamespaceOrTypeRenameDanger; ReviewStatus=NeedsSourceReview; ReviewReasons=NoVersionFound</t>
  </si>
  <si>
    <t>RB-01057</t>
  </si>
  <si>
    <t>P10-F01057</t>
  </si>
  <si>
    <t>PBJ-0802</t>
  </si>
  <si>
    <t>Current source file exists at Data/Scripts/Items/Misc/Origami.cs; match=ExactFileClass; serializer evidence=Serialize:L62;Deserialize:L69;SerialCtor:L18; class=Server.Items.OrigamiPaper; kind=Item; HasSerialConstructor=True; BaseCallStatus=BaseCallsFirst; VersionHandling=NoVersionFound; FieldAlignment=AlignedByCountAndKnownTypes; MoveRenameRisk=NamespaceOrTypeRenameDanger; ReviewStatus=NeedsSourceReview; ReviewReasons=NoVersionFound</t>
  </si>
  <si>
    <t>RB-01058</t>
  </si>
  <si>
    <t>P10-F01058</t>
  </si>
  <si>
    <t>PBJ-0803</t>
  </si>
  <si>
    <t>Current source file exists at Data/Scripts/Items/Misc/Origami.cs; match=ExactFileClass; serializer evidence=Serialize:L190;Deserialize:L197;SerialCtor:L187; class=Server.Items.OrigamiShape; kind=Item; HasSerialConstructor=True; BaseCallStatus=BaseCallsFirst; VersionHandling=NoVersionFound; FieldAlignment=AlignedByCountAndKnownTypes; MoveRenameRisk=NamespaceOrTypeRenameDanger; ReviewStatus=NeedsSourceReview; ReviewReasons=NoVersionFound</t>
  </si>
  <si>
    <t>RB-01059</t>
  </si>
  <si>
    <t>P10-F01059</t>
  </si>
  <si>
    <t>PBJ-0804</t>
  </si>
  <si>
    <t>Current source file exists at Data/Scripts/Items/Misc/Origami.cs; match=ExactFileClass; serializer evidence=Serialize:L222;Deserialize:L229;SerialCtor:L219; class=Server.Items.OrigamiSongbird; kind=Item; HasSerialConstructor=True; BaseCallStatus=BaseCallsFirst; VersionHandling=NoVersionFound; FieldAlignment=AlignedByCountAndKnownTypes; MoveRenameRisk=NamespaceOrTypeRenameDanger; ReviewStatus=NeedsSourceReview; ReviewReasons=NoVersionFound</t>
  </si>
  <si>
    <t>RB-01060</t>
  </si>
  <si>
    <t>P10-F01060</t>
  </si>
  <si>
    <t>PBJ-0805</t>
  </si>
  <si>
    <t>Current source file exists at Data/Scripts/Items/Misc/Origami.cs; match=ExactFileClass; serializer evidence=Serialize:L126;Deserialize:L133;SerialCtor:L123; class=Server.Items.OrigamiSwan; kind=Item; HasSerialConstructor=True; BaseCallStatus=BaseCallsFirst; VersionHandling=NoVersionFound; FieldAlignment=AlignedByCountAndKnownTypes; MoveRenameRisk=NamespaceOrTypeRenameDanger; ReviewStatus=NeedsSourceReview; ReviewReasons=NoVersionFound</t>
  </si>
  <si>
    <t>RB-01062</t>
  </si>
  <si>
    <t>P10-F01062</t>
  </si>
  <si>
    <t>PBW-0028</t>
  </si>
  <si>
    <t>Current source file exists at Data/Scripts/Items/Misc/PlayerBulletinBoards.cs; prior POST-BATCH-J row=PBJ-0806; register evidence=Serialize:L387; class=Server.Items.PlayerBBMessage; kind=Item; HasSerialConstructor=False; BaseCallStatus=MissingBaseSerialize; VersionHandling=NoVersionFound; FieldAlignment=CountMismatch:Writes=4;Reads=0; direct source review=Source-reviewed helper serializer: GenericReader constructor L371-L383 reads encoded version, date, poster, message; Serialize L387-L393 writes matching version, date, poster, message.</t>
  </si>
  <si>
    <t>POST-BATCH-W disposition of historical POST-BATCH-J NeedsMigrationPlan row; previous review row PBJ-0806; review class HelperSerializerReviewedNoChange.</t>
  </si>
  <si>
    <t>RB-01063</t>
  </si>
  <si>
    <t>P10-F01063</t>
  </si>
  <si>
    <t>PBW-0029</t>
  </si>
  <si>
    <t>Current source file exists at Data/Scripts/Items/Misc/PlayerBulletinBoards.cs; prior POST-BATCH-J row=PBJ-0807; register evidence=Serialize:L387; class=Server.Items.PlayerBBMessage; kind=Item; HasSerialConstructor=False; BaseCallStatus=MissingBaseSerialize; VersionHandling=NoVersionFound; FieldAlignment=CountMismatch:Writes=4;Reads=0; direct source review=Source-reviewed helper serializer: GenericReader constructor L371-L383 reads encoded version, date, poster, message; Serialize L387-L393 writes matching version, date, poster, message.</t>
  </si>
  <si>
    <t>POST-BATCH-W disposition of historical POST-BATCH-J NeedsMigrationPlan row; previous review row PBJ-0807; review class HelperSerializerReviewedNoChange.</t>
  </si>
  <si>
    <t>RB-01065</t>
  </si>
  <si>
    <t>P10-F01065</t>
  </si>
  <si>
    <t>PBW-0030</t>
  </si>
  <si>
    <t>Current source file exists at Data/Scripts/Items/Misc/PlayerBulletinBoards.cs; prior POST-BATCH-J row=PBJ-0808; register evidence=Serialize:L387; class=Server.Items.PlayerBBMessage; kind=Item; HasSerialConstructor=False; BaseCallStatus=MissingBaseSerialize; VersionHandling=NoVersionFound; FieldAlignment=CountMismatch:Writes=4;Reads=0; direct source review=Source-reviewed helper serializer: GenericReader constructor L371-L383 reads encoded version, date, poster, message; Serialize L387-L393 writes matching version, date, poster, message.</t>
  </si>
  <si>
    <t>POST-BATCH-W disposition of historical POST-BATCH-J NeedsMigrationPlan row; previous review row PBJ-0808; review class HelperSerializerReviewedNoChange.</t>
  </si>
  <si>
    <t>RB-01068</t>
  </si>
  <si>
    <t>P10-F01068</t>
  </si>
  <si>
    <t>PBJ-0809</t>
  </si>
  <si>
    <t>Current source file exists at Data/Scripts/Items/Misc/PoolOfAcid.cs; match=ExactFileClass; serializer evidence=Serialize:L114;Deserialize:L119;SerialCtor:L111; class=Server.Items.PoolOfAcid; kind=Item; HasSerialConstructor=True; BaseCallStatus=MissingBaseSerialize; VersionHandling=NoVersionFound; FieldAlignment=AlignedByCountAndKnownTypes; MoveRenameRisk=NamespaceOrTypeRenameDanger; ReviewStatus=NeedsSourceReview; ReviewReasons=MissingBaseSerialize; NoVersionFound</t>
  </si>
  <si>
    <t>Historical path=Data/Scripts/Items/Misc/PoolOfAcid.cs; backlog risk category=VersionHandling; write count=0; read count=0. POST-BATCH-J is triage only; no serialized layout edit is approved by this row.</t>
  </si>
  <si>
    <t>RB-01069</t>
  </si>
  <si>
    <t>P10-F01069</t>
  </si>
  <si>
    <t>PBW-0031</t>
  </si>
  <si>
    <t>Current source file exists at Data/Scripts/Items/Misc/PowerGenerator.cs; prior POST-BATCH-J row=PBJ-0810; register evidence=Serialize:L603;Deserialize:L621;SerialCtor:L600; class=Server.Items.ControlPanel; kind=Addon; HasSerialConstructor=True; BaseCallStatus=BaseCallsFirst; VersionHandling=NoVersionFound; FieldAlignment=CountMismatch:Writes=5;Reads=4; direct source review=Source-reviewed ordinary serializer: Serial ctor L600-L601, base calls L605/L623, encoded version L607/L625, side length and path nodes L609-L618/L627-L632.</t>
  </si>
  <si>
    <t>POST-BATCH-W disposition of historical POST-BATCH-J NeedsMigrationPlan row; previous review row PBJ-0810; review class ScannerAmbiguityFalsePositive.</t>
  </si>
  <si>
    <t>RB-01071</t>
  </si>
  <si>
    <t>P10-F01071</t>
  </si>
  <si>
    <t>PBJ-0811</t>
  </si>
  <si>
    <t>Current source file exists at Data/Scripts/Items/Misc/PowerGenerator.cs; match=ExactFileClass; serializer evidence=Serialize:L43;Deserialize:L50;SerialCtor:L40; class=Server.Items.PowerGenerator; kind=Addon; HasSerialConstructor=True; BaseCallStatus=BaseCallsFirst; VersionHandling=NoVersionFound; FieldAlignment=AlignedByCountAndKnownTypes; MoveRenameRisk=NamespaceOrTypeRenameDanger; ReviewStatus=NeedsSourceReview; ReviewReasons=NoVersionFound</t>
  </si>
  <si>
    <t>Historical path=Data/Scripts/Items/Misc/PowerGenerator.cs; backlog risk category=VersionHandling; write count=1; read count=1. POST-BATCH-J is triage only; no serialized layout edit is approved by this row.</t>
  </si>
  <si>
    <t>RB-01072</t>
  </si>
  <si>
    <t>P10-F01072</t>
  </si>
  <si>
    <t>Data/Scripts/Items/Misc/Rares.cs</t>
  </si>
  <si>
    <t>PBJ-0812</t>
  </si>
  <si>
    <t>Current source file exists at Data/Scripts/Items/Misc/Rares.cs; match=ExactFileClass; serializer evidence=Serialize:L462;Deserialize:L469;SerialCtor:L459; class=Server.Items.ChiselsNorth; kind=Item; HasSerialConstructor=True; BaseCallStatus=BaseCallsFirst; VersionHandling=NoVersionFound; FieldAlignment=AlignedByCountAndKnownTypes; MoveRenameRisk=NamespaceOrTypeRenameDanger; ReviewStatus=NeedsSourceReview; ReviewReasons=NoVersionFound</t>
  </si>
  <si>
    <t>Historical path=Data/Scripts/Items/Misc/Rares.cs; backlog risk category=VersionHandling; write count=1; read count=1. POST-BATCH-J is triage only; no serialized layout edit is approved by this row.</t>
  </si>
  <si>
    <t>RB-01073</t>
  </si>
  <si>
    <t>P10-F01073</t>
  </si>
  <si>
    <t>PBJ-0813</t>
  </si>
  <si>
    <t>Current source file exists at Data/Scripts/Items/Misc/Rares.cs; match=ExactFileClass; serializer evidence=Serialize:L489;Deserialize:L496;SerialCtor:L486; class=Server.Items.ChiselsWest; kind=Item; HasSerialConstructor=True; BaseCallStatus=BaseCallsFirst; VersionHandling=NoVersionFound; FieldAlignment=AlignedByCountAndKnownTypes; MoveRenameRisk=NamespaceOrTypeRenameDanger; ReviewStatus=NeedsSourceReview; ReviewReasons=NoVersionFound</t>
  </si>
  <si>
    <t>RB-01074</t>
  </si>
  <si>
    <t>P10-F01074</t>
  </si>
  <si>
    <t>PBJ-0814</t>
  </si>
  <si>
    <t>Current source file exists at Data/Scripts/Items/Misc/Rares.cs; match=ExactFileClass; serializer evidence=Serialize:L624;Deserialize:L631;SerialCtor:L621; class=Server.Items.DirtyFrypan; kind=Item; HasSerialConstructor=True; BaseCallStatus=BaseCallsFirst; VersionHandling=NoVersionFound; FieldAlignment=AlignedByCountAndKnownTypes; MoveRenameRisk=NamespaceOrTypeRenameDanger; ReviewStatus=NeedsSourceReview; ReviewReasons=NoVersionFound</t>
  </si>
  <si>
    <t>RB-01075</t>
  </si>
  <si>
    <t>P10-F01075</t>
  </si>
  <si>
    <t>PBJ-0815</t>
  </si>
  <si>
    <t>Current source file exists at Data/Scripts/Items/Misc/Rares.cs; match=ExactFileClass; serializer evidence=Serialize:L678;Deserialize:L685;SerialCtor:L675; class=Server.Items.DirtyKettle; kind=Item; HasSerialConstructor=True; BaseCallStatus=BaseCallsFirst; VersionHandling=NoVersionFound; FieldAlignment=AlignedByCountAndKnownTypes; MoveRenameRisk=NamespaceOrTypeRenameDanger; ReviewStatus=NeedsSourceReview; ReviewReasons=NoVersionFound</t>
  </si>
  <si>
    <t>RB-01076</t>
  </si>
  <si>
    <t>P10-F01076</t>
  </si>
  <si>
    <t>PBJ-0816</t>
  </si>
  <si>
    <t>Current source file exists at Data/Scripts/Items/Misc/Rares.cs; match=ExactFileClass; serializer evidence=Serialize:L516;Deserialize:L523;SerialCtor:L513; class=Server.Items.DirtyPan; kind=Item; HasSerialConstructor=True; BaseCallStatus=BaseCallsFirst; VersionHandling=NoVersionFound; FieldAlignment=AlignedByCountAndKnownTypes; MoveRenameRisk=NamespaceOrTypeRenameDanger; ReviewStatus=NeedsSourceReview; ReviewReasons=NoVersionFound</t>
  </si>
  <si>
    <t>RB-01077</t>
  </si>
  <si>
    <t>P10-F01077</t>
  </si>
  <si>
    <t>PBJ-0817</t>
  </si>
  <si>
    <t>Current source file exists at Data/Scripts/Items/Misc/Rares.cs; match=ExactFileClass; serializer evidence=Serialize:L570;Deserialize:L577;SerialCtor:L567; class=Server.Items.DirtyPot; kind=Item; HasSerialConstructor=True; BaseCallStatus=BaseCallsFirst; VersionHandling=NoVersionFound; FieldAlignment=AlignedByCountAndKnownTypes; MoveRenameRisk=NamespaceOrTypeRenameDanger; ReviewStatus=NeedsSourceReview; ReviewReasons=NoVersionFound</t>
  </si>
  <si>
    <t>RB-01078</t>
  </si>
  <si>
    <t>P10-F01078</t>
  </si>
  <si>
    <t>PBJ-0818</t>
  </si>
  <si>
    <t>Current source file exists at Data/Scripts/Items/Misc/Rares.cs; match=ExactFileClass; serializer evidence=Serialize:L597;Deserialize:L604;SerialCtor:L594; class=Server.Items.DirtyRoundPot; kind=Item; HasSerialConstructor=True; BaseCallStatus=BaseCallsFirst; VersionHandling=NoVersionFound; FieldAlignment=AlignedByCountAndKnownTypes; MoveRenameRisk=NamespaceOrTypeRenameDanger; ReviewStatus=NeedsSourceReview; ReviewReasons=NoVersionFound</t>
  </si>
  <si>
    <t>RB-01079</t>
  </si>
  <si>
    <t>P10-F01079</t>
  </si>
  <si>
    <t>PBJ-0819</t>
  </si>
  <si>
    <t>Current source file exists at Data/Scripts/Items/Misc/Rares.cs; match=ExactFileClass; serializer evidence=Serialize:L651;Deserialize:L658;SerialCtor:L648; class=Server.Items.DirtySmallPot; kind=Item; HasSerialConstructor=True; BaseCallStatus=BaseCallsFirst; VersionHandling=NoVersionFound; FieldAlignment=AlignedByCountAndKnownTypes; MoveRenameRisk=NamespaceOrTypeRenameDanger; ReviewStatus=NeedsSourceReview; ReviewReasons=NoVersionFound</t>
  </si>
  <si>
    <t>RB-01080</t>
  </si>
  <si>
    <t>P10-F01080</t>
  </si>
  <si>
    <t>PBJ-0820</t>
  </si>
  <si>
    <t>Current source file exists at Data/Scripts/Items/Misc/Rares.cs; match=ExactFileClass; serializer evidence=Serialize:L543;Deserialize:L550;SerialCtor:L540; class=Server.Items.DirtySmallRoundPot; kind=Item; HasSerialConstructor=True; BaseCallStatus=BaseCallsFirst; VersionHandling=NoVersionFound; FieldAlignment=AlignedByCountAndKnownTypes; MoveRenameRisk=NamespaceOrTypeRenameDanger; ReviewStatus=NeedsSourceReview; ReviewReasons=NoVersionFound</t>
  </si>
  <si>
    <t>RB-01081</t>
  </si>
  <si>
    <t>P10-F01081</t>
  </si>
  <si>
    <t>PBW-0032</t>
  </si>
  <si>
    <t>Current source file exists at Data/Scripts/Items/Misc/SerpentPillar.cs; prior POST-BATCH-J row=PBJ-0821; register evidence=Serialize:L105;Deserialize:L116;SerialCtor:L102; class=Server.Items.SerpentPillar; kind=Item; HasSerialConstructor=True; BaseCallStatus=BaseCallsFirst; VersionHandling=NoVersionFound; FieldAlignment=TypeMismatch:#4:Write=Rectangle2D/Read=Rect2D; direct source review=Source-reviewed ordinary serializer: Serial ctor L102-L103, base calls L107/L118, encoded version L109/L120, active/word/Rectangle2D write L111-L113 and bool/string/ReadRect2D read L122-L124.</t>
  </si>
  <si>
    <t>POST-BATCH-W disposition of historical POST-BATCH-J NeedsMigrationPlan row; previous review row PBJ-0821; review class ScannerAmbiguityFalsePositive.</t>
  </si>
  <si>
    <t>RB-01083</t>
  </si>
  <si>
    <t>P10-F01083</t>
  </si>
  <si>
    <t>Data/Scripts/Items/Misc/Static.cs</t>
  </si>
  <si>
    <t>PBJ-0822</t>
  </si>
  <si>
    <t>Current source file exists at Data/Scripts/Items/Misc/Static.cs; match=ExactFileClass; serializer evidence=Serialize:L80;Deserialize:L88;SerialCtor:L77; class=Server.Items.LocalizedStatic; kind=Item; HasSerialConstructor=True; BaseCallStatus=BaseCallsFirst; VersionHandling=NoVersionFound; FieldAlignment=AlignedByCountAndKnownTypes; MoveRenameRisk=NamespaceOrTypeRenameDanger; ReviewStatus=NeedsSourceReview; ReviewReasons=NoVersionFound</t>
  </si>
  <si>
    <t>Historical path=Data/Scripts/Items/Misc/Static.cs; backlog risk category=VersionHandling; write count=2; read count=2. POST-BATCH-J is triage only; no serialized layout edit is approved by this row.</t>
  </si>
  <si>
    <t>RB-01084</t>
  </si>
  <si>
    <t>P10-F01084</t>
  </si>
  <si>
    <t>Data/Scripts/Items/Potions/AlchemyTub.cs</t>
  </si>
  <si>
    <t>PBJ-0823</t>
  </si>
  <si>
    <t>Current source file exists at Data/Scripts/Items/Potions/AlchemyTub.cs; match=ExactFileClass; serializer evidence=Serialize:L27;Deserialize:L33;SerialCtor:L24;VersionWrite:L30;VersionRead:L36; class=Server.Items.AlchemyTub; kind=Item; HasSerialConstructor=True; BaseCallStatus=BaseCallsFirst; VersionHandling=SuspiciousOrder; FieldAlignment=AlignedByCountAndKnownTypes; MoveRenameRisk=NamespaceOrTypeRenameDanger; ReviewStatus=NeedsSourceReview; ReviewReasons=SuspiciousOrder</t>
  </si>
  <si>
    <t>Historical path=Data/Scripts/Items/Potions/AlchemyTub.cs; backlog risk category=VersionHandling; write count=1; read count=1. POST-BATCH-J is triage only; no serialized layout edit is approved by this row.</t>
  </si>
  <si>
    <t>RB-01085</t>
  </si>
  <si>
    <t>P10-F01085</t>
  </si>
  <si>
    <t>Data/Scripts/Items/Special/BarbaricSatchel.cs</t>
  </si>
  <si>
    <t>PBJ-0824</t>
  </si>
  <si>
    <t>Current source file exists at Data/Scripts/Items/Special/BarbaricSatchel.cs; match=ExactFileClass; serializer evidence=Serialize:L265;Deserialize:L272;SerialCtor:L253;VersionWrite:L268;VersionRead:L275; class=Server.Items.BarbaricSatchel; kind=Item; HasSerialConstructor=True; BaseCallStatus=BaseCallsFirst; VersionHandling=SuspiciousOrder; FieldAlignment=AlignedByCountAndKnownTypes; MoveRenameRisk=NamespaceOrTypeRenameDanger; ReviewStatus=NeedsSourceReview; ReviewReasons=SuspiciousOrder</t>
  </si>
  <si>
    <t>Historical path=Data/Scripts/Items/Special/BarbaricSatchel.cs; backlog risk category=VersionHandling; write count=2; read count=2. POST-BATCH-J is triage only; no serialized layout edit is approved by this row.</t>
  </si>
  <si>
    <t>RB-01086</t>
  </si>
  <si>
    <t>P10-F01086</t>
  </si>
  <si>
    <t>Data/Scripts/Items/Special/Broken Furniture Collection/BrokenArmoire.cs</t>
  </si>
  <si>
    <t>PBJ-0825</t>
  </si>
  <si>
    <t>Current source file exists at Data/Scripts/Items/Special/Broken Furniture Collection/BrokenArmoire.cs; match=ExactFileClass; serializer evidence=Serialize:L51;Deserialize:L58;SerialCtor:L48; class=Server.Items.BrokenArmoireAddon;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</si>
  <si>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Collection/BrokenArmoire.cs; backlog risk category=VersionHandling; write count=1; read count=1. POST-BATCH-J is triage only; no serialized layout edit is approved by this row.</t>
  </si>
  <si>
    <t>RB-01087</t>
  </si>
  <si>
    <t>P10-F01087</t>
  </si>
  <si>
    <t>PBJ-0826</t>
  </si>
  <si>
    <t>Current source file exists at Data/Scripts/Items/Special/Broken Furniture Collection/BrokenArmoire.cs; match=ExactFileClass; serializer evidence=Serialize:L19;Deserialize:L26;SerialCtor:L16; class=Server.Items.BrokenArmoireComponent; kind=Addon; HasSerialConstructor=True; BaseCallStatus=BaseCallsFirst; VersionHandling=NoVersionFound; FieldAlignment=AlignedByCountAndKnownTypes; MoveRenameRisk=NamespaceOrTypeRenameDanger; ReviewStatus=NeedsSourceReview; ReviewReasons=NoVersionFound</t>
  </si>
  <si>
    <t>RB-01088</t>
  </si>
  <si>
    <t>P10-F01088</t>
  </si>
  <si>
    <t>PBJ-0827</t>
  </si>
  <si>
    <t>Current source file exists at Data/Scripts/Items/Special/Broken Furniture Collection/BrokenArmoire.cs; match=ExactFileClass; serializer evidence=Serialize:L94;Deserialize:L101;SerialCtor:L91; class=Server.Items.BrokenArmoireDeed; kind=Deed; HasSerialConstructor=True; BaseCallStatus=BaseCallsFirst; VersionHandling=NoVersionFound; FieldAlignment=AlignedByCountAndKnownTypes; MoveRenameRisk=NamespaceOrTypeRenameDanger; ReviewStatus=NeedsSourceReview; ReviewReasons=NoVersionFound</t>
  </si>
  <si>
    <t>RB-01089</t>
  </si>
  <si>
    <t>P10-F01089</t>
  </si>
  <si>
    <t>Data/Scripts/Items/Special/Broken Furniture Collection/BrokenBed.cs</t>
  </si>
  <si>
    <t>PBJ-0828</t>
  </si>
  <si>
    <t>Current source file exists at Data/Scripts/Items/Special/Broken Furniture Collection/BrokenBed.cs; match=ExactFileClass; serializer evidence=Serialize:L38;Deserialize:L45;SerialCtor:L35; class=Server.Items.BrokenBedAddon;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</si>
  <si>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Collection/BrokenBed.cs; backlog risk category=VersionHandling; write count=1; read count=1. POST-BATCH-J is triage only; no serialized layout edit is approved by this row.</t>
  </si>
  <si>
    <t>RB-01090</t>
  </si>
  <si>
    <t>P10-F01090</t>
  </si>
  <si>
    <t>PBJ-0829</t>
  </si>
  <si>
    <t>Current source file exists at Data/Scripts/Items/Special/Broken Furniture Collection/BrokenBed.cs; match=ExactFileClass; serializer evidence=Serialize:L99;Deserialize:L106;SerialCtor:L80; class=Server.Items.BrokenBedDeed; kind=Deed; HasSerialConstructor=True; BaseCallStatus=BaseCallsFirst; VersionHandling=NoVersionFound; FieldAlignment=AlignedByCountAndKnownTypes; MoveRenameRisk=NamespaceOrTypeRenameDanger; ReviewStatus=NeedsSourceReview; ReviewReasons=NoVersionFound</t>
  </si>
  <si>
    <t>RB-01091</t>
  </si>
  <si>
    <t>P10-F01091</t>
  </si>
  <si>
    <t>Data/Scripts/Items/Special/Broken Furniture Collection/BrokenBookcase.cs</t>
  </si>
  <si>
    <t>PBJ-0830</t>
  </si>
  <si>
    <t>Current source file exists at Data/Scripts/Items/Special/Broken Furniture Collection/BrokenBookcase.cs; match=ExactFileClass; serializer evidence=Serialize:L51;Deserialize:L58;SerialCtor:L48; class=Server.Items.BrokenBookcaseAddon;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</si>
  <si>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Collection/BrokenBookcase.cs; backlog risk category=VersionHandling; write count=1; read count=1. POST-BATCH-J is triage only; no serialized layout edit is approved by this row.</t>
  </si>
  <si>
    <t>RB-01092</t>
  </si>
  <si>
    <t>P10-F01092</t>
  </si>
  <si>
    <t>PBJ-0831</t>
  </si>
  <si>
    <t>Current source file exists at Data/Scripts/Items/Special/Broken Furniture Collection/BrokenBookcase.cs; match=ExactFileClass; serializer evidence=Serialize:L19;Deserialize:L26;SerialCtor:L16; class=Server.Items.BrokenBookcaseComponent; kind=Addon; HasSerialConstructor=True; BaseCallStatus=BaseCallsFirst; VersionHandling=NoVersionFound; FieldAlignment=AlignedByCountAndKnownTypes; MoveRenameRisk=NamespaceOrTypeRenameDanger; ReviewStatus=NeedsSourceReview; ReviewReasons=NoVersionFound</t>
  </si>
  <si>
    <t>RB-01093</t>
  </si>
  <si>
    <t>P10-F01093</t>
  </si>
  <si>
    <t>PBJ-0832</t>
  </si>
  <si>
    <t>Current source file exists at Data/Scripts/Items/Special/Broken Furniture Collection/BrokenBookcase.cs; match=ExactFileClass; serializer evidence=Serialize:L94;Deserialize:L101;SerialCtor:L91; class=Server.Items.BrokenBookcaseDeed; kind=Deed; HasSerialConstructor=True; BaseCallStatus=BaseCallsFirst; VersionHandling=NoVersionFound; FieldAlignment=AlignedByCountAndKnownTypes; MoveRenameRisk=NamespaceOrTypeRenameDanger; ReviewStatus=NeedsSourceReview; ReviewReasons=NoVersionFound</t>
  </si>
  <si>
    <t>RB-01094</t>
  </si>
  <si>
    <t>P10-F01094</t>
  </si>
  <si>
    <t>Data/Scripts/Items/Special/Broken Furniture Collection/BrokenChestOfDrawers.cs</t>
  </si>
  <si>
    <t>PBJ-0833</t>
  </si>
  <si>
    <t>Current source file exists at Data/Scripts/Items/Special/Broken Furniture Collection/BrokenChestOfDrawers.cs; match=ExactFileClass; serializer evidence=Serialize:L51;Deserialize:L58;SerialCtor:L48; class=Server.Items.BrokenChestOfDrawersAddon;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</si>
  <si>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Collection/BrokenChestOfDrawers.cs; backlog risk category=VersionHandling; write count=1; read count=1. POST-BATCH-J is triage only; no serialized layout edit is approved by this row.</t>
  </si>
  <si>
    <t>RB-01095</t>
  </si>
  <si>
    <t>P10-F01095</t>
  </si>
  <si>
    <t>PBJ-0834</t>
  </si>
  <si>
    <t>Current source file exists at Data/Scripts/Items/Special/Broken Furniture Collection/BrokenChestOfDrawers.cs; match=ExactFileClass; serializer evidence=Serialize:L19;Deserialize:L26;SerialCtor:L16; class=Server.Items.BrokenChestOfDrawersComponent; kind=Addon; HasSerialConstructor=True; BaseCallStatus=BaseCallsFirst; VersionHandling=NoVersionFound; FieldAlignment=AlignedByCountAndKnownTypes; MoveRenameRisk=NamespaceOrTypeRenameDanger; ReviewStatus=NeedsSourceReview; ReviewReasons=NoVersionFound</t>
  </si>
  <si>
    <t>RB-01096</t>
  </si>
  <si>
    <t>P10-F01096</t>
  </si>
  <si>
    <t>PBJ-0835</t>
  </si>
  <si>
    <t>Current source file exists at Data/Scripts/Items/Special/Broken Furniture Collection/BrokenChestOfDrawers.cs; match=ExactFileClass; serializer evidence=Serialize:L94;Deserialize:L101;SerialCtor:L91; class=Server.Items.BrokenChestOfDrawersDeed; kind=Deed; HasSerialConstructor=True; BaseCallStatus=BaseCallsFirst; VersionHandling=NoVersionFound; FieldAlignment=AlignedByCountAndKnownTypes; MoveRenameRisk=NamespaceOrTypeRenameDanger; ReviewStatus=NeedsSourceReview; ReviewReasons=NoVersionFound</t>
  </si>
  <si>
    <t>RB-01097</t>
  </si>
  <si>
    <t>P10-F01097</t>
  </si>
  <si>
    <t>Data/Scripts/Items/Special/Broken Furniture Collection/BrokenCoveredChair.cs</t>
  </si>
  <si>
    <t>PBJ-0836</t>
  </si>
  <si>
    <t>Current source file exists at Data/Scripts/Items/Special/Broken Furniture Collection/BrokenCoveredChair.cs; match=ExactFileClass; serializer evidence=Serialize:L51;Deserialize:L58;SerialCtor:L48; class=Server.Items.BrokenCoveredChairAddon;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</si>
  <si>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Collection/BrokenCoveredChair.cs; backlog risk category=VersionHandling; write count=1; read count=1. POST-BATCH-J is triage only; no serialized layout edit is approved by this row.</t>
  </si>
  <si>
    <t>RB-01098</t>
  </si>
  <si>
    <t>P10-F01098</t>
  </si>
  <si>
    <t>PBJ-0837</t>
  </si>
  <si>
    <t>Current source file exists at Data/Scripts/Items/Special/Broken Furniture Collection/BrokenCoveredChair.cs; match=ExactFileClass; serializer evidence=Serialize:L19;Deserialize:L26;SerialCtor:L16; class=Server.Items.BrokenCoveredChairComponent; kind=Addon; HasSerialConstructor=True; BaseCallStatus=BaseCallsFirst; VersionHandling=NoVersionFound; FieldAlignment=AlignedByCountAndKnownTypes; MoveRenameRisk=NamespaceOrTypeRenameDanger; ReviewStatus=NeedsSourceReview; ReviewReasons=NoVersionFound</t>
  </si>
  <si>
    <t>RB-01099</t>
  </si>
  <si>
    <t>P10-F01099</t>
  </si>
  <si>
    <t>PBJ-0838</t>
  </si>
  <si>
    <t>Current source file exists at Data/Scripts/Items/Special/Broken Furniture Collection/BrokenCoveredChair.cs; match=ExactFileClass; serializer evidence=Serialize:L94;Deserialize:L101;SerialCtor:L91; class=Server.Items.BrokenCoveredChairDeed; kind=Deed; HasSerialConstructor=True; BaseCallStatus=BaseCallsFirst; VersionHandling=NoVersionFound; FieldAlignment=AlignedByCountAndKnownTypes; MoveRenameRisk=NamespaceOrTypeRenameDanger; ReviewStatus=NeedsSourceReview; ReviewReasons=NoVersionFound</t>
  </si>
  <si>
    <t>RB-01100</t>
  </si>
  <si>
    <t>P10-F01100</t>
  </si>
  <si>
    <t>Data/Scripts/Items/Special/Broken Furniture Collection/BrokenFallenChair.cs</t>
  </si>
  <si>
    <t>PBJ-0839</t>
  </si>
  <si>
    <t>Current source file exists at Data/Scripts/Items/Special/Broken Furniture Collection/BrokenFallenChair.cs; match=ExactFileClass; serializer evidence=Serialize:L51;Deserialize:L58;SerialCtor:L48; class=Server.Items.BrokenFallenChairAddon;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</si>
  <si>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Collection/BrokenFallenChair.cs; backlog risk category=VersionHandling; write count=1; read count=1. POST-BATCH-J is triage only; no serialized layout edit is approved by this row.</t>
  </si>
  <si>
    <t>RB-01101</t>
  </si>
  <si>
    <t>P10-F01101</t>
  </si>
  <si>
    <t>PBJ-0840</t>
  </si>
  <si>
    <t>Current source file exists at Data/Scripts/Items/Special/Broken Furniture Collection/BrokenFallenChair.cs; match=ExactFileClass; serializer evidence=Serialize:L19;Deserialize:L26;SerialCtor:L16; class=Server.Items.BrokenFallenChairComponent; kind=Addon; HasSerialConstructor=True; BaseCallStatus=BaseCallsFirst; VersionHandling=NoVersionFound; FieldAlignment=AlignedByCountAndKnownTypes; MoveRenameRisk=NamespaceOrTypeRenameDanger; ReviewStatus=NeedsSourceReview; ReviewReasons=NoVersionFound</t>
  </si>
  <si>
    <t>RB-01102</t>
  </si>
  <si>
    <t>P10-F01102</t>
  </si>
  <si>
    <t>PBJ-0841</t>
  </si>
  <si>
    <t>Current source file exists at Data/Scripts/Items/Special/Broken Furniture Collection/BrokenFallenChair.cs; match=ExactFileClass; serializer evidence=Serialize:L94;Deserialize:L101;SerialCtor:L91; class=Server.Items.BrokenFallenChairDeed; kind=Deed; HasSerialConstructor=True; BaseCallStatus=BaseCallsFirst; VersionHandling=NoVersionFound; FieldAlignment=AlignedByCountAndKnownTypes; MoveRenameRisk=NamespaceOrTypeRenameDanger; ReviewStatus=NeedsSourceReview; ReviewReasons=NoVersionFound</t>
  </si>
  <si>
    <t>RB-01103</t>
  </si>
  <si>
    <t>P10-F01103</t>
  </si>
  <si>
    <t>Data/Scripts/Items/Special/Broken Furniture Collection/BrokenVanity.cs</t>
  </si>
  <si>
    <t>PBJ-0842</t>
  </si>
  <si>
    <t>Current source file exists at Data/Scripts/Items/Special/Broken Furniture Collection/BrokenVanity.cs; match=ExactFileClass; serializer evidence=Serialize:L34;Deserialize:L41;SerialCtor:L31; class=Server.Items.BrokenVanityAddon;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</si>
  <si>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Collection/BrokenVanity.cs; backlog risk category=VersionHandling; write count=1; read count=1. POST-BATCH-J is triage only; no serialized layout edit is approved by this row.</t>
  </si>
  <si>
    <t>RB-01104</t>
  </si>
  <si>
    <t>P10-F01104</t>
  </si>
  <si>
    <t>PBJ-0843</t>
  </si>
  <si>
    <t>Current source file exists at Data/Scripts/Items/Special/Broken Furniture Collection/BrokenVanity.cs; match=ExactFileClass; serializer evidence=Serialize:L95;Deserialize:L102;SerialCtor:L76; class=Server.Items.BrokenVanityDeed; kind=Deed; HasSerialConstructor=True; BaseCallStatus=BaseCallsFirst; VersionHandling=NoVersionFound; FieldAlignment=AlignedByCountAndKnownTypes; MoveRenameRisk=NamespaceOrTypeRenameDanger; ReviewStatus=NeedsSourceReview; ReviewReasons=NoVersionFound</t>
  </si>
  <si>
    <t>RB-01105</t>
  </si>
  <si>
    <t>P10-F01105</t>
  </si>
  <si>
    <t>Data/Scripts/Items/Special/Broken Furniture Collection/StandingBrokenChair.cs</t>
  </si>
  <si>
    <t>PBJ-0844</t>
  </si>
  <si>
    <t>Current source file exists at Data/Scripts/Items/Special/Broken Furniture Collection/StandingBrokenChair.cs; match=ExactFileClass; serializer evidence=Serialize:L51;Deserialize:L58;SerialCtor:L48; class=Server.Items.StandingBrokenChairAddon;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</si>
  <si>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path=Data/Scripts/Items/Special/Broken Furniture Collection/StandingBrokenChair.cs; backlog risk category=VersionHandling; write count=1; read count=1. POST-BATCH-J is triage only; no serialized layout edit is approved by this row.</t>
  </si>
  <si>
    <t>RB-01106</t>
  </si>
  <si>
    <t>P10-F01106</t>
  </si>
  <si>
    <t>PBJ-0845</t>
  </si>
  <si>
    <t>Current source file exists at Data/Scripts/Items/Special/Broken Furniture Collection/StandingBrokenChair.cs; match=ExactFileClass; serializer evidence=Serialize:L19;Deserialize:L26;SerialCtor:L16; class=Server.Items.StandingBrokenChairComponent; kind=Addon; HasSerialConstructor=True; BaseCallStatus=BaseCallsFirst; VersionHandling=NoVersionFound; FieldAlignment=AlignedByCountAndKnownTypes; MoveRenameRisk=NamespaceOrTypeRenameDanger; ReviewStatus=NeedsSourceReview; ReviewReasons=NoVersionFound</t>
  </si>
  <si>
    <t>RB-01107</t>
  </si>
  <si>
    <t>P10-F01107</t>
  </si>
  <si>
    <t>PBJ-0846</t>
  </si>
  <si>
    <t>Current source file exists at Data/Scripts/Items/Special/Broken Furniture Collection/StandingBrokenChair.cs; match=ExactFileClass; serializer evidence=Serialize:L94;Deserialize:L101;SerialCtor:L91; class=Server.Items.StandingBrokenChairDeed; kind=Deed; HasSerialConstructor=True; BaseCallStatus=BaseCallsFirst; VersionHandling=NoVersionFound; FieldAlignment=AlignedByCountAndKnownTypes; MoveRenameRisk=NamespaceOrTypeRenameDanger; ReviewStatus=NeedsSourceReview; ReviewReasons=NoVersionFound</t>
  </si>
  <si>
    <t>RB-01108</t>
  </si>
  <si>
    <t>P10-F01108</t>
  </si>
  <si>
    <t>PBU-0031</t>
  </si>
  <si>
    <t>POST-BATCH-N lane=POST-BATCH-N-SAVE-MIGRATION-PLAN; FileProofStatus=CurrentPathConfirmed; Class=Server.Items.DemonPrison; Serialize=L193; Reader=DeserializeMethod:L213; RegisterBase=BaseCallsFirst; RegisterVersion=SuspiciousOrder; RegisterAlignment=CountMatchNeedsTypeReview:UnknownWrites=13; Writes=14; Reads=14; WriteEvidence=L196:Write((int)1); // version) | L198:Write(HaveShardA)) | L199:Write(HaveShardB)) | L200:Write(HaveShardC)) | L201:Write(HaveShardD)) | L202:Write(HaveGold)) | L203:Write(NeedGold)) | L204:Write(WizardLocation)) | L205:Write(PieceLocation)) | L206:Write(PieceRumor)) | L207:Write(DaemonType)) | L208:Write(DaemonBody)); ReadEvidence=L216:ReadInt | L218:ReadInt | L219:ReadInt | L220:ReadInt | L221:ReadInt | L222:ReadInt | L223:ReadInt | L224:ReadString | L225:ReadString | L226:ReadString | L227:ReadInt | L228:ReadInt; POST-BATCH-U direct source review=ScannerAmbiguityFalsePositive</t>
  </si>
  <si>
    <t>RB-01109</t>
  </si>
  <si>
    <t>P10-F01109</t>
  </si>
  <si>
    <t>Data/Scripts/Items/Special/DracolichSkull.cs</t>
  </si>
  <si>
    <t>PBU-0032</t>
  </si>
  <si>
    <t>POST-BATCH-N lane=POST-BATCH-N-SAVE-MIGRATION-PLAN; FileProofStatus=CurrentPathConfirmed; Class=Server.Items.DracolichSkull; Serialize=L109; Reader=DeserializeMethod:L124; RegisterBase=BaseCallsFirst; RegisterVersion=SuspiciousOrder; RegisterAlignment=CountMatchNeedsTypeReview:UnknownWrites=8; Writes=9; Reads=9; WriteEvidence=L112:Write((int)1); // version) | L114:Write(HavePotionA)) | L115:Write(HavePotionB)) | L116:Write(HavePotionC)) | L117:Write(HavePotionD)) | L118:Write(HaveGold)) | L119:Write(NeedGold)) | L120:Write(PieceLocation)) | L121:Write(PieceRumor)); ReadEvidence=L127:ReadInt | L129:ReadInt | L130:ReadInt | L131:ReadInt | L132:ReadInt | L133:ReadInt | L134:ReadInt | L135:ReadString | L136:ReadString; POST-BATCH-U direct source review=ScannerAmbiguityFalsePositive</t>
  </si>
  <si>
    <t>RB-01110</t>
  </si>
  <si>
    <t>P10-F01110</t>
  </si>
  <si>
    <t>Data/Scripts/Items/Special/DragonEgg.cs</t>
  </si>
  <si>
    <t>PBU-0033</t>
  </si>
  <si>
    <t>POST-BATCH-N lane=POST-BATCH-N-SAVE-MIGRATION-PLAN; FileProofStatus=CurrentPathConfirmed; Class=Server.Items.DragonEgg; Serialize=L107; Reader=DeserializeMethod:L125; RegisterBase=BaseCallsFirst; RegisterVersion=SuspiciousOrder; RegisterAlignment=CountMatchNeedsTypeReview:UnknownWrites=11; Writes=12; Reads=12; WriteEvidence=L110:Write((int)1); // version) | L112:Write(HavePotionA)) | L113:Write(HavePotionB)) | L114:Write(HavePotionC)) | L115:Write(HavePotionD)) | L116:Write(HaveGold)) | L117:Write(NeedGold)) | L118:Write(AnimalTrainerLocation)) | L119:Write(PieceLocation)) | L120:Write(PieceRumor)) | L121:Write(DragonType)) | L122:Write(DragonBody)); ReadEvidence=L128:ReadInt | L130:ReadInt | L131:ReadInt | L132:ReadInt | L133:ReadInt | L134:ReadInt | L135:ReadInt | L136:ReadString | L137:ReadString | L138:ReadString | L139:ReadInt | L140:ReadInt; POST-BATCH-U direct source review=ScannerAmbiguityFalsePositive</t>
  </si>
  <si>
    <t>RB-01111</t>
  </si>
  <si>
    <t>P10-F01111</t>
  </si>
  <si>
    <t>Data/Scripts/Items/Special/DrakkhenEgg.cs</t>
  </si>
  <si>
    <t>PBU-0034</t>
  </si>
  <si>
    <t>POST-BATCH-N lane=POST-BATCH-N-SAVE-MIGRATION-PLAN; FileProofStatus=CurrentPathConfirmed; Class=Server.Items.DrakkhenEggBlack; Serialize=L302; Reader=DeserializeMethod:L309; RegisterBase=BaseCallsFirst; RegisterVersion=SuspiciousOrder; RegisterAlignment=CountMatchNeedsTypeReview:UnknownWrites=1; Writes=2; Reads=2; WriteEvidence=L305:Write((int)1); // version) | L306:Write(HaveGold)); ReadEvidence=L312:ReadInt | L313:ReadInt; POST-BATCH-U direct source review=ScannerAmbiguityFalsePositive</t>
  </si>
  <si>
    <t>RB-01112</t>
  </si>
  <si>
    <t>P10-F01112</t>
  </si>
  <si>
    <t>PBU-0035</t>
  </si>
  <si>
    <t>POST-BATCH-N lane=POST-BATCH-N-SAVE-MIGRATION-PLAN; FileProofStatus=CurrentPathConfirmed; Class=Server.Items.DrakkhenEggRed; Serialize=L119; Reader=DeserializeMethod:L126; RegisterBase=BaseCallsFirst; RegisterVersion=SuspiciousOrder; RegisterAlignment=CountMatchNeedsTypeReview:UnknownWrites=1; Writes=2; Reads=2; WriteEvidence=L122:Write((int)1); // version) | L123:Write(HaveGold)); ReadEvidence=L129:ReadInt | L130:ReadInt; POST-BATCH-U direct source review=ScannerAmbiguityFalsePositive</t>
  </si>
  <si>
    <t>RB-01113</t>
  </si>
  <si>
    <t>P10-F01113</t>
  </si>
  <si>
    <t>Data/Scripts/Items/Special/Evil Home Decor Collection/AwesomeDisturbingPortrait.cs</t>
  </si>
  <si>
    <t>PBJ-0852</t>
  </si>
  <si>
    <t>Current source file exists at Data/Scripts/Items/Special/Evil Home Decor Collection/AwesomeDisturbingPortrait.cs; match=ExactFileClass; serializer evidence=Serialize:L154;Deserialize:L161;SerialCtor:L151; class=Server.Items.AwesomeDisturbingPortraitAddon;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</si>
  <si>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Collection/AwesomeDisturbingPortrait.cs; backlog risk category=VersionHandling; write count=1; read count=1. POST-BATCH-J is triage only; no serialized layout edit is approved by this row.</t>
  </si>
  <si>
    <t>RB-01114</t>
  </si>
  <si>
    <t>P10-F01114</t>
  </si>
  <si>
    <t>PBJ-0853</t>
  </si>
  <si>
    <t>Current source file exists at Data/Scripts/Items/Special/Evil Home Decor Collection/AwesomeDisturbingPortrait.cs; match=ExactFileClass; serializer evidence=Serialize:L57;Deserialize:L64;SerialCtor:L28; class=Server.Items.AwesomeDisturbingPortraitComponent; kind=Addon; HasSerialConstructor=True; BaseCallStatus=BaseCallsFirst; VersionHandling=NoVersionFound; FieldAlignment=AlignedByCountAndKnownTypes; MoveRenameRisk=NamespaceOrTypeRenameDanger; ReviewStatus=NeedsSourceReview; ReviewReasons=NoVersionFound</t>
  </si>
  <si>
    <t>RB-01115</t>
  </si>
  <si>
    <t>P10-F01115</t>
  </si>
  <si>
    <t>PBJ-0854</t>
  </si>
  <si>
    <t>Current source file exists at Data/Scripts/Items/Special/Evil Home Decor Collection/AwesomeDisturbingPortrait.cs; match=ExactFileClass; serializer evidence=Serialize:L189;Deserialize:L196;SerialCtor:L186; class=Server.Items.AwesomeDisturbingPortraitDeed; kind=Deed; HasSerialConstructor=True; BaseCallStatus=BaseCallsFirst; VersionHandling=NoVersionFound; FieldAlignment=AlignedByCountAndKnownTypes; MoveRenameRisk=NamespaceOrTypeRenameDanger; ReviewStatus=NeedsSourceReview; ReviewReasons=NoVersionFound</t>
  </si>
  <si>
    <t>RB-01116</t>
  </si>
  <si>
    <t>P10-F01116</t>
  </si>
  <si>
    <t>Data/Scripts/Items/Special/Evil Home Decor Collection/BedOfNails.cs</t>
  </si>
  <si>
    <t>PBJ-0855</t>
  </si>
  <si>
    <t>Current source file exists at Data/Scripts/Items/Special/Evil Home Decor Collection/BedOfNails.cs; match=ExactFileClass; serializer evidence=Serialize:L85;Deserialize:L92;SerialCtor:L63; class=Server.Items.BedOfNailsAddon;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</si>
  <si>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Collection/BedOfNails.cs; backlog risk category=VersionHandling; write count=1; read count=1. POST-BATCH-J is triage only; no serialized layout edit is approved by this row.</t>
  </si>
  <si>
    <t>RB-01117</t>
  </si>
  <si>
    <t>P10-F01117</t>
  </si>
  <si>
    <t>PBJ-0856</t>
  </si>
  <si>
    <t>Current source file exists at Data/Scripts/Items/Special/Evil Home Decor Collection/BedOfNails.cs; match=ExactFileClass; serializer evidence=Serialize:L28;Deserialize:L35;SerialCtor:L15; class=Server.Items.BedOfNailsComponent; kind=Addon; HasSerialConstructor=True; BaseCallStatus=BaseCallsFirst; VersionHandling=NoVersionFound; FieldAlignment=AlignedByCountAndKnownTypes; MoveRenameRisk=NamespaceOrTypeRenameDanger; ReviewStatus=NeedsSourceReview; ReviewReasons=NoVersionFound</t>
  </si>
  <si>
    <t>RB-01118</t>
  </si>
  <si>
    <t>P10-F01118</t>
  </si>
  <si>
    <t>PBJ-0857</t>
  </si>
  <si>
    <t>Current source file exists at Data/Scripts/Items/Special/Evil Home Decor Collection/BedOfNails.cs; match=ExactFileClass; serializer evidence=Serialize:L190;Deserialize:L197;SerialCtor:L187; class=Server.Items.BedOfNailsDeed; kind=Deed; HasSerialConstructor=True; BaseCallStatus=BaseCallsFirst; VersionHandling=NoVersionFound; FieldAlignment=AlignedByCountAndKnownTypes; MoveRenameRisk=NamespaceOrTypeRenameDanger; ReviewStatus=NeedsSourceReview; ReviewReasons=NoVersionFound</t>
  </si>
  <si>
    <t>RB-01119</t>
  </si>
  <si>
    <t>P10-F01119</t>
  </si>
  <si>
    <t>Data/Scripts/Items/Special/Evil Home Decor Collection/BoneCouch.cs</t>
  </si>
  <si>
    <t>PBJ-0858</t>
  </si>
  <si>
    <t>Current source file exists at Data/Scripts/Items/Special/Evil Home Decor Collection/BoneCouch.cs; match=ExactFileClass; serializer evidence=Serialize:L64;Deserialize:L71;SerialCtor:L61; class=Server.Items.BoneCouchAddon;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</si>
  <si>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Collection/BoneCouch.cs; backlog risk category=VersionHandling; write count=1; read count=1. POST-BATCH-J is triage only; no serialized layout edit is approved by this row.</t>
  </si>
  <si>
    <t>RB-01120</t>
  </si>
  <si>
    <t>P10-F01120</t>
  </si>
  <si>
    <t>PBJ-0859</t>
  </si>
  <si>
    <t>Current source file exists at Data/Scripts/Items/Special/Evil Home Decor Collection/BoneCouch.cs; match=ExactFileClass; serializer evidence=Serialize:L28;Deserialize:L35;SerialCtor:L15; class=Server.Items.BoneCouchComponent; kind=Addon; HasSerialConstructor=True; BaseCallStatus=BaseCallsFirst; VersionHandling=NoVersionFound; FieldAlignment=AlignedByCountAndKnownTypes; MoveRenameRisk=NamespaceOrTypeRenameDanger; ReviewStatus=NeedsSourceReview; ReviewReasons=NoVersionFound</t>
  </si>
  <si>
    <t>RB-01121</t>
  </si>
  <si>
    <t>P10-F01121</t>
  </si>
  <si>
    <t>PBJ-0860</t>
  </si>
  <si>
    <t>Current source file exists at Data/Scripts/Items/Special/Evil Home Decor Collection/BoneCouch.cs; match=ExactFileClass; serializer evidence=Serialize:L114;Deserialize:L121;SerialCtor:L111; class=Server.Items.BoneCouchDeed; kind=Deed; HasSerialConstructor=True; BaseCallStatus=BaseCallsFirst; VersionHandling=NoVersionFound; FieldAlignment=AlignedByCountAndKnownTypes; MoveRenameRisk=NamespaceOrTypeRenameDanger; ReviewStatus=NeedsSourceReview; ReviewReasons=NoVersionFound</t>
  </si>
  <si>
    <t>RB-01122</t>
  </si>
  <si>
    <t>P10-F01122</t>
  </si>
  <si>
    <t>Data/Scripts/Items/Special/Evil Home Decor Collection/BoneTable.cs</t>
  </si>
  <si>
    <t>PBJ-0861</t>
  </si>
  <si>
    <t>Current source file exists at Data/Scripts/Items/Special/Evil Home Decor Collection/BoneTable.cs; match=ExactFileClass; serializer evidence=Serialize:L22;Deserialize:L29;SerialCtor:L19; class=Server.Items.BoneTableAddon;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</si>
  <si>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Collection/BoneTable.cs; backlog risk category=VersionHandling; write count=1; read count=1. POST-BATCH-J is triage only; no serialized layout edit is approved by this row.</t>
  </si>
  <si>
    <t>RB-01123</t>
  </si>
  <si>
    <t>P10-F01123</t>
  </si>
  <si>
    <t>PBJ-0862</t>
  </si>
  <si>
    <t>Current source file exists at Data/Scripts/Items/Special/Evil Home Decor Collection/BoneTable.cs; match=ExactFileClass; serializer evidence=Serialize:L57;Deserialize:L64;SerialCtor:L54; class=Server.Items.BoneTableDeed; kind=Deed; HasSerialConstructor=True; BaseCallStatus=BaseCallsFirst; VersionHandling=NoVersionFound; FieldAlignment=AlignedByCountAndKnownTypes; MoveRenameRisk=NamespaceOrTypeRenameDanger; ReviewStatus=NeedsSourceReview; ReviewReasons=NoVersionFound</t>
  </si>
  <si>
    <t>RB-01124</t>
  </si>
  <si>
    <t>P10-F01124</t>
  </si>
  <si>
    <t>Data/Scripts/Items/Special/Evil Home Decor Collection/BoneThrone.cs</t>
  </si>
  <si>
    <t>PBJ-0863</t>
  </si>
  <si>
    <t>Current source file exists at Data/Scripts/Items/Special/Evil Home Decor Collection/BoneThrone.cs; match=ExactFileClass; serializer evidence=Serialize:L61;Deserialize:L68;SerialCtor:L58; class=Server.Items.BoneThroneAddon;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</si>
  <si>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Collection/BoneThrone.cs; backlog risk category=VersionHandling; write count=1; read count=1. POST-BATCH-J is triage only; no serialized layout edit is approved by this row.</t>
  </si>
  <si>
    <t>RB-01125</t>
  </si>
  <si>
    <t>P10-F01125</t>
  </si>
  <si>
    <t>PBJ-0864</t>
  </si>
  <si>
    <t>Current source file exists at Data/Scripts/Items/Special/Evil Home Decor Collection/BoneThrone.cs; match=ExactFileClass; serializer evidence=Serialize:L29;Deserialize:L36;SerialCtor:L16; class=Server.Items.BoneThroneComponent; kind=Addon; HasSerialConstructor=True; BaseCallStatus=BaseCallsFirst; VersionHandling=NoVersionFound; FieldAlignment=AlignedByCountAndKnownTypes; MoveRenameRisk=NamespaceOrTypeRenameDanger; ReviewStatus=NeedsSourceReview; ReviewReasons=NoVersionFound</t>
  </si>
  <si>
    <t>RB-01126</t>
  </si>
  <si>
    <t>P10-F01126</t>
  </si>
  <si>
    <t>PBJ-0865</t>
  </si>
  <si>
    <t>Current source file exists at Data/Scripts/Items/Special/Evil Home Decor Collection/BoneThrone.cs; match=ExactFileClass; serializer evidence=Serialize:L96;Deserialize:L103;SerialCtor:L93; class=Server.Items.BoneThroneDeed; kind=Deed; HasSerialConstructor=True; BaseCallStatus=BaseCallsFirst; VersionHandling=NoVersionFound; FieldAlignment=AlignedByCountAndKnownTypes; MoveRenameRisk=NamespaceOrTypeRenameDanger; ReviewStatus=NeedsSourceReview; ReviewReasons=NoVersionFound</t>
  </si>
  <si>
    <t>RB-01127</t>
  </si>
  <si>
    <t>P10-F01127</t>
  </si>
  <si>
    <t>Data/Scripts/Items/Special/Evil Home Decor Collection/CreepyPortrait.cs</t>
  </si>
  <si>
    <t>PBJ-0866</t>
  </si>
  <si>
    <t>Current source file exists at Data/Scripts/Items/Special/Evil Home Decor Collection/CreepyPortrait.cs; match=ExactFileClass; serializer evidence=Serialize:L104;Deserialize:L111;SerialCtor:L101; class=Server.Items.CreepyPortraitAddon;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</si>
  <si>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Collection/CreepyPortrait.cs; backlog risk category=VersionHandling; write count=1; read count=1. POST-BATCH-J is triage only; no serialized layout edit is approved by this row.</t>
  </si>
  <si>
    <t>RB-01128</t>
  </si>
  <si>
    <t>P10-F01128</t>
  </si>
  <si>
    <t>PBJ-0867</t>
  </si>
  <si>
    <t>Current source file exists at Data/Scripts/Items/Special/Evil Home Decor Collection/CreepyPortrait.cs; match=ExactFileClass; serializer evidence=Serialize:L72;Deserialize:L79;SerialCtor:L22; class=Server.Items.CreepyPortraitComponent; kind=Addon; HasSerialConstructor=True; BaseCallStatus=BaseCallsFirst; VersionHandling=NoVersionFound; FieldAlignment=AlignedByCountAndKnownTypes; MoveRenameRisk=NamespaceOrTypeRenameDanger; ReviewStatus=NeedsSourceReview; ReviewReasons=NoVersionFound</t>
  </si>
  <si>
    <t>RB-01129</t>
  </si>
  <si>
    <t>P10-F01129</t>
  </si>
  <si>
    <t>PBJ-0868</t>
  </si>
  <si>
    <t>Current source file exists at Data/Scripts/Items/Special/Evil Home Decor Collection/CreepyPortrait.cs; match=ExactFileClass; serializer evidence=Serialize:L139;Deserialize:L146;SerialCtor:L136; class=Server.Items.CreepyPortraitDeed; kind=Deed; HasSerialConstructor=True; BaseCallStatus=BaseCallsFirst; VersionHandling=NoVersionFound; FieldAlignment=AlignedByCountAndKnownTypes; MoveRenameRisk=NamespaceOrTypeRenameDanger; ReviewStatus=NeedsSourceReview; ReviewReasons=NoVersionFound</t>
  </si>
  <si>
    <t>RB-01130</t>
  </si>
  <si>
    <t>P10-F01130</t>
  </si>
  <si>
    <t>Data/Scripts/Items/Special/Evil Home Decor Collection/DisturbingPortrait.cs</t>
  </si>
  <si>
    <t>PBJ-0869</t>
  </si>
  <si>
    <t>Current source file exists at Data/Scripts/Items/Special/Evil Home Decor Collection/DisturbingPortrait.cs; match=ExactFileClass; serializer evidence=Serialize:L92;Deserialize:L99;SerialCtor:L89; class=Server.Items.DisturbingPortraitAddon;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</si>
  <si>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Collection/DisturbingPortrait.cs; backlog risk category=VersionHandling; write count=1; read count=1. POST-BATCH-J is triage only; no serialized layout edit is approved by this row.</t>
  </si>
  <si>
    <t>RB-01131</t>
  </si>
  <si>
    <t>P10-F01131</t>
  </si>
  <si>
    <t>PBJ-0870</t>
  </si>
  <si>
    <t>Current source file exists at Data/Scripts/Items/Special/Evil Home Decor Collection/DisturbingPortrait.cs; match=ExactFileClass; serializer evidence=Serialize:L46;Deserialize:L53;SerialCtor:L27; class=Server.Items.DisturbingPortraitComponent; kind=Addon; HasSerialConstructor=True; BaseCallStatus=BaseCallsFirst; VersionHandling=NoVersionFound; FieldAlignment=AlignedByCountAndKnownTypes; MoveRenameRisk=NamespaceOrTypeRenameDanger; ReviewStatus=NeedsSourceReview; ReviewReasons=NoVersionFound</t>
  </si>
  <si>
    <t>RB-01132</t>
  </si>
  <si>
    <t>P10-F01132</t>
  </si>
  <si>
    <t>PBJ-0871</t>
  </si>
  <si>
    <t>Current source file exists at Data/Scripts/Items/Special/Evil Home Decor Collection/DisturbingPortrait.cs; match=ExactFileClass; serializer evidence=Serialize:L127;Deserialize:L134;SerialCtor:L124; class=Server.Items.DisturbingPortraitDeed; kind=Deed; HasSerialConstructor=True; BaseCallStatus=BaseCallsFirst; VersionHandling=NoVersionFound; FieldAlignment=AlignedByCountAndKnownTypes; MoveRenameRisk=NamespaceOrTypeRenameDanger; ReviewStatus=NeedsSourceReview; ReviewReasons=NoVersionFound</t>
  </si>
  <si>
    <t>RB-01133</t>
  </si>
  <si>
    <t>P10-F01133</t>
  </si>
  <si>
    <t>Data/Scripts/Items/Special/Evil Home Decor Collection/HauntedMirror.cs</t>
  </si>
  <si>
    <t>PBJ-0872</t>
  </si>
  <si>
    <t>Current source file exists at Data/Scripts/Items/Special/Evil Home Decor Collection/HauntedMirror.cs; match=ExactFileClass; serializer evidence=Serialize:L79;Deserialize:L86;SerialCtor:L76; class=Server.Items.HaunterMirrorAddon;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</si>
  <si>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Collection/HauntedMirror.cs; backlog risk category=VersionHandling; write count=1; read count=1. POST-BATCH-J is triage only; no serialized layout edit is approved by this row.</t>
  </si>
  <si>
    <t>RB-01134</t>
  </si>
  <si>
    <t>P10-F01134</t>
  </si>
  <si>
    <t>PBJ-0873</t>
  </si>
  <si>
    <t>Current source file exists at Data/Scripts/Items/Special/Evil Home Decor Collection/HauntedMirror.cs; match=ExactFileClass; serializer evidence=Serialize:L47;Deserialize:L54;SerialCtor:L20; class=Server.Items.HaunterMirrorComponent; kind=Addon; HasSerialConstructor=True; BaseCallStatus=BaseCallsFirst; VersionHandling=NoVersionFound; FieldAlignment=AlignedByCountAndKnownTypes; MoveRenameRisk=NamespaceOrTypeRenameDanger; ReviewStatus=NeedsSourceReview; ReviewReasons=NoVersionFound</t>
  </si>
  <si>
    <t>RB-01135</t>
  </si>
  <si>
    <t>P10-F01135</t>
  </si>
  <si>
    <t>PBJ-0874</t>
  </si>
  <si>
    <t>Current source file exists at Data/Scripts/Items/Special/Evil Home Decor Collection/HauntedMirror.cs; match=ExactFileClass; serializer evidence=Serialize:L114;Deserialize:L121;SerialCtor:L111; class=Server.Items.HaunterMirrorDeed; kind=Deed; HasSerialConstructor=True; BaseCallStatus=BaseCallsFirst; VersionHandling=NoVersionFound; FieldAlignment=AlignedByCountAndKnownTypes; MoveRenameRisk=NamespaceOrTypeRenameDanger; ReviewStatus=NeedsSourceReview; ReviewReasons=NoVersionFound</t>
  </si>
  <si>
    <t>RB-01136</t>
  </si>
  <si>
    <t>P10-F01136</t>
  </si>
  <si>
    <t>Data/Scripts/Items/Special/Evil Home Decor Collection/MountedPixieBlue.cs</t>
  </si>
  <si>
    <t>PBJ-0875</t>
  </si>
  <si>
    <t>Current source file exists at Data/Scripts/Items/Special/Evil Home Decor Collection/MountedPixieBlue.cs; match=ExactFileClass; serializer evidence=Serialize:L60;Deserialize:L67;SerialCtor:L57; class=Server.Items.MountedPixieBlueAddon;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</si>
  <si>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Collection/MountedPixieBlue.cs; backlog risk category=VersionHandling; write count=1; read count=1. POST-BATCH-J is triage only; no serialized layout edit is approved by this row.</t>
  </si>
  <si>
    <t>RB-01137</t>
  </si>
  <si>
    <t>P10-F01137</t>
  </si>
  <si>
    <t>PBJ-0876</t>
  </si>
  <si>
    <t>Current source file exists at Data/Scripts/Items/Special/Evil Home Decor Collection/MountedPixieBlue.cs; match=ExactFileClass; serializer evidence=Serialize:L29;Deserialize:L36;SerialCtor:L18; class=Server.Items.MountedPixieBlueComponent; kind=Addon; HasSerialConstructor=True; BaseCallStatus=BaseCallsFirst; VersionHandling=NoVersionFound; FieldAlignment=AlignedByCountAndKnownTypes; MoveRenameRisk=NamespaceOrTypeRenameDanger; ReviewStatus=NeedsSourceReview; ReviewReasons=NoVersionFound</t>
  </si>
  <si>
    <t>RB-01138</t>
  </si>
  <si>
    <t>P10-F01138</t>
  </si>
  <si>
    <t>PBJ-0877</t>
  </si>
  <si>
    <t>Current source file exists at Data/Scripts/Items/Special/Evil Home Decor Collection/MountedPixieBlue.cs; match=ExactFileClass; serializer evidence=Serialize:L93;Deserialize:L100;SerialCtor:L90; class=Server.Items.MountedPixieBlueDeed; kind=Deed; HasSerialConstructor=True; BaseCallStatus=BaseCallsFirst; VersionHandling=NoVersionFound; FieldAlignment=AlignedByCountAndKnownTypes; MoveRenameRisk=NamespaceOrTypeRenameDanger; ReviewStatus=NeedsSourceReview; ReviewReasons=NoVersionFound</t>
  </si>
  <si>
    <t>RB-01139</t>
  </si>
  <si>
    <t>P10-F01139</t>
  </si>
  <si>
    <t>Data/Scripts/Items/Special/Evil Home Decor Collection/MountedPixieGreen.cs</t>
  </si>
  <si>
    <t>PBJ-0878</t>
  </si>
  <si>
    <t>Current source file exists at Data/Scripts/Items/Special/Evil Home Decor Collection/MountedPixieGreen.cs; match=ExactFileClass; serializer evidence=Serialize:L60;Deserialize:L67;SerialCtor:L57; class=Server.Items.MountedPixieGreenAddon;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</si>
  <si>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Collection/MountedPixieGreen.cs; backlog risk category=VersionHandling; write count=1; read count=1. POST-BATCH-J is triage only; no serialized layout edit is approved by this row.</t>
  </si>
  <si>
    <t>RB-01140</t>
  </si>
  <si>
    <t>P10-F01140</t>
  </si>
  <si>
    <t>PBJ-0879</t>
  </si>
  <si>
    <t>Current source file exists at Data/Scripts/Items/Special/Evil Home Decor Collection/MountedPixieGreen.cs; match=ExactFileClass; serializer evidence=Serialize:L29;Deserialize:L36;SerialCtor:L18; class=Server.Items.MountedPixieGreenComponent; kind=Addon; HasSerialConstructor=True; BaseCallStatus=BaseCallsFirst; VersionHandling=NoVersionFound; FieldAlignment=AlignedByCountAndKnownTypes; MoveRenameRisk=NamespaceOrTypeRenameDanger; ReviewStatus=NeedsSourceReview; ReviewReasons=NoVersionFound</t>
  </si>
  <si>
    <t>RB-01141</t>
  </si>
  <si>
    <t>P10-F01141</t>
  </si>
  <si>
    <t>PBJ-0880</t>
  </si>
  <si>
    <t>Current source file exists at Data/Scripts/Items/Special/Evil Home Decor Collection/MountedPixieGreen.cs; match=ExactFileClass; serializer evidence=Serialize:L93;Deserialize:L100;SerialCtor:L90; class=Server.Items.MountedPixieGreenDeed; kind=Deed; HasSerialConstructor=True; BaseCallStatus=BaseCallsFirst; VersionHandling=NoVersionFound; FieldAlignment=AlignedByCountAndKnownTypes; MoveRenameRisk=NamespaceOrTypeRenameDanger; ReviewStatus=NeedsSourceReview; ReviewReasons=NoVersionFound</t>
  </si>
  <si>
    <t>RB-01142</t>
  </si>
  <si>
    <t>P10-F01142</t>
  </si>
  <si>
    <t>Data/Scripts/Items/Special/Evil Home Decor Collection/MountedPixieLime.cs</t>
  </si>
  <si>
    <t>PBJ-0881</t>
  </si>
  <si>
    <t>Current source file exists at Data/Scripts/Items/Special/Evil Home Decor Collection/MountedPixieLime.cs; match=ExactFileClass; serializer evidence=Serialize:L60;Deserialize:L67;SerialCtor:L57; class=Server.Items.MountedPixieLimeAddon;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</si>
  <si>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Collection/MountedPixieLime.cs; backlog risk category=VersionHandling; write count=1; read count=1. POST-BATCH-J is triage only; no serialized layout edit is approved by this row.</t>
  </si>
  <si>
    <t>RB-01143</t>
  </si>
  <si>
    <t>P10-F01143</t>
  </si>
  <si>
    <t>PBJ-0882</t>
  </si>
  <si>
    <t>Current source file exists at Data/Scripts/Items/Special/Evil Home Decor Collection/MountedPixieLime.cs; match=ExactFileClass; serializer evidence=Serialize:L29;Deserialize:L36;SerialCtor:L18; class=Server.Items.MountedPixieLimeComponent; kind=Addon; HasSerialConstructor=True; BaseCallStatus=BaseCallsFirst; VersionHandling=NoVersionFound; FieldAlignment=AlignedByCountAndKnownTypes; MoveRenameRisk=NamespaceOrTypeRenameDanger; ReviewStatus=NeedsSourceReview; ReviewReasons=NoVersionFound</t>
  </si>
  <si>
    <t>RB-01144</t>
  </si>
  <si>
    <t>P10-F01144</t>
  </si>
  <si>
    <t>PBJ-0883</t>
  </si>
  <si>
    <t>Current source file exists at Data/Scripts/Items/Special/Evil Home Decor Collection/MountedPixieLime.cs; match=ExactFileClass; serializer evidence=Serialize:L93;Deserialize:L100;SerialCtor:L90; class=Server.Items.MountedPixieLimeDeed; kind=Deed; HasSerialConstructor=True; BaseCallStatus=BaseCallsFirst; VersionHandling=NoVersionFound; FieldAlignment=AlignedByCountAndKnownTypes; MoveRenameRisk=NamespaceOrTypeRenameDanger; ReviewStatus=NeedsSourceReview; ReviewReasons=NoVersionFound</t>
  </si>
  <si>
    <t>RB-01145</t>
  </si>
  <si>
    <t>P10-F01145</t>
  </si>
  <si>
    <t>Data/Scripts/Items/Special/Evil Home Decor Collection/MountedPixieOrange.cs</t>
  </si>
  <si>
    <t>PBJ-0884</t>
  </si>
  <si>
    <t>Current source file exists at Data/Scripts/Items/Special/Evil Home Decor Collection/MountedPixieOrange.cs; match=ExactFileClass; serializer evidence=Serialize:L60;Deserialize:L67;SerialCtor:L57; class=Server.Items.MountedPixieOrangeAddon;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</si>
  <si>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Collection/MountedPixieOrange.cs; backlog risk category=VersionHandling; write count=1; read count=1. POST-BATCH-J is triage only; no serialized layout edit is approved by this row.</t>
  </si>
  <si>
    <t>RB-01146</t>
  </si>
  <si>
    <t>P10-F01146</t>
  </si>
  <si>
    <t>PBJ-0885</t>
  </si>
  <si>
    <t>Current source file exists at Data/Scripts/Items/Special/Evil Home Decor Collection/MountedPixieOrange.cs; match=ExactFileClass; serializer evidence=Serialize:L29;Deserialize:L36;SerialCtor:L18; class=Server.Items.MountedPixieOrangeComponent; kind=Addon; HasSerialConstructor=True; BaseCallStatus=BaseCallsFirst; VersionHandling=NoVersionFound; FieldAlignment=AlignedByCountAndKnownTypes; MoveRenameRisk=NamespaceOrTypeRenameDanger; ReviewStatus=NeedsSourceReview; ReviewReasons=NoVersionFound</t>
  </si>
  <si>
    <t>RB-01147</t>
  </si>
  <si>
    <t>P10-F01147</t>
  </si>
  <si>
    <t>PBJ-0886</t>
  </si>
  <si>
    <t>Current source file exists at Data/Scripts/Items/Special/Evil Home Decor Collection/MountedPixieOrange.cs; match=ExactFileClass; serializer evidence=Serialize:L93;Deserialize:L100;SerialCtor:L90; class=Server.Items.MountedPixieOrangeDeed; kind=Deed; HasSerialConstructor=True; BaseCallStatus=BaseCallsFirst; VersionHandling=NoVersionFound; FieldAlignment=AlignedByCountAndKnownTypes; MoveRenameRisk=NamespaceOrTypeRenameDanger; ReviewStatus=NeedsSourceReview; ReviewReasons=NoVersionFound</t>
  </si>
  <si>
    <t>RB-01148</t>
  </si>
  <si>
    <t>P10-F01148</t>
  </si>
  <si>
    <t>Data/Scripts/Items/Special/Evil Home Decor Collection/MountedPixieWhite.cs</t>
  </si>
  <si>
    <t>PBJ-0887</t>
  </si>
  <si>
    <t>Current source file exists at Data/Scripts/Items/Special/Evil Home Decor Collection/MountedPixieWhite.cs; match=ExactFileClass; serializer evidence=Serialize:L60;Deserialize:L67;SerialCtor:L57; class=Server.Items.MountedPixieWhiteAddon;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</si>
  <si>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Collection/MountedPixieWhite.cs; backlog risk category=VersionHandling; write count=1; read count=1. POST-BATCH-J is triage only; no serialized layout edit is approved by this row.</t>
  </si>
  <si>
    <t>RB-01149</t>
  </si>
  <si>
    <t>P10-F01149</t>
  </si>
  <si>
    <t>PBJ-0888</t>
  </si>
  <si>
    <t>Current source file exists at Data/Scripts/Items/Special/Evil Home Decor Collection/MountedPixieWhite.cs; match=ExactFileClass; serializer evidence=Serialize:L29;Deserialize:L36;SerialCtor:L18; class=Server.Items.MountedPixieWhiteComponent; kind=Addon; HasSerialConstructor=True; BaseCallStatus=BaseCallsFirst; VersionHandling=NoVersionFound; FieldAlignment=AlignedByCountAndKnownTypes; MoveRenameRisk=NamespaceOrTypeRenameDanger; ReviewStatus=NeedsSourceReview; ReviewReasons=NoVersionFound</t>
  </si>
  <si>
    <t>RB-01150</t>
  </si>
  <si>
    <t>P10-F01150</t>
  </si>
  <si>
    <t>PBJ-0889</t>
  </si>
  <si>
    <t>Current source file exists at Data/Scripts/Items/Special/Evil Home Decor Collection/MountedPixieWhite.cs; match=ExactFileClass; serializer evidence=Serialize:L93;Deserialize:L100;SerialCtor:L90; class=Server.Items.MountedPixieWhiteDeed; kind=Deed; HasSerialConstructor=True; BaseCallStatus=BaseCallsFirst; VersionHandling=NoVersionFound; FieldAlignment=AlignedByCountAndKnownTypes; MoveRenameRisk=NamespaceOrTypeRenameDanger; ReviewStatus=NeedsSourceReview; ReviewReasons=NoVersionFound</t>
  </si>
  <si>
    <t>RB-01151</t>
  </si>
  <si>
    <t>P10-F01151</t>
  </si>
  <si>
    <t>Data/Scripts/Items/Special/Evil Home Decor Collection/SacrificialAltar.cs</t>
  </si>
  <si>
    <t>PBJ-0890</t>
  </si>
  <si>
    <t>Current source file exists at Data/Scripts/Items/Special/Evil Home Decor Collection/SacrificialAltar.cs; match=ExactFileClass; serializer evidence=Serialize:L109;Deserialize:L116;SerialCtor:L41; class=Server.Items.SacrificialAltarAddon;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</si>
  <si>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Collection/SacrificialAltar.cs; backlog risk category=VersionHandling; write count=1; read count=1. POST-BATCH-J is triage only; no serialized layout edit is approved by this row.</t>
  </si>
  <si>
    <t>RB-01152</t>
  </si>
  <si>
    <t>P10-F01152</t>
  </si>
  <si>
    <t>PBJ-0891</t>
  </si>
  <si>
    <t>Current source file exists at Data/Scripts/Items/Special/Evil Home Decor Collection/SacrificialAltar.cs; match=ExactFileClass; serializer evidence=Serialize:L190;Deserialize:L197;SerialCtor:L187; class=Server.Items.SacrificialAltarDeed; kind=Deed; HasSerialConstructor=True; BaseCallStatus=BaseCallsFirst; VersionHandling=NoVersionFound; FieldAlignment=AlignedByCountAndKnownTypes; MoveRenameRisk=NamespaceOrTypeRenameDanger; ReviewStatus=NeedsSourceReview; ReviewReasons=NoVersionFound</t>
  </si>
  <si>
    <t>RB-01153</t>
  </si>
  <si>
    <t>P10-F01153</t>
  </si>
  <si>
    <t>Data/Scripts/Items/Special/Evil Home Decor Collection/UnsettlingPortrait.cs</t>
  </si>
  <si>
    <t>PBJ-0892</t>
  </si>
  <si>
    <t>Current source file exists at Data/Scripts/Items/Special/Evil Home Decor Collection/UnsettlingPortrait.cs; match=ExactFileClass; serializer evidence=Serialize:L96;Deserialize:L103;SerialCtor:L93; class=Server.Items.UnsettlingPortraitAddon;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</si>
  <si>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path=Data/Scripts/Items/Special/Evil Home Decor Collection/UnsettlingPortrait.cs; backlog risk category=VersionHandling; write count=1; read count=1. POST-BATCH-J is triage only; no serialized layout edit is approved by this row.</t>
  </si>
  <si>
    <t>RB-01154</t>
  </si>
  <si>
    <t>P10-F01154</t>
  </si>
  <si>
    <t>PBJ-0893</t>
  </si>
  <si>
    <t>Current source file exists at Data/Scripts/Items/Special/Evil Home Decor Collection/UnsettlingPortrait.cs; match=ExactFileClass; serializer evidence=Serialize:L46;Deserialize:L53;SerialCtor:L27; class=Server.Items.UnsettlingPortraitComponent; kind=Addon; HasSerialConstructor=True; BaseCallStatus=BaseCallsFirst; VersionHandling=NoVersionFound; FieldAlignment=AlignedByCountAndKnownTypes; MoveRenameRisk=NamespaceOrTypeRenameDanger; ReviewStatus=NeedsSourceReview; ReviewReasons=NoVersionFound</t>
  </si>
  <si>
    <t>RB-01155</t>
  </si>
  <si>
    <t>P10-F01155</t>
  </si>
  <si>
    <t>PBJ-0894</t>
  </si>
  <si>
    <t>Current source file exists at Data/Scripts/Items/Special/Evil Home Decor Collection/UnsettlingPortrait.cs; match=ExactFileClass; serializer evidence=Serialize:L131;Deserialize:L138;SerialCtor:L128; class=Server.Items.UnsettlingPortraitDeed; kind=Deed; HasSerialConstructor=True; BaseCallStatus=BaseCallsFirst; VersionHandling=NoVersionFound; FieldAlignment=AlignedByCountAndKnownTypes; MoveRenameRisk=NamespaceOrTypeRenameDanger; ReviewStatus=NeedsSourceReview; ReviewReasons=NoVersionFound</t>
  </si>
  <si>
    <t>RB-01156</t>
  </si>
  <si>
    <t>P10-F01156</t>
  </si>
  <si>
    <t>Data/Scripts/Items/Special/FountainOfLife.cs</t>
  </si>
  <si>
    <t>PBJ-0895</t>
  </si>
  <si>
    <t>Current source file exists at Data/Scripts/Items/Special/FountainOfLife.cs; match=ExactFileClass; serializer evidence=Serialize:L40;Deserialize:L46;SerialCtor:L26; class=Server.Items.EnhancedBandage;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</si>
  <si>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path=Data/Scripts/Items/Special/FountainOfLife.cs; backlog risk category=VersionHandling; write count=1; read count=1. POST-BATCH-J is triage only; no serialized layout edit is approved by this row.</t>
  </si>
  <si>
    <t>RB-01157</t>
  </si>
  <si>
    <t>P10-F01157</t>
  </si>
  <si>
    <t>PBU-0036</t>
  </si>
  <si>
    <t>POST-BATCH-N lane=POST-BATCH-N-SAVE-MIGRATION-PLAN; FileProofStatus=CurrentPathConfirmed; Class=Server.Items.FountainOfLife; Serialize=L168; Reader=DeserializeMethod:L176; RegisterBase=BaseCallsFirst; RegisterVersion=NoVersionFound; RegisterAlignment=CountMatchNeedsTypeReview:UnknownWrites=1; Writes=3; Reads=3; WriteEvidence=L171:WriteEncodedInt(0); //version) | L172:Write(m_Charges)) | L173:Write((DateTime)m_Timer.Next)); ReadEvidence=L180:ReadEncodedInt | L182:ReadInt | L184:ReadDateTime; POST-BATCH-U direct source review=ScannerAmbiguityFalsePositive</t>
  </si>
  <si>
    <t>RB-01158</t>
  </si>
  <si>
    <t>P10-F01158</t>
  </si>
  <si>
    <t>PBU-0037</t>
  </si>
  <si>
    <t>POST-BATCH-N lane=POST-BATCH-N-SAVE-MIGRATION-PLAN; FileProofStatus=CurrentPathConfirmed; Class=Server.Items.FountainOfLifeDeed; Serialize=L269; Reader=DeserializeMethod:L276; RegisterBase=BaseCallsFirst; RegisterVersion=NoVersionFound; RegisterAlignment=CountMatchNeedsTypeReview:UnknownWrites=1; Writes=2; Reads=2; WriteEvidence=L272:WriteEncodedInt(0); //version) | L273:Write(m_Charges)); ReadEvidence=L279:ReadEncodedInt | L280:ReadInt; POST-BATCH-U direct source review=ScannerAmbiguityFalsePositive</t>
  </si>
  <si>
    <t>RB-01159</t>
  </si>
  <si>
    <t>P10-F01159</t>
  </si>
  <si>
    <t>Data/Scripts/Items/Special/HearthOfHomeFire.cs</t>
  </si>
  <si>
    <t>PBJ-0898</t>
  </si>
  <si>
    <t>Current source file exists at Data/Scripts/Items/Special/HearthOfHomeFire.cs; match=ExactFileClass; serializer evidence=Serialize:L40;Deserialize:L47;SerialCtor:L37; class=Server.Items.HearthOfHomeFire;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</si>
  <si>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path=Data/Scripts/Items/Special/HearthOfHomeFire.cs; backlog risk category=VersionHandling; write count=1; read count=1. POST-BATCH-J is triage only; no serialized layout edit is approved by this row.</t>
  </si>
  <si>
    <t>RB-01160</t>
  </si>
  <si>
    <t>P10-F01160</t>
  </si>
  <si>
    <t>PBJ-0899</t>
  </si>
  <si>
    <t>Current source file exists at Data/Scripts/Items/Special/HearthOfHomeFire.cs; match=ExactFileClass; serializer evidence=Serialize:L126;Deserialize:L133;SerialCtor:L123; class=Server.Items.HearthOfHomeFireDeed; kind=Deed; HasSerialConstructor=True; BaseCallStatus=BaseCallsFirst; VersionHandling=NoVersionFound; FieldAlignment=AlignedByCountAndKnownTypes; MoveRenameRisk=NamespaceOrTypeRenameDanger; ReviewStatus=NeedsSourceReview; ReviewReasons=NoVersionFound</t>
  </si>
  <si>
    <t>RB-01161</t>
  </si>
  <si>
    <t>P10-F01161</t>
  </si>
  <si>
    <t>Data/Scripts/Items/Special/Heritage Items/AppleTrunk.cs</t>
  </si>
  <si>
    <t>PBJ-0900</t>
  </si>
  <si>
    <t>Current source file exists at Data/Scripts/Items/Special/Heritage Items/AppleTrunk.cs; match=ExactFileClass; serializer evidence=Serialize:L22;Deserialize:L29;SerialCtor:L19; class=Server.Items.AppleTrunkAddon;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</si>
  <si>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Items/AppleTrunk.cs; backlog risk category=VersionHandling; write count=1; read count=1. POST-BATCH-J is triage only; no serialized layout edit is approved by this row.</t>
  </si>
  <si>
    <t>RB-01162</t>
  </si>
  <si>
    <t>P10-F01162</t>
  </si>
  <si>
    <t>PBJ-0901</t>
  </si>
  <si>
    <t>Current source file exists at Data/Scripts/Items/Special/Heritage Items/AppleTrunk.cs; match=ExactFileClass; serializer evidence=Serialize:L58;Deserialize:L65;SerialCtor:L55; class=Server.Items.AppleTrunkDeed; kind=Deed; HasSerialConstructor=True; BaseCallStatus=BaseCallsFirst; VersionHandling=NoVersionFound; FieldAlignment=AlignedByCountAndKnownTypes; MoveRenameRisk=NamespaceOrTypeRenameDanger; ReviewStatus=NeedsSourceReview; ReviewReasons=NoVersionFound</t>
  </si>
  <si>
    <t>RB-01163</t>
  </si>
  <si>
    <t>P10-F01163</t>
  </si>
  <si>
    <t>Data/Scripts/Items/Special/Heritage Items/BlueDecorativeRug.cs</t>
  </si>
  <si>
    <t>PBJ-0902</t>
  </si>
  <si>
    <t>Current source file exists at Data/Scripts/Items/Special/Heritage Items/BlueDecorativeRug.cs; match=ExactFileClass; serializer evidence=Serialize:L30;Deserialize:L37;SerialCtor:L27; class=Server.Items.BlueDecorativeRugAddon;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</si>
  <si>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Items/BlueDecorativeRug.cs; backlog risk category=VersionHandling; write count=1; read count=1. POST-BATCH-J is triage only; no serialized layout edit is approved by this row.</t>
  </si>
  <si>
    <t>RB-01164</t>
  </si>
  <si>
    <t>P10-F01164</t>
  </si>
  <si>
    <t>PBJ-0903</t>
  </si>
  <si>
    <t>Current source file exists at Data/Scripts/Items/Special/Heritage Items/BlueDecorativeRug.cs; match=ExactFileClass; serializer evidence=Serialize:L66;Deserialize:L73;SerialCtor:L63; class=Server.Items.BlueDecorativeRugDeed; kind=Deed; HasSerialConstructor=True; BaseCallStatus=BaseCallsFirst; VersionHandling=NoVersionFound; FieldAlignment=AlignedByCountAndKnownTypes; MoveRenameRisk=NamespaceOrTypeRenameDanger; ReviewStatus=NeedsSourceReview; ReviewReasons=NoVersionFound</t>
  </si>
  <si>
    <t>RB-01165</t>
  </si>
  <si>
    <t>P10-F01165</t>
  </si>
  <si>
    <t>Data/Scripts/Items/Special/Heritage Items/BlueFancyRug.cs</t>
  </si>
  <si>
    <t>PBJ-0904</t>
  </si>
  <si>
    <t>Current source file exists at Data/Scripts/Items/Special/Heritage Items/BlueFancyRug.cs; match=ExactFileClass; serializer evidence=Serialize:L30;Deserialize:L37;SerialCtor:L27; class=Server.Items.BlueFancyRugAddon;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</si>
  <si>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Items/BlueFancyRug.cs; backlog risk category=VersionHandling; write count=1; read count=1. POST-BATCH-J is triage only; no serialized layout edit is approved by this row.</t>
  </si>
  <si>
    <t>RB-01166</t>
  </si>
  <si>
    <t>P10-F01166</t>
  </si>
  <si>
    <t>PBJ-0905</t>
  </si>
  <si>
    <t>Current source file exists at Data/Scripts/Items/Special/Heritage Items/BlueFancyRug.cs; match=ExactFileClass; serializer evidence=Serialize:L66;Deserialize:L73;SerialCtor:L63; class=Server.Items.BlueFancyRugDeed; kind=Deed; HasSerialConstructor=True; BaseCallStatus=BaseCallsFirst; VersionHandling=NoVersionFound; FieldAlignment=AlignedByCountAndKnownTypes; MoveRenameRisk=NamespaceOrTypeRenameDanger; ReviewStatus=NeedsSourceReview; ReviewReasons=NoVersionFound</t>
  </si>
  <si>
    <t>RB-01167</t>
  </si>
  <si>
    <t>P10-F01167</t>
  </si>
  <si>
    <t>Data/Scripts/Items/Special/Heritage Items/BluePlainRug.cs</t>
  </si>
  <si>
    <t>PBJ-0906</t>
  </si>
  <si>
    <t>Current source file exists at Data/Scripts/Items/Special/Heritage Items/BluePlainRug.cs; match=ExactFileClass; serializer evidence=Serialize:L30;Deserialize:L37;SerialCtor:L27; class=Server.Items.BluePlainRugAddon;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</si>
  <si>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Items/BluePlainRug.cs; backlog risk category=VersionHandling; write count=1; read count=1. POST-BATCH-J is triage only; no serialized layout edit is approved by this row.</t>
  </si>
  <si>
    <t>RB-01168</t>
  </si>
  <si>
    <t>P10-F01168</t>
  </si>
  <si>
    <t>PBJ-0907</t>
  </si>
  <si>
    <t>Current source file exists at Data/Scripts/Items/Special/Heritage Items/BluePlainRug.cs; match=ExactFileClass; serializer evidence=Serialize:L66;Deserialize:L73;SerialCtor:L63; class=Server.Items.BluePlainRugDeed; kind=Deed; HasSerialConstructor=True; BaseCallStatus=BaseCallsFirst; VersionHandling=NoVersionFound; FieldAlignment=AlignedByCountAndKnownTypes; MoveRenameRisk=NamespaceOrTypeRenameDanger; ReviewStatus=NeedsSourceReview; ReviewReasons=NoVersionFound</t>
  </si>
  <si>
    <t>RB-01169</t>
  </si>
  <si>
    <t>P10-F01169</t>
  </si>
  <si>
    <t>Data/Scripts/Items/Special/Heritage Items/BoilingCauldron.cs</t>
  </si>
  <si>
    <t>PBJ-0908</t>
  </si>
  <si>
    <t>Current source file exists at Data/Scripts/Items/Special/Heritage Items/BoilingCauldron.cs; match=ExactFileClass; serializer evidence=Serialize:L36;Deserialize:L43;SerialCtor:L33; class=Server.Items.BoilingCauldronAddon;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</si>
  <si>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Items/BoilingCauldron.cs; backlog risk category=VersionHandling; write count=1; read count=1. POST-BATCH-J is triage only; no serialized layout edit is approved by this row.</t>
  </si>
  <si>
    <t>RB-01170</t>
  </si>
  <si>
    <t>P10-F01170</t>
  </si>
  <si>
    <t>PBJ-0909</t>
  </si>
  <si>
    <t>Current source file exists at Data/Scripts/Items/Special/Heritage Items/BoilingCauldron.cs; match=ExactFileClass; serializer evidence=Serialize:L72;Deserialize:L79;SerialCtor:L69; class=Server.Items.BoilingCauldronDeed; kind=Deed; HasSerialConstructor=True; BaseCallStatus=BaseCallsFirst; VersionHandling=NoVersionFound; FieldAlignment=AlignedByCountAndKnownTypes; MoveRenameRisk=NamespaceOrTypeRenameDanger; ReviewStatus=NeedsSourceReview; ReviewReasons=NoVersionFound</t>
  </si>
  <si>
    <t>RB-01171</t>
  </si>
  <si>
    <t>P10-F01171</t>
  </si>
  <si>
    <t>Data/Scripts/Items/Special/Heritage Items/CherryBlossomTree.cs</t>
  </si>
  <si>
    <t>PBJ-0910</t>
  </si>
  <si>
    <t>Current source file exists at Data/Scripts/Items/Special/Heritage Items/CherryBlossomTree.cs; match=ExactFileClass; serializer evidence=Serialize:L23;Deserialize:L30;SerialCtor:L20; class=Server.Items.CherryBlossomTreeAddon;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</si>
  <si>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Items/CherryBlossomTree.cs; backlog risk category=VersionHandling; write count=1; read count=1. POST-BATCH-J is triage only; no serialized layout edit is approved by this row.</t>
  </si>
  <si>
    <t>RB-01172</t>
  </si>
  <si>
    <t>P10-F01172</t>
  </si>
  <si>
    <t>PBJ-0911</t>
  </si>
  <si>
    <t>Current source file exists at Data/Scripts/Items/Special/Heritage Items/CherryBlossomTree.cs; match=ExactFileClass; serializer evidence=Serialize:L56;Deserialize:L63;SerialCtor:L53; class=Server.Items.CherryBlossomTreeDeed; kind=Deed; HasSerialConstructor=True; BaseCallStatus=BaseCallsFirst; VersionHandling=NoVersionFound; FieldAlignment=AlignedByCountAndKnownTypes; MoveRenameRisk=NamespaceOrTypeRenameDanger; ReviewStatus=NeedsSourceReview; ReviewReasons=NoVersionFound</t>
  </si>
  <si>
    <t>RB-01173</t>
  </si>
  <si>
    <t>P10-F01173</t>
  </si>
  <si>
    <t>Data/Scripts/Items/Special/Heritage Items/CherryBlossomTrunk.cs</t>
  </si>
  <si>
    <t>PBJ-0912</t>
  </si>
  <si>
    <t>Current source file exists at Data/Scripts/Items/Special/Heritage Items/CherryBlossomTrunk.cs; match=ExactFileClass; serializer evidence=Serialize:L22;Deserialize:L29;SerialCtor:L19; class=Server.Items.CherryBlossomTrunkAddon;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</si>
  <si>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Items/CherryBlossomTrunk.cs; backlog risk category=VersionHandling; write count=1; read count=1. POST-BATCH-J is triage only; no serialized layout edit is approved by this row.</t>
  </si>
  <si>
    <t>RB-01174</t>
  </si>
  <si>
    <t>P10-F01174</t>
  </si>
  <si>
    <t>PBJ-0913</t>
  </si>
  <si>
    <t>Current source file exists at Data/Scripts/Items/Special/Heritage Items/CherryBlossomTrunk.cs; match=ExactFileClass; serializer evidence=Serialize:L58;Deserialize:L65;SerialCtor:L55; class=Server.Items.CherryBlossomTrunkDeed; kind=Deed; HasSerialConstructor=True; BaseCallStatus=BaseCallsFirst; VersionHandling=NoVersionFound; FieldAlignment=AlignedByCountAndKnownTypes; MoveRenameRisk=NamespaceOrTypeRenameDanger; ReviewStatus=NeedsSourceReview; ReviewReasons=NoVersionFound</t>
  </si>
  <si>
    <t>RB-01175</t>
  </si>
  <si>
    <t>P10-F01175</t>
  </si>
  <si>
    <t>Data/Scripts/Items/Special/Heritage Items/CinnamonFancyRug.cs</t>
  </si>
  <si>
    <t>PBJ-0914</t>
  </si>
  <si>
    <t>Current source file exists at Data/Scripts/Items/Special/Heritage Items/CinnamonFancyRug.cs; match=ExactFileClass; serializer evidence=Serialize:L30;Deserialize:L37;SerialCtor:L27; class=Server.Items.CinnamonFancyRugAddon;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</si>
  <si>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Items/CinnamonFancyRug.cs; backlog risk category=VersionHandling; write count=1; read count=1. POST-BATCH-J is triage only; no serialized layout edit is approved by this row.</t>
  </si>
  <si>
    <t>RB-01176</t>
  </si>
  <si>
    <t>P10-F01176</t>
  </si>
  <si>
    <t>PBJ-0915</t>
  </si>
  <si>
    <t>Current source file exists at Data/Scripts/Items/Special/Heritage Items/CinnamonFancyRug.cs; match=ExactFileClass; serializer evidence=Serialize:L66;Deserialize:L73;SerialCtor:L63; class=Server.Items.CinnamonFancyRugDeed; kind=Deed; HasSerialConstructor=True; BaseCallStatus=BaseCallsFirst; VersionHandling=NoVersionFound; FieldAlignment=AlignedByCountAndKnownTypes; MoveRenameRisk=NamespaceOrTypeRenameDanger; ReviewStatus=NeedsSourceReview; ReviewReasons=NoVersionFound</t>
  </si>
  <si>
    <t>RB-01177</t>
  </si>
  <si>
    <t>P10-F01177</t>
  </si>
  <si>
    <t>Data/Scripts/Items/Special/Heritage Items/Curtains.cs</t>
  </si>
  <si>
    <t>PBJ-0916</t>
  </si>
  <si>
    <t>Current source file exists at Data/Scripts/Items/Special/Heritage Items/Curtains.cs; match=ExactFileClass; serializer evidence=Serialize:L126;Deserialize:L133;SerialCtor:L123; class=Server.Items.CurtainsAddon;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</si>
  <si>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Items/Curtains.cs; backlog risk category=VersionHandling; write count=1; read count=1. POST-BATCH-J is triage only; no serialized layout edit is approved by this row.</t>
  </si>
  <si>
    <t>RB-01178</t>
  </si>
  <si>
    <t>P10-F01178</t>
  </si>
  <si>
    <t>PBJ-0917</t>
  </si>
  <si>
    <t>Current source file exists at Data/Scripts/Items/Special/Heritage Items/Curtains.cs; match=ExactFileClass; serializer evidence=Serialize:L62;Deserialize:L71;SerialCtor:L34; class=Server.Items.CurtainsComponent;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</si>
  <si>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Items/Curtains.cs; backlog risk category=VersionHandling; write count=2; read count=2. POST-BATCH-J is triage only; no serialized layout edit is approved by this row.</t>
  </si>
  <si>
    <t>RB-01179</t>
  </si>
  <si>
    <t>P10-F01179</t>
  </si>
  <si>
    <t>PBJ-0918</t>
  </si>
  <si>
    <t>Current source file exists at Data/Scripts/Items/Special/Heritage Items/Curtains.cs; match=ExactFileClass; serializer evidence=Serialize:L180;Deserialize:L187;SerialCtor:L161; class=Server.Items.CurtainsDeed; kind=Deed; HasSerialConstructor=True; BaseCallStatus=BaseCallsFirst; VersionHandling=NoVersionFound; FieldAlignment=AlignedByCountAndKnownTypes; MoveRenameRisk=NamespaceOrTypeRenameDanger; ReviewStatus=NeedsSourceReview; ReviewReasons=NoVersionFound</t>
  </si>
  <si>
    <t>RB-01180</t>
  </si>
  <si>
    <t>P10-F01180</t>
  </si>
  <si>
    <t>Data/Scripts/Items/Special/Heritage Items/Fountain.cs</t>
  </si>
  <si>
    <t>PBJ-0919</t>
  </si>
  <si>
    <t>Current source file exists at Data/Scripts/Items/Special/Heritage Items/Fountain.cs; match=ExactFileClass; serializer evidence=Serialize:L19;Deserialize:L26;SerialCtor:L16; class=Server.Items.FountainAddon;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</si>
  <si>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Items/Fountain.cs; backlog risk category=VersionHandling; write count=1; read count=1. POST-BATCH-J is triage only; no serialized layout edit is approved by this row.</t>
  </si>
  <si>
    <t>RB-01181</t>
  </si>
  <si>
    <t>P10-F01181</t>
  </si>
  <si>
    <t>PBJ-0920</t>
  </si>
  <si>
    <t>Current source file exists at Data/Scripts/Items/Special/Heritage Items/Fountain.cs; match=ExactFileClass; serializer evidence=Serialize:L55;Deserialize:L62;SerialCtor:L52; class=Server.Items.FountainDeed; kind=Deed; HasSerialConstructor=True; BaseCallStatus=BaseCallsFirst; VersionHandling=NoVersionFound; FieldAlignment=AlignedByCountAndKnownTypes; MoveRenameRisk=NamespaceOrTypeRenameDanger; ReviewStatus=NeedsSourceReview; ReviewReasons=NoVersionFound</t>
  </si>
  <si>
    <t>RB-01182</t>
  </si>
  <si>
    <t>P10-F01182</t>
  </si>
  <si>
    <t>Data/Scripts/Items/Special/Heritage Items/FruitTrees.cs</t>
  </si>
  <si>
    <t>PBJ-0921</t>
  </si>
  <si>
    <t>Current source file exists at Data/Scripts/Items/Special/Heritage Items/FruitTrees.cs; match=ExactFileClass; serializer evidence=Serialize:L132;Deserialize:L139;SerialCtor:L129; class=Server.Items.AppleTreeAddon;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</si>
  <si>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Items/FruitTrees.cs; backlog risk category=VersionHandling; write count=1; read count=1. POST-BATCH-J is triage only; no serialized layout edit is approved by this row.</t>
  </si>
  <si>
    <t>RB-01183</t>
  </si>
  <si>
    <t>P10-F01183</t>
  </si>
  <si>
    <t>PBJ-0922</t>
  </si>
  <si>
    <t>Current source file exists at Data/Scripts/Items/Special/Heritage Items/FruitTrees.cs; match=ExactFileClass; serializer evidence=Serialize:L171;Deserialize:L178;SerialCtor:L168; class=Server.Items.AppleTreeDeed; kind=Deed; HasSerialConstructor=True; BaseCallStatus=BaseCallsFirst; VersionHandling=NoVersionFound; FieldAlignment=AlignedByCountAndKnownTypes; MoveRenameRisk=NamespaceOrTypeRenameDanger; ReviewStatus=NeedsSourceReview; ReviewReasons=NoVersionFound</t>
  </si>
  <si>
    <t>RB-01184</t>
  </si>
  <si>
    <t>P10-F01184</t>
  </si>
  <si>
    <t>PBJ-0923</t>
  </si>
  <si>
    <t>Current source file exists at Data/Scripts/Items/Special/Heritage Items/FruitTrees.cs; match=ExactFileClass; serializer evidence=Serialize:L88;Deserialize:L97;SerialCtor:L35; class=Server.Items.BaseFruitTreeAddon;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</si>
  <si>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Items/FruitTrees.cs; backlog risk category=VersionHandling; write count=2; read count=2. POST-BATCH-J is triage only; no serialized layout edit is approved by this row.</t>
  </si>
  <si>
    <t>RB-01185</t>
  </si>
  <si>
    <t>P10-F01185</t>
  </si>
  <si>
    <t>PBJ-0924</t>
  </si>
  <si>
    <t>Current source file exists at Data/Scripts/Items/Special/Heritage Items/FruitTrees.cs; match=ExactFileClass; serializer evidence=Serialize:L208;Deserialize:L215;SerialCtor:L205; class=Server.Items.PeachTreeAddon; kind=Addon; HasSerialConstructor=True; BaseCallStatus=BaseCallsFirst; VersionHandling=NoVersionFound; FieldAlignment=AlignedByCountAndKnownTypes; MoveRenameRisk=NamespaceOrTypeRenameDanger; ReviewStatus=NeedsSourceReview; ReviewReasons=NoVersionFound</t>
  </si>
  <si>
    <t>RB-01186</t>
  </si>
  <si>
    <t>P10-F01186</t>
  </si>
  <si>
    <t>PBJ-0925</t>
  </si>
  <si>
    <t>Current source file exists at Data/Scripts/Items/Special/Heritage Items/FruitTrees.cs; match=ExactFileClass; serializer evidence=Serialize:L247;Deserialize:L254;SerialCtor:L244; class=Server.Items.PeachTreeDeed; kind=Deed; HasSerialConstructor=True; BaseCallStatus=BaseCallsFirst; VersionHandling=NoVersionFound; FieldAlignment=AlignedByCountAndKnownTypes; MoveRenameRisk=NamespaceOrTypeRenameDanger; ReviewStatus=NeedsSourceReview; ReviewReasons=NoVersionFound</t>
  </si>
  <si>
    <t>RB-01187</t>
  </si>
  <si>
    <t>P10-F01187</t>
  </si>
  <si>
    <t>Data/Scripts/Items/Special/Heritage Items/GoldenDecorativeRug.cs</t>
  </si>
  <si>
    <t>PBJ-0926</t>
  </si>
  <si>
    <t>Current source file exists at Data/Scripts/Items/Special/Heritage Items/GoldenDecorativeRug.cs; match=ExactFileClass; serializer evidence=Serialize:L30;Deserialize:L37;SerialCtor:L27; class=Server.Items.GoldenDecorativeRugAddon;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</si>
  <si>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Items/GoldenDecorativeRug.cs; backlog risk category=VersionHandling; write count=1; read count=1. POST-BATCH-J is triage only; no serialized layout edit is approved by this row.</t>
  </si>
  <si>
    <t>RB-01188</t>
  </si>
  <si>
    <t>P10-F01188</t>
  </si>
  <si>
    <t>PBJ-0927</t>
  </si>
  <si>
    <t>Current source file exists at Data/Scripts/Items/Special/Heritage Items/GoldenDecorativeRug.cs; match=ExactFileClass; serializer evidence=Serialize:L66;Deserialize:L73;SerialCtor:L63; class=Server.Items.GoldenDecorativeRugDeed; kind=Deed; HasSerialConstructor=True; BaseCallStatus=BaseCallsFirst; VersionHandling=NoVersionFound; FieldAlignment=AlignedByCountAndKnownTypes; MoveRenameRisk=NamespaceOrTypeRenameDanger; ReviewStatus=NeedsSourceReview; ReviewReasons=NoVersionFound</t>
  </si>
  <si>
    <t>RB-01189</t>
  </si>
  <si>
    <t>P10-F01189</t>
  </si>
  <si>
    <t>Data/Scripts/Items/Special/Heritage Items/Guillotine.cs</t>
  </si>
  <si>
    <t>PBJ-0928</t>
  </si>
  <si>
    <t>Current source file exists at Data/Scripts/Items/Special/Heritage Items/Guillotine.cs; match=ExactFileClass; serializer evidence=Serialize:L74;Deserialize:L81;SerialCtor:L50; class=Server.Items.GuillotineAddon;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</si>
  <si>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Items/Guillotine.cs; backlog risk category=VersionHandling; write count=1; read count=1. POST-BATCH-J is triage only; no serialized layout edit is approved by this row.</t>
  </si>
  <si>
    <t>RB-01190</t>
  </si>
  <si>
    <t>P10-F01190</t>
  </si>
  <si>
    <t>PBJ-0929</t>
  </si>
  <si>
    <t>Current source file exists at Data/Scripts/Items/Special/Heritage Items/Guillotine.cs; match=ExactFileClass; serializer evidence=Serialize:L22;Deserialize:L29;SerialCtor:L19; class=Server.Items.GuillotineComponent; kind=Addon; HasSerialConstructor=True; BaseCallStatus=BaseCallsFirst; VersionHandling=NoVersionFound; FieldAlignment=AlignedByCountAndKnownTypes; MoveRenameRisk=NamespaceOrTypeRenameDanger; ReviewStatus=NeedsSourceReview; ReviewReasons=NoVersionFound</t>
  </si>
  <si>
    <t>RB-01191</t>
  </si>
  <si>
    <t>P10-F01191</t>
  </si>
  <si>
    <t>PBJ-0930</t>
  </si>
  <si>
    <t>Current source file exists at Data/Scripts/Items/Special/Heritage Items/Guillotine.cs; match=ExactFileClass; serializer evidence=Serialize:L177;Deserialize:L184;SerialCtor:L174; class=Server.Items.GuillotineDeed; kind=Deed; HasSerialConstructor=True; BaseCallStatus=BaseCallsFirst; VersionHandling=NoVersionFound; FieldAlignment=AlignedByCountAndKnownTypes; MoveRenameRisk=NamespaceOrTypeRenameDanger; ReviewStatus=NeedsSourceReview; ReviewReasons=NoVersionFound</t>
  </si>
  <si>
    <t>RB-01192</t>
  </si>
  <si>
    <t>P10-F01192</t>
  </si>
  <si>
    <t>Data/Scripts/Items/Special/Heritage Items/HangingAxes.cs</t>
  </si>
  <si>
    <t>PBJ-0931</t>
  </si>
  <si>
    <t>Current source file exists at Data/Scripts/Items/Special/Heritage Items/HangingAxes.cs; match=ExactFileClass; serializer evidence=Serialize:L34;Deserialize:L41;SerialCtor:L31; class=Server.Items.HangingAxesAddon;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</si>
  <si>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Items/HangingAxes.cs; backlog risk category=VersionHandling; write count=1; read count=1. POST-BATCH-J is triage only; no serialized layout edit is approved by this row.</t>
  </si>
  <si>
    <t>RB-01193</t>
  </si>
  <si>
    <t>P10-F01193</t>
  </si>
  <si>
    <t>PBJ-0932</t>
  </si>
  <si>
    <t>Current source file exists at Data/Scripts/Items/Special/Heritage Items/HangingAxes.cs; match=ExactFileClass; serializer evidence=Serialize:L88;Deserialize:L95;SerialCtor:L69; class=Server.Items.HangingAxesDeed; kind=Deed; HasSerialConstructor=True; BaseCallStatus=BaseCallsFirst; VersionHandling=NoVersionFound; FieldAlignment=AlignedByCountAndKnownTypes; MoveRenameRisk=NamespaceOrTypeRenameDanger; ReviewStatus=NeedsSourceReview; ReviewReasons=NoVersionFound</t>
  </si>
  <si>
    <t>RB-01194</t>
  </si>
  <si>
    <t>P10-F01194</t>
  </si>
  <si>
    <t>Data/Scripts/Items/Special/Heritage Items/HangingSwords.cs</t>
  </si>
  <si>
    <t>PBJ-0933</t>
  </si>
  <si>
    <t>Current source file exists at Data/Scripts/Items/Special/Heritage Items/HangingSwords.cs; match=ExactFileClass; serializer evidence=Serialize:L34;Deserialize:L41;SerialCtor:L31; class=Server.Items.HangingSwordsAddon;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</si>
  <si>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Items/HangingSwords.cs; backlog risk category=VersionHandling; write count=1; read count=1. POST-BATCH-J is triage only; no serialized layout edit is approved by this row.</t>
  </si>
  <si>
    <t>RB-01195</t>
  </si>
  <si>
    <t>P10-F01195</t>
  </si>
  <si>
    <t>PBJ-0934</t>
  </si>
  <si>
    <t>Current source file exists at Data/Scripts/Items/Special/Heritage Items/HangingSwords.cs; match=ExactFileClass; serializer evidence=Serialize:L88;Deserialize:L95;SerialCtor:L69; class=Server.Items.HangingSwordsDeed; kind=Deed; HasSerialConstructor=True; BaseCallStatus=BaseCallsFirst; VersionHandling=NoVersionFound; FieldAlignment=AlignedByCountAndKnownTypes; MoveRenameRisk=NamespaceOrTypeRenameDanger; ReviewStatus=NeedsSourceReview; ReviewReasons=NoVersionFound</t>
  </si>
  <si>
    <t>RB-01196</t>
  </si>
  <si>
    <t>P10-F01196</t>
  </si>
  <si>
    <t>Data/Scripts/Items/Special/Heritage Items/HouseLadder.cs</t>
  </si>
  <si>
    <t>PBJ-0935</t>
  </si>
  <si>
    <t>Current source file exists at Data/Scripts/Items/Special/Heritage Items/HouseLadder.cs; match=ExactFileClass; serializer evidence=Serialize:L59;Deserialize:L66;SerialCtor:L56; class=Server.Items.HouseLadderAddon; kind=Addon;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</si>
  <si>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path=Data/Scripts/Items/Special/Heritage Items/HouseLadder.cs; backlog risk category=VersionHandling; write count=1; read count=1. POST-BATCH-J is triage only; no serialized layout edit is approved by this row.</t>
  </si>
  <si>
    <t>RB-01197</t>
  </si>
  <si>
    <t>P10-F01197</t>
  </si>
  <si>
    <t>PBJ-0936</t>
  </si>
  <si>
    <t>Current source file exists at Data/Scripts/Items/Special/Heritage Items/HouseLadder.cs; match=ExactFileClass; serializer evidence=Serialize:L113;Deserialize:L120;SerialCtor:L94; class=Server.Items.HouseLadderDeed; kind=Deed; HasSerialConstructor=True; BaseCallStatus=BaseCallsFirst; VersionHandling=NoVersionFound; FieldAlignment=AlignedByCountAndKnownTypes; MoveRenameRisk=UnknownUntilSaveTest; ReviewStatus=NeedsSourceReview; ReviewReasons=NoVersionFound; UnknownUntilSaveTest</t>
  </si>
  <si>
    <t>RB-01198</t>
  </si>
  <si>
    <t>P10-F01198</t>
  </si>
  <si>
    <t>Data/Scripts/Items/Special/Heritage Items/IronMaiden.cs</t>
  </si>
  <si>
    <t>PBJ-0937</t>
  </si>
  <si>
    <t>Current source file exists at Data/Scripts/Items/Special/Heritage Items/IronMaiden.cs; match=ExactFileClass; serializer evidence=Serialize:L48;Deserialize:L55;SerialCtor:L21; class=Server.Items.IronMaidenAddon;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</si>
  <si>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Items/IronMaiden.cs; backlog risk category=VersionHandling; write count=1; read count=1. POST-BATCH-J is triage only; no serialized layout edit is approved by this row.</t>
  </si>
  <si>
    <t>RB-01199</t>
  </si>
  <si>
    <t>P10-F01199</t>
  </si>
  <si>
    <t>PBJ-0938</t>
  </si>
  <si>
    <t>Current source file exists at Data/Scripts/Items/Special/Heritage Items/IronMaiden.cs; match=ExactFileClass; serializer evidence=Serialize:L134;Deserialize:L141;SerialCtor:L131; class=Server.Items.IronMaidenDeed; kind=Deed; HasSerialConstructor=True; BaseCallStatus=BaseCallsFirst; VersionHandling=NoVersionFound; FieldAlignment=AlignedByCountAndKnownTypes; MoveRenameRisk=NamespaceOrTypeRenameDanger; ReviewStatus=NeedsSourceReview; ReviewReasons=NoVersionFound</t>
  </si>
  <si>
    <t>RB-01200</t>
  </si>
  <si>
    <t>P10-F01200</t>
  </si>
  <si>
    <t>Data/Scripts/Items/Special/Heritage Items/LargeFishingNet.cs</t>
  </si>
  <si>
    <t>PBJ-0939</t>
  </si>
  <si>
    <t>Current source file exists at Data/Scripts/Items/Special/Heritage Items/LargeFishingNet.cs; match=ExactFileClass; serializer evidence=Serialize:L51;Deserialize:L58;SerialCtor:L48; class=Server.Items.LargeFishingNetAddon;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</si>
  <si>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Items/LargeFishingNet.cs; backlog risk category=VersionHandling; write count=1; read count=1. POST-BATCH-J is triage only; no serialized layout edit is approved by this row.</t>
  </si>
  <si>
    <t>RB-01201</t>
  </si>
  <si>
    <t>P10-F01201</t>
  </si>
  <si>
    <t>PBJ-0940</t>
  </si>
  <si>
    <t>Current source file exists at Data/Scripts/Items/Special/Heritage Items/LargeFishingNet.cs; match=ExactFileClass; serializer evidence=Serialize:L19;Deserialize:L26;SerialCtor:L16; class=Server.Items.LargeFishingNetComponent; kind=Addon; HasSerialConstructor=True; BaseCallStatus=BaseCallsFirst; VersionHandling=NoVersionFound; FieldAlignment=AlignedByCountAndKnownTypes; MoveRenameRisk=NamespaceOrTypeRenameDanger; ReviewStatus=NeedsSourceReview; ReviewReasons=NoVersionFound</t>
  </si>
  <si>
    <t>RB-01202</t>
  </si>
  <si>
    <t>P10-F01202</t>
  </si>
  <si>
    <t>PBJ-0941</t>
  </si>
  <si>
    <t>Current source file exists at Data/Scripts/Items/Special/Heritage Items/LargeFishingNet.cs; match=ExactFileClass; serializer evidence=Serialize:L87;Deserialize:L94;SerialCtor:L84; class=Server.Items.LargeFishingNetDeed; kind=Deed; HasSerialConstructor=True; BaseCallStatus=BaseCallsFirst; VersionHandling=NoVersionFound; FieldAlignment=AlignedByCountAndKnownTypes; MoveRenameRisk=NamespaceOrTypeRenameDanger; ReviewStatus=NeedsSourceReview; ReviewReasons=NoVersionFound</t>
  </si>
  <si>
    <t>RB-01203</t>
  </si>
  <si>
    <t>P10-F01203</t>
  </si>
  <si>
    <t>Data/Scripts/Items/Special/Heritage Items/PeachTrunk.cs</t>
  </si>
  <si>
    <t>PBJ-0942</t>
  </si>
  <si>
    <t>Current source file exists at Data/Scripts/Items/Special/Heritage Items/PeachTrunk.cs; match=ExactFileClass; serializer evidence=Serialize:L22;Deserialize:L29;SerialCtor:L19; class=Server.Items.PeachTrunkAddon;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</si>
  <si>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Items/PeachTrunk.cs; backlog risk category=VersionHandling; write count=1; read count=1. POST-BATCH-J is triage only; no serialized layout edit is approved by this row.</t>
  </si>
  <si>
    <t>RB-01204</t>
  </si>
  <si>
    <t>P10-F01204</t>
  </si>
  <si>
    <t>PBJ-0943</t>
  </si>
  <si>
    <t>Current source file exists at Data/Scripts/Items/Special/Heritage Items/PeachTrunk.cs; match=ExactFileClass; serializer evidence=Serialize:L58;Deserialize:L65;SerialCtor:L55; class=Server.Items.PeachTrunkDeed; kind=Deed; HasSerialConstructor=True; BaseCallStatus=BaseCallsFirst; VersionHandling=NoVersionFound; FieldAlignment=AlignedByCountAndKnownTypes; MoveRenameRisk=NamespaceOrTypeRenameDanger; ReviewStatus=NeedsSourceReview; ReviewReasons=NoVersionFound</t>
  </si>
  <si>
    <t>RB-01205</t>
  </si>
  <si>
    <t>P10-F01205</t>
  </si>
  <si>
    <t>Data/Scripts/Items/Special/Heritage Items/PinkFancyRug.cs</t>
  </si>
  <si>
    <t>PBJ-0944</t>
  </si>
  <si>
    <t>Current source file exists at Data/Scripts/Items/Special/Heritage Items/PinkFancyRug.cs; match=ExactFileClass; serializer evidence=Serialize:L30;Deserialize:L37;SerialCtor:L27; class=Server.Items.PinkFancyRugAddon;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</si>
  <si>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Items/PinkFancyRug.cs; backlog risk category=VersionHandling; write count=1; read count=1. POST-BATCH-J is triage only; no serialized layout edit is approved by this row.</t>
  </si>
  <si>
    <t>RB-01206</t>
  </si>
  <si>
    <t>P10-F01206</t>
  </si>
  <si>
    <t>PBJ-0945</t>
  </si>
  <si>
    <t>Current source file exists at Data/Scripts/Items/Special/Heritage Items/PinkFancyRug.cs; match=ExactFileClass; serializer evidence=Serialize:L66;Deserialize:L73;SerialCtor:L63; class=Server.Items.PinkFancyRugDeed; kind=Deed; HasSerialConstructor=True; BaseCallStatus=BaseCallsFirst; VersionHandling=NoVersionFound; FieldAlignment=AlignedByCountAndKnownTypes; MoveRenameRisk=NamespaceOrTypeRenameDanger; ReviewStatus=NeedsSourceReview; ReviewReasons=NoVersionFound</t>
  </si>
  <si>
    <t>RB-01207</t>
  </si>
  <si>
    <t>P10-F01207</t>
  </si>
  <si>
    <t>Data/Scripts/Items/Special/Heritage Items/RedPlainRug.cs</t>
  </si>
  <si>
    <t>PBJ-0946</t>
  </si>
  <si>
    <t>Current source file exists at Data/Scripts/Items/Special/Heritage Items/RedPlainRug.cs; match=ExactFileClass; serializer evidence=Serialize:L30;Deserialize:L37;SerialCtor:L27; class=Server.Items.RedPlainRugAddon;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</si>
  <si>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Items/RedPlainRug.cs; backlog risk category=VersionHandling; write count=1; read count=1. POST-BATCH-J is triage only; no serialized layout edit is approved by this row.</t>
  </si>
  <si>
    <t>RB-01208</t>
  </si>
  <si>
    <t>P10-F01208</t>
  </si>
  <si>
    <t>PBJ-0947</t>
  </si>
  <si>
    <t>Current source file exists at Data/Scripts/Items/Special/Heritage Items/RedPlainRug.cs; match=ExactFileClass; serializer evidence=Serialize:L66;Deserialize:L73;SerialCtor:L63; class=Server.Items.RedPlainRugDeed; kind=Deed; HasSerialConstructor=True; BaseCallStatus=BaseCallsFirst; VersionHandling=NoVersionFound; FieldAlignment=AlignedByCountAndKnownTypes; MoveRenameRisk=NamespaceOrTypeRenameDanger; ReviewStatus=NeedsSourceReview; ReviewReasons=NoVersionFound</t>
  </si>
  <si>
    <t>RB-01209</t>
  </si>
  <si>
    <t>P10-F01209</t>
  </si>
  <si>
    <t>Data/Scripts/Items/Special/Heritage Items/Scarecrow.cs</t>
  </si>
  <si>
    <t>PBJ-0948</t>
  </si>
  <si>
    <t>Current source file exists at Data/Scripts/Items/Special/Heritage Items/Scarecrow.cs; match=ExactFileClass; serializer evidence=Serialize:L51;Deserialize:L58;SerialCtor:L48; class=Server.Items.ScarecrowAddon;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</si>
  <si>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Items/Scarecrow.cs; backlog risk category=VersionHandling; write count=1; read count=1. POST-BATCH-J is triage only; no serialized layout edit is approved by this row.</t>
  </si>
  <si>
    <t>RB-01210</t>
  </si>
  <si>
    <t>P10-F01210</t>
  </si>
  <si>
    <t>PBJ-0949</t>
  </si>
  <si>
    <t>Current source file exists at Data/Scripts/Items/Special/Heritage Items/Scarecrow.cs; match=ExactFileClass; serializer evidence=Serialize:L19;Deserialize:L26;SerialCtor:L16; class=Server.Items.ScarecrowComponent; kind=Addon; HasSerialConstructor=True; BaseCallStatus=BaseCallsFirst; VersionHandling=NoVersionFound; FieldAlignment=AlignedByCountAndKnownTypes; MoveRenameRisk=NamespaceOrTypeRenameDanger; ReviewStatus=NeedsSourceReview; ReviewReasons=NoVersionFound</t>
  </si>
  <si>
    <t>RB-01211</t>
  </si>
  <si>
    <t>P10-F01211</t>
  </si>
  <si>
    <t>PBJ-0950</t>
  </si>
  <si>
    <t>Current source file exists at Data/Scripts/Items/Special/Heritage Items/Scarecrow.cs; match=ExactFileClass; serializer evidence=Serialize:L87;Deserialize:L94;SerialCtor:L84; class=Server.Items.ScarecrowDeed; kind=Deed; HasSerialConstructor=True; BaseCallStatus=BaseCallsFirst; VersionHandling=NoVersionFound; FieldAlignment=AlignedByCountAndKnownTypes; MoveRenameRisk=NamespaceOrTypeRenameDanger; ReviewStatus=NeedsSourceReview; ReviewReasons=NoVersionFound</t>
  </si>
  <si>
    <t>RB-01212</t>
  </si>
  <si>
    <t>P10-F01212</t>
  </si>
  <si>
    <t>Data/Scripts/Items/Special/Heritage Items/SmallFishingNet.cs</t>
  </si>
  <si>
    <t>PBJ-0951</t>
  </si>
  <si>
    <t>Current source file exists at Data/Scripts/Items/Special/Heritage Items/SmallFishingNet.cs; match=ExactFileClass; serializer evidence=Serialize:L51;Deserialize:L58;SerialCtor:L48; class=Server.Items.SmallFishingNetAddon;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</si>
  <si>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Items/SmallFishingNet.cs; backlog risk category=VersionHandling; write count=1; read count=1. POST-BATCH-J is triage only; no serialized layout edit is approved by this row.</t>
  </si>
  <si>
    <t>RB-01213</t>
  </si>
  <si>
    <t>P10-F01213</t>
  </si>
  <si>
    <t>PBJ-0952</t>
  </si>
  <si>
    <t>Current source file exists at Data/Scripts/Items/Special/Heritage Items/SmallFishingNet.cs; match=ExactFileClass; serializer evidence=Serialize:L19;Deserialize:L26;SerialCtor:L16; class=Server.Items.SmallFishingNetComponent; kind=Addon; HasSerialConstructor=True; BaseCallStatus=BaseCallsFirst; VersionHandling=NoVersionFound; FieldAlignment=AlignedByCountAndKnownTypes; MoveRenameRisk=NamespaceOrTypeRenameDanger; ReviewStatus=NeedsSourceReview; ReviewReasons=NoVersionFound</t>
  </si>
  <si>
    <t>RB-01214</t>
  </si>
  <si>
    <t>P10-F01214</t>
  </si>
  <si>
    <t>PBJ-0953</t>
  </si>
  <si>
    <t>Current source file exists at Data/Scripts/Items/Special/Heritage Items/SmallFishingNet.cs; match=ExactFileClass; serializer evidence=Serialize:L87;Deserialize:L94;SerialCtor:L84; class=Server.Items.SmallFishingNetDeed; kind=Deed; HasSerialConstructor=True; BaseCallStatus=BaseCallsFirst; VersionHandling=NoVersionFound; FieldAlignment=AlignedByCountAndKnownTypes; MoveRenameRisk=NamespaceOrTypeRenameDanger; ReviewStatus=NeedsSourceReview; ReviewReasons=NoVersionFound</t>
  </si>
  <si>
    <t>RB-01215</t>
  </si>
  <si>
    <t>P10-F01215</t>
  </si>
  <si>
    <t>Data/Scripts/Items/Special/Heritage Items/Statue.cs</t>
  </si>
  <si>
    <t>PBJ-0954</t>
  </si>
  <si>
    <t>Current source file exists at Data/Scripts/Items/Special/Heritage Items/Statue.cs; match=ExactFileClass; serializer evidence=Serialize:L36;Deserialize:L43;SerialCtor:L33; class=Server.Items.StoneStatueAddon;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</si>
  <si>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Items/Statue.cs; backlog risk category=VersionHandling; write count=1; read count=1. POST-BATCH-J is triage only; no serialized layout edit is approved by this row.</t>
  </si>
  <si>
    <t>RB-01216</t>
  </si>
  <si>
    <t>P10-F01216</t>
  </si>
  <si>
    <t>PBJ-0955</t>
  </si>
  <si>
    <t>Current source file exists at Data/Scripts/Items/Special/Heritage Items/Statue.cs; match=ExactFileClass; serializer evidence=Serialize:L93;Deserialize:L100;SerialCtor:L68; class=Server.Items.StoneStatueDeed; kind=Deed; HasSerialConstructor=True; BaseCallStatus=BaseCallsFirst; VersionHandling=NoVersionFound; FieldAlignment=AlignedByCountAndKnownTypes; MoveRenameRisk=NamespaceOrTypeRenameDanger; ReviewStatus=NeedsSourceReview; ReviewReasons=NoVersionFound</t>
  </si>
  <si>
    <t>RB-01217</t>
  </si>
  <si>
    <t>P10-F01217</t>
  </si>
  <si>
    <t>Data/Scripts/Items/Special/Heritage Items/SuitOfGoldArmor.cs</t>
  </si>
  <si>
    <t>PBJ-0956</t>
  </si>
  <si>
    <t>Current source file exists at Data/Scripts/Items/Special/Heritage Items/SuitOfGoldArmor.cs; match=ExactFileClass; serializer evidence=Serialize:L51;Deserialize:L58;SerialCtor:L48; class=Server.Items.SuitOfGoldArmorAddon;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</si>
  <si>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Items/SuitOfGoldArmor.cs; backlog risk category=VersionHandling; write count=1; read count=1. POST-BATCH-J is triage only; no serialized layout edit is approved by this row.</t>
  </si>
  <si>
    <t>RB-01218</t>
  </si>
  <si>
    <t>P10-F01218</t>
  </si>
  <si>
    <t>PBJ-0957</t>
  </si>
  <si>
    <t>Current source file exists at Data/Scripts/Items/Special/Heritage Items/SuitOfGoldArmor.cs; match=ExactFileClass; serializer evidence=Serialize:L19;Deserialize:L26;SerialCtor:L16; class=Server.Items.SuitOfGoldArmorComponent; kind=Addon; HasSerialConstructor=True; BaseCallStatus=BaseCallsFirst; VersionHandling=NoVersionFound; FieldAlignment=AlignedByCountAndKnownTypes; MoveRenameRisk=NamespaceOrTypeRenameDanger; ReviewStatus=NeedsSourceReview; ReviewReasons=NoVersionFound</t>
  </si>
  <si>
    <t>RB-01219</t>
  </si>
  <si>
    <t>P10-F01219</t>
  </si>
  <si>
    <t>PBJ-0958</t>
  </si>
  <si>
    <t>Current source file exists at Data/Scripts/Items/Special/Heritage Items/SuitOfGoldArmor.cs; match=ExactFileClass; serializer evidence=Serialize:L84;Deserialize:L91;SerialCtor:L81; class=Server.Items.SuitOfGoldArmorDeed; kind=Deed; HasSerialConstructor=True; BaseCallStatus=BaseCallsFirst; VersionHandling=NoVersionFound; FieldAlignment=AlignedByCountAndKnownTypes; MoveRenameRisk=NamespaceOrTypeRenameDanger; ReviewStatus=NeedsSourceReview; ReviewReasons=NoVersionFound</t>
  </si>
  <si>
    <t>RB-01220</t>
  </si>
  <si>
    <t>P10-F01220</t>
  </si>
  <si>
    <t>Data/Scripts/Items/Special/Heritage Items/SuitOfSilverArmor.cs</t>
  </si>
  <si>
    <t>PBJ-0959</t>
  </si>
  <si>
    <t>Current source file exists at Data/Scripts/Items/Special/Heritage Items/SuitOfSilverArmor.cs; match=ExactFileClass; serializer evidence=Serialize:L51;Deserialize:L58;SerialCtor:L48; class=Server.Items.SuitOfSilverArmorAddon;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</si>
  <si>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Items/SuitOfSilverArmor.cs; backlog risk category=VersionHandling; write count=1; read count=1. POST-BATCH-J is triage only; no serialized layout edit is approved by this row.</t>
  </si>
  <si>
    <t>RB-01221</t>
  </si>
  <si>
    <t>P10-F01221</t>
  </si>
  <si>
    <t>PBJ-0960</t>
  </si>
  <si>
    <t>Current source file exists at Data/Scripts/Items/Special/Heritage Items/SuitOfSilverArmor.cs; match=ExactFileClass; serializer evidence=Serialize:L19;Deserialize:L26;SerialCtor:L16; class=Server.Items.SuitOfSilverArmorComponent; kind=Addon; HasSerialConstructor=True; BaseCallStatus=BaseCallsFirst; VersionHandling=NoVersionFound; FieldAlignment=AlignedByCountAndKnownTypes; MoveRenameRisk=NamespaceOrTypeRenameDanger; ReviewStatus=NeedsSourceReview; ReviewReasons=NoVersionFound</t>
  </si>
  <si>
    <t>RB-01222</t>
  </si>
  <si>
    <t>P10-F01222</t>
  </si>
  <si>
    <t>PBJ-0961</t>
  </si>
  <si>
    <t>Current source file exists at Data/Scripts/Items/Special/Heritage Items/SuitOfSilverArmor.cs; match=ExactFileClass; serializer evidence=Serialize:L84;Deserialize:L91;SerialCtor:L81; class=Server.Items.SuitOfSilverArmorDeed; kind=Deed; HasSerialConstructor=True; BaseCallStatus=BaseCallsFirst; VersionHandling=NoVersionFound; FieldAlignment=AlignedByCountAndKnownTypes; MoveRenameRisk=NamespaceOrTypeRenameDanger; ReviewStatus=NeedsSourceReview; ReviewReasons=NoVersionFound</t>
  </si>
  <si>
    <t>RB-01223</t>
  </si>
  <si>
    <t>P10-F01223</t>
  </si>
  <si>
    <t>Data/Scripts/Items/Special/Heritage Items/TableWithBlueCloth.cs</t>
  </si>
  <si>
    <t>PBJ-0962</t>
  </si>
  <si>
    <t>Current source file exists at Data/Scripts/Items/Special/Heritage Items/TableWithBlueCloth.cs; match=ExactFileClass; serializer evidence=Serialize:L22;Deserialize:L29;SerialCtor:L19; class=Server.Items.TableWithBlueClothAddon;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</si>
  <si>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Items/TableWithBlueCloth.cs; backlog risk category=VersionHandling; write count=1; read count=1. POST-BATCH-J is triage only; no serialized layout edit is approved by this row.</t>
  </si>
  <si>
    <t>RB-01224</t>
  </si>
  <si>
    <t>P10-F01224</t>
  </si>
  <si>
    <t>PBJ-0963</t>
  </si>
  <si>
    <t>Current source file exists at Data/Scripts/Items/Special/Heritage Items/TableWithBlueCloth.cs; match=ExactFileClass; serializer evidence=Serialize:L58;Deserialize:L65;SerialCtor:L55; class=Server.Items.TableWithBlueClothDeed; kind=Deed; HasSerialConstructor=True; BaseCallStatus=BaseCallsFirst; VersionHandling=NoVersionFound; FieldAlignment=AlignedByCountAndKnownTypes; MoveRenameRisk=NamespaceOrTypeRenameDanger; ReviewStatus=NeedsSourceReview; ReviewReasons=NoVersionFound</t>
  </si>
  <si>
    <t>RB-01225</t>
  </si>
  <si>
    <t>P10-F01225</t>
  </si>
  <si>
    <t>Data/Scripts/Items/Special/Heritage Items/TableWithOrangeCloth.cs</t>
  </si>
  <si>
    <t>PBJ-0964</t>
  </si>
  <si>
    <t>Current source file exists at Data/Scripts/Items/Special/Heritage Items/TableWithOrangeCloth.cs; match=ExactFileClass; serializer evidence=Serialize:L22;Deserialize:L29;SerialCtor:L19; class=Server.Items.TableWithOrangeClothAddon;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</si>
  <si>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Items/TableWithOrangeCloth.cs; backlog risk category=VersionHandling; write count=1; read count=1. POST-BATCH-J is triage only; no serialized layout edit is approved by this row.</t>
  </si>
  <si>
    <t>RB-01226</t>
  </si>
  <si>
    <t>P10-F01226</t>
  </si>
  <si>
    <t>PBJ-0965</t>
  </si>
  <si>
    <t>Current source file exists at Data/Scripts/Items/Special/Heritage Items/TableWithOrangeCloth.cs; match=ExactFileClass; serializer evidence=Serialize:L58;Deserialize:L65;SerialCtor:L55; class=Server.Items.TableWithOrangeClothDeed; kind=Deed; HasSerialConstructor=True; BaseCallStatus=BaseCallsFirst; VersionHandling=NoVersionFound; FieldAlignment=AlignedByCountAndKnownTypes; MoveRenameRisk=NamespaceOrTypeRenameDanger; ReviewStatus=NeedsSourceReview; ReviewReasons=NoVersionFound</t>
  </si>
  <si>
    <t>RB-01227</t>
  </si>
  <si>
    <t>P10-F01227</t>
  </si>
  <si>
    <t>Data/Scripts/Items/Special/Heritage Items/TableWithPurpleCloth.cs</t>
  </si>
  <si>
    <t>PBJ-0966</t>
  </si>
  <si>
    <t>Current source file exists at Data/Scripts/Items/Special/Heritage Items/TableWithPurpleCloth.cs; match=ExactFileClass; serializer evidence=Serialize:L22;Deserialize:L29;SerialCtor:L19; class=Server.Items.TableWithPurpleClothAddon;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</si>
  <si>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Items/TableWithPurpleCloth.cs; backlog risk category=VersionHandling; write count=1; read count=1. POST-BATCH-J is triage only; no serialized layout edit is approved by this row.</t>
  </si>
  <si>
    <t>RB-01228</t>
  </si>
  <si>
    <t>P10-F01228</t>
  </si>
  <si>
    <t>PBJ-0967</t>
  </si>
  <si>
    <t>Current source file exists at Data/Scripts/Items/Special/Heritage Items/TableWithPurpleCloth.cs; match=ExactFileClass; serializer evidence=Serialize:L58;Deserialize:L65;SerialCtor:L55; class=Server.Items.TableWithPurpleClothDeed; kind=Deed; HasSerialConstructor=True; BaseCallStatus=BaseCallsFirst; VersionHandling=NoVersionFound; FieldAlignment=AlignedByCountAndKnownTypes; MoveRenameRisk=NamespaceOrTypeRenameDanger; ReviewStatus=NeedsSourceReview; ReviewReasons=NoVersionFound</t>
  </si>
  <si>
    <t>RB-01229</t>
  </si>
  <si>
    <t>P10-F01229</t>
  </si>
  <si>
    <t>Data/Scripts/Items/Special/Heritage Items/TableWithRedCloth.cs</t>
  </si>
  <si>
    <t>PBJ-0968</t>
  </si>
  <si>
    <t>Current source file exists at Data/Scripts/Items/Special/Heritage Items/TableWithRedCloth.cs; match=ExactFileClass; serializer evidence=Serialize:L22;Deserialize:L29;SerialCtor:L19; class=Server.Items.TableWithRedClothAddon;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</si>
  <si>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Items/TableWithRedCloth.cs; backlog risk category=VersionHandling; write count=1; read count=1. POST-BATCH-J is triage only; no serialized layout edit is approved by this row.</t>
  </si>
  <si>
    <t>RB-01230</t>
  </si>
  <si>
    <t>P10-F01230</t>
  </si>
  <si>
    <t>PBJ-0969</t>
  </si>
  <si>
    <t>Current source file exists at Data/Scripts/Items/Special/Heritage Items/TableWithRedCloth.cs; match=ExactFileClass; serializer evidence=Serialize:L58;Deserialize:L65;SerialCtor:L55; class=Server.Items.TableWithRedClothDeed; kind=Deed; HasSerialConstructor=True; BaseCallStatus=BaseCallsFirst; VersionHandling=NoVersionFound; FieldAlignment=AlignedByCountAndKnownTypes; MoveRenameRisk=NamespaceOrTypeRenameDanger; ReviewStatus=NeedsSourceReview; ReviewReasons=NoVersionFound</t>
  </si>
  <si>
    <t>RB-01231</t>
  </si>
  <si>
    <t>P10-F01231</t>
  </si>
  <si>
    <t>Data/Scripts/Items/Special/Heritage Items/UnmadeBed.cs</t>
  </si>
  <si>
    <t>PBJ-0970</t>
  </si>
  <si>
    <t>Current source file exists at Data/Scripts/Items/Special/Heritage Items/UnmadeBed.cs; match=ExactFileClass; serializer evidence=Serialize:L38;Deserialize:L45;SerialCtor:L35; class=Server.Items.UnmadeBedAddon;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</si>
  <si>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Items/UnmadeBed.cs; backlog risk category=VersionHandling; write count=1; read count=1. POST-BATCH-J is triage only; no serialized layout edit is approved by this row.</t>
  </si>
  <si>
    <t>RB-01232</t>
  </si>
  <si>
    <t>P10-F01232</t>
  </si>
  <si>
    <t>PBJ-0971</t>
  </si>
  <si>
    <t>Current source file exists at Data/Scripts/Items/Special/Heritage Items/UnmadeBed.cs; match=ExactFileClass; serializer evidence=Serialize:L92;Deserialize:L99;SerialCtor:L73; class=Server.Items.UnmadeBedDeed; kind=Deed; HasSerialConstructor=True; BaseCallStatus=BaseCallsFirst; VersionHandling=NoVersionFound; FieldAlignment=AlignedByCountAndKnownTypes; MoveRenameRisk=NamespaceOrTypeRenameDanger; ReviewStatus=NeedsSourceReview; ReviewReasons=NoVersionFound</t>
  </si>
  <si>
    <t>RB-01233</t>
  </si>
  <si>
    <t>P10-F01233</t>
  </si>
  <si>
    <t>Data/Scripts/Items/Special/Heritage Items/Vanity.cs</t>
  </si>
  <si>
    <t>PBJ-0972</t>
  </si>
  <si>
    <t>Current source file exists at Data/Scripts/Items/Special/Heritage Items/Vanity.cs; match=ExactFileClass; serializer evidence=Serialize:L44;Deserialize:L51;SerialCtor:L41; class=Server.Items.VanityAddon;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</si>
  <si>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Items/Vanity.cs; backlog risk category=VersionHandling; write count=1; read count=1. POST-BATCH-J is triage only; no serialized layout edit is approved by this row.</t>
  </si>
  <si>
    <t>RB-01234</t>
  </si>
  <si>
    <t>P10-F01234</t>
  </si>
  <si>
    <t>PBJ-0973</t>
  </si>
  <si>
    <t>Current source file exists at Data/Scripts/Items/Special/Heritage Items/Vanity.cs; match=ExactFileClass; serializer evidence=Serialize:L98;Deserialize:L105;SerialCtor:L79; class=Server.Items.VanityDeed; kind=Deed; HasSerialConstructor=True; BaseCallStatus=BaseCallsFirst; VersionHandling=NoVersionFound; FieldAlignment=AlignedByCountAndKnownTypes; MoveRenameRisk=NamespaceOrTypeRenameDanger; ReviewStatus=NeedsSourceReview; ReviewReasons=NoVersionFound</t>
  </si>
  <si>
    <t>RB-01235</t>
  </si>
  <si>
    <t>P10-F01235</t>
  </si>
  <si>
    <t>Data/Scripts/Items/Special/Heritage Items/WallTorch.cs</t>
  </si>
  <si>
    <t>PBJ-0974</t>
  </si>
  <si>
    <t>Current source file exists at Data/Scripts/Items/Special/Heritage Items/WallTorch.cs; match=ExactFileClass; serializer evidence=Serialize:L79;Deserialize:L86;SerialCtor:L76; class=Server.Items.WallTorchAddon;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</si>
  <si>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Items/WallTorch.cs; backlog risk category=VersionHandling; write count=1; read count=1. POST-BATCH-J is triage only; no serialized layout edit is approved by this row.</t>
  </si>
  <si>
    <t>RB-01236</t>
  </si>
  <si>
    <t>P10-F01236</t>
  </si>
  <si>
    <t>PBJ-0975</t>
  </si>
  <si>
    <t>Current source file exists at Data/Scripts/Items/Special/Heritage Items/WallTorch.cs; match=ExactFileClass; serializer evidence=Serialize:L48;Deserialize:L55;SerialCtor:L19; class=Server.Items.WallTorchComponent; kind=Addon; HasSerialConstructor=True; BaseCallStatus=BaseCallsFirst; VersionHandling=NoVersionFound; FieldAlignment=AlignedByCountAndKnownTypes; MoveRenameRisk=NamespaceOrTypeRenameDanger; ReviewStatus=NeedsSourceReview; ReviewReasons=NoVersionFound</t>
  </si>
  <si>
    <t>RB-01237</t>
  </si>
  <si>
    <t>P10-F01237</t>
  </si>
  <si>
    <t>PBJ-0976</t>
  </si>
  <si>
    <t>Current source file exists at Data/Scripts/Items/Special/Heritage Items/WallTorch.cs; match=ExactFileClass; serializer evidence=Serialize:L115;Deserialize:L122;SerialCtor:L112; class=Server.Items.WallTorchDeed; kind=Deed; HasSerialConstructor=True; BaseCallStatus=BaseCallsFirst; VersionHandling=NoVersionFound; FieldAlignment=AlignedByCountAndKnownTypes; MoveRenameRisk=NamespaceOrTypeRenameDanger; ReviewStatus=NeedsSourceReview; ReviewReasons=NoVersionFound</t>
  </si>
  <si>
    <t>RB-01238</t>
  </si>
  <si>
    <t>P10-F01238</t>
  </si>
  <si>
    <t>Data/Scripts/Items/Special/Heritage Items/WoodenCoffin.cs</t>
  </si>
  <si>
    <t>PBJ-0977</t>
  </si>
  <si>
    <t>Current source file exists at Data/Scripts/Items/Special/Heritage Items/WoodenCoffin.cs; match=ExactFileClass; serializer evidence=Serialize:L64;Deserialize:L71;SerialCtor:L61; class=Server.Items.WoodenCoffinAddon;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</si>
  <si>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path=Data/Scripts/Items/Special/Heritage Items/WoodenCoffin.cs; backlog risk category=VersionHandling; write count=1; read count=1. POST-BATCH-J is triage only; no serialized layout edit is approved by this row.</t>
  </si>
  <si>
    <t>RB-01239</t>
  </si>
  <si>
    <t>P10-F01239</t>
  </si>
  <si>
    <t>PBJ-0978</t>
  </si>
  <si>
    <t>Current source file exists at Data/Scripts/Items/Special/Heritage Items/WoodenCoffin.cs; match=ExactFileClass; serializer evidence=Serialize:L21;Deserialize:L28;SerialCtor:L18; class=Server.Items.WoodenCoffinComponent; kind=Addon; HasSerialConstructor=True; BaseCallStatus=BaseCallsFirst; VersionHandling=NoVersionFound; FieldAlignment=AlignedByCountAndKnownTypes; MoveRenameRisk=NamespaceOrTypeRenameDanger; ReviewStatus=NeedsSourceReview; ReviewReasons=NoVersionFound</t>
  </si>
  <si>
    <t>RB-01240</t>
  </si>
  <si>
    <t>P10-F01240</t>
  </si>
  <si>
    <t>PBJ-0979</t>
  </si>
  <si>
    <t>Current source file exists at Data/Scripts/Items/Special/Heritage Items/WoodenCoffin.cs; match=ExactFileClass; serializer evidence=Serialize:L115;Deserialize:L122;SerialCtor:L96; class=Server.Items.WoodenCoffinDeed; kind=Deed; HasSerialConstructor=True; BaseCallStatus=BaseCallsFirst; VersionHandling=NoVersionFound; FieldAlignment=AlignedByCountAndKnownTypes; MoveRenameRisk=NamespaceOrTypeRenameDanger; ReviewStatus=NeedsSourceReview; ReviewReasons=NoVersionFound</t>
  </si>
  <si>
    <t>RB-01242</t>
  </si>
  <si>
    <t>P10-F01242</t>
  </si>
  <si>
    <t>PBW-0033</t>
  </si>
  <si>
    <t>Current source file exists at Data/Scripts/Items/Special/House Raffle/HouseRaffleStone.cs; prior POST-BATCH-J row=PBJ-0980; register evidence=Serialize:L48; class=Server.Items.RaffleEntry; kind=Item; HasSerialConstructor=False; BaseCallStatus=MissingBaseSerialize; VersionHandling=NoVersionFound; FieldAlignment=CountMismatch:Writes=3;Reads=0; direct source review=Source-reviewed helper serializer: Serialize L48-L52 writes mobile/IP/date; GenericReader constructor L55-L69 reads version-gated mobile/IP/date; no Serial constructor/base calls required.</t>
  </si>
  <si>
    <t>POST-BATCH-W disposition of historical POST-BATCH-J NeedsMigrationPlan row; previous review row PBJ-0980; review class HelperSerializerReviewedNoChange.</t>
  </si>
  <si>
    <t>RB-01243</t>
  </si>
  <si>
    <t>P10-F01243</t>
  </si>
  <si>
    <t>PBW-0034</t>
  </si>
  <si>
    <t>Current source file exists at Data/Scripts/Items/Special/House Raffle/HouseRaffleStone.cs; prior POST-BATCH-J row=PBJ-0981; register evidence=Serialize:L48; class=Server.Items.RaffleEntry; kind=Item; HasSerialConstructor=False; BaseCallStatus=MissingBaseSerialize; VersionHandling=NoVersionFound; FieldAlignment=CountMismatch:Writes=3;Reads=0; direct source review=Source-reviewed helper serializer: Serialize L48-L52 writes mobile/IP/date; GenericReader constructor L55-L69 reads version-gated mobile/IP/date; no Serial constructor/base calls required.</t>
  </si>
  <si>
    <t>POST-BATCH-W disposition of historical POST-BATCH-J NeedsMigrationPlan row; previous review row PBJ-0981; review class HelperSerializerReviewedNoChange.</t>
  </si>
  <si>
    <t>RB-01245</t>
  </si>
  <si>
    <t>P10-F01245</t>
  </si>
  <si>
    <t>PBW-0035</t>
  </si>
  <si>
    <t>Current source file exists at Data/Scripts/Items/Special/House Raffle/HouseRaffleStone.cs; prior POST-BATCH-J row=PBJ-0982; register evidence=Serialize:L48; class=Server.Items.RaffleEntry; kind=Item; HasSerialConstructor=False; BaseCallStatus=MissingBaseSerialize; VersionHandling=NoVersionFound; FieldAlignment=CountMismatch:Writes=3;Reads=0; direct source review=Source-reviewed helper serializer: Serialize L48-L52 writes mobile/IP/date; GenericReader constructor L55-L69 reads version-gated mobile/IP/date; no Serial constructor/base calls required.</t>
  </si>
  <si>
    <t>POST-BATCH-W disposition of historical POST-BATCH-J NeedsMigrationPlan row; previous review row PBJ-0982; review class HelperSerializerReviewedNoChange.</t>
  </si>
  <si>
    <t>RB-01247</t>
  </si>
  <si>
    <t>P10-F01247</t>
  </si>
  <si>
    <t>Data/Scripts/Items/Special/OrbOfTheAbyss.cs</t>
  </si>
  <si>
    <t>PBJ-0983</t>
  </si>
  <si>
    <t>Current source file exists at Data/Scripts/Items/Special/OrbOfTheAbyss.cs; match=ExactFileClass; serializer evidence=Serialize:L49;Deserialize:L56;SerialCtor:L46;VersionWrite:L52;VersionRead:L59; class=Server.Items.OrbOfTheAbyss; kind=Item; HasSerialConstructor=True; BaseCallStatus=BaseCallsFirst; VersionHandling=SuspiciousOrder; FieldAlignment=AlignedByCountAndKnownTypes; MoveRenameRisk=NamespaceOrTypeRenameDanger; ReviewStatus=NeedsSourceReview; ReviewReasons=SuspiciousOrder</t>
  </si>
  <si>
    <t>Historical path=Data/Scripts/Items/Special/OrbOfTheAbyss.cs; backlog risk category=VersionHandling; write count=2; read count=2. POST-BATCH-J is triage only; no serialized layout edit is approved by this row.</t>
  </si>
  <si>
    <t>RB-01248</t>
  </si>
  <si>
    <t>P10-F01248</t>
  </si>
  <si>
    <t>Data/Scripts/Items/Special/RoseOfTrinsic.cs</t>
  </si>
  <si>
    <t>PBJ-0984</t>
  </si>
  <si>
    <t>Current source file exists at Data/Scripts/Items/Special/RoseOfTrinsic.cs; match=ExactFileClass; serializer evidence=Serialize:L143;Deserialize:L154;SerialCtor:L140; class=Server.Items.RoseOfMoon;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</si>
  <si>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path=Data/Scripts/Items/Special/RoseOfTrinsic.cs; backlog risk category=VersionHandling; write count=4; read count=4. POST-BATCH-J is triage only; no serialized layout edit is approved by this row.</t>
  </si>
  <si>
    <t>RB-01249</t>
  </si>
  <si>
    <t>P10-F01249</t>
  </si>
  <si>
    <t>PBJ-0985</t>
  </si>
  <si>
    <t>Current source file exists at Data/Scripts/Items/Special/RoseOfTrinsic.cs; match=ExactFileClass; serializer evidence=Serialize:L215;Deserialize:L222;SerialCtor:L212; class=Server.Items.RoseOfMoonPetal;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</si>
  <si>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path=Data/Scripts/Items/Special/RoseOfTrinsic.cs; backlog risk category=VersionHandling; write count=1; read count=1. POST-BATCH-J is triage only; no serialized layout edit is approved by this row.</t>
  </si>
  <si>
    <t>RB-01250</t>
  </si>
  <si>
    <t>P10-F01250</t>
  </si>
  <si>
    <t>Data/Scripts/Items/Special/Solen Items/BagOfSending.cs</t>
  </si>
  <si>
    <t>PBJ-0986</t>
  </si>
  <si>
    <t>Current source file exists at Data/Scripts/Items/Special/Solen Items/BagOfSending.cs; match=ExactFileClass; serializer evidence=Serialize:L281;Deserialize:L293;SerialCtor:L278; class=Server.Items.BagOfSending;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</si>
  <si>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path=Data/Scripts/Items/Special/Solen Items/BagOfSending.cs; backlog risk category=VersionHandling; write count=4; read count=4. POST-BATCH-J is triage only; no serialized layout edit is approved by this row.</t>
  </si>
  <si>
    <t>RB-01251</t>
  </si>
  <si>
    <t>P10-F01251</t>
  </si>
  <si>
    <t>Data/Scripts/Items/Special/Solen Items/BallOfSummoning.cs</t>
  </si>
  <si>
    <t>PBJ-0987</t>
  </si>
  <si>
    <t>Current source file exists at Data/Scripts/Items/Special/Solen Items/BallOfSummoning.cs; match=ExactFileClass; serializer evidence=Serialize:L372;Deserialize:L385;SerialCtor:L369; class=Server.Items.BallOfSummoning;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</si>
  <si>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path=Data/Scripts/Items/Special/Solen Items/BallOfSummoning.cs; backlog risk category=VersionHandling; write count=5; read count=5. POST-BATCH-J is triage only; no serialized layout edit is approved by this row.</t>
  </si>
  <si>
    <t>RB-01252</t>
  </si>
  <si>
    <t>P10-F01252</t>
  </si>
  <si>
    <t>Data/Scripts/Items/Special/Solen Items/BraceletOfBinding.cs</t>
  </si>
  <si>
    <t>PBJ-0988</t>
  </si>
  <si>
    <t>Current source file exists at Data/Scripts/Items/Special/Solen Items/BraceletOfBinding.cs; match=ExactFileClass; serializer evidence=Serialize:L26;Deserialize:L32;SerialCtor:L23;VersionWrite:L29;VersionRead:L35; class=Server.Items.BraceletOfBinding; kind=Item; HasSerialConstructor=True; BaseCallStatus=BaseCallsFirst; VersionHandling=SingleVersionOnly; FieldAlignment=AlignedByCountAndKnownTypes; MoveRenameRisk=NamespaceOrTypeRenameDanger; ReviewStatus=MachineMapped; ReviewReasons=</t>
  </si>
  <si>
    <t>Historical path=Data/Scripts/Items/Special/Solen Items/BraceletOfBinding.cs; backlog risk category=VersionHandling; write count=1; read count=1. POST-BATCH-J is triage only; no serialized layout edit is approved by this row.</t>
  </si>
  <si>
    <t>RB-01253</t>
  </si>
  <si>
    <t>P10-F01253</t>
  </si>
  <si>
    <t>Data/Scripts/Items/Special/Solen Items/PowderOfTranslocation.cs</t>
  </si>
  <si>
    <t>PBJ-0989</t>
  </si>
  <si>
    <t>Current source file exists at Data/Scripts/Items/Special/Solen Items/PowderOfTranslocation.cs; match=ExactFileClass; serializer evidence=Serialize:L115;Deserialize:L122;SerialCtor:L112; class=Server.Items.PowderOfTranslocation;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</si>
  <si>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path=Data/Scripts/Items/Special/Solen Items/PowderOfTranslocation.cs; backlog risk category=VersionHandling; write count=1; read count=1. POST-BATCH-J is triage only; no serialized layout edit is approved by this row.</t>
  </si>
  <si>
    <t>RB-01254</t>
  </si>
  <si>
    <t>P10-F01254</t>
  </si>
  <si>
    <t>Data/Scripts/Items/Special/Solen Items/ZoogiFungus.cs</t>
  </si>
  <si>
    <t>PBJ-0990</t>
  </si>
  <si>
    <t>Current source file exists at Data/Scripts/Items/Special/Solen Items/ZoogiFungus.cs; match=ExactFileClass; serializer evidence=Serialize:L33;Deserialize:L40;SerialCtor:L30; class=Server.Items.ZoogiFungus;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</si>
  <si>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path=Data/Scripts/Items/Special/Solen Items/ZoogiFungus.cs; backlog risk category=VersionHandling; write count=1; read count=1. POST-BATCH-J is triage only; no serialized layout edit is approved by this row.</t>
  </si>
  <si>
    <t>RB-01255</t>
  </si>
  <si>
    <t>P10-F01255</t>
  </si>
  <si>
    <t>Data/Scripts/Items/Special/SoulStone.cs</t>
  </si>
  <si>
    <t>PBU-0038</t>
  </si>
  <si>
    <t>POST-BATCH-N lane=POST-BATCH-N-SAVE-MIGRATION-PLAN; FileProofStatus=CurrentPathConfirmed; Class=Server.Items.SoulStone; Serialize=L856; Reader=DeserializeMethod:L878; RegisterBase=BaseCallsFirst; RegisterVersion=NoVersionFound; RegisterAlignment=CountMatchNeedsTypeReview:UnknownWrites=2; Writes=9; Reads=9; WriteEvidence=L860:WriteEncodedInt(3); // version) | L863:Write((string)m_LastUserName)) | L866:Write((int)m_Level)) | L868:Write(m_ActiveItemID)) | L869:Write(m_InactiveItemID)) | L871:Write((string)m_Account)) | L872:Write((DateTime)m_NextUse); //TODO: delete it in a harmless way) | L874:WriteEncodedInt((int)m_Skill)) | L875:Write((double)m_SkillValue)); ReadEvidence=L882:ReadEncodedInt | L888:ReadString | L893:ReadInt | L898:ReadInt | L899:ReadInt | L905:ReadString | L906:ReadDateTime | L908:ReadEncodedInt | L909:ReadDouble; POST-BATCH-U direct source review=ScannerAmbiguityFalsePositive</t>
  </si>
  <si>
    <t>RB-01256</t>
  </si>
  <si>
    <t>P10-F01256</t>
  </si>
  <si>
    <t>PBJ-0992</t>
  </si>
  <si>
    <t>Current source file exists at Data/Scripts/Items/Special/SoulStone.cs; match=ExactFileClass; serializer evidence=Serialize:L968;Deserialize:L977;SerialCtor:L1003; class=Server.Items.SoulstoneFragment;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</si>
  <si>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path=Data/Scripts/Items/Special/SoulStone.cs; backlog risk category=VersionHandling; write count=2; read count=2. POST-BATCH-J is triage only; no serialized layout edit is approved by this row.</t>
  </si>
  <si>
    <t>RB-01257</t>
  </si>
  <si>
    <t>P10-F01257</t>
  </si>
  <si>
    <t>PBJ-0993</t>
  </si>
  <si>
    <t>Current source file exists at Data/Scripts/Items/Special/Special Scrolls/ScrollofAlacrity.cs; match=ExactFileClass; serializer evidence=Serialize:L189;Deserialize:L196;SerialCtor:L73;VersionWrite:L193; class=Server.Items.ScrollofAlacrity; kind=Item;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</si>
  <si>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path=Data/Scripts/Items/Special/Special Scrolls/ScrollofAlacrity.cs; backlog risk category=VersionHandling; write count=1; read count=1. POST-BATCH-J is triage only; no serialized layout edit is approved by this row.</t>
  </si>
  <si>
    <t>RB-01259</t>
  </si>
  <si>
    <t>P10-F01259</t>
  </si>
  <si>
    <t>PBJ-0994</t>
  </si>
  <si>
    <t>Current source file exists at Data/Scripts/Items/Special/Special Scrolls/ScrollofTranscendence.cs; match=ExactFileClass; serializer evidence=Serialize:L173;Deserialize:L180;SerialCtor:L58;VersionWrite:L177; class=Server.Items.ScrollofTranscendence; kind=Item; HasSerialConstructor=True; BaseCallStatus=BaseCallsFirst; VersionHandling=WriteVersionOnly; FieldAlignment=CountMismatch:Writes=0;Reads=1; MoveRenameRisk=NamespaceOrTypeRenameDanger; ReviewStatus=NeedsSourceReview; ReviewReasons=WriteVersionOnly; CountMismatch:Writes=0;Reads=1</t>
  </si>
  <si>
    <t>Historical path=Data/Scripts/Items/Special/Special Scrolls/ScrollofTranscendence.cs; backlog risk category=VersionHandling; write count=1; read count=1. POST-BATCH-J is triage only; no serialized layout edit is approved by this row.</t>
  </si>
  <si>
    <t>RB-01262</t>
  </si>
  <si>
    <t>P10-F01262</t>
  </si>
  <si>
    <t>Data/Scripts/Items/Special/Talismans.cs</t>
  </si>
  <si>
    <t>PBJ-0995</t>
  </si>
  <si>
    <t>Current source file exists at Data/Scripts/Items/Special/Talismans.cs; match=ExactFileClass; serializer evidence=Serialize:L38;Deserialize:L45;SerialCtor:L30; class=Server.Items.BaseFormTalisman;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</si>
  <si>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path=Data/Scripts/Items/Special/Talismans.cs; backlog risk category=VersionHandling; write count=1; read count=1. POST-BATCH-J is triage only; no serialized layout edit is approved by this row.</t>
  </si>
  <si>
    <t>RB-01263</t>
  </si>
  <si>
    <t>P10-F01263</t>
  </si>
  <si>
    <t>PBJ-0996</t>
  </si>
  <si>
    <t>Current source file exists at Data/Scripts/Items/Special/Talismans.cs; match=ExactFileClass; serializer evidence=Serialize:L151;Deserialize:L158;SerialCtor:L148; class=Server.Items.CuSidheFormTalisman; kind=Item; HasSerialConstructor=True; BaseCallStatus=BaseCallsFirst; VersionHandling=NoVersionFound; FieldAlignment=AlignedByCountAndKnownTypes; MoveRenameRisk=NamespaceOrTypeRenameDanger; ReviewStatus=NeedsSourceReview; ReviewReasons=NoVersionFound</t>
  </si>
  <si>
    <t>RB-01264</t>
  </si>
  <si>
    <t>P10-F01264</t>
  </si>
  <si>
    <t>PBJ-0997</t>
  </si>
  <si>
    <t>Current source file exists at Data/Scripts/Items/Special/Talismans.cs; match=ExactFileClass; serializer evidence=Serialize:L93;Deserialize:L100;SerialCtor:L90; class=Server.Items.FerretFormTalisman; kind=Item; HasSerialConstructor=True; BaseCallStatus=BaseCallsFirst; VersionHandling=NoVersionFound; FieldAlignment=AlignedByCountAndKnownTypes; MoveRenameRisk=NamespaceOrTypeRenameDanger; ReviewStatus=NeedsSourceReview; ReviewReasons=NoVersionFound</t>
  </si>
  <si>
    <t>RB-01265</t>
  </si>
  <si>
    <t>P10-F01265</t>
  </si>
  <si>
    <t>PBJ-0998</t>
  </si>
  <si>
    <t>Current source file exists at Data/Scripts/Items/Special/Talismans.cs; match=ExactFileClass; serializer evidence=Serialize:L180;Deserialize:L187;SerialCtor:L177; class=Server.Items.ReptalonFormTalisman; kind=Item; HasSerialConstructor=True; BaseCallStatus=BaseCallsFirst; VersionHandling=NoVersionFound; FieldAlignment=AlignedByCountAndKnownTypes; MoveRenameRisk=NamespaceOrTypeRenameDanger; ReviewStatus=NeedsSourceReview; ReviewReasons=NoVersionFound</t>
  </si>
  <si>
    <t>RB-01266</t>
  </si>
  <si>
    <t>P10-F01266</t>
  </si>
  <si>
    <t>PBJ-0999</t>
  </si>
  <si>
    <t>Current source file exists at Data/Scripts/Items/Special/Talismans.cs; match=ExactFileClass; serializer evidence=Serialize:L122;Deserialize:L129;SerialCtor:L119; class=Server.Items.SquirrelFormTalisman; kind=Item; HasSerialConstructor=True; BaseCallStatus=BaseCallsFirst; VersionHandling=NoVersionFound; FieldAlignment=AlignedByCountAndKnownTypes; MoveRenameRisk=NamespaceOrTypeRenameDanger; ReviewStatus=NeedsSourceReview; ReviewReasons=NoVersionFound</t>
  </si>
  <si>
    <t>RB-01267</t>
  </si>
  <si>
    <t>P10-F01267</t>
  </si>
  <si>
    <t>Data/Scripts/Items/Special/TapestryOfSosaria.cs</t>
  </si>
  <si>
    <t>PBJ-1000</t>
  </si>
  <si>
    <t>Current source file exists at Data/Scripts/Items/Special/TapestryOfSosaria.cs; match=ExactFileClass; serializer evidence=Serialize:L69;Deserialize:L78;SerialCtor:L66; class=Server.Items.TapestryOfSosaria;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</si>
  <si>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path=Data/Scripts/Items/Special/TapestryOfSosaria.cs; backlog risk category=VersionHandling; write count=2; read count=2. POST-BATCH-J is triage only; no serialized layout edit is approved by this row.</t>
  </si>
  <si>
    <t>RB-01268</t>
  </si>
  <si>
    <t>P10-F01268</t>
  </si>
  <si>
    <t>Data/Scripts/Items/Special/Veteran Rewards/AnkhOfSacrifice.cs</t>
  </si>
  <si>
    <t>PBJ-1001</t>
  </si>
  <si>
    <t>Current source file exists at Data/Scripts/Items/Special/Veteran Rewards/AnkhOfSacrifice.cs; match=ExactFileClass; serializer evidence=Serialize:L230;Deserialize:L239;SerialCtor:L217; class=Server.Items.AnkhOfSacrificeAddon;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</si>
  <si>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Rewards/AnkhOfSacrifice.cs; backlog risk category=VersionHandling; write count=2; read count=2. POST-BATCH-J is triage only; no serialized layout edit is approved by this row.</t>
  </si>
  <si>
    <t>RB-01269</t>
  </si>
  <si>
    <t>P10-F01269</t>
  </si>
  <si>
    <t>PBJ-1002</t>
  </si>
  <si>
    <t>Current source file exists at Data/Scripts/Items/Special/Veteran Rewards/AnkhOfSacrifice.cs; match=ExactFileClass; serializer evidence=Serialize:L317;Deserialize:L326;SerialCtor:L292; class=Server.Items.AnkhOfSacrificeDeed; kind=Deed; HasSerialConstructor=True; BaseCallStatus=BaseCallsFirst; VersionHandling=NoVersionFound; FieldAlignment=AlignedByCountAndKnownTypes; MoveRenameRisk=NamespaceOrTypeRenameDanger; ReviewStatus=NeedsSourceReview; ReviewReasons=NoVersionFound</t>
  </si>
  <si>
    <t>RB-01270</t>
  </si>
  <si>
    <t>P10-F01270</t>
  </si>
  <si>
    <t>Data/Scripts/Items/Special/Veteran Rewards/Banner.cs</t>
  </si>
  <si>
    <t>PBJ-1003</t>
  </si>
  <si>
    <t>Current source file exists at Data/Scripts/Items/Special/Veteran Rewards/Banner.cs; match=ExactFileClass; serializer evidence=Serialize:L84;Deserialize:L93;SerialCtor:L55; class=Server.Items.Banner;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</si>
  <si>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Rewards/Banner.cs; backlog risk category=VersionHandling; write count=2; read count=2. POST-BATCH-J is triage only; no serialized layout edit is approved by this row.</t>
  </si>
  <si>
    <t>RB-01271</t>
  </si>
  <si>
    <t>P10-F01271</t>
  </si>
  <si>
    <t>PBJ-1004</t>
  </si>
  <si>
    <t>Current source file exists at Data/Scripts/Items/Special/Veteran Rewards/Banner.cs; match=ExactFileClass; serializer evidence=Serialize:L184;Deserialize:L193;SerialCtor:L152; class=Server.Items.BannerDeed; kind=Deed; HasSerialConstructor=True; BaseCallStatus=BaseCallsFirst; VersionHandling=NoVersionFound; FieldAlignment=AlignedByCountAndKnownTypes; MoveRenameRisk=NamespaceOrTypeRenameDanger; ReviewStatus=NeedsSourceReview; ReviewReasons=NoVersionFound</t>
  </si>
  <si>
    <t>RB-01272</t>
  </si>
  <si>
    <t>P10-F01272</t>
  </si>
  <si>
    <t>Data/Scripts/Items/Special/Veteran Rewards/BloodyPentagram.cs</t>
  </si>
  <si>
    <t>PBJ-1005</t>
  </si>
  <si>
    <t>Current source file exists at Data/Scripts/Items/Special/Veteran Rewards/BloodyPentagram.cs; match=ExactFileClass; serializer evidence=Serialize:L120;Deserialize:L129;SerialCtor:L117; class=Server.Items.BloodyPentagramAddon;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</si>
  <si>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Rewards/BloodyPentagram.cs; backlog risk category=VersionHandling; write count=2; read count=2. POST-BATCH-J is triage only; no serialized layout edit is approved by this row.</t>
  </si>
  <si>
    <t>RB-01273</t>
  </si>
  <si>
    <t>P10-F01273</t>
  </si>
  <si>
    <t>PBJ-1006</t>
  </si>
  <si>
    <t>Current source file exists at Data/Scripts/Items/Special/Veteran Rewards/BloodyPentagram.cs; match=ExactFileClass; serializer evidence=Serialize:L26;Deserialize:L33;SerialCtor:L23; class=Server.Items.BloodyPentagramComponent;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</si>
  <si>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Rewards/BloodyPentagram.cs; backlog risk category=VersionHandling; write count=1; read count=1. POST-BATCH-J is triage only; no serialized layout edit is approved by this row.</t>
  </si>
  <si>
    <t>RB-01274</t>
  </si>
  <si>
    <t>P10-F01274</t>
  </si>
  <si>
    <t>PBJ-1007</t>
  </si>
  <si>
    <t>Current source file exists at Data/Scripts/Items/Special/Veteran Rewards/BloodyPentagram.cs; match=ExactFileClass; serializer evidence=Serialize:L194;Deserialize:L203;SerialCtor:L175; class=Server.Items.BloodyPentagramDeed; kind=Deed; HasSerialConstructor=True; BaseCallStatus=BaseCallsFirst; VersionHandling=NoVersionFound; FieldAlignment=AlignedByCountAndKnownTypes; MoveRenameRisk=NamespaceOrTypeRenameDanger; ReviewStatus=NeedsSourceReview; ReviewReasons=NoVersionFound</t>
  </si>
  <si>
    <t>RB-01275</t>
  </si>
  <si>
    <t>P10-F01275</t>
  </si>
  <si>
    <t>Data/Scripts/Items/Special/Veteran Rewards/Brazier.cs</t>
  </si>
  <si>
    <t>PBJ-1008</t>
  </si>
  <si>
    <t>Current source file exists at Data/Scripts/Items/Special/Veteran Rewards/Brazier.cs; match=ExactFileClass; serializer evidence=Serialize:L113;Deserialize:L123;SerialCtor:L53; class=Server.Items.RewardBrazier;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</si>
  <si>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Rewards/Brazier.cs; backlog risk category=VersionHandling; write count=3; read count=3. POST-BATCH-J is triage only; no serialized layout edit is approved by this row.</t>
  </si>
  <si>
    <t>RB-01276</t>
  </si>
  <si>
    <t>P10-F01276</t>
  </si>
  <si>
    <t>PBJ-1009</t>
  </si>
  <si>
    <t>Current source file exists at Data/Scripts/Items/Special/Veteran Rewards/Brazier.cs; match=ExactFileClass; serializer evidence=Serialize:L186;Deserialize:L195;SerialCtor:L161; class=Server.Items.RewardBrazierDeed;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</si>
  <si>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Rewards/Brazier.cs; backlog risk category=VersionHandling; write count=2; read count=2. POST-BATCH-J is triage only; no serialized layout edit is approved by this row.</t>
  </si>
  <si>
    <t>RB-01277</t>
  </si>
  <si>
    <t>P10-F01277</t>
  </si>
  <si>
    <t>Data/Scripts/Items/Special/Veteran Rewards/CommodityDeedBox.cs</t>
  </si>
  <si>
    <t>PBJ-1010</t>
  </si>
  <si>
    <t>Current source file exists at Data/Scripts/Items/Special/Veteran Rewards/CommodityDeedBox.cs; match=ExactFileClass; serializer evidence=Serialize:L51;Deserialize:L60;SerialCtor:L40; class=Server.Items.CommodityDeedBox;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</si>
  <si>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Rewards/CommodityDeedBox.cs; backlog risk category=VersionHandling; write count=2; read count=2. POST-BATCH-J is triage only; no serialized layout edit is approved by this row.</t>
  </si>
  <si>
    <t>RB-01278</t>
  </si>
  <si>
    <t>P10-F01278</t>
  </si>
  <si>
    <t>Data/Scripts/Items/Special/Veteran Rewards/ContestMiniHouse.cs</t>
  </si>
  <si>
    <t>PBJ-1011</t>
  </si>
  <si>
    <t>Current source file exists at Data/Scripts/Items/Special/Veteran Rewards/ContestMiniHouse.cs; match=ExactFileClass; serializer evidence=Serialize:L44;Deserialize:L53;SerialCtor:L41; class=Server.Items.ContestMiniHouse; kind=Addon; HasSerialConstructor=True; BaseCallStatus=BaseCallsFirst; VersionHandling=NoVersionFound; FieldAlignment=AlignedByCountAndKnownTypes; MoveRenameRisk=UnknownUntilSaveTest; ReviewStatus=NeedsSourceReview; ReviewReasons=NoVersionFound; UnknownUntilSaveTest</t>
  </si>
  <si>
    <t>Historical path=Data/Scripts/Items/Special/Veteran Rewards/ContestMiniHouse.cs; backlog risk category=VersionHandling; write count=2; read count=2. POST-BATCH-J is triage only; no serialized layout edit is approved by this row.</t>
  </si>
  <si>
    <t>RB-01279</t>
  </si>
  <si>
    <t>P10-F01279</t>
  </si>
  <si>
    <t>PBJ-1012</t>
  </si>
  <si>
    <t>Current source file exists at Data/Scripts/Items/Special/Veteran Rewards/ContestMiniHouse.cs; match=ExactFileClass; serializer evidence=Serialize:L116;Deserialize:L125;SerialCtor:L97; class=Server.Items.ContestMiniHouseDeed; kind=Deed; HasSerialConstructor=True; BaseCallStatus=BaseCallsFirst; VersionHandling=NoVersionFound; FieldAlignment=AlignedByCountAndKnownTypes; MoveRenameRisk=UnknownUntilSaveTest; ReviewStatus=NeedsSourceReview; ReviewReasons=NoVersionFound; UnknownUntilSaveTest</t>
  </si>
  <si>
    <t>RB-01280</t>
  </si>
  <si>
    <t>P10-F01280</t>
  </si>
  <si>
    <t>Data/Scripts/Items/Special/Veteran Rewards/DecorativeShield.cs</t>
  </si>
  <si>
    <t>PBJ-1013</t>
  </si>
  <si>
    <t>Current source file exists at Data/Scripts/Items/Special/Veteran Rewards/DecorativeShield.cs; match=ExactFileClass; serializer evidence=Serialize:L93;Deserialize:L102;SerialCtor:L64; class=Server.Items.DecorativeShield;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</si>
  <si>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Rewards/DecorativeShield.cs; backlog risk category=VersionHandling; write count=2; read count=2. POST-BATCH-J is triage only; no serialized layout edit is approved by this row.</t>
  </si>
  <si>
    <t>RB-01281</t>
  </si>
  <si>
    <t>P10-F01281</t>
  </si>
  <si>
    <t>PBJ-1014</t>
  </si>
  <si>
    <t>Current source file exists at Data/Scripts/Items/Special/Veteran Rewards/DecorativeShield.cs; match=ExactFileClass; serializer evidence=Serialize:L176;Deserialize:L185;SerialCtor:L151; class=Server.Items.DecorativeShieldDeed; kind=Deed; HasSerialConstructor=True; BaseCallStatus=BaseCallsFirst; VersionHandling=NoVersionFound; FieldAlignment=AlignedByCountAndKnownTypes; MoveRenameRisk=NamespaceOrTypeRenameDanger; ReviewStatus=NeedsSourceReview; ReviewReasons=NoVersionFound</t>
  </si>
  <si>
    <t>RB-01282</t>
  </si>
  <si>
    <t>P10-F01282</t>
  </si>
  <si>
    <t>Data/Scripts/Items/Special/Veteran Rewards/FlamingHead.cs</t>
  </si>
  <si>
    <t>PBJ-1015</t>
  </si>
  <si>
    <t>Current source file exists at Data/Scripts/Items/Special/Veteran Rewards/FlamingHead.cs; match=ExactFileClass; serializer evidence=Serialize:L88;Deserialize:L97;SerialCtor:L59; class=Server.Items.FlamingHead;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</si>
  <si>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Rewards/FlamingHead.cs; backlog risk category=VersionHandling; write count=2; read count=2. POST-BATCH-J is triage only; no serialized layout edit is approved by this row.</t>
  </si>
  <si>
    <t>RB-01283</t>
  </si>
  <si>
    <t>P10-F01283</t>
  </si>
  <si>
    <t>PBJ-1016</t>
  </si>
  <si>
    <t>Current source file exists at Data/Scripts/Items/Special/Veteran Rewards/FlamingHead.cs; match=ExactFileClass; serializer evidence=Serialize:L182;Deserialize:L191;SerialCtor:L150; class=Server.Items.FlamingHeadDeed; kind=Deed; HasSerialConstructor=True; BaseCallStatus=BaseCallsFirst; VersionHandling=NoVersionFound; FieldAlignment=AlignedByCountAndKnownTypes; MoveRenameRisk=NamespaceOrTypeRenameDanger; ReviewStatus=NeedsSourceReview; ReviewReasons=NoVersionFound</t>
  </si>
  <si>
    <t>RB-01284</t>
  </si>
  <si>
    <t>P10-F01284</t>
  </si>
  <si>
    <t>Data/Scripts/Items/Special/Veteran Rewards/HangingSkeleton.cs</t>
  </si>
  <si>
    <t>PBJ-1017</t>
  </si>
  <si>
    <t>Current source file exists at Data/Scripts/Items/Special/Veteran Rewards/HangingSkeleton.cs; match=ExactFileClass; serializer evidence=Serialize:L100;Deserialize:L109;SerialCtor:L71; class=Server.Items.HangingSkeleton; kind=Item;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</si>
  <si>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Rewards/HangingSkeleton.cs; backlog risk category=VersionHandling; write count=2; read count=2. POST-BATCH-J is triage only; no serialized layout edit is approved by this row.</t>
  </si>
  <si>
    <t>RB-01285</t>
  </si>
  <si>
    <t>P10-F01285</t>
  </si>
  <si>
    <t>PBJ-1018</t>
  </si>
  <si>
    <t>Current source file exists at Data/Scripts/Items/Special/Veteran Rewards/HangingSkeleton.cs; match=ExactFileClass; serializer evidence=Serialize:L189;Deserialize:L198;SerialCtor:L157; class=Server.Items.HangingSkeletonDeed; kind=Deed; HasSerialConstructor=True; BaseCallStatus=BaseCallsFirst; VersionHandling=NoVersionFound; FieldAlignment=AlignedByCountAndKnownTypes; MoveRenameRisk=NamespaceOrTypeRenameDanger; ReviewStatus=NeedsSourceReview; ReviewReasons=NoVersionFound</t>
  </si>
  <si>
    <t>RB-01286</t>
  </si>
  <si>
    <t>P10-F01286</t>
  </si>
  <si>
    <t>PBW-0036</t>
  </si>
  <si>
    <t>Current source file exists at Data/Scripts/Items/Special/Veteran Rewards/MiningCart.cs; prior POST-BATCH-J row=PBJ-1019; register evidence=Serialize:L306;Deserialize:L325;SerialCtor:L126; class=Server.Items.MiningCart; kind=Addon; HasSerialConstructor=True; BaseCallStatus=BaseCallsFirst; VersionHandling=NoVersionFound; FieldAlignment=CountMismatch:Writes=7;Reads=6; direct source review=Source-reviewed ordinary serializer: Serial ctor L126-L127, base calls L308/L327, encoded version L310/L329, v1 cart type plus reward/gems/ore/next timer L312-L322/L331-L345.</t>
  </si>
  <si>
    <t>POST-BATCH-W disposition of historical POST-BATCH-J NeedsMigrationPlan row; previous review row PBJ-1019; review class ScannerAmbiguityFalsePositive.</t>
  </si>
  <si>
    <t>RB-01288</t>
  </si>
  <si>
    <t>P10-F01288</t>
  </si>
  <si>
    <t>PBJ-1020</t>
  </si>
  <si>
    <t>Current source file exists at Data/Scripts/Items/Special/Veteran Rewards/MiningCart.cs; match=ExactFileClass; serializer evidence=Serialize:L441;Deserialize:L452;SerialCtor:L416; class=Server.Items.MiningCartDeed;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</si>
  <si>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Rewards/MiningCart.cs; backlog risk category=VersionHandling; write count=4; read count=4. POST-BATCH-J is triage only; no serialized layout edit is approved by this row.</t>
  </si>
  <si>
    <t>RB-01289</t>
  </si>
  <si>
    <t>P10-F01289</t>
  </si>
  <si>
    <t>Data/Scripts/Items/Special/Veteran Rewards/MinotaurStatue.cs</t>
  </si>
  <si>
    <t>PBJ-1021</t>
  </si>
  <si>
    <t>Current source file exists at Data/Scripts/Items/Special/Veteran Rewards/MinotaurStatue.cs; match=ExactFileClass; serializer evidence=Serialize:L74;Deserialize:L83;SerialCtor:L71; class=Server.Items.MinotaurStatue;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</si>
  <si>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Rewards/MinotaurStatue.cs; backlog risk category=VersionHandling; write count=2; read count=2. POST-BATCH-J is triage only; no serialized layout edit is approved by this row.</t>
  </si>
  <si>
    <t>RB-01290</t>
  </si>
  <si>
    <t>P10-F01290</t>
  </si>
  <si>
    <t>PBJ-1022</t>
  </si>
  <si>
    <t>Current source file exists at Data/Scripts/Items/Special/Veteran Rewards/MinotaurStatue.cs; match=ExactFileClass; serializer evidence=Serialize:L154;Deserialize:L163;SerialCtor:L129; class=Server.Items.MinotaurStatueDeed; kind=Deed; HasSerialConstructor=True; BaseCallStatus=BaseCallsFirst; VersionHandling=NoVersionFound; FieldAlignment=AlignedByCountAndKnownTypes; MoveRenameRisk=NamespaceOrTypeRenameDanger; ReviewStatus=NeedsSourceReview; ReviewReasons=NoVersionFound</t>
  </si>
  <si>
    <t>RB-01291</t>
  </si>
  <si>
    <t>P10-F01291</t>
  </si>
  <si>
    <t>Data/Scripts/Items/Special/Veteran Rewards/PottedCactus.cs</t>
  </si>
  <si>
    <t>PBJ-1023</t>
  </si>
  <si>
    <t>Current source file exists at Data/Scripts/Items/Special/Veteran Rewards/PottedCactus.cs; match=ExactFileClass; serializer evidence=Serialize:L120;Deserialize:L129;SerialCtor:L95; class=Server.Items.PottedCactusDeed;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</si>
  <si>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Rewards/PottedCactus.cs; backlog risk category=VersionHandling; write count=2; read count=2. POST-BATCH-J is triage only; no serialized layout edit is approved by this row.</t>
  </si>
  <si>
    <t>RB-01292</t>
  </si>
  <si>
    <t>P10-F01292</t>
  </si>
  <si>
    <t>PBJ-1024</t>
  </si>
  <si>
    <t>Current source file exists at Data/Scripts/Items/Special/Veteran Rewards/PottedCactus.cs; match=ExactFileClass; serializer evidence=Serialize:L43;Deserialize:L52;SerialCtor:L40; class=Server.Items.RewardPottedCactus; kind=Item; HasSerialConstructor=True; BaseCallStatus=BaseCallsFirst; VersionHandling=NoVersionFound; FieldAlignment=AlignedByCountAndKnownTypes; MoveRenameRisk=NamespaceOrTypeRenameDanger; ReviewStatus=NeedsSourceReview; ReviewReasons=NoVersionFound</t>
  </si>
  <si>
    <t>RB-01293</t>
  </si>
  <si>
    <t>P10-F01293</t>
  </si>
  <si>
    <t>Data/Scripts/Items/Special/Veteran Rewards/StoneAnkh.cs</t>
  </si>
  <si>
    <t>PBJ-1025</t>
  </si>
  <si>
    <t>Current source file exists at Data/Scripts/Items/Special/Veteran Rewards/StoneAnkh.cs; match=ExactFileClass; serializer evidence=Serialize:L129;Deserialize:L138;SerialCtor:L100; class=Server.Items.StoneAnkh;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</si>
  <si>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Rewards/StoneAnkh.cs; backlog risk category=VersionHandling; write count=2; read count=2. POST-BATCH-J is triage only; no serialized layout edit is approved by this row.</t>
  </si>
  <si>
    <t>RB-01294</t>
  </si>
  <si>
    <t>P10-F01294</t>
  </si>
  <si>
    <t>PBJ-1026</t>
  </si>
  <si>
    <t>Current source file exists at Data/Scripts/Items/Special/Veteran Rewards/StoneAnkh.cs; match=ExactFileClass; serializer evidence=Serialize:L34;Deserialize:L41;SerialCtor:L23; class=Server.Items.StoneAnkhComponent;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</si>
  <si>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Rewards/StoneAnkh.cs; backlog risk category=VersionHandling; write count=1; read count=1. POST-BATCH-J is triage only; no serialized layout edit is approved by this row.</t>
  </si>
  <si>
    <t>RB-01295</t>
  </si>
  <si>
    <t>P10-F01295</t>
  </si>
  <si>
    <t>PBJ-1027</t>
  </si>
  <si>
    <t>Current source file exists at Data/Scripts/Items/Special/Veteran Rewards/StoneAnkh.cs; match=ExactFileClass; serializer evidence=Serialize:L217;Deserialize:L226;SerialCtor:L187; class=Server.Items.StoneAnkhDeed; kind=Deed; HasSerialConstructor=True; BaseCallStatus=BaseCallsFirst; VersionHandling=NoVersionFound; FieldAlignment=AlignedByCountAndKnownTypes; MoveRenameRisk=NamespaceOrTypeRenameDanger; ReviewStatus=NeedsSourceReview; ReviewReasons=NoVersionFound</t>
  </si>
  <si>
    <t>RB-01296</t>
  </si>
  <si>
    <t>P10-F01296</t>
  </si>
  <si>
    <t>PBW-0037</t>
  </si>
  <si>
    <t>Current source file exists at Data/Scripts/Items/Special/Veteran Rewards/TreeStump.cs; prior POST-BATCH-J row=PBJ-1028; register evidence=Serialize:L157;Deserialize:L172;SerialCtor:L64; class=Server.Items.TreeStump; kind=Addon; HasSerialConstructor=True; BaseCallStatus=BaseCallsFirst; VersionHandling=NoVersionFound; FieldAlignment=CountMismatch:Writes=5;Reads=4; direct source review=Source-reviewed ordinary serializer: Serial ctor L64-L65, base calls L159/L174, encoded version L161/L176, reward/logs/next timer L163-L169/L178-L189.</t>
  </si>
  <si>
    <t>POST-BATCH-W disposition of historical POST-BATCH-J NeedsMigrationPlan row; previous review row PBJ-1028; review class ScannerAmbiguityFalsePositive.</t>
  </si>
  <si>
    <t>RB-01298</t>
  </si>
  <si>
    <t>P10-F01298</t>
  </si>
  <si>
    <t>PBJ-1029</t>
  </si>
  <si>
    <t>Current source file exists at Data/Scripts/Items/Special/Veteran Rewards/TreeStump.cs; match=ExactFileClass; serializer evidence=Serialize:L272;Deserialize:L282;SerialCtor:L247; class=Server.Items.TreeStumpDeed;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</si>
  <si>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Rewards/TreeStump.cs; backlog risk category=VersionHandling; write count=3; read count=3. POST-BATCH-J is triage only; no serialized layout edit is approved by this row.</t>
  </si>
  <si>
    <t>RB-01299</t>
  </si>
  <si>
    <t>P10-F01299</t>
  </si>
  <si>
    <t>Data/Scripts/Items/Special/Veteran Rewards/WallBanner.cs</t>
  </si>
  <si>
    <t>PBJ-1030</t>
  </si>
  <si>
    <t>Current source file exists at Data/Scripts/Items/Special/Veteran Rewards/WallBanner.cs; match=ExactFileClass; serializer evidence=Serialize:L255;Deserialize:L265;SerialCtor:L252; class=Server.Items.WallBanner;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</si>
  <si>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Rewards/WallBanner.cs; backlog risk category=VersionHandling; write count=3; read count=3. POST-BATCH-J is triage only; no serialized layout edit is approved by this row.</t>
  </si>
  <si>
    <t>RB-01300</t>
  </si>
  <si>
    <t>P10-F01300</t>
  </si>
  <si>
    <t>PBJ-1031</t>
  </si>
  <si>
    <t>Current source file exists at Data/Scripts/Items/Special/Veteran Rewards/WallBanner.cs; match=ExactFileClass; serializer evidence=Serialize:L33;Deserialize:L40;SerialCtor:L30; class=Server.Items.WallBannerComponent; kind=Addon;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</si>
  <si>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Rewards/WallBanner.cs; backlog risk category=VersionHandling; write count=1; read count=1. POST-BATCH-J is triage only; no serialized layout edit is approved by this row.</t>
  </si>
  <si>
    <t>RB-01301</t>
  </si>
  <si>
    <t>P10-F01301</t>
  </si>
  <si>
    <t>PBJ-1032</t>
  </si>
  <si>
    <t>Current source file exists at Data/Scripts/Items/Special/Veteran Rewards/WallBanner.cs; match=ExactFileClass; serializer evidence=Serialize:L347;Deserialize:L356;SerialCtor:L315; class=Server.Items.WallBannerDeed; kind=Deed; HasSerialConstructor=True; BaseCallStatus=BaseCallsFirst; VersionHandling=NoVersionFound; FieldAlignment=AlignedByCountAndKnownTypes; MoveRenameRisk=NamespaceOrTypeRenameDanger; ReviewStatus=NeedsSourceReview; ReviewReasons=NoVersionFound</t>
  </si>
  <si>
    <t>Historical path=Data/Scripts/Items/Special/Veteran Rewards/WallBanner.cs; backlog risk category=VersionHandling; write count=2; read count=2. POST-BATCH-J is triage only; no serialized layout edit is approved by this row.</t>
  </si>
  <si>
    <t>RB-01302</t>
  </si>
  <si>
    <t>P10-F01302</t>
  </si>
  <si>
    <t>Data/Scripts/Items/Technology/AlienEgg.cs</t>
  </si>
  <si>
    <t>PBU-0039</t>
  </si>
  <si>
    <t>POST-BATCH-N lane=POST-BATCH-N-SAVE-MIGRATION-PLAN; FileProofStatus=CurrentPathConfirmed; Class=Server.Items.AlienEgg; Serialize=L111; Reader=DeserializeMethod:L127; RegisterBase=BaseCallsFirst; RegisterVersion=SuspiciousOrder; RegisterAlignment=CountMatchNeedsTypeReview:UnknownWrites=9; Writes=10; Reads=10; WriteEvidence=L114:Write((int)1); // version) | L116:Write(HaveRod)) | L117:Write(HaveYellowCrystal)) | L118:Write(HaveRedCrystal)) | L119:Write(HavePotion)) | L120:Write(HaveXormite)) | L121:Write(NeedXormite)) | L122:Write(AnimalTrainerLocation)) | L123:Write(PieceLocation)) | L124:Write(PieceRumor)); ReadEvidence=L130:ReadInt | L132:ReadInt | L133:ReadInt | L134:ReadInt | L135:ReadInt | L136:ReadInt | L137:ReadInt | L138:ReadString | L139:ReadString | L140:ReadString; POST-BATCH-U direct source review=ScannerAmbiguityFalsePositive</t>
  </si>
  <si>
    <t>RB-01303</t>
  </si>
  <si>
    <t>P10-F01303</t>
  </si>
  <si>
    <t>Data/Scripts/Items/Technology/ComputerDatabase.cs</t>
  </si>
  <si>
    <t>PBJ-1034</t>
  </si>
  <si>
    <t>Current source file exists at Data/Scripts/Items/Technology/ComputerDatabase.cs; match=ExactFileClass; serializer evidence=Serialize:L33;Deserialize:L39;SerialCtor:L30;VersionWrite:L36;VersionRead:L42; class=Server.Items.ComputerDatabase; kind=Item; HasSerialConstructor=True; BaseCallStatus=BaseCallsFirst; VersionHandling=SuspiciousOrder; FieldAlignment=AlignedByCountAndKnownTypes; MoveRenameRisk=NamespaceOrTypeRenameDanger; ReviewStatus=NeedsSourceReview; ReviewReasons=SuspiciousOrder</t>
  </si>
  <si>
    <t>Historical path=Data/Scripts/Items/Technology/ComputerDatabase.cs; backlog risk category=VersionHandling; write count=1; read count=1. POST-BATCH-J is triage only; no serialized layout edit is approved by this row.</t>
  </si>
  <si>
    <t>RB-01304</t>
  </si>
  <si>
    <t>P10-F01304</t>
  </si>
  <si>
    <t>Data/Scripts/Items/Technology/MaterialLiquifier.cs</t>
  </si>
  <si>
    <t>PBU-0040</t>
  </si>
  <si>
    <t>POST-BATCH-N lane=POST-BATCH-N-SAVE-MIGRATION-PLAN; FileProofStatus=CurrentPathConfirmed; Class=Server.Items.MaterialLiquifier; Serialize=L392; Reader=DeserializeMethod:L399; RegisterBase=BaseCallsFirst; RegisterVersion=SuspiciousOrder; RegisterAlignment=CountMatchNeedsTypeReview:UnknownWrites=1; Writes=2; Reads=2; WriteEvidence=L395:Write((int)1); // version) | L396:Write(ItemCharges)); ReadEvidence=L402:ReadInt | L403:ReadInt; POST-BATCH-U direct source review=ScannerAmbiguityFalsePositive</t>
  </si>
  <si>
    <t>RB-01305</t>
  </si>
  <si>
    <t>P10-F01305</t>
  </si>
  <si>
    <t>Data/Scripts/Items/Trades/Carpenter Items/Board.cs</t>
  </si>
  <si>
    <t>PBJ-1036</t>
  </si>
  <si>
    <t>Current source file exists at Data/Scripts/Items/Trades/Carpenter Items/Board.cs; match=ExactFileClass; serializer evidence=Serialize:L94;Deserialize:L101;SerialCtor:L75;VersionWrite:L97;VersionRead:L104; class=Server.Items.BaseWoodBoard;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</si>
  <si>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path=Data/Scripts/Items/Trades/Carpenter Items/Board.cs; backlog risk category=VersionHandling; write count=2; read count=2. POST-BATCH-J is triage only; no serialized layout edit is approved by this row.</t>
  </si>
  <si>
    <t>RB-01306</t>
  </si>
  <si>
    <t>P10-F01306</t>
  </si>
  <si>
    <t>Data/Scripts/Items/Trades/Fishing/Misc/MessageInABottle.cs</t>
  </si>
  <si>
    <t>PBU-0041</t>
  </si>
  <si>
    <t>POST-BATCH-N lane=POST-BATCH-N-SAVE-MIGRATION-PLAN; FileProofStatus=CurrentPathConfirmed; Class=Server.Items.MessageInABottle; Serialize=L70; Reader=DeserializeMethod:L79; RegisterBase=BaseCallsFirst; RegisterVersion=SuspiciousOrder; RegisterAlignment=CountMatchNeedsTypeReview:UnknownWrites=2; Writes=4; Reads=4; WriteEvidence=L73:Write((int)3); // version) | L74:Write((int)m_Level)) | L75:Write(m_TargetMap)) | L76:Write(MapWorld)); ReadEvidence=L82:ReadInt | L83:ReadInt | L84:ReadMap | L85:ReadString; POST-BATCH-U direct source review=ScannerAmbiguityFalsePositive</t>
  </si>
  <si>
    <t>RB-01307</t>
  </si>
  <si>
    <t>P10-F01307</t>
  </si>
  <si>
    <t>Data/Scripts/Items/Trades/Fishing/Misc/SOS.cs</t>
  </si>
  <si>
    <t>PBU-0042</t>
  </si>
  <si>
    <t>POST-BATCH-N lane=POST-BATCH-N-SAVE-MIGRATION-PLAN; FileProofStatus=CurrentPathConfirmed; Class=Server.Items.SOS; Serialize=L260; Reader=DeserializeMethod:L272; RegisterBase=BaseCallsFirst; RegisterVersion=SuspiciousOrder; RegisterAlignment=CountMatchNeedsTypeReview:UnknownWrites=6; Writes=7; Reads=7; WriteEvidence=L263:Write((int)4); // version) | L264:Write(m_Level)) | L265:Write(m_TargetMap)) | L266:Write(m_TargetLocation)) | L267:Write(MapWorld)) | L268:Write(ShipName)) | L269:Write(ShipStory)); ReadEvidence=L275:ReadInt | L276:ReadInt | L277:ReadMap | L278:ReadPoint3D | L279:ReadString | L280:ReadString | L281:ReadString; POST-BATCH-U direct source review=ScannerAmbiguityFalsePositive</t>
  </si>
  <si>
    <t>RB-01308</t>
  </si>
  <si>
    <t>P10-F01308</t>
  </si>
  <si>
    <t>Data/Scripts/Items/Trades/Lumberjack/Log.cs</t>
  </si>
  <si>
    <t>PBJ-1039</t>
  </si>
  <si>
    <t>Current source file exists at Data/Scripts/Items/Trades/Lumberjack/Log.cs; match=ExactFileClass; serializer evidence=Serialize:L69;Deserialize:L76;SerialCtor:L66;VersionWrite:L72;VersionRead:L79; class=Server.Items.BaseLog;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</si>
  <si>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path=Data/Scripts/Items/Trades/Lumberjack/Log.cs; backlog risk category=VersionHandling; write count=2; read count=2. POST-BATCH-J is triage only; no serialized layout edit is approved by this row.</t>
  </si>
  <si>
    <t>RB-01310</t>
  </si>
  <si>
    <t>P10-F01310</t>
  </si>
  <si>
    <t>PBW-0038</t>
  </si>
  <si>
    <t>Current source file exists at Data/Scripts/Items/Trades/Magical/Runebook.cs; prior POST-BATCH-J row=PBJ-1040; register evidence=Serialize:L568; class=Server.Items.RunebookEntry; kind=Item; HasSerialConstructor=False; BaseCallStatus=MissingBaseSerialize; VersionHandling=NoVersionFound; FieldAlignment=CountMismatch:Writes=6;Reads=0; direct source review=Source-reviewed helper serializer: GenericReader constructor L546-L565 reads version byte, optional house, location, map, description; Serialize L568-L583 writes matching version byte, optional house, location, map, description.</t>
  </si>
  <si>
    <t>POST-BATCH-W disposition of historical POST-BATCH-J NeedsMigrationPlan row; previous review row PBJ-1040; review class HelperSerializerReviewedNoChange.</t>
  </si>
  <si>
    <t>RB-01311</t>
  </si>
  <si>
    <t>P10-F01311</t>
  </si>
  <si>
    <t>PBW-0039</t>
  </si>
  <si>
    <t>Current source file exists at Data/Scripts/Items/Trades/Magical/Runebook.cs; prior POST-BATCH-J row=PBJ-1041; register evidence=Serialize:L568; class=Server.Items.RunebookEntry; kind=Item; HasSerialConstructor=False; BaseCallStatus=MissingBaseSerialize; VersionHandling=NoVersionFound; FieldAlignment=CountMismatch:Writes=6;Reads=0; direct source review=Source-reviewed helper serializer: GenericReader constructor L546-L565 reads version byte, optional house, location, map, description; Serialize L568-L583 writes matching version byte, optional house, location, map, description.</t>
  </si>
  <si>
    <t>POST-BATCH-W disposition of historical POST-BATCH-J NeedsMigrationPlan row; previous review row PBJ-1041; review class HelperSerializerReviewedNoChange.</t>
  </si>
  <si>
    <t>RB-01313</t>
  </si>
  <si>
    <t>P10-F01313</t>
  </si>
  <si>
    <t>PBW-0040</t>
  </si>
  <si>
    <t>Current source file exists at Data/Scripts/Items/Trades/Magical/Runebook.cs; prior POST-BATCH-J row=PBJ-1042; register evidence=Serialize:L568; class=Server.Items.RunebookEntry; kind=Item; HasSerialConstructor=False; BaseCallStatus=MissingBaseSerialize; VersionHandling=NoVersionFound; FieldAlignment=CountMismatch:Writes=6;Reads=0; direct source review=Source-reviewed helper serializer: GenericReader constructor L546-L565 reads version byte, optional house, location, map, description; Serialize L568-L583 writes matching version byte, optional house, location, map, description.</t>
  </si>
  <si>
    <t>POST-BATCH-W disposition of historical POST-BATCH-J NeedsMigrationPlan row; previous review row PBJ-1042; review class HelperSerializerReviewedNoChange.</t>
  </si>
  <si>
    <t>RB-01315</t>
  </si>
  <si>
    <t>P10-F01315</t>
  </si>
  <si>
    <t>Data/Scripts/Items/Trades/Maps/IndecipherableMap.cs</t>
  </si>
  <si>
    <t>PBJ-1043</t>
  </si>
  <si>
    <t>Current source file exists at Data/Scripts/Items/Trades/Maps/IndecipherableMap.cs; match=ExactFileClass; serializer evidence=Serialize:L30;Deserialize:L37;SerialCtor:L22; class=Server.Items.IndecipherableMap;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</si>
  <si>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path=Data/Scripts/Items/Trades/Maps/IndecipherableMap.cs; backlog risk category=VersionHandling; write count=1; read count=1. POST-BATCH-J is triage only; no serialized layout edit is approved by this row.</t>
  </si>
  <si>
    <t>RB-01316</t>
  </si>
  <si>
    <t>P10-F01316</t>
  </si>
  <si>
    <t>Data/Scripts/Items/Trades/Maps/MapRanger.cs</t>
  </si>
  <si>
    <t>PBJ-1044</t>
  </si>
  <si>
    <t>Current source file exists at Data/Scripts/Items/Trades/Maps/MapRanger.cs; match=ExactFileClass; serializer evidence=Serialize:L269;Deserialize:L274;SerialCtor:L266; class=Server.Items.InternalItem;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</si>
  <si>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path=Data/Scripts/Items/Trades/Maps/MapRanger.cs; backlog risk category=VersionHandling; write count=0; read count=0. POST-BATCH-J is triage only; no serialized layout edit is approved by this row.</t>
  </si>
  <si>
    <t>RB-01317</t>
  </si>
  <si>
    <t>P10-F01317</t>
  </si>
  <si>
    <t>Data/Scripts/Items/Trades/Maps/TreasureMap.cs</t>
  </si>
  <si>
    <t>PBJ-1045</t>
  </si>
  <si>
    <t>Current source file exists at Data/Scripts/Items/Trades/Maps/TreasureMap.cs; match=ExactFileClass; serializer evidence=Serialize:L1518;Deserialize:L1525;SerialCtor:L1505; class=Server.Items.TreasureChestDirt;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</si>
  <si>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path=Data/Scripts/Items/Trades/Maps/TreasureMap.cs; backlog risk category=VersionHandling; write count=1; read count=1. POST-BATCH-J is triage only; no serialized layout edit is approved by this row.</t>
  </si>
  <si>
    <t>RB-01318</t>
  </si>
  <si>
    <t>P10-F01318</t>
  </si>
  <si>
    <t>Data/Scripts/Items/Trades/Misc/FireHorn.cs</t>
  </si>
  <si>
    <t>PBJ-1046</t>
  </si>
  <si>
    <t>Current source file exists at Data/Scripts/Items/Trades/Misc/FireHorn.cs; match=ExactFileClass; serializer evidence=Serialize:L242;Deserialize:L249;SerialCtor:L25; class=Server.Items.FireHorn;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</si>
  <si>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path=Data/Scripts/Items/Trades/Misc/FireHorn.cs; backlog risk category=VersionHandling; write count=1; read count=1. POST-BATCH-J is triage only; no serialized layout edit is approved by this row.</t>
  </si>
  <si>
    <t>RB-01319</t>
  </si>
  <si>
    <t>P10-F01319</t>
  </si>
  <si>
    <t>Data/Scripts/Items/Trades/Musical Instruments/BaseInstrument.cs</t>
  </si>
  <si>
    <t>PBU-0043</t>
  </si>
  <si>
    <t>POST-BATCH-N lane=POST-BATCH-N-SAVE-MIGRATION-PLAN; FileProofStatus=CurrentPathConfirmed; Class=Server.Items.BaseInstrument; Serialize=L836; Reader=DeserializeMethod:L867; RegisterBase=BaseCallsFirst; RegisterVersion=SuspiciousOrder; RegisterAlignment=CountMatchNeedsTypeReview:UnknownWrites=3; Writes=13; Reads=13; WriteEvidence=L840:Write((int)3); // version) | L842:Write(m_ReplenishesCharges)) | L844:Write(m_LastReplenished)) | L846:Write(m_Crafter)) | L848:WriteEncodedInt((int)m_Quality)) | L849:WriteEncodedInt((int)m_Slayer)) | L850:WriteEncodedInt((int)m_Slayer2)) | L852:WriteEncodedInt((int)UsesRemaining)) | L854:WriteEncodedInt((int)m_WellSound)) | L855:WriteEncodedInt((int)m_BadlySound)) | L857:WriteEncodedInt((int)m_MaxHitPoints)) | L858:WriteEncodedInt((int)m_HitPoints)); ReadEvidence=L871:ReadInt | L873:ReadBool | L875:ReadDateTime | L877:ReadMobile | L879:ReadEncodedInt | L880:ReadEncodedInt | L881:ReadEncodedInt | L883:ReadEncodedInt | L885:ReadEncodedInt | L886:ReadEncodedInt | L888:ReadEncodedInt | L889:ReadEncodedInt; POST-BATCH-U direct source review=ScannerAmbiguityFalsePositive</t>
  </si>
  <si>
    <t>RB-01324</t>
  </si>
  <si>
    <t>P10-F01324</t>
  </si>
  <si>
    <t>Data/Scripts/Items/Trades/Resources/Blacksmithing/Ingots.cs</t>
  </si>
  <si>
    <t>PBJ-1048</t>
  </si>
  <si>
    <t>Current source file exists at Data/Scripts/Items/Trades/Resources/Blacksmithing/Ingots.cs; match=ExactFileClass; serializer evidence=Serialize:L36;Deserialize:L43;SerialCtor:L66;VersionWrite:L39;VersionRead:L46; class=Server.Items.BaseIngot;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</si>
  <si>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path=Data/Scripts/Items/Trades/Resources/Blacksmithing/Ingots.cs; backlog risk category=VersionHandling; write count=2; read count=2. POST-BATCH-J is triage only; no serialized layout edit is approved by this row.</t>
  </si>
  <si>
    <t>RB-01325</t>
  </si>
  <si>
    <t>P10-F01325</t>
  </si>
  <si>
    <t>Data/Scripts/Items/Trades/Resources/Blacksmithing/Ore.cs</t>
  </si>
  <si>
    <t>PBJ-1049</t>
  </si>
  <si>
    <t>Current source file exists at Data/Scripts/Items/Trades/Resources/Blacksmithing/Ore.cs; match=ExactFileClass; serializer evidence=Serialize:L36;Deserialize:L45;SerialCtor:L66;VersionWrite:L40;VersionRead:L48; class=Server.Items.BaseOre;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</si>
  <si>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path=Data/Scripts/Items/Trades/Resources/Blacksmithing/Ore.cs; backlog risk category=VersionHandling; write count=2; read count=2. POST-BATCH-J is triage only; no serialized layout edit is approved by this row.</t>
  </si>
  <si>
    <t>RB-01326</t>
  </si>
  <si>
    <t>P10-F01326</t>
  </si>
  <si>
    <t>Data/Scripts/Items/Trades/Resources/Masonry/Granite.cs</t>
  </si>
  <si>
    <t>PBJ-1050</t>
  </si>
  <si>
    <t>Current source file exists at Data/Scripts/Items/Trades/Resources/Masonry/Granite.cs; match=ExactFileClass; serializer evidence=Serialize:L22;Deserialize:L29;SerialCtor:L53;VersionWrite:L25;VersionRead:L32; class=Server.Items.BaseGranite;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</si>
  <si>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path=Data/Scripts/Items/Trades/Resources/Masonry/Granite.cs; backlog risk category=VersionHandling; write count=2; read count=2. POST-BATCH-J is triage only; no serialized layout edit is approved by this row.</t>
  </si>
  <si>
    <t>RB-01327</t>
  </si>
  <si>
    <t>P10-F01327</t>
  </si>
  <si>
    <t>Data/Scripts/Items/Trades/Resources/Reagents/Farm/FarmableGarlic.cs</t>
  </si>
  <si>
    <t>PBJ-1051</t>
  </si>
  <si>
    <t>Current source file exists at Data/Scripts/Items/Trades/Resources/Reagents/Farm/FarmableGarlic.cs; match=ExactFileClass; serializer evidence=Serialize:L32;Deserialize:L38;SerialCtor:L29; class=Server.Items.FarmableGarlic;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</si>
  <si>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path=Data/Scripts/Items/Trades/Resources/Reagents/Farm/FarmableGarlic.cs; backlog risk category=VersionHandling; write count=1; read count=1. POST-BATCH-J is triage only; no serialized layout edit is approved by this row.</t>
  </si>
  <si>
    <t>RB-01328</t>
  </si>
  <si>
    <t>P10-F01328</t>
  </si>
  <si>
    <t>Data/Scripts/Items/Trades/Resources/Reagents/Farm/FarmableGinseng.cs</t>
  </si>
  <si>
    <t>PBJ-1052</t>
  </si>
  <si>
    <t>Current source file exists at Data/Scripts/Items/Trades/Resources/Reagents/Farm/FarmableGinseng.cs; match=ExactFileClass; serializer evidence=Serialize:L32;Deserialize:L38;SerialCtor:L29; class=Server.Items.FarmableGinseng;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</si>
  <si>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path=Data/Scripts/Items/Trades/Resources/Reagents/Farm/FarmableGinseng.cs; backlog risk category=VersionHandling; write count=1; read count=1. POST-BATCH-J is triage only; no serialized layout edit is approved by this row.</t>
  </si>
  <si>
    <t>RB-01329</t>
  </si>
  <si>
    <t>P10-F01329</t>
  </si>
  <si>
    <t>Data/Scripts/Items/Trades/Resources/Reagents/Farm/FarmableMandrakeRoot.cs</t>
  </si>
  <si>
    <t>PBJ-1053</t>
  </si>
  <si>
    <t>Current source file exists at Data/Scripts/Items/Trades/Resources/Reagents/Farm/FarmableMandrakeRoot.cs; match=ExactFileClass; serializer evidence=Serialize:L32;Deserialize:L38;SerialCtor:L29; class=Server.Items.FarmableMandrakeRoot;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</si>
  <si>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path=Data/Scripts/Items/Trades/Resources/Reagents/Farm/FarmableMandrakeRoot.cs; backlog risk category=VersionHandling; write count=1; read count=1. POST-BATCH-J is triage only; no serialized layout edit is approved by this row.</t>
  </si>
  <si>
    <t>RB-01330</t>
  </si>
  <si>
    <t>P10-F01330</t>
  </si>
  <si>
    <t>Data/Scripts/Items/Trades/Resources/Reagents/Farm/FarmableNightshade.cs</t>
  </si>
  <si>
    <t>PBJ-1054</t>
  </si>
  <si>
    <t>Current source file exists at Data/Scripts/Items/Trades/Resources/Reagents/Farm/FarmableNightshade.cs; match=ExactFileClass; serializer evidence=Serialize:L32;Deserialize:L38;SerialCtor:L29; class=Server.Items.FarmableNightshade;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</si>
  <si>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path=Data/Scripts/Items/Trades/Resources/Reagents/Farm/FarmableNightshade.cs; backlog risk category=VersionHandling; write count=1; read count=1. POST-BATCH-J is triage only; no serialized layout edit is approved by this row.</t>
  </si>
  <si>
    <t>RB-01331</t>
  </si>
  <si>
    <t>P10-F01331</t>
  </si>
  <si>
    <t>Data/Scripts/Items/Trades/Resources/Tailor/Hides.cs</t>
  </si>
  <si>
    <t>PBJ-1055</t>
  </si>
  <si>
    <t>Current source file exists at Data/Scripts/Items/Trades/Resources/Tailor/Hides.cs; match=ExactFileClass; serializer evidence=Serialize:L31;Deserialize:L38;SerialCtor:L61;VersionWrite:L34;VersionRead:L41; class=Server.Items.BaseHides;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</si>
  <si>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path=Data/Scripts/Items/Trades/Resources/Tailor/Hides.cs; backlog risk category=VersionHandling; write count=2; read count=2. POST-BATCH-J is triage only; no serialized layout edit is approved by this row.</t>
  </si>
  <si>
    <t>RB-01332</t>
  </si>
  <si>
    <t>P10-F01332</t>
  </si>
  <si>
    <t>Data/Scripts/Items/Trades/Resources/Tailor/Leathers.cs</t>
  </si>
  <si>
    <t>PBJ-1056</t>
  </si>
  <si>
    <t>Current source file exists at Data/Scripts/Items/Trades/Resources/Tailor/Leathers.cs; match=ExactFileClass; serializer evidence=Serialize:L31;Deserialize:L38;SerialCtor:L60;VersionWrite:L34;VersionRead:L41; class=Server.Items.BaseLeather; kind=Item; HasSerialConstructor=True; BaseCallStatus=BaseCallsFirst; VersionHandling=SuspiciousOrder; FieldAlignment=AlignedByCountAndKnownTypes; MoveRenameRisk=NamespaceOrTypeRenameDanger; ReviewStatus=NeedsSourceReview; ReviewReasons=SuspiciousOrder</t>
  </si>
  <si>
    <t>Historical path=Data/Scripts/Items/Trades/Resources/Tailor/Leathers.cs; backlog risk category=VersionHandling; write count=2; read count=2. POST-BATCH-J is triage only; no serialized layout edit is approved by this row.</t>
  </si>
  <si>
    <t>RB-01339</t>
  </si>
  <si>
    <t>P10-F01339</t>
  </si>
  <si>
    <t>Data/Scripts/Items/Trades/Tinkering/Globe.cs</t>
  </si>
  <si>
    <t>PBJ-1057</t>
  </si>
  <si>
    <t>Current source file exists at Data/Scripts/Items/Trades/Tinkering/Globe.cs; match=ExactFileClass; serializer evidence=Serialize:L18;Deserialize:L25;SerialCtor:L15; class=Server.Items.Globe; kind=Item; HasSerialConstructor=True; BaseCallStatus=BaseCallsFirst; VersionHandling=NoVersionFound; FieldAlignment=AlignedByCountAndKnownTypes; MoveRenameRisk=NamespaceOrTypeRenameDanger; ReviewStatus=NeedsSourceReview; ReviewReasons=NoVersionFound</t>
  </si>
  <si>
    <t>Historical path=Data/Scripts/Items/Trades/Tinkering/Globe.cs; backlog risk category=VersionHandling; write count=1; read count=1. POST-BATCH-J is triage only; no serialized layout edit is approved by this row.</t>
  </si>
  <si>
    <t>RB-01340</t>
  </si>
  <si>
    <t>P10-F01340</t>
  </si>
  <si>
    <t>Data/Scripts/Items/Weapons/Axes/OrnateAxe.cs</t>
  </si>
  <si>
    <t>PBJ-1058</t>
  </si>
  <si>
    <t>Current source file exists at Data/Scripts/Items/Weapons/Axes/OrnateAxe.cs; match=ExactFileClass; serializer evidence=Serialize:L99;Deserialize:L106;SerialCtor:L96; class=Server.Items.OrnateAxe;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</si>
  <si>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path=Data/Scripts/Items/Weapons/Axes/OrnateAxe.cs; backlog risk category=VersionHandling; write count=1; read count=1. POST-BATCH-J is triage only; no serialized layout edit is approved by this row.</t>
  </si>
  <si>
    <t>RB-01341</t>
  </si>
  <si>
    <t>P10-F01341</t>
  </si>
  <si>
    <t>Data/Scripts/Items/Weapons/BaseMeleeWeapon.cs</t>
  </si>
  <si>
    <t>PBJ-1059</t>
  </si>
  <si>
    <t>Current source file exists at Data/Scripts/Items/Weapons/BaseMeleeWeapon.cs; match=ExactFileClass; serializer evidence=Serialize:L51;Deserialize:L56;SerialCtor:L11; class=Server.Items.BaseMeleeWeapon;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</si>
  <si>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path=Data/Scripts/Items/Weapons/BaseMeleeWeapon.cs; backlog risk category=VersionHandling; write count=0; read count=0. POST-BATCH-J is triage only; no serialized layout edit is approved by this row.</t>
  </si>
  <si>
    <t>RB-01344</t>
  </si>
  <si>
    <t>P10-F01344</t>
  </si>
  <si>
    <t>Data/Scripts/Items/Weapons/Bows/ElvenCompositeLongbow.cs</t>
  </si>
  <si>
    <t>PBJ-1060</t>
  </si>
  <si>
    <t>Current source file exists at Data/Scripts/Items/Weapons/Bows/ElvenCompositeLongbow.cs; match=ExactFileClass; serializer evidence=Serialize:L125;Deserialize:L132;SerialCtor:L122; class=Server.Items.ElvenCompositeLongbow;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</si>
  <si>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path=Data/Scripts/Items/Weapons/Bows/ElvenCompositeLongbow.cs; backlog risk category=VersionHandling; write count=1; read count=1. POST-BATCH-J is triage only; no serialized layout edit is approved by this row.</t>
  </si>
  <si>
    <t>RB-01345</t>
  </si>
  <si>
    <t>P10-F01345</t>
  </si>
  <si>
    <t>Data/Scripts/Items/Weapons/Bows/MagicalShortbow.cs</t>
  </si>
  <si>
    <t>PBJ-1061</t>
  </si>
  <si>
    <t>Current source file exists at Data/Scripts/Items/Weapons/Bows/MagicalShortbow.cs; match=ExactFileClass; serializer evidence=Serialize:L108;Deserialize:L115;SerialCtor:L105; class=Server.Items.MagicalShortbow;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</si>
  <si>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path=Data/Scripts/Items/Weapons/Bows/MagicalShortbow.cs; backlog risk category=VersionHandling; write count=1; read count=1. POST-BATCH-J is triage only; no serialized layout edit is approved by this row.</t>
  </si>
  <si>
    <t>RB-01346</t>
  </si>
  <si>
    <t>P10-F01346</t>
  </si>
  <si>
    <t>Data/Scripts/Items/Weapons/Knives/AssassinSpike.cs</t>
  </si>
  <si>
    <t>PBJ-1062</t>
  </si>
  <si>
    <t>Current source file exists at Data/Scripts/Items/Weapons/Knives/AssassinSpike.cs; match=ExactFileClass; serializer evidence=Serialize:L98;Deserialize:L105;SerialCtor:L95; class=Server.Items.AssassinSpike;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</si>
  <si>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path=Data/Scripts/Items/Weapons/Knives/AssassinSpike.cs; backlog risk category=VersionHandling; write count=1; read count=1. POST-BATCH-J is triage only; no serialized layout edit is approved by this row.</t>
  </si>
  <si>
    <t>RB-01347</t>
  </si>
  <si>
    <t>P10-F01347</t>
  </si>
  <si>
    <t>Data/Scripts/Items/Weapons/Knives/Leafblade.cs</t>
  </si>
  <si>
    <t>PBJ-1063</t>
  </si>
  <si>
    <t>Current source file exists at Data/Scripts/Items/Weapons/Knives/Leafblade.cs; match=ExactFileClass; serializer evidence=Serialize:L94;Deserialize:L101;SerialCtor:L91; class=Server.Items.Leafblade;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</si>
  <si>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path=Data/Scripts/Items/Weapons/Knives/Leafblade.cs; backlog risk category=VersionHandling; write count=1; read count=1. POST-BATCH-J is triage only; no serialized layout edit is approved by this row.</t>
  </si>
  <si>
    <t>RB-01348</t>
  </si>
  <si>
    <t>P10-F01348</t>
  </si>
  <si>
    <t>Data/Scripts/Items/Weapons/Knives/WarCleaver.cs</t>
  </si>
  <si>
    <t>PBJ-1064</t>
  </si>
  <si>
    <t>Current source file exists at Data/Scripts/Items/Weapons/Knives/WarCleaver.cs; match=ExactFileClass; serializer evidence=Serialize:L110;Deserialize:L117;SerialCtor:L107; class=Server.Items.WarCleaver;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</si>
  <si>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path=Data/Scripts/Items/Weapons/Knives/WarCleaver.cs; backlog risk category=VersionHandling; write count=1; read count=1. POST-BATCH-J is triage only; no serialized layout edit is approved by this row.</t>
  </si>
  <si>
    <t>RB-01349</t>
  </si>
  <si>
    <t>P10-F01349</t>
  </si>
  <si>
    <t>Data/Scripts/Items/Weapons/Maces/DiamondMace.cs</t>
  </si>
  <si>
    <t>PBJ-1065</t>
  </si>
  <si>
    <t>Current source file exists at Data/Scripts/Items/Weapons/Maces/DiamondMace.cs; match=ExactFileClass; serializer evidence=Serialize:L90;Deserialize:L97;SerialCtor:L87; class=Server.Items.DiamondMace;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</si>
  <si>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path=Data/Scripts/Items/Weapons/Maces/DiamondMace.cs; backlog risk category=VersionHandling; write count=1; read count=1. POST-BATCH-J is triage only; no serialized layout edit is approved by this row.</t>
  </si>
  <si>
    <t>RB-01350</t>
  </si>
  <si>
    <t>P10-F01350</t>
  </si>
  <si>
    <t>Data/Scripts/Items/Weapons/Staves/WildStaff.cs</t>
  </si>
  <si>
    <t>PBJ-1066</t>
  </si>
  <si>
    <t>Current source file exists at Data/Scripts/Items/Weapons/Staves/WildStaff.cs; match=ExactFileClass; serializer evidence=Serialize:L90;Deserialize:L97;SerialCtor:L87; class=Server.Items.WildStaff;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</si>
  <si>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path=Data/Scripts/Items/Weapons/Staves/WildStaff.cs; backlog risk category=VersionHandling; write count=1; read count=1. POST-BATCH-J is triage only; no serialized layout edit is approved by this row.</t>
  </si>
  <si>
    <t>RB-01351</t>
  </si>
  <si>
    <t>P10-F01351</t>
  </si>
  <si>
    <t>Data/Scripts/Items/Weapons/Swords/ElvenMachete.cs</t>
  </si>
  <si>
    <t>PBJ-1067</t>
  </si>
  <si>
    <t>Current source file exists at Data/Scripts/Items/Weapons/Swords/ElvenMachete.cs; match=ExactFileClass; serializer evidence=Serialize:L98;Deserialize:L105;SerialCtor:L95; class=Server.Items.ElvenMachete;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</si>
  <si>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path=Data/Scripts/Items/Weapons/Swords/ElvenMachete.cs; backlog risk category=VersionHandling; write count=1; read count=1. POST-BATCH-J is triage only; no serialized layout edit is approved by this row.</t>
  </si>
  <si>
    <t>RB-01352</t>
  </si>
  <si>
    <t>P10-F01352</t>
  </si>
  <si>
    <t>Data/Scripts/Items/Weapons/Swords/ElvenSpellblade.cs</t>
  </si>
  <si>
    <t>PBJ-1068</t>
  </si>
  <si>
    <t>Current source file exists at Data/Scripts/Items/Weapons/Swords/ElvenSpellblade.cs; match=ExactFileClass; serializer evidence=Serialize:L95;Deserialize:L102;SerialCtor:L92; class=Server.Items.ElvenSpellblade;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</si>
  <si>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path=Data/Scripts/Items/Weapons/Swords/ElvenSpellblade.cs; backlog risk category=VersionHandling; write count=1; read count=1. POST-BATCH-J is triage only; no serialized layout edit is approved by this row.</t>
  </si>
  <si>
    <t>RB-01353</t>
  </si>
  <si>
    <t>P10-F01353</t>
  </si>
  <si>
    <t>Data/Scripts/Items/Weapons/Swords/RadiantScimitar.cs</t>
  </si>
  <si>
    <t>PBJ-1069</t>
  </si>
  <si>
    <t>Current source file exists at Data/Scripts/Items/Weapons/Swords/RadiantScimitar.cs; match=ExactFileClass; serializer evidence=Serialize:L98;Deserialize:L105;SerialCtor:L95; class=Server.Items.RadiantScimitar;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</si>
  <si>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path=Data/Scripts/Items/Weapons/Swords/RadiantScimitar.cs; backlog risk category=VersionHandling; write count=1; read count=1. POST-BATCH-J is triage only; no serialized layout edit is approved by this row.</t>
  </si>
  <si>
    <t>RB-01354</t>
  </si>
  <si>
    <t>P10-F01354</t>
  </si>
  <si>
    <t>Data/Scripts/Items/Weapons/Swords/RuneBlade.cs</t>
  </si>
  <si>
    <t>PBJ-1070</t>
  </si>
  <si>
    <t>Current source file exists at Data/Scripts/Items/Weapons/Swords/RuneBlade.cs; match=ExactFileClass; serializer evidence=Serialize:L99;Deserialize:L106;SerialCtor:L96; class=Server.Items.RuneBlade;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</si>
  <si>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path=Data/Scripts/Items/Weapons/Swords/RuneBlade.cs; backlog risk category=VersionHandling; write count=1; read count=1. POST-BATCH-J is triage only; no serialized layout edit is approved by this row.</t>
  </si>
  <si>
    <t>RB-01355</t>
  </si>
  <si>
    <t>P10-F01355</t>
  </si>
  <si>
    <t>Data/Scripts/Items/Weapons/Swords/ShortSword.cs</t>
  </si>
  <si>
    <t>PBJ-1071</t>
  </si>
  <si>
    <t>Current source file exists at Data/Scripts/Items/Weapons/Swords/ShortSword.cs; match=ExactFileClass; serializer evidence=Serialize:L99;Deserialize:L106;SerialCtor:L96; class=Server.Items.ShortSword; kind=Item; HasSerialConstructor=True; BaseCallStatus=BaseCallsFirst; VersionHandling=NoVersionFound; FieldAlignment=AlignedByCountAndKnownTypes; MoveRenameRisk=NamespaceOrTypeRenameDanger; ReviewStatus=NeedsSourceReview; ReviewReasons=NoVersionFound</t>
  </si>
  <si>
    <t>Historical path=Data/Scripts/Items/Weapons/Swords/ShortSword.cs; backlog risk category=VersionHandling; write count=1; read count=1. POST-BATCH-J is triage only; no serialized layout edit is approved by this row.</t>
  </si>
  <si>
    <t>RB-01356</t>
  </si>
  <si>
    <t>P10-F01356</t>
  </si>
  <si>
    <t>Data/Scripts/Magic/Bushido/BookOfBushido.cs</t>
  </si>
  <si>
    <t>PBJ-1072</t>
  </si>
  <si>
    <t>Current source file exists at Data/Scripts/Magic/Bushido/BookOfBushido.cs; match=ExactFileClass; serializer evidence=Serialize:L36;Deserialize:L43;SerialCtor:L33;VersionWrite:L40;VersionRead:L47; class=Server.Items.BookOfBushido; kind=Other; HasSerialConstructor=True; BaseCallStatus=BaseCallsFirst; VersionHandling=SuspiciousOrder; FieldAlignment=AlignedByCountAndKnownTypes; MoveRenameRisk=UnknownUntilSaveTest; ReviewStatus=NeedsSourceReview; ReviewReasons=SuspiciousOrder; UnknownUntilSaveTest</t>
  </si>
  <si>
    <t>Historical path=Data/Scripts/Magic/Bushido/BookOfBushido.cs; backlog risk category=VersionHandling; write count=1; read count=1. POST-BATCH-J is triage only; no serialized layout edit is approved by this row.</t>
  </si>
  <si>
    <t>RB-01357</t>
  </si>
  <si>
    <t>P10-F01357</t>
  </si>
  <si>
    <t>Data/Scripts/Magic/Death Knight/SoulLantern.cs</t>
  </si>
  <si>
    <t>PBU-0044</t>
  </si>
  <si>
    <t>POST-BATCH-N lane=POST-BATCH-N-SAVE-MIGRATION-PLAN; FileProofStatus=CurrentPathConfirmed; Class=Server.Items.SoulLantern; Serialize=L93; Reader=DeserializeMethod:L101; RegisterBase=BaseCallsFirst; RegisterVersion=SuspiciousOrder; RegisterAlignment=CountMatchNeedsTypeReview:UnknownWrites=1; Writes=3; Reads=3; WriteEvidence=L96:Write((int)1); // version) | L97:Write((Mobile)owner)) | L98:Write(TrappedSouls)); ReadEvidence=L104:ReadInt | L105:ReadMobile | L106:ReadInt; POST-BATCH-U direct source review=ScannerAmbiguityFalsePositive</t>
  </si>
  <si>
    <t>RB-01358</t>
  </si>
  <si>
    <t>P10-F01358</t>
  </si>
  <si>
    <t>PBU-0045</t>
  </si>
  <si>
    <t>POST-BATCH-N lane=POST-BATCH-N-SAVE-MIGRATION-PLAN; FileProofStatus=CurrentPathConfirmed; Class=Server.Spells.Herbalist.InternalItem; Serialize=L123; Reader=DeserializeMethod:L134; RegisterBase=BaseCallsFirst; RegisterVersion=IfVersionGates; RegisterAlignment=CountMatchNeedsTypeReview:UnknownWrites=3; Writes=4; Reads=4; WriteEvidence=L127:Write((int)1); // version) | L129:Write(m_End - DateTime.Now)) | L130:Write(m_Owner)) | L131:Write(squeltched)); ReadEvidence=L138:ReadInt | L141:ReadTimeSpan | L143:ReadMobile | L144:ReadBool; POST-BATCH-U direct source review=VersionGatedSerializerReviewedNoChange</t>
  </si>
  <si>
    <t>RB-01360</t>
  </si>
  <si>
    <t>P10-F01360</t>
  </si>
  <si>
    <t>PBU-0046</t>
  </si>
  <si>
    <t>POST-BATCH-N lane=POST-BATCH-N-SAVE-MIGRATION-PLAN; FileProofStatus=CurrentPathConfirmed; Class=Server.Spells.Herbalist.InternalItem; Serialize=L116; Reader=DeserializeMethod:L123; RegisterBase=BaseCallsFirst; RegisterVersion=IfVersionGates; RegisterAlignment=CountMatchNeedsTypeReview:UnknownWrites=1; Writes=2; Reads=2; WriteEvidence=L119:Write((int)1); // version) | L120:Write(m_End - DateTime.Now)); ReadEvidence=L126:ReadInt | L129:ReadTimeSpan; POST-BATCH-U direct source review=VersionGatedSerializerReviewedNoChange</t>
  </si>
  <si>
    <t>RB-01362</t>
  </si>
  <si>
    <t>P10-F01362</t>
  </si>
  <si>
    <t>Data/Scripts/Magic/Druidism/Effects/LureStoneSpell.cs</t>
  </si>
  <si>
    <t>PBJ-1076</t>
  </si>
  <si>
    <t>Current source file exists at Data/Scripts/Magic/Druidism/Effects/LureStoneSpell.cs; match=ExactFileClass; serializer evidence=Serialize:L371;Deserialize:L376;SerialCtor:L363; class=Server.Spells.Herbalist.LureStone;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</si>
  <si>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path=Data/Scripts/Magic/Druidism/Effects/LureStoneSpell.cs; backlog risk category=VersionHandling; write count=0; read count=0. POST-BATCH-J is triage only; no serialized layout edit is approved by this row.</t>
  </si>
  <si>
    <t>RB-01363</t>
  </si>
  <si>
    <t>P10-F01363</t>
  </si>
  <si>
    <t>Data/Scripts/Magic/Druidism/Effects/MushroomGatewaySpell.cs</t>
  </si>
  <si>
    <t>PBJ-1077</t>
  </si>
  <si>
    <t>Current source file exists at Data/Scripts/Magic/Druidism/Effects/MushroomGatewaySpell.cs; match=ExactFileClass; serializer evidence=Serialize:L287;Deserialize:L292;SerialCtor:L284; class=Server.Spells.Herbalist.InternalItem;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</si>
  <si>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path=Data/Scripts/Magic/Druidism/Effects/MushroomGatewaySpell.cs; backlog risk category=VersionHandling; write count=0; read count=0. POST-BATCH-J is triage only; no serialized layout edit is approved by this row.</t>
  </si>
  <si>
    <t>RB-01364</t>
  </si>
  <si>
    <t>P10-F01364</t>
  </si>
  <si>
    <t>Data/Scripts/Magic/Elementalism/ElementalSpellbook.cs</t>
  </si>
  <si>
    <t>PBJ-1078</t>
  </si>
  <si>
    <t>Current source file exists at Data/Scripts/Magic/Elementalism/ElementalSpellbook.cs; match=ExactFileClass; serializer evidence=Serialize:L104;Deserialize:L112;SerialCtor:L101;VersionWrite:L107;VersionRead:L115; class=Server.Items.ElementalSpellbook; kind=Other; HasSerialConstructor=True; BaseCallStatus=BaseCallsFirst; VersionHandling=SuspiciousOrder; FieldAlignment=AlignedByCountAndKnownTypes; MoveRenameRisk=UnknownUntilSaveTest; ReviewStatus=NeedsSourceReview; ReviewReasons=SuspiciousOrder; UnknownUntilSaveTest</t>
  </si>
  <si>
    <t>Historical path=Data/Scripts/Magic/Elementalism/ElementalSpellbook.cs; backlog risk category=VersionHandling; write count=3; read count=3. POST-BATCH-J is triage only; no serialized layout edit is approved by this row.</t>
  </si>
  <si>
    <t>RB-01365</t>
  </si>
  <si>
    <t>P10-F01365</t>
  </si>
  <si>
    <t>Data/Scripts/Magic/Elementalism/Sphere 7/Elemental_Gate.cs</t>
  </si>
  <si>
    <t>PBJ-1079</t>
  </si>
  <si>
    <t>Current source file exists at Data/Scripts/Magic/Elementalism/Sphere 7/Elemental_Gate.cs; match=ExactFileClass; serializer evidence=Serialize:L173;Deserialize:L178;SerialCtor:L170; class=Server.Spells.Elementalism.InternalItem;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</si>
  <si>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path=Data/Scripts/Magic/Elementalism/Sphere 7/Elemental_Gate.cs; backlog risk category=VersionHandling; write count=0; read count=0. POST-BATCH-J is triage only; no serialized layout edit is approved by this row.</t>
  </si>
  <si>
    <t>RB-01366</t>
  </si>
  <si>
    <t>P10-F01366</t>
  </si>
  <si>
    <t>Data/Scripts/Magic/Holy Man/HolySymbol.cs</t>
  </si>
  <si>
    <t>PBU-0047</t>
  </si>
  <si>
    <t>POST-BATCH-N lane=POST-BATCH-N-SAVE-MIGRATION-PLAN; FileProofStatus=CurrentPathConfirmed; Class=Server.Items.HolySymbol; Serialize=L64; Reader=DeserializeMethod:L72; RegisterBase=BaseCallsFirst; RegisterVersion=SuspiciousOrder; RegisterAlignment=CountMatchNeedsTypeReview:UnknownWrites=1; Writes=3; Reads=3; WriteEvidence=L67:Write((int)1); // version) | L68:Write((Mobile)owner)) | L69:Write(BanishedEvil)); ReadEvidence=L75:ReadInt | L76:ReadMobile | L77:ReadInt; POST-BATCH-U direct source review=ScannerAmbiguityFalsePositive</t>
  </si>
  <si>
    <t>RB-01367</t>
  </si>
  <si>
    <t>P10-F01367</t>
  </si>
  <si>
    <t>Data/Scripts/Magic/Holy Man/Spells/EnchantSpell.cs</t>
  </si>
  <si>
    <t>PBU-0048</t>
  </si>
  <si>
    <t>POST-BATCH-N lane=POST-BATCH-N-SAVE-MIGRATION-PLAN; FileProofStatus=CurrentPathConfirmed; Class=Server.Spells.HolyMan.EnchantSpellStone; Serialize=L252; Reader=DeserializeMethod:L266; RegisterBase=BaseCallsFirst; RegisterVersion=SuspiciousOrder; RegisterAlignment=CountMatchNeedsTypeReview:UnknownWrites=4; Writes=8; Reads=8; WriteEvidence=L255:Write((int)1); // version) | L257:Write((Mobile)EnchantOwner)) | L258:Write(EnchantSerial)) | L259:Write(EnchantName)) | L260:Write(EnchantDmg)) | L261:Write(EnchantHue)) | L262:Write((int)EnchantSlayer1)) | L263:Write((int)EnchantSlayer2)); ReadEvidence=L269:ReadInt | L271:ReadMobile | L272:ReadInt | L273:ReadString | L274:ReadInt | L275:ReadInt | L276:ReadInt | L277:ReadInt; POST-BATCH-U direct source review=ScannerAmbiguityFalsePositive</t>
  </si>
  <si>
    <t>RB-01368</t>
  </si>
  <si>
    <t>P10-F01368</t>
  </si>
  <si>
    <t>Data/Scripts/Magic/Jedi/Spells/Mirage.cs</t>
  </si>
  <si>
    <t>PBU-0049</t>
  </si>
  <si>
    <t>POST-BATCH-N lane=POST-BATCH-N-SAVE-MIGRATION-PLAN; FileProofStatus=CurrentPathConfirmed; Class=Server.Spells.Jedi.JediMirage; Serialize=L232; Reader=DeserializeMethod:L239; RegisterBase=BaseCallsFirst; RegisterVersion=NoVersionFound; RegisterAlignment=CountMatchNeedsTypeReview:UnknownWrites=1; Writes=2; Reads=2; WriteEvidence=L235:WriteEncodedInt(0); // version) | L236:Write(m_Caster)); ReadEvidence=L242:ReadEncodedInt | L243:ReadMobile; POST-BATCH-U direct source review=ScannerAmbiguityFalsePositive</t>
  </si>
  <si>
    <t>RB-01369</t>
  </si>
  <si>
    <t>P10-F01369</t>
  </si>
  <si>
    <t>PBU-0050</t>
  </si>
  <si>
    <t>POST-BATCH-N lane=POST-BATCH-N-SAVE-MIGRATION-PLAN; FileProofStatus=CurrentPathConfirmed; Class=Server.Items.BagOfTricks; Serialize=L116; Reader=DeserializeMethod:L123; RegisterBase=BaseCallsFirst; RegisterVersion=SuspiciousOrder; RegisterAlignment=CountMatchNeedsTypeReview:UnknownWrites=1; Writes=2; Reads=2; WriteEvidence=L119:Write((int)1); // version) | L120:Write(PrankPoints)); ReadEvidence=L126:ReadInt | L127:ReadInt; POST-BATCH-U direct source review=ScannerAmbiguityFalsePositive</t>
  </si>
  <si>
    <t>RB-01370</t>
  </si>
  <si>
    <t>P10-F01370</t>
  </si>
  <si>
    <t>Data/Scripts/Magic/Jester/Spells/Clowns.cs</t>
  </si>
  <si>
    <t>PBU-0051</t>
  </si>
  <si>
    <t>POST-BATCH-N lane=POST-BATCH-N-SAVE-MIGRATION-PLAN; FileProofStatus=CurrentPathConfirmed; Class=Server.Spells.Jester.Clown; Serialize=L250; Reader=DeserializeMethod:L259; RegisterBase=BaseCallsFirst; RegisterVersion=NoVersionFound; RegisterAlignment=CountMatchNeedsTypeReview:UnknownWrites=1; Writes=2; Reads=2; WriteEvidence=L254:WriteEncodedInt(0); // version) | L256:Write(m_Caster)); ReadEvidence=L263:ReadEncodedInt | L265:ReadMobile; POST-BATCH-U direct source review=ScannerAmbiguityFalsePositive</t>
  </si>
  <si>
    <t>RB-01371</t>
  </si>
  <si>
    <t>P10-F01371</t>
  </si>
  <si>
    <t>Data/Scripts/Magic/Knight/BookOfChivalry.cs</t>
  </si>
  <si>
    <t>PBJ-1085</t>
  </si>
  <si>
    <t>Current source file exists at Data/Scripts/Magic/Knight/BookOfChivalry.cs; match=ExactFileClass; serializer evidence=Serialize:L37;Deserialize:L43;SerialCtor:L34;VersionWrite:L40;VersionRead:L46; class=Server.Items.BookOfChivalry; kind=Other; HasSerialConstructor=True; BaseCallStatus=BaseCallsFirst; VersionHandling=SuspiciousOrder; FieldAlignment=AlignedByCountAndKnownTypes; MoveRenameRisk=UnknownUntilSaveTest; ReviewStatus=NeedsSourceReview; ReviewReasons=SuspiciousOrder; UnknownUntilSaveTest</t>
  </si>
  <si>
    <t>Historical path=Data/Scripts/Magic/Knight/BookOfChivalry.cs; backlog risk category=VersionHandling; write count=1; read count=1. POST-BATCH-J is triage only; no serialized layout edit is approved by this row.</t>
  </si>
  <si>
    <t>RB-01372</t>
  </si>
  <si>
    <t>P10-F01372</t>
  </si>
  <si>
    <t>Data/Scripts/Magic/Magery/Magery 7th/GateTravel.cs</t>
  </si>
  <si>
    <t>PBJ-1086</t>
  </si>
  <si>
    <t>Current source file exists at Data/Scripts/Magic/Magery/Magery 7th/GateTravel.cs; match=ExactFileClass; serializer evidence=Serialize:L151;Deserialize:L156;SerialCtor:L148; class=Server.Spells.Seventh.InternalItem;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</si>
  <si>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path=Data/Scripts/Magic/Magery/Magery 7th/GateTravel.cs; backlog risk category=VersionHandling; write count=0; read count=0. POST-BATCH-J is triage only; no serialized layout edit is approved by this row.</t>
  </si>
  <si>
    <t>RB-01373</t>
  </si>
  <si>
    <t>P10-F01373</t>
  </si>
  <si>
    <t>Data/Scripts/Magic/Necromancy/NecromancerSpellbook.cs</t>
  </si>
  <si>
    <t>PBJ-1087</t>
  </si>
  <si>
    <t>Current source file exists at Data/Scripts/Magic/Necromancy/NecromancerSpellbook.cs; match=ExactFileClass; serializer evidence=Serialize:L36;Deserialize:L43;SerialCtor:L33;VersionWrite:L40;VersionRead:L47; class=Server.Items.NecromancerSpellbook; kind=Other; HasSerialConstructor=True; BaseCallStatus=BaseCallsFirst; VersionHandling=SuspiciousOrder; FieldAlignment=AlignedByCountAndKnownTypes; MoveRenameRisk=UnknownUntilSaveTest; ReviewStatus=NeedsSourceReview; ReviewReasons=SuspiciousOrder; UnknownUntilSaveTest</t>
  </si>
  <si>
    <t>Historical path=Data/Scripts/Magic/Necromancy/NecromancerSpellbook.cs; backlog risk category=VersionHandling; write count=1; read count=1. POST-BATCH-J is triage only; no serialized layout edit is approved by this row.</t>
  </si>
  <si>
    <t>RB-01374</t>
  </si>
  <si>
    <t>P10-F01374</t>
  </si>
  <si>
    <t>Magic:Ninjitsu</t>
  </si>
  <si>
    <t>Data/Scripts/Magic/Ninjitsu/BookOfNinjitsu.cs</t>
  </si>
  <si>
    <t>PBJ-1088</t>
  </si>
  <si>
    <t>Current source file exists at Data/Scripts/Magic/Ninjitsu/BookOfNinjitsu.cs; match=ExactFileClass; serializer evidence=Serialize:L36;Deserialize:L43;SerialCtor:L33;VersionWrite:L40;VersionRead:L47; class=Server.Items.BookOfNinjitsu; kind=Other; HasSerialConstructor=True; BaseCallStatus=BaseCallsFirst; VersionHandling=SuspiciousOrder; FieldAlignment=AlignedByCountAndKnownTypes; MoveRenameRisk=UnknownUntilSaveTest; ReviewStatus=NeedsSourceReview; ReviewReasons=SuspiciousOrder; UnknownUntilSaveTest</t>
  </si>
  <si>
    <t>Historical path=Data/Scripts/Magic/Ninjitsu/BookOfNinjitsu.cs; backlog risk category=VersionHandling; write count=1; read count=1. POST-BATCH-J is triage only; no serialized layout edit is approved by this row.</t>
  </si>
  <si>
    <t>RB-01375</t>
  </si>
  <si>
    <t>P10-F01375</t>
  </si>
  <si>
    <t>Data/Scripts/Magic/Ninjitsu/MirrorImage.cs</t>
  </si>
  <si>
    <t>PBU-0052</t>
  </si>
  <si>
    <t>POST-BATCH-N lane=POST-BATCH-N-SAVE-MIGRATION-PLAN; FileProofStatus=CurrentPathConfirmed; Class=Server.Spells.Ninjitsu.Clone; Serialize=L256; Reader=DeserializeMethod:L265; RegisterBase=BaseCallsFirst; RegisterVersion=NoVersionFound; RegisterAlignment=CountMatchNeedsTypeReview:UnknownWrites=1; Writes=2; Reads=2; WriteEvidence=L260:WriteEncodedInt(0); // version) | L262:Write(m_Caster)); ReadEvidence=L269:ReadEncodedInt | L271:ReadMobile; POST-BATCH-U direct source review=ScannerAmbiguityFalsePositive</t>
  </si>
  <si>
    <t>RB-01376</t>
  </si>
  <si>
    <t>P10-F01376</t>
  </si>
  <si>
    <t>PBU-0053</t>
  </si>
  <si>
    <t>POST-BATCH-N lane=POST-BATCH-N-SAVE-MIGRATION-PLAN; FileProofStatus=CurrentPathConfirmed; Class=Server.Spells.Research.ResearchEnchantStone; Serialize=L292; Reader=DeserializeMethod:L304; RegisterBase=BaseCallsFirst; RegisterVersion=SuspiciousOrder; RegisterAlignment=CountMatchNeedsTypeReview:UnknownWrites=4; Writes=6; Reads=6; WriteEvidence=L295:Write((int)1); // version) | L297:Write((Mobile)EnchantOwner)) | L298:Write(EnchantSerial)) | L299:Write(EnchantName)) | L300:Write(EnchantDmg)) | L301:Write(EnchantHue)); ReadEvidence=L307:ReadInt | L309:ReadMobile | L310:ReadInt | L311:ReadString | L312:ReadInt | L313:ReadInt; POST-BATCH-U direct source review=ScannerAmbiguityFalsePositive</t>
  </si>
  <si>
    <t>RB-01377</t>
  </si>
  <si>
    <t>P10-F01377</t>
  </si>
  <si>
    <t>Magic:Shinobi</t>
  </si>
  <si>
    <t>Data/Scripts/Magic/Shinobi/ShinobiScroll.cs</t>
  </si>
  <si>
    <t>PBU-0054</t>
  </si>
  <si>
    <t>POST-BATCH-N lane=POST-BATCH-N-SAVE-MIGRATION-PLAN; FileProofStatus=CurrentPathConfirmed; Class=Server.Items.ShinobiScroll; Serialize=L431; Reader=DeserializeMethod:L447; RegisterBase=BaseCallsFirst; RegisterVersion=SuspiciousOrder; RegisterAlignment=CountMatchNeedsTypeReview:UnknownWrites=9; Writes=11; Reads=11; WriteEvidence=L434:Write((int)1); // version) | L435:Write(CheetahPaws)) | L436:Write(Deception)) | L437:Write(EagleEye)) | L438:Write(Espionage)) | L439:Write(FerretFlee)) | L440:Write(MonkeyLeap)) | L441:Write(MysticShuriken)) | L442:Write(TigerStrength)) | L443:Write(Page)) | L444:Write((Mobile)owner)); ReadEvidence=L450:ReadInt | L451:ReadInt | L452:ReadInt | L453:ReadInt | L454:ReadInt | L455:ReadInt | L456:ReadInt | L457:ReadInt | L458:ReadInt | L459:ReadInt | L460:ReadMobile; POST-BATCH-U direct source review=ScannerAmbiguityFalsePositive</t>
  </si>
  <si>
    <t>RB-01378</t>
  </si>
  <si>
    <t>P10-F01378</t>
  </si>
  <si>
    <t>Data/Scripts/Magic/Syth/Spells/Projection.cs</t>
  </si>
  <si>
    <t>PBU-0055</t>
  </si>
  <si>
    <t>POST-BATCH-N lane=POST-BATCH-N-SAVE-MIGRATION-PLAN; FileProofStatus=CurrentPathConfirmed; Class=Server.Spells.Syth.SythProjection; Serialize=L235; Reader=DeserializeMethod:L242; RegisterBase=BaseCallsFirst; RegisterVersion=NoVersionFound; RegisterAlignment=CountMatchNeedsTypeReview:UnknownWrites=1; Writes=2; Reads=2; WriteEvidence=L238:WriteEncodedInt(0); // version) | L239:Write(m_Caster)); ReadEvidence=L245:ReadEncodedInt | L246:ReadMobile; POST-BATCH-U direct source review=ScannerAmbiguityFalsePositive</t>
  </si>
  <si>
    <t>RB-01379</t>
  </si>
  <si>
    <t>P10-F01379</t>
  </si>
  <si>
    <t>Magic:Witch</t>
  </si>
  <si>
    <t>Data/Scripts/Magic/Witch/Effects/GraveyardGateway.cs</t>
  </si>
  <si>
    <t>PBJ-1093</t>
  </si>
  <si>
    <t>Current source file exists at Data/Scripts/Magic/Witch/Effects/GraveyardGateway.cs; match=ExactFileClass; serializer evidence=Serialize:L156;Deserialize:L161;SerialCtor:L153; class=Server.Spells.Undead.InternalItem; kind=Item; HasSerialConstructor=True; BaseCallStatus=BaseCallsFirst; VersionHandling=NoVersionFound; FieldAlignment=AlignedByCountAndKnownTypes; MoveRenameRisk=UnknownUntilSaveTest; ReviewStatus=NeedsSourceReview; ReviewReasons=NoVersionFound; UnknownUntilSaveTest</t>
  </si>
  <si>
    <t>Historical path=Data/Scripts/Magic/Witch/Effects/GraveyardGateway.cs; backlog risk category=VersionHandling; write count=0; read count=0. POST-BATCH-J is triage only; no serialized layout edit is approved by this row.</t>
  </si>
  <si>
    <t>RB-01381</t>
  </si>
  <si>
    <t>P10-F01381</t>
  </si>
  <si>
    <t>Data/Scripts/Mobiles/Animals/Mounts/GiantHawk.cs</t>
  </si>
  <si>
    <t>PBJ-1094</t>
  </si>
  <si>
    <t>Current source file exists at Data/Scripts/Mobiles/Animals/Mounts/GiantHawk.cs; match=ExactFileClass; serializer evidence=Serialize:L92;Deserialize:L98;SerialCtor:L89;VersionWrite:L95;VersionRead:L101; class=Server.Mobiles.GiantHawk;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</si>
  <si>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path=Data/Scripts/Mobiles/Animals/Mounts/GiantHawk.cs; backlog risk category=VersionHandling; write count=1; read count=1. POST-BATCH-J is triage only; no serialized layout edit is approved by this row.</t>
  </si>
  <si>
    <t>RB-01382</t>
  </si>
  <si>
    <t>P10-F01382</t>
  </si>
  <si>
    <t>Data/Scripts/Mobiles/Animals/Mounts/GiantRaven.cs</t>
  </si>
  <si>
    <t>PBJ-1095</t>
  </si>
  <si>
    <t>Current source file exists at Data/Scripts/Mobiles/Animals/Mounts/GiantRaven.cs; match=ExactFileClass; serializer evidence=Serialize:L110;Deserialize:L116;SerialCtor:L107;VersionWrite:L113;VersionRead:L119; class=Server.Mobiles.GiantRaven;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</si>
  <si>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path=Data/Scripts/Mobiles/Animals/Mounts/GiantRaven.cs; backlog risk category=VersionHandling; write count=1; read count=1. POST-BATCH-J is triage only; no serialized layout edit is approved by this row.</t>
  </si>
  <si>
    <t>RB-01384</t>
  </si>
  <si>
    <t>P10-F01384</t>
  </si>
  <si>
    <t>Data/Scripts/Mobiles/Base/BaseHealer.cs</t>
  </si>
  <si>
    <t>PBJ-1096</t>
  </si>
  <si>
    <t>Current source file exists at Data/Scripts/Mobiles/Base/BaseHealer.cs; match=ExactFileClass; serializer evidence=Serialize:L414;Deserialize:L419;SerialCtor:L411; class=Server.Mobiles.BaseHealer; kind=Mobile; HasSerialConstructor=True; BaseCallStatus=BaseCallsFirst; VersionHandling=NoVersionFound; FieldAlignment=AlignedByCountAndKnownTypes; MoveRenameRisk=NamespaceOrTypeRenameDanger; ReviewStatus=NeedsSourceReview; ReviewReasons=NoVersionFound</t>
  </si>
  <si>
    <t>Historical path=Data/Scripts/Mobiles/Base/BaseHealer.cs; backlog risk category=VersionHandling; write count=0; read count=0. POST-BATCH-J is triage only; no serialized layout edit is approved by this row.</t>
  </si>
  <si>
    <t>RB-01386</t>
  </si>
  <si>
    <t>P10-F01386</t>
  </si>
  <si>
    <t>PBW-0041</t>
  </si>
  <si>
    <t>Current source file exists at Data/Scripts/Mobiles/Base/PlayerBarkeeper.cs; prior POST-BATCH-J row=PBJ-1097; register evidence=Deserialize:L108; class=Server.Mobiles.BarkeeperRumor; kind=Mobile; HasSerialConstructor=False; BaseCallStatus=MissingBaseDeserialize; VersionHandling=NoVersionFound; FieldAlignment=CountMismatch:Writes=0;Reads=2; direct source review=Source-reviewed static helper serializer: static Deserialize L108-L114 reads bool sentinel and strings; static Serialize L116-L127 writes matching sentinel, message, keyword.</t>
  </si>
  <si>
    <t>POST-BATCH-W disposition of historical POST-BATCH-J NeedsMigrationPlan row; previous review row PBJ-1097; review class HelperSerializerReviewedNoChange.</t>
  </si>
  <si>
    <t>RB-01387</t>
  </si>
  <si>
    <t>P10-F01387</t>
  </si>
  <si>
    <t>PBW-0042</t>
  </si>
  <si>
    <t>Current source file exists at Data/Scripts/Mobiles/Base/PlayerBarkeeper.cs; prior POST-BATCH-J row=PBJ-1098; register evidence=Deserialize:L108; class=Server.Mobiles.BarkeeperRumor; kind=Mobile; HasSerialConstructor=False; BaseCallStatus=MissingBaseDeserialize; VersionHandling=NoVersionFound; FieldAlignment=CountMismatch:Writes=0;Reads=2; direct source review=Source-reviewed static helper serializer: static Deserialize L108-L114 reads bool sentinel and strings; static Serialize L116-L127 writes matching sentinel, message, keyword.</t>
  </si>
  <si>
    <t>POST-BATCH-W disposition of historical POST-BATCH-J NeedsMigrationPlan row; previous review row PBJ-1098; review class HelperSerializerReviewedNoChange.</t>
  </si>
  <si>
    <t>RB-01389</t>
  </si>
  <si>
    <t>P10-F01389</t>
  </si>
  <si>
    <t>PBW-0043</t>
  </si>
  <si>
    <t>Current source file exists at Data/Scripts/Mobiles/Base/PlayerBarkeeper.cs; prior POST-BATCH-J row=PBJ-1099; register evidence=Deserialize:L108; class=Server.Mobiles.BarkeeperRumor; kind=Mobile; HasSerialConstructor=False; BaseCallStatus=MissingBaseDeserialize; VersionHandling=NoVersionFound; FieldAlignment=CountMismatch:Writes=0;Reads=2; direct source review=Source-reviewed static helper serializer: static Deserialize L108-L114 reads bool sentinel and strings; static Serialize L116-L127 writes matching sentinel, message, keyword.</t>
  </si>
  <si>
    <t>POST-BATCH-W disposition of historical POST-BATCH-J NeedsMigrationPlan row; previous review row PBJ-1099; review class HelperSerializerReviewedNoChange.</t>
  </si>
  <si>
    <t>RB-01392</t>
  </si>
  <si>
    <t>P10-F01392</t>
  </si>
  <si>
    <t>Data/Scripts/Mobiles/Base/PlayerVendor.cs</t>
  </si>
  <si>
    <t>PBJ-1100</t>
  </si>
  <si>
    <t>Current source file exists at Data/Scripts/Mobiles/Base/PlayerVendor.cs; match=ExactFileClass; serializer evidence=Serialize:L1779;Deserialize:L1788;SerialCtor:L1735; class=Server.Mobiles.PlayerVendorPlaceholder; kind=Mobile; HasSerialConstructor=True; BaseCallStatus=BaseCallsFirst; VersionHandling=NoVersionFound; FieldAlignment=AlignedByCountAndKnownTypes; MoveRenameRisk=UnknownUntilSaveTest; ReviewStatus=NeedsSourceReview; ReviewReasons=NoVersionFound; UnknownUntilSaveTest</t>
  </si>
  <si>
    <t>Historical path=Data/Scripts/Mobiles/Base/PlayerVendor.cs; backlog risk category=VersionHandling; write count=2; read count=2. POST-BATCH-J is triage only; no serialized layout edit is approved by this row.</t>
  </si>
  <si>
    <t>RB-01393</t>
  </si>
  <si>
    <t>P10-F01393</t>
  </si>
  <si>
    <t>Data/Scripts/Mobiles/Base/RentedVendor.cs</t>
  </si>
  <si>
    <t>PBJ-1101</t>
  </si>
  <si>
    <t>Current source file exists at Data/Scripts/Mobiles/Base/RentedVendor.cs; match=ExactFileClass; serializer evidence=Serialize:L374;Deserialize:L392;SerialCtor:L90; class=Server.Mobiles.RentedVendor; kind=Mobile; HasSerialConstructor=True; BaseCallStatus=BaseCallsFirst; VersionHandling=NoVersionFound; FieldAlignment=AlignedByCountAndKnownTypes; MoveRenameRisk=UnknownUntilSaveTest; ReviewStatus=NeedsSourceReview; ReviewReasons=NoVersionFound; UnknownUntilSaveTest</t>
  </si>
  <si>
    <t>Historical path=Data/Scripts/Mobiles/Base/RentedVendor.cs; backlog risk category=VersionHandling; write count=8; read count=8. POST-BATCH-J is triage only; no serialized layout edit is approved by this row.</t>
  </si>
  <si>
    <t>RB-01394</t>
  </si>
  <si>
    <t>P10-F01394</t>
  </si>
  <si>
    <t>PBW-0044</t>
  </si>
  <si>
    <t>Current source file exists at Data/Scripts/Mobiles/Base/VendorInventory.cs; prior POST-BATCH-J row=PBJ-1102; register evidence=Serialize:L99; class=Server.Mobiles.VendorInventory; kind=Mobile; HasSerialConstructor=False; BaseCallStatus=MissingBaseSerialize; VersionHandling=NoVersionFound; FieldAlignment=CountMismatch:Writes=7;Reads=0; direct source review=Source-reviewed helper serializer: Serialize L99-L110 writes encoded version, owner, names, item list, gold, expire time; GenericReader constructor L113-L126 reads matching fields and restores timer state L128-L139.</t>
  </si>
  <si>
    <t>POST-BATCH-W disposition of historical POST-BATCH-J NeedsMigrationPlan row; previous review row PBJ-1102; review class HelperSerializerReviewedNoChange.</t>
  </si>
  <si>
    <t>RB-01395</t>
  </si>
  <si>
    <t>P10-F01395</t>
  </si>
  <si>
    <t>PBW-0045</t>
  </si>
  <si>
    <t>Current source file exists at Data/Scripts/Mobiles/Base/VendorInventory.cs; prior POST-BATCH-J row=PBJ-1103; register evidence=Serialize:L99; class=Server.Mobiles.VendorInventory; kind=Mobile; HasSerialConstructor=False; BaseCallStatus=MissingBaseSerialize; VersionHandling=NoVersionFound; FieldAlignment=CountMismatch:Writes=7;Reads=0; direct source review=Source-reviewed helper serializer: Serialize L99-L110 writes encoded version, owner, names, item list, gold, expire time; GenericReader constructor L113-L126 reads matching fields and restores timer state L128-L139.</t>
  </si>
  <si>
    <t>POST-BATCH-W disposition of historical POST-BATCH-J NeedsMigrationPlan row; previous review row PBJ-1103; review class HelperSerializerReviewedNoChange.</t>
  </si>
  <si>
    <t>RB-01397</t>
  </si>
  <si>
    <t>P10-F01397</t>
  </si>
  <si>
    <t>PBW-0046</t>
  </si>
  <si>
    <t>Current source file exists at Data/Scripts/Mobiles/Base/VendorInventory.cs; prior POST-BATCH-J row=PBJ-1104; register evidence=Serialize:L99; class=Server.Mobiles.VendorInventory; kind=Mobile; HasSerialConstructor=False; BaseCallStatus=MissingBaseSerialize; VersionHandling=NoVersionFound; FieldAlignment=CountMismatch:Writes=7;Reads=0; direct source review=Source-reviewed helper serializer: Serialize L99-L110 writes encoded version, owner, names, item list, gold, expire time; GenericReader constructor L113-L126 reads matching fields and restores timer state L128-L139.</t>
  </si>
  <si>
    <t>POST-BATCH-W disposition of historical POST-BATCH-J NeedsMigrationPlan row; previous review row PBJ-1104; review class HelperSerializerReviewedNoChange.</t>
  </si>
  <si>
    <t>RB-01399</t>
  </si>
  <si>
    <t>P10-F01399</t>
  </si>
  <si>
    <t>Data/Scripts/Mobiles/Civilized/Familiars/DeathAdder.cs</t>
  </si>
  <si>
    <t>PBJ-1105</t>
  </si>
  <si>
    <t>Current source file exists at Data/Scripts/Mobiles/Civilized/Familiars/DeathAdder.cs; match=ExactFileClass; serializer evidence=Serialize:L46;Deserialize:L53;SerialCtor:L43; class=Server.Mobiles.DeathAdder; kind=Mobile; HasSerialConstructor=True; BaseCallStatus=BaseCallsFirst; VersionHandling=NoVersionFound; FieldAlignment=AlignedByCountAndKnownTypes; MoveRenameRisk=NamespaceOrTypeRenameDanger; ReviewStatus=NeedsSourceReview; ReviewReasons=NoVersionFound</t>
  </si>
  <si>
    <t>Historical path=Data/Scripts/Mobiles/Civilized/Familiars/DeathAdder.cs; backlog risk category=VersionHandling; write count=1; read count=1. POST-BATCH-J is triage only; no serialized layout edit is approved by this row.</t>
  </si>
  <si>
    <t>RB-01400</t>
  </si>
  <si>
    <t>P10-F01400</t>
  </si>
  <si>
    <t>Data/Scripts/Mobiles/Civilized/Guilds/DruidGuildmaster.cs</t>
  </si>
  <si>
    <t>PBJ-1106</t>
  </si>
  <si>
    <t>Current source file exists at Data/Scripts/Mobiles/Civilized/Guilds/DruidGuildmaster.cs; match=ExactFileClass; serializer evidence=Serialize:L374;Deserialize:L379;SerialCtor:L371; class=Server.Mobiles.DruidGuildmaster; kind=Mobile; HasSerialConstructor=True; BaseCallStatus=BaseCallsFirst; VersionHandling=NoVersionFound; FieldAlignment=AlignedByCountAndKnownTypes; MoveRenameRisk=NamespaceOrTypeRenameDanger; ReviewStatus=NeedsSourceReview; ReviewReasons=NoVersionFound</t>
  </si>
  <si>
    <t>Historical path=Data/Scripts/Mobiles/Civilized/Guilds/DruidGuildmaster.cs; backlog risk category=VersionHandling; write count=0; read count=0. POST-BATCH-J is triage only; no serialized layout edit is approved by this row.</t>
  </si>
  <si>
    <t>RB-01401</t>
  </si>
  <si>
    <t>P10-F01401</t>
  </si>
  <si>
    <t>Data/Scripts/Mobiles/Civilized/Vendors/Druid.cs</t>
  </si>
  <si>
    <t>PBJ-1107</t>
  </si>
  <si>
    <t>Current source file exists at Data/Scripts/Mobiles/Civilized/Vendors/Druid.cs; match=ExactFileClass; serializer evidence=Serialize:L160;Deserialize:L165;SerialCtor:L157; class=Server.Mobiles.Druid; kind=Mobile; HasSerialConstructor=True; BaseCallStatus=BaseCallsFirst; VersionHandling=NoVersionFound; FieldAlignment=AlignedByCountAndKnownTypes; MoveRenameRisk=UnknownUntilSaveTest; ReviewStatus=NeedsSourceReview; ReviewReasons=NoVersionFound; UnknownUntilSaveTest</t>
  </si>
  <si>
    <t>Historical path=Data/Scripts/Mobiles/Civilized/Vendors/Druid.cs; backlog risk category=VersionHandling; write count=0; read count=0. POST-BATCH-J is triage only; no serialized layout edit is approved by this row.</t>
  </si>
  <si>
    <t>RB-01402</t>
  </si>
  <si>
    <t>P10-F01402</t>
  </si>
  <si>
    <t>Data/Scripts/Mobiles/Civilized/Vendors/DruidTree.cs</t>
  </si>
  <si>
    <t>PBJ-1108</t>
  </si>
  <si>
    <t>Current source file exists at Data/Scripts/Mobiles/Civilized/Vendors/DruidTree.cs; match=ExactFileClass; serializer evidence=Serialize:L141;Deserialize:L146;SerialCtor:L138; class=Server.Mobiles.DruidTree; kind=Mobile; HasSerialConstructor=True; BaseCallStatus=BaseCallsFirst; VersionHandling=NoVersionFound; FieldAlignment=AlignedByCountAndKnownTypes; MoveRenameRisk=UnknownUntilSaveTest; ReviewStatus=NeedsSourceReview; ReviewReasons=NoVersionFound; UnknownUntilSaveTest</t>
  </si>
  <si>
    <t>Historical path=Data/Scripts/Mobiles/Civilized/Vendors/DruidTree.cs; backlog risk category=VersionHandling; write count=0; read count=0. POST-BATCH-J is triage only; no serialized layout edit is approved by this row.</t>
  </si>
  <si>
    <t>RB-01403</t>
  </si>
  <si>
    <t>P10-F01403</t>
  </si>
  <si>
    <t>PBJ-1109</t>
  </si>
  <si>
    <t>Current source file exists at Data/Scripts/Mobiles/Insects/Ants/AntaurProgenitor.cs; match=ExactFileClass; serializer evidence=Serialize:L191;Deserialize:L197;SerialCtor:L188;VersionWrite:L194;VersionRead:L200; class=Server.Mobiles.AntaurProgenitor;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</si>
  <si>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path=Data/Scripts/Mobiles/Insects/Ants/AntaurProgenitor.cs; backlog risk category=VersionHandling; write count=1; read count=1. POST-BATCH-J is triage only; no serialized layout edit is approved by this row.</t>
  </si>
  <si>
    <t>RB-01404</t>
  </si>
  <si>
    <t>P10-F01404</t>
  </si>
  <si>
    <t>PBJ-1110</t>
  </si>
  <si>
    <t>Current source file exists at Data/Scripts/Mobiles/Insects/Ants/AntaurSoldier.cs; match=ExactFileClass; serializer evidence=Serialize:L187;Deserialize:L193;SerialCtor:L184;VersionWrite:L190;VersionRead:L196; class=Server.Mobiles.AntaurSoldier;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</si>
  <si>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path=Data/Scripts/Mobiles/Insects/Ants/AntaurSoldier.cs; backlog risk category=VersionHandling; write count=1; read count=1. POST-BATCH-J is triage only; no serialized layout edit is approved by this row.</t>
  </si>
  <si>
    <t>RB-01405</t>
  </si>
  <si>
    <t>P10-F01405</t>
  </si>
  <si>
    <t>Data/Scripts/Mobiles/Insects/Beetles/DuneBeetle.cs</t>
  </si>
  <si>
    <t>PBJ-1111</t>
  </si>
  <si>
    <t>Current source file exists at Data/Scripts/Mobiles/Insects/Beetles/DuneBeetle.cs; match=ExactFileClass; serializer evidence=Serialize:L106;Deserialize:L112;SerialCtor:L103;VersionWrite:L109;VersionRead:L115; class=Server.Mobiles.DuneBeetle;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</si>
  <si>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path=Data/Scripts/Mobiles/Insects/Beetles/DuneBeetle.cs; backlog risk category=VersionHandling; write count=1; read count=1. POST-BATCH-J is triage only; no serialized layout edit is approved by this row.</t>
  </si>
  <si>
    <t>RB-01406</t>
  </si>
  <si>
    <t>P10-F01406</t>
  </si>
  <si>
    <t>Data/Scripts/Mobiles/Insects/Beetles/MetalBeetle.cs</t>
  </si>
  <si>
    <t>PBJ-1112</t>
  </si>
  <si>
    <t>Current source file exists at Data/Scripts/Mobiles/Insects/Beetles/MetalBeetle.cs; match=ExactFileClass; serializer evidence=Serialize:L230;Deserialize:L236;SerialCtor:L227;VersionWrite:L233;VersionRead:L239; class=Server.Mobiles.MetalBeetle;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</si>
  <si>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path=Data/Scripts/Mobiles/Insects/Beetles/MetalBeetle.cs; backlog risk category=VersionHandling; write count=1; read count=1. POST-BATCH-J is triage only; no serialized layout edit is approved by this row.</t>
  </si>
  <si>
    <t>RB-01407</t>
  </si>
  <si>
    <t>P10-F01407</t>
  </si>
  <si>
    <t>Mobiles:Races</t>
  </si>
  <si>
    <t>Data/Scripts/Mobiles/Races/RacePotions.cs</t>
  </si>
  <si>
    <t>PBJ-1113</t>
  </si>
  <si>
    <t>Current source file exists at Data/Scripts/Mobiles/Races/RacePotions.cs; match=ExactFileClass; serializer evidence=Serialize:L47;Deserialize:L53;SerialCtor:L44;VersionWrite:L50;VersionRead:L56; class=Server.Items.RacePotions;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</si>
  <si>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path=Data/Scripts/Mobiles/Races/RacePotions.cs; backlog risk category=VersionHandling; write count=1; read count=1. POST-BATCH-J is triage only; no serialized layout edit is approved by this row.</t>
  </si>
  <si>
    <t>RB-01408</t>
  </si>
  <si>
    <t>P10-F01408</t>
  </si>
  <si>
    <t>Data/Scripts/Mobiles/Reptilian/Dinosaurs/Iguanodon.cs</t>
  </si>
  <si>
    <t>PBJ-1114</t>
  </si>
  <si>
    <t>Current source file exists at Data/Scripts/Mobiles/Reptilian/Dinosaurs/Iguanodon.cs; match=ExactFileClass; serializer evidence=Serialize:L108;Deserialize:L114;SerialCtor:L105;VersionWrite:L111;VersionRead:L117; class=Server.Mobiles.Iguanodon;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</si>
  <si>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path=Data/Scripts/Mobiles/Reptilian/Dinosaurs/Iguanodon.cs; backlog risk category=VersionHandling; write count=1; read count=1. POST-BATCH-J is triage only; no serialized layout edit is approved by this row.</t>
  </si>
  <si>
    <t>RB-01409</t>
  </si>
  <si>
    <t>P10-F01409</t>
  </si>
  <si>
    <t>PBJ-1115</t>
  </si>
  <si>
    <t>Current source file exists at Data/Scripts/Mobiles/Reptilian/Frogs/GiantToad.cs; match=ExactFileClass; serializer evidence=Serialize:L72;Deserialize:L78;SerialCtor:L69;VersionWrite:L75;VersionRead:L81; class=Server.Mobiles.GiantToad;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</si>
  <si>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path=Data/Scripts/Mobiles/Reptilian/Frogs/GiantToad.cs; backlog risk category=VersionHandling; write count=1; read count=1. POST-BATCH-J is triage only; no serialized layout edit is approved by this row.</t>
  </si>
  <si>
    <t>RB-01410</t>
  </si>
  <si>
    <t>P10-F01410</t>
  </si>
  <si>
    <t>Data/Scripts/Mobiles/Reptilian/Frogs/IceToad.cs</t>
  </si>
  <si>
    <t>PBJ-1116</t>
  </si>
  <si>
    <t>Current source file exists at Data/Scripts/Mobiles/Reptilian/Frogs/IceToad.cs; match=ExactFileClass; serializer evidence=Serialize:L79;Deserialize:L86;SerialCtor:L76;VersionWrite:L83;VersionRead:L89; class=Server.Mobiles.IceToad; kind=Mobile; HasSerialConstructor=True; BaseCallStatus=BaseCallsFirst; VersionHandling=SuspiciousOrder; FieldAlignment=AlignedByCountAndKnownTypes; MoveRenameRisk=NamespaceOrTypeRenameDanger; ReviewStatus=NeedsSourceReview; ReviewReasons=SuspiciousOrder</t>
  </si>
  <si>
    <t>Historical path=Data/Scripts/Mobiles/Reptilian/Frogs/IceToad.cs; backlog risk category=VersionHandling; write count=1; read count=1. POST-BATCH-J is triage only; no serialized layout edit is approved by this row.</t>
  </si>
  <si>
    <t>RB-01411</t>
  </si>
  <si>
    <t>P10-F01411</t>
  </si>
  <si>
    <t>Quests:Codex</t>
  </si>
  <si>
    <t>Data/Scripts/Quests/Codex/CodexWisdom.cs</t>
  </si>
  <si>
    <t>PBU-0056</t>
  </si>
  <si>
    <t>POST-BATCH-N lane=POST-BATCH-N-SAVE-MIGRATION-PLAN; FileProofStatus=CurrentPathConfirmed; Class=Server.CodexWisdom; Serialize=L1065; Reader=DeserializeMethod:L1082; RegisterBase=BaseCallsFirst; RegisterVersion=SuspiciousOrder; RegisterAlignment=CountMatchNeedsTypeReview:UnknownWrites=6; Writes=8; Reads=8; WriteEvidence=L1068:Write((int)1); // version) | L1070:Write((Mobile)CodexOwner)) | L1072:Write(HasConvexLense)) | L1073:Write(HasConcaveLense)) | L1075:Write(SkillFirst)) | L1076:Write(SkillSecond)) | L1078:Write(PreviousFirst)) | L1079:Write(PreviousSecond)); ReadEvidence=L1085:ReadInt | L1087:ReadMobile | L1089:ReadInt | L1090:ReadInt | L1092:ReadInt | L1093:ReadInt | L1095:ReadInt | L1096:ReadInt; POST-BATCH-U direct source review=ScannerAmbiguityFalsePositive</t>
  </si>
  <si>
    <t>RB-01412</t>
  </si>
  <si>
    <t>P10-F01412</t>
  </si>
  <si>
    <t>Quests:Golems</t>
  </si>
  <si>
    <t>Data/Scripts/Quests/Golems/GolemManual.cs</t>
  </si>
  <si>
    <t>PBU-0057</t>
  </si>
  <si>
    <t>POST-BATCH-N lane=POST-BATCH-N-SAVE-MIGRATION-PLAN; FileProofStatus=CurrentPathConfirmed; Class=Server.Items.GolemManual; Serialize=L512; Reader=DeserializeMethod:L539; RegisterBase=BaseCallsFirst; RegisterVersion=SuspiciousOrder; RegisterAlignment=CountMatchNeedsTypeReview:UnknownWrites=20; Writes=21; Reads=21; WriteEvidence=L515:Write((int)1); // version) | L517:Write(GolemType)) | L518:Write(HaveSprings)) | L519:Write(HaveClocks)) | L520:Write(HaveCrystals)) | L521:Write(HaveDarkCore)) | L522:Write(HaveGears)) | L523:Write(HaveGems)) | L524:Write(HaveGold)) | L525:Write(HaveMetalQty)) | L526:Write(HaveOil)) | L527:Write(NeedSprings)); ReadEvidence=L542:ReadInt | L544:ReadString | L545:ReadInt | L546:ReadInt | L547:ReadInt | L548:ReadInt | L549:ReadInt | L550:ReadInt | L551:ReadInt | L552:ReadInt | L553:ReadInt | L554:ReadInt; POST-BATCH-U direct source review=ScannerAmbiguityFalsePositive</t>
  </si>
  <si>
    <t>RB-01413</t>
  </si>
  <si>
    <t>P10-F01413</t>
  </si>
  <si>
    <t>Quests:Robots</t>
  </si>
  <si>
    <t>Data/Scripts/Quests/Robots/RobotSchematics.cs</t>
  </si>
  <si>
    <t>PBU-0058</t>
  </si>
  <si>
    <t>POST-BATCH-N lane=POST-BATCH-N-SAVE-MIGRATION-PLAN; FileProofStatus=CurrentPathConfirmed; Class=Server.Items.RobotSchematics; Serialize=L234; Reader=DeserializeMethod:L258; RegisterBase=BaseCallsFirst; RegisterVersion=SuspiciousOrder; RegisterAlignment=CountMatchNeedsTypeReview:UnknownWrites=17; Writes=18; Reads=18; WriteEvidence=L237:Write((int)1); // version) | L239:Write(HaveBolts)) | L240:Write(HaveEngineParts)) | L241:Write(HaveCircuitBoard)) | L242:Write(HaveGears)) | L243:Write(HaveTransistors)) | L244:Write(HaveXormite)) | L245:Write(HaveMetalQty)) | L246:Write(HaveOil)) | L247:Write(NeedBolts)) | L248:Write(NeedEngineParts)) | L249:Write(NeedCircuitBoard)); ReadEvidence=L261:ReadInt | L263:ReadInt | L264:ReadInt | L265:ReadInt | L266:ReadInt | L267:ReadInt | L268:ReadInt | L269:ReadInt | L270:ReadInt | L271:ReadInt | L272:ReadInt | L273:ReadInt; POST-BATCH-U direct source review=ScannerAmbiguityFalsePositive</t>
  </si>
  <si>
    <t>RB-01414</t>
  </si>
  <si>
    <t>P10-F01414</t>
  </si>
  <si>
    <t>Data/Scripts/Quests/Search/SearchBook.cs</t>
  </si>
  <si>
    <t>PBU-0059</t>
  </si>
  <si>
    <t>POST-BATCH-N lane=POST-BATCH-N-SAVE-MIGRATION-PLAN; FileProofStatus=CurrentPathConfirmed; Class=Server.Items.SearchBook; Serialize=L500; Reader=DeserializeMethod:L508; RegisterBase=BaseCallsFirst; RegisterVersion=SuspiciousOrder; RegisterAlignment=CountMatchNeedsTypeReview:UnknownWrites=1; Writes=3; Reads=3; WriteEvidence=L503:Write((int)1); // version) | L504:Write((Mobile)owner)) | L505:Write(LegendLore)); ReadEvidence=L511:ReadInt | L512:ReadMobile | L513:ReadInt; POST-BATCH-U direct source review=ScannerAmbiguityFalsePositive</t>
  </si>
  <si>
    <t>RB-01415</t>
  </si>
  <si>
    <t>P10-F01415</t>
  </si>
  <si>
    <t>Data/Scripts/Quests/Summon/SummonItems.cs</t>
  </si>
  <si>
    <t>PBJ-1121</t>
  </si>
  <si>
    <t>Current source file exists at Data/Scripts/Quests/Summon/SummonItems.cs; match=ExactFileClass; serializer evidence=Serialize:L109;Deserialize:L115;SerialCtor:L106;VersionWrite:L112;VersionRead:L118; class=Server.Items.SummonReward; kind=Item; HasSerialConstructor=True; BaseCallStatus=BaseCallsFirst; VersionHandling=SuspiciousOrder; FieldAlignment=AlignedByCountAndKnownTypes; MoveRenameRisk=NamespaceOrTypeRenameDanger; ReviewStatus=NeedsSourceReview; ReviewReasons=SuspiciousOrder</t>
  </si>
  <si>
    <t>Historical path=Data/Scripts/Quests/Summon/SummonItems.cs; backlog risk category=VersionHandling; write count=1; read count=1. POST-BATCH-J is triage only; no serialized layout edit is approved by this row.</t>
  </si>
  <si>
    <t>RB-01416</t>
  </si>
  <si>
    <t>P10-F01416</t>
  </si>
  <si>
    <t>PBU-0060</t>
  </si>
  <si>
    <t>POST-BATCH-N lane=POST-BATCH-N-SAVE-MIGRATION-PLAN; FileProofStatus=CurrentPathConfirmed; Class=Server.Items.SummonPrison; Serialize=L494; Reader=DeserializeMethod:L523; RegisterBase=BaseCallsFirst; RegisterVersion=SuspiciousOrder; RegisterAlignment=CountMatchNeedsTypeReview:UnknownWrites=18; Writes=21; Reads=21; WriteEvidence=L497:Write((int)1); // version number for future-proofing the serialization format.) | L500:Write((Mobile)owner)) | L501:Write(KeyA)) | L502:Write(KeyB)) | L503:Write(KeyC)) | L504:Write(ReagentNameA)) | L505:Write(ReagentQtyA)) | L506:Write(ReagentNameB)) | L507:Write(ReagentQtyB)) | L508:Write(Prisoner)) | L509:Write(PrisonerHue)) | L510:Write(PrisonerBase)); ReadEvidence=L526:ReadInt | L529:ReadMobile | L530:ReadString | L531:ReadString | L532:ReadString | L533:ReadString | L534:ReadInt | L535:ReadString | L536:ReadInt | L537:ReadString | L538:ReadInt | L539:ReadString; POST-BATCH-U direct source review=ScannerAmbiguityFalsePositive</t>
  </si>
  <si>
    <t>RB-01418</t>
  </si>
  <si>
    <t>P10-F01418</t>
  </si>
  <si>
    <t>Data/Scripts/System/Chat/Channels/Channel.cs</t>
  </si>
  <si>
    <t>PBJ-1123</t>
  </si>
  <si>
    <t>Current source file exists at Data/Scripts/System/Chat/Channels/Channel.cs;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</si>
  <si>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path=Data/Scripts/System/Chat/Channels/Channel.cs; backlog risk category=MissingSerialConstructor; write count=0; read count=0. POST-BATCH-J is triage only; no serialized layout edit is approved by this row.</t>
  </si>
  <si>
    <t>RB-01419</t>
  </si>
  <si>
    <t>P10-F01419</t>
  </si>
  <si>
    <t>PBJ-1124</t>
  </si>
  <si>
    <t>Historical path=Data/Scripts/System/Chat/Channels/Channel.cs; backlog risk category=MissingSerializerPair; write count=0; read count=0. POST-BATCH-J is triage only; no serialized layout edit is approved by this row.</t>
  </si>
  <si>
    <t>RB-01420</t>
  </si>
  <si>
    <t>P10-F01420</t>
  </si>
  <si>
    <t>PBJ-1125</t>
  </si>
  <si>
    <t>Historical path=Data/Scripts/System/Chat/Channels/Channel.cs; backlog risk category=VersionHandling; write count=0; read count=0. POST-BATCH-J is triage only; no serialized layout edit is approved by this row.</t>
  </si>
  <si>
    <t>RB-01421</t>
  </si>
  <si>
    <t>P10-F01421</t>
  </si>
  <si>
    <t>Data/Scripts/System/Chat/General/Data.cs</t>
  </si>
  <si>
    <t>PBJ-1126</t>
  </si>
  <si>
    <t>Current source file exists at Data/Scripts/System/Chat/General/Data.cs;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</si>
  <si>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path=Data/Scripts/System/Chat/General/Data.cs; backlog risk category=MissingSerialConstructor; write count=0; read count=0. POST-BATCH-J is triage only; no serialized layout edit is approved by this row.</t>
  </si>
  <si>
    <t>RB-01422</t>
  </si>
  <si>
    <t>P10-F01422</t>
  </si>
  <si>
    <t>PBJ-1127</t>
  </si>
  <si>
    <t>Historical path=Data/Scripts/System/Chat/General/Data.cs; backlog risk category=MissingSerializerPair; write count=0; read count=0. POST-BATCH-J is triage only; no serialized layout edit is approved by this row.</t>
  </si>
  <si>
    <t>RB-01423</t>
  </si>
  <si>
    <t>P10-F01423</t>
  </si>
  <si>
    <t>PBJ-1128</t>
  </si>
  <si>
    <t>Historical path=Data/Scripts/System/Chat/General/Data.cs; backlog risk category=VersionHandling; write count=0; read count=0. POST-BATCH-J is triage only; no serialized layout edit is approved by this row.</t>
  </si>
  <si>
    <t>RB-01424</t>
  </si>
  <si>
    <t>P10-F01424</t>
  </si>
  <si>
    <t>Data/Scripts/System/Chat/General/IrcConnection.cs</t>
  </si>
  <si>
    <t>PBJ-1129</t>
  </si>
  <si>
    <t>Current source file exists at Data/Scripts/System/Chat/General/IrcConnection.cs;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</si>
  <si>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path=Data/Scripts/System/Chat/General/IrcConnection.cs; backlog risk category=MissingSerialConstructor; write count=0; read count=0. POST-BATCH-J is triage only; no serialized layout edit is approved by this row.</t>
  </si>
  <si>
    <t>RB-01425</t>
  </si>
  <si>
    <t>P10-F01425</t>
  </si>
  <si>
    <t>PBJ-1130</t>
  </si>
  <si>
    <t>Historical path=Data/Scripts/System/Chat/General/IrcConnection.cs; backlog risk category=MissingSerializerPair; write count=0; read count=0. POST-BATCH-J is triage only; no serialized layout edit is approved by this row.</t>
  </si>
  <si>
    <t>RB-01426</t>
  </si>
  <si>
    <t>P10-F01426</t>
  </si>
  <si>
    <t>PBJ-1131</t>
  </si>
  <si>
    <t>Historical path=Data/Scripts/System/Chat/General/IrcConnection.cs; backlog risk category=VersionHandling; write count=0; read count=0. POST-BATCH-J is triage only; no serialized layout edit is approved by this row.</t>
  </si>
  <si>
    <t>RB-01427</t>
  </si>
  <si>
    <t>P10-F01427</t>
  </si>
  <si>
    <t>Data/Scripts/System/Chat/General/Message.cs</t>
  </si>
  <si>
    <t>PBJ-1132</t>
  </si>
  <si>
    <t>Current source file exists at Data/Scripts/System/Chat/General/Message.cs;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</si>
  <si>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path=Data/Scripts/System/Chat/General/Message.cs; backlog risk category=MissingSerialConstructor; write count=0; read count=0. POST-BATCH-J is triage only; no serialized layout edit is approved by this row.</t>
  </si>
  <si>
    <t>RB-01428</t>
  </si>
  <si>
    <t>P10-F01428</t>
  </si>
  <si>
    <t>PBJ-1133</t>
  </si>
  <si>
    <t>Historical path=Data/Scripts/System/Chat/General/Message.cs; backlog risk category=MissingSerializerPair; write count=0; read count=0. POST-BATCH-J is triage only; no serialized layout edit is approved by this row.</t>
  </si>
  <si>
    <t>RB-01429</t>
  </si>
  <si>
    <t>P10-F01429</t>
  </si>
  <si>
    <t>PBJ-1134</t>
  </si>
  <si>
    <t>Historical path=Data/Scripts/System/Chat/General/Message.cs; backlog risk category=VersionHandling; write count=0; read count=0. POST-BATCH-J is triage only; no serialized layout edit is approved by this row.</t>
  </si>
  <si>
    <t>RB-01430</t>
  </si>
  <si>
    <t>P10-F01430</t>
  </si>
  <si>
    <t>Data/Scripts/System/Chat/General/Notification.cs</t>
  </si>
  <si>
    <t>PBJ-1135</t>
  </si>
  <si>
    <t>Current source file exists at Data/Scripts/System/Chat/General/Notification.cs;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</si>
  <si>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path=Data/Scripts/System/Chat/General/Notification.cs; backlog risk category=MissingSerialConstructor; write count=0; read count=0. POST-BATCH-J is triage only; no serialized layout edit is approved by this row.</t>
  </si>
  <si>
    <t>RB-01431</t>
  </si>
  <si>
    <t>P10-F01431</t>
  </si>
  <si>
    <t>PBJ-1136</t>
  </si>
  <si>
    <t>Historical path=Data/Scripts/System/Chat/General/Notification.cs; backlog risk category=MissingSerializerPair; write count=0; read count=0. POST-BATCH-J is triage only; no serialized layout edit is approved by this row.</t>
  </si>
  <si>
    <t>RB-01432</t>
  </si>
  <si>
    <t>P10-F01432</t>
  </si>
  <si>
    <t>PBJ-1137</t>
  </si>
  <si>
    <t>Historical path=Data/Scripts/System/Chat/General/Notification.cs; backlog risk category=VersionHandling; write count=0; read count=0. POST-BATCH-J is triage only; no serialized layout edit is approved by this row.</t>
  </si>
  <si>
    <t>RB-01433</t>
  </si>
  <si>
    <t>P10-F01433</t>
  </si>
  <si>
    <t>Data/Scripts/System/Chat/Gumps/Gumps Plus/GumpInfo.cs</t>
  </si>
  <si>
    <t>PBJ-1138</t>
  </si>
  <si>
    <t>Current source file exists at Data/Scripts/System/Chat/Gumps/Gumps Plus/GumpInfo.cs;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</si>
  <si>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path=Data/Scripts/System/Chat/Gumps/Gumps Plus/GumpInfo.cs; backlog risk category=MissingSerialConstructor; write count=0; read count=0. POST-BATCH-J is triage only; no serialized layout edit is approved by this row.</t>
  </si>
  <si>
    <t>RB-01434</t>
  </si>
  <si>
    <t>P10-F01434</t>
  </si>
  <si>
    <t>PBJ-1139</t>
  </si>
  <si>
    <t>Historical path=Data/Scripts/System/Chat/Gumps/Gumps Plus/GumpInfo.cs; backlog risk category=MissingSerializerPair; write count=0; read count=0. POST-BATCH-J is triage only; no serialized layout edit is approved by this row.</t>
  </si>
  <si>
    <t>RB-01435</t>
  </si>
  <si>
    <t>P10-F01435</t>
  </si>
  <si>
    <t>PBJ-1140</t>
  </si>
  <si>
    <t>Historical path=Data/Scripts/System/Chat/Gumps/Gumps Plus/GumpInfo.cs; backlog risk category=VersionHandling; write count=0; read count=0. POST-BATCH-J is triage only; no serialized layout edit is approved by this row.</t>
  </si>
  <si>
    <t>RB-01436</t>
  </si>
  <si>
    <t>P10-F01436</t>
  </si>
  <si>
    <t>Data/Scripts/System/Commands/AddonGenerator.cs</t>
  </si>
  <si>
    <t>PBJ-1141</t>
  </si>
  <si>
    <t>Current source file exists at Data/Scripts/System/Commands/AddonGenerator.cs; match=ExactFileClass; serializer evidence=Serialize:L150;Deserialize:L156;VersionWrite:L153;VersionRead:L159; class=Arya.Misc.AddonGenerator; kind=Addon; HasSerialConstructor=False; BaseCallStatus=BaseCallsFirst; VersionHandling=SingleVersionOnly; FieldAlignment=AlignedByCountAndKnownTypes; MoveRenameRisk=NamespaceOrTypeRenameDanger; ReviewStatus=NeedsSourceReview; ReviewReasons=Serial constructor not detected.</t>
  </si>
  <si>
    <t>Historical path=Data/Scripts/System/Commands/AddonGenerator.cs; backlog risk category=MissingSerialConstructor; write count=1; read count=1. POST-BATCH-J is triage only; no serialized layout edit is approved by this row.</t>
  </si>
  <si>
    <t>RB-01437</t>
  </si>
  <si>
    <t>P10-F01437</t>
  </si>
  <si>
    <t>Data/Scripts/System/Commands/Statics.cs</t>
  </si>
  <si>
    <t>PBJ-1142</t>
  </si>
  <si>
    <t>Current source file exists at Data/Scripts/System/Commands/Statics.cs;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</si>
  <si>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path=Data/Scripts/System/Commands/Statics.cs; backlog risk category=MissingSerialConstructor; write count=0; read count=0. POST-BATCH-J is triage only; no serialized layout edit is approved by this row.</t>
  </si>
  <si>
    <t>RB-01438</t>
  </si>
  <si>
    <t>P10-F01438</t>
  </si>
  <si>
    <t>PBJ-1143</t>
  </si>
  <si>
    <t>Historical path=Data/Scripts/System/Commands/Statics.cs; backlog risk category=MissingSerializerPair; write count=0; read count=0. POST-BATCH-J is triage only; no serialized layout edit is approved by this row.</t>
  </si>
  <si>
    <t>RB-01439</t>
  </si>
  <si>
    <t>P10-F01439</t>
  </si>
  <si>
    <t>PBJ-1144</t>
  </si>
  <si>
    <t>Historical path=Data/Scripts/System/Commands/Statics.cs; backlog risk category=VersionHandling; write count=0; read count=0. POST-BATCH-J is triage only; no serialized layout edit is approved by this row.</t>
  </si>
  <si>
    <t>RB-01440</t>
  </si>
  <si>
    <t>P10-F01440</t>
  </si>
  <si>
    <t>PBJ-1145</t>
  </si>
  <si>
    <t>Current source file exists at Data/Scripts/System/Misc/AOS.cs; match=ExactFileClass; serializer evidence=Serialize:L1424; class=Server.BaseAttributes; kind=Controller; HasSerialConstructor=False; BaseCallStatus=MissingBaseSerialize; VersionHandling=NoVersionFound; FieldAlignment=CountMismatch:Writes=4;Reads=0; MoveRenameRisk=NamespaceOrTypeRenameDanger; ReviewStatus=NeedsSourceReview; ReviewReasons=Serializer pair is missing one side.; Serial constructor not detected.; MissingBaseSerialize; NoVersionFound; CountMismatch:Writes=4;Reads=0</t>
  </si>
  <si>
    <t>Historical path=Data/Scripts/System/Misc/AOS.cs; backlog risk category=MissingSerialConstructor; write count=4; read count=0. POST-BATCH-J is triage only; no serialized layout edit is approved by this row.</t>
  </si>
  <si>
    <t>RB-01441</t>
  </si>
  <si>
    <t>P10-F01441</t>
  </si>
  <si>
    <t>PBJ-1146</t>
  </si>
  <si>
    <t>Historical path=Data/Scripts/System/Misc/AOS.cs; backlog risk category=MissingSerializerPair; write count=4; read count=0. POST-BATCH-J is triage only; no serialized layout edit is approved by this row.</t>
  </si>
  <si>
    <t>RB-01443</t>
  </si>
  <si>
    <t>P10-F01443</t>
  </si>
  <si>
    <t>PBU-0067</t>
  </si>
  <si>
    <t>POST-BATCH-N lane=POST-BATCH-N-SAVE-MIGRATION-PLAN; FileProofStatus=CurrentPathConfirmed; Class=Server.BaseAttributes; Serialize=L1424; Reader=GenericReaderConstructor:L1393; RegisterBase=MissingBaseSerialize; RegisterVersion=NoVersionFound; RegisterAlignment=CountMismatch:Writes=4;Reads=0; Writes=4; Reads=7; WriteEvidence=L1426:Write((byte)1); // version) | L1428:Write((uint)m_Names)) | L1429:WriteEncodedInt((int)m_Values.Length)) | L1432:WriteEncodedInt((int)m_Values[i])); ReadEvidence=L1397:ReadByte | L1403:ReadUInt | L1404:ReadEncodedInt | L1407:ReadEncodedInt | L1413:ReadUInt | L1414:ReadInt | L1417:ReadInt; POST-BATCH-U direct source review=HelperSerializerReviewedNoChange</t>
  </si>
  <si>
    <t>RB-01445</t>
  </si>
  <si>
    <t>P10-F01445</t>
  </si>
  <si>
    <t>PBJ-1148</t>
  </si>
  <si>
    <t>Current source file exists at Data/Scripts/System/Misc/Guilds.cs; match=ExactFileClass; serializer evidence=Serialize:L205;VersionWrite:L207; class=Server.Guilds.AllianceInfo; kind=Controller; HasSerialConstructor=False; BaseCallStatus=MissingBaseSerialize; VersionHandling=WriteVersionOnly; FieldAlignment=CountMismatch:Writes=4;Reads=0; MoveRenameRisk=NamespaceOrTypeRenameDanger; ReviewStatus=NeedsSourceReview; ReviewReasons=Serializer pair is missing one side.; Serial constructor not detected.; MissingBaseSerialize; WriteVersionOnly; CountMismatch:Writes=4;Reads=0</t>
  </si>
  <si>
    <t>Historical path=Data/Scripts/System/Misc/Guilds.cs; backlog risk category=MissingSerialConstructor; write count=5; read count=0. POST-BATCH-J is triage only; no serialized layout edit is approved by this row.</t>
  </si>
  <si>
    <t>RB-01446</t>
  </si>
  <si>
    <t>P10-F01446</t>
  </si>
  <si>
    <t>PBJ-1149</t>
  </si>
  <si>
    <t>Historical path=Data/Scripts/System/Misc/Guilds.cs; backlog risk category=MissingSerializerPair; write count=5; read count=0. POST-BATCH-J is triage only; no serialized layout edit is approved by this row.</t>
  </si>
  <si>
    <t>RB-01448</t>
  </si>
  <si>
    <t>P10-F01448</t>
  </si>
  <si>
    <t>PBU-0068</t>
  </si>
  <si>
    <t>POST-BATCH-N lane=POST-BATCH-N-SAVE-MIGRATION-PLAN; FileProofStatus=CurrentPathConfirmed; Class=Server.Guilds.AllianceInfo; Serialize=L205; Reader=GenericReaderConstructor:L219; RegisterBase=MissingBaseSerialize; RegisterVersion=WriteVersionOnly; RegisterAlignment=CountMismatch:Writes=4;Reads=0; Writes=5; Reads=3; WriteEvidence=L207:Write((int)0); //Version) | L209:Write(m_Name)) | L210:Write(m_Leader)) | L212:WriteGuildList(m_Members, true)) | L213:WriteGuildList(m_PendingMembers, true)); ReadEvidence=L221:ReadInt | L227:ReadString | L228:ReadGuild; POST-BATCH-U direct source review=HelperSerializerReviewedNoChange</t>
  </si>
  <si>
    <t>RB-01450</t>
  </si>
  <si>
    <t>P10-F01450</t>
  </si>
  <si>
    <t>PBJ-1151</t>
  </si>
  <si>
    <t>Current source file exists at Data/Scripts/System/Misc/Guilds.cs; match=ExactFileClass; serializer evidence=Serialize:L1341;Deserialize:L1411;VersionWrite:L1351;VersionRead:L1413; class=Server.Guilds.Guild; kind=Controller; HasSerialConstructor=False; BaseCallStatus=MissingBaseSerialize; VersionHandling=SwitchGotoCase; FieldAlignment=CountMismatch:Writes=21;Reads=17; MoveRenameRisk=NamespaceOrTypeRenameDanger; ReviewStatus=NeedsSourceReview; ReviewReasons=Serial constructor not detected.; MissingBaseSerialize; CountMismatch:Writes=21;Reads=17</t>
  </si>
  <si>
    <t>Historical path=Data/Scripts/System/Misc/Guilds.cs; backlog risk category=MissingSerialConstructor; write count=22; read count=18. POST-BATCH-J is triage only; no serialized layout edit is approved by this row.</t>
  </si>
  <si>
    <t>RB-01453</t>
  </si>
  <si>
    <t>P10-F01453</t>
  </si>
  <si>
    <t>PBJ-1152</t>
  </si>
  <si>
    <t>Current source file exists at Data/Scripts/System/Misc/Guilds.cs; match=ExactFileClass; serializer evidence=Serialize:L602;VersionWrite:L604; class=Server.Guilds.WarDeclaration; kind=Controller; HasSerialConstructor=False; BaseCallStatus=MissingBaseSerialize; VersionHandling=WriteVersionOnly; FieldAlignment=CountMismatch:Writes=7;Reads=0; MoveRenameRisk=NamespaceOrTypeRenameDanger; ReviewStatus=NeedsSourceReview; ReviewReasons=Serializer pair is missing one side.; Serial constructor not detected.; MissingBaseSerialize; WriteVersionOnly; CountMismatch:Writes=7;Reads=0</t>
  </si>
  <si>
    <t>Historical path=Data/Scripts/System/Misc/Guilds.cs; backlog risk category=MissingSerialConstructor; write count=8; read count=0. POST-BATCH-J is triage only; no serialized layout edit is approved by this row.</t>
  </si>
  <si>
    <t>RB-01454</t>
  </si>
  <si>
    <t>P10-F01454</t>
  </si>
  <si>
    <t>PBJ-1153</t>
  </si>
  <si>
    <t>Historical path=Data/Scripts/System/Misc/Guilds.cs; backlog risk category=MissingSerializerPair; write count=8; read count=0. POST-BATCH-J is triage only; no serialized layout edit is approved by this row.</t>
  </si>
  <si>
    <t>RB-01456</t>
  </si>
  <si>
    <t>P10-F01456</t>
  </si>
  <si>
    <t>PBU-0069</t>
  </si>
  <si>
    <t>POST-BATCH-N lane=POST-BATCH-N-SAVE-MIGRATION-PLAN; FileProofStatus=CurrentPathConfirmed; Class=Server.Guilds.WarDeclaration; Serialize=L602; Reader=GenericReaderConstructor:L578; RegisterBase=MissingBaseSerialize; RegisterVersion=WriteVersionOnly; RegisterAlignment=CountMismatch:Writes=7;Reads=0; Writes=8; Reads=8; WriteEvidence=L604:Write((int)0); //version) | L606:Write(m_Kills)) | L607:Write(m_MaxKills)) | L609:Write(m_WarLength)) | L610:Write(m_WarBeginning)) | L612:Write(m_Guild)) | L613:Write(m_Opponent)) | L615:Write(m_WarRequester)); ReadEvidence=L580:ReadInt | L586:ReadInt | L587:ReadInt | L589:ReadTimeSpan | L590:ReadDateTime | L592:ReadGuild | L593:ReadGuild | L595:ReadBool; POST-BATCH-U direct source review=HelperSerializerReviewedNoChange</t>
  </si>
  <si>
    <t>RB-01458</t>
  </si>
  <si>
    <t>P10-F01458</t>
  </si>
  <si>
    <t>PBJ-1155</t>
  </si>
  <si>
    <t>Current source file exists at Data/Scripts/System/Misc/Logs.cs;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</si>
  <si>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path=Data/Scripts/System/Misc/Logs.cs; backlog risk category=MissingSerialConstructor; write count=0; read count=0. POST-BATCH-J is triage only; no serialized layout edit is approved by this row.</t>
  </si>
  <si>
    <t>RB-01459</t>
  </si>
  <si>
    <t>P10-F01459</t>
  </si>
  <si>
    <t>PBJ-1156</t>
  </si>
  <si>
    <t>Historical path=Data/Scripts/System/Misc/Logs.cs; backlog risk category=MissingSerializerPair; write count=0; read count=0. POST-BATCH-J is triage only; no serialized layout edit is approved by this row.</t>
  </si>
  <si>
    <t>RB-01460</t>
  </si>
  <si>
    <t>P10-F01460</t>
  </si>
  <si>
    <t>PBJ-1157</t>
  </si>
  <si>
    <t>Historical path=Data/Scripts/System/Misc/Logs.cs; backlog risk category=VersionHandling; write count=0; read count=0. POST-BATCH-J is triage only; no serialized layout edit is approved by this row.</t>
  </si>
  <si>
    <t>RB-01461</t>
  </si>
  <si>
    <t>P10-F01461</t>
  </si>
  <si>
    <t>PBJ-1158</t>
  </si>
  <si>
    <t>Current source file exists at Data/Scripts/System/Misc/MOTD.cs;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</si>
  <si>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path=Data/Scripts/System/Misc/MOTD.cs; backlog risk category=MissingSerialConstructor; write count=0; read count=0. POST-BATCH-J is triage only; no serialized layout edit is approved by this row.</t>
  </si>
  <si>
    <t>RB-01462</t>
  </si>
  <si>
    <t>P10-F01462</t>
  </si>
  <si>
    <t>PBJ-1159</t>
  </si>
  <si>
    <t>Historical path=Data/Scripts/System/Misc/MOTD.cs; backlog risk category=MissingSerializerPair; write count=0; read count=0. POST-BATCH-J is triage only; no serialized layout edit is approved by this row.</t>
  </si>
  <si>
    <t>RB-01463</t>
  </si>
  <si>
    <t>P10-F01463</t>
  </si>
  <si>
    <t>PBJ-1160</t>
  </si>
  <si>
    <t>Historical path=Data/Scripts/System/Misc/MOTD.cs; backlog risk category=VersionHandling; write count=0; read count=0. POST-BATCH-J is triage only; no serialized layout edit is approved by this row.</t>
  </si>
  <si>
    <t>RB-01464</t>
  </si>
  <si>
    <t>P10-F01464</t>
  </si>
  <si>
    <t>PBJ-1161</t>
  </si>
  <si>
    <t>Current source file exists at Data/Scripts/System/Misc/ShardPoller.cs; match=ExactFileClass; serializer evidence=Serialize:L416;VersionWrite:L418; class=Server.Misc.ShardPollOption; kind=Controller; HasSerialConstructor=False; BaseCallStatus=MissingBaseSerialize; VersionHandling=WriteVersionOnly; FieldAlignment=CountMismatch:Writes=3;Reads=0; MoveRenameRisk=NamespaceOrTypeRenameDanger; ReviewStatus=NeedsSourceReview; ReviewReasons=Serializer pair is missing one side.; Serial constructor not detected.; MissingBaseSerialize; WriteVersionOnly; CountMismatch:Writes=3;Reads=0</t>
  </si>
  <si>
    <t>Historical path=Data/Scripts/System/Misc/ShardPoller.cs; backlog risk category=MissingSerialConstructor; write count=4; read count=0. POST-BATCH-J is triage only; no serialized layout edit is approved by this row.</t>
  </si>
  <si>
    <t>RB-01465</t>
  </si>
  <si>
    <t>P10-F01465</t>
  </si>
  <si>
    <t>PBJ-1162</t>
  </si>
  <si>
    <t>Historical path=Data/Scripts/System/Misc/ShardPoller.cs; backlog risk category=MissingSerializerPair; write count=4; read count=0. POST-BATCH-J is triage only; no serialized layout edit is approved by this row.</t>
  </si>
  <si>
    <t>RB-01467</t>
  </si>
  <si>
    <t>P10-F01467</t>
  </si>
  <si>
    <t>PBU-0070</t>
  </si>
  <si>
    <t>POST-BATCH-N lane=POST-BATCH-N-SAVE-MIGRATION-PLAN; FileProofStatus=CurrentPathConfirmed; Class=Server.Misc.ShardPollOption; Serialize=L416; Reader=GenericReaderConstructor:L395; RegisterBase=MissingBaseSerialize; RegisterVersion=WriteVersionOnly; RegisterAlignment=CountMismatch:Writes=3;Reads=0; Writes=4; Reads=4; WriteEvidence=L418:Write((int)0); // version) | L420:Write(m_Title)) | L422:Write(m_Voters.Length)) | L425:Write(m_Voters[i])); ReadEvidence=L397:ReadInt | L403:ReadString | L406:ReadInt | L409:ReadIPAddress; POST-BATCH-U direct source review=HelperSerializerReviewedNoChange</t>
  </si>
  <si>
    <t>RB-01471</t>
  </si>
  <si>
    <t>P10-F01471</t>
  </si>
  <si>
    <t>PBJ-1164</t>
  </si>
  <si>
    <t>Current source file exists at Data/Scripts/System/Misc/TextDefinition.cs; match=ExactFileClass; serializer evidence=Serialize:L62; class=Server.TextDefinition; kind=Controller; HasSerialConstructor=False; BaseCallStatus=MissingBaseSerialize; VersionHandling=NoVersionFound; FieldAlignment=CountMismatch:Writes=5;Reads=0; MoveRenameRisk=NamespaceOrTypeRenameDanger; ReviewStatus=NeedsSourceReview; ReviewReasons=Serializer pair is missing one side.; Serial constructor not detected.; MissingBaseSerialize; NoVersionFound; CountMismatch:Writes=5;Reads=0</t>
  </si>
  <si>
    <t>Historical path=Data/Scripts/System/Misc/TextDefinition.cs; backlog risk category=MissingSerialConstructor; write count=5; read count=0. POST-BATCH-J is triage only; no serialized layout edit is approved by this row.</t>
  </si>
  <si>
    <t>RB-01472</t>
  </si>
  <si>
    <t>P10-F01472</t>
  </si>
  <si>
    <t>PBJ-1165</t>
  </si>
  <si>
    <t>Historical path=Data/Scripts/System/Misc/TextDefinition.cs; backlog risk category=MissingSerializerPair; write count=5; read count=0. POST-BATCH-J is triage only; no serialized layout edit is approved by this row.</t>
  </si>
  <si>
    <t>RB-01474</t>
  </si>
  <si>
    <t>P10-F01474</t>
  </si>
  <si>
    <t>PBU-0071</t>
  </si>
  <si>
    <t>POST-BATCH-N lane=POST-BATCH-N-SAVE-MIGRATION-PLAN; FileProofStatus=CurrentPathConfirmed; Class=Server.TextDefinition; Serialize=L62; Reader=GenericReaderConstructor:L31; RegisterBase=MissingBaseSerialize; RegisterVersion=NoVersionFound; RegisterAlignment=CountMismatch:Writes=5;Reads=0; Writes=5; Reads=3; WriteEvidence=L66:WriteEncodedInt(1)) | L67:WriteEncodedInt(m_Number)) | L71:WriteEncodedInt(2)) | L72:Write(m_String)) | L75:WriteEncodedInt(0)); ReadEvidence=L33:ReadEncodedInt | L38:ReadEncodedInt | L43:ReadString; POST-BATCH-U direct source review=HelperSerializerReviewedNoChange</t>
  </si>
  <si>
    <t>RB-01477</t>
  </si>
  <si>
    <t>P10-F01477</t>
  </si>
  <si>
    <t>PBJ-1167</t>
  </si>
  <si>
    <t>Current source file exists at Data/Scripts/System/Obsolete/Obsolete.cs; match=ExactFileClass; serializer evidence=Serialize:L5826;Deserialize:L5833;SerialCtor:L5823; class=Server.Items.BronzeStatueMaker; kind=Controller; HasSerialConstructor=True; BaseCallStatus=BaseCallsFirst; VersionHandling=NoVersionFound; FieldAlignment=AlignedByCountAndKnownTypes; MoveRenameRisk=UnknownUntilSaveTest; ReviewStatus=NeedsSourceReview; ReviewReasons=NoVersionFound; UnknownUntilSaveTest</t>
  </si>
  <si>
    <t>Historical path=Data/Scripts/System/Obsolete/Obsolete.cs; backlog risk category=VersionHandling; write count=1; read count=1. POST-BATCH-J is triage only; no serialized layout edit is approved by this row.</t>
  </si>
  <si>
    <t>RB-01478</t>
  </si>
  <si>
    <t>P10-F01478</t>
  </si>
  <si>
    <t>PBW-0047</t>
  </si>
  <si>
    <t>Current source file exists at Data/Scripts/System/Obsolete/Obsolete.cs; prior POST-BATCH-J row=PBJ-1168; register evidence=Serialize:L9006; class=Server.Items.Candidate; kind=Controller; HasSerialConstructor=False; BaseCallStatus=MissingBaseSerialize; VersionHandling=NoVersionFound; FieldAlignment=CountMismatch:Writes=3;Reads=0; direct source review=Source-reviewed obsolete helper serializer: GenericReader constructor L8971-L9006 reads versioned candidate/voters; Serialize L9009-L9018 writes version, mobile, voter count and nested voters.</t>
  </si>
  <si>
    <t>POST-BATCH-W disposition of historical POST-BATCH-J NeedsMigrationPlan row; previous review row PBJ-1168; review class HelperSerializerReviewedNoChange.</t>
  </si>
  <si>
    <t>RB-01479</t>
  </si>
  <si>
    <t>P10-F01479</t>
  </si>
  <si>
    <t>PBJ-1169</t>
  </si>
  <si>
    <t>Current source file exists at Data/Scripts/System/Obsolete/Obsolete.cs; match=ExactFileClass; serializer evidence=Serialize:L9006; class=Server.Items.Candidate; kind=Controller; HasSerialConstructor=False; BaseCallStatus=MissingBaseSerialize; VersionHandling=NoVersionFound; FieldAlignment=CountMismatch:Writes=3;Reads=0; MoveRenameRisk=UnknownUntilSaveTest; ReviewStatus=NeedsSourceReview; ReviewReasons=Serializer pair is missing one side.; Serial constructor not detected.; MissingBaseSerialize; NoVersionFound; CountMismatch:Writes=3;Reads=0; UnknownUntilSaveTest</t>
  </si>
  <si>
    <t>Historical path=Data/Scripts/System/Obsolete/Obsolete.cs; backlog risk category=MissingSerializerPair; write count=3; read count=0. POST-BATCH-J is triage only; no serialized layout edit is approved by this row.</t>
  </si>
  <si>
    <t>RB-01481</t>
  </si>
  <si>
    <t>P10-F01481</t>
  </si>
  <si>
    <t>PBW-0048</t>
  </si>
  <si>
    <t>Current source file exists at Data/Scripts/System/Obsolete/Obsolete.cs; prior POST-BATCH-J row=PBJ-1170; register evidence=Serialize:L9006; class=Server.Items.Candidate; kind=Controller; HasSerialConstructor=False; BaseCallStatus=MissingBaseSerialize; VersionHandling=NoVersionFound; FieldAlignment=CountMismatch:Writes=3;Reads=0; direct source review=Source-reviewed obsolete helper serializer: GenericReader constructor L8971-L9006 reads versioned candidate/voters; Serialize L9009-L9018 writes version, mobile, voter count and nested voters.</t>
  </si>
  <si>
    <t>POST-BATCH-W disposition of historical POST-BATCH-J NeedsMigrationPlan row; previous review row PBJ-1170; review class HelperSerializerReviewedNoChange.</t>
  </si>
  <si>
    <t>RB-01483</t>
  </si>
  <si>
    <t>P10-F01483</t>
  </si>
  <si>
    <t>PBJ-1171</t>
  </si>
  <si>
    <t>Current source file exists at Data/Scripts/System/Obsolete/Obsolete.cs; match=ExactFileClass; serializer evidence=Serialize:L4926;Deserialize:L4943;SerialCtor:L4848; class=Server.Items.CharacterStatue; kind=Mobile; HasSerialConstructor=True; BaseCallStatus=BaseCallsFirst; VersionHandling=NoVersionFound; FieldAlignment=AlignedByCountAndKnownTypes; MoveRenameRisk=UnknownUntilSaveTest; ReviewStatus=NeedsSourceReview; ReviewReasons=NoVersionFound; UnknownUntilSaveTest</t>
  </si>
  <si>
    <t>Historical path=Data/Scripts/System/Obsolete/Obsolete.cs; backlog risk category=VersionHandling; write count=8; read count=8. POST-BATCH-J is triage only; no serialized layout edit is approved by this row.</t>
  </si>
  <si>
    <t>RB-01484</t>
  </si>
  <si>
    <t>P10-F01484</t>
  </si>
  <si>
    <t>PBJ-1172</t>
  </si>
  <si>
    <t>Current source file exists at Data/Scripts/System/Obsolete/Obsolete.cs; match=ExactFileClass; serializer evidence=Serialize:L5268;Deserialize:L5278;SerialCtor:L5210; class=Server.Items.CharacterStatueDeed; kind=Deed; HasSerialConstructor=True; BaseCallStatus=BaseCallsFirst; VersionHandling=NoVersionFound; FieldAlignment=AlignedByCountAndKnownTypes; MoveRenameRisk=UnknownUntilSaveTest; ReviewStatus=NeedsSourceReview; ReviewReasons=NoVersionFound; UnknownUntilSaveTest</t>
  </si>
  <si>
    <t>Historical path=Data/Scripts/System/Obsolete/Obsolete.cs; backlog risk category=VersionHandling; write count=3; read count=3. POST-BATCH-J is triage only; no serialized layout edit is approved by this row.</t>
  </si>
  <si>
    <t>RB-01485</t>
  </si>
  <si>
    <t>P10-F01485</t>
  </si>
  <si>
    <t>PBJ-1173</t>
  </si>
  <si>
    <t>Current source file exists at Data/Scripts/System/Obsolete/Obsolete.cs; match=ExactFileClass; serializer evidence=Serialize:L5743;Deserialize:L5753;SerialCtor:L5711; class=Server.Items.CharacterStatueMaker; kind=Controller; HasSerialConstructor=True; BaseCallStatus=BaseCallsFirst; VersionHandling=NoVersionFound; FieldAlignment=AlignedByCountAndKnownTypes; MoveRenameRisk=UnknownUntilSaveTest; ReviewStatus=NeedsSourceReview; ReviewReasons=NoVersionFound; UnknownUntilSaveTest</t>
  </si>
  <si>
    <t>RB-01486</t>
  </si>
  <si>
    <t>P10-F01486</t>
  </si>
  <si>
    <t>PBJ-1174</t>
  </si>
  <si>
    <t>Current source file exists at Data/Scripts/System/Obsolete/Obsolete.cs; match=ExactFileClass; serializer evidence=Serialize:L5894;Deserialize:L5903;SerialCtor:L5865; class=Server.Items.CharacterStatuePlinth; kind=Controller; HasSerialConstructor=True; BaseCallStatus=BaseCallsFirst; VersionHandling=NoVersionFound; FieldAlignment=AlignedByCountAndKnownTypes; MoveRenameRisk=UnknownUntilSaveTest; ReviewStatus=NeedsSourceReview; ReviewReasons=NoVersionFound; UnknownUntilSaveTest</t>
  </si>
  <si>
    <t>Historical path=Data/Scripts/System/Obsolete/Obsolete.cs; backlog risk category=VersionHandling; write count=2; read count=2. POST-BATCH-J is triage only; no serialized layout edit is approved by this row.</t>
  </si>
  <si>
    <t>RB-01487</t>
  </si>
  <si>
    <t>P10-F01487</t>
  </si>
  <si>
    <t>PBW-0049</t>
  </si>
  <si>
    <t>Current source file exists at Data/Scripts/System/Obsolete/Obsolete.cs; prior POST-BATCH-J row=PBJ-1175; register evidence=Serialize:L8571; class=Server.Items.Election; kind=Controller; HasSerialConstructor=False; BaseCallStatus=MissingBaseSerialize; VersionHandling=NoVersionFound; FieldAlignment=CountMismatch:Writes=4;Reads=0; direct source review=Source-reviewed obsolete helper serializer: reader path L8550-L8567 loads faction/state/candidates; Serialize L8574-L8586 writes version, faction/state, candidate count and nested candidates.</t>
  </si>
  <si>
    <t>POST-BATCH-W disposition of historical POST-BATCH-J NeedsMigrationPlan row; previous review row PBJ-1175; review class HelperSerializerReviewedNoChange.</t>
  </si>
  <si>
    <t>RB-01488</t>
  </si>
  <si>
    <t>P10-F01488</t>
  </si>
  <si>
    <t>PBJ-1176</t>
  </si>
  <si>
    <t>Current source file exists at Data/Scripts/System/Obsolete/Obsolete.cs; match=ExactFileClass; serializer evidence=Serialize:L8571; class=Server.Items.Election; kind=Controller; HasSerialConstructor=False; BaseCallStatus=MissingBaseSerialize; VersionHandling=NoVersionFound; FieldAlignment=CountMismatch:Writes=4;Reads=0; MoveRenameRisk=UnknownUntilSaveTest; ReviewStatus=NeedsSourceReview; ReviewReasons=Serializer pair is missing one side.; Serial constructor not detected.; MissingBaseSerialize; NoVersionFound; CountMismatch:Writes=4;Reads=0; UnknownUntilSaveTest</t>
  </si>
  <si>
    <t>Historical path=Data/Scripts/System/Obsolete/Obsolete.cs; backlog risk category=MissingSerializerPair; write count=4; read count=0. POST-BATCH-J is triage only; no serialized layout edit is approved by this row.</t>
  </si>
  <si>
    <t>RB-01490</t>
  </si>
  <si>
    <t>P10-F01490</t>
  </si>
  <si>
    <t>PBW-0050</t>
  </si>
  <si>
    <t>Current source file exists at Data/Scripts/System/Obsolete/Obsolete.cs; prior POST-BATCH-J row=PBJ-1177; register evidence=Serialize:L8571; class=Server.Items.Election; kind=Controller; HasSerialConstructor=False; BaseCallStatus=MissingBaseSerialize; VersionHandling=NoVersionFound; FieldAlignment=CountMismatch:Writes=4;Reads=0; direct source review=Source-reviewed obsolete helper serializer: reader path L8550-L8567 loads faction/state/candidates; Serialize L8574-L8586 writes version, faction/state, candidate count and nested candidates.</t>
  </si>
  <si>
    <t>POST-BATCH-W disposition of historical POST-BATCH-J NeedsMigrationPlan row; previous review row PBJ-1177; review class HelperSerializerReviewedNoChange.</t>
  </si>
  <si>
    <t>RB-01492</t>
  </si>
  <si>
    <t>P10-F01492</t>
  </si>
  <si>
    <t>PBJ-1178</t>
  </si>
  <si>
    <t>Current source file exists at Data/Scripts/System/Obsolete/Obsolete.cs; match=ExactFileClass; serializer evidence=Serialize:L10082;Deserialize:L10059; class=Server.Items.Ethic; kind=Controller; HasSerialConstructor=False; BaseCallStatus=MissingBaseSerialize; VersionHandling=NoVersionFound; FieldAlignment=AlignedByCountAndKnownTypes; MoveRenameRisk=UnknownUntilSaveTest; ReviewStatus=NeedsSourceReview; ReviewReasons=Serial constructor not detected.; MissingBaseSerialize; NoVersionFound; UnknownUntilSaveTest</t>
  </si>
  <si>
    <t>Historical path=Data/Scripts/System/Obsolete/Obsolete.cs; backlog risk category=MissingSerialConstructor; write count=2; read count=2. POST-BATCH-J is triage only; no serialized layout edit is approved by this row.</t>
  </si>
  <si>
    <t>RB-01494</t>
  </si>
  <si>
    <t>P10-F01494</t>
  </si>
  <si>
    <t>PBJ-1179</t>
  </si>
  <si>
    <t>RB-01495</t>
  </si>
  <si>
    <t>P10-F01495</t>
  </si>
  <si>
    <t>PBW-0051</t>
  </si>
  <si>
    <t>Current source file exists at Data/Scripts/System/Obsolete/Obsolete.cs; prior POST-BATCH-J row=PBJ-1180; register evidence=Serialize:L12977; class=Server.Items.FactionItem; kind=Controller; HasSerialConstructor=False; BaseCallStatus=MissingBaseSerialize; VersionHandling=NoVersionFound; FieldAlignment=CountMismatch:Writes=3;Reads=0; direct source review=Source-reviewed obsolete helper serializer: GenericReader constructor L12963-L12977 reads version, item, expiration and faction context; Serialize L12980-L12985 writes version, item, expiration.</t>
  </si>
  <si>
    <t>POST-BATCH-W disposition of historical POST-BATCH-J NeedsMigrationPlan row; previous review row PBJ-1180; review class HelperSerializerReviewedNoChange.</t>
  </si>
  <si>
    <t>RB-01496</t>
  </si>
  <si>
    <t>P10-F01496</t>
  </si>
  <si>
    <t>PBJ-1181</t>
  </si>
  <si>
    <t>Current source file exists at Data/Scripts/System/Obsolete/Obsolete.cs; match=ExactFileClass; serializer evidence=Serialize:L12977; class=Server.Items.FactionItem; kind=Controller; HasSerialConstructor=False; BaseCallStatus=MissingBaseSerialize; VersionHandling=NoVersionFound; FieldAlignment=CountMismatch:Writes=3;Reads=0; MoveRenameRisk=UnknownUntilSaveTest; ReviewStatus=NeedsSourceReview; ReviewReasons=Serializer pair is missing one side.; Serial constructor not detected.; MissingBaseSerialize; NoVersionFound; CountMismatch:Writes=3;Reads=0; UnknownUntilSaveTest</t>
  </si>
  <si>
    <t>RB-01498</t>
  </si>
  <si>
    <t>P10-F01498</t>
  </si>
  <si>
    <t>PBW-0052</t>
  </si>
  <si>
    <t>Current source file exists at Data/Scripts/System/Obsolete/Obsolete.cs; prior POST-BATCH-J row=PBJ-1182; register evidence=Serialize:L12977; class=Server.Items.FactionItem; kind=Controller; HasSerialConstructor=False; BaseCallStatus=MissingBaseSerialize; VersionHandling=NoVersionFound; FieldAlignment=CountMismatch:Writes=3;Reads=0; direct source review=Source-reviewed obsolete helper serializer: GenericReader constructor L12963-L12977 reads version, item, expiration and faction context; Serialize L12980-L12985 writes version, item, expiration.</t>
  </si>
  <si>
    <t>POST-BATCH-W disposition of historical POST-BATCH-J NeedsMigrationPlan row; previous review row PBJ-1182; review class HelperSerializerReviewedNoChange.</t>
  </si>
  <si>
    <t>RB-01501</t>
  </si>
  <si>
    <t>P10-F01501</t>
  </si>
  <si>
    <t>PBW-0053</t>
  </si>
  <si>
    <t>Current source file exists at Data/Scripts/System/Obsolete/Obsolete.cs; prior POST-BATCH-J row=PBJ-1183; register evidence=Serialize:L14147; class=Server.Items.FactionState; kind=Controller; HasSerialConstructor=False; BaseCallStatus=MissingBaseSerialize; VersionHandling=NoVersionFound; FieldAlignment=CountMismatch:Writes=11;Reads=0; direct source review=Source-reviewed obsolete helper serializer: reader path L14129-L14147 handles versioned faction items/traps and old election fallback; Serialize starts L14150-L14175 with version, atrophy/broadcast/election/faction/commander/tithe/silver/member state.</t>
  </si>
  <si>
    <t>POST-BATCH-W disposition of historical POST-BATCH-J NeedsMigrationPlan row; previous review row PBJ-1183; review class HelperSerializerReviewedNoChange.</t>
  </si>
  <si>
    <t>RB-01502</t>
  </si>
  <si>
    <t>P10-F01502</t>
  </si>
  <si>
    <t>PBJ-1184</t>
  </si>
  <si>
    <t>Current source file exists at Data/Scripts/System/Obsolete/Obsolete.cs; match=ExactFileClass; serializer evidence=Serialize:L14147; class=Server.Items.FactionState; kind=Controller; HasSerialConstructor=False; BaseCallStatus=MissingBaseSerialize; VersionHandling=NoVersionFound; FieldAlignment=CountMismatch:Writes=11;Reads=0; MoveRenameRisk=UnknownUntilSaveTest; ReviewStatus=NeedsSourceReview; ReviewReasons=Serializer pair is missing one side.; Serial constructor not detected.; MissingBaseSerialize; NoVersionFound; CountMismatch:Writes=11;Reads=0; UnknownUntilSaveTest</t>
  </si>
  <si>
    <t>Historical path=Data/Scripts/System/Obsolete/Obsolete.cs; backlog risk category=MissingSerializerPair; write count=11; read count=0. POST-BATCH-J is triage only; no serialized layout edit is approved by this row.</t>
  </si>
  <si>
    <t>RB-01504</t>
  </si>
  <si>
    <t>P10-F01504</t>
  </si>
  <si>
    <t>PBW-0054</t>
  </si>
  <si>
    <t>Current source file exists at Data/Scripts/System/Obsolete/Obsolete.cs; prior POST-BATCH-J row=PBJ-1185; register evidence=Serialize:L14147; class=Server.Items.FactionState; kind=Controller; HasSerialConstructor=False; BaseCallStatus=MissingBaseSerialize; VersionHandling=NoVersionFound; FieldAlignment=CountMismatch:Writes=11;Reads=0; direct source review=Source-reviewed obsolete helper serializer: reader path L14129-L14147 handles versioned faction items/traps and old election fallback; Serialize starts L14150-L14175 with version, atrophy/broadcast/election/faction/commander/tithe/silver/member state.</t>
  </si>
  <si>
    <t>POST-BATCH-W disposition of historical POST-BATCH-J NeedsMigrationPlan row; previous review row PBJ-1185; review class HelperSerializerReviewedNoChange.</t>
  </si>
  <si>
    <t>RB-01506</t>
  </si>
  <si>
    <t>P10-F01506</t>
  </si>
  <si>
    <t>PBJ-1186</t>
  </si>
  <si>
    <t>Current source file exists at Data/Scripts/System/Obsolete/Obsolete.cs; match=ExactFileClass; serializer evidence=Serialize:L5802;Deserialize:L5809;SerialCtor:L5799; class=Server.Items.JadeStatueMaker; kind=Controller; HasSerialConstructor=True; BaseCallStatus=BaseCallsFirst; VersionHandling=NoVersionFound; FieldAlignment=AlignedByCountAndKnownTypes; MoveRenameRisk=UnknownUntilSaveTest; ReviewStatus=NeedsSourceReview; ReviewReasons=NoVersionFound; UnknownUntilSaveTest</t>
  </si>
  <si>
    <t>RB-01507</t>
  </si>
  <si>
    <t>P10-F01507</t>
  </si>
  <si>
    <t>PBW-0055</t>
  </si>
  <si>
    <t>Current source file exists at Data/Scripts/System/Obsolete/Obsolete.cs; prior POST-BATCH-J row=PBJ-1187; register evidence=Serialize:L21748;Deserialize:L21757;SerialCtor:L21745;VersionWrite:L21752; class=Server.Items.LesserPigmentsOfIslesDread; kind=Controller; HasSerialConstructor=True; BaseCallStatus=BaseCallsFirst; VersionHandling=WriteVersionOnly; FieldAlignment=CountMismatch:Writes=1;Reads=2; direct source review=Source-reviewed version-gated legacy item: Serial ctor L21748-L21749, base calls L21753/L21762, version write L21755, conditional version read L21764 preserves BasePigments insertion compatibility, type read L21768-L21769.</t>
  </si>
  <si>
    <t>POST-BATCH-W disposition of historical POST-BATCH-J NeedsMigrationPlan row; previous review row PBJ-1187; review class VersionGatedSerializerReviewedNoChange.</t>
  </si>
  <si>
    <t>RB-01509</t>
  </si>
  <si>
    <t>P10-F01509</t>
  </si>
  <si>
    <t>PBJ-1188</t>
  </si>
  <si>
    <t>Current source file exists at Data/Scripts/System/Obsolete/Obsolete.cs; match=ExactFileClass; serializer evidence=Serialize:L5778;Deserialize:L5785;SerialCtor:L5775; class=Server.Items.MarbleStatueMaker; kind=Controller; HasSerialConstructor=True; BaseCallStatus=BaseCallsFirst; VersionHandling=NoVersionFound; FieldAlignment=AlignedByCountAndKnownTypes; MoveRenameRisk=UnknownUntilSaveTest; ReviewStatus=NeedsSourceReview; ReviewReasons=NoVersionFound; UnknownUntilSaveTest</t>
  </si>
  <si>
    <t>RB-01510</t>
  </si>
  <si>
    <t>P10-F01510</t>
  </si>
  <si>
    <t>PBJ-1189</t>
  </si>
  <si>
    <t>Current source file exists at Data/Scripts/System/Obsolete/Obsolete.cs; match=ExactFileClass; serializer evidence=Serialize:L21796;Deserialize:L21803;SerialCtor:L21784;VersionWrite:L21800; class=Server.Items.MetalPigmentsOfIslesDread; kind=Controller; HasSerialConstructor=True; BaseCallStatus=BaseCallsFirst; VersionHandling=WriteVersionOnly; FieldAlignment=CountMismatch:Writes=0;Reads=1; MoveRenameRisk=UnknownUntilSaveTest; ReviewStatus=NeedsSourceReview; ReviewReasons=WriteVersionOnly; CountMismatch:Writes=0;Reads=1; UnknownUntilSaveTest</t>
  </si>
  <si>
    <t>RB-01512</t>
  </si>
  <si>
    <t>P10-F01512</t>
  </si>
  <si>
    <t>PBW-0056</t>
  </si>
  <si>
    <t>Current source file exists at Data/Scripts/System/Obsolete/Obsolete.cs; prior POST-BATCH-J row=PBJ-1190; register evidence=Serialize:L24175; class=Server.Items.Orders; kind=Controller; HasSerialConstructor=False; BaseCallStatus=MissingBaseSerialize; VersionHandling=NoVersionFound; FieldAlignment=CountMismatch:Writes=4;Reads=0; direct source review=Source-reviewed obsolete helper serializer: GenericReader constructor L24150-L24175 reads versioned follow/reactions/movement; Serialize L24178-L24189 writes matching version, follow, reactions, movement.</t>
  </si>
  <si>
    <t>POST-BATCH-W disposition of historical POST-BATCH-J NeedsMigrationPlan row; previous review row PBJ-1190; review class HelperSerializerReviewedNoChange.</t>
  </si>
  <si>
    <t>RB-01513</t>
  </si>
  <si>
    <t>P10-F01513</t>
  </si>
  <si>
    <t>PBJ-1191</t>
  </si>
  <si>
    <t>Current source file exists at Data/Scripts/System/Obsolete/Obsolete.cs; match=ExactFileClass; serializer evidence=Serialize:L24175; class=Server.Items.Orders; kind=Controller; HasSerialConstructor=False; BaseCallStatus=MissingBaseSerialize; VersionHandling=NoVersionFound; FieldAlignment=CountMismatch:Writes=4;Reads=0; MoveRenameRisk=UnknownUntilSaveTest; ReviewStatus=NeedsSourceReview; ReviewReasons=Serializer pair is missing one side.; Serial constructor not detected.; MissingBaseSerialize; NoVersionFound; CountMismatch:Writes=4;Reads=0; UnknownUntilSaveTest</t>
  </si>
  <si>
    <t>RB-01515</t>
  </si>
  <si>
    <t>P10-F01515</t>
  </si>
  <si>
    <t>PBW-0057</t>
  </si>
  <si>
    <t>Current source file exists at Data/Scripts/System/Obsolete/Obsolete.cs; prior POST-BATCH-J row=PBJ-1192; register evidence=Serialize:L24175; class=Server.Items.Orders; kind=Controller; HasSerialConstructor=False; BaseCallStatus=MissingBaseSerialize; VersionHandling=NoVersionFound; FieldAlignment=CountMismatch:Writes=4;Reads=0; direct source review=Source-reviewed obsolete helper serializer: GenericReader constructor L24150-L24175 reads versioned follow/reactions/movement; Serialize L24178-L24189 writes matching version, follow, reactions, movement.</t>
  </si>
  <si>
    <t>POST-BATCH-W disposition of historical POST-BATCH-J NeedsMigrationPlan row; previous review row PBJ-1192; review class HelperSerializerReviewedNoChange.</t>
  </si>
  <si>
    <t>RB-01517</t>
  </si>
  <si>
    <t>P10-F01517</t>
  </si>
  <si>
    <t>PBW-0058</t>
  </si>
  <si>
    <t>Current source file exists at Data/Scripts/System/Obsolete/Obsolete.cs; prior POST-BATCH-J row=PBJ-1193; register evidence=Serialize:L16588;Deserialize:L16597;SerialCtor:L16585;VersionWrite:L16592; class=Server.Items.PigmentsOfIslesDread; kind=Controller; HasSerialConstructor=True; BaseCallStatus=BaseCallsFirst; VersionHandling=WriteVersionOnly; FieldAlignment=CountMismatch:Writes=1;Reads=2; direct source review=Source-reviewed version-gated legacy item: Serial ctor L16588-L16589, base calls L16593/L16602, version write L16595, conditional version read L16604 preserves BasePigments insertion compatibility, type read L16608-L16609.</t>
  </si>
  <si>
    <t>POST-BATCH-W disposition of historical POST-BATCH-J NeedsMigrationPlan row; previous review row PBJ-1193; review class VersionGatedSerializerReviewedNoChange.</t>
  </si>
  <si>
    <t>RB-01519</t>
  </si>
  <si>
    <t>P10-F01519</t>
  </si>
  <si>
    <t>PBW-0059</t>
  </si>
  <si>
    <t>Current source file exists at Data/Scripts/System/Obsolete/Obsolete.cs; prior POST-BATCH-J row=PBJ-1194; register evidence=Serialize:L24586; class=Server.Items.Player; kind=Controller; HasSerialConstructor=False; BaseCallStatus=MissingBaseSerialize; VersionHandling=NoVersionFound; FieldAlignment=CountMismatch:Writes=7;Reads=0; direct source review=Source-reviewed obsolete helper serializer: reader path L24570-L24586 reads version/mobile/power/history/steed/familiar/shield; Serialize L24589-L24601 writes matching fields.</t>
  </si>
  <si>
    <t>POST-BATCH-W disposition of historical POST-BATCH-J NeedsMigrationPlan row; previous review row PBJ-1194; review class HelperSerializerReviewedNoChange.</t>
  </si>
  <si>
    <t>RB-01520</t>
  </si>
  <si>
    <t>P10-F01520</t>
  </si>
  <si>
    <t>PBJ-1195</t>
  </si>
  <si>
    <t>Current source file exists at Data/Scripts/System/Obsolete/Obsolete.cs; match=ExactFileClass; serializer evidence=Serialize:L24586; class=Server.Items.Player; kind=Controller; HasSerialConstructor=False; BaseCallStatus=MissingBaseSerialize; VersionHandling=NoVersionFound; FieldAlignment=CountMismatch:Writes=7;Reads=0; MoveRenameRisk=UnknownUntilSaveTest; ReviewStatus=NeedsSourceReview; ReviewReasons=Serializer pair is missing one side.; Serial constructor not detected.; MissingBaseSerialize; NoVersionFound; CountMismatch:Writes=7;Reads=0; UnknownUntilSaveTest</t>
  </si>
  <si>
    <t>Historical path=Data/Scripts/System/Obsolete/Obsolete.cs; backlog risk category=MissingSerializerPair; write count=7; read count=0. POST-BATCH-J is triage only; no serialized layout edit is approved by this row.</t>
  </si>
  <si>
    <t>RB-01522</t>
  </si>
  <si>
    <t>P10-F01522</t>
  </si>
  <si>
    <t>PBW-0060</t>
  </si>
  <si>
    <t>Current source file exists at Data/Scripts/System/Obsolete/Obsolete.cs; prior POST-BATCH-J row=PBJ-1196; register evidence=Serialize:L24586; class=Server.Items.Player; kind=Controller; HasSerialConstructor=False; BaseCallStatus=MissingBaseSerialize; VersionHandling=NoVersionFound; FieldAlignment=CountMismatch:Writes=7;Reads=0; direct source review=Source-reviewed obsolete helper serializer: reader path L24570-L24586 reads version/mobile/power/history/steed/familiar/shield; Serialize L24589-L24601 writes matching fields.</t>
  </si>
  <si>
    <t>POST-BATCH-W disposition of historical POST-BATCH-J NeedsMigrationPlan row; previous review row PBJ-1196; review class HelperSerializerReviewedNoChange.</t>
  </si>
  <si>
    <t>RB-01524</t>
  </si>
  <si>
    <t>P10-F01524</t>
  </si>
  <si>
    <t>PBW-0061</t>
  </si>
  <si>
    <t>Current source file exists at Data/Scripts/System/Obsolete/Obsolete.cs; prior POST-BATCH-J row=PBJ-1197; register evidence=Serialize:L24908; class=Server.Items.PlayerState; kind=Controller; HasSerialConstructor=False; BaseCallStatus=MissingBaseSerialize; VersionHandling=NoVersionFound; FieldAlignment=CountMismatch:Writes=7;Reads=0; direct source review=Source-reviewed obsolete helper serializer: reader path L24890-L24908 handles active/honor and player state fields; Serialize L24911-L24923 writes matching versioned state.</t>
  </si>
  <si>
    <t>POST-BATCH-W disposition of historical POST-BATCH-J NeedsMigrationPlan row; previous review row PBJ-1197; review class HelperSerializerReviewedNoChange.</t>
  </si>
  <si>
    <t>RB-01525</t>
  </si>
  <si>
    <t>P10-F01525</t>
  </si>
  <si>
    <t>PBJ-1198</t>
  </si>
  <si>
    <t>Current source file exists at Data/Scripts/System/Obsolete/Obsolete.cs; match=ExactFileClass; serializer evidence=Serialize:L24908; class=Server.Items.PlayerState; kind=Controller; HasSerialConstructor=False; BaseCallStatus=MissingBaseSerialize; VersionHandling=NoVersionFound; FieldAlignment=CountMismatch:Writes=7;Reads=0; MoveRenameRisk=UnknownUntilSaveTest; ReviewStatus=NeedsSourceReview; ReviewReasons=Serializer pair is missing one side.; Serial constructor not detected.; MissingBaseSerialize; NoVersionFound; CountMismatch:Writes=7;Reads=0; UnknownUntilSaveTest</t>
  </si>
  <si>
    <t>RB-01527</t>
  </si>
  <si>
    <t>P10-F01527</t>
  </si>
  <si>
    <t>PBW-0062</t>
  </si>
  <si>
    <t>Current source file exists at Data/Scripts/System/Obsolete/Obsolete.cs; prior POST-BATCH-J row=PBJ-1199; register evidence=Serialize:L24908; class=Server.Items.PlayerState; kind=Controller; HasSerialConstructor=False; BaseCallStatus=MissingBaseSerialize; VersionHandling=NoVersionFound; FieldAlignment=CountMismatch:Writes=7;Reads=0; direct source review=Source-reviewed obsolete helper serializer: reader path L24890-L24908 handles active/honor and player state fields; Serialize L24911-L24923 writes matching versioned state.</t>
  </si>
  <si>
    <t>POST-BATCH-W disposition of historical POST-BATCH-J NeedsMigrationPlan row; previous review row PBJ-1199; review class HelperSerializerReviewedNoChange.</t>
  </si>
  <si>
    <t>RB-01529</t>
  </si>
  <si>
    <t>P10-F01529</t>
  </si>
  <si>
    <t>PBW-0063</t>
  </si>
  <si>
    <t>Current source file exists at Data/Scripts/System/Obsolete/Obsolete.cs; prior POST-BATCH-J row=PBJ-1200; register evidence=Serialize:L24077; class=Server.Items.Reaction; kind=Controller; HasSerialConstructor=False; BaseCallStatus=MissingBaseSerialize; VersionHandling=NoVersionFound; FieldAlignment=CountMismatch:Writes=2;Reads=0; direct source review=Source-reviewed obsolete helper serializer: GenericReader constructor L24064-L24077 reads version/faction/type; Serialize L24080-L24085 writes matching version/faction/type.</t>
  </si>
  <si>
    <t>POST-BATCH-W disposition of historical POST-BATCH-J NeedsMigrationPlan row; previous review row PBJ-1200; review class HelperSerializerReviewedNoChange.</t>
  </si>
  <si>
    <t>RB-01530</t>
  </si>
  <si>
    <t>P10-F01530</t>
  </si>
  <si>
    <t>PBJ-1201</t>
  </si>
  <si>
    <t>Current source file exists at Data/Scripts/System/Obsolete/Obsolete.cs; match=ExactFileClass; serializer evidence=Serialize:L24077; class=Server.Items.Reaction; kind=Controller; HasSerialConstructor=False; BaseCallStatus=MissingBaseSerialize; VersionHandling=NoVersionFound; FieldAlignment=CountMismatch:Writes=2;Reads=0; MoveRenameRisk=UnknownUntilSaveTest; ReviewStatus=NeedsSourceReview; ReviewReasons=Serializer pair is missing one side.; Serial constructor not detected.; MissingBaseSerialize; NoVersionFound; CountMismatch:Writes=2;Reads=0; UnknownUntilSaveTest</t>
  </si>
  <si>
    <t>Historical path=Data/Scripts/System/Obsolete/Obsolete.cs; backlog risk category=MissingSerializerPair; write count=2; read count=0. POST-BATCH-J is triage only; no serialized layout edit is approved by this row.</t>
  </si>
  <si>
    <t>RB-01532</t>
  </si>
  <si>
    <t>P10-F01532</t>
  </si>
  <si>
    <t>PBW-0064</t>
  </si>
  <si>
    <t>Current source file exists at Data/Scripts/System/Obsolete/Obsolete.cs; prior POST-BATCH-J row=PBJ-1202; register evidence=Serialize:L24077; class=Server.Items.Reaction; kind=Controller; HasSerialConstructor=False; BaseCallStatus=MissingBaseSerialize; VersionHandling=NoVersionFound; FieldAlignment=CountMismatch:Writes=2;Reads=0; direct source review=Source-reviewed obsolete helper serializer: GenericReader constructor L24064-L24077 reads version/faction/type; Serialize L24080-L24085 writes matching version/faction/type.</t>
  </si>
  <si>
    <t>POST-BATCH-W disposition of historical POST-BATCH-J NeedsMigrationPlan row; previous review row PBJ-1202; review class HelperSerializerReviewedNoChange.</t>
  </si>
  <si>
    <t>RB-01534</t>
  </si>
  <si>
    <t>P10-F01534</t>
  </si>
  <si>
    <t>PBW-0065</t>
  </si>
  <si>
    <t>Current source file exists at Data/Scripts/System/Obsolete/Obsolete.cs; prior POST-BATCH-J row=PBJ-1203; register evidence=Deserialize:L27359; class=Server.Items.Reflector; kind=Controller; HasSerialConstructor=False; BaseCallStatus=MissingBaseDeserialize; VersionHandling=NoVersionFound; FieldAlignment=CountMismatch:Writes=0;Reads=2; direct source review=Source-reviewed static helper serializer: static Serialize(Type) L27352-L27363 writes type table index/name; static Deserialize L27365-L27383 reads matching index/name table.</t>
  </si>
  <si>
    <t>POST-BATCH-W disposition of historical POST-BATCH-J NeedsMigrationPlan row; previous review row PBJ-1203; review class HelperSerializerReviewedNoChange.</t>
  </si>
  <si>
    <t>RB-01535</t>
  </si>
  <si>
    <t>P10-F01535</t>
  </si>
  <si>
    <t>PBJ-1204</t>
  </si>
  <si>
    <t>Current source file exists at Data/Scripts/System/Obsolete/Obsolete.cs; match=ExactFileClass; serializer evidence=Deserialize:L27359; class=Server.Items.Reflector; kind=Controller; HasSerialConstructor=False; BaseCallStatus=MissingBaseDeserialize; VersionHandling=NoVersionFound; FieldAlignment=CountMismatch:Writes=0;Reads=2; MoveRenameRisk=UnknownUntilSaveTest; ReviewStatus=NeedsSourceReview; ReviewReasons=Serializer pair is missing one side.; Serial constructor not detected.; MissingBaseDeserialize; NoVersionFound; CountMismatch:Writes=0;Reads=2; UnknownUntilSaveTest</t>
  </si>
  <si>
    <t>Historical path=Data/Scripts/System/Obsolete/Obsolete.cs; backlog risk category=MissingSerializerPair; write count=0; read count=2. POST-BATCH-J is triage only; no serialized layout edit is approved by this row.</t>
  </si>
  <si>
    <t>RB-01537</t>
  </si>
  <si>
    <t>P10-F01537</t>
  </si>
  <si>
    <t>PBW-0066</t>
  </si>
  <si>
    <t>Current source file exists at Data/Scripts/System/Obsolete/Obsolete.cs; prior POST-BATCH-J row=PBJ-1205; register evidence=Deserialize:L27359; class=Server.Items.Reflector; kind=Controller; HasSerialConstructor=False; BaseCallStatus=MissingBaseDeserialize; VersionHandling=NoVersionFound; FieldAlignment=CountMismatch:Writes=0;Reads=2; direct source review=Source-reviewed static helper serializer: static Serialize(Type) L27352-L27363 writes type table index/name; static Deserialize L27365-L27383 reads matching index/name table.</t>
  </si>
  <si>
    <t>POST-BATCH-W disposition of historical POST-BATCH-J NeedsMigrationPlan row; previous review row PBJ-1205; review class HelperSerializerReviewedNoChange.</t>
  </si>
  <si>
    <t>RB-01539</t>
  </si>
  <si>
    <t>P10-F01539</t>
  </si>
  <si>
    <t>PBJ-1206</t>
  </si>
  <si>
    <t>Current source file exists at Data/Scripts/System/Obsolete/Obsolete.cs; match=ExactFileClass; serializer evidence=Serialize:L38068;Deserialize:L38074;SerialCtor:L38065;VersionWrite:L38071;VersionRead:L38077; class=Server.Items.SalesBook; kind=Controller; HasSerialConstructor=True; BaseCallStatus=BaseCallsFirst; VersionHandling=SuspiciousOrder; FieldAlignment=AlignedByCountAndKnownTypes; MoveRenameRisk=UnknownUntilSaveTest; ReviewStatus=NeedsSourceReview; ReviewReasons=SuspiciousOrder; UnknownUntilSaveTest</t>
  </si>
  <si>
    <t>RB-01540</t>
  </si>
  <si>
    <t>P10-F01540</t>
  </si>
  <si>
    <t>PBJ-1207</t>
  </si>
  <si>
    <t>Current source file exists at Data/Scripts/System/Obsolete/Obsolete.cs; match=ExactFileClass; serializer evidence=Serialize:L1029;Deserialize:L1035;SerialCtor:L1026; class=Server.Items.SavageBook; kind=Controller; HasSerialConstructor=True; BaseCallStatus=BaseCallsFirst; VersionHandling=NoVersionFound; FieldAlignment=AlignedByCountAndKnownTypes; MoveRenameRisk=UnknownUntilSaveTest; ReviewStatus=NeedsSourceReview; ReviewReasons=NoVersionFound; UnknownUntilSaveTest</t>
  </si>
  <si>
    <t>RB-01541</t>
  </si>
  <si>
    <t>P10-F01541</t>
  </si>
  <si>
    <t>PBW-0067</t>
  </si>
  <si>
    <t>Current source file exists at Data/Scripts/System/Obsolete/Obsolete.cs; prior POST-BATCH-J row=PBJ-1208; register evidence=Serialize:L32710; class=Server.Items.TownState; kind=Controller; HasSerialConstructor=False; BaseCallStatus=MissingBaseSerialize; VersionHandling=NoVersionFound; FieldAlignment=CountMismatch:Writes=7;Reads=0; direct source review=Source-reviewed obsolete helper serializer: reader path L32690-L32713 handles tax/silver/town/owner/sheriff/finance and assigns town state; Serialize L32716-L32731 writes matching versioned state.</t>
  </si>
  <si>
    <t>POST-BATCH-W disposition of historical POST-BATCH-J NeedsMigrationPlan row; previous review row PBJ-1208; review class HelperSerializerReviewedNoChange.</t>
  </si>
  <si>
    <t>RB-01542</t>
  </si>
  <si>
    <t>P10-F01542</t>
  </si>
  <si>
    <t>PBJ-1209</t>
  </si>
  <si>
    <t>Current source file exists at Data/Scripts/System/Obsolete/Obsolete.cs; match=ExactFileClass; serializer evidence=Serialize:L32710; class=Server.Items.TownState; kind=Controller; HasSerialConstructor=False; BaseCallStatus=MissingBaseSerialize; VersionHandling=NoVersionFound; FieldAlignment=CountMismatch:Writes=7;Reads=0; MoveRenameRisk=UnknownUntilSaveTest; ReviewStatus=NeedsSourceReview; ReviewReasons=Serializer pair is missing one side.; Serial constructor not detected.; MissingBaseSerialize; NoVersionFound; CountMismatch:Writes=7;Reads=0; UnknownUntilSaveTest</t>
  </si>
  <si>
    <t>RB-01544</t>
  </si>
  <si>
    <t>P10-F01544</t>
  </si>
  <si>
    <t>PBW-0068</t>
  </si>
  <si>
    <t>Current source file exists at Data/Scripts/System/Obsolete/Obsolete.cs; prior POST-BATCH-J row=PBJ-1210; register evidence=Serialize:L32710; class=Server.Items.TownState; kind=Controller; HasSerialConstructor=False; BaseCallStatus=MissingBaseSerialize; VersionHandling=NoVersionFound; FieldAlignment=CountMismatch:Writes=7;Reads=0; direct source review=Source-reviewed obsolete helper serializer: reader path L32690-L32713 handles tax/silver/town/owner/sheriff/finance and assigns town state; Serialize L32716-L32731 writes matching versioned state.</t>
  </si>
  <si>
    <t>POST-BATCH-W disposition of historical POST-BATCH-J NeedsMigrationPlan row; previous review row PBJ-1210; review class HelperSerializerReviewedNoChange.</t>
  </si>
  <si>
    <t>RB-01546</t>
  </si>
  <si>
    <t>P10-F01546</t>
  </si>
  <si>
    <t>PBW-0069</t>
  </si>
  <si>
    <t>Current source file exists at Data/Scripts/System/Obsolete/Obsolete.cs; prior POST-BATCH-J row=PBJ-1211; register evidence=Serialize:L8922; class=Server.Items.Voter; kind=Controller; HasSerialConstructor=False; BaseCallStatus=MissingBaseSerialize; VersionHandling=NoVersionFound; FieldAlignment=CountMismatch:Writes=4;Reads=0; direct source review=Source-reviewed obsolete helper serializer: GenericReader constructor L8906-L8922 reads version/mobile/IP/time; Serialize L8925-L8931 writes matching version/mobile/IP/time.</t>
  </si>
  <si>
    <t>POST-BATCH-W disposition of historical POST-BATCH-J NeedsMigrationPlan row; previous review row PBJ-1211; review class HelperSerializerReviewedNoChange.</t>
  </si>
  <si>
    <t>RB-01547</t>
  </si>
  <si>
    <t>P10-F01547</t>
  </si>
  <si>
    <t>PBJ-1212</t>
  </si>
  <si>
    <t>Current source file exists at Data/Scripts/System/Obsolete/Obsolete.cs; match=ExactFileClass; serializer evidence=Serialize:L8922; class=Server.Items.Voter; kind=Controller; HasSerialConstructor=False; BaseCallStatus=MissingBaseSerialize; VersionHandling=NoVersionFound; FieldAlignment=CountMismatch:Writes=4;Reads=0; MoveRenameRisk=UnknownUntilSaveTest; ReviewStatus=NeedsSourceReview; ReviewReasons=Serializer pair is missing one side.; Serial constructor not detected.; MissingBaseSerialize; NoVersionFound; CountMismatch:Writes=4;Reads=0; UnknownUntilSaveTest</t>
  </si>
  <si>
    <t>RB-01549</t>
  </si>
  <si>
    <t>P10-F01549</t>
  </si>
  <si>
    <t>PBW-0070</t>
  </si>
  <si>
    <t>Current source file exists at Data/Scripts/System/Obsolete/Obsolete.cs; prior POST-BATCH-J row=PBJ-1213; register evidence=Serialize:L8922; class=Server.Items.Voter; kind=Controller; HasSerialConstructor=False; BaseCallStatus=MissingBaseSerialize; VersionHandling=NoVersionFound; FieldAlignment=CountMismatch:Writes=4;Reads=0; direct source review=Source-reviewed obsolete helper serializer: GenericReader constructor L8906-L8922 reads version/mobile/IP/time; Serialize L8925-L8931 writes matching version/mobile/IP/time.</t>
  </si>
  <si>
    <t>POST-BATCH-W disposition of historical POST-BATCH-J NeedsMigrationPlan row; previous review row PBJ-1213; review class HelperSerializerReviewedNoChange.</t>
  </si>
  <si>
    <t>RB-01551</t>
  </si>
  <si>
    <t>P10-F01551</t>
  </si>
  <si>
    <t>PBJ-1214</t>
  </si>
  <si>
    <t>Current source file exists at Data/Scripts/System/Obsolete/Obsolete.cs; match=ExactFileClass; serializer evidence=Serialize:L1109;Deserialize:L1115;SerialCtor:L1106; class=Server.Items.WelcomeBookElf; kind=Controller; HasSerialConstructor=True; BaseCallStatus=BaseCallsFirst; VersionHandling=NoVersionFound; FieldAlignment=AlignedByCountAndKnownTypes; MoveRenameRisk=UnknownUntilSaveTest; ReviewStatus=NeedsSourceReview; ReviewReasons=NoVersionFound; UnknownUntilSaveTest</t>
  </si>
  <si>
    <t>RB-01552</t>
  </si>
  <si>
    <t>P10-F01552</t>
  </si>
  <si>
    <t>PBJ-1215</t>
  </si>
  <si>
    <t>Current source file exists at Data/Scripts/System/Obsolete/Obsolete.cs; match=ExactFileClass; serializer evidence=Serialize:L1069;Deserialize:L1075;SerialCtor:L1066; class=Server.Items.WelcomeBookWanted; kind=Controller; HasSerialConstructor=True; BaseCallStatus=BaseCallsFirst; VersionHandling=NoVersionFound; FieldAlignment=AlignedByCountAndKnownTypes; MoveRenameRisk=UnknownUntilSaveTest; ReviewStatus=NeedsSourceReview; ReviewReasons=NoVersionFound; UnknownUntilSaveTest</t>
  </si>
  <si>
    <t>RB-01553</t>
  </si>
  <si>
    <t>P10-F01553</t>
  </si>
  <si>
    <t>PBW-0071</t>
  </si>
  <si>
    <t>Current source file exists at Data/Scripts/System/Regions/Spawning/SpawnEntry.cs; prior POST-BATCH-J row=PBJ-1216; register evidence=Serialize:L277; class=Server.Regions.SpawnEntry; kind=Spawner; HasSerialConstructor=False; BaseCallStatus=MissingBaseSerialize; VersionHandling=NoVersionFound; FieldAlignment=CountMismatch:Writes=6;Reads=0; direct source review=Source-reviewed helper serializer: Serialize L277-L300 writes spawned count, serials, running flag and timer; Deserialize(GenericReader,int) L303-L335 reads matching fields and restarts timer; no Serial constructor/base calls required.</t>
  </si>
  <si>
    <t>POST-BATCH-W disposition of historical POST-BATCH-J NeedsMigrationPlan row; previous review row PBJ-1216; review class HelperSerializerReviewedNoChange.</t>
  </si>
  <si>
    <t>RB-01554</t>
  </si>
  <si>
    <t>P10-F01554</t>
  </si>
  <si>
    <t>PBW-0072</t>
  </si>
  <si>
    <t>Current source file exists at Data/Scripts/System/Regions/Spawning/SpawnEntry.cs; prior POST-BATCH-J row=PBJ-1217; register evidence=Serialize:L277; class=Server.Regions.SpawnEntry; kind=Spawner; HasSerialConstructor=False; BaseCallStatus=MissingBaseSerialize; VersionHandling=NoVersionFound; FieldAlignment=CountMismatch:Writes=6;Reads=0; direct source review=Source-reviewed helper serializer: Serialize L277-L300 writes spawned count, serials, running flag and timer; Deserialize(GenericReader,int) L303-L335 reads matching fields and restarts timer; no Serial constructor/base calls required.</t>
  </si>
  <si>
    <t>POST-BATCH-W disposition of historical POST-BATCH-J NeedsMigrationPlan row; previous review row PBJ-1217; review class HelperSerializerReviewedNoChange.</t>
  </si>
  <si>
    <t>RB-01556</t>
  </si>
  <si>
    <t>P10-F01556</t>
  </si>
  <si>
    <t>PBW-0073</t>
  </si>
  <si>
    <t>Current source file exists at Data/Scripts/System/Regions/Spawning/SpawnEntry.cs; prior POST-BATCH-J row=PBJ-1218; register evidence=Serialize:L277; class=Server.Regions.SpawnEntry; kind=Spawner; HasSerialConstructor=False; BaseCallStatus=MissingBaseSerialize; VersionHandling=NoVersionFound; FieldAlignment=CountMismatch:Writes=6;Reads=0; direct source review=Source-reviewed helper serializer: Serialize L277-L300 writes spawned count, serials, running flag and timer; Deserialize(GenericReader,int) L303-L335 reads matching fields and restarts timer; no Serial constructor/base calls required.</t>
  </si>
  <si>
    <t>POST-BATCH-W disposition of historical POST-BATCH-J NeedsMigrationPlan row; previous review row PBJ-1218; review class HelperSerializerReviewedNoChange.</t>
  </si>
  <si>
    <t>RB-01558</t>
  </si>
  <si>
    <t>P10-F01558</t>
  </si>
  <si>
    <t>Data/Scripts/System/Regions/Spawning/SpawnPersistence.cs</t>
  </si>
  <si>
    <t>PBJ-1219</t>
  </si>
  <si>
    <t>Current source file exists at Data/Scripts/System/Regions/Spawning/SpawnPersistence.cs; match=ExactFileClass; serializer evidence=Serialize:L39;Deserialize:L54;SerialCtor:L33; class=Server.Regions.SpawnPersistence; kind=Spawner; HasSerialConstructor=True; BaseCallStatus=BaseCallsFirst; VersionHandling=NoVersionFound; FieldAlignment=AlignedByCountAndKnownTypes; MoveRenameRisk=UnknownUntilSaveTest; ReviewStatus=NeedsSourceReview; ReviewReasons=NoVersionFound; UnknownUntilSaveTest</t>
  </si>
  <si>
    <t>Historical path=Data/Scripts/System/Regions/Spawning/SpawnPersistence.cs; backlog risk category=VersionHandling; write count=3; read count=3. POST-BATCH-J is triage only; no serialized layout edit is approved by this row.</t>
  </si>
  <si>
    <t>RB-01559</t>
  </si>
  <si>
    <t>P10-F01559</t>
  </si>
  <si>
    <t>PBJ-1220</t>
  </si>
  <si>
    <t>Current source file exists at Data/Scripts/Trades/Bulk Orders/Books/BOBFilter.cs; match=ExactFileClass; serializer evidence=Serialize:L69; class=Server.Engines.BulkOrders.BOBFilter; kind=Other; HasSerialConstructor=False; BaseCallStatus=MissingBaseSerialize; VersionHandling=NoVersionFound; FieldAlignment=CountMismatch:Writes=6;Reads=0; MoveRenameRisk=NamespaceOrTypeRenameDanger; ReviewStatus=NeedsSourceReview; ReviewReasons=Serializer pair is missing one side.; Serial constructor not detected.; MissingBaseSerialize; NoVersionFound; CountMismatch:Writes=6;Reads=0</t>
  </si>
  <si>
    <t>Historical path=Data/Scripts/Trades/Bulk Orders/Books/BOBFilter.cs; backlog risk category=MissingSerialConstructor; write count=6; read count=0. POST-BATCH-J is triage only; no serialized layout edit is approved by this row.</t>
  </si>
  <si>
    <t>RB-01560</t>
  </si>
  <si>
    <t>P10-F01560</t>
  </si>
  <si>
    <t>PBJ-1221</t>
  </si>
  <si>
    <t>Historical path=Data/Scripts/Trades/Bulk Orders/Books/BOBFilter.cs; backlog risk category=MissingSerializerPair; write count=6; read count=0. POST-BATCH-J is triage only; no serialized layout edit is approved by this row.</t>
  </si>
  <si>
    <t>RB-01562</t>
  </si>
  <si>
    <t>P10-F01562</t>
  </si>
  <si>
    <t>PBU-0072</t>
  </si>
  <si>
    <t>POST-BATCH-N lane=POST-BATCH-N-SAVE-MIGRATION-PLAN; FileProofStatus=CurrentPathConfirmed; Class=Server.Engines.BulkOrders.BOBFilter; Serialize=L69; Reader=GenericReaderConstructor:L51; RegisterBase=MissingBaseSerialize; RegisterVersion=NoVersionFound; RegisterAlignment=CountMismatch:Writes=6;Reads=0; Writes=6; Reads=5; WriteEvidence=L73:WriteEncodedInt(0); // version) | L77:WriteEncodedInt(1); // version) | L79:WriteEncodedInt(m_Type)) | L80:WriteEncodedInt(m_Quality)) | L81:WriteEncodedInt(m_Material)) | L82:WriteEncodedInt(m_Quantity)); ReadEvidence=L53:ReadEncodedInt | L59:ReadEncodedInt | L60:ReadEncodedInt | L61:ReadEncodedInt | L62:ReadEncodedInt; POST-BATCH-U direct source review=HelperSerializerReviewedNoChange</t>
  </si>
  <si>
    <t>RB-01564</t>
  </si>
  <si>
    <t>P10-F01564</t>
  </si>
  <si>
    <t>PBJ-1223</t>
  </si>
  <si>
    <t>Current source file exists at Data/Scripts/Trades/Bulk Orders/Books/BOBLargeEntry.cs; match=ExactFileClass; serializer evidence=Serialize:L129; class=Server.Engines.BulkOrders.BOBLargeEntry; kind=Other; HasSerialConstructor=False; BaseCallStatus=MissingBaseSerialize; VersionHandling=NoVersionFound; FieldAlignment=CountMismatch:Writes=7;Reads=0; MoveRenameRisk=NamespaceOrTypeRenameDanger; ReviewStatus=NeedsSourceReview; ReviewReasons=Serializer pair is missing one side.; Serial constructor not detected.; MissingBaseSerialize; NoVersionFound; CountMismatch:Writes=7;Reads=0</t>
  </si>
  <si>
    <t>Historical path=Data/Scripts/Trades/Bulk Orders/Books/BOBLargeEntry.cs; backlog risk category=MissingSerialConstructor; write count=7; read count=0. POST-BATCH-J is triage only; no serialized layout edit is approved by this row.</t>
  </si>
  <si>
    <t>RB-01565</t>
  </si>
  <si>
    <t>P10-F01565</t>
  </si>
  <si>
    <t>PBJ-1224</t>
  </si>
  <si>
    <t>Historical path=Data/Scripts/Trades/Bulk Orders/Books/BOBLargeEntry.cs; backlog risk category=MissingSerializerPair; write count=7; read count=0. POST-BATCH-J is triage only; no serialized layout edit is approved by this row.</t>
  </si>
  <si>
    <t>RB-01567</t>
  </si>
  <si>
    <t>P10-F01567</t>
  </si>
  <si>
    <t>PBU-0073</t>
  </si>
  <si>
    <t>POST-BATCH-N lane=POST-BATCH-N-SAVE-MIGRATION-PLAN; FileProofStatus=CurrentPathConfirmed; Class=Server.Engines.BulkOrders.BOBLargeEntry; Serialize=L129; Reader=GenericReaderConstructor:L103; RegisterBase=MissingBaseSerialize; RegisterVersion=NoVersionFound; RegisterAlignment=CountMismatch:Writes=7;Reads=0; Writes=7; Reads=7; WriteEvidence=L131:WriteEncodedInt(0); // version) | L133:Write((bool)m_RequireExceptional)) | L135:WriteEncodedInt((int)m_DeedType)) | L136:WriteEncodedInt((int)m_Material)) | L137:WriteEncodedInt((int)m_AmountMax)) | L138:WriteEncodedInt((int)m_Price)) | L140:WriteEncodedInt((int)m_Entries.Length)); ReadEvidence=L105:ReadEncodedInt | L111:ReadBool | L113:ReadEncodedInt | L115:ReadEncodedInt | L116:ReadEncodedInt | L117:ReadEncodedInt | L119:ReadEncodedInt; POST-BATCH-U direct source review=HelperSerializerReviewedNoChange</t>
  </si>
  <si>
    <t>RB-01569</t>
  </si>
  <si>
    <t>P10-F01569</t>
  </si>
  <si>
    <t>PBJ-1226</t>
  </si>
  <si>
    <t>Current source file exists at Data/Scripts/Trades/Bulk Orders/Books/BOBLargeSubEntry.cs; match=ExactFileClass; serializer evidence=Serialize:L59; class=Server.Engines.BulkOrders.BOBLargeSubEntry; kind=Other; HasSerialConstructor=False; BaseCallStatus=MissingBaseSerialize; VersionHandling=NoVersionFound; FieldAlignment=CountMismatch:Writes=5;Reads=0; MoveRenameRisk=NamespaceOrTypeRenameDanger; ReviewStatus=NeedsSourceReview; ReviewReasons=Serializer pair is missing one side.; Serial constructor not detected.; MissingBaseSerialize; NoVersionFound; CountMismatch:Writes=5;Reads=0</t>
  </si>
  <si>
    <t>Historical path=Data/Scripts/Trades/Bulk Orders/Books/BOBLargeSubEntry.cs; backlog risk category=MissingSerialConstructor; write count=5; read count=0. POST-BATCH-J is triage only; no serialized layout edit is approved by this row.</t>
  </si>
  <si>
    <t>RB-01570</t>
  </si>
  <si>
    <t>P10-F01570</t>
  </si>
  <si>
    <t>PBJ-1227</t>
  </si>
  <si>
    <t>Historical path=Data/Scripts/Trades/Bulk Orders/Books/BOBLargeSubEntry.cs; backlog risk category=MissingSerializerPair; write count=5; read count=0. POST-BATCH-J is triage only; no serialized layout edit is approved by this row.</t>
  </si>
  <si>
    <t>RB-01572</t>
  </si>
  <si>
    <t>P10-F01572</t>
  </si>
  <si>
    <t>PBU-0074</t>
  </si>
  <si>
    <t>POST-BATCH-N lane=POST-BATCH-N-SAVE-MIGRATION-PLAN; FileProofStatus=CurrentPathConfirmed; Class=Server.Engines.BulkOrders.BOBLargeSubEntry; Serialize=L59; Reader=GenericReaderConstructor:L37; RegisterBase=MissingBaseSerialize; RegisterVersion=NoVersionFound; RegisterAlignment=CountMismatch:Writes=5;Reads=0; Writes=5; Reads=5; WriteEvidence=L61:WriteEncodedInt(0); // version) | L63:Write(m_ItemType == null ? null : m_ItemType.FullName)) | L65:WriteEncodedInt((int)m_AmountCur)) | L66:WriteEncodedInt((int)m_Number)) | L67:WriteEncodedInt((int)m_Graphic)); ReadEvidence=L39:ReadEncodedInt | L45:ReadString | L50:ReadEncodedInt | L51:ReadEncodedInt | L52:ReadEncodedInt; POST-BATCH-U direct source review=HelperSerializerReviewedNoChange</t>
  </si>
  <si>
    <t>RB-01574</t>
  </si>
  <si>
    <t>P10-F01574</t>
  </si>
  <si>
    <t>PBJ-1229</t>
  </si>
  <si>
    <t>Current source file exists at Data/Scripts/Trades/Bulk Orders/Books/BOBSmallEntry.cs; match=ExactFileClass; serializer evidence=Serialize:L129; class=Server.Engines.BulkOrders.BOBSmallEntry; kind=Other; HasSerialConstructor=False; BaseCallStatus=MissingBaseSerialize; VersionHandling=NoVersionFound; FieldAlignment=CountMismatch:Writes=10;Reads=0; MoveRenameRisk=NamespaceOrTypeRenameDanger; ReviewStatus=NeedsSourceReview; ReviewReasons=Serializer pair is missing one side.; Serial constructor not detected.; MissingBaseSerialize; NoVersionFound; CountMismatch:Writes=10;Reads=0</t>
  </si>
  <si>
    <t>Historical path=Data/Scripts/Trades/Bulk Orders/Books/BOBSmallEntry.cs; backlog risk category=MissingSerialConstructor; write count=10; read count=0. POST-BATCH-J is triage only; no serialized layout edit is approved by this row.</t>
  </si>
  <si>
    <t>RB-01575</t>
  </si>
  <si>
    <t>P10-F01575</t>
  </si>
  <si>
    <t>PBJ-1230</t>
  </si>
  <si>
    <t>Historical path=Data/Scripts/Trades/Bulk Orders/Books/BOBSmallEntry.cs; backlog risk category=MissingSerializerPair; write count=10; read count=0. POST-BATCH-J is triage only; no serialized layout edit is approved by this row.</t>
  </si>
  <si>
    <t>RB-01577</t>
  </si>
  <si>
    <t>P10-F01577</t>
  </si>
  <si>
    <t>PBU-0075</t>
  </si>
  <si>
    <t>POST-BATCH-N lane=POST-BATCH-N-SAVE-MIGRATION-PLAN; FileProofStatus=CurrentPathConfirmed; Class=Server.Engines.BulkOrders.BOBSmallEntry; Serialize=L129; Reader=GenericReaderConstructor:L100; RegisterBase=MissingBaseSerialize; RegisterVersion=NoVersionFound; RegisterAlignment=CountMismatch:Writes=10;Reads=0; Writes=10; Reads=10; WriteEvidence=L131:WriteEncodedInt(0); // version) | L133:Write(m_ItemType == null ? null : m_ItemType.FullName)) | L135:Write((bool)m_RequireExceptional)) | L137:WriteEncodedInt((int)m_DeedType)) | L138:WriteEncodedInt((int)m_Material)) | L139:WriteEncodedInt((int)m_AmountCur)) | L140:WriteEncodedInt((int)m_AmountMax)) | L141:WriteEncodedInt((int)m_Number)) | L142:WriteEncodedInt((int)m_Graphic)) | L143:WriteEncodedInt((int)m_Price)); ReadEvidence=L102:ReadEncodedInt | L108:ReadString | L113:ReadBool | L115:ReadEncodedInt | L117:ReadEncodedInt | L118:ReadEncodedInt | L119:ReadEncodedInt | L120:ReadEncodedInt | L121:ReadEncodedInt | L122:ReadEncodedInt; POST-BATCH-U direct source review=HelperSerializerReviewedNoChange</t>
  </si>
  <si>
    <t>RB-01580</t>
  </si>
  <si>
    <t>P10-F01580</t>
  </si>
  <si>
    <t>PBJ-1232</t>
  </si>
  <si>
    <t>Current source file exists at Data/Scripts/Trades/Bulk Orders/LargeBulkEntry.cs; match=ExactFileClass; serializer evidence=Serialize:L195; class=Server.Engines.BulkOrders.LargeBulkEntry; kind=Other; HasSerialConstructor=False; BaseCallStatus=MissingBaseSerialize; VersionHandling=NoVersionFound; FieldAlignment=CountMismatch:Writes=4;Reads=0; MoveRenameRisk=NamespaceOrTypeRenameDanger; ReviewStatus=NeedsSourceReview; ReviewReasons=Serializer pair is missing one side.; Serial constructor not detected.; MissingBaseSerialize; NoVersionFound; CountMismatch:Writes=4;Reads=0</t>
  </si>
  <si>
    <t>Historical path=Data/Scripts/Trades/Bulk Orders/LargeBulkEntry.cs; backlog risk category=MissingSerialConstructor; write count=4; read count=0. POST-BATCH-J is triage only; no serialized layout edit is approved by this row.</t>
  </si>
  <si>
    <t>RB-01581</t>
  </si>
  <si>
    <t>P10-F01581</t>
  </si>
  <si>
    <t>PBJ-1233</t>
  </si>
  <si>
    <t>Historical path=Data/Scripts/Trades/Bulk Orders/LargeBulkEntry.cs; backlog risk category=MissingSerializerPair; write count=4; read count=0. POST-BATCH-J is triage only; no serialized layout edit is approved by this row.</t>
  </si>
  <si>
    <t>RB-01583</t>
  </si>
  <si>
    <t>P10-F01583</t>
  </si>
  <si>
    <t>PBU-0076</t>
  </si>
  <si>
    <t>POST-BATCH-N lane=POST-BATCH-N-SAVE-MIGRATION-PLAN; FileProofStatus=CurrentPathConfirmed; Class=Server.Engines.BulkOrders.LargeBulkEntry; Serialize=L195; Reader=GenericReaderConstructor:L180; RegisterBase=MissingBaseSerialize; RegisterVersion=NoVersionFound; RegisterAlignment=CountMismatch:Writes=4;Reads=0; Writes=4; Reads=3; WriteEvidence=L197:Write(m_Amount)) | L198:Write(m_Details.Type == null ? null : m_Details.Type.FullName)) | L199:Write(m_Details.Number)) | L200:Write(m_Details.Graphic)); ReadEvidence=L183:ReadInt | L187:ReadString | L192:ReadInt; POST-BATCH-U direct source review=HelperSerializerReviewedNoChange</t>
  </si>
  <si>
    <t>RB-01585</t>
  </si>
  <si>
    <t>P10-F01585</t>
  </si>
  <si>
    <t>PBJ-1235</t>
  </si>
  <si>
    <t>Current source file exists at Data/Scripts/Trades/Gardening/PlantSystem.cs; match=ExactFileClass; serializer evidence=; class=Unknown; kind=Controller; HasSerialConstructor=False; BaseCallStatus=BaseCallsFirst; VersionHandling=NoVersionFound; FieldAlignment=AlignedByCountAndKnownTypes; MoveRenameRisk=NamespaceOrTypeRenameDanger; ReviewStatus=NeedsSourceReview; ReviewReasons=Serializer pair is missing one side.; Serial constructor not detected.; NoVersionFound</t>
  </si>
  <si>
    <t>Historical path=Data/Scripts/Trades/Gardening/PlantSystem.cs; backlog risk category=MissingSerialConstructor; write count=0; read count=0. POST-BATCH-J is triage only; no serialized layout edit is approved by this row.</t>
  </si>
  <si>
    <t>RB-01586</t>
  </si>
  <si>
    <t>P10-F01586</t>
  </si>
  <si>
    <t>PBJ-1236</t>
  </si>
  <si>
    <t>Historical path=Data/Scripts/Trades/Gardening/PlantSystem.cs; backlog risk category=MissingSerializerPair; write count=0; read count=0. POST-BATCH-J is triage only; no serialized layout edit is approved by this row.</t>
  </si>
  <si>
    <t>RB-01587</t>
  </si>
  <si>
    <t>P10-F01587</t>
  </si>
  <si>
    <t>PBJ-1237</t>
  </si>
  <si>
    <t>Historical path=Data/Scripts/Trades/Gardening/PlantSystem.cs; backlog risk category=VersionHandling; write count=0; read count=0. POST-BATCH-J is triage only; no serialized layout edit is approved by this row.</t>
  </si>
  <si>
    <t>RB-01588</t>
  </si>
  <si>
    <t>P10-F01588</t>
  </si>
  <si>
    <t>Trades:Librarian</t>
  </si>
  <si>
    <t>Data/Scripts/Trades/Librarian/LibraryScrolls.cs</t>
  </si>
  <si>
    <t>PBJ-1238</t>
  </si>
  <si>
    <t>Current source file exists at Data/Scripts/Trades/Librarian/LibraryScrolls.cs; match=ExactFileClass; serializer evidence=Serialize:L95;Deserialize:L100;SerialCtor:L92; class=Server.Items.LibraryScroll1; kind=Other; HasSerialConstructor=True; BaseCallStatus=BaseCallsFirst; VersionHandling=NoVersionFound; FieldAlignment=AlignedByCountAndKnownTypes; MoveRenameRisk=NamespaceOrTypeRenameDanger; ReviewStatus=NeedsSourceReview; ReviewReasons=NoVersionFound</t>
  </si>
  <si>
    <t>Historical path=Data/Scripts/Trades/Librarian/LibraryScrolls.cs; backlog risk category=VersionHandling; write count=0; read count=0. POST-BATCH-J is triage only; no serialized layout edit is approved by this row.</t>
  </si>
  <si>
    <t>RB-01589</t>
  </si>
  <si>
    <t>P10-F01589</t>
  </si>
  <si>
    <t>PBJ-1239</t>
  </si>
  <si>
    <t>Current source file exists at Data/Scripts/Trades/Librarian/LibraryScrolls.cs; match=ExactFileClass; serializer evidence=Serialize:L190;Deserialize:L195;SerialCtor:L187; class=Server.Items.LibraryScroll2; kind=Other; HasSerialConstructor=True; BaseCallStatus=BaseCallsFirst; VersionHandling=NoVersionFound; FieldAlignment=AlignedByCountAndKnownTypes; MoveRenameRisk=NamespaceOrTypeRenameDanger; ReviewStatus=NeedsSourceReview; ReviewReasons=NoVersionFound</t>
  </si>
  <si>
    <t>RB-01590</t>
  </si>
  <si>
    <t>P10-F01590</t>
  </si>
  <si>
    <t>PBJ-1240</t>
  </si>
  <si>
    <t>Current source file exists at Data/Scripts/Trades/Librarian/LibraryScrolls.cs; match=ExactFileClass; serializer evidence=Serialize:L285;Deserialize:L290;SerialCtor:L282; class=Server.Items.LibraryScroll3; kind=Other; HasSerialConstructor=True; BaseCallStatus=BaseCallsFirst; VersionHandling=NoVersionFound; FieldAlignment=AlignedByCountAndKnownTypes; MoveRenameRisk=NamespaceOrTypeRenameDanger; ReviewStatus=NeedsSourceReview; ReviewReasons=NoVersionFound</t>
  </si>
  <si>
    <t>RB-01591</t>
  </si>
  <si>
    <t>P10-F01591</t>
  </si>
  <si>
    <t>PBJ-1241</t>
  </si>
  <si>
    <t>Current source file exists at Data/Scripts/Trades/Librarian/LibraryScrolls.cs; match=ExactFileClass; serializer evidence=Serialize:L380;Deserialize:L385;SerialCtor:L377; class=Server.Items.LibraryScroll4; kind=Other; HasSerialConstructor=True; BaseCallStatus=BaseCallsFirst; VersionHandling=NoVersionFound; FieldAlignment=AlignedByCountAndKnownTypes; MoveRenameRisk=NamespaceOrTypeRenameDanger; ReviewStatus=NeedsSourceReview; ReviewReasons=NoVersionFound</t>
  </si>
  <si>
    <t>RB-01592</t>
  </si>
  <si>
    <t>P10-F01592</t>
  </si>
  <si>
    <t>PBJ-1242</t>
  </si>
  <si>
    <t>Current source file exists at Data/Scripts/Trades/Librarian/LibraryScrolls.cs; match=ExactFileClass; serializer evidence=Serialize:L475;Deserialize:L480;SerialCtor:L472; class=Server.Items.LibraryScroll5; kind=Other; HasSerialConstructor=True; BaseCallStatus=BaseCallsFirst; VersionHandling=NoVersionFound; FieldAlignment=AlignedByCountAndKnownTypes; MoveRenameRisk=NamespaceOrTypeRenameDanger; ReviewStatus=NeedsSourceReview; ReviewReasons=NoVersionFound</t>
  </si>
  <si>
    <t>RB-01593</t>
  </si>
  <si>
    <t>P10-F01593</t>
  </si>
  <si>
    <t>PBJ-1243</t>
  </si>
  <si>
    <t>Current source file exists at Data/Scripts/Trades/Librarian/LibraryScrolls.cs; match=ExactFileClass; serializer evidence=Serialize:L570;Deserialize:L575;SerialCtor:L567; class=Server.Items.LibraryScroll6; kind=Other; HasSerialConstructor=True; BaseCallStatus=BaseCallsFirst; VersionHandling=NoVersionFound; FieldAlignment=AlignedByCountAndKnownTypes; MoveRenameRisk=NamespaceOrTypeRenameDanger; ReviewStatus=NeedsSourceReview; ReviewReasons=NoVersionFound</t>
  </si>
  <si>
    <t>RB-01594</t>
  </si>
  <si>
    <t>P10-F01594</t>
  </si>
  <si>
    <t>Trades:Stone</t>
  </si>
  <si>
    <t>Data/Scripts/Trades/Stone/BaseStatue.cs</t>
  </si>
  <si>
    <t>PBU-0077</t>
  </si>
  <si>
    <t>POST-BATCH-N lane=POST-BATCH-N-SAVE-MIGRATION-PLAN; FileProofStatus=CurrentPathConfirmed; Class=Server.Items.BaseStatue; Serialize=L147; Reader=DeserializeMethod:L155; RegisterBase=BaseCallsFirst; RegisterVersion=SuspiciousOrder; RegisterAlignment=CountMatchNeedsTypeReview:UnknownWrites=2; Writes=3; Reads=3; WriteEvidence=L150:Write((int)3); // version) | L151:Write(m_Crafter)) | L152:Write(m_Resource)); ReadEvidence=L158:ReadInt | L159:ReadString | L160:ReadString; POST-BATCH-U direct source review=ScannerAmbiguityFalsePositive</t>
  </si>
  <si>
    <t>RB-01595</t>
  </si>
  <si>
    <t>P10-F01595</t>
  </si>
  <si>
    <t>PBJ-1245</t>
  </si>
  <si>
    <t>Current source file exists at Data/System/Source/Guild.cs; match=ExactFileClass; serializer evidence=Serialize:L70;Deserialize:L69; class=Server.Guilds.BaseGuild; kind=Controller; HasSerialConstructor=False; BaseCallStatus=MissingBaseSerialize; VersionHandling=NoVersionFound; FieldAlignment=AlignedByCountAndKnownTypes; MoveRenameRisk=UnknownUntilBuildTruthRepaired; ReviewStatus=NeedsSourceReview; ReviewReasons=Serial constructor not detected.; MissingBaseSerialize; NoVersionFound; Project truth mismatch affects serialized source.; UnknownUntilBuildTruthRepaired</t>
  </si>
  <si>
    <t>Historical path=Data/System/Source/Guild.cs; backlog risk category=MissingSerialConstructor; write count=0; read count=0. POST-BATCH-J is triage only; no serialized layout edit is approved by this row.</t>
  </si>
  <si>
    <t>RB-01597</t>
  </si>
  <si>
    <t>P10-F01597</t>
  </si>
  <si>
    <t>PBJ-1246</t>
  </si>
  <si>
    <t>Historical path=Data/System/Source/Guild.cs; backlog risk category=VersionHandling; write count=0; read count=0. POST-BATCH-J is triage only; no serialized layout edit is approved by this row.</t>
  </si>
  <si>
    <t>RB-01599</t>
  </si>
  <si>
    <t>P10-F01599</t>
  </si>
  <si>
    <t>PBJ-1247</t>
  </si>
  <si>
    <t>Current source file exists at Data/System/Source/Item.cs; match=ExactFileClass; serializer evidence=Deserialize:L585; class=Server.BounceInfo; kind=Controller; HasSerialConstructor=False; BaseCallStatus=MissingBaseDeserialize; VersionHandling=NoVersionFound; FieldAlignment=CountMismatch:Writes=0;Reads=5; MoveRenameRisk=UnknownUntilBuildTruthRepaired; ReviewStatus=NeedsSourceReview; ReviewReasons=Serializer pair is missing one side.; Serial constructor not detected.; MissingBaseDeserialize; NoVersionFound; CountMismatch:Writes=0;Reads=5; Project truth mismatch affects serialized source.; UnknownUntilBuildTruthRepaired</t>
  </si>
  <si>
    <t>Historical path=Data/System/Source/Item.cs; backlog risk category=MissingSerialConstructor; write count=0; read count=5. POST-BATCH-J is triage only; no serialized layout edit is approved by this row.</t>
  </si>
  <si>
    <t>RB-01600</t>
  </si>
  <si>
    <t>P10-F01600</t>
  </si>
  <si>
    <t>PBJ-1248</t>
  </si>
  <si>
    <t>Historical path=Data/System/Source/Item.cs; backlog risk category=MissingSerializerPair; write count=0; read count=5. POST-BATCH-J is triage only; no serialized layout edit is approved by this row.</t>
  </si>
  <si>
    <t>RB-01602</t>
  </si>
  <si>
    <t>P10-F01602</t>
  </si>
  <si>
    <t>PBU-0061</t>
  </si>
  <si>
    <t>POST-BATCH-N lane=POST-BATCH-N-SAVE-MIGRATION-PLAN; FileProofStatus=CurrentPathConfirmed; Class=Server.BounceInfo; Serialize=L612; Reader=DeserializeMethod:L585; RegisterBase=MissingBaseDeserialize; RegisterVersion=NoVersionFound; RegisterAlignment=CountMismatch:Writes=0;Reads=5; Writes=8; Reads=5; WriteEvidence=L616:Write(false)) | L620:Write(true)) | L622:Write(info.m_Map)) | L623:Write(info.m_Location)) | L624:Write(info.m_WorldLoc)) | L627:Write((Mobile)info.m_Parent)) | L629:Write((Item)info.m_Parent)) | L631:Write((Serial)0)); ReadEvidence=L587:ReadBool | L589:ReadMap | L590:ReadPoint3D | L591:ReadPoint3D | L595:ReadInt; POST-BATCH-U direct source review=HelperSerializerReviewedNoChange</t>
  </si>
  <si>
    <t>RB-01613</t>
  </si>
  <si>
    <t>P10-F01613</t>
  </si>
  <si>
    <t>PBJ-1250</t>
  </si>
  <si>
    <t>Current source file exists at Data/System/Source/Items/VirtualHair.cs; match=ExactFileClass; serializer evidence=Serialize:L70;VersionWrite:L72; class=Server.BaseHairInfo; kind=Controller; HasSerialConstructor=False; BaseCallStatus=MissingBaseSerialize; VersionHandling=WriteVersionOnly; FieldAlignment=CountMismatch:Writes=2;Reads=0; MoveRenameRisk=UnknownUntilBuildTruthRepaired; ReviewStatus=NeedsSourceReview; ReviewReasons=Serializer pair is missing one side.; Serial constructor not detected.; MissingBaseSerialize; WriteVersionOnly; CountMismatch:Writes=2;Reads=0; Project truth mismatch affects serialized source.; UnknownUntilBuildTruthRepaired</t>
  </si>
  <si>
    <t>Historical path=Data/System/Source/Items/VirtualHair.cs; backlog risk category=MissingSerialConstructor; write count=3; read count=0. POST-BATCH-J is triage only; no serialized layout edit is approved by this row.</t>
  </si>
  <si>
    <t>RB-01614</t>
  </si>
  <si>
    <t>P10-F01614</t>
  </si>
  <si>
    <t>PBJ-1251</t>
  </si>
  <si>
    <t>Historical path=Data/System/Source/Items/VirtualHair.cs; backlog risk category=MissingSerializerPair; write count=3; read count=0. POST-BATCH-J is triage only; no serialized layout edit is approved by this row.</t>
  </si>
  <si>
    <t>RB-01616</t>
  </si>
  <si>
    <t>P10-F01616</t>
  </si>
  <si>
    <t>PBU-0062</t>
  </si>
  <si>
    <t>POST-BATCH-N lane=POST-BATCH-N-SAVE-MIGRATION-PLAN; FileProofStatus=CurrentPathConfirmed; Class=Server.BaseHairInfo; Serialize=L70; Reader=GenericReaderConstructor:L55; RegisterBase=MissingBaseSerialize; RegisterVersion=WriteVersionOnly; RegisterAlignment=CountMismatch:Writes=2;Reads=0; Writes=3; Reads=3; WriteEvidence=L72:Write((int)0); //version) | L73:Write((int)m_ItemID)) | L74:Write((int)m_Hue)); ReadEvidence=L57:ReadInt | L63:ReadInt | L64:ReadInt; POST-BATCH-U direct source review=HelperSerializerReviewedNoChange</t>
  </si>
  <si>
    <t>RB-01619</t>
  </si>
  <si>
    <t>P10-F01619</t>
  </si>
  <si>
    <t>PBJ-1253</t>
  </si>
  <si>
    <t>Current source file exists at Data/System/Source/Main.cs;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</si>
  <si>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path=Data/System/Source/Main.cs; backlog risk category=MissingSerialConstructor; write count=0; read count=0. POST-BATCH-J is triage only; no serialized layout edit is approved by this row.</t>
  </si>
  <si>
    <t>RB-01620</t>
  </si>
  <si>
    <t>P10-F01620</t>
  </si>
  <si>
    <t>PBJ-1254</t>
  </si>
  <si>
    <t>Historical path=Data/System/Source/Main.cs; backlog risk category=MissingSerializerPair; write count=0; read count=0. POST-BATCH-J is triage only; no serialized layout edit is approved by this row.</t>
  </si>
  <si>
    <t>RB-01621</t>
  </si>
  <si>
    <t>P10-F01621</t>
  </si>
  <si>
    <t>PBJ-1255</t>
  </si>
  <si>
    <t>Historical path=Data/System/Source/Main.cs; backlog risk category=VersionHandling; write count=0; read count=0. POST-BATCH-J is triage only; no serialized layout edit is approved by this row.</t>
  </si>
  <si>
    <t>RB-01626</t>
  </si>
  <si>
    <t>P10-F01626</t>
  </si>
  <si>
    <t>PBJ-1256</t>
  </si>
  <si>
    <t>Current source file exists at Data/System/Source/MultiData.cs; match=ExactFileClass; serializer evidence=Serialize:L507;VersionWrite:L509; class=Server.MultiComponentList; kind=Controller; HasSerialConstructor=False; BaseCallStatus=MissingBaseSerialize; VersionHandling=WriteVersionOnly; FieldAlignment=CountMismatch:Writes=11;Reads=0; MoveRenameRisk=UnknownUntilBuildTruthRepaired; ReviewStatus=NeedsSourceReview; ReviewReasons=Serializer pair is missing one side.; Serial constructor not detected.; MissingBaseSerialize; WriteVersionOnly; CountMismatch:Writes=11;Reads=0; Project truth mismatch affects serialized source.; UnknownUntilBuildTruthRepaired</t>
  </si>
  <si>
    <t>Historical path=Data/System/Source/MultiData.cs; backlog risk category=MissingSerialConstructor; write count=12; read count=0. POST-BATCH-J is triage only; no serialized layout edit is approved by this row.</t>
  </si>
  <si>
    <t>RB-01627</t>
  </si>
  <si>
    <t>P10-F01627</t>
  </si>
  <si>
    <t>PBJ-1257</t>
  </si>
  <si>
    <t>Historical path=Data/System/Source/MultiData.cs; backlog risk category=MissingSerializerPair; write count=12; read count=0. POST-BATCH-J is triage only; no serialized layout edit is approved by this row.</t>
  </si>
  <si>
    <t>RB-01629</t>
  </si>
  <si>
    <t>P10-F01629</t>
  </si>
  <si>
    <t>PBU-0063</t>
  </si>
  <si>
    <t>POST-BATCH-N lane=POST-BATCH-N-SAVE-MIGRATION-PLAN; FileProofStatus=CurrentPathConfirmed; Class=Server.MultiComponentList; Serialize=L507; Reader=GenericReaderConstructor:L532; RegisterBase=MissingBaseSerialize; RegisterVersion=WriteVersionOnly; RegisterAlignment=CountMismatch:Writes=11;Reads=0; Writes=12; Reads=17; WriteEvidence=L509:Write((int)1); // version) | L511:Write(m_Min)) | L512:Write(m_Max)) | L513:Write(m_Center)) | L515:Write((int)m_Width)) | L516:Write((int)m_Height)) | L518:Write((int)m_List.Length)) | L524:Write((ushort)ent.m_ItemID)) | L525:Write((short)ent.m_OffsetX)) | L526:Write((short)ent.m_OffsetY)) | L527:Write((short)ent.m_OffsetZ)) | L528:Write((int)ent.m_Flags)); ReadEvidence=L534:ReadInt | L536:ReadPoint2D | L537:ReadPoint2D | L538:ReadPoint2D | L539:ReadInt | L540:ReadInt | L542:ReadInt | L550:ReadShort | L555:ReadShort | L556:ReadShort | L557:ReadShort | L558:ReadInt; POST-BATCH-U direct source review=HelperSerializerReviewedNoChange</t>
  </si>
  <si>
    <t>RB-01632</t>
  </si>
  <si>
    <t>P10-F01632</t>
  </si>
  <si>
    <t>Data/System/Source/NativeReader.cs</t>
  </si>
  <si>
    <t>PBJ-1259</t>
  </si>
  <si>
    <t>Current source file exists at Data/System/Source/NativeReader.cs;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</si>
  <si>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path=Data/System/Source/NativeReader.cs; backlog risk category=MissingSerialConstructor; write count=0; read count=0. POST-BATCH-J is triage only; no serialized layout edit is approved by this row.</t>
  </si>
  <si>
    <t>RB-01633</t>
  </si>
  <si>
    <t>P10-F01633</t>
  </si>
  <si>
    <t>PBJ-1260</t>
  </si>
  <si>
    <t>Historical path=Data/System/Source/NativeReader.cs; backlog risk category=MissingSerializerPair; write count=0; read count=0. POST-BATCH-J is triage only; no serialized layout edit is approved by this row.</t>
  </si>
  <si>
    <t>RB-01634</t>
  </si>
  <si>
    <t>P10-F01634</t>
  </si>
  <si>
    <t>PBJ-1261</t>
  </si>
  <si>
    <t>Historical path=Data/System/Source/NativeReader.cs; backlog risk category=VersionHandling; write count=0; read count=0. POST-BATCH-J is triage only; no serialized layout edit is approved by this row.</t>
  </si>
  <si>
    <t>RB-01636</t>
  </si>
  <si>
    <t>P10-F01636</t>
  </si>
  <si>
    <t>Data/System/Source/Network/EncodedReader.cs</t>
  </si>
  <si>
    <t>PBJ-1262</t>
  </si>
  <si>
    <t>Current source file exists at Data/System/Source/Network/EncodedReader.cs;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</si>
  <si>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path=Data/System/Source/Network/EncodedReader.cs; backlog risk category=MissingSerialConstructor; write count=0; read count=0. POST-BATCH-J is triage only; no serialized layout edit is approved by this row.</t>
  </si>
  <si>
    <t>RB-01637</t>
  </si>
  <si>
    <t>P10-F01637</t>
  </si>
  <si>
    <t>PBJ-1263</t>
  </si>
  <si>
    <t>Historical path=Data/System/Source/Network/EncodedReader.cs; backlog risk category=MissingSerializerPair; write count=0; read count=0. POST-BATCH-J is triage only; no serialized layout edit is approved by this row.</t>
  </si>
  <si>
    <t>RB-01638</t>
  </si>
  <si>
    <t>P10-F01638</t>
  </si>
  <si>
    <t>PBJ-1264</t>
  </si>
  <si>
    <t>Historical path=Data/System/Source/Network/EncodedReader.cs; backlog risk category=VersionHandling; write count=0; read count=0. POST-BATCH-J is triage only; no serialized layout edit is approved by this row.</t>
  </si>
  <si>
    <t>RB-01640</t>
  </si>
  <si>
    <t>P10-F01640</t>
  </si>
  <si>
    <t>PBJ-1265</t>
  </si>
  <si>
    <t>Current source file exists at Data/System/Source/Network/PacketHandlers.cs;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</si>
  <si>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path=Data/System/Source/Network/PacketHandlers.cs; backlog risk category=MissingSerialConstructor; write count=0; read count=0. POST-BATCH-J is triage only; no serialized layout edit is approved by this row.</t>
  </si>
  <si>
    <t>RB-01641</t>
  </si>
  <si>
    <t>P10-F01641</t>
  </si>
  <si>
    <t>PBJ-1266</t>
  </si>
  <si>
    <t>Historical path=Data/System/Source/Network/PacketHandlers.cs; backlog risk category=MissingSerializerPair; write count=0; read count=0. POST-BATCH-J is triage only; no serialized layout edit is approved by this row.</t>
  </si>
  <si>
    <t>RB-01642</t>
  </si>
  <si>
    <t>P10-F01642</t>
  </si>
  <si>
    <t>PBJ-1267</t>
  </si>
  <si>
    <t>Historical path=Data/System/Source/Network/PacketHandlers.cs; backlog risk category=VersionHandling; write count=0; read count=0. POST-BATCH-J is triage only; no serialized layout edit is approved by this row.</t>
  </si>
  <si>
    <t>RB-01644</t>
  </si>
  <si>
    <t>P10-F01644</t>
  </si>
  <si>
    <t>Data/System/Source/Persistence/DynamicSaveStrategy.cs</t>
  </si>
  <si>
    <t>PBJ-1268</t>
  </si>
  <si>
    <t>Current source file exists at Data/System/Source/Persistence/DynamicSaveStrategy.cs;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</si>
  <si>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path=Data/System/Source/Persistence/DynamicSaveStrategy.cs; backlog risk category=MissingSerialConstructor; write count=0; read count=0. POST-BATCH-J is triage only; no serialized layout edit is approved by this row.</t>
  </si>
  <si>
    <t>RB-01645</t>
  </si>
  <si>
    <t>P10-F01645</t>
  </si>
  <si>
    <t>PBJ-1269</t>
  </si>
  <si>
    <t>Historical path=Data/System/Source/Persistence/DynamicSaveStrategy.cs; backlog risk category=MissingSerializerPair; write count=0; read count=0. POST-BATCH-J is triage only; no serialized layout edit is approved by this row.</t>
  </si>
  <si>
    <t>RB-01646</t>
  </si>
  <si>
    <t>P10-F01646</t>
  </si>
  <si>
    <t>PBJ-1270</t>
  </si>
  <si>
    <t>Historical path=Data/System/Source/Persistence/DynamicSaveStrategy.cs; backlog risk category=VersionHandling; write count=0; read count=0. POST-BATCH-J is triage only; no serialized layout edit is approved by this row.</t>
  </si>
  <si>
    <t>RB-01648</t>
  </si>
  <si>
    <t>P10-F01648</t>
  </si>
  <si>
    <t>PBJ-1271</t>
  </si>
  <si>
    <t>Current source file exists at Data/System/Source/Poison.cs; match=ExactFileClass; serializer evidence=Deserialize:L140; class=Server.Poison; kind=Controller; HasSerialConstructor=False; BaseCallStatus=MissingBaseDeserialize; VersionHandling=NoVersionFound; FieldAlignment=CountMismatch:Writes=0;Reads=6; MoveRenameRisk=UnknownUntilBuildTruthRepaired; ReviewStatus=NeedsSourceReview; ReviewReasons=Serializer pair is missing one side.; Serial constructor not detected.; MissingBaseDeserialize; NoVersionFound; CountMismatch:Writes=0;Reads=6; Project truth mismatch affects serialized source.; UnknownUntilBuildTruthRepaired</t>
  </si>
  <si>
    <t>Historical path=Data/System/Source/Poison.cs; backlog risk category=MissingSerialConstructor; write count=0; read count=6. POST-BATCH-J is triage only; no serialized layout edit is approved by this row.</t>
  </si>
  <si>
    <t>RB-01649</t>
  </si>
  <si>
    <t>P10-F01649</t>
  </si>
  <si>
    <t>PBJ-1272</t>
  </si>
  <si>
    <t>Historical path=Data/System/Source/Poison.cs; backlog risk category=MissingSerializerPair; write count=0; read count=6. POST-BATCH-J is triage only; no serialized layout edit is approved by this row.</t>
  </si>
  <si>
    <t>RB-01651</t>
  </si>
  <si>
    <t>P10-F01651</t>
  </si>
  <si>
    <t>PBU-0064</t>
  </si>
  <si>
    <t>POST-BATCH-N lane=POST-BATCH-N-SAVE-MIGRATION-PLAN; FileProofStatus=CurrentPathConfirmed; Class=Server.Poison; Serialize=L127; Reader=DeserializeMethod:L140; RegisterBase=MissingBaseDeserialize; RegisterVersion=NoVersionFound; RegisterAlignment=CountMismatch:Writes=0;Reads=6; Writes=3; Reads=6; WriteEvidence=L131:Write((byte)0)) | L135:Write((byte)1)) | L136:Write((byte)p.Level)); ReadEvidence=L142:ReadByte | L145:ReadByte | L148:ReadInt | L149:ReadDouble | L150:ReadInt | L151:ReadTimeSpan; POST-BATCH-U direct source review=HelperSerializerReviewedNoChange</t>
  </si>
  <si>
    <t>RB-01654</t>
  </si>
  <si>
    <t>P10-F01654</t>
  </si>
  <si>
    <t>PBJ-1274</t>
  </si>
  <si>
    <t>Current source file exists at Data/System/Source/Serialization.cs; match=ExactFileClass; serializer evidence=Serialize:L1789; class=Unknown; kind=Controller; HasSerialConstructor=False; BaseCallStatus=MissingBaseSerialize; VersionHandling=NoVersionFound; FieldAlignment=AlignedByCountAndKnownTypes; MoveRenameRisk=UnknownUntilBuildTruthRepaired; ReviewStatus=NeedsSourceReview; ReviewReasons=Serializer pair is missing one side.; Serial constructor not detected.; MissingBaseSerialize; NoVersionFound; Project truth mismatch affects serialized source.; UnknownUntilBuildTruthRepaired</t>
  </si>
  <si>
    <t>Historical path=Data/System/Source/Serialization.cs; backlog risk category=MissingSerialConstructor; write count=0; read count=0. POST-BATCH-J is triage only; no serialized layout edit is approved by this row.</t>
  </si>
  <si>
    <t>RB-01655</t>
  </si>
  <si>
    <t>P10-F01655</t>
  </si>
  <si>
    <t>PBJ-1275</t>
  </si>
  <si>
    <t>Historical path=Data/System/Source/Serialization.cs; backlog risk category=MissingSerializerPair; write count=0; read count=0. POST-BATCH-J is triage only; no serialized layout edit is approved by this row.</t>
  </si>
  <si>
    <t>RB-01657</t>
  </si>
  <si>
    <t>P10-F01657</t>
  </si>
  <si>
    <t>PBJ-1276</t>
  </si>
  <si>
    <t>Historical path=Data/System/Source/Serialization.cs; backlog risk category=VersionHandling; write count=0; read count=0. POST-BATCH-J is triage only; no serialized layout edit is approved by this row.</t>
  </si>
  <si>
    <t>RB-01659</t>
  </si>
  <si>
    <t>P10-F01659</t>
  </si>
  <si>
    <t>PBJ-1277</t>
  </si>
  <si>
    <t>Current source file exists at Data/System/Source/Skills.cs; match=ExactFileClass; serializer evidence=Serialize:L492; class=Server.Skill; kind=Controller; HasSerialConstructor=False; BaseCallStatus=MissingBaseSerialize; VersionHandling=NoVersionFound; FieldAlignment=CountMismatch:Writes=5;Reads=0; MoveRenameRisk=UnknownUntilBuildTruthRepaired; ReviewStatus=NeedsSourceReview; ReviewReasons=Serializer pair is missing one side.; Serial constructor not detected.; MissingBaseSerialize; NoVersionFound; CountMismatch:Writes=5;Reads=0; Project truth mismatch affects serialized source.; UnknownUntilBuildTruthRepaired</t>
  </si>
  <si>
    <t>Historical path=Data/System/Source/Skills.cs; backlog risk category=MissingSerialConstructor; write count=5; read count=0. POST-BATCH-J is triage only; no serialized layout edit is approved by this row.</t>
  </si>
  <si>
    <t>RB-01660</t>
  </si>
  <si>
    <t>P10-F01660</t>
  </si>
  <si>
    <t>PBJ-1278</t>
  </si>
  <si>
    <t>Historical path=Data/System/Source/Skills.cs; backlog risk category=MissingSerializerPair; write count=5; read count=0. POST-BATCH-J is triage only; no serialized layout edit is approved by this row.</t>
  </si>
  <si>
    <t>RB-01662</t>
  </si>
  <si>
    <t>P10-F01662</t>
  </si>
  <si>
    <t>PBU-0065</t>
  </si>
  <si>
    <t>POST-BATCH-N lane=POST-BATCH-N-SAVE-MIGRATION-PLAN; FileProofStatus=CurrentPathConfirmed; Class=Server.Skill; Serialize=L492; Reader=GenericReaderConstructor:L423; RegisterBase=MissingBaseSerialize; RegisterVersion=NoVersionFound; RegisterAlignment=CountMismatch:Writes=5;Reads=0; Writes=5; Reads=7; WriteEvidence=L496:Write((byte)0xFF); // default) | L511:Write((byte)flags); // version) | L514:Write((short)m_Base)) | L517:Write((short)m_Cap)) | L520:Write((byte)m_Lock)); ReadEvidence=L428:ReadByte | L434:ReadUShort | L435:ReadUShort | L436:ReadByte | L453:ReadUShort | L456:ReadUShort | L461:ReadByte; POST-BATCH-U direct source review=HelperSerializerReviewedNoChange</t>
  </si>
  <si>
    <t>RB-01665</t>
  </si>
  <si>
    <t>P10-F01665</t>
  </si>
  <si>
    <t>PBJ-1280</t>
  </si>
  <si>
    <t>Current source file exists at Data/System/Source/Skills.cs; match=ExactFileClass; serializer evidence=Serialize:L1573;VersionWrite:L1577; class=Server.Skills; kind=Controller; HasSerialConstructor=False; BaseCallStatus=MissingBaseSerialize; VersionHandling=WriteVersionOnly; FieldAlignment=CountMismatch:Writes=3;Reads=0; MoveRenameRisk=UnknownUntilBuildTruthRepaired; ReviewStatus=NeedsSourceReview; ReviewReasons=Serializer pair is missing one side.; Serial constructor not detected.; MissingBaseSerialize; WriteVersionOnly; CountMismatch:Writes=3;Reads=0; Project truth mismatch affects serialized source.; UnknownUntilBuildTruthRepaired</t>
  </si>
  <si>
    <t>Historical path=Data/System/Source/Skills.cs; backlog risk category=MissingSerialConstructor; write count=4; read count=0. POST-BATCH-J is triage only; no serialized layout edit is approved by this row.</t>
  </si>
  <si>
    <t>RB-01666</t>
  </si>
  <si>
    <t>P10-F01666</t>
  </si>
  <si>
    <t>PBJ-1281</t>
  </si>
  <si>
    <t>Historical path=Data/System/Source/Skills.cs; backlog risk category=MissingSerializerPair; write count=4; read count=0. POST-BATCH-J is triage only; no serialized layout edit is approved by this row.</t>
  </si>
  <si>
    <t>RB-01668</t>
  </si>
  <si>
    <t>P10-F01668</t>
  </si>
  <si>
    <t>PBU-0066</t>
  </si>
  <si>
    <t>POST-BATCH-N lane=POST-BATCH-N-SAVE-MIGRATION-PLAN; FileProofStatus=CurrentPathConfirmed; Class=Server.Skills; Serialize=L1573; Reader=GenericReaderConstructor:L1611; RegisterBase=MissingBaseSerialize; RegisterVersion=WriteVersionOnly; RegisterAlignment=CountMismatch:Writes=3;Reads=0; Writes=4; Reads=5; WriteEvidence=L1577:Write((int)3); // version) | L1579:Write((int)m_Cap)) | L1580:Write((int)m_Skills.Length)) | L1588:Write((byte)0xFF)); ReadEvidence=L1615:ReadInt | L1622:ReadInt | L1632:ReadInt | L1638:ReadInt | L1669:ReadInt; POST-BATCH-U direct source review=HelperSerializerReviewedNoChange</t>
  </si>
  <si>
    <t>RB-01671</t>
  </si>
  <si>
    <t>P10-F01671</t>
  </si>
  <si>
    <t>Data/System/Source/TileMatrix.cs</t>
  </si>
  <si>
    <t>PBJ-1283</t>
  </si>
  <si>
    <t>Current source file exists at Data/System/Source/TileMatrix.cs;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</si>
  <si>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path=Data/System/Source/TileMatrix.cs; backlog risk category=MissingSerialConstructor; write count=0; read count=0. POST-BATCH-J is triage only; no serialized layout edit is approved by this row.</t>
  </si>
  <si>
    <t>RB-01672</t>
  </si>
  <si>
    <t>P10-F01672</t>
  </si>
  <si>
    <t>PBJ-1284</t>
  </si>
  <si>
    <t>Historical path=Data/System/Source/TileMatrix.cs; backlog risk category=MissingSerializerPair; write count=0; read count=0. POST-BATCH-J is triage only; no serialized layout edit is approved by this row.</t>
  </si>
  <si>
    <t>RB-01673</t>
  </si>
  <si>
    <t>P10-F01673</t>
  </si>
  <si>
    <t>PBJ-1285</t>
  </si>
  <si>
    <t>Historical path=Data/System/Source/TileMatrix.cs; backlog risk category=VersionHandling; write count=0; read count=0. POST-BATCH-J is triage only; no serialized layout edit is approved by this row.</t>
  </si>
  <si>
    <t>RB-01675</t>
  </si>
  <si>
    <t>P10-F01675</t>
  </si>
  <si>
    <t>Data/System/Source/TileMatrixPatch.cs</t>
  </si>
  <si>
    <t>PBJ-1286</t>
  </si>
  <si>
    <t>Current source file exists at Data/System/Source/TileMatrixPatch.cs;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</si>
  <si>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path=Data/System/Source/TileMatrixPatch.cs; backlog risk category=MissingSerialConstructor; write count=0; read count=0. POST-BATCH-J is triage only; no serialized layout edit is approved by this row.</t>
  </si>
  <si>
    <t>RB-01676</t>
  </si>
  <si>
    <t>P10-F01676</t>
  </si>
  <si>
    <t>PBJ-1287</t>
  </si>
  <si>
    <t>Historical path=Data/System/Source/TileMatrixPatch.cs; backlog risk category=MissingSerializerPair; write count=0; read count=0. POST-BATCH-J is triage only; no serialized layout edit is approved by this row.</t>
  </si>
  <si>
    <t>RB-01677</t>
  </si>
  <si>
    <t>P10-F01677</t>
  </si>
  <si>
    <t>PBJ-1288</t>
  </si>
  <si>
    <t>Historical path=Data/System/Source/TileMatrixPatch.cs; backlog risk category=VersionHandling; write count=0; read count=0. POST-BATCH-J is triage only; no serialized layout edit is approved by this row.</t>
  </si>
  <si>
    <t>RB-01679</t>
  </si>
  <si>
    <t>P10-F01679</t>
  </si>
  <si>
    <t>Data/System/Source/VirtueInfo.cs</t>
  </si>
  <si>
    <t>PBJ-1289</t>
  </si>
  <si>
    <t>Current source file exists at Data/System/Source/VirtueInfo.cs;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</si>
  <si>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path=Data/System/Source/VirtueInfo.cs; backlog risk category=MissingSerialConstructor; write count=0; read count=0. POST-BATCH-J is triage only; no serialized layout edit is approved by this row.</t>
  </si>
  <si>
    <t>RB-01680</t>
  </si>
  <si>
    <t>P10-F01680</t>
  </si>
  <si>
    <t>PBJ-1290</t>
  </si>
  <si>
    <t>Historical path=Data/System/Source/VirtueInfo.cs; backlog risk category=MissingSerializerPair; write count=0; read count=0. POST-BATCH-J is triage only; no serialized layout edit is approved by this row.</t>
  </si>
  <si>
    <t>RB-01681</t>
  </si>
  <si>
    <t>P10-F01681</t>
  </si>
  <si>
    <t>PBJ-1291</t>
  </si>
  <si>
    <t>Historical path=Data/System/Source/VirtueInfo.cs; backlog risk category=VersionHandling; write count=0; read count=0. POST-BATCH-J is triage only; no serialized layout edit is approved by this row.</t>
  </si>
  <si>
    <t>RB-01683</t>
  </si>
  <si>
    <t>P10-F01683</t>
  </si>
  <si>
    <t>PBJ-1292</t>
  </si>
  <si>
    <t>Current source file exists at Data/System/Source/World.cs; match=ExactFileClass; serializer evidence=; class=Unknown; kind=Controller; HasSerialConstructor=False; BaseCallStatus=BaseCallsFirst; VersionHandling=NoVersionFound; FieldAlignment=AlignedByCountAndKnownTypes; MoveRenameRisk=UnknownUntilBuildTruthRepaired; ReviewStatus=NeedsSourceReview; ReviewReasons=Serializer pair is missing one side.; Serial constructor not detected.; NoVersionFound; Project truth mismatch affects serialized source.; UnknownUntilBuildTruthRepaired</t>
  </si>
  <si>
    <t>Historical path=Data/System/Source/World.cs; backlog risk category=MissingSerialConstructor; write count=0; read count=0. POST-BATCH-J is triage only; no serialized layout edit is approved by this row.</t>
  </si>
  <si>
    <t>RB-01684</t>
  </si>
  <si>
    <t>P10-F01684</t>
  </si>
  <si>
    <t>PBJ-1293</t>
  </si>
  <si>
    <t>Historical path=Data/System/Source/World.cs; backlog risk category=MissingSerializerPair; write count=0; read count=0. POST-BATCH-J is triage only; no serialized layout edit is approved by this row.</t>
  </si>
  <si>
    <t>RB-01685</t>
  </si>
  <si>
    <t>P10-F01685</t>
  </si>
  <si>
    <t>PBJ-1294</t>
  </si>
  <si>
    <t>Historical path=Data/System/Source/World.cs; backlog risk category=VersionHandling; write count=0; read count=0. POST-BATCH-J is triage only; no serialized layout edit is approved by this row.</t>
  </si>
  <si>
    <t>RB-01909</t>
  </si>
  <si>
    <t>P10-F01909</t>
  </si>
  <si>
    <t>Data/Scripts/Custom/Government System/Items/Stones/CityStableStone.cs</t>
  </si>
  <si>
    <t>POST-BATCH-K</t>
  </si>
  <si>
    <t>PBK-0003</t>
  </si>
  <si>
    <t>No source change. Current source-derived guard/access evidence does not prove a narrow mechanical defect; preserve existing runtime behavior.</t>
  </si>
  <si>
    <t>docs/codebase-audit/outputs/post-batch-k-p1-runtime-surface-review.csv</t>
  </si>
  <si>
    <t>CurrentFile=Data/Scripts/Custom/Government System/Items/Stones/CityStableStone.cs; Line=403; SourceLine=public override void OnSpeech(SpeechEventArgs 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</si>
  <si>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Pending current POST-BATCH-K commit</t>
  </si>
  <si>
    <t>2026-06-14T12:29:33.8414388-05:00</t>
  </si>
  <si>
    <t>HistoricalFile=Data/Scripts/Custom/Government System/Items/Stones/CityStableStone.cs; Risk=Runtime; POST-BATCH-K is audit/runtime-surface triage only. No command names, gump button IDs, PlayerMobile fields, region policy, XML/config, save layout, or gameplay behavior changed.</t>
  </si>
  <si>
    <t>RB-01910</t>
  </si>
  <si>
    <t>P10-F01910</t>
  </si>
  <si>
    <t>PBK-0004</t>
  </si>
  <si>
    <t>CurrentFile=Data/Scripts/Custom/Government System/Items/Stones/CityStableStone.cs; Line=421; SourceLine=base.OnSpeech(e);;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</si>
  <si>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RB-01911</t>
  </si>
  <si>
    <t>P10-F01911</t>
  </si>
  <si>
    <t>PBK-0005</t>
  </si>
  <si>
    <t>CurrentFile=Data/Scripts/Custom/Government System/NPC Vendor Mall 2.1/LandLord.cs; Line=76; SourceLine=public override void OnSpeech(SpeechEventArgs 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</si>
  <si>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HistoricalFile=Data/Scripts/Custom/Government System/NPC Vendor Mall 2.1/LandLord.cs; Risk=Runtime; POST-BATCH-K is audit/runtime-surface triage only. No command names, gump button IDs, PlayerMobile fields, region policy, XML/config, save layout, or gameplay behavior changed.</t>
  </si>
  <si>
    <t>RB-01912</t>
  </si>
  <si>
    <t>P10-F01912</t>
  </si>
  <si>
    <t>PBK-0006</t>
  </si>
  <si>
    <t>CurrentFile=Data/Scripts/Custom/Government System/NPC Vendor Mall 2.1/LandLord.cs; Line=90; SourceLine=base.OnSpeech(e);;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</si>
  <si>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RB-01913</t>
  </si>
  <si>
    <t>P10-F01913</t>
  </si>
  <si>
    <t>Data/Scripts/Custom/Government System/Regions/PlayerCityRegion.cs</t>
  </si>
  <si>
    <t>PBK-0007</t>
  </si>
  <si>
    <t>CurrentFile=Data/Scripts/Custom/Government System/Regions/PlayerCityRegion.cs; Line=236; SourceLine=public override void OnSpeech(SpeechEventArgs e); PathResolution=OriginalPathCurrent; MatchQuality=RuntimeHookMapFileLine; HookKind=Speech; GuardList=AccessGuard;BoundsGuard;MapGuard;NullGuard;StateGuard; Access=; Command=; Handler=; DisabledEvidence=False; RuntimeHookMap=HookType=Speech;Marker=OnSpeech;Access=GlobalOrInternal;Risk=High;Guards=AccessGuard;BoundsGuard;MapGuard;NullGuard;StateGuard</t>
  </si>
  <si>
    <t>HistoricalFile=Data/Scripts/Custom/Government System/Regions/PlayerCityRegion.cs; Risk=Runtime; POST-BATCH-K is audit/runtime-surface triage only. No command names, gump button IDs, PlayerMobile fields, region policy, XML/config, save layout, or gameplay behavior changed.</t>
  </si>
  <si>
    <t>RB-01914</t>
  </si>
  <si>
    <t>P10-F01914</t>
  </si>
  <si>
    <t>PBK-0008</t>
  </si>
  <si>
    <t>CurrentFile=Data/Scripts/Custom/Government System/Regions/PlayerCityRegion.cs; Line=267; SourceLine=base.OnSpeech(e);; PathResolution=OriginalPathCurrent; MatchQuality=RuntimeHookMapFileLine; HookKind=Speech; GuardList=AccessGuard;BoundsGuard;MapGuard;NullGuard;StateGuard; Access=; Command=; Handler=; DisabledEvidence=False; RuntimeHookMap=HookType=Speech;Marker=OnSpeech;Access=GlobalOrInternal;Risk=High;Guards=AccessGuard;BoundsGuard;MapGuard;NullGuard;StateGuard</t>
  </si>
  <si>
    <t>RB-01915</t>
  </si>
  <si>
    <t>P10-F01915</t>
  </si>
  <si>
    <t>Data/Scripts/Custom/Government System/Vendor/CityPlayerVendor.cs</t>
  </si>
  <si>
    <t>PBK-0009</t>
  </si>
  <si>
    <t>CurrentFile=Data/Scripts/Custom/Government System/Vendor/CityPlayerVendor.cs; Line=333; SourceLine=public override void OnSpeech(SpeechEventArgs 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</si>
  <si>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HistoricalFile=Data/Scripts/Custom/Government System/Vendor/CityPlayerVendor.cs; Risk=Runtime; POST-BATCH-K is audit/runtime-surface triage only. No command names, gump button IDs, PlayerMobile fields, region policy, XML/config, save layout, or gameplay behavior changed.</t>
  </si>
  <si>
    <t>RB-01916</t>
  </si>
  <si>
    <t>P10-F01916</t>
  </si>
  <si>
    <t>PBK-0010</t>
  </si>
  <si>
    <t>CurrentFile=Data/Scripts/Custom/Government System/Vendor/CityPlayerVendor.cs; Line=350; SourceLine=base.OnSpeech(e);;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</si>
  <si>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RB-01917</t>
  </si>
  <si>
    <t>P10-F01917</t>
  </si>
  <si>
    <t>Data/Scripts/Custom/PvPConsent/GoddessOfProtection.cs</t>
  </si>
  <si>
    <t>PBK-0011</t>
  </si>
  <si>
    <t>CurrentFile=Data/Scripts/Custom/PvPConsent/GoddessOfProtection.cs; Line=91; SourceLine=public override void OnSpeech(SpeechEventArgs e); PathResolution=OriginalPathCurrent; MatchQuality=RuntimeHookMapFileLine; HookKind=Speech; GuardList=BoundsGuard;NullGuard;PacketReadGuard;RangeGuard;StateGuard; Access=; Command=; Handler=; DisabledEvidence=False; RuntimeHookMap=HookType=Speech;Marker=OnSpeech;Access=GlobalOrInternal;Risk=High;Guards=BoundsGuard;NullGuard;PacketReadGuard;RangeGuard;StateGuard</t>
  </si>
  <si>
    <t>HistoricalFile=Data/Scripts/Custom/PvPConsent/GoddessOfProtection.cs; Risk=Runtime; POST-BATCH-K is audit/runtime-surface triage only. No command names, gump button IDs, PlayerMobile fields, region policy, XML/config, save layout, or gameplay behavior changed.</t>
  </si>
  <si>
    <t>RB-01918</t>
  </si>
  <si>
    <t>P10-F01918</t>
  </si>
  <si>
    <t>PBK-0012</t>
  </si>
  <si>
    <t>CurrentFile=Data/Scripts/Custom/XMLSpawner/XmlSpawner2.cs; Line=3934; SourceLine=}; PathResolution=OriginalPathCurrent; MatchQuality=CurrentSourceLine; HookKind=Speech; GuardList=AccessGuard;BoundsGuard;DeletedGuard;MapGuard;NullGuard;PacketReadGuard;RangeGuard;StateGuard; Access=; Command=; Handler=; DisabledEvidence=False</t>
  </si>
  <si>
    <t>HistoricalFile=Data/Scripts/Custom/XMLSpawner/XmlSpawner2.cs; Risk=Runtime; POST-BATCH-K is audit/runtime-surface triage only. No command names, gump button IDs, PlayerMobile fields, region policy, XML/config, save layout, or gameplay behavior changed.</t>
  </si>
  <si>
    <t>RB-01920</t>
  </si>
  <si>
    <t>P10-F01920</t>
  </si>
  <si>
    <t>PBK-0014</t>
  </si>
  <si>
    <t>CurrentFile=Data/Scripts/Custom/XMLSpawner/XmlAttach/XmlAttach.cs; Line=1269; SourceLine=foreach (XmlAttachment a in alist); PathResolution=OriginalPathCurrent; MatchQuality=CurrentSourceLine; HookKind=Speech; GuardList=AccessGuard;BoundsGuard;DeletedGuard;MapGuard;NullGuard;PacketReadGuard;RangeGuard;StateGuard; Access=; Command=; Handler=; DisabledEvidence=False</t>
  </si>
  <si>
    <t>HistoricalFile=Data/Scripts/Custom/XMLSpawner/XmlAttach/XmlAttach.cs; Risk=Runtime; POST-BATCH-K is audit/runtime-surface triage only. No command names, gump button IDs, PlayerMobile fields, region policy, XML/config, save layout, or gameplay behavior changed.</t>
  </si>
  <si>
    <t>RB-01921</t>
  </si>
  <si>
    <t>P10-F01921</t>
  </si>
  <si>
    <t>PBK-0015</t>
  </si>
  <si>
    <t>CurrentFile=Data/Scripts/Custom/XMLSpawner/XmlAttach/XmlAttach.cs; Line=1293; SourceLine=continue;; PathResolution=OriginalPathCurrent; MatchQuality=CurrentSourceLine; HookKind=Speech; GuardList=AccessGuard;BoundsGuard;DeletedGuard;MapGuard;NullGuard;PacketReadGuard;RangeGuard;StateGuard; Access=; Command=; Handler=; DisabledEvidence=False</t>
  </si>
  <si>
    <t>RB-01922</t>
  </si>
  <si>
    <t>P10-F01922</t>
  </si>
  <si>
    <t>PBK-0016</t>
  </si>
  <si>
    <t>CurrentFile=Data/Scripts/Custom/XMLSpawner/XmlAttach/XmlAttach.cs; Line=1323; SourceLine=foreach (XmlAttachment a in alist); PathResolution=OriginalPathCurrent; MatchQuality=CurrentSourceLine; HookKind=Speech; GuardList=AccessGuard;BoundsGuard;DeletedGuard;MapGuard;NullGuard;PacketReadGuard;RangeGuard;StateGuard; Access=; Command=; Handler=; DisabledEvidence=False</t>
  </si>
  <si>
    <t>RB-01923</t>
  </si>
  <si>
    <t>P10-F01923</t>
  </si>
  <si>
    <t>PBK-0017</t>
  </si>
  <si>
    <t>CurrentFile=Data/Scripts/Custom/XMLSpawner/XmlAttach/XmlAttach.cs; Line=1351; SourceLine=foreach (XmlAttachment a in alist); PathResolution=OriginalPathCurrent; MatchQuality=CurrentSourceLine; HookKind=Speech; GuardList=AccessGuard;BoundsGuard;DeletedGuard;MapGuard;NullGuard;PacketReadGuard;RangeGuard;StateGuard; Access=; Command=; Handler=; DisabledEvidence=False</t>
  </si>
  <si>
    <t>RB-01924</t>
  </si>
  <si>
    <t>P10-F01924</t>
  </si>
  <si>
    <t>PBK-0018</t>
  </si>
  <si>
    <t>CurrentFile=Data/Scripts/Custom/XMLSpawner/XmlAttach/XmlAttachment.cs; Line=37; SourceLine=void OnSpeech(SpeechEventArgs args);; PathResolution=OriginalPathCurrent; MatchQuality=RuntimeHookMapFileLine; HookKind=Speech; GuardList=AccessGuard;BoundsGuard;DeletedGuard;NullGuard;PacketReadGuard;StateGuard; Access=; Command=; Handler=; DisabledEvidence=False; RuntimeHookMap=HookType=Speech;Marker=OnSpeech;Access=GlobalOrInternal;Risk=High;Guards=AccessGuard;BoundsGuard;DeletedGuard;NullGuard;PacketReadGuard;StateGuard</t>
  </si>
  <si>
    <t>HistoricalFile=Data/Scripts/Custom/XMLSpawner/XmlAttach/XmlAttachment.cs; Risk=Runtime; POST-BATCH-K is audit/runtime-surface triage only. No command names, gump button IDs, PlayerMobile fields, region policy, XML/config, save layout, or gameplay behavior changed.</t>
  </si>
  <si>
    <t>RB-01925</t>
  </si>
  <si>
    <t>P10-F01925</t>
  </si>
  <si>
    <t>PBK-0019</t>
  </si>
  <si>
    <t>CurrentFile=Data/Scripts/Custom/XMLSpawner/XmlAttach/XmlAttachment.cs; Line=389; SourceLine=public virtual void OnSpeech(SpeechEventArgs args) { }; PathResolution=OriginalPathCurrent; MatchQuality=RuntimeHookMapFileLine; HookKind=Speech; GuardList=AccessGuard;BoundsGuard;DeletedGuard;NullGuard;PacketReadGuard;StateGuard; Access=; Command=; Handler=; DisabledEvidence=False; RuntimeHookMap=HookType=Speech;Marker=OnSpeech;Access=GlobalOrInternal;Risk=High;Guards=AccessGuard;BoundsGuard;DeletedGuard;NullGuard;PacketReadGuard;StateGuard</t>
  </si>
  <si>
    <t>RB-01926</t>
  </si>
  <si>
    <t>P10-F01926</t>
  </si>
  <si>
    <t>PBK-0020</t>
  </si>
  <si>
    <t>CurrentFile=Data/Scripts/Custom/XMLSpawner/XmlAttachments/XmlDialog.cs; Line=1044; SourceLine=public override void OnSpeech(SpeechEventArgs 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</si>
  <si>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HistoricalFile=Data/Scripts/Custom/XMLSpawner/XmlAttachments/XmlDialog.cs; Risk=Runtime; POST-BATCH-K is audit/runtime-surface triage only. No command names, gump button IDs, PlayerMobile fields, region policy, XML/config, save layout, or gameplay behavior changed.</t>
  </si>
  <si>
    <t>RB-01927</t>
  </si>
  <si>
    <t>P10-F01927</t>
  </si>
  <si>
    <t>PBK-0021</t>
  </si>
  <si>
    <t>CurrentFile=Data/Scripts/Custom/XMLSpawner/XmlAttachments/XmlDialog.cs; Line=1105; SourceLine=base.OnSpeech(e);;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</si>
  <si>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RB-01928</t>
  </si>
  <si>
    <t>P10-F01928</t>
  </si>
  <si>
    <t>PBK-0022</t>
  </si>
  <si>
    <t>CurrentFile=Data/Scripts/Custom/XMLSpawner/XmlAttachments/XmlMagicWord.cs; Line=184; SourceLine=public override void OnSpeech(SpeechEventArgs e); PathResolution=OriginalPathCurrent; MatchQuality=RuntimeHookMapFileLine; HookKind=Speech; GuardList=AccessGuard;BoundsGuard;MapGuard;NullGuard;PacketReadGuard;StateGuard; Access=; Command=; Handler=; DisabledEvidence=False; RuntimeHookMap=HookType=Speech;Marker=OnSpeech;Access=GlobalOrInternal;Risk=High;Guards=AccessGuard;BoundsGuard;MapGuard;NullGuard;PacketReadGuard;StateGuard</t>
  </si>
  <si>
    <t>HistoricalFile=Data/Scripts/Custom/XMLSpawner/XmlAttachments/XmlMagicWord.cs; Risk=Runtime; POST-BATCH-K is audit/runtime-surface triage only. No command names, gump button IDs, PlayerMobile fields, region policy, XML/config, save layout, or gameplay behavior changed.</t>
  </si>
  <si>
    <t>RB-01929</t>
  </si>
  <si>
    <t>P10-F01929</t>
  </si>
  <si>
    <t>PBK-0023</t>
  </si>
  <si>
    <t>CurrentFile=Data/Scripts/Custom/XMLSpawner/XmlAttachments/XmlMagicWord.cs; Line=186; SourceLine=base.OnSpeech(e);; PathResolution=OriginalPathCurrent; MatchQuality=RuntimeHookMapFileLine; HookKind=Speech; GuardList=AccessGuard;BoundsGuard;MapGuard;NullGuard;PacketReadGuard;StateGuard; Access=; Command=; Handler=; DisabledEvidence=False; RuntimeHookMap=HookType=Speech;Marker=OnSpeech;Access=GlobalOrInternal;Risk=High;Guards=AccessGuard;BoundsGuard;MapGuard;NullGuard;PacketReadGuard;StateGuard</t>
  </si>
  <si>
    <t>RB-01930</t>
  </si>
  <si>
    <t>P10-F01930</t>
  </si>
  <si>
    <t>PBK-0024</t>
  </si>
  <si>
    <t>CurrentFile=Data/Scripts/Custom/XMLSpawner/XmlAttachments/XmlMessage.cs; Line=168; SourceLine=public override void OnSpeech(SpeechEventArgs e); PathResolution=OriginalPathCurrent; MatchQuality=RuntimeHookMapFileLine; HookKind=Speech; GuardList=AccessGuard;BoundsGuard;NullGuard;PacketReadGuard;RangeGuard;StateGuard; Access=; Command=; Handler=; DisabledEvidence=False; RuntimeHookMap=HookType=Speech;Marker=OnSpeech;Access=GlobalOrInternal;Risk=High;Guards=AccessGuard;BoundsGuard;NullGuard;PacketReadGuard;RangeGuard;StateGuard</t>
  </si>
  <si>
    <t>HistoricalFile=Data/Scripts/Custom/XMLSpawner/XmlAttachments/XmlMessage.cs; Risk=Runtime; POST-BATCH-K is audit/runtime-surface triage only. No command names, gump button IDs, PlayerMobile fields, region policy, XML/config, save layout, or gameplay behavior changed.</t>
  </si>
  <si>
    <t>RB-01931</t>
  </si>
  <si>
    <t>P10-F01931</t>
  </si>
  <si>
    <t>PBK-0025</t>
  </si>
  <si>
    <t>CurrentFile=Data/Scripts/Custom/XMLSpawner/XmlAttachments/XmlMessage.cs; Line=170; SourceLine=base.OnSpeech(e);; PathResolution=OriginalPathCurrent; MatchQuality=RuntimeHookMapFileLine; HookKind=Speech; GuardList=AccessGuard;BoundsGuard;NullGuard;PacketReadGuard;RangeGuard;StateGuard; Access=; Command=; Handler=; DisabledEvidence=False; RuntimeHookMap=HookType=Speech;Marker=OnSpeech;Access=GlobalOrInternal;Risk=High;Guards=AccessGuard;BoundsGuard;NullGuard;PacketReadGuard;RangeGuard;StateGuard</t>
  </si>
  <si>
    <t>RB-01932</t>
  </si>
  <si>
    <t>P10-F01932</t>
  </si>
  <si>
    <t>PBK-0026</t>
  </si>
  <si>
    <t>CurrentFile=Data/Scripts/Custom/XMLSpawner/XmlAttachments/XmlMorph.cs; Line=185; SourceLine=public override void OnSpeech(SpeechEventArgs e); PathResolution=OriginalPathCurrent; MatchQuality=RuntimeHookMapFileLine; HookKind=Speech; GuardList=AccessGuard;BoundsGuard;DeletedGuard;NullGuard;PacketReadGuard;RangeGuard;StateGuard; Access=; Command=; Handler=; DisabledEvidence=False; RuntimeHookMap=HookType=Speech;Marker=OnSpeech;Access=GlobalOrInternal;Risk=High;Guards=AccessGuard;BoundsGuard;DeletedGuard;NullGuard;PacketReadGuard;RangeGuard;StateGuard</t>
  </si>
  <si>
    <t>HistoricalFile=Data/Scripts/Custom/XMLSpawner/XmlAttachments/XmlMorph.cs; Risk=Runtime; POST-BATCH-K is audit/runtime-surface triage only. No command names, gump button IDs, PlayerMobile fields, region policy, XML/config, save layout, or gameplay behavior changed.</t>
  </si>
  <si>
    <t>RB-01933</t>
  </si>
  <si>
    <t>P10-F01933</t>
  </si>
  <si>
    <t>PBK-0027</t>
  </si>
  <si>
    <t>CurrentFile=Data/Scripts/Custom/XMLSpawner/XmlAttachments/XmlMorph.cs; Line=187; SourceLine=base.OnSpeech(e);; PathResolution=OriginalPathCurrent; MatchQuality=RuntimeHookMapFileLine; HookKind=Speech; GuardList=AccessGuard;BoundsGuard;DeletedGuard;NullGuard;PacketReadGuard;RangeGuard;StateGuard; Access=; Command=; Handler=; DisabledEvidence=False; RuntimeHookMap=HookType=Speech;Marker=OnSpeech;Access=GlobalOrInternal;Risk=High;Guards=AccessGuard;BoundsGuard;DeletedGuard;NullGuard;PacketReadGuard;RangeGuard;StateGuard</t>
  </si>
  <si>
    <t>RB-01934</t>
  </si>
  <si>
    <t>P10-F01934</t>
  </si>
  <si>
    <t>PBK-0028</t>
  </si>
  <si>
    <t>CurrentFile=Data/Scripts/Custom/XMLSpawner/XmlAttachments/XmlSkill.cs; Line=176; SourceLine=public override void OnSpeech(SpeechEventArgs e); PathResolution=OriginalPathCurrent; MatchQuality=RuntimeHookMapFileLine; HookKind=Speech; GuardList=AccessGuard;NullGuard;PacketReadGuard;StateGuard; Access=; Command=; Handler=; DisabledEvidence=False; RuntimeHookMap=HookType=Speech;Marker=OnSpeech;Access=GlobalOrInternal;Risk=High;Guards=AccessGuard;NullGuard;PacketReadGuard;StateGuard</t>
  </si>
  <si>
    <t>HistoricalFile=Data/Scripts/Custom/XMLSpawner/XmlAttachments/XmlSkill.cs; Risk=Runtime; POST-BATCH-K is audit/runtime-surface triage only. No command names, gump button IDs, PlayerMobile fields, region policy, XML/config, save layout, or gameplay behavior changed.</t>
  </si>
  <si>
    <t>RB-01935</t>
  </si>
  <si>
    <t>P10-F01935</t>
  </si>
  <si>
    <t>PBK-0029</t>
  </si>
  <si>
    <t>CurrentFile=Data/Scripts/Custom/XMLSpawner/XmlAttachments/XmlSkill.cs; Line=178; SourceLine=base.OnSpeech(e);; PathResolution=OriginalPathCurrent; MatchQuality=RuntimeHookMapFileLine; HookKind=Speech; GuardList=AccessGuard;NullGuard;PacketReadGuard;StateGuard; Access=; Command=; Handler=; DisabledEvidence=False; RuntimeHookMap=HookType=Speech;Marker=OnSpeech;Access=GlobalOrInternal;Risk=High;Guards=AccessGuard;NullGuard;PacketReadGuard;StateGuard</t>
  </si>
  <si>
    <t>RB-01936</t>
  </si>
  <si>
    <t>P10-F01936</t>
  </si>
  <si>
    <t>PBK-0030</t>
  </si>
  <si>
    <t>CurrentFile=Data/Scripts/Custom/XMLSpawner/XmlAttachments/XmlSound.cs; Line=180; SourceLine=public override void OnSpeech(SpeechEventArgs 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</si>
  <si>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HistoricalFile=Data/Scripts/Custom/XMLSpawner/XmlAttachments/XmlSound.cs; Risk=Runtime; POST-BATCH-K is audit/runtime-surface triage only. No command names, gump button IDs, PlayerMobile fields, region policy, XML/config, save layout, or gameplay behavior changed.</t>
  </si>
  <si>
    <t>RB-01937</t>
  </si>
  <si>
    <t>P10-F01937</t>
  </si>
  <si>
    <t>PBK-0031</t>
  </si>
  <si>
    <t>CurrentFile=Data/Scripts/Custom/XMLSpawner/XmlAttachments/XmlSound.cs; Line=182; SourceLine=base.OnSpeech(e);;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</si>
  <si>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RB-01940</t>
  </si>
  <si>
    <t>P10-F01940</t>
  </si>
  <si>
    <t>Data/Scripts/Items/Doors/Moongates.cs</t>
  </si>
  <si>
    <t>PBK-0033</t>
  </si>
  <si>
    <t>CurrentFile=Data/Scripts/Items/Doors/Moongates.cs; Line=525; SourceLine=public override void OnSpeech(SpeechEventArgs 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</si>
  <si>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HistoricalFile=Data/Scripts/Items/Doors/Moongates.cs; Risk=Runtime; POST-BATCH-K is audit/runtime-surface triage only. No command names, gump button IDs, PlayerMobile fields, region policy, XML/config, save layout, or gameplay behavior changed.</t>
  </si>
  <si>
    <t>RB-01941</t>
  </si>
  <si>
    <t>P10-F01941</t>
  </si>
  <si>
    <t>Data/Scripts/Items/Doors/Teleporter.cs</t>
  </si>
  <si>
    <t>PBK-0034</t>
  </si>
  <si>
    <t>CurrentFile=Data/Scripts/Items/Doors/Teleporter.cs; Line=523; SourceLine=public override void OnSpeech(SpeechEventArgs e); PathResolution=OriginalPathCurrent; MatchQuality=RuntimeHookMapFileLine; HookKind=Speech; GuardList=AccessGuard;BoundsGuard;MapGuard;NullGuard;PacketReadGuard;RangeGuard;StateGuard; Access=; Command=; Handler=; DisabledEvidence=False; RuntimeHookMap=HookType=Speech;Marker=OnSpeech;Access=GlobalOrInternal;Risk=High;Guards=AccessGuard;BoundsGuard;MapGuard;NullGuard;PacketReadGuard;RangeGuard;StateGuard</t>
  </si>
  <si>
    <t>HistoricalFile=Data/Scripts/Items/Doors/Teleporter.cs; Risk=Runtime; POST-BATCH-K is audit/runtime-surface triage only. No command names, gump button IDs, PlayerMobile fields, region policy, XML/config, save layout, or gameplay behavior changed.</t>
  </si>
  <si>
    <t>RB-01942</t>
  </si>
  <si>
    <t>P10-F01942</t>
  </si>
  <si>
    <t>Data/Scripts/Items/Explorers/StableStone.cs</t>
  </si>
  <si>
    <t>PBK-0035</t>
  </si>
  <si>
    <t>CurrentFile=Data/Scripts/Items/Explorers/StableStone.cs; Line=404; SourceLine=public override void OnSpeech(SpeechEventArgs 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</si>
  <si>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HistoricalFile=Data/Scripts/Items/Explorers/StableStone.cs; Risk=Runtime; POST-BATCH-K is audit/runtime-surface triage only. No command names, gump button IDs, PlayerMobile fields, region policy, XML/config, save layout, or gameplay behavior changed.</t>
  </si>
  <si>
    <t>RB-01943</t>
  </si>
  <si>
    <t>P10-F01943</t>
  </si>
  <si>
    <t>PBK-0036</t>
  </si>
  <si>
    <t>CurrentFile=Data/Scripts/Items/Explorers/StableStone.cs; Line=422; SourceLine=base.OnSpeech(e);;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</si>
  <si>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RB-01946</t>
  </si>
  <si>
    <t>P10-F01946</t>
  </si>
  <si>
    <t>PBK-0038</t>
  </si>
  <si>
    <t>CurrentFile=Data/Scripts/Items/Misc/CommunicationCrystals.cs; Line=145; SourceLine=public override void OnSpeech(SpeechEventArgs 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</si>
  <si>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HistoricalFile=Data/Scripts/Items/Misc/CommunicationCrystals.cs; Risk=Runtime; POST-BATCH-K is audit/runtime-surface triage only. No command names, gump button IDs, PlayerMobile fields, region policy, XML/config, save layout, or gameplay behavior changed.</t>
  </si>
  <si>
    <t>RB-01948</t>
  </si>
  <si>
    <t>P10-F01948</t>
  </si>
  <si>
    <t>PBK-0040</t>
  </si>
  <si>
    <t>CurrentFile=Data/Scripts/Items/Misc/SerpentPillar.cs; Line=56; SourceLine=public override void OnSpeech(SpeechEventArgs e); PathResolution=OriginalPathCurrent; MatchQuality=RuntimeHookMapFileLine; HookKind=Speech; GuardList=AccessGuard;MapGuard;NullGuard;PacketReadGuard;RangeGuard;StateGuard; Access=; Command=; Handler=; DisabledEvidence=False; RuntimeHookMap=HookType=Speech;Marker=OnSpeech;Access=GlobalOrInternal;Risk=High;Guards=AccessGuard;MapGuard;NullGuard;PacketReadGuard;RangeGuard;StateGuard</t>
  </si>
  <si>
    <t>HistoricalFile=Data/Scripts/Items/Misc/SerpentPillar.cs; Risk=Runtime; POST-BATCH-K is audit/runtime-surface triage only. No command names, gump button IDs, PlayerMobile fields, region policy, XML/config, save layout, or gameplay behavior changed.</t>
  </si>
  <si>
    <t>RB-01950</t>
  </si>
  <si>
    <t>P10-F01950</t>
  </si>
  <si>
    <t>PBK-0042</t>
  </si>
  <si>
    <t>CurrentFile=Data/Scripts/Mobiles/Base/BaseCreature.cs; Line=8586; SourceLine=}; PathResolution=OriginalPathCurrent; MatchQuality=CurrentSourceLine; HookKind=Speech; GuardList=AccessGuard;BoundsGuard;DeletedGuard;MapGuard;NullGuard;PacketReadGuard;RangeGuard;StateGuard; Access=; Command=; Handler=; DisabledEvidence=False</t>
  </si>
  <si>
    <t>HistoricalFile=Data/Scripts/Mobiles/Base/BaseCreature.cs; Risk=Runtime; POST-BATCH-K is audit/runtime-surface triage only. No command names, gump button IDs, PlayerMobile fields, region policy, XML/config, save layout, or gameplay behavior changed.</t>
  </si>
  <si>
    <t>RB-01951</t>
  </si>
  <si>
    <t>P10-F01951</t>
  </si>
  <si>
    <t>PBK-0043</t>
  </si>
  <si>
    <t>CurrentFile=Data/Scripts/Mobiles/Base/BaseCreature.cs; Line=8590; SourceLine={; PathResolution=OriginalPathCurrent; MatchQuality=CurrentSourceLine; HookKind=Speech; GuardList=AccessGuard;BoundsGuard;DeletedGuard;MapGuard;NullGuard;PacketReadGuard;RangeGuard;StateGuard; Access=; Command=; Handler=; DisabledEvidence=False</t>
  </si>
  <si>
    <t>RB-01952</t>
  </si>
  <si>
    <t>P10-F01952</t>
  </si>
  <si>
    <t>PBK-0044</t>
  </si>
  <si>
    <t>CurrentFile=Data/Scripts/Mobiles/Base/BaseCreature.cs; Line=8593; SourceLine=if (; PathResolution=OriginalPathCurrent; MatchQuality=CurrentSourceLine; HookKind=Speech; GuardList=AccessGuard;BoundsGuard;DeletedGuard;MapGuard;NullGuard;PacketReadGuard;RangeGuard;StateGuard; Access=; Command=; Handler=; DisabledEvidence=False</t>
  </si>
  <si>
    <t>RB-01953</t>
  </si>
  <si>
    <t>P10-F01953</t>
  </si>
  <si>
    <t>PBK-0045</t>
  </si>
  <si>
    <t>CurrentFile=Data/Scripts/Mobiles/Base/Behavior.cs; Line=10002; SourceLine=SkillName.MagicResist,; PathResolution=OriginalPathCurrent; MatchQuality=CurrentSourceLine; HookKind=Speech; GuardList=AccessGuard;BoundsGuard;DeletedGuard;MapGuard;NullGuard;PacketReadGuard;RangeGuard;StateGuard; Access=; Command=; Handler=; DisabledEvidence=False</t>
  </si>
  <si>
    <t>HistoricalFile=Data/Scripts/Mobiles/Base/Behavior.cs; Risk=Runtime; POST-BATCH-K is audit/runtime-surface triage only. No command names, gump button IDs, PlayerMobile fields, region policy, XML/config, save layout, or gameplay behavior changed.</t>
  </si>
  <si>
    <t>RB-01954</t>
  </si>
  <si>
    <t>P10-F01954</t>
  </si>
  <si>
    <t>PBK-0046</t>
  </si>
  <si>
    <t>CurrentFile=Data/Scripts/Mobiles/Base/Behavior.cs; Line=15543; SourceLine=else; PathResolution=OriginalPathCurrent; MatchQuality=CurrentSourceLine; HookKind=Speech; GuardList=AccessGuard;BoundsGuard;DeletedGuard;MapGuard;NullGuard;PacketReadGuard;RangeGuard;StateGuard; Access=; Command=; Handler=; DisabledEvidence=False</t>
  </si>
  <si>
    <t>RB-01955</t>
  </si>
  <si>
    <t>P10-F01955</t>
  </si>
  <si>
    <t>PBK-0047</t>
  </si>
  <si>
    <t>CurrentFile=Data/Scripts/Mobiles/Base/Behavior.cs; Line=15545; SourceLine=if (m_Mobile.FocusMob != null); PathResolution=OriginalPathCurrent; MatchQuality=CurrentSourceLine; HookKind=Speech; GuardList=AccessGuard;BoundsGuard;DeletedGuard;MapGuard;NullGuard;PacketReadGuard;RangeGuard;StateGuard; Access=; Command=; Handler=; DisabledEvidence=False</t>
  </si>
  <si>
    <t>RB-01956</t>
  </si>
  <si>
    <t>P10-F01956</t>
  </si>
  <si>
    <t>PBK-0048</t>
  </si>
  <si>
    <t>CurrentFile=Data/Scripts/Mobiles/Base/PlayerBarkeeper.cs; Line=276; SourceLine=public override void OnSpeech(SpeechEventArgs e); PathResolution=OriginalPathCurrent; MatchQuality=RuntimeHookMapFileLine; HookKind=Speech; GuardList=AccessGuard;BoundsGuard;DeletedGuard;NullGuard;PacketReadGuard;RangeGuard;StateGuard; Access=; Command=; Handler=; DisabledEvidence=False; RuntimeHookMap=HookType=Speech;Marker=OnSpeech;Access=GlobalOrInternal;Risk=High;Guards=AccessGuard;BoundsGuard;DeletedGuard;NullGuard;PacketReadGuard;RangeGuard;StateGuard</t>
  </si>
  <si>
    <t>HistoricalFile=Data/Scripts/Mobiles/Base/PlayerBarkeeper.cs; Risk=Runtime; POST-BATCH-K is audit/runtime-surface triage only. No command names, gump button IDs, PlayerMobile fields, region policy, XML/config, save layout, or gameplay behavior changed.</t>
  </si>
  <si>
    <t>RB-01957</t>
  </si>
  <si>
    <t>P10-F01957</t>
  </si>
  <si>
    <t>PBK-0049</t>
  </si>
  <si>
    <t>CurrentFile=Data/Scripts/Mobiles/Base/PlayerBarkeeper.cs; Line=278; SourceLine=base.OnSpeech(e);; PathResolution=OriginalPathCurrent; MatchQuality=RuntimeHookMapFileLine; HookKind=Speech; GuardList=AccessGuard;BoundsGuard;DeletedGuard;NullGuard;PacketReadGuard;RangeGuard;StateGuard; Access=; Command=; Handler=; DisabledEvidence=False; RuntimeHookMap=HookType=Speech;Marker=OnSpeech;Access=GlobalOrInternal;Risk=High;Guards=AccessGuard;BoundsGuard;DeletedGuard;NullGuard;PacketReadGuard;RangeGuard;StateGuard</t>
  </si>
  <si>
    <t>RB-01958</t>
  </si>
  <si>
    <t>P10-F01958</t>
  </si>
  <si>
    <t>PBK-0050</t>
  </si>
  <si>
    <t>CurrentFile=Data/Scripts/Mobiles/Base/PlayerMobile.cs; Line=6226; SourceLine=loc = dungeon.EntranceLocation;; PathResolution=OriginalPathCurrent; MatchQuality=CurrentSourceLine; HookKind=Speech; GuardList=AccessGuard;BoundsGuard;DeletedGuard;MapGuard;NullGuard;PacketReadGuard;RangeGuard;StateGuard; Access=; Command=; Handler=; DisabledEvidence=False</t>
  </si>
  <si>
    <t>HistoricalFile=Data/Scripts/Mobiles/Base/PlayerMobile.cs; Risk=Runtime; POST-BATCH-K is audit/runtime-surface triage only. No command names, gump button IDs, PlayerMobile fields, region policy, XML/config, save layout, or gameplay behavior changed.</t>
  </si>
  <si>
    <t>RB-01959</t>
  </si>
  <si>
    <t>P10-F01959</t>
  </si>
  <si>
    <t>PBK-0051</t>
  </si>
  <si>
    <t>CurrentFile=Data/Scripts/Mobiles/Base/PlayerVendor.cs; Line=1311; SourceLine=public override void OnSpeech(SpeechEventArgs 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</si>
  <si>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HistoricalFile=Data/Scripts/Mobiles/Base/PlayerVendor.cs; Risk=Runtime; POST-BATCH-K is audit/runtime-surface triage only. No command names, gump button IDs, PlayerMobile fields, region policy, XML/config, save layout, or gameplay behavior changed.</t>
  </si>
  <si>
    <t>RB-01960</t>
  </si>
  <si>
    <t>P10-F01960</t>
  </si>
  <si>
    <t>Data/Scripts/Mobiles/Civilized/Comrades/HenchmanArcher.cs</t>
  </si>
  <si>
    <t>PBK-0052</t>
  </si>
  <si>
    <t>CurrentFile=Data/Scripts/Mobiles/Civilized/Comrades/HenchmanArcher.cs; Line=111; SourceLine=public override void OnSpeech(SpeechEventArgs 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</si>
  <si>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HistoricalFile=Data/Scripts/Mobiles/Civilized/Comrades/HenchmanArcher.cs; Risk=Runtime; POST-BATCH-K is audit/runtime-surface triage only. No command names, gump button IDs, PlayerMobile fields, region policy, XML/config, save layout, or gameplay behavior changed.</t>
  </si>
  <si>
    <t>RB-01961</t>
  </si>
  <si>
    <t>P10-F01961</t>
  </si>
  <si>
    <t>PBK-0053</t>
  </si>
  <si>
    <t>CurrentFile=Data/Scripts/Mobiles/Civilized/Comrades/HenchmanArcher.cs; Line=117; SourceLine=base.OnSpeech(e);;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</si>
  <si>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RB-01962</t>
  </si>
  <si>
    <t>P10-F01962</t>
  </si>
  <si>
    <t>Data/Scripts/Mobiles/Civilized/Comrades/HenchmanFighter.cs</t>
  </si>
  <si>
    <t>PBK-0054</t>
  </si>
  <si>
    <t>CurrentFile=Data/Scripts/Mobiles/Civilized/Comrades/HenchmanFighter.cs; Line=111; SourceLine=public override void OnSpeech(SpeechEventArgs e); PathResolution=OriginalPathCurrent; MatchQuality=RuntimeHookMapFileLine; HookKind=Speech; GuardList=PacketReadGuard;StateGuard; Access=; Command=; Handler=; DisabledEvidence=False; RuntimeHookMap=HookType=Speech;Marker=OnSpeech;Access=GlobalOrInternal;Risk=High;Guards=PacketReadGuard;StateGuard</t>
  </si>
  <si>
    <t>HistoricalFile=Data/Scripts/Mobiles/Civilized/Comrades/HenchmanFighter.cs; Risk=Runtime; POST-BATCH-K is audit/runtime-surface triage only. No command names, gump button IDs, PlayerMobile fields, region policy, XML/config, save layout, or gameplay behavior changed.</t>
  </si>
  <si>
    <t>RB-01963</t>
  </si>
  <si>
    <t>P10-F01963</t>
  </si>
  <si>
    <t>PBK-0055</t>
  </si>
  <si>
    <t>CurrentFile=Data/Scripts/Mobiles/Civilized/Comrades/HenchmanFighter.cs; Line=117; SourceLine=base.OnSpeech(e);; PathResolution=OriginalPathCurrent; MatchQuality=RuntimeHookMapFileLine; HookKind=Speech; GuardList=PacketReadGuard;StateGuard; Access=; Command=; Handler=; DisabledEvidence=False; RuntimeHookMap=HookType=Speech;Marker=OnSpeech;Access=GlobalOrInternal;Risk=High;Guards=PacketReadGuard;StateGuard</t>
  </si>
  <si>
    <t>RB-01964</t>
  </si>
  <si>
    <t>P10-F01964</t>
  </si>
  <si>
    <t>Data/Scripts/Mobiles/Civilized/Comrades/HenchmanMonster.cs</t>
  </si>
  <si>
    <t>PBK-0056</t>
  </si>
  <si>
    <t>CurrentFile=Data/Scripts/Mobiles/Civilized/Comrades/HenchmanMonster.cs; Line=163; SourceLine=public override void OnSpeech(SpeechEventArgs 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</si>
  <si>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HistoricalFile=Data/Scripts/Mobiles/Civilized/Comrades/HenchmanMonster.cs; Risk=Runtime; POST-BATCH-K is audit/runtime-surface triage only. No command names, gump button IDs, PlayerMobile fields, region policy, XML/config, save layout, or gameplay behavior changed.</t>
  </si>
  <si>
    <t>RB-01965</t>
  </si>
  <si>
    <t>P10-F01965</t>
  </si>
  <si>
    <t>PBK-0057</t>
  </si>
  <si>
    <t>CurrentFile=Data/Scripts/Mobiles/Civilized/Comrades/HenchmanMonster.cs; Line=169; SourceLine=base.OnSpeech(e);;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</si>
  <si>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RB-01966</t>
  </si>
  <si>
    <t>P10-F01966</t>
  </si>
  <si>
    <t>Data/Scripts/Mobiles/Civilized/Comrades/HenchmanWizard.cs</t>
  </si>
  <si>
    <t>PBK-0058</t>
  </si>
  <si>
    <t>CurrentFile=Data/Scripts/Mobiles/Civilized/Comrades/HenchmanWizard.cs; Line=116; SourceLine=public override void OnSpeech(SpeechEventArgs 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</si>
  <si>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HistoricalFile=Data/Scripts/Mobiles/Civilized/Comrades/HenchmanWizard.cs; Risk=Runtime; POST-BATCH-K is audit/runtime-surface triage only. No command names, gump button IDs, PlayerMobile fields, region policy, XML/config, save layout, or gameplay behavior changed.</t>
  </si>
  <si>
    <t>RB-01967</t>
  </si>
  <si>
    <t>P10-F01967</t>
  </si>
  <si>
    <t>PBK-0059</t>
  </si>
  <si>
    <t>CurrentFile=Data/Scripts/Mobiles/Civilized/Comrades/HenchmanWizard.cs; Line=122; SourceLine=base.OnSpeech(e);; PathResolution=OriginalPathCurrent; MatchQuality=RuntimeHookMapFileLine; HookKind=Speech; GuardList=PacketReadGuard;RangeGuard;StateGuard; Access=; Command=; Handler=; DisabledEvidence=False; RuntimeHookMap=HookType=Speech;Marker=OnSpeech;Access=GlobalOrInternal;Risk=High;Guards=PacketReadGuard;RangeGuard;StateGuard</t>
  </si>
  <si>
    <t>RB-01968</t>
  </si>
  <si>
    <t>P10-F01968</t>
  </si>
  <si>
    <t>Data/Scripts/Mobiles/Civilized/Vendors/AnimalTrainer.cs</t>
  </si>
  <si>
    <t>PBK-0060</t>
  </si>
  <si>
    <t>CurrentFile=Data/Scripts/Mobiles/Civilized/Vendors/AnimalTrainer.cs; Line=895; SourceLine=public override void OnSpeech(SpeechEventArgs 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</si>
  <si>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HistoricalFile=Data/Scripts/Mobiles/Civilized/Vendors/AnimalTrainer.cs; Risk=Runtime; POST-BATCH-K is audit/runtime-surface triage only. No command names, gump button IDs, PlayerMobile fields, region policy, XML/config, save layout, or gameplay behavior changed.</t>
  </si>
  <si>
    <t>RB-01969</t>
  </si>
  <si>
    <t>P10-F01969</t>
  </si>
  <si>
    <t>PBK-0061</t>
  </si>
  <si>
    <t>CurrentFile=Data/Scripts/Mobiles/Civilized/Vendors/AnimalTrainer.cs; Line=919; SourceLine=base.OnSpeech(e);;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</si>
  <si>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RB-01970</t>
  </si>
  <si>
    <t>P10-F01970</t>
  </si>
  <si>
    <t>Data/Scripts/Mobiles/Civilized/Vendors/Banker.cs</t>
  </si>
  <si>
    <t>PBK-0062</t>
  </si>
  <si>
    <t>CurrentFile=Data/Scripts/Mobiles/Civilized/Vendors/Banker.cs; Line=233; SourceLine=public override void OnSpeech(SpeechEventArgs e); PathResolution=OriginalPathCurrent; MatchQuality=RuntimeHookMapFileLine; HookKind=Speech; GuardList=BoundsGuard;DeletedGuard;NullGuard;PacketReadGuard;RangeGuard;StateGuard; Access=; Command=; Handler=; DisabledEvidence=False; RuntimeHookMap=HookType=Speech;Marker=OnSpeech;Access=GlobalOrInternal;Risk=High;Guards=BoundsGuard;DeletedGuard;NullGuard;PacketReadGuard;RangeGuard;StateGuard</t>
  </si>
  <si>
    <t>HistoricalFile=Data/Scripts/Mobiles/Civilized/Vendors/Banker.cs; Risk=Runtime; POST-BATCH-K is audit/runtime-surface triage only. No command names, gump button IDs, PlayerMobile fields, region policy, XML/config, save layout, or gameplay behavior changed.</t>
  </si>
  <si>
    <t>RB-01971</t>
  </si>
  <si>
    <t>P10-F01971</t>
  </si>
  <si>
    <t>PBK-0063</t>
  </si>
  <si>
    <t>CurrentFile=Data/Scripts/Mobiles/Civilized/Vendors/Banker.cs; Line=368; SourceLine=base.OnSpeech(e);; PathResolution=OriginalPathCurrent; MatchQuality=RuntimeHookMapFileLine; HookKind=Speech; GuardList=BoundsGuard;DeletedGuard;NullGuard;PacketReadGuard;RangeGuard;StateGuard; Access=; Command=; Handler=; DisabledEvidence=False; RuntimeHookMap=HookType=Speech;Marker=OnSpeech;Access=GlobalOrInternal;Risk=High;Guards=BoundsGuard;DeletedGuard;NullGuard;PacketReadGuard;RangeGuard;StateGuard</t>
  </si>
  <si>
    <t>RB-01972</t>
  </si>
  <si>
    <t>P10-F01972</t>
  </si>
  <si>
    <t>Data/Scripts/Mobiles/Civilized/Vendors/RealEstateBroker.cs</t>
  </si>
  <si>
    <t>PBK-0064</t>
  </si>
  <si>
    <t>CurrentFile=Data/Scripts/Mobiles/Civilized/Vendors/RealEstateBroker.cs; Line=70; SourceLine=public override void OnSpeech(SpeechEventArgs e); PathResolution=OriginalPathCurrent; MatchQuality=RuntimeHookMapFileLine; HookKind=Speech; GuardList=NullGuard;PacketReadGuard;RangeGuard;StateGuard; Access=; Command=; Handler=; DisabledEvidence=False; RuntimeHookMap=HookType=Speech;Marker=OnSpeech;Access=GlobalOrInternal;Risk=High;Guards=NullGuard;PacketReadGuard;RangeGuard;StateGuard</t>
  </si>
  <si>
    <t>HistoricalFile=Data/Scripts/Mobiles/Civilized/Vendors/RealEstateBroker.cs; Risk=Runtime; POST-BATCH-K is audit/runtime-surface triage only. No command names, gump button IDs, PlayerMobile fields, region policy, XML/config, save layout, or gameplay behavior changed.</t>
  </si>
  <si>
    <t>RB-01973</t>
  </si>
  <si>
    <t>P10-F01973</t>
  </si>
  <si>
    <t>PBK-0065</t>
  </si>
  <si>
    <t>CurrentFile=Data/Scripts/Mobiles/Civilized/Vendors/RealEstateBroker.cs; Line=84; SourceLine=base.OnSpeech(e);; PathResolution=OriginalPathCurrent; MatchQuality=RuntimeHookMapFileLine; HookKind=Speech; GuardList=NullGuard;PacketReadGuard;RangeGuard;StateGuard; Access=; Command=; Handler=; DisabledEvidence=False; RuntimeHookMap=HookType=Speech;Marker=OnSpeech;Access=GlobalOrInternal;Risk=High;Guards=NullGuard;PacketReadGuard;RangeGuard;StateGuard</t>
  </si>
  <si>
    <t>RB-01974</t>
  </si>
  <si>
    <t>P10-F01974</t>
  </si>
  <si>
    <t>Data/Scripts/Mobiles/Civilized/Vendors/Shepherd.cs</t>
  </si>
  <si>
    <t>PBK-0066</t>
  </si>
  <si>
    <t>CurrentFile=Data/Scripts/Mobiles/Civilized/Vendors/Shepherd.cs; Line=660; SourceLine=public override void OnSpeech(SpeechEventArgs 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</si>
  <si>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HistoricalFile=Data/Scripts/Mobiles/Civilized/Vendors/Shepherd.cs; Risk=Runtime; POST-BATCH-K is audit/runtime-surface triage only. No command names, gump button IDs, PlayerMobile fields, region policy, XML/config, save layout, or gameplay behavior changed.</t>
  </si>
  <si>
    <t>RB-01975</t>
  </si>
  <si>
    <t>P10-F01975</t>
  </si>
  <si>
    <t>PBK-0067</t>
  </si>
  <si>
    <t>CurrentFile=Data/Scripts/Mobiles/Civilized/Vendors/Shepherd.cs; Line=684; SourceLine=base.OnSpeech(e);; PathResolution=OriginalPathCurrent; MatchQuality=RuntimeHookMapFileLine; HookKind=Speech; GuardList=BoundsGuard;DeletedGuard;MapGuard;NullGuard;PacketReadGuard;RangeGuard;StateGuard; Access=; Command=; Handler=; DisabledEvidence=False; RuntimeHookMap=HookType=Speech;Marker=OnSpeech;Access=GlobalOrInternal;Risk=High;Guards=BoundsGuard;DeletedGuard;MapGuard;NullGuard;PacketReadGuard;RangeGuard;StateGuard</t>
  </si>
  <si>
    <t>RB-01979</t>
  </si>
  <si>
    <t>P10-F01979</t>
  </si>
  <si>
    <t>PBK-0069</t>
  </si>
  <si>
    <t>CurrentFile=Data/Scripts/System/Misc/Console.cs; Line=47; SourceLine=private static void OnSpeech(SpeechEventArgs args); PathResolution=OriginalPathCurrent; MatchQuality=RuntimeHookMapFileLine; HookKind=Speech; GuardList=AccessGuard;BoundsGuard;DeletedGuard;MapGuard;NullGuard;StateGuard; Access=; Command=; Handler=; DisabledEvidence=False; RuntimeHookMap=HookType=Speech;Marker=OnSpeech;Access=GlobalOrInternal;Risk=High;Guards=AccessGuard;BoundsGuard;DeletedGuard;MapGuard;NullGuard;StateGuard</t>
  </si>
  <si>
    <t>HistoricalFile=Data/Scripts/System/Misc/Console.cs; Risk=Runtime; POST-BATCH-K is audit/runtime-surface triage only. No command names, gump button IDs, PlayerMobile fields, region policy, XML/config, save layout, or gameplay behavior changed.</t>
  </si>
  <si>
    <t>RB-01981</t>
  </si>
  <si>
    <t>P10-F01981</t>
  </si>
  <si>
    <t>PBK-0071</t>
  </si>
  <si>
    <t>CurrentFile=Data/Scripts/System/Obsolete/Obsolete.cs; Line=1770; SourceLine=public override void OnSpeech(SpeechEventArgs 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</si>
  <si>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HistoricalFile=Data/Scripts/System/Obsolete/Obsolete.cs; Risk=Runtime; POST-BATCH-K is audit/runtime-surface triage only. No command names, gump button IDs, PlayerMobile fields, region policy, XML/config, save layout, or gameplay behavior changed.</t>
  </si>
  <si>
    <t>RB-01982</t>
  </si>
  <si>
    <t>P10-F01982</t>
  </si>
  <si>
    <t>PBK-0072</t>
  </si>
  <si>
    <t>CurrentFile=Data/Scripts/System/Obsolete/Obsolete.cs; Line=1772; SourceLine=base.OnSpeech(e);;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</si>
  <si>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RB-01983</t>
  </si>
  <si>
    <t>P10-F01983</t>
  </si>
  <si>
    <t>PBK-0073</t>
  </si>
  <si>
    <t>CurrentFile=Data/Scripts/System/Regions/GuardedRegion.cs; Line=249; SourceLine=public override void OnSpeech(SpeechEventArgs args); PathResolution=OriginalPathCurrent; MatchQuality=RuntimeHookMapFileLine; HookKind=Speech; GuardList=AccessGuard;BoundsGuard;MapGuard;NullGuard;RangeGuard;StateGuard; Access=; Command=; Handler=; DisabledEvidence=False; RuntimeHookMap=HookType=Speech;Marker=OnSpeech;Access=GlobalOrInternal;Risk=High;Guards=AccessGuard;BoundsGuard;MapGuard;NullGuard;RangeGuard;StateGuard</t>
  </si>
  <si>
    <t>HistoricalFile=Data/Scripts/System/Regions/GuardedRegion.cs; Risk=Runtime; POST-BATCH-K is audit/runtime-surface triage only. No command names, gump button IDs, PlayerMobile fields, region policy, XML/config, save layout, or gameplay behavior changed.</t>
  </si>
  <si>
    <t>RB-01984</t>
  </si>
  <si>
    <t>P10-F01984</t>
  </si>
  <si>
    <t>PBK-0074</t>
  </si>
  <si>
    <t>CurrentFile=Data/Scripts/System/Regions/GuardedRegion.cs; Line=251; SourceLine=base.OnSpeech(args);; PathResolution=OriginalPathCurrent; MatchQuality=RuntimeHookMapFileLine; HookKind=Speech; GuardList=AccessGuard;BoundsGuard;MapGuard;NullGuard;RangeGuard;StateGuard; Access=; Command=; Handler=; DisabledEvidence=False; RuntimeHookMap=HookType=Speech;Marker=OnSpeech;Access=GlobalOrInternal;Risk=High;Guards=AccessGuard;BoundsGuard;MapGuard;NullGuard;RangeGuard;StateGuard</t>
  </si>
  <si>
    <t>RB-01986</t>
  </si>
  <si>
    <t>P10-F01986</t>
  </si>
  <si>
    <t>PBK-0076</t>
  </si>
  <si>
    <t>CurrentFile=Data/Scripts/System/Regions/HouseRegion.cs; Line=409; SourceLine=}; PathResolution=OriginalPathCurrent; MatchQuality=CurrentSourceLine; HookKind=Speech; GuardList=AccessGuard;BoundsGuard;MapGuard;NullGuard;RangeGuard;StateGuard; Access=; Command=; Handler=; DisabledEvidence=False</t>
  </si>
  <si>
    <t>HistoricalFile=Data/Scripts/System/Regions/HouseRegion.cs; Risk=Runtime; POST-BATCH-K is audit/runtime-surface triage only. No command names, gump button IDs, PlayerMobile fields, region policy, XML/config, save layout, or gameplay behavior changed.</t>
  </si>
  <si>
    <t>RB-01987</t>
  </si>
  <si>
    <t>P10-F01987</t>
  </si>
  <si>
    <t>PBK-0077</t>
  </si>
  <si>
    <t>CurrentFile=Data/System/Source/Item.cs; Line=5837; SourceLine=public virtual void OnSpeech(SpeechEventArgs e) { };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</si>
  <si>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HistoricalFile=Data/System/Source/Item.cs; Risk=Runtime; POST-BATCH-K is audit/runtime-surface triage only. No command names, gump button IDs, PlayerMobile fields, region policy, XML/config, save layout, or gameplay behavior changed.</t>
  </si>
  <si>
    <t>RB-01988</t>
  </si>
  <si>
    <t>P10-F01988</t>
  </si>
  <si>
    <t>PBK-0078</t>
  </si>
  <si>
    <t>CurrentFile=Data/System/Source/Mobile.cs; Line=5068; SourceLine=this.Region.OnSpeech(regArgs);;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</si>
  <si>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HistoricalFile=Data/System/Source/Mobile.cs; Risk=Runtime; POST-BATCH-K is audit/runtime-surface triage only. No command names, gump button IDs, PlayerMobile fields, region policy, XML/config, save layout, or gameplay behavior changed.</t>
  </si>
  <si>
    <t>RB-01989</t>
  </si>
  <si>
    <t>P10-F01989</t>
  </si>
  <si>
    <t>PBK-0079</t>
  </si>
  <si>
    <t>CurrentFile=Data/System/Source/Mobile.cs; Line=5157; SourceLine=heard.OnSpeech(regArgs);;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</si>
  <si>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RB-01990</t>
  </si>
  <si>
    <t>P10-F01990</t>
  </si>
  <si>
    <t>PBK-0080</t>
  </si>
  <si>
    <t>CurrentFile=Data/System/Source/Mobile.cs; Line=5182; SourceLine=heard.OnSpeech(mutatedArgs);;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</si>
  <si>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RB-01991</t>
  </si>
  <si>
    <t>P10-F01991</t>
  </si>
  <si>
    <t>PBK-0081</t>
  </si>
  <si>
    <t>CurrentFile=Data/System/Source/Mobile.cs; Line=5222; SourceLine=heard.OnSpeech(regArgs);;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</si>
  <si>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RB-01992</t>
  </si>
  <si>
    <t>P10-F01992</t>
  </si>
  <si>
    <t>PBK-0082</t>
  </si>
  <si>
    <t>CurrentFile=Data/System/Source/Mobile.cs; Line=5224; SourceLine=heard.OnSpeech(mutatedArgs);;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</si>
  <si>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RB-01993</t>
  </si>
  <si>
    <t>P10-F01993</t>
  </si>
  <si>
    <t>PBK-0083</t>
  </si>
  <si>
    <t>CurrentFile=Data/System/Source/Mobile.cs; Line=5230; SourceLine=item.OnSpeech(regArgs);;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</si>
  <si>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RB-01994</t>
  </si>
  <si>
    <t>P10-F01994</t>
  </si>
  <si>
    <t>PBK-0084</t>
  </si>
  <si>
    <t>CurrentFile=Data/System/Source/Mobile.cs; Line=8125; SourceLine=public virtual void OnSpeech(SpeechEventArgs e) { }; PathResolution=OriginalPathCurrent; MatchQuality=RuntimeHookMapFileLine; HookKind=Speech; GuardList=AccessGuard;BoundsGuard;DeletedGuard;MapGuard;NullGuard;PacketReadGuard;RangeGuard;StateGuard; Access=; Command=; Handler=; DisabledEvidence=False; RuntimeHookMap=HookType=Speech;Marker=OnSpeech;Access=GlobalOrInternal;Risk=High;Guards=AccessGuard;BoundsGuard;DeletedGuard;MapGuard;NullGuard;PacketReadGuard;RangeGuard;StateGuard</t>
  </si>
  <si>
    <t>RB-01995</t>
  </si>
  <si>
    <t>P10-F01995</t>
  </si>
  <si>
    <t>PBK-0085</t>
  </si>
  <si>
    <t>CurrentFile=Data/System/Source/Region.cs; Line=756; SourceLine=public virtual void OnSpeech(SpeechEventArgs args); PathResolution=OriginalPathCurrent; MatchQuality=RuntimeHookMapFileLine; HookKind=Speech; GuardList=AccessGuard;BoundsGuard;MapGuard;NullGuard;RangeGuard;StateGuard; Access=; Command=; Handler=; DisabledEvidence=False; RuntimeHookMap=HookType=Speech;Marker=OnSpeech;Access=GlobalOrInternal;Risk=High;Guards=AccessGuard;BoundsGuard;MapGuard;NullGuard;RangeGuard;StateGuard</t>
  </si>
  <si>
    <t>HistoricalFile=Data/System/Source/Region.cs; Risk=Runtime; POST-BATCH-K is audit/runtime-surface triage only. No command names, gump button IDs, PlayerMobile fields, region policy, XML/config, save layout, or gameplay behavior changed.</t>
  </si>
  <si>
    <t>RB-01996</t>
  </si>
  <si>
    <t>P10-F01996</t>
  </si>
  <si>
    <t>PBK-0086</t>
  </si>
  <si>
    <t>CurrentFile=Data/System/Source/Region.cs; Line=759; SourceLine=m_Parent.OnSpeech(args);; PathResolution=OriginalPathCurrent; MatchQuality=RuntimeHookMapFileLine; HookKind=Speech; GuardList=AccessGuard;BoundsGuard;MapGuard;NullGuard;RangeGuard;StateGuard; Access=; Command=; Handler=; DisabledEvidence=False; RuntimeHookMap=HookType=Speech;Marker=OnSpeech;Access=GlobalOrInternal;Risk=High;Guards=AccessGuard;BoundsGuard;MapGuard;NullGuard;RangeGuard;StateGuard</t>
  </si>
  <si>
    <t>RB-01999</t>
  </si>
  <si>
    <t>P10-F01999</t>
  </si>
  <si>
    <t>PBK-0087</t>
  </si>
  <si>
    <t>CurrentFile=Data/Scripts/Custom/Invasion System/Add Ins/BaseSpecialCreature.cs; Line=362;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</si>
  <si>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HistoricalFile=Data/Scripts/Custom/Invasion System/Add Ins/BaseSpecialCreature.cs; Risk=Runtime; POST-BATCH-K is audit/runtime-surface triage only. No command names, gump button IDs, PlayerMobile fields, region policy, XML/config, save layout, or gameplay behavior changed.</t>
  </si>
  <si>
    <t>RB-02000</t>
  </si>
  <si>
    <t>P10-F02000</t>
  </si>
  <si>
    <t>PBK-0088</t>
  </si>
  <si>
    <t>CurrentFile=Data/Scripts/Custom/Invasion System/Add Ins/BaseSpecialCreature.cs; Line=364; SourceLine=base.OnMovement(m,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</si>
  <si>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RB-02002</t>
  </si>
  <si>
    <t>P10-F02002</t>
  </si>
  <si>
    <t>PBK-0090</t>
  </si>
  <si>
    <t>CurrentFile=Data/Scripts/Custom/PvPConsent/GoddessOfProtection.cs; Line=236;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</si>
  <si>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RB-02004</t>
  </si>
  <si>
    <t>P10-F02004</t>
  </si>
  <si>
    <t>PBK-0092</t>
  </si>
  <si>
    <t>CurrentFile=Data/Scripts/Custom/XMLSpawner/XmlSpawner2.cs; Line=4110; SourceLine=else; PathResolution=OriginalPathCurrent; MatchQuality=CurrentSourceLine; HookKind=Movement; GuardList=AccessGuard;BoundsGuard;DeletedGuard;MapGuard;NullGuard;PacketReadGuard;RangeGuard;StateGuard; Access=; Command=; Handler=; DisabledEvidence=False</t>
  </si>
  <si>
    <t>RB-02005</t>
  </si>
  <si>
    <t>P10-F02005</t>
  </si>
  <si>
    <t>PBK-0093</t>
  </si>
  <si>
    <t>CurrentFile=Data/Scripts/Custom/XMLSpawner/XmlAttach/XmlAttach.cs; Line=1187; SourceLine={; PathResolution=OriginalPathCurrent; MatchQuality=CurrentSourceLine; HookKind=Movement; GuardList=AccessGuard;BoundsGuard;DeletedGuard;MapGuard;NullGuard;PacketReadGuard;RangeGuard;StateGuard; Access=; Command=; Handler=; DisabledEvidence=False</t>
  </si>
  <si>
    <t>RB-02006</t>
  </si>
  <si>
    <t>P10-F02006</t>
  </si>
  <si>
    <t>PBK-0094</t>
  </si>
  <si>
    <t>CurrentFile=Data/Scripts/Custom/XMLSpawner/XmlAttach/XmlAttach.cs; Line=1215; SourceLine={; PathResolution=OriginalPathCurrent; MatchQuality=CurrentSourceLine; HookKind=Movement; GuardList=AccessGuard;BoundsGuard;DeletedGuard;MapGuard;NullGuard;PacketReadGuard;RangeGuard;StateGuard; Access=; Command=; Handler=; DisabledEvidence=False</t>
  </si>
  <si>
    <t>RB-02007</t>
  </si>
  <si>
    <t>P10-F02007</t>
  </si>
  <si>
    <t>PBK-0095</t>
  </si>
  <si>
    <t>CurrentFile=Data/Scripts/Custom/XMLSpawner/XmlAttach/XmlAttachment.cs; Line=41; SourceLine=void OnMovement(MovementEventArgs args);; PathResolution=OriginalPathCurrent; MatchQuality=RuntimeHookMapFileLine; HookKind=Movement; GuardList=AccessGuard;BoundsGuard;DeletedGuard;NullGuard;PacketReadGuard;StateGuard; Access=; Command=; Handler=; DisabledEvidence=False; RuntimeHookMap=HookType=Movement;Marker=OnMovement;Access=GlobalOrInternal;Risk=High;Guards=AccessGuard;BoundsGuard;DeletedGuard;NullGuard;PacketReadGuard;StateGuard</t>
  </si>
  <si>
    <t>RB-02008</t>
  </si>
  <si>
    <t>P10-F02008</t>
  </si>
  <si>
    <t>PBK-0096</t>
  </si>
  <si>
    <t>CurrentFile=Data/Scripts/Custom/XMLSpawner/XmlAttach/XmlAttachment.cs; Line=391; SourceLine=public virtual void OnMovement(MovementEventArgs args) { }; PathResolution=OriginalPathCurrent; MatchQuality=RuntimeHookMapFileLine; HookKind=Movement; GuardList=AccessGuard;BoundsGuard;DeletedGuard;NullGuard;PacketReadGuard;StateGuard; Access=; Command=; Handler=; DisabledEvidence=False; RuntimeHookMap=HookType=Movement;Marker=OnMovement;Access=GlobalOrInternal;Risk=High;Guards=AccessGuard;BoundsGuard;DeletedGuard;NullGuard;PacketReadGuard;StateGuard</t>
  </si>
  <si>
    <t>RB-02009</t>
  </si>
  <si>
    <t>P10-F02009</t>
  </si>
  <si>
    <t>PBK-0097</t>
  </si>
  <si>
    <t>CurrentFile=Data/Scripts/Custom/XMLSpawner/XmlAttachments/XmlDialog.cs; Line=1114; SourceLine=public override void OnMovement(MovementEventArgs e);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</si>
  <si>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RB-02010</t>
  </si>
  <si>
    <t>P10-F02010</t>
  </si>
  <si>
    <t>PBK-0098</t>
  </si>
  <si>
    <t>CurrentFile=Data/Scripts/Custom/XMLSpawner/XmlAttachments/XmlDialog.cs; Line=1171; SourceLine=base.OnMovement(e);;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</si>
  <si>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RB-02011</t>
  </si>
  <si>
    <t>P10-F02011</t>
  </si>
  <si>
    <t>PBK-0099</t>
  </si>
  <si>
    <t>CurrentFile=Data/Scripts/Custom/XMLSpawner/XmlAttachments/XmlFire.cs; Line=102;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</si>
  <si>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HistoricalFile=Data/Scripts/Custom/XMLSpawner/XmlAttachments/XmlFire.cs; Risk=Runtime; POST-BATCH-K is audit/runtime-surface triage only. No command names, gump button IDs, PlayerMobile fields, region policy, XML/config, save layout, or gameplay behavior changed.</t>
  </si>
  <si>
    <t>RB-02012</t>
  </si>
  <si>
    <t>P10-F02012</t>
  </si>
  <si>
    <t>PBK-0100</t>
  </si>
  <si>
    <t>CurrentFile=Data/Scripts/Custom/XMLSpawner/XmlAttachments/XmlFire.cs; Line=104;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</si>
  <si>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RB-02013</t>
  </si>
  <si>
    <t>P10-F02013</t>
  </si>
  <si>
    <t>PBK-0101</t>
  </si>
  <si>
    <t>CurrentFile=Data/Scripts/Custom/XMLSpawner/XmlAttachments/XmlLifeDrain.cs; Line=117;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</si>
  <si>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HistoricalFile=Data/Scripts/Custom/XMLSpawner/XmlAttachments/XmlLifeDrain.cs; Risk=Runtime; POST-BATCH-K is audit/runtime-surface triage only. No command names, gump button IDs, PlayerMobile fields, region policy, XML/config, save layout, or gameplay behavior changed.</t>
  </si>
  <si>
    <t>RB-02014</t>
  </si>
  <si>
    <t>P10-F02014</t>
  </si>
  <si>
    <t>PBK-0102</t>
  </si>
  <si>
    <t>CurrentFile=Data/Scripts/Custom/XMLSpawner/XmlAttachments/XmlLifeDrain.cs; Line=119;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</si>
  <si>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RB-02015</t>
  </si>
  <si>
    <t>P10-F02015</t>
  </si>
  <si>
    <t>PBK-0103</t>
  </si>
  <si>
    <t>CurrentFile=Data/Scripts/Custom/XMLSpawner/XmlAttachments/XmlLightning.cs; Line=111;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</si>
  <si>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HistoricalFile=Data/Scripts/Custom/XMLSpawner/XmlAttachments/XmlLightning.cs; Risk=Runtime; POST-BATCH-K is audit/runtime-surface triage only. No command names, gump button IDs, PlayerMobile fields, region policy, XML/config, save layout, or gameplay behavior changed.</t>
  </si>
  <si>
    <t>RB-02016</t>
  </si>
  <si>
    <t>P10-F02016</t>
  </si>
  <si>
    <t>PBK-0104</t>
  </si>
  <si>
    <t>CurrentFile=Data/Scripts/Custom/XMLSpawner/XmlAttachments/XmlLightning.cs; Line=113;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</si>
  <si>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RB-02017</t>
  </si>
  <si>
    <t>P10-F02017</t>
  </si>
  <si>
    <t>PBK-0105</t>
  </si>
  <si>
    <t>CurrentFile=Data/Scripts/Custom/XMLSpawner/XmlAttachments/XmlManaDrain.cs; Line=104;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</si>
  <si>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HistoricalFile=Data/Scripts/Custom/XMLSpawner/XmlAttachments/XmlManaDrain.cs; Risk=Runtime; POST-BATCH-K is audit/runtime-surface triage only. No command names, gump button IDs, PlayerMobile fields, region policy, XML/config, save layout, or gameplay behavior changed.</t>
  </si>
  <si>
    <t>RB-02018</t>
  </si>
  <si>
    <t>P10-F02018</t>
  </si>
  <si>
    <t>PBK-0106</t>
  </si>
  <si>
    <t>CurrentFile=Data/Scripts/Custom/XMLSpawner/XmlAttachments/XmlManaDrain.cs; Line=106;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</si>
  <si>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RB-02019</t>
  </si>
  <si>
    <t>P10-F02019</t>
  </si>
  <si>
    <t>PBK-0107</t>
  </si>
  <si>
    <t>CurrentFile=Data/Scripts/Custom/XMLSpawner/XmlAttachments/XmlMessage.cs; Line=186;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</si>
  <si>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RB-02020</t>
  </si>
  <si>
    <t>P10-F02020</t>
  </si>
  <si>
    <t>PBK-0108</t>
  </si>
  <si>
    <t>CurrentFile=Data/Scripts/Custom/XMLSpawner/XmlAttachments/XmlMessage.cs; Line=188;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</si>
  <si>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RB-02021</t>
  </si>
  <si>
    <t>P10-F02021</t>
  </si>
  <si>
    <t>PBK-0109</t>
  </si>
  <si>
    <t>CurrentFile=Data/Scripts/Custom/XMLSpawner/XmlAttachments/XmlMorph.cs; Line=207; SourceLine=public override void OnMovement(MovementEventArgs e); PathResolution=OriginalPathCurrent; MatchQuality=RuntimeHookMapFileLine; HookKind=Movement; GuardList=AccessGuard;BoundsGuard;DeletedGuard;NullGuard;PacketReadGuard;RangeGuard;StateGuard; Access=; Command=; Handler=; DisabledEvidence=False; RuntimeHookMap=HookType=Movement;Marker=OnMovement;Access=GlobalOrInternal;Risk=High;Guards=AccessGuard;BoundsGuard;DeletedGuard;NullGuard;PacketReadGuard;RangeGuard;StateGuard</t>
  </si>
  <si>
    <t>RB-02022</t>
  </si>
  <si>
    <t>P10-F02022</t>
  </si>
  <si>
    <t>PBK-0110</t>
  </si>
  <si>
    <t>CurrentFile=Data/Scripts/Custom/XMLSpawner/XmlAttachments/XmlMorph.cs; Line=209; SourceLine=base.OnMovement(e);; PathResolution=OriginalPathCurrent; MatchQuality=RuntimeHookMapFileLine; HookKind=Movement; GuardList=AccessGuard;BoundsGuard;DeletedGuard;NullGuard;PacketReadGuard;RangeGuard;StateGuard; Access=; Command=; Handler=; DisabledEvidence=False; RuntimeHookMap=HookType=Movement;Marker=OnMovement;Access=GlobalOrInternal;Risk=High;Guards=AccessGuard;BoundsGuard;DeletedGuard;NullGuard;PacketReadGuard;RangeGuard;StateGuard</t>
  </si>
  <si>
    <t>RB-02023</t>
  </si>
  <si>
    <t>P10-F02023</t>
  </si>
  <si>
    <t>PBK-0111</t>
  </si>
  <si>
    <t>CurrentFile=Data/Scripts/Custom/XMLSpawner/XmlAttachments/XmlSound.cs; Line=198; SourceLine=public override void OnMovement(MovementEventArgs e);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</si>
  <si>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RB-02024</t>
  </si>
  <si>
    <t>P10-F02024</t>
  </si>
  <si>
    <t>PBK-0112</t>
  </si>
  <si>
    <t>CurrentFile=Data/Scripts/Custom/XMLSpawner/XmlAttachments/XmlSound.cs; Line=200; SourceLine=base.OnMovement(e);;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</si>
  <si>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RB-02025</t>
  </si>
  <si>
    <t>P10-F02025</t>
  </si>
  <si>
    <t>PBK-0113</t>
  </si>
  <si>
    <t>CurrentFile=Data/Scripts/Custom/XMLSpawner/XmlAttachments/XmlStamDrain.cs; Line=105; SourceLine=public override void OnMovement(MovementEventArgs 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</si>
  <si>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HistoricalFile=Data/Scripts/Custom/XMLSpawner/XmlAttachments/XmlStamDrain.cs; Risk=Runtime; POST-BATCH-K is audit/runtime-surface triage only. No command names, gump button IDs, PlayerMobile fields, region policy, XML/config, save layout, or gameplay behavior changed.</t>
  </si>
  <si>
    <t>RB-02026</t>
  </si>
  <si>
    <t>P10-F02026</t>
  </si>
  <si>
    <t>PBK-0114</t>
  </si>
  <si>
    <t>CurrentFile=Data/Scripts/Custom/XMLSpawner/XmlAttachments/XmlStamDrain.cs; Line=107; SourceLine=base.OnMovement(e);;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</si>
  <si>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RB-02029</t>
  </si>
  <si>
    <t>P10-F02029</t>
  </si>
  <si>
    <t>PBK-0117</t>
  </si>
  <si>
    <t>CurrentFile=Data/Scripts/Custom/XMLSpawner/XmlPoints PvP/ChallengeGames/CTF.cs; Line=151;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</si>
  <si>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HistoricalFile=Data/Scripts/Custom/XMLSpawner/XmlPoints PvP/ChallengeGames/CTF.cs; Risk=Runtime; POST-BATCH-K is audit/runtime-surface triage only. No command names, gump button IDs, PlayerMobile fields, region policy, XML/config, save layout, or gameplay behavior changed.</t>
  </si>
  <si>
    <t>RB-02030</t>
  </si>
  <si>
    <t>P10-F02030</t>
  </si>
  <si>
    <t>Data/Scripts/Items/Construction/Ankhs.cs</t>
  </si>
  <si>
    <t>PBK-0118</t>
  </si>
  <si>
    <t>CurrentFile=Data/Scripts/Items/Construction/Ankhs.cs; Line=173;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</si>
  <si>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HistoricalFile=Data/Scripts/Items/Construction/Ankhs.cs; Risk=Runtime; POST-BATCH-K is audit/runtime-surface triage only. No command names, gump button IDs, PlayerMobile fields, region policy, XML/config, save layout, or gameplay behavior changed.</t>
  </si>
  <si>
    <t>RB-02031</t>
  </si>
  <si>
    <t>P10-F02031</t>
  </si>
  <si>
    <t>PBK-0119</t>
  </si>
  <si>
    <t>CurrentFile=Data/Scripts/Items/Construction/Ankhs.cs; Line=284;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</si>
  <si>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RB-02032</t>
  </si>
  <si>
    <t>P10-F02032</t>
  </si>
  <si>
    <t>PBK-0120</t>
  </si>
  <si>
    <t>CurrentFile=Data/Scripts/Items/Construction/Ankhs.cs; Line=363;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</si>
  <si>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RB-02033</t>
  </si>
  <si>
    <t>P10-F02033</t>
  </si>
  <si>
    <t>PBK-0121</t>
  </si>
  <si>
    <t>CurrentFile=Data/Scripts/Items/Construction/Ankhs.cs; Line=475;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</si>
  <si>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RB-02034</t>
  </si>
  <si>
    <t>P10-F02034</t>
  </si>
  <si>
    <t>Data/Scripts/Items/Construction/Addons/RejuvinationAnkhs.cs</t>
  </si>
  <si>
    <t>PBK-0122</t>
  </si>
  <si>
    <t>CurrentFile=Data/Scripts/Items/Construction/Addons/RejuvinationAnkhs.cs; Line=93; SourceLine=public override void OnMovement(Mobile m, Point3D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</si>
  <si>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HistoricalFile=Data/Scripts/Items/Construction/Addons/RejuvinationAnkhs.cs; Risk=Runtime; POST-BATCH-K is audit/runtime-surface triage only. No command names, gump button IDs, PlayerMobile fields, region policy, XML/config, save layout, or gameplay behavior changed.</t>
  </si>
  <si>
    <t>RB-02035</t>
  </si>
  <si>
    <t>P10-F02035</t>
  </si>
  <si>
    <t>PBK-0123</t>
  </si>
  <si>
    <t>CurrentFile=Data/Scripts/Items/Construction/Addons/RejuvinationAnkhs.cs; Line=95; SourceLine=base.OnMovement(m,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</si>
  <si>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RB-02039</t>
  </si>
  <si>
    <t>P10-F02039</t>
  </si>
  <si>
    <t>Data/Scripts/Items/Misc/AltarGods.cs</t>
  </si>
  <si>
    <t>PBK-0127</t>
  </si>
  <si>
    <t>CurrentFile=Data/Scripts/Items/Misc/AltarGods.cs; Line=52;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</si>
  <si>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HistoricalFile=Data/Scripts/Items/Misc/AltarGods.cs; Risk=Runtime; POST-BATCH-K is audit/runtime-surface triage only. No command names, gump button IDs, PlayerMobile fields, region policy, XML/config, save layout, or gameplay behavior changed.</t>
  </si>
  <si>
    <t>RB-02040</t>
  </si>
  <si>
    <t>P10-F02040</t>
  </si>
  <si>
    <t>PBK-0128</t>
  </si>
  <si>
    <t>CurrentFile=Data/Scripts/Items/Misc/AltarGods.cs; Line=128;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</si>
  <si>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RB-02041</t>
  </si>
  <si>
    <t>P10-F02041</t>
  </si>
  <si>
    <t>PBK-0129</t>
  </si>
  <si>
    <t>CurrentFile=Data/Scripts/Items/Misc/AltarGods.cs; Line=204;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</si>
  <si>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RB-02042</t>
  </si>
  <si>
    <t>P10-F02042</t>
  </si>
  <si>
    <t>PBK-0130</t>
  </si>
  <si>
    <t>CurrentFile=Data/Scripts/Items/Misc/AltarGods.cs; Line=280;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</si>
  <si>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RB-02043</t>
  </si>
  <si>
    <t>P10-F02043</t>
  </si>
  <si>
    <t>PBK-0131</t>
  </si>
  <si>
    <t>CurrentFile=Data/Scripts/Items/Misc/AltarGods.cs; Line=356;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</si>
  <si>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RB-02044</t>
  </si>
  <si>
    <t>P10-F02044</t>
  </si>
  <si>
    <t>PBK-0132</t>
  </si>
  <si>
    <t>CurrentFile=Data/Scripts/Items/Misc/AltarGods.cs; Line=433;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</si>
  <si>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RB-02045</t>
  </si>
  <si>
    <t>P10-F02045</t>
  </si>
  <si>
    <t>PBK-0133</t>
  </si>
  <si>
    <t>CurrentFile=Data/Scripts/Items/Misc/AltarGods.cs; Line=487;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</si>
  <si>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RB-02046</t>
  </si>
  <si>
    <t>P10-F02046</t>
  </si>
  <si>
    <t>PBK-0134</t>
  </si>
  <si>
    <t>CurrentFile=Data/Scripts/Items/Misc/AltarGods.cs; Line=540;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</si>
  <si>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RB-02047</t>
  </si>
  <si>
    <t>P10-F02047</t>
  </si>
  <si>
    <t>PBK-0135</t>
  </si>
  <si>
    <t>CurrentFile=Data/Scripts/Items/Misc/AltarGods.cs; Line=628;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</si>
  <si>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RB-02048</t>
  </si>
  <si>
    <t>P10-F02048</t>
  </si>
  <si>
    <t>PBK-0136</t>
  </si>
  <si>
    <t>CurrentFile=Data/Scripts/Items/Misc/AltarGods.cs; Line=683;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</si>
  <si>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RB-02049</t>
  </si>
  <si>
    <t>P10-F02049</t>
  </si>
  <si>
    <t>PBK-0137</t>
  </si>
  <si>
    <t>CurrentFile=Data/Scripts/Items/Misc/AltarGods.cs; Line=738;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</si>
  <si>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RB-02050</t>
  </si>
  <si>
    <t>P10-F02050</t>
  </si>
  <si>
    <t>PBK-0138</t>
  </si>
  <si>
    <t>CurrentFile=Data/Scripts/Items/Misc/AltarGods.cs; Line=814; SourceLine=public override void OnMovement(Mobile m, Point3D oldLocation);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</si>
  <si>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RB-02051</t>
  </si>
  <si>
    <t>P10-F02051</t>
  </si>
  <si>
    <t>PBK-0139</t>
  </si>
  <si>
    <t>CurrentFile=Data/Scripts/Items/Misc/EffectController.cs; Line=281;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</si>
  <si>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HistoricalFile=Data/Scripts/Items/Misc/EffectController.cs; Risk=Runtime; POST-BATCH-K is audit/runtime-surface triage only. No command names, gump button IDs, PlayerMobile fields, region policy, XML/config, save layout, or gameplay behavior changed.</t>
  </si>
  <si>
    <t>RB-02054</t>
  </si>
  <si>
    <t>P10-F02054</t>
  </si>
  <si>
    <t>Data/Scripts/Items/Misc/PublicMoongate.cs</t>
  </si>
  <si>
    <t>PBK-0142</t>
  </si>
  <si>
    <t>CurrentFile=Data/Scripts/Items/Misc/PublicMoongate.cs; Line=57;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</si>
  <si>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HistoricalFile=Data/Scripts/Items/Misc/PublicMoongate.cs; Risk=Runtime; POST-BATCH-K is audit/runtime-surface triage only. No command names, gump button IDs, PlayerMobile fields, region policy, XML/config, save layout, or gameplay behavior changed.</t>
  </si>
  <si>
    <t>RB-02055</t>
  </si>
  <si>
    <t>P10-F02055</t>
  </si>
  <si>
    <t>PBK-0143</t>
  </si>
  <si>
    <t>CurrentFile=Data/Scripts/Items/Misc/WarningItem.cs; Line=152; SourceLine={; PathResolution=OriginalPathCurrent; MatchQuality=CurrentSourceLine; HookKind=Movement; GuardList=AccessGuard;BoundsGuard;NullGuard;PacketReadGuard;RangeGuard;StateGuard; Access=; Command=; Handler=; DisabledEvidence=False</t>
  </si>
  <si>
    <t>HistoricalFile=Data/Scripts/Items/Misc/WarningItem.cs; Risk=Runtime; POST-BATCH-K is audit/runtime-surface triage only. No command names, gump button IDs, PlayerMobile fields, region policy, XML/config, save layout, or gameplay behavior changed.</t>
  </si>
  <si>
    <t>RB-02056</t>
  </si>
  <si>
    <t>P10-F02056</t>
  </si>
  <si>
    <t>Data/Scripts/Items/Misc/WindChimes.cs</t>
  </si>
  <si>
    <t>PBK-0144</t>
  </si>
  <si>
    <t>CurrentFile=Data/Scripts/Items/Misc/WindChimes.cs; Line=40;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</si>
  <si>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HistoricalFile=Data/Scripts/Items/Misc/WindChimes.cs; Risk=Runtime; POST-BATCH-K is audit/runtime-surface triage only. No command names, gump button IDs, PlayerMobile fields, region policy, XML/config, save layout, or gameplay behavior changed.</t>
  </si>
  <si>
    <t>RB-02057</t>
  </si>
  <si>
    <t>P10-F02057</t>
  </si>
  <si>
    <t>PBK-0145</t>
  </si>
  <si>
    <t>CurrentFile=Data/Scripts/Items/Misc/WindChimes.cs; Line=55; SourceLine=base.OnMovement(m,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</si>
  <si>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RB-02058</t>
  </si>
  <si>
    <t>P10-F02058</t>
  </si>
  <si>
    <t>Data/Scripts/Items/Misc/Dyes/Essence/EssenceBase.cs</t>
  </si>
  <si>
    <t>PBK-0146</t>
  </si>
  <si>
    <t>CurrentFile=Data/Scripts/Items/Misc/Dyes/Essence/EssenceBase.cs; Line=299;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</si>
  <si>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HistoricalFile=Data/Scripts/Items/Misc/Dyes/Essence/EssenceBase.cs; Risk=Runtime; POST-BATCH-K is audit/runtime-surface triage only. No command names, gump button IDs, PlayerMobile fields, region policy, XML/config, save layout, or gameplay behavior changed.</t>
  </si>
  <si>
    <t>RB-02059</t>
  </si>
  <si>
    <t>P10-F02059</t>
  </si>
  <si>
    <t>Data/Scripts/Items/Misc/Games/BlackJack.cs</t>
  </si>
  <si>
    <t>PBK-0147</t>
  </si>
  <si>
    <t>CurrentFile=Data/Scripts/Items/Misc/Games/BlackJack.cs; Line=987;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</si>
  <si>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HistoricalFile=Data/Scripts/Items/Misc/Games/BlackJack.cs; Risk=Runtime; POST-BATCH-K is audit/runtime-surface triage only. No command names, gump button IDs, PlayerMobile fields, region policy, XML/config, save layout, or gameplay behavior changed.</t>
  </si>
  <si>
    <t>RB-02060</t>
  </si>
  <si>
    <t>P10-F02060</t>
  </si>
  <si>
    <t>Data/Scripts/Items/Misc/Games/HiLoCards.cs</t>
  </si>
  <si>
    <t>PBK-0148</t>
  </si>
  <si>
    <t>CurrentFile=Data/Scripts/Items/Misc/Games/HiLoCards.cs; Line=519;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</si>
  <si>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HistoricalFile=Data/Scripts/Items/Misc/Games/HiLoCards.cs; Risk=Runtime; POST-BATCH-K is audit/runtime-surface triage only. No command names, gump button IDs, PlayerMobile fields, region policy, XML/config, save layout, or gameplay behavior changed.</t>
  </si>
  <si>
    <t>RB-02061</t>
  </si>
  <si>
    <t>P10-F02061</t>
  </si>
  <si>
    <t>Data/Scripts/Items/Special/MonsterStatuette.cs</t>
  </si>
  <si>
    <t>PBK-0149</t>
  </si>
  <si>
    <t>CurrentFile=Data/Scripts/Items/Special/MonsterStatuette.cs; Line=221;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</si>
  <si>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HistoricalFile=Data/Scripts/Items/Special/MonsterStatuette.cs; Risk=Runtime; POST-BATCH-K is audit/runtime-surface triage only. No command names, gump button IDs, PlayerMobile fields, region policy, XML/config, save layout, or gameplay behavior changed.</t>
  </si>
  <si>
    <t>RB-02062</t>
  </si>
  <si>
    <t>P10-F02062</t>
  </si>
  <si>
    <t>PBK-0150</t>
  </si>
  <si>
    <t>CurrentFile=Data/Scripts/Items/Special/MonsterStatuette.cs; Line=241; SourceLine=base.OnMovement(m,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</si>
  <si>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RB-02063</t>
  </si>
  <si>
    <t>P10-F02063</t>
  </si>
  <si>
    <t>PBK-0151</t>
  </si>
  <si>
    <t>CurrentFile=Data/Scripts/Items/Special/Evil Home Decor Collection/CreepyPortrait.cs; Line=33; SourceLine=public override void OnMovement(Mobile m, Point3D old); PathResolution=OriginalPathCurrent; MatchQuality=RuntimeHookMapFileLine; HookKind=Movement; GuardList=AccessGuard;MapGuard;PacketReadGuard;RangeGuard;StateGuard; Access=; Command=; Handler=; DisabledEvidence=False; RuntimeHookMap=HookType=Movement;Marker=OnMovement;Access=GlobalOrInternal;Risk=High;Guards=AccessGuard;MapGuard;PacketReadGuard;RangeGuard;StateGuard</t>
  </si>
  <si>
    <t>HistoricalFile=Data/Scripts/Items/Special/Evil Home Decor Collection/CreepyPortrait.cs; Risk=Runtime; POST-BATCH-K is audit/runtime-surface triage only. No command names, gump button IDs, PlayerMobile fields, region policy, XML/config, save layout, or gameplay behavior changed.</t>
  </si>
  <si>
    <t>RB-02066</t>
  </si>
  <si>
    <t>P10-F02066</t>
  </si>
  <si>
    <t>Data/Scripts/Items/Special/Holiday/HolidayBells.cs</t>
  </si>
  <si>
    <t>PBK-0154</t>
  </si>
  <si>
    <t>CurrentFile=Data/Scripts/Items/Special/Holiday/HolidayBells.cs; Line=40;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</si>
  <si>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HistoricalFile=Data/Scripts/Items/Special/Holiday/HolidayBells.cs; Risk=Runtime; POST-BATCH-K is audit/runtime-surface triage only. No command names, gump button IDs, PlayerMobile fields, region policy, XML/config, save layout, or gameplay behavior changed.</t>
  </si>
  <si>
    <t>RB-02067</t>
  </si>
  <si>
    <t>P10-F02067</t>
  </si>
  <si>
    <t>PBK-0155</t>
  </si>
  <si>
    <t>CurrentFile=Data/Scripts/Items/Special/Holiday/HolidayBells.cs; Line=55; SourceLine=base.OnMovement(m,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</si>
  <si>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RB-02068</t>
  </si>
  <si>
    <t>P10-F02068</t>
  </si>
  <si>
    <t>PBK-0156</t>
  </si>
  <si>
    <t>CurrentFile=Data/Scripts/Items/Special/Veteran Rewards/AnkhOfSacrifice.cs; Line=220;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</si>
  <si>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HistoricalFile=Data/Scripts/Items/Special/Veteran Rewards/AnkhOfSacrifice.cs; Risk=Runtime; POST-BATCH-K is audit/runtime-surface triage only. No command names, gump button IDs, PlayerMobile fields, region policy, XML/config, save layout, or gameplay behavior changed.</t>
  </si>
  <si>
    <t>RB-02069</t>
  </si>
  <si>
    <t>P10-F02069</t>
  </si>
  <si>
    <t>Data/Scripts/Items/Traps/BaseTrap.cs</t>
  </si>
  <si>
    <t>PBK-0157</t>
  </si>
  <si>
    <t>CurrentFile=Data/Scripts/Items/Traps/BaseTrap.cs; Line=55; SourceLine=public override void OnMovement(Mobile 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</si>
  <si>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HistoricalFile=Data/Scripts/Items/Traps/BaseTrap.cs; Risk=Runtime; POST-BATCH-K is audit/runtime-surface triage only. No command names, gump button IDs, PlayerMobile fields, region policy, XML/config, save layout, or gameplay behavior changed.</t>
  </si>
  <si>
    <t>RB-02070</t>
  </si>
  <si>
    <t>P10-F02070</t>
  </si>
  <si>
    <t>PBK-0158</t>
  </si>
  <si>
    <t>CurrentFile=Data/Scripts/Items/Traps/BaseTrap.cs; Line=57; SourceLine=base.OnMovement(m,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</si>
  <si>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RB-02074</t>
  </si>
  <si>
    <t>P10-F02074</t>
  </si>
  <si>
    <t>PBK-0162</t>
  </si>
  <si>
    <t>CurrentFile=Data/Scripts/Magic/Druidism/Effects/LureStoneSpell.cs; Line=165; SourceLine=public override void OnMovement(Mobile m, Point3D oldLocation); PathResolution=OriginalPathCurrent; MatchQuality=RuntimeHookMapFileLine; HookKind=Movement; GuardList=BoundsGuard;DeletedGuard;MapGuard;NullGuard;PacketReadGuard;RangeGuard;StateGuard; Access=; Command=; Handler=; DisabledEvidence=False; RuntimeHookMap=HookType=Movement;Marker=OnMovement;Access=GlobalOrInternal;Risk=High;Guards=BoundsGuard;DeletedGuard;MapGuard;NullGuard;PacketReadGuard;RangeGuard;StateGuard</t>
  </si>
  <si>
    <t>HistoricalFile=Data/Scripts/Magic/Druidism/Effects/LureStoneSpell.cs; Risk=Runtime; POST-BATCH-K is audit/runtime-surface triage only. No command names, gump button IDs, PlayerMobile fields, region policy, XML/config, save layout, or gameplay behavior changed.</t>
  </si>
  <si>
    <t>RB-02075</t>
  </si>
  <si>
    <t>P10-F02075</t>
  </si>
  <si>
    <t>PBK-0163</t>
  </si>
  <si>
    <t>CurrentFile=Data/Scripts/Magic/Druidism/Effects/LureStoneSpell.cs; Line=382; SourceLine=public override void OnMovement(Mobile m, Point3D oldLocation); PathResolution=OriginalPathCurrent; MatchQuality=RuntimeHookMapFileLine; HookKind=Movement; GuardList=BoundsGuard;DeletedGuard;MapGuard;NullGuard;PacketReadGuard;RangeGuard;StateGuard; Access=; Command=; Handler=; DisabledEvidence=False; RuntimeHookMap=HookType=Movement;Marker=OnMovement;Access=GlobalOrInternal;Risk=High;Guards=BoundsGuard;DeletedGuard;MapGuard;NullGuard;PacketReadGuard;RangeGuard;StateGuard</t>
  </si>
  <si>
    <t>RB-02077</t>
  </si>
  <si>
    <t>P10-F02077</t>
  </si>
  <si>
    <t>Data/Scripts/Magic/Research/Spells/Conjuration/ResearchAerialServant.cs</t>
  </si>
  <si>
    <t>PBK-0165</t>
  </si>
  <si>
    <t>CurrentFile=Data/Scripts/Magic/Research/Spells/Conjuration/ResearchAerialServant.cs; Line=111; SourceLine=public override void OnMovement(Mobile m, Point3D oldLocation);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</si>
  <si>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HistoricalFile=Data/Scripts/Magic/Research/Spells/Conjuration/ResearchAerialServant.cs; Risk=Runtime; POST-BATCH-K is audit/runtime-surface triage only. No command names, gump button IDs, PlayerMobile fields, region policy, XML/config, save layout, or gameplay behavior changed.</t>
  </si>
  <si>
    <t>RB-02078</t>
  </si>
  <si>
    <t>P10-F02078</t>
  </si>
  <si>
    <t>PBK-0166</t>
  </si>
  <si>
    <t>CurrentFile=Data/Scripts/Magic/Research/Spells/Sorcery/ResearchCreateFire.cs; Line=121; SourceLine=}; PathResolution=OriginalPathCurrent; MatchQuality=CurrentSourceLine; HookKind=Movement; GuardList=AccessGuard;DeletedGuard;MapGuard;NullGuard;PacketReadGuard;RangeGuard;StateGuard; Access=; Command=; Handler=; DisabledEvidence=False</t>
  </si>
  <si>
    <t>HistoricalFile=Data/Scripts/Magic/Research/Spells/Sorcery/ResearchCreateFire.cs; Risk=Runtime; POST-BATCH-K is audit/runtime-surface triage only. No command names, gump button IDs, PlayerMobile fields, region policy, XML/config, save layout, or gameplay behavior changed.</t>
  </si>
  <si>
    <t>RB-02079</t>
  </si>
  <si>
    <t>P10-F02079</t>
  </si>
  <si>
    <t>PBK-0167</t>
  </si>
  <si>
    <t>CurrentFile=Data/Scripts/Mobiles/Base/BaseCreature.cs; Line=8771; SourceLine=PlaySound(GetIdleSound());; PathResolution=OriginalPathCurrent; MatchQuality=CurrentSourceLine; HookKind=Movement; GuardList=AccessGuard;BoundsGuard;DeletedGuard;MapGuard;NullGuard;PacketReadGuard;RangeGuard;StateGuard; Access=; Command=; Handler=; DisabledEvidence=False</t>
  </si>
  <si>
    <t>RB-02080</t>
  </si>
  <si>
    <t>P10-F02080</t>
  </si>
  <si>
    <t>PBK-0168</t>
  </si>
  <si>
    <t>CurrentFile=Data/Scripts/Mobiles/Base/BaseCreature.cs; Line=8773; SourceLine=}; PathResolution=OriginalPathCurrent; MatchQuality=CurrentSourceLine; HookKind=Movement; GuardList=AccessGuard;BoundsGuard;DeletedGuard;MapGuard;NullGuard;PacketReadGuard;RangeGuard;StateGuard; Access=; Command=; Handler=; DisabledEvidence=False</t>
  </si>
  <si>
    <t>RB-02081</t>
  </si>
  <si>
    <t>P10-F02081</t>
  </si>
  <si>
    <t>PBK-0169</t>
  </si>
  <si>
    <t>CurrentFile=Data/Scripts/Mobiles/Base/BaseCreature.cs; Line=8781; SourceLine=&amp;&amp; m_AI != null; PathResolution=OriginalPathCurrent; MatchQuality=CurrentSourceLine; HookKind=Movement; GuardList=AccessGuard;BoundsGuard;DeletedGuard;MapGuard;NullGuard;PacketReadGuard;RangeGuard;StateGuard; Access=; Command=; Handler=; DisabledEvidence=False</t>
  </si>
  <si>
    <t>RB-02082</t>
  </si>
  <si>
    <t>P10-F02082</t>
  </si>
  <si>
    <t>PBK-0170</t>
  </si>
  <si>
    <t>CurrentFile=Data/Scripts/Mobiles/Base/BaseHealer.cs; Line=156; SourceLine=public override void OnMovement(Mobile m, Point3D oldLocation); PathResolution=OriginalPathCurrent; MatchQuality=RuntimeHookMapFileLine; HookKind=Movement; GuardList=BoundsGuard;DeletedGuard;MapGuard;NullGuard;RangeGuard;StateGuard; Access=; Command=; Handler=; DisabledEvidence=False; RuntimeHookMap=HookType=Movement;Marker=OnMovement;Access=GlobalOrInternal;Risk=High;Guards=BoundsGuard;DeletedGuard;MapGuard;NullGuard;RangeGuard;StateGuard</t>
  </si>
  <si>
    <t>HistoricalFile=Data/Scripts/Mobiles/Base/BaseHealer.cs; Risk=Runtime; POST-BATCH-K is audit/runtime-surface triage only. No command names, gump button IDs, PlayerMobile fields, region policy, XML/config, save layout, or gameplay behavior changed.</t>
  </si>
  <si>
    <t>RB-02083</t>
  </si>
  <si>
    <t>P10-F02083</t>
  </si>
  <si>
    <t>Data/Scripts/Mobiles/Civilized/Chuckles.cs</t>
  </si>
  <si>
    <t>PBK-0171</t>
  </si>
  <si>
    <t>CurrentFile=Data/Scripts/Mobiles/Civilized/Chuckles.cs; Line=23; SourceLine=public override void OnMovement(Mobile m, Point3D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</si>
  <si>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HistoricalFile=Data/Scripts/Mobiles/Civilized/Chuckles.cs; Risk=Runtime; POST-BATCH-K is audit/runtime-surface triage only. No command names, gump button IDs, PlayerMobile fields, region policy, XML/config, save layout, or gameplay behavior changed.</t>
  </si>
  <si>
    <t>RB-02084</t>
  </si>
  <si>
    <t>P10-F02084</t>
  </si>
  <si>
    <t>Data/Scripts/Mobiles/Civilized/NecroGreeter.cs</t>
  </si>
  <si>
    <t>PBK-0172</t>
  </si>
  <si>
    <t>CurrentFile=Data/Scripts/Mobiles/Civilized/NecroGreeter.cs; Line=68; SourceLine=public override void OnMovement(Mobile m, Point3D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</si>
  <si>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HistoricalFile=Data/Scripts/Mobiles/Civilized/NecroGreeter.cs; Risk=Runtime; POST-BATCH-K is audit/runtime-surface triage only. No command names, gump button IDs, PlayerMobile fields, region policy, XML/config, save layout, or gameplay behavior changed.</t>
  </si>
  <si>
    <t>RB-02085</t>
  </si>
  <si>
    <t>P10-F02085</t>
  </si>
  <si>
    <t>Data/Scripts/Mobiles/Civilized/Sherry.cs</t>
  </si>
  <si>
    <t>PBK-0173</t>
  </si>
  <si>
    <t>CurrentFile=Data/Scripts/Mobiles/Civilized/Sherry.cs; Line=28; SourceLine=public override void OnMovement(Mobile m, Point3D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</si>
  <si>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HistoricalFile=Data/Scripts/Mobiles/Civilized/Sherry.cs; Risk=Runtime; POST-BATCH-K is audit/runtime-surface triage only. No command names, gump button IDs, PlayerMobile fields, region policy, XML/config, save layout, or gameplay behavior changed.</t>
  </si>
  <si>
    <t>RB-02087</t>
  </si>
  <si>
    <t>P10-F02087</t>
  </si>
  <si>
    <t>Data/Scripts/Mobiles/Civilized/TownHerald.cs</t>
  </si>
  <si>
    <t>PBK-0175</t>
  </si>
  <si>
    <t>CurrentFile=Data/Scripts/Mobiles/Civilized/TownHerald.cs; Line=81; SourceLine=public override void OnMovement(Mobile m, Point3D oldLocation); PathResolution=OriginalPathCurrent; MatchQuality=RuntimeHookMapFileLine; HookKind=Movement; GuardList=BoundsGuard;MapGuard;NullGuard;PacketReadGuard;RangeGuard;StateGuard; Access=; Command=; Handler=; DisabledEvidence=False; RuntimeHookMap=HookType=Movement;Marker=OnMovement;Access=GlobalOrInternal;Risk=High;Guards=BoundsGuard;MapGuard;NullGuard;PacketReadGuard;RangeGuard;StateGuard</t>
  </si>
  <si>
    <t>HistoricalFile=Data/Scripts/Mobiles/Civilized/TownHerald.cs; Risk=Runtime; POST-BATCH-K is audit/runtime-surface triage only. No command names, gump button IDs, PlayerMobile fields, region policy, XML/config, save layout, or gameplay behavior changed.</t>
  </si>
  <si>
    <t>RB-02088</t>
  </si>
  <si>
    <t>P10-F02088</t>
  </si>
  <si>
    <t>Data/Scripts/Mobiles/Civilized/Citizens/Citizens.cs</t>
  </si>
  <si>
    <t>PBK-0176</t>
  </si>
  <si>
    <t>CurrentFile=Data/Scripts/Mobiles/Civilized/Citizens/Citizens.cs; Line=3533;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</si>
  <si>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HistoricalFile=Data/Scripts/Mobiles/Civilized/Citizens/Citizens.cs; Risk=Runtime; POST-BATCH-K is audit/runtime-surface triage only. No command names, gump button IDs, PlayerMobile fields, region policy, XML/config, save layout, or gameplay behavior changed.</t>
  </si>
  <si>
    <t>RB-02089</t>
  </si>
  <si>
    <t>P10-F02089</t>
  </si>
  <si>
    <t>Data/Scripts/Mobiles/Civilized/Citizens/DragonRider.cs</t>
  </si>
  <si>
    <t>PBK-0177</t>
  </si>
  <si>
    <t>CurrentFile=Data/Scripts/Mobiles/Civilized/Citizens/DragonRider.cs; Line=32; SourceLine=public override void OnMovement(Mobile m, Point3D oldLocation) { };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</si>
  <si>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HistoricalFile=Data/Scripts/Mobiles/Civilized/Citizens/DragonRider.cs; Risk=Runtime; POST-BATCH-K is audit/runtime-surface triage only. No command names, gump button IDs, PlayerMobile fields, region policy, XML/config, save layout, or gameplay behavior changed.</t>
  </si>
  <si>
    <t>RB-02090</t>
  </si>
  <si>
    <t>P10-F02090</t>
  </si>
  <si>
    <t>PBK-0178</t>
  </si>
  <si>
    <t>CurrentFile=Data/Scripts/Mobiles/Civilized/Citizens/TradesmanAlchemist.cs;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</si>
  <si>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HistoricalFile=Data/Scripts/Mobiles/Civilized/Citizens/TradesmanAlchemist.cs; Risk=Runtime; POST-BATCH-K is audit/runtime-surface triage only. No command names, gump button IDs, PlayerMobile fields, region policy, XML/config, save layout, or gameplay behavior changed.</t>
  </si>
  <si>
    <t>RB-02091</t>
  </si>
  <si>
    <t>P10-F02091</t>
  </si>
  <si>
    <t>PBK-0179</t>
  </si>
  <si>
    <t>CurrentFile=Data/Scripts/Mobiles/Civilized/Citizens/TradesmanBard.cs; Line=26; SourceLine=public override void OnMovement(Mobile m, Point3D oldLocation) { };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</si>
  <si>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HistoricalFile=Data/Scripts/Mobiles/Civilized/Citizens/TradesmanBard.cs; Risk=Runtime; POST-BATCH-K is audit/runtime-surface triage only. No command names, gump button IDs, PlayerMobile fields, region policy, XML/config, save layout, or gameplay behavior changed.</t>
  </si>
  <si>
    <t>RB-02092</t>
  </si>
  <si>
    <t>P10-F02092</t>
  </si>
  <si>
    <t>PBK-0180</t>
  </si>
  <si>
    <t>CurrentFile=Data/Scripts/Mobiles/Civilized/Citizens/TradesmanButcher.cs; Line=25; SourceLine=public override void OnMovement(Mobile m, Point3D oldLocation) { };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</si>
  <si>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HistoricalFile=Data/Scripts/Mobiles/Civilized/Citizens/TradesmanButcher.cs; Risk=Runtime; POST-BATCH-K is audit/runtime-surface triage only. No command names, gump button IDs, PlayerMobile fields, region policy, XML/config, save layout, or gameplay behavior changed.</t>
  </si>
  <si>
    <t>RB-02093</t>
  </si>
  <si>
    <t>P10-F02093</t>
  </si>
  <si>
    <t>PBK-0181</t>
  </si>
  <si>
    <t>CurrentFile=Data/Scripts/Mobiles/Civilized/Citizens/TradesmanCook.cs;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</si>
  <si>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HistoricalFile=Data/Scripts/Mobiles/Civilized/Citizens/TradesmanCook.cs; Risk=Runtime; POST-BATCH-K is audit/runtime-surface triage only. No command names, gump button IDs, PlayerMobile fields, region policy, XML/config, save layout, or gameplay behavior changed.</t>
  </si>
  <si>
    <t>RB-02094</t>
  </si>
  <si>
    <t>P10-F02094</t>
  </si>
  <si>
    <t>PBK-0182</t>
  </si>
  <si>
    <t>CurrentFile=Data/Scripts/Mobiles/Civilized/Citizens/TradesmanLeather.cs;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</si>
  <si>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HistoricalFile=Data/Scripts/Mobiles/Civilized/Citizens/TradesmanLeather.cs; Risk=Runtime; POST-BATCH-K is audit/runtime-surface triage only. No command names, gump button IDs, PlayerMobile fields, region policy, XML/config, save layout, or gameplay behavior changed.</t>
  </si>
  <si>
    <t>RB-02095</t>
  </si>
  <si>
    <t>P10-F02095</t>
  </si>
  <si>
    <t>PBK-0183</t>
  </si>
  <si>
    <t>CurrentFile=Data/Scripts/Mobiles/Civilized/Citizens/TradesmanLogger.cs;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</si>
  <si>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HistoricalFile=Data/Scripts/Mobiles/Civilized/Citizens/TradesmanLogger.cs; Risk=Runtime; POST-BATCH-K is audit/runtime-surface triage only. No command names, gump button IDs, PlayerMobile fields, region policy, XML/config, save layout, or gameplay behavior changed.</t>
  </si>
  <si>
    <t>RB-02096</t>
  </si>
  <si>
    <t>P10-F02096</t>
  </si>
  <si>
    <t>PBK-0184</t>
  </si>
  <si>
    <t>CurrentFile=Data/Scripts/Mobiles/Civilized/Citizens/TradesmanLumber.cs; Line=25; SourceLine=public override void OnMovement(Mobile m, Point3D oldLocation) { }; PathResolution=OriginalPathCurrent; MatchQuality=RuntimeHookMapFileLine; HookKind=Movement; GuardList=NullGuard;PacketReadGuard;RangeGuard;StateGuard; Access=; Command=; Handler=; DisabledEvidence=False; RuntimeHookMap=HookType=Movement;Marker=OnMovement;Access=GlobalOrInternal;Risk=High;Guards=NullGuard;PacketReadGuard;RangeGuard;StateGuard</t>
  </si>
  <si>
    <t>HistoricalFile=Data/Scripts/Mobiles/Civilized/Citizens/TradesmanLumber.cs; Risk=Runtime; POST-BATCH-K is audit/runtime-surface triage only. No command names, gump button IDs, PlayerMobile fields, region policy, XML/config, save layout, or gameplay behavior changed.</t>
  </si>
  <si>
    <t>RB-02097</t>
  </si>
  <si>
    <t>P10-F02097</t>
  </si>
  <si>
    <t>PBK-0185</t>
  </si>
  <si>
    <t>CurrentFile=Data/Scripts/Mobiles/Civilized/Citizens/TradesmanMiner.cs;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</si>
  <si>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HistoricalFile=Data/Scripts/Mobiles/Civilized/Citizens/TradesmanMiner.cs; Risk=Runtime; POST-BATCH-K is audit/runtime-surface triage only. No command names, gump button IDs, PlayerMobile fields, region policy, XML/config, save layout, or gameplay behavior changed.</t>
  </si>
  <si>
    <t>RB-02098</t>
  </si>
  <si>
    <t>P10-F02098</t>
  </si>
  <si>
    <t>PBK-0186</t>
  </si>
  <si>
    <t>CurrentFile=Data/Scripts/Mobiles/Civilized/Citizens/TradesmanSmelter.cs; Line=25; SourceLine=public override void OnMovement(Mobile m, Point3D oldLocation) { }; PathResolution=OriginalPathCurrent; MatchQuality=RuntimeHookMapFileLine; HookKind=Movement; GuardList=NullGuard;PacketReadGuard;RangeGuard;StateGuard; Access=; Command=; Handler=; DisabledEvidence=False; RuntimeHookMap=HookType=Movement;Marker=OnMovement;Access=GlobalOrInternal;Risk=High;Guards=NullGuard;PacketReadGuard;RangeGuard;StateGuard</t>
  </si>
  <si>
    <t>HistoricalFile=Data/Scripts/Mobiles/Civilized/Citizens/TradesmanSmelter.cs; Risk=Runtime; POST-BATCH-K is audit/runtime-surface triage only. No command names, gump button IDs, PlayerMobile fields, region policy, XML/config, save layout, or gameplay behavior changed.</t>
  </si>
  <si>
    <t>RB-02099</t>
  </si>
  <si>
    <t>P10-F02099</t>
  </si>
  <si>
    <t>PBK-0187</t>
  </si>
  <si>
    <t>CurrentFile=Data/Scripts/Mobiles/Civilized/Citizens/TradesmanSmith.cs; Line=25; SourceLine=public override void OnMovement(Mobile m, Point3D oldLocation) { }; PathResolution=OriginalPathCurrent; MatchQuality=RuntimeHookMapFileLine; HookKind=Movement; GuardList=AccessGuard;NullGuard;PacketReadGuard;RangeGuard;StateGuard; Access=; Command=; Handler=; DisabledEvidence=False; RuntimeHookMap=HookType=Movement;Marker=OnMovement;Access=GlobalOrInternal;Risk=High;Guards=AccessGuard;NullGuard;PacketReadGuard;RangeGuard;StateGuard</t>
  </si>
  <si>
    <t>HistoricalFile=Data/Scripts/Mobiles/Civilized/Citizens/TradesmanSmith.cs; Risk=Runtime; POST-BATCH-K is audit/runtime-surface triage only. No command names, gump button IDs, PlayerMobile fields, region policy, XML/config, save layout, or gameplay behavior changed.</t>
  </si>
  <si>
    <t>RB-02101</t>
  </si>
  <si>
    <t>P10-F02101</t>
  </si>
  <si>
    <t>PBK-0189</t>
  </si>
  <si>
    <t>CurrentFile=Data/Scripts/Mobiles/Civilized/Citizens/TrainingFishing.cs; Line=23; SourceLine=public override void OnMovement(Mobile m, Point3D oldLocation) { }; PathResolution=OriginalPathCurrent; MatchQuality=RuntimeHookMapFileLine; HookKind=Movement; GuardList=MapGuard;NullGuard;PacketReadGuard;RangeGuard;StateGuard; Access=; Command=; Handler=; DisabledEvidence=False; RuntimeHookMap=HookType=Movement;Marker=OnMovement;Access=GlobalOrInternal;Risk=High;Guards=MapGuard;NullGuard;PacketReadGuard;RangeGuard;StateGuard</t>
  </si>
  <si>
    <t>HistoricalFile=Data/Scripts/Mobiles/Civilized/Citizens/TrainingFishing.cs; Risk=Runtime; POST-BATCH-K is audit/runtime-surface triage only. No command names, gump button IDs, PlayerMobile fields, region policy, XML/config, save layout, or gameplay behavior changed.</t>
  </si>
  <si>
    <t>RB-02102</t>
  </si>
  <si>
    <t>P10-F02102</t>
  </si>
  <si>
    <t>PBK-0190</t>
  </si>
  <si>
    <t>CurrentFile=Data/Scripts/Mobiles/Civilized/Citizens/TrainingMagery.cs; Line=32; SourceLine=public override void OnMovement(Mobile m, Point3D oldLocation) { }; PathResolution=OriginalPathCurrent; MatchQuality=RuntimeHookMapFileLine; HookKind=Movement; GuardList=BoundsGuard;MapGuard;NullGuard;PacketReadGuard;RangeGuard;StateGuard; Access=; Command=; Handler=; DisabledEvidence=False; RuntimeHookMap=HookType=Movement;Marker=OnMovement;Access=GlobalOrInternal;Risk=High;Guards=BoundsGuard;MapGuard;NullGuard;PacketReadGuard;RangeGuard;StateGuard</t>
  </si>
  <si>
    <t>HistoricalFile=Data/Scripts/Mobiles/Civilized/Citizens/TrainingMagery.cs; Risk=Runtime; POST-BATCH-K is audit/runtime-surface triage only. No command names, gump button IDs, PlayerMobile fields, region policy, XML/config, save layout, or gameplay behavior changed.</t>
  </si>
  <si>
    <t>RB-02105</t>
  </si>
  <si>
    <t>P10-F02105</t>
  </si>
  <si>
    <t>PBK-0193</t>
  </si>
  <si>
    <t>CurrentFile=Data/Scripts/Mobiles/Civilized/Citizens/Warriors.cs; Line=31; SourceLine=public override void OnMovement(Mobile m, Point3D oldLocation) { }; PathResolution=OriginalPathCurrent; MatchQuality=RuntimeHookMapFileLine; HookKind=Movement; GuardList=BoundsGuard;NullGuard;PacketReadGuard;RangeGuard;StateGuard; Access=; Command=; Handler=; DisabledEvidence=False; RuntimeHookMap=HookType=Movement;Marker=OnMovement;Access=GlobalOrInternal;Risk=High;Guards=BoundsGuard;NullGuard;PacketReadGuard;RangeGuard;StateGuard</t>
  </si>
  <si>
    <t>HistoricalFile=Data/Scripts/Mobiles/Civilized/Citizens/Warriors.cs; Risk=Runtime; POST-BATCH-K is audit/runtime-surface triage only. No command names, gump button IDs, PlayerMobile fields, region policy, XML/config, save layout, or gameplay behavior changed.</t>
  </si>
  <si>
    <t>RB-02106</t>
  </si>
  <si>
    <t>P10-F02106</t>
  </si>
  <si>
    <t>PBK-0194</t>
  </si>
  <si>
    <t>CurrentFile=Data/Scripts/Mobiles/Civilized/Comrades/HenchmanArcher.cs; Line=28; SourceLine=public override void OnMovement(Mobile 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</si>
  <si>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RB-02107</t>
  </si>
  <si>
    <t>P10-F02107</t>
  </si>
  <si>
    <t>PBK-0195</t>
  </si>
  <si>
    <t>CurrentFile=Data/Scripts/Mobiles/Civilized/Comrades/HenchmanFighter.cs; Line=28; SourceLine=public override void OnMovement(Mobile m, Point3D oldLocation); PathResolution=OriginalPathCurrent; MatchQuality=RuntimeHookMapFileLine; HookKind=Movement; GuardList=PacketReadGuard;StateGuard; Access=; Command=; Handler=; DisabledEvidence=False; RuntimeHookMap=HookType=Movement;Marker=OnMovement;Access=GlobalOrInternal;Risk=High;Guards=PacketReadGuard;StateGuard</t>
  </si>
  <si>
    <t>RB-02108</t>
  </si>
  <si>
    <t>P10-F02108</t>
  </si>
  <si>
    <t>PBK-0196</t>
  </si>
  <si>
    <t>CurrentFile=Data/Scripts/Mobiles/Civilized/Comrades/HenchmanMonster.cs; Line=28; SourceLine=public override void OnMovement(Mobile 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</si>
  <si>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RB-02109</t>
  </si>
  <si>
    <t>P10-F02109</t>
  </si>
  <si>
    <t>PBK-0197</t>
  </si>
  <si>
    <t>CurrentFile=Data/Scripts/Mobiles/Civilized/Comrades/HenchmanWizard.cs; Line=28; SourceLine=public override void OnMovement(Mobile 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</si>
  <si>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RB-02110</t>
  </si>
  <si>
    <t>P10-F02110</t>
  </si>
  <si>
    <t>Data/Scripts/Mobiles/Civilized/Familiars/Familiar.cs</t>
  </si>
  <si>
    <t>PBK-0198</t>
  </si>
  <si>
    <t>CurrentFile=Data/Scripts/Mobiles/Civilized/Familiars/Familiar.cs; Line=22; SourceLine=public override void OnMovement(Mobile m, Point3D oldLocation); PathResolution=OriginalPathCurrent; MatchQuality=RuntimeHookMapFileLine; HookKind=Movement; GuardList=AccessGuard;BoundsGuard;DeletedGuard;NullGuard;PacketReadGuard;RangeGuard;StateGuard; Access=; Command=; Handler=; DisabledEvidence=False; RuntimeHookMap=HookType=Movement;Marker=OnMovement;Access=GlobalOrInternal;Risk=High;Guards=AccessGuard;BoundsGuard;DeletedGuard;NullGuard;PacketReadGuard;RangeGuard;StateGuard</t>
  </si>
  <si>
    <t>HistoricalFile=Data/Scripts/Mobiles/Civilized/Familiars/Familiar.cs; Risk=Runtime; POST-BATCH-K is audit/runtime-surface triage only. No command names, gump button IDs, PlayerMobile fields, region policy, XML/config, save layout, or gameplay behavior changed.</t>
  </si>
  <si>
    <t>RB-02111</t>
  </si>
  <si>
    <t>P10-F02111</t>
  </si>
  <si>
    <t>PBK-0199</t>
  </si>
  <si>
    <t>CurrentFile=Data/Scripts/Mobiles/Civilized/Guilds/DruidGuildmaster.cs; Line=336; SourceLine=public override void OnMovement(Mobile m, Point3D oldLocation); PathResolution=OriginalPathCurrent; MatchQuality=RuntimeHookMapFileLine; HookKind=Movement; GuardList=BoundsGuard;DeletedGuard;MapGuard;NullGuard;RangeGuard;StateGuard; Access=; Command=; Handler=; DisabledEvidence=False; RuntimeHookMap=HookType=Movement;Marker=OnMovement;Access=GlobalOrInternal;Risk=High;Guards=BoundsGuard;DeletedGuard;MapGuard;NullGuard;RangeGuard;StateGuard</t>
  </si>
  <si>
    <t>HistoricalFile=Data/Scripts/Mobiles/Civilized/Guilds/DruidGuildmaster.cs; Risk=Runtime; POST-BATCH-K is audit/runtime-surface triage only. No command names, gump button IDs, PlayerMobile fields, region policy, XML/config, save layout, or gameplay behavior changed.</t>
  </si>
  <si>
    <t>RB-02112</t>
  </si>
  <si>
    <t>P10-F02112</t>
  </si>
  <si>
    <t>Data/Scripts/Mobiles/Civilized/Guilds/NecromancerGuildmaster.cs</t>
  </si>
  <si>
    <t>PBK-0200</t>
  </si>
  <si>
    <t>CurrentFile=Data/Scripts/Mobiles/Civilized/Guilds/NecromancerGuildmaster.cs; Line=97; SourceLine=public override void OnMovement(Mobile m, Point3D oldLocation); PathResolution=OriginalPathCurrent; MatchQuality=RuntimeHookMapFileLine; HookKind=Movement; GuardList=BoundsGuard;DeletedGuard;MapGuard;NullGuard;PacketReadGuard;RangeGuard;StateGuard; Access=; Command=; Handler=; DisabledEvidence=False; RuntimeHookMap=HookType=Movement;Marker=OnMovement;Access=GlobalOrInternal;Risk=High;Guards=BoundsGuard;DeletedGuard;MapGuard;NullGuard;PacketReadGuard;RangeGuard;StateGuard</t>
  </si>
  <si>
    <t>HistoricalFile=Data/Scripts/Mobiles/Civilized/Guilds/NecromancerGuildmaster.cs; Risk=Runtime; POST-BATCH-K is audit/runtime-surface triage only. No command names, gump button IDs, PlayerMobile fields, region policy, XML/config, save layout, or gameplay behavior changed.</t>
  </si>
  <si>
    <t>RB-02113</t>
  </si>
  <si>
    <t>P10-F02113</t>
  </si>
  <si>
    <t>Data/Scripts/Mobiles/Civilized/Porters/Porter.cs</t>
  </si>
  <si>
    <t>PBK-0201</t>
  </si>
  <si>
    <t>CurrentFile=Data/Scripts/Mobiles/Civilized/Porters/Porter.cs; Line=22; SourceLine=public override void OnMovement(Mobile m, Point3D oldLocation);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</si>
  <si>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HistoricalFile=Data/Scripts/Mobiles/Civilized/Porters/Porter.cs; Risk=Runtime; POST-BATCH-K is audit/runtime-surface triage only. No command names, gump button IDs, PlayerMobile fields, region policy, XML/config, save layout, or gameplay behavior changed.</t>
  </si>
  <si>
    <t>RB-02114</t>
  </si>
  <si>
    <t>P10-F02114</t>
  </si>
  <si>
    <t>Data/Scripts/Mobiles/Civilized/Special/EpicCharacter.cs</t>
  </si>
  <si>
    <t>PBK-0202</t>
  </si>
  <si>
    <t>CurrentFile=Data/Scripts/Mobiles/Civilized/Special/EpicCharacter.cs; Line=168;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</si>
  <si>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HistoricalFile=Data/Scripts/Mobiles/Civilized/Special/EpicCharacter.cs; Risk=Runtime; POST-BATCH-K is audit/runtime-surface triage only. No command names, gump button IDs, PlayerMobile fields, region policy, XML/config, save layout, or gameplay behavior changed.</t>
  </si>
  <si>
    <t>RB-02115</t>
  </si>
  <si>
    <t>P10-F02115</t>
  </si>
  <si>
    <t>Data/Scripts/Mobiles/Civilized/Special/MadGodPriest.cs</t>
  </si>
  <si>
    <t>PBK-0203</t>
  </si>
  <si>
    <t>CurrentFile=Data/Scripts/Mobiles/Civilized/Special/MadGodPriest.cs; Line=52; SourceLine=public override void OnMovement(Mobile m, Point3D oldLocation); PathResolution=OriginalPathCurrent; MatchQuality=RuntimeHookMapFileLine; HookKind=Movement; GuardList=BoundsGuard;PacketReadGuard;RangeGuard;StateGuard; Access=; Command=; Handler=; DisabledEvidence=False; RuntimeHookMap=HookType=Movement;Marker=OnMovement;Access=GlobalOrInternal;Risk=High;Guards=BoundsGuard;PacketReadGuard;RangeGuard;StateGuard</t>
  </si>
  <si>
    <t>HistoricalFile=Data/Scripts/Mobiles/Civilized/Special/MadGodPriest.cs; Risk=Runtime; POST-BATCH-K is audit/runtime-surface triage only. No command names, gump button IDs, PlayerMobile fields, region policy, XML/config, save layout, or gameplay behavior changed.</t>
  </si>
  <si>
    <t>RB-02116</t>
  </si>
  <si>
    <t>P10-F02116</t>
  </si>
  <si>
    <t>PBK-0204</t>
  </si>
  <si>
    <t>CurrentFile=Data/Scripts/Mobiles/Civilized/Vendors/Druid.cs; Line=124; SourceLine=public override void OnMovement(Mobile m, Point3D oldLocation); PathResolution=OriginalPathCurrent; MatchQuality=RuntimeHookMapFileLine; HookKind=Movement; GuardList=BoundsGuard;MapGuard;NullGuard;RangeGuard;StateGuard; Access=; Command=; Handler=; DisabledEvidence=False; RuntimeHookMap=HookType=Movement;Marker=OnMovement;Access=GlobalOrInternal;Risk=High;Guards=BoundsGuard;MapGuard;NullGuard;RangeGuard;StateGuard</t>
  </si>
  <si>
    <t>HistoricalFile=Data/Scripts/Mobiles/Civilized/Vendors/Druid.cs; Risk=Runtime; POST-BATCH-K is audit/runtime-surface triage only. No command names, gump button IDs, PlayerMobile fields, region policy, XML/config, save layout, or gameplay behavior changed.</t>
  </si>
  <si>
    <t>RB-02117</t>
  </si>
  <si>
    <t>P10-F02117</t>
  </si>
  <si>
    <t>PBK-0205</t>
  </si>
  <si>
    <t>CurrentFile=Data/Scripts/Mobiles/Civilized/Vendors/DruidTree.cs; Line=105; SourceLine=public override void OnMovement(Mobile m, Point3D oldLocation); PathResolution=OriginalPathCurrent; MatchQuality=RuntimeHookMapFileLine; HookKind=Movement; GuardList=BoundsGuard;MapGuard;NullGuard;RangeGuard;StateGuard; Access=; Command=; Handler=; DisabledEvidence=False; RuntimeHookMap=HookType=Movement;Marker=OnMovement;Access=GlobalOrInternal;Risk=High;Guards=BoundsGuard;MapGuard;NullGuard;RangeGuard;StateGuard</t>
  </si>
  <si>
    <t>HistoricalFile=Data/Scripts/Mobiles/Civilized/Vendors/DruidTree.cs; Risk=Runtime; POST-BATCH-K is audit/runtime-surface triage only. No command names, gump button IDs, PlayerMobile fields, region policy, XML/config, save layout, or gameplay behavior changed.</t>
  </si>
  <si>
    <t>RB-02118</t>
  </si>
  <si>
    <t>P10-F02118</t>
  </si>
  <si>
    <t>Data/Scripts/Mobiles/Civilized/Vendors/GypsyLady.cs</t>
  </si>
  <si>
    <t>PBK-0206</t>
  </si>
  <si>
    <t>CurrentFile=Data/Scripts/Mobiles/Civilized/Vendors/GypsyLady.cs; Line=24; SourceLine=public override void OnMovement(Mobile m, Point3D oldLocation); PathResolution=OriginalPathCurrent; MatchQuality=RuntimeHookMapFileLine; HookKind=Movement; GuardList=BoundsGuard;DeletedGuard;PacketReadGuard;RangeGuard;StateGuard; Access=; Command=; Handler=; DisabledEvidence=False; RuntimeHookMap=HookType=Movement;Marker=OnMovement;Access=GlobalOrInternal;Risk=High;Guards=BoundsGuard;DeletedGuard;PacketReadGuard;RangeGuard;StateGuard</t>
  </si>
  <si>
    <t>HistoricalFile=Data/Scripts/Mobiles/Civilized/Vendors/GypsyLady.cs; Risk=Runtime; POST-BATCH-K is audit/runtime-surface triage only. No command names, gump button IDs, PlayerMobile fields, region policy, XML/config, save layout, or gameplay behavior changed.</t>
  </si>
  <si>
    <t>RB-02119</t>
  </si>
  <si>
    <t>P10-F02119</t>
  </si>
  <si>
    <t>Data/Scripts/Mobiles/Civilized/Vendors/Jester.cs</t>
  </si>
  <si>
    <t>PBK-0207</t>
  </si>
  <si>
    <t>CurrentFile=Data/Scripts/Mobiles/Civilized/Vendors/Jester.cs; Line=396; SourceLine=public override void OnMovement(Mobile m, Point3D oldLocation); PathResolution=OriginalPathCurrent; MatchQuality=RuntimeHookMapFileLine; HookKind=Movement; GuardList=BoundsGuard;DeletedGuard;MapGuard;NullGuard;PacketReadGuard;RangeGuard;StateGuard; Access=; Command=; Handler=; DisabledEvidence=False; RuntimeHookMap=HookType=Movement;Marker=OnMovement;Access=GlobalOrInternal;Risk=High;Guards=BoundsGuard;DeletedGuard;MapGuard;NullGuard;PacketReadGuard;RangeGuard;StateGuard</t>
  </si>
  <si>
    <t>HistoricalFile=Data/Scripts/Mobiles/Civilized/Vendors/Jester.cs; Risk=Runtime; POST-BATCH-K is audit/runtime-surface triage only. No command names, gump button IDs, PlayerMobile fields, region policy, XML/config, save layout, or gameplay behavior changed.</t>
  </si>
  <si>
    <t>RB-02120</t>
  </si>
  <si>
    <t>P10-F02120</t>
  </si>
  <si>
    <t>PBK-0208</t>
  </si>
  <si>
    <t>CurrentFile=Data/Scripts/Mobiles/Civilized/Vendors/RealEstateBroker.cs; Line=39; SourceLine=public override void OnMovement(Mobile m, Point3D oldLocation); PathResolution=OriginalPathCurrent; MatchQuality=RuntimeHookMapFileLine; HookKind=Movement; GuardList=NullGuard;PacketReadGuard;RangeGuard;StateGuard; Access=; Command=; Handler=; DisabledEvidence=False; RuntimeHookMap=HookType=Movement;Marker=OnMovement;Access=GlobalOrInternal;Risk=High;Guards=NullGuard;PacketReadGuard;RangeGuard;StateGuard</t>
  </si>
  <si>
    <t>RB-02121</t>
  </si>
  <si>
    <t>P10-F02121</t>
  </si>
  <si>
    <t>PBK-0209</t>
  </si>
  <si>
    <t>CurrentFile=Data/Scripts/Mobiles/Civilized/Vendors/RealEstateBroker.cs; Line=67; SourceLine=base.OnMovement(m, oldLocation);; PathResolution=OriginalPathCurrent; MatchQuality=RuntimeHookMapFileLine; HookKind=Movement; GuardList=NullGuard;PacketReadGuard;RangeGuard;StateGuard; Access=; Command=; Handler=; DisabledEvidence=False; RuntimeHookMap=HookType=Movement;Marker=OnMovement;Access=GlobalOrInternal;Risk=High;Guards=NullGuard;PacketReadGuard;RangeGuard;StateGuard</t>
  </si>
  <si>
    <t>RB-02122</t>
  </si>
  <si>
    <t>P10-F02122</t>
  </si>
  <si>
    <t>PBK-0210</t>
  </si>
  <si>
    <t>CurrentFile=Data/Scripts/Mobiles/Civilized/Vendors/Shepherd.cs; Line=22; SourceLine=public override void OnMovement(Mobile m, Point3D oldLocation); PathResolution=OriginalPathCurrent; MatchQuality=RuntimeHookMapFileLine; HookKind=Movement; GuardList=BoundsGuard;DeletedGuard;MapGuard;NullGuard;PacketReadGuard;RangeGuard;StateGuard; Access=; Command=; Handler=; DisabledEvidence=False; RuntimeHookMap=HookType=Movement;Marker=OnMovement;Access=GlobalOrInternal;Risk=High;Guards=BoundsGuard;DeletedGuard;MapGuard;NullGuard;PacketReadGuard;RangeGuard;StateGuard</t>
  </si>
  <si>
    <t>RB-02133</t>
  </si>
  <si>
    <t>P10-F02133</t>
  </si>
  <si>
    <t>Data/Scripts/Mobiles/Mystical/EtherealWarrior.cs</t>
  </si>
  <si>
    <t>PBK-0221</t>
  </si>
  <si>
    <t>CurrentFile=Data/Scripts/Mobiles/Mystical/EtherealWarrior.cs; Line=68; SourceLine=public override void OnMovement(Mobile from, Point3D oldLocation); PathResolution=OriginalPathCurrent; MatchQuality=RuntimeHookMapFileLine; HookKind=Movement; GuardList=MapGuard;NullGuard;PacketReadGuard;RangeGuard;StateGuard; Access=; Command=; Handler=; DisabledEvidence=False; RuntimeHookMap=HookType=Movement;Marker=OnMovement;Access=GlobalOrInternal;Risk=High;Guards=MapGuard;NullGuard;PacketReadGuard;RangeGuard;StateGuard</t>
  </si>
  <si>
    <t>HistoricalFile=Data/Scripts/Mobiles/Mystical/EtherealWarrior.cs; Risk=Runtime; POST-BATCH-K is audit/runtime-surface triage only. No command names, gump button IDs, PlayerMobile fields, region policy, XML/config, save layout, or gameplay behavior changed.</t>
  </si>
  <si>
    <t>RB-02138</t>
  </si>
  <si>
    <t>P10-F02138</t>
  </si>
  <si>
    <t>Quests:HelpMessage.cs</t>
  </si>
  <si>
    <t>Data/Scripts/Quests/HelpMessage.cs</t>
  </si>
  <si>
    <t>PBK-0226</t>
  </si>
  <si>
    <t>CurrentFile=Data/Scripts/Quests/HelpMessage.cs; Line=22; SourceLine=public override void OnMovement(Mobile from,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</si>
  <si>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HistoricalFile=Data/Scripts/Quests/HelpMessage.cs; Risk=Runtime; POST-BATCH-K is audit/runtime-surface triage only. No command names, gump button IDs, PlayerMobile fields, region policy, XML/config, save layout, or gameplay behavior changed.</t>
  </si>
  <si>
    <t>RB-02139</t>
  </si>
  <si>
    <t>P10-F02139</t>
  </si>
  <si>
    <t>Quests:NoticeClue.cs</t>
  </si>
  <si>
    <t>Data/Scripts/Quests/NoticeClue.cs</t>
  </si>
  <si>
    <t>PBK-0227</t>
  </si>
  <si>
    <t>CurrentFile=Data/Scripts/Quests/NoticeClue.cs; Line=22; SourceLine=public override void OnMovement(Mobile from, Point3D oldLocation); PathResolution=OriginalPathCurrent; MatchQuality=RuntimeHookMapFileLine; HookKind=Movement; GuardList=PacketReadGuard;RangeGuard;StateGuard; Access=; Command=; Handler=; DisabledEvidence=False; RuntimeHookMap=HookType=Movement;Marker=OnMovement;Access=GlobalOrInternal;Risk=High;Guards=PacketReadGuard;RangeGuard;StateGuard</t>
  </si>
  <si>
    <t>HistoricalFile=Data/Scripts/Quests/NoticeClue.cs; Risk=Runtime; POST-BATCH-K is audit/runtime-surface triage only. No command names, gump button IDs, PlayerMobile fields, region policy, XML/config, save layout, or gameplay behavior changed.</t>
  </si>
  <si>
    <t>RB-02141</t>
  </si>
  <si>
    <t>P10-F02141</t>
  </si>
  <si>
    <t>Data/Scripts/Quests/Frankenstein/FrankenFighter.cs</t>
  </si>
  <si>
    <t>PBK-0229</t>
  </si>
  <si>
    <t>CurrentFile=Data/Scripts/Quests/Frankenstein/FrankenFighter.cs; Line=37; SourceLine=public override void OnMovement(Mobile m, Point3D oldLocation); PathResolution=OriginalPathCurrent; MatchQuality=RuntimeHookMapFileLine; HookKind=Movement; GuardList=AccessGuard;MapGuard;NullGuard;PacketReadGuard;RangeGuard;StateGuard; Access=; Command=; Handler=; DisabledEvidence=False; RuntimeHookMap=HookType=Movement;Marker=OnMovement;Access=GlobalOrInternal;Risk=High;Guards=AccessGuard;MapGuard;NullGuard;PacketReadGuard;RangeGuard;StateGuard</t>
  </si>
  <si>
    <t>HistoricalFile=Data/Scripts/Quests/Frankenstein/FrankenFighter.cs; Risk=Runtime; POST-BATCH-K is audit/runtime-surface triage only. No command names, gump button IDs, PlayerMobile fields, region policy, XML/config, save layout, or gameplay behavior changed.</t>
  </si>
  <si>
    <t>RB-02142</t>
  </si>
  <si>
    <t>P10-F02142</t>
  </si>
  <si>
    <t>Data/Scripts/Quests/Frankenstein/FrankenPorter.cs</t>
  </si>
  <si>
    <t>PBK-0230</t>
  </si>
  <si>
    <t>CurrentFile=Data/Scripts/Quests/Frankenstein/FrankenPorter.cs; Line=35; SourceLine=public override void OnMovement(Mobile m, Point3D oldLocation);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</si>
  <si>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HistoricalFile=Data/Scripts/Quests/Frankenstein/FrankenPorter.cs; Risk=Runtime; POST-BATCH-K is audit/runtime-surface triage only. No command names, gump button IDs, PlayerMobile fields, region policy, XML/config, save layout, or gameplay behavior changed.</t>
  </si>
  <si>
    <t>RB-02143</t>
  </si>
  <si>
    <t>P10-F02143</t>
  </si>
  <si>
    <t>Data/Scripts/Quests/Golems/GolemFighter.cs</t>
  </si>
  <si>
    <t>PBK-0231</t>
  </si>
  <si>
    <t>CurrentFile=Data/Scripts/Quests/Golems/GolemFighter.cs; Line=37; SourceLine=public override void OnMovement(Mobile m, Point3D oldLocation); PathResolution=OriginalPathCurrent; MatchQuality=RuntimeHookMapFileLine; HookKind=Movement; GuardList=AccessGuard;MapGuard;NullGuard;PacketReadGuard;RangeGuard;StateGuard; Access=; Command=; Handler=; DisabledEvidence=False; RuntimeHookMap=HookType=Movement;Marker=OnMovement;Access=GlobalOrInternal;Risk=High;Guards=AccessGuard;MapGuard;NullGuard;PacketReadGuard;RangeGuard;StateGuard</t>
  </si>
  <si>
    <t>HistoricalFile=Data/Scripts/Quests/Golems/GolemFighter.cs; Risk=Runtime; POST-BATCH-K is audit/runtime-surface triage only. No command names, gump button IDs, PlayerMobile fields, region policy, XML/config, save layout, or gameplay behavior changed.</t>
  </si>
  <si>
    <t>RB-02144</t>
  </si>
  <si>
    <t>P10-F02144</t>
  </si>
  <si>
    <t>Data/Scripts/Quests/Golems/GolemPorter.cs</t>
  </si>
  <si>
    <t>PBK-0232</t>
  </si>
  <si>
    <t>CurrentFile=Data/Scripts/Quests/Golems/GolemPorter.cs; Line=35; SourceLine=public override void OnMovement(Mobile m, Point3D oldLocation); PathResolution=OriginalPathCurrent; MatchQuality=RuntimeHookMapFileLine; HookKind=Movement; GuardList=AccessGuard;BoundsGuard;NullGuard;PacketReadGuard;RangeGuard;StateGuard; Access=; Command=; Handler=; DisabledEvidence=False; RuntimeHookMap=HookType=Movement;Marker=OnMovement;Access=GlobalOrInternal;Risk=High;Guards=AccessGuard;BoundsGuard;NullGuard;PacketReadGuard;RangeGuard;StateGuard</t>
  </si>
  <si>
    <t>HistoricalFile=Data/Scripts/Quests/Golems/GolemPorter.cs; Risk=Runtime; POST-BATCH-K is audit/runtime-surface triage only. No command names, gump button IDs, PlayerMobile fields, region policy, XML/config, save layout, or gameplay behavior changed.</t>
  </si>
  <si>
    <t>RB-02145</t>
  </si>
  <si>
    <t>P10-F02145</t>
  </si>
  <si>
    <t>Quests:Pagan</t>
  </si>
  <si>
    <t>Data/Scripts/Quests/Pagan/PaganBase.cs</t>
  </si>
  <si>
    <t>PBK-0233</t>
  </si>
  <si>
    <t>CurrentFile=Data/Scripts/Quests/Pagan/PaganBase.cs; Line=114;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</si>
  <si>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HistoricalFile=Data/Scripts/Quests/Pagan/PaganBase.cs; Risk=Runtime; POST-BATCH-K is audit/runtime-surface triage only. No command names, gump button IDs, PlayerMobile fields, region policy, XML/config, save layout, or gameplay behavior changed.</t>
  </si>
  <si>
    <t>RB-02146</t>
  </si>
  <si>
    <t>P10-F02146</t>
  </si>
  <si>
    <t>Data/Scripts/Quests/Robots/Robot.cs</t>
  </si>
  <si>
    <t>PBK-0234</t>
  </si>
  <si>
    <t>CurrentFile=Data/Scripts/Quests/Robots/Robot.cs; Line=22; SourceLine=public override void OnMovement(Mobile m, Point3D oldLocation); PathResolution=OriginalPathCurrent; MatchQuality=RuntimeHookMapFileLine; HookKind=Movement; GuardList=BoundsGuard;MapGuard;PacketReadGuard;RangeGuard;StateGuard; Access=; Command=; Handler=; DisabledEvidence=False; RuntimeHookMap=HookType=Movement;Marker=OnMovement;Access=GlobalOrInternal;Risk=High;Guards=BoundsGuard;MapGuard;PacketReadGuard;RangeGuard;StateGuard</t>
  </si>
  <si>
    <t>HistoricalFile=Data/Scripts/Quests/Robots/Robot.cs; Risk=Runtime; POST-BATCH-K is audit/runtime-surface triage only. No command names, gump button IDs, PlayerMobile fields, region policy, XML/config, save layout, or gameplay behavior changed.</t>
  </si>
  <si>
    <t>RB-02147</t>
  </si>
  <si>
    <t>P10-F02147</t>
  </si>
  <si>
    <t>Quests:Serpents</t>
  </si>
  <si>
    <t>Data/Scripts/Quests/Serpents/BaneBase.cs</t>
  </si>
  <si>
    <t>PBK-0235</t>
  </si>
  <si>
    <t>CurrentFile=Data/Scripts/Quests/Serpents/BaneBase.cs; Line=111;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</si>
  <si>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HistoricalFile=Data/Scripts/Quests/Serpents/BaneBase.cs; Risk=Runtime; POST-BATCH-K is audit/runtime-surface triage only. No command names, gump button IDs, PlayerMobile fields, region policy, XML/config, save layout, or gameplay behavior changed.</t>
  </si>
  <si>
    <t>RB-02148</t>
  </si>
  <si>
    <t>P10-F02148</t>
  </si>
  <si>
    <t>Data/Scripts/Quests/Shadowlords/FlamesBase.cs</t>
  </si>
  <si>
    <t>PBK-0236</t>
  </si>
  <si>
    <t>CurrentFile=Data/Scripts/Quests/Shadowlords/FlamesBase.cs; Line=108; SourceLine=public override void OnMovement(Mobile m, Point3D oldLocation); PathResolution=OriginalPathCurrent; MatchQuality=RuntimeHookMapFileLine; HookKind=Movement; GuardList=AccessGuard;BoundsGuard;MapGuard;NullGuard;PacketReadGuard;RangeGuard;StateGuard; Access=; Command=; Handler=; DisabledEvidence=False; RuntimeHookMap=HookType=Movement;Marker=OnMovement;Access=GlobalOrInternal;Risk=High;Guards=AccessGuard;BoundsGuard;MapGuard;NullGuard;PacketReadGuard;RangeGuard;StateGuard</t>
  </si>
  <si>
    <t>HistoricalFile=Data/Scripts/Quests/Shadowlords/FlamesBase.cs; Risk=Runtime; POST-BATCH-K is audit/runtime-surface triage only. No command names, gump button IDs, PlayerMobile fields, region policy, XML/config, save layout, or gameplay behavior changed.</t>
  </si>
  <si>
    <t>RB-02160</t>
  </si>
  <si>
    <t>P10-F02160</t>
  </si>
  <si>
    <t>PBK-0248</t>
  </si>
  <si>
    <t>CurrentFile=Data/Scripts/System/Obsolete/Obsolete.cs; Line=1657; SourceLine=public override void OnMovement(Mobile m, Point3D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</si>
  <si>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RB-02162</t>
  </si>
  <si>
    <t>P10-F02162</t>
  </si>
  <si>
    <t>PBK-0250</t>
  </si>
  <si>
    <t>CurrentFile=Data/Scripts/System/Obsolete/Obsolete.cs; Line=2340; SourceLine=}; PathResolution=OriginalPathCurrent; MatchQuality=CurrentSourceLine; HookKind=Movement; GuardList=AccessGuard;BoundsGuard;DeletedGuard;MapGuard;NullGuard;PacketReadGuard;RangeGuard;StateGuard; Access=; Command=; Handler=; DisabledEvidence=False</t>
  </si>
  <si>
    <t>RB-02163</t>
  </si>
  <si>
    <t>P10-F02163</t>
  </si>
  <si>
    <t>PBK-0251</t>
  </si>
  <si>
    <t>CurrentFile=Data/Scripts/System/Obsolete/Obsolete.cs; Line=3244; SourceLine=from.Alive; PathResolution=OriginalPathCurrent; MatchQuality=CurrentSourceLine; HookKind=Movement; GuardList=AccessGuard;BoundsGuard;DeletedGuard;MapGuard;NullGuard;PacketReadGuard;RangeGuard;StateGuard; Access=; Command=; Handler=; DisabledEvidence=False</t>
  </si>
  <si>
    <t>RB-02164</t>
  </si>
  <si>
    <t>P10-F02164</t>
  </si>
  <si>
    <t>PBK-0252</t>
  </si>
  <si>
    <t>CurrentFile=Data/Scripts/System/Obsolete/Obsolete.cs; Line=33300; SourceLine=}; PathResolution=OriginalPathCurrent; MatchQuality=CurrentSourceLine; HookKind=Movement; GuardList=AccessGuard;BoundsGuard;DeletedGuard;MapGuard;NullGuard;PacketReadGuard;RangeGuard;StateGuard; Access=; Command=; Handler=; DisabledEvidence=False</t>
  </si>
  <si>
    <t>RB-02165</t>
  </si>
  <si>
    <t>P10-F02165</t>
  </si>
  <si>
    <t>PBK-0253</t>
  </si>
  <si>
    <t>CurrentFile=Data/System/Source/Item.cs; Line=2187; SourceLine=public virtual void OnMovement(Mobile m, Point3D oldLocation) { };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</si>
  <si>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RB-02166</t>
  </si>
  <si>
    <t>P10-F02166</t>
  </si>
  <si>
    <t>PBK-0254</t>
  </si>
  <si>
    <t>CurrentFile=Data/System/Source/Mobile.cs; Line=3599; SourceLine=m.OnMovement(this,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</si>
  <si>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RB-02167</t>
  </si>
  <si>
    <t>P10-F02167</t>
  </si>
  <si>
    <t>PBK-0255</t>
  </si>
  <si>
    <t>CurrentFile=Data/System/Source/Mobile.cs; Line=3603; SourceLine=((Item)o).OnMovement(this, oldLocation);;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</si>
  <si>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RB-02168</t>
  </si>
  <si>
    <t>P10-F02168</t>
  </si>
  <si>
    <t>PBK-0256</t>
  </si>
  <si>
    <t>CurrentFile=Data/System/Source/Mobile.cs; Line=3712; SourceLine=public virtual void OnMovement(Mobile m, Point3D oldLocation) { }; PathResolution=OriginalPathCurrent; MatchQuality=RuntimeHookMapFileLine; HookKind=Movement; GuardList=AccessGuard;BoundsGuard;DeletedGuard;MapGuard;NullGuard;PacketReadGuard;RangeGuard;StateGuard; Access=; Command=; Handler=; DisabledEvidence=False; RuntimeHookMap=HookType=Movement;Marker=OnMovement;Access=GlobalOrInternal;Risk=High;Guards=AccessGuard;BoundsGuard;DeletedGuard;MapGuard;NullGuard;PacketReadGuard;RangeGuard;StateGuard</t>
  </si>
  <si>
    <t>RB-02169</t>
  </si>
  <si>
    <t>P10-F02169</t>
  </si>
  <si>
    <t>PBK-0257</t>
  </si>
  <si>
    <t>CurrentFile=Data/Scripts/Custom/Government System/CityUpgradeSystem.cs; Line=149; SourceLine=World.Save();; PathResolution=OriginalPathCurrent; MatchQuality=RuntimeHookMapFileLine; HookKind=WorldSave; GuardList=AccessGuard;BoundsGuard;DeletedGuard;MapGuard;NullGuard;StateGuard; Access=; Command=; Handler=; DisabledEvidence=False; RuntimeHookMap=HookType=WorldSave;Marker=WorldSave;Access=GlobalOrInternal;Risk=High;Guards=AccessGuard;BoundsGuard;DeletedGuard;MapGuard;NullGuard;StateGuard</t>
  </si>
  <si>
    <t>HistoricalFile=Data/Scripts/Custom/Government System/CityUpgradeSystem.cs; Risk=Runtime; POST-BATCH-K is audit/runtime-surface triage only. No command names, gump button IDs, PlayerMobile fields, region policy, XML/config, save layout, or gameplay behavior changed.</t>
  </si>
  <si>
    <t>RB-02170</t>
  </si>
  <si>
    <t>P10-F02170</t>
  </si>
  <si>
    <t>PBK-0258</t>
  </si>
  <si>
    <t>CurrentFile=Data/Scripts/Custom/Voting/VoteConfig.cs; Line=45; SourceLine=EventSink.WorldSave += new WorldSaveEventHandler(EventSink_WorldSave);; PathResolution=OriginalPathCurrent; MatchQuality=RuntimeHookMapFileLine; HookKind=WorldSave; GuardList=AccessGuard;BoundsGuard;NullGuard;PacketReadGuard; Access=; Command=; Handler=; DisabledEvidence=False; RuntimeHookMap=HookType=Event;Marker=EventSink;Access=GlobalOrInternal;Risk=High;Guards=AccessGuard;BoundsGuard;NullGuard;PacketReadGuard | HookType=WorldSave;Marker=WorldSave;Access=GlobalOrInternal;Risk=High;Guards=AccessGuard;BoundsGuard;NullGuard;PacketReadGuard</t>
  </si>
  <si>
    <t>HistoricalFile=Data/Scripts/Custom/Voting/VoteConfig.cs; Risk=Runtime; POST-BATCH-K is audit/runtime-surface triage only. No command names, gump button IDs, PlayerMobile fields, region policy, XML/config, save layout, or gameplay behavior changed.</t>
  </si>
  <si>
    <t>RB-02171</t>
  </si>
  <si>
    <t>P10-F02171</t>
  </si>
  <si>
    <t>PBK-0259</t>
  </si>
  <si>
    <t>CurrentFile=Data/Scripts/Custom/XMLSpawner/XmlAttach/XmlAttach.cs; Line=168; SourceLine=EventSink.WorldSave += new WorldSaveEventHandler(Save);; PathResolution=OriginalPathCurrent; MatchQuality=RuntimeHookMapFileLine; HookKind=WorldSave; GuardList=AccessGuard;BoundsGuard;DeletedGuard;MapGuard;NullGuard;PacketReadGuard;RangeGuard;StateGuard; Access=; Command=; Handler=; DisabledEvidence=False; RuntimeHookMap=HookType=Event;Marker=EventSink;Access=GlobalOrInternal;Risk=High;Guards=AccessGuard;BoundsGuard;DeletedGuard;MapGuard;NullGuard;PacketReadGuard;RangeGuard;StateGuard | HookType=WorldSave;Marker=WorldSave;Access=GlobalOrInternal;Risk=High;Guards=AccessGuard;BoundsGuard;DeletedGuard;MapGuard;NullGuard;PacketReadGuard;RangeGuard;StateGuard</t>
  </si>
  <si>
    <t>RB-02174</t>
  </si>
  <si>
    <t>P10-F02174</t>
  </si>
  <si>
    <t>Data/Scripts/Items/Houses/Remodeling/Remodeling.cs</t>
  </si>
  <si>
    <t>PBK-0260</t>
  </si>
  <si>
    <t>No source change. Current evidence shows the row is disabled/commented or has no live runtime command/hook surface to repair in this batch.</t>
  </si>
  <si>
    <t>CurrentFile=Data/Scripts/Items/Houses/Remodeling/Remodeling.cs; Line=28; SourceLine=//the World.Save the cleanup of any orphaned LawnItems happens.; PathResolution=OriginalPathCurrent; MatchQuality=RuntimeHookMapFileLine; HookKind=WorldSave; GuardList=BoundsGuard; Access=; Command=; Handler=; DisabledEvidence=True; RuntimeHookMap=HookType=WorldSave;Marker=WorldSave;Access=GlobalOrInternal;Risk=High;Guards=BoundsGuard</t>
  </si>
  <si>
    <t>HistoricalFile=Data/Scripts/Items/Houses/Remodeling/Remodeling.cs; Risk=Runtime; POST-BATCH-K is audit/runtime-surface triage only. No command names, gump button IDs, PlayerMobile fields, region policy, XML/config, save layout, or gameplay behavior changed.</t>
  </si>
  <si>
    <t>RB-02176</t>
  </si>
  <si>
    <t>P10-F02176</t>
  </si>
  <si>
    <t>Data/Scripts/System/Commands/ConvertPlayers.cs</t>
  </si>
  <si>
    <t>PBK-0261</t>
  </si>
  <si>
    <t>CurrentFile=Data/Scripts/System/Commands/ConvertPlayers.cs; Line=60; SourceLine=World.Save();; PathResolution=OriginalPathCurrent; MatchQuality=RuntimeHookMapFileLine; HookKind=WorldSave; GuardList=AccessGuard;BoundsGuard;NullGuard;StateGuard; Access=; Command=; Handler=; DisabledEvidence=False; RuntimeHookMap=HookType=WorldSave;Marker=WorldSave;Access=GlobalOrInternal;Risk=High;Guards=AccessGuard;BoundsGuard;NullGuard;StateGuard</t>
  </si>
  <si>
    <t>HistoricalFile=Data/Scripts/System/Commands/ConvertPlayers.cs; Risk=Runtime; POST-BATCH-K is audit/runtime-surface triage only. No command names, gump button IDs, PlayerMobile fields, region policy, XML/config, save layout, or gameplay behavior changed.</t>
  </si>
  <si>
    <t>RB-02178</t>
  </si>
  <si>
    <t>P10-F02178</t>
  </si>
  <si>
    <t>Data/Scripts/System/Misc/AutoSave.cs</t>
  </si>
  <si>
    <t>PBK-0262</t>
  </si>
  <si>
    <t>CurrentFile=Data/Scripts/System/Misc/AutoSave.cs; Line=192; SourceLine=World.Save(true, permitBackgroundWrite);; PathResolution=OriginalPathCurrent; MatchQuality=RuntimeHookMapFileLine; HookKind=WorldSave; GuardList=AccessGuard;BoundsGuard;MapGuard;NullGuard;StateGuard; Access=; Command=; Handler=; DisabledEvidence=False; RuntimeHookMap=HookType=WorldSave;Marker=WorldSave;Access=GlobalOrInternal;Risk=High;Guards=AccessGuard;BoundsGuard;MapGuard;NullGuard;StateGuard</t>
  </si>
  <si>
    <t>HistoricalFile=Data/Scripts/System/Misc/AutoSave.cs; Risk=Runtime; POST-BATCH-K is audit/runtime-surface triage only. No command names, gump button IDs, PlayerMobile fields, region policy, XML/config, save layout, or gameplay behavior changed.</t>
  </si>
  <si>
    <t>RB-02179</t>
  </si>
  <si>
    <t>P10-F02179</t>
  </si>
  <si>
    <t>PBK-0263</t>
  </si>
  <si>
    <t>CurrentFile=Data/Scripts/System/Misc/Broadcast.cs; Line=212; SourceLine=}; PathResolution=OriginalPathCurrent; MatchQuality=CurrentSourceLine; HookKind=WorldSave; GuardList=BoundsGuard;DeletedGuard;MapGuard;NullGuard; Access=; Command=; Handler=; DisabledEvidence=False</t>
  </si>
  <si>
    <t>HistoricalFile=Data/Scripts/System/Misc/Broadcast.cs; Risk=Runtime; POST-BATCH-K is audit/runtime-surface triage only. No command names, gump button IDs, PlayerMobile fields, region policy, XML/config, save layout, or gameplay behavior changed.</t>
  </si>
  <si>
    <t>RB-02180</t>
  </si>
  <si>
    <t>P10-F02180</t>
  </si>
  <si>
    <t>PBK-0264</t>
  </si>
  <si>
    <t>CurrentFile=Data/Scripts/System/Obsolete/Obsolete.cs; Line=27262; SourceLine=public override int Meat; PathResolution=OriginalPathCurrent; MatchQuality=CurrentSourceLine; HookKind=WorldSave; GuardList=AccessGuard;BoundsGuard;DeletedGuard;MapGuard;NullGuard;PacketReadGuard;RangeGuard;StateGuard; Access=; Command=; Handler=; DisabledEvidence=False</t>
  </si>
  <si>
    <t>RB-02181</t>
  </si>
  <si>
    <t>P10-F02181</t>
  </si>
  <si>
    <t>PBK-0265</t>
  </si>
  <si>
    <t>CurrentFile=Data/Scripts/Trades/Apiculture/beehivehelper.cs; Line=62; SourceLine=EventSink.WorldSave += new WorldSaveEventHandler(EventSink_WorldSave);; PathResolution=OriginalPathCurrent; MatchQuality=RuntimeHookMapFileLine; HookKind=WorldSave; GuardList=BoundsGuard;MapGuard;NullGuard;RangeGuard;StateGuard; Access=; Command=; Handler=; DisabledEvidence=False; RuntimeHookMap=HookType=Event;Marker=EventSink;Access=GlobalOrInternal;Risk=High;Guards=BoundsGuard;MapGuard;NullGuard;RangeGuard;StateGuard | HookType=WorldSave;Marker=WorldSave;Access=GlobalOrInternal;Risk=High;Guards=BoundsGuard;MapGuard;NullGuard;RangeGuard;StateGuard</t>
  </si>
  <si>
    <t>HistoricalFile=Data/Scripts/Trades/Apiculture/beehivehelper.cs; Risk=Runtime; POST-BATCH-K is audit/runtime-surface triage only. No command names, gump button IDs, PlayerMobile fields, region policy, XML/config, save layout, or gameplay behavior changed.</t>
  </si>
  <si>
    <t>RB-02182</t>
  </si>
  <si>
    <t>P10-F02182</t>
  </si>
  <si>
    <t>PBK-0266</t>
  </si>
  <si>
    <t>CurrentFile=Data/Scripts/Trades/Gardening/PlantSystem.cs; Line=422; SourceLine=EventSink.WorldSave += new WorldSaveEventHandler(EventSink_WorldSave);; PathResolution=OriginalPathCurrent; MatchQuality=RuntimeHookMapFileLine; HookKind=WorldSave; GuardList=BoundsGuard;NullGuard;PacketReadGuard;StateGuard; Access=; Command=; Handler=; DisabledEvidence=False; RuntimeHookMap=HookType=Event;Marker=EventSink;Access=GlobalOrInternal;Risk=High;Guards=BoundsGuard;DeletedGuard;NullGuard;PacketReadGuard;StateGuard | HookType=WorldSave;Marker=WorldSave;Access=GlobalOrInternal;Risk=High;Guards=BoundsGuard;DeletedGuard;NullGuard;PacketReadGuard;StateGuard</t>
  </si>
  <si>
    <t>HistoricalFile=Data/Scripts/Trades/Gardening/PlantSystem.cs; Risk=Runtime; POST-BATCH-K is audit/runtime-surface triage only. No command names, gump button IDs, PlayerMobile fields, region policy, XML/config, save layout, or gameplay behavior changed.</t>
  </si>
  <si>
    <t>RB-02183</t>
  </si>
  <si>
    <t>P10-F02183</t>
  </si>
  <si>
    <t>PBK-0267</t>
  </si>
  <si>
    <t>CurrentFile=Data/System/Source/EventSink.cs; Line=1178; SourceLine=public static event WorldSaveEventHandler WorldSave;; PathResolution=OriginalPathCurrent; MatchQuality=RuntimeHookMapFileLine; HookKind=WorldSave; GuardList=BoundsGuard;NullGuard;StateGuard; Access=; Command=; Handler=; DisabledEvidence=False; RuntimeHookMap=HookType=WorldSave;Marker=WorldSave;Access=GlobalOrInternal;Risk=High;Guards=BoundsGuard;NullGuard;StateGuard</t>
  </si>
  <si>
    <t>HistoricalFile=Data/System/Source/EventSink.cs; Risk=Runtime; POST-BATCH-K is audit/runtime-surface triage only. No command names, gump button IDs, PlayerMobile fields, region policy, XML/config, save layout, or gameplay behavior changed.</t>
  </si>
  <si>
    <t>RB-02184</t>
  </si>
  <si>
    <t>P10-F02184</t>
  </si>
  <si>
    <t>PBK-0268</t>
  </si>
  <si>
    <t>CurrentFile=Data/System/Source/EventSink.cs; Line=1437; SourceLine=if (WorldSave != null); PathResolution=OriginalPathCurrent; MatchQuality=RuntimeHookMapFileLine; HookKind=WorldSave; GuardList=BoundsGuard;NullGuard;StateGuard; Access=; Command=; Handler=; DisabledEvidence=False; RuntimeHookMap=HookType=WorldSave;Marker=WorldSave;Access=GlobalOrInternal;Risk=High;Guards=BoundsGuard;NullGuard;StateGuard</t>
  </si>
  <si>
    <t>RB-02185</t>
  </si>
  <si>
    <t>P10-F02185</t>
  </si>
  <si>
    <t>PBK-0269</t>
  </si>
  <si>
    <t>CurrentFile=Data/System/Source/EventSink.cs; Line=1438; SourceLine=WorldSave(e);; PathResolution=OriginalPathCurrent; MatchQuality=RuntimeHookMapFileLine; HookKind=WorldSave; GuardList=BoundsGuard;NullGuard;StateGuard; Access=; Command=; Handler=; DisabledEvidence=False; RuntimeHookMap=HookType=WorldSave;Marker=WorldSave;Access=GlobalOrInternal;Risk=High;Guards=BoundsGuard;NullGuard;StateGuard</t>
  </si>
  <si>
    <t>RB-02186</t>
  </si>
  <si>
    <t>P10-F02186</t>
  </si>
  <si>
    <t>PBK-0270</t>
  </si>
  <si>
    <t>CurrentFile=Data/System/Source/EventSink.cs; Line=1477; SourceLine=WorldSave = null;; PathResolution=OriginalPathCurrent; MatchQuality=RuntimeHookMapFileLine; HookKind=WorldSave; GuardList=BoundsGuard;NullGuard;StateGuard; Access=; Command=; Handler=; DisabledEvidence=False; RuntimeHookMap=HookType=WorldSave;Marker=WorldSave;Access=GlobalOrInternal;Risk=High;Guards=BoundsGuard;NullGuard;StateGuard</t>
  </si>
  <si>
    <t>RB-02187</t>
  </si>
  <si>
    <t>P10-F02187</t>
  </si>
  <si>
    <t>PBK-0271</t>
  </si>
  <si>
    <t>CurrentFile=Data/System/Source/World.cs; Line=96; SourceLine=Core.WriteDiagnostic("World.Save disk write complete ({0})", NetState.ConnectionSummary);; PathResolution=OriginalPathCurrent; MatchQuality=RuntimeHookMapFileLine; HookKind=WorldSave; GuardList=BoundsGuard;DeletedGuard;NullGuard;PacketReadGuard;StateGuard; Access=; Command=; Handler=; DisabledEvidence=False; RuntimeHookMap=HookType=WorldSave;Marker=WorldSave;Access=GlobalOrInternal;Risk=High;Guards=BoundsGuard;DeletedGuard;NullGuard;PacketReadGuard;StateGuard</t>
  </si>
  <si>
    <t>HistoricalFile=Data/System/Source/World.cs; Risk=Runtime; POST-BATCH-K is audit/runtime-surface triage only. No command names, gump button IDs, PlayerMobile fields, region policy, XML/config, save layout, or gameplay behavior changed.</t>
  </si>
  <si>
    <t>RB-02188</t>
  </si>
  <si>
    <t>P10-F02188</t>
  </si>
  <si>
    <t>PBK-0272</t>
  </si>
  <si>
    <t>CurrentFile=Data/System/Source/World.cs; Line=110; SourceLine="World.Save phase: {0} took {1:F2}s (elapsed={2:F2}s, {3})",; PathResolution=OriginalPathCurrent; MatchQuality=RuntimeHookMapFileLine; HookKind=WorldSave; GuardList=BoundsGuard;DeletedGuard;NullGuard;PacketReadGuard;StateGuard; Access=; Command=; Handler=; DisabledEvidence=False; RuntimeHookMap=HookType=WorldSave;Marker=WorldSave;Access=GlobalOrInternal;Risk=High;Guards=BoundsGuard;DeletedGuard;NullGuard;PacketReadGuard;StateGuard</t>
  </si>
  <si>
    <t>RB-02189</t>
  </si>
  <si>
    <t>P10-F02189</t>
  </si>
  <si>
    <t>PBK-0273</t>
  </si>
  <si>
    <t>CurrentFile=Data/System/Source/World.cs; Line=1002; SourceLine="World.Save start (message={0}, backgroundWrite={1}, {2})",; PathResolution=OriginalPathCurrent; MatchQuality=RuntimeHookMapFileLine; HookKind=WorldSave; GuardList=BoundsGuard;DeletedGuard;NullGuard;PacketReadGuard;StateGuard; Access=; Command=; Handler=; DisabledEvidence=False; RuntimeHookMap=HookType=WorldSave;Marker=WorldSave;Access=GlobalOrInternal;Risk=High;Guards=BoundsGuard;DeletedGuard;NullGuard;PacketReadGuard;StateGuard</t>
  </si>
  <si>
    <t>RB-02190</t>
  </si>
  <si>
    <t>P10-F02190</t>
  </si>
  <si>
    <t>PBK-0274</t>
  </si>
  <si>
    <t>CurrentFile=Data/System/Source/World.cs; Line=1092; SourceLine="World.Save complete in {0:F2}s (reported save={1:F2}s, {2})",; PathResolution=OriginalPathCurrent; MatchQuality=RuntimeHookMapFileLine; HookKind=WorldSave; GuardList=BoundsGuard;DeletedGuard;NullGuard;PacketReadGuard;StateGuard; Access=; Command=; Handler=; DisabledEvidence=False; RuntimeHookMap=HookType=WorldSave;Marker=WorldSave;Access=GlobalOrInternal;Risk=High;Guards=BoundsGuard;DeletedGuard;NullGuard;PacketReadGuard;StateGuard</t>
  </si>
  <si>
    <t>RB-02191</t>
  </si>
  <si>
    <t>P10-F02191</t>
  </si>
  <si>
    <t>Data/System/Source/Persistence/StandardSaveStrategy.cs</t>
  </si>
  <si>
    <t>PBK-0275</t>
  </si>
  <si>
    <t>CurrentFile=Data/System/Source/Persistence/StandardSaveStrategy.cs; Line=55; SourceLine=get { return (World.SaveType == World.SaveOption.Normal || !_permitBackgroundWrite); }; PathResolution=OriginalPathCurrent; MatchQuality=RuntimeHookMapFileLine; HookKind=WorldSave; GuardList=BoundsGuard;MapGuard;NullGuard; Access=; Command=; Handler=; DisabledEvidence=False; RuntimeHookMap=HookType=WorldSave;Marker=WorldSave;Access=GlobalOrInternal;Risk=High;Guards=BoundsGuard;MapGuard;NullGuard</t>
  </si>
  <si>
    <t>HistoricalFile=Data/System/Source/Persistence/StandardSaveStrategy.cs; Risk=Runtime; POST-BATCH-K is audit/runtime-surface triage only. No command names, gump button IDs, PlayerMobile fields, region policy, XML/config, save layout, or gameplay behavior changed.</t>
  </si>
  <si>
    <t>RB-02192</t>
  </si>
  <si>
    <t>P10-F02192</t>
  </si>
  <si>
    <t>PBK-0276</t>
  </si>
  <si>
    <t>CurrentFile=Data/Scripts/Custom/XMLSpawner/XmlAttach/XmlAttach.cs; Line=167; SourceLine=EventSink.WorldLoad += new WorldLoadEventHandler(Load);; PathResolution=OriginalPathCurrent; MatchQuality=RuntimeHookMapFileLine; HookKind=WorldLoad; GuardList=AccessGuard;BoundsGuard;DeletedGuard;MapGuard;NullGuard;PacketReadGuard;RangeGuard;StateGuard; Access=; Command=; Handler=; DisabledEvidence=False; RuntimeHookMap=HookType=Event;Marker=EventSink;Access=GlobalOrInternal;Risk=High;Guards=AccessGuard;BoundsGuard;DeletedGuard;MapGuard;NullGuard;PacketReadGuard;RangeGuard;StateGuard | HookType=WorldLoad;Marker=WorldLoad;Access=GlobalOrInternal;Risk=High;Guards=AccessGuard;BoundsGuard;DeletedGuard;MapGuard;NullGuard;PacketReadGuard;RangeGuard;StateGuard</t>
  </si>
  <si>
    <t>RB-02193</t>
  </si>
  <si>
    <t>P10-F02193</t>
  </si>
  <si>
    <t>PBK-0277</t>
  </si>
  <si>
    <t>CurrentFile=Data/Scripts/Items/Food/Beverage.cs; Line=124; SourceLine=throw new Exception(World.LoadingType);; PathResolution=OriginalPathCurrent; MatchQuality=RuntimeHookMapFileLine; HookKind=WorldLoad; GuardList=AccessGuard;BoundsGuard;DeletedGuard;MapGuard;NullGuard;PacketReadGuard;RangeGuard;StateGuard; Access=; Command=; Handler=; DisabledEvidence=False; RuntimeHookMap=HookType=WorldLoad;Marker=WorldLoad;Access=GlobalOrInternal;Risk=High;Guards=AccessGuard;BoundsGuard;DeletedGuard;MapGuard;NullGuard;PacketReadGuard;RangeGuard;StateGuard</t>
  </si>
  <si>
    <t>HistoricalFile=Data/Scripts/Items/Food/Beverage.cs; Risk=Runtime; POST-BATCH-K is audit/runtime-surface triage only. No command names, gump button IDs, PlayerMobile fields, region policy, XML/config, save layout, or gameplay behavior changed.</t>
  </si>
  <si>
    <t>RB-02194</t>
  </si>
  <si>
    <t>P10-F02194</t>
  </si>
  <si>
    <t>PBK-0278</t>
  </si>
  <si>
    <t>CurrentFile=Data/Scripts/Items/Food/Beverage.cs; Line=461; SourceLine=throw new Exception(World.LoadingType);; PathResolution=OriginalPathCurrent; MatchQuality=RuntimeHookMapFileLine; HookKind=WorldLoad; GuardList=AccessGuard;BoundsGuard;DeletedGuard;MapGuard;NullGuard;PacketReadGuard;RangeGuard;StateGuard; Access=; Command=; Handler=; DisabledEvidence=False; RuntimeHookMap=HookType=WorldLoad;Marker=WorldLoad;Access=GlobalOrInternal;Risk=High;Guards=AccessGuard;BoundsGuard;DeletedGuard;MapGuard;NullGuard;PacketReadGuard;RangeGuard;StateGuard</t>
  </si>
  <si>
    <t>RB-02195</t>
  </si>
  <si>
    <t>P10-F02195</t>
  </si>
  <si>
    <t>PBK-0279</t>
  </si>
  <si>
    <t>CurrentFile=Data/Scripts/Items/Food/Beverage.cs; Line=648; SourceLine=throw new Exception(World.LoadingType);; PathResolution=OriginalPathCurrent; MatchQuality=RuntimeHookMapFileLine; HookKind=WorldLoad; GuardList=AccessGuard;BoundsGuard;DeletedGuard;MapGuard;NullGuard;PacketReadGuard;RangeGuard;StateGuard; Access=; Command=; Handler=; DisabledEvidence=False; RuntimeHookMap=HookType=WorldLoad;Marker=WorldLoad;Access=GlobalOrInternal;Risk=High;Guards=AccessGuard;BoundsGuard;DeletedGuard;MapGuard;NullGuard;PacketReadGuard;RangeGuard;StateGuard</t>
  </si>
  <si>
    <t>RB-02196</t>
  </si>
  <si>
    <t>P10-F02196</t>
  </si>
  <si>
    <t>PBK-0280</t>
  </si>
  <si>
    <t>CurrentFile=Data/Scripts/Items/Food/Beverage.cs; Line=1434; SourceLine=writer.Write((int)m_Content);; PathResolution=OriginalPathCurrent; MatchQuality=CurrentSourceLine; HookKind=WorldLoad; GuardList=AccessGuard;BoundsGuard;DeletedGuard;MapGuard;NullGuard;PacketReadGuard;RangeGuard;StateGuard; Access=; Command=; Handler=; DisabledEvidence=False</t>
  </si>
  <si>
    <t>RB-02197</t>
  </si>
  <si>
    <t>P10-F02197</t>
  </si>
  <si>
    <t>PBK-0281</t>
  </si>
  <si>
    <t>CurrentFile=Data/Scripts/Mobiles/Base/Behavior.cs; Line=9638; SourceLine={; PathResolution=OriginalPathCurrent; MatchQuality=CurrentSourceLine; HookKind=WorldLoad; GuardList=AccessGuard;BoundsGuard;DeletedGuard;MapGuard;NullGuard;PacketReadGuard;RangeGuard;StateGuard; Access=; Command=; Handler=; DisabledEvidence=False</t>
  </si>
  <si>
    <t>RB-02200</t>
  </si>
  <si>
    <t>P10-F02200</t>
  </si>
  <si>
    <t>PBK-0282</t>
  </si>
  <si>
    <t>CurrentFile=Data/Scripts/Trades/Gardening/PlantSystem.cs; Line=419; SourceLine=EventSink.WorldLoad += new WorldLoadEventHandler(EventSink_WorldLoad);; PathResolution=OriginalPathCurrent; MatchQuality=RuntimeHookMapFileLine; HookKind=WorldLoad; GuardList=BoundsGuard;NullGuard;PacketReadGuard;StateGuard; Access=; Command=; Handler=; DisabledEvidence=False; RuntimeHookMap=HookType=Event;Marker=EventSink;Access=GlobalOrInternal;Risk=High;Guards=BoundsGuard;DeletedGuard;NullGuard;PacketReadGuard;StateGuard | HookType=WorldLoad;Marker=WorldLoad;Access=GlobalOrInternal;Risk=High;Guards=BoundsGuard;DeletedGuard;NullGuard;PacketReadGuard;StateGuard</t>
  </si>
  <si>
    <t>RB-02201</t>
  </si>
  <si>
    <t>P10-F02201</t>
  </si>
  <si>
    <t>PBK-0283</t>
  </si>
  <si>
    <t>CurrentFile=Data/System/Source/EventSink.cs; Line=1177; SourceLine=public static event WorldLoadEventHandler WorldLoad;; PathResolution=OriginalPathCurrent; MatchQuality=RuntimeHookMapFileLine; HookKind=WorldLoad; GuardList=BoundsGuard;NullGuard;StateGuard; Access=; Command=; Handler=; DisabledEvidence=False; RuntimeHookMap=HookType=WorldLoad;Marker=WorldLoad;Access=GlobalOrInternal;Risk=High;Guards=BoundsGuard;NullGuard;StateGuard</t>
  </si>
  <si>
    <t>RB-02202</t>
  </si>
  <si>
    <t>P10-F02202</t>
  </si>
  <si>
    <t>PBK-0284</t>
  </si>
  <si>
    <t>CurrentFile=Data/System/Source/EventSink.cs; Line=1431; SourceLine=if (WorldLoad != null); PathResolution=OriginalPathCurrent; MatchQuality=RuntimeHookMapFileLine; HookKind=WorldLoad; GuardList=BoundsGuard;NullGuard;StateGuard; Access=; Command=; Handler=; DisabledEvidence=False; RuntimeHookMap=HookType=WorldLoad;Marker=WorldLoad;Access=GlobalOrInternal;Risk=High;Guards=BoundsGuard;NullGuard;StateGuard</t>
  </si>
  <si>
    <t>RB-02203</t>
  </si>
  <si>
    <t>P10-F02203</t>
  </si>
  <si>
    <t>PBK-0285</t>
  </si>
  <si>
    <t>CurrentFile=Data/System/Source/EventSink.cs; Line=1432; SourceLine=WorldLoad();; PathResolution=OriginalPathCurrent; MatchQuality=RuntimeHookMapFileLine; HookKind=WorldLoad; GuardList=BoundsGuard;NullGuard;StateGuard; Access=; Command=; Handler=; DisabledEvidence=False; RuntimeHookMap=HookType=WorldLoad;Marker=WorldLoad;Access=GlobalOrInternal;Risk=High;Guards=BoundsGuard;NullGuard;StateGuard</t>
  </si>
  <si>
    <t>RB-02204</t>
  </si>
  <si>
    <t>P10-F02204</t>
  </si>
  <si>
    <t>PBK-0286</t>
  </si>
  <si>
    <t>CurrentFile=Data/System/Source/EventSink.cs; Line=1476; SourceLine=WorldLoad = null;; PathResolution=OriginalPathCurrent; MatchQuality=RuntimeHookMapFileLine; HookKind=WorldLoad; GuardList=BoundsGuard;NullGuard;StateGuard; Access=; Command=; Handler=; DisabledEvidence=False; RuntimeHookMap=HookType=WorldLoad;Marker=WorldLoad;Access=GlobalOrInternal;Risk=High;Guards=BoundsGuard;NullGuard;StateGuard</t>
  </si>
  <si>
    <t>RB-02205</t>
  </si>
  <si>
    <t>P10-F02205</t>
  </si>
  <si>
    <t>PBK-0287</t>
  </si>
  <si>
    <t>CurrentFile=Data/System/Source/Item.cs; Line=2006; SourceLine=if (m_Map != null &amp;&amp; m_Map != Map.Internal &amp;&amp; !World.Loading); PathResolution=OriginalPathCurrent; MatchQuality=RuntimeHookMapFileLine; HookKind=WorldLoad; GuardList=AccessGuard;BoundsGuard;DeletedGuard;MapGuard;NullGuard;PacketReadGuard;RangeGuard;StateGuard; Access=; Command=; Handler=; DisabledEvidence=False; RuntimeHookMap=HookType=WorldLoad;Marker=WorldLoad;Access=GlobalOrInternal;Risk=High;Guards=AccessGuard;BoundsGuard;DeletedGuard;MapGuard;NullGuard;PacketReadGuard;RangeGuard;StateGuard</t>
  </si>
  <si>
    <t>RB-02207</t>
  </si>
  <si>
    <t>P10-F02207</t>
  </si>
  <si>
    <t>PBK-0289</t>
  </si>
  <si>
    <t>CurrentFile=Data/System/Source/Mobile.cs; Line=10128; SourceLine=if (m_Map != null &amp;&amp; m_Map != Map.Internal &amp;&amp; !World.Loading); PathResolution=OriginalPathCurrent; MatchQuality=RuntimeHookMapFileLine; HookKind=WorldLoad; GuardList=AccessGuard;BoundsGuard;DeletedGuard;MapGuard;NullGuard;PacketReadGuard;RangeGuard;StateGuard; Access=; Command=; Handler=; DisabledEvidence=False; RuntimeHookMap=HookType=WorldLoad;Marker=WorldLoad;Access=GlobalOrInternal;Risk=High;Guards=AccessGuard;BoundsGuard;DeletedGuard;MapGuard;NullGuard;PacketReadGuard;RangeGuard;StateGuard</t>
  </si>
  <si>
    <t>RB-02212</t>
  </si>
  <si>
    <t>P10-F02212</t>
  </si>
  <si>
    <t>Data/Scripts/Custom/Government System/Gumps/ResourceBoxGump.cs</t>
  </si>
  <si>
    <t>PBK-0290</t>
  </si>
  <si>
    <t>CurrentFile=Data/Scripts/Custom/Government System/Gumps/ResourceBoxGump.cs; Line=345; SourceLine=public override void OnResponse(NetState state, RelayInfo info); PathResolution=OriginalPathCurrent; MatchQuality=RuntimeHookMapFileLine; HookKind=Gump; GuardList=BoundsGuard;DeletedGuard;RangeGuard;StateGuard; Access=; Command=; Handler=; DisabledEvidence=False; RuntimeHookMap=HookType=Gump;Marker=OnResponse;Access=Internal;Risk=High;Guards=BoundsGuard;DeletedGuard;RangeGuard;StateGuard</t>
  </si>
  <si>
    <t>HistoricalFile=Data/Scripts/Custom/Government System/Gumps/ResourceBoxGump.cs; Risk=Runtime; POST-BATCH-K is audit/runtime-surface triage only. No command names, gump button IDs, PlayerMobile fields, region policy, XML/config, save layout, or gameplay behavior changed.</t>
  </si>
  <si>
    <t>RB-02213</t>
  </si>
  <si>
    <t>P10-F02213</t>
  </si>
  <si>
    <t>PBK-0291</t>
  </si>
  <si>
    <t>CurrentFile=Data/Scripts/Custom/Government System/Gumps/ResourceBoxGump.cs; Line=402; SourceLine=public override void OnResponse(Mobile typer, string text); PathResolution=OriginalPathCurrent; MatchQuality=RuntimeHookMapFileLine; HookKind=Gump; GuardList=BoundsGuard;DeletedGuard;RangeGuard;StateGuard; Access=; Command=; Handler=; DisabledEvidence=False; RuntimeHookMap=HookType=Gump;Marker=OnResponse;Access=Internal;Risk=High;Guards=BoundsGuard;DeletedGuard;RangeGuard;StateGuard</t>
  </si>
  <si>
    <t>RB-02214</t>
  </si>
  <si>
    <t>P10-F02214</t>
  </si>
  <si>
    <t>Data/Scripts/Custom/Government System/Prompts/CitizenTitleChangePrompt.cs</t>
  </si>
  <si>
    <t>PBK-0292</t>
  </si>
  <si>
    <t>CurrentFile=Data/Scripts/Custom/Government System/Prompts/CitizenTitleChangePrompt.cs; Line=29;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</si>
  <si>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HistoricalFile=Data/Scripts/Custom/Government System/Prompts/CitizenTitleChangePrompt.cs; Risk=Runtime; POST-BATCH-K is audit/runtime-surface triage only. No command names, gump button IDs, PlayerMobile fields, region policy, XML/config, save layout, or gameplay behavior changed.</t>
  </si>
  <si>
    <t>RB-02215</t>
  </si>
  <si>
    <t>P10-F02215</t>
  </si>
  <si>
    <t>Data/Scripts/Custom/Government System/Prompts/CityCorpseFeePrompt.cs</t>
  </si>
  <si>
    <t>PBK-0293</t>
  </si>
  <si>
    <t>CurrentFile=Data/Scripts/Custom/Government System/Prompts/CityCorpseFeePrompt.cs; Line=26; SourceLine=public override void OnResponse(Mobile from, string text);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</si>
  <si>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HistoricalFile=Data/Scripts/Custom/Government System/Prompts/CityCorpseFeePrompt.cs; Risk=Runtime; POST-BATCH-K is audit/runtime-surface triage only. No command names, gump button IDs, PlayerMobile fields, region policy, XML/config, save layout, or gameplay behavior changed.</t>
  </si>
  <si>
    <t>RB-02216</t>
  </si>
  <si>
    <t>P10-F02216</t>
  </si>
  <si>
    <t>Data/Scripts/Custom/Government System/Prompts/CityResFeePrompt.cs</t>
  </si>
  <si>
    <t>PBK-0294</t>
  </si>
  <si>
    <t>CurrentFile=Data/Scripts/Custom/Government System/Prompts/CityResFeePrompt.cs; Line=26; SourceLine=public override void OnResponse(Mobile from, string text);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</si>
  <si>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HistoricalFile=Data/Scripts/Custom/Government System/Prompts/CityResFeePrompt.cs; Risk=Runtime; POST-BATCH-K is audit/runtime-surface triage only. No command names, gump button IDs, PlayerMobile fields, region policy, XML/config, save layout, or gameplay behavior changed.</t>
  </si>
  <si>
    <t>RB-02217</t>
  </si>
  <si>
    <t>P10-F02217</t>
  </si>
  <si>
    <t>Data/Scripts/Custom/Government System/Prompts/CityTaxesIncomePrompt.cs</t>
  </si>
  <si>
    <t>PBK-0295</t>
  </si>
  <si>
    <t>CurrentFile=Data/Scripts/Custom/Government System/Prompts/CityTaxesIncomePrompt.cs; Line=27; SourceLine=public override void OnResponse(Mobile from, string text);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</si>
  <si>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HistoricalFile=Data/Scripts/Custom/Government System/Prompts/CityTaxesIncomePrompt.cs; Risk=Runtime; POST-BATCH-K is audit/runtime-surface triage only. No command names, gump button IDs, PlayerMobile fields, region policy, XML/config, save layout, or gameplay behavior changed.</t>
  </si>
  <si>
    <t>RB-02218</t>
  </si>
  <si>
    <t>P10-F02218</t>
  </si>
  <si>
    <t>Data/Scripts/Custom/Government System/Prompts/CityTaxesPropertyPrompt.cs</t>
  </si>
  <si>
    <t>PBK-0296</t>
  </si>
  <si>
    <t>CurrentFile=Data/Scripts/Custom/Government System/Prompts/CityTaxesPropertyPrompt.cs; Line=26; SourceLine=public override void OnResponse(Mobile from, string text);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</si>
  <si>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HistoricalFile=Data/Scripts/Custom/Government System/Prompts/CityTaxesPropertyPrompt.cs; Risk=Runtime; POST-BATCH-K is audit/runtime-surface triage only. No command names, gump button IDs, PlayerMobile fields, region policy, XML/config, save layout, or gameplay behavior changed.</t>
  </si>
  <si>
    <t>RB-02219</t>
  </si>
  <si>
    <t>P10-F02219</t>
  </si>
  <si>
    <t>Data/Scripts/Custom/Government System/Prompts/CityTaxesTravelPrompt.cs</t>
  </si>
  <si>
    <t>PBK-0297</t>
  </si>
  <si>
    <t>CurrentFile=Data/Scripts/Custom/Government System/Prompts/CityTaxesTravelPrompt.cs; Line=26; SourceLine=public override void OnResponse(Mobile from, string text);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</si>
  <si>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HistoricalFile=Data/Scripts/Custom/Government System/Prompts/CityTaxesTravelPrompt.cs; Risk=Runtime; POST-BATCH-K is audit/runtime-surface triage only. No command names, gump button IDs, PlayerMobile fields, region policy, XML/config, save layout, or gameplay behavior changed.</t>
  </si>
  <si>
    <t>RB-02220</t>
  </si>
  <si>
    <t>P10-F02220</t>
  </si>
  <si>
    <t>Data/Scripts/Custom/Government System/Prompts/CityTreasuryDepoistPrompt.cs</t>
  </si>
  <si>
    <t>PBK-0298</t>
  </si>
  <si>
    <t>CurrentFile=Data/Scripts/Custom/Government System/Prompts/CityTreasuryDepoistPrompt.cs; Line=35;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</si>
  <si>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HistoricalFile=Data/Scripts/Custom/Government System/Prompts/CityTreasuryDepoistPrompt.cs; Risk=Runtime; POST-BATCH-K is audit/runtime-surface triage only. No command names, gump button IDs, PlayerMobile fields, region policy, XML/config, save layout, or gameplay behavior changed.</t>
  </si>
  <si>
    <t>RB-02221</t>
  </si>
  <si>
    <t>P10-F02221</t>
  </si>
  <si>
    <t>Data/Scripts/Custom/Government System/Prompts/CityURLPrompt.cs</t>
  </si>
  <si>
    <t>PBK-0299</t>
  </si>
  <si>
    <t>CurrentFile=Data/Scripts/Custom/Government System/Prompts/CityURLPrompt.cs; Line=26;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</si>
  <si>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HistoricalFile=Data/Scripts/Custom/Government System/Prompts/CityURLPrompt.cs; Risk=Runtime; POST-BATCH-K is audit/runtime-surface triage only. No command names, gump button IDs, PlayerMobile fields, region policy, XML/config, save layout, or gameplay behavior changed.</t>
  </si>
  <si>
    <t>RB-02222</t>
  </si>
  <si>
    <t>P10-F02222</t>
  </si>
  <si>
    <t>Data/Scripts/Custom/Invasion System/Gump/InvasionGump.cs</t>
  </si>
  <si>
    <t>PBK-0300</t>
  </si>
  <si>
    <t>CurrentFile=Data/Scripts/Custom/Invasion System/Gump/InvasionGump.cs; Line=194; SourceLine=public override void OnResponse(NetState state, RelayInfo info); PathResolution=OriginalPathCurrent; MatchQuality=RuntimeHookMapFileLine; HookKind=Gump; GuardList=AccessGuard;BoundsGuard;MapGuard;StateGuard; Access=; Command=; Handler=; DisabledEvidence=False; RuntimeHookMap=HookType=Gump;Marker=OnResponse;Access=Internal;Risk=High;Guards=AccessGuard;BoundsGuard;MapGuard;StateGuard</t>
  </si>
  <si>
    <t>HistoricalFile=Data/Scripts/Custom/Invasion System/Gump/InvasionGump.cs; Risk=Runtime; POST-BATCH-K is audit/runtime-surface triage only. No command names, gump button IDs, PlayerMobile fields, region policy, XML/config, save layout, or gameplay behavior changed.</t>
  </si>
  <si>
    <t>RB-02223</t>
  </si>
  <si>
    <t>P10-F02223</t>
  </si>
  <si>
    <t>Data/Scripts/Custom/Invasion System/Lodor/StartStopBritFelucca.cs</t>
  </si>
  <si>
    <t>PBK-0301</t>
  </si>
  <si>
    <t>CurrentFile=Data/Scripts/Custom/Invasion System/Lodor/StartStopBritFelucca.cs;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</si>
  <si>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System/Lodor/StartStopBritFelucca.cs; Risk=Runtime; POST-BATCH-K is audit/runtime-surface triage only. No command names, gump button IDs, PlayerMobile fields, region policy, XML/config, save layout, or gameplay behavior changed.</t>
  </si>
  <si>
    <t>RB-02224</t>
  </si>
  <si>
    <t>P10-F02224</t>
  </si>
  <si>
    <t>Data/Scripts/Custom/Invasion System/Lodor/StartstopBuccaneersDenFelucca.cs</t>
  </si>
  <si>
    <t>PBK-0302</t>
  </si>
  <si>
    <t>CurrentFile=Data/Scripts/Custom/Invasion System/Lodor/StartstopBuccaneersDenFelucca.cs;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</si>
  <si>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System/Lodor/StartstopBuccaneersDenFelucca.cs; Risk=Runtime; POST-BATCH-K is audit/runtime-surface triage only. No command names, gump button IDs, PlayerMobile fields, region policy, XML/config, save layout, or gameplay behavior changed.</t>
  </si>
  <si>
    <t>RB-02225</t>
  </si>
  <si>
    <t>P10-F02225</t>
  </si>
  <si>
    <t>Data/Scripts/Custom/Invasion System/Lodor/StartstopCoveFelucca.cs</t>
  </si>
  <si>
    <t>PBK-0303</t>
  </si>
  <si>
    <t>CurrentFile=Data/Scripts/Custom/Invasion System/Lodor/StartstopCoveFelucca.cs;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</si>
  <si>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System/Lodor/StartstopCoveFelucca.cs; Risk=Runtime; POST-BATCH-K is audit/runtime-surface triage only. No command names, gump button IDs, PlayerMobile fields, region policy, XML/config, save layout, or gameplay behavior changed.</t>
  </si>
  <si>
    <t>RB-02226</t>
  </si>
  <si>
    <t>P10-F02226</t>
  </si>
  <si>
    <t>Data/Scripts/Custom/Invasion System/Lodor/StartstopNujelmFelucca.cs</t>
  </si>
  <si>
    <t>PBK-0304</t>
  </si>
  <si>
    <t>CurrentFile=Data/Scripts/Custom/Invasion System/Lodor/StartstopNujelmFelucca.cs;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</si>
  <si>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System/Lodor/StartstopNujelmFelucca.cs; Risk=Runtime; POST-BATCH-K is audit/runtime-surface triage only. No command names, gump button IDs, PlayerMobile fields, region policy, XML/config, save layout, or gameplay behavior changed.</t>
  </si>
  <si>
    <t>RB-02227</t>
  </si>
  <si>
    <t>P10-F02227</t>
  </si>
  <si>
    <t>Data/Scripts/Custom/Invasion System/Lodor/StartstopSkaraBraeFelucca.cs</t>
  </si>
  <si>
    <t>PBK-0305</t>
  </si>
  <si>
    <t>CurrentFile=Data/Scripts/Custom/Invasion System/Lodor/StartstopSkaraBraeFelucca.cs;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</si>
  <si>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System/Lodor/StartstopSkaraBraeFelucca.cs; Risk=Runtime; POST-BATCH-K is audit/runtime-surface triage only. No command names, gump button IDs, PlayerMobile fields, region policy, XML/config, save layout, or gameplay behavior changed.</t>
  </si>
  <si>
    <t>RB-02228</t>
  </si>
  <si>
    <t>P10-F02228</t>
  </si>
  <si>
    <t>Data/Scripts/Custom/Invasion System/Lodor/StartstopTrinsicFelucca.cs</t>
  </si>
  <si>
    <t>PBK-0306</t>
  </si>
  <si>
    <t>CurrentFile=Data/Scripts/Custom/Invasion System/Lodor/StartstopTrinsicFelucca.cs;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</si>
  <si>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System/Lodor/StartstopTrinsicFelucca.cs; Risk=Runtime; POST-BATCH-K is audit/runtime-surface triage only. No command names, gump button IDs, PlayerMobile fields, region policy, XML/config, save layout, or gameplay behavior changed.</t>
  </si>
  <si>
    <t>RB-02229</t>
  </si>
  <si>
    <t>P10-F02229</t>
  </si>
  <si>
    <t>Data/Scripts/Custom/Invasion System/Lodor/StartstopVesperFelucca.cs</t>
  </si>
  <si>
    <t>PBK-0307</t>
  </si>
  <si>
    <t>CurrentFile=Data/Scripts/Custom/Invasion System/Lodor/StartstopVesperFelucca.cs;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</si>
  <si>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System/Lodor/StartstopVesperFelucca.cs; Risk=Runtime; POST-BATCH-K is audit/runtime-surface triage only. No command names, gump button IDs, PlayerMobile fields, region policy, XML/config, save layout, or gameplay behavior changed.</t>
  </si>
  <si>
    <t>RB-02230</t>
  </si>
  <si>
    <t>P10-F02230</t>
  </si>
  <si>
    <t>Data/Scripts/Custom/Invasion System/Lodor/StartstopYewFelucca.cs</t>
  </si>
  <si>
    <t>PBK-0308</t>
  </si>
  <si>
    <t>CurrentFile=Data/Scripts/Custom/Invasion System/Lodor/StartstopYewFelucca.cs;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</si>
  <si>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System/Lodor/StartstopYewFelucca.cs; Risk=Runtime; POST-BATCH-K is audit/runtime-surface triage only. No command names, gump button IDs, PlayerMobile fields, region policy, XML/config, save layout, or gameplay behavior changed.</t>
  </si>
  <si>
    <t>RB-02231</t>
  </si>
  <si>
    <t>P10-F02231</t>
  </si>
  <si>
    <t>Data/Scripts/Custom/Invasion System/SerpentIsland/StartstopLunaMalas.cs</t>
  </si>
  <si>
    <t>PBK-0309</t>
  </si>
  <si>
    <t>CurrentFile=Data/Scripts/Custom/Invasion System/SerpentIsland/StartstopLunaMalas.cs;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</si>
  <si>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System/SerpentIsland/StartstopLunaMalas.cs; Risk=Runtime; POST-BATCH-K is audit/runtime-surface triage only. No command names, gump button IDs, PlayerMobile fields, region policy, XML/config, save layout, or gameplay behavior changed.</t>
  </si>
  <si>
    <t>RB-02232</t>
  </si>
  <si>
    <t>P10-F02232</t>
  </si>
  <si>
    <t>Data/Scripts/Custom/Invasion System/SerpentIsland/StartstopUmbraMalas.cs</t>
  </si>
  <si>
    <t>PBK-0310</t>
  </si>
  <si>
    <t>CurrentFile=Data/Scripts/Custom/Invasion System/SerpentIsland/StartstopUmbraMalas.cs;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</si>
  <si>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System/SerpentIsland/StartstopUmbraMalas.cs; Risk=Runtime; POST-BATCH-K is audit/runtime-surface triage only. No command names, gump button IDs, PlayerMobile fields, region policy, XML/config, save layout, or gameplay behavior changed.</t>
  </si>
  <si>
    <t>RB-02233</t>
  </si>
  <si>
    <t>P10-F02233</t>
  </si>
  <si>
    <t>Data/Scripts/Custom/Invasion System/Sosaria/StartstopBuccaneersDenTrammel.cs</t>
  </si>
  <si>
    <t>PBK-0311</t>
  </si>
  <si>
    <t>CurrentFile=Data/Scripts/Custom/Invasion System/Sosaria/StartstopBuccaneersDenTrammel.cs;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</si>
  <si>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System/Sosaria/StartstopBuccaneersDenTrammel.cs; Risk=Runtime; POST-BATCH-K is audit/runtime-surface triage only. No command names, gump button IDs, PlayerMobile fields, region policy, XML/config, save layout, or gameplay behavior changed.</t>
  </si>
  <si>
    <t>RB-02234</t>
  </si>
  <si>
    <t>P10-F02234</t>
  </si>
  <si>
    <t>Data/Scripts/Custom/Invasion System/Sosaria/StartstopCoveTrammel.cs</t>
  </si>
  <si>
    <t>PBK-0312</t>
  </si>
  <si>
    <t>CurrentFile=Data/Scripts/Custom/Invasion System/Sosaria/StartstopCoveTrammel.cs;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</si>
  <si>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System/Sosaria/StartstopCoveTrammel.cs; Risk=Runtime; POST-BATCH-K is audit/runtime-surface triage only. No command names, gump button IDs, PlayerMobile fields, region policy, XML/config, save layout, or gameplay behavior changed.</t>
  </si>
  <si>
    <t>RB-02235</t>
  </si>
  <si>
    <t>P10-F02235</t>
  </si>
  <si>
    <t>Data/Scripts/Custom/Invasion System/Sosaria/StartstopNujelmTrammel.cs</t>
  </si>
  <si>
    <t>PBK-0313</t>
  </si>
  <si>
    <t>CurrentFile=Data/Scripts/Custom/Invasion System/Sosaria/StartstopNujelmTrammel.cs;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</si>
  <si>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System/Sosaria/StartstopNujelmTrammel.cs; Risk=Runtime; POST-BATCH-K is audit/runtime-surface triage only. No command names, gump button IDs, PlayerMobile fields, region policy, XML/config, save layout, or gameplay behavior changed.</t>
  </si>
  <si>
    <t>RB-02236</t>
  </si>
  <si>
    <t>P10-F02236</t>
  </si>
  <si>
    <t>Data/Scripts/Custom/Invasion System/Sosaria/StartstopSkaraBraeTrammel.cs</t>
  </si>
  <si>
    <t>PBK-0314</t>
  </si>
  <si>
    <t>CurrentFile=Data/Scripts/Custom/Invasion System/Sosaria/StartstopSkaraBraeTrammel.cs;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</si>
  <si>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System/Sosaria/StartstopSkaraBraeTrammel.cs; Risk=Runtime; POST-BATCH-K is audit/runtime-surface triage only. No command names, gump button IDs, PlayerMobile fields, region policy, XML/config, save layout, or gameplay behavior changed.</t>
  </si>
  <si>
    <t>RB-02237</t>
  </si>
  <si>
    <t>P10-F02237</t>
  </si>
  <si>
    <t>Data/Scripts/Custom/Invasion System/Sosaria/StartstopTrinsicTrammel.cs</t>
  </si>
  <si>
    <t>PBK-0315</t>
  </si>
  <si>
    <t>CurrentFile=Data/Scripts/Custom/Invasion System/Sosaria/StartstopTrinsicTrammel.cs;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</si>
  <si>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System/Sosaria/StartstopTrinsicTrammel.cs; Risk=Runtime; POST-BATCH-K is audit/runtime-surface triage only. No command names, gump button IDs, PlayerMobile fields, region policy, XML/config, save layout, or gameplay behavior changed.</t>
  </si>
  <si>
    <t>RB-02238</t>
  </si>
  <si>
    <t>P10-F02238</t>
  </si>
  <si>
    <t>Data/Scripts/Custom/Invasion System/Sosaria/StartstopVesperTrammel.cs</t>
  </si>
  <si>
    <t>PBK-0316</t>
  </si>
  <si>
    <t>CurrentFile=Data/Scripts/Custom/Invasion System/Sosaria/StartstopVesperTrammel.cs;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</si>
  <si>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System/Sosaria/StartstopVesperTrammel.cs; Risk=Runtime; POST-BATCH-K is audit/runtime-surface triage only. No command names, gump button IDs, PlayerMobile fields, region policy, XML/config, save layout, or gameplay behavior changed.</t>
  </si>
  <si>
    <t>RB-02239</t>
  </si>
  <si>
    <t>P10-F02239</t>
  </si>
  <si>
    <t>Data/Scripts/Custom/Invasion System/Sosaria/StartstopYewTrammel.cs</t>
  </si>
  <si>
    <t>PBK-0317</t>
  </si>
  <si>
    <t>CurrentFile=Data/Scripts/Custom/Invasion System/Sosaria/StartstopYewTrammel.cs;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</si>
  <si>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System/Sosaria/StartstopYewTrammel.cs; Risk=Runtime; POST-BATCH-K is audit/runtime-surface triage only. No command names, gump button IDs, PlayerMobile fields, region policy, XML/config, save layout, or gameplay behavior changed.</t>
  </si>
  <si>
    <t>RB-02240</t>
  </si>
  <si>
    <t>P10-F02240</t>
  </si>
  <si>
    <t>Data/Scripts/Custom/Invasion System/Underworld/StartstoGargoyleCityIlshenar.cs</t>
  </si>
  <si>
    <t>PBK-0318</t>
  </si>
  <si>
    <t>CurrentFile=Data/Scripts/Custom/Invasion System/Underworld/StartstoGargoyleCityIlshenar.cs;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</si>
  <si>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System/Underworld/StartstoGargoyleCityIlshenar.cs; Risk=Runtime; POST-BATCH-K is audit/runtime-surface triage only. No command names, gump button IDs, PlayerMobile fields, region policy, XML/config, save layout, or gameplay behavior changed.</t>
  </si>
  <si>
    <t>RB-02241</t>
  </si>
  <si>
    <t>P10-F02241</t>
  </si>
  <si>
    <t>Data/Scripts/Custom/Invasion System/Underworld/StartstopAncientCitadelIlshenar.cs</t>
  </si>
  <si>
    <t>PBK-0319</t>
  </si>
  <si>
    <t>CurrentFile=Data/Scripts/Custom/Invasion System/Underworld/StartstopAncientCitadelIlshenar.cs;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</si>
  <si>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System/Underworld/StartstopAncientCitadelIlshenar.cs; Risk=Runtime; POST-BATCH-K is audit/runtime-surface triage only. No command names, gump button IDs, PlayerMobile fields, region policy, XML/config, save layout, or gameplay behavior changed.</t>
  </si>
  <si>
    <t>RB-02242</t>
  </si>
  <si>
    <t>P10-F02242</t>
  </si>
  <si>
    <t>Data/Scripts/Custom/Invasion System/Underworld/StartstopLakeShireMiregIlshenar.cs</t>
  </si>
  <si>
    <t>PBK-0320</t>
  </si>
  <si>
    <t>CurrentFile=Data/Scripts/Custom/Invasion System/Underworld/StartstopLakeShireMiregIlshenar.cs;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</si>
  <si>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System/Underworld/StartstopLakeShireMiregIlshenar.cs; Risk=Runtime; POST-BATCH-K is audit/runtime-surface triage only. No command names, gump button IDs, PlayerMobile fields, region policy, XML/config, save layout, or gameplay behavior changed.</t>
  </si>
  <si>
    <t>RB-02243</t>
  </si>
  <si>
    <t>P10-F02243</t>
  </si>
  <si>
    <t>Data/Scripts/Custom/Invasion System/Underworld/StartstopMistasIlshenar.cs</t>
  </si>
  <si>
    <t>PBK-0321</t>
  </si>
  <si>
    <t>CurrentFile=Data/Scripts/Custom/Invasion System/Underworld/StartstopMistasIlshenar.cs;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</si>
  <si>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System/Underworld/StartstopMistasIlshenar.cs; Risk=Runtime; POST-BATCH-K is audit/runtime-surface triage only. No command names, gump button IDs, PlayerMobile fields, region policy, XML/config, save layout, or gameplay behavior changed.</t>
  </si>
  <si>
    <t>RB-02244</t>
  </si>
  <si>
    <t>P10-F02244</t>
  </si>
  <si>
    <t>Data/Scripts/Custom/Invasion System/Underworld/StartstopMontorIlshenar.cs</t>
  </si>
  <si>
    <t>PBK-0322</t>
  </si>
  <si>
    <t>CurrentFile=Data/Scripts/Custom/Invasion System/Underworld/StartstopMontorIlshenar.cs;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</si>
  <si>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System/Underworld/StartstopMontorIlshenar.cs; Risk=Runtime; POST-BATCH-K is audit/runtime-surface triage only. No command names, gump button IDs, PlayerMobile fields, region policy, XML/config, save layout, or gameplay behavior changed.</t>
  </si>
  <si>
    <t>RB-02245</t>
  </si>
  <si>
    <t>P10-F02245</t>
  </si>
  <si>
    <t>Data/Scripts/Custom/Invasion System/Underworld/StartstopRegValomIlshenar.cs</t>
  </si>
  <si>
    <t>PBK-0323</t>
  </si>
  <si>
    <t>CurrentFile=Data/Scripts/Custom/Invasion System/Underworld/StartstopRegValomIlshenar.cs;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</si>
  <si>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System/Underworld/StartstopRegValomIlshenar.cs; Risk=Runtime; POST-BATCH-K is audit/runtime-surface triage only. No command names, gump button IDs, PlayerMobile fields, region policy, XML/config, save layout, or gameplay behavior changed.</t>
  </si>
  <si>
    <t>RB-02246</t>
  </si>
  <si>
    <t>P10-F02246</t>
  </si>
  <si>
    <t>Data/Scripts/Custom/Invasion System/Underworld/StartstopSavageCampIlshenar.cs</t>
  </si>
  <si>
    <t>PBK-0324</t>
  </si>
  <si>
    <t>CurrentFile=Data/Scripts/Custom/Invasion System/Underworld/StartstopSavageCampIlshenar.cs;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</si>
  <si>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System/Underworld/StartstopSavageCampIlshenar.cs; Risk=Runtime; POST-BATCH-K is audit/runtime-surface triage only. No command names, gump button IDs, PlayerMobile fields, region policy, XML/config, save layout, or gameplay behavior changed.</t>
  </si>
  <si>
    <t>RB-02247</t>
  </si>
  <si>
    <t>P10-F02247</t>
  </si>
  <si>
    <t>Data/Scripts/Custom/Invasion System/Underworld/StartstopTerortSkitasIlshenar.cs</t>
  </si>
  <si>
    <t>PBK-0325</t>
  </si>
  <si>
    <t>CurrentFile=Data/Scripts/Custom/Invasion System/Underworld/StartstopTerortSkitasIlshenar.cs; Line=31; SourceLine=public override void OnResponse(NetState state, RelayInfo info); PathResolution=OriginalPathCurrent; MatchQuality=RuntimeHookMapFileLine; HookKind=Gump; GuardList=BoundsGuard;MapGuard;StateGuard; Access=; Command=; Handler=; DisabledEvidence=False; RuntimeHookMap=HookType=Gump;Marker=OnResponse;Access=Internal;Risk=High;Guards=BoundsGuard;MapGuard;StateGuard</t>
  </si>
  <si>
    <t>HistoricalFile=Data/Scripts/Custom/Invasion System/Underworld/StartstopTerortSkitasIlshenar.cs; Risk=Runtime; POST-BATCH-K is audit/runtime-surface triage only. No command names, gump button IDs, PlayerMobile fields, region policy, XML/config, save layout, or gameplay behavior changed.</t>
  </si>
  <si>
    <t>RB-02248</t>
  </si>
  <si>
    <t>P10-F02248</t>
  </si>
  <si>
    <t>Data/Scripts/Custom/OzThothStaticGump/StaticGump(Alternative).cs</t>
  </si>
  <si>
    <t>PBK-0326</t>
  </si>
  <si>
    <t>CurrentFile=Data/Scripts/Custom/StaffTools/StaticGumpTool/StaticGump(Alternative).cs; Line=472;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</si>
  <si>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HistoricalFile=Data/Scripts/Custom/OzThothStaticGump/StaticGump(Alternative).cs; Risk=Runtime; POST-BATCH-K is audit/runtime-surface triage only. No command names, gump button IDs, PlayerMobile fields, region policy, XML/config, save layout, or gameplay behavior changed.</t>
  </si>
  <si>
    <t>RB-02249</t>
  </si>
  <si>
    <t>P10-F02249</t>
  </si>
  <si>
    <t>PBK-0327</t>
  </si>
  <si>
    <t>CurrentFile=Data/Scripts/Custom/StaffTools/StaticGumpTool/StaticGump(Alternative).cs; Line=1062;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</si>
  <si>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RB-02250</t>
  </si>
  <si>
    <t>P10-F02250</t>
  </si>
  <si>
    <t>Data/Scripts/Custom/OzThothStaticGump/Side Gumps/AddAnimation.cs</t>
  </si>
  <si>
    <t>PBK-0328</t>
  </si>
  <si>
    <t>CurrentFile=Data/Scripts/Custom/StaffTools/StaticGumpTool/Side Gumps/AddAnimation.cs; Line=736;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</si>
  <si>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Gumps/AddAnimation.cs; Risk=Runtime; POST-BATCH-K is audit/runtime-surface triage only. No command names, gump button IDs, PlayerMobile fields, region policy, XML/config, save layout, or gameplay behavior changed.</t>
  </si>
  <si>
    <t>RB-02251</t>
  </si>
  <si>
    <t>P10-F02251</t>
  </si>
  <si>
    <t>Data/Scripts/Custom/OzThothStaticGump/Side Gumps/AddArch.cs</t>
  </si>
  <si>
    <t>PBK-0329</t>
  </si>
  <si>
    <t>CurrentFile=Data/Scripts/Custom/StaffTools/StaticGumpTool/Side Gumps/AddArch.cs; Line=402;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</si>
  <si>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Gumps/AddArch.cs; Risk=Runtime; POST-BATCH-K is audit/runtime-surface triage only. No command names, gump button IDs, PlayerMobile fields, region policy, XML/config, save layout, or gameplay behavior changed.</t>
  </si>
  <si>
    <t>RB-02252</t>
  </si>
  <si>
    <t>P10-F02252</t>
  </si>
  <si>
    <t>Data/Scripts/Custom/OzThothStaticGump/Side Gumps/AddCooking.cs</t>
  </si>
  <si>
    <t>PBK-0330</t>
  </si>
  <si>
    <t>CurrentFile=Data/Scripts/Custom/StaffTools/StaticGumpTool/Side Gumps/AddCooking.cs; Line=420;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</si>
  <si>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Gumps/AddCooking.cs; Risk=Runtime; POST-BATCH-K is audit/runtime-surface triage only. No command names, gump button IDs, PlayerMobile fields, region policy, XML/config, save layout, or gameplay behavior changed.</t>
  </si>
  <si>
    <t>RB-02253</t>
  </si>
  <si>
    <t>P10-F02253</t>
  </si>
  <si>
    <t>Data/Scripts/Custom/OzThothStaticGump/Side Gumps/AddCustom.cs</t>
  </si>
  <si>
    <t>PBK-0331</t>
  </si>
  <si>
    <t>CurrentFile=Data/Scripts/Custom/StaffTools/StaticGumpTool/Side Gumps/AddCustom.cs; Line=117;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</si>
  <si>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Gumps/AddCustom.cs; Risk=Runtime; POST-BATCH-K is audit/runtime-surface triage only. No command names, gump button IDs, PlayerMobile fields, region policy, XML/config, save layout, or gameplay behavior changed.</t>
  </si>
  <si>
    <t>RB-02254</t>
  </si>
  <si>
    <t>P10-F02254</t>
  </si>
  <si>
    <t>Data/Scripts/Custom/OzThothStaticGump/Side Gumps/AddDeco.cs</t>
  </si>
  <si>
    <t>PBK-0332</t>
  </si>
  <si>
    <t>CurrentFile=Data/Scripts/Custom/StaffTools/StaticGumpTool/Side Gumps/AddDeco.cs; Line=2741;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</si>
  <si>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Gumps/AddDeco.cs; Risk=Runtime; POST-BATCH-K is audit/runtime-surface triage only. No command names, gump button IDs, PlayerMobile fields, region policy, XML/config, save layout, or gameplay behavior changed.</t>
  </si>
  <si>
    <t>RB-02255</t>
  </si>
  <si>
    <t>P10-F02255</t>
  </si>
  <si>
    <t>Data/Scripts/Custom/OzThothStaticGump/Side Gumps/AddDungeon.cs</t>
  </si>
  <si>
    <t>PBK-0333</t>
  </si>
  <si>
    <t>CurrentFile=Data/Scripts/Custom/StaffTools/StaticGumpTool/Side Gumps/AddDungeon.cs; Line=1224;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</si>
  <si>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Gumps/AddDungeon.cs; Risk=Runtime; POST-BATCH-K is audit/runtime-surface triage only. No command names, gump button IDs, PlayerMobile fields, region policy, XML/config, save layout, or gameplay behavior changed.</t>
  </si>
  <si>
    <t>RB-02256</t>
  </si>
  <si>
    <t>P10-F02256</t>
  </si>
  <si>
    <t>Data/Scripts/Custom/OzThothStaticGump/Side Gumps/addfence.cs</t>
  </si>
  <si>
    <t>PBK-0334</t>
  </si>
  <si>
    <t>CurrentFile=Data/Scripts/Custom/StaffTools/StaticGumpTool/Side Gumps/addfence.cs; Line=204;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</si>
  <si>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Gumps/addfence.cs; Risk=Runtime; POST-BATCH-K is audit/runtime-surface triage only. No command names, gump button IDs, PlayerMobile fields, region policy, XML/config, save layout, or gameplay behavior changed.</t>
  </si>
  <si>
    <t>RB-02257</t>
  </si>
  <si>
    <t>P10-F02257</t>
  </si>
  <si>
    <t>Data/Scripts/Custom/OzThothStaticGump/Side Gumps/addfloor.cs</t>
  </si>
  <si>
    <t>PBK-0335</t>
  </si>
  <si>
    <t>CurrentFile=Data/Scripts/Custom/StaffTools/StaticGumpTool/Side Gumps/addfloor.cs; Line=1409;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</si>
  <si>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Gumps/addfloor.cs; Risk=Runtime; POST-BATCH-K is audit/runtime-surface triage only. No command names, gump button IDs, PlayerMobile fields, region policy, XML/config, save layout, or gameplay behavior changed.</t>
  </si>
  <si>
    <t>RB-02258</t>
  </si>
  <si>
    <t>P10-F02258</t>
  </si>
  <si>
    <t>Data/Scripts/Custom/OzThothStaticGump/Side Gumps/AddFurniture.cs</t>
  </si>
  <si>
    <t>PBK-0336</t>
  </si>
  <si>
    <t>CurrentFile=Data/Scripts/Custom/StaffTools/StaticGumpTool/Side Gumps/AddFurniture.cs; Line=1362;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</si>
  <si>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Gumps/AddFurniture.cs; Risk=Runtime; POST-BATCH-K is audit/runtime-surface triage only. No command names, gump button IDs, PlayerMobile fields, region policy, XML/config, save layout, or gameplay behavior changed.</t>
  </si>
  <si>
    <t>RB-02259</t>
  </si>
  <si>
    <t>P10-F02259</t>
  </si>
  <si>
    <t>Data/Scripts/Custom/OzThothStaticGump/Side Gumps/AddGear.cs</t>
  </si>
  <si>
    <t>PBK-0337</t>
  </si>
  <si>
    <t>CurrentFile=Data/Scripts/Custom/StaffTools/StaticGumpTool/Side Gumps/AddGear.cs; Line=1095;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</si>
  <si>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Gumps/AddGear.cs; Risk=Runtime; POST-BATCH-K is audit/runtime-surface triage only. No command names, gump button IDs, PlayerMobile fields, region policy, XML/config, save layout, or gameplay behavior changed.</t>
  </si>
  <si>
    <t>RB-02260</t>
  </si>
  <si>
    <t>P10-F02260</t>
  </si>
  <si>
    <t>Data/Scripts/Custom/OzThothStaticGump/Side Gumps/AddGround.cs</t>
  </si>
  <si>
    <t>PBK-0338</t>
  </si>
  <si>
    <t>CurrentFile=Data/Scripts/Custom/StaffTools/StaticGumpTool/Side Gumps/AddGround.cs; Line=1226;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</si>
  <si>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Gumps/AddGround.cs; Risk=Runtime; POST-BATCH-K is audit/runtime-surface triage only. No command names, gump button IDs, PlayerMobile fields, region policy, XML/config, save layout, or gameplay behavior changed.</t>
  </si>
  <si>
    <t>RB-02261</t>
  </si>
  <si>
    <t>P10-F02261</t>
  </si>
  <si>
    <t>Data/Scripts/Custom/OzThothStaticGump/Side Gumps/AddLight.cs</t>
  </si>
  <si>
    <t>PBK-0339</t>
  </si>
  <si>
    <t>CurrentFile=Data/Scripts/Custom/StaffTools/StaticGumpTool/Side Gumps/AddLight.cs; Line=243;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</si>
  <si>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Gumps/AddLight.cs; Risk=Runtime; POST-BATCH-K is audit/runtime-surface triage only. No command names, gump button IDs, PlayerMobile fields, region policy, XML/config, save layout, or gameplay behavior changed.</t>
  </si>
  <si>
    <t>RB-02262</t>
  </si>
  <si>
    <t>P10-F02262</t>
  </si>
  <si>
    <t>Data/Scripts/Custom/OzThothStaticGump/Side Gumps/AddMisc.cs</t>
  </si>
  <si>
    <t>PBK-0340</t>
  </si>
  <si>
    <t>CurrentFile=Data/Scripts/Custom/StaffTools/StaticGumpTool/Side Gumps/AddMisc.cs; Line=2829;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</si>
  <si>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Gumps/AddMisc.cs; Risk=Runtime; POST-BATCH-K is audit/runtime-surface triage only. No command names, gump button IDs, PlayerMobile fields, region policy, XML/config, save layout, or gameplay behavior changed.</t>
  </si>
  <si>
    <t>RB-02263</t>
  </si>
  <si>
    <t>P10-F02263</t>
  </si>
  <si>
    <t>Data/Scripts/Custom/OzThothStaticGump/Side Gumps/AddNature.cs</t>
  </si>
  <si>
    <t>PBK-0341</t>
  </si>
  <si>
    <t>CurrentFile=Data/Scripts/Custom/StaffTools/StaticGumpTool/Side Gumps/AddNature.cs; Line=460;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</si>
  <si>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Gumps/AddNature.cs; Risk=Runtime; POST-BATCH-K is audit/runtime-surface triage only. No command names, gump button IDs, PlayerMobile fields, region policy, XML/config, save layout, or gameplay behavior changed.</t>
  </si>
  <si>
    <t>RB-02264</t>
  </si>
  <si>
    <t>P10-F02264</t>
  </si>
  <si>
    <t>Data/Scripts/Custom/OzThothStaticGump/Side Gumps/addplants.cs</t>
  </si>
  <si>
    <t>PBK-0342</t>
  </si>
  <si>
    <t>CurrentFile=Data/Scripts/Custom/StaffTools/StaticGumpTool/Side Gumps/addplants.cs; Line=860;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</si>
  <si>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Gumps/addplants.cs; Risk=Runtime; POST-BATCH-K is audit/runtime-surface triage only. No command names, gump button IDs, PlayerMobile fields, region policy, XML/config, save layout, or gameplay behavior changed.</t>
  </si>
  <si>
    <t>RB-02265</t>
  </si>
  <si>
    <t>P10-F02265</t>
  </si>
  <si>
    <t>Data/Scripts/Custom/OzThothStaticGump/Side Gumps/addrock.cs</t>
  </si>
  <si>
    <t>PBK-0343</t>
  </si>
  <si>
    <t>CurrentFile=Data/Scripts/Custom/StaffTools/StaticGumpTool/Side Gumps/addrock.cs; Line=225;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</si>
  <si>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Gumps/addrock.cs; Risk=Runtime; POST-BATCH-K is audit/runtime-surface triage only. No command names, gump button IDs, PlayerMobile fields, region policy, XML/config, save layout, or gameplay behavior changed.</t>
  </si>
  <si>
    <t>RB-02266</t>
  </si>
  <si>
    <t>P10-F02266</t>
  </si>
  <si>
    <t>Data/Scripts/Custom/OzThothStaticGump/Side Gumps/addroof.cs</t>
  </si>
  <si>
    <t>PBK-0344</t>
  </si>
  <si>
    <t>CurrentFile=Data/Scripts/Custom/StaffTools/StaticGumpTool/Side Gumps/addroof.cs; Line=1141;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</si>
  <si>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Gumps/addroof.cs; Risk=Runtime; POST-BATCH-K is audit/runtime-surface triage only. No command names, gump button IDs, PlayerMobile fields, region policy, XML/config, save layout, or gameplay behavior changed.</t>
  </si>
  <si>
    <t>RB-02267</t>
  </si>
  <si>
    <t>P10-F02267</t>
  </si>
  <si>
    <t>Data/Scripts/Custom/OzThothStaticGump/Side Gumps/AddSignPost.cs</t>
  </si>
  <si>
    <t>PBK-0345</t>
  </si>
  <si>
    <t>CurrentFile=Data/Scripts/Custom/StaffTools/StaticGumpTool/Side Gumps/AddSignPost.cs; Line=126;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</si>
  <si>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Gumps/AddSignPost.cs; Risk=Runtime; POST-BATCH-K is audit/runtime-surface triage only. No command names, gump button IDs, PlayerMobile fields, region policy, XML/config, save layout, or gameplay behavior changed.</t>
  </si>
  <si>
    <t>RB-02268</t>
  </si>
  <si>
    <t>P10-F02268</t>
  </si>
  <si>
    <t>Data/Scripts/Custom/OzThothStaticGump/Side Gumps/AddStairGump.cs</t>
  </si>
  <si>
    <t>PBK-0346</t>
  </si>
  <si>
    <t>CurrentFile=Data/Scripts/Custom/StaffTools/StaticGumpTool/Side Gumps/AddStairGump.cs; Line=442;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</si>
  <si>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Gumps/AddStairGump.cs; Risk=Runtime; POST-BATCH-K is audit/runtime-surface triage only. No command names, gump button IDs, PlayerMobile fields, region policy, XML/config, save layout, or gameplay behavior changed.</t>
  </si>
  <si>
    <t>RB-02269</t>
  </si>
  <si>
    <t>P10-F02269</t>
  </si>
  <si>
    <t>Data/Scripts/Custom/OzThothStaticGump/Side Gumps/AddWallGump.cs</t>
  </si>
  <si>
    <t>PBK-0347</t>
  </si>
  <si>
    <t>CurrentFile=Data/Scripts/Custom/StaffTools/StaticGumpTool/Side Gumps/AddWallGump.cs; Line=2359; SourceLine=public override void OnResponse(NetState sender, RelayInfo info);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RuntimeHookMap=HookType=Gump;Marker=OnResponse;Access=Internal;Risk=High;Guards=AccessGuard;BoundsGuard;StateGuard</t>
  </si>
  <si>
    <t>HistoricalFile=Data/Scripts/Custom/OzThothStaticGump/Side Gumps/AddWallGump.cs; Risk=Runtime; POST-BATCH-K is audit/runtime-surface triage only. No command names, gump button IDs, PlayerMobile fields, region policy, XML/config, save layout, or gameplay behavior changed.</t>
  </si>
  <si>
    <t>RB-02270</t>
  </si>
  <si>
    <t>P10-F02270</t>
  </si>
  <si>
    <t>Data/Scripts/Custom/Vhaerun's CRL Homestead System [2.0]/Dracana's Winecrafting [2.0]/Items/Craft Items/Tools/VinyardLabelMaker.cs</t>
  </si>
  <si>
    <t>PBK-0348</t>
  </si>
  <si>
    <t>CurrentFile=Data/Scripts/Custom/Vhaerun's CRL Homestead System [2.0]/Dracana's Winecrafting [2.0]/Items/Craft Items/Tools/VinyardLabelMaker.cs; Line=168;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</si>
  <si>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HistoricalFile=Data/Scripts/Custom/Vhaerun's CRL Homestead System [2.0]/Dracana's Winecrafting [2.0]/Items/Craft Items/Tools/VinyardLabelMaker.cs; Risk=Runtime; POST-BATCH-K is audit/runtime-surface triage only. No command names, gump button IDs, PlayerMobile fields, region policy, XML/config, save layout, or gameplay behavior changed.</t>
  </si>
  <si>
    <t>RB-02271</t>
  </si>
  <si>
    <t>P10-F02271</t>
  </si>
  <si>
    <t>PBK-0349</t>
  </si>
  <si>
    <t>CurrentFile=Data/Scripts/Custom/Vhaerun's CRL Homestead System [2.0]/Dracana's Winecrafting [2.0]/Items/Craft Items/Tools/VinyardLabelMaker.cs; Line=184;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</si>
  <si>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RB-02272</t>
  </si>
  <si>
    <t>P10-F02272</t>
  </si>
  <si>
    <t>Data/Scripts/Custom/Vhaerun's CRL Homestead System [2.0]/Vhaerun's CRL Brewing/Items/Tools/BreweryLabelMaker.cs</t>
  </si>
  <si>
    <t>PBK-0350</t>
  </si>
  <si>
    <t>CurrentFile=Data/Scripts/Custom/Vhaerun's CRL Homestead System [2.0]/Vhaerun's CRL Brewing/Items/Tools/BreweryLabelMaker.cs; Line=168;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</si>
  <si>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HistoricalFile=Data/Scripts/Custom/Vhaerun's CRL Homestead System [2.0]/Vhaerun's CRL Brewing/Items/Tools/BreweryLabelMaker.cs; Risk=Runtime; POST-BATCH-K is audit/runtime-surface triage only. No command names, gump button IDs, PlayerMobile fields, region policy, XML/config, save layout, or gameplay behavior changed.</t>
  </si>
  <si>
    <t>RB-02273</t>
  </si>
  <si>
    <t>P10-F02273</t>
  </si>
  <si>
    <t>PBK-0351</t>
  </si>
  <si>
    <t>CurrentFile=Data/Scripts/Custom/Vhaerun's CRL Homestead System [2.0]/Vhaerun's CRL Brewing/Items/Tools/BreweryLabelMaker.cs; Line=184;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</si>
  <si>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RB-02274</t>
  </si>
  <si>
    <t>P10-F02274</t>
  </si>
  <si>
    <t>Data/Scripts/Custom/Vhaerun's CRL Homestead System [2.0]/Vhaerun's CRL Cooking/Items/FoodDyes.cs</t>
  </si>
  <si>
    <t>PBK-0352</t>
  </si>
  <si>
    <t>CurrentFile=Data/Scripts/Custom/Vhaerun's CRL Homestead System [2.0]/Vhaerun's CRL Cooking/Items/FoodDyes.cs; Line=58; SourceLine=public override void OnResponse(int hue);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</si>
  <si>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HistoricalFile=Data/Scripts/Custom/Vhaerun's CRL Homestead System [2.0]/Vhaerun's CRL Cooking/Items/FoodDyes.cs; Risk=Runtime; POST-BATCH-K is audit/runtime-surface triage only. No command names, gump button IDs, PlayerMobile fields, region policy, XML/config, save layout, or gameplay behavior changed.</t>
  </si>
  <si>
    <t>RB-02277</t>
  </si>
  <si>
    <t>P10-F02277</t>
  </si>
  <si>
    <t>Data/Scripts/Custom/Vhaerun's CRL Homestead System [2.0]/Vhaerun's CRL Cooking/Package Systems/HungerGump/HungerGump.cs</t>
  </si>
  <si>
    <t>PBK-0355</t>
  </si>
  <si>
    <t>CurrentFile=Data/Scripts/Custom/Vhaerun's CRL Homestead System [2.0]/Vhaerun's CRL Cooking/Package Systems/HungerGump/HungerGump.cs; Line=87; SourceLine=public override void OnResponse(Server.Network.NetState sender, RelayInfo info) { }; PathResolution=OriginalPathCurrent; MatchQuality=RuntimeHookMapFileLine; HookKind=Gump; GuardList=AccessGuard;StateGuard; Access=; Command=; Handler=; DisabledEvidence=False; RuntimeHookMap=HookType=Gump;Marker=OnResponse;Access=Internal;Risk=High;Guards=AccessGuard;StateGuard</t>
  </si>
  <si>
    <t>HistoricalFile=Data/Scripts/Custom/Vhaerun's CRL Homestead System [2.0]/Vhaerun's CRL Cooking/Package Systems/HungerGump/HungerGump.cs; Risk=Runtime; POST-BATCH-K is audit/runtime-surface triage only. No command names, gump button IDs, PlayerMobile fields, region policy, XML/config, save layout, or gameplay behavior changed.</t>
  </si>
  <si>
    <t>RB-02278</t>
  </si>
  <si>
    <t>P10-F02278</t>
  </si>
  <si>
    <t>Data/Scripts/Custom/Vhaerun's CRL Homestead System [2.0]/Vhaerun's CRL Juicing/Items/Tools/FarmLabelMaker.cs</t>
  </si>
  <si>
    <t>PBK-0356</t>
  </si>
  <si>
    <t>CurrentFile=Data/Scripts/Custom/Vhaerun's CRL Homestead System [2.0]/Vhaerun's CRL Juicing/Items/Tools/FarmLabelMaker.cs; Line=168;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</si>
  <si>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HistoricalFile=Data/Scripts/Custom/Vhaerun's CRL Homestead System [2.0]/Vhaerun's CRL Juicing/Items/Tools/FarmLabelMaker.cs; Risk=Runtime; POST-BATCH-K is audit/runtime-surface triage only. No command names, gump button IDs, PlayerMobile fields, region policy, XML/config, save layout, or gameplay behavior changed.</t>
  </si>
  <si>
    <t>RB-02279</t>
  </si>
  <si>
    <t>P10-F02279</t>
  </si>
  <si>
    <t>PBK-0357</t>
  </si>
  <si>
    <t>CurrentFile=Data/Scripts/Custom/Vhaerun's CRL Homestead System [2.0]/Vhaerun's CRL Juicing/Items/Tools/FarmLabelMaker.cs; Line=184; SourceLine=public override void OnResponse(Mobile from, string text); PathResolution=OriginalPathCurrent; MatchQuality=RuntimeHookMapFileLine; HookKind=Gump; GuardList=AccessGuard;PacketReadGuard;StateGuard; Access=; Command=; Handler=; DisabledEvidence=False; RuntimeHookMap=HookType=Gump;Marker=OnResponse;Access=Internal;Risk=High;Guards=AccessGuard;PacketReadGuard;StateGuard</t>
  </si>
  <si>
    <t>RB-02280</t>
  </si>
  <si>
    <t>P10-F02280</t>
  </si>
  <si>
    <t>PBK-0358</t>
  </si>
  <si>
    <t>CurrentFile=Data/Scripts/Custom/XMLSpawner/XmlItems/QuestNote.cs; Line=264; SourceLine=public override void OnResponse(Server.Network.NetState state, RelayInfo info); PathResolution=OriginalPathCurrent; MatchQuality=RuntimeHookMapFileLine; HookKind=Gump; GuardList=AccessGuard;BoundsGuard;PacketReadGuard;StateGuard; Access=; Command=; Handler=; DisabledEvidence=False; RuntimeHookMap=HookType=Gump;Marker=OnResponse;Access=Internal;Risk=High;Guards=AccessGuard;BoundsGuard;PacketReadGuard;StateGuard</t>
  </si>
  <si>
    <t>HistoricalFile=Data/Scripts/Custom/XMLSpawner/XmlItems/QuestNote.cs; Risk=Runtime; POST-BATCH-K is audit/runtime-surface triage only. No command names, gump button IDs, PlayerMobile fields, region policy, XML/config, save layout, or gameplay behavior changed.</t>
  </si>
  <si>
    <t>RB-02285</t>
  </si>
  <si>
    <t>P10-F02285</t>
  </si>
  <si>
    <t>Data/Scripts/Items/Books/BardsTaleNote.cs</t>
  </si>
  <si>
    <t>PBK-0359</t>
  </si>
  <si>
    <t>CurrentFile=Data/Scripts/Items/Books/BardsTaleNote.cs; Line=169;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</si>
  <si>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HistoricalFile=Data/Scripts/Items/Books/BardsTaleNote.cs; Risk=Runtime; POST-BATCH-K is audit/runtime-surface triage only. No command names, gump button IDs, PlayerMobile fields, region policy, XML/config, save layout, or gameplay behavior changed.</t>
  </si>
  <si>
    <t>RB-02286</t>
  </si>
  <si>
    <t>P10-F02286</t>
  </si>
  <si>
    <t>Data/Scripts/Items/Books/DoomFlayerNote.cs</t>
  </si>
  <si>
    <t>PBK-0360</t>
  </si>
  <si>
    <t>CurrentFile=Data/Scripts/Items/Books/DoomFlayerNote.cs; Line=52; SourceLine=public override void OnResponse(NetState state, RelayInfo info); PathResolution=OriginalPathCurrent; MatchQuality=RuntimeHookMapFileLine; HookKind=Gump; GuardList=PacketReadGuard;RangeGuard;StateGuard; Access=; Command=; Handler=; DisabledEvidence=False; RuntimeHookMap=HookType=Gump;Marker=OnResponse;Access=Internal;Risk=High;Guards=PacketReadGuard;RangeGuard;StateGuard</t>
  </si>
  <si>
    <t>HistoricalFile=Data/Scripts/Items/Books/DoomFlayerNote.cs; Risk=Runtime; POST-BATCH-K is audit/runtime-surface triage only. No command names, gump button IDs, PlayerMobile fields, region policy, XML/config, save layout, or gameplay behavior changed.</t>
  </si>
  <si>
    <t>RB-02287</t>
  </si>
  <si>
    <t>P10-F02287</t>
  </si>
  <si>
    <t>Data/Scripts/Items/Books/LearnGranite.cs</t>
  </si>
  <si>
    <t>PBK-0361</t>
  </si>
  <si>
    <t>CurrentFile=Data/Scripts/Items/Books/LearnGranite.cs; Line=212;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</si>
  <si>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HistoricalFile=Data/Scripts/Items/Books/LearnGranite.cs; Risk=Runtime; POST-BATCH-K is audit/runtime-surface triage only. No command names, gump button IDs, PlayerMobile fields, region policy, XML/config, save layout, or gameplay behavior changed.</t>
  </si>
  <si>
    <t>RB-02288</t>
  </si>
  <si>
    <t>P10-F02288</t>
  </si>
  <si>
    <t>Data/Scripts/Items/Books/LearnLeather.cs</t>
  </si>
  <si>
    <t>PBK-0362</t>
  </si>
  <si>
    <t>CurrentFile=Data/Scripts/Items/Books/LearnLeather.cs; Line=193;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</si>
  <si>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HistoricalFile=Data/Scripts/Items/Books/LearnLeather.cs; Risk=Runtime; POST-BATCH-K is audit/runtime-surface triage only. No command names, gump button IDs, PlayerMobile fields, region policy, XML/config, save layout, or gameplay behavior changed.</t>
  </si>
  <si>
    <t>RB-02289</t>
  </si>
  <si>
    <t>P10-F02289</t>
  </si>
  <si>
    <t>Data/Scripts/Items/Books/LearnMetal.cs</t>
  </si>
  <si>
    <t>PBK-0363</t>
  </si>
  <si>
    <t>CurrentFile=Data/Scripts/Items/Books/LearnMetal.cs; Line=233;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</si>
  <si>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HistoricalFile=Data/Scripts/Items/Books/LearnMetal.cs; Risk=Runtime; POST-BATCH-K is audit/runtime-surface triage only. No command names, gump button IDs, PlayerMobile fields, region policy, XML/config, save layout, or gameplay behavior changed.</t>
  </si>
  <si>
    <t>RB-02290</t>
  </si>
  <si>
    <t>P10-F02290</t>
  </si>
  <si>
    <t>Data/Scripts/Items/Books/LearnMisc.cs</t>
  </si>
  <si>
    <t>PBK-0364</t>
  </si>
  <si>
    <t>CurrentFile=Data/Scripts/Items/Books/LearnMisc.cs; Line=121;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</si>
  <si>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HistoricalFile=Data/Scripts/Items/Books/LearnMisc.cs; Risk=Runtime; POST-BATCH-K is audit/runtime-surface triage only. No command names, gump button IDs, PlayerMobile fields, region policy, XML/config, save layout, or gameplay behavior changed.</t>
  </si>
  <si>
    <t>RB-02291</t>
  </si>
  <si>
    <t>P10-F02291</t>
  </si>
  <si>
    <t>Data/Scripts/Items/Books/LearnReagents.cs</t>
  </si>
  <si>
    <t>PBK-0365</t>
  </si>
  <si>
    <t>CurrentFile=Data/Scripts/Items/Books/LearnReagents.cs; Line=458;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t>
  </si>
  <si>
    <t>HistoricalFile=Data/Scripts/Items/Books/LearnReagents.cs; Risk=Runtime; POST-BATCH-K is audit/runtime-surface triage only. No command names, gump button IDs, PlayerMobile fields, region policy, XML/config, save layout, or gameplay behavior changed.</t>
  </si>
  <si>
    <t>RB-02292</t>
  </si>
  <si>
    <t>P10-F02292</t>
  </si>
  <si>
    <t>Data/Scripts/Items/Books/LearnScales.cs</t>
  </si>
  <si>
    <t>PBK-0366</t>
  </si>
  <si>
    <t>CurrentFile=Data/Scripts/Items/Books/LearnScales.cs; Line=144;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</si>
  <si>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HistoricalFile=Data/Scripts/Items/Books/LearnScales.cs; Risk=Runtime; POST-BATCH-K is audit/runtime-surface triage only. No command names, gump button IDs, PlayerMobile fields, region policy, XML/config, save layout, or gameplay behavior changed.</t>
  </si>
  <si>
    <t>RB-02293</t>
  </si>
  <si>
    <t>P10-F02293</t>
  </si>
  <si>
    <t>Data/Scripts/Items/Books/LearnStealing.cs</t>
  </si>
  <si>
    <t>PBK-0367</t>
  </si>
  <si>
    <t>CurrentFile=Data/Scripts/Items/Books/LearnStealing.cs; Line=77;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t>
  </si>
  <si>
    <t>HistoricalFile=Data/Scripts/Items/Books/LearnStealing.cs; Risk=Runtime; POST-BATCH-K is audit/runtime-surface triage only. No command names, gump button IDs, PlayerMobile fields, region policy, XML/config, save layout, or gameplay behavior changed.</t>
  </si>
  <si>
    <t>RB-02294</t>
  </si>
  <si>
    <t>P10-F02294</t>
  </si>
  <si>
    <t>Data/Scripts/Items/Books/LearnTailor.cs</t>
  </si>
  <si>
    <t>PBK-0368</t>
  </si>
  <si>
    <t>CurrentFile=Data/Scripts/Items/Books/LearnTailor.cs; Line=77;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</si>
  <si>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HistoricalFile=Data/Scripts/Items/Books/LearnTailor.cs; Risk=Runtime; POST-BATCH-K is audit/runtime-surface triage only. No command names, gump button IDs, PlayerMobile fields, region policy, XML/config, save layout, or gameplay behavior changed.</t>
  </si>
  <si>
    <t>RB-02295</t>
  </si>
  <si>
    <t>P10-F02295</t>
  </si>
  <si>
    <t>Data/Scripts/Items/Books/LearnWood.cs</t>
  </si>
  <si>
    <t>PBK-0369</t>
  </si>
  <si>
    <t>CurrentFile=Data/Scripts/Items/Books/LearnWood.cs; Line=222;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</si>
  <si>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HistoricalFile=Data/Scripts/Items/Books/LearnWood.cs; Risk=Runtime; POST-BATCH-K is audit/runtime-surface triage only. No command names, gump button IDs, PlayerMobile fields, region policy, XML/config, save layout, or gameplay behavior changed.</t>
  </si>
  <si>
    <t>RB-02296</t>
  </si>
  <si>
    <t>P10-F02296</t>
  </si>
  <si>
    <t>PBK-0370</t>
  </si>
  <si>
    <t>CurrentFile=Data/Scripts/Items/Books/MerchantsBook.cs; Line=849; SourceLine=public override void OnResponse(NetState state, RelayInfo info); PathResolution=OriginalPathCurrent; MatchQuality=RuntimeHookMapFileLine; HookKind=Gump; GuardList=AccessGuard;BoundsGuard;MapGuard;PacketReadGuard;RangeGuard;StateGuard; Access=; Command=; Handler=; DisabledEvidence=False; RuntimeHookMap=HookType=Gump;Marker=OnResponse;Access=Internal;Risk=High;Guards=AccessGuard;BoundsGuard;MapGuard;PacketReadGuard;RangeGuard;StateGuard</t>
  </si>
  <si>
    <t>HistoricalFile=Data/Scripts/Items/Books/MerchantsBook.cs; Risk=Runtime; POST-BATCH-K is audit/runtime-surface triage only. No command names, gump button IDs, PlayerMobile fields, region policy, XML/config, save layout, or gameplay behavior changed.</t>
  </si>
  <si>
    <t>RB-02297</t>
  </si>
  <si>
    <t>P10-F02297</t>
  </si>
  <si>
    <t>PBK-0371</t>
  </si>
  <si>
    <t>CurrentFile=Data/Scripts/Items/Books/SwordsAndShackles.cs; Line=389; SourceLine=public override void OnResponse(NetState state, RelayInfo info); PathResolution=OriginalPathCurrent; MatchQuality=RuntimeHookMapFileLine; HookKind=Gump; GuardList=BoundsGuard;MapGuard;PacketReadGuard;RangeGuard;StateGuard; Access=; Command=; Handler=; DisabledEvidence=False; RuntimeHookMap=HookType=Gump;Marker=OnResponse;Access=Internal;Risk=High;Guards=BoundsGuard;MapGuard;PacketReadGuard;RangeGuard;StateGuard</t>
  </si>
  <si>
    <t>HistoricalFile=Data/Scripts/Items/Books/SwordsAndShackles.cs; Risk=Runtime; POST-BATCH-K is audit/runtime-surface triage only. No command names, gump button IDs, PlayerMobile fields, region policy, XML/config, save layout, or gameplay behavior changed.</t>
  </si>
  <si>
    <t>RB-02298</t>
  </si>
  <si>
    <t>P10-F02298</t>
  </si>
  <si>
    <t>Data/Scripts/Items/Books/TitleChangeDeed.cs</t>
  </si>
  <si>
    <t>PBK-0372</t>
  </si>
  <si>
    <t>CurrentFile=Data/Scripts/Items/Books/TitleChangeDeed.cs; Line=62;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</si>
  <si>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HistoricalFile=Data/Scripts/Items/Books/TitleChangeDeed.cs; Risk=Runtime; POST-BATCH-K is audit/runtime-surface triage only. No command names, gump button IDs, PlayerMobile fields, region policy, XML/config, save layout, or gameplay behavior changed.</t>
  </si>
  <si>
    <t>RB-02299</t>
  </si>
  <si>
    <t>P10-F02299</t>
  </si>
  <si>
    <t>Data/Scripts/Items/Books/BulletinBoards/AssassinNote.cs</t>
  </si>
  <si>
    <t>PBK-0373</t>
  </si>
  <si>
    <t>CurrentFile=Data/Scripts/Items/Books/BulletinBoards/AssassinNote.cs; Line=66; SourceLine=public override void OnResponse(NetState state, RelayInfo info); PathResolution=OriginalPathCurrent; MatchQuality=RuntimeHookMapFileLine; HookKind=Gump; GuardList=AccessGuard;PacketReadGuard;RangeGuard;StateGuard; Access=; Command=; Handler=; DisabledEvidence=False; RuntimeHookMap=HookType=Gump;Marker=OnResponse;Access=Internal;Risk=High;Guards=AccessGuard;PacketReadGuard;RangeGuard;StateGuard</t>
  </si>
  <si>
    <t>HistoricalFile=Data/Scripts/Items/Books/BulletinBoards/AssassinNote.cs; Risk=Runtime; POST-BATCH-K is audit/runtime-surface triage only. No command names, gump button IDs, PlayerMobile fields, region policy, XML/config, save layout, or gameplay behavior changed.</t>
  </si>
  <si>
    <t>RB-02300</t>
  </si>
  <si>
    <t>P10-F02300</t>
  </si>
  <si>
    <t>Data/Scripts/Items/Books/BulletinBoards/GuildBoard.cs</t>
  </si>
  <si>
    <t>PBK-0374</t>
  </si>
  <si>
    <t>CurrentFile=Data/Scripts/Items/Books/BulletinBoards/GuildBoard.cs; Line=110; SourceLine=public override void OnResponse(NetState state, RelayInfo info); PathResolution=OriginalPathCurrent; MatchQuality=RuntimeHookMapFileLine; HookKind=Gump; GuardList=BoundsGuard;MapGuard;PacketReadGuard;RangeGuard;StateGuard; Access=; Command=; Handler=; DisabledEvidence=False; RuntimeHookMap=HookType=Gump;Marker=OnResponse;Access=Internal;Risk=High;Guards=BoundsGuard;MapGuard;PacketReadGuard;RangeGuard;StateGuard</t>
  </si>
  <si>
    <t>HistoricalFile=Data/Scripts/Items/Books/BulletinBoards/GuildBoard.cs; Risk=Runtime; POST-BATCH-K is audit/runtime-surface triage only. No command names, gump button IDs, PlayerMobile fields, region policy, XML/config, save layout, or gameplay behavior changed.</t>
  </si>
  <si>
    <t>RB-02301</t>
  </si>
  <si>
    <t>P10-F02301</t>
  </si>
  <si>
    <t>Data/Scripts/Items/Books/BulletinBoards/WantedMangar.cs</t>
  </si>
  <si>
    <t>PBK-0375</t>
  </si>
  <si>
    <t>CurrentFile=Data/Scripts/Items/Books/BulletinBoards/WantedMangar.cs; Line=97; SourceLine=public override void OnResponse(NetState state, RelayInfo info); PathResolution=OriginalPathCurrent; MatchQuality=RuntimeHookMapFileLine; HookKind=Gump; GuardList=PacketReadGuard;RangeGuard;StateGuard; Access=; Command=; Handler=; DisabledEvidence=False; RuntimeHookMap=HookType=Gump;Marker=OnResponse;Access=Internal;Risk=High;Guards=PacketReadGuard;RangeGuard;StateGuard</t>
  </si>
  <si>
    <t>HistoricalFile=Data/Scripts/Items/Books/BulletinBoards/WantedMangar.cs; Risk=Runtime; POST-BATCH-K is audit/runtime-surface triage only. No command names, gump button IDs, PlayerMobile fields, region policy, XML/config, save layout, or gameplay behavior changed.</t>
  </si>
  <si>
    <t>RB-02303</t>
  </si>
  <si>
    <t>P10-F02303</t>
  </si>
  <si>
    <t>Data/Scripts/Items/Containers/SackOfHolding.cs</t>
  </si>
  <si>
    <t>PBK-0377</t>
  </si>
  <si>
    <t>CurrentFile=Data/Scripts/Items/Containers/SackOfHolding.cs; Line=152; SourceLine=public override void OnResponse(NetState state, RelayInfo info); PathResolution=OriginalPathCurrent; MatchQuality=RuntimeHookMapFileLine; HookKind=Gump; GuardList=AccessGuard;BoundsGuard;PacketReadGuard;StateGuard; Access=; Command=; Handler=; DisabledEvidence=False; RuntimeHookMap=HookType=Gump;Marker=OnResponse;Access=Internal;Risk=High;Guards=AccessGuard;BoundsGuard;PacketReadGuard;StateGuard</t>
  </si>
  <si>
    <t>HistoricalFile=Data/Scripts/Items/Containers/SackOfHolding.cs; Risk=Runtime; POST-BATCH-K is audit/runtime-surface triage only. No command names, gump button IDs, PlayerMobile fields, region policy, XML/config, save layout, or gameplay behavior changed.</t>
  </si>
  <si>
    <t>RB-02304</t>
  </si>
  <si>
    <t>P10-F02304</t>
  </si>
  <si>
    <t>Data/Scripts/Items/Decorations/HouseSign.cs</t>
  </si>
  <si>
    <t>PBK-0378</t>
  </si>
  <si>
    <t>CurrentFile=Data/Scripts/Items/Decorations/HouseSign.cs; Line=96;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</si>
  <si>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HistoricalFile=Data/Scripts/Items/Decorations/HouseSign.cs; Risk=Runtime; POST-BATCH-K is audit/runtime-surface triage only. No command names, gump button IDs, PlayerMobile fields, region policy, XML/config, save layout, or gameplay behavior changed.</t>
  </si>
  <si>
    <t>RB-02305</t>
  </si>
  <si>
    <t>P10-F02305</t>
  </si>
  <si>
    <t>PBK-0379</t>
  </si>
  <si>
    <t>CurrentFile=Data/Scripts/Items/Decorations/HouseSign.cs; Line=150;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</si>
  <si>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RB-02306</t>
  </si>
  <si>
    <t>P10-F02306</t>
  </si>
  <si>
    <t>PBK-0380</t>
  </si>
  <si>
    <t>CurrentFile=Data/Scripts/Items/Decorations/HouseSign.cs; Line=204;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</si>
  <si>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RB-02307</t>
  </si>
  <si>
    <t>P10-F02307</t>
  </si>
  <si>
    <t>PBK-0381</t>
  </si>
  <si>
    <t>CurrentFile=Data/Scripts/Items/Decorations/HouseSign.cs; Line=258;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</si>
  <si>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RB-02308</t>
  </si>
  <si>
    <t>P10-F02308</t>
  </si>
  <si>
    <t>PBK-0382</t>
  </si>
  <si>
    <t>CurrentFile=Data/Scripts/Items/Decorations/HouseSign.cs; Line=312;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</si>
  <si>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RB-02309</t>
  </si>
  <si>
    <t>P10-F02309</t>
  </si>
  <si>
    <t>PBK-0383</t>
  </si>
  <si>
    <t>CurrentFile=Data/Scripts/Items/Decorations/HouseSign.cs; Line=366;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</si>
  <si>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RB-02310</t>
  </si>
  <si>
    <t>P10-F02310</t>
  </si>
  <si>
    <t>PBK-0384</t>
  </si>
  <si>
    <t>CurrentFile=Data/Scripts/Items/Decorations/HouseSign.cs; Line=420;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</si>
  <si>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RB-02311</t>
  </si>
  <si>
    <t>P10-F02311</t>
  </si>
  <si>
    <t>PBK-0385</t>
  </si>
  <si>
    <t>CurrentFile=Data/Scripts/Items/Decorations/HouseSign.cs; Line=474;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</si>
  <si>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RB-02312</t>
  </si>
  <si>
    <t>P10-F02312</t>
  </si>
  <si>
    <t>PBK-0386</t>
  </si>
  <si>
    <t>CurrentFile=Data/Scripts/Items/Decorations/HouseSign.cs; Line=528;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</si>
  <si>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RB-02313</t>
  </si>
  <si>
    <t>P10-F02313</t>
  </si>
  <si>
    <t>PBK-0387</t>
  </si>
  <si>
    <t>CurrentFile=Data/Scripts/Items/Decorations/HouseSign.cs; Line=582;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</si>
  <si>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RB-02314</t>
  </si>
  <si>
    <t>P10-F02314</t>
  </si>
  <si>
    <t>PBK-0388</t>
  </si>
  <si>
    <t>CurrentFile=Data/Scripts/Items/Decorations/HouseSign.cs; Line=636;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</si>
  <si>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RB-02315</t>
  </si>
  <si>
    <t>P10-F02315</t>
  </si>
  <si>
    <t>PBK-0389</t>
  </si>
  <si>
    <t>CurrentFile=Data/Scripts/Items/Decorations/HouseSign.cs; Line=690;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</si>
  <si>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RB-02316</t>
  </si>
  <si>
    <t>P10-F02316</t>
  </si>
  <si>
    <t>PBK-0390</t>
  </si>
  <si>
    <t>CurrentFile=Data/Scripts/Items/Decorations/HouseSign.cs; Line=744;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</si>
  <si>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RB-02317</t>
  </si>
  <si>
    <t>P10-F02317</t>
  </si>
  <si>
    <t>PBK-0391</t>
  </si>
  <si>
    <t>CurrentFile=Data/Scripts/Items/Decorations/HouseSign.cs; Line=798;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</si>
  <si>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RB-02318</t>
  </si>
  <si>
    <t>P10-F02318</t>
  </si>
  <si>
    <t>PBK-0392</t>
  </si>
  <si>
    <t>CurrentFile=Data/Scripts/Items/Decorations/HouseSign.cs; Line=852;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</si>
  <si>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RB-02319</t>
  </si>
  <si>
    <t>P10-F02319</t>
  </si>
  <si>
    <t>PBK-0393</t>
  </si>
  <si>
    <t>CurrentFile=Data/Scripts/Items/Decorations/HouseSign.cs; Line=906;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</si>
  <si>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RB-02320</t>
  </si>
  <si>
    <t>P10-F02320</t>
  </si>
  <si>
    <t>PBK-0394</t>
  </si>
  <si>
    <t>CurrentFile=Data/Scripts/Items/Decorations/HouseSign.cs; Line=960;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</si>
  <si>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RB-02321</t>
  </si>
  <si>
    <t>P10-F02321</t>
  </si>
  <si>
    <t>PBK-0395</t>
  </si>
  <si>
    <t>CurrentFile=Data/Scripts/Items/Decorations/HouseSign.cs; Line=1014;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</si>
  <si>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RB-02322</t>
  </si>
  <si>
    <t>P10-F02322</t>
  </si>
  <si>
    <t>PBK-0396</t>
  </si>
  <si>
    <t>CurrentFile=Data/Scripts/Items/Decorations/HouseSign.cs; Line=1068;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</si>
  <si>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RB-02323</t>
  </si>
  <si>
    <t>P10-F02323</t>
  </si>
  <si>
    <t>PBK-0397</t>
  </si>
  <si>
    <t>CurrentFile=Data/Scripts/Items/Decorations/HouseSign.cs; Line=1122;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</si>
  <si>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RB-02324</t>
  </si>
  <si>
    <t>P10-F02324</t>
  </si>
  <si>
    <t>PBK-0398</t>
  </si>
  <si>
    <t>CurrentFile=Data/Scripts/Items/Decorations/HouseSign.cs; Line=1176;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</si>
  <si>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RB-02325</t>
  </si>
  <si>
    <t>P10-F02325</t>
  </si>
  <si>
    <t>PBK-0399</t>
  </si>
  <si>
    <t>CurrentFile=Data/Scripts/Items/Decorations/HouseSign.cs; Line=1230;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</si>
  <si>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RB-02326</t>
  </si>
  <si>
    <t>P10-F02326</t>
  </si>
  <si>
    <t>PBK-0400</t>
  </si>
  <si>
    <t>CurrentFile=Data/Scripts/Items/Doors/GateMoon.cs; Line=171; SourceLine=}; PathResolution=OriginalPathCurrent; MatchQuality=CurrentSourceLine; HookKind=Gump; GuardList=BoundsGuard;MapGuard;PacketReadGuard;RangeGuard;StateGuard; Access=; Command=; Handler=; DisabledEvidence=False</t>
  </si>
  <si>
    <t>HistoricalFile=Data/Scripts/Items/Doors/GateMoon.cs; Risk=Runtime; POST-BATCH-K is audit/runtime-surface triage only. No command names, gump button IDs, PlayerMobile fields, region policy, XML/config, save layout, or gameplay behavior changed.</t>
  </si>
  <si>
    <t>RB-02327</t>
  </si>
  <si>
    <t>P10-F02327</t>
  </si>
  <si>
    <t>PBK-0401</t>
  </si>
  <si>
    <t>CurrentFile=Data/Scripts/Items/Gifts/CrystalDeeds/ECrystalBeggarStatue.cs; Line=163;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</si>
  <si>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HistoricalFile=Data/Scripts/Items/Gifts/CrystalDeeds/ECrystalBeggarStatue.cs; Risk=Runtime; POST-BATCH-K is audit/runtime-surface triage only. No command names, gump button IDs, PlayerMobile fields, region policy, XML/config, save layout, or gameplay behavior changed.</t>
  </si>
  <si>
    <t>RB-02328</t>
  </si>
  <si>
    <t>P10-F02328</t>
  </si>
  <si>
    <t>PBK-0402</t>
  </si>
  <si>
    <t>CurrentFile=Data/Scripts/Items/Gifts/CrystalDeeds/ECrystalBull.cs; Line=165;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</si>
  <si>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HistoricalFile=Data/Scripts/Items/Gifts/CrystalDeeds/ECrystalBull.cs; Risk=Runtime; POST-BATCH-K is audit/runtime-surface triage only. No command names, gump button IDs, PlayerMobile fields, region policy, XML/config, save layout, or gameplay behavior changed.</t>
  </si>
  <si>
    <t>RB-02329</t>
  </si>
  <si>
    <t>P10-F02329</t>
  </si>
  <si>
    <t>PBK-0403</t>
  </si>
  <si>
    <t>CurrentFile=Data/Scripts/Items/Gifts/CrystalDeeds/ECrystalRunnerStatue.cs; Line=163;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</si>
  <si>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HistoricalFile=Data/Scripts/Items/Gifts/CrystalDeeds/ECrystalRunnerStatue.cs; Risk=Runtime; POST-BATCH-K is audit/runtime-surface triage only. No command names, gump button IDs, PlayerMobile fields, region policy, XML/config, save layout, or gameplay behavior changed.</t>
  </si>
  <si>
    <t>RB-02330</t>
  </si>
  <si>
    <t>P10-F02330</t>
  </si>
  <si>
    <t>PBK-0404</t>
  </si>
  <si>
    <t>CurrentFile=Data/Scripts/Items/Gifts/CrystalDeeds/ECrystalSupplicantStatue.cs; Line=163;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</si>
  <si>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HistoricalFile=Data/Scripts/Items/Gifts/CrystalDeeds/ECrystalSupplicantStatue.cs; Risk=Runtime; POST-BATCH-K is audit/runtime-surface triage only. No command names, gump button IDs, PlayerMobile fields, region policy, XML/config, save layout, or gameplay behavior changed.</t>
  </si>
  <si>
    <t>RB-02331</t>
  </si>
  <si>
    <t>P10-F02331</t>
  </si>
  <si>
    <t>PBK-0405</t>
  </si>
  <si>
    <t>CurrentFile=Data/Scripts/Items/Gifts/CrystalDeeds/ECrystalTable.cs; Line=165;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</si>
  <si>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HistoricalFile=Data/Scripts/Items/Gifts/CrystalDeeds/ECrystalTable.cs; Risk=Runtime; POST-BATCH-K is audit/runtime-surface triage only. No command names, gump button IDs, PlayerMobile fields, region policy, XML/config, save layout, or gameplay behavior changed.</t>
  </si>
  <si>
    <t>RB-02332</t>
  </si>
  <si>
    <t>P10-F02332</t>
  </si>
  <si>
    <t>PBK-0406</t>
  </si>
  <si>
    <t>CurrentFile=Data/Scripts/Items/Gifts/CrystalDeeds/ECrystalThrone.cs; Line=163;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</si>
  <si>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HistoricalFile=Data/Scripts/Items/Gifts/CrystalDeeds/ECrystalThrone.cs; Risk=Runtime; POST-BATCH-K is audit/runtime-surface triage only. No command names, gump button IDs, PlayerMobile fields, region policy, XML/config, save layout, or gameplay behavior changed.</t>
  </si>
  <si>
    <t>RB-02333</t>
  </si>
  <si>
    <t>P10-F02333</t>
  </si>
  <si>
    <t>Data/Scripts/Items/Gifts/Gumps/Crystal Token Gump.cs</t>
  </si>
  <si>
    <t>PBK-0407</t>
  </si>
  <si>
    <t>CurrentFile=Data/Scripts/Items/Gifts/Gumps/Crystal Token Gump.cs; Line=54;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</si>
  <si>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HistoricalFile=Data/Scripts/Items/Gifts/Gumps/Crystal Token Gump.cs; Risk=Runtime; POST-BATCH-K is audit/runtime-surface triage only. No command names, gump button IDs, PlayerMobile fields, region policy, XML/config, save layout, or gameplay behavior changed.</t>
  </si>
  <si>
    <t>RB-02334</t>
  </si>
  <si>
    <t>P10-F02334</t>
  </si>
  <si>
    <t>Data/Scripts/Items/Gifts/Gumps/NinthAnniversaryCoinGump.cs</t>
  </si>
  <si>
    <t>PBK-0408</t>
  </si>
  <si>
    <t>CurrentFile=Data/Scripts/Items/Gifts/Gumps/NinthAnniversaryCoinGump.cs; Line=42;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</si>
  <si>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HistoricalFile=Data/Scripts/Items/Gifts/Gumps/NinthAnniversaryCoinGump.cs; Risk=Runtime; POST-BATCH-K is audit/runtime-surface triage only. No command names, gump button IDs, PlayerMobile fields, region policy, XML/config, save layout, or gameplay behavior changed.</t>
  </si>
  <si>
    <t>RB-02335</t>
  </si>
  <si>
    <t>P10-F02335</t>
  </si>
  <si>
    <t>Data/Scripts/Items/Gifts/Gumps/Shadow Token Gump.cs</t>
  </si>
  <si>
    <t>PBK-0409</t>
  </si>
  <si>
    <t>CurrentFile=Data/Scripts/Items/Gifts/Gumps/Shadow Token Gump.cs; Line=60;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</si>
  <si>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HistoricalFile=Data/Scripts/Items/Gifts/Gumps/Shadow Token Gump.cs; Risk=Runtime; POST-BATCH-K is audit/runtime-surface triage only. No command names, gump button IDs, PlayerMobile fields, region policy, XML/config, save layout, or gameplay behavior changed.</t>
  </si>
  <si>
    <t>RB-02336</t>
  </si>
  <si>
    <t>P10-F02336</t>
  </si>
  <si>
    <t>Data/Scripts/Items/Gifts/Holiday/Halloween/Rewards/HalloweenGrave1.cs</t>
  </si>
  <si>
    <t>PBK-0410</t>
  </si>
  <si>
    <t>CurrentFile=Data/Scripts/Items/Gifts/Holiday/Halloween/Rewards/HalloweenGrave1.cs;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</si>
  <si>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HistoricalFile=Data/Scripts/Items/Gifts/Holiday/Halloween/Rewards/HalloweenGrave1.cs; Risk=Runtime; POST-BATCH-K is audit/runtime-surface triage only. No command names, gump button IDs, PlayerMobile fields, region policy, XML/config, save layout, or gameplay behavior changed.</t>
  </si>
  <si>
    <t>RB-02337</t>
  </si>
  <si>
    <t>P10-F02337</t>
  </si>
  <si>
    <t>Data/Scripts/Items/Gifts/Holiday/Halloween/Rewards/HalloweenGrave2.cs</t>
  </si>
  <si>
    <t>PBK-0411</t>
  </si>
  <si>
    <t>CurrentFile=Data/Scripts/Items/Gifts/Holiday/Halloween/Rewards/HalloweenGrave2.cs;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</si>
  <si>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HistoricalFile=Data/Scripts/Items/Gifts/Holiday/Halloween/Rewards/HalloweenGrave2.cs; Risk=Runtime; POST-BATCH-K is audit/runtime-surface triage only. No command names, gump button IDs, PlayerMobile fields, region policy, XML/config, save layout, or gameplay behavior changed.</t>
  </si>
  <si>
    <t>RB-02338</t>
  </si>
  <si>
    <t>P10-F02338</t>
  </si>
  <si>
    <t>Data/Scripts/Items/Gifts/Holiday/Halloween/Rewards/HalloweenGrave3.cs</t>
  </si>
  <si>
    <t>PBK-0412</t>
  </si>
  <si>
    <t>CurrentFile=Data/Scripts/Items/Gifts/Holiday/Halloween/Rewards/HalloweenGrave3.cs;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</si>
  <si>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HistoricalFile=Data/Scripts/Items/Gifts/Holiday/Halloween/Rewards/HalloweenGrave3.cs; Risk=Runtime; POST-BATCH-K is audit/runtime-surface triage only. No command names, gump button IDs, PlayerMobile fields, region policy, XML/config, save layout, or gameplay behavior changed.</t>
  </si>
  <si>
    <t>RB-02339</t>
  </si>
  <si>
    <t>P10-F02339</t>
  </si>
  <si>
    <t>PBK-0413</t>
  </si>
  <si>
    <t>CurrentFile=Data/Scripts/Items/Gifts/ShadowDeeds/EShadowAltar.cs; Line=160;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</si>
  <si>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HistoricalFile=Data/Scripts/Items/Gifts/ShadowDeeds/EShadowAltar.cs; Risk=Runtime; POST-BATCH-K is audit/runtime-surface triage only. No command names, gump button IDs, PlayerMobile fields, region policy, XML/config, save layout, or gameplay behavior changed.</t>
  </si>
  <si>
    <t>RB-02340</t>
  </si>
  <si>
    <t>P10-F02340</t>
  </si>
  <si>
    <t>PBK-0414</t>
  </si>
  <si>
    <t>CurrentFile=Data/Scripts/Items/Gifts/ShadowDeeds/EShadowBanner.cs; Line=160; SourceLine=public override void OnResponse(NetState sender,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</si>
  <si>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HistoricalFile=Data/Scripts/Items/Gifts/ShadowDeeds/EShadowBanner.cs; Risk=Runtime; POST-BATCH-K is audit/runtime-surface triage only. No command names, gump button IDs, PlayerMobile fields, region policy, XML/config, save layout, or gameplay behavior changed.</t>
  </si>
  <si>
    <t>RB-02341</t>
  </si>
  <si>
    <t>P10-F02341</t>
  </si>
  <si>
    <t>PBK-0415</t>
  </si>
  <si>
    <t>CurrentFile=Data/Scripts/Items/Houses/TavernTable.cs; Line=499; SourceLine={; PathResolution=OriginalPathCurrent; MatchQuality=CurrentSourceLine; HookKind=Gump; GuardList=AccessGuard;BoundsGuard;MapGuard;PacketReadGuard;RangeGuard;StateGuard; Access=; Command=; Handler=; DisabledEvidence=False</t>
  </si>
  <si>
    <t>HistoricalFile=Data/Scripts/Items/Houses/TavernTable.cs; Risk=Runtime; POST-BATCH-K is audit/runtime-surface triage only. No command names, gump button IDs, PlayerMobile fields, region policy, XML/config, save layout, or gameplay behavior changed.</t>
  </si>
  <si>
    <t>RB-02342</t>
  </si>
  <si>
    <t>P10-F02342</t>
  </si>
  <si>
    <t>Data/Scripts/Items/Houses/Remodeling/Gumps/LawnSecurityGump.cs</t>
  </si>
  <si>
    <t>PBK-0416</t>
  </si>
  <si>
    <t>CurrentFile=Data/Scripts/Items/Houses/Remodeling/Gumps/LawnSecurityGump.cs; Line=75;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</si>
  <si>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HistoricalFile=Data/Scripts/Items/Houses/Remodeling/Gumps/LawnSecurityGump.cs; Risk=Runtime; POST-BATCH-K is audit/runtime-surface triage only. No command names, gump button IDs, PlayerMobile fields, region policy, XML/config, save layout, or gameplay behavior changed.</t>
  </si>
  <si>
    <t>RB-02343</t>
  </si>
  <si>
    <t>P10-F02343</t>
  </si>
  <si>
    <t>Data/Scripts/Items/Houses/Remodeling/Gumps/ShantySecurityGump.cs</t>
  </si>
  <si>
    <t>PBK-0417</t>
  </si>
  <si>
    <t>CurrentFile=Data/Scripts/Items/Houses/Remodeling/Gumps/ShantySecurityGump.cs; Line=75;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</si>
  <si>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HistoricalFile=Data/Scripts/Items/Houses/Remodeling/Gumps/ShantySecurityGump.cs; Risk=Runtime; POST-BATCH-K is audit/runtime-surface triage only. No command names, gump button IDs, PlayerMobile fields, region policy, XML/config, save layout, or gameplay behavior changed.</t>
  </si>
  <si>
    <t>RB-02344</t>
  </si>
  <si>
    <t>P10-F02344</t>
  </si>
  <si>
    <t>PBK-0418</t>
  </si>
  <si>
    <t>CurrentFile=Data/Scripts/Items/Magical/Artifacts/Minor/ColoringBook.cs; Line=539;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</si>
  <si>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HistoricalFile=Data/Scripts/Items/Magical/Artifacts/Minor/ColoringBook.cs; Risk=Runtime; POST-BATCH-K is audit/runtime-surface triage only. No command names, gump button IDs, PlayerMobile fields, region policy, XML/config, save layout, or gameplay behavior changed.</t>
  </si>
  <si>
    <t>RB-02345</t>
  </si>
  <si>
    <t>P10-F02345</t>
  </si>
  <si>
    <t>Data/Scripts/Items/Magical/Gifts/Gumps/GiftGump.cs</t>
  </si>
  <si>
    <t>PBK-0419</t>
  </si>
  <si>
    <t>CurrentFile=Data/Scripts/Items/Magical/Gifts/Gumps/GiftGump.cs; Line=492;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</si>
  <si>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HistoricalFile=Data/Scripts/Items/Magical/Gifts/Gumps/GiftGump.cs; Risk=Runtime; POST-BATCH-K is audit/runtime-surface triage only. No command names, gump button IDs, PlayerMobile fields, region policy, XML/config, save layout, or gameplay behavior changed.</t>
  </si>
  <si>
    <t>RB-02346</t>
  </si>
  <si>
    <t>P10-F02346</t>
  </si>
  <si>
    <t>Data/Scripts/Items/Magical/God/LegendaryArtifactRename.cs</t>
  </si>
  <si>
    <t>PBK-0420</t>
  </si>
  <si>
    <t>CurrentFile=Data/Scripts/Items/Magical/God/LegendaryArtifactRename.cs; Line=153; SourceLine=public override void OnResponse(Mobile from, string text); PathResolution=OriginalPathCurrent; MatchQuality=RuntimeHookMapFileLine; HookKind=Gump; GuardList=AccessGuard;NullGuard;PacketReadGuard;StateGuard; Access=; Command=; Handler=; DisabledEvidence=False; RuntimeHookMap=HookType=Gump;Marker=OnResponse;Access=Internal;Risk=High;Guards=AccessGuard;NullGuard;PacketReadGuard;StateGuard</t>
  </si>
  <si>
    <t>HistoricalFile=Data/Scripts/Items/Magical/God/LegendaryArtifactRename.cs; Risk=Runtime; POST-BATCH-K is audit/runtime-surface triage only. No command names, gump button IDs, PlayerMobile fields, region policy, XML/config, save layout, or gameplay behavior changed.</t>
  </si>
  <si>
    <t>RB-02347</t>
  </si>
  <si>
    <t>P10-F02347</t>
  </si>
  <si>
    <t>PBK-0421</t>
  </si>
  <si>
    <t>CurrentFile=Data/Scripts/Items/Magical/God/LegendsBook.cs; Line=429;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t>
  </si>
  <si>
    <t>HistoricalFile=Data/Scripts/Items/Magical/God/LegendsBook.cs; Risk=Runtime; POST-BATCH-K is audit/runtime-surface triage only. No command names, gump button IDs, PlayerMobile fields, region policy, XML/config, save layout, or gameplay behavior changed.</t>
  </si>
  <si>
    <t>RB-02348</t>
  </si>
  <si>
    <t>P10-F02348</t>
  </si>
  <si>
    <t>Data/Scripts/Items/Magical/God/Gumps/ItemExperienceGump.cs</t>
  </si>
  <si>
    <t>PBK-0422</t>
  </si>
  <si>
    <t>CurrentFile=Data/Scripts/Items/Magical/God/Gumps/ItemExperienceGump.cs; Line=539;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</si>
  <si>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HistoricalFile=Data/Scripts/Items/Magical/God/Gumps/ItemExperienceGump.cs; Risk=Runtime; POST-BATCH-K is audit/runtime-surface triage only. No command names, gump button IDs, PlayerMobile fields, region policy, XML/config, save layout, or gameplay behavior changed.</t>
  </si>
  <si>
    <t>RB-02349</t>
  </si>
  <si>
    <t>P10-F02349</t>
  </si>
  <si>
    <t>Data/Scripts/Items/Misc/HairDye.cs</t>
  </si>
  <si>
    <t>PBK-0423</t>
  </si>
  <si>
    <t>CurrentFile=Data/Scripts/Items/Misc/HairDye.cs; Line=149; SourceLine=public override void OnResponse(NetState from,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</si>
  <si>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HistoricalFile=Data/Scripts/Items/Misc/HairDye.cs; Risk=Runtime; POST-BATCH-K is audit/runtime-surface triage only. No command names, gump button IDs, PlayerMobile fields, region policy, XML/config, save layout, or gameplay behavior changed.</t>
  </si>
  <si>
    <t>RB-02350</t>
  </si>
  <si>
    <t>P10-F02350</t>
  </si>
  <si>
    <t>Data/Scripts/Items/Misc/SpecialBeardDye.cs</t>
  </si>
  <si>
    <t>PBK-0424</t>
  </si>
  <si>
    <t>CurrentFile=Data/Scripts/Items/Misc/SpecialBeardDye.cs; Line=143; SourceLine=public override void OnResponse(NetState from,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</si>
  <si>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HistoricalFile=Data/Scripts/Items/Misc/SpecialBeardDye.cs; Risk=Runtime; POST-BATCH-K is audit/runtime-surface triage only. No command names, gump button IDs, PlayerMobile fields, region policy, XML/config, save layout, or gameplay behavior changed.</t>
  </si>
  <si>
    <t>RB-02351</t>
  </si>
  <si>
    <t>P10-F02351</t>
  </si>
  <si>
    <t>Data/Scripts/Items/Misc/SpecialHairDye.cs</t>
  </si>
  <si>
    <t>PBK-0425</t>
  </si>
  <si>
    <t>CurrentFile=Data/Scripts/Items/Misc/SpecialHairDye.cs; Line=143; SourceLine=public override void OnResponse(NetState from, RelayInfo info); PathResolution=OriginalPathCurrent; MatchQuality=RuntimeHookMapFileLine; HookKind=Gump; GuardList=BoundsGuard;DeletedGuard;PacketReadGuard;RangeGuard;StateGuard; Access=; Command=; Handler=; DisabledEvidence=False; RuntimeHookMap=HookType=Gump;Marker=OnResponse;Access=Internal;Risk=High;Guards=BoundsGuard;DeletedGuard;PacketReadGuard;RangeGuard;StateGuard</t>
  </si>
  <si>
    <t>HistoricalFile=Data/Scripts/Items/Misc/SpecialHairDye.cs; Risk=Runtime; POST-BATCH-K is audit/runtime-surface triage only. No command names, gump button IDs, PlayerMobile fields, region policy, XML/config, save layout, or gameplay behavior changed.</t>
  </si>
  <si>
    <t>RB-02352</t>
  </si>
  <si>
    <t>P10-F02352</t>
  </si>
  <si>
    <t>Data/Scripts/Items/Misc/Games/DandD/DungeonMastersGuide.cs</t>
  </si>
  <si>
    <t>PBK-0426</t>
  </si>
  <si>
    <t>CurrentFile=Data/Scripts/Items/Misc/Games/DandD/DungeonMastersGuide.cs; Line=83;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t>
  </si>
  <si>
    <t>HistoricalFile=Data/Scripts/Items/Misc/Games/DandD/DungeonMastersGuide.cs; Risk=Runtime; POST-BATCH-K is audit/runtime-surface triage only. No command names, gump button IDs, PlayerMobile fields, region policy, XML/config, save layout, or gameplay behavior changed.</t>
  </si>
  <si>
    <t>RB-02353</t>
  </si>
  <si>
    <t>P10-F02353</t>
  </si>
  <si>
    <t>Data/Scripts/Items/Misc/Games/LiarsDice/Gumps/CallBluffGump.cs</t>
  </si>
  <si>
    <t>PBK-0427</t>
  </si>
  <si>
    <t>CurrentFile=Data/Scripts/Items/Misc/Games/LiarsDice/Gumps/CallBluffGump.cs; Line=115;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</si>
  <si>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HistoricalFile=Data/Scripts/Items/Misc/Games/LiarsDice/Gumps/CallBluffGump.cs; Risk=Runtime; POST-BATCH-K is audit/runtime-surface triage only. No command names, gump button IDs, PlayerMobile fields, region policy, XML/config, save layout, or gameplay behavior changed.</t>
  </si>
  <si>
    <t>RB-02354</t>
  </si>
  <si>
    <t>P10-F02354</t>
  </si>
  <si>
    <t>Data/Scripts/Items/Misc/Games/LiarsDice/Gumps/ExitDiceGump.cs</t>
  </si>
  <si>
    <t>PBK-0428</t>
  </si>
  <si>
    <t>CurrentFile=Data/Scripts/Items/Misc/Games/LiarsDice/Gumps/ExitDiceGump.cs; Line=34;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</si>
  <si>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HistoricalFile=Data/Scripts/Items/Misc/Games/LiarsDice/Gumps/ExitDiceGump.cs; Risk=Runtime; POST-BATCH-K is audit/runtime-surface triage only. No command names, gump button IDs, PlayerMobile fields, region policy, XML/config, save layout, or gameplay behavior changed.</t>
  </si>
  <si>
    <t>RB-02355</t>
  </si>
  <si>
    <t>P10-F02355</t>
  </si>
  <si>
    <t>Data/Scripts/Items/Misc/Games/LiarsDice/Gumps/GameDiceGump.cs</t>
  </si>
  <si>
    <t>PBK-0429</t>
  </si>
  <si>
    <t>CurrentFile=Data/Scripts/Items/Misc/Games/LiarsDice/Gumps/GameDiceGump.cs; Line=171;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</si>
  <si>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HistoricalFile=Data/Scripts/Items/Misc/Games/LiarsDice/Gumps/GameDiceGump.cs; Risk=Runtime; POST-BATCH-K is audit/runtime-surface triage only. No command names, gump button IDs, PlayerMobile fields, region policy, XML/config, save layout, or gameplay behavior changed.</t>
  </si>
  <si>
    <t>RB-02356</t>
  </si>
  <si>
    <t>P10-F02356</t>
  </si>
  <si>
    <t>Data/Scripts/Items/Misc/Games/LiarsDice/Gumps/NewDiceGameGump.cs</t>
  </si>
  <si>
    <t>PBK-0430</t>
  </si>
  <si>
    <t>CurrentFile=Data/Scripts/Items/Misc/Games/LiarsDice/Gumps/NewDiceGameGump.cs; Line=38;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</si>
  <si>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HistoricalFile=Data/Scripts/Items/Misc/Games/LiarsDice/Gumps/NewDiceGameGump.cs; Risk=Runtime; POST-BATCH-K is audit/runtime-surface triage only. No command names, gump button IDs, PlayerMobile fields, region policy, XML/config, save layout, or gameplay behavior changed.</t>
  </si>
  <si>
    <t>RB-02357</t>
  </si>
  <si>
    <t>P10-F02357</t>
  </si>
  <si>
    <t>Data/Scripts/Items/Misc/Games/LiarsDice/Gumps/StatusDiceGump.cs</t>
  </si>
  <si>
    <t>PBK-0431</t>
  </si>
  <si>
    <t>CurrentFile=Data/Scripts/Items/Misc/Games/LiarsDice/Gumps/StatusDiceGump.cs; Line=158;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</si>
  <si>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HistoricalFile=Data/Scripts/Items/Misc/Games/LiarsDice/Gumps/StatusDiceGump.cs; Risk=Runtime; POST-BATCH-K is audit/runtime-surface triage only. No command names, gump button IDs, PlayerMobile fields, region policy, XML/config, save layout, or gameplay behavior changed.</t>
  </si>
  <si>
    <t>RB-02358</t>
  </si>
  <si>
    <t>P10-F02358</t>
  </si>
  <si>
    <t>PBK-0432</t>
  </si>
  <si>
    <t>CurrentFile=Data/Scripts/Items/Special/DracolichSkull.cs; Line=339; SourceLine=public override void OnResponse(NetState state, RelayInfo info); PathResolution=OriginalPathCurrent; MatchQuality=RuntimeHookMapFileLine; HookKind=Gump; GuardList=AccessGuard;MapGuard;NullGuard;PacketReadGuard;StateGuard; Access=; Command=; Handler=; DisabledEvidence=False; RuntimeHookMap=HookType=Gump;Marker=OnResponse;Access=Internal;Risk=High;Guards=AccessGuard;MapGuard;NullGuard;PacketReadGuard;StateGuard</t>
  </si>
  <si>
    <t>HistoricalFile=Data/Scripts/Items/Special/DracolichSkull.cs; Risk=Runtime; POST-BATCH-K is audit/runtime-surface triage only. No command names, gump button IDs, PlayerMobile fields, region policy, XML/config, save layout, or gameplay behavior changed.</t>
  </si>
  <si>
    <t>RB-02359</t>
  </si>
  <si>
    <t>P10-F02359</t>
  </si>
  <si>
    <t>PBK-0433</t>
  </si>
  <si>
    <t>CurrentFile=Data/Scripts/Items/Special/DragonEgg.cs; Line=393; SourceLine=public override void OnResponse(NetState state, RelayInfo info); PathResolution=OriginalPathCurrent; MatchQuality=RuntimeHookMapFileLine; HookKind=Gump; GuardList=AccessGuard;MapGuard;NullGuard;PacketReadGuard;StateGuard; Access=; Command=; Handler=; DisabledEvidence=False; RuntimeHookMap=HookType=Gump;Marker=OnResponse;Access=Internal;Risk=High;Guards=AccessGuard;MapGuard;NullGuard;PacketReadGuard;StateGuard</t>
  </si>
  <si>
    <t>HistoricalFile=Data/Scripts/Items/Special/DragonEgg.cs; Risk=Runtime; POST-BATCH-K is audit/runtime-surface triage only. No command names, gump button IDs, PlayerMobile fields, region policy, XML/config, save layout, or gameplay behavior changed.</t>
  </si>
  <si>
    <t>RB-02360</t>
  </si>
  <si>
    <t>P10-F02360</t>
  </si>
  <si>
    <t>PBK-0434</t>
  </si>
  <si>
    <t>CurrentFile=Data/Scripts/Items/Special/DrakkhenEgg.cs; Line=181; SourceLine=public override void OnResponse(NetState state, RelayInfo info); PathResolution=OriginalPathCurrent; MatchQuality=RuntimeHookMapFileLine; HookKind=Gump; GuardList=AccessGuard;MapGuard;NullGuard;PacketReadGuard;StateGuard; Access=; Command=; Handler=; DisabledEvidence=False; RuntimeHookMap=HookType=Gump;Marker=OnResponse;Access=Internal;Risk=High;Guards=AccessGuard;MapGuard;NullGuard;PacketReadGuard;StateGuard</t>
  </si>
  <si>
    <t>HistoricalFile=Data/Scripts/Items/Special/DrakkhenEgg.cs; Risk=Runtime; POST-BATCH-K is audit/runtime-surface triage only. No command names, gump button IDs, PlayerMobile fields, region policy, XML/config, save layout, or gameplay behavior changed.</t>
  </si>
  <si>
    <t>RB-02361</t>
  </si>
  <si>
    <t>P10-F02361</t>
  </si>
  <si>
    <t>PBK-0435</t>
  </si>
  <si>
    <t>CurrentFile=Data/Scripts/Items/Special/DrakkhenEgg.cs; Line=364; SourceLine=public override void OnResponse(NetState state, RelayInfo info); PathResolution=OriginalPathCurrent; MatchQuality=RuntimeHookMapFileLine; HookKind=Gump; GuardList=AccessGuard;MapGuard;NullGuard;PacketReadGuard;StateGuard; Access=; Command=; Handler=; DisabledEvidence=False; RuntimeHookMap=HookType=Gump;Marker=OnResponse;Access=Internal;Risk=High;Guards=AccessGuard;MapGuard;NullGuard;PacketReadGuard;StateGuard</t>
  </si>
  <si>
    <t>RB-02362</t>
  </si>
  <si>
    <t>P10-F02362</t>
  </si>
  <si>
    <t>PBK-0436</t>
  </si>
  <si>
    <t>CurrentFile=Data/Scripts/Items/Special/HearthOfHomeFire.cs; Line=113; SourceLine=public override void OnResponse(NetState sender, RelayInfo info); PathResolution=OriginalPathCurrent; MatchQuality=RuntimeHookMapFileLine; HookKind=Gump; GuardList=BoundsGuard;DeletedGuard;PacketReadGuard;StateGuard; Access=; Command=; Handler=; DisabledEvidence=False; RuntimeHookMap=HookType=Gump;Marker=OnResponse;Access=Internal;Risk=High;Guards=BoundsGuard;DeletedGuard;PacketReadGuard;StateGuard</t>
  </si>
  <si>
    <t>HistoricalFile=Data/Scripts/Items/Special/HearthOfHomeFire.cs; Risk=Runtime; POST-BATCH-K is audit/runtime-surface triage only. No command names, gump button IDs, PlayerMobile fields, region policy, XML/config, save layout, or gameplay behavior changed.</t>
  </si>
  <si>
    <t>RB-02363</t>
  </si>
  <si>
    <t>P10-F02363</t>
  </si>
  <si>
    <t>Data/Scripts/Items/Special/Rares/TarotCards/DecoDeckOfTarot.cs</t>
  </si>
  <si>
    <t>PBK-0437</t>
  </si>
  <si>
    <t>CurrentFile=Data/Scripts/Items/Special/Rares/TarotCards/DecoDeckOfTarot.cs; Line=106; SourceLine=public override void OnResponse(NetState state, RelayInfo info); PathResolution=OriginalPathCurrent; MatchQuality=RuntimeHookMapFileLine; HookKind=Gump; GuardList=BoundsGuard;PacketReadGuard;RangeGuard;StateGuard; Access=; Command=; Handler=; DisabledEvidence=False; RuntimeHookMap=HookType=Gump;Marker=OnResponse;Access=Internal;Risk=High;Guards=BoundsGuard;PacketReadGuard;RangeGuard;StateGuard</t>
  </si>
  <si>
    <t>HistoricalFile=Data/Scripts/Items/Special/Rares/TarotCards/DecoDeckOfTarot.cs; Risk=Runtime; POST-BATCH-K is audit/runtime-surface triage only. No command names, gump button IDs, PlayerMobile fields, region policy, XML/config, save layout, or gameplay behavior changed.</t>
  </si>
  <si>
    <t>RB-02364</t>
  </si>
  <si>
    <t>P10-F02364</t>
  </si>
  <si>
    <t>PBK-0438</t>
  </si>
  <si>
    <t>CurrentFile=Data/Scripts/Items/Special/Special Scrolls/SpecialScroll.cs; Line=449; SourceLine=public override void OnResponse(NetState state, RelayInfo info); PathResolution=OriginalPathCurrent; MatchQuality=RuntimeHookMapFileLine; HookKind=Gump; GuardList=AccessGuard;BoundsGuard;DeletedGuard;PacketReadGuard;RangeGuard;StateGuard; Access=; Command=; Handler=; DisabledEvidence=False; RuntimeHookMap=HookType=Gump;Marker=OnResponse;Access=Internal;Risk=High;Guards=AccessGuard;BoundsGuard;DeletedGuard;PacketReadGuard;RangeGuard;StateGuard</t>
  </si>
  <si>
    <t>HistoricalFile=Data/Scripts/Items/Special/Special Scrolls/SpecialScroll.cs; Risk=Runtime; POST-BATCH-K is audit/runtime-surface triage only. No command names, gump button IDs, PlayerMobile fields, region policy, XML/config, save layout, or gameplay behavior changed.</t>
  </si>
  <si>
    <t>RB-02365</t>
  </si>
  <si>
    <t>P10-F02365</t>
  </si>
  <si>
    <t>PBK-0439</t>
  </si>
  <si>
    <t>CurrentFile=Data/Scripts/Items/Technology/ComputerDatabase.cs; Line=154; SourceLine=public override void OnResponse(NetState state, RelayInfo info); PathResolution=OriginalPathCurrent; MatchQuality=RuntimeHookMapFileLine; HookKind=Gump; GuardList=BoundsGuard;PacketReadGuard;RangeGuard;StateGuard; Access=; Command=; Handler=; DisabledEvidence=False; RuntimeHookMap=HookType=Gump;Marker=OnResponse;Access=Internal;Risk=High;Guards=BoundsGuard;PacketReadGuard;RangeGuard;StateGuard</t>
  </si>
  <si>
    <t>HistoricalFile=Data/Scripts/Items/Technology/ComputerDatabase.cs; Risk=Runtime; POST-BATCH-K is audit/runtime-surface triage only. No command names, gump button IDs, PlayerMobile fields, region policy, XML/config, save layout, or gameplay behavior changed.</t>
  </si>
  <si>
    <t>RB-02366</t>
  </si>
  <si>
    <t>P10-F02366</t>
  </si>
  <si>
    <t>Data/Scripts/Items/Technology/DataPad.cs</t>
  </si>
  <si>
    <t>PBK-0440</t>
  </si>
  <si>
    <t>CurrentFile=Data/Scripts/Items/Technology/DataPad.cs; Line=113; SourceLine=public override void OnResponse(NetState state, RelayInfo info); PathResolution=OriginalPathCurrent; MatchQuality=RuntimeHookMapFileLine; HookKind=Gump; GuardList=AccessGuard;BoundsGuard;MapGuard;PacketReadGuard;RangeGuard;StateGuard; Access=; Command=; Handler=; DisabledEvidence=False; RuntimeHookMap=HookType=Gump;Marker=OnResponse;Access=Internal;Risk=High;Guards=AccessGuard;BoundsGuard;MapGuard;PacketReadGuard;RangeGuard;StateGuard</t>
  </si>
  <si>
    <t>HistoricalFile=Data/Scripts/Items/Technology/DataPad.cs; Risk=Runtime; POST-BATCH-K is audit/runtime-surface triage only. No command names, gump button IDs, PlayerMobile fields, region policy, XML/config, save layout, or gameplay behavior changed.</t>
  </si>
  <si>
    <t>RB-02367</t>
  </si>
  <si>
    <t>P10-F02367</t>
  </si>
  <si>
    <t>PBK-0441</t>
  </si>
  <si>
    <t>CurrentFile=Data/Scripts/Items/Technology/MaterialLiquifier.cs; Line=439; SourceLine=public override void OnResponse(NetState state, RelayInfo info); PathResolution=OriginalPathCurrent; MatchQuality=RuntimeHookMapFileLine; HookKind=Gump; GuardList=AccessGuard;NullGuard;PacketReadGuard;RangeGuard;StateGuard; Access=; Command=; Handler=; DisabledEvidence=False; RuntimeHookMap=HookType=Gump;Marker=OnResponse;Access=Internal;Risk=High;Guards=AccessGuard;NullGuard;PacketReadGuard;RangeGuard;StateGuard</t>
  </si>
  <si>
    <t>HistoricalFile=Data/Scripts/Items/Technology/MaterialLiquifier.cs; Risk=Runtime; POST-BATCH-K is audit/runtime-surface triage only. No command names, gump button IDs, PlayerMobile fields, region policy, XML/config, save layout, or gameplay behavior changed.</t>
  </si>
  <si>
    <t>RB-02368</t>
  </si>
  <si>
    <t>P10-F02368</t>
  </si>
  <si>
    <t>PBK-0442</t>
  </si>
  <si>
    <t>CurrentFile=Data/Scripts/Items/Trades/Fishing/Misc/SOS.cs; Line=364; SourceLine=public override void OnResponse(NetState state, RelayInfo info); PathResolution=OriginalPathCurrent; MatchQuality=RuntimeHookMapFileLine; HookKind=Gump; GuardList=AccessGuard;BoundsGuard;MapGuard;PacketReadGuard;StateGuard; Access=; Command=; Handler=; DisabledEvidence=False; RuntimeHookMap=HookType=Gump;Marker=OnResponse;Access=Internal;Risk=High;Guards=AccessGuard;BoundsGuard;MapGuard;PacketReadGuard;StateGuard</t>
  </si>
  <si>
    <t>HistoricalFile=Data/Scripts/Items/Trades/Fishing/Misc/SOS.cs; Risk=Runtime; POST-BATCH-K is audit/runtime-surface triage only. No command names, gump button IDs, PlayerMobile fields, region policy, XML/config, save layout, or gameplay behavior changed.</t>
  </si>
  <si>
    <t>RB-02369</t>
  </si>
  <si>
    <t>P10-F02369</t>
  </si>
  <si>
    <t>Data/Scripts/Items/Trades/Tailor Items/Dyes.cs</t>
  </si>
  <si>
    <t>PBK-0443</t>
  </si>
  <si>
    <t>CurrentFile=Data/Scripts/Items/Trades/Tailor Items/Dyes.cs; Line=57; SourceLine=public override void OnResponse(int hue); PathResolution=OriginalPathCurrent; MatchQuality=RuntimeHookMapFileLine; HookKind=Gump; GuardList=NullGuard;PacketReadGuard;StateGuard; Access=; Command=; Handler=; DisabledEvidence=False; RuntimeHookMap=HookType=Gump;Marker=OnResponse;Access=Internal;Risk=High;Guards=NullGuard;PacketReadGuard;StateGuard</t>
  </si>
  <si>
    <t>HistoricalFile=Data/Scripts/Items/Trades/Tailor Items/Dyes.cs; Risk=Runtime; POST-BATCH-K is audit/runtime-surface triage only. No command names, gump button IDs, PlayerMobile fields, region policy, XML/config, save layout, or gameplay behavior changed.</t>
  </si>
  <si>
    <t>RB-02370</t>
  </si>
  <si>
    <t>P10-F02370</t>
  </si>
  <si>
    <t>Data/Scripts/Magic/Base/ForgetfulGem.cs</t>
  </si>
  <si>
    <t>PBK-0444</t>
  </si>
  <si>
    <t>CurrentFile=Data/Scripts/Magic/Base/ForgetfulGem.cs; Line=169; SourceLine=public override void OnResponse(NetState state, RelayInfo info); PathResolution=OriginalPathCurrent; MatchQuality=RuntimeHookMapFileLine; HookKind=Gump; GuardList=BoundsGuard;MapGuard;PacketReadGuard;StateGuard; Access=; Command=; Handler=; DisabledEvidence=False; RuntimeHookMap=HookType=Gump;Marker=OnResponse;Access=Internal;Risk=High;Guards=BoundsGuard;MapGuard;PacketReadGuard;StateGuard</t>
  </si>
  <si>
    <t>HistoricalFile=Data/Scripts/Magic/Base/ForgetfulGem.cs; Risk=Runtime; POST-BATCH-K is audit/runtime-surface triage only. No command names, gump button IDs, PlayerMobile fields, region policy, XML/config, save layout, or gameplay behavior changed.</t>
  </si>
  <si>
    <t>RB-02371</t>
  </si>
  <si>
    <t>P10-F02371</t>
  </si>
  <si>
    <t>Data/Scripts/Magic/Druidism/BookDruidBrewing.cs</t>
  </si>
  <si>
    <t>PBK-0445</t>
  </si>
  <si>
    <t>CurrentFile=Data/Scripts/Magic/Druidism/BookDruidBrewing.cs; Line=403;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t>
  </si>
  <si>
    <t>HistoricalFile=Data/Scripts/Magic/Druidism/BookDruidBrewing.cs; Risk=Runtime; POST-BATCH-K is audit/runtime-surface triage only. No command names, gump button IDs, PlayerMobile fields, region policy, XML/config, save layout, or gameplay behavior changed.</t>
  </si>
  <si>
    <t>RB-02372</t>
  </si>
  <si>
    <t>P10-F02372</t>
  </si>
  <si>
    <t>PBK-0446</t>
  </si>
  <si>
    <t>CurrentFile=Data/Scripts/Magic/Jester/BagOfTricks.cs; Line=698;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</si>
  <si>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HistoricalFile=Data/Scripts/Magic/Jester/BagOfTricks.cs; Risk=Runtime; POST-BATCH-K is audit/runtime-surface triage only. No command names, gump button IDs, PlayerMobile fields, region policy, XML/config, save layout, or gameplay behavior changed.</t>
  </si>
  <si>
    <t>RB-02373</t>
  </si>
  <si>
    <t>P10-F02373</t>
  </si>
  <si>
    <t>PBK-0447</t>
  </si>
  <si>
    <t>CurrentFile=Data/Scripts/Magic/Jester/BagOfTricks.cs; Line=770;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</si>
  <si>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RB-02374</t>
  </si>
  <si>
    <t>P10-F02374</t>
  </si>
  <si>
    <t>PBK-0448</t>
  </si>
  <si>
    <t>CurrentFile=Data/Scripts/Magic/Jester/BagOfTricks.cs; Line=806;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</si>
  <si>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RB-02375</t>
  </si>
  <si>
    <t>P10-F02375</t>
  </si>
  <si>
    <t>PBK-0449</t>
  </si>
  <si>
    <t>CurrentFile=Data/Scripts/Magic/Jester/BagOfTricks.cs; Line=842;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</si>
  <si>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RB-02376</t>
  </si>
  <si>
    <t>P10-F02376</t>
  </si>
  <si>
    <t>PBK-0450</t>
  </si>
  <si>
    <t>CurrentFile=Data/Scripts/Magic/Jester/BagOfTricks.cs; Line=878; SourceLine=public override void OnResponse(NetState state, RelayInfo info); PathResolution=OriginalPathCurrent; MatchQuality=RuntimeHookMapFileLine; HookKind=Gump; GuardList=AccessGuard;BoundsGuard;PacketReadGuard;RangeGuard;StateGuard; Access=; Command=; Handler=; DisabledEvidence=False; RuntimeHookMap=HookType=Gump;Marker=OnResponse;Access=Internal;Risk=High;Guards=AccessGuard;BoundsGuard;PacketReadGuard;RangeGuard;StateGuard</t>
  </si>
  <si>
    <t>RB-02377</t>
  </si>
  <si>
    <t>P10-F02377</t>
  </si>
  <si>
    <t>PBK-0451</t>
  </si>
  <si>
    <t>CurrentFile=Data/Scripts/Magic/Jester/BagOfTricks.cs; Line=1015; SourceLine=+ color; PathResolution=OriginalPathCurrent; MatchQuality=CurrentSourceLine; HookKind=Gump; GuardList=AccessGuard;BoundsGuard;PacketReadGuard;RangeGuard;StateGuard; Access=; Command=; Handler=; DisabledEvidence=False</t>
  </si>
  <si>
    <t>RB-02378</t>
  </si>
  <si>
    <t>P10-F02378</t>
  </si>
  <si>
    <t>Data/Scripts/Magic/Witch/BookWitchBrewing.cs</t>
  </si>
  <si>
    <t>PBK-0452</t>
  </si>
  <si>
    <t>CurrentFile=Data/Scripts/Magic/Witch/BookWitchBrewing.cs; Line=403;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t>
  </si>
  <si>
    <t>HistoricalFile=Data/Scripts/Magic/Witch/BookWitchBrewing.cs; Risk=Runtime; POST-BATCH-K is audit/runtime-surface triage only. No command names, gump button IDs, PlayerMobile fields, region policy, XML/config, save layout, or gameplay behavior changed.</t>
  </si>
  <si>
    <t>RB-02379</t>
  </si>
  <si>
    <t>P10-F02379</t>
  </si>
  <si>
    <t>PBK-0453</t>
  </si>
  <si>
    <t>CurrentFile=Data/Scripts/Mobiles/Civilized/Sherry.cs; Line=125; SourceLine=public override void OnResponse(NetState state, RelayInfo info); PathResolution=OriginalPathCurrent; MatchQuality=RuntimeHookMapFileLine; HookKind=Gump; GuardList=BoundsGuard;PacketReadGuard;RangeGuard;StateGuard; Access=; Command=; Handler=; DisabledEvidence=False; RuntimeHookMap=HookType=Gump;Marker=OnResponse;Access=Internal;Risk=High;Guards=BoundsGuard;PacketReadGuard;RangeGuard;StateGuard</t>
  </si>
  <si>
    <t>RB-02380</t>
  </si>
  <si>
    <t>P10-F02380</t>
  </si>
  <si>
    <t>Data/Scripts/Mobiles/Civilized/Vendors/Veterinarian.cs</t>
  </si>
  <si>
    <t>PBK-0454</t>
  </si>
  <si>
    <t>CurrentFile=Data/Scripts/Mobiles/Civilized/Vendors/Veterinarian.cs; Line=156; SourceLine=public override void OnResponse(NetState state, RelayInfo info); PathResolution=OriginalPathCurrent; MatchQuality=RuntimeHookMapFileLine; HookKind=Gump; GuardList=BoundsGuard;MapGuard;PacketReadGuard;StateGuard; Access=; Command=; Handler=; DisabledEvidence=False; RuntimeHookMap=HookType=Gump;Marker=OnResponse;Access=Internal;Risk=High;Guards=BoundsGuard;MapGuard;PacketReadGuard;StateGuard</t>
  </si>
  <si>
    <t>HistoricalFile=Data/Scripts/Mobiles/Civilized/Vendors/Veterinarian.cs; Risk=Runtime; POST-BATCH-K is audit/runtime-surface triage only. No command names, gump button IDs, PlayerMobile fields, region policy, XML/config, save layout, or gameplay behavior changed.</t>
  </si>
  <si>
    <t>RB-02381</t>
  </si>
  <si>
    <t>P10-F02381</t>
  </si>
  <si>
    <t>Data/Scripts/Mobiles/Elementals/Necromental.cs</t>
  </si>
  <si>
    <t>PBK-0455</t>
  </si>
  <si>
    <t>CurrentFile=Data/Scripts/Mobiles/Elementals/Necromental.cs; Line=287; SourceLine=public override void OnResponse(Mobile from, string text); PathResolution=OriginalPathCurrent; MatchQuality=RuntimeHookMapFileLine; HookKind=Gump; GuardList=NullGuard;PacketReadGuard;StateGuard; Access=; Command=; Handler=; DisabledEvidence=False; RuntimeHookMap=HookType=Gump;Marker=OnResponse;Access=Internal;Risk=High;Guards=NullGuard;PacketReadGuard;StateGuard</t>
  </si>
  <si>
    <t>HistoricalFile=Data/Scripts/Mobiles/Elementals/Necromental.cs; Risk=Runtime; POST-BATCH-K is audit/runtime-surface triage only. No command names, gump button IDs, PlayerMobile fields, region policy, XML/config, save layout, or gameplay behavior changed.</t>
  </si>
  <si>
    <t>RB-02382</t>
  </si>
  <si>
    <t>P10-F02382</t>
  </si>
  <si>
    <t>Data/Scripts/Mobiles/Unique/Exodus.cs</t>
  </si>
  <si>
    <t>PBK-0456</t>
  </si>
  <si>
    <t>CurrentFile=Data/Scripts/Mobiles/Unique/Exodus.cs; Line=435; SourceLine=public override void OnResponse(NetState state, RelayInfo info); PathResolution=OriginalPathCurrent; MatchQuality=RuntimeHookMapFileLine; HookKind=Gump; GuardList=NullGuard;PacketReadGuard;RangeGuard;StateGuard; Access=; Command=; Handler=; DisabledEvidence=False; RuntimeHookMap=HookType=Gump;Marker=OnResponse;Access=Internal;Risk=High;Guards=NullGuard;PacketReadGuard;RangeGuard;StateGuard</t>
  </si>
  <si>
    <t>HistoricalFile=Data/Scripts/Mobiles/Unique/Exodus.cs; Risk=Runtime; POST-BATCH-K is audit/runtime-surface triage only. No command names, gump button IDs, PlayerMobile fields, region policy, XML/config, save layout, or gameplay behavior changed.</t>
  </si>
  <si>
    <t>RB-02383</t>
  </si>
  <si>
    <t>P10-F02383</t>
  </si>
  <si>
    <t>Quests:SomeRandomNote.cs</t>
  </si>
  <si>
    <t>Data/Scripts/Quests/SomeRandomNote.cs</t>
  </si>
  <si>
    <t>PBK-0457</t>
  </si>
  <si>
    <t>CurrentFile=Data/Scripts/Quests/SomeRandomNote.cs; Line=1181; SourceLine=public override void OnResponse(NetState state, RelayInfo info); PathResolution=OriginalPathCurrent; MatchQuality=RuntimeHookMapFileLine; HookKind=Gump; GuardList=AccessGuard;BoundsGuard;MapGuard;PacketReadGuard;RangeGuard;StateGuard; Access=; Command=; Handler=; DisabledEvidence=False; RuntimeHookMap=HookType=Gump;Marker=OnResponse;Access=Internal;Risk=High;Guards=AccessGuard;BoundsGuard;MapGuard;PacketReadGuard;RangeGuard;StateGuard</t>
  </si>
  <si>
    <t>HistoricalFile=Data/Scripts/Quests/SomeRandomNote.cs; Risk=Runtime; POST-BATCH-K is audit/runtime-surface triage only. No command names, gump button IDs, PlayerMobile fields, region policy, XML/config, save layout, or gameplay behavior changed.</t>
  </si>
  <si>
    <t>RB-02384</t>
  </si>
  <si>
    <t>P10-F02384</t>
  </si>
  <si>
    <t>Data/Scripts/Quests/Epic/Gumps/EpicGump.cs</t>
  </si>
  <si>
    <t>PBK-0458</t>
  </si>
  <si>
    <t>CurrentFile=Data/Scripts/Quests/Epic/Gumps/EpicGump.cs; Line=604; SourceLine=public override void OnResponse(NetState sender, RelayInfo info); PathResolution=OriginalPathCurrent; MatchQuality=RuntimeHookMapFileLine; HookKind=Gump; GuardList=RangeGuard;StateGuard; Access=; Command=; Handler=; DisabledEvidence=False; RuntimeHookMap=HookType=Gump;Marker=OnResponse;Access=Internal;Risk=High;Guards=RangeGuard;StateGuard</t>
  </si>
  <si>
    <t>HistoricalFile=Data/Scripts/Quests/Epic/Gumps/EpicGump.cs; Risk=Runtime; POST-BATCH-K is audit/runtime-surface triage only. No command names, gump button IDs, PlayerMobile fields, region policy, XML/config, save layout, or gameplay behavior changed.</t>
  </si>
  <si>
    <t>RB-02385</t>
  </si>
  <si>
    <t>P10-F02385</t>
  </si>
  <si>
    <t>Data/Scripts/Quests/Museum/Gumps/MuseumBookGump.cs</t>
  </si>
  <si>
    <t>PBK-0459</t>
  </si>
  <si>
    <t>CurrentFile=Data/Scripts/Quests/Museum/Gumps/MuseumBookGump.cs; Line=454; SourceLine=public override void OnResponse(NetState state, RelayInfo info); PathResolution=OriginalPathCurrent; MatchQuality=RuntimeHookMapFileLine; HookKind=Gump; GuardList=BoundsGuard;RangeGuard;StateGuard; Access=; Command=; Handler=; DisabledEvidence=False; RuntimeHookMap=HookType=Gump;Marker=OnResponse;Access=Internal;Risk=High;Guards=BoundsGuard;RangeGuard;StateGuard</t>
  </si>
  <si>
    <t>HistoricalFile=Data/Scripts/Quests/Museum/Gumps/MuseumBookGump.cs; Risk=Runtime; POST-BATCH-K is audit/runtime-surface triage only. No command names, gump button IDs, PlayerMobile fields, region policy, XML/config, save layout, or gameplay behavior changed.</t>
  </si>
  <si>
    <t>RB-02386</t>
  </si>
  <si>
    <t>P10-F02386</t>
  </si>
  <si>
    <t>Data/Scripts/Quests/Pagan/PaganArtifact.cs</t>
  </si>
  <si>
    <t>PBK-0460</t>
  </si>
  <si>
    <t>CurrentFile=Data/Scripts/Quests/Pagan/PaganArtifact.cs; Line=367; SourceLine=public override void OnResponse(NetState sender, RelayInfo info); PathResolution=OriginalPathCurrent; MatchQuality=RuntimeHookMapFileLine; HookKind=Gump; GuardList=AccessGuard;BoundsGuard;PacketReadGuard;StateGuard; Access=; Command=; Handler=; DisabledEvidence=False; RuntimeHookMap=HookType=Gump;Marker=OnResponse;Access=Internal;Risk=High;Guards=AccessGuard;BoundsGuard;PacketReadGuard;StateGuard</t>
  </si>
  <si>
    <t>HistoricalFile=Data/Scripts/Quests/Pagan/PaganArtifact.cs; Risk=Runtime; POST-BATCH-K is audit/runtime-surface triage only. No command names, gump button IDs, PlayerMobile fields, region policy, XML/config, save layout, or gameplay behavior changed.</t>
  </si>
  <si>
    <t>RB-02387</t>
  </si>
  <si>
    <t>P10-F02387</t>
  </si>
  <si>
    <t>Quests:Prisoners</t>
  </si>
  <si>
    <t>Data/Scripts/Quests/Prisoners/Prisoner.cs</t>
  </si>
  <si>
    <t>PBK-0461</t>
  </si>
  <si>
    <t>CurrentFile=Data/Scripts/Quests/Prisoners/Prisoner.cs; Line=802; SourceLine=public override void OnResponse(NetState sender, RelayInfo info); PathResolution=OriginalPathCurrent; MatchQuality=RuntimeHookMapFileLine; HookKind=Gump; GuardList=AccessGuard;BoundsGuard;PacketReadGuard;StateGuard; Access=; Command=; Handler=; DisabledEvidence=False; RuntimeHookMap=HookType=Gump;Marker=OnResponse;Access=Internal;Risk=High;Guards=AccessGuard;BoundsGuard;PacketReadGuard;StateGuard</t>
  </si>
  <si>
    <t>HistoricalFile=Data/Scripts/Quests/Prisoners/Prisoner.cs; Risk=Runtime; POST-BATCH-K is audit/runtime-surface triage only. No command names, gump button IDs, PlayerMobile fields, region policy, XML/config, save layout, or gameplay behavior changed.</t>
  </si>
  <si>
    <t>RB-02388</t>
  </si>
  <si>
    <t>P10-F02388</t>
  </si>
  <si>
    <t>PBK-0462</t>
  </si>
  <si>
    <t>CurrentFile=Data/Scripts/Quests/Robots/RobotSchematics.cs; Line=614; SourceLine=public override void OnResponse(NetState state, RelayInfo info); PathResolution=OriginalPathCurrent; MatchQuality=RuntimeHookMapFileLine; HookKind=Gump; GuardList=AccessGuard;MapGuard;NullGuard;PacketReadGuard;StateGuard; Access=; Command=; Handler=; DisabledEvidence=False; RuntimeHookMap=HookType=Gump;Marker=OnResponse;Access=Internal;Risk=High;Guards=AccessGuard;MapGuard;NullGuard;PacketReadGuard;StateGuard</t>
  </si>
  <si>
    <t>HistoricalFile=Data/Scripts/Quests/Robots/RobotSchematics.cs; Risk=Runtime; POST-BATCH-K is audit/runtime-surface triage only. No command names, gump button IDs, PlayerMobile fields, region policy, XML/config, save layout, or gameplay behavior changed.</t>
  </si>
  <si>
    <t>RB-02389</t>
  </si>
  <si>
    <t>P10-F02389</t>
  </si>
  <si>
    <t>Data/Scripts/Quests/Summon/SummonTutorial.cs</t>
  </si>
  <si>
    <t>PBK-0463</t>
  </si>
  <si>
    <t>CurrentFile=Data/Scripts/Quests/Summon/SummonTutorial.cs; Line=133; SourceLine=public override void OnResponse(NetState state, RelayInfo info); PathResolution=OriginalPathCurrent; MatchQuality=RuntimeHookMapFileLine; HookKind=Gump; GuardList=NullGuard;StateGuard; Access=; Command=; Handler=; DisabledEvidence=False; RuntimeHookMap=HookType=Gump;Marker=OnResponse;Access=Internal;Risk=High;Guards=NullGuard;StateGuard</t>
  </si>
  <si>
    <t>HistoricalFile=Data/Scripts/Quests/Summon/SummonTutorial.cs; Risk=Runtime; POST-BATCH-K is audit/runtime-surface triage only. No command names, gump button IDs, PlayerMobile fields, region policy, XML/config, save layout, or gameplay behavior changed.</t>
  </si>
  <si>
    <t>RB-02391</t>
  </si>
  <si>
    <t>P10-F02391</t>
  </si>
  <si>
    <t>Data/Scripts/System/Commands/AddTrap.cs</t>
  </si>
  <si>
    <t>PBK-0464</t>
  </si>
  <si>
    <t>CurrentFile=Data/Scripts/System/Commands/AddTrap.cs; Line=93; SourceLine=public override void OnResponse(NetState sender, RelayInfo info); PathResolution=OriginalPathCurrent; MatchQuality=RuntimeHookMapFileLine; HookKind=Gump; GuardList=AccessGuard;BoundsGuard;MapGuard;StateGuard; Access=; Command=; Handler=; DisabledEvidence=False; RuntimeHookMap=HookType=Gump;Marker=OnResponse;Access=Internal;Risk=High;Guards=AccessGuard;BoundsGuard;MapGuard;StateGuard</t>
  </si>
  <si>
    <t>HistoricalFile=Data/Scripts/System/Commands/AddTrap.cs; Risk=Runtime; POST-BATCH-K is audit/runtime-surface triage only. No command names, gump button IDs, PlayerMobile fields, region policy, XML/config, save layout, or gameplay behavior changed.</t>
  </si>
  <si>
    <t>RB-02392</t>
  </si>
  <si>
    <t>P10-F02392</t>
  </si>
  <si>
    <t>Data/Scripts/System/Commands/Gumps/Adddoorgump.cs</t>
  </si>
  <si>
    <t>PBK-0465</t>
  </si>
  <si>
    <t>CurrentFile=Data/Scripts/System/Commands/Gumps/Adddoorgump.cs; Line=63;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</si>
  <si>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HistoricalFile=Data/Scripts/System/Commands/Gumps/Adddoorgump.cs; Risk=Runtime; POST-BATCH-K is audit/runtime-surface triage only. No command names, gump button IDs, PlayerMobile fields, region policy, XML/config, save layout, or gameplay behavior changed.</t>
  </si>
  <si>
    <t>RB-02397</t>
  </si>
  <si>
    <t>P10-F02397</t>
  </si>
  <si>
    <t>Data/Scripts/System/Commands/Player/MyChat.cs</t>
  </si>
  <si>
    <t>PBK-0470</t>
  </si>
  <si>
    <t>CurrentFile=Data/Scripts/System/Commands/Player/MyChat.cs; Line=75; SourceLine=public override void OnResponse(NetState sender, RelayInfo info); PathResolution=OriginalPathCurrent; MatchQuality=RuntimeHookMapFileLine; HookKind=Gump; GuardList=BoundsGuard;MapGuard;RangeGuard;StateGuard; Access=; Command=; Handler=; DisabledEvidence=False; RuntimeHookMap=HookType=Gump;Marker=OnResponse;Access=Internal;Risk=High;Guards=BoundsGuard;MapGuard;RangeGuard;StateGuard</t>
  </si>
  <si>
    <t>HistoricalFile=Data/Scripts/System/Commands/Player/MyChat.cs; Risk=Runtime; POST-BATCH-K is audit/runtime-surface triage only. No command names, gump button IDs, PlayerMobile fields, region policy, XML/config, save layout, or gameplay behavior changed.</t>
  </si>
  <si>
    <t>RB-02398</t>
  </si>
  <si>
    <t>P10-F02398</t>
  </si>
  <si>
    <t>PBK-0471</t>
  </si>
  <si>
    <t>CurrentFile=Data/Scripts/System/Commands/Player/MyChat.cs; Line=174; SourceLine=public override void OnResponse(NetState sender, RelayInfo info); PathResolution=OriginalPathCurrent; MatchQuality=RuntimeHookMapFileLine; HookKind=Gump; GuardList=BoundsGuard;MapGuard;RangeGuard;StateGuard; Access=; Command=; Handler=; DisabledEvidence=False; RuntimeHookMap=HookType=Gump;Marker=OnResponse;Access=Internal;Risk=High;Guards=BoundsGuard;MapGuard;RangeGuard;StateGuard</t>
  </si>
  <si>
    <t>RB-02399</t>
  </si>
  <si>
    <t>P10-F02399</t>
  </si>
  <si>
    <t>Data/Scripts/System/Commands/Player/MyLibrary.cs</t>
  </si>
  <si>
    <t>PBK-0472</t>
  </si>
  <si>
    <t>CurrentFile=Data/Scripts/System/Commands/Player/MyLibrary.cs; Line=185; SourceLine=public override void OnResponse(NetState sender, RelayInfo info); PathResolution=OriginalPathCurrent; MatchQuality=RuntimeHookMapFileLine; HookKind=Gump; GuardList=AccessGuard;BoundsGuard;MapGuard;RangeGuard;StateGuard; Access=; Command=; Handler=; DisabledEvidence=False; RuntimeHookMap=HookType=Gump;Marker=OnResponse;Access=Internal;Risk=High;Guards=AccessGuard;BoundsGuard;MapGuard;RangeGuard;StateGuard</t>
  </si>
  <si>
    <t>HistoricalFile=Data/Scripts/System/Commands/Player/MyLibrary.cs; Risk=Runtime; POST-BATCH-K is audit/runtime-surface triage only. No command names, gump button IDs, PlayerMobile fields, region policy, XML/config, save layout, or gameplay behavior changed.</t>
  </si>
  <si>
    <t>RB-02401</t>
  </si>
  <si>
    <t>P10-F02401</t>
  </si>
  <si>
    <t>Data/Scripts/System/Commands/Player/RegBar.cs</t>
  </si>
  <si>
    <t>PBK-0474</t>
  </si>
  <si>
    <t>CurrentFile=Data/Scripts/System/Commands/Player/RegBar.cs; Line=499;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</si>
  <si>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HistoricalFile=Data/Scripts/System/Commands/Player/RegBar.cs; Risk=Runtime; POST-BATCH-K is audit/runtime-surface triage only. No command names, gump button IDs, PlayerMobile fields, region policy, XML/config, save layout, or gameplay behavior changed.</t>
  </si>
  <si>
    <t>RB-02402</t>
  </si>
  <si>
    <t>P10-F02402</t>
  </si>
  <si>
    <t>PBK-0475</t>
  </si>
  <si>
    <t>CurrentFile=Data/Scripts/System/Commands/Player/RegBar.cs; Line=952;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</si>
  <si>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RB-02403</t>
  </si>
  <si>
    <t>P10-F02403</t>
  </si>
  <si>
    <t>Data/Scripts/System/Commands/Player/SkillListing.cs</t>
  </si>
  <si>
    <t>PBK-0476</t>
  </si>
  <si>
    <t>CurrentFile=Data/Scripts/System/Commands/Player/SkillListing.cs; Line=1425; SourceLine=public override void OnResponse(NetState sender, RelayInfo info); PathResolution=OriginalPathCurrent; MatchQuality=RuntimeHookMapFileLine; HookKind=Gump; GuardList=AccessGuard;StateGuard; Access=; Command=; Handler=; DisabledEvidence=False; RuntimeHookMap=HookType=Gump;Marker=OnResponse;Access=Internal;Risk=High;Guards=AccessGuard;StateGuard</t>
  </si>
  <si>
    <t>HistoricalFile=Data/Scripts/System/Commands/Player/SkillListing.cs; Risk=Runtime; POST-BATCH-K is audit/runtime-surface triage only. No command names, gump button IDs, PlayerMobile fields, region policy, XML/config, save layout, or gameplay behavior changed.</t>
  </si>
  <si>
    <t>RB-02404</t>
  </si>
  <si>
    <t>P10-F02404</t>
  </si>
  <si>
    <t>Data/Scripts/System/Commands/Player/Skills.cs</t>
  </si>
  <si>
    <t>PBK-0477</t>
  </si>
  <si>
    <t>CurrentFile=Data/Scripts/System/Commands/Player/Skills.cs; Line=231; SourceLine=public override void OnResponse(NetState sender, RelayInfo info); PathResolution=OriginalPathCurrent; MatchQuality=RuntimeHookMapFileLine; HookKind=Gump; GuardList=AccessGuard;MapGuard;RangeGuard;StateGuard; Access=; Command=; Handler=; DisabledEvidence=False; RuntimeHookMap=HookType=Gump;Marker=OnResponse;Access=Internal;Risk=High;Guards=AccessGuard;MapGuard;RangeGuard;StateGuard</t>
  </si>
  <si>
    <t>HistoricalFile=Data/Scripts/System/Commands/Player/Skills.cs; Risk=Runtime; POST-BATCH-K is audit/runtime-surface triage only. No command names, gump button IDs, PlayerMobile fields, region policy, XML/config, save layout, or gameplay behavior changed.</t>
  </si>
  <si>
    <t>RB-02406</t>
  </si>
  <si>
    <t>P10-F02406</t>
  </si>
  <si>
    <t>Data/Scripts/System/Commands/Player/WealthBar.cs</t>
  </si>
  <si>
    <t>PBK-0479</t>
  </si>
  <si>
    <t>CurrentFile=Data/Scripts/System/Commands/Player/WealthBar.cs; Line=132;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</si>
  <si>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HistoricalFile=Data/Scripts/System/Commands/Player/WealthBar.cs; Risk=Runtime; POST-BATCH-K is audit/runtime-surface triage only. No command names, gump button IDs, PlayerMobile fields, region policy, XML/config, save layout, or gameplay behavior changed.</t>
  </si>
  <si>
    <t>RB-02407</t>
  </si>
  <si>
    <t>P10-F02407</t>
  </si>
  <si>
    <t>Data/Scripts/System/Commands/Player/Gumps/SkillsGump.cs</t>
  </si>
  <si>
    <t>PBK-0480</t>
  </si>
  <si>
    <t>CurrentFile=Data/Scripts/System/Commands/Player/Gumps/SkillsGump.cs; Line=72;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</si>
  <si>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HistoricalFile=Data/Scripts/System/Commands/Player/Gumps/SkillsGump.cs; Risk=Runtime; POST-BATCH-K is audit/runtime-surface triage only. No command names, gump button IDs, PlayerMobile fields, region policy, XML/config, save layout, or gameplay behavior changed.</t>
  </si>
  <si>
    <t>RB-02408</t>
  </si>
  <si>
    <t>P10-F02408</t>
  </si>
  <si>
    <t>Data/Scripts/System/Gumps/BaseConfirmGump.cs</t>
  </si>
  <si>
    <t>PBK-0481</t>
  </si>
  <si>
    <t>CurrentFile=Data/Scripts/System/Gumps/BaseConfirmGump.cs; Line=67; SourceLine=public override void OnResponse(Server.Network.NetState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</si>
  <si>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HistoricalFile=Data/Scripts/System/Gumps/BaseConfirmGump.cs; Risk=Runtime; POST-BATCH-K is audit/runtime-surface triage only. No command names, gump button IDs, PlayerMobile fields, region policy, XML/config, save layout, or gameplay behavior changed.</t>
  </si>
  <si>
    <t>RB-02409</t>
  </si>
  <si>
    <t>P10-F02409</t>
  </si>
  <si>
    <t>Data/Scripts/System/Gumps/BaseImageTileButtonsGump.cs</t>
  </si>
  <si>
    <t>PBK-0482</t>
  </si>
  <si>
    <t>CurrentFile=Data/Scripts/System/Gumps/BaseImageTileButtonsGump.cs; Line=145;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</si>
  <si>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HistoricalFile=Data/Scripts/System/Gumps/BaseImageTileButtonsGump.cs; Risk=Runtime; POST-BATCH-K is audit/runtime-surface triage only. No command names, gump button IDs, PlayerMobile fields, region policy, XML/config, save layout, or gameplay behavior changed.</t>
  </si>
  <si>
    <t>RB-02410</t>
  </si>
  <si>
    <t>P10-F02410</t>
  </si>
  <si>
    <t>Data/Scripts/System/Gumps/ClueGump.cs</t>
  </si>
  <si>
    <t>PBK-0483</t>
  </si>
  <si>
    <t>CurrentFile=Data/Scripts/System/Gumps/ClueGump.cs; Line=50;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</si>
  <si>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HistoricalFile=Data/Scripts/System/Gumps/ClueGump.cs; Risk=Runtime; POST-BATCH-K is audit/runtime-surface triage only. No command names, gump button IDs, PlayerMobile fields, region policy, XML/config, save layout, or gameplay behavior changed.</t>
  </si>
  <si>
    <t>RB-02411</t>
  </si>
  <si>
    <t>P10-F02411</t>
  </si>
  <si>
    <t>Data/Scripts/System/Gumps/ConfirmReleaseGump.cs</t>
  </si>
  <si>
    <t>PBK-0484</t>
  </si>
  <si>
    <t>CurrentFile=Data/Scripts/System/Gumps/ConfirmReleaseGump.cs; Line=51; SourceLine=public override void OnResponse(Server.Network.NetState sender, RelayInfo info); PathResolution=OriginalPathCurrent; MatchQuality=RuntimeHookMapFileLine; HookKind=Gump; GuardList=BoundsGuard;DeletedGuard;MapGuard;RangeGuard;StateGuard; Access=; Command=; Handler=; DisabledEvidence=False; RuntimeHookMap=HookType=Gump;Marker=OnResponse;Access=Internal;Risk=High;Guards=BoundsGuard;DeletedGuard;MapGuard;RangeGuard;StateGuard</t>
  </si>
  <si>
    <t>HistoricalFile=Data/Scripts/System/Gumps/ConfirmReleaseGump.cs; Risk=Runtime; POST-BATCH-K is audit/runtime-surface triage only. No command names, gump button IDs, PlayerMobile fields, region policy, XML/config, save layout, or gameplay behavior changed.</t>
  </si>
  <si>
    <t>RB-02412</t>
  </si>
  <si>
    <t>P10-F02412</t>
  </si>
  <si>
    <t>Data/Scripts/System/Gumps/HonorSelf.cs</t>
  </si>
  <si>
    <t>PBK-0485</t>
  </si>
  <si>
    <t>CurrentFile=Data/Scripts/System/Gumps/HonorSelf.cs; Line=32;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</si>
  <si>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HistoricalFile=Data/Scripts/System/Gumps/HonorSelf.cs; Risk=Runtime; POST-BATCH-K is audit/runtime-surface triage only. No command names, gump button IDs, PlayerMobile fields, region policy, XML/config, save layout, or gameplay behavior changed.</t>
  </si>
  <si>
    <t>RB-02413</t>
  </si>
  <si>
    <t>P10-F02413</t>
  </si>
  <si>
    <t>Data/Scripts/System/Gumps/HouseTransferGump.cs</t>
  </si>
  <si>
    <t>PBK-0486</t>
  </si>
  <si>
    <t>CurrentFile=Data/Scripts/System/Gumps/HouseTransferGump.cs; Line=62; SourceLine=public override void OnResponse(NetState state, RelayInfo info); PathResolution=OriginalPathCurrent; MatchQuality=RuntimeHookMapFileLine; HookKind=Gump; GuardList=BoundsGuard;DeletedGuard;StateGuard; Access=; Command=; Handler=; DisabledEvidence=False; RuntimeHookMap=HookType=Gump;Marker=OnResponse;Access=Internal;Risk=High;Guards=BoundsGuard;DeletedGuard;StateGuard</t>
  </si>
  <si>
    <t>HistoricalFile=Data/Scripts/System/Gumps/HouseTransferGump.cs; Risk=Runtime; POST-BATCH-K is audit/runtime-surface triage only. No command names, gump button IDs, PlayerMobile fields, region policy, XML/config, save layout, or gameplay behavior changed.</t>
  </si>
  <si>
    <t>RB-02414</t>
  </si>
  <si>
    <t>P10-F02414</t>
  </si>
  <si>
    <t>Data/Scripts/System/Gumps/PolymorphGump.cs</t>
  </si>
  <si>
    <t>PBK-0487</t>
  </si>
  <si>
    <t>CurrentFile=Data/Scripts/System/Gumps/PolymorphGump.cs; Line=256;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</si>
  <si>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HistoricalFile=Data/Scripts/System/Gumps/PolymorphGump.cs; Risk=Runtime; POST-BATCH-K is audit/runtime-surface triage only. No command names, gump button IDs, PlayerMobile fields, region policy, XML/config, save layout, or gameplay behavior changed.</t>
  </si>
  <si>
    <t>RB-02415</t>
  </si>
  <si>
    <t>P10-F02415</t>
  </si>
  <si>
    <t>PBK-0488</t>
  </si>
  <si>
    <t>CurrentFile=Data/Scripts/System/Gumps/PolymorphGump.cs; Line=370;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</si>
  <si>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RB-02417</t>
  </si>
  <si>
    <t>P10-F02417</t>
  </si>
  <si>
    <t>Data/Scripts/System/Gumps/ReclaimVendorGump.cs</t>
  </si>
  <si>
    <t>PBK-0490</t>
  </si>
  <si>
    <t>CurrentFile=Data/Scripts/System/Gumps/ReclaimVendorGump.cs; Line=38; SourceLine=public override void OnResponse(NetState sender, RelayInfo info); PathResolution=OriginalPathCurrent; MatchQuality=RuntimeHookMapFileLine; HookKind=Gump; GuardList=BoundsGuard;DeletedGuard;MapGuard;StateGuard; Access=; Command=; Handler=; DisabledEvidence=False; RuntimeHookMap=HookType=Gump;Marker=OnResponse;Access=Internal;Risk=High;Guards=BoundsGuard;DeletedGuard;MapGuard;StateGuard</t>
  </si>
  <si>
    <t>HistoricalFile=Data/Scripts/System/Gumps/ReclaimVendorGump.cs; Risk=Runtime; POST-BATCH-K is audit/runtime-surface triage only. No command names, gump button IDs, PlayerMobile fields, region policy, XML/config, save layout, or gameplay behavior changed.</t>
  </si>
  <si>
    <t>RB-02418</t>
  </si>
  <si>
    <t>P10-F02418</t>
  </si>
  <si>
    <t>Data/Scripts/System/Gumps/ToTAdminGump.cs</t>
  </si>
  <si>
    <t>PBK-0491</t>
  </si>
  <si>
    <t>CurrentFile=Data/Scripts/System/Gumps/ToTAdminGump.cs; Line=129;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</si>
  <si>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HistoricalFile=Data/Scripts/System/Gumps/ToTAdminGump.cs; Risk=Runtime; POST-BATCH-K is audit/runtime-surface triage only. No command names, gump button IDs, PlayerMobile fields, region policy, XML/config, save layout, or gameplay behavior changed.</t>
  </si>
  <si>
    <t>RB-02419</t>
  </si>
  <si>
    <t>P10-F02419</t>
  </si>
  <si>
    <t>Data/Scripts/System/Gumps/Guilds/GuildCandidatesGump.cs</t>
  </si>
  <si>
    <t>PBK-0492</t>
  </si>
  <si>
    <t>CurrentFile=Data/Scripts/System/Gumps/Guilds/GuildCandidatesGump.cs; Line=21;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</si>
  <si>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HistoricalFile=Data/Scripts/System/Gumps/Guilds/GuildCandidatesGump.cs; Risk=Runtime; POST-BATCH-K is audit/runtime-surface triage only. No command names, gump button IDs, PlayerMobile fields, region policy, XML/config, save layout, or gameplay behavior changed.</t>
  </si>
  <si>
    <t>RB-02420</t>
  </si>
  <si>
    <t>P10-F02420</t>
  </si>
  <si>
    <t>Data/Scripts/System/Gumps/Guilds/GuildCharterPrompt.cs</t>
  </si>
  <si>
    <t>PBK-0493</t>
  </si>
  <si>
    <t>CurrentFile=Data/Scripts/System/Gumps/Guilds/GuildCharterPrompt.cs; Line=28;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</si>
  <si>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HistoricalFile=Data/Scripts/System/Gumps/Guilds/GuildCharterPrompt.cs; Risk=Runtime; POST-BATCH-K is audit/runtime-surface triage only. No command names, gump button IDs, PlayerMobile fields, region policy, XML/config, save layout, or gameplay behavior changed.</t>
  </si>
  <si>
    <t>RB-02421</t>
  </si>
  <si>
    <t>P10-F02421</t>
  </si>
  <si>
    <t>Data/Scripts/System/Gumps/Guilds/GuildDeclareWarPrompt.cs</t>
  </si>
  <si>
    <t>PBK-0494</t>
  </si>
  <si>
    <t>CurrentFile=Data/Scripts/System/Gumps/Guilds/GuildDeclareWarPrompt.cs; Line=30;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</si>
  <si>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HistoricalFile=Data/Scripts/System/Gumps/Guilds/GuildDeclareWarPrompt.cs; Risk=Runtime; POST-BATCH-K is audit/runtime-surface triage only. No command names, gump button IDs, PlayerMobile fields, region policy, XML/config, save layout, or gameplay behavior changed.</t>
  </si>
  <si>
    <t>RB-02422</t>
  </si>
  <si>
    <t>P10-F02422</t>
  </si>
  <si>
    <t>Data/Scripts/System/Gumps/Guilds/GuildRosterGump.cs</t>
  </si>
  <si>
    <t>PBK-0495</t>
  </si>
  <si>
    <t>CurrentFile=Data/Scripts/System/Gumps/Guilds/GuildRosterGump.cs; Line=29;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</si>
  <si>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HistoricalFile=Data/Scripts/System/Gumps/Guilds/GuildRosterGump.cs; Risk=Runtime; POST-BATCH-K is audit/runtime-surface triage only. No command names, gump button IDs, PlayerMobile fields, region policy, XML/config, save layout, or gameplay behavior changed.</t>
  </si>
  <si>
    <t>RB-02423</t>
  </si>
  <si>
    <t>P10-F02423</t>
  </si>
  <si>
    <t>Data/Scripts/System/Gumps/Guilds/GuildTitlePrompt.cs</t>
  </si>
  <si>
    <t>PBK-0496</t>
  </si>
  <si>
    <t>CurrentFile=Data/Scripts/System/Gumps/Guilds/GuildTitlePrompt.cs; Line=32; SourceLine=public override void OnResponse(Mobile from, string text); PathResolution=OriginalPathCurrent; MatchQuality=RuntimeHookMapFileLine; HookKind=Gump; GuardList=BoundsGuard;DeletedGuard;StateGuard; Access=; Command=; Handler=; DisabledEvidence=False; RuntimeHookMap=HookType=Gump;Marker=OnResponse;Access=Internal;Risk=High;Guards=BoundsGuard;DeletedGuard;StateGuard</t>
  </si>
  <si>
    <t>HistoricalFile=Data/Scripts/System/Gumps/Guilds/GuildTitlePrompt.cs; Risk=Runtime; POST-BATCH-K is audit/runtime-surface triage only. No command names, gump button IDs, PlayerMobile fields, region policy, XML/config, save layout, or gameplay behavior changed.</t>
  </si>
  <si>
    <t>RB-02424</t>
  </si>
  <si>
    <t>P10-F02424</t>
  </si>
  <si>
    <t>Data/Scripts/System/Gumps/Guilds/GuildWarAdminGump.cs</t>
  </si>
  <si>
    <t>PBK-0497</t>
  </si>
  <si>
    <t>CurrentFile=Data/Scripts/System/Gumps/Guilds/GuildWarAdminGump.cs; Line=70;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</si>
  <si>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HistoricalFile=Data/Scripts/System/Gumps/Guilds/GuildWarAdminGump.cs; Risk=Runtime; POST-BATCH-K is audit/runtime-surface triage only. No command names, gump button IDs, PlayerMobile fields, region policy, XML/config, save layout, or gameplay behavior changed.</t>
  </si>
  <si>
    <t>RB-02425</t>
  </si>
  <si>
    <t>P10-F02425</t>
  </si>
  <si>
    <t>Data/Scripts/System/Gumps/Guilds/GuildWarGump.cs</t>
  </si>
  <si>
    <t>PBK-0498</t>
  </si>
  <si>
    <t>CurrentFile=Data/Scripts/System/Gumps/Guilds/GuildWarGump.cs; Line=105;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</si>
  <si>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HistoricalFile=Data/Scripts/System/Gumps/Guilds/GuildWarGump.cs; Risk=Runtime; POST-BATCH-K is audit/runtime-surface triage only. No command names, gump button IDs, PlayerMobile fields, region policy, XML/config, save layout, or gameplay behavior changed.</t>
  </si>
  <si>
    <t>RB-02426</t>
  </si>
  <si>
    <t>P10-F02426</t>
  </si>
  <si>
    <t>Data/Scripts/System/Gumps/Guilds/GuildWebsitePrompt.cs</t>
  </si>
  <si>
    <t>PBK-0499</t>
  </si>
  <si>
    <t>CurrentFile=Data/Scripts/System/Gumps/Guilds/GuildWebsitePrompt.cs; Line=28;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</si>
  <si>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HistoricalFile=Data/Scripts/System/Gumps/Guilds/GuildWebsitePrompt.cs; Risk=Runtime; POST-BATCH-K is audit/runtime-surface triage only. No command names, gump button IDs, PlayerMobile fields, region policy, XML/config, save layout, or gameplay behavior changed.</t>
  </si>
  <si>
    <t>RB-02427</t>
  </si>
  <si>
    <t>P10-F02427</t>
  </si>
  <si>
    <t>Data/Scripts/System/Gumps/Properties/SetListOptionGump.cs</t>
  </si>
  <si>
    <t>PBK-0500</t>
  </si>
  <si>
    <t>CurrentFile=Data/Scripts/System/Gumps/Properties/SetListOptionGump.cs; Line=220;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</si>
  <si>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HistoricalFile=Data/Scripts/System/Gumps/Properties/SetListOptionGump.cs; Risk=Runtime; POST-BATCH-K is audit/runtime-surface triage only. No command names, gump button IDs, PlayerMobile fields, region policy, XML/config, save layout, or gameplay behavior changed.</t>
  </si>
  <si>
    <t>RB-02429</t>
  </si>
  <si>
    <t>P10-F02429</t>
  </si>
  <si>
    <t>Data/Scripts/System/Help/ServerSettings.cs</t>
  </si>
  <si>
    <t>PBK-0502</t>
  </si>
  <si>
    <t>CurrentFile=Data/Scripts/System/Help/ServerSettings.cs; Line=92;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</si>
  <si>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HistoricalFile=Data/Scripts/System/Help/ServerSettings.cs; Risk=Runtime; POST-BATCH-K is audit/runtime-surface triage only. No command names, gump button IDs, PlayerMobile fields, region policy, XML/config, save layout, or gameplay behavior changed.</t>
  </si>
  <si>
    <t>RB-02430</t>
  </si>
  <si>
    <t>P10-F02430</t>
  </si>
  <si>
    <t>PBK-0503</t>
  </si>
  <si>
    <t>CurrentFile=Data/Scripts/System/Help/ServerSettings.cs; Line=779;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</si>
  <si>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RB-02431</t>
  </si>
  <si>
    <t>P10-F02431</t>
  </si>
  <si>
    <t>Data/Scripts/System/Help/Gumps/PageResponseGump.cs</t>
  </si>
  <si>
    <t>PBK-0504</t>
  </si>
  <si>
    <t>CurrentFile=Data/Scripts/System/Help/Gumps/PageResponseGump.cs; Line=43;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</si>
  <si>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HistoricalFile=Data/Scripts/System/Help/Gumps/PageResponseGump.cs; Risk=Runtime; POST-BATCH-K is audit/runtime-surface triage only. No command names, gump button IDs, PlayerMobile fields, region policy, XML/config, save layout, or gameplay behavior changed.</t>
  </si>
  <si>
    <t>RB-02432</t>
  </si>
  <si>
    <t>P10-F02432</t>
  </si>
  <si>
    <t>Data/Scripts/System/Help/Gumps/SpeechLogGump.cs</t>
  </si>
  <si>
    <t>PBK-0505</t>
  </si>
  <si>
    <t>CurrentFile=Data/Scripts/System/Help/Gumps/SpeechLogGump.cs; Line=108;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</si>
  <si>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HistoricalFile=Data/Scripts/System/Help/Gumps/SpeechLogGump.cs; Risk=Runtime; POST-BATCH-K is audit/runtime-surface triage only. No command names, gump button IDs, PlayerMobile fields, region policy, XML/config, save layout, or gameplay behavior changed.</t>
  </si>
  <si>
    <t>RB-02433</t>
  </si>
  <si>
    <t>P10-F02433</t>
  </si>
  <si>
    <t>Data/Scripts/System/Misc/Talk.cs</t>
  </si>
  <si>
    <t>PBK-0506</t>
  </si>
  <si>
    <t>CurrentFile=Data/Scripts/System/Misc/Talk.cs; Line=52; SourceLine=public override void OnResponse(NetState sender, RelayInfo info); PathResolution=OriginalPathCurrent; MatchQuality=RuntimeHookMapFileLine; HookKind=Gump; GuardList=BoundsGuard;MapGuard;RangeGuard;StateGuard; Access=; Command=; Handler=; DisabledEvidence=False; RuntimeHookMap=HookType=Gump;Marker=OnResponse;Access=Internal;Risk=High;Guards=BoundsGuard;MapGuard;RangeGuard;StateGuard</t>
  </si>
  <si>
    <t>HistoricalFile=Data/Scripts/System/Misc/Talk.cs; Risk=Runtime; POST-BATCH-K is audit/runtime-surface triage only. No command names, gump button IDs, PlayerMobile fields, region policy, XML/config, save layout, or gameplay behavior changed.</t>
  </si>
  <si>
    <t>RB-02434</t>
  </si>
  <si>
    <t>P10-F02434</t>
  </si>
  <si>
    <t>Data/Scripts/System/Skills/Weapon Abilities/SpecialAttackCommands.cs</t>
  </si>
  <si>
    <t>PBK-0507</t>
  </si>
  <si>
    <t>CurrentFile=Data/Scripts/System/Skills/Weapon Abilities/SpecialAttackCommands.cs; Line=74; SourceLine=gump.OnResponse(from.NetState, new RelayInfo(1, null, null));; PathResolution=OriginalPathCurrent; MatchQuality=RuntimeHookMapFileLine; HookKind=Gump; GuardList=AccessGuard;NullGuard;StateGuard; Access=; Command=; Handler=; DisabledEvidence=False; RuntimeHookMap=HookType=Gump;Marker=OnResponse;Access=Internal;Risk=High;Guards=AccessGuard;NullGuard;StateGuard</t>
  </si>
  <si>
    <t>HistoricalFile=Data/Scripts/System/Skills/Weapon Abilities/SpecialAttackCommands.cs; Risk=Runtime; POST-BATCH-K is audit/runtime-surface triage only. No command names, gump button IDs, PlayerMobile fields, region policy, XML/config, save layout, or gameplay behavior changed.</t>
  </si>
  <si>
    <t>RB-02435</t>
  </si>
  <si>
    <t>P10-F02435</t>
  </si>
  <si>
    <t>PBK-0508</t>
  </si>
  <si>
    <t>CurrentFile=Data/Scripts/System/Skills/Weapon Abilities/SpecialAttackCommands.cs; Line=88; SourceLine=gump.OnResponse(from.NetState, new RelayInfo(2, null, null));; PathResolution=OriginalPathCurrent; MatchQuality=RuntimeHookMapFileLine; HookKind=Gump; GuardList=AccessGuard;NullGuard;StateGuard; Access=; Command=; Handler=; DisabledEvidence=False; RuntimeHookMap=HookType=Gump;Marker=OnResponse;Access=Internal;Risk=High;Guards=AccessGuard;NullGuard;StateGuard</t>
  </si>
  <si>
    <t>RB-02436</t>
  </si>
  <si>
    <t>P10-F02436</t>
  </si>
  <si>
    <t>PBK-0509</t>
  </si>
  <si>
    <t>CurrentFile=Data/Scripts/System/Skills/Weapon Abilities/SpecialAttackCommands.cs; Line=102; SourceLine=gump.OnResponse(from.NetState, new RelayInfo(3, null, null));; PathResolution=OriginalPathCurrent; MatchQuality=RuntimeHookMapFileLine; HookKind=Gump; GuardList=AccessGuard;NullGuard;StateGuard; Access=; Command=; Handler=; DisabledEvidence=False; RuntimeHookMap=HookType=Gump;Marker=OnResponse;Access=Internal;Risk=High;Guards=AccessGuard;NullGuard;StateGuard</t>
  </si>
  <si>
    <t>RB-02437</t>
  </si>
  <si>
    <t>P10-F02437</t>
  </si>
  <si>
    <t>PBK-0510</t>
  </si>
  <si>
    <t>CurrentFile=Data/Scripts/System/Skills/Weapon Abilities/SpecialAttackCommands.cs; Line=116; SourceLine=gump.OnResponse(from.NetState, new RelayInfo(4, null, null));; PathResolution=OriginalPathCurrent; MatchQuality=RuntimeHookMapFileLine; HookKind=Gump; GuardList=AccessGuard;NullGuard;StateGuard; Access=; Command=; Handler=; DisabledEvidence=False; RuntimeHookMap=HookType=Gump;Marker=OnResponse;Access=Internal;Risk=High;Guards=AccessGuard;NullGuard;StateGuard</t>
  </si>
  <si>
    <t>RB-02438</t>
  </si>
  <si>
    <t>P10-F02438</t>
  </si>
  <si>
    <t>PBK-0511</t>
  </si>
  <si>
    <t>CurrentFile=Data/Scripts/System/Skills/Weapon Abilities/SpecialAttackCommands.cs; Line=130; SourceLine=gump.OnResponse(from.NetState, new RelayInfo(5, null, null));; PathResolution=OriginalPathCurrent; MatchQuality=RuntimeHookMapFileLine; HookKind=Gump; GuardList=AccessGuard;NullGuard;StateGuard; Access=; Command=; Handler=; DisabledEvidence=False; RuntimeHookMap=HookType=Gump;Marker=OnResponse;Access=Internal;Risk=High;Guards=AccessGuard;NullGuard;StateGuard</t>
  </si>
  <si>
    <t>RB-02439</t>
  </si>
  <si>
    <t>P10-F02439</t>
  </si>
  <si>
    <t>Data/Scripts/System/Skills/Weapon Abilities/Gumps/SpecialAttackGump.cs</t>
  </si>
  <si>
    <t>PBK-0512</t>
  </si>
  <si>
    <t>CurrentFile=Data/Scripts/System/Skills/Weapon Abilities/Gumps/SpecialAttackGump.cs; Line=624; SourceLine=public override void OnResponse(NetState sender, RelayInfo info); PathResolution=OriginalPathCurrent; MatchQuality=RuntimeHookMapFileLine; HookKind=Gump; GuardList=AccessGuard;BoundsGuard;StateGuard; Access=; Command=; Handler=; DisabledEvidence=False; RuntimeHookMap=HookType=Gump;Marker=OnResponse;Access=Internal;Risk=High;Guards=AccessGuard;BoundsGuard;StateGuard</t>
  </si>
  <si>
    <t>HistoricalFile=Data/Scripts/System/Skills/Weapon Abilities/Gumps/SpecialAttackGump.cs; Risk=Runtime; POST-BATCH-K is audit/runtime-surface triage only. No command names, gump button IDs, PlayerMobile fields, region policy, XML/config, save layout, or gameplay behavior changed.</t>
  </si>
  <si>
    <t>RB-02440</t>
  </si>
  <si>
    <t>P10-F02440</t>
  </si>
  <si>
    <t>Data/Scripts/Trades/Apiculture/Items/SmallWaxPot.cs</t>
  </si>
  <si>
    <t>PBK-0513</t>
  </si>
  <si>
    <t>CurrentFile=Data/Scripts/Trades/Apiculture/Items/SmallWaxPot.cs; Line=292; SourceLine=public override void OnResponse(NetState sender, RelayInfo info); PathResolution=OriginalPathCurrent; MatchQuality=RuntimeHookMapFileLine; HookKind=Gump; GuardList=AccessGuard;BoundsGuard;DeletedGuard;PacketReadGuard;RangeGuard;StateGuard; Access=; Command=; Handler=; DisabledEvidence=False; RuntimeHookMap=HookType=Gump;Marker=OnResponse;Access=Internal;Risk=High;Guards=AccessGuard;BoundsGuard;DeletedGuard;PacketReadGuard;RangeGuard;StateGuard</t>
  </si>
  <si>
    <t>HistoricalFile=Data/Scripts/Trades/Apiculture/Items/SmallWaxPot.cs; Risk=Runtime; POST-BATCH-K is audit/runtime-surface triage only. No command names, gump button IDs, PlayerMobile fields, region policy, XML/config, save layout, or gameplay behavior changed.</t>
  </si>
  <si>
    <t>RB-02446</t>
  </si>
  <si>
    <t>P10-F02446</t>
  </si>
  <si>
    <t>Data/Scripts/Trades/Gardening/Gumps/EmptyTheBowlGump.cs</t>
  </si>
  <si>
    <t>PBK-0514</t>
  </si>
  <si>
    <t>CurrentFile=Data/Scripts/Trades/Gardening/Gumps/EmptyTheBowlGump.cs; Line=55; SourceLine=public override void OnResponse(NetState sender, RelayInfo info); PathResolution=OriginalPathCurrent; MatchQuality=RuntimeHookMapFileLine; HookKind=Gump; GuardList=BoundsGuard;DeletedGuard;RangeGuard;StateGuard; Access=; Command=; Handler=; DisabledEvidence=False; RuntimeHookMap=HookType=Gump;Marker=OnResponse;Access=Internal;Risk=High;Guards=BoundsGuard;DeletedGuard;RangeGuard;StateGuard</t>
  </si>
  <si>
    <t>HistoricalFile=Data/Scripts/Trades/Gardening/Gumps/EmptyTheBowlGump.cs; Risk=Runtime; POST-BATCH-K is audit/runtime-surface triage only. No command names, gump button IDs, PlayerMobile fields, region policy, XML/config, save layout, or gameplay behavior changed.</t>
  </si>
  <si>
    <t>RB-02447</t>
  </si>
  <si>
    <t>P10-F02447</t>
  </si>
  <si>
    <t>Data/Scripts/Trades/Gardening/Gumps/SetToDecorativeGump.cs</t>
  </si>
  <si>
    <t>PBK-0515</t>
  </si>
  <si>
    <t>CurrentFile=Data/Scripts/Trades/Gardening/Gumps/SetToDecorativeGump.cs; Line=41; SourceLine=public override void OnResponse(NetState sender, RelayInfo info); PathResolution=OriginalPathCurrent; MatchQuality=RuntimeHookMapFileLine; HookKind=Gump; GuardList=BoundsGuard;DeletedGuard;RangeGuard;StateGuard; Access=; Command=; Handler=; DisabledEvidence=False; RuntimeHookMap=HookType=Gump;Marker=OnResponse;Access=Internal;Risk=High;Guards=BoundsGuard;DeletedGuard;RangeGuard;StateGuard</t>
  </si>
  <si>
    <t>HistoricalFile=Data/Scripts/Trades/Gardening/Gumps/SetToDecorativeGump.cs; Risk=Runtime; POST-BATCH-K is audit/runtime-surface triage only. No command names, gump button IDs, PlayerMobile fields, region policy, XML/config, save layout, or gameplay behavior changed.</t>
  </si>
  <si>
    <t>RB-02448</t>
  </si>
  <si>
    <t>P10-F02448</t>
  </si>
  <si>
    <t>Data/Scripts/Trades/Guild/Gumps/EnhancementGump.cs</t>
  </si>
  <si>
    <t>PBK-0516</t>
  </si>
  <si>
    <t>CurrentFile=Data/Scripts/Trades/Guild/Gumps/EnhancementGump.cs; Line=79; SourceLine=public override void OnResponse(Network.NetState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t>
  </si>
  <si>
    <t>HistoricalFile=Data/Scripts/Trades/Guild/Gumps/EnhancementGump.cs; Risk=Runtime; POST-BATCH-K is audit/runtime-surface triage only. No command names, gump button IDs, PlayerMobile fields, region policy, XML/config, save layout, or gameplay behavior changed.</t>
  </si>
  <si>
    <t>RB-02449</t>
  </si>
  <si>
    <t>P10-F02449</t>
  </si>
  <si>
    <t>PBK-0517</t>
  </si>
  <si>
    <t>CurrentFile=Data/Scripts/Trades/Stone/BaseStatue.cs; Line=137; SourceLine=public override void OnResponse(Mobile from, string text); PathResolution=OriginalPathCurrent; MatchQuality=RuntimeHookMapFileLine; HookKind=Gump; GuardList=AccessGuard;NullGuard;PacketReadGuard;StateGuard; Access=; Command=; Handler=; DisabledEvidence=False; RuntimeHookMap=HookType=Gump;Marker=OnResponse;Access=Internal;Risk=High;Guards=AccessGuard;NullGuard;PacketReadGuard;StateGuard</t>
  </si>
  <si>
    <t>HistoricalFile=Data/Scripts/Trades/Stone/BaseStatue.cs; Risk=Runtime; POST-BATCH-K is audit/runtime-surface triage only. No command names, gump button IDs, PlayerMobile fields, region policy, XML/config, save layout, or gameplay behavior changed.</t>
  </si>
  <si>
    <t>RB-02452</t>
  </si>
  <si>
    <t>P10-F02452</t>
  </si>
  <si>
    <t>Data/System/Source/Menus/IMenu.cs</t>
  </si>
  <si>
    <t>PBK-0520</t>
  </si>
  <si>
    <t>CurrentFile=Data/System/Source/Menus/IMenu.cs; Line=32; SourceLine=void OnResponse(NetState state, int index);; PathResolution=OriginalPathCurrent; MatchQuality=RuntimeHookMapFileLine; HookKind=Gump; GuardList=BoundsGuard;StateGuard; Access=; Command=; Handler=; DisabledEvidence=False; RuntimeHookMap=HookType=Gump;Marker=OnResponse;Access=Internal;Risk=High;Guards=BoundsGuard;StateGuard</t>
  </si>
  <si>
    <t>HistoricalFile=Data/System/Source/Menus/IMenu.cs; Risk=Runtime; POST-BATCH-K is audit/runtime-surface triage only. No command names, gump button IDs, PlayerMobile fields, region policy, XML/config, save layout, or gameplay behavior changed.</t>
  </si>
  <si>
    <t>RB-02453</t>
  </si>
  <si>
    <t>P10-F02453</t>
  </si>
  <si>
    <t>Data/System/Source/Menus/ItemListMenu.cs</t>
  </si>
  <si>
    <t>PBK-0521</t>
  </si>
  <si>
    <t>CurrentFile=Data/System/Source/Menus/ItemListMenu.cs; Line=103; SourceLine=public virtual void OnResponse(NetState state, int index) { }; PathResolution=OriginalPathCurrent; MatchQuality=RuntimeHookMapFileLine; HookKind=Gump; GuardList=BoundsGuard;StateGuard; Access=; Command=; Handler=; DisabledEvidence=False; RuntimeHookMap=HookType=Gump;Marker=OnResponse;Access=Internal;Risk=High;Guards=BoundsGuard;StateGuard</t>
  </si>
  <si>
    <t>HistoricalFile=Data/System/Source/Menus/ItemListMenu.cs; Risk=Runtime; POST-BATCH-K is audit/runtime-surface triage only. No command names, gump button IDs, PlayerMobile fields, region policy, XML/config, save layout, or gameplay behavior changed.</t>
  </si>
  <si>
    <t>RB-02454</t>
  </si>
  <si>
    <t>P10-F02454</t>
  </si>
  <si>
    <t>Data/System/Source/Menus/QuestionMenu.cs</t>
  </si>
  <si>
    <t>PBK-0522</t>
  </si>
  <si>
    <t>CurrentFile=Data/System/Source/Menus/QuestionMenu.cs; Line=69; SourceLine=public virtual void OnResponse(NetState state, int index) { }; PathResolution=OriginalPathCurrent; MatchQuality=RuntimeHookMapFileLine; HookKind=Gump; GuardList=BoundsGuard;StateGuard; Access=; Command=; Handler=; DisabledEvidence=False; RuntimeHookMap=HookType=Gump;Marker=OnResponse;Access=Internal;Risk=High;Guards=BoundsGuard;StateGuard</t>
  </si>
  <si>
    <t>HistoricalFile=Data/System/Source/Menus/QuestionMenu.cs; Risk=Runtime; POST-BATCH-K is audit/runtime-surface triage only. No command names, gump button IDs, PlayerMobile fields, region policy, XML/config, save layout, or gameplay behavior changed.</t>
  </si>
  <si>
    <t>RB-02455</t>
  </si>
  <si>
    <t>P10-F02455</t>
  </si>
  <si>
    <t>Data/Scripts/Custom/Government System/Regions/CityMarketRegion.cs</t>
  </si>
  <si>
    <t>PBK-0523</t>
  </si>
  <si>
    <t>CurrentFile=Data/Scripts/Custom/Government System/Regions/CityMarketRegion.cs; Line=69; SourceLine=/*public override void OnExit( Mobile m ); PathResolution=OriginalPathCurrent; MatchQuality=RuntimeHookMapFileLine; HookKind=Region; GuardList=MapGuard;StateGuard; Access=; Command=; Handler=; DisabledEvidence=True; RuntimeHookMap=HookType=Region;Marker=RegionOverride;Access=GlobalOrInternal;Risk=High;Guards=MapGuard;StateGuard</t>
  </si>
  <si>
    <t>HistoricalFile=Data/Scripts/Custom/Government System/Regions/CityMarketRegion.cs; Risk=Runtime; POST-BATCH-K is audit/runtime-surface triage only. No command names, gump button IDs, PlayerMobile fields, region policy, XML/config, save layout, or gameplay behavior changed.</t>
  </si>
  <si>
    <t>RB-02456</t>
  </si>
  <si>
    <t>P10-F02456</t>
  </si>
  <si>
    <t>PBK-0524</t>
  </si>
  <si>
    <t>CurrentFile=Data/Scripts/Custom/Government System/Regions/CityMarketRegion.cs; Line=75; SourceLine=public override void OnEnter( Mobile m ); PathResolution=OriginalPathCurrent; MatchQuality=RuntimeHookMapFileLine; HookKind=Region; GuardList=MapGuard;StateGuard; Access=; Command=; Handler=; DisabledEvidence=False; RuntimeHookMap=HookType=Region;Marker=RegionOverride;Access=GlobalOrInternal;Risk=High;Guards=MapGuard;StateGuard</t>
  </si>
  <si>
    <t>RB-02457</t>
  </si>
  <si>
    <t>P10-F02457</t>
  </si>
  <si>
    <t>PBK-0525</t>
  </si>
  <si>
    <t>CurrentFile=Data/Scripts/Custom/Government System/Regions/PlayerCityRegion.cs; Line=270; SourceLine=public override void OnExit(Mobile m); PathResolution=OriginalPathCurrent; MatchQuality=RuntimeHookMapFileLine; HookKind=Region; GuardList=AccessGuard;BoundsGuard;MapGuard;NullGuard;StateGuard; Access=; Command=; Handler=; DisabledEvidence=False; RuntimeHookMap=HookType=Region;Marker=RegionOverride;Access=GlobalOrInternal;Risk=High;Guards=AccessGuard;BoundsGuard;MapGuard;NullGuard;StateGuard</t>
  </si>
  <si>
    <t>RB-02458</t>
  </si>
  <si>
    <t>P10-F02458</t>
  </si>
  <si>
    <t>PBK-0526</t>
  </si>
  <si>
    <t>CurrentFile=Data/Scripts/Custom/Government System/Regions/PlayerCityRegion.cs; Line=328; SourceLine=public override void OnEnter(Mobile m); PathResolution=OriginalPathCurrent; MatchQuality=RuntimeHookMapFileLine; HookKind=Region; GuardList=AccessGuard;BoundsGuard;MapGuard;NullGuard;StateGuard; Access=; Command=; Handler=; DisabledEvidence=False; RuntimeHookMap=HookType=Region;Marker=RegionOverride;Access=GlobalOrInternal;Risk=High;Guards=AccessGuard;BoundsGuard;MapGuard;NullGuard;StateGuard</t>
  </si>
  <si>
    <t>RB-02459</t>
  </si>
  <si>
    <t>P10-F02459</t>
  </si>
  <si>
    <t>PBK-0527</t>
  </si>
  <si>
    <t>CurrentFile=Data/Scripts/Custom/Government System/Regions/PlayerCityRegion.cs; Line=385; SourceLine=public override bool AllowHarmful(Mobile from, Mobile target); PathResolution=OriginalPathCurrent; MatchQuality=RuntimeHookMapFileLine; HookKind=Region; GuardList=AccessGuard;BoundsGuard;MapGuard;NullGuard;StateGuard; Access=; Command=; Handler=; DisabledEvidence=False; RuntimeHookMap=HookType=Region;Marker=RegionOverride;Access=GlobalOrInternal;Risk=High;Guards=AccessGuard;BoundsGuard;MapGuard;NullGuard;StateGuard</t>
  </si>
  <si>
    <t>RB-02460</t>
  </si>
  <si>
    <t>P10-F02460</t>
  </si>
  <si>
    <t>Data/Scripts/Custom/XMLSpawner/XmlPoints PvP/ChallengeGameRegion.cs</t>
  </si>
  <si>
    <t>PBK-0528</t>
  </si>
  <si>
    <t>CurrentFile=Data/Scripts/Custom/XMLSpawner/XmlPoints PvP/ChallengeGameRegion.cs; Line=24; SourceLine=public override bool AllowHarmful(Mobile from, Mobile target); PathResolution=OriginalPathCurrent; MatchQuality=RuntimeHookMapFileLine; HookKind=Region; GuardList=AccessGuard;DeletedGuard;MapGuard;NullGuard;StateGuard; Access=; Command=; Handler=; DisabledEvidence=False; RuntimeHookMap=HookType=Region;Marker=RegionOverride;Access=GlobalOrInternal;Risk=High;Guards=AccessGuard;DeletedGuard;MapGuard;NullGuard;StateGuard</t>
  </si>
  <si>
    <t>HistoricalFile=Data/Scripts/Custom/XMLSpawner/XmlPoints PvP/ChallengeGameRegion.cs; Risk=Runtime; POST-BATCH-K is audit/runtime-surface triage only. No command names, gump button IDs, PlayerMobile fields, region policy, XML/config, save layout, or gameplay behavior changed.</t>
  </si>
  <si>
    <t>RB-02461</t>
  </si>
  <si>
    <t>P10-F02461</t>
  </si>
  <si>
    <t>PBK-0529</t>
  </si>
  <si>
    <t>CurrentFile=Data/Scripts/Custom/XMLSpawner/XmlPoints PvP/ChallengeGameRegion.cs; Line=33; SourceLine=public override bool AllowBeneficial(Mobile from, Mobile target); PathResolution=OriginalPathCurrent; MatchQuality=RuntimeHookMapFileLine; HookKind=Region; GuardList=AccessGuard;DeletedGuard;MapGuard;NullGuard;StateGuard; Access=; Command=; Handler=; DisabledEvidence=False; RuntimeHookMap=HookType=Region;Marker=RegionOverride;Access=GlobalOrInternal;Risk=High;Guards=AccessGuard;DeletedGuard;MapGuard;NullGuard;StateGuard</t>
  </si>
  <si>
    <t>RB-02462</t>
  </si>
  <si>
    <t>P10-F02462</t>
  </si>
  <si>
    <t>PBK-0530</t>
  </si>
  <si>
    <t>CurrentFile=Data/Scripts/Custom/XMLSpawner/XmlPoints PvP/ChallengeGameRegion.cs; Line=68; SourceLine=public override void OnEnter(Mobile m); PathResolution=OriginalPathCurrent; MatchQuality=RuntimeHookMapFileLine; HookKind=Region; GuardList=AccessGuard;DeletedGuard;MapGuard;NullGuard;StateGuard; Access=; Command=; Handler=; DisabledEvidence=False; RuntimeHookMap=HookType=Region;Marker=RegionOverride;Access=GlobalOrInternal;Risk=High;Guards=AccessGuard;DeletedGuard;MapGuard;NullGuard;StateGuard</t>
  </si>
  <si>
    <t>RB-02463</t>
  </si>
  <si>
    <t>P10-F02463</t>
  </si>
  <si>
    <t>PBK-0531</t>
  </si>
  <si>
    <t>CurrentFile=Data/Scripts/Custom/XMLSpawner/XmlPoints PvP/ChallengeGameRegion.cs; Line=76; SourceLine=public override void OnExit(Mobile m); PathResolution=OriginalPathCurrent; MatchQuality=RuntimeHookMapFileLine; HookKind=Region; GuardList=AccessGuard;DeletedGuard;MapGuard;NullGuard;StateGuard; Access=; Command=; Handler=; DisabledEvidence=False; RuntimeHookMap=HookType=Region;Marker=RegionOverride;Access=GlobalOrInternal;Risk=High;Guards=AccessGuard;DeletedGuard;MapGuard;NullGuard;StateGuard</t>
  </si>
  <si>
    <t>RB-02464</t>
  </si>
  <si>
    <t>P10-F02464</t>
  </si>
  <si>
    <t>PBK-0532</t>
  </si>
  <si>
    <t>CurrentFile=Data/Scripts/System/Obsolete/Obsolete.cs; Line=4017; SourceLine=base.Deserialize(reader);; PathResolution=OriginalPathCurrent; MatchQuality=CurrentSourceLine; HookKind=Region; GuardList=AccessGuard;BoundsGuard;DeletedGuard;MapGuard;NullGuard;PacketReadGuard;RangeGuard;StateGuard; Access=; Command=; Handler=; DisabledEvidence=False</t>
  </si>
  <si>
    <t>RB-02465</t>
  </si>
  <si>
    <t>P10-F02465</t>
  </si>
  <si>
    <t>PBK-0533</t>
  </si>
  <si>
    <t>CurrentFile=Data/Scripts/System/Obsolete/Obsolete.cs; Line=25219; SourceLine=public override bool CanAngerOnTame; PathResolution=OriginalPathCurrent; MatchQuality=CurrentSourceLine; HookKind=Region; GuardList=AccessGuard;BoundsGuard;DeletedGuard;MapGuard;NullGuard;PacketReadGuard;RangeGuard;StateGuard; Access=; Command=; Handler=; DisabledEvidence=False</t>
  </si>
  <si>
    <t>RB-02466</t>
  </si>
  <si>
    <t>P10-F02466</t>
  </si>
  <si>
    <t>PBK-0534</t>
  </si>
  <si>
    <t>CurrentFile=Data/Scripts/System/Obsolete/Obsolete.cs; Line=25626; SourceLine=AddPage(0);; PathResolution=OriginalPathCurrent; MatchQuality=CurrentSourceLine; HookKind=Region; GuardList=AccessGuard;BoundsGuard;DeletedGuard;MapGuard;NullGuard;PacketReadGuard;RangeGuard;StateGuard; Access=; Command=; Handler=; DisabledEvidence=False</t>
  </si>
  <si>
    <t>RB-02468</t>
  </si>
  <si>
    <t>P10-F02468</t>
  </si>
  <si>
    <t>PBK-0536</t>
  </si>
  <si>
    <t>CurrentFile=Data/Scripts/System/Obsolete/Obsolete.cs; Line=31146; SourceLine=Point3D[] monoliths; PathResolution=OriginalPathCurrent; MatchQuality=CurrentSourceLine; HookKind=Region; GuardList=AccessGuard;BoundsGuard;DeletedGuard;MapGuard;NullGuard;PacketReadGuard;RangeGuard;StateGuard; Access=; Command=; Handler=; DisabledEvidence=False</t>
  </si>
  <si>
    <t>RB-02469</t>
  </si>
  <si>
    <t>P10-F02469</t>
  </si>
  <si>
    <t>Data/Scripts/System/Regions/BardDungeonRegion.cs</t>
  </si>
  <si>
    <t>PBK-0537</t>
  </si>
  <si>
    <t>CurrentFile=Data/Scripts/System/Regions/BardDungeonRegion.cs; Line=37;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</si>
  <si>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HistoricalFile=Data/Scripts/System/Regions/BardDungeonRegion.cs; Risk=Runtime; POST-BATCH-K is audit/runtime-surface triage only. No command names, gump button IDs, PlayerMobile fields, region policy, XML/config, save layout, or gameplay behavior changed.</t>
  </si>
  <si>
    <t>RB-02470</t>
  </si>
  <si>
    <t>P10-F02470</t>
  </si>
  <si>
    <t>PBK-0538</t>
  </si>
  <si>
    <t>CurrentFile=Data/Scripts/System/Regions/BardDungeonRegion.cs; Line=48;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</si>
  <si>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RB-02471</t>
  </si>
  <si>
    <t>P10-F02471</t>
  </si>
  <si>
    <t>Data/Scripts/System/Regions/BardTownRegion.cs</t>
  </si>
  <si>
    <t>PBK-0539</t>
  </si>
  <si>
    <t>CurrentFile=Data/Scripts/System/Regions/BardTownRegion.cs; Line=31; SourceLine=public override bool AllowHarmful(Mobile from, Mobile target);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</si>
  <si>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HistoricalFile=Data/Scripts/System/Regions/BardTownRegion.cs; Risk=Runtime; POST-BATCH-K is audit/runtime-surface triage only. No command names, gump button IDs, PlayerMobile fields, region policy, XML/config, save layout, or gameplay behavior changed.</t>
  </si>
  <si>
    <t>RB-02472</t>
  </si>
  <si>
    <t>P10-F02472</t>
  </si>
  <si>
    <t>PBK-0540</t>
  </si>
  <si>
    <t>CurrentFile=Data/Scripts/System/Regions/BardTownRegion.cs; Line=94; SourceLine=public override void OnEnter(Mobile m);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</si>
  <si>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RB-02473</t>
  </si>
  <si>
    <t>P10-F02473</t>
  </si>
  <si>
    <t>PBK-0541</t>
  </si>
  <si>
    <t>CurrentFile=Data/Scripts/System/Regions/BardTownRegion.cs; Line=105; SourceLine=public override void OnExit(Mobile m);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</si>
  <si>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RB-02474</t>
  </si>
  <si>
    <t>P10-F02474</t>
  </si>
  <si>
    <t>Data/Scripts/System/Regions/BargeDeadRegion.cs</t>
  </si>
  <si>
    <t>PBK-0542</t>
  </si>
  <si>
    <t>CurrentFile=Data/Scripts/System/Regions/BargeDeadRegion.cs; Line=39;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</si>
  <si>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HistoricalFile=Data/Scripts/System/Regions/BargeDeadRegion.cs; Risk=Runtime; POST-BATCH-K is audit/runtime-surface triage only. No command names, gump button IDs, PlayerMobile fields, region policy, XML/config, save layout, or gameplay behavior changed.</t>
  </si>
  <si>
    <t>RB-02475</t>
  </si>
  <si>
    <t>P10-F02475</t>
  </si>
  <si>
    <t>PBK-0543</t>
  </si>
  <si>
    <t>CurrentFile=Data/Scripts/System/Regions/BargeDeadRegion.cs; Line=48;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</si>
  <si>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RB-02476</t>
  </si>
  <si>
    <t>P10-F02476</t>
  </si>
  <si>
    <t>Data/Scripts/System/Regions/BaseRegion.cs</t>
  </si>
  <si>
    <t>PBK-0544</t>
  </si>
  <si>
    <t>CurrentFile=Data/Scripts/System/Regions/BaseRegion.cs; Line=32; SourceLine=public class BaseRegion : Region; PathResolution=OriginalPathCurrent; MatchQuality=RuntimeHookMapFileLine; HookKind=Region; GuardList=AccessGuard;BoundsGuard;DeletedGuard;MapGuard;NullGuard;RangeGuard;StateGuard; Access=; Command=; Handler=; DisabledEvidence=False; RuntimeHookMap=HookType=Region;Marker=RegionOverride;Access=GlobalOrInternal;Risk=High;Guards=AccessGuard;BoundsGuard;DeletedGuard;MapGuard;NullGuard;RangeGuard;StateGuard</t>
  </si>
  <si>
    <t>HistoricalFile=Data/Scripts/System/Regions/BaseRegion.cs; Risk=Runtime; POST-BATCH-K is audit/runtime-surface triage only. No command names, gump button IDs, PlayerMobile fields, region policy, XML/config, save layout, or gameplay behavior changed.</t>
  </si>
  <si>
    <t>RB-02477</t>
  </si>
  <si>
    <t>P10-F02477</t>
  </si>
  <si>
    <t>PBK-0545</t>
  </si>
  <si>
    <t>CurrentFile=Data/Scripts/System/Regions/BaseRegion.cs; Line=123; SourceLine=public override bool AllowHarmful(Mobile from, Mobile target); PathResolution=OriginalPathCurrent; MatchQuality=RuntimeHookMapFileLine; HookKind=Region; GuardList=AccessGuard;BoundsGuard;DeletedGuard;MapGuard;NullGuard;RangeGuard;StateGuard; Access=; Command=; Handler=; DisabledEvidence=False; RuntimeHookMap=HookType=Region;Marker=RegionOverride;Access=GlobalOrInternal;Risk=High;Guards=AccessGuard;BoundsGuard;DeletedGuard;MapGuard;NullGuard;RangeGuard;StateGuard</t>
  </si>
  <si>
    <t>RB-02478</t>
  </si>
  <si>
    <t>P10-F02478</t>
  </si>
  <si>
    <t>PBK-0546</t>
  </si>
  <si>
    <t>CurrentFile=Data/Scripts/System/Regions/BaseRegion.cs; Line=234; SourceLine=public override void OnEnter(Mobile m); PathResolution=OriginalPathCurrent; MatchQuality=RuntimeHookMapFileLine; HookKind=Region; GuardList=AccessGuard;BoundsGuard;DeletedGuard;MapGuard;NullGuard;RangeGuard;StateGuard; Access=; Command=; Handler=; DisabledEvidence=False; RuntimeHookMap=HookType=Region;Marker=RegionOverride;Access=GlobalOrInternal;Risk=High;Guards=AccessGuard;BoundsGuard;DeletedGuard;MapGuard;NullGuard;RangeGuard;StateGuard</t>
  </si>
  <si>
    <t>RB-02479</t>
  </si>
  <si>
    <t>P10-F02479</t>
  </si>
  <si>
    <t>PBK-0547</t>
  </si>
  <si>
    <t>CurrentFile=Data/Scripts/System/Regions/BaseRegion.cs; Line=259; SourceLine=public override void OnExit(Mobile m); PathResolution=OriginalPathCurrent; MatchQuality=RuntimeHookMapFileLine; HookKind=Region; GuardList=AccessGuard;BoundsGuard;DeletedGuard;MapGuard;NullGuard;RangeGuard;StateGuard; Access=; Command=; Handler=; DisabledEvidence=False; RuntimeHookMap=HookType=Region;Marker=RegionOverride;Access=GlobalOrInternal;Risk=High;Guards=AccessGuard;BoundsGuard;DeletedGuard;MapGuard;NullGuard;RangeGuard;StateGuard</t>
  </si>
  <si>
    <t>RB-02480</t>
  </si>
  <si>
    <t>P10-F02480</t>
  </si>
  <si>
    <t>Data/Scripts/System/Regions/CaveRegion.cs</t>
  </si>
  <si>
    <t>PBK-0548</t>
  </si>
  <si>
    <t>CurrentFile=Data/Scripts/System/Regions/CaveRegion.cs; Line=27;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</si>
  <si>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HistoricalFile=Data/Scripts/System/Regions/CaveRegion.cs; Risk=Runtime; POST-BATCH-K is audit/runtime-surface triage only. No command names, gump button IDs, PlayerMobile fields, region policy, XML/config, save layout, or gameplay behavior changed.</t>
  </si>
  <si>
    <t>RB-02481</t>
  </si>
  <si>
    <t>P10-F02481</t>
  </si>
  <si>
    <t>PBK-0549</t>
  </si>
  <si>
    <t>CurrentFile=Data/Scripts/System/Regions/CaveRegion.cs; Line=38;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</si>
  <si>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RB-02482</t>
  </si>
  <si>
    <t>P10-F02482</t>
  </si>
  <si>
    <t>Data/Scripts/System/Regions/CrashRegion.cs</t>
  </si>
  <si>
    <t>PBK-0550</t>
  </si>
  <si>
    <t>CurrentFile=Data/Scripts/System/Regions/CrashRegion.cs; Line=34; SourceLine=public override bool AllowHarmful(Mobile from, Mobile target);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</si>
  <si>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HistoricalFile=Data/Scripts/System/Regions/CrashRegion.cs; Risk=Runtime; POST-BATCH-K is audit/runtime-surface triage only. No command names, gump button IDs, PlayerMobile fields, region policy, XML/config, save layout, or gameplay behavior changed.</t>
  </si>
  <si>
    <t>RB-02483</t>
  </si>
  <si>
    <t>P10-F02483</t>
  </si>
  <si>
    <t>PBK-0551</t>
  </si>
  <si>
    <t>CurrentFile=Data/Scripts/System/Regions/CrashRegion.cs; Line=48; SourceLine=public override void OnEnter(Mobile m);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</si>
  <si>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RB-02484</t>
  </si>
  <si>
    <t>P10-F02484</t>
  </si>
  <si>
    <t>Data/Scripts/System/Regions/DawnRegion.cs</t>
  </si>
  <si>
    <t>PBK-0552</t>
  </si>
  <si>
    <t>CurrentFile=Data/Scripts/System/Regions/DawnRegion.cs; Line=30;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</si>
  <si>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HistoricalFile=Data/Scripts/System/Regions/DawnRegion.cs; Risk=Runtime; POST-BATCH-K is audit/runtime-surface triage only. No command names, gump button IDs, PlayerMobile fields, region policy, XML/config, save layout, or gameplay behavior changed.</t>
  </si>
  <si>
    <t>RB-02485</t>
  </si>
  <si>
    <t>P10-F02485</t>
  </si>
  <si>
    <t>PBK-0553</t>
  </si>
  <si>
    <t>CurrentFile=Data/Scripts/System/Regions/DawnRegion.cs; Line=55;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</si>
  <si>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RB-02486</t>
  </si>
  <si>
    <t>P10-F02486</t>
  </si>
  <si>
    <t>Data/Scripts/System/Regions/DeadRegion.cs</t>
  </si>
  <si>
    <t>PBK-0554</t>
  </si>
  <si>
    <t>CurrentFile=Data/Scripts/System/Regions/DeadRegion.cs; Line=40;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</si>
  <si>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HistoricalFile=Data/Scripts/System/Regions/DeadRegion.cs; Risk=Runtime; POST-BATCH-K is audit/runtime-surface triage only. No command names, gump button IDs, PlayerMobile fields, region policy, XML/config, save layout, or gameplay behavior changed.</t>
  </si>
  <si>
    <t>RB-02487</t>
  </si>
  <si>
    <t>P10-F02487</t>
  </si>
  <si>
    <t>PBK-0555</t>
  </si>
  <si>
    <t>CurrentFile=Data/Scripts/System/Regions/DeadRegion.cs; Line=51;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</si>
  <si>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RB-02488</t>
  </si>
  <si>
    <t>P10-F02488</t>
  </si>
  <si>
    <t>Data/Scripts/System/Regions/DungeonHomeRegion.cs</t>
  </si>
  <si>
    <t>PBK-0556</t>
  </si>
  <si>
    <t>CurrentFile=Data/Scripts/System/Regions/DungeonHomeRegion.cs; Line=38;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</si>
  <si>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HistoricalFile=Data/Scripts/System/Regions/DungeonHomeRegion.cs; Risk=Runtime; POST-BATCH-K is audit/runtime-surface triage only. No command names, gump button IDs, PlayerMobile fields, region policy, XML/config, save layout, or gameplay behavior changed.</t>
  </si>
  <si>
    <t>RB-02489</t>
  </si>
  <si>
    <t>P10-F02489</t>
  </si>
  <si>
    <t>PBK-0557</t>
  </si>
  <si>
    <t>CurrentFile=Data/Scripts/System/Regions/DungeonHomeRegion.cs; Line=47;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</si>
  <si>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RB-02490</t>
  </si>
  <si>
    <t>P10-F02490</t>
  </si>
  <si>
    <t>Data/Scripts/System/Regions/DungeonRegion.cs</t>
  </si>
  <si>
    <t>PBK-0558</t>
  </si>
  <si>
    <t>CurrentFile=Data/Scripts/System/Regions/DungeonRegion.cs; Line=78;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</si>
  <si>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HistoricalFile=Data/Scripts/System/Regions/DungeonRegion.cs; Risk=Runtime; POST-BATCH-K is audit/runtime-surface triage only. No command names, gump button IDs, PlayerMobile fields, region policy, XML/config, save layout, or gameplay behavior changed.</t>
  </si>
  <si>
    <t>RB-02491</t>
  </si>
  <si>
    <t>P10-F02491</t>
  </si>
  <si>
    <t>PBK-0559</t>
  </si>
  <si>
    <t>CurrentFile=Data/Scripts/System/Regions/DungeonRegion.cs; Line=89;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</si>
  <si>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RB-02492</t>
  </si>
  <si>
    <t>P10-F02492</t>
  </si>
  <si>
    <t>Data/Scripts/System/Regions/GargoyleRegion.cs</t>
  </si>
  <si>
    <t>PBK-0560</t>
  </si>
  <si>
    <t>CurrentFile=Data/Scripts/System/Regions/GargoyleRegion.cs; Line=38;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</si>
  <si>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HistoricalFile=Data/Scripts/System/Regions/GargoyleRegion.cs; Risk=Runtime; POST-BATCH-K is audit/runtime-surface triage only. No command names, gump button IDs, PlayerMobile fields, region policy, XML/config, save layout, or gameplay behavior changed.</t>
  </si>
  <si>
    <t>RB-02493</t>
  </si>
  <si>
    <t>P10-F02493</t>
  </si>
  <si>
    <t>PBK-0561</t>
  </si>
  <si>
    <t>CurrentFile=Data/Scripts/System/Regions/GargoyleRegion.cs; Line=49;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</si>
  <si>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RB-02494</t>
  </si>
  <si>
    <t>P10-F02494</t>
  </si>
  <si>
    <t>PBK-0562</t>
  </si>
  <si>
    <t>CurrentFile=Data/Scripts/System/Regions/GuardedRegion.cs; Line=234; SourceLine=public override void OnEnter(Mobile m); PathResolution=OriginalPathCurrent; MatchQuality=RuntimeHookMapFileLine; HookKind=Region; GuardList=AccessGuard;BoundsGuard;MapGuard;NullGuard;RangeGuard;StateGuard; Access=; Command=; Handler=; DisabledEvidence=False; RuntimeHookMap=HookType=Region;Marker=RegionOverride;Access=GlobalOrInternal;Risk=High;Guards=AccessGuard;BoundsGuard;MapGuard;NullGuard;RangeGuard;StateGuard</t>
  </si>
  <si>
    <t>RB-02495</t>
  </si>
  <si>
    <t>P10-F02495</t>
  </si>
  <si>
    <t>PBK-0563</t>
  </si>
  <si>
    <t>CurrentFile=Data/Scripts/System/Regions/GuardedRegion.cs; Line=243; SourceLine=public override void OnExit(Mobile m); PathResolution=OriginalPathCurrent; MatchQuality=RuntimeHookMapFileLine; HookKind=Region; GuardList=AccessGuard;BoundsGuard;MapGuard;NullGuard;RangeGuard;StateGuard; Access=; Command=; Handler=; DisabledEvidence=False; RuntimeHookMap=HookType=Region;Marker=RegionOverride;Access=GlobalOrInternal;Risk=High;Guards=AccessGuard;BoundsGuard;MapGuard;NullGuard;RangeGuard;StateGuard</t>
  </si>
  <si>
    <t>RB-02496</t>
  </si>
  <si>
    <t>P10-F02496</t>
  </si>
  <si>
    <t>PBK-0564</t>
  </si>
  <si>
    <t>CurrentFile=Data/Scripts/System/Regions/HouseRegion.cs; Line=36; SourceLine=if (house != null &amp;&amp; !house.Public &amp;&amp; !house.IsFriend(mobile)); PathResolution=OriginalPathCurrent; MatchQuality=CurrentSourceLine; HookKind=Region; GuardList=AccessGuard;BoundsGuard;MapGuard;NullGuard;RangeGuard;StateGuard; Access=; Command=; Handler=; DisabledEvidence=False</t>
  </si>
  <si>
    <t>RB-02497</t>
  </si>
  <si>
    <t>P10-F02497</t>
  </si>
  <si>
    <t>PBK-0565</t>
  </si>
  <si>
    <t>CurrentFile=Data/Scripts/System/Regions/HouseRegion.cs; Line=66; SourceLine=return false;; PathResolution=OriginalPathCurrent; MatchQuality=CurrentSourceLine; HookKind=Region; GuardList=AccessGuard;BoundsGuard;MapGuard;NullGuard;RangeGuard;StateGuard; Access=; Command=; Handler=; DisabledEvidence=False</t>
  </si>
  <si>
    <t>RB-02498</t>
  </si>
  <si>
    <t>P10-F02498</t>
  </si>
  <si>
    <t>PBK-0566</t>
  </si>
  <si>
    <t>CurrentFile=Data/Scripts/System/Regions/HouseRegion.cs; Line=72; SourceLine=base.OnEnter(m);; PathResolution=OriginalPathCurrent; MatchQuality=CurrentSourceLine; HookKind=Region; GuardList=AccessGuard;BoundsGuard;MapGuard;NullGuard;RangeGuard;StateGuard; Access=; Command=; Handler=; DisabledEvidence=False</t>
  </si>
  <si>
    <t>RB-02500</t>
  </si>
  <si>
    <t>P10-F02500</t>
  </si>
  <si>
    <t>Data/Scripts/System/Regions/LunaRegion.cs</t>
  </si>
  <si>
    <t>PBK-0568</t>
  </si>
  <si>
    <t>CurrentFile=Data/Scripts/System/Regions/LunaRegion.cs; Line=23;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</si>
  <si>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HistoricalFile=Data/Scripts/System/Regions/LunaRegion.cs; Risk=Runtime; POST-BATCH-K is audit/runtime-surface triage only. No command names, gump button IDs, PlayerMobile fields, region policy, XML/config, save layout, or gameplay behavior changed.</t>
  </si>
  <si>
    <t>RB-02501</t>
  </si>
  <si>
    <t>P10-F02501</t>
  </si>
  <si>
    <t>PBK-0569</t>
  </si>
  <si>
    <t>CurrentFile=Data/Scripts/System/Regions/LunaRegion.cs; Line=31;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</si>
  <si>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RB-02502</t>
  </si>
  <si>
    <t>P10-F02502</t>
  </si>
  <si>
    <t>PBK-0570</t>
  </si>
  <si>
    <t>CurrentFile=Data/Scripts/System/Regions/LunaRegion.cs; Line=54;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</si>
  <si>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RB-02503</t>
  </si>
  <si>
    <t>P10-F02503</t>
  </si>
  <si>
    <t>Data/Scripts/System/Regions/MazeRegion.cs</t>
  </si>
  <si>
    <t>PBK-0571</t>
  </si>
  <si>
    <t>CurrentFile=Data/Scripts/System/Regions/MazeRegion.cs; Line=29;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</si>
  <si>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HistoricalFile=Data/Scripts/System/Regions/MazeRegion.cs; Risk=Runtime; POST-BATCH-K is audit/runtime-surface triage only. No command names, gump button IDs, PlayerMobile fields, region policy, XML/config, save layout, or gameplay behavior changed.</t>
  </si>
  <si>
    <t>RB-02504</t>
  </si>
  <si>
    <t>P10-F02504</t>
  </si>
  <si>
    <t>PBK-0572</t>
  </si>
  <si>
    <t>CurrentFile=Data/Scripts/System/Regions/MazeRegion.cs; Line=38;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</si>
  <si>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RB-02505</t>
  </si>
  <si>
    <t>P10-F02505</t>
  </si>
  <si>
    <t>Data/Scripts/System/Regions/MoonCore.cs</t>
  </si>
  <si>
    <t>PBK-0573</t>
  </si>
  <si>
    <t>CurrentFile=Data/Scripts/System/Regions/MoonCore.cs; Line=39; SourceLine=public override void OnEnter(Mobile m);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</si>
  <si>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HistoricalFile=Data/Scripts/System/Regions/MoonCore.cs; Risk=Runtime; POST-BATCH-K is audit/runtime-surface triage only. No command names, gump button IDs, PlayerMobile fields, region policy, XML/config, save layout, or gameplay behavior changed.</t>
  </si>
  <si>
    <t>RB-02506</t>
  </si>
  <si>
    <t>P10-F02506</t>
  </si>
  <si>
    <t>PBK-0574</t>
  </si>
  <si>
    <t>CurrentFile=Data/Scripts/System/Regions/MoonCore.cs; Line=86; SourceLine=public override void OnExit(Mobile m);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</si>
  <si>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RB-02507</t>
  </si>
  <si>
    <t>P10-F02507</t>
  </si>
  <si>
    <t>Data/Scripts/System/Regions/NecromancerRegion.cs</t>
  </si>
  <si>
    <t>PBK-0575</t>
  </si>
  <si>
    <t>CurrentFile=Data/Scripts/System/Regions/NecromancerRegion.cs; Line=17;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</si>
  <si>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HistoricalFile=Data/Scripts/System/Regions/NecromancerRegion.cs; Risk=Runtime; POST-BATCH-K is audit/runtime-surface triage only. No command names, gump button IDs, PlayerMobile fields, region policy, XML/config, save layout, or gameplay behavior changed.</t>
  </si>
  <si>
    <t>RB-02508</t>
  </si>
  <si>
    <t>P10-F02508</t>
  </si>
  <si>
    <t>PBK-0576</t>
  </si>
  <si>
    <t>CurrentFile=Data/Scripts/System/Regions/NecromancerRegion.cs; Line=39;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</si>
  <si>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RB-02509</t>
  </si>
  <si>
    <t>P10-F02509</t>
  </si>
  <si>
    <t>PBK-0577</t>
  </si>
  <si>
    <t>CurrentFile=Data/Scripts/System/Regions/NecromancerRegion.cs; Line=50;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</si>
  <si>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RB-02510</t>
  </si>
  <si>
    <t>P10-F02510</t>
  </si>
  <si>
    <t>Data/Scripts/System/Regions/OutDoorBadRegion.cs</t>
  </si>
  <si>
    <t>PBK-0578</t>
  </si>
  <si>
    <t>CurrentFile=Data/Scripts/System/Regions/OutDoorBadRegion.cs; Line=31;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</si>
  <si>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HistoricalFile=Data/Scripts/System/Regions/OutDoorBadRegion.cs; Risk=Runtime; POST-BATCH-K is audit/runtime-surface triage only. No command names, gump button IDs, PlayerMobile fields, region policy, XML/config, save layout, or gameplay behavior changed.</t>
  </si>
  <si>
    <t>RB-02511</t>
  </si>
  <si>
    <t>P10-F02511</t>
  </si>
  <si>
    <t>PBK-0579</t>
  </si>
  <si>
    <t>CurrentFile=Data/Scripts/System/Regions/OutDoorBadRegion.cs; Line=42;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</si>
  <si>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RB-02512</t>
  </si>
  <si>
    <t>P10-F02512</t>
  </si>
  <si>
    <t>Data/Scripts/System/Regions/OutDoorRegion.cs</t>
  </si>
  <si>
    <t>PBK-0580</t>
  </si>
  <si>
    <t>CurrentFile=Data/Scripts/System/Regions/OutDoorRegion.cs; Line=39; SourceLine=public override void OnEnter(Mobile m); PathResolution=OriginalPathCurrent; MatchQuality=RuntimeHookMapFileLine; HookKind=Region; GuardList=MapGuard;RangeGuard;StateGuard; Access=; Command=; Handler=; DisabledEvidence=False; RuntimeHookMap=HookType=Region;Marker=RegionOverride;Access=GlobalOrInternal;Risk=High;Guards=MapGuard;RangeGuard;StateGuard</t>
  </si>
  <si>
    <t>HistoricalFile=Data/Scripts/System/Regions/OutDoorRegion.cs; Risk=Runtime; POST-BATCH-K is audit/runtime-surface triage only. No command names, gump button IDs, PlayerMobile fields, region policy, XML/config, save layout, or gameplay behavior changed.</t>
  </si>
  <si>
    <t>RB-02513</t>
  </si>
  <si>
    <t>P10-F02513</t>
  </si>
  <si>
    <t>PBK-0581</t>
  </si>
  <si>
    <t>CurrentFile=Data/Scripts/System/Regions/OutDoorRegion.cs; Line=53; SourceLine=public override void OnExit(Mobile m); PathResolution=OriginalPathCurrent; MatchQuality=RuntimeHookMapFileLine; HookKind=Region; GuardList=MapGuard;RangeGuard;StateGuard; Access=; Command=; Handler=; DisabledEvidence=False; RuntimeHookMap=HookType=Region;Marker=RegionOverride;Access=GlobalOrInternal;Risk=High;Guards=MapGuard;RangeGuard;StateGuard</t>
  </si>
  <si>
    <t>RB-02516</t>
  </si>
  <si>
    <t>P10-F02516</t>
  </si>
  <si>
    <t>Data/Scripts/System/Regions/PrisonArea.cs</t>
  </si>
  <si>
    <t>PBK-0584</t>
  </si>
  <si>
    <t>CurrentFile=Data/Scripts/System/Regions/PrisonArea.cs; Line=36;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</si>
  <si>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HistoricalFile=Data/Scripts/System/Regions/PrisonArea.cs; Risk=Runtime; POST-BATCH-K is audit/runtime-surface triage only. No command names, gump button IDs, PlayerMobile fields, region policy, XML/config, save layout, or gameplay behavior changed.</t>
  </si>
  <si>
    <t>RB-02517</t>
  </si>
  <si>
    <t>P10-F02517</t>
  </si>
  <si>
    <t>PBK-0585</t>
  </si>
  <si>
    <t>CurrentFile=Data/Scripts/System/Regions/PrisonArea.cs; Line=47;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</si>
  <si>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RB-02518</t>
  </si>
  <si>
    <t>P10-F02518</t>
  </si>
  <si>
    <t>Data/Scripts/System/Regions/ProtectedRegion.cs</t>
  </si>
  <si>
    <t>PBK-0586</t>
  </si>
  <si>
    <t>CurrentFile=Data/Scripts/System/Regions/ProtectedRegion.cs; Line=46; SourceLine=public override bool AllowHarmful(Mobile from, Mobile target); PathResolution=OriginalPathCurrent; MatchQuality=RuntimeHookMapFileLine; HookKind=Region; GuardList=BoundsGuard;MapGuard;StateGuard; Access=; Command=; Handler=; DisabledEvidence=False; RuntimeHookMap=HookType=Region;Marker=RegionOverride;Access=GlobalOrInternal;Risk=High;Guards=BoundsGuard;MapGuard;StateGuard</t>
  </si>
  <si>
    <t>HistoricalFile=Data/Scripts/System/Regions/ProtectedRegion.cs; Risk=Runtime; POST-BATCH-K is audit/runtime-surface triage only. No command names, gump button IDs, PlayerMobile fields, region policy, XML/config, save layout, or gameplay behavior changed.</t>
  </si>
  <si>
    <t>RB-02519</t>
  </si>
  <si>
    <t>P10-F02519</t>
  </si>
  <si>
    <t>PBK-0587</t>
  </si>
  <si>
    <t>CurrentFile=Data/Scripts/System/Regions/ProtectedRegion.cs; Line=65; SourceLine=public override void OnEnter(Mobile m); PathResolution=OriginalPathCurrent; MatchQuality=RuntimeHookMapFileLine; HookKind=Region; GuardList=BoundsGuard;MapGuard;StateGuard; Access=; Command=; Handler=; DisabledEvidence=False; RuntimeHookMap=HookType=Region;Marker=RegionOverride;Access=GlobalOrInternal;Risk=High;Guards=BoundsGuard;MapGuard;StateGuard</t>
  </si>
  <si>
    <t>RB-02520</t>
  </si>
  <si>
    <t>P10-F02520</t>
  </si>
  <si>
    <t>PBK-0588</t>
  </si>
  <si>
    <t>CurrentFile=Data/Scripts/System/Regions/ProtectedRegion.cs; Line=76; SourceLine=public override void OnExit(Mobile m); PathResolution=OriginalPathCurrent; MatchQuality=RuntimeHookMapFileLine; HookKind=Region; GuardList=BoundsGuard;MapGuard;StateGuard; Access=; Command=; Handler=; DisabledEvidence=False; RuntimeHookMap=HookType=Region;Marker=RegionOverride;Access=GlobalOrInternal;Risk=High;Guards=BoundsGuard;MapGuard;StateGuard</t>
  </si>
  <si>
    <t>RB-02521</t>
  </si>
  <si>
    <t>P10-F02521</t>
  </si>
  <si>
    <t>Data/Scripts/System/Regions/PublicRegion.cs</t>
  </si>
  <si>
    <t>PBK-0589</t>
  </si>
  <si>
    <t>CurrentFile=Data/Scripts/System/Regions/PublicRegion.cs; Line=41;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</si>
  <si>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HistoricalFile=Data/Scripts/System/Regions/PublicRegion.cs; Risk=Runtime; POST-BATCH-K is audit/runtime-surface triage only. No command names, gump button IDs, PlayerMobile fields, region policy, XML/config, save layout, or gameplay behavior changed.</t>
  </si>
  <si>
    <t>RB-02522</t>
  </si>
  <si>
    <t>P10-F02522</t>
  </si>
  <si>
    <t>PBK-0590</t>
  </si>
  <si>
    <t>CurrentFile=Data/Scripts/System/Regions/PublicRegion.cs; Line=62;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</si>
  <si>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RB-02523</t>
  </si>
  <si>
    <t>P10-F02523</t>
  </si>
  <si>
    <t>PBK-0591</t>
  </si>
  <si>
    <t>CurrentFile=Data/Scripts/System/Regions/PublicRegion.cs; Line=128;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</si>
  <si>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RB-02524</t>
  </si>
  <si>
    <t>P10-F02524</t>
  </si>
  <si>
    <t>Data/Scripts/System/Regions/SafeRegion.cs</t>
  </si>
  <si>
    <t>PBK-0592</t>
  </si>
  <si>
    <t>CurrentFile=Data/Scripts/System/Regions/SafeRegion.cs; Line=44; SourceLine=public override bool AllowHarmful(Mobile from, Mobile target);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</si>
  <si>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HistoricalFile=Data/Scripts/System/Regions/SafeRegion.cs; Risk=Runtime; POST-BATCH-K is audit/runtime-surface triage only. No command names, gump button IDs, PlayerMobile fields, region policy, XML/config, save layout, or gameplay behavior changed.</t>
  </si>
  <si>
    <t>RB-02525</t>
  </si>
  <si>
    <t>P10-F02525</t>
  </si>
  <si>
    <t>PBK-0593</t>
  </si>
  <si>
    <t>CurrentFile=Data/Scripts/System/Regions/SafeRegion.cs; Line=73; SourceLine=public override void OnEnter(Mobile m);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</si>
  <si>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RB-02526</t>
  </si>
  <si>
    <t>P10-F02526</t>
  </si>
  <si>
    <t>PBK-0594</t>
  </si>
  <si>
    <t>CurrentFile=Data/Scripts/System/Regions/SafeRegion.cs; Line=110; SourceLine=public override void OnExit(Mobile m); PathResolution=OriginalPathCurrent; MatchQuality=RuntimeHookMapFileLine; HookKind=Region; GuardList=MapGuard;NullGuard;StateGuard; Access=; Command=; Handler=; DisabledEvidence=False; RuntimeHookMap=HookType=Region;Marker=RegionOverride;Access=GlobalOrInternal;Risk=High;Guards=MapGuard;NullGuard;StateGuard</t>
  </si>
  <si>
    <t>RB-02527</t>
  </si>
  <si>
    <t>P10-F02527</t>
  </si>
  <si>
    <t>Data/Scripts/System/Regions/SavageRegion.cs</t>
  </si>
  <si>
    <t>PBK-0595</t>
  </si>
  <si>
    <t>CurrentFile=Data/Scripts/System/Regions/SavageRegion.cs; Line=39; SourceLine=public override bool AllowHarmful(Mobile from, Mobile target);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</si>
  <si>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HistoricalFile=Data/Scripts/System/Regions/SavageRegion.cs; Risk=Runtime; POST-BATCH-K is audit/runtime-surface triage only. No command names, gump button IDs, PlayerMobile fields, region policy, XML/config, save layout, or gameplay behavior changed.</t>
  </si>
  <si>
    <t>RB-02528</t>
  </si>
  <si>
    <t>P10-F02528</t>
  </si>
  <si>
    <t>PBK-0596</t>
  </si>
  <si>
    <t>CurrentFile=Data/Scripts/System/Regions/SavageRegion.cs; Line=53; SourceLine=public override void OnEnter(Mobile m);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</si>
  <si>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RB-02529</t>
  </si>
  <si>
    <t>P10-F02529</t>
  </si>
  <si>
    <t>Data/Scripts/System/Regions/SkyHomeRegion.cs</t>
  </si>
  <si>
    <t>PBK-0597</t>
  </si>
  <si>
    <t>CurrentFile=Data/Scripts/System/Regions/SkyHomeRegion.cs; Line=22;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</si>
  <si>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HistoricalFile=Data/Scripts/System/Regions/SkyHomeRegion.cs; Risk=Runtime; POST-BATCH-K is audit/runtime-surface triage only. No command names, gump button IDs, PlayerMobile fields, region policy, XML/config, save layout, or gameplay behavior changed.</t>
  </si>
  <si>
    <t>RB-02530</t>
  </si>
  <si>
    <t>P10-F02530</t>
  </si>
  <si>
    <t>PBK-0598</t>
  </si>
  <si>
    <t>CurrentFile=Data/Scripts/System/Regions/SkyHomeRegion.cs; Line=28;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</si>
  <si>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RB-02531</t>
  </si>
  <si>
    <t>P10-F02531</t>
  </si>
  <si>
    <t>Data/Scripts/System/Regions/StartRegion.cs</t>
  </si>
  <si>
    <t>PBK-0599</t>
  </si>
  <si>
    <t>CurrentFile=Data/Scripts/System/Regions/StartRegion.cs; Line=56;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</si>
  <si>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HistoricalFile=Data/Scripts/System/Regions/StartRegion.cs; Risk=Runtime; POST-BATCH-K is audit/runtime-surface triage only. No command names, gump button IDs, PlayerMobile fields, region policy, XML/config, save layout, or gameplay behavior changed.</t>
  </si>
  <si>
    <t>RB-02532</t>
  </si>
  <si>
    <t>P10-F02532</t>
  </si>
  <si>
    <t>PBK-0600</t>
  </si>
  <si>
    <t>CurrentFile=Data/Scripts/System/Regions/StartRegion.cs; Line=70;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</si>
  <si>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RB-02533</t>
  </si>
  <si>
    <t>P10-F02533</t>
  </si>
  <si>
    <t>PBK-0601</t>
  </si>
  <si>
    <t>CurrentFile=Data/Scripts/System/Regions/StartRegion.cs; Line=86;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</si>
  <si>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RB-02534</t>
  </si>
  <si>
    <t>P10-F02534</t>
  </si>
  <si>
    <t>Data/Scripts/System/Regions/UmbraRegion.cs</t>
  </si>
  <si>
    <t>PBK-0602</t>
  </si>
  <si>
    <t>CurrentFile=Data/Scripts/System/Regions/UmbraRegion.cs; Line=33;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</si>
  <si>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HistoricalFile=Data/Scripts/System/Regions/UmbraRegion.cs; Risk=Runtime; POST-BATCH-K is audit/runtime-surface triage only. No command names, gump button IDs, PlayerMobile fields, region policy, XML/config, save layout, or gameplay behavior changed.</t>
  </si>
  <si>
    <t>RB-02535</t>
  </si>
  <si>
    <t>P10-F02535</t>
  </si>
  <si>
    <t>PBK-0603</t>
  </si>
  <si>
    <t>CurrentFile=Data/Scripts/System/Regions/UmbraRegion.cs; Line=44;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</si>
  <si>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RB-02536</t>
  </si>
  <si>
    <t>P10-F02536</t>
  </si>
  <si>
    <t>Data/Scripts/System/Regions/UnderHouseRegion.cs</t>
  </si>
  <si>
    <t>PBK-0604</t>
  </si>
  <si>
    <t>CurrentFile=Data/Scripts/System/Regions/UnderHouseRegion.cs; Line=27;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</si>
  <si>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HistoricalFile=Data/Scripts/System/Regions/UnderHouseRegion.cs; Risk=Runtime; POST-BATCH-K is audit/runtime-surface triage only. No command names, gump button IDs, PlayerMobile fields, region policy, XML/config, save layout, or gameplay behavior changed.</t>
  </si>
  <si>
    <t>RB-02537</t>
  </si>
  <si>
    <t>P10-F02537</t>
  </si>
  <si>
    <t>PBK-0605</t>
  </si>
  <si>
    <t>CurrentFile=Data/Scripts/System/Regions/UnderHouseRegion.cs; Line=40;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</si>
  <si>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RB-02538</t>
  </si>
  <si>
    <t>P10-F02538</t>
  </si>
  <si>
    <t>PBK-0606</t>
  </si>
  <si>
    <t>CurrentFile=Data/Scripts/System/Regions/UnderHouseRegion.cs; Line=46;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</si>
  <si>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RB-02539</t>
  </si>
  <si>
    <t>P10-F02539</t>
  </si>
  <si>
    <t>Data/Scripts/System/Regions/VillageRegion.cs</t>
  </si>
  <si>
    <t>PBK-0607</t>
  </si>
  <si>
    <t>CurrentFile=Data/Scripts/System/Regions/VillageRegion.cs; Line=29; SourceLine=public override bool AllowHarmful(Mobile from, Mobile target); PathResolution=OriginalPathCurrent; MatchQuality=RuntimeHookMapFileLine; HookKind=Region; GuardList=MapGuard;StateGuard; Access=; Command=; Handler=; DisabledEvidence=False; RuntimeHookMap=HookType=Region;Marker=RegionOverride;Access=GlobalOrInternal;Risk=High;Guards=MapGuard;StateGuard</t>
  </si>
  <si>
    <t>HistoricalFile=Data/Scripts/System/Regions/VillageRegion.cs; Risk=Runtime; POST-BATCH-K is audit/runtime-surface triage only. No command names, gump button IDs, PlayerMobile fields, region policy, XML/config, save layout, or gameplay behavior changed.</t>
  </si>
  <si>
    <t>RB-02540</t>
  </si>
  <si>
    <t>P10-F02540</t>
  </si>
  <si>
    <t>PBK-0608</t>
  </si>
  <si>
    <t>CurrentFile=Data/Scripts/System/Regions/VillageRegion.cs; Line=46; SourceLine=public override void OnEnter(Mobile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</si>
  <si>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RB-02541</t>
  </si>
  <si>
    <t>P10-F02541</t>
  </si>
  <si>
    <t>PBK-0609</t>
  </si>
  <si>
    <t>CurrentFile=Data/Scripts/System/Regions/VillageRegion.cs; Line=57; SourceLine=public override void OnExit(Mobile m); PathResolution=OriginalPathCurrent; MatchQuality=RuntimeHookMapFileLine; HookKind=Region; GuardList=MapGuard;StateGuard; Access=; Command=; Handler=; DisabledEvidence=False; RuntimeHookMap=HookType=Region;Marker=RegionOverride;Access=GlobalOrInternal;Risk=High;Guards=MapGuard;StateGuard</t>
  </si>
  <si>
    <t>RB-02542</t>
  </si>
  <si>
    <t>P10-F02542</t>
  </si>
  <si>
    <t>Data/Scripts/System/Regions/WantedRegion.cs</t>
  </si>
  <si>
    <t>PBK-0610</t>
  </si>
  <si>
    <t>CurrentFile=Data/Scripts/System/Regions/WantedRegion.cs; Line=39; SourceLine=public override bool AllowHarmful(Mobile from, Mobile target);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</si>
  <si>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HistoricalFile=Data/Scripts/System/Regions/WantedRegion.cs; Risk=Runtime; POST-BATCH-K is audit/runtime-surface triage only. No command names, gump button IDs, PlayerMobile fields, region policy, XML/config, save layout, or gameplay behavior changed.</t>
  </si>
  <si>
    <t>RB-02543</t>
  </si>
  <si>
    <t>P10-F02543</t>
  </si>
  <si>
    <t>PBK-0611</t>
  </si>
  <si>
    <t>CurrentFile=Data/Scripts/System/Regions/WantedRegion.cs; Line=53; SourceLine=public override void OnEnter(Mobile m); PathResolution=OriginalPathCurrent; MatchQuality=RuntimeHookMapFileLine; HookKind=Region; GuardList=AccessGuard;MapGuard;StateGuard; Access=; Command=; Handler=; DisabledEvidence=False; RuntimeHookMap=HookType=Region;Marker=RegionOverride;Access=GlobalOrInternal;Risk=High;Guards=AccessGuard;MapGuard;StateGuard</t>
  </si>
  <si>
    <t>RB-02551</t>
  </si>
  <si>
    <t>P10-F02551</t>
  </si>
  <si>
    <t>PBK-0615</t>
  </si>
  <si>
    <t>CurrentFile=Data/Scripts/Custom/Government System/Gumps/ResourceBoxGump.cs; Line=341; SourceLine=from.SendGump(new ResourceBoxGump(from, m_Box, m_Page));;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</si>
  <si>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RB-02552</t>
  </si>
  <si>
    <t>P10-F02552</t>
  </si>
  <si>
    <t>PBK-0616</t>
  </si>
  <si>
    <t>CurrentFile=Data/Scripts/Custom/Government System/Gumps/ResourceBoxGump.cs; Line=365; SourceLine=from.SendGump(new ResourceBoxGump(from, m_Box, Pages.Start));;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</si>
  <si>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RB-02553</t>
  </si>
  <si>
    <t>P10-F02553</t>
  </si>
  <si>
    <t>PBK-0617</t>
  </si>
  <si>
    <t>CurrentFile=Data/Scripts/Custom/Government System/Gumps/ResourceBoxGump.cs; Line=369; SourceLine=from.SendGump(new ResourceBoxGump(from, m_Box, (Pages)(BID - 9)));;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</si>
  <si>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RB-02554</t>
  </si>
  <si>
    <t>P10-F02554</t>
  </si>
  <si>
    <t>PBK-0618</t>
  </si>
  <si>
    <t>CurrentFile=Data/Scripts/Custom/Government System/Gumps/ResourceBoxGump.cs; Line=410; SourceLine=typer.SendGump(new ResourceBoxGump(typer, m_Box, m_Page));;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</si>
  <si>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RB-02555</t>
  </si>
  <si>
    <t>P10-F02555</t>
  </si>
  <si>
    <t>PBK-0619</t>
  </si>
  <si>
    <t>CurrentFile=Data/Scripts/Custom/Government System/Prompts/CitizenTitleChangePrompt.cs; Line=26; SourceLine=m_Mayor.SendGump(new CityManagementGump(m_Stone, m_Mayor));; PathResolution=OriginalPathCurrent; MatchQuality=RuntimeHookMapFileLine; HookKind=Gump; GuardList=BoundsGuard;StateGuard; Access=; Command=; Handler=; DisabledEvidence=False; RuntimeHookMap=HookType=Gump;Marker=SendGump;Access=Internal;Risk=High;Guards=BoundsGuard;StateGuard</t>
  </si>
  <si>
    <t>RB-02556</t>
  </si>
  <si>
    <t>P10-F02556</t>
  </si>
  <si>
    <t>PBK-0620</t>
  </si>
  <si>
    <t>CurrentFile=Data/Scripts/Custom/Government System/Prompts/CitizenTitleChangePrompt.cs; Line=46; SourceLine=m_Mayor.SendGump(new CityManagementGump(m_Stone, m_Mayor));; PathResolution=OriginalPathCurrent; MatchQuality=RuntimeHookMapFileLine; HookKind=Gump; GuardList=BoundsGuard;StateGuard; Access=; Command=; Handler=; DisabledEvidence=False; RuntimeHookMap=HookType=Gump;Marker=SendGump;Access=Internal;Risk=High;Guards=BoundsGuard;StateGuard</t>
  </si>
  <si>
    <t>RB-02557</t>
  </si>
  <si>
    <t>P10-F02557</t>
  </si>
  <si>
    <t>PBK-0621</t>
  </si>
  <si>
    <t>CurrentFile=Data/Scripts/Custom/Government System/Prompts/CityCorpseFeePrompt.cs; Line=23;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</si>
  <si>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RB-02558</t>
  </si>
  <si>
    <t>P10-F02558</t>
  </si>
  <si>
    <t>PBK-0622</t>
  </si>
  <si>
    <t>CurrentFile=Data/Scripts/Custom/Government System/Prompts/CityCorpseFeePrompt.cs; Line=63;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</si>
  <si>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RB-02559</t>
  </si>
  <si>
    <t>P10-F02559</t>
  </si>
  <si>
    <t>PBK-0623</t>
  </si>
  <si>
    <t>CurrentFile=Data/Scripts/Custom/Government System/Prompts/CityResFeePrompt.cs; Line=23;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</si>
  <si>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RB-02560</t>
  </si>
  <si>
    <t>P10-F02560</t>
  </si>
  <si>
    <t>PBK-0624</t>
  </si>
  <si>
    <t>CurrentFile=Data/Scripts/Custom/Government System/Prompts/CityResFeePrompt.cs; Line=63;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</si>
  <si>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RB-02561</t>
  </si>
  <si>
    <t>P10-F02561</t>
  </si>
  <si>
    <t>PBK-0625</t>
  </si>
  <si>
    <t>CurrentFile=Data/Scripts/Custom/Government System/Prompts/CityTaxesIncomePrompt.cs; Line=24;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</si>
  <si>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RB-02562</t>
  </si>
  <si>
    <t>P10-F02562</t>
  </si>
  <si>
    <t>PBK-0626</t>
  </si>
  <si>
    <t>CurrentFile=Data/Scripts/Custom/Government System/Prompts/CityTaxesIncomePrompt.cs; Line=73;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</si>
  <si>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RB-02563</t>
  </si>
  <si>
    <t>P10-F02563</t>
  </si>
  <si>
    <t>PBK-0627</t>
  </si>
  <si>
    <t>CurrentFile=Data/Scripts/Custom/Government System/Prompts/CityTaxesPropertyPrompt.cs; Line=23;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</si>
  <si>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RB-02564</t>
  </si>
  <si>
    <t>P10-F02564</t>
  </si>
  <si>
    <t>PBK-0628</t>
  </si>
  <si>
    <t>CurrentFile=Data/Scripts/Custom/Government System/Prompts/CityTaxesPropertyPrompt.cs; Line=69;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</si>
  <si>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RB-02565</t>
  </si>
  <si>
    <t>P10-F02565</t>
  </si>
  <si>
    <t>PBK-0629</t>
  </si>
  <si>
    <t>CurrentFile=Data/Scripts/Custom/Government System/Prompts/CityTaxesTravelPrompt.cs; Line=23;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</si>
  <si>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RB-02566</t>
  </si>
  <si>
    <t>P10-F02566</t>
  </si>
  <si>
    <t>PBK-0630</t>
  </si>
  <si>
    <t>CurrentFile=Data/Scripts/Custom/Government System/Prompts/CityTaxesTravelPrompt.cs; Line=65; SourceLine=m_From.SendGump(new CityManagementGump(m_Stone, m_From));;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</si>
  <si>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RB-02567</t>
  </si>
  <si>
    <t>P10-F02567</t>
  </si>
  <si>
    <t>PBK-0631</t>
  </si>
  <si>
    <t>CurrentFile=Data/Scripts/Custom/Government System/Prompts/CityTreasuryDepoistPrompt.cs; Line=26;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</si>
  <si>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RB-02568</t>
  </si>
  <si>
    <t>P10-F02568</t>
  </si>
  <si>
    <t>PBK-0632</t>
  </si>
  <si>
    <t>CurrentFile=Data/Scripts/Custom/Government System/Prompts/CityTreasuryDepoistPrompt.cs; Line=31; SourceLine=m_From.SendGump(new CityCitizenGump(m_Stone,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</si>
  <si>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RB-02569</t>
  </si>
  <si>
    <t>P10-F02569</t>
  </si>
  <si>
    <t>PBK-0633</t>
  </si>
  <si>
    <t>CurrentFile=Data/Scripts/Custom/Government System/Prompts/CityTreasuryDepoistPrompt.cs; Line=71;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</si>
  <si>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RB-02570</t>
  </si>
  <si>
    <t>P10-F02570</t>
  </si>
  <si>
    <t>PBK-0634</t>
  </si>
  <si>
    <t>CurrentFile=Data/Scripts/Custom/Government System/Prompts/CityTreasuryDepoistPrompt.cs; Line=76; SourceLine=m_From.SendGump(new CityCitizenGump(m_Stone,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</si>
  <si>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RB-02571</t>
  </si>
  <si>
    <t>P10-F02571</t>
  </si>
  <si>
    <t>PBK-0635</t>
  </si>
  <si>
    <t>CurrentFile=Data/Scripts/Custom/Government System/Prompts/CityURLPrompt.cs; Line=23;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</si>
  <si>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RB-02572</t>
  </si>
  <si>
    <t>P10-F02572</t>
  </si>
  <si>
    <t>PBK-0636</t>
  </si>
  <si>
    <t>CurrentFile=Data/Scripts/Custom/Government System/Prompts/CityURLPrompt.cs; Line=40;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t>
  </si>
  <si>
    <t>RB-02573</t>
  </si>
  <si>
    <t>P10-F02573</t>
  </si>
  <si>
    <t>Data/Scripts/Custom/Invasion System/Add Ins/Metal Assemblies/Assembly Analyzer.cs</t>
  </si>
  <si>
    <t>PBK-0637</t>
  </si>
  <si>
    <t>CurrentFile=Data/Scripts/Custom/Invasion System/Add Ins/Metal Assemblies/Assembly Analyzer.cs; Line=71; SourceLine=from.SendGump(new DruidismGump(from, (BaseCreature)creature, 1));;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</si>
  <si>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HistoricalFile=Data/Scripts/Custom/Invasion System/Add Ins/Metal Assemblies/Assembly Analyzer.cs; Risk=Runtime; POST-BATCH-K is audit/runtime-surface triage only. No command names, gump button IDs, PlayerMobile fields, region policy, XML/config, save layout, or gameplay behavior changed.</t>
  </si>
  <si>
    <t>RB-02574</t>
  </si>
  <si>
    <t>P10-F02574</t>
  </si>
  <si>
    <t>PBK-0638</t>
  </si>
  <si>
    <t>CurrentFile=Data/Scripts/Custom/Invasion System/Gump/InvasionGump.cs; Line=23; SourceLine=e.Mobile.SendGump(new CityInvasion(e.Mobile));;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</si>
  <si>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RB-02575</t>
  </si>
  <si>
    <t>P10-F02575</t>
  </si>
  <si>
    <t>PBK-0639</t>
  </si>
  <si>
    <t>CurrentFile=Data/Scripts/Custom/Invasion System/Gump/InvasionGump.cs; Line=206; SourceLine=from.SendGump(new StartStopBritfel(from));;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</si>
  <si>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RB-02576</t>
  </si>
  <si>
    <t>P10-F02576</t>
  </si>
  <si>
    <t>PBK-0640</t>
  </si>
  <si>
    <t>CurrentFile=Data/Scripts/Custom/Invasion System/Gump/InvasionGump.cs; Line=218; SourceLine=from.SendGump(new StartStopMinocfel(from));;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</si>
  <si>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RB-02577</t>
  </si>
  <si>
    <t>P10-F02577</t>
  </si>
  <si>
    <t>PBK-0641</t>
  </si>
  <si>
    <t>CurrentFile=Data/Scripts/Custom/Invasion System/Gump/InvasionGump.cs; Line=237; SourceLine=from.SendGump(new StartStopCovefel(from));;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</si>
  <si>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RB-02578</t>
  </si>
  <si>
    <t>P10-F02578</t>
  </si>
  <si>
    <t>PBK-0642</t>
  </si>
  <si>
    <t>CurrentFile=Data/Scripts/Custom/Invasion System/Gump/InvasionGump.cs; Line=249; SourceLine=from.SendGump(new StartStopBuccaneersDenfel(from));;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</si>
  <si>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RB-02579</t>
  </si>
  <si>
    <t>P10-F02579</t>
  </si>
  <si>
    <t>PBK-0643</t>
  </si>
  <si>
    <t>CurrentFile=Data/Scripts/Custom/Invasion System/Gump/InvasionGump.cs; Line=261; SourceLine=from.SendGump(new StartStopTrinsicfel(from));;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</si>
  <si>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RB-02580</t>
  </si>
  <si>
    <t>P10-F02580</t>
  </si>
  <si>
    <t>PBK-0644</t>
  </si>
  <si>
    <t>CurrentFile=Data/Scripts/Custom/Invasion System/Gump/InvasionGump.cs; Line=273; SourceLine=from.SendGump(new StartStopVesperfel(from));;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</si>
  <si>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RB-02581</t>
  </si>
  <si>
    <t>P10-F02581</t>
  </si>
  <si>
    <t>PBK-0645</t>
  </si>
  <si>
    <t>CurrentFile=Data/Scripts/Custom/Invasion System/Gump/InvasionGump.cs; Line=285; SourceLine=from.SendGump(new StartStopSkaraBraefel(from));;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</si>
  <si>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RB-02582</t>
  </si>
  <si>
    <t>P10-F02582</t>
  </si>
  <si>
    <t>PBK-0646</t>
  </si>
  <si>
    <t>CurrentFile=Data/Scripts/Custom/Invasion System/Gump/InvasionGump.cs; Line=297; SourceLine=from.SendGump(new StartStopMaginciafel(from));;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</si>
  <si>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RB-02583</t>
  </si>
  <si>
    <t>P10-F02583</t>
  </si>
  <si>
    <t>PBK-0647</t>
  </si>
  <si>
    <t>CurrentFile=Data/Scripts/Custom/Invasion System/Gump/InvasionGump.cs; Line=309; SourceLine=from.SendGump(new StartStopYewfel(from));;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</si>
  <si>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RB-02584</t>
  </si>
  <si>
    <t>P10-F02584</t>
  </si>
  <si>
    <t>PBK-0648</t>
  </si>
  <si>
    <t>CurrentFile=Data/Scripts/Custom/Invasion System/Gump/InvasionGump.cs; Line=321; SourceLine=from.SendGump(new StartStopBrittram(from));;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</si>
  <si>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RB-02585</t>
  </si>
  <si>
    <t>P10-F02585</t>
  </si>
  <si>
    <t>PBK-0649</t>
  </si>
  <si>
    <t>CurrentFile=Data/Scripts/Custom/Invasion System/Gump/InvasionGump.cs; Line=333; SourceLine=from.SendGump(new StartStopMinoctram(from));;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</si>
  <si>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RB-02586</t>
  </si>
  <si>
    <t>P10-F02586</t>
  </si>
  <si>
    <t>PBK-0650</t>
  </si>
  <si>
    <t>CurrentFile=Data/Scripts/Custom/Invasion System/Gump/InvasionGump.cs; Line=345; SourceLine=from.SendGump(new StartStopCovetram(from));;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</si>
  <si>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RB-02587</t>
  </si>
  <si>
    <t>P10-F02587</t>
  </si>
  <si>
    <t>PBK-0651</t>
  </si>
  <si>
    <t>CurrentFile=Data/Scripts/Custom/Invasion System/Gump/InvasionGump.cs; Line=357; SourceLine=from.SendGump(new StartStopBuccaneersDentram(from));;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</si>
  <si>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RB-02588</t>
  </si>
  <si>
    <t>P10-F02588</t>
  </si>
  <si>
    <t>PBK-0652</t>
  </si>
  <si>
    <t>CurrentFile=Data/Scripts/Custom/Invasion System/Gump/InvasionGump.cs; Line=370; SourceLine=from.SendGump(new StartStopTrinsictram(from));;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</si>
  <si>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RB-02589</t>
  </si>
  <si>
    <t>P10-F02589</t>
  </si>
  <si>
    <t>PBK-0653</t>
  </si>
  <si>
    <t>CurrentFile=Data/Scripts/Custom/Invasion System/Gump/InvasionGump.cs; Line=382; SourceLine=from.SendGump(new StartStopVespertram(from));;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</si>
  <si>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RB-02590</t>
  </si>
  <si>
    <t>P10-F02590</t>
  </si>
  <si>
    <t>PBK-0654</t>
  </si>
  <si>
    <t>CurrentFile=Data/Scripts/Custom/Invasion System/Gump/InvasionGump.cs; Line=394; SourceLine=from.SendGump(new StartStopSkaraBraetram(from));;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</si>
  <si>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RB-02591</t>
  </si>
  <si>
    <t>P10-F02591</t>
  </si>
  <si>
    <t>PBK-0655</t>
  </si>
  <si>
    <t>CurrentFile=Data/Scripts/Custom/Invasion System/Gump/InvasionGump.cs; Line=406; SourceLine=from.SendGump(new StartStopMaginciatram(from));;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</si>
  <si>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RB-02592</t>
  </si>
  <si>
    <t>P10-F02592</t>
  </si>
  <si>
    <t>PBK-0656</t>
  </si>
  <si>
    <t>CurrentFile=Data/Scripts/Custom/Invasion System/Gump/InvasionGump.cs; Line=418; SourceLine=from.SendGump(new StartStopYewtram(from));;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</si>
  <si>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RB-02593</t>
  </si>
  <si>
    <t>P10-F02593</t>
  </si>
  <si>
    <t>PBK-0657</t>
  </si>
  <si>
    <t>CurrentFile=Data/Scripts/Custom/Invasion System/Gump/InvasionGump.cs; Line=431; SourceLine=from.SendGump(new StartStopNujelmtram(from));;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</si>
  <si>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RB-02594</t>
  </si>
  <si>
    <t>P10-F02594</t>
  </si>
  <si>
    <t>PBK-0658</t>
  </si>
  <si>
    <t>CurrentFile=Data/Scripts/Custom/Invasion System/Gump/InvasionGump.cs; Line=443; SourceLine=from.SendGump(new StartStopNujelmtram(from));;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</si>
  <si>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RB-02595</t>
  </si>
  <si>
    <t>P10-F02595</t>
  </si>
  <si>
    <t>PBK-0659</t>
  </si>
  <si>
    <t>CurrentFile=Data/Scripts/Custom/Invasion System/Gump/InvasionGump.cs; Line=455; SourceLine=from.SendGump(new StartStopMistasilsh(from));;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</si>
  <si>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RB-02596</t>
  </si>
  <si>
    <t>P10-F02596</t>
  </si>
  <si>
    <t>PBK-0660</t>
  </si>
  <si>
    <t>CurrentFile=Data/Scripts/Custom/Invasion System/Gump/InvasionGump.cs; Line=467; SourceLine=from.SendGump(new StartStopMontorilsh(from));;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</si>
  <si>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RB-02597</t>
  </si>
  <si>
    <t>P10-F02597</t>
  </si>
  <si>
    <t>PBK-0661</t>
  </si>
  <si>
    <t>CurrentFile=Data/Scripts/Custom/Invasion System/Gump/InvasionGump.cs; Line=479; SourceLine=from.SendGump(new StartStopRegVolonilsh(from));;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</si>
  <si>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RB-02598</t>
  </si>
  <si>
    <t>P10-F02598</t>
  </si>
  <si>
    <t>PBK-0662</t>
  </si>
  <si>
    <t>CurrentFile=Data/Scripts/Custom/Invasion System/Gump/InvasionGump.cs; Line=491; SourceLine=from.SendGump(new StartStopSavageCampilsh(from));;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</si>
  <si>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RB-02599</t>
  </si>
  <si>
    <t>P10-F02599</t>
  </si>
  <si>
    <t>PBK-0663</t>
  </si>
  <si>
    <t>CurrentFile=Data/Scripts/Custom/Invasion System/Gump/InvasionGump.cs; Line=503; SourceLine=from.SendGump(new StartStopGargoyleCityilsh(from));;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</si>
  <si>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RB-02600</t>
  </si>
  <si>
    <t>P10-F02600</t>
  </si>
  <si>
    <t>PBK-0664</t>
  </si>
  <si>
    <t>CurrentFile=Data/Scripts/Custom/Invasion System/Gump/InvasionGump.cs; Line=515; SourceLine=from.SendGump(new StartStopLakeShireMiregilsh(from));;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</si>
  <si>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RB-02601</t>
  </si>
  <si>
    <t>P10-F02601</t>
  </si>
  <si>
    <t>PBK-0665</t>
  </si>
  <si>
    <t>CurrentFile=Data/Scripts/Custom/Invasion System/Gump/InvasionGump.cs; Line=527; SourceLine=from.SendGump(new StartStopAncientCitadelilsh(from));;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</si>
  <si>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RB-02602</t>
  </si>
  <si>
    <t>P10-F02602</t>
  </si>
  <si>
    <t>PBK-0666</t>
  </si>
  <si>
    <t>CurrentFile=Data/Scripts/Custom/Invasion System/Gump/InvasionGump.cs; Line=539; SourceLine=from.SendGump(new StartStopTerortSkitasilsh(from));;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</si>
  <si>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RB-02603</t>
  </si>
  <si>
    <t>P10-F02603</t>
  </si>
  <si>
    <t>PBK-0667</t>
  </si>
  <si>
    <t>CurrentFile=Data/Scripts/Custom/Invasion System/Gump/InvasionGump.cs; Line=551; SourceLine=from.SendGump(new StartStopLunaSerpentIsland(from));;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</si>
  <si>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RB-02604</t>
  </si>
  <si>
    <t>P10-F02604</t>
  </si>
  <si>
    <t>PBK-0668</t>
  </si>
  <si>
    <t>CurrentFile=Data/Scripts/Custom/Invasion System/Gump/InvasionGump.cs; Line=563; SourceLine=from.SendGump(new StartStopUmbraSerpentIsland(from));;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</si>
  <si>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RB-02605</t>
  </si>
  <si>
    <t>P10-F02605</t>
  </si>
  <si>
    <t>PBK-0669</t>
  </si>
  <si>
    <t>CurrentFile=Data/Scripts/Custom/Invasion System/Lodor/StartStopBritFelucca.cs;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</si>
  <si>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RB-02606</t>
  </si>
  <si>
    <t>P10-F02606</t>
  </si>
  <si>
    <t>PBK-0670</t>
  </si>
  <si>
    <t>CurrentFile=Data/Scripts/Custom/Invasion System/Lodor/StartStopBritFelucca.cs; Line=689;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</si>
  <si>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RB-02607</t>
  </si>
  <si>
    <t>P10-F02607</t>
  </si>
  <si>
    <t>PBK-0671</t>
  </si>
  <si>
    <t>CurrentFile=Data/Scripts/Custom/Invasion System/Lodor/StartStopBritFelucca.cs; Line=701;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</si>
  <si>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RB-02608</t>
  </si>
  <si>
    <t>P10-F02608</t>
  </si>
  <si>
    <t>PBK-0672</t>
  </si>
  <si>
    <t>CurrentFile=Data/Scripts/Custom/Invasion System/Lodor/StartstopBuccaneersDenFelucca.cs;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</si>
  <si>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RB-02609</t>
  </si>
  <si>
    <t>P10-F02609</t>
  </si>
  <si>
    <t>PBK-0673</t>
  </si>
  <si>
    <t>CurrentFile=Data/Scripts/Custom/Invasion System/Lodor/StartstopBuccaneersDenFelucca.cs; Line=449;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</si>
  <si>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RB-02610</t>
  </si>
  <si>
    <t>P10-F02610</t>
  </si>
  <si>
    <t>PBK-0674</t>
  </si>
  <si>
    <t>CurrentFile=Data/Scripts/Custom/Invasion System/Lodor/StartstopBuccaneersDenFelucca.cs; Line=461;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</si>
  <si>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RB-02611</t>
  </si>
  <si>
    <t>P10-F02611</t>
  </si>
  <si>
    <t>PBK-0675</t>
  </si>
  <si>
    <t>CurrentFile=Data/Scripts/Custom/Invasion System/Lodor/StartstopCoveFelucca.cs;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</si>
  <si>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RB-02612</t>
  </si>
  <si>
    <t>P10-F02612</t>
  </si>
  <si>
    <t>PBK-0676</t>
  </si>
  <si>
    <t>CurrentFile=Data/Scripts/Custom/Invasion System/Lodor/StartstopCoveFelucca.cs; Line=406;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</si>
  <si>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RB-02613</t>
  </si>
  <si>
    <t>P10-F02613</t>
  </si>
  <si>
    <t>PBK-0677</t>
  </si>
  <si>
    <t>CurrentFile=Data/Scripts/Custom/Invasion System/Lodor/StartstopCoveFelucca.cs; Line=418;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</si>
  <si>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RB-02614</t>
  </si>
  <si>
    <t>P10-F02614</t>
  </si>
  <si>
    <t>PBK-0678</t>
  </si>
  <si>
    <t>CurrentFile=Data/Scripts/Custom/Invasion System/Lodor/StartstopNujelmFelucca.cs;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</si>
  <si>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RB-02615</t>
  </si>
  <si>
    <t>P10-F02615</t>
  </si>
  <si>
    <t>PBK-0679</t>
  </si>
  <si>
    <t>CurrentFile=Data/Scripts/Custom/Invasion System/Lodor/StartstopNujelmFelucca.cs;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</si>
  <si>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RB-02616</t>
  </si>
  <si>
    <t>P10-F02616</t>
  </si>
  <si>
    <t>PBK-0680</t>
  </si>
  <si>
    <t>CurrentFile=Data/Scripts/Custom/Invasion System/Lodor/StartstopNujelmFelucca.cs;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</si>
  <si>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RB-02617</t>
  </si>
  <si>
    <t>P10-F02617</t>
  </si>
  <si>
    <t>PBK-0681</t>
  </si>
  <si>
    <t>CurrentFile=Data/Scripts/Custom/Invasion System/Lodor/StartstopSkaraBraeFelucca.cs;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</si>
  <si>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RB-02618</t>
  </si>
  <si>
    <t>P10-F02618</t>
  </si>
  <si>
    <t>PBK-0682</t>
  </si>
  <si>
    <t>CurrentFile=Data/Scripts/Custom/Invasion System/Lodor/StartstopSkaraBraeFelucca.cs;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</si>
  <si>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RB-02619</t>
  </si>
  <si>
    <t>P10-F02619</t>
  </si>
  <si>
    <t>PBK-0683</t>
  </si>
  <si>
    <t>CurrentFile=Data/Scripts/Custom/Invasion System/Lodor/StartstopSkaraBraeFelucca.cs;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</si>
  <si>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RB-02620</t>
  </si>
  <si>
    <t>P10-F02620</t>
  </si>
  <si>
    <t>PBK-0684</t>
  </si>
  <si>
    <t>CurrentFile=Data/Scripts/Custom/Invasion System/Lodor/StartstopTrinsicFelucca.cs;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</si>
  <si>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RB-02621</t>
  </si>
  <si>
    <t>P10-F02621</t>
  </si>
  <si>
    <t>PBK-0685</t>
  </si>
  <si>
    <t>CurrentFile=Data/Scripts/Custom/Invasion System/Lodor/StartstopTrinsicFelucca.cs;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</si>
  <si>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RB-02622</t>
  </si>
  <si>
    <t>P10-F02622</t>
  </si>
  <si>
    <t>PBK-0686</t>
  </si>
  <si>
    <t>CurrentFile=Data/Scripts/Custom/Invasion System/Lodor/StartstopTrinsicFelucca.cs;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</si>
  <si>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RB-02623</t>
  </si>
  <si>
    <t>P10-F02623</t>
  </si>
  <si>
    <t>PBK-0687</t>
  </si>
  <si>
    <t>CurrentFile=Data/Scripts/Custom/Invasion System/Lodor/StartstopVesperFelucca.cs;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</si>
  <si>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RB-02624</t>
  </si>
  <si>
    <t>P10-F02624</t>
  </si>
  <si>
    <t>PBK-0688</t>
  </si>
  <si>
    <t>CurrentFile=Data/Scripts/Custom/Invasion System/Lodor/StartstopVesperFelucca.cs;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</si>
  <si>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RB-02625</t>
  </si>
  <si>
    <t>P10-F02625</t>
  </si>
  <si>
    <t>PBK-0689</t>
  </si>
  <si>
    <t>CurrentFile=Data/Scripts/Custom/Invasion System/Lodor/StartstopVesperFelucca.cs;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</si>
  <si>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RB-02626</t>
  </si>
  <si>
    <t>P10-F02626</t>
  </si>
  <si>
    <t>PBK-0690</t>
  </si>
  <si>
    <t>CurrentFile=Data/Scripts/Custom/Invasion System/Lodor/StartstopYewFelucca.cs;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</si>
  <si>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RB-02627</t>
  </si>
  <si>
    <t>P10-F02627</t>
  </si>
  <si>
    <t>PBK-0691</t>
  </si>
  <si>
    <t>CurrentFile=Data/Scripts/Custom/Invasion System/Lodor/StartstopYewFelucca.cs;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</si>
  <si>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RB-02628</t>
  </si>
  <si>
    <t>P10-F02628</t>
  </si>
  <si>
    <t>PBK-0692</t>
  </si>
  <si>
    <t>CurrentFile=Data/Scripts/Custom/Invasion System/Lodor/StartstopYewFelucca.cs;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</si>
  <si>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RB-02629</t>
  </si>
  <si>
    <t>P10-F02629</t>
  </si>
  <si>
    <t>PBK-0693</t>
  </si>
  <si>
    <t>CurrentFile=Data/Scripts/Custom/Invasion System/SerpentIsland/StartstopLunaMalas.cs;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</si>
  <si>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RB-02630</t>
  </si>
  <si>
    <t>P10-F02630</t>
  </si>
  <si>
    <t>PBK-0694</t>
  </si>
  <si>
    <t>CurrentFile=Data/Scripts/Custom/Invasion System/SerpentIsland/StartstopLunaMalas.cs;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</si>
  <si>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RB-02631</t>
  </si>
  <si>
    <t>P10-F02631</t>
  </si>
  <si>
    <t>PBK-0695</t>
  </si>
  <si>
    <t>CurrentFile=Data/Scripts/Custom/Invasion System/SerpentIsland/StartstopLunaMalas.cs;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</si>
  <si>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RB-02632</t>
  </si>
  <si>
    <t>P10-F02632</t>
  </si>
  <si>
    <t>PBK-0696</t>
  </si>
  <si>
    <t>CurrentFile=Data/Scripts/Custom/Invasion System/SerpentIsland/StartstopUmbraMalas.cs;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</si>
  <si>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RB-02633</t>
  </si>
  <si>
    <t>P10-F02633</t>
  </si>
  <si>
    <t>PBK-0697</t>
  </si>
  <si>
    <t>CurrentFile=Data/Scripts/Custom/Invasion System/SerpentIsland/StartstopUmbraMalas.cs;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</si>
  <si>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RB-02634</t>
  </si>
  <si>
    <t>P10-F02634</t>
  </si>
  <si>
    <t>PBK-0698</t>
  </si>
  <si>
    <t>CurrentFile=Data/Scripts/Custom/Invasion System/SerpentIsland/StartstopUmbraMalas.cs;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</si>
  <si>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RB-02635</t>
  </si>
  <si>
    <t>P10-F02635</t>
  </si>
  <si>
    <t>PBK-0699</t>
  </si>
  <si>
    <t>CurrentFile=Data/Scripts/Custom/Invasion System/Sosaria/StartstopBuccaneersDenTrammel.cs;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</si>
  <si>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RB-02636</t>
  </si>
  <si>
    <t>P10-F02636</t>
  </si>
  <si>
    <t>PBK-0700</t>
  </si>
  <si>
    <t>CurrentFile=Data/Scripts/Custom/Invasion System/Sosaria/StartstopBuccaneersDenTrammel.cs; Line=449;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</si>
  <si>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RB-02637</t>
  </si>
  <si>
    <t>P10-F02637</t>
  </si>
  <si>
    <t>PBK-0701</t>
  </si>
  <si>
    <t>CurrentFile=Data/Scripts/Custom/Invasion System/Sosaria/StartstopBuccaneersDenTrammel.cs; Line=461;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</si>
  <si>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RB-02638</t>
  </si>
  <si>
    <t>P10-F02638</t>
  </si>
  <si>
    <t>PBK-0702</t>
  </si>
  <si>
    <t>CurrentFile=Data/Scripts/Custom/Invasion System/Sosaria/StartstopCoveTrammel.cs;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</si>
  <si>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RB-02639</t>
  </si>
  <si>
    <t>P10-F02639</t>
  </si>
  <si>
    <t>PBK-0703</t>
  </si>
  <si>
    <t>CurrentFile=Data/Scripts/Custom/Invasion System/Sosaria/StartstopCoveTrammel.cs; Line=406;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</si>
  <si>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RB-02640</t>
  </si>
  <si>
    <t>P10-F02640</t>
  </si>
  <si>
    <t>PBK-0704</t>
  </si>
  <si>
    <t>CurrentFile=Data/Scripts/Custom/Invasion System/Sosaria/StartstopCoveTrammel.cs; Line=418;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</si>
  <si>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RB-02641</t>
  </si>
  <si>
    <t>P10-F02641</t>
  </si>
  <si>
    <t>PBK-0705</t>
  </si>
  <si>
    <t>CurrentFile=Data/Scripts/Custom/Invasion System/Sosaria/StartstopNujelmTrammel.cs;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</si>
  <si>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RB-02642</t>
  </si>
  <si>
    <t>P10-F02642</t>
  </si>
  <si>
    <t>PBK-0706</t>
  </si>
  <si>
    <t>CurrentFile=Data/Scripts/Custom/Invasion System/Sosaria/StartstopNujelmTrammel.cs;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</si>
  <si>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RB-02643</t>
  </si>
  <si>
    <t>P10-F02643</t>
  </si>
  <si>
    <t>PBK-0707</t>
  </si>
  <si>
    <t>CurrentFile=Data/Scripts/Custom/Invasion System/Sosaria/StartstopNujelmTrammel.cs;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</si>
  <si>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RB-02644</t>
  </si>
  <si>
    <t>P10-F02644</t>
  </si>
  <si>
    <t>PBK-0708</t>
  </si>
  <si>
    <t>CurrentFile=Data/Scripts/Custom/Invasion System/Sosaria/StartstopSkaraBraeTrammel.cs;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</si>
  <si>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RB-02645</t>
  </si>
  <si>
    <t>P10-F02645</t>
  </si>
  <si>
    <t>PBK-0709</t>
  </si>
  <si>
    <t>CurrentFile=Data/Scripts/Custom/Invasion System/Sosaria/StartstopSkaraBraeTrammel.cs;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</si>
  <si>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RB-02646</t>
  </si>
  <si>
    <t>P10-F02646</t>
  </si>
  <si>
    <t>PBK-0710</t>
  </si>
  <si>
    <t>CurrentFile=Data/Scripts/Custom/Invasion System/Sosaria/StartstopSkaraBraeTrammel.cs;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</si>
  <si>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RB-02647</t>
  </si>
  <si>
    <t>P10-F02647</t>
  </si>
  <si>
    <t>PBK-0711</t>
  </si>
  <si>
    <t>CurrentFile=Data/Scripts/Custom/Invasion System/Sosaria/StartstopTrinsicTrammel.cs;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</si>
  <si>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RB-02648</t>
  </si>
  <si>
    <t>P10-F02648</t>
  </si>
  <si>
    <t>PBK-0712</t>
  </si>
  <si>
    <t>CurrentFile=Data/Scripts/Custom/Invasion System/Sosaria/StartstopTrinsicTrammel.cs;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</si>
  <si>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RB-02649</t>
  </si>
  <si>
    <t>P10-F02649</t>
  </si>
  <si>
    <t>PBK-0713</t>
  </si>
  <si>
    <t>CurrentFile=Data/Scripts/Custom/Invasion System/Sosaria/StartstopTrinsicTrammel.cs;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</si>
  <si>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RB-02650</t>
  </si>
  <si>
    <t>P10-F02650</t>
  </si>
  <si>
    <t>PBK-0714</t>
  </si>
  <si>
    <t>CurrentFile=Data/Scripts/Custom/Invasion System/Sosaria/StartstopVesperTrammel.cs;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</si>
  <si>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RB-02651</t>
  </si>
  <si>
    <t>P10-F02651</t>
  </si>
  <si>
    <t>PBK-0715</t>
  </si>
  <si>
    <t>CurrentFile=Data/Scripts/Custom/Invasion System/Sosaria/StartstopVesperTrammel.cs;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</si>
  <si>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RB-02652</t>
  </si>
  <si>
    <t>P10-F02652</t>
  </si>
  <si>
    <t>PBK-0716</t>
  </si>
  <si>
    <t>CurrentFile=Data/Scripts/Custom/Invasion System/Sosaria/StartstopVesperTrammel.cs;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</si>
  <si>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RB-02653</t>
  </si>
  <si>
    <t>P10-F02653</t>
  </si>
  <si>
    <t>PBK-0717</t>
  </si>
  <si>
    <t>CurrentFile=Data/Scripts/Custom/Invasion System/Sosaria/StartstopYewTrammel.cs;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</si>
  <si>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RB-02654</t>
  </si>
  <si>
    <t>P10-F02654</t>
  </si>
  <si>
    <t>PBK-0718</t>
  </si>
  <si>
    <t>CurrentFile=Data/Scripts/Custom/Invasion System/Sosaria/StartstopYewTrammel.cs;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</si>
  <si>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RB-02655</t>
  </si>
  <si>
    <t>P10-F02655</t>
  </si>
  <si>
    <t>PBK-0719</t>
  </si>
  <si>
    <t>CurrentFile=Data/Scripts/Custom/Invasion System/Sosaria/StartstopYewTrammel.cs;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</si>
  <si>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RB-02656</t>
  </si>
  <si>
    <t>P10-F02656</t>
  </si>
  <si>
    <t>PBK-0720</t>
  </si>
  <si>
    <t>CurrentFile=Data/Scripts/Custom/Invasion System/Underworld/StartstoGargoyleCityIlshenar.cs;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</si>
  <si>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RB-02657</t>
  </si>
  <si>
    <t>P10-F02657</t>
  </si>
  <si>
    <t>PBK-0721</t>
  </si>
  <si>
    <t>CurrentFile=Data/Scripts/Custom/Invasion System/Underworld/StartstoGargoyleCityIlshenar.cs;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</si>
  <si>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RB-02658</t>
  </si>
  <si>
    <t>P10-F02658</t>
  </si>
  <si>
    <t>PBK-0722</t>
  </si>
  <si>
    <t>CurrentFile=Data/Scripts/Custom/Invasion System/Underworld/StartstoGargoyleCityIlshenar.cs;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</si>
  <si>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RB-02659</t>
  </si>
  <si>
    <t>P10-F02659</t>
  </si>
  <si>
    <t>PBK-0723</t>
  </si>
  <si>
    <t>CurrentFile=Data/Scripts/Custom/Invasion System/Underworld/StartstopAncientCitadelIlshenar.cs;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</si>
  <si>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RB-02660</t>
  </si>
  <si>
    <t>P10-F02660</t>
  </si>
  <si>
    <t>PBK-0724</t>
  </si>
  <si>
    <t>CurrentFile=Data/Scripts/Custom/Invasion System/Underworld/StartstopAncientCitadelIlshenar.cs;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</si>
  <si>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RB-02661</t>
  </si>
  <si>
    <t>P10-F02661</t>
  </si>
  <si>
    <t>PBK-0725</t>
  </si>
  <si>
    <t>CurrentFile=Data/Scripts/Custom/Invasion System/Underworld/StartstopAncientCitadelIlshenar.cs;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</si>
  <si>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RB-02662</t>
  </si>
  <si>
    <t>P10-F02662</t>
  </si>
  <si>
    <t>PBK-0726</t>
  </si>
  <si>
    <t>CurrentFile=Data/Scripts/Custom/Invasion System/Underworld/StartstopLakeShireMiregIlshenar.cs;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</si>
  <si>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RB-02663</t>
  </si>
  <si>
    <t>P10-F02663</t>
  </si>
  <si>
    <t>PBK-0727</t>
  </si>
  <si>
    <t>CurrentFile=Data/Scripts/Custom/Invasion System/Underworld/StartstopLakeShireMiregIlshenar.cs;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</si>
  <si>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RB-02664</t>
  </si>
  <si>
    <t>P10-F02664</t>
  </si>
  <si>
    <t>PBK-0728</t>
  </si>
  <si>
    <t>CurrentFile=Data/Scripts/Custom/Invasion System/Underworld/StartstopLakeShireMiregIlshenar.cs;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</si>
  <si>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RB-02665</t>
  </si>
  <si>
    <t>P10-F02665</t>
  </si>
  <si>
    <t>PBK-0729</t>
  </si>
  <si>
    <t>CurrentFile=Data/Scripts/Custom/Invasion System/Underworld/StartstopMistasIlshenar.cs;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</si>
  <si>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RB-02666</t>
  </si>
  <si>
    <t>P10-F02666</t>
  </si>
  <si>
    <t>PBK-0730</t>
  </si>
  <si>
    <t>CurrentFile=Data/Scripts/Custom/Invasion System/Underworld/StartstopMistasIlshenar.cs;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</si>
  <si>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RB-02667</t>
  </si>
  <si>
    <t>P10-F02667</t>
  </si>
  <si>
    <t>PBK-0731</t>
  </si>
  <si>
    <t>CurrentFile=Data/Scripts/Custom/Invasion System/Underworld/StartstopMistasIlshenar.cs;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</si>
  <si>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RB-02668</t>
  </si>
  <si>
    <t>P10-F02668</t>
  </si>
  <si>
    <t>PBK-0732</t>
  </si>
  <si>
    <t>CurrentFile=Data/Scripts/Custom/Invasion System/Underworld/StartstopMontorIlshenar.cs;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</si>
  <si>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RB-02669</t>
  </si>
  <si>
    <t>P10-F02669</t>
  </si>
  <si>
    <t>PBK-0733</t>
  </si>
  <si>
    <t>CurrentFile=Data/Scripts/Custom/Invasion System/Underworld/StartstopMontorIlshenar.cs;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</si>
  <si>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RB-02670</t>
  </si>
  <si>
    <t>P10-F02670</t>
  </si>
  <si>
    <t>PBK-0734</t>
  </si>
  <si>
    <t>CurrentFile=Data/Scripts/Custom/Invasion System/Underworld/StartstopMontorIlshenar.cs;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</si>
  <si>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RB-02671</t>
  </si>
  <si>
    <t>P10-F02671</t>
  </si>
  <si>
    <t>PBK-0735</t>
  </si>
  <si>
    <t>CurrentFile=Data/Scripts/Custom/Invasion System/Underworld/StartstopRegValomIlshenar.cs;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</si>
  <si>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RB-02672</t>
  </si>
  <si>
    <t>P10-F02672</t>
  </si>
  <si>
    <t>PBK-0736</t>
  </si>
  <si>
    <t>CurrentFile=Data/Scripts/Custom/Invasion System/Underworld/StartstopRegValomIlshenar.cs;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</si>
  <si>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RB-02673</t>
  </si>
  <si>
    <t>P10-F02673</t>
  </si>
  <si>
    <t>PBK-0737</t>
  </si>
  <si>
    <t>CurrentFile=Data/Scripts/Custom/Invasion System/Underworld/StartstopRegValomIlshenar.cs;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</si>
  <si>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RB-02674</t>
  </si>
  <si>
    <t>P10-F02674</t>
  </si>
  <si>
    <t>PBK-0738</t>
  </si>
  <si>
    <t>CurrentFile=Data/Scripts/Custom/Invasion System/Underworld/StartstopSavageCampIlshenar.cs;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</si>
  <si>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RB-02675</t>
  </si>
  <si>
    <t>P10-F02675</t>
  </si>
  <si>
    <t>PBK-0739</t>
  </si>
  <si>
    <t>CurrentFile=Data/Scripts/Custom/Invasion System/Underworld/StartstopSavageCampIlshenar.cs;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</si>
  <si>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RB-02676</t>
  </si>
  <si>
    <t>P10-F02676</t>
  </si>
  <si>
    <t>PBK-0740</t>
  </si>
  <si>
    <t>CurrentFile=Data/Scripts/Custom/Invasion System/Underworld/StartstopSavageCampIlshenar.cs;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</si>
  <si>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RB-02677</t>
  </si>
  <si>
    <t>P10-F02677</t>
  </si>
  <si>
    <t>PBK-0741</t>
  </si>
  <si>
    <t>CurrentFile=Data/Scripts/Custom/Invasion System/Underworld/StartstopTerortSkitasIlshenar.cs; Line=39;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</si>
  <si>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RB-02678</t>
  </si>
  <si>
    <t>P10-F02678</t>
  </si>
  <si>
    <t>PBK-0742</t>
  </si>
  <si>
    <t>CurrentFile=Data/Scripts/Custom/Invasion System/Underworld/StartstopTerortSkitasIlshenar.cs; Line=83;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</si>
  <si>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RB-02679</t>
  </si>
  <si>
    <t>P10-F02679</t>
  </si>
  <si>
    <t>PBK-0743</t>
  </si>
  <si>
    <t>CurrentFile=Data/Scripts/Custom/Invasion System/Underworld/StartstopTerortSkitasIlshenar.cs; Line=95; SourceLine=from.SendGump(new CityInvasion(from));; PathResolution=OriginalPathCurrent; MatchQuality=RuntimeHookMapFileLine; HookKind=Gump; GuardList=BoundsGuard;MapGuard;StateGuard; Access=; Command=; Handler=; DisabledEvidence=False; RuntimeHookMap=HookType=Gump;Marker=SendGump;Access=Internal;Risk=High;Guards=BoundsGuard;MapGuard;StateGuard</t>
  </si>
  <si>
    <t>RB-02680</t>
  </si>
  <si>
    <t>P10-F02680</t>
  </si>
  <si>
    <t>PBK-0744</t>
  </si>
  <si>
    <t>CurrentFile=Data/Scripts/Custom/StaffTools/StaticGumpTool/StaticGump(Alternative).cs; Line=36;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</si>
  <si>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RB-02681</t>
  </si>
  <si>
    <t>P10-F02681</t>
  </si>
  <si>
    <t>PBK-0745</t>
  </si>
  <si>
    <t>CurrentFile=Data/Scripts/Custom/StaffTools/StaticGumpTool/StaticGump(Alternative).cs; Line=482;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</si>
  <si>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RB-02682</t>
  </si>
  <si>
    <t>P10-F02682</t>
  </si>
  <si>
    <t>PBK-0746</t>
  </si>
  <si>
    <t>CurrentFile=Data/Scripts/Custom/StaffTools/StaticGumpTool/StaticGump(Alternative).cs; Line=488;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</si>
  <si>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RB-02683</t>
  </si>
  <si>
    <t>P10-F02683</t>
  </si>
  <si>
    <t>PBK-0747</t>
  </si>
  <si>
    <t>CurrentFile=Data/Scripts/Custom/StaffTools/StaticGumpTool/StaticGump(Alternative).cs; Line=494;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</si>
  <si>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RB-02684</t>
  </si>
  <si>
    <t>P10-F02684</t>
  </si>
  <si>
    <t>PBK-0748</t>
  </si>
  <si>
    <t>CurrentFile=Data/Scripts/Custom/StaffTools/StaticGumpTool/StaticGump(Alternative).cs; Line=500;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</si>
  <si>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RB-02685</t>
  </si>
  <si>
    <t>P10-F02685</t>
  </si>
  <si>
    <t>PBK-0749</t>
  </si>
  <si>
    <t>CurrentFile=Data/Scripts/Custom/StaffTools/StaticGumpTool/StaticGump(Alternative).cs; Line=506;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</si>
  <si>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RB-02686</t>
  </si>
  <si>
    <t>P10-F02686</t>
  </si>
  <si>
    <t>PBK-0750</t>
  </si>
  <si>
    <t>CurrentFile=Data/Scripts/Custom/StaffTools/StaticGumpTool/StaticGump(Alternative).cs; Line=512;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</si>
  <si>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RB-02687</t>
  </si>
  <si>
    <t>P10-F02687</t>
  </si>
  <si>
    <t>PBK-0751</t>
  </si>
  <si>
    <t>CurrentFile=Data/Scripts/Custom/StaffTools/StaticGumpTool/StaticGump(Alternative).cs; Line=518;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</si>
  <si>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RB-02688</t>
  </si>
  <si>
    <t>P10-F02688</t>
  </si>
  <si>
    <t>PBK-0752</t>
  </si>
  <si>
    <t>CurrentFile=Data/Scripts/Custom/StaffTools/StaticGumpTool/StaticGump(Alternative).cs; Line=524;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</si>
  <si>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RB-02689</t>
  </si>
  <si>
    <t>P10-F02689</t>
  </si>
  <si>
    <t>PBK-0753</t>
  </si>
  <si>
    <t>CurrentFile=Data/Scripts/Custom/StaffTools/StaticGumpTool/StaticGump(Alternative).cs; Line=530;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</si>
  <si>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RB-02690</t>
  </si>
  <si>
    <t>P10-F02690</t>
  </si>
  <si>
    <t>PBK-0754</t>
  </si>
  <si>
    <t>CurrentFile=Data/Scripts/Custom/StaffTools/StaticGumpTool/StaticGump(Alternative).cs; Line=536;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</si>
  <si>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RB-02691</t>
  </si>
  <si>
    <t>P10-F02691</t>
  </si>
  <si>
    <t>PBK-0755</t>
  </si>
  <si>
    <t>CurrentFile=Data/Scripts/Custom/StaffTools/StaticGumpTool/StaticGump(Alternative).cs; Line=542;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</si>
  <si>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RB-02692</t>
  </si>
  <si>
    <t>P10-F02692</t>
  </si>
  <si>
    <t>PBK-0756</t>
  </si>
  <si>
    <t>CurrentFile=Data/Scripts/Custom/StaffTools/StaticGumpTool/StaticGump(Alternative).cs; Line=548;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</si>
  <si>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RB-02693</t>
  </si>
  <si>
    <t>P10-F02693</t>
  </si>
  <si>
    <t>PBK-0757</t>
  </si>
  <si>
    <t>CurrentFile=Data/Scripts/Custom/StaffTools/StaticGumpTool/StaticGump(Alternative).cs; Line=554;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</si>
  <si>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RB-02694</t>
  </si>
  <si>
    <t>P10-F02694</t>
  </si>
  <si>
    <t>PBK-0758</t>
  </si>
  <si>
    <t>CurrentFile=Data/Scripts/Custom/StaffTools/StaticGumpTool/StaticGump(Alternative).cs; Line=560;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</si>
  <si>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RB-02695</t>
  </si>
  <si>
    <t>P10-F02695</t>
  </si>
  <si>
    <t>PBK-0759</t>
  </si>
  <si>
    <t>CurrentFile=Data/Scripts/Custom/StaffTools/StaticGumpTool/StaticGump(Alternative).cs; Line=566;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</si>
  <si>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RB-02696</t>
  </si>
  <si>
    <t>P10-F02696</t>
  </si>
  <si>
    <t>PBK-0760</t>
  </si>
  <si>
    <t>CurrentFile=Data/Scripts/Custom/StaffTools/StaticGumpTool/StaticGump(Alternative).cs; Line=572;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</si>
  <si>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RB-02697</t>
  </si>
  <si>
    <t>P10-F02697</t>
  </si>
  <si>
    <t>PBK-0761</t>
  </si>
  <si>
    <t>CurrentFile=Data/Scripts/Custom/StaffTools/StaticGumpTool/StaticGump(Alternative).cs; Line=578;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</si>
  <si>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RB-02698</t>
  </si>
  <si>
    <t>P10-F02698</t>
  </si>
  <si>
    <t>PBK-0762</t>
  </si>
  <si>
    <t>CurrentFile=Data/Scripts/Custom/StaffTools/StaticGumpTool/StaticGump(Alternative).cs; Line=584;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</si>
  <si>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RB-02699</t>
  </si>
  <si>
    <t>P10-F02699</t>
  </si>
  <si>
    <t>PBK-0763</t>
  </si>
  <si>
    <t>CurrentFile=Data/Scripts/Custom/StaffTools/StaticGumpTool/StaticGump(Alternative).cs; Line=590;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</si>
  <si>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RB-02700</t>
  </si>
  <si>
    <t>P10-F02700</t>
  </si>
  <si>
    <t>PBK-0764</t>
  </si>
  <si>
    <t>CurrentFile=Data/Scripts/Custom/StaffTools/StaticGumpTool/StaticGump(Alternative).cs; Line=596;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</si>
  <si>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RB-02701</t>
  </si>
  <si>
    <t>P10-F02701</t>
  </si>
  <si>
    <t>PBK-0765</t>
  </si>
  <si>
    <t>CurrentFile=Data/Scripts/Custom/StaffTools/StaticGumpTool/StaticGump(Alternative).cs; Line=602;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</si>
  <si>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RB-02702</t>
  </si>
  <si>
    <t>P10-F02702</t>
  </si>
  <si>
    <t>PBK-0766</t>
  </si>
  <si>
    <t>CurrentFile=Data/Scripts/Custom/StaffTools/StaticGumpTool/StaticGump(Alternative).cs; Line=608;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</si>
  <si>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RB-02703</t>
  </si>
  <si>
    <t>P10-F02703</t>
  </si>
  <si>
    <t>PBK-0767</t>
  </si>
  <si>
    <t>CurrentFile=Data/Scripts/Custom/StaffTools/StaticGumpTool/StaticGump(Alternative).cs; Line=614;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</si>
  <si>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RB-02704</t>
  </si>
  <si>
    <t>P10-F02704</t>
  </si>
  <si>
    <t>PBK-0768</t>
  </si>
  <si>
    <t>CurrentFile=Data/Scripts/Custom/StaffTools/StaticGumpTool/StaticGump(Alternative).cs; Line=620;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</si>
  <si>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RB-02705</t>
  </si>
  <si>
    <t>P10-F02705</t>
  </si>
  <si>
    <t>PBK-0769</t>
  </si>
  <si>
    <t>CurrentFile=Data/Scripts/Custom/StaffTools/StaticGumpTool/StaticGump(Alternative).cs; Line=626;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</si>
  <si>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RB-02706</t>
  </si>
  <si>
    <t>P10-F02706</t>
  </si>
  <si>
    <t>PBK-0770</t>
  </si>
  <si>
    <t>CurrentFile=Data/Scripts/Custom/StaffTools/StaticGumpTool/StaticGump(Alternative).cs; Line=632;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</si>
  <si>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RB-02707</t>
  </si>
  <si>
    <t>P10-F02707</t>
  </si>
  <si>
    <t>PBK-0771</t>
  </si>
  <si>
    <t>CurrentFile=Data/Scripts/Custom/StaffTools/StaticGumpTool/StaticGump(Alternative).cs; Line=638;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</si>
  <si>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RB-02708</t>
  </si>
  <si>
    <t>P10-F02708</t>
  </si>
  <si>
    <t>PBK-0772</t>
  </si>
  <si>
    <t>CurrentFile=Data/Scripts/Custom/StaffTools/StaticGumpTool/StaticGump(Alternative).cs; Line=644;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</si>
  <si>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RB-02709</t>
  </si>
  <si>
    <t>P10-F02709</t>
  </si>
  <si>
    <t>PBK-0773</t>
  </si>
  <si>
    <t>CurrentFile=Data/Scripts/Custom/StaffTools/StaticGumpTool/StaticGump(Alternative).cs; Line=650;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</si>
  <si>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RB-02710</t>
  </si>
  <si>
    <t>P10-F02710</t>
  </si>
  <si>
    <t>PBK-0774</t>
  </si>
  <si>
    <t>CurrentFile=Data/Scripts/Custom/StaffTools/StaticGumpTool/StaticGump(Alternative).cs; Line=656;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</si>
  <si>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RB-02711</t>
  </si>
  <si>
    <t>P10-F02711</t>
  </si>
  <si>
    <t>PBK-0775</t>
  </si>
  <si>
    <t>CurrentFile=Data/Scripts/Custom/StaffTools/StaticGumpTool/StaticGump(Alternative).cs; Line=662;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</si>
  <si>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RB-02712</t>
  </si>
  <si>
    <t>P10-F02712</t>
  </si>
  <si>
    <t>PBK-0776</t>
  </si>
  <si>
    <t>CurrentFile=Data/Scripts/Custom/StaffTools/StaticGumpTool/StaticGump(Alternative).cs; Line=668;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</si>
  <si>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RB-02713</t>
  </si>
  <si>
    <t>P10-F02713</t>
  </si>
  <si>
    <t>PBK-0777</t>
  </si>
  <si>
    <t>CurrentFile=Data/Scripts/Custom/StaffTools/StaticGumpTool/StaticGump(Alternative).cs; Line=674;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</si>
  <si>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RB-02714</t>
  </si>
  <si>
    <t>P10-F02714</t>
  </si>
  <si>
    <t>PBK-0778</t>
  </si>
  <si>
    <t>CurrentFile=Data/Scripts/Custom/StaffTools/StaticGumpTool/StaticGump(Alternative).cs; Line=680;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</si>
  <si>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RB-02715</t>
  </si>
  <si>
    <t>P10-F02715</t>
  </si>
  <si>
    <t>PBK-0779</t>
  </si>
  <si>
    <t>CurrentFile=Data/Scripts/Custom/StaffTools/StaticGumpTool/StaticGump(Alternative).cs; Line=686;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</si>
  <si>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RB-02716</t>
  </si>
  <si>
    <t>P10-F02716</t>
  </si>
  <si>
    <t>PBK-0780</t>
  </si>
  <si>
    <t>CurrentFile=Data/Scripts/Custom/StaffTools/StaticGumpTool/StaticGump(Alternative).cs; Line=692;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</si>
  <si>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RB-02717</t>
  </si>
  <si>
    <t>P10-F02717</t>
  </si>
  <si>
    <t>PBK-0781</t>
  </si>
  <si>
    <t>CurrentFile=Data/Scripts/Custom/StaffTools/StaticGumpTool/StaticGump(Alternative).cs; Line=698;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</si>
  <si>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RB-02718</t>
  </si>
  <si>
    <t>P10-F02718</t>
  </si>
  <si>
    <t>PBK-0782</t>
  </si>
  <si>
    <t>CurrentFile=Data/Scripts/Custom/StaffTools/StaticGumpTool/StaticGump(Alternative).cs; Line=704;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</si>
  <si>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RB-02719</t>
  </si>
  <si>
    <t>P10-F02719</t>
  </si>
  <si>
    <t>PBK-0783</t>
  </si>
  <si>
    <t>CurrentFile=Data/Scripts/Custom/StaffTools/StaticGumpTool/StaticGump(Alternative).cs; Line=710;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</si>
  <si>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RB-02720</t>
  </si>
  <si>
    <t>P10-F02720</t>
  </si>
  <si>
    <t>PBK-0784</t>
  </si>
  <si>
    <t>CurrentFile=Data/Scripts/Custom/StaffTools/StaticGumpTool/StaticGump(Alternative).cs; Line=716;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</si>
  <si>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RB-02721</t>
  </si>
  <si>
    <t>P10-F02721</t>
  </si>
  <si>
    <t>PBK-0785</t>
  </si>
  <si>
    <t>CurrentFile=Data/Scripts/Custom/StaffTools/StaticGumpTool/StaticGump(Alternative).cs; Line=722;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</si>
  <si>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RB-02722</t>
  </si>
  <si>
    <t>P10-F02722</t>
  </si>
  <si>
    <t>PBK-0786</t>
  </si>
  <si>
    <t>CurrentFile=Data/Scripts/Custom/StaffTools/StaticGumpTool/StaticGump(Alternative).cs; Line=728;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</si>
  <si>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RB-02723</t>
  </si>
  <si>
    <t>P10-F02723</t>
  </si>
  <si>
    <t>PBK-0787</t>
  </si>
  <si>
    <t>CurrentFile=Data/Scripts/Custom/StaffTools/StaticGumpTool/StaticGump(Alternative).cs; Line=734;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</si>
  <si>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RB-02724</t>
  </si>
  <si>
    <t>P10-F02724</t>
  </si>
  <si>
    <t>PBK-0788</t>
  </si>
  <si>
    <t>CurrentFile=Data/Scripts/Custom/StaffTools/StaticGumpTool/StaticGump(Alternative).cs; Line=740;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</si>
  <si>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RB-02725</t>
  </si>
  <si>
    <t>P10-F02725</t>
  </si>
  <si>
    <t>PBK-0789</t>
  </si>
  <si>
    <t>CurrentFile=Data/Scripts/Custom/StaffTools/StaticGumpTool/StaticGump(Alternative).cs; Line=746;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</si>
  <si>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RB-02726</t>
  </si>
  <si>
    <t>P10-F02726</t>
  </si>
  <si>
    <t>PBK-0790</t>
  </si>
  <si>
    <t>CurrentFile=Data/Scripts/Custom/StaffTools/StaticGumpTool/StaticGump(Alternative).cs; Line=752;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</si>
  <si>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RB-02727</t>
  </si>
  <si>
    <t>P10-F02727</t>
  </si>
  <si>
    <t>PBK-0791</t>
  </si>
  <si>
    <t>CurrentFile=Data/Scripts/Custom/StaffTools/StaticGumpTool/StaticGump(Alternative).cs; Line=758;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</si>
  <si>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RB-02728</t>
  </si>
  <si>
    <t>P10-F02728</t>
  </si>
  <si>
    <t>PBK-0792</t>
  </si>
  <si>
    <t>CurrentFile=Data/Scripts/Custom/StaffTools/StaticGumpTool/StaticGump(Alternative).cs; Line=764;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</si>
  <si>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RB-02729</t>
  </si>
  <si>
    <t>P10-F02729</t>
  </si>
  <si>
    <t>PBK-0793</t>
  </si>
  <si>
    <t>CurrentFile=Data/Scripts/Custom/StaffTools/StaticGumpTool/StaticGump(Alternative).cs; Line=770;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</si>
  <si>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RB-02730</t>
  </si>
  <si>
    <t>P10-F02730</t>
  </si>
  <si>
    <t>PBK-0794</t>
  </si>
  <si>
    <t>CurrentFile=Data/Scripts/Custom/StaffTools/StaticGumpTool/StaticGump(Alternative).cs; Line=776;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</si>
  <si>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RB-02731</t>
  </si>
  <si>
    <t>P10-F02731</t>
  </si>
  <si>
    <t>PBK-0795</t>
  </si>
  <si>
    <t>CurrentFile=Data/Scripts/Custom/StaffTools/StaticGumpTool/StaticGump(Alternative).cs; Line=782;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</si>
  <si>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RB-02732</t>
  </si>
  <si>
    <t>P10-F02732</t>
  </si>
  <si>
    <t>PBK-0796</t>
  </si>
  <si>
    <t>CurrentFile=Data/Scripts/Custom/StaffTools/StaticGumpTool/StaticGump(Alternative).cs; Line=788;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</si>
  <si>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RB-02733</t>
  </si>
  <si>
    <t>P10-F02733</t>
  </si>
  <si>
    <t>PBK-0797</t>
  </si>
  <si>
    <t>CurrentFile=Data/Scripts/Custom/StaffTools/StaticGumpTool/StaticGump(Alternative).cs; Line=794;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</si>
  <si>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RB-02734</t>
  </si>
  <si>
    <t>P10-F02734</t>
  </si>
  <si>
    <t>PBK-0798</t>
  </si>
  <si>
    <t>CurrentFile=Data/Scripts/Custom/StaffTools/StaticGumpTool/StaticGump(Alternative).cs; Line=800;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</si>
  <si>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RB-02735</t>
  </si>
  <si>
    <t>P10-F02735</t>
  </si>
  <si>
    <t>PBK-0799</t>
  </si>
  <si>
    <t>CurrentFile=Data/Scripts/Custom/StaffTools/StaticGumpTool/StaticGump(Alternative).cs; Line=806;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</si>
  <si>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RB-02736</t>
  </si>
  <si>
    <t>P10-F02736</t>
  </si>
  <si>
    <t>PBK-0800</t>
  </si>
  <si>
    <t>CurrentFile=Data/Scripts/Custom/StaffTools/StaticGumpTool/StaticGump(Alternative).cs; Line=812;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</si>
  <si>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RB-02737</t>
  </si>
  <si>
    <t>P10-F02737</t>
  </si>
  <si>
    <t>PBK-0801</t>
  </si>
  <si>
    <t>CurrentFile=Data/Scripts/Custom/StaffTools/StaticGumpTool/StaticGump(Alternative).cs; Line=818;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</si>
  <si>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RB-02738</t>
  </si>
  <si>
    <t>P10-F02738</t>
  </si>
  <si>
    <t>PBK-0802</t>
  </si>
  <si>
    <t>CurrentFile=Data/Scripts/Custom/StaffTools/StaticGumpTool/StaticGump(Alternative).cs; Line=824;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</si>
  <si>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RB-02739</t>
  </si>
  <si>
    <t>P10-F02739</t>
  </si>
  <si>
    <t>PBK-0803</t>
  </si>
  <si>
    <t>CurrentFile=Data/Scripts/Custom/StaffTools/StaticGumpTool/StaticGump(Alternative).cs; Line=830;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</si>
  <si>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RB-02740</t>
  </si>
  <si>
    <t>P10-F02740</t>
  </si>
  <si>
    <t>PBK-0804</t>
  </si>
  <si>
    <t>CurrentFile=Data/Scripts/Custom/StaffTools/StaticGumpTool/StaticGump(Alternative).cs; Line=836;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</si>
  <si>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RB-02741</t>
  </si>
  <si>
    <t>P10-F02741</t>
  </si>
  <si>
    <t>PBK-0805</t>
  </si>
  <si>
    <t>CurrentFile=Data/Scripts/Custom/StaffTools/StaticGumpTool/StaticGump(Alternative).cs; Line=842;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</si>
  <si>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RB-02742</t>
  </si>
  <si>
    <t>P10-F02742</t>
  </si>
  <si>
    <t>PBK-0806</t>
  </si>
  <si>
    <t>CurrentFile=Data/Scripts/Custom/StaffTools/StaticGumpTool/StaticGump(Alternative).cs; Line=848;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</si>
  <si>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RB-02743</t>
  </si>
  <si>
    <t>P10-F02743</t>
  </si>
  <si>
    <t>PBK-0807</t>
  </si>
  <si>
    <t>CurrentFile=Data/Scripts/Custom/StaffTools/StaticGumpTool/StaticGump(Alternative).cs; Line=854;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</si>
  <si>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RB-02744</t>
  </si>
  <si>
    <t>P10-F02744</t>
  </si>
  <si>
    <t>PBK-0808</t>
  </si>
  <si>
    <t>CurrentFile=Data/Scripts/Custom/StaffTools/StaticGumpTool/StaticGump(Alternative).cs; Line=860;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</si>
  <si>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RB-02745</t>
  </si>
  <si>
    <t>P10-F02745</t>
  </si>
  <si>
    <t>PBK-0809</t>
  </si>
  <si>
    <t>CurrentFile=Data/Scripts/Custom/StaffTools/StaticGumpTool/StaticGump(Alternative).cs; Line=866;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</si>
  <si>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RB-02746</t>
  </si>
  <si>
    <t>P10-F02746</t>
  </si>
  <si>
    <t>PBK-0810</t>
  </si>
  <si>
    <t>CurrentFile=Data/Scripts/Custom/StaffTools/StaticGumpTool/StaticGump(Alternative).cs; Line=872;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</si>
  <si>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RB-02747</t>
  </si>
  <si>
    <t>P10-F02747</t>
  </si>
  <si>
    <t>PBK-0811</t>
  </si>
  <si>
    <t>CurrentFile=Data/Scripts/Custom/StaffTools/StaticGumpTool/StaticGump(Alternative).cs; Line=878;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</si>
  <si>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RB-02748</t>
  </si>
  <si>
    <t>P10-F02748</t>
  </si>
  <si>
    <t>PBK-0812</t>
  </si>
  <si>
    <t>CurrentFile=Data/Scripts/Custom/StaffTools/StaticGumpTool/StaticGump(Alternative).cs; Line=884;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</si>
  <si>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RB-02749</t>
  </si>
  <si>
    <t>P10-F02749</t>
  </si>
  <si>
    <t>PBK-0813</t>
  </si>
  <si>
    <t>CurrentFile=Data/Scripts/Custom/StaffTools/StaticGumpTool/StaticGump(Alternative).cs; Line=890;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</si>
  <si>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RB-02750</t>
  </si>
  <si>
    <t>P10-F02750</t>
  </si>
  <si>
    <t>PBK-0814</t>
  </si>
  <si>
    <t>CurrentFile=Data/Scripts/Custom/StaffTools/StaticGumpTool/StaticGump(Alternative).cs; Line=896;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</si>
  <si>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RB-02751</t>
  </si>
  <si>
    <t>P10-F02751</t>
  </si>
  <si>
    <t>PBK-0815</t>
  </si>
  <si>
    <t>CurrentFile=Data/Scripts/Custom/StaffTools/StaticGumpTool/StaticGump(Alternative).cs; Line=902;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</si>
  <si>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RB-02752</t>
  </si>
  <si>
    <t>P10-F02752</t>
  </si>
  <si>
    <t>PBK-0816</t>
  </si>
  <si>
    <t>CurrentFile=Data/Scripts/Custom/StaffTools/StaticGumpTool/StaticGump(Alternative).cs; Line=908;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</si>
  <si>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RB-02753</t>
  </si>
  <si>
    <t>P10-F02753</t>
  </si>
  <si>
    <t>PBK-0817</t>
  </si>
  <si>
    <t>CurrentFile=Data/Scripts/Custom/StaffTools/StaticGumpTool/StaticGump(Alternative).cs; Line=914;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</si>
  <si>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RB-02754</t>
  </si>
  <si>
    <t>P10-F02754</t>
  </si>
  <si>
    <t>PBK-0818</t>
  </si>
  <si>
    <t>CurrentFile=Data/Scripts/Custom/StaffTools/StaticGumpTool/StaticGump(Alternative).cs; Line=920;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</si>
  <si>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RB-02755</t>
  </si>
  <si>
    <t>P10-F02755</t>
  </si>
  <si>
    <t>PBK-0819</t>
  </si>
  <si>
    <t>CurrentFile=Data/Scripts/Custom/StaffTools/StaticGumpTool/StaticGump(Alternative).cs; Line=926;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</si>
  <si>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RB-02756</t>
  </si>
  <si>
    <t>P10-F02756</t>
  </si>
  <si>
    <t>PBK-0820</t>
  </si>
  <si>
    <t>CurrentFile=Data/Scripts/Custom/StaffTools/StaticGumpTool/StaticGump(Alternative).cs; Line=932;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</si>
  <si>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RB-02757</t>
  </si>
  <si>
    <t>P10-F02757</t>
  </si>
  <si>
    <t>PBK-0821</t>
  </si>
  <si>
    <t>CurrentFile=Data/Scripts/Custom/StaffTools/StaticGumpTool/StaticGump(Alternative).cs; Line=938;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</si>
  <si>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RB-02758</t>
  </si>
  <si>
    <t>P10-F02758</t>
  </si>
  <si>
    <t>PBK-0822</t>
  </si>
  <si>
    <t>CurrentFile=Data/Scripts/Custom/StaffTools/StaticGumpTool/StaticGump(Alternative).cs; Line=944;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</si>
  <si>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RB-02759</t>
  </si>
  <si>
    <t>P10-F02759</t>
  </si>
  <si>
    <t>PBK-0823</t>
  </si>
  <si>
    <t>CurrentFile=Data/Scripts/Custom/StaffTools/StaticGumpTool/StaticGump(Alternative).cs; Line=950;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</si>
  <si>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RB-02760</t>
  </si>
  <si>
    <t>P10-F02760</t>
  </si>
  <si>
    <t>PBK-0824</t>
  </si>
  <si>
    <t>CurrentFile=Data/Scripts/Custom/StaffTools/StaticGumpTool/StaticGump(Alternative).cs; Line=956;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</si>
  <si>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RB-02761</t>
  </si>
  <si>
    <t>P10-F02761</t>
  </si>
  <si>
    <t>PBK-0825</t>
  </si>
  <si>
    <t>CurrentFile=Data/Scripts/Custom/StaffTools/StaticGumpTool/StaticGump(Alternative).cs; Line=962;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</si>
  <si>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RB-02762</t>
  </si>
  <si>
    <t>P10-F02762</t>
  </si>
  <si>
    <t>PBK-0826</t>
  </si>
  <si>
    <t>CurrentFile=Data/Scripts/Custom/StaffTools/StaticGumpTool/StaticGump(Alternative).cs; Line=968;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</si>
  <si>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RB-02763</t>
  </si>
  <si>
    <t>P10-F02763</t>
  </si>
  <si>
    <t>PBK-0827</t>
  </si>
  <si>
    <t>CurrentFile=Data/Scripts/Custom/StaffTools/StaticGumpTool/StaticGump(Alternative).cs; Line=974;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</si>
  <si>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RB-02764</t>
  </si>
  <si>
    <t>P10-F02764</t>
  </si>
  <si>
    <t>PBK-0828</t>
  </si>
  <si>
    <t>CurrentFile=Data/Scripts/Custom/StaffTools/StaticGumpTool/StaticGump(Alternative).cs; Line=980;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</si>
  <si>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RB-02765</t>
  </si>
  <si>
    <t>P10-F02765</t>
  </si>
  <si>
    <t>PBK-0829</t>
  </si>
  <si>
    <t>CurrentFile=Data/Scripts/Custom/StaffTools/StaticGumpTool/StaticGump(Alternative).cs; Line=986;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</si>
  <si>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RB-02766</t>
  </si>
  <si>
    <t>P10-F02766</t>
  </si>
  <si>
    <t>PBK-0830</t>
  </si>
  <si>
    <t>CurrentFile=Data/Scripts/Custom/StaffTools/StaticGumpTool/StaticGump(Alternative).cs; Line=992;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</si>
  <si>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RB-02767</t>
  </si>
  <si>
    <t>P10-F02767</t>
  </si>
  <si>
    <t>PBK-0831</t>
  </si>
  <si>
    <t>CurrentFile=Data/Scripts/Custom/StaffTools/StaticGumpTool/StaticGump(Alternative).cs; Line=998;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</si>
  <si>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RB-02768</t>
  </si>
  <si>
    <t>P10-F02768</t>
  </si>
  <si>
    <t>PBK-0832</t>
  </si>
  <si>
    <t>CurrentFile=Data/Scripts/Custom/StaffTools/StaticGumpTool/StaticGump(Alternative).cs; Line=1004;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</si>
  <si>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RB-02769</t>
  </si>
  <si>
    <t>P10-F02769</t>
  </si>
  <si>
    <t>PBK-0833</t>
  </si>
  <si>
    <t>CurrentFile=Data/Scripts/Custom/StaffTools/StaticGumpTool/StaticGump(Alternative).cs; Line=1009; SourceLine=from.SendGump(new MinStaticGump2());;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</si>
  <si>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RB-02770</t>
  </si>
  <si>
    <t>P10-F02770</t>
  </si>
  <si>
    <t>PBK-0834</t>
  </si>
  <si>
    <t>CurrentFile=Data/Scripts/Custom/StaffTools/StaticGumpTool/StaticGump(Alternative).cs; Line=1070; SourceLine=from.SendGump(new OzThothsStaticOtherGump(from));;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</si>
  <si>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RB-02771</t>
  </si>
  <si>
    <t>P10-F02771</t>
  </si>
  <si>
    <t>PBK-0835</t>
  </si>
  <si>
    <t>CurrentFile=Data/Scripts/Custom/StaffTools/StaticGumpTool/Side Gumps/AddAnimation.cs; Line=30; SourceLine=e.Mobile.SendGump(new AddAnimationGump());;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</si>
  <si>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RB-02772</t>
  </si>
  <si>
    <t>P10-F02772</t>
  </si>
  <si>
    <t>PBK-0836</t>
  </si>
  <si>
    <t>CurrentFile=Data/Scripts/Custom/StaffTools/StaticGumpTool/Side Gumps/AddAnimation.cs; Line=767; SourceLine=from.SendGump(new AddAnimationGump(page));;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</si>
  <si>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RB-02773</t>
  </si>
  <si>
    <t>P10-F02773</t>
  </si>
  <si>
    <t>PBK-0837</t>
  </si>
  <si>
    <t>CurrentFile=Data/Scripts/Custom/StaffTools/StaticGumpTool/Side Gumps/AddArch.cs; Line=30; SourceLine=e.Mobile.SendGump(new AddArchGump());;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</si>
  <si>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RB-02774</t>
  </si>
  <si>
    <t>P10-F02774</t>
  </si>
  <si>
    <t>PBK-0838</t>
  </si>
  <si>
    <t>CurrentFile=Data/Scripts/Custom/StaffTools/StaticGumpTool/Side Gumps/AddArch.cs; Line=433; SourceLine=from.SendGump(new AddArchGump(page));;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</si>
  <si>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RB-02775</t>
  </si>
  <si>
    <t>P10-F02775</t>
  </si>
  <si>
    <t>PBK-0839</t>
  </si>
  <si>
    <t>CurrentFile=Data/Scripts/Custom/StaffTools/StaticGumpTool/Side Gumps/AddCooking.cs; Line=30; SourceLine=e.Mobile.SendGump(new AddCookingStaticGump());;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</si>
  <si>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RB-02776</t>
  </si>
  <si>
    <t>P10-F02776</t>
  </si>
  <si>
    <t>PBK-0840</t>
  </si>
  <si>
    <t>CurrentFile=Data/Scripts/Custom/StaffTools/StaticGumpTool/Side Gumps/AddCooking.cs; Line=451; SourceLine=from.SendGump(new AddCookingStaticGump(page));;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</si>
  <si>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RB-02777</t>
  </si>
  <si>
    <t>P10-F02777</t>
  </si>
  <si>
    <t>PBK-0841</t>
  </si>
  <si>
    <t>CurrentFile=Data/Scripts/Custom/StaffTools/StaticGumpTool/Side Gumps/AddCustom.cs; Line=30; SourceLine=e.Mobile.SendGump(new AddCustomStaticGump());;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</si>
  <si>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RB-02778</t>
  </si>
  <si>
    <t>P10-F02778</t>
  </si>
  <si>
    <t>PBK-0842</t>
  </si>
  <si>
    <t>CurrentFile=Data/Scripts/Custom/StaffTools/StaticGumpTool/Side Gumps/AddCustom.cs; Line=148; SourceLine=from.SendGump(new AddCustomStaticGump(page));;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</si>
  <si>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RB-02779</t>
  </si>
  <si>
    <t>P10-F02779</t>
  </si>
  <si>
    <t>PBK-0843</t>
  </si>
  <si>
    <t>CurrentFile=Data/Scripts/Custom/StaffTools/StaticGumpTool/Side Gumps/AddDeco.cs; Line=30; SourceLine=e.Mobile.SendGump(new AddDecoStaticGump());;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</si>
  <si>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RB-02780</t>
  </si>
  <si>
    <t>P10-F02780</t>
  </si>
  <si>
    <t>PBK-0844</t>
  </si>
  <si>
    <t>CurrentFile=Data/Scripts/Custom/StaffTools/StaticGumpTool/Side Gumps/AddDeco.cs; Line=2772; SourceLine=from.SendGump(new AddDecoStaticGump(page));;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</si>
  <si>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RB-02781</t>
  </si>
  <si>
    <t>P10-F02781</t>
  </si>
  <si>
    <t>PBK-0845</t>
  </si>
  <si>
    <t>CurrentFile=Data/Scripts/Custom/StaffTools/StaticGumpTool/Side Gumps/AddDungeon.cs; Line=30; SourceLine=e.Mobile.SendGump(new AddDungStaticGump());;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</si>
  <si>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RB-02782</t>
  </si>
  <si>
    <t>P10-F02782</t>
  </si>
  <si>
    <t>PBK-0846</t>
  </si>
  <si>
    <t>CurrentFile=Data/Scripts/Custom/StaffTools/StaticGumpTool/Side Gumps/AddDungeon.cs; Line=1255; SourceLine=from.SendGump(new AddDungStaticGump(page));;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</si>
  <si>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RB-02783</t>
  </si>
  <si>
    <t>P10-F02783</t>
  </si>
  <si>
    <t>PBK-0847</t>
  </si>
  <si>
    <t>CurrentFile=Data/Scripts/Custom/StaffTools/StaticGumpTool/Side Gumps/addfence.cs; Line=25; SourceLine=e.Mobile.SendGump(new AddFenceGump());;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</si>
  <si>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RB-02784</t>
  </si>
  <si>
    <t>P10-F02784</t>
  </si>
  <si>
    <t>PBK-0848</t>
  </si>
  <si>
    <t>CurrentFile=Data/Scripts/Custom/StaffTools/StaticGumpTool/Side Gumps/addfence.cs; Line=235; SourceLine=from.SendGump(new AddFenceGump(page));;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</si>
  <si>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RB-02785</t>
  </si>
  <si>
    <t>P10-F02785</t>
  </si>
  <si>
    <t>PBK-0849</t>
  </si>
  <si>
    <t>CurrentFile=Data/Scripts/Custom/StaffTools/StaticGumpTool/Side Gumps/addfloor.cs; Line=30; SourceLine=e.Mobile.SendGump(new AddFloorGump());;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</si>
  <si>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RB-02786</t>
  </si>
  <si>
    <t>P10-F02786</t>
  </si>
  <si>
    <t>PBK-0850</t>
  </si>
  <si>
    <t>CurrentFile=Data/Scripts/Custom/StaffTools/StaticGumpTool/Side Gumps/addfloor.cs; Line=1440; SourceLine=from.SendGump(new AddFloorGump(page));;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</si>
  <si>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RB-02787</t>
  </si>
  <si>
    <t>P10-F02787</t>
  </si>
  <si>
    <t>PBK-0851</t>
  </si>
  <si>
    <t>CurrentFile=Data/Scripts/Custom/StaffTools/StaticGumpTool/Side Gumps/AddFurniture.cs; Line=30; SourceLine=e.Mobile.SendGump(new AddFurnitureGump());;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</si>
  <si>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RB-02788</t>
  </si>
  <si>
    <t>P10-F02788</t>
  </si>
  <si>
    <t>PBK-0852</t>
  </si>
  <si>
    <t>CurrentFile=Data/Scripts/Custom/StaffTools/StaticGumpTool/Side Gumps/AddFurniture.cs; Line=1393; SourceLine=from.SendGump(new AddFurnitureGump(page));;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</si>
  <si>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RB-02789</t>
  </si>
  <si>
    <t>P10-F02789</t>
  </si>
  <si>
    <t>PBK-0853</t>
  </si>
  <si>
    <t>CurrentFile=Data/Scripts/Custom/StaffTools/StaticGumpTool/Side Gumps/AddGear.cs; Line=30; SourceLine=e.Mobile.SendGump(new AddGearStaticGump());;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</si>
  <si>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RB-02790</t>
  </si>
  <si>
    <t>P10-F02790</t>
  </si>
  <si>
    <t>PBK-0854</t>
  </si>
  <si>
    <t>CurrentFile=Data/Scripts/Custom/StaffTools/StaticGumpTool/Side Gumps/AddGear.cs; Line=1126; SourceLine=from.SendGump(new AddGearStaticGump(page));;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</si>
  <si>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RB-02791</t>
  </si>
  <si>
    <t>P10-F02791</t>
  </si>
  <si>
    <t>PBK-0855</t>
  </si>
  <si>
    <t>CurrentFile=Data/Scripts/Custom/StaffTools/StaticGumpTool/Side Gumps/AddGround.cs; Line=30; SourceLine=e.Mobile.SendGump(new AddGroundStStaticGump());;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</si>
  <si>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RB-02792</t>
  </si>
  <si>
    <t>P10-F02792</t>
  </si>
  <si>
    <t>PBK-0856</t>
  </si>
  <si>
    <t>CurrentFile=Data/Scripts/Custom/StaffTools/StaticGumpTool/Side Gumps/AddGround.cs; Line=1257; SourceLine=from.SendGump(new AddGroundStStaticGump(page));;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</si>
  <si>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RB-02793</t>
  </si>
  <si>
    <t>P10-F02793</t>
  </si>
  <si>
    <t>PBK-0857</t>
  </si>
  <si>
    <t>CurrentFile=Data/Scripts/Custom/StaffTools/StaticGumpTool/Side Gumps/AddLight.cs; Line=30; SourceLine=e.Mobile.SendGump(new AddLightsStaticGump());;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</si>
  <si>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RB-02794</t>
  </si>
  <si>
    <t>P10-F02794</t>
  </si>
  <si>
    <t>PBK-0858</t>
  </si>
  <si>
    <t>CurrentFile=Data/Scripts/Custom/StaffTools/StaticGumpTool/Side Gumps/AddLight.cs; Line=274; SourceLine=from.SendGump(new AddLightsStaticGump(page));;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</si>
  <si>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RB-02795</t>
  </si>
  <si>
    <t>P10-F02795</t>
  </si>
  <si>
    <t>PBK-0859</t>
  </si>
  <si>
    <t>CurrentFile=Data/Scripts/Custom/StaffTools/StaticGumpTool/Side Gumps/AddMisc.cs; Line=30; SourceLine=e.Mobile.SendGump(new AddMiscStaticGump());;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</si>
  <si>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RB-02796</t>
  </si>
  <si>
    <t>P10-F02796</t>
  </si>
  <si>
    <t>PBK-0860</t>
  </si>
  <si>
    <t>CurrentFile=Data/Scripts/Custom/StaffTools/StaticGumpTool/Side Gumps/AddMisc.cs; Line=2860; SourceLine=from.SendGump(new AddMiscStaticGump(page));;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</si>
  <si>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RB-02797</t>
  </si>
  <si>
    <t>P10-F02797</t>
  </si>
  <si>
    <t>PBK-0861</t>
  </si>
  <si>
    <t>CurrentFile=Data/Scripts/Custom/StaffTools/StaticGumpTool/Side Gumps/AddNature.cs; Line=30; SourceLine=e.Mobile.SendGump(new AddNatureStaticGump());;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</si>
  <si>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RB-02798</t>
  </si>
  <si>
    <t>P10-F02798</t>
  </si>
  <si>
    <t>PBK-0862</t>
  </si>
  <si>
    <t>CurrentFile=Data/Scripts/Custom/StaffTools/StaticGumpTool/Side Gumps/AddNature.cs; Line=491; SourceLine=from.SendGump(new AddNatureStaticGump(page));;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</si>
  <si>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RB-02799</t>
  </si>
  <si>
    <t>P10-F02799</t>
  </si>
  <si>
    <t>PBK-0863</t>
  </si>
  <si>
    <t>CurrentFile=Data/Scripts/Custom/StaffTools/StaticGumpTool/Side Gumps/addplants.cs; Line=30; SourceLine=e.Mobile.SendGump(new AddPlantsGump());;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</si>
  <si>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RB-02800</t>
  </si>
  <si>
    <t>P10-F02800</t>
  </si>
  <si>
    <t>PBK-0864</t>
  </si>
  <si>
    <t>CurrentFile=Data/Scripts/Custom/StaffTools/StaticGumpTool/Side Gumps/addplants.cs; Line=891; SourceLine=from.SendGump(new AddPlantsGump(page));;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</si>
  <si>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RB-02801</t>
  </si>
  <si>
    <t>P10-F02801</t>
  </si>
  <si>
    <t>PBK-0865</t>
  </si>
  <si>
    <t>CurrentFile=Data/Scripts/Custom/StaffTools/StaticGumpTool/Side Gumps/addrock.cs; Line=30; SourceLine=e.Mobile.SendGump(new AddRockGump());;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</si>
  <si>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RB-02802</t>
  </si>
  <si>
    <t>P10-F02802</t>
  </si>
  <si>
    <t>PBK-0866</t>
  </si>
  <si>
    <t>CurrentFile=Data/Scripts/Custom/StaffTools/StaticGumpTool/Side Gumps/addrock.cs; Line=256; SourceLine=from.SendGump(new AddRockGump(page));;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</si>
  <si>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RB-02803</t>
  </si>
  <si>
    <t>P10-F02803</t>
  </si>
  <si>
    <t>PBK-0867</t>
  </si>
  <si>
    <t>CurrentFile=Data/Scripts/Custom/StaffTools/StaticGumpTool/Side Gumps/addroof.cs; Line=30; SourceLine=e.Mobile.SendGump(new AddRoofGump());;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</si>
  <si>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RB-02804</t>
  </si>
  <si>
    <t>P10-F02804</t>
  </si>
  <si>
    <t>PBK-0868</t>
  </si>
  <si>
    <t>CurrentFile=Data/Scripts/Custom/StaffTools/StaticGumpTool/Side Gumps/addroof.cs; Line=1172; SourceLine=from.SendGump(new AddRoofGump(page));;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</si>
  <si>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RB-02805</t>
  </si>
  <si>
    <t>P10-F02805</t>
  </si>
  <si>
    <t>PBK-0869</t>
  </si>
  <si>
    <t>CurrentFile=Data/Scripts/Custom/StaffTools/StaticGumpTool/Side Gumps/AddSignPost.cs; Line=30; SourceLine=e.Mobile.SendGump(new AddSignPStaticGump());;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</si>
  <si>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RB-02806</t>
  </si>
  <si>
    <t>P10-F02806</t>
  </si>
  <si>
    <t>PBK-0870</t>
  </si>
  <si>
    <t>CurrentFile=Data/Scripts/Custom/StaffTools/StaticGumpTool/Side Gumps/AddSignPost.cs; Line=157; SourceLine=from.SendGump(new AddSignPStaticGump(page));;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</si>
  <si>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RB-02807</t>
  </si>
  <si>
    <t>P10-F02807</t>
  </si>
  <si>
    <t>PBK-0871</t>
  </si>
  <si>
    <t>CurrentFile=Data/Scripts/Custom/StaffTools/StaticGumpTool/Side Gumps/AddStairGump.cs; Line=30; SourceLine=e.Mobile.SendGump(new AddStairGump());;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</si>
  <si>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RB-02808</t>
  </si>
  <si>
    <t>P10-F02808</t>
  </si>
  <si>
    <t>PBK-0872</t>
  </si>
  <si>
    <t>CurrentFile=Data/Scripts/Custom/StaffTools/StaticGumpTool/Side Gumps/AddStairGump.cs; Line=473; SourceLine=from.SendGump(new AddStairGump(page));;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</si>
  <si>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RB-02809</t>
  </si>
  <si>
    <t>P10-F02809</t>
  </si>
  <si>
    <t>PBK-0873</t>
  </si>
  <si>
    <t>CurrentFile=Data/Scripts/Custom/StaffTools/StaticGumpTool/Side Gumps/AddWallGump.cs; Line=30; SourceLine=e.Mobile.SendGump(new AddWallGump());;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</si>
  <si>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RB-02810</t>
  </si>
  <si>
    <t>P10-F02810</t>
  </si>
  <si>
    <t>PBK-0874</t>
  </si>
  <si>
    <t>CurrentFile=Data/Scripts/Custom/StaffTools/StaticGumpTool/Side Gumps/AddWallGump.cs; Line=2390; SourceLine=from.SendGump(new AddWallGump(page));; PathResolution=PostBatchHMove:Data/Scripts/Custom/OzThothStaticGump-&gt;Data/Scripts/Custom/StaffTools/StaticGumpTool; MatchQuality=RuntimeHookMapFileLineAfterPostBatchHPathMap; HookKind=Gump; GuardList=AccessGuard;BoundsGuard;StateGuard; Access=; Command=; Handler=; DisabledEvidence=False; RuntimeHookMap=HookType=Gump;Marker=SendGump;Access=Internal;Risk=High;Guards=AccessGuard;BoundsGuard;StateGuard</t>
  </si>
  <si>
    <t>RB-02812</t>
  </si>
  <si>
    <t>P10-F02812</t>
  </si>
  <si>
    <t>Data/Scripts/Custom/Vhaerun's CRL Homestead System [2.0]/Dracana's Winecrafting [2.0]/Items/Grape Vines/Tools/GrapevinePlacementTool.cs</t>
  </si>
  <si>
    <t>PBK-0876</t>
  </si>
  <si>
    <t>CurrentFile=Data/Scripts/Custom/Vhaerun's CRL Homestead System [2.0]/Dracana's Winecrafting [2.0]/Items/Grape Vines/Tools/GrapevinePlacementTool.cs; Line=32; SourceLine=from.SendGump(new AddGrapeVineGump(from, null, 0));;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</si>
  <si>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HistoricalFile=Data/Scripts/Custom/Vhaerun's CRL Homestead System [2.0]/Dracana's Winecrafting [2.0]/Items/Grape Vines/Tools/GrapevinePlacementTool.cs; Risk=Runtime; POST-BATCH-K is audit/runtime-surface triage only. No command names, gump button IDs, PlayerMobile fields, region policy, XML/config, save layout, or gameplay behavior changed.</t>
  </si>
  <si>
    <t>RB-02813</t>
  </si>
  <si>
    <t>P10-F02813</t>
  </si>
  <si>
    <t>Data/Scripts/Custom/Vhaerun's CRL Homestead System [2.0]/Vhaerun's CRL Cooking/Package Systems/Crystal's Cheese System/CheeseForm.cs</t>
  </si>
  <si>
    <t>PBK-0877</t>
  </si>
  <si>
    <t>CurrentFile=Data/Scripts/Custom/Vhaerun's CRL Homestead System [2.0]/Vhaerun's CRL Cooking/Package Systems/Crystal's Cheese System/CheeseForm.cs; Line=335; SourceLine=from.SendGump(new CheeseFormHelpGump(from));;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</si>
  <si>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HistoricalFile=Data/Scripts/Custom/Vhaerun's CRL Homestead System [2.0]/Vhaerun's CRL Cooking/Package Systems/Crystal's Cheese System/CheeseForm.cs; Risk=Runtime; POST-BATCH-K is audit/runtime-surface triage only. No command names, gump button IDs, PlayerMobile fields, region policy, XML/config, save layout, or gameplay behavior changed.</t>
  </si>
  <si>
    <t>RB-02814</t>
  </si>
  <si>
    <t>P10-F02814</t>
  </si>
  <si>
    <t>PBK-0878</t>
  </si>
  <si>
    <t>CurrentFile=Data/Scripts/Custom/Vhaerun's CRL Homestead System [2.0]/Vhaerun's CRL Cooking/Package Systems/Crystal's Cheese System/CheeseForm.cs; Line=342; SourceLine=from.SendGump(new CheeseFormHelpGump(from));;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</si>
  <si>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RB-02815</t>
  </si>
  <si>
    <t>P10-F02815</t>
  </si>
  <si>
    <t>PBK-0879</t>
  </si>
  <si>
    <t>CurrentFile=Data/Scripts/Custom/Vhaerun's CRL Homestead System [2.0]/Vhaerun's CRL Cooking/Package Systems/Crystal's Cheese System/CheeseForm.cs; Line=356; SourceLine=from.SendGump(new CheeseFormHelpGump(from));;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</si>
  <si>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RB-02816</t>
  </si>
  <si>
    <t>P10-F02816</t>
  </si>
  <si>
    <t>PBK-0880</t>
  </si>
  <si>
    <t>CurrentFile=Data/Scripts/Custom/Vhaerun's CRL Homestead System [2.0]/Vhaerun's CRL Cooking/Package Systems/HungerGump/HungerGump.cs; Line=40; SourceLine=from.SendGump(new gumpfaim(from));; PathResolution=OriginalPathCurrent; MatchQuality=RuntimeHookMapFileLine; HookKind=Gump; GuardList=AccessGuard;StateGuard; Access=; Command=; Handler=; DisabledEvidence=False; RuntimeHookMap=HookType=Gump;Marker=SendGump;Access=Internal;Risk=High;Guards=AccessGuard;StateGuard</t>
  </si>
  <si>
    <t>RB-02817</t>
  </si>
  <si>
    <t>P10-F02817</t>
  </si>
  <si>
    <t>Data/Scripts/Custom/XMLSpawner/XmlItems/QuestHolder.cs</t>
  </si>
  <si>
    <t>PBK-0881</t>
  </si>
  <si>
    <t>CurrentFile=Data/Scripts/Custom/XMLSpawner/XmlItems/QuestHolder.cs; Line=46; SourceLine=from.SendGump(new XmlQuestStatusGump(this, this.TitleString));; PathResolution=OriginalPathCurrent; MatchQuality=RuntimeHookMapFileLine; HookKind=Gump; GuardList=AccessGuard;PacketReadGuard;StateGuard; Access=; Command=; Handler=; DisabledEvidence=False; RuntimeHookMap=HookType=Gump;Marker=SendGump;Access=Internal;Risk=High;Guards=AccessGuard;PacketReadGuard;StateGuard</t>
  </si>
  <si>
    <t>HistoricalFile=Data/Scripts/Custom/XMLSpawner/XmlItems/QuestHolder.cs; Risk=Runtime; POST-BATCH-K is audit/runtime-surface triage only. No command names, gump button IDs, PlayerMobile fields, region policy, XML/config, save layout, or gameplay behavior changed.</t>
  </si>
  <si>
    <t>RB-02818</t>
  </si>
  <si>
    <t>P10-F02818</t>
  </si>
  <si>
    <t>PBK-0882</t>
  </si>
  <si>
    <t>CurrentFile=Data/Scripts/Custom/XMLSpawner/XmlItems/QuestHolder.cs; Line=55; SourceLine=from.SendGump(new XmlQuestStatusGump(this, this.TitleString));; PathResolution=OriginalPathCurrent; MatchQuality=RuntimeHookMapFileLine; HookKind=Gump; GuardList=AccessGuard;PacketReadGuard;StateGuard; Access=; Command=; Handler=; DisabledEvidence=False; RuntimeHookMap=HookType=Gump;Marker=SendGump;Access=Internal;Risk=High;Guards=AccessGuard;PacketReadGuard;StateGuard</t>
  </si>
  <si>
    <t>RB-02819</t>
  </si>
  <si>
    <t>P10-F02819</t>
  </si>
  <si>
    <t>PBK-0883</t>
  </si>
  <si>
    <t>CurrentFile=Data/Scripts/Custom/XMLSpawner/XmlItems/QuestNote.cs; Line=98; SourceLine=from.SendGump(new XmlQuestStatusGump(this, this.TitleString));;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</si>
  <si>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RB-02820</t>
  </si>
  <si>
    <t>P10-F02820</t>
  </si>
  <si>
    <t>PBK-0884</t>
  </si>
  <si>
    <t>CurrentFile=Data/Scripts/Custom/XMLSpawner/XmlItems/QuestNote.cs; Line=202; SourceLine=from.SendGump(new QuestNoteGump(this));;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</si>
  <si>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RB-02821</t>
  </si>
  <si>
    <t>P10-F02821</t>
  </si>
  <si>
    <t>PBK-0885</t>
  </si>
  <si>
    <t>CurrentFile=Data/Scripts/Custom/XMLSpawner/XmlItems/QuestNote.cs; Line=270; SourceLine=from.SendGump(g);;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</si>
  <si>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RB-02822</t>
  </si>
  <si>
    <t>P10-F02822</t>
  </si>
  <si>
    <t>Data/Scripts/Custom/XMLSpawner/XmlItems/SimpleNote.cs</t>
  </si>
  <si>
    <t>PBK-0886</t>
  </si>
  <si>
    <t>CurrentFile=Data/Scripts/Custom/XMLSpawner/XmlItems/SimpleNote.cs; Line=127; SourceLine=from.SendGump(g);;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</si>
  <si>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HistoricalFile=Data/Scripts/Custom/XMLSpawner/XmlItems/SimpleNote.cs; Risk=Runtime; POST-BATCH-K is audit/runtime-surface triage only. No command names, gump button IDs, PlayerMobile fields, region policy, XML/config, save layout, or gameplay behavior changed.</t>
  </si>
  <si>
    <t>RB-02823</t>
  </si>
  <si>
    <t>P10-F02823</t>
  </si>
  <si>
    <t>Data/Scripts/Custom/XMLSpawner/XmlPoints PvP/PointsRewardStone.cs</t>
  </si>
  <si>
    <t>PBK-0887</t>
  </si>
  <si>
    <t>CurrentFile=Data/Scripts/Custom/XMLSpawner/XmlPoints PvP/PointsRewardStone.cs; Line=45; SourceLine=from.SendGump(new PointsRewardGump(from, 0));;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</si>
  <si>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HistoricalFile=Data/Scripts/Custom/XMLSpawner/XmlPoints PvP/PointsRewardStone.cs; Risk=Runtime; POST-BATCH-K is audit/runtime-surface triage only. No command names, gump button IDs, PlayerMobile fields, region policy, XML/config, save layout, or gameplay behavior changed.</t>
  </si>
  <si>
    <t>RB-02824</t>
  </si>
  <si>
    <t>P10-F02824</t>
  </si>
  <si>
    <t>Data/Scripts/Custom/XMLSpawner/XmlPoints PvP/topplayersboard.cs</t>
  </si>
  <si>
    <t>PBK-0888</t>
  </si>
  <si>
    <t>CurrentFile=Data/Scripts/Custom/XMLSpawner/XmlPoints PvP/topplayersboard.cs; Line=24; SourceLine=from.SendGump(;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</si>
  <si>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HistoricalFile=Data/Scripts/Custom/XMLSpawner/XmlPoints PvP/topplayersboard.cs; Risk=Runtime; POST-BATCH-K is audit/runtime-surface triage only. No command names, gump button IDs, PlayerMobile fields, region policy, XML/config, save layout, or gameplay behavior changed.</t>
  </si>
  <si>
    <t>RB-02825</t>
  </si>
  <si>
    <t>P10-F02825</t>
  </si>
  <si>
    <t>Data/Scripts/Custom/XMLSpawner/XmlPropsGumps/XmlSetObjectTarget.cs</t>
  </si>
  <si>
    <t>PBK-0889</t>
  </si>
  <si>
    <t>CurrentFile=Data/Scripts/Custom/XMLSpawner/XmlPropsGumps/XmlSetObjectTarget.cs; Line=81; SourceLine=from.SendGump(new XmlPropertiesGump(m_Mobile, m_Object, m_Stack, m_List, m_Page));; PathResolution=OriginalPathCurrent; MatchQuality=RuntimeHookMapFileLine; HookKind=Gump; GuardList=NullGuard;StateGuard; Access=; Command=; Handler=; DisabledEvidence=False; RuntimeHookMap=HookType=Gump;Marker=SendGump;Access=Internal;Risk=High;Guards=NullGuard;StateGuard</t>
  </si>
  <si>
    <t>HistoricalFile=Data/Scripts/Custom/XMLSpawner/XmlPropsGumps/XmlSetObjectTarget.cs; Risk=Runtime; POST-BATCH-K is audit/runtime-surface triage only. No command names, gump button IDs, PlayerMobile fields, region policy, XML/config, save layout, or gameplay behavior changed.</t>
  </si>
  <si>
    <t>RB-02826</t>
  </si>
  <si>
    <t>P10-F02826</t>
  </si>
  <si>
    <t>PBK-0890</t>
  </si>
  <si>
    <t>CurrentFile=Data/Scripts/Custom/XMLSpawner/XmlPropsGumps/XmlSetObjectTarget.cs; Line=83; SourceLine=from.SendGump(; PathResolution=OriginalPathCurrent; MatchQuality=RuntimeHookMapFileLine; HookKind=Gump; GuardList=NullGuard;StateGuard; Access=; Command=; Handler=; DisabledEvidence=False; RuntimeHookMap=HookType=Gump;Marker=SendGump;Access=Internal;Risk=High;Guards=NullGuard;StateGuard</t>
  </si>
  <si>
    <t>RB-02827</t>
  </si>
  <si>
    <t>P10-F02827</t>
  </si>
  <si>
    <t>Data/Scripts/Custom/XMLSpawner/XmlQuest/QuestLeadersBoard.cs</t>
  </si>
  <si>
    <t>PBK-0891</t>
  </si>
  <si>
    <t>CurrentFile=Data/Scripts/Custom/XMLSpawner/XmlQuest/QuestLeadersBoard.cs; Line=24; SourceLine=from.SendGump(;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</si>
  <si>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HistoricalFile=Data/Scripts/Custom/XMLSpawner/XmlQuest/QuestLeadersBoard.cs; Risk=Runtime; POST-BATCH-K is audit/runtime-surface triage only. No command names, gump button IDs, PlayerMobile fields, region policy, XML/config, save layout, or gameplay behavior changed.</t>
  </si>
  <si>
    <t>RB-02828</t>
  </si>
  <si>
    <t>P10-F02828</t>
  </si>
  <si>
    <t>Data/Scripts/Custom/XMLSpawner/XmlQuest/QuestRewardStone.cs</t>
  </si>
  <si>
    <t>PBK-0892</t>
  </si>
  <si>
    <t>CurrentFile=Data/Scripts/Custom/XMLSpawner/XmlQuest/QuestRewardStone.cs; Line=42; SourceLine=from.SendGump(new QuestRewardGump(from, 0));;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</si>
  <si>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HistoricalFile=Data/Scripts/Custom/XMLSpawner/XmlQuest/QuestRewardStone.cs; Risk=Runtime; POST-BATCH-K is audit/runtime-surface triage only. No command names, gump button IDs, PlayerMobile fields, region policy, XML/config, save layout, or gameplay behavior changed.</t>
  </si>
  <si>
    <t>RB-02832</t>
  </si>
  <si>
    <t>P10-F02832</t>
  </si>
  <si>
    <t>PBK-0893</t>
  </si>
  <si>
    <t>CurrentFile=Data/Scripts/Items/Books/BardsTaleNote.cs; Line=185; SourceLine=e.SendGump(new ClueGump(e, this));;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</si>
  <si>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RB-02833</t>
  </si>
  <si>
    <t>P10-F02833</t>
  </si>
  <si>
    <t>PBK-0894</t>
  </si>
  <si>
    <t>CurrentFile=Data/Scripts/Items/Books/DoomFlayerNote.cs; Line=63; SourceLine=m.SendGump(new ClueGump(m));;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</si>
  <si>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RB-02834</t>
  </si>
  <si>
    <t>P10-F02834</t>
  </si>
  <si>
    <t>PBK-0895</t>
  </si>
  <si>
    <t>CurrentFile=Data/Scripts/Items/Books/LearnGranite.cs; Line=228; SourceLine=e.SendGump(new LearnGraniteGump(e));; PathResolution=OriginalPathCurrent; MatchQuality=RuntimeHookMapFileLine; HookKind=Gump; GuardList=PacketReadGuard;StateGuard; Access=; Command=; Handler=; DisabledEvidence=False; RuntimeHookMap=HookType=Gump;Marker=SendGump;Access=Internal;Risk=High;Guards=PacketReadGuard;StateGuard</t>
  </si>
  <si>
    <t>RB-02835</t>
  </si>
  <si>
    <t>P10-F02835</t>
  </si>
  <si>
    <t>PBK-0896</t>
  </si>
  <si>
    <t>CurrentFile=Data/Scripts/Items/Books/LearnLeather.cs; Line=209; SourceLine=e.SendGump(new LearnLeatherGump(e));; PathResolution=OriginalPathCurrent; MatchQuality=RuntimeHookMapFileLine; HookKind=Gump; GuardList=PacketReadGuard;StateGuard; Access=; Command=; Handler=; DisabledEvidence=False; RuntimeHookMap=HookType=Gump;Marker=SendGump;Access=Internal;Risk=High;Guards=PacketReadGuard;StateGuard</t>
  </si>
  <si>
    <t>RB-02836</t>
  </si>
  <si>
    <t>P10-F02836</t>
  </si>
  <si>
    <t>PBK-0897</t>
  </si>
  <si>
    <t>CurrentFile=Data/Scripts/Items/Books/LearnMetal.cs; Line=249; SourceLine=e.SendGump(new LearnMetalGump(e));; PathResolution=OriginalPathCurrent; MatchQuality=RuntimeHookMapFileLine; HookKind=Gump; GuardList=PacketReadGuard;StateGuard; Access=; Command=; Handler=; DisabledEvidence=False; RuntimeHookMap=HookType=Gump;Marker=SendGump;Access=Internal;Risk=High;Guards=PacketReadGuard;StateGuard</t>
  </si>
  <si>
    <t>RB-02837</t>
  </si>
  <si>
    <t>P10-F02837</t>
  </si>
  <si>
    <t>PBK-0898</t>
  </si>
  <si>
    <t>CurrentFile=Data/Scripts/Items/Books/LearnMisc.cs; Line=137; SourceLine=e.SendGump(new LearnMiscGump(e));; PathResolution=OriginalPathCurrent; MatchQuality=RuntimeHookMapFileLine; HookKind=Gump; GuardList=PacketReadGuard;StateGuard; Access=; Command=; Handler=; DisabledEvidence=False; RuntimeHookMap=HookType=Gump;Marker=SendGump;Access=Internal;Risk=High;Guards=PacketReadGuard;StateGuard</t>
  </si>
  <si>
    <t>RB-02838</t>
  </si>
  <si>
    <t>P10-F02838</t>
  </si>
  <si>
    <t>PBK-0899</t>
  </si>
  <si>
    <t>CurrentFile=Data/Scripts/Items/Books/LearnReagents.cs; Line=474; SourceLine=e.SendGump(new LearnReagentsGump(e));;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</si>
  <si>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RB-02839</t>
  </si>
  <si>
    <t>P10-F02839</t>
  </si>
  <si>
    <t>PBK-0900</t>
  </si>
  <si>
    <t>CurrentFile=Data/Scripts/Items/Books/LearnScales.cs; Line=160; SourceLine=e.SendGump(new LearnScalesGump(e));; PathResolution=OriginalPathCurrent; MatchQuality=RuntimeHookMapFileLine; HookKind=Gump; GuardList=PacketReadGuard;StateGuard; Access=; Command=; Handler=; DisabledEvidence=False; RuntimeHookMap=HookType=Gump;Marker=SendGump;Access=Internal;Risk=High;Guards=PacketReadGuard;StateGuard</t>
  </si>
  <si>
    <t>RB-02840</t>
  </si>
  <si>
    <t>P10-F02840</t>
  </si>
  <si>
    <t>PBK-0901</t>
  </si>
  <si>
    <t>CurrentFile=Data/Scripts/Items/Books/LearnStealing.cs; Line=93; SourceLine=e.SendGump(new LearnStealingGump(e));;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</si>
  <si>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RB-02841</t>
  </si>
  <si>
    <t>P10-F02841</t>
  </si>
  <si>
    <t>PBK-0902</t>
  </si>
  <si>
    <t>CurrentFile=Data/Scripts/Items/Books/LearnTailor.cs; Line=93; SourceLine=e.SendGump(new LearnTailorGump(e));; PathResolution=OriginalPathCurrent; MatchQuality=RuntimeHookMapFileLine; HookKind=Gump; GuardList=PacketReadGuard;StateGuard; Access=; Command=; Handler=; DisabledEvidence=False; RuntimeHookMap=HookType=Gump;Marker=SendGump;Access=Internal;Risk=High;Guards=PacketReadGuard;StateGuard</t>
  </si>
  <si>
    <t>RB-02842</t>
  </si>
  <si>
    <t>P10-F02842</t>
  </si>
  <si>
    <t>PBK-0903</t>
  </si>
  <si>
    <t>CurrentFile=Data/Scripts/Items/Books/LearnWood.cs; Line=238; SourceLine=e.SendGump(new LearnWoodBookGump(e));; PathResolution=OriginalPathCurrent; MatchQuality=RuntimeHookMapFileLine; HookKind=Gump; GuardList=PacketReadGuard;StateGuard; Access=; Command=; Handler=; DisabledEvidence=False; RuntimeHookMap=HookType=Gump;Marker=SendGump;Access=Internal;Risk=High;Guards=PacketReadGuard;StateGuard</t>
  </si>
  <si>
    <t>RB-02843</t>
  </si>
  <si>
    <t>P10-F02843</t>
  </si>
  <si>
    <t>PBK-0904</t>
  </si>
  <si>
    <t>CurrentFile=Data/Scripts/Items/Books/MerchantsBook.cs; Line=122; SourceLine=from.SendGump(new MerchantsBookGump(from, this, 0));;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</si>
  <si>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RB-02844</t>
  </si>
  <si>
    <t>P10-F02844</t>
  </si>
  <si>
    <t>PBK-0905</t>
  </si>
  <si>
    <t>CurrentFile=Data/Scripts/Items/Books/MerchantsBook.cs; Line=859; SourceLine=from.SendGump(new MerchantsBookGump(from, m_Book, page));;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</si>
  <si>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RB-02845</t>
  </si>
  <si>
    <t>P10-F02845</t>
  </si>
  <si>
    <t>PBK-0906</t>
  </si>
  <si>
    <t>CurrentFile=Data/Scripts/Items/Books/SwordsAndShackles.cs; Line=29; SourceLine=from.SendGump(new SwordsAndShacklesGump(from, 1));; PathResolution=OriginalPathCurrent; MatchQuality=RuntimeHookMapFileLine; HookKind=Gump; GuardList=BoundsGuard;MapGuard;PacketReadGuard;RangeGuard;StateGuard; Access=; Command=; Handler=; DisabledEvidence=False; RuntimeHookMap=HookType=Gump;Marker=SendGump;Access=Internal;Risk=High;Guards=BoundsGuard;MapGuard;PacketReadGuard;RangeGuard;StateGuard</t>
  </si>
  <si>
    <t>RB-02846</t>
  </si>
  <si>
    <t>P10-F02846</t>
  </si>
  <si>
    <t>PBK-0907</t>
  </si>
  <si>
    <t>CurrentFile=Data/Scripts/Items/Books/SwordsAndShackles.cs; Line=394; SourceLine=from.SendGump(new SwordsAndShacklesGump(from, info.ButtonID));; PathResolution=OriginalPathCurrent; MatchQuality=RuntimeHookMapFileLine; HookKind=Gump; GuardList=BoundsGuard;MapGuard;PacketReadGuard;RangeGuard;StateGuard; Access=; Command=; Handler=; DisabledEvidence=False; RuntimeHookMap=HookType=Gump;Marker=SendGump;Access=Internal;Risk=High;Guards=BoundsGuard;MapGuard;PacketReadGuard;RangeGuard;StateGuard</t>
  </si>
  <si>
    <t>RB-02847</t>
  </si>
  <si>
    <t>P10-F02847</t>
  </si>
  <si>
    <t>PBK-0908</t>
  </si>
  <si>
    <t>CurrentFile=Data/Scripts/Items/Books/BulletinBoards/AssassinNote.cs; Line=78; SourceLine=e.SendGump(new KillGump(e, this));; PathResolution=OriginalPathCurrent; MatchQuality=RuntimeHookMapFileLine; HookKind=Gump; GuardList=AccessGuard;PacketReadGuard;RangeGuard;StateGuard; Access=; Command=; Handler=; DisabledEvidence=False; RuntimeHookMap=HookType=Gump;Marker=SendGump;Access=Internal;Risk=High;Guards=AccessGuard;PacketReadGuard;RangeGuard;StateGuard</t>
  </si>
  <si>
    <t>RB-02848</t>
  </si>
  <si>
    <t>P10-F02848</t>
  </si>
  <si>
    <t>Data/Scripts/Items/Books/BulletinBoards/GuardNote.cs</t>
  </si>
  <si>
    <t>PBK-0909</t>
  </si>
  <si>
    <t>CurrentFile=Data/Scripts/Items/Books/BulletinBoards/GuardNote.cs; Line=73; SourceLine=e.SendGump(new ReadGump(e, this));; PathResolution=OriginalPathCurrent; MatchQuality=RuntimeHookMapFileLine; HookKind=Gump; GuardList=AccessGuard;PacketReadGuard;StateGuard; Access=; Command=; Handler=; DisabledEvidence=False; RuntimeHookMap=HookType=Gump;Marker=SendGump;Access=Internal;Risk=High;Guards=AccessGuard;PacketReadGuard;StateGuard</t>
  </si>
  <si>
    <t>HistoricalFile=Data/Scripts/Items/Books/BulletinBoards/GuardNote.cs; Risk=Runtime; POST-BATCH-K is audit/runtime-surface triage only. No command names, gump button IDs, PlayerMobile fields, region policy, XML/config, save layout, or gameplay behavior changed.</t>
  </si>
  <si>
    <t>RB-02849</t>
  </si>
  <si>
    <t>P10-F02849</t>
  </si>
  <si>
    <t>PBK-0910</t>
  </si>
  <si>
    <t>CurrentFile=Data/Scripts/Items/Books/BulletinBoards/GuildBoard.cs; Line=36; SourceLine=e.SendGump(new GuildBoardGump(e));; PathResolution=OriginalPathCurrent; MatchQuality=RuntimeHookMapFileLine; HookKind=Gump; GuardList=BoundsGuard;MapGuard;PacketReadGuard;RangeGuard;StateGuard; Access=; Command=; Handler=; DisabledEvidence=False; RuntimeHookMap=HookType=Gump;Marker=SendGump;Access=Internal;Risk=High;Guards=BoundsGuard;MapGuard;PacketReadGuard;RangeGuard;StateGuard</t>
  </si>
  <si>
    <t>RB-02850</t>
  </si>
  <si>
    <t>P10-F02850</t>
  </si>
  <si>
    <t>Data/Scripts/Items/Books/BulletinBoards/PatchBoard.cs</t>
  </si>
  <si>
    <t>PBK-0911</t>
  </si>
  <si>
    <t>CurrentFile=Data/Scripts/Items/Books/BulletinBoards/PatchBoard.cs; Line=32; SourceLine=from.SendGump(;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</si>
  <si>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HistoricalFile=Data/Scripts/Items/Books/BulletinBoards/PatchBoard.cs; Risk=Runtime; POST-BATCH-K is audit/runtime-surface triage only. No command names, gump button IDs, PlayerMobile fields, region policy, XML/config, save layout, or gameplay behavior changed.</t>
  </si>
  <si>
    <t>RB-02853</t>
  </si>
  <si>
    <t>P10-F02853</t>
  </si>
  <si>
    <t>PBK-0914</t>
  </si>
  <si>
    <t>CurrentFile=Data/Scripts/Items/Books/BulletinBoards/WantedMangar.cs; Line=109; SourceLine=e.SendGump(new WantedMangarGump(e));;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</si>
  <si>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RB-02854</t>
  </si>
  <si>
    <t>P10-F02854</t>
  </si>
  <si>
    <t>PBK-0915</t>
  </si>
  <si>
    <t>CurrentFile=Data/Scripts/Items/Containers/SackOfHolding.cs; Line=174; SourceLine=m_From.SendGump(new BagGump(m_From, i_SackOfHolding));;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</si>
  <si>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RB-02855</t>
  </si>
  <si>
    <t>P10-F02855</t>
  </si>
  <si>
    <t>PBK-0916</t>
  </si>
  <si>
    <t>CurrentFile=Data/Scripts/Items/Containers/SackOfHolding.cs; Line=198; SourceLine=from.SendGump(new BagGump(from, this));;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</si>
  <si>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RB-02856</t>
  </si>
  <si>
    <t>P10-F02856</t>
  </si>
  <si>
    <t>PBK-0917</t>
  </si>
  <si>
    <t>CurrentFile=Data/Scripts/Items/Doors/GateMoon.cs; Line=77; SourceLine=m.SendGump(new MoonGateGump(m, false));; PathResolution=OriginalPathCurrent; MatchQuality=RuntimeHookMapFileLine; HookKind=Gump; GuardList=BoundsGuard;MapGuard;PacketReadGuard;RangeGuard;StateGuard; Access=; Command=; Handler=; DisabledEvidence=False; RuntimeHookMap=HookType=Gump;Marker=SendGump;Access=Internal;Risk=High;Guards=BoundsGuard;MapGuard;PacketReadGuard;RangeGuard;StateGuard</t>
  </si>
  <si>
    <t>RB-02857</t>
  </si>
  <si>
    <t>P10-F02857</t>
  </si>
  <si>
    <t>Data/Scripts/Items/Gifts/Crystal Token.cs</t>
  </si>
  <si>
    <t>PBK-0918</t>
  </si>
  <si>
    <t>CurrentFile=Data/Scripts/Items/Gifts/Crystal Token.cs; Line=36; SourceLine=from.SendGump(new CrystalTokenGump(from, this));; PathResolution=OriginalPathCurrent; MatchQuality=RuntimeHookMapFileLine; HookKind=Gump; GuardList=NullGuard;PacketReadGuard;StateGuard; Access=; Command=; Handler=; DisabledEvidence=False; RuntimeHookMap=HookType=Gump;Marker=SendGump;Access=Internal;Risk=High;Guards=NullGuard;PacketReadGuard;StateGuard</t>
  </si>
  <si>
    <t>HistoricalFile=Data/Scripts/Items/Gifts/Crystal Token.cs; Risk=Runtime; POST-BATCH-K is audit/runtime-surface triage only. No command names, gump button IDs, PlayerMobile fields, region policy, XML/config, save layout, or gameplay behavior changed.</t>
  </si>
  <si>
    <t>RB-02858</t>
  </si>
  <si>
    <t>P10-F02858</t>
  </si>
  <si>
    <t>Data/Scripts/Items/Gifts/NinthAnniversaryCoin.cs</t>
  </si>
  <si>
    <t>PBK-0919</t>
  </si>
  <si>
    <t>CurrentFile=Data/Scripts/Items/Gifts/NinthAnniversaryCoin.cs; Line=40; SourceLine=from.SendGump(new NinthAnniversaryCoinGump(from, this));; PathResolution=OriginalPathCurrent; MatchQuality=RuntimeHookMapFileLine; HookKind=Gump; GuardList=NullGuard;PacketReadGuard;StateGuard; Access=; Command=; Handler=; DisabledEvidence=False; RuntimeHookMap=HookType=Gump;Marker=SendGump;Access=Internal;Risk=High;Guards=NullGuard;PacketReadGuard;StateGuard</t>
  </si>
  <si>
    <t>HistoricalFile=Data/Scripts/Items/Gifts/NinthAnniversaryCoin.cs; Risk=Runtime; POST-BATCH-K is audit/runtime-surface triage only. No command names, gump button IDs, PlayerMobile fields, region policy, XML/config, save layout, or gameplay behavior changed.</t>
  </si>
  <si>
    <t>RB-02859</t>
  </si>
  <si>
    <t>P10-F02859</t>
  </si>
  <si>
    <t>Data/Scripts/Items/Gifts/Shadow Token.cs</t>
  </si>
  <si>
    <t>PBK-0920</t>
  </si>
  <si>
    <t>CurrentFile=Data/Scripts/Items/Gifts/Shadow Token.cs; Line=36; SourceLine=from.SendGump(new ShadowTokenGump(from, this));; PathResolution=OriginalPathCurrent; MatchQuality=RuntimeHookMapFileLine; HookKind=Gump; GuardList=NullGuard;PacketReadGuard;StateGuard; Access=; Command=; Handler=; DisabledEvidence=False; RuntimeHookMap=HookType=Gump;Marker=SendGump;Access=Internal;Risk=High;Guards=NullGuard;PacketReadGuard;StateGuard</t>
  </si>
  <si>
    <t>HistoricalFile=Data/Scripts/Items/Gifts/Shadow Token.cs; Risk=Runtime; POST-BATCH-K is audit/runtime-surface triage only. No command names, gump button IDs, PlayerMobile fields, region policy, XML/config, save layout, or gameplay behavior changed.</t>
  </si>
  <si>
    <t>RB-02860</t>
  </si>
  <si>
    <t>P10-F02860</t>
  </si>
  <si>
    <t>PBK-0921</t>
  </si>
  <si>
    <t>CurrentFile=Data/Scripts/Items/Gifts/CrystalDeeds/ECrystalBeggarStatue.cs; Line=115;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</si>
  <si>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RB-02861</t>
  </si>
  <si>
    <t>P10-F02861</t>
  </si>
  <si>
    <t>PBK-0922</t>
  </si>
  <si>
    <t>CurrentFile=Data/Scripts/Items/Gifts/CrystalDeeds/ECrystalBull.cs; Line=117;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</si>
  <si>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RB-02862</t>
  </si>
  <si>
    <t>P10-F02862</t>
  </si>
  <si>
    <t>PBK-0923</t>
  </si>
  <si>
    <t>CurrentFile=Data/Scripts/Items/Gifts/CrystalDeeds/ECrystalRunnerStatue.cs; Line=115;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</si>
  <si>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RB-02863</t>
  </si>
  <si>
    <t>P10-F02863</t>
  </si>
  <si>
    <t>PBK-0924</t>
  </si>
  <si>
    <t>CurrentFile=Data/Scripts/Items/Gifts/CrystalDeeds/ECrystalSupplicantStatue.cs; Line=115;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</si>
  <si>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RB-02864</t>
  </si>
  <si>
    <t>P10-F02864</t>
  </si>
  <si>
    <t>PBK-0925</t>
  </si>
  <si>
    <t>CurrentFile=Data/Scripts/Items/Gifts/CrystalDeeds/ECrystalTable.cs; Line=117;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</si>
  <si>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RB-02865</t>
  </si>
  <si>
    <t>P10-F02865</t>
  </si>
  <si>
    <t>PBK-0926</t>
  </si>
  <si>
    <t>CurrentFile=Data/Scripts/Items/Gifts/CrystalDeeds/ECrystalThrone.cs; Line=115;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</si>
  <si>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RB-02866</t>
  </si>
  <si>
    <t>P10-F02866</t>
  </si>
  <si>
    <t>PBK-0927</t>
  </si>
  <si>
    <t>CurrentFile=Data/Scripts/Items/Gifts/ShadowDeeds/EShadowAltar.cs; Line=112;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</si>
  <si>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RB-02867</t>
  </si>
  <si>
    <t>P10-F02867</t>
  </si>
  <si>
    <t>PBK-0928</t>
  </si>
  <si>
    <t>CurrentFile=Data/Scripts/Items/Gifts/ShadowDeeds/EShadowBanner.cs; Line=112; SourceLine=from.SendGump(new InternalGump(this));;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</si>
  <si>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RB-02868</t>
  </si>
  <si>
    <t>P10-F02868</t>
  </si>
  <si>
    <t>PBK-0929</t>
  </si>
  <si>
    <t>CurrentFile=Data/Scripts/Items/Houses/TavernTable.cs; Line=47; SourceLine=from.SendGump(new TavernGump(from, this));;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</si>
  <si>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RB-02869</t>
  </si>
  <si>
    <t>P10-F02869</t>
  </si>
  <si>
    <t>PBK-0930</t>
  </si>
  <si>
    <t>CurrentFile=Data/Scripts/Items/Houses/TavernTable.cs; Line=515; SourceLine=// NORTH; PathResolution=OriginalPathCurrent; MatchQuality=CurrentSourceLine; HookKind=Gump; GuardList=AccessGuard;BoundsGuard;MapGuard;PacketReadGuard;RangeGuard;StateGuard; Access=; Command=; Handler=; DisabledEvidence=True</t>
  </si>
  <si>
    <t>RB-02870</t>
  </si>
  <si>
    <t>P10-F02870</t>
  </si>
  <si>
    <t>PBK-0931</t>
  </si>
  <si>
    <t>CurrentFile=Data/Scripts/Items/Houses/TavernTable.cs; Line=529; SourceLine=button = 4017;; PathResolution=OriginalPathCurrent; MatchQuality=CurrentSourceLine; HookKind=Gump; GuardList=AccessGuard;BoundsGuard;MapGuard;PacketReadGuard;RangeGuard;StateGuard; Access=; Command=; Handler=; DisabledEvidence=False</t>
  </si>
  <si>
    <t>RB-02871</t>
  </si>
  <si>
    <t>P10-F02871</t>
  </si>
  <si>
    <t>PBK-0932</t>
  </si>
  <si>
    <t>CurrentFile=Data/Scripts/Items/Houses/TavernTable.cs; Line=543; SourceLine={; PathResolution=OriginalPathCurrent; MatchQuality=CurrentSourceLine; HookKind=Gump; GuardList=AccessGuard;BoundsGuard;MapGuard;PacketReadGuard;RangeGuard;StateGuard; Access=; Command=; Handler=; DisabledEvidence=False</t>
  </si>
  <si>
    <t>RB-02872</t>
  </si>
  <si>
    <t>P10-F02872</t>
  </si>
  <si>
    <t>PBK-0933</t>
  </si>
  <si>
    <t>CurrentFile=Data/Scripts/Items/Houses/TavernTable.cs; Line=557; SourceLine={; PathResolution=OriginalPathCurrent; MatchQuality=CurrentSourceLine; HookKind=Gump; GuardList=AccessGuard;BoundsGuard;MapGuard;PacketReadGuard;RangeGuard;StateGuard; Access=; Command=; Handler=; DisabledEvidence=False</t>
  </si>
  <si>
    <t>RB-02875</t>
  </si>
  <si>
    <t>P10-F02875</t>
  </si>
  <si>
    <t>Data/Scripts/Items/Houses/Remodeling/LawnTarget.cs</t>
  </si>
  <si>
    <t>PBK-0936</t>
  </si>
  <si>
    <t>CurrentFile=Data/Scripts/Items/Houses/Remodeling/LawnTarget.cs; Line=178; SourceLine=m_From.SendGump(; PathResolution=OriginalPathCurrent; MatchQuality=RuntimeHookMapFileLine; HookKind=Gump; GuardList=MapGuard;NullGuard;StateGuard; Access=; Command=; Handler=; DisabledEvidence=False; RuntimeHookMap=HookType=Gump;Marker=SendGump;Access=Internal;Risk=High;Guards=MapGuard;NullGuard;StateGuard</t>
  </si>
  <si>
    <t>HistoricalFile=Data/Scripts/Items/Houses/Remodeling/LawnTarget.cs; Risk=Runtime; POST-BATCH-K is audit/runtime-surface triage only. No command names, gump button IDs, PlayerMobile fields, region policy, XML/config, save layout, or gameplay behavior changed.</t>
  </si>
  <si>
    <t>RB-02876</t>
  </si>
  <si>
    <t>P10-F02876</t>
  </si>
  <si>
    <t>Data/Scripts/Items/Houses/Remodeling/ShantyTarget.cs</t>
  </si>
  <si>
    <t>PBK-0937</t>
  </si>
  <si>
    <t>CurrentFile=Data/Scripts/Items/Houses/Remodeling/ShantyTarget.cs; Line=155; SourceLine=m_From.SendGump(; PathResolution=OriginalPathCurrent; MatchQuality=RuntimeHookMapFileLine; HookKind=Gump; GuardList=MapGuard;NullGuard;StateGuard; Access=; Command=; Handler=; DisabledEvidence=False; RuntimeHookMap=HookType=Gump;Marker=SendGump;Access=Internal;Risk=High;Guards=MapGuard;NullGuard;StateGuard</t>
  </si>
  <si>
    <t>HistoricalFile=Data/Scripts/Items/Houses/Remodeling/ShantyTarget.cs; Risk=Runtime; POST-BATCH-K is audit/runtime-surface triage only. No command names, gump button IDs, PlayerMobile fields, region policy, XML/config, save layout, or gameplay behavior changed.</t>
  </si>
  <si>
    <t>RB-02877</t>
  </si>
  <si>
    <t>P10-F02877</t>
  </si>
  <si>
    <t>Data/Scripts/Items/Magical/Artifacts/Artifact_RodOfResurrection.cs</t>
  </si>
  <si>
    <t>PBK-0938</t>
  </si>
  <si>
    <t>CurrentFile=Data/Scripts/Items/Magical/Artifacts/Artifact_RodOfResurrection.cs; Line=64; SourceLine=m.SendGump(new ResurrectGump(m, from));;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</si>
  <si>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HistoricalFile=Data/Scripts/Items/Magical/Artifacts/Artifact_RodOfResurrection.cs; Risk=Runtime; POST-BATCH-K is audit/runtime-surface triage only. No command names, gump button IDs, PlayerMobile fields, region policy, XML/config, save layout, or gameplay behavior changed.</t>
  </si>
  <si>
    <t>RB-02878</t>
  </si>
  <si>
    <t>P10-F02878</t>
  </si>
  <si>
    <t>PBK-0939</t>
  </si>
  <si>
    <t>CurrentFile=Data/Scripts/Items/Magical/Artifacts/Artifact_RodOfResurrection.cs; Line=75; SourceLine=master.SendGump(new PetResurrectGump(master, pet));;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</si>
  <si>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RB-02879</t>
  </si>
  <si>
    <t>P10-F02879</t>
  </si>
  <si>
    <t>PBK-0940</t>
  </si>
  <si>
    <t>CurrentFile=Data/Scripts/Items/Magical/Artifacts/Minor/ColoringBook.cs; Line=62; SourceLine=from.SendGump(new ColoringBookGump(from, this));;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</si>
  <si>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RB-02880</t>
  </si>
  <si>
    <t>P10-F02880</t>
  </si>
  <si>
    <t>PBK-0941</t>
  </si>
  <si>
    <t>CurrentFile=Data/Scripts/Items/Magical/Artifacts/Minor/ColoringBook.cs; Line=547; SourceLine=from.SendGump(new ColoringBookGump(from, m_Book));;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</si>
  <si>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RB-02881</t>
  </si>
  <si>
    <t>P10-F02881</t>
  </si>
  <si>
    <t>PBK-0942</t>
  </si>
  <si>
    <t>CurrentFile=Data/Scripts/Items/Magical/Artifacts/Minor/ColoringBook.cs; Line=559; SourceLine=from.SendGump(new ColoringBookGump(from, m_Book));;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</si>
  <si>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RB-02883</t>
  </si>
  <si>
    <t>P10-F02883</t>
  </si>
  <si>
    <t>PBK-0944</t>
  </si>
  <si>
    <t>CurrentFile=Data/Scripts/Items/Magical/Gifts/Gumps/GiftGump.cs; Line=518;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</si>
  <si>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RB-02884</t>
  </si>
  <si>
    <t>P10-F02884</t>
  </si>
  <si>
    <t>PBK-0945</t>
  </si>
  <si>
    <t>CurrentFile=Data/Scripts/Items/Magical/Gifts/Gumps/GiftGump.cs; Line=531;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</si>
  <si>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RB-02885</t>
  </si>
  <si>
    <t>P10-F02885</t>
  </si>
  <si>
    <t>PBK-0946</t>
  </si>
  <si>
    <t>CurrentFile=Data/Scripts/Items/Magical/Gifts/Gumps/GiftGump.cs; Line=544;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</si>
  <si>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RB-02886</t>
  </si>
  <si>
    <t>P10-F02886</t>
  </si>
  <si>
    <t>PBK-0947</t>
  </si>
  <si>
    <t>CurrentFile=Data/Scripts/Items/Magical/Gifts/Gumps/GiftGump.cs; Line=557;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</si>
  <si>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RB-02887</t>
  </si>
  <si>
    <t>P10-F02887</t>
  </si>
  <si>
    <t>PBK-0948</t>
  </si>
  <si>
    <t>CurrentFile=Data/Scripts/Items/Magical/Gifts/Gumps/GiftGump.cs; Line=570;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</si>
  <si>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RB-02888</t>
  </si>
  <si>
    <t>P10-F02888</t>
  </si>
  <si>
    <t>PBK-0949</t>
  </si>
  <si>
    <t>CurrentFile=Data/Scripts/Items/Magical/Gifts/Gumps/GiftGump.cs; Line=583;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</si>
  <si>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RB-02889</t>
  </si>
  <si>
    <t>P10-F02889</t>
  </si>
  <si>
    <t>PBK-0950</t>
  </si>
  <si>
    <t>CurrentFile=Data/Scripts/Items/Magical/Gifts/Gumps/GiftGump.cs; Line=673;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</si>
  <si>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RB-02890</t>
  </si>
  <si>
    <t>P10-F02890</t>
  </si>
  <si>
    <t>PBK-0951</t>
  </si>
  <si>
    <t>CurrentFile=Data/Scripts/Items/Magical/Gifts/Gumps/GiftGump.cs; Line=729;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</si>
  <si>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RB-02891</t>
  </si>
  <si>
    <t>P10-F02891</t>
  </si>
  <si>
    <t>PBK-0952</t>
  </si>
  <si>
    <t>CurrentFile=Data/Scripts/Items/Magical/Gifts/Gumps/GiftGump.cs; Line=784;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</si>
  <si>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RB-02892</t>
  </si>
  <si>
    <t>P10-F02892</t>
  </si>
  <si>
    <t>PBK-0953</t>
  </si>
  <si>
    <t>CurrentFile=Data/Scripts/Items/Magical/Gifts/Gumps/GiftGump.cs; Line=894;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</si>
  <si>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RB-02893</t>
  </si>
  <si>
    <t>P10-F02893</t>
  </si>
  <si>
    <t>PBK-0954</t>
  </si>
  <si>
    <t>CurrentFile=Data/Scripts/Items/Magical/Gifts/Gumps/GiftGump.cs; Line=958;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</si>
  <si>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RB-02894</t>
  </si>
  <si>
    <t>P10-F02894</t>
  </si>
  <si>
    <t>PBK-0955</t>
  </si>
  <si>
    <t>CurrentFile=Data/Scripts/Items/Magical/God/LegendsBook.cs; Line=27; SourceLine=from.SendGump(new LegendsBookGump(from, this, 0));;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</si>
  <si>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RB-02895</t>
  </si>
  <si>
    <t>P10-F02895</t>
  </si>
  <si>
    <t>PBK-0956</t>
  </si>
  <si>
    <t>CurrentFile=Data/Scripts/Items/Magical/God/LegendsBook.cs; Line=453; SourceLine=from.SendGump(new LegendsBookGump(from, m_Book,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</si>
  <si>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RB-02897</t>
  </si>
  <si>
    <t>P10-F02897</t>
  </si>
  <si>
    <t>Data/Scripts/Items/Magical/God/LevelUpScroll.cs</t>
  </si>
  <si>
    <t>PBK-0958</t>
  </si>
  <si>
    <t>CurrentFile=Data/Scripts/Items/Magical/God/LevelUpScroll.cs; Line=262; SourceLine=from.SendGump(new AwaitingSmithApprovalGump(m_Scroll, from));;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</si>
  <si>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HistoricalFile=Data/Scripts/Items/Magical/God/LevelUpScroll.cs; Risk=Runtime; POST-BATCH-K is audit/runtime-surface triage only. No command names, gump button IDs, PlayerMobile fields, region policy, XML/config, save layout, or gameplay behavior changed.</t>
  </si>
  <si>
    <t>RB-02898</t>
  </si>
  <si>
    <t>P10-F02898</t>
  </si>
  <si>
    <t>PBK-0959</t>
  </si>
  <si>
    <t>CurrentFile=Data/Scripts/Items/Magical/God/LevelUpScroll.cs; Line=263; SourceLine=smith.SendGump(new LevelUpAcceptGump(m_Scroll, from));;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</si>
  <si>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RB-02899</t>
  </si>
  <si>
    <t>P10-F02899</t>
  </si>
  <si>
    <t>Data/Scripts/Items/Magical/God/Commands/ItemExpCommand.cs</t>
  </si>
  <si>
    <t>PBK-0960</t>
  </si>
  <si>
    <t>CurrentFile=Data/Scripts/Items/Magical/God/Commands/ItemExpCommand.cs; Line=73; SourceLine=from.SendGump(; PathResolution=OriginalPathCurrent; MatchQuality=RuntimeHookMapFileLine; HookKind=Gump; GuardList=AccessGuard;StateGuard; Access=; Command=; Handler=; DisabledEvidence=False; RuntimeHookMap=HookType=Gump;Marker=SendGump;Access=Internal;Risk=High;Guards=AccessGuard;StateGuard</t>
  </si>
  <si>
    <t>HistoricalFile=Data/Scripts/Items/Magical/God/Commands/ItemExpCommand.cs; Risk=Runtime; POST-BATCH-K is audit/runtime-surface triage only. No command names, gump button IDs, PlayerMobile fields, region policy, XML/config, save layout, or gameplay behavior changed.</t>
  </si>
  <si>
    <t>RB-02900</t>
  </si>
  <si>
    <t>P10-F02900</t>
  </si>
  <si>
    <t>PBK-0961</t>
  </si>
  <si>
    <t>CurrentFile=Data/Scripts/Items/Magical/God/Gumps/ItemExperienceGump.cs; Line=565;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</si>
  <si>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RB-02901</t>
  </si>
  <si>
    <t>P10-F02901</t>
  </si>
  <si>
    <t>PBK-0962</t>
  </si>
  <si>
    <t>CurrentFile=Data/Scripts/Items/Magical/God/Gumps/ItemExperienceGump.cs; Line=578;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</si>
  <si>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RB-02902</t>
  </si>
  <si>
    <t>P10-F02902</t>
  </si>
  <si>
    <t>PBK-0963</t>
  </si>
  <si>
    <t>CurrentFile=Data/Scripts/Items/Magical/God/Gumps/ItemExperienceGump.cs; Line=591;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</si>
  <si>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RB-02903</t>
  </si>
  <si>
    <t>P10-F02903</t>
  </si>
  <si>
    <t>PBK-0964</t>
  </si>
  <si>
    <t>CurrentFile=Data/Scripts/Items/Magical/God/Gumps/ItemExperienceGump.cs; Line=604;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</si>
  <si>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RB-02904</t>
  </si>
  <si>
    <t>P10-F02904</t>
  </si>
  <si>
    <t>PBK-0965</t>
  </si>
  <si>
    <t>CurrentFile=Data/Scripts/Items/Magical/God/Gumps/ItemExperienceGump.cs; Line=617;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</si>
  <si>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RB-02905</t>
  </si>
  <si>
    <t>P10-F02905</t>
  </si>
  <si>
    <t>PBK-0966</t>
  </si>
  <si>
    <t>CurrentFile=Data/Scripts/Items/Magical/God/Gumps/ItemExperienceGump.cs; Line=630;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</si>
  <si>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RB-02906</t>
  </si>
  <si>
    <t>P10-F02906</t>
  </si>
  <si>
    <t>PBK-0967</t>
  </si>
  <si>
    <t>CurrentFile=Data/Scripts/Items/Magical/God/Gumps/ItemExperienceGump.cs; Line=720;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</si>
  <si>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RB-02907</t>
  </si>
  <si>
    <t>P10-F02907</t>
  </si>
  <si>
    <t>PBK-0968</t>
  </si>
  <si>
    <t>CurrentFile=Data/Scripts/Items/Magical/God/Gumps/ItemExperienceGump.cs; Line=776;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</si>
  <si>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RB-02908</t>
  </si>
  <si>
    <t>P10-F02908</t>
  </si>
  <si>
    <t>PBK-0969</t>
  </si>
  <si>
    <t>CurrentFile=Data/Scripts/Items/Magical/God/Gumps/ItemExperienceGump.cs; Line=832;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</si>
  <si>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RB-02909</t>
  </si>
  <si>
    <t>P10-F02909</t>
  </si>
  <si>
    <t>PBK-0970</t>
  </si>
  <si>
    <t>CurrentFile=Data/Scripts/Items/Magical/God/Gumps/ItemExperienceGump.cs; Line=928;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</si>
  <si>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RB-02910</t>
  </si>
  <si>
    <t>P10-F02910</t>
  </si>
  <si>
    <t>PBK-0971</t>
  </si>
  <si>
    <t>CurrentFile=Data/Scripts/Items/Magical/God/Gumps/ItemExperienceGump.cs; Line=994; SourceLine=m_From.SendGump(; PathResolution=OriginalPathCurrent; MatchQuality=RuntimeHookMapFileLine; HookKind=Gump; GuardList=BoundsGuard;StateGuard; Access=; Command=; Handler=; DisabledEvidence=False; RuntimeHookMap=HookType=Gump;Marker=SendGump;Access=Internal;Risk=High;Guards=BoundsGuard;StateGuard</t>
  </si>
  <si>
    <t>RB-02911</t>
  </si>
  <si>
    <t>P10-F02911</t>
  </si>
  <si>
    <t>PBK-0972</t>
  </si>
  <si>
    <t>CurrentFile=Data/Scripts/Items/Misc/HairDye.cs; Line=44; SourceLine=from.SendGump(new HairDyeGump(this));;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</si>
  <si>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RB-02912</t>
  </si>
  <si>
    <t>P10-F02912</t>
  </si>
  <si>
    <t>PBK-0973</t>
  </si>
  <si>
    <t>CurrentFile=Data/Scripts/Items/Misc/SpecialBeardDye.cs; Line=45; SourceLine=from.SendGump(new SpecialBeardDyeGump(this));;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</si>
  <si>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RB-02913</t>
  </si>
  <si>
    <t>P10-F02913</t>
  </si>
  <si>
    <t>PBK-0974</t>
  </si>
  <si>
    <t>CurrentFile=Data/Scripts/Items/Misc/SpecialHairDye.cs; Line=45; SourceLine=from.SendGump(new SpecialHairDyeGump(this));;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</si>
  <si>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RB-02914</t>
  </si>
  <si>
    <t>P10-F02914</t>
  </si>
  <si>
    <t>Data/Scripts/Items/Misc/Games/Tarot.cs</t>
  </si>
  <si>
    <t>PBK-0975</t>
  </si>
  <si>
    <t>CurrentFile=Data/Scripts/Items/Misc/Games/Tarot.cs; Line=233;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</si>
  <si>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HistoricalFile=Data/Scripts/Items/Misc/Games/Tarot.cs; Risk=Runtime; POST-BATCH-K is audit/runtime-surface triage only. No command names, gump button IDs, PlayerMobile fields, region policy, XML/config, save layout, or gameplay behavior changed.</t>
  </si>
  <si>
    <t>RB-02915</t>
  </si>
  <si>
    <t>P10-F02915</t>
  </si>
  <si>
    <t>PBK-0976</t>
  </si>
  <si>
    <t>CurrentFile=Data/Scripts/Items/Misc/Games/Tarot.cs; Line=242;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</si>
  <si>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RB-02916</t>
  </si>
  <si>
    <t>P10-F02916</t>
  </si>
  <si>
    <t>PBK-0977</t>
  </si>
  <si>
    <t>CurrentFile=Data/Scripts/Items/Misc/Games/Tarot.cs; Line=251;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</si>
  <si>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RB-02917</t>
  </si>
  <si>
    <t>P10-F02917</t>
  </si>
  <si>
    <t>PBK-0978</t>
  </si>
  <si>
    <t>CurrentFile=Data/Scripts/Items/Misc/Games/Tarot.cs; Line=260;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</si>
  <si>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RB-02918</t>
  </si>
  <si>
    <t>P10-F02918</t>
  </si>
  <si>
    <t>Data/Scripts/Items/Misc/Games/tarotpoker.cs</t>
  </si>
  <si>
    <t>PBK-0979</t>
  </si>
  <si>
    <t>CurrentFile=Data/Scripts/Items/Misc/Games/tarotpoker.cs; Line=44; SourceLine=from.SendGump(new TarotGump(0x454));;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</si>
  <si>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HistoricalFile=Data/Scripts/Items/Misc/Games/tarotpoker.cs; Risk=Runtime; POST-BATCH-K is audit/runtime-surface triage only. No command names, gump button IDs, PlayerMobile fields, region policy, XML/config, save layout, or gameplay behavior changed.</t>
  </si>
  <si>
    <t>RB-02919</t>
  </si>
  <si>
    <t>P10-F02919</t>
  </si>
  <si>
    <t>PBK-0980</t>
  </si>
  <si>
    <t>CurrentFile=Data/Scripts/Items/Misc/Games/tarotpoker.cs; Line=62; SourceLine=from.SendGump(new TarotGump(0x45C));;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</si>
  <si>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RB-02920</t>
  </si>
  <si>
    <t>P10-F02920</t>
  </si>
  <si>
    <t>PBK-0981</t>
  </si>
  <si>
    <t>CurrentFile=Data/Scripts/Items/Misc/Games/tarotpoker.cs; Line=80; SourceLine=from.SendGump(new TarotGump(0x458));;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</si>
  <si>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RB-02921</t>
  </si>
  <si>
    <t>P10-F02921</t>
  </si>
  <si>
    <t>PBK-0982</t>
  </si>
  <si>
    <t>CurrentFile=Data/Scripts/Items/Misc/Games/tarotpoker.cs; Line=98; SourceLine=from.SendGump(new TarotGump(0x453));;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</si>
  <si>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RB-02922</t>
  </si>
  <si>
    <t>P10-F02922</t>
  </si>
  <si>
    <t>PBK-0983</t>
  </si>
  <si>
    <t>CurrentFile=Data/Scripts/Items/Misc/Games/tarotpoker.cs; Line=116; SourceLine=from.SendGump(new TarotGump(0x452));;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</si>
  <si>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RB-02923</t>
  </si>
  <si>
    <t>P10-F02923</t>
  </si>
  <si>
    <t>PBK-0984</t>
  </si>
  <si>
    <t>CurrentFile=Data/Scripts/Items/Misc/Games/tarotpoker.cs; Line=134; SourceLine=from.SendGump(new TarotGump(0x457));;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</si>
  <si>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RB-02924</t>
  </si>
  <si>
    <t>P10-F02924</t>
  </si>
  <si>
    <t>PBK-0985</t>
  </si>
  <si>
    <t>CurrentFile=Data/Scripts/Items/Misc/Games/tarotpoker.cs; Line=152; SourceLine=from.SendGump(new TarotGump(0x45B));;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</si>
  <si>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RB-02925</t>
  </si>
  <si>
    <t>P10-F02925</t>
  </si>
  <si>
    <t>PBK-0986</t>
  </si>
  <si>
    <t>CurrentFile=Data/Scripts/Items/Misc/Games/tarotpoker.cs; Line=174; SourceLine=from.SendGump(new TarotGump(0x461));;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</si>
  <si>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RB-02926</t>
  </si>
  <si>
    <t>P10-F02926</t>
  </si>
  <si>
    <t>PBK-0987</t>
  </si>
  <si>
    <t>CurrentFile=Data/Scripts/Items/Misc/Games/tarotpoker.cs; Line=199; SourceLine=from.SendGump(new TarotGump(0x45A));;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</si>
  <si>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RB-02927</t>
  </si>
  <si>
    <t>P10-F02927</t>
  </si>
  <si>
    <t>PBK-0988</t>
  </si>
  <si>
    <t>CurrentFile=Data/Scripts/Items/Misc/Games/tarotpoker.cs; Line=221; SourceLine=from.SendGump(new TarotGump(0x456));;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</si>
  <si>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RB-02928</t>
  </si>
  <si>
    <t>P10-F02928</t>
  </si>
  <si>
    <t>PBK-0989</t>
  </si>
  <si>
    <t>CurrentFile=Data/Scripts/Items/Misc/Games/tarotpoker.cs; Line=239; SourceLine=from.SendGump(new TarotGump(0x463));;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</si>
  <si>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RB-02929</t>
  </si>
  <si>
    <t>P10-F02929</t>
  </si>
  <si>
    <t>PBK-0990</t>
  </si>
  <si>
    <t>CurrentFile=Data/Scripts/Items/Misc/Games/tarotpoker.cs; Line=261; SourceLine=from.SendGump(new TarotGump(0x45F));;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</si>
  <si>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RB-02930</t>
  </si>
  <si>
    <t>P10-F02930</t>
  </si>
  <si>
    <t>PBK-0991</t>
  </si>
  <si>
    <t>CurrentFile=Data/Scripts/Items/Misc/Games/tarotpoker.cs; Line=283; SourceLine=from.SendGump(new TarotGump(0x44F));;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</si>
  <si>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RB-02931</t>
  </si>
  <si>
    <t>P10-F02931</t>
  </si>
  <si>
    <t>PBK-0992</t>
  </si>
  <si>
    <t>CurrentFile=Data/Scripts/Items/Misc/Games/tarotpoker.cs; Line=301; SourceLine=from.SendGump(new TarotGump(0x450));;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</si>
  <si>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RB-02932</t>
  </si>
  <si>
    <t>P10-F02932</t>
  </si>
  <si>
    <t>PBK-0993</t>
  </si>
  <si>
    <t>CurrentFile=Data/Scripts/Items/Misc/Games/tarotpoker.cs; Line=325; SourceLine=from.SendGump(new TarotGump(0x455));;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</si>
  <si>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RB-02933</t>
  </si>
  <si>
    <t>P10-F02933</t>
  </si>
  <si>
    <t>PBK-0994</t>
  </si>
  <si>
    <t>CurrentFile=Data/Scripts/Items/Misc/Games/tarotpoker.cs; Line=350; SourceLine=from.SendGump(new TarotGump(0x451));;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</si>
  <si>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RB-02934</t>
  </si>
  <si>
    <t>P10-F02934</t>
  </si>
  <si>
    <t>PBK-0995</t>
  </si>
  <si>
    <t>CurrentFile=Data/Scripts/Items/Misc/Games/tarotpoker.cs; Line=368; SourceLine=from.SendGump(new TarotGump(0x462));;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</si>
  <si>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RB-02935</t>
  </si>
  <si>
    <t>P10-F02935</t>
  </si>
  <si>
    <t>PBK-0996</t>
  </si>
  <si>
    <t>CurrentFile=Data/Scripts/Items/Misc/Games/tarotpoker.cs; Line=386; SourceLine=from.SendGump(new TarotGump(0x45E));;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</si>
  <si>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RB-02936</t>
  </si>
  <si>
    <t>P10-F02936</t>
  </si>
  <si>
    <t>PBK-0997</t>
  </si>
  <si>
    <t>CurrentFile=Data/Scripts/Items/Misc/Games/tarotpoker.cs; Line=404; SourceLine=from.SendGump(new TarotGump(0x45D));;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</si>
  <si>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RB-02937</t>
  </si>
  <si>
    <t>P10-F02937</t>
  </si>
  <si>
    <t>PBK-0998</t>
  </si>
  <si>
    <t>CurrentFile=Data/Scripts/Items/Misc/Games/tarotpoker.cs; Line=422; SourceLine=from.SendGump(new TarotGump(0x460));;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</si>
  <si>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RB-02938</t>
  </si>
  <si>
    <t>P10-F02938</t>
  </si>
  <si>
    <t>PBK-0999</t>
  </si>
  <si>
    <t>CurrentFile=Data/Scripts/Items/Misc/Games/tarotpoker.cs; Line=440; SourceLine=from.SendGump(new TarotGump(0x459));;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</si>
  <si>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RB-02939</t>
  </si>
  <si>
    <t>P10-F02939</t>
  </si>
  <si>
    <t>PBK-1000</t>
  </si>
  <si>
    <t>CurrentFile=Data/Scripts/Items/Misc/Games/tarotpoker.cs; Line=462; SourceLine=from.SendGump(new TarotGump(0x464));;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</si>
  <si>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RB-02940</t>
  </si>
  <si>
    <t>P10-F02940</t>
  </si>
  <si>
    <t>PBK-1001</t>
  </si>
  <si>
    <t>CurrentFile=Data/Scripts/Items/Misc/Games/DandD/DungeonMastersGuide.cs; Line=32; SourceLine=e.SendGump(new DMGuideGump(e));; PathResolution=OriginalPathCurrent; MatchQuality=RuntimeHookMapFileLine; HookKind=Gump; GuardList=PacketReadGuard;StateGuard; Access=; Command=; Handler=; DisabledEvidence=False; RuntimeHookMap=HookType=Gump;Marker=SendGump;Access=Internal;Risk=High;Guards=PacketReadGuard;StateGuard</t>
  </si>
  <si>
    <t>RB-02941</t>
  </si>
  <si>
    <t>P10-F02941</t>
  </si>
  <si>
    <t>Data/Scripts/Items/Misc/Games/DandD/MonsterManual.cs</t>
  </si>
  <si>
    <t>PBK-1002</t>
  </si>
  <si>
    <t>CurrentFile=Data/Scripts/Items/Misc/Games/DandD/MonsterManual.cs; Line=95; SourceLine=from.SendGump(new Server.SkillHandlers.DruidismGump(from, c, 1));;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</si>
  <si>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HistoricalFile=Data/Scripts/Items/Misc/Games/DandD/MonsterManual.cs; Risk=Runtime; POST-BATCH-K is audit/runtime-surface triage only. No command names, gump button IDs, PlayerMobile fields, region policy, XML/config, save layout, or gameplay behavior changed.</t>
  </si>
  <si>
    <t>RB-02942</t>
  </si>
  <si>
    <t>P10-F02942</t>
  </si>
  <si>
    <t>Data/Scripts/Items/Misc/Games/DandD/PlayersHandbook.cs</t>
  </si>
  <si>
    <t>PBK-1003</t>
  </si>
  <si>
    <t>CurrentFile=Data/Scripts/Items/Misc/Games/DandD/PlayersHandbook.cs; Line=77; SourceLine=from.SendGump(new StatsGump(from, p, 1));;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</si>
  <si>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HistoricalFile=Data/Scripts/Items/Misc/Games/DandD/PlayersHandbook.cs; Risk=Runtime; POST-BATCH-K is audit/runtime-surface triage only. No command names, gump button IDs, PlayerMobile fields, region policy, XML/config, save layout, or gameplay behavior changed.</t>
  </si>
  <si>
    <t>RB-02943</t>
  </si>
  <si>
    <t>P10-F02943</t>
  </si>
  <si>
    <t>PBK-1004</t>
  </si>
  <si>
    <t>CurrentFile=Data/Scripts/Items/Misc/Games/DandD/PlayersHandbook.cs; Line=120; SourceLine=from.SendGump(new Server.SkillHandlers.DruidismGump(from, c, 2));; PathResolution=OriginalPathCurrent; MatchQuality=RuntimeHookMapFileLine; HookKind=Gump; GuardList=PacketReadGuard;StateGuard; Access=; Command=; Handler=; DisabledEvidence=False; RuntimeHookMap=HookType=Gump;Marker=SendGump;Access=Internal;Risk=High;Guards=PacketReadGuard;StateGuard</t>
  </si>
  <si>
    <t>RB-02944</t>
  </si>
  <si>
    <t>P10-F02944</t>
  </si>
  <si>
    <t>PBK-1005</t>
  </si>
  <si>
    <t>CurrentFile=Data/Scripts/Items/Misc/Games/LiarsDice/DiceChannel.cs; Line=479; SourceLine=//unfreeze character, used so they can't enter more than 1 game at time; PathResolution=OriginalPathCurrent; MatchQuality=CurrentSourceLine; HookKind=Gump; GuardList=BoundsGuard; Access=; Command=; Handler=; DisabledEvidence=True</t>
  </si>
  <si>
    <t>HistoricalFile=Data/Scripts/Items/Misc/Games/LiarsDice/DiceChannel.cs; Risk=Runtime; POST-BATCH-K is audit/runtime-surface triage only. No command names, gump button IDs, PlayerMobile fields, region policy, XML/config, save layout, or gameplay behavior changed.</t>
  </si>
  <si>
    <t>RB-02949</t>
  </si>
  <si>
    <t>P10-F02949</t>
  </si>
  <si>
    <t>PBK-1010</t>
  </si>
  <si>
    <t>CurrentFile=Data/Scripts/Items/Misc/Games/LiarsDice/Gumps/GameDiceGump.cs; Line=190; SourceLine=state.Mobile.SendGump(this);; PathResolution=OriginalPathCurrent; MatchQuality=RuntimeHookMapFileLine; HookKind=Gump; GuardList=BoundsGuard;StateGuard; Access=; Command=; Handler=; DisabledEvidence=False; RuntimeHookMap=HookType=Gump;Marker=SendGump;Access=Internal;Risk=High;Guards=BoundsGuard;StateGuard</t>
  </si>
  <si>
    <t>RB-02950</t>
  </si>
  <si>
    <t>P10-F02950</t>
  </si>
  <si>
    <t>Data/Scripts/Items/Potions/Special/ResurrectPotion.cs</t>
  </si>
  <si>
    <t>PBK-1011</t>
  </si>
  <si>
    <t>CurrentFile=Data/Scripts/Items/Potions/Special/ResurrectPotion.cs; Line=86; SourceLine=m.SendGump(new ResurrectGump(m, from));;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</si>
  <si>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HistoricalFile=Data/Scripts/Items/Potions/Special/ResurrectPotion.cs; Risk=Runtime; POST-BATCH-K is audit/runtime-surface triage only. No command names, gump button IDs, PlayerMobile fields, region policy, XML/config, save layout, or gameplay behavior changed.</t>
  </si>
  <si>
    <t>RB-02951</t>
  </si>
  <si>
    <t>P10-F02951</t>
  </si>
  <si>
    <t>PBK-1012</t>
  </si>
  <si>
    <t>CurrentFile=Data/Scripts/Items/Potions/Special/ResurrectPotion.cs; Line=99; SourceLine=master.SendGump(new PetResurrectGump(master, pet));;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</si>
  <si>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RB-02952</t>
  </si>
  <si>
    <t>P10-F02952</t>
  </si>
  <si>
    <t>Data/Scripts/Items/Special/AlternateRealityMap.cs</t>
  </si>
  <si>
    <t>PBK-1013</t>
  </si>
  <si>
    <t>CurrentFile=Data/Scripts/Items/Special/AlternateRealityMap.cs; Line=38; SourceLine=e.SendGump(new WorldMapGump(e));; PathResolution=OriginalPathCurrent; MatchQuality=RuntimeHookMapFileLine; HookKind=Gump; GuardList=MapGuard;PacketReadGuard;RangeGuard;StateGuard; Access=; Command=; Handler=; DisabledEvidence=False; RuntimeHookMap=HookType=Gump;Marker=SendGump;Access=Internal;Risk=High;Guards=MapGuard;PacketReadGuard;RangeGuard;StateGuard</t>
  </si>
  <si>
    <t>HistoricalFile=Data/Scripts/Items/Special/AlternateRealityMap.cs; Risk=Runtime; POST-BATCH-K is audit/runtime-surface triage only. No command names, gump button IDs, PlayerMobile fields, region policy, XML/config, save layout, or gameplay behavior changed.</t>
  </si>
  <si>
    <t>RB-02953</t>
  </si>
  <si>
    <t>P10-F02953</t>
  </si>
  <si>
    <t>Data/Scripts/Items/Special/BaseImprisonedMobile.cs</t>
  </si>
  <si>
    <t>PBK-1014</t>
  </si>
  <si>
    <t>CurrentFile=Data/Scripts/Items/Special/BaseImprisonedMobile.cs; Line=22; SourceLine=from.SendGump(new ConfirmBreakCrystalGump(this));;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</si>
  <si>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HistoricalFile=Data/Scripts/Items/Special/BaseImprisonedMobile.cs; Risk=Runtime; POST-BATCH-K is audit/runtime-surface triage only. No command names, gump button IDs, PlayerMobile fields, region policy, XML/config, save layout, or gameplay behavior changed.</t>
  </si>
  <si>
    <t>RB-02954</t>
  </si>
  <si>
    <t>P10-F02954</t>
  </si>
  <si>
    <t>PBK-1015</t>
  </si>
  <si>
    <t>CurrentFile=Data/Scripts/Items/Special/DracolichSkull.cs; Line=63; SourceLine=from.SendGump(new DracolichSkullGump(from, this));; PathResolution=OriginalPathCurrent; MatchQuality=RuntimeHookMapFileLine; HookKind=Gump; GuardList=AccessGuard;MapGuard;NullGuard;PacketReadGuard;StateGuard; Access=; Command=; Handler=; DisabledEvidence=False; RuntimeHookMap=HookType=Gump;Marker=SendGump;Access=Internal;Risk=High;Guards=AccessGuard;MapGuard;NullGuard;PacketReadGuard;StateGuard</t>
  </si>
  <si>
    <t>RB-02955</t>
  </si>
  <si>
    <t>P10-F02955</t>
  </si>
  <si>
    <t>PBK-1016</t>
  </si>
  <si>
    <t>CurrentFile=Data/Scripts/Items/Special/DragonEgg.cs; Line=61; SourceLine=from.SendGump(new DragonEggGump(from, this));; PathResolution=OriginalPathCurrent; MatchQuality=RuntimeHookMapFileLine; HookKind=Gump; GuardList=AccessGuard;MapGuard;NullGuard;PacketReadGuard;StateGuard; Access=; Command=; Handler=; DisabledEvidence=False; RuntimeHookMap=HookType=Gump;Marker=SendGump;Access=Internal;Risk=High;Guards=AccessGuard;MapGuard;NullGuard;PacketReadGuard;StateGuard</t>
  </si>
  <si>
    <t>RB-02956</t>
  </si>
  <si>
    <t>P10-F02956</t>
  </si>
  <si>
    <t>PBK-1017</t>
  </si>
  <si>
    <t>CurrentFile=Data/Scripts/Items/Special/DrakkhenEgg.cs; Line=32; SourceLine=from.SendGump(new DrakkhenEggGump(from, this));; PathResolution=OriginalPathCurrent; MatchQuality=RuntimeHookMapFileLine; HookKind=Gump; GuardList=AccessGuard;MapGuard;NullGuard;PacketReadGuard;StateGuard; Access=; Command=; Handler=; DisabledEvidence=False; RuntimeHookMap=HookType=Gump;Marker=SendGump;Access=Internal;Risk=High;Guards=AccessGuard;MapGuard;NullGuard;PacketReadGuard;StateGuard</t>
  </si>
  <si>
    <t>RB-02957</t>
  </si>
  <si>
    <t>P10-F02957</t>
  </si>
  <si>
    <t>PBK-1018</t>
  </si>
  <si>
    <t>CurrentFile=Data/Scripts/Items/Special/DrakkhenEgg.cs; Line=215; SourceLine=from.SendGump(new DrakkhenEggGump(from, this));; PathResolution=OriginalPathCurrent; MatchQuality=RuntimeHookMapFileLine; HookKind=Gump; GuardList=AccessGuard;MapGuard;NullGuard;PacketReadGuard;StateGuard; Access=; Command=; Handler=; DisabledEvidence=False; RuntimeHookMap=HookType=Gump;Marker=SendGump;Access=Internal;Risk=High;Guards=AccessGuard;MapGuard;NullGuard;PacketReadGuard;StateGuard</t>
  </si>
  <si>
    <t>RB-02958</t>
  </si>
  <si>
    <t>P10-F02958</t>
  </si>
  <si>
    <t>PBK-1019</t>
  </si>
  <si>
    <t>CurrentFile=Data/Scripts/Items/Special/HearthOfHomeFire.cs; Line=80; SourceLine=from.SendGump(new InternalGump(this));; PathResolution=OriginalPathCurrent; MatchQuality=RuntimeHookMapFileLine; HookKind=Gump; GuardList=BoundsGuard;DeletedGuard;PacketReadGuard;StateGuard; Access=; Command=; Handler=; DisabledEvidence=False; RuntimeHookMap=HookType=Gump;Marker=SendGump;Access=Internal;Risk=High;Guards=BoundsGuard;DeletedGuard;PacketReadGuard;StateGuard</t>
  </si>
  <si>
    <t>RB-02959</t>
  </si>
  <si>
    <t>P10-F02959</t>
  </si>
  <si>
    <t>PBK-1020</t>
  </si>
  <si>
    <t>CurrentFile=Data/Scripts/Items/Special/TapestryOfSosaria.cs; Line=49; SourceLine=from.SendGump(new InternalGump());;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</si>
  <si>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HistoricalFile=Data/Scripts/Items/Special/TapestryOfSosaria.cs; Risk=Runtime; POST-BATCH-K is audit/runtime-surface triage only. No command names, gump button IDs, PlayerMobile fields, region policy, XML/config, save layout, or gameplay behavior changed.</t>
  </si>
  <si>
    <t>RB-02960</t>
  </si>
  <si>
    <t>P10-F02960</t>
  </si>
  <si>
    <t>PBK-1021</t>
  </si>
  <si>
    <t>CurrentFile=Data/Scripts/Items/Special/Rares/TarotCards/DecoDeckOfTarot.cs; Line=26; SourceLine=Server.Gumps.TarotCardsGump.SendGump(from, this);;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</si>
  <si>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RB-02961</t>
  </si>
  <si>
    <t>P10-F02961</t>
  </si>
  <si>
    <t>PBK-1022</t>
  </si>
  <si>
    <t>CurrentFile=Data/Scripts/Items/Special/Rares/TarotCards/DecoDeckOfTarot.cs; Line=866; SourceLine=from.SendGump(new TarotCardsGump(from, cards));;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</si>
  <si>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RB-02962</t>
  </si>
  <si>
    <t>P10-F02962</t>
  </si>
  <si>
    <t>Data/Scripts/Items/Special/Rares/TarotCards/DecoDeckOfTarot2.cs</t>
  </si>
  <si>
    <t>PBK-1023</t>
  </si>
  <si>
    <t>CurrentFile=Data/Scripts/Items/Special/Rares/TarotCards/DecoDeckOfTarot2.cs;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</si>
  <si>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HistoricalFile=Data/Scripts/Items/Special/Rares/TarotCards/DecoDeckOfTarot2.cs; Risk=Runtime; POST-BATCH-K is audit/runtime-surface triage only. No command names, gump button IDs, PlayerMobile fields, region policy, XML/config, save layout, or gameplay behavior changed.</t>
  </si>
  <si>
    <t>RB-02963</t>
  </si>
  <si>
    <t>P10-F02963</t>
  </si>
  <si>
    <t>Data/Scripts/Items/Special/Rares/TarotCards/DecoTarot.cs</t>
  </si>
  <si>
    <t>PBK-1024</t>
  </si>
  <si>
    <t>CurrentFile=Data/Scripts/Items/Special/Rares/TarotCards/DecoTarot.cs;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</si>
  <si>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HistoricalFile=Data/Scripts/Items/Special/Rares/TarotCards/DecoTarot.cs; Risk=Runtime; POST-BATCH-K is audit/runtime-surface triage only. No command names, gump button IDs, PlayerMobile fields, region policy, XML/config, save layout, or gameplay behavior changed.</t>
  </si>
  <si>
    <t>RB-02964</t>
  </si>
  <si>
    <t>P10-F02964</t>
  </si>
  <si>
    <t>Data/Scripts/Items/Special/Rares/TarotCards/DecoTarot2.cs</t>
  </si>
  <si>
    <t>PBK-1025</t>
  </si>
  <si>
    <t>CurrentFile=Data/Scripts/Items/Special/Rares/TarotCards/DecoTarot2.cs;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</si>
  <si>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HistoricalFile=Data/Scripts/Items/Special/Rares/TarotCards/DecoTarot2.cs; Risk=Runtime; POST-BATCH-K is audit/runtime-surface triage only. No command names, gump button IDs, PlayerMobile fields, region policy, XML/config, save layout, or gameplay behavior changed.</t>
  </si>
  <si>
    <t>RB-02965</t>
  </si>
  <si>
    <t>P10-F02965</t>
  </si>
  <si>
    <t>Data/Scripts/Items/Special/Rares/TarotCards/DecoTarot3.cs</t>
  </si>
  <si>
    <t>PBK-1026</t>
  </si>
  <si>
    <t>CurrentFile=Data/Scripts/Items/Special/Rares/TarotCards/DecoTarot3.cs;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</si>
  <si>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HistoricalFile=Data/Scripts/Items/Special/Rares/TarotCards/DecoTarot3.cs; Risk=Runtime; POST-BATCH-K is audit/runtime-surface triage only. No command names, gump button IDs, PlayerMobile fields, region policy, XML/config, save layout, or gameplay behavior changed.</t>
  </si>
  <si>
    <t>RB-02966</t>
  </si>
  <si>
    <t>P10-F02966</t>
  </si>
  <si>
    <t>Data/Scripts/Items/Special/Rares/TarotCards/DecoTarot4.cs</t>
  </si>
  <si>
    <t>PBK-1027</t>
  </si>
  <si>
    <t>CurrentFile=Data/Scripts/Items/Special/Rares/TarotCards/DecoTarot4.cs;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</si>
  <si>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HistoricalFile=Data/Scripts/Items/Special/Rares/TarotCards/DecoTarot4.cs; Risk=Runtime; POST-BATCH-K is audit/runtime-surface triage only. No command names, gump button IDs, PlayerMobile fields, region policy, XML/config, save layout, or gameplay behavior changed.</t>
  </si>
  <si>
    <t>RB-02967</t>
  </si>
  <si>
    <t>P10-F02967</t>
  </si>
  <si>
    <t>Data/Scripts/Items/Special/Rares/TarotCards/DecoTarot5.cs</t>
  </si>
  <si>
    <t>PBK-1028</t>
  </si>
  <si>
    <t>CurrentFile=Data/Scripts/Items/Special/Rares/TarotCards/DecoTarot5.cs;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</si>
  <si>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HistoricalFile=Data/Scripts/Items/Special/Rares/TarotCards/DecoTarot5.cs; Risk=Runtime; POST-BATCH-K is audit/runtime-surface triage only. No command names, gump button IDs, PlayerMobile fields, region policy, XML/config, save layout, or gameplay behavior changed.</t>
  </si>
  <si>
    <t>RB-02968</t>
  </si>
  <si>
    <t>P10-F02968</t>
  </si>
  <si>
    <t>Data/Scripts/Items/Special/Rares/TarotCards/DecoTarot6.cs</t>
  </si>
  <si>
    <t>PBK-1029</t>
  </si>
  <si>
    <t>CurrentFile=Data/Scripts/Items/Special/Rares/TarotCards/DecoTarot6.cs;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</si>
  <si>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HistoricalFile=Data/Scripts/Items/Special/Rares/TarotCards/DecoTarot6.cs; Risk=Runtime; POST-BATCH-K is audit/runtime-surface triage only. No command names, gump button IDs, PlayerMobile fields, region policy, XML/config, save layout, or gameplay behavior changed.</t>
  </si>
  <si>
    <t>RB-02969</t>
  </si>
  <si>
    <t>P10-F02969</t>
  </si>
  <si>
    <t>Data/Scripts/Items/Special/Rares/TarotCards/DecoTarot7.cs</t>
  </si>
  <si>
    <t>PBK-1030</t>
  </si>
  <si>
    <t>CurrentFile=Data/Scripts/Items/Special/Rares/TarotCards/DecoTarot7.cs; Line=25; SourceLine=Server.Gumps.TarotCardsGump.SendGump(from, this);;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</si>
  <si>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HistoricalFile=Data/Scripts/Items/Special/Rares/TarotCards/DecoTarot7.cs; Risk=Runtime; POST-BATCH-K is audit/runtime-surface triage only. No command names, gump button IDs, PlayerMobile fields, region policy, XML/config, save layout, or gameplay behavior changed.</t>
  </si>
  <si>
    <t>RB-02970</t>
  </si>
  <si>
    <t>P10-F02970</t>
  </si>
  <si>
    <t>PBK-1031</t>
  </si>
  <si>
    <t>CurrentFile=Data/Scripts/Items/Special/Special Scrolls/SpecialScroll.cs; Line=338; SourceLine=from.SendGump(new InternalGump(from, this));;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</si>
  <si>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RB-02971</t>
  </si>
  <si>
    <t>P10-F02971</t>
  </si>
  <si>
    <t>PBK-1032</t>
  </si>
  <si>
    <t>CurrentFile=Data/Scripts/Items/Special/Veteran Rewards/FlamingHead.cs; Line=79; SourceLine=from.SendGump(new RewardDemolitionGump(this, 1018329)); // Do you wish to re-deed this skull?; PathResolution=OriginalPathCurrent; MatchQuality=RuntimeHookMapFileLine; HookKind=Gump; GuardList=AccessGuard;DeletedGuard;MapGuard;NullGuard;PacketReadGuard;RangeGuard;StateGuard; Access=; Command=; Handler=; DisabledEvidence=False; RuntimeHookMap=HookType=Gump;Marker=SendGump;Access=Internal;Risk=High;Guards=AccessGuard;DeletedGuard;MapGuard;NullGuard;PacketReadGuard;RangeGuard;StateGuard</t>
  </si>
  <si>
    <t>HistoricalFile=Data/Scripts/Items/Special/Veteran Rewards/FlamingHead.cs; Risk=Runtime; POST-BATCH-K is audit/runtime-surface triage only. No command names, gump button IDs, PlayerMobile fields, region policy, XML/config, save layout, or gameplay behavior changed.</t>
  </si>
  <si>
    <t>RB-02972</t>
  </si>
  <si>
    <t>P10-F02972</t>
  </si>
  <si>
    <t>PBK-1033</t>
  </si>
  <si>
    <t>CurrentFile=Data/Scripts/Items/Technology/ComputerDatabase.cs; Line=25; SourceLine=from.SendGump(new ComputerDatabaseGump(from));;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</si>
  <si>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RB-02973</t>
  </si>
  <si>
    <t>P10-F02973</t>
  </si>
  <si>
    <t>PBK-1034</t>
  </si>
  <si>
    <t>CurrentFile=Data/Scripts/Items/Technology/ComputerDatabase.cs; Line=294; SourceLine=from.SendGump(new ComputerDatabaseGump(from));;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</si>
  <si>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RB-02974</t>
  </si>
  <si>
    <t>P10-F02974</t>
  </si>
  <si>
    <t>PBK-1035</t>
  </si>
  <si>
    <t>CurrentFile=Data/Scripts/Items/Technology/ComputerDatabase.cs; Line=304; SourceLine=from.SendGump(new ComputerDatabaseGump(from));;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</si>
  <si>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RB-02975</t>
  </si>
  <si>
    <t>P10-F02975</t>
  </si>
  <si>
    <t>PBK-1036</t>
  </si>
  <si>
    <t>CurrentFile=Data/Scripts/Items/Technology/DataPad.cs; Line=123; SourceLine=e.SendGump(new DataPadGump(e, this));;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</si>
  <si>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RB-02976</t>
  </si>
  <si>
    <t>P10-F02976</t>
  </si>
  <si>
    <t>PBK-1037</t>
  </si>
  <si>
    <t>CurrentFile=Data/Scripts/Items/Technology/MaterialLiquifier.cs; Line=58; SourceLine=from.SendGump(new MaterialLiquifierGump(from));; PathResolution=OriginalPathCurrent; MatchQuality=RuntimeHookMapFileLine; HookKind=Gump; GuardList=AccessGuard;NullGuard;PacketReadGuard;RangeGuard;StateGuard; Access=; Command=; Handler=; DisabledEvidence=False; RuntimeHookMap=HookType=Gump;Marker=SendGump;Access=Internal;Risk=High;Guards=AccessGuard;NullGuard;PacketReadGuard;RangeGuard;StateGuard</t>
  </si>
  <si>
    <t>RB-02977</t>
  </si>
  <si>
    <t>P10-F02977</t>
  </si>
  <si>
    <t>Data/Scripts/Items/Trades/Fishing/FishBarrel.cs</t>
  </si>
  <si>
    <t>PBK-1038</t>
  </si>
  <si>
    <t>CurrentFile=Data/Scripts/Items/Trades/Fishing/FishBarrel.cs; Line=32; SourceLine=from.SendGump(;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</si>
  <si>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HistoricalFile=Data/Scripts/Items/Trades/Fishing/FishBarrel.cs; Risk=Runtime; POST-BATCH-K is audit/runtime-surface triage only. No command names, gump button IDs, PlayerMobile fields, region policy, XML/config, save layout, or gameplay behavior changed.</t>
  </si>
  <si>
    <t>RB-02978</t>
  </si>
  <si>
    <t>P10-F02978</t>
  </si>
  <si>
    <t>Data/Scripts/Items/Trades/Fishing/ScrapIronBarrel.cs</t>
  </si>
  <si>
    <t>PBK-1039</t>
  </si>
  <si>
    <t>CurrentFile=Data/Scripts/Items/Trades/Fishing/ScrapIronBarrel.cs; Line=56; SourceLine=from.SendGump(; PathResolution=OriginalPathCurrent; MatchQuality=RuntimeHookMapFileLine; HookKind=Gump; GuardList=PacketReadGuard;StateGuard; Access=; Command=; Handler=; DisabledEvidence=False; RuntimeHookMap=HookType=Gump;Marker=SendGump;Access=Internal;Risk=High;Guards=PacketReadGuard;StateGuard</t>
  </si>
  <si>
    <t>HistoricalFile=Data/Scripts/Items/Trades/Fishing/ScrapIronBarrel.cs; Risk=Runtime; POST-BATCH-K is audit/runtime-surface triage only. No command names, gump button IDs, PlayerMobile fields, region policy, XML/config, save layout, or gameplay behavior changed.</t>
  </si>
  <si>
    <t>RB-02979</t>
  </si>
  <si>
    <t>P10-F02979</t>
  </si>
  <si>
    <t>PBK-1040</t>
  </si>
  <si>
    <t>CurrentFile=Data/Scripts/Items/Trades/Fishing/Misc/SOS.cs; Line=289; SourceLine=from.SendGump(new MessageGump(m_TargetMap, m_TargetLocation, MapWorld, ShipStory));; PathResolution=OriginalPathCurrent; MatchQuality=RuntimeHookMapFileLine; HookKind=Gump; GuardList=AccessGuard;BoundsGuard;MapGuard;PacketReadGuard;StateGuard; Access=; Command=; Handler=; DisabledEvidence=False; RuntimeHookMap=HookType=Gump;Marker=SendGump;Access=Internal;Risk=High;Guards=AccessGuard;BoundsGuard;MapGuard;PacketReadGuard;StateGuard</t>
  </si>
  <si>
    <t>RB-02980</t>
  </si>
  <si>
    <t>P10-F02980</t>
  </si>
  <si>
    <t>PBK-1041</t>
  </si>
  <si>
    <t>CurrentFile=Data/Scripts/Items/Trades/Maps/MapRanger.cs; Line=323; SourceLine=mobile.SendGump(;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</si>
  <si>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HistoricalFile=Data/Scripts/Items/Trades/Maps/MapRanger.cs; Risk=Runtime; POST-BATCH-K is audit/runtime-surface triage only. No command names, gump button IDs, PlayerMobile fields, region policy, XML/config, save layout, or gameplay behavior changed.</t>
  </si>
  <si>
    <t>RB-02981</t>
  </si>
  <si>
    <t>P10-F02981</t>
  </si>
  <si>
    <t>Data/Scripts/Items/Trades/Maps/MapWorld.cs</t>
  </si>
  <si>
    <t>PBK-1042</t>
  </si>
  <si>
    <t>CurrentFile=Data/Scripts/Items/Trades/Maps/MapWorld.cs; Line=457; SourceLine=e.SendGump(new MapSosariaGump(e));;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</si>
  <si>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HistoricalFile=Data/Scripts/Items/Trades/Maps/MapWorld.cs; Risk=Runtime; POST-BATCH-K is audit/runtime-surface triage only. No command names, gump button IDs, PlayerMobile fields, region policy, XML/config, save layout, or gameplay behavior changed.</t>
  </si>
  <si>
    <t>RB-02982</t>
  </si>
  <si>
    <t>P10-F02982</t>
  </si>
  <si>
    <t>PBK-1043</t>
  </si>
  <si>
    <t>CurrentFile=Data/Scripts/Items/Trades/Maps/MapWorld.cs; Line=459; SourceLine=e.SendGump(new MapLodoriaGump(e));;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</si>
  <si>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RB-02983</t>
  </si>
  <si>
    <t>P10-F02983</t>
  </si>
  <si>
    <t>PBK-1044</t>
  </si>
  <si>
    <t>CurrentFile=Data/Scripts/Items/Trades/Maps/MapWorld.cs; Line=461; SourceLine=e.SendGump(new MapSerpentGump(e));;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</si>
  <si>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RB-02984</t>
  </si>
  <si>
    <t>P10-F02984</t>
  </si>
  <si>
    <t>PBK-1045</t>
  </si>
  <si>
    <t>CurrentFile=Data/Scripts/Items/Trades/Maps/MapWorld.cs; Line=463; SourceLine=e.SendGump(new MapDreadGump(e));;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</si>
  <si>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RB-02985</t>
  </si>
  <si>
    <t>P10-F02985</t>
  </si>
  <si>
    <t>PBK-1046</t>
  </si>
  <si>
    <t>CurrentFile=Data/Scripts/Items/Trades/Maps/MapWorld.cs; Line=465; SourceLine=e.SendGump(new MapSavageGump(e));;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</si>
  <si>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RB-02986</t>
  </si>
  <si>
    <t>P10-F02986</t>
  </si>
  <si>
    <t>PBK-1047</t>
  </si>
  <si>
    <t>CurrentFile=Data/Scripts/Items/Trades/Maps/MapWorld.cs; Line=467; SourceLine=e.SendGump(new MapAmbrosiaGump(e));;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</si>
  <si>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RB-02987</t>
  </si>
  <si>
    <t>P10-F02987</t>
  </si>
  <si>
    <t>PBK-1048</t>
  </si>
  <si>
    <t>CurrentFile=Data/Scripts/Items/Trades/Maps/MapWorld.cs; Line=469; SourceLine=e.SendGump(new MapUmberGump(e));;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</si>
  <si>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RB-02988</t>
  </si>
  <si>
    <t>P10-F02988</t>
  </si>
  <si>
    <t>PBK-1049</t>
  </si>
  <si>
    <t>CurrentFile=Data/Scripts/Items/Trades/Maps/MapWorld.cs; Line=471; SourceLine=e.SendGump(new MapBottleGump(e));;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</si>
  <si>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RB-02989</t>
  </si>
  <si>
    <t>P10-F02989</t>
  </si>
  <si>
    <t>PBK-1050</t>
  </si>
  <si>
    <t>CurrentFile=Data/Scripts/Items/Trades/Maps/MapWorld.cs; Line=473; SourceLine=e.SendGump(new MapUnderworldGump(e));;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</si>
  <si>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RB-02990</t>
  </si>
  <si>
    <t>P10-F02990</t>
  </si>
  <si>
    <t>PBK-1051</t>
  </si>
  <si>
    <t>CurrentFile=Data/Scripts/Items/Trades/Maps/MapWorld.cs; Line=599;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</si>
  <si>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RB-02991</t>
  </si>
  <si>
    <t>P10-F02991</t>
  </si>
  <si>
    <t>PBK-1052</t>
  </si>
  <si>
    <t>CurrentFile=Data/Scripts/Items/Trades/Maps/MapWorld.cs; Line=696;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</si>
  <si>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RB-02992</t>
  </si>
  <si>
    <t>P10-F02992</t>
  </si>
  <si>
    <t>PBK-1053</t>
  </si>
  <si>
    <t>CurrentFile=Data/Scripts/Items/Trades/Maps/MapWorld.cs; Line=769;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</si>
  <si>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RB-02993</t>
  </si>
  <si>
    <t>P10-F02993</t>
  </si>
  <si>
    <t>PBK-1054</t>
  </si>
  <si>
    <t>CurrentFile=Data/Scripts/Items/Trades/Maps/MapWorld.cs; Line=852;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</si>
  <si>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RB-02994</t>
  </si>
  <si>
    <t>P10-F02994</t>
  </si>
  <si>
    <t>PBK-1055</t>
  </si>
  <si>
    <t>CurrentFile=Data/Scripts/Items/Trades/Maps/MapWorld.cs; Line=949;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</si>
  <si>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RB-02995</t>
  </si>
  <si>
    <t>P10-F02995</t>
  </si>
  <si>
    <t>PBK-1056</t>
  </si>
  <si>
    <t>CurrentFile=Data/Scripts/Items/Trades/Maps/MapWorld.cs; Line=1030;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</si>
  <si>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RB-02996</t>
  </si>
  <si>
    <t>P10-F02996</t>
  </si>
  <si>
    <t>PBK-1057</t>
  </si>
  <si>
    <t>CurrentFile=Data/Scripts/Items/Trades/Maps/MapWorld.cs; Line=1113;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</si>
  <si>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RB-02997</t>
  </si>
  <si>
    <t>P10-F02997</t>
  </si>
  <si>
    <t>PBK-1058</t>
  </si>
  <si>
    <t>CurrentFile=Data/Scripts/Items/Trades/Maps/MapWorld.cs; Line=1186;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</si>
  <si>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RB-02998</t>
  </si>
  <si>
    <t>P10-F02998</t>
  </si>
  <si>
    <t>PBK-1059</t>
  </si>
  <si>
    <t>CurrentFile=Data/Scripts/Items/Trades/Maps/MapWorld.cs; Line=1269; SourceLine=e.SendGump(new WorldMapGump(e));; PathResolution=OriginalPathCurrent; MatchQuality=RuntimeHookMapFileLine; HookKind=Gump; GuardList=AccessGuard;MapGuard;PacketReadGuard;RangeGuard;StateGuard; Access=; Command=; Handler=; DisabledEvidence=False; RuntimeHookMap=HookType=Gump;Marker=SendGump;Access=Internal;Risk=High;Guards=AccessGuard;MapGuard;PacketReadGuard;RangeGuard;StateGuard</t>
  </si>
  <si>
    <t>RB-02999</t>
  </si>
  <si>
    <t>P10-F02999</t>
  </si>
  <si>
    <t>PBK-1060</t>
  </si>
  <si>
    <t>CurrentFile=Data/Scripts/Items/Trades/Tailor Items/Dyes.cs; Line=79; SourceLine=from.SendGump(; PathResolution=OriginalPathCurrent; MatchQuality=RuntimeHookMapFileLine; HookKind=Gump; GuardList=NullGuard;PacketReadGuard;StateGuard; Access=; Command=; Handler=; DisabledEvidence=False; RuntimeHookMap=HookType=Gump;Marker=SendGump;Access=Internal;Risk=High;Guards=NullGuard;PacketReadGuard;StateGuard</t>
  </si>
  <si>
    <t>RB-03000</t>
  </si>
  <si>
    <t>P10-F03000</t>
  </si>
  <si>
    <t>Data/Scripts/Magic/Bard/SongBook.cs</t>
  </si>
  <si>
    <t>PBK-1061</t>
  </si>
  <si>
    <t>CurrentFile=Data/Scripts/Magic/Bard/SongBook.cs; Line=43; SourceLine=from.SendGump(new SongBookGump(from, this, 1));;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</si>
  <si>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HistoricalFile=Data/Scripts/Magic/Bard/SongBook.cs; Risk=Runtime; POST-BATCH-K is audit/runtime-surface triage only. No command names, gump button IDs, PlayerMobile fields, region policy, XML/config, save layout, or gameplay behavior changed.</t>
  </si>
  <si>
    <t>RB-03001</t>
  </si>
  <si>
    <t>P10-F03001</t>
  </si>
  <si>
    <t>PBK-1062</t>
  </si>
  <si>
    <t>CurrentFile=Data/Scripts/Magic/Base/ForgetfulGem.cs; Line=33; SourceLine=from.SendGump(new CrystalGump(from, 1));;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</si>
  <si>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RB-03002</t>
  </si>
  <si>
    <t>P10-F03002</t>
  </si>
  <si>
    <t>PBK-1063</t>
  </si>
  <si>
    <t>CurrentFile=Data/Scripts/Magic/Base/ForgetfulGem.cs; Line=180; SourceLine=from.SendGump(new CrystalGump(from, page));;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</si>
  <si>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RB-03003</t>
  </si>
  <si>
    <t>P10-F03003</t>
  </si>
  <si>
    <t>PBK-1064</t>
  </si>
  <si>
    <t>CurrentFile=Data/Scripts/Magic/Base/ForgetfulGem.cs; Line=208; SourceLine=from.SendGump(new CrystalGump(from, 2));;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</si>
  <si>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RB-03004</t>
  </si>
  <si>
    <t>P10-F03004</t>
  </si>
  <si>
    <t>PBK-1065</t>
  </si>
  <si>
    <t>CurrentFile=Data/Scripts/Magic/Druidism/BookDruidBrewing.cs; Line=418; SourceLine=from.SendGump(new BookGump(from,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</si>
  <si>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RB-03005</t>
  </si>
  <si>
    <t>P10-F03005</t>
  </si>
  <si>
    <t>PBK-1066</t>
  </si>
  <si>
    <t>CurrentFile=Data/Scripts/Magic/Druidism/BookDruidBrewing.cs; Line=649; SourceLine=e.SendGump(new BookGump(e, 1));;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</si>
  <si>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RB-03011</t>
  </si>
  <si>
    <t>P10-F03011</t>
  </si>
  <si>
    <t>Data/Scripts/Magic/Holy Man/MalletStake.cs</t>
  </si>
  <si>
    <t>PBK-1072</t>
  </si>
  <si>
    <t>CurrentFile=Data/Scripts/Magic/Holy Man/MalletStake.cs; Line=95; SourceLine=from.SendGump(; PathResolution=OriginalPathCurrent; MatchQuality=RuntimeHookMapFileLine; HookKind=Gump; GuardList=AccessGuard;BoundsGuard;DeletedGuard;PacketReadGuard;StateGuard; Access=; Command=; Handler=; DisabledEvidence=False; RuntimeHookMap=HookType=Gump;Marker=SendGump;Access=Internal;Risk=High;Guards=AccessGuard;BoundsGuard;DeletedGuard;PacketReadGuard;StateGuard</t>
  </si>
  <si>
    <t>HistoricalFile=Data/Scripts/Magic/Holy Man/MalletStake.cs; Risk=Runtime; POST-BATCH-K is audit/runtime-surface triage only. No command names, gump button IDs, PlayerMobile fields, region policy, XML/config, save layout, or gameplay behavior changed.</t>
  </si>
  <si>
    <t>RB-03012</t>
  </si>
  <si>
    <t>P10-F03012</t>
  </si>
  <si>
    <t>PBK-1073</t>
  </si>
  <si>
    <t>CurrentFile=Data/Scripts/Magic/Jester/BagOfTricks.cs; Line=57; SourceLine=from.SendGump(new BagOfTricksGump(from));;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</si>
  <si>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RB-03013</t>
  </si>
  <si>
    <t>P10-F03013</t>
  </si>
  <si>
    <t>PBK-1074</t>
  </si>
  <si>
    <t>CurrentFile=Data/Scripts/Magic/Jester/BagOfTricks.cs; Line=712; SourceLine=from.SendGump(new InfoJester(info.ButtonID, 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</si>
  <si>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RB-03014</t>
  </si>
  <si>
    <t>P10-F03014</t>
  </si>
  <si>
    <t>PBK-1075</t>
  </si>
  <si>
    <t>CurrentFile=Data/Scripts/Magic/Jester/BagOfTricks.cs; Line=720; SourceLine=from.SendGump(new TricksLargeColumn(from));;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</si>
  <si>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RB-03015</t>
  </si>
  <si>
    <t>P10-F03015</t>
  </si>
  <si>
    <t>PBK-1076</t>
  </si>
  <si>
    <t>CurrentFile=Data/Scripts/Magic/Jester/BagOfTricks.cs; Line=724; SourceLine=from.SendGump(new TricksLargeRow(from));;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</si>
  <si>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RB-03016</t>
  </si>
  <si>
    <t>P10-F03016</t>
  </si>
  <si>
    <t>PBK-1077</t>
  </si>
  <si>
    <t>CurrentFile=Data/Scripts/Magic/Jester/BagOfTricks.cs; Line=728; SourceLine=from.SendGump(new TricksSmallColumn(from));;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</si>
  <si>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RB-03017</t>
  </si>
  <si>
    <t>P10-F03017</t>
  </si>
  <si>
    <t>PBK-1078</t>
  </si>
  <si>
    <t>CurrentFile=Data/Scripts/Magic/Jester/BagOfTricks.cs; Line=732; SourceLine=from.SendGump(new TricksSmallRow(from));;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</si>
  <si>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RB-03018</t>
  </si>
  <si>
    <t>P10-F03018</t>
  </si>
  <si>
    <t>PBK-1079</t>
  </si>
  <si>
    <t>CurrentFile=Data/Scripts/Magic/Jester/BagOfTricks.cs; Line=777; SourceLine=from.SendGump(new TricksLargeRow(from));;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</si>
  <si>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RB-03019</t>
  </si>
  <si>
    <t>P10-F03019</t>
  </si>
  <si>
    <t>PBK-1080</t>
  </si>
  <si>
    <t>CurrentFile=Data/Scripts/Magic/Jester/BagOfTricks.cs; Line=813; SourceLine=from.SendGump(new TricksLargeColumn(from));;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</si>
  <si>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RB-03020</t>
  </si>
  <si>
    <t>P10-F03020</t>
  </si>
  <si>
    <t>PBK-1081</t>
  </si>
  <si>
    <t>CurrentFile=Data/Scripts/Magic/Jester/BagOfTricks.cs; Line=849; SourceLine=from.SendGump(new TricksSmallRow(from));;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</si>
  <si>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RB-03021</t>
  </si>
  <si>
    <t>P10-F03021</t>
  </si>
  <si>
    <t>PBK-1082</t>
  </si>
  <si>
    <t>CurrentFile=Data/Scripts/Magic/Jester/BagOfTricks.cs; Line=885; SourceLine=from.SendGump(new TricksSmallColumn(from));; PathResolution=OriginalPathCurrent; MatchQuality=RuntimeHookMapFileLine; HookKind=Gump; GuardList=AccessGuard;BoundsGuard;PacketReadGuard;RangeGuard;StateGuard; Access=; Command=; Handler=; DisabledEvidence=False; RuntimeHookMap=HookType=Gump;Marker=SendGump;Access=Internal;Risk=High;Guards=AccessGuard;BoundsGuard;PacketReadGuard;RangeGuard;StateGuard</t>
  </si>
  <si>
    <t>RB-03022</t>
  </si>
  <si>
    <t>P10-F03022</t>
  </si>
  <si>
    <t>PBK-1083</t>
  </si>
  <si>
    <t>CurrentFile=Data/Scripts/Magic/Jester/BagOfTricks.cs; Line=1021; SourceLine=);; PathResolution=OriginalPathCurrent; MatchQuality=CurrentSourceLine; HookKind=Gump; GuardList=AccessGuard;BoundsGuard;PacketReadGuard;RangeGuard;StateGuard; Access=; Command=; Handler=; DisabledEvidence=False</t>
  </si>
  <si>
    <t>RB-03027</t>
  </si>
  <si>
    <t>P10-F03027</t>
  </si>
  <si>
    <t>PBK-1088</t>
  </si>
  <si>
    <t>CurrentFile=Data/Scripts/Magic/Witch/BookWitchBrewing.cs; Line=418; SourceLine=from.SendGump(new BookGump(from,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</si>
  <si>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RB-03028</t>
  </si>
  <si>
    <t>P10-F03028</t>
  </si>
  <si>
    <t>PBK-1089</t>
  </si>
  <si>
    <t>CurrentFile=Data/Scripts/Magic/Witch/BookWitchBrewing.cs; Line=645; SourceLine=e.SendGump(new BookGump(e, 1));;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</si>
  <si>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RB-03029</t>
  </si>
  <si>
    <t>P10-F03029</t>
  </si>
  <si>
    <t>PBK-1090</t>
  </si>
  <si>
    <t>CurrentFile=Data/Scripts/Mobiles/Civilized/Chuckles.cs; Line=256; SourceLine=mobile.SendGump(;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</si>
  <si>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RB-03030</t>
  </si>
  <si>
    <t>P10-F03030</t>
  </si>
  <si>
    <t>Data/Scripts/Mobiles/Civilized/DeathKnightDemon.cs</t>
  </si>
  <si>
    <t>PBK-1091</t>
  </si>
  <si>
    <t>CurrentFile=Data/Scripts/Mobiles/Civilized/DeathKnightDemon.cs; Line=207;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</si>
  <si>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HistoricalFile=Data/Scripts/Mobiles/Civilized/DeathKnightDemon.cs; Risk=Runtime; POST-BATCH-K is audit/runtime-surface triage only. No command names, gump button IDs, PlayerMobile fields, region policy, XML/config, save layout, or gameplay behavior changed.</t>
  </si>
  <si>
    <t>RB-03031</t>
  </si>
  <si>
    <t>P10-F03031</t>
  </si>
  <si>
    <t>PBK-1092</t>
  </si>
  <si>
    <t>CurrentFile=Data/Scripts/Mobiles/Civilized/NecroGreeter.cs; Line=144; SourceLine=mobile.SendGump(;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</si>
  <si>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RB-03032</t>
  </si>
  <si>
    <t>P10-F03032</t>
  </si>
  <si>
    <t>Data/Scripts/Mobiles/Civilized/Priest.cs</t>
  </si>
  <si>
    <t>PBK-1093</t>
  </si>
  <si>
    <t>CurrentFile=Data/Scripts/Mobiles/Civilized/Priest.cs; Line=95;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</si>
  <si>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HistoricalFile=Data/Scripts/Mobiles/Civilized/Priest.cs; Risk=Runtime; POST-BATCH-K is audit/runtime-surface triage only. No command names, gump button IDs, PlayerMobile fields, region policy, XML/config, save layout, or gameplay behavior changed.</t>
  </si>
  <si>
    <t>RB-03033</t>
  </si>
  <si>
    <t>P10-F03033</t>
  </si>
  <si>
    <t>PBK-1094</t>
  </si>
  <si>
    <t>CurrentFile=Data/Scripts/Mobiles/Civilized/Sherry.cs; Line=90; SourceLine=from.SendGump(new SherryGump(from, this));;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</si>
  <si>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RB-03034</t>
  </si>
  <si>
    <t>P10-F03034</t>
  </si>
  <si>
    <t>Data/Scripts/Mobiles/Civilized/Healers/EvilHealer.cs</t>
  </si>
  <si>
    <t>PBK-1095</t>
  </si>
  <si>
    <t>CurrentFile=Data/Scripts/Mobiles/Civilized/Healers/EvilHealer.cs; Line=97;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</si>
  <si>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HistoricalFile=Data/Scripts/Mobiles/Civilized/Healers/EvilHealer.cs; Risk=Runtime; POST-BATCH-K is audit/runtime-surface triage only. No command names, gump button IDs, PlayerMobile fields, region policy, XML/config, save layout, or gameplay behavior changed.</t>
  </si>
  <si>
    <t>RB-03035</t>
  </si>
  <si>
    <t>P10-F03035</t>
  </si>
  <si>
    <t>Data/Scripts/Mobiles/Civilized/Healers/Healer.cs</t>
  </si>
  <si>
    <t>PBK-1096</t>
  </si>
  <si>
    <t>CurrentFile=Data/Scripts/Mobiles/Civilized/Healers/Healer.cs; Line=88;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</si>
  <si>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HistoricalFile=Data/Scripts/Mobiles/Civilized/Healers/Healer.cs; Risk=Runtime; POST-BATCH-K is audit/runtime-surface triage only. No command names, gump button IDs, PlayerMobile fields, region policy, XML/config, save layout, or gameplay behavior changed.</t>
  </si>
  <si>
    <t>RB-03036</t>
  </si>
  <si>
    <t>P10-F03036</t>
  </si>
  <si>
    <t>Data/Scripts/Mobiles/Civilized/Healers/WanderingHealer.cs</t>
  </si>
  <si>
    <t>PBK-1097</t>
  </si>
  <si>
    <t>CurrentFile=Data/Scripts/Mobiles/Civilized/Healers/WanderingHealer.cs; Line=94;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</si>
  <si>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HistoricalFile=Data/Scripts/Mobiles/Civilized/Healers/WanderingHealer.cs; Risk=Runtime; POST-BATCH-K is audit/runtime-surface triage only. No command names, gump button IDs, PlayerMobile fields, region policy, XML/config, save layout, or gameplay behavior changed.</t>
  </si>
  <si>
    <t>RB-03037</t>
  </si>
  <si>
    <t>P10-F03037</t>
  </si>
  <si>
    <t>Data/Scripts/Mobiles/Civilized/Special/Devon.cs</t>
  </si>
  <si>
    <t>PBK-1098</t>
  </si>
  <si>
    <t>CurrentFile=Data/Scripts/Mobiles/Civilized/Special/Devon.cs; Line=92;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</si>
  <si>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HistoricalFile=Data/Scripts/Mobiles/Civilized/Special/Devon.cs; Risk=Runtime; POST-BATCH-K is audit/runtime-surface triage only. No command names, gump button IDs, PlayerMobile fields, region policy, XML/config, save layout, or gameplay behavior changed.</t>
  </si>
  <si>
    <t>RB-03038</t>
  </si>
  <si>
    <t>P10-F03038</t>
  </si>
  <si>
    <t>Data/Scripts/Mobiles/Civilized/Special/GodOfCourage.cs</t>
  </si>
  <si>
    <t>PBK-1099</t>
  </si>
  <si>
    <t>CurrentFile=Data/Scripts/Mobiles/Civilized/Special/GodOfCourage.cs; Line=76;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</si>
  <si>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HistoricalFile=Data/Scripts/Mobiles/Civilized/Special/GodOfCourage.cs; Risk=Runtime; POST-BATCH-K is audit/runtime-surface triage only. No command names, gump button IDs, PlayerMobile fields, region policy, XML/config, save layout, or gameplay behavior changed.</t>
  </si>
  <si>
    <t>RB-03039</t>
  </si>
  <si>
    <t>P10-F03039</t>
  </si>
  <si>
    <t>Data/Scripts/Mobiles/Civilized/Special/Kylearan.cs</t>
  </si>
  <si>
    <t>PBK-1100</t>
  </si>
  <si>
    <t>CurrentFile=Data/Scripts/Mobiles/Civilized/Special/Kylearan.cs; Line=96; SourceLine=m_Mobile.SendGump(;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</si>
  <si>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HistoricalFile=Data/Scripts/Mobiles/Civilized/Special/Kylearan.cs; Risk=Runtime; POST-BATCH-K is audit/runtime-surface triage only. No command names, gump button IDs, PlayerMobile fields, region policy, XML/config, save layout, or gameplay behavior changed.</t>
  </si>
  <si>
    <t>RB-03040</t>
  </si>
  <si>
    <t>P10-F03040</t>
  </si>
  <si>
    <t>PBK-1101</t>
  </si>
  <si>
    <t>CurrentFile=Data/Scripts/Mobiles/Civilized/Special/MadGodPriest.cs; Line=138; SourceLine=m_Mobile.SendGump(;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</si>
  <si>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RB-03041</t>
  </si>
  <si>
    <t>P10-F03041</t>
  </si>
  <si>
    <t>Data/Scripts/Mobiles/Civilized/Special/Xardok.cs</t>
  </si>
  <si>
    <t>PBK-1102</t>
  </si>
  <si>
    <t>CurrentFile=Data/Scripts/Mobiles/Civilized/Special/Xardok.cs; Line=111;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</si>
  <si>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HistoricalFile=Data/Scripts/Mobiles/Civilized/Special/Xardok.cs; Risk=Runtime; POST-BATCH-K is audit/runtime-surface triage only. No command names, gump button IDs, PlayerMobile fields, region policy, XML/config, save layout, or gameplay behavior changed.</t>
  </si>
  <si>
    <t>RB-03042</t>
  </si>
  <si>
    <t>P10-F03042</t>
  </si>
  <si>
    <t>PBK-1103</t>
  </si>
  <si>
    <t>CurrentFile=Data/Scripts/Mobiles/Civilized/Special/Xardok.cs; Line=221; SourceLine=m_Mobile.SendGump(;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</si>
  <si>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RB-03043</t>
  </si>
  <si>
    <t>P10-F03043</t>
  </si>
  <si>
    <t>Data/Scripts/Mobiles/Civilized/Teachers/Teacher_Exalted.cs</t>
  </si>
  <si>
    <t>PBK-1104</t>
  </si>
  <si>
    <t>CurrentFile=Data/Scripts/Mobiles/Civilized/Teachers/Teacher_Exalted.cs;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</si>
  <si>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HistoricalFile=Data/Scripts/Mobiles/Civilized/Teachers/Teacher_Exalted.cs; Risk=Runtime; POST-BATCH-K is audit/runtime-surface triage only. No command names, gump button IDs, PlayerMobile fields, region policy, XML/config, save layout, or gameplay behavior changed.</t>
  </si>
  <si>
    <t>RB-03044</t>
  </si>
  <si>
    <t>P10-F03044</t>
  </si>
  <si>
    <t>PBK-1105</t>
  </si>
  <si>
    <t>CurrentFile=Data/Scripts/Mobiles/Civilized/Teachers/Teacher_Exalted.cs;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</si>
  <si>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RB-03045</t>
  </si>
  <si>
    <t>P10-F03045</t>
  </si>
  <si>
    <t>Data/Scripts/Mobiles/Civilized/Teachers/Teacher_Legendary.cs</t>
  </si>
  <si>
    <t>PBK-1106</t>
  </si>
  <si>
    <t>CurrentFile=Data/Scripts/Mobiles/Civilized/Teachers/Teacher_Legendary.cs;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</si>
  <si>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HistoricalFile=Data/Scripts/Mobiles/Civilized/Teachers/Teacher_Legendary.cs; Risk=Runtime; POST-BATCH-K is audit/runtime-surface triage only. No command names, gump button IDs, PlayerMobile fields, region policy, XML/config, save layout, or gameplay behavior changed.</t>
  </si>
  <si>
    <t>RB-03046</t>
  </si>
  <si>
    <t>P10-F03046</t>
  </si>
  <si>
    <t>PBK-1107</t>
  </si>
  <si>
    <t>CurrentFile=Data/Scripts/Mobiles/Civilized/Teachers/Teacher_Legendary.cs;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</si>
  <si>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RB-03047</t>
  </si>
  <si>
    <t>P10-F03047</t>
  </si>
  <si>
    <t>Data/Scripts/Mobiles/Civilized/Teachers/Teacher_Mythical.cs</t>
  </si>
  <si>
    <t>PBK-1108</t>
  </si>
  <si>
    <t>CurrentFile=Data/Scripts/Mobiles/Civilized/Teachers/Teacher_Mythical.cs;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</si>
  <si>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HistoricalFile=Data/Scripts/Mobiles/Civilized/Teachers/Teacher_Mythical.cs; Risk=Runtime; POST-BATCH-K is audit/runtime-surface triage only. No command names, gump button IDs, PlayerMobile fields, region policy, XML/config, save layout, or gameplay behavior changed.</t>
  </si>
  <si>
    <t>RB-03048</t>
  </si>
  <si>
    <t>P10-F03048</t>
  </si>
  <si>
    <t>PBK-1109</t>
  </si>
  <si>
    <t>CurrentFile=Data/Scripts/Mobiles/Civilized/Teachers/Teacher_Mythical.cs;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</si>
  <si>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RB-03049</t>
  </si>
  <si>
    <t>P10-F03049</t>
  </si>
  <si>
    <t>Data/Scripts/Mobiles/Civilized/Teachers/Teacher_Power.cs</t>
  </si>
  <si>
    <t>PBK-1110</t>
  </si>
  <si>
    <t>CurrentFile=Data/Scripts/Mobiles/Civilized/Teachers/Teacher_Power.cs;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</si>
  <si>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HistoricalFile=Data/Scripts/Mobiles/Civilized/Teachers/Teacher_Power.cs; Risk=Runtime; POST-BATCH-K is audit/runtime-surface triage only. No command names, gump button IDs, PlayerMobile fields, region policy, XML/config, save layout, or gameplay behavior changed.</t>
  </si>
  <si>
    <t>RB-03050</t>
  </si>
  <si>
    <t>P10-F03050</t>
  </si>
  <si>
    <t>PBK-1111</t>
  </si>
  <si>
    <t>CurrentFile=Data/Scripts/Mobiles/Civilized/Teachers/Teacher_Power.cs;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</si>
  <si>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RB-03051</t>
  </si>
  <si>
    <t>P10-F03051</t>
  </si>
  <si>
    <t>Data/Scripts/Mobiles/Civilized/Teachers/Teacher_Wonderous.cs</t>
  </si>
  <si>
    <t>PBK-1112</t>
  </si>
  <si>
    <t>CurrentFile=Data/Scripts/Mobiles/Civilized/Teachers/Teacher_Wonderous.cs;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</si>
  <si>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HistoricalFile=Data/Scripts/Mobiles/Civilized/Teachers/Teacher_Wonderous.cs; Risk=Runtime; POST-BATCH-K is audit/runtime-surface triage only. No command names, gump button IDs, PlayerMobile fields, region policy, XML/config, save layout, or gameplay behavior changed.</t>
  </si>
  <si>
    <t>RB-03052</t>
  </si>
  <si>
    <t>P10-F03052</t>
  </si>
  <si>
    <t>PBK-1113</t>
  </si>
  <si>
    <t>CurrentFile=Data/Scripts/Mobiles/Civilized/Teachers/Teacher_Wonderous.cs;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</si>
  <si>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RB-03053</t>
  </si>
  <si>
    <t>P10-F03053</t>
  </si>
  <si>
    <t>Data/Scripts/Mobiles/Civilized/Vendors/Architect.cs</t>
  </si>
  <si>
    <t>PBK-1114</t>
  </si>
  <si>
    <t>CurrentFile=Data/Scripts/Mobiles/Civilized/Vendors/Architect.cs; Line=68;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</si>
  <si>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HistoricalFile=Data/Scripts/Mobiles/Civilized/Vendors/Architect.cs; Risk=Runtime; POST-BATCH-K is audit/runtime-surface triage only. No command names, gump button IDs, PlayerMobile fields, region policy, XML/config, save layout, or gameplay behavior changed.</t>
  </si>
  <si>
    <t>RB-03054</t>
  </si>
  <si>
    <t>P10-F03054</t>
  </si>
  <si>
    <t>Data/Scripts/Mobiles/Civilized/Vendors/Baker.cs</t>
  </si>
  <si>
    <t>PBK-1115</t>
  </si>
  <si>
    <t>CurrentFile=Data/Scripts/Mobiles/Civilized/Vendors/Baker.cs; Line=70;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</si>
  <si>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HistoricalFile=Data/Scripts/Mobiles/Civilized/Vendors/Baker.cs; Risk=Runtime; POST-BATCH-K is audit/runtime-surface triage only. No command names, gump button IDs, PlayerMobile fields, region policy, XML/config, save layout, or gameplay behavior changed.</t>
  </si>
  <si>
    <t>RB-03055</t>
  </si>
  <si>
    <t>P10-F03055</t>
  </si>
  <si>
    <t>Data/Scripts/Mobiles/Civilized/Vendors/Bard.cs</t>
  </si>
  <si>
    <t>PBK-1116</t>
  </si>
  <si>
    <t>CurrentFile=Data/Scripts/Mobiles/Civilized/Vendors/Bard.cs; Line=80; SourceLine=mobile.SendGump(; PathResolution=OriginalPathCurrent; MatchQuality=RuntimeHookMapFileLine; HookKind=Gump; GuardList=BoundsGuard;DeletedGuard;PacketReadGuard;StateGuard; Access=; Command=; Handler=; DisabledEvidence=False; RuntimeHookMap=HookType=Gump;Marker=SendGump;Access=Internal;Risk=High;Guards=BoundsGuard;DeletedGuard;PacketReadGuard;StateGuard</t>
  </si>
  <si>
    <t>HistoricalFile=Data/Scripts/Mobiles/Civilized/Vendors/Bard.cs; Risk=Runtime; POST-BATCH-K is audit/runtime-surface triage only. No command names, gump button IDs, PlayerMobile fields, region policy, XML/config, save layout, or gameplay behavior changed.</t>
  </si>
  <si>
    <t>RB-03056</t>
  </si>
  <si>
    <t>P10-F03056</t>
  </si>
  <si>
    <t>Data/Scripts/Mobiles/Civilized/Vendors/Barkeeper.cs</t>
  </si>
  <si>
    <t>PBK-1117</t>
  </si>
  <si>
    <t>CurrentFile=Data/Scripts/Mobiles/Civilized/Vendors/Barkeeper.cs; Line=59;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</si>
  <si>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HistoricalFile=Data/Scripts/Mobiles/Civilized/Vendors/Barkeeper.cs; Risk=Runtime; POST-BATCH-K is audit/runtime-surface triage only. No command names, gump button IDs, PlayerMobile fields, region policy, XML/config, save layout, or gameplay behavior changed.</t>
  </si>
  <si>
    <t>RB-03057</t>
  </si>
  <si>
    <t>P10-F03057</t>
  </si>
  <si>
    <t>Data/Scripts/Mobiles/Civilized/Vendors/Cook.cs</t>
  </si>
  <si>
    <t>PBK-1118</t>
  </si>
  <si>
    <t>CurrentFile=Data/Scripts/Mobiles/Civilized/Vendors/Cook.cs; Line=87;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</si>
  <si>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HistoricalFile=Data/Scripts/Mobiles/Civilized/Vendors/Cook.cs; Risk=Runtime; POST-BATCH-K is audit/runtime-surface triage only. No command names, gump button IDs, PlayerMobile fields, region policy, XML/config, save layout, or gameplay behavior changed.</t>
  </si>
  <si>
    <t>RB-03058</t>
  </si>
  <si>
    <t>P10-F03058</t>
  </si>
  <si>
    <t>Data/Scripts/Mobiles/Civilized/Vendors/DrunkenPirate.cs</t>
  </si>
  <si>
    <t>PBK-1119</t>
  </si>
  <si>
    <t>CurrentFile=Data/Scripts/Mobiles/Civilized/Vendors/DrunkenPirate.cs; Line=82;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</si>
  <si>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HistoricalFile=Data/Scripts/Mobiles/Civilized/Vendors/DrunkenPirate.cs; Risk=Runtime; POST-BATCH-K is audit/runtime-surface triage only. No command names, gump button IDs, PlayerMobile fields, region policy, XML/config, save layout, or gameplay behavior changed.</t>
  </si>
  <si>
    <t>RB-03059</t>
  </si>
  <si>
    <t>P10-F03059</t>
  </si>
  <si>
    <t>Data/Scripts/Mobiles/Civilized/Vendors/Elementalist.cs</t>
  </si>
  <si>
    <t>PBK-1120</t>
  </si>
  <si>
    <t>CurrentFile=Data/Scripts/Mobiles/Civilized/Vendors/Elementalist.cs; Line=99;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</si>
  <si>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HistoricalFile=Data/Scripts/Mobiles/Civilized/Vendors/Elementalist.cs; Risk=Runtime; POST-BATCH-K is audit/runtime-surface triage only. No command names, gump button IDs, PlayerMobile fields, region policy, XML/config, save layout, or gameplay behavior changed.</t>
  </si>
  <si>
    <t>RB-03060</t>
  </si>
  <si>
    <t>P10-F03060</t>
  </si>
  <si>
    <t>Data/Scripts/Mobiles/Civilized/Vendors/Farmer.cs</t>
  </si>
  <si>
    <t>PBK-1121</t>
  </si>
  <si>
    <t>CurrentFile=Data/Scripts/Mobiles/Civilized/Vendors/Farmer.cs; Line=98;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</si>
  <si>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HistoricalFile=Data/Scripts/Mobiles/Civilized/Vendors/Farmer.cs; Risk=Runtime; POST-BATCH-K is audit/runtime-surface triage only. No command names, gump button IDs, PlayerMobile fields, region policy, XML/config, save layout, or gameplay behavior changed.</t>
  </si>
  <si>
    <t>RB-03061</t>
  </si>
  <si>
    <t>P10-F03061</t>
  </si>
  <si>
    <t>PBK-1122</t>
  </si>
  <si>
    <t>CurrentFile=Data/Scripts/Mobiles/Civilized/Vendors/GypsyLady.cs; Line=285; SourceLine=mobile.SendGump(; PathResolution=OriginalPathCurrent; MatchQuality=RuntimeHookMapFileLine; HookKind=Gump; GuardList=BoundsGuard;DeletedGuard;PacketReadGuard;RangeGuard;StateGuard; Access=; Command=; Handler=; DisabledEvidence=False; RuntimeHookMap=HookType=Gump;Marker=SendGump;Access=Internal;Risk=High;Guards=BoundsGuard;DeletedGuard;PacketReadGuard;RangeGuard;StateGuard</t>
  </si>
  <si>
    <t>RB-03062</t>
  </si>
  <si>
    <t>P10-F03062</t>
  </si>
  <si>
    <t>Data/Scripts/Mobiles/Civilized/Vendors/InnKeeper.cs</t>
  </si>
  <si>
    <t>PBK-1123</t>
  </si>
  <si>
    <t>CurrentFile=Data/Scripts/Mobiles/Civilized/Vendors/InnKeeper.cs; Line=69;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</si>
  <si>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HistoricalFile=Data/Scripts/Mobiles/Civilized/Vendors/InnKeeper.cs; Risk=Runtime; POST-BATCH-K is audit/runtime-surface triage only. No command names, gump button IDs, PlayerMobile fields, region policy, XML/config, save layout, or gameplay behavior changed.</t>
  </si>
  <si>
    <t>RB-03063</t>
  </si>
  <si>
    <t>P10-F03063</t>
  </si>
  <si>
    <t>Data/Scripts/Mobiles/Civilized/Vendors/KeeperOfChivalry.cs</t>
  </si>
  <si>
    <t>PBK-1124</t>
  </si>
  <si>
    <t>CurrentFile=Data/Scripts/Mobiles/Civilized/Vendors/KeeperOfChivalry.cs; Line=97;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</si>
  <si>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HistoricalFile=Data/Scripts/Mobiles/Civilized/Vendors/KeeperOfChivalry.cs; Risk=Runtime; POST-BATCH-K is audit/runtime-surface triage only. No command names, gump button IDs, PlayerMobile fields, region policy, XML/config, save layout, or gameplay behavior changed.</t>
  </si>
  <si>
    <t>RB-03064</t>
  </si>
  <si>
    <t>P10-F03064</t>
  </si>
  <si>
    <t>Data/Scripts/Mobiles/Civilized/Vendors/KungFu.cs</t>
  </si>
  <si>
    <t>PBK-1125</t>
  </si>
  <si>
    <t>CurrentFile=Data/Scripts/Mobiles/Civilized/Vendors/KungFu.cs; Line=88;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</si>
  <si>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HistoricalFile=Data/Scripts/Mobiles/Civilized/Vendors/KungFu.cs; Risk=Runtime; POST-BATCH-K is audit/runtime-surface triage only. No command names, gump button IDs, PlayerMobile fields, region policy, XML/config, save layout, or gameplay behavior changed.</t>
  </si>
  <si>
    <t>RB-03065</t>
  </si>
  <si>
    <t>P10-F03065</t>
  </si>
  <si>
    <t>Data/Scripts/Mobiles/Civilized/Vendors/NecroMage.cs</t>
  </si>
  <si>
    <t>PBK-1126</t>
  </si>
  <si>
    <t>CurrentFile=Data/Scripts/Mobiles/Civilized/Vendors/NecroMage.cs;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</si>
  <si>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HistoricalFile=Data/Scripts/Mobiles/Civilized/Vendors/NecroMage.cs; Risk=Runtime; POST-BATCH-K is audit/runtime-surface triage only. No command names, gump button IDs, PlayerMobile fields, region policy, XML/config, save layout, or gameplay behavior changed.</t>
  </si>
  <si>
    <t>RB-03066</t>
  </si>
  <si>
    <t>P10-F03066</t>
  </si>
  <si>
    <t>Data/Scripts/Mobiles/Civilized/Vendors/Necromancer.cs</t>
  </si>
  <si>
    <t>PBK-1127</t>
  </si>
  <si>
    <t>CurrentFile=Data/Scripts/Mobiles/Civilized/Vendors/Necromancer.cs;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</si>
  <si>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HistoricalFile=Data/Scripts/Mobiles/Civilized/Vendors/Necromancer.cs; Risk=Runtime; POST-BATCH-K is audit/runtime-surface triage only. No command names, gump button IDs, PlayerMobile fields, region policy, XML/config, save layout, or gameplay behavior changed.</t>
  </si>
  <si>
    <t>RB-03067</t>
  </si>
  <si>
    <t>P10-F03067</t>
  </si>
  <si>
    <t>Data/Scripts/Mobiles/Civilized/Vendors/Provisioner.cs</t>
  </si>
  <si>
    <t>PBK-1128</t>
  </si>
  <si>
    <t>CurrentFile=Data/Scripts/Mobiles/Civilized/Vendors/Provisioner.cs; Line=100; SourceLine=mobile.SendGump(; PathResolution=OriginalPathCurrent; MatchQuality=RuntimeHookMapFileLine; HookKind=Gump; GuardList=BoundsGuard;DeletedGuard;MapGuard;PacketReadGuard;StateGuard; Access=; Command=; Handler=; DisabledEvidence=False; RuntimeHookMap=HookType=Gump;Marker=SendGump;Access=Internal;Risk=High;Guards=BoundsGuard;DeletedGuard;MapGuard;PacketReadGuard;StateGuard</t>
  </si>
  <si>
    <t>HistoricalFile=Data/Scripts/Mobiles/Civilized/Vendors/Provisioner.cs; Risk=Runtime; POST-BATCH-K is audit/runtime-surface triage only. No command names, gump button IDs, PlayerMobile fields, region policy, XML/config, save layout, or gameplay behavior changed.</t>
  </si>
  <si>
    <t>RB-03068</t>
  </si>
  <si>
    <t>P10-F03068</t>
  </si>
  <si>
    <t>Data/Scripts/Mobiles/Civilized/Vendors/Ranger.cs</t>
  </si>
  <si>
    <t>PBK-1129</t>
  </si>
  <si>
    <t>CurrentFile=Data/Scripts/Mobiles/Civilized/Vendors/Ranger.cs; Line=85; SourceLine=mobile.SendGump(; PathResolution=OriginalPathCurrent; MatchQuality=RuntimeHookMapFileLine; HookKind=Gump; GuardList=BoundsGuard;MapGuard;PacketReadGuard;RangeGuard;StateGuard; Access=; Command=; Handler=; DisabledEvidence=False; RuntimeHookMap=HookType=Gump;Marker=SendGump;Access=Internal;Risk=High;Guards=BoundsGuard;MapGuard;PacketReadGuard;RangeGuard;StateGuard</t>
  </si>
  <si>
    <t>HistoricalFile=Data/Scripts/Mobiles/Civilized/Vendors/Ranger.cs; Risk=Runtime; POST-BATCH-K is audit/runtime-surface triage only. No command names, gump button IDs, PlayerMobile fields, region policy, XML/config, save layout, or gameplay behavior changed.</t>
  </si>
  <si>
    <t>RB-03069</t>
  </si>
  <si>
    <t>P10-F03069</t>
  </si>
  <si>
    <t>Data/Scripts/Mobiles/Civilized/Vendors/Shipwright.cs</t>
  </si>
  <si>
    <t>PBK-1130</t>
  </si>
  <si>
    <t>CurrentFile=Data/Scripts/Mobiles/Civilized/Vendors/Shipwright.cs; Line=171; SourceLine=mobile.SendGump(; PathResolution=OriginalPathCurrent; MatchQuality=RuntimeHookMapFileLine; HookKind=Gump; GuardList=BoundsGuard;DeletedGuard;MapGuard;PacketReadGuard;StateGuard; Access=; Command=; Handler=; DisabledEvidence=False; RuntimeHookMap=HookType=Gump;Marker=SendGump;Access=Internal;Risk=High;Guards=BoundsGuard;DeletedGuard;MapGuard;PacketReadGuard;StateGuard</t>
  </si>
  <si>
    <t>HistoricalFile=Data/Scripts/Mobiles/Civilized/Vendors/Shipwright.cs; Risk=Runtime; POST-BATCH-K is audit/runtime-surface triage only. No command names, gump button IDs, PlayerMobile fields, region policy, XML/config, save layout, or gameplay behavior changed.</t>
  </si>
  <si>
    <t>RB-03070</t>
  </si>
  <si>
    <t>P10-F03070</t>
  </si>
  <si>
    <t>Data/Scripts/Mobiles/Civilized/Vendors/StoneCrafter.cs</t>
  </si>
  <si>
    <t>PBK-1131</t>
  </si>
  <si>
    <t>CurrentFile=Data/Scripts/Mobiles/Civilized/Vendors/StoneCrafter.cs; Line=86;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</si>
  <si>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HistoricalFile=Data/Scripts/Mobiles/Civilized/Vendors/StoneCrafter.cs; Risk=Runtime; POST-BATCH-K is audit/runtime-surface triage only. No command names, gump button IDs, PlayerMobile fields, region policy, XML/config, save layout, or gameplay behavior changed.</t>
  </si>
  <si>
    <t>RB-03071</t>
  </si>
  <si>
    <t>P10-F03071</t>
  </si>
  <si>
    <t>Data/Scripts/Mobiles/Civilized/Vendors/TavernKeeper.cs</t>
  </si>
  <si>
    <t>PBK-1132</t>
  </si>
  <si>
    <t>CurrentFile=Data/Scripts/Mobiles/Civilized/Vendors/TavernKeeper.cs; Line=69;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</si>
  <si>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HistoricalFile=Data/Scripts/Mobiles/Civilized/Vendors/TavernKeeper.cs; Risk=Runtime; POST-BATCH-K is audit/runtime-surface triage only. No command names, gump button IDs, PlayerMobile fields, region policy, XML/config, save layout, or gameplay behavior changed.</t>
  </si>
  <si>
    <t>RB-03072</t>
  </si>
  <si>
    <t>P10-F03072</t>
  </si>
  <si>
    <t>Data/Scripts/Mobiles/Civilized/Vendors/Undertaker.cs</t>
  </si>
  <si>
    <t>PBK-1133</t>
  </si>
  <si>
    <t>CurrentFile=Data/Scripts/Mobiles/Civilized/Vendors/Undertaker.cs;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</si>
  <si>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HistoricalFile=Data/Scripts/Mobiles/Civilized/Vendors/Undertaker.cs; Risk=Runtime; POST-BATCH-K is audit/runtime-surface triage only. No command names, gump button IDs, PlayerMobile fields, region policy, XML/config, save layout, or gameplay behavior changed.</t>
  </si>
  <si>
    <t>RB-03073</t>
  </si>
  <si>
    <t>P10-F03073</t>
  </si>
  <si>
    <t>PBK-1134</t>
  </si>
  <si>
    <t>CurrentFile=Data/Scripts/Mobiles/Civilized/Vendors/Veterinarian.cs; Line=65; SourceLine=mobile.SendGump(;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</si>
  <si>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RB-03074</t>
  </si>
  <si>
    <t>P10-F03074</t>
  </si>
  <si>
    <t>PBK-1135</t>
  </si>
  <si>
    <t>CurrentFile=Data/Scripts/Mobiles/Civilized/Vendors/Veterinarian.cs; Line=100; SourceLine=mobile.SendGump(new Server.Mobiles.Veterinarian.RidingGump(mobile));; PathResolution=OriginalPathCurrent; MatchQuality=RuntimeHookMapFileLine; HookKind=Gump; GuardList=BoundsGuard;MapGuard;PacketReadGuard;StateGuard; Access=; Command=; Handler=; DisabledEvidence=False; RuntimeHookMap=HookType=Gump;Marker=SendGump;Access=Internal;Risk=High;Guards=BoundsGuard;MapGuard;PacketReadGuard;StateGuard</t>
  </si>
  <si>
    <t>RB-03075</t>
  </si>
  <si>
    <t>P10-F03075</t>
  </si>
  <si>
    <t>Data/Scripts/Mobiles/Civilized/Vendors/Witches.cs</t>
  </si>
  <si>
    <t>PBK-1136</t>
  </si>
  <si>
    <t>CurrentFile=Data/Scripts/Mobiles/Civilized/Vendors/Witches.cs; Line=94;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t>
  </si>
  <si>
    <t>HistoricalFile=Data/Scripts/Mobiles/Civilized/Vendors/Witches.cs; Risk=Runtime; POST-BATCH-K is audit/runtime-surface triage only. No command names, gump button IDs, PlayerMobile fields, region policy, XML/config, save layout, or gameplay behavior changed.</t>
  </si>
  <si>
    <t>RB-03076</t>
  </si>
  <si>
    <t>P10-F03076</t>
  </si>
  <si>
    <t>PBK-1137</t>
  </si>
  <si>
    <t>CurrentFile=Data/Scripts/Mobiles/Mystical/EtherealWarrior.cs; Line=89; SourceLine=from.SendGump(new ResurrectGump(from, ResurrectMessage.Healer));;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</si>
  <si>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RB-03077</t>
  </si>
  <si>
    <t>P10-F03077</t>
  </si>
  <si>
    <t>Data/Scripts/Mobiles/Unique/GrayDragon.cs</t>
  </si>
  <si>
    <t>PBK-1138</t>
  </si>
  <si>
    <t>CurrentFile=Data/Scripts/Mobiles/Unique/GrayDragon.cs; Line=194; SourceLine=from.SendGump(; PathResolution=OriginalPathCurrent; MatchQuality=RuntimeHookMapFileLine; HookKind=Gump; GuardList=MapGuard;PacketReadGuard;StateGuard; Access=; Command=; Handler=; DisabledEvidence=False; RuntimeHookMap=HookType=Gump;Marker=SendGump;Access=Internal;Risk=High;Guards=MapGuard;PacketReadGuard;StateGuard</t>
  </si>
  <si>
    <t>HistoricalFile=Data/Scripts/Mobiles/Unique/GrayDragon.cs; Risk=Runtime; POST-BATCH-K is audit/runtime-surface triage only. No command names, gump button IDs, PlayerMobile fields, region policy, XML/config, save layout, or gameplay behavior changed.</t>
  </si>
  <si>
    <t>RB-03078</t>
  </si>
  <si>
    <t>P10-F03078</t>
  </si>
  <si>
    <t>Data/Scripts/Mobiles/Unique/Spectres.cs</t>
  </si>
  <si>
    <t>PBK-1139</t>
  </si>
  <si>
    <t>CurrentFile=Data/Scripts/Mobiles/Unique/Spectres.cs; Line=180; SourceLine=from.SendGump(; PathResolution=OriginalPathCurrent; MatchQuality=RuntimeHookMapFileLine; HookKind=Gump; GuardList=MapGuard;PacketReadGuard;StateGuard; Access=; Command=; Handler=; DisabledEvidence=False; RuntimeHookMap=HookType=Gump;Marker=SendGump;Access=Internal;Risk=High;Guards=MapGuard;PacketReadGuard;StateGuard</t>
  </si>
  <si>
    <t>HistoricalFile=Data/Scripts/Mobiles/Unique/Spectres.cs; Risk=Runtime; POST-BATCH-K is audit/runtime-surface triage only. No command names, gump button IDs, PlayerMobile fields, region policy, XML/config, save layout, or gameplay behavior changed.</t>
  </si>
  <si>
    <t>RB-03079</t>
  </si>
  <si>
    <t>P10-F03079</t>
  </si>
  <si>
    <t>Data/Scripts/Mobiles/Unique/Tarjan.cs</t>
  </si>
  <si>
    <t>PBK-1140</t>
  </si>
  <si>
    <t>CurrentFile=Data/Scripts/Mobiles/Unique/Tarjan.cs; Line=247; SourceLine=from.SendGump(;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</si>
  <si>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HistoricalFile=Data/Scripts/Mobiles/Unique/Tarjan.cs; Risk=Runtime; POST-BATCH-K is audit/runtime-surface triage only. No command names, gump button IDs, PlayerMobile fields, region policy, XML/config, save layout, or gameplay behavior changed.</t>
  </si>
  <si>
    <t>RB-03080</t>
  </si>
  <si>
    <t>P10-F03080</t>
  </si>
  <si>
    <t>PBK-1141</t>
  </si>
  <si>
    <t>CurrentFile=Data/Scripts/Quests/NoticeClue.cs; Line=39;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</si>
  <si>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RB-03081</t>
  </si>
  <si>
    <t>P10-F03081</t>
  </si>
  <si>
    <t>PBK-1142</t>
  </si>
  <si>
    <t>CurrentFile=Data/Scripts/Quests/NoticeClue.cs; Line=50;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</si>
  <si>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RB-03082</t>
  </si>
  <si>
    <t>P10-F03082</t>
  </si>
  <si>
    <t>PBK-1143</t>
  </si>
  <si>
    <t>CurrentFile=Data/Scripts/Quests/NoticeClue.cs; Line=61;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</si>
  <si>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RB-03083</t>
  </si>
  <si>
    <t>P10-F03083</t>
  </si>
  <si>
    <t>PBK-1144</t>
  </si>
  <si>
    <t>CurrentFile=Data/Scripts/Quests/NoticeClue.cs; Line=72;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</si>
  <si>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RB-03084</t>
  </si>
  <si>
    <t>P10-F03084</t>
  </si>
  <si>
    <t>PBK-1145</t>
  </si>
  <si>
    <t>CurrentFile=Data/Scripts/Quests/NoticeClue.cs; Line=83;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</si>
  <si>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RB-03085</t>
  </si>
  <si>
    <t>P10-F03085</t>
  </si>
  <si>
    <t>PBK-1146</t>
  </si>
  <si>
    <t>CurrentFile=Data/Scripts/Quests/NoticeClue.cs; Line=94; SourceLine=from.SendGump(; PathResolution=OriginalPathCurrent; MatchQuality=RuntimeHookMapFileLine; HookKind=Gump; GuardList=PacketReadGuard;RangeGuard;StateGuard; Access=; Command=; Handler=; DisabledEvidence=False; RuntimeHookMap=HookType=Gump;Marker=SendGump;Access=Internal;Risk=High;Guards=PacketReadGuard;RangeGuard;StateGuard</t>
  </si>
  <si>
    <t>RB-03086</t>
  </si>
  <si>
    <t>P10-F03086</t>
  </si>
  <si>
    <t>Quests:QuestChests.cs</t>
  </si>
  <si>
    <t>Data/Scripts/Quests/QuestChests.cs</t>
  </si>
  <si>
    <t>PBK-1147</t>
  </si>
  <si>
    <t>CurrentFile=Data/Scripts/Quests/QuestChests.cs; Line=56; SourceLine=from.SendGump(; PathResolution=OriginalPathCurrent; MatchQuality=RuntimeHookMapFileLine; HookKind=Gump; GuardList=DeletedGuard;MapGuard;NullGuard;PacketReadGuard;RangeGuard;StateGuard; Access=; Command=; Handler=; DisabledEvidence=False; RuntimeHookMap=HookType=Gump;Marker=SendGump;Access=Internal;Risk=High;Guards=DeletedGuard;MapGuard;NullGuard;PacketReadGuard;RangeGuard;StateGuard</t>
  </si>
  <si>
    <t>HistoricalFile=Data/Scripts/Quests/QuestChests.cs; Risk=Runtime; POST-BATCH-K is audit/runtime-surface triage only. No command names, gump button IDs, PlayerMobile fields, region policy, XML/config, save layout, or gameplay behavior changed.</t>
  </si>
  <si>
    <t>RB-03087</t>
  </si>
  <si>
    <t>P10-F03087</t>
  </si>
  <si>
    <t>PBK-1148</t>
  </si>
  <si>
    <t>CurrentFile=Data/Scripts/Quests/QuestChests.cs; Line=125; SourceLine=from.SendGump(; PathResolution=OriginalPathCurrent; MatchQuality=RuntimeHookMapFileLine; HookKind=Gump; GuardList=DeletedGuard;MapGuard;NullGuard;PacketReadGuard;RangeGuard;StateGuard; Access=; Command=; Handler=; DisabledEvidence=False; RuntimeHookMap=HookType=Gump;Marker=SendGump;Access=Internal;Risk=High;Guards=DeletedGuard;MapGuard;NullGuard;PacketReadGuard;RangeGuard;StateGuard</t>
  </si>
  <si>
    <t>RB-03088</t>
  </si>
  <si>
    <t>P10-F03088</t>
  </si>
  <si>
    <t>PBK-1149</t>
  </si>
  <si>
    <t>CurrentFile=Data/Scripts/Quests/QuestChests.cs; Line=196; SourceLine=from.SendGump(; PathResolution=OriginalPathCurrent; MatchQuality=RuntimeHookMapFileLine; HookKind=Gump; GuardList=DeletedGuard;MapGuard;NullGuard;PacketReadGuard;RangeGuard;StateGuard; Access=; Command=; Handler=; DisabledEvidence=False; RuntimeHookMap=HookType=Gump;Marker=SendGump;Access=Internal;Risk=High;Guards=DeletedGuard;MapGuard;NullGuard;PacketReadGuard;RangeGuard;StateGuard</t>
  </si>
  <si>
    <t>RB-03089</t>
  </si>
  <si>
    <t>P10-F03089</t>
  </si>
  <si>
    <t>PBK-1150</t>
  </si>
  <si>
    <t>CurrentFile=Data/Scripts/Quests/QuestChests.cs; Line=271; SourceLine=from.SendGump(; PathResolution=OriginalPathCurrent; MatchQuality=RuntimeHookMapFileLine; HookKind=Gump; GuardList=DeletedGuard;MapGuard;NullGuard;PacketReadGuard;RangeGuard;StateGuard; Access=; Command=; Handler=; DisabledEvidence=False; RuntimeHookMap=HookType=Gump;Marker=SendGump;Access=Internal;Risk=High;Guards=DeletedGuard;MapGuard;NullGuard;PacketReadGuard;RangeGuard;StateGuard</t>
  </si>
  <si>
    <t>RB-03090</t>
  </si>
  <si>
    <t>P10-F03090</t>
  </si>
  <si>
    <t>PBK-1151</t>
  </si>
  <si>
    <t>CurrentFile=Data/Scripts/Quests/QuestChests.cs; Line=352; SourceLine=from.SendGump(; PathResolution=OriginalPathCurrent; MatchQuality=RuntimeHookMapFileLine; HookKind=Gump; GuardList=DeletedGuard;MapGuard;NullGuard;PacketReadGuard;RangeGuard;StateGuard; Access=; Command=; Handler=; DisabledEvidence=False; RuntimeHookMap=HookType=Gump;Marker=SendGump;Access=Internal;Risk=High;Guards=DeletedGuard;MapGuard;NullGuard;PacketReadGuard;RangeGuard;StateGuard</t>
  </si>
  <si>
    <t>RB-03091</t>
  </si>
  <si>
    <t>P10-F03091</t>
  </si>
  <si>
    <t>Quests:Quests.cs</t>
  </si>
  <si>
    <t>Data/Scripts/Quests/Quests.cs</t>
  </si>
  <si>
    <t>PBK-1152</t>
  </si>
  <si>
    <t>CurrentFile=Data/Scripts/Quests/Quests.cs; Line=28; SourceLine=from.SendGump(new QuestsGump(from));; PathResolution=OriginalPathCurrent; MatchQuality=RuntimeHookMapFileLine; HookKind=Gump; GuardList=AccessGuard;StateGuard; Access=; Command=; Handler=; DisabledEvidence=False; RuntimeHookMap=HookType=Gump;Marker=SendGump;Access=Internal;Risk=High;Guards=AccessGuard;StateGuard</t>
  </si>
  <si>
    <t>HistoricalFile=Data/Scripts/Quests/Quests.cs; Risk=Runtime; POST-BATCH-K is audit/runtime-surface triage only. No command names, gump button IDs, PlayerMobile fields, region policy, XML/config, save layout, or gameplay behavior changed.</t>
  </si>
  <si>
    <t>RB-03092</t>
  </si>
  <si>
    <t>P10-F03092</t>
  </si>
  <si>
    <t>PBK-1153</t>
  </si>
  <si>
    <t>CurrentFile=Data/Scripts/Quests/SomeRandomNote.cs; Line=1458; SourceLine=e.SendGump(new ClueGump(e, this));; PathResolution=OriginalPathCurrent; MatchQuality=RuntimeHookMapFileLine; HookKind=Gump; GuardList=AccessGuard;BoundsGuard;MapGuard;PacketReadGuard;RangeGuard;StateGuard; Access=; Command=; Handler=; DisabledEvidence=False; RuntimeHookMap=HookType=Gump;Marker=SendGump;Access=Internal;Risk=High;Guards=AccessGuard;BoundsGuard;MapGuard;PacketReadGuard;RangeGuard;StateGuard</t>
  </si>
  <si>
    <t>RB-03093</t>
  </si>
  <si>
    <t>P10-F03093</t>
  </si>
  <si>
    <t>Data/Scripts/Quests/Epic/CourierMail.cs</t>
  </si>
  <si>
    <t>PBK-1154</t>
  </si>
  <si>
    <t>CurrentFile=Data/Scripts/Quests/Epic/CourierMail.cs; Line=215; SourceLine=e.SendGump(new SearchGump(e, this));; PathResolution=OriginalPathCurrent; MatchQuality=RuntimeHookMapFileLine; HookKind=Gump; GuardList=AccessGuard;BoundsGuard;MapGuard;PacketReadGuard;StateGuard; Access=; Command=; Handler=; DisabledEvidence=False; RuntimeHookMap=HookType=Gump;Marker=SendGump;Access=Internal;Risk=High;Guards=AccessGuard;BoundsGuard;MapGuard;PacketReadGuard;StateGuard</t>
  </si>
  <si>
    <t>HistoricalFile=Data/Scripts/Quests/Epic/CourierMail.cs; Risk=Runtime; POST-BATCH-K is audit/runtime-surface triage only. No command names, gump button IDs, PlayerMobile fields, region policy, XML/config, save layout, or gameplay behavior changed.</t>
  </si>
  <si>
    <t>RB-03094</t>
  </si>
  <si>
    <t>P10-F03094</t>
  </si>
  <si>
    <t>Quests:Fishing</t>
  </si>
  <si>
    <t>Data/Scripts/Quests/Fishing/FishingQuestBoard.cs</t>
  </si>
  <si>
    <t>PBK-1155</t>
  </si>
  <si>
    <t>CurrentFile=Data/Scripts/Quests/Fishing/FishingQuestBoard.cs; Line=40; SourceLine=e.SendGump(;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</si>
  <si>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HistoricalFile=Data/Scripts/Quests/Fishing/FishingQuestBoard.cs; Risk=Runtime; POST-BATCH-K is audit/runtime-surface triage only. No command names, gump button IDs, PlayerMobile fields, region policy, XML/config, save layout, or gameplay behavior changed.</t>
  </si>
  <si>
    <t>RB-03095</t>
  </si>
  <si>
    <t>P10-F03095</t>
  </si>
  <si>
    <t>PBK-1156</t>
  </si>
  <si>
    <t>CurrentFile=Data/Scripts/Quests/Fishing/FishingQuestBoard.cs; Line=74; SourceLine=m_Mobile.SendGump(;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</si>
  <si>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RB-03096</t>
  </si>
  <si>
    <t>P10-F03096</t>
  </si>
  <si>
    <t>PBK-1157</t>
  </si>
  <si>
    <t>CurrentFile=Data/Scripts/Quests/Fishing/FishingQuestBoard.cs; Line=177; SourceLine=m_Mobile.SendGump(;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</si>
  <si>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RB-03097</t>
  </si>
  <si>
    <t>P10-F03097</t>
  </si>
  <si>
    <t>PBK-1158</t>
  </si>
  <si>
    <t>CurrentFile=Data/Scripts/Quests/Museum/Gumps/MuseumBookGump.cs; Line=467; SourceLine=from.SendGump(new MuseumBookGump(from, m_Book, 1, turner));;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</si>
  <si>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RB-03098</t>
  </si>
  <si>
    <t>P10-F03098</t>
  </si>
  <si>
    <t>PBK-1159</t>
  </si>
  <si>
    <t>CurrentFile=Data/Scripts/Quests/Museum/Gumps/MuseumBookGump.cs; Line=475; SourceLine=from.SendGump(new MuseumBookGump(from, m_Book, 2, turner));;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</si>
  <si>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RB-03099</t>
  </si>
  <si>
    <t>P10-F03099</t>
  </si>
  <si>
    <t>PBK-1160</t>
  </si>
  <si>
    <t>CurrentFile=Data/Scripts/Quests/Museum/Gumps/MuseumBookGump.cs; Line=479; SourceLine=from.SendGump(new MuseumBookGump(from, m_Book, 3, 1));;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</si>
  <si>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RB-03100</t>
  </si>
  <si>
    <t>P10-F03100</t>
  </si>
  <si>
    <t>PBK-1161</t>
  </si>
  <si>
    <t>CurrentFile=Data/Scripts/Quests/Museum/Gumps/MuseumBookGump.cs; Line=488; SourceLine=from.SendGump(new MuseumBookGump(from, m_Book, page, info.ButtonID));; PathResolution=OriginalPathCurrent; MatchQuality=RuntimeHookMapFileLine; HookKind=Gump; GuardList=BoundsGuard;RangeGuard;StateGuard; Access=; Command=; Handler=; DisabledEvidence=False; RuntimeHookMap=HookType=Gump;Marker=SendGump;Access=Internal;Risk=High;Guards=BoundsGuard;RangeGuard;StateGuard</t>
  </si>
  <si>
    <t>RB-03101</t>
  </si>
  <si>
    <t>P10-F03101</t>
  </si>
  <si>
    <t>PBK-1162</t>
  </si>
  <si>
    <t>CurrentFile=Data/Scripts/Quests/Pagan/PaganArtifact.cs; Line=94; SourceLine=from.SendGump(new PaganArtifactGump(from, this));;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</si>
  <si>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RB-03102</t>
  </si>
  <si>
    <t>P10-F03102</t>
  </si>
  <si>
    <t>PBK-1163</t>
  </si>
  <si>
    <t>CurrentFile=Data/Scripts/Quests/Prisoners/Prisoner.cs; Line=682; SourceLine=from.SendGump(new PrisonerGump(this, from));; PathResolution=OriginalPathCurrent; MatchQuality=RuntimeHookMapFileLine; HookKind=Gump; GuardList=AccessGuard;BoundsGuard;PacketReadGuard;StateGuard; Access=; Command=; Handler=; DisabledEvidence=False; RuntimeHookMap=HookType=Gump;Marker=SendGump;Access=Internal;Risk=High;Guards=AccessGuard;BoundsGuard;PacketReadGuard;StateGuard</t>
  </si>
  <si>
    <t>RB-03103</t>
  </si>
  <si>
    <t>P10-F03103</t>
  </si>
  <si>
    <t>PBK-1164</t>
  </si>
  <si>
    <t>CurrentFile=Data/Scripts/Quests/Robots/RobotSchematics.cs; Line=59; SourceLine=from.SendGump(new RobotSchematicsGump(from, this));; PathResolution=OriginalPathCurrent; MatchQuality=RuntimeHookMapFileLine; HookKind=Gump; GuardList=AccessGuard;MapGuard;NullGuard;PacketReadGuard;StateGuard; Access=; Command=; Handler=; DisabledEvidence=False; RuntimeHookMap=HookType=Gump;Marker=SendGump;Access=Internal;Risk=High;Guards=AccessGuard;MapGuard;NullGuard;PacketReadGuard;StateGuard</t>
  </si>
  <si>
    <t>RB-03105</t>
  </si>
  <si>
    <t>P10-F03105</t>
  </si>
  <si>
    <t>Quests:Standard</t>
  </si>
  <si>
    <t>Data/Scripts/Quests/Standard/StandardQuestBoard.cs</t>
  </si>
  <si>
    <t>PBK-1166</t>
  </si>
  <si>
    <t>CurrentFile=Data/Scripts/Quests/Standard/StandardQuestBoard.cs; Line=40; SourceLine=e.SendGump(;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</si>
  <si>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HistoricalFile=Data/Scripts/Quests/Standard/StandardQuestBoard.cs; Risk=Runtime; POST-BATCH-K is audit/runtime-surface triage only. No command names, gump button IDs, PlayerMobile fields, region policy, XML/config, save layout, or gameplay behavior changed.</t>
  </si>
  <si>
    <t>RB-03106</t>
  </si>
  <si>
    <t>P10-F03106</t>
  </si>
  <si>
    <t>PBK-1167</t>
  </si>
  <si>
    <t>CurrentFile=Data/Scripts/Quests/Standard/StandardQuestBoard.cs; Line=74; SourceLine=m_Mobile.SendGump(;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</si>
  <si>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RB-03107</t>
  </si>
  <si>
    <t>P10-F03107</t>
  </si>
  <si>
    <t>PBK-1168</t>
  </si>
  <si>
    <t>CurrentFile=Data/Scripts/Quests/Standard/StandardQuestBoard.cs; Line=177; SourceLine=m_Mobile.SendGump(; PathResolution=OriginalPathCurrent; MatchQuality=RuntimeHookMapFileLine; HookKind=Gump; GuardList=BoundsGuard;PacketReadGuard;RangeGuard;StateGuard; Access=; Command=; Handler=; DisabledEvidence=False; RuntimeHookMap=HookType=Gump;Marker=SendGump;Access=Internal;Risk=High;Guards=BoundsGuard;PacketReadGuard;RangeGuard;StateGuard</t>
  </si>
  <si>
    <t>RB-03109</t>
  </si>
  <si>
    <t>P10-F03109</t>
  </si>
  <si>
    <t>PBK-1169</t>
  </si>
  <si>
    <t>CurrentFile=Data/Scripts/System/Commands/AddTrap.cs; Line=24; SourceLine=e.Mobile.SendGump(new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</si>
  <si>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RB-03110</t>
  </si>
  <si>
    <t>P10-F03110</t>
  </si>
  <si>
    <t>PBK-1170</t>
  </si>
  <si>
    <t>CurrentFile=Data/Scripts/System/Commands/AddTrap.cs; Line=103;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</si>
  <si>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RB-03111</t>
  </si>
  <si>
    <t>P10-F03111</t>
  </si>
  <si>
    <t>PBK-1171</t>
  </si>
  <si>
    <t>CurrentFile=Data/Scripts/System/Commands/AddTrap.cs; Line=110;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</si>
  <si>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RB-03112</t>
  </si>
  <si>
    <t>P10-F03112</t>
  </si>
  <si>
    <t>PBK-1172</t>
  </si>
  <si>
    <t>CurrentFile=Data/Scripts/System/Commands/AddTrap.cs; Line=117;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</si>
  <si>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RB-03113</t>
  </si>
  <si>
    <t>P10-F03113</t>
  </si>
  <si>
    <t>PBK-1173</t>
  </si>
  <si>
    <t>CurrentFile=Data/Scripts/System/Commands/AddTrap.cs; Line=124;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</si>
  <si>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RB-03114</t>
  </si>
  <si>
    <t>P10-F03114</t>
  </si>
  <si>
    <t>PBK-1174</t>
  </si>
  <si>
    <t>CurrentFile=Data/Scripts/System/Commands/AddTrap.cs; Line=131;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</si>
  <si>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RB-03115</t>
  </si>
  <si>
    <t>P10-F03115</t>
  </si>
  <si>
    <t>PBK-1175</t>
  </si>
  <si>
    <t>CurrentFile=Data/Scripts/System/Commands/AddTrap.cs; Line=139;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</si>
  <si>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RB-03116</t>
  </si>
  <si>
    <t>P10-F03116</t>
  </si>
  <si>
    <t>PBK-1176</t>
  </si>
  <si>
    <t>CurrentFile=Data/Scripts/System/Commands/AddTrap.cs; Line=147;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</si>
  <si>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RB-03117</t>
  </si>
  <si>
    <t>P10-F03117</t>
  </si>
  <si>
    <t>PBK-1177</t>
  </si>
  <si>
    <t>CurrentFile=Data/Scripts/System/Commands/AddTrap.cs; Line=155;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</si>
  <si>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RB-03118</t>
  </si>
  <si>
    <t>P10-F03118</t>
  </si>
  <si>
    <t>PBK-1178</t>
  </si>
  <si>
    <t>CurrentFile=Data/Scripts/System/Commands/AddTrap.cs; Line=163;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</si>
  <si>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RB-03119</t>
  </si>
  <si>
    <t>P10-F03119</t>
  </si>
  <si>
    <t>PBK-1179</t>
  </si>
  <si>
    <t>CurrentFile=Data/Scripts/System/Commands/AddTrap.cs; Line=171;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</si>
  <si>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RB-03120</t>
  </si>
  <si>
    <t>P10-F03120</t>
  </si>
  <si>
    <t>PBK-1180</t>
  </si>
  <si>
    <t>CurrentFile=Data/Scripts/System/Commands/AddTrap.cs; Line=179;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</si>
  <si>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RB-03121</t>
  </si>
  <si>
    <t>P10-F03121</t>
  </si>
  <si>
    <t>PBK-1181</t>
  </si>
  <si>
    <t>CurrentFile=Data/Scripts/System/Commands/AddTrap.cs; Line=187;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</si>
  <si>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RB-03122</t>
  </si>
  <si>
    <t>P10-F03122</t>
  </si>
  <si>
    <t>PBK-1182</t>
  </si>
  <si>
    <t>CurrentFile=Data/Scripts/System/Commands/AddTrap.cs; Line=195;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</si>
  <si>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RB-03123</t>
  </si>
  <si>
    <t>P10-F03123</t>
  </si>
  <si>
    <t>PBK-1183</t>
  </si>
  <si>
    <t>CurrentFile=Data/Scripts/System/Commands/AddTrap.cs; Line=203;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</si>
  <si>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RB-03124</t>
  </si>
  <si>
    <t>P10-F03124</t>
  </si>
  <si>
    <t>PBK-1184</t>
  </si>
  <si>
    <t>CurrentFile=Data/Scripts/System/Commands/AddTrap.cs; Line=211; SourceLine=from.SendGump(new AddTrapGump());; PathResolution=OriginalPathCurrent; MatchQuality=RuntimeHookMapFileLine; HookKind=Gump; GuardList=AccessGuard;BoundsGuard;MapGuard;StateGuard; Access=; Command=; Handler=; DisabledEvidence=False; RuntimeHookMap=HookType=Gump;Marker=SendGump;Access=Internal;Risk=High;Guards=AccessGuard;BoundsGuard;MapGuard;StateGuard</t>
  </si>
  <si>
    <t>RB-03125</t>
  </si>
  <si>
    <t>P10-F03125</t>
  </si>
  <si>
    <t>Data/Scripts/System/Commands/HelpAdmin.cs</t>
  </si>
  <si>
    <t>PBK-1185</t>
  </si>
  <si>
    <t>CurrentFile=Data/Scripts/System/Commands/HelpAdmin.cs; Line=73; SourceLine=from.SendGump(new SpeechGump(from, "ADMINISTRATIVE HELP", sText));; PathResolution=OriginalPathCurrent; MatchQuality=RuntimeHookMapFileLine; HookKind=Gump; GuardList=AccessGuard;StateGuard; Access=; Command=; Handler=; DisabledEvidence=False; RuntimeHookMap=HookType=Gump;Marker=SendGump;Access=Internal;Risk=High;Guards=AccessGuard;StateGuard</t>
  </si>
  <si>
    <t>HistoricalFile=Data/Scripts/System/Commands/HelpAdmin.cs; Risk=Runtime; POST-BATCH-K is audit/runtime-surface triage only. No command names, gump button IDs, PlayerMobile fields, region policy, XML/config, save layout, or gameplay behavior changed.</t>
  </si>
  <si>
    <t>RB-03126</t>
  </si>
  <si>
    <t>P10-F03126</t>
  </si>
  <si>
    <t>Data/Scripts/System/Commands/SkillsMenu.cs</t>
  </si>
  <si>
    <t>PBK-1186</t>
  </si>
  <si>
    <t>CurrentFile=Data/Scripts/System/Commands/SkillsMenu.cs; Line=32; SourceLine=from.SendGump(new SkillsGump(from, (Mobile)o));; PathResolution=OriginalPathCurrent; MatchQuality=RuntimeHookMapFileLine; HookKind=Gump; GuardList=AccessGuard;StateGuard; Access=; Command=; Handler=; DisabledEvidence=False; RuntimeHookMap=HookType=Gump;Marker=SendGump;Access=Internal;Risk=High;Guards=AccessGuard;StateGuard</t>
  </si>
  <si>
    <t>HistoricalFile=Data/Scripts/System/Commands/SkillsMenu.cs; Risk=Runtime; POST-BATCH-K is audit/runtime-surface triage only. No command names, gump button IDs, PlayerMobile fields, region policy, XML/config, save layout, or gameplay behavior changed.</t>
  </si>
  <si>
    <t>RB-03127</t>
  </si>
  <si>
    <t>P10-F03127</t>
  </si>
  <si>
    <t>PBK-1187</t>
  </si>
  <si>
    <t>CurrentFile=Data/Scripts/System/Commands/Gumps/Adddoorgump.cs; Line=71; SourceLine=from.SendGump(new AddDoorGump(button));;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</si>
  <si>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RB-03128</t>
  </si>
  <si>
    <t>P10-F03128</t>
  </si>
  <si>
    <t>PBK-1188</t>
  </si>
  <si>
    <t>CurrentFile=Data/Scripts/System/Commands/Gumps/Adddoorgump.cs; Line=77; SourceLine=from.SendGump(new AddDoorGump(m_Type));;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</si>
  <si>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RB-03129</t>
  </si>
  <si>
    <t>P10-F03129</t>
  </si>
  <si>
    <t>PBK-1189</t>
  </si>
  <si>
    <t>CurrentFile=Data/Scripts/System/Commands/Gumps/Adddoorgump.cs; Line=90; SourceLine=from.SendGump(new AddDoorGump(m_Type));;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</si>
  <si>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RB-03130</t>
  </si>
  <si>
    <t>P10-F03130</t>
  </si>
  <si>
    <t>PBK-1190</t>
  </si>
  <si>
    <t>CurrentFile=Data/Scripts/System/Commands/Gumps/Adddoorgump.cs; Line=95; SourceLine=from.SendGump(new AddDoorGump());;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</si>
  <si>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RB-03131</t>
  </si>
  <si>
    <t>P10-F03131</t>
  </si>
  <si>
    <t>PBK-1191</t>
  </si>
  <si>
    <t>CurrentFile=Data/Scripts/System/Commands/Gumps/Adddoorgump.cs; Line=113; SourceLine=e.Mobile.SendGump(new AddDoorGump());;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</si>
  <si>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RB-03136</t>
  </si>
  <si>
    <t>P10-F03136</t>
  </si>
  <si>
    <t>PBK-1196</t>
  </si>
  <si>
    <t>CurrentFile=Data/Scripts/System/Commands/Player/MyChat.cs; Line=183; SourceLine=from.SendGump(new MyChat(from, m_Origin));; PathResolution=OriginalPathCurrent; MatchQuality=RuntimeHookMapFileLine; HookKind=Gump; GuardList=BoundsGuard;MapGuard;RangeGuard;StateGuard; Access=; Command=; Handler=; DisabledEvidence=False; RuntimeHookMap=HookType=Gump;Marker=SendGump;Access=Internal;Risk=High;Guards=BoundsGuard;MapGuard;RangeGuard;StateGuard</t>
  </si>
  <si>
    <t>RB-03137</t>
  </si>
  <si>
    <t>P10-F03137</t>
  </si>
  <si>
    <t>PBK-1197</t>
  </si>
  <si>
    <t>CurrentFile=Data/Scripts/System/Commands/Player/MyChat.cs; Line=188; SourceLine=from.SendGump(new MyTalk(from, 0));; PathResolution=OriginalPathCurrent; MatchQuality=RuntimeHookMapFileLine; HookKind=Gump; GuardList=BoundsGuard;MapGuard;RangeGuard;StateGuard; Access=; Command=; Handler=; DisabledEvidence=False; RuntimeHookMap=HookType=Gump;Marker=SendGump;Access=Internal;Risk=High;Guards=BoundsGuard;MapGuard;RangeGuard;StateGuard</t>
  </si>
  <si>
    <t>RB-03138</t>
  </si>
  <si>
    <t>P10-F03138</t>
  </si>
  <si>
    <t>PBK-1198</t>
  </si>
  <si>
    <t>CurrentFile=Data/Scripts/System/Commands/Player/MyChat.cs; Line=193; SourceLine=from.SendGump(new MyTalk(from, button));; PathResolution=OriginalPathCurrent; MatchQuality=RuntimeHookMapFileLine; HookKind=Gump; GuardList=BoundsGuard;MapGuard;RangeGuard;StateGuard; Access=; Command=; Handler=; DisabledEvidence=False; RuntimeHookMap=HookType=Gump;Marker=SendGump;Access=Internal;Risk=High;Guards=BoundsGuard;MapGuard;RangeGuard;StateGuard</t>
  </si>
  <si>
    <t>RB-03139</t>
  </si>
  <si>
    <t>P10-F03139</t>
  </si>
  <si>
    <t>PBK-1199</t>
  </si>
  <si>
    <t>CurrentFile=Data/Scripts/System/Commands/Player/MyChat.cs; Line=198; SourceLine=from.SendGump(new Server.Engines.Help.HelpGump(from, 1));; PathResolution=OriginalPathCurrent; MatchQuality=RuntimeHookMapFileLine; HookKind=Gump; GuardList=BoundsGuard;MapGuard;RangeGuard;StateGuard; Access=; Command=; Handler=; DisabledEvidence=False; RuntimeHookMap=HookType=Gump;Marker=SendGump;Access=Internal;Risk=High;Guards=BoundsGuard;MapGuard;RangeGuard;StateGuard</t>
  </si>
  <si>
    <t>RB-03140</t>
  </si>
  <si>
    <t>P10-F03140</t>
  </si>
  <si>
    <t>PBK-1200</t>
  </si>
  <si>
    <t>CurrentFile=Data/Scripts/System/Commands/Player/MyLibrary.cs; Line=197; SourceLine=from.SendGump(new MyLibrary(from, m_Origin));;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</si>
  <si>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RB-03141</t>
  </si>
  <si>
    <t>P10-F03141</t>
  </si>
  <si>
    <t>PBK-1201</t>
  </si>
  <si>
    <t>CurrentFile=Data/Scripts/System/Commands/Player/MyLibrary.cs; Line=204; SourceLine=from.SendGump(new BasicsGump(from, 0));;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</si>
  <si>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RB-03142</t>
  </si>
  <si>
    <t>P10-F03142</t>
  </si>
  <si>
    <t>PBK-1202</t>
  </si>
  <si>
    <t>CurrentFile=Data/Scripts/System/Commands/Player/MyLibrary.cs; Line=209; SourceLine=from.SendGump(new CreatureHelpGump(from, 0));;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</si>
  <si>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RB-03143</t>
  </si>
  <si>
    <t>P10-F03143</t>
  </si>
  <si>
    <t>PBK-1203</t>
  </si>
  <si>
    <t>CurrentFile=Data/Scripts/System/Commands/Player/MyLibrary.cs; Line=214; SourceLine=from.SendGump(new FameKarma(from, 0));;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</si>
  <si>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RB-03144</t>
  </si>
  <si>
    <t>P10-F03144</t>
  </si>
  <si>
    <t>PBK-1204</t>
  </si>
  <si>
    <t>CurrentFile=Data/Scripts/System/Commands/Player/MyLibrary.cs; Line=219; SourceLine=from.SendGump(new ItemPropsGump(from, 0));;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</si>
  <si>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RB-03145</t>
  </si>
  <si>
    <t>P10-F03145</t>
  </si>
  <si>
    <t>PBK-1205</t>
  </si>
  <si>
    <t>CurrentFile=Data/Scripts/System/Commands/Player/MyLibrary.cs; Line=224; SourceLine=from.SendGump(new NewSkillsGump(from, 0));;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</si>
  <si>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RB-03146</t>
  </si>
  <si>
    <t>P10-F03146</t>
  </si>
  <si>
    <t>PBK-1206</t>
  </si>
  <si>
    <t>CurrentFile=Data/Scripts/System/Commands/Player/MyLibrary.cs; Line=229; SourceLine=from.SendGump(new WeaponAbilityBook.AbilityBookGump(from));;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</si>
  <si>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RB-03147</t>
  </si>
  <si>
    <t>P10-F03147</t>
  </si>
  <si>
    <t>PBK-1207</t>
  </si>
  <si>
    <t>CurrentFile=Data/Scripts/System/Commands/Player/MyLibrary.cs; Line=276; SourceLine=from.SendGump(new Server.Engines.Help.HelpGump(from, 1));; PathResolution=OriginalPathCurrent; MatchQuality=RuntimeHookMapFileLine; HookKind=Gump; GuardList=AccessGuard;BoundsGuard;MapGuard;RangeGuard;StateGuard; Access=; Command=; Handler=; DisabledEvidence=False; RuntimeHookMap=HookType=Gump;Marker=SendGump;Access=Internal;Risk=High;Guards=AccessGuard;BoundsGuard;MapGuard;RangeGuard;StateGuard</t>
  </si>
  <si>
    <t>RB-03148</t>
  </si>
  <si>
    <t>P10-F03148</t>
  </si>
  <si>
    <t>PBK-1208</t>
  </si>
  <si>
    <t>CurrentFile=Data/Scripts/System/Commands/Player/RegBar.cs; Line=49; SourceLine=from.SendGump(new RegBar(from));;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</si>
  <si>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RB-03149</t>
  </si>
  <si>
    <t>P10-F03149</t>
  </si>
  <si>
    <t>PBK-1209</t>
  </si>
  <si>
    <t>CurrentFile=Data/Scripts/System/Commands/Player/RegBar.cs; Line=494; SourceLine=from.SendGump(new RegBar(from));;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</si>
  <si>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RB-03150</t>
  </si>
  <si>
    <t>P10-F03150</t>
  </si>
  <si>
    <t>PBK-1210</t>
  </si>
  <si>
    <t>CurrentFile=Data/Scripts/System/Commands/Player/RegBar.cs; Line=507; SourceLine=from.SendGump(new RegBar(from));;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</si>
  <si>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RB-03151</t>
  </si>
  <si>
    <t>P10-F03151</t>
  </si>
  <si>
    <t>PBK-1211</t>
  </si>
  <si>
    <t>CurrentFile=Data/Scripts/System/Commands/Player/RegBar.cs; Line=514; SourceLine=from.SendGump(new RegConfig(from));;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</si>
  <si>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RB-03152</t>
  </si>
  <si>
    <t>P10-F03152</t>
  </si>
  <si>
    <t>PBK-1212</t>
  </si>
  <si>
    <t>CurrentFile=Data/Scripts/System/Commands/Player/RegBar.cs; Line=959; SourceLine=from.SendGump(new RegConfig(from));;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</si>
  <si>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RB-03153</t>
  </si>
  <si>
    <t>P10-F03153</t>
  </si>
  <si>
    <t>PBK-1213</t>
  </si>
  <si>
    <t>CurrentFile=Data/Scripts/System/Commands/Player/RegBar.cs; Line=961; SourceLine=from.SendGump(new RegBar(from));;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</si>
  <si>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RB-03154</t>
  </si>
  <si>
    <t>P10-F03154</t>
  </si>
  <si>
    <t>PBK-1214</t>
  </si>
  <si>
    <t>CurrentFile=Data/Scripts/System/Commands/Player/SkillListing.cs; Line=24; SourceLine=from.SendGump(new SkillListingGump(from));; PathResolution=OriginalPathCurrent; MatchQuality=RuntimeHookMapFileLine; HookKind=Gump; GuardList=AccessGuard;StateGuard; Access=; Command=; Handler=; DisabledEvidence=False; RuntimeHookMap=HookType=Gump;Marker=SendGump;Access=Internal;Risk=High;Guards=AccessGuard;StateGuard</t>
  </si>
  <si>
    <t>RB-03155</t>
  </si>
  <si>
    <t>P10-F03155</t>
  </si>
  <si>
    <t>PBK-1215</t>
  </si>
  <si>
    <t>CurrentFile=Data/Scripts/System/Commands/Player/SkillListing.cs; Line=34; SourceLine=from.SendGump(new SkillListingGump(from));; PathResolution=OriginalPathCurrent; MatchQuality=RuntimeHookMapFileLine; HookKind=Gump; GuardList=AccessGuard;StateGuard; Access=; Command=; Handler=; DisabledEvidence=False; RuntimeHookMap=HookType=Gump;Marker=SendGump;Access=Internal;Risk=High;Guards=AccessGuard;StateGuard</t>
  </si>
  <si>
    <t>RB-03156</t>
  </si>
  <si>
    <t>P10-F03156</t>
  </si>
  <si>
    <t>PBK-1216</t>
  </si>
  <si>
    <t>CurrentFile=Data/Scripts/System/Commands/Player/Skills.cs; Line=26; SourceLine=e.Mobile.SendGump(new NewSkillsGump(e.Mobile, 0));; PathResolution=OriginalPathCurrent; MatchQuality=RuntimeHookMapFileLine; HookKind=Gump; GuardList=AccessGuard;MapGuard;RangeGuard;StateGuard; Access=; Command=; Handler=; DisabledEvidence=False; RuntimeHookMap=HookType=Gump;Marker=SendGump;Access=Internal;Risk=High;Guards=AccessGuard;MapGuard;RangeGuard;StateGuard</t>
  </si>
  <si>
    <t>RB-03157</t>
  </si>
  <si>
    <t>P10-F03157</t>
  </si>
  <si>
    <t>PBK-1217</t>
  </si>
  <si>
    <t>CurrentFile=Data/Scripts/System/Commands/Player/Skills.cs; Line=237; SourceLine=from.SendGump(new Server.Engines.Help.HelpGump(from, 1));; PathResolution=OriginalPathCurrent; MatchQuality=RuntimeHookMapFileLine; HookKind=Gump; GuardList=AccessGuard;MapGuard;RangeGuard;StateGuard; Access=; Command=; Handler=; DisabledEvidence=False; RuntimeHookMap=HookType=Gump;Marker=SendGump;Access=Internal;Risk=High;Guards=AccessGuard;MapGuard;RangeGuard;StateGuard</t>
  </si>
  <si>
    <t>RB-03158</t>
  </si>
  <si>
    <t>P10-F03158</t>
  </si>
  <si>
    <t>PBK-1218</t>
  </si>
  <si>
    <t>CurrentFile=Data/Scripts/System/Commands/Player/WealthBar.cs; Line=44; SourceLine=from.SendGump(new WealthBar(from));;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</si>
  <si>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RB-03159</t>
  </si>
  <si>
    <t>P10-F03159</t>
  </si>
  <si>
    <t>PBK-1219</t>
  </si>
  <si>
    <t>CurrentFile=Data/Scripts/System/Commands/Player/WealthBar.cs; Line=122; SourceLine=from.SendGump(new WealthBar(from));;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</si>
  <si>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RB-03160</t>
  </si>
  <si>
    <t>P10-F03160</t>
  </si>
  <si>
    <t>PBK-1220</t>
  </si>
  <si>
    <t>CurrentFile=Data/Scripts/System/Commands/Player/WealthBar.cs; Line=137; SourceLine=from.SendGump(new WealthBar(from));;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</si>
  <si>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RB-03161</t>
  </si>
  <si>
    <t>P10-F03161</t>
  </si>
  <si>
    <t>PBK-1221</t>
  </si>
  <si>
    <t>CurrentFile=Data/Scripts/System/Commands/Player/Gumps/SkillsGump.cs; Line=89; SourceLine=from.SendGump(new SkillTitleGump(from));; PathResolution=OriginalPathCurrent; MatchQuality=RuntimeHookMapFileLine; HookKind=Gump; GuardList=BoundsGuard;StateGuard; Access=; Command=; Handler=; DisabledEvidence=False; RuntimeHookMap=HookType=Gump;Marker=SendGump;Access=Internal;Risk=High;Guards=BoundsGuard;StateGuard</t>
  </si>
  <si>
    <t>RB-03162</t>
  </si>
  <si>
    <t>P10-F03162</t>
  </si>
  <si>
    <t>PBK-1222</t>
  </si>
  <si>
    <t>CurrentFile=Data/Scripts/System/Commands/Player/Gumps/SkillsGump.cs; Line=93; SourceLine=from.SendGump(new Server.Engines.Help.HelpGump(from, 12));; PathResolution=OriginalPathCurrent; MatchQuality=RuntimeHookMapFileLine; HookKind=Gump; GuardList=BoundsGuard;StateGuard; Access=; Command=; Handler=; DisabledEvidence=False; RuntimeHookMap=HookType=Gump;Marker=SendGump;Access=Internal;Risk=High;Guards=BoundsGuard;StateGuard</t>
  </si>
  <si>
    <t>RB-03163</t>
  </si>
  <si>
    <t>P10-F03163</t>
  </si>
  <si>
    <t>PBK-1223</t>
  </si>
  <si>
    <t>CurrentFile=Data/Scripts/System/Gumps/ToTAdminGump.cs; Line=178; SourceLine=e.Mobile.SendGump(tg);;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</si>
  <si>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RB-03164</t>
  </si>
  <si>
    <t>P10-F03164</t>
  </si>
  <si>
    <t>PBK-1224</t>
  </si>
  <si>
    <t>CurrentFile=Data/Scripts/System/Gumps/Guilds/GuildCandidatesGump.cs; Line=29;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</si>
  <si>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RB-03165</t>
  </si>
  <si>
    <t>P10-F03165</t>
  </si>
  <si>
    <t>PBK-1225</t>
  </si>
  <si>
    <t>CurrentFile=Data/Scripts/System/Gumps/Guilds/GuildCharterPrompt.cs; Line=25;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</si>
  <si>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RB-03166</t>
  </si>
  <si>
    <t>P10-F03166</t>
  </si>
  <si>
    <t>PBK-1226</t>
  </si>
  <si>
    <t>CurrentFile=Data/Scripts/System/Gumps/Guilds/GuildCharterPrompt.cs; Line=45;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</si>
  <si>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RB-03167</t>
  </si>
  <si>
    <t>P10-F03167</t>
  </si>
  <si>
    <t>PBK-1227</t>
  </si>
  <si>
    <t>CurrentFile=Data/Scripts/System/Gumps/Guilds/GuildDeclareWarPrompt.cs; Line=27; SourceLine=m_Mobile.SendGump(new GuildWarAdminGump(m_Mobile,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</si>
  <si>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RB-03168</t>
  </si>
  <si>
    <t>P10-F03168</t>
  </si>
  <si>
    <t>PBK-1228</t>
  </si>
  <si>
    <t>CurrentFile=Data/Scripts/System/Gumps/Guilds/GuildDeclareWarPrompt.cs; Line=45; SourceLine=m_Mobile.SendGump(new GuildDeclareWarGump(m_Mobile, m_Guild, guilds));; PathResolution=OriginalPathCurrent; MatchQuality=RuntimeHookMapFileLine; HookKind=Gump; GuardList=BoundsGuard;StateGuard; Access=; Command=; Handler=; DisabledEvidence=False; RuntimeHookMap=HookType=Gump;Marker=SendGump;Access=Internal;Risk=High;Guards=BoundsGuard;StateGuard</t>
  </si>
  <si>
    <t>RB-03169</t>
  </si>
  <si>
    <t>P10-F03169</t>
  </si>
  <si>
    <t>PBK-1229</t>
  </si>
  <si>
    <t>CurrentFile=Data/Scripts/System/Gumps/Guilds/GuildDeclareWarPrompt.cs; Line=49; SourceLine=m_Mobile.SendGump(new GuildWarAdminGump(m_Mobile,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</si>
  <si>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RB-03170</t>
  </si>
  <si>
    <t>P10-F03170</t>
  </si>
  <si>
    <t>PBK-1230</t>
  </si>
  <si>
    <t>CurrentFile=Data/Scripts/System/Gumps/Guilds/GuildRosterGump.cs; Line=37;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</si>
  <si>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RB-03171</t>
  </si>
  <si>
    <t>P10-F03171</t>
  </si>
  <si>
    <t>PBK-1231</t>
  </si>
  <si>
    <t>CurrentFile=Data/Scripts/System/Gumps/Guilds/GuildTitlePrompt.cs; Line=29; SourceLine=m_Leader.SendGump(new GuildmasterGump(m_Leader, m_Guild));; PathResolution=OriginalPathCurrent; MatchQuality=RuntimeHookMapFileLine; HookKind=Gump; GuardList=BoundsGuard;DeletedGuard;StateGuard; Access=; Command=; Handler=; DisabledEvidence=False; RuntimeHookMap=HookType=Gump;Marker=SendGump;Access=Internal;Risk=High;Guards=BoundsGuard;DeletedGuard;StateGuard</t>
  </si>
  <si>
    <t>RB-03172</t>
  </si>
  <si>
    <t>P10-F03172</t>
  </si>
  <si>
    <t>PBK-1232</t>
  </si>
  <si>
    <t>CurrentFile=Data/Scripts/System/Gumps/Guilds/GuildTitlePrompt.cs; Line=48; SourceLine=m_Leader.SendGump(new GuildmasterGump(m_Leader, m_Guild));; PathResolution=OriginalPathCurrent; MatchQuality=RuntimeHookMapFileLine; HookKind=Gump; GuardList=BoundsGuard;DeletedGuard;StateGuard; Access=; Command=; Handler=; DisabledEvidence=False; RuntimeHookMap=HookType=Gump;Marker=SendGump;Access=Internal;Risk=High;Guards=BoundsGuard;DeletedGuard;StateGuard</t>
  </si>
  <si>
    <t>RB-03173</t>
  </si>
  <si>
    <t>P10-F03173</t>
  </si>
  <si>
    <t>PBK-1233</t>
  </si>
  <si>
    <t>CurrentFile=Data/Scripts/System/Gumps/Guilds/GuildWarAdminGump.cs; Line=87; SourceLine=m_Mobile.SendGump(new GuildDeclarePeaceGump(m_Mobile,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</si>
  <si>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RB-03174</t>
  </si>
  <si>
    <t>P10-F03174</t>
  </si>
  <si>
    <t>PBK-1234</t>
  </si>
  <si>
    <t>CurrentFile=Data/Scripts/System/Gumps/Guilds/GuildWarAdminGump.cs; Line=94; SourceLine=m_Mobile.SendGump(new GuildAcceptWarGump(m_Mobile,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</si>
  <si>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RB-03175</t>
  </si>
  <si>
    <t>P10-F03175</t>
  </si>
  <si>
    <t>PBK-1235</t>
  </si>
  <si>
    <t>CurrentFile=Data/Scripts/System/Gumps/Guilds/GuildWarAdminGump.cs; Line=101; SourceLine=m_Mobile.SendGump(new GuildRejectWarGump(m_Mobile,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</si>
  <si>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RB-03176</t>
  </si>
  <si>
    <t>P10-F03176</t>
  </si>
  <si>
    <t>PBK-1236</t>
  </si>
  <si>
    <t>CurrentFile=Data/Scripts/System/Gumps/Guilds/GuildWarAdminGump.cs; Line=108; SourceLine=m_Mobile.SendGump(new GuildRescindDeclarationGump(m_Mobile,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</si>
  <si>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RB-03177</t>
  </si>
  <si>
    <t>P10-F03177</t>
  </si>
  <si>
    <t>PBK-1237</t>
  </si>
  <si>
    <t>CurrentFile=Data/Scripts/System/Gumps/Guilds/GuildWarAdminGump.cs; Line=115;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</si>
  <si>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RB-03178</t>
  </si>
  <si>
    <t>P10-F03178</t>
  </si>
  <si>
    <t>PBK-1238</t>
  </si>
  <si>
    <t>CurrentFile=Data/Scripts/System/Gumps/Guilds/GuildWarGump.cs; Line=113;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</si>
  <si>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RB-03179</t>
  </si>
  <si>
    <t>P10-F03179</t>
  </si>
  <si>
    <t>PBK-1239</t>
  </si>
  <si>
    <t>CurrentFile=Data/Scripts/System/Gumps/Guilds/GuildWebsitePrompt.cs; Line=25;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</si>
  <si>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RB-03180</t>
  </si>
  <si>
    <t>P10-F03180</t>
  </si>
  <si>
    <t>PBK-1240</t>
  </si>
  <si>
    <t>CurrentFile=Data/Scripts/System/Gumps/Guilds/GuildWebsitePrompt.cs; Line=42;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t>
  </si>
  <si>
    <t>RB-03181</t>
  </si>
  <si>
    <t>P10-F03181</t>
  </si>
  <si>
    <t>Data/Scripts/System/Gumps/Guilds/RecruitTarget.cs</t>
  </si>
  <si>
    <t>PBK-1241</t>
  </si>
  <si>
    <t>CurrentFile=Data/Scripts/System/Gumps/Guilds/RecruitTarget.cs; Line=98; SourceLine=m_Mobile.SendGump(new GuildGump(m_Mobile, m_Guild));; PathResolution=OriginalPathCurrent; MatchQuality=RuntimeHookMapFileLine; HookKind=Gump; GuardList=AccessGuard;NullGuard;RangeGuard;StateGuard; Access=; Command=; Handler=; DisabledEvidence=False; RuntimeHookMap=HookType=Gump;Marker=SendGump;Access=Internal;Risk=High;Guards=AccessGuard;NullGuard;RangeGuard;StateGuard</t>
  </si>
  <si>
    <t>HistoricalFile=Data/Scripts/System/Gumps/Guilds/RecruitTarget.cs; Risk=Runtime; POST-BATCH-K is audit/runtime-surface triage only. No command names, gump button IDs, PlayerMobile fields, region policy, XML/config, save layout, or gameplay behavior changed.</t>
  </si>
  <si>
    <t>RB-03182</t>
  </si>
  <si>
    <t>P10-F03182</t>
  </si>
  <si>
    <t>PBK-1242</t>
  </si>
  <si>
    <t>CurrentFile=Data/Scripts/System/Gumps/Properties/SetListOptionGump.cs; Line=253; SourceLine=m_Mobile.SendGump(new PropertiesGump(m_Mobile, m_Object, m_Stack, m_List, m_Page));; PathResolution=OriginalPathCurrent; MatchQuality=RuntimeHookMapFileLine; HookKind=Gump; GuardList=BoundsGuard;StateGuard; Access=; Command=; Handler=; DisabledEvidence=False; RuntimeHookMap=HookType=Gump;Marker=SendGump;Access=Internal;Risk=High;Guards=BoundsGuard;StateGuard</t>
  </si>
  <si>
    <t>RB-03183</t>
  </si>
  <si>
    <t>P10-F03183</t>
  </si>
  <si>
    <t>Data/Scripts/System/Gumps/Properties/SetObjectTarget.cs</t>
  </si>
  <si>
    <t>PBK-1243</t>
  </si>
  <si>
    <t>CurrentFile=Data/Scripts/System/Gumps/Properties/SetObjectTarget.cs; Line=81; SourceLine=from.SendGump(new PropertiesGump(m_Mobile, m_Object, m_Stack, m_List, m_Page));; PathResolution=OriginalPathCurrent; MatchQuality=RuntimeHookMapFileLine; HookKind=Gump; GuardList=NullGuard;StateGuard; Access=; Command=; Handler=; DisabledEvidence=False; RuntimeHookMap=HookType=Gump;Marker=SendGump;Access=Internal;Risk=High;Guards=NullGuard;StateGuard</t>
  </si>
  <si>
    <t>HistoricalFile=Data/Scripts/System/Gumps/Properties/SetObjectTarget.cs; Risk=Runtime; POST-BATCH-K is audit/runtime-surface triage only. No command names, gump button IDs, PlayerMobile fields, region policy, XML/config, save layout, or gameplay behavior changed.</t>
  </si>
  <si>
    <t>RB-03184</t>
  </si>
  <si>
    <t>P10-F03184</t>
  </si>
  <si>
    <t>PBK-1244</t>
  </si>
  <si>
    <t>CurrentFile=Data/Scripts/System/Gumps/Properties/SetObjectTarget.cs; Line=83; SourceLine=from.SendGump(; PathResolution=OriginalPathCurrent; MatchQuality=RuntimeHookMapFileLine; HookKind=Gump; GuardList=NullGuard;StateGuard; Access=; Command=; Handler=; DisabledEvidence=False; RuntimeHookMap=HookType=Gump;Marker=SendGump;Access=Internal;Risk=High;Guards=NullGuard;StateGuard</t>
  </si>
  <si>
    <t>RB-03185</t>
  </si>
  <si>
    <t>P10-F03185</t>
  </si>
  <si>
    <t>PBK-1245</t>
  </si>
  <si>
    <t>CurrentFile=Data/Scripts/System/Help/ServerSettings.cs; Line=103; SourceLine=from.SendGump(new SettingInfoGump(from, info.ButtonID, 12));; PathResolution=OriginalPathCurrent; MatchQuality=RuntimeHookMapFileLine; HookKind=Gump; GuardList=BoundsGuard;StateGuard; Access=; Command=; Handler=; DisabledEvidence=False; RuntimeHookMap=HookType=Gump;Marker=SendGump;Access=Internal;Risk=High;Guards=BoundsGuard;StateGuard</t>
  </si>
  <si>
    <t>RB-03186</t>
  </si>
  <si>
    <t>P10-F03186</t>
  </si>
  <si>
    <t>PBK-1246</t>
  </si>
  <si>
    <t>CurrentFile=Data/Scripts/System/Help/ServerSettings.cs; Line=786; SourceLine=from.SendGump(new Server.Engines.Help.ServerSettingsGump(from, m_Origin));; PathResolution=OriginalPathCurrent; MatchQuality=RuntimeHookMapFileLine; HookKind=Gump; GuardList=BoundsGuard;StateGuard; Access=; Command=; Handler=; DisabledEvidence=False; RuntimeHookMap=HookType=Gump;Marker=SendGump;Access=Internal;Risk=High;Guards=BoundsGuard;StateGuard</t>
  </si>
  <si>
    <t>RB-03187</t>
  </si>
  <si>
    <t>P10-F03187</t>
  </si>
  <si>
    <t>PBK-1247</t>
  </si>
  <si>
    <t>CurrentFile=Data/Scripts/System/Help/Gumps/PageResponseGump.cs; Line=46; SourceLine=m_From.SendGump(new MessageSentGump(m_From, m_Name, m_Text));; PathResolution=OriginalPathCurrent; MatchQuality=RuntimeHookMapFileLine; HookKind=Gump; GuardList=BoundsGuard;StateGuard; Access=; Command=; Handler=; DisabledEvidence=False; RuntimeHookMap=HookType=Gump;Marker=SendGump;Access=Internal;Risk=High;Guards=BoundsGuard;StateGuard</t>
  </si>
  <si>
    <t>RB-03188</t>
  </si>
  <si>
    <t>P10-F03188</t>
  </si>
  <si>
    <t>PBK-1248</t>
  </si>
  <si>
    <t>CurrentFile=Data/Scripts/System/Help/Gumps/SpeechLogGump.cs; Line=117; SourceLine=from.SendGump(new SpeechLogGump(m_Player, m_Log, m_Page - 1));; PathResolution=OriginalPathCurrent; MatchQuality=RuntimeHookMapFileLine; HookKind=Gump; GuardList=BoundsGuard;StateGuard; Access=; Command=; Handler=; DisabledEvidence=False; RuntimeHookMap=HookType=Gump;Marker=SendGump;Access=Internal;Risk=High;Guards=BoundsGuard;StateGuard</t>
  </si>
  <si>
    <t>RB-03189</t>
  </si>
  <si>
    <t>P10-F03189</t>
  </si>
  <si>
    <t>PBK-1249</t>
  </si>
  <si>
    <t>CurrentFile=Data/Scripts/System/Help/Gumps/SpeechLogGump.cs; Line=124; SourceLine=from.SendGump(new SpeechLogGump(m_Player, m_Log, m_Page + 1));; PathResolution=OriginalPathCurrent; MatchQuality=RuntimeHookMapFileLine; HookKind=Gump; GuardList=BoundsGuard;StateGuard; Access=; Command=; Handler=; DisabledEvidence=False; RuntimeHookMap=HookType=Gump;Marker=SendGump;Access=Internal;Risk=High;Guards=BoundsGuard;StateGuard</t>
  </si>
  <si>
    <t>RB-03190</t>
  </si>
  <si>
    <t>P10-F03190</t>
  </si>
  <si>
    <t>PBK-1250</t>
  </si>
  <si>
    <t>CurrentFile=Data/Scripts/System/Misc/Talk.cs; Line=642; SourceLine=mobile.SendGump(new SpeechGump( mobile, "Camping Safely", SpeechFunctions.SpeechText( m_Giver, m_Mobile, "Ranger" ) ));; PathResolution=OriginalPathCurrent; MatchQuality=RuntimeHookMapFileLine; HookKind=Gump; GuardList=BoundsGuard;MapGuard;RangeGuard;StateGuard; Access=; Command=; Handler=; DisabledEvidence=False; RuntimeHookMap=HookType=Gump;Marker=SendGump;Access=Internal;Risk=High;Guards=BoundsGuard;MapGuard;RangeGuard;StateGuard</t>
  </si>
  <si>
    <t>RB-03191</t>
  </si>
  <si>
    <t>P10-F03191</t>
  </si>
  <si>
    <t>PBK-1251</t>
  </si>
  <si>
    <t>CurrentFile=Data/Scripts/System/Regions/PrisonArea.cs; Line=53; SourceLine=m.SendGump(new PrisonGump(m));; PathResolution=OriginalPathCurrent; MatchQuality=RuntimeHookMapFileLine; HookKind=Gump; GuardList=MapGuard;StateGuard; Access=; Command=; Handler=; DisabledEvidence=False; RuntimeHookMap=HookType=Gump;Marker=SendGump;Access=Internal;Risk=High;Guards=MapGuard;StateGuard</t>
  </si>
  <si>
    <t>RB-03192</t>
  </si>
  <si>
    <t>P10-F03192</t>
  </si>
  <si>
    <t>PBK-1252</t>
  </si>
  <si>
    <t>CurrentFile=Data/Scripts/System/Regions/StartRegion.cs; Line=80; SourceLine=m.SendGump(new WelcomeGump(m));; PathResolution=OriginalPathCurrent; MatchQuality=RuntimeHookMapFileLine; HookKind=Gump; GuardList=MapGuard;StateGuard; Access=; Command=; Handler=; DisabledEvidence=False; RuntimeHookMap=HookType=Gump;Marker=SendGump;Access=Internal;Risk=High;Guards=MapGuard;StateGuard</t>
  </si>
  <si>
    <t>RB-03193</t>
  </si>
  <si>
    <t>P10-F03193</t>
  </si>
  <si>
    <t>PBK-1253</t>
  </si>
  <si>
    <t>CurrentFile=Data/Scripts/System/Regions/StartRegion.cs; Line=82; SourceLine=m.SendGump(new MonsterGump(m));; PathResolution=OriginalPathCurrent; MatchQuality=RuntimeHookMapFileLine; HookKind=Gump; GuardList=MapGuard;StateGuard; Access=; Command=; Handler=; DisabledEvidence=False; RuntimeHookMap=HookType=Gump;Marker=SendGump;Access=Internal;Risk=High;Guards=MapGuard;StateGuard</t>
  </si>
  <si>
    <t>RB-03194</t>
  </si>
  <si>
    <t>P10-F03194</t>
  </si>
  <si>
    <t>PBK-1254</t>
  </si>
  <si>
    <t>CurrentFile=Data/Scripts/System/Regions/StartRegion.cs; Line=94; SourceLine=m.SendGump(new Joeku.MOTD.MOTD_Gump(m, false, 0, 0));; PathResolution=OriginalPathCurrent; MatchQuality=RuntimeHookMapFileLine; HookKind=Gump; GuardList=MapGuard;StateGuard; Access=; Command=; Handler=; DisabledEvidence=False; RuntimeHookMap=HookType=Gump;Marker=SendGump;Access=Internal;Risk=High;Guards=MapGuard;StateGuard</t>
  </si>
  <si>
    <t>RB-03196</t>
  </si>
  <si>
    <t>P10-F03196</t>
  </si>
  <si>
    <t>PBK-1256</t>
  </si>
  <si>
    <t>CurrentFile=Data/Scripts/System/Skills/Weapon Abilities/Gumps/SpecialAttackGump.cs; Line=642; SourceLine=sender.Mobile.SendGump(;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</si>
  <si>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RB-03197</t>
  </si>
  <si>
    <t>P10-F03197</t>
  </si>
  <si>
    <t>PBK-1257</t>
  </si>
  <si>
    <t>CurrentFile=Data/Scripts/System/Skills/Weapon Abilities/Gumps/SpecialAttackGump.cs; Line=674; SourceLine=sender.Mobile.SendGump(;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</si>
  <si>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RB-03198</t>
  </si>
  <si>
    <t>P10-F03198</t>
  </si>
  <si>
    <t>PBK-1258</t>
  </si>
  <si>
    <t>CurrentFile=Data/Scripts/System/Skills/Weapon Abilities/Gumps/SpecialAttackGump.cs; Line=706; SourceLine=sender.Mobile.SendGump(;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</si>
  <si>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RB-03199</t>
  </si>
  <si>
    <t>P10-F03199</t>
  </si>
  <si>
    <t>PBK-1259</t>
  </si>
  <si>
    <t>CurrentFile=Data/Scripts/System/Skills/Weapon Abilities/Gumps/SpecialAttackGump.cs; Line=738; SourceLine=sender.Mobile.SendGump(;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</si>
  <si>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RB-03200</t>
  </si>
  <si>
    <t>P10-F03200</t>
  </si>
  <si>
    <t>PBK-1260</t>
  </si>
  <si>
    <t>CurrentFile=Data/Scripts/System/Skills/Weapon Abilities/Gumps/SpecialAttackGump.cs; Line=770; SourceLine=sender.Mobile.SendGump(; PathResolution=OriginalPathCurrent; MatchQuality=RuntimeHookMapFileLine; HookKind=Gump; GuardList=AccessGuard;BoundsGuard;StateGuard; Access=; Command=; Handler=; DisabledEvidence=False; RuntimeHookMap=HookType=Gump;Marker=SendGump;Access=Internal;Risk=High;Guards=AccessGuard;BoundsGuard;StateGuard</t>
  </si>
  <si>
    <t>RB-03201</t>
  </si>
  <si>
    <t>P10-F03201</t>
  </si>
  <si>
    <t>Data/Scripts/Trades/Apiculture/BeeHiveAddon.cs</t>
  </si>
  <si>
    <t>PBK-1261</t>
  </si>
  <si>
    <t>CurrentFile=Data/Scripts/Trades/Apiculture/BeeHiveAddon.cs; Line=855; SourceLine=from.SendGump(new apiBeeHiveMainGump(from, m_Hive));; PathResolution=OriginalPathCurrent; MatchQuality=RuntimeHookMapFileLine; HookKind=Gump; GuardList=MapGuard;NullGuard;PacketReadGuard;RangeGuard;StateGuard; Access=; Command=; Handler=; DisabledEvidence=False; RuntimeHookMap=HookType=Gump;Marker=SendGump;Access=Internal;Risk=High;Guards=MapGuard;NullGuard;PacketReadGuard;RangeGuard;StateGuard</t>
  </si>
  <si>
    <t>HistoricalFile=Data/Scripts/Trades/Apiculture/BeeHiveAddon.cs; Risk=Runtime; POST-BATCH-K is audit/runtime-surface triage only. No command names, gump button IDs, PlayerMobile fields, region policy, XML/config, save layout, or gameplay behavior changed.</t>
  </si>
  <si>
    <t>RB-03202</t>
  </si>
  <si>
    <t>P10-F03202</t>
  </si>
  <si>
    <t>PBK-1262</t>
  </si>
  <si>
    <t>CurrentFile=Data/Scripts/Trades/Apiculture/Items/SmallWaxPot.cs; Line=112; SourceLine=from.SendGump(new apiBeeHiveSmallPotGump(from, this));;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</si>
  <si>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RB-03203</t>
  </si>
  <si>
    <t>P10-F03203</t>
  </si>
  <si>
    <t>PBK-1263</t>
  </si>
  <si>
    <t>CurrentFile=Data/Scripts/Trades/Apiculture/Items/SmallWaxPot.cs; Line=159; SourceLine=from.SendGump(new apiBeeHiveSmallPotGump(from, this)); //resend the gump;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</si>
  <si>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RB-03204</t>
  </si>
  <si>
    <t>P10-F03204</t>
  </si>
  <si>
    <t>PBK-1264</t>
  </si>
  <si>
    <t>CurrentFile=Data/Scripts/Trades/Apiculture/Items/SmallWaxPot.cs; Line=309;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</si>
  <si>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RB-03205</t>
  </si>
  <si>
    <t>P10-F03205</t>
  </si>
  <si>
    <t>PBK-1265</t>
  </si>
  <si>
    <t>CurrentFile=Data/Scripts/Trades/Apiculture/Items/SmallWaxPot.cs; Line=310; SourceLine=from.SendGump(new apiBeeHiveHelpGump(from, 1));;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</si>
  <si>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RB-03206</t>
  </si>
  <si>
    <t>P10-F03206</t>
  </si>
  <si>
    <t>PBK-1266</t>
  </si>
  <si>
    <t>CurrentFile=Data/Scripts/Trades/Apiculture/Items/SmallWaxPot.cs; Line=315;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</si>
  <si>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RB-03207</t>
  </si>
  <si>
    <t>P10-F03207</t>
  </si>
  <si>
    <t>PBK-1267</t>
  </si>
  <si>
    <t>CurrentFile=Data/Scripts/Trades/Apiculture/Items/SmallWaxPot.cs; Line=351;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</si>
  <si>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RB-03208</t>
  </si>
  <si>
    <t>P10-F03208</t>
  </si>
  <si>
    <t>PBK-1268</t>
  </si>
  <si>
    <t>CurrentFile=Data/Scripts/Trades/Apiculture/Items/SmallWaxPot.cs; Line=376;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</si>
  <si>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RB-03209</t>
  </si>
  <si>
    <t>P10-F03209</t>
  </si>
  <si>
    <t>PBK-1269</t>
  </si>
  <si>
    <t>CurrentFile=Data/Scripts/Trades/Apiculture/Items/SmallWaxPot.cs; Line=385;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</si>
  <si>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RB-03210</t>
  </si>
  <si>
    <t>P10-F03210</t>
  </si>
  <si>
    <t>PBK-1270</t>
  </si>
  <si>
    <t>CurrentFile=Data/Scripts/Trades/Apiculture/Items/SmallWaxPot.cs; Line=407;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</si>
  <si>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RB-03211</t>
  </si>
  <si>
    <t>P10-F03211</t>
  </si>
  <si>
    <t>PBK-1271</t>
  </si>
  <si>
    <t>CurrentFile=Data/Scripts/Trades/Apiculture/Items/SmallWaxPot.cs; Line=419;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</si>
  <si>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RB-03212</t>
  </si>
  <si>
    <t>P10-F03212</t>
  </si>
  <si>
    <t>PBK-1272</t>
  </si>
  <si>
    <t>CurrentFile=Data/Scripts/Trades/Apiculture/Items/SmallWaxPot.cs; Line=431;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</si>
  <si>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RB-03213</t>
  </si>
  <si>
    <t>P10-F03213</t>
  </si>
  <si>
    <t>PBK-1273</t>
  </si>
  <si>
    <t>CurrentFile=Data/Scripts/Trades/Apiculture/Items/SmallWaxPot.cs; Line=443; SourceLine=from.SendGump(new apiBeeHiveSmallPotGump(from, m_pot));; PathResolution=OriginalPathCurrent; MatchQuality=RuntimeHookMapFileLine; HookKind=Gump; GuardList=AccessGuard;BoundsGuard;DeletedGuard;PacketReadGuard;RangeGuard;StateGuard; Access=; Command=; Handler=; DisabledEvidence=False; RuntimeHookMap=HookType=Gump;Marker=SendGump;Access=Internal;Risk=High;Guards=AccessGuard;BoundsGuard;DeletedGuard;PacketReadGuard;RangeGuard;StateGuard</t>
  </si>
  <si>
    <t>RB-03222</t>
  </si>
  <si>
    <t>P10-F03222</t>
  </si>
  <si>
    <t>Data/Scripts/Trades/Gardening/PlantPourTarget.cs</t>
  </si>
  <si>
    <t>PBK-1274</t>
  </si>
  <si>
    <t>CurrentFile=Data/Scripts/Trades/Gardening/PlantPourTarget.cs; Line=34; SourceLine=from.SendGump(new MainPlantGump(m_Plant));; PathResolution=OriginalPathCurrent; MatchQuality=RuntimeHookMapFileLine; HookKind=Gump; GuardList=DeletedGuard;RangeGuard;StateGuard; Access=; Command=; Handler=; DisabledEvidence=False; RuntimeHookMap=HookType=Gump;Marker=SendGump;Access=Internal;Risk=High;Guards=DeletedGuard;RangeGuard;StateGuard</t>
  </si>
  <si>
    <t>HistoricalFile=Data/Scripts/Trades/Gardening/PlantPourTarget.cs; Risk=Runtime; POST-BATCH-K is audit/runtime-surface triage only. No command names, gump button IDs, PlayerMobile fields, region policy, XML/config, save layout, or gameplay behavior changed.</t>
  </si>
  <si>
    <t>RB-03223</t>
  </si>
  <si>
    <t>P10-F03223</t>
  </si>
  <si>
    <t>Data/Scripts/Trades/Gardening/PollinateTarget.cs</t>
  </si>
  <si>
    <t>PBK-1275</t>
  </si>
  <si>
    <t>CurrentFile=Data/Scripts/Trades/Gardening/PollinateTarget.cs; Line=109; SourceLine=from.SendGump(new ReproductionGump(m_Plant));; PathResolution=OriginalPathCurrent; MatchQuality=RuntimeHookMapFileLine; HookKind=Gump; GuardList=DeletedGuard;NullGuard;RangeGuard;StateGuard; Access=; Command=; Handler=; DisabledEvidence=False; RuntimeHookMap=HookType=Gump;Marker=SendGump;Access=Internal;Risk=High;Guards=DeletedGuard;NullGuard;RangeGuard;StateGuard</t>
  </si>
  <si>
    <t>HistoricalFile=Data/Scripts/Trades/Gardening/PollinateTarget.cs; Risk=Runtime; POST-BATCH-K is audit/runtime-surface triage only. No command names, gump button IDs, PlayerMobile fields, region policy, XML/config, save layout, or gameplay behavior changed.</t>
  </si>
  <si>
    <t>RB-03224</t>
  </si>
  <si>
    <t>P10-F03224</t>
  </si>
  <si>
    <t>PBK-1276</t>
  </si>
  <si>
    <t>CurrentFile=Data/Scripts/Trades/Gardening/Gumps/EmptyTheBowlGump.cs; Line=82; SourceLine=from.SendGump(new MainPlantGump(m_Plant));;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</si>
  <si>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RB-03225</t>
  </si>
  <si>
    <t>P10-F03225</t>
  </si>
  <si>
    <t>PBK-1277</t>
  </si>
  <si>
    <t>CurrentFile=Data/Scripts/Trades/Gardening/Gumps/EmptyTheBowlGump.cs; Line=90; SourceLine=from.SendGump(new EmptyTheBowlGump(m_Plant));;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</si>
  <si>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RB-03226</t>
  </si>
  <si>
    <t>P10-F03226</t>
  </si>
  <si>
    <t>PBK-1278</t>
  </si>
  <si>
    <t>CurrentFile=Data/Scripts/Trades/Gardening/Gumps/EmptyTheBowlGump.cs; Line=103; SourceLine=from.SendGump(new MainPlantGump(m_Plant));;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</si>
  <si>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RB-03227</t>
  </si>
  <si>
    <t>P10-F03227</t>
  </si>
  <si>
    <t>PBK-1279</t>
  </si>
  <si>
    <t>CurrentFile=Data/Scripts/Trades/Gardening/Gumps/EmptyTheBowlGump.cs; Line=121; SourceLine=from.SendGump(new MainPlantGump(m_Plant));;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</si>
  <si>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RB-03228</t>
  </si>
  <si>
    <t>P10-F03228</t>
  </si>
  <si>
    <t>PBK-1280</t>
  </si>
  <si>
    <t>CurrentFile=Data/Scripts/Trades/Gardening/Gumps/SetToDecorativeGump.cs; Line=64; SourceLine=from.SendGump(new ReproductionGump(m_Plant));;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</si>
  <si>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RB-03229</t>
  </si>
  <si>
    <t>P10-F03229</t>
  </si>
  <si>
    <t>PBK-1281</t>
  </si>
  <si>
    <t>CurrentFile=Data/Scripts/Trades/Gardening/Gumps/SetToDecorativeGump.cs; Line=72; SourceLine=from.SendGump(new SetToDecorativeGump(m_Plant));; PathResolution=OriginalPathCurrent; MatchQuality=RuntimeHookMapFileLine; HookKind=Gump; GuardList=BoundsGuard;DeletedGuard;RangeGuard;StateGuard; Access=; Command=; Handler=; DisabledEvidence=False; RuntimeHookMap=HookType=Gump;Marker=SendGump;Access=Internal;Risk=High;Guards=BoundsGuard;DeletedGuard;RangeGuard;StateGuard</t>
  </si>
  <si>
    <t>RB-03230</t>
  </si>
  <si>
    <t>P10-F03230</t>
  </si>
  <si>
    <t>PBK-1282</t>
  </si>
  <si>
    <t>CurrentFile=Data/Scripts/Trades/Guild/GuildCarpentry.cs; Line=110; SourceLine={; PathResolution=OriginalPathCurrent; MatchQuality=CurrentSourceLine; HookKind=Gump; GuardList=BoundsGuard;MapGuard;PacketReadGuard;RangeGuard;StateGuard; Access=; Command=; Handler=; DisabledEvidence=False</t>
  </si>
  <si>
    <t>HistoricalFile=Data/Scripts/Trades/Guild/GuildCarpentry.cs; Risk=Runtime; POST-BATCH-K is audit/runtime-surface triage only. No command names, gump button IDs, PlayerMobile fields, region policy, XML/config, save layout, or gameplay behavior changed.</t>
  </si>
  <si>
    <t>RB-03231</t>
  </si>
  <si>
    <t>P10-F03231</t>
  </si>
  <si>
    <t>PBK-1283</t>
  </si>
  <si>
    <t>CurrentFile=Data/Scripts/Trades/Guild/GuildFletching.cs; Line=110; SourceLine={; PathResolution=OriginalPathCurrent; MatchQuality=CurrentSourceLine; HookKind=Gump; GuardList=BoundsGuard;MapGuard;PacketReadGuard;RangeGuard;StateGuard; Access=; Command=; Handler=; DisabledEvidence=False</t>
  </si>
  <si>
    <t>HistoricalFile=Data/Scripts/Trades/Guild/GuildFletching.cs; Risk=Runtime; POST-BATCH-K is audit/runtime-surface triage only. No command names, gump button IDs, PlayerMobile fields, region policy, XML/config, save layout, or gameplay behavior changed.</t>
  </si>
  <si>
    <t>RB-03232</t>
  </si>
  <si>
    <t>P10-F03232</t>
  </si>
  <si>
    <t>PBK-1284</t>
  </si>
  <si>
    <t>CurrentFile=Data/Scripts/Trades/Guild/GuildHammer.cs; Line=109; SourceLine={; PathResolution=OriginalPathCurrent; MatchQuality=CurrentSourceLine; HookKind=Gump; GuardList=BoundsGuard;MapGuard;PacketReadGuard;RangeGuard;StateGuard; Access=; Command=; Handler=; DisabledEvidence=False</t>
  </si>
  <si>
    <t>HistoricalFile=Data/Scripts/Trades/Guild/GuildHammer.cs; Risk=Runtime; POST-BATCH-K is audit/runtime-surface triage only. No command names, gump button IDs, PlayerMobile fields, region policy, XML/config, save layout, or gameplay behavior changed.</t>
  </si>
  <si>
    <t>RB-03233</t>
  </si>
  <si>
    <t>P10-F03233</t>
  </si>
  <si>
    <t>PBK-1285</t>
  </si>
  <si>
    <t>CurrentFile=Data/Scripts/Trades/Guild/GuildSewing.cs; Line=114; SourceLine={; PathResolution=OriginalPathCurrent; MatchQuality=CurrentSourceLine; HookKind=Gump; GuardList=BoundsGuard;MapGuard;PacketReadGuard;RangeGuard;StateGuard; Access=; Command=; Handler=; DisabledEvidence=False</t>
  </si>
  <si>
    <t>HistoricalFile=Data/Scripts/Trades/Guild/GuildSewing.cs; Risk=Runtime; POST-BATCH-K is audit/runtime-surface triage only. No command names, gump button IDs, PlayerMobile fields, region policy, XML/config, save layout, or gameplay behavior changed.</t>
  </si>
  <si>
    <t>RB-03234</t>
  </si>
  <si>
    <t>P10-F03234</t>
  </si>
  <si>
    <t>PBK-1286</t>
  </si>
  <si>
    <t>CurrentFile=Data/Scripts/Trades/Guild/GuildTinkering.cs; Line=110; SourceLine={; PathResolution=OriginalPathCurrent; MatchQuality=CurrentSourceLine; HookKind=Gump; GuardList=BoundsGuard;MapGuard;PacketReadGuard;RangeGuard;StateGuard; Access=; Command=; Handler=; DisabledEvidence=False</t>
  </si>
  <si>
    <t>HistoricalFile=Data/Scripts/Trades/Guild/GuildTinkering.cs; Risk=Runtime; POST-BATCH-K is audit/runtime-surface triage only. No command names, gump button IDs, PlayerMobile fields, region policy, XML/config, save layout, or gameplay behavior changed.</t>
  </si>
  <si>
    <t>RB-03256</t>
  </si>
  <si>
    <t>P10-F03256</t>
  </si>
  <si>
    <t>PBK-1287</t>
  </si>
  <si>
    <t>HistoricalFile=Data/Scripts/Custom/Government System/Gumps/ResourceBoxGump.cs; Risk=Runtime;Player;Staff; POST-BATCH-K is audit/runtime-surface triage only. No command names, gump button IDs, PlayerMobile fields, region policy, XML/config, save layout, or gameplay behavior changed.</t>
  </si>
  <si>
    <t>RB-03257</t>
  </si>
  <si>
    <t>P10-F03257</t>
  </si>
  <si>
    <t>PBK-1288</t>
  </si>
  <si>
    <t>RB-03258</t>
  </si>
  <si>
    <t>P10-F03258</t>
  </si>
  <si>
    <t>POST-BATCH-O</t>
  </si>
  <si>
    <t>PBO-0001</t>
  </si>
  <si>
    <t>Added response-time guards for null packet state, null/deleted responders, stale stored state, deleted targets, malformed text/index input, or equivalent callback hazards as applicable to this file.</t>
  </si>
  <si>
    <t>docs/codebase-audit/outputs/post-batch-o-gump-guard-source-review.csv</t>
  </si>
  <si>
    <t>POST-BATCH-N lane=POST-BATCH-N-GUMP-GUARD-SOURCE-BATCH; FileProofStatus=CurrentPathConfirmed; CurrentFile=Data/Scripts/Custom/Government System/Prompts/CitizenTitleChangePrompt.cs; Line=29;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</si>
  <si>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Pending POST-BATCH-O commit</t>
  </si>
  <si>
    <t>2026-06-14T14:37:02.3704329-05:00</t>
  </si>
  <si>
    <t>PreviousPostAuditBatch=POST-BATCH-K; PreviousReviewRowId=PBK-1289; POST-BATCH-O ReviewRowId=PBO-0001; Public APIs, namespaces, serialized layout, file location, command names, and button IDs were preserved.</t>
  </si>
  <si>
    <t>RB-03259</t>
  </si>
  <si>
    <t>P10-F03259</t>
  </si>
  <si>
    <t>PBK-1290</t>
  </si>
  <si>
    <t>HistoricalFile=Data/Scripts/Custom/Government System/Prompts/CityCorpseFeePrompt.cs; Risk=Runtime;Player;Staff; POST-BATCH-K is audit/runtime-surface triage only. No command names, gump button IDs, PlayerMobile fields, region policy, XML/config, save layout, or gameplay behavior changed.</t>
  </si>
  <si>
    <t>RB-03260</t>
  </si>
  <si>
    <t>P10-F03260</t>
  </si>
  <si>
    <t>PBK-1291</t>
  </si>
  <si>
    <t>HistoricalFile=Data/Scripts/Custom/Government System/Prompts/CityResFeePrompt.cs; Risk=Runtime;Player;Staff; POST-BATCH-K is audit/runtime-surface triage only. No command names, gump button IDs, PlayerMobile fields, region policy, XML/config, save layout, or gameplay behavior changed.</t>
  </si>
  <si>
    <t>RB-03261</t>
  </si>
  <si>
    <t>P10-F03261</t>
  </si>
  <si>
    <t>PBK-1292</t>
  </si>
  <si>
    <t>HistoricalFile=Data/Scripts/Custom/Government System/Prompts/CityTaxesIncomePrompt.cs; Risk=Runtime;Player;Staff; POST-BATCH-K is audit/runtime-surface triage only. No command names, gump button IDs, PlayerMobile fields, region policy, XML/config, save layout, or gameplay behavior changed.</t>
  </si>
  <si>
    <t>RB-03262</t>
  </si>
  <si>
    <t>P10-F03262</t>
  </si>
  <si>
    <t>PBK-1293</t>
  </si>
  <si>
    <t>HistoricalFile=Data/Scripts/Custom/Government System/Prompts/CityTaxesPropertyPrompt.cs; Risk=Runtime;Player;Staff; POST-BATCH-K is audit/runtime-surface triage only. No command names, gump button IDs, PlayerMobile fields, region policy, XML/config, save layout, or gameplay behavior changed.</t>
  </si>
  <si>
    <t>RB-03263</t>
  </si>
  <si>
    <t>P10-F03263</t>
  </si>
  <si>
    <t>PBK-1294</t>
  </si>
  <si>
    <t>HistoricalFile=Data/Scripts/Custom/Government System/Prompts/CityTaxesTravelPrompt.cs; Risk=Runtime;Player;Staff; POST-BATCH-K is audit/runtime-surface triage only. No command names, gump button IDs, PlayerMobile fields, region policy, XML/config, save layout, or gameplay behavior changed.</t>
  </si>
  <si>
    <t>RB-03264</t>
  </si>
  <si>
    <t>P10-F03264</t>
  </si>
  <si>
    <t>PBO-0002</t>
  </si>
  <si>
    <t>POST-BATCH-N lane=POST-BATCH-N-GUMP-GUARD-SOURCE-BATCH; FileProofStatus=CurrentPathConfirmed; CurrentFile=Data/Scripts/Custom/Government System/Prompts/CityTreasuryDepoistPrompt.cs; Line=35;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</si>
  <si>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PreviousReviewRowId=PBK-1295; POST-BATCH-O ReviewRowId=PBO-0002; Public APIs, namespaces, serialized layout, file location, command names, and button IDs were preserved.</t>
  </si>
  <si>
    <t>RB-03265</t>
  </si>
  <si>
    <t>P10-F03265</t>
  </si>
  <si>
    <t>PBO-0003</t>
  </si>
  <si>
    <t>POST-BATCH-N lane=POST-BATCH-N-GUMP-GUARD-SOURCE-BATCH; FileProofStatus=CurrentPathConfirmed; CurrentFile=Data/Scripts/Custom/Government System/Prompts/CityURLPrompt.cs; Line=26;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</si>
  <si>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PreviousReviewRowId=PBK-1296; POST-BATCH-O ReviewRowId=PBO-0003; Public APIs, namespaces, serialized layout, file location, command names, and button IDs were preserved.</t>
  </si>
  <si>
    <t>RB-03266</t>
  </si>
  <si>
    <t>P10-F03266</t>
  </si>
  <si>
    <t>PBK-1297</t>
  </si>
  <si>
    <t>HistoricalFile=Data/Scripts/Custom/Invasion System/Gump/InvasionGump.cs; Risk=Runtime;Player;Staff; POST-BATCH-K is audit/runtime-surface triage only. No command names, gump button IDs, PlayerMobile fields, region policy, XML/config, save layout, or gameplay behavior changed.</t>
  </si>
  <si>
    <t>RB-03267</t>
  </si>
  <si>
    <t>P10-F03267</t>
  </si>
  <si>
    <t>PBK-1298</t>
  </si>
  <si>
    <t>HistoricalFile=Data/Scripts/Custom/Invasion System/Lodor/StartStopBritFelucca.cs; Risk=Runtime;Player;Staff; POST-BATCH-K is audit/runtime-surface triage only. No command names, gump button IDs, PlayerMobile fields, region policy, XML/config, save layout, or gameplay behavior changed.</t>
  </si>
  <si>
    <t>RB-03268</t>
  </si>
  <si>
    <t>P10-F03268</t>
  </si>
  <si>
    <t>PBK-1299</t>
  </si>
  <si>
    <t>HistoricalFile=Data/Scripts/Custom/Invasion System/Lodor/StartstopBuccaneersDenFelucca.cs; Risk=Runtime;Player;Staff; POST-BATCH-K is audit/runtime-surface triage only. No command names, gump button IDs, PlayerMobile fields, region policy, XML/config, save layout, or gameplay behavior changed.</t>
  </si>
  <si>
    <t>RB-03269</t>
  </si>
  <si>
    <t>P10-F03269</t>
  </si>
  <si>
    <t>PBK-1300</t>
  </si>
  <si>
    <t>HistoricalFile=Data/Scripts/Custom/Invasion System/Lodor/StartstopCoveFelucca.cs; Risk=Runtime;Player;Staff; POST-BATCH-K is audit/runtime-surface triage only. No command names, gump button IDs, PlayerMobile fields, region policy, XML/config, save layout, or gameplay behavior changed.</t>
  </si>
  <si>
    <t>RB-03270</t>
  </si>
  <si>
    <t>P10-F03270</t>
  </si>
  <si>
    <t>PBK-1301</t>
  </si>
  <si>
    <t>HistoricalFile=Data/Scripts/Custom/Invasion System/Lodor/StartstopNujelmFelucca.cs; Risk=Runtime;Player;Staff; POST-BATCH-K is audit/runtime-surface triage only. No command names, gump button IDs, PlayerMobile fields, region policy, XML/config, save layout, or gameplay behavior changed.</t>
  </si>
  <si>
    <t>RB-03271</t>
  </si>
  <si>
    <t>P10-F03271</t>
  </si>
  <si>
    <t>PBK-1302</t>
  </si>
  <si>
    <t>HistoricalFile=Data/Scripts/Custom/Invasion System/Lodor/StartstopSkaraBraeFelucca.cs; Risk=Runtime;Player;Staff; POST-BATCH-K is audit/runtime-surface triage only. No command names, gump button IDs, PlayerMobile fields, region policy, XML/config, save layout, or gameplay behavior changed.</t>
  </si>
  <si>
    <t>RB-03272</t>
  </si>
  <si>
    <t>P10-F03272</t>
  </si>
  <si>
    <t>PBK-1303</t>
  </si>
  <si>
    <t>HistoricalFile=Data/Scripts/Custom/Invasion System/Lodor/StartstopTrinsicFelucca.cs; Risk=Runtime;Player;Staff; POST-BATCH-K is audit/runtime-surface triage only. No command names, gump button IDs, PlayerMobile fields, region policy, XML/config, save layout, or gameplay behavior changed.</t>
  </si>
  <si>
    <t>RB-03273</t>
  </si>
  <si>
    <t>P10-F03273</t>
  </si>
  <si>
    <t>PBK-1304</t>
  </si>
  <si>
    <t>HistoricalFile=Data/Scripts/Custom/Invasion System/Lodor/StartstopVesperFelucca.cs; Risk=Runtime;Player;Staff; POST-BATCH-K is audit/runtime-surface triage only. No command names, gump button IDs, PlayerMobile fields, region policy, XML/config, save layout, or gameplay behavior changed.</t>
  </si>
  <si>
    <t>RB-03274</t>
  </si>
  <si>
    <t>P10-F03274</t>
  </si>
  <si>
    <t>PBK-1305</t>
  </si>
  <si>
    <t>HistoricalFile=Data/Scripts/Custom/Invasion System/Lodor/StartstopYewFelucca.cs; Risk=Runtime;Player;Staff; POST-BATCH-K is audit/runtime-surface triage only. No command names, gump button IDs, PlayerMobile fields, region policy, XML/config, save layout, or gameplay behavior changed.</t>
  </si>
  <si>
    <t>RB-03275</t>
  </si>
  <si>
    <t>P10-F03275</t>
  </si>
  <si>
    <t>PBK-1306</t>
  </si>
  <si>
    <t>HistoricalFile=Data/Scripts/Custom/Invasion System/SerpentIsland/StartstopLunaMalas.cs; Risk=Runtime;Player;Staff; POST-BATCH-K is audit/runtime-surface triage only. No command names, gump button IDs, PlayerMobile fields, region policy, XML/config, save layout, or gameplay behavior changed.</t>
  </si>
  <si>
    <t>RB-03276</t>
  </si>
  <si>
    <t>P10-F03276</t>
  </si>
  <si>
    <t>PBK-1307</t>
  </si>
  <si>
    <t>HistoricalFile=Data/Scripts/Custom/Invasion System/SerpentIsland/StartstopUmbraMalas.cs; Risk=Runtime;Player;Staff; POST-BATCH-K is audit/runtime-surface triage only. No command names, gump button IDs, PlayerMobile fields, region policy, XML/config, save layout, or gameplay behavior changed.</t>
  </si>
  <si>
    <t>RB-03277</t>
  </si>
  <si>
    <t>P10-F03277</t>
  </si>
  <si>
    <t>PBK-1308</t>
  </si>
  <si>
    <t>HistoricalFile=Data/Scripts/Custom/Invasion System/Sosaria/StartstopBuccaneersDenTrammel.cs; Risk=Runtime;Player;Staff; POST-BATCH-K is audit/runtime-surface triage only. No command names, gump button IDs, PlayerMobile fields, region policy, XML/config, save layout, or gameplay behavior changed.</t>
  </si>
  <si>
    <t>RB-03278</t>
  </si>
  <si>
    <t>P10-F03278</t>
  </si>
  <si>
    <t>PBK-1309</t>
  </si>
  <si>
    <t>HistoricalFile=Data/Scripts/Custom/Invasion System/Sosaria/StartstopCoveTrammel.cs; Risk=Runtime;Player;Staff; POST-BATCH-K is audit/runtime-surface triage only. No command names, gump button IDs, PlayerMobile fields, region policy, XML/config, save layout, or gameplay behavior changed.</t>
  </si>
  <si>
    <t>RB-03279</t>
  </si>
  <si>
    <t>P10-F03279</t>
  </si>
  <si>
    <t>PBK-1310</t>
  </si>
  <si>
    <t>HistoricalFile=Data/Scripts/Custom/Invasion System/Sosaria/StartstopNujelmTrammel.cs; Risk=Runtime;Player;Staff; POST-BATCH-K is audit/runtime-surface triage only. No command names, gump button IDs, PlayerMobile fields, region policy, XML/config, save layout, or gameplay behavior changed.</t>
  </si>
  <si>
    <t>RB-03280</t>
  </si>
  <si>
    <t>P10-F03280</t>
  </si>
  <si>
    <t>PBK-1311</t>
  </si>
  <si>
    <t>HistoricalFile=Data/Scripts/Custom/Invasion System/Sosaria/StartstopSkaraBraeTrammel.cs; Risk=Runtime;Player;Staff; POST-BATCH-K is audit/runtime-surface triage only. No command names, gump button IDs, PlayerMobile fields, region policy, XML/config, save layout, or gameplay behavior changed.</t>
  </si>
  <si>
    <t>RB-03281</t>
  </si>
  <si>
    <t>P10-F03281</t>
  </si>
  <si>
    <t>PBK-1312</t>
  </si>
  <si>
    <t>HistoricalFile=Data/Scripts/Custom/Invasion System/Sosaria/StartstopTrinsicTrammel.cs; Risk=Runtime;Player;Staff; POST-BATCH-K is audit/runtime-surface triage only. No command names, gump button IDs, PlayerMobile fields, region policy, XML/config, save layout, or gameplay behavior changed.</t>
  </si>
  <si>
    <t>RB-03282</t>
  </si>
  <si>
    <t>P10-F03282</t>
  </si>
  <si>
    <t>PBK-1313</t>
  </si>
  <si>
    <t>HistoricalFile=Data/Scripts/Custom/Invasion System/Sosaria/StartstopVesperTrammel.cs; Risk=Runtime;Player;Staff; POST-BATCH-K is audit/runtime-surface triage only. No command names, gump button IDs, PlayerMobile fields, region policy, XML/config, save layout, or gameplay behavior changed.</t>
  </si>
  <si>
    <t>RB-03283</t>
  </si>
  <si>
    <t>P10-F03283</t>
  </si>
  <si>
    <t>PBK-1314</t>
  </si>
  <si>
    <t>HistoricalFile=Data/Scripts/Custom/Invasion System/Sosaria/StartstopYewTrammel.cs; Risk=Runtime;Player;Staff; POST-BATCH-K is audit/runtime-surface triage only. No command names, gump button IDs, PlayerMobile fields, region policy, XML/config, save layout, or gameplay behavior changed.</t>
  </si>
  <si>
    <t>RB-03284</t>
  </si>
  <si>
    <t>P10-F03284</t>
  </si>
  <si>
    <t>PBK-1315</t>
  </si>
  <si>
    <t>HistoricalFile=Data/Scripts/Custom/Invasion System/Underworld/StartstoGargoyleCityIlshenar.cs; Risk=Runtime;Player;Staff; POST-BATCH-K is audit/runtime-surface triage only. No command names, gump button IDs, PlayerMobile fields, region policy, XML/config, save layout, or gameplay behavior changed.</t>
  </si>
  <si>
    <t>RB-03285</t>
  </si>
  <si>
    <t>P10-F03285</t>
  </si>
  <si>
    <t>PBK-1316</t>
  </si>
  <si>
    <t>HistoricalFile=Data/Scripts/Custom/Invasion System/Underworld/StartstopAncientCitadelIlshenar.cs; Risk=Runtime;Player;Staff; POST-BATCH-K is audit/runtime-surface triage only. No command names, gump button IDs, PlayerMobile fields, region policy, XML/config, save layout, or gameplay behavior changed.</t>
  </si>
  <si>
    <t>RB-03286</t>
  </si>
  <si>
    <t>P10-F03286</t>
  </si>
  <si>
    <t>PBK-1317</t>
  </si>
  <si>
    <t>HistoricalFile=Data/Scripts/Custom/Invasion System/Underworld/StartstopLakeShireMiregIlshenar.cs; Risk=Runtime;Player;Staff; POST-BATCH-K is audit/runtime-surface triage only. No command names, gump button IDs, PlayerMobile fields, region policy, XML/config, save layout, or gameplay behavior changed.</t>
  </si>
  <si>
    <t>RB-03287</t>
  </si>
  <si>
    <t>P10-F03287</t>
  </si>
  <si>
    <t>PBK-1318</t>
  </si>
  <si>
    <t>HistoricalFile=Data/Scripts/Custom/Invasion System/Underworld/StartstopMistasIlshenar.cs; Risk=Runtime;Player;Staff; POST-BATCH-K is audit/runtime-surface triage only. No command names, gump button IDs, PlayerMobile fields, region policy, XML/config, save layout, or gameplay behavior changed.</t>
  </si>
  <si>
    <t>RB-03288</t>
  </si>
  <si>
    <t>P10-F03288</t>
  </si>
  <si>
    <t>PBK-1319</t>
  </si>
  <si>
    <t>HistoricalFile=Data/Scripts/Custom/Invasion System/Underworld/StartstopMontorIlshenar.cs; Risk=Runtime;Player;Staff; POST-BATCH-K is audit/runtime-surface triage only. No command names, gump button IDs, PlayerMobile fields, region policy, XML/config, save layout, or gameplay behavior changed.</t>
  </si>
  <si>
    <t>RB-03289</t>
  </si>
  <si>
    <t>P10-F03289</t>
  </si>
  <si>
    <t>PBK-1320</t>
  </si>
  <si>
    <t>HistoricalFile=Data/Scripts/Custom/Invasion System/Underworld/StartstopRegValomIlshenar.cs; Risk=Runtime;Player;Staff; POST-BATCH-K is audit/runtime-surface triage only. No command names, gump button IDs, PlayerMobile fields, region policy, XML/config, save layout, or gameplay behavior changed.</t>
  </si>
  <si>
    <t>RB-03290</t>
  </si>
  <si>
    <t>P10-F03290</t>
  </si>
  <si>
    <t>PBK-1321</t>
  </si>
  <si>
    <t>HistoricalFile=Data/Scripts/Custom/Invasion System/Underworld/StartstopSavageCampIlshenar.cs; Risk=Runtime;Player;Staff; POST-BATCH-K is audit/runtime-surface triage only. No command names, gump button IDs, PlayerMobile fields, region policy, XML/config, save layout, or gameplay behavior changed.</t>
  </si>
  <si>
    <t>RB-03291</t>
  </si>
  <si>
    <t>P10-F03291</t>
  </si>
  <si>
    <t>PBK-1322</t>
  </si>
  <si>
    <t>HistoricalFile=Data/Scripts/Custom/Invasion System/Underworld/StartstopTerortSkitasIlshenar.cs; Risk=Runtime;Player;Staff; POST-BATCH-K is audit/runtime-surface triage only. No command names, gump button IDs, PlayerMobile fields, region policy, XML/config, save layout, or gameplay behavior changed.</t>
  </si>
  <si>
    <t>RB-03292</t>
  </si>
  <si>
    <t>P10-F03292</t>
  </si>
  <si>
    <t>PBK-1323</t>
  </si>
  <si>
    <t>HistoricalFile=Data/Scripts/Custom/OzThothStaticGump/StaticGump(Alternative).cs; Risk=Runtime;Player;Staff; POST-BATCH-K is audit/runtime-surface triage only. No command names, gump button IDs, PlayerMobile fields, region policy, XML/config, save layout, or gameplay behavior changed.</t>
  </si>
  <si>
    <t>RB-03293</t>
  </si>
  <si>
    <t>P10-F03293</t>
  </si>
  <si>
    <t>PBK-1324</t>
  </si>
  <si>
    <t>RB-03294</t>
  </si>
  <si>
    <t>P10-F03294</t>
  </si>
  <si>
    <t>PBK-1325</t>
  </si>
  <si>
    <t>HistoricalFile=Data/Scripts/Custom/OzThothStaticGump/Side Gumps/AddAnimation.cs; Risk=Runtime;Player;Staff; POST-BATCH-K is audit/runtime-surface triage only. No command names, gump button IDs, PlayerMobile fields, region policy, XML/config, save layout, or gameplay behavior changed.</t>
  </si>
  <si>
    <t>RB-03295</t>
  </si>
  <si>
    <t>P10-F03295</t>
  </si>
  <si>
    <t>PBK-1326</t>
  </si>
  <si>
    <t>HistoricalFile=Data/Scripts/Custom/OzThothStaticGump/Side Gumps/AddArch.cs; Risk=Runtime;Player;Staff; POST-BATCH-K is audit/runtime-surface triage only. No command names, gump button IDs, PlayerMobile fields, region policy, XML/config, save layout, or gameplay behavior changed.</t>
  </si>
  <si>
    <t>RB-03296</t>
  </si>
  <si>
    <t>P10-F03296</t>
  </si>
  <si>
    <t>PBK-1327</t>
  </si>
  <si>
    <t>HistoricalFile=Data/Scripts/Custom/OzThothStaticGump/Side Gumps/AddCooking.cs; Risk=Runtime;Player;Staff; POST-BATCH-K is audit/runtime-surface triage only. No command names, gump button IDs, PlayerMobile fields, region policy, XML/config, save layout, or gameplay behavior changed.</t>
  </si>
  <si>
    <t>RB-03297</t>
  </si>
  <si>
    <t>P10-F03297</t>
  </si>
  <si>
    <t>PBK-1328</t>
  </si>
  <si>
    <t>HistoricalFile=Data/Scripts/Custom/OzThothStaticGump/Side Gumps/AddCustom.cs; Risk=Runtime;Player;Staff; POST-BATCH-K is audit/runtime-surface triage only. No command names, gump button IDs, PlayerMobile fields, region policy, XML/config, save layout, or gameplay behavior changed.</t>
  </si>
  <si>
    <t>RB-03298</t>
  </si>
  <si>
    <t>P10-F03298</t>
  </si>
  <si>
    <t>PBK-1329</t>
  </si>
  <si>
    <t>HistoricalFile=Data/Scripts/Custom/OzThothStaticGump/Side Gumps/AddDeco.cs; Risk=Runtime;Player;Staff; POST-BATCH-K is audit/runtime-surface triage only. No command names, gump button IDs, PlayerMobile fields, region policy, XML/config, save layout, or gameplay behavior changed.</t>
  </si>
  <si>
    <t>RB-03299</t>
  </si>
  <si>
    <t>P10-F03299</t>
  </si>
  <si>
    <t>PBK-1330</t>
  </si>
  <si>
    <t>HistoricalFile=Data/Scripts/Custom/OzThothStaticGump/Side Gumps/AddDungeon.cs; Risk=Runtime;Player;Staff; POST-BATCH-K is audit/runtime-surface triage only. No command names, gump button IDs, PlayerMobile fields, region policy, XML/config, save layout, or gameplay behavior changed.</t>
  </si>
  <si>
    <t>RB-03300</t>
  </si>
  <si>
    <t>P10-F03300</t>
  </si>
  <si>
    <t>PBK-1331</t>
  </si>
  <si>
    <t>HistoricalFile=Data/Scripts/Custom/OzThothStaticGump/Side Gumps/addfence.cs; Risk=Runtime;Player;Staff; POST-BATCH-K is audit/runtime-surface triage only. No command names, gump button IDs, PlayerMobile fields, region policy, XML/config, save layout, or gameplay behavior changed.</t>
  </si>
  <si>
    <t>RB-03301</t>
  </si>
  <si>
    <t>P10-F03301</t>
  </si>
  <si>
    <t>PBK-1332</t>
  </si>
  <si>
    <t>HistoricalFile=Data/Scripts/Custom/OzThothStaticGump/Side Gumps/addfloor.cs; Risk=Runtime;Player;Staff; POST-BATCH-K is audit/runtime-surface triage only. No command names, gump button IDs, PlayerMobile fields, region policy, XML/config, save layout, or gameplay behavior changed.</t>
  </si>
  <si>
    <t>RB-03302</t>
  </si>
  <si>
    <t>P10-F03302</t>
  </si>
  <si>
    <t>PBK-1333</t>
  </si>
  <si>
    <t>HistoricalFile=Data/Scripts/Custom/OzThothStaticGump/Side Gumps/AddFurniture.cs; Risk=Runtime;Player;Staff; POST-BATCH-K is audit/runtime-surface triage only. No command names, gump button IDs, PlayerMobile fields, region policy, XML/config, save layout, or gameplay behavior changed.</t>
  </si>
  <si>
    <t>RB-03303</t>
  </si>
  <si>
    <t>P10-F03303</t>
  </si>
  <si>
    <t>PBK-1334</t>
  </si>
  <si>
    <t>HistoricalFile=Data/Scripts/Custom/OzThothStaticGump/Side Gumps/AddGear.cs; Risk=Runtime;Player;Staff; POST-BATCH-K is audit/runtime-surface triage only. No command names, gump button IDs, PlayerMobile fields, region policy, XML/config, save layout, or gameplay behavior changed.</t>
  </si>
  <si>
    <t>RB-03304</t>
  </si>
  <si>
    <t>P10-F03304</t>
  </si>
  <si>
    <t>PBK-1335</t>
  </si>
  <si>
    <t>HistoricalFile=Data/Scripts/Custom/OzThothStaticGump/Side Gumps/AddGround.cs; Risk=Runtime;Player;Staff; POST-BATCH-K is audit/runtime-surface triage only. No command names, gump button IDs, PlayerMobile fields, region policy, XML/config, save layout, or gameplay behavior changed.</t>
  </si>
  <si>
    <t>RB-03305</t>
  </si>
  <si>
    <t>P10-F03305</t>
  </si>
  <si>
    <t>PBK-1336</t>
  </si>
  <si>
    <t>HistoricalFile=Data/Scripts/Custom/OzThothStaticGump/Side Gumps/AddLight.cs; Risk=Runtime;Player;Staff; POST-BATCH-K is audit/runtime-surface triage only. No command names, gump button IDs, PlayerMobile fields, region policy, XML/config, save layout, or gameplay behavior changed.</t>
  </si>
  <si>
    <t>RB-03306</t>
  </si>
  <si>
    <t>P10-F03306</t>
  </si>
  <si>
    <t>PBK-1337</t>
  </si>
  <si>
    <t>HistoricalFile=Data/Scripts/Custom/OzThothStaticGump/Side Gumps/AddMisc.cs; Risk=Runtime;Player;Staff; POST-BATCH-K is audit/runtime-surface triage only. No command names, gump button IDs, PlayerMobile fields, region policy, XML/config, save layout, or gameplay behavior changed.</t>
  </si>
  <si>
    <t>RB-03307</t>
  </si>
  <si>
    <t>P10-F03307</t>
  </si>
  <si>
    <t>PBK-1338</t>
  </si>
  <si>
    <t>HistoricalFile=Data/Scripts/Custom/OzThothStaticGump/Side Gumps/AddNature.cs; Risk=Runtime;Player;Staff; POST-BATCH-K is audit/runtime-surface triage only. No command names, gump button IDs, PlayerMobile fields, region policy, XML/config, save layout, or gameplay behavior changed.</t>
  </si>
  <si>
    <t>RB-03308</t>
  </si>
  <si>
    <t>P10-F03308</t>
  </si>
  <si>
    <t>PBK-1339</t>
  </si>
  <si>
    <t>HistoricalFile=Data/Scripts/Custom/OzThothStaticGump/Side Gumps/addplants.cs; Risk=Runtime;Player;Staff; POST-BATCH-K is audit/runtime-surface triage only. No command names, gump button IDs, PlayerMobile fields, region policy, XML/config, save layout, or gameplay behavior changed.</t>
  </si>
  <si>
    <t>RB-03309</t>
  </si>
  <si>
    <t>P10-F03309</t>
  </si>
  <si>
    <t>PBK-1340</t>
  </si>
  <si>
    <t>HistoricalFile=Data/Scripts/Custom/OzThothStaticGump/Side Gumps/addrock.cs; Risk=Runtime;Player;Staff; POST-BATCH-K is audit/runtime-surface triage only. No command names, gump button IDs, PlayerMobile fields, region policy, XML/config, save layout, or gameplay behavior changed.</t>
  </si>
  <si>
    <t>RB-03310</t>
  </si>
  <si>
    <t>P10-F03310</t>
  </si>
  <si>
    <t>PBK-1341</t>
  </si>
  <si>
    <t>HistoricalFile=Data/Scripts/Custom/OzThothStaticGump/Side Gumps/addroof.cs; Risk=Runtime;Player;Staff; POST-BATCH-K is audit/runtime-surface triage only. No command names, gump button IDs, PlayerMobile fields, region policy, XML/config, save layout, or gameplay behavior changed.</t>
  </si>
  <si>
    <t>RB-03311</t>
  </si>
  <si>
    <t>P10-F03311</t>
  </si>
  <si>
    <t>PBK-1342</t>
  </si>
  <si>
    <t>HistoricalFile=Data/Scripts/Custom/OzThothStaticGump/Side Gumps/AddSignPost.cs; Risk=Runtime;Player;Staff; POST-BATCH-K is audit/runtime-surface triage only. No command names, gump button IDs, PlayerMobile fields, region policy, XML/config, save layout, or gameplay behavior changed.</t>
  </si>
  <si>
    <t>RB-03312</t>
  </si>
  <si>
    <t>P10-F03312</t>
  </si>
  <si>
    <t>PBK-1343</t>
  </si>
  <si>
    <t>HistoricalFile=Data/Scripts/Custom/OzThothStaticGump/Side Gumps/AddStairGump.cs; Risk=Runtime;Player;Staff; POST-BATCH-K is audit/runtime-surface triage only. No command names, gump button IDs, PlayerMobile fields, region policy, XML/config, save layout, or gameplay behavior changed.</t>
  </si>
  <si>
    <t>RB-03313</t>
  </si>
  <si>
    <t>P10-F03313</t>
  </si>
  <si>
    <t>PBK-1344</t>
  </si>
  <si>
    <t>HistoricalFile=Data/Scripts/Custom/OzThothStaticGump/Side Gumps/AddWallGump.cs; Risk=Runtime;Player;Staff; POST-BATCH-K is audit/runtime-surface triage only. No command names, gump button IDs, PlayerMobile fields, region policy, XML/config, save layout, or gameplay behavior changed.</t>
  </si>
  <si>
    <t>RB-03314</t>
  </si>
  <si>
    <t>P10-F03314</t>
  </si>
  <si>
    <t>PBK-1345</t>
  </si>
  <si>
    <t>HistoricalFile=Data/Scripts/Custom/Vhaerun's CRL Homestead System [2.0]/Dracana's Winecrafting [2.0]/Items/Craft Items/Tools/VinyardLabelMaker.cs; Risk=Runtime;Player;Staff; POST-BATCH-K is audit/runtime-surface triage only. No command names, gump button IDs, PlayerMobile fields, region policy, XML/config, save layout, or gameplay behavior changed.</t>
  </si>
  <si>
    <t>RB-03315</t>
  </si>
  <si>
    <t>P10-F03315</t>
  </si>
  <si>
    <t>PBK-1346</t>
  </si>
  <si>
    <t>RB-03316</t>
  </si>
  <si>
    <t>P10-F03316</t>
  </si>
  <si>
    <t>PBK-1347</t>
  </si>
  <si>
    <t>HistoricalFile=Data/Scripts/Custom/Vhaerun's CRL Homestead System [2.0]/Vhaerun's CRL Brewing/Items/Tools/BreweryLabelMaker.cs; Risk=Runtime;Player;Staff; POST-BATCH-K is audit/runtime-surface triage only. No command names, gump button IDs, PlayerMobile fields, region policy, XML/config, save layout, or gameplay behavior changed.</t>
  </si>
  <si>
    <t>RB-03317</t>
  </si>
  <si>
    <t>P10-F03317</t>
  </si>
  <si>
    <t>PBK-1348</t>
  </si>
  <si>
    <t>RB-03318</t>
  </si>
  <si>
    <t>P10-F03318</t>
  </si>
  <si>
    <t>PBO-0015</t>
  </si>
  <si>
    <t>POST-BATCH-N lane=POST-BATCH-N-GUMP-GUARD-SOURCE-BATCH; FileProofStatus=CurrentPathConfirmed; CurrentFile=Data/Scripts/Custom/Vhaerun's CRL Homestead System [2.0]/Vhaerun's CRL Cooking/Items/FoodDyes.cs; Line=58; SourceLine=public override void OnResponse(int hue);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</si>
  <si>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PreviousReviewRowId=PBK-1349; POST-BATCH-O ReviewRowId=PBO-0015; Public APIs, namespaces, serialized layout, file location, command names, and button IDs were preserved.</t>
  </si>
  <si>
    <t>RB-03319</t>
  </si>
  <si>
    <t>P10-F03319</t>
  </si>
  <si>
    <t>Data/Scripts/Custom/Vhaerun's CRL Homestead System [2.0]/Vhaerun's CRL Cooking/Package Systems/Crystal's Cheese System/MilkBucket_gump.cs</t>
  </si>
  <si>
    <t>PBO-0016</t>
  </si>
  <si>
    <t>Reviewed as interface/base/no-op callback surface; no source defect exists at this row.</t>
  </si>
  <si>
    <t>POST-BATCH-N lane=POST-BATCH-N-GUMP-GUARD-SOURCE-BATCH; FileProofStatus=CurrentPathConfirmed; CurrentFile=Data/Scripts/Custom/Vhaerun's CRL Homestead System [2.0]/Vhaerun's CRL Cooking/Package Systems/Crystal's Cheese System/MilkBucket_gump.cs; Line=34; SourceLine=public override void OnResponse(Server.Network.NetState sender, RelayInfo info) { }; PathResolution=OriginalPathCurrent; MatchQuality=RuntimeHookMapFileLine; HookKind=Gump; GuardList=StateGuard; Access=; Command=; Handler=; DisabledEvidence=False; RuntimeHookMap=HookType=Gump;Marker=OnResponse;Access=Internal;Risk=High;Guards=StateGuard POST-BATCH-O decision=FalsePositive; ReviewClass=BaseOrNoOpCallback; SourceRepair=Reviewed as interface/base/no-op callback surface; no source defect exists at this row.</t>
  </si>
  <si>
    <t>PreviousPostAuditBatch=POST-BATCH-K; PreviousReviewRowId=PBK-1350; POST-BATCH-O ReviewRowId=PBO-0016; No runtime mutation or callback body exists in this row.</t>
  </si>
  <si>
    <t>RB-03320</t>
  </si>
  <si>
    <t>P10-F03320</t>
  </si>
  <si>
    <t>Data/Scripts/Custom/Vhaerun's CRL Homestead System [2.0]/Vhaerun's CRL Cooking/Package Systems/Crystal's Cheese System/Gumps/CheeseForm_gump.cs</t>
  </si>
  <si>
    <t>PBO-0017</t>
  </si>
  <si>
    <t>POST-BATCH-N lane=POST-BATCH-N-GUMP-GUARD-SOURCE-BATCH; FileProofStatus=CurrentPathConfirmed; CurrentFile=Data/Scripts/Custom/Vhaerun's CRL Homestead System [2.0]/Vhaerun's CRL Cooking/Package Systems/Crystal's Cheese System/Gumps/CheeseForm_gump.cs; Line=36; SourceLine=public override void OnResponse(Server.Network.NetState sender, RelayInfo info) { }; PathResolution=OriginalPathCurrent; MatchQuality=RuntimeHookMapFileLine; HookKind=Gump; GuardList=StateGuard; Access=; Command=; Handler=; DisabledEvidence=False; RuntimeHookMap=HookType=Gump;Marker=OnResponse;Access=Internal;Risk=High;Guards=StateGuard POST-BATCH-O decision=FalsePositive; ReviewClass=BaseOrNoOpCallback; SourceRepair=Reviewed as interface/base/no-op callback surface; no source defect exists at this row.</t>
  </si>
  <si>
    <t>PreviousPostAuditBatch=POST-BATCH-K; PreviousReviewRowId=PBK-1351; POST-BATCH-O ReviewRowId=PBO-0017; No runtime mutation or callback body exists in this row.</t>
  </si>
  <si>
    <t>RB-03321</t>
  </si>
  <si>
    <t>P10-F03321</t>
  </si>
  <si>
    <t>PBK-1352</t>
  </si>
  <si>
    <t>HistoricalFile=Data/Scripts/Custom/Vhaerun's CRL Homestead System [2.0]/Vhaerun's CRL Cooking/Package Systems/HungerGump/HungerGump.cs; Risk=Runtime;Player;Staff; POST-BATCH-K is audit/runtime-surface triage only. No command names, gump button IDs, PlayerMobile fields, region policy, XML/config, save layout, or gameplay behavior changed.</t>
  </si>
  <si>
    <t>RB-03322</t>
  </si>
  <si>
    <t>P10-F03322</t>
  </si>
  <si>
    <t>PBK-1353</t>
  </si>
  <si>
    <t>HistoricalFile=Data/Scripts/Custom/Vhaerun's CRL Homestead System [2.0]/Vhaerun's CRL Juicing/Items/Tools/FarmLabelMaker.cs; Risk=Runtime;Player;Staff; POST-BATCH-K is audit/runtime-surface triage only. No command names, gump button IDs, PlayerMobile fields, region policy, XML/config, save layout, or gameplay behavior changed.</t>
  </si>
  <si>
    <t>RB-03323</t>
  </si>
  <si>
    <t>P10-F03323</t>
  </si>
  <si>
    <t>PBK-1354</t>
  </si>
  <si>
    <t>RB-03324</t>
  </si>
  <si>
    <t>P10-F03324</t>
  </si>
  <si>
    <t>PBK-1355</t>
  </si>
  <si>
    <t>HistoricalFile=Data/Scripts/Custom/XMLSpawner/XmlItems/QuestNote.cs; Risk=Runtime;Player;Staff; POST-BATCH-K is audit/runtime-surface triage only. No command names, gump button IDs, PlayerMobile fields, region policy, XML/config, save layout, or gameplay behavior changed.</t>
  </si>
  <si>
    <t>RB-03329</t>
  </si>
  <si>
    <t>P10-F03329</t>
  </si>
  <si>
    <t>PBK-1356</t>
  </si>
  <si>
    <t>HistoricalFile=Data/Scripts/Items/Books/BardsTaleNote.cs; Risk=Runtime;Player;Staff; POST-BATCH-K is audit/runtime-surface triage only. No command names, gump button IDs, PlayerMobile fields, region policy, XML/config, save layout, or gameplay behavior changed.</t>
  </si>
  <si>
    <t>RB-03330</t>
  </si>
  <si>
    <t>P10-F03330</t>
  </si>
  <si>
    <t>PBK-1357</t>
  </si>
  <si>
    <t>HistoricalFile=Data/Scripts/Items/Books/DoomFlayerNote.cs; Risk=Runtime;Player;Staff; POST-BATCH-K is audit/runtime-surface triage only. No command names, gump button IDs, PlayerMobile fields, region policy, XML/config, save layout, or gameplay behavior changed.</t>
  </si>
  <si>
    <t>RB-03331</t>
  </si>
  <si>
    <t>P10-F03331</t>
  </si>
  <si>
    <t>PBO-0047</t>
  </si>
  <si>
    <t>POST-BATCH-N lane=POST-BATCH-N-GUMP-GUARD-SOURCE-BATCH; FileProofStatus=CurrentPathConfirmed; CurrentFile=Data/Scripts/Items/Books/LearnGranite.cs; Line=212;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</si>
  <si>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PreviousReviewRowId=PBK-1358; POST-BATCH-O ReviewRowId=PBO-0047; Public APIs, namespaces, serialized layout, file location, command names, and button IDs were preserved.</t>
  </si>
  <si>
    <t>RB-03332</t>
  </si>
  <si>
    <t>P10-F03332</t>
  </si>
  <si>
    <t>PBO-0048</t>
  </si>
  <si>
    <t>POST-BATCH-N lane=POST-BATCH-N-GUMP-GUARD-SOURCE-BATCH; FileProofStatus=CurrentPathConfirmed; CurrentFile=Data/Scripts/Items/Books/LearnLeather.cs; Line=193;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</si>
  <si>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PreviousReviewRowId=PBK-1359; POST-BATCH-O ReviewRowId=PBO-0048; Public APIs, namespaces, serialized layout, file location, command names, and button IDs were preserved.</t>
  </si>
  <si>
    <t>RB-03333</t>
  </si>
  <si>
    <t>P10-F03333</t>
  </si>
  <si>
    <t>PBO-0049</t>
  </si>
  <si>
    <t>POST-BATCH-N lane=POST-BATCH-N-GUMP-GUARD-SOURCE-BATCH; FileProofStatus=CurrentPathConfirmed; CurrentFile=Data/Scripts/Items/Books/LearnMetal.cs; Line=233;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</si>
  <si>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PreviousReviewRowId=PBK-1360; POST-BATCH-O ReviewRowId=PBO-0049; Public APIs, namespaces, serialized layout, file location, command names, and button IDs were preserved.</t>
  </si>
  <si>
    <t>RB-03334</t>
  </si>
  <si>
    <t>P10-F03334</t>
  </si>
  <si>
    <t>PBO-0050</t>
  </si>
  <si>
    <t>POST-BATCH-N lane=POST-BATCH-N-GUMP-GUARD-SOURCE-BATCH; FileProofStatus=CurrentPathConfirmed; CurrentFile=Data/Scripts/Items/Books/LearnMisc.cs; Line=121;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</si>
  <si>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PreviousReviewRowId=PBK-1361; POST-BATCH-O ReviewRowId=PBO-0050; Public APIs, namespaces, serialized layout, file location, command names, and button IDs were preserved.</t>
  </si>
  <si>
    <t>RB-03335</t>
  </si>
  <si>
    <t>P10-F03335</t>
  </si>
  <si>
    <t>PBO-0051</t>
  </si>
  <si>
    <t>POST-BATCH-N lane=POST-BATCH-N-GUMP-GUARD-SOURCE-BATCH; FileProofStatus=CurrentPathConfirmed; CurrentFile=Data/Scripts/Items/Books/LearnReagents.cs; Line=458;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</si>
  <si>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PreviousReviewRowId=PBK-1362; POST-BATCH-O ReviewRowId=PBO-0051; Public APIs, namespaces, serialized layout, file location, command names, and button IDs were preserved.</t>
  </si>
  <si>
    <t>RB-03336</t>
  </si>
  <si>
    <t>P10-F03336</t>
  </si>
  <si>
    <t>PBO-0052</t>
  </si>
  <si>
    <t>POST-BATCH-N lane=POST-BATCH-N-GUMP-GUARD-SOURCE-BATCH; FileProofStatus=CurrentPathConfirmed; CurrentFile=Data/Scripts/Items/Books/LearnScales.cs; Line=144;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</si>
  <si>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PreviousReviewRowId=PBK-1363; POST-BATCH-O ReviewRowId=PBO-0052; Public APIs, namespaces, serialized layout, file location, command names, and button IDs were preserved.</t>
  </si>
  <si>
    <t>RB-03337</t>
  </si>
  <si>
    <t>P10-F03337</t>
  </si>
  <si>
    <t>PBO-0053</t>
  </si>
  <si>
    <t>POST-BATCH-N lane=POST-BATCH-N-GUMP-GUARD-SOURCE-BATCH; FileProofStatus=CurrentPathConfirmed; CurrentFile=Data/Scripts/Items/Books/LearnStealing.cs; Line=77;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</si>
  <si>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PreviousReviewRowId=PBK-1364; POST-BATCH-O ReviewRowId=PBO-0053; Public APIs, namespaces, serialized layout, file location, command names, and button IDs were preserved.</t>
  </si>
  <si>
    <t>RB-03338</t>
  </si>
  <si>
    <t>P10-F03338</t>
  </si>
  <si>
    <t>PBO-0054</t>
  </si>
  <si>
    <t>POST-BATCH-N lane=POST-BATCH-N-GUMP-GUARD-SOURCE-BATCH; FileProofStatus=CurrentPathConfirmed; CurrentFile=Data/Scripts/Items/Books/LearnTailor.cs; Line=77;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</si>
  <si>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PreviousReviewRowId=PBK-1365; POST-BATCH-O ReviewRowId=PBO-0054; Public APIs, namespaces, serialized layout, file location, command names, and button IDs were preserved.</t>
  </si>
  <si>
    <t>RB-03339</t>
  </si>
  <si>
    <t>P10-F03339</t>
  </si>
  <si>
    <t>PBO-0055</t>
  </si>
  <si>
    <t>POST-BATCH-N lane=POST-BATCH-N-GUMP-GUARD-SOURCE-BATCH; FileProofStatus=CurrentPathConfirmed; CurrentFile=Data/Scripts/Items/Books/LearnWood.cs; Line=222;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</si>
  <si>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PreviousReviewRowId=PBK-1366; POST-BATCH-O ReviewRowId=PBO-0055; Public APIs, namespaces, serialized layout, file location, command names, and button IDs were preserved.</t>
  </si>
  <si>
    <t>RB-03340</t>
  </si>
  <si>
    <t>P10-F03340</t>
  </si>
  <si>
    <t>PBK-1367</t>
  </si>
  <si>
    <t>HistoricalFile=Data/Scripts/Items/Books/MerchantsBook.cs; Risk=Runtime;Player;Staff; POST-BATCH-K is audit/runtime-surface triage only. No command names, gump button IDs, PlayerMobile fields, region policy, XML/config, save layout, or gameplay behavior changed.</t>
  </si>
  <si>
    <t>RB-03341</t>
  </si>
  <si>
    <t>P10-F03341</t>
  </si>
  <si>
    <t>PBK-1368</t>
  </si>
  <si>
    <t>HistoricalFile=Data/Scripts/Items/Books/SwordsAndShackles.cs; Risk=Runtime;Player;Staff; POST-BATCH-K is audit/runtime-surface triage only. No command names, gump button IDs, PlayerMobile fields, region policy, XML/config, save layout, or gameplay behavior changed.</t>
  </si>
  <si>
    <t>RB-03342</t>
  </si>
  <si>
    <t>P10-F03342</t>
  </si>
  <si>
    <t>PBO-0056</t>
  </si>
  <si>
    <t>POST-BATCH-N lane=POST-BATCH-N-GUMP-GUARD-SOURCE-BATCH; FileProofStatus=CurrentPathConfirmed; CurrentFile=Data/Scripts/Items/Books/TitleChangeDeed.cs; Line=62;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</si>
  <si>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PreviousReviewRowId=PBK-1369; POST-BATCH-O ReviewRowId=PBO-0056; Public APIs, namespaces, serialized layout, file location, command names, and button IDs were preserved.</t>
  </si>
  <si>
    <t>RB-03343</t>
  </si>
  <si>
    <t>P10-F03343</t>
  </si>
  <si>
    <t>PBK-1370</t>
  </si>
  <si>
    <t>HistoricalFile=Data/Scripts/Items/Books/BulletinBoards/AssassinNote.cs; Risk=Runtime;Player;Staff; POST-BATCH-K is audit/runtime-surface triage only. No command names, gump button IDs, PlayerMobile fields, region policy, XML/config, save layout, or gameplay behavior changed.</t>
  </si>
  <si>
    <t>RB-03344</t>
  </si>
  <si>
    <t>P10-F03344</t>
  </si>
  <si>
    <t>PBK-1371</t>
  </si>
  <si>
    <t>HistoricalFile=Data/Scripts/Items/Books/BulletinBoards/GuildBoard.cs; Risk=Runtime;Player;Staff; POST-BATCH-K is audit/runtime-surface triage only. No command names, gump button IDs, PlayerMobile fields, region policy, XML/config, save layout, or gameplay behavior changed.</t>
  </si>
  <si>
    <t>RB-03345</t>
  </si>
  <si>
    <t>P10-F03345</t>
  </si>
  <si>
    <t>PBK-1372</t>
  </si>
  <si>
    <t>HistoricalFile=Data/Scripts/Items/Books/BulletinBoards/WantedMangar.cs; Risk=Runtime;Player;Staff; POST-BATCH-K is audit/runtime-surface triage only. No command names, gump button IDs, PlayerMobile fields, region policy, XML/config, save layout, or gameplay behavior changed.</t>
  </si>
  <si>
    <t>RB-03346</t>
  </si>
  <si>
    <t>P10-F03346</t>
  </si>
  <si>
    <t>Data/Scripts/Items/Books/BulletinBoards/Gumps/BoardGump.cs</t>
  </si>
  <si>
    <t>PBO-0057</t>
  </si>
  <si>
    <t>POST-BATCH-N lane=POST-BATCH-N-GUMP-GUARD-SOURCE-BATCH; FileProofStatus=CurrentPathConfirmed; CurrentFile=Data/Scripts/Items/Books/BulletinBoards/Gumps/BoardGump.cs; Line=51;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</si>
  <si>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PreviousReviewRowId=PBK-1373; POST-BATCH-O ReviewRowId=PBO-0057; Public APIs, namespaces, serialized layout, file location, command names, and button IDs were preserved.</t>
  </si>
  <si>
    <t>RB-03347</t>
  </si>
  <si>
    <t>P10-F03347</t>
  </si>
  <si>
    <t>PBK-1374</t>
  </si>
  <si>
    <t>HistoricalFile=Data/Scripts/Items/Containers/SackOfHolding.cs; Risk=Runtime;Player;Staff; POST-BATCH-K is audit/runtime-surface triage only. No command names, gump button IDs, PlayerMobile fields, region policy, XML/config, save layout, or gameplay behavior changed.</t>
  </si>
  <si>
    <t>RB-03348</t>
  </si>
  <si>
    <t>P10-F03348</t>
  </si>
  <si>
    <t>PBO-0020</t>
  </si>
  <si>
    <t>POST-BATCH-N lane=POST-BATCH-N-GUMP-GUARD-SOURCE-BATCH; FileProofStatus=CurrentPathConfirmed; CurrentFile=Data/Scripts/Items/Decorations/HouseSign.cs; Line=96;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</si>
  <si>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PreviousReviewRowId=PBK-1375; POST-BATCH-O ReviewRowId=PBO-0020; Public APIs, namespaces, serialized layout, file location, command names, and button IDs were preserved.</t>
  </si>
  <si>
    <t>RB-03349</t>
  </si>
  <si>
    <t>P10-F03349</t>
  </si>
  <si>
    <t>PBO-0021</t>
  </si>
  <si>
    <t>POST-BATCH-N lane=POST-BATCH-N-GUMP-GUARD-SOURCE-BATCH; FileProofStatus=CurrentPathConfirmed; CurrentFile=Data/Scripts/Items/Decorations/HouseSign.cs; Line=150;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</si>
  <si>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PreviousReviewRowId=PBK-1376; POST-BATCH-O ReviewRowId=PBO-0021; Public APIs, namespaces, serialized layout, file location, command names, and button IDs were preserved.</t>
  </si>
  <si>
    <t>RB-03350</t>
  </si>
  <si>
    <t>P10-F03350</t>
  </si>
  <si>
    <t>PBO-0022</t>
  </si>
  <si>
    <t>POST-BATCH-N lane=POST-BATCH-N-GUMP-GUARD-SOURCE-BATCH; FileProofStatus=CurrentPathConfirmed; CurrentFile=Data/Scripts/Items/Decorations/HouseSign.cs; Line=204;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</si>
  <si>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PreviousReviewRowId=PBK-1377; POST-BATCH-O ReviewRowId=PBO-0022; Public APIs, namespaces, serialized layout, file location, command names, and button IDs were preserved.</t>
  </si>
  <si>
    <t>RB-03351</t>
  </si>
  <si>
    <t>P10-F03351</t>
  </si>
  <si>
    <t>PBO-0023</t>
  </si>
  <si>
    <t>POST-BATCH-N lane=POST-BATCH-N-GUMP-GUARD-SOURCE-BATCH; FileProofStatus=CurrentPathConfirmed; CurrentFile=Data/Scripts/Items/Decorations/HouseSign.cs; Line=258;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</si>
  <si>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PreviousReviewRowId=PBK-1378; POST-BATCH-O ReviewRowId=PBO-0023; Public APIs, namespaces, serialized layout, file location, command names, and button IDs were preserved.</t>
  </si>
  <si>
    <t>RB-03352</t>
  </si>
  <si>
    <t>P10-F03352</t>
  </si>
  <si>
    <t>PBO-0024</t>
  </si>
  <si>
    <t>POST-BATCH-N lane=POST-BATCH-N-GUMP-GUARD-SOURCE-BATCH; FileProofStatus=CurrentPathConfirmed; CurrentFile=Data/Scripts/Items/Decorations/HouseSign.cs; Line=312;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</si>
  <si>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PreviousReviewRowId=PBK-1379; POST-BATCH-O ReviewRowId=PBO-0024; Public APIs, namespaces, serialized layout, file location, command names, and button IDs were preserved.</t>
  </si>
  <si>
    <t>RB-03353</t>
  </si>
  <si>
    <t>P10-F03353</t>
  </si>
  <si>
    <t>PBO-0025</t>
  </si>
  <si>
    <t>POST-BATCH-N lane=POST-BATCH-N-GUMP-GUARD-SOURCE-BATCH; FileProofStatus=CurrentPathConfirmed; CurrentFile=Data/Scripts/Items/Decorations/HouseSign.cs; Line=366;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</si>
  <si>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PreviousReviewRowId=PBK-1380; POST-BATCH-O ReviewRowId=PBO-0025; Public APIs, namespaces, serialized layout, file location, command names, and button IDs were preserved.</t>
  </si>
  <si>
    <t>RB-03354</t>
  </si>
  <si>
    <t>P10-F03354</t>
  </si>
  <si>
    <t>PBO-0026</t>
  </si>
  <si>
    <t>POST-BATCH-N lane=POST-BATCH-N-GUMP-GUARD-SOURCE-BATCH; FileProofStatus=CurrentPathConfirmed; CurrentFile=Data/Scripts/Items/Decorations/HouseSign.cs; Line=420;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</si>
  <si>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PreviousReviewRowId=PBK-1381; POST-BATCH-O ReviewRowId=PBO-0026; Public APIs, namespaces, serialized layout, file location, command names, and button IDs were preserved.</t>
  </si>
  <si>
    <t>RB-03355</t>
  </si>
  <si>
    <t>P10-F03355</t>
  </si>
  <si>
    <t>PBO-0027</t>
  </si>
  <si>
    <t>POST-BATCH-N lane=POST-BATCH-N-GUMP-GUARD-SOURCE-BATCH; FileProofStatus=CurrentPathConfirmed; CurrentFile=Data/Scripts/Items/Decorations/HouseSign.cs; Line=474;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</si>
  <si>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PreviousReviewRowId=PBK-1382; POST-BATCH-O ReviewRowId=PBO-0027; Public APIs, namespaces, serialized layout, file location, command names, and button IDs were preserved.</t>
  </si>
  <si>
    <t>RB-03356</t>
  </si>
  <si>
    <t>P10-F03356</t>
  </si>
  <si>
    <t>PBO-0028</t>
  </si>
  <si>
    <t>POST-BATCH-N lane=POST-BATCH-N-GUMP-GUARD-SOURCE-BATCH; FileProofStatus=CurrentPathConfirmed; CurrentFile=Data/Scripts/Items/Decorations/HouseSign.cs; Line=528;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</si>
  <si>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PreviousReviewRowId=PBK-1383; POST-BATCH-O ReviewRowId=PBO-0028; Public APIs, namespaces, serialized layout, file location, command names, and button IDs were preserved.</t>
  </si>
  <si>
    <t>RB-03357</t>
  </si>
  <si>
    <t>P10-F03357</t>
  </si>
  <si>
    <t>PBO-0029</t>
  </si>
  <si>
    <t>POST-BATCH-N lane=POST-BATCH-N-GUMP-GUARD-SOURCE-BATCH; FileProofStatus=CurrentPathConfirmed; CurrentFile=Data/Scripts/Items/Decorations/HouseSign.cs; Line=582;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</si>
  <si>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PreviousReviewRowId=PBK-1384; POST-BATCH-O ReviewRowId=PBO-0029; Public APIs, namespaces, serialized layout, file location, command names, and button IDs were preserved.</t>
  </si>
  <si>
    <t>RB-03358</t>
  </si>
  <si>
    <t>P10-F03358</t>
  </si>
  <si>
    <t>PBO-0030</t>
  </si>
  <si>
    <t>POST-BATCH-N lane=POST-BATCH-N-GUMP-GUARD-SOURCE-BATCH; FileProofStatus=CurrentPathConfirmed; CurrentFile=Data/Scripts/Items/Decorations/HouseSign.cs; Line=636;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</si>
  <si>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PreviousReviewRowId=PBK-1385; POST-BATCH-O ReviewRowId=PBO-0030; Public APIs, namespaces, serialized layout, file location, command names, and button IDs were preserved.</t>
  </si>
  <si>
    <t>RB-03359</t>
  </si>
  <si>
    <t>P10-F03359</t>
  </si>
  <si>
    <t>PBO-0031</t>
  </si>
  <si>
    <t>POST-BATCH-N lane=POST-BATCH-N-GUMP-GUARD-SOURCE-BATCH; FileProofStatus=CurrentPathConfirmed; CurrentFile=Data/Scripts/Items/Decorations/HouseSign.cs; Line=690;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</si>
  <si>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PreviousReviewRowId=PBK-1386; POST-BATCH-O ReviewRowId=PBO-0031; Public APIs, namespaces, serialized layout, file location, command names, and button IDs were preserved.</t>
  </si>
  <si>
    <t>RB-03360</t>
  </si>
  <si>
    <t>P10-F03360</t>
  </si>
  <si>
    <t>PBO-0032</t>
  </si>
  <si>
    <t>POST-BATCH-N lane=POST-BATCH-N-GUMP-GUARD-SOURCE-BATCH; FileProofStatus=CurrentPathConfirmed; CurrentFile=Data/Scripts/Items/Decorations/HouseSign.cs; Line=744;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</si>
  <si>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PreviousReviewRowId=PBK-1387; POST-BATCH-O ReviewRowId=PBO-0032; Public APIs, namespaces, serialized layout, file location, command names, and button IDs were preserved.</t>
  </si>
  <si>
    <t>RB-03361</t>
  </si>
  <si>
    <t>P10-F03361</t>
  </si>
  <si>
    <t>PBO-0033</t>
  </si>
  <si>
    <t>POST-BATCH-N lane=POST-BATCH-N-GUMP-GUARD-SOURCE-BATCH; FileProofStatus=CurrentPathConfirmed; CurrentFile=Data/Scripts/Items/Decorations/HouseSign.cs; Line=798;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</si>
  <si>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PreviousReviewRowId=PBK-1388; POST-BATCH-O ReviewRowId=PBO-0033; Public APIs, namespaces, serialized layout, file location, command names, and button IDs were preserved.</t>
  </si>
  <si>
    <t>RB-03362</t>
  </si>
  <si>
    <t>P10-F03362</t>
  </si>
  <si>
    <t>PBO-0034</t>
  </si>
  <si>
    <t>POST-BATCH-N lane=POST-BATCH-N-GUMP-GUARD-SOURCE-BATCH; FileProofStatus=CurrentPathConfirmed; CurrentFile=Data/Scripts/Items/Decorations/HouseSign.cs; Line=852;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</si>
  <si>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PreviousReviewRowId=PBK-1389; POST-BATCH-O ReviewRowId=PBO-0034; Public APIs, namespaces, serialized layout, file location, command names, and button IDs were preserved.</t>
  </si>
  <si>
    <t>RB-03363</t>
  </si>
  <si>
    <t>P10-F03363</t>
  </si>
  <si>
    <t>PBO-0035</t>
  </si>
  <si>
    <t>POST-BATCH-N lane=POST-BATCH-N-GUMP-GUARD-SOURCE-BATCH; FileProofStatus=CurrentPathConfirmed; CurrentFile=Data/Scripts/Items/Decorations/HouseSign.cs; Line=906;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</si>
  <si>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PreviousReviewRowId=PBK-1390; POST-BATCH-O ReviewRowId=PBO-0035; Public APIs, namespaces, serialized layout, file location, command names, and button IDs were preserved.</t>
  </si>
  <si>
    <t>RB-03364</t>
  </si>
  <si>
    <t>P10-F03364</t>
  </si>
  <si>
    <t>PBO-0036</t>
  </si>
  <si>
    <t>POST-BATCH-N lane=POST-BATCH-N-GUMP-GUARD-SOURCE-BATCH; FileProofStatus=CurrentPathConfirmed; CurrentFile=Data/Scripts/Items/Decorations/HouseSign.cs; Line=960;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</si>
  <si>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PreviousReviewRowId=PBK-1391; POST-BATCH-O ReviewRowId=PBO-0036; Public APIs, namespaces, serialized layout, file location, command names, and button IDs were preserved.</t>
  </si>
  <si>
    <t>RB-03365</t>
  </si>
  <si>
    <t>P10-F03365</t>
  </si>
  <si>
    <t>PBO-0037</t>
  </si>
  <si>
    <t>POST-BATCH-N lane=POST-BATCH-N-GUMP-GUARD-SOURCE-BATCH; FileProofStatus=CurrentPathConfirmed; CurrentFile=Data/Scripts/Items/Decorations/HouseSign.cs; Line=1014;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</si>
  <si>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PreviousReviewRowId=PBK-1392; POST-BATCH-O ReviewRowId=PBO-0037; Public APIs, namespaces, serialized layout, file location, command names, and button IDs were preserved.</t>
  </si>
  <si>
    <t>RB-03366</t>
  </si>
  <si>
    <t>P10-F03366</t>
  </si>
  <si>
    <t>PBO-0038</t>
  </si>
  <si>
    <t>POST-BATCH-N lane=POST-BATCH-N-GUMP-GUARD-SOURCE-BATCH; FileProofStatus=CurrentPathConfirmed; CurrentFile=Data/Scripts/Items/Decorations/HouseSign.cs; Line=1068;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</si>
  <si>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PreviousReviewRowId=PBK-1393; POST-BATCH-O ReviewRowId=PBO-0038; Public APIs, namespaces, serialized layout, file location, command names, and button IDs were preserved.</t>
  </si>
  <si>
    <t>RB-03367</t>
  </si>
  <si>
    <t>P10-F03367</t>
  </si>
  <si>
    <t>PBO-0039</t>
  </si>
  <si>
    <t>POST-BATCH-N lane=POST-BATCH-N-GUMP-GUARD-SOURCE-BATCH; FileProofStatus=CurrentPathConfirmed; CurrentFile=Data/Scripts/Items/Decorations/HouseSign.cs; Line=1122;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</si>
  <si>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PreviousReviewRowId=PBK-1394; POST-BATCH-O ReviewRowId=PBO-0039; Public APIs, namespaces, serialized layout, file location, command names, and button IDs were preserved.</t>
  </si>
  <si>
    <t>RB-03368</t>
  </si>
  <si>
    <t>P10-F03368</t>
  </si>
  <si>
    <t>PBO-0040</t>
  </si>
  <si>
    <t>POST-BATCH-N lane=POST-BATCH-N-GUMP-GUARD-SOURCE-BATCH; FileProofStatus=CurrentPathConfirmed; CurrentFile=Data/Scripts/Items/Decorations/HouseSign.cs; Line=1176;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</si>
  <si>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PreviousReviewRowId=PBK-1395; POST-BATCH-O ReviewRowId=PBO-0040; Public APIs, namespaces, serialized layout, file location, command names, and button IDs were preserved.</t>
  </si>
  <si>
    <t>RB-03369</t>
  </si>
  <si>
    <t>P10-F03369</t>
  </si>
  <si>
    <t>PBO-0041</t>
  </si>
  <si>
    <t>POST-BATCH-N lane=POST-BATCH-N-GUMP-GUARD-SOURCE-BATCH; FileProofStatus=CurrentPathConfirmed; CurrentFile=Data/Scripts/Items/Decorations/HouseSign.cs; Line=1230;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</si>
  <si>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PreviousReviewRowId=PBK-1396; POST-BATCH-O ReviewRowId=PBO-0041; Public APIs, namespaces, serialized layout, file location, command names, and button IDs were preserved.</t>
  </si>
  <si>
    <t>RB-03370</t>
  </si>
  <si>
    <t>P10-F03370</t>
  </si>
  <si>
    <t>PBK-1397</t>
  </si>
  <si>
    <t>HistoricalFile=Data/Scripts/Items/Doors/GateMoon.cs; Risk=Runtime;Player;Staff; POST-BATCH-K is audit/runtime-surface triage only. No command names, gump button IDs, PlayerMobile fields, region policy, XML/config, save layout, or gameplay behavior changed.</t>
  </si>
  <si>
    <t>RB-03371</t>
  </si>
  <si>
    <t>P10-F03371</t>
  </si>
  <si>
    <t>PBK-1398</t>
  </si>
  <si>
    <t>HistoricalFile=Data/Scripts/Items/Gifts/CrystalDeeds/ECrystalBeggarStatue.cs; Risk=Runtime;Player;Staff; POST-BATCH-K is audit/runtime-surface triage only. No command names, gump button IDs, PlayerMobile fields, region policy, XML/config, save layout, or gameplay behavior changed.</t>
  </si>
  <si>
    <t>RB-03372</t>
  </si>
  <si>
    <t>P10-F03372</t>
  </si>
  <si>
    <t>PBK-1399</t>
  </si>
  <si>
    <t>HistoricalFile=Data/Scripts/Items/Gifts/CrystalDeeds/ECrystalBull.cs; Risk=Runtime;Player;Staff; POST-BATCH-K is audit/runtime-surface triage only. No command names, gump button IDs, PlayerMobile fields, region policy, XML/config, save layout, or gameplay behavior changed.</t>
  </si>
  <si>
    <t>RB-03373</t>
  </si>
  <si>
    <t>P10-F03373</t>
  </si>
  <si>
    <t>PBK-1400</t>
  </si>
  <si>
    <t>HistoricalFile=Data/Scripts/Items/Gifts/CrystalDeeds/ECrystalRunnerStatue.cs; Risk=Runtime;Player;Staff; POST-BATCH-K is audit/runtime-surface triage only. No command names, gump button IDs, PlayerMobile fields, region policy, XML/config, save layout, or gameplay behavior changed.</t>
  </si>
  <si>
    <t>RB-03374</t>
  </si>
  <si>
    <t>P10-F03374</t>
  </si>
  <si>
    <t>PBK-1401</t>
  </si>
  <si>
    <t>HistoricalFile=Data/Scripts/Items/Gifts/CrystalDeeds/ECrystalSupplicantStatue.cs; Risk=Runtime;Player;Staff; POST-BATCH-K is audit/runtime-surface triage only. No command names, gump button IDs, PlayerMobile fields, region policy, XML/config, save layout, or gameplay behavior changed.</t>
  </si>
  <si>
    <t>RB-03375</t>
  </si>
  <si>
    <t>P10-F03375</t>
  </si>
  <si>
    <t>PBK-1402</t>
  </si>
  <si>
    <t>HistoricalFile=Data/Scripts/Items/Gifts/CrystalDeeds/ECrystalTable.cs; Risk=Runtime;Player;Staff; POST-BATCH-K is audit/runtime-surface triage only. No command names, gump button IDs, PlayerMobile fields, region policy, XML/config, save layout, or gameplay behavior changed.</t>
  </si>
  <si>
    <t>RB-03376</t>
  </si>
  <si>
    <t>P10-F03376</t>
  </si>
  <si>
    <t>PBK-1403</t>
  </si>
  <si>
    <t>HistoricalFile=Data/Scripts/Items/Gifts/CrystalDeeds/ECrystalThrone.cs; Risk=Runtime;Player;Staff; POST-BATCH-K is audit/runtime-surface triage only. No command names, gump button IDs, PlayerMobile fields, region policy, XML/config, save layout, or gameplay behavior changed.</t>
  </si>
  <si>
    <t>RB-03377</t>
  </si>
  <si>
    <t>P10-F03377</t>
  </si>
  <si>
    <t>PBO-0069</t>
  </si>
  <si>
    <t>POST-BATCH-N lane=POST-BATCH-N-GUMP-GUARD-SOURCE-BATCH; FileProofStatus=CurrentPathConfirmed; CurrentFile=Data/Scripts/Items/Gifts/Gumps/Crystal Token Gump.cs; Line=54;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</si>
  <si>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PreviousReviewRowId=PBK-1404; POST-BATCH-O ReviewRowId=PBO-0069; Public APIs, namespaces, serialized layout, file location, command names, and button IDs were preserved.</t>
  </si>
  <si>
    <t>RB-03378</t>
  </si>
  <si>
    <t>P10-F03378</t>
  </si>
  <si>
    <t>PBO-0070</t>
  </si>
  <si>
    <t>POST-BATCH-N lane=POST-BATCH-N-GUMP-GUARD-SOURCE-BATCH; FileProofStatus=CurrentPathConfirmed; CurrentFile=Data/Scripts/Items/Gifts/Gumps/NinthAnniversaryCoinGump.cs; Line=42;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</si>
  <si>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PreviousReviewRowId=PBK-1405; POST-BATCH-O ReviewRowId=PBO-0070; Public APIs, namespaces, serialized layout, file location, command names, and button IDs were preserved.</t>
  </si>
  <si>
    <t>RB-03379</t>
  </si>
  <si>
    <t>P10-F03379</t>
  </si>
  <si>
    <t>PBO-0071</t>
  </si>
  <si>
    <t>POST-BATCH-N lane=POST-BATCH-N-GUMP-GUARD-SOURCE-BATCH; FileProofStatus=CurrentPathConfirmed; CurrentFile=Data/Scripts/Items/Gifts/Gumps/Shadow Token Gump.cs; Line=60;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</si>
  <si>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PreviousReviewRowId=PBK-1406; POST-BATCH-O ReviewRowId=PBO-0071; Public APIs, namespaces, serialized layout, file location, command names, and button IDs were preserved.</t>
  </si>
  <si>
    <t>RB-03380</t>
  </si>
  <si>
    <t>P10-F03380</t>
  </si>
  <si>
    <t>PBO-0072</t>
  </si>
  <si>
    <t>POST-BATCH-N lane=POST-BATCH-N-GUMP-GUARD-SOURCE-BATCH; FileProofStatus=CurrentPathConfirmed; CurrentFile=Data/Scripts/Items/Gifts/Holiday/Halloween/Rewards/HalloweenGrave1.cs;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</si>
  <si>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PreviousReviewRowId=PBK-1407; POST-BATCH-O ReviewRowId=PBO-0072; Public APIs, namespaces, serialized layout, file location, command names, and button IDs were preserved.</t>
  </si>
  <si>
    <t>RB-03381</t>
  </si>
  <si>
    <t>P10-F03381</t>
  </si>
  <si>
    <t>PBO-0073</t>
  </si>
  <si>
    <t>POST-BATCH-N lane=POST-BATCH-N-GUMP-GUARD-SOURCE-BATCH; FileProofStatus=CurrentPathConfirmed; CurrentFile=Data/Scripts/Items/Gifts/Holiday/Halloween/Rewards/HalloweenGrave2.cs;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</si>
  <si>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PreviousReviewRowId=PBK-1408; POST-BATCH-O ReviewRowId=PBO-0073; Public APIs, namespaces, serialized layout, file location, command names, and button IDs were preserved.</t>
  </si>
  <si>
    <t>RB-03382</t>
  </si>
  <si>
    <t>P10-F03382</t>
  </si>
  <si>
    <t>PBO-0074</t>
  </si>
  <si>
    <t>POST-BATCH-N lane=POST-BATCH-N-GUMP-GUARD-SOURCE-BATCH; FileProofStatus=CurrentPathConfirmed; CurrentFile=Data/Scripts/Items/Gifts/Holiday/Halloween/Rewards/HalloweenGrave3.cs; Line=37; SourceLine=public override void OnResponse(Mobile from, string text);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</si>
  <si>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PreviousReviewRowId=PBK-1409; POST-BATCH-O ReviewRowId=PBO-0074; Public APIs, namespaces, serialized layout, file location, command names, and button IDs were preserved.</t>
  </si>
  <si>
    <t>RB-03383</t>
  </si>
  <si>
    <t>P10-F03383</t>
  </si>
  <si>
    <t>PBK-1410</t>
  </si>
  <si>
    <t>HistoricalFile=Data/Scripts/Items/Gifts/ShadowDeeds/EShadowAltar.cs; Risk=Runtime;Player;Staff; POST-BATCH-K is audit/runtime-surface triage only. No command names, gump button IDs, PlayerMobile fields, region policy, XML/config, save layout, or gameplay behavior changed.</t>
  </si>
  <si>
    <t>RB-03384</t>
  </si>
  <si>
    <t>P10-F03384</t>
  </si>
  <si>
    <t>PBK-1411</t>
  </si>
  <si>
    <t>HistoricalFile=Data/Scripts/Items/Gifts/ShadowDeeds/EShadowBanner.cs; Risk=Runtime;Player;Staff; POST-BATCH-K is audit/runtime-surface triage only. No command names, gump button IDs, PlayerMobile fields, region policy, XML/config, save layout, or gameplay behavior changed.</t>
  </si>
  <si>
    <t>RB-03385</t>
  </si>
  <si>
    <t>P10-F03385</t>
  </si>
  <si>
    <t>PBK-1412</t>
  </si>
  <si>
    <t>HistoricalFile=Data/Scripts/Items/Houses/TavernTable.cs; Risk=Runtime;Player;Staff; POST-BATCH-K is audit/runtime-surface triage only. No command names, gump button IDs, PlayerMobile fields, region policy, XML/config, save layout, or gameplay behavior changed.</t>
  </si>
  <si>
    <t>RB-03386</t>
  </si>
  <si>
    <t>P10-F03386</t>
  </si>
  <si>
    <t>PBO-0042</t>
  </si>
  <si>
    <t>POST-BATCH-N lane=POST-BATCH-N-GUMP-GUARD-SOURCE-BATCH; FileProofStatus=CurrentPathConfirmed; CurrentFile=Data/Scripts/Items/Houses/Remodeling/Gumps/LawnSecurityGump.cs; Line=75;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</si>
  <si>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PreviousReviewRowId=PBK-1413; POST-BATCH-O ReviewRowId=PBO-0042; Public APIs, namespaces, serialized layout, file location, command names, and button IDs were preserved.</t>
  </si>
  <si>
    <t>RB-03387</t>
  </si>
  <si>
    <t>P10-F03387</t>
  </si>
  <si>
    <t>PBO-0043</t>
  </si>
  <si>
    <t>POST-BATCH-N lane=POST-BATCH-N-GUMP-GUARD-SOURCE-BATCH; FileProofStatus=CurrentPathConfirmed; CurrentFile=Data/Scripts/Items/Houses/Remodeling/Gumps/ShantySecurityGump.cs; Line=75;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</si>
  <si>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PreviousReviewRowId=PBK-1414; POST-BATCH-O ReviewRowId=PBO-0043; Public APIs, namespaces, serialized layout, file location, command names, and button IDs were preserved.</t>
  </si>
  <si>
    <t>RB-03388</t>
  </si>
  <si>
    <t>P10-F03388</t>
  </si>
  <si>
    <t>PBK-1415</t>
  </si>
  <si>
    <t>HistoricalFile=Data/Scripts/Items/Magical/Artifacts/Minor/ColoringBook.cs; Risk=Runtime;Player;Staff; POST-BATCH-K is audit/runtime-surface triage only. No command names, gump button IDs, PlayerMobile fields, region policy, XML/config, save layout, or gameplay behavior changed.</t>
  </si>
  <si>
    <t>RB-03389</t>
  </si>
  <si>
    <t>P10-F03389</t>
  </si>
  <si>
    <t>PBO-0075</t>
  </si>
  <si>
    <t>POST-BATCH-N lane=POST-BATCH-N-GUMP-GUARD-SOURCE-BATCH; FileProofStatus=CurrentPathConfirmed; CurrentFile=Data/Scripts/Items/Magical/Gifts/Gumps/GiftGump.cs; Line=492;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</si>
  <si>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PreviousReviewRowId=PBK-1416; POST-BATCH-O ReviewRowId=PBO-0075; Public APIs, namespaces, serialized layout, file location, command names, and button IDs were preserved.</t>
  </si>
  <si>
    <t>RB-03390</t>
  </si>
  <si>
    <t>P10-F03390</t>
  </si>
  <si>
    <t>PBK-1417</t>
  </si>
  <si>
    <t>HistoricalFile=Data/Scripts/Items/Magical/God/LegendaryArtifactRename.cs; Risk=Runtime;Player;Staff; POST-BATCH-K is audit/runtime-surface triage only. No command names, gump button IDs, PlayerMobile fields, region policy, XML/config, save layout, or gameplay behavior changed.</t>
  </si>
  <si>
    <t>RB-03391</t>
  </si>
  <si>
    <t>P10-F03391</t>
  </si>
  <si>
    <t>PBO-0076</t>
  </si>
  <si>
    <t>POST-BATCH-N lane=POST-BATCH-N-GUMP-GUARD-SOURCE-BATCH; FileProofStatus=CurrentPathConfirmed; CurrentFile=Data/Scripts/Items/Magical/God/LegendsBook.cs; Line=429;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</si>
  <si>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PreviousReviewRowId=PBK-1418; POST-BATCH-O ReviewRowId=PBO-0076; Public APIs, namespaces, serialized layout, file location, command names, and button IDs were preserved.</t>
  </si>
  <si>
    <t>RB-03392</t>
  </si>
  <si>
    <t>P10-F03392</t>
  </si>
  <si>
    <t>PBO-0077</t>
  </si>
  <si>
    <t>POST-BATCH-N lane=POST-BATCH-N-GUMP-GUARD-SOURCE-BATCH; FileProofStatus=CurrentPathConfirmed; CurrentFile=Data/Scripts/Items/Magical/God/Gumps/ItemExperienceGump.cs; Line=539;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</si>
  <si>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PreviousReviewRowId=PBK-1419; POST-BATCH-O ReviewRowId=PBO-0077; Public APIs, namespaces, serialized layout, file location, command names, and button IDs were preserved.</t>
  </si>
  <si>
    <t>RB-03393</t>
  </si>
  <si>
    <t>P10-F03393</t>
  </si>
  <si>
    <t>PBK-1420</t>
  </si>
  <si>
    <t>HistoricalFile=Data/Scripts/Items/Misc/HairDye.cs; Risk=Runtime;Player;Staff; POST-BATCH-K is audit/runtime-surface triage only. No command names, gump button IDs, PlayerMobile fields, region policy, XML/config, save layout, or gameplay behavior changed.</t>
  </si>
  <si>
    <t>RB-03394</t>
  </si>
  <si>
    <t>P10-F03394</t>
  </si>
  <si>
    <t>PBK-1421</t>
  </si>
  <si>
    <t>HistoricalFile=Data/Scripts/Items/Misc/SpecialBeardDye.cs; Risk=Runtime;Player;Staff; POST-BATCH-K is audit/runtime-surface triage only. No command names, gump button IDs, PlayerMobile fields, region policy, XML/config, save layout, or gameplay behavior changed.</t>
  </si>
  <si>
    <t>RB-03395</t>
  </si>
  <si>
    <t>P10-F03395</t>
  </si>
  <si>
    <t>PBK-1422</t>
  </si>
  <si>
    <t>HistoricalFile=Data/Scripts/Items/Misc/SpecialHairDye.cs; Risk=Runtime;Player;Staff; POST-BATCH-K is audit/runtime-surface triage only. No command names, gump button IDs, PlayerMobile fields, region policy, XML/config, save layout, or gameplay behavior changed.</t>
  </si>
  <si>
    <t>RB-03396</t>
  </si>
  <si>
    <t>P10-F03396</t>
  </si>
  <si>
    <t>PBO-0104</t>
  </si>
  <si>
    <t>POST-BATCH-N lane=POST-BATCH-N-GUMP-GUARD-SOURCE-BATCH; FileProofStatus=CurrentPathConfirmed; CurrentFile=Data/Scripts/Items/Misc/Games/DandD/DungeonMastersGuide.cs; Line=83; SourceLine=public override void OnResponse(NetState state, RelayInfo info); PathResolution=OriginalPathCurrent; MatchQuality=RuntimeHookMapFileLine; HookKind=Gump; GuardList=PacketReadGuard;StateGuard; Access=; Command=; Handler=; DisabledEvidence=False; RuntimeHookMap=HookType=Gump;Marker=OnResponse;Access=Internal;Risk=High;Guards=PacketReadGuard;StateGuard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</si>
  <si>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PreviousReviewRowId=PBK-1423; POST-BATCH-O ReviewRowId=PBO-0104; Public APIs, namespaces, serialized layout, file location, command names, and button IDs were preserved.</t>
  </si>
  <si>
    <t>RB-03397</t>
  </si>
  <si>
    <t>P10-F03397</t>
  </si>
  <si>
    <t>PBO-0105</t>
  </si>
  <si>
    <t>POST-BATCH-N lane=POST-BATCH-N-GUMP-GUARD-SOURCE-BATCH; FileProofStatus=CurrentPathConfirmed; CurrentFile=Data/Scripts/Items/Misc/Games/LiarsDice/Gumps/CallBluffGump.cs; Line=115;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</si>
  <si>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PreviousReviewRowId=PBK-1424; POST-BATCH-O ReviewRowId=PBO-0105; Public APIs, namespaces, serialized layout, file location, command names, and button IDs were preserved.</t>
  </si>
  <si>
    <t>RB-03398</t>
  </si>
  <si>
    <t>P10-F03398</t>
  </si>
  <si>
    <t>PBO-0106</t>
  </si>
  <si>
    <t>POST-BATCH-N lane=POST-BATCH-N-GUMP-GUARD-SOURCE-BATCH; FileProofStatus=CurrentPathConfirmed; CurrentFile=Data/Scripts/Items/Misc/Games/LiarsDice/Gumps/ExitDiceGump.cs; Line=34;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</si>
  <si>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PreviousReviewRowId=PBK-1425; POST-BATCH-O ReviewRowId=PBO-0106; Public APIs, namespaces, serialized layout, file location, command names, and button IDs were preserved.</t>
  </si>
  <si>
    <t>RB-03399</t>
  </si>
  <si>
    <t>P10-F03399</t>
  </si>
  <si>
    <t>PBO-0107</t>
  </si>
  <si>
    <t>POST-BATCH-N lane=POST-BATCH-N-GUMP-GUARD-SOURCE-BATCH; FileProofStatus=CurrentPathConfirmed; CurrentFile=Data/Scripts/Items/Misc/Games/LiarsDice/Gumps/GameDiceGump.cs; Line=171;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</si>
  <si>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PreviousReviewRowId=PBK-1426; POST-BATCH-O ReviewRowId=PBO-0107; Public APIs, namespaces, serialized layout, file location, command names, and button IDs were preserved.</t>
  </si>
  <si>
    <t>RB-03400</t>
  </si>
  <si>
    <t>P10-F03400</t>
  </si>
  <si>
    <t>PBO-0108</t>
  </si>
  <si>
    <t>POST-BATCH-N lane=POST-BATCH-N-GUMP-GUARD-SOURCE-BATCH; FileProofStatus=CurrentPathConfirmed; CurrentFile=Data/Scripts/Items/Misc/Games/LiarsDice/Gumps/NewDiceGameGump.cs; Line=38;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</si>
  <si>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PreviousReviewRowId=PBK-1427; POST-BATCH-O ReviewRowId=PBO-0108; Public APIs, namespaces, serialized layout, file location, command names, and button IDs were preserved.</t>
  </si>
  <si>
    <t>RB-03401</t>
  </si>
  <si>
    <t>P10-F03401</t>
  </si>
  <si>
    <t>PBO-0109</t>
  </si>
  <si>
    <t>POST-BATCH-N lane=POST-BATCH-N-GUMP-GUARD-SOURCE-BATCH; FileProofStatus=CurrentPathConfirmed; CurrentFile=Data/Scripts/Items/Misc/Games/LiarsDice/Gumps/StatusDiceGump.cs; Line=158;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</si>
  <si>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PreviousReviewRowId=PBK-1428; POST-BATCH-O ReviewRowId=PBO-0109; Public APIs, namespaces, serialized layout, file location, command names, and button IDs were preserved.</t>
  </si>
  <si>
    <t>RB-03402</t>
  </si>
  <si>
    <t>P10-F03402</t>
  </si>
  <si>
    <t>PBK-1429</t>
  </si>
  <si>
    <t>HistoricalFile=Data/Scripts/Items/Special/DracolichSkull.cs; Risk=Runtime;Player;Staff; POST-BATCH-K is audit/runtime-surface triage only. No command names, gump button IDs, PlayerMobile fields, region policy, XML/config, save layout, or gameplay behavior changed.</t>
  </si>
  <si>
    <t>RB-03403</t>
  </si>
  <si>
    <t>P10-F03403</t>
  </si>
  <si>
    <t>PBK-1430</t>
  </si>
  <si>
    <t>HistoricalFile=Data/Scripts/Items/Special/DragonEgg.cs; Risk=Runtime;Player;Staff; POST-BATCH-K is audit/runtime-surface triage only. No command names, gump button IDs, PlayerMobile fields, region policy, XML/config, save layout, or gameplay behavior changed.</t>
  </si>
  <si>
    <t>RB-03404</t>
  </si>
  <si>
    <t>P10-F03404</t>
  </si>
  <si>
    <t>PBK-1431</t>
  </si>
  <si>
    <t>HistoricalFile=Data/Scripts/Items/Special/DrakkhenEgg.cs; Risk=Runtime;Player;Staff; POST-BATCH-K is audit/runtime-surface triage only. No command names, gump button IDs, PlayerMobile fields, region policy, XML/config, save layout, or gameplay behavior changed.</t>
  </si>
  <si>
    <t>RB-03405</t>
  </si>
  <si>
    <t>P10-F03405</t>
  </si>
  <si>
    <t>PBK-1432</t>
  </si>
  <si>
    <t>RB-03406</t>
  </si>
  <si>
    <t>P10-F03406</t>
  </si>
  <si>
    <t>PBK-1433</t>
  </si>
  <si>
    <t>HistoricalFile=Data/Scripts/Items/Special/HearthOfHomeFire.cs; Risk=Runtime;Player;Staff; POST-BATCH-K is audit/runtime-surface triage only. No command names, gump button IDs, PlayerMobile fields, region policy, XML/config, save layout, or gameplay behavior changed.</t>
  </si>
  <si>
    <t>RB-03407</t>
  </si>
  <si>
    <t>P10-F03407</t>
  </si>
  <si>
    <t>PBK-1434</t>
  </si>
  <si>
    <t>HistoricalFile=Data/Scripts/Items/Special/Rares/TarotCards/DecoDeckOfTarot.cs; Risk=Runtime;Player;Staff; POST-BATCH-K is audit/runtime-surface triage only. No command names, gump button IDs, PlayerMobile fields, region policy, XML/config, save layout, or gameplay behavior changed.</t>
  </si>
  <si>
    <t>RB-03408</t>
  </si>
  <si>
    <t>P10-F03408</t>
  </si>
  <si>
    <t>PBK-1435</t>
  </si>
  <si>
    <t>HistoricalFile=Data/Scripts/Items/Special/Special Scrolls/SpecialScroll.cs; Risk=Runtime;Player;Staff; POST-BATCH-K is audit/runtime-surface triage only. No command names, gump button IDs, PlayerMobile fields, region policy, XML/config, save layout, or gameplay behavior changed.</t>
  </si>
  <si>
    <t>RB-03409</t>
  </si>
  <si>
    <t>P10-F03409</t>
  </si>
  <si>
    <t>PBK-1436</t>
  </si>
  <si>
    <t>HistoricalFile=Data/Scripts/Items/Technology/ComputerDatabase.cs; Risk=Runtime;Player;Staff; POST-BATCH-K is audit/runtime-surface triage only. No command names, gump button IDs, PlayerMobile fields, region policy, XML/config, save layout, or gameplay behavior changed.</t>
  </si>
  <si>
    <t>RB-03410</t>
  </si>
  <si>
    <t>P10-F03410</t>
  </si>
  <si>
    <t>PBK-1437</t>
  </si>
  <si>
    <t>HistoricalFile=Data/Scripts/Items/Technology/DataPad.cs; Risk=Runtime;Player;Staff; POST-BATCH-K is audit/runtime-surface triage only. No command names, gump button IDs, PlayerMobile fields, region policy, XML/config, save layout, or gameplay behavior changed.</t>
  </si>
  <si>
    <t>RB-03411</t>
  </si>
  <si>
    <t>P10-F03411</t>
  </si>
  <si>
    <t>PBK-1438</t>
  </si>
  <si>
    <t>HistoricalFile=Data/Scripts/Items/Technology/MaterialLiquifier.cs; Risk=Runtime;Player;Staff; POST-BATCH-K is audit/runtime-surface triage only. No command names, gump button IDs, PlayerMobile fields, region policy, XML/config, save layout, or gameplay behavior changed.</t>
  </si>
  <si>
    <t>RB-03412</t>
  </si>
  <si>
    <t>P10-F03412</t>
  </si>
  <si>
    <t>PBK-1439</t>
  </si>
  <si>
    <t>HistoricalFile=Data/Scripts/Items/Trades/Fishing/Misc/SOS.cs; Risk=Runtime;Player;Staff; POST-BATCH-K is audit/runtime-surface triage only. No command names, gump button IDs, PlayerMobile fields, region policy, XML/config, save layout, or gameplay behavior changed.</t>
  </si>
  <si>
    <t>RB-03413</t>
  </si>
  <si>
    <t>P10-F03413</t>
  </si>
  <si>
    <t>PBK-1440</t>
  </si>
  <si>
    <t>HistoricalFile=Data/Scripts/Items/Trades/Tailor Items/Dyes.cs; Risk=Runtime;Player;Staff; POST-BATCH-K is audit/runtime-surface triage only. No command names, gump button IDs, PlayerMobile fields, region policy, XML/config, save layout, or gameplay behavior changed.</t>
  </si>
  <si>
    <t>RB-03414</t>
  </si>
  <si>
    <t>P10-F03414</t>
  </si>
  <si>
    <t>PBK-1441</t>
  </si>
  <si>
    <t>HistoricalFile=Data/Scripts/Magic/Base/ForgetfulGem.cs; Risk=Runtime;Player;Staff; POST-BATCH-K is audit/runtime-surface triage only. No command names, gump button IDs, PlayerMobile fields, region policy, XML/config, save layout, or gameplay behavior changed.</t>
  </si>
  <si>
    <t>RB-03415</t>
  </si>
  <si>
    <t>P10-F03415</t>
  </si>
  <si>
    <t>PBO-0148</t>
  </si>
  <si>
    <t>POST-BATCH-N lane=POST-BATCH-N-GUMP-GUARD-SOURCE-BATCH; FileProofStatus=CurrentPathConfirmed; CurrentFile=Data/Scripts/Magic/Druidism/BookDruidBrewing.cs; Line=403;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</si>
  <si>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PreviousReviewRowId=PBK-1442; POST-BATCH-O ReviewRowId=PBO-0148; Public APIs, namespaces, serialized layout, file location, command names, and button IDs were preserved.</t>
  </si>
  <si>
    <t>RB-03416</t>
  </si>
  <si>
    <t>P10-F03416</t>
  </si>
  <si>
    <t>PBK-1443</t>
  </si>
  <si>
    <t>HistoricalFile=Data/Scripts/Magic/Jester/BagOfTricks.cs; Risk=Runtime;Player;Staff; POST-BATCH-K is audit/runtime-surface triage only. No command names, gump button IDs, PlayerMobile fields, region policy, XML/config, save layout, or gameplay behavior changed.</t>
  </si>
  <si>
    <t>RB-03417</t>
  </si>
  <si>
    <t>P10-F03417</t>
  </si>
  <si>
    <t>PBK-1444</t>
  </si>
  <si>
    <t>RB-03418</t>
  </si>
  <si>
    <t>P10-F03418</t>
  </si>
  <si>
    <t>PBK-1445</t>
  </si>
  <si>
    <t>RB-03419</t>
  </si>
  <si>
    <t>P10-F03419</t>
  </si>
  <si>
    <t>PBK-1446</t>
  </si>
  <si>
    <t>RB-03420</t>
  </si>
  <si>
    <t>P10-F03420</t>
  </si>
  <si>
    <t>PBK-1447</t>
  </si>
  <si>
    <t>RB-03421</t>
  </si>
  <si>
    <t>P10-F03421</t>
  </si>
  <si>
    <t>PBK-1448</t>
  </si>
  <si>
    <t>RB-03422</t>
  </si>
  <si>
    <t>P10-F03422</t>
  </si>
  <si>
    <t>PBO-0149</t>
  </si>
  <si>
    <t>POST-BATCH-N lane=POST-BATCH-N-GUMP-GUARD-SOURCE-BATCH; FileProofStatus=CurrentPathConfirmed; CurrentFile=Data/Scripts/Magic/Witch/BookWitchBrewing.cs; Line=403; SourceLine=public override void OnResponse(NetState state, RelayInfo info); PathResolution=OriginalPathCurrent; MatchQuality=RuntimeHookMapFileLine; HookKind=Gump; GuardList=BoundsGuard;PacketReadGuard;StateGuard; Access=; Command=; Handler=; DisabledEvidence=False; RuntimeHookMap=HookType=Gump;Marker=OnResponse;Access=Internal;Risk=High;Guards=BoundsGuard;PacketReadGuard;StateGuard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</si>
  <si>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PreviousReviewRowId=PBK-1449; POST-BATCH-O ReviewRowId=PBO-0149; Public APIs, namespaces, serialized layout, file location, command names, and button IDs were preserved.</t>
  </si>
  <si>
    <t>RB-03423</t>
  </si>
  <si>
    <t>P10-F03423</t>
  </si>
  <si>
    <t>PBK-1450</t>
  </si>
  <si>
    <t>HistoricalFile=Data/Scripts/Mobiles/Civilized/Sherry.cs; Risk=Runtime;Player;Staff; POST-BATCH-K is audit/runtime-surface triage only. No command names, gump button IDs, PlayerMobile fields, region policy, XML/config, save layout, or gameplay behavior changed.</t>
  </si>
  <si>
    <t>RB-03424</t>
  </si>
  <si>
    <t>P10-F03424</t>
  </si>
  <si>
    <t>PBK-1451</t>
  </si>
  <si>
    <t>HistoricalFile=Data/Scripts/Mobiles/Civilized/Vendors/Veterinarian.cs; Risk=Runtime;Player;Staff; POST-BATCH-K is audit/runtime-surface triage only. No command names, gump button IDs, PlayerMobile fields, region policy, XML/config, save layout, or gameplay behavior changed.</t>
  </si>
  <si>
    <t>RB-03425</t>
  </si>
  <si>
    <t>P10-F03425</t>
  </si>
  <si>
    <t>PBK-1452</t>
  </si>
  <si>
    <t>HistoricalFile=Data/Scripts/Mobiles/Elementals/Necromental.cs; Risk=Runtime;Player;Staff; POST-BATCH-K is audit/runtime-surface triage only. No command names, gump button IDs, PlayerMobile fields, region policy, XML/config, save layout, or gameplay behavior changed.</t>
  </si>
  <si>
    <t>RB-03426</t>
  </si>
  <si>
    <t>P10-F03426</t>
  </si>
  <si>
    <t>PBK-1453</t>
  </si>
  <si>
    <t>HistoricalFile=Data/Scripts/Mobiles/Unique/Exodus.cs; Risk=Runtime;Player;Staff; POST-BATCH-K is audit/runtime-surface triage only. No command names, gump button IDs, PlayerMobile fields, region policy, XML/config, save layout, or gameplay behavior changed.</t>
  </si>
  <si>
    <t>RB-03427</t>
  </si>
  <si>
    <t>P10-F03427</t>
  </si>
  <si>
    <t>PBK-1454</t>
  </si>
  <si>
    <t>HistoricalFile=Data/Scripts/Quests/SomeRandomNote.cs; Risk=Runtime;Player;Staff; POST-BATCH-K is audit/runtime-surface triage only. No command names, gump button IDs, PlayerMobile fields, region policy, XML/config, save layout, or gameplay behavior changed.</t>
  </si>
  <si>
    <t>RB-03428</t>
  </si>
  <si>
    <t>P10-F03428</t>
  </si>
  <si>
    <t>PBK-1455</t>
  </si>
  <si>
    <t>HistoricalFile=Data/Scripts/Quests/Epic/Gumps/EpicGump.cs; Risk=Runtime;Player;Staff; POST-BATCH-K is audit/runtime-surface triage only. No command names, gump button IDs, PlayerMobile fields, region policy, XML/config, save layout, or gameplay behavior changed.</t>
  </si>
  <si>
    <t>RB-03429</t>
  </si>
  <si>
    <t>P10-F03429</t>
  </si>
  <si>
    <t>PBK-1456</t>
  </si>
  <si>
    <t>HistoricalFile=Data/Scripts/Quests/Museum/Gumps/MuseumBookGump.cs; Risk=Runtime;Player;Staff; POST-BATCH-K is audit/runtime-surface triage only. No command names, gump button IDs, PlayerMobile fields, region policy, XML/config, save layout, or gameplay behavior changed.</t>
  </si>
  <si>
    <t>RB-03430</t>
  </si>
  <si>
    <t>P10-F03430</t>
  </si>
  <si>
    <t>PBK-1457</t>
  </si>
  <si>
    <t>HistoricalFile=Data/Scripts/Quests/Pagan/PaganArtifact.cs; Risk=Runtime;Player;Staff; POST-BATCH-K is audit/runtime-surface triage only. No command names, gump button IDs, PlayerMobile fields, region policy, XML/config, save layout, or gameplay behavior changed.</t>
  </si>
  <si>
    <t>RB-03431</t>
  </si>
  <si>
    <t>P10-F03431</t>
  </si>
  <si>
    <t>PBK-1458</t>
  </si>
  <si>
    <t>HistoricalFile=Data/Scripts/Quests/Prisoners/Prisoner.cs; Risk=Runtime;Player;Staff; POST-BATCH-K is audit/runtime-surface triage only. No command names, gump button IDs, PlayerMobile fields, region policy, XML/config, save layout, or gameplay behavior changed.</t>
  </si>
  <si>
    <t>RB-03432</t>
  </si>
  <si>
    <t>P10-F03432</t>
  </si>
  <si>
    <t>PBK-1459</t>
  </si>
  <si>
    <t>HistoricalFile=Data/Scripts/Quests/Robots/RobotSchematics.cs; Risk=Runtime;Player;Staff; POST-BATCH-K is audit/runtime-surface triage only. No command names, gump button IDs, PlayerMobile fields, region policy, XML/config, save layout, or gameplay behavior changed.</t>
  </si>
  <si>
    <t>RB-03433</t>
  </si>
  <si>
    <t>P10-F03433</t>
  </si>
  <si>
    <t>PBK-1460</t>
  </si>
  <si>
    <t>HistoricalFile=Data/Scripts/Quests/Summon/SummonTutorial.cs; Risk=Runtime;Player;Staff; POST-BATCH-K is audit/runtime-surface triage only. No command names, gump button IDs, PlayerMobile fields, region policy, XML/config, save layout, or gameplay behavior changed.</t>
  </si>
  <si>
    <t>RB-03435</t>
  </si>
  <si>
    <t>P10-F03435</t>
  </si>
  <si>
    <t>PBK-1461</t>
  </si>
  <si>
    <t>HistoricalFile=Data/Scripts/System/Commands/AddTrap.cs; Risk=Runtime;Player;Staff; POST-BATCH-K is audit/runtime-surface triage only. No command names, gump button IDs, PlayerMobile fields, region policy, XML/config, save layout, or gameplay behavior changed.</t>
  </si>
  <si>
    <t>RB-03436</t>
  </si>
  <si>
    <t>P10-F03436</t>
  </si>
  <si>
    <t>PBK-1462</t>
  </si>
  <si>
    <t>HistoricalFile=Data/Scripts/System/Commands/Gumps/Adddoorgump.cs; Risk=Runtime;Player;Staff; POST-BATCH-K is audit/runtime-surface triage only. No command names, gump button IDs, PlayerMobile fields, region policy, XML/config, save layout, or gameplay behavior changed.</t>
  </si>
  <si>
    <t>RB-03437</t>
  </si>
  <si>
    <t>P10-F03437</t>
  </si>
  <si>
    <t>Data/Scripts/System/Commands/Player/Basics.cs</t>
  </si>
  <si>
    <t>PBO-0163</t>
  </si>
  <si>
    <t>POST-BATCH-N lane=POST-BATCH-N-GUMP-GUARD-SOURCE-BATCH; FileProofStatus=CurrentPathConfirmed; CurrentFile=Data/Scripts/System/Commands/Player/Basics.cs; Line=53;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</si>
  <si>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PreviousReviewRowId=PBK-1463; POST-BATCH-O ReviewRowId=PBO-0163; Public APIs, namespaces, serialized layout, file location, command names, and button IDs were preserved.</t>
  </si>
  <si>
    <t>RB-03438</t>
  </si>
  <si>
    <t>P10-F03438</t>
  </si>
  <si>
    <t>Data/Scripts/System/Commands/Player/CreatureHelp.cs</t>
  </si>
  <si>
    <t>PBO-0164</t>
  </si>
  <si>
    <t>POST-BATCH-N lane=POST-BATCH-N-GUMP-GUARD-SOURCE-BATCH; FileProofStatus=CurrentPathConfirmed; CurrentFile=Data/Scripts/System/Commands/Player/CreatureHelp.cs; Line=68;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</si>
  <si>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PreviousReviewRowId=PBK-1464; POST-BATCH-O ReviewRowId=PBO-0164; Public APIs, namespaces, serialized layout, file location, command names, and button IDs were preserved.</t>
  </si>
  <si>
    <t>RB-03439</t>
  </si>
  <si>
    <t>P10-F03439</t>
  </si>
  <si>
    <t>Data/Scripts/System/Commands/Player/FameKarma.cs</t>
  </si>
  <si>
    <t>PBO-0165</t>
  </si>
  <si>
    <t>POST-BATCH-N lane=POST-BATCH-N-GUMP-GUARD-SOURCE-BATCH; FileProofStatus=CurrentPathConfirmed; CurrentFile=Data/Scripts/System/Commands/Player/FameKarma.cs; Line=217;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</si>
  <si>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PreviousReviewRowId=PBK-1465; POST-BATCH-O ReviewRowId=PBO-0165; Public APIs, namespaces, serialized layout, file location, command names, and button IDs were preserved.</t>
  </si>
  <si>
    <t>RB-03440</t>
  </si>
  <si>
    <t>P10-F03440</t>
  </si>
  <si>
    <t>Data/Scripts/System/Commands/Player/ItemProps.cs</t>
  </si>
  <si>
    <t>PBO-0166</t>
  </si>
  <si>
    <t>POST-BATCH-N lane=POST-BATCH-N-GUMP-GUARD-SOURCE-BATCH; FileProofStatus=CurrentPathConfirmed; CurrentFile=Data/Scripts/System/Commands/Player/ItemProps.cs; Line=51;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</si>
  <si>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PreviousReviewRowId=PBK-1466; POST-BATCH-O ReviewRowId=PBO-0166; Public APIs, namespaces, serialized layout, file location, command names, and button IDs were preserved.</t>
  </si>
  <si>
    <t>RB-03441</t>
  </si>
  <si>
    <t>P10-F03441</t>
  </si>
  <si>
    <t>PBK-1467</t>
  </si>
  <si>
    <t>HistoricalFile=Data/Scripts/System/Commands/Player/MyChat.cs; Risk=Runtime;Player;Staff; POST-BATCH-K is audit/runtime-surface triage only. No command names, gump button IDs, PlayerMobile fields, region policy, XML/config, save layout, or gameplay behavior changed.</t>
  </si>
  <si>
    <t>RB-03442</t>
  </si>
  <si>
    <t>P10-F03442</t>
  </si>
  <si>
    <t>PBK-1468</t>
  </si>
  <si>
    <t>RB-03443</t>
  </si>
  <si>
    <t>P10-F03443</t>
  </si>
  <si>
    <t>PBK-1469</t>
  </si>
  <si>
    <t>HistoricalFile=Data/Scripts/System/Commands/Player/MyLibrary.cs; Risk=Runtime;Player;Staff; POST-BATCH-K is audit/runtime-surface triage only. No command names, gump button IDs, PlayerMobile fields, region policy, XML/config, save layout, or gameplay behavior changed.</t>
  </si>
  <si>
    <t>RB-03444</t>
  </si>
  <si>
    <t>P10-F03444</t>
  </si>
  <si>
    <t>Data/Scripts/System/Commands/Player/Quests.cs</t>
  </si>
  <si>
    <t>PBO-0167</t>
  </si>
  <si>
    <t>POST-BATCH-N lane=POST-BATCH-N-GUMP-GUARD-SOURCE-BATCH; FileProofStatus=CurrentPathConfirmed; CurrentFile=Data/Scripts/System/Commands/Player/Quests.cs; Line=50;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</si>
  <si>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PreviousReviewRowId=PBK-1470; POST-BATCH-O ReviewRowId=PBO-0167; Public APIs, namespaces, serialized layout, file location, command names, and button IDs were preserved.</t>
  </si>
  <si>
    <t>RB-03445</t>
  </si>
  <si>
    <t>P10-F03445</t>
  </si>
  <si>
    <t>PBK-1471</t>
  </si>
  <si>
    <t>HistoricalFile=Data/Scripts/System/Commands/Player/RegBar.cs; Risk=Runtime;Player;Staff; POST-BATCH-K is audit/runtime-surface triage only. No command names, gump button IDs, PlayerMobile fields, region policy, XML/config, save layout, or gameplay behavior changed.</t>
  </si>
  <si>
    <t>RB-03446</t>
  </si>
  <si>
    <t>P10-F03446</t>
  </si>
  <si>
    <t>PBK-1472</t>
  </si>
  <si>
    <t>RB-03447</t>
  </si>
  <si>
    <t>P10-F03447</t>
  </si>
  <si>
    <t>PBK-1473</t>
  </si>
  <si>
    <t>HistoricalFile=Data/Scripts/System/Commands/Player/SkillListing.cs; Risk=Runtime;Player;Staff; POST-BATCH-K is audit/runtime-surface triage only. No command names, gump button IDs, PlayerMobile fields, region policy, XML/config, save layout, or gameplay behavior changed.</t>
  </si>
  <si>
    <t>RB-03448</t>
  </si>
  <si>
    <t>P10-F03448</t>
  </si>
  <si>
    <t>PBK-1474</t>
  </si>
  <si>
    <t>HistoricalFile=Data/Scripts/System/Commands/Player/Skills.cs; Risk=Runtime;Player;Staff; POST-BATCH-K is audit/runtime-surface triage only. No command names, gump button IDs, PlayerMobile fields, region policy, XML/config, save layout, or gameplay behavior changed.</t>
  </si>
  <si>
    <t>RB-03449</t>
  </si>
  <si>
    <t>P10-F03449</t>
  </si>
  <si>
    <t>Data/Scripts/System/Commands/Player/Wanted.cs</t>
  </si>
  <si>
    <t>PBO-0168</t>
  </si>
  <si>
    <t>POST-BATCH-N lane=POST-BATCH-N-GUMP-GUARD-SOURCE-BATCH; FileProofStatus=CurrentPathConfirmed; CurrentFile=Data/Scripts/System/Commands/Player/Wanted.cs; Line=67;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</si>
  <si>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PreviousReviewRowId=PBK-1475; POST-BATCH-O ReviewRowId=PBO-0168; Public APIs, namespaces, serialized layout, file location, command names, and button IDs were preserved.</t>
  </si>
  <si>
    <t>RB-03450</t>
  </si>
  <si>
    <t>P10-F03450</t>
  </si>
  <si>
    <t>PBK-1476</t>
  </si>
  <si>
    <t>HistoricalFile=Data/Scripts/System/Commands/Player/WealthBar.cs; Risk=Runtime;Player;Staff; POST-BATCH-K is audit/runtime-surface triage only. No command names, gump button IDs, PlayerMobile fields, region policy, XML/config, save layout, or gameplay behavior changed.</t>
  </si>
  <si>
    <t>RB-03451</t>
  </si>
  <si>
    <t>P10-F03451</t>
  </si>
  <si>
    <t>PBO-0169</t>
  </si>
  <si>
    <t>POST-BATCH-N lane=POST-BATCH-N-GUMP-GUARD-SOURCE-BATCH; FileProofStatus=CurrentPathConfirmed; CurrentFile=Data/Scripts/System/Commands/Player/Gumps/SkillsGump.cs; Line=72;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</si>
  <si>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PreviousReviewRowId=PBK-1477; POST-BATCH-O ReviewRowId=PBO-0169; Public APIs, namespaces, serialized layout, file location, command names, and button IDs were preserved.</t>
  </si>
  <si>
    <t>RB-03452</t>
  </si>
  <si>
    <t>P10-F03452</t>
  </si>
  <si>
    <t>PBO-0176</t>
  </si>
  <si>
    <t>POST-BATCH-N lane=POST-BATCH-N-GUMP-GUARD-SOURCE-BATCH; FileProofStatus=CurrentPathConfirmed; CurrentFile=Data/Scripts/System/Gumps/BaseConfirmGump.cs; Line=67; SourceLine=public override void OnResponse(Server.Network.NetState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</si>
  <si>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PreviousReviewRowId=PBK-1478; POST-BATCH-O ReviewRowId=PBO-0176; Public APIs, namespaces, serialized layout, file location, command names, and button IDs were preserved.</t>
  </si>
  <si>
    <t>RB-03453</t>
  </si>
  <si>
    <t>P10-F03453</t>
  </si>
  <si>
    <t>PBO-0177</t>
  </si>
  <si>
    <t>POST-BATCH-N lane=POST-BATCH-N-GUMP-GUARD-SOURCE-BATCH; FileProofStatus=CurrentPathConfirmed; CurrentFile=Data/Scripts/System/Gumps/BaseImageTileButtonsGump.cs; Line=145;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</si>
  <si>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PreviousReviewRowId=PBK-1479; POST-BATCH-O ReviewRowId=PBO-0177; Public APIs, namespaces, serialized layout, file location, command names, and button IDs were preserved.</t>
  </si>
  <si>
    <t>RB-03454</t>
  </si>
  <si>
    <t>P10-F03454</t>
  </si>
  <si>
    <t>PBO-0178</t>
  </si>
  <si>
    <t>POST-BATCH-N lane=POST-BATCH-N-GUMP-GUARD-SOURCE-BATCH; FileProofStatus=CurrentPathConfirmed; CurrentFile=Data/Scripts/System/Gumps/ClueGump.cs; Line=50;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</si>
  <si>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PreviousReviewRowId=PBK-1480; POST-BATCH-O ReviewRowId=PBO-0178; Public APIs, namespaces, serialized layout, file location, command names, and button IDs were preserved.</t>
  </si>
  <si>
    <t>RB-03455</t>
  </si>
  <si>
    <t>P10-F03455</t>
  </si>
  <si>
    <t>PBK-1481</t>
  </si>
  <si>
    <t>HistoricalFile=Data/Scripts/System/Gumps/ConfirmReleaseGump.cs; Risk=Runtime;Player;Staff; POST-BATCH-K is audit/runtime-surface triage only. No command names, gump button IDs, PlayerMobile fields, region policy, XML/config, save layout, or gameplay behavior changed.</t>
  </si>
  <si>
    <t>RB-03456</t>
  </si>
  <si>
    <t>P10-F03456</t>
  </si>
  <si>
    <t>PBO-0179</t>
  </si>
  <si>
    <t>POST-BATCH-N lane=POST-BATCH-N-GUMP-GUARD-SOURCE-BATCH; FileProofStatus=CurrentPathConfirmed; CurrentFile=Data/Scripts/System/Gumps/HonorSelf.cs; Line=32;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</si>
  <si>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PreviousReviewRowId=PBK-1482; POST-BATCH-O ReviewRowId=PBO-0179; Public APIs, namespaces, serialized layout, file location, command names, and button IDs were preserved.</t>
  </si>
  <si>
    <t>RB-03457</t>
  </si>
  <si>
    <t>P10-F03457</t>
  </si>
  <si>
    <t>PBK-1483</t>
  </si>
  <si>
    <t>HistoricalFile=Data/Scripts/System/Gumps/HouseTransferGump.cs; Risk=Runtime;Player;Staff; POST-BATCH-K is audit/runtime-surface triage only. No command names, gump button IDs, PlayerMobile fields, region policy, XML/config, save layout, or gameplay behavior changed.</t>
  </si>
  <si>
    <t>RB-03458</t>
  </si>
  <si>
    <t>P10-F03458</t>
  </si>
  <si>
    <t>PBO-0180</t>
  </si>
  <si>
    <t>POST-BATCH-N lane=POST-BATCH-N-GUMP-GUARD-SOURCE-BATCH; FileProofStatus=CurrentPathConfirmed; CurrentFile=Data/Scripts/System/Gumps/PolymorphGump.cs; Line=256;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</si>
  <si>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PreviousReviewRowId=PBK-1484; POST-BATCH-O ReviewRowId=PBO-0180; Public APIs, namespaces, serialized layout, file location, command names, and button IDs were preserved.</t>
  </si>
  <si>
    <t>RB-03459</t>
  </si>
  <si>
    <t>P10-F03459</t>
  </si>
  <si>
    <t>PBO-0181</t>
  </si>
  <si>
    <t>POST-BATCH-N lane=POST-BATCH-N-GUMP-GUARD-SOURCE-BATCH; FileProofStatus=CurrentPathConfirmed; CurrentFile=Data/Scripts/System/Gumps/PolymorphGump.cs; Line=370;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</si>
  <si>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PreviousReviewRowId=PBK-1485; POST-BATCH-O ReviewRowId=PBO-0181; Public APIs, namespaces, serialized layout, file location, command names, and button IDs were preserved.</t>
  </si>
  <si>
    <t>RB-03460</t>
  </si>
  <si>
    <t>P10-F03460</t>
  </si>
  <si>
    <t>Data/Scripts/System/Gumps/PrisonGump.cs</t>
  </si>
  <si>
    <t>PBO-0182</t>
  </si>
  <si>
    <t>POST-BATCH-N lane=POST-BATCH-N-GUMP-GUARD-SOURCE-BATCH; FileProofStatus=CurrentPathConfirmed; CurrentFile=Data/Scripts/System/Gumps/PrisonGump.cs; Line=48;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</si>
  <si>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PreviousReviewRowId=PBK-1486; POST-BATCH-O ReviewRowId=PBO-0182; Public APIs, namespaces, serialized layout, file location, command names, and button IDs were preserved.</t>
  </si>
  <si>
    <t>RB-03461</t>
  </si>
  <si>
    <t>P10-F03461</t>
  </si>
  <si>
    <t>PBK-1487</t>
  </si>
  <si>
    <t>HistoricalFile=Data/Scripts/System/Gumps/ReclaimVendorGump.cs; Risk=Runtime;Player;Staff; POST-BATCH-K is audit/runtime-surface triage only. No command names, gump button IDs, PlayerMobile fields, region policy, XML/config, save layout, or gameplay behavior changed.</t>
  </si>
  <si>
    <t>RB-03462</t>
  </si>
  <si>
    <t>P10-F03462</t>
  </si>
  <si>
    <t>PBK-1488</t>
  </si>
  <si>
    <t>HistoricalFile=Data/Scripts/System/Gumps/ToTAdminGump.cs; Risk=Runtime;Player;Staff; POST-BATCH-K is audit/runtime-surface triage only. No command names, gump button IDs, PlayerMobile fields, region policy, XML/config, save layout, or gameplay behavior changed.</t>
  </si>
  <si>
    <t>RB-03463</t>
  </si>
  <si>
    <t>P10-F03463</t>
  </si>
  <si>
    <t>PBO-0183</t>
  </si>
  <si>
    <t>POST-BATCH-N lane=POST-BATCH-N-GUMP-GUARD-SOURCE-BATCH; FileProofStatus=CurrentPathConfirmed; CurrentFile=Data/Scripts/System/Gumps/Guilds/GuildCandidatesGump.cs; Line=21;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</si>
  <si>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PreviousReviewRowId=PBK-1489; POST-BATCH-O ReviewRowId=PBO-0183; Public APIs, namespaces, serialized layout, file location, command names, and button IDs were preserved.</t>
  </si>
  <si>
    <t>RB-03464</t>
  </si>
  <si>
    <t>P10-F03464</t>
  </si>
  <si>
    <t>PBO-0184</t>
  </si>
  <si>
    <t>POST-BATCH-N lane=POST-BATCH-N-GUMP-GUARD-SOURCE-BATCH; FileProofStatus=CurrentPathConfirmed; CurrentFile=Data/Scripts/System/Gumps/Guilds/GuildCharterPrompt.cs; Line=28;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</si>
  <si>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PreviousReviewRowId=PBK-1490; POST-BATCH-O ReviewRowId=PBO-0184; Public APIs, namespaces, serialized layout, file location, command names, and button IDs were preserved.</t>
  </si>
  <si>
    <t>RB-03465</t>
  </si>
  <si>
    <t>P10-F03465</t>
  </si>
  <si>
    <t>PBO-0185</t>
  </si>
  <si>
    <t>POST-BATCH-N lane=POST-BATCH-N-GUMP-GUARD-SOURCE-BATCH; FileProofStatus=CurrentPathConfirmed; CurrentFile=Data/Scripts/System/Gumps/Guilds/GuildDeclareWarPrompt.cs; Line=30;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</si>
  <si>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PreviousReviewRowId=PBK-1491; POST-BATCH-O ReviewRowId=PBO-0185; Public APIs, namespaces, serialized layout, file location, command names, and button IDs were preserved.</t>
  </si>
  <si>
    <t>RB-03466</t>
  </si>
  <si>
    <t>P10-F03466</t>
  </si>
  <si>
    <t>PBO-0186</t>
  </si>
  <si>
    <t>POST-BATCH-N lane=POST-BATCH-N-GUMP-GUARD-SOURCE-BATCH; FileProofStatus=CurrentPathConfirmed; CurrentFile=Data/Scripts/System/Gumps/Guilds/GuildRosterGump.cs; Line=29;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</si>
  <si>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PreviousReviewRowId=PBK-1492; POST-BATCH-O ReviewRowId=PBO-0186; Public APIs, namespaces, serialized layout, file location, command names, and button IDs were preserved.</t>
  </si>
  <si>
    <t>RB-03467</t>
  </si>
  <si>
    <t>P10-F03467</t>
  </si>
  <si>
    <t>PBK-1493</t>
  </si>
  <si>
    <t>HistoricalFile=Data/Scripts/System/Gumps/Guilds/GuildTitlePrompt.cs; Risk=Runtime;Player;Staff; POST-BATCH-K is audit/runtime-surface triage only. No command names, gump button IDs, PlayerMobile fields, region policy, XML/config, save layout, or gameplay behavior changed.</t>
  </si>
  <si>
    <t>RB-03468</t>
  </si>
  <si>
    <t>P10-F03468</t>
  </si>
  <si>
    <t>PBO-0187</t>
  </si>
  <si>
    <t>POST-BATCH-N lane=POST-BATCH-N-GUMP-GUARD-SOURCE-BATCH; FileProofStatus=CurrentPathConfirmed; CurrentFile=Data/Scripts/System/Gumps/Guilds/GuildWarAdminGump.cs; Line=70;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</si>
  <si>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PreviousReviewRowId=PBK-1494; POST-BATCH-O ReviewRowId=PBO-0187; Public APIs, namespaces, serialized layout, file location, command names, and button IDs were preserved.</t>
  </si>
  <si>
    <t>RB-03469</t>
  </si>
  <si>
    <t>P10-F03469</t>
  </si>
  <si>
    <t>PBO-0188</t>
  </si>
  <si>
    <t>POST-BATCH-N lane=POST-BATCH-N-GUMP-GUARD-SOURCE-BATCH; FileProofStatus=CurrentPathConfirmed; CurrentFile=Data/Scripts/System/Gumps/Guilds/GuildWarGump.cs; Line=105;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</si>
  <si>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PreviousReviewRowId=PBK-1495; POST-BATCH-O ReviewRowId=PBO-0188; Public APIs, namespaces, serialized layout, file location, command names, and button IDs were preserved.</t>
  </si>
  <si>
    <t>RB-03470</t>
  </si>
  <si>
    <t>P10-F03470</t>
  </si>
  <si>
    <t>PBO-0189</t>
  </si>
  <si>
    <t>POST-BATCH-N lane=POST-BATCH-N-GUMP-GUARD-SOURCE-BATCH; FileProofStatus=CurrentPathConfirmed; CurrentFile=Data/Scripts/System/Gumps/Guilds/GuildWebsitePrompt.cs; Line=28; SourceLine=public override void OnResponse(Mobile from, string text);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</si>
  <si>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PreviousReviewRowId=PBK-1496; POST-BATCH-O ReviewRowId=PBO-0189; Public APIs, namespaces, serialized layout, file location, command names, and button IDs were preserved.</t>
  </si>
  <si>
    <t>RB-03471</t>
  </si>
  <si>
    <t>P10-F03471</t>
  </si>
  <si>
    <t>PBO-0190</t>
  </si>
  <si>
    <t>POST-BATCH-N lane=POST-BATCH-N-GUMP-GUARD-SOURCE-BATCH; FileProofStatus=CurrentPathConfirmed; CurrentFile=Data/Scripts/System/Gumps/Properties/SetListOptionGump.cs; Line=220;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</si>
  <si>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PreviousReviewRowId=PBK-1497; POST-BATCH-O ReviewRowId=PBO-0190; Public APIs, namespaces, serialized layout, file location, command names, and button IDs were preserved.</t>
  </si>
  <si>
    <t>RB-03472</t>
  </si>
  <si>
    <t>P10-F03472</t>
  </si>
  <si>
    <t>Data/Scripts/System/Help/PagePrompt.cs</t>
  </si>
  <si>
    <t>PBO-0207</t>
  </si>
  <si>
    <t>POST-BATCH-N lane=POST-BATCH-N-GUMP-GUARD-SOURCE-BATCH; FileProofStatus=CurrentPathConfirmed; CurrentFile=Data/Scripts/System/Help/PagePrompt.cs; Line=21; SourceLine=public override void OnResponse(Mobile from, string text); PathResolution=OriginalPathCurrent; MatchQuality=RuntimeHookMapFileLine; HookKind=Gump; GuardList=StateGuard; Access=; Command=; Handler=; DisabledEvidence=False; RuntimeHookMap=HookType=Gump;Marker=OnResponse;Access=Internal;Risk=High;Guards=StateGuard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</si>
  <si>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PreviousReviewRowId=PBK-1498; POST-BATCH-O ReviewRowId=PBO-0207; Public APIs, namespaces, serialized layout, file location, command names, and button IDs were preserved.</t>
  </si>
  <si>
    <t>RB-03473</t>
  </si>
  <si>
    <t>P10-F03473</t>
  </si>
  <si>
    <t>PBO-0208</t>
  </si>
  <si>
    <t>POST-BATCH-N lane=POST-BATCH-N-GUMP-GUARD-SOURCE-BATCH; FileProofStatus=CurrentPathConfirmed; CurrentFile=Data/Scripts/System/Help/ServerSettings.cs; Line=92; SourceLine=public override void OnResponse(NetState state,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</si>
  <si>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PreviousReviewRowId=PBK-1499; POST-BATCH-O ReviewRowId=PBO-0208; Public APIs, namespaces, serialized layout, file location, command names, and button IDs were preserved.</t>
  </si>
  <si>
    <t>RB-03474</t>
  </si>
  <si>
    <t>P10-F03474</t>
  </si>
  <si>
    <t>PBO-0209</t>
  </si>
  <si>
    <t>POST-BATCH-N lane=POST-BATCH-N-GUMP-GUARD-SOURCE-BATCH; FileProofStatus=CurrentPathConfirmed; CurrentFile=Data/Scripts/System/Help/ServerSettings.cs; Line=779;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</si>
  <si>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PreviousReviewRowId=PBK-1500; POST-BATCH-O ReviewRowId=PBO-0209; Public APIs, namespaces, serialized layout, file location, command names, and button IDs were preserved.</t>
  </si>
  <si>
    <t>RB-03475</t>
  </si>
  <si>
    <t>P10-F03475</t>
  </si>
  <si>
    <t>PBO-0210</t>
  </si>
  <si>
    <t>POST-BATCH-N lane=POST-BATCH-N-GUMP-GUARD-SOURCE-BATCH; FileProofStatus=CurrentPathConfirmed; CurrentFile=Data/Scripts/System/Help/Gumps/PageResponseGump.cs; Line=43;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</si>
  <si>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PreviousReviewRowId=PBK-1501; POST-BATCH-O ReviewRowId=PBO-0210; Public APIs, namespaces, serialized layout, file location, command names, and button IDs were preserved.</t>
  </si>
  <si>
    <t>RB-03476</t>
  </si>
  <si>
    <t>P10-F03476</t>
  </si>
  <si>
    <t>PBO-0211</t>
  </si>
  <si>
    <t>POST-BATCH-N lane=POST-BATCH-N-GUMP-GUARD-SOURCE-BATCH; FileProofStatus=CurrentPathConfirmed; CurrentFile=Data/Scripts/System/Help/Gumps/SpeechLogGump.cs; Line=108; SourceLine=public override void OnResponse(NetState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</si>
  <si>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PreviousReviewRowId=PBK-1502; POST-BATCH-O ReviewRowId=PBO-0211; Public APIs, namespaces, serialized layout, file location, command names, and button IDs were preserved.</t>
  </si>
  <si>
    <t>RB-03477</t>
  </si>
  <si>
    <t>P10-F03477</t>
  </si>
  <si>
    <t>PBK-1503</t>
  </si>
  <si>
    <t>HistoricalFile=Data/Scripts/System/Misc/Talk.cs; Risk=Runtime;Player;Staff; POST-BATCH-K is audit/runtime-surface triage only. No command names, gump button IDs, PlayerMobile fields, region policy, XML/config, save layout, or gameplay behavior changed.</t>
  </si>
  <si>
    <t>RB-03478</t>
  </si>
  <si>
    <t>P10-F03478</t>
  </si>
  <si>
    <t>PBK-1504</t>
  </si>
  <si>
    <t>HistoricalFile=Data/Scripts/System/Skills/Weapon Abilities/SpecialAttackCommands.cs; Risk=Runtime;Player;Staff; POST-BATCH-K is audit/runtime-surface triage only. No command names, gump button IDs, PlayerMobile fields, region policy, XML/config, save layout, or gameplay behavior changed.</t>
  </si>
  <si>
    <t>RB-03479</t>
  </si>
  <si>
    <t>P10-F03479</t>
  </si>
  <si>
    <t>PBK-1505</t>
  </si>
  <si>
    <t>RB-03480</t>
  </si>
  <si>
    <t>P10-F03480</t>
  </si>
  <si>
    <t>PBK-1506</t>
  </si>
  <si>
    <t>RB-03481</t>
  </si>
  <si>
    <t>P10-F03481</t>
  </si>
  <si>
    <t>PBK-1507</t>
  </si>
  <si>
    <t>RB-03482</t>
  </si>
  <si>
    <t>P10-F03482</t>
  </si>
  <si>
    <t>PBK-1508</t>
  </si>
  <si>
    <t>RB-03483</t>
  </si>
  <si>
    <t>P10-F03483</t>
  </si>
  <si>
    <t>PBK-1509</t>
  </si>
  <si>
    <t>HistoricalFile=Data/Scripts/System/Skills/Weapon Abilities/Gumps/SpecialAttackGump.cs; Risk=Runtime;Player;Staff; POST-BATCH-K is audit/runtime-surface triage only. No command names, gump button IDs, PlayerMobile fields, region policy, XML/config, save layout, or gameplay behavior changed.</t>
  </si>
  <si>
    <t>RB-03484</t>
  </si>
  <si>
    <t>P10-F03484</t>
  </si>
  <si>
    <t>PBK-1510</t>
  </si>
  <si>
    <t>HistoricalFile=Data/Scripts/Trades/Apiculture/Items/SmallWaxPot.cs; Risk=Runtime;Player;Staff; POST-BATCH-K is audit/runtime-surface triage only. No command names, gump button IDs, PlayerMobile fields, region policy, XML/config, save layout, or gameplay behavior changed.</t>
  </si>
  <si>
    <t>RB-03490</t>
  </si>
  <si>
    <t>P10-F03490</t>
  </si>
  <si>
    <t>PBK-1511</t>
  </si>
  <si>
    <t>HistoricalFile=Data/Scripts/Trades/Gardening/Gumps/EmptyTheBowlGump.cs; Risk=Runtime;Player;Staff; POST-BATCH-K is audit/runtime-surface triage only. No command names, gump button IDs, PlayerMobile fields, region policy, XML/config, save layout, or gameplay behavior changed.</t>
  </si>
  <si>
    <t>RB-03491</t>
  </si>
  <si>
    <t>P10-F03491</t>
  </si>
  <si>
    <t>PBK-1512</t>
  </si>
  <si>
    <t>HistoricalFile=Data/Scripts/Trades/Gardening/Gumps/SetToDecorativeGump.cs; Risk=Runtime;Player;Staff; POST-BATCH-K is audit/runtime-surface triage only. No command names, gump button IDs, PlayerMobile fields, region policy, XML/config, save layout, or gameplay behavior changed.</t>
  </si>
  <si>
    <t>RB-03492</t>
  </si>
  <si>
    <t>P10-F03492</t>
  </si>
  <si>
    <t>PBO-0218</t>
  </si>
  <si>
    <t>POST-BATCH-N lane=POST-BATCH-N-GUMP-GUARD-SOURCE-BATCH; FileProofStatus=CurrentPathConfirmed; CurrentFile=Data/Scripts/Trades/Guild/Gumps/EnhancementGump.cs; Line=79; SourceLine=public override void OnResponse(Network.NetState sender, RelayInfo info); PathResolution=OriginalPathCurrent; MatchQuality=RuntimeHookMapFileLine; HookKind=Gump; GuardList=BoundsGuard;StateGuard; Access=; Command=; Handler=; DisabledEvidence=False; RuntimeHookMap=HookType=Gump;Marker=OnResponse;Access=Internal;Risk=High;Guards=BoundsGuard;StateGuard POST-BATCH-O decision=Fixed; ReviewClass=GuardedCallbackFixed; SourceRepair=Added response-time guards for null packet state, null/deleted responders, stale stored state, deleted targets, malformed text/index input, or equivalent callback hazards as applicable to this file.</t>
  </si>
  <si>
    <t>PreviousPostAuditBatch=POST-BATCH-K; PreviousReviewRowId=PBK-1513; POST-BATCH-O ReviewRowId=PBO-0218; Public APIs, namespaces, serialized layout, file location, command names, and button IDs were preserved.</t>
  </si>
  <si>
    <t>RB-03493</t>
  </si>
  <si>
    <t>P10-F03493</t>
  </si>
  <si>
    <t>PBK-1514</t>
  </si>
  <si>
    <t>HistoricalFile=Data/Scripts/Trades/Stone/BaseStatue.cs; Risk=Runtime;Player;Staff; POST-BATCH-K is audit/runtime-surface triage only. No command names, gump button IDs, PlayerMobile fields, region policy, XML/config, save layout, or gameplay behavior changed.</t>
  </si>
  <si>
    <t>RB-03494</t>
  </si>
  <si>
    <t>P10-F03494</t>
  </si>
  <si>
    <t>Data/System/Source/HuePicker.cs</t>
  </si>
  <si>
    <t>PBO-0143</t>
  </si>
  <si>
    <t>POST-BATCH-N lane=POST-BATCH-N-GUMP-GUARD-SOURCE-BATCH; FileProofStatus=CurrentPathConfirmed; CurrentFile=Data/System/Source/HuePicker.cs; Line=53; SourceLine=public virtual void OnResponse(int hue) { }; PathResolution=OriginalPathCurrent; MatchQuality=RuntimeHookMapFileLine; HookKind=Gump; GuardList=StateGuard; Access=; Command=; Handler=; DisabledEvidence=False; RuntimeHookMap=HookType=Gump;Marker=OnResponse;Access=Internal;Risk=High;Guards=StateGuard POST-BATCH-O decision=FalsePositive; ReviewClass=BaseOrNoOpCallback; SourceRepair=Reviewed as interface/base/no-op callback surface; no source defect exists at this row.</t>
  </si>
  <si>
    <t>PreviousPostAuditBatch=POST-BATCH-K; PreviousReviewRowId=PBK-1515; POST-BATCH-O ReviewRowId=PBO-0143; No runtime mutation or callback body exists in this row.</t>
  </si>
  <si>
    <t>RB-03495</t>
  </si>
  <si>
    <t>P10-F03495</t>
  </si>
  <si>
    <t>Data/System/Source/Prompt.cs</t>
  </si>
  <si>
    <t>PBO-0144</t>
  </si>
  <si>
    <t>POST-BATCH-N lane=POST-BATCH-N-GUMP-GUARD-SOURCE-BATCH; FileProofStatus=CurrentPathConfirmed; CurrentFile=Data/System/Source/Prompt.cs; Line=46; SourceLine=public virtual void OnResponse(Mobile from, string text) { }; PathResolution=OriginalPathCurrent; MatchQuality=RuntimeHookMapFileLine; HookKind=Gump; GuardList=StateGuard; Access=; Command=; Handler=; DisabledEvidence=False; RuntimeHookMap=HookType=Gump;Marker=OnResponse;Access=Internal;Risk=High;Guards=StateGuard POST-BATCH-O decision=FalsePositive; ReviewClass=BaseOrNoOpCallback; SourceRepair=Reviewed as interface/base/no-op callback surface; no source defect exists at this row.</t>
  </si>
  <si>
    <t>PreviousPostAuditBatch=POST-BATCH-K; PreviousReviewRowId=PBK-1516; POST-BATCH-O ReviewRowId=PBO-0144; No runtime mutation or callback body exists in this row.</t>
  </si>
  <si>
    <t>RB-03496</t>
  </si>
  <si>
    <t>P10-F03496</t>
  </si>
  <si>
    <t>PBO-0145</t>
  </si>
  <si>
    <t>POST-BATCH-N lane=POST-BATCH-N-GUMP-GUARD-SOURCE-BATCH; FileProofStatus=CurrentPathConfirmed; CurrentFile=Data/System/Source/Menus/IMenu.cs; Line=32; SourceLine=void OnResponse(NetState state, int index);; PathResolution=OriginalPathCurrent; MatchQuality=RuntimeHookMapFileLine; HookKind=Gump; GuardList=BoundsGuard;StateGuard; Access=; Command=; Handler=; DisabledEvidence=False; RuntimeHookMap=HookType=Gump;Marker=OnResponse;Access=Internal;Risk=High;Guards=BoundsGuard;StateGuard POST-BATCH-O decision=FalsePositive; ReviewClass=BaseOrNoOpCallback; SourceRepair=Reviewed as interface/base/no-op callback surface; no source defect exists at this row.</t>
  </si>
  <si>
    <t>PreviousPostAuditBatch=POST-BATCH-K; PreviousReviewRowId=PBK-1517; POST-BATCH-O ReviewRowId=PBO-0145; No runtime mutation or callback body exists in this row.</t>
  </si>
  <si>
    <t>RB-03497</t>
  </si>
  <si>
    <t>P10-F03497</t>
  </si>
  <si>
    <t>PBO-0146</t>
  </si>
  <si>
    <t>POST-BATCH-N lane=POST-BATCH-N-GUMP-GUARD-SOURCE-BATCH; FileProofStatus=CurrentPathConfirmed; CurrentFile=Data/System/Source/Menus/ItemListMenu.cs; Line=103; SourceLine=public virtual void OnResponse(NetState state, int index) { }; PathResolution=OriginalPathCurrent; MatchQuality=RuntimeHookMapFileLine; HookKind=Gump; GuardList=BoundsGuard;StateGuard; Access=; Command=; Handler=; DisabledEvidence=False; RuntimeHookMap=HookType=Gump;Marker=OnResponse;Access=Internal;Risk=High;Guards=BoundsGuard;StateGuard POST-BATCH-O decision=FalsePositive; ReviewClass=BaseOrNoOpCallback; SourceRepair=Reviewed as interface/base/no-op callback surface; no source defect exists at this row.</t>
  </si>
  <si>
    <t>PreviousPostAuditBatch=POST-BATCH-K; PreviousReviewRowId=PBK-1518; POST-BATCH-O ReviewRowId=PBO-0146; No runtime mutation or callback body exists in this row.</t>
  </si>
  <si>
    <t>RB-03498</t>
  </si>
  <si>
    <t>P10-F03498</t>
  </si>
  <si>
    <t>PBO-0147</t>
  </si>
  <si>
    <t>POST-BATCH-N lane=POST-BATCH-N-GUMP-GUARD-SOURCE-BATCH; FileProofStatus=CurrentPathConfirmed; CurrentFile=Data/System/Source/Menus/QuestionMenu.cs; Line=69; SourceLine=public virtual void OnResponse(NetState state, int index) { }; PathResolution=OriginalPathCurrent; MatchQuality=RuntimeHookMapFileLine; HookKind=Gump; GuardList=BoundsGuard;StateGuard; Access=; Command=; Handler=; DisabledEvidence=False; RuntimeHookMap=HookType=Gump;Marker=OnResponse;Access=Internal;Risk=High;Guards=BoundsGuard;StateGuard POST-BATCH-O decision=FalsePositive; ReviewClass=BaseOrNoOpCallback; SourceRepair=Reviewed as interface/base/no-op callback surface; no source defect exists at this row.</t>
  </si>
  <si>
    <t>PreviousPostAuditBatch=POST-BATCH-K; PreviousReviewRowId=PBK-1519; POST-BATCH-O ReviewRowId=PBO-0147; No runtime mutation or callback body exists in this row.</t>
  </si>
  <si>
    <t>RB-03503</t>
  </si>
  <si>
    <t>P10-F03503</t>
  </si>
  <si>
    <t>Data/Scripts/Custom/Government System/Commands/AdminAdd.cs</t>
  </si>
  <si>
    <t>PBO-0004</t>
  </si>
  <si>
    <t>Reviewed as a gump open-site row; POST-BATCH-O did not change open-site behavior because response/callback safety is handled at the callback implementation.</t>
  </si>
  <si>
    <t>POST-BATCH-N lane=POST-BATCH-N-GUMP-GUARD-SOURCE-BATCH; FileProofStatus=CurrentPathConfirmed; CurrentFile=Data/Scripts/Custom/Government System/Commands/AdminAdd.cs; Line=27; SourceLine=e.Mobile.SendGump(new AdminAddGump(0, e.Mobile, new ArrayList(), new ArrayList()));; PathResolution=OriginalPathCurrent; MatchQuality=RuntimeHookMapFileLine; HookKind=Gump; GuardList=AccessGuard; Access=; Command=; Handler=; DisabledEvidence=False; RuntimeHookMap=HookType=Gump;Marker=SendGump;Access=Internal;Risk=High;Guards=AccessGuard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</si>
  <si>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PreviousReviewRowId=PBK-1520; POST-BATCH-O ReviewRowId=PBO-0004; No command semantics, button IDs, target gump construction, or access policy changed.</t>
  </si>
  <si>
    <t>RB-03504</t>
  </si>
  <si>
    <t>P10-F03504</t>
  </si>
  <si>
    <t>Data/Scripts/Custom/Government System/Commands/FindCities.cs</t>
  </si>
  <si>
    <t>PBO-0005</t>
  </si>
  <si>
    <t>POST-BATCH-N lane=POST-BATCH-N-GUMP-GUARD-SOURCE-BATCH; FileProofStatus=CurrentPathConfirmed; CurrentFile=Data/Scripts/Custom/Government System/Commands/FindCities.cs; Line=27; SourceLine=e.Mobile.SendGump(new FindCitiesGump(0, null, null));; PathResolution=OriginalPathCurrent; MatchQuality=RuntimeHookMapFileLine; HookKind=Gump; GuardList=AccessGuard;NullGuard; Access=; Command=; Handler=; DisabledEvidence=False; RuntimeHookMap=HookType=Gump;Marker=SendGump;Access=Internal;Risk=High;Guards=AccessGuard;NullGuard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</si>
  <si>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PreviousReviewRowId=PBK-1521; POST-BATCH-O ReviewRowId=PBO-0005; No command semantics, button IDs, target gump construction, or access policy changed.</t>
  </si>
  <si>
    <t>RB-03505</t>
  </si>
  <si>
    <t>P10-F03505</t>
  </si>
  <si>
    <t>Data/Scripts/Custom/Government System/Commands/GovHelp.cs</t>
  </si>
  <si>
    <t>PBO-0006</t>
  </si>
  <si>
    <t>POST-BATCH-N lane=POST-BATCH-N-GUMP-GUARD-SOURCE-BATCH; FileProofStatus=CurrentPathConfirmed; CurrentFile=Data/Scripts/Custom/Government System/Commands/GovHelp.cs; Line=27; SourceLine=e.Mobile.SendGump(new GovHelpGump());; PathResolution=OriginalPathCurrent; MatchQuality=RuntimeHookMapFileLine; HookKind=Gump; GuardList=AccessGuard; Access=; Command=; Handler=; DisabledEvidence=False; RuntimeHookMap=HookType=Gump;Marker=SendGump;Access=Internal;Risk=High;Guards=AccessGuard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</si>
  <si>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PreviousReviewRowId=PBK-1522; POST-BATCH-O ReviewRowId=PBO-0006; No command semantics, button IDs, target gump construction, or access policy changed.</t>
  </si>
  <si>
    <t>RB-03506</t>
  </si>
  <si>
    <t>P10-F03506</t>
  </si>
  <si>
    <t>PBK-1523</t>
  </si>
  <si>
    <t>RB-03507</t>
  </si>
  <si>
    <t>P10-F03507</t>
  </si>
  <si>
    <t>PBK-1524</t>
  </si>
  <si>
    <t>RB-03508</t>
  </si>
  <si>
    <t>P10-F03508</t>
  </si>
  <si>
    <t>PBK-1525</t>
  </si>
  <si>
    <t>RB-03509</t>
  </si>
  <si>
    <t>P10-F03509</t>
  </si>
  <si>
    <t>PBK-1526</t>
  </si>
  <si>
    <t>RB-03510</t>
  </si>
  <si>
    <t>P10-F03510</t>
  </si>
  <si>
    <t>PBO-0007</t>
  </si>
  <si>
    <t>POST-BATCH-N lane=POST-BATCH-N-GUMP-GUARD-SOURCE-BATCH; FileProofStatus=CurrentPathConfirmed; CurrentFile=Data/Scripts/Custom/Government System/Prompts/CitizenTitleChangePrompt.cs; Line=26; SourceLine=m_Mayor.SendGump(new CityManagementGump(m_Stone, m_Mayor));;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</si>
  <si>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PreviousReviewRowId=PBK-1527; POST-BATCH-O ReviewRowId=PBO-0007; No command semantics, button IDs, target gump construction, or access policy changed.</t>
  </si>
  <si>
    <t>RB-03511</t>
  </si>
  <si>
    <t>P10-F03511</t>
  </si>
  <si>
    <t>PBO-0008</t>
  </si>
  <si>
    <t>POST-BATCH-N lane=POST-BATCH-N-GUMP-GUARD-SOURCE-BATCH; FileProofStatus=CurrentPathConfirmed; CurrentFile=Data/Scripts/Custom/Government System/Prompts/CitizenTitleChangePrompt.cs; Line=46; SourceLine=m_Mayor.SendGump(new CityManagementGump(m_Stone, m_Mayor));;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</si>
  <si>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PreviousReviewRowId=PBK-1528; POST-BATCH-O ReviewRowId=PBO-0008; No command semantics, button IDs, target gump construction, or access policy changed.</t>
  </si>
  <si>
    <t>RB-03512</t>
  </si>
  <si>
    <t>P10-F03512</t>
  </si>
  <si>
    <t>PBK-1529</t>
  </si>
  <si>
    <t>RB-03513</t>
  </si>
  <si>
    <t>P10-F03513</t>
  </si>
  <si>
    <t>PBK-1530</t>
  </si>
  <si>
    <t>RB-03514</t>
  </si>
  <si>
    <t>P10-F03514</t>
  </si>
  <si>
    <t>PBK-1531</t>
  </si>
  <si>
    <t>RB-03515</t>
  </si>
  <si>
    <t>P10-F03515</t>
  </si>
  <si>
    <t>PBK-1532</t>
  </si>
  <si>
    <t>RB-03516</t>
  </si>
  <si>
    <t>P10-F03516</t>
  </si>
  <si>
    <t>PBK-1533</t>
  </si>
  <si>
    <t>RB-03517</t>
  </si>
  <si>
    <t>P10-F03517</t>
  </si>
  <si>
    <t>PBK-1534</t>
  </si>
  <si>
    <t>RB-03518</t>
  </si>
  <si>
    <t>P10-F03518</t>
  </si>
  <si>
    <t>PBK-1535</t>
  </si>
  <si>
    <t>RB-03519</t>
  </si>
  <si>
    <t>P10-F03519</t>
  </si>
  <si>
    <t>PBK-1536</t>
  </si>
  <si>
    <t>RB-03520</t>
  </si>
  <si>
    <t>P10-F03520</t>
  </si>
  <si>
    <t>PBK-1537</t>
  </si>
  <si>
    <t>RB-03521</t>
  </si>
  <si>
    <t>P10-F03521</t>
  </si>
  <si>
    <t>PBK-1538</t>
  </si>
  <si>
    <t>RB-03522</t>
  </si>
  <si>
    <t>P10-F03522</t>
  </si>
  <si>
    <t>PBO-0009</t>
  </si>
  <si>
    <t>POST-BATCH-N lane=POST-BATCH-N-GUMP-GUARD-SOURCE-BATCH; FileProofStatus=CurrentPathConfirmed; CurrentFile=Data/Scripts/Custom/Government System/Prompts/CityTreasuryDepoistPrompt.cs; Line=26;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</si>
  <si>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PreviousReviewRowId=PBK-1539; POST-BATCH-O ReviewRowId=PBO-0009; No command semantics, button IDs, target gump construction, or access policy changed.</t>
  </si>
  <si>
    <t>RB-03523</t>
  </si>
  <si>
    <t>P10-F03523</t>
  </si>
  <si>
    <t>PBO-0010</t>
  </si>
  <si>
    <t>POST-BATCH-N lane=POST-BATCH-N-GUMP-GUARD-SOURCE-BATCH; FileProofStatus=CurrentPathConfirmed; CurrentFile=Data/Scripts/Custom/Government System/Prompts/CityTreasuryDepoistPrompt.cs; Line=31; SourceLine=m_From.SendGump(new CityCitizenGump(m_Stone,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</si>
  <si>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PreviousReviewRowId=PBK-1540; POST-BATCH-O ReviewRowId=PBO-0010; No command semantics, button IDs, target gump construction, or access policy changed.</t>
  </si>
  <si>
    <t>RB-03524</t>
  </si>
  <si>
    <t>P10-F03524</t>
  </si>
  <si>
    <t>PBO-0011</t>
  </si>
  <si>
    <t>POST-BATCH-N lane=POST-BATCH-N-GUMP-GUARD-SOURCE-BATCH; FileProofStatus=CurrentPathConfirmed; CurrentFile=Data/Scripts/Custom/Government System/Prompts/CityTreasuryDepoistPrompt.cs; Line=71;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</si>
  <si>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PreviousReviewRowId=PBK-1541; POST-BATCH-O ReviewRowId=PBO-0011; No command semantics, button IDs, target gump construction, or access policy changed.</t>
  </si>
  <si>
    <t>RB-03525</t>
  </si>
  <si>
    <t>P10-F03525</t>
  </si>
  <si>
    <t>PBO-0012</t>
  </si>
  <si>
    <t>POST-BATCH-N lane=POST-BATCH-N-GUMP-GUARD-SOURCE-BATCH; FileProofStatus=CurrentPathConfirmed; CurrentFile=Data/Scripts/Custom/Government System/Prompts/CityTreasuryDepoistPrompt.cs; Line=76; SourceLine=m_From.SendGump(new CityCitizenGump(m_Stone,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</si>
  <si>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PreviousReviewRowId=PBK-1542; POST-BATCH-O ReviewRowId=PBO-0012; No command semantics, button IDs, target gump construction, or access policy changed.</t>
  </si>
  <si>
    <t>RB-03526</t>
  </si>
  <si>
    <t>P10-F03526</t>
  </si>
  <si>
    <t>PBO-0013</t>
  </si>
  <si>
    <t>POST-BATCH-N lane=POST-BATCH-N-GUMP-GUARD-SOURCE-BATCH; FileProofStatus=CurrentPathConfirmed; CurrentFile=Data/Scripts/Custom/Government System/Prompts/CityURLPrompt.cs; Line=23;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</si>
  <si>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PreviousReviewRowId=PBK-1543; POST-BATCH-O ReviewRowId=PBO-0013; No command semantics, button IDs, target gump construction, or access policy changed.</t>
  </si>
  <si>
    <t>RB-03527</t>
  </si>
  <si>
    <t>P10-F03527</t>
  </si>
  <si>
    <t>PBO-0014</t>
  </si>
  <si>
    <t>POST-BATCH-N lane=POST-BATCH-N-GUMP-GUARD-SOURCE-BATCH; FileProofStatus=CurrentPathConfirmed; CurrentFile=Data/Scripts/Custom/Government System/Prompts/CityURLPrompt.cs; Line=40; SourceLine=m_From.SendGump(new CityManagementGump(m_Stone, m_From));;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</si>
  <si>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PreviousReviewRowId=PBK-1544; POST-BATCH-O ReviewRowId=PBO-0014; No command semantics, button IDs, target gump construction, or access policy changed.</t>
  </si>
  <si>
    <t>RB-03528</t>
  </si>
  <si>
    <t>P10-F03528</t>
  </si>
  <si>
    <t>PBO-0046</t>
  </si>
  <si>
    <t>POST-BATCH-N lane=POST-BATCH-N-GUMP-GUARD-SOURCE-BATCH; FileProofStatus=CurrentPathConfirmed; CurrentFile=Data/Scripts/Custom/Invasion System/Add Ins/Metal Assemblies/Assembly Analyzer.cs; Line=71; SourceLine=from.SendGump(new DruidismGump(from, (BaseCreature)creature, 1));;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</si>
  <si>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PreviousReviewRowId=PBK-1545; POST-BATCH-O ReviewRowId=PBO-0046; No command semantics, button IDs, target gump construction, or access policy changed.</t>
  </si>
  <si>
    <t>RB-03529</t>
  </si>
  <si>
    <t>P10-F03529</t>
  </si>
  <si>
    <t>PBK-1546</t>
  </si>
  <si>
    <t>RB-03530</t>
  </si>
  <si>
    <t>P10-F03530</t>
  </si>
  <si>
    <t>PBK-1547</t>
  </si>
  <si>
    <t>RB-03531</t>
  </si>
  <si>
    <t>P10-F03531</t>
  </si>
  <si>
    <t>PBK-1548</t>
  </si>
  <si>
    <t>RB-03532</t>
  </si>
  <si>
    <t>P10-F03532</t>
  </si>
  <si>
    <t>PBK-1549</t>
  </si>
  <si>
    <t>RB-03533</t>
  </si>
  <si>
    <t>P10-F03533</t>
  </si>
  <si>
    <t>PBK-1550</t>
  </si>
  <si>
    <t>RB-03534</t>
  </si>
  <si>
    <t>P10-F03534</t>
  </si>
  <si>
    <t>PBK-1551</t>
  </si>
  <si>
    <t>RB-03535</t>
  </si>
  <si>
    <t>P10-F03535</t>
  </si>
  <si>
    <t>PBK-1552</t>
  </si>
  <si>
    <t>RB-03536</t>
  </si>
  <si>
    <t>P10-F03536</t>
  </si>
  <si>
    <t>PBK-1553</t>
  </si>
  <si>
    <t>RB-03537</t>
  </si>
  <si>
    <t>P10-F03537</t>
  </si>
  <si>
    <t>PBK-1554</t>
  </si>
  <si>
    <t>RB-03538</t>
  </si>
  <si>
    <t>P10-F03538</t>
  </si>
  <si>
    <t>PBK-1555</t>
  </si>
  <si>
    <t>RB-03539</t>
  </si>
  <si>
    <t>P10-F03539</t>
  </si>
  <si>
    <t>PBK-1556</t>
  </si>
  <si>
    <t>RB-03540</t>
  </si>
  <si>
    <t>P10-F03540</t>
  </si>
  <si>
    <t>PBK-1557</t>
  </si>
  <si>
    <t>RB-03541</t>
  </si>
  <si>
    <t>P10-F03541</t>
  </si>
  <si>
    <t>PBK-1558</t>
  </si>
  <si>
    <t>RB-03542</t>
  </si>
  <si>
    <t>P10-F03542</t>
  </si>
  <si>
    <t>PBK-1559</t>
  </si>
  <si>
    <t>RB-03543</t>
  </si>
  <si>
    <t>P10-F03543</t>
  </si>
  <si>
    <t>PBK-1560</t>
  </si>
  <si>
    <t>RB-03544</t>
  </si>
  <si>
    <t>P10-F03544</t>
  </si>
  <si>
    <t>PBK-1561</t>
  </si>
  <si>
    <t>RB-03545</t>
  </si>
  <si>
    <t>P10-F03545</t>
  </si>
  <si>
    <t>PBK-1562</t>
  </si>
  <si>
    <t>RB-03546</t>
  </si>
  <si>
    <t>P10-F03546</t>
  </si>
  <si>
    <t>PBK-1563</t>
  </si>
  <si>
    <t>RB-03547</t>
  </si>
  <si>
    <t>P10-F03547</t>
  </si>
  <si>
    <t>PBK-1564</t>
  </si>
  <si>
    <t>RB-03548</t>
  </si>
  <si>
    <t>P10-F03548</t>
  </si>
  <si>
    <t>PBK-1565</t>
  </si>
  <si>
    <t>RB-03549</t>
  </si>
  <si>
    <t>P10-F03549</t>
  </si>
  <si>
    <t>PBK-1566</t>
  </si>
  <si>
    <t>RB-03550</t>
  </si>
  <si>
    <t>P10-F03550</t>
  </si>
  <si>
    <t>PBK-1567</t>
  </si>
  <si>
    <t>RB-03551</t>
  </si>
  <si>
    <t>P10-F03551</t>
  </si>
  <si>
    <t>PBK-1568</t>
  </si>
  <si>
    <t>RB-03552</t>
  </si>
  <si>
    <t>P10-F03552</t>
  </si>
  <si>
    <t>PBK-1569</t>
  </si>
  <si>
    <t>RB-03553</t>
  </si>
  <si>
    <t>P10-F03553</t>
  </si>
  <si>
    <t>PBK-1570</t>
  </si>
  <si>
    <t>RB-03554</t>
  </si>
  <si>
    <t>P10-F03554</t>
  </si>
  <si>
    <t>PBK-1571</t>
  </si>
  <si>
    <t>RB-03555</t>
  </si>
  <si>
    <t>P10-F03555</t>
  </si>
  <si>
    <t>PBK-1572</t>
  </si>
  <si>
    <t>RB-03556</t>
  </si>
  <si>
    <t>P10-F03556</t>
  </si>
  <si>
    <t>PBK-1573</t>
  </si>
  <si>
    <t>RB-03557</t>
  </si>
  <si>
    <t>P10-F03557</t>
  </si>
  <si>
    <t>PBK-1574</t>
  </si>
  <si>
    <t>RB-03558</t>
  </si>
  <si>
    <t>P10-F03558</t>
  </si>
  <si>
    <t>PBK-1575</t>
  </si>
  <si>
    <t>RB-03559</t>
  </si>
  <si>
    <t>P10-F03559</t>
  </si>
  <si>
    <t>PBK-1576</t>
  </si>
  <si>
    <t>RB-03560</t>
  </si>
  <si>
    <t>P10-F03560</t>
  </si>
  <si>
    <t>PBK-1577</t>
  </si>
  <si>
    <t>RB-03561</t>
  </si>
  <si>
    <t>P10-F03561</t>
  </si>
  <si>
    <t>PBK-1578</t>
  </si>
  <si>
    <t>RB-03562</t>
  </si>
  <si>
    <t>P10-F03562</t>
  </si>
  <si>
    <t>PBK-1579</t>
  </si>
  <si>
    <t>RB-03563</t>
  </si>
  <si>
    <t>P10-F03563</t>
  </si>
  <si>
    <t>PBK-1580</t>
  </si>
  <si>
    <t>RB-03564</t>
  </si>
  <si>
    <t>P10-F03564</t>
  </si>
  <si>
    <t>PBK-1581</t>
  </si>
  <si>
    <t>RB-03565</t>
  </si>
  <si>
    <t>P10-F03565</t>
  </si>
  <si>
    <t>PBK-1582</t>
  </si>
  <si>
    <t>RB-03566</t>
  </si>
  <si>
    <t>P10-F03566</t>
  </si>
  <si>
    <t>PBK-1583</t>
  </si>
  <si>
    <t>RB-03567</t>
  </si>
  <si>
    <t>P10-F03567</t>
  </si>
  <si>
    <t>PBK-1584</t>
  </si>
  <si>
    <t>RB-03568</t>
  </si>
  <si>
    <t>P10-F03568</t>
  </si>
  <si>
    <t>PBK-1585</t>
  </si>
  <si>
    <t>RB-03569</t>
  </si>
  <si>
    <t>P10-F03569</t>
  </si>
  <si>
    <t>PBK-1586</t>
  </si>
  <si>
    <t>RB-03570</t>
  </si>
  <si>
    <t>P10-F03570</t>
  </si>
  <si>
    <t>PBK-1587</t>
  </si>
  <si>
    <t>RB-03571</t>
  </si>
  <si>
    <t>P10-F03571</t>
  </si>
  <si>
    <t>PBK-1588</t>
  </si>
  <si>
    <t>RB-03572</t>
  </si>
  <si>
    <t>P10-F03572</t>
  </si>
  <si>
    <t>PBK-1589</t>
  </si>
  <si>
    <t>RB-03573</t>
  </si>
  <si>
    <t>P10-F03573</t>
  </si>
  <si>
    <t>PBK-1590</t>
  </si>
  <si>
    <t>RB-03574</t>
  </si>
  <si>
    <t>P10-F03574</t>
  </si>
  <si>
    <t>PBK-1591</t>
  </si>
  <si>
    <t>RB-03575</t>
  </si>
  <si>
    <t>P10-F03575</t>
  </si>
  <si>
    <t>PBK-1592</t>
  </si>
  <si>
    <t>RB-03576</t>
  </si>
  <si>
    <t>P10-F03576</t>
  </si>
  <si>
    <t>PBK-1593</t>
  </si>
  <si>
    <t>RB-03577</t>
  </si>
  <si>
    <t>P10-F03577</t>
  </si>
  <si>
    <t>PBK-1594</t>
  </si>
  <si>
    <t>RB-03578</t>
  </si>
  <si>
    <t>P10-F03578</t>
  </si>
  <si>
    <t>PBK-1595</t>
  </si>
  <si>
    <t>RB-03579</t>
  </si>
  <si>
    <t>P10-F03579</t>
  </si>
  <si>
    <t>PBK-1596</t>
  </si>
  <si>
    <t>RB-03580</t>
  </si>
  <si>
    <t>P10-F03580</t>
  </si>
  <si>
    <t>PBK-1597</t>
  </si>
  <si>
    <t>RB-03581</t>
  </si>
  <si>
    <t>P10-F03581</t>
  </si>
  <si>
    <t>PBK-1598</t>
  </si>
  <si>
    <t>RB-03582</t>
  </si>
  <si>
    <t>P10-F03582</t>
  </si>
  <si>
    <t>PBK-1599</t>
  </si>
  <si>
    <t>RB-03583</t>
  </si>
  <si>
    <t>P10-F03583</t>
  </si>
  <si>
    <t>PBK-1600</t>
  </si>
  <si>
    <t>RB-03584</t>
  </si>
  <si>
    <t>P10-F03584</t>
  </si>
  <si>
    <t>PBK-1601</t>
  </si>
  <si>
    <t>RB-03585</t>
  </si>
  <si>
    <t>P10-F03585</t>
  </si>
  <si>
    <t>PBK-1602</t>
  </si>
  <si>
    <t>RB-03586</t>
  </si>
  <si>
    <t>P10-F03586</t>
  </si>
  <si>
    <t>PBK-1603</t>
  </si>
  <si>
    <t>RB-03587</t>
  </si>
  <si>
    <t>P10-F03587</t>
  </si>
  <si>
    <t>PBK-1604</t>
  </si>
  <si>
    <t>RB-03588</t>
  </si>
  <si>
    <t>P10-F03588</t>
  </si>
  <si>
    <t>PBK-1605</t>
  </si>
  <si>
    <t>RB-03589</t>
  </si>
  <si>
    <t>P10-F03589</t>
  </si>
  <si>
    <t>PBK-1606</t>
  </si>
  <si>
    <t>RB-03590</t>
  </si>
  <si>
    <t>P10-F03590</t>
  </si>
  <si>
    <t>PBK-1607</t>
  </si>
  <si>
    <t>RB-03591</t>
  </si>
  <si>
    <t>P10-F03591</t>
  </si>
  <si>
    <t>PBK-1608</t>
  </si>
  <si>
    <t>RB-03592</t>
  </si>
  <si>
    <t>P10-F03592</t>
  </si>
  <si>
    <t>PBK-1609</t>
  </si>
  <si>
    <t>RB-03593</t>
  </si>
  <si>
    <t>P10-F03593</t>
  </si>
  <si>
    <t>PBK-1610</t>
  </si>
  <si>
    <t>RB-03594</t>
  </si>
  <si>
    <t>P10-F03594</t>
  </si>
  <si>
    <t>PBK-1611</t>
  </si>
  <si>
    <t>RB-03595</t>
  </si>
  <si>
    <t>P10-F03595</t>
  </si>
  <si>
    <t>PBK-1612</t>
  </si>
  <si>
    <t>RB-03596</t>
  </si>
  <si>
    <t>P10-F03596</t>
  </si>
  <si>
    <t>PBK-1613</t>
  </si>
  <si>
    <t>RB-03597</t>
  </si>
  <si>
    <t>P10-F03597</t>
  </si>
  <si>
    <t>PBK-1614</t>
  </si>
  <si>
    <t>RB-03598</t>
  </si>
  <si>
    <t>P10-F03598</t>
  </si>
  <si>
    <t>PBK-1615</t>
  </si>
  <si>
    <t>RB-03599</t>
  </si>
  <si>
    <t>P10-F03599</t>
  </si>
  <si>
    <t>PBK-1616</t>
  </si>
  <si>
    <t>RB-03600</t>
  </si>
  <si>
    <t>P10-F03600</t>
  </si>
  <si>
    <t>PBK-1617</t>
  </si>
  <si>
    <t>RB-03601</t>
  </si>
  <si>
    <t>P10-F03601</t>
  </si>
  <si>
    <t>PBK-1618</t>
  </si>
  <si>
    <t>RB-03602</t>
  </si>
  <si>
    <t>P10-F03602</t>
  </si>
  <si>
    <t>PBK-1619</t>
  </si>
  <si>
    <t>RB-03603</t>
  </si>
  <si>
    <t>P10-F03603</t>
  </si>
  <si>
    <t>PBK-1620</t>
  </si>
  <si>
    <t>RB-03604</t>
  </si>
  <si>
    <t>P10-F03604</t>
  </si>
  <si>
    <t>PBK-1621</t>
  </si>
  <si>
    <t>RB-03605</t>
  </si>
  <si>
    <t>P10-F03605</t>
  </si>
  <si>
    <t>PBK-1622</t>
  </si>
  <si>
    <t>RB-03606</t>
  </si>
  <si>
    <t>P10-F03606</t>
  </si>
  <si>
    <t>PBK-1623</t>
  </si>
  <si>
    <t>RB-03607</t>
  </si>
  <si>
    <t>P10-F03607</t>
  </si>
  <si>
    <t>PBK-1624</t>
  </si>
  <si>
    <t>RB-03608</t>
  </si>
  <si>
    <t>P10-F03608</t>
  </si>
  <si>
    <t>PBK-1625</t>
  </si>
  <si>
    <t>RB-03609</t>
  </si>
  <si>
    <t>P10-F03609</t>
  </si>
  <si>
    <t>PBK-1626</t>
  </si>
  <si>
    <t>RB-03610</t>
  </si>
  <si>
    <t>P10-F03610</t>
  </si>
  <si>
    <t>PBK-1627</t>
  </si>
  <si>
    <t>RB-03611</t>
  </si>
  <si>
    <t>P10-F03611</t>
  </si>
  <si>
    <t>PBK-1628</t>
  </si>
  <si>
    <t>RB-03612</t>
  </si>
  <si>
    <t>P10-F03612</t>
  </si>
  <si>
    <t>PBK-1629</t>
  </si>
  <si>
    <t>RB-03613</t>
  </si>
  <si>
    <t>P10-F03613</t>
  </si>
  <si>
    <t>PBK-1630</t>
  </si>
  <si>
    <t>RB-03614</t>
  </si>
  <si>
    <t>P10-F03614</t>
  </si>
  <si>
    <t>PBK-1631</t>
  </si>
  <si>
    <t>RB-03615</t>
  </si>
  <si>
    <t>P10-F03615</t>
  </si>
  <si>
    <t>PBK-1632</t>
  </si>
  <si>
    <t>RB-03616</t>
  </si>
  <si>
    <t>P10-F03616</t>
  </si>
  <si>
    <t>PBK-1633</t>
  </si>
  <si>
    <t>RB-03617</t>
  </si>
  <si>
    <t>P10-F03617</t>
  </si>
  <si>
    <t>PBK-1634</t>
  </si>
  <si>
    <t>RB-03618</t>
  </si>
  <si>
    <t>P10-F03618</t>
  </si>
  <si>
    <t>PBK-1635</t>
  </si>
  <si>
    <t>RB-03619</t>
  </si>
  <si>
    <t>P10-F03619</t>
  </si>
  <si>
    <t>PBK-1636</t>
  </si>
  <si>
    <t>RB-03620</t>
  </si>
  <si>
    <t>P10-F03620</t>
  </si>
  <si>
    <t>PBK-1637</t>
  </si>
  <si>
    <t>RB-03621</t>
  </si>
  <si>
    <t>P10-F03621</t>
  </si>
  <si>
    <t>PBK-1638</t>
  </si>
  <si>
    <t>RB-03622</t>
  </si>
  <si>
    <t>P10-F03622</t>
  </si>
  <si>
    <t>PBK-1639</t>
  </si>
  <si>
    <t>RB-03623</t>
  </si>
  <si>
    <t>P10-F03623</t>
  </si>
  <si>
    <t>PBK-1640</t>
  </si>
  <si>
    <t>RB-03624</t>
  </si>
  <si>
    <t>P10-F03624</t>
  </si>
  <si>
    <t>PBK-1641</t>
  </si>
  <si>
    <t>RB-03625</t>
  </si>
  <si>
    <t>P10-F03625</t>
  </si>
  <si>
    <t>PBK-1642</t>
  </si>
  <si>
    <t>RB-03626</t>
  </si>
  <si>
    <t>P10-F03626</t>
  </si>
  <si>
    <t>PBK-1643</t>
  </si>
  <si>
    <t>RB-03627</t>
  </si>
  <si>
    <t>P10-F03627</t>
  </si>
  <si>
    <t>PBK-1644</t>
  </si>
  <si>
    <t>RB-03628</t>
  </si>
  <si>
    <t>P10-F03628</t>
  </si>
  <si>
    <t>PBK-1645</t>
  </si>
  <si>
    <t>RB-03629</t>
  </si>
  <si>
    <t>P10-F03629</t>
  </si>
  <si>
    <t>PBK-1646</t>
  </si>
  <si>
    <t>RB-03630</t>
  </si>
  <si>
    <t>P10-F03630</t>
  </si>
  <si>
    <t>PBK-1647</t>
  </si>
  <si>
    <t>RB-03631</t>
  </si>
  <si>
    <t>P10-F03631</t>
  </si>
  <si>
    <t>PBK-1648</t>
  </si>
  <si>
    <t>RB-03632</t>
  </si>
  <si>
    <t>P10-F03632</t>
  </si>
  <si>
    <t>PBK-1649</t>
  </si>
  <si>
    <t>RB-03633</t>
  </si>
  <si>
    <t>P10-F03633</t>
  </si>
  <si>
    <t>PBK-1650</t>
  </si>
  <si>
    <t>RB-03634</t>
  </si>
  <si>
    <t>P10-F03634</t>
  </si>
  <si>
    <t>PBK-1651</t>
  </si>
  <si>
    <t>RB-03635</t>
  </si>
  <si>
    <t>P10-F03635</t>
  </si>
  <si>
    <t>PBK-1652</t>
  </si>
  <si>
    <t>RB-03636</t>
  </si>
  <si>
    <t>P10-F03636</t>
  </si>
  <si>
    <t>PBK-1653</t>
  </si>
  <si>
    <t>RB-03637</t>
  </si>
  <si>
    <t>P10-F03637</t>
  </si>
  <si>
    <t>PBK-1654</t>
  </si>
  <si>
    <t>RB-03638</t>
  </si>
  <si>
    <t>P10-F03638</t>
  </si>
  <si>
    <t>PBK-1655</t>
  </si>
  <si>
    <t>RB-03639</t>
  </si>
  <si>
    <t>P10-F03639</t>
  </si>
  <si>
    <t>PBK-1656</t>
  </si>
  <si>
    <t>RB-03640</t>
  </si>
  <si>
    <t>P10-F03640</t>
  </si>
  <si>
    <t>PBK-1657</t>
  </si>
  <si>
    <t>RB-03641</t>
  </si>
  <si>
    <t>P10-F03641</t>
  </si>
  <si>
    <t>PBK-1658</t>
  </si>
  <si>
    <t>RB-03642</t>
  </si>
  <si>
    <t>P10-F03642</t>
  </si>
  <si>
    <t>PBK-1659</t>
  </si>
  <si>
    <t>RB-03643</t>
  </si>
  <si>
    <t>P10-F03643</t>
  </si>
  <si>
    <t>PBK-1660</t>
  </si>
  <si>
    <t>RB-03644</t>
  </si>
  <si>
    <t>P10-F03644</t>
  </si>
  <si>
    <t>PBK-1661</t>
  </si>
  <si>
    <t>RB-03645</t>
  </si>
  <si>
    <t>P10-F03645</t>
  </si>
  <si>
    <t>PBK-1662</t>
  </si>
  <si>
    <t>RB-03646</t>
  </si>
  <si>
    <t>P10-F03646</t>
  </si>
  <si>
    <t>PBK-1663</t>
  </si>
  <si>
    <t>RB-03647</t>
  </si>
  <si>
    <t>P10-F03647</t>
  </si>
  <si>
    <t>PBK-1664</t>
  </si>
  <si>
    <t>RB-03648</t>
  </si>
  <si>
    <t>P10-F03648</t>
  </si>
  <si>
    <t>PBK-1665</t>
  </si>
  <si>
    <t>RB-03649</t>
  </si>
  <si>
    <t>P10-F03649</t>
  </si>
  <si>
    <t>PBK-1666</t>
  </si>
  <si>
    <t>RB-03650</t>
  </si>
  <si>
    <t>P10-F03650</t>
  </si>
  <si>
    <t>PBK-1667</t>
  </si>
  <si>
    <t>RB-03651</t>
  </si>
  <si>
    <t>P10-F03651</t>
  </si>
  <si>
    <t>PBK-1668</t>
  </si>
  <si>
    <t>RB-03652</t>
  </si>
  <si>
    <t>P10-F03652</t>
  </si>
  <si>
    <t>PBK-1669</t>
  </si>
  <si>
    <t>RB-03653</t>
  </si>
  <si>
    <t>P10-F03653</t>
  </si>
  <si>
    <t>PBK-1670</t>
  </si>
  <si>
    <t>RB-03654</t>
  </si>
  <si>
    <t>P10-F03654</t>
  </si>
  <si>
    <t>PBK-1671</t>
  </si>
  <si>
    <t>RB-03655</t>
  </si>
  <si>
    <t>P10-F03655</t>
  </si>
  <si>
    <t>PBK-1672</t>
  </si>
  <si>
    <t>RB-03656</t>
  </si>
  <si>
    <t>P10-F03656</t>
  </si>
  <si>
    <t>PBK-1673</t>
  </si>
  <si>
    <t>RB-03657</t>
  </si>
  <si>
    <t>P10-F03657</t>
  </si>
  <si>
    <t>PBK-1674</t>
  </si>
  <si>
    <t>RB-03658</t>
  </si>
  <si>
    <t>P10-F03658</t>
  </si>
  <si>
    <t>PBK-1675</t>
  </si>
  <si>
    <t>RB-03659</t>
  </si>
  <si>
    <t>P10-F03659</t>
  </si>
  <si>
    <t>PBK-1676</t>
  </si>
  <si>
    <t>RB-03660</t>
  </si>
  <si>
    <t>P10-F03660</t>
  </si>
  <si>
    <t>PBK-1677</t>
  </si>
  <si>
    <t>RB-03661</t>
  </si>
  <si>
    <t>P10-F03661</t>
  </si>
  <si>
    <t>PBK-1678</t>
  </si>
  <si>
    <t>RB-03662</t>
  </si>
  <si>
    <t>P10-F03662</t>
  </si>
  <si>
    <t>PBK-1679</t>
  </si>
  <si>
    <t>RB-03663</t>
  </si>
  <si>
    <t>P10-F03663</t>
  </si>
  <si>
    <t>PBK-1680</t>
  </si>
  <si>
    <t>RB-03664</t>
  </si>
  <si>
    <t>P10-F03664</t>
  </si>
  <si>
    <t>PBK-1681</t>
  </si>
  <si>
    <t>RB-03665</t>
  </si>
  <si>
    <t>P10-F03665</t>
  </si>
  <si>
    <t>PBK-1682</t>
  </si>
  <si>
    <t>RB-03666</t>
  </si>
  <si>
    <t>P10-F03666</t>
  </si>
  <si>
    <t>PBK-1683</t>
  </si>
  <si>
    <t>RB-03667</t>
  </si>
  <si>
    <t>P10-F03667</t>
  </si>
  <si>
    <t>PBK-1684</t>
  </si>
  <si>
    <t>RB-03668</t>
  </si>
  <si>
    <t>P10-F03668</t>
  </si>
  <si>
    <t>PBK-1685</t>
  </si>
  <si>
    <t>RB-03669</t>
  </si>
  <si>
    <t>P10-F03669</t>
  </si>
  <si>
    <t>PBK-1686</t>
  </si>
  <si>
    <t>RB-03670</t>
  </si>
  <si>
    <t>P10-F03670</t>
  </si>
  <si>
    <t>PBK-1687</t>
  </si>
  <si>
    <t>RB-03671</t>
  </si>
  <si>
    <t>P10-F03671</t>
  </si>
  <si>
    <t>PBK-1688</t>
  </si>
  <si>
    <t>RB-03672</t>
  </si>
  <si>
    <t>P10-F03672</t>
  </si>
  <si>
    <t>PBK-1689</t>
  </si>
  <si>
    <t>RB-03673</t>
  </si>
  <si>
    <t>P10-F03673</t>
  </si>
  <si>
    <t>PBK-1690</t>
  </si>
  <si>
    <t>RB-03674</t>
  </si>
  <si>
    <t>P10-F03674</t>
  </si>
  <si>
    <t>PBK-1691</t>
  </si>
  <si>
    <t>RB-03675</t>
  </si>
  <si>
    <t>P10-F03675</t>
  </si>
  <si>
    <t>PBK-1692</t>
  </si>
  <si>
    <t>RB-03676</t>
  </si>
  <si>
    <t>P10-F03676</t>
  </si>
  <si>
    <t>PBK-1693</t>
  </si>
  <si>
    <t>RB-03677</t>
  </si>
  <si>
    <t>P10-F03677</t>
  </si>
  <si>
    <t>PBK-1694</t>
  </si>
  <si>
    <t>RB-03678</t>
  </si>
  <si>
    <t>P10-F03678</t>
  </si>
  <si>
    <t>PBK-1695</t>
  </si>
  <si>
    <t>RB-03679</t>
  </si>
  <si>
    <t>P10-F03679</t>
  </si>
  <si>
    <t>PBK-1696</t>
  </si>
  <si>
    <t>RB-03680</t>
  </si>
  <si>
    <t>P10-F03680</t>
  </si>
  <si>
    <t>PBK-1697</t>
  </si>
  <si>
    <t>RB-03681</t>
  </si>
  <si>
    <t>P10-F03681</t>
  </si>
  <si>
    <t>PBK-1698</t>
  </si>
  <si>
    <t>RB-03682</t>
  </si>
  <si>
    <t>P10-F03682</t>
  </si>
  <si>
    <t>PBK-1699</t>
  </si>
  <si>
    <t>RB-03683</t>
  </si>
  <si>
    <t>P10-F03683</t>
  </si>
  <si>
    <t>PBK-1700</t>
  </si>
  <si>
    <t>RB-03684</t>
  </si>
  <si>
    <t>P10-F03684</t>
  </si>
  <si>
    <t>PBK-1701</t>
  </si>
  <si>
    <t>RB-03685</t>
  </si>
  <si>
    <t>P10-F03685</t>
  </si>
  <si>
    <t>PBK-1702</t>
  </si>
  <si>
    <t>RB-03686</t>
  </si>
  <si>
    <t>P10-F03686</t>
  </si>
  <si>
    <t>PBK-1703</t>
  </si>
  <si>
    <t>RB-03687</t>
  </si>
  <si>
    <t>P10-F03687</t>
  </si>
  <si>
    <t>PBK-1704</t>
  </si>
  <si>
    <t>RB-03688</t>
  </si>
  <si>
    <t>P10-F03688</t>
  </si>
  <si>
    <t>PBK-1705</t>
  </si>
  <si>
    <t>RB-03689</t>
  </si>
  <si>
    <t>P10-F03689</t>
  </si>
  <si>
    <t>PBK-1706</t>
  </si>
  <si>
    <t>RB-03690</t>
  </si>
  <si>
    <t>P10-F03690</t>
  </si>
  <si>
    <t>PBK-1707</t>
  </si>
  <si>
    <t>RB-03691</t>
  </si>
  <si>
    <t>P10-F03691</t>
  </si>
  <si>
    <t>PBK-1708</t>
  </si>
  <si>
    <t>RB-03692</t>
  </si>
  <si>
    <t>P10-F03692</t>
  </si>
  <si>
    <t>PBK-1709</t>
  </si>
  <si>
    <t>RB-03693</t>
  </si>
  <si>
    <t>P10-F03693</t>
  </si>
  <si>
    <t>PBK-1710</t>
  </si>
  <si>
    <t>RB-03694</t>
  </si>
  <si>
    <t>P10-F03694</t>
  </si>
  <si>
    <t>PBK-1711</t>
  </si>
  <si>
    <t>RB-03695</t>
  </si>
  <si>
    <t>P10-F03695</t>
  </si>
  <si>
    <t>PBK-1712</t>
  </si>
  <si>
    <t>RB-03696</t>
  </si>
  <si>
    <t>P10-F03696</t>
  </si>
  <si>
    <t>PBK-1713</t>
  </si>
  <si>
    <t>RB-03697</t>
  </si>
  <si>
    <t>P10-F03697</t>
  </si>
  <si>
    <t>PBK-1714</t>
  </si>
  <si>
    <t>RB-03698</t>
  </si>
  <si>
    <t>P10-F03698</t>
  </si>
  <si>
    <t>PBK-1715</t>
  </si>
  <si>
    <t>RB-03699</t>
  </si>
  <si>
    <t>P10-F03699</t>
  </si>
  <si>
    <t>PBK-1716</t>
  </si>
  <si>
    <t>RB-03700</t>
  </si>
  <si>
    <t>P10-F03700</t>
  </si>
  <si>
    <t>PBK-1717</t>
  </si>
  <si>
    <t>RB-03701</t>
  </si>
  <si>
    <t>P10-F03701</t>
  </si>
  <si>
    <t>PBK-1718</t>
  </si>
  <si>
    <t>RB-03702</t>
  </si>
  <si>
    <t>P10-F03702</t>
  </si>
  <si>
    <t>PBK-1719</t>
  </si>
  <si>
    <t>RB-03703</t>
  </si>
  <si>
    <t>P10-F03703</t>
  </si>
  <si>
    <t>PBK-1720</t>
  </si>
  <si>
    <t>RB-03704</t>
  </si>
  <si>
    <t>P10-F03704</t>
  </si>
  <si>
    <t>PBK-1721</t>
  </si>
  <si>
    <t>RB-03705</t>
  </si>
  <si>
    <t>P10-F03705</t>
  </si>
  <si>
    <t>PBK-1722</t>
  </si>
  <si>
    <t>RB-03706</t>
  </si>
  <si>
    <t>P10-F03706</t>
  </si>
  <si>
    <t>PBK-1723</t>
  </si>
  <si>
    <t>RB-03707</t>
  </si>
  <si>
    <t>P10-F03707</t>
  </si>
  <si>
    <t>PBK-1724</t>
  </si>
  <si>
    <t>RB-03708</t>
  </si>
  <si>
    <t>P10-F03708</t>
  </si>
  <si>
    <t>PBK-1725</t>
  </si>
  <si>
    <t>RB-03709</t>
  </si>
  <si>
    <t>P10-F03709</t>
  </si>
  <si>
    <t>PBK-1726</t>
  </si>
  <si>
    <t>RB-03710</t>
  </si>
  <si>
    <t>P10-F03710</t>
  </si>
  <si>
    <t>PBK-1727</t>
  </si>
  <si>
    <t>RB-03711</t>
  </si>
  <si>
    <t>P10-F03711</t>
  </si>
  <si>
    <t>PBK-1728</t>
  </si>
  <si>
    <t>RB-03712</t>
  </si>
  <si>
    <t>P10-F03712</t>
  </si>
  <si>
    <t>PBK-1729</t>
  </si>
  <si>
    <t>RB-03713</t>
  </si>
  <si>
    <t>P10-F03713</t>
  </si>
  <si>
    <t>PBK-1730</t>
  </si>
  <si>
    <t>RB-03714</t>
  </si>
  <si>
    <t>P10-F03714</t>
  </si>
  <si>
    <t>PBK-1731</t>
  </si>
  <si>
    <t>RB-03715</t>
  </si>
  <si>
    <t>P10-F03715</t>
  </si>
  <si>
    <t>PBK-1732</t>
  </si>
  <si>
    <t>RB-03716</t>
  </si>
  <si>
    <t>P10-F03716</t>
  </si>
  <si>
    <t>PBK-1733</t>
  </si>
  <si>
    <t>RB-03717</t>
  </si>
  <si>
    <t>P10-F03717</t>
  </si>
  <si>
    <t>PBK-1734</t>
  </si>
  <si>
    <t>RB-03718</t>
  </si>
  <si>
    <t>P10-F03718</t>
  </si>
  <si>
    <t>PBK-1735</t>
  </si>
  <si>
    <t>RB-03719</t>
  </si>
  <si>
    <t>P10-F03719</t>
  </si>
  <si>
    <t>PBK-1736</t>
  </si>
  <si>
    <t>RB-03720</t>
  </si>
  <si>
    <t>P10-F03720</t>
  </si>
  <si>
    <t>PBK-1737</t>
  </si>
  <si>
    <t>RB-03721</t>
  </si>
  <si>
    <t>P10-F03721</t>
  </si>
  <si>
    <t>PBK-1738</t>
  </si>
  <si>
    <t>RB-03722</t>
  </si>
  <si>
    <t>P10-F03722</t>
  </si>
  <si>
    <t>PBK-1739</t>
  </si>
  <si>
    <t>RB-03723</t>
  </si>
  <si>
    <t>P10-F03723</t>
  </si>
  <si>
    <t>PBK-1740</t>
  </si>
  <si>
    <t>RB-03724</t>
  </si>
  <si>
    <t>P10-F03724</t>
  </si>
  <si>
    <t>PBK-1741</t>
  </si>
  <si>
    <t>RB-03725</t>
  </si>
  <si>
    <t>P10-F03725</t>
  </si>
  <si>
    <t>PBK-1742</t>
  </si>
  <si>
    <t>RB-03726</t>
  </si>
  <si>
    <t>P10-F03726</t>
  </si>
  <si>
    <t>PBK-1743</t>
  </si>
  <si>
    <t>RB-03727</t>
  </si>
  <si>
    <t>P10-F03727</t>
  </si>
  <si>
    <t>PBK-1744</t>
  </si>
  <si>
    <t>RB-03728</t>
  </si>
  <si>
    <t>P10-F03728</t>
  </si>
  <si>
    <t>PBK-1745</t>
  </si>
  <si>
    <t>RB-03729</t>
  </si>
  <si>
    <t>P10-F03729</t>
  </si>
  <si>
    <t>PBK-1746</t>
  </si>
  <si>
    <t>RB-03730</t>
  </si>
  <si>
    <t>P10-F03730</t>
  </si>
  <si>
    <t>PBK-1747</t>
  </si>
  <si>
    <t>RB-03731</t>
  </si>
  <si>
    <t>P10-F03731</t>
  </si>
  <si>
    <t>PBK-1748</t>
  </si>
  <si>
    <t>RB-03732</t>
  </si>
  <si>
    <t>P10-F03732</t>
  </si>
  <si>
    <t>PBK-1749</t>
  </si>
  <si>
    <t>RB-03733</t>
  </si>
  <si>
    <t>P10-F03733</t>
  </si>
  <si>
    <t>PBK-1750</t>
  </si>
  <si>
    <t>RB-03734</t>
  </si>
  <si>
    <t>P10-F03734</t>
  </si>
  <si>
    <t>PBK-1751</t>
  </si>
  <si>
    <t>RB-03735</t>
  </si>
  <si>
    <t>P10-F03735</t>
  </si>
  <si>
    <t>PBK-1752</t>
  </si>
  <si>
    <t>RB-03736</t>
  </si>
  <si>
    <t>P10-F03736</t>
  </si>
  <si>
    <t>PBK-1753</t>
  </si>
  <si>
    <t>RB-03737</t>
  </si>
  <si>
    <t>P10-F03737</t>
  </si>
  <si>
    <t>PBK-1754</t>
  </si>
  <si>
    <t>RB-03738</t>
  </si>
  <si>
    <t>P10-F03738</t>
  </si>
  <si>
    <t>PBK-1755</t>
  </si>
  <si>
    <t>RB-03739</t>
  </si>
  <si>
    <t>P10-F03739</t>
  </si>
  <si>
    <t>PBK-1756</t>
  </si>
  <si>
    <t>RB-03740</t>
  </si>
  <si>
    <t>P10-F03740</t>
  </si>
  <si>
    <t>PBK-1757</t>
  </si>
  <si>
    <t>RB-03741</t>
  </si>
  <si>
    <t>P10-F03741</t>
  </si>
  <si>
    <t>PBK-1758</t>
  </si>
  <si>
    <t>RB-03742</t>
  </si>
  <si>
    <t>P10-F03742</t>
  </si>
  <si>
    <t>PBK-1759</t>
  </si>
  <si>
    <t>RB-03743</t>
  </si>
  <si>
    <t>P10-F03743</t>
  </si>
  <si>
    <t>PBK-1760</t>
  </si>
  <si>
    <t>RB-03744</t>
  </si>
  <si>
    <t>P10-F03744</t>
  </si>
  <si>
    <t>PBK-1761</t>
  </si>
  <si>
    <t>RB-03745</t>
  </si>
  <si>
    <t>P10-F03745</t>
  </si>
  <si>
    <t>PBK-1762</t>
  </si>
  <si>
    <t>RB-03746</t>
  </si>
  <si>
    <t>P10-F03746</t>
  </si>
  <si>
    <t>PBK-1763</t>
  </si>
  <si>
    <t>RB-03747</t>
  </si>
  <si>
    <t>P10-F03747</t>
  </si>
  <si>
    <t>PBK-1764</t>
  </si>
  <si>
    <t>RB-03748</t>
  </si>
  <si>
    <t>P10-F03748</t>
  </si>
  <si>
    <t>PBK-1765</t>
  </si>
  <si>
    <t>RB-03749</t>
  </si>
  <si>
    <t>P10-F03749</t>
  </si>
  <si>
    <t>PBK-1766</t>
  </si>
  <si>
    <t>RB-03750</t>
  </si>
  <si>
    <t>P10-F03750</t>
  </si>
  <si>
    <t>PBK-1767</t>
  </si>
  <si>
    <t>RB-03751</t>
  </si>
  <si>
    <t>P10-F03751</t>
  </si>
  <si>
    <t>PBK-1768</t>
  </si>
  <si>
    <t>RB-03752</t>
  </si>
  <si>
    <t>P10-F03752</t>
  </si>
  <si>
    <t>PBK-1769</t>
  </si>
  <si>
    <t>RB-03753</t>
  </si>
  <si>
    <t>P10-F03753</t>
  </si>
  <si>
    <t>PBK-1770</t>
  </si>
  <si>
    <t>RB-03754</t>
  </si>
  <si>
    <t>P10-F03754</t>
  </si>
  <si>
    <t>PBK-1771</t>
  </si>
  <si>
    <t>RB-03755</t>
  </si>
  <si>
    <t>P10-F03755</t>
  </si>
  <si>
    <t>PBK-1772</t>
  </si>
  <si>
    <t>RB-03756</t>
  </si>
  <si>
    <t>P10-F03756</t>
  </si>
  <si>
    <t>PBK-1773</t>
  </si>
  <si>
    <t>RB-03757</t>
  </si>
  <si>
    <t>P10-F03757</t>
  </si>
  <si>
    <t>PBK-1774</t>
  </si>
  <si>
    <t>RB-03758</t>
  </si>
  <si>
    <t>P10-F03758</t>
  </si>
  <si>
    <t>PBK-1775</t>
  </si>
  <si>
    <t>RB-03759</t>
  </si>
  <si>
    <t>P10-F03759</t>
  </si>
  <si>
    <t>PBK-1776</t>
  </si>
  <si>
    <t>RB-03760</t>
  </si>
  <si>
    <t>P10-F03760</t>
  </si>
  <si>
    <t>PBK-1777</t>
  </si>
  <si>
    <t>RB-03761</t>
  </si>
  <si>
    <t>P10-F03761</t>
  </si>
  <si>
    <t>PBK-1778</t>
  </si>
  <si>
    <t>RB-03762</t>
  </si>
  <si>
    <t>P10-F03762</t>
  </si>
  <si>
    <t>PBK-1779</t>
  </si>
  <si>
    <t>RB-03763</t>
  </si>
  <si>
    <t>P10-F03763</t>
  </si>
  <si>
    <t>PBK-1780</t>
  </si>
  <si>
    <t>RB-03764</t>
  </si>
  <si>
    <t>P10-F03764</t>
  </si>
  <si>
    <t>PBK-1781</t>
  </si>
  <si>
    <t>RB-03765</t>
  </si>
  <si>
    <t>P10-F03765</t>
  </si>
  <si>
    <t>PBK-1782</t>
  </si>
  <si>
    <t>RB-03766</t>
  </si>
  <si>
    <t>P10-F03766</t>
  </si>
  <si>
    <t>Data/Scripts/Custom/Vhaerun's CRL Homestead System [2.0]/Dracana's Winecrafting [2.0]/Commands/AddGrapevines.cs</t>
  </si>
  <si>
    <t>PBO-0018</t>
  </si>
  <si>
    <t>POST-BATCH-N lane=POST-BATCH-N-GUMP-GUARD-SOURCE-BATCH; FileProofStatus=CurrentPathConfirmed; CurrentFile=Data/Scripts/Custom/Vhaerun's CRL Homestead System [2.0]/Dracana's Winecrafting [2.0]/Commands/AddGrapevines.cs; Line=31; SourceLine=e.Mobile.SendGump(new AddGrapeVineGump(e.Mobile, null, 0));; PathResolution=OriginalPathCurrent; MatchQuality=RuntimeHookMapFileLine; HookKind=Gump; GuardList=AccessGuard; Access=; Command=; Handler=; DisabledEvidence=False; RuntimeHookMap=HookType=Gump;Marker=SendGump;Access=Internal;Risk=High;Guards=AccessGuard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</si>
  <si>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PreviousReviewRowId=PBK-1783; POST-BATCH-O ReviewRowId=PBO-0018; No command semantics, button IDs, target gump construction, or access policy changed.</t>
  </si>
  <si>
    <t>RB-03767</t>
  </si>
  <si>
    <t>P10-F03767</t>
  </si>
  <si>
    <t>PBO-0019</t>
  </si>
  <si>
    <t>POST-BATCH-N lane=POST-BATCH-N-GUMP-GUARD-SOURCE-BATCH; FileProofStatus=CurrentPathConfirmed; CurrentFile=Data/Scripts/Custom/Vhaerun's CRL Homestead System [2.0]/Dracana's Winecrafting [2.0]/Items/Grape Vines/Tools/GrapevinePlacementTool.cs; Line=32; SourceLine=from.SendGump(new AddGrapeVineGump(from, null, 0));;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</si>
  <si>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PreviousReviewRowId=PBK-1784; POST-BATCH-O ReviewRowId=PBO-0019; No command semantics, button IDs, target gump construction, or access policy changed.</t>
  </si>
  <si>
    <t>RB-03768</t>
  </si>
  <si>
    <t>P10-F03768</t>
  </si>
  <si>
    <t>PBK-1785</t>
  </si>
  <si>
    <t>HistoricalFile=Data/Scripts/Custom/Vhaerun's CRL Homestead System [2.0]/Vhaerun's CRL Cooking/Package Systems/Crystal's Cheese System/CheeseForm.cs; Risk=Runtime;Player;Staff; POST-BATCH-K is audit/runtime-surface triage only. No command names, gump button IDs, PlayerMobile fields, region policy, XML/config, save layout, or gameplay behavior changed.</t>
  </si>
  <si>
    <t>RB-03769</t>
  </si>
  <si>
    <t>P10-F03769</t>
  </si>
  <si>
    <t>PBK-1786</t>
  </si>
  <si>
    <t>RB-03770</t>
  </si>
  <si>
    <t>P10-F03770</t>
  </si>
  <si>
    <t>PBK-1787</t>
  </si>
  <si>
    <t>RB-03771</t>
  </si>
  <si>
    <t>P10-F03771</t>
  </si>
  <si>
    <t>PBK-1788</t>
  </si>
  <si>
    <t>RB-03772</t>
  </si>
  <si>
    <t>P10-F03772</t>
  </si>
  <si>
    <t>PBK-1789</t>
  </si>
  <si>
    <t>HistoricalFile=Data/Scripts/Custom/XMLSpawner/XmlItems/QuestHolder.cs; Risk=Runtime;Player;Staff; POST-BATCH-K is audit/runtime-surface triage only. No command names, gump button IDs, PlayerMobile fields, region policy, XML/config, save layout, or gameplay behavior changed.</t>
  </si>
  <si>
    <t>RB-03773</t>
  </si>
  <si>
    <t>P10-F03773</t>
  </si>
  <si>
    <t>PBK-1790</t>
  </si>
  <si>
    <t>RB-03774</t>
  </si>
  <si>
    <t>P10-F03774</t>
  </si>
  <si>
    <t>PBK-1791</t>
  </si>
  <si>
    <t>RB-03775</t>
  </si>
  <si>
    <t>P10-F03775</t>
  </si>
  <si>
    <t>PBK-1792</t>
  </si>
  <si>
    <t>RB-03776</t>
  </si>
  <si>
    <t>P10-F03776</t>
  </si>
  <si>
    <t>PBK-1793</t>
  </si>
  <si>
    <t>RB-03777</t>
  </si>
  <si>
    <t>P10-F03777</t>
  </si>
  <si>
    <t>PBK-1794</t>
  </si>
  <si>
    <t>HistoricalFile=Data/Scripts/Custom/XMLSpawner/XmlItems/SimpleNote.cs; Risk=Runtime;Player;Staff; POST-BATCH-K is audit/runtime-surface triage only. No command names, gump button IDs, PlayerMobile fields, region policy, XML/config, save layout, or gameplay behavior changed.</t>
  </si>
  <si>
    <t>RB-03778</t>
  </si>
  <si>
    <t>P10-F03778</t>
  </si>
  <si>
    <t>PBK-1795</t>
  </si>
  <si>
    <t>HistoricalFile=Data/Scripts/Custom/XMLSpawner/XmlPoints PvP/PointsRewardStone.cs; Risk=Runtime;Player;Staff; POST-BATCH-K is audit/runtime-surface triage only. No command names, gump button IDs, PlayerMobile fields, region policy, XML/config, save layout, or gameplay behavior changed.</t>
  </si>
  <si>
    <t>RB-03779</t>
  </si>
  <si>
    <t>P10-F03779</t>
  </si>
  <si>
    <t>PBO-0234</t>
  </si>
  <si>
    <t>POST-BATCH-N lane=POST-BATCH-N-GUMP-GUARD-SOURCE-BATCH; FileProofStatus=CurrentPathConfirmed; CurrentFile=Data/Scripts/Custom/XMLSpawner/XmlPoints PvP/topplayersboard.cs; Line=24; SourceLine=from.SendGump(;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</si>
  <si>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PreviousReviewRowId=PBK-1796; POST-BATCH-O ReviewRowId=PBO-0234; No command semantics, button IDs, target gump construction, or access policy changed.</t>
  </si>
  <si>
    <t>RB-03780</t>
  </si>
  <si>
    <t>P10-F03780</t>
  </si>
  <si>
    <t>PBK-1797</t>
  </si>
  <si>
    <t>HistoricalFile=Data/Scripts/Custom/XMLSpawner/XmlPropsGumps/XmlSetObjectTarget.cs; Risk=Runtime;Player;Staff; POST-BATCH-K is audit/runtime-surface triage only. No command names, gump button IDs, PlayerMobile fields, region policy, XML/config, save layout, or gameplay behavior changed.</t>
  </si>
  <si>
    <t>RB-03781</t>
  </si>
  <si>
    <t>P10-F03781</t>
  </si>
  <si>
    <t>PBK-1798</t>
  </si>
  <si>
    <t>RB-03782</t>
  </si>
  <si>
    <t>P10-F03782</t>
  </si>
  <si>
    <t>PBO-0235</t>
  </si>
  <si>
    <t>POST-BATCH-N lane=POST-BATCH-N-GUMP-GUARD-SOURCE-BATCH; FileProofStatus=CurrentPathConfirmed; CurrentFile=Data/Scripts/Custom/XMLSpawner/XmlQuest/QuestLeadersBoard.cs; Line=24; SourceLine=from.SendGump(;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</si>
  <si>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PreviousReviewRowId=PBK-1799; POST-BATCH-O ReviewRowId=PBO-0235; No command semantics, button IDs, target gump construction, or access policy changed.</t>
  </si>
  <si>
    <t>RB-03783</t>
  </si>
  <si>
    <t>P10-F03783</t>
  </si>
  <si>
    <t>PBK-1800</t>
  </si>
  <si>
    <t>HistoricalFile=Data/Scripts/Custom/XMLSpawner/XmlQuest/QuestRewardStone.cs; Risk=Runtime;Player;Staff; POST-BATCH-K is audit/runtime-surface triage only. No command names, gump button IDs, PlayerMobile fields, region policy, XML/config, save layout, or gameplay behavior changed.</t>
  </si>
  <si>
    <t>RB-03787</t>
  </si>
  <si>
    <t>P10-F03787</t>
  </si>
  <si>
    <t>PBK-1801</t>
  </si>
  <si>
    <t>RB-03788</t>
  </si>
  <si>
    <t>P10-F03788</t>
  </si>
  <si>
    <t>PBK-1802</t>
  </si>
  <si>
    <t>RB-03789</t>
  </si>
  <si>
    <t>P10-F03789</t>
  </si>
  <si>
    <t>PBO-0058</t>
  </si>
  <si>
    <t>POST-BATCH-N lane=POST-BATCH-N-GUMP-GUARD-SOURCE-BATCH; FileProofStatus=CurrentPathConfirmed; CurrentFile=Data/Scripts/Items/Books/LearnGranite.cs; Line=228; SourceLine=e.SendGump(new LearnGraniteGump(e));;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</si>
  <si>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PreviousReviewRowId=PBK-1803; POST-BATCH-O ReviewRowId=PBO-0058; No command semantics, button IDs, target gump construction, or access policy changed.</t>
  </si>
  <si>
    <t>RB-03790</t>
  </si>
  <si>
    <t>P10-F03790</t>
  </si>
  <si>
    <t>PBO-0059</t>
  </si>
  <si>
    <t>POST-BATCH-N lane=POST-BATCH-N-GUMP-GUARD-SOURCE-BATCH; FileProofStatus=CurrentPathConfirmed; CurrentFile=Data/Scripts/Items/Books/LearnLeather.cs; Line=209; SourceLine=e.SendGump(new LearnLeatherGump(e));;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</si>
  <si>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PreviousReviewRowId=PBK-1804; POST-BATCH-O ReviewRowId=PBO-0059; No command semantics, button IDs, target gump construction, or access policy changed.</t>
  </si>
  <si>
    <t>RB-03791</t>
  </si>
  <si>
    <t>P10-F03791</t>
  </si>
  <si>
    <t>PBO-0060</t>
  </si>
  <si>
    <t>POST-BATCH-N lane=POST-BATCH-N-GUMP-GUARD-SOURCE-BATCH; FileProofStatus=CurrentPathConfirmed; CurrentFile=Data/Scripts/Items/Books/LearnMetal.cs; Line=249; SourceLine=e.SendGump(new LearnMetalGump(e));;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</si>
  <si>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PreviousReviewRowId=PBK-1805; POST-BATCH-O ReviewRowId=PBO-0060; No command semantics, button IDs, target gump construction, or access policy changed.</t>
  </si>
  <si>
    <t>RB-03792</t>
  </si>
  <si>
    <t>P10-F03792</t>
  </si>
  <si>
    <t>PBO-0061</t>
  </si>
  <si>
    <t>POST-BATCH-N lane=POST-BATCH-N-GUMP-GUARD-SOURCE-BATCH; FileProofStatus=CurrentPathConfirmed; CurrentFile=Data/Scripts/Items/Books/LearnMisc.cs; Line=137; SourceLine=e.SendGump(new LearnMiscGump(e));;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</si>
  <si>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PreviousReviewRowId=PBK-1806; POST-BATCH-O ReviewRowId=PBO-0061; No command semantics, button IDs, target gump construction, or access policy changed.</t>
  </si>
  <si>
    <t>RB-03793</t>
  </si>
  <si>
    <t>P10-F03793</t>
  </si>
  <si>
    <t>PBO-0062</t>
  </si>
  <si>
    <t>POST-BATCH-N lane=POST-BATCH-N-GUMP-GUARD-SOURCE-BATCH; FileProofStatus=CurrentPathConfirmed; CurrentFile=Data/Scripts/Items/Books/LearnReagents.cs; Line=474; SourceLine=e.SendGump(new LearnReagentsGump(e));;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</si>
  <si>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PreviousReviewRowId=PBK-1807; POST-BATCH-O ReviewRowId=PBO-0062; No command semantics, button IDs, target gump construction, or access policy changed.</t>
  </si>
  <si>
    <t>RB-03794</t>
  </si>
  <si>
    <t>P10-F03794</t>
  </si>
  <si>
    <t>PBO-0063</t>
  </si>
  <si>
    <t>POST-BATCH-N lane=POST-BATCH-N-GUMP-GUARD-SOURCE-BATCH; FileProofStatus=CurrentPathConfirmed; CurrentFile=Data/Scripts/Items/Books/LearnScales.cs; Line=160; SourceLine=e.SendGump(new LearnScalesGump(e));;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</si>
  <si>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PreviousReviewRowId=PBK-1808; POST-BATCH-O ReviewRowId=PBO-0063; No command semantics, button IDs, target gump construction, or access policy changed.</t>
  </si>
  <si>
    <t>RB-03795</t>
  </si>
  <si>
    <t>P10-F03795</t>
  </si>
  <si>
    <t>PBO-0064</t>
  </si>
  <si>
    <t>POST-BATCH-N lane=POST-BATCH-N-GUMP-GUARD-SOURCE-BATCH; FileProofStatus=CurrentPathConfirmed; CurrentFile=Data/Scripts/Items/Books/LearnStealing.cs; Line=93; SourceLine=e.SendGump(new LearnStealingGump(e));;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</si>
  <si>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PreviousReviewRowId=PBK-1809; POST-BATCH-O ReviewRowId=PBO-0064; No command semantics, button IDs, target gump construction, or access policy changed.</t>
  </si>
  <si>
    <t>RB-03796</t>
  </si>
  <si>
    <t>P10-F03796</t>
  </si>
  <si>
    <t>PBO-0065</t>
  </si>
  <si>
    <t>POST-BATCH-N lane=POST-BATCH-N-GUMP-GUARD-SOURCE-BATCH; FileProofStatus=CurrentPathConfirmed; CurrentFile=Data/Scripts/Items/Books/LearnTailor.cs; Line=93; SourceLine=e.SendGump(new LearnTailorGump(e));;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</si>
  <si>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PreviousReviewRowId=PBK-1810; POST-BATCH-O ReviewRowId=PBO-0065; No command semantics, button IDs, target gump construction, or access policy changed.</t>
  </si>
  <si>
    <t>RB-03797</t>
  </si>
  <si>
    <t>P10-F03797</t>
  </si>
  <si>
    <t>PBO-0066</t>
  </si>
  <si>
    <t>POST-BATCH-N lane=POST-BATCH-N-GUMP-GUARD-SOURCE-BATCH; FileProofStatus=CurrentPathConfirmed; CurrentFile=Data/Scripts/Items/Books/LearnWood.cs; Line=238; SourceLine=e.SendGump(new LearnWoodBookGump(e));;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</si>
  <si>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PreviousReviewRowId=PBK-1811; POST-BATCH-O ReviewRowId=PBO-0066; No command semantics, button IDs, target gump construction, or access policy changed.</t>
  </si>
  <si>
    <t>RB-03798</t>
  </si>
  <si>
    <t>P10-F03798</t>
  </si>
  <si>
    <t>PBK-1812</t>
  </si>
  <si>
    <t>RB-03799</t>
  </si>
  <si>
    <t>P10-F03799</t>
  </si>
  <si>
    <t>PBK-1813</t>
  </si>
  <si>
    <t>RB-03800</t>
  </si>
  <si>
    <t>P10-F03800</t>
  </si>
  <si>
    <t>PBK-1814</t>
  </si>
  <si>
    <t>RB-03801</t>
  </si>
  <si>
    <t>P10-F03801</t>
  </si>
  <si>
    <t>PBK-1815</t>
  </si>
  <si>
    <t>RB-03802</t>
  </si>
  <si>
    <t>P10-F03802</t>
  </si>
  <si>
    <t>PBK-1816</t>
  </si>
  <si>
    <t>RB-03803</t>
  </si>
  <si>
    <t>P10-F03803</t>
  </si>
  <si>
    <t>PBK-1817</t>
  </si>
  <si>
    <t>HistoricalFile=Data/Scripts/Items/Books/BulletinBoards/GuardNote.cs; Risk=Runtime;Player;Staff; POST-BATCH-K is audit/runtime-surface triage only. No command names, gump button IDs, PlayerMobile fields, region policy, XML/config, save layout, or gameplay behavior changed.</t>
  </si>
  <si>
    <t>RB-03804</t>
  </si>
  <si>
    <t>P10-F03804</t>
  </si>
  <si>
    <t>PBK-1818</t>
  </si>
  <si>
    <t>RB-03805</t>
  </si>
  <si>
    <t>P10-F03805</t>
  </si>
  <si>
    <t>PBK-1819</t>
  </si>
  <si>
    <t>HistoricalFile=Data/Scripts/Items/Books/BulletinBoards/PatchBoard.cs; Risk=Runtime;Player;Staff; POST-BATCH-K is audit/runtime-surface triage only. No command names, gump button IDs, PlayerMobile fields, region policy, XML/config, save layout, or gameplay behavior changed.</t>
  </si>
  <si>
    <t>RB-03806</t>
  </si>
  <si>
    <t>P10-F03806</t>
  </si>
  <si>
    <t>PBO-0067</t>
  </si>
  <si>
    <t>POST-BATCH-N lane=POST-BATCH-N-GUMP-GUARD-SOURCE-BATCH; FileProofStatus=CurrentPathConfirmed; CurrentFile=Data/Scripts/Items/Books/BulletinBoards/RulesBoard.cs; Line=39; SourceLine=e.SendGump(new BoardGump(e, "LAWS OF THE LAND", "" + rules + "", "#e97f76", false));; PathResolution=OriginalPathCurrent; MatchQuality=RuntimeHookMapFileLine; HookKind=Gump; GuardList=PacketReadGuard;RangeGuard; Access=; Command=; Handler=; DisabledEvidence=False; RuntimeHookMap=HookType=Gump;Marker=SendGump;Access=Internal;Risk=High;Guards=PacketReadGuard;RangeGuard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</si>
  <si>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PreviousReviewRowId=PBK-1820; POST-BATCH-O ReviewRowId=PBO-0067; No command semantics, button IDs, target gump construction, or access policy changed.</t>
  </si>
  <si>
    <t>RB-03807</t>
  </si>
  <si>
    <t>P10-F03807</t>
  </si>
  <si>
    <t>Data/Scripts/Items/Books/BulletinBoards/StealingBoard.cs</t>
  </si>
  <si>
    <t>PBO-0068</t>
  </si>
  <si>
    <t>POST-BATCH-N lane=POST-BATCH-N-GUMP-GUARD-SOURCE-BATCH; FileProofStatus=CurrentPathConfirmed; CurrentFile=Data/Scripts/Items/Books/BulletinBoards/StealingBoard.cs; Line=214; SourceLine=e.SendGump(new BoardGump(e, "STEALING THE PAST", "" + sText + "", "#deb7e2", true));; PathResolution=OriginalPathCurrent; MatchQuality=RuntimeHookMapFileLine; HookKind=Gump; GuardList=BoundsGuard;MapGuard;PacketReadGuard;RangeGuard; Access=; Command=; Handler=; DisabledEvidence=False; RuntimeHookMap=HookType=Gump;Marker=SendGump;Access=Internal;Risk=High;Guards=BoundsGuard;MapGuard;PacketReadGuard;RangeGuard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</si>
  <si>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PreviousReviewRowId=PBK-1821; POST-BATCH-O ReviewRowId=PBO-0068; No command semantics, button IDs, target gump construction, or access policy changed.</t>
  </si>
  <si>
    <t>RB-03808</t>
  </si>
  <si>
    <t>P10-F03808</t>
  </si>
  <si>
    <t>PBK-1822</t>
  </si>
  <si>
    <t>RB-03809</t>
  </si>
  <si>
    <t>P10-F03809</t>
  </si>
  <si>
    <t>PBK-1823</t>
  </si>
  <si>
    <t>RB-03810</t>
  </si>
  <si>
    <t>P10-F03810</t>
  </si>
  <si>
    <t>PBK-1824</t>
  </si>
  <si>
    <t>RB-03811</t>
  </si>
  <si>
    <t>P10-F03811</t>
  </si>
  <si>
    <t>PBK-1825</t>
  </si>
  <si>
    <t>RB-03812</t>
  </si>
  <si>
    <t>P10-F03812</t>
  </si>
  <si>
    <t>PBK-1826</t>
  </si>
  <si>
    <t>HistoricalFile=Data/Scripts/Items/Gifts/Crystal Token.cs; Risk=Runtime;Player;Staff; POST-BATCH-K is audit/runtime-surface triage only. No command names, gump button IDs, PlayerMobile fields, region policy, XML/config, save layout, or gameplay behavior changed.</t>
  </si>
  <si>
    <t>RB-03813</t>
  </si>
  <si>
    <t>P10-F03813</t>
  </si>
  <si>
    <t>PBK-1827</t>
  </si>
  <si>
    <t>HistoricalFile=Data/Scripts/Items/Gifts/NinthAnniversaryCoin.cs; Risk=Runtime;Player;Staff; POST-BATCH-K is audit/runtime-surface triage only. No command names, gump button IDs, PlayerMobile fields, region policy, XML/config, save layout, or gameplay behavior changed.</t>
  </si>
  <si>
    <t>RB-03814</t>
  </si>
  <si>
    <t>P10-F03814</t>
  </si>
  <si>
    <t>PBK-1828</t>
  </si>
  <si>
    <t>HistoricalFile=Data/Scripts/Items/Gifts/Shadow Token.cs; Risk=Runtime;Player;Staff; POST-BATCH-K is audit/runtime-surface triage only. No command names, gump button IDs, PlayerMobile fields, region policy, XML/config, save layout, or gameplay behavior changed.</t>
  </si>
  <si>
    <t>RB-03815</t>
  </si>
  <si>
    <t>P10-F03815</t>
  </si>
  <si>
    <t>PBK-1829</t>
  </si>
  <si>
    <t>RB-03816</t>
  </si>
  <si>
    <t>P10-F03816</t>
  </si>
  <si>
    <t>PBK-1830</t>
  </si>
  <si>
    <t>RB-03817</t>
  </si>
  <si>
    <t>P10-F03817</t>
  </si>
  <si>
    <t>PBK-1831</t>
  </si>
  <si>
    <t>RB-03818</t>
  </si>
  <si>
    <t>P10-F03818</t>
  </si>
  <si>
    <t>PBK-1832</t>
  </si>
  <si>
    <t>RB-03819</t>
  </si>
  <si>
    <t>P10-F03819</t>
  </si>
  <si>
    <t>PBK-1833</t>
  </si>
  <si>
    <t>RB-03820</t>
  </si>
  <si>
    <t>P10-F03820</t>
  </si>
  <si>
    <t>PBK-1834</t>
  </si>
  <si>
    <t>RB-03821</t>
  </si>
  <si>
    <t>P10-F03821</t>
  </si>
  <si>
    <t>PBK-1835</t>
  </si>
  <si>
    <t>RB-03822</t>
  </si>
  <si>
    <t>P10-F03822</t>
  </si>
  <si>
    <t>PBK-1836</t>
  </si>
  <si>
    <t>RB-03823</t>
  </si>
  <si>
    <t>P10-F03823</t>
  </si>
  <si>
    <t>PBK-1837</t>
  </si>
  <si>
    <t>RB-03824</t>
  </si>
  <si>
    <t>P10-F03824</t>
  </si>
  <si>
    <t>PBK-1838</t>
  </si>
  <si>
    <t>RB-03825</t>
  </si>
  <si>
    <t>P10-F03825</t>
  </si>
  <si>
    <t>PBK-1839</t>
  </si>
  <si>
    <t>RB-03826</t>
  </si>
  <si>
    <t>P10-F03826</t>
  </si>
  <si>
    <t>PBK-1840</t>
  </si>
  <si>
    <t>RB-03827</t>
  </si>
  <si>
    <t>P10-F03827</t>
  </si>
  <si>
    <t>PBK-1841</t>
  </si>
  <si>
    <t>RB-03828</t>
  </si>
  <si>
    <t>P10-F03828</t>
  </si>
  <si>
    <t>Data/Scripts/Items/Houses/Remodeling/ContextMenuEntries.cs</t>
  </si>
  <si>
    <t>PBO-0044</t>
  </si>
  <si>
    <t>POST-BATCH-N lane=POST-BATCH-N-GUMP-GUARD-SOURCE-BATCH; FileProofStatus=CurrentPathConfirmed; CurrentFile=Data/Scripts/Items/Houses/Remodeling/ContextMenuEntries.cs; Line=45; SourceLine=m_From.SendGump(new LawnSecurityGump(m_From, m_Gate));;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</si>
  <si>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PreviousReviewRowId=PBK-1842; POST-BATCH-O ReviewRowId=PBO-0044; No command semantics, button IDs, target gump construction, or access policy changed.</t>
  </si>
  <si>
    <t>RB-03829</t>
  </si>
  <si>
    <t>P10-F03829</t>
  </si>
  <si>
    <t>PBO-0045</t>
  </si>
  <si>
    <t>POST-BATCH-N lane=POST-BATCH-N-GUMP-GUARD-SOURCE-BATCH; FileProofStatus=CurrentPathConfirmed; CurrentFile=Data/Scripts/Items/Houses/Remodeling/ContextMenuEntries.cs; Line=103; SourceLine=m_From.SendGump(new ShantySecurityGump(m_From, m_Gate));;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</si>
  <si>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PreviousReviewRowId=PBK-1843; POST-BATCH-O ReviewRowId=PBO-0045; No command semantics, button IDs, target gump construction, or access policy changed.</t>
  </si>
  <si>
    <t>RB-03830</t>
  </si>
  <si>
    <t>P10-F03830</t>
  </si>
  <si>
    <t>PBK-1844</t>
  </si>
  <si>
    <t>HistoricalFile=Data/Scripts/Items/Houses/Remodeling/LawnTarget.cs; Risk=Runtime;Player;Staff; POST-BATCH-K is audit/runtime-surface triage only. No command names, gump button IDs, PlayerMobile fields, region policy, XML/config, save layout, or gameplay behavior changed.</t>
  </si>
  <si>
    <t>RB-03831</t>
  </si>
  <si>
    <t>P10-F03831</t>
  </si>
  <si>
    <t>PBK-1845</t>
  </si>
  <si>
    <t>HistoricalFile=Data/Scripts/Items/Houses/Remodeling/ShantyTarget.cs; Risk=Runtime;Player;Staff; POST-BATCH-K is audit/runtime-surface triage only. No command names, gump button IDs, PlayerMobile fields, region policy, XML/config, save layout, or gameplay behavior changed.</t>
  </si>
  <si>
    <t>RB-03832</t>
  </si>
  <si>
    <t>P10-F03832</t>
  </si>
  <si>
    <t>PBK-1846</t>
  </si>
  <si>
    <t>HistoricalFile=Data/Scripts/Items/Magical/Artifacts/Artifact_RodOfResurrection.cs; Risk=Runtime;Player;Staff; POST-BATCH-K is audit/runtime-surface triage only. No command names, gump button IDs, PlayerMobile fields, region policy, XML/config, save layout, or gameplay behavior changed.</t>
  </si>
  <si>
    <t>RB-03833</t>
  </si>
  <si>
    <t>P10-F03833</t>
  </si>
  <si>
    <t>PBK-1847</t>
  </si>
  <si>
    <t>RB-03834</t>
  </si>
  <si>
    <t>P10-F03834</t>
  </si>
  <si>
    <t>PBK-1848</t>
  </si>
  <si>
    <t>RB-03835</t>
  </si>
  <si>
    <t>P10-F03835</t>
  </si>
  <si>
    <t>PBK-1849</t>
  </si>
  <si>
    <t>RB-03836</t>
  </si>
  <si>
    <t>P10-F03836</t>
  </si>
  <si>
    <t>PBK-1850</t>
  </si>
  <si>
    <t>RB-03837</t>
  </si>
  <si>
    <t>P10-F03837</t>
  </si>
  <si>
    <t>Data/Scripts/Items/Magical/Gifts/Gifts.cs</t>
  </si>
  <si>
    <t>PBO-0078</t>
  </si>
  <si>
    <t>POST-BATCH-N lane=POST-BATCH-N-GUMP-GUARD-SOURCE-BATCH; FileProofStatus=CurrentPathConfirmed; CurrentFile=Data/Scripts/Items/Magical/Gifts/Gifts.cs; Line=40; SourceLine=Owner.From.SendGump(new GiftGump(m_From, m_Item, m_Cat));;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</si>
  <si>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PreviousReviewRowId=PBK-1851; POST-BATCH-O ReviewRowId=PBO-0078; No command semantics, button IDs, target gump construction, or access policy changed.</t>
  </si>
  <si>
    <t>RB-03838</t>
  </si>
  <si>
    <t>P10-F03838</t>
  </si>
  <si>
    <t>PBO-0079</t>
  </si>
  <si>
    <t>POST-BATCH-N lane=POST-BATCH-N-GUMP-GUARD-SOURCE-BATCH; FileProofStatus=CurrentPathConfirmed; CurrentFile=Data/Scripts/Items/Magical/Gifts/Gumps/GiftGump.cs; Line=518;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</si>
  <si>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PreviousReviewRowId=PBK-1852; POST-BATCH-O ReviewRowId=PBO-0079; No command semantics, button IDs, target gump construction, or access policy changed.</t>
  </si>
  <si>
    <t>RB-03839</t>
  </si>
  <si>
    <t>P10-F03839</t>
  </si>
  <si>
    <t>PBO-0080</t>
  </si>
  <si>
    <t>POST-BATCH-N lane=POST-BATCH-N-GUMP-GUARD-SOURCE-BATCH; FileProofStatus=CurrentPathConfirmed; CurrentFile=Data/Scripts/Items/Magical/Gifts/Gumps/GiftGump.cs; Line=531;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</si>
  <si>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PreviousReviewRowId=PBK-1853; POST-BATCH-O ReviewRowId=PBO-0080; No command semantics, button IDs, target gump construction, or access policy changed.</t>
  </si>
  <si>
    <t>RB-03840</t>
  </si>
  <si>
    <t>P10-F03840</t>
  </si>
  <si>
    <t>PBO-0081</t>
  </si>
  <si>
    <t>POST-BATCH-N lane=POST-BATCH-N-GUMP-GUARD-SOURCE-BATCH; FileProofStatus=CurrentPathConfirmed; CurrentFile=Data/Scripts/Items/Magical/Gifts/Gumps/GiftGump.cs; Line=544;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</si>
  <si>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PreviousReviewRowId=PBK-1854; POST-BATCH-O ReviewRowId=PBO-0081; No command semantics, button IDs, target gump construction, or access policy changed.</t>
  </si>
  <si>
    <t>RB-03841</t>
  </si>
  <si>
    <t>P10-F03841</t>
  </si>
  <si>
    <t>PBO-0082</t>
  </si>
  <si>
    <t>POST-BATCH-N lane=POST-BATCH-N-GUMP-GUARD-SOURCE-BATCH; FileProofStatus=CurrentPathConfirmed; CurrentFile=Data/Scripts/Items/Magical/Gifts/Gumps/GiftGump.cs; Line=557;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</si>
  <si>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PreviousReviewRowId=PBK-1855; POST-BATCH-O ReviewRowId=PBO-0082; No command semantics, button IDs, target gump construction, or access policy changed.</t>
  </si>
  <si>
    <t>RB-03842</t>
  </si>
  <si>
    <t>P10-F03842</t>
  </si>
  <si>
    <t>PBO-0083</t>
  </si>
  <si>
    <t>POST-BATCH-N lane=POST-BATCH-N-GUMP-GUARD-SOURCE-BATCH; FileProofStatus=CurrentPathConfirmed; CurrentFile=Data/Scripts/Items/Magical/Gifts/Gumps/GiftGump.cs; Line=570;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</si>
  <si>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PreviousReviewRowId=PBK-1856; POST-BATCH-O ReviewRowId=PBO-0083; No command semantics, button IDs, target gump construction, or access policy changed.</t>
  </si>
  <si>
    <t>RB-03843</t>
  </si>
  <si>
    <t>P10-F03843</t>
  </si>
  <si>
    <t>PBO-0084</t>
  </si>
  <si>
    <t>POST-BATCH-N lane=POST-BATCH-N-GUMP-GUARD-SOURCE-BATCH; FileProofStatus=CurrentPathConfirmed; CurrentFile=Data/Scripts/Items/Magical/Gifts/Gumps/GiftGump.cs; Line=583;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</si>
  <si>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PreviousReviewRowId=PBK-1857; POST-BATCH-O ReviewRowId=PBO-0084; No command semantics, button IDs, target gump construction, or access policy changed.</t>
  </si>
  <si>
    <t>RB-03844</t>
  </si>
  <si>
    <t>P10-F03844</t>
  </si>
  <si>
    <t>PBO-0085</t>
  </si>
  <si>
    <t>POST-BATCH-N lane=POST-BATCH-N-GUMP-GUARD-SOURCE-BATCH; FileProofStatus=CurrentPathConfirmed; CurrentFile=Data/Scripts/Items/Magical/Gifts/Gumps/GiftGump.cs; Line=673;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</si>
  <si>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PreviousReviewRowId=PBK-1858; POST-BATCH-O ReviewRowId=PBO-0085; No command semantics, button IDs, target gump construction, or access policy changed.</t>
  </si>
  <si>
    <t>RB-03845</t>
  </si>
  <si>
    <t>P10-F03845</t>
  </si>
  <si>
    <t>PBO-0086</t>
  </si>
  <si>
    <t>POST-BATCH-N lane=POST-BATCH-N-GUMP-GUARD-SOURCE-BATCH; FileProofStatus=CurrentPathConfirmed; CurrentFile=Data/Scripts/Items/Magical/Gifts/Gumps/GiftGump.cs; Line=729;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</si>
  <si>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PreviousReviewRowId=PBK-1859; POST-BATCH-O ReviewRowId=PBO-0086; No command semantics, button IDs, target gump construction, or access policy changed.</t>
  </si>
  <si>
    <t>RB-03846</t>
  </si>
  <si>
    <t>P10-F03846</t>
  </si>
  <si>
    <t>PBO-0087</t>
  </si>
  <si>
    <t>POST-BATCH-N lane=POST-BATCH-N-GUMP-GUARD-SOURCE-BATCH; FileProofStatus=CurrentPathConfirmed; CurrentFile=Data/Scripts/Items/Magical/Gifts/Gumps/GiftGump.cs; Line=784;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</si>
  <si>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PreviousReviewRowId=PBK-1860; POST-BATCH-O ReviewRowId=PBO-0087; No command semantics, button IDs, target gump construction, or access policy changed.</t>
  </si>
  <si>
    <t>RB-03847</t>
  </si>
  <si>
    <t>P10-F03847</t>
  </si>
  <si>
    <t>PBO-0088</t>
  </si>
  <si>
    <t>POST-BATCH-N lane=POST-BATCH-N-GUMP-GUARD-SOURCE-BATCH; FileProofStatus=CurrentPathConfirmed; CurrentFile=Data/Scripts/Items/Magical/Gifts/Gumps/GiftGump.cs; Line=894;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</si>
  <si>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PreviousReviewRowId=PBK-1861; POST-BATCH-O ReviewRowId=PBO-0088; No command semantics, button IDs, target gump construction, or access policy changed.</t>
  </si>
  <si>
    <t>RB-03848</t>
  </si>
  <si>
    <t>P10-F03848</t>
  </si>
  <si>
    <t>PBO-0089</t>
  </si>
  <si>
    <t>POST-BATCH-N lane=POST-BATCH-N-GUMP-GUARD-SOURCE-BATCH; FileProofStatus=CurrentPathConfirmed; CurrentFile=Data/Scripts/Items/Magical/Gifts/Gumps/GiftGump.cs; Line=958;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</si>
  <si>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PreviousReviewRowId=PBK-1862; POST-BATCH-O ReviewRowId=PBO-0089; No command semantics, button IDs, target gump construction, or access policy changed.</t>
  </si>
  <si>
    <t>RB-03849</t>
  </si>
  <si>
    <t>P10-F03849</t>
  </si>
  <si>
    <t>PBO-0090</t>
  </si>
  <si>
    <t>POST-BATCH-N lane=POST-BATCH-N-GUMP-GUARD-SOURCE-BATCH; FileProofStatus=CurrentPathConfirmed; CurrentFile=Data/Scripts/Items/Magical/God/LegendsBook.cs; Line=27; SourceLine=from.SendGump(new LegendsBookGump(from, this, 0));;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</si>
  <si>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PreviousReviewRowId=PBK-1863; POST-BATCH-O ReviewRowId=PBO-0090; No command semantics, button IDs, target gump construction, or access policy changed.</t>
  </si>
  <si>
    <t>RB-03850</t>
  </si>
  <si>
    <t>P10-F03850</t>
  </si>
  <si>
    <t>PBO-0091</t>
  </si>
  <si>
    <t>POST-BATCH-N lane=POST-BATCH-N-GUMP-GUARD-SOURCE-BATCH; FileProofStatus=CurrentPathConfirmed; CurrentFile=Data/Scripts/Items/Magical/God/LegendsBook.cs; Line=453; SourceLine=from.SendGump(new LegendsBookGump(from, m_Book,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</si>
  <si>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PreviousReviewRowId=PBK-1864; POST-BATCH-O ReviewRowId=PBO-0091; No command semantics, button IDs, target gump construction, or access policy changed.</t>
  </si>
  <si>
    <t>RB-03851</t>
  </si>
  <si>
    <t>P10-F03851</t>
  </si>
  <si>
    <t>Data/Scripts/Items/Magical/God/LevelInfoEntry.cs</t>
  </si>
  <si>
    <t>PBO-0092</t>
  </si>
  <si>
    <t>POST-BATCH-N lane=POST-BATCH-N-GUMP-GUARD-SOURCE-BATCH; FileProofStatus=CurrentPathConfirmed; CurrentFile=Data/Scripts/Items/Magical/God/LevelInfoEntry.cs; Line=29; SourceLine=Owner.From.SendGump(new ItemExperienceGump(m_From, m_Item, m_Cat));;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</si>
  <si>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PreviousReviewRowId=PBK-1865; POST-BATCH-O ReviewRowId=PBO-0092; No command semantics, button IDs, target gump construction, or access policy changed.</t>
  </si>
  <si>
    <t>RB-03852</t>
  </si>
  <si>
    <t>P10-F03852</t>
  </si>
  <si>
    <t>PBK-1866</t>
  </si>
  <si>
    <t>HistoricalFile=Data/Scripts/Items/Magical/God/LevelUpScroll.cs; Risk=Runtime;Player;Staff; POST-BATCH-K is audit/runtime-surface triage only. No command names, gump button IDs, PlayerMobile fields, region policy, XML/config, save layout, or gameplay behavior changed.</t>
  </si>
  <si>
    <t>RB-03853</t>
  </si>
  <si>
    <t>P10-F03853</t>
  </si>
  <si>
    <t>PBK-1867</t>
  </si>
  <si>
    <t>RB-03854</t>
  </si>
  <si>
    <t>P10-F03854</t>
  </si>
  <si>
    <t>PBK-1868</t>
  </si>
  <si>
    <t>HistoricalFile=Data/Scripts/Items/Magical/God/Commands/ItemExpCommand.cs; Risk=Runtime;Player;Staff; POST-BATCH-K is audit/runtime-surface triage only. No command names, gump button IDs, PlayerMobile fields, region policy, XML/config, save layout, or gameplay behavior changed.</t>
  </si>
  <si>
    <t>RB-03855</t>
  </si>
  <si>
    <t>P10-F03855</t>
  </si>
  <si>
    <t>PBO-0093</t>
  </si>
  <si>
    <t>POST-BATCH-N lane=POST-BATCH-N-GUMP-GUARD-SOURCE-BATCH; FileProofStatus=CurrentPathConfirmed; CurrentFile=Data/Scripts/Items/Magical/God/Gumps/ItemExperienceGump.cs; Line=565;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</si>
  <si>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PreviousReviewRowId=PBK-1869; POST-BATCH-O ReviewRowId=PBO-0093; No command semantics, button IDs, target gump construction, or access policy changed.</t>
  </si>
  <si>
    <t>RB-03856</t>
  </si>
  <si>
    <t>P10-F03856</t>
  </si>
  <si>
    <t>PBO-0094</t>
  </si>
  <si>
    <t>POST-BATCH-N lane=POST-BATCH-N-GUMP-GUARD-SOURCE-BATCH; FileProofStatus=CurrentPathConfirmed; CurrentFile=Data/Scripts/Items/Magical/God/Gumps/ItemExperienceGump.cs; Line=578;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</si>
  <si>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PreviousReviewRowId=PBK-1870; POST-BATCH-O ReviewRowId=PBO-0094; No command semantics, button IDs, target gump construction, or access policy changed.</t>
  </si>
  <si>
    <t>RB-03857</t>
  </si>
  <si>
    <t>P10-F03857</t>
  </si>
  <si>
    <t>PBO-0095</t>
  </si>
  <si>
    <t>POST-BATCH-N lane=POST-BATCH-N-GUMP-GUARD-SOURCE-BATCH; FileProofStatus=CurrentPathConfirmed; CurrentFile=Data/Scripts/Items/Magical/God/Gumps/ItemExperienceGump.cs; Line=591;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</si>
  <si>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PreviousReviewRowId=PBK-1871; POST-BATCH-O ReviewRowId=PBO-0095; No command semantics, button IDs, target gump construction, or access policy changed.</t>
  </si>
  <si>
    <t>RB-03858</t>
  </si>
  <si>
    <t>P10-F03858</t>
  </si>
  <si>
    <t>PBO-0096</t>
  </si>
  <si>
    <t>POST-BATCH-N lane=POST-BATCH-N-GUMP-GUARD-SOURCE-BATCH; FileProofStatus=CurrentPathConfirmed; CurrentFile=Data/Scripts/Items/Magical/God/Gumps/ItemExperienceGump.cs; Line=604;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</si>
  <si>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PreviousReviewRowId=PBK-1872; POST-BATCH-O ReviewRowId=PBO-0096; No command semantics, button IDs, target gump construction, or access policy changed.</t>
  </si>
  <si>
    <t>RB-03859</t>
  </si>
  <si>
    <t>P10-F03859</t>
  </si>
  <si>
    <t>PBO-0097</t>
  </si>
  <si>
    <t>POST-BATCH-N lane=POST-BATCH-N-GUMP-GUARD-SOURCE-BATCH; FileProofStatus=CurrentPathConfirmed; CurrentFile=Data/Scripts/Items/Magical/God/Gumps/ItemExperienceGump.cs; Line=617;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</si>
  <si>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PreviousReviewRowId=PBK-1873; POST-BATCH-O ReviewRowId=PBO-0097; No command semantics, button IDs, target gump construction, or access policy changed.</t>
  </si>
  <si>
    <t>RB-03860</t>
  </si>
  <si>
    <t>P10-F03860</t>
  </si>
  <si>
    <t>PBO-0098</t>
  </si>
  <si>
    <t>POST-BATCH-N lane=POST-BATCH-N-GUMP-GUARD-SOURCE-BATCH; FileProofStatus=CurrentPathConfirmed; CurrentFile=Data/Scripts/Items/Magical/God/Gumps/ItemExperienceGump.cs; Line=630;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</si>
  <si>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PreviousReviewRowId=PBK-1874; POST-BATCH-O ReviewRowId=PBO-0098; No command semantics, button IDs, target gump construction, or access policy changed.</t>
  </si>
  <si>
    <t>RB-03861</t>
  </si>
  <si>
    <t>P10-F03861</t>
  </si>
  <si>
    <t>PBO-0099</t>
  </si>
  <si>
    <t>POST-BATCH-N lane=POST-BATCH-N-GUMP-GUARD-SOURCE-BATCH; FileProofStatus=CurrentPathConfirmed; CurrentFile=Data/Scripts/Items/Magical/God/Gumps/ItemExperienceGump.cs; Line=720;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</si>
  <si>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PreviousReviewRowId=PBK-1875; POST-BATCH-O ReviewRowId=PBO-0099; No command semantics, button IDs, target gump construction, or access policy changed.</t>
  </si>
  <si>
    <t>RB-03862</t>
  </si>
  <si>
    <t>P10-F03862</t>
  </si>
  <si>
    <t>PBO-0100</t>
  </si>
  <si>
    <t>POST-BATCH-N lane=POST-BATCH-N-GUMP-GUARD-SOURCE-BATCH; FileProofStatus=CurrentPathConfirmed; CurrentFile=Data/Scripts/Items/Magical/God/Gumps/ItemExperienceGump.cs; Line=776;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</si>
  <si>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PreviousReviewRowId=PBK-1876; POST-BATCH-O ReviewRowId=PBO-0100; No command semantics, button IDs, target gump construction, or access policy changed.</t>
  </si>
  <si>
    <t>RB-03863</t>
  </si>
  <si>
    <t>P10-F03863</t>
  </si>
  <si>
    <t>PBO-0101</t>
  </si>
  <si>
    <t>POST-BATCH-N lane=POST-BATCH-N-GUMP-GUARD-SOURCE-BATCH; FileProofStatus=CurrentPathConfirmed; CurrentFile=Data/Scripts/Items/Magical/God/Gumps/ItemExperienceGump.cs; Line=832;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</si>
  <si>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PreviousReviewRowId=PBK-1877; POST-BATCH-O ReviewRowId=PBO-0101; No command semantics, button IDs, target gump construction, or access policy changed.</t>
  </si>
  <si>
    <t>RB-03864</t>
  </si>
  <si>
    <t>P10-F03864</t>
  </si>
  <si>
    <t>PBO-0102</t>
  </si>
  <si>
    <t>POST-BATCH-N lane=POST-BATCH-N-GUMP-GUARD-SOURCE-BATCH; FileProofStatus=CurrentPathConfirmed; CurrentFile=Data/Scripts/Items/Magical/God/Gumps/ItemExperienceGump.cs; Line=928;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</si>
  <si>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PreviousReviewRowId=PBK-1878; POST-BATCH-O ReviewRowId=PBO-0102; No command semantics, button IDs, target gump construction, or access policy changed.</t>
  </si>
  <si>
    <t>RB-03865</t>
  </si>
  <si>
    <t>P10-F03865</t>
  </si>
  <si>
    <t>PBO-0103</t>
  </si>
  <si>
    <t>POST-BATCH-N lane=POST-BATCH-N-GUMP-GUARD-SOURCE-BATCH; FileProofStatus=CurrentPathConfirmed; CurrentFile=Data/Scripts/Items/Magical/God/Gumps/ItemExperienceGump.cs; Line=994; SourceLine=m_From.SendGump(;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</si>
  <si>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PreviousReviewRowId=PBK-1879; POST-BATCH-O ReviewRowId=PBO-0103; No command semantics, button IDs, target gump construction, or access policy changed.</t>
  </si>
  <si>
    <t>RB-03866</t>
  </si>
  <si>
    <t>P10-F03866</t>
  </si>
  <si>
    <t>PBK-1880</t>
  </si>
  <si>
    <t>RB-03867</t>
  </si>
  <si>
    <t>P10-F03867</t>
  </si>
  <si>
    <t>PBK-1881</t>
  </si>
  <si>
    <t>RB-03868</t>
  </si>
  <si>
    <t>P10-F03868</t>
  </si>
  <si>
    <t>PBK-1882</t>
  </si>
  <si>
    <t>RB-03869</t>
  </si>
  <si>
    <t>P10-F03869</t>
  </si>
  <si>
    <t>PBO-0110</t>
  </si>
  <si>
    <t>POST-BATCH-N lane=POST-BATCH-N-GUMP-GUARD-SOURCE-BATCH; FileProofStatus=CurrentPathConfirmed; CurrentFile=Data/Scripts/Items/Misc/Games/Tarot.cs; Line=233;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</si>
  <si>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PreviousReviewRowId=PBK-1883; POST-BATCH-O ReviewRowId=PBO-0110; No command semantics, button IDs, target gump construction, or access policy changed.</t>
  </si>
  <si>
    <t>RB-03870</t>
  </si>
  <si>
    <t>P10-F03870</t>
  </si>
  <si>
    <t>PBO-0111</t>
  </si>
  <si>
    <t>POST-BATCH-N lane=POST-BATCH-N-GUMP-GUARD-SOURCE-BATCH; FileProofStatus=CurrentPathConfirmed; CurrentFile=Data/Scripts/Items/Misc/Games/Tarot.cs; Line=242;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</si>
  <si>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PreviousReviewRowId=PBK-1884; POST-BATCH-O ReviewRowId=PBO-0111; No command semantics, button IDs, target gump construction, or access policy changed.</t>
  </si>
  <si>
    <t>RB-03871</t>
  </si>
  <si>
    <t>P10-F03871</t>
  </si>
  <si>
    <t>PBO-0112</t>
  </si>
  <si>
    <t>POST-BATCH-N lane=POST-BATCH-N-GUMP-GUARD-SOURCE-BATCH; FileProofStatus=CurrentPathConfirmed; CurrentFile=Data/Scripts/Items/Misc/Games/Tarot.cs; Line=251;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</si>
  <si>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PreviousReviewRowId=PBK-1885; POST-BATCH-O ReviewRowId=PBO-0112; No command semantics, button IDs, target gump construction, or access policy changed.</t>
  </si>
  <si>
    <t>RB-03872</t>
  </si>
  <si>
    <t>P10-F03872</t>
  </si>
  <si>
    <t>PBO-0113</t>
  </si>
  <si>
    <t>POST-BATCH-N lane=POST-BATCH-N-GUMP-GUARD-SOURCE-BATCH; FileProofStatus=CurrentPathConfirmed; CurrentFile=Data/Scripts/Items/Misc/Games/Tarot.cs; Line=260; SourceLine=from.SendGump(new TarotGump(GetFortuneImg(MyFortune)));;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</si>
  <si>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PreviousReviewRowId=PBK-1886; POST-BATCH-O ReviewRowId=PBO-0113; No command semantics, button IDs, target gump construction, or access policy changed.</t>
  </si>
  <si>
    <t>RB-03873</t>
  </si>
  <si>
    <t>P10-F03873</t>
  </si>
  <si>
    <t>PBK-1887</t>
  </si>
  <si>
    <t>HistoricalFile=Data/Scripts/Items/Misc/Games/tarotpoker.cs; Risk=Runtime;Player;Staff; POST-BATCH-K is audit/runtime-surface triage only. No command names, gump button IDs, PlayerMobile fields, region policy, XML/config, save layout, or gameplay behavior changed.</t>
  </si>
  <si>
    <t>RB-03874</t>
  </si>
  <si>
    <t>P10-F03874</t>
  </si>
  <si>
    <t>PBK-1888</t>
  </si>
  <si>
    <t>RB-03875</t>
  </si>
  <si>
    <t>P10-F03875</t>
  </si>
  <si>
    <t>PBK-1889</t>
  </si>
  <si>
    <t>RB-03876</t>
  </si>
  <si>
    <t>P10-F03876</t>
  </si>
  <si>
    <t>PBK-1890</t>
  </si>
  <si>
    <t>RB-03877</t>
  </si>
  <si>
    <t>P10-F03877</t>
  </si>
  <si>
    <t>PBK-1891</t>
  </si>
  <si>
    <t>RB-03878</t>
  </si>
  <si>
    <t>P10-F03878</t>
  </si>
  <si>
    <t>PBK-1892</t>
  </si>
  <si>
    <t>RB-03879</t>
  </si>
  <si>
    <t>P10-F03879</t>
  </si>
  <si>
    <t>PBK-1893</t>
  </si>
  <si>
    <t>RB-03880</t>
  </si>
  <si>
    <t>P10-F03880</t>
  </si>
  <si>
    <t>PBK-1894</t>
  </si>
  <si>
    <t>RB-03881</t>
  </si>
  <si>
    <t>P10-F03881</t>
  </si>
  <si>
    <t>PBK-1895</t>
  </si>
  <si>
    <t>RB-03882</t>
  </si>
  <si>
    <t>P10-F03882</t>
  </si>
  <si>
    <t>PBK-1896</t>
  </si>
  <si>
    <t>RB-03883</t>
  </si>
  <si>
    <t>P10-F03883</t>
  </si>
  <si>
    <t>PBK-1897</t>
  </si>
  <si>
    <t>RB-03884</t>
  </si>
  <si>
    <t>P10-F03884</t>
  </si>
  <si>
    <t>PBK-1898</t>
  </si>
  <si>
    <t>RB-03885</t>
  </si>
  <si>
    <t>P10-F03885</t>
  </si>
  <si>
    <t>PBK-1899</t>
  </si>
  <si>
    <t>RB-03886</t>
  </si>
  <si>
    <t>P10-F03886</t>
  </si>
  <si>
    <t>PBK-1900</t>
  </si>
  <si>
    <t>RB-03887</t>
  </si>
  <si>
    <t>P10-F03887</t>
  </si>
  <si>
    <t>PBK-1901</t>
  </si>
  <si>
    <t>RB-03888</t>
  </si>
  <si>
    <t>P10-F03888</t>
  </si>
  <si>
    <t>PBK-1902</t>
  </si>
  <si>
    <t>RB-03889</t>
  </si>
  <si>
    <t>P10-F03889</t>
  </si>
  <si>
    <t>PBK-1903</t>
  </si>
  <si>
    <t>RB-03890</t>
  </si>
  <si>
    <t>P10-F03890</t>
  </si>
  <si>
    <t>PBK-1904</t>
  </si>
  <si>
    <t>RB-03891</t>
  </si>
  <si>
    <t>P10-F03891</t>
  </si>
  <si>
    <t>PBK-1905</t>
  </si>
  <si>
    <t>RB-03892</t>
  </si>
  <si>
    <t>P10-F03892</t>
  </si>
  <si>
    <t>PBK-1906</t>
  </si>
  <si>
    <t>RB-03893</t>
  </si>
  <si>
    <t>P10-F03893</t>
  </si>
  <si>
    <t>PBK-1907</t>
  </si>
  <si>
    <t>RB-03894</t>
  </si>
  <si>
    <t>P10-F03894</t>
  </si>
  <si>
    <t>PBK-1908</t>
  </si>
  <si>
    <t>RB-03895</t>
  </si>
  <si>
    <t>P10-F03895</t>
  </si>
  <si>
    <t>PBO-0114</t>
  </si>
  <si>
    <t>POST-BATCH-N lane=POST-BATCH-N-GUMP-GUARD-SOURCE-BATCH; FileProofStatus=CurrentPathConfirmed; CurrentFile=Data/Scripts/Items/Misc/Games/DandD/DungeonMastersGuide.cs; Line=32; SourceLine=e.SendGump(new DMGuideGump(e));;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</si>
  <si>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PreviousReviewRowId=PBK-1909; POST-BATCH-O ReviewRowId=PBO-0114; No command semantics, button IDs, target gump construction, or access policy changed.</t>
  </si>
  <si>
    <t>RB-03896</t>
  </si>
  <si>
    <t>P10-F03896</t>
  </si>
  <si>
    <t>PBO-0115</t>
  </si>
  <si>
    <t>POST-BATCH-N lane=POST-BATCH-N-GUMP-GUARD-SOURCE-BATCH; FileProofStatus=CurrentPathConfirmed; CurrentFile=Data/Scripts/Items/Misc/Games/DandD/MonsterManual.cs; Line=95; SourceLine=from.SendGump(new Server.SkillHandlers.DruidismGump(from, c, 1));;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</si>
  <si>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PreviousReviewRowId=PBK-1910; POST-BATCH-O ReviewRowId=PBO-0115; No command semantics, button IDs, target gump construction, or access policy changed.</t>
  </si>
  <si>
    <t>RB-03897</t>
  </si>
  <si>
    <t>P10-F03897</t>
  </si>
  <si>
    <t>PBO-0116</t>
  </si>
  <si>
    <t>POST-BATCH-N lane=POST-BATCH-N-GUMP-GUARD-SOURCE-BATCH; FileProofStatus=CurrentPathConfirmed; CurrentFile=Data/Scripts/Items/Misc/Games/DandD/PlayersHandbook.cs; Line=77; SourceLine=from.SendGump(new StatsGump(from, p, 1));;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</si>
  <si>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PreviousReviewRowId=PBK-1911; POST-BATCH-O ReviewRowId=PBO-0116; No command semantics, button IDs, target gump construction, or access policy changed.</t>
  </si>
  <si>
    <t>RB-03898</t>
  </si>
  <si>
    <t>P10-F03898</t>
  </si>
  <si>
    <t>PBO-0117</t>
  </si>
  <si>
    <t>POST-BATCH-N lane=POST-BATCH-N-GUMP-GUARD-SOURCE-BATCH; FileProofStatus=CurrentPathConfirmed; CurrentFile=Data/Scripts/Items/Misc/Games/DandD/PlayersHandbook.cs; Line=120; SourceLine=from.SendGump(new Server.SkillHandlers.DruidismGump(from, c, 2));;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</si>
  <si>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PreviousReviewRowId=PBK-1912; POST-BATCH-O ReviewRowId=PBO-0117; No command semantics, button IDs, target gump construction, or access policy changed.</t>
  </si>
  <si>
    <t>RB-03899</t>
  </si>
  <si>
    <t>P10-F03899</t>
  </si>
  <si>
    <t>PBK-1913</t>
  </si>
  <si>
    <t>HistoricalFile=Data/Scripts/Items/Misc/Games/LiarsDice/DiceChannel.cs; Risk=Runtime;Player;Staff; POST-BATCH-K is audit/runtime-surface triage only. No command names, gump button IDs, PlayerMobile fields, region policy, XML/config, save layout, or gameplay behavior changed.</t>
  </si>
  <si>
    <t>RB-03900</t>
  </si>
  <si>
    <t>P10-F03900</t>
  </si>
  <si>
    <t>PBO-0118</t>
  </si>
  <si>
    <t>Reviewed current source and found no confirmed POST-BATCH-O guard defect requiring a source edit.</t>
  </si>
  <si>
    <t>POST-BATCH-N lane=POST-BATCH-N-GUMP-GUARD-SOURCE-BATCH; FileProofStatus=CurrentPathConfirmed; CurrentFile=Data/Scripts/Items/Misc/Games/LiarsDice/DiceChannel.cs; Line=503; SourceLine=);; PathResolution=OriginalPathCurrent; MatchQuality=CurrentSourceLine; HookKind=Gump; GuardList=BoundsGuard; Access=; Command=; Handler=; DisabledEvidence=False POST-BATCH-O decision=ReviewedNoChange; ReviewClass=ReviewedNoSourceEdit; SourceRepair=Reviewed current source and found no confirmed POST-BATCH-O guard defect requiring a source edit.</t>
  </si>
  <si>
    <t>PreviousPostAuditBatch=POST-BATCH-K; PreviousReviewRowId=PBK-1914; POST-BATCH-O ReviewRowId=PBO-0118; Row remains source-reviewed under POST-BATCH-O with no source behavior change.</t>
  </si>
  <si>
    <t>RB-03901</t>
  </si>
  <si>
    <t>P10-F03901</t>
  </si>
  <si>
    <t>PBO-0119</t>
  </si>
  <si>
    <t>POST-BATCH-N lane=POST-BATCH-N-GUMP-GUARD-SOURCE-BATCH; FileProofStatus=CurrentPathConfirmed; CurrentFile=Data/Scripts/Items/Misc/Games/LiarsDice/DiceChannel.cs; Line=690; SourceLine=AddPlayerWaiting(updatedMobileIdx);; PathResolution=OriginalPathCurrent; MatchQuality=CurrentSourceLine; HookKind=Gump; GuardList=BoundsGuard; Access=; Command=; Handler=; DisabledEvidence=False POST-BATCH-O decision=ReviewedNoChange; ReviewClass=ReviewedNoSourceEdit; SourceRepair=Reviewed current source and found no confirmed POST-BATCH-O guard defect requiring a source edit.</t>
  </si>
  <si>
    <t>PreviousPostAuditBatch=POST-BATCH-K; PreviousReviewRowId=PBK-1915; POST-BATCH-O ReviewRowId=PBO-0119; Row remains source-reviewed under POST-BATCH-O with no source behavior change.</t>
  </si>
  <si>
    <t>RB-03902</t>
  </si>
  <si>
    <t>P10-F03902</t>
  </si>
  <si>
    <t>PBO-0120</t>
  </si>
  <si>
    <t>POST-BATCH-N lane=POST-BATCH-N-GUMP-GUARD-SOURCE-BATCH; FileProofStatus=CurrentPathConfirmed; CurrentFile=Data/Scripts/Items/Misc/Games/LiarsDice/DiceChannel.cs; Line=723; SourceLine=PlayerWaiting(dicePlayers[noExitMobileIdx], updatedMobileIdx);; PathResolution=OriginalPathCurrent; MatchQuality=CurrentSourceLine; HookKind=Gump; GuardList=BoundsGuard; Access=; Command=; Handler=; DisabledEvidence=False POST-BATCH-O decision=ReviewedNoChange; ReviewClass=ReviewedNoSourceEdit; SourceRepair=Reviewed current source and found no confirmed POST-BATCH-O guard defect requiring a source edit.</t>
  </si>
  <si>
    <t>PreviousPostAuditBatch=POST-BATCH-K; PreviousReviewRowId=PBK-1916; POST-BATCH-O ReviewRowId=PBO-0120; Row remains source-reviewed under POST-BATCH-O with no source behavior change.</t>
  </si>
  <si>
    <t>RB-03903</t>
  </si>
  <si>
    <t>P10-F03903</t>
  </si>
  <si>
    <t>PBO-0121</t>
  </si>
  <si>
    <t>POST-BATCH-N lane=POST-BATCH-N-GUMP-GUARD-SOURCE-BATCH; FileProofStatus=CurrentPathConfirmed; CurrentFile=Data/Scripts/Items/Misc/Games/LiarsDice/DiceChannel.cs; Line=765; SourceLine=public void PlayerWaiting(MobileDiceStstatus mds, int currentPlayerIdx); PathResolution=OriginalPathCurrent; MatchQuality=CurrentSourceLine; HookKind=Gump; GuardList=BoundsGuard; Access=; Command=; Handler=; DisabledEvidence=False POST-BATCH-O decision=ReviewedNoChange; ReviewClass=ReviewedNoSourceEdit; SourceRepair=Reviewed current source and found no confirmed POST-BATCH-O guard defect requiring a source edit.</t>
  </si>
  <si>
    <t>PreviousPostAuditBatch=POST-BATCH-K; PreviousReviewRowId=PBK-1917; POST-BATCH-O ReviewRowId=PBO-0121; Row remains source-reviewed under POST-BATCH-O with no source behavior change.</t>
  </si>
  <si>
    <t>RB-03904</t>
  </si>
  <si>
    <t>P10-F03904</t>
  </si>
  <si>
    <t>PBO-0122</t>
  </si>
  <si>
    <t>POST-BATCH-N lane=POST-BATCH-N-GUMP-GUARD-SOURCE-BATCH; FileProofStatus=CurrentPathConfirmed; CurrentFile=Data/Scripts/Items/Misc/Games/LiarsDice/Gumps/GameDiceGump.cs; Line=190; SourceLine=state.Mobile.SendGump(this);;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</si>
  <si>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PreviousReviewRowId=PBK-1918; POST-BATCH-O ReviewRowId=PBO-0122; No command semantics, button IDs, target gump construction, or access policy changed.</t>
  </si>
  <si>
    <t>RB-03905</t>
  </si>
  <si>
    <t>P10-F03905</t>
  </si>
  <si>
    <t>PBK-1919</t>
  </si>
  <si>
    <t>HistoricalFile=Data/Scripts/Items/Potions/Special/ResurrectPotion.cs; Risk=Runtime;Player;Staff; POST-BATCH-K is audit/runtime-surface triage only. No command names, gump button IDs, PlayerMobile fields, region policy, XML/config, save layout, or gameplay behavior changed.</t>
  </si>
  <si>
    <t>RB-03906</t>
  </si>
  <si>
    <t>P10-F03906</t>
  </si>
  <si>
    <t>PBK-1920</t>
  </si>
  <si>
    <t>RB-03907</t>
  </si>
  <si>
    <t>P10-F03907</t>
  </si>
  <si>
    <t>PBK-1921</t>
  </si>
  <si>
    <t>HistoricalFile=Data/Scripts/Items/Special/AlternateRealityMap.cs; Risk=Runtime;Player;Staff; POST-BATCH-K is audit/runtime-surface triage only. No command names, gump button IDs, PlayerMobile fields, region policy, XML/config, save layout, or gameplay behavior changed.</t>
  </si>
  <si>
    <t>RB-03908</t>
  </si>
  <si>
    <t>P10-F03908</t>
  </si>
  <si>
    <t>PBO-0123</t>
  </si>
  <si>
    <t>POST-BATCH-N lane=POST-BATCH-N-GUMP-GUARD-SOURCE-BATCH; FileProofStatus=CurrentPathConfirmed; CurrentFile=Data/Scripts/Items/Special/BaseImprisonedMobile.cs; Line=22; SourceLine=from.SendGump(new ConfirmBreakCrystalGump(this));;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</si>
  <si>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PreviousReviewRowId=PBK-1922; POST-BATCH-O ReviewRowId=PBO-0123; No command semantics, button IDs, target gump construction, or access policy changed.</t>
  </si>
  <si>
    <t>RB-03909</t>
  </si>
  <si>
    <t>P10-F03909</t>
  </si>
  <si>
    <t>PBK-1923</t>
  </si>
  <si>
    <t>RB-03910</t>
  </si>
  <si>
    <t>P10-F03910</t>
  </si>
  <si>
    <t>PBK-1924</t>
  </si>
  <si>
    <t>RB-03911</t>
  </si>
  <si>
    <t>P10-F03911</t>
  </si>
  <si>
    <t>PBK-1925</t>
  </si>
  <si>
    <t>RB-03912</t>
  </si>
  <si>
    <t>P10-F03912</t>
  </si>
  <si>
    <t>PBK-1926</t>
  </si>
  <si>
    <t>RB-03913</t>
  </si>
  <si>
    <t>P10-F03913</t>
  </si>
  <si>
    <t>PBK-1927</t>
  </si>
  <si>
    <t>RB-03914</t>
  </si>
  <si>
    <t>P10-F03914</t>
  </si>
  <si>
    <t>PBK-1928</t>
  </si>
  <si>
    <t>HistoricalFile=Data/Scripts/Items/Special/TapestryOfSosaria.cs; Risk=Runtime;Player;Staff; POST-BATCH-K is audit/runtime-surface triage only. No command names, gump button IDs, PlayerMobile fields, region policy, XML/config, save layout, or gameplay behavior changed.</t>
  </si>
  <si>
    <t>RB-03915</t>
  </si>
  <si>
    <t>P10-F03915</t>
  </si>
  <si>
    <t>PBK-1929</t>
  </si>
  <si>
    <t>RB-03916</t>
  </si>
  <si>
    <t>P10-F03916</t>
  </si>
  <si>
    <t>PBK-1930</t>
  </si>
  <si>
    <t>RB-03917</t>
  </si>
  <si>
    <t>P10-F03917</t>
  </si>
  <si>
    <t>PBK-1931</t>
  </si>
  <si>
    <t>HistoricalFile=Data/Scripts/Items/Special/Rares/TarotCards/DecoDeckOfTarot2.cs; Risk=Runtime;Player;Staff; POST-BATCH-K is audit/runtime-surface triage only. No command names, gump button IDs, PlayerMobile fields, region policy, XML/config, save layout, or gameplay behavior changed.</t>
  </si>
  <si>
    <t>RB-03918</t>
  </si>
  <si>
    <t>P10-F03918</t>
  </si>
  <si>
    <t>PBK-1932</t>
  </si>
  <si>
    <t>HistoricalFile=Data/Scripts/Items/Special/Rares/TarotCards/DecoTarot.cs; Risk=Runtime;Player;Staff; POST-BATCH-K is audit/runtime-surface triage only. No command names, gump button IDs, PlayerMobile fields, region policy, XML/config, save layout, or gameplay behavior changed.</t>
  </si>
  <si>
    <t>RB-03919</t>
  </si>
  <si>
    <t>P10-F03919</t>
  </si>
  <si>
    <t>PBK-1933</t>
  </si>
  <si>
    <t>HistoricalFile=Data/Scripts/Items/Special/Rares/TarotCards/DecoTarot2.cs; Risk=Runtime;Player;Staff; POST-BATCH-K is audit/runtime-surface triage only. No command names, gump button IDs, PlayerMobile fields, region policy, XML/config, save layout, or gameplay behavior changed.</t>
  </si>
  <si>
    <t>RB-03920</t>
  </si>
  <si>
    <t>P10-F03920</t>
  </si>
  <si>
    <t>PBK-1934</t>
  </si>
  <si>
    <t>HistoricalFile=Data/Scripts/Items/Special/Rares/TarotCards/DecoTarot3.cs; Risk=Runtime;Player;Staff; POST-BATCH-K is audit/runtime-surface triage only. No command names, gump button IDs, PlayerMobile fields, region policy, XML/config, save layout, or gameplay behavior changed.</t>
  </si>
  <si>
    <t>RB-03921</t>
  </si>
  <si>
    <t>P10-F03921</t>
  </si>
  <si>
    <t>PBK-1935</t>
  </si>
  <si>
    <t>HistoricalFile=Data/Scripts/Items/Special/Rares/TarotCards/DecoTarot4.cs; Risk=Runtime;Player;Staff; POST-BATCH-K is audit/runtime-surface triage only. No command names, gump button IDs, PlayerMobile fields, region policy, XML/config, save layout, or gameplay behavior changed.</t>
  </si>
  <si>
    <t>RB-03922</t>
  </si>
  <si>
    <t>P10-F03922</t>
  </si>
  <si>
    <t>PBK-1936</t>
  </si>
  <si>
    <t>HistoricalFile=Data/Scripts/Items/Special/Rares/TarotCards/DecoTarot5.cs; Risk=Runtime;Player;Staff; POST-BATCH-K is audit/runtime-surface triage only. No command names, gump button IDs, PlayerMobile fields, region policy, XML/config, save layout, or gameplay behavior changed.</t>
  </si>
  <si>
    <t>RB-03923</t>
  </si>
  <si>
    <t>P10-F03923</t>
  </si>
  <si>
    <t>PBK-1937</t>
  </si>
  <si>
    <t>HistoricalFile=Data/Scripts/Items/Special/Rares/TarotCards/DecoTarot6.cs; Risk=Runtime;Player;Staff; POST-BATCH-K is audit/runtime-surface triage only. No command names, gump button IDs, PlayerMobile fields, region policy, XML/config, save layout, or gameplay behavior changed.</t>
  </si>
  <si>
    <t>RB-03924</t>
  </si>
  <si>
    <t>P10-F03924</t>
  </si>
  <si>
    <t>PBK-1938</t>
  </si>
  <si>
    <t>HistoricalFile=Data/Scripts/Items/Special/Rares/TarotCards/DecoTarot7.cs; Risk=Runtime;Player;Staff; POST-BATCH-K is audit/runtime-surface triage only. No command names, gump button IDs, PlayerMobile fields, region policy, XML/config, save layout, or gameplay behavior changed.</t>
  </si>
  <si>
    <t>RB-03925</t>
  </si>
  <si>
    <t>P10-F03925</t>
  </si>
  <si>
    <t>PBK-1939</t>
  </si>
  <si>
    <t>RB-03926</t>
  </si>
  <si>
    <t>P10-F03926</t>
  </si>
  <si>
    <t>PBK-1940</t>
  </si>
  <si>
    <t>HistoricalFile=Data/Scripts/Items/Special/Veteran Rewards/FlamingHead.cs; Risk=Runtime;Player;Staff; POST-BATCH-K is audit/runtime-surface triage only. No command names, gump button IDs, PlayerMobile fields, region policy, XML/config, save layout, or gameplay behavior changed.</t>
  </si>
  <si>
    <t>RB-03927</t>
  </si>
  <si>
    <t>P10-F03927</t>
  </si>
  <si>
    <t>PBK-1941</t>
  </si>
  <si>
    <t>RB-03928</t>
  </si>
  <si>
    <t>P10-F03928</t>
  </si>
  <si>
    <t>PBK-1942</t>
  </si>
  <si>
    <t>RB-03929</t>
  </si>
  <si>
    <t>P10-F03929</t>
  </si>
  <si>
    <t>PBK-1943</t>
  </si>
  <si>
    <t>RB-03930</t>
  </si>
  <si>
    <t>P10-F03930</t>
  </si>
  <si>
    <t>PBK-1944</t>
  </si>
  <si>
    <t>RB-03931</t>
  </si>
  <si>
    <t>P10-F03931</t>
  </si>
  <si>
    <t>PBK-1945</t>
  </si>
  <si>
    <t>RB-03932</t>
  </si>
  <si>
    <t>P10-F03932</t>
  </si>
  <si>
    <t>PBO-0124</t>
  </si>
  <si>
    <t>POST-BATCH-N lane=POST-BATCH-N-GUMP-GUARD-SOURCE-BATCH; FileProofStatus=CurrentPathConfirmed; CurrentFile=Data/Scripts/Items/Trades/Fishing/FishBarrel.cs; Line=32; SourceLine=from.SendGump(;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</si>
  <si>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PreviousReviewRowId=PBK-1946; POST-BATCH-O ReviewRowId=PBO-0124; No command semantics, button IDs, target gump construction, or access policy changed.</t>
  </si>
  <si>
    <t>RB-03933</t>
  </si>
  <si>
    <t>P10-F03933</t>
  </si>
  <si>
    <t>PBO-0125</t>
  </si>
  <si>
    <t>POST-BATCH-N lane=POST-BATCH-N-GUMP-GUARD-SOURCE-BATCH; FileProofStatus=CurrentPathConfirmed; CurrentFile=Data/Scripts/Items/Trades/Fishing/ScrapIronBarrel.cs; Line=56; SourceLine=from.SendGump(; PathResolution=OriginalPathCurrent; MatchQuality=RuntimeHookMapFileLine; HookKind=Gump; GuardList=PacketReadGuard;StateGuard; Access=; Command=; Handler=; DisabledEvidence=False; RuntimeHookMap=HookType=Gump;Marker=SendGump;Access=Internal;Risk=High;Guards=PacketReadGuard;StateGuard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</si>
  <si>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PreviousReviewRowId=PBK-1947; POST-BATCH-O ReviewRowId=PBO-0125; No command semantics, button IDs, target gump construction, or access policy changed.</t>
  </si>
  <si>
    <t>RB-03934</t>
  </si>
  <si>
    <t>P10-F03934</t>
  </si>
  <si>
    <t>PBK-1948</t>
  </si>
  <si>
    <t>RB-03935</t>
  </si>
  <si>
    <t>P10-F03935</t>
  </si>
  <si>
    <t>PBK-1949</t>
  </si>
  <si>
    <t>HistoricalFile=Data/Scripts/Items/Trades/Maps/MapRanger.cs; Risk=Runtime;Player;Staff; POST-BATCH-K is audit/runtime-surface triage only. No command names, gump button IDs, PlayerMobile fields, region policy, XML/config, save layout, or gameplay behavior changed.</t>
  </si>
  <si>
    <t>RB-03936</t>
  </si>
  <si>
    <t>P10-F03936</t>
  </si>
  <si>
    <t>PBK-1950</t>
  </si>
  <si>
    <t>HistoricalFile=Data/Scripts/Items/Trades/Maps/MapWorld.cs; Risk=Runtime;Player;Staff; POST-BATCH-K is audit/runtime-surface triage only. No command names, gump button IDs, PlayerMobile fields, region policy, XML/config, save layout, or gameplay behavior changed.</t>
  </si>
  <si>
    <t>RB-03937</t>
  </si>
  <si>
    <t>P10-F03937</t>
  </si>
  <si>
    <t>PBK-1951</t>
  </si>
  <si>
    <t>RB-03938</t>
  </si>
  <si>
    <t>P10-F03938</t>
  </si>
  <si>
    <t>PBK-1952</t>
  </si>
  <si>
    <t>RB-03939</t>
  </si>
  <si>
    <t>P10-F03939</t>
  </si>
  <si>
    <t>PBK-1953</t>
  </si>
  <si>
    <t>RB-03940</t>
  </si>
  <si>
    <t>P10-F03940</t>
  </si>
  <si>
    <t>PBK-1954</t>
  </si>
  <si>
    <t>RB-03941</t>
  </si>
  <si>
    <t>P10-F03941</t>
  </si>
  <si>
    <t>PBK-1955</t>
  </si>
  <si>
    <t>RB-03942</t>
  </si>
  <si>
    <t>P10-F03942</t>
  </si>
  <si>
    <t>PBK-1956</t>
  </si>
  <si>
    <t>RB-03943</t>
  </si>
  <si>
    <t>P10-F03943</t>
  </si>
  <si>
    <t>PBK-1957</t>
  </si>
  <si>
    <t>RB-03944</t>
  </si>
  <si>
    <t>P10-F03944</t>
  </si>
  <si>
    <t>PBK-1958</t>
  </si>
  <si>
    <t>RB-03945</t>
  </si>
  <si>
    <t>P10-F03945</t>
  </si>
  <si>
    <t>PBK-1959</t>
  </si>
  <si>
    <t>RB-03946</t>
  </si>
  <si>
    <t>P10-F03946</t>
  </si>
  <si>
    <t>PBK-1960</t>
  </si>
  <si>
    <t>RB-03947</t>
  </si>
  <si>
    <t>P10-F03947</t>
  </si>
  <si>
    <t>PBK-1961</t>
  </si>
  <si>
    <t>RB-03948</t>
  </si>
  <si>
    <t>P10-F03948</t>
  </si>
  <si>
    <t>PBK-1962</t>
  </si>
  <si>
    <t>RB-03949</t>
  </si>
  <si>
    <t>P10-F03949</t>
  </si>
  <si>
    <t>PBK-1963</t>
  </si>
  <si>
    <t>RB-03950</t>
  </si>
  <si>
    <t>P10-F03950</t>
  </si>
  <si>
    <t>PBK-1964</t>
  </si>
  <si>
    <t>RB-03951</t>
  </si>
  <si>
    <t>P10-F03951</t>
  </si>
  <si>
    <t>PBK-1965</t>
  </si>
  <si>
    <t>RB-03952</t>
  </si>
  <si>
    <t>P10-F03952</t>
  </si>
  <si>
    <t>PBK-1966</t>
  </si>
  <si>
    <t>RB-03953</t>
  </si>
  <si>
    <t>P10-F03953</t>
  </si>
  <si>
    <t>PBK-1967</t>
  </si>
  <si>
    <t>RB-03954</t>
  </si>
  <si>
    <t>P10-F03954</t>
  </si>
  <si>
    <t>PBK-1968</t>
  </si>
  <si>
    <t>RB-03955</t>
  </si>
  <si>
    <t>P10-F03955</t>
  </si>
  <si>
    <t>PBK-1969</t>
  </si>
  <si>
    <t>HistoricalFile=Data/Scripts/Magic/Bard/SongBook.cs; Risk=Runtime;Player;Staff; POST-BATCH-K is audit/runtime-surface triage only. No command names, gump button IDs, PlayerMobile fields, region policy, XML/config, save layout, or gameplay behavior changed.</t>
  </si>
  <si>
    <t>RB-03956</t>
  </si>
  <si>
    <t>P10-F03956</t>
  </si>
  <si>
    <t>PBK-1970</t>
  </si>
  <si>
    <t>RB-03957</t>
  </si>
  <si>
    <t>P10-F03957</t>
  </si>
  <si>
    <t>PBK-1971</t>
  </si>
  <si>
    <t>RB-03958</t>
  </si>
  <si>
    <t>P10-F03958</t>
  </si>
  <si>
    <t>PBK-1972</t>
  </si>
  <si>
    <t>RB-03959</t>
  </si>
  <si>
    <t>P10-F03959</t>
  </si>
  <si>
    <t>PBO-0150</t>
  </si>
  <si>
    <t>POST-BATCH-N lane=POST-BATCH-N-GUMP-GUARD-SOURCE-BATCH; FileProofStatus=CurrentPathConfirmed; CurrentFile=Data/Scripts/Magic/Druidism/BookDruidBrewing.cs; Line=418; SourceLine=from.SendGump(new BookGump(from,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</si>
  <si>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PreviousReviewRowId=PBK-1973; POST-BATCH-O ReviewRowId=PBO-0150; No command semantics, button IDs, target gump construction, or access policy changed.</t>
  </si>
  <si>
    <t>RB-03960</t>
  </si>
  <si>
    <t>P10-F03960</t>
  </si>
  <si>
    <t>PBO-0151</t>
  </si>
  <si>
    <t>POST-BATCH-N lane=POST-BATCH-N-GUMP-GUARD-SOURCE-BATCH; FileProofStatus=CurrentPathConfirmed; CurrentFile=Data/Scripts/Magic/Druidism/BookDruidBrewing.cs; Line=649; SourceLine=e.SendGump(new BookGump(e, 1));;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</si>
  <si>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PreviousReviewRowId=PBK-1974; POST-BATCH-O ReviewRowId=PBO-0151; No command semantics, button IDs, target gump construction, or access policy changed.</t>
  </si>
  <si>
    <t>RB-03961</t>
  </si>
  <si>
    <t>P10-F03961</t>
  </si>
  <si>
    <t>Data/Scripts/Magic/Elementalism/ElementalShrine.cs</t>
  </si>
  <si>
    <t>PBO-0152</t>
  </si>
  <si>
    <t>POST-BATCH-N lane=POST-BATCH-N-GUMP-GUARD-SOURCE-BATCH; FileProofStatus=CurrentPathConfirmed; CurrentFile=Data/Scripts/Magic/Elementalism/ElementalShrine.cs; Line=154; SourceLine=m.SendGump(new SpellBarsElement1(m));;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</si>
  <si>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PreviousReviewRowId=PBK-1975; POST-BATCH-O ReviewRowId=PBO-0152; No command semantics, button IDs, target gump construction, or access policy changed.</t>
  </si>
  <si>
    <t>RB-03962</t>
  </si>
  <si>
    <t>P10-F03962</t>
  </si>
  <si>
    <t>PBO-0153</t>
  </si>
  <si>
    <t>POST-BATCH-N lane=POST-BATCH-N-GUMP-GUARD-SOURCE-BATCH; FileProofStatus=CurrentPathConfirmed; CurrentFile=Data/Scripts/Magic/Elementalism/ElementalShrine.cs; Line=159; SourceLine=m.SendGump(new SpellBarsElement2(m));;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</si>
  <si>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PreviousReviewRowId=PBK-1976; POST-BATCH-O ReviewRowId=PBO-0153; No command semantics, button IDs, target gump construction, or access policy changed.</t>
  </si>
  <si>
    <t>RB-03963</t>
  </si>
  <si>
    <t>P10-F03963</t>
  </si>
  <si>
    <t>PBO-0154</t>
  </si>
  <si>
    <t>POST-BATCH-N lane=POST-BATCH-N-GUMP-GUARD-SOURCE-BATCH; FileProofStatus=CurrentPathConfirmed; CurrentFile=Data/Scripts/Magic/Elementalism/ElementalShrine.cs; Line=164; SourceLine=m.SendGump(new QuickBar(m));;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</si>
  <si>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PreviousReviewRowId=PBK-1977; POST-BATCH-O ReviewRowId=PBO-0154; No command semantics, button IDs, target gump construction, or access policy changed.</t>
  </si>
  <si>
    <t>RB-03964</t>
  </si>
  <si>
    <t>P10-F03964</t>
  </si>
  <si>
    <t>PBO-0155</t>
  </si>
  <si>
    <t>POST-BATCH-N lane=POST-BATCH-N-GUMP-GUARD-SOURCE-BATCH; FileProofStatus=CurrentPathConfirmed; CurrentFile=Data/Scripts/Magic/Elementalism/ElementalShrine.cs; Line=169; SourceLine=m.SendGump(new SetupBarsElement1(m, 0));;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</si>
  <si>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PreviousReviewRowId=PBK-1978; POST-BATCH-O ReviewRowId=PBO-0155; No command semantics, button IDs, target gump construction, or access policy changed.</t>
  </si>
  <si>
    <t>RB-03965</t>
  </si>
  <si>
    <t>P10-F03965</t>
  </si>
  <si>
    <t>PBO-0156</t>
  </si>
  <si>
    <t>POST-BATCH-N lane=POST-BATCH-N-GUMP-GUARD-SOURCE-BATCH; FileProofStatus=CurrentPathConfirmed; CurrentFile=Data/Scripts/Magic/Elementalism/ElementalShrine.cs; Line=174; SourceLine=m.SendGump(new SetupBarsElement2(m, 0));;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</si>
  <si>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PreviousReviewRowId=PBK-1979; POST-BATCH-O ReviewRowId=PBO-0156; No command semantics, button IDs, target gump construction, or access policy changed.</t>
  </si>
  <si>
    <t>RB-03966</t>
  </si>
  <si>
    <t>P10-F03966</t>
  </si>
  <si>
    <t>PBK-1980</t>
  </si>
  <si>
    <t>HistoricalFile=Data/Scripts/Magic/Holy Man/MalletStake.cs; Risk=Runtime;Player;Staff; POST-BATCH-K is audit/runtime-surface triage only. No command names, gump button IDs, PlayerMobile fields, region policy, XML/config, save layout, or gameplay behavior changed.</t>
  </si>
  <si>
    <t>RB-03967</t>
  </si>
  <si>
    <t>P10-F03967</t>
  </si>
  <si>
    <t>PBK-1981</t>
  </si>
  <si>
    <t>RB-03968</t>
  </si>
  <si>
    <t>P10-F03968</t>
  </si>
  <si>
    <t>PBK-1982</t>
  </si>
  <si>
    <t>RB-03969</t>
  </si>
  <si>
    <t>P10-F03969</t>
  </si>
  <si>
    <t>PBK-1983</t>
  </si>
  <si>
    <t>RB-03970</t>
  </si>
  <si>
    <t>P10-F03970</t>
  </si>
  <si>
    <t>PBK-1984</t>
  </si>
  <si>
    <t>RB-03971</t>
  </si>
  <si>
    <t>P10-F03971</t>
  </si>
  <si>
    <t>PBK-1985</t>
  </si>
  <si>
    <t>RB-03972</t>
  </si>
  <si>
    <t>P10-F03972</t>
  </si>
  <si>
    <t>PBK-1986</t>
  </si>
  <si>
    <t>RB-03973</t>
  </si>
  <si>
    <t>P10-F03973</t>
  </si>
  <si>
    <t>PBK-1987</t>
  </si>
  <si>
    <t>RB-03974</t>
  </si>
  <si>
    <t>P10-F03974</t>
  </si>
  <si>
    <t>PBK-1988</t>
  </si>
  <si>
    <t>RB-03975</t>
  </si>
  <si>
    <t>P10-F03975</t>
  </si>
  <si>
    <t>PBK-1989</t>
  </si>
  <si>
    <t>RB-03976</t>
  </si>
  <si>
    <t>P10-F03976</t>
  </si>
  <si>
    <t>PBK-1990</t>
  </si>
  <si>
    <t>RB-03977</t>
  </si>
  <si>
    <t>P10-F03977</t>
  </si>
  <si>
    <t>PBK-1991</t>
  </si>
  <si>
    <t>RB-03978</t>
  </si>
  <si>
    <t>P10-F03978</t>
  </si>
  <si>
    <t>Data/Scripts/Magic/Magery/Magery 7th/Polymorph.cs</t>
  </si>
  <si>
    <t>PBO-0157</t>
  </si>
  <si>
    <t>POST-BATCH-N lane=POST-BATCH-N-GUMP-GUARD-SOURCE-BATCH; FileProofStatus=CurrentPathConfirmed; CurrentFile=Data/Scripts/Magic/Magery/Magery 7th/Polymorph.cs; Line=65; SourceLine=Caster.SendGump(gump);; PathResolution=OriginalPathCurrent; MatchQuality=RuntimeHookMapFileLine; HookKind=Gump; GuardList=MapGuard;NullGuard; Access=; Command=; Handler=; DisabledEvidence=False; RuntimeHookMap=HookType=Gump;Marker=SendGump;Access=Internal;Risk=High;Guards=MapGuard;NullGuard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</si>
  <si>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PreviousReviewRowId=PBK-1992; POST-BATCH-O ReviewRowId=PBO-0157; No command semantics, button IDs, target gump construction, or access policy changed.</t>
  </si>
  <si>
    <t>RB-03979</t>
  </si>
  <si>
    <t>P10-F03979</t>
  </si>
  <si>
    <t>Data/Scripts/Magic/Research/Spells/Theurgy/ResearchDivination.cs</t>
  </si>
  <si>
    <t>PBO-0158</t>
  </si>
  <si>
    <t>POST-BATCH-N lane=POST-BATCH-N-GUMP-GUARD-SOURCE-BATCH; FileProofStatus=CurrentPathConfirmed; CurrentFile=Data/Scripts/Magic/Research/Spells/Theurgy/ResearchDivination.cs; Line=81; SourceLine=from.SendGump(new StatsGump(from, p, 2));;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</si>
  <si>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PreviousReviewRowId=PBK-1993; POST-BATCH-O ReviewRowId=PBO-0158; No command semantics, button IDs, target gump construction, or access policy changed.</t>
  </si>
  <si>
    <t>RB-03980</t>
  </si>
  <si>
    <t>P10-F03980</t>
  </si>
  <si>
    <t>PBO-0159</t>
  </si>
  <si>
    <t>POST-BATCH-N lane=POST-BATCH-N-GUMP-GUARD-SOURCE-BATCH; FileProofStatus=CurrentPathConfirmed; CurrentFile=Data/Scripts/Magic/Research/Spells/Theurgy/ResearchDivination.cs; Line=125; SourceLine=from.SendGump(new Server.SkillHandlers.DruidismGump(from, c, 4));;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</si>
  <si>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PreviousReviewRowId=PBK-1994; POST-BATCH-O ReviewRowId=PBO-0159; No command semantics, button IDs, target gump construction, or access policy changed.</t>
  </si>
  <si>
    <t>RB-03981</t>
  </si>
  <si>
    <t>P10-F03981</t>
  </si>
  <si>
    <t>PBO-0160</t>
  </si>
  <si>
    <t>POST-BATCH-N lane=POST-BATCH-N-GUMP-GUARD-SOURCE-BATCH; FileProofStatus=CurrentPathConfirmed; CurrentFile=Data/Scripts/Magic/Research/Spells/Theurgy/ResearchDivination.cs; Line=133; SourceLine=from.SendGump(new Server.SkillHandlers.DruidismGump(from, c, 3));;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</si>
  <si>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PreviousReviewRowId=PBK-1995; POST-BATCH-O ReviewRowId=PBO-0160; No command semantics, button IDs, target gump construction, or access policy changed.</t>
  </si>
  <si>
    <t>RB-03982</t>
  </si>
  <si>
    <t>P10-F03982</t>
  </si>
  <si>
    <t>PBO-0161</t>
  </si>
  <si>
    <t>POST-BATCH-N lane=POST-BATCH-N-GUMP-GUARD-SOURCE-BATCH; FileProofStatus=CurrentPathConfirmed; CurrentFile=Data/Scripts/Magic/Witch/BookWitchBrewing.cs; Line=418; SourceLine=from.SendGump(new BookGump(from, page));;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</si>
  <si>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PreviousReviewRowId=PBK-1996; POST-BATCH-O ReviewRowId=PBO-0161; No command semantics, button IDs, target gump construction, or access policy changed.</t>
  </si>
  <si>
    <t>RB-03983</t>
  </si>
  <si>
    <t>P10-F03983</t>
  </si>
  <si>
    <t>PBO-0162</t>
  </si>
  <si>
    <t>POST-BATCH-N lane=POST-BATCH-N-GUMP-GUARD-SOURCE-BATCH; FileProofStatus=CurrentPathConfirmed; CurrentFile=Data/Scripts/Magic/Witch/BookWitchBrewing.cs; Line=645; SourceLine=e.SendGump(new BookGump(e, 1));;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</si>
  <si>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PreviousReviewRowId=PBK-1997; POST-BATCH-O ReviewRowId=PBO-0162; No command semantics, button IDs, target gump construction, or access policy changed.</t>
  </si>
  <si>
    <t>RB-03984</t>
  </si>
  <si>
    <t>P10-F03984</t>
  </si>
  <si>
    <t>PBK-1998</t>
  </si>
  <si>
    <t>HistoricalFile=Data/Scripts/Mobiles/Civilized/Chuckles.cs; Risk=Runtime;Player;Staff; POST-BATCH-K is audit/runtime-surface triage only. No command names, gump button IDs, PlayerMobile fields, region policy, XML/config, save layout, or gameplay behavior changed.</t>
  </si>
  <si>
    <t>RB-03985</t>
  </si>
  <si>
    <t>P10-F03985</t>
  </si>
  <si>
    <t>PBK-1999</t>
  </si>
  <si>
    <t>HistoricalFile=Data/Scripts/Mobiles/Civilized/DeathKnightDemon.cs; Risk=Runtime;Player;Staff; POST-BATCH-K is audit/runtime-surface triage only. No command names, gump button IDs, PlayerMobile fields, region policy, XML/config, save layout, or gameplay behavior changed.</t>
  </si>
  <si>
    <t>RB-03986</t>
  </si>
  <si>
    <t>P10-F03986</t>
  </si>
  <si>
    <t>PBK-2000</t>
  </si>
  <si>
    <t>HistoricalFile=Data/Scripts/Mobiles/Civilized/NecroGreeter.cs; Risk=Runtime;Player;Staff; POST-BATCH-K is audit/runtime-surface triage only. No command names, gump button IDs, PlayerMobile fields, region policy, XML/config, save layout, or gameplay behavior changed.</t>
  </si>
  <si>
    <t>RB-03987</t>
  </si>
  <si>
    <t>P10-F03987</t>
  </si>
  <si>
    <t>PBK-2001</t>
  </si>
  <si>
    <t>HistoricalFile=Data/Scripts/Mobiles/Civilized/Priest.cs; Risk=Runtime;Player;Staff; POST-BATCH-K is audit/runtime-surface triage only. No command names, gump button IDs, PlayerMobile fields, region policy, XML/config, save layout, or gameplay behavior changed.</t>
  </si>
  <si>
    <t>RB-03988</t>
  </si>
  <si>
    <t>P10-F03988</t>
  </si>
  <si>
    <t>PBK-2002</t>
  </si>
  <si>
    <t>RB-03989</t>
  </si>
  <si>
    <t>P10-F03989</t>
  </si>
  <si>
    <t>PBK-2003</t>
  </si>
  <si>
    <t>HistoricalFile=Data/Scripts/Mobiles/Civilized/Healers/EvilHealer.cs; Risk=Runtime;Player;Staff; POST-BATCH-K is audit/runtime-surface triage only. No command names, gump button IDs, PlayerMobile fields, region policy, XML/config, save layout, or gameplay behavior changed.</t>
  </si>
  <si>
    <t>RB-03990</t>
  </si>
  <si>
    <t>P10-F03990</t>
  </si>
  <si>
    <t>PBK-2004</t>
  </si>
  <si>
    <t>HistoricalFile=Data/Scripts/Mobiles/Civilized/Healers/Healer.cs; Risk=Runtime;Player;Staff; POST-BATCH-K is audit/runtime-surface triage only. No command names, gump button IDs, PlayerMobile fields, region policy, XML/config, save layout, or gameplay behavior changed.</t>
  </si>
  <si>
    <t>RB-03991</t>
  </si>
  <si>
    <t>P10-F03991</t>
  </si>
  <si>
    <t>PBO-0126</t>
  </si>
  <si>
    <t>POST-BATCH-N lane=POST-BATCH-N-GUMP-GUARD-SOURCE-BATCH; FileProofStatus=CurrentPathConfirmed; CurrentFile=Data/Scripts/Mobiles/Civilized/Healers/WanderingHealer.cs; Line=94;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</si>
  <si>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PreviousReviewRowId=PBK-2005; POST-BATCH-O ReviewRowId=PBO-0126; No command semantics, button IDs, target gump construction, or access policy changed.</t>
  </si>
  <si>
    <t>RB-03992</t>
  </si>
  <si>
    <t>P10-F03992</t>
  </si>
  <si>
    <t>PBO-0127</t>
  </si>
  <si>
    <t>POST-BATCH-N lane=POST-BATCH-N-GUMP-GUARD-SOURCE-BATCH; FileProofStatus=CurrentPathConfirmed; CurrentFile=Data/Scripts/Mobiles/Civilized/Special/Devon.cs; Line=92;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</si>
  <si>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PreviousReviewRowId=PBK-2006; POST-BATCH-O ReviewRowId=PBO-0127; No command semantics, button IDs, target gump construction, or access policy changed.</t>
  </si>
  <si>
    <t>RB-03993</t>
  </si>
  <si>
    <t>P10-F03993</t>
  </si>
  <si>
    <t>PBO-0128</t>
  </si>
  <si>
    <t>POST-BATCH-N lane=POST-BATCH-N-GUMP-GUARD-SOURCE-BATCH; FileProofStatus=CurrentPathConfirmed; CurrentFile=Data/Scripts/Mobiles/Civilized/Special/GodOfCourage.cs; Line=76;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</si>
  <si>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PreviousReviewRowId=PBK-2007; POST-BATCH-O ReviewRowId=PBO-0128; No command semantics, button IDs, target gump construction, or access policy changed.</t>
  </si>
  <si>
    <t>RB-03994</t>
  </si>
  <si>
    <t>P10-F03994</t>
  </si>
  <si>
    <t>PBO-0129</t>
  </si>
  <si>
    <t>POST-BATCH-N lane=POST-BATCH-N-GUMP-GUARD-SOURCE-BATCH; FileProofStatus=CurrentPathConfirmed; CurrentFile=Data/Scripts/Mobiles/Civilized/Special/Kylearan.cs; Line=96; SourceLine=m_Mobile.SendGump(;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</si>
  <si>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PreviousReviewRowId=PBK-2008; POST-BATCH-O ReviewRowId=PBO-0129; No command semantics, button IDs, target gump construction, or access policy changed.</t>
  </si>
  <si>
    <t>RB-03995</t>
  </si>
  <si>
    <t>P10-F03995</t>
  </si>
  <si>
    <t>PBK-2009</t>
  </si>
  <si>
    <t>HistoricalFile=Data/Scripts/Mobiles/Civilized/Special/MadGodPriest.cs; Risk=Runtime;Player;Staff; POST-BATCH-K is audit/runtime-surface triage only. No command names, gump button IDs, PlayerMobile fields, region policy, XML/config, save layout, or gameplay behavior changed.</t>
  </si>
  <si>
    <t>RB-03996</t>
  </si>
  <si>
    <t>P10-F03996</t>
  </si>
  <si>
    <t>PBO-0130</t>
  </si>
  <si>
    <t>POST-BATCH-N lane=POST-BATCH-N-GUMP-GUARD-SOURCE-BATCH; FileProofStatus=CurrentPathConfirmed; CurrentFile=Data/Scripts/Mobiles/Civilized/Special/Xardok.cs; Line=111;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</si>
  <si>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PreviousReviewRowId=PBK-2010; POST-BATCH-O ReviewRowId=PBO-0130; No command semantics, button IDs, target gump construction, or access policy changed.</t>
  </si>
  <si>
    <t>RB-03997</t>
  </si>
  <si>
    <t>P10-F03997</t>
  </si>
  <si>
    <t>PBO-0131</t>
  </si>
  <si>
    <t>POST-BATCH-N lane=POST-BATCH-N-GUMP-GUARD-SOURCE-BATCH; FileProofStatus=CurrentPathConfirmed; CurrentFile=Data/Scripts/Mobiles/Civilized/Special/Xardok.cs; Line=221; SourceLine=m_Mobile.SendGump(;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</si>
  <si>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PreviousReviewRowId=PBK-2011; POST-BATCH-O ReviewRowId=PBO-0131; No command semantics, button IDs, target gump construction, or access policy changed.</t>
  </si>
  <si>
    <t>RB-03998</t>
  </si>
  <si>
    <t>P10-F03998</t>
  </si>
  <si>
    <t>PBO-0132</t>
  </si>
  <si>
    <t>POST-BATCH-N lane=POST-BATCH-N-GUMP-GUARD-SOURCE-BATCH; FileProofStatus=CurrentPathConfirmed; CurrentFile=Data/Scripts/Mobiles/Civilized/Teachers/Teacher_Exalted.cs;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</si>
  <si>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PreviousReviewRowId=PBK-2012; POST-BATCH-O ReviewRowId=PBO-0132; No command semantics, button IDs, target gump construction, or access policy changed.</t>
  </si>
  <si>
    <t>RB-03999</t>
  </si>
  <si>
    <t>P10-F03999</t>
  </si>
  <si>
    <t>PBO-0133</t>
  </si>
  <si>
    <t>POST-BATCH-N lane=POST-BATCH-N-GUMP-GUARD-SOURCE-BATCH; FileProofStatus=CurrentPathConfirmed; CurrentFile=Data/Scripts/Mobiles/Civilized/Teachers/Teacher_Exalted.cs;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</si>
  <si>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PreviousReviewRowId=PBK-2013; POST-BATCH-O ReviewRowId=PBO-0133; No command semantics, button IDs, target gump construction, or access policy changed.</t>
  </si>
  <si>
    <t>RB-04000</t>
  </si>
  <si>
    <t>P10-F04000</t>
  </si>
  <si>
    <t>PBO-0134</t>
  </si>
  <si>
    <t>POST-BATCH-N lane=POST-BATCH-N-GUMP-GUARD-SOURCE-BATCH; FileProofStatus=CurrentPathConfirmed; CurrentFile=Data/Scripts/Mobiles/Civilized/Teachers/Teacher_Legendary.cs;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</si>
  <si>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PreviousReviewRowId=PBK-2014; POST-BATCH-O ReviewRowId=PBO-0134; No command semantics, button IDs, target gump construction, or access policy changed.</t>
  </si>
  <si>
    <t>RB-04001</t>
  </si>
  <si>
    <t>P10-F04001</t>
  </si>
  <si>
    <t>PBO-0135</t>
  </si>
  <si>
    <t>POST-BATCH-N lane=POST-BATCH-N-GUMP-GUARD-SOURCE-BATCH; FileProofStatus=CurrentPathConfirmed; CurrentFile=Data/Scripts/Mobiles/Civilized/Teachers/Teacher_Legendary.cs;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</si>
  <si>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PreviousReviewRowId=PBK-2015; POST-BATCH-O ReviewRowId=PBO-0135; No command semantics, button IDs, target gump construction, or access policy changed.</t>
  </si>
  <si>
    <t>RB-04002</t>
  </si>
  <si>
    <t>P10-F04002</t>
  </si>
  <si>
    <t>PBO-0136</t>
  </si>
  <si>
    <t>POST-BATCH-N lane=POST-BATCH-N-GUMP-GUARD-SOURCE-BATCH; FileProofStatus=CurrentPathConfirmed; CurrentFile=Data/Scripts/Mobiles/Civilized/Teachers/Teacher_Mythical.cs;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</si>
  <si>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PreviousReviewRowId=PBK-2016; POST-BATCH-O ReviewRowId=PBO-0136; No command semantics, button IDs, target gump construction, or access policy changed.</t>
  </si>
  <si>
    <t>RB-04003</t>
  </si>
  <si>
    <t>P10-F04003</t>
  </si>
  <si>
    <t>PBO-0137</t>
  </si>
  <si>
    <t>POST-BATCH-N lane=POST-BATCH-N-GUMP-GUARD-SOURCE-BATCH; FileProofStatus=CurrentPathConfirmed; CurrentFile=Data/Scripts/Mobiles/Civilized/Teachers/Teacher_Mythical.cs;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</si>
  <si>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PreviousReviewRowId=PBK-2017; POST-BATCH-O ReviewRowId=PBO-0137; No command semantics, button IDs, target gump construction, or access policy changed.</t>
  </si>
  <si>
    <t>RB-04004</t>
  </si>
  <si>
    <t>P10-F04004</t>
  </si>
  <si>
    <t>PBO-0138</t>
  </si>
  <si>
    <t>POST-BATCH-N lane=POST-BATCH-N-GUMP-GUARD-SOURCE-BATCH; FileProofStatus=CurrentPathConfirmed; CurrentFile=Data/Scripts/Mobiles/Civilized/Teachers/Teacher_Power.cs;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</si>
  <si>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PreviousReviewRowId=PBK-2018; POST-BATCH-O ReviewRowId=PBO-0138; No command semantics, button IDs, target gump construction, or access policy changed.</t>
  </si>
  <si>
    <t>RB-04005</t>
  </si>
  <si>
    <t>P10-F04005</t>
  </si>
  <si>
    <t>PBO-0139</t>
  </si>
  <si>
    <t>POST-BATCH-N lane=POST-BATCH-N-GUMP-GUARD-SOURCE-BATCH; FileProofStatus=CurrentPathConfirmed; CurrentFile=Data/Scripts/Mobiles/Civilized/Teachers/Teacher_Power.cs;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</si>
  <si>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PreviousReviewRowId=PBK-2019; POST-BATCH-O ReviewRowId=PBO-0139; No command semantics, button IDs, target gump construction, or access policy changed.</t>
  </si>
  <si>
    <t>RB-04006</t>
  </si>
  <si>
    <t>P10-F04006</t>
  </si>
  <si>
    <t>PBO-0140</t>
  </si>
  <si>
    <t>POST-BATCH-N lane=POST-BATCH-N-GUMP-GUARD-SOURCE-BATCH; FileProofStatus=CurrentPathConfirmed; CurrentFile=Data/Scripts/Mobiles/Civilized/Teachers/Teacher_Wonderous.cs; Line=101;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</si>
  <si>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PreviousReviewRowId=PBK-2020; POST-BATCH-O ReviewRowId=PBO-0140; No command semantics, button IDs, target gump construction, or access policy changed.</t>
  </si>
  <si>
    <t>RB-04007</t>
  </si>
  <si>
    <t>P10-F04007</t>
  </si>
  <si>
    <t>PBO-0141</t>
  </si>
  <si>
    <t>POST-BATCH-N lane=POST-BATCH-N-GUMP-GUARD-SOURCE-BATCH; FileProofStatus=CurrentPathConfirmed; CurrentFile=Data/Scripts/Mobiles/Civilized/Teachers/Teacher_Wonderous.cs; Line=135; SourceLine=mobile.SendGump(new PowerGump("", m_Mobile, m_Giver));;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</si>
  <si>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PreviousReviewRowId=PBK-2021; POST-BATCH-O ReviewRowId=PBO-0141; No command semantics, button IDs, target gump construction, or access policy changed.</t>
  </si>
  <si>
    <t>RB-04008</t>
  </si>
  <si>
    <t>P10-F04008</t>
  </si>
  <si>
    <t>PBO-0219</t>
  </si>
  <si>
    <t>POST-BATCH-N lane=POST-BATCH-N-GUMP-GUARD-SOURCE-BATCH; FileProofStatus=CurrentPathConfirmed; CurrentFile=Data/Scripts/Mobiles/Civilized/Vendors/Architect.cs; Line=68;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</si>
  <si>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PreviousReviewRowId=PBK-2022; POST-BATCH-O ReviewRowId=PBO-0219; No command semantics, button IDs, target gump construction, or access policy changed.</t>
  </si>
  <si>
    <t>RB-04009</t>
  </si>
  <si>
    <t>P10-F04009</t>
  </si>
  <si>
    <t>PBO-0220</t>
  </si>
  <si>
    <t>POST-BATCH-N lane=POST-BATCH-N-GUMP-GUARD-SOURCE-BATCH; FileProofStatus=CurrentPathConfirmed; CurrentFile=Data/Scripts/Mobiles/Civilized/Vendors/Baker.cs; Line=70;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</si>
  <si>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PreviousReviewRowId=PBK-2023; POST-BATCH-O ReviewRowId=PBO-0220; No command semantics, button IDs, target gump construction, or access policy changed.</t>
  </si>
  <si>
    <t>RB-04010</t>
  </si>
  <si>
    <t>P10-F04010</t>
  </si>
  <si>
    <t>PBK-2024</t>
  </si>
  <si>
    <t>HistoricalFile=Data/Scripts/Mobiles/Civilized/Vendors/Bard.cs; Risk=Runtime;Player;Staff; POST-BATCH-K is audit/runtime-surface triage only. No command names, gump button IDs, PlayerMobile fields, region policy, XML/config, save layout, or gameplay behavior changed.</t>
  </si>
  <si>
    <t>RB-04011</t>
  </si>
  <si>
    <t>P10-F04011</t>
  </si>
  <si>
    <t>PBO-0221</t>
  </si>
  <si>
    <t>POST-BATCH-N lane=POST-BATCH-N-GUMP-GUARD-SOURCE-BATCH; FileProofStatus=CurrentPathConfirmed; CurrentFile=Data/Scripts/Mobiles/Civilized/Vendors/Barkeeper.cs; Line=59;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</si>
  <si>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PreviousReviewRowId=PBK-2025; POST-BATCH-O ReviewRowId=PBO-0221; No command semantics, button IDs, target gump construction, or access policy changed.</t>
  </si>
  <si>
    <t>RB-04012</t>
  </si>
  <si>
    <t>P10-F04012</t>
  </si>
  <si>
    <t>PBO-0222</t>
  </si>
  <si>
    <t>POST-BATCH-N lane=POST-BATCH-N-GUMP-GUARD-SOURCE-BATCH; FileProofStatus=CurrentPathConfirmed; CurrentFile=Data/Scripts/Mobiles/Civilized/Vendors/Cook.cs; Line=87;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</si>
  <si>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PreviousReviewRowId=PBK-2026; POST-BATCH-O ReviewRowId=PBO-0222; No command semantics, button IDs, target gump construction, or access policy changed.</t>
  </si>
  <si>
    <t>RB-04013</t>
  </si>
  <si>
    <t>P10-F04013</t>
  </si>
  <si>
    <t>PBO-0223</t>
  </si>
  <si>
    <t>POST-BATCH-N lane=POST-BATCH-N-GUMP-GUARD-SOURCE-BATCH; FileProofStatus=CurrentPathConfirmed; CurrentFile=Data/Scripts/Mobiles/Civilized/Vendors/DrunkenPirate.cs; Line=82;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</si>
  <si>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PreviousReviewRowId=PBK-2027; POST-BATCH-O ReviewRowId=PBO-0223; No command semantics, button IDs, target gump construction, or access policy changed.</t>
  </si>
  <si>
    <t>RB-04014</t>
  </si>
  <si>
    <t>P10-F04014</t>
  </si>
  <si>
    <t>PBO-0224</t>
  </si>
  <si>
    <t>POST-BATCH-N lane=POST-BATCH-N-GUMP-GUARD-SOURCE-BATCH; FileProofStatus=CurrentPathConfirmed; CurrentFile=Data/Scripts/Mobiles/Civilized/Vendors/Elementalist.cs; Line=99;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</si>
  <si>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PreviousReviewRowId=PBK-2028; POST-BATCH-O ReviewRowId=PBO-0224; No command semantics, button IDs, target gump construction, or access policy changed.</t>
  </si>
  <si>
    <t>RB-04015</t>
  </si>
  <si>
    <t>P10-F04015</t>
  </si>
  <si>
    <t>PBO-0225</t>
  </si>
  <si>
    <t>POST-BATCH-N lane=POST-BATCH-N-GUMP-GUARD-SOURCE-BATCH; FileProofStatus=CurrentPathConfirmed; CurrentFile=Data/Scripts/Mobiles/Civilized/Vendors/Farmer.cs; Line=98;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</si>
  <si>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PreviousReviewRowId=PBK-2029; POST-BATCH-O ReviewRowId=PBO-0225; No command semantics, button IDs, target gump construction, or access policy changed.</t>
  </si>
  <si>
    <t>RB-04016</t>
  </si>
  <si>
    <t>P10-F04016</t>
  </si>
  <si>
    <t>PBK-2030</t>
  </si>
  <si>
    <t>HistoricalFile=Data/Scripts/Mobiles/Civilized/Vendors/GypsyLady.cs; Risk=Runtime;Player;Staff; POST-BATCH-K is audit/runtime-surface triage only. No command names, gump button IDs, PlayerMobile fields, region policy, XML/config, save layout, or gameplay behavior changed.</t>
  </si>
  <si>
    <t>RB-04017</t>
  </si>
  <si>
    <t>P10-F04017</t>
  </si>
  <si>
    <t>PBO-0226</t>
  </si>
  <si>
    <t>POST-BATCH-N lane=POST-BATCH-N-GUMP-GUARD-SOURCE-BATCH; FileProofStatus=CurrentPathConfirmed; CurrentFile=Data/Scripts/Mobiles/Civilized/Vendors/InnKeeper.cs; Line=69;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</si>
  <si>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PreviousReviewRowId=PBK-2031; POST-BATCH-O ReviewRowId=PBO-0226; No command semantics, button IDs, target gump construction, or access policy changed.</t>
  </si>
  <si>
    <t>RB-04018</t>
  </si>
  <si>
    <t>P10-F04018</t>
  </si>
  <si>
    <t>PBO-0227</t>
  </si>
  <si>
    <t>POST-BATCH-N lane=POST-BATCH-N-GUMP-GUARD-SOURCE-BATCH; FileProofStatus=CurrentPathConfirmed; CurrentFile=Data/Scripts/Mobiles/Civilized/Vendors/KeeperOfChivalry.cs; Line=97;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</si>
  <si>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PreviousReviewRowId=PBK-2032; POST-BATCH-O ReviewRowId=PBO-0227; No command semantics, button IDs, target gump construction, or access policy changed.</t>
  </si>
  <si>
    <t>RB-04019</t>
  </si>
  <si>
    <t>P10-F04019</t>
  </si>
  <si>
    <t>PBO-0228</t>
  </si>
  <si>
    <t>POST-BATCH-N lane=POST-BATCH-N-GUMP-GUARD-SOURCE-BATCH; FileProofStatus=CurrentPathConfirmed; CurrentFile=Data/Scripts/Mobiles/Civilized/Vendors/KungFu.cs; Line=88;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</si>
  <si>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PreviousReviewRowId=PBK-2033; POST-BATCH-O ReviewRowId=PBO-0228; No command semantics, button IDs, target gump construction, or access policy changed.</t>
  </si>
  <si>
    <t>RB-04020</t>
  </si>
  <si>
    <t>P10-F04020</t>
  </si>
  <si>
    <t>PBO-0229</t>
  </si>
  <si>
    <t>POST-BATCH-N lane=POST-BATCH-N-GUMP-GUARD-SOURCE-BATCH; FileProofStatus=CurrentPathConfirmed; CurrentFile=Data/Scripts/Mobiles/Civilized/Vendors/NecroMage.cs;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</si>
  <si>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PreviousReviewRowId=PBK-2034; POST-BATCH-O ReviewRowId=PBO-0229; No command semantics, button IDs, target gump construction, or access policy changed.</t>
  </si>
  <si>
    <t>RB-04021</t>
  </si>
  <si>
    <t>P10-F04021</t>
  </si>
  <si>
    <t>PBO-0230</t>
  </si>
  <si>
    <t>POST-BATCH-N lane=POST-BATCH-N-GUMP-GUARD-SOURCE-BATCH; FileProofStatus=CurrentPathConfirmed; CurrentFile=Data/Scripts/Mobiles/Civilized/Vendors/Necromancer.cs;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</si>
  <si>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PreviousReviewRowId=PBK-2035; POST-BATCH-O ReviewRowId=PBO-0230; No command semantics, button IDs, target gump construction, or access policy changed.</t>
  </si>
  <si>
    <t>RB-04022</t>
  </si>
  <si>
    <t>P10-F04022</t>
  </si>
  <si>
    <t>PBK-2036</t>
  </si>
  <si>
    <t>HistoricalFile=Data/Scripts/Mobiles/Civilized/Vendors/Provisioner.cs; Risk=Runtime;Player;Staff; POST-BATCH-K is audit/runtime-surface triage only. No command names, gump button IDs, PlayerMobile fields, region policy, XML/config, save layout, or gameplay behavior changed.</t>
  </si>
  <si>
    <t>RB-04023</t>
  </si>
  <si>
    <t>P10-F04023</t>
  </si>
  <si>
    <t>PBK-2037</t>
  </si>
  <si>
    <t>HistoricalFile=Data/Scripts/Mobiles/Civilized/Vendors/Ranger.cs; Risk=Runtime;Player;Staff; POST-BATCH-K is audit/runtime-surface triage only. No command names, gump button IDs, PlayerMobile fields, region policy, XML/config, save layout, or gameplay behavior changed.</t>
  </si>
  <si>
    <t>RB-04024</t>
  </si>
  <si>
    <t>P10-F04024</t>
  </si>
  <si>
    <t>PBK-2038</t>
  </si>
  <si>
    <t>HistoricalFile=Data/Scripts/Mobiles/Civilized/Vendors/Shipwright.cs; Risk=Runtime;Player;Staff; POST-BATCH-K is audit/runtime-surface triage only. No command names, gump button IDs, PlayerMobile fields, region policy, XML/config, save layout, or gameplay behavior changed.</t>
  </si>
  <si>
    <t>RB-04025</t>
  </si>
  <si>
    <t>P10-F04025</t>
  </si>
  <si>
    <t>PBK-2039</t>
  </si>
  <si>
    <t>HistoricalFile=Data/Scripts/Mobiles/Civilized/Vendors/StoneCrafter.cs; Risk=Runtime;Player;Staff; POST-BATCH-K is audit/runtime-surface triage only. No command names, gump button IDs, PlayerMobile fields, region policy, XML/config, save layout, or gameplay behavior changed.</t>
  </si>
  <si>
    <t>RB-04026</t>
  </si>
  <si>
    <t>P10-F04026</t>
  </si>
  <si>
    <t>PBO-0231</t>
  </si>
  <si>
    <t>POST-BATCH-N lane=POST-BATCH-N-GUMP-GUARD-SOURCE-BATCH; FileProofStatus=CurrentPathConfirmed; CurrentFile=Data/Scripts/Mobiles/Civilized/Vendors/TavernKeeper.cs; Line=69;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</si>
  <si>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PreviousReviewRowId=PBK-2040; POST-BATCH-O ReviewRowId=PBO-0231; No command semantics, button IDs, target gump construction, or access policy changed.</t>
  </si>
  <si>
    <t>RB-04027</t>
  </si>
  <si>
    <t>P10-F04027</t>
  </si>
  <si>
    <t>PBO-0232</t>
  </si>
  <si>
    <t>POST-BATCH-N lane=POST-BATCH-N-GUMP-GUARD-SOURCE-BATCH; FileProofStatus=CurrentPathConfirmed; CurrentFile=Data/Scripts/Mobiles/Civilized/Vendors/Undertaker.cs; Line=91;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</si>
  <si>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PreviousReviewRowId=PBK-2041; POST-BATCH-O ReviewRowId=PBO-0232; No command semantics, button IDs, target gump construction, or access policy changed.</t>
  </si>
  <si>
    <t>RB-04028</t>
  </si>
  <si>
    <t>P10-F04028</t>
  </si>
  <si>
    <t>PBK-2042</t>
  </si>
  <si>
    <t>RB-04029</t>
  </si>
  <si>
    <t>P10-F04029</t>
  </si>
  <si>
    <t>PBK-2043</t>
  </si>
  <si>
    <t>RB-04030</t>
  </si>
  <si>
    <t>P10-F04030</t>
  </si>
  <si>
    <t>PBO-0233</t>
  </si>
  <si>
    <t>POST-BATCH-N lane=POST-BATCH-N-GUMP-GUARD-SOURCE-BATCH; FileProofStatus=CurrentPathConfirmed; CurrentFile=Data/Scripts/Mobiles/Civilized/Vendors/Witches.cs; Line=94; SourceLine=mobile.SendGump(; PathResolution=OriginalPathCurrent; MatchQuality=RuntimeHookMapFileLine; HookKind=Gump; GuardList=BoundsGuard;PacketReadGuard;StateGuard; Access=; Command=; Handler=; DisabledEvidence=False; RuntimeHookMap=HookType=Gump;Marker=SendGump;Access=Internal;Risk=High;Guards=BoundsGuard;PacketReadGuard;StateGuard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</si>
  <si>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PreviousReviewRowId=PBK-2044; POST-BATCH-O ReviewRowId=PBO-0233; No command semantics, button IDs, target gump construction, or access policy changed.</t>
  </si>
  <si>
    <t>RB-04031</t>
  </si>
  <si>
    <t>P10-F04031</t>
  </si>
  <si>
    <t>PBK-2045</t>
  </si>
  <si>
    <t>HistoricalFile=Data/Scripts/Mobiles/Mystical/EtherealWarrior.cs; Risk=Runtime;Player;Staff; POST-BATCH-K is audit/runtime-surface triage only. No command names, gump button IDs, PlayerMobile fields, region policy, XML/config, save layout, or gameplay behavior changed.</t>
  </si>
  <si>
    <t>RB-04032</t>
  </si>
  <si>
    <t>P10-F04032</t>
  </si>
  <si>
    <t>PBK-2046</t>
  </si>
  <si>
    <t>HistoricalFile=Data/Scripts/Mobiles/Unique/GrayDragon.cs; Risk=Runtime;Player;Staff; POST-BATCH-K is audit/runtime-surface triage only. No command names, gump button IDs, PlayerMobile fields, region policy, XML/config, save layout, or gameplay behavior changed.</t>
  </si>
  <si>
    <t>RB-04033</t>
  </si>
  <si>
    <t>P10-F04033</t>
  </si>
  <si>
    <t>PBK-2047</t>
  </si>
  <si>
    <t>HistoricalFile=Data/Scripts/Mobiles/Unique/Spectres.cs; Risk=Runtime;Player;Staff; POST-BATCH-K is audit/runtime-surface triage only. No command names, gump button IDs, PlayerMobile fields, region policy, XML/config, save layout, or gameplay behavior changed.</t>
  </si>
  <si>
    <t>RB-04034</t>
  </si>
  <si>
    <t>P10-F04034</t>
  </si>
  <si>
    <t>PBK-2048</t>
  </si>
  <si>
    <t>HistoricalFile=Data/Scripts/Mobiles/Unique/Tarjan.cs; Risk=Runtime;Player;Staff; POST-BATCH-K is audit/runtime-surface triage only. No command names, gump button IDs, PlayerMobile fields, region policy, XML/config, save layout, or gameplay behavior changed.</t>
  </si>
  <si>
    <t>RB-04035</t>
  </si>
  <si>
    <t>P10-F04035</t>
  </si>
  <si>
    <t>PBK-2049</t>
  </si>
  <si>
    <t>HistoricalFile=Data/Scripts/Quests/NoticeClue.cs; Risk=Runtime;Player;Staff; POST-BATCH-K is audit/runtime-surface triage only. No command names, gump button IDs, PlayerMobile fields, region policy, XML/config, save layout, or gameplay behavior changed.</t>
  </si>
  <si>
    <t>RB-04036</t>
  </si>
  <si>
    <t>P10-F04036</t>
  </si>
  <si>
    <t>PBK-2050</t>
  </si>
  <si>
    <t>RB-04037</t>
  </si>
  <si>
    <t>P10-F04037</t>
  </si>
  <si>
    <t>PBK-2051</t>
  </si>
  <si>
    <t>RB-04038</t>
  </si>
  <si>
    <t>P10-F04038</t>
  </si>
  <si>
    <t>PBK-2052</t>
  </si>
  <si>
    <t>RB-04039</t>
  </si>
  <si>
    <t>P10-F04039</t>
  </si>
  <si>
    <t>PBK-2053</t>
  </si>
  <si>
    <t>RB-04040</t>
  </si>
  <si>
    <t>P10-F04040</t>
  </si>
  <si>
    <t>PBK-2054</t>
  </si>
  <si>
    <t>RB-04041</t>
  </si>
  <si>
    <t>P10-F04041</t>
  </si>
  <si>
    <t>PBK-2055</t>
  </si>
  <si>
    <t>HistoricalFile=Data/Scripts/Quests/QuestChests.cs; Risk=Runtime;Player;Staff; POST-BATCH-K is audit/runtime-surface triage only. No command names, gump button IDs, PlayerMobile fields, region policy, XML/config, save layout, or gameplay behavior changed.</t>
  </si>
  <si>
    <t>RB-04042</t>
  </si>
  <si>
    <t>P10-F04042</t>
  </si>
  <si>
    <t>PBK-2056</t>
  </si>
  <si>
    <t>RB-04043</t>
  </si>
  <si>
    <t>P10-F04043</t>
  </si>
  <si>
    <t>PBK-2057</t>
  </si>
  <si>
    <t>RB-04044</t>
  </si>
  <si>
    <t>P10-F04044</t>
  </si>
  <si>
    <t>PBK-2058</t>
  </si>
  <si>
    <t>RB-04045</t>
  </si>
  <si>
    <t>P10-F04045</t>
  </si>
  <si>
    <t>PBK-2059</t>
  </si>
  <si>
    <t>RB-04046</t>
  </si>
  <si>
    <t>P10-F04046</t>
  </si>
  <si>
    <t>PBK-2060</t>
  </si>
  <si>
    <t>HistoricalFile=Data/Scripts/Quests/Quests.cs; Risk=Runtime;Player;Staff; POST-BATCH-K is audit/runtime-surface triage only. No command names, gump button IDs, PlayerMobile fields, region policy, XML/config, save layout, or gameplay behavior changed.</t>
  </si>
  <si>
    <t>RB-04047</t>
  </si>
  <si>
    <t>P10-F04047</t>
  </si>
  <si>
    <t>PBK-2061</t>
  </si>
  <si>
    <t>RB-04048</t>
  </si>
  <si>
    <t>P10-F04048</t>
  </si>
  <si>
    <t>PBK-2062</t>
  </si>
  <si>
    <t>HistoricalFile=Data/Scripts/Quests/Epic/CourierMail.cs; Risk=Runtime;Player;Staff; POST-BATCH-K is audit/runtime-surface triage only. No command names, gump button IDs, PlayerMobile fields, region policy, XML/config, save layout, or gameplay behavior changed.</t>
  </si>
  <si>
    <t>RB-04049</t>
  </si>
  <si>
    <t>P10-F04049</t>
  </si>
  <si>
    <t>PBK-2063</t>
  </si>
  <si>
    <t>HistoricalFile=Data/Scripts/Quests/Fishing/FishingQuestBoard.cs; Risk=Runtime;Player;Staff; POST-BATCH-K is audit/runtime-surface triage only. No command names, gump button IDs, PlayerMobile fields, region policy, XML/config, save layout, or gameplay behavior changed.</t>
  </si>
  <si>
    <t>RB-04050</t>
  </si>
  <si>
    <t>P10-F04050</t>
  </si>
  <si>
    <t>PBK-2064</t>
  </si>
  <si>
    <t>RB-04051</t>
  </si>
  <si>
    <t>P10-F04051</t>
  </si>
  <si>
    <t>PBK-2065</t>
  </si>
  <si>
    <t>RB-04052</t>
  </si>
  <si>
    <t>P10-F04052</t>
  </si>
  <si>
    <t>PBK-2066</t>
  </si>
  <si>
    <t>RB-04053</t>
  </si>
  <si>
    <t>P10-F04053</t>
  </si>
  <si>
    <t>PBK-2067</t>
  </si>
  <si>
    <t>RB-04054</t>
  </si>
  <si>
    <t>P10-F04054</t>
  </si>
  <si>
    <t>PBK-2068</t>
  </si>
  <si>
    <t>RB-04055</t>
  </si>
  <si>
    <t>P10-F04055</t>
  </si>
  <si>
    <t>PBK-2069</t>
  </si>
  <si>
    <t>RB-04056</t>
  </si>
  <si>
    <t>P10-F04056</t>
  </si>
  <si>
    <t>PBK-2070</t>
  </si>
  <si>
    <t>RB-04057</t>
  </si>
  <si>
    <t>P10-F04057</t>
  </si>
  <si>
    <t>PBK-2071</t>
  </si>
  <si>
    <t>RB-04058</t>
  </si>
  <si>
    <t>P10-F04058</t>
  </si>
  <si>
    <t>PBK-2072</t>
  </si>
  <si>
    <t>RB-04059</t>
  </si>
  <si>
    <t>P10-F04059</t>
  </si>
  <si>
    <t>Data/Scripts/Quests/Search/SearchBoard.cs</t>
  </si>
  <si>
    <t>PBO-0142</t>
  </si>
  <si>
    <t>POST-BATCH-N lane=POST-BATCH-N-GUMP-GUARD-SOURCE-BATCH; FileProofStatus=CurrentPathConfirmed; CurrentFile=Data/Scripts/Quests/Search/SearchBoard.cs; Line=41; SourceLine=e.SendGump(; PathResolution=OriginalPathCurrent; MatchQuality=RuntimeHookMapFileLine; HookKind=Gump; GuardList=BoundsGuard;PacketReadGuard;RangeGuard; Access=; Command=; Handler=; DisabledEvidence=False; RuntimeHookMap=HookType=Gump;Marker=SendGump;Access=Internal;Risk=High;Guards=BoundsGuard;PacketReadGuard;RangeGuard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</si>
  <si>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PreviousReviewRowId=PBK-2073; POST-BATCH-O ReviewRowId=PBO-0142; No command semantics, button IDs, target gump construction, or access policy changed.</t>
  </si>
  <si>
    <t>RB-04060</t>
  </si>
  <si>
    <t>P10-F04060</t>
  </si>
  <si>
    <t>PBK-2074</t>
  </si>
  <si>
    <t>HistoricalFile=Data/Scripts/Quests/Standard/StandardQuestBoard.cs; Risk=Runtime;Player;Staff; POST-BATCH-K is audit/runtime-surface triage only. No command names, gump button IDs, PlayerMobile fields, region policy, XML/config, save layout, or gameplay behavior changed.</t>
  </si>
  <si>
    <t>RB-04061</t>
  </si>
  <si>
    <t>P10-F04061</t>
  </si>
  <si>
    <t>PBK-2075</t>
  </si>
  <si>
    <t>RB-04062</t>
  </si>
  <si>
    <t>P10-F04062</t>
  </si>
  <si>
    <t>PBK-2076</t>
  </si>
  <si>
    <t>RB-04064</t>
  </si>
  <si>
    <t>P10-F04064</t>
  </si>
  <si>
    <t>PBK-2077</t>
  </si>
  <si>
    <t>RB-04065</t>
  </si>
  <si>
    <t>P10-F04065</t>
  </si>
  <si>
    <t>PBK-2078</t>
  </si>
  <si>
    <t>RB-04066</t>
  </si>
  <si>
    <t>P10-F04066</t>
  </si>
  <si>
    <t>PBK-2079</t>
  </si>
  <si>
    <t>RB-04067</t>
  </si>
  <si>
    <t>P10-F04067</t>
  </si>
  <si>
    <t>PBK-2080</t>
  </si>
  <si>
    <t>RB-04068</t>
  </si>
  <si>
    <t>P10-F04068</t>
  </si>
  <si>
    <t>PBK-2081</t>
  </si>
  <si>
    <t>RB-04069</t>
  </si>
  <si>
    <t>P10-F04069</t>
  </si>
  <si>
    <t>PBK-2082</t>
  </si>
  <si>
    <t>RB-04070</t>
  </si>
  <si>
    <t>P10-F04070</t>
  </si>
  <si>
    <t>PBK-2083</t>
  </si>
  <si>
    <t>RB-04071</t>
  </si>
  <si>
    <t>P10-F04071</t>
  </si>
  <si>
    <t>PBK-2084</t>
  </si>
  <si>
    <t>RB-04072</t>
  </si>
  <si>
    <t>P10-F04072</t>
  </si>
  <si>
    <t>PBK-2085</t>
  </si>
  <si>
    <t>RB-04073</t>
  </si>
  <si>
    <t>P10-F04073</t>
  </si>
  <si>
    <t>PBK-2086</t>
  </si>
  <si>
    <t>RB-04074</t>
  </si>
  <si>
    <t>P10-F04074</t>
  </si>
  <si>
    <t>PBK-2087</t>
  </si>
  <si>
    <t>RB-04075</t>
  </si>
  <si>
    <t>P10-F04075</t>
  </si>
  <si>
    <t>PBK-2088</t>
  </si>
  <si>
    <t>RB-04076</t>
  </si>
  <si>
    <t>P10-F04076</t>
  </si>
  <si>
    <t>PBK-2089</t>
  </si>
  <si>
    <t>RB-04077</t>
  </si>
  <si>
    <t>P10-F04077</t>
  </si>
  <si>
    <t>PBK-2090</t>
  </si>
  <si>
    <t>RB-04078</t>
  </si>
  <si>
    <t>P10-F04078</t>
  </si>
  <si>
    <t>PBK-2091</t>
  </si>
  <si>
    <t>RB-04079</t>
  </si>
  <si>
    <t>P10-F04079</t>
  </si>
  <si>
    <t>PBK-2092</t>
  </si>
  <si>
    <t>RB-04080</t>
  </si>
  <si>
    <t>P10-F04080</t>
  </si>
  <si>
    <t>PBK-2093</t>
  </si>
  <si>
    <t>HistoricalFile=Data/Scripts/System/Commands/HelpAdmin.cs; Risk=Runtime;Player;Staff; POST-BATCH-K is audit/runtime-surface triage only. No command names, gump button IDs, PlayerMobile fields, region policy, XML/config, save layout, or gameplay behavior changed.</t>
  </si>
  <si>
    <t>RB-04081</t>
  </si>
  <si>
    <t>P10-F04081</t>
  </si>
  <si>
    <t>PBK-2094</t>
  </si>
  <si>
    <t>HistoricalFile=Data/Scripts/System/Commands/SkillsMenu.cs; Risk=Runtime;Player;Staff; POST-BATCH-K is audit/runtime-surface triage only. No command names, gump button IDs, PlayerMobile fields, region policy, XML/config, save layout, or gameplay behavior changed.</t>
  </si>
  <si>
    <t>RB-04082</t>
  </si>
  <si>
    <t>P10-F04082</t>
  </si>
  <si>
    <t>PBK-2095</t>
  </si>
  <si>
    <t>RB-04083</t>
  </si>
  <si>
    <t>P10-F04083</t>
  </si>
  <si>
    <t>PBK-2096</t>
  </si>
  <si>
    <t>RB-04084</t>
  </si>
  <si>
    <t>P10-F04084</t>
  </si>
  <si>
    <t>PBK-2097</t>
  </si>
  <si>
    <t>RB-04085</t>
  </si>
  <si>
    <t>P10-F04085</t>
  </si>
  <si>
    <t>PBK-2098</t>
  </si>
  <si>
    <t>RB-04086</t>
  </si>
  <si>
    <t>P10-F04086</t>
  </si>
  <si>
    <t>PBK-2099</t>
  </si>
  <si>
    <t>RB-04087</t>
  </si>
  <si>
    <t>P10-F04087</t>
  </si>
  <si>
    <t>PBO-0170</t>
  </si>
  <si>
    <t>POST-BATCH-N lane=POST-BATCH-N-GUMP-GUARD-SOURCE-BATCH; FileProofStatus=CurrentPathConfirmed; CurrentFile=Data/Scripts/System/Commands/Player/Basics.cs; Line=59;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</si>
  <si>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PreviousReviewRowId=PBK-2100; POST-BATCH-O ReviewRowId=PBO-0170; No command semantics, button IDs, target gump construction, or access policy changed.</t>
  </si>
  <si>
    <t>RB-04088</t>
  </si>
  <si>
    <t>P10-F04088</t>
  </si>
  <si>
    <t>PBO-0171</t>
  </si>
  <si>
    <t>POST-BATCH-N lane=POST-BATCH-N-GUMP-GUARD-SOURCE-BATCH; FileProofStatus=CurrentPathConfirmed; CurrentFile=Data/Scripts/System/Commands/Player/CreatureHelp.cs; Line=74;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</si>
  <si>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PreviousReviewRowId=PBK-2101; POST-BATCH-O ReviewRowId=PBO-0171; No command semantics, button IDs, target gump construction, or access policy changed.</t>
  </si>
  <si>
    <t>RB-04089</t>
  </si>
  <si>
    <t>P10-F04089</t>
  </si>
  <si>
    <t>PBO-0172</t>
  </si>
  <si>
    <t>POST-BATCH-N lane=POST-BATCH-N-GUMP-GUARD-SOURCE-BATCH; FileProofStatus=CurrentPathConfirmed; CurrentFile=Data/Scripts/System/Commands/Player/FameKarma.cs; Line=223;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</si>
  <si>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PreviousReviewRowId=PBK-2102; POST-BATCH-O ReviewRowId=PBO-0172; No command semantics, button IDs, target gump construction, or access policy changed.</t>
  </si>
  <si>
    <t>RB-04090</t>
  </si>
  <si>
    <t>P10-F04090</t>
  </si>
  <si>
    <t>PBO-0173</t>
  </si>
  <si>
    <t>POST-BATCH-N lane=POST-BATCH-N-GUMP-GUARD-SOURCE-BATCH; FileProofStatus=CurrentPathConfirmed; CurrentFile=Data/Scripts/System/Commands/Player/ItemProps.cs; Line=57;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</si>
  <si>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PreviousReviewRowId=PBK-2103; POST-BATCH-O ReviewRowId=PBO-0173; No command semantics, button IDs, target gump construction, or access policy changed.</t>
  </si>
  <si>
    <t>RB-04091</t>
  </si>
  <si>
    <t>P10-F04091</t>
  </si>
  <si>
    <t>PBK-2104</t>
  </si>
  <si>
    <t>RB-04092</t>
  </si>
  <si>
    <t>P10-F04092</t>
  </si>
  <si>
    <t>PBK-2105</t>
  </si>
  <si>
    <t>RB-04093</t>
  </si>
  <si>
    <t>P10-F04093</t>
  </si>
  <si>
    <t>PBK-2106</t>
  </si>
  <si>
    <t>RB-04094</t>
  </si>
  <si>
    <t>P10-F04094</t>
  </si>
  <si>
    <t>PBK-2107</t>
  </si>
  <si>
    <t>RB-04095</t>
  </si>
  <si>
    <t>P10-F04095</t>
  </si>
  <si>
    <t>PBK-2108</t>
  </si>
  <si>
    <t>RB-04096</t>
  </si>
  <si>
    <t>P10-F04096</t>
  </si>
  <si>
    <t>PBK-2109</t>
  </si>
  <si>
    <t>RB-04097</t>
  </si>
  <si>
    <t>P10-F04097</t>
  </si>
  <si>
    <t>PBK-2110</t>
  </si>
  <si>
    <t>RB-04098</t>
  </si>
  <si>
    <t>P10-F04098</t>
  </si>
  <si>
    <t>PBK-2111</t>
  </si>
  <si>
    <t>RB-04099</t>
  </si>
  <si>
    <t>P10-F04099</t>
  </si>
  <si>
    <t>PBK-2112</t>
  </si>
  <si>
    <t>RB-04100</t>
  </si>
  <si>
    <t>P10-F04100</t>
  </si>
  <si>
    <t>PBK-2113</t>
  </si>
  <si>
    <t>RB-04101</t>
  </si>
  <si>
    <t>P10-F04101</t>
  </si>
  <si>
    <t>PBK-2114</t>
  </si>
  <si>
    <t>RB-04102</t>
  </si>
  <si>
    <t>P10-F04102</t>
  </si>
  <si>
    <t>PBK-2115</t>
  </si>
  <si>
    <t>RB-04103</t>
  </si>
  <si>
    <t>P10-F04103</t>
  </si>
  <si>
    <t>PBK-2116</t>
  </si>
  <si>
    <t>RB-04104</t>
  </si>
  <si>
    <t>P10-F04104</t>
  </si>
  <si>
    <t>PBK-2117</t>
  </si>
  <si>
    <t>RB-04105</t>
  </si>
  <si>
    <t>P10-F04105</t>
  </si>
  <si>
    <t>PBK-2118</t>
  </si>
  <si>
    <t>RB-04106</t>
  </si>
  <si>
    <t>P10-F04106</t>
  </si>
  <si>
    <t>PBK-2119</t>
  </si>
  <si>
    <t>RB-04107</t>
  </si>
  <si>
    <t>P10-F04107</t>
  </si>
  <si>
    <t>PBK-2120</t>
  </si>
  <si>
    <t>RB-04108</t>
  </si>
  <si>
    <t>P10-F04108</t>
  </si>
  <si>
    <t>PBK-2121</t>
  </si>
  <si>
    <t>RB-04109</t>
  </si>
  <si>
    <t>P10-F04109</t>
  </si>
  <si>
    <t>PBK-2122</t>
  </si>
  <si>
    <t>RB-04110</t>
  </si>
  <si>
    <t>P10-F04110</t>
  </si>
  <si>
    <t>PBK-2123</t>
  </si>
  <si>
    <t>RB-04111</t>
  </si>
  <si>
    <t>P10-F04111</t>
  </si>
  <si>
    <t>PBK-2124</t>
  </si>
  <si>
    <t>RB-04112</t>
  </si>
  <si>
    <t>P10-F04112</t>
  </si>
  <si>
    <t>PBK-2125</t>
  </si>
  <si>
    <t>RB-04113</t>
  </si>
  <si>
    <t>P10-F04113</t>
  </si>
  <si>
    <t>PBK-2126</t>
  </si>
  <si>
    <t>RB-04114</t>
  </si>
  <si>
    <t>P10-F04114</t>
  </si>
  <si>
    <t>PBK-2127</t>
  </si>
  <si>
    <t>RB-04115</t>
  </si>
  <si>
    <t>P10-F04115</t>
  </si>
  <si>
    <t>PBK-2128</t>
  </si>
  <si>
    <t>RB-04116</t>
  </si>
  <si>
    <t>P10-F04116</t>
  </si>
  <si>
    <t>PBO-0174</t>
  </si>
  <si>
    <t>POST-BATCH-N lane=POST-BATCH-N-GUMP-GUARD-SOURCE-BATCH; FileProofStatus=CurrentPathConfirmed; CurrentFile=Data/Scripts/System/Commands/Player/Gumps/SkillsGump.cs; Line=89; SourceLine=from.SendGump(new SkillTitleGump(from));;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</si>
  <si>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PreviousReviewRowId=PBK-2129; POST-BATCH-O ReviewRowId=PBO-0174; No command semantics, button IDs, target gump construction, or access policy changed.</t>
  </si>
  <si>
    <t>RB-04117</t>
  </si>
  <si>
    <t>P10-F04117</t>
  </si>
  <si>
    <t>PBO-0175</t>
  </si>
  <si>
    <t>POST-BATCH-N lane=POST-BATCH-N-GUMP-GUARD-SOURCE-BATCH; FileProofStatus=CurrentPathConfirmed; CurrentFile=Data/Scripts/System/Commands/Player/Gumps/SkillsGump.cs; Line=93; SourceLine=from.SendGump(new Server.Engines.Help.HelpGump(from, 12));;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</si>
  <si>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PreviousReviewRowId=PBK-2130; POST-BATCH-O ReviewRowId=PBO-0175; No command semantics, button IDs, target gump construction, or access policy changed.</t>
  </si>
  <si>
    <t>RB-04118</t>
  </si>
  <si>
    <t>P10-F04118</t>
  </si>
  <si>
    <t>PBK-2131</t>
  </si>
  <si>
    <t>RB-04119</t>
  </si>
  <si>
    <t>P10-F04119</t>
  </si>
  <si>
    <t>PBO-0191</t>
  </si>
  <si>
    <t>POST-BATCH-N lane=POST-BATCH-N-GUMP-GUARD-SOURCE-BATCH; FileProofStatus=CurrentPathConfirmed; CurrentFile=Data/Scripts/System/Gumps/Guilds/GuildCandidatesGump.cs; Line=29;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</si>
  <si>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PreviousReviewRowId=PBK-2132; POST-BATCH-O ReviewRowId=PBO-0191; No command semantics, button IDs, target gump construction, or access policy changed.</t>
  </si>
  <si>
    <t>RB-04120</t>
  </si>
  <si>
    <t>P10-F04120</t>
  </si>
  <si>
    <t>PBO-0192</t>
  </si>
  <si>
    <t>POST-BATCH-N lane=POST-BATCH-N-GUMP-GUARD-SOURCE-BATCH; FileProofStatus=CurrentPathConfirmed; CurrentFile=Data/Scripts/System/Gumps/Guilds/GuildCharterPrompt.cs; Line=25;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</si>
  <si>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PreviousReviewRowId=PBK-2133; POST-BATCH-O ReviewRowId=PBO-0192; No command semantics, button IDs, target gump construction, or access policy changed.</t>
  </si>
  <si>
    <t>RB-04121</t>
  </si>
  <si>
    <t>P10-F04121</t>
  </si>
  <si>
    <t>PBO-0193</t>
  </si>
  <si>
    <t>POST-BATCH-N lane=POST-BATCH-N-GUMP-GUARD-SOURCE-BATCH; FileProofStatus=CurrentPathConfirmed; CurrentFile=Data/Scripts/System/Gumps/Guilds/GuildCharterPrompt.cs; Line=45;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</si>
  <si>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PreviousReviewRowId=PBK-2134; POST-BATCH-O ReviewRowId=PBO-0193; No command semantics, button IDs, target gump construction, or access policy changed.</t>
  </si>
  <si>
    <t>RB-04122</t>
  </si>
  <si>
    <t>P10-F04122</t>
  </si>
  <si>
    <t>PBO-0194</t>
  </si>
  <si>
    <t>POST-BATCH-N lane=POST-BATCH-N-GUMP-GUARD-SOURCE-BATCH; FileProofStatus=CurrentPathConfirmed; CurrentFile=Data/Scripts/System/Gumps/Guilds/GuildDeclareWarPrompt.cs; Line=27; SourceLine=m_Mobile.SendGump(new GuildWarAdminGump(m_Mobile,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</si>
  <si>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PreviousReviewRowId=PBK-2135; POST-BATCH-O ReviewRowId=PBO-0194; No command semantics, button IDs, target gump construction, or access policy changed.</t>
  </si>
  <si>
    <t>RB-04123</t>
  </si>
  <si>
    <t>P10-F04123</t>
  </si>
  <si>
    <t>PBO-0195</t>
  </si>
  <si>
    <t>POST-BATCH-N lane=POST-BATCH-N-GUMP-GUARD-SOURCE-BATCH; FileProofStatus=CurrentPathConfirmed; CurrentFile=Data/Scripts/System/Gumps/Guilds/GuildDeclareWarPrompt.cs; Line=45; SourceLine=m_Mobile.SendGump(new GuildDeclareWarGump(m_Mobile, m_Guild, guilds));;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</si>
  <si>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PreviousReviewRowId=PBK-2136; POST-BATCH-O ReviewRowId=PBO-0195; No command semantics, button IDs, target gump construction, or access policy changed.</t>
  </si>
  <si>
    <t>RB-04124</t>
  </si>
  <si>
    <t>P10-F04124</t>
  </si>
  <si>
    <t>PBO-0196</t>
  </si>
  <si>
    <t>POST-BATCH-N lane=POST-BATCH-N-GUMP-GUARD-SOURCE-BATCH; FileProofStatus=CurrentPathConfirmed; CurrentFile=Data/Scripts/System/Gumps/Guilds/GuildDeclareWarPrompt.cs; Line=49; SourceLine=m_Mobile.SendGump(new GuildWarAdminGump(m_Mobile,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</si>
  <si>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PreviousReviewRowId=PBK-2137; POST-BATCH-O ReviewRowId=PBO-0196; No command semantics, button IDs, target gump construction, or access policy changed.</t>
  </si>
  <si>
    <t>RB-04125</t>
  </si>
  <si>
    <t>P10-F04125</t>
  </si>
  <si>
    <t>PBO-0197</t>
  </si>
  <si>
    <t>POST-BATCH-N lane=POST-BATCH-N-GUMP-GUARD-SOURCE-BATCH; FileProofStatus=CurrentPathConfirmed; CurrentFile=Data/Scripts/System/Gumps/Guilds/GuildRosterGump.cs; Line=37;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</si>
  <si>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PreviousReviewRowId=PBK-2138; POST-BATCH-O ReviewRowId=PBO-0197; No command semantics, button IDs, target gump construction, or access policy changed.</t>
  </si>
  <si>
    <t>RB-04126</t>
  </si>
  <si>
    <t>P10-F04126</t>
  </si>
  <si>
    <t>PBK-2139</t>
  </si>
  <si>
    <t>RB-04127</t>
  </si>
  <si>
    <t>P10-F04127</t>
  </si>
  <si>
    <t>PBK-2140</t>
  </si>
  <si>
    <t>RB-04128</t>
  </si>
  <si>
    <t>P10-F04128</t>
  </si>
  <si>
    <t>PBO-0198</t>
  </si>
  <si>
    <t>POST-BATCH-N lane=POST-BATCH-N-GUMP-GUARD-SOURCE-BATCH; FileProofStatus=CurrentPathConfirmed; CurrentFile=Data/Scripts/System/Gumps/Guilds/GuildWarAdminGump.cs; Line=87; SourceLine=m_Mobile.SendGump(new GuildDeclarePeaceGump(m_Mobile,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</si>
  <si>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PreviousReviewRowId=PBK-2141; POST-BATCH-O ReviewRowId=PBO-0198; No command semantics, button IDs, target gump construction, or access policy changed.</t>
  </si>
  <si>
    <t>RB-04129</t>
  </si>
  <si>
    <t>P10-F04129</t>
  </si>
  <si>
    <t>PBO-0199</t>
  </si>
  <si>
    <t>POST-BATCH-N lane=POST-BATCH-N-GUMP-GUARD-SOURCE-BATCH; FileProofStatus=CurrentPathConfirmed; CurrentFile=Data/Scripts/System/Gumps/Guilds/GuildWarAdminGump.cs; Line=94; SourceLine=m_Mobile.SendGump(new GuildAcceptWarGump(m_Mobile,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</si>
  <si>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PreviousReviewRowId=PBK-2142; POST-BATCH-O ReviewRowId=PBO-0199; No command semantics, button IDs, target gump construction, or access policy changed.</t>
  </si>
  <si>
    <t>RB-04130</t>
  </si>
  <si>
    <t>P10-F04130</t>
  </si>
  <si>
    <t>PBO-0200</t>
  </si>
  <si>
    <t>POST-BATCH-N lane=POST-BATCH-N-GUMP-GUARD-SOURCE-BATCH; FileProofStatus=CurrentPathConfirmed; CurrentFile=Data/Scripts/System/Gumps/Guilds/GuildWarAdminGump.cs; Line=101; SourceLine=m_Mobile.SendGump(new GuildRejectWarGump(m_Mobile,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</si>
  <si>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PreviousReviewRowId=PBK-2143; POST-BATCH-O ReviewRowId=PBO-0200; No command semantics, button IDs, target gump construction, or access policy changed.</t>
  </si>
  <si>
    <t>RB-04131</t>
  </si>
  <si>
    <t>P10-F04131</t>
  </si>
  <si>
    <t>PBO-0201</t>
  </si>
  <si>
    <t>POST-BATCH-N lane=POST-BATCH-N-GUMP-GUARD-SOURCE-BATCH; FileProofStatus=CurrentPathConfirmed; CurrentFile=Data/Scripts/System/Gumps/Guilds/GuildWarAdminGump.cs; Line=108; SourceLine=m_Mobile.SendGump(new GuildRescindDeclarationGump(m_Mobile,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</si>
  <si>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PreviousReviewRowId=PBK-2144; POST-BATCH-O ReviewRowId=PBO-0201; No command semantics, button IDs, target gump construction, or access policy changed.</t>
  </si>
  <si>
    <t>RB-04132</t>
  </si>
  <si>
    <t>P10-F04132</t>
  </si>
  <si>
    <t>PBO-0202</t>
  </si>
  <si>
    <t>POST-BATCH-N lane=POST-BATCH-N-GUMP-GUARD-SOURCE-BATCH; FileProofStatus=CurrentPathConfirmed; CurrentFile=Data/Scripts/System/Gumps/Guilds/GuildWarAdminGump.cs; Line=115;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</si>
  <si>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PreviousReviewRowId=PBK-2145; POST-BATCH-O ReviewRowId=PBO-0202; No command semantics, button IDs, target gump construction, or access policy changed.</t>
  </si>
  <si>
    <t>RB-04133</t>
  </si>
  <si>
    <t>P10-F04133</t>
  </si>
  <si>
    <t>PBO-0203</t>
  </si>
  <si>
    <t>POST-BATCH-N lane=POST-BATCH-N-GUMP-GUARD-SOURCE-BATCH; FileProofStatus=CurrentPathConfirmed; CurrentFile=Data/Scripts/System/Gumps/Guilds/GuildWarGump.cs; Line=113; SourceLine=m_Mobile.SendGump(new GuildGump(m_Mobile,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</si>
  <si>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PreviousReviewRowId=PBK-2146; POST-BATCH-O ReviewRowId=PBO-0203; No command semantics, button IDs, target gump construction, or access policy changed.</t>
  </si>
  <si>
    <t>RB-04134</t>
  </si>
  <si>
    <t>P10-F04134</t>
  </si>
  <si>
    <t>PBO-0204</t>
  </si>
  <si>
    <t>POST-BATCH-N lane=POST-BATCH-N-GUMP-GUARD-SOURCE-BATCH; FileProofStatus=CurrentPathConfirmed; CurrentFile=Data/Scripts/System/Gumps/Guilds/GuildWebsitePrompt.cs; Line=25;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</si>
  <si>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PreviousReviewRowId=PBK-2147; POST-BATCH-O ReviewRowId=PBO-0204; No command semantics, button IDs, target gump construction, or access policy changed.</t>
  </si>
  <si>
    <t>RB-04135</t>
  </si>
  <si>
    <t>P10-F04135</t>
  </si>
  <si>
    <t>PBO-0205</t>
  </si>
  <si>
    <t>POST-BATCH-N lane=POST-BATCH-N-GUMP-GUARD-SOURCE-BATCH; FileProofStatus=CurrentPathConfirmed; CurrentFile=Data/Scripts/System/Gumps/Guilds/GuildWebsitePrompt.cs; Line=42; SourceLine=m_Mobile.SendGump(new GuildmasterGump(m_Mobile, m_Guild));;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</si>
  <si>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PreviousReviewRowId=PBK-2148; POST-BATCH-O ReviewRowId=PBO-0205; No command semantics, button IDs, target gump construction, or access policy changed.</t>
  </si>
  <si>
    <t>RB-04136</t>
  </si>
  <si>
    <t>P10-F04136</t>
  </si>
  <si>
    <t>PBK-2149</t>
  </si>
  <si>
    <t>HistoricalFile=Data/Scripts/System/Gumps/Guilds/RecruitTarget.cs; Risk=Runtime;Player;Staff; POST-BATCH-K is audit/runtime-surface triage only. No command names, gump button IDs, PlayerMobile fields, region policy, XML/config, save layout, or gameplay behavior changed.</t>
  </si>
  <si>
    <t>RB-04137</t>
  </si>
  <si>
    <t>P10-F04137</t>
  </si>
  <si>
    <t>PBO-0206</t>
  </si>
  <si>
    <t>POST-BATCH-N lane=POST-BATCH-N-GUMP-GUARD-SOURCE-BATCH; FileProofStatus=CurrentPathConfirmed; CurrentFile=Data/Scripts/System/Gumps/Properties/SetListOptionGump.cs; Line=253; SourceLine=m_Mobile.SendGump(new PropertiesGump(m_Mobile, m_Object, m_Stack, m_List, m_Page));;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</si>
  <si>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PreviousReviewRowId=PBK-2150; POST-BATCH-O ReviewRowId=PBO-0206; No command semantics, button IDs, target gump construction, or access policy changed.</t>
  </si>
  <si>
    <t>RB-04138</t>
  </si>
  <si>
    <t>P10-F04138</t>
  </si>
  <si>
    <t>PBK-2151</t>
  </si>
  <si>
    <t>HistoricalFile=Data/Scripts/System/Gumps/Properties/SetObjectTarget.cs; Risk=Runtime;Player;Staff; POST-BATCH-K is audit/runtime-surface triage only. No command names, gump button IDs, PlayerMobile fields, region policy, XML/config, save layout, or gameplay behavior changed.</t>
  </si>
  <si>
    <t>RB-04139</t>
  </si>
  <si>
    <t>P10-F04139</t>
  </si>
  <si>
    <t>PBK-2152</t>
  </si>
  <si>
    <t>RB-04140</t>
  </si>
  <si>
    <t>P10-F04140</t>
  </si>
  <si>
    <t>PBO-0212</t>
  </si>
  <si>
    <t>POST-BATCH-N lane=POST-BATCH-N-GUMP-GUARD-SOURCE-BATCH; FileProofStatus=CurrentPathConfirmed; CurrentFile=Data/Scripts/System/Help/ServerSettings.cs; Line=103; SourceLine=from.SendGump(new SettingInfoGump(from, info.ButtonID, 12));;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</si>
  <si>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PreviousReviewRowId=PBK-2153; POST-BATCH-O ReviewRowId=PBO-0212; No command semantics, button IDs, target gump construction, or access policy changed.</t>
  </si>
  <si>
    <t>RB-04141</t>
  </si>
  <si>
    <t>P10-F04141</t>
  </si>
  <si>
    <t>PBO-0213</t>
  </si>
  <si>
    <t>POST-BATCH-N lane=POST-BATCH-N-GUMP-GUARD-SOURCE-BATCH; FileProofStatus=CurrentPathConfirmed; CurrentFile=Data/Scripts/System/Help/ServerSettings.cs; Line=786; SourceLine=from.SendGump(new Server.Engines.Help.ServerSettingsGump(from, m_Origin));;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</si>
  <si>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PreviousReviewRowId=PBK-2154; POST-BATCH-O ReviewRowId=PBO-0213; No command semantics, button IDs, target gump construction, or access policy changed.</t>
  </si>
  <si>
    <t>RB-04142</t>
  </si>
  <si>
    <t>P10-F04142</t>
  </si>
  <si>
    <t>PBO-0214</t>
  </si>
  <si>
    <t>POST-BATCH-N lane=POST-BATCH-N-GUMP-GUARD-SOURCE-BATCH; FileProofStatus=CurrentPathConfirmed; CurrentFile=Data/Scripts/System/Help/Gumps/PageResponseGump.cs; Line=46; SourceLine=m_From.SendGump(new MessageSentGump(m_From, m_Name, m_Text));;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</si>
  <si>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PreviousReviewRowId=PBK-2155; POST-BATCH-O ReviewRowId=PBO-0214; No command semantics, button IDs, target gump construction, or access policy changed.</t>
  </si>
  <si>
    <t>RB-04143</t>
  </si>
  <si>
    <t>P10-F04143</t>
  </si>
  <si>
    <t>PBO-0215</t>
  </si>
  <si>
    <t>POST-BATCH-N lane=POST-BATCH-N-GUMP-GUARD-SOURCE-BATCH; FileProofStatus=CurrentPathConfirmed; CurrentFile=Data/Scripts/System/Help/Gumps/SpeechLogGump.cs; Line=117; SourceLine=from.SendGump(new SpeechLogGump(m_Player, m_Log, m_Page - 1));;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</si>
  <si>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PreviousReviewRowId=PBK-2156; POST-BATCH-O ReviewRowId=PBO-0215; No command semantics, button IDs, target gump construction, or access policy changed.</t>
  </si>
  <si>
    <t>RB-04144</t>
  </si>
  <si>
    <t>P10-F04144</t>
  </si>
  <si>
    <t>PBO-0216</t>
  </si>
  <si>
    <t>POST-BATCH-N lane=POST-BATCH-N-GUMP-GUARD-SOURCE-BATCH; FileProofStatus=CurrentPathConfirmed; CurrentFile=Data/Scripts/System/Help/Gumps/SpeechLogGump.cs; Line=124; SourceLine=from.SendGump(new SpeechLogGump(m_Player, m_Log, m_Page + 1));; PathResolution=OriginalPathCurrent; MatchQuality=RuntimeHookMapFileLine; HookKind=Gump; GuardList=BoundsGuard;StateGuard; Access=; Command=; Handler=; DisabledEvidence=False; RuntimeHookMap=HookType=Gump;Marker=SendGump;Access=Internal;Risk=High;Guards=BoundsGuard;StateGuard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</si>
  <si>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PreviousReviewRowId=PBK-2157; POST-BATCH-O ReviewRowId=PBO-0216; No command semantics, button IDs, target gump construction, or access policy changed.</t>
  </si>
  <si>
    <t>RB-04145</t>
  </si>
  <si>
    <t>P10-F04145</t>
  </si>
  <si>
    <t>PBK-2158</t>
  </si>
  <si>
    <t>RB-04146</t>
  </si>
  <si>
    <t>P10-F04146</t>
  </si>
  <si>
    <t>PBK-2159</t>
  </si>
  <si>
    <t>HistoricalFile=Data/Scripts/System/Regions/PrisonArea.cs; Risk=Runtime;Player;Staff; POST-BATCH-K is audit/runtime-surface triage only. No command names, gump button IDs, PlayerMobile fields, region policy, XML/config, save layout, or gameplay behavior changed.</t>
  </si>
  <si>
    <t>RB-04147</t>
  </si>
  <si>
    <t>P10-F04147</t>
  </si>
  <si>
    <t>PBK-2160</t>
  </si>
  <si>
    <t>HistoricalFile=Data/Scripts/System/Regions/StartRegion.cs; Risk=Runtime;Player;Staff; POST-BATCH-K is audit/runtime-surface triage only. No command names, gump button IDs, PlayerMobile fields, region policy, XML/config, save layout, or gameplay behavior changed.</t>
  </si>
  <si>
    <t>RB-04148</t>
  </si>
  <si>
    <t>P10-F04148</t>
  </si>
  <si>
    <t>PBK-2161</t>
  </si>
  <si>
    <t>RB-04149</t>
  </si>
  <si>
    <t>P10-F04149</t>
  </si>
  <si>
    <t>PBK-2162</t>
  </si>
  <si>
    <t>RB-04150</t>
  </si>
  <si>
    <t>P10-F04150</t>
  </si>
  <si>
    <t>Data/Scripts/System/Skills/Weapon Abilities/SpecialAttacksDisplay.cs</t>
  </si>
  <si>
    <t>PBO-0217</t>
  </si>
  <si>
    <t>POST-BATCH-N lane=POST-BATCH-N-GUMP-GUARD-SOURCE-BATCH; FileProofStatus=CurrentPathConfirmed; CurrentFile=Data/Scripts/System/Skills/Weapon Abilities/SpecialAttacksDisplay.cs; Line=85; SourceLine=pm.SendGump(new SpecialAttackGump(weapon, pm, number));; PathResolution=OriginalPathCurrent; MatchQuality=RuntimeHookMapFileLine; HookKind=Gump; GuardList=AccessGuard;NullGuard; Access=; Command=; Handler=; DisabledEvidence=False; RuntimeHookMap=HookType=Gump;Marker=SendGump;Access=Internal;Risk=High;Guards=AccessGuard;NullGuard POST-BATCH-O decision=SafeNoChange; ReviewClass=SendGumpOpenSiteReviewed; SourceRepair=Reviewed as a gump open-site row; POST-BATCH-O did not change open-site behavior because response/callback safety is handled at the callback implementation.</t>
  </si>
  <si>
    <t>PreviousPostAuditBatch=POST-BATCH-K; PreviousReviewRowId=PBK-2163; POST-BATCH-O ReviewRowId=PBO-0217; No command semantics, button IDs, target gump construction, or access policy changed.</t>
  </si>
  <si>
    <t>RB-04151</t>
  </si>
  <si>
    <t>P10-F04151</t>
  </si>
  <si>
    <t>PBK-2164</t>
  </si>
  <si>
    <t>RB-04152</t>
  </si>
  <si>
    <t>P10-F04152</t>
  </si>
  <si>
    <t>PBK-2165</t>
  </si>
  <si>
    <t>RB-04153</t>
  </si>
  <si>
    <t>P10-F04153</t>
  </si>
  <si>
    <t>PBK-2166</t>
  </si>
  <si>
    <t>RB-04154</t>
  </si>
  <si>
    <t>P10-F04154</t>
  </si>
  <si>
    <t>PBK-2167</t>
  </si>
  <si>
    <t>RB-04155</t>
  </si>
  <si>
    <t>P10-F04155</t>
  </si>
  <si>
    <t>PBK-2168</t>
  </si>
  <si>
    <t>RB-04156</t>
  </si>
  <si>
    <t>P10-F04156</t>
  </si>
  <si>
    <t>PBK-2169</t>
  </si>
  <si>
    <t>HistoricalFile=Data/Scripts/Trades/Apiculture/BeeHiveAddon.cs; Risk=Runtime;Player;Staff; POST-BATCH-K is audit/runtime-surface triage only. No command names, gump button IDs, PlayerMobile fields, region policy, XML/config, save layout, or gameplay behavior changed.</t>
  </si>
  <si>
    <t>RB-04157</t>
  </si>
  <si>
    <t>P10-F04157</t>
  </si>
  <si>
    <t>PBK-2170</t>
  </si>
  <si>
    <t>RB-04158</t>
  </si>
  <si>
    <t>P10-F04158</t>
  </si>
  <si>
    <t>PBK-2171</t>
  </si>
  <si>
    <t>RB-04159</t>
  </si>
  <si>
    <t>P10-F04159</t>
  </si>
  <si>
    <t>PBK-2172</t>
  </si>
  <si>
    <t>RB-04160</t>
  </si>
  <si>
    <t>P10-F04160</t>
  </si>
  <si>
    <t>PBK-2173</t>
  </si>
  <si>
    <t>RB-04161</t>
  </si>
  <si>
    <t>P10-F04161</t>
  </si>
  <si>
    <t>PBK-2174</t>
  </si>
  <si>
    <t>RB-04162</t>
  </si>
  <si>
    <t>P10-F04162</t>
  </si>
  <si>
    <t>PBK-2175</t>
  </si>
  <si>
    <t>RB-04163</t>
  </si>
  <si>
    <t>P10-F04163</t>
  </si>
  <si>
    <t>PBK-2176</t>
  </si>
  <si>
    <t>RB-04164</t>
  </si>
  <si>
    <t>P10-F04164</t>
  </si>
  <si>
    <t>PBK-2177</t>
  </si>
  <si>
    <t>RB-04165</t>
  </si>
  <si>
    <t>P10-F04165</t>
  </si>
  <si>
    <t>PBK-2178</t>
  </si>
  <si>
    <t>RB-04166</t>
  </si>
  <si>
    <t>P10-F04166</t>
  </si>
  <si>
    <t>PBK-2179</t>
  </si>
  <si>
    <t>RB-04167</t>
  </si>
  <si>
    <t>P10-F04167</t>
  </si>
  <si>
    <t>PBK-2180</t>
  </si>
  <si>
    <t>RB-04168</t>
  </si>
  <si>
    <t>P10-F04168</t>
  </si>
  <si>
    <t>PBK-2181</t>
  </si>
  <si>
    <t>RB-04177</t>
  </si>
  <si>
    <t>P10-F04177</t>
  </si>
  <si>
    <t>PBK-2182</t>
  </si>
  <si>
    <t>HistoricalFile=Data/Scripts/Trades/Gardening/PlantPourTarget.cs; Risk=Runtime;Player;Staff; POST-BATCH-K is audit/runtime-surface triage only. No command names, gump button IDs, PlayerMobile fields, region policy, XML/config, save layout, or gameplay behavior changed.</t>
  </si>
  <si>
    <t>RB-04178</t>
  </si>
  <si>
    <t>P10-F04178</t>
  </si>
  <si>
    <t>PBK-2183</t>
  </si>
  <si>
    <t>HistoricalFile=Data/Scripts/Trades/Gardening/PollinateTarget.cs; Risk=Runtime;Player;Staff; POST-BATCH-K is audit/runtime-surface triage only. No command names, gump button IDs, PlayerMobile fields, region policy, XML/config, save layout, or gameplay behavior changed.</t>
  </si>
  <si>
    <t>RB-04179</t>
  </si>
  <si>
    <t>P10-F04179</t>
  </si>
  <si>
    <t>PBK-2184</t>
  </si>
  <si>
    <t>RB-04180</t>
  </si>
  <si>
    <t>P10-F04180</t>
  </si>
  <si>
    <t>PBK-2185</t>
  </si>
  <si>
    <t>RB-04181</t>
  </si>
  <si>
    <t>P10-F04181</t>
  </si>
  <si>
    <t>PBK-2186</t>
  </si>
  <si>
    <t>RB-04182</t>
  </si>
  <si>
    <t>P10-F04182</t>
  </si>
  <si>
    <t>PBK-2187</t>
  </si>
  <si>
    <t>RB-04183</t>
  </si>
  <si>
    <t>P10-F04183</t>
  </si>
  <si>
    <t>PBK-2188</t>
  </si>
  <si>
    <t>RB-04184</t>
  </si>
  <si>
    <t>P10-F04184</t>
  </si>
  <si>
    <t>PBK-2189</t>
  </si>
  <si>
    <t>RB-04185</t>
  </si>
  <si>
    <t>P10-F04185</t>
  </si>
  <si>
    <t>PBK-2190</t>
  </si>
  <si>
    <t>HistoricalFile=Data/Scripts/Trades/Guild/GuildCarpentry.cs; Risk=Runtime;Player;Staff; POST-BATCH-K is audit/runtime-surface triage only. No command names, gump button IDs, PlayerMobile fields, region policy, XML/config, save layout, or gameplay behavior changed.</t>
  </si>
  <si>
    <t>RB-04186</t>
  </si>
  <si>
    <t>P10-F04186</t>
  </si>
  <si>
    <t>PBK-2191</t>
  </si>
  <si>
    <t>HistoricalFile=Data/Scripts/Trades/Guild/GuildFletching.cs; Risk=Runtime;Player;Staff; POST-BATCH-K is audit/runtime-surface triage only. No command names, gump button IDs, PlayerMobile fields, region policy, XML/config, save layout, or gameplay behavior changed.</t>
  </si>
  <si>
    <t>RB-04187</t>
  </si>
  <si>
    <t>P10-F04187</t>
  </si>
  <si>
    <t>PBK-2192</t>
  </si>
  <si>
    <t>HistoricalFile=Data/Scripts/Trades/Guild/GuildHammer.cs; Risk=Runtime;Player;Staff; POST-BATCH-K is audit/runtime-surface triage only. No command names, gump button IDs, PlayerMobile fields, region policy, XML/config, save layout, or gameplay behavior changed.</t>
  </si>
  <si>
    <t>RB-04188</t>
  </si>
  <si>
    <t>P10-F04188</t>
  </si>
  <si>
    <t>PBK-2193</t>
  </si>
  <si>
    <t>HistoricalFile=Data/Scripts/Trades/Guild/GuildSewing.cs; Risk=Runtime;Player;Staff; POST-BATCH-K is audit/runtime-surface triage only. No command names, gump button IDs, PlayerMobile fields, region policy, XML/config, save layout, or gameplay behavior changed.</t>
  </si>
  <si>
    <t>RB-04189</t>
  </si>
  <si>
    <t>P10-F04189</t>
  </si>
  <si>
    <t>PBK-2194</t>
  </si>
  <si>
    <t>HistoricalFile=Data/Scripts/Trades/Guild/GuildTinkering.cs; Risk=Runtime;Player;Staff; POST-BATCH-K is audit/runtime-surface triage only. No command names, gump button IDs, PlayerMobile fields, region policy, XML/config, save layout, or gameplay behavior changed.</t>
  </si>
  <si>
    <t>RB-04216</t>
  </si>
  <si>
    <t>P10-F04216</t>
  </si>
  <si>
    <t>Command access</t>
  </si>
  <si>
    <t>PBK-2195</t>
  </si>
  <si>
    <t>CurrentFile=Data/Scripts/Custom/OrbRemoteServer/UOArchitect/ClientCommands.cs; Line=15; SourceLine=CommandSystem.Register("NudgeSelfDown", AccessLevel.GameMaster, new CommandEventHandler(NudgeSelfDown_OnCommand));; PathResolution=OriginalPathCurrent; MatchQuality=RuntimeHookMapFileLine; HookKind=Command; GuardList=; Access=GameMaster; Command=NudgeSelfDown; Handler=NudgeSelfDown_OnCommand; DisabledEvidence=False; RuntimeHookMap=HookType=Command;Marker=CommandSystem.Register;Access=GameMaster;Risk=High;Guards=AccessGuard;BoundsGuard;DeletedGuard;NullGuard</t>
  </si>
  <si>
    <t>HistoricalFile=Data/Scripts/Custom/OrbRemoteServer/UOArchitect/ClientCommands.cs; Risk=Runtime;Staff;Player; POST-BATCH-K is audit/runtime-surface triage only. No command names, gump button IDs, PlayerMobile fields, region policy, XML/config, save layout, or gameplay behavior changed.</t>
  </si>
  <si>
    <t>RB-04217</t>
  </si>
  <si>
    <t>P10-F04217</t>
  </si>
  <si>
    <t>PBK-2196</t>
  </si>
  <si>
    <t>CurrentFile=Data/Scripts/Custom/OrbRemoteServer/UOArchitect/ClientCommands.cs; Line=16; SourceLine=CommandSystem.Register("NudgeSelfUp", AccessLevel.GameMaster, new CommandEventHandler(NudgeSelfUp_OnCommand));; PathResolution=OriginalPathCurrent; MatchQuality=RuntimeHookMapFileLine; HookKind=Command; GuardList=; Access=GameMaster; Command=NudgeSelfUp; Handler=NudgeSelfUp_OnCommand; DisabledEvidence=False; RuntimeHookMap=HookType=Command;Marker=CommandSystem.Register;Access=GameMaster;Risk=High;Guards=AccessGuard;BoundsGuard;DeletedGuard;NullGuard</t>
  </si>
  <si>
    <t>RB-04218</t>
  </si>
  <si>
    <t>P10-F04218</t>
  </si>
  <si>
    <t>PBK-2197</t>
  </si>
  <si>
    <t>CurrentFile=Data/Scripts/Custom/OrbRemoteServer/UOArchitect/ClientCommands.cs; Line=49; SourceLine=public class MultiDeleteCommand; PathResolution=OriginalPathCurrent; MatchQuality=CurrentSourceLine; HookKind=Command; GuardList=; Access=GameMaster; Command=MRemove; Handler=MultiRemove_OnCommand; DisabledEvidence=False</t>
  </si>
  <si>
    <t>RB-04252</t>
  </si>
  <si>
    <t>P10-F04252</t>
  </si>
  <si>
    <t>PBK-2198</t>
  </si>
  <si>
    <t>CurrentFile=Data/Scripts/Custom/Voting/VoteCommand.cs; Line=19; SourceLine=CommandSystem.Register("VoteConfig", AccessLevel.GameMaster, VoteConfig_OnCommand);; PathResolution=OriginalPathCurrent; MatchQuality=RuntimeHookMapFileLine; HookKind=Command; GuardList=; Access=GameMaster; Command=VoteConfig; Handler=; DisabledEvidence=False; RuntimeHookMap=HookType=Command;Marker=CommandSystem.Register;Access=GameMaster;Risk=High;Guards=AccessGuard;BoundsGuard;DeletedGuard;NullGuard</t>
  </si>
  <si>
    <t>HistoricalFile=Data/Scripts/Custom/Voting/VoteCommand.cs; Risk=Runtime;Staff;Player; POST-BATCH-K is audit/runtime-surface triage only. No command names, gump button IDs, PlayerMobile fields, region policy, XML/config, save layout, or gameplay behavior changed.</t>
  </si>
  <si>
    <t>RB-04253</t>
  </si>
  <si>
    <t>P10-F04253</t>
  </si>
  <si>
    <t>PBK-2199</t>
  </si>
  <si>
    <t>CurrentFile=Data/Scripts/Custom/Voting/VoteCommand.cs; Line=20; SourceLine=CommandSystem.Register("VoteInstance", AccessLevel.GameMaster, VoteInstance_OnCommand);; PathResolution=OriginalPathCurrent; MatchQuality=RuntimeHookMapFileLine; HookKind=Command; GuardList=; Access=GameMaster; Command=VoteInstance; Handler=; DisabledEvidence=False; RuntimeHookMap=HookType=Command;Marker=CommandSystem.Register;Access=GameMaster;Risk=High;Guards=AccessGuard;BoundsGuard;DeletedGuard;NullGuard</t>
  </si>
  <si>
    <t>RB-04283</t>
  </si>
  <si>
    <t>P10-F04283</t>
  </si>
  <si>
    <t>PBK-2200</t>
  </si>
  <si>
    <t>CurrentFile=Data/Scripts/Custom/XMLSpawner/XmlSpawner2.cs; Line=4617; SourceLine=AccessLevel.Administrator,; PathResolution=OriginalPathCurrent; MatchQuality=CurrentSourceLine; HookKind=Command; GuardList=; Access=GameMaster; Command=XmlSet; Handler=XmlSetValue_OnCommand; DisabledEvidence=True</t>
  </si>
  <si>
    <t>HistoricalFile=Data/Scripts/Custom/XMLSpawner/XmlSpawner2.cs; Risk=Runtime;Staff;Player; POST-BATCH-K is audit/runtime-surface triage only. No command names, gump button IDs, PlayerMobile fields, region policy, XML/config, save layout, or gameplay behavior changed.</t>
  </si>
  <si>
    <t>RB-04287</t>
  </si>
  <si>
    <t>P10-F04287</t>
  </si>
  <si>
    <t>PBK-2201</t>
  </si>
  <si>
    <t>CurrentFile=Data/Scripts/Custom/XMLSpawner/XmlSpawner2.cs; Line=4633; SourceLine="SmartStat",; PathResolution=OriginalPathCurrent; MatchQuality=CurrentSourceLine; HookKind=Command; GuardList=; Access=Administrator; Command=TagList; Handler=ShowTagList_OnCommand; DisabledEvidence=True</t>
  </si>
  <si>
    <t>RB-04291</t>
  </si>
  <si>
    <t>P10-F04291</t>
  </si>
  <si>
    <t>PBK-2202</t>
  </si>
  <si>
    <t>CurrentFile=Data/Scripts/Custom/XMLSpawner/XmlAttach/XmlAttach.cs; Line=192; SourceLine=//CommandSystem.Register( "ItemAtt", AccessLevel.GameMaster, new CommandEventHandler( ListItemAttachments_OnCommand ) );; PathResolution=OriginalPathCurrent; MatchQuality=RuntimeHookMapFileLine; HookKind=Command; GuardList=; Access=GameMaster; Command=ItemAtt; Handler=ListItemAttachments_OnCommand; DisabledEvidence=True; RuntimeHookMap=HookType=Command;Marker=CommandSystem.Register;Access=GameMaster;Risk=High;Guards=AccessGuard;BoundsGuard;DeletedGuard;MapGuard;NullGuard;PacketReadGuard;RangeGuard;StateGuard</t>
  </si>
  <si>
    <t>HistoricalFile=Data/Scripts/Custom/XMLSpawner/XmlAttach/XmlAttach.cs; Risk=Runtime;Staff;Player; POST-BATCH-K is audit/runtime-surface triage only. No command names, gump button IDs, PlayerMobile fields, region policy, XML/config, save layout, or gameplay behavior changed.</t>
  </si>
  <si>
    <t>RB-04292</t>
  </si>
  <si>
    <t>P10-F04292</t>
  </si>
  <si>
    <t>PBK-2203</t>
  </si>
  <si>
    <t>CurrentFile=Data/Scripts/Custom/XMLSpawner/XmlAttach/XmlAttach.cs; Line=193; SourceLine=//CommandSystem.Register( "MobAtt", AccessLevel.GameMaster, new CommandEventHandler( ListMobileAttachments_OnCommand ) );; PathResolution=OriginalPathCurrent; MatchQuality=RuntimeHookMapFileLine; HookKind=Command; GuardList=; Access=GameMaster; Command=MobAtt; Handler=ListMobileAttachments_OnCommand; DisabledEvidence=True; RuntimeHookMap=HookType=Command;Marker=CommandSystem.Register;Access=GameMaster;Risk=High;Guards=AccessGuard;BoundsGuard;DeletedGuard;MapGuard;NullGuard;PacketReadGuard;RangeGuard;StateGuard</t>
  </si>
  <si>
    <t>RB-04294</t>
  </si>
  <si>
    <t>P10-F04294</t>
  </si>
  <si>
    <t>PBK-2204</t>
  </si>
  <si>
    <t>CurrentFile=Data/Scripts/Custom/XMLSpawner/XmlAttach/XmlAttach.cs; Line=199; SourceLine=//CommandSystem.Register( "DelAtt", AccessLevel.GameMaster, new CommandEventHandler( DeleteAttachments_OnCommand ) );; PathResolution=OriginalPathCurrent; MatchQuality=RuntimeHookMapFileLine; HookKind=Command; GuardList=; Access=GameMaster; Command=DelAtt; Handler=DeleteAttachments_OnCommand; DisabledEvidence=True; RuntimeHookMap=HookType=Command;Marker=CommandSystem.Register;Access=GameMaster;Risk=High;Guards=AccessGuard;BoundsGuard;DeletedGuard;MapGuard;NullGuard;PacketReadGuard;RangeGuard;StateGuard</t>
  </si>
  <si>
    <t>RB-04295</t>
  </si>
  <si>
    <t>P10-F04295</t>
  </si>
  <si>
    <t>PBK-2205</t>
  </si>
  <si>
    <t>CurrentFile=Data/Scripts/Custom/XMLSpawner/XmlAttach/XmlAttach.cs; Line=200; SourceLine=//CommandSystem.Register( "TrigAtt", AccessLevel.GameMaster, new CommandEventHandler( ActivateAttachments_OnCommand ) );; PathResolution=OriginalPathCurrent; MatchQuality=RuntimeHookMapFileLine; HookKind=Command; GuardList=; Access=GameMaster; Command=TrigAtt; Handler=ActivateAttachments_OnCommand; DisabledEvidence=True; RuntimeHookMap=HookType=Command;Marker=CommandSystem.Register;Access=GameMaster;Risk=High;Guards=AccessGuard;BoundsGuard;DeletedGuard;MapGuard;NullGuard;PacketReadGuard;RangeGuard;StateGuard</t>
  </si>
  <si>
    <t>RB-04296</t>
  </si>
  <si>
    <t>P10-F04296</t>
  </si>
  <si>
    <t>PBK-2206</t>
  </si>
  <si>
    <t>CurrentFile=Data/Scripts/Custom/XMLSpawner/XmlAttach/XmlAttach.cs; Line=201; SourceLine=//CommandSystem.Register( "AddAtt", AccessLevel.GameMaster, new CommandEventHandler( AddAttachment_OnCommand ) );; PathResolution=OriginalPathCurrent; MatchQuality=RuntimeHookMapFileLine; HookKind=Command; GuardList=; Access=GameMaster; Command=AddAtt; Handler=AddAttachment_OnCommand; DisabledEvidence=True; RuntimeHookMap=HookType=Command;Marker=CommandSystem.Register;Access=GameMaster;Risk=High;Guards=AccessGuard;BoundsGuard;DeletedGuard;MapGuard;NullGuard;PacketReadGuard;RangeGuard;StateGuard</t>
  </si>
  <si>
    <t>RB-04371</t>
  </si>
  <si>
    <t>P10-F04371</t>
  </si>
  <si>
    <t>PBK-2207</t>
  </si>
  <si>
    <t>CurrentFile=Data/Scripts/System/Commands/CrashCommand.cs; Line=12; SourceLine=CommandSystem.Register("Crash", AccessLevel.Administrator, Crash_OnCommand);; PathResolution=OriginalPathCurrent; MatchQuality=RuntimeHookMapFileLine; HookKind=Command; GuardList=; Access=Administrator; Command=Crash; Handler=; DisabledEvidence=False; RuntimeHookMap=HookType=Command;Marker=CommandSystem.Register;Access=Administrator;Risk=High;Guards=AccessGuard;BoundsGuard;DeletedGuard;NullGuard</t>
  </si>
  <si>
    <t>HistoricalFile=Data/Scripts/System/Commands/CrashCommand.cs; Risk=Runtime;Staff;Player; POST-BATCH-K is audit/runtime-surface triage only. No command names, gump button IDs, PlayerMobile fields, region policy, XML/config, save layout, or gameplay behavior changed.</t>
  </si>
  <si>
    <t>RB-04600</t>
  </si>
  <si>
    <t>P10-F04600</t>
  </si>
  <si>
    <t>PBK-2208</t>
  </si>
  <si>
    <t>CurrentFile=Data/Scripts/System/Misc/AutoRestart.cs; Line=32; SourceLine=CommandSystem.Register("Restart", AccessLevel.Administrator, Restart_OnCommand);; PathResolution=OriginalPathCurrent; MatchQuality=RuntimeHookMapFileLine; HookKind=Command; GuardList=; Access=Administrator; Command=Restart; Handler=; DisabledEvidence=False; RuntimeHookMap=HookType=Command;Marker=CommandSystem.Register;Access=Administrator;Risk=High;Guards=AccessGuard;BoundsGuard;DeletedGuard;NullGuard;PacketReadGuard;RangeGuard;StateGuard</t>
  </si>
  <si>
    <t>HistoricalFile=Data/Scripts/System/Misc/AutoRestart.cs; Risk=Runtime;Staff;Player; POST-BATCH-K is audit/runtime-surface triage only. No command names, gump button IDs, PlayerMobile fields, region policy, XML/config, save layout, or gameplay behavior changed.</t>
  </si>
  <si>
    <t>RB-04609</t>
  </si>
  <si>
    <t>P10-F04609</t>
  </si>
  <si>
    <t>PBK-2209</t>
  </si>
  <si>
    <t>CurrentFile=Data/Scripts/System/Misc/AutoRestart.cs; Line=73; SourceLine=CommandSystem.Register("AR-On", AccessLevel.Administrator, AutoRestartOn_OnCommand);; PathResolution=OriginalPathCurrent; MatchQuality=RuntimeHookMapFileLine; HookKind=Command; GuardList=; Access=Administrator; Command=AR-On; Handler=; DisabledEvidence=False; RuntimeHookMap=HookType=Command;Marker=CommandSystem.Register;Access=Administrator;Risk=High;Guards=AccessGuard;BoundsGuard;DeletedGuard;NullGuard;PacketReadGuard;RangeGuard;StateGuard</t>
  </si>
  <si>
    <t>RB-04610</t>
  </si>
  <si>
    <t>P10-F04610</t>
  </si>
  <si>
    <t>PBK-2210</t>
  </si>
  <si>
    <t>CurrentFile=Data/Scripts/System/Misc/AutoRestart.cs; Line=74; SourceLine=CommandSystem.Register("AR-Off", AccessLevel.Administrator, AutoRestartOff_OnCommand);; PathResolution=OriginalPathCurrent; MatchQuality=RuntimeHookMapFileLine; HookKind=Command; GuardList=; Access=Administrator; Command=AR-Off; Handler=; DisabledEvidence=False; RuntimeHookMap=HookType=Command;Marker=CommandSystem.Register;Access=Administrator;Risk=High;Guards=AccessGuard;BoundsGuard;DeletedGuard;NullGuard;PacketReadGuard;RangeGuard;StateGuard</t>
  </si>
  <si>
    <t>RB-04611</t>
  </si>
  <si>
    <t>P10-F04611</t>
  </si>
  <si>
    <t>PBK-2211</t>
  </si>
  <si>
    <t>CurrentFile=Data/Scripts/System/Misc/AutoRestart.cs; Line=75; SourceLine=CommandSystem.Register("AR-When", AccessLevel.Administrator, AutoRestartWhen_OnCommand);; PathResolution=OriginalPathCurrent; MatchQuality=RuntimeHookMapFileLine; HookKind=Command; GuardList=; Access=Administrator; Command=AR-When; Handler=; DisabledEvidence=False; RuntimeHookMap=HookType=Command;Marker=CommandSystem.Register;Access=Administrator;Risk=High;Guards=AccessGuard;BoundsGuard;DeletedGuard;NullGuard;PacketReadGuard;RangeGuard;StateGuard</t>
  </si>
  <si>
    <t>RB-04612</t>
  </si>
  <si>
    <t>P10-F04612</t>
  </si>
  <si>
    <t>PBK-2212</t>
  </si>
  <si>
    <t>CurrentFile=Data/Scripts/System/Misc/AutoRestart.cs; Line=76; SourceLine=CommandSystem.Register("AR-Time", AccessLevel.Administrator, AutoRestartTime_OnCommand);; PathResolution=OriginalPathCurrent; MatchQuality=RuntimeHookMapFileLine; HookKind=Command; GuardList=; Access=Administrator; Command=AR-Time; Handler=; DisabledEvidence=False; RuntimeHookMap=HookType=Command;Marker=CommandSystem.Register;Access=Administrator;Risk=High;Guards=AccessGuard;BoundsGuard;DeletedGuard;NullGuard;PacketReadGuard;RangeGuard;StateGuard</t>
  </si>
  <si>
    <t>RB-04614</t>
  </si>
  <si>
    <t>P10-F04614</t>
  </si>
  <si>
    <t>PBK-2213</t>
  </si>
  <si>
    <t>CurrentFile=Data/Scripts/System/Misc/AutoRestart.cs; Line=82; SourceLine=CommandSystem.Register("AR-Text", AccessLevel.Administrator, AutoRestartText_OnCommand);; PathResolution=OriginalPathCurrent; MatchQuality=RuntimeHookMapFileLine; HookKind=Command; GuardList=; Access=Administrator; Command=AR-Text; Handler=; DisabledEvidence=False; RuntimeHookMap=HookType=Command;Marker=CommandSystem.Register;Access=Administrator;Risk=High;Guards=AccessGuard;BoundsGuard;DeletedGuard;NullGuard;PacketReadGuard;RangeGuard;StateGuard</t>
  </si>
  <si>
    <t>RB-04615</t>
  </si>
  <si>
    <t>P10-F04615</t>
  </si>
  <si>
    <t>PBK-2214</t>
  </si>
  <si>
    <t>CurrentFile=Data/Scripts/System/Misc/AutoRestart.cs; Line=83; SourceLine=CommandSystem.Register("AR-Save", AccessLevel.Administrator, AutoRestartSave_OnCommand);; PathResolution=OriginalPathCurrent; MatchQuality=RuntimeHookMapFileLine; HookKind=Command; GuardList=; Access=Administrator; Command=AR-Save; Handler=; DisabledEvidence=False; RuntimeHookMap=HookType=Command;Marker=CommandSystem.Register;Access=Administrator;Risk=High;Guards=AccessGuard;BoundsGuard;DeletedGuard;NullGuard;PacketReadGuard;RangeGuard;StateGuard</t>
  </si>
  <si>
    <t>RB-04616</t>
  </si>
  <si>
    <t>P10-F04616</t>
  </si>
  <si>
    <t>PBK-2215</t>
  </si>
  <si>
    <t>CurrentFile=Data/Scripts/System/Misc/AutoRestart.cs; Line=84; SourceLine=CommandSystem.Register("AR-Load", AccessLevel.Administrator, AutoRestartLoad_OnCommand);; PathResolution=OriginalPathCurrent; MatchQuality=RuntimeHookMapFileLine; HookKind=Command; GuardList=; Access=Administrator; Command=AR-Load; Handler=; DisabledEvidence=False; RuntimeHookMap=HookType=Command;Marker=CommandSystem.Register;Access=Administrator;Risk=High;Guards=AccessGuard;BoundsGuard;DeletedGuard;NullGuard;PacketReadGuard;RangeGuard;StateGuard</t>
  </si>
  <si>
    <t>RB-04650</t>
  </si>
  <si>
    <t>P10-F04650</t>
  </si>
  <si>
    <t>PBK-2216</t>
  </si>
  <si>
    <t>CurrentFile=Data/Scripts/System/Misc/World.cs; Line=2571; SourceLine=LandTile seaTile6 = map.Tiles.GetLandTile(x - distance, y + distance);; PathResolution=OriginalPathCurrent; MatchQuality=CurrentSourceLine; HookKind=Command; GuardList=; Access=Administrator; Command=world; Handler=WhereWorld_OnCommand; DisabledEvidence=False</t>
  </si>
  <si>
    <t>HistoricalFile=Data/Scripts/System/Misc/World.cs; Risk=Runtime;Staff;Player; POST-BATCH-K is audit/runtime-surface triage only. No command names, gump button IDs, PlayerMobile fields, region policy, XML/config, save layout, or gameplay behavior changed.</t>
  </si>
  <si>
    <t>RB-05097</t>
  </si>
  <si>
    <t>P10-F05097</t>
  </si>
  <si>
    <t>Region and map assumptions</t>
  </si>
  <si>
    <t>PBK-2217</t>
  </si>
  <si>
    <t>HistoricalFile=Data/Scripts/Custom/Government System/Regions/CityMarketRegion.cs; Risk=Runtime;Policy;Travel;PvP; POST-BATCH-K is audit/runtime-surface triage only. No command names, gump button IDs, PlayerMobile fields, region policy, XML/config, save layout, or gameplay behavior changed.</t>
  </si>
  <si>
    <t>RB-05098</t>
  </si>
  <si>
    <t>P10-F05098</t>
  </si>
  <si>
    <t>PBK-2218</t>
  </si>
  <si>
    <t>RB-05099</t>
  </si>
  <si>
    <t>P10-F05099</t>
  </si>
  <si>
    <t>PBK-2219</t>
  </si>
  <si>
    <t>HistoricalFile=Data/Scripts/Custom/Government System/Regions/PlayerCityRegion.cs; Risk=Runtime;Policy;Travel;PvP; POST-BATCH-K is audit/runtime-surface triage only. No command names, gump button IDs, PlayerMobile fields, region policy, XML/config, save layout, or gameplay behavior changed.</t>
  </si>
  <si>
    <t>RB-05100</t>
  </si>
  <si>
    <t>P10-F05100</t>
  </si>
  <si>
    <t>PBK-2220</t>
  </si>
  <si>
    <t>RB-05101</t>
  </si>
  <si>
    <t>P10-F05101</t>
  </si>
  <si>
    <t>PBK-2221</t>
  </si>
  <si>
    <t>RB-05102</t>
  </si>
  <si>
    <t>P10-F05102</t>
  </si>
  <si>
    <t>PBK-2222</t>
  </si>
  <si>
    <t>HistoricalFile=Data/Scripts/Custom/XMLSpawner/XmlPoints PvP/ChallengeGameRegion.cs; Risk=Runtime;Policy;Travel;PvP; POST-BATCH-K is audit/runtime-surface triage only. No command names, gump button IDs, PlayerMobile fields, region policy, XML/config, save layout, or gameplay behavior changed.</t>
  </si>
  <si>
    <t>RB-05103</t>
  </si>
  <si>
    <t>P10-F05103</t>
  </si>
  <si>
    <t>PBK-2223</t>
  </si>
  <si>
    <t>RB-05104</t>
  </si>
  <si>
    <t>P10-F05104</t>
  </si>
  <si>
    <t>PBK-2224</t>
  </si>
  <si>
    <t>RB-05105</t>
  </si>
  <si>
    <t>P10-F05105</t>
  </si>
  <si>
    <t>PBK-2225</t>
  </si>
  <si>
    <t>RB-05106</t>
  </si>
  <si>
    <t>P10-F05106</t>
  </si>
  <si>
    <t>PBK-2226</t>
  </si>
  <si>
    <t>HistoricalFile=Data/Scripts/System/Obsolete/Obsolete.cs; Risk=Runtime;Policy;Travel;PvP; POST-BATCH-K is audit/runtime-surface triage only. No command names, gump button IDs, PlayerMobile fields, region policy, XML/config, save layout, or gameplay behavior changed.</t>
  </si>
  <si>
    <t>RB-05107</t>
  </si>
  <si>
    <t>P10-F05107</t>
  </si>
  <si>
    <t>PBK-2227</t>
  </si>
  <si>
    <t>RB-05108</t>
  </si>
  <si>
    <t>P10-F05108</t>
  </si>
  <si>
    <t>PBK-2228</t>
  </si>
  <si>
    <t>RB-05109</t>
  </si>
  <si>
    <t>P10-F05109</t>
  </si>
  <si>
    <t>POST-BATCH-V</t>
  </si>
  <si>
    <t>PBV-0002</t>
  </si>
  <si>
    <t>Closed region policy gate as a source-reviewed false positive; current source line is quest gump UI, not region/map behavior.</t>
  </si>
  <si>
    <t>docs/codebase-audit/outputs/post-batch-v-region-policy-design-review.csv</t>
  </si>
  <si>
    <t>POST-BATCH-V source review: Data/Scripts/System/Obsolete/Obsolete.cs:L25946-L26035 defines QuestObjectivesGump UI and response behavior; L25975 is AddImage(75, 62, 9307); POST-BATCH-K PBK-2229 had MatchQuality=CurrentFileOnly with blank SourceLine; no region/map hook or policy surface found.</t>
  </si>
  <si>
    <t>Pending: docs: resolve region policy design queue</t>
  </si>
  <si>
    <t>2026-06-15T09:53:19.6191586-05:00</t>
  </si>
  <si>
    <t>Active post-audit overlay; POST-BATCH-V closed the POST-BATCH-N region policy-design gate. Canonical Phase 13 repair-backlog.csv is preserved as historical generated evidence.</t>
  </si>
  <si>
    <t>RB-05110</t>
  </si>
  <si>
    <t>P10-F05110</t>
  </si>
  <si>
    <t>PBK-2230</t>
  </si>
  <si>
    <t>RB-05111</t>
  </si>
  <si>
    <t>P10-F05111</t>
  </si>
  <si>
    <t>PBK-2231</t>
  </si>
  <si>
    <t>HistoricalFile=Data/Scripts/System/Regions/BardDungeonRegion.cs; Risk=Runtime;Policy;Travel;PvP; POST-BATCH-K is audit/runtime-surface triage only. No command names, gump button IDs, PlayerMobile fields, region policy, XML/config, save layout, or gameplay behavior changed.</t>
  </si>
  <si>
    <t>RB-05112</t>
  </si>
  <si>
    <t>P10-F05112</t>
  </si>
  <si>
    <t>PBK-2232</t>
  </si>
  <si>
    <t>RB-05113</t>
  </si>
  <si>
    <t>P10-F05113</t>
  </si>
  <si>
    <t>PBK-2233</t>
  </si>
  <si>
    <t>HistoricalFile=Data/Scripts/System/Regions/BardTownRegion.cs; Risk=Runtime;Policy;Travel;PvP; POST-BATCH-K is audit/runtime-surface triage only. No command names, gump button IDs, PlayerMobile fields, region policy, XML/config, save layout, or gameplay behavior changed.</t>
  </si>
  <si>
    <t>RB-05114</t>
  </si>
  <si>
    <t>P10-F05114</t>
  </si>
  <si>
    <t>PBK-2234</t>
  </si>
  <si>
    <t>RB-05115</t>
  </si>
  <si>
    <t>P10-F05115</t>
  </si>
  <si>
    <t>PBK-2235</t>
  </si>
  <si>
    <t>RB-05116</t>
  </si>
  <si>
    <t>P10-F05116</t>
  </si>
  <si>
    <t>PBK-2236</t>
  </si>
  <si>
    <t>HistoricalFile=Data/Scripts/System/Regions/BargeDeadRegion.cs; Risk=Runtime;Policy;Travel;PvP; POST-BATCH-K is audit/runtime-surface triage only. No command names, gump button IDs, PlayerMobile fields, region policy, XML/config, save layout, or gameplay behavior changed.</t>
  </si>
  <si>
    <t>RB-05117</t>
  </si>
  <si>
    <t>P10-F05117</t>
  </si>
  <si>
    <t>PBK-2237</t>
  </si>
  <si>
    <t>RB-05118</t>
  </si>
  <si>
    <t>P10-F05118</t>
  </si>
  <si>
    <t>PBK-2238</t>
  </si>
  <si>
    <t>HistoricalFile=Data/Scripts/System/Regions/BaseRegion.cs; Risk=Runtime;Policy;Travel;PvP; POST-BATCH-K is audit/runtime-surface triage only. No command names, gump button IDs, PlayerMobile fields, region policy, XML/config, save layout, or gameplay behavior changed.</t>
  </si>
  <si>
    <t>RB-05119</t>
  </si>
  <si>
    <t>P10-F05119</t>
  </si>
  <si>
    <t>PBK-2239</t>
  </si>
  <si>
    <t>RB-05120</t>
  </si>
  <si>
    <t>P10-F05120</t>
  </si>
  <si>
    <t>PBK-2240</t>
  </si>
  <si>
    <t>RB-05121</t>
  </si>
  <si>
    <t>P10-F05121</t>
  </si>
  <si>
    <t>PBK-2241</t>
  </si>
  <si>
    <t>RB-05122</t>
  </si>
  <si>
    <t>P10-F05122</t>
  </si>
  <si>
    <t>PBK-2242</t>
  </si>
  <si>
    <t>HistoricalFile=Data/Scripts/System/Regions/CaveRegion.cs; Risk=Runtime;Policy;Travel;PvP; POST-BATCH-K is audit/runtime-surface triage only. No command names, gump button IDs, PlayerMobile fields, region policy, XML/config, save layout, or gameplay behavior changed.</t>
  </si>
  <si>
    <t>RB-05123</t>
  </si>
  <si>
    <t>P10-F05123</t>
  </si>
  <si>
    <t>PBK-2243</t>
  </si>
  <si>
    <t>RB-05124</t>
  </si>
  <si>
    <t>P10-F05124</t>
  </si>
  <si>
    <t>PBK-2244</t>
  </si>
  <si>
    <t>HistoricalFile=Data/Scripts/System/Regions/CrashRegion.cs; Risk=Runtime;Policy;Travel;PvP; POST-BATCH-K is audit/runtime-surface triage only. No command names, gump button IDs, PlayerMobile fields, region policy, XML/config, save layout, or gameplay behavior changed.</t>
  </si>
  <si>
    <t>RB-05125</t>
  </si>
  <si>
    <t>P10-F05125</t>
  </si>
  <si>
    <t>PBK-2245</t>
  </si>
  <si>
    <t>RB-05126</t>
  </si>
  <si>
    <t>P10-F05126</t>
  </si>
  <si>
    <t>PBK-2246</t>
  </si>
  <si>
    <t>HistoricalFile=Data/Scripts/System/Regions/DawnRegion.cs; Risk=Runtime;Policy;Travel;PvP; POST-BATCH-K is audit/runtime-surface triage only. No command names, gump button IDs, PlayerMobile fields, region policy, XML/config, save layout, or gameplay behavior changed.</t>
  </si>
  <si>
    <t>RB-05127</t>
  </si>
  <si>
    <t>P10-F05127</t>
  </si>
  <si>
    <t>PBK-2247</t>
  </si>
  <si>
    <t>RB-05128</t>
  </si>
  <si>
    <t>P10-F05128</t>
  </si>
  <si>
    <t>PBK-2248</t>
  </si>
  <si>
    <t>HistoricalFile=Data/Scripts/System/Regions/DeadRegion.cs; Risk=Runtime;Policy;Travel;PvP; POST-BATCH-K is audit/runtime-surface triage only. No command names, gump button IDs, PlayerMobile fields, region policy, XML/config, save layout, or gameplay behavior changed.</t>
  </si>
  <si>
    <t>RB-05129</t>
  </si>
  <si>
    <t>P10-F05129</t>
  </si>
  <si>
    <t>PBK-2249</t>
  </si>
  <si>
    <t>RB-05130</t>
  </si>
  <si>
    <t>P10-F05130</t>
  </si>
  <si>
    <t>PBK-2250</t>
  </si>
  <si>
    <t>HistoricalFile=Data/Scripts/System/Regions/DungeonHomeRegion.cs; Risk=Runtime;Policy;Travel;PvP; POST-BATCH-K is audit/runtime-surface triage only. No command names, gump button IDs, PlayerMobile fields, region policy, XML/config, save layout, or gameplay behavior changed.</t>
  </si>
  <si>
    <t>RB-05131</t>
  </si>
  <si>
    <t>P10-F05131</t>
  </si>
  <si>
    <t>PBK-2251</t>
  </si>
  <si>
    <t>RB-05132</t>
  </si>
  <si>
    <t>P10-F05132</t>
  </si>
  <si>
    <t>PBK-2252</t>
  </si>
  <si>
    <t>HistoricalFile=Data/Scripts/System/Regions/DungeonRegion.cs; Risk=Runtime;Policy;Travel;PvP; POST-BATCH-K is audit/runtime-surface triage only. No command names, gump button IDs, PlayerMobile fields, region policy, XML/config, save layout, or gameplay behavior changed.</t>
  </si>
  <si>
    <t>RB-05133</t>
  </si>
  <si>
    <t>P10-F05133</t>
  </si>
  <si>
    <t>PBK-2253</t>
  </si>
  <si>
    <t>RB-05134</t>
  </si>
  <si>
    <t>P10-F05134</t>
  </si>
  <si>
    <t>PBK-2254</t>
  </si>
  <si>
    <t>HistoricalFile=Data/Scripts/System/Regions/GargoyleRegion.cs; Risk=Runtime;Policy;Travel;PvP; POST-BATCH-K is audit/runtime-surface triage only. No command names, gump button IDs, PlayerMobile fields, region policy, XML/config, save layout, or gameplay behavior changed.</t>
  </si>
  <si>
    <t>RB-05135</t>
  </si>
  <si>
    <t>P10-F05135</t>
  </si>
  <si>
    <t>PBK-2255</t>
  </si>
  <si>
    <t>RB-05136</t>
  </si>
  <si>
    <t>P10-F05136</t>
  </si>
  <si>
    <t>PBK-2256</t>
  </si>
  <si>
    <t>HistoricalFile=Data/Scripts/System/Regions/GuardedRegion.cs; Risk=Runtime;Policy;Travel;PvP; POST-BATCH-K is audit/runtime-surface triage only. No command names, gump button IDs, PlayerMobile fields, region policy, XML/config, save layout, or gameplay behavior changed.</t>
  </si>
  <si>
    <t>RB-05137</t>
  </si>
  <si>
    <t>P10-F05137</t>
  </si>
  <si>
    <t>PBK-2257</t>
  </si>
  <si>
    <t>RB-05138</t>
  </si>
  <si>
    <t>P10-F05138</t>
  </si>
  <si>
    <t>PBK-2258</t>
  </si>
  <si>
    <t>HistoricalFile=Data/Scripts/System/Regions/HouseRegion.cs; Risk=Runtime;Policy;Travel;PvP; POST-BATCH-K is audit/runtime-surface triage only. No command names, gump button IDs, PlayerMobile fields, region policy, XML/config, save layout, or gameplay behavior changed.</t>
  </si>
  <si>
    <t>RB-05139</t>
  </si>
  <si>
    <t>P10-F05139</t>
  </si>
  <si>
    <t>PBK-2259</t>
  </si>
  <si>
    <t>RB-05140</t>
  </si>
  <si>
    <t>P10-F05140</t>
  </si>
  <si>
    <t>PBK-2260</t>
  </si>
  <si>
    <t>RB-05141</t>
  </si>
  <si>
    <t>P10-F05141</t>
  </si>
  <si>
    <t>PolicyResolvedNoChange</t>
  </si>
  <si>
    <t>PBV-0001</t>
  </si>
  <si>
    <t>Closed region policy gate as policy-resolved no-change; current HouseRegion owner vendor notice and movement guards are intentional and already narrow.</t>
  </si>
  <si>
    <t>POST-BATCH-V source review: Data/Scripts/System/Regions/HouseRegion.cs:L256-L274 and L358-L376 send the owner-only vendor notice after inside/outside and owner/alive/duplicate-gump predicates; L277-L288 guards OnMoveInto before movement policy; POST-BATCH-K PBK-2261 queued this because line-only source evidence was insufficient.</t>
  </si>
  <si>
    <t>RB-05142</t>
  </si>
  <si>
    <t>P10-F05142</t>
  </si>
  <si>
    <t>PBK-2262</t>
  </si>
  <si>
    <t>HistoricalFile=Data/Scripts/System/Regions/LunaRegion.cs; Risk=Runtime;Policy;Travel;PvP; POST-BATCH-K is audit/runtime-surface triage only. No command names, gump button IDs, PlayerMobile fields, region policy, XML/config, save layout, or gameplay behavior changed.</t>
  </si>
  <si>
    <t>RB-05143</t>
  </si>
  <si>
    <t>P10-F05143</t>
  </si>
  <si>
    <t>PBK-2263</t>
  </si>
  <si>
    <t>RB-05144</t>
  </si>
  <si>
    <t>P10-F05144</t>
  </si>
  <si>
    <t>PBK-2264</t>
  </si>
  <si>
    <t>RB-05145</t>
  </si>
  <si>
    <t>P10-F05145</t>
  </si>
  <si>
    <t>PBK-2265</t>
  </si>
  <si>
    <t>HistoricalFile=Data/Scripts/System/Regions/MazeRegion.cs; Risk=Runtime;Policy;Travel;PvP; POST-BATCH-K is audit/runtime-surface triage only. No command names, gump button IDs, PlayerMobile fields, region policy, XML/config, save layout, or gameplay behavior changed.</t>
  </si>
  <si>
    <t>RB-05146</t>
  </si>
  <si>
    <t>P10-F05146</t>
  </si>
  <si>
    <t>PBK-2266</t>
  </si>
  <si>
    <t>RB-05147</t>
  </si>
  <si>
    <t>P10-F05147</t>
  </si>
  <si>
    <t>PBK-2267</t>
  </si>
  <si>
    <t>HistoricalFile=Data/Scripts/System/Regions/MoonCore.cs; Risk=Runtime;Policy;Travel;PvP; POST-BATCH-K is audit/runtime-surface triage only. No command names, gump button IDs, PlayerMobile fields, region policy, XML/config, save layout, or gameplay behavior changed.</t>
  </si>
  <si>
    <t>RB-05148</t>
  </si>
  <si>
    <t>P10-F05148</t>
  </si>
  <si>
    <t>PBK-2268</t>
  </si>
  <si>
    <t>RB-05149</t>
  </si>
  <si>
    <t>P10-F05149</t>
  </si>
  <si>
    <t>PBK-2269</t>
  </si>
  <si>
    <t>HistoricalFile=Data/Scripts/System/Regions/NecromancerRegion.cs; Risk=Runtime;Policy;Travel;PvP; POST-BATCH-K is audit/runtime-surface triage only. No command names, gump button IDs, PlayerMobile fields, region policy, XML/config, save layout, or gameplay behavior changed.</t>
  </si>
  <si>
    <t>RB-05150</t>
  </si>
  <si>
    <t>P10-F05150</t>
  </si>
  <si>
    <t>PBK-2270</t>
  </si>
  <si>
    <t>RB-05151</t>
  </si>
  <si>
    <t>P10-F05151</t>
  </si>
  <si>
    <t>PBK-2271</t>
  </si>
  <si>
    <t>RB-05152</t>
  </si>
  <si>
    <t>P10-F05152</t>
  </si>
  <si>
    <t>PBK-2272</t>
  </si>
  <si>
    <t>HistoricalFile=Data/Scripts/System/Regions/OutDoorBadRegion.cs; Risk=Runtime;Policy;Travel;PvP; POST-BATCH-K is audit/runtime-surface triage only. No command names, gump button IDs, PlayerMobile fields, region policy, XML/config, save layout, or gameplay behavior changed.</t>
  </si>
  <si>
    <t>RB-05153</t>
  </si>
  <si>
    <t>P10-F05153</t>
  </si>
  <si>
    <t>PBK-2273</t>
  </si>
  <si>
    <t>RB-05154</t>
  </si>
  <si>
    <t>P10-F05154</t>
  </si>
  <si>
    <t>PBK-2274</t>
  </si>
  <si>
    <t>HistoricalFile=Data/Scripts/System/Regions/OutDoorRegion.cs; Risk=Runtime;Policy;Travel;PvP; POST-BATCH-K is audit/runtime-surface triage only. No command names, gump button IDs, PlayerMobile fields, region policy, XML/config, save layout, or gameplay behavior changed.</t>
  </si>
  <si>
    <t>RB-05155</t>
  </si>
  <si>
    <t>P10-F05155</t>
  </si>
  <si>
    <t>PBK-2275</t>
  </si>
  <si>
    <t>RB-05156</t>
  </si>
  <si>
    <t>P10-F05156</t>
  </si>
  <si>
    <t>Data/Scripts/System/Regions/PirateRegion.cs</t>
  </si>
  <si>
    <t>PBV-0003</t>
  </si>
  <si>
    <t>Closed region policy gate as policy-resolved no-change; current PirateRegion OnEnter logging/music behavior is intentional and already guarded.</t>
  </si>
  <si>
    <t>POST-BATCH-V source review: Data/Scripts/System/Regions/PirateRegion.cs:L26-L37 has null/deleted guard, base.OnEnter, PlayerMobile logging, and RegionMusic call; Data/Scripts/System/Regions/RegionMusic.cs:L12-L15 gates music behavior to PlayerMobile; L211-L214 has PirateRegion music handling; POST-BATCH-K PBK-2276 queued this region override for design review.</t>
  </si>
  <si>
    <t>RB-05157</t>
  </si>
  <si>
    <t>P10-F05157</t>
  </si>
  <si>
    <t>PBV-0004</t>
  </si>
  <si>
    <t>Closed region policy gate as policy-resolved no-change; current PirateRegion OnExit containment/logging behavior is intentional and already guarded.</t>
  </si>
  <si>
    <t>POST-BATCH-V source review: Data/Scripts/System/Regions/PirateRegion.cs:L40-L88 has null/deleted guard, base.OnExit, named BaseCreature containment, and fallback logging; Data/Scripts/System/Misc/Logs.cs:L803-L806 gates LogRegions to PlayerMobile; POST-BATCH-K PBK-2277 queued this region override for design review.</t>
  </si>
  <si>
    <t>RB-05158</t>
  </si>
  <si>
    <t>P10-F05158</t>
  </si>
  <si>
    <t>PBK-2278</t>
  </si>
  <si>
    <t>HistoricalFile=Data/Scripts/System/Regions/PrisonArea.cs; Risk=Runtime;Policy;Travel;PvP; POST-BATCH-K is audit/runtime-surface triage only. No command names, gump button IDs, PlayerMobile fields, region policy, XML/config, save layout, or gameplay behavior changed.</t>
  </si>
  <si>
    <t>RB-05159</t>
  </si>
  <si>
    <t>P10-F05159</t>
  </si>
  <si>
    <t>PBK-2279</t>
  </si>
  <si>
    <t>RB-05160</t>
  </si>
  <si>
    <t>P10-F05160</t>
  </si>
  <si>
    <t>PBK-2280</t>
  </si>
  <si>
    <t>HistoricalFile=Data/Scripts/System/Regions/ProtectedRegion.cs; Risk=Runtime;Policy;Travel;PvP; POST-BATCH-K is audit/runtime-surface triage only. No command names, gump button IDs, PlayerMobile fields, region policy, XML/config, save layout, or gameplay behavior changed.</t>
  </si>
  <si>
    <t>RB-05161</t>
  </si>
  <si>
    <t>P10-F05161</t>
  </si>
  <si>
    <t>PBK-2281</t>
  </si>
  <si>
    <t>RB-05162</t>
  </si>
  <si>
    <t>P10-F05162</t>
  </si>
  <si>
    <t>PBK-2282</t>
  </si>
  <si>
    <t>RB-05163</t>
  </si>
  <si>
    <t>P10-F05163</t>
  </si>
  <si>
    <t>PBK-2283</t>
  </si>
  <si>
    <t>HistoricalFile=Data/Scripts/System/Regions/PublicRegion.cs; Risk=Runtime;Policy;Travel;PvP; POST-BATCH-K is audit/runtime-surface triage only. No command names, gump button IDs, PlayerMobile fields, region policy, XML/config, save layout, or gameplay behavior changed.</t>
  </si>
  <si>
    <t>RB-05164</t>
  </si>
  <si>
    <t>P10-F05164</t>
  </si>
  <si>
    <t>PBK-2284</t>
  </si>
  <si>
    <t>RB-05165</t>
  </si>
  <si>
    <t>P10-F05165</t>
  </si>
  <si>
    <t>PBK-2285</t>
  </si>
  <si>
    <t>RB-05166</t>
  </si>
  <si>
    <t>P10-F05166</t>
  </si>
  <si>
    <t>PBK-2286</t>
  </si>
  <si>
    <t>HistoricalFile=Data/Scripts/System/Regions/SafeRegion.cs; Risk=Runtime;Policy;Travel;PvP; POST-BATCH-K is audit/runtime-surface triage only. No command names, gump button IDs, PlayerMobile fields, region policy, XML/config, save layout, or gameplay behavior changed.</t>
  </si>
  <si>
    <t>RB-05167</t>
  </si>
  <si>
    <t>P10-F05167</t>
  </si>
  <si>
    <t>PBK-2287</t>
  </si>
  <si>
    <t>RB-05168</t>
  </si>
  <si>
    <t>P10-F05168</t>
  </si>
  <si>
    <t>PBK-2288</t>
  </si>
  <si>
    <t>RB-05169</t>
  </si>
  <si>
    <t>P10-F05169</t>
  </si>
  <si>
    <t>PBK-2289</t>
  </si>
  <si>
    <t>HistoricalFile=Data/Scripts/System/Regions/SavageRegion.cs; Risk=Runtime;Policy;Travel;PvP; POST-BATCH-K is audit/runtime-surface triage only. No command names, gump button IDs, PlayerMobile fields, region policy, XML/config, save layout, or gameplay behavior changed.</t>
  </si>
  <si>
    <t>RB-05170</t>
  </si>
  <si>
    <t>P10-F05170</t>
  </si>
  <si>
    <t>PBK-2290</t>
  </si>
  <si>
    <t>RB-05171</t>
  </si>
  <si>
    <t>P10-F05171</t>
  </si>
  <si>
    <t>PBK-2291</t>
  </si>
  <si>
    <t>HistoricalFile=Data/Scripts/System/Regions/SkyHomeRegion.cs; Risk=Runtime;Policy;Travel;PvP; POST-BATCH-K is audit/runtime-surface triage only. No command names, gump button IDs, PlayerMobile fields, region policy, XML/config, save layout, or gameplay behavior changed.</t>
  </si>
  <si>
    <t>RB-05172</t>
  </si>
  <si>
    <t>P10-F05172</t>
  </si>
  <si>
    <t>PBK-2292</t>
  </si>
  <si>
    <t>RB-05173</t>
  </si>
  <si>
    <t>P10-F05173</t>
  </si>
  <si>
    <t>PBK-2293</t>
  </si>
  <si>
    <t>HistoricalFile=Data/Scripts/System/Regions/StartRegion.cs; Risk=Runtime;Policy;Travel;PvP; POST-BATCH-K is audit/runtime-surface triage only. No command names, gump button IDs, PlayerMobile fields, region policy, XML/config, save layout, or gameplay behavior changed.</t>
  </si>
  <si>
    <t>RB-05174</t>
  </si>
  <si>
    <t>P10-F05174</t>
  </si>
  <si>
    <t>PBK-2294</t>
  </si>
  <si>
    <t>RB-05175</t>
  </si>
  <si>
    <t>P10-F05175</t>
  </si>
  <si>
    <t>PBK-2295</t>
  </si>
  <si>
    <t>RB-05176</t>
  </si>
  <si>
    <t>P10-F05176</t>
  </si>
  <si>
    <t>PBK-2296</t>
  </si>
  <si>
    <t>HistoricalFile=Data/Scripts/System/Regions/UmbraRegion.cs; Risk=Runtime;Policy;Travel;PvP; POST-BATCH-K is audit/runtime-surface triage only. No command names, gump button IDs, PlayerMobile fields, region policy, XML/config, save layout, or gameplay behavior changed.</t>
  </si>
  <si>
    <t>RB-05177</t>
  </si>
  <si>
    <t>P10-F05177</t>
  </si>
  <si>
    <t>PBK-2297</t>
  </si>
  <si>
    <t>RB-05178</t>
  </si>
  <si>
    <t>P10-F05178</t>
  </si>
  <si>
    <t>PBK-2298</t>
  </si>
  <si>
    <t>HistoricalFile=Data/Scripts/System/Regions/UnderHouseRegion.cs; Risk=Runtime;Policy;Travel;PvP; POST-BATCH-K is audit/runtime-surface triage only. No command names, gump button IDs, PlayerMobile fields, region policy, XML/config, save layout, or gameplay behavior changed.</t>
  </si>
  <si>
    <t>RB-05179</t>
  </si>
  <si>
    <t>P10-F05179</t>
  </si>
  <si>
    <t>PBK-2299</t>
  </si>
  <si>
    <t>RB-05180</t>
  </si>
  <si>
    <t>P10-F05180</t>
  </si>
  <si>
    <t>PBK-2300</t>
  </si>
  <si>
    <t>RB-05181</t>
  </si>
  <si>
    <t>P10-F05181</t>
  </si>
  <si>
    <t>PBK-2301</t>
  </si>
  <si>
    <t>HistoricalFile=Data/Scripts/System/Regions/VillageRegion.cs; Risk=Runtime;Policy;Travel;PvP; POST-BATCH-K is audit/runtime-surface triage only. No command names, gump button IDs, PlayerMobile fields, region policy, XML/config, save layout, or gameplay behavior changed.</t>
  </si>
  <si>
    <t>RB-05182</t>
  </si>
  <si>
    <t>P10-F05182</t>
  </si>
  <si>
    <t>PBK-2302</t>
  </si>
  <si>
    <t>RB-05183</t>
  </si>
  <si>
    <t>P10-F05183</t>
  </si>
  <si>
    <t>PBK-2303</t>
  </si>
  <si>
    <t>RB-05184</t>
  </si>
  <si>
    <t>P10-F05184</t>
  </si>
  <si>
    <t>PBK-2304</t>
  </si>
  <si>
    <t>HistoricalFile=Data/Scripts/System/Regions/WantedRegion.cs; Risk=Runtime;Policy;Travel;PvP; POST-BATCH-K is audit/runtime-surface triage only. No command names, gump button IDs, PlayerMobile fields, region policy, XML/config, save layout, or gameplay behavior changed.</t>
  </si>
  <si>
    <t>RB-05185</t>
  </si>
  <si>
    <t>P10-F05185</t>
  </si>
  <si>
    <t>PBK-2305</t>
  </si>
  <si>
    <t>RB-05209</t>
  </si>
  <si>
    <t>P10-F05209</t>
  </si>
  <si>
    <t>POST-BATCH-X</t>
  </si>
  <si>
    <t>PBX-0001</t>
  </si>
  <si>
    <t>No source change. Current PlayerMobile coupling is policy-resolved as intentional behavior and must be preserved unless a later source batch approves a behavior change.</t>
  </si>
  <si>
    <t>docs/codebase-audit/outputs/post-batch-x-playermobile-coupling-policy-review.csv</t>
  </si>
  <si>
    <t>Current source line evidence: Data/Scripts/Items/Boats/BaseBoat.cs:L834:if (killer is PlayerMobile) || Prior POST-BATCH-K evidence: CurrentFile=Data/Scripts/Items/Boats/BaseBoat.cs; Line=834; SourceLine=if (killer is PlayerMobile); PathResolution=OriginalPathCurrent; MatchQuality=DependencyGraphPlayerMobileFileLine; HookKind=PlayerMobileReference; GuardList=; Access=; Command=; Handler=; DisabledEvidence=False; DependencyEvidence=Boats-&gt;PlayerMobile Core;DirectReference;Data/Scripts/Items/Boats/BaseBoat.cs:L834:PlayerMobile || DependencyEvidence: Boats-&gt;PlayerMobile Core;DirectReference;Data/Scripts/Items/Boats/BaseBoat.cs:L834:PlayerMobile || RuntimeHookEvidence: Data/Scripts/Items/Boats/BaseBoat.cs:L2906:Initialize:Initialize | Data/Scripts/Items/Boats/BaseBoat.cs:L2909:Event:EventSink | Data/Scripts/Items/Boats/BaseBoat.cs:L1447:Timer:CustomTimerSubclass || SerializationEvidence: SerializationRegisterRows=1; Server.Multis.BaseBoat;Item;Serialize:L663;Deserialize:L688;Risk=NamespaceOrTypeRenameDanger</t>
  </si>
  <si>
    <t>Pending: docs: resolve playermobile coupling policy queue</t>
  </si>
  <si>
    <t>2026-06-15T11:25:23.6607652-05:00</t>
  </si>
  <si>
    <t>PreviousPostAuditBatch=POST-BATCH-K; PreviousReviewRowId=PBK-2306; CouplingKind=PvPRegionCombatPolicyCoupling; ReviewClass=PvPRegionCombatPolicyResolvedNoChange; FutureSourceBatchNeeded=No.</t>
  </si>
  <si>
    <t>RB-05210</t>
  </si>
  <si>
    <t>P10-F05210</t>
  </si>
  <si>
    <t>Data/Scripts/Items/Boats/BoatDoor.cs</t>
  </si>
  <si>
    <t>PBX-0002</t>
  </si>
  <si>
    <t>Current source line evidence: Data/Scripts/Items/Boats/BoatDoor.cs:L72:if (m is PlayerMobile) || Prior POST-BATCH-K evidence: CurrentFile=Data/Scripts/Items/Boats/BoatDoor.cs; Line=72; SourceLine=if (m is PlayerMobile); PathResolution=OriginalPathCurrent; MatchQuality=DependencyGraphPlayerMobileFileLine; HookKind=PlayerMobileReference; GuardList=; Access=; Command=; Handler=; DisabledEvidence=False; DependencyEvidence=Boats-&gt;PlayerMobile Core;DirectReference;Data/Scripts/Items/Boats/BoatDoor.cs:L72:PlayerMobile || DependencyEvidence: Boats-&gt;PlayerMobile Core;DirectReference;Data/Scripts/Items/Boats/BoatDoor.cs:L72:PlayerMobile || RuntimeHookEvidence: No runtime-hook-map row matched this file. || SerializationEvidence: SerializationRegisterRows=2; Server.Items.BoatDoor;Item;Serialize:L130;Deserialize:L138;Risk=NamespaceOrTypeRenameDanger | Server.Items.DeckDoor;Item;Serialize:L279;Deserialize:L285;Risk=NamespaceOrTypeRenameDanger</t>
  </si>
  <si>
    <t>PreviousPostAuditBatch=POST-BATCH-K; PreviousReviewRowId=PBK-2307; CouplingKind=PlayerTypeCheckOrCast; ReviewClass=DirectPlayerTypePolicyResolvedNoChange; FutureSourceBatchNeeded=No.</t>
  </si>
  <si>
    <t>RB-05211</t>
  </si>
  <si>
    <t>P10-F05211</t>
  </si>
  <si>
    <t>Data/Scripts/Items/Boats/Cargo.cs</t>
  </si>
  <si>
    <t>PBX-0003</t>
  </si>
  <si>
    <t>Current source line evidence: Data/Scripts/Items/Boats/Cargo.cs:L2904:PlayerMobile pm = (PlayerMobile)player; || Prior POST-BATCH-K evidence: CurrentFile=Data/Scripts/Items/Boats/Cargo.cs; Line=2904; SourceLine=PlayerMobile pm = (PlayerMobile)player;; PathResolution=OriginalPathCurrent; MatchQuality=DependencyGraphPlayerMobileFileLine; HookKind=PlayerMobileReference; GuardList=; Access=; Command=; Handler=; DisabledEvidence=False; DependencyEvidence=Boats-&gt;PlayerMobile Core;DirectReference;Data/Scripts/Items/Boats/Cargo.cs:L2904:PlayerMobile || DependencyEvidence: Boats-&gt;PlayerMobile Core;DirectReference;Data/Scripts/Items/Boats/Cargo.cs:L2904:PlayerMobile || RuntimeHookEvidence: Data/Scripts/Items/Boats/Cargo.cs:L516:Gump:OnResponse | Data/Scripts/Items/Boats/Cargo.cs:L165:Gump:SendGump || SerializationEvidence: SerializationRegisterRows=1; Server.Items.Cargo;Item;Serialize:L687;Deserialize:L704;Risk=NamespaceOrTypeRenameDanger</t>
  </si>
  <si>
    <t>PreviousPostAuditBatch=POST-BATCH-K; PreviousReviewRowId=PBK-2308; CouplingKind=PlayerTypeCheckOrCast; ReviewClass=DirectPlayerTypePolicyResolvedNoChange; FutureSourceBatchNeeded=No.</t>
  </si>
  <si>
    <t>RB-05212</t>
  </si>
  <si>
    <t>P10-F05212</t>
  </si>
  <si>
    <t>PBX-0004</t>
  </si>
  <si>
    <t>Current source line evidence: Data/Scripts/Items/Misc/Bodies/Corpses/Corpse.cs:L84:public string m_Forensicist; // Name of the first PlayerMobile who used Forensics on the corpse || Prior POST-BATCH-K evidence: CurrentFile=Data/Scripts/Items/Misc/Bodies/Corpses/Corpse.cs; Line=84; SourceLine=public string m_Forensicist; // Name of the first PlayerMobile who used Forensics on the corpse; PathResolution=OriginalPathCurrent; MatchQuality=DependencyGraphPlayerMobileFileLine; HookKind=PlayerMobileReference; GuardList=; Access=; Command=; Handler=; DisabledEvidence=False; DependencyEvidence=Bulk Orders-&gt;PlayerMobile Core;DirectReference;Data/Scripts/Items/Misc/Bodies/Corpses/Corpse.cs:L84:PlayerMobile || DependencyEvidence: Bulk Orders-&gt;PlayerMobile Core;DirectReference;Data/Scripts/Items/Misc/Bodies/Corpses/Corpse.cs:L84:PlayerMobile || RuntimeHookEvidence: Data/Scripts/Items/Misc/Bodies/Corpses/Corpse.cs:L520:Initialize:Initialize | Data/Scripts/Items/Misc/Bodies/Corpses/Corpse.cs:L436:Timer:CustomTimerSubclass || SerializationEvidence: SerializationRegisterRows=1; Server.Items.Corpse;Item;Serialize:L700;Deserialize:L759;Risk=NamespaceOrTypeRenameDanger</t>
  </si>
  <si>
    <t>PreviousPostAuditBatch=POST-BATCH-K; PreviousReviewRowId=PBK-2309; CouplingKind=PlayerTypeCheckOrCast; ReviewClass=DirectPlayerTypePolicyResolvedNoChange; FutureSourceBatchNeeded=No.</t>
  </si>
  <si>
    <t>RB-05213</t>
  </si>
  <si>
    <t>P10-F05213</t>
  </si>
  <si>
    <t>PBX-0005</t>
  </si>
  <si>
    <t>Current source line evidence: Data/Scripts/Mobiles/Base/BaseVendor.cs:L229:if (from is PlayerMobile) || Prior POST-BATCH-K evidence: CurrentFile=Data/Scripts/Mobiles/Base/BaseVendor.cs; Line=229; SourceLine=if (from is PlayerMobile); PathResolution=OriginalPathCurrent; MatchQuality=DependencyGraphPlayerMobileFileLine; HookKind=PlayerMobileReference; GuardList=; Access=; Command=; Handler=; DisabledEvidence=False; DependencyEvidence=Bulk Orders-&gt;PlayerMobile Core;DirectReference;Data/Scripts/Mobiles/Base/BaseVendor.cs:L229:PlayerMobile | Vendor Core-&gt;PlayerMobile Core;DirectReference;Data/Scripts/Mobiles/Base/BaseVendor.cs:L229:PlayerMobile || DependencyEvidence: Bulk Orders-&gt;PlayerMobile Core;DirectReference;Data/Scripts/Mobiles/Base/BaseVendor.cs:L229:PlayerMobile | Vendor Core-&gt;PlayerMobile Core;DirectReference;Data/Scripts/Mobiles/Base/BaseVendor.cs:L229:PlayerMobile || RuntimeHookEvidence: Data/Scripts/Mobiles/Base/BaseVendor.cs:L172:Gump:SendGump | Data/Scripts/Mobiles/Base/BaseVendor.cs:L176:Gump:SendGump | Data/Scripts/Mobiles/Base/BaseVendor.cs:L3124:Gump:SendGump || SerializationEvidence: SerializationRegisterRows=1; Server.Mobiles.BaseVendor;Mobile;Serialize:L3144;Deserialize:L3183;Risk=UnknownUntilSaveTest</t>
  </si>
  <si>
    <t>PreviousPostAuditBatch=POST-BATCH-K; PreviousReviewRowId=PBK-2310; CouplingKind=PlayerTypeCheckOrCast; ReviewClass=DirectPlayerTypePolicyResolvedNoChange; FutureSourceBatchNeeded=No.</t>
  </si>
  <si>
    <t>RB-05214</t>
  </si>
  <si>
    <t>P10-F05214</t>
  </si>
  <si>
    <t>PBX-0006</t>
  </si>
  <si>
    <t>Current source line evidence: Data/Scripts/Trades/Bulk Orders/Books/BulkOrderBook.cs:L75:else if (from is PlayerMobile) || Prior POST-BATCH-K evidence: CurrentFile=Data/Scripts/Trades/Bulk Orders/Books/BulkOrderBook.cs; Line=75; SourceLine=else if (from is PlayerMobile); PathResolution=OriginalPathCurrent; MatchQuality=DependencyGraphPlayerMobileFileLine; HookKind=PlayerMobileReference; GuardList=; Access=; Command=; Handler=; DisabledEvidence=False; DependencyEvidence=Bulk Orders-&gt;PlayerMobile Core;DirectReference;Data/Scripts/Trades/Bulk Orders/Books/BulkOrderBook.cs:L75:PlayerMobile || DependencyEvidence: Bulk Orders-&gt;PlayerMobile Core;DirectReference;Data/Scripts/Trades/Bulk Orders/Books/BulkOrderBook.cs:L75:PlayerMobile || RuntimeHookEvidence: Data/Scripts/Trades/Bulk Orders/Books/BulkOrderBook.cs:L329:Gump:OnResponse | Data/Scripts/Trades/Bulk Orders/Books/BulkOrderBook.cs:L76:Gump:SendGump | Data/Scripts/Trades/Bulk Orders/Books/BulkOrderBook.cs:L91:Gump:SendGump || SerializationEvidence: SerializationRegisterRows=1; Server.Engines.BulkOrders.BulkOrderBook;Item;Serialize:L193;Deserialize:L230;Risk=NamespaceOrTypeRenameDanger</t>
  </si>
  <si>
    <t>PreviousPostAuditBatch=POST-BATCH-K; PreviousReviewRowId=PBK-2311; CouplingKind=PlayerTypeCheckOrCast; ReviewClass=DirectPlayerTypePolicyResolvedNoChange; FutureSourceBatchNeeded=No.</t>
  </si>
  <si>
    <t>RB-05215</t>
  </si>
  <si>
    <t>P10-F05215</t>
  </si>
  <si>
    <t>PBX-0007</t>
  </si>
  <si>
    <t>No source change. Current stored PlayerMobile context is reviewed as existing runtime state; future refactors require a focused source batch.</t>
  </si>
  <si>
    <t>Current source line evidence: Data/Scripts/Trades/Bulk Orders/Books/Gumps/BOBFilterGump.cs:L12:private PlayerMobile m_From; || Prior POST-BATCH-K evidence: CurrentFile=Data/Scripts/Trades/Bulk Orders/Books/Gumps/BOBFilterGump.cs; Line=12; SourceLine=private PlayerMobile m_From;; PathResolution=OriginalPathCurrent; MatchQuality=DependencyGraphPlayerMobileFileLine; HookKind=PlayerMobileReference; GuardList=; Access=; Command=; Handler=; DisabledEvidence=False; DependencyEvidence=Bulk Orders-&gt;PlayerMobile Core;DirectReference;Data/Scripts/Trades/Bulk Orders/Books/Gumps/BOBFilterGump.cs:L12:PlayerMobile || DependencyEvidence: Bulk Orders-&gt;PlayerMobile Core;DirectReference;Data/Scripts/Trades/Bulk Orders/Books/Gumps/BOBFilterGump.cs:L12:PlayerMobile || RuntimeHookEvidence: Data/Scripts/Trades/Bulk Orders/Books/Gumps/BOBFilterGump.cs:L122:Gump:OnResponse | Data/Scripts/Trades/Bulk Orders/Books/Gumps/BOBFilterGump.cs:L143:Gump:SendGump | Data/Scripts/Trades/Bulk Orders/Books/Gumps/BOBFilterGump.cs:L150:Gump:SendGump || SerializationEvidence: No serialization-register rows for file.</t>
  </si>
  <si>
    <t>PreviousPostAuditBatch=POST-BATCH-K; PreviousReviewRowId=PBK-2312; CouplingKind=StoredPlayerMobileFieldOrParameter; ReviewClass=StoredPlayerMobileContextReviewedNoChange; FutureSourceBatchNeeded=No.</t>
  </si>
  <si>
    <t>RB-05216</t>
  </si>
  <si>
    <t>P10-F05216</t>
  </si>
  <si>
    <t>Data/Scripts/Trades/Bulk Orders/Books/Gumps/BOBGump.cs</t>
  </si>
  <si>
    <t>PBX-0008</t>
  </si>
  <si>
    <t>Current source line evidence: Data/Scripts/Trades/Bulk Orders/Books/Gumps/BOBGump.cs:L13:private PlayerMobile m_From; || Prior POST-BATCH-K evidence: CurrentFile=Data/Scripts/Trades/Bulk Orders/Books/Gumps/BOBGump.cs; Line=13; SourceLine=private PlayerMobile m_From;; PathResolution=OriginalPathCurrent; MatchQuality=DependencyGraphPlayerMobileFileLine; HookKind=PlayerMobileReference; GuardList=; Access=; Command=; Handler=; DisabledEvidence=False; DependencyEvidence=Bulk Orders-&gt;PlayerMobile Core;DirectReference;Data/Scripts/Trades/Bulk Orders/Books/Gumps/BOBGump.cs:L13:PlayerMobile || DependencyEvidence: Bulk Orders-&gt;PlayerMobile Core;DirectReference;Data/Scripts/Trades/Bulk Orders/Books/Gumps/BOBGump.cs:L13:PlayerMobile || RuntimeHookEvidence: Data/Scripts/Trades/Bulk Orders/Books/Gumps/BOBGump.cs:L310:Gump:OnResponse | Data/Scripts/Trades/Bulk Orders/Books/Gumps/BOBGump.cs:L504:Gump:OnResponse | Data/Scripts/Trades/Bulk Orders/Books/Gumps/BOBGump.cs:L322:Gump:SendGump || SerializationEvidence: No serialization-register rows for file.</t>
  </si>
  <si>
    <t>PreviousPostAuditBatch=POST-BATCH-K; PreviousReviewRowId=PBK-2313; CouplingKind=StoredPlayerMobileFieldOrParameter; ReviewClass=StoredPlayerMobileContextReviewedNoChange; FutureSourceBatchNeeded=No.</t>
  </si>
  <si>
    <t>RB-05217</t>
  </si>
  <si>
    <t>P10-F05217</t>
  </si>
  <si>
    <t>Data/Scripts/Trades/Bulk Orders/Books/Gumps/BODBuyGump.cs</t>
  </si>
  <si>
    <t>PBX-0009</t>
  </si>
  <si>
    <t>Current source line evidence: Data/Scripts/Trades/Bulk Orders/Books/Gumps/BODBuyGump.cs:L11:private PlayerMobile m_From; || Prior POST-BATCH-K evidence: CurrentFile=Data/Scripts/Trades/Bulk Orders/Books/Gumps/BODBuyGump.cs; Line=11; SourceLine=private PlayerMobile m_From;; PathResolution=OriginalPathCurrent; MatchQuality=DependencyGraphPlayerMobileFileLine; HookKind=PlayerMobileReference; GuardList=; Access=; Command=; Handler=; DisabledEvidence=False; DependencyEvidence=Bulk Orders-&gt;PlayerMobile Core;DirectReference;Data/Scripts/Trades/Bulk Orders/Books/Gumps/BODBuyGump.cs:L11:PlayerMobile || DependencyEvidence: Bulk Orders-&gt;PlayerMobile Core;DirectReference;Data/Scripts/Trades/Bulk Orders/Books/Gumps/BODBuyGump.cs:L11:PlayerMobile || RuntimeHookEvidence: Data/Scripts/Trades/Bulk Orders/Books/Gumps/BODBuyGump.cs:L17:Gump:OnResponse | Data/Scripts/Trades/Bulk Orders/Books/Gumps/BODBuyGump.cs:L87:Gump:SendGump | Data/Scripts/Trades/Bulk Orders/Books/Gumps/BODBuyGump.cs:L109:Gump:SendGump || SerializationEvidence: No serialization-register rows for file.</t>
  </si>
  <si>
    <t>PreviousPostAuditBatch=POST-BATCH-K; PreviousReviewRowId=PBK-2314; CouplingKind=StoredPlayerMobileFieldOrParameter; ReviewClass=StoredPlayerMobileContextReviewedNoChange; FutureSourceBatchNeeded=No.</t>
  </si>
  <si>
    <t>RB-05218</t>
  </si>
  <si>
    <t>P10-F05218</t>
  </si>
  <si>
    <t>PBX-0010</t>
  </si>
  <si>
    <t>Current source line evidence: Data/Scripts/Custom/Champions/System/CannedEvil/ChampionSpawn.cs:L410:PlayerMobile pm = (PlayerMobile)killer; || Prior POST-BATCH-K evidence: CurrentFile=Data/Scripts/Custom/Champions/System/CannedEvil/ChampionSpawn.cs; Line=410; SourceLine=PlayerMobile pm = (PlayerMobile)killer;; PathResolution=OriginalPathCurrent; MatchQuality=DependencyGraphPlayerMobileFileLine; HookKind=PlayerMobileReference; GuardList=; Access=; Command=; Handler=; DisabledEvidence=False; DependencyEvidence=Champions-&gt;PlayerMobile Core;DirectReference;Data/Scripts/Custom/Champions/System/CannedEvil/ChampionSpawn.cs:L410:PlayerMobile || DependencyEvidence: Champions-&gt;PlayerMobile Core;DirectReference;Data/Scripts/Custom/Champions/System/CannedEvil/ChampionSpawn.cs:L410:PlayerMobile || RuntimeHookEvidence: Data/Scripts/Custom/Champions/System/CannedEvil/ChampionSpawn.cs:L1284:Timer:Timer.DelayCall | Data/Scripts/Custom/Champions/System/CannedEvil/ChampionSpawn.cs:L938:Gump:SendGump || SerializationEvidence: SerializationRegisterRows=1; Server.Engines.CannedEvil.ChampionSpawn;Spawner;Serialize:L1144;Deserialize:L1185;Risk=NamespaceOrTypeRenameDanger</t>
  </si>
  <si>
    <t>PreviousPostAuditBatch=POST-BATCH-K; PreviousReviewRowId=PBK-2315; CouplingKind=PvPRegionCombatPolicyCoupling; ReviewClass=PvPRegionCombatPolicyResolvedNoChange; FutureSourceBatchNeeded=No.</t>
  </si>
  <si>
    <t>RB-05219</t>
  </si>
  <si>
    <t>P10-F05219</t>
  </si>
  <si>
    <t>Data/Scripts/Custom/Champions/System/Mobiles/BaseChampion.cs</t>
  </si>
  <si>
    <t>PBX-0011</t>
  </si>
  <si>
    <t>Current source line evidence: Data/Scripts/Custom/Champions/System/Mobiles/BaseChampion.cs:L120:if (!(m is PlayerMobile)) || Prior POST-BATCH-K evidence: CurrentFile=Data/Scripts/Custom/Champions/System/Mobiles/BaseChampion.cs; Line=120; SourceLine=if (!(m is PlayerMobile)); PathResolution=OriginalPathCurrent; MatchQuality=DependencyGraphPlayerMobileFileLine; HookKind=PlayerMobileReference; GuardList=; Access=; Command=; Handler=; DisabledEvidence=False; DependencyEvidence=Champions-&gt;PlayerMobile Core;DirectReference;Data/Scripts/Custom/Champions/System/Mobiles/BaseChampion.cs:L120:PlayerMobile || DependencyEvidence: Champions-&gt;PlayerMobile Core;DirectReference;Data/Scripts/Custom/Champions/System/Mobiles/BaseChampion.cs:L120:PlayerMobile || RuntimeHookEvidence: Data/Scripts/Custom/Champions/System/Mobiles/BaseChampion.cs:L284:Timer:CustomTimerSubclass || SerializationEvidence: SerializationRegisterRows=1; Server.Mobiles.BaseChampion;Mobile;Serialize:L33;Deserialize:L40;Risk=NamespaceOrTypeRenameDanger</t>
  </si>
  <si>
    <t>PreviousPostAuditBatch=POST-BATCH-K; PreviousReviewRowId=PBK-2316; CouplingKind=PlayerTypeCheckOrCast; ReviewClass=DirectPlayerTypePolicyResolvedNoChange; FutureSourceBatchNeeded=No.</t>
  </si>
  <si>
    <t>RB-05220</t>
  </si>
  <si>
    <t>P10-F05220</t>
  </si>
  <si>
    <t>Data/Scripts/Custom/CharacterLevel/CharacterLevelService.cs</t>
  </si>
  <si>
    <t>PBX-0012</t>
  </si>
  <si>
    <t>Current source line evidence: Data/Scripts/Custom/Progression/CharacterLevel/CharacterLevelService.cs:L104:if (!(mobile is PlayerMobile)) || Prior POST-BATCH-K evidence: CurrentFile=Data/Scripts/Custom/Progression/CharacterLevel/CharacterLevelService.cs; Line=104; SourceLine=if (!(mobile is PlayerMobile)); PathResolution=PostBatchHMove:Data/Scripts/Custom/CharacterLevel-&gt;Data/Scripts/Custom/Progression/CharacterLevel; MatchQuality=DependencyGraphPlayerMobileFileLine; HookKind=PlayerMobileReference; GuardList=; Access=; Command=; Handler=; DisabledEvidence=False; DependencyEvidence=Character Level-&gt;PlayerMobile Core;DirectReference;Data/Scripts/Custom/Progression/CharacterLevel/CharacterLevelService.cs:L104:PlayerMobile || DependencyEvidence: Character Level-&gt;PlayerMobile Core;DirectReference;Data/Scripts/Custom/Progression/CharacterLevel/CharacterLevelService.cs:L104:PlayerMobile || RuntimeHookEvidence: No runtime-hook-map row matched this file. || SerializationEvidence: No serialization-register rows for file.</t>
  </si>
  <si>
    <t>PreviousPostAuditBatch=POST-BATCH-K; PreviousReviewRowId=PBK-2317; CouplingKind=PlayerTypeCheckOrCast; ReviewClass=DirectPlayerTypePolicyResolvedNoChange; FutureSourceBatchNeeded=No.</t>
  </si>
  <si>
    <t>RB-05221</t>
  </si>
  <si>
    <t>P10-F05221</t>
  </si>
  <si>
    <t>PBX-0013</t>
  </si>
  <si>
    <t>Current source line evidence: Data/Scripts/Custom/PvE/CloneOfflinePlayerCharacters/BackpackClone.cs:L27:if (mobile is PlayerMobile &amp;&amp; mobile.AccessLevel &lt; AccessLevel.Owner) || Prior POST-BATCH-K evidence: CurrentFile=Data/Scripts/Custom/PvE/CloneOfflinePlayerCharacters/BackpackClone.cs; Line=27; SourceLine=if (mobile is PlayerMobile &amp;&amp; mobile.AccessLevel &lt; AccessLevel.Owner); PathResolution=PostBatchHMove:Data/Scripts/Custom/CloneOfflinePlayerCharacters-&gt;Data/Scripts/Custom/PvE/CloneOfflinePlayerCharacters; MatchQuality=DependencyGraphPlayerMobileFileLine; HookKind=PlayerMobileReference; GuardList=; Access=; Command=; Handler=; DisabledEvidence=False; DependencyEvidence=Clone Offline Player Characters-&gt;PlayerMobile Core;DirectReference;Data/Scripts/Custom/PvE/CloneOfflinePlayerCharacters/BackpackClone.cs:L27:PlayerMobile || DependencyEvidence: Clone Offline Player Characters-&gt;PlayerMobile Core;DirectReference;Data/Scripts/Custom/PvE/CloneOfflinePlayerCharacters/BackpackClone.cs:L27:PlayerMobile || RuntimeHookEvidence: No runtime-hook-map row matched this file. || SerializationEvidence: SerializationRegisterRows=1; Server.Custom.Confictura.CloneOfflinePlayerCharacters.BackpackClone;Other;Serialize:L46;Deserialize:L52;Risk=NamespaceOrTypeRenameDanger</t>
  </si>
  <si>
    <t>PreviousPostAuditBatch=POST-BATCH-K; PreviousReviewRowId=PBK-2318; CouplingKind=PlayerMobilePropertyStateAccess; ReviewClass=PlayerStateAccessPolicyResolvedNoChange; FutureSourceBatchNeeded=No.</t>
  </si>
  <si>
    <t>RB-05222</t>
  </si>
  <si>
    <t>P10-F05222</t>
  </si>
  <si>
    <t>PBK-2319</t>
  </si>
  <si>
    <t>CurrentFile=Data/Scripts/Custom/PvE/CloneOfflinePlayerCharacters/CharacterClone.cs; Line=16; SourceLine=/// Replica of a logged-out &lt;see cref="PlayerMobile"/&gt;. Handles combat,; PathResolution=PostBatchHMove:Data/Scripts/Custom/CloneOfflinePlayerCharacters-&gt;Data/Scripts/Custom/PvE/CloneOfflinePlayerCharacters; MatchQuality=DependencyGraphPlayerMobileFileLine; HookKind=PlayerMobileReference; GuardList=; Access=; Command=; Handler=; DisabledEvidence=True; DependencyEvidence=Clone Offline Player Characters-&gt;PlayerMobile Core;DirectReference;Data/Scripts/Custom/PvE/CloneOfflinePlayerCharacters/CharacterClone.cs:L16:PlayerMobile</t>
  </si>
  <si>
    <t>HistoricalFile=Data/Scripts/Custom/CloneOfflinePlayerCharacters/CharacterClone.cs; Risk=Save;Runtime;Player; POST-BATCH-K is audit/runtime-surface triage only. No command names, gump button IDs, PlayerMobile fields, region policy, XML/config, save layout, or gameplay behavior changed.</t>
  </si>
  <si>
    <t>RB-05223</t>
  </si>
  <si>
    <t>P10-F05223</t>
  </si>
  <si>
    <t>PBX-0014</t>
  </si>
  <si>
    <t>Current source line evidence: Data/Scripts/Custom/PvE/CloneOfflinePlayerCharacters/CloneOfflinePlayerCharacters.cs:L28:PlayerMobile playerMobile = mobile as PlayerMobile; || Prior POST-BATCH-K evidence: CurrentFile=Data/Scripts/Custom/PvE/CloneOfflinePlayerCharacters/CloneOfflinePlayerCharacters.cs; Line=28; SourceLine=PlayerMobile playerMobile = mobile as PlayerMobile;; PathResolution=PostBatchHMove:Data/Scripts/Custom/CloneOfflinePlayerCharacters-&gt;Data/Scripts/Custom/PvE/CloneOfflinePlayerCharacters; MatchQuality=DependencyGraphPlayerMobileFileLine; HookKind=PlayerMobileReference; GuardList=; Access=; Command=; Handler=; DisabledEvidence=False; DependencyEvidence=Clone Offline Player Characters-&gt;PlayerMobile Core;DirectReference;Data/Scripts/Custom/PvE/CloneOfflinePlayerCharacters/CloneOfflinePlayerCharacters.cs:L28:PlayerMobile || DependencyEvidence: Clone Offline Player Characters-&gt;PlayerMobile Core;DirectReference;Data/Scripts/Custom/PvE/CloneOfflinePlayerCharacters/CloneOfflinePlayerCharacters.cs:L28:PlayerMobile || RuntimeHookEvidence: Data/Scripts/Custom/PvE/CloneOfflinePlayerCharacters/CloneOfflinePlayerCharacters.cs:L19:Initialize:Initialize | Data/Scripts/Custom/PvE/CloneOfflinePlayerCharacters/CloneOfflinePlayerCharacters.cs:L21:Event:EventSink | Data/Scripts/Custom/PvE/CloneOfflinePlayerCharacters/CloneOfflinePlayerCharacters.cs:L22:Event:EventSink || SerializationEvidence: No serialization-register rows for file.</t>
  </si>
  <si>
    <t>PreviousPostAuditBatch=POST-BATCH-K; PreviousReviewRowId=PBK-2320; CouplingKind=PlayerMobilePropertyStateAccess; ReviewClass=PlayerStateAccessPolicyResolvedNoChange; FutureSourceBatchNeeded=No.</t>
  </si>
  <si>
    <t>RB-05224</t>
  </si>
  <si>
    <t>P10-F05224</t>
  </si>
  <si>
    <t>Data/Scripts/Custom/NPC Control/CloneCommands.cs</t>
  </si>
  <si>
    <t>PBX-0015</t>
  </si>
  <si>
    <t>Current source line evidence: Data/Scripts/Custom/NPC Control/CloneCommands.cs:L89:PlayerMobile player = controller as PlayerMobile; || Prior POST-BATCH-K evidence: CurrentFile=Data/Scripts/Custom/NPC Control/CloneCommands.cs; Line=89; SourceLine=PlayerMobile player = controller as PlayerMobile;; PathResolution=OriginalPathCurrent; MatchQuality=DependencyGraphPlayerMobileFileLine; HookKind=PlayerMobileReference; GuardList=; Access=; Command=; Handler=; DisabledEvidence=False; DependencyEvidence=Clone Offline Player Characters-&gt;PlayerMobile Core;DirectReference;Data/Scripts/Custom/NPC Control/CloneCommands.cs:L89:PlayerMobile || DependencyEvidence: Clone Offline Player Characters-&gt;PlayerMobile Core;DirectReference;Data/Scripts/Custom/NPC Control/CloneCommands.cs:L89:PlayerMobile || RuntimeHookEvidence: Data/Scripts/Custom/NPC Control/CloneCommands.cs:L19:Initialize:Initialize | Data/Scripts/Custom/NPC Control/CloneCommands.cs:L21:Command:CommandSystem.Register | Data/Scripts/Custom/NPC Control/CloneCommands.cs:L22:Command:CommandSystem.Register || SerializationEvidence: SerializationRegisterRows=2; Server.Commands.CloneItem;Item;Serialize:L1179;Deserialize:L1189;Risk=NamespaceOrTypeRenameDanger | Server.Commands.ControlItem;Item;Serialize:L1413;Deserialize:L1443;Risk=NamespaceOrTypeRenameDanger</t>
  </si>
  <si>
    <t>PreviousPostAuditBatch=POST-BATCH-K; PreviousReviewRowId=PBK-2321; CouplingKind=PlayerTypeCheckOrCast; ReviewClass=DirectPlayerTypePolicyResolvedNoChange; FutureSourceBatchNeeded=No.</t>
  </si>
  <si>
    <t>RB-05225</t>
  </si>
  <si>
    <t>P10-F05225</t>
  </si>
  <si>
    <t>Data/Scripts/Trades/Core/CraftItem.cs</t>
  </si>
  <si>
    <t>PBX-0016</t>
  </si>
  <si>
    <t>Current source line evidence: Data/Scripts/Trades/Core/CraftItem.cs:L1100:|| !(from is PlayerMobile) || Prior POST-BATCH-K evidence: CurrentFile=Data/Scripts/Trades/Core/CraftItem.cs; Line=1100; SourceLine=|| !(from is PlayerMobile); PathResolution=OriginalPathCurrent; MatchQuality=DependencyGraphPlayerMobileFileLine; HookKind=PlayerMobileReference; GuardList=; Access=; Command=; Handler=; DisabledEvidence=False; DependencyEvidence=Crafting Core-&gt;PlayerMobile Core;DirectReference;Data/Scripts/Trades/Core/CraftItem.cs:L1100:PlayerMobile || DependencyEvidence: Crafting Core-&gt;PlayerMobile Core;DirectReference;Data/Scripts/Trades/Core/CraftItem.cs:L1100:PlayerMobile || RuntimeHookEvidence: Data/Scripts/Trades/Core/CraftItem.cs:L3988:Timer:CustomTimerSubclass | Data/Scripts/Trades/Core/CraftItem.cs:L1149:Gump:SendGump | Data/Scripts/Trades/Core/CraftItem.cs:L1157:Gump:SendGump || SerializationEvidence: No serialization-register rows for file.</t>
  </si>
  <si>
    <t>PreviousPostAuditBatch=POST-BATCH-K; PreviousReviewRowId=PBK-2322; CouplingKind=PlayerTypeCheckOrCast; ReviewClass=DirectPlayerTypePolicyResolvedNoChange; FutureSourceBatchNeeded=No.</t>
  </si>
  <si>
    <t>RB-05226</t>
  </si>
  <si>
    <t>P10-F05226</t>
  </si>
  <si>
    <t>Data/Scripts/Trades/Core/Gumps/CraftGumpItem.cs</t>
  </si>
  <si>
    <t>PBX-0017</t>
  </si>
  <si>
    <t>Current source line evidence: Data/Scripts/Trades/Core/Gumps/CraftGumpItem.cs:L48:&amp;&amp; from is PlayerMobile || Prior POST-BATCH-K evidence: CurrentFile=Data/Scripts/Trades/Core/Gumps/CraftGumpItem.cs; Line=48; SourceLine=&amp;&amp; from is PlayerMobile; PathResolution=OriginalPathCurrent; MatchQuality=DependencyGraphPlayerMobileFileLine; HookKind=PlayerMobileReference; GuardList=; Access=; Command=; Handler=; DisabledEvidence=False; DependencyEvidence=Crafting Core-&gt;PlayerMobile Core;DirectReference;Data/Scripts/Trades/Core/Gumps/CraftGumpItem.cs:L48:PlayerMobile || DependencyEvidence: Crafting Core-&gt;PlayerMobile Core;DirectReference;Data/Scripts/Trades/Core/Gumps/CraftGumpItem.cs:L48:PlayerMobile || RuntimeHookEvidence: Data/Scripts/Trades/Core/Gumps/CraftGumpItem.cs:L444:Gump:OnResponse | Data/Scripts/Trades/Core/Gumps/CraftGumpItem.cs:L450:Gump:SendGump | Data/Scripts/Trades/Core/Gumps/CraftGumpItem.cs:L458:Gump:SendGump || SerializationEvidence: No serialization-register rows for file.</t>
  </si>
  <si>
    <t>PreviousPostAuditBatch=POST-BATCH-K; PreviousReviewRowId=PBK-2323; CouplingKind=PlayerTypeCheckOrCast; ReviewClass=DirectPlayerTypePolicyResolvedNoChange; FutureSourceBatchNeeded=No.</t>
  </si>
  <si>
    <t>RB-05227</t>
  </si>
  <si>
    <t>P10-F05227</t>
  </si>
  <si>
    <t>Data/Scripts/Trades/Core/Recipes.cs</t>
  </si>
  <si>
    <t>PBX-0018</t>
  </si>
  <si>
    <t>Current source line evidence: Data/Scripts/Trades/Core/Recipes.cs:L39:if (targeted is PlayerMobile) || Prior POST-BATCH-K evidence: CurrentFile=Data/Scripts/Trades/Core/Recipes.cs; Line=39; SourceLine=if (targeted is PlayerMobile); PathResolution=OriginalPathCurrent; MatchQuality=DependencyGraphPlayerMobileFileLine; HookKind=PlayerMobileReference; GuardList=; Access=; Command=; Handler=; DisabledEvidence=False; DependencyEvidence=Crafting Core-&gt;PlayerMobile Core;DirectReference;Data/Scripts/Trades/Core/Recipes.cs:L39:PlayerMobile || DependencyEvidence: Crafting Core-&gt;PlayerMobile Core;DirectReference;Data/Scripts/Trades/Core/Recipes.cs:L39:PlayerMobile || RuntimeHookEvidence: Data/Scripts/Trades/Core/Recipes.cs:L11:Initialize:Initialize | Data/Scripts/Trades/Core/Recipes.cs:L13:Command:CommandSystem.Register | Data/Scripts/Trades/Core/Recipes.cs:L18:Command:CommandSystem.Register || SerializationEvidence: No serialization-register rows for file.</t>
  </si>
  <si>
    <t>PreviousPostAuditBatch=POST-BATCH-K; PreviousReviewRowId=PBK-2324; CouplingKind=PvPRegionCombatPolicyCoupling; ReviewClass=PvPRegionCombatPolicyResolvedNoChange; FutureSourceBatchNeeded=No.</t>
  </si>
  <si>
    <t>RB-05229</t>
  </si>
  <si>
    <t>P10-F05229</t>
  </si>
  <si>
    <t>Doc:System Name: PvP Consent System</t>
  </si>
  <si>
    <t>PBX-0019</t>
  </si>
  <si>
    <t>No source change. Current source evidence does not support a real PlayerMobile coupling for this queued row.</t>
  </si>
  <si>
    <t>CurrentFile=Data/Scripts/Mobiles/Base/PlayerMobile.cs; Line=0; CurrentLine=; MatchQuality=CurrentFileOnly; no direct or context PlayerMobile source evidence for this row. || Prior POST-BATCH-K evidence: CurrentFile=Data/Scripts/Mobiles/Base/PlayerMobile.cs; Line=0; SourceLine=; PathResolution=OriginalPathCurrent; MatchQuality=CurrentFileOnly; HookKind=PlayerMobileReference; GuardList=; Access=; Command=; Handler=; DisabledEvidence=False; DependencyEvidence=DocsSourceTrace row points at PlayerMobile source; no direct dependency-graph line edge is expected for this documentation edge.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</si>
  <si>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PreviousReviewRowId=PBK-2325; CouplingKind=DocsOnlyOrStaleEvidence; ReviewClass=DocsOnlyOrCurrentFileOnlyFalsePositive; FutureSourceBatchNeeded=No.</t>
  </si>
  <si>
    <t>RB-05230</t>
  </si>
  <si>
    <t>P10-F05230</t>
  </si>
  <si>
    <t>PBX-0020</t>
  </si>
  <si>
    <t>PreviousPostAuditBatch=POST-BATCH-K; PreviousReviewRowId=PBK-2326; CouplingKind=DocsOnlyOrStaleEvidence; ReviewClass=DocsOnlyOrCurrentFileOnlyFalsePositive; FutureSourceBatchNeeded=No.</t>
  </si>
  <si>
    <t>RB-05231</t>
  </si>
  <si>
    <t>P10-F05231</t>
  </si>
  <si>
    <t>Data/Scripts/Custom/Government System/Gumps/AssistMayorGump.cs</t>
  </si>
  <si>
    <t>PBX-0021</t>
  </si>
  <si>
    <t>Current source line evidence: Data/Scripts/Custom/Government System/Gumps/AssistMayorGump.cs:L76:if (mob is PlayerMobile) || Prior POST-BATCH-K evidence: CurrentFile=Data/Scripts/Custom/Government System/Gumps/AssistMayorGump.cs; Line=76; SourceLine=if (mob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System/Gumps/AssistMayorGump.cs:L76:PlayerMobile || DependencyEvidence: Government-&gt;PlayerMobile Core;DirectReference;Data/Scripts/Custom/Government System/Gumps/AssistMayorGump.cs:L76:PlayerMobile || RuntimeHookEvidence: Data/Scripts/Custom/Government System/Gumps/AssistMayorGump.cs:L95:Gump:OnResponse | Data/Scripts/Custom/Government System/Gumps/AssistMayorGump.cs:L104:Gump:SendGump | Data/Scripts/Custom/Government System/Gumps/AssistMayorGump.cs:L110:Gump:SendGump || SerializationEvidence: No serialization-register rows for file.</t>
  </si>
  <si>
    <t>PreviousPostAuditBatch=POST-BATCH-K; PreviousReviewRowId=PBK-2327; CouplingKind=PlayerTypeCheckOrCast; ReviewClass=DirectPlayerTypePolicyResolvedNoChange; FutureSourceBatchNeeded=No.</t>
  </si>
  <si>
    <t>RB-05232</t>
  </si>
  <si>
    <t>P10-F05232</t>
  </si>
  <si>
    <t>Data/Scripts/Custom/Government System/Gumps/ConfirmDisbandCityGump.cs</t>
  </si>
  <si>
    <t>PBX-0022</t>
  </si>
  <si>
    <t>Current source line evidence: Data/Scripts/Custom/Government System/Gumps/ConfirmDisbandCityGump.cs:L50:PlayerMobile pm = (PlayerMobile)m; || Prior POST-BATCH-K evidence: CurrentFile=Data/Scripts/Custom/Government System/Gumps/ConfirmDisbandCityGump.cs; Line=50; SourceLine=PlayerMobile pm = (PlayerMobile)m;; PathResolution=OriginalPathCurrent; MatchQuality=DependencyGraphPlayerMobileFileLine; HookKind=PlayerMobileReference; GuardList=; Access=; Command=; Handler=; DisabledEvidence=False; DependencyEvidence=Government-&gt;PlayerMobile Core;DirectReference;Data/Scripts/Custom/Government System/Gumps/ConfirmDisbandCityGump.cs:L50:PlayerMobile || DependencyEvidence: Government-&gt;PlayerMobile Core;DirectReference;Data/Scripts/Custom/Government System/Gumps/ConfirmDisbandCityGump.cs:L50:PlayerMobile || RuntimeHookEvidence: Data/Scripts/Custom/Government System/Gumps/ConfirmDisbandCityGump.cs:L32:Gump:OnResponse | Data/Scripts/Custom/Government System/Gumps/ConfirmDisbandCityGump.cs:L41:Gump:SendGump || SerializationEvidence: No serialization-register rows for file.</t>
  </si>
  <si>
    <t>PreviousPostAuditBatch=POST-BATCH-K; PreviousReviewRowId=PBK-2328; CouplingKind=PlayerTypeCheckOrCast; ReviewClass=DirectPlayerTypePolicyResolvedNoChange; FutureSourceBatchNeeded=No.</t>
  </si>
  <si>
    <t>RB-05233</t>
  </si>
  <si>
    <t>P10-F05233</t>
  </si>
  <si>
    <t>Data/Scripts/Custom/Government System/Gumps/ConfirmLeaveCityGump.cs</t>
  </si>
  <si>
    <t>PBX-0023</t>
  </si>
  <si>
    <t>Current source line evidence: Data/Scripts/Custom/Government System/Gumps/ConfirmLeaveCityGump.cs:L46:PlayerMobile pm = (PlayerMobile)from; || Prior POST-BATCH-K evidence: CurrentFile=Data/Scripts/Custom/Government System/Gumps/ConfirmLeaveCityGump.cs; Line=46;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System/Gumps/ConfirmLeaveCityGump.cs:L46:PlayerMobile || DependencyEvidence: Government-&gt;PlayerMobile Core;DirectReference;Data/Scripts/Custom/Government System/Gumps/ConfirmLeaveCityGump.cs:L46:PlayerMobile || RuntimeHookEvidence: Data/Scripts/Custom/Government System/Gumps/ConfirmLeaveCityGump.cs:L32:Gump:OnResponse | Data/Scripts/Custom/Government System/Gumps/ConfirmLeaveCityGump.cs:L41:Gump:SendGump || SerializationEvidence: No serialization-register rows for file.</t>
  </si>
  <si>
    <t>PreviousPostAuditBatch=POST-BATCH-K; PreviousReviewRowId=PBK-2329; CouplingKind=PlayerTypeCheckOrCast; ReviewClass=DirectPlayerTypePolicyResolvedNoChange; FutureSourceBatchNeeded=No.</t>
  </si>
  <si>
    <t>RB-05234</t>
  </si>
  <si>
    <t>P10-F05234</t>
  </si>
  <si>
    <t>Data/Scripts/Custom/Government System/Gumps/RemoveCityBanGump.cs</t>
  </si>
  <si>
    <t>PBX-0024</t>
  </si>
  <si>
    <t>Current source line evidence: Data/Scripts/Custom/Government System/Gumps/RemoveCityBanGump.cs:L76:if (mob is PlayerMobile) || Prior POST-BATCH-K evidence: CurrentFile=Data/Scripts/Custom/Government System/Gumps/RemoveCityBanGump.cs; Line=76; SourceLine=if (mob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System/Gumps/RemoveCityBanGump.cs:L76:PlayerMobile || DependencyEvidence: Government-&gt;PlayerMobile Core;DirectReference;Data/Scripts/Custom/Government System/Gumps/RemoveCityBanGump.cs:L76:PlayerMobile || RuntimeHookEvidence: Data/Scripts/Custom/Government System/Gumps/RemoveCityBanGump.cs:L95:Gump:OnResponse | Data/Scripts/Custom/Government System/Gumps/RemoveCityBanGump.cs:L104:Gump:SendGump | Data/Scripts/Custom/Government System/Gumps/RemoveCityBanGump.cs:L110:Gump:SendGump || SerializationEvidence: No serialization-register rows for file.</t>
  </si>
  <si>
    <t>PreviousPostAuditBatch=POST-BATCH-K; PreviousReviewRowId=PBK-2330; CouplingKind=PlayerTypeCheckOrCast; ReviewClass=DirectPlayerTypePolicyResolvedNoChange; FutureSourceBatchNeeded=No.</t>
  </si>
  <si>
    <t>RB-05235</t>
  </si>
  <si>
    <t>P10-F05235</t>
  </si>
  <si>
    <t>Data/Scripts/Custom/Government System/Gumps/RemoveMemberGump.cs</t>
  </si>
  <si>
    <t>PBX-0025</t>
  </si>
  <si>
    <t>Current source line evidence: Data/Scripts/Custom/Government System/Gumps/RemoveMemberGump.cs:L76:if (mob is PlayerMobile) || Prior POST-BATCH-K evidence: CurrentFile=Data/Scripts/Custom/Government System/Gumps/RemoveMemberGump.cs; Line=76; SourceLine=if (mob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System/Gumps/RemoveMemberGump.cs:L76:PlayerMobile || DependencyEvidence: Government-&gt;PlayerMobile Core;DirectReference;Data/Scripts/Custom/Government System/Gumps/RemoveMemberGump.cs:L76:PlayerMobile || RuntimeHookEvidence: Data/Scripts/Custom/Government System/Gumps/RemoveMemberGump.cs:L95:Gump:OnResponse | Data/Scripts/Custom/Government System/Gumps/RemoveMemberGump.cs:L104:Gump:SendGump | Data/Scripts/Custom/Government System/Gumps/RemoveMemberGump.cs:L110:Gump:SendGump || SerializationEvidence: No serialization-register rows for file.</t>
  </si>
  <si>
    <t>PreviousPostAuditBatch=POST-BATCH-K; PreviousReviewRowId=PBK-2331; CouplingKind=PlayerTypeCheckOrCast; ReviewClass=DirectPlayerTypePolicyResolvedNoChange; FutureSourceBatchNeeded=No.</t>
  </si>
  <si>
    <t>RB-05236</t>
  </si>
  <si>
    <t>P10-F05236</t>
  </si>
  <si>
    <t>Data/Scripts/Custom/Government System/Gumps/ViewCityBansGump.cs</t>
  </si>
  <si>
    <t>PBX-0026</t>
  </si>
  <si>
    <t>Current source line evidence: Data/Scripts/Custom/Government System/Gumps/ViewCityBansGump.cs:L76:if (mob is PlayerMobile) || Prior POST-BATCH-K evidence: CurrentFile=Data/Scripts/Custom/Government System/Gumps/ViewCityBansGump.cs; Line=76; SourceLine=if (mob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System/Gumps/ViewCityBansGump.cs:L76:PlayerMobile || DependencyEvidence: Government-&gt;PlayerMobile Core;DirectReference;Data/Scripts/Custom/Government System/Gumps/ViewCityBansGump.cs:L76:PlayerMobile || RuntimeHookEvidence: Data/Scripts/Custom/Government System/Gumps/ViewCityBansGump.cs:L94:Gump:OnResponse | Data/Scripts/Custom/Government System/Gumps/ViewCityBansGump.cs:L103:Gump:SendGump | Data/Scripts/Custom/Government System/Gumps/ViewCityBansGump.cs:L109:Gump:SendGump || SerializationEvidence: No serialization-register rows for file.</t>
  </si>
  <si>
    <t>PreviousPostAuditBatch=POST-BATCH-K; PreviousReviewRowId=PBK-2332; CouplingKind=PlayerTypeCheckOrCast; ReviewClass=DirectPlayerTypePolicyResolvedNoChange; FutureSourceBatchNeeded=No.</t>
  </si>
  <si>
    <t>RB-05237</t>
  </si>
  <si>
    <t>P10-F05237</t>
  </si>
  <si>
    <t>Data/Scripts/Custom/Government System/Gumps/ViewCityMembersGump.cs</t>
  </si>
  <si>
    <t>PBX-0027</t>
  </si>
  <si>
    <t>Current source line evidence: Data/Scripts/Custom/Government System/Gumps/ViewCityMembersGump.cs:L76:if (mob is PlayerMobile) || Prior POST-BATCH-K evidence: CurrentFile=Data/Scripts/Custom/Government System/Gumps/ViewCityMembersGump.cs; Line=76; SourceLine=if (mob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System/Gumps/ViewCityMembersGump.cs:L76:PlayerMobile || DependencyEvidence: Government-&gt;PlayerMobile Core;DirectReference;Data/Scripts/Custom/Government System/Gumps/ViewCityMembersGump.cs:L76:PlayerMobile || RuntimeHookEvidence: Data/Scripts/Custom/Government System/Gumps/ViewCityMembersGump.cs:L94:Gump:OnResponse | Data/Scripts/Custom/Government System/Gumps/ViewCityMembersGump.cs:L106:Gump:SendGump | Data/Scripts/Custom/Government System/Gumps/ViewCityMembersGump.cs:L111:Gump:SendGump || SerializationEvidence: No serialization-register rows for file.</t>
  </si>
  <si>
    <t>PreviousPostAuditBatch=POST-BATCH-K; PreviousReviewRowId=PBK-2333; CouplingKind=PlayerTypeCheckOrCast; ReviewClass=DirectPlayerTypePolicyResolvedNoChange; FutureSourceBatchNeeded=No.</t>
  </si>
  <si>
    <t>RB-05238</t>
  </si>
  <si>
    <t>P10-F05238</t>
  </si>
  <si>
    <t>PBX-0028</t>
  </si>
  <si>
    <t>Current source line evidence: Data/Scripts/Custom/Government System/Items/Deeds/CityDeed.cs:L206:PlayerMobile pm = (PlayerMobile)from; || Prior POST-BATCH-K evidence: CurrentFile=Data/Scripts/Custom/Government System/Items/Deeds/CityDeed.cs; Line=206;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System/Items/Deeds/CityDeed.cs:L206:PlayerMobile || DependencyEvidence: Government-&gt;PlayerMobile Core;DirectReference;Data/Scripts/Custom/Government System/Items/Deeds/CityDeed.cs:L206:PlayerMobile || RuntimeHookEvidence: No runtime-hook-map row matched this file. || SerializationEvidence: SerializationRegisterRows=1; Server.Items.CityDeed;Deed;Serialize:L3619;Deserialize:L3632;Risk=UnknownUntilSaveTest</t>
  </si>
  <si>
    <t>PreviousPostAuditBatch=POST-BATCH-K; PreviousReviewRowId=PBK-2334; CouplingKind=PlayerTypeCheckOrCast; ReviewClass=DirectPlayerTypePolicyResolvedNoChange; FutureSourceBatchNeeded=No.</t>
  </si>
  <si>
    <t>RB-05239</t>
  </si>
  <si>
    <t>P10-F05239</t>
  </si>
  <si>
    <t>Data/Scripts/Custom/Government System/Items/Deeds/Stock Deeds/Banks/AsianCityBankDeed.cs</t>
  </si>
  <si>
    <t>PBX-0029</t>
  </si>
  <si>
    <t>Current source line evidence: Data/Scripts/Custom/Government System/Items/Deeds/Stock Deeds/Banks/AsianCityBankDeed.cs:L26:PlayerMobile pm = (PlayerMobile)from; || Prior POST-BATCH-K evidence: CurrentFile=Data/Scripts/Custom/Government System/Items/Deeds/Stock Deeds/Banks/AsianCityBankDeed.cs;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Deeds/Banks/AsianCityBankDeed.cs:L26:PlayerMobile || DependencyEvidence: Government-&gt;PlayerMobile Core;DirectReference;Data/Scripts/Custom/Government System/Items/Deeds/Stock Deeds/Banks/AsianCityBankDeed.cs:L26:PlayerMobile || RuntimeHookEvidence: No runtime-hook-map row matched this file. || SerializationEvidence: SerializationRegisterRows=1; Server.Items.AsianCityBankDeed;Deed;Serialize:L74;Deserialize:L81;Risk=UnknownUntilSaveTest</t>
  </si>
  <si>
    <t>PreviousPostAuditBatch=POST-BATCH-K; PreviousReviewRowId=PBK-2335; CouplingKind=PlayerTypeCheckOrCast; ReviewClass=DirectPlayerTypePolicyResolvedNoChange; FutureSourceBatchNeeded=No.</t>
  </si>
  <si>
    <t>RB-05240</t>
  </si>
  <si>
    <t>P10-F05240</t>
  </si>
  <si>
    <t>Data/Scripts/Custom/Government System/Items/Deeds/Stock Deeds/Banks/FieldstoneCityBankDeed.cs</t>
  </si>
  <si>
    <t>PBX-0030</t>
  </si>
  <si>
    <t>Current source line evidence: Data/Scripts/Custom/Government System/Items/Deeds/Stock Deeds/Banks/FieldstoneCityBankDeed.cs:L26:PlayerMobile pm = (PlayerMobile)from; || Prior POST-BATCH-K evidence: CurrentFile=Data/Scripts/Custom/Government System/Items/Deeds/Stock Deeds/Banks/FieldstoneCityBankDeed.cs;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Deeds/Banks/FieldstoneCityBankDeed.cs:L26:PlayerMobile || DependencyEvidence: Government-&gt;PlayerMobile Core;DirectReference;Data/Scripts/Custom/Government System/Items/Deeds/Stock Deeds/Banks/FieldstoneCityBankDeed.cs:L26:PlayerMobile || RuntimeHookEvidence: No runtime-hook-map row matched this file. || SerializationEvidence: SerializationRegisterRows=1; Server.Items.FieldstoneCityBankDeed;Deed;Serialize:L74;Deserialize:L81;Risk=UnknownUntilSaveTest</t>
  </si>
  <si>
    <t>PreviousPostAuditBatch=POST-BATCH-K; PreviousReviewRowId=PBK-2336; CouplingKind=PlayerTypeCheckOrCast; ReviewClass=DirectPlayerTypePolicyResolvedNoChange; FutureSourceBatchNeeded=No.</t>
  </si>
  <si>
    <t>RB-05241</t>
  </si>
  <si>
    <t>P10-F05241</t>
  </si>
  <si>
    <t>Data/Scripts/Custom/Government System/Items/Deeds/Stock Deeds/Banks/MarbleCityBankDeed.cs</t>
  </si>
  <si>
    <t>PBX-0031</t>
  </si>
  <si>
    <t>Current source line evidence: Data/Scripts/Custom/Government System/Items/Deeds/Stock Deeds/Banks/MarbleCityBankDeed.cs:L26:PlayerMobile pm = (PlayerMobile)from; || Prior POST-BATCH-K evidence: CurrentFile=Data/Scripts/Custom/Government System/Items/Deeds/Stock Deeds/Banks/MarbleCityBankDeed.cs;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Deeds/Banks/MarbleCityBankDeed.cs:L26:PlayerMobile || DependencyEvidence: Government-&gt;PlayerMobile Core;DirectReference;Data/Scripts/Custom/Government System/Items/Deeds/Stock Deeds/Banks/MarbleCityBankDeed.cs:L26:PlayerMobile || RuntimeHookEvidence: No runtime-hook-map row matched this file. || SerializationEvidence: SerializationRegisterRows=1; Server.Items.MarbleCityBankDeed;Deed;Serialize:L74;Deserialize:L81;Risk=UnknownUntilSaveTest</t>
  </si>
  <si>
    <t>PreviousPostAuditBatch=POST-BATCH-K; PreviousReviewRowId=PBK-2337; CouplingKind=PlayerTypeCheckOrCast; ReviewClass=DirectPlayerTypePolicyResolvedNoChange; FutureSourceBatchNeeded=No.</t>
  </si>
  <si>
    <t>RB-05242</t>
  </si>
  <si>
    <t>P10-F05242</t>
  </si>
  <si>
    <t>Data/Scripts/Custom/Government System/Items/Deeds/Stock Deeds/Banks/NecroCityBankDeed.cs</t>
  </si>
  <si>
    <t>PBX-0032</t>
  </si>
  <si>
    <t>Current source line evidence: Data/Scripts/Custom/Government System/Items/Deeds/Stock Deeds/Banks/NecroCityBankDeed.cs:L26:PlayerMobile pm = (PlayerMobile)from; || Prior POST-BATCH-K evidence: CurrentFile=Data/Scripts/Custom/Government System/Items/Deeds/Stock Deeds/Banks/NecroCityBankDeed.cs;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Deeds/Banks/NecroCityBankDeed.cs:L26:PlayerMobile || DependencyEvidence: Government-&gt;PlayerMobile Core;DirectReference;Data/Scripts/Custom/Government System/Items/Deeds/Stock Deeds/Banks/NecroCityBankDeed.cs:L26:PlayerMobile || RuntimeHookEvidence: No runtime-hook-map row matched this file. || SerializationEvidence: SerializationRegisterRows=1; Server.Items.NecroCityBankDeed;Deed;Serialize:L74;Deserialize:L81;Risk=UnknownUntilSaveTest</t>
  </si>
  <si>
    <t>PreviousPostAuditBatch=POST-BATCH-K; PreviousReviewRowId=PBK-2338; CouplingKind=PlayerTypeCheckOrCast; ReviewClass=DirectPlayerTypePolicyResolvedNoChange; FutureSourceBatchNeeded=No.</t>
  </si>
  <si>
    <t>RB-05243</t>
  </si>
  <si>
    <t>P10-F05243</t>
  </si>
  <si>
    <t>Data/Scripts/Custom/Government System/Items/Deeds/Stock Deeds/Banks/PlasterCityBankDeed.cs</t>
  </si>
  <si>
    <t>PBX-0033</t>
  </si>
  <si>
    <t>Current source line evidence: Data/Scripts/Custom/Government System/Items/Deeds/Stock Deeds/Banks/PlasterCityBankDeed.cs:L26:PlayerMobile pm = (PlayerMobile)from; || Prior POST-BATCH-K evidence: CurrentFile=Data/Scripts/Custom/Government System/Items/Deeds/Stock Deeds/Banks/PlasterCityBankDeed.cs;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Deeds/Banks/PlasterCityBankDeed.cs:L26:PlayerMobile || DependencyEvidence: Government-&gt;PlayerMobile Core;DirectReference;Data/Scripts/Custom/Government System/Items/Deeds/Stock Deeds/Banks/PlasterCityBankDeed.cs:L26:PlayerMobile || RuntimeHookEvidence: No runtime-hook-map row matched this file. || SerializationEvidence: SerializationRegisterRows=1; Server.Items.PlasterCityBankDeed;Deed;Serialize:L74;Deserialize:L81;Risk=UnknownUntilSaveTest</t>
  </si>
  <si>
    <t>PreviousPostAuditBatch=POST-BATCH-K; PreviousReviewRowId=PBK-2339; CouplingKind=PlayerTypeCheckOrCast; ReviewClass=DirectPlayerTypePolicyResolvedNoChange; FutureSourceBatchNeeded=No.</t>
  </si>
  <si>
    <t>RB-05244</t>
  </si>
  <si>
    <t>P10-F05244</t>
  </si>
  <si>
    <t>Data/Scripts/Custom/Government System/Items/Deeds/Stock Deeds/Banks/SandstoneCityBankDeed.cs</t>
  </si>
  <si>
    <t>PBX-0034</t>
  </si>
  <si>
    <t>Current source line evidence: Data/Scripts/Custom/Government System/Items/Deeds/Stock Deeds/Banks/SandstoneCityBankDeed.cs:L26:PlayerMobile pm = (PlayerMobile)from; || Prior POST-BATCH-K evidence: CurrentFile=Data/Scripts/Custom/Government System/Items/Deeds/Stock Deeds/Banks/SandstoneCityBankDeed.cs;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Deeds/Banks/SandstoneCityBankDeed.cs:L26:PlayerMobile || DependencyEvidence: Government-&gt;PlayerMobile Core;DirectReference;Data/Scripts/Custom/Government System/Items/Deeds/Stock Deeds/Banks/SandstoneCityBankDeed.cs:L26:PlayerMobile || RuntimeHookEvidence: No runtime-hook-map row matched this file. || SerializationEvidence: SerializationRegisterRows=1; Server.Items.SandstoneCityBankDeed;Deed;Serialize:L74;Deserialize:L81;Risk=UnknownUntilSaveTest</t>
  </si>
  <si>
    <t>PreviousPostAuditBatch=POST-BATCH-K; PreviousReviewRowId=PBK-2340; CouplingKind=PlayerTypeCheckOrCast; ReviewClass=DirectPlayerTypePolicyResolvedNoChange; FutureSourceBatchNeeded=No.</t>
  </si>
  <si>
    <t>RB-05245</t>
  </si>
  <si>
    <t>P10-F05245</t>
  </si>
  <si>
    <t>Data/Scripts/Custom/Government System/Items/Deeds/Stock Deeds/Banks/StoneCityBankDeed.cs</t>
  </si>
  <si>
    <t>PBX-0035</t>
  </si>
  <si>
    <t>Current source line evidence: Data/Scripts/Custom/Government System/Items/Deeds/Stock Deeds/Banks/StoneCityBankDeed.cs:L26:PlayerMobile pm = (PlayerMobile)from; || Prior POST-BATCH-K evidence: CurrentFile=Data/Scripts/Custom/Government System/Items/Deeds/Stock Deeds/Banks/StoneCityBankDeed.cs;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Deeds/Banks/StoneCityBankDeed.cs:L26:PlayerMobile || DependencyEvidence: Government-&gt;PlayerMobile Core;DirectReference;Data/Scripts/Custom/Government System/Items/Deeds/Stock Deeds/Banks/StoneCityBankDeed.cs:L26:PlayerMobile || RuntimeHookEvidence: No runtime-hook-map row matched this file. || SerializationEvidence: SerializationRegisterRows=1; Server.Items.StoneCityBankDeed;Deed;Serialize:L74;Deserialize:L81;Risk=UnknownUntilSaveTest</t>
  </si>
  <si>
    <t>PreviousPostAuditBatch=POST-BATCH-K; PreviousReviewRowId=PBK-2341; CouplingKind=PlayerTypeCheckOrCast; ReviewClass=DirectPlayerTypePolicyResolvedNoChange; FutureSourceBatchNeeded=No.</t>
  </si>
  <si>
    <t>RB-05246</t>
  </si>
  <si>
    <t>P10-F05246</t>
  </si>
  <si>
    <t>Data/Scripts/Custom/Government System/Items/Deeds/Stock Deeds/Banks/WoodCityBankDeed.cs</t>
  </si>
  <si>
    <t>PBX-0036</t>
  </si>
  <si>
    <t>Current source line evidence: Data/Scripts/Custom/Government System/Items/Deeds/Stock Deeds/Banks/WoodCityBankDeed.cs:L26:PlayerMobile pm = (PlayerMobile)from; || Prior POST-BATCH-K evidence: CurrentFile=Data/Scripts/Custom/Government System/Items/Deeds/Stock Deeds/Banks/WoodCityBankDeed.cs;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Deeds/Banks/WoodCityBankDeed.cs:L26:PlayerMobile || DependencyEvidence: Government-&gt;PlayerMobile Core;DirectReference;Data/Scripts/Custom/Government System/Items/Deeds/Stock Deeds/Banks/WoodCityBankDeed.cs:L26:PlayerMobile || RuntimeHookEvidence: No runtime-hook-map row matched this file. || SerializationEvidence: SerializationRegisterRows=1; Server.Items.WoodCityBankDeed;Deed;Serialize:L74;Deserialize:L81;Risk=UnknownUntilSaveTest</t>
  </si>
  <si>
    <t>PreviousPostAuditBatch=POST-BATCH-K; PreviousReviewRowId=PBK-2342; CouplingKind=PlayerTypeCheckOrCast; ReviewClass=DirectPlayerTypePolicyResolvedNoChange; FutureSourceBatchNeeded=No.</t>
  </si>
  <si>
    <t>RB-05247</t>
  </si>
  <si>
    <t>P10-F05247</t>
  </si>
  <si>
    <t>Data/Scripts/Custom/Government System/Items/Deeds/Stock Deeds/Healers/AsianCityHealerDeed.cs</t>
  </si>
  <si>
    <t>PBX-0037</t>
  </si>
  <si>
    <t>Current source line evidence: Data/Scripts/Custom/Government System/Items/Deeds/Stock Deeds/Healers/AsianCityHealerDeed.cs:L26:PlayerMobile pm = (PlayerMobile)from; || Prior POST-BATCH-K evidence: CurrentFile=Data/Scripts/Custom/Government System/Items/Deeds/Stock Deeds/Healers/AsianCityHealerDeed.cs;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Deeds/Healers/AsianCityHealerDeed.cs:L26:PlayerMobile || DependencyEvidence: Government-&gt;PlayerMobile Core;DirectReference;Data/Scripts/Custom/Government System/Items/Deeds/Stock Deeds/Healers/AsianCityHealerDeed.cs:L26:PlayerMobile || RuntimeHookEvidence: No runtime-hook-map row matched this file. || SerializationEvidence: SerializationRegisterRows=1; Server.Items.AsianCityHealerDeed;Deed;Serialize:L74;Deserialize:L81;Risk=UnknownUntilSaveTest</t>
  </si>
  <si>
    <t>PreviousPostAuditBatch=POST-BATCH-K; PreviousReviewRowId=PBK-2343; CouplingKind=PlayerTypeCheckOrCast; ReviewClass=DirectPlayerTypePolicyResolvedNoChange; FutureSourceBatchNeeded=No.</t>
  </si>
  <si>
    <t>RB-05248</t>
  </si>
  <si>
    <t>P10-F05248</t>
  </si>
  <si>
    <t>Data/Scripts/Custom/Government System/Items/Deeds/Stock Deeds/Healers/FieldstoneCityHealerDeed.cs</t>
  </si>
  <si>
    <t>PBX-0038</t>
  </si>
  <si>
    <t>Current source line evidence: Data/Scripts/Custom/Government System/Items/Deeds/Stock Deeds/Healers/FieldstoneCityHealerDeed.cs:L26:PlayerMobile pm = (PlayerMobile)from; || Prior POST-BATCH-K evidence: CurrentFile=Data/Scripts/Custom/Government System/Items/Deeds/Stock Deeds/Healers/FieldstoneCityHealerDeed.cs;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Deeds/Healers/FieldstoneCityHealerDeed.cs:L26:PlayerMobile || DependencyEvidence: Government-&gt;PlayerMobile Core;DirectReference;Data/Scripts/Custom/Government System/Items/Deeds/Stock Deeds/Healers/FieldstoneCityHealerDeed.cs:L26:PlayerMobile || RuntimeHookEvidence: No runtime-hook-map row matched this file. || SerializationEvidence: SerializationRegisterRows=1; Server.Items.FieldstoneCityHealerDeed;Deed;Serialize:L74;Deserialize:L81;Risk=UnknownUntilSaveTest</t>
  </si>
  <si>
    <t>PreviousPostAuditBatch=POST-BATCH-K; PreviousReviewRowId=PBK-2344; CouplingKind=PlayerTypeCheckOrCast; ReviewClass=DirectPlayerTypePolicyResolvedNoChange; FutureSourceBatchNeeded=No.</t>
  </si>
  <si>
    <t>RB-05249</t>
  </si>
  <si>
    <t>P10-F05249</t>
  </si>
  <si>
    <t>Data/Scripts/Custom/Government System/Items/Deeds/Stock Deeds/Healers/MarbleCityHealerDeed.cs</t>
  </si>
  <si>
    <t>PBX-0039</t>
  </si>
  <si>
    <t>Current source line evidence: Data/Scripts/Custom/Government System/Items/Deeds/Stock Deeds/Healers/MarbleCityHealerDeed.cs:L26:PlayerMobile pm = (PlayerMobile)from; || Prior POST-BATCH-K evidence: CurrentFile=Data/Scripts/Custom/Government System/Items/Deeds/Stock Deeds/Healers/MarbleCityHealerDeed.cs;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Deeds/Healers/MarbleCityHealerDeed.cs:L26:PlayerMobile || DependencyEvidence: Government-&gt;PlayerMobile Core;DirectReference;Data/Scripts/Custom/Government System/Items/Deeds/Stock Deeds/Healers/MarbleCityHealerDeed.cs:L26:PlayerMobile || RuntimeHookEvidence: No runtime-hook-map row matched this file. || SerializationEvidence: SerializationRegisterRows=1; Server.Items.MarbleCityHealerDeed;Deed;Serialize:L74;Deserialize:L81;Risk=UnknownUntilSaveTest</t>
  </si>
  <si>
    <t>PreviousPostAuditBatch=POST-BATCH-K; PreviousReviewRowId=PBK-2345; CouplingKind=PlayerTypeCheckOrCast; ReviewClass=DirectPlayerTypePolicyResolvedNoChange; FutureSourceBatchNeeded=No.</t>
  </si>
  <si>
    <t>RB-05250</t>
  </si>
  <si>
    <t>P10-F05250</t>
  </si>
  <si>
    <t>Data/Scripts/Custom/Government System/Items/Deeds/Stock Deeds/Healers/NecroCityHealerDeed.cs</t>
  </si>
  <si>
    <t>PBX-0040</t>
  </si>
  <si>
    <t>Current source line evidence: Data/Scripts/Custom/Government System/Items/Deeds/Stock Deeds/Healers/NecroCityHealerDeed.cs:L26:PlayerMobile pm = (PlayerMobile)from; || Prior POST-BATCH-K evidence: CurrentFile=Data/Scripts/Custom/Government System/Items/Deeds/Stock Deeds/Healers/NecroCityHealerDeed.cs;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Deeds/Healers/NecroCityHealerDeed.cs:L26:PlayerMobile || DependencyEvidence: Government-&gt;PlayerMobile Core;DirectReference;Data/Scripts/Custom/Government System/Items/Deeds/Stock Deeds/Healers/NecroCityHealerDeed.cs:L26:PlayerMobile || RuntimeHookEvidence: No runtime-hook-map row matched this file. || SerializationEvidence: SerializationRegisterRows=1; Server.Items.NecroCityHealerDeed;Deed;Serialize:L74;Deserialize:L81;Risk=UnknownUntilSaveTest</t>
  </si>
  <si>
    <t>PreviousPostAuditBatch=POST-BATCH-K; PreviousReviewRowId=PBK-2346; CouplingKind=PlayerTypeCheckOrCast; ReviewClass=DirectPlayerTypePolicyResolvedNoChange; FutureSourceBatchNeeded=No.</t>
  </si>
  <si>
    <t>RB-05251</t>
  </si>
  <si>
    <t>P10-F05251</t>
  </si>
  <si>
    <t>Data/Scripts/Custom/Government System/Items/Deeds/Stock Deeds/Healers/PlasterCityHealerDeed.cs</t>
  </si>
  <si>
    <t>PBX-0041</t>
  </si>
  <si>
    <t>Current source line evidence: Data/Scripts/Custom/Government System/Items/Deeds/Stock Deeds/Healers/PlasterCityHealerDeed.cs:L26:PlayerMobile pm = (PlayerMobile)from; || Prior POST-BATCH-K evidence: CurrentFile=Data/Scripts/Custom/Government System/Items/Deeds/Stock Deeds/Healers/PlasterCityHealerDeed.cs;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Deeds/Healers/PlasterCityHealerDeed.cs:L26:PlayerMobile || DependencyEvidence: Government-&gt;PlayerMobile Core;DirectReference;Data/Scripts/Custom/Government System/Items/Deeds/Stock Deeds/Healers/PlasterCityHealerDeed.cs:L26:PlayerMobile || RuntimeHookEvidence: No runtime-hook-map row matched this file. || SerializationEvidence: SerializationRegisterRows=1; Server.Items.PlasterCityHealerDeed;Deed;Serialize:L74;Deserialize:L81;Risk=UnknownUntilSaveTest</t>
  </si>
  <si>
    <t>PreviousPostAuditBatch=POST-BATCH-K; PreviousReviewRowId=PBK-2347; CouplingKind=PlayerTypeCheckOrCast; ReviewClass=DirectPlayerTypePolicyResolvedNoChange; FutureSourceBatchNeeded=No.</t>
  </si>
  <si>
    <t>RB-05252</t>
  </si>
  <si>
    <t>P10-F05252</t>
  </si>
  <si>
    <t>Data/Scripts/Custom/Government System/Items/Deeds/Stock Deeds/Healers/SandstoneCityHealerDeed.cs</t>
  </si>
  <si>
    <t>PBX-0042</t>
  </si>
  <si>
    <t>Current source line evidence: Data/Scripts/Custom/Government System/Items/Deeds/Stock Deeds/Healers/SandstoneCityHealerDeed.cs:L26:PlayerMobile pm = (PlayerMobile)from; || Prior POST-BATCH-K evidence: CurrentFile=Data/Scripts/Custom/Government System/Items/Deeds/Stock Deeds/Healers/SandstoneCityHealerDeed.cs;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Deeds/Healers/SandstoneCityHealerDeed.cs:L26:PlayerMobile || DependencyEvidence: Government-&gt;PlayerMobile Core;DirectReference;Data/Scripts/Custom/Government System/Items/Deeds/Stock Deeds/Healers/SandstoneCityHealerDeed.cs:L26:PlayerMobile || RuntimeHookEvidence: No runtime-hook-map row matched this file. || SerializationEvidence: SerializationRegisterRows=1; Server.Items.SandstoneCityHealerDeed;Deed;Serialize:L74;Deserialize:L81;Risk=UnknownUntilSaveTest</t>
  </si>
  <si>
    <t>PreviousPostAuditBatch=POST-BATCH-K; PreviousReviewRowId=PBK-2348; CouplingKind=PlayerTypeCheckOrCast; ReviewClass=DirectPlayerTypePolicyResolvedNoChange; FutureSourceBatchNeeded=No.</t>
  </si>
  <si>
    <t>RB-05253</t>
  </si>
  <si>
    <t>P10-F05253</t>
  </si>
  <si>
    <t>Data/Scripts/Custom/Government System/Items/Deeds/Stock Deeds/Healers/StoneCityHealerDeed.cs</t>
  </si>
  <si>
    <t>PBX-0043</t>
  </si>
  <si>
    <t>Current source line evidence: Data/Scripts/Custom/Government System/Items/Deeds/Stock Deeds/Healers/StoneCityHealerDeed.cs:L26:PlayerMobile pm = (PlayerMobile)from; || Prior POST-BATCH-K evidence: CurrentFile=Data/Scripts/Custom/Government System/Items/Deeds/Stock Deeds/Healers/StoneCityHealerDeed.cs;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Deeds/Healers/StoneCityHealerDeed.cs:L26:PlayerMobile || DependencyEvidence: Government-&gt;PlayerMobile Core;DirectReference;Data/Scripts/Custom/Government System/Items/Deeds/Stock Deeds/Healers/StoneCityHealerDeed.cs:L26:PlayerMobile || RuntimeHookEvidence: No runtime-hook-map row matched this file. || SerializationEvidence: SerializationRegisterRows=1; Server.Items.StoneCityHealerDeed;Deed;Serialize:L74;Deserialize:L81;Risk=UnknownUntilSaveTest</t>
  </si>
  <si>
    <t>PreviousPostAuditBatch=POST-BATCH-K; PreviousReviewRowId=PBK-2349; CouplingKind=PlayerTypeCheckOrCast; ReviewClass=DirectPlayerTypePolicyResolvedNoChange; FutureSourceBatchNeeded=No.</t>
  </si>
  <si>
    <t>RB-05254</t>
  </si>
  <si>
    <t>P10-F05254</t>
  </si>
  <si>
    <t>Data/Scripts/Custom/Government System/Items/Deeds/Stock Deeds/Healers/WoodCityHealerDeed.cs</t>
  </si>
  <si>
    <t>PBX-0044</t>
  </si>
  <si>
    <t>Current source line evidence: Data/Scripts/Custom/Government System/Items/Deeds/Stock Deeds/Healers/WoodCityHealerDeed.cs:L26:PlayerMobile pm = (PlayerMobile)from; || Prior POST-BATCH-K evidence: CurrentFile=Data/Scripts/Custom/Government System/Items/Deeds/Stock Deeds/Healers/WoodCityHealerDeed.cs;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Deeds/Healers/WoodCityHealerDeed.cs:L26:PlayerMobile || DependencyEvidence: Government-&gt;PlayerMobile Core;DirectReference;Data/Scripts/Custom/Government System/Items/Deeds/Stock Deeds/Healers/WoodCityHealerDeed.cs:L26:PlayerMobile || RuntimeHookEvidence: No runtime-hook-map row matched this file. || SerializationEvidence: SerializationRegisterRows=1; Server.Items.WoodCityHealerDeed;Deed;Serialize:L74;Deserialize:L81;Risk=UnknownUntilSaveTest</t>
  </si>
  <si>
    <t>PreviousPostAuditBatch=POST-BATCH-K; PreviousReviewRowId=PBK-2350; CouplingKind=PlayerTypeCheckOrCast; ReviewClass=DirectPlayerTypePolicyResolvedNoChange; FutureSourceBatchNeeded=No.</t>
  </si>
  <si>
    <t>RB-05255</t>
  </si>
  <si>
    <t>P10-F05255</t>
  </si>
  <si>
    <t>Data/Scripts/Custom/Government System/Items/Deeds/Stock Deeds/Markets/AsianCityMarketDeed.cs</t>
  </si>
  <si>
    <t>PBX-0045</t>
  </si>
  <si>
    <t>Current source line evidence: Data/Scripts/Custom/Government System/Items/Deeds/Stock Deeds/Markets/AsianCityMarketDeed.cs:L22:PlayerMobile pm = (PlayerMobile)from; || Prior POST-BATCH-K evidence: CurrentFile=Data/Scripts/Custom/Government System/Items/Deeds/Stock Deeds/Markets/AsianCityMarketDeed.cs;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Deeds/Markets/AsianCityMarketDeed.cs:L22:PlayerMobile || DependencyEvidence: Government-&gt;PlayerMobile Core;DirectReference;Data/Scripts/Custom/Government System/Items/Deeds/Stock Deeds/Markets/AsianCityMarketDeed.cs:L22:PlayerMobile || RuntimeHookEvidence: No runtime-hook-map row matched this file. || SerializationEvidence: SerializationRegisterRows=1; Server.Items.AsianCityMarketDeed;Deed;Serialize:L70;Deserialize:L77;Risk=UnknownUntilSaveTest</t>
  </si>
  <si>
    <t>PreviousPostAuditBatch=POST-BATCH-K; PreviousReviewRowId=PBK-2351; CouplingKind=PlayerTypeCheckOrCast; ReviewClass=DirectPlayerTypePolicyResolvedNoChange; FutureSourceBatchNeeded=No.</t>
  </si>
  <si>
    <t>RB-05256</t>
  </si>
  <si>
    <t>P10-F05256</t>
  </si>
  <si>
    <t>Data/Scripts/Custom/Government System/Items/Deeds/Stock Deeds/Markets/FieldstoneCityMarketDeed.cs</t>
  </si>
  <si>
    <t>PBX-0046</t>
  </si>
  <si>
    <t>Current source line evidence: Data/Scripts/Custom/Government System/Items/Deeds/Stock Deeds/Markets/FieldstoneCityMarketDeed.cs:L22:PlayerMobile pm = (PlayerMobile)from; || Prior POST-BATCH-K evidence: CurrentFile=Data/Scripts/Custom/Government System/Items/Deeds/Stock Deeds/Markets/FieldstoneCityMarketDeed.cs;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Deeds/Markets/FieldstoneCityMarketDeed.cs:L22:PlayerMobile || DependencyEvidence: Government-&gt;PlayerMobile Core;DirectReference;Data/Scripts/Custom/Government System/Items/Deeds/Stock Deeds/Markets/FieldstoneCityMarketDeed.cs:L22:PlayerMobile || RuntimeHookEvidence: No runtime-hook-map row matched this file. || SerializationEvidence: SerializationRegisterRows=1; Server.Items.FieldStoneCityMarketDeed;Deed;Serialize:L70;Deserialize:L77;Risk=UnknownUntilSaveTest</t>
  </si>
  <si>
    <t>PreviousPostAuditBatch=POST-BATCH-K; PreviousReviewRowId=PBK-2352; CouplingKind=PlayerTypeCheckOrCast; ReviewClass=DirectPlayerTypePolicyResolvedNoChange; FutureSourceBatchNeeded=No.</t>
  </si>
  <si>
    <t>RB-05257</t>
  </si>
  <si>
    <t>P10-F05257</t>
  </si>
  <si>
    <t>Data/Scripts/Custom/Government System/Items/Deeds/Stock Deeds/Markets/MarbleCityMarketDeed.cs</t>
  </si>
  <si>
    <t>PBX-0047</t>
  </si>
  <si>
    <t>Current source line evidence: Data/Scripts/Custom/Government System/Items/Deeds/Stock Deeds/Markets/MarbleCityMarketDeed.cs:L22:PlayerMobile pm = (PlayerMobile)from; || Prior POST-BATCH-K evidence: CurrentFile=Data/Scripts/Custom/Government System/Items/Deeds/Stock Deeds/Markets/MarbleCityMarketDeed.cs;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Deeds/Markets/MarbleCityMarketDeed.cs:L22:PlayerMobile || DependencyEvidence: Government-&gt;PlayerMobile Core;DirectReference;Data/Scripts/Custom/Government System/Items/Deeds/Stock Deeds/Markets/MarbleCityMarketDeed.cs:L22:PlayerMobile || RuntimeHookEvidence: No runtime-hook-map row matched this file. || SerializationEvidence: SerializationRegisterRows=1; Server.Items.MarbleCityMarketDeed;Deed;Serialize:L70;Deserialize:L77;Risk=UnknownUntilSaveTest</t>
  </si>
  <si>
    <t>PreviousPostAuditBatch=POST-BATCH-K; PreviousReviewRowId=PBK-2353; CouplingKind=PlayerTypeCheckOrCast; ReviewClass=DirectPlayerTypePolicyResolvedNoChange; FutureSourceBatchNeeded=No.</t>
  </si>
  <si>
    <t>RB-05258</t>
  </si>
  <si>
    <t>P10-F05258</t>
  </si>
  <si>
    <t>Data/Scripts/Custom/Government System/Items/Deeds/Stock Deeds/Markets/NecroCityMarketDeed.cs</t>
  </si>
  <si>
    <t>PBX-0048</t>
  </si>
  <si>
    <t>Current source line evidence: Data/Scripts/Custom/Government System/Items/Deeds/Stock Deeds/Markets/NecroCityMarketDeed.cs:L22:PlayerMobile pm = (PlayerMobile)from; || Prior POST-BATCH-K evidence: CurrentFile=Data/Scripts/Custom/Government System/Items/Deeds/Stock Deeds/Markets/NecroCityMarketDeed.cs;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Deeds/Markets/NecroCityMarketDeed.cs:L22:PlayerMobile || DependencyEvidence: Government-&gt;PlayerMobile Core;DirectReference;Data/Scripts/Custom/Government System/Items/Deeds/Stock Deeds/Markets/NecroCityMarketDeed.cs:L22:PlayerMobile || RuntimeHookEvidence: No runtime-hook-map row matched this file. || SerializationEvidence: SerializationRegisterRows=1; Server.Items.NecroCityMarketDeed;Deed;Serialize:L70;Deserialize:L77;Risk=UnknownUntilSaveTest</t>
  </si>
  <si>
    <t>PreviousPostAuditBatch=POST-BATCH-K; PreviousReviewRowId=PBK-2354; CouplingKind=PlayerTypeCheckOrCast; ReviewClass=DirectPlayerTypePolicyResolvedNoChange; FutureSourceBatchNeeded=No.</t>
  </si>
  <si>
    <t>RB-05259</t>
  </si>
  <si>
    <t>P10-F05259</t>
  </si>
  <si>
    <t>Data/Scripts/Custom/Government System/Items/Deeds/Stock Deeds/Markets/PlasterCityMarketDeed.cs</t>
  </si>
  <si>
    <t>PBX-0049</t>
  </si>
  <si>
    <t>Current source line evidence: Data/Scripts/Custom/Government System/Items/Deeds/Stock Deeds/Markets/PlasterCityMarketDeed.cs:L22:PlayerMobile pm = (PlayerMobile)from; || Prior POST-BATCH-K evidence: CurrentFile=Data/Scripts/Custom/Government System/Items/Deeds/Stock Deeds/Markets/PlasterCityMarketDeed.cs;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Deeds/Markets/PlasterCityMarketDeed.cs:L22:PlayerMobile || DependencyEvidence: Government-&gt;PlayerMobile Core;DirectReference;Data/Scripts/Custom/Government System/Items/Deeds/Stock Deeds/Markets/PlasterCityMarketDeed.cs:L22:PlayerMobile || RuntimeHookEvidence: No runtime-hook-map row matched this file. || SerializationEvidence: SerializationRegisterRows=1; Server.Items.PlasterCityMarketDeed;Deed;Serialize:L70;Deserialize:L77;Risk=UnknownUntilSaveTest</t>
  </si>
  <si>
    <t>PreviousPostAuditBatch=POST-BATCH-K; PreviousReviewRowId=PBK-2355; CouplingKind=PlayerTypeCheckOrCast; ReviewClass=DirectPlayerTypePolicyResolvedNoChange; FutureSourceBatchNeeded=No.</t>
  </si>
  <si>
    <t>RB-05260</t>
  </si>
  <si>
    <t>P10-F05260</t>
  </si>
  <si>
    <t>Data/Scripts/Custom/Government System/Items/Deeds/Stock Deeds/Markets/SandstoneCityMarketDeed.cs</t>
  </si>
  <si>
    <t>PBX-0050</t>
  </si>
  <si>
    <t>Current source line evidence: Data/Scripts/Custom/Government System/Items/Deeds/Stock Deeds/Markets/SandstoneCityMarketDeed.cs:L22:PlayerMobile pm = (PlayerMobile)from; || Prior POST-BATCH-K evidence: CurrentFile=Data/Scripts/Custom/Government System/Items/Deeds/Stock Deeds/Markets/SandstoneCityMarketDeed.cs;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Deeds/Markets/SandstoneCityMarketDeed.cs:L22:PlayerMobile || DependencyEvidence: Government-&gt;PlayerMobile Core;DirectReference;Data/Scripts/Custom/Government System/Items/Deeds/Stock Deeds/Markets/SandstoneCityMarketDeed.cs:L22:PlayerMobile || RuntimeHookEvidence: No runtime-hook-map row matched this file. || SerializationEvidence: SerializationRegisterRows=1; Server.Items.SandstoneCityMarketDeed;Deed;Serialize:L70;Deserialize:L77;Risk=UnknownUntilSaveTest</t>
  </si>
  <si>
    <t>PreviousPostAuditBatch=POST-BATCH-K; PreviousReviewRowId=PBK-2356; CouplingKind=PlayerTypeCheckOrCast; ReviewClass=DirectPlayerTypePolicyResolvedNoChange; FutureSourceBatchNeeded=No.</t>
  </si>
  <si>
    <t>RB-05261</t>
  </si>
  <si>
    <t>P10-F05261</t>
  </si>
  <si>
    <t>Data/Scripts/Custom/Government System/Items/Deeds/Stock Deeds/Markets/StoneCityMarketDeed.cs</t>
  </si>
  <si>
    <t>PBX-0051</t>
  </si>
  <si>
    <t>Current source line evidence: Data/Scripts/Custom/Government System/Items/Deeds/Stock Deeds/Markets/StoneCityMarketDeed.cs:L22:PlayerMobile pm = (PlayerMobile)from; || Prior POST-BATCH-K evidence: CurrentFile=Data/Scripts/Custom/Government System/Items/Deeds/Stock Deeds/Markets/StoneCityMarketDeed.cs;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Deeds/Markets/StoneCityMarketDeed.cs:L22:PlayerMobile || DependencyEvidence: Government-&gt;PlayerMobile Core;DirectReference;Data/Scripts/Custom/Government System/Items/Deeds/Stock Deeds/Markets/StoneCityMarketDeed.cs:L22:PlayerMobile || RuntimeHookEvidence: No runtime-hook-map row matched this file. || SerializationEvidence: SerializationRegisterRows=1; Server.Items.StoneCityMarketDeed;Deed;Serialize:L70;Deserialize:L77;Risk=UnknownUntilSaveTest</t>
  </si>
  <si>
    <t>PreviousPostAuditBatch=POST-BATCH-K; PreviousReviewRowId=PBK-2357; CouplingKind=PlayerTypeCheckOrCast; ReviewClass=DirectPlayerTypePolicyResolvedNoChange; FutureSourceBatchNeeded=No.</t>
  </si>
  <si>
    <t>RB-05262</t>
  </si>
  <si>
    <t>P10-F05262</t>
  </si>
  <si>
    <t>Data/Scripts/Custom/Government System/Items/Deeds/Stock Deeds/Markets/WoodCityMarketDeed.cs</t>
  </si>
  <si>
    <t>PBX-0052</t>
  </si>
  <si>
    <t>Current source line evidence: Data/Scripts/Custom/Government System/Items/Deeds/Stock Deeds/Markets/WoodCityMarketDeed.cs:L22:PlayerMobile pm = (PlayerMobile)from; || Prior POST-BATCH-K evidence: CurrentFile=Data/Scripts/Custom/Government System/Items/Deeds/Stock Deeds/Markets/WoodCityMarketDeed.cs; Line=22;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Deeds/Markets/WoodCityMarketDeed.cs:L22:PlayerMobile || DependencyEvidence: Government-&gt;PlayerMobile Core;DirectReference;Data/Scripts/Custom/Government System/Items/Deeds/Stock Deeds/Markets/WoodCityMarketDeed.cs:L22:PlayerMobile || RuntimeHookEvidence: No runtime-hook-map row matched this file. || SerializationEvidence: SerializationRegisterRows=1; Server.Items.WoodCityMarketDeed;Deed;Serialize:L70;Deserialize:L77;Risk=UnknownUntilSaveTest</t>
  </si>
  <si>
    <t>PreviousPostAuditBatch=POST-BATCH-K; PreviousReviewRowId=PBK-2358; CouplingKind=PlayerTypeCheckOrCast; ReviewClass=DirectPlayerTypePolicyResolvedNoChange; FutureSourceBatchNeeded=No.</t>
  </si>
  <si>
    <t>RB-05263</t>
  </si>
  <si>
    <t>P10-F05263</t>
  </si>
  <si>
    <t>Data/Scripts/Custom/Government System/Items/Deeds/Stock Deeds/Moongates/AsianCityMoongateDeed.cs</t>
  </si>
  <si>
    <t>PBX-0053</t>
  </si>
  <si>
    <t>Current source line evidence: Data/Scripts/Custom/Government System/Items/Deeds/Stock Deeds/Moongates/AsianCityMoongateDeed.cs:L26:PlayerMobile pm = (PlayerMobile)from; || Prior POST-BATCH-K evidence: CurrentFile=Data/Scripts/Custom/Government System/Items/Deeds/Stock Deeds/Moongates/AsianCityMoongateDeed.cs;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Deeds/Moongates/AsianCityMoongateDeed.cs:L26:PlayerMobile || DependencyEvidence: Government-&gt;PlayerMobile Core;DirectReference;Data/Scripts/Custom/Government System/Items/Deeds/Stock Deeds/Moongates/AsianCityMoongateDeed.cs:L26:PlayerMobile || RuntimeHookEvidence: No runtime-hook-map row matched this file. || SerializationEvidence: SerializationRegisterRows=1; Server.Items.AsianCityMoongateDeed;Deed;Serialize:L74;Deserialize:L81;Risk=UnknownUntilSaveTest</t>
  </si>
  <si>
    <t>PreviousPostAuditBatch=POST-BATCH-K; PreviousReviewRowId=PBK-2359; CouplingKind=PlayerTypeCheckOrCast; ReviewClass=DirectPlayerTypePolicyResolvedNoChange; FutureSourceBatchNeeded=No.</t>
  </si>
  <si>
    <t>RB-05264</t>
  </si>
  <si>
    <t>P10-F05264</t>
  </si>
  <si>
    <t>Data/Scripts/Custom/Government System/Items/Deeds/Stock Deeds/Moongates/MarbleCityMoongateDeed.cs</t>
  </si>
  <si>
    <t>PBX-0054</t>
  </si>
  <si>
    <t>Current source line evidence: Data/Scripts/Custom/Government System/Items/Deeds/Stock Deeds/Moongates/MarbleCityMoongateDeed.cs:L26:PlayerMobile pm = (PlayerMobile)from; || Prior POST-BATCH-K evidence: CurrentFile=Data/Scripts/Custom/Government System/Items/Deeds/Stock Deeds/Moongates/MarbleCityMoongateDeed.cs;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Deeds/Moongates/MarbleCityMoongateDeed.cs:L26:PlayerMobile || DependencyEvidence: Government-&gt;PlayerMobile Core;DirectReference;Data/Scripts/Custom/Government System/Items/Deeds/Stock Deeds/Moongates/MarbleCityMoongateDeed.cs:L26:PlayerMobile || RuntimeHookEvidence: No runtime-hook-map row matched this file. || SerializationEvidence: SerializationRegisterRows=1; Server.Items.MarbleCityMoongateDeed;Deed;Serialize:L74;Deserialize:L81;Risk=UnknownUntilSaveTest</t>
  </si>
  <si>
    <t>PreviousPostAuditBatch=POST-BATCH-K; PreviousReviewRowId=PBK-2360; CouplingKind=PlayerTypeCheckOrCast; ReviewClass=DirectPlayerTypePolicyResolvedNoChange; FutureSourceBatchNeeded=No.</t>
  </si>
  <si>
    <t>RB-05265</t>
  </si>
  <si>
    <t>P10-F05265</t>
  </si>
  <si>
    <t>Data/Scripts/Custom/Government System/Items/Deeds/Stock Deeds/Moongates/NecroCityMoongateDeed.cs</t>
  </si>
  <si>
    <t>PBX-0055</t>
  </si>
  <si>
    <t>Current source line evidence: Data/Scripts/Custom/Government System/Items/Deeds/Stock Deeds/Moongates/NecroCityMoongateDeed.cs:L26:PlayerMobile pm = (PlayerMobile)from; || Prior POST-BATCH-K evidence: CurrentFile=Data/Scripts/Custom/Government System/Items/Deeds/Stock Deeds/Moongates/NecroCityMoongateDeed.cs;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Deeds/Moongates/NecroCityMoongateDeed.cs:L26:PlayerMobile || DependencyEvidence: Government-&gt;PlayerMobile Core;DirectReference;Data/Scripts/Custom/Government System/Items/Deeds/Stock Deeds/Moongates/NecroCityMoongateDeed.cs:L26:PlayerMobile || RuntimeHookEvidence: No runtime-hook-map row matched this file. || SerializationEvidence: SerializationRegisterRows=1; Server.Items.NecroCityMoongateDeed;Deed;Serialize:L74;Deserialize:L81;Risk=UnknownUntilSaveTest</t>
  </si>
  <si>
    <t>PreviousPostAuditBatch=POST-BATCH-K; PreviousReviewRowId=PBK-2361; CouplingKind=PlayerTypeCheckOrCast; ReviewClass=DirectPlayerTypePolicyResolvedNoChange; FutureSourceBatchNeeded=No.</t>
  </si>
  <si>
    <t>RB-05266</t>
  </si>
  <si>
    <t>P10-F05266</t>
  </si>
  <si>
    <t>Data/Scripts/Custom/Government System/Items/Deeds/Stock Deeds/Moongates/SandstoneCityMoongateDeed.cs</t>
  </si>
  <si>
    <t>PBX-0056</t>
  </si>
  <si>
    <t>Current source line evidence: Data/Scripts/Custom/Government System/Items/Deeds/Stock Deeds/Moongates/SandstoneCityMoongateDeed.cs:L26:PlayerMobile pm = (PlayerMobile)from; || Prior POST-BATCH-K evidence: CurrentFile=Data/Scripts/Custom/Government System/Items/Deeds/Stock Deeds/Moongates/SandstoneCityMoongateDeed.cs;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Deeds/Moongates/SandstoneCityMoongateDeed.cs:L26:PlayerMobile || DependencyEvidence: Government-&gt;PlayerMobile Core;DirectReference;Data/Scripts/Custom/Government System/Items/Deeds/Stock Deeds/Moongates/SandstoneCityMoongateDeed.cs:L26:PlayerMobile || RuntimeHookEvidence: No runtime-hook-map row matched this file. || SerializationEvidence: SerializationRegisterRows=1; Server.Items.SandstoneCityMoongateDeed;Deed;Serialize:L74;Deserialize:L81;Risk=UnknownUntilSaveTest</t>
  </si>
  <si>
    <t>PreviousPostAuditBatch=POST-BATCH-K; PreviousReviewRowId=PBK-2362; CouplingKind=PlayerTypeCheckOrCast; ReviewClass=DirectPlayerTypePolicyResolvedNoChange; FutureSourceBatchNeeded=No.</t>
  </si>
  <si>
    <t>RB-05267</t>
  </si>
  <si>
    <t>P10-F05267</t>
  </si>
  <si>
    <t>Data/Scripts/Custom/Government System/Items/Deeds/Stock Deeds/Moongates/StoneCityMoongateDeed.cs</t>
  </si>
  <si>
    <t>PBX-0057</t>
  </si>
  <si>
    <t>Current source line evidence: Data/Scripts/Custom/Government System/Items/Deeds/Stock Deeds/Moongates/StoneCityMoongateDeed.cs:L26:PlayerMobile pm = (PlayerMobile)from; || Prior POST-BATCH-K evidence: CurrentFile=Data/Scripts/Custom/Government System/Items/Deeds/Stock Deeds/Moongates/StoneCityMoongateDeed.cs;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Deeds/Moongates/StoneCityMoongateDeed.cs:L26:PlayerMobile || DependencyEvidence: Government-&gt;PlayerMobile Core;DirectReference;Data/Scripts/Custom/Government System/Items/Deeds/Stock Deeds/Moongates/StoneCityMoongateDeed.cs:L26:PlayerMobile || RuntimeHookEvidence: No runtime-hook-map row matched this file. || SerializationEvidence: SerializationRegisterRows=1; Server.Items.StoneCityMoongateDeed;Deed;Serialize:L74;Deserialize:L81;Risk=UnknownUntilSaveTest</t>
  </si>
  <si>
    <t>PreviousPostAuditBatch=POST-BATCH-K; PreviousReviewRowId=PBK-2363; CouplingKind=PlayerTypeCheckOrCast; ReviewClass=DirectPlayerTypePolicyResolvedNoChange; FutureSourceBatchNeeded=No.</t>
  </si>
  <si>
    <t>RB-05268</t>
  </si>
  <si>
    <t>P10-F05268</t>
  </si>
  <si>
    <t>Data/Scripts/Custom/Government System/Items/Deeds/Stock Deeds/Moongates/WoodCityMoongateDeed.cs</t>
  </si>
  <si>
    <t>PBX-0058</t>
  </si>
  <si>
    <t>Current source line evidence: Data/Scripts/Custom/Government System/Items/Deeds/Stock Deeds/Moongates/WoodCityMoongateDeed.cs:L26:PlayerMobile pm = (PlayerMobile)from; || Prior POST-BATCH-K evidence: CurrentFile=Data/Scripts/Custom/Government System/Items/Deeds/Stock Deeds/Moongates/WoodCityMoongateDeed.cs;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Deeds/Moongates/WoodCityMoongateDeed.cs:L26:PlayerMobile || DependencyEvidence: Government-&gt;PlayerMobile Core;DirectReference;Data/Scripts/Custom/Government System/Items/Deeds/Stock Deeds/Moongates/WoodCityMoongateDeed.cs:L26:PlayerMobile || RuntimeHookEvidence: No runtime-hook-map row matched this file. || SerializationEvidence: SerializationRegisterRows=1; Server.Items.WoodCityMoongateDeed;Deed;Serialize:L74;Deserialize:L81;Risk=UnknownUntilSaveTest</t>
  </si>
  <si>
    <t>PreviousPostAuditBatch=POST-BATCH-K; PreviousReviewRowId=PBK-2364; CouplingKind=PlayerTypeCheckOrCast; ReviewClass=DirectPlayerTypePolicyResolvedNoChange; FutureSourceBatchNeeded=No.</t>
  </si>
  <si>
    <t>RB-05269</t>
  </si>
  <si>
    <t>P10-F05269</t>
  </si>
  <si>
    <t>Data/Scripts/Custom/Government System/Items/Deeds/Stock Deeds/Parks &amp; Gardens/LargeCityGardenDeed.cs</t>
  </si>
  <si>
    <t>PBX-0059</t>
  </si>
  <si>
    <t>Current source line evidence: Data/Scripts/Custom/Government System/Items/Deeds/Stock Deeds/Parks &amp; Gardens/LargeCityGardenDeed.cs:L26:PlayerMobile pm = (PlayerMobile)from; || Prior POST-BATCH-K evidence: CurrentFile=Data/Scripts/Custom/Government System/Items/Deeds/Stock Deeds/Parks &amp; Gardens/LargeCityGardenDeed.cs;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Gardens/LargeCityGardenDeed.cs:L26:PlayerMobile || DependencyEvidence: Government-&gt;PlayerMobile Core;DirectReference;Data/Scripts/Custom/Government System/Items/Deeds/Stock Deeds/Parks &amp; Gardens/LargeCityGardenDeed.cs:L26:PlayerMobile || RuntimeHookEvidence: No runtime-hook-map row matched this file. || SerializationEvidence: SerializationRegisterRows=1; Server.Items.LargeCityGardenDeed;Deed;Serialize:L68;Deserialize:L75;Risk=UnknownUntilSaveTest</t>
  </si>
  <si>
    <t>PreviousPostAuditBatch=POST-BATCH-K; PreviousReviewRowId=PBK-2365; CouplingKind=PlayerTypeCheckOrCast; ReviewClass=DirectPlayerTypePolicyResolvedNoChange; FutureSourceBatchNeeded=No.</t>
  </si>
  <si>
    <t>RB-05270</t>
  </si>
  <si>
    <t>P10-F05270</t>
  </si>
  <si>
    <t>Data/Scripts/Custom/Government System/Items/Deeds/Stock Deeds/Parks &amp; Gardens/LargeCityParkDeed.cs</t>
  </si>
  <si>
    <t>PBX-0060</t>
  </si>
  <si>
    <t>Current source line evidence: Data/Scripts/Custom/Government System/Items/Deeds/Stock Deeds/Parks &amp; Gardens/LargeCityParkDeed.cs:L26:PlayerMobile pm = (PlayerMobile)from; || Prior POST-BATCH-K evidence: CurrentFile=Data/Scripts/Custom/Government System/Items/Deeds/Stock Deeds/Parks &amp; Gardens/LargeCityParkDeed.cs;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Gardens/LargeCityParkDeed.cs:L26:PlayerMobile || DependencyEvidence: Government-&gt;PlayerMobile Core;DirectReference;Data/Scripts/Custom/Government System/Items/Deeds/Stock Deeds/Parks &amp; Gardens/LargeCityParkDeed.cs:L26:PlayerMobile || RuntimeHookEvidence: No runtime-hook-map row matched this file. || SerializationEvidence: SerializationRegisterRows=1; Server.Items.LargeCityParkDeed;Deed;Serialize:L68;Deserialize:L75;Risk=UnknownUntilSaveTest</t>
  </si>
  <si>
    <t>PreviousPostAuditBatch=POST-BATCH-K; PreviousReviewRowId=PBK-2366; CouplingKind=PlayerTypeCheckOrCast; ReviewClass=DirectPlayerTypePolicyResolvedNoChange; FutureSourceBatchNeeded=No.</t>
  </si>
  <si>
    <t>RB-05271</t>
  </si>
  <si>
    <t>P10-F05271</t>
  </si>
  <si>
    <t>Data/Scripts/Custom/Government System/Items/Deeds/Stock Deeds/Parks &amp; Gardens/MediumCityGardenDeed.cs</t>
  </si>
  <si>
    <t>PBX-0061</t>
  </si>
  <si>
    <t>Current source line evidence: Data/Scripts/Custom/Government System/Items/Deeds/Stock Deeds/Parks &amp; Gardens/MediumCityGardenDeed.cs:L26:PlayerMobile pm = (PlayerMobile)from; || Prior POST-BATCH-K evidence: CurrentFile=Data/Scripts/Custom/Government System/Items/Deeds/Stock Deeds/Parks &amp; Gardens/MediumCityGardenDeed.cs;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Gardens/MediumCityGardenDeed.cs:L26:PlayerMobile || DependencyEvidence: Government-&gt;PlayerMobile Core;DirectReference;Data/Scripts/Custom/Government System/Items/Deeds/Stock Deeds/Parks &amp; Gardens/MediumCityGardenDeed.cs:L26:PlayerMobile || RuntimeHookEvidence: No runtime-hook-map row matched this file. || SerializationEvidence: SerializationRegisterRows=1; Server.Items.MediumCityGardenDeed;Deed;Serialize:L68;Deserialize:L75;Risk=UnknownUntilSaveTest</t>
  </si>
  <si>
    <t>PreviousPostAuditBatch=POST-BATCH-K; PreviousReviewRowId=PBK-2367; CouplingKind=PlayerTypeCheckOrCast; ReviewClass=DirectPlayerTypePolicyResolvedNoChange; FutureSourceBatchNeeded=No.</t>
  </si>
  <si>
    <t>RB-05272</t>
  </si>
  <si>
    <t>P10-F05272</t>
  </si>
  <si>
    <t>Data/Scripts/Custom/Government System/Items/Deeds/Stock Deeds/Parks &amp; Gardens/MediumCityParkDeed.cs</t>
  </si>
  <si>
    <t>PBX-0062</t>
  </si>
  <si>
    <t>Current source line evidence: Data/Scripts/Custom/Government System/Items/Deeds/Stock Deeds/Parks &amp; Gardens/MediumCityParkDeed.cs:L26:PlayerMobile pm = (PlayerMobile)from; || Prior POST-BATCH-K evidence: CurrentFile=Data/Scripts/Custom/Government System/Items/Deeds/Stock Deeds/Parks &amp; Gardens/MediumCityParkDeed.cs;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Gardens/MediumCityParkDeed.cs:L26:PlayerMobile || DependencyEvidence: Government-&gt;PlayerMobile Core;DirectReference;Data/Scripts/Custom/Government System/Items/Deeds/Stock Deeds/Parks &amp; Gardens/MediumCityParkDeed.cs:L26:PlayerMobile || RuntimeHookEvidence: No runtime-hook-map row matched this file. || SerializationEvidence: SerializationRegisterRows=1; Server.Items.MediumCityParkDeed;Deed;Serialize:L68;Deserialize:L75;Risk=UnknownUntilSaveTest</t>
  </si>
  <si>
    <t>PreviousPostAuditBatch=POST-BATCH-K; PreviousReviewRowId=PBK-2368; CouplingKind=PlayerTypeCheckOrCast; ReviewClass=DirectPlayerTypePolicyResolvedNoChange; FutureSourceBatchNeeded=No.</t>
  </si>
  <si>
    <t>RB-05273</t>
  </si>
  <si>
    <t>P10-F05273</t>
  </si>
  <si>
    <t>Data/Scripts/Custom/Government System/Items/Deeds/Stock Deeds/Parks &amp; Gardens/SmallCityGardenDeed.cs</t>
  </si>
  <si>
    <t>PBX-0063</t>
  </si>
  <si>
    <t>Current source line evidence: Data/Scripts/Custom/Government System/Items/Deeds/Stock Deeds/Parks &amp; Gardens/SmallCityGardenDeed.cs:L26:PlayerMobile pm = (PlayerMobile)from; || Prior POST-BATCH-K evidence: CurrentFile=Data/Scripts/Custom/Government System/Items/Deeds/Stock Deeds/Parks &amp; Gardens/SmallCityGardenDeed.cs;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Gardens/SmallCityGardenDeed.cs:L26:PlayerMobile || DependencyEvidence: Government-&gt;PlayerMobile Core;DirectReference;Data/Scripts/Custom/Government System/Items/Deeds/Stock Deeds/Parks &amp; Gardens/SmallCityGardenDeed.cs:L26:PlayerMobile || RuntimeHookEvidence: No runtime-hook-map row matched this file. || SerializationEvidence: SerializationRegisterRows=1; Server.Items.SmallCityGardenDeed;Deed;Serialize:L68;Deserialize:L75;Risk=UnknownUntilSaveTest</t>
  </si>
  <si>
    <t>PreviousPostAuditBatch=POST-BATCH-K; PreviousReviewRowId=PBK-2369; CouplingKind=PlayerTypeCheckOrCast; ReviewClass=DirectPlayerTypePolicyResolvedNoChange; FutureSourceBatchNeeded=No.</t>
  </si>
  <si>
    <t>RB-05274</t>
  </si>
  <si>
    <t>P10-F05274</t>
  </si>
  <si>
    <t>Data/Scripts/Custom/Government System/Items/Deeds/Stock Deeds/Parks &amp; Gardens/SmallCityParkDeed.cs</t>
  </si>
  <si>
    <t>PBX-0064</t>
  </si>
  <si>
    <t>Current source line evidence: Data/Scripts/Custom/Government System/Items/Deeds/Stock Deeds/Parks &amp; Gardens/SmallCityParkDeed.cs:L26:PlayerMobile pm = (PlayerMobile)from; || Prior POST-BATCH-K evidence: CurrentFile=Data/Scripts/Custom/Government System/Items/Deeds/Stock Deeds/Parks &amp; Gardens/SmallCityParkDeed.cs;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Deeds/Parks &amp; Gardens/SmallCityParkDeed.cs:L26:PlayerMobile || DependencyEvidence: Government-&gt;PlayerMobile Core;DirectReference;Data/Scripts/Custom/Government System/Items/Deeds/Stock Deeds/Parks &amp; Gardens/SmallCityParkDeed.cs:L26:PlayerMobile || RuntimeHookEvidence: No runtime-hook-map row matched this file. || SerializationEvidence: SerializationRegisterRows=1; Server.Items.SmallCityParkDeed;Deed;Serialize:L68;Deserialize:L75;Risk=UnknownUntilSaveTest</t>
  </si>
  <si>
    <t>PreviousPostAuditBatch=POST-BATCH-K; PreviousReviewRowId=PBK-2370; CouplingKind=PlayerTypeCheckOrCast; ReviewClass=DirectPlayerTypePolicyResolvedNoChange; FutureSourceBatchNeeded=No.</t>
  </si>
  <si>
    <t>RB-05275</t>
  </si>
  <si>
    <t>P10-F05275</t>
  </si>
  <si>
    <t>Data/Scripts/Custom/Government System/Items/Deeds/Stock Deeds/Stable/AsainCityHealerDeed.cs</t>
  </si>
  <si>
    <t>PBX-0065</t>
  </si>
  <si>
    <t>Current source line evidence: Data/Scripts/Custom/Government System/Items/Deeds/Stock Deeds/Stable/AsainCityHealerDeed.cs:L26:PlayerMobile pm = (PlayerMobile)from; || Prior POST-BATCH-K evidence: CurrentFile=Data/Scripts/Custom/Government System/Items/Deeds/Stock Deeds/Stable/AsainCityHealerDeed.cs;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Deeds/Stable/AsainCityHealerDeed.cs:L26:PlayerMobile || DependencyEvidence: Government-&gt;PlayerMobile Core;DirectReference;Data/Scripts/Custom/Government System/Items/Deeds/Stock Deeds/Stable/AsainCityHealerDeed.cs:L26:PlayerMobile || RuntimeHookEvidence: No runtime-hook-map row matched this file. || SerializationEvidence: SerializationRegisterRows=1; Server.Items.AsianCityStableDeed;Deed;Serialize:L74;Deserialize:L81;Risk=UnknownUntilSaveTest</t>
  </si>
  <si>
    <t>PreviousPostAuditBatch=POST-BATCH-K; PreviousReviewRowId=PBK-2371; CouplingKind=PlayerTypeCheckOrCast; ReviewClass=DirectPlayerTypePolicyResolvedNoChange; FutureSourceBatchNeeded=No.</t>
  </si>
  <si>
    <t>RB-05276</t>
  </si>
  <si>
    <t>P10-F05276</t>
  </si>
  <si>
    <t>Data/Scripts/Custom/Government System/Items/Deeds/Stock Deeds/Stable/FieldstoneCityHealerDeed.cs</t>
  </si>
  <si>
    <t>PBX-0066</t>
  </si>
  <si>
    <t>Current source line evidence: Data/Scripts/Custom/Government System/Items/Deeds/Stock Deeds/Stable/FieldstoneCityHealerDeed.cs:L26:PlayerMobile pm = (PlayerMobile)from; || Prior POST-BATCH-K evidence: CurrentFile=Data/Scripts/Custom/Government System/Items/Deeds/Stock Deeds/Stable/FieldstoneCityHealerDeed.cs;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Deeds/Stable/FieldstoneCityHealerDeed.cs:L26:PlayerMobile || DependencyEvidence: Government-&gt;PlayerMobile Core;DirectReference;Data/Scripts/Custom/Government System/Items/Deeds/Stock Deeds/Stable/FieldstoneCityHealerDeed.cs:L26:PlayerMobile || RuntimeHookEvidence: No runtime-hook-map row matched this file. || SerializationEvidence: SerializationRegisterRows=1; Server.Items.FieldstoneCityStableDeed;Deed;Serialize:L74;Deserialize:L81;Risk=UnknownUntilSaveTest</t>
  </si>
  <si>
    <t>PreviousPostAuditBatch=POST-BATCH-K; PreviousReviewRowId=PBK-2372; CouplingKind=PlayerTypeCheckOrCast; ReviewClass=DirectPlayerTypePolicyResolvedNoChange; FutureSourceBatchNeeded=No.</t>
  </si>
  <si>
    <t>RB-05277</t>
  </si>
  <si>
    <t>P10-F05277</t>
  </si>
  <si>
    <t>Data/Scripts/Custom/Government System/Items/Deeds/Stock Deeds/Stable/MarbleCityHealerDeed.cs</t>
  </si>
  <si>
    <t>PBX-0067</t>
  </si>
  <si>
    <t>Current source line evidence: Data/Scripts/Custom/Government System/Items/Deeds/Stock Deeds/Stable/MarbleCityHealerDeed.cs:L26:PlayerMobile pm = (PlayerMobile)from; || Prior POST-BATCH-K evidence: CurrentFile=Data/Scripts/Custom/Government System/Items/Deeds/Stock Deeds/Stable/MarbleCityHealerDeed.cs;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Deeds/Stable/MarbleCityHealerDeed.cs:L26:PlayerMobile || DependencyEvidence: Government-&gt;PlayerMobile Core;DirectReference;Data/Scripts/Custom/Government System/Items/Deeds/Stock Deeds/Stable/MarbleCityHealerDeed.cs:L26:PlayerMobile || RuntimeHookEvidence: No runtime-hook-map row matched this file. || SerializationEvidence: SerializationRegisterRows=1; Server.Items.MarbleCityStableDeed;Deed;Serialize:L74;Deserialize:L81;Risk=UnknownUntilSaveTest</t>
  </si>
  <si>
    <t>PreviousPostAuditBatch=POST-BATCH-K; PreviousReviewRowId=PBK-2373; CouplingKind=PlayerTypeCheckOrCast; ReviewClass=DirectPlayerTypePolicyResolvedNoChange; FutureSourceBatchNeeded=No.</t>
  </si>
  <si>
    <t>RB-05278</t>
  </si>
  <si>
    <t>P10-F05278</t>
  </si>
  <si>
    <t>Data/Scripts/Custom/Government System/Items/Deeds/Stock Deeds/Stable/NecroCityHealerDeed.cs</t>
  </si>
  <si>
    <t>PBX-0068</t>
  </si>
  <si>
    <t>Current source line evidence: Data/Scripts/Custom/Government System/Items/Deeds/Stock Deeds/Stable/NecroCityHealerDeed.cs:L26:PlayerMobile pm = (PlayerMobile)from; || Prior POST-BATCH-K evidence: CurrentFile=Data/Scripts/Custom/Government System/Items/Deeds/Stock Deeds/Stable/NecroCityHealerDeed.cs;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Deeds/Stable/NecroCityHealerDeed.cs:L26:PlayerMobile || DependencyEvidence: Government-&gt;PlayerMobile Core;DirectReference;Data/Scripts/Custom/Government System/Items/Deeds/Stock Deeds/Stable/NecroCityHealerDeed.cs:L26:PlayerMobile || RuntimeHookEvidence: No runtime-hook-map row matched this file. || SerializationEvidence: SerializationRegisterRows=1; Server.Items.NecroCityStableDeed;Deed;Serialize:L74;Deserialize:L81;Risk=UnknownUntilSaveTest</t>
  </si>
  <si>
    <t>PreviousPostAuditBatch=POST-BATCH-K; PreviousReviewRowId=PBK-2374; CouplingKind=PlayerTypeCheckOrCast; ReviewClass=DirectPlayerTypePolicyResolvedNoChange; FutureSourceBatchNeeded=No.</t>
  </si>
  <si>
    <t>RB-05279</t>
  </si>
  <si>
    <t>P10-F05279</t>
  </si>
  <si>
    <t>Data/Scripts/Custom/Government System/Items/Deeds/Stock Deeds/Stable/PlasterCityHealerDeed.cs</t>
  </si>
  <si>
    <t>PBX-0069</t>
  </si>
  <si>
    <t>Current source line evidence: Data/Scripts/Custom/Government System/Items/Deeds/Stock Deeds/Stable/PlasterCityHealerDeed.cs:L26:PlayerMobile pm = (PlayerMobile)from; || Prior POST-BATCH-K evidence: CurrentFile=Data/Scripts/Custom/Government System/Items/Deeds/Stock Deeds/Stable/PlasterCityHealerDeed.cs;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Deeds/Stable/PlasterCityHealerDeed.cs:L26:PlayerMobile || DependencyEvidence: Government-&gt;PlayerMobile Core;DirectReference;Data/Scripts/Custom/Government System/Items/Deeds/Stock Deeds/Stable/PlasterCityHealerDeed.cs:L26:PlayerMobile || RuntimeHookEvidence: No runtime-hook-map row matched this file. || SerializationEvidence: SerializationRegisterRows=1; Server.Items.PlasterCityStableDeed;Deed;Serialize:L74;Deserialize:L81;Risk=UnknownUntilSaveTest</t>
  </si>
  <si>
    <t>PreviousPostAuditBatch=POST-BATCH-K; PreviousReviewRowId=PBK-2375; CouplingKind=PlayerTypeCheckOrCast; ReviewClass=DirectPlayerTypePolicyResolvedNoChange; FutureSourceBatchNeeded=No.</t>
  </si>
  <si>
    <t>RB-05280</t>
  </si>
  <si>
    <t>P10-F05280</t>
  </si>
  <si>
    <t>Data/Scripts/Custom/Government System/Items/Deeds/Stock Deeds/Stable/SandstoneCityHealerDeed.cs</t>
  </si>
  <si>
    <t>PBX-0070</t>
  </si>
  <si>
    <t>Current source line evidence: Data/Scripts/Custom/Government System/Items/Deeds/Stock Deeds/Stable/SandstoneCityHealerDeed.cs:L26:PlayerMobile pm = (PlayerMobile)from; || Prior POST-BATCH-K evidence: CurrentFile=Data/Scripts/Custom/Government System/Items/Deeds/Stock Deeds/Stable/SandstoneCityHealerDeed.cs;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Deeds/Stable/SandstoneCityHealerDeed.cs:L26:PlayerMobile || DependencyEvidence: Government-&gt;PlayerMobile Core;DirectReference;Data/Scripts/Custom/Government System/Items/Deeds/Stock Deeds/Stable/SandstoneCityHealerDeed.cs:L26:PlayerMobile || RuntimeHookEvidence: No runtime-hook-map row matched this file. || SerializationEvidence: SerializationRegisterRows=1; Server.Items.SandstoneCityStableDeed;Deed;Serialize:L74;Deserialize:L81;Risk=UnknownUntilSaveTest</t>
  </si>
  <si>
    <t>PreviousPostAuditBatch=POST-BATCH-K; PreviousReviewRowId=PBK-2376; CouplingKind=PlayerTypeCheckOrCast; ReviewClass=DirectPlayerTypePolicyResolvedNoChange; FutureSourceBatchNeeded=No.</t>
  </si>
  <si>
    <t>RB-05281</t>
  </si>
  <si>
    <t>P10-F05281</t>
  </si>
  <si>
    <t>Data/Scripts/Custom/Government System/Items/Deeds/Stock Deeds/Stable/StoneCityHealerDeed.cs</t>
  </si>
  <si>
    <t>PBX-0071</t>
  </si>
  <si>
    <t>Current source line evidence: Data/Scripts/Custom/Government System/Items/Deeds/Stock Deeds/Stable/StoneCityHealerDeed.cs:L26:PlayerMobile pm = (PlayerMobile)from; || Prior POST-BATCH-K evidence: CurrentFile=Data/Scripts/Custom/Government System/Items/Deeds/Stock Deeds/Stable/StoneCityHealerDeed.cs;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Deeds/Stable/StoneCityHealerDeed.cs:L26:PlayerMobile || DependencyEvidence: Government-&gt;PlayerMobile Core;DirectReference;Data/Scripts/Custom/Government System/Items/Deeds/Stock Deeds/Stable/StoneCityHealerDeed.cs:L26:PlayerMobile || RuntimeHookEvidence: No runtime-hook-map row matched this file. || SerializationEvidence: SerializationRegisterRows=1; Server.Items.StoneCityStableDeed;Deed;Serialize:L74;Deserialize:L81;Risk=UnknownUntilSaveTest</t>
  </si>
  <si>
    <t>PreviousPostAuditBatch=POST-BATCH-K; PreviousReviewRowId=PBK-2377; CouplingKind=PlayerTypeCheckOrCast; ReviewClass=DirectPlayerTypePolicyResolvedNoChange; FutureSourceBatchNeeded=No.</t>
  </si>
  <si>
    <t>RB-05282</t>
  </si>
  <si>
    <t>P10-F05282</t>
  </si>
  <si>
    <t>Data/Scripts/Custom/Government System/Items/Deeds/Stock Deeds/Stable/WoodCityHealerDeed.cs</t>
  </si>
  <si>
    <t>PBX-0072</t>
  </si>
  <si>
    <t>Current source line evidence: Data/Scripts/Custom/Government System/Items/Deeds/Stock Deeds/Stable/WoodCityHealerDeed.cs:L26:PlayerMobile pm = (PlayerMobile)from; || Prior POST-BATCH-K evidence: CurrentFile=Data/Scripts/Custom/Government System/Items/Deeds/Stock Deeds/Stable/WoodCityHealerDeed.cs;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Deeds/Stable/WoodCityHealerDeed.cs:L26:PlayerMobile || DependencyEvidence: Government-&gt;PlayerMobile Core;DirectReference;Data/Scripts/Custom/Government System/Items/Deeds/Stock Deeds/Stable/WoodCityHealerDeed.cs:L26:PlayerMobile || RuntimeHookEvidence: No runtime-hook-map row matched this file. || SerializationEvidence: SerializationRegisterRows=1; Server.Items.WoodCityStableDeed;Deed;Serialize:L74;Deserialize:L81;Risk=UnknownUntilSaveTest</t>
  </si>
  <si>
    <t>PreviousPostAuditBatch=POST-BATCH-K; PreviousReviewRowId=PBK-2378; CouplingKind=PlayerTypeCheckOrCast; ReviewClass=DirectPlayerTypePolicyResolvedNoChange; FutureSourceBatchNeeded=No.</t>
  </si>
  <si>
    <t>RB-05283</t>
  </si>
  <si>
    <t>P10-F05283</t>
  </si>
  <si>
    <t>Data/Scripts/Custom/Government System/Items/Deeds/Stock Deeds/Taverns/AsianCityTavernDeed.cs</t>
  </si>
  <si>
    <t>PBX-0073</t>
  </si>
  <si>
    <t>Current source line evidence: Data/Scripts/Custom/Government System/Items/Deeds/Stock Deeds/Taverns/AsianCityTavernDeed.cs:L26:PlayerMobile pm = (PlayerMobile)from; || Prior POST-BATCH-K evidence: CurrentFile=Data/Scripts/Custom/Government System/Items/Deeds/Stock Deeds/Taverns/AsianCityTavernDeed.cs;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Deeds/Taverns/AsianCityTavernDeed.cs:L26:PlayerMobile || DependencyEvidence: Government-&gt;PlayerMobile Core;DirectReference;Data/Scripts/Custom/Government System/Items/Deeds/Stock Deeds/Taverns/AsianCityTavernDeed.cs:L26:PlayerMobile || RuntimeHookEvidence: No runtime-hook-map row matched this file. || SerializationEvidence: SerializationRegisterRows=1; Server.Items.AsianCityTavernDeed;Deed;Serialize:L74;Deserialize:L81;Risk=UnknownUntilSaveTest</t>
  </si>
  <si>
    <t>PreviousPostAuditBatch=POST-BATCH-K; PreviousReviewRowId=PBK-2379; CouplingKind=PlayerTypeCheckOrCast; ReviewClass=DirectPlayerTypePolicyResolvedNoChange; FutureSourceBatchNeeded=No.</t>
  </si>
  <si>
    <t>RB-05284</t>
  </si>
  <si>
    <t>P10-F05284</t>
  </si>
  <si>
    <t>Data/Scripts/Custom/Government System/Items/Deeds/Stock Deeds/Taverns/FieldstoneCityTavernDeed.cs</t>
  </si>
  <si>
    <t>PBX-0074</t>
  </si>
  <si>
    <t>Current source line evidence: Data/Scripts/Custom/Government System/Items/Deeds/Stock Deeds/Taverns/FieldstoneCityTavernDeed.cs:L26:PlayerMobile pm = (PlayerMobile)from; || Prior POST-BATCH-K evidence: CurrentFile=Data/Scripts/Custom/Government System/Items/Deeds/Stock Deeds/Taverns/FieldstoneCityTavernDeed.cs;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Deeds/Taverns/FieldstoneCityTavernDeed.cs:L26:PlayerMobile || DependencyEvidence: Government-&gt;PlayerMobile Core;DirectReference;Data/Scripts/Custom/Government System/Items/Deeds/Stock Deeds/Taverns/FieldstoneCityTavernDeed.cs:L26:PlayerMobile || RuntimeHookEvidence: No runtime-hook-map row matched this file. || SerializationEvidence: SerializationRegisterRows=1; Server.Items.FieldstoneCityTavernDeed;Deed;Serialize:L74;Deserialize:L81;Risk=UnknownUntilSaveTest</t>
  </si>
  <si>
    <t>PreviousPostAuditBatch=POST-BATCH-K; PreviousReviewRowId=PBK-2380; CouplingKind=PlayerTypeCheckOrCast; ReviewClass=DirectPlayerTypePolicyResolvedNoChange; FutureSourceBatchNeeded=No.</t>
  </si>
  <si>
    <t>RB-05285</t>
  </si>
  <si>
    <t>P10-F05285</t>
  </si>
  <si>
    <t>Data/Scripts/Custom/Government System/Items/Deeds/Stock Deeds/Taverns/MarbleCityTavernDeed.cs</t>
  </si>
  <si>
    <t>PBX-0075</t>
  </si>
  <si>
    <t>Current source line evidence: Data/Scripts/Custom/Government System/Items/Deeds/Stock Deeds/Taverns/MarbleCityTavernDeed.cs:L26:PlayerMobile pm = (PlayerMobile)from; || Prior POST-BATCH-K evidence: CurrentFile=Data/Scripts/Custom/Government System/Items/Deeds/Stock Deeds/Taverns/MarbleCityTavernDeed.cs;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Deeds/Taverns/MarbleCityTavernDeed.cs:L26:PlayerMobile || DependencyEvidence: Government-&gt;PlayerMobile Core;DirectReference;Data/Scripts/Custom/Government System/Items/Deeds/Stock Deeds/Taverns/MarbleCityTavernDeed.cs:L26:PlayerMobile || RuntimeHookEvidence: No runtime-hook-map row matched this file. || SerializationEvidence: SerializationRegisterRows=1; Server.Items.MarbleCityTavernDeed;Deed;Serialize:L74;Deserialize:L81;Risk=UnknownUntilSaveTest</t>
  </si>
  <si>
    <t>PreviousPostAuditBatch=POST-BATCH-K; PreviousReviewRowId=PBK-2381; CouplingKind=PlayerTypeCheckOrCast; ReviewClass=DirectPlayerTypePolicyResolvedNoChange; FutureSourceBatchNeeded=No.</t>
  </si>
  <si>
    <t>RB-05286</t>
  </si>
  <si>
    <t>P10-F05286</t>
  </si>
  <si>
    <t>Data/Scripts/Custom/Government System/Items/Deeds/Stock Deeds/Taverns/NecroCityTavernDeed.cs</t>
  </si>
  <si>
    <t>PBX-0076</t>
  </si>
  <si>
    <t>Current source line evidence: Data/Scripts/Custom/Government System/Items/Deeds/Stock Deeds/Taverns/NecroCityTavernDeed.cs:L26:PlayerMobile pm = (PlayerMobile)from; || Prior POST-BATCH-K evidence: CurrentFile=Data/Scripts/Custom/Government System/Items/Deeds/Stock Deeds/Taverns/NecroCityTavernDeed.cs;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Deeds/Taverns/NecroCityTavernDeed.cs:L26:PlayerMobile || DependencyEvidence: Government-&gt;PlayerMobile Core;DirectReference;Data/Scripts/Custom/Government System/Items/Deeds/Stock Deeds/Taverns/NecroCityTavernDeed.cs:L26:PlayerMobile || RuntimeHookEvidence: No runtime-hook-map row matched this file. || SerializationEvidence: SerializationRegisterRows=1; Server.Items.NecroCityTavernDeed;Deed;Serialize:L74;Deserialize:L81;Risk=UnknownUntilSaveTest</t>
  </si>
  <si>
    <t>PreviousPostAuditBatch=POST-BATCH-K; PreviousReviewRowId=PBK-2382; CouplingKind=PlayerTypeCheckOrCast; ReviewClass=DirectPlayerTypePolicyResolvedNoChange; FutureSourceBatchNeeded=No.</t>
  </si>
  <si>
    <t>RB-05287</t>
  </si>
  <si>
    <t>P10-F05287</t>
  </si>
  <si>
    <t>Data/Scripts/Custom/Government System/Items/Deeds/Stock Deeds/Taverns/PlasterCityTavernDeed.cs</t>
  </si>
  <si>
    <t>PBX-0077</t>
  </si>
  <si>
    <t>Current source line evidence: Data/Scripts/Custom/Government System/Items/Deeds/Stock Deeds/Taverns/PlasterCityTavernDeed.cs:L26:PlayerMobile pm = (PlayerMobile)from; || Prior POST-BATCH-K evidence: CurrentFile=Data/Scripts/Custom/Government System/Items/Deeds/Stock Deeds/Taverns/PlasterCityTavernDeed.cs;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Deeds/Taverns/PlasterCityTavernDeed.cs:L26:PlayerMobile || DependencyEvidence: Government-&gt;PlayerMobile Core;DirectReference;Data/Scripts/Custom/Government System/Items/Deeds/Stock Deeds/Taverns/PlasterCityTavernDeed.cs:L26:PlayerMobile || RuntimeHookEvidence: No runtime-hook-map row matched this file. || SerializationEvidence: SerializationRegisterRows=1; Server.Items.PlasterCityTavernDeed;Deed;Serialize:L74;Deserialize:L81;Risk=UnknownUntilSaveTest</t>
  </si>
  <si>
    <t>PreviousPostAuditBatch=POST-BATCH-K; PreviousReviewRowId=PBK-2383; CouplingKind=PlayerTypeCheckOrCast; ReviewClass=DirectPlayerTypePolicyResolvedNoChange; FutureSourceBatchNeeded=No.</t>
  </si>
  <si>
    <t>RB-05288</t>
  </si>
  <si>
    <t>P10-F05288</t>
  </si>
  <si>
    <t>Data/Scripts/Custom/Government System/Items/Deeds/Stock Deeds/Taverns/SandstoneCityTavernDeed.cs</t>
  </si>
  <si>
    <t>PBX-0078</t>
  </si>
  <si>
    <t>Current source line evidence: Data/Scripts/Custom/Government System/Items/Deeds/Stock Deeds/Taverns/SandstoneCityTavernDeed.cs:L26:PlayerMobile pm = (PlayerMobile)from; || Prior POST-BATCH-K evidence: CurrentFile=Data/Scripts/Custom/Government System/Items/Deeds/Stock Deeds/Taverns/SandstoneCityTavernDeed.cs;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Deeds/Taverns/SandstoneCityTavernDeed.cs:L26:PlayerMobile || DependencyEvidence: Government-&gt;PlayerMobile Core;DirectReference;Data/Scripts/Custom/Government System/Items/Deeds/Stock Deeds/Taverns/SandstoneCityTavernDeed.cs:L26:PlayerMobile || RuntimeHookEvidence: No runtime-hook-map row matched this file. || SerializationEvidence: SerializationRegisterRows=1; Server.Items.SandstoneCityTavernDeed;Deed;Serialize:L74;Deserialize:L81;Risk=UnknownUntilSaveTest</t>
  </si>
  <si>
    <t>PreviousPostAuditBatch=POST-BATCH-K; PreviousReviewRowId=PBK-2384; CouplingKind=PlayerTypeCheckOrCast; ReviewClass=DirectPlayerTypePolicyResolvedNoChange; FutureSourceBatchNeeded=No.</t>
  </si>
  <si>
    <t>RB-05289</t>
  </si>
  <si>
    <t>P10-F05289</t>
  </si>
  <si>
    <t>Data/Scripts/Custom/Government System/Items/Deeds/Stock Deeds/Taverns/StoneCityTavernDeed.cs</t>
  </si>
  <si>
    <t>PBX-0079</t>
  </si>
  <si>
    <t>Current source line evidence: Data/Scripts/Custom/Government System/Items/Deeds/Stock Deeds/Taverns/StoneCityTavernDeed.cs:L26:PlayerMobile pm = (PlayerMobile)from; || Prior POST-BATCH-K evidence: CurrentFile=Data/Scripts/Custom/Government System/Items/Deeds/Stock Deeds/Taverns/StoneCityTavernDeed.cs;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Deeds/Taverns/StoneCityTavernDeed.cs:L26:PlayerMobile || DependencyEvidence: Government-&gt;PlayerMobile Core;DirectReference;Data/Scripts/Custom/Government System/Items/Deeds/Stock Deeds/Taverns/StoneCityTavernDeed.cs:L26:PlayerMobile || RuntimeHookEvidence: No runtime-hook-map row matched this file. || SerializationEvidence: SerializationRegisterRows=1; Server.Items.StoneCityTavernDeed;Deed;Serialize:L74;Deserialize:L81;Risk=UnknownUntilSaveTest</t>
  </si>
  <si>
    <t>PreviousPostAuditBatch=POST-BATCH-K; PreviousReviewRowId=PBK-2385; CouplingKind=PlayerTypeCheckOrCast; ReviewClass=DirectPlayerTypePolicyResolvedNoChange; FutureSourceBatchNeeded=No.</t>
  </si>
  <si>
    <t>RB-05290</t>
  </si>
  <si>
    <t>P10-F05290</t>
  </si>
  <si>
    <t>Data/Scripts/Custom/Government System/Items/Deeds/Stock Deeds/Taverns/WoodCityTavernDeed.cs</t>
  </si>
  <si>
    <t>PBX-0080</t>
  </si>
  <si>
    <t>Current source line evidence: Data/Scripts/Custom/Government System/Items/Deeds/Stock Deeds/Taverns/WoodCityTavernDeed.cs:L26:PlayerMobile pm = (PlayerMobile)from; || Prior POST-BATCH-K evidence: CurrentFile=Data/Scripts/Custom/Government System/Items/Deeds/Stock Deeds/Taverns/WoodCityTavernDeed.cs; Line=26;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System/Items/Deeds/Stock Deeds/Taverns/WoodCityTavernDeed.cs:L26:PlayerMobile || DependencyEvidence: Government-&gt;PlayerMobile Core;DirectReference;Data/Scripts/Custom/Government System/Items/Deeds/Stock Deeds/Taverns/WoodCityTavernDeed.cs:L26:PlayerMobile || RuntimeHookEvidence: No runtime-hook-map row matched this file. || SerializationEvidence: SerializationRegisterRows=1; Server.Items.WoodCityTavernDeed;Deed;Serialize:L74;Deserialize:L81;Risk=UnknownUntilSaveTest</t>
  </si>
  <si>
    <t>PreviousPostAuditBatch=POST-BATCH-K; PreviousReviewRowId=PBK-2386; CouplingKind=PlayerTypeCheckOrCast; ReviewClass=DirectPlayerTypePolicyResolvedNoChange; FutureSourceBatchNeeded=No.</t>
  </si>
  <si>
    <t>RB-05291</t>
  </si>
  <si>
    <t>P10-F05291</t>
  </si>
  <si>
    <t>Data/Scripts/Custom/Government System/Items/Misc/MoveVendorTarget.cs</t>
  </si>
  <si>
    <t>PBX-0081</t>
  </si>
  <si>
    <t>Current source line evidence: Data/Scripts/Custom/Government System/Items/Misc/MoveVendorTarget.cs:L24:PlayerMobile pm = (PlayerMobile)from; || Prior POST-BATCH-K evidence: CurrentFile=Data/Scripts/Custom/Government System/Items/Misc/MoveVendorTarget.cs; Line=24;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System/Items/Misc/MoveVendorTarget.cs:L24:PlayerMobile | Vendor Core-&gt;PlayerMobile Core;DirectReference;Data/Scripts/Custom/Government System/Items/Misc/MoveVendorTarget.cs:L24:PlayerMobile || DependencyEvidence: Government-&gt;PlayerMobile Core;DirectReference;Data/Scripts/Custom/Government System/Items/Misc/MoveVendorTarget.cs:L24:PlayerMobile | Vendor Core-&gt;PlayerMobile Core;DirectReference;Data/Scripts/Custom/Government System/Items/Misc/MoveVendorTarget.cs:L24:PlayerMobile || RuntimeHookEvidence: No runtime-hook-map row matched this file. || SerializationEvidence: No serialization-register rows for file.</t>
  </si>
  <si>
    <t>PreviousPostAuditBatch=POST-BATCH-K; PreviousReviewRowId=PBK-2387; CouplingKind=PvPRegionCombatPolicyCoupling; ReviewClass=PvPRegionCombatPolicyResolvedNoChange; FutureSourceBatchNeeded=No.</t>
  </si>
  <si>
    <t>RB-05292</t>
  </si>
  <si>
    <t>P10-F05292</t>
  </si>
  <si>
    <t>Data/Scripts/Custom/Government System/Items/Stones/CityManagementStone.cs</t>
  </si>
  <si>
    <t>PBX-0082</t>
  </si>
  <si>
    <t>Current source line evidence: Data/Scripts/Custom/Government System/Items/Stones/CityManagementStone.cs:L662:PlayerMobile pm = (PlayerMobile)from; || Prior POST-BATCH-K evidence: CurrentFile=Data/Scripts/Custom/Government System/Items/Stones/CityManagementStone.cs; Line=662;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System/Items/Stones/CityManagementStone.cs:L662:PlayerMobile || DependencyEvidence: Government-&gt;PlayerMobile Core;DirectReference;Data/Scripts/Custom/Government System/Items/Stones/CityManagementStone.cs:L662:PlayerMobile || RuntimeHookEvidence: Data/Scripts/Custom/Government System/Items/Stones/CityManagementStone.cs:L463:Initialize:Initialize | Data/Scripts/Custom/Government System/Items/Stones/CityManagementStone.cs:L465:Command:CommandSystem.Register | Data/Scripts/Custom/Government System/Items/Stones/CityManagementStone.cs:L2112:Timer:CustomTimerSubclass || SerializationEvidence: SerializationRegisterRows=1; Server.Items.CityManagementStone;Controller;Serialize:L1918;Deserialize:L2010;Risk=UnknownUntilSaveTest</t>
  </si>
  <si>
    <t>PreviousPostAuditBatch=POST-BATCH-K; PreviousReviewRowId=PBK-2388; CouplingKind=PlayerTypeCheckOrCast; ReviewClass=DirectPlayerTypePolicyResolvedNoChange; FutureSourceBatchNeeded=No.</t>
  </si>
  <si>
    <t>RB-05293</t>
  </si>
  <si>
    <t>P10-F05293</t>
  </si>
  <si>
    <t>PBX-0083</t>
  </si>
  <si>
    <t>Current source line evidence: Data/Scripts/Custom/Government System/Items/Stones/CityResurrectionStone.cs:L20:if (from is PlayerMobile) || Prior POST-BATCH-K evidence: CurrentFile=Data/Scripts/Custom/Government System/Items/Stones/CityResurrectionStone.cs; Line=20; SourceLine=if (from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System/Items/Stones/CityResurrectionStone.cs:L20:PlayerMobile || DependencyEvidence: Government-&gt;PlayerMobile Core;DirectReference;Data/Scripts/Custom/Government System/Items/Stones/CityResurrectionStone.cs:L20:PlayerMobile || RuntimeHookEvidence: Data/Scripts/Custom/Government System/Items/Stones/CityResurrectionStone.cs:L48:Gump:SendGump | Data/Scripts/Custom/Government System/Items/Stones/CityResurrectionStone.cs:L90:Gump:SendGump | Data/Scripts/Custom/Government System/Items/Stones/CityResurrectionStone.cs:L109:Gump:SendGump || SerializationEvidence: SerializationRegisterRows=1; Server.Items.CityResurrectionStone;Controller;Serialize:L278;Deserialize:L299;Risk=UnknownUntilSaveTest</t>
  </si>
  <si>
    <t>PreviousPostAuditBatch=POST-BATCH-K; PreviousReviewRowId=PBK-2389; CouplingKind=StoredPlayerMobileFieldOrParameter; ReviewClass=StoredPlayerMobileContextReviewedNoChange; FutureSourceBatchNeeded=No.</t>
  </si>
  <si>
    <t>RB-05294</t>
  </si>
  <si>
    <t>P10-F05294</t>
  </si>
  <si>
    <t>Data/Scripts/Custom/Government System/Items/Stones/CityVotingStone.cs</t>
  </si>
  <si>
    <t>PBX-0084</t>
  </si>
  <si>
    <t>Current source line evidence: Data/Scripts/Custom/Government System/Items/Stones/CityVotingStone.cs:L138:PlayerMobile pm1 = (PlayerMobile)this.RunnerOne; || Prior POST-BATCH-K evidence: CurrentFile=Data/Scripts/Custom/Government System/Items/Stones/CityVotingStone.cs; Line=138; SourceLine=PlayerMobile pm1 = (PlayerMobile)this.RunnerOne;; PathResolution=OriginalPathCurrent; MatchQuality=DependencyGraphPlayerMobileFileLine; HookKind=PlayerMobileReference; GuardList=; Access=; Command=; Handler=; DisabledEvidence=False; DependencyEvidence=Government-&gt;PlayerMobile Core;DirectReference;Data/Scripts/Custom/Government System/Items/Stones/CityVotingStone.cs:L138:PlayerMobile || DependencyEvidence: Government-&gt;PlayerMobile Core;DirectReference;Data/Scripts/Custom/Government System/Items/Stones/CityVotingStone.cs:L138:PlayerMobile || RuntimeHookEvidence: Data/Scripts/Custom/Government System/Items/Stones/CityVotingStone.cs:L302:Timer:CustomTimerSubclass | Data/Scripts/Custom/Government System/Items/Stones/CityVotingStone.cs:L94:Gump:SendGump || SerializationEvidence: SerializationRegisterRows=1; Server.Items.CityVotingStone;Controller;Serialize:L261;Deserialize:L276;Risk=UnknownUntilSaveTest</t>
  </si>
  <si>
    <t>PreviousPostAuditBatch=POST-BATCH-K; PreviousReviewRowId=PBK-2390; CouplingKind=PlayerTypeCheckOrCast; ReviewClass=DirectPlayerTypePolicyResolvedNoChange; FutureSourceBatchNeeded=No.</t>
  </si>
  <si>
    <t>RB-05295</t>
  </si>
  <si>
    <t>P10-F05295</t>
  </si>
  <si>
    <t>PBX-0085</t>
  </si>
  <si>
    <t>Current source line evidence: Data/Scripts/Custom/Government System/NPC Vendor Mall 2.1/LandLord.cs:L80:if (!e.Handled &amp;&amp; from is PlayerMobile &amp;&amp; from.InRange(this.Location, 4)) || Prior POST-BATCH-K evidence: CurrentFile=Data/Scripts/Custom/Government System/NPC Vendor Mall 2.1/LandLord.cs; Line=80; SourceLine=if (!e.Handled &amp;&amp; from is PlayerMobile &amp;&amp; from.InRange(this.Location, 4)); PathResolution=OriginalPathCurrent; MatchQuality=DependencyGraphPlayerMobileFileLine; HookKind=PlayerMobileReference; GuardList=; Access=; Command=; Handler=; DisabledEvidence=False; DependencyEvidence=Government-&gt;PlayerMobile Core;DirectReference;Data/Scripts/Custom/Government System/NPC Vendor Mall 2.1/LandLord.cs:L80:PlayerMobile | Vendor Core-&gt;PlayerMobile Core;DirectReference;Data/Scripts/Custom/Government System/NPC Vendor Mall 2.1/LandLord.cs:L80:PlayerMobile || DependencyEvidence: Government-&gt;PlayerMobile Core;DirectReference;Data/Scripts/Custom/Government System/NPC Vendor Mall 2.1/LandLord.cs:L80:PlayerMobile | Vendor Core-&gt;PlayerMobile Core;DirectReference;Data/Scripts/Custom/Government System/NPC Vendor Mall 2.1/LandLord.cs:L80:PlayerMobile || RuntimeHookEvidence: Data/Scripts/Custom/Government System/NPC Vendor Mall 2.1/LandLord.cs:L23:Initialize:Initialize | Data/Scripts/Custom/Government System/NPC Vendor Mall 2.1/LandLord.cs:L76:Speech:OnSpeech | Data/Scripts/Custom/Government System/NPC Vendor Mall 2.1/LandLord.cs:L90:Speech:OnSpeech || SerializationEvidence: SerializationRegisterRows=2; Server.Mobiles.BaseLandLord;Controller;Serialize:L148;Deserialize:L158;Risk=UnknownUntilSaveTest | Server.Mobiles.LandLord;Controller;Serialize:L241;Deserialize:L247;Risk=UnknownUntilSaveTest</t>
  </si>
  <si>
    <t>PreviousPostAuditBatch=POST-BATCH-K; PreviousReviewRowId=PBK-2391; CouplingKind=PlayerTypeCheckOrCast; ReviewClass=DirectPlayerTypePolicyResolvedNoChange; FutureSourceBatchNeeded=No.</t>
  </si>
  <si>
    <t>RB-05296</t>
  </si>
  <si>
    <t>P10-F05296</t>
  </si>
  <si>
    <t>PBX-0086</t>
  </si>
  <si>
    <t>Current source line evidence: Data/Scripts/Custom/Government System/PlayerGovernmentSystem.cs:L446:if (!(from is PlayerMobile) || !(target is PlayerMobile)) || Prior POST-BATCH-K evidence: CurrentFile=Data/Scripts/Custom/Government System/PlayerGovernmentSystem.cs; Line=446; SourceLine=if (!(from is PlayerMobile) || !(target is PlayerMobile)); PathResolution=OriginalPathCurrent; MatchQuality=DependencyGraphPlayerMobileFileLine; HookKind=PlayerMobileReference; GuardList=; Access=; Command=; Handler=; DisabledEvidence=False; DependencyEvidence=Government-&gt;PlayerMobile Core;DirectReference;Data/Scripts/Custom/Government System/PlayerGovernmentSystem.cs:L446:PlayerMobile || DependencyEvidence: Government-&gt;PlayerMobile Core;DirectReference;Data/Scripts/Custom/Government System/PlayerGovernmentSystem.cs:L446:PlayerMobile || RuntimeHookEvidence: Data/Scripts/Custom/Government System/PlayerGovernmentSystem.cs:L120:Initialize:Initialize | Data/Scripts/Custom/Government System/PlayerGovernmentSystem.cs:L132:Gump:SendGump || SerializationEvidence: No serialization-register rows for file.</t>
  </si>
  <si>
    <t>PreviousPostAuditBatch=POST-BATCH-K; PreviousReviewRowId=PBK-2392; CouplingKind=PvPRegionCombatPolicyCoupling; ReviewClass=PvPRegionCombatPolicyResolvedNoChange; FutureSourceBatchNeeded=No.</t>
  </si>
  <si>
    <t>RB-05297</t>
  </si>
  <si>
    <t>P10-F05297</t>
  </si>
  <si>
    <t>PBX-0087</t>
  </si>
  <si>
    <t>Current source context evidence near queued line 38: Data/Scripts/Custom/Government System/Prompts/CitizenTitleChangePrompt.cs:L34:PlayerMobile pm = m_Citizen as PlayerMobile; || Prior POST-BATCH-K evidence: CurrentFile=Data/Scripts/Custom/Government System/Prompts/CitizenTitleChangePrompt.cs; Line=38; SourceLine=PlayerMobile pm = (PlayerMobile)m_Citizen;; PathResolution=OriginalPathCurrent; MatchQuality=DependencyGraphPlayerMobileFileLine; HookKind=PlayerMobileReference; GuardList=; Access=; Command=; Handler=; DisabledEvidence=False; DependencyEvidence=Government-&gt;PlayerMobile Core;DirectReference;Data/Scripts/Custom/Government System/Prompts/CitizenTitleChangePrompt.cs:L38:PlayerMobile || DependencyEvidence: Government-&gt;PlayerMobile Core;DirectReference;Data/Scripts/Custom/Government System/Prompts/CitizenTitleChangePrompt.cs:L38:PlayerMobile || RuntimeHookEvidence: Data/Scripts/Custom/Government System/Prompts/CitizenTitleChangePrompt.cs:L29:Gump:OnResponse | Data/Scripts/Custom/Government System/Prompts/CitizenTitleChangePrompt.cs:L26:Gump:SendGump | Data/Scripts/Custom/Government System/Prompts/CitizenTitleChangePrompt.cs:L46:Gump:SendGump || SerializationEvidence: No serialization-register rows for file.</t>
  </si>
  <si>
    <t>PreviousPostAuditBatch=POST-BATCH-K; PreviousReviewRowId=PBK-2393; CouplingKind=PlayerTypeCheckOrCast; ReviewClass=LineDriftContextPolicyResolvedNoChange; FutureSourceBatchNeeded=No.</t>
  </si>
  <si>
    <t>RB-05298</t>
  </si>
  <si>
    <t>P10-F05298</t>
  </si>
  <si>
    <t>Data/Scripts/Custom/Government System/Prompts/CityNamePrompt.cs</t>
  </si>
  <si>
    <t>PBX-0088</t>
  </si>
  <si>
    <t>Current source line evidence: Data/Scripts/Custom/Government System/Prompts/CityNamePrompt.cs:L50:PlayerMobile pm = (PlayerMobile)m; || Prior POST-BATCH-K evidence: CurrentFile=Data/Scripts/Custom/Government System/Prompts/CityNamePrompt.cs; Line=50; SourceLine=PlayerMobile pm = (PlayerMobile)m;; PathResolution=OriginalPathCurrent; MatchQuality=DependencyGraphPlayerMobileFileLine; HookKind=PlayerMobileReference; GuardList=; Access=; Command=; Handler=; DisabledEvidence=False; DependencyEvidence=Government-&gt;PlayerMobile Core;DirectReference;Data/Scripts/Custom/Government System/Prompts/CityNamePrompt.cs:L50:PlayerMobile || DependencyEvidence: Government-&gt;PlayerMobile Core;DirectReference;Data/Scripts/Custom/Government System/Prompts/CityNamePrompt.cs:L50:PlayerMobile || RuntimeHookEvidence: Data/Scripts/Custom/Government System/Prompts/CityNamePrompt.cs:L27:Gump:OnResponse | Data/Scripts/Custom/Government System/Prompts/CityNamePrompt.cs:L24:Gump:SendGump | Data/Scripts/Custom/Government System/Prompts/CityNamePrompt.cs:L60:Gump:SendGump || SerializationEvidence: No serialization-register rows for file.</t>
  </si>
  <si>
    <t>PreviousPostAuditBatch=POST-BATCH-K; PreviousReviewRowId=PBK-2394; CouplingKind=PlayerTypeCheckOrCast; ReviewClass=DirectPlayerTypePolicyResolvedNoChange; FutureSourceBatchNeeded=No.</t>
  </si>
  <si>
    <t>RB-05299</t>
  </si>
  <si>
    <t>P10-F05299</t>
  </si>
  <si>
    <t>Data/Scripts/Custom/Government System/Resourcebox/CityResourceBoxDeed.cs</t>
  </si>
  <si>
    <t>PBX-0089</t>
  </si>
  <si>
    <t>Current source line evidence: Data/Scripts/Custom/Government System/Resourcebox/CityResourceBoxDeed.cs:L23:PlayerMobile pm = (PlayerMobile)from; || Prior POST-BATCH-K evidence: CurrentFile=Data/Scripts/Custom/Government System/Resourcebox/CityResourceBoxDeed.cs; Line=23;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System/Resourcebox/CityResourceBoxDeed.cs:L23:PlayerMobile || DependencyEvidence: Government-&gt;PlayerMobile Core;DirectReference;Data/Scripts/Custom/Government System/Resourcebox/CityResourceBoxDeed.cs:L23:PlayerMobile || RuntimeHookEvidence: No runtime-hook-map row matched this file. || SerializationEvidence: SerializationRegisterRows=1; Server.Items.CityResourceBoxDeed;Deed;Serialize:L49;Deserialize:L56;Risk=UnknownUntilSaveTest</t>
  </si>
  <si>
    <t>PreviousPostAuditBatch=POST-BATCH-K; PreviousReviewRowId=PBK-2395; CouplingKind=PlayerTypeCheckOrCast; ReviewClass=DirectPlayerTypePolicyResolvedNoChange; FutureSourceBatchNeeded=No.</t>
  </si>
  <si>
    <t>RB-05300</t>
  </si>
  <si>
    <t>P10-F05300</t>
  </si>
  <si>
    <t>Data/Scripts/Custom/Government System/Vendor/CityContractOfEmployment.cs</t>
  </si>
  <si>
    <t>PBX-0090</t>
  </si>
  <si>
    <t>Current source line evidence: Data/Scripts/Custom/Government System/Vendor/CityContractOfEmployment.cs:L44:PlayerMobile pm = (PlayerMobile)from; || Prior POST-BATCH-K evidence: CurrentFile=Data/Scripts/Custom/Government System/Vendor/CityContractOfEmployment.cs; Line=44;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System/Vendor/CityContractOfEmployment.cs:L44:PlayerMobile | Vendor Core-&gt;PlayerMobile Core;DirectReference;Data/Scripts/Custom/Government System/Vendor/CityContractOfEmployment.cs:L44:PlayerMobile || DependencyEvidence: Government-&gt;PlayerMobile Core;DirectReference;Data/Scripts/Custom/Government System/Vendor/CityContractOfEmployment.cs:L44:PlayerMobile | Vendor Core-&gt;PlayerMobile Core;DirectReference;Data/Scripts/Custom/Government System/Vendor/CityContractOfEmployment.cs:L44:PlayerMobile || RuntimeHookEvidence: No runtime-hook-map row matched this file. || SerializationEvidence: SerializationRegisterRows=1; Server.Items.CityContractOfEmployment;Controller;Serialize:L22;Deserialize:L29;Risk=UnknownUntilSaveTest</t>
  </si>
  <si>
    <t>PreviousPostAuditBatch=POST-BATCH-K; PreviousReviewRowId=PBK-2396; CouplingKind=PlayerTypeCheckOrCast; ReviewClass=DirectPlayerTypePolicyResolvedNoChange; FutureSourceBatchNeeded=No.</t>
  </si>
  <si>
    <t>RB-05301</t>
  </si>
  <si>
    <t>P10-F05301</t>
  </si>
  <si>
    <t>PBX-0091</t>
  </si>
  <si>
    <t>Current source line evidence: Data/Scripts/Custom/Government System/Vendor/CityLandLord.cs:L124:PlayerMobile pm = (PlayerMobile)m; || Prior POST-BATCH-K evidence: CurrentFile=Data/Scripts/Custom/Government System/Vendor/CityLandLord.cs; Line=124; SourceLine=PlayerMobile pm = (PlayerMobile)m;; PathResolution=OriginalPathCurrent; MatchQuality=DependencyGraphPlayerMobileFileLine; HookKind=PlayerMobileReference; GuardList=; Access=; Command=; Handler=; DisabledEvidence=False; DependencyEvidence=Government-&gt;PlayerMobile Core;DirectReference;Data/Scripts/Custom/Government System/Vendor/CityLandLord.cs:L124:PlayerMobile | Vendor Core-&gt;PlayerMobile Core;DirectReference;Data/Scripts/Custom/Government System/Vendor/CityLandLord.cs:L124:PlayerMobile || DependencyEvidence: Government-&gt;PlayerMobile Core;DirectReference;Data/Scripts/Custom/Government System/Vendor/CityLandLord.cs:L124:PlayerMobile | Vendor Core-&gt;PlayerMobile Core;DirectReference;Data/Scripts/Custom/Government System/Vendor/CityLandLord.cs:L124:PlayerMobile || RuntimeHookEvidence: Data/Scripts/Custom/Government System/Vendor/CityLandLord.cs:L137:Gump:SendGump || SerializationEvidence: SerializationRegisterRows=1; Server.Mobiles.CityLandLord;Controller;Serialize:L280;Deserialize:L291;Risk=UnknownUntilSaveTest</t>
  </si>
  <si>
    <t>PreviousPostAuditBatch=POST-BATCH-K; PreviousReviewRowId=PBK-2397; CouplingKind=PlayerTypeCheckOrCast; ReviewClass=DirectPlayerTypePolicyResolvedNoChange; FutureSourceBatchNeeded=No.</t>
  </si>
  <si>
    <t>RB-05302</t>
  </si>
  <si>
    <t>P10-F05302</t>
  </si>
  <si>
    <t>PBX-0092</t>
  </si>
  <si>
    <t>Current source line evidence: Data/Scripts/Custom/Government System/Vendor/CityPlayerVendor.cs:L85:PlayerMobile pm = (PlayerMobile)from; || Prior POST-BATCH-K evidence: CurrentFile=Data/Scripts/Custom/Government System/Vendor/CityPlayerVendor.cs; Line=85;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System/Vendor/CityPlayerVendor.cs:L85:PlayerMobile | Vendor Core-&gt;PlayerMobile Core;DirectReference;Data/Scripts/Custom/Government System/Vendor/CityPlayerVendor.cs:L85:PlayerMobile || DependencyEvidence: Government-&gt;PlayerMobile Core;DirectReference;Data/Scripts/Custom/Government System/Vendor/CityPlayerVendor.cs:L85:PlayerMobile | Vendor Core-&gt;PlayerMobile Core;DirectReference;Data/Scripts/Custom/Government System/Vendor/CityPlayerVendor.cs:L85:PlayerMobile || RuntimeHookEvidence: Data/Scripts/Custom/Government System/Vendor/CityPlayerVendor.cs:L66:Initialize:Initialize | Data/Scripts/Custom/Government System/Vendor/CityPlayerVendor.cs:L68:Command:CommandSystem.Register | Data/Scripts/Custom/Government System/Vendor/CityPlayerVendor.cs:L73:Command:CommandSystem.Register || SerializationEvidence: SerializationRegisterRows=2; Server.Mobiles.CityPlayerVendor;Controller;Serialize:L158;Deserialize:L171;Risk=UnknownUntilSaveTest | Server.Mobiles.CityVendorBackpack;Controller;Serialize:L42;Deserialize:L49;Risk=UnknownUntilSaveTest</t>
  </si>
  <si>
    <t>PreviousPostAuditBatch=POST-BATCH-K; PreviousReviewRowId=PBK-2398; CouplingKind=PlayerTypeCheckOrCast; ReviewClass=DirectPlayerTypePolicyResolvedNoChange; FutureSourceBatchNeeded=No.</t>
  </si>
  <si>
    <t>RB-05303</t>
  </si>
  <si>
    <t>P10-F05303</t>
  </si>
  <si>
    <t>PBX-0093</t>
  </si>
  <si>
    <t>Current source line evidence: Data/Scripts/Custom/Government System/Vendor/CityRentedVendor.cs:L129:PlayerMobile pm = (PlayerMobile)from; || Prior POST-BATCH-K evidence: CurrentFile=Data/Scripts/Custom/Government System/Vendor/CityRentedVendor.cs; Line=129; SourceLine=PlayerMobile pm = (PlayerMobile)from;; PathResolution=OriginalPathCurrent; MatchQuality=DependencyGraphPlayerMobileFileLine; HookKind=PlayerMobileReference; GuardList=; Access=; Command=; Handler=; DisabledEvidence=False; DependencyEvidence=Government-&gt;PlayerMobile Core;DirectReference;Data/Scripts/Custom/Government System/Vendor/CityRentedVendor.cs:L129:PlayerMobile | Vendor Core-&gt;PlayerMobile Core;DirectReference;Data/Scripts/Custom/Government System/Vendor/CityRentedVendor.cs:L129:PlayerMobile || DependencyEvidence: Government-&gt;PlayerMobile Core;DirectReference;Data/Scripts/Custom/Government System/Vendor/CityRentedVendor.cs:L129:PlayerMobile | Vendor Core-&gt;PlayerMobile Core;DirectReference;Data/Scripts/Custom/Government System/Vendor/CityRentedVendor.cs:L129:PlayerMobile || RuntimeHookEvidence: Data/Scripts/Custom/Government System/Vendor/CityRentedVendor.cs:L313:Timer:CustomTimerSubclass | Data/Scripts/Custom/Government System/Vendor/CityRentedVendor.cs:L254:Gump:SendGump | Data/Scripts/Custom/Government System/Vendor/CityRentedVendor.cs:L383:Gump:SendGump || SerializationEvidence: SerializationRegisterRows=1; Server.Mobiles.CityRentedVendor;Controller;Serialize:L260;Deserialize:L280;Risk=UnknownUntilSaveTest</t>
  </si>
  <si>
    <t>PreviousPostAuditBatch=POST-BATCH-K; PreviousReviewRowId=PBK-2399; CouplingKind=PlayerTypeCheckOrCast; ReviewClass=DirectPlayerTypePolicyResolvedNoChange; FutureSourceBatchNeeded=No.</t>
  </si>
  <si>
    <t>RB-05304</t>
  </si>
  <si>
    <t>P10-F05304</t>
  </si>
  <si>
    <t>Data/Scripts/Items/Trades/Harvest Tools/BaseHarvestTool.cs</t>
  </si>
  <si>
    <t>PBX-0094</t>
  </si>
  <si>
    <t>Current source line evidence: Data/Scripts/Items/Trades/Harvest Tools/BaseHarvestTool.cs:L149:PlayerMobile pm = from as PlayerMobile; || Prior POST-BATCH-K evidence: CurrentFile=Data/Scripts/Items/Trades/Harvest Tools/BaseHarvestTool.cs; Line=149; SourceLine=PlayerMobile pm = from as PlayerMobile;; PathResolution=OriginalPathCurrent; MatchQuality=DependencyGraphPlayerMobileFileLine; HookKind=PlayerMobileReference; GuardList=; Access=; Command=; Handler=; DisabledEvidence=False; DependencyEvidence=Harvest System-&gt;PlayerMobile Core;DirectReference;Data/Scripts/Items/Trades/Harvest Tools/BaseHarvestTool.cs:L149:PlayerMobile || DependencyEvidence: Harvest System-&gt;PlayerMobile Core;DirectReference;Data/Scripts/Items/Trades/Harvest Tools/BaseHarvestTool.cs:L149:PlayerMobile || RuntimeHookEvidence: No runtime-hook-map row matched this file. || SerializationEvidence: SerializationRegisterRows=1; Server.Items.BaseHarvestTool;Item;Serialize:L222;Deserialize:L234;Risk=NamespaceOrTypeRenameDanger</t>
  </si>
  <si>
    <t>PreviousPostAuditBatch=POST-BATCH-K; PreviousReviewRowId=PBK-2400; CouplingKind=StoredPlayerMobileFieldOrParameter; ReviewClass=StoredPlayerMobileContextReviewedNoChange; FutureSourceBatchNeeded=No.</t>
  </si>
  <si>
    <t>RB-05305</t>
  </si>
  <si>
    <t>P10-F05305</t>
  </si>
  <si>
    <t>Data/Scripts/Trades/Harvest/Fishing.cs</t>
  </si>
  <si>
    <t>PBX-0095</t>
  </si>
  <si>
    <t>Current source line evidence: Data/Scripts/Trades/Harvest/Fishing.cs:L462:PlayerMobile pc = (PlayerMobile)from; || Prior POST-BATCH-K evidence: CurrentFile=Data/Scripts/Trades/Harvest/Fishing.cs; Line=462; SourceLine=PlayerMobile pc = (PlayerMobile)from;; PathResolution=OriginalPathCurrent; MatchQuality=DependencyGraphPlayerMobileFileLine; HookKind=PlayerMobileReference; GuardList=; Access=; Command=; Handler=; DisabledEvidence=False; DependencyEvidence=Harvest System-&gt;PlayerMobile Core;DirectReference;Data/Scripts/Trades/Harvest/Fishing.cs:L462:PlayerMobile || DependencyEvidence: Harvest System-&gt;PlayerMobile Core;DirectReference;Data/Scripts/Trades/Harvest/Fishing.cs:L462:PlayerMobile || RuntimeHookEvidence: Data/Scripts/Trades/Harvest/Fishing.cs:L1954:Timer:Timer.DelayCall || SerializationEvidence: No serialization-register rows for file.</t>
  </si>
  <si>
    <t>PreviousPostAuditBatch=POST-BATCH-K; PreviousReviewRowId=PBK-2401; CouplingKind=PlayerTypeCheckOrCast; ReviewClass=DirectPlayerTypePolicyResolvedNoChange; FutureSourceBatchNeeded=No.</t>
  </si>
  <si>
    <t>RB-05306</t>
  </si>
  <si>
    <t>P10-F05306</t>
  </si>
  <si>
    <t>Data/Scripts/Trades/Harvest/Mining.cs</t>
  </si>
  <si>
    <t>PBX-0096</t>
  </si>
  <si>
    <t>Current source line evidence: Data/Scripts/Trades/Harvest/Mining.cs:L282:PlayerMobile pm = from as PlayerMobile; || Prior POST-BATCH-K evidence: CurrentFile=Data/Scripts/Trades/Harvest/Mining.cs; Line=282; SourceLine=PlayerMobile pm = from as PlayerMobile;; PathResolution=OriginalPathCurrent; MatchQuality=DependencyGraphPlayerMobileFileLine; HookKind=PlayerMobileReference; GuardList=; Access=; Command=; Handler=; DisabledEvidence=False; DependencyEvidence=Harvest System-&gt;PlayerMobile Core;DirectReference;Data/Scripts/Trades/Harvest/Mining.cs:L282:PlayerMobile || DependencyEvidence: Harvest System-&gt;PlayerMobile Core;DirectReference;Data/Scripts/Trades/Harvest/Mining.cs:L282:PlayerMobile || RuntimeHookEvidence: No runtime-hook-map row matched this file. || SerializationEvidence: No serialization-register rows for file.</t>
  </si>
  <si>
    <t>PreviousPostAuditBatch=POST-BATCH-K; PreviousReviewRowId=PBK-2402; CouplingKind=PlayerTypeCheckOrCast; ReviewClass=DirectPlayerTypePolicyResolvedNoChange; FutureSourceBatchNeeded=No.</t>
  </si>
  <si>
    <t>RB-05307</t>
  </si>
  <si>
    <t>P10-F05307</t>
  </si>
  <si>
    <t>PBX-0097</t>
  </si>
  <si>
    <t>Current source context evidence near queued line 2384: Data/Scripts/Items/Houses/HouseFoundation.cs:L2392:if (from is PlayerMobile) | Data/Scripts/Items/Houses/HouseFoundation.cs:L2393:((PlayerMobile)from).DesignContext = c; | Data/Scripts/Items/Houses/HouseFoundation.cs:L2433:if (from is PlayerMobile) | Data/Scripts/Items/Houses/HouseFoundation.cs:L2434:((PlayerMobile)from).DesignContext = null; || Prior POST-BATCH-K evidence: CurrentFile=Data/Scripts/Items/Houses/HouseFoundation.cs; Line=2384; SourceLine={; PathResolution=OriginalPathCurrent; MatchQuality=CurrentSourceLine; HookKind=PlayerMobileReference; GuardList=; Access=; Command=; Handler=; DisabledEvidence=False || DependencyEvidence: Housing-&gt;PlayerMobile Core;DirectReference;Data/Scripts/Items/Houses/HouseFoundation.cs:L2392:PlayerMobile || RuntimeHookEvidence: Data/Scripts/Items/Houses/HouseFoundation.cs:L946:Initialize:Initialize | Data/Scripts/Items/Houses/HouseFoundation.cs:L974:Command:CommandSystem.Register | Data/Scripts/Items/Houses/HouseFoundation.cs:L980:Event:EventSink || SerializationEvidence: SerializationRegisterRows=2; Server.Multis.DesignState;Item;Serialize:L2117;Deserialize:L;Risk=UnknownUntilSaveTest | Server.Multis.HouseFoundation;Item;Serialize:L853;Deserialize:L881;Risk=UnknownUntilSaveTest</t>
  </si>
  <si>
    <t>PreviousPostAuditBatch=POST-BATCH-K; PreviousReviewRowId=PBK-2403; CouplingKind=PlayerTypeCheckOrCast; ReviewClass=LineDriftContextPolicyResolvedNoChange; FutureSourceBatchNeeded=No.</t>
  </si>
  <si>
    <t>RB-05308</t>
  </si>
  <si>
    <t>P10-F05308</t>
  </si>
  <si>
    <t>PBX-0098</t>
  </si>
  <si>
    <t>Current source context evidence near queued line 1633: Data/Scripts/Items/Houses/Monopoly/Items/TownHouseSign.cs:L1669:if (c_YoungOnly &amp;&amp; m.Player &amp;&amp; !((PlayerMobile)m).Young) || Prior POST-BATCH-K evidence: CurrentFile=Data/Scripts/Items/Houses/Monopoly/Items/TownHouseSign.cs; Line=1633; SourceLine=else; PathResolution=OriginalPathCurrent; MatchQuality=CurrentSourceLine; HookKind=PlayerMobileReference; GuardList=; Access=; Command=; Handler=; DisabledEvidence=False || DependencyEvidence: Housing-&gt;PlayerMobile Core;DirectReference;Data/Scripts/Items/Houses/Monopoly/Items/TownHouseSign.cs:L1669:PlayerMobile || RuntimeHookEvidence: Data/Scripts/Items/Houses/Monopoly/Items/TownHouseSign.cs:L670:Timer:Timer.DelayCall | Data/Scripts/Items/Houses/Monopoly/Items/TownHouseSign.cs:L700:Timer:Timer.DelayCall | Data/Scripts/Items/Houses/Monopoly/Items/TownHouseSign.cs:L720:Timer:Timer.DelayCall || SerializationEvidence: SerializationRegisterRows=1; Knives.TownHouses.TownHouseSign;Item;Serialize:L1815;Deserialize:L1896;Risk=UnknownUntilSaveTest</t>
  </si>
  <si>
    <t>PreviousPostAuditBatch=POST-BATCH-K; PreviousReviewRowId=PBK-2404; CouplingKind=PlayerMobilePropertyStateAccess; ReviewClass=PlayerStateAccessPolicyResolvedNoChange; FutureSourceBatchNeeded=No.</t>
  </si>
  <si>
    <t>RB-05309</t>
  </si>
  <si>
    <t>P10-F05309</t>
  </si>
  <si>
    <t>Data/Scripts/Items/Houses/Remodeling/Gumps/ConfirmRemoveGump.cs</t>
  </si>
  <si>
    <t>PBX-0099</t>
  </si>
  <si>
    <t>Current source line evidence: Data/Scripts/Items/Houses/Remodeling/Gumps/ConfirmRemoveGump.cs:L48:PlayerMobile pm = m_From as PlayerMobile; || Prior POST-BATCH-K evidence: CurrentFile=Data/Scripts/Items/Houses/Remodeling/Gumps/ConfirmRemoveGump.cs; Line=48; SourceLine=PlayerMobile pm = m_From as PlayerMobile;; PathResolution=OriginalPathCurrent; MatchQuality=DependencyGraphPlayerMobileFileLine; HookKind=PlayerMobileReference; GuardList=; Access=; Command=; Handler=; DisabledEvidence=False; DependencyEvidence=Housing-&gt;PlayerMobile Core;DirectReference;Data/Scripts/Items/Houses/Remodeling/Gumps/ConfirmRemoveGump.cs:L48:PlayerMobile || DependencyEvidence: Housing-&gt;PlayerMobile Core;DirectReference;Data/Scripts/Items/Houses/Remodeling/Gumps/ConfirmRemoveGump.cs:L48:PlayerMobile || RuntimeHookEvidence: Data/Scripts/Items/Houses/Remodeling/Gumps/ConfirmRemoveGump.cs:L42:Gump:OnResponse || SerializationEvidence: No serialization-register rows for file.</t>
  </si>
  <si>
    <t>PreviousPostAuditBatch=POST-BATCH-K; PreviousReviewRowId=PBK-2405; CouplingKind=PlayerTypeCheckOrCast; ReviewClass=DirectPlayerTypePolicyResolvedNoChange; FutureSourceBatchNeeded=No.</t>
  </si>
  <si>
    <t>RB-05310</t>
  </si>
  <si>
    <t>P10-F05310</t>
  </si>
  <si>
    <t>PBX-0100</t>
  </si>
  <si>
    <t>Current source line evidence: Data/Scripts/Items/Houses/Remodeling/LawnItem.cs:L173:PlayerMobile pm = from as PlayerMobile; || Prior POST-BATCH-K evidence: CurrentFile=Data/Scripts/Items/Houses/Remodeling/LawnItem.cs; Line=173; SourceLine=PlayerMobile pm = from as PlayerMobile;; PathResolution=OriginalPathCurrent; MatchQuality=DependencyGraphPlayerMobileFileLine; HookKind=PlayerMobileReference; GuardList=; Access=; Command=; Handler=; DisabledEvidence=False; DependencyEvidence=Housing-&gt;PlayerMobile Core;DirectReference;Data/Scripts/Items/Houses/Remodeling/LawnItem.cs:L173:PlayerMobile || DependencyEvidence: Housing-&gt;PlayerMobile Core;DirectReference;Data/Scripts/Items/Houses/Remodeling/LawnItem.cs:L173:PlayerMobile || RuntimeHookEvidence: Data/Scripts/Items/Houses/Remodeling/LawnItem.cs:L180:Gump:SendGump || SerializationEvidence: SerializationRegisterRows=2; Server.Items.LawnItem;Item;Serialize:L194;Deserialize:L218;Risk=UnknownUntilSaveTest | Server.Items.LawnPiece;Item;Serialize:L440;Deserialize:L447;Risk=UnknownUntilSaveTest</t>
  </si>
  <si>
    <t>PreviousPostAuditBatch=POST-BATCH-K; PreviousReviewRowId=PBK-2406; CouplingKind=PlayerTypeCheckOrCast; ReviewClass=DirectPlayerTypePolicyResolvedNoChange; FutureSourceBatchNeeded=No.</t>
  </si>
  <si>
    <t>RB-05311</t>
  </si>
  <si>
    <t>P10-F05311</t>
  </si>
  <si>
    <t>PBX-0101</t>
  </si>
  <si>
    <t>Current source line evidence: Data/Scripts/Items/Houses/Remodeling/ShantyItem.cs:L173:PlayerMobile pm = from as PlayerMobile; || Prior POST-BATCH-K evidence: CurrentFile=Data/Scripts/Items/Houses/Remodeling/ShantyItem.cs; Line=173; SourceLine=PlayerMobile pm = from as PlayerMobile;; PathResolution=OriginalPathCurrent; MatchQuality=DependencyGraphPlayerMobileFileLine; HookKind=PlayerMobileReference; GuardList=; Access=; Command=; Handler=; DisabledEvidence=False; DependencyEvidence=Housing-&gt;PlayerMobile Core;DirectReference;Data/Scripts/Items/Houses/Remodeling/ShantyItem.cs:L173:PlayerMobile || DependencyEvidence: Housing-&gt;PlayerMobile Core;DirectReference;Data/Scripts/Items/Houses/Remodeling/ShantyItem.cs:L173:PlayerMobile || RuntimeHookEvidence: Data/Scripts/Items/Houses/Remodeling/ShantyItem.cs:L180:Gump:SendGump || SerializationEvidence: SerializationRegisterRows=2; Server.Items.ShantyItem;Item;Serialize:L194;Deserialize:L218;Risk=UnknownUntilSaveTest | Server.Items.ShantyPiece;Item;Serialize:L440;Deserialize:L447;Risk=UnknownUntilSaveTest</t>
  </si>
  <si>
    <t>PreviousPostAuditBatch=POST-BATCH-K; PreviousReviewRowId=PBK-2407; CouplingKind=PlayerTypeCheckOrCast; ReviewClass=DirectPlayerTypePolicyResolvedNoChange; FutureSourceBatchNeeded=No.</t>
  </si>
  <si>
    <t>RB-05312</t>
  </si>
  <si>
    <t>P10-F05312</t>
  </si>
  <si>
    <t>PBX-0102</t>
  </si>
  <si>
    <t>Current source context evidence near queued line 45: Data/Scripts/System/Regions/HouseRegion.cs:L49:else if ((from is PlayerMobile) &amp;&amp; (target is PlayerMobile)) || Prior POST-BATCH-K evidence: CurrentFile=Data/Scripts/System/Regions/HouseRegion.cs; Line=45; SourceLine=m_House.IsOwner(target) || m_House.IsCoOwner(target) || m_House.IsFriend(target); PathResolution=OriginalPathCurrent; MatchQuality=CurrentSourceLine; HookKind=PlayerMobileReference; GuardList=; Access=; Command=; Handler=; DisabledEvidence=False || DependencyEvidence: Housing-&gt;PlayerMobile Core;DirectReference;Data/Scripts/System/Regions/HouseRegion.cs:L49:PlayerMobile | Regions-&gt;PlayerMobile Core;DirectReference;Data/Scripts/System/Regions/HouseRegion.cs:L49:PlayerMobile || RuntimeHookEvidence: Data/Scripts/System/Regions/HouseRegion.cs:L23:Initialize:Initialize | Data/Scripts/System/Regions/HouseRegion.cs:L25:Event:EventSink | Data/Scripts/System/Regions/HouseRegion.cs:L411:Speech:OnSpeech || SerializationEvidence: No serialization-register rows for file.</t>
  </si>
  <si>
    <t>PreviousPostAuditBatch=POST-BATCH-K; PreviousReviewRowId=PBK-2408; CouplingKind=PvPRegionCombatPolicyCoupling; ReviewClass=PvPRegionCombatPolicyResolvedNoChange; FutureSourceBatchNeeded=No.</t>
  </si>
  <si>
    <t>RB-05313</t>
  </si>
  <si>
    <t>P10-F05313</t>
  </si>
  <si>
    <t>PBX-0103</t>
  </si>
  <si>
    <t>Current source context evidence near queued line 353: Data/Scripts/Custom/Invasion System/Add Ins/Pirates/Chasing Pirates/PirateCaptain.cs:L359:if (m is PlayerMobile) || Prior POST-BATCH-K evidence: CurrentFile=Data/Scripts/Custom/Invasion System/Add Ins/Pirates/Chasing Pirates/PirateCaptain.cs; Line=353; SourceLine=IPooledEnumerable enemyMobiles = enemy.GetMobilesInRange(16);; PathResolution=OriginalPathCurrent; MatchQuality=CurrentSourceLine; HookKind=PlayerMobileReference; GuardList=; Access=; Command=; Handler=; DisabledEvidence=False || DependencyEvidence: Invasion-&gt;PlayerMobile Core;DirectReference;Data/Scripts/Custom/Invasion System/Add Ins/Pirates/Chasing Pirates/PirateCaptain.cs:L359:PlayerMobile || RuntimeHookEvidence: Data/Scripts/Custom/Invasion System/Add Ins/Pirates/Chasing Pirates/PirateCaptain.cs:L531:Timer:CustomTimerSubclass || SerializationEvidence: SerializationRegisterRows=1; Server.Mobiles.PirateCaptainInvader;Mobile;Serialize:L601;Deserialize:L615;Risk=NamespaceOrTypeRenameDanger</t>
  </si>
  <si>
    <t>PreviousPostAuditBatch=POST-BATCH-K; PreviousReviewRowId=PBK-2409; CouplingKind=PlayerTypeCheckOrCast; ReviewClass=LineDriftContextPolicyResolvedNoChange; FutureSourceBatchNeeded=No.</t>
  </si>
  <si>
    <t>RB-05314</t>
  </si>
  <si>
    <t>P10-F05314</t>
  </si>
  <si>
    <t>Data/Scripts/Custom/Invasion System/Add Ins/SubChamps/BaseSubChampion.cs</t>
  </si>
  <si>
    <t>PBX-0104</t>
  </si>
  <si>
    <t>Current source line evidence: Data/Scripts/Custom/Invasion System/Add Ins/SubChamps/BaseSubChampion.cs:L124:if (m is PlayerMobile) || Prior POST-BATCH-K evidence: CurrentFile=Data/Scripts/Custom/Invasion System/Add Ins/SubChamps/BaseSubChampion.cs; Line=124; SourceLine=if (m is PlayerMobile); PathResolution=OriginalPathCurrent; MatchQuality=DependencyGraphPlayerMobileFileLine; HookKind=PlayerMobileReference; GuardList=; Access=; Command=; Handler=; DisabledEvidence=False; DependencyEvidence=Invasion-&gt;PlayerMobile Core;DirectReference;Data/Scripts/Custom/Invasion System/Add Ins/SubChamps/BaseSubChampion.cs:L124:PlayerMobile || DependencyEvidence: Invasion-&gt;PlayerMobile Core;DirectReference;Data/Scripts/Custom/Invasion System/Add Ins/SubChamps/BaseSubChampion.cs:L124:PlayerMobile || RuntimeHookEvidence: Data/Scripts/Custom/Invasion System/Add Ins/SubChamps/BaseSubChampion.cs:L238:Timer:CustomTimerSubclass || SerializationEvidence: SerializationRegisterRows=1; Server.Mobiles.BaseSubChampion;Controller;Serialize:L26;Deserialize:L33;Risk=NamespaceOrTypeRenameDanger</t>
  </si>
  <si>
    <t>PreviousPostAuditBatch=POST-BATCH-K; PreviousReviewRowId=PBK-2410; CouplingKind=PlayerTypeCheckOrCast; ReviewClass=DirectPlayerTypePolicyResolvedNoChange; FutureSourceBatchNeeded=No.</t>
  </si>
  <si>
    <t>RB-05315</t>
  </si>
  <si>
    <t>P10-F05315</t>
  </si>
  <si>
    <t>Data/Scripts/Custom/Invasion System/Add Ins/SubChamps/lizardmanmage.cs</t>
  </si>
  <si>
    <t>PBX-0105</t>
  </si>
  <si>
    <t>Current source line evidence: Data/Scripts/Custom/Invasion System/Add Ins/SubChamps/lizardmanmage.cs:L53:if( attacker is dovPlayerMobile ) || Prior POST-BATCH-K evidence: CurrentFile=Data/Scripts/Custom/Invasion System/Add Ins/SubChamps/lizardmanmage.cs; Line=53; SourceLine=if( attacker is dovPlayerMobile ); PathResolution=OriginalPathCurrent; MatchQuality=DependencyGraphPlayerMobileFileLine; HookKind=PlayerMobileReference; GuardList=; Access=; Command=; Handler=; DisabledEvidence=False; DependencyEvidence=Invasion-&gt;PlayerMobile Core;DirectReference;Data/Scripts/Custom/Invasion System/Add Ins/SubChamps/lizardmanmage.cs:L53:PlayerMobile || DependencyEvidence: Invasion-&gt;PlayerMobile Core;DirectReference;Data/Scripts/Custom/Invasion System/Add Ins/SubChamps/lizardmanmage.cs:L53:PlayerMobile || RuntimeHookEvidence: No runtime-hook-map row matched this file. || SerializationEvidence: SerializationRegisterRows=1; Server.Mobiles.LizardmanMage;Mobile;Serialize:L81;Deserialize:L87;Risk=NamespaceOrTypeRenameDanger</t>
  </si>
  <si>
    <t>PreviousPostAuditBatch=POST-BATCH-K; PreviousReviewRowId=PBK-2411; CouplingKind=PvPRegionCombatPolicyCoupling; ReviewClass=PvPRegionCombatPolicyResolvedNoChange; FutureSourceBatchNeeded=No.</t>
  </si>
  <si>
    <t>RB-05316</t>
  </si>
  <si>
    <t>P10-F05316</t>
  </si>
  <si>
    <t>PBX-0106</t>
  </si>
  <si>
    <t>Current source context evidence near queued line 129: Data/Scripts/Custom/Invasion System/Add Ins/SubChamps/Ssslither.cs:L138:if( attacker is dovPlayerMobile ) | Data/Scripts/Custom/Invasion System/Add Ins/SubChamps/Ssslither.cs:L140:dovPlayerMobile mobile = attacker as dovPlayerMobile; || Prior POST-BATCH-K evidence: CurrentFile=Data/Scripts/Custom/Invasion System/Add Ins/SubChamps/Ssslither.cs; Line=129; SourceLine=; PathResolution=OriginalPathCurrent; MatchQuality=CurrentFileOnly; HookKind=PlayerMobileReference; GuardList=; Access=; Command=; Handler=; DisabledEvidence=False || DependencyEvidence: Invasion-&gt;PlayerMobile Core;DirectReference;Data/Scripts/Custom/Invasion System/Add Ins/SubChamps/Ssslither.cs:L138:PlayerMobile || RuntimeHookEvidence: No runtime-hook-map row matched this file. || SerializationEvidence: SerializationRegisterRows=1; Server.Mobiles.Slither;Controller;Serialize:L163;Deserialize:L169;Risk=NamespaceOrTypeRenameDanger</t>
  </si>
  <si>
    <t>PreviousPostAuditBatch=POST-BATCH-K; PreviousReviewRowId=PBK-2412; CouplingKind=PvPRegionCombatPolicyCoupling; ReviewClass=PvPRegionCombatPolicyResolvedNoChange; FutureSourceBatchNeeded=No.</t>
  </si>
  <si>
    <t>RB-05317</t>
  </si>
  <si>
    <t>P10-F05317</t>
  </si>
  <si>
    <t>Data/Scripts/Magic/Bard/Spells/EnergyThrenodySong.cs</t>
  </si>
  <si>
    <t>PBX-0107</t>
  </si>
  <si>
    <t>Current source line evidence: Data/Scripts/Magic/Bard/Spells/EnergyThrenodySong.cs:L152:PlayerMobile p = m_Mobile as PlayerMobile; || Prior POST-BATCH-K evidence: CurrentFile=Data/Scripts/Magic/Bard/Spells/EnergyThrenodySong.cs; Line=152; SourceLine=PlayerMobile p = m_Mobile as PlayerMobile;; PathResolution=OriginalPathCurrent; MatchQuality=DependencyGraphPlayerMobileFileLine; HookKind=PlayerMobileReference; GuardList=; Access=; Command=; Handler=; DisabledEvidence=False; DependencyEvidence=Magic Schools-&gt;PlayerMobile Core;DirectReference;Data/Scripts/Magic/Bard/Spells/EnergyThrenodySong.cs:L152:PlayerMobile | Spell Framework-&gt;PlayerMobile Core;DirectReference;Data/Scripts/Magic/Bard/Spells/EnergyThrenodySong.cs:L152:PlayerMobile || DependencyEvidence: Magic Schools-&gt;PlayerMobile Core;DirectReference;Data/Scripts/Magic/Bard/Spells/EnergyThrenodySong.cs:L152:PlayerMobile | Spell Framework-&gt;PlayerMobile Core;DirectReference;Data/Scripts/Magic/Bard/Spells/EnergyThrenodySong.cs:L152:PlayerMobile || RuntimeHookEvidence: Data/Scripts/Magic/Bard/Spells/EnergyThrenodySong.cs:L138:Timer:CustomTimerSubclass || SerializationEvidence: No serialization-register rows for file.</t>
  </si>
  <si>
    <t>PreviousPostAuditBatch=POST-BATCH-K; PreviousReviewRowId=PBK-2413; CouplingKind=PlayerTypeCheckOrCast; ReviewClass=DirectPlayerTypePolicyResolvedNoChange; FutureSourceBatchNeeded=No.</t>
  </si>
  <si>
    <t>RB-05318</t>
  </si>
  <si>
    <t>P10-F05318</t>
  </si>
  <si>
    <t>PBX-0108</t>
  </si>
  <si>
    <t>Current source context evidence near queued line 138: Data/Scripts/Magic/Bard/Spells/FireCarolSong.cs:L147:PlayerMobile dpm = m_Mobile as PlayerMobile; || Prior POST-BATCH-K evidence: CurrentFile=Data/Scripts/Magic/Bard/Spells/FireCarolSong.cs; Line=138; SourceLine=public ExpireTimer(Mobile m, ResistanceMod mod, TimeSpan delay); PathResolution=OriginalPathCurrent; MatchQuality=CurrentSourceLine; HookKind=PlayerMobileReference; GuardList=; Access=; Command=; Handler=; DisabledEvidence=False || DependencyEvidence: Magic Schools-&gt;PlayerMobile Core;DirectReference;Data/Scripts/Magic/Bard/Spells/FireCarolSong.cs:L147:PlayerMobile | Spell Framework-&gt;PlayerMobile Core;DirectReference;Data/Scripts/Magic/Bard/Spells/FireCarolSong.cs:L147:PlayerMobile || RuntimeHookEvidence: Data/Scripts/Magic/Bard/Spells/FireCarolSong.cs:L133:Timer:CustomTimerSubclass || SerializationEvidence: No serialization-register rows for file.</t>
  </si>
  <si>
    <t>PreviousPostAuditBatch=POST-BATCH-K; PreviousReviewRowId=PBK-2414; CouplingKind=PlayerTypeCheckOrCast; ReviewClass=LineDriftContextPolicyResolvedNoChange; FutureSourceBatchNeeded=No.</t>
  </si>
  <si>
    <t>RB-05319</t>
  </si>
  <si>
    <t>P10-F05319</t>
  </si>
  <si>
    <t>Data/Scripts/Magic/Bard/Spells/FireThrenodySong.cs</t>
  </si>
  <si>
    <t>PBX-0109</t>
  </si>
  <si>
    <t>Current source line evidence: Data/Scripts/Magic/Bard/Spells/FireThrenodySong.cs:L66:PlayerMobile p = m as PlayerMobile; || Prior POST-BATCH-K evidence: CurrentFile=Data/Scripts/Magic/Bard/Spells/FireThrenodySong.cs; Line=66; SourceLine=PlayerMobile p = m as PlayerMobile;; PathResolution=OriginalPathCurrent; MatchQuality=DependencyGraphPlayerMobileFileLine; HookKind=PlayerMobileReference; GuardList=; Access=; Command=; Handler=; DisabledEvidence=False; DependencyEvidence=Magic Schools-&gt;PlayerMobile Core;DirectReference;Data/Scripts/Magic/Bard/Spells/FireThrenodySong.cs:L66:PlayerMobile | Spell Framework-&gt;PlayerMobile Core;DirectReference;Data/Scripts/Magic/Bard/Spells/FireThrenodySong.cs:L66:PlayerMobile || DependencyEvidence: Magic Schools-&gt;PlayerMobile Core;DirectReference;Data/Scripts/Magic/Bard/Spells/FireThrenodySong.cs:L66:PlayerMobile | Spell Framework-&gt;PlayerMobile Core;DirectReference;Data/Scripts/Magic/Bard/Spells/FireThrenodySong.cs:L66:PlayerMobile || RuntimeHookEvidence: Data/Scripts/Magic/Bard/Spells/FireThrenodySong.cs:L136:Timer:CustomTimerSubclass || SerializationEvidence: No serialization-register rows for file.</t>
  </si>
  <si>
    <t>PreviousPostAuditBatch=POST-BATCH-K; PreviousReviewRowId=PBK-2415; CouplingKind=PlayerTypeCheckOrCast; ReviewClass=DirectPlayerTypePolicyResolvedNoChange; FutureSourceBatchNeeded=No.</t>
  </si>
  <si>
    <t>RB-05320</t>
  </si>
  <si>
    <t>P10-F05320</t>
  </si>
  <si>
    <t>PBX-0110</t>
  </si>
  <si>
    <t>Current source context evidence near queued line 129: Data/Scripts/Magic/Bard/Spells/IceCarolSong.cs:L138:PlayerMobile dpm = m_Mobile as PlayerMobile; || Prior POST-BATCH-K evidence: CurrentFile=Data/Scripts/Magic/Bard/Spells/IceCarolSong.cs; Line=129; SourceLine=public ExpireTimer(Mobile m, ResistanceMod mod, TimeSpan delay); PathResolution=OriginalPathCurrent; MatchQuality=CurrentSourceLine; HookKind=PlayerMobileReference; GuardList=; Access=; Command=; Handler=; DisabledEvidence=False || DependencyEvidence: Magic Schools-&gt;PlayerMobile Core;DirectReference;Data/Scripts/Magic/Bard/Spells/IceCarolSong.cs:L138:PlayerMobile | Spell Framework-&gt;PlayerMobile Core;DirectReference;Data/Scripts/Magic/Bard/Spells/IceCarolSong.cs:L138:PlayerMobile || RuntimeHookEvidence: Data/Scripts/Magic/Bard/Spells/IceCarolSong.cs:L124:Timer:CustomTimerSubclass || SerializationEvidence: No serialization-register rows for file.</t>
  </si>
  <si>
    <t>PreviousPostAuditBatch=POST-BATCH-K; PreviousReviewRowId=PBK-2416; CouplingKind=PlayerTypeCheckOrCast; ReviewClass=LineDriftContextPolicyResolvedNoChange; FutureSourceBatchNeeded=No.</t>
  </si>
  <si>
    <t>RB-05321</t>
  </si>
  <si>
    <t>P10-F05321</t>
  </si>
  <si>
    <t>Data/Scripts/Magic/Bard/Spells/IceThrenodySong.cs</t>
  </si>
  <si>
    <t>PBX-0111</t>
  </si>
  <si>
    <t>Current source line evidence: Data/Scripts/Magic/Bard/Spells/IceThrenodySong.cs:L68:PlayerMobile p = m as PlayerMobile; || Prior POST-BATCH-K evidence: CurrentFile=Data/Scripts/Magic/Bard/Spells/IceThrenodySong.cs; Line=68; SourceLine=PlayerMobile p = m as PlayerMobile;; PathResolution=OriginalPathCurrent; MatchQuality=DependencyGraphPlayerMobileFileLine; HookKind=PlayerMobileReference; GuardList=; Access=; Command=; Handler=; DisabledEvidence=False; DependencyEvidence=Magic Schools-&gt;PlayerMobile Core;DirectReference;Data/Scripts/Magic/Bard/Spells/IceThrenodySong.cs:L68:PlayerMobile | Spell Framework-&gt;PlayerMobile Core;DirectReference;Data/Scripts/Magic/Bard/Spells/IceThrenodySong.cs:L68:PlayerMobile || DependencyEvidence: Magic Schools-&gt;PlayerMobile Core;DirectReference;Data/Scripts/Magic/Bard/Spells/IceThrenodySong.cs:L68:PlayerMobile | Spell Framework-&gt;PlayerMobile Core;DirectReference;Data/Scripts/Magic/Bard/Spells/IceThrenodySong.cs:L68:PlayerMobile || RuntimeHookEvidence: Data/Scripts/Magic/Bard/Spells/IceThrenodySong.cs:L137:Timer:CustomTimerSubclass || SerializationEvidence: No serialization-register rows for file.</t>
  </si>
  <si>
    <t>PreviousPostAuditBatch=POST-BATCH-K; PreviousReviewRowId=PBK-2417; CouplingKind=PlayerTypeCheckOrCast; ReviewClass=DirectPlayerTypePolicyResolvedNoChange; FutureSourceBatchNeeded=No.</t>
  </si>
  <si>
    <t>RB-05322</t>
  </si>
  <si>
    <t>P10-F05322</t>
  </si>
  <si>
    <t>PBX-0112</t>
  </si>
  <si>
    <t>Current source context evidence near queued line 131: Data/Scripts/Magic/Bard/Spells/PoisonCarolSong.cs:L140:PlayerMobile dpm = m_Mobile as PlayerMobile; || Prior POST-BATCH-K evidence: CurrentFile=Data/Scripts/Magic/Bard/Spells/PoisonCarolSong.cs; Line=131; SourceLine=public ExpireTimer(Mobile m, ResistanceMod mod, TimeSpan delay); PathResolution=OriginalPathCurrent; MatchQuality=CurrentSourceLine; HookKind=PlayerMobileReference; GuardList=; Access=; Command=; Handler=; DisabledEvidence=False || DependencyEvidence: Magic Schools-&gt;PlayerMobile Core;DirectReference;Data/Scripts/Magic/Bard/Spells/PoisonCarolSong.cs:L140:PlayerMobile | Spell Framework-&gt;PlayerMobile Core;DirectReference;Data/Scripts/Magic/Bard/Spells/PoisonCarolSong.cs:L140:PlayerMobile || RuntimeHookEvidence: Data/Scripts/Magic/Bard/Spells/PoisonCarolSong.cs:L126:Timer:CustomTimerSubclass || SerializationEvidence: No serialization-register rows for file.</t>
  </si>
  <si>
    <t>PreviousPostAuditBatch=POST-BATCH-K; PreviousReviewRowId=PBK-2418; CouplingKind=PlayerTypeCheckOrCast; ReviewClass=LineDriftContextPolicyResolvedNoChange; FutureSourceBatchNeeded=No.</t>
  </si>
  <si>
    <t>RB-05323</t>
  </si>
  <si>
    <t>P10-F05323</t>
  </si>
  <si>
    <t>Data/Scripts/Magic/Bard/Spells/PoisonThrenodySong.cs</t>
  </si>
  <si>
    <t>PBX-0113</t>
  </si>
  <si>
    <t>Current source line evidence: Data/Scripts/Magic/Bard/Spells/PoisonThrenodySong.cs:L68:PlayerMobile p = m as PlayerMobile; || Prior POST-BATCH-K evidence: CurrentFile=Data/Scripts/Magic/Bard/Spells/PoisonThrenodySong.cs; Line=68; SourceLine=PlayerMobile p = m as PlayerMobile;; PathResolution=OriginalPathCurrent; MatchQuality=DependencyGraphPlayerMobileFileLine; HookKind=PlayerMobileReference; GuardList=; Access=; Command=; Handler=; DisabledEvidence=False; DependencyEvidence=Magic Schools-&gt;PlayerMobile Core;DirectReference;Data/Scripts/Magic/Bard/Spells/PoisonThrenodySong.cs:L68:PlayerMobile | Spell Framework-&gt;PlayerMobile Core;DirectReference;Data/Scripts/Magic/Bard/Spells/PoisonThrenodySong.cs:L68:PlayerMobile || DependencyEvidence: Magic Schools-&gt;PlayerMobile Core;DirectReference;Data/Scripts/Magic/Bard/Spells/PoisonThrenodySong.cs:L68:PlayerMobile | Spell Framework-&gt;PlayerMobile Core;DirectReference;Data/Scripts/Magic/Bard/Spells/PoisonThrenodySong.cs:L68:PlayerMobile || RuntimeHookEvidence: Data/Scripts/Magic/Bard/Spells/PoisonThrenodySong.cs:L137:Timer:CustomTimerSubclass || SerializationEvidence: No serialization-register rows for file.</t>
  </si>
  <si>
    <t>PreviousPostAuditBatch=POST-BATCH-K; PreviousReviewRowId=PBK-2419; CouplingKind=PlayerTypeCheckOrCast; ReviewClass=DirectPlayerTypePolicyResolvedNoChange; FutureSourceBatchNeeded=No.</t>
  </si>
  <si>
    <t>RB-05324</t>
  </si>
  <si>
    <t>P10-F05324</t>
  </si>
  <si>
    <t>Data/Scripts/Magic/Death Knight/Spells/DevilPactSpell.cs</t>
  </si>
  <si>
    <t>PBX-0114</t>
  </si>
  <si>
    <t>Current source line evidence: Data/Scripts/Magic/Death Knight/Spells/DevilPactSpell.cs:L72:if (Caster is PlayerMobile) || Prior POST-BATCH-K evidence: CurrentFile=Data/Scripts/Magic/Death Knight/Spells/DevilPactSpell.cs; Line=72;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Core;DirectReference;Data/Scripts/Magic/Death Knight/Spells/DevilPactSpell.cs:L72:PlayerMobile | Spell Framework-&gt;PlayerMobile Core;DirectReference;Data/Scripts/Magic/Death Knight/Spells/DevilPactSpell.cs:L72:PlayerMobile || DependencyEvidence: Magic Schools-&gt;PlayerMobile Core;DirectReference;Data/Scripts/Magic/Death Knight/Spells/DevilPactSpell.cs:L72:PlayerMobile | Spell Framework-&gt;PlayerMobile Core;DirectReference;Data/Scripts/Magic/Death Knight/Spells/DevilPactSpell.cs:L72:PlayerMobile || RuntimeHookEvidence: No runtime-hook-map row matched this file. || SerializationEvidence: No serialization-register rows for file.</t>
  </si>
  <si>
    <t>PreviousPostAuditBatch=POST-BATCH-K; PreviousReviewRowId=PBK-2420; CouplingKind=PvPRegionCombatPolicyCoupling; ReviewClass=PvPRegionCombatPolicyResolvedNoChange; FutureSourceBatchNeeded=No.</t>
  </si>
  <si>
    <t>RB-05325</t>
  </si>
  <si>
    <t>P10-F05325</t>
  </si>
  <si>
    <t>Data/Scripts/Magic/Death Knight/Spells/GrimReaperSpell.cs</t>
  </si>
  <si>
    <t>PBX-0115</t>
  </si>
  <si>
    <t>Current source line evidence: Data/Scripts/Magic/Death Knight/Spells/GrimReaperSpell.cs:L68:if (Caster is PlayerMobile) || Prior POST-BATCH-K evidence: CurrentFile=Data/Scripts/Magic/Death Knight/Spells/GrimReaperSpell.cs; Line=68;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Core;DirectReference;Data/Scripts/Magic/Death Knight/Spells/GrimReaperSpell.cs:L68:PlayerMobile | Spell Framework-&gt;PlayerMobile Core;DirectReference;Data/Scripts/Magic/Death Knight/Spells/GrimReaperSpell.cs:L68:PlayerMobile || DependencyEvidence: Magic Schools-&gt;PlayerMobile Core;DirectReference;Data/Scripts/Magic/Death Knight/Spells/GrimReaperSpell.cs:L68:PlayerMobile | Spell Framework-&gt;PlayerMobile Core;DirectReference;Data/Scripts/Magic/Death Knight/Spells/GrimReaperSpell.cs:L68:PlayerMobile || RuntimeHookEvidence: Data/Scripts/Magic/Death Knight/Spells/GrimReaperSpell.cs:L62:Timer:Timer.DelayCall || SerializationEvidence: No serialization-register rows for file.</t>
  </si>
  <si>
    <t>PreviousPostAuditBatch=POST-BATCH-K; PreviousReviewRowId=PBK-2421; CouplingKind=PvPRegionCombatPolicyCoupling; ReviewClass=PvPRegionCombatPolicyResolvedNoChange; FutureSourceBatchNeeded=No.</t>
  </si>
  <si>
    <t>RB-05326</t>
  </si>
  <si>
    <t>P10-F05326</t>
  </si>
  <si>
    <t>Data/Scripts/Magic/Death Knight/Spells/WrathSpell.cs</t>
  </si>
  <si>
    <t>PBX-0116</t>
  </si>
  <si>
    <t>Current source line evidence: Data/Scripts/Magic/Death Knight/Spells/WrathSpell.cs:L93:if (Caster is PlayerMobile) || Prior POST-BATCH-K evidence: CurrentFile=Data/Scripts/Magic/Death Knight/Spells/WrathSpell.cs; Line=93;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Core;DirectReference;Data/Scripts/Magic/Death Knight/Spells/WrathSpell.cs:L93:PlayerMobile | Spell Framework-&gt;PlayerMobile Core;DirectReference;Data/Scripts/Magic/Death Knight/Spells/WrathSpell.cs:L93:PlayerMobile || DependencyEvidence: Magic Schools-&gt;PlayerMobile Core;DirectReference;Data/Scripts/Magic/Death Knight/Spells/WrathSpell.cs:L93:PlayerMobile | Spell Framework-&gt;PlayerMobile Core;DirectReference;Data/Scripts/Magic/Death Knight/Spells/WrathSpell.cs:L93:PlayerMobile || RuntimeHookEvidence: No runtime-hook-map row matched this file. || SerializationEvidence: No serialization-register rows for file.</t>
  </si>
  <si>
    <t>PreviousPostAuditBatch=POST-BATCH-K; PreviousReviewRowId=PBK-2422; CouplingKind=PvPRegionCombatPolicyCoupling; ReviewClass=PvPRegionCombatPolicyResolvedNoChange; FutureSourceBatchNeeded=No.</t>
  </si>
  <si>
    <t>RB-05327</t>
  </si>
  <si>
    <t>P10-F05327</t>
  </si>
  <si>
    <t>Data/Scripts/Magic/Elementalism/ElementalExit.cs</t>
  </si>
  <si>
    <t>PBX-0117</t>
  </si>
  <si>
    <t>Current source line evidence: Data/Scripts/Magic/Elementalism/ElementalExit.cs:L25:if (m is PlayerMobile) || Prior POST-BATCH-K evidence: CurrentFile=Data/Scripts/Magic/Elementalism/ElementalExit.cs; Line=25; SourceLine=if (m is PlayerMobile); PathResolution=OriginalPathCurrent; MatchQuality=DependencyGraphPlayerMobileFileLine; HookKind=PlayerMobileReference; GuardList=; Access=; Command=; Handler=; DisabledEvidence=False; DependencyEvidence=Magic Schools-&gt;PlayerMobile Core;DirectReference;Data/Scripts/Magic/Elementalism/ElementalExit.cs:L25:PlayerMobile | Spell Framework-&gt;PlayerMobile Core;DirectReference;Data/Scripts/Magic/Elementalism/ElementalExit.cs:L25:PlayerMobile || DependencyEvidence: Magic Schools-&gt;PlayerMobile Core;DirectReference;Data/Scripts/Magic/Elementalism/ElementalExit.cs:L25:PlayerMobile | Spell Framework-&gt;PlayerMobile Core;DirectReference;Data/Scripts/Magic/Elementalism/ElementalExit.cs:L25:PlayerMobile || RuntimeHookEvidence: No runtime-hook-map row matched this file. || SerializationEvidence: SerializationRegisterRows=1; Server.Items.ElementalExit;Item;Serialize:L114;Deserialize:L120;Risk=UnknownUntilSaveTest</t>
  </si>
  <si>
    <t>PreviousPostAuditBatch=POST-BATCH-K; PreviousReviewRowId=PBK-2423; CouplingKind=PlayerTypeCheckOrCast; ReviewClass=DirectPlayerTypePolicyResolvedNoChange; FutureSourceBatchNeeded=No.</t>
  </si>
  <si>
    <t>RB-05328</t>
  </si>
  <si>
    <t>P10-F05328</t>
  </si>
  <si>
    <t>PBX-0118</t>
  </si>
  <si>
    <t>Current source context evidence near queued line 44: Data/Scripts/Magic/Elementalism/ElementalShrine.cs:L28:PlayerMobile pm = m as PlayerMobile; | Data/Scripts/Magic/Elementalism/ElementalShrine.cs:L50:if (Name == "fire" &amp;&amp; pm.CharacterElement == 2) | Data/Scripts/Magic/Elementalism/ElementalShrine.cs:L61:else if (Name == "water" &amp;&amp; pm.CharacterElement == 3) | Data/Scripts/Magic/Elementalism/ElementalShrine.cs:L72:else if (Name == "air" &amp;&amp; pm.CharacterElement == 0) || Prior POST-BATCH-K evidence: CurrentFile=Data/Scripts/Magic/Elementalism/ElementalShrine.cs; Line=44; SourceLine=if (Name == "fire" &amp;&amp; ((PlayerMobile)m).CharacterElement == 2); PathResolution=OriginalPathCurrent; MatchQuality=DependencyGraphPlayerMobileFileLine; HookKind=PlayerMobileReference; GuardList=; Access=; Command=; Handler=; DisabledEvidence=False; DependencyEvidence=Magic Schools-&gt;PlayerMobile Core;DirectReference;Data/Scripts/Magic/Elementalism/ElementalShrine.cs:L44:PlayerMobile | Spell Framework-&gt;PlayerMobile Core;DirectReference;Data/Scripts/Magic/Elementalism/ElementalShrine.cs:L44:PlayerMobile || DependencyEvidence: Magic Schools-&gt;PlayerMobile Core;DirectReference;Data/Scripts/Magic/Elementalism/ElementalShrine.cs:L44:PlayerMobile | Spell Framework-&gt;PlayerMobile Core;DirectReference;Data/Scripts/Magic/Elementalism/ElementalShrine.cs:L44:PlayerMobile || RuntimeHookEvidence: Data/Scripts/Magic/Elementalism/ElementalShrine.cs:L20:Speech:OnSpeech | Data/Scripts/Magic/Elementalism/ElementalShrine.cs:L154:Gump:SendGump | Data/Scripts/Magic/Elementalism/ElementalShrine.cs:L159:Gump:SendGump || SerializationEvidence: SerializationRegisterRows=1; Server.Items.ElementalShrine;Item;Serialize:L183;Deserialize:L189;Risk=UnknownUntilSaveTest</t>
  </si>
  <si>
    <t>PreviousPostAuditBatch=POST-BATCH-K; PreviousReviewRowId=PBK-2424; CouplingKind=PlayerMobilePropertyStateAccess; ReviewClass=PlayerStateAccessPolicyResolvedNoChange; FutureSourceBatchNeeded=No.</t>
  </si>
  <si>
    <t>RB-05329</t>
  </si>
  <si>
    <t>P10-F05329</t>
  </si>
  <si>
    <t>Data/Scripts/Magic/Elementalism/ElementalSpell.cs</t>
  </si>
  <si>
    <t>PBX-0119</t>
  </si>
  <si>
    <t>Current source line evidence: Data/Scripts/Magic/Elementalism/ElementalSpell.cs:L87:int element = ((PlayerMobile)m).CharacterElement; || Prior POST-BATCH-K evidence: CurrentFile=Data/Scripts/Magic/Elementalism/ElementalSpell.cs; Line=87; SourceLine=int element = ((PlayerMobile)m).CharacterElement;; PathResolution=OriginalPathCurrent; MatchQuality=DependencyGraphPlayerMobileFileLine; HookKind=PlayerMobileReference; GuardList=; Access=; Command=; Handler=; DisabledEvidence=False; DependencyEvidence=Magic Schools-&gt;PlayerMobile Core;DirectReference;Data/Scripts/Magic/Elementalism/ElementalSpell.cs:L87:PlayerMobile | Spell Framework-&gt;PlayerMobile Core;DirectReference;Data/Scripts/Magic/Elementalism/ElementalSpell.cs:L87:PlayerMobile || DependencyEvidence: Magic Schools-&gt;PlayerMobile Core;DirectReference;Data/Scripts/Magic/Elementalism/ElementalSpell.cs:L87:PlayerMobile | Spell Framework-&gt;PlayerMobile Core;DirectReference;Data/Scripts/Magic/Elementalism/ElementalSpell.cs:L87:PlayerMobile || RuntimeHookEvidence: No runtime-hook-map row matched this file. || SerializationEvidence: No serialization-register rows for file.</t>
  </si>
  <si>
    <t>PreviousPostAuditBatch=POST-BATCH-K; PreviousReviewRowId=PBK-2425; CouplingKind=PlayerMobilePropertyStateAccess; ReviewClass=PlayerStateAccessPolicyResolvedNoChange; FutureSourceBatchNeeded=No.</t>
  </si>
  <si>
    <t>RB-05330</t>
  </si>
  <si>
    <t>P10-F05330</t>
  </si>
  <si>
    <t>PBX-0120</t>
  </si>
  <si>
    <t>Current source line evidence: Data/Scripts/Magic/Elementalism/ElementalSpellbook.cs:L90:PlayerMobile player = from as PlayerMobile; || Prior POST-BATCH-K evidence: CurrentFile=Data/Scripts/Magic/Elementalism/ElementalSpellbook.cs; Line=90; SourceLine=PlayerMobile player = from as PlayerMobile;; PathResolution=OriginalPathCurrent; MatchQuality=DependencyGraphPlayerMobileFileLine; HookKind=PlayerMobileReference; GuardList=; Access=; Command=; Handler=; DisabledEvidence=False; DependencyEvidence=Magic Schools-&gt;PlayerMobile Core;DirectReference;Data/Scripts/Magic/Elementalism/ElementalSpellbook.cs:L90:PlayerMobile | Spell Framework-&gt;PlayerMobile Core;DirectReference;Data/Scripts/Magic/Elementalism/ElementalSpellbook.cs:L90:PlayerMobile || DependencyEvidence: Magic Schools-&gt;PlayerMobile Core;DirectReference;Data/Scripts/Magic/Elementalism/ElementalSpellbook.cs:L90:PlayerMobile | Spell Framework-&gt;PlayerMobile Core;DirectReference;Data/Scripts/Magic/Elementalism/ElementalSpellbook.cs:L90:PlayerMobile || RuntimeHookEvidence: Data/Scripts/Magic/Elementalism/ElementalSpellbook.cs:L82:Gump:SendGump || SerializationEvidence: SerializationRegisterRows=1; Server.Items.ElementalSpellbook;Other;Serialize:L104;Deserialize:L112;Risk=UnknownUntilSaveTest</t>
  </si>
  <si>
    <t>PreviousPostAuditBatch=POST-BATCH-K; PreviousReviewRowId=PBK-2426; CouplingKind=PlayerMobilePropertyStateAccess; ReviewClass=PlayerStateAccessPolicyResolvedNoChange; FutureSourceBatchNeeded=No.</t>
  </si>
  <si>
    <t>RB-05331</t>
  </si>
  <si>
    <t>P10-F05331</t>
  </si>
  <si>
    <t>Data/Scripts/Magic/Elementalism/Sphere 1/Elemental_Sanctuary.cs</t>
  </si>
  <si>
    <t>PBX-0121</t>
  </si>
  <si>
    <t>Current source line evidence: Data/Scripts/Magic/Elementalism/Sphere 1/Elemental_Sanctuary.cs:L105:PlayerMobile pc = (PlayerMobile)Caster; || Prior POST-BATCH-K evidence: CurrentFile=Data/Scripts/Magic/Elementalism/Sphere 1/Elemental_Sanctuary.cs; Line=105; SourceLine=PlayerMobile pc = (PlayerMobile)Caster;; PathResolution=OriginalPathCurrent; MatchQuality=DependencyGraphPlayerMobileFileLine; HookKind=PlayerMobileReference; GuardList=; Access=; Command=; Handler=; DisabledEvidence=False; DependencyEvidence=Magic Schools-&gt;PlayerMobile Core;DirectReference;Data/Scripts/Magic/Elementalism/Sphere 1/Elemental_Sanctuary.cs:L105:PlayerMobile | Spell Framework-&gt;PlayerMobile Core;DirectReference;Data/Scripts/Magic/Elementalism/Sphere 1/Elemental_Sanctuary.cs:L105:PlayerMobile || DependencyEvidence: Magic Schools-&gt;PlayerMobile Core;DirectReference;Data/Scripts/Magic/Elementalism/Sphere 1/Elemental_Sanctuary.cs:L105:PlayerMobile | Spell Framework-&gt;PlayerMobile Core;DirectReference;Data/Scripts/Magic/Elementalism/Sphere 1/Elemental_Sanctuary.cs:L105:PlayerMobile || RuntimeHookEvidence: No runtime-hook-map row matched this file. || SerializationEvidence: No serialization-register rows for file.</t>
  </si>
  <si>
    <t>PreviousPostAuditBatch=POST-BATCH-K; PreviousReviewRowId=PBK-2427; CouplingKind=PlayerTypeCheckOrCast; ReviewClass=DirectPlayerTypePolicyResolvedNoChange; FutureSourceBatchNeeded=No.</t>
  </si>
  <si>
    <t>RB-05332</t>
  </si>
  <si>
    <t>P10-F05332</t>
  </si>
  <si>
    <t>Data/Scripts/Magic/Elementalism/Sphere 5/Elemental_Blast.cs</t>
  </si>
  <si>
    <t>PBX-0122</t>
  </si>
  <si>
    <t>Current source line evidence: Data/Scripts/Magic/Elementalism/Sphere 5/Elemental_Blast.cs:L117:if (Caster is PlayerMobile) || Prior POST-BATCH-K evidence: CurrentFile=Data/Scripts/Magic/Elementalism/Sphere 5/Elemental_Blast.cs; Line=117;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Core;DirectReference;Data/Scripts/Magic/Elementalism/Sphere 5/Elemental_Blast.cs:L117:PlayerMobile | Spell Framework-&gt;PlayerMobile Core;DirectReference;Data/Scripts/Magic/Elementalism/Sphere 5/Elemental_Blast.cs:L117:PlayerMobile || DependencyEvidence: Magic Schools-&gt;PlayerMobile Core;DirectReference;Data/Scripts/Magic/Elementalism/Sphere 5/Elemental_Blast.cs:L117:PlayerMobile | Spell Framework-&gt;PlayerMobile Core;DirectReference;Data/Scripts/Magic/Elementalism/Sphere 5/Elemental_Blast.cs:L117:PlayerMobile || RuntimeHookEvidence: Data/Scripts/Magic/Elementalism/Sphere 5/Elemental_Blast.cs:L142:Timer:Timer.DelayCall || SerializationEvidence: No serialization-register rows for file.</t>
  </si>
  <si>
    <t>PreviousPostAuditBatch=POST-BATCH-K; PreviousReviewRowId=PBK-2428; CouplingKind=PlayerTypeCheckOrCast; ReviewClass=DirectPlayerTypePolicyResolvedNoChange; FutureSourceBatchNeeded=No.</t>
  </si>
  <si>
    <t>RB-05333</t>
  </si>
  <si>
    <t>P10-F05333</t>
  </si>
  <si>
    <t>Data/Scripts/Magic/Elementalism/Sphere 5/Elemental_Fiend.cs</t>
  </si>
  <si>
    <t>PBX-0123</t>
  </si>
  <si>
    <t>Current source line evidence: Data/Scripts/Magic/Elementalism/Sphere 5/Elemental_Fiend.cs:L57:if (Caster is PlayerMobile) || Prior POST-BATCH-K evidence: CurrentFile=Data/Scripts/Magic/Elementalism/Sphere 5/Elemental_Fiend.cs; Line=57;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Core;DirectReference;Data/Scripts/Magic/Elementalism/Sphere 5/Elemental_Fiend.cs:L57:PlayerMobile | Spell Framework-&gt;PlayerMobile Core;DirectReference;Data/Scripts/Magic/Elementalism/Sphere 5/Elemental_Fiend.cs:L57:PlayerMobile || DependencyEvidence: Magic Schools-&gt;PlayerMobile Core;DirectReference;Data/Scripts/Magic/Elementalism/Sphere 5/Elemental_Fiend.cs:L57:PlayerMobile | Spell Framework-&gt;PlayerMobile Core;DirectReference;Data/Scripts/Magic/Elementalism/Sphere 5/Elemental_Fiend.cs:L57:PlayerMobile || RuntimeHookEvidence: No runtime-hook-map row matched this file. || SerializationEvidence: No serialization-register rows for file.</t>
  </si>
  <si>
    <t>PreviousPostAuditBatch=POST-BATCH-K; PreviousReviewRowId=PBK-2429; CouplingKind=PlayerTypeCheckOrCast; ReviewClass=DirectPlayerTypePolicyResolvedNoChange; FutureSourceBatchNeeded=No.</t>
  </si>
  <si>
    <t>RB-05334</t>
  </si>
  <si>
    <t>P10-F05334</t>
  </si>
  <si>
    <t>Data/Scripts/Magic/Elementalism/Sphere 8/Elemental_Soul.cs</t>
  </si>
  <si>
    <t>PBX-0124</t>
  </si>
  <si>
    <t>Current source line evidence: Data/Scripts/Magic/Elementalism/Sphere 8/Elemental_Soul.cs:L114:else if (m is PlayerMobile &amp;&amp; CheckBSequence(m, true)) || Prior POST-BATCH-K evidence: CurrentFile=Data/Scripts/Magic/Elementalism/Sphere 8/Elemental_Soul.cs; Line=114; SourceLine=else if (m is PlayerMobile &amp;&amp; CheckBSequence(m, true)); PathResolution=OriginalPathCurrent; MatchQuality=DependencyGraphPlayerMobileFileLine; HookKind=PlayerMobileReference; GuardList=; Access=; Command=; Handler=; DisabledEvidence=False; DependencyEvidence=Magic Schools-&gt;PlayerMobile Core;DirectReference;Data/Scripts/Magic/Elementalism/Sphere 8/Elemental_Soul.cs:L114:PlayerMobile | Spell Framework-&gt;PlayerMobile Core;DirectReference;Data/Scripts/Magic/Elementalism/Sphere 8/Elemental_Soul.cs:L114:PlayerMobile || DependencyEvidence: Magic Schools-&gt;PlayerMobile Core;DirectReference;Data/Scripts/Magic/Elementalism/Sphere 8/Elemental_Soul.cs:L114:PlayerMobile | Spell Framework-&gt;PlayerMobile Core;DirectReference;Data/Scripts/Magic/Elementalism/Sphere 8/Elemental_Soul.cs:L114:PlayerMobile || RuntimeHookEvidence: Data/Scripts/Magic/Elementalism/Sphere 8/Elemental_Soul.cs:L122:Gump:SendGump | Data/Scripts/Magic/Elementalism/Sphere 8/Elemental_Soul.cs:L134:Gump:SendGump || SerializationEvidence: No serialization-register rows for file.</t>
  </si>
  <si>
    <t>PreviousPostAuditBatch=POST-BATCH-K; PreviousReviewRowId=PBK-2430; CouplingKind=PlayerTypeCheckOrCast; ReviewClass=DirectPlayerTypePolicyResolvedNoChange; FutureSourceBatchNeeded=No.</t>
  </si>
  <si>
    <t>RB-05335</t>
  </si>
  <si>
    <t>P10-F05335</t>
  </si>
  <si>
    <t>PBX-0125</t>
  </si>
  <si>
    <t>Current source line evidence: Data/Scripts/Magic/Holy Man/MalletStake.cs:L75:if (!(m_Mobile is PlayerMobile)) || Prior POST-BATCH-K evidence: CurrentFile=Data/Scripts/Magic/Holy Man/MalletStake.cs; Line=75; SourceLine=if (!(m_Mobile is PlayerMobile)); PathResolution=OriginalPathCurrent; MatchQuality=DependencyGraphPlayerMobileFileLine; HookKind=PlayerMobileReference; GuardList=; Access=; Command=; Handler=; DisabledEvidence=False; DependencyEvidence=Magic Schools-&gt;PlayerMobile Core;DirectReference;Data/Scripts/Magic/Holy Man/MalletStake.cs:L75:PlayerMobile | Spell Framework-&gt;PlayerMobile Core;DirectReference;Data/Scripts/Magic/Holy Man/MalletStake.cs:L75:PlayerMobile || DependencyEvidence: Magic Schools-&gt;PlayerMobile Core;DirectReference;Data/Scripts/Magic/Holy Man/MalletStake.cs:L75:PlayerMobile | Spell Framework-&gt;PlayerMobile Core;DirectReference;Data/Scripts/Magic/Holy Man/MalletStake.cs:L75:PlayerMobile || RuntimeHookEvidence: Data/Scripts/Magic/Holy Man/MalletStake.cs:L95:Gump:SendGump || SerializationEvidence: SerializationRegisterRows=1; Server.Items.MalletStake;Item;Serialize:L189;Deserialize:L196;Risk=UnknownUntilSaveTest</t>
  </si>
  <si>
    <t>PreviousPostAuditBatch=POST-BATCH-K; PreviousReviewRowId=PBK-2431; CouplingKind=PlayerTypeCheckOrCast; ReviewClass=DirectPlayerTypePolicyResolvedNoChange; FutureSourceBatchNeeded=No.</t>
  </si>
  <si>
    <t>RB-05336</t>
  </si>
  <si>
    <t>P10-F05336</t>
  </si>
  <si>
    <t>Data/Scripts/Magic/Holy Man/Spells/BanishEvilSpell.cs</t>
  </si>
  <si>
    <t>PBX-0126</t>
  </si>
  <si>
    <t>Current source line evidence: Data/Scripts/Magic/Holy Man/Spells/BanishEvilSpell.cs:L51:else if (m is PlayerMobile) || Prior POST-BATCH-K evidence: CurrentFile=Data/Scripts/Magic/Holy Man/Spells/BanishEvilSpell.cs; Line=51; SourceLine=else if (m is PlayerMobile); PathResolution=OriginalPathCurrent; MatchQuality=DependencyGraphPlayerMobileFileLine; HookKind=PlayerMobileReference; GuardList=; Access=; Command=; Handler=; DisabledEvidence=False; DependencyEvidence=Magic Schools-&gt;PlayerMobile Core;DirectReference;Data/Scripts/Magic/Holy Man/Spells/BanishEvilSpell.cs:L51:PlayerMobile | Spell Framework-&gt;PlayerMobile Core;DirectReference;Data/Scripts/Magic/Holy Man/Spells/BanishEvilSpell.cs:L51:PlayerMobile || DependencyEvidence: Magic Schools-&gt;PlayerMobile Core;DirectReference;Data/Scripts/Magic/Holy Man/Spells/BanishEvilSpell.cs:L51:PlayerMobile | Spell Framework-&gt;PlayerMobile Core;DirectReference;Data/Scripts/Magic/Holy Man/Spells/BanishEvilSpell.cs:L51:PlayerMobile || RuntimeHookEvidence: Data/Scripts/Magic/Holy Man/Spells/BanishEvilSpell.cs:L106:Timer:CustomTimerSubclass || SerializationEvidence: No serialization-register rows for file.</t>
  </si>
  <si>
    <t>PreviousPostAuditBatch=POST-BATCH-K; PreviousReviewRowId=PBK-2432; CouplingKind=PlayerTypeCheckOrCast; ReviewClass=DirectPlayerTypePolicyResolvedNoChange; FutureSourceBatchNeeded=No.</t>
  </si>
  <si>
    <t>RB-05337</t>
  </si>
  <si>
    <t>P10-F05337</t>
  </si>
  <si>
    <t>Data/Scripts/Magic/Holy Man/Spells/NourishSpell.cs</t>
  </si>
  <si>
    <t>PBX-0127</t>
  </si>
  <si>
    <t>Current source line evidence: Data/Scripts/Magic/Holy Man/Spells/NourishSpell.cs:L44:else if (!(m is PlayerMobile)) || Prior POST-BATCH-K evidence: CurrentFile=Data/Scripts/Magic/Holy Man/Spells/NourishSpell.cs; Line=44; SourceLine=else if (!(m is PlayerMobile)); PathResolution=OriginalPathCurrent; MatchQuality=DependencyGraphPlayerMobileFileLine; HookKind=PlayerMobileReference; GuardList=; Access=; Command=; Handler=; DisabledEvidence=False; DependencyEvidence=Magic Schools-&gt;PlayerMobile Core;DirectReference;Data/Scripts/Magic/Holy Man/Spells/NourishSpell.cs:L44:PlayerMobile | Spell Framework-&gt;PlayerMobile Core;DirectReference;Data/Scripts/Magic/Holy Man/Spells/NourishSpell.cs:L44:PlayerMobile || DependencyEvidence: Magic Schools-&gt;PlayerMobile Core;DirectReference;Data/Scripts/Magic/Holy Man/Spells/NourishSpell.cs:L44:PlayerMobile | Spell Framework-&gt;PlayerMobile Core;DirectReference;Data/Scripts/Magic/Holy Man/Spells/NourishSpell.cs:L44:PlayerMobile || RuntimeHookEvidence: No runtime-hook-map row matched this file. || SerializationEvidence: No serialization-register rows for file.</t>
  </si>
  <si>
    <t>PreviousPostAuditBatch=POST-BATCH-K; PreviousReviewRowId=PBK-2433; CouplingKind=PlayerTypeCheckOrCast; ReviewClass=DirectPlayerTypePolicyResolvedNoChange; FutureSourceBatchNeeded=No.</t>
  </si>
  <si>
    <t>RB-05338</t>
  </si>
  <si>
    <t>P10-F05338</t>
  </si>
  <si>
    <t>Data/Scripts/Magic/Holy Man/Spells/RebirthSpell.cs</t>
  </si>
  <si>
    <t>PBX-0128</t>
  </si>
  <si>
    <t>Current source line evidence: Data/Scripts/Magic/Holy Man/Spells/RebirthSpell.cs:L95:else if (m is PlayerMobile &amp;&amp; CheckBSequence(m, true)) || Prior POST-BATCH-K evidence: CurrentFile=Data/Scripts/Magic/Holy Man/Spells/RebirthSpell.cs; Line=95; SourceLine=else if (m is PlayerMobile &amp;&amp; CheckBSequence(m, true)); PathResolution=OriginalPathCurrent; MatchQuality=DependencyGraphPlayerMobileFileLine; HookKind=PlayerMobileReference; GuardList=; Access=; Command=; Handler=; DisabledEvidence=False; DependencyEvidence=Magic Schools-&gt;PlayerMobile Core;DirectReference;Data/Scripts/Magic/Holy Man/Spells/RebirthSpell.cs:L95:PlayerMobile | Spell Framework-&gt;PlayerMobile Core;DirectReference;Data/Scripts/Magic/Holy Man/Spells/RebirthSpell.cs:L95:PlayerMobile || DependencyEvidence: Magic Schools-&gt;PlayerMobile Core;DirectReference;Data/Scripts/Magic/Holy Man/Spells/RebirthSpell.cs:L95:PlayerMobile | Spell Framework-&gt;PlayerMobile Core;DirectReference;Data/Scripts/Magic/Holy Man/Spells/RebirthSpell.cs:L95:PlayerMobile || RuntimeHookEvidence: Data/Scripts/Magic/Holy Man/Spells/RebirthSpell.cs:L103:Gump:SendGump | Data/Scripts/Magic/Holy Man/Spells/RebirthSpell.cs:L116:Gump:SendGump || SerializationEvidence: No serialization-register rows for file.</t>
  </si>
  <si>
    <t>PreviousPostAuditBatch=POST-BATCH-K; PreviousReviewRowId=PBK-2434; CouplingKind=PlayerTypeCheckOrCast; ReviewClass=DirectPlayerTypePolicyResolvedNoChange; FutureSourceBatchNeeded=No.</t>
  </si>
  <si>
    <t>RB-05339</t>
  </si>
  <si>
    <t>P10-F05339</t>
  </si>
  <si>
    <t>Data/Scripts/Magic/Mystic/MysticSpellBook.cs</t>
  </si>
  <si>
    <t>PBX-0129</t>
  </si>
  <si>
    <t>Current source line evidence: Data/Scripts/Magic/Mystic/MysticSpellBook.cs:L596:if (from is PlayerMobile) || Prior POST-BATCH-K evidence: CurrentFile=Data/Scripts/Magic/Mystic/MysticSpellBook.cs; Line=596; SourceLine=if (from is PlayerMobile); PathResolution=OriginalPathCurrent; MatchQuality=DependencyGraphPlayerMobileFileLine; HookKind=PlayerMobileReference; GuardList=; Access=; Command=; Handler=; DisabledEvidence=False; DependencyEvidence=Magic Schools-&gt;PlayerMobile Core;DirectReference;Data/Scripts/Magic/Mystic/MysticSpellBook.cs:L596:PlayerMobile | Spell Framework-&gt;PlayerMobile Core;DirectReference;Data/Scripts/Magic/Mystic/MysticSpellBook.cs:L596:PlayerMobile || DependencyEvidence: Magic Schools-&gt;PlayerMobile Core;DirectReference;Data/Scripts/Magic/Mystic/MysticSpellBook.cs:L596:PlayerMobile | Spell Framework-&gt;PlayerMobile Core;DirectReference;Data/Scripts/Magic/Mystic/MysticSpellBook.cs:L596:PlayerMobile || RuntimeHookEvidence: Data/Scripts/Magic/Mystic/MysticSpellBook.cs:L143:Gump:SendGump || SerializationEvidence: SerializationRegisterRows=1; Server.Items.MysticSpellbook;Other;Serialize:L2224;Deserialize:L2333;Risk=UnknownUntilSaveTest</t>
  </si>
  <si>
    <t>PreviousPostAuditBatch=POST-BATCH-K; PreviousReviewRowId=PBK-2435; CouplingKind=PlayerTypeCheckOrCast; ReviewClass=DirectPlayerTypePolicyResolvedNoChange; FutureSourceBatchNeeded=No.</t>
  </si>
  <si>
    <t>RB-05340</t>
  </si>
  <si>
    <t>P10-F05340</t>
  </si>
  <si>
    <t>Data/Scripts/Magic/Mystic/Spells/Leap.cs</t>
  </si>
  <si>
    <t>PBX-0130</t>
  </si>
  <si>
    <t>Current source line evidence: Data/Scripts/Magic/Mystic/Spells/Leap.cs:L80:if (Caster is PlayerMobile) || Prior POST-BATCH-K evidence: CurrentFile=Data/Scripts/Magic/Mystic/Spells/Leap.cs; Line=80; SourceLine=if (Caster is PlayerMobile); PathResolution=OriginalPathCurrent; MatchQuality=DependencyGraphPlayerMobileFileLine; HookKind=PlayerMobileReference; GuardList=; Access=; Command=; Handler=; DisabledEvidence=False; DependencyEvidence=Magic Schools-&gt;PlayerMobile Core;DirectReference;Data/Scripts/Magic/Mystic/Spells/Leap.cs:L80:PlayerMobile | Spell Framework-&gt;PlayerMobile Core;DirectReference;Data/Scripts/Magic/Mystic/Spells/Leap.cs:L80:PlayerMobile || DependencyEvidence: Magic Schools-&gt;PlayerMobile Core;DirectReference;Data/Scripts/Magic/Mystic/Spells/Leap.cs:L80:PlayerMobile | Spell Framework-&gt;PlayerMobile Core;DirectReference;Data/Scripts/Magic/Mystic/Spells/Leap.cs:L80:PlayerMobile || RuntimeHookEvidence: No runtime-hook-map row matched this file. || SerializationEvidence: No serialization-register rows for file.</t>
  </si>
  <si>
    <t>PreviousPostAuditBatch=POST-BATCH-K; PreviousReviewRowId=PBK-2436; CouplingKind=PlayerTypeCheckOrCast; ReviewClass=DirectPlayerTypePolicyResolvedNoChange; FutureSourceBatchNeeded=No.</t>
  </si>
  <si>
    <t>RB-05341</t>
  </si>
  <si>
    <t>P10-F05341</t>
  </si>
  <si>
    <t>Data/Scripts/Magic/Research/ResearchFunctions.cs</t>
  </si>
  <si>
    <t>PBX-0131</t>
  </si>
  <si>
    <t>Current source line evidence: Data/Scripts/Magic/Research/ResearchFunctions.cs:L24:if (m is PlayerMobile) || Prior POST-BATCH-K evidence: CurrentFile=Data/Scripts/Magic/Research/ResearchFunctions.cs; Line=24; SourceLine=if (m is PlayerMobile); PathResolution=OriginalPathCurrent; MatchQuality=DependencyGraphPlayerMobileFileLine; HookKind=PlayerMobileReference; GuardList=; Access=; Command=; Handler=; DisabledEvidence=False; DependencyEvidence=Magic Schools-&gt;PlayerMobile Core;DirectReference;Data/Scripts/Magic/Research/ResearchFunctions.cs:L24:PlayerMobile | Spell Framework-&gt;PlayerMobile Core;DirectReference;Data/Scripts/Magic/Research/ResearchFunctions.cs:L24:PlayerMobile || DependencyEvidence: Magic Schools-&gt;PlayerMobile Core;DirectReference;Data/Scripts/Magic/Research/ResearchFunctions.cs:L24:PlayerMobile | Spell Framework-&gt;PlayerMobile Core;DirectReference;Data/Scripts/Magic/Research/ResearchFunctions.cs:L24:PlayerMobile || RuntimeHookEvidence: No runtime-hook-map row matched this file. || SerializationEvidence: No serialization-register rows for file.</t>
  </si>
  <si>
    <t>PreviousPostAuditBatch=POST-BATCH-K; PreviousReviewRowId=PBK-2437; CouplingKind=PlayerTypeCheckOrCast; ReviewClass=DirectPlayerTypePolicyResolvedNoChange; FutureSourceBatchNeeded=No.</t>
  </si>
  <si>
    <t>RB-05342</t>
  </si>
  <si>
    <t>P10-F05342</t>
  </si>
  <si>
    <t>PBX-0132</t>
  </si>
  <si>
    <t>Current source context evidence near queued line 70: Data/Scripts/Magic/Research/Spells/Death/ResearchDeathSpeak.cs:L74:if (!(body.m_Owner is PlayerMobile)) || Prior POST-BATCH-K evidence: CurrentFile=Data/Scripts/Magic/Research/Spells/Death/ResearchDeathSpeak.cs; Line=70; SourceLine=if (item is Corpse &amp;&amp; !((Corpse)item).Channeled &amp;&amp; !((Corpse)item).Animated); PathResolution=OriginalPathCurrent; MatchQuality=CurrentSourceLine; HookKind=PlayerMobileReference; GuardList=; Access=; Command=; Handler=; DisabledEvidence=False || DependencyEvidence: Magic Schools-&gt;PlayerMobile Core;DirectReference;Data/Scripts/Magic/Research/Spells/Death/ResearchDeathSpeak.cs:L74:PlayerMobile | Spell Framework-&gt;PlayerMobile Core;DirectReference;Data/Scripts/Magic/Research/Spells/Death/ResearchDeathSpeak.cs:L74:PlayerMobile || RuntimeHookEvidence: No runtime-hook-map row matched this file. || SerializationEvidence: No serialization-register rows for file.</t>
  </si>
  <si>
    <t>PreviousPostAuditBatch=POST-BATCH-K; PreviousReviewRowId=PBK-2438; CouplingKind=PvPRegionCombatPolicyCoupling; ReviewClass=PvPRegionCombatPolicyResolvedNoChange; FutureSourceBatchNeeded=No.</t>
  </si>
  <si>
    <t>RB-05343</t>
  </si>
  <si>
    <t>P10-F05343</t>
  </si>
  <si>
    <t>PBX-0133</t>
  </si>
  <si>
    <t>Current source context evidence near queued line 360: Data/Scripts/Magic/Research/Spells/Death/ResearchOpenGround.cs:L369:if (owner is PlayerMobile &amp;&amp; owner != null) | Data/Scripts/Magic/Research/Spells/Death/ResearchOpenGround.cs:L382:else if (m is PlayerMobile) | Data/Scripts/Magic/Research/Spells/Death/ResearchOpenGround.cs:L398:((PlayerMobile)m).CharacterPublicDoor = || Prior POST-BATCH-K evidence: CurrentFile=Data/Scripts/Magic/Research/Spells/Death/ResearchOpenGround.cs; Line=360; SourceLine=}; PathResolution=OriginalPathCurrent; MatchQuality=CurrentSourceLine; HookKind=PlayerMobileReference; GuardList=; Access=; Command=; Handler=; DisabledEvidence=False || DependencyEvidence: Magic Schools-&gt;PlayerMobile Core;DirectReference;Data/Scripts/Magic/Research/Spells/Death/ResearchOpenGround.cs:L369:PlayerMobile | Spell Framework-&gt;PlayerMobile Core;DirectReference;Data/Scripts/Magic/Research/Spells/Death/ResearchOpenGround.cs:L369:PlayerMobile || RuntimeHookEvidence: Data/Scripts/Magic/Research/Spells/Death/ResearchOpenGround.cs:L430:Timer:Timer.DelayCall || SerializationEvidence: SerializationRegisterRows=1; Server.Spells.Research.OpenGround;Item;Serialize:L433;Deserialize:L441;Risk=UnknownUntilSaveTest</t>
  </si>
  <si>
    <t>PreviousPostAuditBatch=POST-BATCH-K; PreviousReviewRowId=PBK-2439; CouplingKind=PvPRegionCombatPolicyCoupling; ReviewClass=PvPRegionCombatPolicyResolvedNoChange; FutureSourceBatchNeeded=No.</t>
  </si>
  <si>
    <t>RB-05344</t>
  </si>
  <si>
    <t>P10-F05344</t>
  </si>
  <si>
    <t>Data/Scripts/Magic/Research/Spells/Death/ResearchWithstandDeath.cs</t>
  </si>
  <si>
    <t>PBX-0134</t>
  </si>
  <si>
    <t>Current source line evidence: Data/Scripts/Magic/Research/Spells/Death/ResearchWithstandDeath.cs:L198:&amp;&amp; m is PlayerMobile || Prior POST-BATCH-K evidence: CurrentFile=Data/Scripts/Magic/Research/Spells/Death/ResearchWithstandDeath.cs; Line=198; SourceLine=&amp;&amp; m is PlayerMobile; PathResolution=OriginalPathCurrent; MatchQuality=DependencyGraphPlayerMobileFileLine; HookKind=PlayerMobileReference; GuardList=; Access=; Command=; Handler=; DisabledEvidence=False; DependencyEvidence=Magic Schools-&gt;PlayerMobile Core;DirectReference;Data/Scripts/Magic/Research/Spells/Death/ResearchWithstandDeath.cs:L198:PlayerMobile | Spell Framework-&gt;PlayerMobile Core;DirectReference;Data/Scripts/Magic/Research/Spells/Death/ResearchWithstandDeath.cs:L198:PlayerMobile || DependencyEvidence: Magic Schools-&gt;PlayerMobile Core;DirectReference;Data/Scripts/Magic/Research/Spells/Death/ResearchWithstandDeath.cs:L198:PlayerMobile | Spell Framework-&gt;PlayerMobile Core;DirectReference;Data/Scripts/Magic/Research/Spells/Death/ResearchWithstandDeath.cs:L198:PlayerMobile || RuntimeHookEvidence: No runtime-hook-map row matched this file. || SerializationEvidence: SerializationRegisterRows=1; Server.Spells.Research.JewelImmortality;Item;Serialize:L176;Deserialize:L182;Risk=UnknownUntilSaveTest</t>
  </si>
  <si>
    <t>PreviousPostAuditBatch=POST-BATCH-K; PreviousReviewRowId=PBK-2440; CouplingKind=PvPRegionCombatPolicyCoupling; ReviewClass=PvPRegionCombatPolicyResolvedNoChange; FutureSourceBatchNeeded=No.</t>
  </si>
  <si>
    <t>RB-05345</t>
  </si>
  <si>
    <t>P10-F05345</t>
  </si>
  <si>
    <t>Data/Scripts/Magic/Research/Spells/Enchanting/ResearchCauseFear.cs</t>
  </si>
  <si>
    <t>PBX-0135</t>
  </si>
  <si>
    <t>Current source line evidence: Data/Scripts/Magic/Research/Spells/Enchanting/ResearchCauseFear.cs:L98:if (m is PlayerMobile) || Prior POST-BATCH-K evidence: CurrentFile=Data/Scripts/Magic/Research/Spells/Enchanting/ResearchCauseFear.cs; Line=98; SourceLine=if (m is PlayerMobile); PathResolution=OriginalPathCurrent; MatchQuality=DependencyGraphPlayerMobileFileLine; HookKind=PlayerMobileReference; GuardList=; Access=; Command=; Handler=; DisabledEvidence=False; DependencyEvidence=Magic Schools-&gt;PlayerMobile Core;DirectReference;Data/Scripts/Magic/Research/Spells/Enchanting/ResearchCauseFear.cs:L98:PlayerMobile | Spell Framework-&gt;PlayerMobile Core;DirectReference;Data/Scripts/Magic/Research/Spells/Enchanting/ResearchCauseFear.cs:L98:PlayerMobile || DependencyEvidence: Magic Schools-&gt;PlayerMobile Core;DirectReference;Data/Scripts/Magic/Research/Spells/Enchanting/ResearchCauseFear.cs:L98:PlayerMobile | Spell Framework-&gt;PlayerMobile Core;DirectReference;Data/Scripts/Magic/Research/Spells/Enchanting/ResearchCauseFear.cs:L98:PlayerMobile || RuntimeHookEvidence: No runtime-hook-map row matched this file. || SerializationEvidence: No serialization-register rows for file.</t>
  </si>
  <si>
    <t>PreviousPostAuditBatch=POST-BATCH-K; PreviousReviewRowId=PBK-2441; CouplingKind=PlayerTypeCheckOrCast; ReviewClass=DirectPlayerTypePolicyResolvedNoChange; FutureSourceBatchNeeded=No.</t>
  </si>
  <si>
    <t>RB-05346</t>
  </si>
  <si>
    <t>P10-F05346</t>
  </si>
  <si>
    <t>Data/Scripts/Magic/Research/Spells/Enchanting/ResearchCharm.cs</t>
  </si>
  <si>
    <t>PBX-0136</t>
  </si>
  <si>
    <t>Current source line evidence: Data/Scripts/Magic/Research/Spells/Enchanting/ResearchCharm.cs:L77:else if (m is PlayerMobile) || Prior POST-BATCH-K evidence: CurrentFile=Data/Scripts/Magic/Research/Spells/Enchanting/ResearchCharm.cs; Line=77; SourceLine=else if (m is PlayerMobile); PathResolution=OriginalPathCurrent; MatchQuality=DependencyGraphPlayerMobileFileLine; HookKind=PlayerMobileReference; GuardList=; Access=; Command=; Handler=; DisabledEvidence=False; DependencyEvidence=Magic Schools-&gt;PlayerMobile Core;DirectReference;Data/Scripts/Magic/Research/Spells/Enchanting/ResearchCharm.cs:L77:PlayerMobile | Spell Framework-&gt;PlayerMobile Core;DirectReference;Data/Scripts/Magic/Research/Spells/Enchanting/ResearchCharm.cs:L77:PlayerMobile || DependencyEvidence: Magic Schools-&gt;PlayerMobile Core;DirectReference;Data/Scripts/Magic/Research/Spells/Enchanting/ResearchCharm.cs:L77:PlayerMobile | Spell Framework-&gt;PlayerMobile Core;DirectReference;Data/Scripts/Magic/Research/Spells/Enchanting/ResearchCharm.cs:L77:PlayerMobile || RuntimeHookEvidence: Data/Scripts/Magic/Research/Spells/Enchanting/ResearchCharm.cs:L180:Timer:CustomTimerSubclass || SerializationEvidence: No serialization-register rows for file.</t>
  </si>
  <si>
    <t>PreviousPostAuditBatch=POST-BATCH-K; PreviousReviewRowId=PBK-2442; CouplingKind=PlayerTypeCheckOrCast; ReviewClass=DirectPlayerTypePolicyResolvedNoChange; FutureSourceBatchNeeded=No.</t>
  </si>
  <si>
    <t>RB-05347</t>
  </si>
  <si>
    <t>P10-F05347</t>
  </si>
  <si>
    <t>PBX-0137</t>
  </si>
  <si>
    <t>Current source context evidence near queued line 134: Data/Scripts/Magic/Research/Spells/Sorcery/ResearchEndureCold.cs:L143:PlayerMobile dpm = m_Mobile as PlayerMobile; || Prior POST-BATCH-K evidence: CurrentFile=Data/Scripts/Magic/Research/Spells/Sorcery/ResearchEndureCold.cs; Line=134; SourceLine=public ExpireTimer(Mobile m, ResistanceMod mod, TimeSpan delay); PathResolution=OriginalPathCurrent; MatchQuality=CurrentSourceLine; HookKind=PlayerMobileReference; GuardList=; Access=; Command=; Handler=; DisabledEvidence=False || DependencyEvidence: Magic Schools-&gt;PlayerMobile Core;DirectReference;Data/Scripts/Magic/Research/Spells/Sorcery/ResearchEndureCold.cs:L143:PlayerMobile | Spell Framework-&gt;PlayerMobile Core;DirectReference;Data/Scripts/Magic/Research/Spells/Sorcery/ResearchEndureCold.cs:L143:PlayerMobile || RuntimeHookEvidence: Data/Scripts/Magic/Research/Spells/Sorcery/ResearchEndureCold.cs:L129:Timer:CustomTimerSubclass || SerializationEvidence: No serialization-register rows for file.</t>
  </si>
  <si>
    <t>PreviousPostAuditBatch=POST-BATCH-K; PreviousReviewRowId=PBK-2443; CouplingKind=PlayerTypeCheckOrCast; ReviewClass=LineDriftContextPolicyResolvedNoChange; FutureSourceBatchNeeded=No.</t>
  </si>
  <si>
    <t>RB-05348</t>
  </si>
  <si>
    <t>P10-F05348</t>
  </si>
  <si>
    <t>PBX-0138</t>
  </si>
  <si>
    <t>Current source context evidence near queued line 134: Data/Scripts/Magic/Research/Spells/Sorcery/ResearchEndureHeat.cs:L143:PlayerMobile dpm = m_Mobile as PlayerMobile; || Prior POST-BATCH-K evidence: CurrentFile=Data/Scripts/Magic/Research/Spells/Sorcery/ResearchEndureHeat.cs; Line=134; SourceLine=public ExpireTimer(Mobile m, ResistanceMod mod, TimeSpan delay); PathResolution=OriginalPathCurrent; MatchQuality=CurrentSourceLine; HookKind=PlayerMobileReference; GuardList=; Access=; Command=; Handler=; DisabledEvidence=False || DependencyEvidence: Magic Schools-&gt;PlayerMobile Core;DirectReference;Data/Scripts/Magic/Research/Spells/Sorcery/ResearchEndureHeat.cs:L143:PlayerMobile | Spell Framework-&gt;PlayerMobile Core;DirectReference;Data/Scripts/Magic/Research/Spells/Sorcery/ResearchEndureHeat.cs:L143:PlayerMobile || RuntimeHookEvidence: Data/Scripts/Magic/Research/Spells/Sorcery/ResearchEndureHeat.cs:L129:Timer:CustomTimerSubclass || SerializationEvidence: No serialization-register rows for file.</t>
  </si>
  <si>
    <t>PreviousPostAuditBatch=POST-BATCH-K; PreviousReviewRowId=PBK-2444; CouplingKind=PlayerTypeCheckOrCast; ReviewClass=LineDriftContextPolicyResolvedNoChange; FutureSourceBatchNeeded=No.</t>
  </si>
  <si>
    <t>RB-05349</t>
  </si>
  <si>
    <t>P10-F05349</t>
  </si>
  <si>
    <t>Data/Scripts/Magic/Research/Spells/Thaumaturgy/ResearchDevastation.cs</t>
  </si>
  <si>
    <t>PBX-0139</t>
  </si>
  <si>
    <t>Current source line evidence: Data/Scripts/Magic/Research/Spells/Thaumaturgy/ResearchDevastation.cs:L213:if (m is PlayerMobile) || Prior POST-BATCH-K evidence: CurrentFile=Data/Scripts/Magic/Research/Spells/Thaumaturgy/ResearchDevastation.cs; Line=213; SourceLine=if (m is PlayerMobile); PathResolution=OriginalPathCurrent; MatchQuality=DependencyGraphPlayerMobileFileLine; HookKind=PlayerMobileReference; GuardList=; Access=; Command=; Handler=; DisabledEvidence=False; DependencyEvidence=Magic Schools-&gt;PlayerMobile Core;DirectReference;Data/Scripts/Magic/Research/Spells/Thaumaturgy/ResearchDevastation.cs:L213:PlayerMobile | Spell Framework-&gt;PlayerMobile Core;DirectReference;Data/Scripts/Magic/Research/Spells/Thaumaturgy/ResearchDevastation.cs:L213:PlayerMobile || DependencyEvidence: Magic Schools-&gt;PlayerMobile Core;DirectReference;Data/Scripts/Magic/Research/Spells/Thaumaturgy/ResearchDevastation.cs:L213:PlayerMobile | Spell Framework-&gt;PlayerMobile Core;DirectReference;Data/Scripts/Magic/Research/Spells/Thaumaturgy/ResearchDevastation.cs:L213:PlayerMobile || RuntimeHookEvidence: Data/Scripts/Magic/Research/Spells/Thaumaturgy/ResearchDevastation.cs:L279:Timer:CustomTimerSubclass || SerializationEvidence: No serialization-register rows for file.</t>
  </si>
  <si>
    <t>PreviousPostAuditBatch=POST-BATCH-K; PreviousReviewRowId=PBK-2445; CouplingKind=PlayerTypeCheckOrCast; ReviewClass=DirectPlayerTypePolicyResolvedNoChange; FutureSourceBatchNeeded=No.</t>
  </si>
  <si>
    <t>RB-05350</t>
  </si>
  <si>
    <t>P10-F05350</t>
  </si>
  <si>
    <t>PBX-0140</t>
  </si>
  <si>
    <t>Current source context evidence near queued line 77: Data/Scripts/Magic/Research/Spells/Theurgy/ResearchDivination.cs:L94:if (targeted is PlayerMobile) || Prior POST-BATCH-K evidence: CurrentFile=Data/Scripts/Magic/Research/Spells/Theurgy/ResearchDivination.cs; Line=77; SourceLine=if (targeted is PlayerMobile); PathResolution=OriginalPathCurrent; MatchQuality=DependencyGraphPlayerMobileFileLine; HookKind=PlayerMobileReference; GuardList=; Access=; Command=; Handler=; DisabledEvidence=False; DependencyEvidence=Magic Schools-&gt;PlayerMobile Core;DirectReference;Data/Scripts/Magic/Research/Spells/Theurgy/ResearchDivination.cs:L77:PlayerMobile | Spell Framework-&gt;PlayerMobile Core;DirectReference;Data/Scripts/Magic/Research/Spells/Theurgy/ResearchDivination.cs:L77:PlayerMobile || DependencyEvidence: Magic Schools-&gt;PlayerMobile Core;DirectReference;Data/Scripts/Magic/Research/Spells/Theurgy/ResearchDivination.cs:L77:PlayerMobile | Spell Framework-&gt;PlayerMobile Core;DirectReference;Data/Scripts/Magic/Research/Spells/Theurgy/ResearchDivination.cs:L77:PlayerMobile || RuntimeHookEvidence: Data/Scripts/Magic/Research/Spells/Theurgy/ResearchDivination.cs:L81:Gump:SendGump | Data/Scripts/Magic/Research/Spells/Theurgy/ResearchDivination.cs:L125:Gump:SendGump | Data/Scripts/Magic/Research/Spells/Theurgy/ResearchDivination.cs:L133:Gump:SendGump || SerializationEvidence: No serialization-register rows for file.</t>
  </si>
  <si>
    <t>PreviousPostAuditBatch=POST-BATCH-K; PreviousReviewRowId=PBK-2446; CouplingKind=PvPRegionCombatPolicyCoupling; ReviewClass=PvPRegionCombatPolicyResolvedNoChange; FutureSourceBatchNeeded=No.</t>
  </si>
  <si>
    <t>RB-05351</t>
  </si>
  <si>
    <t>P10-F05351</t>
  </si>
  <si>
    <t>Data/Scripts/Magic/Research/Spells/Theurgy/ResearchFadefromSight.cs</t>
  </si>
  <si>
    <t>PBX-0141</t>
  </si>
  <si>
    <t>Current source line evidence: Data/Scripts/Magic/Research/Spells/Theurgy/ResearchFadefromSight.cs:L58:PlayerMobile pm = Caster as PlayerMobile; // IsStealthing should be moved to Server.Mobiles || Prior POST-BATCH-K evidence: CurrentFile=Data/Scripts/Magic/Research/Spells/Theurgy/ResearchFadefromSight.cs; Line=58; SourceLine=PlayerMobile pm = Caster as PlayerMobile; // IsStealthing should be moved to Server.Mobiles; PathResolution=OriginalPathCurrent; MatchQuality=DependencyGraphPlayerMobileFileLine; HookKind=PlayerMobileReference; GuardList=; Access=; Command=; Handler=; DisabledEvidence=False; DependencyEvidence=Magic Schools-&gt;PlayerMobile Core;DirectReference;Data/Scripts/Magic/Research/Spells/Theurgy/ResearchFadefromSight.cs:L58:PlayerMobile | Spell Framework-&gt;PlayerMobile Core;DirectReference;Data/Scripts/Magic/Research/Spells/Theurgy/ResearchFadefromSight.cs:L58:PlayerMobile || DependencyEvidence: Magic Schools-&gt;PlayerMobile Core;DirectReference;Data/Scripts/Magic/Research/Spells/Theurgy/ResearchFadefromSight.cs:L58:PlayerMobile | Spell Framework-&gt;PlayerMobile Core;DirectReference;Data/Scripts/Magic/Research/Spells/Theurgy/ResearchFadefromSight.cs:L58:PlayerMobile || RuntimeHookEvidence: No runtime-hook-map row matched this file. || SerializationEvidence: No serialization-register rows for file.</t>
  </si>
  <si>
    <t>PreviousPostAuditBatch=POST-BATCH-K; PreviousReviewRowId=PBK-2447; CouplingKind=PlayerMobilePropertyStateAccess; ReviewClass=PlayerStateAccessPolicyResolvedNoChange; FutureSourceBatchNeeded=No.</t>
  </si>
  <si>
    <t>RB-05353</t>
  </si>
  <si>
    <t>P10-F05353</t>
  </si>
  <si>
    <t>Data/Scripts/Custom/MonsterNest/MonsterNestLoot.cs</t>
  </si>
  <si>
    <t>PBX-0142</t>
  </si>
  <si>
    <t>Current source line evidence: Data/Scripts/Custom/PvE/MonsterNests/MonsterNestLoot.cs:L37:if (m is PlayerMobile) || Prior POST-BATCH-K evidence: CurrentFile=Data/Scripts/Custom/PvE/MonsterNests/MonsterNestLoot.cs; Line=37; SourceLine=if (m is PlayerMobile); PathResolution=PostBatchHMove:Data/Scripts/Custom/MonsterNest-&gt;Data/Scripts/Custom/PvE/MonsterNests; MatchQuality=DependencyGraphPlayerMobileFileLine; HookKind=PlayerMobileReference; GuardList=; Access=; Command=; Handler=; DisabledEvidence=False; DependencyEvidence=Monster Nests-&gt;PlayerMobile Core;DirectReference;Data/Scripts/Custom/PvE/MonsterNests/MonsterNestLoot.cs:L37:PlayerMobile || DependencyEvidence: Monster Nests-&gt;PlayerMobile Core;DirectReference;Data/Scripts/Custom/PvE/MonsterNests/MonsterNestLoot.cs:L37:PlayerMobile || RuntimeHookEvidence: Data/Scripts/Custom/PvE/MonsterNests/MonsterNestLoot.cs:L105:Timer:CustomTimerSubclass | Data/Scripts/Custom/PvE/MonsterNests/MonsterNestLoot.cs:L132:Timer:CustomTimerSubclass || SerializationEvidence: SerializationRegisterRows=1; Server.Items.MonsterNestLoot;Item;Serialize:L89;Deserialize:L97;Risk=NamespaceOrTypeRenameDanger</t>
  </si>
  <si>
    <t>PreviousPostAuditBatch=POST-BATCH-K; PreviousReviewRowId=PBK-2448; CouplingKind=PlayerTypeCheckOrCast; ReviewClass=DirectPlayerTypePolicyResolvedNoChange; FutureSourceBatchNeeded=No.</t>
  </si>
  <si>
    <t>RB-05354</t>
  </si>
  <si>
    <t>P10-F05354</t>
  </si>
  <si>
    <t>Data/Scripts/Items/Magical/Artifacts/Obsolete/Obsolete_RodOfResurrection.cs</t>
  </si>
  <si>
    <t>PBX-0143</t>
  </si>
  <si>
    <t>Current source line evidence: Data/Scripts/Items/Magical/Artifacts/Obsolete/Obsolete_RodOfResurrection.cs:L93:else if (m is PlayerMobile) || Prior POST-BATCH-K evidence: CurrentFile=Data/Scripts/Items/Magical/Artifacts/Obsolete/Obsolete_RodOfResurrection.cs; Line=93; SourceLine=else if (m is PlayerMobile); PathResolution=OriginalPathCurrent; MatchQuality=DependencyGraphPlayerMobileFileLine; HookKind=PlayerMobileReference; GuardList=; Access=; Command=; Handler=; DisabledEvidence=False; DependencyEvidence=Obsolete Scripts-&gt;PlayerMobile Core;DirectReference;Data/Scripts/Items/Magical/Artifacts/Obsolete/Obsolete_RodOfResurrection.cs:L93:PlayerMobile || DependencyEvidence: Obsolete Scripts-&gt;PlayerMobile Core;DirectReference;Data/Scripts/Items/Magical/Artifacts/Obsolete/Obsolete_RodOfResurrection.cs:L93:PlayerMobile || RuntimeHookEvidence: Data/Scripts/Items/Magical/Artifacts/Obsolete/Obsolete_RodOfResurrection.cs:L99:Gump:SendGump | Data/Scripts/Items/Magical/Artifacts/Obsolete/Obsolete_RodOfResurrection.cs:L112:Gump:SendGump || SerializationEvidence: SerializationRegisterRows=1; Server.Items.RodOfResurrection;Item;Serialize:L245;Deserialize:L253;Risk=NamespaceOrTypeRenameDanger</t>
  </si>
  <si>
    <t>PreviousPostAuditBatch=POST-BATCH-K; PreviousReviewRowId=PBK-2449; CouplingKind=PlayerTypeCheckOrCast; ReviewClass=DirectPlayerTypePolicyResolvedNoChange; FutureSourceBatchNeeded=No.</t>
  </si>
  <si>
    <t>RB-05355</t>
  </si>
  <si>
    <t>P10-F05355</t>
  </si>
  <si>
    <t>PBX-0144</t>
  </si>
  <si>
    <t>Current source context evidence near queued line 3156: Data/Scripts/System/Obsolete/Obsolete.cs:L3167:&amp;&amp; from is PlayerMobile | Data/Scripts/System/Obsolete/Obsolete.cs:L3168:&amp;&amp; m_Quester.CanTalkTo((PlayerMobile)from) | Data/Scripts/System/Obsolete/Obsolete.cs:L3170:m_Quester.OnTalk((PlayerMobile)from, true); || Prior POST-BATCH-K evidence: CurrentFile=Data/Scripts/System/Obsolete/Obsolete.cs; Line=3156; SourceLine=}; PathResolution=OriginalPathCurrent; MatchQuality=CurrentSourceLine; HookKind=PlayerMobileReference; GuardList=; Access=; Command=; Handler=; DisabledEvidence=False || DependencyEvidence: Obsolete Scripts-&gt;PlayerMobile Core;DirectReference;Data/Scripts/System/Obsolete/Obsolete.cs:L3164:PlayerMobile | Regions-&gt;PlayerMobile Core;DirectReference;Data/Scripts/System/Obsolete/Obsolete.cs:L3164:PlayerMobile | Vendor Core-&gt;PlayerMobile Core;DirectReference;Data/Scripts/System/Obsolete/Obsolete.cs:L3164:PlayerMobile || RuntimeHookEvidence: Data/Scripts/System/Obsolete/Obsolete.cs:L4718:Initialize:Initialize | Data/Scripts/System/Obsolete/Obsolete.cs:L6007:Initialize:Initialize | Data/Scripts/System/Obsolete/Obsolete.cs:L6657:Initialize:Initialize || SerializationEvidence: SerializationRegisterRows=170; Server.Items.AmethystWyrm;Mobile;Serialize:L1333;Deserialize:L1339;Risk=UnknownUntilSaveTest | Server.Items.AncientFarmersKasa;Controller;Serialize:L20521;Deserialize:L20528;Risk=UnknownUntilSaveTest | Server.Items.AncientNightmare;Mobile;Serialize:L1537;Deserialize:L1543;Risk=UnknownUntilSaveTest</t>
  </si>
  <si>
    <t>PreviousPostAuditBatch=POST-BATCH-K; PreviousReviewRowId=PBK-2450; CouplingKind=PlayerTypeCheckOrCast; ReviewClass=LineDriftContextPolicyResolvedNoChange; FutureSourceBatchNeeded=No.</t>
  </si>
  <si>
    <t>RB-05356</t>
  </si>
  <si>
    <t>P10-F05356</t>
  </si>
  <si>
    <t>PBX-0145</t>
  </si>
  <si>
    <t>Current source line evidence: Data/Scripts/Custom/Offline Skill Training/Items/StudyBook.cs:L201:&amp;&amp; from is PlayerMobile || Prior POST-BATCH-K evidence: CurrentFile=Data/Scripts/Custom/Offline Skill Training/Items/StudyBook.cs; Line=201; SourceLine=&amp;&amp; from is PlayerMobile; PathResolution=OriginalPathCurrent; MatchQuality=DependencyGraphPlayerMobileFileLine; HookKind=PlayerMobileReference; GuardList=; Access=; Command=; Handler=; DisabledEvidence=False; DependencyEvidence=Offline Skill Training-&gt;PlayerMobile Core;DirectReference;Data/Scripts/Custom/Offline Skill Training/Items/StudyBook.cs:L201:PlayerMobile || DependencyEvidence: Offline Skill Training-&gt;PlayerMobile Core;DirectReference;Data/Scripts/Custom/Offline Skill Training/Items/StudyBook.cs:L201:PlayerMobile || RuntimeHookEvidence: Data/Scripts/Custom/Offline Skill Training/Items/StudyBook.cs:L391:Initialize:Initialize | Data/Scripts/Custom/Offline Skill Training/Items/StudyBook.cs:L74:Event:EventSink | Data/Scripts/Custom/Offline Skill Training/Items/StudyBook.cs:L75:Event:EventSink || SerializationEvidence: SerializationRegisterRows=1; Server.Items.StudyBook;Item;Serialize:L397;Deserialize:L410;Risk=NamespaceOrTypeRenameDanger</t>
  </si>
  <si>
    <t>PreviousPostAuditBatch=POST-BATCH-K; PreviousReviewRowId=PBK-2451; CouplingKind=PlayerTypeCheckOrCast; ReviewClass=DirectPlayerTypePolicyResolvedNoChange; FutureSourceBatchNeeded=No.</t>
  </si>
  <si>
    <t>RB-05357</t>
  </si>
  <si>
    <t>P10-F05357</t>
  </si>
  <si>
    <t>Data/Scripts/Custom/Offline Skill Training/Vendors/StudyBookbinder.cs</t>
  </si>
  <si>
    <t>PBX-0146</t>
  </si>
  <si>
    <t>Current source line evidence: Data/Scripts/Custom/Offline Skill Training/Vendors/StudyBookbinder.cs:L42:PlayerMobile player = from as PlayerMobile; || Prior POST-BATCH-K evidence: CurrentFile=Data/Scripts/Custom/Offline Skill Training/Vendors/StudyBookbinder.cs; Line=42; SourceLine=PlayerMobile player = from as PlayerMobile;; PathResolution=OriginalPathCurrent; MatchQuality=DependencyGraphPlayerMobileFileLine; HookKind=PlayerMobileReference; GuardList=; Access=; Command=; Handler=; DisabledEvidence=False; DependencyEvidence=Offline Skill Training-&gt;PlayerMobile Core;DirectReference;Data/Scripts/Custom/Offline Skill Training/Vendors/StudyBookbinder.cs:L42:PlayerMobile | Vendor Core-&gt;PlayerMobile Core;DirectReference;Data/Scripts/Custom/Offline Skill Training/Vendors/StudyBookbinder.cs:L42:PlayerMobile || DependencyEvidence: Offline Skill Training-&gt;PlayerMobile Core;DirectReference;Data/Scripts/Custom/Offline Skill Training/Vendors/StudyBookbinder.cs:L42:PlayerMobile | Vendor Core-&gt;PlayerMobile Core;DirectReference;Data/Scripts/Custom/Offline Skill Training/Vendors/StudyBookbinder.cs:L42:PlayerMobile || RuntimeHookEvidence: No runtime-hook-map row matched this file. || SerializationEvidence: SerializationRegisterRows=1; Server.Mobiles.StudyBookbinder;Other;Serialize:L79;Deserialize:L86;Risk=UnknownUntilSaveTest</t>
  </si>
  <si>
    <t>PreviousPostAuditBatch=POST-BATCH-K; PreviousReviewRowId=PBK-2452; CouplingKind=PlayerTypeCheckOrCast; ReviewClass=DirectPlayerTypePolicyResolvedNoChange; FutureSourceBatchNeeded=No.</t>
  </si>
  <si>
    <t>RB-05358</t>
  </si>
  <si>
    <t>P10-F05358</t>
  </si>
  <si>
    <t>PBX-0147</t>
  </si>
  <si>
    <t>Current source context evidence near queued line 693: Data/Scripts/Custom/ThirdParty/OmniAI/OmniAI Core.cs:L711:|| type == typeof(PlayerMobile) || Prior POST-BATCH-K evidence: CurrentFile=Data/Scripts/Custom/ThirdParty/OmniAI/OmniAI Core.cs; Line=693; SourceLine=}; PathResolution=PostBatchHMove:Data/Scripts/Custom/OmniAI-&gt;Data/Scripts/Custom/ThirdParty/OmniAI; MatchQuality=CurrentSourceLineAfterPostBatchHPathMap; HookKind=PlayerMobileReference; GuardList=; Access=; Command=; Handler=; DisabledEvidence=False || DependencyEvidence: OmniAI-&gt;PlayerMobile Core;DirectReference;Data/Scripts/Custom/ThirdParty/OmniAI/OmniAI Core.cs:L711:PlayerMobile || RuntimeHookEvidence: No runtime-hook-map row matched this file. || SerializationEvidence: No serialization-register rows for file.</t>
  </si>
  <si>
    <t>PreviousPostAuditBatch=POST-BATCH-K; PreviousReviewRowId=PBK-2453; CouplingKind=PlayerTypeCheckOrCast; ReviewClass=LineDriftContextPolicyResolvedNoChange; FutureSourceBatchNeeded=No.</t>
  </si>
  <si>
    <t>RB-05359</t>
  </si>
  <si>
    <t>P10-F05359</t>
  </si>
  <si>
    <t>PBX-0148</t>
  </si>
  <si>
    <t>Current source context evidence near queued line 3335: Data/Scripts/Mobiles/Base/PlayerMobile.cs:L3300:if (m_InsuranceAward is PlayerMobile) | Data/Scripts/Mobiles/Base/PlayerMobile.cs:L3302:PlayerMobile pm = (PlayerMobile)m_InsuranceAward; || Prior POST-BATCH-K evidence: CurrentFile=Data/Scripts/Mobiles/Base/PlayerMobile.cs; Line=3335; SourceLine={;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</si>
  <si>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PreviousReviewRowId=PBK-2454; CouplingKind=PlayerMobileCorePolicySurface; ReviewClass=PlayerMobileCorePolicyResolvedNoChange; FutureSourceBatchNeeded=No.</t>
  </si>
  <si>
    <t>RB-05360</t>
  </si>
  <si>
    <t>P10-F05360</t>
  </si>
  <si>
    <t>PBX-0149</t>
  </si>
  <si>
    <t>Current source context evidence near queued line 6321: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Line=6321; SourceLine={;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</si>
  <si>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PreviousReviewRowId=PBK-2455; CouplingKind=PlayerMobileCorePolicySurface; ReviewClass=PlayerMobileCorePolicyResolvedNoChange; FutureSourceBatchNeeded=No.</t>
  </si>
  <si>
    <t>RB-05361</t>
  </si>
  <si>
    <t>P10-F05361</t>
  </si>
  <si>
    <t>PBX-0150</t>
  </si>
  <si>
    <t>Current source context evidence near queued line 2020: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Line=2020; SourceLine=public override void GetContextMenuEntries(Mobile from, List&lt;ContextMenuEntry&gt; list);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</si>
  <si>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PreviousReviewRowId=PBK-2456; CouplingKind=PvPRegionCombatPolicyCoupling; ReviewClass=PvPRegionCombatPolicyResolvedNoChange; FutureSourceBatchNeeded=No.</t>
  </si>
  <si>
    <t>RB-05364</t>
  </si>
  <si>
    <t>P10-F05364</t>
  </si>
  <si>
    <t>PBK-2457</t>
  </si>
  <si>
    <t>CurrentFile=Data/Scripts/Mobiles/Base/PlayerMobile.cs; Line=53; SourceLine=//#############ADDED FOR NONPK##########################; PathResolution=OriginalPathCurrent; MatchQuality=CurrentSourceLine; HookKind=PlayerMobileReference; GuardList=; Access=; Command=; Handler=; DisabledEvidence=True</t>
  </si>
  <si>
    <t>HistoricalFile=Data/Scripts/Mobiles/Base/PlayerMobile.cs; Risk=Save;Runtime;Player; POST-BATCH-K is audit/runtime-surface triage only. No command names, gump button IDs, PlayerMobile fields, region policy, XML/config, save layout, or gameplay behavior changed.</t>
  </si>
  <si>
    <t>RB-05365</t>
  </si>
  <si>
    <t>P10-F05365</t>
  </si>
  <si>
    <t>PBX-0151</t>
  </si>
  <si>
    <t>Current source context evidence near queued line 6084: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Line=6084; SourceLine=else;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</si>
  <si>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PreviousReviewRowId=PBK-2458; CouplingKind=PlayerMobileCorePolicySurface; ReviewClass=PlayerMobileCorePolicyResolvedNoChange; FutureSourceBatchNeeded=No.</t>
  </si>
  <si>
    <t>RB-05366</t>
  </si>
  <si>
    <t>P10-F05366</t>
  </si>
  <si>
    <t>PBX-0152</t>
  </si>
  <si>
    <t>Current source context evidence near queued line 2114: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Line=2114; SourceLine=m_JusticeProtectors.Clear();;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</si>
  <si>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PreviousReviewRowId=PBK-2459; CouplingKind=PlayerMobileCorePolicySurface; ReviewClass=PlayerMobileCorePolicyResolvedNoChange; FutureSourceBatchNeeded=No.</t>
  </si>
  <si>
    <t>RB-05367</t>
  </si>
  <si>
    <t>P10-F05367</t>
  </si>
  <si>
    <t>PBX-0153</t>
  </si>
  <si>
    <t>Current source context evidence near queued line 1469: Data/Scripts/Mobiles/Base/PlayerMobile.cs:L1442:m_IsStealthing = false; // IsStealthing should be moved to Server.Mobiles | Data/Scripts/Mobiles/Base/PlayerMobile.cs:L1493:|| (target is PlayerMobile &amp;&amp; ((PlayerMobile)target).m_DesignContext != null) || Prior POST-BATCH-K evidence: CurrentFile=Data/Scripts/Mobiles/Base/PlayerMobile.cs; Line=1469; SourceLine=public override void OnSubItemAdded(Item item);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</si>
  <si>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PreviousReviewRowId=PBK-2460; CouplingKind=PlayerMobileCorePolicySurface; ReviewClass=PlayerMobileCorePolicyResolvedNoChange; FutureSourceBatchNeeded=No.</t>
  </si>
  <si>
    <t>RB-05369</t>
  </si>
  <si>
    <t>P10-F05369</t>
  </si>
  <si>
    <t>PBX-0154</t>
  </si>
  <si>
    <t>Current source context evidence near queued line 12: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Line=12; SourceLine=using Server.Engines.XmlSpawner2;;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</si>
  <si>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PreviousReviewRowId=PBK-2461; CouplingKind=PlayerMobileCorePolicySurface; ReviewClass=PlayerMobileCorePolicyResolvedNoChange; FutureSourceBatchNeeded=No.</t>
  </si>
  <si>
    <t>RB-05370</t>
  </si>
  <si>
    <t>P10-F05370</t>
  </si>
  <si>
    <t>PBX-0155</t>
  </si>
  <si>
    <t>PreviousPostAuditBatch=POST-BATCH-K; PreviousReviewRowId=PBK-2462; CouplingKind=PvPRegionCombatPolicyCoupling; ReviewClass=PvPRegionCombatPolicyResolvedNoChange; FutureSourceBatchNeeded=No.</t>
  </si>
  <si>
    <t>RB-05371</t>
  </si>
  <si>
    <t>P10-F05371</t>
  </si>
  <si>
    <t>PBX-0156</t>
  </si>
  <si>
    <t>PreviousPostAuditBatch=POST-BATCH-K; PreviousReviewRowId=PBK-2463; CouplingKind=PvPRegionCombatPolicyCoupling; ReviewClass=PvPRegionCombatPolicyResolvedNoChange; FutureSourceBatchNeeded=No.</t>
  </si>
  <si>
    <t>RB-05372</t>
  </si>
  <si>
    <t>P10-F05372</t>
  </si>
  <si>
    <t>PBX-0157</t>
  </si>
  <si>
    <t>Current source context evidence near queued line 1003: Data/Scripts/Mobiles/Base/PlayerMobile.cs:L1053:if (from is PlayerMobile) || Prior POST-BATCH-K evidence: CurrentFile=Data/Scripts/Mobiles/Base/PlayerMobile.cs; Line=1003; SourceLine=private static void OnLogin(LoginEventArgs e); PathResolution=OriginalPathCurrent; MatchQuality=RuntimeHookMapFileLine; HookKind=PlayerMobileReference; GuardList=; Access=; Command=; Handler=; DisabledEvidence=False; RuntimeHookMap=HookType=Login;Marker=OnLogin;Access=Internal;Risk=Medium;Guards=AccessGuard;BoundsGuard;DeletedGuard;MapGuard;NullGuard;PacketReadGuard;RangeGuard;StateGuard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</si>
  <si>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PreviousReviewRowId=PBK-2464; CouplingKind=PvPRegionCombatPolicyCoupling; ReviewClass=PvPRegionCombatPolicyResolvedNoChange; FutureSourceBatchNeeded=No.</t>
  </si>
  <si>
    <t>RB-05373</t>
  </si>
  <si>
    <t>P10-F05373</t>
  </si>
  <si>
    <t>PBX-0158</t>
  </si>
  <si>
    <t>Current source context evidence near queued line 1322: Data/Scripts/Mobiles/Base/PlayerMobile.cs:L1338:if (mobile is PlayerMobile) | Data/Scripts/Mobiles/Base/PlayerMobile.cs:L1339:((PlayerMobile)mobile).AutoStablePets(); | Data/Scripts/Mobiles/Base/PlayerMobile.cs:L1352:PlayerMobile pm = mobile as PlayerMobile; || Prior POST-BATCH-K evidence: CurrentFile=Data/Scripts/Mobiles/Base/PlayerMobile.cs; Line=1322; SourceLine=NetState ns = ((Mobile)state).NetState;;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</si>
  <si>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PreviousReviewRowId=PBK-2465; CouplingKind=PvPRegionCombatPolicyCoupling; ReviewClass=PvPRegionCombatPolicyResolvedNoChange; FutureSourceBatchNeeded=No.</t>
  </si>
  <si>
    <t>RB-05374</t>
  </si>
  <si>
    <t>P10-F05374</t>
  </si>
  <si>
    <t>PBX-0159</t>
  </si>
  <si>
    <t>Current source context evidence near queued line 806: Data/Scripts/Mobiles/Base/PlayerMobile.cs:L821:if (m is PlayerMobile) | Data/Scripts/Mobiles/Base/PlayerMobile.cs:L823:PlayerMobile pm = (PlayerMobile)m; || Prior POST-BATCH-K evidence: CurrentFile=Data/Scripts/Mobiles/Base/PlayerMobile.cs; Line=806; SourceLine=EventSink.Login += new LoginEventHandler(OnLogin);; PathResolution=OriginalPathCurrent; MatchQuality=RuntimeHookMapFileLine; HookKind=PlayerMobileReference; GuardList=; Access=; Command=; Handler=; DisabledEvidence=False; RuntimeHookMap=HookType=Event;Marker=EventSink;Access=GlobalOrInternal;Risk=High;Guards=AccessGuard;BoundsGuard;DeletedGuard;MapGuard;NullGuard;PacketReadGuard;RangeGuard;StateGuard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</si>
  <si>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PreviousReviewRowId=PBK-2466; CouplingKind=PvPRegionCombatPolicyCoupling; ReviewClass=PvPRegionCombatPolicyResolvedNoChange; FutureSourceBatchNeeded=No.</t>
  </si>
  <si>
    <t>RB-05375</t>
  </si>
  <si>
    <t>P10-F05375</t>
  </si>
  <si>
    <t>PBX-0160</t>
  </si>
  <si>
    <t>Current source context evidence near queued line 807: Data/Scripts/Mobiles/Base/PlayerMobile.cs:L821:if (m is PlayerMobile) | Data/Scripts/Mobiles/Base/PlayerMobile.cs:L823:PlayerMobile pm = (PlayerMobile)m; || Prior POST-BATCH-K evidence: CurrentFile=Data/Scripts/Mobiles/Base/PlayerMobile.cs; Line=807; SourceLine=EventSink.Logout += new LogoutEventHandler(OnLogout);; PathResolution=OriginalPathCurrent; MatchQuality=RuntimeHookMapFileLine; HookKind=PlayerMobileReference; GuardList=; Access=; Command=; Handler=; DisabledEvidence=False; RuntimeHookMap=HookType=Event;Marker=EventSink;Access=GlobalOrInternal;Risk=High;Guards=AccessGuard;BoundsGuard;DeletedGuard;MapGuard;NullGuard;PacketReadGuard;RangeGuard;StateGuard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</si>
  <si>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PreviousReviewRowId=PBK-2467; CouplingKind=PvPRegionCombatPolicyCoupling; ReviewClass=PvPRegionCombatPolicyResolvedNoChange; FutureSourceBatchNeeded=No.</t>
  </si>
  <si>
    <t>RB-05376</t>
  </si>
  <si>
    <t>P10-F05376</t>
  </si>
  <si>
    <t>PBX-0161</t>
  </si>
  <si>
    <t>Current source context evidence near queued line 808: Data/Scripts/Mobiles/Base/PlayerMobile.cs:L821:if (m is PlayerMobile) | Data/Scripts/Mobiles/Base/PlayerMobile.cs:L823:PlayerMobile pm = (PlayerMobile)m; || Prior POST-BATCH-K evidence: CurrentFile=Data/Scripts/Mobiles/Base/PlayerMobile.cs; Line=808; SourceLine=EventSink.Connected += new ConnectedEventHandler(EventSink_Connected);; PathResolution=OriginalPathCurrent; MatchQuality=RuntimeHookMapFileLine; HookKind=PlayerMobileReference; GuardList=; Access=; Command=; Handler=; DisabledEvidence=False; RuntimeHookMap=HookType=Event;Marker=EventSink;Access=GlobalOrInternal;Risk=High;Guards=AccessGuard;BoundsGuard;DeletedGuard;MapGuard;NullGuard;PacketReadGuard;RangeGuard;StateGuard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</si>
  <si>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PreviousReviewRowId=PBK-2468; CouplingKind=PvPRegionCombatPolicyCoupling; ReviewClass=PvPRegionCombatPolicyResolvedNoChange; FutureSourceBatchNeeded=No.</t>
  </si>
  <si>
    <t>RB-05377</t>
  </si>
  <si>
    <t>P10-F05377</t>
  </si>
  <si>
    <t>PBX-0162</t>
  </si>
  <si>
    <t>Current source context evidence near queued line 809: Data/Scripts/Mobiles/Base/PlayerMobile.cs:L821:if (m is PlayerMobile) | Data/Scripts/Mobiles/Base/PlayerMobile.cs:L823:PlayerMobile pm = (PlayerMobile)m; || Prior POST-BATCH-K evidence: CurrentFile=Data/Scripts/Mobiles/Base/PlayerMobile.cs; Line=809; SourceLine=EventSink.Disconnected += new DisconnectedEventHandler(EventSink_Disconnected);; PathResolution=OriginalPathCurrent; MatchQuality=RuntimeHookMapFileLine; HookKind=PlayerMobileReference; GuardList=; Access=; Command=; Handler=; DisabledEvidence=False; RuntimeHookMap=HookType=Event;Marker=EventSink;Access=GlobalOrInternal;Risk=High;Guards=AccessGuard;BoundsGuard;DeletedGuard;MapGuard;NullGuard;PacketReadGuard;RangeGuard;StateGuard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</si>
  <si>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PreviousReviewRowId=PBK-2469; CouplingKind=PvPRegionCombatPolicyCoupling; ReviewClass=PvPRegionCombatPolicyResolvedNoChange; FutureSourceBatchNeeded=No.</t>
  </si>
  <si>
    <t>RB-05378</t>
  </si>
  <si>
    <t>P10-F05378</t>
  </si>
  <si>
    <t>PBX-0163</t>
  </si>
  <si>
    <t>Current source context evidence near queued line 1041: Data/Scripts/Mobiles/Base/PlayerMobile.cs:L1053:if (from is PlayerMobile) | Data/Scripts/Mobiles/Base/PlayerMobile.cs:L1054:((PlayerMobile)from).ClaimAutoStabledPets(); || Prior POST-BATCH-K evidence: CurrentFile=Data/Scripts/Mobiles/Base/PlayerMobile.cs; Line=1041; SourceLine=else;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</si>
  <si>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PreviousReviewRowId=PBK-2470; CouplingKind=PvPRegionCombatPolicyCoupling; ReviewClass=PvPRegionCombatPolicyResolvedNoChange; FutureSourceBatchNeeded=No.</t>
  </si>
  <si>
    <t>RB-05379</t>
  </si>
  <si>
    <t>P10-F05379</t>
  </si>
  <si>
    <t>PBX-0164</t>
  </si>
  <si>
    <t>Current source context evidence near queued line 2264: Data/Scripts/Mobiles/Base/PlayerMobile.cs:L2272:private PlayerMobile m_Player; | Data/Scripts/Mobiles/Base/PlayerMobile.cs:L2274:public CancelRenewInventoryInsuranceGump(PlayerMobile player) || Prior POST-BATCH-K evidence: CurrentFile=Data/Scripts/Mobiles/Base/PlayerMobile.cs; Line=2264; SourceLine={;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</si>
  <si>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PreviousReviewRowId=PBK-2471; CouplingKind=PvPRegionCombatPolicyCoupling; ReviewClass=PvPRegionCombatPolicyResolvedNoChange; FutureSourceBatchNeeded=No.</t>
  </si>
  <si>
    <t>RB-05380</t>
  </si>
  <si>
    <t>P10-F05380</t>
  </si>
  <si>
    <t>PBX-0165</t>
  </si>
  <si>
    <t>Current source context evidence near queued line 6213: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Line=6213; SourceLine=this.Region.IsPartOf(typeof(Jail));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</si>
  <si>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PreviousReviewRowId=PBK-2472; CouplingKind=PvPRegionCombatPolicyCoupling; ReviewClass=PvPRegionCombatPolicyResolvedNoChange; FutureSourceBatchNeeded=No.</t>
  </si>
  <si>
    <t>RB-05381</t>
  </si>
  <si>
    <t>P10-F05381</t>
  </si>
  <si>
    <t>PBX-0166</t>
  </si>
  <si>
    <t>PreviousPostAuditBatch=POST-BATCH-K; PreviousReviewRowId=PBK-2473; CouplingKind=PvPRegionCombatPolicyCoupling; ReviewClass=PvPRegionCombatPolicyResolvedNoChange; FutureSourceBatchNeeded=No.</t>
  </si>
  <si>
    <t>RB-05384</t>
  </si>
  <si>
    <t>P10-F05384</t>
  </si>
  <si>
    <t>PBX-0167</t>
  </si>
  <si>
    <t>Current source context evidence near queued line 6226: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Line=6226; SourceLine=loc = dungeon.EntranceLocation;;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</si>
  <si>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PreviousReviewRowId=PBK-2474; CouplingKind=PvPRegionCombatPolicyCoupling; ReviewClass=PvPRegionCombatPolicyResolvedNoChange; FutureSourceBatchNeeded=No.</t>
  </si>
  <si>
    <t>RB-05385</t>
  </si>
  <si>
    <t>P10-F05385</t>
  </si>
  <si>
    <t>PBX-0168</t>
  </si>
  <si>
    <t>Current source line evidence: Data/Scripts/Custom/PvPConsent/GoddessOfProtection.cs:L102:PlayerMobile pk = from as PlayerMobile; || Prior POST-BATCH-K evidence: CurrentFile=Data/Scripts/Custom/PvPConsent/GoddessOfProtection.cs; Line=102; SourceLine=PlayerMobile pk = from as PlayerMobile;; PathResolution=OriginalPathCurrent; MatchQuality=DependencyGraphPlayerMobileFileLine; HookKind=PlayerMobileReference; GuardList=; Access=; Command=; Handler=; DisabledEvidence=False; DependencyEvidence=PvP Consent-&gt;PlayerMobile Core;DirectReference;Data/Scripts/Custom/PvPConsent/GoddessOfProtection.cs:L102:PlayerMobile || DependencyEvidence: PvP Consent-&gt;PlayerMobile Core;DirectReference;Data/Scripts/Custom/PvPConsent/GoddessOfProtection.cs:L102:PlayerMobile || RuntimeHookEvidence: Data/Scripts/Custom/PvPConsent/GoddessOfProtection.cs:L147:Timer:CustomTimerSubclass | Data/Scripts/Custom/PvPConsent/GoddessOfProtection.cs:L258:Timer:CustomTimerSubclass | Data/Scripts/Custom/PvPConsent/GoddessOfProtection.cs:L91:Speech:OnSpeech || SerializationEvidence: SerializationRegisterRows=1; Server.Mobiles.GoddessOfProtection;Mobile;Serialize:L277;Deserialize:L283;Risk=NamespaceOrTypeRenameDanger</t>
  </si>
  <si>
    <t>PreviousPostAuditBatch=POST-BATCH-K; PreviousReviewRowId=PBK-2475; CouplingKind=PvPRegionCombatPolicyCoupling; ReviewClass=PvPRegionCombatPolicyResolvedNoChange; FutureSourceBatchNeeded=No.</t>
  </si>
  <si>
    <t>RB-05386</t>
  </si>
  <si>
    <t>P10-F05386</t>
  </si>
  <si>
    <t>Data/Scripts/Custom/PvPConsent/Gumps/PKNONPKGUMP.cs</t>
  </si>
  <si>
    <t>PBX-0169</t>
  </si>
  <si>
    <t>Current source line evidence: Data/Scripts/Custom/PvPConsent/Gumps/PKNONPKGUMP.cs:L39:PlayerMobile pk = from as PlayerMobile; || Prior POST-BATCH-K evidence: CurrentFile=Data/Scripts/Custom/PvPConsent/Gumps/PKNONPKGUMP.cs; Line=39; SourceLine=PlayerMobile pk = from as PlayerMobile;; PathResolution=OriginalPathCurrent; MatchQuality=DependencyGraphPlayerMobileFileLine; HookKind=PlayerMobileReference; GuardList=; Access=; Command=; Handler=; DisabledEvidence=False; DependencyEvidence=PvP Consent-&gt;PlayerMobile Core;DirectReference;Data/Scripts/Custom/PvPConsent/Gumps/PKNONPKGUMP.cs:L39:PlayerMobile || DependencyEvidence: PvP Consent-&gt;PlayerMobile Core;DirectReference;Data/Scripts/Custom/PvPConsent/Gumps/PKNONPKGUMP.cs:L39:PlayerMobile || RuntimeHookEvidence: Data/Scripts/Custom/PvPConsent/Gumps/PKNONPKGUMP.cs:L87:Initialize:Initialize | Data/Scripts/Custom/PvPConsent/Gumps/PKNONPKGUMP.cs:L89:Command:CommandSystem.Register | Data/Scripts/Custom/PvPConsent/Gumps/PKNONPKGUMP.cs:L36:Gump:OnResponse || SerializationEvidence: No serialization-register rows for file.</t>
  </si>
  <si>
    <t>PreviousPostAuditBatch=POST-BATCH-K; PreviousReviewRowId=PBK-2476; CouplingKind=PvPRegionCombatPolicyCoupling; ReviewClass=PvPRegionCombatPolicyResolvedNoChange; FutureSourceBatchNeeded=No.</t>
  </si>
  <si>
    <t>RB-05387</t>
  </si>
  <si>
    <t>P10-F05387</t>
  </si>
  <si>
    <t>Data/Scripts/Custom/PvPConsent/NONPKEventMoongate.cs</t>
  </si>
  <si>
    <t>PBX-0170</t>
  </si>
  <si>
    <t>Current source line evidence: Data/Scripts/Custom/PvPConsent/NONPKEventMoongate.cs:L103:if (m is PlayerMobile &amp;&amp; ((PlayerMobile)m).NONPK == NONPK.NONPK) || Prior POST-BATCH-K evidence: CurrentFile=Data/Scripts/Custom/PvPConsent/NONPKEventMoongate.cs; Line=103; SourceLine=if (m is PlayerMobile &amp;&amp; ((PlayerMobile)m).NONPK == NONPK.NONPK); PathResolution=OriginalPathCurrent; MatchQuality=DependencyGraphPlayerMobileFileLine; HookKind=PlayerMobileReference; GuardList=; Access=; Command=; Handler=; DisabledEvidence=False; DependencyEvidence=PvP Consent-&gt;PlayerMobile Core;DirectReference;Data/Scripts/Custom/PvPConsent/NONPKEventMoongate.cs:L103:PlayerMobile || DependencyEvidence: PvP Consent-&gt;PlayerMobile Core;DirectReference;Data/Scripts/Custom/PvPConsent/NONPKEventMoongate.cs:L103:PlayerMobile || RuntimeHookEvidence: Data/Scripts/Custom/PvPConsent/NONPKEventMoongate.cs:L245:Timer:CustomTimerSubclass | Data/Scripts/Custom/PvPConsent/NONPKEventMoongate.cs:L485:Gump:OnResponse | Data/Scripts/Custom/PvPConsent/NONPKEventMoongate.cs:L208:Gump:SendGump || SerializationEvidence: SerializationRegisterRows=2; Server.Items.NONPKEventConfirmationMoongate;Other;Serialize:L374;Deserialize:L392;Risk=NamespaceOrTypeRenameDanger | Server.Items.NONPKEventMoongate;Item;Serialize:L156;Deserialize:L169;Risk=NamespaceOrTypeRenameDanger</t>
  </si>
  <si>
    <t>PreviousPostAuditBatch=POST-BATCH-K; PreviousReviewRowId=PBK-2477; CouplingKind=PvPRegionCombatPolicyCoupling; ReviewClass=PvPRegionCombatPolicyResolvedNoChange; FutureSourceBatchNeeded=No.</t>
  </si>
  <si>
    <t>RB-05388</t>
  </si>
  <si>
    <t>P10-F05388</t>
  </si>
  <si>
    <t>Data/Scripts/Custom/PvPConsent/NONPKSword.cs</t>
  </si>
  <si>
    <t>PBX-0171</t>
  </si>
  <si>
    <t>Current source line evidence: Data/Scripts/Custom/PvPConsent/NONPKSword.cs:L93:PlayerMobile nonpk = from as PlayerMobile; || Prior POST-BATCH-K evidence: CurrentFile=Data/Scripts/Custom/PvPConsent/NONPKSword.cs; Line=93; SourceLine=PlayerMobile nonpk = from as PlayerMobile;; PathResolution=OriginalPathCurrent; MatchQuality=DependencyGraphPlayerMobileFileLine; HookKind=PlayerMobileReference; GuardList=; Access=; Command=; Handler=; DisabledEvidence=False; DependencyEvidence=PvP Consent-&gt;PlayerMobile Core;DirectReference;Data/Scripts/Custom/PvPConsent/NONPKSword.cs:L93:PlayerMobile || DependencyEvidence: PvP Consent-&gt;PlayerMobile Core;DirectReference;Data/Scripts/Custom/PvPConsent/NONPKSword.cs:L93:PlayerMobile || RuntimeHookEvidence: No runtime-hook-map row matched this file. || SerializationEvidence: SerializationRegisterRows=1; Server.Items.NONPKSword;Other;Serialize:L114;Deserialize:L121;Risk=NamespaceOrTypeRenameDanger</t>
  </si>
  <si>
    <t>PreviousPostAuditBatch=POST-BATCH-K; PreviousReviewRowId=PBK-2478; CouplingKind=PvPRegionCombatPolicyCoupling; ReviewClass=PvPRegionCombatPolicyResolvedNoChange; FutureSourceBatchNeeded=No.</t>
  </si>
  <si>
    <t>RB-05389</t>
  </si>
  <si>
    <t>P10-F05389</t>
  </si>
  <si>
    <t>Data/Scripts/Custom/PvPConsent/PKSword.cs</t>
  </si>
  <si>
    <t>PBX-0172</t>
  </si>
  <si>
    <t>Current source line evidence: Data/Scripts/Custom/PvPConsent/PKSword.cs:L91:PlayerMobile pk = from as PlayerMobile; || Prior POST-BATCH-K evidence: CurrentFile=Data/Scripts/Custom/PvPConsent/PKSword.cs; Line=91; SourceLine=PlayerMobile pk = from as PlayerMobile;; PathResolution=OriginalPathCurrent; MatchQuality=DependencyGraphPlayerMobileFileLine; HookKind=PlayerMobileReference; GuardList=; Access=; Command=; Handler=; DisabledEvidence=False; DependencyEvidence=PvP Consent-&gt;PlayerMobile Core;DirectReference;Data/Scripts/Custom/PvPConsent/PKSword.cs:L91:PlayerMobile || DependencyEvidence: PvP Consent-&gt;PlayerMobile Core;DirectReference;Data/Scripts/Custom/PvPConsent/PKSword.cs:L91:PlayerMobile || RuntimeHookEvidence: No runtime-hook-map row matched this file. || SerializationEvidence: SerializationRegisterRows=1; Server.Items.PKSword;Other;Serialize:L112;Deserialize:L119;Risk=NamespaceOrTypeRenameDanger</t>
  </si>
  <si>
    <t>PreviousPostAuditBatch=POST-BATCH-K; PreviousReviewRowId=PBK-2479; CouplingKind=PvPRegionCombatPolicyCoupling; ReviewClass=PvPRegionCombatPolicyResolvedNoChange; FutureSourceBatchNeeded=No.</t>
  </si>
  <si>
    <t>RB-05390</t>
  </si>
  <si>
    <t>P10-F05390</t>
  </si>
  <si>
    <t>PBX-0173</t>
  </si>
  <si>
    <t>Current source line evidence: Data/Scripts/Mobiles/Base/PlayerMobile.cs:L100:public class PlayerMobile : Mobile, IHonorTarget || Prior POST-BATCH-K evidence: CurrentFile=Data/Scripts/Mobiles/Base/PlayerMobile.cs; Line=100; SourceLine=public class PlayerMobile : Mobile, IHonorTarget; PathResolution=OriginalPathCurrent; MatchQuality=DependencyGraphPlayerMobileFileLine; HookKind=PlayerMobileReference; GuardList=; Access=; Command=; Handler=; DisabledEvidence=False; DependencyEvidence=PvP Consent-&gt;PlayerMobile Core;DirectReference;Data/Scripts/Mobiles/Base/PlayerMobile.cs:L100:PlayerMobile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</si>
  <si>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PreviousReviewRowId=PBK-2480; CouplingKind=PvPRegionCombatPolicyCoupling; ReviewClass=PvPRegionCombatPolicyResolvedNoChange; FutureSourceBatchNeeded=No.</t>
  </si>
  <si>
    <t>RB-05391</t>
  </si>
  <si>
    <t>P10-F05391</t>
  </si>
  <si>
    <t>PBX-0174</t>
  </si>
  <si>
    <t>PreviousPostAuditBatch=POST-BATCH-K; PreviousReviewRowId=PBK-2481; CouplingKind=PvPRegionCombatPolicyCoupling; ReviewClass=PvPRegionCombatPolicyResolvedNoChange; FutureSourceBatchNeeded=No.</t>
  </si>
  <si>
    <t>RB-05392</t>
  </si>
  <si>
    <t>P10-F05392</t>
  </si>
  <si>
    <t>PBX-0175</t>
  </si>
  <si>
    <t>Current source context evidence near queued line 798: Data/Scripts/Mobiles/Base/PlayerMobile.cs:L821:if (m is PlayerMobile) | Data/Scripts/Mobiles/Base/PlayerMobile.cs:L823:PlayerMobile pm = (PlayerMobile)m; || Prior POST-BATCH-K evidence: CurrentFile=Data/Scripts/Mobiles/Base/PlayerMobile.cs; Line=798; SourceLine=public static void Initialize(); PathResolution=OriginalPathCurrent; MatchQuality=RuntimeHookMapFileLine; HookKind=PlayerMobileReference; GuardList=; Access=; Command=; Handler=; DisabledEvidence=False; RuntimeHookMap=HookType=Initialize;Marker=Initialize;Access=GlobalOrInternal;Risk=Medium;Guards=AccessGuard;BoundsGuard;DeletedGuard;MapGuard;NullGuard;PacketReadGuard;RangeGuard;StateGuard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</si>
  <si>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PreviousReviewRowId=PBK-2482; CouplingKind=PvPRegionCombatPolicyCoupling; ReviewClass=PvPRegionCombatPolicyResolvedNoChange; FutureSourceBatchNeeded=No.</t>
  </si>
  <si>
    <t>RB-05393</t>
  </si>
  <si>
    <t>P10-F05393</t>
  </si>
  <si>
    <t>PBX-0176</t>
  </si>
  <si>
    <t>PreviousPostAuditBatch=POST-BATCH-K; PreviousReviewRowId=PBK-2483; CouplingKind=PvPRegionCombatPolicyCoupling; ReviewClass=PvPRegionCombatPolicyResolvedNoChange; FutureSourceBatchNeeded=No.</t>
  </si>
  <si>
    <t>RB-05394</t>
  </si>
  <si>
    <t>P10-F05394</t>
  </si>
  <si>
    <t>PBX-0177</t>
  </si>
  <si>
    <t>Current source context evidence near queued line 1024: Data/Scripts/Mobiles/Base/PlayerMobile.cs:L1053:if (from is PlayerMobile) | Data/Scripts/Mobiles/Base/PlayerMobile.cs:L1054:((PlayerMobile)from).ClaimAutoStabledPets(); || Prior POST-BATCH-K evidence: CurrentFile=Data/Scripts/Mobiles/Base/PlayerMobile.cs; Line=1024; SourceLine=notice =;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</si>
  <si>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PreviousReviewRowId=PBK-2484; CouplingKind=PvPRegionCombatPolicyCoupling; ReviewClass=PvPRegionCombatPolicyResolvedNoChange; FutureSourceBatchNeeded=No.</t>
  </si>
  <si>
    <t>RB-05395</t>
  </si>
  <si>
    <t>P10-F05395</t>
  </si>
  <si>
    <t>PBX-0178</t>
  </si>
  <si>
    <t>Current source context evidence near queued line 1062: Data/Scripts/Mobiles/Base/PlayerMobile.cs:L1053:if (from is PlayerMobile) | Data/Scripts/Mobiles/Base/PlayerMobile.cs:L1054:((PlayerMobile)from).ClaimAutoStabledPets(); || Prior POST-BATCH-K evidence: CurrentFile=Data/Scripts/Mobiles/Base/PlayerMobile.cs; Line=1062; SourceLine=return;;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</si>
  <si>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PreviousReviewRowId=PBK-2485; CouplingKind=PvPRegionCombatPolicyCoupling; ReviewClass=PvPRegionCombatPolicyResolvedNoChange; FutureSourceBatchNeeded=No.</t>
  </si>
  <si>
    <t>RB-05396</t>
  </si>
  <si>
    <t>P10-F05396</t>
  </si>
  <si>
    <t>PBX-0179</t>
  </si>
  <si>
    <t>Current source context evidence near queued line 1345: Data/Scripts/Mobiles/Base/PlayerMobile.cs:L1338:if (mobile is PlayerMobile) | Data/Scripts/Mobiles/Base/PlayerMobile.cs:L1339:((PlayerMobile)mobile).AutoStablePets(); | Data/Scripts/Mobiles/Base/PlayerMobile.cs:L1352:PlayerMobile pm = mobile as PlayerMobile; || Prior POST-BATCH-K evidence: CurrentFile=Data/Scripts/Mobiles/Base/PlayerMobile.cs; Line=1345; SourceLine=return;;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</si>
  <si>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PreviousReviewRowId=PBK-2486; CouplingKind=PvPRegionCombatPolicyCoupling; ReviewClass=PvPRegionCombatPolicyResolvedNoChange; FutureSourceBatchNeeded=No.</t>
  </si>
  <si>
    <t>RB-05397</t>
  </si>
  <si>
    <t>P10-F05397</t>
  </si>
  <si>
    <t>PBX-0180</t>
  </si>
  <si>
    <t>Current source context evidence near queued line 2861: Data/Scripts/Mobiles/Base/PlayerMobile.cs:L2889:if (willKill &amp;&amp; from is PlayerMobile) | Data/Scripts/Mobiles/Base/PlayerMobile.cs:L2892:new TimerCallback(((PlayerMobile)from).RecoverAmmo) || Prior POST-BATCH-K evidence: CurrentFile=Data/Scripts/Mobiles/Base/PlayerMobile.cs; Line=2861; SourceLine={;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</si>
  <si>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PreviousReviewRowId=PBK-2487; CouplingKind=PvPRegionCombatPolicyCoupling; ReviewClass=PvPRegionCombatPolicyResolvedNoChange; FutureSourceBatchNeeded=No.</t>
  </si>
  <si>
    <t>RB-05398</t>
  </si>
  <si>
    <t>P10-F05398</t>
  </si>
  <si>
    <t>PBX-0181</t>
  </si>
  <si>
    <t>Current source context evidence near queued line 2951: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Line=2951; SourceLine=Item deathRobe = new DeathRobe();;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</si>
  <si>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PreviousReviewRowId=PBK-2488; CouplingKind=PvPRegionCombatPolicyCoupling; ReviewClass=PvPRegionCombatPolicyResolvedNoChange; FutureSourceBatchNeeded=No.</t>
  </si>
  <si>
    <t>RB-05399</t>
  </si>
  <si>
    <t>P10-F05399</t>
  </si>
  <si>
    <t>PBX-0182</t>
  </si>
  <si>
    <t>Current source context evidence near queued line 3293: Data/Scripts/Mobiles/Base/PlayerMobile.cs:L3300:if (m_InsuranceAward is PlayerMobile) | Data/Scripts/Mobiles/Base/PlayerMobile.cs:L3302:PlayerMobile pm = (PlayerMobile)m_InsuranceAward; || Prior POST-BATCH-K evidence: CurrentFile=Data/Scripts/Mobiles/Base/PlayerMobile.cs; Line=3293; SourceLine=if (c is Corpse); PathResolution=OriginalPathCurrent; MatchQuality=CurrentSourceLine;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</si>
  <si>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PreviousReviewRowId=PBK-2489; CouplingKind=PvPRegionCombatPolicyCoupling; ReviewClass=PvPRegionCombatPolicyResolvedNoChange; FutureSourceBatchNeeded=No.</t>
  </si>
  <si>
    <t>RB-05400</t>
  </si>
  <si>
    <t>P10-F05400</t>
  </si>
  <si>
    <t>PBX-0183</t>
  </si>
  <si>
    <t>Current source context evidence near queued line 6715: Data/Scripts/Mobiles/Base/PlayerMobile.cs:L100:public class PlayerMobile : Mobile, IHonorTarget | Data/Scripts/Mobiles/Base/PlayerMobile.cs:L194:private bool m_IsStealthing; // IsStealthing should be moved to Server.Mobiles | Data/Scripts/Mobiles/Base/PlayerMobile.cs:L356:public bool IsStealthing // IsStealthing should be moved to Server.Mobiles | Data/Scripts/Mobiles/Base/PlayerMobile.cs:L358:get { return m_IsStealthing; } || Prior POST-BATCH-K evidence: CurrentFile=Data/Scripts/Mobiles/Base/PlayerMobile.cs; Line=6715; SourceLine=; PathResolution=OriginalPathCurrent; MatchQuality=CurrentFileOnly; HookKind=PlayerMobileReference; GuardList=; Access=; Command=; Handler=; DisabledEvidence=False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</si>
  <si>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PreviousReviewRowId=PBK-2490; CouplingKind=PvPRegionCombatPolicyCoupling; ReviewClass=PvPRegionCombatPolicyResolvedNoChange; FutureSourceBatchNeeded=No.</t>
  </si>
  <si>
    <t>RB-05401</t>
  </si>
  <si>
    <t>P10-F05401</t>
  </si>
  <si>
    <t>PBX-0184</t>
  </si>
  <si>
    <t>Current source context evidence near queued line 813: Data/Scripts/Mobiles/Base/PlayerMobile.cs:L821:if (m is PlayerMobile) | Data/Scripts/Mobiles/Base/PlayerMobile.cs:L823:PlayerMobile pm = (PlayerMobile)m; || Prior POST-BATCH-K evidence: CurrentFile=Data/Scripts/Mobiles/Base/PlayerMobile.cs; Line=813; SourceLine=Timer.DelayCall(TimeSpan.Zero, new TimerCallback(CheckPets));; PathResolution=OriginalPathCurrent; MatchQuality=RuntimeHookMapFileLine; HookKind=PlayerMobileReference; GuardList=; Access=; Command=; Handler=; DisabledEvidence=False; RuntimeHookMap=HookType=Timer;Marker=Timer.DelayCall;Access=GlobalOrInternal;Risk=Medium;Guards=AccessGuard;BoundsGuard;DeletedGuard;MapGuard;NullGuard;PacketReadGuard;RangeGuard;StateGuard || DependencyEvidence: PlayerMobile Core-&gt;Bulk Orders;DirectReference;Data/Scripts/Mobiles/Base/PlayerMobile.cs:L3364:BulkOrder | PlayerMobile Core-&gt;Champions;DirectReference;Data/Scripts/Mobiles/Base/PlayerMobile.cs:L6371:ChampionSpawn | PlayerMobile Core-&gt;Housing;DirectReference;Data/Scripts/Mobiles/Base/PlayerMobile.cs:L2049:BaseHouse || RuntimeHookEvidence: Data/Scripts/Mobiles/Base/PlayerMobile.cs:L798:Initialize:Initialize | Data/Scripts/Mobiles/Base/PlayerMobile.cs:L806:Event:EventSink | Data/Scripts/Mobiles/Base/PlayerMobile.cs:L807:Event:EventSink || SerializationEvidence: SerializationRegisterRows=1; Server.Mobiles.PlayerMobile;Mobile;Serialize:L5042;Deserialize:L4577;Risk=DoNotMove</t>
  </si>
  <si>
    <t>PreviousPostAuditBatch=POST-BATCH-K; PreviousReviewRowId=PBK-2491; CouplingKind=PvPRegionCombatPolicyCoupling; ReviewClass=PvPRegionCombatPolicyResolvedNoChange; FutureSourceBatchNeeded=No.</t>
  </si>
  <si>
    <t>RB-05402</t>
  </si>
  <si>
    <t>P10-F05402</t>
  </si>
  <si>
    <t>PBX-0185</t>
  </si>
  <si>
    <t>PreviousPostAuditBatch=POST-BATCH-K; PreviousReviewRowId=PBK-2492; CouplingKind=PvPRegionCombatPolicyCoupling; ReviewClass=PvPRegionCombatPolicyResolvedNoChange; FutureSourceBatchNeeded=No.</t>
  </si>
  <si>
    <t>RB-05404</t>
  </si>
  <si>
    <t>P10-F05404</t>
  </si>
  <si>
    <t>PBX-0186</t>
  </si>
  <si>
    <t>PreviousPostAuditBatch=POST-BATCH-K; PreviousReviewRowId=PBK-2493; CouplingKind=PvPRegionCombatPolicyCoupling; ReviewClass=PvPRegionCombatPolicyResolvedNoChange; FutureSourceBatchNeeded=No.</t>
  </si>
  <si>
    <t>RB-05405</t>
  </si>
  <si>
    <t>P10-F05405</t>
  </si>
  <si>
    <t>Data/Scripts/Custom/RandomEncounters/EncounterEngine.cs</t>
  </si>
  <si>
    <t>PBX-0187</t>
  </si>
  <si>
    <t>Current source line evidence: Data/Scripts/Custom/PvE/RandomEncounters/EncounterEngine.cs:L712:ArrayList playerMobiles = GenerateLivePlayerMobiles(); || Prior POST-BATCH-K evidence: CurrentFile=Data/Scripts/Custom/PvE/RandomEncounters/EncounterEngine.cs; Line=712; SourceLine=ArrayList playerMobiles = GenerateLivePlayerMobiles();; PathResolution=PostBatchHMove:Data/Scripts/Custom/RandomEncounters-&gt;Data/Scripts/Custom/PvE/RandomEncounters; MatchQuality=DependencyGraphPlayerMobileFileLine; HookKind=PlayerMobileReference; GuardList=; Access=; Command=; Handler=; DisabledEvidence=False; DependencyEvidence=Random Encounters-&gt;PlayerMobile Core;DirectReference;Data/Scripts/Custom/PvE/RandomEncounters/EncounterEngine.cs:L712:PlayerMobile || DependencyEvidence: Random Encounters-&gt;PlayerMobile Core;DirectReference;Data/Scripts/Custom/PvE/RandomEncounters/EncounterEngine.cs:L712:PlayerMobile || RuntimeHookEvidence: Data/Scripts/Custom/PvE/RandomEncounters/EncounterEngine.cs:L99:Initialize:Initialize || SerializationEvidence: No serialization-register rows for file.</t>
  </si>
  <si>
    <t>PreviousPostAuditBatch=POST-BATCH-K; PreviousReviewRowId=PBK-2494; CouplingKind=PvPRegionCombatPolicyCoupling; ReviewClass=PvPRegionCombatPolicyResolvedNoChange; FutureSourceBatchNeeded=No.</t>
  </si>
  <si>
    <t>RB-05406</t>
  </si>
  <si>
    <t>P10-F05406</t>
  </si>
  <si>
    <t>Data/Scripts/Custom/RandomEncounters/Helpers.cs</t>
  </si>
  <si>
    <t>PBK-2495</t>
  </si>
  <si>
    <t>CurrentFile=Data/Scripts/Custom/PvE/RandomEncounters/Helpers.cs; Line=117; SourceLine=// Player encounters intentionally use CharacterLevelService; spawned mobiles; PathResolution=PostBatchHMove:Data/Scripts/Custom/RandomEncounters-&gt;Data/Scripts/Custom/PvE/RandomEncounters; MatchQuality=CurrentSourceLineAfterPostBatchHPathMap; HookKind=PlayerMobileReference; GuardList=; Access=; Command=; Handler=; DisabledEvidence=True</t>
  </si>
  <si>
    <t>HistoricalFile=Data/Scripts/Custom/RandomEncounters/Helpers.cs; Risk=Save;Runtime;Player; POST-BATCH-K is audit/runtime-surface triage only. No command names, gump button IDs, PlayerMobile fields, region policy, XML/config, save layout, or gameplay behavior changed.</t>
  </si>
  <si>
    <t>RB-05407</t>
  </si>
  <si>
    <t>P10-F05407</t>
  </si>
  <si>
    <t>Data/Scripts/Custom/RandomEncounters/SpawnFinder.cs</t>
  </si>
  <si>
    <t>PBX-0188</t>
  </si>
  <si>
    <t>Current source line evidence: Data/Scripts/Custom/PvE/RandomEncounters/SpawnFinder.cs:L29:PlayerMobile pm, || Prior POST-BATCH-K evidence: CurrentFile=Data/Scripts/Custom/PvE/RandomEncounters/SpawnFinder.cs; Line=29; SourceLine=PlayerMobile pm,; PathResolution=PostBatchHMove:Data/Scripts/Custom/RandomEncounters-&gt;Data/Scripts/Custom/PvE/RandomEncounters; MatchQuality=DependencyGraphPlayerMobileFileLine; HookKind=PlayerMobileReference; GuardList=; Access=; Command=; Handler=; DisabledEvidence=False; DependencyEvidence=Random Encounters-&gt;PlayerMobile Core;DirectReference;Data/Scripts/Custom/PvE/RandomEncounters/SpawnFinder.cs:L29:PlayerMobile || DependencyEvidence: Random Encounters-&gt;PlayerMobile Core;DirectReference;Data/Scripts/Custom/PvE/RandomEncounters/SpawnFinder.cs:L29:PlayerMobile || RuntimeHookEvidence: No runtime-hook-map row matched this file. || SerializationEvidence: No serialization-register rows for file.</t>
  </si>
  <si>
    <t>PreviousPostAuditBatch=POST-BATCH-K; PreviousReviewRowId=PBK-2496; CouplingKind=StoredPlayerMobileFieldOrParameter; ReviewClass=StoredPlayerMobileContextReviewedNoChange; FutureSourceBatchNeeded=No.</t>
  </si>
  <si>
    <t>RB-05408</t>
  </si>
  <si>
    <t>P10-F05408</t>
  </si>
  <si>
    <t>PBX-0189</t>
  </si>
  <si>
    <t>Current source line evidence: Data/Scripts/System/Misc/Reporting.cs:L156:if (mob.RawStatTotal == mob.StatCap &amp;&amp; mob is PlayerMobile) || Prior POST-BATCH-K evidence: CurrentFile=Data/Scripts/System/Misc/Reporting.cs; Line=156; SourceLine=if (mob.RawStatTotal == mob.StatCap &amp;&amp; mob is PlayerMobile); PathResolution=OriginalPathCurrent; MatchQuality=DependencyGraphPlayerMobileFileLine; HookKind=PlayerMobileReference; GuardList=; Access=; Command=; Handler=; DisabledEvidence=False; DependencyEvidence=Regions-&gt;PlayerMobile Core;DirectReference;Data/Scripts/System/Misc/Reporting.cs:L156:PlayerMobile || DependencyEvidence: Regions-&gt;PlayerMobile Core;DirectReference;Data/Scripts/System/Misc/Reporting.cs:L156:PlayerMobile || RuntimeHookEvidence: Data/Scripts/System/Misc/Reporting.cs:L31:Initialize:Initialize | Data/Scripts/System/Misc/Reporting.cs:L49:Timer:Timer.DelayCall || SerializationEvidence: No serialization-register rows for file.</t>
  </si>
  <si>
    <t>PreviousPostAuditBatch=POST-BATCH-K; PreviousReviewRowId=PBK-2497; CouplingKind=PvPRegionCombatPolicyCoupling; ReviewClass=PvPRegionCombatPolicyResolvedNoChange; FutureSourceBatchNeeded=No.</t>
  </si>
  <si>
    <t>RB-05409</t>
  </si>
  <si>
    <t>P10-F05409</t>
  </si>
  <si>
    <t>PBX-0190</t>
  </si>
  <si>
    <t>PreviousPostAuditBatch=POST-BATCH-K; PreviousReviewRowId=PBK-2498; CouplingKind=PvPRegionCombatPolicyCoupling; ReviewClass=PvPRegionCombatPolicyResolvedNoChange; FutureSourceBatchNeeded=No.</t>
  </si>
  <si>
    <t>RB-05410</t>
  </si>
  <si>
    <t>P10-F05410</t>
  </si>
  <si>
    <t>PBX-0191</t>
  </si>
  <si>
    <t>Current source line evidence: Data/Scripts/System/Regions/BardDungeonRegion.cs:L40:if (m is PlayerMobile) || Prior POST-BATCH-K evidence: CurrentFile=Data/Scripts/System/Regions/BardDungeonRegion.cs; Line=40;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Core;DirectReference;Data/Scripts/System/Regions/BardDungeonRegion.cs:L40:PlayerMobile || DependencyEvidence: Regions-&gt;PlayerMobile Core;DirectReference;Data/Scripts/System/Regions/BardDungeonRegion.cs:L40:PlayerMobile || RuntimeHookEvidence: Data/Scripts/System/Regions/BardDungeonRegion.cs:L37:Region:RegionOverride | Data/Scripts/System/Regions/BardDungeonRegion.cs:L48:Region:RegionOverride || SerializationEvidence: No serialization-register rows for file.</t>
  </si>
  <si>
    <t>PreviousPostAuditBatch=POST-BATCH-K; PreviousReviewRowId=PBK-2499; CouplingKind=PvPRegionCombatPolicyCoupling; ReviewClass=PvPRegionCombatPolicyResolvedNoChange; FutureSourceBatchNeeded=No.</t>
  </si>
  <si>
    <t>RB-05411</t>
  </si>
  <si>
    <t>P10-F05411</t>
  </si>
  <si>
    <t>PBX-0192</t>
  </si>
  <si>
    <t>Current source line evidence: Data/Scripts/System/Regions/BardTownRegion.cs:L77:if (from is PlayerMobile || from is BaseVendor || from is BaseNPC || from is BasePerson) || Prior POST-BATCH-K evidence: CurrentFile=Data/Scripts/System/Regions/BardTownRegion.cs; Line=77; SourceLine=if (from is PlayerMobile || from is BaseVendor || from is BaseNPC || from is BasePerson); PathResolution=OriginalPathCurrent; MatchQuality=DependencyGraphPlayerMobileFileLine; HookKind=PlayerMobileReference; GuardList=; Access=; Command=; Handler=; DisabledEvidence=False; DependencyEvidence=Regions-&gt;PlayerMobile Core;DirectReference;Data/Scripts/System/Regions/BardTownRegion.cs:L77:PlayerMobile || DependencyEvidence: Regions-&gt;PlayerMobile Core;DirectReference;Data/Scripts/System/Regions/BardTownRegion.cs:L77:PlayerMobile || RuntimeHookEvidence: Data/Scripts/System/Regions/BardTownRegion.cs:L31:Region:RegionOverride | Data/Scripts/System/Regions/BardTownRegion.cs:L94:Region:RegionOverride | Data/Scripts/System/Regions/BardTownRegion.cs:L105:Region:RegionOverride || SerializationEvidence: No serialization-register rows for file.</t>
  </si>
  <si>
    <t>PreviousPostAuditBatch=POST-BATCH-K; PreviousReviewRowId=PBK-2500; CouplingKind=PvPRegionCombatPolicyCoupling; ReviewClass=PvPRegionCombatPolicyResolvedNoChange; FutureSourceBatchNeeded=No.</t>
  </si>
  <si>
    <t>RB-05412</t>
  </si>
  <si>
    <t>P10-F05412</t>
  </si>
  <si>
    <t>PBX-0193</t>
  </si>
  <si>
    <t>Current source line evidence: Data/Scripts/System/Regions/BargeDeadRegion.cs:L42:if (m is PlayerMobile) || Prior POST-BATCH-K evidence: CurrentFile=Data/Scripts/System/Regions/BargeDeadRegion.cs; Line=42;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Core;DirectReference;Data/Scripts/System/Regions/BargeDeadRegion.cs:L42:PlayerMobile || DependencyEvidence: Regions-&gt;PlayerMobile Core;DirectReference;Data/Scripts/System/Regions/BargeDeadRegion.cs:L42:PlayerMobile || RuntimeHookEvidence: Data/Scripts/System/Regions/BargeDeadRegion.cs:L39:Region:RegionOverride | Data/Scripts/System/Regions/BargeDeadRegion.cs:L48:Region:RegionOverride || SerializationEvidence: No serialization-register rows for file.</t>
  </si>
  <si>
    <t>PreviousPostAuditBatch=POST-BATCH-K; PreviousReviewRowId=PBK-2501; CouplingKind=PvPRegionCombatPolicyCoupling; ReviewClass=PvPRegionCombatPolicyResolvedNoChange; FutureSourceBatchNeeded=No.</t>
  </si>
  <si>
    <t>RB-05413</t>
  </si>
  <si>
    <t>P10-F05413</t>
  </si>
  <si>
    <t>PBX-0194</t>
  </si>
  <si>
    <t>Current source line evidence: Data/Scripts/System/Regions/BaseRegion.cs:L125:if (from is PlayerMobile &amp;&amp; target is PlayerMobile) || Prior POST-BATCH-K evidence: CurrentFile=Data/Scripts/System/Regions/BaseRegion.cs; Line=125; SourceLine=if (from is PlayerMobile &amp;&amp; target is PlayerMobile); PathResolution=OriginalPathCurrent; MatchQuality=DependencyGraphPlayerMobileFileLine; HookKind=PlayerMobileReference; GuardList=; Access=; Command=; Handler=; DisabledEvidence=False; DependencyEvidence=Regions-&gt;PlayerMobile Core;DirectReference;Data/Scripts/System/Regions/BaseRegion.cs:L125:PlayerMobile || DependencyEvidence: Regions-&gt;PlayerMobile Core;DirectReference;Data/Scripts/System/Regions/BaseRegion.cs:L125:PlayerMobile || RuntimeHookEvidence: Data/Scripts/System/Regions/BaseRegion.cs:L32:Region:RegionOverride | Data/Scripts/System/Regions/BaseRegion.cs:L123:Region:RegionOverride | Data/Scripts/System/Regions/BaseRegion.cs:L234:Region:RegionOverride || SerializationEvidence: No serialization-register rows for file.</t>
  </si>
  <si>
    <t>PreviousPostAuditBatch=POST-BATCH-K; PreviousReviewRowId=PBK-2502; CouplingKind=PvPRegionCombatPolicyCoupling; ReviewClass=PvPRegionCombatPolicyResolvedNoChange; FutureSourceBatchNeeded=No.</t>
  </si>
  <si>
    <t>RB-05414</t>
  </si>
  <si>
    <t>P10-F05414</t>
  </si>
  <si>
    <t>PBX-0195</t>
  </si>
  <si>
    <t>Current source line evidence: Data/Scripts/System/Regions/CaveRegion.cs:L30:if (m is PlayerMobile) || Prior POST-BATCH-K evidence: CurrentFile=Data/Scripts/System/Regions/CaveRegion.cs; Line=30;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Core;DirectReference;Data/Scripts/System/Regions/CaveRegion.cs:L30:PlayerMobile || DependencyEvidence: Regions-&gt;PlayerMobile Core;DirectReference;Data/Scripts/System/Regions/CaveRegion.cs:L30:PlayerMobile || RuntimeHookEvidence: Data/Scripts/System/Regions/CaveRegion.cs:L27:Region:RegionOverride | Data/Scripts/System/Regions/CaveRegion.cs:L38:Region:RegionOverride || SerializationEvidence: No serialization-register rows for file.</t>
  </si>
  <si>
    <t>PreviousPostAuditBatch=POST-BATCH-K; PreviousReviewRowId=PBK-2503; CouplingKind=PvPRegionCombatPolicyCoupling; ReviewClass=PvPRegionCombatPolicyResolvedNoChange; FutureSourceBatchNeeded=No.</t>
  </si>
  <si>
    <t>RB-05415</t>
  </si>
  <si>
    <t>P10-F05415</t>
  </si>
  <si>
    <t>PBX-0196</t>
  </si>
  <si>
    <t>Current source line evidence: Data/Scripts/System/Regions/CrashRegion.cs:L36:if ((from is PlayerMobile) &amp;&amp; (target is PlayerMobile)) || Prior POST-BATCH-K evidence: CurrentFile=Data/Scripts/System/Regions/CrashRegion.cs; Line=36; SourceLine=if ((from is PlayerMobile) &amp;&amp; (target is PlayerMobile)); PathResolution=OriginalPathCurrent; MatchQuality=DependencyGraphPlayerMobileFileLine; HookKind=PlayerMobileReference; GuardList=; Access=; Command=; Handler=; DisabledEvidence=False; DependencyEvidence=Regions-&gt;PlayerMobile Core;DirectReference;Data/Scripts/System/Regions/CrashRegion.cs:L36:PlayerMobile || DependencyEvidence: Regions-&gt;PlayerMobile Core;DirectReference;Data/Scripts/System/Regions/CrashRegion.cs:L36:PlayerMobile || RuntimeHookEvidence: Data/Scripts/System/Regions/CrashRegion.cs:L34:Region:RegionOverride | Data/Scripts/System/Regions/CrashRegion.cs:L48:Region:RegionOverride || SerializationEvidence: No serialization-register rows for file.</t>
  </si>
  <si>
    <t>PreviousPostAuditBatch=POST-BATCH-K; PreviousReviewRowId=PBK-2504; CouplingKind=PvPRegionCombatPolicyCoupling; ReviewClass=PvPRegionCombatPolicyResolvedNoChange; FutureSourceBatchNeeded=No.</t>
  </si>
  <si>
    <t>RB-05416</t>
  </si>
  <si>
    <t>P10-F05416</t>
  </si>
  <si>
    <t>PBX-0197</t>
  </si>
  <si>
    <t>Current source line evidence: Data/Scripts/System/Regions/DawnRegion.cs:L33:if (m is PlayerMobile) || Prior POST-BATCH-K evidence: CurrentFile=Data/Scripts/System/Regions/DawnRegion.cs; Line=33;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Core;DirectReference;Data/Scripts/System/Regions/DawnRegion.cs:L33:PlayerMobile || DependencyEvidence: Regions-&gt;PlayerMobile Core;DirectReference;Data/Scripts/System/Regions/DawnRegion.cs:L33:PlayerMobile || RuntimeHookEvidence: Data/Scripts/System/Regions/DawnRegion.cs:L30:Region:RegionOverride | Data/Scripts/System/Regions/DawnRegion.cs:L55:Region:RegionOverride || SerializationEvidence: No serialization-register rows for file.</t>
  </si>
  <si>
    <t>PreviousPostAuditBatch=POST-BATCH-K; PreviousReviewRowId=PBK-2505; CouplingKind=PvPRegionCombatPolicyCoupling; ReviewClass=PvPRegionCombatPolicyResolvedNoChange; FutureSourceBatchNeeded=No.</t>
  </si>
  <si>
    <t>RB-05417</t>
  </si>
  <si>
    <t>P10-F05417</t>
  </si>
  <si>
    <t>PBX-0198</t>
  </si>
  <si>
    <t>Current source line evidence: Data/Scripts/System/Regions/DeadRegion.cs:L43:if (m is PlayerMobile) || Prior POST-BATCH-K evidence: CurrentFile=Data/Scripts/System/Regions/DeadRegion.cs; Line=43;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Core;DirectReference;Data/Scripts/System/Regions/DeadRegion.cs:L43:PlayerMobile || DependencyEvidence: Regions-&gt;PlayerMobile Core;DirectReference;Data/Scripts/System/Regions/DeadRegion.cs:L43:PlayerMobile || RuntimeHookEvidence: Data/Scripts/System/Regions/DeadRegion.cs:L40:Region:RegionOverride | Data/Scripts/System/Regions/DeadRegion.cs:L51:Region:RegionOverride || SerializationEvidence: No serialization-register rows for file.</t>
  </si>
  <si>
    <t>PreviousPostAuditBatch=POST-BATCH-K; PreviousReviewRowId=PBK-2506; CouplingKind=PvPRegionCombatPolicyCoupling; ReviewClass=PvPRegionCombatPolicyResolvedNoChange; FutureSourceBatchNeeded=No.</t>
  </si>
  <si>
    <t>RB-05418</t>
  </si>
  <si>
    <t>P10-F05418</t>
  </si>
  <si>
    <t>PBX-0199</t>
  </si>
  <si>
    <t>Current source line evidence: Data/Scripts/System/Regions/DungeonRegion.cs:L81:if (m is PlayerMobile) || Prior POST-BATCH-K evidence: CurrentFile=Data/Scripts/System/Regions/DungeonRegion.cs; Line=81;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Core;DirectReference;Data/Scripts/System/Regions/DungeonRegion.cs:L81:PlayerMobile || DependencyEvidence: Regions-&gt;PlayerMobile Core;DirectReference;Data/Scripts/System/Regions/DungeonRegion.cs:L81:PlayerMobile || RuntimeHookEvidence: Data/Scripts/System/Regions/DungeonRegion.cs:L78:Region:RegionOverride | Data/Scripts/System/Regions/DungeonRegion.cs:L89:Region:RegionOverride || SerializationEvidence: No serialization-register rows for file.</t>
  </si>
  <si>
    <t>PreviousPostAuditBatch=POST-BATCH-K; PreviousReviewRowId=PBK-2507; CouplingKind=PvPRegionCombatPolicyCoupling; ReviewClass=PvPRegionCombatPolicyResolvedNoChange; FutureSourceBatchNeeded=No.</t>
  </si>
  <si>
    <t>RB-05419</t>
  </si>
  <si>
    <t>P10-F05419</t>
  </si>
  <si>
    <t>PBX-0200</t>
  </si>
  <si>
    <t>Current source line evidence: Data/Scripts/System/Regions/GargoyleRegion.cs:L41:if (m is PlayerMobile) || Prior POST-BATCH-K evidence: CurrentFile=Data/Scripts/System/Regions/GargoyleRegion.cs; Line=41;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Core;DirectReference;Data/Scripts/System/Regions/GargoyleRegion.cs:L41:PlayerMobile || DependencyEvidence: Regions-&gt;PlayerMobile Core;DirectReference;Data/Scripts/System/Regions/GargoyleRegion.cs:L41:PlayerMobile || RuntimeHookEvidence: Data/Scripts/System/Regions/GargoyleRegion.cs:L38:Region:RegionOverride | Data/Scripts/System/Regions/GargoyleRegion.cs:L49:Region:RegionOverride || SerializationEvidence: No serialization-register rows for file.</t>
  </si>
  <si>
    <t>PreviousPostAuditBatch=POST-BATCH-K; PreviousReviewRowId=PBK-2508; CouplingKind=PvPRegionCombatPolicyCoupling; ReviewClass=PvPRegionCombatPolicyResolvedNoChange; FutureSourceBatchNeeded=No.</t>
  </si>
  <si>
    <t>RB-05420</t>
  </si>
  <si>
    <t>P10-F05420</t>
  </si>
  <si>
    <t>PBX-0201</t>
  </si>
  <si>
    <t>PreviousPostAuditBatch=POST-BATCH-K; PreviousReviewRowId=PBK-2509; CouplingKind=PvPRegionCombatPolicyCoupling; ReviewClass=PvPRegionCombatPolicyResolvedNoChange; FutureSourceBatchNeeded=No.</t>
  </si>
  <si>
    <t>RB-05421</t>
  </si>
  <si>
    <t>P10-F05421</t>
  </si>
  <si>
    <t>PBX-0202</t>
  </si>
  <si>
    <t>Current source line evidence: Data/Scripts/System/Regions/LunaRegion.cs:L34:if (m is PlayerMobile) || Prior POST-BATCH-K evidence: CurrentFile=Data/Scripts/System/Regions/LunaRegion.cs; Line=34;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Core;DirectReference;Data/Scripts/System/Regions/LunaRegion.cs:L34:PlayerMobile || DependencyEvidence: Regions-&gt;PlayerMobile Core;DirectReference;Data/Scripts/System/Regions/LunaRegion.cs:L34:PlayerMobile || RuntimeHookEvidence: Data/Scripts/System/Regions/LunaRegion.cs:L23:Region:RegionOverride | Data/Scripts/System/Regions/LunaRegion.cs:L31:Region:RegionOverride | Data/Scripts/System/Regions/LunaRegion.cs:L54:Region:RegionOverride || SerializationEvidence: No serialization-register rows for file.</t>
  </si>
  <si>
    <t>PreviousPostAuditBatch=POST-BATCH-K; PreviousReviewRowId=PBK-2510; CouplingKind=PvPRegionCombatPolicyCoupling; ReviewClass=PvPRegionCombatPolicyResolvedNoChange; FutureSourceBatchNeeded=No.</t>
  </si>
  <si>
    <t>RB-05422</t>
  </si>
  <si>
    <t>P10-F05422</t>
  </si>
  <si>
    <t>PBX-0203</t>
  </si>
  <si>
    <t>Current source line evidence: Data/Scripts/System/Regions/MazeRegion.cs:L32:if (m is PlayerMobile) || Prior POST-BATCH-K evidence: CurrentFile=Data/Scripts/System/Regions/MazeRegion.cs; Line=32;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Core;DirectReference;Data/Scripts/System/Regions/MazeRegion.cs:L32:PlayerMobile || DependencyEvidence: Regions-&gt;PlayerMobile Core;DirectReference;Data/Scripts/System/Regions/MazeRegion.cs:L32:PlayerMobile || RuntimeHookEvidence: Data/Scripts/System/Regions/MazeRegion.cs:L29:Region:RegionOverride | Data/Scripts/System/Regions/MazeRegion.cs:L38:Region:RegionOverride || SerializationEvidence: No serialization-register rows for file.</t>
  </si>
  <si>
    <t>PreviousPostAuditBatch=POST-BATCH-K; PreviousReviewRowId=PBK-2511; CouplingKind=PvPRegionCombatPolicyCoupling; ReviewClass=PvPRegionCombatPolicyResolvedNoChange; FutureSourceBatchNeeded=No.</t>
  </si>
  <si>
    <t>RB-05423</t>
  </si>
  <si>
    <t>P10-F05423</t>
  </si>
  <si>
    <t>PBX-0204</t>
  </si>
  <si>
    <t>Current source line evidence: Data/Scripts/System/Regions/MoonCore.cs:L42:if (m is PlayerMobile) || Prior POST-BATCH-K evidence: CurrentFile=Data/Scripts/System/Regions/MoonCore.cs; Line=42;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Core;DirectReference;Data/Scripts/System/Regions/MoonCore.cs:L42:PlayerMobile || DependencyEvidence: Regions-&gt;PlayerMobile Core;DirectReference;Data/Scripts/System/Regions/MoonCore.cs:L42:PlayerMobile || RuntimeHookEvidence: Data/Scripts/System/Regions/MoonCore.cs:L39:Region:RegionOverride | Data/Scripts/System/Regions/MoonCore.cs:L86:Region:RegionOverride || SerializationEvidence: No serialization-register rows for file.</t>
  </si>
  <si>
    <t>PreviousPostAuditBatch=POST-BATCH-K; PreviousReviewRowId=PBK-2512; CouplingKind=PvPRegionCombatPolicyCoupling; ReviewClass=PvPRegionCombatPolicyResolvedNoChange; FutureSourceBatchNeeded=No.</t>
  </si>
  <si>
    <t>RB-05424</t>
  </si>
  <si>
    <t>P10-F05424</t>
  </si>
  <si>
    <t>PBX-0205</t>
  </si>
  <si>
    <t>Current source line evidence: Data/Scripts/System/Regions/NecromancerRegion.cs:L42:if (m is PlayerMobile) || Prior POST-BATCH-K evidence: CurrentFile=Data/Scripts/System/Regions/NecromancerRegion.cs; Line=42;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Core;DirectReference;Data/Scripts/System/Regions/NecromancerRegion.cs:L42:PlayerMobile || DependencyEvidence: Regions-&gt;PlayerMobile Core;DirectReference;Data/Scripts/System/Regions/NecromancerRegion.cs:L42:PlayerMobile || RuntimeHookEvidence: Data/Scripts/System/Regions/NecromancerRegion.cs:L17:Region:RegionOverride | Data/Scripts/System/Regions/NecromancerRegion.cs:L39:Region:RegionOverride | Data/Scripts/System/Regions/NecromancerRegion.cs:L50:Region:RegionOverride || SerializationEvidence: No serialization-register rows for file.</t>
  </si>
  <si>
    <t>PreviousPostAuditBatch=POST-BATCH-K; PreviousReviewRowId=PBK-2513; CouplingKind=PvPRegionCombatPolicyCoupling; ReviewClass=PvPRegionCombatPolicyResolvedNoChange; FutureSourceBatchNeeded=No.</t>
  </si>
  <si>
    <t>RB-05425</t>
  </si>
  <si>
    <t>P10-F05425</t>
  </si>
  <si>
    <t>PBX-0206</t>
  </si>
  <si>
    <t>Current source line evidence: Data/Scripts/System/Regions/OutDoorBadRegion.cs:L34:if (m is PlayerMobile) || Prior POST-BATCH-K evidence: CurrentFile=Data/Scripts/System/Regions/OutDoorBadRegion.cs; Line=34;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Core;DirectReference;Data/Scripts/System/Regions/OutDoorBadRegion.cs:L34:PlayerMobile || DependencyEvidence: Regions-&gt;PlayerMobile Core;DirectReference;Data/Scripts/System/Regions/OutDoorBadRegion.cs:L34:PlayerMobile || RuntimeHookEvidence: Data/Scripts/System/Regions/OutDoorBadRegion.cs:L31:Region:RegionOverride | Data/Scripts/System/Regions/OutDoorBadRegion.cs:L42:Region:RegionOverride || SerializationEvidence: No serialization-register rows for file.</t>
  </si>
  <si>
    <t>PreviousPostAuditBatch=POST-BATCH-K; PreviousReviewRowId=PBK-2514; CouplingKind=PvPRegionCombatPolicyCoupling; ReviewClass=PvPRegionCombatPolicyResolvedNoChange; FutureSourceBatchNeeded=No.</t>
  </si>
  <si>
    <t>RB-05426</t>
  </si>
  <si>
    <t>P10-F05426</t>
  </si>
  <si>
    <t>PBX-0207</t>
  </si>
  <si>
    <t>Current source line evidence: Data/Scripts/System/Regions/OutDoorRegion.cs:L42:if (m is PlayerMobile) || Prior POST-BATCH-K evidence: CurrentFile=Data/Scripts/System/Regions/OutDoorRegion.cs; Line=42;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Core;DirectReference;Data/Scripts/System/Regions/OutDoorRegion.cs:L42:PlayerMobile || DependencyEvidence: Regions-&gt;PlayerMobile Core;DirectReference;Data/Scripts/System/Regions/OutDoorRegion.cs:L42:PlayerMobile || RuntimeHookEvidence: Data/Scripts/System/Regions/OutDoorRegion.cs:L39:Region:RegionOverride | Data/Scripts/System/Regions/OutDoorRegion.cs:L53:Region:RegionOverride || SerializationEvidence: No serialization-register rows for file.</t>
  </si>
  <si>
    <t>PreviousPostAuditBatch=POST-BATCH-K; PreviousReviewRowId=PBK-2515; CouplingKind=PvPRegionCombatPolicyCoupling; ReviewClass=PvPRegionCombatPolicyResolvedNoChange; FutureSourceBatchNeeded=No.</t>
  </si>
  <si>
    <t>RB-05427</t>
  </si>
  <si>
    <t>P10-F05427</t>
  </si>
  <si>
    <t>PBX-0208</t>
  </si>
  <si>
    <t>Current source context evidence near queued line 29: Data/Scripts/System/Regions/PirateRegion.cs:L32:if (m is PlayerMobile) || Prior POST-BATCH-K evidence: CurrentFile=Data/Scripts/System/Regions/PirateRegion.cs; Line=29;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Core;DirectReference;Data/Scripts/System/Regions/PirateRegion.cs:L29:PlayerMobile || DependencyEvidence: Regions-&gt;PlayerMobile Core;DirectReference;Data/Scripts/System/Regions/PirateRegion.cs:L29:PlayerMobile || RuntimeHookEvidence: Data/Scripts/System/Regions/PirateRegion.cs:L26:Region:RegionOverride | Data/Scripts/System/Regions/PirateRegion.cs:L37:Region:RegionOverride || SerializationEvidence: No serialization-register rows for file.</t>
  </si>
  <si>
    <t>PreviousPostAuditBatch=POST-BATCH-K; PreviousReviewRowId=PBK-2516; CouplingKind=PvPRegionCombatPolicyCoupling; ReviewClass=PvPRegionCombatPolicyResolvedNoChange; FutureSourceBatchNeeded=No.</t>
  </si>
  <si>
    <t>RB-05428</t>
  </si>
  <si>
    <t>P10-F05428</t>
  </si>
  <si>
    <t>PBX-0209</t>
  </si>
  <si>
    <t>Current source line evidence: Data/Scripts/System/Regions/PrisonArea.cs:L50:if (m is PlayerMobile) || Prior POST-BATCH-K evidence: CurrentFile=Data/Scripts/System/Regions/PrisonArea.cs; Line=50;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Core;DirectReference;Data/Scripts/System/Regions/PrisonArea.cs:L50:PlayerMobile || DependencyEvidence: Regions-&gt;PlayerMobile Core;DirectReference;Data/Scripts/System/Regions/PrisonArea.cs:L50:PlayerMobile || RuntimeHookEvidence: Data/Scripts/System/Regions/PrisonArea.cs:L36:Region:RegionOverride | Data/Scripts/System/Regions/PrisonArea.cs:L47:Region:RegionOverride | Data/Scripts/System/Regions/PrisonArea.cs:L53:Gump:SendGump || SerializationEvidence: No serialization-register rows for file.</t>
  </si>
  <si>
    <t>PreviousPostAuditBatch=POST-BATCH-K; PreviousReviewRowId=PBK-2517; CouplingKind=PvPRegionCombatPolicyCoupling; ReviewClass=PvPRegionCombatPolicyResolvedNoChange; FutureSourceBatchNeeded=No.</t>
  </si>
  <si>
    <t>RB-05429</t>
  </si>
  <si>
    <t>P10-F05429</t>
  </si>
  <si>
    <t>PBX-0210</t>
  </si>
  <si>
    <t>Current source line evidence: Data/Scripts/System/Regions/ProtectedRegion.cs:L68:if (m is PlayerMobile) || Prior POST-BATCH-K evidence: CurrentFile=Data/Scripts/System/Regions/ProtectedRegion.cs; Line=68;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Core;DirectReference;Data/Scripts/System/Regions/ProtectedRegion.cs:L68:PlayerMobile || DependencyEvidence: Regions-&gt;PlayerMobile Core;DirectReference;Data/Scripts/System/Regions/ProtectedRegion.cs:L68:PlayerMobile || RuntimeHookEvidence: Data/Scripts/System/Regions/ProtectedRegion.cs:L46:Region:RegionOverride | Data/Scripts/System/Regions/ProtectedRegion.cs:L65:Region:RegionOverride | Data/Scripts/System/Regions/ProtectedRegion.cs:L76:Region:RegionOverride || SerializationEvidence: No serialization-register rows for file.</t>
  </si>
  <si>
    <t>PreviousPostAuditBatch=POST-BATCH-K; PreviousReviewRowId=PBK-2518; CouplingKind=PvPRegionCombatPolicyCoupling; ReviewClass=PvPRegionCombatPolicyResolvedNoChange; FutureSourceBatchNeeded=No.</t>
  </si>
  <si>
    <t>RB-05430</t>
  </si>
  <si>
    <t>P10-F05430</t>
  </si>
  <si>
    <t>PBX-0211</t>
  </si>
  <si>
    <t>Current source line evidence: Data/Scripts/System/Regions/PublicRegion.cs:L65:if (m is PlayerMobile) || Prior POST-BATCH-K evidence: CurrentFile=Data/Scripts/System/Regions/PublicRegion.cs; Line=65;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Core;DirectReference;Data/Scripts/System/Regions/PublicRegion.cs:L65:PlayerMobile || DependencyEvidence: Regions-&gt;PlayerMobile Core;DirectReference;Data/Scripts/System/Regions/PublicRegion.cs:L65:PlayerMobile || RuntimeHookEvidence: Data/Scripts/System/Regions/PublicRegion.cs:L41:Region:RegionOverride | Data/Scripts/System/Regions/PublicRegion.cs:L62:Region:RegionOverride | Data/Scripts/System/Regions/PublicRegion.cs:L128:Region:RegionOverride || SerializationEvidence: No serialization-register rows for file.</t>
  </si>
  <si>
    <t>PreviousPostAuditBatch=POST-BATCH-K; PreviousReviewRowId=PBK-2519; CouplingKind=PvPRegionCombatPolicyCoupling; ReviewClass=PvPRegionCombatPolicyResolvedNoChange; FutureSourceBatchNeeded=No.</t>
  </si>
  <si>
    <t>RB-05431</t>
  </si>
  <si>
    <t>P10-F05431</t>
  </si>
  <si>
    <t>Data/Scripts/System/Regions/RegionMusic.cs</t>
  </si>
  <si>
    <t>PBX-0212</t>
  </si>
  <si>
    <t>Current source line evidence: Data/Scripts/System/Regions/RegionMusic.cs:L14:if (from is PlayerMobile) || Prior POST-BATCH-K evidence: CurrentFile=Data/Scripts/System/Regions/RegionMusic.cs; Line=14; SourceLine=if (from is PlayerMobile); PathResolution=OriginalPathCurrent; MatchQuality=DependencyGraphPlayerMobileFileLine; HookKind=PlayerMobileReference; GuardList=; Access=; Command=; Handler=; DisabledEvidence=False; DependencyEvidence=Regions-&gt;PlayerMobile Core;DirectReference;Data/Scripts/System/Regions/RegionMusic.cs:L14:PlayerMobile || DependencyEvidence: Regions-&gt;PlayerMobile Core;DirectReference;Data/Scripts/System/Regions/RegionMusic.cs:L14:PlayerMobile || RuntimeHookEvidence: No runtime-hook-map row matched this file. || SerializationEvidence: No serialization-register rows for file.</t>
  </si>
  <si>
    <t>PreviousPostAuditBatch=POST-BATCH-K; PreviousReviewRowId=PBK-2520; CouplingKind=PvPRegionCombatPolicyCoupling; ReviewClass=PvPRegionCombatPolicyResolvedNoChange; FutureSourceBatchNeeded=No.</t>
  </si>
  <si>
    <t>RB-05432</t>
  </si>
  <si>
    <t>P10-F05432</t>
  </si>
  <si>
    <t>PBX-0213</t>
  </si>
  <si>
    <t>Current source line evidence: Data/Scripts/System/Regions/SafeRegion.cs:L76:if (m is PlayerMobile) || Prior POST-BATCH-K evidence: CurrentFile=Data/Scripts/System/Regions/SafeRegion.cs; Line=76;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Core;DirectReference;Data/Scripts/System/Regions/SafeRegion.cs:L76:PlayerMobile || DependencyEvidence: Regions-&gt;PlayerMobile Core;DirectReference;Data/Scripts/System/Regions/SafeRegion.cs:L76:PlayerMobile || RuntimeHookEvidence: Data/Scripts/System/Regions/SafeRegion.cs:L44:Region:RegionOverride | Data/Scripts/System/Regions/SafeRegion.cs:L73:Region:RegionOverride | Data/Scripts/System/Regions/SafeRegion.cs:L110:Region:RegionOverride || SerializationEvidence: No serialization-register rows for file.</t>
  </si>
  <si>
    <t>PreviousPostAuditBatch=POST-BATCH-K; PreviousReviewRowId=PBK-2521; CouplingKind=PvPRegionCombatPolicyCoupling; ReviewClass=PvPRegionCombatPolicyResolvedNoChange; FutureSourceBatchNeeded=No.</t>
  </si>
  <si>
    <t>RB-05433</t>
  </si>
  <si>
    <t>P10-F05433</t>
  </si>
  <si>
    <t>PBX-0214</t>
  </si>
  <si>
    <t>Current source line evidence: Data/Scripts/System/Regions/SavageRegion.cs:L41:if ((from is PlayerMobile) &amp;&amp; (target is PlayerMobile)) || Prior POST-BATCH-K evidence: CurrentFile=Data/Scripts/System/Regions/SavageRegion.cs; Line=41; SourceLine=if ((from is PlayerMobile) &amp;&amp; (target is PlayerMobile)); PathResolution=OriginalPathCurrent; MatchQuality=DependencyGraphPlayerMobileFileLine; HookKind=PlayerMobileReference; GuardList=; Access=; Command=; Handler=; DisabledEvidence=False; DependencyEvidence=Regions-&gt;PlayerMobile Core;DirectReference;Data/Scripts/System/Regions/SavageRegion.cs:L41:PlayerMobile || DependencyEvidence: Regions-&gt;PlayerMobile Core;DirectReference;Data/Scripts/System/Regions/SavageRegion.cs:L41:PlayerMobile || RuntimeHookEvidence: Data/Scripts/System/Regions/SavageRegion.cs:L39:Region:RegionOverride | Data/Scripts/System/Regions/SavageRegion.cs:L53:Region:RegionOverride || SerializationEvidence: No serialization-register rows for file.</t>
  </si>
  <si>
    <t>PreviousPostAuditBatch=POST-BATCH-K; PreviousReviewRowId=PBK-2522; CouplingKind=PvPRegionCombatPolicyCoupling; ReviewClass=PvPRegionCombatPolicyResolvedNoChange; FutureSourceBatchNeeded=No.</t>
  </si>
  <si>
    <t>RB-05434</t>
  </si>
  <si>
    <t>P10-F05434</t>
  </si>
  <si>
    <t>PBX-0215</t>
  </si>
  <si>
    <t>Current source line evidence: Data/Scripts/System/Regions/StartRegion.cs:L58:if ((from is PlayerMobile) &amp;&amp; (target is PlayerMobile)) || Prior POST-BATCH-K evidence: CurrentFile=Data/Scripts/System/Regions/StartRegion.cs; Line=58; SourceLine=if ((from is PlayerMobile) &amp;&amp; (target is PlayerMobile)); PathResolution=OriginalPathCurrent; MatchQuality=DependencyGraphPlayerMobileFileLine; HookKind=PlayerMobileReference; GuardList=; Access=; Command=; Handler=; DisabledEvidence=False; DependencyEvidence=Regions-&gt;PlayerMobile Core;DirectReference;Data/Scripts/System/Regions/StartRegion.cs:L58:PlayerMobile || DependencyEvidence: Regions-&gt;PlayerMobile Core;DirectReference;Data/Scripts/System/Regions/StartRegion.cs:L58:PlayerMobile || RuntimeHookEvidence: Data/Scripts/System/Regions/StartRegion.cs:L56:Region:RegionOverride | Data/Scripts/System/Regions/StartRegion.cs:L70:Region:RegionOverride | Data/Scripts/System/Regions/StartRegion.cs:L86:Region:RegionOverride || SerializationEvidence: No serialization-register rows for file.</t>
  </si>
  <si>
    <t>PreviousPostAuditBatch=POST-BATCH-K; PreviousReviewRowId=PBK-2523; CouplingKind=PvPRegionCombatPolicyCoupling; ReviewClass=PvPRegionCombatPolicyResolvedNoChange; FutureSourceBatchNeeded=No.</t>
  </si>
  <si>
    <t>RB-05435</t>
  </si>
  <si>
    <t>P10-F05435</t>
  </si>
  <si>
    <t>PBX-0216</t>
  </si>
  <si>
    <t>Current source line evidence: Data/Scripts/System/Regions/UmbraRegion.cs:L36:if (m is PlayerMobile) || Prior POST-BATCH-K evidence: CurrentFile=Data/Scripts/System/Regions/UmbraRegion.cs; Line=36;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Core;DirectReference;Data/Scripts/System/Regions/UmbraRegion.cs:L36:PlayerMobile || DependencyEvidence: Regions-&gt;PlayerMobile Core;DirectReference;Data/Scripts/System/Regions/UmbraRegion.cs:L36:PlayerMobile || RuntimeHookEvidence: Data/Scripts/System/Regions/UmbraRegion.cs:L33:Region:RegionOverride | Data/Scripts/System/Regions/UmbraRegion.cs:L44:Region:RegionOverride || SerializationEvidence: No serialization-register rows for file.</t>
  </si>
  <si>
    <t>PreviousPostAuditBatch=POST-BATCH-K; PreviousReviewRowId=PBK-2524; CouplingKind=PvPRegionCombatPolicyCoupling; ReviewClass=PvPRegionCombatPolicyResolvedNoChange; FutureSourceBatchNeeded=No.</t>
  </si>
  <si>
    <t>RB-05436</t>
  </si>
  <si>
    <t>P10-F05436</t>
  </si>
  <si>
    <t>PBX-0217</t>
  </si>
  <si>
    <t>Current source line evidence: Data/Scripts/System/Regions/VillageRegion.cs:L49:if (m is PlayerMobile) || Prior POST-BATCH-K evidence: CurrentFile=Data/Scripts/System/Regions/VillageRegion.cs; Line=49; SourceLine=if (m is PlayerMobile); PathResolution=OriginalPathCurrent; MatchQuality=DependencyGraphPlayerMobileFileLine; HookKind=PlayerMobileReference; GuardList=; Access=; Command=; Handler=; DisabledEvidence=False; DependencyEvidence=Regions-&gt;PlayerMobile Core;DirectReference;Data/Scripts/System/Regions/VillageRegion.cs:L49:PlayerMobile || DependencyEvidence: Regions-&gt;PlayerMobile Core;DirectReference;Data/Scripts/System/Regions/VillageRegion.cs:L49:PlayerMobile || RuntimeHookEvidence: Data/Scripts/System/Regions/VillageRegion.cs:L29:Region:RegionOverride | Data/Scripts/System/Regions/VillageRegion.cs:L46:Region:RegionOverride | Data/Scripts/System/Regions/VillageRegion.cs:L57:Region:RegionOverride || SerializationEvidence: No serialization-register rows for file.</t>
  </si>
  <si>
    <t>PreviousPostAuditBatch=POST-BATCH-K; PreviousReviewRowId=PBK-2525; CouplingKind=PvPRegionCombatPolicyCoupling; ReviewClass=PvPRegionCombatPolicyResolvedNoChange; FutureSourceBatchNeeded=No.</t>
  </si>
  <si>
    <t>RB-05437</t>
  </si>
  <si>
    <t>P10-F05437</t>
  </si>
  <si>
    <t>PBX-0218</t>
  </si>
  <si>
    <t>Current source line evidence: Data/Scripts/System/Regions/WantedRegion.cs:L41:if ((from is PlayerMobile) &amp;&amp; (target is PlayerMobile)) || Prior POST-BATCH-K evidence: CurrentFile=Data/Scripts/System/Regions/WantedRegion.cs; Line=41; SourceLine=if ((from is PlayerMobile) &amp;&amp; (target is PlayerMobile)); PathResolution=OriginalPathCurrent; MatchQuality=DependencyGraphPlayerMobileFileLine; HookKind=PlayerMobileReference; GuardList=; Access=; Command=; Handler=; DisabledEvidence=False; DependencyEvidence=Regions-&gt;PlayerMobile Core;DirectReference;Data/Scripts/System/Regions/WantedRegion.cs:L41:PlayerMobile || DependencyEvidence: Regions-&gt;PlayerMobile Core;DirectReference;Data/Scripts/System/Regions/WantedRegion.cs:L41:PlayerMobile || RuntimeHookEvidence: Data/Scripts/System/Regions/WantedRegion.cs:L39:Region:RegionOverride | Data/Scripts/System/Regions/WantedRegion.cs:L53:Region:RegionOverride || SerializationEvidence: No serialization-register rows for file.</t>
  </si>
  <si>
    <t>PreviousPostAuditBatch=POST-BATCH-K; PreviousReviewRowId=PBK-2526; CouplingKind=PlayerMobilePropertyStateAccess; ReviewClass=PlayerStateAccessPolicyResolvedNoChange; FutureSourceBatchNeeded=No.</t>
  </si>
  <si>
    <t>RB-05438</t>
  </si>
  <si>
    <t>P10-F05438</t>
  </si>
  <si>
    <t>PBX-0219</t>
  </si>
  <si>
    <t>PreviousPostAuditBatch=POST-BATCH-K; PreviousReviewRowId=PBK-2527; CouplingKind=PlayerTypeCheckOrCast; ReviewClass=DirectPlayerTypePolicyResolvedNoChange; FutureSourceBatchNeeded=No.</t>
  </si>
  <si>
    <t>RB-05439</t>
  </si>
  <si>
    <t>P10-F05439</t>
  </si>
  <si>
    <t>PBX-0220</t>
  </si>
  <si>
    <t>PreviousPostAuditBatch=POST-BATCH-K; PreviousReviewRowId=PBK-2528; CouplingKind=PlayerTypeCheckOrCast; ReviewClass=LineDriftContextPolicyResolvedNoChange; FutureSourceBatchNeeded=No.</t>
  </si>
  <si>
    <t>RB-05440</t>
  </si>
  <si>
    <t>P10-F05440</t>
  </si>
  <si>
    <t>PBX-0221</t>
  </si>
  <si>
    <t>PreviousPostAuditBatch=POST-BATCH-K; PreviousReviewRowId=PBK-2529; CouplingKind=PlayerTypeCheckOrCast; ReviewClass=DirectPlayerTypePolicyResolvedNoChange; FutureSourceBatchNeeded=No.</t>
  </si>
  <si>
    <t>RB-05441</t>
  </si>
  <si>
    <t>P10-F05441</t>
  </si>
  <si>
    <t>PBX-0222</t>
  </si>
  <si>
    <t>PreviousPostAuditBatch=POST-BATCH-K; PreviousReviewRowId=PBK-2530; CouplingKind=PlayerTypeCheckOrCast; ReviewClass=LineDriftContextPolicyResolvedNoChange; FutureSourceBatchNeeded=No.</t>
  </si>
  <si>
    <t>RB-05442</t>
  </si>
  <si>
    <t>P10-F05442</t>
  </si>
  <si>
    <t>PBX-0223</t>
  </si>
  <si>
    <t>PreviousPostAuditBatch=POST-BATCH-K; PreviousReviewRowId=PBK-2531; CouplingKind=PlayerTypeCheckOrCast; ReviewClass=DirectPlayerTypePolicyResolvedNoChange; FutureSourceBatchNeeded=No.</t>
  </si>
  <si>
    <t>RB-05443</t>
  </si>
  <si>
    <t>P10-F05443</t>
  </si>
  <si>
    <t>PBX-0224</t>
  </si>
  <si>
    <t>PreviousPostAuditBatch=POST-BATCH-K; PreviousReviewRowId=PBK-2532; CouplingKind=PlayerTypeCheckOrCast; ReviewClass=LineDriftContextPolicyResolvedNoChange; FutureSourceBatchNeeded=No.</t>
  </si>
  <si>
    <t>RB-05444</t>
  </si>
  <si>
    <t>P10-F05444</t>
  </si>
  <si>
    <t>PBX-0225</t>
  </si>
  <si>
    <t>PreviousPostAuditBatch=POST-BATCH-K; PreviousReviewRowId=PBK-2533; CouplingKind=PlayerTypeCheckOrCast; ReviewClass=DirectPlayerTypePolicyResolvedNoChange; FutureSourceBatchNeeded=No.</t>
  </si>
  <si>
    <t>RB-05445</t>
  </si>
  <si>
    <t>P10-F05445</t>
  </si>
  <si>
    <t>Data/Scripts/Magic/Base/Spell.cs</t>
  </si>
  <si>
    <t>PBX-0226</t>
  </si>
  <si>
    <t>Current source line evidence: Data/Scripts/Magic/Base/Spell.cs:L674:m_Caster is PlayerMobile || Prior POST-BATCH-K evidence: CurrentFile=Data/Scripts/Magic/Base/Spell.cs; Line=674; SourceLine=m_Caster is PlayerMobile; PathResolution=OriginalPathCurrent; MatchQuality=DependencyGraphPlayerMobileFileLine; HookKind=PlayerMobileReference; GuardList=; Access=; Command=; Handler=; DisabledEvidence=False; DependencyEvidence=Spell Framework-&gt;PlayerMobile Core;DirectReference;Data/Scripts/Magic/Base/Spell.cs:L674:PlayerMobile || DependencyEvidence: Spell Framework-&gt;PlayerMobile Core;DirectReference;Data/Scripts/Magic/Base/Spell.cs:L674:PlayerMobile || RuntimeHookEvidence: Data/Scripts/Magic/Base/Spell.cs:L1219:Timer:CustomTimerSubclass | Data/Scripts/Magic/Base/Spell.cs:L1251:Timer:CustomTimerSubclass || SerializationEvidence: No serialization-register rows for file.</t>
  </si>
  <si>
    <t>PreviousPostAuditBatch=POST-BATCH-K; PreviousReviewRowId=PBK-2534; CouplingKind=PlayerTypeCheckOrCast; ReviewClass=DirectPlayerTypePolicyResolvedNoChange; FutureSourceBatchNeeded=No.</t>
  </si>
  <si>
    <t>RB-05446</t>
  </si>
  <si>
    <t>P10-F05446</t>
  </si>
  <si>
    <t>Data/Scripts/Magic/Bushido/LightningStrike.cs</t>
  </si>
  <si>
    <t>PBX-0227</t>
  </si>
  <si>
    <t>Current source line evidence: Data/Scripts/Magic/Bushido/LightningStrike.cs:L43:PlayerMobile ThePlayer = from as PlayerMobile; || Prior POST-BATCH-K evidence: CurrentFile=Data/Scripts/Magic/Bushido/LightningStrike.cs; Line=43; SourceLine=PlayerMobile ThePlayer = from as PlayerMobile;; PathResolution=OriginalPathCurrent; MatchQuality=DependencyGraphPlayerMobileFileLine; HookKind=PlayerMobileReference; GuardList=; Access=; Command=; Handler=; DisabledEvidence=False; DependencyEvidence=Spell Framework-&gt;PlayerMobile Core;DirectReference;Data/Scripts/Magic/Bushido/LightningStrike.cs:L43:PlayerMobile || DependencyEvidence: Spell Framework-&gt;PlayerMobile Core;DirectReference;Data/Scripts/Magic/Bushido/LightningStrike.cs:L43:PlayerMobile || RuntimeHookEvidence: No runtime-hook-map row matched this file. || SerializationEvidence: No serialization-register rows for file.</t>
  </si>
  <si>
    <t>PreviousPostAuditBatch=POST-BATCH-K; PreviousReviewRowId=PBK-2535; CouplingKind=PvPRegionCombatPolicyCoupling; ReviewClass=PvPRegionCombatPolicyResolvedNoChange; FutureSourceBatchNeeded=No.</t>
  </si>
  <si>
    <t>RB-05447</t>
  </si>
  <si>
    <t>P10-F05447</t>
  </si>
  <si>
    <t>Data/Scripts/Magic/Bushido/SamuraiSpell.cs</t>
  </si>
  <si>
    <t>PBX-0228</t>
  </si>
  <si>
    <t>Current source line evidence: Data/Scripts/Magic/Bushido/SamuraiSpell.cs:L53:if (!(from is PlayerMobile)) || Prior POST-BATCH-K evidence: CurrentFile=Data/Scripts/Magic/Bushido/SamuraiSpell.cs; Line=53; SourceLine=if (!(from is PlayerMobile)); PathResolution=OriginalPathCurrent; MatchQuality=DependencyGraphPlayerMobileFileLine; HookKind=PlayerMobileReference; GuardList=; Access=; Command=; Handler=; DisabledEvidence=False; DependencyEvidence=Spell Framework-&gt;PlayerMobile Core;DirectReference;Data/Scripts/Magic/Bushido/SamuraiSpell.cs:L53:PlayerMobile || DependencyEvidence: Spell Framework-&gt;PlayerMobile Core;DirectReference;Data/Scripts/Magic/Bushido/SamuraiSpell.cs:L53:PlayerMobile || RuntimeHookEvidence: No runtime-hook-map row matched this file. || SerializationEvidence: No serialization-register rows for file.</t>
  </si>
  <si>
    <t>PreviousPostAuditBatch=POST-BATCH-K; PreviousReviewRowId=PBK-2536; CouplingKind=PlayerTypeCheckOrCast; ReviewClass=DirectPlayerTypePolicyResolvedNoChange; FutureSourceBatchNeeded=No.</t>
  </si>
  <si>
    <t>RB-05448</t>
  </si>
  <si>
    <t>P10-F05448</t>
  </si>
  <si>
    <t>PBX-0229</t>
  </si>
  <si>
    <t>PreviousPostAuditBatch=POST-BATCH-K; PreviousReviewRowId=PBK-2537; CouplingKind=PvPRegionCombatPolicyCoupling; ReviewClass=PvPRegionCombatPolicyResolvedNoChange; FutureSourceBatchNeeded=No.</t>
  </si>
  <si>
    <t>RB-05449</t>
  </si>
  <si>
    <t>P10-F05449</t>
  </si>
  <si>
    <t>PBX-0230</t>
  </si>
  <si>
    <t>PreviousPostAuditBatch=POST-BATCH-K; PreviousReviewRowId=PBK-2538; CouplingKind=PvPRegionCombatPolicyCoupling; ReviewClass=PvPRegionCombatPolicyResolvedNoChange; FutureSourceBatchNeeded=No.</t>
  </si>
  <si>
    <t>RB-05450</t>
  </si>
  <si>
    <t>P10-F05450</t>
  </si>
  <si>
    <t>PBX-0231</t>
  </si>
  <si>
    <t>PreviousPostAuditBatch=POST-BATCH-K; PreviousReviewRowId=PBK-2539; CouplingKind=PvPRegionCombatPolicyCoupling; ReviewClass=PvPRegionCombatPolicyResolvedNoChange; FutureSourceBatchNeeded=No.</t>
  </si>
  <si>
    <t>RB-05451</t>
  </si>
  <si>
    <t>P10-F05451</t>
  </si>
  <si>
    <t>Data/Scripts/Magic/Druidism/Effects/RestorativeSoilSpell.cs</t>
  </si>
  <si>
    <t>PBX-0232</t>
  </si>
  <si>
    <t>Current source line evidence: Data/Scripts/Magic/Druidism/Effects/RestorativeSoilSpell.cs:L101:else if (m is PlayerMobile &amp;&amp; CheckBSequence(m, true)) || Prior POST-BATCH-K evidence: CurrentFile=Data/Scripts/Magic/Druidism/Effects/RestorativeSoilSpell.cs; Line=101; SourceLine=else if (m is PlayerMobile &amp;&amp; CheckBSequence(m, true)); PathResolution=OriginalPathCurrent; MatchQuality=DependencyGraphPlayerMobileFileLine; HookKind=PlayerMobileReference; GuardList=; Access=; Command=; Handler=; DisabledEvidence=False; DependencyEvidence=Spell Framework-&gt;PlayerMobile Core;DirectReference;Data/Scripts/Magic/Druidism/Effects/RestorativeSoilSpell.cs:L101:PlayerMobile || DependencyEvidence: Spell Framework-&gt;PlayerMobile Core;DirectReference;Data/Scripts/Magic/Druidism/Effects/RestorativeSoilSpell.cs:L101:PlayerMobile || RuntimeHookEvidence: Data/Scripts/Magic/Druidism/Effects/RestorativeSoilSpell.cs:L109:Gump:SendGump | Data/Scripts/Magic/Druidism/Effects/RestorativeSoilSpell.cs:L121:Gump:SendGump || SerializationEvidence: No serialization-register rows for file.</t>
  </si>
  <si>
    <t>PreviousPostAuditBatch=POST-BATCH-K; PreviousReviewRowId=PBK-2540; CouplingKind=PlayerTypeCheckOrCast; ReviewClass=DirectPlayerTypePolicyResolvedNoChange; FutureSourceBatchNeeded=No.</t>
  </si>
  <si>
    <t>RB-05452</t>
  </si>
  <si>
    <t>P10-F05452</t>
  </si>
  <si>
    <t>PBX-0233</t>
  </si>
  <si>
    <t>PreviousPostAuditBatch=POST-BATCH-K; PreviousReviewRowId=PBK-2541; CouplingKind=PlayerTypeCheckOrCast; ReviewClass=DirectPlayerTypePolicyResolvedNoChange; FutureSourceBatchNeeded=No.</t>
  </si>
  <si>
    <t>RB-05453</t>
  </si>
  <si>
    <t>P10-F05453</t>
  </si>
  <si>
    <t>PBX-0234</t>
  </si>
  <si>
    <t>PreviousPostAuditBatch=POST-BATCH-K; PreviousReviewRowId=PBK-2542; CouplingKind=PlayerMobilePropertyStateAccess; ReviewClass=PlayerStateAccessPolicyResolvedNoChange; FutureSourceBatchNeeded=No.</t>
  </si>
  <si>
    <t>RB-05454</t>
  </si>
  <si>
    <t>P10-F05454</t>
  </si>
  <si>
    <t>PBX-0235</t>
  </si>
  <si>
    <t>PreviousPostAuditBatch=POST-BATCH-K; PreviousReviewRowId=PBK-2543; CouplingKind=PlayerMobilePropertyStateAccess; ReviewClass=PlayerStateAccessPolicyResolvedNoChange; FutureSourceBatchNeeded=No.</t>
  </si>
  <si>
    <t>RB-05455</t>
  </si>
  <si>
    <t>P10-F05455</t>
  </si>
  <si>
    <t>PBX-0236</t>
  </si>
  <si>
    <t>PreviousPostAuditBatch=POST-BATCH-K; PreviousReviewRowId=PBK-2544; CouplingKind=PlayerMobilePropertyStateAccess; ReviewClass=PlayerStateAccessPolicyResolvedNoChange; FutureSourceBatchNeeded=No.</t>
  </si>
  <si>
    <t>RB-05456</t>
  </si>
  <si>
    <t>P10-F05456</t>
  </si>
  <si>
    <t>PBX-0237</t>
  </si>
  <si>
    <t>PreviousPostAuditBatch=POST-BATCH-K; PreviousReviewRowId=PBK-2545; CouplingKind=PlayerTypeCheckOrCast; ReviewClass=DirectPlayerTypePolicyResolvedNoChange; FutureSourceBatchNeeded=No.</t>
  </si>
  <si>
    <t>RB-05457</t>
  </si>
  <si>
    <t>P10-F05457</t>
  </si>
  <si>
    <t>PBX-0238</t>
  </si>
  <si>
    <t>PreviousPostAuditBatch=POST-BATCH-K; PreviousReviewRowId=PBK-2546; CouplingKind=PlayerTypeCheckOrCast; ReviewClass=DirectPlayerTypePolicyResolvedNoChange; FutureSourceBatchNeeded=No.</t>
  </si>
  <si>
    <t>RB-05458</t>
  </si>
  <si>
    <t>P10-F05458</t>
  </si>
  <si>
    <t>PBX-0239</t>
  </si>
  <si>
    <t>PreviousPostAuditBatch=POST-BATCH-K; PreviousReviewRowId=PBK-2547; CouplingKind=PlayerTypeCheckOrCast; ReviewClass=DirectPlayerTypePolicyResolvedNoChange; FutureSourceBatchNeeded=No.</t>
  </si>
  <si>
    <t>RB-05459</t>
  </si>
  <si>
    <t>P10-F05459</t>
  </si>
  <si>
    <t>PBX-0240</t>
  </si>
  <si>
    <t>PreviousPostAuditBatch=POST-BATCH-K; PreviousReviewRowId=PBK-2548; CouplingKind=PlayerTypeCheckOrCast; ReviewClass=DirectPlayerTypePolicyResolvedNoChange; FutureSourceBatchNeeded=No.</t>
  </si>
  <si>
    <t>RB-05460</t>
  </si>
  <si>
    <t>P10-F05460</t>
  </si>
  <si>
    <t>Data/Scripts/Magic/Enchantments/Spells/DevilPactMagic..cs</t>
  </si>
  <si>
    <t>PBX-0241</t>
  </si>
  <si>
    <t>Current source line evidence: Data/Scripts/Magic/Enchantments/Spells/DevilPactMagic..cs:L65:if (Caster is PlayerMobile) || Prior POST-BATCH-K evidence: CurrentFile=Data/Scripts/Magic/Enchantments/Spells/DevilPactMagic..cs; Line=65;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Core;DirectReference;Data/Scripts/Magic/Enchantments/Spells/DevilPactMagic..cs:L65:PlayerMobile || DependencyEvidence: Spell Framework-&gt;PlayerMobile Core;DirectReference;Data/Scripts/Magic/Enchantments/Spells/DevilPactMagic..cs:L65:PlayerMobile || RuntimeHookEvidence: No runtime-hook-map row matched this file. || SerializationEvidence: No serialization-register rows for file.</t>
  </si>
  <si>
    <t>PreviousPostAuditBatch=POST-BATCH-K; PreviousReviewRowId=PBK-2549; CouplingKind=PlayerTypeCheckOrCast; ReviewClass=DirectPlayerTypePolicyResolvedNoChange; FutureSourceBatchNeeded=No.</t>
  </si>
  <si>
    <t>RB-05461</t>
  </si>
  <si>
    <t>P10-F05461</t>
  </si>
  <si>
    <t>Data/Scripts/Magic/Enchantments/Spells/GrimReaperMagic..cs</t>
  </si>
  <si>
    <t>PBX-0242</t>
  </si>
  <si>
    <t>Current source line evidence: Data/Scripts/Magic/Enchantments/Spells/GrimReaperMagic..cs:L63:if (Caster is PlayerMobile) || Prior POST-BATCH-K evidence: CurrentFile=Data/Scripts/Magic/Enchantments/Spells/GrimReaperMagic..cs; Line=63;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Core;DirectReference;Data/Scripts/Magic/Enchantments/Spells/GrimReaperMagic..cs:L63:PlayerMobile || DependencyEvidence: Spell Framework-&gt;PlayerMobile Core;DirectReference;Data/Scripts/Magic/Enchantments/Spells/GrimReaperMagic..cs:L63:PlayerMobile || RuntimeHookEvidence: Data/Scripts/Magic/Enchantments/Spells/GrimReaperMagic..cs:L57:Timer:Timer.DelayCall || SerializationEvidence: No serialization-register rows for file.</t>
  </si>
  <si>
    <t>PreviousPostAuditBatch=POST-BATCH-K; PreviousReviewRowId=PBK-2550; CouplingKind=PlayerTypeCheckOrCast; ReviewClass=DirectPlayerTypePolicyResolvedNoChange; FutureSourceBatchNeeded=No.</t>
  </si>
  <si>
    <t>RB-05462</t>
  </si>
  <si>
    <t>P10-F05462</t>
  </si>
  <si>
    <t>Data/Scripts/Magic/Enchantments/Spells/WrathMagic..cs</t>
  </si>
  <si>
    <t>PBX-0243</t>
  </si>
  <si>
    <t>Current source line evidence: Data/Scripts/Magic/Enchantments/Spells/WrathMagic..cs:L92:if (Caster is PlayerMobile) || Prior POST-BATCH-K evidence: CurrentFile=Data/Scripts/Magic/Enchantments/Spells/WrathMagic..cs; Line=92;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Core;DirectReference;Data/Scripts/Magic/Enchantments/Spells/WrathMagic..cs:L92:PlayerMobile || DependencyEvidence: Spell Framework-&gt;PlayerMobile Core;DirectReference;Data/Scripts/Magic/Enchantments/Spells/WrathMagic..cs:L92:PlayerMobile || RuntimeHookEvidence: No runtime-hook-map row matched this file. || SerializationEvidence: No serialization-register rows for file.</t>
  </si>
  <si>
    <t>PreviousPostAuditBatch=POST-BATCH-K; PreviousReviewRowId=PBK-2551; CouplingKind=PlayerTypeCheckOrCast; ReviewClass=DirectPlayerTypePolicyResolvedNoChange; FutureSourceBatchNeeded=No.</t>
  </si>
  <si>
    <t>RB-05463</t>
  </si>
  <si>
    <t>P10-F05463</t>
  </si>
  <si>
    <t>PBX-0244</t>
  </si>
  <si>
    <t>PreviousPostAuditBatch=POST-BATCH-K; PreviousReviewRowId=PBK-2552; CouplingKind=PlayerTypeCheckOrCast; ReviewClass=DirectPlayerTypePolicyResolvedNoChange; FutureSourceBatchNeeded=No.</t>
  </si>
  <si>
    <t>RB-05464</t>
  </si>
  <si>
    <t>P10-F05464</t>
  </si>
  <si>
    <t>PBX-0245</t>
  </si>
  <si>
    <t>PreviousPostAuditBatch=POST-BATCH-K; PreviousReviewRowId=PBK-2553; CouplingKind=PlayerTypeCheckOrCast; ReviewClass=DirectPlayerTypePolicyResolvedNoChange; FutureSourceBatchNeeded=No.</t>
  </si>
  <si>
    <t>RB-05465</t>
  </si>
  <si>
    <t>P10-F05465</t>
  </si>
  <si>
    <t>PBX-0246</t>
  </si>
  <si>
    <t>PreviousPostAuditBatch=POST-BATCH-K; PreviousReviewRowId=PBK-2554; CouplingKind=PlayerTypeCheckOrCast; ReviewClass=DirectPlayerTypePolicyResolvedNoChange; FutureSourceBatchNeeded=No.</t>
  </si>
  <si>
    <t>RB-05466</t>
  </si>
  <si>
    <t>P10-F05466</t>
  </si>
  <si>
    <t>PBX-0247</t>
  </si>
  <si>
    <t>PreviousPostAuditBatch=POST-BATCH-K; PreviousReviewRowId=PBK-2555; CouplingKind=PlayerTypeCheckOrCast; ReviewClass=DirectPlayerTypePolicyResolvedNoChange; FutureSourceBatchNeeded=No.</t>
  </si>
  <si>
    <t>RB-05467</t>
  </si>
  <si>
    <t>P10-F05467</t>
  </si>
  <si>
    <t>PBX-0248</t>
  </si>
  <si>
    <t>Current source context evidence near queued line 162: Data/Scripts/Magic/Jester/Spells/Hilarity.cs:L171:else if (m is PlayerMobile) || Prior POST-BATCH-K evidence: CurrentFile=Data/Scripts/Magic/Jester/Spells/Hilarity.cs; Line=162; SourceLine=) / 8; PathResolution=OriginalPathCurrent; MatchQuality=CurrentSourceLine; HookKind=PlayerMobileReference; GuardList=; Access=; Command=; Handler=; DisabledEvidence=False || DependencyEvidence: Spell Framework-&gt;PlayerMobile Core;DirectReference;Data/Scripts/Magic/Jester/Spells/Hilarity.cs:L171:PlayerMobile || RuntimeHookEvidence: No runtime-hook-map row matched this file. || SerializationEvidence: No serialization-register rows for file.</t>
  </si>
  <si>
    <t>PreviousPostAuditBatch=POST-BATCH-K; PreviousReviewRowId=PBK-2556; CouplingKind=PlayerTypeCheckOrCast; ReviewClass=LineDriftContextPolicyResolvedNoChange; FutureSourceBatchNeeded=No.</t>
  </si>
  <si>
    <t>RB-05468</t>
  </si>
  <si>
    <t>P10-F05468</t>
  </si>
  <si>
    <t>Data/Scripts/Magic/Jester/Spells/JumpAround.cs</t>
  </si>
  <si>
    <t>PBX-0249</t>
  </si>
  <si>
    <t>Current source line evidence: Data/Scripts/Magic/Jester/Spells/JumpAround.cs:L71:if (Caster is PlayerMobile) || Prior POST-BATCH-K evidence: CurrentFile=Data/Scripts/Magic/Jester/Spells/JumpAround.cs; Line=71;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Core;DirectReference;Data/Scripts/Magic/Jester/Spells/JumpAround.cs:L71:PlayerMobile || DependencyEvidence: Spell Framework-&gt;PlayerMobile Core;DirectReference;Data/Scripts/Magic/Jester/Spells/JumpAround.cs:L71:PlayerMobile || RuntimeHookEvidence: No runtime-hook-map row matched this file. || SerializationEvidence: No serialization-register rows for file.</t>
  </si>
  <si>
    <t>PreviousPostAuditBatch=POST-BATCH-K; PreviousReviewRowId=PBK-2557; CouplingKind=PlayerTypeCheckOrCast; ReviewClass=DirectPlayerTypePolicyResolvedNoChange; FutureSourceBatchNeeded=No.</t>
  </si>
  <si>
    <t>RB-05469</t>
  </si>
  <si>
    <t>P10-F05469</t>
  </si>
  <si>
    <t>Data/Scripts/Magic/Knight/EnemyOfOne.cs</t>
  </si>
  <si>
    <t>PBX-0250</t>
  </si>
  <si>
    <t>Current source line evidence: Data/Scripts/Magic/Knight/EnemyOfOne.cs:L72:if (Caster is PlayerMobile) || Prior POST-BATCH-K evidence: CurrentFile=Data/Scripts/Magic/Knight/EnemyOfOne.cs; Line=72;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Core;DirectReference;Data/Scripts/Magic/Knight/EnemyOfOne.cs:L72:PlayerMobile || DependencyEvidence: Spell Framework-&gt;PlayerMobile Core;DirectReference;Data/Scripts/Magic/Knight/EnemyOfOne.cs:L72:PlayerMobile || RuntimeHookEvidence: Data/Scripts/Magic/Knight/EnemyOfOne.cs:L66:Timer:Timer.DelayCall || SerializationEvidence: No serialization-register rows for file.</t>
  </si>
  <si>
    <t>PreviousPostAuditBatch=POST-BATCH-K; PreviousReviewRowId=PBK-2558; CouplingKind=PlayerTypeCheckOrCast; ReviewClass=DirectPlayerTypePolicyResolvedNoChange; FutureSourceBatchNeeded=No.</t>
  </si>
  <si>
    <t>RB-05470</t>
  </si>
  <si>
    <t>P10-F05470</t>
  </si>
  <si>
    <t>Data/Scripts/Magic/Magery/Magery 1st/MagicArrow.cs</t>
  </si>
  <si>
    <t>PBX-0251</t>
  </si>
  <si>
    <t>Current source line evidence: Data/Scripts/Magic/Magery/Magery 1st/MagicArrow.cs:L58:if (Caster is PlayerMobile) || Prior POST-BATCH-K evidence: CurrentFile=Data/Scripts/Magic/Magery/Magery 1st/MagicArrow.cs; Line=58;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1st/MagicArrow.cs:L58:PlayerMobile || DependencyEvidence: Spell Framework-&gt;PlayerMobile Core;DirectReference;Data/Scripts/Magic/Magery/Magery 1st/MagicArrow.cs:L58:PlayerMobile || RuntimeHookEvidence: No runtime-hook-map row matched this file. || SerializationEvidence: No serialization-register rows for file.</t>
  </si>
  <si>
    <t>PreviousPostAuditBatch=POST-BATCH-K; PreviousReviewRowId=PBK-2559; CouplingKind=PlayerTypeCheckOrCast; ReviewClass=DirectPlayerTypePolicyResolvedNoChange; FutureSourceBatchNeeded=No.</t>
  </si>
  <si>
    <t>RB-05471</t>
  </si>
  <si>
    <t>P10-F05471</t>
  </si>
  <si>
    <t>Data/Scripts/Magic/Magery/Magery 2nd/Harm.cs</t>
  </si>
  <si>
    <t>PBX-0252</t>
  </si>
  <si>
    <t>Current source line evidence: Data/Scripts/Magic/Magery/Magery 2nd/Harm.cs:L55:if (Caster is PlayerMobile) || Prior POST-BATCH-K evidence: CurrentFile=Data/Scripts/Magic/Magery/Magery 2nd/Harm.cs; Line=55;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2nd/Harm.cs:L55:PlayerMobile || DependencyEvidence: Spell Framework-&gt;PlayerMobile Core;DirectReference;Data/Scripts/Magic/Magery/Magery 2nd/Harm.cs:L55:PlayerMobile || RuntimeHookEvidence: No runtime-hook-map row matched this file. || SerializationEvidence: No serialization-register rows for file.</t>
  </si>
  <si>
    <t>PreviousPostAuditBatch=POST-BATCH-K; PreviousReviewRowId=PBK-2560; CouplingKind=PlayerTypeCheckOrCast; ReviewClass=DirectPlayerTypePolicyResolvedNoChange; FutureSourceBatchNeeded=No.</t>
  </si>
  <si>
    <t>RB-05472</t>
  </si>
  <si>
    <t>P10-F05472</t>
  </si>
  <si>
    <t>Data/Scripts/Magic/Magery/Magery 3rd/Fireball.cs</t>
  </si>
  <si>
    <t>PBX-0253</t>
  </si>
  <si>
    <t>Current source line evidence: Data/Scripts/Magic/Magery/Magery 3rd/Fireball.cs:L53:if (Caster is PlayerMobile) || Prior POST-BATCH-K evidence: CurrentFile=Data/Scripts/Magic/Magery/Magery 3rd/Fireball.cs; Line=53;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3rd/Fireball.cs:L53:PlayerMobile || DependencyEvidence: Spell Framework-&gt;PlayerMobile Core;DirectReference;Data/Scripts/Magic/Magery/Magery 3rd/Fireball.cs:L53:PlayerMobile || RuntimeHookEvidence: No runtime-hook-map row matched this file. || SerializationEvidence: No serialization-register rows for file.</t>
  </si>
  <si>
    <t>PreviousPostAuditBatch=POST-BATCH-K; PreviousReviewRowId=PBK-2561; CouplingKind=PlayerTypeCheckOrCast; ReviewClass=DirectPlayerTypePolicyResolvedNoChange; FutureSourceBatchNeeded=No.</t>
  </si>
  <si>
    <t>RB-05473</t>
  </si>
  <si>
    <t>P10-F05473</t>
  </si>
  <si>
    <t>Data/Scripts/Magic/Magery/Magery 3rd/MagicLock.cs</t>
  </si>
  <si>
    <t>PBX-0254</t>
  </si>
  <si>
    <t>Current source line evidence: Data/Scripts/Magic/Magery/Magery 3rd/MagicLock.cs:L136:else if (o is PlayerMobile) || Prior POST-BATCH-K evidence: CurrentFile=Data/Scripts/Magic/Magery/Magery 3rd/MagicLock.cs; Line=136; SourceLine=else if (o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3rd/MagicLock.cs:L136:PlayerMobile || DependencyEvidence: Spell Framework-&gt;PlayerMobile Core;DirectReference;Data/Scripts/Magic/Magery/Magery 3rd/MagicLock.cs:L136:PlayerMobile || RuntimeHookEvidence: Data/Scripts/Magic/Magery/Magery 3rd/MagicLock.cs:L1082:Timer:Timer.DelayCall | Data/Scripts/Magic/Magery/Magery 3rd/MagicLock.cs:L1241:Timer:Timer.DelayCall | Data/Scripts/Magic/Magery/Magery 3rd/MagicLock.cs:L333:Timer:CustomTimerSubclass || SerializationEvidence: SerializationRegisterRows=3; Server.Spells.Third.IronFlask;Item;Serialize:L387;Deserialize:L393;Risk=UnknownUntilSaveTest | Server.Spells.Third.IronFlaskFilled;Item;Serialize:L530;Deserialize:L571;Risk=UnknownUntilSaveTest | Server.Spells.Third.LockedCreature;Mobile;Serialize:L1231;Deserialize:L1237;Risk=UnknownUntilSaveTest</t>
  </si>
  <si>
    <t>PreviousPostAuditBatch=POST-BATCH-K; PreviousReviewRowId=PBK-2562; CouplingKind=PlayerTypeCheckOrCast; ReviewClass=DirectPlayerTypePolicyResolvedNoChange; FutureSourceBatchNeeded=No.</t>
  </si>
  <si>
    <t>RB-05474</t>
  </si>
  <si>
    <t>P10-F05474</t>
  </si>
  <si>
    <t>Data/Scripts/Magic/Magery/Magery 3rd/Teleport.cs</t>
  </si>
  <si>
    <t>PBX-0255</t>
  </si>
  <si>
    <t>Current source line evidence: Data/Scripts/Magic/Magery/Magery 3rd/Teleport.cs:L75:if (Caster is PlayerMobile) || Prior POST-BATCH-K evidence: CurrentFile=Data/Scripts/Magic/Magery/Magery 3rd/Teleport.cs; Line=75;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3rd/Teleport.cs:L75:PlayerMobile || DependencyEvidence: Spell Framework-&gt;PlayerMobile Core;DirectReference;Data/Scripts/Magic/Magery/Magery 3rd/Teleport.cs:L75:PlayerMobile || RuntimeHookEvidence: No runtime-hook-map row matched this file. || SerializationEvidence: No serialization-register rows for file.</t>
  </si>
  <si>
    <t>PreviousPostAuditBatch=POST-BATCH-K; PreviousReviewRowId=PBK-2563; CouplingKind=PlayerTypeCheckOrCast; ReviewClass=DirectPlayerTypePolicyResolvedNoChange; FutureSourceBatchNeeded=No.</t>
  </si>
  <si>
    <t>RB-05475</t>
  </si>
  <si>
    <t>P10-F05475</t>
  </si>
  <si>
    <t>Data/Scripts/Magic/Magery/Magery 3rd/WallOfStone.cs</t>
  </si>
  <si>
    <t>PBX-0256</t>
  </si>
  <si>
    <t>Current source line evidence: Data/Scripts/Magic/Magery/Magery 3rd/WallOfStone.cs:L135:if (caster is PlayerMobile) || Prior POST-BATCH-K evidence: CurrentFile=Data/Scripts/Magic/Magery/Magery 3rd/WallOfStone.cs; Line=135;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3rd/WallOfStone.cs:L135:PlayerMobile || DependencyEvidence: Spell Framework-&gt;PlayerMobile Core;DirectReference;Data/Scripts/Magic/Magery/Magery 3rd/WallOfStone.cs:L135:PlayerMobile || RuntimeHookEvidence: Data/Scripts/Magic/Magery/Magery 3rd/WallOfStone.cs:L205:Timer:CustomTimerSubclass || SerializationEvidence: SerializationRegisterRows=1; Server.Spells.Third.InternalItem;Item;Serialize:L149;Deserialize:L158;Risk=UnknownUntilSaveTest</t>
  </si>
  <si>
    <t>PreviousPostAuditBatch=POST-BATCH-K; PreviousReviewRowId=PBK-2564; CouplingKind=PlayerTypeCheckOrCast; ReviewClass=DirectPlayerTypePolicyResolvedNoChange; FutureSourceBatchNeeded=No.</t>
  </si>
  <si>
    <t>RB-05476</t>
  </si>
  <si>
    <t>P10-F05476</t>
  </si>
  <si>
    <t>Data/Scripts/Magic/Magery/Magery 4th/ArchCure.cs</t>
  </si>
  <si>
    <t>PBX-0257</t>
  </si>
  <si>
    <t>Current source line evidence: Data/Scripts/Magic/Magery/Magery 4th/ArchCure.cs:L85:&amp;&amp; m is PlayerMobile || Prior POST-BATCH-K evidence: CurrentFile=Data/Scripts/Magic/Magery/Magery 4th/ArchCure.cs; Line=85; SourceLine=&amp;&amp; m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4th/ArchCure.cs:L85:PlayerMobile || DependencyEvidence: Spell Framework-&gt;PlayerMobile Core;DirectReference;Data/Scripts/Magic/Magery/Magery 4th/ArchCure.cs:L85:PlayerMobile || RuntimeHookEvidence: No runtime-hook-map row matched this file. || SerializationEvidence: No serialization-register rows for file.</t>
  </si>
  <si>
    <t>PreviousPostAuditBatch=POST-BATCH-K; PreviousReviewRowId=PBK-2565; CouplingKind=PlayerTypeCheckOrCast; ReviewClass=DirectPlayerTypePolicyResolvedNoChange; FutureSourceBatchNeeded=No.</t>
  </si>
  <si>
    <t>RB-05477</t>
  </si>
  <si>
    <t>P10-F05477</t>
  </si>
  <si>
    <t>PBX-0258</t>
  </si>
  <si>
    <t>Current source line evidence: Data/Scripts/Magic/Magery/Magery 4th/FireField.cs:L83:if (Caster is PlayerMobile) || Prior POST-BATCH-K evidence: CurrentFile=Data/Scripts/Magic/Magery/Magery 4th/FireField.cs; Line=83;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4th/FireField.cs:L83:PlayerMobile || DependencyEvidence: Spell Framework-&gt;PlayerMobile Core;DirectReference;Data/Scripts/Magic/Magery/Magery 4th/FireField.cs:L83:PlayerMobile || RuntimeHookEvidence: Data/Scripts/Magic/Magery/Magery 4th/FireField.cs:L254:Timer:CustomTimerSubclass || SerializationEvidence: SerializationRegisterRows=1; Server.Spells.Fourth.FireFieldItem;Item;Serialize:L181;Deserialize:L192;Risk=UnknownUntilSaveTest</t>
  </si>
  <si>
    <t>PreviousPostAuditBatch=POST-BATCH-K; PreviousReviewRowId=PBK-2566; CouplingKind=PlayerTypeCheckOrCast; ReviewClass=DirectPlayerTypePolicyResolvedNoChange; FutureSourceBatchNeeded=No.</t>
  </si>
  <si>
    <t>RB-05478</t>
  </si>
  <si>
    <t>P10-F05478</t>
  </si>
  <si>
    <t>Data/Scripts/Magic/Magery/Magery 4th/Lightning.cs</t>
  </si>
  <si>
    <t>PBX-0259</t>
  </si>
  <si>
    <t>Current source line evidence: Data/Scripts/Magic/Magery/Magery 4th/Lightning.cs:L52:if (Caster is PlayerMobile) || Prior POST-BATCH-K evidence: CurrentFile=Data/Scripts/Magic/Magery/Magery 4th/Lightning.cs; Line=52;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4th/Lightning.cs:L52:PlayerMobile || DependencyEvidence: Spell Framework-&gt;PlayerMobile Core;DirectReference;Data/Scripts/Magic/Magery/Magery 4th/Lightning.cs:L52:PlayerMobile || RuntimeHookEvidence: No runtime-hook-map row matched this file. || SerializationEvidence: No serialization-register rows for file.</t>
  </si>
  <si>
    <t>PreviousPostAuditBatch=POST-BATCH-K; PreviousReviewRowId=PBK-2567; CouplingKind=PlayerTypeCheckOrCast; ReviewClass=DirectPlayerTypePolicyResolvedNoChange; FutureSourceBatchNeeded=No.</t>
  </si>
  <si>
    <t>RB-05479</t>
  </si>
  <si>
    <t>P10-F05479</t>
  </si>
  <si>
    <t>Data/Scripts/Magic/Magery/Magery 5th/BladeSpirits.cs</t>
  </si>
  <si>
    <t>PBX-0260</t>
  </si>
  <si>
    <t>Current source line evidence: Data/Scripts/Magic/Magery/Magery 5th/BladeSpirits.cs:L63:if (Caster is PlayerMobile) || Prior POST-BATCH-K evidence: CurrentFile=Data/Scripts/Magic/Magery/Magery 5th/BladeSpirits.cs; Line=63;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5th/BladeSpirits.cs:L63:PlayerMobile || DependencyEvidence: Spell Framework-&gt;PlayerMobile Core;DirectReference;Data/Scripts/Magic/Magery/Magery 5th/BladeSpirits.cs:L63:PlayerMobile || RuntimeHookEvidence: No runtime-hook-map row matched this file. || SerializationEvidence: No serialization-register rows for file.</t>
  </si>
  <si>
    <t>PreviousPostAuditBatch=POST-BATCH-K; PreviousReviewRowId=PBK-2568; CouplingKind=PlayerTypeCheckOrCast; ReviewClass=DirectPlayerTypePolicyResolvedNoChange; FutureSourceBatchNeeded=No.</t>
  </si>
  <si>
    <t>RB-05480</t>
  </si>
  <si>
    <t>P10-F05480</t>
  </si>
  <si>
    <t>Data/Scripts/Magic/Magery/Magery 5th/Incognito.cs</t>
  </si>
  <si>
    <t>PBX-0261</t>
  </si>
  <si>
    <t>Current source line evidence: Data/Scripts/Magic/Magery/Magery 5th/Incognito.cs:L95:PlayerMobile pm = Caster as PlayerMobile; || Prior POST-BATCH-K evidence: CurrentFile=Data/Scripts/Magic/Magery/Magery 5th/Incognito.cs; Line=95; SourceLine=PlayerMobile pm = Caster as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5th/Incognito.cs:L95:PlayerMobile || DependencyEvidence: Spell Framework-&gt;PlayerMobile Core;DirectReference;Data/Scripts/Magic/Magery/Magery 5th/Incognito.cs:L95:PlayerMobile || RuntimeHookEvidence: Data/Scripts/Magic/Magery/Magery 5th/Incognito.cs:L195:Timer:CustomTimerSubclass || SerializationEvidence: No serialization-register rows for file.</t>
  </si>
  <si>
    <t>PreviousPostAuditBatch=POST-BATCH-K; PreviousReviewRowId=PBK-2569; CouplingKind=PlayerTypeCheckOrCast; ReviewClass=DirectPlayerTypePolicyResolvedNoChange; FutureSourceBatchNeeded=No.</t>
  </si>
  <si>
    <t>RB-05481</t>
  </si>
  <si>
    <t>P10-F05481</t>
  </si>
  <si>
    <t>Data/Scripts/Magic/Magery/Magery 5th/MindBlast.cs</t>
  </si>
  <si>
    <t>PBX-0262</t>
  </si>
  <si>
    <t>Current source line evidence: Data/Scripts/Magic/Magery/Magery 5th/MindBlast.cs:L80:if (Caster is PlayerMobile) || Prior POST-BATCH-K evidence: CurrentFile=Data/Scripts/Magic/Magery/Magery 5th/MindBlast.cs; Line=80;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5th/MindBlast.cs:L80:PlayerMobile || DependencyEvidence: Spell Framework-&gt;PlayerMobile Core;DirectReference;Data/Scripts/Magic/Magery/Magery 5th/MindBlast.cs:L80:PlayerMobile || RuntimeHookEvidence: Data/Scripts/Magic/Magery/Magery 5th/MindBlast.cs:L107:Timer:Timer.DelayCall || SerializationEvidence: No serialization-register rows for file.</t>
  </si>
  <si>
    <t>PreviousPostAuditBatch=POST-BATCH-K; PreviousReviewRowId=PBK-2570; CouplingKind=PlayerTypeCheckOrCast; ReviewClass=DirectPlayerTypePolicyResolvedNoChange; FutureSourceBatchNeeded=No.</t>
  </si>
  <si>
    <t>RB-05482</t>
  </si>
  <si>
    <t>P10-F05482</t>
  </si>
  <si>
    <t>Data/Scripts/Magic/Magery/Magery 5th/Paralyze.cs</t>
  </si>
  <si>
    <t>PBX-0263</t>
  </si>
  <si>
    <t>Current source line evidence: Data/Scripts/Magic/Magery/Magery 5th/Paralyze.cs:L60:if (Caster is PlayerMobile) || Prior POST-BATCH-K evidence: CurrentFile=Data/Scripts/Magic/Magery/Magery 5th/Paralyze.cs; Line=60;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5th/Paralyze.cs:L60:PlayerMobile || DependencyEvidence: Spell Framework-&gt;PlayerMobile Core;DirectReference;Data/Scripts/Magic/Magery/Magery 5th/Paralyze.cs:L60:PlayerMobile || RuntimeHookEvidence: No runtime-hook-map row matched this file. || SerializationEvidence: No serialization-register rows for file.</t>
  </si>
  <si>
    <t>PreviousPostAuditBatch=POST-BATCH-K; PreviousReviewRowId=PBK-2571; CouplingKind=PlayerTypeCheckOrCast; ReviewClass=DirectPlayerTypePolicyResolvedNoChange; FutureSourceBatchNeeded=No.</t>
  </si>
  <si>
    <t>RB-05483</t>
  </si>
  <si>
    <t>P10-F05483</t>
  </si>
  <si>
    <t>Data/Scripts/Magic/Magery/Magery 5th/PoisonField.cs</t>
  </si>
  <si>
    <t>PBX-0264</t>
  </si>
  <si>
    <t>Current source line evidence: Data/Scripts/Magic/Magery/Magery 5th/PoisonField.cs:L78:if (Caster is PlayerMobile) || Prior POST-BATCH-K evidence: CurrentFile=Data/Scripts/Magic/Magery/Magery 5th/PoisonField.cs; Line=78;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5th/PoisonField.cs:L78:PlayerMobile || DependencyEvidence: Spell Framework-&gt;PlayerMobile Core;DirectReference;Data/Scripts/Magic/Magery/Magery 5th/PoisonField.cs:L78:PlayerMobile || RuntimeHookEvidence: Data/Scripts/Magic/Magery/Magery 5th/PoisonField.cs:L244:Timer:CustomTimerSubclass || SerializationEvidence: SerializationRegisterRows=1; Server.Spells.Fifth.InternalItem;Item;Serialize:L157;Deserialize:L167;Risk=UnknownUntilSaveTest</t>
  </si>
  <si>
    <t>PreviousPostAuditBatch=POST-BATCH-K; PreviousReviewRowId=PBK-2572; CouplingKind=PlayerTypeCheckOrCast; ReviewClass=DirectPlayerTypePolicyResolvedNoChange; FutureSourceBatchNeeded=No.</t>
  </si>
  <si>
    <t>RB-05484</t>
  </si>
  <si>
    <t>P10-F05484</t>
  </si>
  <si>
    <t>Data/Scripts/Magic/Magery/Magery 5th/SummonCreature.cs</t>
  </si>
  <si>
    <t>PBX-0265</t>
  </si>
  <si>
    <t>Current source line evidence: Data/Scripts/Magic/Magery/Magery 5th/SummonCreature.cs:L79:if (Caster is PlayerMobile) || Prior POST-BATCH-K evidence: CurrentFile=Data/Scripts/Magic/Magery/Magery 5th/SummonCreature.cs; Line=79;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5th/SummonCreature.cs:L79:PlayerMobile || DependencyEvidence: Spell Framework-&gt;PlayerMobile Core;DirectReference;Data/Scripts/Magic/Magery/Magery 5th/SummonCreature.cs:L79:PlayerMobile || RuntimeHookEvidence: No runtime-hook-map row matched this file. || SerializationEvidence: No serialization-register rows for file.</t>
  </si>
  <si>
    <t>PreviousPostAuditBatch=POST-BATCH-K; PreviousReviewRowId=PBK-2573; CouplingKind=PlayerTypeCheckOrCast; ReviewClass=DirectPlayerTypePolicyResolvedNoChange; FutureSourceBatchNeeded=No.</t>
  </si>
  <si>
    <t>RB-05485</t>
  </si>
  <si>
    <t>P10-F05485</t>
  </si>
  <si>
    <t>Data/Scripts/Magic/Magery/Magery 6th/EnergyBolt.cs</t>
  </si>
  <si>
    <t>PBX-0266</t>
  </si>
  <si>
    <t>Current source line evidence: Data/Scripts/Magic/Magery/Magery 6th/EnergyBolt.cs:L54:if (source is PlayerMobile) || Prior POST-BATCH-K evidence: CurrentFile=Data/Scripts/Magic/Magery/Magery 6th/EnergyBolt.cs; Line=54; SourceLine=if (source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6th/EnergyBolt.cs:L54:PlayerMobile || DependencyEvidence: Spell Framework-&gt;PlayerMobile Core;DirectReference;Data/Scripts/Magic/Magery/Magery 6th/EnergyBolt.cs:L54:PlayerMobile || RuntimeHookEvidence: No runtime-hook-map row matched this file. || SerializationEvidence: No serialization-register rows for file.</t>
  </si>
  <si>
    <t>PreviousPostAuditBatch=POST-BATCH-K; PreviousReviewRowId=PBK-2574; CouplingKind=PlayerTypeCheckOrCast; ReviewClass=DirectPlayerTypePolicyResolvedNoChange; FutureSourceBatchNeeded=No.</t>
  </si>
  <si>
    <t>RB-05486</t>
  </si>
  <si>
    <t>P10-F05486</t>
  </si>
  <si>
    <t>Data/Scripts/Magic/Magery/Magery 6th/Explosion.cs</t>
  </si>
  <si>
    <t>PBX-0267</t>
  </si>
  <si>
    <t>Current source line evidence: Data/Scripts/Magic/Magery/Magery 6th/Explosion.cs:L92:if (m_Attacker is PlayerMobile) || Prior POST-BATCH-K evidence: CurrentFile=Data/Scripts/Magic/Magery/Magery 6th/Explosion.cs; Line=92; SourceLine=if (m_Attacker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6th/Explosion.cs:L92:PlayerMobile || DependencyEvidence: Spell Framework-&gt;PlayerMobile Core;DirectReference;Data/Scripts/Magic/Magery/Magery 6th/Explosion.cs:L92:PlayerMobile || RuntimeHookEvidence: Data/Scripts/Magic/Magery/Magery 6th/Explosion.cs:L64:Timer:CustomTimerSubclass || SerializationEvidence: No serialization-register rows for file.</t>
  </si>
  <si>
    <t>PreviousPostAuditBatch=POST-BATCH-K; PreviousReviewRowId=PBK-2575; CouplingKind=PvPRegionCombatPolicyCoupling; ReviewClass=PvPRegionCombatPolicyResolvedNoChange; FutureSourceBatchNeeded=No.</t>
  </si>
  <si>
    <t>RB-05487</t>
  </si>
  <si>
    <t>P10-F05487</t>
  </si>
  <si>
    <t>Data/Scripts/Magic/Magery/Magery 6th/Invisibility.cs</t>
  </si>
  <si>
    <t>PBX-0268</t>
  </si>
  <si>
    <t>Current source line evidence: Data/Scripts/Magic/Magery/Magery 6th/Invisibility.cs:L76:if (Caster is PlayerMobile) || Prior POST-BATCH-K evidence: CurrentFile=Data/Scripts/Magic/Magery/Magery 6th/Invisibility.cs; Line=76;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6th/Invisibility.cs:L76:PlayerMobile || DependencyEvidence: Spell Framework-&gt;PlayerMobile Core;DirectReference;Data/Scripts/Magic/Magery/Magery 6th/Invisibility.cs:L76:PlayerMobile || RuntimeHookEvidence: Data/Scripts/Magic/Magery/Magery 6th/Invisibility.cs:L128:Timer:CustomTimerSubclass || SerializationEvidence: No serialization-register rows for file.</t>
  </si>
  <si>
    <t>PreviousPostAuditBatch=POST-BATCH-K; PreviousReviewRowId=PBK-2576; CouplingKind=PlayerTypeCheckOrCast; ReviewClass=DirectPlayerTypePolicyResolvedNoChange; FutureSourceBatchNeeded=No.</t>
  </si>
  <si>
    <t>RB-05488</t>
  </si>
  <si>
    <t>P10-F05488</t>
  </si>
  <si>
    <t>Data/Scripts/Magic/Magery/Magery 6th/ParalyzeField.cs</t>
  </si>
  <si>
    <t>PBX-0269</t>
  </si>
  <si>
    <t>Current source line evidence: Data/Scripts/Magic/Magery/Magery 6th/ParalyzeField.cs:L195:if (m_Caster is PlayerMobile) || Prior POST-BATCH-K evidence: CurrentFile=Data/Scripts/Magic/Magery/Magery 6th/ParalyzeField.cs; Line=195; SourceLine=if (m_Caster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6th/ParalyzeField.cs:L195:PlayerMobile || DependencyEvidence: Spell Framework-&gt;PlayerMobile Core;DirectReference;Data/Scripts/Magic/Magery/Magery 6th/ParalyzeField.cs:L195:PlayerMobile || RuntimeHookEvidence: Data/Scripts/Magic/Magery/Magery 6th/ParalyzeField.cs:L250:Timer:CustomTimerSubclass || SerializationEvidence: SerializationRegisterRows=1; Server.Spells.Sixth.InternalItem;Item;Serialize:L152;Deserialize:L162;Risk=UnknownUntilSaveTest</t>
  </si>
  <si>
    <t>PreviousPostAuditBatch=POST-BATCH-K; PreviousReviewRowId=PBK-2577; CouplingKind=PlayerTypeCheckOrCast; ReviewClass=DirectPlayerTypePolicyResolvedNoChange; FutureSourceBatchNeeded=No.</t>
  </si>
  <si>
    <t>RB-05489</t>
  </si>
  <si>
    <t>P10-F05489</t>
  </si>
  <si>
    <t>Data/Scripts/Magic/Magery/Magery 7th/ChainLightning.cs</t>
  </si>
  <si>
    <t>PBX-0270</t>
  </si>
  <si>
    <t>Current source line evidence: Data/Scripts/Magic/Magery/Magery 7th/ChainLightning.cs:L97:if (Caster is PlayerMobile) || Prior POST-BATCH-K evidence: CurrentFile=Data/Scripts/Magic/Magery/Magery 7th/ChainLightning.cs; Line=97;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7th/ChainLightning.cs:L97:PlayerMobile || DependencyEvidence: Spell Framework-&gt;PlayerMobile Core;DirectReference;Data/Scripts/Magic/Magery/Magery 7th/ChainLightning.cs:L97:PlayerMobile || RuntimeHookEvidence: No runtime-hook-map row matched this file. || SerializationEvidence: No serialization-register rows for file.</t>
  </si>
  <si>
    <t>PreviousPostAuditBatch=POST-BATCH-K; PreviousReviewRowId=PBK-2578; CouplingKind=PlayerTypeCheckOrCast; ReviewClass=DirectPlayerTypePolicyResolvedNoChange; FutureSourceBatchNeeded=No.</t>
  </si>
  <si>
    <t>RB-05490</t>
  </si>
  <si>
    <t>P10-F05490</t>
  </si>
  <si>
    <t>Data/Scripts/Magic/Magery/Magery 7th/FlameStrike.cs</t>
  </si>
  <si>
    <t>PBX-0271</t>
  </si>
  <si>
    <t>Current source line evidence: Data/Scripts/Magic/Magery/Magery 7th/FlameStrike.cs:L52:if (Caster is PlayerMobile) || Prior POST-BATCH-K evidence: CurrentFile=Data/Scripts/Magic/Magery/Magery 7th/FlameStrike.cs; Line=52;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7th/FlameStrike.cs:L52:PlayerMobile || DependencyEvidence: Spell Framework-&gt;PlayerMobile Core;DirectReference;Data/Scripts/Magic/Magery/Magery 7th/FlameStrike.cs:L52:PlayerMobile || RuntimeHookEvidence: No runtime-hook-map row matched this file. || SerializationEvidence: No serialization-register rows for file.</t>
  </si>
  <si>
    <t>PreviousPostAuditBatch=POST-BATCH-K; PreviousReviewRowId=PBK-2579; CouplingKind=PlayerTypeCheckOrCast; ReviewClass=DirectPlayerTypePolicyResolvedNoChange; FutureSourceBatchNeeded=No.</t>
  </si>
  <si>
    <t>RB-05491</t>
  </si>
  <si>
    <t>P10-F05491</t>
  </si>
  <si>
    <t>Data/Scripts/Magic/Magery/Magery 7th/MeteorSwarm.cs</t>
  </si>
  <si>
    <t>PBX-0272</t>
  </si>
  <si>
    <t>Current source line evidence: Data/Scripts/Magic/Magery/Magery 7th/MeteorSwarm.cs:L92:if (Caster is PlayerMobile) || Prior POST-BATCH-K evidence: CurrentFile=Data/Scripts/Magic/Magery/Magery 7th/MeteorSwarm.cs; Line=92;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7th/MeteorSwarm.cs:L92:PlayerMobile || DependencyEvidence: Spell Framework-&gt;PlayerMobile Core;DirectReference;Data/Scripts/Magic/Magery/Magery 7th/MeteorSwarm.cs:L92:PlayerMobile || RuntimeHookEvidence: No runtime-hook-map row matched this file. || SerializationEvidence: No serialization-register rows for file.</t>
  </si>
  <si>
    <t>PreviousPostAuditBatch=POST-BATCH-K; PreviousReviewRowId=PBK-2580; CouplingKind=PlayerTypeCheckOrCast; ReviewClass=DirectPlayerTypePolicyResolvedNoChange; FutureSourceBatchNeeded=No.</t>
  </si>
  <si>
    <t>RB-05492</t>
  </si>
  <si>
    <t>P10-F05492</t>
  </si>
  <si>
    <t>PBX-0273</t>
  </si>
  <si>
    <t>Current source context evidence near queued line 69: Data/Scripts/Magic/Magery/Magery 8th/Earthquake.cs:L80:if (Caster is PlayerMobile) || Prior POST-BATCH-K evidence: CurrentFile=Data/Scripts/Magic/Magery/Magery 8th/Earthquake.cs; Line=69; SourceLine=}; PathResolution=OriginalPathCurrent; MatchQuality=CurrentSourceLine; HookKind=PlayerMobileReference; GuardList=; Access=; Command=; Handler=; DisabledEvidence=False || DependencyEvidence: Spell Framework-&gt;PlayerMobile Core;DirectReference;Data/Scripts/Magic/Magery/Magery 8th/Earthquake.cs:L80:PlayerMobile || RuntimeHookEvidence: No runtime-hook-map row matched this file. || SerializationEvidence: No serialization-register rows for file.</t>
  </si>
  <si>
    <t>PreviousPostAuditBatch=POST-BATCH-K; PreviousReviewRowId=PBK-2581; CouplingKind=PlayerTypeCheckOrCast; ReviewClass=LineDriftContextPolicyResolvedNoChange; FutureSourceBatchNeeded=No.</t>
  </si>
  <si>
    <t>RB-05493</t>
  </si>
  <si>
    <t>P10-F05493</t>
  </si>
  <si>
    <t>Data/Scripts/Magic/Magery/Magery 8th/EnergyVortex.cs</t>
  </si>
  <si>
    <t>PBX-0274</t>
  </si>
  <si>
    <t>Current source line evidence: Data/Scripts/Magic/Magery/Magery 8th/EnergyVortex.cs:L64:if (Caster is PlayerMobile) || Prior POST-BATCH-K evidence: CurrentFile=Data/Scripts/Magic/Magery/Magery 8th/EnergyVortex.cs; Line=64;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Core;DirectReference;Data/Scripts/Magic/Magery/Magery 8th/EnergyVortex.cs:L64:PlayerMobile || DependencyEvidence: Spell Framework-&gt;PlayerMobile Core;DirectReference;Data/Scripts/Magic/Magery/Magery 8th/EnergyVortex.cs:L64:PlayerMobile || RuntimeHookEvidence: No runtime-hook-map row matched this file. || SerializationEvidence: No serialization-register rows for file.</t>
  </si>
  <si>
    <t>PreviousPostAuditBatch=POST-BATCH-K; PreviousReviewRowId=PBK-2582; CouplingKind=PlayerTypeCheckOrCast; ReviewClass=DirectPlayerTypePolicyResolvedNoChange; FutureSourceBatchNeeded=No.</t>
  </si>
  <si>
    <t>RB-05494</t>
  </si>
  <si>
    <t>P10-F05494</t>
  </si>
  <si>
    <t>Data/Scripts/Magic/Magery/Magery 8th/Resurrection.cs</t>
  </si>
  <si>
    <t>PBX-0275</t>
  </si>
  <si>
    <t>Current source line evidence: Data/Scripts/Magic/Magery/Magery 8th/Resurrection.cs:L96:else if (m is PlayerMobile &amp;&amp; CheckBSequence(m, true)) || Prior POST-BATCH-K evidence: CurrentFile=Data/Scripts/Magic/Magery/Magery 8th/Resurrection.cs; Line=96; SourceLine=else if (m is PlayerMobile &amp;&amp; CheckBSequence(m, true)); PathResolution=OriginalPathCurrent; MatchQuality=DependencyGraphPlayerMobileFileLine; HookKind=PlayerMobileReference; GuardList=; Access=; Command=; Handler=; DisabledEvidence=False; DependencyEvidence=Spell Framework-&gt;PlayerMobile Core;DirectReference;Data/Scripts/Magic/Magery/Magery 8th/Resurrection.cs:L96:PlayerMobile || DependencyEvidence: Spell Framework-&gt;PlayerMobile Core;DirectReference;Data/Scripts/Magic/Magery/Magery 8th/Resurrection.cs:L96:PlayerMobile || RuntimeHookEvidence: Data/Scripts/Magic/Magery/Magery 8th/Resurrection.cs:L110:Gump:SendGump | Data/Scripts/Magic/Magery/Magery 8th/Resurrection.cs:L128:Gump:SendGump || SerializationEvidence: No serialization-register rows for file.</t>
  </si>
  <si>
    <t>PreviousPostAuditBatch=POST-BATCH-K; PreviousReviewRowId=PBK-2583; CouplingKind=PlayerTypeCheckOrCast; ReviewClass=DirectPlayerTypePolicyResolvedNoChange; FutureSourceBatchNeeded=No.</t>
  </si>
  <si>
    <t>RB-05495</t>
  </si>
  <si>
    <t>P10-F05495</t>
  </si>
  <si>
    <t>Data/Scripts/Magic/Misc/AttackSpells.cs</t>
  </si>
  <si>
    <t>PBX-0276</t>
  </si>
  <si>
    <t>Current source line evidence: Data/Scripts/Magic/Misc/AttackSpells.cs:L606:if (m is PlayerMobile &amp;&amp; Utility.RandomBool()) || Prior POST-BATCH-K evidence: CurrentFile=Data/Scripts/Magic/Misc/AttackSpells.cs; Line=606; SourceLine=if (m is PlayerMobile &amp;&amp; Utility.RandomBool()); PathResolution=OriginalPathCurrent; MatchQuality=DependencyGraphPlayerMobileFileLine; HookKind=PlayerMobileReference; GuardList=; Access=; Command=; Handler=; DisabledEvidence=False; DependencyEvidence=Spell Framework-&gt;PlayerMobile Core;DirectReference;Data/Scripts/Magic/Misc/AttackSpells.cs:L606:PlayerMobile || DependencyEvidence: Spell Framework-&gt;PlayerMobile Core;DirectReference;Data/Scripts/Magic/Misc/AttackSpells.cs:L606:PlayerMobile || RuntimeHookEvidence: No runtime-hook-map row matched this file. || SerializationEvidence: No serialization-register rows for file.</t>
  </si>
  <si>
    <t>PreviousPostAuditBatch=POST-BATCH-K; PreviousReviewRowId=PBK-2584; CouplingKind=PlayerTypeCheckOrCast; ReviewClass=DirectPlayerTypePolicyResolvedNoChange; FutureSourceBatchNeeded=No.</t>
  </si>
  <si>
    <t>RB-05496</t>
  </si>
  <si>
    <t>P10-F05496</t>
  </si>
  <si>
    <t>PBX-0277</t>
  </si>
  <si>
    <t>PreviousPostAuditBatch=POST-BATCH-K; PreviousReviewRowId=PBK-2585; CouplingKind=PlayerTypeCheckOrCast; ReviewClass=DirectPlayerTypePolicyResolvedNoChange; FutureSourceBatchNeeded=No.</t>
  </si>
  <si>
    <t>RB-05497</t>
  </si>
  <si>
    <t>P10-F05497</t>
  </si>
  <si>
    <t>PBX-0278</t>
  </si>
  <si>
    <t>PreviousPostAuditBatch=POST-BATCH-K; PreviousReviewRowId=PBK-2586; CouplingKind=PlayerTypeCheckOrCast; ReviewClass=DirectPlayerTypePolicyResolvedNoChange; FutureSourceBatchNeeded=No.</t>
  </si>
  <si>
    <t>RB-05498</t>
  </si>
  <si>
    <t>P10-F05498</t>
  </si>
  <si>
    <t>Data/Scripts/Magic/Necromancy/BloodOathSpell.cs</t>
  </si>
  <si>
    <t>PBX-0279</t>
  </si>
  <si>
    <t>Current source line evidence: Data/Scripts/Magic/Necromancy/BloodOathSpell.cs:L43:if (Caster == m || !(m is PlayerMobile || m is BaseCreature)) // only PlayerMobile and BaseCreature implement blood oath checking || Prior POST-BATCH-K evidence: CurrentFile=Data/Scripts/Magic/Necromancy/BloodOathSpell.cs; Line=43; SourceLine=if (Caster == m || !(m is PlayerMobile || m is BaseCreature)) // only PlayerMobile and BaseCreature implement blood oath checking; PathResolution=OriginalPathCurrent; MatchQuality=DependencyGraphPlayerMobileFileLine; HookKind=PlayerMobileReference; GuardList=; Access=; Command=; Handler=; DisabledEvidence=False; DependencyEvidence=Spell Framework-&gt;PlayerMobile Core;DirectReference;Data/Scripts/Magic/Necromancy/BloodOathSpell.cs:L43:PlayerMobile || DependencyEvidence: Spell Framework-&gt;PlayerMobile Core;DirectReference;Data/Scripts/Magic/Necromancy/BloodOathSpell.cs:L43:PlayerMobile || RuntimeHookEvidence: Data/Scripts/Magic/Necromancy/BloodOathSpell.cs:L151:Timer:CustomTimerSubclass || SerializationEvidence: No serialization-register rows for file.</t>
  </si>
  <si>
    <t>PreviousPostAuditBatch=POST-BATCH-K; PreviousReviewRowId=PBK-2587; CouplingKind=PlayerTypeCheckOrCast; ReviewClass=DirectPlayerTypePolicyResolvedNoChange; FutureSourceBatchNeeded=No.</t>
  </si>
  <si>
    <t>RB-05499</t>
  </si>
  <si>
    <t>P10-F05499</t>
  </si>
  <si>
    <t>Data/Scripts/Magic/Necromancy/CurseWeapon.cs</t>
  </si>
  <si>
    <t>PBX-0280</t>
  </si>
  <si>
    <t>Current source line evidence: Data/Scripts/Magic/Necromancy/CurseWeapon.cs:L63:if (Caster is PlayerMobile) || Prior POST-BATCH-K evidence: CurrentFile=Data/Scripts/Magic/Necromancy/CurseWeapon.cs; Line=63;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Core;DirectReference;Data/Scripts/Magic/Necromancy/CurseWeapon.cs:L63:PlayerMobile || DependencyEvidence: Spell Framework-&gt;PlayerMobile Core;DirectReference;Data/Scripts/Magic/Necromancy/CurseWeapon.cs:L63:PlayerMobile || RuntimeHookEvidence: Data/Scripts/Magic/Necromancy/CurseWeapon.cs:L95:Timer:CustomTimerSubclass | Data/Scripts/Magic/Necromancy/CurseWeapon.cs:L114:Timer:CustomTimerSubclass || SerializationEvidence: No serialization-register rows for file.</t>
  </si>
  <si>
    <t>PreviousPostAuditBatch=POST-BATCH-K; PreviousReviewRowId=PBK-2588; CouplingKind=PlayerTypeCheckOrCast; ReviewClass=DirectPlayerTypePolicyResolvedNoChange; FutureSourceBatchNeeded=No.</t>
  </si>
  <si>
    <t>RB-05500</t>
  </si>
  <si>
    <t>P10-F05500</t>
  </si>
  <si>
    <t>Data/Scripts/Magic/Necromancy/EvilOmen.cs</t>
  </si>
  <si>
    <t>PBX-0281</t>
  </si>
  <si>
    <t>Current source line evidence: Data/Scripts/Magic/Necromancy/EvilOmen.cs:L43:if (!(m is BaseCreature || m is PlayerMobile)) || Prior POST-BATCH-K evidence: CurrentFile=Data/Scripts/Magic/Necromancy/EvilOmen.cs; Line=43; SourceLine=if (!(m is BaseCreature || m is PlayerMobile)); PathResolution=OriginalPathCurrent; MatchQuality=DependencyGraphPlayerMobileFileLine; HookKind=PlayerMobileReference; GuardList=; Access=; Command=; Handler=; DisabledEvidence=False; DependencyEvidence=Spell Framework-&gt;PlayerMobile Core;DirectReference;Data/Scripts/Magic/Necromancy/EvilOmen.cs:L43:PlayerMobile || DependencyEvidence: Spell Framework-&gt;PlayerMobile Core;DirectReference;Data/Scripts/Magic/Necromancy/EvilOmen.cs:L43:PlayerMobile || RuntimeHookEvidence: Data/Scripts/Magic/Necromancy/EvilOmen.cs:L80:Timer:Timer.DelayCall || SerializationEvidence: No serialization-register rows for file.</t>
  </si>
  <si>
    <t>PreviousPostAuditBatch=POST-BATCH-K; PreviousReviewRowId=PBK-2589; CouplingKind=PlayerTypeCheckOrCast; ReviewClass=DirectPlayerTypePolicyResolvedNoChange; FutureSourceBatchNeeded=No.</t>
  </si>
  <si>
    <t>RB-05501</t>
  </si>
  <si>
    <t>P10-F05501</t>
  </si>
  <si>
    <t>Data/Scripts/Magic/Necromancy/PainSpike.cs</t>
  </si>
  <si>
    <t>PBX-0282</t>
  </si>
  <si>
    <t>Current source line evidence: Data/Scripts/Magic/Necromancy/PainSpike.cs:L73:if (Caster is PlayerMobile) || Prior POST-BATCH-K evidence: CurrentFile=Data/Scripts/Magic/Necromancy/PainSpike.cs; Line=73;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Core;DirectReference;Data/Scripts/Magic/Necromancy/PainSpike.cs:L73:PlayerMobile || DependencyEvidence: Spell Framework-&gt;PlayerMobile Core;DirectReference;Data/Scripts/Magic/Necromancy/PainSpike.cs:L73:PlayerMobile || RuntimeHookEvidence: Data/Scripts/Magic/Necromancy/PainSpike.cs:L124:Timer:CustomTimerSubclass || SerializationEvidence: No serialization-register rows for file.</t>
  </si>
  <si>
    <t>PreviousPostAuditBatch=POST-BATCH-K; PreviousReviewRowId=PBK-2590; CouplingKind=PlayerTypeCheckOrCast; ReviewClass=DirectPlayerTypePolicyResolvedNoChange; FutureSourceBatchNeeded=No.</t>
  </si>
  <si>
    <t>RB-05502</t>
  </si>
  <si>
    <t>P10-F05502</t>
  </si>
  <si>
    <t>PBX-0283</t>
  </si>
  <si>
    <t>Current source line evidence: Data/Scripts/Magic/Necromancy/PoisonStrike.cs:L73:if (Caster is PlayerMobile) || Prior POST-BATCH-K evidence: CurrentFile=Data/Scripts/Magic/Necromancy/PoisonStrike.cs; Line=73;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Core;DirectReference;Data/Scripts/Magic/Necromancy/PoisonStrike.cs:L73:PlayerMobile || DependencyEvidence: Spell Framework-&gt;PlayerMobile Core;DirectReference;Data/Scripts/Magic/Necromancy/PoisonStrike.cs:L73:PlayerMobile || RuntimeHookEvidence: No runtime-hook-map row matched this file. || SerializationEvidence: No serialization-register rows for file.</t>
  </si>
  <si>
    <t>PreviousPostAuditBatch=POST-BATCH-K; PreviousReviewRowId=PBK-2591; CouplingKind=PlayerTypeCheckOrCast; ReviewClass=DirectPlayerTypePolicyResolvedNoChange; FutureSourceBatchNeeded=No.</t>
  </si>
  <si>
    <t>RB-05503</t>
  </si>
  <si>
    <t>P10-F05503</t>
  </si>
  <si>
    <t>Data/Scripts/Magic/Necromancy/Strangle.cs</t>
  </si>
  <si>
    <t>PBX-0284</t>
  </si>
  <si>
    <t>Current source line evidence: Data/Scripts/Magic/Necromancy/Strangle.cs:L164:if (from is PlayerMobile) || Prior POST-BATCH-K evidence: CurrentFile=Data/Scripts/Magic/Necromancy/Strangle.cs; Line=164; SourceLine=if (from is PlayerMobile); PathResolution=OriginalPathCurrent; MatchQuality=DependencyGraphPlayerMobileFileLine; HookKind=PlayerMobileReference; GuardList=; Access=; Command=; Handler=; DisabledEvidence=False; DependencyEvidence=Spell Framework-&gt;PlayerMobile Core;DirectReference;Data/Scripts/Magic/Necromancy/Strangle.cs:L164:PlayerMobile || DependencyEvidence: Spell Framework-&gt;PlayerMobile Core;DirectReference;Data/Scripts/Magic/Necromancy/Strangle.cs:L164:PlayerMobile || RuntimeHookEvidence: Data/Scripts/Magic/Necromancy/Strangle.cs:L142:Timer:CustomTimerSubclass || SerializationEvidence: No serialization-register rows for file.</t>
  </si>
  <si>
    <t>PreviousPostAuditBatch=POST-BATCH-K; PreviousReviewRowId=PBK-2592; CouplingKind=PlayerTypeCheckOrCast; ReviewClass=DirectPlayerTypePolicyResolvedNoChange; FutureSourceBatchNeeded=No.</t>
  </si>
  <si>
    <t>RB-05504</t>
  </si>
  <si>
    <t>P10-F05504</t>
  </si>
  <si>
    <t>Data/Scripts/Magic/Necromancy/VengefulSpirit.cs</t>
  </si>
  <si>
    <t>PBX-0285</t>
  </si>
  <si>
    <t>Current source line evidence: Data/Scripts/Magic/Necromancy/VengefulSpirit.cs:L69:if (Caster is PlayerMobile) || Prior POST-BATCH-K evidence: CurrentFile=Data/Scripts/Magic/Necromancy/VengefulSpirit.cs; Line=69;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Core;DirectReference;Data/Scripts/Magic/Necromancy/VengefulSpirit.cs:L69:PlayerMobile || DependencyEvidence: Spell Framework-&gt;PlayerMobile Core;DirectReference;Data/Scripts/Magic/Necromancy/VengefulSpirit.cs:L69:PlayerMobile || RuntimeHookEvidence: No runtime-hook-map row matched this file. || SerializationEvidence: No serialization-register rows for file.</t>
  </si>
  <si>
    <t>PreviousPostAuditBatch=POST-BATCH-K; PreviousReviewRowId=PBK-2593; CouplingKind=PlayerTypeCheckOrCast; ReviewClass=DirectPlayerTypePolicyResolvedNoChange; FutureSourceBatchNeeded=No.</t>
  </si>
  <si>
    <t>RB-05505</t>
  </si>
  <si>
    <t>P10-F05505</t>
  </si>
  <si>
    <t>PBX-0286</t>
  </si>
  <si>
    <t>Current source context evidence near queued line 101: Data/Scripts/Magic/Necromancy/Wither.cs:L110:if (Caster is PlayerMobile) || Prior POST-BATCH-K evidence: CurrentFile=Data/Scripts/Magic/Necromancy/Wither.cs; Line=101; SourceLine=; PathResolution=OriginalPathCurrent; MatchQuality=CurrentFileOnly; HookKind=PlayerMobileReference; GuardList=; Access=; Command=; Handler=; DisabledEvidence=False || DependencyEvidence: Spell Framework-&gt;PlayerMobile Core;DirectReference;Data/Scripts/Magic/Necromancy/Wither.cs:L110:PlayerMobile || RuntimeHookEvidence: No runtime-hook-map row matched this file. || SerializationEvidence: No serialization-register rows for file.</t>
  </si>
  <si>
    <t>PreviousPostAuditBatch=POST-BATCH-K; PreviousReviewRowId=PBK-2594; CouplingKind=PlayerTypeCheckOrCast; ReviewClass=LineDriftContextPolicyResolvedNoChange; FutureSourceBatchNeeded=No.</t>
  </si>
  <si>
    <t>RB-05506</t>
  </si>
  <si>
    <t>P10-F05506</t>
  </si>
  <si>
    <t>Data/Scripts/Magic/Necromancy/WraithForm.cs</t>
  </si>
  <si>
    <t>PBX-0287</t>
  </si>
  <si>
    <t>Current source line evidence: Data/Scripts/Magic/Necromancy/WraithForm.cs:L70:if (m is PlayerMobile) || Prior POST-BATCH-K evidence: CurrentFile=Data/Scripts/Magic/Necromancy/WraithForm.cs; Line=70; SourceLine=if (m is PlayerMobile); PathResolution=OriginalPathCurrent; MatchQuality=DependencyGraphPlayerMobileFileLine; HookKind=PlayerMobileReference; GuardList=; Access=; Command=; Handler=; DisabledEvidence=False; DependencyEvidence=Spell Framework-&gt;PlayerMobile Core;DirectReference;Data/Scripts/Magic/Necromancy/WraithForm.cs:L70:PlayerMobile || DependencyEvidence: Spell Framework-&gt;PlayerMobile Core;DirectReference;Data/Scripts/Magic/Necromancy/WraithForm.cs:L70:PlayerMobile || RuntimeHookEvidence: No runtime-hook-map row matched this file. || SerializationEvidence: No serialization-register rows for file.</t>
  </si>
  <si>
    <t>PreviousPostAuditBatch=POST-BATCH-K; PreviousReviewRowId=PBK-2595; CouplingKind=PlayerMobilePropertyStateAccess; ReviewClass=PlayerStateAccessPolicyResolvedNoChange; FutureSourceBatchNeeded=No.</t>
  </si>
  <si>
    <t>RB-05507</t>
  </si>
  <si>
    <t>P10-F05507</t>
  </si>
  <si>
    <t>PBX-0288</t>
  </si>
  <si>
    <t>Current source context evidence near queued line 131: Data/Scripts/Magic/Ninjitsu/AnimalForm.cs:L137:else if (Caster is PlayerMobile) || Prior POST-BATCH-K evidence: CurrentFile=Data/Scripts/Magic/Ninjitsu/AnimalForm.cs; Line=131; SourceLine=}; PathResolution=OriginalPathCurrent; MatchQuality=CurrentSourceLine; HookKind=PlayerMobileReference; GuardList=; Access=; Command=; Handler=; DisabledEvidence=False || DependencyEvidence: Spell Framework-&gt;PlayerMobile Core;DirectReference;Data/Scripts/Magic/Ninjitsu/AnimalForm.cs:L137:PlayerMobile || RuntimeHookEvidence: Data/Scripts/Magic/Ninjitsu/AnimalForm.cs:L15:Initialize:Initialize | Data/Scripts/Magic/Ninjitsu/AnimalForm.cs:L17:Event:EventSink | Data/Scripts/Magic/Ninjitsu/AnimalForm.cs:L794:Timer:CustomTimerSubclass || SerializationEvidence: No serialization-register rows for file.</t>
  </si>
  <si>
    <t>PreviousPostAuditBatch=POST-BATCH-K; PreviousReviewRowId=PBK-2596; CouplingKind=PlayerTypeCheckOrCast; ReviewClass=LineDriftContextPolicyResolvedNoChange; FutureSourceBatchNeeded=No.</t>
  </si>
  <si>
    <t>RB-05508</t>
  </si>
  <si>
    <t>P10-F05508</t>
  </si>
  <si>
    <t>Data/Scripts/Magic/Ninjitsu/NinjaSpell.cs</t>
  </si>
  <si>
    <t>PBX-0289</t>
  </si>
  <si>
    <t>Current source line evidence: Data/Scripts/Magic/Ninjitsu/NinjaSpell.cs:L52:if (!(from is PlayerMobile)) || Prior POST-BATCH-K evidence: CurrentFile=Data/Scripts/Magic/Ninjitsu/NinjaSpell.cs; Line=52; SourceLine=if (!(from is PlayerMobile)); PathResolution=OriginalPathCurrent; MatchQuality=DependencyGraphPlayerMobileFileLine; HookKind=PlayerMobileReference; GuardList=; Access=; Command=; Handler=; DisabledEvidence=False; DependencyEvidence=Spell Framework-&gt;PlayerMobile Core;DirectReference;Data/Scripts/Magic/Ninjitsu/NinjaSpell.cs:L52:PlayerMobile || DependencyEvidence: Spell Framework-&gt;PlayerMobile Core;DirectReference;Data/Scripts/Magic/Ninjitsu/NinjaSpell.cs:L52:PlayerMobile || RuntimeHookEvidence: No runtime-hook-map row matched this file. || SerializationEvidence: No serialization-register rows for file.</t>
  </si>
  <si>
    <t>PreviousPostAuditBatch=POST-BATCH-K; PreviousReviewRowId=PBK-2597; CouplingKind=PlayerTypeCheckOrCast; ReviewClass=DirectPlayerTypePolicyResolvedNoChange; FutureSourceBatchNeeded=No.</t>
  </si>
  <si>
    <t>RB-05509</t>
  </si>
  <si>
    <t>P10-F05509</t>
  </si>
  <si>
    <t>Data/Scripts/Magic/Ninjitsu/ShadowJump.cs</t>
  </si>
  <si>
    <t>PBX-0290</t>
  </si>
  <si>
    <t>Current source line evidence: Data/Scripts/Magic/Ninjitsu/ShadowJump.cs:L38:PlayerMobile pm = Caster as PlayerMobile; || Prior POST-BATCH-K evidence: CurrentFile=Data/Scripts/Magic/Ninjitsu/ShadowJump.cs; Line=38; SourceLine=PlayerMobile pm = Caster as PlayerMobile;; PathResolution=OriginalPathCurrent; MatchQuality=DependencyGraphPlayerMobileFileLine; HookKind=PlayerMobileReference; GuardList=; Access=; Command=; Handler=; DisabledEvidence=False; DependencyEvidence=Spell Framework-&gt;PlayerMobile Core;DirectReference;Data/Scripts/Magic/Ninjitsu/ShadowJump.cs:L38:PlayerMobile || DependencyEvidence: Spell Framework-&gt;PlayerMobile Core;DirectReference;Data/Scripts/Magic/Ninjitsu/ShadowJump.cs:L38:PlayerMobile || RuntimeHookEvidence: No runtime-hook-map row matched this file. || SerializationEvidence: No serialization-register rows for file.</t>
  </si>
  <si>
    <t>PreviousPostAuditBatch=POST-BATCH-K; PreviousReviewRowId=PBK-2598; CouplingKind=PlayerMobilePropertyStateAccess; ReviewClass=PlayerStateAccessPolicyResolvedNoChange; FutureSourceBatchNeeded=No.</t>
  </si>
  <si>
    <t>RB-05510</t>
  </si>
  <si>
    <t>P10-F05510</t>
  </si>
  <si>
    <t>PBX-0291</t>
  </si>
  <si>
    <t>PreviousPostAuditBatch=POST-BATCH-K; PreviousReviewRowId=PBK-2599; CouplingKind=PlayerTypeCheckOrCast; ReviewClass=DirectPlayerTypePolicyResolvedNoChange; FutureSourceBatchNeeded=No.</t>
  </si>
  <si>
    <t>RB-05511</t>
  </si>
  <si>
    <t>P10-F05511</t>
  </si>
  <si>
    <t>PBX-0292</t>
  </si>
  <si>
    <t>PreviousPostAuditBatch=POST-BATCH-K; PreviousReviewRowId=PBK-2600; CouplingKind=PvPRegionCombatPolicyCoupling; ReviewClass=PvPRegionCombatPolicyResolvedNoChange; FutureSourceBatchNeeded=No.</t>
  </si>
  <si>
    <t>RB-05512</t>
  </si>
  <si>
    <t>P10-F05512</t>
  </si>
  <si>
    <t>PBX-0293</t>
  </si>
  <si>
    <t>PreviousPostAuditBatch=POST-BATCH-K; PreviousReviewRowId=PBK-2601; CouplingKind=PvPRegionCombatPolicyCoupling; ReviewClass=PvPRegionCombatPolicyResolvedNoChange; FutureSourceBatchNeeded=No.</t>
  </si>
  <si>
    <t>RB-05513</t>
  </si>
  <si>
    <t>P10-F05513</t>
  </si>
  <si>
    <t>PBX-0294</t>
  </si>
  <si>
    <t>PreviousPostAuditBatch=POST-BATCH-K; PreviousReviewRowId=PBK-2602; CouplingKind=PvPRegionCombatPolicyCoupling; ReviewClass=PvPRegionCombatPolicyResolvedNoChange; FutureSourceBatchNeeded=No.</t>
  </si>
  <si>
    <t>RB-05514</t>
  </si>
  <si>
    <t>P10-F05514</t>
  </si>
  <si>
    <t>PBX-0295</t>
  </si>
  <si>
    <t>PreviousPostAuditBatch=POST-BATCH-K; PreviousReviewRowId=PBK-2603; CouplingKind=PlayerTypeCheckOrCast; ReviewClass=DirectPlayerTypePolicyResolvedNoChange; FutureSourceBatchNeeded=No.</t>
  </si>
  <si>
    <t>RB-05515</t>
  </si>
  <si>
    <t>P10-F05515</t>
  </si>
  <si>
    <t>PBX-0296</t>
  </si>
  <si>
    <t>PreviousPostAuditBatch=POST-BATCH-K; PreviousReviewRowId=PBK-2604; CouplingKind=PlayerTypeCheckOrCast; ReviewClass=DirectPlayerTypePolicyResolvedNoChange; FutureSourceBatchNeeded=No.</t>
  </si>
  <si>
    <t>RB-05516</t>
  </si>
  <si>
    <t>P10-F05516</t>
  </si>
  <si>
    <t>PBX-0297</t>
  </si>
  <si>
    <t>PreviousPostAuditBatch=POST-BATCH-K; PreviousReviewRowId=PBK-2605; CouplingKind=PlayerTypeCheckOrCast; ReviewClass=LineDriftContextPolicyResolvedNoChange; FutureSourceBatchNeeded=No.</t>
  </si>
  <si>
    <t>RB-05517</t>
  </si>
  <si>
    <t>P10-F05517</t>
  </si>
  <si>
    <t>PBX-0298</t>
  </si>
  <si>
    <t>PreviousPostAuditBatch=POST-BATCH-K; PreviousReviewRowId=PBK-2606; CouplingKind=PlayerTypeCheckOrCast; ReviewClass=LineDriftContextPolicyResolvedNoChange; FutureSourceBatchNeeded=No.</t>
  </si>
  <si>
    <t>RB-05518</t>
  </si>
  <si>
    <t>P10-F05518</t>
  </si>
  <si>
    <t>PBX-0299</t>
  </si>
  <si>
    <t>PreviousPostAuditBatch=POST-BATCH-K; PreviousReviewRowId=PBK-2607; CouplingKind=PlayerTypeCheckOrCast; ReviewClass=DirectPlayerTypePolicyResolvedNoChange; FutureSourceBatchNeeded=No.</t>
  </si>
  <si>
    <t>RB-05519</t>
  </si>
  <si>
    <t>P10-F05519</t>
  </si>
  <si>
    <t>PBX-0300</t>
  </si>
  <si>
    <t>PreviousPostAuditBatch=POST-BATCH-K; PreviousReviewRowId=PBK-2608; CouplingKind=PvPRegionCombatPolicyCoupling; ReviewClass=PvPRegionCombatPolicyResolvedNoChange; FutureSourceBatchNeeded=No.</t>
  </si>
  <si>
    <t>RB-05520</t>
  </si>
  <si>
    <t>P10-F05520</t>
  </si>
  <si>
    <t>PBX-0301</t>
  </si>
  <si>
    <t>PreviousPostAuditBatch=POST-BATCH-K; PreviousReviewRowId=PBK-2609; CouplingKind=PlayerMobilePropertyStateAccess; ReviewClass=PlayerStateAccessPolicyResolvedNoChange; FutureSourceBatchNeeded=No.</t>
  </si>
  <si>
    <t>RB-05521</t>
  </si>
  <si>
    <t>P10-F05521</t>
  </si>
  <si>
    <t>Data/Scripts/Magic/Shinobi/Spells/Deception.cs</t>
  </si>
  <si>
    <t>PBX-0302</t>
  </si>
  <si>
    <t>Current source line evidence: Data/Scripts/Magic/Shinobi/Spells/Deception.cs:L111:PlayerMobile pm = Caster as PlayerMobile; || Prior POST-BATCH-K evidence: CurrentFile=Data/Scripts/Magic/Shinobi/Spells/Deception.cs; Line=111; SourceLine=PlayerMobile pm = Caster as PlayerMobile;; PathResolution=OriginalPathCurrent; MatchQuality=DependencyGraphPlayerMobileFileLine; HookKind=PlayerMobileReference; GuardList=; Access=; Command=; Handler=; DisabledEvidence=False; DependencyEvidence=Spell Framework-&gt;PlayerMobile Core;DirectReference;Data/Scripts/Magic/Shinobi/Spells/Deception.cs:L111:PlayerMobile || DependencyEvidence: Spell Framework-&gt;PlayerMobile Core;DirectReference;Data/Scripts/Magic/Shinobi/Spells/Deception.cs:L111:PlayerMobile || RuntimeHookEvidence: Data/Scripts/Magic/Shinobi/Spells/Deception.cs:L212:Timer:CustomTimerSubclass || SerializationEvidence: No serialization-register rows for file.</t>
  </si>
  <si>
    <t>PreviousPostAuditBatch=POST-BATCH-K; PreviousReviewRowId=PBK-2610; CouplingKind=PlayerTypeCheckOrCast; ReviewClass=DirectPlayerTypePolicyResolvedNoChange; FutureSourceBatchNeeded=No.</t>
  </si>
  <si>
    <t>RB-05522</t>
  </si>
  <si>
    <t>P10-F05522</t>
  </si>
  <si>
    <t>Data/Scripts/Magic/Shinobi/Spells/MonkeyLeap.cs</t>
  </si>
  <si>
    <t>PBX-0303</t>
  </si>
  <si>
    <t>Current source line evidence: Data/Scripts/Magic/Shinobi/Spells/MonkeyLeap.cs:L87:if (Caster is PlayerMobile) || Prior POST-BATCH-K evidence: CurrentFile=Data/Scripts/Magic/Shinobi/Spells/MonkeyLeap.cs; Line=87;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Core;DirectReference;Data/Scripts/Magic/Shinobi/Spells/MonkeyLeap.cs:L87:PlayerMobile || DependencyEvidence: Spell Framework-&gt;PlayerMobile Core;DirectReference;Data/Scripts/Magic/Shinobi/Spells/MonkeyLeap.cs:L87:PlayerMobile || RuntimeHookEvidence: No runtime-hook-map row matched this file. || SerializationEvidence: No serialization-register rows for file.</t>
  </si>
  <si>
    <t>PreviousPostAuditBatch=POST-BATCH-K; PreviousReviewRowId=PBK-2611; CouplingKind=PlayerTypeCheckOrCast; ReviewClass=DirectPlayerTypePolicyResolvedNoChange; FutureSourceBatchNeeded=No.</t>
  </si>
  <si>
    <t>RB-05523</t>
  </si>
  <si>
    <t>P10-F05523</t>
  </si>
  <si>
    <t>Data/Scripts/Magic/Witch/Effects/GhostPhase.cs</t>
  </si>
  <si>
    <t>PBX-0304</t>
  </si>
  <si>
    <t>Current source line evidence: Data/Scripts/Magic/Witch/Effects/GhostPhase.cs:L81:if (Caster is PlayerMobile) || Prior POST-BATCH-K evidence: CurrentFile=Data/Scripts/Magic/Witch/Effects/GhostPhase.cs; Line=81; SourceLine=if (Caster is PlayerMobile); PathResolution=OriginalPathCurrent; MatchQuality=DependencyGraphPlayerMobileFileLine; HookKind=PlayerMobileReference; GuardList=; Access=; Command=; Handler=; DisabledEvidence=False; DependencyEvidence=Spell Framework-&gt;PlayerMobile Core;DirectReference;Data/Scripts/Magic/Witch/Effects/GhostPhase.cs:L81:PlayerMobile || DependencyEvidence: Spell Framework-&gt;PlayerMobile Core;DirectReference;Data/Scripts/Magic/Witch/Effects/GhostPhase.cs:L81:PlayerMobile || RuntimeHookEvidence: No runtime-hook-map row matched this file. || SerializationEvidence: No serialization-register rows for file.</t>
  </si>
  <si>
    <t>PreviousPostAuditBatch=POST-BATCH-K; PreviousReviewRowId=PBK-2612; CouplingKind=PlayerTypeCheckOrCast; ReviewClass=DirectPlayerTypePolicyResolvedNoChange; FutureSourceBatchNeeded=No.</t>
  </si>
  <si>
    <t>RB-05524</t>
  </si>
  <si>
    <t>P10-F05524</t>
  </si>
  <si>
    <t>Data/Scripts/Magic/Witch/Effects/VampireGift.cs</t>
  </si>
  <si>
    <t>PBX-0305</t>
  </si>
  <si>
    <t>Current source line evidence: Data/Scripts/Magic/Witch/Effects/VampireGift.cs:L93:else if (m is PlayerMobile &amp;&amp; CheckBSequence(m, true)) || Prior POST-BATCH-K evidence: CurrentFile=Data/Scripts/Magic/Witch/Effects/VampireGift.cs; Line=93; SourceLine=else if (m is PlayerMobile &amp;&amp; CheckBSequence(m, true)); PathResolution=OriginalPathCurrent; MatchQuality=DependencyGraphPlayerMobileFileLine; HookKind=PlayerMobileReference; GuardList=; Access=; Command=; Handler=; DisabledEvidence=False; DependencyEvidence=Spell Framework-&gt;PlayerMobile Core;DirectReference;Data/Scripts/Magic/Witch/Effects/VampireGift.cs:L93:PlayerMobile || DependencyEvidence: Spell Framework-&gt;PlayerMobile Core;DirectReference;Data/Scripts/Magic/Witch/Effects/VampireGift.cs:L93:PlayerMobile || RuntimeHookEvidence: Data/Scripts/Magic/Witch/Effects/VampireGift.cs:L102:Gump:SendGump | Data/Scripts/Magic/Witch/Effects/VampireGift.cs:L115:Gump:SendGump || SerializationEvidence: No serialization-register rows for file.</t>
  </si>
  <si>
    <t>PreviousPostAuditBatch=POST-BATCH-K; PreviousReviewRowId=PBK-2613; CouplingKind=PlayerTypeCheckOrCast; ReviewClass=DirectPlayerTypePolicyResolvedNoChange; FutureSourceBatchNeeded=No.</t>
  </si>
  <si>
    <t>RB-05525</t>
  </si>
  <si>
    <t>P10-F05525</t>
  </si>
  <si>
    <t>PBX-0306</t>
  </si>
  <si>
    <t>PreviousPostAuditBatch=POST-BATCH-K; PreviousReviewRowId=PBK-2614; CouplingKind=PvPRegionCombatPolicyCoupling; ReviewClass=PvPRegionCombatPolicyResolvedNoChange; FutureSourceBatchNeeded=No.</t>
  </si>
  <si>
    <t>RB-05526</t>
  </si>
  <si>
    <t>P10-F05526</t>
  </si>
  <si>
    <t>PBX-0307</t>
  </si>
  <si>
    <t>PreviousPostAuditBatch=POST-BATCH-K; PreviousReviewRowId=PBK-2615; CouplingKind=PlayerTypeCheckOrCast; ReviewClass=DirectPlayerTypePolicyResolvedNoChange; FutureSourceBatchNeeded=No.</t>
  </si>
  <si>
    <t>RB-05527</t>
  </si>
  <si>
    <t>P10-F05527</t>
  </si>
  <si>
    <t>PBX-0308</t>
  </si>
  <si>
    <t>PreviousPostAuditBatch=POST-BATCH-K; PreviousReviewRowId=PBK-2616; CouplingKind=PlayerTypeCheckOrCast; ReviewClass=DirectPlayerTypePolicyResolvedNoChange; FutureSourceBatchNeeded=No.</t>
  </si>
  <si>
    <t>RB-05528</t>
  </si>
  <si>
    <t>P10-F05528</t>
  </si>
  <si>
    <t>PBX-0309</t>
  </si>
  <si>
    <t>PreviousPostAuditBatch=POST-BATCH-K; PreviousReviewRowId=PBK-2617; CouplingKind=PlayerTypeCheckOrCast; ReviewClass=DirectPlayerTypePolicyResolvedNoChange; FutureSourceBatchNeeded=No.</t>
  </si>
  <si>
    <t>RB-05529</t>
  </si>
  <si>
    <t>P10-F05529</t>
  </si>
  <si>
    <t>PBX-0310</t>
  </si>
  <si>
    <t>PreviousPostAuditBatch=POST-BATCH-K; PreviousReviewRowId=PBK-2618; CouplingKind=PlayerTypeCheckOrCast; ReviewClass=DirectPlayerTypePolicyResolvedNoChange; FutureSourceBatchNeeded=No.</t>
  </si>
  <si>
    <t>RB-05530</t>
  </si>
  <si>
    <t>P10-F05530</t>
  </si>
  <si>
    <t>PBX-0311</t>
  </si>
  <si>
    <t>PreviousPostAuditBatch=POST-BATCH-K; PreviousReviewRowId=PBK-2619; CouplingKind=PlayerTypeCheckOrCast; ReviewClass=DirectPlayerTypePolicyResolvedNoChange; FutureSourceBatchNeeded=No.</t>
  </si>
  <si>
    <t>RB-05531</t>
  </si>
  <si>
    <t>P10-F05531</t>
  </si>
  <si>
    <t>PBX-0312</t>
  </si>
  <si>
    <t>PreviousPostAuditBatch=POST-BATCH-K; PreviousReviewRowId=PBK-2620; CouplingKind=PlayerTypeCheckOrCast; ReviewClass=DirectPlayerTypePolicyResolvedNoChange; FutureSourceBatchNeeded=No.</t>
  </si>
  <si>
    <t>RB-05532</t>
  </si>
  <si>
    <t>P10-F05532</t>
  </si>
  <si>
    <t>Data/Scripts/Items/Misc/PlayerVendorDeed.cs</t>
  </si>
  <si>
    <t>PBX-0313</t>
  </si>
  <si>
    <t>Current source line evidence: Data/Scripts/Items/Misc/PlayerVendorDeed.cs:L42:PlayerMobile pm = (PlayerMobile)from; || Prior POST-BATCH-K evidence: CurrentFile=Data/Scripts/Items/Misc/PlayerVendorDeed.cs; Line=42; SourceLine=PlayerMobile pm = (PlayerMobile)from;; PathResolution=OriginalPathCurrent; MatchQuality=DependencyGraphPlayerMobileFileLine; HookKind=PlayerMobileReference; GuardList=; Access=; Command=; Handler=; DisabledEvidence=False; DependencyEvidence=Vendor Core-&gt;PlayerMobile Core;DirectReference;Data/Scripts/Items/Misc/PlayerVendorDeed.cs:L42:PlayerMobile || DependencyEvidence: Vendor Core-&gt;PlayerMobile Core;DirectReference;Data/Scripts/Items/Misc/PlayerVendorDeed.cs:L42:PlayerMobile || RuntimeHookEvidence: No runtime-hook-map row matched this file. || SerializationEvidence: SerializationRegisterRows=1; Server.Items.ContractOfEmployment;Deed;Serialize:L26;Deserialize:L33;Risk=UnknownUntilSaveTest</t>
  </si>
  <si>
    <t>PreviousPostAuditBatch=POST-BATCH-K; PreviousReviewRowId=PBK-2621; CouplingKind=PlayerTypeCheckOrCast; ReviewClass=DirectPlayerTypePolicyResolvedNoChange; FutureSourceBatchNeeded=No.</t>
  </si>
  <si>
    <t>RB-05533</t>
  </si>
  <si>
    <t>P10-F05533</t>
  </si>
  <si>
    <t>PBX-0314</t>
  </si>
  <si>
    <t>PreviousPostAuditBatch=POST-BATCH-K; PreviousReviewRowId=PBK-2622; CouplingKind=PlayerTypeCheckOrCast; ReviewClass=DirectPlayerTypePolicyResolvedNoChange; FutureSourceBatchNeeded=No.</t>
  </si>
  <si>
    <t>RB-05534</t>
  </si>
  <si>
    <t>P10-F05534</t>
  </si>
  <si>
    <t>PBX-0315</t>
  </si>
  <si>
    <t>Current source line evidence: Data/Scripts/Mobiles/Base/Behavior.cs:L1199:if (m is PlayerMobile &amp;&amp; !m.Criminal &amp;&amp; m.Kills &lt; 1) || Prior POST-BATCH-K evidence: CurrentFile=Data/Scripts/Mobiles/Base/Behavior.cs; Line=1199; SourceLine=if (m is PlayerMobile &amp;&amp; !m.Criminal &amp;&amp; m.Kills &lt; 1); PathResolution=OriginalPathCurrent; MatchQuality=DependencyGraphPlayerMobileFileLine; HookKind=PlayerMobileReference; GuardList=; Access=; Command=; Handler=; DisabledEvidence=False; DependencyEvidence=Vendor Core-&gt;PlayerMobile Core;DirectReference;Data/Scripts/Mobiles/Base/Behavior.cs:L1199:PlayerMobile || DependencyEvidence: Vendor Core-&gt;PlayerMobile Core;DirectReference;Data/Scripts/Mobiles/Base/Behavior.cs:L1199:PlayerMobile || RuntimeHookEvidence: Data/Scripts/Mobiles/Base/Behavior.cs:L14200:Event:EventSink | Data/Scripts/Mobiles/Base/Behavior.cs:L15092:Event:EventSink | Data/Scripts/Mobiles/Base/Behavior.cs:L13063:Timer:Timer.DelayCall || SerializationEvidence: SerializationRegisterRows=2; Server.HeldLight;Mobile;Serialize:L1138;Deserialize:L1144;Risk=UnknownUntilSaveTest | Server.TransferItem;Mobile;Serialize:L11753;Deserialize:L11760;Risk=UnknownUntilSaveTest</t>
  </si>
  <si>
    <t>PreviousPostAuditBatch=POST-BATCH-K; PreviousReviewRowId=PBK-2623; CouplingKind=PvPRegionCombatPolicyCoupling; ReviewClass=PvPRegionCombatPolicyResolvedNoChange; FutureSourceBatchNeeded=No.</t>
  </si>
  <si>
    <t>RB-05535</t>
  </si>
  <si>
    <t>P10-F05535</t>
  </si>
  <si>
    <t>Data/Scripts/Mobiles/Civilized/Vendors/Alchemist.cs</t>
  </si>
  <si>
    <t>PBX-0316</t>
  </si>
  <si>
    <t>Current source line evidence: Data/Scripts/Mobiles/Civilized/Vendors/Alchemist.cs:L69:if (!(m_Mobile is PlayerMobile)) || Prior POST-BATCH-K evidence: CurrentFile=Data/Scripts/Mobiles/Civilized/Vendors/Alchemist.cs; Line=69;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Core;DirectReference;Data/Scripts/Mobiles/Civilized/Vendors/Alchemist.cs:L69:PlayerMobile || DependencyEvidence: Vendor Core-&gt;PlayerMobile Core;DirectReference;Data/Scripts/Mobiles/Civilized/Vendors/Alchemist.cs:L69:PlayerMobile || RuntimeHookEvidence: Data/Scripts/Mobiles/Civilized/Vendors/Alchemist.cs:L77:Gump:SendGump || SerializationEvidence: SerializationRegisterRows=1; Server.Mobiles.Alchemist;Mobile;Serialize:L614;Deserialize:L621;Risk=UnknownUntilSaveTest</t>
  </si>
  <si>
    <t>PreviousPostAuditBatch=POST-BATCH-K; PreviousReviewRowId=PBK-2624; CouplingKind=PlayerTypeCheckOrCast; ReviewClass=DirectPlayerTypePolicyResolvedNoChange; FutureSourceBatchNeeded=No.</t>
  </si>
  <si>
    <t>RB-05536</t>
  </si>
  <si>
    <t>P10-F05536</t>
  </si>
  <si>
    <t>PBX-0317</t>
  </si>
  <si>
    <t>Current source line evidence: Data/Scripts/Mobiles/Civilized/Vendors/AnimalTrainer.cs:L129:if (!(m_Mobile is PlayerMobile)) || Prior POST-BATCH-K evidence: CurrentFile=Data/Scripts/Mobiles/Civilized/Vendors/AnimalTrainer.cs; Line=129;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Core;DirectReference;Data/Scripts/Mobiles/Civilized/Vendors/AnimalTrainer.cs:L129:PlayerMobile || DependencyEvidence: Vendor Core-&gt;PlayerMobile Core;DirectReference;Data/Scripts/Mobiles/Civilized/Vendors/AnimalTrainer.cs:L129:PlayerMobile || RuntimeHookEvidence: Data/Scripts/Mobiles/Civilized/Vendors/AnimalTrainer.cs:L895:Speech:OnSpeech | Data/Scripts/Mobiles/Civilized/Vendors/AnimalTrainer.cs:L919:Speech:OnSpeech | Data/Scripts/Mobiles/Civilized/Vendors/AnimalTrainer.cs:L301:Gump:OnResponse || SerializationEvidence: SerializationRegisterRows=1; Server.Mobiles.AnimalTrainer;Mobile;Serialize:L926;Deserialize:L933;Risk=UnknownUntilSaveTest</t>
  </si>
  <si>
    <t>PreviousPostAuditBatch=POST-BATCH-K; PreviousReviewRowId=PBK-2625; CouplingKind=PlayerTypeCheckOrCast; ReviewClass=DirectPlayerTypePolicyResolvedNoChange; FutureSourceBatchNeeded=No.</t>
  </si>
  <si>
    <t>RB-05537</t>
  </si>
  <si>
    <t>P10-F05537</t>
  </si>
  <si>
    <t>PBX-0318</t>
  </si>
  <si>
    <t>Current source line evidence: Data/Scripts/Mobiles/Civilized/Vendors/Architect.cs:L60:if (!(m_Mobile is PlayerMobile)) || Prior POST-BATCH-K evidence: CurrentFile=Data/Scripts/Mobiles/Civilized/Vendors/Architect.cs; Line=60;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Core;DirectReference;Data/Scripts/Mobiles/Civilized/Vendors/Architect.cs:L60:PlayerMobile || DependencyEvidence: Vendor Core-&gt;PlayerMobile Core;DirectReference;Data/Scripts/Mobiles/Civilized/Vendors/Architect.cs:L60:PlayerMobile || RuntimeHookEvidence: Data/Scripts/Mobiles/Civilized/Vendors/Architect.cs:L68:Gump:SendGump || SerializationEvidence: SerializationRegisterRows=1; Server.Mobiles.Architect;Mobile;Serialize:L85;Deserialize:L92;Risk=UnknownUntilSaveTest</t>
  </si>
  <si>
    <t>PreviousPostAuditBatch=POST-BATCH-K; PreviousReviewRowId=PBK-2626; CouplingKind=PlayerTypeCheckOrCast; ReviewClass=DirectPlayerTypePolicyResolvedNoChange; FutureSourceBatchNeeded=No.</t>
  </si>
  <si>
    <t>RB-05538</t>
  </si>
  <si>
    <t>P10-F05538</t>
  </si>
  <si>
    <t>Data/Scripts/Mobiles/Civilized/Vendors/Armorer.cs</t>
  </si>
  <si>
    <t>PBX-0319</t>
  </si>
  <si>
    <t>Current source line evidence: Data/Scripts/Mobiles/Civilized/Vendors/Armorer.cs:L84:if (!(m_Mobile is PlayerMobile)) || Prior POST-BATCH-K evidence: CurrentFile=Data/Scripts/Mobiles/Civilized/Vendors/Armorer.cs; Line=84;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Core;DirectReference;Data/Scripts/Mobiles/Civilized/Vendors/Armorer.cs:L84:PlayerMobile || DependencyEvidence: Vendor Core-&gt;PlayerMobile Core;DirectReference;Data/Scripts/Mobiles/Civilized/Vendors/Armorer.cs:L84:PlayerMobile || RuntimeHookEvidence: Data/Scripts/Mobiles/Civilized/Vendors/Armorer.cs:L92:Gump:SendGump || SerializationEvidence: SerializationRegisterRows=1; Server.Mobiles.Armorer;Mobile;Serialize:L321;Deserialize:L328;Risk=UnknownUntilSaveTest</t>
  </si>
  <si>
    <t>PreviousPostAuditBatch=POST-BATCH-K; PreviousReviewRowId=PBK-2627; CouplingKind=PlayerTypeCheckOrCast; ReviewClass=DirectPlayerTypePolicyResolvedNoChange; FutureSourceBatchNeeded=No.</t>
  </si>
  <si>
    <t>RB-05539</t>
  </si>
  <si>
    <t>P10-F05539</t>
  </si>
  <si>
    <t>Data/Scripts/Mobiles/Civilized/Vendors/Artist.cs</t>
  </si>
  <si>
    <t>PBX-0320</t>
  </si>
  <si>
    <t>Current source line evidence: Data/Scripts/Mobiles/Civilized/Vendors/Artist.cs:L88:if (!(m_Mobile is PlayerMobile)) || Prior POST-BATCH-K evidence: CurrentFile=Data/Scripts/Mobiles/Civilized/Vendors/Artist.cs; Line=88;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Core;DirectReference;Data/Scripts/Mobiles/Civilized/Vendors/Artist.cs:L88:PlayerMobile || DependencyEvidence: Vendor Core-&gt;PlayerMobile Core;DirectReference;Data/Scripts/Mobiles/Civilized/Vendors/Artist.cs:L88:PlayerMobile || RuntimeHookEvidence: Data/Scripts/Mobiles/Civilized/Vendors/Artist.cs:L96:Gump:SendGump || SerializationEvidence: SerializationRegisterRows=1; Server.Mobiles.Artist;Mobile;Serialize:L394;Deserialize:L400;Risk=UnknownUntilSaveTest</t>
  </si>
  <si>
    <t>PreviousPostAuditBatch=POST-BATCH-K; PreviousReviewRowId=PBK-2628; CouplingKind=PlayerTypeCheckOrCast; ReviewClass=DirectPlayerTypePolicyResolvedNoChange; FutureSourceBatchNeeded=No.</t>
  </si>
  <si>
    <t>RB-05540</t>
  </si>
  <si>
    <t>P10-F05540</t>
  </si>
  <si>
    <t>PBX-0321</t>
  </si>
  <si>
    <t>Current source line evidence: Data/Scripts/Mobiles/Civilized/Vendors/Baker.cs:L62:if (!(m_Mobile is PlayerMobile)) || Prior POST-BATCH-K evidence: CurrentFile=Data/Scripts/Mobiles/Civilized/Vendors/Baker.cs; Line=62;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Core;DirectReference;Data/Scripts/Mobiles/Civilized/Vendors/Baker.cs:L62:PlayerMobile || DependencyEvidence: Vendor Core-&gt;PlayerMobile Core;DirectReference;Data/Scripts/Mobiles/Civilized/Vendors/Baker.cs:L62:PlayerMobile || RuntimeHookEvidence: Data/Scripts/Mobiles/Civilized/Vendors/Baker.cs:L70:Gump:SendGump || SerializationEvidence: SerializationRegisterRows=1; Server.Mobiles.Baker;Mobile;Serialize:L87;Deserialize:L94;Risk=UnknownUntilSaveTest</t>
  </si>
  <si>
    <t>PreviousPostAuditBatch=POST-BATCH-K; PreviousReviewRowId=PBK-2629; CouplingKind=PlayerTypeCheckOrCast; ReviewClass=DirectPlayerTypePolicyResolvedNoChange; FutureSourceBatchNeeded=No.</t>
  </si>
  <si>
    <t>RB-05541</t>
  </si>
  <si>
    <t>P10-F05541</t>
  </si>
  <si>
    <t>PBX-0322</t>
  </si>
  <si>
    <t>Current source line evidence: Data/Scripts/Mobiles/Civilized/Vendors/Banker.cs:L400:if (!(m_Mobile is PlayerMobile)) || Prior POST-BATCH-K evidence: CurrentFile=Data/Scripts/Mobiles/Civilized/Vendors/Banker.cs; Line=400;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Core;DirectReference;Data/Scripts/Mobiles/Civilized/Vendors/Banker.cs:L400:PlayerMobile || DependencyEvidence: Vendor Core-&gt;PlayerMobile Core;DirectReference;Data/Scripts/Mobiles/Civilized/Vendors/Banker.cs:L400:PlayerMobile || RuntimeHookEvidence: Data/Scripts/Mobiles/Civilized/Vendors/Banker.cs:L233:Speech:OnSpeech | Data/Scripts/Mobiles/Civilized/Vendors/Banker.cs:L368:Speech:OnSpeech | Data/Scripts/Mobiles/Civilized/Vendors/Banker.cs:L408:Gump:SendGump || SerializationEvidence: SerializationRegisterRows=1; Server.Mobiles.Banker;Mobile;Serialize:L422;Deserialize:L429;Risk=UnknownUntilSaveTest</t>
  </si>
  <si>
    <t>PreviousPostAuditBatch=POST-BATCH-K; PreviousReviewRowId=PBK-2630; CouplingKind=PlayerTypeCheckOrCast; ReviewClass=DirectPlayerTypePolicyResolvedNoChange; FutureSourceBatchNeeded=No.</t>
  </si>
  <si>
    <t>RB-05542</t>
  </si>
  <si>
    <t>P10-F05542</t>
  </si>
  <si>
    <t>PBX-0323</t>
  </si>
  <si>
    <t>Current source line evidence: Data/Scripts/Mobiles/Civilized/Vendors/Bard.cs:L72:if (!(m_Mobile is PlayerMobile)) || Prior POST-BATCH-K evidence: CurrentFile=Data/Scripts/Mobiles/Civilized/Vendors/Bard.cs; Line=72;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Core;DirectReference;Data/Scripts/Mobiles/Civilized/Vendors/Bard.cs:L72:PlayerMobile || DependencyEvidence: Vendor Core-&gt;PlayerMobile Core;DirectReference;Data/Scripts/Mobiles/Civilized/Vendors/Bard.cs:L72:PlayerMobile || RuntimeHookEvidence: Data/Scripts/Mobiles/Civilized/Vendors/Bard.cs:L80:Gump:SendGump || SerializationEvidence: SerializationRegisterRows=1; Server.Mobiles.Bard;Mobile;Serialize:L230;Deserialize:L237;Risk=UnknownUntilSaveTest</t>
  </si>
  <si>
    <t>PreviousPostAuditBatch=POST-BATCH-K; PreviousReviewRowId=PBK-2631; CouplingKind=PlayerTypeCheckOrCast; ReviewClass=DirectPlayerTypePolicyResolvedNoChange; FutureSourceBatchNeeded=No.</t>
  </si>
  <si>
    <t>RB-05543</t>
  </si>
  <si>
    <t>P10-F05543</t>
  </si>
  <si>
    <t>PBX-0324</t>
  </si>
  <si>
    <t>Current source line evidence: Data/Scripts/Mobiles/Civilized/Vendors/Barkeeper.cs:L51:if (!(m_Mobile is PlayerMobile)) || Prior POST-BATCH-K evidence: CurrentFile=Data/Scripts/Mobiles/Civilized/Vendors/Barkeeper.cs; Line=51;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Core;DirectReference;Data/Scripts/Mobiles/Civilized/Vendors/Barkeeper.cs:L51:PlayerMobile || DependencyEvidence: Vendor Core-&gt;PlayerMobile Core;DirectReference;Data/Scripts/Mobiles/Civilized/Vendors/Barkeeper.cs:L51:PlayerMobile || RuntimeHookEvidence: Data/Scripts/Mobiles/Civilized/Vendors/Barkeeper.cs:L59:Gump:SendGump || SerializationEvidence: SerializationRegisterRows=1; Server.Mobiles.Barkeeper;Mobile;Serialize:L80;Deserialize:L87;Risk=UnknownUntilSaveTest</t>
  </si>
  <si>
    <t>PreviousPostAuditBatch=POST-BATCH-K; PreviousReviewRowId=PBK-2632; CouplingKind=PlayerTypeCheckOrCast; ReviewClass=DirectPlayerTypePolicyResolvedNoChange; FutureSourceBatchNeeded=No.</t>
  </si>
  <si>
    <t>RB-05544</t>
  </si>
  <si>
    <t>P10-F05544</t>
  </si>
  <si>
    <t>Data/Scripts/Mobiles/Civilized/Vendors/Blacksmith.cs</t>
  </si>
  <si>
    <t>PBX-0325</t>
  </si>
  <si>
    <t>Current source line evidence: Data/Scripts/Mobiles/Civilized/Vendors/Blacksmith.cs:L114:if (!(m_Mobile is PlayerMobile)) || Prior POST-BATCH-K evidence: CurrentFile=Data/Scripts/Mobiles/Civilized/Vendors/Blacksmith.cs; Line=114;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Core;DirectReference;Data/Scripts/Mobiles/Civilized/Vendors/Blacksmith.cs:L114:PlayerMobile || DependencyEvidence: Vendor Core-&gt;PlayerMobile Core;DirectReference;Data/Scripts/Mobiles/Civilized/Vendors/Blacksmith.cs:L114:PlayerMobile || RuntimeHookEvidence: Data/Scripts/Mobiles/Civilized/Vendors/Blacksmith.cs:L122:Gump:SendGump || SerializationEvidence: SerializationRegisterRows=1; Server.Mobiles.Blacksmith;Mobile;Serialize:L491;Deserialize:L498;Risk=UnknownUntilSaveTest</t>
  </si>
  <si>
    <t>PreviousPostAuditBatch=POST-BATCH-K; PreviousReviewRowId=PBK-2633; CouplingKind=PlayerTypeCheckOrCast; ReviewClass=DirectPlayerTypePolicyResolvedNoChange; FutureSourceBatchNeeded=No.</t>
  </si>
  <si>
    <t>RB-05545</t>
  </si>
  <si>
    <t>P10-F05545</t>
  </si>
  <si>
    <t>Data/Scripts/Mobiles/Civilized/Vendors/Bowyer.cs</t>
  </si>
  <si>
    <t>PBX-0326</t>
  </si>
  <si>
    <t>Current source line evidence: Data/Scripts/Mobiles/Civilized/Vendors/Bowyer.cs:L98:if (!(m_Mobile is PlayerMobile)) || Prior POST-BATCH-K evidence: CurrentFile=Data/Scripts/Mobiles/Civilized/Vendors/Bowyer.cs; Line=98;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Core;DirectReference;Data/Scripts/Mobiles/Civilized/Vendors/Bowyer.cs:L98:PlayerMobile || DependencyEvidence: Vendor Core-&gt;PlayerMobile Core;DirectReference;Data/Scripts/Mobiles/Civilized/Vendors/Bowyer.cs:L98:PlayerMobile || RuntimeHookEvidence: Data/Scripts/Mobiles/Civilized/Vendors/Bowyer.cs:L106:Gump:SendGump || SerializationEvidence: SerializationRegisterRows=1; Server.Mobiles.Bowyer;Mobile;Serialize:L340;Deserialize:L347;Risk=UnknownUntilSaveTest</t>
  </si>
  <si>
    <t>PreviousPostAuditBatch=POST-BATCH-K; PreviousReviewRowId=PBK-2634; CouplingKind=PlayerTypeCheckOrCast; ReviewClass=DirectPlayerTypePolicyResolvedNoChange; FutureSourceBatchNeeded=No.</t>
  </si>
  <si>
    <t>RB-05546</t>
  </si>
  <si>
    <t>P10-F05546</t>
  </si>
  <si>
    <t>PBX-0327</t>
  </si>
  <si>
    <t>Current source line evidence: Data/Scripts/Mobiles/Civilized/Vendors/Cook.cs:L79:if (!(m_Mobile is PlayerMobile)) || Prior POST-BATCH-K evidence: CurrentFile=Data/Scripts/Mobiles/Civilized/Vendors/Cook.cs; Line=79;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Core;DirectReference;Data/Scripts/Mobiles/Civilized/Vendors/Cook.cs:L79:PlayerMobile || DependencyEvidence: Vendor Core-&gt;PlayerMobile Core;DirectReference;Data/Scripts/Mobiles/Civilized/Vendors/Cook.cs:L79:PlayerMobile || RuntimeHookEvidence: Data/Scripts/Mobiles/Civilized/Vendors/Cook.cs:L87:Gump:SendGump || SerializationEvidence: SerializationRegisterRows=1; Server.Mobiles.Cook;Mobile;Serialize:L104;Deserialize:L111;Risk=UnknownUntilSaveTest</t>
  </si>
  <si>
    <t>PreviousPostAuditBatch=POST-BATCH-K; PreviousReviewRowId=PBK-2635; CouplingKind=PlayerTypeCheckOrCast; ReviewClass=DirectPlayerTypePolicyResolvedNoChange; FutureSourceBatchNeeded=No.</t>
  </si>
  <si>
    <t>RB-05547</t>
  </si>
  <si>
    <t>P10-F05547</t>
  </si>
  <si>
    <t>Data/Scripts/Mobiles/Civilized/Vendors/CustomHairstylist.cs</t>
  </si>
  <si>
    <t>PBX-0328</t>
  </si>
  <si>
    <t>Current source line evidence: Data/Scripts/Mobiles/Civilized/Vendors/CustomHairstylist.cs:L781:if (m_From is PlayerMobile) || Prior POST-BATCH-K evidence: CurrentFile=Data/Scripts/Mobiles/Civilized/Vendors/CustomHairstylist.cs; Line=781; SourceLine=if (m_From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Core;DirectReference;Data/Scripts/Mobiles/Civilized/Vendors/CustomHairstylist.cs:L781:PlayerMobile || DependencyEvidence: Vendor Core-&gt;PlayerMobile Core;DirectReference;Data/Scripts/Mobiles/Civilized/Vendors/CustomHairstylist.cs:L781:PlayerMobile || RuntimeHookEvidence: Data/Scripts/Mobiles/Civilized/Vendors/CustomHairstylist.cs:L292:Gump:OnResponse | Data/Scripts/Mobiles/Civilized/Vendors/CustomHairstylist.cs:L483:Gump:OnResponse | Data/Scripts/Mobiles/Civilized/Vendors/CustomHairstylist.cs:L758:Gump:OnResponse || SerializationEvidence: SerializationRegisterRows=1; Server.Mobiles.CustomHairstylist;Mobile;Serialize:L148;Deserialize:L154;Risk=UnknownUntilSaveTest</t>
  </si>
  <si>
    <t>PreviousPostAuditBatch=POST-BATCH-K; PreviousReviewRowId=PBK-2636; CouplingKind=PlayerTypeCheckOrCast; ReviewClass=DirectPlayerTypePolicyResolvedNoChange; FutureSourceBatchNeeded=No.</t>
  </si>
  <si>
    <t>RB-05548</t>
  </si>
  <si>
    <t>P10-F05548</t>
  </si>
  <si>
    <t>PBX-0329</t>
  </si>
  <si>
    <t>Current source line evidence: Data/Scripts/Mobiles/Civilized/Vendors/Druid.cs:L94:if (!(m_Mobile is PlayerMobile)) || Prior POST-BATCH-K evidence: CurrentFile=Data/Scripts/Mobiles/Civilized/Vendors/Druid.cs; Line=94;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Core;DirectReference;Data/Scripts/Mobiles/Civilized/Vendors/Druid.cs:L94:PlayerMobile || DependencyEvidence: Vendor Core-&gt;PlayerMobile Core;DirectReference;Data/Scripts/Mobiles/Civilized/Vendors/Druid.cs:L94:PlayerMobile || RuntimeHookEvidence: Data/Scripts/Mobiles/Civilized/Vendors/Druid.cs:L124:Movement:OnMovement | Data/Scripts/Mobiles/Civilized/Vendors/Druid.cs:L102:Gump:SendGump || SerializationEvidence: SerializationRegisterRows=1; Server.Mobiles.Druid;Mobile;Serialize:L160;Deserialize:L165;Risk=UnknownUntilSaveTest</t>
  </si>
  <si>
    <t>PreviousPostAuditBatch=POST-BATCH-K; PreviousReviewRowId=PBK-2637; CouplingKind=PlayerTypeCheckOrCast; ReviewClass=DirectPlayerTypePolicyResolvedNoChange; FutureSourceBatchNeeded=No.</t>
  </si>
  <si>
    <t>RB-05549</t>
  </si>
  <si>
    <t>P10-F05549</t>
  </si>
  <si>
    <t>PBX-0330</t>
  </si>
  <si>
    <t>Current source line evidence: Data/Scripts/Mobiles/Civilized/Vendors/DruidTree.cs:L76:if (!(m_Mobile is PlayerMobile)) || Prior POST-BATCH-K evidence: CurrentFile=Data/Scripts/Mobiles/Civilized/Vendors/DruidTree.cs; Line=76;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Core;DirectReference;Data/Scripts/Mobiles/Civilized/Vendors/DruidTree.cs:L76:PlayerMobile || DependencyEvidence: Vendor Core-&gt;PlayerMobile Core;DirectReference;Data/Scripts/Mobiles/Civilized/Vendors/DruidTree.cs:L76:PlayerMobile || RuntimeHookEvidence: Data/Scripts/Mobiles/Civilized/Vendors/DruidTree.cs:L105:Movement:OnMovement | Data/Scripts/Mobiles/Civilized/Vendors/DruidTree.cs:L83:Gump:SendGump || SerializationEvidence: SerializationRegisterRows=1; Server.Mobiles.DruidTree;Mobile;Serialize:L141;Deserialize:L146;Risk=UnknownUntilSaveTest</t>
  </si>
  <si>
    <t>PreviousPostAuditBatch=POST-BATCH-K; PreviousReviewRowId=PBK-2638; CouplingKind=PlayerTypeCheckOrCast; ReviewClass=DirectPlayerTypePolicyResolvedNoChange; FutureSourceBatchNeeded=No.</t>
  </si>
  <si>
    <t>RB-05550</t>
  </si>
  <si>
    <t>P10-F05550</t>
  </si>
  <si>
    <t>PBX-0331</t>
  </si>
  <si>
    <t>Current source line evidence: Data/Scripts/Mobiles/Civilized/Vendors/DrunkenPirate.cs:L74:if (!(m_Mobile is PlayerMobile)) || Prior POST-BATCH-K evidence: CurrentFile=Data/Scripts/Mobiles/Civilized/Vendors/DrunkenPirate.cs; Line=74;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Core;DirectReference;Data/Scripts/Mobiles/Civilized/Vendors/DrunkenPirate.cs:L74:PlayerMobile || DependencyEvidence: Vendor Core-&gt;PlayerMobile Core;DirectReference;Data/Scripts/Mobiles/Civilized/Vendors/DrunkenPirate.cs:L74:PlayerMobile || RuntimeHookEvidence: Data/Scripts/Mobiles/Civilized/Vendors/DrunkenPirate.cs:L82:Gump:SendGump || SerializationEvidence: SerializationRegisterRows=1; Server.Mobiles.DrunkenPirate;Mobile;Serialize:L99;Deserialize:L106;Risk=UnknownUntilSaveTest</t>
  </si>
  <si>
    <t>PreviousPostAuditBatch=POST-BATCH-K; PreviousReviewRowId=PBK-2639; CouplingKind=PlayerTypeCheckOrCast; ReviewClass=DirectPlayerTypePolicyResolvedNoChange; FutureSourceBatchNeeded=No.</t>
  </si>
  <si>
    <t>RB-05551</t>
  </si>
  <si>
    <t>P10-F05551</t>
  </si>
  <si>
    <t>PBX-0332</t>
  </si>
  <si>
    <t>Current source line evidence: Data/Scripts/Mobiles/Civilized/Vendors/Elementalist.cs:L91:if (!(m_Mobile is PlayerMobile)) || Prior POST-BATCH-K evidence: CurrentFile=Data/Scripts/Mobiles/Civilized/Vendors/Elementalist.cs; Line=91;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Core;DirectReference;Data/Scripts/Mobiles/Civilized/Vendors/Elementalist.cs:L91:PlayerMobile || DependencyEvidence: Vendor Core-&gt;PlayerMobile Core;DirectReference;Data/Scripts/Mobiles/Civilized/Vendors/Elementalist.cs:L91:PlayerMobile || RuntimeHookEvidence: Data/Scripts/Mobiles/Civilized/Vendors/Elementalist.cs:L99:Gump:SendGump || SerializationEvidence: SerializationRegisterRows=1; Server.Mobiles.Elementalist;Mobile;Serialize:L116;Deserialize:L122;Risk=UnknownUntilSaveTest</t>
  </si>
  <si>
    <t>PreviousPostAuditBatch=POST-BATCH-K; PreviousReviewRowId=PBK-2640; CouplingKind=PlayerTypeCheckOrCast; ReviewClass=DirectPlayerTypePolicyResolvedNoChange; FutureSourceBatchNeeded=No.</t>
  </si>
  <si>
    <t>RB-05552</t>
  </si>
  <si>
    <t>P10-F05552</t>
  </si>
  <si>
    <t>Data/Scripts/Mobiles/Civilized/Vendors/Enchanter.cs</t>
  </si>
  <si>
    <t>PBX-0333</t>
  </si>
  <si>
    <t>Current source line evidence: Data/Scripts/Mobiles/Civilized/Vendors/Enchanter.cs:L69:if (!(m_Mobile is PlayerMobile)) || Prior POST-BATCH-K evidence: CurrentFile=Data/Scripts/Mobiles/Civilized/Vendors/Enchanter.cs; Line=69;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Core;DirectReference;Data/Scripts/Mobiles/Civilized/Vendors/Enchanter.cs:L69:PlayerMobile || DependencyEvidence: Vendor Core-&gt;PlayerMobile Core;DirectReference;Data/Scripts/Mobiles/Civilized/Vendors/Enchanter.cs:L69:PlayerMobile || RuntimeHookEvidence: Data/Scripts/Mobiles/Civilized/Vendors/Enchanter.cs:L77:Gump:SendGump || SerializationEvidence: SerializationRegisterRows=1; Server.Mobiles.Enchanter;Mobile;Serialize:L274;Deserialize:L281;Risk=UnknownUntilSaveTest</t>
  </si>
  <si>
    <t>PreviousPostAuditBatch=POST-BATCH-K; PreviousReviewRowId=PBK-2641; CouplingKind=PlayerTypeCheckOrCast; ReviewClass=DirectPlayerTypePolicyResolvedNoChange; FutureSourceBatchNeeded=No.</t>
  </si>
  <si>
    <t>RB-05553</t>
  </si>
  <si>
    <t>P10-F05553</t>
  </si>
  <si>
    <t>PBX-0334</t>
  </si>
  <si>
    <t>Current source line evidence: Data/Scripts/Mobiles/Civilized/Vendors/Farmer.cs:L90:if (!(m_Mobile is PlayerMobile)) || Prior POST-BATCH-K evidence: CurrentFile=Data/Scripts/Mobiles/Civilized/Vendors/Farmer.cs; Line=90;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Core;DirectReference;Data/Scripts/Mobiles/Civilized/Vendors/Farmer.cs:L90:PlayerMobile || DependencyEvidence: Vendor Core-&gt;PlayerMobile Core;DirectReference;Data/Scripts/Mobiles/Civilized/Vendors/Farmer.cs:L90:PlayerMobile || RuntimeHookEvidence: Data/Scripts/Mobiles/Civilized/Vendors/Farmer.cs:L98:Gump:SendGump || SerializationEvidence: SerializationRegisterRows=1; Server.Mobiles.Farmer;Mobile;Serialize:L113;Deserialize:L120;Risk=UnknownUntilSaveTest</t>
  </si>
  <si>
    <t>PreviousPostAuditBatch=POST-BATCH-K; PreviousReviewRowId=PBK-2642; CouplingKind=PlayerTypeCheckOrCast; ReviewClass=DirectPlayerTypePolicyResolvedNoChange; FutureSourceBatchNeeded=No.</t>
  </si>
  <si>
    <t>RB-05554</t>
  </si>
  <si>
    <t>P10-F05554</t>
  </si>
  <si>
    <t>Data/Scripts/Mobiles/Civilized/Vendors/Furtrader.cs</t>
  </si>
  <si>
    <t>PBX-0335</t>
  </si>
  <si>
    <t>Current source line evidence: Data/Scripts/Mobiles/Civilized/Vendors/Furtrader.cs:L77:if (!(m_Mobile is PlayerMobile)) || Prior POST-BATCH-K evidence: CurrentFile=Data/Scripts/Mobiles/Civilized/Vendors/Furtrader.cs; Line=77;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Core;DirectReference;Data/Scripts/Mobiles/Civilized/Vendors/Furtrader.cs:L77:PlayerMobile || DependencyEvidence: Vendor Core-&gt;PlayerMobile Core;DirectReference;Data/Scripts/Mobiles/Civilized/Vendors/Furtrader.cs:L77:PlayerMobile || RuntimeHookEvidence: Data/Scripts/Mobiles/Civilized/Vendors/Furtrader.cs:L85:Gump:SendGump || SerializationEvidence: SerializationRegisterRows=1; Server.Mobiles.Furtrader;Mobile;Serialize:L302;Deserialize:L309;Risk=UnknownUntilSaveTest</t>
  </si>
  <si>
    <t>PreviousPostAuditBatch=POST-BATCH-K; PreviousReviewRowId=PBK-2643; CouplingKind=PlayerTypeCheckOrCast; ReviewClass=DirectPlayerTypePolicyResolvedNoChange; FutureSourceBatchNeeded=No.</t>
  </si>
  <si>
    <t>RB-05555</t>
  </si>
  <si>
    <t>P10-F05555</t>
  </si>
  <si>
    <t>PBX-0336</t>
  </si>
  <si>
    <t>Current source line evidence: Data/Scripts/Mobiles/Civilized/Vendors/GypsyLady.cs:L26:if (m is PlayerMobile) || Prior POST-BATCH-K evidence: CurrentFile=Data/Scripts/Mobiles/Civilized/Vendors/GypsyLady.cs; Line=26; SourceLine=if (m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Core;DirectReference;Data/Scripts/Mobiles/Civilized/Vendors/GypsyLady.cs:L26:PlayerMobile || DependencyEvidence: Vendor Core-&gt;PlayerMobile Core;DirectReference;Data/Scripts/Mobiles/Civilized/Vendors/GypsyLady.cs:L26:PlayerMobile || RuntimeHookEvidence: Data/Scripts/Mobiles/Civilized/Vendors/GypsyLady.cs:L24:Movement:OnMovement | Data/Scripts/Mobiles/Civilized/Vendors/GypsyLady.cs:L285:Gump:SendGump || SerializationEvidence: SerializationRegisterRows=1; Server.Mobiles.GypsyLady;Mobile;Serialize:L618;Deserialize:L624;Risk=UnknownUntilSaveTest</t>
  </si>
  <si>
    <t>PreviousPostAuditBatch=POST-BATCH-K; PreviousReviewRowId=PBK-2644; CouplingKind=PlayerTypeCheckOrCast; ReviewClass=DirectPlayerTypePolicyResolvedNoChange; FutureSourceBatchNeeded=No.</t>
  </si>
  <si>
    <t>RB-05556</t>
  </si>
  <si>
    <t>P10-F05556</t>
  </si>
  <si>
    <t>Data/Scripts/Mobiles/Civilized/Vendors/Herbalist.cs</t>
  </si>
  <si>
    <t>PBX-0337</t>
  </si>
  <si>
    <t>Current source line evidence: Data/Scripts/Mobiles/Civilized/Vendors/Herbalist.cs:L64:if (!(m_Mobile is PlayerMobile)) || Prior POST-BATCH-K evidence: CurrentFile=Data/Scripts/Mobiles/Civilized/Vendors/Herbalist.cs; Line=64;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Core;DirectReference;Data/Scripts/Mobiles/Civilized/Vendors/Herbalist.cs:L64:PlayerMobile || DependencyEvidence: Vendor Core-&gt;PlayerMobile Core;DirectReference;Data/Scripts/Mobiles/Civilized/Vendors/Herbalist.cs:L64:PlayerMobile || RuntimeHookEvidence: Data/Scripts/Mobiles/Civilized/Vendors/Herbalist.cs:L72:Gump:SendGump || SerializationEvidence: SerializationRegisterRows=1; Server.Mobiles.Herbalist;Mobile;Serialize:L359;Deserialize:L366;Risk=UnknownUntilSaveTest</t>
  </si>
  <si>
    <t>PreviousPostAuditBatch=POST-BATCH-K; PreviousReviewRowId=PBK-2645; CouplingKind=PlayerTypeCheckOrCast; ReviewClass=DirectPlayerTypePolicyResolvedNoChange; FutureSourceBatchNeeded=No.</t>
  </si>
  <si>
    <t>RB-05557</t>
  </si>
  <si>
    <t>P10-F05557</t>
  </si>
  <si>
    <t>Data/Scripts/Mobiles/Civilized/Vendors/HolyMage.cs</t>
  </si>
  <si>
    <t>PBX-0338</t>
  </si>
  <si>
    <t>Current source line evidence: Data/Scripts/Mobiles/Civilized/Vendors/HolyMage.cs:L92:if (!(m_Mobile is PlayerMobile)) || Prior POST-BATCH-K evidence: CurrentFile=Data/Scripts/Mobiles/Civilized/Vendors/HolyMage.cs; Line=92;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Core;DirectReference;Data/Scripts/Mobiles/Civilized/Vendors/HolyMage.cs:L92:PlayerMobile || DependencyEvidence: Vendor Core-&gt;PlayerMobile Core;DirectReference;Data/Scripts/Mobiles/Civilized/Vendors/HolyMage.cs:L92:PlayerMobile || RuntimeHookEvidence: Data/Scripts/Mobiles/Civilized/Vendors/HolyMage.cs:L100:Gump:SendGump || SerializationEvidence: SerializationRegisterRows=1; Server.Mobiles.HolyMage;Mobile;Serialize:L297;Deserialize:L304;Risk=UnknownUntilSaveTest</t>
  </si>
  <si>
    <t>PreviousPostAuditBatch=POST-BATCH-K; PreviousReviewRowId=PBK-2646; CouplingKind=PlayerTypeCheckOrCast; ReviewClass=DirectPlayerTypePolicyResolvedNoChange; FutureSourceBatchNeeded=No.</t>
  </si>
  <si>
    <t>RB-05558</t>
  </si>
  <si>
    <t>P10-F05558</t>
  </si>
  <si>
    <t>PBX-0339</t>
  </si>
  <si>
    <t>Current source line evidence: Data/Scripts/Mobiles/Civilized/Vendors/InnKeeper.cs:L61:if (!(m_Mobile is PlayerMobile)) || Prior POST-BATCH-K evidence: CurrentFile=Data/Scripts/Mobiles/Civilized/Vendors/InnKeeper.cs; Line=61;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Core;DirectReference;Data/Scripts/Mobiles/Civilized/Vendors/InnKeeper.cs:L61:PlayerMobile || DependencyEvidence: Vendor Core-&gt;PlayerMobile Core;DirectReference;Data/Scripts/Mobiles/Civilized/Vendors/InnKeeper.cs:L61:PlayerMobile || RuntimeHookEvidence: Data/Scripts/Mobiles/Civilized/Vendors/InnKeeper.cs:L69:Gump:SendGump || SerializationEvidence: SerializationRegisterRows=1; Server.Mobiles.InnKeeper;Mobile;Serialize:L86;Deserialize:L93;Risk=UnknownUntilSaveTest</t>
  </si>
  <si>
    <t>PreviousPostAuditBatch=POST-BATCH-K; PreviousReviewRowId=PBK-2647; CouplingKind=PlayerTypeCheckOrCast; ReviewClass=DirectPlayerTypePolicyResolvedNoChange; FutureSourceBatchNeeded=No.</t>
  </si>
  <si>
    <t>RB-05559</t>
  </si>
  <si>
    <t>P10-F05559</t>
  </si>
  <si>
    <t>PBX-0340</t>
  </si>
  <si>
    <t>Current source line evidence: Data/Scripts/Mobiles/Civilized/Vendors/Jester.cs:L112:if (!(m_Mobile is PlayerMobile)) || Prior POST-BATCH-K evidence: CurrentFile=Data/Scripts/Mobiles/Civilized/Vendors/Jester.cs; Line=112;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Core;DirectReference;Data/Scripts/Mobiles/Civilized/Vendors/Jester.cs:L112:PlayerMobile || DependencyEvidence: Vendor Core-&gt;PlayerMobile Core;DirectReference;Data/Scripts/Mobiles/Civilized/Vendors/Jester.cs:L112:PlayerMobile || RuntimeHookEvidence: Data/Scripts/Mobiles/Civilized/Vendors/Jester.cs:L396:Movement:OnMovement | Data/Scripts/Mobiles/Civilized/Vendors/Jester.cs:L120:Gump:SendGump || SerializationEvidence: SerializationRegisterRows=1; Server.Mobiles.Jester;Mobile;Serialize:L375;Deserialize:L382;Risk=UnknownUntilSaveTest</t>
  </si>
  <si>
    <t>PreviousPostAuditBatch=POST-BATCH-K; PreviousReviewRowId=PBK-2648; CouplingKind=PlayerTypeCheckOrCast; ReviewClass=DirectPlayerTypePolicyResolvedNoChange; FutureSourceBatchNeeded=No.</t>
  </si>
  <si>
    <t>RB-05560</t>
  </si>
  <si>
    <t>P10-F05560</t>
  </si>
  <si>
    <t>PBX-0341</t>
  </si>
  <si>
    <t>Current source line evidence: Data/Scripts/Mobiles/Civilized/Vendors/KeeperOfChivalry.cs:L89:if (!(m_Mobile is PlayerMobile)) || Prior POST-BATCH-K evidence: CurrentFile=Data/Scripts/Mobiles/Civilized/Vendors/KeeperOfChivalry.cs; Line=89;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Core;DirectReference;Data/Scripts/Mobiles/Civilized/Vendors/KeeperOfChivalry.cs:L89:PlayerMobile || DependencyEvidence: Vendor Core-&gt;PlayerMobile Core;DirectReference;Data/Scripts/Mobiles/Civilized/Vendors/KeeperOfChivalry.cs:L89:PlayerMobile || RuntimeHookEvidence: Data/Scripts/Mobiles/Civilized/Vendors/KeeperOfChivalry.cs:L97:Gump:SendGump || SerializationEvidence: SerializationRegisterRows=1; Server.Mobiles.KeeperOfChivalry;Mobile;Serialize:L114;Deserialize:L121;Risk=UnknownUntilSaveTest</t>
  </si>
  <si>
    <t>PreviousPostAuditBatch=POST-BATCH-K; PreviousReviewRowId=PBK-2649; CouplingKind=PlayerTypeCheckOrCast; ReviewClass=DirectPlayerTypePolicyResolvedNoChange; FutureSourceBatchNeeded=No.</t>
  </si>
  <si>
    <t>RB-05561</t>
  </si>
  <si>
    <t>P10-F05561</t>
  </si>
  <si>
    <t>PBX-0342</t>
  </si>
  <si>
    <t>Current source line evidence: Data/Scripts/Mobiles/Civilized/Vendors/KungFu.cs:L80:if (!(m_Mobile is PlayerMobile)) || Prior POST-BATCH-K evidence: CurrentFile=Data/Scripts/Mobiles/Civilized/Vendors/KungFu.cs; Line=80;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Core;DirectReference;Data/Scripts/Mobiles/Civilized/Vendors/KungFu.cs:L80:PlayerMobile || DependencyEvidence: Vendor Core-&gt;PlayerMobile Core;DirectReference;Data/Scripts/Mobiles/Civilized/Vendors/KungFu.cs:L80:PlayerMobile || RuntimeHookEvidence: Data/Scripts/Mobiles/Civilized/Vendors/KungFu.cs:L88:Gump:SendGump || SerializationEvidence: SerializationRegisterRows=1; Server.Mobiles.KungFu;Mobile;Serialize:L105;Deserialize:L112;Risk=UnknownUntilSaveTest</t>
  </si>
  <si>
    <t>PreviousPostAuditBatch=POST-BATCH-K; PreviousReviewRowId=PBK-2650; CouplingKind=PlayerTypeCheckOrCast; ReviewClass=DirectPlayerTypePolicyResolvedNoChange; FutureSourceBatchNeeded=No.</t>
  </si>
  <si>
    <t>RB-05562</t>
  </si>
  <si>
    <t>P10-F05562</t>
  </si>
  <si>
    <t>Data/Scripts/Mobiles/Civilized/Vendors/LeatherWorker.cs</t>
  </si>
  <si>
    <t>PBX-0343</t>
  </si>
  <si>
    <t>Current source line evidence: Data/Scripts/Mobiles/Civilized/Vendors/LeatherWorker.cs:L66:if (!(m_Mobile is PlayerMobile)) || Prior POST-BATCH-K evidence: CurrentFile=Data/Scripts/Mobiles/Civilized/Vendors/LeatherWorker.cs; Line=66;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Core;DirectReference;Data/Scripts/Mobiles/Civilized/Vendors/LeatherWorker.cs:L66:PlayerMobile || DependencyEvidence: Vendor Core-&gt;PlayerMobile Core;DirectReference;Data/Scripts/Mobiles/Civilized/Vendors/LeatherWorker.cs:L66:PlayerMobile || RuntimeHookEvidence: Data/Scripts/Mobiles/Civilized/Vendors/LeatherWorker.cs:L74:Gump:SendGump || SerializationEvidence: SerializationRegisterRows=1; Server.Mobiles.LeatherWorker;Mobile;Serialize:L457;Deserialize:L464;Risk=UnknownUntilSaveTest</t>
  </si>
  <si>
    <t>PreviousPostAuditBatch=POST-BATCH-K; PreviousReviewRowId=PBK-2651; CouplingKind=PlayerTypeCheckOrCast; ReviewClass=DirectPlayerTypePolicyResolvedNoChange; FutureSourceBatchNeeded=No.</t>
  </si>
  <si>
    <t>RB-05563</t>
  </si>
  <si>
    <t>P10-F05563</t>
  </si>
  <si>
    <t>Data/Scripts/Mobiles/Civilized/Vendors/Mage.cs</t>
  </si>
  <si>
    <t>PBX-0344</t>
  </si>
  <si>
    <t>Current source line evidence: Data/Scripts/Mobiles/Civilized/Vendors/Mage.cs:L101:if (!(m_Mobile is PlayerMobile)) || Prior POST-BATCH-K evidence: CurrentFile=Data/Scripts/Mobiles/Civilized/Vendors/Mage.cs; Line=101;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Core;DirectReference;Data/Scripts/Mobiles/Civilized/Vendors/Mage.cs:L101:PlayerMobile || DependencyEvidence: Vendor Core-&gt;PlayerMobile Core;DirectReference;Data/Scripts/Mobiles/Civilized/Vendors/Mage.cs:L101:PlayerMobile || RuntimeHookEvidence: Data/Scripts/Mobiles/Civilized/Vendors/Mage.cs:L109:Gump:SendGump || SerializationEvidence: SerializationRegisterRows=1; Server.Mobiles.Mage;Mobile;Serialize:L306;Deserialize:L313;Risk=UnknownUntilSaveTest</t>
  </si>
  <si>
    <t>PreviousPostAuditBatch=POST-BATCH-K; PreviousReviewRowId=PBK-2652; CouplingKind=PlayerTypeCheckOrCast; ReviewClass=DirectPlayerTypePolicyResolvedNoChange; FutureSourceBatchNeeded=No.</t>
  </si>
  <si>
    <t>RB-05564</t>
  </si>
  <si>
    <t>P10-F05564</t>
  </si>
  <si>
    <t>Data/Scripts/Mobiles/Civilized/Vendors/Mapmaker.cs</t>
  </si>
  <si>
    <t>PBX-0345</t>
  </si>
  <si>
    <t>Current source line evidence: Data/Scripts/Mobiles/Civilized/Vendors/Mapmaker.cs:L62:if (!(m_Mobile is PlayerMobile)) || Prior POST-BATCH-K evidence: CurrentFile=Data/Scripts/Mobiles/Civilized/Vendors/Mapmaker.cs; Line=62;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Core;DirectReference;Data/Scripts/Mobiles/Civilized/Vendors/Mapmaker.cs:L62:PlayerMobile || DependencyEvidence: Vendor Core-&gt;PlayerMobile Core;DirectReference;Data/Scripts/Mobiles/Civilized/Vendors/Mapmaker.cs:L62:PlayerMobile || RuntimeHookEvidence: Data/Scripts/Mobiles/Civilized/Vendors/Mapmaker.cs:L70:Gump:SendGump || SerializationEvidence: SerializationRegisterRows=1; Server.Mobiles.Mapmaker;Mobile;Serialize:L246;Deserialize:L253;Risk=UnknownUntilSaveTest</t>
  </si>
  <si>
    <t>PreviousPostAuditBatch=POST-BATCH-K; PreviousReviewRowId=PBK-2653; CouplingKind=PlayerTypeCheckOrCast; ReviewClass=DirectPlayerTypePolicyResolvedNoChange; FutureSourceBatchNeeded=No.</t>
  </si>
  <si>
    <t>RB-05565</t>
  </si>
  <si>
    <t>P10-F05565</t>
  </si>
  <si>
    <t>PBX-0346</t>
  </si>
  <si>
    <t>Current source line evidence: Data/Scripts/Mobiles/Civilized/Vendors/NecroMage.cs:L83:if (!(m_Mobile is PlayerMobile)) || Prior POST-BATCH-K evidence: CurrentFile=Data/Scripts/Mobiles/Civilized/Vendors/NecroMage.cs; Line=83;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Core;DirectReference;Data/Scripts/Mobiles/Civilized/Vendors/NecroMage.cs:L83:PlayerMobile || DependencyEvidence: Vendor Core-&gt;PlayerMobile Core;DirectReference;Data/Scripts/Mobiles/Civilized/Vendors/NecroMage.cs:L83:PlayerMobile || RuntimeHookEvidence: Data/Scripts/Mobiles/Civilized/Vendors/NecroMage.cs:L91:Gump:SendGump || SerializationEvidence: SerializationRegisterRows=1; Server.Mobiles.NecroMage;Mobile;Serialize:L108;Deserialize:L115;Risk=UnknownUntilSaveTest</t>
  </si>
  <si>
    <t>PreviousPostAuditBatch=POST-BATCH-K; PreviousReviewRowId=PBK-2654; CouplingKind=PlayerTypeCheckOrCast; ReviewClass=DirectPlayerTypePolicyResolvedNoChange; FutureSourceBatchNeeded=No.</t>
  </si>
  <si>
    <t>RB-05566</t>
  </si>
  <si>
    <t>P10-F05566</t>
  </si>
  <si>
    <t>PBX-0347</t>
  </si>
  <si>
    <t>Current source line evidence: Data/Scripts/Mobiles/Civilized/Vendors/Necromancer.cs:L83:if (!(m_Mobile is PlayerMobile)) || Prior POST-BATCH-K evidence: CurrentFile=Data/Scripts/Mobiles/Civilized/Vendors/Necromancer.cs; Line=83;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Core;DirectReference;Data/Scripts/Mobiles/Civilized/Vendors/Necromancer.cs:L83:PlayerMobile || DependencyEvidence: Vendor Core-&gt;PlayerMobile Core;DirectReference;Data/Scripts/Mobiles/Civilized/Vendors/Necromancer.cs:L83:PlayerMobile || RuntimeHookEvidence: Data/Scripts/Mobiles/Civilized/Vendors/Necromancer.cs:L91:Gump:SendGump || SerializationEvidence: SerializationRegisterRows=1; Server.Mobiles.Necromancer;Mobile;Serialize:L108;Deserialize:L114;Risk=UnknownUntilSaveTest</t>
  </si>
  <si>
    <t>PreviousPostAuditBatch=POST-BATCH-K; PreviousReviewRowId=PBK-2655; CouplingKind=PlayerTypeCheckOrCast; ReviewClass=DirectPlayerTypePolicyResolvedNoChange; FutureSourceBatchNeeded=No.</t>
  </si>
  <si>
    <t>RB-05567</t>
  </si>
  <si>
    <t>P10-F05567</t>
  </si>
  <si>
    <t>PBX-0348</t>
  </si>
  <si>
    <t>Current source line evidence: Data/Scripts/Mobiles/Civilized/Vendors/Provisioner.cs:L92:if (!(m_Mobile is PlayerMobile)) || Prior POST-BATCH-K evidence: CurrentFile=Data/Scripts/Mobiles/Civilized/Vendors/Provisioner.cs; Line=92;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Core;DirectReference;Data/Scripts/Mobiles/Civilized/Vendors/Provisioner.cs:L92:PlayerMobile || DependencyEvidence: Vendor Core-&gt;PlayerMobile Core;DirectReference;Data/Scripts/Mobiles/Civilized/Vendors/Provisioner.cs:L92:PlayerMobile || RuntimeHookEvidence: Data/Scripts/Mobiles/Civilized/Vendors/Provisioner.cs:L100:Gump:SendGump || SerializationEvidence: SerializationRegisterRows=1; Server.Mobiles.Provisioner;Mobile;Serialize:L262;Deserialize:L269;Risk=UnknownUntilSaveTest</t>
  </si>
  <si>
    <t>PreviousPostAuditBatch=POST-BATCH-K; PreviousReviewRowId=PBK-2656; CouplingKind=PlayerTypeCheckOrCast; ReviewClass=DirectPlayerTypePolicyResolvedNoChange; FutureSourceBatchNeeded=No.</t>
  </si>
  <si>
    <t>RB-05568</t>
  </si>
  <si>
    <t>P10-F05568</t>
  </si>
  <si>
    <t>PBX-0349</t>
  </si>
  <si>
    <t>Current source line evidence: Data/Scripts/Mobiles/Civilized/Vendors/Ranger.cs:L77:if (!(m_Mobile is PlayerMobile)) || Prior POST-BATCH-K evidence: CurrentFile=Data/Scripts/Mobiles/Civilized/Vendors/Ranger.cs; Line=77;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Core;DirectReference;Data/Scripts/Mobiles/Civilized/Vendors/Ranger.cs:L77:PlayerMobile || DependencyEvidence: Vendor Core-&gt;PlayerMobile Core;DirectReference;Data/Scripts/Mobiles/Civilized/Vendors/Ranger.cs:L77:PlayerMobile || RuntimeHookEvidence: Data/Scripts/Mobiles/Civilized/Vendors/Ranger.cs:L85:Gump:SendGump || SerializationEvidence: SerializationRegisterRows=1; Server.Mobiles.Ranger;Mobile;Serialize:L102;Deserialize:L109;Risk=UnknownUntilSaveTest</t>
  </si>
  <si>
    <t>PreviousPostAuditBatch=POST-BATCH-K; PreviousReviewRowId=PBK-2657; CouplingKind=PlayerTypeCheckOrCast; ReviewClass=DirectPlayerTypePolicyResolvedNoChange; FutureSourceBatchNeeded=No.</t>
  </si>
  <si>
    <t>RB-05569</t>
  </si>
  <si>
    <t>P10-F05569</t>
  </si>
  <si>
    <t>Data/Scripts/Mobiles/Civilized/Vendors/Sage.cs</t>
  </si>
  <si>
    <t>PBX-0350</t>
  </si>
  <si>
    <t>Current source line evidence: Data/Scripts/Mobiles/Civilized/Vendors/Sage.cs:L190:if (!(m_Mobile is PlayerMobile)) || Prior POST-BATCH-K evidence: CurrentFile=Data/Scripts/Mobiles/Civilized/Vendors/Sage.cs; Line=190;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Core;DirectReference;Data/Scripts/Mobiles/Civilized/Vendors/Sage.cs:L190:PlayerMobile || DependencyEvidence: Vendor Core-&gt;PlayerMobile Core;DirectReference;Data/Scripts/Mobiles/Civilized/Vendors/Sage.cs:L190:PlayerMobile || RuntimeHookEvidence: Data/Scripts/Mobiles/Civilized/Vendors/Sage.cs:L198:Gump:SendGump || SerializationEvidence: SerializationRegisterRows=1; Server.Mobiles.Sage;Mobile;Serialize:L532;Deserialize:L539;Risk=UnknownUntilSaveTest</t>
  </si>
  <si>
    <t>PreviousPostAuditBatch=POST-BATCH-K; PreviousReviewRowId=PBK-2658; CouplingKind=PlayerTypeCheckOrCast; ReviewClass=DirectPlayerTypePolicyResolvedNoChange; FutureSourceBatchNeeded=No.</t>
  </si>
  <si>
    <t>RB-05570</t>
  </si>
  <si>
    <t>P10-F05570</t>
  </si>
  <si>
    <t>Data/Scripts/Mobiles/Civilized/Vendors/Scribe.cs</t>
  </si>
  <si>
    <t>PBX-0351</t>
  </si>
  <si>
    <t>Current source line evidence: Data/Scripts/Mobiles/Civilized/Vendors/Scribe.cs:L65:if (!(m_Mobile is PlayerMobile)) || Prior POST-BATCH-K evidence: CurrentFile=Data/Scripts/Mobiles/Civilized/Vendors/Scribe.cs; Line=65;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Core;DirectReference;Data/Scripts/Mobiles/Civilized/Vendors/Scribe.cs:L65:PlayerMobile || DependencyEvidence: Vendor Core-&gt;PlayerMobile Core;DirectReference;Data/Scripts/Mobiles/Civilized/Vendors/Scribe.cs:L65:PlayerMobile || RuntimeHookEvidence: Data/Scripts/Mobiles/Civilized/Vendors/Scribe.cs:L73:Gump:SendGump || SerializationEvidence: SerializationRegisterRows=1; Server.Mobiles.Scribe;Mobile;Serialize:L416;Deserialize:L423;Risk=UnknownUntilSaveTest</t>
  </si>
  <si>
    <t>PreviousPostAuditBatch=POST-BATCH-K; PreviousReviewRowId=PBK-2659; CouplingKind=PlayerTypeCheckOrCast; ReviewClass=DirectPlayerTypePolicyResolvedNoChange; FutureSourceBatchNeeded=No.</t>
  </si>
  <si>
    <t>RB-05571</t>
  </si>
  <si>
    <t>P10-F05571</t>
  </si>
  <si>
    <t>PBX-0352</t>
  </si>
  <si>
    <t>Current source line evidence: Data/Scripts/Mobiles/Civilized/Vendors/Shepherd.cs:L26:if (m is PlayerMobile &amp;&amp; reg.IsPartOf("the Dungeon Room")) || Prior POST-BATCH-K evidence: CurrentFile=Data/Scripts/Mobiles/Civilized/Vendors/Shepherd.cs; Line=26; SourceLine=if (m is PlayerMobile &amp;&amp; reg.IsPartOf("the Dungeon Room")); PathResolution=OriginalPathCurrent; MatchQuality=DependencyGraphPlayerMobileFileLine; HookKind=PlayerMobileReference; GuardList=; Access=; Command=; Handler=; DisabledEvidence=False; DependencyEvidence=Vendor Core-&gt;PlayerMobile Core;DirectReference;Data/Scripts/Mobiles/Civilized/Vendors/Shepherd.cs:L26:PlayerMobile || DependencyEvidence: Vendor Core-&gt;PlayerMobile Core;DirectReference;Data/Scripts/Mobiles/Civilized/Vendors/Shepherd.cs:L26:PlayerMobile || RuntimeHookEvidence: Data/Scripts/Mobiles/Civilized/Vendors/Shepherd.cs:L660:Speech:OnSpeech | Data/Scripts/Mobiles/Civilized/Vendors/Shepherd.cs:L684:Speech:OnSpeech | Data/Scripts/Mobiles/Civilized/Vendors/Shepherd.cs:L22:Movement:OnMovement || SerializationEvidence: SerializationRegisterRows=1; Server.Mobiles.Shepherd;Mobile;Serialize:L691;Deserialize:L698;Risk=UnknownUntilSaveTest</t>
  </si>
  <si>
    <t>PreviousPostAuditBatch=POST-BATCH-K; PreviousReviewRowId=PBK-2660; CouplingKind=PlayerTypeCheckOrCast; ReviewClass=DirectPlayerTypePolicyResolvedNoChange; FutureSourceBatchNeeded=No.</t>
  </si>
  <si>
    <t>RB-05572</t>
  </si>
  <si>
    <t>P10-F05572</t>
  </si>
  <si>
    <t>PBX-0353</t>
  </si>
  <si>
    <t>Current source line evidence: Data/Scripts/Mobiles/Civilized/Vendors/Shipwright.cs:L163:if (!(m_Mobile is PlayerMobile)) || Prior POST-BATCH-K evidence: CurrentFile=Data/Scripts/Mobiles/Civilized/Vendors/Shipwright.cs; Line=163;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Core;DirectReference;Data/Scripts/Mobiles/Civilized/Vendors/Shipwright.cs:L163:PlayerMobile || DependencyEvidence: Vendor Core-&gt;PlayerMobile Core;DirectReference;Data/Scripts/Mobiles/Civilized/Vendors/Shipwright.cs:L163:PlayerMobile || RuntimeHookEvidence: Data/Scripts/Mobiles/Civilized/Vendors/Shipwright.cs:L171:Gump:SendGump || SerializationEvidence: SerializationRegisterRows=1; Server.Mobiles.Shipwright;Mobile;Serialize:L188;Deserialize:L195;Risk=UnknownUntilSaveTest</t>
  </si>
  <si>
    <t>PreviousPostAuditBatch=POST-BATCH-K; PreviousReviewRowId=PBK-2661; CouplingKind=PlayerTypeCheckOrCast; ReviewClass=DirectPlayerTypePolicyResolvedNoChange; FutureSourceBatchNeeded=No.</t>
  </si>
  <si>
    <t>RB-05573</t>
  </si>
  <si>
    <t>P10-F05573</t>
  </si>
  <si>
    <t>PBX-0354</t>
  </si>
  <si>
    <t>Current source line evidence: Data/Scripts/Mobiles/Civilized/Vendors/StoneCrafter.cs:L78:if (!(m_Mobile is PlayerMobile)) || Prior POST-BATCH-K evidence: CurrentFile=Data/Scripts/Mobiles/Civilized/Vendors/StoneCrafter.cs; Line=78;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Core;DirectReference;Data/Scripts/Mobiles/Civilized/Vendors/StoneCrafter.cs:L78:PlayerMobile || DependencyEvidence: Vendor Core-&gt;PlayerMobile Core;DirectReference;Data/Scripts/Mobiles/Civilized/Vendors/StoneCrafter.cs:L78:PlayerMobile || RuntimeHookEvidence: Data/Scripts/Mobiles/Civilized/Vendors/StoneCrafter.cs:L86:Gump:SendGump || SerializationEvidence: SerializationRegisterRows=1; Server.Mobiles.StoneCrafter;Mobile;Serialize:L103;Deserialize:L110;Risk=UnknownUntilSaveTest</t>
  </si>
  <si>
    <t>PreviousPostAuditBatch=POST-BATCH-K; PreviousReviewRowId=PBK-2662; CouplingKind=PlayerTypeCheckOrCast; ReviewClass=DirectPlayerTypePolicyResolvedNoChange; FutureSourceBatchNeeded=No.</t>
  </si>
  <si>
    <t>RB-05574</t>
  </si>
  <si>
    <t>P10-F05574</t>
  </si>
  <si>
    <t>Data/Scripts/Mobiles/Civilized/Vendors/Tailor.cs</t>
  </si>
  <si>
    <t>PBX-0355</t>
  </si>
  <si>
    <t>Current source line evidence: Data/Scripts/Mobiles/Civilized/Vendors/Tailor.cs:L66:if (!(m_Mobile is PlayerMobile)) || Prior POST-BATCH-K evidence: CurrentFile=Data/Scripts/Mobiles/Civilized/Vendors/Tailor.cs; Line=66;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Core;DirectReference;Data/Scripts/Mobiles/Civilized/Vendors/Tailor.cs:L66:PlayerMobile || DependencyEvidence: Vendor Core-&gt;PlayerMobile Core;DirectReference;Data/Scripts/Mobiles/Civilized/Vendors/Tailor.cs:L66:PlayerMobile || RuntimeHookEvidence: Data/Scripts/Mobiles/Civilized/Vendors/Tailor.cs:L74:Gump:SendGump || SerializationEvidence: SerializationRegisterRows=1; Server.Mobiles.Tailor;Mobile;Serialize:L477;Deserialize:L484;Risk=UnknownUntilSaveTest</t>
  </si>
  <si>
    <t>PreviousPostAuditBatch=POST-BATCH-K; PreviousReviewRowId=PBK-2663; CouplingKind=PlayerTypeCheckOrCast; ReviewClass=DirectPlayerTypePolicyResolvedNoChange; FutureSourceBatchNeeded=No.</t>
  </si>
  <si>
    <t>RB-05575</t>
  </si>
  <si>
    <t>P10-F05575</t>
  </si>
  <si>
    <t>Data/Scripts/Mobiles/Civilized/Vendors/Tanner.cs</t>
  </si>
  <si>
    <t>PBX-0356</t>
  </si>
  <si>
    <t>Current source line evidence: Data/Scripts/Mobiles/Civilized/Vendors/Tanner.cs:L67:if (!(m_Mobile is PlayerMobile)) || Prior POST-BATCH-K evidence: CurrentFile=Data/Scripts/Mobiles/Civilized/Vendors/Tanner.cs; Line=67;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Core;DirectReference;Data/Scripts/Mobiles/Civilized/Vendors/Tanner.cs:L67:PlayerMobile || DependencyEvidence: Vendor Core-&gt;PlayerMobile Core;DirectReference;Data/Scripts/Mobiles/Civilized/Vendors/Tanner.cs:L67:PlayerMobile || RuntimeHookEvidence: Data/Scripts/Mobiles/Civilized/Vendors/Tanner.cs:L75:Gump:SendGump || SerializationEvidence: SerializationRegisterRows=1; Server.Mobiles.Tanner;Mobile;Serialize:L458;Deserialize:L465;Risk=UnknownUntilSaveTest</t>
  </si>
  <si>
    <t>PreviousPostAuditBatch=POST-BATCH-K; PreviousReviewRowId=PBK-2664; CouplingKind=PlayerTypeCheckOrCast; ReviewClass=DirectPlayerTypePolicyResolvedNoChange; FutureSourceBatchNeeded=No.</t>
  </si>
  <si>
    <t>RB-05576</t>
  </si>
  <si>
    <t>P10-F05576</t>
  </si>
  <si>
    <t>PBX-0357</t>
  </si>
  <si>
    <t>Current source line evidence: Data/Scripts/Mobiles/Civilized/Vendors/TavernKeeper.cs:L61:if (!(m_Mobile is PlayerMobile)) || Prior POST-BATCH-K evidence: CurrentFile=Data/Scripts/Mobiles/Civilized/Vendors/TavernKeeper.cs; Line=61;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Core;DirectReference;Data/Scripts/Mobiles/Civilized/Vendors/TavernKeeper.cs:L61:PlayerMobile || DependencyEvidence: Vendor Core-&gt;PlayerMobile Core;DirectReference;Data/Scripts/Mobiles/Civilized/Vendors/TavernKeeper.cs:L61:PlayerMobile || RuntimeHookEvidence: Data/Scripts/Mobiles/Civilized/Vendors/TavernKeeper.cs:L69:Gump:SendGump || SerializationEvidence: SerializationRegisterRows=1; Server.Mobiles.TavernKeeper;Mobile;Serialize:L86;Deserialize:L93;Risk=UnknownUntilSaveTest</t>
  </si>
  <si>
    <t>PreviousPostAuditBatch=POST-BATCH-K; PreviousReviewRowId=PBK-2665; CouplingKind=PlayerTypeCheckOrCast; ReviewClass=DirectPlayerTypePolicyResolvedNoChange; FutureSourceBatchNeeded=No.</t>
  </si>
  <si>
    <t>RB-05577</t>
  </si>
  <si>
    <t>P10-F05577</t>
  </si>
  <si>
    <t>Data/Scripts/Mobiles/Civilized/Vendors/Thief.cs</t>
  </si>
  <si>
    <t>PBX-0358</t>
  </si>
  <si>
    <t>Current source line evidence: Data/Scripts/Mobiles/Civilized/Vendors/Thief.cs:L100:if (!(m_Mobile is PlayerMobile)) || Prior POST-BATCH-K evidence: CurrentFile=Data/Scripts/Mobiles/Civilized/Vendors/Thief.cs; Line=100;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Core;DirectReference;Data/Scripts/Mobiles/Civilized/Vendors/Thief.cs:L100:PlayerMobile || DependencyEvidence: Vendor Core-&gt;PlayerMobile Core;DirectReference;Data/Scripts/Mobiles/Civilized/Vendors/Thief.cs:L100:PlayerMobile || RuntimeHookEvidence: Data/Scripts/Mobiles/Civilized/Vendors/Thief.cs:L108:Gump:SendGump || SerializationEvidence: SerializationRegisterRows=1; Server.Mobiles.Thief;Mobile;Serialize:L253;Deserialize:L260;Risk=UnknownUntilSaveTest</t>
  </si>
  <si>
    <t>PreviousPostAuditBatch=POST-BATCH-K; PreviousReviewRowId=PBK-2666; CouplingKind=PlayerTypeCheckOrCast; ReviewClass=DirectPlayerTypePolicyResolvedNoChange; FutureSourceBatchNeeded=No.</t>
  </si>
  <si>
    <t>RB-05578</t>
  </si>
  <si>
    <t>P10-F05578</t>
  </si>
  <si>
    <t>PBX-0359</t>
  </si>
  <si>
    <t>Current source line evidence: Data/Scripts/Mobiles/Civilized/Vendors/Undertaker.cs:L83:if (!(m_Mobile is PlayerMobile)) || Prior POST-BATCH-K evidence: CurrentFile=Data/Scripts/Mobiles/Civilized/Vendors/Undertaker.cs; Line=83;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Core;DirectReference;Data/Scripts/Mobiles/Civilized/Vendors/Undertaker.cs:L83:PlayerMobile || DependencyEvidence: Vendor Core-&gt;PlayerMobile Core;DirectReference;Data/Scripts/Mobiles/Civilized/Vendors/Undertaker.cs:L83:PlayerMobile || RuntimeHookEvidence: Data/Scripts/Mobiles/Civilized/Vendors/Undertaker.cs:L91:Gump:SendGump || SerializationEvidence: SerializationRegisterRows=1; Server.Mobiles.Undertaker;Mobile;Serialize:L108;Deserialize:L114;Risk=UnknownUntilSaveTest</t>
  </si>
  <si>
    <t>PreviousPostAuditBatch=POST-BATCH-K; PreviousReviewRowId=PBK-2667; CouplingKind=PlayerTypeCheckOrCast; ReviewClass=DirectPlayerTypePolicyResolvedNoChange; FutureSourceBatchNeeded=No.</t>
  </si>
  <si>
    <t>RB-05579</t>
  </si>
  <si>
    <t>P10-F05579</t>
  </si>
  <si>
    <t>Data/Scripts/Mobiles/Civilized/Vendors/VarietyDealer.cs</t>
  </si>
  <si>
    <t>PBX-0360</t>
  </si>
  <si>
    <t>Current source line evidence: Data/Scripts/Mobiles/Civilized/Vendors/VarietyDealer.cs:L55:if (!(m_Mobile is PlayerMobile)) || Prior POST-BATCH-K evidence: CurrentFile=Data/Scripts/Mobiles/Civilized/Vendors/VarietyDealer.cs; Line=55;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Core;DirectReference;Data/Scripts/Mobiles/Civilized/Vendors/VarietyDealer.cs:L55:PlayerMobile || DependencyEvidence: Vendor Core-&gt;PlayerMobile Core;DirectReference;Data/Scripts/Mobiles/Civilized/Vendors/VarietyDealer.cs:L55:PlayerMobile || RuntimeHookEvidence: Data/Scripts/Mobiles/Civilized/Vendors/VarietyDealer.cs:L63:Gump:SendGump || SerializationEvidence: SerializationRegisterRows=1; Server.Mobiles.VarietyDealer;Mobile;Serialize:L258;Deserialize:L265;Risk=UnknownUntilSaveTest</t>
  </si>
  <si>
    <t>PreviousPostAuditBatch=POST-BATCH-K; PreviousReviewRowId=PBK-2668; CouplingKind=PlayerTypeCheckOrCast; ReviewClass=DirectPlayerTypePolicyResolvedNoChange; FutureSourceBatchNeeded=No.</t>
  </si>
  <si>
    <t>RB-05580</t>
  </si>
  <si>
    <t>P10-F05580</t>
  </si>
  <si>
    <t>PBX-0361</t>
  </si>
  <si>
    <t>Current source line evidence: Data/Scripts/Mobiles/Civilized/Vendors/Veterinarian.cs:L57:if (!(m_Mobile is PlayerMobile)) || Prior POST-BATCH-K evidence: CurrentFile=Data/Scripts/Mobiles/Civilized/Vendors/Veterinarian.cs; Line=57;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Core;DirectReference;Data/Scripts/Mobiles/Civilized/Vendors/Veterinarian.cs:L57:PlayerMobile || DependencyEvidence: Vendor Core-&gt;PlayerMobile Core;DirectReference;Data/Scripts/Mobiles/Civilized/Vendors/Veterinarian.cs:L57:PlayerMobile || RuntimeHookEvidence: Data/Scripts/Mobiles/Civilized/Vendors/Veterinarian.cs:L156:Gump:OnResponse | Data/Scripts/Mobiles/Civilized/Vendors/Veterinarian.cs:L65:Gump:SendGump | Data/Scripts/Mobiles/Civilized/Vendors/Veterinarian.cs:L100:Gump:SendGump || SerializationEvidence: SerializationRegisterRows=1; Server.Mobiles.Veterinarian;Mobile;Serialize:L210;Deserialize:L217;Risk=UnknownUntilSaveTest</t>
  </si>
  <si>
    <t>PreviousPostAuditBatch=POST-BATCH-K; PreviousReviewRowId=PBK-2669; CouplingKind=PlayerTypeCheckOrCast; ReviewClass=DirectPlayerTypePolicyResolvedNoChange; FutureSourceBatchNeeded=No.</t>
  </si>
  <si>
    <t>RB-05581</t>
  </si>
  <si>
    <t>P10-F05581</t>
  </si>
  <si>
    <t>Data/Scripts/Mobiles/Civilized/Vendors/Weaponsmith.cs</t>
  </si>
  <si>
    <t>PBX-0362</t>
  </si>
  <si>
    <t>Current source line evidence: Data/Scripts/Mobiles/Civilized/Vendors/Weaponsmith.cs:L89:if (!(m_Mobile is PlayerMobile)) || Prior POST-BATCH-K evidence: CurrentFile=Data/Scripts/Mobiles/Civilized/Vendors/Weaponsmith.cs; Line=89;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Core;DirectReference;Data/Scripts/Mobiles/Civilized/Vendors/Weaponsmith.cs:L89:PlayerMobile || DependencyEvidence: Vendor Core-&gt;PlayerMobile Core;DirectReference;Data/Scripts/Mobiles/Civilized/Vendors/Weaponsmith.cs:L89:PlayerMobile || RuntimeHookEvidence: Data/Scripts/Mobiles/Civilized/Vendors/Weaponsmith.cs:L97:Gump:SendGump || SerializationEvidence: SerializationRegisterRows=1; Server.Mobiles.Weaponsmith;Mobile;Serialize:L394;Deserialize:L401;Risk=UnknownUntilSaveTest</t>
  </si>
  <si>
    <t>PreviousPostAuditBatch=POST-BATCH-K; PreviousReviewRowId=PBK-2670; CouplingKind=PlayerTypeCheckOrCast; ReviewClass=DirectPlayerTypePolicyResolvedNoChange; FutureSourceBatchNeeded=No.</t>
  </si>
  <si>
    <t>RB-05582</t>
  </si>
  <si>
    <t>P10-F05582</t>
  </si>
  <si>
    <t>Data/Scripts/Mobiles/Civilized/Vendors/Weaver.cs</t>
  </si>
  <si>
    <t>PBX-0363</t>
  </si>
  <si>
    <t>Current source line evidence: Data/Scripts/Mobiles/Civilized/Vendors/Weaver.cs:L63:if (!(m_Mobile is PlayerMobile)) || Prior POST-BATCH-K evidence: CurrentFile=Data/Scripts/Mobiles/Civilized/Vendors/Weaver.cs; Line=63;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Core;DirectReference;Data/Scripts/Mobiles/Civilized/Vendors/Weaver.cs:L63:PlayerMobile || DependencyEvidence: Vendor Core-&gt;PlayerMobile Core;DirectReference;Data/Scripts/Mobiles/Civilized/Vendors/Weaver.cs:L63:PlayerMobile || RuntimeHookEvidence: Data/Scripts/Mobiles/Civilized/Vendors/Weaver.cs:L71:Gump:SendGump || SerializationEvidence: SerializationRegisterRows=1; Server.Mobiles.Weaver;Mobile;Serialize:L470;Deserialize:L477;Risk=UnknownUntilSaveTest</t>
  </si>
  <si>
    <t>PreviousPostAuditBatch=POST-BATCH-K; PreviousReviewRowId=PBK-2671; CouplingKind=PlayerTypeCheckOrCast; ReviewClass=DirectPlayerTypePolicyResolvedNoChange; FutureSourceBatchNeeded=No.</t>
  </si>
  <si>
    <t>RB-05583</t>
  </si>
  <si>
    <t>P10-F05583</t>
  </si>
  <si>
    <t>PBX-0364</t>
  </si>
  <si>
    <t>Current source line evidence: Data/Scripts/Mobiles/Civilized/Vendors/Witches.cs:L86:if (!(m_Mobile is PlayerMobile)) || Prior POST-BATCH-K evidence: CurrentFile=Data/Scripts/Mobiles/Civilized/Vendors/Witches.cs; Line=86; SourceLine=if (!(m_Mobile is PlayerMobile)); PathResolution=OriginalPathCurrent; MatchQuality=DependencyGraphPlayerMobileFileLine; HookKind=PlayerMobileReference; GuardList=; Access=; Command=; Handler=; DisabledEvidence=False; DependencyEvidence=Vendor Core-&gt;PlayerMobile Core;DirectReference;Data/Scripts/Mobiles/Civilized/Vendors/Witches.cs:L86:PlayerMobile || DependencyEvidence: Vendor Core-&gt;PlayerMobile Core;DirectReference;Data/Scripts/Mobiles/Civilized/Vendors/Witches.cs:L86:PlayerMobile || RuntimeHookEvidence: Data/Scripts/Mobiles/Civilized/Vendors/Witches.cs:L94:Gump:SendGump || SerializationEvidence: SerializationRegisterRows=1; Server.Mobiles.Witches;Mobile;Serialize:L111;Deserialize:L117;Risk=UnknownUntilSaveTest</t>
  </si>
  <si>
    <t>PreviousPostAuditBatch=POST-BATCH-K; PreviousReviewRowId=PBK-2672; CouplingKind=PlayerTypeCheckOrCast; ReviewClass=DirectPlayerTypePolicyResolvedNoChange; FutureSourceBatchNeeded=No.</t>
  </si>
  <si>
    <t>RB-05584</t>
  </si>
  <si>
    <t>P10-F05584</t>
  </si>
  <si>
    <t>PBX-0365</t>
  </si>
  <si>
    <t>PreviousPostAuditBatch=POST-BATCH-K; PreviousReviewRowId=PBK-2673; CouplingKind=PlayerTypeCheckOrCast; ReviewClass=LineDriftContextPolicyResolvedNoChange; FutureSourceBatchNeeded=No.</t>
  </si>
  <si>
    <t>RB-05585</t>
  </si>
  <si>
    <t>P10-F05585</t>
  </si>
  <si>
    <t>PBX-0366</t>
  </si>
  <si>
    <t>Current source context evidence near queued line 9301: Data/Scripts/Custom/XMLSpawner/BaseXmlSpawner.cs:L9335:if (p is PlayerMobile) || Prior POST-BATCH-K evidence: CurrentFile=Data/Scripts/Custom/XMLSpawner/BaseXmlSpawner.cs; Line=9301; SourceLine=}; PathResolution=OriginalPathCurrent; MatchQuality=CurrentSourceLine; HookKind=PlayerMobileReference; GuardList=; Access=; Command=; Handler=; DisabledEvidence=False || DependencyEvidence: XMLSpawner-&gt;PlayerMobile Core;DirectReference;Data/Scripts/Custom/XMLSpawner/BaseXmlSpawner.cs:L9335:PlayerMobile || RuntimeHookEvidence: Data/Scripts/Custom/XMLSpawner/BaseXmlSpawner.cs:L64:Initialize:Initialize | Data/Scripts/Custom/XMLSpawner/BaseXmlSpawner.cs:L867:Timer:CustomTimerSubclass | Data/Scripts/Custom/XMLSpawner/BaseXmlSpawner.cs:L11308:Gump:SendGump || SerializationEvidence: SerializationRegisterRows=1; Server.Mobiles.KeywordTag;Spawner;Serialize:L813;Deserialize:L835;Risk=UnknownUntilSaveTest</t>
  </si>
  <si>
    <t>PreviousPostAuditBatch=POST-BATCH-K; PreviousReviewRowId=PBK-2674; CouplingKind=PlayerTypeCheckOrCast; ReviewClass=LineDriftContextPolicyResolvedNoChange; FutureSourceBatchNeeded=No.</t>
  </si>
  <si>
    <t>RB-05586</t>
  </si>
  <si>
    <t>P10-F05586</t>
  </si>
  <si>
    <t>PBX-0367</t>
  </si>
  <si>
    <t>Current source line evidence: Data/Scripts/Custom/XMLSpawner/XmlAttachments/XmlAddFame.cs:L58:if (AttachedTo is PlayerMobile) || Prior POST-BATCH-K evidence: CurrentFile=Data/Scripts/Custom/XMLSpawner/XmlAttachments/XmlAddFame.cs; Line=58; SourceLine=if (AttachedTo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Core;DirectReference;Data/Scripts/Custom/XMLSpawner/XmlAttachments/XmlAddFame.cs:L58:PlayerMobile || DependencyEvidence: XMLSpawner-&gt;PlayerMobile Core;DirectReference;Data/Scripts/Custom/XMLSpawner/XmlAttachments/XmlAddFame.cs:L58:PlayerMobile || RuntimeHookEvidence: Data/Scripts/Custom/XMLSpawner/XmlAttachments/XmlAddFame.cs:L66:Timer:Timer.DelayCall || SerializationEvidence: SerializationRegisterRows=1; Server.Engines.XmlSpawner2.XmlAddFame;Spawner;Serialize:L35;Deserialize:L44;Risk=UnknownUntilSaveTest</t>
  </si>
  <si>
    <t>PreviousPostAuditBatch=POST-BATCH-K; PreviousReviewRowId=PBK-2675; CouplingKind=PlayerTypeCheckOrCast; ReviewClass=DirectPlayerTypePolicyResolvedNoChange; FutureSourceBatchNeeded=No.</t>
  </si>
  <si>
    <t>RB-05587</t>
  </si>
  <si>
    <t>P10-F05587</t>
  </si>
  <si>
    <t>PBX-0368</t>
  </si>
  <si>
    <t>Current source line evidence: Data/Scripts/Custom/XMLSpawner/XmlAttachments/XmlAddKarma.cs:L58:if (AttachedTo is PlayerMobile) || Prior POST-BATCH-K evidence: CurrentFile=Data/Scripts/Custom/XMLSpawner/XmlAttachments/XmlAddKarma.cs; Line=58; SourceLine=if (AttachedTo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Core;DirectReference;Data/Scripts/Custom/XMLSpawner/XmlAttachments/XmlAddKarma.cs:L58:PlayerMobile || DependencyEvidence: XMLSpawner-&gt;PlayerMobile Core;DirectReference;Data/Scripts/Custom/XMLSpawner/XmlAttachments/XmlAddKarma.cs:L58:PlayerMobile || RuntimeHookEvidence: Data/Scripts/Custom/XMLSpawner/XmlAttachments/XmlAddKarma.cs:L66:Timer:Timer.DelayCall || SerializationEvidence: SerializationRegisterRows=1; Server.Engines.XmlSpawner2.XmlAddKarma;Spawner;Serialize:L35;Deserialize:L44;Risk=UnknownUntilSaveTest</t>
  </si>
  <si>
    <t>PreviousPostAuditBatch=POST-BATCH-K; PreviousReviewRowId=PBK-2676; CouplingKind=PlayerTypeCheckOrCast; ReviewClass=DirectPlayerTypePolicyResolvedNoChange; FutureSourceBatchNeeded=No.</t>
  </si>
  <si>
    <t>RB-05588</t>
  </si>
  <si>
    <t>P10-F05588</t>
  </si>
  <si>
    <t>PBX-0369</t>
  </si>
  <si>
    <t>Current source line evidence: Data/Scripts/Custom/XMLSpawner/XmlAttachments/XmlAddTithing.cs:L58:if (AttachedTo is PlayerMobile) || Prior POST-BATCH-K evidence: CurrentFile=Data/Scripts/Custom/XMLSpawner/XmlAttachments/XmlAddTithing.cs; Line=58; SourceLine=if (AttachedTo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Core;DirectReference;Data/Scripts/Custom/XMLSpawner/XmlAttachments/XmlAddTithing.cs:L58:PlayerMobile || DependencyEvidence: XMLSpawner-&gt;PlayerMobile Core;DirectReference;Data/Scripts/Custom/XMLSpawner/XmlAttachments/XmlAddTithing.cs:L58:PlayerMobile || RuntimeHookEvidence: Data/Scripts/Custom/XMLSpawner/XmlAttachments/XmlAddTithing.cs:L66:Timer:Timer.DelayCall || SerializationEvidence: SerializationRegisterRows=1; Server.Engines.XmlSpawner2.XmlAddTithing;Spawner;Serialize:L35;Deserialize:L44;Risk=UnknownUntilSaveTest</t>
  </si>
  <si>
    <t>PreviousPostAuditBatch=POST-BATCH-K; PreviousReviewRowId=PBK-2677; CouplingKind=PlayerTypeCheckOrCast; ReviewClass=DirectPlayerTypePolicyResolvedNoChange; FutureSourceBatchNeeded=No.</t>
  </si>
  <si>
    <t>RB-05589</t>
  </si>
  <si>
    <t>P10-F05589</t>
  </si>
  <si>
    <t>PBX-0370</t>
  </si>
  <si>
    <t>Current source line evidence: Data/Scripts/Custom/XMLSpawner/XmlAttachments/XmlAddVirtue.cs:L67:if (AttachedTo is PlayerMobile) || Prior POST-BATCH-K evidence: CurrentFile=Data/Scripts/Custom/XMLSpawner/XmlAttachments/XmlAddVirtue.cs; Line=67; SourceLine=if (AttachedTo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Core;DirectReference;Data/Scripts/Custom/XMLSpawner/XmlAttachments/XmlAddVirtue.cs:L67:PlayerMobile || DependencyEvidence: XMLSpawner-&gt;PlayerMobile Core;DirectReference;Data/Scripts/Custom/XMLSpawner/XmlAttachments/XmlAddVirtue.cs:L67:PlayerMobile || RuntimeHookEvidence: Data/Scripts/Custom/XMLSpawner/XmlAttachments/XmlAddVirtue.cs:L99:Timer:Timer.DelayCall || SerializationEvidence: SerializationRegisterRows=1; Server.Engines.XmlSpawner2.XmlAddVirtue;Spawner;Serialize:L42;Deserialize:L52;Risk=UnknownUntilSaveTest</t>
  </si>
  <si>
    <t>PreviousPostAuditBatch=POST-BATCH-K; PreviousReviewRowId=PBK-2678; CouplingKind=PlayerTypeCheckOrCast; ReviewClass=DirectPlayerTypePolicyResolvedNoChange; FutureSourceBatchNeeded=No.</t>
  </si>
  <si>
    <t>RB-05590</t>
  </si>
  <si>
    <t>P10-F05590</t>
  </si>
  <si>
    <t>PBX-0371</t>
  </si>
  <si>
    <t>Current source line evidence: Data/Scripts/Custom/XMLSpawner/XmlAttachments/XmlDialog.cs:L173:((m is PlayerMobile &amp;&amp; (m.AccessLevel &lt;= TriggerAccessLevel))) || Prior POST-BATCH-K evidence: CurrentFile=Data/Scripts/Custom/XMLSpawner/XmlAttachments/XmlDialog.cs; Line=173; SourceLine=((m is PlayerMobile &amp;&amp; (m.AccessLevel &lt;= TriggerAccessLevel))); PathResolution=OriginalPathCurrent; MatchQuality=DependencyGraphPlayerMobileFileLine; HookKind=PlayerMobileReference; GuardList=; Access=; Command=; Handler=; DisabledEvidence=False; DependencyEvidence=XMLSpawner-&gt;PlayerMobile Core;DirectReference;Data/Scripts/Custom/XMLSpawner/XmlAttachments/XmlDialog.cs:L173:PlayerMobile || DependencyEvidence: XMLSpawner-&gt;PlayerMobile Core;DirectReference;Data/Scripts/Custom/XMLSpawner/XmlAttachments/XmlDialog.cs:L173:PlayerMobile || RuntimeHookEvidence: Data/Scripts/Custom/XMLSpawner/XmlAttachments/XmlDialog.cs:L2040:Command:CommandSystem.Register | Data/Scripts/Custom/XMLSpawner/XmlAttachments/XmlDialog.cs:L2045:Command:CommandSystem.Register | Data/Scripts/Custom/XMLSpawner/XmlAttachments/XmlDialog.cs:L1364:Timer:Timer.DelayCall || SerializationEvidence: SerializationRegisterRows=1; Server.Engines.XmlSpawner2.XmlDialog;Spawner;Serialize:L2052;Deserialize:L2183;Risk=UnknownUntilSaveTest</t>
  </si>
  <si>
    <t>PreviousPostAuditBatch=POST-BATCH-K; PreviousReviewRowId=PBK-2679; CouplingKind=PlayerMobilePropertyStateAccess; ReviewClass=PlayerStateAccessPolicyResolvedNoChange; FutureSourceBatchNeeded=No.</t>
  </si>
  <si>
    <t>RB-05591</t>
  </si>
  <si>
    <t>P10-F05591</t>
  </si>
  <si>
    <t>PBX-0372</t>
  </si>
  <si>
    <t>Current source line evidence: Data/Scripts/Custom/XMLSpawner/XmlAttachments/XmlMinionStrike.cs:L124:if (attacker is PlayerMobile) || Prior POST-BATCH-K evidence: CurrentFile=Data/Scripts/Custom/XMLSpawner/XmlAttachments/XmlMinionStrike.cs; Line=124; SourceLine=if (attacker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Core;DirectReference;Data/Scripts/Custom/XMLSpawner/XmlAttachments/XmlMinionStrike.cs:L124:PlayerMobile || DependencyEvidence: XMLSpawner-&gt;PlayerMobile Core;DirectReference;Data/Scripts/Custom/XMLSpawner/XmlAttachments/XmlMinionStrike.cs:L124:PlayerMobile || RuntimeHookEvidence: No runtime-hook-map row matched this file. || SerializationEvidence: SerializationRegisterRows=1; Server.Engines.XmlSpawner2.XmlMinionStrike;Spawner;Serialize:L170;Deserialize:L185;Risk=UnknownUntilSaveTest</t>
  </si>
  <si>
    <t>PreviousPostAuditBatch=POST-BATCH-K; PreviousReviewRowId=PBK-2680; CouplingKind=PvPRegionCombatPolicyCoupling; ReviewClass=PvPRegionCombatPolicyResolvedNoChange; FutureSourceBatchNeeded=No.</t>
  </si>
  <si>
    <t>RB-05592</t>
  </si>
  <si>
    <t>P10-F05592</t>
  </si>
  <si>
    <t>PBX-0373</t>
  </si>
  <si>
    <t>Current source context evidence near queued line 930: Data/Scripts/Custom/XMLSpawner/XmlAttachments/XmlPoints.cs:L950:r.Killer is PlayerMobile | Data/Scripts/Custom/XMLSpawner/XmlAttachments/XmlPoints.cs:L951:&amp;&amp; ((PlayerMobile)r.Killer).FactionPlayerState != null | Data/Scripts/Custom/XMLSpawner/XmlAttachments/XmlPoints.cs:L954:(PlayerMobile)r.Killer || Prior POST-BATCH-K evidence: CurrentFile=Data/Scripts/Custom/XMLSpawner/XmlAttachments/XmlPoints.cs; Line=930; SourceLine=XmlPoints a = r.PointsAttachment;; PathResolution=OriginalPathCurrent; MatchQuality=CurrentSourceLine; HookKind=PlayerMobileReference; GuardList=; Access=; Command=; Handler=; DisabledEvidence=False || DependencyEvidence: XMLSpawner-&gt;PlayerMobile Core;DirectReference;Data/Scripts/Custom/XMLSpawner/XmlAttachments/XmlPoints.cs:L942:PlayerMobile || RuntimeHookEvidence: Data/Scripts/Custom/XMLSpawner/XmlAttachments/XmlPoints.cs:L784:Command:CommandSystem.Register | Data/Scripts/Custom/XMLSpawner/XmlAttachments/XmlPoints.cs:L789:Command:CommandSystem.Register | Data/Scripts/Custom/XMLSpawner/XmlAttachments/XmlPoints.cs:L794:Command:CommandSystem.Register || SerializationEvidence: SerializationRegisterRows=1; Server.Engines.XmlSpawner2.XmlPoints;Spawner;Serialize:L1944;Deserialize:L2023;Risk=UnknownUntilSaveTest</t>
  </si>
  <si>
    <t>PreviousPostAuditBatch=POST-BATCH-K; PreviousReviewRowId=PBK-2681; CouplingKind=PvPRegionCombatPolicyCoupling; ReviewClass=PvPRegionCombatPolicyResolvedNoChange; FutureSourceBatchNeeded=No.</t>
  </si>
  <si>
    <t>RB-05593</t>
  </si>
  <si>
    <t>P10-F05593</t>
  </si>
  <si>
    <t>PBX-0374</t>
  </si>
  <si>
    <t>Current source line evidence: Data/Scripts/Custom/XMLSpawner/XmlAttachments/XmlUse.cs:L376:&amp;&amp; mob is PlayerMobile || Prior POST-BATCH-K evidence: CurrentFile=Data/Scripts/Custom/XMLSpawner/XmlAttachments/XmlUse.cs; Line=376; SourceLine=&amp;&amp; mob is PlayerMobile; PathResolution=OriginalPathCurrent; MatchQuality=DependencyGraphPlayerMobileFileLine; HookKind=PlayerMobileReference; GuardList=; Access=; Command=; Handler=; DisabledEvidence=False; DependencyEvidence=XMLSpawner-&gt;PlayerMobile Core;DirectReference;Data/Scripts/Custom/XMLSpawner/XmlAttachments/XmlUse.cs:L376:PlayerMobile || DependencyEvidence: XMLSpawner-&gt;PlayerMobile Core;DirectReference;Data/Scripts/Custom/XMLSpawner/XmlAttachments/XmlUse.cs:L376:PlayerMobile || RuntimeHookEvidence: No runtime-hook-map row matched this file. || SerializationEvidence: SerializationRegisterRows=1; Server.Engines.XmlSpawner2.XmlUse;Spawner;Serialize:L169;Deserialize:L198;Risk=UnknownUntilSaveTest</t>
  </si>
  <si>
    <t>PreviousPostAuditBatch=POST-BATCH-K; PreviousReviewRowId=PBK-2682; CouplingKind=PlayerTypeCheckOrCast; ReviewClass=DirectPlayerTypePolicyResolvedNoChange; FutureSourceBatchNeeded=No.</t>
  </si>
  <si>
    <t>RB-05594</t>
  </si>
  <si>
    <t>P10-F05594</t>
  </si>
  <si>
    <t>Data/Scripts/Custom/XMLSpawner/XmlItems/XmlQuestMaker.cs</t>
  </si>
  <si>
    <t>PBX-0375</t>
  </si>
  <si>
    <t>Current source line evidence: Data/Scripts/Custom/XMLSpawner/XmlItems/XmlQuestMaker.cs:L54:if (!(from is PlayerMobile)) || Prior POST-BATCH-K evidence: CurrentFile=Data/Scripts/Custom/XMLSpawner/XmlItems/XmlQuestMaker.cs; Line=54; SourceLine=if (!(from is PlayerMobile)); PathResolution=OriginalPathCurrent; MatchQuality=DependencyGraphPlayerMobileFileLine; HookKind=PlayerMobileReference; GuardList=; Access=; Command=; Handler=; DisabledEvidence=False; DependencyEvidence=XMLSpawner-&gt;PlayerMobile Core;DirectReference;Data/Scripts/Custom/XMLSpawner/XmlItems/XmlQuestMaker.cs:L54:PlayerMobile || DependencyEvidence: XMLSpawner-&gt;PlayerMobile Core;DirectReference;Data/Scripts/Custom/XMLSpawner/XmlItems/XmlQuestMaker.cs:L54:PlayerMobile || RuntimeHookEvidence: No runtime-hook-map row matched this file. || SerializationEvidence: SerializationRegisterRows=1; Server.Items.XmlQuestMaker;Spawner;Serialize:L37;Deserialize:L43;Risk=UnknownUntilSaveTest</t>
  </si>
  <si>
    <t>PreviousPostAuditBatch=POST-BATCH-K; PreviousReviewRowId=PBK-2683; CouplingKind=PlayerTypeCheckOrCast; ReviewClass=DirectPlayerTypePolicyResolvedNoChange; FutureSourceBatchNeeded=No.</t>
  </si>
  <si>
    <t>RB-05595</t>
  </si>
  <si>
    <t>P10-F05595</t>
  </si>
  <si>
    <t>Data/Scripts/Custom/XMLSpawner/XmlQuest/Gumps/XmlPlayerQuestGump.cs</t>
  </si>
  <si>
    <t>PBX-0376</t>
  </si>
  <si>
    <t>Current source line evidence: Data/Scripts/Custom/XMLSpawner/XmlQuest/Gumps/XmlPlayerQuestGump.cs:L19:private PlayerMobile m_From; || Prior POST-BATCH-K evidence: CurrentFile=Data/Scripts/Custom/XMLSpawner/XmlQuest/Gumps/XmlPlayerQuestGump.cs; Line=19; SourceLine=private PlayerMobile m_From;; PathResolution=OriginalPathCurrent; MatchQuality=DependencyGraphPlayerMobileFileLine; HookKind=PlayerMobileReference; GuardList=; Access=; Command=; Handler=; DisabledEvidence=False; DependencyEvidence=XMLSpawner-&gt;PlayerMobile Core;DirectReference;Data/Scripts/Custom/XMLSpawner/XmlQuest/Gumps/XmlPlayerQuestGump.cs:L19:PlayerMobile || DependencyEvidence: XMLSpawner-&gt;PlayerMobile Core;DirectReference;Data/Scripts/Custom/XMLSpawner/XmlQuest/Gumps/XmlPlayerQuestGump.cs:L19:PlayerMobile || RuntimeHookEvidence: Data/Scripts/Custom/XMLSpawner/XmlQuest/Gumps/XmlPlayerQuestGump.cs:L22:Gump:OnResponse || SerializationEvidence: No serialization-register rows for file.</t>
  </si>
  <si>
    <t>PreviousPostAuditBatch=POST-BATCH-K; PreviousReviewRowId=PBK-2684; CouplingKind=StoredPlayerMobileFieldOrParameter; ReviewClass=StoredPlayerMobileContextReviewedNoChange; FutureSourceBatchNeeded=No.</t>
  </si>
  <si>
    <t>RB-05596</t>
  </si>
  <si>
    <t>P10-F05596</t>
  </si>
  <si>
    <t>Data/Scripts/Custom/XMLSpawner/XmlQuest/Gumps/XmlQuestBookGump.cs</t>
  </si>
  <si>
    <t>PBX-0377</t>
  </si>
  <si>
    <t>Current source line evidence: Data/Scripts/Custom/XMLSpawner/XmlQuest/Gumps/XmlQuestBookGump.cs:L18:private PlayerMobile m_From; || Prior POST-BATCH-K evidence: CurrentFile=Data/Scripts/Custom/XMLSpawner/XmlQuest/Gumps/XmlQuestBookGump.cs; Line=18; SourceLine=private PlayerMobile m_From;; PathResolution=OriginalPathCurrent; MatchQuality=DependencyGraphPlayerMobileFileLine; HookKind=PlayerMobileReference; GuardList=; Access=; Command=; Handler=; DisabledEvidence=False; DependencyEvidence=XMLSpawner-&gt;PlayerMobile Core;DirectReference;Data/Scripts/Custom/XMLSpawner/XmlQuest/Gumps/XmlQuestBookGump.cs:L18:PlayerMobile || DependencyEvidence: XMLSpawner-&gt;PlayerMobile Core;DirectReference;Data/Scripts/Custom/XMLSpawner/XmlQuest/Gumps/XmlQuestBookGump.cs:L18:PlayerMobile || RuntimeHookEvidence: Data/Scripts/Custom/XMLSpawner/XmlQuest/Gumps/XmlQuestBookGump.cs:L65:Gump:OnResponse | Data/Scripts/Custom/XMLSpawner/XmlQuest/Gumps/XmlQuestBookGump.cs:L80:Gump:SendGump | Data/Scripts/Custom/XMLSpawner/XmlQuest/Gumps/XmlQuestBookGump.cs:L87:Gump:SendGump || SerializationEvidence: No serialization-register rows for file.</t>
  </si>
  <si>
    <t>PreviousPostAuditBatch=POST-BATCH-K; PreviousReviewRowId=PBK-2685; CouplingKind=StoredPlayerMobileFieldOrParameter; ReviewClass=StoredPlayerMobileContextReviewedNoChange; FutureSourceBatchNeeded=No.</t>
  </si>
  <si>
    <t>RB-05597</t>
  </si>
  <si>
    <t>P10-F05597</t>
  </si>
  <si>
    <t>Data/Scripts/Custom/XMLSpawner/XmlQuest/XmlQuest.cs</t>
  </si>
  <si>
    <t>PBX-0378</t>
  </si>
  <si>
    <t>Current source line evidence: Data/Scripts/Custom/XMLSpawner/XmlQuest/XmlQuest.cs:L73:PlayerMobile Owner { get; set; } || Prior POST-BATCH-K evidence: CurrentFile=Data/Scripts/Custom/XMLSpawner/XmlQuest/XmlQuest.cs; Line=73; SourceLine=PlayerMobile Owner { get; set; }; PathResolution=OriginalPathCurrent; MatchQuality=DependencyGraphPlayerMobileFileLine; HookKind=PlayerMobileReference; GuardList=; Access=; Command=; Handler=; DisabledEvidence=False; DependencyEvidence=XMLSpawner-&gt;PlayerMobile Core;DirectReference;Data/Scripts/Custom/XMLSpawner/XmlQuest/XmlQuest.cs:L73:PlayerMobile || DependencyEvidence: XMLSpawner-&gt;PlayerMobile Core;DirectReference;Data/Scripts/Custom/XMLSpawner/XmlQuest/XmlQuest.cs:L73:PlayerMobile || RuntimeHookEvidence: Data/Scripts/Custom/XMLSpawner/XmlQuest/XmlQuest.cs:L172:Gump:SendGump | Data/Scripts/Custom/XMLSpawner/XmlQuest/XmlQuest.cs:L185:Gump:SendGump | Data/Scripts/Custom/XMLSpawner/XmlQuest/XmlQuest.cs:L199:Gump:SendGump || SerializationEvidence: No serialization-register rows for file.</t>
  </si>
  <si>
    <t>PreviousPostAuditBatch=POST-BATCH-K; PreviousReviewRowId=PBK-2686; CouplingKind=StoredPlayerMobileFieldOrParameter; ReviewClass=StoredPlayerMobileContextReviewedNoChange; FutureSourceBatchNeeded=No.</t>
  </si>
  <si>
    <t>RB-05598</t>
  </si>
  <si>
    <t>P10-F05598</t>
  </si>
  <si>
    <t>Data/Scripts/Custom/XMLSpawner/XmlQuest/XmlQuestBook.cs</t>
  </si>
  <si>
    <t>PBX-0379</t>
  </si>
  <si>
    <t>Current source line evidence: Data/Scripts/Custom/XMLSpawner/XmlQuest/XmlQuestBook.cs:L55:private PlayerMobile m_Owner; || Prior POST-BATCH-K evidence: CurrentFile=Data/Scripts/Custom/XMLSpawner/XmlQuest/XmlQuestBook.cs; Line=55; SourceLine=private PlayerMobile m_Owner;; PathResolution=OriginalPathCurrent; MatchQuality=DependencyGraphPlayerMobileFileLine; HookKind=PlayerMobileReference; GuardList=; Access=; Command=; Handler=; DisabledEvidence=False; DependencyEvidence=XMLSpawner-&gt;PlayerMobile Core;DirectReference;Data/Scripts/Custom/XMLSpawner/XmlQuest/XmlQuestBook.cs:L55:PlayerMobile || DependencyEvidence: XMLSpawner-&gt;PlayerMobile Core;DirectReference;Data/Scripts/Custom/XMLSpawner/XmlQuest/XmlQuestBook.cs:L55:PlayerMobile || RuntimeHookEvidence: Data/Scripts/Custom/XMLSpawner/XmlQuest/XmlQuestBook.cs:L124:Gump:SendGump | Data/Scripts/Custom/XMLSpawner/XmlQuest/XmlQuestBook.cs:L245:Gump:SendGump || SerializationEvidence: SerializationRegisterRows=2; Server.Items.PlayerQuestBoard;Spawner;Serialize:L39;Deserialize:L45;Risk=UnknownUntilSaveTest | Server.Items.XmlQuestBook;Spawner;Serialize:L254;Deserialize:L263;Risk=UnknownUntilSaveTest</t>
  </si>
  <si>
    <t>PreviousPostAuditBatch=POST-BATCH-K; PreviousReviewRowId=PBK-2687; CouplingKind=StoredPlayerMobileFieldOrParameter; ReviewClass=StoredPlayerMobileContextReviewedNoChange; FutureSourceBatchNeeded=No.</t>
  </si>
  <si>
    <t>RB-05599</t>
  </si>
  <si>
    <t>P10-F05599</t>
  </si>
  <si>
    <t>PBX-0380</t>
  </si>
  <si>
    <t>Current source line evidence: Data/Scripts/Custom/XMLSpawner/XmlQuest/XmlQuestHolder.cs:L60:private PlayerMobile m_Owner; || Prior POST-BATCH-K evidence: CurrentFile=Data/Scripts/Custom/XMLSpawner/XmlQuest/XmlQuestHolder.cs; Line=60; SourceLine=private PlayerMobile m_Owner;; PathResolution=OriginalPathCurrent; MatchQuality=DependencyGraphPlayerMobileFileLine; HookKind=PlayerMobileReference; GuardList=; Access=; Command=; Handler=; DisabledEvidence=False; DependencyEvidence=XMLSpawner-&gt;PlayerMobile Core;DirectReference;Data/Scripts/Custom/XMLSpawner/XmlQuest/XmlQuestHolder.cs:L60:PlayerMobile || DependencyEvidence: XMLSpawner-&gt;PlayerMobile Core;DirectReference;Data/Scripts/Custom/XMLSpawner/XmlQuest/XmlQuestHolder.cs:L60:PlayerMobile || RuntimeHookEvidence: Data/Scripts/Custom/XMLSpawner/XmlQuest/XmlQuestHolder.cs:L263:Initialize:Initialize | Data/Scripts/Custom/XMLSpawner/XmlQuest/XmlQuestHolder.cs:L1611:Timer:Timer.DelayCall | Data/Scripts/Custom/XMLSpawner/XmlQuest/XmlQuestHolder.cs:L444:Gump:SendGump || SerializationEvidence: SerializationRegisterRows=1; Server.Items.XmlQuestHolder;Spawner;Serialize:L95;Deserialize:L164;Risk=UnknownUntilSaveTest</t>
  </si>
  <si>
    <t>PreviousPostAuditBatch=POST-BATCH-K; PreviousReviewRowId=PBK-2688; CouplingKind=StoredPlayerMobileFieldOrParameter; ReviewClass=StoredPlayerMobileContextReviewedNoChange; FutureSourceBatchNeeded=No.</t>
  </si>
  <si>
    <t>RB-05600</t>
  </si>
  <si>
    <t>P10-F05600</t>
  </si>
  <si>
    <t>PBX-0381</t>
  </si>
  <si>
    <t>Current source line evidence: Data/Scripts/Custom/XMLSpawner/XmlQuest/XmlQuestLeaders.cs:L238:r.Quester is PlayerMobile || Prior POST-BATCH-K evidence: CurrentFile=Data/Scripts/Custom/XMLSpawner/XmlQuest/XmlQuestLeaders.cs; Line=238; SourceLine=r.Quester is PlayerMobile; PathResolution=OriginalPathCurrent; MatchQuality=DependencyGraphPlayerMobileFileLine; HookKind=PlayerMobileReference; GuardList=; Access=; Command=; Handler=; DisabledEvidence=False; DependencyEvidence=XMLSpawner-&gt;PlayerMobile Core;DirectReference;Data/Scripts/Custom/XMLSpawner/XmlQuest/XmlQuestLeaders.cs:L238:PlayerMobile || DependencyEvidence: XMLSpawner-&gt;PlayerMobile Core;DirectReference;Data/Scripts/Custom/XMLSpawner/XmlQuest/XmlQuestLeaders.cs:L238:PlayerMobile || RuntimeHookEvidence: Data/Scripts/Custom/XMLSpawner/XmlQuest/XmlQuestLeaders.cs:L158:Initialize:Initialize | Data/Scripts/Custom/XMLSpawner/XmlQuest/XmlQuestLeaders.cs:L160:Command:CommandSystem.Register | Data/Scripts/Custom/XMLSpawner/XmlQuest/XmlQuestLeaders.cs:L165:Command:CommandSystem.Register || SerializationEvidence: SerializationRegisterRows=1; Unknown;Spawner;Serialize:L;Deserialize:L;Risk=UnknownUntilSaveTest</t>
  </si>
  <si>
    <t>PreviousPostAuditBatch=POST-BATCH-K; PreviousReviewRowId=PBK-2689; CouplingKind=PlayerTypeCheckOrCast; ReviewClass=DirectPlayerTypePolicyResolvedNoChange; FutureSourceBatchNeeded=No.</t>
  </si>
  <si>
    <t>RB-05601</t>
  </si>
  <si>
    <t>P10-F05601</t>
  </si>
  <si>
    <t>PBX-0382</t>
  </si>
  <si>
    <t>Current source line evidence: Data/Scripts/Custom/XMLSpawner/XmlQuest/XmlQuestToken.cs:L224:private PlayerMobile m_Owner; || Prior POST-BATCH-K evidence: CurrentFile=Data/Scripts/Custom/XMLSpawner/XmlQuest/XmlQuestToken.cs; Line=224; SourceLine=private PlayerMobile m_Owner;; PathResolution=OriginalPathCurrent; MatchQuality=DependencyGraphPlayerMobileFileLine; HookKind=PlayerMobileReference; GuardList=; Access=; Command=; Handler=; DisabledEvidence=False; DependencyEvidence=XMLSpawner-&gt;PlayerMobile Core;DirectReference;Data/Scripts/Custom/XMLSpawner/XmlQuest/XmlQuestToken.cs:L224:PlayerMobile || DependencyEvidence: XMLSpawner-&gt;PlayerMobile Core;DirectReference;Data/Scripts/Custom/XMLSpawner/XmlQuest/XmlQuestToken.cs:L224:PlayerMobile || RuntimeHookEvidence: Data/Scripts/Custom/XMLSpawner/XmlQuest/XmlQuestToken.cs:L464:Initialize:Initialize | Data/Scripts/Custom/XMLSpawner/XmlQuest/XmlQuestToken.cs:L1643:Timer:Timer.DelayCall | Data/Scripts/Custom/XMLSpawner/XmlQuest/XmlQuestToken.cs:L494:Gump:SendGump || SerializationEvidence: SerializationRegisterRows=2; Server.Items.XmlQuestToken;Spawner;Serialize:L257;Deserialize:L338;Risk=UnknownUntilSaveTest | Server.Items.XmlQuestTokenPack;Spawner;Serialize:L175;Deserialize:L182;Risk=UnknownUntilSaveTest</t>
  </si>
  <si>
    <t>PreviousPostAuditBatch=POST-BATCH-K; PreviousReviewRowId=PBK-2690; CouplingKind=StoredPlayerMobileFieldOrParameter; ReviewClass=StoredPlayerMobileContextReviewedNoChange; FutureSourceBatchNeeded=No.</t>
  </si>
  <si>
    <t>RB-05602</t>
  </si>
  <si>
    <t>P10-F05602</t>
  </si>
  <si>
    <t>Data/Scripts/Custom/XMLSpawner/XmlSpawnerSkillCheck.cs</t>
  </si>
  <si>
    <t>PBX-0383</t>
  </si>
  <si>
    <t>Current source line evidence: Data/Scripts/Custom/XMLSpawner/XmlSpawnerSkillCheck.cs:L268:if (!(m is PlayerMobile) || skill == null) || Prior POST-BATCH-K evidence: CurrentFile=Data/Scripts/Custom/XMLSpawner/XmlSpawnerSkillCheck.cs; Line=268; SourceLine=if (!(m is PlayerMobile) || skill == null); PathResolution=OriginalPathCurrent; MatchQuality=DependencyGraphPlayerMobileFileLine; HookKind=PlayerMobileReference; GuardList=; Access=; Command=; Handler=; DisabledEvidence=False; DependencyEvidence=XMLSpawner-&gt;PlayerMobile Core;DirectReference;Data/Scripts/Custom/XMLSpawner/XmlSpawnerSkillCheck.cs:L268:PlayerMobile || DependencyEvidence: XMLSpawner-&gt;PlayerMobile Core;DirectReference;Data/Scripts/Custom/XMLSpawner/XmlSpawnerSkillCheck.cs:L268:PlayerMobile || RuntimeHookEvidence: No runtime-hook-map row matched this file. || SerializationEvidence: No serialization-register rows for file.</t>
  </si>
  <si>
    <t>PreviousPostAuditBatch=POST-BATCH-K; PreviousReviewRowId=PBK-2691; CouplingKind=PlayerTypeCheckOrCast; ReviewClass=DirectPlayerTypePolicyResolvedNoChange; FutureSourceBatchNeeded=No.</t>
  </si>
  <si>
    <t>RB-04190</t>
  </si>
  <si>
    <t>P10-F04190</t>
  </si>
  <si>
    <t>Data/Scripts/Custom/BoatNavigationTotem/BoatNavigationTotam.cs</t>
  </si>
  <si>
    <t>POST-BATCH-L</t>
  </si>
  <si>
    <t>PBL-0001</t>
  </si>
  <si>
    <t>No source change. Current source/register evidence resolves the generated P2 triage concern without proving a narrow mechanical defect.</t>
  </si>
  <si>
    <t>docs/codebase-audit/outputs/post-batch-l-p2-residual-backlog-review.csv</t>
  </si>
  <si>
    <t>CurrentFile=Data/Scripts/Custom/BoatNavigationTotem/BoatNavigationTotam.cs; Line=19; SourceLine=CommandSystem.Register(; PathResolution=OriginalPathCurrent; MatchQuality=CurrentSourceLine; FileExists=True; DisabledEvidence=False; ParsedCommand=bcblack; ParsedAccess=Player; ParsedHandler=bcblack_OnCommand; CommandParseQuality=ParsedCommandAccessHandler; CommandBlock=CommandSystem.Register( "bcblack", AccessLevel.Player, new CommandEventHandler(bcblack_OnCommand) );; ProjectTruth=RecordType=ProjectInclude;Included=True;Missing=False;Unincluded=False;Action=Keep | RecordType=SourceFile;Included=True;Missing=False;Unincluded=False;Action=Keep; RuntimeInventory=PrimaryRole=CommandSurface;SecondaryRoles=StartupWiring;GumpUI;WorldState;Commands=CommandSystem.Register(;Hooks=Initialize;SerializedTypes=;Gumps=OnResponse;SendGump; CommandRegister=RegisterCommand=;RegisterAccess=;RegisterHandler=;Guards=AccessGuard;BoundsGuard;MapGuard;NullGuard;StateGuard;Risk=Medium</t>
  </si>
  <si>
    <t>Pending current POST-BATCH-L commit</t>
  </si>
  <si>
    <t>2026-06-14T12:50:27.3935918-05:00</t>
  </si>
  <si>
    <t>HistoricalFile=Data/Scripts/Custom/BoatNavigationTotem/BoatNavigationTotam.cs; Risk=Runtime;Staff;Player; POST-BATCH-L is audit-only P2 residual triage. No source, project, XML/config, serialized layout, runtime file location, command name, access level, or region policy changed.</t>
  </si>
  <si>
    <t>RB-04191</t>
  </si>
  <si>
    <t>P10-F04191</t>
  </si>
  <si>
    <t>PBL-0002</t>
  </si>
  <si>
    <t>CurrentFile=Data/Scripts/Custom/BoatNavigationTotem/BoatNavigationTotam.cs; Line=24; SourceLine=CommandSystem.Register(; PathResolution=OriginalPathCurrent; MatchQuality=CurrentSourceLine; FileExists=True; DisabledEvidence=False; ParsedCommand=bcwhite; ParsedAccess=Player; ParsedHandler=bcwhite_OnCommand; CommandParseQuality=ParsedCommandAccessHandler; CommandBlock=CommandSystem.Register( "bcwhite", AccessLevel.Player, new CommandEventHandler(bcwhite_OnCommand) );; ProjectTruth=RecordType=ProjectInclude;Included=True;Missing=False;Unincluded=False;Action=Keep | RecordType=SourceFile;Included=True;Missing=False;Unincluded=False;Action=Keep; RuntimeInventory=PrimaryRole=CommandSurface;SecondaryRoles=StartupWiring;GumpUI;WorldState;Commands=CommandSystem.Register(;Hooks=Initialize;SerializedTypes=;Gumps=OnResponse;SendGump; CommandRegister=RegisterCommand=;RegisterAccess=;RegisterHandler=;Guards=AccessGuard;BoundsGuard;MapGuard;NullGuard;StateGuard;Risk=Medium</t>
  </si>
  <si>
    <t>RB-04192</t>
  </si>
  <si>
    <t>P10-F04192</t>
  </si>
  <si>
    <t>PBL-0003</t>
  </si>
  <si>
    <t>CurrentFile=Data/Scripts/Custom/BoatNavigationTotem/BoatNavigationTotam.cs; Line=29; SourceLine=CommandSystem.Register(; PathResolution=OriginalPathCurrent; MatchQuality=CurrentSourceLine; FileExists=True; DisabledEvidence=False; ParsedCommand=bctransparent; ParsedAccess=Player; ParsedHandler=bctransparent_OnCommand; CommandParseQuality=ParsedCommandAccessHandler; CommandBlock=CommandSystem.Register( "bctransparent", AccessLevel.Player, new CommandEventHandler(bctransparent_OnCommand) );; ProjectTruth=RecordType=ProjectInclude;Included=True;Missing=False;Unincluded=False;Action=Keep | RecordType=SourceFile;Included=True;Missing=False;Unincluded=False;Action=Keep; RuntimeInventory=PrimaryRole=CommandSurface;SecondaryRoles=StartupWiring;GumpUI;WorldState;Commands=CommandSystem.Register(;Hooks=Initialize;SerializedTypes=;Gumps=OnResponse;SendGump; CommandRegister=RegisterCommand=;RegisterAccess=;RegisterHandler=;Guards=AccessGuard;BoundsGuard;MapGuard;NullGuard;StateGuard;Risk=Medium</t>
  </si>
  <si>
    <t>RB-04329</t>
  </si>
  <si>
    <t>P10-F04329</t>
  </si>
  <si>
    <t>Data/Scripts/Items/Boats/Gumps/FindboatGump.cs</t>
  </si>
  <si>
    <t>PBL-0004</t>
  </si>
  <si>
    <t>CurrentFile=Data/Scripts/Items/Boats/Gumps/FindboatGump.cs; Line=17; SourceLine=CommandSystem.Register(; PathResolution=OriginalPathCurrent; MatchQuality=CurrentSourceLine; FileExists=True; DisabledEvidence=False; ParsedCommand=FindBoat; ParsedAccess=Counselor; ParsedHandler=FindBoat_OnCommand; CommandParseQuality=ParsedCommandAccessHandler; CommandBlock=CommandSystem.Register( "FindBoat", AccessLevel.Counselor, new CommandEventHandler(FindBoat_OnCommand) );; ProjectTruth=RecordType=ProjectInclude;Included=True;Missing=False;Unincluded=False;Action=Keep | RecordType=SourceFile;Included=True;Missing=False;Unincluded=False;Action=Keep; RuntimeInventory=PrimaryRole=CommandSurface;SecondaryRoles=StartupWiring;GumpUI;ItemContent;WorldState;Commands=CommandSystem.Register(;Hooks=Initialize;SerializedTypes=;Gumps=OnResponse;SendGump; CommandRegister=RegisterCommand=;RegisterAccess=;RegisterHandler=;Guards=AccessGuard;BoundsGuard;MapGuard;NullGuard;StateGuard;Risk=Medium</t>
  </si>
  <si>
    <t>HistoricalFile=Data/Scripts/Items/Boats/Gumps/FindboatGump.cs; Risk=Runtime;Staff;Player; POST-BATCH-L is audit-only P2 residual triage. No source, project, XML/config, serialized layout, runtime file location, command name, access level, or region policy changed.</t>
  </si>
  <si>
    <t>RB-04369</t>
  </si>
  <si>
    <t>P10-F04369</t>
  </si>
  <si>
    <t>Data/Scripts/System/Commands/BodyValues.cs</t>
  </si>
  <si>
    <t>PBL-0005</t>
  </si>
  <si>
    <t>CurrentFile=Data/Scripts/System/Commands/BodyValues.cs; Line=22; SourceLine=CommandSystem.Register(; PathResolution=OriginalPathCurrent; MatchQuality=CurrentSourceLine; FileExists=True; DisabledEvidence=False; ParsedCommand=BodyValues; ParsedAccess=Counselor; ParsedHandler=BodyValuess; CommandParseQuality=ParsedCommandAccessHandler; CommandBlock=CommandSystem.Register( "BodyValues", AccessLevel.Counselor, new CommandEventHandler(BodyValuess)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CommandRegister=RegisterCommand=;RegisterAccess=;RegisterHandler=;Guards=AccessGuard;BoundsGuard;StateGuard;Risk=Medium</t>
  </si>
  <si>
    <t>HistoricalFile=Data/Scripts/System/Commands/BodyValues.cs; Risk=Runtime;Staff;Player; POST-BATCH-L is audit-only P2 residual triage. No source, project, XML/config, serialized layout, runtime file location, command name, access level, or region policy changed.</t>
  </si>
  <si>
    <t>RB-04372</t>
  </si>
  <si>
    <t>P10-F04372</t>
  </si>
  <si>
    <t>PBL-0006</t>
  </si>
  <si>
    <t>CurrentFile=Data/Scripts/System/Commands/Docs.cs; Line=18; SourceLine=CommandSystem.Register(; PathResolution=OriginalPathCurrent; MatchQuality=CurrentSourceLine; FileExists=True; DisabledEvidence=False; ParsedCommand=DocGen; ParsedAccess=Administrator; ParsedHandler=DocGen_OnCommand; CommandParseQuality=ParsedCommandAccessHandler; CommandBlock=CommandSystem.Register( "DocGen", AccessLevel.Administrator, new CommandEventHandler(DocGen_OnCommand)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CommandRegister=RegisterCommand=;RegisterAccess=;RegisterHandler=;Guards=AccessGuard;BoundsGuard;MapGuard;NullGuard;RangeGuard;StateGuard;Risk=Medium</t>
  </si>
  <si>
    <t>HistoricalFile=Data/Scripts/System/Commands/Docs.cs; Risk=Runtime;Staff;Player; POST-BATCH-L is audit-only P2 residual triage. No source, project, XML/config, serialized layout, runtime file location, command name, access level, or region policy changed.</t>
  </si>
  <si>
    <t>RB-04196</t>
  </si>
  <si>
    <t>P10-F04196</t>
  </si>
  <si>
    <t>Data/Scripts/Custom/CharacterLevel/CharacterLevelCommands.cs</t>
  </si>
  <si>
    <t>PBL-0007</t>
  </si>
  <si>
    <t>CurrentFile=Data/Scripts/Custom/Progression/CharacterLevel/CharacterLevelCommands.cs; Line=14; SourceLine=CommandSystem.Register(; PathResolution=PostBatchHMove:Data/Scripts/Custom/CharacterLevel-&gt;Data/Scripts/Custom/Progression/CharacterLevel; MatchQuality=CurrentSourceLine; FileExists=True; DisabledEvidence=False; ParsedCommand=CharLevel; ParsedAccess=GameMaster; ParsedHandler=CharLevel_OnCommand; CommandParseQuality=ParsedCommandAccessHandler; CommandBlock=CommandSystem.Register( "CharLevel", AccessLevel.GameMaster, new CommandEventHandler(CharLevel_OnCommand) );; ProjectTruth=RecordType=ProjectInclude;Included=True;Missing=False;Unincluded=False;Action=Keep | RecordType=SourceFile;Included=True;Missing=False;Unincluded=False;Action=Keep; RuntimeInventory=PrimaryRole=CommandSurface;SecondaryRoles=StartupWiring;PlayerProgression;Commands=CommandSystem.Register(;Hooks=Initialize;SerializedTypes=;Gumps=; CommandRegister=RegisterCommand=;RegisterAccess=;RegisterHandler=;Guards=AccessGuard;BoundsGuard;NullGuard;StateGuard;Risk=Medium</t>
  </si>
  <si>
    <t>HistoricalFile=Data/Scripts/Custom/CharacterLevel/CharacterLevelCommands.cs; Risk=Runtime;Staff;Player; POST-BATCH-L is audit-only P2 residual triage. No source, project, XML/config, serialized layout, runtime file location, command name, access level, or region policy changed.</t>
  </si>
  <si>
    <t>RB-04197</t>
  </si>
  <si>
    <t>P10-F04197</t>
  </si>
  <si>
    <t>PBL-0008</t>
  </si>
  <si>
    <t>CurrentFile=Data/Scripts/Custom/Progression/CharacterLevel/CharacterLevelCommands.cs; Line=20; SourceLine=CommandSystem.Register(; PathResolution=PostBatchHMove:Data/Scripts/Custom/CharacterLevel-&gt;Data/Scripts/Custom/Progression/CharacterLevel; MatchQuality=CurrentSourceLine; FileExists=True; DisabledEvidence=False; ParsedCommand=CharLevelTarget; ParsedAccess=GameMaster; ParsedHandler=CharLevelTarget_OnCommand; CommandParseQuality=ParsedCommandAccessHandler; CommandBlock=CommandSystem.Register( "CharLevelTarget", AccessLevel.GameMaster, new CommandEventHandler(CharLevelTarget_OnCommand) );; ProjectTruth=RecordType=ProjectInclude;Included=True;Missing=False;Unincluded=False;Action=Keep | RecordType=SourceFile;Included=True;Missing=False;Unincluded=False;Action=Keep; RuntimeInventory=PrimaryRole=CommandSurface;SecondaryRoles=StartupWiring;PlayerProgression;Commands=CommandSystem.Register(;Hooks=Initialize;SerializedTypes=;Gumps=; CommandRegister=RegisterCommand=;RegisterAccess=;RegisterHandler=;Guards=AccessGuard;BoundsGuard;NullGuard;StateGuard;Risk=Medium</t>
  </si>
  <si>
    <t>RB-04199</t>
  </si>
  <si>
    <t>P10-F04199</t>
  </si>
  <si>
    <t>Data/Scripts/Custom/CloneOfflinePlayerCharacters/CheckClonesCommand.cs</t>
  </si>
  <si>
    <t>PBL-0009</t>
  </si>
  <si>
    <t>CurrentFile=Data/Scripts/Custom/PvE/CloneOfflinePlayerCharacters/CheckClonesCommand.cs; Line=19; SourceLine=CommandSystem.Register(; PathResolution=PostBatchHMove:Data/Scripts/Custom/CloneOfflinePlayerCharacters-&gt;Data/Scripts/Custom/PvE/CloneOfflinePlayerCharacters; MatchQuality=CurrentSourceLine; FileExists=True; DisabledEvidence=False; ParsedCommand=CheckClones; ParsedAccess=Administrator; ParsedHandler=CheckClones_OnCommand; CommandParseQuality=ParsedCommandAccessHandler; CommandBlock=CommandSystem.Register( "CheckClones", AccessLevel.Administrator, new CommandEventHandler(CheckClones_OnCommand)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</si>
  <si>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HistoricalFile=Data/Scripts/Custom/CloneOfflinePlayerCharacters/CheckClonesCommand.cs; Risk=Runtime;Staff;Player; POST-BATCH-L is audit-only P2 residual triage. No source, project, XML/config, serialized layout, runtime file location, command name, access level, or region policy changed.</t>
  </si>
  <si>
    <t>RB-04687</t>
  </si>
  <si>
    <t>P10-F04687</t>
  </si>
  <si>
    <t>PBL-0013</t>
  </si>
  <si>
    <t>CurrentFile=Data/Scripts/Trades/Core/Recipes.cs; Line=13; SourceLine=CommandSystem.Register(; PathResolution=OriginalPathCurrent; MatchQuality=CurrentSourceLine; FileExists=True; DisabledEvidence=False; ParsedCommand=LearnAllRecipes; ParsedAccess=GameMaster; ParsedHandler=LearnAllRecipes_OnCommand; CommandParseQuality=ParsedCommandAccessHandler; CommandBlock=CommandSystem.Register( "LearnAllRecipes", AccessLevel.GameMaster, new CommandEventHandler(LearnAllRecipes_OnCommand) );; ProjectTruth=RecordType=ProjectInclude;Included=True;Missing=False;Unincluded=False;Action=Keep | RecordType=SourceFile;Included=True;Missing=False;Unincluded=False;Action=Keep; RuntimeInventory=PrimaryRole=CommandSurface;SecondaryRoles=StartupWiring;Crafting;Commands=CommandSystem.Register(;Hooks=Initialize;SerializedTypes=;Gumps=; CommandRegister=RegisterCommand=;RegisterAccess=;RegisterHandler=;Guards=AccessGuard;NullGuard;StateGuard;Risk=Medium</t>
  </si>
  <si>
    <t>HistoricalFile=Data/Scripts/Trades/Core/Recipes.cs; Risk=Runtime;Staff;Player; POST-BATCH-L is audit-only P2 residual triage. No source, project, XML/config, serialized layout, runtime file location, command name, access level, or region policy changed.</t>
  </si>
  <si>
    <t>RB-04688</t>
  </si>
  <si>
    <t>P10-F04688</t>
  </si>
  <si>
    <t>PBL-0014</t>
  </si>
  <si>
    <t>CurrentFile=Data/Scripts/Trades/Core/Recipes.cs; Line=18; SourceLine=CommandSystem.Register(; PathResolution=OriginalPathCurrent; MatchQuality=CurrentSourceLine; FileExists=True; DisabledEvidence=False; ParsedCommand=ForgetAllRecipes; ParsedAccess=GameMaster; ParsedHandler=ForgetAllRecipes_OnCommand; CommandParseQuality=ParsedCommandAccessHandler; CommandBlock=CommandSystem.Register( "ForgetAllRecipes", AccessLevel.GameMaster, new CommandEventHandler(ForgetAllRecipes_OnCommand) );; ProjectTruth=RecordType=ProjectInclude;Included=True;Missing=False;Unincluded=False;Action=Keep | RecordType=SourceFile;Included=True;Missing=False;Unincluded=False;Action=Keep; RuntimeInventory=PrimaryRole=CommandSurface;SecondaryRoles=StartupWiring;Crafting;Commands=CommandSystem.Register(;Hooks=Initialize;SerializedTypes=;Gumps=; CommandRegister=RegisterCommand=;RegisterAccess=;RegisterHandler=;Guards=AccessGuard;NullGuard;StateGuard;Risk=Medium</t>
  </si>
  <si>
    <t>RB-04193</t>
  </si>
  <si>
    <t>P10-F04193</t>
  </si>
  <si>
    <t>Custom:BondInfo</t>
  </si>
  <si>
    <t>Data/Scripts/Custom/BondInfo/BondInfo.cs</t>
  </si>
  <si>
    <t>PBL-0015</t>
  </si>
  <si>
    <t>CurrentFile=Data/Scripts/Custom/BondInfo/BondInfo.cs; Line=14; SourceLine=CommandSystem.Register(; PathResolution=OriginalPathCurrent; MatchQuality=CurrentSourceLine; FileExists=True; DisabledEvidence=False; ParsedCommand=BondInfo; ParsedAccess=Player; ParsedHandler=BondInfo_OnCommand; CommandParseQuality=ParsedCommandAccessHandler; CommandBlock=CommandSystem.Register( "BondInfo", AccessLevel.Player, new CommandEventHandler(BondInfo_OnCommand)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CommandRegister=RegisterCommand=;RegisterAccess=;RegisterHandler=;Guards=AccessGuard;StateGuard;Risk=Medium</t>
  </si>
  <si>
    <t>HistoricalFile=Data/Scripts/Custom/BondInfo/BondInfo.cs; Risk=Runtime;Staff;Player; POST-BATCH-L is audit-only P2 residual triage. No source, project, XML/config, serialized layout, runtime file location, command name, access level, or region policy changed.</t>
  </si>
  <si>
    <t>RB-04194</t>
  </si>
  <si>
    <t>P10-F04194</t>
  </si>
  <si>
    <t>PBL-0016</t>
  </si>
  <si>
    <t>CurrentFile=Data/Scripts/Custom/ChangeSeason/ChangeSeason.cs; Line=12; SourceLine=CommandSystem.Register(; PathResolution=OriginalPathCurrent; MatchQuality=CurrentSourceLine; FileExists=True; DisabledEvidence=False; ParsedCommand=ChangeSeason; ParsedAccess=Administrator; ParsedHandler=ChangeSeason_OnCommand; CommandParseQuality=ParsedCommandAccessHandler; CommandBlock=CommandSystem.Register( "ChangeSeason", AccessLevel.Administrator, new CommandEventHandler(ChangeSeason_OnCommand)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</si>
  <si>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HistoricalFile=Data/Scripts/Custom/ChangeSeason/ChangeSeason.cs; Risk=Runtime;Staff;Player; POST-BATCH-L is audit-only P2 residual triage. No source, project, XML/config, serialized layout, runtime file location, command name, access level, or region policy changed.</t>
  </si>
  <si>
    <t>RB-04195</t>
  </si>
  <si>
    <t>P10-F04195</t>
  </si>
  <si>
    <t>PBL-0017</t>
  </si>
  <si>
    <t>CurrentFile=Data/Scripts/Custom/Character Swap/CharacterSwap.cs; Line=14; SourceLine=CommandSystem.Register(; PathResolution=OriginalPathCurrent; MatchQuality=CurrentSourceLine; FileExists=True; DisabledEvidence=False; ParsedCommand=CharControl; ParsedAccess=Administrator; ParsedHandler=CharControl_OnCommand; CommandParseQuality=ParsedCommandAccessHandler; CommandBlock=CommandSystem.Register( "CharControl", AccessLevel.Administrator, new CommandEventHandler(CharControl_OnCommand)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CommandRegister=RegisterCommand=;RegisterAccess=;RegisterHandler=;Guards=AccessGuard;BoundsGuard;DeletedGuard;NullGuard;StateGuard;Risk=Medium</t>
  </si>
  <si>
    <t>HistoricalFile=Data/Scripts/Custom/Character Swap/CharacterSwap.cs; Risk=Runtime;Staff;Player; POST-BATCH-L is audit-only P2 residual triage. No source, project, XML/config, serialized layout, runtime file location, command name, access level, or region policy changed.</t>
  </si>
  <si>
    <t>RB-04198</t>
  </si>
  <si>
    <t>P10-F04198</t>
  </si>
  <si>
    <t>PBL-0018</t>
  </si>
  <si>
    <t>CurrentFile=Data/Scripts/Custom/ClearDeckCommand/ClearDeckCommand.cs; Line=15; SourceLine=CommandSystem.Register(; PathResolution=OriginalPathCurrent; MatchQuality=CurrentSourceLine; FileExists=True; DisabledEvidence=False; ParsedCommand=ClearDeck; ParsedAccess=Player; ParsedHandler=ClearDeck_OnCommand; CommandParseQuality=ParsedCommandAccessHandler; CommandBlock=CommandSystem.Register( "ClearDeck", AccessLevel.Player, new CommandEventHandler(ClearDeck_OnCommand)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CommandRegister=RegisterCommand=;RegisterAccess=;RegisterHandler=;Guards=AccessGuard;BoundsGuard;MapGuard;NullGuard;RangeGuard;StateGuard;Risk=Medium</t>
  </si>
  <si>
    <t>HistoricalFile=Data/Scripts/Custom/ClearDeckCommand/ClearDeckCommand.cs; Risk=Runtime;Staff;Player; POST-BATCH-L is audit-only P2 residual triage. No source, project, XML/config, serialized layout, runtime file location, command name, access level, or region policy changed.</t>
  </si>
  <si>
    <t>RB-04242</t>
  </si>
  <si>
    <t>P10-F04242</t>
  </si>
  <si>
    <t>Custom:Player Range Sensitive Mod</t>
  </si>
  <si>
    <t>Data/Scripts/Custom/Player Range Sensitive Mod/setdeactivation.cs</t>
  </si>
  <si>
    <t>PBL-0023</t>
  </si>
  <si>
    <t>CurrentFile=Data/Scripts/Custom/Player Range Sensitive Mod/setdeactivation.cs; Line=15; SourceLine=CommandSystem.Register(; PathResolution=OriginalPathCurrent; MatchQuality=CurrentSourceLine; FileExists=True; DisabledEvidence=False; ParsedCommand=SetDeactivation; ParsedAccess=Administrator; ParsedHandler=SetDeactivation_OnCommand; CommandParseQuality=ParsedCommandAccessHandler; CommandBlock=CommandSystem.Register( "SetDeactivation", AccessLevel.Administrator, new CommandEventHandler(SetDeactivation_OnCommand)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CommandRegister=RegisterCommand=;RegisterAccess=;RegisterHandler=;Guards=AccessGuard;BoundsGuard;RangeGuard;Risk=Medium</t>
  </si>
  <si>
    <t>HistoricalFile=Data/Scripts/Custom/Player Range Sensitive Mod/setdeactivation.cs; Risk=Runtime;Staff;Player; POST-BATCH-L is audit-only P2 residual triage. No source, project, XML/config, serialized layout, runtime file location, command name, access level, or region policy changed.</t>
  </si>
  <si>
    <t>RB-04243</t>
  </si>
  <si>
    <t>P10-F04243</t>
  </si>
  <si>
    <t>Custom:Point Command [2.0]</t>
  </si>
  <si>
    <t>Data/Scripts/Custom/Point Command [2.0]/Point.cs</t>
  </si>
  <si>
    <t>PBL-0024</t>
  </si>
  <si>
    <t>CurrentFile=Data/Scripts/Custom/Point Command [2.0]/Point.cs; Line=15; SourceLine=CommandSystem.Register(; PathResolution=OriginalPathCurrent; MatchQuality=CurrentSourceLine; FileExists=True; DisabledEvidence=False; ParsedCommand=Point; ParsedAccess=Player; ParsedHandler=Point_OnCommand; CommandParseQuality=ParsedCommandAccessHandler; CommandBlock=CommandSystem.Register( "Point", AccessLevel.Player, new CommandEventHandler(Point_OnCommand) );; ProjectTruth=RecordType=ProjectInclude;Included=True;Missing=False;Unincluded=False;Action=Keep | RecordType=SourceFile;Included=True;Missing=False;Unincluded=False;Action=Keep; RuntimeInventory=PrimaryRole=CommandSurface;SecondaryRoles=StartupWiring;Commands=CommandSystem.Register(;Hooks=CustomTimerSubclass;Initialize;SerializedTypes=;Gumps=; CommandRegister=RegisterCommand=;RegisterAccess=;RegisterHandler=;Guards=AccessGuard;MapGuard;NullGuard;StateGuard;Risk=Medium</t>
  </si>
  <si>
    <t>HistoricalFile=Data/Scripts/Custom/Point Command [2.0]/Point.cs; Risk=Runtime;Staff;Player; POST-BATCH-L is audit-only P2 residual triage. No source, project, XML/config, serialized layout, runtime file location, command name, access level, or region policy changed.</t>
  </si>
  <si>
    <t>RB-04246</t>
  </si>
  <si>
    <t>P10-F04246</t>
  </si>
  <si>
    <t>Custom:Searches</t>
  </si>
  <si>
    <t>Data/Scripts/Custom/Searches/Commands.cs</t>
  </si>
  <si>
    <t>PBL-0025</t>
  </si>
  <si>
    <t>CurrentFile=Data/Scripts/Custom/Searches/Commands.cs; Line=23; SourceLine=Server.Commands.CommandSystem.Register(; PathResolution=OriginalPathCurrent; MatchQuality=CurrentSourceLine; FileExists=True; DisabledEvidence=False; ParsedCommand=search; ParsedAccess=Player; ParsedHandler=OnCommand; CommandParseQuality=ParsedCommandAccessHandler; CommandBlock=Server.Commands.CommandSystem.Register( "search", AccessLevel.Player, new CommandEventHandler(OnCommand) );; ProjectTruth=RecordType=ProjectInclude;Included=True;Missing=False;Unincluded=False;Action=Keep | RecordType=SourceFile;Included=True;Missing=False;Unincluded=False;Action=Keep; RuntimeInventory=PrimaryRole=CommandSurface;SecondaryRoles=StartupWiring;Commands=Server.Commands.CommandSystem.Register(;Hooks=Initialize;SerializedTypes=;Gumps=; CommandRegister=RegisterCommand=;RegisterAccess=;RegisterHandler=;Guards=AccessGuard;BoundsGuard;MapGuard;Risk=Medium</t>
  </si>
  <si>
    <t>HistoricalFile=Data/Scripts/Custom/Searches/Commands.cs; Risk=Runtime;Staff;Player; POST-BATCH-L is audit-only P2 residual triage. No source, project, XML/config, serialized layout, runtime file location, command name, access level, or region policy changed.</t>
  </si>
  <si>
    <t>RB-04247</t>
  </si>
  <si>
    <t>P10-F04247</t>
  </si>
  <si>
    <t>PBL-0026</t>
  </si>
  <si>
    <t>CurrentFile=Data/Scripts/Custom/TellAFriend/TellAFriend.cs; Line=410; SourceLine=}; PathResolution=OriginalPathCurrent; MatchQuality=CurrentSourceLine; FileExists=True; DisabledEvidence=False; ParsedCommand=taf; ParsedAccess=Player; ParsedHandler=TAFGump_OnCommand; CommandParseQuality=ParsedCommandAccessHandler; CommandBlock=}  public class TAFCommand { public static void Initialize() { CommandSystem.Register( "taf", AccessLevel.Player, new CommandEventHandler(TAFGump_OnCommand)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RuntimeInventory=PrimaryRole=CommandSurface;SecondaryRoles=StartupWiring;GumpUI;Persistence;Commands=CommandSystem.Register(;Hooks=EventSink;Initialize;SerializedTypes=class:TellAFriend;class:TAFGump;class:ReferrerReward;class:TAFCommand;Gumps=OnResponse;SendGump; SerializationRegister=Class=Server.ReferrerReward;Version=0;Handling=SingleVersionOnly;Alignment=AlignedByCountAndKnownTypes;MoveRisk=NamespaceOrTypeRenameDanger</t>
  </si>
  <si>
    <t>HistoricalFile=Data/Scripts/Custom/TellAFriend/TellAFriend.cs; Risk=Runtime;Staff;Player; POST-BATCH-L is audit-only P2 residual triage. No source, project, XML/config, serialized layout, runtime file location, command name, access level, or region policy changed.</t>
  </si>
  <si>
    <t>RB-04251</t>
  </si>
  <si>
    <t>P10-F04251</t>
  </si>
  <si>
    <t>PBL-0027</t>
  </si>
  <si>
    <t>CurrentFile=Data/Scripts/Custom/Voting/VoteCommand.cs; Line=18; SourceLine=CommandSystem.Register("Vote", AccessLevel.Player, Vote_OnCommand);; PathResolution=OriginalPathCurrent; MatchQuality=CurrentSourceLine; FileExists=True; DisabledEvidence=False; ParsedCommand=Vote; ParsedAccess=Player; ParsedHandler=Vote_OnCommand; CommandParseQuality=ParsedCommandAccessHandler; CommandBlock=CommandSystem.Register("Vote", AccessLevel.Player, Vote_OnCommand);; ProjectTruth=RecordType=ProjectInclude;Included=True;Missing=False;Unincluded=False;Action=Keep | RecordType=SourceFile;Included=True;Missing=False;Unincluded=False;Action=Keep; RuntimeInventory=PrimaryRole=CommandSurface;SecondaryRoles=StartupWiring;GumpUI;Commands=Vote:Player;VoteConfig:GameMaster;VoteInstance:GameMaster;Hooks=Initialize;SerializedTypes=;Gumps=SendGump; CommandRegister=RegisterCommand=Vote;RegisterAccess=Player;RegisterHandler=;Guards=AccessGuard;BoundsGuard;DeletedGuard;NullGuard;Risk=Medium</t>
  </si>
  <si>
    <t>HistoricalFile=Data/Scripts/Custom/Voting/VoteCommand.cs; Risk=Runtime;Staff;Player; POST-BATCH-L is audit-only P2 residual triage. No source, project, XML/config, serialized layout, runtime file location, command name, access level, or region policy changed.</t>
  </si>
  <si>
    <t>RB-04200</t>
  </si>
  <si>
    <t>P10-F04200</t>
  </si>
  <si>
    <t>PBL-0028</t>
  </si>
  <si>
    <t>CurrentFile=Data/Scripts/Custom/Government System/CityUpgradeSystem.cs; Line=17; SourceLine=CommandSystem.Register(; PathResolution=OriginalPathCurrent; MatchQuality=CurrentSourceLine; FileExists=True; DisabledEvidence=False; ParsedCommand=UpgradeCitySystem; ParsedAccess=Administrator; ParsedHandler=CityUpgrade_OnCommand; CommandParseQuality=ParsedCommandAccessHandler; CommandBlock=CommandSystem.Register( "UpgradeCitySystem", AccessLevel.Administrator, new CommandEventHandler(CityUpgrade_OnCommand) );; ProjectTruth=RecordType=ProjectInclude;Included=True;Missing=False;Unincluded=False;Action=Keep | RecordType=SourceFile;Included=True;Missing=False;Unincluded=False;Action=Keep; RuntimeInventory=PrimaryRole=CommandSurface;SecondaryRoles=StartupWiring;Economy;Commands=CommandSystem.Register(;Hooks=Initialize;WorldSave;SerializedTypes=;Gumps=; CommandRegister=RegisterCommand=;RegisterAccess=;RegisterHandler=;Guards=AccessGuard;BoundsGuard;DeletedGuard;MapGuard;NullGuard;StateGuard;Risk=Medium</t>
  </si>
  <si>
    <t>HistoricalFile=Data/Scripts/Custom/Government System/CityUpgradeSystem.cs; Risk=Runtime;Staff;Player; POST-BATCH-L is audit-only P2 residual triage. No source, project, XML/config, serialized layout, runtime file location, command name, access level, or region policy changed.</t>
  </si>
  <si>
    <t>RB-04201</t>
  </si>
  <si>
    <t>P10-F04201</t>
  </si>
  <si>
    <t>PBL-0029</t>
  </si>
  <si>
    <t>CurrentFile=Data/Scripts/Custom/Government System/Commands/AdminAdd.cs; Line=16; SourceLine=CommandSystem.Register(; PathResolution=OriginalPathCurrent; MatchQuality=CurrentSourceLine; FileExists=True; DisabledEvidence=False; ParsedCommand=AdminAdd; ParsedAccess=GameMaster; ParsedHandler=AdminAdd_OnCommand; CommandParseQuality=ParsedCommandAccessHandler; CommandBlock=CommandSystem.Register( "AdminAdd", AccessLevel.GameMaster, new CommandEventHandler(AdminAdd_OnCommand) );; ProjectTruth=RecordType=ProjectInclude;Included=True;Missing=False;Unincluded=False;Action=Keep | RecordType=SourceFile;Included=True;Missing=False;Unincluded=False;Action=Keep; RuntimeInventory=PrimaryRole=CommandSurface;SecondaryRoles=StartupWiring;GumpUI;Economy;StaffTooling;Commands=CommandSystem.Register(;Hooks=Initialize;SerializedTypes=;Gumps=SendGump; CommandRegister=RegisterCommand=;RegisterAccess=;RegisterHandler=;Guards=AccessGuard;Risk=Medium</t>
  </si>
  <si>
    <t>HistoricalFile=Data/Scripts/Custom/Government System/Commands/AdminAdd.cs; Risk=Runtime;Staff;Player; POST-BATCH-L is audit-only P2 residual triage. No source, project, XML/config, serialized layout, runtime file location, command name, access level, or region policy changed.</t>
  </si>
  <si>
    <t>RB-04202</t>
  </si>
  <si>
    <t>P10-F04202</t>
  </si>
  <si>
    <t>PBL-0030</t>
  </si>
  <si>
    <t>CurrentFile=Data/Scripts/Custom/Government System/Commands/FindCities.cs; Line=16; SourceLine=CommandSystem.Register(; PathResolution=OriginalPathCurrent; MatchQuality=CurrentSourceLine; FileExists=True; DisabledEvidence=False; ParsedCommand=FindCities; ParsedAccess=GameMaster; ParsedHandler=FindCities_OnCommand; CommandParseQuality=ParsedCommandAccessHandler; CommandBlock=CommandSystem.Register( "FindCities", AccessLevel.GameMaster, new CommandEventHandler(FindCities_OnCommand) );; ProjectTruth=RecordType=ProjectInclude;Included=True;Missing=False;Unincluded=False;Action=Keep | RecordType=SourceFile;Included=True;Missing=False;Unincluded=False;Action=Keep; RuntimeInventory=PrimaryRole=CommandSurface;SecondaryRoles=StartupWiring;GumpUI;Economy;Commands=CommandSystem.Register(;Hooks=Initialize;SerializedTypes=;Gumps=SendGump; CommandRegister=RegisterCommand=;RegisterAccess=;RegisterHandler=;Guards=AccessGuard;NullGuard;Risk=Medium</t>
  </si>
  <si>
    <t>HistoricalFile=Data/Scripts/Custom/Government System/Commands/FindCities.cs; Risk=Runtime;Staff;Player; POST-BATCH-L is audit-only P2 residual triage. No source, project, XML/config, serialized layout, runtime file location, command name, access level, or region policy changed.</t>
  </si>
  <si>
    <t>RB-04203</t>
  </si>
  <si>
    <t>P10-F04203</t>
  </si>
  <si>
    <t>Data/Scripts/Custom/Government System/Commands/GovernmentTestingCommand.cs</t>
  </si>
  <si>
    <t>PBL-0031</t>
  </si>
  <si>
    <t>CurrentFile=Data/Scripts/Custom/Government System/Commands/GovernmentTestingCommand.cs; Line=16; SourceLine=CommandSystem.Register(; PathResolution=OriginalPathCurrent; MatchQuality=CurrentSourceLine; FileExists=True; DisabledEvidence=False; ParsedCommand=GovTesting; ParsedAccess=GameMaster; ParsedHandler=OnCommand; CommandParseQuality=ParsedCommandAccessHandler; CommandBlock=CommandSystem.Register( "GovTesting", AccessLevel.GameMaster, new CommandEventHandler(OnCommand) );; ProjectTruth=RecordType=ProjectInclude;Included=True;Missing=False;Unincluded=False;Action=Keep | RecordType=SourceFile;Included=True;Missing=False;Unincluded=False;Action=Keep; RuntimeInventory=PrimaryRole=CommandSurface;SecondaryRoles=StartupWiring;Economy;Commands=CommandSystem.Register(;Hooks=Initialize;SerializedTypes=;Gumps=; CommandRegister=RegisterCommand=;RegisterAccess=;RegisterHandler=;Guards=AccessGuard;BoundsGuard;StateGuard;Risk=Medium</t>
  </si>
  <si>
    <t>HistoricalFile=Data/Scripts/Custom/Government System/Commands/GovernmentTestingCommand.cs; Risk=Runtime;Staff;Player; POST-BATCH-L is audit-only P2 residual triage. No source, project, XML/config, serialized layout, runtime file location, command name, access level, or region policy changed.</t>
  </si>
  <si>
    <t>RB-04204</t>
  </si>
  <si>
    <t>P10-F04204</t>
  </si>
  <si>
    <t>PBL-0032</t>
  </si>
  <si>
    <t>CurrentFile=Data/Scripts/Custom/Government System/Commands/GovHelp.cs; Line=16; SourceLine=CommandSystem.Register(; PathResolution=OriginalPathCurrent; MatchQuality=CurrentSourceLine; FileExists=True; DisabledEvidence=False; ParsedCommand=GovHelp; ParsedAccess=Player; ParsedHandler=GovHelp_OnCommand; CommandParseQuality=ParsedCommandAccessHandler; CommandBlock=CommandSystem.Register( "GovHelp", AccessLevel.Player, new CommandEventHandler(GovHelp_OnCommand) );; ProjectTruth=RecordType=ProjectInclude;Included=True;Missing=False;Unincluded=False;Action=Keep | RecordType=SourceFile;Included=True;Missing=False;Unincluded=False;Action=Keep; RuntimeInventory=PrimaryRole=CommandSurface;SecondaryRoles=StartupWiring;GumpUI;Economy;Commands=CommandSystem.Register(;Hooks=Initialize;SerializedTypes=;Gumps=SendGump; CommandRegister=RegisterCommand=;RegisterAccess=;RegisterHandler=;Guards=AccessGuard;Risk=Medium</t>
  </si>
  <si>
    <t>HistoricalFile=Data/Scripts/Custom/Government System/Commands/GovHelp.cs; Risk=Runtime;Staff;Player; POST-BATCH-L is audit-only P2 residual triage. No source, project, XML/config, serialized layout, runtime file location, command name, access level, or region policy changed.</t>
  </si>
  <si>
    <t>RB-04205</t>
  </si>
  <si>
    <t>P10-F04205</t>
  </si>
  <si>
    <t>PBL-0033</t>
  </si>
  <si>
    <t>CurrentFile=Data/Scripts/Custom/Government System/Items/Stones/CityManagementStone.cs; Line=465; SourceLine=CommandSystem.Register(; PathResolution=OriginalPathCurrent; MatchQuality=CurrentSourceLine; FileExists=True; DisabledEvidence=False; ParsedCommand=CityUpdate; ParsedAccess=Administrator; ParsedHandler=CityUpdate_OnCommand; CommandParseQuality=ParsedCommandAccessHandler; CommandBlock=CommandSystem.Register( "CityUpdate", AccessLevel.Administrator, new CommandEventHandler(CityUpdate_OnCommand) );; ProjectTruth=RecordType=ProjectInclude;Included=True;Missing=False;Unincluded=False;Action=Keep | RecordType=SourceFile;Included=True;Missing=False;Unincluded=False;Action=Keep; RuntimeInventory=PrimaryRole=CommandSurface;SecondaryRoles=StartupWiring;GumpUI;Persistence;Economy;Commands=CommandSystem.Register(;Hooks=CustomTimerSubclass;Initialize;SerializedTypes=class:JoinCityTarget;class:CitySponsorTarget;class:CityManagementStone;class:CityUpdateTarget;class:CityUpdateTimer;Gumps=SendGump; SerializationRegister=Class=Server.Items.CityManagementStone;Version=6;Handling=SwitchGotoCase;Alignment=CountMatchNeedsTypeReview:UnknownWrites=27;MoveRisk=UnknownUntilSaveTest; CommandRegister=RegisterCommand=;RegisterAccess=;RegisterHandler=;Guards=AccessGuard;BoundsGuard;MapGuard;NullGuard;PacketReadGuard;RangeGuard;StateGuard;Risk=Medium</t>
  </si>
  <si>
    <t>HistoricalFile=Data/Scripts/Custom/Government System/Items/Stones/CityManagementStone.cs; Risk=Runtime;Staff;Player; POST-BATCH-L is audit-only P2 residual triage. No source, project, XML/config, serialized layout, runtime file location, command name, access level, or region policy changed.</t>
  </si>
  <si>
    <t>RB-04206</t>
  </si>
  <si>
    <t>P10-F04206</t>
  </si>
  <si>
    <t>PBL-0034</t>
  </si>
  <si>
    <t>CurrentFile=Data/Scripts/Custom/Government System/Vendor/CityPlayerVendor.cs; Line=68; SourceLine=CommandSystem.Register(; PathResolution=OriginalPathCurrent; MatchQuality=CurrentSourceLine; FileExists=True; DisabledEvidence=False; ParsedCommand=MoveVendor; ParsedAccess=Player; ParsedHandler=MoveVendor_OnCommand; CommandParseQuality=ParsedCommandAccessHandler; CommandBlock=CommandSystem.Register( "MoveVendor", AccessLevel.Player, new CommandEventHandler(MoveVendor_OnCommand) );; ProjectTruth=RecordType=ProjectInclude;Included=True;Missing=False;Unincluded=False;Action=Keep | RecordType=SourceFile;Included=True;Missing=False;Unincluded=False;Action=Keep; RuntimeInventory=PrimaryRole=CommandSurface;SecondaryRoles=StartupWiring;Persistence;Economy;Commands=CommandSystem.Register(;Hooks=Initialize;OnSpeech;SerializedTypes=class:CityVendorBackpack;class:CityPlayerVendor;class:VendorMoveTarget;Gumps=; SerializationRegister=Class=Server.Mobiles.CityPlayerVendor;Version=1;Handling=SwitchGotoCase;Alignment=AlignedByCountAndKnownTypes;MoveRisk=UnknownUntilSaveTest | Class=Server.Mobiles.CityVendorBackpack;Version=0;Handling=SingleVersionOnly;Alignment=AlignedByCountAndKnownTypes;MoveRisk=UnknownUntilSaveTest; CommandRegister=RegisterCommand=;RegisterAccess=;RegisterHandler=;Guards=AccessGuard;BoundsGuard;MapGuard;NullGuard;PacketReadGuard;RangeGuard;StateGuard;Risk=Medium</t>
  </si>
  <si>
    <t>HistoricalFile=Data/Scripts/Custom/Government System/Vendor/CityPlayerVendor.cs; Risk=Runtime;Staff;Player; POST-BATCH-L is audit-only P2 residual triage. No source, project, XML/config, serialized layout, runtime file location, command name, access level, or region policy changed.</t>
  </si>
  <si>
    <t>RB-04207</t>
  </si>
  <si>
    <t>P10-F04207</t>
  </si>
  <si>
    <t>PBL-0035</t>
  </si>
  <si>
    <t>CurrentFile=Data/Scripts/Custom/Government System/Vendor/CityPlayerVendor.cs; Line=73; SourceLine=CommandSystem.Register(; PathResolution=OriginalPathCurrent; MatchQuality=CurrentSourceLine; FileExists=True; DisabledEvidence=False; ParsedCommand=MoveBox; ParsedAccess=Player; ParsedHandler=MoveVendor_OnCommand; CommandParseQuality=ParsedCommandAccessHandler; CommandBlock=CommandSystem.Register( "MoveBox", AccessLevel.Player, new CommandEventHandler(MoveVendor_OnCommand) );; ProjectTruth=RecordType=ProjectInclude;Included=True;Missing=False;Unincluded=False;Action=Keep | RecordType=SourceFile;Included=True;Missing=False;Unincluded=False;Action=Keep; RuntimeInventory=PrimaryRole=CommandSurface;SecondaryRoles=StartupWiring;Persistence;Economy;Commands=CommandSystem.Register(;Hooks=Initialize;OnSpeech;SerializedTypes=class:CityVendorBackpack;class:CityPlayerVendor;class:VendorMoveTarget;Gumps=; SerializationRegister=Class=Server.Mobiles.CityPlayerVendor;Version=1;Handling=SwitchGotoCase;Alignment=AlignedByCountAndKnownTypes;MoveRisk=UnknownUntilSaveTest | Class=Server.Mobiles.CityVendorBackpack;Version=0;Handling=SingleVersionOnly;Alignment=AlignedByCountAndKnownTypes;MoveRisk=UnknownUntilSaveTest; CommandRegister=RegisterCommand=;RegisterAccess=;RegisterHandler=;Guards=AccessGuard;BoundsGuard;MapGuard;NullGuard;PacketReadGuard;RangeGuard;StateGuard;Risk=Medium</t>
  </si>
  <si>
    <t>RB-04208</t>
  </si>
  <si>
    <t>P10-F04208</t>
  </si>
  <si>
    <t>PBL-0036</t>
  </si>
  <si>
    <t>CurrentFile=Data/Scripts/Custom/Invasion System/Gump/InvasionGump.cs; Line=14; SourceLine=CommandSystem.Register(; PathResolution=OriginalPathCurrent; MatchQuality=CurrentSourceLine; FileExists=True; DisabledEvidence=False; ParsedCommand=invasion; ParsedAccess=Administrator; ParsedHandler=CityInvasion_OnCommand; CommandParseQuality=ParsedCommandAccessHandler; CommandBlock=CommandSystem.Register( "invasion", AccessLevel.Administrator, new CommandEventHandler(CityInvasion_OnCommand)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CommandRegister=RegisterCommand=;RegisterAccess=;RegisterHandler=;Guards=AccessGuard;BoundsGuard;MapGuard;StateGuard;Risk=Medium</t>
  </si>
  <si>
    <t>HistoricalFile=Data/Scripts/Custom/Invasion System/Gump/InvasionGump.cs; Risk=Runtime;Staff;Player; POST-BATCH-L is audit-only P2 residual triage. No source, project, XML/config, serialized layout, runtime file location, command name, access level, or region policy changed.</t>
  </si>
  <si>
    <t>RB-04224</t>
  </si>
  <si>
    <t>P10-F04224</t>
  </si>
  <si>
    <t>PBL-0037</t>
  </si>
  <si>
    <t>CurrentFile=Data/Scripts/Custom/StaffTools/StaticGumpTool/Side Gumps/AddCooking.cs; Line=18; SourceLine=CommandSystem.Register(; PathResolution=PostBatchHMove:Data/Scripts/Custom/OzThothStaticGump-&gt;Data/Scripts/Custom/StaffTools/StaticGumpTool; MatchQuality=CurrentSourceLine; FileExists=True; DisabledEvidence=False; ParsedCommand=AddCookingStatic; ParsedAccess=GameMaster; ParsedHandler=AddCookingStatic_OnCommand; CommandParseQuality=ParsedCommandAccessHandler; CommandBlock=CommandSystem.Register( "AddCookingStatic", AccessLevel.GameMaster, new CommandEventHandler(AddCookingStatic_OnCommand) );; ProjectTruth=RecordType=ProjectInclude;Included=True;Missing=False;Unincluded=False;Action=Keep | RecordType=SourceFile;Included=True;Missing=False;Unincluded=False;Action=Keep; RuntimeInventory=PrimaryRole=CommandSurface;SecondaryRoles=StartupWiring;GumpUI;Crafting;StaffTooling;Commands=CommandSystem.Register(;Hooks=Initialize;SerializedTypes=;Gumps=OnResponse;SendGump; CommandRegister=RegisterCommand=;RegisterAccess=;RegisterHandler=;Guards=AccessGuard;BoundsGuard;StateGuard;Risk=Medium</t>
  </si>
  <si>
    <t>HistoricalFile=Data/Scripts/Custom/OzThothStaticGump/Side Gumps/AddCooking.cs; Risk=Runtime;Staff;Player; POST-BATCH-L is audit-only P2 residual triage. No source, project, XML/config, serialized layout, runtime file location, command name, access level, or region policy changed.</t>
  </si>
  <si>
    <t>RB-04248</t>
  </si>
  <si>
    <t>P10-F04248</t>
  </si>
  <si>
    <t>PBL-0038</t>
  </si>
  <si>
    <t>CurrentFile=Data/Scripts/Custom/Vhaerun's CRL Homestead System [2.0]/Dracana's Winecrafting [2.0]/Commands/AddGrapevines.cs; Line=20; SourceLine=CommandSystem.Register(; PathResolution=OriginalPathCurrent; MatchQuality=CurrentSourceLine; FileExists=True; DisabledEvidence=False; ParsedCommand=addgv; ParsedAccess=Administrator; ParsedHandler=gv_OnCommand; CommandParseQuality=ParsedCommandAccessHandler; CommandBlock=CommandSystem.Register( "addgv", AccessLevel.Administrator, new CommandEventHandler(gv_OnCommand) );; ProjectTruth=RecordType=ProjectInclude;Included=True;Missing=False;Unincluded=False;Action=Keep | RecordType=SourceFile;Included=True;Missing=False;Unincluded=False;Action=Keep; RuntimeInventory=PrimaryRole=CommandSurface;SecondaryRoles=StartupWiring;GumpUI;Crafting;Commands=CommandSystem.Register(;Hooks=Initialize;SerializedTypes=;Gumps=SendGump; CommandRegister=RegisterCommand=;RegisterAccess=;RegisterHandler=;Guards=AccessGuard;Risk=Medium</t>
  </si>
  <si>
    <t>HistoricalFile=Data/Scripts/Custom/Vhaerun's CRL Homestead System [2.0]/Dracana's Winecrafting [2.0]/Commands/AddGrapevines.cs; Risk=Runtime;Staff;Player; POST-BATCH-L is audit-only P2 residual triage. No source, project, XML/config, serialized layout, runtime file location, command name, access level, or region policy changed.</t>
  </si>
  <si>
    <t>RB-04249</t>
  </si>
  <si>
    <t>P10-F04249</t>
  </si>
  <si>
    <t>PBL-0039</t>
  </si>
  <si>
    <t>CurrentFile=Data/Scripts/Custom/Vhaerun's CRL Homestead System [2.0]/Vhaerun's CRL Cooking/Package Systems/HungerGump/HungerGump.cs; Line=22; SourceLine=CommandSystem.Register(; PathResolution=OriginalPathCurrent; MatchQuality=CurrentSourceLine; FileExists=True; DisabledEvidence=False; ParsedCommand=Hunger; ParsedAccess=Player; ParsedHandler=Hungry_OnCommand; CommandParseQuality=ParsedCommandAccessHandler; CommandBlock=CommandSystem.Register( "Hunger", AccessLevel.Player, new CommandEventHandler(Hungry_OnCommand) );; ProjectTruth=RecordType=ProjectInclude;Included=True;Missing=False;Unincluded=False;Action=Keep | RecordType=SourceFile;Included=True;Missing=False;Unincluded=False;Action=Keep; RuntimeInventory=PrimaryRole=CommandSurface;SecondaryRoles=StartupWiring;GumpUI;Crafting;Commands=CommandSystem.Register(;Hooks=Initialize;SerializedTypes=;Gumps=OnResponse;SendGump; CommandRegister=RegisterCommand=;RegisterAccess=;RegisterHandler=;Guards=AccessGuard;StateGuard;Risk=Medium</t>
  </si>
  <si>
    <t>HistoricalFile=Data/Scripts/Custom/Vhaerun's CRL Homestead System [2.0]/Vhaerun's CRL Cooking/Package Systems/HungerGump/HungerGump.cs; Risk=Runtime;Staff;Player; POST-BATCH-L is audit-only P2 residual triage. No source, project, XML/config, serialized layout, runtime file location, command name, access level, or region policy changed.</t>
  </si>
  <si>
    <t>RB-04250</t>
  </si>
  <si>
    <t>P10-F04250</t>
  </si>
  <si>
    <t>PBL-0040</t>
  </si>
  <si>
    <t>CurrentFile=Data/Scripts/Custom/Vhaerun's CRL Homestead System [2.0]/Vhaerun's CRL Cooking/Package Systems/HungerGump/HungerGump.cs; Line=27; SourceLine=CommandSystem.Register(; PathResolution=OriginalPathCurrent; MatchQuality=CurrentSourceLine; FileExists=True; DisabledEvidence=False; ParsedCommand=Thirst; ParsedAccess=Player; ParsedHandler=Hungry_OnCommand; CommandParseQuality=ParsedCommandAccessHandler; CommandBlock=CommandSystem.Register( "Thirst", AccessLevel.Player, new CommandEventHandler(Hungry_OnCommand) );; ProjectTruth=RecordType=ProjectInclude;Included=True;Missing=False;Unincluded=False;Action=Keep | RecordType=SourceFile;Included=True;Missing=False;Unincluded=False;Action=Keep; RuntimeInventory=PrimaryRole=CommandSurface;SecondaryRoles=StartupWiring;GumpUI;Crafting;Commands=CommandSystem.Register(;Hooks=Initialize;SerializedTypes=;Gumps=OnResponse;SendGump; CommandRegister=RegisterCommand=;RegisterAccess=;RegisterHandler=;Guards=AccessGuard;StateGuard;Risk=Medium</t>
  </si>
  <si>
    <t>RB-04336</t>
  </si>
  <si>
    <t>P10-F04336</t>
  </si>
  <si>
    <t>Data/Scripts/Items/Food/Hunger.cs</t>
  </si>
  <si>
    <t>PBL-0041</t>
  </si>
  <si>
    <t>CurrentFile=Data/Scripts/Items/Food/Hunger.cs; Line=15; SourceLine=CommandSystem.Register(; PathResolution=OriginalPathCurrent; MatchQuality=CurrentSourceLine; FileExists=True; DisabledEvidence=False; ParsedCommand=mhgr; ParsedAccess=Player; ParsedHandler=MyHunger_OnCommand; CommandParseQuality=ParsedCommandAccessHandler; CommandBlock=CommandSystem.Register( "mhgr", AccessLevel.Player, new CommandEventHandler(MyHunger_OnCommand) );; ProjectTruth=RecordType=ProjectInclude;Included=True;Missing=False;Unincluded=False;Action=Keep | RecordType=SourceFile;Included=True;Missing=False;Unincluded=False;Action=Keep; RuntimeInventory=PrimaryRole=CommandSurface;SecondaryRoles=StartupWiring;ItemContent;Commands=CommandSystem.Register(;Hooks=Initialize;SerializedTypes=;Gumps=; CommandRegister=RegisterCommand=;RegisterAccess=;RegisterHandler=;Guards=AccessGuard;Risk=Medium</t>
  </si>
  <si>
    <t>HistoricalFile=Data/Scripts/Items/Food/Hunger.cs; Risk=Runtime;Staff;Player; POST-BATCH-L is audit-only P2 residual triage. No source, project, XML/config, serialized layout, runtime file location, command name, access level, or region policy changed.</t>
  </si>
  <si>
    <t>RB-04337</t>
  </si>
  <si>
    <t>P10-F04337</t>
  </si>
  <si>
    <t>PBL-0042</t>
  </si>
  <si>
    <t>CurrentFile=Data/Scripts/Items/Food/Hunger.cs; Line=20; SourceLine=CommandSystem.Register(; PathResolution=OriginalPathCurrent; MatchQuality=CurrentSourceLine; FileExists=True; DisabledEvidence=False; ParsedCommand=myhunger; ParsedAccess=Player; ParsedHandler=MyHunger_OnCommand; CommandParseQuality=ParsedCommandAccessHandler; CommandBlock=CommandSystem.Register( "myhunger", AccessLevel.Player, new CommandEventHandler(MyHunger_OnCommand) );; ProjectTruth=RecordType=ProjectInclude;Included=True;Missing=False;Unincluded=False;Action=Keep | RecordType=SourceFile;Included=True;Missing=False;Unincluded=False;Action=Keep; RuntimeInventory=PrimaryRole=CommandSurface;SecondaryRoles=StartupWiring;ItemContent;Commands=CommandSystem.Register(;Hooks=Initialize;SerializedTypes=;Gumps=; CommandRegister=RegisterCommand=;RegisterAccess=;RegisterHandler=;Guards=AccessGuard;Risk=Medium</t>
  </si>
  <si>
    <t>RB-04338</t>
  </si>
  <si>
    <t>P10-F04338</t>
  </si>
  <si>
    <t>PBL-0043</t>
  </si>
  <si>
    <t>CurrentFile=Data/Scripts/Items/Houses/HouseFoundation.cs; Line=974; SourceLine=CommandSystem.Register(; PathResolution=OriginalPathCurrent; MatchQuality=CurrentSourceLine; FileExists=True; DisabledEvidence=False; ParsedCommand=DesignInsert; ParsedAccess=GameMaster; ParsedHandler=DesignInsert_OnCommand; CommandParseQuality=ParsedCommandAccessHandler; CommandBlock=CommandSystem.Register( "DesignInsert", AccessLevel.GameMaster, new CommandEventHandler(DesignInsert_OnCommand) );; ProjectTruth=RecordType=ProjectInclude;Included=True;Missing=False;Unincluded=False;Action=Keep | RecordType=SourceFile;Included=True;Missing=False;Unincluded=False;Action=Keep; RuntimeInventory=PrimaryRole=CommandSurface;SecondaryRoles=StartupWiring;GumpUI;Persistence;ItemContent;Commands=CommandSystem.Register(;Hooks=EventSink;Initialize;Timer.DelayCall;SerializedTypes=enum:FoundationType;class:HouseFoundation;class:DesignInsertTarget;class:DesignState;class:ConfirmCommitGump;class:DesignContext;class:BeginHouseCustomization;class:EndHouseCustomization;class:DesignStateGeneral;class:DesignStateDetailed;class:SendQueueEntry;Gumps=OnResponse;SendGump; SerializationRegister=Class=Server.Multis.DesignState;Version=0;Handling=WriteVersionOnly;Alignment=CountMismatch:Writes=7;Reads=0;MoveRisk=UnknownUntilSaveTest | Class=Server.Multis.HouseFoundation;Version=Unknown;Handling=ReadVersionOnly;Alignment=TypeMismatch:#1:Write=int/Read=Item;#4:Write=int/Read=Item;MoveRisk=UnknownUntilSaveTest; CommandRegister=RegisterCommand=;RegisterAccess=;RegisterHandler=;Guards=AccessGuard;BoundsGuard;DeletedGuard;MapGuard;NullGuard;PacketReadGuard;RangeGuard;StateGuard;Risk=Medium</t>
  </si>
  <si>
    <t>HistoricalFile=Data/Scripts/Items/Houses/HouseFoundation.cs; Risk=Runtime;Staff;Player; POST-BATCH-L is audit-only P2 residual triage. No source, project, XML/config, serialized layout, runtime file location, command name, access level, or region policy changed.</t>
  </si>
  <si>
    <t>RB-04339</t>
  </si>
  <si>
    <t>P10-F04339</t>
  </si>
  <si>
    <t>PBL-0044</t>
  </si>
  <si>
    <t>CurrentFile=Data/Scripts/Items/Houses/Monopoly/Decorate.cs; Line=14; SourceLine=CommandSystem.Register(; PathResolution=OriginalPathCurrent; MatchQuality=CurrentSourceLine; FileExists=True; DisabledEvidence=False; ParsedCommand=Monopoly; ParsedAccess=Administrator; ParsedHandler=Monopoly_OnCommand; CommandParseQuality=ParsedCommandAccessHandler; CommandBlock=CommandSystem.Register( "Monopoly", AccessLevel.Administrator, new CommandEventHandler(Monopoly_OnCommand) );; ProjectTruth=RecordType=ProjectInclude;Included=True;Missing=False;Unincluded=False;Action=Keep | RecordType=SourceFile;Included=True;Missing=False;Unincluded=False;Action=Keep; RuntimeInventory=PrimaryRole=CommandSurface;SecondaryRoles=StartupWiring;ItemContent;Commands=CommandSystem.Register(;Hooks=Initialize;SerializedTypes=;Gumps=; CommandRegister=RegisterCommand=;RegisterAccess=;RegisterHandler=;Guards=AccessGuard;BoundsGuard;MapGuard;NullGuard;RangeGuard;Risk=Medium</t>
  </si>
  <si>
    <t>HistoricalFile=Data/Scripts/Items/Houses/Monopoly/Decorate.cs; Risk=Runtime;Staff;Player; POST-BATCH-L is audit-only P2 residual triage. No source, project, XML/config, serialized layout, runtime file location, command name, access level, or region policy changed.</t>
  </si>
  <si>
    <t>RB-04594</t>
  </si>
  <si>
    <t>P10-F04594</t>
  </si>
  <si>
    <t>Data/Scripts/System/Gumps/ViewHousesGump.cs</t>
  </si>
  <si>
    <t>PBL-0046</t>
  </si>
  <si>
    <t>CurrentFile=Data/Scripts/System/Gumps/ViewHousesGump.cs; Line=17; SourceLine=CommandSystem.Register(; PathResolution=OriginalPathCurrent; MatchQuality=CurrentSourceLine; FileExists=True; DisabledEvidence=False; ParsedCommand=ViewHouses; ParsedAccess=GameMaster; ParsedHandler=ViewHouses_OnCommand; CommandParseQuality=ParsedCommandAccessHandler; CommandBlock=CommandSystem.Register( "ViewHouses", AccessLevel.GameMaster, new CommandEventHandler(ViewHouses_OnCommand)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CommandRegister=RegisterCommand=;RegisterAccess=;RegisterHandler=;Guards=AccessGuard;BoundsGuard;DeletedGuard;MapGuard;NullGuard;RangeGuard;StateGuard;Risk=Medium</t>
  </si>
  <si>
    <t>HistoricalFile=Data/Scripts/System/Gumps/ViewHousesGump.cs; Risk=Runtime;Staff;Player; POST-BATCH-L is audit-only P2 residual triage. No source, project, XML/config, serialized layout, runtime file location, command name, access level, or region policy changed.</t>
  </si>
  <si>
    <t>RB-04330</t>
  </si>
  <si>
    <t>P10-F04330</t>
  </si>
  <si>
    <t>Data/Scripts/Items/Construction/Addons/SHTeleporter.cs</t>
  </si>
  <si>
    <t>PBL-0047</t>
  </si>
  <si>
    <t>CurrentFile=Data/Scripts/Items/Construction/Addons/SHTeleporter.cs; Line=154; SourceLine=CommandSystem.Register(; PathResolution=OriginalPathCurrent; MatchQuality=CurrentSourceLine; FileExists=True; DisabledEvidence=False; ParsedCommand=SHTelGen; ParsedAccess=Administrator; ParsedHandler=SHTelGen_OnCommand; CommandParseQuality=ParsedCommandAccessHandler; CommandBlock=CommandSystem.Register( "SHTelGen", AccessLevel.Administrator, new CommandEventHandler(SHTelGen_OnCommand) );; ProjectTruth=RecordType=ProjectInclude;Included=True;Missing=False;Unincluded=False;Action=Keep | RecordType=SourceFile;Included=True;Missing=False;Unincluded=False;Action=Keep; RuntimeInventory=PrimaryRole=CommandSurface;SecondaryRoles=StartupWiring;Persistence;ItemContent;Commands=CommandSystem.Register(;Hooks=Initialize;SerializedTypes=class:SHTeleComponent;class:SHTeleporter;class:SHTeleporterCreator;Gumps=; SerializationRegister=Class=Server.Items.SHTeleComponent;Version=0;Handling=SingleVersionOnly;Alignment=CountMatchNeedsTypeReview:UnknownWrites=3;MoveRisk=NamespaceOrTypeRenameDanger | Class=Server.Items.SHTeleporter;Version=0;Handling=SingleVersionOnly;Alignment=CountMatchNeedsTypeReview:UnknownWrites=5;MoveRisk=NamespaceOrTypeRenameDanger; CommandRegister=RegisterCommand=;RegisterAccess=;RegisterHandler=;Guards=AccessGuard;BoundsGuard;DeletedGuard;MapGuard;NullGuard;PacketReadGuard;RangeGuard;Risk=Medium</t>
  </si>
  <si>
    <t>HistoricalFile=Data/Scripts/Items/Construction/Addons/SHTeleporter.cs; Risk=Runtime;Staff;Player; POST-BATCH-L is audit-only P2 residual triage. No source, project, XML/config, serialized layout, runtime file location, command name, access level, or region policy changed.</t>
  </si>
  <si>
    <t>RB-04331</t>
  </si>
  <si>
    <t>P10-F04331</t>
  </si>
  <si>
    <t>Data/Scripts/Items/Containers/MarkContainer.cs</t>
  </si>
  <si>
    <t>PBL-0048</t>
  </si>
  <si>
    <t>CurrentFile=Data/Scripts/Items/Containers/MarkContainer.cs; Line=11; SourceLine=CommandSystem.Register(; PathResolution=OriginalPathCurrent; MatchQuality=CurrentSourceLine; FileExists=True; DisabledEvidence=False; ParsedCommand=SecretLocGen; ParsedAccess=Administrator; ParsedHandler=SecretLocGen_OnCommand; CommandParseQuality=ParsedCommandAccessHandler; CommandBlock=CommandSystem.Register( "SecretLocGen", AccessLevel.Administrator, new CommandEventHandler(SecretLocGen_OnCommand) );; ProjectTruth=RecordType=ProjectInclude;Included=True;Missing=False;Unincluded=False;Action=Keep | RecordType=SourceFile;Included=True;Missing=False;Unincluded=False;Action=Keep; RuntimeInventory=PrimaryRole=CommandSurface;SecondaryRoles=StartupWiring;Persistence;ItemContent;Commands=CommandSystem.Register(;Hooks=CustomTimerSubclass;Initialize;SerializedTypes=class:MarkContainer;class:InternalTimer;Gumps=; SerializationRegister=Class=Server.Items.MarkContainer;Version=0;Handling=SingleVersionOnly;Alignment=CountMatchNeedsTypeReview:UnknownWrites=4;MoveRisk=NamespaceOrTypeRenameDanger; CommandRegister=RegisterCommand=;RegisterAccess=;RegisterHandler=;Guards=AccessGuard;MapGuard;NullGuard;PacketReadGuard;RangeGuard;StateGuard;Risk=Medium</t>
  </si>
  <si>
    <t>HistoricalFile=Data/Scripts/Items/Containers/MarkContainer.cs; Risk=Runtime;Staff;Player; POST-BATCH-L is audit-only P2 residual triage. No source, project, XML/config, serialized layout, runtime file location, command name, access level, or region policy changed.</t>
  </si>
  <si>
    <t>RB-04332</t>
  </si>
  <si>
    <t>P10-F04332</t>
  </si>
  <si>
    <t>PBL-0049</t>
  </si>
  <si>
    <t>CurrentFile=Data/Scripts/Items/Decorations/Artifacts/StealableArtifactsSpawner.cs; Line=361; SourceLine=CommandSystem.Register(; PathResolution=OriginalPathCurrent; MatchQuality=CurrentSourceLine; FileExists=True; DisabledEvidence=False; ParsedCommand=GenStealArties; ParsedAccess=Administrator; ParsedHandler=GenStealArties_OnCommand; CommandParseQuality=ParsedCommandAccessHandler; CommandBlock=CommandSystem.Register( "GenStealArties", AccessLevel.Administrator, new CommandEventHandler(GenStealArties_OnCommand) );; ProjectTruth=RecordType=ProjectInclude;Included=True;Missing=False;Unincluded=False;Action=Keep | RecordType=SourceFile;Included=True;Missing=False;Unincluded=False;Action=Keep; RuntimeInventory=PrimaryRole=CommandSurface;SecondaryRoles=StartupWiring;Persistence;ItemContent;WorldState;Commands=CommandSystem.Register(;Hooks=Initialize;Timer.DelayCall;SerializedTypes=class:StealableArtifactsSpawner;class:StealableEntry;class:StealableInstance;Gumps=; SerializationRegister=Class=Server.Items.StealableArtifactsSpawner;Version=Unknown;Handling=NoVersionFound;Alignment=AlignedByCountAndKnownTypes;MoveRisk=NamespaceOrTypeRenameDanger; CommandRegister=RegisterCommand=;RegisterAccess=;RegisterHandler=;Guards=AccessGuard;BoundsGuard;DeletedGuard;MapGuard;NullGuard;PacketReadGuard;StateGuard;Risk=Medium</t>
  </si>
  <si>
    <t>HistoricalFile=Data/Scripts/Items/Decorations/Artifacts/StealableArtifactsSpawner.cs; Risk=Runtime;Staff;Player; POST-BATCH-L is audit-only P2 residual triage. No source, project, XML/config, serialized layout, runtime file location, command name, access level, or region policy changed.</t>
  </si>
  <si>
    <t>RB-04333</t>
  </si>
  <si>
    <t>P10-F04333</t>
  </si>
  <si>
    <t>PBL-0050</t>
  </si>
  <si>
    <t>CurrentFile=Data/Scripts/Items/Decorations/Artifacts/StealableArtifactsSpawner.cs; Line=366; SourceLine=CommandSystem.Register(; PathResolution=OriginalPathCurrent; MatchQuality=CurrentSourceLine; FileExists=True; DisabledEvidence=False; ParsedCommand=RemoveStealArties; ParsedAccess=Administrator; ParsedHandler=RemoveStealArties_OnCommand; CommandParseQuality=ParsedCommandAccessHandler; CommandBlock=CommandSystem.Register( "RemoveStealArties", AccessLevel.Administrator, new CommandEventHandler(RemoveStealArties_OnCommand) );; ProjectTruth=RecordType=ProjectInclude;Included=True;Missing=False;Unincluded=False;Action=Keep | RecordType=SourceFile;Included=True;Missing=False;Unincluded=False;Action=Keep; RuntimeInventory=PrimaryRole=CommandSurface;SecondaryRoles=StartupWiring;Persistence;ItemContent;WorldState;Commands=CommandSystem.Register(;Hooks=Initialize;Timer.DelayCall;SerializedTypes=class:StealableArtifactsSpawner;class:StealableEntry;class:StealableInstance;Gumps=; SerializationRegister=Class=Server.Items.StealableArtifactsSpawner;Version=Unknown;Handling=NoVersionFound;Alignment=AlignedByCountAndKnownTypes;MoveRisk=NamespaceOrTypeRenameDanger; CommandRegister=RegisterCommand=;RegisterAccess=;RegisterHandler=;Guards=AccessGuard;BoundsGuard;DeletedGuard;MapGuard;NullGuard;PacketReadGuard;StateGuard;Risk=Medium</t>
  </si>
  <si>
    <t>RB-04341</t>
  </si>
  <si>
    <t>P10-F04341</t>
  </si>
  <si>
    <t>PBL-0053</t>
  </si>
  <si>
    <t>CurrentFile=Data/Scripts/Items/Magical/God/Commands/ItemExpCommand.cs; Line=22; SourceLine=CommandSystem.Register(; PathResolution=OriginalPathCurrent; MatchQuality=CurrentSourceLine; FileExists=True; DisabledEvidence=False; ParsedCommand=itemexp; ParsedAccess=Player; ParsedHandler=ixp_OnCommand; CommandParseQuality=ParsedCommandAccessHandler; CommandBlock=CommandSystem.Register( "itemexp", AccessLevel.Player, new CommandEventHandler(ixp_OnCommand) );; ProjectTruth=RecordType=ProjectInclude;Included=True;Missing=False;Unincluded=False;Action=Keep | RecordType=SourceFile;Included=True;Missing=False;Unincluded=False;Action=Keep; RuntimeInventory=PrimaryRole=CommandSurface;SecondaryRoles=StartupWiring;GumpUI;CombatPolicy;ItemContent;Commands=CommandSystem.Register(;Hooks=Initialize;SerializedTypes=;Gumps=SendGump; CommandRegister=RegisterCommand=;RegisterAccess=;RegisterHandler=;Guards=AccessGuard;StateGuard;Risk=Medium</t>
  </si>
  <si>
    <t>HistoricalFile=Data/Scripts/Items/Magical/God/Commands/ItemExpCommand.cs; Risk=Runtime;Staff;Player; POST-BATCH-L is audit-only P2 residual triage. No source, project, XML/config, serialized layout, runtime file location, command name, access level, or region policy changed.</t>
  </si>
  <si>
    <t>RB-04342</t>
  </si>
  <si>
    <t>P10-F04342</t>
  </si>
  <si>
    <t>PBL-0054</t>
  </si>
  <si>
    <t>CurrentFile=Data/Scripts/Items/Magical/God/Commands/ItemExpCommand.cs; Line=27; SourceLine=CommandSystem.Register(; PathResolution=OriginalPathCurrent; MatchQuality=CurrentSourceLine; FileExists=True; DisabledEvidence=False; ParsedCommand=ixp; ParsedAccess=Player; ParsedHandler=ixp_OnCommand; CommandParseQuality=ParsedCommandAccessHandler; CommandBlock=CommandSystem.Register( "ixp", AccessLevel.Player, new CommandEventHandler(ixp_OnCommand) );; ProjectTruth=RecordType=ProjectInclude;Included=True;Missing=False;Unincluded=False;Action=Keep | RecordType=SourceFile;Included=True;Missing=False;Unincluded=False;Action=Keep; RuntimeInventory=PrimaryRole=CommandSurface;SecondaryRoles=StartupWiring;GumpUI;CombatPolicy;ItemContent;Commands=CommandSystem.Register(;Hooks=Initialize;SerializedTypes=;Gumps=SendGump; CommandRegister=RegisterCommand=;RegisterAccess=;RegisterHandler=;Guards=AccessGuard;StateGuard;Risk=Medium</t>
  </si>
  <si>
    <t>RB-04343</t>
  </si>
  <si>
    <t>P10-F04343</t>
  </si>
  <si>
    <t>Data/Scripts/Items/Misc/FlipableAttribute.cs</t>
  </si>
  <si>
    <t>PBL-0055</t>
  </si>
  <si>
    <t>CurrentFile=Data/Scripts/Items/Misc/FlipableAttribute.cs; Line=13; SourceLine=CommandSystem.Register(; PathResolution=OriginalPathCurrent; MatchQuality=CurrentSourceLine; FileExists=True; DisabledEvidence=False; ParsedCommand=Flip; ParsedAccess=GameMaster; ParsedHandler=Flip_OnCommand; CommandParseQuality=ParsedCommandAccessHandler; CommandBlock=CommandSystem.Register( "Flip", AccessLevel.GameMaster, new CommandEventHandler(Flip_OnCommand) );; ProjectTruth=RecordType=ProjectInclude;Included=True;Missing=False;Unincluded=False;Action=Keep | RecordType=SourceFile;Included=True;Missing=False;Unincluded=False;Action=Keep; RuntimeInventory=PrimaryRole=CommandSurface;SecondaryRoles=StartupWiring;ItemContent;Commands=CommandSystem.Register(;Hooks=Initialize;SerializedTypes=;Gumps=; CommandRegister=RegisterCommand=;RegisterAccess=;RegisterHandler=;Guards=AccessGuard;BoundsGuard;NullGuard;StateGuard;Risk=Medium</t>
  </si>
  <si>
    <t>HistoricalFile=Data/Scripts/Items/Misc/FlipableAttribute.cs; Risk=Runtime;Staff;Player; POST-BATCH-L is audit-only P2 residual triage. No source, project, XML/config, serialized layout, runtime file location, command name, access level, or region policy changed.</t>
  </si>
  <si>
    <t>RB-04344</t>
  </si>
  <si>
    <t>P10-F04344</t>
  </si>
  <si>
    <t>PBL-0056</t>
  </si>
  <si>
    <t>CurrentFile=Data/Scripts/Items/Misc/PublicMoongate.cs; Line=120; SourceLine=CommandSystem.Register(; PathResolution=OriginalPathCurrent; MatchQuality=CurrentSourceLine; FileExists=True; DisabledEvidence=False; ParsedCommand=MoonGen; ParsedAccess=Administrator; ParsedHandler=MoonGen_OnCommand; CommandParseQuality=ParsedCommandAccessHandler; CommandBlock=CommandSystem.Register( "MoonGen", AccessLevel.Administrator, new CommandEventHandler(MoonGen_OnCommand) );; ProjectTruth=RecordType=ProjectInclude;Included=True;Missing=False;Unincluded=False;Action=Keep | RecordType=SourceFile;Included=True;Missing=False;Unincluded=False;Action=Keep; RuntimeInventory=PrimaryRole=CommandSurface;SecondaryRoles=StartupWiring;GumpUI;Persistence;ItemContent;Commands=CommandSystem.Register(;Hooks=Initialize;OnMovement;SerializedTypes=class:PublicMoongate;class:PMEntry;class:PMList;class:MoongateGump;Gumps=OnResponse;SendGump; SerializationRegister=Class=Server.Items.PublicMoongate;Version=0;Handling=SingleVersionOnly;Alignment=AlignedByCountAndKnownTypes;MoveRisk=NamespaceOrTypeRenameDanger;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</si>
  <si>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HistoricalFile=Data/Scripts/Items/Misc/PublicMoongate.cs; Risk=Runtime;Staff;Player; POST-BATCH-L is audit-only P2 residual triage. No source, project, XML/config, serialized layout, runtime file location, command name, access level, or region policy changed.</t>
  </si>
  <si>
    <t>RB-04345</t>
  </si>
  <si>
    <t>P10-F04345</t>
  </si>
  <si>
    <t>Data/Scripts/Items/Misc/Waypoint.cs</t>
  </si>
  <si>
    <t>PBL-0057</t>
  </si>
  <si>
    <t>CurrentFile=Data/Scripts/Items/Misc/Waypoint.cs; Line=13; SourceLine=CommandSystem.Register(; PathResolution=OriginalPathCurrent; MatchQuality=CurrentSourceLine; FileExists=True; DisabledEvidence=False; ParsedCommand=WayPointSeq; ParsedAccess=GameMaster; ParsedHandler=WayPointSeq_OnCommand; CommandParseQuality=ParsedCommandAccessHandler; CommandBlock=CommandSystem.Register( "WayPointSeq", AccessLevel.GameMaster, new CommandEventHandler(WayPointSeq_OnCommand) );; ProjectTruth=RecordType=ProjectInclude;Included=True;Missing=False;Unincluded=False;Action=Keep | RecordType=SourceFile;Included=True;Missing=False;Unincluded=False;Action=Keep; RuntimeInventory=PrimaryRole=CommandSurface;SecondaryRoles=StartupWiring;Persistence;ItemContent;Commands=CommandSystem.Register(;Hooks=Initialize;SerializedTypes=class:WayPoint;class:NextPointTarget;class:WayPointSeqTarget;Gumps=; SerializationRegister=Class=Server.Items.WayPoint;Version=0;Handling=Switch;Alignment=CountMatchNeedsTypeReview:UnknownWrites=1;MoveRisk=NamespaceOrTypeRenameDanger; CommandRegister=RegisterCommand=;RegisterAccess=;RegisterHandler=;Guards=AccessGuard;BoundsGuard;MapGuard;NullGuard;PacketReadGuard;StateGuard;Risk=Medium</t>
  </si>
  <si>
    <t>HistoricalFile=Data/Scripts/Items/Misc/Waypoint.cs; Risk=Runtime;Staff;Player; POST-BATCH-L is audit-only P2 residual triage. No source, project, XML/config, serialized layout, runtime file location, command name, access level, or region policy changed.</t>
  </si>
  <si>
    <t>RB-04346</t>
  </si>
  <si>
    <t>P10-F04346</t>
  </si>
  <si>
    <t>Data/Scripts/Items/Misc/Games/LiarsDice/DiceCommand.cs</t>
  </si>
  <si>
    <t>PBL-0058</t>
  </si>
  <si>
    <t>CurrentFile=Data/Scripts/Items/Misc/Games/LiarsDice/DiceCommand.cs; Line=26; SourceLine=CommandSystem.Register(; PathResolution=OriginalPathCurrent; MatchQuality=CurrentSourceLine; FileExists=True; DisabledEvidence=False; ParsedCommand=mex; ParsedAccess=Player; ParsedHandler=DiceCommand_OnCommand; CommandParseQuality=ParsedCommandAccessHandler; CommandBlock=CommandSystem.Register( "mex", AccessLevel.Player, new CommandEventHandler(DiceCommand_OnCommand) );; ProjectTruth=RecordType=ProjectInclude;Included=True;Missing=False;Unincluded=False;Action=Keep | RecordType=SourceFile;Included=True;Missing=False;Unincluded=False;Action=Keep; RuntimeInventory=PrimaryRole=CommandSurface;SecondaryRoles=StartupWiring;ItemContent;Commands=CommandSystem.Register(;Hooks=Initialize;SerializedTypes=;Gumps=; CommandRegister=RegisterCommand=;RegisterAccess=;RegisterHandler=;Guards=AccessGuard;Risk=Medium</t>
  </si>
  <si>
    <t>HistoricalFile=Data/Scripts/Items/Misc/Games/LiarsDice/DiceCommand.cs; Risk=Runtime;Staff;Player; POST-BATCH-L is audit-only P2 residual triage. No source, project, XML/config, serialized layout, runtime file location, command name, access level, or region policy changed.</t>
  </si>
  <si>
    <t>RB-04244</t>
  </si>
  <si>
    <t>P10-F04244</t>
  </si>
  <si>
    <t>PBL-0059</t>
  </si>
  <si>
    <t>CurrentFile=Data/Scripts/Custom/PvPConsent/Gumps/PKNONPKGUMP.cs; Line=89; SourceLine=CommandSystem.Register(; PathResolution=OriginalPathCurrent; MatchQuality=CurrentSourceLine; FileExists=True; DisabledEvidence=False; ParsedCommand=ChoosePvP; ParsedAccess=Player; ParsedHandler=ChoosePvP_OnCommand; CommandParseQuality=ParsedCommandAccessHandler; CommandBlock=CommandSystem.Register( "ChoosePvP", AccessLevel.Player, new CommandEventHandler(ChoosePvP_OnCommand)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RuntimeInventory=PrimaryRole=CommandSurface;SecondaryRoles=StartupWiring;GumpUI;CombatPolicy;Commands=CommandSystem.Register(;Hooks=Initialize;SerializedTypes=;Gumps=OnResponse;SendGump; CommandRegister=RegisterCommand=;RegisterAccess=;RegisterHandler=;Guards=AccessGuard;BoundsGuard;NullGuard;StateGuard;Risk=Medium</t>
  </si>
  <si>
    <t>HistoricalFile=Data/Scripts/Custom/PvPConsent/Gumps/PKNONPKGUMP.cs; Risk=Runtime;Staff;Player; POST-BATCH-L is audit-only P2 residual triage. No source, project, XML/config, serialized layout, runtime file location, command name, access level, or region policy changed.</t>
  </si>
  <si>
    <t>RB-04358</t>
  </si>
  <si>
    <t>P10-F04358</t>
  </si>
  <si>
    <t>PBL-0060</t>
  </si>
  <si>
    <t>CurrentFile=Data/Scripts/Quests/Quests.cs; Line=15; SourceLine=CommandSystem.Register(; PathResolution=OriginalPathCurrent; MatchQuality=CurrentSourceLine; FileExists=True; DisabledEvidence=False; ParsedCommand=quests; ParsedAccess=Player; ParsedHandler=MyQuests_OnCommand; CommandParseQuality=ParsedCommandAccessHandler; CommandBlock=CommandSystem.Register( "quests", AccessLevel.Player, new CommandEventHandler(MyQuests_OnCommand) );; ProjectTruth=RecordType=ProjectInclude;Included=True;Missing=False;Unincluded=False;Action=Keep | RecordType=SourceFile;Included=True;Missing=False;Unincluded=False;Action=Keep; RuntimeInventory=PrimaryRole=CommandSurface;SecondaryRoles=StartupWiring;GumpUI;WorldState;Commands=CommandSystem.Register(;Hooks=Initialize;SerializedTypes=;Gumps=SendGump; CommandRegister=RegisterCommand=;RegisterAccess=;RegisterHandler=;Guards=AccessGuard;StateGuard;Risk=Medium</t>
  </si>
  <si>
    <t>HistoricalFile=Data/Scripts/Quests/Quests.cs; Risk=Runtime;Staff;Player; POST-BATCH-L is audit-only P2 residual triage. No source, project, XML/config, serialized layout, runtime file location, command name, access level, or region policy changed.</t>
  </si>
  <si>
    <t>RB-04245</t>
  </si>
  <si>
    <t>P10-F04245</t>
  </si>
  <si>
    <t>Data/Scripts/Custom/RandomEncounters/Commands.cs</t>
  </si>
  <si>
    <t>PBL-0061</t>
  </si>
  <si>
    <t>CurrentFile=Data/Scripts/Custom/PvE/RandomEncounters/Commands.cs; Line=23; SourceLine=Server.Commands.CommandSystem.Register(; PathResolution=PostBatchHMove:Data/Scripts/Custom/RandomEncounters-&gt;Data/Scripts/Custom/PvE/RandomEncounters; MatchQuality=CurrentSourceLine; FileExists=True; DisabledEvidence=False; ParsedCommand=rand; ParsedAccess=Administrator; ParsedHandler=OnCommand; CommandParseQuality=ParsedCommandAccessHandler; CommandBlock=Server.Commands.CommandSystem.Register( "rand", AccessLevel.Administrator, new CommandEventHandler(OnCommand) );; ProjectTruth=RecordType=ProjectInclude;Included=True;Missing=False;Unincluded=False;Action=Keep | RecordType=SourceFile;Included=True;Missing=False;Unincluded=False;Action=Keep; RuntimeInventory=PrimaryRole=CommandSurface;SecondaryRoles=StartupWiring;WorldState;Commands=Server.Commands.CommandSystem.Register(;Hooks=Initialize;SerializedTypes=;Gumps=; CommandRegister=RegisterCommand=;RegisterAccess=;RegisterHandler=;Guards=AccessGuard;BoundsGuard;Risk=Medium</t>
  </si>
  <si>
    <t>HistoricalFile=Data/Scripts/Custom/RandomEncounters/Commands.cs; Risk=Runtime;Staff;Player; POST-BATCH-L is audit-only P2 residual triage. No source, project, XML/config, serialized layout, runtime file location, command name, access level, or region policy changed.</t>
  </si>
  <si>
    <t>RB-04634</t>
  </si>
  <si>
    <t>P10-F04634</t>
  </si>
  <si>
    <t>PBL-0062</t>
  </si>
  <si>
    <t>CurrentFile=Data/Scripts/System/Misc/Spawning.cs; Line=26; SourceLine=CommandSystem.Register(; PathResolution=OriginalPathCurrent; MatchQuality=CurrentSourceLine; FileExists=True; DisabledEvidence=False; ParsedCommand=GumpSaveRegion; ParsedAccess=Administrator; ParsedHandler=OptionsGumps1_OnCommand; CommandParseQuality=ParsedCommandAccessHandler; CommandBlock=CommandSystem.Register( "GumpSaveRegion", AccessLevel.Administrator, new CommandEventHandler(OptionsGumps1_OnCommand)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CommandRegister=RegisterCommand=;RegisterAccess=;RegisterHandler=;Guards=AccessGuard;BoundsGuard;DeletedGuard;MapGuard;NullGuard;PacketReadGuard;RangeGuard;StateGuard;Risk=Medium</t>
  </si>
  <si>
    <t>HistoricalFile=Data/Scripts/System/Misc/Spawning.cs; Risk=Runtime;Staff;Player; POST-BATCH-L is audit-only P2 residual triage. No source, project, XML/config, serialized layout, runtime file location, command name, access level, or region policy changed.</t>
  </si>
  <si>
    <t>RB-04635</t>
  </si>
  <si>
    <t>P10-F04635</t>
  </si>
  <si>
    <t>PBL-0063</t>
  </si>
  <si>
    <t>CurrentFile=Data/Scripts/System/Misc/Spawning.cs; Line=31; SourceLine=CommandSystem.Register(; PathResolution=OriginalPathCurrent; MatchQuality=CurrentSourceLine; FileExists=True; DisabledEvidence=False; ParsedCommand=GumpSaveCoordinate; ParsedAccess=Administrator; ParsedHandler=OptionsGumps2_OnCommand; CommandParseQuality=ParsedCommandAccessHandler; CommandBlock=CommandSystem.Register( "GumpSaveCoordinate", AccessLevel.Administrator, new CommandEventHandler(OptionsGumps2_OnCommand)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CommandRegister=RegisterCommand=;RegisterAccess=;RegisterHandler=;Guards=AccessGuard;BoundsGuard;DeletedGuard;MapGuard;NullGuard;PacketReadGuard;RangeGuard;StateGuard;Risk=Medium</t>
  </si>
  <si>
    <t>RB-04636</t>
  </si>
  <si>
    <t>P10-F04636</t>
  </si>
  <si>
    <t>PBL-0064</t>
  </si>
  <si>
    <t>CurrentFile=Data/Scripts/System/Misc/Spawning.cs; Line=36; SourceLine=CommandSystem.Register(; PathResolution=OriginalPathCurrent; MatchQuality=CurrentSourceLine; FileExists=True; DisabledEvidence=False; ParsedCommand=GumpRemoveID; ParsedAccess=Administrator; ParsedHandler=OptionsGumps3_OnCommand; CommandParseQuality=ParsedCommandAccessHandler; CommandBlock=CommandSystem.Register( "GumpRemoveID", AccessLevel.Administrator, new CommandEventHandler(OptionsGumps3_OnCommand)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CommandRegister=RegisterCommand=;RegisterAccess=;RegisterHandler=;Guards=AccessGuard;BoundsGuard;DeletedGuard;MapGuard;NullGuard;PacketReadGuard;RangeGuard;StateGuard;Risk=Medium</t>
  </si>
  <si>
    <t>RB-04637</t>
  </si>
  <si>
    <t>P10-F04637</t>
  </si>
  <si>
    <t>PBL-0065</t>
  </si>
  <si>
    <t>CurrentFile=Data/Scripts/System/Misc/Spawning.cs; Line=41; SourceLine=CommandSystem.Register(; PathResolution=OriginalPathCurrent; MatchQuality=CurrentSourceLine; FileExists=True; DisabledEvidence=False; ParsedCommand=GumpRemoveCoordinate; ParsedAccess=Administrator; ParsedHandler=OptionsGumps4_OnCommand; CommandParseQuality=ParsedCommandAccessHandler; CommandBlock=CommandSystem.Register( "GumpRemoveCoordinate", AccessLevel.Administrator, new CommandEventHandler(OptionsGumps4_OnCommand)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CommandRegister=RegisterCommand=;RegisterAccess=;RegisterHandler=;Guards=AccessGuard;BoundsGuard;DeletedGuard;MapGuard;NullGuard;PacketReadGuard;RangeGuard;StateGuard;Risk=Medium</t>
  </si>
  <si>
    <t>RB-04638</t>
  </si>
  <si>
    <t>P10-F04638</t>
  </si>
  <si>
    <t>PBL-0066</t>
  </si>
  <si>
    <t>CurrentFile=Data/Scripts/System/Misc/Spawning.cs; Line=46; SourceLine=CommandSystem.Register(; PathResolution=OriginalPathCurrent; MatchQuality=CurrentSourceLine; FileExists=True; DisabledEvidence=False; ParsedCommand=GumpRemoveRegion; ParsedAccess=Administrator; ParsedHandler=OptionsGumps5_OnCommand; CommandParseQuality=ParsedCommandAccessHandler; CommandBlock=CommandSystem.Register( "GumpRemoveRegion", AccessLevel.Administrator, new CommandEventHandler(OptionsGumps5_OnCommand)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CommandRegister=RegisterCommand=;RegisterAccess=;RegisterHandler=;Guards=AccessGuard;BoundsGuard;DeletedGuard;MapGuard;NullGuard;PacketReadGuard;RangeGuard;StateGuard;Risk=Medium</t>
  </si>
  <si>
    <t>RB-04640</t>
  </si>
  <si>
    <t>P10-F04640</t>
  </si>
  <si>
    <t>PBL-0068</t>
  </si>
  <si>
    <t>CurrentFile=Data/Scripts/System/Misc/Spawning.cs; Line=5278; SourceLine=namespace Server.Commands; PathResolution=OriginalPathCurrent; MatchQuality=CurrentSourceLine; FileExists=True; DisabledEvidence=False; ParsedCommand=RunUOSpawnerExporter; ParsedAccess=Administrator; ParsedHandler=RunUOSpawnerExporter_OnCommand; CommandParseQuality=ParsedCommandAccessHandler; CommandBlock=namespace Server.Commands { public class RunUOSpawnerExporter { public const bool Enabled = true;  public static void Initialize() { CommandSystem.Register( "RunUOSpawnerExporter", AccessLevel.Administrator, new CommandEventHandler(RunUOSpawnerExporter_OnCommand)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t>
  </si>
  <si>
    <t>RB-04641</t>
  </si>
  <si>
    <t>P10-F04641</t>
  </si>
  <si>
    <t>PBL-0069</t>
  </si>
  <si>
    <t>CurrentFile=Data/Scripts/System/Misc/Spawning.cs; Line=5283; SourceLine=; PathResolution=OriginalPathCurrent; MatchQuality=CurrentFileOnly; FileExists=True; DisabledEvidence=False; ParsedCommand=RunUOSpawnerExporter; ParsedAccess=Administrator; ParsedHandler=RunUOSpawnerExporter_OnCommand; CommandParseQuality=ParsedCommandAccessHandler; CommandBlock= public static void Initialize() { CommandSystem.Register( "RunUOSpawnerExporter", AccessLevel.Administrator, new CommandEventHandler(RunUOSpawnerExporter_OnCommand)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t>
  </si>
  <si>
    <t>RB-04642</t>
  </si>
  <si>
    <t>P10-F04642</t>
  </si>
  <si>
    <t>PBL-0070</t>
  </si>
  <si>
    <t>CurrentFile=Data/Scripts/System/Misc/Spawning.cs; Line=6456; SourceLine=private static int m_IDOverride = -1;; PathResolution=OriginalPathCurrent; MatchQuality=CurrentSourceLine; FileExists=True; DisabledEvidence=False; ParsedCommand=SpawnGen; ParsedAccess=Administrator; ParsedHandler=SpawnGen_OnCommand; CommandParseQuality=ParsedCommandAccessHandler; CommandBlock=private static int m_IDOverride = -1; private static double m_MinTimeOverride = -1; private static double m_MaxTimeOverride = -1; private const bool TotalRespawn = true; private const int Team = 0;  public static void Initialize() { CommandSystem.Register( "SpawnGen", AccessLevel.Administrator, new CommandEventHandler(SpawnGen_OnCommand)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t>
  </si>
  <si>
    <t>RB-04643</t>
  </si>
  <si>
    <t>P10-F04643</t>
  </si>
  <si>
    <t>PBL-0071</t>
  </si>
  <si>
    <t>CurrentFile=Data/Scripts/System/Misc/Spawning.cs; Line=7508; SourceLine=public ArrayList tempList; PathResolution=OriginalPathCurrent; MatchQuality=CurrentSourceLine; FileExists=True; DisabledEvidence=False; ParsedCommand=SpawnEditor; ParsedAccess=GameMaster; ParsedHandler=SpawnEditor_OnCommand; CommandParseQuality=ParsedCommandAccessHandler; CommandBlock=public ArrayList tempList { get { return m_tempList; } set { m_tempList = value; } }  public static void Initialize() { CommandSystem.Register( "SpawnEditor", AccessLevel.GameMaster, new CommandEventHandler(SpawnEditor_OnCommand)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t>
  </si>
  <si>
    <t>RB-04644</t>
  </si>
  <si>
    <t>P10-F04644</t>
  </si>
  <si>
    <t>PBL-0072</t>
  </si>
  <si>
    <t>CurrentFile=Data/Scripts/System/Misc/Spawning.cs; Line=7513; SourceLine=; PathResolution=OriginalPathCurrent; MatchQuality=CurrentFileOnly; FileExists=True; DisabledEvidence=False; ParsedCommand=SpawnEditor; ParsedAccess=GameMaster; ParsedHandler=SpawnEditor_OnCommand; CommandParseQuality=ParsedCommandAccessHandler; CommandBlock= public static void Initialize() { CommandSystem.Register( "SpawnEditor", AccessLevel.GameMaster, new CommandEventHandler(SpawnEditor_OnCommand)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t>
  </si>
  <si>
    <t>RB-04663</t>
  </si>
  <si>
    <t>P10-F04663</t>
  </si>
  <si>
    <t>PBL-0085</t>
  </si>
  <si>
    <t>CurrentFile=Data/Scripts/System/Regions/GuardedRegion.cs; Line=32; SourceLine=CommandSystem.Register(; PathResolution=OriginalPathCurrent; MatchQuality=CurrentSourceLine; FileExists=True; DisabledEvidence=False; ParsedCommand=CheckGuarded; ParsedAccess=GameMaster; ParsedHandler=CheckGuarded_OnCommand; CommandParseQuality=ParsedCommandAccessHandler; CommandBlock=CommandSystem.Register( "CheckGuarded", AccessLevel.GameMaster, new CommandEventHandler(CheckGuarded_OnCommand) );; ProjectTruth=RecordType=ProjectInclude;Included=True;Missing=False;Unincluded=False;Action=Keep | RecordType=SourceFile;Included=True;Missing=False;Unincluded=False;Action=Keep; RuntimeInventory=PrimaryRole=CommandSurface;SecondaryRoles=StartupWiring;RegionPolicy;WorldState;Commands=CommandSystem.Register(;Hooks=CustomTimerSubclass;Initialize;OnSpeech;RegionOverride;SerializedTypes=;Gumps=; CommandRegister=RegisterCommand=;RegisterAccess=;RegisterHandler=;Guards=AccessGuard;BoundsGuard;MapGuard;NullGuard;RangeGuard;StateGuard;Risk=Medium</t>
  </si>
  <si>
    <t>HistoricalFile=Data/Scripts/System/Regions/GuardedRegion.cs; Risk=Runtime;Staff;Player; POST-BATCH-L is audit-only P2 residual triage. No source, project, XML/config, serialized layout, runtime file location, command name, access level, or region policy changed.</t>
  </si>
  <si>
    <t>RB-04664</t>
  </si>
  <si>
    <t>P10-F04664</t>
  </si>
  <si>
    <t>PBL-0086</t>
  </si>
  <si>
    <t>CurrentFile=Data/Scripts/System/Regions/GuardedRegion.cs; Line=37; SourceLine=CommandSystem.Register(; PathResolution=OriginalPathCurrent; MatchQuality=CurrentSourceLine; FileExists=True; DisabledEvidence=False; ParsedCommand=SetGuarded; ParsedAccess=Administrator; ParsedHandler=SetGuarded_OnCommand; CommandParseQuality=ParsedCommandAccessHandler; CommandBlock=CommandSystem.Register( "SetGuarded", AccessLevel.Administrator, new CommandEventHandler(SetGuarded_OnCommand) );; ProjectTruth=RecordType=ProjectInclude;Included=True;Missing=False;Unincluded=False;Action=Keep | RecordType=SourceFile;Included=True;Missing=False;Unincluded=False;Action=Keep; RuntimeInventory=PrimaryRole=CommandSurface;SecondaryRoles=StartupWiring;RegionPolicy;WorldState;Commands=CommandSystem.Register(;Hooks=CustomTimerSubclass;Initialize;OnSpeech;RegionOverride;SerializedTypes=;Gumps=; CommandRegister=RegisterCommand=;RegisterAccess=;RegisterHandler=;Guards=AccessGuard;BoundsGuard;MapGuard;NullGuard;RangeGuard;StateGuard;Risk=Medium</t>
  </si>
  <si>
    <t>RB-04665</t>
  </si>
  <si>
    <t>P10-F04665</t>
  </si>
  <si>
    <t>PBL-0087</t>
  </si>
  <si>
    <t>CurrentFile=Data/Scripts/System/Regions/GuardedRegion.cs; Line=42; SourceLine=CommandSystem.Register(; PathResolution=OriginalPathCurrent; MatchQuality=CurrentSourceLine; FileExists=True; DisabledEvidence=False; ParsedCommand=ToggleGuarded; ParsedAccess=Administrator; ParsedHandler=ToggleGuarded_OnCommand; CommandParseQuality=ParsedCommandAccessHandler; CommandBlock=CommandSystem.Register( "ToggleGuarded", AccessLevel.Administrator, new CommandEventHandler(ToggleGuarded_OnCommand) );; ProjectTruth=RecordType=ProjectInclude;Included=True;Missing=False;Unincluded=False;Action=Keep | RecordType=SourceFile;Included=True;Missing=False;Unincluded=False;Action=Keep; RuntimeInventory=PrimaryRole=CommandSurface;SecondaryRoles=StartupWiring;RegionPolicy;WorldState;Commands=CommandSystem.Register(;Hooks=CustomTimerSubclass;Initialize;OnSpeech;RegionOverride;SerializedTypes=;Gumps=; CommandRegister=RegisterCommand=;RegisterAccess=;RegisterHandler=;Guards=AccessGuard;BoundsGuard;MapGuard;NullGuard;RangeGuard;StateGuard;Risk=Medium</t>
  </si>
  <si>
    <t>RB-04666</t>
  </si>
  <si>
    <t>P10-F04666</t>
  </si>
  <si>
    <t>PBL-0088</t>
  </si>
  <si>
    <t>CurrentFile=Data/Scripts/System/Regions/Spawning/SpawnEntry.cs; Line=378; SourceLine=CommandSystem.Register(; PathResolution=OriginalPathCurrent; MatchQuality=CurrentSourceLine; FileExists=True; DisabledEvidence=False; ParsedCommand=RespawnAllRegions; ParsedAccess=Administrator; ParsedHandler=RespawnAllRegions_OnCommand; CommandParseQuality=ParsedCommandAccessHandler; CommandBlock=CommandSystem.Register( "RespawnAllRegions", AccessLevel.Administrator, new CommandEventHandler(RespawnAllRegions_OnCommand)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</si>
  <si>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HistoricalFile=Data/Scripts/System/Regions/Spawning/SpawnEntry.cs; Risk=Runtime;Staff;Player; POST-BATCH-L is audit-only P2 residual triage. No source, project, XML/config, serialized layout, runtime file location, command name, access level, or region policy changed.</t>
  </si>
  <si>
    <t>RB-04667</t>
  </si>
  <si>
    <t>P10-F04667</t>
  </si>
  <si>
    <t>PBL-0089</t>
  </si>
  <si>
    <t>CurrentFile=Data/Scripts/System/Regions/Spawning/SpawnEntry.cs; Line=383; SourceLine=CommandSystem.Register(; PathResolution=OriginalPathCurrent; MatchQuality=CurrentSourceLine; FileExists=True; DisabledEvidence=False; ParsedCommand=RespawnRegion; ParsedAccess=GameMaster; ParsedHandler=RespawnRegion_OnCommand; CommandParseQuality=ParsedCommandAccessHandler; CommandBlock=CommandSystem.Register( "RespawnRegion", AccessLevel.GameMaster, new CommandEventHandler(RespawnRegion_OnCommand)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</si>
  <si>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RB-04668</t>
  </si>
  <si>
    <t>P10-F04668</t>
  </si>
  <si>
    <t>PBL-0090</t>
  </si>
  <si>
    <t>CurrentFile=Data/Scripts/System/Regions/Spawning/SpawnEntry.cs; Line=388; SourceLine=CommandSystem.Register(; PathResolution=OriginalPathCurrent; MatchQuality=CurrentSourceLine; FileExists=True; DisabledEvidence=False; ParsedCommand=DelAllRegionSpawns; ParsedAccess=Administrator; ParsedHandler=DelAllRegionSpawns_OnCommand; CommandParseQuality=ParsedCommandAccessHandler; CommandBlock=CommandSystem.Register( "DelAllRegionSpawns", AccessLevel.Administrator, new CommandEventHandler(DelAllRegionSpawns_OnCommand)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</si>
  <si>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RB-04669</t>
  </si>
  <si>
    <t>P10-F04669</t>
  </si>
  <si>
    <t>PBL-0091</t>
  </si>
  <si>
    <t>CurrentFile=Data/Scripts/System/Regions/Spawning/SpawnEntry.cs; Line=393; SourceLine=CommandSystem.Register(; PathResolution=OriginalPathCurrent; MatchQuality=CurrentSourceLine; FileExists=True; DisabledEvidence=False; ParsedCommand=DelRegionSpawns; ParsedAccess=GameMaster; ParsedHandler=DelRegionSpawns_OnCommand; CommandParseQuality=ParsedCommandAccessHandler; CommandBlock=CommandSystem.Register( "DelRegionSpawns", AccessLevel.GameMaster, new CommandEventHandler(DelRegionSpawns_OnCommand)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</si>
  <si>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RB-04670</t>
  </si>
  <si>
    <t>P10-F04670</t>
  </si>
  <si>
    <t>PBL-0092</t>
  </si>
  <si>
    <t>CurrentFile=Data/Scripts/System/Regions/Spawning/SpawnEntry.cs; Line=398; SourceLine=CommandSystem.Register(; PathResolution=OriginalPathCurrent; MatchQuality=CurrentSourceLine; FileExists=True; DisabledEvidence=False; ParsedCommand=StartAllRegionSpawns; ParsedAccess=Administrator; ParsedHandler=StartAllRegionSpawns_OnCommand; CommandParseQuality=ParsedCommandAccessHandler; CommandBlock=CommandSystem.Register( "StartAllRegionSpawns", AccessLevel.Administrator, new CommandEventHandler(StartAllRegionSpawns_OnCommand)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</si>
  <si>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RB-04671</t>
  </si>
  <si>
    <t>P10-F04671</t>
  </si>
  <si>
    <t>PBL-0093</t>
  </si>
  <si>
    <t>CurrentFile=Data/Scripts/System/Regions/Spawning/SpawnEntry.cs; Line=403; SourceLine=CommandSystem.Register(; PathResolution=OriginalPathCurrent; MatchQuality=CurrentSourceLine; FileExists=True; DisabledEvidence=False; ParsedCommand=StartRegionSpawns; ParsedAccess=GameMaster; ParsedHandler=StartRegionSpawns_OnCommand; CommandParseQuality=ParsedCommandAccessHandler; CommandBlock=CommandSystem.Register( "StartRegionSpawns", AccessLevel.GameMaster, new CommandEventHandler(StartRegionSpawns_OnCommand)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</si>
  <si>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RB-04672</t>
  </si>
  <si>
    <t>P10-F04672</t>
  </si>
  <si>
    <t>PBL-0094</t>
  </si>
  <si>
    <t>CurrentFile=Data/Scripts/System/Regions/Spawning/SpawnEntry.cs; Line=408; SourceLine=CommandSystem.Register(; PathResolution=OriginalPathCurrent; MatchQuality=CurrentSourceLine; FileExists=True; DisabledEvidence=False; ParsedCommand=StopAllRegionSpawns; ParsedAccess=Administrator; ParsedHandler=StopAllRegionSpawns_OnCommand; CommandParseQuality=ParsedCommandAccessHandler; CommandBlock=CommandSystem.Register( "StopAllRegionSpawns", AccessLevel.Administrator, new CommandEventHandler(StopAllRegionSpawns_OnCommand)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</si>
  <si>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RB-04673</t>
  </si>
  <si>
    <t>P10-F04673</t>
  </si>
  <si>
    <t>PBL-0095</t>
  </si>
  <si>
    <t>CurrentFile=Data/Scripts/System/Regions/Spawning/SpawnEntry.cs; Line=413; SourceLine=CommandSystem.Register(; PathResolution=OriginalPathCurrent; MatchQuality=CurrentSourceLine; FileExists=True; DisabledEvidence=False; ParsedCommand=StopRegionSpawns; ParsedAccess=GameMaster; ParsedHandler=StopRegionSpawns_OnCommand; CommandParseQuality=ParsedCommandAccessHandler; CommandBlock=CommandSystem.Register( "StopRegionSpawns", AccessLevel.GameMaster, new CommandEventHandler(StopRegionSpawns_OnCommand) );; ProjectTruth=RecordType=ProjectInclude;Included=True;Missing=False;Unincluded=False;Action=Keep | RecordType=SourceFile;Included=True;Missing=False;Unincluded=False;Action=Keep; RuntimeInventory=PrimaryRole=CommandSurface;SecondaryRoles=StartupWiring;Persistence;WorldState;Commands=CommandSystem.Register(;Hooks=Initialize;Timer.DelayCall;SerializedTypes=class:SpawnEntry;Gumps=; SerializationRegister=Class=Server.Regions.SpawnEntry;Version=Unknown;Handling=NoVersionFound;Alignment=CountMismatch:Writes=6;Reads=0;MoveRisk=UnknownUntilSaveTest; CommandRegister=RegisterCommand=;RegisterAccess=;RegisterHandler=;Guards=AccessGuard;BoundsGuard;DeletedGuard;MapGuard;NullGuard;PacketReadGuard;RangeGuard;StateGuard;Risk=Medium</t>
  </si>
  <si>
    <t>RB-04353</t>
  </si>
  <si>
    <t>P10-F04353</t>
  </si>
  <si>
    <t>PBL-0102</t>
  </si>
  <si>
    <t>CurrentFile=Data/Scripts/Magic/Magery/Spellbook.cs; Line=42; SourceLine=CommandSystem.Register(; PathResolution=OriginalPathCurrent; MatchQuality=CurrentSourceLine; FileExists=True; DisabledEvidence=False; ParsedCommand=AllSpells; ParsedAccess=GameMaster; ParsedHandler=AllSpells_OnCommand; CommandParseQuality=ParsedCommandAccessHandler; CommandBlock=CommandSystem.Register( "AllSpells", AccessLevel.GameMaster, new CommandEventHandler(AllSpells_OnCommand) );; ProjectTruth=RecordType=ProjectInclude;Included=True;Missing=False;Unincluded=False;Action=Keep | RecordType=SourceFile;Included=True;Missing=False;Unincluded=False;Action=Keep; RuntimeInventory=PrimaryRole=CommandSurface;SecondaryRoles=StartupWiring;Persistence;CombatPolicy;Commands=CommandSystem.Register(;Hooks=EventSink;Initialize;SerializedTypes=enum:SpellbookType;class:Spellbook;Gumps=; SerializationRegister=Class=Server.Items.Spellbook;Version=3;Handling=SwitchGotoCase;Alignment=CountMatchNeedsTypeReview:UnknownWrites=3;MoveRisk=UnknownUntilSaveTest; CommandRegister=RegisterCommand=;RegisterAccess=;RegisterHandler=;Guards=AccessGuard;BoundsGuard;DeletedGuard;NullGuard;PacketReadGuard;StateGuard;Risk=Medium</t>
  </si>
  <si>
    <t>HistoricalFile=Data/Scripts/Magic/Magery/Spellbook.cs; Risk=Runtime;Staff;Player; POST-BATCH-L is audit-only P2 residual triage. No source, project, XML/config, serialized layout, runtime file location, command name, access level, or region policy changed.</t>
  </si>
  <si>
    <t>RB-04219</t>
  </si>
  <si>
    <t>P10-F04219</t>
  </si>
  <si>
    <t>PBL-0107</t>
  </si>
  <si>
    <t>CurrentFile=Data/Scripts/Custom/StaffTools/StaticGumpTool/StaticGump(Alternative).cs; Line=13; SourceLine=CommandSystem.Register(; PathResolution=PostBatchHMove:Data/Scripts/Custom/OzThothStaticGump-&gt;Data/Scripts/Custom/StaffTools/StaticGumpTool; MatchQuality=CurrentSourceLine; FileExists=True; DisabledEvidence=False; ParsedCommand=StaticsTool; ParsedAccess=GameMaster; ParsedHandler=OzThothsStatic_OnCommand; CommandParseQuality=ParsedCommandAccessHandler; CommandBlock=CommandSystem.Register( "StaticsTool", AccessLevel.GameMaster, new CommandEventHandler(OzThothsStatic_OnCommand)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</si>
  <si>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HistoricalFile=Data/Scripts/Custom/OzThothStaticGump/StaticGump(Alternative).cs; Risk=Runtime;Staff;Player; POST-BATCH-L is audit-only P2 residual triage. No source, project, XML/config, serialized layout, runtime file location, command name, access level, or region policy changed.</t>
  </si>
  <si>
    <t>RB-04220</t>
  </si>
  <si>
    <t>P10-F04220</t>
  </si>
  <si>
    <t>PBL-0108</t>
  </si>
  <si>
    <t>CurrentFile=Data/Scripts/Custom/StaffTools/StaticGumpTool/StaticGump(Alternative).cs; Line=18; SourceLine=CommandSystem.Register(; PathResolution=PostBatchHMove:Data/Scripts/Custom/OzThothStaticGump-&gt;Data/Scripts/Custom/StaffTools/StaticGumpTool; MatchQuality=CurrentSourceLine; FileExists=True; DisabledEvidence=False; ParsedCommand=STool; ParsedAccess=GameMaster; ParsedHandler=OzThothsStatic_OnCommand; CommandParseQuality=ParsedCommandAccessHandler; CommandBlock=CommandSystem.Register( "STool", AccessLevel.GameMaster, new CommandEventHandler(OzThothsStatic_OnCommand)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</si>
  <si>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RB-04221</t>
  </si>
  <si>
    <t>P10-F04221</t>
  </si>
  <si>
    <t>PBL-0109</t>
  </si>
  <si>
    <t>CurrentFile=Data/Scripts/Custom/StaffTools/StaticGumpTool/StaticGump(Alternative).cs; Line=23; SourceLine=CommandSystem.Register(; PathResolution=PostBatchHMove:Data/Scripts/Custom/OzThothStaticGump-&gt;Data/Scripts/Custom/StaffTools/StaticGumpTool; MatchQuality=CurrentSourceLine; FileExists=True; DisabledEvidence=False; ParsedCommand=ST; ParsedAccess=GameMaster; ParsedHandler=OzThothsStatic_OnCommand; CommandParseQuality=ParsedCommandAccessHandler; CommandBlock=CommandSystem.Register( "ST", AccessLevel.GameMaster, new CommandEventHandler(OzThothsStatic_OnCommand)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</si>
  <si>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RB-04222</t>
  </si>
  <si>
    <t>P10-F04222</t>
  </si>
  <si>
    <t>PBL-0110</t>
  </si>
  <si>
    <t>CurrentFile=Data/Scripts/Custom/StaffTools/StaticGumpTool/Side Gumps/AddAnimation.cs; Line=18; SourceLine=CommandSystem.Register(; PathResolution=PostBatchHMove:Data/Scripts/Custom/OzThothStaticGump-&gt;Data/Scripts/Custom/StaffTools/StaticGumpTool; MatchQuality=CurrentSourceLine; FileExists=True; DisabledEvidence=False; ParsedCommand=AddAnimationStatic; ParsedAccess=GameMaster; ParsedHandler=AddAnimation_OnCommand; CommandParseQuality=ParsedCommandAccessHandler; CommandBlock=CommandSystem.Register( "AddAnimationStatic", AccessLevel.GameMaster, new CommandEventHandler(AddAnimation_OnCommand)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</si>
  <si>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Gumps/AddAnimation.cs; Risk=Runtime;Staff;Player; POST-BATCH-L is audit-only P2 residual triage. No source, project, XML/config, serialized layout, runtime file location, command name, access level, or region policy changed.</t>
  </si>
  <si>
    <t>RB-04223</t>
  </si>
  <si>
    <t>P10-F04223</t>
  </si>
  <si>
    <t>PBL-0111</t>
  </si>
  <si>
    <t>CurrentFile=Data/Scripts/Custom/StaffTools/StaticGumpTool/Side Gumps/AddArch.cs; Line=18; SourceLine=CommandSystem.Register(; PathResolution=PostBatchHMove:Data/Scripts/Custom/OzThothStaticGump-&gt;Data/Scripts/Custom/StaffTools/StaticGumpTool; MatchQuality=CurrentSourceLine; FileExists=True; DisabledEvidence=False; ParsedCommand=AddArch; ParsedAccess=GameMaster; ParsedHandler=AddArch_OnCommand; CommandParseQuality=ParsedCommandAccessHandler; CommandBlock=CommandSystem.Register( "AddArch", AccessLevel.GameMaster, new CommandEventHandler(AddArch_OnCommand)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</si>
  <si>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Gumps/AddArch.cs; Risk=Runtime;Staff;Player; POST-BATCH-L is audit-only P2 residual triage. No source, project, XML/config, serialized layout, runtime file location, command name, access level, or region policy changed.</t>
  </si>
  <si>
    <t>RB-04225</t>
  </si>
  <si>
    <t>P10-F04225</t>
  </si>
  <si>
    <t>PBL-0112</t>
  </si>
  <si>
    <t>CurrentFile=Data/Scripts/Custom/StaffTools/StaticGumpTool/Side Gumps/AddCustom.cs; Line=18; SourceLine=CommandSystem.Register(; PathResolution=PostBatchHMove:Data/Scripts/Custom/OzThothStaticGump-&gt;Data/Scripts/Custom/StaffTools/StaticGumpTool; MatchQuality=CurrentSourceLine; FileExists=True; DisabledEvidence=False; ParsedCommand=AddCustomStatic; ParsedAccess=GameMaster; ParsedHandler=AddCustomStatic_OnCommand; CommandParseQuality=ParsedCommandAccessHandler; CommandBlock=CommandSystem.Register( "AddCustomStatic", AccessLevel.GameMaster, new CommandEventHandler(AddCustomStatic_OnCommand)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</si>
  <si>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Gumps/AddCustom.cs; Risk=Runtime;Staff;Player; POST-BATCH-L is audit-only P2 residual triage. No source, project, XML/config, serialized layout, runtime file location, command name, access level, or region policy changed.</t>
  </si>
  <si>
    <t>RB-04226</t>
  </si>
  <si>
    <t>P10-F04226</t>
  </si>
  <si>
    <t>PBL-0113</t>
  </si>
  <si>
    <t>CurrentFile=Data/Scripts/Custom/StaffTools/StaticGumpTool/Side Gumps/AddDeco.cs; Line=18; SourceLine=CommandSystem.Register(; PathResolution=PostBatchHMove:Data/Scripts/Custom/OzThothStaticGump-&gt;Data/Scripts/Custom/StaffTools/StaticGumpTool; MatchQuality=CurrentSourceLine; FileExists=True; DisabledEvidence=False; ParsedCommand=AddDecoStatic; ParsedAccess=GameMaster; ParsedHandler=AddDecoStatic_OnCommand; CommandParseQuality=ParsedCommandAccessHandler; CommandBlock=CommandSystem.Register( "AddDecoStatic", AccessLevel.GameMaster, new CommandEventHandler(AddDecoStatic_OnCommand)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</si>
  <si>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Gumps/AddDeco.cs; Risk=Runtime;Staff;Player; POST-BATCH-L is audit-only P2 residual triage. No source, project, XML/config, serialized layout, runtime file location, command name, access level, or region policy changed.</t>
  </si>
  <si>
    <t>RB-04227</t>
  </si>
  <si>
    <t>P10-F04227</t>
  </si>
  <si>
    <t>PBL-0114</t>
  </si>
  <si>
    <t>CurrentFile=Data/Scripts/Custom/StaffTools/StaticGumpTool/Side Gumps/AddDungeon.cs; Line=18; SourceLine=CommandSystem.Register(; PathResolution=PostBatchHMove:Data/Scripts/Custom/OzThothStaticGump-&gt;Data/Scripts/Custom/StaffTools/StaticGumpTool; MatchQuality=CurrentSourceLine; FileExists=True; DisabledEvidence=False; ParsedCommand=AddDungStatic; ParsedAccess=GameMaster; ParsedHandler=AddDungStatic_OnCommand; CommandParseQuality=ParsedCommandAccessHandler; CommandBlock=CommandSystem.Register( "AddDungStatic", AccessLevel.GameMaster, new CommandEventHandler(AddDungStatic_OnCommand)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</si>
  <si>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Gumps/AddDungeon.cs; Risk=Runtime;Staff;Player; POST-BATCH-L is audit-only P2 residual triage. No source, project, XML/config, serialized layout, runtime file location, command name, access level, or region policy changed.</t>
  </si>
  <si>
    <t>RB-04228</t>
  </si>
  <si>
    <t>P10-F04228</t>
  </si>
  <si>
    <t>PBL-0115</t>
  </si>
  <si>
    <t>CurrentFile=Data/Scripts/Custom/StaffTools/StaticGumpTool/Side Gumps/addfence.cs; Line=13; SourceLine=CommandSystem.Register(; PathResolution=PostBatchHMove:Data/Scripts/Custom/OzThothStaticGump-&gt;Data/Scripts/Custom/StaffTools/StaticGumpTool; MatchQuality=CurrentSourceLine; FileExists=True; DisabledEvidence=False; ParsedCommand=AddFence; ParsedAccess=GameMaster; ParsedHandler=AddFence_OnCommand; CommandParseQuality=ParsedCommandAccessHandler; CommandBlock=CommandSystem.Register( "AddFence", AccessLevel.GameMaster, new CommandEventHandler(AddFence_OnCommand)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</si>
  <si>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Gumps/addfence.cs; Risk=Runtime;Staff;Player; POST-BATCH-L is audit-only P2 residual triage. No source, project, XML/config, serialized layout, runtime file location, command name, access level, or region policy changed.</t>
  </si>
  <si>
    <t>RB-04229</t>
  </si>
  <si>
    <t>P10-F04229</t>
  </si>
  <si>
    <t>PBL-0116</t>
  </si>
  <si>
    <t>CurrentFile=Data/Scripts/Custom/StaffTools/StaticGumpTool/Side Gumps/addfloor.cs; Line=18; SourceLine=CommandSystem.Register(; PathResolution=PostBatchHMove:Data/Scripts/Custom/OzThothStaticGump-&gt;Data/Scripts/Custom/StaffTools/StaticGumpTool; MatchQuality=CurrentSourceLine; FileExists=True; DisabledEvidence=False; ParsedCommand=AddFloor; ParsedAccess=GameMaster; ParsedHandler=AddFloor_OnCommand; CommandParseQuality=ParsedCommandAccessHandler; CommandBlock=CommandSystem.Register( "AddFloor", AccessLevel.GameMaster, new CommandEventHandler(AddFloor_OnCommand)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</si>
  <si>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Gumps/addfloor.cs; Risk=Runtime;Staff;Player; POST-BATCH-L is audit-only P2 residual triage. No source, project, XML/config, serialized layout, runtime file location, command name, access level, or region policy changed.</t>
  </si>
  <si>
    <t>RB-04230</t>
  </si>
  <si>
    <t>P10-F04230</t>
  </si>
  <si>
    <t>PBL-0117</t>
  </si>
  <si>
    <t>CurrentFile=Data/Scripts/Custom/StaffTools/StaticGumpTool/Side Gumps/AddFurniture.cs; Line=18; SourceLine=CommandSystem.Register(; PathResolution=PostBatchHMove:Data/Scripts/Custom/OzThothStaticGump-&gt;Data/Scripts/Custom/StaffTools/StaticGumpTool; MatchQuality=CurrentSourceLine; FileExists=True; DisabledEvidence=False; ParsedCommand=AddFurniture; ParsedAccess=GameMaster; ParsedHandler=AddFurniture_OnCommand; CommandParseQuality=ParsedCommandAccessHandler; CommandBlock=CommandSystem.Register( "AddFurniture", AccessLevel.GameMaster, new CommandEventHandler(AddFurniture_OnCommand)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</si>
  <si>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Gumps/AddFurniture.cs; Risk=Runtime;Staff;Player; POST-BATCH-L is audit-only P2 residual triage. No source, project, XML/config, serialized layout, runtime file location, command name, access level, or region policy changed.</t>
  </si>
  <si>
    <t>RB-04231</t>
  </si>
  <si>
    <t>P10-F04231</t>
  </si>
  <si>
    <t>PBL-0118</t>
  </si>
  <si>
    <t>CurrentFile=Data/Scripts/Custom/StaffTools/StaticGumpTool/Side Gumps/AddGear.cs; Line=18; SourceLine=CommandSystem.Register(; PathResolution=PostBatchHMove:Data/Scripts/Custom/OzThothStaticGump-&gt;Data/Scripts/Custom/StaffTools/StaticGumpTool; MatchQuality=CurrentSourceLine; FileExists=True; DisabledEvidence=False; ParsedCommand=AddGearStatic; ParsedAccess=GameMaster; ParsedHandler=AddGearStatic_OnCommand; CommandParseQuality=ParsedCommandAccessHandler; CommandBlock=CommandSystem.Register( "AddGearStatic", AccessLevel.GameMaster, new CommandEventHandler(AddGearStatic_OnCommand)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</si>
  <si>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Gumps/AddGear.cs; Risk=Runtime;Staff;Player; POST-BATCH-L is audit-only P2 residual triage. No source, project, XML/config, serialized layout, runtime file location, command name, access level, or region policy changed.</t>
  </si>
  <si>
    <t>RB-04232</t>
  </si>
  <si>
    <t>P10-F04232</t>
  </si>
  <si>
    <t>PBL-0119</t>
  </si>
  <si>
    <t>CurrentFile=Data/Scripts/Custom/StaffTools/StaticGumpTool/Side Gumps/AddGround.cs; Line=18; SourceLine=CommandSystem.Register(; PathResolution=PostBatchHMove:Data/Scripts/Custom/OzThothStaticGump-&gt;Data/Scripts/Custom/StaffTools/StaticGumpTool; MatchQuality=CurrentSourceLine; FileExists=True; DisabledEvidence=False; ParsedCommand=AddGroundStStatic; ParsedAccess=GameMaster; ParsedHandler=AddGroundStStatic_OnCommand; CommandParseQuality=ParsedCommandAccessHandler; CommandBlock=CommandSystem.Register( "AddGroundStStatic", AccessLevel.GameMaster, new CommandEventHandler(AddGroundStStatic_OnCommand)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</si>
  <si>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Gumps/AddGround.cs; Risk=Runtime;Staff;Player; POST-BATCH-L is audit-only P2 residual triage. No source, project, XML/config, serialized layout, runtime file location, command name, access level, or region policy changed.</t>
  </si>
  <si>
    <t>RB-04233</t>
  </si>
  <si>
    <t>P10-F04233</t>
  </si>
  <si>
    <t>PBL-0120</t>
  </si>
  <si>
    <t>CurrentFile=Data/Scripts/Custom/StaffTools/StaticGumpTool/Side Gumps/AddLight.cs; Line=18; SourceLine=CommandSystem.Register(; PathResolution=PostBatchHMove:Data/Scripts/Custom/OzThothStaticGump-&gt;Data/Scripts/Custom/StaffTools/StaticGumpTool; MatchQuality=CurrentSourceLine; FileExists=True; DisabledEvidence=False; ParsedCommand=AddLightsStatic; ParsedAccess=GameMaster; ParsedHandler=AddLightsStatic_OnCommand; CommandParseQuality=ParsedCommandAccessHandler; CommandBlock=CommandSystem.Register( "AddLightsStatic", AccessLevel.GameMaster, new CommandEventHandler(AddLightsStatic_OnCommand)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</si>
  <si>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Gumps/AddLight.cs; Risk=Runtime;Staff;Player; POST-BATCH-L is audit-only P2 residual triage. No source, project, XML/config, serialized layout, runtime file location, command name, access level, or region policy changed.</t>
  </si>
  <si>
    <t>RB-04234</t>
  </si>
  <si>
    <t>P10-F04234</t>
  </si>
  <si>
    <t>PBL-0121</t>
  </si>
  <si>
    <t>CurrentFile=Data/Scripts/Custom/StaffTools/StaticGumpTool/Side Gumps/AddMisc.cs; Line=18; SourceLine=CommandSystem.Register(; PathResolution=PostBatchHMove:Data/Scripts/Custom/OzThothStaticGump-&gt;Data/Scripts/Custom/StaffTools/StaticGumpTool; MatchQuality=CurrentSourceLine; FileExists=True; DisabledEvidence=False; ParsedCommand=AddMiscStatic; ParsedAccess=GameMaster; ParsedHandler=AddMiscStatic_OnCommand; CommandParseQuality=ParsedCommandAccessHandler; CommandBlock=CommandSystem.Register( "AddMiscStatic", AccessLevel.GameMaster, new CommandEventHandler(AddMiscStatic_OnCommand)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</si>
  <si>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Gumps/AddMisc.cs; Risk=Runtime;Staff;Player; POST-BATCH-L is audit-only P2 residual triage. No source, project, XML/config, serialized layout, runtime file location, command name, access level, or region policy changed.</t>
  </si>
  <si>
    <t>RB-04235</t>
  </si>
  <si>
    <t>P10-F04235</t>
  </si>
  <si>
    <t>PBL-0122</t>
  </si>
  <si>
    <t>CurrentFile=Data/Scripts/Custom/StaffTools/StaticGumpTool/Side Gumps/AddNature.cs; Line=18; SourceLine=CommandSystem.Register(; PathResolution=PostBatchHMove:Data/Scripts/Custom/OzThothStaticGump-&gt;Data/Scripts/Custom/StaffTools/StaticGumpTool; MatchQuality=CurrentSourceLine; FileExists=True; DisabledEvidence=False; ParsedCommand=AddNatureStatic; ParsedAccess=GameMaster; ParsedHandler=AddNatureStatic_OnCommand; CommandParseQuality=ParsedCommandAccessHandler; CommandBlock=CommandSystem.Register( "AddNatureStatic", AccessLevel.GameMaster, new CommandEventHandler(AddNatureStatic_OnCommand)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</si>
  <si>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Gumps/AddNature.cs; Risk=Runtime;Staff;Player; POST-BATCH-L is audit-only P2 residual triage. No source, project, XML/config, serialized layout, runtime file location, command name, access level, or region policy changed.</t>
  </si>
  <si>
    <t>RB-04236</t>
  </si>
  <si>
    <t>P10-F04236</t>
  </si>
  <si>
    <t>PBL-0123</t>
  </si>
  <si>
    <t>CurrentFile=Data/Scripts/Custom/StaffTools/StaticGumpTool/Side Gumps/addplants.cs; Line=18; SourceLine=CommandSystem.Register(; PathResolution=PostBatchHMove:Data/Scripts/Custom/OzThothStaticGump-&gt;Data/Scripts/Custom/StaffTools/StaticGumpTool; MatchQuality=CurrentSourceLine; FileExists=True; DisabledEvidence=False; ParsedCommand=AddPlants; ParsedAccess=GameMaster; ParsedHandler=AddPlants_OnCommand; CommandParseQuality=ParsedCommandAccessHandler; CommandBlock=CommandSystem.Register( "AddPlants", AccessLevel.GameMaster, new CommandEventHandler(AddPlants_OnCommand)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</si>
  <si>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Gumps/addplants.cs; Risk=Runtime;Staff;Player; POST-BATCH-L is audit-only P2 residual triage. No source, project, XML/config, serialized layout, runtime file location, command name, access level, or region policy changed.</t>
  </si>
  <si>
    <t>RB-04237</t>
  </si>
  <si>
    <t>P10-F04237</t>
  </si>
  <si>
    <t>PBL-0124</t>
  </si>
  <si>
    <t>CurrentFile=Data/Scripts/Custom/StaffTools/StaticGumpTool/Side Gumps/addrock.cs; Line=18; SourceLine=CommandSystem.Register(; PathResolution=PostBatchHMove:Data/Scripts/Custom/OzThothStaticGump-&gt;Data/Scripts/Custom/StaffTools/StaticGumpTool; MatchQuality=CurrentSourceLine; FileExists=True; DisabledEvidence=False; ParsedCommand=AddRock; ParsedAccess=GameMaster; ParsedHandler=AddRock_OnCommand; CommandParseQuality=ParsedCommandAccessHandler; CommandBlock=CommandSystem.Register( "AddRock", AccessLevel.GameMaster, new CommandEventHandler(AddRock_OnCommand)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</si>
  <si>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Gumps/addrock.cs; Risk=Runtime;Staff;Player; POST-BATCH-L is audit-only P2 residual triage. No source, project, XML/config, serialized layout, runtime file location, command name, access level, or region policy changed.</t>
  </si>
  <si>
    <t>RB-04238</t>
  </si>
  <si>
    <t>P10-F04238</t>
  </si>
  <si>
    <t>PBL-0125</t>
  </si>
  <si>
    <t>CurrentFile=Data/Scripts/Custom/StaffTools/StaticGumpTool/Side Gumps/addroof.cs; Line=18; SourceLine=CommandSystem.Register(; PathResolution=PostBatchHMove:Data/Scripts/Custom/OzThothStaticGump-&gt;Data/Scripts/Custom/StaffTools/StaticGumpTool; MatchQuality=CurrentSourceLine; FileExists=True; DisabledEvidence=False; ParsedCommand=AddRoof; ParsedAccess=GameMaster; ParsedHandler=AddRoof_OnCommand; CommandParseQuality=ParsedCommandAccessHandler; CommandBlock=CommandSystem.Register( "AddRoof", AccessLevel.GameMaster, new CommandEventHandler(AddRoof_OnCommand)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</si>
  <si>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Gumps/addroof.cs; Risk=Runtime;Staff;Player; POST-BATCH-L is audit-only P2 residual triage. No source, project, XML/config, serialized layout, runtime file location, command name, access level, or region policy changed.</t>
  </si>
  <si>
    <t>RB-04239</t>
  </si>
  <si>
    <t>P10-F04239</t>
  </si>
  <si>
    <t>PBL-0126</t>
  </si>
  <si>
    <t>CurrentFile=Data/Scripts/Custom/StaffTools/StaticGumpTool/Side Gumps/AddSignPost.cs; Line=18; SourceLine=CommandSystem.Register(; PathResolution=PostBatchHMove:Data/Scripts/Custom/OzThothStaticGump-&gt;Data/Scripts/Custom/StaffTools/StaticGumpTool; MatchQuality=CurrentSourceLine; FileExists=True; DisabledEvidence=False; ParsedCommand=AddSignPStatic; ParsedAccess=GameMaster; ParsedHandler=AddSignPStatic_OnCommand; CommandParseQuality=ParsedCommandAccessHandler; CommandBlock=CommandSystem.Register( "AddSignPStatic", AccessLevel.GameMaster, new CommandEventHandler(AddSignPStatic_OnCommand)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</si>
  <si>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Gumps/AddSignPost.cs; Risk=Runtime;Staff;Player; POST-BATCH-L is audit-only P2 residual triage. No source, project, XML/config, serialized layout, runtime file location, command name, access level, or region policy changed.</t>
  </si>
  <si>
    <t>RB-04240</t>
  </si>
  <si>
    <t>P10-F04240</t>
  </si>
  <si>
    <t>PBL-0127</t>
  </si>
  <si>
    <t>CurrentFile=Data/Scripts/Custom/StaffTools/StaticGumpTool/Side Gumps/AddStairGump.cs; Line=18; SourceLine=CommandSystem.Register(; PathResolution=PostBatchHMove:Data/Scripts/Custom/OzThothStaticGump-&gt;Data/Scripts/Custom/StaffTools/StaticGumpTool; MatchQuality=CurrentSourceLine; FileExists=True; DisabledEvidence=False; ParsedCommand=AddStair; ParsedAccess=GameMaster; ParsedHandler=AddStair_OnCommand; CommandParseQuality=ParsedCommandAccessHandler; CommandBlock=CommandSystem.Register( "AddStair", AccessLevel.GameMaster, new CommandEventHandler(AddStair_OnCommand)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</si>
  <si>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Gumps/AddStairGump.cs; Risk=Runtime;Staff;Player; POST-BATCH-L is audit-only P2 residual triage. No source, project, XML/config, serialized layout, runtime file location, command name, access level, or region policy changed.</t>
  </si>
  <si>
    <t>RB-04241</t>
  </si>
  <si>
    <t>P10-F04241</t>
  </si>
  <si>
    <t>PBL-0128</t>
  </si>
  <si>
    <t>CurrentFile=Data/Scripts/Custom/StaffTools/StaticGumpTool/Side Gumps/AddWallGump.cs; Line=18; SourceLine=CommandSystem.Register(; PathResolution=PostBatchHMove:Data/Scripts/Custom/OzThothStaticGump-&gt;Data/Scripts/Custom/StaffTools/StaticGumpTool; MatchQuality=CurrentSourceLine; FileExists=True; DisabledEvidence=False; ParsedCommand=AddWall; ParsedAccess=GameMaster; ParsedHandler=AddWall_OnCommand; CommandParseQuality=ParsedCommandAccessHandler; CommandBlock=CommandSystem.Register( "AddWall", AccessLevel.GameMaster, new CommandEventHandler(AddWall_OnCommand)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</si>
  <si>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HistoricalFile=Data/Scripts/Custom/OzThothStaticGump/Side Gumps/AddWallGump.cs; Risk=Runtime;Staff;Player; POST-BATCH-L is audit-only P2 residual triage. No source, project, XML/config, serialized layout, runtime file location, command name, access level, or region policy changed.</t>
  </si>
  <si>
    <t>RB-04360</t>
  </si>
  <si>
    <t>P10-F04360</t>
  </si>
  <si>
    <t>Data/Scripts/System/Commands/Add.cs</t>
  </si>
  <si>
    <t>PBL-0130</t>
  </si>
  <si>
    <t>CurrentFile=Data/Scripts/System/Commands/Add.cs; Line=17; SourceLine=CommandSystem.Register(; PathResolution=OriginalPathCurrent; MatchQuality=CurrentSourceLine; FileExists=True; DisabledEvidence=False; ParsedCommand=Tile; ParsedAccess=GameMaster; ParsedHandler=Tile_OnCommand; CommandParseQuality=ParsedCommandAccessHandler; CommandBlock=CommandSystem.Register( "Tile", AccessLevel.GameMaster, new CommandEventHandler(Tile_OnCommand)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</si>
  <si>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HistoricalFile=Data/Scripts/System/Commands/Add.cs; Risk=Runtime;Staff;Player; POST-BATCH-L is audit-only P2 residual triage. No source, project, XML/config, serialized layout, runtime file location, command name, access level, or region policy changed.</t>
  </si>
  <si>
    <t>RB-04361</t>
  </si>
  <si>
    <t>P10-F04361</t>
  </si>
  <si>
    <t>PBL-0131</t>
  </si>
  <si>
    <t>CurrentFile=Data/Scripts/System/Commands/Add.cs; Line=22; SourceLine=CommandSystem.Register(; PathResolution=OriginalPathCurrent; MatchQuality=CurrentSourceLine; FileExists=True; DisabledEvidence=False; ParsedCommand=TileRXYZ; ParsedAccess=GameMaster; ParsedHandler=TileRXYZ_OnCommand; CommandParseQuality=ParsedCommandAccessHandler; CommandBlock=CommandSystem.Register( "TileRXYZ", AccessLevel.GameMaster, new CommandEventHandler(TileRXYZ_OnCommand)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</si>
  <si>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RB-04362</t>
  </si>
  <si>
    <t>P10-F04362</t>
  </si>
  <si>
    <t>PBL-0132</t>
  </si>
  <si>
    <t>CurrentFile=Data/Scripts/System/Commands/Add.cs; Line=27; SourceLine=CommandSystem.Register(; PathResolution=OriginalPathCurrent; MatchQuality=CurrentSourceLine; FileExists=True; DisabledEvidence=False; ParsedCommand=TileXYZ; ParsedAccess=GameMaster; ParsedHandler=TileXYZ_OnCommand; CommandParseQuality=ParsedCommandAccessHandler; CommandBlock=CommandSystem.Register( "TileXYZ", AccessLevel.GameMaster, new CommandEventHandler(TileXYZ_OnCommand)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</si>
  <si>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RB-04363</t>
  </si>
  <si>
    <t>P10-F04363</t>
  </si>
  <si>
    <t>PBL-0133</t>
  </si>
  <si>
    <t>CurrentFile=Data/Scripts/System/Commands/Add.cs; Line=32; SourceLine=CommandSystem.Register(; PathResolution=OriginalPathCurrent; MatchQuality=CurrentSourceLine; FileExists=True; DisabledEvidence=False; ParsedCommand=TileZ; ParsedAccess=GameMaster; ParsedHandler=TileZ_OnCommand; CommandParseQuality=ParsedCommandAccessHandler; CommandBlock=CommandSystem.Register( "TileZ", AccessLevel.GameMaster, new CommandEventHandler(TileZ_OnCommand)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</si>
  <si>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RB-04364</t>
  </si>
  <si>
    <t>P10-F04364</t>
  </si>
  <si>
    <t>PBL-0134</t>
  </si>
  <si>
    <t>CurrentFile=Data/Scripts/System/Commands/AddonGenerator.cs; Line=168; SourceLine=CommandSystem.Register(; PathResolution=OriginalPathCurrent; MatchQuality=CurrentSourceLine; FileExists=True; DisabledEvidence=False; ParsedCommand=AddonGen; ParsedAccess=Administrator; ParsedHandler=OnAddonGen; CommandParseQuality=ParsedCommandAccessHandler; CommandBlock=CommandSystem.Register( "AddonGen", AccessLevel.Administrator, new CommandEventHandler(OnAddonGen)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RuntimeInventory=PrimaryRole=CommandSurface;SecondaryRoles=StartupWiring;GumpUI;Persistence;Commands=CommandSystem.Register(;Hooks=Initialize;SerializedTypes=class:AddonGenerator;class:InternalTarget;class:InternalGump;class:CEOIdentifyAddon;Gumps=OnResponse;SendGump; SerializationRegister=Class=Arya.Misc.AddonGenerator;Version=0;Handling=SingleVersionOnly;Alignment=AlignedByCountAndKnownTypes;MoveRisk=NamespaceOrTypeRenameDanger | Class=Arya.Misc.CEOIdentifyAddon;Version=0;Handling=SingleVersionOnly;Alignment=AlignedByCountAndKnownTypes;MoveRisk=NamespaceOrTypeRenameDanger;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</si>
  <si>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HistoricalFile=Data/Scripts/System/Commands/AddonGenerator.cs; Risk=Runtime;Staff;Player; POST-BATCH-L is audit-only P2 residual triage. No source, project, XML/config, serialized layout, runtime file location, command name, access level, or region policy changed.</t>
  </si>
  <si>
    <t>RB-04365</t>
  </si>
  <si>
    <t>P10-F04365</t>
  </si>
  <si>
    <t>Data/Scripts/System/Commands/AddToBank.cs</t>
  </si>
  <si>
    <t>PBL-0135</t>
  </si>
  <si>
    <t>CurrentFile=Data/Scripts/System/Commands/AddToBank.cs; Line=34; SourceLine=CommandSystem.Register(; PathResolution=OriginalPathCurrent; MatchQuality=CurrentSourceLine; FileExists=True; DisabledEvidence=False; ParsedCommand=AddToBank; ParsedAccess=Administrator; ParsedHandler=AddToBank_OnCommand; CommandParseQuality=ParsedCommandAccessHandler; CommandBlock=CommandSystem.Register( "AddToBank", AccessLevel.Administrator, new CommandEventHandler(AddToBank_OnCommand) );; ProjectTruth=RecordType=ProjectInclude;Included=True;Missing=False;Unincluded=False;Action=Keep | RecordType=SourceFile;Included=True;Missing=False;Unincluded=False;Action=Keep; RuntimeInventory=PrimaryRole=CommandSurface;SecondaryRoles=StartupWiring;GumpUI;Economy;Commands=CommandSystem.Register(;Hooks=Initialize;SerializedTypes=;Gumps=OnResponse;SendGump; CommandRegister=RegisterCommand=;RegisterAccess=;RegisterHandler=;Guards=AccessGuard;BoundsGuard;NullGuard;StateGuard;Risk=Medium</t>
  </si>
  <si>
    <t>HistoricalFile=Data/Scripts/System/Commands/AddToBank.cs; Risk=Runtime;Staff;Player; POST-BATCH-L is audit-only P2 residual triage. No source, project, XML/config, serialized layout, runtime file location, command name, access level, or region policy changed.</t>
  </si>
  <si>
    <t>RB-04366</t>
  </si>
  <si>
    <t>P10-F04366</t>
  </si>
  <si>
    <t>PBL-0136</t>
  </si>
  <si>
    <t>CurrentFile=Data/Scripts/System/Commands/AddTrap.cs; Line=13; SourceLine=CommandSystem.Register(; PathResolution=OriginalPathCurrent; MatchQuality=CurrentSourceLine; FileExists=True; DisabledEvidence=False; ParsedCommand=AddTrap; ParsedAccess=GameMaster; ParsedHandler=AddTrap_OnCommand; CommandParseQuality=ParsedCommandAccessHandler; CommandBlock=CommandSystem.Register( "AddTrap", AccessLevel.GameMaster, new CommandEventHandler(AddTrap_OnCommand)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CommandRegister=RegisterCommand=;RegisterAccess=;RegisterHandler=;Guards=AccessGuard;BoundsGuard;MapGuard;StateGuard;Risk=Medium</t>
  </si>
  <si>
    <t>HistoricalFile=Data/Scripts/System/Commands/AddTrap.cs; Risk=Runtime;Staff;Player; POST-BATCH-L is audit-only P2 residual triage. No source, project, XML/config, serialized layout, runtime file location, command name, access level, or region policy changed.</t>
  </si>
  <si>
    <t>RB-04367</t>
  </si>
  <si>
    <t>P10-F04367</t>
  </si>
  <si>
    <t>PBL-0137</t>
  </si>
  <si>
    <t>CurrentFile=Data/Scripts/System/Commands/AreaLog.cs; Line=23; SourceLine=CommandSystem.Register(; PathResolution=OriginalPathCurrent; MatchQuality=CurrentSourceLine; FileExists=True; DisabledEvidence=False; ParsedCommand=AreaLog; ParsedAccess=Counselor; ParsedHandler=AreaLogs; CommandParseQuality=ParsedCommandAccessHandler; CommandBlock=CommandSystem.Register( "AreaLog", AccessLevel.Counselor, new CommandEventHandler(AreaLogs)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CommandRegister=RegisterCommand=;RegisterAccess=;RegisterHandler=;Guards=AccessGuard;BoundsGuard;MapGuard;Risk=Medium</t>
  </si>
  <si>
    <t>HistoricalFile=Data/Scripts/System/Commands/AreaLog.cs; Risk=Runtime;Staff;Player; POST-BATCH-L is audit-only P2 residual triage. No source, project, XML/config, serialized layout, runtime file location, command name, access level, or region policy changed.</t>
  </si>
  <si>
    <t>RB-04368</t>
  </si>
  <si>
    <t>P10-F04368</t>
  </si>
  <si>
    <t>Data/Scripts/System/Commands/Batch.cs</t>
  </si>
  <si>
    <t>PBL-0138</t>
  </si>
  <si>
    <t>CurrentFile=Data/Scripts/System/Commands/Batch.cs; Line=200; SourceLine=CommandSystem.Register(; PathResolution=OriginalPathCurrent; MatchQuality=CurrentSourceLine; FileExists=True; DisabledEvidence=False; ParsedCommand=Batch; ParsedAccess=Counselor; ParsedHandler=Batch_OnCommand; CommandParseQuality=ParsedCommandAccessHandler; CommandBlock=CommandSystem.Register( "Batch", AccessLevel.Counselor, new CommandEventHandler(Batch_OnCommand)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CommandRegister=RegisterCommand=;RegisterAccess=;RegisterHandler=;Guards=AccessGuard;BoundsGuard;NullGuard;StateGuard;Risk=Medium</t>
  </si>
  <si>
    <t>HistoricalFile=Data/Scripts/System/Commands/Batch.cs; Risk=Runtime;Staff;Player; POST-BATCH-L is audit-only P2 residual triage. No source, project, XML/config, serialized layout, runtime file location, command name, access level, or region policy changed.</t>
  </si>
  <si>
    <t>RB-04370</t>
  </si>
  <si>
    <t>P10-F04370</t>
  </si>
  <si>
    <t>PBL-0139</t>
  </si>
  <si>
    <t>CurrentFile=Data/Scripts/System/Commands/ConvertPlayers.cs; Line=15; SourceLine=CommandSystem.Register(; PathResolution=OriginalPathCurrent; MatchQuality=CurrentSourceLine; FileExists=True; DisabledEvidence=False; ParsedCommand=ConvertPlayers; ParsedAccess=Administrator; ParsedHandler=Convert_OnCommand; CommandParseQuality=ParsedCommandAccessHandler; CommandBlock=CommandSystem.Register( "ConvertPlayers", AccessLevel.Administrator, new CommandEventHandler(Convert_OnCommand)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RuntimeInventory=PrimaryRole=CommandSurface;SecondaryRoles=StartupWiring;Commands=CommandSystem.Register(;Hooks=Initialize;WorldSave;SerializedTypes=;Gumps=; CommandRegister=RegisterCommand=;RegisterAccess=;RegisterHandler=;Guards=AccessGuard;BoundsGuard;NullGuard;StateGuard;Risk=Medium</t>
  </si>
  <si>
    <t>HistoricalFile=Data/Scripts/System/Commands/ConvertPlayers.cs; Risk=Runtime;Staff;Player; POST-BATCH-L is audit-only P2 residual triage. No source, project, XML/config, serialized layout, runtime file location, command name, access level, or region policy changed.</t>
  </si>
  <si>
    <t>RB-04373</t>
  </si>
  <si>
    <t>P10-F04373</t>
  </si>
  <si>
    <t>Data/Scripts/System/Commands/Dupe.cs</t>
  </si>
  <si>
    <t>PBL-0140</t>
  </si>
  <si>
    <t>CurrentFile=Data/Scripts/System/Commands/Dupe.cs; Line=12; SourceLine=CommandSystem.Register(; PathResolution=OriginalPathCurrent; MatchQuality=CurrentSourceLine; FileExists=True; DisabledEvidence=False; ParsedCommand=Dupe; ParsedAccess=GameMaster; ParsedHandler=Dupe_OnCommand; CommandParseQuality=ParsedCommandAccessHandler; CommandBlock=CommandSystem.Register( "Dupe", AccessLevel.GameMaster, new CommandEventHandler(Dupe_OnCommand)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</si>
  <si>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HistoricalFile=Data/Scripts/System/Commands/Dupe.cs; Risk=Runtime;Staff;Player; POST-BATCH-L is audit-only P2 residual triage. No source, project, XML/config, serialized layout, runtime file location, command name, access level, or region policy changed.</t>
  </si>
  <si>
    <t>RB-04374</t>
  </si>
  <si>
    <t>P10-F04374</t>
  </si>
  <si>
    <t>PBL-0141</t>
  </si>
  <si>
    <t>CurrentFile=Data/Scripts/System/Commands/Dupe.cs; Line=17; SourceLine=CommandSystem.Register(; PathResolution=OriginalPathCurrent; MatchQuality=CurrentSourceLine; FileExists=True; DisabledEvidence=False; ParsedCommand=DupeInBag; ParsedAccess=GameMaster; ParsedHandler=DupeInBag_OnCommand; CommandParseQuality=ParsedCommandAccessHandler; CommandBlock=CommandSystem.Register( "DupeInBag", AccessLevel.GameMaster, new CommandEventHandler(DupeInBag_OnCommand)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</si>
  <si>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RB-04375</t>
  </si>
  <si>
    <t>P10-F04375</t>
  </si>
  <si>
    <t>Data/Scripts/System/Commands/ExportWSC.cs</t>
  </si>
  <si>
    <t>PBL-0142</t>
  </si>
  <si>
    <t>CurrentFile=Data/Scripts/System/Commands/ExportWSC.cs; Line=15; SourceLine=CommandSystem.Register(; PathResolution=OriginalPathCurrent; MatchQuality=CurrentSourceLine; FileExists=True; DisabledEvidence=False; ParsedCommand=ExportWSC; ParsedAccess=Administrator; ParsedHandler=Export_OnCommand; CommandParseQuality=ParsedCommandAccessHandler; CommandBlock=CommandSystem.Register( "ExportWSC", AccessLevel.Administrator, new CommandEventHandler(Export_OnCommand)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CommandRegister=RegisterCommand=;RegisterAccess=;RegisterHandler=;Guards=AccessGuard;BoundsGuard;NullGuard;Risk=Medium</t>
  </si>
  <si>
    <t>HistoricalFile=Data/Scripts/System/Commands/ExportWSC.cs; Risk=Runtime;Staff;Player; POST-BATCH-L is audit-only P2 residual triage. No source, project, XML/config, serialized layout, runtime file location, command name, access level, or region policy changed.</t>
  </si>
  <si>
    <t>RB-04376</t>
  </si>
  <si>
    <t>P10-F04376</t>
  </si>
  <si>
    <t>PBL-0143</t>
  </si>
  <si>
    <t>CurrentFile=Data/Scripts/System/Commands/FaceLog.cs; Line=21; SourceLine=CommandSystem.Register(; PathResolution=OriginalPathCurrent; MatchQuality=CurrentSourceLine; FileExists=True; DisabledEvidence=False; ParsedCommand=FaceLog; ParsedAccess=Counselor; ParsedHandler=FaceLogs; CommandParseQuality=ParsedCommandAccessHandler; CommandBlock=CommandSystem.Register( "FaceLog", AccessLevel.Counselor, new CommandEventHandler(FaceLogs)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CommandRegister=RegisterCommand=;RegisterAccess=;RegisterHandler=;Guards=AccessGuard;BoundsGuard;MapGuard;Risk=Medium</t>
  </si>
  <si>
    <t>HistoricalFile=Data/Scripts/System/Commands/FaceLog.cs; Risk=Runtime;Staff;Player; POST-BATCH-L is audit-only P2 residual triage. No source, project, XML/config, serialized layout, runtime file location, command name, access level, or region policy changed.</t>
  </si>
  <si>
    <t>RB-04377</t>
  </si>
  <si>
    <t>P10-F04377</t>
  </si>
  <si>
    <t>PBL-0144</t>
  </si>
  <si>
    <t>CurrentFile=Data/Scripts/System/Commands/GenCategorization.cs; Line=40; SourceLine=CommandSystem.Register(; PathResolution=OriginalPathCurrent; MatchQuality=CurrentSourceLine; FileExists=True; DisabledEvidence=False; ParsedCommand=RebuildCategorization; ParsedAccess=Administrator; ParsedHandler=RebuildCategorization_OnCommand; CommandParseQuality=ParsedCommandAccessHandler; CommandBlock=CommandSystem.Register( "RebuildCategorization", AccessLevel.Administrator, new CommandEventHandler(RebuildCategorization_OnCommand)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CommandRegister=RegisterCommand=;RegisterAccess=;RegisterHandler=;Guards=AccessGuard;BoundsGuard;NullGuard;Risk=Medium</t>
  </si>
  <si>
    <t>HistoricalFile=Data/Scripts/System/Commands/GenCategorization.cs; Risk=Runtime;Staff;Player; POST-BATCH-L is audit-only P2 residual triage. No source, project, XML/config, serialized layout, runtime file location, command name, access level, or region policy changed.</t>
  </si>
  <si>
    <t>RB-04379</t>
  </si>
  <si>
    <t>P10-F04379</t>
  </si>
  <si>
    <t>PBL-0146</t>
  </si>
  <si>
    <t>CurrentFile=Data/Scripts/System/Commands/HelpAdmin.cs; Line=17; SourceLine=CommandSystem.Register(; PathResolution=OriginalPathCurrent; MatchQuality=CurrentSourceLine; FileExists=True; DisabledEvidence=False; ParsedCommand=helpadmin; ParsedAccess=Administrator; ParsedHandler=MyHelpAdmin_OnCommand; CommandParseQuality=ParsedCommandAccessHandler; CommandBlock=CommandSystem.Register( "helpadmin", AccessLevel.Administrator, new CommandEventHandler(MyHelpAdmin_OnCommand)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RuntimeInventory=PrimaryRole=CommandSurface;SecondaryRoles=StartupWiring;GumpUI;StaffTooling;Commands=CommandSystem.Register(;CommandSystem.Register(command, access, handler);;Hooks=Initialize;SerializedTypes=;Gumps=SendGump; CommandRegister=RegisterCommand=;RegisterAccess=;RegisterHandler=;Guards=AccessGuard;StateGuard;Risk=Medium</t>
  </si>
  <si>
    <t>HistoricalFile=Data/Scripts/System/Commands/HelpAdmin.cs; Risk=Runtime;Staff;Player; POST-BATCH-L is audit-only P2 residual triage. No source, project, XML/config, serialized layout, runtime file location, command name, access level, or region policy changed.</t>
  </si>
  <si>
    <t>RB-04381</t>
  </si>
  <si>
    <t>P10-F04381</t>
  </si>
  <si>
    <t>Data/Scripts/System/Commands/HelpInfo.cs</t>
  </si>
  <si>
    <t>PBL-0148</t>
  </si>
  <si>
    <t>CurrentFile=Data/Scripts/System/Commands/HelpInfo.cs; Line=34; SourceLine=CommandSystem.Register(; PathResolution=OriginalPathCurrent; MatchQuality=CurrentSourceLine; FileExists=True; DisabledEvidence=False; ParsedCommand=HelpInfo; ParsedAccess=Player; ParsedHandler=HelpInfo_OnCommand; CommandParseQuality=ParsedCommandAccessHandler; CommandBlock=CommandSystem.Register( "HelpInfo", AccessLevel.Player, new CommandEventHandler(HelpInfo_OnCommand)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CommandRegister=RegisterCommand=;RegisterAccess=;RegisterHandler=;Guards=AccessGuard;BoundsGuard;NullGuard;StateGuard;Risk=Medium</t>
  </si>
  <si>
    <t>HistoricalFile=Data/Scripts/System/Commands/HelpInfo.cs; Risk=Runtime;Staff;Player; POST-BATCH-L is audit-only P2 residual triage. No source, project, XML/config, serialized layout, runtime file location, command name, access level, or region policy changed.</t>
  </si>
  <si>
    <t>RB-04382</t>
  </si>
  <si>
    <t>P10-F04382</t>
  </si>
  <si>
    <t>PBL-0149</t>
  </si>
  <si>
    <t>CurrentFile=Data/Scripts/System/Commands/LogTreasureChests.cs; Line=21; SourceLine=CommandSystem.Register(; PathResolution=OriginalPathCurrent; MatchQuality=CurrentSourceLine; FileExists=True; DisabledEvidence=False; ParsedCommand=logchests; ParsedAccess=Administrator; ParsedHandler=LogChests_OnCommand; CommandParseQuality=ParsedCommandAccessHandler; CommandBlock=CommandSystem.Register( "logchests", AccessLevel.Administrator, new CommandEventHandler(LogChests_OnCommand) );; ProjectTruth=RecordType=ProjectInclude;Included=True;Missing=False;Unincluded=False;Action=Keep | RecordType=SourceFile;Included=True;Missing=False;Unincluded=False;Action=Keep; RuntimeInventory=PrimaryRole=CommandSurface;SecondaryRoles=StartupWiring;Commands=CommandSystem.Register(;CommandSystem.Register(command, access, handler);;Hooks=Initialize;SerializedTypes=;Gumps=; CommandRegister=RegisterCommand=;RegisterAccess=;RegisterHandler=;Guards=AccessGuard;BoundsGuard;MapGuard;StateGuard;Risk=Medium</t>
  </si>
  <si>
    <t>HistoricalFile=Data/Scripts/System/Commands/LogTreasureChests.cs; Risk=Runtime;Staff;Player; POST-BATCH-L is audit-only P2 residual triage. No source, project, XML/config, serialized layout, runtime file location, command name, access level, or region policy changed.</t>
  </si>
  <si>
    <t>RB-04384</t>
  </si>
  <si>
    <t>P10-F04384</t>
  </si>
  <si>
    <t>PBL-0151</t>
  </si>
  <si>
    <t>CurrentFile=Data/Scripts/System/Commands/MultiMaker.cs; Line=35; SourceLine=CommandSystem.Register(; PathResolution=OriginalPathCurrent; MatchQuality=CurrentSourceLine; FileExists=True; DisabledEvidence=False; ParsedCommand=MultiGen; ParsedAccess=Administrator; ParsedHandler=OnMultiGen; CommandParseQuality=ParsedCommandAccessHandler; CommandBlock=CommandSystem.Register( "MultiGen", AccessLevel.Administrator, new CommandEventHandler(OnMultiGen)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RuntimeInventory=PrimaryRole=CommandSurface;SecondaryRoles=StartupWiring;GumpUI;Persistence;Commands=CommandSystem.Register(;Hooks=Initialize;SerializedTypes=class:MultiGenerator;class:InternalTarget;class:InternalGump;class:MultiIdentifyAddon;Gumps=OnResponse;SendGump; SerializationRegister=Class=Arya.Misc.MultiIdentifyAddon;Version=0;Handling=SingleVersionOnly;Alignment=AlignedByCountAndKnownTypes;MoveRisk=NamespaceOrTypeRenameDanger;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</si>
  <si>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HistoricalFile=Data/Scripts/System/Commands/MultiMaker.cs; Risk=Runtime;Staff;Player; POST-BATCH-L is audit-only P2 residual triage. No source, project, XML/config, serialized layout, runtime file location, command name, access level, or region policy changed.</t>
  </si>
  <si>
    <t>RB-04385</t>
  </si>
  <si>
    <t>P10-F04385</t>
  </si>
  <si>
    <t>PBL-0152</t>
  </si>
  <si>
    <t>CurrentFile=Data/Scripts/System/Commands/PointLog.cs; Line=21; SourceLine=CommandSystem.Register(; PathResolution=OriginalPathCurrent; MatchQuality=CurrentSourceLine; FileExists=True; DisabledEvidence=False; ParsedCommand=PointLog; ParsedAccess=Counselor; ParsedHandler=PointLogs; CommandParseQuality=ParsedCommandAccessHandler; CommandBlock=CommandSystem.Register( "PointLog", AccessLevel.Counselor, new CommandEventHandler(PointLogs)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</si>
  <si>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HistoricalFile=Data/Scripts/System/Commands/PointLog.cs; Risk=Runtime;Staff;Player; POST-BATCH-L is audit-only P2 residual triage. No source, project, XML/config, serialized layout, runtime file location, command name, access level, or region policy changed.</t>
  </si>
  <si>
    <t>RB-04386</t>
  </si>
  <si>
    <t>P10-F04386</t>
  </si>
  <si>
    <t>Data/Scripts/System/Commands/Profiling.cs</t>
  </si>
  <si>
    <t>PBL-0153</t>
  </si>
  <si>
    <t>CurrentFile=Data/Scripts/System/Commands/Profiling.cs; Line=15; SourceLine=CommandSystem.Register(; PathResolution=OriginalPathCurrent; MatchQuality=CurrentSourceLine; FileExists=True; DisabledEvidence=False; ParsedCommand=DumpTimers; ParsedAccess=Administrator; ParsedHandler=DumpTimers_OnCommand; CommandParseQuality=ParsedCommandAccessHandler; CommandBlock=CommandSystem.Register( "DumpTimers", AccessLevel.Administrator, new CommandEventHandler(DumpTimers_OnCommand)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</si>
  <si>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HistoricalFile=Data/Scripts/System/Commands/Profiling.cs; Risk=Runtime;Staff;Player; POST-BATCH-L is audit-only P2 residual triage. No source, project, XML/config, serialized layout, runtime file location, command name, access level, or region policy changed.</t>
  </si>
  <si>
    <t>RB-04387</t>
  </si>
  <si>
    <t>P10-F04387</t>
  </si>
  <si>
    <t>PBL-0154</t>
  </si>
  <si>
    <t>CurrentFile=Data/Scripts/System/Commands/Profiling.cs; Line=20; SourceLine=CommandSystem.Register(; PathResolution=OriginalPathCurrent; MatchQuality=CurrentSourceLine; FileExists=True; DisabledEvidence=False; ParsedCommand=CountObjects; ParsedAccess=Administrator; ParsedHandler=CountObjects_OnCommand; CommandParseQuality=ParsedCommandAccessHandler; CommandBlock=CommandSystem.Register( "CountObjects", AccessLevel.Administrator, new CommandEventHandler(CountObjects_OnCommand)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</si>
  <si>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RB-04388</t>
  </si>
  <si>
    <t>P10-F04388</t>
  </si>
  <si>
    <t>PBL-0155</t>
  </si>
  <si>
    <t>CurrentFile=Data/Scripts/System/Commands/Profiling.cs; Line=25; SourceLine=CommandSystem.Register(; PathResolution=OriginalPathCurrent; MatchQuality=CurrentSourceLine; FileExists=True; DisabledEvidence=False; ParsedCommand=ProfileWorld; ParsedAccess=Administrator; ParsedHandler=ProfileWorld_OnCommand; CommandParseQuality=ParsedCommandAccessHandler; CommandBlock=CommandSystem.Register( "ProfileWorld", AccessLevel.Administrator, new CommandEventHandler(ProfileWorld_OnCommand)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</si>
  <si>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RB-04389</t>
  </si>
  <si>
    <t>P10-F04389</t>
  </si>
  <si>
    <t>PBL-0156</t>
  </si>
  <si>
    <t>CurrentFile=Data/Scripts/System/Commands/Profiling.cs; Line=30; SourceLine=CommandSystem.Register(; PathResolution=OriginalPathCurrent; MatchQuality=CurrentSourceLine; FileExists=True; DisabledEvidence=False; ParsedCommand=TraceInternal; ParsedAccess=Administrator; ParsedHandler=TraceInternal_OnCommand; CommandParseQuality=ParsedCommandAccessHandler; CommandBlock=CommandSystem.Register( "TraceInternal", AccessLevel.Administrator, new CommandEventHandler(TraceInternal_OnCommand)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</si>
  <si>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RB-04390</t>
  </si>
  <si>
    <t>P10-F04390</t>
  </si>
  <si>
    <t>PBL-0157</t>
  </si>
  <si>
    <t>CurrentFile=Data/Scripts/System/Commands/Profiling.cs; Line=35; SourceLine=CommandSystem.Register(; PathResolution=OriginalPathCurrent; MatchQuality=CurrentSourceLine; FileExists=True; DisabledEvidence=False; ParsedCommand=TraceExpanded; ParsedAccess=Administrator; ParsedHandler=TraceExpanded_OnCommand; CommandParseQuality=ParsedCommandAccessHandler; CommandBlock=CommandSystem.Register( "TraceExpanded", AccessLevel.Administrator, new CommandEventHandler(TraceExpanded_OnCommand)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</si>
  <si>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RB-04391</t>
  </si>
  <si>
    <t>P10-F04391</t>
  </si>
  <si>
    <t>PBL-0158</t>
  </si>
  <si>
    <t>CurrentFile=Data/Scripts/System/Commands/Profiling.cs; Line=40; SourceLine=CommandSystem.Register(; PathResolution=OriginalPathCurrent; MatchQuality=CurrentSourceLine; FileExists=True; DisabledEvidence=False; ParsedCommand=WriteProfiles; ParsedAccess=Administrator; ParsedHandler=WriteProfiles_OnCommand; CommandParseQuality=ParsedCommandAccessHandler; CommandBlock=CommandSystem.Register( "WriteProfiles", AccessLevel.Administrator, new CommandEventHandler(WriteProfiles_OnCommand)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</si>
  <si>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RB-04392</t>
  </si>
  <si>
    <t>P10-F04392</t>
  </si>
  <si>
    <t>PBL-0159</t>
  </si>
  <si>
    <t>CurrentFile=Data/Scripts/System/Commands/Profiling.cs; Line=45; SourceLine=CommandSystem.Register(; PathResolution=OriginalPathCurrent; MatchQuality=CurrentSourceLine; FileExists=True; DisabledEvidence=False; ParsedCommand=SetProfiles; ParsedAccess=Administrator; ParsedHandler=SetProfiles_OnCommand; CommandParseQuality=ParsedCommandAccessHandler; CommandBlock=CommandSystem.Register( "SetProfiles", AccessLevel.Administrator, new CommandEventHandler(SetProfiles_OnCommand)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</si>
  <si>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RB-04393</t>
  </si>
  <si>
    <t>P10-F04393</t>
  </si>
  <si>
    <t>Data/Scripts/System/Commands/Properties.cs</t>
  </si>
  <si>
    <t>PBL-0160</t>
  </si>
  <si>
    <t>CurrentFile=Data/Scripts/System/Commands/Properties.cs; Line=25; SourceLine=CommandSystem.Register(; PathResolution=OriginalPathCurrent; MatchQuality=CurrentSourceLine; FileExists=True; DisabledEvidence=False; ParsedCommand=Props; ParsedAccess=Counselor; ParsedHandler=Props_OnCommand; CommandParseQuality=ParsedCommandAccessHandler; CommandBlock=CommandSystem.Register( "Props", AccessLevel.Counselor, new CommandEventHandler(Props_OnCommand)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RuntimeInventory=PrimaryRole=CommandSurface;SecondaryRoles=StartupWiring;GumpUI;Commands=CommandSystem.Register(;Hooks=Initialize;SerializedTypes=;Gumps=SendGump; CommandRegister=RegisterCommand=;RegisterAccess=;RegisterHandler=;Guards=AccessGuard;BoundsGuard;NullGuard;StateGuard;Risk=Medium</t>
  </si>
  <si>
    <t>HistoricalFile=Data/Scripts/System/Commands/Properties.cs; Risk=Runtime;Staff;Player; POST-BATCH-L is audit-only P2 residual triage. No source, project, XML/config, serialized layout, runtime file location, command name, access level, or region policy changed.</t>
  </si>
  <si>
    <t>RB-04394</t>
  </si>
  <si>
    <t>P10-F04394</t>
  </si>
  <si>
    <t>PBL-0161</t>
  </si>
  <si>
    <t>CurrentFile=Data/Scripts/System/Commands/RecordItems.cs; Line=13; SourceLine=CommandSystem.Register(; PathResolution=OriginalPathCurrent; MatchQuality=CurrentSourceLine; FileExists=True; DisabledEvidence=False; ParsedCommand=RecordItems; ParsedAccess=Counselor; ParsedHandler=OnRecord; CommandParseQuality=ParsedCommandAccessHandler; CommandBlock=CommandSystem.Register( "RecordItems", AccessLevel.Counselor, new CommandEventHandler(OnRecord)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CommandRegister=RegisterCommand=;RegisterAccess=;RegisterHandler=;Guards=AccessGuard;MapGuard;NullGuard;Risk=Medium</t>
  </si>
  <si>
    <t>HistoricalFile=Data/Scripts/System/Commands/RecordItems.cs; Risk=Runtime;Staff;Player; POST-BATCH-L is audit-only P2 residual triage. No source, project, XML/config, serialized layout, runtime file location, command name, access level, or region policy changed.</t>
  </si>
  <si>
    <t>RB-04395</t>
  </si>
  <si>
    <t>P10-F04395</t>
  </si>
  <si>
    <t>Data/Scripts/System/Commands/SignParser.cs</t>
  </si>
  <si>
    <t>PBL-0162</t>
  </si>
  <si>
    <t>CurrentFile=Data/Scripts/System/Commands/SignParser.cs; Line=29; SourceLine=CommandSystem.Register(; PathResolution=OriginalPathCurrent; MatchQuality=CurrentSourceLine; FileExists=True; DisabledEvidence=False; ParsedCommand=SignGen; ParsedAccess=Administrator; ParsedHandler=SignGen_OnCommand; CommandParseQuality=ParsedCommandAccessHandler; CommandBlock=CommandSystem.Register( "SignGen", AccessLevel.Administrator, new CommandEventHandler(SignGen_OnCommand)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CommandRegister=RegisterCommand=;RegisterAccess=;RegisterHandler=;Guards=AccessGuard;BoundsGuard;MapGuard;RangeGuard;StateGuard;Risk=Medium</t>
  </si>
  <si>
    <t>HistoricalFile=Data/Scripts/System/Commands/SignParser.cs; Risk=Runtime;Staff;Player; POST-BATCH-L is audit-only P2 residual triage. No source, project, XML/config, serialized layout, runtime file location, command name, access level, or region policy changed.</t>
  </si>
  <si>
    <t>RB-04396</t>
  </si>
  <si>
    <t>P10-F04396</t>
  </si>
  <si>
    <t>Data/Scripts/System/Commands/Skills.cs</t>
  </si>
  <si>
    <t>PBL-0163</t>
  </si>
  <si>
    <t>CurrentFile=Data/Scripts/System/Commands/Skills.cs; Line=12; SourceLine=CommandSystem.Register(; PathResolution=OriginalPathCurrent; MatchQuality=CurrentSourceLine; FileExists=True; DisabledEvidence=False; ParsedCommand=SetSkill; ParsedAccess=GameMaster; ParsedHandler=SetSkill_OnCommand; CommandParseQuality=ParsedCommandAccessHandler; CommandBlock=CommandSystem.Register( "SetSkill", AccessLevel.GameMaster, new CommandEventHandler(SetSkill_OnCommand)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CommandRegister=RegisterCommand=;RegisterAccess=;RegisterHandler=;Guards=AccessGuard;BoundsGuard;NullGuard;StateGuard;Risk=Medium</t>
  </si>
  <si>
    <t>HistoricalFile=Data/Scripts/System/Commands/Skills.cs; Risk=Runtime;Staff;Player; POST-BATCH-L is audit-only P2 residual triage. No source, project, XML/config, serialized layout, runtime file location, command name, access level, or region policy changed.</t>
  </si>
  <si>
    <t>RB-04397</t>
  </si>
  <si>
    <t>P10-F04397</t>
  </si>
  <si>
    <t>PBL-0164</t>
  </si>
  <si>
    <t>CurrentFile=Data/Scripts/System/Commands/Skills.cs; Line=17; SourceLine=CommandSystem.Register(; PathResolution=OriginalPathCurrent; MatchQuality=CurrentSourceLine; FileExists=True; DisabledEvidence=False; ParsedCommand=GetSkill; ParsedAccess=GameMaster; ParsedHandler=GetSkill_OnCommand; CommandParseQuality=ParsedCommandAccessHandler; CommandBlock=CommandSystem.Register( "GetSkill", AccessLevel.GameMaster, new CommandEventHandler(GetSkill_OnCommand)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CommandRegister=RegisterCommand=;RegisterAccess=;RegisterHandler=;Guards=AccessGuard;BoundsGuard;NullGuard;StateGuard;Risk=Medium</t>
  </si>
  <si>
    <t>RB-04398</t>
  </si>
  <si>
    <t>P10-F04398</t>
  </si>
  <si>
    <t>PBL-0165</t>
  </si>
  <si>
    <t>CurrentFile=Data/Scripts/System/Commands/Skills.cs; Line=22; SourceLine=CommandSystem.Register(; PathResolution=OriginalPathCurrent; MatchQuality=CurrentSourceLine; FileExists=True; DisabledEvidence=False; ParsedCommand=SetAllSkills; ParsedAccess=GameMaster; ParsedHandler=SetAllSkills_OnCommand; CommandParseQuality=ParsedCommandAccessHandler; CommandBlock=CommandSystem.Register( "SetAllSkills", AccessLevel.GameMaster, new CommandEventHandler(SetAllSkills_OnCommand)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CommandRegister=RegisterCommand=;RegisterAccess=;RegisterHandler=;Guards=AccessGuard;BoundsGuard;NullGuard;StateGuard;Risk=Medium</t>
  </si>
  <si>
    <t>RB-04399</t>
  </si>
  <si>
    <t>P10-F04399</t>
  </si>
  <si>
    <t>PBL-0166</t>
  </si>
  <si>
    <t>CurrentFile=Data/Scripts/System/Commands/SkillsMenu.cs; Line=17; SourceLine=CommandSystem.Register(; PathResolution=OriginalPathCurrent; MatchQuality=CurrentSourceLine; FileExists=True; DisabledEvidence=False; ParsedCommand=Skills; ParsedAccess=Counselor; ParsedHandler=Skills_OnCommand; CommandParseQuality=ParsedCommandAccessHandler; CommandBlock=CommandSystem.Register( "Skills", AccessLevel.Counselor, new CommandEventHandler(Skills_OnCommand)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RuntimeInventory=PrimaryRole=CommandSurface;SecondaryRoles=StartupWiring;GumpUI;Commands=CommandSystem.Register(;Hooks=Initialize;SerializedTypes=;Gumps=SendGump; CommandRegister=RegisterCommand=;RegisterAccess=;RegisterHandler=;Guards=AccessGuard;StateGuard;Risk=Medium</t>
  </si>
  <si>
    <t>HistoricalFile=Data/Scripts/System/Commands/SkillsMenu.cs; Risk=Runtime;Staff;Player; POST-BATCH-L is audit-only P2 residual triage. No source, project, XML/config, serialized layout, runtime file location, command name, access level, or region policy changed.</t>
  </si>
  <si>
    <t>RB-04400</t>
  </si>
  <si>
    <t>P10-F04400</t>
  </si>
  <si>
    <t>PBL-0167</t>
  </si>
  <si>
    <t>CurrentFile=Data/Scripts/System/Commands/SpawnerCatalog.cs; Line=21; SourceLine=CommandSystem.Register(; PathResolution=OriginalPathCurrent; MatchQuality=CurrentSourceLine; FileExists=True; DisabledEvidence=False; ParsedCommand=SpawnerCatalog; ParsedAccess=Counselor; ParsedHandler=SpawnerCatalogs; CommandParseQuality=ParsedCommandAccessHandler; CommandBlock=CommandSystem.Register( "SpawnerCatalog", AccessLevel.Counselor, new CommandEventHandler(SpawnerCatalogs) );; ProjectTruth=RecordType=ProjectInclude;Included=True;Missing=False;Unincluded=False;Action=Keep | RecordType=SourceFile;Included=True;Missing=False;Unincluded=False;Action=Keep; RuntimeInventory=PrimaryRole=CommandSurface;SecondaryRoles=StartupWiring;WorldState;Commands=CommandSystem.Register(;Hooks=Initialize;SerializedTypes=;Gumps=; CommandRegister=RegisterCommand=;RegisterAccess=;RegisterHandler=;Guards=AccessGuard;BoundsGuard;MapGuard;Risk=Medium</t>
  </si>
  <si>
    <t>HistoricalFile=Data/Scripts/System/Commands/SpawnerCatalog.cs; Risk=Runtime;Staff;Player; POST-BATCH-L is audit-only P2 residual triage. No source, project, XML/config, serialized layout, runtime file location, command name, access level, or region policy changed.</t>
  </si>
  <si>
    <t>RB-04401</t>
  </si>
  <si>
    <t>P10-F04401</t>
  </si>
  <si>
    <t>PBL-0168</t>
  </si>
  <si>
    <t>CurrentFile=Data/Scripts/System/Commands/SpecialExport.cs; Line=19; SourceLine=CommandSystem.Register(; PathResolution=OriginalPathCurrent; MatchQuality=CurrentSourceLine; FileExists=True; DisabledEvidence=False; ParsedCommand=SpecialExport; ParsedAccess=Administrator; ParsedHandler=SpecialExport_OnCommand; CommandParseQuality=ParsedCommandAccessHandler; CommandBlock=CommandSystem.Register( "SpecialExport", AccessLevel.Administrator, new CommandEventHandler(SpecialExport_OnCommand)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</si>
  <si>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HistoricalFile=Data/Scripts/System/Commands/SpecialExport.cs; Risk=Runtime;Staff;Player; POST-BATCH-L is audit-only P2 residual triage. No source, project, XML/config, serialized layout, runtime file location, command name, access level, or region policy changed.</t>
  </si>
  <si>
    <t>RB-04402</t>
  </si>
  <si>
    <t>P10-F04402</t>
  </si>
  <si>
    <t>PBL-0169</t>
  </si>
  <si>
    <t>CurrentFile=Data/Scripts/System/Commands/SpecialExport.cs; Line=24; SourceLine=CommandSystem.Register(; PathResolution=OriginalPathCurrent; MatchQuality=CurrentSourceLine; FileExists=True; DisabledEvidence=False; ParsedCommand=SpcEx; ParsedAccess=Administrator; ParsedHandler=SpecialExport_OnCommand; CommandParseQuality=ParsedCommandAccessHandler; CommandBlock=CommandSystem.Register( "SpcEx", AccessLevel.Administrator, new CommandEventHandler(SpecialExport_OnCommand)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CommandRegister=RegisterCommand=;RegisterAccess=;RegisterHandler=;Guards=AccessGuard;BoundsGuard;MapGuard;NullGuard;Risk=Medium</t>
  </si>
  <si>
    <t>RB-04403</t>
  </si>
  <si>
    <t>P10-F04403</t>
  </si>
  <si>
    <t>PBL-0170</t>
  </si>
  <si>
    <t>CurrentFile=Data/Scripts/System/Commands/StaticExport.cs; Line=20; SourceLine=CommandSystem.Register(; PathResolution=OriginalPathCurrent; MatchQuality=CurrentSourceLine; FileExists=True; DisabledEvidence=False; ParsedCommand=StaticExport; ParsedAccess=Administrator; ParsedHandler=StaticExport_OnCommand; CommandParseQuality=ParsedCommandAccessHandler; CommandBlock=CommandSystem.Register( "StaticExport", AccessLevel.Administrator, new CommandEventHandler(StaticExport_OnCommand)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CommandRegister=RegisterCommand=;RegisterAccess=;RegisterHandler=;Guards=AccessGuard;BoundsGuard;DeletedGuard;MapGuard;NullGuard;RangeGuard;Risk=Medium</t>
  </si>
  <si>
    <t>HistoricalFile=Data/Scripts/System/Commands/StaticExport.cs; Risk=Runtime;Staff;Player; POST-BATCH-L is audit-only P2 residual triage. No source, project, XML/config, serialized layout, runtime file location, command name, access level, or region policy changed.</t>
  </si>
  <si>
    <t>RB-04404</t>
  </si>
  <si>
    <t>P10-F04404</t>
  </si>
  <si>
    <t>PBL-0171</t>
  </si>
  <si>
    <t>CurrentFile=Data/Scripts/System/Commands/StaticExport.cs; Line=25; SourceLine=CommandSystem.Register(; PathResolution=OriginalPathCurrent; MatchQuality=CurrentSourceLine; FileExists=True; DisabledEvidence=False; ParsedCommand=StaEx; ParsedAccess=Administrator; ParsedHandler=StaticExport_OnCommand; CommandParseQuality=ParsedCommandAccessHandler; CommandBlock=CommandSystem.Register( "StaEx", AccessLevel.Administrator, new CommandEventHandler(StaticExport_OnCommand)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CommandRegister=RegisterCommand=;RegisterAccess=;RegisterHandler=;Guards=AccessGuard;BoundsGuard;DeletedGuard;MapGuard;NullGuard;RangeGuard;Risk=Medium</t>
  </si>
  <si>
    <t>RB-04405</t>
  </si>
  <si>
    <t>P10-F04405</t>
  </si>
  <si>
    <t>PBL-0172</t>
  </si>
  <si>
    <t>CurrentFile=Data/Scripts/System/Commands/Statics.cs; Line=17; SourceLine=CommandSystem.Register(; PathResolution=OriginalPathCurrent; MatchQuality=CurrentSourceLine; FileExists=True; DisabledEvidence=False; ParsedCommand=Freeze; ParsedAccess=Administrator; ParsedHandler=Freeze_OnCommand; CommandParseQuality=ParsedCommandAccessHandler; CommandBlock=CommandSystem.Register( "Freeze", AccessLevel.Administrator, new CommandEventHandler(Freeze_OnCommand)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</si>
  <si>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HistoricalFile=Data/Scripts/System/Commands/Statics.cs; Risk=Runtime;Staff;Player; POST-BATCH-L is audit-only P2 residual triage. No source, project, XML/config, serialized layout, runtime file location, command name, access level, or region policy changed.</t>
  </si>
  <si>
    <t>RB-04406</t>
  </si>
  <si>
    <t>P10-F04406</t>
  </si>
  <si>
    <t>PBL-0173</t>
  </si>
  <si>
    <t>CurrentFile=Data/Scripts/System/Commands/Statics.cs; Line=22; SourceLine=CommandSystem.Register(; PathResolution=OriginalPathCurrent; MatchQuality=CurrentSourceLine; FileExists=True; DisabledEvidence=False; ParsedCommand=FreezeMap; ParsedAccess=Administrator; ParsedHandler=FreezeMap_OnCommand; CommandParseQuality=ParsedCommandAccessHandler; CommandBlock=CommandSystem.Register( "FreezeMap", AccessLevel.Administrator, new CommandEventHandler(FreezeMap_OnCommand)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</si>
  <si>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RB-04407</t>
  </si>
  <si>
    <t>P10-F04407</t>
  </si>
  <si>
    <t>PBL-0174</t>
  </si>
  <si>
    <t>CurrentFile=Data/Scripts/System/Commands/Statics.cs; Line=27; SourceLine=CommandSystem.Register(; PathResolution=OriginalPathCurrent; MatchQuality=CurrentSourceLine; FileExists=True; DisabledEvidence=False; ParsedCommand=FreezeWorld; ParsedAccess=Administrator; ParsedHandler=FreezeWorld_OnCommand; CommandParseQuality=ParsedCommandAccessHandler; CommandBlock=CommandSystem.Register( "FreezeWorld", AccessLevel.Administrator, new CommandEventHandler(FreezeWorld_OnCommand)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</si>
  <si>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RB-04408</t>
  </si>
  <si>
    <t>P10-F04408</t>
  </si>
  <si>
    <t>PBL-0175</t>
  </si>
  <si>
    <t>CurrentFile=Data/Scripts/System/Commands/Statics.cs; Line=33; SourceLine=CommandSystem.Register(; PathResolution=OriginalPathCurrent; MatchQuality=CurrentSourceLine; FileExists=True; DisabledEvidence=False; ParsedCommand=Unfreeze; ParsedAccess=Administrator; ParsedHandler=Unfreeze_OnCommand; CommandParseQuality=ParsedCommandAccessHandler; CommandBlock=CommandSystem.Register( "Unfreeze", AccessLevel.Administrator, new CommandEventHandler(Unfreeze_OnCommand)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</si>
  <si>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RB-04409</t>
  </si>
  <si>
    <t>P10-F04409</t>
  </si>
  <si>
    <t>PBL-0176</t>
  </si>
  <si>
    <t>CurrentFile=Data/Scripts/System/Commands/Statics.cs; Line=38; SourceLine=CommandSystem.Register(; PathResolution=OriginalPathCurrent; MatchQuality=CurrentSourceLine; FileExists=True; DisabledEvidence=False; ParsedCommand=UnfreezeMap; ParsedAccess=Administrator; ParsedHandler=UnfreezeMap_OnCommand; CommandParseQuality=ParsedCommandAccessHandler; CommandBlock=CommandSystem.Register( "UnfreezeMap", AccessLevel.Administrator, new CommandEventHandler(UnfreezeMap_OnCommand)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</si>
  <si>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RB-04410</t>
  </si>
  <si>
    <t>P10-F04410</t>
  </si>
  <si>
    <t>PBL-0177</t>
  </si>
  <si>
    <t>CurrentFile=Data/Scripts/System/Commands/Statics.cs; Line=43; SourceLine=CommandSystem.Register(; PathResolution=OriginalPathCurrent; MatchQuality=CurrentSourceLine; FileExists=True; DisabledEvidence=False; ParsedCommand=UnfreezeWorld; ParsedAccess=Administrator; ParsedHandler=UnfreezeWorld_OnCommand; CommandParseQuality=ParsedCommandAccessHandler; CommandBlock=CommandSystem.Register( "UnfreezeWorld", AccessLevel.Administrator, new CommandEventHandler(UnfreezeWorld_OnCommand)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RuntimeInventory=PrimaryRole=CommandSurface;SecondaryRoles=StartupWiring;GumpUI;Persistence;Commands=CommandSystem.Register(;Hooks=Initialize;SerializedTypes=class:Statics;class:DeltaState;class:StateInfo;Gumps=SendGump; SerializationRegister=Class=Unknown;Version=Unknown;Handling=NoVersionFound;Alignment=AlignedByCountAndKnownTypes;MoveRisk=NamespaceOrTypeRenameDanger; CommandRegister=RegisterCommand=;RegisterAccess=;RegisterHandler=;Guards=AccessGuard;BoundsGuard;MapGuard;NullGuard;PacketReadGuard;StateGuard;Risk=Medium</t>
  </si>
  <si>
    <t>RB-04411</t>
  </si>
  <si>
    <t>P10-F04411</t>
  </si>
  <si>
    <t>PBL-0178</t>
  </si>
  <si>
    <t>CurrentFile=Data/Scripts/System/Commands/TargetLog.cs; Line=22; SourceLine=CommandSystem.Register(; PathResolution=OriginalPathCurrent; MatchQuality=CurrentSourceLine; FileExists=True; DisabledEvidence=False; ParsedCommand=TargetLog; ParsedAccess=Counselor; ParsedHandler=TargetLogs; CommandParseQuality=ParsedCommandAccessHandler; CommandBlock=CommandSystem.Register( "TargetLog", AccessLevel.Counselor, new CommandEventHandler(TargetLogs)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</si>
  <si>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HistoricalFile=Data/Scripts/System/Commands/TargetLog.cs; Risk=Runtime;Staff;Player; POST-BATCH-L is audit-only P2 residual triage. No source, project, XML/config, serialized layout, runtime file location, command name, access level, or region policy changed.</t>
  </si>
  <si>
    <t>RB-04412</t>
  </si>
  <si>
    <t>P10-F04412</t>
  </si>
  <si>
    <t>PBL-0179</t>
  </si>
  <si>
    <t>CurrentFile=Data/Scripts/System/Commands/VisibilityList.cs; Line=17; SourceLine=CommandSystem.Register(; PathResolution=OriginalPathCurrent; MatchQuality=CurrentSourceLine; FileExists=True; DisabledEvidence=False; ParsedCommand=Vis; ParsedAccess=Counselor; ParsedHandler=Vis_OnCommand; CommandParseQuality=ParsedCommandAccessHandler; CommandBlock=CommandSystem.Register( "Vis", AccessLevel.Counselor, new CommandEventHandler(Vis_OnCommand) );; ProjectTruth=RecordType=ProjectInclude;Included=True;Missing=False;Unincluded=False;Action=Keep | RecordType=SourceFile;Included=True;Missing=False;Unincluded=False;Action=Keep; RuntimeInventory=PrimaryRole=CommandSurface;SecondaryRoles=StartupWiring;Commands=CommandSystem.Register(;Hooks=EventSink;Initialize;OnLogin;SerializedTypes=;Gumps=; CommandRegister=RegisterCommand=;RegisterAccess=;RegisterHandler=;Guards=AccessGuard;BoundsGuard;DeletedGuard;NullGuard;RangeGuard;StateGuard;Risk=Medium</t>
  </si>
  <si>
    <t>HistoricalFile=Data/Scripts/System/Commands/VisibilityList.cs; Risk=Runtime;Staff;Player; POST-BATCH-L is audit-only P2 residual triage. No source, project, XML/config, serialized layout, runtime file location, command name, access level, or region policy changed.</t>
  </si>
  <si>
    <t>RB-04413</t>
  </si>
  <si>
    <t>P10-F04413</t>
  </si>
  <si>
    <t>PBL-0180</t>
  </si>
  <si>
    <t>CurrentFile=Data/Scripts/System/Commands/VisibilityList.cs; Line=22; SourceLine=CommandSystem.Register(; PathResolution=OriginalPathCurrent; MatchQuality=CurrentSourceLine; FileExists=True; DisabledEvidence=False; ParsedCommand=VisList; ParsedAccess=Counselor; ParsedHandler=VisList_OnCommand; CommandParseQuality=ParsedCommandAccessHandler; CommandBlock=CommandSystem.Register( "VisList", AccessLevel.Counselor, new CommandEventHandler(VisList_OnCommand) );; ProjectTruth=RecordType=ProjectInclude;Included=True;Missing=False;Unincluded=False;Action=Keep | RecordType=SourceFile;Included=True;Missing=False;Unincluded=False;Action=Keep; RuntimeInventory=PrimaryRole=CommandSurface;SecondaryRoles=StartupWiring;Commands=CommandSystem.Register(;Hooks=EventSink;Initialize;OnLogin;SerializedTypes=;Gumps=; CommandRegister=RegisterCommand=;RegisterAccess=;RegisterHandler=;Guards=AccessGuard;BoundsGuard;DeletedGuard;NullGuard;RangeGuard;StateGuard;Risk=Medium</t>
  </si>
  <si>
    <t>RB-04414</t>
  </si>
  <si>
    <t>P10-F04414</t>
  </si>
  <si>
    <t>PBL-0181</t>
  </si>
  <si>
    <t>CurrentFile=Data/Scripts/System/Commands/VisibilityList.cs; Line=27; SourceLine=CommandSystem.Register(; PathResolution=OriginalPathCurrent; MatchQuality=CurrentSourceLine; FileExists=True; DisabledEvidence=False; ParsedCommand=VisClear; ParsedAccess=Counselor; ParsedHandler=VisClear_OnCommand; CommandParseQuality=ParsedCommandAccessHandler; CommandBlock=CommandSystem.Register( "VisClear", AccessLevel.Counselor, new CommandEventHandler(VisClear_OnCommand) );; ProjectTruth=RecordType=ProjectInclude;Included=True;Missing=False;Unincluded=False;Action=Keep | RecordType=SourceFile;Included=True;Missing=False;Unincluded=False;Action=Keep; RuntimeInventory=PrimaryRole=CommandSurface;SecondaryRoles=StartupWiring;Commands=CommandSystem.Register(;Hooks=EventSink;Initialize;OnLogin;SerializedTypes=;Gumps=; CommandRegister=RegisterCommand=;RegisterAccess=;RegisterHandler=;Guards=AccessGuard;BoundsGuard;DeletedGuard;NullGuard;RangeGuard;StateGuard;Risk=Medium</t>
  </si>
  <si>
    <t>RB-04415</t>
  </si>
  <si>
    <t>P10-F04415</t>
  </si>
  <si>
    <t>Data/Scripts/System/Commands/Wipe.cs</t>
  </si>
  <si>
    <t>PBL-0182</t>
  </si>
  <si>
    <t>CurrentFile=Data/Scripts/System/Commands/Wipe.cs; Line=23; SourceLine=CommandSystem.Register(; PathResolution=OriginalPathCurrent; MatchQuality=CurrentSourceLine; FileExists=True; DisabledEvidence=False; ParsedCommand=Wipe; ParsedAccess=GameMaster; ParsedHandler=WipeAll_OnCommand; CommandParseQuality=ParsedCommandAccessHandler; CommandBlock=CommandSystem.Register( "Wipe", AccessLevel.GameMaster, new CommandEventHandler(WipeAll_OnCommand)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</si>
  <si>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HistoricalFile=Data/Scripts/System/Commands/Wipe.cs; Risk=Runtime;Staff;Player; POST-BATCH-L is audit-only P2 residual triage. No source, project, XML/config, serialized layout, runtime file location, command name, access level, or region policy changed.</t>
  </si>
  <si>
    <t>RB-04416</t>
  </si>
  <si>
    <t>P10-F04416</t>
  </si>
  <si>
    <t>PBL-0183</t>
  </si>
  <si>
    <t>CurrentFile=Data/Scripts/System/Commands/Wipe.cs; Line=28; SourceLine=CommandSystem.Register(; PathResolution=OriginalPathCurrent; MatchQuality=CurrentSourceLine; FileExists=True; DisabledEvidence=False; ParsedCommand=WipeItems; ParsedAccess=GameMaster; ParsedHandler=WipeItems_OnCommand; CommandParseQuality=ParsedCommandAccessHandler; CommandBlock=CommandSystem.Register( "WipeItems", AccessLevel.GameMaster, new CommandEventHandler(WipeItems_OnCommand)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</si>
  <si>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RB-04417</t>
  </si>
  <si>
    <t>P10-F04417</t>
  </si>
  <si>
    <t>PBL-0184</t>
  </si>
  <si>
    <t>CurrentFile=Data/Scripts/System/Commands/Wipe.cs; Line=33; SourceLine=CommandSystem.Register(; PathResolution=OriginalPathCurrent; MatchQuality=CurrentSourceLine; FileExists=True; DisabledEvidence=False; ParsedCommand=WipeNPCs; ParsedAccess=GameMaster; ParsedHandler=WipeNPCs_OnCommand; CommandParseQuality=ParsedCommandAccessHandler; CommandBlock=CommandSystem.Register( "WipeNPCs", AccessLevel.GameMaster, new CommandEventHandler(WipeNPCs_OnCommand)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</si>
  <si>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RB-04418</t>
  </si>
  <si>
    <t>P10-F04418</t>
  </si>
  <si>
    <t>PBL-0185</t>
  </si>
  <si>
    <t>CurrentFile=Data/Scripts/System/Commands/Wipe.cs; Line=38; SourceLine=CommandSystem.Register(; PathResolution=OriginalPathCurrent; MatchQuality=CurrentSourceLine; FileExists=True; DisabledEvidence=False; ParsedCommand=WipeMultis; ParsedAccess=GameMaster; ParsedHandler=WipeMultis_OnCommand; CommandParseQuality=ParsedCommandAccessHandler; CommandBlock=CommandSystem.Register( "WipeMultis", AccessLevel.GameMaster, new CommandEventHandler(WipeMultis_OnCommand)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CommandRegister=RegisterCommand=;RegisterAccess=;RegisterHandler=;Guards=AccessGuard;BoundsGuard;MapGuard;StateGuard;Risk=Medium</t>
  </si>
  <si>
    <t>RB-04419</t>
  </si>
  <si>
    <t>P10-F04419</t>
  </si>
  <si>
    <t>PBL-0186</t>
  </si>
  <si>
    <t>CurrentFile=Data/Scripts/System/Commands/Gumps/Adddoorgump.cs; Line=102; SourceLine=CommandSystem.Register(; PathResolution=OriginalPathCurrent; MatchQuality=CurrentSourceLine; FileExists=True; DisabledEvidence=False; ParsedCommand=AddDoor; ParsedAccess=GameMaster; ParsedHandler=AddDoor_OnCommand; CommandParseQuality=ParsedCommandAccessHandler; CommandBlock=CommandSystem.Register( "AddDoor", AccessLevel.GameMaster, new CommandEventHandler(AddDoor_OnCommand)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CommandRegister=RegisterCommand=;RegisterAccess=;RegisterHandler=;Guards=AccessGuard;BoundsGuard;StateGuard;Risk=Medium</t>
  </si>
  <si>
    <t>HistoricalFile=Data/Scripts/System/Commands/Gumps/Adddoorgump.cs; Risk=Runtime;Staff;Player; POST-BATCH-L is audit-only P2 residual triage. No source, project, XML/config, serialized layout, runtime file location, command name, access level, or region policy changed.</t>
  </si>
  <si>
    <t>RB-04420</t>
  </si>
  <si>
    <t>P10-F04420</t>
  </si>
  <si>
    <t>Data/Scripts/System/Commands/Gumps/AdminGump.cs</t>
  </si>
  <si>
    <t>PBL-0187</t>
  </si>
  <si>
    <t>CurrentFile=Data/Scripts/System/Commands/Gumps/AdminGump.cs; Line=150; SourceLine=CommandSystem.Register(; PathResolution=OriginalPathCurrent; MatchQuality=CurrentSourceLine; FileExists=True; DisabledEvidence=False; ParsedCommand=Admin; ParsedAccess=Administrator; ParsedHandler=Admin_OnCommand; CommandParseQuality=ParsedCommandAccessHandler; CommandBlock=CommandSystem.Register( "Admin", AccessLevel.Administrator, new CommandEventHandler(Admin_OnCommand)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CommandRegister=RegisterCommand=;RegisterAccess=;RegisterHandler=;Guards=AccessGuard;BoundsGuard;DeletedGuard;MapGuard;NullGuard;StateGuard;Risk=Medium</t>
  </si>
  <si>
    <t>HistoricalFile=Data/Scripts/System/Commands/Gumps/AdminGump.cs; Risk=Runtime;Staff;Player; POST-BATCH-L is audit-only P2 residual triage. No source, project, XML/config, serialized layout, runtime file location, command name, access level, or region policy changed.</t>
  </si>
  <si>
    <t>RB-04421</t>
  </si>
  <si>
    <t>P10-F04421</t>
  </si>
  <si>
    <t>Data/Scripts/System/Commands/Gumps/ScanGump.cs</t>
  </si>
  <si>
    <t>PBL-0188</t>
  </si>
  <si>
    <t>CurrentFile=Data/Scripts/System/Commands/Gumps/ScanGump.cs; Line=17; SourceLine=CommandSystem.Register(; PathResolution=OriginalPathCurrent; MatchQuality=CurrentSourceLine; FileExists=True; DisabledEvidence=False; ParsedCommand=Scan; ParsedAccess=Counselor; ParsedHandler=Scan_OnCommand; CommandParseQuality=ParsedCommandAccessHandler; CommandBlock=CommandSystem.Register( "Scan", AccessLevel.Counselor, new CommandEventHandler(Scan_OnCommand)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CommandRegister=RegisterCommand=;RegisterAccess=;RegisterHandler=;Guards=AccessGuard;BoundsGuard;MapGuard;NullGuard;StateGuard;Risk=Medium</t>
  </si>
  <si>
    <t>HistoricalFile=Data/Scripts/System/Commands/Gumps/ScanGump.cs; Risk=Runtime;Staff;Player; POST-BATCH-L is audit-only P2 residual triage. No source, project, XML/config, serialized layout, runtime file location, command name, access level, or region policy changed.</t>
  </si>
  <si>
    <t>RB-04424</t>
  </si>
  <si>
    <t>P10-F04424</t>
  </si>
  <si>
    <t>PBL-0191</t>
  </si>
  <si>
    <t>CurrentFile=Data/Scripts/System/Commands/Player/Afk.cs; Line=22; SourceLine=CommandSystem.Register(; PathResolution=OriginalPathCurrent; MatchQuality=CurrentSourceLine; FileExists=True; DisabledEvidence=False; ParsedCommand=afk; ParsedAccess=Player; ParsedHandler=AFK_OnCommand; CommandParseQuality=ParsedCommandAccessHandler; CommandBlock=CommandSystem.Register( "afk", AccessLevel.Player, new CommandEventHandler(AFK_OnCommand) );; ProjectTruth=RecordType=ProjectInclude;Included=True;Missing=False;Unincluded=False;Action=Keep | RecordType=SourceFile;Included=True;Missing=False;Unincluded=False;Action=Keep; RuntimeInventory=PrimaryRole=CommandSurface;SecondaryRoles=StartupWiring;Commands=CommandSystem.Register(;Hooks=CustomTimerSubclass;EventSink;Initialize;OnLogout;OnSpeech;SerializedTypes=;Gumps=; CommandRegister=RegisterCommand=;RegisterAccess=;RegisterHandler=;Guards=AccessGuard;NullGuard;Risk=Medium</t>
  </si>
  <si>
    <t>HistoricalFile=Data/Scripts/System/Commands/Player/Afk.cs; Risk=Runtime;Staff;Player; POST-BATCH-L is audit-only P2 residual triage. No source, project, XML/config, serialized layout, runtime file location, command name, access level, or region policy changed.</t>
  </si>
  <si>
    <t>RB-04425</t>
  </si>
  <si>
    <t>P10-F04425</t>
  </si>
  <si>
    <t>Data/Scripts/System/Commands/Player/AutoAttack.cs</t>
  </si>
  <si>
    <t>PBL-0192</t>
  </si>
  <si>
    <t>CurrentFile=Data/Scripts/System/Commands/Player/AutoAttack.cs; Line=13; SourceLine=CommandSystem.Register(; PathResolution=OriginalPathCurrent; MatchQuality=CurrentSourceLine; FileExists=True; DisabledEvidence=False; ParsedCommand=autoattack; ParsedAccess=Player; ParsedHandler=OnToggleAutoAttack; CommandParseQuality=ParsedCommandAccessHandler; CommandBlock=CommandSystem.Register( "autoattack", AccessLevel.Player, new CommandEventHandler(OnToggleAutoAttack)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</si>
  <si>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HistoricalFile=Data/Scripts/System/Commands/Player/AutoAttack.cs; Risk=Runtime;Staff;Player; POST-BATCH-L is audit-only P2 residual triage. No source, project, XML/config, serialized layout, runtime file location, command name, access level, or region policy changed.</t>
  </si>
  <si>
    <t>RB-04426</t>
  </si>
  <si>
    <t>P10-F04426</t>
  </si>
  <si>
    <t>PBL-0193</t>
  </si>
  <si>
    <t>CurrentFile=Data/Scripts/System/Commands/Player/AutoSheatheWeapon.cs; Line=42; SourceLine=CommandSystem.Register(; PathResolution=OriginalPathCurrent; MatchQuality=CurrentSourceLine; FileExists=True; DisabledEvidence=False; ParsedCommand=sheathe; ParsedAccess=Player; ParsedHandler=OnToggleAutoSheathe; CommandParseQuality=ParsedCommandAccessHandler; CommandBlock=CommandSystem.Register( "sheathe", AccessLevel.Player, new CommandEventHandler(OnToggleAutoSheathe) );; ProjectTruth=RecordType=ProjectInclude;Included=True;Missing=False;Unincluded=False;Action=Keep | RecordType=SourceFile;Included=True;Missing=False;Unincluded=False;Action=Keep; RuntimeInventory=PrimaryRole=CommandSurface;SecondaryRoles=StartupWiring;Commands=CommandSystem.Register(;Hooks=EventSink;Initialize;SerializedTypes=;Gumps=; CommandRegister=RegisterCommand=;RegisterAccess=;RegisterHandler=;Guards=AccessGuard;BoundsGuard;DeletedGuard;NullGuard;Risk=Medium</t>
  </si>
  <si>
    <t>HistoricalFile=Data/Scripts/System/Commands/Player/AutoSheatheWeapon.cs; Risk=Runtime;Staff;Player; POST-BATCH-L is audit-only P2 residual triage. No source, project, XML/config, serialized layout, runtime file location, command name, access level, or region policy changed.</t>
  </si>
  <si>
    <t>RB-04427</t>
  </si>
  <si>
    <t>P10-F04427</t>
  </si>
  <si>
    <t>Data/Scripts/System/Commands/Player/BandSelf.cs</t>
  </si>
  <si>
    <t>PBL-0194</t>
  </si>
  <si>
    <t>CurrentFile=Data/Scripts/System/Commands/Player/BandSelf.cs; Line=14; SourceLine=CommandSystem.Register(; PathResolution=OriginalPathCurrent; MatchQuality=CurrentSourceLine; FileExists=True; DisabledEvidence=False; ParsedCommand=bandself; ParsedAccess=Player; ParsedHandler=BandSelf_OnCommand; CommandParseQuality=ParsedCommandAccessHandler; CommandBlock=CommandSystem.Register( "bandself", AccessLevel.Player, new CommandEventHandler(BandSelf_OnCommand)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CommandRegister=RegisterCommand=;RegisterAccess=;RegisterHandler=;Guards=AccessGuard;BoundsGuard;NullGuard;Risk=Medium</t>
  </si>
  <si>
    <t>HistoricalFile=Data/Scripts/System/Commands/Player/BandSelf.cs; Risk=Runtime;Staff;Player; POST-BATCH-L is audit-only P2 residual triage. No source, project, XML/config, serialized layout, runtime file location, command name, access level, or region policy changed.</t>
  </si>
  <si>
    <t>RB-04428</t>
  </si>
  <si>
    <t>P10-F04428</t>
  </si>
  <si>
    <t>PBL-0195</t>
  </si>
  <si>
    <t>CurrentFile=Data/Scripts/System/Commands/Player/BandSelf.cs; Line=48; SourceLine=CommandSystem.Register(; PathResolution=OriginalPathCurrent; MatchQuality=CurrentSourceLine; FileExists=True; DisabledEvidence=False; ParsedCommand=bandother; ParsedAccess=Player; ParsedHandler=BandOther_OnCommand; CommandParseQuality=ParsedCommandAccessHandler; CommandBlock=CommandSystem.Register( "bandother", AccessLevel.Player, new CommandEventHandler(BandOther_OnCommand)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CommandRegister=RegisterCommand=;RegisterAccess=;RegisterHandler=;Guards=AccessGuard;BoundsGuard;NullGuard;Risk=Medium</t>
  </si>
  <si>
    <t>RB-04429</t>
  </si>
  <si>
    <t>P10-F04429</t>
  </si>
  <si>
    <t>Data/Scripts/System/Commands/Player/ClassicPoisoning.cs</t>
  </si>
  <si>
    <t>PBL-0196</t>
  </si>
  <si>
    <t>CurrentFile=Data/Scripts/System/Commands/Player/ClassicPoisoning.cs; Line=13; SourceLine=CommandSystem.Register(; PathResolution=OriginalPathCurrent; MatchQuality=CurrentSourceLine; FileExists=True; DisabledEvidence=False; ParsedCommand=poisons; ParsedAccess=Player; ParsedHandler=OnTogglePlayOriental; CommandParseQuality=ParsedCommandAccessHandler; CommandBlock=CommandSystem.Register( "poisons", AccessLevel.Player, new CommandEventHandler(OnTogglePlayOriental)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</si>
  <si>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HistoricalFile=Data/Scripts/System/Commands/Player/ClassicPoisoning.cs; Risk=Runtime;Staff;Player; POST-BATCH-L is audit-only P2 residual triage. No source, project, XML/config, serialized layout, runtime file location, command name, access level, or region policy changed.</t>
  </si>
  <si>
    <t>RB-04430</t>
  </si>
  <si>
    <t>P10-F04430</t>
  </si>
  <si>
    <t>PBL-0197</t>
  </si>
  <si>
    <t>CurrentFile=Data/Scripts/System/Commands/Player/CorpseSearch.cs; Line=20; SourceLine=CommandSystem.Register(; PathResolution=OriginalPathCurrent; MatchQuality=CurrentSourceLine; FileExists=True; DisabledEvidence=False; ParsedCommand=corpse; ParsedAccess=Player; ParsedHandler=Corpse_OnCommand; CommandParseQuality=ParsedCommandAccessHandler; CommandBlock=CommandSystem.Register( "corpse", AccessLevel.Player, new CommandEventHandler(Corpse_OnCommand) );; ProjectTruth=RecordType=ProjectInclude;Included=True;Missing=False;Unincluded=False;Action=Keep | RecordType=SourceFile;Included=True;Missing=False;Unincluded=False;Action=Keep; RuntimeInventory=PrimaryRole=CommandSurface;SecondaryRoles=StartupWiring;Persistence;Commands=CommandSystem.Register(;CommandSystem.Register(command, access, handler);;Hooks=CustomTimerSubclass;Initialize;Timer.DelayCall;SerializedTypes=class:CorpseSearch;class:CorpseClear;class:CorpseArrow;class:CorpseTimer;class:CorpseCritter;Gumps=; SerializationRegister=Class=Server.Misc.CorpseCritter;Version=0;Handling=SingleVersionOnly;Alignment=AlignedByCountAndKnownTypes;MoveRisk=NamespaceOrTypeRenameDanger;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</si>
  <si>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HistoricalFile=Data/Scripts/System/Commands/Player/CorpseSearch.cs; Risk=Runtime;Staff;Player; POST-BATCH-L is audit-only P2 residual triage. No source, project, XML/config, serialized layout, runtime file location, command name, access level, or region policy changed.</t>
  </si>
  <si>
    <t>RB-04432</t>
  </si>
  <si>
    <t>P10-F04432</t>
  </si>
  <si>
    <t>PBL-0199</t>
  </si>
  <si>
    <t>CurrentFile=Data/Scripts/System/Commands/Player/CorpseSearch.cs; Line=125; SourceLine=}; PathResolution=OriginalPathCurrent; MatchQuality=CurrentSourceLine; FileExists=True; DisabledEvidence=False; ParsedCommand=corpseclear; ParsedAccess=Player; ParsedHandler=Corpse_OnCommand; CommandParseQuality=ParsedCommandAccessHandler; CommandBlock=} } }  class CorpseClear { public static void Initialize() { CommandSystem.Register( "corpseclear", AccessLevel.Player, new CommandEventHandler(Corpse_OnCommand) );; ProjectTruth=RecordType=ProjectInclude;Included=True;Missing=False;Unincluded=False;Action=Keep | RecordType=SourceFile;Included=True;Missing=False;Unincluded=False;Action=Keep; RuntimeInventory=PrimaryRole=CommandSurface;SecondaryRoles=StartupWiring;Persistence;Commands=CommandSystem.Register(;CommandSystem.Register(command, access, handler);;Hooks=CustomTimerSubclass;Initialize;Timer.DelayCall;SerializedTypes=class:CorpseSearch;class:CorpseClear;class:CorpseArrow;class:CorpseTimer;class:CorpseCritter;Gumps=; SerializationRegister=Class=Server.Misc.CorpseCritter;Version=0;Handling=SingleVersionOnly;Alignment=AlignedByCountAndKnownTypes;MoveRisk=NamespaceOrTypeRenameDanger</t>
  </si>
  <si>
    <t>RB-04434</t>
  </si>
  <si>
    <t>P10-F04434</t>
  </si>
  <si>
    <t>Data/Scripts/System/Commands/Player/Emote.cs</t>
  </si>
  <si>
    <t>PBL-0201</t>
  </si>
  <si>
    <t>CurrentFile=Data/Scripts/System/Commands/Player/Emote.cs; Line=18; SourceLine=CommandSystem.Register(; PathResolution=OriginalPathCurrent; MatchQuality=CurrentSourceLine; FileExists=True; DisabledEvidence=False; ParsedCommand=emote; ParsedAccess=Player; ParsedHandler=Emote_OnCommand; CommandParseQuality=ParsedCommandAccessHandler; CommandBlock=CommandSystem.Register( "emote", AccessLevel.Player, new CommandEventHandler(Emote_OnCommand)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CustomTimerSubclass;Initialize;SerializedTypes=class:Emote;class:EmoteGump;class:ItemRemovalTimer;class:Puke;class:ESound;enum:EmoteMiniPage;class:EmoteMini;class:EmoteMiniGump;Gumps=OnResponse;SendGump; SerializationRegister=Class=Server.Commands.Puke;Version=0;Handling=SingleVersionOnly;Alignment=AlignedByCountAndKnownTypes;MoveRisk=NamespaceOrTypeRenameDanger; CommandRegister=RegisterCommand=;RegisterAccess=;RegisterHandler=;Guards=AccessGuard;BoundsGuard;DeletedGuard;MapGuard;NullGuard;PacketReadGuard;StateGuard;Risk=Medium</t>
  </si>
  <si>
    <t>HistoricalFile=Data/Scripts/System/Commands/Player/Emote.cs; Risk=Runtime;Staff;Player; POST-BATCH-L is audit-only P2 residual triage. No source, project, XML/config, serialized layout, runtime file location, command name, access level, or region policy changed.</t>
  </si>
  <si>
    <t>RB-04435</t>
  </si>
  <si>
    <t>P10-F04435</t>
  </si>
  <si>
    <t>PBL-0202</t>
  </si>
  <si>
    <t>CurrentFile=Data/Scripts/System/Commands/Player/Emote.cs; Line=985; SourceLine=CommandSystem.Register(; PathResolution=OriginalPathCurrent; MatchQuality=CurrentSourceLine; FileExists=True; DisabledEvidence=False; ParsedCommand=e; ParsedAccess=Player; ParsedHandler=EmoteMini_OnCommand; CommandParseQuality=ParsedCommandAccessHandler; CommandBlock=CommandSystem.Register( "e", AccessLevel.Player, new CommandEventHandler(EmoteMini_OnCommand)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CustomTimerSubclass;Initialize;SerializedTypes=class:Emote;class:EmoteGump;class:ItemRemovalTimer;class:Puke;class:ESound;enum:EmoteMiniPage;class:EmoteMini;class:EmoteMiniGump;Gumps=OnResponse;SendGump; SerializationRegister=Class=Server.Commands.Puke;Version=0;Handling=SingleVersionOnly;Alignment=AlignedByCountAndKnownTypes;MoveRisk=NamespaceOrTypeRenameDanger; CommandRegister=RegisterCommand=;RegisterAccess=;RegisterHandler=;Guards=AccessGuard;BoundsGuard;DeletedGuard;MapGuard;NullGuard;PacketReadGuard;StateGuard;Risk=Medium</t>
  </si>
  <si>
    <t>RB-04436</t>
  </si>
  <si>
    <t>P10-F04436</t>
  </si>
  <si>
    <t>Data/Scripts/System/Commands/Player/Loot.cs</t>
  </si>
  <si>
    <t>PBL-0203</t>
  </si>
  <si>
    <t>CurrentFile=Data/Scripts/System/Commands/Player/Loot.cs; Line=116; SourceLine=CommandSystem.Register(; PathResolution=OriginalPathCurrent; MatchQuality=CurrentSourceLine; FileExists=True; DisabledEvidence=False; ParsedCommand=loot; ParsedAccess=Player; ParsedHandler=LootChoice_OnCommand; CommandParseQuality=ParsedCommandAccessHandler; CommandBlock=CommandSystem.Register( "loot", AccessLevel.Player, new CommandEventHandler(LootChoice_OnCommand)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CommandRegister=RegisterCommand=;RegisterAccess=;RegisterHandler=;Guards=AccessGuard;BoundsGuard;NullGuard;StateGuard;Risk=Medium</t>
  </si>
  <si>
    <t>HistoricalFile=Data/Scripts/System/Commands/Player/Loot.cs; Risk=Runtime;Staff;Player; POST-BATCH-L is audit-only P2 residual triage. No source, project, XML/config, serialized layout, runtime file location, command name, access level, or region policy changed.</t>
  </si>
  <si>
    <t>RB-04438</t>
  </si>
  <si>
    <t>P10-F04438</t>
  </si>
  <si>
    <t>PBL-0205</t>
  </si>
  <si>
    <t>CurrentFile=Data/Scripts/System/Commands/Player/MoonSearch.cs; Line=20; SourceLine=CommandSystem.Register(; PathResolution=OriginalPathCurrent; MatchQuality=CurrentSourceLine; FileExists=True; DisabledEvidence=False; ParsedCommand=magicgate; ParsedAccess=Player; ParsedHandler=Moon_OnCommand; CommandParseQuality=ParsedCommandAccessHandler; CommandBlock=CommandSystem.Register( "magicgate", AccessLevel.Player, new CommandEventHandler(Moon_OnCommand) );; ProjectTruth=RecordType=ProjectInclude;Included=True;Missing=False;Unincluded=False;Action=Keep | RecordType=SourceFile;Included=True;Missing=False;Unincluded=False;Action=Keep; RuntimeInventory=PrimaryRole=CommandSurface;SecondaryRoles=StartupWiring;Persistence;Commands=CommandSystem.Register(;CommandSystem.Register(command, access, handler);;Hooks=CustomTimerSubclass;Initialize;Timer.DelayCall;SerializedTypes=class:MoonSearch;class:MoonArrow;class:MoonTimer;class:MoonCritter;Gumps=; SerializationRegister=Class=Server.Misc.MoonCritter;Version=0;Handling=SingleVersionOnly;Alignment=AlignedByCountAndKnownTypes;MoveRisk=NamespaceOrTypeRenameDanger;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</si>
  <si>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HistoricalFile=Data/Scripts/System/Commands/Player/MoonSearch.cs; Risk=Runtime;Staff;Player; POST-BATCH-L is audit-only P2 residual triage. No source, project, XML/config, serialized layout, runtime file location, command name, access level, or region policy changed.</t>
  </si>
  <si>
    <t>RB-04440</t>
  </si>
  <si>
    <t>P10-F04440</t>
  </si>
  <si>
    <t>Data/Scripts/System/Commands/Player/MusicPlayer.cs</t>
  </si>
  <si>
    <t>PBL-0207</t>
  </si>
  <si>
    <t>CurrentFile=Data/Scripts/System/Commands/Player/MusicPlayer.cs; Line=17; SourceLine=CommandSystem.Register(; PathResolution=OriginalPathCurrent; MatchQuality=CurrentSourceLine; FileExists=True; DisabledEvidence=False; ParsedCommand=musical; ParsedAccess=Player; ParsedHandler=OnTogglePrivateTime; CommandParseQuality=ParsedCommandAccessHandler; CommandBlock=CommandSystem.Register( "musical", AccessLevel.Player, new CommandEventHandler(OnTogglePrivateTime)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</si>
  <si>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HistoricalFile=Data/Scripts/System/Commands/Player/MusicPlayer.cs; Risk=Runtime;Staff;Player; POST-BATCH-L is audit-only P2 residual triage. No source, project, XML/config, serialized layout, runtime file location, command name, access level, or region policy changed.</t>
  </si>
  <si>
    <t>RB-04441</t>
  </si>
  <si>
    <t>P10-F04441</t>
  </si>
  <si>
    <t>Data/Scripts/System/Commands/Player/MusicPlaylist.cs</t>
  </si>
  <si>
    <t>PBL-0208</t>
  </si>
  <si>
    <t>CurrentFile=Data/Scripts/System/Commands/Player/MusicPlaylist.cs; Line=21; SourceLine=CommandSystem.Register(; PathResolution=OriginalPathCurrent; MatchQuality=CurrentSourceLine; FileExists=True; DisabledEvidence=False; ParsedCommand=music; ParsedAccess=Player; ParsedHandler=MyStats_OnCommand; CommandParseQuality=ParsedCommandAccessHandler; CommandBlock=CommandSystem.Register( "music", AccessLevel.Player, new CommandEventHandler(MyStats_OnCommand)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CommandRegister=RegisterCommand=;RegisterAccess=;RegisterHandler=;Guards=AccessGuard;BoundsGuard;NullGuard;StateGuard;Risk=Medium</t>
  </si>
  <si>
    <t>HistoricalFile=Data/Scripts/System/Commands/Player/MusicPlaylist.cs; Risk=Runtime;Staff;Player; POST-BATCH-L is audit-only P2 residual triage. No source, project, XML/config, serialized layout, runtime file location, command name, access level, or region policy changed.</t>
  </si>
  <si>
    <t>RB-04443</t>
  </si>
  <si>
    <t>P10-F04443</t>
  </si>
  <si>
    <t>Data/Scripts/System/Commands/Player/PlayBarbaric.cs</t>
  </si>
  <si>
    <t>PBL-0210</t>
  </si>
  <si>
    <t>CurrentFile=Data/Scripts/System/Commands/Player/PlayBarbaric.cs; Line=13; SourceLine=CommandSystem.Register(; PathResolution=OriginalPathCurrent; MatchQuality=CurrentSourceLine; FileExists=True; DisabledEvidence=False; ParsedCommand=barbaric; ParsedAccess=Player; ParsedHandler=OnTogglePlayBarbaric; CommandParseQuality=ParsedCommandAccessHandler; CommandBlock=CommandSystem.Register( "barbaric", AccessLevel.Player, new CommandEventHandler(OnTogglePlayBarbaric)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</si>
  <si>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HistoricalFile=Data/Scripts/System/Commands/Player/PlayBarbaric.cs; Risk=Runtime;Staff;Player; POST-BATCH-L is audit-only P2 residual triage. No source, project, XML/config, serialized layout, runtime file location, command name, access level, or region policy changed.</t>
  </si>
  <si>
    <t>RB-04444</t>
  </si>
  <si>
    <t>P10-F04444</t>
  </si>
  <si>
    <t>Data/Scripts/System/Commands/Player/PlayEvil.cs</t>
  </si>
  <si>
    <t>PBL-0211</t>
  </si>
  <si>
    <t>CurrentFile=Data/Scripts/System/Commands/Player/PlayEvil.cs; Line=13; SourceLine=CommandSystem.Register(; PathResolution=OriginalPathCurrent; MatchQuality=CurrentSourceLine; FileExists=True; DisabledEvidence=False; ParsedCommand=evil; ParsedAccess=Player; ParsedHandler=OnTogglePlayOriental; CommandParseQuality=ParsedCommandAccessHandler; CommandBlock=CommandSystem.Register( "evil", AccessLevel.Player, new CommandEventHandler(OnTogglePlayOriental)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</si>
  <si>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HistoricalFile=Data/Scripts/System/Commands/Player/PlayEvil.cs; Risk=Runtime;Staff;Player; POST-BATCH-L is audit-only P2 residual triage. No source, project, XML/config, serialized layout, runtime file location, command name, access level, or region policy changed.</t>
  </si>
  <si>
    <t>RB-04445</t>
  </si>
  <si>
    <t>P10-F04445</t>
  </si>
  <si>
    <t>Data/Scripts/System/Commands/Player/PlayOriental.cs</t>
  </si>
  <si>
    <t>PBL-0212</t>
  </si>
  <si>
    <t>CurrentFile=Data/Scripts/System/Commands/Player/PlayOriental.cs; Line=13; SourceLine=CommandSystem.Register(; PathResolution=OriginalPathCurrent; MatchQuality=CurrentSourceLine; FileExists=True; DisabledEvidence=False; ParsedCommand=oriental; ParsedAccess=Player; ParsedHandler=OnTogglePlayOriental; CommandParseQuality=ParsedCommandAccessHandler; CommandBlock=CommandSystem.Register( "oriental", AccessLevel.Player, new CommandEventHandler(OnTogglePlayOriental)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</si>
  <si>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HistoricalFile=Data/Scripts/System/Commands/Player/PlayOriental.cs; Risk=Runtime;Staff;Player; POST-BATCH-L is audit-only P2 residual triage. No source, project, XML/config, serialized layout, runtime file location, command name, access level, or region policy changed.</t>
  </si>
  <si>
    <t>RB-04446</t>
  </si>
  <si>
    <t>P10-F04446</t>
  </si>
  <si>
    <t>Data/Scripts/System/Commands/Player/PrivateTime.cs</t>
  </si>
  <si>
    <t>PBL-0213</t>
  </si>
  <si>
    <t>CurrentFile=Data/Scripts/System/Commands/Player/PrivateTime.cs; Line=13; SourceLine=CommandSystem.Register(; PathResolution=OriginalPathCurrent; MatchQuality=CurrentSourceLine; FileExists=True; DisabledEvidence=False; ParsedCommand=private; ParsedAccess=Player; ParsedHandler=OnTogglePrivateTime; CommandParseQuality=ParsedCommandAccessHandler; CommandBlock=CommandSystem.Register( "private", AccessLevel.Player, new CommandEventHandler(OnTogglePrivateTime)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CommandRegister=RegisterCommand=;RegisterAccess=;RegisterHandler=;Guards=AccessGuard;Risk=Medium</t>
  </si>
  <si>
    <t>HistoricalFile=Data/Scripts/System/Commands/Player/PrivateTime.cs; Risk=Runtime;Staff;Player; POST-BATCH-L is audit-only P2 residual triage. No source, project, XML/config, serialized layout, runtime file location, command name, access level, or region policy changed.</t>
  </si>
  <si>
    <t>RB-04447</t>
  </si>
  <si>
    <t>P10-F04447</t>
  </si>
  <si>
    <t>Data/Scripts/System/Commands/Player/QuickBar.cs</t>
  </si>
  <si>
    <t>PBL-0214</t>
  </si>
  <si>
    <t>CurrentFile=Data/Scripts/System/Commands/Player/QuickBar.cs; Line=26; SourceLine=CommandSystem.Register(; PathResolution=OriginalPathCurrent; MatchQuality=CurrentSourceLine; FileExists=True; DisabledEvidence=False; ParsedCommand=quickbar; ParsedAccess=Player; ParsedHandler=ToolBar_OnCommand; CommandParseQuality=ParsedCommandAccessHandler; CommandBlock=CommandSystem.Register( "quickbar",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CommandRegister=RegisterCommand=;RegisterAccess=;RegisterHandler=;Guards=AccessGuard;BoundsGuard;NullGuard;StateGuard;Risk=Medium</t>
  </si>
  <si>
    <t>HistoricalFile=Data/Scripts/System/Commands/Player/QuickBar.cs; Risk=Runtime;Staff;Player; POST-BATCH-L is audit-only P2 residual triage. No source, project, XML/config, serialized layout, runtime file location, command name, access level, or region policy changed.</t>
  </si>
  <si>
    <t>RB-04449</t>
  </si>
  <si>
    <t>P10-F04449</t>
  </si>
  <si>
    <t>PBL-0216</t>
  </si>
  <si>
    <t>CurrentFile=Data/Scripts/System/Commands/Player/RegBar.cs; Line=26; SourceLine=CommandSystem.Register(; PathResolution=OriginalPathCurrent; MatchQuality=CurrentSourceLine; FileExists=True; DisabledEvidence=False; ParsedCommand=regbar; ParsedAccess=Player; ParsedHandler=ToolBar_OnCommand; CommandParseQuality=ParsedCommandAccessHandler; CommandBlock=CommandSystem.Register( "regbar",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CommandRegister=RegisterCommand=;RegisterAccess=;RegisterHandler=;Guards=AccessGuard;BoundsGuard;StateGuard;Risk=Medium</t>
  </si>
  <si>
    <t>HistoricalFile=Data/Scripts/System/Commands/Player/RegBar.cs; Risk=Runtime;Staff;Player; POST-BATCH-L is audit-only P2 residual triage. No source, project, XML/config, serialized layout, runtime file location, command name, access level, or region policy changed.</t>
  </si>
  <si>
    <t>RB-04450</t>
  </si>
  <si>
    <t>P10-F04450</t>
  </si>
  <si>
    <t>PBL-0217</t>
  </si>
  <si>
    <t>CurrentFile=Data/Scripts/System/Commands/Player/RegBar.cs; Line=31; SourceLine=CommandSystem.Register(; PathResolution=OriginalPathCurrent; MatchQuality=CurrentSourceLine; FileExists=True; DisabledEvidence=False; ParsedCommand=regclose; ParsedAccess=Player; ParsedHandler=CReagent_OnCommand; CommandParseQuality=ParsedCommandAccessHandler; CommandBlock=CommandSystem.Register( "regclose", AccessLevel.Player, new CommandEventHandler(CReagent_OnCommand)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CommandRegister=RegisterCommand=;RegisterAccess=;RegisterHandler=;Guards=AccessGuard;BoundsGuard;StateGuard;Risk=Medium</t>
  </si>
  <si>
    <t>RB-04452</t>
  </si>
  <si>
    <t>P10-F04452</t>
  </si>
  <si>
    <t>PBL-0219</t>
  </si>
  <si>
    <t>CurrentFile=Data/Scripts/System/Commands/Player/SkillListing.cs; Line=40; SourceLine=CommandSystem.Register(; PathResolution=OriginalPathCurrent; MatchQuality=CurrentSourceLine; FileExists=True; DisabledEvidence=False; ParsedCommand=skilllist; ParsedAccess=Player; ParsedHandler=NewSkillsGump_OnCommand; CommandParseQuality=ParsedCommandAccessHandler; CommandBlock=CommandSystem.Register( "skilllist", AccessLevel.Player, new CommandEventHandler(NewSkillsGump_OnCommand)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CommandRegister=RegisterCommand=;RegisterAccess=;RegisterHandler=;Guards=AccessGuard;StateGuard;Risk=Medium</t>
  </si>
  <si>
    <t>HistoricalFile=Data/Scripts/System/Commands/Player/SkillListing.cs; Risk=Runtime;Staff;Player; POST-BATCH-L is audit-only P2 residual triage. No source, project, XML/config, serialized layout, runtime file location, command name, access level, or region policy changed.</t>
  </si>
  <si>
    <t>RB-04453</t>
  </si>
  <si>
    <t>P10-F04453</t>
  </si>
  <si>
    <t>Data/Scripts/System/Commands/Player/SkillName.cs</t>
  </si>
  <si>
    <t>PBL-0220</t>
  </si>
  <si>
    <t>CurrentFile=Data/Scripts/System/Commands/Player/SkillName.cs; Line=13; SourceLine=CommandSystem.Register(; PathResolution=OriginalPathCurrent; MatchQuality=CurrentSourceLine; FileExists=True; DisabledEvidence=False; ParsedCommand=SkillName; ParsedAccess=Player; ParsedHandler=SkillName_OnCommand; CommandParseQuality=ParsedCommandAccessHandler; CommandBlock=CommandSystem.Register( "SkillName", AccessLevel.Player, new CommandEventHandler(SkillName_OnCommand)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CommandRegister=RegisterCommand=;RegisterAccess=;RegisterHandler=;Guards=AccessGuard;BoundsGuard;Risk=Medium</t>
  </si>
  <si>
    <t>HistoricalFile=Data/Scripts/System/Commands/Player/SkillName.cs; Risk=Runtime;Staff;Player; POST-BATCH-L is audit-only P2 residual triage. No source, project, XML/config, serialized layout, runtime file location, command name, access level, or region policy changed.</t>
  </si>
  <si>
    <t>RB-04454</t>
  </si>
  <si>
    <t>P10-F04454</t>
  </si>
  <si>
    <t>PBL-0221</t>
  </si>
  <si>
    <t>CurrentFile=Data/Scripts/System/Commands/Player/Skills.cs; Line=15; SourceLine=CommandSystem.Register(; PathResolution=OriginalPathCurrent; MatchQuality=CurrentSourceLine; FileExists=True; DisabledEvidence=False; ParsedCommand=skill; ParsedAccess=Player; ParsedHandler=NewSkillsGump_OnCommand; CommandParseQuality=ParsedCommandAccessHandler; CommandBlock=CommandSystem.Register( "skill", AccessLevel.Player, new CommandEventHandler(NewSkillsGump_OnCommand)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CommandRegister=RegisterCommand=;RegisterAccess=;RegisterHandler=;Guards=AccessGuard;MapGuard;RangeGuard;StateGuard;Risk=Medium</t>
  </si>
  <si>
    <t>HistoricalFile=Data/Scripts/System/Commands/Player/Skills.cs; Risk=Runtime;Staff;Player; POST-BATCH-L is audit-only P2 residual triage. No source, project, XML/config, serialized layout, runtime file location, command name, access level, or region policy changed.</t>
  </si>
  <si>
    <t>RB-04455</t>
  </si>
  <si>
    <t>P10-F04455</t>
  </si>
  <si>
    <t>Data/Scripts/System/Commands/Player/SpellBarsCommands.cs</t>
  </si>
  <si>
    <t>PBL-0222</t>
  </si>
  <si>
    <t>CurrentFile=Data/Scripts/System/Commands/Player/SpellBarsCommands.cs; Line=34; SourceLine=CommandSystem.Register(; PathResolution=OriginalPathCurrent; MatchQuality=CurrentSourceLine; FileExists=True; DisabledEvidence=False; ParsedCommand=ancient; ParsedAccess=Player; ParsedHandler=AncientBook_OnCommand; CommandParseQuality=ParsedCommandAccessHandler; CommandBlock=CommandSystem.Register( "ancient", AccessLevel.Player, new CommandEventHandler(AncientBook_OnCommand)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</si>
  <si>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HistoricalFile=Data/Scripts/System/Commands/Player/SpellBarsCommands.cs; Risk=Runtime;Staff;Player; POST-BATCH-L is audit-only P2 residual triage. No source, project, XML/config, serialized layout, runtime file location, command name, access level, or region policy changed.</t>
  </si>
  <si>
    <t>RB-04457</t>
  </si>
  <si>
    <t>P10-F04457</t>
  </si>
  <si>
    <t>PBL-0224</t>
  </si>
  <si>
    <t>CurrentFile=Data/Scripts/System/Commands/Player/SpellBarsCommands.cs; Line=69; SourceLine=CommandSystem.Register(; PathResolution=OriginalPathCurrent; MatchQuality=CurrentSourceLine; FileExists=True; DisabledEvidence=False; ParsedCommand=archclose1; ParsedAccess=Player; ParsedHandler=CloseBar_OnCommand; CommandParseQuality=ParsedCommandAccessHandler; CommandBlock=CommandSystem.Register( "archclose1",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</si>
  <si>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RB-04459</t>
  </si>
  <si>
    <t>P10-F04459</t>
  </si>
  <si>
    <t>PBL-0226</t>
  </si>
  <si>
    <t>CurrentFile=Data/Scripts/System/Commands/Player/SpellBarsCommands.cs; Line=95; SourceLine=CommandSystem.Register(; PathResolution=OriginalPathCurrent; MatchQuality=CurrentSourceLine; FileExists=True; DisabledEvidence=False; ParsedCommand=archclose2; ParsedAccess=Player; ParsedHandler=CloseBar_OnCommand; CommandParseQuality=ParsedCommandAccessHandler; CommandBlock=CommandSystem.Register( "archclose2",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</si>
  <si>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RB-04461</t>
  </si>
  <si>
    <t>P10-F04461</t>
  </si>
  <si>
    <t>PBL-0228</t>
  </si>
  <si>
    <t>CurrentFile=Data/Scripts/System/Commands/Player/SpellBarsCommands.cs; Line=121; SourceLine=CommandSystem.Register(; PathResolution=OriginalPathCurrent; MatchQuality=CurrentSourceLine; FileExists=True; DisabledEvidence=False; ParsedCommand=archclose3; ParsedAccess=Player; ParsedHandler=CloseBar_OnCommand; CommandParseQuality=ParsedCommandAccessHandler; CommandBlock=CommandSystem.Register( "archclose3",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</si>
  <si>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RB-04463</t>
  </si>
  <si>
    <t>P10-F04463</t>
  </si>
  <si>
    <t>PBL-0230</t>
  </si>
  <si>
    <t>CurrentFile=Data/Scripts/System/Commands/Player/SpellBarsCommands.cs; Line=147; SourceLine=CommandSystem.Register(; PathResolution=OriginalPathCurrent; MatchQuality=CurrentSourceLine; FileExists=True; DisabledEvidence=False; ParsedCommand=archclose4; ParsedAccess=Player; ParsedHandler=CloseBar_OnCommand; CommandParseQuality=ParsedCommandAccessHandler; CommandBlock=CommandSystem.Register( "archclose4",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</si>
  <si>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RB-04465</t>
  </si>
  <si>
    <t>P10-F04465</t>
  </si>
  <si>
    <t>PBL-0232</t>
  </si>
  <si>
    <t>CurrentFile=Data/Scripts/System/Commands/Player/SpellBarsCommands.cs; Line=173; SourceLine=CommandSystem.Register(; PathResolution=OriginalPathCurrent; MatchQuality=CurrentSourceLine; FileExists=True; DisabledEvidence=False; ParsedCommand=elementclose1; ParsedAccess=Player; ParsedHandler=CloseBar_OnCommand; CommandParseQuality=ParsedCommandAccessHandler; CommandBlock=CommandSystem.Register( "elementclose1",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</si>
  <si>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RB-04467</t>
  </si>
  <si>
    <t>P10-F04467</t>
  </si>
  <si>
    <t>PBL-0234</t>
  </si>
  <si>
    <t>CurrentFile=Data/Scripts/System/Commands/Player/SpellBarsCommands.cs; Line=199; SourceLine=CommandSystem.Register(; PathResolution=OriginalPathCurrent; MatchQuality=CurrentSourceLine; FileExists=True; DisabledEvidence=False; ParsedCommand=elementclose2; ParsedAccess=Player; ParsedHandler=CloseBar_OnCommand; CommandParseQuality=ParsedCommandAccessHandler; CommandBlock=CommandSystem.Register( "elementclose2",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</si>
  <si>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RB-04469</t>
  </si>
  <si>
    <t>P10-F04469</t>
  </si>
  <si>
    <t>PBL-0236</t>
  </si>
  <si>
    <t>CurrentFile=Data/Scripts/System/Commands/Player/SpellBarsCommands.cs; Line=225; SourceLine=CommandSystem.Register(; PathResolution=OriginalPathCurrent; MatchQuality=CurrentSourceLine; FileExists=True; DisabledEvidence=False; ParsedCommand=mageclose1; ParsedAccess=Player; ParsedHandler=CloseBar_OnCommand; CommandParseQuality=ParsedCommandAccessHandler; CommandBlock=CommandSystem.Register( "mageclose1",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</si>
  <si>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RB-04471</t>
  </si>
  <si>
    <t>P10-F04471</t>
  </si>
  <si>
    <t>PBL-0238</t>
  </si>
  <si>
    <t>CurrentFile=Data/Scripts/System/Commands/Player/SpellBarsCommands.cs; Line=251; SourceLine=CommandSystem.Register(; PathResolution=OriginalPathCurrent; MatchQuality=CurrentSourceLine; FileExists=True; DisabledEvidence=False; ParsedCommand=mageclose2; ParsedAccess=Player; ParsedHandler=CloseBar_OnCommand; CommandParseQuality=ParsedCommandAccessHandler; CommandBlock=CommandSystem.Register( "mageclose2",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</si>
  <si>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RB-04473</t>
  </si>
  <si>
    <t>P10-F04473</t>
  </si>
  <si>
    <t>PBL-0240</t>
  </si>
  <si>
    <t>CurrentFile=Data/Scripts/System/Commands/Player/SpellBarsCommands.cs; Line=277; SourceLine=CommandSystem.Register(; PathResolution=OriginalPathCurrent; MatchQuality=CurrentSourceLine; FileExists=True; DisabledEvidence=False; ParsedCommand=mageclose3; ParsedAccess=Player; ParsedHandler=CloseBar_OnCommand; CommandParseQuality=ParsedCommandAccessHandler; CommandBlock=CommandSystem.Register( "mageclose3",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</si>
  <si>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RB-04475</t>
  </si>
  <si>
    <t>P10-F04475</t>
  </si>
  <si>
    <t>PBL-0242</t>
  </si>
  <si>
    <t>CurrentFile=Data/Scripts/System/Commands/Player/SpellBarsCommands.cs; Line=303; SourceLine=CommandSystem.Register(; PathResolution=OriginalPathCurrent; MatchQuality=CurrentSourceLine; FileExists=True; DisabledEvidence=False; ParsedCommand=mageclose4; ParsedAccess=Player; ParsedHandler=CloseBar_OnCommand; CommandParseQuality=ParsedCommandAccessHandler; CommandBlock=CommandSystem.Register( "mageclose4",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</si>
  <si>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RB-04477</t>
  </si>
  <si>
    <t>P10-F04477</t>
  </si>
  <si>
    <t>PBL-0244</t>
  </si>
  <si>
    <t>CurrentFile=Data/Scripts/System/Commands/Player/SpellBarsCommands.cs; Line=329; SourceLine=CommandSystem.Register(; PathResolution=OriginalPathCurrent; MatchQuality=CurrentSourceLine; FileExists=True; DisabledEvidence=False; ParsedCommand=necroclose1; ParsedAccess=Player; ParsedHandler=CloseBar_OnCommand; CommandParseQuality=ParsedCommandAccessHandler; CommandBlock=CommandSystem.Register( "necroclose1",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</si>
  <si>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RB-04479</t>
  </si>
  <si>
    <t>P10-F04479</t>
  </si>
  <si>
    <t>PBL-0246</t>
  </si>
  <si>
    <t>CurrentFile=Data/Scripts/System/Commands/Player/SpellBarsCommands.cs; Line=355; SourceLine=CommandSystem.Register(; PathResolution=OriginalPathCurrent; MatchQuality=CurrentSourceLine; FileExists=True; DisabledEvidence=False; ParsedCommand=necroclose2; ParsedAccess=Player; ParsedHandler=CloseBar_OnCommand; CommandParseQuality=ParsedCommandAccessHandler; CommandBlock=CommandSystem.Register( "necroclose2",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</si>
  <si>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RB-04481</t>
  </si>
  <si>
    <t>P10-F04481</t>
  </si>
  <si>
    <t>PBL-0248</t>
  </si>
  <si>
    <t>CurrentFile=Data/Scripts/System/Commands/Player/SpellBarsCommands.cs; Line=381; SourceLine=CommandSystem.Register(; PathResolution=OriginalPathCurrent; MatchQuality=CurrentSourceLine; FileExists=True; DisabledEvidence=False; ParsedCommand=deathclose1; ParsedAccess=Player; ParsedHandler=CloseBar_OnCommand; CommandParseQuality=ParsedCommandAccessHandler; CommandBlock=CommandSystem.Register( "deathclose1",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</si>
  <si>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RB-04483</t>
  </si>
  <si>
    <t>P10-F04483</t>
  </si>
  <si>
    <t>PBL-0250</t>
  </si>
  <si>
    <t>CurrentFile=Data/Scripts/System/Commands/Player/SpellBarsCommands.cs; Line=407; SourceLine=CommandSystem.Register(; PathResolution=OriginalPathCurrent; MatchQuality=CurrentSourceLine; FileExists=True; DisabledEvidence=False; ParsedCommand=deathclose2; ParsedAccess=Player; ParsedHandler=CloseBar_OnCommand; CommandParseQuality=ParsedCommandAccessHandler; CommandBlock=CommandSystem.Register( "deathclose2",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</si>
  <si>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RB-04485</t>
  </si>
  <si>
    <t>P10-F04485</t>
  </si>
  <si>
    <t>PBL-0252</t>
  </si>
  <si>
    <t>CurrentFile=Data/Scripts/System/Commands/Player/SpellBarsCommands.cs; Line=433; SourceLine=CommandSystem.Register(; PathResolution=OriginalPathCurrent; MatchQuality=CurrentSourceLine; FileExists=True; DisabledEvidence=False; ParsedCommand=holyclose1; ParsedAccess=Player; ParsedHandler=CloseBar_OnCommand; CommandParseQuality=ParsedCommandAccessHandler; CommandBlock=CommandSystem.Register( "holyclose1",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</si>
  <si>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RB-04487</t>
  </si>
  <si>
    <t>P10-F04487</t>
  </si>
  <si>
    <t>PBL-0254</t>
  </si>
  <si>
    <t>CurrentFile=Data/Scripts/System/Commands/Player/SpellBarsCommands.cs; Line=459; SourceLine=CommandSystem.Register(; PathResolution=OriginalPathCurrent; MatchQuality=CurrentSourceLine; FileExists=True; DisabledEvidence=False; ParsedCommand=holyclose2; ParsedAccess=Player; ParsedHandler=CloseBar_OnCommand; CommandParseQuality=ParsedCommandAccessHandler; CommandBlock=CommandSystem.Register( "holyclose2",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</si>
  <si>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RB-04489</t>
  </si>
  <si>
    <t>P10-F04489</t>
  </si>
  <si>
    <t>PBL-0256</t>
  </si>
  <si>
    <t>CurrentFile=Data/Scripts/System/Commands/Player/SpellBarsCommands.cs; Line=485; SourceLine=CommandSystem.Register(; PathResolution=OriginalPathCurrent; MatchQuality=CurrentSourceLine; FileExists=True; DisabledEvidence=False; ParsedCommand=knightclose1; ParsedAccess=Player; ParsedHandler=CloseBar_OnCommand; CommandParseQuality=ParsedCommandAccessHandler; CommandBlock=CommandSystem.Register( "knightclose1",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</si>
  <si>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RB-04491</t>
  </si>
  <si>
    <t>P10-F04491</t>
  </si>
  <si>
    <t>PBL-0258</t>
  </si>
  <si>
    <t>CurrentFile=Data/Scripts/System/Commands/Player/SpellBarsCommands.cs; Line=511; SourceLine=CommandSystem.Register(; PathResolution=OriginalPathCurrent; MatchQuality=CurrentSourceLine; FileExists=True; DisabledEvidence=False; ParsedCommand=knightclose2; ParsedAccess=Player; ParsedHandler=CloseBar_OnCommand; CommandParseQuality=ParsedCommandAccessHandler; CommandBlock=CommandSystem.Register( "knightclose2",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</si>
  <si>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RB-04493</t>
  </si>
  <si>
    <t>P10-F04493</t>
  </si>
  <si>
    <t>PBL-0260</t>
  </si>
  <si>
    <t>CurrentFile=Data/Scripts/System/Commands/Player/SpellBarsCommands.cs; Line=537; SourceLine=CommandSystem.Register(; PathResolution=OriginalPathCurrent; MatchQuality=CurrentSourceLine; FileExists=True; DisabledEvidence=False; ParsedCommand=bardclose1; ParsedAccess=Player; ParsedHandler=CloseBar_OnCommand; CommandParseQuality=ParsedCommandAccessHandler; CommandBlock=CommandSystem.Register( "bardclose1",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</si>
  <si>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RB-04495</t>
  </si>
  <si>
    <t>P10-F04495</t>
  </si>
  <si>
    <t>PBL-0262</t>
  </si>
  <si>
    <t>CurrentFile=Data/Scripts/System/Commands/Player/SpellBarsCommands.cs; Line=563; SourceLine=CommandSystem.Register(; PathResolution=OriginalPathCurrent; MatchQuality=CurrentSourceLine; FileExists=True; DisabledEvidence=False; ParsedCommand=bardclose2; ParsedAccess=Player; ParsedHandler=CloseBar_OnCommand; CommandParseQuality=ParsedCommandAccessHandler; CommandBlock=CommandSystem.Register( "bardclose2",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</si>
  <si>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RB-04497</t>
  </si>
  <si>
    <t>P10-F04497</t>
  </si>
  <si>
    <t>PBL-0264</t>
  </si>
  <si>
    <t>CurrentFile=Data/Scripts/System/Commands/Player/SpellBarsCommands.cs; Line=589; SourceLine=CommandSystem.Register(; PathResolution=OriginalPathCurrent; MatchQuality=CurrentSourceLine; FileExists=True; DisabledEvidence=False; ParsedCommand=monkclose1; ParsedAccess=Player; ParsedHandler=CloseBar_OnCommand; CommandParseQuality=ParsedCommandAccessHandler; CommandBlock=CommandSystem.Register( "monkclose1",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</si>
  <si>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RB-04499</t>
  </si>
  <si>
    <t>P10-F04499</t>
  </si>
  <si>
    <t>PBL-0266</t>
  </si>
  <si>
    <t>CurrentFile=Data/Scripts/System/Commands/Player/SpellBarsCommands.cs; Line=615; SourceLine=CommandSystem.Register(; PathResolution=OriginalPathCurrent; MatchQuality=CurrentSourceLine; FileExists=True; DisabledEvidence=False; ParsedCommand=monkclose2; ParsedAccess=Player; ParsedHandler=CloseBar_OnCommand; CommandParseQuality=ParsedCommandAccessHandler; CommandBlock=CommandSystem.Register( "monkclose2", AccessLevel.Player, new CommandEventHandler(CloseBar_OnCommand) );; ProjectTruth=RecordType=ProjectInclude;Included=True;Missing=False;Unincluded=False;Action=Keep | RecordType=SourceFile;Included=True;Missing=False;Unincluded=False;Action=Keep; RuntimeInventory=PrimaryRole=CommandSurface;SecondaryRoles=StartupWiring;CombatPolicy;Commands=CommandSystem.Register(;CommandSystem.Register(command, access, handler);;Hooks=Initialize;SerializedTypes=;Gumps=; CommandRegister=RegisterCommand=;RegisterAccess=;RegisterHandler=;Guards=AccessGuard;StateGuard;Risk=Medium</t>
  </si>
  <si>
    <t>RB-04501</t>
  </si>
  <si>
    <t>P10-F04501</t>
  </si>
  <si>
    <t>Data/Scripts/System/Commands/Player/SpellBarsDisplay.cs</t>
  </si>
  <si>
    <t>PBL-0268</t>
  </si>
  <si>
    <t>CurrentFile=Data/Scripts/System/Commands/Player/SpellBarsDisplay.cs; Line=42; SourceLine=CommandSystem.Register(; PathResolution=OriginalPathCurrent; MatchQuality=CurrentSourceLine; FileExists=True; DisabledEvidence=False; ParsedCommand=archtool1; ParsedAccess=Player; ParsedHandler=ToolBars_OnCommand; CommandParseQuality=ParsedCommandAccessHandler; CommandBlock=CommandSystem.Register( "archtool1",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</si>
  <si>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HistoricalFile=Data/Scripts/System/Commands/Player/SpellBarsDisplay.cs; Risk=Runtime;Staff;Player; POST-BATCH-L is audit-only P2 residual triage. No source, project, XML/config, serialized layout, runtime file location, command name, access level, or region policy changed.</t>
  </si>
  <si>
    <t>RB-04503</t>
  </si>
  <si>
    <t>P10-F04503</t>
  </si>
  <si>
    <t>PBL-0270</t>
  </si>
  <si>
    <t>CurrentFile=Data/Scripts/System/Commands/Player/SpellBarsDisplay.cs; Line=3462; SourceLine=CommandSystem.Register(; PathResolution=OriginalPathCurrent; MatchQuality=CurrentSourceLine; FileExists=True; DisabledEvidence=False; ParsedCommand=archtool2; ParsedAccess=Player; ParsedHandler=ToolBars_OnCommand; CommandParseQuality=ParsedCommandAccessHandler; CommandBlock=CommandSystem.Register( "archtool2",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</si>
  <si>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RB-04505</t>
  </si>
  <si>
    <t>P10-F04505</t>
  </si>
  <si>
    <t>PBL-0272</t>
  </si>
  <si>
    <t>CurrentFile=Data/Scripts/System/Commands/Player/SpellBarsDisplay.cs; Line=6881; SourceLine=CommandSystem.Register(; PathResolution=OriginalPathCurrent; MatchQuality=CurrentSourceLine; FileExists=True; DisabledEvidence=False; ParsedCommand=archtool3; ParsedAccess=Player; ParsedHandler=ToolBars_OnCommand; CommandParseQuality=ParsedCommandAccessHandler; CommandBlock=CommandSystem.Register( "archtool3",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</si>
  <si>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RB-04507</t>
  </si>
  <si>
    <t>P10-F04507</t>
  </si>
  <si>
    <t>PBL-0274</t>
  </si>
  <si>
    <t>CurrentFile=Data/Scripts/System/Commands/Player/SpellBarsDisplay.cs; Line=10300; SourceLine=CommandSystem.Register(; PathResolution=OriginalPathCurrent; MatchQuality=CurrentSourceLine; FileExists=True; DisabledEvidence=False; ParsedCommand=archtool4; ParsedAccess=Player; ParsedHandler=ToolBars_OnCommand; CommandParseQuality=ParsedCommandAccessHandler; CommandBlock=CommandSystem.Register( "archtool4",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</si>
  <si>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RB-04509</t>
  </si>
  <si>
    <t>P10-F04509</t>
  </si>
  <si>
    <t>PBL-0276</t>
  </si>
  <si>
    <t>CurrentFile=Data/Scripts/System/Commands/Player/SpellBarsDisplay.cs; Line=13719; SourceLine=CommandSystem.Register(; PathResolution=OriginalPathCurrent; MatchQuality=CurrentSourceLine; FileExists=True; DisabledEvidence=False; ParsedCommand=magetool1; ParsedAccess=Player; ParsedHandler=ToolBars_OnCommand; CommandParseQuality=ParsedCommandAccessHandler; CommandBlock=CommandSystem.Register( "magetool1",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</si>
  <si>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RB-04511</t>
  </si>
  <si>
    <t>P10-F04511</t>
  </si>
  <si>
    <t>PBL-0278</t>
  </si>
  <si>
    <t>CurrentFile=Data/Scripts/System/Commands/Player/SpellBarsDisplay.cs; Line=15655; SourceLine=CommandSystem.Register(; PathResolution=OriginalPathCurrent; MatchQuality=CurrentSourceLine; FileExists=True; DisabledEvidence=False; ParsedCommand=magetool2; ParsedAccess=Player; ParsedHandler=ToolBars_OnCommand; CommandParseQuality=ParsedCommandAccessHandler; CommandBlock=CommandSystem.Register( "magetool2",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</si>
  <si>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RB-04513</t>
  </si>
  <si>
    <t>P10-F04513</t>
  </si>
  <si>
    <t>PBL-0280</t>
  </si>
  <si>
    <t>CurrentFile=Data/Scripts/System/Commands/Player/SpellBarsDisplay.cs; Line=17591; SourceLine=CommandSystem.Register(; PathResolution=OriginalPathCurrent; MatchQuality=CurrentSourceLine; FileExists=True; DisabledEvidence=False; ParsedCommand=magetool3; ParsedAccess=Player; ParsedHandler=ToolBars_OnCommand; CommandParseQuality=ParsedCommandAccessHandler; CommandBlock=CommandSystem.Register( "magetool3",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</si>
  <si>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RB-04515</t>
  </si>
  <si>
    <t>P10-F04515</t>
  </si>
  <si>
    <t>PBL-0282</t>
  </si>
  <si>
    <t>CurrentFile=Data/Scripts/System/Commands/Player/SpellBarsDisplay.cs; Line=19527; SourceLine=CommandSystem.Register(; PathResolution=OriginalPathCurrent; MatchQuality=CurrentSourceLine; FileExists=True; DisabledEvidence=False; ParsedCommand=magetool4; ParsedAccess=Player; ParsedHandler=ToolBars_OnCommand; CommandParseQuality=ParsedCommandAccessHandler; CommandBlock=CommandSystem.Register( "magetool4",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</si>
  <si>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RB-04517</t>
  </si>
  <si>
    <t>P10-F04517</t>
  </si>
  <si>
    <t>PBL-0284</t>
  </si>
  <si>
    <t>CurrentFile=Data/Scripts/System/Commands/Player/SpellBarsDisplay.cs; Line=21463; SourceLine=CommandSystem.Register(; PathResolution=OriginalPathCurrent; MatchQuality=CurrentSourceLine; FileExists=True; DisabledEvidence=False; ParsedCommand=elementtool1; ParsedAccess=Player; ParsedHandler=ToolBars_OnCommand; CommandParseQuality=ParsedCommandAccessHandler; CommandBlock=CommandSystem.Register( "elementtool1",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</si>
  <si>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RB-04519</t>
  </si>
  <si>
    <t>P10-F04519</t>
  </si>
  <si>
    <t>PBL-0286</t>
  </si>
  <si>
    <t>CurrentFile=Data/Scripts/System/Commands/Player/SpellBarsDisplay.cs; Line=23228; SourceLine=CommandSystem.Register(; PathResolution=OriginalPathCurrent; MatchQuality=CurrentSourceLine; FileExists=True; DisabledEvidence=False; ParsedCommand=elementtool2; ParsedAccess=Player; ParsedHandler=ToolBars_OnCommand; CommandParseQuality=ParsedCommandAccessHandler; CommandBlock=CommandSystem.Register( "elementtool2",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</si>
  <si>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RB-04521</t>
  </si>
  <si>
    <t>P10-F04521</t>
  </si>
  <si>
    <t>PBL-0288</t>
  </si>
  <si>
    <t>CurrentFile=Data/Scripts/System/Commands/Player/SpellBarsDisplay.cs; Line=24993; SourceLine=CommandSystem.Register(; PathResolution=OriginalPathCurrent; MatchQuality=CurrentSourceLine; FileExists=True; DisabledEvidence=False; ParsedCommand=necrotool1; ParsedAccess=Player; ParsedHandler=ToolBars_OnCommand; CommandParseQuality=ParsedCommandAccessHandler; CommandBlock=CommandSystem.Register( "necrotool1",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</si>
  <si>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RB-04523</t>
  </si>
  <si>
    <t>P10-F04523</t>
  </si>
  <si>
    <t>PBL-0290</t>
  </si>
  <si>
    <t>CurrentFile=Data/Scripts/System/Commands/Player/SpellBarsDisplay.cs; Line=25567; SourceLine=CommandSystem.Register(; PathResolution=OriginalPathCurrent; MatchQuality=CurrentSourceLine; FileExists=True; DisabledEvidence=False; ParsedCommand=necrotool2; ParsedAccess=Player; ParsedHandler=ToolBars_OnCommand; CommandParseQuality=ParsedCommandAccessHandler; CommandBlock=CommandSystem.Register( "necrotool2",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</si>
  <si>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RB-04525</t>
  </si>
  <si>
    <t>P10-F04525</t>
  </si>
  <si>
    <t>PBL-0292</t>
  </si>
  <si>
    <t>CurrentFile=Data/Scripts/System/Commands/Player/SpellBarsDisplay.cs; Line=26141; SourceLine=CommandSystem.Register(; PathResolution=OriginalPathCurrent; MatchQuality=CurrentSourceLine; FileExists=True; DisabledEvidence=False; ParsedCommand=knighttool1; ParsedAccess=Player; ParsedHandler=ToolBars_OnCommand; CommandParseQuality=ParsedCommandAccessHandler; CommandBlock=CommandSystem.Register( "knighttool1",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</si>
  <si>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RB-04527</t>
  </si>
  <si>
    <t>P10-F04527</t>
  </si>
  <si>
    <t>PBL-0294</t>
  </si>
  <si>
    <t>CurrentFile=Data/Scripts/System/Commands/Player/SpellBarsDisplay.cs; Line=26512; SourceLine=CommandSystem.Register(; PathResolution=OriginalPathCurrent; MatchQuality=CurrentSourceLine; FileExists=True; DisabledEvidence=False; ParsedCommand=knighttool2; ParsedAccess=Player; ParsedHandler=ToolBars_OnCommand; CommandParseQuality=ParsedCommandAccessHandler; CommandBlock=CommandSystem.Register( "knighttool2",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</si>
  <si>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RB-04529</t>
  </si>
  <si>
    <t>P10-F04529</t>
  </si>
  <si>
    <t>PBL-0296</t>
  </si>
  <si>
    <t>CurrentFile=Data/Scripts/System/Commands/Player/SpellBarsDisplay.cs; Line=26883; SourceLine=CommandSystem.Register(; PathResolution=OriginalPathCurrent; MatchQuality=CurrentSourceLine; FileExists=True; DisabledEvidence=False; ParsedCommand=bardtool1; ParsedAccess=Player; ParsedHandler=ToolBars_OnCommand; CommandParseQuality=ParsedCommandAccessHandler; CommandBlock=CommandSystem.Register( "bardtool1",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</si>
  <si>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RB-04531</t>
  </si>
  <si>
    <t>P10-F04531</t>
  </si>
  <si>
    <t>PBL-0298</t>
  </si>
  <si>
    <t>CurrentFile=Data/Scripts/System/Commands/Player/SpellBarsDisplay.cs; Line=27428; SourceLine=CommandSystem.Register(; PathResolution=OriginalPathCurrent; MatchQuality=CurrentSourceLine; FileExists=True; DisabledEvidence=False; ParsedCommand=bardtool2; ParsedAccess=Player; ParsedHandler=ToolBars_OnCommand; CommandParseQuality=ParsedCommandAccessHandler; CommandBlock=CommandSystem.Register( "bardtool2",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</si>
  <si>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RB-04533</t>
  </si>
  <si>
    <t>P10-F04533</t>
  </si>
  <si>
    <t>PBL-0300</t>
  </si>
  <si>
    <t>CurrentFile=Data/Scripts/System/Commands/Player/SpellBarsDisplay.cs; Line=27982; SourceLine=CommandSystem.Register(; PathResolution=OriginalPathCurrent; MatchQuality=CurrentSourceLine; FileExists=True; DisabledEvidence=False; ParsedCommand=deathtool1; ParsedAccess=Player; ParsedHandler=ToolBars_OnCommand; CommandParseQuality=ParsedCommandAccessHandler; CommandBlock=CommandSystem.Register( "deathtool1",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</si>
  <si>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RB-04535</t>
  </si>
  <si>
    <t>P10-F04535</t>
  </si>
  <si>
    <t>PBL-0302</t>
  </si>
  <si>
    <t>CurrentFile=Data/Scripts/System/Commands/Player/SpellBarsDisplay.cs; Line=28507; SourceLine=CommandSystem.Register(; PathResolution=OriginalPathCurrent; MatchQuality=CurrentSourceLine; FileExists=True; DisabledEvidence=False; ParsedCommand=deathtool2; ParsedAccess=Player; ParsedHandler=ToolBars_OnCommand; CommandParseQuality=ParsedCommandAccessHandler; CommandBlock=CommandSystem.Register( "deathtool2",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</si>
  <si>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RB-04537</t>
  </si>
  <si>
    <t>P10-F04537</t>
  </si>
  <si>
    <t>PBL-0304</t>
  </si>
  <si>
    <t>CurrentFile=Data/Scripts/System/Commands/Player/SpellBarsDisplay.cs; Line=29032; SourceLine=CommandSystem.Register(; PathResolution=OriginalPathCurrent; MatchQuality=CurrentSourceLine; FileExists=True; DisabledEvidence=False; ParsedCommand=holytool1; ParsedAccess=Player; ParsedHandler=ToolBars_OnCommand; CommandParseQuality=ParsedCommandAccessHandler; CommandBlock=CommandSystem.Register( "holytool1",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</si>
  <si>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RB-04539</t>
  </si>
  <si>
    <t>P10-F04539</t>
  </si>
  <si>
    <t>PBL-0306</t>
  </si>
  <si>
    <t>CurrentFile=Data/Scripts/System/Commands/Player/SpellBarsDisplay.cs; Line=29557; SourceLine=CommandSystem.Register(; PathResolution=OriginalPathCurrent; MatchQuality=CurrentSourceLine; FileExists=True; DisabledEvidence=False; ParsedCommand=holytool2; ParsedAccess=Player; ParsedHandler=ToolBars_OnCommand; CommandParseQuality=ParsedCommandAccessHandler; CommandBlock=CommandSystem.Register( "holytool2",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</si>
  <si>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RB-04541</t>
  </si>
  <si>
    <t>P10-F04541</t>
  </si>
  <si>
    <t>PBL-0308</t>
  </si>
  <si>
    <t>CurrentFile=Data/Scripts/System/Commands/Player/SpellBarsDisplay.cs; Line=30073; SourceLine=CommandSystem.Register(; PathResolution=OriginalPathCurrent; MatchQuality=CurrentSourceLine; FileExists=True; DisabledEvidence=False; ParsedCommand=monktool1; ParsedAccess=Player; ParsedHandler=ToolBars_OnCommand; CommandParseQuality=ParsedCommandAccessHandler; CommandBlock=CommandSystem.Register( "monktool1",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</si>
  <si>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RB-04543</t>
  </si>
  <si>
    <t>P10-F04543</t>
  </si>
  <si>
    <t>PBL-0310</t>
  </si>
  <si>
    <t>CurrentFile=Data/Scripts/System/Commands/Player/SpellBarsDisplay.cs; Line=30464; SourceLine=CommandSystem.Register(; PathResolution=OriginalPathCurrent; MatchQuality=CurrentSourceLine; FileExists=True; DisabledEvidence=False; ParsedCommand=monktool2; ParsedAccess=Player; ParsedHandler=ToolBars_OnCommand; CommandParseQuality=ParsedCommandAccessHandler; CommandBlock=CommandSystem.Register( "monktool2", AccessLevel.Player, new CommandEventHandler(ToolBars_OnCommand)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</si>
  <si>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RB-04545</t>
  </si>
  <si>
    <t>P10-F04545</t>
  </si>
  <si>
    <t>Data/Scripts/System/Commands/Player/SpellBarsManage.cs</t>
  </si>
  <si>
    <t>PBL-0312</t>
  </si>
  <si>
    <t>CurrentFile=Data/Scripts/System/Commands/Player/SpellBarsManage.cs; Line=38; SourceLine=CommandSystem.Register(; PathResolution=OriginalPathCurrent; MatchQuality=CurrentSourceLine; FileExists=True; DisabledEvidence=False; ParsedCommand=archspell1; ParsedAccess=Player; ParsedHandler=ToolBar_OnCommand; CommandParseQuality=ParsedCommandAccessHandler; CommandBlock=CommandSystem.Register( "archspell1",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</si>
  <si>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HistoricalFile=Data/Scripts/System/Commands/Player/SpellBarsManage.cs; Risk=Runtime;Staff;Player; POST-BATCH-L is audit-only P2 residual triage. No source, project, XML/config, serialized layout, runtime file location, command name, access level, or region policy changed.</t>
  </si>
  <si>
    <t>RB-04547</t>
  </si>
  <si>
    <t>P10-F04547</t>
  </si>
  <si>
    <t>PBL-0314</t>
  </si>
  <si>
    <t>CurrentFile=Data/Scripts/System/Commands/Player/SpellBarsManage.cs; Line=1243; SourceLine=CommandSystem.Register(; PathResolution=OriginalPathCurrent; MatchQuality=CurrentSourceLine; FileExists=True; DisabledEvidence=False; ParsedCommand=archspell2; ParsedAccess=Player; ParsedHandler=ToolBar_OnCommand; CommandParseQuality=ParsedCommandAccessHandler; CommandBlock=CommandSystem.Register( "archspell2",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</si>
  <si>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RB-04549</t>
  </si>
  <si>
    <t>P10-F04549</t>
  </si>
  <si>
    <t>PBL-0316</t>
  </si>
  <si>
    <t>CurrentFile=Data/Scripts/System/Commands/Player/SpellBarsManage.cs; Line=2435; SourceLine=CommandSystem.Register(; PathResolution=OriginalPathCurrent; MatchQuality=CurrentSourceLine; FileExists=True; DisabledEvidence=False; ParsedCommand=archspell3; ParsedAccess=Player; ParsedHandler=ToolBar_OnCommand; CommandParseQuality=ParsedCommandAccessHandler; CommandBlock=CommandSystem.Register( "archspell3",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</si>
  <si>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RB-04551</t>
  </si>
  <si>
    <t>P10-F04551</t>
  </si>
  <si>
    <t>PBL-0318</t>
  </si>
  <si>
    <t>CurrentFile=Data/Scripts/System/Commands/Player/SpellBarsManage.cs; Line=3627; SourceLine=CommandSystem.Register(; PathResolution=OriginalPathCurrent; MatchQuality=CurrentSourceLine; FileExists=True; DisabledEvidence=False; ParsedCommand=archspell4; ParsedAccess=Player; ParsedHandler=ToolBar_OnCommand; CommandParseQuality=ParsedCommandAccessHandler; CommandBlock=CommandSystem.Register( "archspell4",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</si>
  <si>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RB-04553</t>
  </si>
  <si>
    <t>P10-F04553</t>
  </si>
  <si>
    <t>PBL-0320</t>
  </si>
  <si>
    <t>CurrentFile=Data/Scripts/System/Commands/Player/SpellBarsManage.cs; Line=4819; SourceLine=CommandSystem.Register(; PathResolution=OriginalPathCurrent; MatchQuality=CurrentSourceLine; FileExists=True; DisabledEvidence=False; ParsedCommand=magespell1; ParsedAccess=Player; ParsedHandler=ToolBar_OnCommand; CommandParseQuality=ParsedCommandAccessHandler; CommandBlock=CommandSystem.Register( "magespell1",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</si>
  <si>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RB-04555</t>
  </si>
  <si>
    <t>P10-F04555</t>
  </si>
  <si>
    <t>PBL-0322</t>
  </si>
  <si>
    <t>CurrentFile=Data/Scripts/System/Commands/Player/SpellBarsManage.cs; Line=6000; SourceLine=CommandSystem.Register(; PathResolution=OriginalPathCurrent; MatchQuality=CurrentSourceLine; FileExists=True; DisabledEvidence=False; ParsedCommand=magespell2; ParsedAccess=Player; ParsedHandler=ToolBar_OnCommand; CommandParseQuality=ParsedCommandAccessHandler; CommandBlock=CommandSystem.Register( "magespell2",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</si>
  <si>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RB-04557</t>
  </si>
  <si>
    <t>P10-F04557</t>
  </si>
  <si>
    <t>PBL-0324</t>
  </si>
  <si>
    <t>CurrentFile=Data/Scripts/System/Commands/Player/SpellBarsManage.cs; Line=7181; SourceLine=CommandSystem.Register(; PathResolution=OriginalPathCurrent; MatchQuality=CurrentSourceLine; FileExists=True; DisabledEvidence=False; ParsedCommand=magespell3; ParsedAccess=Player; ParsedHandler=ToolBar_OnCommand; CommandParseQuality=ParsedCommandAccessHandler; CommandBlock=CommandSystem.Register( "magespell3",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</si>
  <si>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RB-04559</t>
  </si>
  <si>
    <t>P10-F04559</t>
  </si>
  <si>
    <t>PBL-0326</t>
  </si>
  <si>
    <t>CurrentFile=Data/Scripts/System/Commands/Player/SpellBarsManage.cs; Line=8362; SourceLine=CommandSystem.Register(; PathResolution=OriginalPathCurrent; MatchQuality=CurrentSourceLine; FileExists=True; DisabledEvidence=False; ParsedCommand=magespell4; ParsedAccess=Player; ParsedHandler=ToolBar_OnCommand; CommandParseQuality=ParsedCommandAccessHandler; CommandBlock=CommandSystem.Register( "magespell4",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</si>
  <si>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RB-04561</t>
  </si>
  <si>
    <t>P10-F04561</t>
  </si>
  <si>
    <t>PBL-0328</t>
  </si>
  <si>
    <t>CurrentFile=Data/Scripts/System/Commands/Player/SpellBarsManage.cs; Line=9543; SourceLine=CommandSystem.Register(; PathResolution=OriginalPathCurrent; MatchQuality=CurrentSourceLine; FileExists=True; DisabledEvidence=False; ParsedCommand=elementspell1; ParsedAccess=Player; ParsedHandler=ToolBar_OnCommand; CommandParseQuality=ParsedCommandAccessHandler; CommandBlock=CommandSystem.Register( "elementspell1",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</si>
  <si>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RB-04563</t>
  </si>
  <si>
    <t>P10-F04563</t>
  </si>
  <si>
    <t>PBL-0330</t>
  </si>
  <si>
    <t>CurrentFile=Data/Scripts/System/Commands/Player/SpellBarsManage.cs; Line=10264; SourceLine=CommandSystem.Register(; PathResolution=OriginalPathCurrent; MatchQuality=CurrentSourceLine; FileExists=True; DisabledEvidence=False; ParsedCommand=elementspell2; ParsedAccess=Player; ParsedHandler=ToolBar_OnCommand; CommandParseQuality=ParsedCommandAccessHandler; CommandBlock=CommandSystem.Register( "elementspell2",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</si>
  <si>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RB-04565</t>
  </si>
  <si>
    <t>P10-F04565</t>
  </si>
  <si>
    <t>PBL-0332</t>
  </si>
  <si>
    <t>CurrentFile=Data/Scripts/System/Commands/Player/SpellBarsManage.cs; Line=10985; SourceLine=CommandSystem.Register(; PathResolution=OriginalPathCurrent; MatchQuality=CurrentSourceLine; FileExists=True; DisabledEvidence=False; ParsedCommand=necrospell1; ParsedAccess=Player; ParsedHandler=ToolBar_OnCommand; CommandParseQuality=ParsedCommandAccessHandler; CommandBlock=CommandSystem.Register( "necrospell1",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</si>
  <si>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RB-04567</t>
  </si>
  <si>
    <t>P10-F04567</t>
  </si>
  <si>
    <t>PBL-0334</t>
  </si>
  <si>
    <t>CurrentFile=Data/Scripts/System/Commands/Player/SpellBarsManage.cs; Line=11429; SourceLine=CommandSystem.Register(; PathResolution=OriginalPathCurrent; MatchQuality=CurrentSourceLine; FileExists=True; DisabledEvidence=False; ParsedCommand=necrospell2; ParsedAccess=Player; ParsedHandler=ToolBar_OnCommand; CommandParseQuality=ParsedCommandAccessHandler; CommandBlock=CommandSystem.Register( "necrospell2",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</si>
  <si>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RB-04569</t>
  </si>
  <si>
    <t>P10-F04569</t>
  </si>
  <si>
    <t>PBL-0336</t>
  </si>
  <si>
    <t>CurrentFile=Data/Scripts/System/Commands/Player/SpellBarsManage.cs; Line=11873; SourceLine=CommandSystem.Register(; PathResolution=OriginalPathCurrent; MatchQuality=CurrentSourceLine; FileExists=True; DisabledEvidence=False; ParsedCommand=knightspell1; ParsedAccess=Player; ParsedHandler=ToolBar_OnCommand; CommandParseQuality=ParsedCommandAccessHandler; CommandBlock=CommandSystem.Register( "knightspell1",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</si>
  <si>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RB-04571</t>
  </si>
  <si>
    <t>P10-F04571</t>
  </si>
  <si>
    <t>PBL-0338</t>
  </si>
  <si>
    <t>CurrentFile=Data/Scripts/System/Commands/Player/SpellBarsManage.cs; Line=12202; SourceLine=CommandSystem.Register(; PathResolution=OriginalPathCurrent; MatchQuality=CurrentSourceLine; FileExists=True; DisabledEvidence=False; ParsedCommand=knightspell2; ParsedAccess=Player; ParsedHandler=ToolBar_OnCommand; CommandParseQuality=ParsedCommandAccessHandler; CommandBlock=CommandSystem.Register( "knightspell2",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</si>
  <si>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RB-04573</t>
  </si>
  <si>
    <t>P10-F04573</t>
  </si>
  <si>
    <t>PBL-0340</t>
  </si>
  <si>
    <t>CurrentFile=Data/Scripts/System/Commands/Player/SpellBarsManage.cs; Line=12531; SourceLine=CommandSystem.Register(; PathResolution=OriginalPathCurrent; MatchQuality=CurrentSourceLine; FileExists=True; DisabledEvidence=False; ParsedCommand=bardsong1; ParsedAccess=Player; ParsedHandler=ToolBar_OnCommand; CommandParseQuality=ParsedCommandAccessHandler; CommandBlock=CommandSystem.Register( "bardsong1",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</si>
  <si>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RB-04575</t>
  </si>
  <si>
    <t>P10-F04575</t>
  </si>
  <si>
    <t>PBL-0342</t>
  </si>
  <si>
    <t>CurrentFile=Data/Scripts/System/Commands/Player/SpellBarsManage.cs; Line=12959; SourceLine=CommandSystem.Register(; PathResolution=OriginalPathCurrent; MatchQuality=CurrentSourceLine; FileExists=True; DisabledEvidence=False; ParsedCommand=bardsong2; ParsedAccess=Player; ParsedHandler=ToolBar_OnCommand; CommandParseQuality=ParsedCommandAccessHandler; CommandBlock=CommandSystem.Register( "bardsong2",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</si>
  <si>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RB-04577</t>
  </si>
  <si>
    <t>P10-F04577</t>
  </si>
  <si>
    <t>PBL-0344</t>
  </si>
  <si>
    <t>CurrentFile=Data/Scripts/System/Commands/Player/SpellBarsManage.cs; Line=13387; SourceLine=CommandSystem.Register(; PathResolution=OriginalPathCurrent; MatchQuality=CurrentSourceLine; FileExists=True; DisabledEvidence=False; ParsedCommand=deathspell1; ParsedAccess=Player; ParsedHandler=ToolBar_OnCommand; CommandParseQuality=ParsedCommandAccessHandler; CommandBlock=CommandSystem.Register( "deathspell1",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</si>
  <si>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RB-04579</t>
  </si>
  <si>
    <t>P10-F04579</t>
  </si>
  <si>
    <t>PBL-0346</t>
  </si>
  <si>
    <t>CurrentFile=Data/Scripts/System/Commands/Player/SpellBarsManage.cs; Line=13784; SourceLine=CommandSystem.Register(; PathResolution=OriginalPathCurrent; MatchQuality=CurrentSourceLine; FileExists=True; DisabledEvidence=False; ParsedCommand=deathspell2; ParsedAccess=Player; ParsedHandler=ToolBar_OnCommand; CommandParseQuality=ParsedCommandAccessHandler; CommandBlock=CommandSystem.Register( "deathspell2",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</si>
  <si>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RB-04581</t>
  </si>
  <si>
    <t>P10-F04581</t>
  </si>
  <si>
    <t>PBL-0348</t>
  </si>
  <si>
    <t>CurrentFile=Data/Scripts/System/Commands/Player/SpellBarsManage.cs; Line=14181; SourceLine=CommandSystem.Register(; PathResolution=OriginalPathCurrent; MatchQuality=CurrentSourceLine; FileExists=True; DisabledEvidence=False; ParsedCommand=holyspell1; ParsedAccess=Player; ParsedHandler=ToolBar_OnCommand; CommandParseQuality=ParsedCommandAccessHandler; CommandBlock=CommandSystem.Register( "holyspell1",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</si>
  <si>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RB-04583</t>
  </si>
  <si>
    <t>P10-F04583</t>
  </si>
  <si>
    <t>PBL-0350</t>
  </si>
  <si>
    <t>CurrentFile=Data/Scripts/System/Commands/Player/SpellBarsManage.cs; Line=14576; SourceLine=CommandSystem.Register(; PathResolution=OriginalPathCurrent; MatchQuality=CurrentSourceLine; FileExists=True; DisabledEvidence=False; ParsedCommand=holyspell2; ParsedAccess=Player; ParsedHandler=ToolBar_OnCommand; CommandParseQuality=ParsedCommandAccessHandler; CommandBlock=CommandSystem.Register( "holyspell2",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</si>
  <si>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RB-04585</t>
  </si>
  <si>
    <t>P10-F04585</t>
  </si>
  <si>
    <t>PBL-0352</t>
  </si>
  <si>
    <t>CurrentFile=Data/Scripts/System/Commands/Player/SpellBarsManage.cs; Line=14971; SourceLine=CommandSystem.Register(; PathResolution=OriginalPathCurrent; MatchQuality=CurrentSourceLine; FileExists=True; DisabledEvidence=False; ParsedCommand=monkspell1; ParsedAccess=Player; ParsedHandler=ToolBar_OnCommand; CommandParseQuality=ParsedCommandAccessHandler; CommandBlock=CommandSystem.Register( "monkspell1",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</si>
  <si>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RB-04587</t>
  </si>
  <si>
    <t>P10-F04587</t>
  </si>
  <si>
    <t>PBL-0354</t>
  </si>
  <si>
    <t>CurrentFile=Data/Scripts/System/Commands/Player/SpellBarsManage.cs; Line=15300; SourceLine=CommandSystem.Register(; PathResolution=OriginalPathCurrent; MatchQuality=CurrentSourceLine; FileExists=True; DisabledEvidence=False; ParsedCommand=monkspell2; ParsedAccess=Player; ParsedHandler=ToolBar_OnCommand; CommandParseQuality=ParsedCommandAccessHandler; CommandBlock=CommandSystem.Register( "monkspell2",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RuntimeInventory=PrimaryRole=CommandSurface;SecondaryRoles=StartupWiring;GumpUI;CombatPolicy;Commands=CommandSystem.Register(;CommandSystem.Register(command, access, handler);;Hooks=Initialize;SerializedTypes=;Gumps=OnResponse;SendGump; CommandRegister=RegisterCommand=;RegisterAccess=;RegisterHandler=;Guards=AccessGuard;BoundsGuard;NullGuard;StateGuard;Risk=Medium</t>
  </si>
  <si>
    <t>RB-04589</t>
  </si>
  <si>
    <t>P10-F04589</t>
  </si>
  <si>
    <t>Data/Scripts/System/Commands/Player/SpellHue.cs</t>
  </si>
  <si>
    <t>PBL-0356</t>
  </si>
  <si>
    <t>CurrentFile=Data/Scripts/System/Commands/Player/SpellHue.cs; Line=19; SourceLine=CommandSystem.Register(; PathResolution=OriginalPathCurrent; MatchQuality=CurrentSourceLine; FileExists=True; DisabledEvidence=False; ParsedCommand=spellhue; ParsedAccess=Player; ParsedHandler=OnSpellHueChange; CommandParseQuality=ParsedCommandAccessHandler; CommandBlock=CommandSystem.Register( "spellhue", AccessLevel.Player, new CommandEventHandler(OnSpellHueChange) );; ProjectTruth=RecordType=ProjectInclude;Included=True;Missing=False;Unincluded=False;Action=Keep | RecordType=SourceFile;Included=True;Missing=False;Unincluded=False;Action=Keep; RuntimeInventory=PrimaryRole=CommandSurface;SecondaryRoles=StartupWiring;CombatPolicy;Commands=CommandSystem.Register(;Hooks=Initialize;SerializedTypes=;Gumps=; CommandRegister=RegisterCommand=;RegisterAccess=;RegisterHandler=;Guards=AccessGuard;BoundsGuard;Risk=Medium</t>
  </si>
  <si>
    <t>HistoricalFile=Data/Scripts/System/Commands/Player/SpellHue.cs; Risk=Runtime;Staff;Player; POST-BATCH-L is audit-only P2 residual triage. No source, project, XML/config, serialized layout, runtime file location, command name, access level, or region policy changed.</t>
  </si>
  <si>
    <t>RB-04590</t>
  </si>
  <si>
    <t>P10-F04590</t>
  </si>
  <si>
    <t>PBL-0357</t>
  </si>
  <si>
    <t>CurrentFile=Data/Scripts/System/Commands/Player/WealthBar.cs; Line=26; SourceLine=CommandSystem.Register(; PathResolution=OriginalPathCurrent; MatchQuality=CurrentSourceLine; FileExists=True; DisabledEvidence=False; ParsedCommand=wealth; ParsedAccess=Player; ParsedHandler=ToolBar_OnCommand; CommandParseQuality=ParsedCommandAccessHandler; CommandBlock=CommandSystem.Register( "wealth", AccessLevel.Player, new CommandEventHandler(ToolBar_OnCommand)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handler);;Hooks=Initialize;SerializedTypes=;Gumps=OnResponse;SendGump; CommandRegister=RegisterCommand=;RegisterAccess=;RegisterHandler=;Guards=AccessGuard;BoundsGuard;StateGuard;Risk=Medium</t>
  </si>
  <si>
    <t>HistoricalFile=Data/Scripts/System/Commands/Player/WealthBar.cs; Risk=Runtime;Staff;Player; POST-BATCH-L is audit-only P2 residual triage. No source, project, XML/config, serialized layout, runtime file location, command name, access level, or region policy changed.</t>
  </si>
  <si>
    <t>RB-04592</t>
  </si>
  <si>
    <t>P10-F04592</t>
  </si>
  <si>
    <t>Data/Scripts/System/Gumps/AddGump.cs</t>
  </si>
  <si>
    <t>PBL-0359</t>
  </si>
  <si>
    <t>CurrentFile=Data/Scripts/System/Gumps/AddGump.cs; Line=20; SourceLine=CommandSystem.Register(; PathResolution=OriginalPathCurrent; MatchQuality=CurrentSourceLine; FileExists=True; DisabledEvidence=False; ParsedCommand=AddMenu; ParsedAccess=GameMaster; ParsedHandler=AddMenu_OnCommand; CommandParseQuality=ParsedCommandAccessHandler; CommandBlock=CommandSystem.Register( "AddMenu", AccessLevel.GameMaster, new CommandEventHandler(AddMenu_OnCommand)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CommandRegister=RegisterCommand=;RegisterAccess=;RegisterHandler=;Guards=AccessGuard;BoundsGuard;NullGuard;StateGuard;Risk=Medium</t>
  </si>
  <si>
    <t>HistoricalFile=Data/Scripts/System/Gumps/AddGump.cs; Risk=Runtime;Staff;Player; POST-BATCH-L is audit-only P2 residual triage. No source, project, XML/config, serialized layout, runtime file location, command name, access level, or region policy changed.</t>
  </si>
  <si>
    <t>RB-04593</t>
  </si>
  <si>
    <t>P10-F04593</t>
  </si>
  <si>
    <t>PBL-0360</t>
  </si>
  <si>
    <t>CurrentFile=Data/Scripts/System/Gumps/ToTAdminGump.cs; Line=163; SourceLine=CommandSystem.Register(; PathResolution=OriginalPathCurrent; MatchQuality=CurrentSourceLine; FileExists=True; DisabledEvidence=False; ParsedCommand=ToTAdmin; ParsedAccess=Administrator; ParsedHandler=ToTAdmin_OnCommand; CommandParseQuality=ParsedCommandAccessHandler; CommandBlock=CommandSystem.Register( "ToTAdmin", AccessLevel.Administrator, new CommandEventHandler(ToTAdmin_OnCommand) );;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CommandRegister=RegisterCommand=;RegisterAccess=;RegisterHandler=;Guards=AccessGuard;BoundsGuard;StateGuard;Risk=Medium</t>
  </si>
  <si>
    <t>HistoricalFile=Data/Scripts/System/Gumps/ToTAdminGump.cs; Risk=Runtime;Staff;Player; POST-BATCH-L is audit-only P2 residual triage. No source, project, XML/config, serialized layout, runtime file location, command name, access level, or region policy changed.</t>
  </si>
  <si>
    <t>RB-04595</t>
  </si>
  <si>
    <t>P10-F04595</t>
  </si>
  <si>
    <t>Data/Scripts/System/Gumps/WhoGump.cs</t>
  </si>
  <si>
    <t>PBL-0361</t>
  </si>
  <si>
    <t>CurrentFile=Data/Scripts/System/Gumps/WhoGump.cs; Line=13; SourceLine=CommandSystem.Register(; PathResolution=OriginalPathCurrent; MatchQuality=CurrentSourceLine; FileExists=True; DisabledEvidence=False; ParsedCommand=Who; ParsedAccess=Counselor; ParsedHandler=WhoList_OnCommand; CommandParseQuality=ParsedCommandAccessHandler; CommandBlock=CommandSystem.Register( "Who", AccessLevel.Counselor, new CommandEventHandler(WhoList_OnCommand)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CommandRegister=RegisterCommand=;RegisterAccess=;RegisterHandler=;Guards=AccessGuard;BoundsGuard;DeletedGuard;NullGuard;StateGuard;Risk=Medium</t>
  </si>
  <si>
    <t>HistoricalFile=Data/Scripts/System/Gumps/WhoGump.cs; Risk=Runtime;Staff;Player; POST-BATCH-L is audit-only P2 residual triage. No source, project, XML/config, serialized layout, runtime file location, command name, access level, or region policy changed.</t>
  </si>
  <si>
    <t>RB-04596</t>
  </si>
  <si>
    <t>P10-F04596</t>
  </si>
  <si>
    <t>PBL-0362</t>
  </si>
  <si>
    <t>CurrentFile=Data/Scripts/System/Gumps/WhoGump.cs; Line=18; SourceLine=CommandSystem.Register(; PathResolution=OriginalPathCurrent; MatchQuality=CurrentSourceLine; FileExists=True; DisabledEvidence=False; ParsedCommand=WhoList; ParsedAccess=Counselor; ParsedHandler=WhoList_OnCommand; CommandParseQuality=ParsedCommandAccessHandler; CommandBlock=CommandSystem.Register( "WhoList", AccessLevel.Counselor, new CommandEventHandler(WhoList_OnCommand)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CommandRegister=RegisterCommand=;RegisterAccess=;RegisterHandler=;Guards=AccessGuard;BoundsGuard;DeletedGuard;NullGuard;StateGuard;Risk=Medium</t>
  </si>
  <si>
    <t>RB-04597</t>
  </si>
  <si>
    <t>P10-F04597</t>
  </si>
  <si>
    <t>Data/Scripts/System/Help/PageQueue.cs</t>
  </si>
  <si>
    <t>PBL-0363</t>
  </si>
  <si>
    <t>CurrentFile=Data/Scripts/System/Help/PageQueue.cs; Line=190; SourceLine=CommandSystem.Register(; PathResolution=OriginalPathCurrent; MatchQuality=CurrentSourceLine; FileExists=True; DisabledEvidence=False; ParsedCommand=Pages; ParsedAccess=Counselor; ParsedHandler=Pages_OnCommand; CommandParseQuality=ParsedCommandAccessHandler; CommandBlock=CommandSystem.Register( "Pages", AccessLevel.Counselor, new CommandEventHandler(Pages_OnCommand) );; ProjectTruth=RecordType=ProjectInclude;Included=True;Missing=False;Unincluded=False;Action=Keep | RecordType=SourceFile;Included=True;Missing=False;Unincluded=False;Action=Keep; RuntimeInventory=PrimaryRole=CommandSurface;SecondaryRoles=StartupWiring;GumpUI;Commands=CommandSystem.Register(;Hooks=CustomTimerSubclass;Initialize;SerializedTypes=;Gumps=SendGump; CommandRegister=RegisterCommand=;RegisterAccess=;RegisterHandler=;Guards=AccessGuard;BoundsGuard;MapGuard;NullGuard;StateGuard;Risk=Medium</t>
  </si>
  <si>
    <t>HistoricalFile=Data/Scripts/System/Help/PageQueue.cs; Risk=Runtime;Staff;Player; POST-BATCH-L is audit-only P2 residual triage. No source, project, XML/config, serialized layout, runtime file location, command name, access level, or region policy changed.</t>
  </si>
  <si>
    <t>RB-04598</t>
  </si>
  <si>
    <t>P10-F04598</t>
  </si>
  <si>
    <t>Data/Scripts/System/Help/SpeechLog.cs</t>
  </si>
  <si>
    <t>PBL-0364</t>
  </si>
  <si>
    <t>CurrentFile=Data/Scripts/System/Help/SpeechLog.cs; Line=25; SourceLine=CommandSystem.Register(; PathResolution=OriginalPathCurrent; MatchQuality=CurrentSourceLine; FileExists=True; DisabledEvidence=False; ParsedCommand=SpeechLog; ParsedAccess=GameMaster; ParsedHandler=SpeechLog_OnCommand; CommandParseQuality=ParsedCommandAccessHandler; CommandBlock=CommandSystem.Register( "SpeechLog", AccessLevel.GameMaster, new CommandEventHandler(SpeechLog_OnCommand)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RuntimeInventory=PrimaryRole=CommandSurface;SecondaryRoles=StartupWiring;GumpUI;Commands=CommandSystem.Register(;Hooks=Initialize;SerializedTypes=;Gumps=SendGump; CommandRegister=RegisterCommand=;RegisterAccess=;RegisterHandler=;Guards=AccessGuard;BoundsGuard;NullGuard;StateGuard;Risk=Medium</t>
  </si>
  <si>
    <t>HistoricalFile=Data/Scripts/System/Help/SpeechLog.cs; Risk=Runtime;Staff;Player; POST-BATCH-L is audit-only P2 residual triage. No source, project, XML/config, serialized layout, runtime file location, command name, access level, or region policy changed.</t>
  </si>
  <si>
    <t>RB-04601</t>
  </si>
  <si>
    <t>P10-F04601</t>
  </si>
  <si>
    <t>PBL-0366</t>
  </si>
  <si>
    <t>CurrentFile=Data/Scripts/System/Misc/AutoRestart.cs; Line=33; SourceLine=CommandSystem.Register(; PathResolution=OriginalPathCurrent; MatchQuality=CurrentSourceLine; FileExists=True; DisabledEvidence=False; ParsedCommand=AutoRestartOn; ParsedAccess=Administrator; ParsedHandler=AutoRestartOn_OnCommand; CommandParseQuality=ParsedCommandAccessHandler; CommandBlock=CommandSystem.Register( "AutoRestartOn", AccessLevel.Administrator, AutoRestartOn_OnCommand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</si>
  <si>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HistoricalFile=Data/Scripts/System/Misc/AutoRestart.cs; Risk=Runtime;Staff;Player; POST-BATCH-L is audit-only P2 residual triage. No source, project, XML/config, serialized layout, runtime file location, command name, access level, or region policy changed.</t>
  </si>
  <si>
    <t>RB-04602</t>
  </si>
  <si>
    <t>P10-F04602</t>
  </si>
  <si>
    <t>PBL-0367</t>
  </si>
  <si>
    <t>CurrentFile=Data/Scripts/System/Misc/AutoRestart.cs; Line=38; SourceLine=CommandSystem.Register(; PathResolution=OriginalPathCurrent; MatchQuality=CurrentSourceLine; FileExists=True; DisabledEvidence=False; ParsedCommand=AutoRestartOff; ParsedAccess=Administrator; ParsedHandler=AutoRestartOff_OnCommand; CommandParseQuality=ParsedCommandAccessHandler; CommandBlock=CommandSystem.Register( "AutoRestartOff", AccessLevel.Administrator, AutoRestartOff_OnCommand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</si>
  <si>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RB-04603</t>
  </si>
  <si>
    <t>P10-F04603</t>
  </si>
  <si>
    <t>PBL-0368</t>
  </si>
  <si>
    <t>CurrentFile=Data/Scripts/System/Misc/AutoRestart.cs; Line=43; SourceLine=CommandSystem.Register(; PathResolution=OriginalPathCurrent; MatchQuality=CurrentSourceLine; FileExists=True; DisabledEvidence=False; ParsedCommand=AutoRestartWhen; ParsedAccess=Administrator; ParsedHandler=AutoRestartWhen_OnCommand; CommandParseQuality=ParsedCommandAccessHandler; CommandBlock=CommandSystem.Register( "AutoRestartWhen", AccessLevel.Administrator, AutoRestartWhen_OnCommand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</si>
  <si>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RB-04604</t>
  </si>
  <si>
    <t>P10-F04604</t>
  </si>
  <si>
    <t>PBL-0369</t>
  </si>
  <si>
    <t>CurrentFile=Data/Scripts/System/Misc/AutoRestart.cs; Line=48; SourceLine=CommandSystem.Register(; PathResolution=OriginalPathCurrent; MatchQuality=CurrentSourceLine; FileExists=True; DisabledEvidence=False; ParsedCommand=AutoRestartTime; ParsedAccess=Administrator; ParsedHandler=AutoRestartTime_OnCommand; CommandParseQuality=ParsedCommandAccessHandler; CommandBlock=CommandSystem.Register( "AutoRestartTime", AccessLevel.Administrator, AutoRestartTime_OnCommand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</si>
  <si>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RB-04605</t>
  </si>
  <si>
    <t>P10-F04605</t>
  </si>
  <si>
    <t>PBL-0370</t>
  </si>
  <si>
    <t>CurrentFile=Data/Scripts/System/Misc/AutoRestart.cs; Line=53; SourceLine=CommandSystem.Register(; PathResolution=OriginalPathCurrent; MatchQuality=CurrentSourceLine; FileExists=True; DisabledEvidence=False; ParsedCommand=AutoRestartColor; ParsedAccess=Administrator; ParsedHandler=AutoRestartColor_OnCommand; CommandParseQuality=ParsedCommandAccessHandler; CommandBlock=CommandSystem.Register( "AutoRestartColor", AccessLevel.Administrator, AutoRestartColor_OnCommand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</si>
  <si>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RB-04606</t>
  </si>
  <si>
    <t>P10-F04606</t>
  </si>
  <si>
    <t>PBL-0371</t>
  </si>
  <si>
    <t>CurrentFile=Data/Scripts/System/Misc/AutoRestart.cs; Line=58; SourceLine=CommandSystem.Register(; PathResolution=OriginalPathCurrent; MatchQuality=CurrentSourceLine; FileExists=True; DisabledEvidence=False; ParsedCommand=AutoRestartText; ParsedAccess=Administrator; ParsedHandler=AutoRestartText_OnCommand; CommandParseQuality=ParsedCommandAccessHandler; CommandBlock=CommandSystem.Register( "AutoRestartText", AccessLevel.Administrator, AutoRestartText_OnCommand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</si>
  <si>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RB-04607</t>
  </si>
  <si>
    <t>P10-F04607</t>
  </si>
  <si>
    <t>PBL-0372</t>
  </si>
  <si>
    <t>CurrentFile=Data/Scripts/System/Misc/AutoRestart.cs; Line=63; SourceLine=CommandSystem.Register(; PathResolution=OriginalPathCurrent; MatchQuality=CurrentSourceLine; FileExists=True; DisabledEvidence=False; ParsedCommand=AutoRestartSave; ParsedAccess=Administrator; ParsedHandler=AutoRestartSave_OnCommand; CommandParseQuality=ParsedCommandAccessHandler; CommandBlock=CommandSystem.Register( "AutoRestartSave", AccessLevel.Administrator, AutoRestartSave_OnCommand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</si>
  <si>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RB-04608</t>
  </si>
  <si>
    <t>P10-F04608</t>
  </si>
  <si>
    <t>PBL-0373</t>
  </si>
  <si>
    <t>CurrentFile=Data/Scripts/System/Misc/AutoRestart.cs; Line=68; SourceLine=CommandSystem.Register(; PathResolution=OriginalPathCurrent; MatchQuality=CurrentSourceLine; FileExists=True; DisabledEvidence=False; ParsedCommand=AutoRestartLoad; ParsedAccess=Administrator; ParsedHandler=AutoRestartLoad_OnCommand; CommandParseQuality=ParsedCommandAccessHandler; CommandBlock=CommandSystem.Register( "AutoRestartLoad", AccessLevel.Administrator, AutoRestartLoad_OnCommand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</si>
  <si>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RB-04613</t>
  </si>
  <si>
    <t>P10-F04613</t>
  </si>
  <si>
    <t>PBL-0374</t>
  </si>
  <si>
    <t>CurrentFile=Data/Scripts/System/Misc/AutoRestart.cs; Line=77; SourceLine=CommandSystem.Register(; PathResolution=OriginalPathCurrent; MatchQuality=CurrentSourceLine; FileExists=True; DisabledEvidence=False; ParsedCommand=AR-Color; ParsedAccess=Administrator; ParsedHandler=AutoRestartColor_OnCommand; CommandParseQuality=ParsedCommandAccessHandler; CommandBlock=CommandSystem.Register( "AR-Color", AccessLevel.Administrator, AutoRestartColor_OnCommand );; ProjectTruth=RecordType=ProjectInclude;Included=True;Missing=False;Unincluded=False;Action=Keep | RecordType=SourceFile;Included=True;Missing=False;Unincluded=False;Action=Keep; RuntimeInventory=PrimaryRole=CommandSurface;SecondaryRoles=StartupWiring;Persistence;Commands=AR-Load:Administrator;AR-Off:Administrator;AR-On:Administrator;AR-Save:Administrator;AR-Text:Administrator;AR-Time:Administrator;AR-When:Administrator;CommandSystem.Register(;Restart:Administrator;Hooks=CustomTimerSubclass;Initialize;Timer.DelayCall;SerializedTypes=enum:RestartType;class:AutoRestart;class:AutoRestartLoadTarget;class:AutoRestarter;Gumps=; SerializationRegister=Class=Server.Misc.AutoRestarter;Version=0;Handling=Switch;Alignment=AlignedByCountAndKnownTypes;MoveRisk=NamespaceOrTypeRenameDanger; CommandRegister=RegisterCommand=;RegisterAccess=;RegisterHandler=;Guards=AccessGuard;BoundsGuard;DeletedGuard;NullGuard;PacketReadGuard;RangeGuard;StateGuard;Risk=Medium</t>
  </si>
  <si>
    <t>RB-04617</t>
  </si>
  <si>
    <t>P10-F04617</t>
  </si>
  <si>
    <t>PBL-0375</t>
  </si>
  <si>
    <t>CurrentFile=Data/Scripts/System/Misc/AutoSave.cs; Line=26; SourceLine=CommandSystem.Register(; PathResolution=OriginalPathCurrent; MatchQuality=CurrentSourceLine; FileExists=True; DisabledEvidence=False; ParsedCommand=SetSaves; ParsedAccess=Administrator; ParsedHandler=SetSaves_OnCommand; CommandParseQuality=ParsedCommandAccessHandler; CommandBlock=CommandSystem.Register( "SetSaves", AccessLevel.Administrator, new CommandEventHandler(SetSaves_OnCommand) );; ProjectTruth=RecordType=ProjectInclude;Included=True;Missing=False;Unincluded=False;Action=Keep | RecordType=SourceFile;Included=True;Missing=False;Unincluded=False;Action=Keep; RuntimeInventory=PrimaryRole=CommandSurface;SecondaryRoles=StartupWiring;Commands=CommandSystem.Register(;Hooks=CustomTimerSubclass;Initialize;Timer.DelayCall;WorldSave;SerializedTypes=;Gumps=; CommandRegister=RegisterCommand=;RegisterAccess=;RegisterHandler=;Guards=AccessGuard;BoundsGuard;MapGuard;NullGuard;StateGuard;Risk=Medium</t>
  </si>
  <si>
    <t>HistoricalFile=Data/Scripts/System/Misc/AutoSave.cs; Risk=Runtime;Staff;Player; POST-BATCH-L is audit-only P2 residual triage. No source, project, XML/config, serialized layout, runtime file location, command name, access level, or region policy changed.</t>
  </si>
  <si>
    <t>RB-04618</t>
  </si>
  <si>
    <t>P10-F04618</t>
  </si>
  <si>
    <t>PBL-0376</t>
  </si>
  <si>
    <t>CurrentFile=Data/Scripts/System/Misc/Build.cs; Line=36023; SourceLine=CommandSystem.Register(; PathResolution=OriginalPathCurrent; MatchQuality=CurrentSourceLine; FileExists=True; DisabledEvidence=False; ParsedCommand=Decorate; ParsedAccess=Administrator; ParsedHandler=Decorate_OnCommand; CommandParseQuality=ParsedCommandAccessHandler; CommandBlock=CommandSystem.Register( "Decorate", AccessLevel.Administrator, new CommandEventHandler(Decorate_OnCommand)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CommandRegister=RegisterCommand=;RegisterAccess=;RegisterHandler=;Guards=AccessGuard;BoundsGuard;MapGuard;NullGuard;RangeGuard;Risk=Medium</t>
  </si>
  <si>
    <t>HistoricalFile=Data/Scripts/System/Misc/Build.cs; Risk=Runtime;Staff;Player; POST-BATCH-L is audit-only P2 residual triage. No source, project, XML/config, serialized layout, runtime file location, command name, access level, or region policy changed.</t>
  </si>
  <si>
    <t>RB-04619</t>
  </si>
  <si>
    <t>P10-F04619</t>
  </si>
  <si>
    <t>PBL-0377</t>
  </si>
  <si>
    <t>CurrentFile=Data/Scripts/System/Misc/Build.cs; Line=86790; SourceLine=CommandSystem.Register(; PathResolution=OriginalPathCurrent; MatchQuality=CurrentSourceLine; FileExists=True; DisabledEvidence=False; ParsedCommand=Testing; ParsedAccess=Counselor; ParsedHandler=Testings; CommandParseQuality=ParsedCommandAccessHandler; CommandBlock=CommandSystem.Register( "Testing", AccessLevel.Counselor, new CommandEventHandler(Testings)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CommandRegister=RegisterCommand=;RegisterAccess=;RegisterHandler=;Guards=AccessGuard;BoundsGuard;MapGuard;NullGuard;RangeGuard;Risk=Medium</t>
  </si>
  <si>
    <t>RB-04620</t>
  </si>
  <si>
    <t>P10-F04620</t>
  </si>
  <si>
    <t>PBL-0378</t>
  </si>
  <si>
    <t>CurrentFile=Data/Scripts/System/Misc/Build.cs; Line=86860; SourceLine=CommandSystem.Register(; PathResolution=OriginalPathCurrent; MatchQuality=CurrentSourceLine; FileExists=True; DisabledEvidence=False; ParsedCommand=BuildWorld; ParsedAccess=Counselor; ParsedHandler=BuildWorlds; CommandParseQuality=ParsedCommandAccessHandler; CommandBlock=CommandSystem.Register( "BuildWorld", AccessLevel.Counselor, new CommandEventHandler(BuildWorlds)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CommandRegister=RegisterCommand=;RegisterAccess=;RegisterHandler=;Guards=AccessGuard;BoundsGuard;MapGuard;NullGuard;RangeGuard;Risk=Medium</t>
  </si>
  <si>
    <t>RB-04622</t>
  </si>
  <si>
    <t>P10-F04622</t>
  </si>
  <si>
    <t>Data/Scripts/System/Misc/DoorGenerator.cs</t>
  </si>
  <si>
    <t>PBL-0380</t>
  </si>
  <si>
    <t>CurrentFile=Data/Scripts/System/Misc/DoorGenerator.cs; Line=336; SourceLine=CommandSystem.Register(; PathResolution=OriginalPathCurrent; MatchQuality=CurrentSourceLine; FileExists=True; DisabledEvidence=False; ParsedCommand=DoorGen; ParsedAccess=Administrator; ParsedHandler=DoorGen_OnCommand; CommandParseQuality=ParsedCommandAccessHandler; CommandBlock=CommandSystem.Register( "DoorGen", AccessLevel.Administrator, new CommandEventHandler(DoorGen_OnCommand)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CommandRegister=RegisterCommand=;RegisterAccess=;RegisterHandler=;Guards=AccessGuard;BoundsGuard;MapGuard;NullGuard;StateGuard;Risk=Medium</t>
  </si>
  <si>
    <t>HistoricalFile=Data/Scripts/System/Misc/DoorGenerator.cs; Risk=Runtime;Staff;Player; POST-BATCH-L is audit-only P2 residual triage. No source, project, XML/config, serialized layout, runtime file location, command name, access level, or region policy changed.</t>
  </si>
  <si>
    <t>RB-04623</t>
  </si>
  <si>
    <t>P10-F04623</t>
  </si>
  <si>
    <t>PBL-0381</t>
  </si>
  <si>
    <t>CurrentFile=Data/Scripts/System/Misc/Guilds.cs; Line=693; SourceLine=CommandSystem.Register(; PathResolution=OriginalPathCurrent; MatchQuality=CurrentSourceLine; FileExists=True; DisabledEvidence=False; ParsedCommand=GuildProps; ParsedAccess=Counselor; ParsedHandler=GuildProps_OnCommand; CommandParseQuality=ParsedCommandAccessHandler; CommandBlock=CommandSystem.Register( "GuildProps", AccessLevel.Counselor, new CommandEventHandler(GuildProps_OnCommand)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CustomTimerSubclass;EventSink;Initialize;Timer.DelayCall;SerializedTypes=enum:RankFlags;class:RankDefinition;class:AllianceInfo;class:AllianceRosterGump;enum:WarStatus;class:WarDeclaration;class:WarTimer;class:Guild;class:GuildPropsTarget;class:GuildTeleporter;class:GuildDeed;class:InternalPrompt;class:Guildstone;class:GuildstoneDeed;Gumps=OnResponse;SendGump; SerializationRegister=Class=Server.Guilds.AllianceInfo;Version=0;Handling=WriteVersionOnly;Alignment=CountMismatch:Writes=4;Reads=0;MoveRisk=NamespaceOrTypeRenameDanger | Class=Server.Guilds.Guild;Version=5;Handling=SwitchGotoCase;Alignment=CountMismatch:Writes=21;Reads=17;MoveRisk=NamespaceOrTypeRenameDanger | Class=Server.Guilds.GuildDeed;Version=0;Handling=SingleVersionOnly;Alignment=AlignedByCountAndKnownTypes;MoveRisk=NamespaceOrTypeRenameDanger; CommandRegister=RegisterCommand=;RegisterAccess=;RegisterHandler=;Guards=AccessGuard;BoundsGuard;DeletedGuard;MapGuard;NullGuard;PacketReadGuard;RangeGuard;StateGuard;Risk=Medium</t>
  </si>
  <si>
    <t>HistoricalFile=Data/Scripts/System/Misc/Guilds.cs; Risk=Runtime;Staff;Player; POST-BATCH-L is audit-only P2 residual triage. No source, project, XML/config, serialized layout, runtime file location, command name, access level, or region policy changed.</t>
  </si>
  <si>
    <t>RB-04624</t>
  </si>
  <si>
    <t>P10-F04624</t>
  </si>
  <si>
    <t>PBL-0382</t>
  </si>
  <si>
    <t>CurrentFile=Data/Scripts/System/Misc/HardwareInfo.cs; Line=199; SourceLine=CommandSystem.Register(; PathResolution=OriginalPathCurrent; MatchQuality=CurrentSourceLine; FileExists=True; DisabledEvidence=False; ParsedCommand=HWInfo; ParsedAccess=GameMaster; ParsedHandler=HWInfo_OnCommand; CommandParseQuality=ParsedCommandAccessHandler; CommandBlock=CommandSystem.Register( "HWInfo", AccessLevel.GameMaster, new CommandEventHandler(HWInfo_OnCommand) );; ProjectTruth=RecordType=ProjectInclude;Included=True;Missing=False;Unincluded=False;Action=Keep | RecordType=SourceFile;Included=True;Missing=False;Unincluded=False;Action=Keep; RuntimeInventory=PrimaryRole=PacketNetwork;SecondaryRoles=CommandSurface;StartupWiring;GumpUI;Commands=CommandSystem.Register(;Hooks=Initialize;PacketHandlers.Register;SerializedTypes=;Gumps=SendGump; CommandRegister=RegisterCommand=;RegisterAccess=;RegisterHandler=;Guards=AccessGuard;BoundsGuard;NullGuard;PacketReadGuard;StateGuard;Risk=Medium</t>
  </si>
  <si>
    <t>HistoricalFile=Data/Scripts/System/Misc/HardwareInfo.cs; Risk=Runtime;Staff;Player; POST-BATCH-L is audit-only P2 residual triage. No source, project, XML/config, serialized layout, runtime file location, command name, access level, or region policy changed.</t>
  </si>
  <si>
    <t>RB-04625</t>
  </si>
  <si>
    <t>P10-F04625</t>
  </si>
  <si>
    <t>PBL-0383</t>
  </si>
  <si>
    <t>CurrentFile=Data/Scripts/System/Misc/LanguageStatistics.cs; Line=343; SourceLine=CommandSystem.Register(; PathResolution=OriginalPathCurrent; MatchQuality=CurrentSourceLine; FileExists=True; DisabledEvidence=False; ParsedCommand=LanguageStatistics; ParsedAccess=Administrator; ParsedHandler=LanguageStatistics_OnCommand; CommandParseQuality=ParsedCommandAccessHandler; CommandBlock=CommandSystem.Register( "LanguageStatistics", AccessLevel.Administrator, new CommandEventHandler(LanguageStatistics_OnCommand)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CommandRegister=RegisterCommand=;RegisterAccess=;RegisterHandler=;Guards=AccessGuard;BoundsGuard;NullGuard;Risk=Medium</t>
  </si>
  <si>
    <t>HistoricalFile=Data/Scripts/System/Misc/LanguageStatistics.cs; Risk=Runtime;Staff;Player; POST-BATCH-L is audit-only P2 residual triage. No source, project, XML/config, serialized layout, runtime file location, command name, access level, or region policy changed.</t>
  </si>
  <si>
    <t>RB-04626</t>
  </si>
  <si>
    <t>P10-F04626</t>
  </si>
  <si>
    <t>PBL-0384</t>
  </si>
  <si>
    <t>CurrentFile=Data/Scripts/System/Misc/LightCycle.cs; Line=41; SourceLine=CommandSystem.Register(; PathResolution=OriginalPathCurrent; MatchQuality=CurrentSourceLine; FileExists=True; DisabledEvidence=False; ParsedCommand=GlobalLight; ParsedAccess=GameMaster; ParsedHandler=Light_OnCommand; CommandParseQuality=ParsedCommandAccessHandler; CommandBlock=CommandSystem.Register( "GlobalLight", AccessLevel.GameMaster, new CommandEventHandler(Light_OnCommand) );; ProjectTruth=RecordType=ProjectInclude;Included=True;Missing=False;Unincluded=False;Action=Keep | RecordType=SourceFile;Included=True;Missing=False;Unincluded=False;Action=Keep; RuntimeInventory=PrimaryRole=CommandSurface;SecondaryRoles=StartupWiring;Commands=CommandSystem.Register(;Hooks=CustomTimerSubclass;EventSink;Initialize;OnLogin;SerializedTypes=;Gumps=; CommandRegister=RegisterCommand=;RegisterAccess=;RegisterHandler=;Guards=AccessGuard;BoundsGuard;DeletedGuard;MapGuard;NullGuard;StateGuard;Risk=Medium</t>
  </si>
  <si>
    <t>HistoricalFile=Data/Scripts/System/Misc/LightCycle.cs; Risk=Runtime;Staff;Player; POST-BATCH-L is audit-only P2 residual triage. No source, project, XML/config, serialized layout, runtime file location, command name, access level, or region policy changed.</t>
  </si>
  <si>
    <t>RB-04627</t>
  </si>
  <si>
    <t>P10-F04627</t>
  </si>
  <si>
    <t>Data/Scripts/System/Misc/MorphingTime.cs</t>
  </si>
  <si>
    <t>PBL-0385</t>
  </si>
  <si>
    <t>CurrentFile=Data/Scripts/System/Misc/MorphingTime.cs; Line=4966; SourceLine=CommandSystem.Register(; PathResolution=OriginalPathCurrent; MatchQuality=CurrentSourceLine; FileExists=True; DisabledEvidence=False; ParsedCommand=HueGear; ParsedAccess=Counselor; ParsedHandler=HueGears; CommandParseQuality=ParsedCommandAccessHandler; CommandBlock=CommandSystem.Register( "HueGear", AccessLevel.Counselor, new CommandEventHandler(HueGears) );; ProjectTruth=RecordType=ProjectInclude;Included=True;Missing=False;Unincluded=False;Action=Keep | RecordType=SourceFile;Included=True;Missing=False;Unincluded=False;Action=Keep; RuntimeInventory=PrimaryRole=CommandSurface;SecondaryRoles=StartupWiring;Commands=CommandSystem.Register(;Hooks=Initialize;SerializedTypes=;Gumps=; CommandRegister=RegisterCommand=;RegisterAccess=;RegisterHandler=;Guards=AccessGuard;BoundsGuard;MapGuard;NullGuard;RangeGuard;StateGuard;Risk=Medium</t>
  </si>
  <si>
    <t>HistoricalFile=Data/Scripts/System/Misc/MorphingTime.cs; Risk=Runtime;Staff;Player; POST-BATCH-L is audit-only P2 residual triage. No source, project, XML/config, serialized layout, runtime file location, command name, access level, or region policy changed.</t>
  </si>
  <si>
    <t>RB-04628</t>
  </si>
  <si>
    <t>P10-F04628</t>
  </si>
  <si>
    <t>PBL-0386</t>
  </si>
  <si>
    <t>CurrentFile=Data/Scripts/System/Misc/MOTD.cs; Line=149; SourceLine=CommandSystem.Register(; PathResolution=OriginalPathCurrent; MatchQuality=CurrentSourceLine; FileExists=True; DisabledEvidence=False; ParsedCommand=MOTD; ParsedAccess=Player; ParsedHandler=MOTD_Utility.EventSink_OnCommand; CommandParseQuality=ParsedCommandAccessHandler; CommandBlock=CommandSystem.Register( "MOTD", AccessLevel.Player, new CommandEventHandler(MOTD_Utility.EventSink_OnCommand)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EventSink;Initialize;SerializedTypes=class:MOTD_Gump;class:MOTD_HelpInfo;class:MOTD_Info;class:MOTD_Main;class:MOTD_Utility;Gumps=OnResponse;SendGump; SerializationRegister=Class=Unknown;Version=Unknown;Handling=NoVersionFound;Alignment=AlignedByCountAndKnownTypes;MoveRisk=NamespaceOrTypeRenameDanger; CommandRegister=RegisterCommand=;RegisterAccess=;RegisterHandler=;Guards=AccessGuard;BoundsGuard;DeletedGuard;NullGuard;PacketReadGuard;StateGuard;Risk=Medium</t>
  </si>
  <si>
    <t>HistoricalFile=Data/Scripts/System/Misc/MOTD.cs; Risk=Runtime;Staff;Player; POST-BATCH-L is audit-only P2 residual triage. No source, project, XML/config, serialized layout, runtime file location, command name, access level, or region policy changed.</t>
  </si>
  <si>
    <t>RB-04629</t>
  </si>
  <si>
    <t>P10-F04629</t>
  </si>
  <si>
    <t>PBL-0387</t>
  </si>
  <si>
    <t>CurrentFile=Data/Scripts/System/Misc/Naming.cs; Line=139; SourceLine=CommandSystem.Register(; PathResolution=OriginalPathCurrent; MatchQuality=CurrentSourceLine; FileExists=True; DisabledEvidence=False; ParsedCommand=ValidateName; ParsedAccess=Administrator; ParsedHandler=ValidateName_OnCommand; CommandParseQuality=ParsedCommandAccessHandler; CommandBlock=CommandSystem.Register( "ValidateName", AccessLevel.Administrator, new CommandEventHandler(ValidateName_OnCommand) );; ProjectTruth=RecordType=ProjectInclude;Included=True;Missing=False;Unincluded=False;Action=Keep | RecordType=SourceFile;Included=True;Missing=False;Unincluded=False;Action=Keep; RuntimeInventory=PrimaryRole=CommandSurface;SecondaryRoles=StartupWiring;GumpUI;Persistence;Commands=CommandSystem.Register(;Hooks=Initialize;SerializedTypes=class:NameList;class:NameVerification;class:CensusRecords;class:CensusGump;class:CustomTitleGump;class:NameAlterGump;class:NameChangeGump;class:ChangeName;Gumps=OnResponse;SendGump; SerializationRegister=Class=Server.CensusRecords;Version=0;Handling=SingleVersionOnly;Alignment=AlignedByCountAndKnownTypes;MoveRisk=NamespaceOrTypeRenameDanger | Class=Server.ChangeName;Version=0;Handling=SingleVersionOnly;Alignment=AlignedByCountAndKnownTypes;MoveRisk=NamespaceOrTypeRenameDanger; CommandRegister=RegisterCommand=;RegisterAccess=;RegisterHandler=;Guards=AccessGuard;BoundsGuard;NullGuard;PacketReadGuard;StateGuard;Risk=Medium</t>
  </si>
  <si>
    <t>HistoricalFile=Data/Scripts/System/Misc/Naming.cs; Risk=Runtime;Staff;Player; POST-BATCH-L is audit-only P2 residual triage. No source, project, XML/config, serialized layout, runtime file location, command name, access level, or region policy changed.</t>
  </si>
  <si>
    <t>RB-04630</t>
  </si>
  <si>
    <t>P10-F04630</t>
  </si>
  <si>
    <t>PBL-0388</t>
  </si>
  <si>
    <t>CurrentFile=Data/Scripts/System/Misc/Party.cs; Line=301; SourceLine=CommandSystem.Register(; PathResolution=OriginalPathCurrent; MatchQuality=CurrentSourceLine; FileExists=True; DisabledEvidence=False; ParsedCommand=ListenToParty; ParsedAccess=GameMaster; ParsedHandler=ListenToParty_OnCommand; CommandParseQuality=ParsedCommandAccessHandler; CommandBlock=CommandSystem.Register( "ListenToParty", AccessLevel.GameMaster, new CommandEventHandler(ListenToParty_OnCommand) );; ProjectTruth=RecordType=ProjectInclude;Included=True;Missing=False;Unincluded=False;Action=Keep | RecordType=SourceFile;Included=True;Missing=False;Unincluded=False;Action=Keep; RuntimeInventory=PrimaryRole=CommandSurface;SecondaryRoles=StartupWiring;GumpUI;Commands=CommandSystem.Register(;Hooks=CustomTimerSubclass;EventSink;Initialize;SerializedTypes=;Gumps=SendGump; CommandRegister=RegisterCommand=;RegisterAccess=;RegisterHandler=;Guards=AccessGuard;BoundsGuard;DeletedGuard;MapGuard;NullGuard;RangeGuard;StateGuard;Risk=Medium</t>
  </si>
  <si>
    <t>HistoricalFile=Data/Scripts/System/Misc/Party.cs; Risk=Runtime;Staff;Player; POST-BATCH-L is audit-only P2 residual triage. No source, project, XML/config, serialized layout, runtime file location, command name, access level, or region policy changed.</t>
  </si>
  <si>
    <t>RB-04631</t>
  </si>
  <si>
    <t>P10-F04631</t>
  </si>
  <si>
    <t>Data/Scripts/System/Misc/Paths.cs</t>
  </si>
  <si>
    <t>PBL-0389</t>
  </si>
  <si>
    <t>CurrentFile=Data/Scripts/System/Misc/Paths.cs; Line=1506; SourceLine=CommandSystem.Register(; PathResolution=OriginalPathCurrent; MatchQuality=CurrentSourceLine; FileExists=True; DisabledEvidence=False; ParsedCommand=Path; ParsedAccess=GameMaster; ParsedHandler=Path_OnCommand; CommandParseQuality=ParsedCommandAccessHandler; CommandBlock=CommandSystem.Register( "Path", AccessLevel.GameMaster, new CommandEventHandler(Path_OnCommand) );; ProjectTruth=RecordType=ProjectInclude;Included=True;Missing=False;Unincluded=False;Action=Keep | RecordType=SourceFile;Included=True;Missing=False;Unincluded=False;Action=Keep; RuntimeInventory=PrimaryRole=CommandSurface;SecondaryRoles=StartupWiring;Commands=CommandSystem.Register(;Hooks=Initialize;Timer.DelayCall;SerializedTypes=;Gumps=; CommandRegister=RegisterCommand=;RegisterAccess=;RegisterHandler=;Guards=AccessGuard;BoundsGuard;MapGuard;NullGuard;RangeGuard;StateGuard;Risk=Medium</t>
  </si>
  <si>
    <t>HistoricalFile=Data/Scripts/System/Misc/Paths.cs; Risk=Runtime;Staff;Player; POST-BATCH-L is audit-only P2 residual triage. No source, project, XML/config, serialized layout, runtime file location, command name, access level, or region policy changed.</t>
  </si>
  <si>
    <t>RB-04632</t>
  </si>
  <si>
    <t>P10-F04632</t>
  </si>
  <si>
    <t>PBL-0390</t>
  </si>
  <si>
    <t>CurrentFile=Data/Scripts/System/Misc/Players.cs; Line=1476; SourceLine=CommandSystem.Register(; PathResolution=OriginalPathCurrent; MatchQuality=CurrentSourceLine; FileExists=True; DisabledEvidence=False; ParsedCommand=status; ParsedAccess=Player; ParsedHandler=MyStats_OnCommand; CommandParseQuality=ParsedCommandAccessHandler; CommandBlock=CommandSystem.Register( "status", AccessLevel.Player, new CommandEventHandler(MyStats_OnCommand) );; ProjectTruth=RecordType=ProjectInclude;Included=True;Missing=False;Unincluded=False;Action=Keep | RecordType=SourceFile;Included=True;Missing=False;Unincluded=False;Action=Keep; RuntimeInventory=PrimaryRole=CommandSurface;SecondaryRoles=StartupWiring;GumpUI;Commands=CommandSystem.Register(;CommandSystem.Register(command, access, handler);;Hooks=EventSink;Initialize;SerializedTypes=;Gumps=OnResponse;SendGump; CommandRegister=RegisterCommand=;RegisterAccess=;RegisterHandler=;Guards=AccessGuard;BoundsGuard;DeletedGuard;NullGuard;RangeGuard;StateGuard;Risk=Medium</t>
  </si>
  <si>
    <t>HistoricalFile=Data/Scripts/System/Misc/Players.cs; Risk=Runtime;Staff;Player; POST-BATCH-L is audit-only P2 residual triage. No source, project, XML/config, serialized layout, runtime file location, command name, access level, or region policy changed.</t>
  </si>
  <si>
    <t>RB-04648</t>
  </si>
  <si>
    <t>P10-F04648</t>
  </si>
  <si>
    <t>Data/Scripts/System/Misc/Weather.cs</t>
  </si>
  <si>
    <t>PBL-0394</t>
  </si>
  <si>
    <t>CurrentFile=Data/Scripts/System/Misc/Weather.cs; Line=561; SourceLine=CommandSystem.Register(; PathResolution=OriginalPathCurrent; MatchQuality=CurrentSourceLine; FileExists=True; DisabledEvidence=False; ParsedCommand=weather; ParsedAccess=Administrator; ParsedHandler=Weather_OnCommand; CommandParseQuality=ParsedCommandAccessHandler; CommandBlock=CommandSystem.Register( "weather", AccessLevel.Administrator, new CommandEventHandler(Weather_OnCommand) );; ProjectTruth=RecordType=ProjectInclude;Included=True;Missing=False;Unincluded=False;Action=Keep | RecordType=SourceFile;Included=True;Missing=False;Unincluded=False;Action=Keep; RuntimeInventory=PrimaryRole=CommandSurface;SecondaryRoles=StartupWiring;Commands=CommandSystem.Register(;CommandSystem.Register(command, access, handler);;Hooks=Initialize;Timer.DelayCall;SerializedTypes=;Gumps=; CommandRegister=RegisterCommand=;RegisterAccess=;RegisterHandler=;Guards=AccessGuard;BoundsGuard;MapGuard;NullGuard;StateGuard;Risk=Medium</t>
  </si>
  <si>
    <t>HistoricalFile=Data/Scripts/System/Misc/Weather.cs; Risk=Runtime;Staff;Player; POST-BATCH-L is audit-only P2 residual triage. No source, project, XML/config, serialized layout, runtime file location, command name, access level, or region policy changed.</t>
  </si>
  <si>
    <t>RB-04674</t>
  </si>
  <si>
    <t>P10-F04674</t>
  </si>
  <si>
    <t>PBL-0397</t>
  </si>
  <si>
    <t>CurrentFile=Data/Scripts/System/Skills/Weapon Abilities/SpecialAttackCommands.cs; Line=13; SourceLine=CommandSystem.Register(; PathResolution=OriginalPathCurrent; MatchQuality=CurrentSourceLine; FileExists=True; DisabledEvidence=False; ParsedCommand=SetPrimaryAbility; ParsedAccess=Player; ParsedHandler=SetPrimaryAbility_OnCommand; CommandParseQuality=ParsedCommandAccessHandler; CommandBlock=CommandSystem.Register( "SetPrimaryAbility", AccessLevel.Player, new CommandEventHandler(SetPrimaryAbility_OnCommand)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</si>
  <si>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HistoricalFile=Data/Scripts/System/Skills/Weapon Abilities/SpecialAttackCommands.cs; Risk=Runtime;Staff;Player; POST-BATCH-L is audit-only P2 residual triage. No source, project, XML/config, serialized layout, runtime file location, command name, access level, or region policy changed.</t>
  </si>
  <si>
    <t>RB-04675</t>
  </si>
  <si>
    <t>P10-F04675</t>
  </si>
  <si>
    <t>PBL-0398</t>
  </si>
  <si>
    <t>CurrentFile=Data/Scripts/System/Skills/Weapon Abilities/SpecialAttackCommands.cs; Line=18; SourceLine=CommandSystem.Register(; PathResolution=OriginalPathCurrent; MatchQuality=CurrentSourceLine; FileExists=True; DisabledEvidence=False; ParsedCommand=SetSecondaryAbility; ParsedAccess=Player; ParsedHandler=SetSecondaryAbility_OnCommand; CommandParseQuality=ParsedCommandAccessHandler; CommandBlock=CommandSystem.Register( "SetSecondaryAbility", AccessLevel.Player, new CommandEventHandler(SetSecondaryAbility_OnCommand)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</si>
  <si>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RB-04676</t>
  </si>
  <si>
    <t>P10-F04676</t>
  </si>
  <si>
    <t>PBL-0399</t>
  </si>
  <si>
    <t>CurrentFile=Data/Scripts/System/Skills/Weapon Abilities/SpecialAttackCommands.cs; Line=23; SourceLine=CommandSystem.Register(; PathResolution=OriginalPathCurrent; MatchQuality=CurrentSourceLine; FileExists=True; DisabledEvidence=False; ParsedCommand=SetThirdAbility; ParsedAccess=Player; ParsedHandler=SetThirdAbility_OnCommand; CommandParseQuality=ParsedCommandAccessHandler; CommandBlock=CommandSystem.Register( "SetThirdAbility", AccessLevel.Player, new CommandEventHandler(SetThirdAbility_OnCommand)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</si>
  <si>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RB-04677</t>
  </si>
  <si>
    <t>P10-F04677</t>
  </si>
  <si>
    <t>PBL-0400</t>
  </si>
  <si>
    <t>CurrentFile=Data/Scripts/System/Skills/Weapon Abilities/SpecialAttackCommands.cs; Line=28; SourceLine=CommandSystem.Register(; PathResolution=OriginalPathCurrent; MatchQuality=CurrentSourceLine; FileExists=True; DisabledEvidence=False; ParsedCommand=SetFourthAbility; ParsedAccess=Player; ParsedHandler=SetFourthAbility_OnCommand; CommandParseQuality=ParsedCommandAccessHandler; CommandBlock=CommandSystem.Register( "SetFourthAbility", AccessLevel.Player, new CommandEventHandler(SetFourthAbility_OnCommand)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</si>
  <si>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RB-04678</t>
  </si>
  <si>
    <t>P10-F04678</t>
  </si>
  <si>
    <t>PBL-0401</t>
  </si>
  <si>
    <t>CurrentFile=Data/Scripts/System/Skills/Weapon Abilities/SpecialAttackCommands.cs; Line=33; SourceLine=CommandSystem.Register(; PathResolution=OriginalPathCurrent; MatchQuality=CurrentSourceLine; FileExists=True; DisabledEvidence=False; ParsedCommand=SetFifthAbility; ParsedAccess=Player; ParsedHandler=SetFifthAbility_OnCommand; CommandParseQuality=ParsedCommandAccessHandler; CommandBlock=CommandSystem.Register( "SetFifthAbility", AccessLevel.Player, new CommandEventHandler(SetFifthAbility_OnCommand)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</si>
  <si>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RB-04679</t>
  </si>
  <si>
    <t>P10-F04679</t>
  </si>
  <si>
    <t>PBL-0402</t>
  </si>
  <si>
    <t>CurrentFile=Data/Scripts/System/Skills/Weapon Abilities/SpecialAttackCommands.cs; Line=38; SourceLine=CommandSystem.Register(; PathResolution=OriginalPathCurrent; MatchQuality=CurrentSourceLine; FileExists=True; DisabledEvidence=False; ParsedCommand=Set1; ParsedAccess=Player; ParsedHandler=SetPrimaryAbility_OnCommand; CommandParseQuality=ParsedCommandAccessHandler; CommandBlock=CommandSystem.Register( "Set1", AccessLevel.Player, new CommandEventHandler(SetPrimaryAbility_OnCommand)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</si>
  <si>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RB-04680</t>
  </si>
  <si>
    <t>P10-F04680</t>
  </si>
  <si>
    <t>PBL-0403</t>
  </si>
  <si>
    <t>CurrentFile=Data/Scripts/System/Skills/Weapon Abilities/SpecialAttackCommands.cs; Line=43; SourceLine=CommandSystem.Register(; PathResolution=OriginalPathCurrent; MatchQuality=CurrentSourceLine; FileExists=True; DisabledEvidence=False; ParsedCommand=Set2; ParsedAccess=Player; ParsedHandler=SetSecondaryAbility_OnCommand; CommandParseQuality=ParsedCommandAccessHandler; CommandBlock=CommandSystem.Register( "Set2", AccessLevel.Player, new CommandEventHandler(SetSecondaryAbility_OnCommand)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</si>
  <si>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RB-04681</t>
  </si>
  <si>
    <t>P10-F04681</t>
  </si>
  <si>
    <t>PBL-0404</t>
  </si>
  <si>
    <t>CurrentFile=Data/Scripts/System/Skills/Weapon Abilities/SpecialAttackCommands.cs; Line=48; SourceLine=CommandSystem.Register(; PathResolution=OriginalPathCurrent; MatchQuality=CurrentSourceLine; FileExists=True; DisabledEvidence=False; ParsedCommand=Set3; ParsedAccess=Player; ParsedHandler=SetThirdAbility_OnCommand; CommandParseQuality=ParsedCommandAccessHandler; CommandBlock=CommandSystem.Register( "Set3", AccessLevel.Player, new CommandEventHandler(SetThirdAbility_OnCommand)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</si>
  <si>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RB-04682</t>
  </si>
  <si>
    <t>P10-F04682</t>
  </si>
  <si>
    <t>PBL-0405</t>
  </si>
  <si>
    <t>CurrentFile=Data/Scripts/System/Skills/Weapon Abilities/SpecialAttackCommands.cs; Line=53; SourceLine=CommandSystem.Register(; PathResolution=OriginalPathCurrent; MatchQuality=CurrentSourceLine; FileExists=True; DisabledEvidence=False; ParsedCommand=Set4; ParsedAccess=Player; ParsedHandler=SetFourthAbility_OnCommand; CommandParseQuality=ParsedCommandAccessHandler; CommandBlock=CommandSystem.Register( "Set4", AccessLevel.Player, new CommandEventHandler(SetFourthAbility_OnCommand)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</si>
  <si>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RB-04683</t>
  </si>
  <si>
    <t>P10-F04683</t>
  </si>
  <si>
    <t>PBL-0406</t>
  </si>
  <si>
    <t>CurrentFile=Data/Scripts/System/Skills/Weapon Abilities/SpecialAttackCommands.cs; Line=58; SourceLine=CommandSystem.Register(; PathResolution=OriginalPathCurrent; MatchQuality=CurrentSourceLine; FileExists=True; DisabledEvidence=False; ParsedCommand=Set5; ParsedAccess=Player; ParsedHandler=SetFifthAbility_OnCommand; CommandParseQuality=ParsedCommandAccessHandler; CommandBlock=CommandSystem.Register( "Set5", AccessLevel.Player, new CommandEventHandler(SetFifthAbility_OnCommand)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 CommandRegister=RegisterCommand=;RegisterAccess=;RegisterHandler=;Guards=AccessGuard;NullGuard;StateGuard;Risk=Medium</t>
  </si>
  <si>
    <t>RB-04684</t>
  </si>
  <si>
    <t>P10-F04684</t>
  </si>
  <si>
    <t>PBL-0407</t>
  </si>
  <si>
    <t>CurrentFile=Data/Scripts/System/Skills/Weapon Abilities/SpecialAttacksDisplay.cs; Line=13; SourceLine=CommandSystem.Register(; PathResolution=OriginalPathCurrent; MatchQuality=CurrentSourceLine; FileExists=True; DisabledEvidence=False; ParsedCommand=SpecialAttacksDisplay; ParsedAccess=Player; ParsedHandler=SpecialAttacksDisplay_Command; CommandParseQuality=ParsedCommandAccessHandler; CommandBlock=CommandSystem.Register( "SpecialAttacksDisplay", AccessLevel.Player, new CommandEventHandler(SpecialAttacksDisplay_Command)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RuntimeInventory=PrimaryRole=CommandSurface;SecondaryRoles=StartupWiring;GumpUI;Commands=CommandSystem.Register(;Hooks=Initialize;SerializedTypes=;Gumps=SendGump; CommandRegister=RegisterCommand=;RegisterAccess=;RegisterHandler=;Guards=AccessGuard;NullGuard;Risk=Medium</t>
  </si>
  <si>
    <t>HistoricalFile=Data/Scripts/System/Skills/Weapon Abilities/SpecialAttacksDisplay.cs; Risk=Runtime;Staff;Player; POST-BATCH-L is audit-only P2 residual triage. No source, project, XML/config, serialized layout, runtime file location, command name, access level, or region policy changed.</t>
  </si>
  <si>
    <t>RB-04685</t>
  </si>
  <si>
    <t>P10-F04685</t>
  </si>
  <si>
    <t>PBL-0408</t>
  </si>
  <si>
    <t>CurrentFile=Data/Scripts/System/Skills/Weapon Abilities/SpecialAttacksDisplay.cs; Line=18; SourceLine=CommandSystem.Register(; PathResolution=OriginalPathCurrent; MatchQuality=CurrentSourceLine; FileExists=True; DisabledEvidence=False; ParsedCommand=SAD; ParsedAccess=Player; ParsedHandler=SpecialAttacksDisplay_Command; CommandParseQuality=ParsedCommandAccessHandler; CommandBlock=CommandSystem.Register( "SAD", AccessLevel.Player, new CommandEventHandler(SpecialAttacksDisplay_Command)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RuntimeInventory=PrimaryRole=CommandSurface;SecondaryRoles=StartupWiring;GumpUI;Commands=CommandSystem.Register(;Hooks=Initialize;SerializedTypes=;Gumps=SendGump; CommandRegister=RegisterCommand=;RegisterAccess=;RegisterHandler=;Guards=AccessGuard;NullGuard;Risk=Medium</t>
  </si>
  <si>
    <t>RB-04686</t>
  </si>
  <si>
    <t>P10-F04686</t>
  </si>
  <si>
    <t>PBL-0409</t>
  </si>
  <si>
    <t>CurrentFile=Data/Scripts/System/Skills/Weapon Abilities/Gumps/SpecialAttackGump.cs; Line=799; SourceLine=CommandSystem.Register(; PathResolution=OriginalPathCurrent; MatchQuality=CurrentSourceLine; FileExists=True; DisabledEvidence=False; ParsedCommand=abilitynames; ParsedAccess=Player; ParsedHandler=OnToggleAbilityNames; CommandParseQuality=ParsedCommandAccessHandler; CommandBlock=CommandSystem.Register( "abilitynames", AccessLevel.Player, new CommandEventHandler(OnToggleAbilityNames) );; ProjectTruth=RecordType=ProjectInclude;Included=True;Missing=False;Unincluded=False;Action=Keep | RecordType=SourceFile;Included=True;Missing=False;Unincluded=False;Action=Keep; RuntimeInventory=PrimaryRole=CommandSurface;SecondaryRoles=StartupWiring;GumpUI;Commands=CommandSystem.Register(;Hooks=Initialize;SerializedTypes=;Gumps=OnResponse;SendGump; CommandRegister=RegisterCommand=;RegisterAccess=;RegisterHandler=;Guards=AccessGuard;BoundsGuard;StateGuard;Risk=Medium</t>
  </si>
  <si>
    <t>HistoricalFile=Data/Scripts/System/Skills/Weapon Abilities/Gumps/SpecialAttackGump.cs; Risk=Runtime;Staff;Player; POST-BATCH-L is audit-only P2 residual triage. No source, project, XML/config, serialized layout, runtime file location, command name, access level, or region policy changed.</t>
  </si>
  <si>
    <t>RB-04254</t>
  </si>
  <si>
    <t>P10-F04254</t>
  </si>
  <si>
    <t>PBL-0410</t>
  </si>
  <si>
    <t>CurrentFile=Data/Scripts/Custom/XMLSpawner/ItemFlags.cs; Line=17; SourceLine=CommandSystem.Register(; PathResolution=OriginalPathCurrent; MatchQuality=CurrentSourceLine; FileExists=True; DisabledEvidence=False; ParsedCommand=Stealable; ParsedAccess=GameMaster; ParsedHandler=SetStealable_OnCommand; CommandParseQuality=ParsedCommandAccessHandler; CommandBlock=CommandSystem.Register( "Stealable", AccessLevel.GameMaster, new CommandEventHandler(SetStealable_OnCommand) );; ProjectTruth=RecordType=ProjectInclude;Included=True;Missing=False;Unincluded=False;Action=Keep | RecordType=SourceFile;Included=True;Missing=False;Unincluded=False;Action=Keep; RuntimeInventory=PrimaryRole=CommandSurface;SecondaryRoles=StartupWiring;StaffTooling;WorldState;Commands=CommandSystem.Register(;Hooks=Initialize;SerializedTypes=;Gumps=; CommandRegister=RegisterCommand=;RegisterAccess=;RegisterHandler=;Guards=AccessGuard;BoundsGuard;NullGuard;StateGuard;Risk=Medium</t>
  </si>
  <si>
    <t>HistoricalFile=Data/Scripts/Custom/XMLSpawner/ItemFlags.cs; Risk=Runtime;Staff;Player; POST-BATCH-L is audit-only P2 residual triage. No source, project, XML/config, serialized layout, runtime file location, command name, access level, or region policy changed.</t>
  </si>
  <si>
    <t>RB-04255</t>
  </si>
  <si>
    <t>P10-F04255</t>
  </si>
  <si>
    <t>PBL-0411</t>
  </si>
  <si>
    <t>CurrentFile=Data/Scripts/Custom/XMLSpawner/ItemFlags.cs; Line=22; SourceLine=CommandSystem.Register(; PathResolution=OriginalPathCurrent; MatchQuality=CurrentSourceLine; FileExists=True; DisabledEvidence=False; ParsedCommand=Flag; ParsedAccess=GameMaster; ParsedHandler=GetFlag_OnCommand; CommandParseQuality=ParsedCommandAccessHandler; CommandBlock=CommandSystem.Register( "Flag", AccessLevel.GameMaster, new CommandEventHandler(GetFlag_OnCommand) );; ProjectTruth=RecordType=ProjectInclude;Included=True;Missing=False;Unincluded=False;Action=Keep | RecordType=SourceFile;Included=True;Missing=False;Unincluded=False;Action=Keep; RuntimeInventory=PrimaryRole=CommandSurface;SecondaryRoles=StartupWiring;StaffTooling;WorldState;Commands=CommandSystem.Register(;Hooks=Initialize;SerializedTypes=;Gumps=; CommandRegister=RegisterCommand=;RegisterAccess=;RegisterHandler=;Guards=AccessGuard;BoundsGuard;NullGuard;StateGuard;Risk=Medium</t>
  </si>
  <si>
    <t>RB-04293</t>
  </si>
  <si>
    <t>P10-F04293</t>
  </si>
  <si>
    <t>PBL-0445</t>
  </si>
  <si>
    <t>CurrentFile=Data/Scripts/Custom/XMLSpawner/XmlAttach/XmlAttach.cs; Line=194; SourceLine=CommandSystem.Register(; PathResolution=OriginalPathCurrent; MatchQuality=CurrentSourceLine; FileExists=True; DisabledEvidence=False; ParsedCommand=GetAtt; ParsedAccess=GameMaster; ParsedHandler=GetAttachments_OnCommand; CommandParseQuality=ParsedCommandAccessHandler; CommandBlock=CommandSystem.Register( "GetAtt", AccessLevel.GameMaster, new CommandEventHandler(GetAttachments_OnCommand)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AddAtt:GameMaster;CommandSystem.Register(;DelAtt:GameMaster;ItemAtt:GameMaster;MobAtt:GameMaster;TrigAtt:GameMaster;Hooks=EventSink;Initialize;OnMovement;OnSpeech;WorldLoad;WorldSave;SerializedTypes=class:Attachable;class:ASerial;class:XmlAttach;class:AddAttCommand;class:DelAttCommand;class:DeserErrorDetails;class:AttachTarget;class:TypeNameComparer;class:ListAttachmentsGump;class:DisplayAttachmentGump;class:ErrorReporter;Gumps=SendGump; SerializationRegister=Class=Unknown;Version=Unknown;Handling=NoVersionFound;Alignment=AlignedByCountAndKnownTypes;MoveRisk=UnknownUntilSaveTest; CommandRegister=RegisterCommand=;RegisterAccess=;RegisterHandler=;Guards=AccessGuard;BoundsGuard;DeletedGuard;MapGuard;NullGuard;PacketReadGuard;RangeGuard;StateGuard;Risk=Medium</t>
  </si>
  <si>
    <t>HistoricalFile=Data/Scripts/Custom/XMLSpawner/XmlAttach/XmlAttach.cs; Risk=Runtime;Staff;Player; POST-BATCH-L is audit-only P2 residual triage. No source, project, XML/config, serialized layout, runtime file location, command name, access level, or region policy changed.</t>
  </si>
  <si>
    <t>RB-04297</t>
  </si>
  <si>
    <t>P10-F04297</t>
  </si>
  <si>
    <t>PBL-0446</t>
  </si>
  <si>
    <t>CurrentFile=Data/Scripts/Custom/XMLSpawner/XmlAttach/XmlAttach.cs; Line=204; SourceLine=CommandSystem.Register(; PathResolution=OriginalPathCurrent; MatchQuality=CurrentSourceLine; FileExists=True; DisabledEvidence=False; ParsedCommand=AvailAtt; ParsedAccess=GameMaster; ParsedHandler=ListAvailableAttachments_OnCommand; CommandParseQuality=ParsedCommandAccessHandler; CommandBlock=CommandSystem.Register( "AvailAtt", AccessLevel.GameMaster, new CommandEventHandler(ListAvailableAttachments_OnCommand)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AddAtt:GameMaster;CommandSystem.Register(;DelAtt:GameMaster;ItemAtt:GameMaster;MobAtt:GameMaster;TrigAtt:GameMaster;Hooks=EventSink;Initialize;OnMovement;OnSpeech;WorldLoad;WorldSave;SerializedTypes=class:Attachable;class:ASerial;class:XmlAttach;class:AddAttCommand;class:DelAttCommand;class:DeserErrorDetails;class:AttachTarget;class:TypeNameComparer;class:ListAttachmentsGump;class:DisplayAttachmentGump;class:ErrorReporter;Gumps=SendGump; SerializationRegister=Class=Unknown;Version=Unknown;Handling=NoVersionFound;Alignment=AlignedByCountAndKnownTypes;MoveRisk=UnknownUntilSaveTest; CommandRegister=RegisterCommand=;RegisterAccess=;RegisterHandler=;Guards=AccessGuard;BoundsGuard;DeletedGuard;MapGuard;NullGuard;PacketReadGuard;RangeGuard;StateGuard;Risk=Medium</t>
  </si>
  <si>
    <t>RB-04298</t>
  </si>
  <si>
    <t>P10-F04298</t>
  </si>
  <si>
    <t>PBL-0447</t>
  </si>
  <si>
    <t>CurrentFile=Data/Scripts/Custom/XMLSpawner/XmlAttach/Gumps/XmlGetAttachGump.cs; Line=65; SourceLine=CommandSystem.Register(; PathResolution=OriginalPathCurrent; MatchQuality=CurrentSourceLine; FileExists=True; DisabledEvidence=False; ParsedCommand=XmlGetAtt; ParsedAccess=GameMaster; ParsedHandler=XmlGetAtt_OnCommand; CommandParseQuality=ParsedCommandAccessHandler; CommandBlock=CommandSystem.Register( "XmlGetAtt", AccessLevel.GameMaster, new CommandEventHandler(XmlGetAtt_OnCommand) );; ProjectTruth=RecordType=ProjectInclude;Included=True;Missing=False;Unincluded=False;Action=Keep | RecordType=SourceFile;Included=True;Missing=False;Unincluded=False;Action=Keep; RuntimeInventory=PrimaryRole=CommandSurface;SecondaryRoles=StartupWiring;GumpUI;StaffTooling;WorldState;Commands=CommandSystem.Register(;Hooks=Initialize;SerializedTypes=;Gumps=OnResponse;SendGump; CommandRegister=RegisterCommand=;RegisterAccess=;RegisterHandler=;Guards=AccessGuard;BoundsGuard;DeletedGuard;MapGuard;NullGuard;StateGuard;Risk=Medium</t>
  </si>
  <si>
    <t>HistoricalFile=Data/Scripts/Custom/XMLSpawner/XmlAttach/Gumps/XmlGetAttachGump.cs; Risk=Runtime;Staff;Player; POST-BATCH-L is audit-only P2 residual triage. No source, project, XML/config, serialized layout, runtime file location, command name, access level, or region policy changed.</t>
  </si>
  <si>
    <t>RB-04299</t>
  </si>
  <si>
    <t>P10-F04299</t>
  </si>
  <si>
    <t>PBL-0448</t>
  </si>
  <si>
    <t>CurrentFile=Data/Scripts/Custom/XMLSpawner/XmlAttachments/XmlDialog.cs; Line=2040; SourceLine=CommandSystem.Register(; PathResolution=OriginalPathCurrent; MatchQuality=CurrentSourceLine; FileExists=True; DisabledEvidence=False; ParsedCommand=SaveNPC; ParsedAccess=Administrator; ParsedHandler=SaveNPC_OnCommand; CommandParseQuality=ParsedCommandAccessHandler; CommandBlock=CommandSystem.Register( "SaveNPC", AccessLevel.Administrator, new CommandEventHandler(SaveNPC_OnCommand)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CommandSystem.Register(;Hooks=CustomTimerSubclass;OnMovement;OnSpeech;Timer.DelayCall;SerializedTypes=class:XmlDialog;class:SpeechEntry;class:InternalTimer;class:ConfirmSaveGump;class:SaveNPCTarget;class:LoadNPCTarget;Gumps=OnResponse;SendGump; SerializationRegister=Class=Server.Engines.XmlSpawner2.XmlDialog;Version=9;Handling=SwitchGotoCase;Alignment=CountMismatch:Writes=44;Reads=52;MoveRisk=UnknownUntilSaveTest; CommandRegister=RegisterCommand=;RegisterAccess=;RegisterHandler=;Guards=AccessGuard;BoundsGuard;DeletedGuard;MapGuard;NullGuard;PacketReadGuard;RangeGuard;StateGuard;Risk=Medium</t>
  </si>
  <si>
    <t>HistoricalFile=Data/Scripts/Custom/XMLSpawner/XmlAttachments/XmlDialog.cs; Risk=Runtime;Staff;Player; POST-BATCH-L is audit-only P2 residual triage. No source, project, XML/config, serialized layout, runtime file location, command name, access level, or region policy changed.</t>
  </si>
  <si>
    <t>RB-04300</t>
  </si>
  <si>
    <t>P10-F04300</t>
  </si>
  <si>
    <t>PBL-0449</t>
  </si>
  <si>
    <t>CurrentFile=Data/Scripts/Custom/XMLSpawner/XmlAttachments/XmlDialog.cs; Line=2045; SourceLine=CommandSystem.Register(; PathResolution=OriginalPathCurrent; MatchQuality=CurrentSourceLine; FileExists=True; DisabledEvidence=False; ParsedCommand=LoadNPC; ParsedAccess=Administrator; ParsedHandler=LoadNPC_OnCommand; CommandParseQuality=ParsedCommandAccessHandler; CommandBlock=CommandSystem.Register( "LoadNPC", AccessLevel.Administrator, new CommandEventHandler(LoadNPC_OnCommand)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CommandSystem.Register(;Hooks=CustomTimerSubclass;OnMovement;OnSpeech;Timer.DelayCall;SerializedTypes=class:XmlDialog;class:SpeechEntry;class:InternalTimer;class:ConfirmSaveGump;class:SaveNPCTarget;class:LoadNPCTarget;Gumps=OnResponse;SendGump; SerializationRegister=Class=Server.Engines.XmlSpawner2.XmlDialog;Version=9;Handling=SwitchGotoCase;Alignment=CountMismatch:Writes=44;Reads=52;MoveRisk=UnknownUntilSaveTest; CommandRegister=RegisterCommand=;RegisterAccess=;RegisterHandler=;Guards=AccessGuard;BoundsGuard;DeletedGuard;MapGuard;NullGuard;PacketReadGuard;RangeGuard;StateGuard;Risk=Medium</t>
  </si>
  <si>
    <t>RB-04320</t>
  </si>
  <si>
    <t>P10-F04320</t>
  </si>
  <si>
    <t>PBL-0469</t>
  </si>
  <si>
    <t>CurrentFile=Data/Scripts/Custom/XMLSpawner/XmlQuest/XmlQuestLeaders.cs; Line=160; SourceLine=CommandSystem.Register(; PathResolution=OriginalPathCurrent; MatchQuality=CurrentSourceLine; FileExists=True; DisabledEvidence=False; ParsedCommand=QuestLeaderboardSave; ParsedAccess=Administrator; ParsedHandler=QuestLeaderboardSave_OnCommand; CommandParseQuality=ParsedCommandAccessHandler; CommandBlock=CommandSystem.Register( "QuestLeaderboardSave", AccessLevel.Administrator, new CommandEventHandler(QuestLeaderboardSave_OnCommand)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CommandSystem.Register(;Hooks=CustomTimerSubclass;Initialize;SerializedTypes=class:XmlQuestLeaders;class:QuestRankEntry;class:QuestLeaderboardTimer;class:TopQuestPlayersGump;Gumps=OnResponse;SendGump; SerializationRegister=Class=Unknown;Version=Unknown;Handling=NoVersionFound;Alignment=AlignedByCountAndKnownTypes;MoveRisk=UnknownUntilSaveTest; CommandRegister=RegisterCommand=;RegisterAccess=;RegisterHandler=;Guards=AccessGuard;BoundsGuard;DeletedGuard;NullGuard;PacketReadGuard;StateGuard;Risk=Medium</t>
  </si>
  <si>
    <t>HistoricalFile=Data/Scripts/Custom/XMLSpawner/XmlQuest/XmlQuestLeaders.cs; Risk=Runtime;Staff;Player; POST-BATCH-L is audit-only P2 residual triage. No source, project, XML/config, serialized layout, runtime file location, command name, access level, or region policy changed.</t>
  </si>
  <si>
    <t>RB-04321</t>
  </si>
  <si>
    <t>P10-F04321</t>
  </si>
  <si>
    <t>PBL-0470</t>
  </si>
  <si>
    <t>CurrentFile=Data/Scripts/Custom/XMLSpawner/XmlQuest/XmlQuestLeaders.cs; Line=165; SourceLine=CommandSystem.Register(; PathResolution=OriginalPathCurrent; MatchQuality=CurrentSourceLine; FileExists=True; DisabledEvidence=False; ParsedCommand=QuestRanking; ParsedAccess=Player; ParsedHandler=QuestRanking_OnCommand; CommandParseQuality=ParsedCommandAccessHandler; CommandBlock=CommandSystem.Register( "QuestRanking", AccessLevel.Player, new CommandEventHandler(QuestRanking_OnCommand) );; ProjectTruth=RecordType=ProjectInclude;Included=True;Missing=False;Unincluded=False;Action=Keep | RecordType=SourceFile;Included=True;Missing=False;Unincluded=False;Action=Keep; RuntimeInventory=PrimaryRole=CommandSurface;SecondaryRoles=StartupWiring;GumpUI;Persistence;StaffTooling;WorldState;Commands=CommandSystem.Register(;Hooks=CustomTimerSubclass;Initialize;SerializedTypes=class:XmlQuestLeaders;class:QuestRankEntry;class:QuestLeaderboardTimer;class:TopQuestPlayersGump;Gumps=OnResponse;SendGump; SerializationRegister=Class=Unknown;Version=Unknown;Handling=NoVersionFound;Alignment=AlignedByCountAndKnownTypes;MoveRisk=UnknownUntilSaveTest; CommandRegister=RegisterCommand=;RegisterAccess=;RegisterHandler=;Guards=AccessGuard;BoundsGuard;DeletedGuard;NullGuard;PacketReadGuard;StateGuard;Risk=Medium</t>
  </si>
  <si>
    <t>RB-04322</t>
  </si>
  <si>
    <t>P10-F04322</t>
  </si>
  <si>
    <t>PBL-0471</t>
  </si>
  <si>
    <t>CurrentFile=Data/Scripts/Custom/XMLSpawner/XmlQuest/XmlQuestPoints.cs; Line=180; SourceLine=CommandSystem.Register(; PathResolution=OriginalPathCurrent; MatchQuality=CurrentSourceLine; FileExists=True; DisabledEvidence=False; ParsedCommand=QuestPoints; ParsedAccess=Player; ParsedHandler=CheckQuestPoints_OnCommand; CommandParseQuality=ParsedCommandAccessHandler; CommandBlock=CommandSystem.Register( "QuestPoints", AccessLevel.Player, new CommandEventHandler(CheckQuestPoints_OnCommand) );; ProjectTruth=RecordType=ProjectInclude;Included=True;Missing=False;Unincluded=False;Action=Keep | RecordType=SourceFile;Included=True;Missing=False;Unincluded=False;Action=Keep; RuntimeInventory=PrimaryRole=CommandSurface;SecondaryRoles=GumpUI;Persistence;StaffTooling;WorldState;Commands=CommandSystem.Register(;Hooks=;SerializedTypes=class:XmlQuestPoints;class:QuestEntry;Gumps=SendGump; SerializationRegister=Class=Server.Engines.XmlSpawner2.QuestEntry;Version=0;Handling=Switch;Alignment=CountMatchNeedsTypeReview:UnknownWrites=7;MoveRisk=UnknownUntilSaveTest | Class=Server.Engines.XmlSpawner2.XmlQuestPoints;Version=0;Handling=Switch;Alignment=CountMismatch:Writes=10;Reads=8;MoveRisk=UnknownUntilSaveTest; CommandRegister=RegisterCommand=;RegisterAccess=;RegisterHandler=;Guards=AccessGuard;BoundsGuard;DeletedGuard;NullGuard;PacketReadGuard;StateGuard;Risk=Medium</t>
  </si>
  <si>
    <t>HistoricalFile=Data/Scripts/Custom/XMLSpawner/XmlQuest/XmlQuestPoints.cs; Risk=Runtime;Staff;Player; POST-BATCH-L is audit-only P2 residual triage. No source, project, XML/config, serialized layout, runtime file location, command name, access level, or region policy changed.</t>
  </si>
  <si>
    <t>RB-04323</t>
  </si>
  <si>
    <t>P10-F04323</t>
  </si>
  <si>
    <t>PBL-0472</t>
  </si>
  <si>
    <t>CurrentFile=Data/Scripts/Custom/XMLSpawner/XmlQuest/XmlQuestPoints.cs; Line=186; SourceLine=CommandSystem.Register(; PathResolution=OriginalPathCurrent; MatchQuality=CurrentSourceLine; FileExists=True; DisabledEvidence=False; ParsedCommand=QuestLog; ParsedAccess=Player; ParsedHandler=QuestLog_OnCommand; CommandParseQuality=ParsedCommandAccessHandler; CommandBlock=CommandSystem.Register( "QuestLog", AccessLevel.Player, new CommandEventHandler(QuestLog_OnCommand) );; ProjectTruth=RecordType=ProjectInclude;Included=True;Missing=False;Unincluded=False;Action=Keep | RecordType=SourceFile;Included=True;Missing=False;Unincluded=False;Action=Keep; RuntimeInventory=PrimaryRole=CommandSurface;SecondaryRoles=GumpUI;Persistence;StaffTooling;WorldState;Commands=CommandSystem.Register(;Hooks=;SerializedTypes=class:XmlQuestPoints;class:QuestEntry;Gumps=SendGump; SerializationRegister=Class=Server.Engines.XmlSpawner2.QuestEntry;Version=0;Handling=Switch;Alignment=CountMatchNeedsTypeReview:UnknownWrites=7;MoveRisk=UnknownUntilSaveTest | Class=Server.Engines.XmlSpawner2.XmlQuestPoints;Version=0;Handling=Switch;Alignment=CountMismatch:Writes=10;Reads=8;MoveRisk=UnknownUntilSaveTest; CommandRegister=RegisterCommand=;RegisterAccess=;RegisterHandler=;Guards=AccessGuard;BoundsGuard;DeletedGuard;NullGuard;PacketReadGuard;StateGuard;Risk=Medium</t>
  </si>
  <si>
    <t>RB-04324</t>
  </si>
  <si>
    <t>P10-F04324</t>
  </si>
  <si>
    <t>PBL-0473</t>
  </si>
  <si>
    <t>CurrentFile=Data/Scripts/Custom/XMLSpawner/XmlUtils/WhatIsIt.cs; Line=14; SourceLine=CommandSystem.Register(; PathResolution=OriginalPathCurrent; MatchQuality=CurrentSourceLine; FileExists=True; DisabledEvidence=False; ParsedCommand=WhatIsIt; ParsedAccess=Player; ParsedHandler=GenericCommand_OnCommand; CommandParseQuality=ParsedCommandAccessHandler; CommandBlock=CommandSystem.Register( "WhatIsIt", AccessLevel.Player, new CommandEventHandler(GenericCommand_OnCommand) );; ProjectTruth=RecordType=ProjectInclude;Included=True;Missing=False;Unincluded=False;Action=Keep | RecordType=SourceFile;Included=True;Missing=False;Unincluded=False;Action=Keep; RuntimeInventory=PrimaryRole=CommandSurface;SecondaryRoles=StartupWiring;StaffTooling;WorldState;Commands=CommandSystem.Register(;Hooks=Initialize;SerializedTypes=;Gumps=; CommandRegister=RegisterCommand=;RegisterAccess=;RegisterHandler=;Guards=AccessGuard;BoundsGuard;NullGuard;StateGuard;Risk=Medium</t>
  </si>
  <si>
    <t>HistoricalFile=Data/Scripts/Custom/XMLSpawner/XmlUtils/WhatIsIt.cs; Risk=Runtime;Staff;Player; POST-BATCH-L is audit-only P2 residual triage. No source, project, XML/config, serialized layout, runtime file location, command name, access level, or region policy changed.</t>
  </si>
  <si>
    <t>RB-04326</t>
  </si>
  <si>
    <t>P10-F04326</t>
  </si>
  <si>
    <t>PBL-0475</t>
  </si>
  <si>
    <t>CurrentFile=Data/Scripts/Custom/XMLSpawner/XmlUtils/XmlAdd.cs; Line=761; SourceLine=CommandSystem.Register(; PathResolution=OriginalPathCurrent; MatchQuality=CurrentSourceLine; FileExists=True; DisabledEvidence=False; ParsedCommand=XmlAdd; ParsedAccess=GameMaster; ParsedHandler=XmlAdd_OnCommand; CommandParseQuality=ParsedCommandAccessHandler; CommandBlock=CommandSystem.Register( "XmlAdd", AccessLevel.GameMaster, new CommandEventHandler(XmlAdd_OnCommand) );; ProjectTruth=RecordType=ProjectInclude;Included=True;Missing=False;Unincluded=False;Action=Keep | RecordType=SourceFile;Included=True;Missing=False;Unincluded=False;Action=Keep; RuntimeInventory=PrimaryRole=CommandSurface;SecondaryRoles=StartupWiring;GumpUI;StaffTooling;WorldState;Commands=CommandSystem.Register(;Hooks=Initialize;SerializedTypes=;Gumps=OnResponse;SendGump; CommandRegister=RegisterCommand=;RegisterAccess=;RegisterHandler=;Guards=AccessGuard;BoundsGuard;DeletedGuard;MapGuard;NullGuard;RangeGuard;StateGuard;Risk=Medium</t>
  </si>
  <si>
    <t>HistoricalFile=Data/Scripts/Custom/XMLSpawner/XmlUtils/XmlAdd.cs; Risk=Runtime;Staff;Player; POST-BATCH-L is audit-only P2 residual triage. No source, project, XML/config, serialized layout, runtime file location, command name, access level, or region policy changed.</t>
  </si>
  <si>
    <t>RB-04327</t>
  </si>
  <si>
    <t>P10-F04327</t>
  </si>
  <si>
    <t>PBL-0476</t>
  </si>
  <si>
    <t>CurrentFile=Data/Scripts/Custom/XMLSpawner/XmlUtils/XmlEdit.cs; Line=52; SourceLine=CommandSystem.Register(; PathResolution=OriginalPathCurrent; MatchQuality=CurrentSourceLine; FileExists=True; DisabledEvidence=False; ParsedCommand=XmlEdit; ParsedAccess=GameMaster; ParsedHandler=XmlEditDialog_OnCommand; CommandParseQuality=ParsedCommandAccessHandler; CommandBlock=CommandSystem.Register( "XmlEdit", AccessLevel.GameMaster, new CommandEventHandler(XmlEditDialog_OnCommand) );; ProjectTruth=RecordType=ProjectInclude;Included=True;Missing=False;Unincluded=False;Action=Keep | RecordType=SourceFile;Included=True;Missing=False;Unincluded=False;Action=Keep; RuntimeInventory=PrimaryRole=CommandSurface;SecondaryRoles=StartupWiring;GumpUI;StaffTooling;WorldState;Commands=CommandSystem.Register(;Hooks=Initialize;SerializedTypes=;Gumps=OnResponse;SendGump; CommandRegister=RegisterCommand=;RegisterAccess=;RegisterHandler=;Guards=AccessGuard;BoundsGuard;MapGuard;NullGuard;RangeGuard;StateGuard;Risk=Medium</t>
  </si>
  <si>
    <t>HistoricalFile=Data/Scripts/Custom/XMLSpawner/XmlUtils/XmlEdit.cs; Risk=Runtime;Staff;Player; POST-BATCH-L is audit-only P2 residual triage. No source, project, XML/config, serialized layout, runtime file location, command name, access level, or region policy changed.</t>
  </si>
  <si>
    <t>RB-04328</t>
  </si>
  <si>
    <t>P10-F04328</t>
  </si>
  <si>
    <t>PBL-0477</t>
  </si>
  <si>
    <t>CurrentFile=Data/Scripts/Custom/XMLSpawner/XmlUtils/XmlFind.cs; Line=245; SourceLine=CommandSystem.Register(; PathResolution=OriginalPathCurrent; MatchQuality=CurrentSourceLine; FileExists=True; DisabledEvidence=False; ParsedCommand=XmlFind; ParsedAccess=GameMaster; ParsedHandler=XmlFind_OnCommand; CommandParseQuality=ParsedCommandAccessHandler; CommandBlock=CommandSystem.Register( "XmlFind", AccessLevel.GameMaster, new CommandEventHandler(XmlFind_OnCommand) );; ProjectTruth=RecordType=ProjectInclude;Included=True;Missing=False;Unincluded=False;Action=Keep | RecordType=SourceFile;Included=True;Missing=False;Unincluded=False;Action=Keep; RuntimeInventory=PrimaryRole=CommandSurface;SecondaryRoles=StartupWiring;GumpUI;StaffTooling;WorldState;Commands=CommandSystem.Register(;Hooks=Initialize;Timer.DelayCall;SerializedTypes=;Gumps=OnResponse;SendGump; CommandRegister=RegisterCommand=;RegisterAccess=;RegisterHandler=;Guards=AccessGuard;BoundsGuard;DeletedGuard;MapGuard;NullGuard;RangeGuard;StateGuard;Risk=Medium</t>
  </si>
  <si>
    <t>HistoricalFile=Data/Scripts/Custom/XMLSpawner/XmlUtils/XmlFind.cs; Risk=Runtime;Staff;Player; POST-BATCH-L is audit-only P2 residual triage. No source, project, XML/config, serialized layout, runtime file location, command name, access level, or region policy changed.</t>
  </si>
  <si>
    <t>RB-05753</t>
  </si>
  <si>
    <t>P10-F05753</t>
  </si>
  <si>
    <t>Legacy compatibility</t>
  </si>
  <si>
    <t>Data/Scripts/Items/Magical/Artifacts/Obsolete/Obsolete_AbysmalGloves.cs</t>
  </si>
  <si>
    <t>PBL-0478</t>
  </si>
  <si>
    <t>No source change. Current evidence shows this runtime-visible legacy source remains intentionally compiled for compatibility or old-save/type availability.</t>
  </si>
  <si>
    <t>CurrentFile=Data/Scripts/Items/Magical/Artifacts/Obsolete/Obsolete_AbysmalGloves.cs;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RuntimeInventory=PrimaryRole=Persistence;SecondaryRoles=CombatPolicy;ItemContent;LegacyCompatibility;Commands=;Hooks=;SerializedTypes=class:AbysmalGloves;Gumps=; SerializationRegister=Class=Server.Items.AbysmalGloves;Version=0;Handling=SingleVersionOnly;Alignment=AlignedByCountAndKnownTypes;MoveRisk=NamespaceOrTypeRenameDanger</t>
  </si>
  <si>
    <t>HistoricalFile=Data/Scripts/Items/Magical/Artifacts/Obsolete/Obsolete_AbysmalGloves.cs; Risk=Build;Runtime;Save; POST-BATCH-L is audit-only P2 residual triage. No source, project, XML/config, serialized layout, runtime file location, command name, access level, or region policy changed.</t>
  </si>
  <si>
    <t>RB-05754</t>
  </si>
  <si>
    <t>P10-F05754</t>
  </si>
  <si>
    <t>Data/Scripts/Items/Magical/Artifacts/Obsolete/Obsolete_AchillesShield.cs</t>
  </si>
  <si>
    <t>PBL-0479</t>
  </si>
  <si>
    <t>CurrentFile=Data/Scripts/Items/Magical/Artifacts/Obsolete/Obsolete_AchillesShield.cs;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RuntimeInventory=PrimaryRole=Persistence;SecondaryRoles=CombatPolicy;ItemContent;LegacyCompatibility;Commands=;Hooks=;SerializedTypes=class:AchillesShield;Gumps=; SerializationRegister=Class=Server.Items.AchillesShield;Version=0;Handling=SingleVersionOnly;Alignment=AlignedByCountAndKnownTypes;MoveRisk=NamespaceOrTypeRenameDanger</t>
  </si>
  <si>
    <t>HistoricalFile=Data/Scripts/Items/Magical/Artifacts/Obsolete/Obsolete_AchillesShield.cs; Risk=Build;Runtime;Save; POST-BATCH-L is audit-only P2 residual triage. No source, project, XML/config, serialized layout, runtime file location, command name, access level, or region policy changed.</t>
  </si>
  <si>
    <t>RB-05755</t>
  </si>
  <si>
    <t>P10-F05755</t>
  </si>
  <si>
    <t>Data/Scripts/Items/Magical/Artifacts/Obsolete/Obsolete_AchillesSpear.cs</t>
  </si>
  <si>
    <t>PBL-0480</t>
  </si>
  <si>
    <t>CurrentFile=Data/Scripts/Items/Magical/Artifacts/Obsolete/Obsolete_AchillesSpear.cs;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RuntimeInventory=PrimaryRole=Persistence;SecondaryRoles=CombatPolicy;ItemContent;LegacyCompatibility;Commands=;Hooks=;SerializedTypes=class:AchillesSpear;Gumps=; SerializationRegister=Class=Server.Items.AchillesSpear;Version=0;Handling=SingleVersionOnly;Alignment=AlignedByCountAndKnownTypes;MoveRisk=NamespaceOrTypeRenameDanger</t>
  </si>
  <si>
    <t>HistoricalFile=Data/Scripts/Items/Magical/Artifacts/Obsolete/Obsolete_AchillesSpear.cs; Risk=Build;Runtime;Save; POST-BATCH-L is audit-only P2 residual triage. No source, project, XML/config, serialized layout, runtime file location, command name, access level, or region policy changed.</t>
  </si>
  <si>
    <t>RB-05756</t>
  </si>
  <si>
    <t>P10-F05756</t>
  </si>
  <si>
    <t>PBL-0481</t>
  </si>
  <si>
    <t>CurrentFile=Data/Scripts/Items/Magical/Artifacts/Obsolete/Obsolete_AcidProofRobe.cs;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RuntimeInventory=PrimaryRole=Persistence;SecondaryRoles=CombatPolicy;ItemContent;LegacyCompatibility;Commands=;Hooks=;SerializedTypes=class:AcidProofRobe;Gumps=; SerializationRegister=Class=Server.Items.AcidProofRobe;Version=1;Handling=SuspiciousOrder;Alignment=CountMatchNeedsTypeReview:UnknownWrites=1;MoveRisk=NamespaceOrTypeRenameDanger</t>
  </si>
  <si>
    <t>HistoricalFile=Data/Scripts/Items/Magical/Artifacts/Obsolete/Obsolete_AcidProofRobe.cs; Risk=Build;Runtime;Save; POST-BATCH-L is audit-only P2 residual triage. No source, project, XML/config, serialized layout, runtime file location, command name, access level, or region policy changed.</t>
  </si>
  <si>
    <t>RB-05757</t>
  </si>
  <si>
    <t>P10-F05757</t>
  </si>
  <si>
    <t>Data/Scripts/Items/Magical/Artifacts/Obsolete/Obsolete_Aegis.cs</t>
  </si>
  <si>
    <t>PBL-0482</t>
  </si>
  <si>
    <t>CurrentFile=Data/Scripts/Items/Magical/Artifacts/Obsolete/Obsolete_Aegis.cs;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RuntimeInventory=PrimaryRole=Persistence;SecondaryRoles=CombatPolicy;ItemContent;LegacyCompatibility;Commands=;Hooks=;SerializedTypes=class:Aegis;Gumps=; SerializationRegister=Class=Server.Items.Aegis;Version=1;Handling=IfVersionGates;Alignment=AlignedByCountAndKnownTypes;MoveRisk=NamespaceOrTypeRenameDanger</t>
  </si>
  <si>
    <t>HistoricalFile=Data/Scripts/Items/Magical/Artifacts/Obsolete/Obsolete_Aegis.cs; Risk=Build;Runtime;Save; POST-BATCH-L is audit-only P2 residual triage. No source, project, XML/config, serialized layout, runtime file location, command name, access level, or region policy changed.</t>
  </si>
  <si>
    <t>RB-05758</t>
  </si>
  <si>
    <t>P10-F05758</t>
  </si>
  <si>
    <t>PBL-0483</t>
  </si>
  <si>
    <t>CurrentFile=Data/Scripts/Items/Magical/Artifacts/Obsolete/Obsolete_AegisOfGrace.cs;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RuntimeInventory=PrimaryRole=Persistence;SecondaryRoles=CombatPolicy;ItemContent;LegacyCompatibility;Commands=;Hooks=;SerializedTypes=class:AegisOfGrace;Gumps=; SerializationRegister=Class=Server.Items.AegisOfGrace;Version=Unknown;Handling=NoVersionFound;Alignment=AlignedByCountAndKnownTypes;MoveRisk=NamespaceOrTypeRenameDanger</t>
  </si>
  <si>
    <t>HistoricalFile=Data/Scripts/Items/Magical/Artifacts/Obsolete/Obsolete_AegisOfGrace.cs; Risk=Build;Runtime;Save; POST-BATCH-L is audit-only P2 residual triage. No source, project, XML/config, serialized layout, runtime file location, command name, access level, or region policy changed.</t>
  </si>
  <si>
    <t>RB-05759</t>
  </si>
  <si>
    <t>P10-F05759</t>
  </si>
  <si>
    <t>Data/Scripts/Items/Magical/Artifacts/Obsolete/Obsolete_AilricsLongbow.cs</t>
  </si>
  <si>
    <t>PBL-0484</t>
  </si>
  <si>
    <t>CurrentFile=Data/Scripts/Items/Magical/Artifacts/Obsolete/Obsolete_AilricsLongbow.cs;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RuntimeInventory=PrimaryRole=Persistence;SecondaryRoles=CombatPolicy;ItemContent;LegacyCompatibility;Commands=;Hooks=;SerializedTypes=class:AilricsLongbow;Gumps=; SerializationRegister=Class=Server.Items.AilricsLongbow;Version=0;Handling=SingleVersionOnly;Alignment=AlignedByCountAndKnownTypes;MoveRisk=NamespaceOrTypeRenameDanger</t>
  </si>
  <si>
    <t>HistoricalFile=Data/Scripts/Items/Magical/Artifacts/Obsolete/Obsolete_AilricsLongbow.cs; Risk=Build;Runtime;Save; POST-BATCH-L is audit-only P2 residual triage. No source, project, XML/config, serialized layout, runtime file location, command name, access level, or region policy changed.</t>
  </si>
  <si>
    <t>RB-05760</t>
  </si>
  <si>
    <t>P10-F05760</t>
  </si>
  <si>
    <t>Data/Scripts/Items/Magical/Artifacts/Obsolete/Obsolete_AlchemistsBauble.cs</t>
  </si>
  <si>
    <t>PBL-0485</t>
  </si>
  <si>
    <t>CurrentFile=Data/Scripts/Items/Magical/Artifacts/Obsolete/Obsolete_AlchemistsBauble.cs;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RuntimeInventory=PrimaryRole=Persistence;SecondaryRoles=CombatPolicy;ItemContent;LegacyCompatibility;Commands=;Hooks=;SerializedTypes=class:AlchemistsBauble;Gumps=; SerializationRegister=Class=Server.Items.AlchemistsBauble;Version=0;Handling=SingleVersionOnly;Alignment=AlignedByCountAndKnownTypes;MoveRisk=NamespaceOrTypeRenameDanger</t>
  </si>
  <si>
    <t>HistoricalFile=Data/Scripts/Items/Magical/Artifacts/Obsolete/Obsolete_AlchemistsBauble.cs; Risk=Build;Runtime;Save; POST-BATCH-L is audit-only P2 residual triage. No source, project, XML/config, serialized layout, runtime file location, command name, access level, or region policy changed.</t>
  </si>
  <si>
    <t>RB-05761</t>
  </si>
  <si>
    <t>P10-F05761</t>
  </si>
  <si>
    <t>Data/Scripts/Items/Magical/Artifacts/Obsolete/Obsolete_ANecromancerShroud.cs</t>
  </si>
  <si>
    <t>PBL-0486</t>
  </si>
  <si>
    <t>CurrentFile=Data/Scripts/Items/Magical/Artifacts/Obsolete/Obsolete_ANecromancerShroud.cs;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RuntimeInventory=PrimaryRole=Persistence;SecondaryRoles=CombatPolicy;ItemContent;LegacyCompatibility;Commands=;Hooks=;SerializedTypes=class:ANecromancerShroud;Gumps=; SerializationRegister=Class=Server.Items.ANecromancerShroud;Version=0;Handling=SingleVersionOnly;Alignment=AlignedByCountAndKnownTypes;MoveRisk=NamespaceOrTypeRenameDanger</t>
  </si>
  <si>
    <t>HistoricalFile=Data/Scripts/Items/Magical/Artifacts/Obsolete/Obsolete_ANecromancerShroud.cs; Risk=Build;Runtime;Save; POST-BATCH-L is audit-only P2 residual triage. No source, project, XML/config, serialized layout, runtime file location, command name, access level, or region policy changed.</t>
  </si>
  <si>
    <t>RB-05762</t>
  </si>
  <si>
    <t>P10-F05762</t>
  </si>
  <si>
    <t>Data/Scripts/Items/Magical/Artifacts/Obsolete/Obsolete_AngelicEmbrace.cs</t>
  </si>
  <si>
    <t>PBL-0487</t>
  </si>
  <si>
    <t>CurrentFile=Data/Scripts/Items/Magical/Artifacts/Obsolete/Obsolete_AngelicEmbrace.cs;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RuntimeInventory=PrimaryRole=Persistence;SecondaryRoles=CombatPolicy;ItemContent;LegacyCompatibility;Commands=;Hooks=;SerializedTypes=class:AngelicEmbrace;Gumps=; SerializationRegister=Class=Server.Items.AngelicEmbrace;Version=0;Handling=SingleVersionOnly;Alignment=AlignedByCountAndKnownTypes;MoveRisk=NamespaceOrTypeRenameDanger</t>
  </si>
  <si>
    <t>HistoricalFile=Data/Scripts/Items/Magical/Artifacts/Obsolete/Obsolete_AngelicEmbrace.cs; Risk=Build;Runtime;Save; POST-BATCH-L is audit-only P2 residual triage. No source, project, XML/config, serialized layout, runtime file location, command name, access level, or region policy changed.</t>
  </si>
  <si>
    <t>RB-05763</t>
  </si>
  <si>
    <t>P10-F05763</t>
  </si>
  <si>
    <t>Data/Scripts/Items/Magical/Artifacts/Obsolete/Obsolete_AngerOfTheGods.cs</t>
  </si>
  <si>
    <t>PBL-0488</t>
  </si>
  <si>
    <t>CurrentFile=Data/Scripts/Items/Magical/Artifacts/Obsolete/Obsolete_AngerOfTheGods.cs;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RuntimeInventory=PrimaryRole=Persistence;SecondaryRoles=CombatPolicy;ItemContent;LegacyCompatibility;Commands=;Hooks=;SerializedTypes=class:AngeroftheGods;Gumps=; SerializationRegister=Class=Server.Items.AngeroftheGods;Version=0;Handling=SingleVersionOnly;Alignment=AlignedByCountAndKnownTypes;MoveRisk=NamespaceOrTypeRenameDanger</t>
  </si>
  <si>
    <t>HistoricalFile=Data/Scripts/Items/Magical/Artifacts/Obsolete/Obsolete_AngerOfTheGods.cs; Risk=Build;Runtime;Save; POST-BATCH-L is audit-only P2 residual triage. No source, project, XML/config, serialized layout, runtime file location, command name, access level, or region policy changed.</t>
  </si>
  <si>
    <t>RB-05764</t>
  </si>
  <si>
    <t>P10-F05764</t>
  </si>
  <si>
    <t>Data/Scripts/Items/Magical/Artifacts/Obsolete/Obsolete_Annihilation.cs</t>
  </si>
  <si>
    <t>PBL-0489</t>
  </si>
  <si>
    <t>CurrentFile=Data/Scripts/Items/Magical/Artifacts/Obsolete/Obsolete_Annihilation.cs;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RuntimeInventory=PrimaryRole=Persistence;SecondaryRoles=CombatPolicy;ItemContent;LegacyCompatibility;Commands=;Hooks=;SerializedTypes=class:Annihilation;Gumps=; SerializationRegister=Class=Server.Items.Annihilation;Version=0;Handling=SingleVersionOnly;Alignment=AlignedByCountAndKnownTypes;MoveRisk=NamespaceOrTypeRenameDanger</t>
  </si>
  <si>
    <t>HistoricalFile=Data/Scripts/Items/Magical/Artifacts/Obsolete/Obsolete_Annihilation.cs; Risk=Build;Runtime;Save; POST-BATCH-L is audit-only P2 residual triage. No source, project, XML/config, serialized layout, runtime file location, command name, access level, or region policy changed.</t>
  </si>
  <si>
    <t>RB-05765</t>
  </si>
  <si>
    <t>P10-F05765</t>
  </si>
  <si>
    <t>Data/Scripts/Items/Magical/Artifacts/Obsolete/Obsolete_ArcaneArms.cs</t>
  </si>
  <si>
    <t>PBL-0490</t>
  </si>
  <si>
    <t>CurrentFile=Data/Scripts/Items/Magical/Artifacts/Obsolete/Obsolete_ArcaneArms.cs;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RuntimeInventory=PrimaryRole=Persistence;SecondaryRoles=CombatPolicy;ItemContent;LegacyCompatibility;Commands=;Hooks=;SerializedTypes=class:ArcaneArms;Gumps=; SerializationRegister=Class=Server.Items.ArcaneArms;Version=0;Handling=SingleVersionOnly;Alignment=AlignedByCountAndKnownTypes;MoveRisk=NamespaceOrTypeRenameDanger</t>
  </si>
  <si>
    <t>HistoricalFile=Data/Scripts/Items/Magical/Artifacts/Obsolete/Obsolete_ArcaneArms.cs; Risk=Build;Runtime;Save; POST-BATCH-L is audit-only P2 residual triage. No source, project, XML/config, serialized layout, runtime file location, command name, access level, or region policy changed.</t>
  </si>
  <si>
    <t>RB-05766</t>
  </si>
  <si>
    <t>P10-F05766</t>
  </si>
  <si>
    <t>Data/Scripts/Items/Magical/Artifacts/Obsolete/Obsolete_ArcaneCap.cs</t>
  </si>
  <si>
    <t>PBL-0491</t>
  </si>
  <si>
    <t>CurrentFile=Data/Scripts/Items/Magical/Artifacts/Obsolete/Obsolete_ArcaneCap.cs;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RuntimeInventory=PrimaryRole=Persistence;SecondaryRoles=CombatPolicy;ItemContent;LegacyCompatibility;Commands=;Hooks=;SerializedTypes=class:ArcaneCap;Gumps=; SerializationRegister=Class=Server.Items.ArcaneCap;Version=0;Handling=SingleVersionOnly;Alignment=AlignedByCountAndKnownTypes;MoveRisk=NamespaceOrTypeRenameDanger</t>
  </si>
  <si>
    <t>HistoricalFile=Data/Scripts/Items/Magical/Artifacts/Obsolete/Obsolete_ArcaneCap.cs; Risk=Build;Runtime;Save; POST-BATCH-L is audit-only P2 residual triage. No source, project, XML/config, serialized layout, runtime file location, command name, access level, or region policy changed.</t>
  </si>
  <si>
    <t>RB-05767</t>
  </si>
  <si>
    <t>P10-F05767</t>
  </si>
  <si>
    <t>Data/Scripts/Items/Magical/Artifacts/Obsolete/Obsolete_ArcaneGloves.cs</t>
  </si>
  <si>
    <t>PBL-0492</t>
  </si>
  <si>
    <t>CurrentFile=Data/Scripts/Items/Magical/Artifacts/Obsolete/Obsolete_ArcaneGloves.cs;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RuntimeInventory=PrimaryRole=Persistence;SecondaryRoles=CombatPolicy;ItemContent;LegacyCompatibility;Commands=;Hooks=;SerializedTypes=class:ArcaneGloves;Gumps=; SerializationRegister=Class=Server.Items.ArcaneGloves;Version=0;Handling=SingleVersionOnly;Alignment=AlignedByCountAndKnownTypes;MoveRisk=NamespaceOrTypeRenameDanger</t>
  </si>
  <si>
    <t>HistoricalFile=Data/Scripts/Items/Magical/Artifacts/Obsolete/Obsolete_ArcaneGloves.cs; Risk=Build;Runtime;Save; POST-BATCH-L is audit-only P2 residual triage. No source, project, XML/config, serialized layout, runtime file location, command name, access level, or region policy changed.</t>
  </si>
  <si>
    <t>RB-05768</t>
  </si>
  <si>
    <t>P10-F05768</t>
  </si>
  <si>
    <t>Data/Scripts/Items/Magical/Artifacts/Obsolete/Obsolete_ArcaneGorget.cs</t>
  </si>
  <si>
    <t>PBL-0493</t>
  </si>
  <si>
    <t>CurrentFile=Data/Scripts/Items/Magical/Artifacts/Obsolete/Obsolete_ArcaneGorget.cs;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RuntimeInventory=PrimaryRole=Persistence;SecondaryRoles=CombatPolicy;ItemContent;LegacyCompatibility;Commands=;Hooks=;SerializedTypes=class:ArcaneGorget;Gumps=; SerializationRegister=Class=Server.Items.ArcaneGorget;Version=0;Handling=SingleVersionOnly;Alignment=AlignedByCountAndKnownTypes;MoveRisk=NamespaceOrTypeRenameDanger</t>
  </si>
  <si>
    <t>HistoricalFile=Data/Scripts/Items/Magical/Artifacts/Obsolete/Obsolete_ArcaneGorget.cs; Risk=Build;Runtime;Save; POST-BATCH-L is audit-only P2 residual triage. No source, project, XML/config, serialized layout, runtime file location, command name, access level, or region policy changed.</t>
  </si>
  <si>
    <t>RB-05769</t>
  </si>
  <si>
    <t>P10-F05769</t>
  </si>
  <si>
    <t>Data/Scripts/Items/Magical/Artifacts/Obsolete/Obsolete_ArcaneLeggings.cs</t>
  </si>
  <si>
    <t>PBL-0494</t>
  </si>
  <si>
    <t>CurrentFile=Data/Scripts/Items/Magical/Artifacts/Obsolete/Obsolete_ArcaneLeggings.cs;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RuntimeInventory=PrimaryRole=Persistence;SecondaryRoles=CombatPolicy;ItemContent;LegacyCompatibility;Commands=;Hooks=;SerializedTypes=class:ArcaneLeggings;Gumps=; SerializationRegister=Class=Server.Items.ArcaneLeggings;Version=0;Handling=SingleVersionOnly;Alignment=AlignedByCountAndKnownTypes;MoveRisk=NamespaceOrTypeRenameDanger</t>
  </si>
  <si>
    <t>HistoricalFile=Data/Scripts/Items/Magical/Artifacts/Obsolete/Obsolete_ArcaneLeggings.cs; Risk=Build;Runtime;Save; POST-BATCH-L is audit-only P2 residual triage. No source, project, XML/config, serialized layout, runtime file location, command name, access level, or region policy changed.</t>
  </si>
  <si>
    <t>RB-05770</t>
  </si>
  <si>
    <t>P10-F05770</t>
  </si>
  <si>
    <t>Data/Scripts/Items/Magical/Artifacts/Obsolete/Obsolete_ArcaneShield.cs</t>
  </si>
  <si>
    <t>PBL-0495</t>
  </si>
  <si>
    <t>CurrentFile=Data/Scripts/Items/Magical/Artifacts/Obsolete/Obsolete_ArcaneShield.cs;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RuntimeInventory=PrimaryRole=Persistence;SecondaryRoles=CombatPolicy;ItemContent;LegacyCompatibility;Commands=;Hooks=;SerializedTypes=class:ArcaneShield;Gumps=; SerializationRegister=Class=Server.Items.ArcaneShield;Version=0;Handling=SingleVersionOnly;Alignment=AlignedByCountAndKnownTypes;MoveRisk=NamespaceOrTypeRenameDanger</t>
  </si>
  <si>
    <t>HistoricalFile=Data/Scripts/Items/Magical/Artifacts/Obsolete/Obsolete_ArcaneShield.cs; Risk=Build;Runtime;Save; POST-BATCH-L is audit-only P2 residual triage. No source, project, XML/config, serialized layout, runtime file location, command name, access level, or region policy changed.</t>
  </si>
  <si>
    <t>RB-05771</t>
  </si>
  <si>
    <t>P10-F05771</t>
  </si>
  <si>
    <t>Data/Scripts/Items/Magical/Artifacts/Obsolete/Obsolete_ArcaneTunic.cs</t>
  </si>
  <si>
    <t>PBL-0496</t>
  </si>
  <si>
    <t>CurrentFile=Data/Scripts/Items/Magical/Artifacts/Obsolete/Obsolete_ArcaneTunic.cs;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RuntimeInventory=PrimaryRole=Persistence;SecondaryRoles=CombatPolicy;ItemContent;LegacyCompatibility;Commands=;Hooks=;SerializedTypes=class:ArcaneTunic;Gumps=; SerializationRegister=Class=Server.Items.ArcaneTunic;Version=0;Handling=SingleVersionOnly;Alignment=AlignedByCountAndKnownTypes;MoveRisk=NamespaceOrTypeRenameDanger</t>
  </si>
  <si>
    <t>HistoricalFile=Data/Scripts/Items/Magical/Artifacts/Obsolete/Obsolete_ArcaneTunic.cs; Risk=Build;Runtime;Save; POST-BATCH-L is audit-only P2 residual triage. No source, project, XML/config, serialized layout, runtime file location, command name, access level, or region policy changed.</t>
  </si>
  <si>
    <t>RB-05772</t>
  </si>
  <si>
    <t>P10-F05772</t>
  </si>
  <si>
    <t>Data/Scripts/Items/Magical/Artifacts/Obsolete/Obsolete_ArcanicRobe.cs</t>
  </si>
  <si>
    <t>PBL-0497</t>
  </si>
  <si>
    <t>CurrentFile=Data/Scripts/Items/Magical/Artifacts/Obsolete/Obsolete_ArcanicRobe.cs;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RuntimeInventory=PrimaryRole=Persistence;SecondaryRoles=CombatPolicy;ItemContent;LegacyCompatibility;Commands=;Hooks=;SerializedTypes=class:ArcanicRobe;Gumps=; SerializationRegister=Class=Server.Items.ArcanicRobe;Version=0;Handling=SingleVersionOnly;Alignment=AlignedByCountAndKnownTypes;MoveRisk=NamespaceOrTypeRenameDanger</t>
  </si>
  <si>
    <t>HistoricalFile=Data/Scripts/Items/Magical/Artifacts/Obsolete/Obsolete_ArcanicRobe.cs; Risk=Build;Runtime;Save; POST-BATCH-L is audit-only P2 residual triage. No source, project, XML/config, serialized layout, runtime file location, command name, access level, or region policy changed.</t>
  </si>
  <si>
    <t>RB-05773</t>
  </si>
  <si>
    <t>P10-F05773</t>
  </si>
  <si>
    <t>Data/Scripts/Items/Magical/Artifacts/Obsolete/Obsolete_ArcticBeacon.cs</t>
  </si>
  <si>
    <t>PBL-0498</t>
  </si>
  <si>
    <t>CurrentFile=Data/Scripts/Items/Magical/Artifacts/Obsolete/Obsolete_ArcticBeacon.cs;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RuntimeInventory=PrimaryRole=Persistence;SecondaryRoles=CombatPolicy;ItemContent;LegacyCompatibility;Commands=;Hooks=;SerializedTypes=class:ArcticBeacon;Gumps=; SerializationRegister=Class=Server.Items.ArcticBeacon;Version=0;Handling=SingleVersionOnly;Alignment=AlignedByCountAndKnownTypes;MoveRisk=NamespaceOrTypeRenameDanger</t>
  </si>
  <si>
    <t>HistoricalFile=Data/Scripts/Items/Magical/Artifacts/Obsolete/Obsolete_ArcticBeacon.cs; Risk=Build;Runtime;Save; POST-BATCH-L is audit-only P2 residual triage. No source, project, XML/config, serialized layout, runtime file location, command name, access level, or region policy changed.</t>
  </si>
  <si>
    <t>RB-05774</t>
  </si>
  <si>
    <t>P10-F05774</t>
  </si>
  <si>
    <t>Data/Scripts/Items/Magical/Artifacts/Obsolete/Obsolete_ArcticDeathDealer.cs</t>
  </si>
  <si>
    <t>PBL-0499</t>
  </si>
  <si>
    <t>CurrentFile=Data/Scripts/Items/Magical/Artifacts/Obsolete/Obsolete_ArcticDeathDealer.cs;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RuntimeInventory=PrimaryRole=Persistence;SecondaryRoles=CombatPolicy;ItemContent;LegacyCompatibility;Commands=;Hooks=;SerializedTypes=class:ArcticDeathDealer;Gumps=; SerializationRegister=Class=Server.Items.ArcticDeathDealer;Version=0;Handling=SingleVersionOnly;Alignment=AlignedByCountAndKnownTypes;MoveRisk=NamespaceOrTypeRenameDanger</t>
  </si>
  <si>
    <t>HistoricalFile=Data/Scripts/Items/Magical/Artifacts/Obsolete/Obsolete_ArcticDeathDealer.cs; Risk=Build;Runtime;Save; POST-BATCH-L is audit-only P2 residual triage. No source, project, XML/config, serialized layout, runtime file location, command name, access level, or region policy changed.</t>
  </si>
  <si>
    <t>RB-05775</t>
  </si>
  <si>
    <t>P10-F05775</t>
  </si>
  <si>
    <t>Data/Scripts/Items/Magical/Artifacts/Obsolete/Obsolete_ArmorOfFortune.cs</t>
  </si>
  <si>
    <t>PBL-0500</t>
  </si>
  <si>
    <t>CurrentFile=Data/Scripts/Items/Magical/Artifacts/Obsolete/Obsolete_ArmorOfFortune.cs;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RuntimeInventory=PrimaryRole=Persistence;SecondaryRoles=CombatPolicy;ItemContent;LegacyCompatibility;Commands=;Hooks=;SerializedTypes=class:ArmorOfFortune;Gumps=; SerializationRegister=Class=Server.Items.ArmorOfFortune;Version=0;Handling=SingleVersionOnly;Alignment=AlignedByCountAndKnownTypes;MoveRisk=NamespaceOrTypeRenameDanger</t>
  </si>
  <si>
    <t>HistoricalFile=Data/Scripts/Items/Magical/Artifacts/Obsolete/Obsolete_ArmorOfFortune.cs; Risk=Build;Runtime;Save; POST-BATCH-L is audit-only P2 residual triage. No source, project, XML/config, serialized layout, runtime file location, command name, access level, or region policy changed.</t>
  </si>
  <si>
    <t>RB-05776</t>
  </si>
  <si>
    <t>P10-F05776</t>
  </si>
  <si>
    <t>Data/Scripts/Items/Magical/Artifacts/Obsolete/Obsolete_ArmorOfInsight.cs</t>
  </si>
  <si>
    <t>PBL-0501</t>
  </si>
  <si>
    <t>CurrentFile=Data/Scripts/Items/Magical/Artifacts/Obsolete/Obsolete_ArmorOfInsight.cs;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RuntimeInventory=PrimaryRole=Persistence;SecondaryRoles=CombatPolicy;ItemContent;LegacyCompatibility;Commands=;Hooks=;SerializedTypes=class:ArmorOfInsight;Gumps=; SerializationRegister=Class=Server.Items.ArmorOfInsight;Version=1;Handling=IfVersionGates;Alignment=AlignedByCountAndKnownTypes;MoveRisk=NamespaceOrTypeRenameDanger</t>
  </si>
  <si>
    <t>HistoricalFile=Data/Scripts/Items/Magical/Artifacts/Obsolete/Obsolete_ArmorOfInsight.cs; Risk=Build;Runtime;Save; POST-BATCH-L is audit-only P2 residual triage. No source, project, XML/config, serialized layout, runtime file location, command name, access level, or region policy changed.</t>
  </si>
  <si>
    <t>RB-05777</t>
  </si>
  <si>
    <t>P10-F05777</t>
  </si>
  <si>
    <t>Data/Scripts/Items/Magical/Artifacts/Obsolete/Obsolete_ArmorOfNobility.cs</t>
  </si>
  <si>
    <t>PBL-0502</t>
  </si>
  <si>
    <t>CurrentFile=Data/Scripts/Items/Magical/Artifacts/Obsolete/Obsolete_ArmorOfNobility.cs;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RuntimeInventory=PrimaryRole=Persistence;SecondaryRoles=CombatPolicy;ItemContent;LegacyCompatibility;Commands=;Hooks=;SerializedTypes=class:ArmorOfNobility;Gumps=; SerializationRegister=Class=Server.Items.ArmorOfNobility;Version=1;Handling=IfVersionGates;Alignment=AlignedByCountAndKnownTypes;MoveRisk=NamespaceOrTypeRenameDanger</t>
  </si>
  <si>
    <t>HistoricalFile=Data/Scripts/Items/Magical/Artifacts/Obsolete/Obsolete_ArmorOfNobility.cs; Risk=Build;Runtime;Save; POST-BATCH-L is audit-only P2 residual triage. No source, project, XML/config, serialized layout, runtime file location, command name, access level, or region policy changed.</t>
  </si>
  <si>
    <t>RB-05778</t>
  </si>
  <si>
    <t>P10-F05778</t>
  </si>
  <si>
    <t>Data/Scripts/Items/Magical/Artifacts/Obsolete/Obsolete_ArmsOfAegis.cs</t>
  </si>
  <si>
    <t>PBL-0503</t>
  </si>
  <si>
    <t>CurrentFile=Data/Scripts/Items/Magical/Artifacts/Obsolete/Obsolete_ArmsOfAegis.cs;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RuntimeInventory=PrimaryRole=Persistence;SecondaryRoles=CombatPolicy;ItemContent;LegacyCompatibility;Commands=;Hooks=;SerializedTypes=class:ArmsOfAegis;Gumps=; SerializationRegister=Class=Server.Items.ArmsOfAegis;Version=1;Handling=IfVersionGates;Alignment=AlignedByCountAndKnownTypes;MoveRisk=NamespaceOrTypeRenameDanger</t>
  </si>
  <si>
    <t>HistoricalFile=Data/Scripts/Items/Magical/Artifacts/Obsolete/Obsolete_ArmsOfAegis.cs; Risk=Build;Runtime;Save; POST-BATCH-L is audit-only P2 residual triage. No source, project, XML/config, serialized layout, runtime file location, command name, access level, or region policy changed.</t>
  </si>
  <si>
    <t>RB-05779</t>
  </si>
  <si>
    <t>P10-F05779</t>
  </si>
  <si>
    <t>Data/Scripts/Items/Magical/Artifacts/Obsolete/Obsolete_ArmsOfFortune.cs</t>
  </si>
  <si>
    <t>PBL-0504</t>
  </si>
  <si>
    <t>CurrentFile=Data/Scripts/Items/Magical/Artifacts/Obsolete/Obsolete_ArmsOfFortune.cs;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RuntimeInventory=PrimaryRole=Persistence;SecondaryRoles=CombatPolicy;ItemContent;LegacyCompatibility;Commands=;Hooks=;SerializedTypes=class:ArmsOfFortune;Gumps=; SerializationRegister=Class=Server.Items.ArmsOfFortune;Version=0;Handling=SingleVersionOnly;Alignment=AlignedByCountAndKnownTypes;MoveRisk=NamespaceOrTypeRenameDanger</t>
  </si>
  <si>
    <t>HistoricalFile=Data/Scripts/Items/Magical/Artifacts/Obsolete/Obsolete_ArmsOfFortune.cs; Risk=Build;Runtime;Save; POST-BATCH-L is audit-only P2 residual triage. No source, project, XML/config, serialized layout, runtime file location, command name, access level, or region policy changed.</t>
  </si>
  <si>
    <t>RB-05780</t>
  </si>
  <si>
    <t>P10-F05780</t>
  </si>
  <si>
    <t>Data/Scripts/Items/Magical/Artifacts/Obsolete/Obsolete_ArmsOfInsight.cs</t>
  </si>
  <si>
    <t>PBL-0505</t>
  </si>
  <si>
    <t>CurrentFile=Data/Scripts/Items/Magical/Artifacts/Obsolete/Obsolete_ArmsOfInsight.cs;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RuntimeInventory=PrimaryRole=Persistence;SecondaryRoles=CombatPolicy;ItemContent;LegacyCompatibility;Commands=;Hooks=;SerializedTypes=class:ArmsOfInsight;Gumps=; SerializationRegister=Class=Server.Items.ArmsOfInsight;Version=1;Handling=IfVersionGates;Alignment=AlignedByCountAndKnownTypes;MoveRisk=NamespaceOrTypeRenameDanger</t>
  </si>
  <si>
    <t>HistoricalFile=Data/Scripts/Items/Magical/Artifacts/Obsolete/Obsolete_ArmsOfInsight.cs; Risk=Build;Runtime;Save; POST-BATCH-L is audit-only P2 residual triage. No source, project, XML/config, serialized layout, runtime file location, command name, access level, or region policy changed.</t>
  </si>
  <si>
    <t>RB-05781</t>
  </si>
  <si>
    <t>P10-F05781</t>
  </si>
  <si>
    <t>Data/Scripts/Items/Magical/Artifacts/Obsolete/Obsolete_ArmsOfNobility.cs</t>
  </si>
  <si>
    <t>PBL-0506</t>
  </si>
  <si>
    <t>CurrentFile=Data/Scripts/Items/Magical/Artifacts/Obsolete/Obsolete_ArmsOfNobility.cs;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RuntimeInventory=PrimaryRole=Persistence;SecondaryRoles=CombatPolicy;ItemContent;LegacyCompatibility;Commands=;Hooks=;SerializedTypes=class:ArmsOfNobility;Gumps=; SerializationRegister=Class=Server.Items.ArmsOfNobility;Version=1;Handling=IfVersionGates;Alignment=AlignedByCountAndKnownTypes;MoveRisk=NamespaceOrTypeRenameDanger</t>
  </si>
  <si>
    <t>HistoricalFile=Data/Scripts/Items/Magical/Artifacts/Obsolete/Obsolete_ArmsOfNobility.cs; Risk=Build;Runtime;Save; POST-BATCH-L is audit-only P2 residual triage. No source, project, XML/config, serialized layout, runtime file location, command name, access level, or region policy changed.</t>
  </si>
  <si>
    <t>RB-05782</t>
  </si>
  <si>
    <t>P10-F05782</t>
  </si>
  <si>
    <t>Data/Scripts/Items/Magical/Artifacts/Obsolete/Obsolete_ArmsOfTheFallenKing.cs</t>
  </si>
  <si>
    <t>PBL-0507</t>
  </si>
  <si>
    <t>CurrentFile=Data/Scripts/Items/Magical/Artifacts/Obsolete/Obsolete_ArmsOfTheFallenKing.cs;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RuntimeInventory=PrimaryRole=Persistence;SecondaryRoles=CombatPolicy;ItemContent;LegacyCompatibility;Commands=;Hooks=;SerializedTypes=class:ArmsOfTheFallenKing;Gumps=; SerializationRegister=Class=Server.Items.ArmsOfTheFallenKing;Version=1;Handling=IfVersionGates;Alignment=AlignedByCountAndKnownTypes;MoveRisk=NamespaceOrTypeRenameDanger</t>
  </si>
  <si>
    <t>HistoricalFile=Data/Scripts/Items/Magical/Artifacts/Obsolete/Obsolete_ArmsOfTheFallenKing.cs; Risk=Build;Runtime;Save; POST-BATCH-L is audit-only P2 residual triage. No source, project, XML/config, serialized layout, runtime file location, command name, access level, or region policy changed.</t>
  </si>
  <si>
    <t>RB-05783</t>
  </si>
  <si>
    <t>P10-F05783</t>
  </si>
  <si>
    <t>Data/Scripts/Items/Magical/Artifacts/Obsolete/Obsolete_ArmsOfTheHarrower.cs</t>
  </si>
  <si>
    <t>PBL-0508</t>
  </si>
  <si>
    <t>CurrentFile=Data/Scripts/Items/Magical/Artifacts/Obsolete/Obsolete_ArmsOfTheHarrower.cs;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RuntimeInventory=PrimaryRole=Persistence;SecondaryRoles=CombatPolicy;ItemContent;LegacyCompatibility;Commands=;Hooks=;SerializedTypes=class:ArmsOfTheHarrower;Gumps=; SerializationRegister=Class=Server.Items.ArmsOfTheHarrower;Version=1;Handling=IfVersionGates;Alignment=AlignedByCountAndKnownTypes;MoveRisk=NamespaceOrTypeRenameDanger</t>
  </si>
  <si>
    <t>HistoricalFile=Data/Scripts/Items/Magical/Artifacts/Obsolete/Obsolete_ArmsOfTheHarrower.cs; Risk=Build;Runtime;Save; POST-BATCH-L is audit-only P2 residual triage. No source, project, XML/config, serialized layout, runtime file location, command name, access level, or region policy changed.</t>
  </si>
  <si>
    <t>RB-05784</t>
  </si>
  <si>
    <t>P10-F05784</t>
  </si>
  <si>
    <t>Data/Scripts/Items/Magical/Artifacts/Obsolete/Obsolete_ArmsOfToxicity.cs</t>
  </si>
  <si>
    <t>PBL-0509</t>
  </si>
  <si>
    <t>CurrentFile=Data/Scripts/Items/Magical/Artifacts/Obsolete/Obsolete_ArmsOfToxicity.cs;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RuntimeInventory=PrimaryRole=Persistence;SecondaryRoles=CombatPolicy;ItemContent;LegacyCompatibility;Commands=;Hooks=;SerializedTypes=class:ArmsOfToxicity;Gumps=; SerializationRegister=Class=Server.Items.ArmsOfToxicity;Version=0;Handling=SingleVersionOnly;Alignment=AlignedByCountAndKnownTypes;MoveRisk=UnknownUntilSaveTest</t>
  </si>
  <si>
    <t>HistoricalFile=Data/Scripts/Items/Magical/Artifacts/Obsolete/Obsolete_ArmsOfToxicity.cs; Risk=Build;Runtime;Save; POST-BATCH-L is audit-only P2 residual triage. No source, project, XML/config, serialized layout, runtime file location, command name, access level, or region policy changed.</t>
  </si>
  <si>
    <t>RB-05785</t>
  </si>
  <si>
    <t>P10-F05785</t>
  </si>
  <si>
    <t>Data/Scripts/Items/Magical/Artifacts/Obsolete/Obsolete_AuraOfShadows.cs</t>
  </si>
  <si>
    <t>PBL-0510</t>
  </si>
  <si>
    <t>CurrentFile=Data/Scripts/Items/Magical/Artifacts/Obsolete/Obsolete_AuraOfShadows.cs;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RuntimeInventory=PrimaryRole=Persistence;SecondaryRoles=CombatPolicy;ItemContent;LegacyCompatibility;Commands=;Hooks=;SerializedTypes=class:AuraOfShadows;Gumps=; SerializationRegister=Class=Server.Items.AuraOfShadows;Version=0;Handling=SingleVersionOnly;Alignment=AlignedByCountAndKnownTypes;MoveRisk=NamespaceOrTypeRenameDanger</t>
  </si>
  <si>
    <t>HistoricalFile=Data/Scripts/Items/Magical/Artifacts/Obsolete/Obsolete_AuraOfShadows.cs; Risk=Build;Runtime;Save; POST-BATCH-L is audit-only P2 residual triage. No source, project, XML/config, serialized layout, runtime file location, command name, access level, or region policy changed.</t>
  </si>
  <si>
    <t>RB-05786</t>
  </si>
  <si>
    <t>P10-F05786</t>
  </si>
  <si>
    <t>Data/Scripts/Items/Magical/Artifacts/Obsolete/Obsolete_AxeOfTheHeavens.cs</t>
  </si>
  <si>
    <t>PBL-0511</t>
  </si>
  <si>
    <t>CurrentFile=Data/Scripts/Items/Magical/Artifacts/Obsolete/Obsolete_AxeOfTheHeavens.cs;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RuntimeInventory=PrimaryRole=Persistence;SecondaryRoles=CombatPolicy;ItemContent;LegacyCompatibility;Commands=;Hooks=;SerializedTypes=class:AxeOfTheHeavens;Gumps=; SerializationRegister=Class=Server.Items.AxeOfTheHeavens;Version=0;Handling=SingleVersionOnly;Alignment=AlignedByCountAndKnownTypes;MoveRisk=NamespaceOrTypeRenameDanger</t>
  </si>
  <si>
    <t>HistoricalFile=Data/Scripts/Items/Magical/Artifacts/Obsolete/Obsolete_AxeOfTheHeavens.cs; Risk=Build;Runtime;Save; POST-BATCH-L is audit-only P2 residual triage. No source, project, XML/config, serialized layout, runtime file location, command name, access level, or region policy changed.</t>
  </si>
  <si>
    <t>RB-05787</t>
  </si>
  <si>
    <t>P10-F05787</t>
  </si>
  <si>
    <t>Data/Scripts/Items/Magical/Artifacts/Obsolete/Obsolete_AxeoftheMinotaur.cs</t>
  </si>
  <si>
    <t>PBL-0512</t>
  </si>
  <si>
    <t>CurrentFile=Data/Scripts/Items/Magical/Artifacts/Obsolete/Obsolete_AxeoftheMinotaur.cs;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RuntimeInventory=PrimaryRole=Persistence;SecondaryRoles=CombatPolicy;ItemContent;LegacyCompatibility;Commands=;Hooks=;SerializedTypes=class:AxeoftheMinotaur;Gumps=; SerializationRegister=Class=Server.Items.AxeoftheMinotaur;Version=0;Handling=SingleVersionOnly;Alignment=AlignedByCountAndKnownTypes;MoveRisk=NamespaceOrTypeRenameDanger</t>
  </si>
  <si>
    <t>HistoricalFile=Data/Scripts/Items/Magical/Artifacts/Obsolete/Obsolete_AxeoftheMinotaur.cs; Risk=Build;Runtime;Save; POST-BATCH-L is audit-only P2 residual triage. No source, project, XML/config, serialized layout, runtime file location, command name, access level, or region policy changed.</t>
  </si>
  <si>
    <t>RB-05788</t>
  </si>
  <si>
    <t>P10-F05788</t>
  </si>
  <si>
    <t>Data/Scripts/Items/Magical/Artifacts/Obsolete/Obsolete_BeggarsRobe.cs</t>
  </si>
  <si>
    <t>PBL-0513</t>
  </si>
  <si>
    <t>CurrentFile=Data/Scripts/Items/Magical/Artifacts/Obsolete/Obsolete_BeggarsRobe.cs;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RuntimeInventory=PrimaryRole=Persistence;SecondaryRoles=CombatPolicy;ItemContent;LegacyCompatibility;Commands=;Hooks=;SerializedTypes=class:BeggarsRobe;Gumps=; SerializationRegister=Class=Server.Items.BeggarsRobe;Version=0;Handling=SingleVersionOnly;Alignment=AlignedByCountAndKnownTypes;MoveRisk=NamespaceOrTypeRenameDanger</t>
  </si>
  <si>
    <t>HistoricalFile=Data/Scripts/Items/Magical/Artifacts/Obsolete/Obsolete_BeggarsRobe.cs; Risk=Build;Runtime;Save; POST-BATCH-L is audit-only P2 residual triage. No source, project, XML/config, serialized layout, runtime file location, command name, access level, or region policy changed.</t>
  </si>
  <si>
    <t>RB-05789</t>
  </si>
  <si>
    <t>P10-F05789</t>
  </si>
  <si>
    <t>Data/Scripts/Items/Magical/Artifacts/Obsolete/Obsolete_BeltofHercules.cs</t>
  </si>
  <si>
    <t>PBL-0514</t>
  </si>
  <si>
    <t>CurrentFile=Data/Scripts/Items/Magical/Artifacts/Obsolete/Obsolete_BeltofHercules.cs;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RuntimeInventory=PrimaryRole=Persistence;SecondaryRoles=CombatPolicy;ItemContent;LegacyCompatibility;Commands=;Hooks=;SerializedTypes=class:BeltofHercules;Gumps=; SerializationRegister=Class=Server.Items.BeltofHercules;Version=0;Handling=SingleVersionOnly;Alignment=AlignedByCountAndKnownTypes;MoveRisk=NamespaceOrTypeRenameDanger</t>
  </si>
  <si>
    <t>HistoricalFile=Data/Scripts/Items/Magical/Artifacts/Obsolete/Obsolete_BeltofHercules.cs; Risk=Build;Runtime;Save; POST-BATCH-L is audit-only P2 residual triage. No source, project, XML/config, serialized layout, runtime file location, command name, access level, or region policy changed.</t>
  </si>
  <si>
    <t>RB-05790</t>
  </si>
  <si>
    <t>P10-F05790</t>
  </si>
  <si>
    <t>PBL-0515</t>
  </si>
  <si>
    <t>CurrentFile=Data/Scripts/Items/Magical/Artifacts/Obsolete/Obsolete_BladeDance.cs;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RuntimeInventory=PrimaryRole=Persistence;SecondaryRoles=CombatPolicy;ItemContent;LegacyCompatibility;Commands=;Hooks=;SerializedTypes=class:BladeDance;Gumps=; SerializationRegister=Class=Server.Items.BladeDance;Version=Unknown;Handling=NoVersionFound;Alignment=AlignedByCountAndKnownTypes;MoveRisk=NamespaceOrTypeRenameDanger</t>
  </si>
  <si>
    <t>HistoricalFile=Data/Scripts/Items/Magical/Artifacts/Obsolete/Obsolete_BladeDance.cs; Risk=Build;Runtime;Save; POST-BATCH-L is audit-only P2 residual triage. No source, project, XML/config, serialized layout, runtime file location, command name, access level, or region policy changed.</t>
  </si>
  <si>
    <t>RB-05791</t>
  </si>
  <si>
    <t>P10-F05791</t>
  </si>
  <si>
    <t>Data/Scripts/Items/Magical/Artifacts/Obsolete/Obsolete_BladeOfInsanity.cs</t>
  </si>
  <si>
    <t>PBL-0516</t>
  </si>
  <si>
    <t>CurrentFile=Data/Scripts/Items/Magical/Artifacts/Obsolete/Obsolete_BladeOfInsanity.cs;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RuntimeInventory=PrimaryRole=Persistence;SecondaryRoles=CombatPolicy;ItemContent;LegacyCompatibility;Commands=;Hooks=;SerializedTypes=class:BladeOfInsanity;Gumps=; SerializationRegister=Class=Server.Items.BladeOfInsanity;Version=0;Handling=SingleVersionOnly;Alignment=AlignedByCountAndKnownTypes;MoveRisk=NamespaceOrTypeRenameDanger</t>
  </si>
  <si>
    <t>HistoricalFile=Data/Scripts/Items/Magical/Artifacts/Obsolete/Obsolete_BladeOfInsanity.cs; Risk=Build;Runtime;Save; POST-BATCH-L is audit-only P2 residual triage. No source, project, XML/config, serialized layout, runtime file location, command name, access level, or region policy changed.</t>
  </si>
  <si>
    <t>RB-05792</t>
  </si>
  <si>
    <t>P10-F05792</t>
  </si>
  <si>
    <t>Data/Scripts/Items/Magical/Artifacts/Obsolete/Obsolete_BladeOfTheRighteous.cs</t>
  </si>
  <si>
    <t>PBL-0517</t>
  </si>
  <si>
    <t>CurrentFile=Data/Scripts/Items/Magical/Artifacts/Obsolete/Obsolete_BladeOfTheRighteous.cs;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RuntimeInventory=PrimaryRole=Persistence;SecondaryRoles=CombatPolicy;ItemContent;LegacyCompatibility;Commands=;Hooks=;SerializedTypes=class:BladeOfTheRighteous;Gumps=; SerializationRegister=Class=Server.Items.BladeOfTheRighteous;Version=0;Handling=SingleVersionOnly;Alignment=AlignedByCountAndKnownTypes;MoveRisk=NamespaceOrTypeRenameDanger</t>
  </si>
  <si>
    <t>HistoricalFile=Data/Scripts/Items/Magical/Artifacts/Obsolete/Obsolete_BladeOfTheRighteous.cs; Risk=Build;Runtime;Save; POST-BATCH-L is audit-only P2 residual triage. No source, project, XML/config, serialized layout, runtime file location, command name, access level, or region policy changed.</t>
  </si>
  <si>
    <t>RB-05793</t>
  </si>
  <si>
    <t>P10-F05793</t>
  </si>
  <si>
    <t>Data/Scripts/Items/Magical/Artifacts/Obsolete/Obsolete_BlazeOfDeath.cs</t>
  </si>
  <si>
    <t>PBL-0518</t>
  </si>
  <si>
    <t>CurrentFile=Data/Scripts/Items/Magical/Artifacts/Obsolete/Obsolete_BlazeOfDeath.cs;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RuntimeInventory=PrimaryRole=Persistence;SecondaryRoles=CombatPolicy;ItemContent;LegacyCompatibility;Commands=;Hooks=;SerializedTypes=class:BlazeOfDeath;Gumps=; SerializationRegister=Class=Server.Items.BlazeOfDeath;Version=0;Handling=SingleVersionOnly;Alignment=AlignedByCountAndKnownTypes;MoveRisk=NamespaceOrTypeRenameDanger</t>
  </si>
  <si>
    <t>HistoricalFile=Data/Scripts/Items/Magical/Artifacts/Obsolete/Obsolete_BlazeOfDeath.cs; Risk=Build;Runtime;Save; POST-BATCH-L is audit-only P2 residual triage. No source, project, XML/config, serialized layout, runtime file location, command name, access level, or region policy changed.</t>
  </si>
  <si>
    <t>RB-05794</t>
  </si>
  <si>
    <t>P10-F05794</t>
  </si>
  <si>
    <t>PBL-0519</t>
  </si>
  <si>
    <t>CurrentFile=Data/Scripts/Items/Magical/Artifacts/Obsolete/Obsolete_BlightGrippedLongbow.cs;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RuntimeInventory=PrimaryRole=Persistence;SecondaryRoles=CombatPolicy;ItemContent;LegacyCompatibility;Commands=;Hooks=;SerializedTypes=class:BlightGrippedLongbow;Gumps=; SerializationRegister=Class=Server.Items.BlightGrippedLongbow;Version=Unknown;Handling=NoVersionFound;Alignment=AlignedByCountAndKnownTypes;MoveRisk=NamespaceOrTypeRenameDanger</t>
  </si>
  <si>
    <t>HistoricalFile=Data/Scripts/Items/Magical/Artifacts/Obsolete/Obsolete_BlightGrippedLongbow.cs; Risk=Build;Runtime;Save; POST-BATCH-L is audit-only P2 residual triage. No source, project, XML/config, serialized layout, runtime file location, command name, access level, or region policy changed.</t>
  </si>
  <si>
    <t>RB-05795</t>
  </si>
  <si>
    <t>P10-F05795</t>
  </si>
  <si>
    <t>Data/Scripts/Items/Magical/Artifacts/Obsolete/Obsolete_BloodwoodSpirit.cs</t>
  </si>
  <si>
    <t>PBL-0520</t>
  </si>
  <si>
    <t>CurrentFile=Data/Scripts/Items/Magical/Artifacts/Obsolete/Obsolete_BloodwoodSpirit.cs;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RuntimeInventory=PrimaryRole=Persistence;SecondaryRoles=CombatPolicy;ItemContent;LegacyCompatibility;Commands=;Hooks=;SerializedTypes=class:BloodwoodSpirit;Gumps=; SerializationRegister=Class=Server.Items.BloodwoodSpirit;Version=0;Handling=SingleVersionOnly;Alignment=AlignedByCountAndKnownTypes;MoveRisk=NamespaceOrTypeRenameDanger</t>
  </si>
  <si>
    <t>HistoricalFile=Data/Scripts/Items/Magical/Artifacts/Obsolete/Obsolete_BloodwoodSpirit.cs; Risk=Build;Runtime;Save; POST-BATCH-L is audit-only P2 residual triage. No source, project, XML/config, serialized layout, runtime file location, command name, access level, or region policy changed.</t>
  </si>
  <si>
    <t>RB-05796</t>
  </si>
  <si>
    <t>P10-F05796</t>
  </si>
  <si>
    <t>Data/Scripts/Items/Magical/Artifacts/Obsolete/Obsolete_BoneCrusher.cs</t>
  </si>
  <si>
    <t>PBL-0521</t>
  </si>
  <si>
    <t>CurrentFile=Data/Scripts/Items/Magical/Artifacts/Obsolete/Obsolete_BoneCrusher.cs;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RuntimeInventory=PrimaryRole=Persistence;SecondaryRoles=CombatPolicy;ItemContent;LegacyCompatibility;Commands=;Hooks=;SerializedTypes=class:BoneCrusher;Gumps=; SerializationRegister=Class=Server.Items.BoneCrusher;Version=0;Handling=SingleVersionOnly;Alignment=AlignedByCountAndKnownTypes;MoveRisk=NamespaceOrTypeRenameDanger</t>
  </si>
  <si>
    <t>HistoricalFile=Data/Scripts/Items/Magical/Artifacts/Obsolete/Obsolete_BoneCrusher.cs; Risk=Build;Runtime;Save; POST-BATCH-L is audit-only P2 residual triage. No source, project, XML/config, serialized layout, runtime file location, command name, access level, or region policy changed.</t>
  </si>
  <si>
    <t>RB-05797</t>
  </si>
  <si>
    <t>P10-F05797</t>
  </si>
  <si>
    <t>PBL-0522</t>
  </si>
  <si>
    <t>CurrentFile=Data/Scripts/Items/Magical/Artifacts/Obsolete/Obsolete_Bonesmasher.cs;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RuntimeInventory=PrimaryRole=Persistence;SecondaryRoles=CombatPolicy;ItemContent;LegacyCompatibility;Commands=;Hooks=;SerializedTypes=class:Bonesmasher;Gumps=; SerializationRegister=Class=Server.Items.Bonesmasher;Version=Unknown;Handling=NoVersionFound;Alignment=AlignedByCountAndKnownTypes;MoveRisk=NamespaceOrTypeRenameDanger</t>
  </si>
  <si>
    <t>HistoricalFile=Data/Scripts/Items/Magical/Artifacts/Obsolete/Obsolete_Bonesmasher.cs; Risk=Build;Runtime;Save; POST-BATCH-L is audit-only P2 residual triage. No source, project, XML/config, serialized layout, runtime file location, command name, access level, or region policy changed.</t>
  </si>
  <si>
    <t>RB-05798</t>
  </si>
  <si>
    <t>P10-F05798</t>
  </si>
  <si>
    <t>Data/Scripts/Items/Magical/Artifacts/Obsolete/Obsolete_BookOfKnowledge.cs</t>
  </si>
  <si>
    <t>PBL-0523</t>
  </si>
  <si>
    <t>CurrentFile=Data/Scripts/Items/Magical/Artifacts/Obsolete/Obsolete_BookOfKnowledge.cs;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RuntimeInventory=PrimaryRole=Persistence;SecondaryRoles=CombatPolicy;ItemContent;LegacyCompatibility;Commands=;Hooks=;SerializedTypes=class:BookOfKnowledge;Gumps=; SerializationRegister=Class=Server.Items.BookOfKnowledge;Version=0;Handling=SingleVersionOnly;Alignment=AlignedByCountAndKnownTypes;MoveRisk=NamespaceOrTypeRenameDanger</t>
  </si>
  <si>
    <t>HistoricalFile=Data/Scripts/Items/Magical/Artifacts/Obsolete/Obsolete_BookOfKnowledge.cs; Risk=Build;Runtime;Save; POST-BATCH-L is audit-only P2 residual triage. No source, project, XML/config, serialized layout, runtime file location, command name, access level, or region policy changed.</t>
  </si>
  <si>
    <t>RB-05799</t>
  </si>
  <si>
    <t>P10-F05799</t>
  </si>
  <si>
    <t>PBL-0524</t>
  </si>
  <si>
    <t>CurrentFile=Data/Scripts/Items/Magical/Artifacts/Obsolete/Obsolete_Boomstick.cs;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RuntimeInventory=PrimaryRole=Persistence;SecondaryRoles=CombatPolicy;ItemContent;LegacyCompatibility;Commands=;Hooks=;SerializedTypes=class:Boomstick;Gumps=; SerializationRegister=Class=Server.Items.Boomstick;Version=Unknown;Handling=NoVersionFound;Alignment=AlignedByCountAndKnownTypes;MoveRisk=NamespaceOrTypeRenameDanger</t>
  </si>
  <si>
    <t>HistoricalFile=Data/Scripts/Items/Magical/Artifacts/Obsolete/Obsolete_Boomstick.cs; Risk=Build;Runtime;Save; POST-BATCH-L is audit-only P2 residual triage. No source, project, XML/config, serialized layout, runtime file location, command name, access level, or region policy changed.</t>
  </si>
  <si>
    <t>RB-05800</t>
  </si>
  <si>
    <t>P10-F05800</t>
  </si>
  <si>
    <t>Data/Scripts/Items/Magical/Artifacts/Obsolete/Obsolete_BootsofHermes.cs</t>
  </si>
  <si>
    <t>PBL-0525</t>
  </si>
  <si>
    <t>CurrentFile=Data/Scripts/Items/Magical/Artifacts/Obsolete/Obsolete_BootsofHermes.cs;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RuntimeInventory=PrimaryRole=Persistence;SecondaryRoles=CombatPolicy;ItemContent;LegacyCompatibility;Commands=;Hooks=;SerializedTypes=class:BootsofHermes;Gumps=; SerializationRegister=Class=Server.Items.BootsofHermes;Version=0;Handling=SingleVersionOnly;Alignment=AlignedByCountAndKnownTypes;MoveRisk=NamespaceOrTypeRenameDanger</t>
  </si>
  <si>
    <t>HistoricalFile=Data/Scripts/Items/Magical/Artifacts/Obsolete/Obsolete_BootsofHermes.cs; Risk=Build;Runtime;Save; POST-BATCH-L is audit-only P2 residual triage. No source, project, XML/config, serialized layout, runtime file location, command name, access level, or region policy changed.</t>
  </si>
  <si>
    <t>RB-05801</t>
  </si>
  <si>
    <t>P10-F05801</t>
  </si>
  <si>
    <t>Data/Scripts/Items/Magical/Artifacts/Obsolete/Obsolete_BowOfTheJukaKing.cs</t>
  </si>
  <si>
    <t>PBL-0526</t>
  </si>
  <si>
    <t>CurrentFile=Data/Scripts/Items/Magical/Artifacts/Obsolete/Obsolete_BowOfTheJukaKing.cs;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RuntimeInventory=PrimaryRole=Persistence;SecondaryRoles=CombatPolicy;ItemContent;LegacyCompatibility;Commands=;Hooks=;SerializedTypes=class:BowOfTheJukaKing;Gumps=; SerializationRegister=Class=Server.Items.BowOfTheJukaKing;Version=0;Handling=SingleVersionOnly;Alignment=AlignedByCountAndKnownTypes;MoveRisk=NamespaceOrTypeRenameDanger</t>
  </si>
  <si>
    <t>HistoricalFile=Data/Scripts/Items/Magical/Artifacts/Obsolete/Obsolete_BowOfTheJukaKing.cs; Risk=Build;Runtime;Save; POST-BATCH-L is audit-only P2 residual triage. No source, project, XML/config, serialized layout, runtime file location, command name, access level, or region policy changed.</t>
  </si>
  <si>
    <t>RB-05802</t>
  </si>
  <si>
    <t>P10-F05802</t>
  </si>
  <si>
    <t>Data/Scripts/Items/Magical/Artifacts/Obsolete/Obsolete_BowofthePhoenix.cs</t>
  </si>
  <si>
    <t>PBL-0527</t>
  </si>
  <si>
    <t>CurrentFile=Data/Scripts/Items/Magical/Artifacts/Obsolete/Obsolete_BowofthePhoenix.cs;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RuntimeInventory=PrimaryRole=Persistence;SecondaryRoles=CombatPolicy;ItemContent;LegacyCompatibility;Commands=;Hooks=;SerializedTypes=class:BowofthePhoenix;Gumps=; SerializationRegister=Class=Server.Items.BowofthePhoenix;Version=0;Handling=SingleVersionOnly;Alignment=AlignedByCountAndKnownTypes;MoveRisk=NamespaceOrTypeRenameDanger</t>
  </si>
  <si>
    <t>HistoricalFile=Data/Scripts/Items/Magical/Artifacts/Obsolete/Obsolete_BowofthePhoenix.cs; Risk=Build;Runtime;Save; POST-BATCH-L is audit-only P2 residual triage. No source, project, XML/config, serialized layout, runtime file location, command name, access level, or region policy changed.</t>
  </si>
  <si>
    <t>RB-05803</t>
  </si>
  <si>
    <t>P10-F05803</t>
  </si>
  <si>
    <t>Data/Scripts/Items/Magical/Artifacts/Obsolete/Obsolete_BraceletOfHealth.cs</t>
  </si>
  <si>
    <t>PBL-0528</t>
  </si>
  <si>
    <t>CurrentFile=Data/Scripts/Items/Magical/Artifacts/Obsolete/Obsolete_BraceletOfHealth.cs;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RuntimeInventory=PrimaryRole=Persistence;SecondaryRoles=CombatPolicy;ItemContent;LegacyCompatibility;Commands=;Hooks=;SerializedTypes=class:BraceletOfHealth;Gumps=; SerializationRegister=Class=Server.Items.BraceletOfHealth;Version=0;Handling=SingleVersionOnly;Alignment=AlignedByCountAndKnownTypes;MoveRisk=NamespaceOrTypeRenameDanger</t>
  </si>
  <si>
    <t>HistoricalFile=Data/Scripts/Items/Magical/Artifacts/Obsolete/Obsolete_BraceletOfHealth.cs; Risk=Build;Runtime;Save; POST-BATCH-L is audit-only P2 residual triage. No source, project, XML/config, serialized layout, runtime file location, command name, access level, or region policy changed.</t>
  </si>
  <si>
    <t>RB-05804</t>
  </si>
  <si>
    <t>P10-F05804</t>
  </si>
  <si>
    <t>Data/Scripts/Items/Magical/Artifacts/Obsolete/Obsolete_BraceletOfTheElements.cs</t>
  </si>
  <si>
    <t>PBL-0529</t>
  </si>
  <si>
    <t>CurrentFile=Data/Scripts/Items/Magical/Artifacts/Obsolete/Obsolete_BraceletOfTheElements.cs;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RuntimeInventory=PrimaryRole=Persistence;SecondaryRoles=CombatPolicy;ItemContent;LegacyCompatibility;Commands=;Hooks=;SerializedTypes=class:BraceletOfTheElements;Gumps=; SerializationRegister=Class=Server.Items.BraceletOfTheElements;Version=0;Handling=SingleVersionOnly;Alignment=AlignedByCountAndKnownTypes;MoveRisk=NamespaceOrTypeRenameDanger</t>
  </si>
  <si>
    <t>HistoricalFile=Data/Scripts/Items/Magical/Artifacts/Obsolete/Obsolete_BraceletOfTheElements.cs; Risk=Build;Runtime;Save; POST-BATCH-L is audit-only P2 residual triage. No source, project, XML/config, serialized layout, runtime file location, command name, access level, or region policy changed.</t>
  </si>
  <si>
    <t>RB-05805</t>
  </si>
  <si>
    <t>P10-F05805</t>
  </si>
  <si>
    <t>Data/Scripts/Items/Magical/Artifacts/Obsolete/Obsolete_BraceletOfTheVile.cs</t>
  </si>
  <si>
    <t>PBL-0530</t>
  </si>
  <si>
    <t>CurrentFile=Data/Scripts/Items/Magical/Artifacts/Obsolete/Obsolete_BraceletOfTheVile.cs;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RuntimeInventory=PrimaryRole=Persistence;SecondaryRoles=CombatPolicy;ItemContent;LegacyCompatibility;Commands=;Hooks=;SerializedTypes=class:BraceletOfTheVile;Gumps=; SerializationRegister=Class=Server.Items.BraceletOfTheVile;Version=0;Handling=SingleVersionOnly;Alignment=AlignedByCountAndKnownTypes;MoveRisk=NamespaceOrTypeRenameDanger</t>
  </si>
  <si>
    <t>HistoricalFile=Data/Scripts/Items/Magical/Artifacts/Obsolete/Obsolete_BraceletOfTheVile.cs; Risk=Build;Runtime;Save; POST-BATCH-L is audit-only P2 residual triage. No source, project, XML/config, serialized layout, runtime file location, command name, access level, or region policy changed.</t>
  </si>
  <si>
    <t>RB-05806</t>
  </si>
  <si>
    <t>P10-F05806</t>
  </si>
  <si>
    <t>PBL-0531</t>
  </si>
  <si>
    <t>CurrentFile=Data/Scripts/Items/Magical/Artifacts/Obsolete/Obsolete_BrambleCoat.cs;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RuntimeInventory=PrimaryRole=Persistence;SecondaryRoles=CombatPolicy;ItemContent;LegacyCompatibility;Commands=;Hooks=;SerializedTypes=class:BrambleCoat;Gumps=; SerializationRegister=Class=Server.Items.BrambleCoat;Version=Unknown;Handling=NoVersionFound;Alignment=AlignedByCountAndKnownTypes;MoveRisk=NamespaceOrTypeRenameDanger</t>
  </si>
  <si>
    <t>HistoricalFile=Data/Scripts/Items/Magical/Artifacts/Obsolete/Obsolete_BrambleCoat.cs; Risk=Build;Runtime;Save; POST-BATCH-L is audit-only P2 residual triage. No source, project, XML/config, serialized layout, runtime file location, command name, access level, or region policy changed.</t>
  </si>
  <si>
    <t>RB-05807</t>
  </si>
  <si>
    <t>P10-F05807</t>
  </si>
  <si>
    <t>Data/Scripts/Items/Magical/Artifacts/Obsolete/Obsolete_BraveKnightOfTheBritannia.cs</t>
  </si>
  <si>
    <t>PBL-0532</t>
  </si>
  <si>
    <t>CurrentFile=Data/Scripts/Items/Magical/Artifacts/Obsolete/Obsolete_BraveKnightOfTheBritannia.cs;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RuntimeInventory=PrimaryRole=Persistence;SecondaryRoles=CombatPolicy;ItemContent;LegacyCompatibility;Commands=;Hooks=;SerializedTypes=class:BraveKnightOfTheBritannia;Gumps=; SerializationRegister=Class=Server.Items.BraveKnightOfTheBritannia;Version=0;Handling=SingleVersionOnly;Alignment=AlignedByCountAndKnownTypes;MoveRisk=NamespaceOrTypeRenameDanger</t>
  </si>
  <si>
    <t>HistoricalFile=Data/Scripts/Items/Magical/Artifacts/Obsolete/Obsolete_BraveKnightOfTheBritannia.cs; Risk=Build;Runtime;Save; POST-BATCH-L is audit-only P2 residual triage. No source, project, XML/config, serialized layout, runtime file location, command name, access level, or region policy changed.</t>
  </si>
  <si>
    <t>RB-05808</t>
  </si>
  <si>
    <t>P10-F05808</t>
  </si>
  <si>
    <t>Data/Scripts/Items/Magical/Artifacts/Obsolete/Obsolete_BreathOfTheDead.cs</t>
  </si>
  <si>
    <t>PBL-0533</t>
  </si>
  <si>
    <t>CurrentFile=Data/Scripts/Items/Magical/Artifacts/Obsolete/Obsolete_BreathOfTheDead.cs;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RuntimeInventory=PrimaryRole=Persistence;SecondaryRoles=CombatPolicy;ItemContent;LegacyCompatibility;Commands=;Hooks=;SerializedTypes=class:BreathOfTheDead;Gumps=; SerializationRegister=Class=Server.Items.BreathOfTheDead;Version=0;Handling=SingleVersionOnly;Alignment=AlignedByCountAndKnownTypes;MoveRisk=NamespaceOrTypeRenameDanger</t>
  </si>
  <si>
    <t>HistoricalFile=Data/Scripts/Items/Magical/Artifacts/Obsolete/Obsolete_BreathOfTheDead.cs; Risk=Build;Runtime;Save; POST-BATCH-L is audit-only P2 residual triage. No source, project, XML/config, serialized layout, runtime file location, command name, access level, or region policy changed.</t>
  </si>
  <si>
    <t>RB-05809</t>
  </si>
  <si>
    <t>P10-F05809</t>
  </si>
  <si>
    <t>Data/Scripts/Items/Magical/Artifacts/Obsolete/Obsolete_BurglarsBandana.cs</t>
  </si>
  <si>
    <t>PBL-0534</t>
  </si>
  <si>
    <t>CurrentFile=Data/Scripts/Items/Magical/Artifacts/Obsolete/Obsolete_BurglarsBandana.cs;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RuntimeInventory=PrimaryRole=Persistence;SecondaryRoles=CombatPolicy;ItemContent;LegacyCompatibility;Commands=;Hooks=;SerializedTypes=class:BurglarsBandana;Gumps=; SerializationRegister=Class=Server.Items.BurglarsBandana;Version=2;Handling=IfVersionGates;Alignment=AlignedByCountAndKnownTypes;MoveRisk=NamespaceOrTypeRenameDanger</t>
  </si>
  <si>
    <t>HistoricalFile=Data/Scripts/Items/Magical/Artifacts/Obsolete/Obsolete_BurglarsBandana.cs; Risk=Build;Runtime;Save; POST-BATCH-L is audit-only P2 residual triage. No source, project, XML/config, serialized layout, runtime file location, command name, access level, or region policy changed.</t>
  </si>
  <si>
    <t>RB-05810</t>
  </si>
  <si>
    <t>P10-F05810</t>
  </si>
  <si>
    <t>Data/Scripts/Items/Magical/Artifacts/Obsolete/Obsolete_Calm.cs</t>
  </si>
  <si>
    <t>PBL-0535</t>
  </si>
  <si>
    <t>CurrentFile=Data/Scripts/Items/Magical/Artifacts/Obsolete/Obsolete_Calm.cs;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RuntimeInventory=PrimaryRole=Persistence;SecondaryRoles=CombatPolicy;ItemContent;LegacyCompatibility;Commands=;Hooks=;SerializedTypes=class:Calm;Gumps=; SerializationRegister=Class=Server.Items.Calm;Version=0;Handling=SingleVersionOnly;Alignment=AlignedByCountAndKnownTypes;MoveRisk=NamespaceOrTypeRenameDanger</t>
  </si>
  <si>
    <t>HistoricalFile=Data/Scripts/Items/Magical/Artifacts/Obsolete/Obsolete_Calm.cs; Risk=Build;Runtime;Save; POST-BATCH-L is audit-only P2 residual triage. No source, project, XML/config, serialized layout, runtime file location, command name, access level, or region policy changed.</t>
  </si>
  <si>
    <t>RB-05811</t>
  </si>
  <si>
    <t>P10-F05811</t>
  </si>
  <si>
    <t>Data/Scripts/Items/Magical/Artifacts/Obsolete/Obsolete_Candles.cs</t>
  </si>
  <si>
    <t>PBL-0536</t>
  </si>
  <si>
    <t>CurrentFile=Data/Scripts/Items/Magical/Artifacts/Obsolete/Obsolete_Candles.cs;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RuntimeInventory=PrimaryRole=Persistence;SecondaryRoles=CombatPolicy;ItemContent;LegacyCompatibility;Commands=;Hooks=;SerializedTypes=class:CandleCold;class:CandleFire;class:CandlePoison;class:CandleEnergy;class:CandleWizard;class:CandleNecromancer;Gumps=; SerializationRegister=Class=Server.Items.CandleCold;Version=0;Handling=SingleVersionOnly;Alignment=AlignedByCountAndKnownTypes;MoveRisk=NamespaceOrTypeRenameDanger | Class=Server.Items.CandleEnergy;Version=0;Handling=SingleVersionOnly;Alignment=AlignedByCountAndKnownTypes;MoveRisk=NamespaceOrTypeRenameDanger | Class=Server.Items.CandleFire;Version=0;Handling=SingleVersionOnly;Alignment=AlignedByCountAndKnownTypes;MoveRisk=NamespaceOrTypeRenameDanger</t>
  </si>
  <si>
    <t>HistoricalFile=Data/Scripts/Items/Magical/Artifacts/Obsolete/Obsolete_Candles.cs; Risk=Build;Runtime;Save; POST-BATCH-L is audit-only P2 residual triage. No source, project, XML/config, serialized layout, runtime file location, command name, access level, or region policy changed.</t>
  </si>
  <si>
    <t>RB-05812</t>
  </si>
  <si>
    <t>P10-F05812</t>
  </si>
  <si>
    <t>Data/Scripts/Items/Magical/Artifacts/Obsolete/Obsolete_CapOfFortune.cs</t>
  </si>
  <si>
    <t>PBL-0537</t>
  </si>
  <si>
    <t>CurrentFile=Data/Scripts/Items/Magical/Artifacts/Obsolete/Obsolete_CapOfFortune.cs;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RuntimeInventory=PrimaryRole=Persistence;SecondaryRoles=CombatPolicy;ItemContent;LegacyCompatibility;Commands=;Hooks=;SerializedTypes=class:CapOfFortune;Gumps=; SerializationRegister=Class=Server.Items.CapOfFortune;Version=0;Handling=SingleVersionOnly;Alignment=AlignedByCountAndKnownTypes;MoveRisk=NamespaceOrTypeRenameDanger</t>
  </si>
  <si>
    <t>HistoricalFile=Data/Scripts/Items/Magical/Artifacts/Obsolete/Obsolete_CapOfFortune.cs; Risk=Build;Runtime;Save; POST-BATCH-L is audit-only P2 residual triage. No source, project, XML/config, serialized layout, runtime file location, command name, access level, or region policy changed.</t>
  </si>
  <si>
    <t>RB-05813</t>
  </si>
  <si>
    <t>P10-F05813</t>
  </si>
  <si>
    <t>Data/Scripts/Items/Magical/Artifacts/Obsolete/Obsolete_CapOfTheFallenKing.cs</t>
  </si>
  <si>
    <t>PBL-0538</t>
  </si>
  <si>
    <t>CurrentFile=Data/Scripts/Items/Magical/Artifacts/Obsolete/Obsolete_CapOfTheFallenKing.cs;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RuntimeInventory=PrimaryRole=Persistence;SecondaryRoles=CombatPolicy;ItemContent;LegacyCompatibility;Commands=;Hooks=;SerializedTypes=class:CapOfTheFallenKing;Gumps=; SerializationRegister=Class=Server.Items.CapOfTheFallenKing;Version=1;Handling=IfVersionGates;Alignment=AlignedByCountAndKnownTypes;MoveRisk=NamespaceOrTypeRenameDanger</t>
  </si>
  <si>
    <t>HistoricalFile=Data/Scripts/Items/Magical/Artifacts/Obsolete/Obsolete_CapOfTheFallenKing.cs; Risk=Build;Runtime;Save; POST-BATCH-L is audit-only P2 residual triage. No source, project, XML/config, serialized layout, runtime file location, command name, access level, or region policy changed.</t>
  </si>
  <si>
    <t>RB-05814</t>
  </si>
  <si>
    <t>P10-F05814</t>
  </si>
  <si>
    <t>Data/Scripts/Items/Magical/Artifacts/Obsolete/Obsolete_CaptainJohnsHat.cs</t>
  </si>
  <si>
    <t>PBL-0539</t>
  </si>
  <si>
    <t>CurrentFile=Data/Scripts/Items/Magical/Artifacts/Obsolete/Obsolete_CaptainJohnsHat.cs;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RuntimeInventory=PrimaryRole=Persistence;SecondaryRoles=CombatPolicy;ItemContent;LegacyCompatibility;Commands=;Hooks=;SerializedTypes=class:CaptainJohnsHat;Gumps=; SerializationRegister=Class=Server.Items.CaptainJohnsHat;Version=0;Handling=SingleVersionOnly;Alignment=AlignedByCountAndKnownTypes;MoveRisk=NamespaceOrTypeRenameDanger</t>
  </si>
  <si>
    <t>HistoricalFile=Data/Scripts/Items/Magical/Artifacts/Obsolete/Obsolete_CaptainJohnsHat.cs; Risk=Build;Runtime;Save; POST-BATCH-L is audit-only P2 residual triage. No source, project, XML/config, serialized layout, runtime file location, command name, access level, or region policy changed.</t>
  </si>
  <si>
    <t>RB-05815</t>
  </si>
  <si>
    <t>P10-F05815</t>
  </si>
  <si>
    <t>Data/Scripts/Items/Magical/Artifacts/Obsolete/Obsolete_CaptainQuacklebushsCutlass.cs</t>
  </si>
  <si>
    <t>PBL-0540</t>
  </si>
  <si>
    <t>CurrentFile=Data/Scripts/Items/Magical/Artifacts/Obsolete/Obsolete_CaptainQuacklebushsCutlass.cs;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RuntimeInventory=PrimaryRole=Persistence;SecondaryRoles=CombatPolicy;ItemContent;LegacyCompatibility;Commands=;Hooks=;SerializedTypes=class:CaptainQuacklebushsCutlass;Gumps=; SerializationRegister=Class=Server.Items.CaptainQuacklebushsCutlass;Version=0;Handling=SingleVersionOnly;Alignment=AlignedByCountAndKnownTypes;MoveRisk=NamespaceOrTypeRenameDanger</t>
  </si>
  <si>
    <t>HistoricalFile=Data/Scripts/Items/Magical/Artifacts/Obsolete/Obsolete_CaptainQuacklebushsCutlass.cs; Risk=Build;Runtime;Save; POST-BATCH-L is audit-only P2 residual triage. No source, project, XML/config, serialized layout, runtime file location, command name, access level, or region policy changed.</t>
  </si>
  <si>
    <t>RB-05816</t>
  </si>
  <si>
    <t>P10-F05816</t>
  </si>
  <si>
    <t>Data/Scripts/Items/Magical/Artifacts/Obsolete/Obsolete_CavortingClub.cs</t>
  </si>
  <si>
    <t>PBL-0541</t>
  </si>
  <si>
    <t>CurrentFile=Data/Scripts/Items/Magical/Artifacts/Obsolete/Obsolete_CavortingClub.cs;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RuntimeInventory=PrimaryRole=Persistence;SecondaryRoles=CombatPolicy;ItemContent;LegacyCompatibility;Commands=;Hooks=;SerializedTypes=class:CavortingClub;Gumps=; SerializationRegister=Class=Server.Items.CavortingClub;Version=0;Handling=SingleVersionOnly;Alignment=AlignedByCountAndKnownTypes;MoveRisk=NamespaceOrTypeRenameDanger</t>
  </si>
  <si>
    <t>HistoricalFile=Data/Scripts/Items/Magical/Artifacts/Obsolete/Obsolete_CavortingClub.cs; Risk=Build;Runtime;Save; POST-BATCH-L is audit-only P2 residual triage. No source, project, XML/config, serialized layout, runtime file location, command name, access level, or region policy changed.</t>
  </si>
  <si>
    <t>RB-05817</t>
  </si>
  <si>
    <t>P10-F05817</t>
  </si>
  <si>
    <t>Data/Scripts/Items/Magical/Artifacts/Obsolete/Obsolete_CircletOfTheSorceress.cs</t>
  </si>
  <si>
    <t>PBL-0542</t>
  </si>
  <si>
    <t>CurrentFile=Data/Scripts/Items/Magical/Artifacts/Obsolete/Obsolete_CircletOfTheSorceress.cs;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RuntimeInventory=PrimaryRole=Persistence;SecondaryRoles=CombatPolicy;ItemContent;LegacyCompatibility;Commands=;Hooks=;SerializedTypes=class:CircletOfTheSorceress;Gumps=; SerializationRegister=Class=Server.Items.CircletOfTheSorceress;Version=0;Handling=SingleVersionOnly;Alignment=AlignedByCountAndKnownTypes;MoveRisk=NamespaceOrTypeRenameDanger</t>
  </si>
  <si>
    <t>HistoricalFile=Data/Scripts/Items/Magical/Artifacts/Obsolete/Obsolete_CircletOfTheSorceress.cs; Risk=Build;Runtime;Save; POST-BATCH-L is audit-only P2 residual triage. No source, project, XML/config, serialized layout, runtime file location, command name, access level, or region policy changed.</t>
  </si>
  <si>
    <t>RB-05818</t>
  </si>
  <si>
    <t>P10-F05818</t>
  </si>
  <si>
    <t>Data/Scripts/Items/Magical/Artifacts/Obsolete/Obsolete_CoifOfBane.cs</t>
  </si>
  <si>
    <t>PBL-0543</t>
  </si>
  <si>
    <t>CurrentFile=Data/Scripts/Items/Magical/Artifacts/Obsolete/Obsolete_CoifOfBane.cs;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RuntimeInventory=PrimaryRole=Persistence;SecondaryRoles=CombatPolicy;ItemContent;LegacyCompatibility;Commands=;Hooks=;SerializedTypes=class:CoifOfBane;Gumps=; SerializationRegister=Class=Server.Items.CoifOfBane;Version=2;Handling=IfVersionGates;Alignment=AlignedByCountAndKnownTypes;MoveRisk=NamespaceOrTypeRenameDanger</t>
  </si>
  <si>
    <t>HistoricalFile=Data/Scripts/Items/Magical/Artifacts/Obsolete/Obsolete_CoifOfBane.cs; Risk=Build;Runtime;Save; POST-BATCH-L is audit-only P2 residual triage. No source, project, XML/config, serialized layout, runtime file location, command name, access level, or region policy changed.</t>
  </si>
  <si>
    <t>RB-05819</t>
  </si>
  <si>
    <t>P10-F05819</t>
  </si>
  <si>
    <t>Data/Scripts/Items/Magical/Artifacts/Obsolete/Obsolete_CoifOfFire.cs</t>
  </si>
  <si>
    <t>PBL-0544</t>
  </si>
  <si>
    <t>CurrentFile=Data/Scripts/Items/Magical/Artifacts/Obsolete/Obsolete_CoifOfFire.cs;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RuntimeInventory=PrimaryRole=Persistence;SecondaryRoles=CombatPolicy;ItemContent;LegacyCompatibility;Commands=;Hooks=;SerializedTypes=class:CoifOfFire;Gumps=; SerializationRegister=Class=Server.Items.CoifOfFire;Version=1;Handling=IfVersionGates;Alignment=AlignedByCountAndKnownTypes;MoveRisk=NamespaceOrTypeRenameDanger</t>
  </si>
  <si>
    <t>HistoricalFile=Data/Scripts/Items/Magical/Artifacts/Obsolete/Obsolete_CoifOfFire.cs; Risk=Build;Runtime;Save; POST-BATCH-L is audit-only P2 residual triage. No source, project, XML/config, serialized layout, runtime file location, command name, access level, or region policy changed.</t>
  </si>
  <si>
    <t>RB-05820</t>
  </si>
  <si>
    <t>P10-F05820</t>
  </si>
  <si>
    <t>Data/Scripts/Items/Magical/Artifacts/Obsolete/Obsolete_ColdBlood.cs</t>
  </si>
  <si>
    <t>PBL-0545</t>
  </si>
  <si>
    <t>CurrentFile=Data/Scripts/Items/Magical/Artifacts/Obsolete/Obsolete_ColdBlood.cs;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RuntimeInventory=PrimaryRole=Persistence;SecondaryRoles=CombatPolicy;ItemContent;LegacyCompatibility;Commands=;Hooks=;SerializedTypes=class:ColdBlood;Gumps=; SerializationRegister=Class=Server.Items.ColdBlood;Version=0;Handling=SingleVersionOnly;Alignment=AlignedByCountAndKnownTypes;MoveRisk=NamespaceOrTypeRenameDanger</t>
  </si>
  <si>
    <t>HistoricalFile=Data/Scripts/Items/Magical/Artifacts/Obsolete/Obsolete_ColdBlood.cs; Risk=Build;Runtime;Save; POST-BATCH-L is audit-only P2 residual triage. No source, project, XML/config, serialized layout, runtime file location, command name, access level, or region policy changed.</t>
  </si>
  <si>
    <t>RB-05821</t>
  </si>
  <si>
    <t>P10-F05821</t>
  </si>
  <si>
    <t>PBL-0546</t>
  </si>
  <si>
    <t>CurrentFile=Data/Scripts/Items/Magical/Artifacts/Obsolete/Obsolete_ColdForgedBlade.cs;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RuntimeInventory=PrimaryRole=Persistence;SecondaryRoles=CombatPolicy;ItemContent;LegacyCompatibility;Commands=;Hooks=;SerializedTypes=class:ColdForgedBlade;Gumps=; SerializationRegister=Class=Server.Items.ColdForgedBlade;Version=Unknown;Handling=NoVersionFound;Alignment=AlignedByCountAndKnownTypes;MoveRisk=NamespaceOrTypeRenameDanger</t>
  </si>
  <si>
    <t>HistoricalFile=Data/Scripts/Items/Magical/Artifacts/Obsolete/Obsolete_ColdForgedBlade.cs; Risk=Build;Runtime;Save; POST-BATCH-L is audit-only P2 residual triage. No source, project, XML/config, serialized layout, runtime file location, command name, access level, or region policy changed.</t>
  </si>
  <si>
    <t>RB-05822</t>
  </si>
  <si>
    <t>P10-F05822</t>
  </si>
  <si>
    <t>Data/Scripts/Items/Magical/Artifacts/Obsolete/Obsolete_ConansHelm.cs</t>
  </si>
  <si>
    <t>PBL-0547</t>
  </si>
  <si>
    <t>CurrentFile=Data/Scripts/Items/Magical/Artifacts/Obsolete/Obsolete_ConansHelm.cs;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RuntimeInventory=PrimaryRole=Persistence;SecondaryRoles=CombatPolicy;ItemContent;LegacyCompatibility;Commands=;Hooks=;SerializedTypes=class:ConansHelm;Gumps=; SerializationRegister=Class=Server.Items.ConansHelm;Version=0;Handling=SingleVersionOnly;Alignment=AlignedByCountAndKnownTypes;MoveRisk=NamespaceOrTypeRenameDanger</t>
  </si>
  <si>
    <t>HistoricalFile=Data/Scripts/Items/Magical/Artifacts/Obsolete/Obsolete_ConansHelm.cs; Risk=Build;Runtime;Save; POST-BATCH-L is audit-only P2 residual triage. No source, project, XML/config, serialized layout, runtime file location, command name, access level, or region policy changed.</t>
  </si>
  <si>
    <t>RB-05823</t>
  </si>
  <si>
    <t>P10-F05823</t>
  </si>
  <si>
    <t>Data/Scripts/Items/Magical/Artifacts/Obsolete/Obsolete_ConansLoinCloth.cs</t>
  </si>
  <si>
    <t>PBL-0548</t>
  </si>
  <si>
    <t>CurrentFile=Data/Scripts/Items/Magical/Artifacts/Obsolete/Obsolete_ConansLoinCloth.cs;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RuntimeInventory=PrimaryRole=Persistence;SecondaryRoles=CombatPolicy;ItemContent;LegacyCompatibility;Commands=;Hooks=;SerializedTypes=class:ConansLoinCloth;Gumps=; SerializationRegister=Class=Server.Items.ConansLoinCloth;Version=0;Handling=SingleVersionOnly;Alignment=AlignedByCountAndKnownTypes;MoveRisk=NamespaceOrTypeRenameDanger</t>
  </si>
  <si>
    <t>HistoricalFile=Data/Scripts/Items/Magical/Artifacts/Obsolete/Obsolete_ConansLoinCloth.cs; Risk=Build;Runtime;Save; POST-BATCH-L is audit-only P2 residual triage. No source, project, XML/config, serialized layout, runtime file location, command name, access level, or region policy changed.</t>
  </si>
  <si>
    <t>RB-05824</t>
  </si>
  <si>
    <t>P10-F05824</t>
  </si>
  <si>
    <t>Data/Scripts/Items/Magical/Artifacts/Obsolete/Obsolete_ConansSword.cs</t>
  </si>
  <si>
    <t>PBL-0549</t>
  </si>
  <si>
    <t>CurrentFile=Data/Scripts/Items/Magical/Artifacts/Obsolete/Obsolete_ConansSword.cs;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RuntimeInventory=PrimaryRole=Persistence;SecondaryRoles=CombatPolicy;ItemContent;LegacyCompatibility;Commands=;Hooks=;SerializedTypes=class:ConansSword;Gumps=; SerializationRegister=Class=Server.Items.ConansSword;Version=0;Handling=SingleVersionOnly;Alignment=AlignedByCountAndKnownTypes;MoveRisk=NamespaceOrTypeRenameDanger</t>
  </si>
  <si>
    <t>HistoricalFile=Data/Scripts/Items/Magical/Artifacts/Obsolete/Obsolete_ConansSword.cs; Risk=Build;Runtime;Save; POST-BATCH-L is audit-only P2 residual triage. No source, project, XML/config, serialized layout, runtime file location, command name, access level, or region policy changed.</t>
  </si>
  <si>
    <t>RB-05825</t>
  </si>
  <si>
    <t>P10-F05825</t>
  </si>
  <si>
    <t>Data/Scripts/Items/Magical/Artifacts/Obsolete/Obsolete_CrimsonCincture.cs</t>
  </si>
  <si>
    <t>PBL-0550</t>
  </si>
  <si>
    <t>CurrentFile=Data/Scripts/Items/Magical/Artifacts/Obsolete/Obsolete_CrimsonCincture.cs;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RuntimeInventory=PrimaryRole=Persistence;SecondaryRoles=CombatPolicy;ItemContent;LegacyCompatibility;Commands=;Hooks=;SerializedTypes=class:CrimsonCincture;Gumps=; SerializationRegister=Class=Server.Items.CrimsonCincture;Version=0;Handling=SingleVersionOnly;Alignment=AlignedByCountAndKnownTypes;MoveRisk=NamespaceOrTypeRenameDanger</t>
  </si>
  <si>
    <t>HistoricalFile=Data/Scripts/Items/Magical/Artifacts/Obsolete/Obsolete_CrimsonCincture.cs; Risk=Build;Runtime;Save; POST-BATCH-L is audit-only P2 residual triage. No source, project, XML/config, serialized layout, runtime file location, command name, access level, or region policy changed.</t>
  </si>
  <si>
    <t>RB-05826</t>
  </si>
  <si>
    <t>P10-F05826</t>
  </si>
  <si>
    <t>Data/Scripts/Items/Magical/Artifacts/Obsolete/Obsolete_CrownOfTalKeesh.cs</t>
  </si>
  <si>
    <t>PBL-0551</t>
  </si>
  <si>
    <t>CurrentFile=Data/Scripts/Items/Magical/Artifacts/Obsolete/Obsolete_CrownOfTalKeesh.cs;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RuntimeInventory=PrimaryRole=Persistence;SecondaryRoles=CombatPolicy;ItemContent;LegacyCompatibility;Commands=;Hooks=;SerializedTypes=class:CrownOfTalKeesh;Gumps=; SerializationRegister=Class=Server.Items.CrownOfTalKeesh;Version=0;Handling=SingleVersionOnly;Alignment=AlignedByCountAndKnownTypes;MoveRisk=NamespaceOrTypeRenameDanger</t>
  </si>
  <si>
    <t>HistoricalFile=Data/Scripts/Items/Magical/Artifacts/Obsolete/Obsolete_CrownOfTalKeesh.cs; Risk=Build;Runtime;Save; POST-BATCH-L is audit-only P2 residual triage. No source, project, XML/config, serialized layout, runtime file location, command name, access level, or region policy changed.</t>
  </si>
  <si>
    <t>RB-05827</t>
  </si>
  <si>
    <t>P10-F05827</t>
  </si>
  <si>
    <t>Data/Scripts/Items/Magical/Artifacts/Obsolete/Obsolete_DaggerOfVenom.cs</t>
  </si>
  <si>
    <t>PBL-0552</t>
  </si>
  <si>
    <t>CurrentFile=Data/Scripts/Items/Magical/Artifacts/Obsolete/Obsolete_DaggerOfVenom.cs;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RuntimeInventory=PrimaryRole=Persistence;SecondaryRoles=CombatPolicy;ItemContent;LegacyCompatibility;Commands=;Hooks=;SerializedTypes=class:DaggerOfVenom;Gumps=; SerializationRegister=Class=Server.Items.DaggerOfVenom;Version=0;Handling=SingleVersionOnly;Alignment=AlignedByCountAndKnownTypes;MoveRisk=NamespaceOrTypeRenameDanger</t>
  </si>
  <si>
    <t>HistoricalFile=Data/Scripts/Items/Magical/Artifacts/Obsolete/Obsolete_DaggerOfVenom.cs; Risk=Build;Runtime;Save; POST-BATCH-L is audit-only P2 residual triage. No source, project, XML/config, serialized layout, runtime file location, command name, access level, or region policy changed.</t>
  </si>
  <si>
    <t>RB-05828</t>
  </si>
  <si>
    <t>P10-F05828</t>
  </si>
  <si>
    <t>Data/Scripts/Items/Magical/Artifacts/Obsolete/Obsolete_DarkGuardiansChest.cs</t>
  </si>
  <si>
    <t>PBL-0553</t>
  </si>
  <si>
    <t>CurrentFile=Data/Scripts/Items/Magical/Artifacts/Obsolete/Obsolete_DarkGuardiansChest.cs;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RuntimeInventory=PrimaryRole=Persistence;SecondaryRoles=CombatPolicy;ItemContent;LegacyCompatibility;Commands=;Hooks=;SerializedTypes=class:DarkGuardiansChest;Gumps=; SerializationRegister=Class=Server.Items.DarkGuardiansChest;Version=0;Handling=SingleVersionOnly;Alignment=AlignedByCountAndKnownTypes;MoveRisk=NamespaceOrTypeRenameDanger</t>
  </si>
  <si>
    <t>HistoricalFile=Data/Scripts/Items/Magical/Artifacts/Obsolete/Obsolete_DarkGuardiansChest.cs; Risk=Build;Runtime;Save; POST-BATCH-L is audit-only P2 residual triage. No source, project, XML/config, serialized layout, runtime file location, command name, access level, or region policy changed.</t>
  </si>
  <si>
    <t>RB-05829</t>
  </si>
  <si>
    <t>P10-F05829</t>
  </si>
  <si>
    <t>Data/Scripts/Items/Magical/Artifacts/Obsolete/Obsolete_DarkLordsPitchfork.cs</t>
  </si>
  <si>
    <t>PBL-0554</t>
  </si>
  <si>
    <t>CurrentFile=Data/Scripts/Items/Magical/Artifacts/Obsolete/Obsolete_DarkLordsPitchfork.cs;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RuntimeInventory=PrimaryRole=Persistence;SecondaryRoles=CombatPolicy;ItemContent;LegacyCompatibility;Commands=;Hooks=;SerializedTypes=class:DarkLordsPitchfork;Gumps=; SerializationRegister=Class=Server.Items.DarkLordsPitchfork;Version=0;Handling=SingleVersionOnly;Alignment=AlignedByCountAndKnownTypes;MoveRisk=NamespaceOrTypeRenameDanger</t>
  </si>
  <si>
    <t>HistoricalFile=Data/Scripts/Items/Magical/Artifacts/Obsolete/Obsolete_DarkLordsPitchfork.cs; Risk=Build;Runtime;Save; POST-BATCH-L is audit-only P2 residual triage. No source, project, XML/config, serialized layout, runtime file location, command name, access level, or region policy changed.</t>
  </si>
  <si>
    <t>RB-05830</t>
  </si>
  <si>
    <t>P10-F05830</t>
  </si>
  <si>
    <t>Data/Scripts/Items/Magical/Artifacts/Obsolete/Obsolete_DarkNeck.cs</t>
  </si>
  <si>
    <t>PBL-0555</t>
  </si>
  <si>
    <t>CurrentFile=Data/Scripts/Items/Magical/Artifacts/Obsolete/Obsolete_DarkNeck.cs;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RuntimeInventory=PrimaryRole=Persistence;SecondaryRoles=CombatPolicy;ItemContent;LegacyCompatibility;Commands=;Hooks=;SerializedTypes=class:DarkNeck;Gumps=; SerializationRegister=Class=Server.Items.DarkNeck;Version=0;Handling=SingleVersionOnly;Alignment=AlignedByCountAndKnownTypes;MoveRisk=NamespaceOrTypeRenameDanger</t>
  </si>
  <si>
    <t>HistoricalFile=Data/Scripts/Items/Magical/Artifacts/Obsolete/Obsolete_DarkNeck.cs; Risk=Build;Runtime;Save; POST-BATCH-L is audit-only P2 residual triage. No source, project, XML/config, serialized layout, runtime file location, command name, access level, or region policy changed.</t>
  </si>
  <si>
    <t>RB-05831</t>
  </si>
  <si>
    <t>P10-F05831</t>
  </si>
  <si>
    <t>Data/Scripts/Items/Magical/Artifacts/Obsolete/Obsolete_DeathsMask.cs</t>
  </si>
  <si>
    <t>PBL-0556</t>
  </si>
  <si>
    <t>CurrentFile=Data/Scripts/Items/Magical/Artifacts/Obsolete/Obsolete_DeathsMask.cs;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RuntimeInventory=PrimaryRole=Persistence;SecondaryRoles=CombatPolicy;ItemContent;LegacyCompatibility;Commands=;Hooks=;SerializedTypes=class:DeathsMask;Gumps=; SerializationRegister=Class=Server.Items.DeathsMask;Version=0;Handling=SingleVersionOnly;Alignment=AlignedByCountAndKnownTypes;MoveRisk=NamespaceOrTypeRenameDanger</t>
  </si>
  <si>
    <t>HistoricalFile=Data/Scripts/Items/Magical/Artifacts/Obsolete/Obsolete_DeathsMask.cs; Risk=Build;Runtime;Save; POST-BATCH-L is audit-only P2 residual triage. No source, project, XML/config, serialized layout, runtime file location, command name, access level, or region policy changed.</t>
  </si>
  <si>
    <t>RB-05832</t>
  </si>
  <si>
    <t>P10-F05832</t>
  </si>
  <si>
    <t>Data/Scripts/Items/Magical/Artifacts/Obsolete/Obsolete_DetectiveBoots.cs</t>
  </si>
  <si>
    <t>PBL-0557</t>
  </si>
  <si>
    <t>CurrentFile=Data/Scripts/Items/Magical/Artifacts/Obsolete/Obsolete_DetectiveBoots.cs;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RuntimeInventory=PrimaryRole=Persistence;SecondaryRoles=CombatPolicy;ItemContent;LegacyCompatibility;Commands=;Hooks=;SerializedTypes=class:DetectiveBoots;Gumps=; SerializationRegister=Class=Server.Items.DetectiveBoots;Version=0;Handling=SingleVersionOnly;Alignment=AlignedByCountAndKnownTypes;MoveRisk=NamespaceOrTypeRenameDanger</t>
  </si>
  <si>
    <t>HistoricalFile=Data/Scripts/Items/Magical/Artifacts/Obsolete/Obsolete_DetectiveBoots.cs; Risk=Build;Runtime;Save; POST-BATCH-L is audit-only P2 residual triage. No source, project, XML/config, serialized layout, runtime file location, command name, access level, or region policy changed.</t>
  </si>
  <si>
    <t>RB-05833</t>
  </si>
  <si>
    <t>P10-F05833</t>
  </si>
  <si>
    <t>Data/Scripts/Items/Magical/Artifacts/Obsolete/Obsolete_DivineArms.cs</t>
  </si>
  <si>
    <t>PBL-0558</t>
  </si>
  <si>
    <t>CurrentFile=Data/Scripts/Items/Magical/Artifacts/Obsolete/Obsolete_DivineArms.cs;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RuntimeInventory=PrimaryRole=Persistence;SecondaryRoles=CombatPolicy;ItemContent;LegacyCompatibility;Commands=;Hooks=;SerializedTypes=class:DivineArms;Gumps=; SerializationRegister=Class=Server.Items.DivineArms;Version=1;Handling=Switch;Alignment=AlignedByCountAndKnownTypes;MoveRisk=NamespaceOrTypeRenameDanger</t>
  </si>
  <si>
    <t>HistoricalFile=Data/Scripts/Items/Magical/Artifacts/Obsolete/Obsolete_DivineArms.cs; Risk=Build;Runtime;Save; POST-BATCH-L is audit-only P2 residual triage. No source, project, XML/config, serialized layout, runtime file location, command name, access level, or region policy changed.</t>
  </si>
  <si>
    <t>RB-05834</t>
  </si>
  <si>
    <t>P10-F05834</t>
  </si>
  <si>
    <t>Data/Scripts/Items/Magical/Artifacts/Obsolete/Obsolete_DivineCountenance.cs</t>
  </si>
  <si>
    <t>PBL-0559</t>
  </si>
  <si>
    <t>CurrentFile=Data/Scripts/Items/Magical/Artifacts/Obsolete/Obsolete_DivineCountenance.cs;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RuntimeInventory=PrimaryRole=Persistence;SecondaryRoles=CombatPolicy;ItemContent;LegacyCompatibility;Commands=;Hooks=;SerializedTypes=class:DivineCountenance;Gumps=; SerializationRegister=Class=Server.Items.DivineCountenance;Version=1;Handling=Switch;Alignment=AlignedByCountAndKnownTypes;MoveRisk=NamespaceOrTypeRenameDanger</t>
  </si>
  <si>
    <t>HistoricalFile=Data/Scripts/Items/Magical/Artifacts/Obsolete/Obsolete_DivineCountenance.cs; Risk=Build;Runtime;Save; POST-BATCH-L is audit-only P2 residual triage. No source, project, XML/config, serialized layout, runtime file location, command name, access level, or region policy changed.</t>
  </si>
  <si>
    <t>RB-05835</t>
  </si>
  <si>
    <t>P10-F05835</t>
  </si>
  <si>
    <t>Data/Scripts/Items/Magical/Artifacts/Obsolete/Obsolete_DivineGloves.cs</t>
  </si>
  <si>
    <t>PBL-0560</t>
  </si>
  <si>
    <t>CurrentFile=Data/Scripts/Items/Magical/Artifacts/Obsolete/Obsolete_DivineGloves.cs;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RuntimeInventory=PrimaryRole=Persistence;SecondaryRoles=CombatPolicy;ItemContent;LegacyCompatibility;Commands=;Hooks=;SerializedTypes=class:DivineGloves;Gumps=; SerializationRegister=Class=Server.Items.DivineGloves;Version=1;Handling=Switch;Alignment=AlignedByCountAndKnownTypes;MoveRisk=NamespaceOrTypeRenameDanger</t>
  </si>
  <si>
    <t>HistoricalFile=Data/Scripts/Items/Magical/Artifacts/Obsolete/Obsolete_DivineGloves.cs; Risk=Build;Runtime;Save; POST-BATCH-L is audit-only P2 residual triage. No source, project, XML/config, serialized layout, runtime file location, command name, access level, or region policy changed.</t>
  </si>
  <si>
    <t>RB-05836</t>
  </si>
  <si>
    <t>P10-F05836</t>
  </si>
  <si>
    <t>Data/Scripts/Items/Magical/Artifacts/Obsolete/Obsolete_DivineGorget.cs</t>
  </si>
  <si>
    <t>PBL-0561</t>
  </si>
  <si>
    <t>CurrentFile=Data/Scripts/Items/Magical/Artifacts/Obsolete/Obsolete_DivineGorget.cs;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RuntimeInventory=PrimaryRole=Persistence;SecondaryRoles=CombatPolicy;ItemContent;LegacyCompatibility;Commands=;Hooks=;SerializedTypes=class:DivineGorget;Gumps=; SerializationRegister=Class=Server.Items.DivineGorget;Version=1;Handling=Switch;Alignment=AlignedByCountAndKnownTypes;MoveRisk=NamespaceOrTypeRenameDanger</t>
  </si>
  <si>
    <t>HistoricalFile=Data/Scripts/Items/Magical/Artifacts/Obsolete/Obsolete_DivineGorget.cs; Risk=Build;Runtime;Save; POST-BATCH-L is audit-only P2 residual triage. No source, project, XML/config, serialized layout, runtime file location, command name, access level, or region policy changed.</t>
  </si>
  <si>
    <t>RB-05837</t>
  </si>
  <si>
    <t>P10-F05837</t>
  </si>
  <si>
    <t>Data/Scripts/Items/Magical/Artifacts/Obsolete/Obsolete_DivineLeggings.cs</t>
  </si>
  <si>
    <t>PBL-0562</t>
  </si>
  <si>
    <t>CurrentFile=Data/Scripts/Items/Magical/Artifacts/Obsolete/Obsolete_DivineLeggings.cs;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RuntimeInventory=PrimaryRole=Persistence;SecondaryRoles=CombatPolicy;ItemContent;LegacyCompatibility;Commands=;Hooks=;SerializedTypes=class:DivineLeggings;Gumps=; SerializationRegister=Class=Server.Items.DivineLeggings;Version=1;Handling=Switch;Alignment=AlignedByCountAndKnownTypes;MoveRisk=NamespaceOrTypeRenameDanger</t>
  </si>
  <si>
    <t>HistoricalFile=Data/Scripts/Items/Magical/Artifacts/Obsolete/Obsolete_DivineLeggings.cs; Risk=Build;Runtime;Save; POST-BATCH-L is audit-only P2 residual triage. No source, project, XML/config, serialized layout, runtime file location, command name, access level, or region policy changed.</t>
  </si>
  <si>
    <t>RB-05838</t>
  </si>
  <si>
    <t>P10-F05838</t>
  </si>
  <si>
    <t>Data/Scripts/Items/Magical/Artifacts/Obsolete/Obsolete_DivineTunic.cs</t>
  </si>
  <si>
    <t>PBL-0563</t>
  </si>
  <si>
    <t>CurrentFile=Data/Scripts/Items/Magical/Artifacts/Obsolete/Obsolete_DivineTunic.cs;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RuntimeInventory=PrimaryRole=Persistence;SecondaryRoles=CombatPolicy;ItemContent;LegacyCompatibility;Commands=;Hooks=;SerializedTypes=class:DivineTunic;Gumps=; SerializationRegister=Class=Server.Items.DivineTunic;Version=1;Handling=Switch;Alignment=AlignedByCountAndKnownTypes;MoveRisk=NamespaceOrTypeRenameDanger</t>
  </si>
  <si>
    <t>HistoricalFile=Data/Scripts/Items/Magical/Artifacts/Obsolete/Obsolete_DivineTunic.cs; Risk=Build;Runtime;Save; POST-BATCH-L is audit-only P2 residual triage. No source, project, XML/config, serialized layout, runtime file location, command name, access level, or region policy changed.</t>
  </si>
  <si>
    <t>RB-05839</t>
  </si>
  <si>
    <t>P10-F05839</t>
  </si>
  <si>
    <t>Data/Scripts/Items/Magical/Artifacts/Obsolete/Obsolete_DjinnisRing.cs</t>
  </si>
  <si>
    <t>PBL-0564</t>
  </si>
  <si>
    <t>CurrentFile=Data/Scripts/Items/Magical/Artifacts/Obsolete/Obsolete_DjinnisRing.cs;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RuntimeInventory=PrimaryRole=Persistence;SecondaryRoles=CombatPolicy;ItemContent;LegacyCompatibility;Commands=;Hooks=;SerializedTypes=class:DjinnisRing;Gumps=; SerializationRegister=Class=Server.Items.DjinnisRing;Version=0;Handling=SingleVersionOnly;Alignment=AlignedByCountAndKnownTypes;MoveRisk=NamespaceOrTypeRenameDanger</t>
  </si>
  <si>
    <t>HistoricalFile=Data/Scripts/Items/Magical/Artifacts/Obsolete/Obsolete_DjinnisRing.cs; Risk=Build;Runtime;Save; POST-BATCH-L is audit-only P2 residual triage. No source, project, XML/config, serialized layout, runtime file location, command name, access level, or region policy changed.</t>
  </si>
  <si>
    <t>RB-05840</t>
  </si>
  <si>
    <t>P10-F05840</t>
  </si>
  <si>
    <t>Data/Scripts/Items/Magical/Artifacts/Obsolete/Obsolete_DragonSlayer.cs</t>
  </si>
  <si>
    <t>PBL-0565</t>
  </si>
  <si>
    <t>CurrentFile=Data/Scripts/Items/Magical/Artifacts/Obsolete/Obsolete_DragonSlayer.cs;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RuntimeInventory=PrimaryRole=Persistence;SecondaryRoles=CombatPolicy;ItemContent;LegacyCompatibility;Commands=;Hooks=;SerializedTypes=class:NordicVikingSword;Gumps=; SerializationRegister=Class=Server.Items.NordicVikingSword;Version=0;Handling=SingleVersionOnly;Alignment=AlignedByCountAndKnownTypes;MoveRisk=NamespaceOrTypeRenameDanger</t>
  </si>
  <si>
    <t>HistoricalFile=Data/Scripts/Items/Magical/Artifacts/Obsolete/Obsolete_DragonSlayer.cs; Risk=Build;Runtime;Save; POST-BATCH-L is audit-only P2 residual triage. No source, project, XML/config, serialized layout, runtime file location, command name, access level, or region policy changed.</t>
  </si>
  <si>
    <t>RB-05841</t>
  </si>
  <si>
    <t>P10-F05841</t>
  </si>
  <si>
    <t>Data/Scripts/Items/Magical/Artifacts/Obsolete/Obsolete_DreadPirateHat.cs</t>
  </si>
  <si>
    <t>PBL-0566</t>
  </si>
  <si>
    <t>CurrentFile=Data/Scripts/Items/Magical/Artifacts/Obsolete/Obsolete_DreadPirateHat.cs;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RuntimeInventory=PrimaryRole=Persistence;SecondaryRoles=CombatPolicy;ItemContent;LegacyCompatibility;Commands=;Hooks=;SerializedTypes=class:DreadPirateHat;Gumps=; SerializationRegister=Class=Server.Items.DreadPirateHat;Version=3;Handling=IfVersionGates;Alignment=AlignedByCountAndKnownTypes;MoveRisk=NamespaceOrTypeRenameDanger</t>
  </si>
  <si>
    <t>HistoricalFile=Data/Scripts/Items/Magical/Artifacts/Obsolete/Obsolete_DreadPirateHat.cs; Risk=Build;Runtime;Save; POST-BATCH-L is audit-only P2 residual triage. No source, project, XML/config, serialized layout, runtime file location, command name, access level, or region policy changed.</t>
  </si>
  <si>
    <t>RB-05842</t>
  </si>
  <si>
    <t>P10-F05842</t>
  </si>
  <si>
    <t>PBL-0567</t>
  </si>
  <si>
    <t>CurrentFile=Data/Scripts/Items/Magical/Artifacts/Obsolete/Obsolete_DupresCollar.cs;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RuntimeInventory=PrimaryRole=Persistence;SecondaryRoles=CombatPolicy;ItemContent;LegacyCompatibility;Commands=;Hooks=;SerializedTypes=class:DupresCollar;Gumps=; SerializationRegister=Class=Server.Items.DupresCollar;Version=1;Handling=SuspiciousOrder;Alignment=AlignedByCountAndKnownTypes;MoveRisk=NamespaceOrTypeRenameDanger</t>
  </si>
  <si>
    <t>HistoricalFile=Data/Scripts/Items/Magical/Artifacts/Obsolete/Obsolete_DupresCollar.cs; Risk=Build;Runtime;Save; POST-BATCH-L is audit-only P2 residual triage. No source, project, XML/config, serialized layout, runtime file location, command name, access level, or region policy changed.</t>
  </si>
  <si>
    <t>RB-05843</t>
  </si>
  <si>
    <t>P10-F05843</t>
  </si>
  <si>
    <t>PBL-0568</t>
  </si>
  <si>
    <t>CurrentFile=Data/Scripts/Items/Magical/Artifacts/Obsolete/Obsolete_DupresShield.cs;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RuntimeInventory=PrimaryRole=Persistence;SecondaryRoles=CombatPolicy;ItemContent;LegacyCompatibility;Commands=;Hooks=;SerializedTypes=class:DupresShield;Gumps=; SerializationRegister=Class=Server.Items.DupresShield;Version=Unknown;Handling=NoVersionFound;Alignment=AlignedByCountAndKnownTypes;MoveRisk=NamespaceOrTypeRenameDanger</t>
  </si>
  <si>
    <t>HistoricalFile=Data/Scripts/Items/Magical/Artifacts/Obsolete/Obsolete_DupresShield.cs; Risk=Build;Runtime;Save; POST-BATCH-L is audit-only P2 residual triage. No source, project, XML/config, serialized layout, runtime file location, command name, access level, or region policy changed.</t>
  </si>
  <si>
    <t>RB-05844</t>
  </si>
  <si>
    <t>P10-F05844</t>
  </si>
  <si>
    <t>Data/Scripts/Items/Magical/Artifacts/Obsolete/Obsolete_EarringsOfHealth.cs</t>
  </si>
  <si>
    <t>PBL-0569</t>
  </si>
  <si>
    <t>CurrentFile=Data/Scripts/Items/Magical/Artifacts/Obsolete/Obsolete_EarringsOfHealth.cs;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RuntimeInventory=PrimaryRole=Persistence;SecondaryRoles=CombatPolicy;ItemContent;LegacyCompatibility;Commands=;Hooks=;SerializedTypes=class:EarringsOfHealth;Gumps=; SerializationRegister=Class=Server.Items.EarringsOfHealth;Version=0;Handling=SingleVersionOnly;Alignment=AlignedByCountAndKnownTypes;MoveRisk=NamespaceOrTypeRenameDanger</t>
  </si>
  <si>
    <t>HistoricalFile=Data/Scripts/Items/Magical/Artifacts/Obsolete/Obsolete_EarringsOfHealth.cs; Risk=Build;Runtime;Save; POST-BATCH-L is audit-only P2 residual triage. No source, project, XML/config, serialized layout, runtime file location, command name, access level, or region policy changed.</t>
  </si>
  <si>
    <t>RB-05845</t>
  </si>
  <si>
    <t>P10-F05845</t>
  </si>
  <si>
    <t>Data/Scripts/Items/Magical/Artifacts/Obsolete/Obsolete_EarringsOfProtection.cs</t>
  </si>
  <si>
    <t>PBL-0570</t>
  </si>
  <si>
    <t>CurrentFile=Data/Scripts/Items/Magical/Artifacts/Obsolete/Obsolete_EarringsOfProtection.cs;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RuntimeInventory=PrimaryRole=Persistence;SecondaryRoles=CombatPolicy;ItemContent;LegacyCompatibility;Commands=;Hooks=;SerializedTypes=class:EarringBoxSet;class:EarringsOfProtection;Gumps=; SerializationRegister=Class=Server.Items.EarringBoxSet;Version=0;Handling=SingleVersionOnly;Alignment=AlignedByCountAndKnownTypes;MoveRisk=NamespaceOrTypeRenameDanger | Class=Server.Items.EarringsOfProtection;Version=0;Handling=SingleVersionOnly;Alignment=AlignedByCountAndKnownTypes;MoveRisk=NamespaceOrTypeRenameDanger</t>
  </si>
  <si>
    <t>HistoricalFile=Data/Scripts/Items/Magical/Artifacts/Obsolete/Obsolete_EarringsOfProtection.cs; Risk=Build;Runtime;Save; POST-BATCH-L is audit-only P2 residual triage. No source, project, XML/config, serialized layout, runtime file location, command name, access level, or region policy changed.</t>
  </si>
  <si>
    <t>RB-05846</t>
  </si>
  <si>
    <t>P10-F05846</t>
  </si>
  <si>
    <t>Data/Scripts/Items/Magical/Artifacts/Obsolete/Obsolete_EarringsOfTheElements.cs</t>
  </si>
  <si>
    <t>PBL-0571</t>
  </si>
  <si>
    <t>CurrentFile=Data/Scripts/Items/Magical/Artifacts/Obsolete/Obsolete_EarringsOfTheElements.cs;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RuntimeInventory=PrimaryRole=Persistence;SecondaryRoles=CombatPolicy;ItemContent;LegacyCompatibility;Commands=;Hooks=;SerializedTypes=class:EarringsOfTheElements;Gumps=; SerializationRegister=Class=Server.Items.EarringsOfTheElements;Version=0;Handling=SingleVersionOnly;Alignment=AlignedByCountAndKnownTypes;MoveRisk=NamespaceOrTypeRenameDanger</t>
  </si>
  <si>
    <t>HistoricalFile=Data/Scripts/Items/Magical/Artifacts/Obsolete/Obsolete_EarringsOfTheElements.cs; Risk=Build;Runtime;Save; POST-BATCH-L is audit-only P2 residual triage. No source, project, XML/config, serialized layout, runtime file location, command name, access level, or region policy changed.</t>
  </si>
  <si>
    <t>RB-05847</t>
  </si>
  <si>
    <t>P10-F05847</t>
  </si>
  <si>
    <t>Data/Scripts/Items/Magical/Artifacts/Obsolete/Obsolete_EarringsOfTheMagician.cs</t>
  </si>
  <si>
    <t>PBL-0572</t>
  </si>
  <si>
    <t>CurrentFile=Data/Scripts/Items/Magical/Artifacts/Obsolete/Obsolete_EarringsOfTheMagician.cs;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RuntimeInventory=PrimaryRole=Persistence;SecondaryRoles=CombatPolicy;ItemContent;LegacyCompatibility;Commands=;Hooks=;SerializedTypes=class:EarringsOfTheMagician;Gumps=; SerializationRegister=Class=Server.Items.EarringsOfTheMagician;Version=0;Handling=SingleVersionOnly;Alignment=AlignedByCountAndKnownTypes;MoveRisk=NamespaceOrTypeRenameDanger</t>
  </si>
  <si>
    <t>HistoricalFile=Data/Scripts/Items/Magical/Artifacts/Obsolete/Obsolete_EarringsOfTheMagician.cs; Risk=Build;Runtime;Save; POST-BATCH-L is audit-only P2 residual triage. No source, project, XML/config, serialized layout, runtime file location, command name, access level, or region policy changed.</t>
  </si>
  <si>
    <t>RB-05848</t>
  </si>
  <si>
    <t>P10-F05848</t>
  </si>
  <si>
    <t>Data/Scripts/Items/Magical/Artifacts/Obsolete/Obsolete_EarringsOfTheVile.cs</t>
  </si>
  <si>
    <t>PBL-0573</t>
  </si>
  <si>
    <t>CurrentFile=Data/Scripts/Items/Magical/Artifacts/Obsolete/Obsolete_EarringsOfTheVile.cs;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RuntimeInventory=PrimaryRole=Persistence;SecondaryRoles=CombatPolicy;ItemContent;LegacyCompatibility;Commands=;Hooks=;SerializedTypes=class:EarringsOfTheVile;Gumps=; SerializationRegister=Class=Server.Items.EarringsOfTheVile;Version=0;Handling=SingleVersionOnly;Alignment=AlignedByCountAndKnownTypes;MoveRisk=NamespaceOrTypeRenameDanger</t>
  </si>
  <si>
    <t>HistoricalFile=Data/Scripts/Items/Magical/Artifacts/Obsolete/Obsolete_EarringsOfTheVile.cs; Risk=Build;Runtime;Save; POST-BATCH-L is audit-only P2 residual triage. No source, project, XML/config, serialized layout, runtime file location, command name, access level, or region policy changed.</t>
  </si>
  <si>
    <t>RB-05849</t>
  </si>
  <si>
    <t>P10-F05849</t>
  </si>
  <si>
    <t>Data/Scripts/Items/Magical/Artifacts/Obsolete/Obsolete_EmbroideredOakLeafCloak.cs</t>
  </si>
  <si>
    <t>PBL-0574</t>
  </si>
  <si>
    <t>CurrentFile=Data/Scripts/Items/Magical/Artifacts/Obsolete/Obsolete_EmbroideredOakLeafCloak.cs;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RuntimeInventory=PrimaryRole=Persistence;SecondaryRoles=CombatPolicy;ItemContent;LegacyCompatibility;Commands=;Hooks=;SerializedTypes=class:EmbroideredOakLeafCloak;Gumps=; SerializationRegister=Class=Server.Items.EmbroideredOakLeafCloak;Version=0;Handling=SingleVersionOnly;Alignment=AlignedByCountAndKnownTypes;MoveRisk=NamespaceOrTypeRenameDanger</t>
  </si>
  <si>
    <t>HistoricalFile=Data/Scripts/Items/Magical/Artifacts/Obsolete/Obsolete_EmbroideredOakLeafCloak.cs; Risk=Build;Runtime;Save; POST-BATCH-L is audit-only P2 residual triage. No source, project, XML/config, serialized layout, runtime file location, command name, access level, or region policy changed.</t>
  </si>
  <si>
    <t>RB-05850</t>
  </si>
  <si>
    <t>P10-F05850</t>
  </si>
  <si>
    <t>Data/Scripts/Items/Magical/Artifacts/Obsolete/Obsolete_EnchantedTitanLegBone.cs</t>
  </si>
  <si>
    <t>PBL-0575</t>
  </si>
  <si>
    <t>CurrentFile=Data/Scripts/Items/Magical/Artifacts/Obsolete/Obsolete_EnchantedTitanLegBone.cs;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RuntimeInventory=PrimaryRole=Persistence;SecondaryRoles=CombatPolicy;ItemContent;LegacyCompatibility;Commands=;Hooks=;SerializedTypes=class:EnchantedTitanLegBone;Gumps=; SerializationRegister=Class=Server.Items.EnchantedTitanLegBone;Version=0;Handling=SingleVersionOnly;Alignment=AlignedByCountAndKnownTypes;MoveRisk=NamespaceOrTypeRenameDanger</t>
  </si>
  <si>
    <t>HistoricalFile=Data/Scripts/Items/Magical/Artifacts/Obsolete/Obsolete_EnchantedTitanLegBone.cs; Risk=Build;Runtime;Save; POST-BATCH-L is audit-only P2 residual triage. No source, project, XML/config, serialized layout, runtime file location, command name, access level, or region policy changed.</t>
  </si>
  <si>
    <t>RB-05851</t>
  </si>
  <si>
    <t>P10-F05851</t>
  </si>
  <si>
    <t>PBL-0576</t>
  </si>
  <si>
    <t>CurrentFile=Data/Scripts/Items/Magical/Artifacts/Obsolete/Obsolete_EssenceOfBattle.cs;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RuntimeInventory=PrimaryRole=Persistence;SecondaryRoles=CombatPolicy;ItemContent;LegacyCompatibility;Commands=;Hooks=;SerializedTypes=class:EssenceOfBattle;Gumps=; SerializationRegister=Class=Server.Items.EssenceOfBattle;Version=Unknown;Handling=NoVersionFound;Alignment=AlignedByCountAndKnownTypes;MoveRisk=NamespaceOrTypeRenameDanger</t>
  </si>
  <si>
    <t>HistoricalFile=Data/Scripts/Items/Magical/Artifacts/Obsolete/Obsolete_EssenceOfBattle.cs; Risk=Build;Runtime;Save; POST-BATCH-L is audit-only P2 residual triage. No source, project, XML/config, serialized layout, runtime file location, command name, access level, or region policy changed.</t>
  </si>
  <si>
    <t>RB-05852</t>
  </si>
  <si>
    <t>P10-F05852</t>
  </si>
  <si>
    <t>Data/Scripts/Items/Magical/Artifacts/Obsolete/Obsolete_EternalFlame.cs</t>
  </si>
  <si>
    <t>PBL-0577</t>
  </si>
  <si>
    <t>CurrentFile=Data/Scripts/Items/Magical/Artifacts/Obsolete/Obsolete_EternalFlame.cs;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RuntimeInventory=PrimaryRole=Persistence;SecondaryRoles=CombatPolicy;ItemContent;LegacyCompatibility;Commands=;Hooks=;SerializedTypes=class:EternalFlame;Gumps=; SerializationRegister=Class=Server.Items.EternalFlame;Version=0;Handling=SingleVersionOnly;Alignment=AlignedByCountAndKnownTypes;MoveRisk=NamespaceOrTypeRenameDanger</t>
  </si>
  <si>
    <t>HistoricalFile=Data/Scripts/Items/Magical/Artifacts/Obsolete/Obsolete_EternalFlame.cs; Risk=Build;Runtime;Save; POST-BATCH-L is audit-only P2 residual triage. No source, project, XML/config, serialized layout, runtime file location, command name, access level, or region policy changed.</t>
  </si>
  <si>
    <t>RB-05853</t>
  </si>
  <si>
    <t>P10-F05853</t>
  </si>
  <si>
    <t>Data/Scripts/Items/Magical/Artifacts/Obsolete/Obsolete_EvilMageGloves.cs</t>
  </si>
  <si>
    <t>PBL-0578</t>
  </si>
  <si>
    <t>CurrentFile=Data/Scripts/Items/Magical/Artifacts/Obsolete/Obsolete_EvilMageGloves.cs;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RuntimeInventory=PrimaryRole=Persistence;SecondaryRoles=CombatPolicy;ItemContent;LegacyCompatibility;Commands=;Hooks=;SerializedTypes=class:EvilMageGloves;Gumps=; SerializationRegister=Class=Server.Items.EvilMageGloves;Version=0;Handling=SingleVersionOnly;Alignment=AlignedByCountAndKnownTypes;MoveRisk=NamespaceOrTypeRenameDanger</t>
  </si>
  <si>
    <t>HistoricalFile=Data/Scripts/Items/Magical/Artifacts/Obsolete/Obsolete_EvilMageGloves.cs; Risk=Build;Runtime;Save; POST-BATCH-L is audit-only P2 residual triage. No source, project, XML/config, serialized layout, runtime file location, command name, access level, or region policy changed.</t>
  </si>
  <si>
    <t>RB-05854</t>
  </si>
  <si>
    <t>P10-F05854</t>
  </si>
  <si>
    <t>Data/Scripts/Items/Magical/Artifacts/Obsolete/Obsolete_Excalibur.cs</t>
  </si>
  <si>
    <t>PBL-0579</t>
  </si>
  <si>
    <t>CurrentFile=Data/Scripts/Items/Magical/Artifacts/Obsolete/Obsolete_Excalibur.cs;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RuntimeInventory=PrimaryRole=Persistence;SecondaryRoles=CombatPolicy;ItemContent;LegacyCompatibility;Commands=;Hooks=;SerializedTypes=class:Excalibur;Gumps=; SerializationRegister=Class=Server.Items.Excalibur;Version=0;Handling=SingleVersionOnly;Alignment=AlignedByCountAndKnownTypes;MoveRisk=NamespaceOrTypeRenameDanger</t>
  </si>
  <si>
    <t>HistoricalFile=Data/Scripts/Items/Magical/Artifacts/Obsolete/Obsolete_Excalibur.cs; Risk=Build;Runtime;Save; POST-BATCH-L is audit-only P2 residual triage. No source, project, XML/config, serialized layout, runtime file location, command name, access level, or region policy changed.</t>
  </si>
  <si>
    <t>RB-05855</t>
  </si>
  <si>
    <t>P10-F05855</t>
  </si>
  <si>
    <t>Data/Scripts/Items/Magical/Artifacts/Obsolete/Obsolete_FalseGodsScepter.cs</t>
  </si>
  <si>
    <t>PBL-0580</t>
  </si>
  <si>
    <t>CurrentFile=Data/Scripts/Items/Magical/Artifacts/Obsolete/Obsolete_FalseGodsScepter.cs;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RuntimeInventory=PrimaryRole=Persistence;SecondaryRoles=CombatPolicy;ItemContent;LegacyCompatibility;Commands=;Hooks=;SerializedTypes=class:FalseGodsScepter;Gumps=; SerializationRegister=Class=Server.Items.FalseGodsScepter;Version=0;Handling=SingleVersionOnly;Alignment=AlignedByCountAndKnownTypes;MoveRisk=NamespaceOrTypeRenameDanger</t>
  </si>
  <si>
    <t>HistoricalFile=Data/Scripts/Items/Magical/Artifacts/Obsolete/Obsolete_FalseGodsScepter.cs; Risk=Build;Runtime;Save; POST-BATCH-L is audit-only P2 residual triage. No source, project, XML/config, serialized layout, runtime file location, command name, access level, or region policy changed.</t>
  </si>
  <si>
    <t>RB-05856</t>
  </si>
  <si>
    <t>P10-F05856</t>
  </si>
  <si>
    <t>Data/Scripts/Items/Magical/Artifacts/Obsolete/Obsolete_FangOfRactus.cs</t>
  </si>
  <si>
    <t>PBL-0581</t>
  </si>
  <si>
    <t>CurrentFile=Data/Scripts/Items/Magical/Artifacts/Obsolete/Obsolete_FangOfRactus.cs;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RuntimeInventory=PrimaryRole=Persistence;SecondaryRoles=CombatPolicy;ItemContent;LegacyCompatibility;Commands=;Hooks=;SerializedTypes=class:FangOfRactus;Gumps=; SerializationRegister=Class=Server.Items.FangOfRactus;Version=0;Handling=SingleVersionOnly;Alignment=AlignedByCountAndKnownTypes;MoveRisk=NamespaceOrTypeRenameDanger</t>
  </si>
  <si>
    <t>HistoricalFile=Data/Scripts/Items/Magical/Artifacts/Obsolete/Obsolete_FangOfRactus.cs; Risk=Build;Runtime;Save; POST-BATCH-L is audit-only P2 residual triage. No source, project, XML/config, serialized layout, runtime file location, command name, access level, or region policy changed.</t>
  </si>
  <si>
    <t>RB-05857</t>
  </si>
  <si>
    <t>P10-F05857</t>
  </si>
  <si>
    <t>Data/Scripts/Items/Magical/Artifacts/Obsolete/Obsolete_FesteringWound.cs</t>
  </si>
  <si>
    <t>PBL-0582</t>
  </si>
  <si>
    <t>CurrentFile=Data/Scripts/Items/Magical/Artifacts/Obsolete/Obsolete_FesteringWound.cs;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RuntimeInventory=PrimaryRole=Persistence;SecondaryRoles=CombatPolicy;ItemContent;LegacyCompatibility;Commands=;Hooks=;SerializedTypes=class:FesteringWound;Gumps=; SerializationRegister=Class=Server.Items.FesteringWound;Version=0;Handling=SingleVersionOnly;Alignment=AlignedByCountAndKnownTypes;MoveRisk=NamespaceOrTypeRenameDanger</t>
  </si>
  <si>
    <t>HistoricalFile=Data/Scripts/Items/Magical/Artifacts/Obsolete/Obsolete_FesteringWound.cs; Risk=Build;Runtime;Save; POST-BATCH-L is audit-only P2 residual triage. No source, project, XML/config, serialized layout, runtime file location, command name, access level, or region policy changed.</t>
  </si>
  <si>
    <t>RB-05858</t>
  </si>
  <si>
    <t>P10-F05858</t>
  </si>
  <si>
    <t>PBL-0583</t>
  </si>
  <si>
    <t>CurrentFile=Data/Scripts/Items/Magical/Artifacts/Obsolete/Obsolete_FeyLeggings.cs;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RuntimeInventory=PrimaryRole=Persistence;SecondaryRoles=CombatPolicy;ItemContent;LegacyCompatibility;Commands=;Hooks=;SerializedTypes=class:FeyLeggings;Gumps=; SerializationRegister=Class=Server.Items.FeyLeggings;Version=Unknown;Handling=NoVersionFound;Alignment=AlignedByCountAndKnownTypes;MoveRisk=NamespaceOrTypeRenameDanger</t>
  </si>
  <si>
    <t>HistoricalFile=Data/Scripts/Items/Magical/Artifacts/Obsolete/Obsolete_FeyLeggings.cs; Risk=Build;Runtime;Save; POST-BATCH-L is audit-only P2 residual triage. No source, project, XML/config, serialized layout, runtime file location, command name, access level, or region policy changed.</t>
  </si>
  <si>
    <t>RB-05859</t>
  </si>
  <si>
    <t>P10-F05859</t>
  </si>
  <si>
    <t>PBL-0584</t>
  </si>
  <si>
    <t>CurrentFile=Data/Scripts/Items/Magical/Artifacts/Obsolete/Obsolete_FleshRipper.cs;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RuntimeInventory=PrimaryRole=Persistence;SecondaryRoles=CombatPolicy;ItemContent;LegacyCompatibility;Commands=;Hooks=;SerializedTypes=class:FleshRipper;Gumps=; SerializationRegister=Class=Server.Items.FleshRipper;Version=Unknown;Handling=NoVersionFound;Alignment=AlignedByCountAndKnownTypes;MoveRisk=NamespaceOrTypeRenameDanger</t>
  </si>
  <si>
    <t>HistoricalFile=Data/Scripts/Items/Magical/Artifacts/Obsolete/Obsolete_FleshRipper.cs; Risk=Build;Runtime;Save; POST-BATCH-L is audit-only P2 residual triage. No source, project, XML/config, serialized layout, runtime file location, command name, access level, or region policy changed.</t>
  </si>
  <si>
    <t>RB-05860</t>
  </si>
  <si>
    <t>P10-F05860</t>
  </si>
  <si>
    <t>Data/Scripts/Items/Magical/Artifacts/Obsolete/Obsolete_FortifiedArms.cs</t>
  </si>
  <si>
    <t>PBL-0585</t>
  </si>
  <si>
    <t>CurrentFile=Data/Scripts/Items/Magical/Artifacts/Obsolete/Obsolete_FortifiedArms.cs;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RuntimeInventory=PrimaryRole=Persistence;SecondaryRoles=CombatPolicy;ItemContent;LegacyCompatibility;Commands=;Hooks=;SerializedTypes=class:Fortifiedarms;Gumps=; SerializationRegister=Class=Server.Items.Fortifiedarms;Version=0;Handling=SingleVersionOnly;Alignment=AlignedByCountAndKnownTypes;MoveRisk=NamespaceOrTypeRenameDanger</t>
  </si>
  <si>
    <t>HistoricalFile=Data/Scripts/Items/Magical/Artifacts/Obsolete/Obsolete_FortifiedArms.cs; Risk=Build;Runtime;Save; POST-BATCH-L is audit-only P2 residual triage. No source, project, XML/config, serialized layout, runtime file location, command name, access level, or region policy changed.</t>
  </si>
  <si>
    <t>RB-05861</t>
  </si>
  <si>
    <t>P10-F05861</t>
  </si>
  <si>
    <t>Data/Scripts/Items/Magical/Artifacts/Obsolete/Obsolete_FortunateBlades.cs</t>
  </si>
  <si>
    <t>PBL-0586</t>
  </si>
  <si>
    <t>CurrentFile=Data/Scripts/Items/Magical/Artifacts/Obsolete/Obsolete_FortunateBlades.cs;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RuntimeInventory=PrimaryRole=Persistence;SecondaryRoles=CombatPolicy;ItemContent;LegacyCompatibility;Commands=;Hooks=;SerializedTypes=class:FortunateBlades;Gumps=; SerializationRegister=Class=Server.Items.FortunateBlades;Version=0;Handling=SingleVersionOnly;Alignment=AlignedByCountAndKnownTypes;MoveRisk=NamespaceOrTypeRenameDanger</t>
  </si>
  <si>
    <t>HistoricalFile=Data/Scripts/Items/Magical/Artifacts/Obsolete/Obsolete_FortunateBlades.cs; Risk=Build;Runtime;Save; POST-BATCH-L is audit-only P2 residual triage. No source, project, XML/config, serialized layout, runtime file location, command name, access level, or region policy changed.</t>
  </si>
  <si>
    <t>RB-05862</t>
  </si>
  <si>
    <t>P10-F05862</t>
  </si>
  <si>
    <t>Data/Scripts/Items/Magical/Artifacts/Obsolete/Obsolete_Frostbringer.cs</t>
  </si>
  <si>
    <t>PBL-0587</t>
  </si>
  <si>
    <t>CurrentFile=Data/Scripts/Items/Magical/Artifacts/Obsolete/Obsolete_Frostbringer.cs;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RuntimeInventory=PrimaryRole=Persistence;SecondaryRoles=CombatPolicy;ItemContent;LegacyCompatibility;Commands=;Hooks=;SerializedTypes=class:Frostbringer;Gumps=; SerializationRegister=Class=Server.Items.Frostbringer;Version=0;Handling=SingleVersionOnly;Alignment=AlignedByCountAndKnownTypes;MoveRisk=NamespaceOrTypeRenameDanger</t>
  </si>
  <si>
    <t>HistoricalFile=Data/Scripts/Items/Magical/Artifacts/Obsolete/Obsolete_Frostbringer.cs; Risk=Build;Runtime;Save; POST-BATCH-L is audit-only P2 residual triage. No source, project, XML/config, serialized layout, runtime file location, command name, access level, or region policy changed.</t>
  </si>
  <si>
    <t>RB-05863</t>
  </si>
  <si>
    <t>P10-F05863</t>
  </si>
  <si>
    <t>Data/Scripts/Items/Magical/Artifacts/Obsolete/Obsolete_FurCapeOfTheSorceress.cs</t>
  </si>
  <si>
    <t>PBL-0588</t>
  </si>
  <si>
    <t>CurrentFile=Data/Scripts/Items/Magical/Artifacts/Obsolete/Obsolete_FurCapeOfTheSorceress.cs;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RuntimeInventory=PrimaryRole=Persistence;SecondaryRoles=CombatPolicy;ItemContent;LegacyCompatibility;Commands=;Hooks=;SerializedTypes=class:FurCapeOfTheSorceress;Gumps=; SerializationRegister=Class=Server.Items.FurCapeOfTheSorceress;Version=0;Handling=SingleVersionOnly;Alignment=AlignedByCountAndKnownTypes;MoveRisk=NamespaceOrTypeRenameDanger</t>
  </si>
  <si>
    <t>HistoricalFile=Data/Scripts/Items/Magical/Artifacts/Obsolete/Obsolete_FurCapeOfTheSorceress.cs; Risk=Build;Runtime;Save; POST-BATCH-L is audit-only P2 residual triage. No source, project, XML/config, serialized layout, runtime file location, command name, access level, or region policy changed.</t>
  </si>
  <si>
    <t>RB-05864</t>
  </si>
  <si>
    <t>P10-F05864</t>
  </si>
  <si>
    <t>Data/Scripts/Items/Magical/Artifacts/Obsolete/Obsolete_Fury.cs</t>
  </si>
  <si>
    <t>PBL-0589</t>
  </si>
  <si>
    <t>CurrentFile=Data/Scripts/Items/Magical/Artifacts/Obsolete/Obsolete_Fury.cs;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RuntimeInventory=PrimaryRole=Persistence;SecondaryRoles=CombatPolicy;ItemContent;LegacyCompatibility;Commands=;Hooks=;SerializedTypes=class:Fury;Gumps=; SerializationRegister=Class=Server.Items.Fury;Version=0;Handling=SingleVersionOnly;Alignment=AlignedByCountAndKnownTypes;MoveRisk=NamespaceOrTypeRenameDanger</t>
  </si>
  <si>
    <t>HistoricalFile=Data/Scripts/Items/Magical/Artifacts/Obsolete/Obsolete_Fury.cs; Risk=Build;Runtime;Save; POST-BATCH-L is audit-only P2 residual triage. No source, project, XML/config, serialized layout, runtime file location, command name, access level, or region policy changed.</t>
  </si>
  <si>
    <t>RB-05865</t>
  </si>
  <si>
    <t>P10-F05865</t>
  </si>
  <si>
    <t>Data/Scripts/Items/Magical/Artifacts/Obsolete/Obsolete_GandalfsHat.cs</t>
  </si>
  <si>
    <t>PBL-0590</t>
  </si>
  <si>
    <t>CurrentFile=Data/Scripts/Items/Magical/Artifacts/Obsolete/Obsolete_GandalfsHat.cs;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RuntimeInventory=PrimaryRole=Persistence;SecondaryRoles=CombatPolicy;ItemContent;LegacyCompatibility;Commands=;Hooks=;SerializedTypes=class:GandalfsHat;Gumps=; SerializationRegister=Class=Server.Items.GandalfsHat;Version=0;Handling=SingleVersionOnly;Alignment=AlignedByCountAndKnownTypes;MoveRisk=NamespaceOrTypeRenameDanger</t>
  </si>
  <si>
    <t>HistoricalFile=Data/Scripts/Items/Magical/Artifacts/Obsolete/Obsolete_GandalfsHat.cs; Risk=Build;Runtime;Save; POST-BATCH-L is audit-only P2 residual triage. No source, project, XML/config, serialized layout, runtime file location, command name, access level, or region policy changed.</t>
  </si>
  <si>
    <t>RB-05866</t>
  </si>
  <si>
    <t>P10-F05866</t>
  </si>
  <si>
    <t>Data/Scripts/Items/Magical/Artifacts/Obsolete/Obsolete_GandalfsRobe.cs</t>
  </si>
  <si>
    <t>PBL-0591</t>
  </si>
  <si>
    <t>CurrentFile=Data/Scripts/Items/Magical/Artifacts/Obsolete/Obsolete_GandalfsRobe.cs;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RuntimeInventory=PrimaryRole=Persistence;SecondaryRoles=CombatPolicy;ItemContent;LegacyCompatibility;Commands=;Hooks=;SerializedTypes=class:GandalfsRobe;Gumps=; SerializationRegister=Class=Server.Items.GandalfsRobe;Version=0;Handling=SingleVersionOnly;Alignment=AlignedByCountAndKnownTypes;MoveRisk=NamespaceOrTypeRenameDanger</t>
  </si>
  <si>
    <t>HistoricalFile=Data/Scripts/Items/Magical/Artifacts/Obsolete/Obsolete_GandalfsRobe.cs; Risk=Build;Runtime;Save; POST-BATCH-L is audit-only P2 residual triage. No source, project, XML/config, serialized layout, runtime file location, command name, access level, or region policy changed.</t>
  </si>
  <si>
    <t>RB-05867</t>
  </si>
  <si>
    <t>P10-F05867</t>
  </si>
  <si>
    <t>Data/Scripts/Items/Magical/Artifacts/Obsolete/Obsolete_GandalfsStaff.cs</t>
  </si>
  <si>
    <t>PBL-0592</t>
  </si>
  <si>
    <t>CurrentFile=Data/Scripts/Items/Magical/Artifacts/Obsolete/Obsolete_GandalfsStaff.cs;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RuntimeInventory=PrimaryRole=Persistence;SecondaryRoles=CombatPolicy;StaffTooling;ItemContent;LegacyCompatibility;Commands=;Hooks=;SerializedTypes=class:GandalfsStaff;Gumps=; SerializationRegister=Class=Server.Items.GandalfsStaff;Version=0;Handling=SingleVersionOnly;Alignment=AlignedByCountAndKnownTypes;MoveRisk=NamespaceOrTypeRenameDanger</t>
  </si>
  <si>
    <t>HistoricalFile=Data/Scripts/Items/Magical/Artifacts/Obsolete/Obsolete_GandalfsStaff.cs; Risk=Build;Runtime;Save; POST-BATCH-L is audit-only P2 residual triage. No source, project, XML/config, serialized layout, runtime file location, command name, access level, or region policy changed.</t>
  </si>
  <si>
    <t>RB-05868</t>
  </si>
  <si>
    <t>P10-F05868</t>
  </si>
  <si>
    <t>Data/Scripts/Items/Magical/Artifacts/Obsolete/Obsolete_GauntletsOfNobility.cs</t>
  </si>
  <si>
    <t>PBL-0593</t>
  </si>
  <si>
    <t>CurrentFile=Data/Scripts/Items/Magical/Artifacts/Obsolete/Obsolete_GauntletsOfNobility.cs;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RuntimeInventory=PrimaryRole=Persistence;SecondaryRoles=CombatPolicy;ItemContent;LegacyCompatibility;Commands=;Hooks=;SerializedTypes=class:GauntletsOfNobility;Gumps=; SerializationRegister=Class=Server.Items.GauntletsOfNobility;Version=1;Handling=IfVersionGates;Alignment=AlignedByCountAndKnownTypes;MoveRisk=NamespaceOrTypeRenameDanger</t>
  </si>
  <si>
    <t>HistoricalFile=Data/Scripts/Items/Magical/Artifacts/Obsolete/Obsolete_GauntletsOfNobility.cs; Risk=Build;Runtime;Save; POST-BATCH-L is audit-only P2 residual triage. No source, project, XML/config, serialized layout, runtime file location, command name, access level, or region policy changed.</t>
  </si>
  <si>
    <t>RB-05869</t>
  </si>
  <si>
    <t>P10-F05869</t>
  </si>
  <si>
    <t>Data/Scripts/Items/Magical/Artifacts/Obsolete/Obsolete_GeishasObi.cs</t>
  </si>
  <si>
    <t>PBL-0594</t>
  </si>
  <si>
    <t>CurrentFile=Data/Scripts/Items/Magical/Artifacts/Obsolete/Obsolete_GeishasObi.cs;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RuntimeInventory=PrimaryRole=Persistence;SecondaryRoles=CombatPolicy;ItemContent;LegacyCompatibility;Commands=;Hooks=;SerializedTypes=class:GeishasObi;Gumps=; SerializationRegister=Class=Server.Items.GeishasObi;Version=0;Handling=SingleVersionOnly;Alignment=AlignedByCountAndKnownTypes;MoveRisk=NamespaceOrTypeRenameDanger</t>
  </si>
  <si>
    <t>HistoricalFile=Data/Scripts/Items/Magical/Artifacts/Obsolete/Obsolete_GeishasObi.cs; Risk=Build;Runtime;Save; POST-BATCH-L is audit-only P2 residual triage. No source, project, XML/config, serialized layout, runtime file location, command name, access level, or region policy changed.</t>
  </si>
  <si>
    <t>RB-05870</t>
  </si>
  <si>
    <t>P10-F05870</t>
  </si>
  <si>
    <t>Data/Scripts/Items/Magical/Artifacts/Obsolete/Obsolete_GiantBlackjack.cs</t>
  </si>
  <si>
    <t>PBL-0595</t>
  </si>
  <si>
    <t>CurrentFile=Data/Scripts/Items/Magical/Artifacts/Obsolete/Obsolete_GiantBlackjack.cs;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RuntimeInventory=PrimaryRole=Persistence;SecondaryRoles=CombatPolicy;ItemContent;LegacyCompatibility;Commands=;Hooks=;SerializedTypes=class:GiantBlackjack;Gumps=; SerializationRegister=Class=Server.Items.GiantBlackjack;Version=0;Handling=SingleVersionOnly;Alignment=AlignedByCountAndKnownTypes;MoveRisk=NamespaceOrTypeRenameDanger</t>
  </si>
  <si>
    <t>HistoricalFile=Data/Scripts/Items/Magical/Artifacts/Obsolete/Obsolete_GiantBlackjack.cs; Risk=Build;Runtime;Save; POST-BATCH-L is audit-only P2 residual triage. No source, project, XML/config, serialized layout, runtime file location, command name, access level, or region policy changed.</t>
  </si>
  <si>
    <t>RB-05871</t>
  </si>
  <si>
    <t>P10-F05871</t>
  </si>
  <si>
    <t>Data/Scripts/Items/Magical/Artifacts/Obsolete/Obsolete_GladiatorsCollar.cs</t>
  </si>
  <si>
    <t>PBL-0596</t>
  </si>
  <si>
    <t>CurrentFile=Data/Scripts/Items/Magical/Artifacts/Obsolete/Obsolete_GladiatorsCollar.cs;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RuntimeInventory=PrimaryRole=Persistence;SecondaryRoles=CombatPolicy;ItemContent;LegacyCompatibility;Commands=;Hooks=;SerializedTypes=class:GladiatorsCollar;Gumps=; SerializationRegister=Class=Server.Items.GladiatorsCollar;Version=0;Handling=SingleVersionOnly;Alignment=AlignedByCountAndKnownTypes;MoveRisk=NamespaceOrTypeRenameDanger</t>
  </si>
  <si>
    <t>HistoricalFile=Data/Scripts/Items/Magical/Artifacts/Obsolete/Obsolete_GladiatorsCollar.cs; Risk=Build;Runtime;Save; POST-BATCH-L is audit-only P2 residual triage. No source, project, XML/config, serialized layout, runtime file location, command name, access level, or region policy changed.</t>
  </si>
  <si>
    <t>RB-05872</t>
  </si>
  <si>
    <t>P10-F05872</t>
  </si>
  <si>
    <t>Data/Scripts/Items/Magical/Artifacts/Obsolete/Obsolete_GlassSword.cs</t>
  </si>
  <si>
    <t>PBL-0597</t>
  </si>
  <si>
    <t>CurrentFile=Data/Scripts/Items/Magical/Artifacts/Obsolete/Obsolete_GlassSword.cs;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RuntimeInventory=PrimaryRole=Persistence;SecondaryRoles=CombatPolicy;ItemContent;LegacyCompatibility;Commands=;Hooks=;SerializedTypes=class:GlassSword;Gumps=; SerializationRegister=Class=Server.Items.GlassSword;Version=0;Handling=SingleVersionOnly;Alignment=AlignedByCountAndKnownTypes;MoveRisk=NamespaceOrTypeRenameDanger</t>
  </si>
  <si>
    <t>HistoricalFile=Data/Scripts/Items/Magical/Artifacts/Obsolete/Obsolete_GlassSword.cs; Risk=Build;Runtime;Save; POST-BATCH-L is audit-only P2 residual triage. No source, project, XML/config, serialized layout, runtime file location, command name, access level, or region policy changed.</t>
  </si>
  <si>
    <t>RB-05873</t>
  </si>
  <si>
    <t>P10-F05873</t>
  </si>
  <si>
    <t>Data/Scripts/Items/Magical/Artifacts/Obsolete/Obsolete_GlovesOfAegis.cs</t>
  </si>
  <si>
    <t>PBL-0598</t>
  </si>
  <si>
    <t>CurrentFile=Data/Scripts/Items/Magical/Artifacts/Obsolete/Obsolete_GlovesOfAegis.cs;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RuntimeInventory=PrimaryRole=Persistence;SecondaryRoles=CombatPolicy;ItemContent;LegacyCompatibility;Commands=;Hooks=;SerializedTypes=class:GlovesOfAegis;Gumps=; SerializationRegister=Class=Server.Items.GlovesOfAegis;Version=1;Handling=IfVersionGates;Alignment=AlignedByCountAndKnownTypes;MoveRisk=NamespaceOrTypeRenameDanger</t>
  </si>
  <si>
    <t>HistoricalFile=Data/Scripts/Items/Magical/Artifacts/Obsolete/Obsolete_GlovesOfAegis.cs; Risk=Build;Runtime;Save; POST-BATCH-L is audit-only P2 residual triage. No source, project, XML/config, serialized layout, runtime file location, command name, access level, or region policy changed.</t>
  </si>
  <si>
    <t>RB-05874</t>
  </si>
  <si>
    <t>P10-F05874</t>
  </si>
  <si>
    <t>Data/Scripts/Items/Magical/Artifacts/Obsolete/Obsolete_GlovesOfCorruption.cs</t>
  </si>
  <si>
    <t>PBL-0599</t>
  </si>
  <si>
    <t>CurrentFile=Data/Scripts/Items/Magical/Artifacts/Obsolete/Obsolete_GlovesOfCorruption.cs;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RuntimeInventory=PrimaryRole=Persistence;SecondaryRoles=CombatPolicy;ItemContent;LegacyCompatibility;Commands=;Hooks=;SerializedTypes=class:GlovesOfCorruption;Gumps=; SerializationRegister=Class=Server.Items.GlovesOfCorruption;Version=0;Handling=SingleVersionOnly;Alignment=AlignedByCountAndKnownTypes;MoveRisk=NamespaceOrTypeRenameDanger</t>
  </si>
  <si>
    <t>HistoricalFile=Data/Scripts/Items/Magical/Artifacts/Obsolete/Obsolete_GlovesOfCorruption.cs; Risk=Build;Runtime;Save; POST-BATCH-L is audit-only P2 residual triage. No source, project, XML/config, serialized layout, runtime file location, command name, access level, or region policy changed.</t>
  </si>
  <si>
    <t>RB-05875</t>
  </si>
  <si>
    <t>P10-F05875</t>
  </si>
  <si>
    <t>Data/Scripts/Items/Magical/Artifacts/Obsolete/Obsolete_GlovesOfDexterity.cs</t>
  </si>
  <si>
    <t>PBL-0600</t>
  </si>
  <si>
    <t>CurrentFile=Data/Scripts/Items/Magical/Artifacts/Obsolete/Obsolete_GlovesOfDexterity.cs;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RuntimeInventory=PrimaryRole=Persistence;SecondaryRoles=CombatPolicy;ItemContent;LegacyCompatibility;Commands=;Hooks=;SerializedTypes=class:GlovesOfDexterity;Gumps=; SerializationRegister=Class=Server.Items.GlovesOfDexterity;Version=0;Handling=SingleVersionOnly;Alignment=AlignedByCountAndKnownTypes;MoveRisk=NamespaceOrTypeRenameDanger</t>
  </si>
  <si>
    <t>HistoricalFile=Data/Scripts/Items/Magical/Artifacts/Obsolete/Obsolete_GlovesOfDexterity.cs; Risk=Build;Runtime;Save; POST-BATCH-L is audit-only P2 residual triage. No source, project, XML/config, serialized layout, runtime file location, command name, access level, or region policy changed.</t>
  </si>
  <si>
    <t>RB-05876</t>
  </si>
  <si>
    <t>P10-F05876</t>
  </si>
  <si>
    <t>Data/Scripts/Items/Magical/Artifacts/Obsolete/Obsolete_GlovesOfFortune.cs</t>
  </si>
  <si>
    <t>PBL-0601</t>
  </si>
  <si>
    <t>CurrentFile=Data/Scripts/Items/Magical/Artifacts/Obsolete/Obsolete_GlovesOfFortune.cs;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RuntimeInventory=PrimaryRole=Persistence;SecondaryRoles=CombatPolicy;ItemContent;LegacyCompatibility;Commands=;Hooks=;SerializedTypes=class:GlovesOfFortune;Gumps=; SerializationRegister=Class=Server.Items.GlovesOfFortune;Version=0;Handling=SingleVersionOnly;Alignment=AlignedByCountAndKnownTypes;MoveRisk=NamespaceOrTypeRenameDanger</t>
  </si>
  <si>
    <t>HistoricalFile=Data/Scripts/Items/Magical/Artifacts/Obsolete/Obsolete_GlovesOfFortune.cs; Risk=Build;Runtime;Save; POST-BATCH-L is audit-only P2 residual triage. No source, project, XML/config, serialized layout, runtime file location, command name, access level, or region policy changed.</t>
  </si>
  <si>
    <t>RB-05877</t>
  </si>
  <si>
    <t>P10-F05877</t>
  </si>
  <si>
    <t>Data/Scripts/Items/Magical/Artifacts/Obsolete/Obsolete_GlovesOfInsight.cs</t>
  </si>
  <si>
    <t>PBL-0602</t>
  </si>
  <si>
    <t>CurrentFile=Data/Scripts/Items/Magical/Artifacts/Obsolete/Obsolete_GlovesOfInsight.cs;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RuntimeInventory=PrimaryRole=Persistence;SecondaryRoles=CombatPolicy;ItemContent;LegacyCompatibility;Commands=;Hooks=;SerializedTypes=class:GlovesOfInsight;Gumps=; SerializationRegister=Class=Server.Items.GlovesOfInsight;Version=1;Handling=IfVersionGates;Alignment=AlignedByCountAndKnownTypes;MoveRisk=NamespaceOrTypeRenameDanger</t>
  </si>
  <si>
    <t>HistoricalFile=Data/Scripts/Items/Magical/Artifacts/Obsolete/Obsolete_GlovesOfInsight.cs; Risk=Build;Runtime;Save; POST-BATCH-L is audit-only P2 residual triage. No source, project, XML/config, serialized layout, runtime file location, command name, access level, or region policy changed.</t>
  </si>
  <si>
    <t>RB-05878</t>
  </si>
  <si>
    <t>P10-F05878</t>
  </si>
  <si>
    <t>Data/Scripts/Items/Magical/Artifacts/Obsolete/Obsolete_GlovesOfRegeneration.cs</t>
  </si>
  <si>
    <t>PBL-0603</t>
  </si>
  <si>
    <t>CurrentFile=Data/Scripts/Items/Magical/Artifacts/Obsolete/Obsolete_GlovesOfRegeneration.cs;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RuntimeInventory=PrimaryRole=Persistence;SecondaryRoles=CombatPolicy;ItemContent;LegacyCompatibility;Commands=;Hooks=;SerializedTypes=class:GlovesOfRegeneration;Gumps=; SerializationRegister=Class=Server.Items.GlovesOfRegeneration;Version=0;Handling=SingleVersionOnly;Alignment=AlignedByCountAndKnownTypes;MoveRisk=NamespaceOrTypeRenameDanger</t>
  </si>
  <si>
    <t>HistoricalFile=Data/Scripts/Items/Magical/Artifacts/Obsolete/Obsolete_GlovesOfRegeneration.cs; Risk=Build;Runtime;Save; POST-BATCH-L is audit-only P2 residual triage. No source, project, XML/config, serialized layout, runtime file location, command name, access level, or region policy changed.</t>
  </si>
  <si>
    <t>RB-05879</t>
  </si>
  <si>
    <t>P10-F05879</t>
  </si>
  <si>
    <t>Data/Scripts/Items/Magical/Artifacts/Obsolete/Obsolete_GlovesOfTheFallenKing.cs</t>
  </si>
  <si>
    <t>PBL-0604</t>
  </si>
  <si>
    <t>CurrentFile=Data/Scripts/Items/Magical/Artifacts/Obsolete/Obsolete_GlovesOfTheFallenKing.cs;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RuntimeInventory=PrimaryRole=Persistence;SecondaryRoles=CombatPolicy;ItemContent;LegacyCompatibility;Commands=;Hooks=;SerializedTypes=class:GlovesOfTheFallenKing;Gumps=; SerializationRegister=Class=Server.Items.GlovesOfTheFallenKing;Version=1;Handling=IfVersionGates;Alignment=AlignedByCountAndKnownTypes;MoveRisk=NamespaceOrTypeRenameDanger</t>
  </si>
  <si>
    <t>HistoricalFile=Data/Scripts/Items/Magical/Artifacts/Obsolete/Obsolete_GlovesOfTheFallenKing.cs; Risk=Build;Runtime;Save; POST-BATCH-L is audit-only P2 residual triage. No source, project, XML/config, serialized layout, runtime file location, command name, access level, or region policy changed.</t>
  </si>
  <si>
    <t>RB-05880</t>
  </si>
  <si>
    <t>P10-F05880</t>
  </si>
  <si>
    <t>Data/Scripts/Items/Magical/Artifacts/Obsolete/Obsolete_GlovesOfTheHarrower.cs</t>
  </si>
  <si>
    <t>PBL-0605</t>
  </si>
  <si>
    <t>CurrentFile=Data/Scripts/Items/Magical/Artifacts/Obsolete/Obsolete_GlovesOfTheHarrower.cs;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RuntimeInventory=PrimaryRole=Persistence;SecondaryRoles=CombatPolicy;ItemContent;LegacyCompatibility;Commands=;Hooks=;SerializedTypes=class:GlovesOfTheHarrower;Gumps=; SerializationRegister=Class=Server.Items.GlovesOfTheHarrower;Version=1;Handling=IfVersionGates;Alignment=AlignedByCountAndKnownTypes;MoveRisk=NamespaceOrTypeRenameDanger</t>
  </si>
  <si>
    <t>HistoricalFile=Data/Scripts/Items/Magical/Artifacts/Obsolete/Obsolete_GlovesOfTheHarrower.cs; Risk=Build;Runtime;Save; POST-BATCH-L is audit-only P2 residual triage. No source, project, XML/config, serialized layout, runtime file location, command name, access level, or region policy changed.</t>
  </si>
  <si>
    <t>RB-05881</t>
  </si>
  <si>
    <t>P10-F05881</t>
  </si>
  <si>
    <t>Data/Scripts/Items/Magical/Artifacts/Obsolete/Obsolete_GlovesOfThePugilist.cs</t>
  </si>
  <si>
    <t>PBL-0606</t>
  </si>
  <si>
    <t>CurrentFile=Data/Scripts/Items/Magical/Artifacts/Obsolete/Obsolete_GlovesOfThePugilist.cs;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RuntimeInventory=PrimaryRole=Persistence;SecondaryRoles=CombatPolicy;ItemContent;LegacyCompatibility;Commands=;Hooks=;SerializedTypes=class:GlovesOfThePugilist;Gumps=; SerializationRegister=Class=Server.Items.GlovesOfThePugilist;Version=0;Handling=SingleVersionOnly;Alignment=AlignedByCountAndKnownTypes;MoveRisk=NamespaceOrTypeRenameDanger</t>
  </si>
  <si>
    <t>HistoricalFile=Data/Scripts/Items/Magical/Artifacts/Obsolete/Obsolete_GlovesOfThePugilist.cs; Risk=Build;Runtime;Save; POST-BATCH-L is audit-only P2 residual triage. No source, project, XML/config, serialized layout, runtime file location, command name, access level, or region policy changed.</t>
  </si>
  <si>
    <t>RB-05882</t>
  </si>
  <si>
    <t>P10-F05882</t>
  </si>
  <si>
    <t>Data/Scripts/Items/Magical/Artifacts/Obsolete/Obsolete_GorgetOfAegis.cs</t>
  </si>
  <si>
    <t>PBL-0607</t>
  </si>
  <si>
    <t>CurrentFile=Data/Scripts/Items/Magical/Artifacts/Obsolete/Obsolete_GorgetOfAegis.cs;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RuntimeInventory=PrimaryRole=Persistence;SecondaryRoles=CombatPolicy;ItemContent;LegacyCompatibility;Commands=;Hooks=;SerializedTypes=class:GorgetOfAegis;Gumps=; SerializationRegister=Class=Server.Items.GorgetOfAegis;Version=1;Handling=IfVersionGates;Alignment=AlignedByCountAndKnownTypes;MoveRisk=NamespaceOrTypeRenameDanger</t>
  </si>
  <si>
    <t>HistoricalFile=Data/Scripts/Items/Magical/Artifacts/Obsolete/Obsolete_GorgetOfAegis.cs; Risk=Build;Runtime;Save; POST-BATCH-L is audit-only P2 residual triage. No source, project, XML/config, serialized layout, runtime file location, command name, access level, or region policy changed.</t>
  </si>
  <si>
    <t>RB-05883</t>
  </si>
  <si>
    <t>P10-F05883</t>
  </si>
  <si>
    <t>Data/Scripts/Items/Magical/Artifacts/Obsolete/Obsolete_GorgetOfFortune.cs</t>
  </si>
  <si>
    <t>PBL-0608</t>
  </si>
  <si>
    <t>CurrentFile=Data/Scripts/Items/Magical/Artifacts/Obsolete/Obsolete_GorgetOfFortune.cs;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RuntimeInventory=PrimaryRole=Persistence;SecondaryRoles=CombatPolicy;ItemContent;LegacyCompatibility;Commands=;Hooks=;SerializedTypes=class:GorgetOfFortune;Gumps=; SerializationRegister=Class=Server.Items.GorgetOfFortune;Version=0;Handling=SingleVersionOnly;Alignment=AlignedByCountAndKnownTypes;MoveRisk=NamespaceOrTypeRenameDanger</t>
  </si>
  <si>
    <t>HistoricalFile=Data/Scripts/Items/Magical/Artifacts/Obsolete/Obsolete_GorgetOfFortune.cs; Risk=Build;Runtime;Save; POST-BATCH-L is audit-only P2 residual triage. No source, project, XML/config, serialized layout, runtime file location, command name, access level, or region policy changed.</t>
  </si>
  <si>
    <t>RB-05884</t>
  </si>
  <si>
    <t>P10-F05884</t>
  </si>
  <si>
    <t>Data/Scripts/Items/Magical/Artifacts/Obsolete/Obsolete_GorgetOfInsight.cs</t>
  </si>
  <si>
    <t>PBL-0609</t>
  </si>
  <si>
    <t>CurrentFile=Data/Scripts/Items/Magical/Artifacts/Obsolete/Obsolete_GorgetOfInsight.cs;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RuntimeInventory=PrimaryRole=Persistence;SecondaryRoles=CombatPolicy;ItemContent;LegacyCompatibility;Commands=;Hooks=;SerializedTypes=class:GorgetOfInsight;Gumps=; SerializationRegister=Class=Server.Items.GorgetOfInsight;Version=1;Handling=IfVersionGates;Alignment=AlignedByCountAndKnownTypes;MoveRisk=NamespaceOrTypeRenameDanger</t>
  </si>
  <si>
    <t>HistoricalFile=Data/Scripts/Items/Magical/Artifacts/Obsolete/Obsolete_GorgetOfInsight.cs; Risk=Build;Runtime;Save; POST-BATCH-L is audit-only P2 residual triage. No source, project, XML/config, serialized layout, runtime file location, command name, access level, or region policy changed.</t>
  </si>
  <si>
    <t>RB-05885</t>
  </si>
  <si>
    <t>P10-F05885</t>
  </si>
  <si>
    <t>PBL-0610</t>
  </si>
  <si>
    <t>CurrentFile=Data/Scripts/Items/Magical/Artifacts/Obsolete/Obsolete_GrayMouserCloak.cs;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RuntimeInventory=PrimaryRole=Persistence;SecondaryRoles=CombatPolicy;ItemContent;LegacyCompatibility;Commands=;Hooks=;SerializedTypes=class:GrayMouserCloak;Gumps=; SerializationRegister=Class=Server.Items.GrayMouserCloak;Version=1;Handling=SuspiciousOrder;Alignment=AlignedByCountAndKnownTypes;MoveRisk=NamespaceOrTypeRenameDanger</t>
  </si>
  <si>
    <t>HistoricalFile=Data/Scripts/Items/Magical/Artifacts/Obsolete/Obsolete_GrayMouserCloak.cs; Risk=Build;Runtime;Save; POST-BATCH-L is audit-only P2 residual triage. No source, project, XML/config, serialized layout, runtime file location, command name, access level, or region policy changed.</t>
  </si>
  <si>
    <t>RB-05886</t>
  </si>
  <si>
    <t>P10-F05886</t>
  </si>
  <si>
    <t>PBL-0611</t>
  </si>
  <si>
    <t>CurrentFile=Data/Scripts/Items/Magical/Artifacts/Obsolete/Obsolete_GrimReapersLantern.cs;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RuntimeInventory=PrimaryRole=Persistence;SecondaryRoles=CombatPolicy;ItemContent;LegacyCompatibility;Commands=;Hooks=;SerializedTypes=class:GrimReapersLantern;Gumps=; SerializationRegister=Class=Server.Items.GrimReapersLantern;Version=1;Handling=SuspiciousOrder;Alignment=AlignedByCountAndKnownTypes;MoveRisk=NamespaceOrTypeRenameDanger</t>
  </si>
  <si>
    <t>HistoricalFile=Data/Scripts/Items/Magical/Artifacts/Obsolete/Obsolete_GrimReapersLantern.cs; Risk=Build;Runtime;Save; POST-BATCH-L is audit-only P2 residual triage. No source, project, XML/config, serialized layout, runtime file location, command name, access level, or region policy changed.</t>
  </si>
  <si>
    <t>RB-05887</t>
  </si>
  <si>
    <t>P10-F05887</t>
  </si>
  <si>
    <t>PBL-0612</t>
  </si>
  <si>
    <t>CurrentFile=Data/Scripts/Items/Magical/Artifacts/Obsolete/Obsolete_GrimReapersMask.cs;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RuntimeInventory=PrimaryRole=Persistence;SecondaryRoles=CombatPolicy;ItemContent;LegacyCompatibility;Commands=;Hooks=;SerializedTypes=class:GrimReapersMask;Gumps=; SerializationRegister=Class=Server.Items.GrimReapersMask;Version=1;Handling=SuspiciousOrder;Alignment=AlignedByCountAndKnownTypes;MoveRisk=NamespaceOrTypeRenameDanger</t>
  </si>
  <si>
    <t>HistoricalFile=Data/Scripts/Items/Magical/Artifacts/Obsolete/Obsolete_GrimReapersMask.cs; Risk=Build;Runtime;Save; POST-BATCH-L is audit-only P2 residual triage. No source, project, XML/config, serialized layout, runtime file location, command name, access level, or region policy changed.</t>
  </si>
  <si>
    <t>RB-05888</t>
  </si>
  <si>
    <t>P10-F05888</t>
  </si>
  <si>
    <t>PBL-0613</t>
  </si>
  <si>
    <t>CurrentFile=Data/Scripts/Items/Magical/Artifacts/Obsolete/Obsolete_GrimReapersRobe.cs;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RuntimeInventory=PrimaryRole=Persistence;SecondaryRoles=CombatPolicy;ItemContent;LegacyCompatibility;Commands=;Hooks=;SerializedTypes=class:GrimReapersRobe;Gumps=; SerializationRegister=Class=Server.Items.GrimReapersRobe;Version=1;Handling=SuspiciousOrder;Alignment=AlignedByCountAndKnownTypes;MoveRisk=NamespaceOrTypeRenameDanger</t>
  </si>
  <si>
    <t>HistoricalFile=Data/Scripts/Items/Magical/Artifacts/Obsolete/Obsolete_GrimReapersRobe.cs; Risk=Build;Runtime;Save; POST-BATCH-L is audit-only P2 residual triage. No source, project, XML/config, serialized layout, runtime file location, command name, access level, or region policy changed.</t>
  </si>
  <si>
    <t>RB-05889</t>
  </si>
  <si>
    <t>P10-F05889</t>
  </si>
  <si>
    <t>Data/Scripts/Items/Magical/Artifacts/Obsolete/Obsolete_GrimReapersScythe.cs</t>
  </si>
  <si>
    <t>PBL-0614</t>
  </si>
  <si>
    <t>CurrentFile=Data/Scripts/Items/Magical/Artifacts/Obsolete/Obsolete_GrimReapersScythe.cs;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RuntimeInventory=PrimaryRole=Persistence;SecondaryRoles=CombatPolicy;ItemContent;LegacyCompatibility;Commands=;Hooks=;SerializedTypes=class:GrimReapersScythe;Gumps=; SerializationRegister=Class=Server.Items.GrimReapersScythe;Version=0;Handling=SingleVersionOnly;Alignment=AlignedByCountAndKnownTypes;MoveRisk=NamespaceOrTypeRenameDanger</t>
  </si>
  <si>
    <t>HistoricalFile=Data/Scripts/Items/Magical/Artifacts/Obsolete/Obsolete_GrimReapersScythe.cs; Risk=Build;Runtime;Save; POST-BATCH-L is audit-only P2 residual triage. No source, project, XML/config, serialized layout, runtime file location, command name, access level, or region policy changed.</t>
  </si>
  <si>
    <t>RB-05890</t>
  </si>
  <si>
    <t>P10-F05890</t>
  </si>
  <si>
    <t>Data/Scripts/Items/Magical/Artifacts/Obsolete/Obsolete_GuantletsOfAnger.cs</t>
  </si>
  <si>
    <t>PBL-0615</t>
  </si>
  <si>
    <t>CurrentFile=Data/Scripts/Items/Magical/Artifacts/Obsolete/Obsolete_GuantletsOfAnger.cs;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RuntimeInventory=PrimaryRole=Persistence;SecondaryRoles=CombatPolicy;ItemContent;LegacyCompatibility;Commands=;Hooks=;SerializedTypes=class:GuantletsOfAnger;Gumps=; SerializationRegister=Class=Server.Items.GuantletsOfAnger;Version=0;Handling=SingleVersionOnly;Alignment=AlignedByCountAndKnownTypes;MoveRisk=NamespaceOrTypeRenameDanger</t>
  </si>
  <si>
    <t>HistoricalFile=Data/Scripts/Items/Magical/Artifacts/Obsolete/Obsolete_GuantletsOfAnger.cs; Risk=Build;Runtime;Save; POST-BATCH-L is audit-only P2 residual triage. No source, project, XML/config, serialized layout, runtime file location, command name, access level, or region policy changed.</t>
  </si>
  <si>
    <t>RB-05891</t>
  </si>
  <si>
    <t>P10-F05891</t>
  </si>
  <si>
    <t>Data/Scripts/Items/Magical/Artifacts/Obsolete/Obsolete_HammerofThor.cs</t>
  </si>
  <si>
    <t>PBL-0616</t>
  </si>
  <si>
    <t>CurrentFile=Data/Scripts/Items/Magical/Artifacts/Obsolete/Obsolete_HammerofThor.cs;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RuntimeInventory=PrimaryRole=Persistence;SecondaryRoles=CombatPolicy;ItemContent;LegacyCompatibility;Commands=;Hooks=;SerializedTypes=class:HammerofThor;Gumps=; SerializationRegister=Class=Server.Items.HammerofThor;Version=0;Handling=SingleVersionOnly;Alignment=AlignedByCountAndKnownTypes;MoveRisk=NamespaceOrTypeRenameDanger</t>
  </si>
  <si>
    <t>HistoricalFile=Data/Scripts/Items/Magical/Artifacts/Obsolete/Obsolete_HammerofThor.cs; Risk=Build;Runtime;Save; POST-BATCH-L is audit-only P2 residual triage. No source, project, XML/config, serialized layout, runtime file location, command name, access level, or region policy changed.</t>
  </si>
  <si>
    <t>RB-05892</t>
  </si>
  <si>
    <t>P10-F05892</t>
  </si>
  <si>
    <t>Data/Scripts/Items/Magical/Artifacts/Obsolete/Obsolete_HatOfTheMagi.cs</t>
  </si>
  <si>
    <t>PBL-0617</t>
  </si>
  <si>
    <t>CurrentFile=Data/Scripts/Items/Magical/Artifacts/Obsolete/Obsolete_HatOfTheMagi.cs;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RuntimeInventory=PrimaryRole=Persistence;SecondaryRoles=CombatPolicy;ItemContent;LegacyCompatibility;Commands=;Hooks=;SerializedTypes=class:HatOfTheMagi;Gumps=; SerializationRegister=Class=Server.Items.HatOfTheMagi;Version=1;Handling=Switch;Alignment=AlignedByCountAndKnownTypes;MoveRisk=NamespaceOrTypeRenameDanger</t>
  </si>
  <si>
    <t>HistoricalFile=Data/Scripts/Items/Magical/Artifacts/Obsolete/Obsolete_HatOfTheMagi.cs; Risk=Build;Runtime;Save; POST-BATCH-L is audit-only P2 residual triage. No source, project, XML/config, serialized layout, runtime file location, command name, access level, or region policy changed.</t>
  </si>
  <si>
    <t>RB-05893</t>
  </si>
  <si>
    <t>P10-F05893</t>
  </si>
  <si>
    <t>Data/Scripts/Items/Magical/Artifacts/Obsolete/Obsolete_HeartOfTheLion.cs</t>
  </si>
  <si>
    <t>PBL-0618</t>
  </si>
  <si>
    <t>CurrentFile=Data/Scripts/Items/Magical/Artifacts/Obsolete/Obsolete_HeartOfTheLion.cs;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RuntimeInventory=PrimaryRole=Persistence;SecondaryRoles=CombatPolicy;ItemContent;LegacyCompatibility;Commands=;Hooks=;SerializedTypes=class:HeartOfTheLion;Gumps=; SerializationRegister=Class=Server.Items.HeartOfTheLion;Version=0;Handling=SingleVersionOnly;Alignment=AlignedByCountAndKnownTypes;MoveRisk=NamespaceOrTypeRenameDanger</t>
  </si>
  <si>
    <t>HistoricalFile=Data/Scripts/Items/Magical/Artifacts/Obsolete/Obsolete_HeartOfTheLion.cs; Risk=Build;Runtime;Save; POST-BATCH-L is audit-only P2 residual triage. No source, project, XML/config, serialized layout, runtime file location, command name, access level, or region policy changed.</t>
  </si>
  <si>
    <t>RB-05894</t>
  </si>
  <si>
    <t>P10-F05894</t>
  </si>
  <si>
    <t>Data/Scripts/Items/Magical/Artifacts/Obsolete/Obsolete_HellForgedArms.cs</t>
  </si>
  <si>
    <t>PBL-0619</t>
  </si>
  <si>
    <t>CurrentFile=Data/Scripts/Items/Magical/Artifacts/Obsolete/Obsolete_HellForgedArms.cs;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RuntimeInventory=PrimaryRole=Persistence;SecondaryRoles=CombatPolicy;ItemContent;LegacyCompatibility;Commands=;Hooks=;SerializedTypes=class:HellForgedArms;Gumps=; SerializationRegister=Class=Server.Items.HellForgedArms;Version=0;Handling=SingleVersionOnly;Alignment=AlignedByCountAndKnownTypes;MoveRisk=NamespaceOrTypeRenameDanger</t>
  </si>
  <si>
    <t>HistoricalFile=Data/Scripts/Items/Magical/Artifacts/Obsolete/Obsolete_HellForgedArms.cs; Risk=Build;Runtime;Save; POST-BATCH-L is audit-only P2 residual triage. No source, project, XML/config, serialized layout, runtime file location, command name, access level, or region policy changed.</t>
  </si>
  <si>
    <t>RB-05895</t>
  </si>
  <si>
    <t>P10-F05895</t>
  </si>
  <si>
    <t>Data/Scripts/Items/Magical/Artifacts/Obsolete/Obsolete_HelmOfAegis.cs</t>
  </si>
  <si>
    <t>PBL-0620</t>
  </si>
  <si>
    <t>CurrentFile=Data/Scripts/Items/Magical/Artifacts/Obsolete/Obsolete_HelmOfAegis.cs;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RuntimeInventory=PrimaryRole=Persistence;SecondaryRoles=CombatPolicy;ItemContent;LegacyCompatibility;Commands=;Hooks=;SerializedTypes=class:HelmOfAegis;Gumps=; SerializationRegister=Class=Server.Items.HelmOfAegis;Version=1;Handling=IfVersionGates;Alignment=AlignedByCountAndKnownTypes;MoveRisk=NamespaceOrTypeRenameDanger</t>
  </si>
  <si>
    <t>HistoricalFile=Data/Scripts/Items/Magical/Artifacts/Obsolete/Obsolete_HelmOfAegis.cs; Risk=Build;Runtime;Save; POST-BATCH-L is audit-only P2 residual triage. No source, project, XML/config, serialized layout, runtime file location, command name, access level, or region policy changed.</t>
  </si>
  <si>
    <t>RB-05896</t>
  </si>
  <si>
    <t>P10-F05896</t>
  </si>
  <si>
    <t>Data/Scripts/Items/Magical/Artifacts/Obsolete/Obsolete_HelmOfBrilliance.cs</t>
  </si>
  <si>
    <t>PBL-0621</t>
  </si>
  <si>
    <t>CurrentFile=Data/Scripts/Items/Magical/Artifacts/Obsolete/Obsolete_HelmOfBrilliance.cs;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RuntimeInventory=PrimaryRole=Persistence;SecondaryRoles=CombatPolicy;ItemContent;LegacyCompatibility;Commands=;Hooks=;SerializedTypes=enum:HelmEffect;class:HelmOfBrilliance;Gumps=; SerializationRegister=Class=Server.Items.HelmOfBrilliance;Version=0;Handling=Switch;Alignment=AlignedByCountAndKnownTypes;MoveRisk=NamespaceOrTypeRenameDanger</t>
  </si>
  <si>
    <t>HistoricalFile=Data/Scripts/Items/Magical/Artifacts/Obsolete/Obsolete_HelmOfBrilliance.cs; Risk=Build;Runtime;Save; POST-BATCH-L is audit-only P2 residual triage. No source, project, XML/config, serialized layout, runtime file location, command name, access level, or region policy changed.</t>
  </si>
  <si>
    <t>RB-05897</t>
  </si>
  <si>
    <t>P10-F05897</t>
  </si>
  <si>
    <t>Data/Scripts/Items/Magical/Artifacts/Obsolete/Obsolete_HelmOfInsight.cs</t>
  </si>
  <si>
    <t>PBL-0622</t>
  </si>
  <si>
    <t>CurrentFile=Data/Scripts/Items/Magical/Artifacts/Obsolete/Obsolete_HelmOfInsight.cs;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RuntimeInventory=PrimaryRole=Persistence;SecondaryRoles=CombatPolicy;ItemContent;LegacyCompatibility;Commands=;Hooks=;SerializedTypes=class:HelmOfInsight;Gumps=; SerializationRegister=Class=Server.Items.HelmOfInsight;Version=1;Handling=IfVersionGates;Alignment=AlignedByCountAndKnownTypes;MoveRisk=NamespaceOrTypeRenameDanger</t>
  </si>
  <si>
    <t>HistoricalFile=Data/Scripts/Items/Magical/Artifacts/Obsolete/Obsolete_HelmOfInsight.cs; Risk=Build;Runtime;Save; POST-BATCH-L is audit-only P2 residual triage. No source, project, XML/config, serialized layout, runtime file location, command name, access level, or region policy changed.</t>
  </si>
  <si>
    <t>RB-05898</t>
  </si>
  <si>
    <t>P10-F05898</t>
  </si>
  <si>
    <t>PBL-0623</t>
  </si>
  <si>
    <t>CurrentFile=Data/Scripts/Items/Magical/Artifacts/Obsolete/Obsolete_HelmOfSwiftness.cs;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RuntimeInventory=PrimaryRole=Persistence;SecondaryRoles=CombatPolicy;ItemContent;LegacyCompatibility;Commands=;Hooks=;SerializedTypes=class:HelmOfSwiftness;Gumps=; SerializationRegister=Class=Server.Items.HelmOfSwiftness;Version=Unknown;Handling=NoVersionFound;Alignment=AlignedByCountAndKnownTypes;MoveRisk=NamespaceOrTypeRenameDanger</t>
  </si>
  <si>
    <t>HistoricalFile=Data/Scripts/Items/Magical/Artifacts/Obsolete/Obsolete_HelmOfSwiftness.cs; Risk=Build;Runtime;Save; POST-BATCH-L is audit-only P2 residual triage. No source, project, XML/config, serialized layout, runtime file location, command name, access level, or region policy changed.</t>
  </si>
  <si>
    <t>RB-05899</t>
  </si>
  <si>
    <t>P10-F05899</t>
  </si>
  <si>
    <t>Data/Scripts/Items/Magical/Artifacts/Obsolete/Obsolete_HolyKnightsArms.cs</t>
  </si>
  <si>
    <t>PBL-0624</t>
  </si>
  <si>
    <t>CurrentFile=Data/Scripts/Items/Magical/Artifacts/Obsolete/Obsolete_HolyKnightsArms.cs;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RuntimeInventory=PrimaryRole=Persistence;SecondaryRoles=CombatPolicy;ItemContent;LegacyCompatibility;Commands=;Hooks=;SerializedTypes=class:HolyKnightsArmPlates;Gumps=; SerializationRegister=Class=Server.Items.HolyKnightsArmPlates;Version=1;Handling=IfVersionGates;Alignment=AlignedByCountAndKnownTypes;MoveRisk=NamespaceOrTypeRenameDanger</t>
  </si>
  <si>
    <t>HistoricalFile=Data/Scripts/Items/Magical/Artifacts/Obsolete/Obsolete_HolyKnightsArms.cs; Risk=Build;Runtime;Save; POST-BATCH-L is audit-only P2 residual triage. No source, project, XML/config, serialized layout, runtime file location, command name, access level, or region policy changed.</t>
  </si>
  <si>
    <t>RB-05900</t>
  </si>
  <si>
    <t>P10-F05900</t>
  </si>
  <si>
    <t>Data/Scripts/Items/Magical/Artifacts/Obsolete/Obsolete_HolyKnightsBreastplate.cs</t>
  </si>
  <si>
    <t>PBL-0625</t>
  </si>
  <si>
    <t>CurrentFile=Data/Scripts/Items/Magical/Artifacts/Obsolete/Obsolete_HolyKnightsBreastplate.cs;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RuntimeInventory=PrimaryRole=Persistence;SecondaryRoles=CombatPolicy;ItemContent;LegacyCompatibility;Commands=;Hooks=;SerializedTypes=class:HolyKnightsBreastplate;Gumps=; SerializationRegister=Class=Server.Items.HolyKnightsBreastplate;Version=1;Handling=IfVersionGates;Alignment=AlignedByCountAndKnownTypes;MoveRisk=NamespaceOrTypeRenameDanger</t>
  </si>
  <si>
    <t>HistoricalFile=Data/Scripts/Items/Magical/Artifacts/Obsolete/Obsolete_HolyKnightsBreastplate.cs; Risk=Build;Runtime;Save; POST-BATCH-L is audit-only P2 residual triage. No source, project, XML/config, serialized layout, runtime file location, command name, access level, or region policy changed.</t>
  </si>
  <si>
    <t>RB-05901</t>
  </si>
  <si>
    <t>P10-F05901</t>
  </si>
  <si>
    <t>Data/Scripts/Items/Magical/Artifacts/Obsolete/Obsolete_HolyKnightsGloves.cs</t>
  </si>
  <si>
    <t>PBL-0626</t>
  </si>
  <si>
    <t>CurrentFile=Data/Scripts/Items/Magical/Artifacts/Obsolete/Obsolete_HolyKnightsGloves.cs;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RuntimeInventory=PrimaryRole=Persistence;SecondaryRoles=CombatPolicy;ItemContent;LegacyCompatibility;Commands=;Hooks=;SerializedTypes=class:HolyKnightsGloves;Gumps=; SerializationRegister=Class=Server.Items.HolyKnightsGloves;Version=1;Handling=IfVersionGates;Alignment=AlignedByCountAndKnownTypes;MoveRisk=NamespaceOrTypeRenameDanger</t>
  </si>
  <si>
    <t>HistoricalFile=Data/Scripts/Items/Magical/Artifacts/Obsolete/Obsolete_HolyKnightsGloves.cs; Risk=Build;Runtime;Save; POST-BATCH-L is audit-only P2 residual triage. No source, project, XML/config, serialized layout, runtime file location, command name, access level, or region policy changed.</t>
  </si>
  <si>
    <t>RB-05902</t>
  </si>
  <si>
    <t>P10-F05902</t>
  </si>
  <si>
    <t>Data/Scripts/Items/Magical/Artifacts/Obsolete/Obsolete_HolyKnightsGorget.cs</t>
  </si>
  <si>
    <t>PBL-0627</t>
  </si>
  <si>
    <t>CurrentFile=Data/Scripts/Items/Magical/Artifacts/Obsolete/Obsolete_HolyKnightsGorget.cs;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RuntimeInventory=PrimaryRole=Persistence;SecondaryRoles=CombatPolicy;ItemContent;LegacyCompatibility;Commands=;Hooks=;SerializedTypes=class:HolyKnightsGorget;Gumps=; SerializationRegister=Class=Server.Items.HolyKnightsGorget;Version=1;Handling=IfVersionGates;Alignment=AlignedByCountAndKnownTypes;MoveRisk=NamespaceOrTypeRenameDanger</t>
  </si>
  <si>
    <t>HistoricalFile=Data/Scripts/Items/Magical/Artifacts/Obsolete/Obsolete_HolyKnightsGorget.cs; Risk=Build;Runtime;Save; POST-BATCH-L is audit-only P2 residual triage. No source, project, XML/config, serialized layout, runtime file location, command name, access level, or region policy changed.</t>
  </si>
  <si>
    <t>RB-05903</t>
  </si>
  <si>
    <t>P10-F05903</t>
  </si>
  <si>
    <t>Data/Scripts/Items/Magical/Artifacts/Obsolete/Obsolete_HolyKnightsHelm.cs</t>
  </si>
  <si>
    <t>PBL-0628</t>
  </si>
  <si>
    <t>CurrentFile=Data/Scripts/Items/Magical/Artifacts/Obsolete/Obsolete_HolyKnightsHelm.cs;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RuntimeInventory=PrimaryRole=Persistence;SecondaryRoles=CombatPolicy;ItemContent;LegacyCompatibility;Commands=;Hooks=;SerializedTypes=class:HolyKnightsPlateHelm;Gumps=; SerializationRegister=Class=Server.Items.HolyKnightsPlateHelm;Version=1;Handling=IfVersionGates;Alignment=AlignedByCountAndKnownTypes;MoveRisk=NamespaceOrTypeRenameDanger</t>
  </si>
  <si>
    <t>HistoricalFile=Data/Scripts/Items/Magical/Artifacts/Obsolete/Obsolete_HolyKnightsHelm.cs; Risk=Build;Runtime;Save; POST-BATCH-L is audit-only P2 residual triage. No source, project, XML/config, serialized layout, runtime file location, command name, access level, or region policy changed.</t>
  </si>
  <si>
    <t>RB-05904</t>
  </si>
  <si>
    <t>P10-F05904</t>
  </si>
  <si>
    <t>Data/Scripts/Items/Magical/Artifacts/Obsolete/Obsolete_HolyKnightsLegging.cs</t>
  </si>
  <si>
    <t>PBL-0629</t>
  </si>
  <si>
    <t>CurrentFile=Data/Scripts/Items/Magical/Artifacts/Obsolete/Obsolete_HolyKnightsLegging.cs;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RuntimeInventory=PrimaryRole=Persistence;SecondaryRoles=CombatPolicy;ItemContent;LegacyCompatibility;Commands=;Hooks=;SerializedTypes=class:HolyKnightsLegging;Gumps=; SerializationRegister=Class=Server.Items.HolyKnightsLegging;Version=1;Handling=IfVersionGates;Alignment=AlignedByCountAndKnownTypes;MoveRisk=NamespaceOrTypeRenameDanger</t>
  </si>
  <si>
    <t>HistoricalFile=Data/Scripts/Items/Magical/Artifacts/Obsolete/Obsolete_HolyKnightsLegging.cs; Risk=Build;Runtime;Save; POST-BATCH-L is audit-only P2 residual triage. No source, project, XML/config, serialized layout, runtime file location, command name, access level, or region policy changed.</t>
  </si>
  <si>
    <t>RB-05905</t>
  </si>
  <si>
    <t>P10-F05905</t>
  </si>
  <si>
    <t>PBL-0630</t>
  </si>
  <si>
    <t>CurrentFile=Data/Scripts/Items/Magical/Artifacts/Obsolete/Obsolete_HolySword.cs;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RuntimeInventory=PrimaryRole=Persistence;SecondaryRoles=CombatPolicy;ItemContent;LegacyCompatibility;Commands=;Hooks=;SerializedTypes=class:HolySword;Gumps=; SerializationRegister=Class=Server.Items.HolySword;Version=Unknown;Handling=NoVersionFound;Alignment=AlignedByCountAndKnownTypes;MoveRisk=NamespaceOrTypeRenameDanger</t>
  </si>
  <si>
    <t>HistoricalFile=Data/Scripts/Items/Magical/Artifacts/Obsolete/Obsolete_HolySword.cs; Risk=Build;Runtime;Save; POST-BATCH-L is audit-only P2 residual triage. No source, project, XML/config, serialized layout, runtime file location, command name, access level, or region policy changed.</t>
  </si>
  <si>
    <t>RB-05906</t>
  </si>
  <si>
    <t>P10-F05906</t>
  </si>
  <si>
    <t>Data/Scripts/Items/Magical/Artifacts/Obsolete/Obsolete_HoodedShroudOfShadows.cs</t>
  </si>
  <si>
    <t>PBL-0631</t>
  </si>
  <si>
    <t>CurrentFile=Data/Scripts/Items/Magical/Artifacts/Obsolete/Obsolete_HoodedShroudOfShadows.cs;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RuntimeInventory=PrimaryRole=Persistence;SecondaryRoles=CombatPolicy;ItemContent;LegacyCompatibility;Commands=;Hooks=;SerializedTypes=class:HoodedShroudOfShadows;Gumps=; SerializationRegister=Class=Server.Items.HoodedShroudOfShadows;Version=0;Handling=SingleVersionOnly;Alignment=AlignedByCountAndKnownTypes;MoveRisk=NamespaceOrTypeRenameDanger</t>
  </si>
  <si>
    <t>HistoricalFile=Data/Scripts/Items/Magical/Artifacts/Obsolete/Obsolete_HoodedShroudOfShadows.cs; Risk=Build;Runtime;Save; POST-BATCH-L is audit-only P2 residual triage. No source, project, XML/config, serialized layout, runtime file location, command name, access level, or region policy changed.</t>
  </si>
  <si>
    <t>RB-05907</t>
  </si>
  <si>
    <t>P10-F05907</t>
  </si>
  <si>
    <t>Data/Scripts/Items/Magical/Artifacts/Obsolete/Obsolete_HuntersArms.cs</t>
  </si>
  <si>
    <t>PBL-0632</t>
  </si>
  <si>
    <t>CurrentFile=Data/Scripts/Items/Magical/Artifacts/Obsolete/Obsolete_HuntersArms.cs;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RuntimeInventory=PrimaryRole=Persistence;SecondaryRoles=CombatPolicy;ItemContent;LegacyCompatibility;Commands=;Hooks=;SerializedTypes=class:HuntersArms;Gumps=; SerializationRegister=Class=Server.Items.HuntersArms;Version=1;Handling=Switch;Alignment=AlignedByCountAndKnownTypes;MoveRisk=NamespaceOrTypeRenameDanger</t>
  </si>
  <si>
    <t>HistoricalFile=Data/Scripts/Items/Magical/Artifacts/Obsolete/Obsolete_HuntersArms.cs; Risk=Build;Runtime;Save; POST-BATCH-L is audit-only P2 residual triage. No source, project, XML/config, serialized layout, runtime file location, command name, access level, or region policy changed.</t>
  </si>
  <si>
    <t>RB-05908</t>
  </si>
  <si>
    <t>P10-F05908</t>
  </si>
  <si>
    <t>Data/Scripts/Items/Magical/Artifacts/Obsolete/Obsolete_HuntersGloves.cs</t>
  </si>
  <si>
    <t>PBL-0633</t>
  </si>
  <si>
    <t>CurrentFile=Data/Scripts/Items/Magical/Artifacts/Obsolete/Obsolete_HuntersGloves.cs;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RuntimeInventory=PrimaryRole=Persistence;SecondaryRoles=CombatPolicy;ItemContent;LegacyCompatibility;Commands=;Hooks=;SerializedTypes=class:HuntersGloves;Gumps=; SerializationRegister=Class=Server.Items.HuntersGloves;Version=1;Handling=Switch;Alignment=AlignedByCountAndKnownTypes;MoveRisk=NamespaceOrTypeRenameDanger</t>
  </si>
  <si>
    <t>HistoricalFile=Data/Scripts/Items/Magical/Artifacts/Obsolete/Obsolete_HuntersGloves.cs; Risk=Build;Runtime;Save; POST-BATCH-L is audit-only P2 residual triage. No source, project, XML/config, serialized layout, runtime file location, command name, access level, or region policy changed.</t>
  </si>
  <si>
    <t>RB-05909</t>
  </si>
  <si>
    <t>P10-F05909</t>
  </si>
  <si>
    <t>Data/Scripts/Items/Magical/Artifacts/Obsolete/Obsolete_HuntersGorget.cs</t>
  </si>
  <si>
    <t>PBL-0634</t>
  </si>
  <si>
    <t>CurrentFile=Data/Scripts/Items/Magical/Artifacts/Obsolete/Obsolete_HuntersGorget.cs;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RuntimeInventory=PrimaryRole=Persistence;SecondaryRoles=CombatPolicy;ItemContent;LegacyCompatibility;Commands=;Hooks=;SerializedTypes=class:HuntersGorget;Gumps=; SerializationRegister=Class=Server.Items.HuntersGorget;Version=1;Handling=Switch;Alignment=AlignedByCountAndKnownTypes;MoveRisk=NamespaceOrTypeRenameDanger</t>
  </si>
  <si>
    <t>HistoricalFile=Data/Scripts/Items/Magical/Artifacts/Obsolete/Obsolete_HuntersGorget.cs; Risk=Build;Runtime;Save; POST-BATCH-L is audit-only P2 residual triage. No source, project, XML/config, serialized layout, runtime file location, command name, access level, or region policy changed.</t>
  </si>
  <si>
    <t>RB-05910</t>
  </si>
  <si>
    <t>P10-F05910</t>
  </si>
  <si>
    <t>Data/Scripts/Items/Magical/Artifacts/Obsolete/Obsolete_HuntersHeaddress.cs</t>
  </si>
  <si>
    <t>PBL-0635</t>
  </si>
  <si>
    <t>CurrentFile=Data/Scripts/Items/Magical/Artifacts/Obsolete/Obsolete_HuntersHeaddress.cs;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RuntimeInventory=PrimaryRole=Persistence;SecondaryRoles=CombatPolicy;ItemContent;LegacyCompatibility;Commands=;Hooks=;SerializedTypes=class:HuntersHeaddress;Gumps=; SerializationRegister=Class=Server.Items.HuntersHeaddress;Version=1;Handling=Switch;Alignment=AlignedByCountAndKnownTypes;MoveRisk=NamespaceOrTypeRenameDanger</t>
  </si>
  <si>
    <t>HistoricalFile=Data/Scripts/Items/Magical/Artifacts/Obsolete/Obsolete_HuntersHeaddress.cs; Risk=Build;Runtime;Save; POST-BATCH-L is audit-only P2 residual triage. No source, project, XML/config, serialized layout, runtime file location, command name, access level, or region policy changed.</t>
  </si>
  <si>
    <t>RB-05911</t>
  </si>
  <si>
    <t>P10-F05911</t>
  </si>
  <si>
    <t>Data/Scripts/Items/Magical/Artifacts/Obsolete/Obsolete_HuntersLeggings.cs</t>
  </si>
  <si>
    <t>PBL-0636</t>
  </si>
  <si>
    <t>CurrentFile=Data/Scripts/Items/Magical/Artifacts/Obsolete/Obsolete_HuntersLeggings.cs;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RuntimeInventory=PrimaryRole=Persistence;SecondaryRoles=CombatPolicy;ItemContent;LegacyCompatibility;Commands=;Hooks=;SerializedTypes=class:HuntersLeggings;Gumps=; SerializationRegister=Class=Server.Items.HuntersLeggings;Version=1;Handling=Switch;Alignment=AlignedByCountAndKnownTypes;MoveRisk=NamespaceOrTypeRenameDanger</t>
  </si>
  <si>
    <t>HistoricalFile=Data/Scripts/Items/Magical/Artifacts/Obsolete/Obsolete_HuntersLeggings.cs; Risk=Build;Runtime;Save; POST-BATCH-L is audit-only P2 residual triage. No source, project, XML/config, serialized layout, runtime file location, command name, access level, or region policy changed.</t>
  </si>
  <si>
    <t>RB-05912</t>
  </si>
  <si>
    <t>P10-F05912</t>
  </si>
  <si>
    <t>Data/Scripts/Items/Magical/Artifacts/Obsolete/Obsolete_HuntersTunic.cs</t>
  </si>
  <si>
    <t>PBL-0637</t>
  </si>
  <si>
    <t>CurrentFile=Data/Scripts/Items/Magical/Artifacts/Obsolete/Obsolete_HuntersTunic.cs;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RuntimeInventory=PrimaryRole=Persistence;SecondaryRoles=CombatPolicy;ItemContent;LegacyCompatibility;Commands=;Hooks=;SerializedTypes=class:HuntersTunic;Gumps=; SerializationRegister=Class=Server.Items.HuntersTunic;Version=1;Handling=Switch;Alignment=AlignedByCountAndKnownTypes;MoveRisk=NamespaceOrTypeRenameDanger</t>
  </si>
  <si>
    <t>HistoricalFile=Data/Scripts/Items/Magical/Artifacts/Obsolete/Obsolete_HuntersTunic.cs; Risk=Build;Runtime;Save; POST-BATCH-L is audit-only P2 residual triage. No source, project, XML/config, serialized layout, runtime file location, command name, access level, or region policy changed.</t>
  </si>
  <si>
    <t>RB-05913</t>
  </si>
  <si>
    <t>P10-F05913</t>
  </si>
  <si>
    <t>Data/Scripts/Items/Magical/Artifacts/Obsolete/Obsolete_Indecency.cs</t>
  </si>
  <si>
    <t>PBL-0638</t>
  </si>
  <si>
    <t>CurrentFile=Data/Scripts/Items/Magical/Artifacts/Obsolete/Obsolete_Indecency.cs;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RuntimeInventory=PrimaryRole=Persistence;SecondaryRoles=CombatPolicy;ItemContent;LegacyCompatibility;Commands=;Hooks=;SerializedTypes=class:Indecency;Gumps=; SerializationRegister=Class=Server.Items.Indecency;Version=0;Handling=SingleVersionOnly;Alignment=AlignedByCountAndKnownTypes;MoveRisk=NamespaceOrTypeRenameDanger</t>
  </si>
  <si>
    <t>HistoricalFile=Data/Scripts/Items/Magical/Artifacts/Obsolete/Obsolete_Indecency.cs; Risk=Build;Runtime;Save; POST-BATCH-L is audit-only P2 residual triage. No source, project, XML/config, serialized layout, runtime file location, command name, access level, or region policy changed.</t>
  </si>
  <si>
    <t>RB-05914</t>
  </si>
  <si>
    <t>P10-F05914</t>
  </si>
  <si>
    <t>Data/Scripts/Items/Magical/Artifacts/Obsolete/Obsolete_InquisitorsArms.cs</t>
  </si>
  <si>
    <t>PBL-0639</t>
  </si>
  <si>
    <t>CurrentFile=Data/Scripts/Items/Magical/Artifacts/Obsolete/Obsolete_InquisitorsArms.cs;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RuntimeInventory=PrimaryRole=Persistence;SecondaryRoles=CombatPolicy;ItemContent;LegacyCompatibility;Commands=;Hooks=;SerializedTypes=class:InquisitorsArms;Gumps=; SerializationRegister=Class=Server.Items.InquisitorsArms;Version=1;Handling=IfVersionGates;Alignment=AlignedByCountAndKnownTypes;MoveRisk=NamespaceOrTypeRenameDanger</t>
  </si>
  <si>
    <t>HistoricalFile=Data/Scripts/Items/Magical/Artifacts/Obsolete/Obsolete_InquisitorsArms.cs; Risk=Build;Runtime;Save; POST-BATCH-L is audit-only P2 residual triage. No source, project, XML/config, serialized layout, runtime file location, command name, access level, or region policy changed.</t>
  </si>
  <si>
    <t>RB-05915</t>
  </si>
  <si>
    <t>P10-F05915</t>
  </si>
  <si>
    <t>Data/Scripts/Items/Magical/Artifacts/Obsolete/Obsolete_InquisitorsGorget.cs</t>
  </si>
  <si>
    <t>PBL-0640</t>
  </si>
  <si>
    <t>CurrentFile=Data/Scripts/Items/Magical/Artifacts/Obsolete/Obsolete_InquisitorsGorget.cs;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RuntimeInventory=PrimaryRole=Persistence;SecondaryRoles=CombatPolicy;ItemContent;LegacyCompatibility;Commands=;Hooks=;SerializedTypes=class:InquisitorsGorget;Gumps=; SerializationRegister=Class=Server.Items.InquisitorsGorget;Version=1;Handling=IfVersionGates;Alignment=AlignedByCountAndKnownTypes;MoveRisk=NamespaceOrTypeRenameDanger</t>
  </si>
  <si>
    <t>HistoricalFile=Data/Scripts/Items/Magical/Artifacts/Obsolete/Obsolete_InquisitorsGorget.cs; Risk=Build;Runtime;Save; POST-BATCH-L is audit-only P2 residual triage. No source, project, XML/config, serialized layout, runtime file location, command name, access level, or region policy changed.</t>
  </si>
  <si>
    <t>RB-05916</t>
  </si>
  <si>
    <t>P10-F05916</t>
  </si>
  <si>
    <t>Data/Scripts/Items/Magical/Artifacts/Obsolete/Obsolete_InquisitorsHelm.cs</t>
  </si>
  <si>
    <t>PBL-0641</t>
  </si>
  <si>
    <t>CurrentFile=Data/Scripts/Items/Magical/Artifacts/Obsolete/Obsolete_InquisitorsHelm.cs;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RuntimeInventory=PrimaryRole=Persistence;SecondaryRoles=CombatPolicy;ItemContent;LegacyCompatibility;Commands=;Hooks=;SerializedTypes=class:InquisitorsHelm;Gumps=; SerializationRegister=Class=Server.Items.InquisitorsHelm;Version=1;Handling=IfVersionGates;Alignment=AlignedByCountAndKnownTypes;MoveRisk=NamespaceOrTypeRenameDanger</t>
  </si>
  <si>
    <t>HistoricalFile=Data/Scripts/Items/Magical/Artifacts/Obsolete/Obsolete_InquisitorsHelm.cs; Risk=Build;Runtime;Save; POST-BATCH-L is audit-only P2 residual triage. No source, project, XML/config, serialized layout, runtime file location, command name, access level, or region policy changed.</t>
  </si>
  <si>
    <t>RB-05917</t>
  </si>
  <si>
    <t>P10-F05917</t>
  </si>
  <si>
    <t>Data/Scripts/Items/Magical/Artifacts/Obsolete/Obsolete_InquisitorsLegs.cs</t>
  </si>
  <si>
    <t>PBL-0642</t>
  </si>
  <si>
    <t>CurrentFile=Data/Scripts/Items/Magical/Artifacts/Obsolete/Obsolete_InquisitorsLegs.cs;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RuntimeInventory=PrimaryRole=Persistence;SecondaryRoles=CombatPolicy;ItemContent;LegacyCompatibility;Commands=;Hooks=;SerializedTypes=class:InquisitorsLeggings;Gumps=; SerializationRegister=Class=Server.Items.InquisitorsLeggings;Version=1;Handling=IfVersionGates;Alignment=AlignedByCountAndKnownTypes;MoveRisk=NamespaceOrTypeRenameDanger</t>
  </si>
  <si>
    <t>HistoricalFile=Data/Scripts/Items/Magical/Artifacts/Obsolete/Obsolete_InquisitorsLegs.cs; Risk=Build;Runtime;Save; POST-BATCH-L is audit-only P2 residual triage. No source, project, XML/config, serialized layout, runtime file location, command name, access level, or region policy changed.</t>
  </si>
  <si>
    <t>RB-05918</t>
  </si>
  <si>
    <t>P10-F05918</t>
  </si>
  <si>
    <t>Data/Scripts/Items/Magical/Artifacts/Obsolete/Obsolete_InquisitorsResolution.cs</t>
  </si>
  <si>
    <t>PBL-0643</t>
  </si>
  <si>
    <t>CurrentFile=Data/Scripts/Items/Magical/Artifacts/Obsolete/Obsolete_InquisitorsResolution.cs;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RuntimeInventory=PrimaryRole=Persistence;SecondaryRoles=CombatPolicy;ItemContent;LegacyCompatibility;Commands=;Hooks=;SerializedTypes=class:InquisitorsResolution;Gumps=; SerializationRegister=Class=Server.Items.InquisitorsResolution;Version=1;Handling=IfVersionGates;Alignment=AlignedByCountAndKnownTypes;MoveRisk=NamespaceOrTypeRenameDanger</t>
  </si>
  <si>
    <t>HistoricalFile=Data/Scripts/Items/Magical/Artifacts/Obsolete/Obsolete_InquisitorsResolution.cs; Risk=Build;Runtime;Save; POST-BATCH-L is audit-only P2 residual triage. No source, project, XML/config, serialized layout, runtime file location, command name, access level, or region policy changed.</t>
  </si>
  <si>
    <t>RB-05919</t>
  </si>
  <si>
    <t>P10-F05919</t>
  </si>
  <si>
    <t>Data/Scripts/Items/Magical/Artifacts/Obsolete/Obsolete_InquisitorsTunic.cs</t>
  </si>
  <si>
    <t>PBL-0644</t>
  </si>
  <si>
    <t>CurrentFile=Data/Scripts/Items/Magical/Artifacts/Obsolete/Obsolete_InquisitorsTunic.cs;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RuntimeInventory=PrimaryRole=Persistence;SecondaryRoles=CombatPolicy;ItemContent;LegacyCompatibility;Commands=;Hooks=;SerializedTypes=class:InquisitorsTunic;Gumps=; SerializationRegister=Class=Server.Items.InquisitorsTunic;Version=1;Handling=IfVersionGates;Alignment=AlignedByCountAndKnownTypes;MoveRisk=NamespaceOrTypeRenameDanger</t>
  </si>
  <si>
    <t>HistoricalFile=Data/Scripts/Items/Magical/Artifacts/Obsolete/Obsolete_InquisitorsTunic.cs; Risk=Build;Runtime;Save; POST-BATCH-L is audit-only P2 residual triage. No source, project, XML/config, serialized layout, runtime file location, command name, access level, or region policy changed.</t>
  </si>
  <si>
    <t>RB-05920</t>
  </si>
  <si>
    <t>P10-F05920</t>
  </si>
  <si>
    <t>PBL-0645</t>
  </si>
  <si>
    <t>CurrentFile=Data/Scripts/Items/Magical/Artifacts/Obsolete/Obsolete_IronwoodCrown.cs;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RuntimeInventory=PrimaryRole=Persistence;SecondaryRoles=CombatPolicy;ItemContent;LegacyCompatibility;Commands=;Hooks=;SerializedTypes=class:IronwoodCrown;Gumps=; SerializationRegister=Class=Server.Items.IronwoodCrown;Version=Unknown;Handling=NoVersionFound;Alignment=AlignedByCountAndKnownTypes;MoveRisk=NamespaceOrTypeRenameDanger</t>
  </si>
  <si>
    <t>HistoricalFile=Data/Scripts/Items/Magical/Artifacts/Obsolete/Obsolete_IronwoodCrown.cs; Risk=Build;Runtime;Save; POST-BATCH-L is audit-only P2 residual triage. No source, project, XML/config, serialized layout, runtime file location, command name, access level, or region policy changed.</t>
  </si>
  <si>
    <t>RB-05921</t>
  </si>
  <si>
    <t>P10-F05921</t>
  </si>
  <si>
    <t>Data/Scripts/Items/Magical/Artifacts/Obsolete/Obsolete_JackalsArms.cs</t>
  </si>
  <si>
    <t>PBL-0646</t>
  </si>
  <si>
    <t>CurrentFile=Data/Scripts/Items/Magical/Artifacts/Obsolete/Obsolete_JackalsArms.cs;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RuntimeInventory=PrimaryRole=Persistence;SecondaryRoles=CombatPolicy;ItemContent;LegacyCompatibility;Commands=;Hooks=;SerializedTypes=class:JackalsArms;Gumps=; SerializationRegister=Class=Server.Items.JackalsArms;Version=1;Handling=IfVersionGates;Alignment=AlignedByCountAndKnownTypes;MoveRisk=NamespaceOrTypeRenameDanger</t>
  </si>
  <si>
    <t>HistoricalFile=Data/Scripts/Items/Magical/Artifacts/Obsolete/Obsolete_JackalsArms.cs; Risk=Build;Runtime;Save; POST-BATCH-L is audit-only P2 residual triage. No source, project, XML/config, serialized layout, runtime file location, command name, access level, or region policy changed.</t>
  </si>
  <si>
    <t>RB-05922</t>
  </si>
  <si>
    <t>P10-F05922</t>
  </si>
  <si>
    <t>Data/Scripts/Items/Magical/Artifacts/Obsolete/Obsolete_JackalsCollar.cs</t>
  </si>
  <si>
    <t>PBL-0647</t>
  </si>
  <si>
    <t>CurrentFile=Data/Scripts/Items/Magical/Artifacts/Obsolete/Obsolete_JackalsCollar.cs;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RuntimeInventory=PrimaryRole=Persistence;SecondaryRoles=CombatPolicy;ItemContent;LegacyCompatibility;Commands=;Hooks=;SerializedTypes=class:JackalsCollar;Gumps=; SerializationRegister=Class=Server.Items.JackalsCollar;Version=1;Handling=IfVersionGates;Alignment=AlignedByCountAndKnownTypes;MoveRisk=NamespaceOrTypeRenameDanger</t>
  </si>
  <si>
    <t>HistoricalFile=Data/Scripts/Items/Magical/Artifacts/Obsolete/Obsolete_JackalsCollar.cs; Risk=Build;Runtime;Save; POST-BATCH-L is audit-only P2 residual triage. No source, project, XML/config, serialized layout, runtime file location, command name, access level, or region policy changed.</t>
  </si>
  <si>
    <t>RB-05923</t>
  </si>
  <si>
    <t>P10-F05923</t>
  </si>
  <si>
    <t>Data/Scripts/Items/Magical/Artifacts/Obsolete/Obsolete_JackalsGloves.cs</t>
  </si>
  <si>
    <t>PBL-0648</t>
  </si>
  <si>
    <t>CurrentFile=Data/Scripts/Items/Magical/Artifacts/Obsolete/Obsolete_JackalsGloves.cs;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RuntimeInventory=PrimaryRole=Persistence;SecondaryRoles=CombatPolicy;ItemContent;LegacyCompatibility;Commands=;Hooks=;SerializedTypes=class:JackalsGloves;Gumps=; SerializationRegister=Class=Server.Items.JackalsGloves;Version=1;Handling=IfVersionGates;Alignment=AlignedByCountAndKnownTypes;MoveRisk=NamespaceOrTypeRenameDanger</t>
  </si>
  <si>
    <t>HistoricalFile=Data/Scripts/Items/Magical/Artifacts/Obsolete/Obsolete_JackalsGloves.cs; Risk=Build;Runtime;Save; POST-BATCH-L is audit-only P2 residual triage. No source, project, XML/config, serialized layout, runtime file location, command name, access level, or region policy changed.</t>
  </si>
  <si>
    <t>RB-05924</t>
  </si>
  <si>
    <t>P10-F05924</t>
  </si>
  <si>
    <t>Data/Scripts/Items/Magical/Artifacts/Obsolete/Obsolete_JackalsHelm.cs</t>
  </si>
  <si>
    <t>PBL-0649</t>
  </si>
  <si>
    <t>CurrentFile=Data/Scripts/Items/Magical/Artifacts/Obsolete/Obsolete_JackalsHelm.cs;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RuntimeInventory=PrimaryRole=Persistence;SecondaryRoles=CombatPolicy;ItemContent;LegacyCompatibility;Commands=;Hooks=;SerializedTypes=class:JackalsHelm;Gumps=; SerializationRegister=Class=Server.Items.JackalsHelm;Version=1;Handling=IfVersionGates;Alignment=AlignedByCountAndKnownTypes;MoveRisk=NamespaceOrTypeRenameDanger</t>
  </si>
  <si>
    <t>HistoricalFile=Data/Scripts/Items/Magical/Artifacts/Obsolete/Obsolete_JackalsHelm.cs; Risk=Build;Runtime;Save; POST-BATCH-L is audit-only P2 residual triage. No source, project, XML/config, serialized layout, runtime file location, command name, access level, or region policy changed.</t>
  </si>
  <si>
    <t>RB-05925</t>
  </si>
  <si>
    <t>P10-F05925</t>
  </si>
  <si>
    <t>Data/Scripts/Items/Magical/Artifacts/Obsolete/Obsolete_JackalsLegging.cs</t>
  </si>
  <si>
    <t>PBL-0650</t>
  </si>
  <si>
    <t>CurrentFile=Data/Scripts/Items/Magical/Artifacts/Obsolete/Obsolete_JackalsLegging.cs;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RuntimeInventory=PrimaryRole=Persistence;SecondaryRoles=CombatPolicy;ItemContent;LegacyCompatibility;Commands=;Hooks=;SerializedTypes=class:JackalsLeggings;Gumps=; SerializationRegister=Class=Server.Items.JackalsLeggings;Version=1;Handling=IfVersionGates;Alignment=AlignedByCountAndKnownTypes;MoveRisk=NamespaceOrTypeRenameDanger</t>
  </si>
  <si>
    <t>HistoricalFile=Data/Scripts/Items/Magical/Artifacts/Obsolete/Obsolete_JackalsLegging.cs; Risk=Build;Runtime;Save; POST-BATCH-L is audit-only P2 residual triage. No source, project, XML/config, serialized layout, runtime file location, command name, access level, or region policy changed.</t>
  </si>
  <si>
    <t>RB-05926</t>
  </si>
  <si>
    <t>P10-F05926</t>
  </si>
  <si>
    <t>Data/Scripts/Items/Magical/Artifacts/Obsolete/Obsolete_JackalsTunic.cs</t>
  </si>
  <si>
    <t>PBL-0651</t>
  </si>
  <si>
    <t>CurrentFile=Data/Scripts/Items/Magical/Artifacts/Obsolete/Obsolete_JackalsTunic.cs;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RuntimeInventory=PrimaryRole=Persistence;SecondaryRoles=CombatPolicy;ItemContent;LegacyCompatibility;Commands=;Hooks=;SerializedTypes=class:JackalsTunic;Gumps=; SerializationRegister=Class=Server.Items.JackalsTunic;Version=1;Handling=IfVersionGates;Alignment=AlignedByCountAndKnownTypes;MoveRisk=NamespaceOrTypeRenameDanger</t>
  </si>
  <si>
    <t>HistoricalFile=Data/Scripts/Items/Magical/Artifacts/Obsolete/Obsolete_JackalsTunic.cs; Risk=Build;Runtime;Save; POST-BATCH-L is audit-only P2 residual triage. No source, project, XML/config, serialized layout, runtime file location, command name, access level, or region policy changed.</t>
  </si>
  <si>
    <t>RB-05927</t>
  </si>
  <si>
    <t>P10-F05927</t>
  </si>
  <si>
    <t>Data/Scripts/Items/Magical/Artifacts/Obsolete/Obsolete_JadeScimitar.cs</t>
  </si>
  <si>
    <t>PBL-0652</t>
  </si>
  <si>
    <t>CurrentFile=Data/Scripts/Items/Magical/Artifacts/Obsolete/Obsolete_JadeScimitar.cs;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RuntimeInventory=PrimaryRole=Persistence;SecondaryRoles=CombatPolicy;ItemContent;LegacyCompatibility;Commands=;Hooks=;SerializedTypes=class:JadeScimitar;Gumps=; SerializationRegister=Class=Server.Items.JadeScimitar;Version=0;Handling=SingleVersionOnly;Alignment=AlignedByCountAndKnownTypes;MoveRisk=NamespaceOrTypeRenameDanger</t>
  </si>
  <si>
    <t>HistoricalFile=Data/Scripts/Items/Magical/Artifacts/Obsolete/Obsolete_JadeScimitar.cs; Risk=Build;Runtime;Save; POST-BATCH-L is audit-only P2 residual triage. No source, project, XML/config, serialized layout, runtime file location, command name, access level, or region policy changed.</t>
  </si>
  <si>
    <t>RB-05928</t>
  </si>
  <si>
    <t>P10-F05928</t>
  </si>
  <si>
    <t>Data/Scripts/Items/Magical/Artifacts/Obsolete/Obsolete_JesterHatofChuckles.cs</t>
  </si>
  <si>
    <t>PBL-0653</t>
  </si>
  <si>
    <t>CurrentFile=Data/Scripts/Items/Magical/Artifacts/Obsolete/Obsolete_JesterHatofChuckles.cs;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RuntimeInventory=PrimaryRole=Persistence;SecondaryRoles=CombatPolicy;ItemContent;LegacyCompatibility;Commands=;Hooks=;SerializedTypes=class:JesterHatofChuckles;Gumps=; SerializationRegister=Class=Server.Items.JesterHatofChuckles;Version=0;Handling=SingleVersionOnly;Alignment=AlignedByCountAndKnownTypes;MoveRisk=NamespaceOrTypeRenameDanger</t>
  </si>
  <si>
    <t>HistoricalFile=Data/Scripts/Items/Magical/Artifacts/Obsolete/Obsolete_JesterHatofChuckles.cs; Risk=Build;Runtime;Save; POST-BATCH-L is audit-only P2 residual triage. No source, project, XML/config, serialized layout, runtime file location, command name, access level, or region policy changed.</t>
  </si>
  <si>
    <t>RB-05929</t>
  </si>
  <si>
    <t>P10-F05929</t>
  </si>
  <si>
    <t>Data/Scripts/Items/Magical/Artifacts/Obsolete/Obsolete_JinBaoriOfGoodfFortune.cs</t>
  </si>
  <si>
    <t>PBL-0654</t>
  </si>
  <si>
    <t>CurrentFile=Data/Scripts/Items/Magical/Artifacts/Obsolete/Obsolete_JinBaoriOfGoodfFortune.cs;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RuntimeInventory=PrimaryRole=Persistence;SecondaryRoles=CombatPolicy;ItemContent;LegacyCompatibility;Commands=;Hooks=;SerializedTypes=class:JinBaoriOfGoodFortune;Gumps=; SerializationRegister=Class=Server.Items.JinBaoriOfGoodFortune;Version=0;Handling=SingleVersionOnly;Alignment=AlignedByCountAndKnownTypes;MoveRisk=NamespaceOrTypeRenameDanger</t>
  </si>
  <si>
    <t>HistoricalFile=Data/Scripts/Items/Magical/Artifacts/Obsolete/Obsolete_JinBaoriOfGoodfFortune.cs; Risk=Build;Runtime;Save; POST-BATCH-L is audit-only P2 residual triage. No source, project, XML/config, serialized layout, runtime file location, command name, access level, or region policy changed.</t>
  </si>
  <si>
    <t>RB-05930</t>
  </si>
  <si>
    <t>P10-F05930</t>
  </si>
  <si>
    <t>Data/Scripts/Items/Magical/Artifacts/Obsolete/Obsolete_KamiNarisIndestructableDoubleAxe.cs</t>
  </si>
  <si>
    <t>PBL-0655</t>
  </si>
  <si>
    <t>CurrentFile=Data/Scripts/Items/Magical/Artifacts/Obsolete/Obsolete_KamiNarisIndestructableDoubleAxe.cs;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RuntimeInventory=PrimaryRole=Persistence;SecondaryRoles=CombatPolicy;ItemContent;LegacyCompatibility;Commands=;Hooks=;SerializedTypes=class:KamiNarisIndestructableDoubleAxe;Gumps=; SerializationRegister=Class=Server.Items.KamiNarisIndestructableDoubleAxe;Version=0;Handling=SingleVersionOnly;Alignment=AlignedByCountAndKnownTypes;MoveRisk=NamespaceOrTypeRenameDanger</t>
  </si>
  <si>
    <t>HistoricalFile=Data/Scripts/Items/Magical/Artifacts/Obsolete/Obsolete_KamiNarisIndestructableDoubleAxe.cs; Risk=Build;Runtime;Save; POST-BATCH-L is audit-only P2 residual triage. No source, project, XML/config, serialized layout, runtime file location, command name, access level, or region policy changed.</t>
  </si>
  <si>
    <t>RB-05931</t>
  </si>
  <si>
    <t>P10-F05931</t>
  </si>
  <si>
    <t>Data/Scripts/Items/Magical/Artifacts/Obsolete/Obsolete_KodiakBearMask.cs</t>
  </si>
  <si>
    <t>PBL-0656</t>
  </si>
  <si>
    <t>CurrentFile=Data/Scripts/Items/Magical/Artifacts/Obsolete/Obsolete_KodiakBearMask.cs;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RuntimeInventory=PrimaryRole=Persistence;SecondaryRoles=CombatPolicy;ItemContent;LegacyCompatibility;Commands=;Hooks=;SerializedTypes=class:KodiakBearMask;Gumps=; SerializationRegister=Class=Server.Items.KodiakBearMask;Version=0;Handling=SingleVersionOnly;Alignment=AlignedByCountAndKnownTypes;MoveRisk=NamespaceOrTypeRenameDanger</t>
  </si>
  <si>
    <t>HistoricalFile=Data/Scripts/Items/Magical/Artifacts/Obsolete/Obsolete_KodiakBearMask.cs; Risk=Build;Runtime;Save; POST-BATCH-L is audit-only P2 residual triage. No source, project, XML/config, serialized layout, runtime file location, command name, access level, or region policy changed.</t>
  </si>
  <si>
    <t>RB-05932</t>
  </si>
  <si>
    <t>P10-F05932</t>
  </si>
  <si>
    <t>Data/Scripts/Items/Magical/Artifacts/Obsolete/Obsolete_LegacyOfTheDreadLord.cs</t>
  </si>
  <si>
    <t>PBL-0657</t>
  </si>
  <si>
    <t>CurrentFile=Data/Scripts/Items/Magical/Artifacts/Obsolete/Obsolete_LegacyOfTheDreadLord.cs;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RuntimeInventory=PrimaryRole=Persistence;SecondaryRoles=CombatPolicy;ItemContent;LegacyCompatibility;Commands=;Hooks=;SerializedTypes=class:LegacyOfTheDreadLord;Gumps=; SerializationRegister=Class=Server.Items.LegacyOfTheDreadLord;Version=0;Handling=SingleVersionOnly;Alignment=AlignedByCountAndKnownTypes;MoveRisk=NamespaceOrTypeRenameDanger</t>
  </si>
  <si>
    <t>HistoricalFile=Data/Scripts/Items/Magical/Artifacts/Obsolete/Obsolete_LegacyOfTheDreadLord.cs; Risk=Build;Runtime;Save; POST-BATCH-L is audit-only P2 residual triage. No source, project, XML/config, serialized layout, runtime file location, command name, access level, or region policy changed.</t>
  </si>
  <si>
    <t>RB-05933</t>
  </si>
  <si>
    <t>P10-F05933</t>
  </si>
  <si>
    <t>Data/Scripts/Items/Magical/Artifacts/Obsolete/Obsolete_LeggingsOfBane.cs</t>
  </si>
  <si>
    <t>PBL-0658</t>
  </si>
  <si>
    <t>CurrentFile=Data/Scripts/Items/Magical/Artifacts/Obsolete/Obsolete_LeggingsOfBane.cs;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RuntimeInventory=PrimaryRole=Persistence;SecondaryRoles=CombatPolicy;ItemContent;LegacyCompatibility;Commands=;Hooks=;SerializedTypes=class:LeggingsOfBane;Gumps=; SerializationRegister=Class=Server.Items.LeggingsOfBane;Version=2;Handling=IfVersionGates;Alignment=AlignedByCountAndKnownTypes;MoveRisk=NamespaceOrTypeRenameDanger</t>
  </si>
  <si>
    <t>HistoricalFile=Data/Scripts/Items/Magical/Artifacts/Obsolete/Obsolete_LeggingsOfBane.cs; Risk=Build;Runtime;Save; POST-BATCH-L is audit-only P2 residual triage. No source, project, XML/config, serialized layout, runtime file location, command name, access level, or region policy changed.</t>
  </si>
  <si>
    <t>RB-05934</t>
  </si>
  <si>
    <t>P10-F05934</t>
  </si>
  <si>
    <t>Data/Scripts/Items/Magical/Artifacts/Obsolete/Obsolete_LeggingsOfDeceit.cs</t>
  </si>
  <si>
    <t>PBL-0659</t>
  </si>
  <si>
    <t>CurrentFile=Data/Scripts/Items/Magical/Artifacts/Obsolete/Obsolete_LeggingsOfDeceit.cs;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RuntimeInventory=PrimaryRole=Persistence;SecondaryRoles=CombatPolicy;ItemContent;LegacyCompatibility;Commands=;Hooks=;SerializedTypes=class:LeggingsOfDeceit;Gumps=; SerializationRegister=Class=Server.Items.LeggingsOfDeceit;Version=0;Handling=SingleVersionOnly;Alignment=AlignedByCountAndKnownTypes;MoveRisk=NamespaceOrTypeRenameDanger</t>
  </si>
  <si>
    <t>HistoricalFile=Data/Scripts/Items/Magical/Artifacts/Obsolete/Obsolete_LeggingsOfDeceit.cs; Risk=Build;Runtime;Save; POST-BATCH-L is audit-only P2 residual triage. No source, project, XML/config, serialized layout, runtime file location, command name, access level, or region policy changed.</t>
  </si>
  <si>
    <t>RB-05935</t>
  </si>
  <si>
    <t>P10-F05935</t>
  </si>
  <si>
    <t>PBL-0660</t>
  </si>
  <si>
    <t>CurrentFile=Data/Scripts/Items/Magical/Artifacts/Obsolete/Obsolete_LeggingsOfEmbers.cs;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RuntimeInventory=PrimaryRole=Persistence;SecondaryRoles=CombatPolicy;ItemContent;LegacyCompatibility;Commands=;Hooks=;SerializedTypes=class:LeggingsOfEmbers;Gumps=; SerializationRegister=Class=Server.Items.LeggingsOfEmbers;Version=Unknown;Handling=NoVersionFound;Alignment=AlignedByCountAndKnownTypes;MoveRisk=NamespaceOrTypeRenameDanger</t>
  </si>
  <si>
    <t>HistoricalFile=Data/Scripts/Items/Magical/Artifacts/Obsolete/Obsolete_LeggingsOfEmbers.cs; Risk=Build;Runtime;Save; POST-BATCH-L is audit-only P2 residual triage. No source, project, XML/config, serialized layout, runtime file location, command name, access level, or region policy changed.</t>
  </si>
  <si>
    <t>RB-05936</t>
  </si>
  <si>
    <t>P10-F05936</t>
  </si>
  <si>
    <t>PBL-0661</t>
  </si>
  <si>
    <t>CurrentFile=Data/Scripts/Items/Magical/Artifacts/Obsolete/Obsolete_LeggingsOfEnlightenment.cs;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RuntimeInventory=PrimaryRole=Persistence;SecondaryRoles=CombatPolicy;ItemContent;LegacyCompatibility;Commands=;Hooks=;SerializedTypes=class:LeggingsOfEnlightenment;Gumps=; SerializationRegister=Class=Server.Items.LeggingsOfEnlightenment;Version=Unknown;Handling=NoVersionFound;Alignment=AlignedByCountAndKnownTypes;MoveRisk=NamespaceOrTypeRenameDanger</t>
  </si>
  <si>
    <t>HistoricalFile=Data/Scripts/Items/Magical/Artifacts/Obsolete/Obsolete_LeggingsOfEnlightenment.cs; Risk=Build;Runtime;Save; POST-BATCH-L is audit-only P2 residual triage. No source, project, XML/config, serialized layout, runtime file location, command name, access level, or region policy changed.</t>
  </si>
  <si>
    <t>RB-05937</t>
  </si>
  <si>
    <t>P10-F05937</t>
  </si>
  <si>
    <t>Data/Scripts/Items/Magical/Artifacts/Obsolete/Obsolete_LeggingsOfFire.cs</t>
  </si>
  <si>
    <t>PBL-0662</t>
  </si>
  <si>
    <t>CurrentFile=Data/Scripts/Items/Magical/Artifacts/Obsolete/Obsolete_LeggingsOfFire.cs;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RuntimeInventory=PrimaryRole=Persistence;SecondaryRoles=CombatPolicy;ItemContent;LegacyCompatibility;Commands=;Hooks=;SerializedTypes=class:LeggingsOfFire;Gumps=; SerializationRegister=Class=Server.Items.LeggingsOfFire;Version=1;Handling=IfVersionGates;Alignment=AlignedByCountAndKnownTypes;MoveRisk=NamespaceOrTypeRenameDanger</t>
  </si>
  <si>
    <t>HistoricalFile=Data/Scripts/Items/Magical/Artifacts/Obsolete/Obsolete_LeggingsOfFire.cs; Risk=Build;Runtime;Save; POST-BATCH-L is audit-only P2 residual triage. No source, project, XML/config, serialized layout, runtime file location, command name, access level, or region policy changed.</t>
  </si>
  <si>
    <t>RB-05938</t>
  </si>
  <si>
    <t>P10-F05938</t>
  </si>
  <si>
    <t>Data/Scripts/Items/Magical/Artifacts/Obsolete/Obsolete_LegsOfAegis.cs</t>
  </si>
  <si>
    <t>PBL-0663</t>
  </si>
  <si>
    <t>CurrentFile=Data/Scripts/Items/Magical/Artifacts/Obsolete/Obsolete_LegsOfAegis.cs;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RuntimeInventory=PrimaryRole=Persistence;SecondaryRoles=CombatPolicy;ItemContent;LegacyCompatibility;Commands=;Hooks=;SerializedTypes=class:LeggingsOfAegis;Gumps=; SerializationRegister=Class=Server.Items.LeggingsOfAegis;Version=1;Handling=IfVersionGates;Alignment=AlignedByCountAndKnownTypes;MoveRisk=NamespaceOrTypeRenameDanger</t>
  </si>
  <si>
    <t>HistoricalFile=Data/Scripts/Items/Magical/Artifacts/Obsolete/Obsolete_LegsOfAegis.cs; Risk=Build;Runtime;Save; POST-BATCH-L is audit-only P2 residual triage. No source, project, XML/config, serialized layout, runtime file location, command name, access level, or region policy changed.</t>
  </si>
  <si>
    <t>RB-05939</t>
  </si>
  <si>
    <t>P10-F05939</t>
  </si>
  <si>
    <t>Data/Scripts/Items/Magical/Artifacts/Obsolete/Obsolete_LegsOfFortune.cs</t>
  </si>
  <si>
    <t>PBL-0664</t>
  </si>
  <si>
    <t>CurrentFile=Data/Scripts/Items/Magical/Artifacts/Obsolete/Obsolete_LegsOfFortune.cs;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RuntimeInventory=PrimaryRole=Persistence;SecondaryRoles=CombatPolicy;ItemContent;LegacyCompatibility;Commands=;Hooks=;SerializedTypes=class:LegsOfFortune;Gumps=; SerializationRegister=Class=Server.Items.LegsOfFortune;Version=0;Handling=SingleVersionOnly;Alignment=AlignedByCountAndKnownTypes;MoveRisk=NamespaceOrTypeRenameDanger</t>
  </si>
  <si>
    <t>HistoricalFile=Data/Scripts/Items/Magical/Artifacts/Obsolete/Obsolete_LegsOfFortune.cs; Risk=Build;Runtime;Save; POST-BATCH-L is audit-only P2 residual triage. No source, project, XML/config, serialized layout, runtime file location, command name, access level, or region policy changed.</t>
  </si>
  <si>
    <t>RB-05940</t>
  </si>
  <si>
    <t>P10-F05940</t>
  </si>
  <si>
    <t>Data/Scripts/Items/Magical/Artifacts/Obsolete/Obsolete_LegsOfInsight.cs</t>
  </si>
  <si>
    <t>PBL-0665</t>
  </si>
  <si>
    <t>CurrentFile=Data/Scripts/Items/Magical/Artifacts/Obsolete/Obsolete_LegsOfInsight.cs;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RuntimeInventory=PrimaryRole=Persistence;SecondaryRoles=CombatPolicy;ItemContent;LegacyCompatibility;Commands=;Hooks=;SerializedTypes=class:LegsOfInsight;Gumps=; SerializationRegister=Class=Server.Items.LegsOfInsight;Version=1;Handling=IfVersionGates;Alignment=AlignedByCountAndKnownTypes;MoveRisk=NamespaceOrTypeRenameDanger</t>
  </si>
  <si>
    <t>HistoricalFile=Data/Scripts/Items/Magical/Artifacts/Obsolete/Obsolete_LegsOfInsight.cs; Risk=Build;Runtime;Save; POST-BATCH-L is audit-only P2 residual triage. No source, project, XML/config, serialized layout, runtime file location, command name, access level, or region policy changed.</t>
  </si>
  <si>
    <t>RB-05941</t>
  </si>
  <si>
    <t>P10-F05941</t>
  </si>
  <si>
    <t>Data/Scripts/Items/Magical/Artifacts/Obsolete/Obsolete_LegsOfNobility.cs</t>
  </si>
  <si>
    <t>PBL-0666</t>
  </si>
  <si>
    <t>CurrentFile=Data/Scripts/Items/Magical/Artifacts/Obsolete/Obsolete_LegsOfNobility.cs;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RuntimeInventory=PrimaryRole=Persistence;SecondaryRoles=CombatPolicy;ItemContent;LegacyCompatibility;Commands=;Hooks=;SerializedTypes=class:LegsOfNobility;Gumps=; SerializationRegister=Class=Server.Items.LegsOfNobility;Version=1;Handling=IfVersionGates;Alignment=AlignedByCountAndKnownTypes;MoveRisk=NamespaceOrTypeRenameDanger</t>
  </si>
  <si>
    <t>HistoricalFile=Data/Scripts/Items/Magical/Artifacts/Obsolete/Obsolete_LegsOfNobility.cs; Risk=Build;Runtime;Save; POST-BATCH-L is audit-only P2 residual triage. No source, project, XML/config, serialized layout, runtime file location, command name, access level, or region policy changed.</t>
  </si>
  <si>
    <t>RB-05942</t>
  </si>
  <si>
    <t>P10-F05942</t>
  </si>
  <si>
    <t>Data/Scripts/Items/Magical/Artifacts/Obsolete/Obsolete_LegsOfTheFallenKing.cs</t>
  </si>
  <si>
    <t>PBL-0667</t>
  </si>
  <si>
    <t>CurrentFile=Data/Scripts/Items/Magical/Artifacts/Obsolete/Obsolete_LegsOfTheFallenKing.cs;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RuntimeInventory=PrimaryRole=Persistence;SecondaryRoles=CombatPolicy;ItemContent;LegacyCompatibility;Commands=;Hooks=;SerializedTypes=class:LegsOfTheFallenKing;Gumps=; SerializationRegister=Class=Server.Items.LegsOfTheFallenKing;Version=1;Handling=IfVersionGates;Alignment=AlignedByCountAndKnownTypes;MoveRisk=NamespaceOrTypeRenameDanger</t>
  </si>
  <si>
    <t>HistoricalFile=Data/Scripts/Items/Magical/Artifacts/Obsolete/Obsolete_LegsOfTheFallenKing.cs; Risk=Build;Runtime;Save; POST-BATCH-L is audit-only P2 residual triage. No source, project, XML/config, serialized layout, runtime file location, command name, access level, or region policy changed.</t>
  </si>
  <si>
    <t>RB-05943</t>
  </si>
  <si>
    <t>P10-F05943</t>
  </si>
  <si>
    <t>Data/Scripts/Items/Magical/Artifacts/Obsolete/Obsolete_LegsOfTheHarrower.cs</t>
  </si>
  <si>
    <t>PBL-0668</t>
  </si>
  <si>
    <t>CurrentFile=Data/Scripts/Items/Magical/Artifacts/Obsolete/Obsolete_LegsOfTheHarrower.cs;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RuntimeInventory=PrimaryRole=Persistence;SecondaryRoles=CombatPolicy;ItemContent;LegacyCompatibility;Commands=;Hooks=;SerializedTypes=class:LegsOfTheHarrower;Gumps=; SerializationRegister=Class=Server.Items.LegsOfTheHarrower;Version=1;Handling=IfVersionGates;Alignment=AlignedByCountAndKnownTypes;MoveRisk=NamespaceOrTypeRenameDanger</t>
  </si>
  <si>
    <t>HistoricalFile=Data/Scripts/Items/Magical/Artifacts/Obsolete/Obsolete_LegsOfTheHarrower.cs; Risk=Build;Runtime;Save; POST-BATCH-L is audit-only P2 residual triage. No source, project, XML/config, serialized layout, runtime file location, command name, access level, or region policy changed.</t>
  </si>
  <si>
    <t>RB-05944</t>
  </si>
  <si>
    <t>P10-F05944</t>
  </si>
  <si>
    <t>Data/Scripts/Items/Magical/Artifacts/Obsolete/Obsolete_LieutenantOfTheBritannianRoyalGuard.cs</t>
  </si>
  <si>
    <t>PBL-0669</t>
  </si>
  <si>
    <t>CurrentFile=Data/Scripts/Items/Magical/Artifacts/Obsolete/Obsolete_LieutenantOfTheBritannianRoyalGuard.cs;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RuntimeInventory=PrimaryRole=Persistence;SecondaryRoles=CombatPolicy;ItemContent;LegacyCompatibility;Commands=;Hooks=;SerializedTypes=class:LieutenantOfTheBritannianRoyalGuard;Gumps=; SerializationRegister=Class=Server.Items.LieutenantOfTheBritannianRoyalGuard;Version=0;Handling=SingleVersionOnly;Alignment=AlignedByCountAndKnownTypes;MoveRisk=NamespaceOrTypeRenameDanger</t>
  </si>
  <si>
    <t>HistoricalFile=Data/Scripts/Items/Magical/Artifacts/Obsolete/Obsolete_LieutenantOfTheBritannianRoyalGuard.cs; Risk=Build;Runtime;Save; POST-BATCH-L is audit-only P2 residual triage. No source, project, XML/config, serialized layout, runtime file location, command name, access level, or region policy changed.</t>
  </si>
  <si>
    <t>RB-05945</t>
  </si>
  <si>
    <t>P10-F05945</t>
  </si>
  <si>
    <t>Data/Scripts/Items/Magical/Artifacts/Obsolete/Obsolete_LongShot.cs</t>
  </si>
  <si>
    <t>PBL-0670</t>
  </si>
  <si>
    <t>CurrentFile=Data/Scripts/Items/Magical/Artifacts/Obsolete/Obsolete_LongShot.cs;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RuntimeInventory=PrimaryRole=Persistence;SecondaryRoles=CombatPolicy;ItemContent;LegacyCompatibility;Commands=;Hooks=;SerializedTypes=class:LongShot;Gumps=; SerializationRegister=Class=Server.Items.LongShot;Version=0;Handling=SingleVersionOnly;Alignment=AlignedByCountAndKnownTypes;MoveRisk=NamespaceOrTypeRenameDanger</t>
  </si>
  <si>
    <t>HistoricalFile=Data/Scripts/Items/Magical/Artifacts/Obsolete/Obsolete_LongShot.cs; Risk=Build;Runtime;Save; POST-BATCH-L is audit-only P2 residual triage. No source, project, XML/config, serialized layout, runtime file location, command name, access level, or region policy changed.</t>
  </si>
  <si>
    <t>RB-05946</t>
  </si>
  <si>
    <t>P10-F05946</t>
  </si>
  <si>
    <t>Data/Scripts/Items/Magical/Artifacts/Obsolete/Obsolete_LuckyEarrings.cs</t>
  </si>
  <si>
    <t>PBL-0671</t>
  </si>
  <si>
    <t>CurrentFile=Data/Scripts/Items/Magical/Artifacts/Obsolete/Obsolete_LuckyEarrings.cs;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RuntimeInventory=PrimaryRole=Persistence;SecondaryRoles=CombatPolicy;ItemContent;LegacyCompatibility;Commands=;Hooks=;SerializedTypes=class:LuckyEarrings;Gumps=; SerializationRegister=Class=Server.Items.LuckyEarrings;Version=0;Handling=SingleVersionOnly;Alignment=AlignedByCountAndKnownTypes;MoveRisk=NamespaceOrTypeRenameDanger</t>
  </si>
  <si>
    <t>HistoricalFile=Data/Scripts/Items/Magical/Artifacts/Obsolete/Obsolete_LuckyEarrings.cs; Risk=Build;Runtime;Save; POST-BATCH-L is audit-only P2 residual triage. No source, project, XML/config, serialized layout, runtime file location, command name, access level, or region policy changed.</t>
  </si>
  <si>
    <t>RB-05947</t>
  </si>
  <si>
    <t>P10-F05947</t>
  </si>
  <si>
    <t>Data/Scripts/Items/Magical/Artifacts/Obsolete/Obsolete_LuckyNecklace.cs</t>
  </si>
  <si>
    <t>PBL-0672</t>
  </si>
  <si>
    <t>CurrentFile=Data/Scripts/Items/Magical/Artifacts/Obsolete/Obsolete_LuckyNecklace.cs;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RuntimeInventory=PrimaryRole=Persistence;SecondaryRoles=CombatPolicy;ItemContent;LegacyCompatibility;Commands=;Hooks=;SerializedTypes=class:LuckyNecklace;Gumps=; SerializationRegister=Class=Server.Items.LuckyNecklace;Version=0;Handling=SingleVersionOnly;Alignment=AlignedByCountAndKnownTypes;MoveRisk=NamespaceOrTypeRenameDanger</t>
  </si>
  <si>
    <t>HistoricalFile=Data/Scripts/Items/Magical/Artifacts/Obsolete/Obsolete_LuckyNecklace.cs; Risk=Build;Runtime;Save; POST-BATCH-L is audit-only P2 residual triage. No source, project, XML/config, serialized layout, runtime file location, command name, access level, or region policy changed.</t>
  </si>
  <si>
    <t>RB-05948</t>
  </si>
  <si>
    <t>P10-F05948</t>
  </si>
  <si>
    <t>PBL-0673</t>
  </si>
  <si>
    <t>CurrentFile=Data/Scripts/Items/Magical/Artifacts/Obsolete/Obsolete_LuminousRuneBlade.cs;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RuntimeInventory=PrimaryRole=Persistence;SecondaryRoles=CombatPolicy;ItemContent;LegacyCompatibility;Commands=;Hooks=;SerializedTypes=class:LuminousRuneBlade;Gumps=; SerializationRegister=Class=Server.Items.LuminousRuneBlade;Version=Unknown;Handling=NoVersionFound;Alignment=AlignedByCountAndKnownTypes;MoveRisk=NamespaceOrTypeRenameDanger</t>
  </si>
  <si>
    <t>HistoricalFile=Data/Scripts/Items/Magical/Artifacts/Obsolete/Obsolete_LuminousRuneBlade.cs; Risk=Build;Runtime;Save; POST-BATCH-L is audit-only P2 residual triage. No source, project, XML/config, serialized layout, runtime file location, command name, access level, or region policy changed.</t>
  </si>
  <si>
    <t>RB-05949</t>
  </si>
  <si>
    <t>P10-F05949</t>
  </si>
  <si>
    <t>Data/Scripts/Items/Magical/Artifacts/Obsolete/Obsolete_LunaLance.cs</t>
  </si>
  <si>
    <t>PBL-0674</t>
  </si>
  <si>
    <t>CurrentFile=Data/Scripts/Items/Magical/Artifacts/Obsolete/Obsolete_LunaLance.cs;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RuntimeInventory=PrimaryRole=Persistence;SecondaryRoles=CombatPolicy;ItemContent;LegacyCompatibility;Commands=;Hooks=;SerializedTypes=class:LunaLance;Gumps=; SerializationRegister=Class=Server.Items.LunaLance;Version=0;Handling=SingleVersionOnly;Alignment=AlignedByCountAndKnownTypes;MoveRisk=NamespaceOrTypeRenameDanger</t>
  </si>
  <si>
    <t>HistoricalFile=Data/Scripts/Items/Magical/Artifacts/Obsolete/Obsolete_LunaLance.cs; Risk=Build;Runtime;Save; POST-BATCH-L is audit-only P2 residual triage. No source, project, XML/config, serialized layout, runtime file location, command name, access level, or region policy changed.</t>
  </si>
  <si>
    <t>RB-05950</t>
  </si>
  <si>
    <t>P10-F05950</t>
  </si>
  <si>
    <t>Data/Scripts/Items/Magical/Artifacts/Obsolete/Obsolete_MadmansHatchet.cs</t>
  </si>
  <si>
    <t>PBL-0675</t>
  </si>
  <si>
    <t>CurrentFile=Data/Scripts/Items/Magical/Artifacts/Obsolete/Obsolete_MadmansHatchet.cs;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RuntimeInventory=PrimaryRole=Persistence;SecondaryRoles=CombatPolicy;ItemContent;LegacyCompatibility;Commands=;Hooks=;SerializedTypes=class:MadmansHatchet;Gumps=; SerializationRegister=Class=Server.Items.MadmansHatchet;Version=0;Handling=SingleVersionOnly;Alignment=AlignedByCountAndKnownTypes;MoveRisk=NamespaceOrTypeRenameDanger</t>
  </si>
  <si>
    <t>HistoricalFile=Data/Scripts/Items/Magical/Artifacts/Obsolete/Obsolete_MadmansHatchet.cs; Risk=Build;Runtime;Save; POST-BATCH-L is audit-only P2 residual triage. No source, project, XML/config, serialized layout, runtime file location, command name, access level, or region policy changed.</t>
  </si>
  <si>
    <t>RB-05951</t>
  </si>
  <si>
    <t>P10-F05951</t>
  </si>
  <si>
    <t>Data/Scripts/Items/Magical/Artifacts/Obsolete/Obsolete_MagesBand.cs</t>
  </si>
  <si>
    <t>PBL-0676</t>
  </si>
  <si>
    <t>CurrentFile=Data/Scripts/Items/Magical/Artifacts/Obsolete/Obsolete_MagesBand.cs;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RuntimeInventory=PrimaryRole=Persistence;SecondaryRoles=CombatPolicy;ItemContent;LegacyCompatibility;Commands=;Hooks=;SerializedTypes=class:MagesBand;Gumps=; SerializationRegister=Class=Server.Items.MagesBand;Version=0;Handling=SingleVersionOnly;Alignment=AlignedByCountAndKnownTypes;MoveRisk=NamespaceOrTypeRenameDanger</t>
  </si>
  <si>
    <t>HistoricalFile=Data/Scripts/Items/Magical/Artifacts/Obsolete/Obsolete_MagesBand.cs; Risk=Build;Runtime;Save; POST-BATCH-L is audit-only P2 residual triage. No source, project, XML/config, serialized layout, runtime file location, command name, access level, or region policy changed.</t>
  </si>
  <si>
    <t>RB-05952</t>
  </si>
  <si>
    <t>P10-F05952</t>
  </si>
  <si>
    <t>Data/Scripts/Items/Magical/Artifacts/Obsolete/Obsolete_MagiciansIllusion.cs</t>
  </si>
  <si>
    <t>PBL-0677</t>
  </si>
  <si>
    <t>CurrentFile=Data/Scripts/Items/Magical/Artifacts/Obsolete/Obsolete_MagiciansIllusion.cs;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RuntimeInventory=PrimaryRole=Persistence;SecondaryRoles=CombatPolicy;ItemContent;LegacyCompatibility;Commands=;Hooks=;SerializedTypes=class:MagiciansIllusion;Gumps=; SerializationRegister=Class=Server.Items.MagiciansIllusion;Version=0;Handling=SingleVersionOnly;Alignment=AlignedByCountAndKnownTypes;MoveRisk=NamespaceOrTypeRenameDanger</t>
  </si>
  <si>
    <t>HistoricalFile=Data/Scripts/Items/Magical/Artifacts/Obsolete/Obsolete_MagiciansIllusion.cs; Risk=Build;Runtime;Save; POST-BATCH-L is audit-only P2 residual triage. No source, project, XML/config, serialized layout, runtime file location, command name, access level, or region policy changed.</t>
  </si>
  <si>
    <t>RB-05953</t>
  </si>
  <si>
    <t>P10-F05953</t>
  </si>
  <si>
    <t>Data/Scripts/Items/Magical/Artifacts/Obsolete/Obsolete_MagiciansMempo.cs</t>
  </si>
  <si>
    <t>PBL-0678</t>
  </si>
  <si>
    <t>CurrentFile=Data/Scripts/Items/Magical/Artifacts/Obsolete/Obsolete_MagiciansMempo.cs;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RuntimeInventory=PrimaryRole=Persistence;SecondaryRoles=CombatPolicy;ItemContent;LegacyCompatibility;Commands=;Hooks=;SerializedTypes=class:MagiciansMempo;Gumps=; SerializationRegister=Class=Server.Items.MagiciansMempo;Version=0;Handling=SingleVersionOnly;Alignment=AlignedByCountAndKnownTypes;MoveRisk=NamespaceOrTypeRenameDanger</t>
  </si>
  <si>
    <t>HistoricalFile=Data/Scripts/Items/Magical/Artifacts/Obsolete/Obsolete_MagiciansMempo.cs; Risk=Build;Runtime;Save; POST-BATCH-L is audit-only P2 residual triage. No source, project, XML/config, serialized layout, runtime file location, command name, access level, or region policy changed.</t>
  </si>
  <si>
    <t>RB-05954</t>
  </si>
  <si>
    <t>P10-F05954</t>
  </si>
  <si>
    <t>Data/Scripts/Items/Magical/Artifacts/Obsolete/Obsolete_MarbleShield.cs</t>
  </si>
  <si>
    <t>PBL-0679</t>
  </si>
  <si>
    <t>CurrentFile=Data/Scripts/Items/Magical/Artifacts/Obsolete/Obsolete_MarbleShield.cs;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RuntimeInventory=PrimaryRole=Persistence;SecondaryRoles=CombatPolicy;ItemContent;LegacyCompatibility;Commands=;Hooks=;SerializedTypes=class:MarbleShield;Gumps=; SerializationRegister=Class=Server.Items.MarbleShield;Version=0;Handling=SingleVersionOnly;Alignment=AlignedByCountAndKnownTypes;MoveRisk=NamespaceOrTypeRenameDanger</t>
  </si>
  <si>
    <t>HistoricalFile=Data/Scripts/Items/Magical/Artifacts/Obsolete/Obsolete_MarbleShield.cs; Risk=Build;Runtime;Save; POST-BATCH-L is audit-only P2 residual triage. No source, project, XML/config, serialized layout, runtime file location, command name, access level, or region policy changed.</t>
  </si>
  <si>
    <t>RB-05955</t>
  </si>
  <si>
    <t>P10-F05955</t>
  </si>
  <si>
    <t>Data/Scripts/Items/Magical/Artifacts/Obsolete/Obsolete_MauloftheBeast.cs</t>
  </si>
  <si>
    <t>PBL-0680</t>
  </si>
  <si>
    <t>CurrentFile=Data/Scripts/Items/Magical/Artifacts/Obsolete/Obsolete_MauloftheBeast.cs;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RuntimeInventory=PrimaryRole=Persistence;SecondaryRoles=CombatPolicy;ItemContent;LegacyCompatibility;Commands=;Hooks=;SerializedTypes=class:MauloftheBeast;Gumps=; SerializationRegister=Class=Server.Items.MauloftheBeast;Version=0;Handling=SingleVersionOnly;Alignment=AlignedByCountAndKnownTypes;MoveRisk=NamespaceOrTypeRenameDanger</t>
  </si>
  <si>
    <t>HistoricalFile=Data/Scripts/Items/Magical/Artifacts/Obsolete/Obsolete_MauloftheBeast.cs; Risk=Build;Runtime;Save; POST-BATCH-L is audit-only P2 residual triage. No source, project, XML/config, serialized layout, runtime file location, command name, access level, or region policy changed.</t>
  </si>
  <si>
    <t>RB-05956</t>
  </si>
  <si>
    <t>P10-F05956</t>
  </si>
  <si>
    <t>Data/Scripts/Items/Magical/Artifacts/Obsolete/Obsolete_MaulOfTheTitans.cs</t>
  </si>
  <si>
    <t>PBL-0681</t>
  </si>
  <si>
    <t>CurrentFile=Data/Scripts/Items/Magical/Artifacts/Obsolete/Obsolete_MaulOfTheTitans.cs;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RuntimeInventory=PrimaryRole=Persistence;SecondaryRoles=CombatPolicy;ItemContent;LegacyCompatibility;Commands=;Hooks=;SerializedTypes=class:MaulOfTheTitans;Gumps=; SerializationRegister=Class=Server.Items.MaulOfTheTitans;Version=0;Handling=SingleVersionOnly;Alignment=AlignedByCountAndKnownTypes;MoveRisk=NamespaceOrTypeRenameDanger</t>
  </si>
  <si>
    <t>HistoricalFile=Data/Scripts/Items/Magical/Artifacts/Obsolete/Obsolete_MaulOfTheTitans.cs; Risk=Build;Runtime;Save; POST-BATCH-L is audit-only P2 residual triage. No source, project, XML/config, serialized layout, runtime file location, command name, access level, or region policy changed.</t>
  </si>
  <si>
    <t>RB-05957</t>
  </si>
  <si>
    <t>P10-F05957</t>
  </si>
  <si>
    <t>PBL-0682</t>
  </si>
  <si>
    <t>CurrentFile=Data/Scripts/Items/Magical/Artifacts/Obsolete/Obsolete_MelisandesCorrodedHatchet.cs;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RuntimeInventory=PrimaryRole=Persistence;SecondaryRoles=CombatPolicy;ItemContent;LegacyCompatibility;Commands=;Hooks=;SerializedTypes=class:MelisandesCorrodedHatchet;Gumps=; SerializationRegister=Class=Server.Items.MelisandesCorrodedHatchet;Version=Unknown;Handling=NoVersionFound;Alignment=AlignedByCountAndKnownTypes;MoveRisk=NamespaceOrTypeRenameDanger</t>
  </si>
  <si>
    <t>HistoricalFile=Data/Scripts/Items/Magical/Artifacts/Obsolete/Obsolete_MelisandesCorrodedHatchet.cs; Risk=Build;Runtime;Save; POST-BATCH-L is audit-only P2 residual triage. No source, project, XML/config, serialized layout, runtime file location, command name, access level, or region policy changed.</t>
  </si>
  <si>
    <t>RB-05958</t>
  </si>
  <si>
    <t>P10-F05958</t>
  </si>
  <si>
    <t>Data/Scripts/Items/Magical/Artifacts/Obsolete/Obsolete_MidnightBracers.cs</t>
  </si>
  <si>
    <t>PBL-0683</t>
  </si>
  <si>
    <t>CurrentFile=Data/Scripts/Items/Magical/Artifacts/Obsolete/Obsolete_MidnightBracers.cs;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RuntimeInventory=PrimaryRole=Persistence;SecondaryRoles=CombatPolicy;ItemContent;LegacyCompatibility;Commands=;Hooks=;SerializedTypes=class:MidnightBracers;Gumps=; SerializationRegister=Class=Server.Items.MidnightBracers;Version=1;Handling=IfVersionGates;Alignment=AlignedByCountAndKnownTypes;MoveRisk=NamespaceOrTypeRenameDanger</t>
  </si>
  <si>
    <t>HistoricalFile=Data/Scripts/Items/Magical/Artifacts/Obsolete/Obsolete_MidnightBracers.cs; Risk=Build;Runtime;Save; POST-BATCH-L is audit-only P2 residual triage. No source, project, XML/config, serialized layout, runtime file location, command name, access level, or region policy changed.</t>
  </si>
  <si>
    <t>RB-05959</t>
  </si>
  <si>
    <t>P10-F05959</t>
  </si>
  <si>
    <t>Data/Scripts/Items/Magical/Artifacts/Obsolete/Obsolete_MidnightGloves.cs</t>
  </si>
  <si>
    <t>PBL-0684</t>
  </si>
  <si>
    <t>CurrentFile=Data/Scripts/Items/Magical/Artifacts/Obsolete/Obsolete_MidnightGloves.cs;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RuntimeInventory=PrimaryRole=Persistence;SecondaryRoles=CombatPolicy;ItemContent;LegacyCompatibility;Commands=;Hooks=;SerializedTypes=class:MidnightGloves;Gumps=; SerializationRegister=Class=Server.Items.MidnightGloves;Version=1;Handling=IfVersionGates;Alignment=AlignedByCountAndKnownTypes;MoveRisk=NamespaceOrTypeRenameDanger</t>
  </si>
  <si>
    <t>HistoricalFile=Data/Scripts/Items/Magical/Artifacts/Obsolete/Obsolete_MidnightGloves.cs; Risk=Build;Runtime;Save; POST-BATCH-L is audit-only P2 residual triage. No source, project, XML/config, serialized layout, runtime file location, command name, access level, or region policy changed.</t>
  </si>
  <si>
    <t>RB-05960</t>
  </si>
  <si>
    <t>P10-F05960</t>
  </si>
  <si>
    <t>Data/Scripts/Items/Magical/Artifacts/Obsolete/Obsolete_MidnightHelm.cs</t>
  </si>
  <si>
    <t>PBL-0685</t>
  </si>
  <si>
    <t>CurrentFile=Data/Scripts/Items/Magical/Artifacts/Obsolete/Obsolete_MidnightHelm.cs;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RuntimeInventory=PrimaryRole=Persistence;SecondaryRoles=CombatPolicy;ItemContent;LegacyCompatibility;Commands=;Hooks=;SerializedTypes=class:MidnightHelm;Gumps=; SerializationRegister=Class=Server.Items.MidnightHelm;Version=1;Handling=IfVersionGates;Alignment=AlignedByCountAndKnownTypes;MoveRisk=NamespaceOrTypeRenameDanger</t>
  </si>
  <si>
    <t>HistoricalFile=Data/Scripts/Items/Magical/Artifacts/Obsolete/Obsolete_MidnightHelm.cs; Risk=Build;Runtime;Save; POST-BATCH-L is audit-only P2 residual triage. No source, project, XML/config, serialized layout, runtime file location, command name, access level, or region policy changed.</t>
  </si>
  <si>
    <t>RB-05961</t>
  </si>
  <si>
    <t>P10-F05961</t>
  </si>
  <si>
    <t>Data/Scripts/Items/Magical/Artifacts/Obsolete/Obsolete_MidnightLegs.cs</t>
  </si>
  <si>
    <t>PBL-0686</t>
  </si>
  <si>
    <t>CurrentFile=Data/Scripts/Items/Magical/Artifacts/Obsolete/Obsolete_MidnightLegs.cs;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RuntimeInventory=PrimaryRole=Persistence;SecondaryRoles=CombatPolicy;ItemContent;LegacyCompatibility;Commands=;Hooks=;SerializedTypes=class:MidnightLegs;Gumps=; SerializationRegister=Class=Server.Items.MidnightLegs;Version=1;Handling=IfVersionGates;Alignment=AlignedByCountAndKnownTypes;MoveRisk=NamespaceOrTypeRenameDanger</t>
  </si>
  <si>
    <t>HistoricalFile=Data/Scripts/Items/Magical/Artifacts/Obsolete/Obsolete_MidnightLegs.cs; Risk=Build;Runtime;Save; POST-BATCH-L is audit-only P2 residual triage. No source, project, XML/config, serialized layout, runtime file location, command name, access level, or region policy changed.</t>
  </si>
  <si>
    <t>RB-05962</t>
  </si>
  <si>
    <t>P10-F05962</t>
  </si>
  <si>
    <t>Data/Scripts/Items/Magical/Artifacts/Obsolete/Obsolete_MidnightTunic.cs</t>
  </si>
  <si>
    <t>PBL-0687</t>
  </si>
  <si>
    <t>CurrentFile=Data/Scripts/Items/Magical/Artifacts/Obsolete/Obsolete_MidnightTunic.cs;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RuntimeInventory=PrimaryRole=Persistence;SecondaryRoles=CombatPolicy;ItemContent;LegacyCompatibility;Commands=;Hooks=;SerializedTypes=class:MidnightTunic;Gumps=; SerializationRegister=Class=Server.Items.MidnightTunic;Version=1;Handling=IfVersionGates;Alignment=AlignedByCountAndKnownTypes;MoveRisk=NamespaceOrTypeRenameDanger</t>
  </si>
  <si>
    <t>HistoricalFile=Data/Scripts/Items/Magical/Artifacts/Obsolete/Obsolete_MidnightTunic.cs; Risk=Build;Runtime;Save; POST-BATCH-L is audit-only P2 residual triage. No source, project, XML/config, serialized layout, runtime file location, command name, access level, or region policy changed.</t>
  </si>
  <si>
    <t>RB-05963</t>
  </si>
  <si>
    <t>P10-F05963</t>
  </si>
  <si>
    <t>Data/Scripts/Items/Magical/Artifacts/Obsolete/Obsolete_MinersPickaxe.cs</t>
  </si>
  <si>
    <t>PBL-0688</t>
  </si>
  <si>
    <t>CurrentFile=Data/Scripts/Items/Magical/Artifacts/Obsolete/Obsolete_MinersPickaxe.cs;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RuntimeInventory=PrimaryRole=Persistence;SecondaryRoles=CombatPolicy;ItemContent;LegacyCompatibility;Commands=;Hooks=;SerializedTypes=class:MinersPickaxe;Gumps=; SerializationRegister=Class=Server.Items.MinersPickaxe;Version=0;Handling=SingleVersionOnly;Alignment=AlignedByCountAndKnownTypes;MoveRisk=NamespaceOrTypeRenameDanger</t>
  </si>
  <si>
    <t>HistoricalFile=Data/Scripts/Items/Magical/Artifacts/Obsolete/Obsolete_MinersPickaxe.cs; Risk=Build;Runtime;Save; POST-BATCH-L is audit-only P2 residual triage. No source, project, XML/config, serialized layout, runtime file location, command name, access level, or region policy changed.</t>
  </si>
  <si>
    <t>RB-05964</t>
  </si>
  <si>
    <t>P10-F05964</t>
  </si>
  <si>
    <t>Data/Scripts/Items/Magical/Artifacts/Obsolete/Obsolete_NightsKiss.cs</t>
  </si>
  <si>
    <t>PBL-0689</t>
  </si>
  <si>
    <t>CurrentFile=Data/Scripts/Items/Magical/Artifacts/Obsolete/Obsolete_NightsKiss.cs;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RuntimeInventory=PrimaryRole=Persistence;SecondaryRoles=CombatPolicy;ItemContent;LegacyCompatibility;Commands=;Hooks=;SerializedTypes=class:NightsKiss;Gumps=; SerializationRegister=Class=Server.Items.NightsKiss;Version=0;Handling=SingleVersionOnly;Alignment=AlignedByCountAndKnownTypes;MoveRisk=NamespaceOrTypeRenameDanger</t>
  </si>
  <si>
    <t>HistoricalFile=Data/Scripts/Items/Magical/Artifacts/Obsolete/Obsolete_NightsKiss.cs; Risk=Build;Runtime;Save; POST-BATCH-L is audit-only P2 residual triage. No source, project, XML/config, serialized layout, runtime file location, command name, access level, or region policy changed.</t>
  </si>
  <si>
    <t>RB-05965</t>
  </si>
  <si>
    <t>P10-F05965</t>
  </si>
  <si>
    <t>Data/Scripts/Items/Magical/Artifacts/Obsolete/Obsolete_NoxBow.cs</t>
  </si>
  <si>
    <t>PBL-0690</t>
  </si>
  <si>
    <t>CurrentFile=Data/Scripts/Items/Magical/Artifacts/Obsolete/Obsolete_NoxBow.cs;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RuntimeInventory=PrimaryRole=Persistence;SecondaryRoles=CombatPolicy;ItemContent;LegacyCompatibility;Commands=;Hooks=;SerializedTypes=class:NoxBow;Gumps=; SerializationRegister=Class=Server.Items.NoxBow;Version=0;Handling=SingleVersionOnly;Alignment=AlignedByCountAndKnownTypes;MoveRisk=NamespaceOrTypeRenameDanger</t>
  </si>
  <si>
    <t>HistoricalFile=Data/Scripts/Items/Magical/Artifacts/Obsolete/Obsolete_NoxBow.cs; Risk=Build;Runtime;Save; POST-BATCH-L is audit-only P2 residual triage. No source, project, XML/config, serialized layout, runtime file location, command name, access level, or region policy changed.</t>
  </si>
  <si>
    <t>RB-05966</t>
  </si>
  <si>
    <t>P10-F05966</t>
  </si>
  <si>
    <t>Data/Scripts/Items/Magical/Artifacts/Obsolete/Obsolete_NoxNightlight.cs</t>
  </si>
  <si>
    <t>PBL-0691</t>
  </si>
  <si>
    <t>CurrentFile=Data/Scripts/Items/Magical/Artifacts/Obsolete/Obsolete_NoxNightlight.cs;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RuntimeInventory=PrimaryRole=Persistence;SecondaryRoles=CombatPolicy;ItemContent;LegacyCompatibility;Commands=;Hooks=;SerializedTypes=class:NoxNightlight;Gumps=; SerializationRegister=Class=Server.Items.NoxNightlight;Version=0;Handling=SingleVersionOnly;Alignment=AlignedByCountAndKnownTypes;MoveRisk=NamespaceOrTypeRenameDanger</t>
  </si>
  <si>
    <t>HistoricalFile=Data/Scripts/Items/Magical/Artifacts/Obsolete/Obsolete_NoxNightlight.cs; Risk=Build;Runtime;Save; POST-BATCH-L is audit-only P2 residual triage. No source, project, XML/config, serialized layout, runtime file location, command name, access level, or region policy changed.</t>
  </si>
  <si>
    <t>RB-05967</t>
  </si>
  <si>
    <t>P10-F05967</t>
  </si>
  <si>
    <t>Data/Scripts/Items/Magical/Artifacts/Obsolete/Obsolete_NoxRangersHeavyCrossbow.cs</t>
  </si>
  <si>
    <t>PBL-0692</t>
  </si>
  <si>
    <t>CurrentFile=Data/Scripts/Items/Magical/Artifacts/Obsolete/Obsolete_NoxRangersHeavyCrossbow.cs;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RuntimeInventory=PrimaryRole=Persistence;SecondaryRoles=CombatPolicy;ItemContent;LegacyCompatibility;Commands=;Hooks=;SerializedTypes=class:NoxRangersHeavyCrossbow;Gumps=; SerializationRegister=Class=Server.Items.NoxRangersHeavyCrossbow;Version=0;Handling=SingleVersionOnly;Alignment=AlignedByCountAndKnownTypes;MoveRisk=NamespaceOrTypeRenameDanger</t>
  </si>
  <si>
    <t>HistoricalFile=Data/Scripts/Items/Magical/Artifacts/Obsolete/Obsolete_NoxRangersHeavyCrossbow.cs; Risk=Build;Runtime;Save; POST-BATCH-L is audit-only P2 residual triage. No source, project, XML/config, serialized layout, runtime file location, command name, access level, or region policy changed.</t>
  </si>
  <si>
    <t>RB-05968</t>
  </si>
  <si>
    <t>P10-F05968</t>
  </si>
  <si>
    <t>Data/Scripts/Items/Magical/Artifacts/Obsolete/Obsolete_OblivionsNeedle.cs</t>
  </si>
  <si>
    <t>PBL-0693</t>
  </si>
  <si>
    <t>CurrentFile=Data/Scripts/Items/Magical/Artifacts/Obsolete/Obsolete_OblivionsNeedle.cs;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RuntimeInventory=PrimaryRole=Persistence;SecondaryRoles=CombatPolicy;ItemContent;LegacyCompatibility;Commands=;Hooks=;SerializedTypes=class:OblivionsNeedle;Gumps=; SerializationRegister=Class=Server.Items.OblivionsNeedle;Version=0;Handling=SingleVersionOnly;Alignment=AlignedByCountAndKnownTypes;MoveRisk=NamespaceOrTypeRenameDanger</t>
  </si>
  <si>
    <t>HistoricalFile=Data/Scripts/Items/Magical/Artifacts/Obsolete/Obsolete_OblivionsNeedle.cs; Risk=Build;Runtime;Save; POST-BATCH-L is audit-only P2 residual triage. No source, project, XML/config, serialized layout, runtime file location, command name, access level, or region policy changed.</t>
  </si>
  <si>
    <t>RB-05969</t>
  </si>
  <si>
    <t>P10-F05969</t>
  </si>
  <si>
    <t>Data/Scripts/Items/Magical/Artifacts/Obsolete/Obsolete_OrcChieftainHelm.cs</t>
  </si>
  <si>
    <t>PBL-0694</t>
  </si>
  <si>
    <t>CurrentFile=Data/Scripts/Items/Magical/Artifacts/Obsolete/Obsolete_OrcChieftainHelm.cs;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RuntimeInventory=PrimaryRole=Persistence;SecondaryRoles=CombatPolicy;ItemContent;LegacyCompatibility;Commands=;Hooks=;SerializedTypes=class:OrcChieftainHelm;Gumps=; SerializationRegister=Class=Server.Items.OrcChieftainHelm;Version=1;Handling=IfVersionGates;Alignment=AlignedByCountAndKnownTypes;MoveRisk=NamespaceOrTypeRenameDanger</t>
  </si>
  <si>
    <t>HistoricalFile=Data/Scripts/Items/Magical/Artifacts/Obsolete/Obsolete_OrcChieftainHelm.cs; Risk=Build;Runtime;Save; POST-BATCH-L is audit-only P2 residual triage. No source, project, XML/config, serialized layout, runtime file location, command name, access level, or region policy changed.</t>
  </si>
  <si>
    <t>RB-05970</t>
  </si>
  <si>
    <t>P10-F05970</t>
  </si>
  <si>
    <t>Data/Scripts/Items/Magical/Artifacts/Obsolete/Obsolete_OrcishVisage.cs</t>
  </si>
  <si>
    <t>PBL-0695</t>
  </si>
  <si>
    <t>CurrentFile=Data/Scripts/Items/Magical/Artifacts/Obsolete/Obsolete_OrcishVisage.cs;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RuntimeInventory=PrimaryRole=Persistence;SecondaryRoles=CombatPolicy;ItemContent;LegacyCompatibility;Commands=;Hooks=;SerializedTypes=class:OrcishVisage;Gumps=; SerializationRegister=Class=Server.Items.OrcishVisage;Version=0;Handling=SingleVersionOnly;Alignment=AlignedByCountAndKnownTypes;MoveRisk=NamespaceOrTypeRenameDanger</t>
  </si>
  <si>
    <t>HistoricalFile=Data/Scripts/Items/Magical/Artifacts/Obsolete/Obsolete_OrcishVisage.cs; Risk=Build;Runtime;Save; POST-BATCH-L is audit-only P2 residual triage. No source, project, XML/config, serialized layout, runtime file location, command name, access level, or region policy changed.</t>
  </si>
  <si>
    <t>RB-05971</t>
  </si>
  <si>
    <t>P10-F05971</t>
  </si>
  <si>
    <t>Data/Scripts/Items/Magical/Artifacts/Obsolete/Obsolete_OrnamentOfTheMagician.cs</t>
  </si>
  <si>
    <t>PBL-0696</t>
  </si>
  <si>
    <t>CurrentFile=Data/Scripts/Items/Magical/Artifacts/Obsolete/Obsolete_OrnamentOfTheMagician.cs;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RuntimeInventory=PrimaryRole=Persistence;SecondaryRoles=CombatPolicy;ItemContent;LegacyCompatibility;Commands=;Hooks=;SerializedTypes=class:OrnamentOfTheMagician;Gumps=; SerializationRegister=Class=Server.Items.OrnamentOfTheMagician;Version=0;Handling=SingleVersionOnly;Alignment=AlignedByCountAndKnownTypes;MoveRisk=NamespaceOrTypeRenameDanger</t>
  </si>
  <si>
    <t>HistoricalFile=Data/Scripts/Items/Magical/Artifacts/Obsolete/Obsolete_OrnamentOfTheMagician.cs; Risk=Build;Runtime;Save; POST-BATCH-L is audit-only P2 residual triage. No source, project, XML/config, serialized layout, runtime file location, command name, access level, or region policy changed.</t>
  </si>
  <si>
    <t>RB-05972</t>
  </si>
  <si>
    <t>P10-F05972</t>
  </si>
  <si>
    <t>Data/Scripts/Items/Magical/Artifacts/Obsolete/Obsolete_OrnateCrownOfTheHarrower.cs</t>
  </si>
  <si>
    <t>PBL-0697</t>
  </si>
  <si>
    <t>CurrentFile=Data/Scripts/Items/Magical/Artifacts/Obsolete/Obsolete_OrnateCrownOfTheHarrower.cs;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RuntimeInventory=PrimaryRole=Persistence;SecondaryRoles=CombatPolicy;ItemContent;LegacyCompatibility;Commands=;Hooks=;SerializedTypes=class:OrnateCrownOfTheHarrower;Gumps=; SerializationRegister=Class=Server.Items.OrnateCrownOfTheHarrower;Version=1;Handling=IfVersionGates;Alignment=AlignedByCountAndKnownTypes;MoveRisk=NamespaceOrTypeRenameDanger</t>
  </si>
  <si>
    <t>HistoricalFile=Data/Scripts/Items/Magical/Artifacts/Obsolete/Obsolete_OrnateCrownOfTheHarrower.cs; Risk=Build;Runtime;Save; POST-BATCH-L is audit-only P2 residual triage. No source, project, XML/config, serialized layout, runtime file location, command name, access level, or region policy changed.</t>
  </si>
  <si>
    <t>RB-05973</t>
  </si>
  <si>
    <t>P10-F05973</t>
  </si>
  <si>
    <t>PBL-0698</t>
  </si>
  <si>
    <t>CurrentFile=Data/Scripts/Items/Magical/Artifacts/Obsolete/Obsolete_OssianGrimoire.cs;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RuntimeInventory=PrimaryRole=Persistence;SecondaryRoles=CombatPolicy;ItemContent;LegacyCompatibility;Commands=;Hooks=;SerializedTypes=class:OssianGrimoire;Gumps=; SerializationRegister=Class=Server.Items.OssianGrimoire;Version=Unknown;Handling=NoVersionFound;Alignment=AlignedByCountAndKnownTypes;MoveRisk=NamespaceOrTypeRenameDanger</t>
  </si>
  <si>
    <t>HistoricalFile=Data/Scripts/Items/Magical/Artifacts/Obsolete/Obsolete_OssianGrimoire.cs; Risk=Build;Runtime;Save; POST-BATCH-L is audit-only P2 residual triage. No source, project, XML/config, serialized layout, runtime file location, command name, access level, or region policy changed.</t>
  </si>
  <si>
    <t>RB-05974</t>
  </si>
  <si>
    <t>P10-F05974</t>
  </si>
  <si>
    <t>PBL-0699</t>
  </si>
  <si>
    <t>CurrentFile=Data/Scripts/Items/Magical/Artifacts/Obsolete/Obsolete_OverseerSunderedBlade.cs;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RuntimeInventory=PrimaryRole=Persistence;SecondaryRoles=CombatPolicy;StaffTooling;ItemContent;LegacyCompatibility;Commands=;Hooks=;SerializedTypes=class:OverseerSunderedBlade;Gumps=; SerializationRegister=Class=Server.Items.OverseerSunderedBlade;Version=Unknown;Handling=NoVersionFound;Alignment=AlignedByCountAndKnownTypes;MoveRisk=NamespaceOrTypeRenameDanger</t>
  </si>
  <si>
    <t>HistoricalFile=Data/Scripts/Items/Magical/Artifacts/Obsolete/Obsolete_OverseerSunderedBlade.cs; Risk=Build;Runtime;Save; POST-BATCH-L is audit-only P2 residual triage. No source, project, XML/config, serialized layout, runtime file location, command name, access level, or region policy changed.</t>
  </si>
  <si>
    <t>RB-05975</t>
  </si>
  <si>
    <t>P10-F05975</t>
  </si>
  <si>
    <t>Data/Scripts/Items/Magical/Artifacts/Obsolete/Obsolete_Pacify.cs</t>
  </si>
  <si>
    <t>PBL-0700</t>
  </si>
  <si>
    <t>CurrentFile=Data/Scripts/Items/Magical/Artifacts/Obsolete/Obsolete_Pacify.cs;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RuntimeInventory=PrimaryRole=Persistence;SecondaryRoles=CombatPolicy;ItemContent;LegacyCompatibility;Commands=;Hooks=;SerializedTypes=class:Pacify;Gumps=; SerializationRegister=Class=Server.Items.Pacify;Version=0;Handling=SingleVersionOnly;Alignment=AlignedByCountAndKnownTypes;MoveRisk=NamespaceOrTypeRenameDanger</t>
  </si>
  <si>
    <t>HistoricalFile=Data/Scripts/Items/Magical/Artifacts/Obsolete/Obsolete_Pacify.cs; Risk=Build;Runtime;Save; POST-BATCH-L is audit-only P2 residual triage. No source, project, XML/config, serialized layout, runtime file location, command name, access level, or region policy changed.</t>
  </si>
  <si>
    <t>RB-05976</t>
  </si>
  <si>
    <t>P10-F05976</t>
  </si>
  <si>
    <t>PBL-0701</t>
  </si>
  <si>
    <t>CurrentFile=Data/Scripts/Items/Magical/Artifacts/Obsolete/Obsolete_PadsOfTheCuSidhe.cs;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RuntimeInventory=PrimaryRole=Persistence;SecondaryRoles=CombatPolicy;ItemContent;LegacyCompatibility;Commands=;Hooks=;SerializedTypes=class:PadsOfTheCuSidhe;Gumps=; SerializationRegister=Class=Server.Items.PadsOfTheCuSidhe;Version=Unknown;Handling=NoVersionFound;Alignment=AlignedByCountAndKnownTypes;MoveRisk=NamespaceOrTypeRenameDanger</t>
  </si>
  <si>
    <t>HistoricalFile=Data/Scripts/Items/Magical/Artifacts/Obsolete/Obsolete_PadsOfTheCuSidhe.cs; Risk=Build;Runtime;Save; POST-BATCH-L is audit-only P2 residual triage. No source, project, XML/config, serialized layout, runtime file location, command name, access level, or region policy changed.</t>
  </si>
  <si>
    <t>RB-05977</t>
  </si>
  <si>
    <t>P10-F05977</t>
  </si>
  <si>
    <t>PBL-0702</t>
  </si>
  <si>
    <t>CurrentFile=Data/Scripts/Items/Magical/Artifacts/Obsolete/Obsolete_PendantOfTheMagi.cs;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RuntimeInventory=PrimaryRole=Persistence;SecondaryRoles=CombatPolicy;ItemContent;LegacyCompatibility;Commands=;Hooks=;SerializedTypes=class:PendantOfTheMagi;Gumps=; SerializationRegister=Class=Server.Items.PendantOfTheMagi;Version=Unknown;Handling=NoVersionFound;Alignment=AlignedByCountAndKnownTypes;MoveRisk=NamespaceOrTypeRenameDanger</t>
  </si>
  <si>
    <t>HistoricalFile=Data/Scripts/Items/Magical/Artifacts/Obsolete/Obsolete_PendantOfTheMagi.cs; Risk=Build;Runtime;Save; POST-BATCH-L is audit-only P2 residual triage. No source, project, XML/config, serialized layout, runtime file location, command name, access level, or region policy changed.</t>
  </si>
  <si>
    <t>RB-05978</t>
  </si>
  <si>
    <t>P10-F05978</t>
  </si>
  <si>
    <t>Data/Scripts/Items/Magical/Artifacts/Obsolete/Obsolete_Pestilence.cs</t>
  </si>
  <si>
    <t>PBL-0703</t>
  </si>
  <si>
    <t>CurrentFile=Data/Scripts/Items/Magical/Artifacts/Obsolete/Obsolete_Pestilence.cs;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RuntimeInventory=PrimaryRole=Persistence;SecondaryRoles=CombatPolicy;ItemContent;LegacyCompatibility;Commands=;Hooks=;SerializedTypes=class:Pestilence;Gumps=; SerializationRegister=Class=Server.Items.Pestilence;Version=0;Handling=SingleVersionOnly;Alignment=AlignedByCountAndKnownTypes;MoveRisk=NamespaceOrTypeRenameDanger</t>
  </si>
  <si>
    <t>HistoricalFile=Data/Scripts/Items/Magical/Artifacts/Obsolete/Obsolete_Pestilence.cs; Risk=Build;Runtime;Save; POST-BATCH-L is audit-only P2 residual triage. No source, project, XML/config, serialized layout, runtime file location, command name, access level, or region policy changed.</t>
  </si>
  <si>
    <t>RB-05979</t>
  </si>
  <si>
    <t>P10-F05979</t>
  </si>
  <si>
    <t>PBL-0704</t>
  </si>
  <si>
    <t>CurrentFile=Data/Scripts/Items/Magical/Artifacts/Obsolete/Obsolete_PhantomStaff.cs;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RuntimeInventory=PrimaryRole=Persistence;SecondaryRoles=CombatPolicy;StaffTooling;ItemContent;LegacyCompatibility;Commands=;Hooks=;SerializedTypes=class:PhantomStaff;Gumps=; SerializationRegister=Class=Server.Items.PhantomStaff;Version=Unknown;Handling=NoVersionFound;Alignment=AlignedByCountAndKnownTypes;MoveRisk=NamespaceOrTypeRenameDanger</t>
  </si>
  <si>
    <t>HistoricalFile=Data/Scripts/Items/Magical/Artifacts/Obsolete/Obsolete_PhantomStaff.cs; Risk=Build;Runtime;Save; POST-BATCH-L is audit-only P2 residual triage. No source, project, XML/config, serialized layout, runtime file location, command name, access level, or region policy changed.</t>
  </si>
  <si>
    <t>RB-05980</t>
  </si>
  <si>
    <t>P10-F05980</t>
  </si>
  <si>
    <t>Data/Scripts/Items/Magical/Artifacts/Obsolete/Obsolete_PixieSwatter.cs</t>
  </si>
  <si>
    <t>PBL-0705</t>
  </si>
  <si>
    <t>CurrentFile=Data/Scripts/Items/Magical/Artifacts/Obsolete/Obsolete_PixieSwatter.cs;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RuntimeInventory=PrimaryRole=Persistence;SecondaryRoles=CombatPolicy;ItemContent;LegacyCompatibility;Commands=;Hooks=;SerializedTypes=class:PixieSwatter;Gumps=; SerializationRegister=Class=Server.Items.PixieSwatter;Version=0;Handling=SingleVersionOnly;Alignment=AlignedByCountAndKnownTypes;MoveRisk=NamespaceOrTypeRenameDanger</t>
  </si>
  <si>
    <t>HistoricalFile=Data/Scripts/Items/Magical/Artifacts/Obsolete/Obsolete_PixieSwatter.cs; Risk=Build;Runtime;Save; POST-BATCH-L is audit-only P2 residual triage. No source, project, XML/config, serialized layout, runtime file location, command name, access level, or region policy changed.</t>
  </si>
  <si>
    <t>RB-05981</t>
  </si>
  <si>
    <t>P10-F05981</t>
  </si>
  <si>
    <t>Data/Scripts/Items/Magical/Artifacts/Obsolete/Obsolete_PolarBearBoots.cs</t>
  </si>
  <si>
    <t>PBL-0706</t>
  </si>
  <si>
    <t>CurrentFile=Data/Scripts/Items/Magical/Artifacts/Obsolete/Obsolete_PolarBearBoots.cs;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RuntimeInventory=PrimaryRole=Persistence;SecondaryRoles=CombatPolicy;ItemContent;LegacyCompatibility;Commands=;Hooks=;SerializedTypes=class:PolarBearBoots;Gumps=; SerializationRegister=Class=Server.Items.PolarBearBoots;Version=0;Handling=SingleVersionOnly;Alignment=AlignedByCountAndKnownTypes;MoveRisk=NamespaceOrTypeRenameDanger</t>
  </si>
  <si>
    <t>HistoricalFile=Data/Scripts/Items/Magical/Artifacts/Obsolete/Obsolete_PolarBearBoots.cs; Risk=Build;Runtime;Save; POST-BATCH-L is audit-only P2 residual triage. No source, project, XML/config, serialized layout, runtime file location, command name, access level, or region policy changed.</t>
  </si>
  <si>
    <t>RB-05982</t>
  </si>
  <si>
    <t>P10-F05982</t>
  </si>
  <si>
    <t>Data/Scripts/Items/Magical/Artifacts/Obsolete/Obsolete_PolarBearCloak.cs</t>
  </si>
  <si>
    <t>PBL-0707</t>
  </si>
  <si>
    <t>CurrentFile=Data/Scripts/Items/Magical/Artifacts/Obsolete/Obsolete_PolarBearCloak.cs;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RuntimeInventory=PrimaryRole=Persistence;SecondaryRoles=CombatPolicy;ItemContent;LegacyCompatibility;Commands=;Hooks=;SerializedTypes=class:PolarBearCape;Gumps=; SerializationRegister=Class=Server.Items.PolarBearCape;Version=0;Handling=SingleVersionOnly;Alignment=AlignedByCountAndKnownTypes;MoveRisk=NamespaceOrTypeRenameDanger</t>
  </si>
  <si>
    <t>HistoricalFile=Data/Scripts/Items/Magical/Artifacts/Obsolete/Obsolete_PolarBearCloak.cs; Risk=Build;Runtime;Save; POST-BATCH-L is audit-only P2 residual triage. No source, project, XML/config, serialized layout, runtime file location, command name, access level, or region policy changed.</t>
  </si>
  <si>
    <t>RB-05983</t>
  </si>
  <si>
    <t>P10-F05983</t>
  </si>
  <si>
    <t>Data/Scripts/Items/Magical/Artifacts/Obsolete/Obsolete_PolarBearMask.cs</t>
  </si>
  <si>
    <t>PBL-0708</t>
  </si>
  <si>
    <t>CurrentFile=Data/Scripts/Items/Magical/Artifacts/Obsolete/Obsolete_PolarBearMask.cs;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RuntimeInventory=PrimaryRole=Persistence;SecondaryRoles=CombatPolicy;ItemContent;LegacyCompatibility;Commands=;Hooks=;SerializedTypes=class:PolarBearMask;Gumps=; SerializationRegister=Class=Server.Items.PolarBearMask;Version=2;Handling=IfVersionGates;Alignment=AlignedByCountAndKnownTypes;MoveRisk=NamespaceOrTypeRenameDanger</t>
  </si>
  <si>
    <t>HistoricalFile=Data/Scripts/Items/Magical/Artifacts/Obsolete/Obsolete_PolarBearMask.cs; Risk=Build;Runtime;Save; POST-BATCH-L is audit-only P2 residual triage. No source, project, XML/config, serialized layout, runtime file location, command name, access level, or region policy changed.</t>
  </si>
  <si>
    <t>RB-05984</t>
  </si>
  <si>
    <t>P10-F05984</t>
  </si>
  <si>
    <t>Data/Scripts/Items/Magical/Artifacts/Obsolete/Obsolete_PowerSurge.cs</t>
  </si>
  <si>
    <t>PBL-0709</t>
  </si>
  <si>
    <t>CurrentFile=Data/Scripts/Items/Magical/Artifacts/Obsolete/Obsolete_PowerSurge.cs;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RuntimeInventory=PrimaryRole=Persistence;SecondaryRoles=CombatPolicy;ItemContent;LegacyCompatibility;Commands=;Hooks=;SerializedTypes=class:PowerSurge;Gumps=; SerializationRegister=Class=Server.Items.PowerSurge;Version=0;Handling=SingleVersionOnly;Alignment=AlignedByCountAndKnownTypes;MoveRisk=NamespaceOrTypeRenameDanger</t>
  </si>
  <si>
    <t>HistoricalFile=Data/Scripts/Items/Magical/Artifacts/Obsolete/Obsolete_PowerSurge.cs; Risk=Build;Runtime;Save; POST-BATCH-L is audit-only P2 residual triage. No source, project, XML/config, serialized layout, runtime file location, command name, access level, or region policy changed.</t>
  </si>
  <si>
    <t>RB-05985</t>
  </si>
  <si>
    <t>P10-F05985</t>
  </si>
  <si>
    <t>Data/Scripts/Items/Magical/Artifacts/Obsolete/Obsolete_Quell.cs</t>
  </si>
  <si>
    <t>PBL-0710</t>
  </si>
  <si>
    <t>CurrentFile=Data/Scripts/Items/Magical/Artifacts/Obsolete/Obsolete_Quell.cs;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RuntimeInventory=PrimaryRole=Persistence;SecondaryRoles=CombatPolicy;ItemContent;LegacyCompatibility;Commands=;Hooks=;SerializedTypes=class:Quell;Gumps=; SerializationRegister=Class=Server.Items.Quell;Version=0;Handling=SingleVersionOnly;Alignment=AlignedByCountAndKnownTypes;MoveRisk=NamespaceOrTypeRenameDanger</t>
  </si>
  <si>
    <t>HistoricalFile=Data/Scripts/Items/Magical/Artifacts/Obsolete/Obsolete_Quell.cs; Risk=Build;Runtime;Save; POST-BATCH-L is audit-only P2 residual triage. No source, project, XML/config, serialized layout, runtime file location, command name, access level, or region policy changed.</t>
  </si>
  <si>
    <t>RB-05986</t>
  </si>
  <si>
    <t>P10-F05986</t>
  </si>
  <si>
    <t>PBL-0711</t>
  </si>
  <si>
    <t>CurrentFile=Data/Scripts/Items/Magical/Artifacts/Obsolete/Obsolete_RaedsGlory.cs;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RuntimeInventory=PrimaryRole=Persistence;SecondaryRoles=CombatPolicy;ItemContent;LegacyCompatibility;Commands=;Hooks=;SerializedTypes=class:RaedsGlory;Gumps=; SerializationRegister=Class=Server.Items.RaedsGlory;Version=Unknown;Handling=NoVersionFound;Alignment=AlignedByCountAndKnownTypes;MoveRisk=NamespaceOrTypeRenameDanger</t>
  </si>
  <si>
    <t>HistoricalFile=Data/Scripts/Items/Magical/Artifacts/Obsolete/Obsolete_RaedsGlory.cs; Risk=Build;Runtime;Save; POST-BATCH-L is audit-only P2 residual triage. No source, project, XML/config, serialized layout, runtime file location, command name, access level, or region policy changed.</t>
  </si>
  <si>
    <t>RB-05987</t>
  </si>
  <si>
    <t>P10-F05987</t>
  </si>
  <si>
    <t>Data/Scripts/Items/Magical/Artifacts/Obsolete/Obsolete_RamusNecromanticScalpel.cs</t>
  </si>
  <si>
    <t>PBL-0712</t>
  </si>
  <si>
    <t>CurrentFile=Data/Scripts/Items/Magical/Artifacts/Obsolete/Obsolete_RamusNecromanticScalpel.cs;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RuntimeInventory=PrimaryRole=Persistence;SecondaryRoles=CombatPolicy;ItemContent;LegacyCompatibility;Commands=;Hooks=;SerializedTypes=class:RamusNecromanticScalpel;Gumps=; SerializationRegister=Class=Server.Items.RamusNecromanticScalpel;Version=0;Handling=SingleVersionOnly;Alignment=AlignedByCountAndKnownTypes;MoveRisk=NamespaceOrTypeRenameDanger</t>
  </si>
  <si>
    <t>HistoricalFile=Data/Scripts/Items/Magical/Artifacts/Obsolete/Obsolete_RamusNecromanticScalpel.cs; Risk=Build;Runtime;Save; POST-BATCH-L is audit-only P2 residual triage. No source, project, XML/config, serialized layout, runtime file location, command name, access level, or region policy changed.</t>
  </si>
  <si>
    <t>RB-05988</t>
  </si>
  <si>
    <t>P10-F05988</t>
  </si>
  <si>
    <t>PBL-0713</t>
  </si>
  <si>
    <t>CurrentFile=Data/Scripts/Items/Magical/Artifacts/Obsolete/Obsolete_ResillientBracer.cs;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RuntimeInventory=PrimaryRole=Persistence;SecondaryRoles=CombatPolicy;ItemContent;LegacyCompatibility;Commands=;Hooks=;SerializedTypes=class:ResilientBracer;Gumps=; SerializationRegister=Class=Server.Items.ResilientBracer;Version=Unknown;Handling=NoVersionFound;Alignment=AlignedByCountAndKnownTypes;MoveRisk=NamespaceOrTypeRenameDanger</t>
  </si>
  <si>
    <t>HistoricalFile=Data/Scripts/Items/Magical/Artifacts/Obsolete/Obsolete_ResillientBracer.cs; Risk=Build;Runtime;Save; POST-BATCH-L is audit-only P2 residual triage. No source, project, XML/config, serialized layout, runtime file location, command name, access level, or region policy changed.</t>
  </si>
  <si>
    <t>RB-05989</t>
  </si>
  <si>
    <t>P10-F05989</t>
  </si>
  <si>
    <t>Data/Scripts/Items/Magical/Artifacts/Obsolete/Obsolete_Retort.cs</t>
  </si>
  <si>
    <t>PBL-0714</t>
  </si>
  <si>
    <t>CurrentFile=Data/Scripts/Items/Magical/Artifacts/Obsolete/Obsolete_Retort.cs;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RuntimeInventory=PrimaryRole=Persistence;SecondaryRoles=CombatPolicy;ItemContent;LegacyCompatibility;Commands=;Hooks=;SerializedTypes=class:Retort;Gumps=; SerializationRegister=Class=Server.Items.Retort;Version=0;Handling=SingleVersionOnly;Alignment=AlignedByCountAndKnownTypes;MoveRisk=NamespaceOrTypeRenameDanger</t>
  </si>
  <si>
    <t>HistoricalFile=Data/Scripts/Items/Magical/Artifacts/Obsolete/Obsolete_Retort.cs; Risk=Build;Runtime;Save; POST-BATCH-L is audit-only P2 residual triage. No source, project, XML/config, serialized layout, runtime file location, command name, access level, or region policy changed.</t>
  </si>
  <si>
    <t>RB-05990</t>
  </si>
  <si>
    <t>P10-F05990</t>
  </si>
  <si>
    <t>PBL-0715</t>
  </si>
  <si>
    <t>CurrentFile=Data/Scripts/Items/Magical/Artifacts/Obsolete/Obsolete_RighteousAnger.cs;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RuntimeInventory=PrimaryRole=Persistence;SecondaryRoles=CombatPolicy;ItemContent;LegacyCompatibility;Commands=;Hooks=;SerializedTypes=class:RighteousAnger;Gumps=; SerializationRegister=Class=Server.Items.RighteousAnger;Version=Unknown;Handling=NoVersionFound;Alignment=AlignedByCountAndKnownTypes;MoveRisk=NamespaceOrTypeRenameDanger</t>
  </si>
  <si>
    <t>HistoricalFile=Data/Scripts/Items/Magical/Artifacts/Obsolete/Obsolete_RighteousAnger.cs; Risk=Build;Runtime;Save; POST-BATCH-L is audit-only P2 residual triage. No source, project, XML/config, serialized layout, runtime file location, command name, access level, or region policy changed.</t>
  </si>
  <si>
    <t>RB-05991</t>
  </si>
  <si>
    <t>P10-F05991</t>
  </si>
  <si>
    <t>Data/Scripts/Items/Magical/Artifacts/Obsolete/Obsolete_RingOfHealth.cs</t>
  </si>
  <si>
    <t>PBL-0716</t>
  </si>
  <si>
    <t>CurrentFile=Data/Scripts/Items/Magical/Artifacts/Obsolete/Obsolete_RingOfHealth.cs;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RuntimeInventory=PrimaryRole=Persistence;SecondaryRoles=CombatPolicy;ItemContent;LegacyCompatibility;Commands=;Hooks=;SerializedTypes=class:RingOfHealth;Gumps=; SerializationRegister=Class=Server.Items.RingOfHealth;Version=0;Handling=SingleVersionOnly;Alignment=AlignedByCountAndKnownTypes;MoveRisk=NamespaceOrTypeRenameDanger</t>
  </si>
  <si>
    <t>HistoricalFile=Data/Scripts/Items/Magical/Artifacts/Obsolete/Obsolete_RingOfHealth.cs; Risk=Build;Runtime;Save; POST-BATCH-L is audit-only P2 residual triage. No source, project, XML/config, serialized layout, runtime file location, command name, access level, or region policy changed.</t>
  </si>
  <si>
    <t>RB-05992</t>
  </si>
  <si>
    <t>P10-F05992</t>
  </si>
  <si>
    <t>Data/Scripts/Items/Magical/Artifacts/Obsolete/Obsolete_RingOfTheElements.cs</t>
  </si>
  <si>
    <t>PBL-0717</t>
  </si>
  <si>
    <t>CurrentFile=Data/Scripts/Items/Magical/Artifacts/Obsolete/Obsolete_RingOfTheElements.cs;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RuntimeInventory=PrimaryRole=Persistence;SecondaryRoles=CombatPolicy;ItemContent;LegacyCompatibility;Commands=;Hooks=;SerializedTypes=class:RingOfTheElements;Gumps=; SerializationRegister=Class=Server.Items.RingOfTheElements;Version=0;Handling=SingleVersionOnly;Alignment=AlignedByCountAndKnownTypes;MoveRisk=NamespaceOrTypeRenameDanger</t>
  </si>
  <si>
    <t>HistoricalFile=Data/Scripts/Items/Magical/Artifacts/Obsolete/Obsolete_RingOfTheElements.cs; Risk=Build;Runtime;Save; POST-BATCH-L is audit-only P2 residual triage. No source, project, XML/config, serialized layout, runtime file location, command name, access level, or region policy changed.</t>
  </si>
  <si>
    <t>RB-05993</t>
  </si>
  <si>
    <t>P10-F05993</t>
  </si>
  <si>
    <t>Data/Scripts/Items/Magical/Artifacts/Obsolete/Obsolete_RingOfTheMagician.cs</t>
  </si>
  <si>
    <t>PBL-0718</t>
  </si>
  <si>
    <t>CurrentFile=Data/Scripts/Items/Magical/Artifacts/Obsolete/Obsolete_RingOfTheMagician.cs;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RuntimeInventory=PrimaryRole=Persistence;SecondaryRoles=CombatPolicy;ItemContent;LegacyCompatibility;Commands=;Hooks=;SerializedTypes=class:RingOfTheMagician;Gumps=; SerializationRegister=Class=Server.Items.RingOfTheMagician;Version=0;Handling=SingleVersionOnly;Alignment=AlignedByCountAndKnownTypes;MoveRisk=NamespaceOrTypeRenameDanger</t>
  </si>
  <si>
    <t>HistoricalFile=Data/Scripts/Items/Magical/Artifacts/Obsolete/Obsolete_RingOfTheMagician.cs; Risk=Build;Runtime;Save; POST-BATCH-L is audit-only P2 residual triage. No source, project, XML/config, serialized layout, runtime file location, command name, access level, or region policy changed.</t>
  </si>
  <si>
    <t>RB-05994</t>
  </si>
  <si>
    <t>P10-F05994</t>
  </si>
  <si>
    <t>Data/Scripts/Items/Magical/Artifacts/Obsolete/Obsolete_RingOfTheVile.cs</t>
  </si>
  <si>
    <t>PBL-0719</t>
  </si>
  <si>
    <t>CurrentFile=Data/Scripts/Items/Magical/Artifacts/Obsolete/Obsolete_RingOfTheVile.cs;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RuntimeInventory=PrimaryRole=Persistence;SecondaryRoles=CombatPolicy;ItemContent;LegacyCompatibility;Commands=;Hooks=;SerializedTypes=class:RingOfTheVile;Gumps=; SerializationRegister=Class=Server.Items.RingOfTheVile;Version=0;Handling=SingleVersionOnly;Alignment=AlignedByCountAndKnownTypes;MoveRisk=NamespaceOrTypeRenameDanger</t>
  </si>
  <si>
    <t>HistoricalFile=Data/Scripts/Items/Magical/Artifacts/Obsolete/Obsolete_RingOfTheVile.cs; Risk=Build;Runtime;Save; POST-BATCH-L is audit-only P2 residual triage. No source, project, XML/config, serialized layout, runtime file location, command name, access level, or region policy changed.</t>
  </si>
  <si>
    <t>RB-05995</t>
  </si>
  <si>
    <t>P10-F05995</t>
  </si>
  <si>
    <t>Data/Scripts/Items/Magical/Artifacts/Obsolete/Obsolete_RobeOfTeleportation.cs</t>
  </si>
  <si>
    <t>PBL-0720</t>
  </si>
  <si>
    <t>CurrentFile=Data/Scripts/Items/Magical/Artifacts/Obsolete/Obsolete_RobeOfTeleportation.cs;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RuntimeInventory=PrimaryRole=Persistence;SecondaryRoles=CombatPolicy;ItemContent;LegacyCompatibility;Commands=;Hooks=;SerializedTypes=enum:TeleportRobeEffect;class:RobeOfTeleportation;Gumps=; SerializationRegister=Class=Server.Items.RobeOfTeleportation;Version=0;Handling=Switch;Alignment=AlignedByCountAndKnownTypes;MoveRisk=NamespaceOrTypeRenameDanger</t>
  </si>
  <si>
    <t>HistoricalFile=Data/Scripts/Items/Magical/Artifacts/Obsolete/Obsolete_RobeOfTeleportation.cs; Risk=Build;Runtime;Save; POST-BATCH-L is audit-only P2 residual triage. No source, project, XML/config, serialized layout, runtime file location, command name, access level, or region policy changed.</t>
  </si>
  <si>
    <t>RB-05996</t>
  </si>
  <si>
    <t>P10-F05996</t>
  </si>
  <si>
    <t>Data/Scripts/Items/Magical/Artifacts/Obsolete/Obsolete_RobeOfTheEclipse.cs</t>
  </si>
  <si>
    <t>PBL-0721</t>
  </si>
  <si>
    <t>CurrentFile=Data/Scripts/Items/Magical/Artifacts/Obsolete/Obsolete_RobeOfTheEclipse.cs;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RuntimeInventory=PrimaryRole=Persistence;SecondaryRoles=CombatPolicy;ItemContent;LegacyCompatibility;Commands=;Hooks=;SerializedTypes=class:RobeOfTheEclipse;Gumps=; SerializationRegister=Class=Server.Items.RobeOfTheEclipse;Version=0;Handling=SingleVersionOnly;Alignment=AlignedByCountAndKnownTypes;MoveRisk=NamespaceOrTypeRenameDanger</t>
  </si>
  <si>
    <t>HistoricalFile=Data/Scripts/Items/Magical/Artifacts/Obsolete/Obsolete_RobeOfTheEclipse.cs; Risk=Build;Runtime;Save; POST-BATCH-L is audit-only P2 residual triage. No source, project, XML/config, serialized layout, runtime file location, command name, access level, or region policy changed.</t>
  </si>
  <si>
    <t>RB-05997</t>
  </si>
  <si>
    <t>P10-F05997</t>
  </si>
  <si>
    <t>Data/Scripts/Items/Magical/Artifacts/Obsolete/Obsolete_RobeOfTheEquinox.cs</t>
  </si>
  <si>
    <t>PBL-0722</t>
  </si>
  <si>
    <t>CurrentFile=Data/Scripts/Items/Magical/Artifacts/Obsolete/Obsolete_RobeOfTheEquinox.cs;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RuntimeInventory=PrimaryRole=Persistence;SecondaryRoles=CombatPolicy;ItemContent;LegacyCompatibility;Commands=;Hooks=;SerializedTypes=class:RobeOfTheEquinox;Gumps=; SerializationRegister=Class=Server.Items.RobeOfTheEquinox;Version=0;Handling=SingleVersionOnly;Alignment=AlignedByCountAndKnownTypes;MoveRisk=NamespaceOrTypeRenameDanger</t>
  </si>
  <si>
    <t>HistoricalFile=Data/Scripts/Items/Magical/Artifacts/Obsolete/Obsolete_RobeOfTheEquinox.cs; Risk=Build;Runtime;Save; POST-BATCH-L is audit-only P2 residual triage. No source, project, XML/config, serialized layout, runtime file location, command name, access level, or region policy changed.</t>
  </si>
  <si>
    <t>RB-05998</t>
  </si>
  <si>
    <t>P10-F05998</t>
  </si>
  <si>
    <t>Data/Scripts/Items/Magical/Artifacts/Obsolete/Obsolete_RobeOfTreason.cs</t>
  </si>
  <si>
    <t>PBL-0723</t>
  </si>
  <si>
    <t>CurrentFile=Data/Scripts/Items/Magical/Artifacts/Obsolete/Obsolete_RobeOfTreason.cs;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RuntimeInventory=PrimaryRole=Persistence;SecondaryRoles=CombatPolicy;ItemContent;LegacyCompatibility;Commands=;Hooks=;SerializedTypes=class:RobeOfTreason;Gumps=; SerializationRegister=Class=Server.Items.RobeOfTreason;Version=0;Handling=SingleVersionOnly;Alignment=AlignedByCountAndKnownTypes;MoveRisk=NamespaceOrTypeRenameDanger</t>
  </si>
  <si>
    <t>HistoricalFile=Data/Scripts/Items/Magical/Artifacts/Obsolete/Obsolete_RobeOfTreason.cs; Risk=Build;Runtime;Save; POST-BATCH-L is audit-only P2 residual triage. No source, project, XML/config, serialized layout, runtime file location, command name, access level, or region policy changed.</t>
  </si>
  <si>
    <t>RB-05999</t>
  </si>
  <si>
    <t>P10-F05999</t>
  </si>
  <si>
    <t>Data/Scripts/Items/Magical/Artifacts/Obsolete/Obsolete_RobinHoodsBow.cs</t>
  </si>
  <si>
    <t>PBL-0724</t>
  </si>
  <si>
    <t>CurrentFile=Data/Scripts/Items/Magical/Artifacts/Obsolete/Obsolete_RobinHoodsBow.cs;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RuntimeInventory=PrimaryRole=Persistence;SecondaryRoles=CombatPolicy;ItemContent;LegacyCompatibility;Commands=;Hooks=;SerializedTypes=class:RobinHoodsBow;Gumps=; SerializationRegister=Class=Server.Items.RobinHoodsBow;Version=0;Handling=SingleVersionOnly;Alignment=AlignedByCountAndKnownTypes;MoveRisk=NamespaceOrTypeRenameDanger</t>
  </si>
  <si>
    <t>HistoricalFile=Data/Scripts/Items/Magical/Artifacts/Obsolete/Obsolete_RobinHoodsBow.cs; Risk=Build;Runtime;Save; POST-BATCH-L is audit-only P2 residual triage. No source, project, XML/config, serialized layout, runtime file location, command name, access level, or region policy changed.</t>
  </si>
  <si>
    <t>RB-06000</t>
  </si>
  <si>
    <t>P10-F06000</t>
  </si>
  <si>
    <t>Data/Scripts/Items/Magical/Artifacts/Obsolete/Obsolete_RobinHoodsFeatheredHat.cs</t>
  </si>
  <si>
    <t>PBL-0725</t>
  </si>
  <si>
    <t>CurrentFile=Data/Scripts/Items/Magical/Artifacts/Obsolete/Obsolete_RobinHoodsFeatheredHat.cs;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RuntimeInventory=PrimaryRole=Persistence;SecondaryRoles=CombatPolicy;ItemContent;LegacyCompatibility;Commands=;Hooks=;SerializedTypes=class:RobinHoodsFeatheredHat;Gumps=; SerializationRegister=Class=Server.Items.RobinHoodsFeatheredHat;Version=0;Handling=SingleVersionOnly;Alignment=AlignedByCountAndKnownTypes;MoveRisk=NamespaceOrTypeRenameDanger</t>
  </si>
  <si>
    <t>HistoricalFile=Data/Scripts/Items/Magical/Artifacts/Obsolete/Obsolete_RobinHoodsFeatheredHat.cs; Risk=Build;Runtime;Save; POST-BATCH-L is audit-only P2 residual triage. No source, project, XML/config, serialized layout, runtime file location, command name, access level, or region policy changed.</t>
  </si>
  <si>
    <t>RB-06001</t>
  </si>
  <si>
    <t>P10-F06001</t>
  </si>
  <si>
    <t>PBL-0726</t>
  </si>
  <si>
    <t>CurrentFile=Data/Scripts/Items/Magical/Artifacts/Obsolete/Obsolete_RodOfResurrection.cs;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RuntimeInventory=PrimaryRole=GumpUI;SecondaryRoles=Persistence;CombatPolicy;ItemContent;LegacyCompatibility;Commands=;Hooks=;SerializedTypes=enum:ResurrectEffect;class:RodOfResurrection;class:InternalTarget;Gumps=SendGump; SerializationRegister=Class=Server.Items.RodOfResurrection;Version=0;Handling=Switch;Alignment=AlignedByCountAndKnownTypes;MoveRisk=NamespaceOrTypeRenameDanger</t>
  </si>
  <si>
    <t>HistoricalFile=Data/Scripts/Items/Magical/Artifacts/Obsolete/Obsolete_RodOfResurrection.cs; Risk=Build;Runtime;Save; POST-BATCH-L is audit-only P2 residual triage. No source, project, XML/config, serialized layout, runtime file location, command name, access level, or region policy changed.</t>
  </si>
  <si>
    <t>RB-06002</t>
  </si>
  <si>
    <t>P10-F06002</t>
  </si>
  <si>
    <t>Data/Scripts/Items/Magical/Artifacts/Obsolete/Obsolete_RoyalArchersBow.cs</t>
  </si>
  <si>
    <t>PBL-0727</t>
  </si>
  <si>
    <t>CurrentFile=Data/Scripts/Items/Magical/Artifacts/Obsolete/Obsolete_RoyalArchersBow.cs;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RuntimeInventory=PrimaryRole=Persistence;SecondaryRoles=CombatPolicy;ItemContent;LegacyCompatibility;Commands=;Hooks=;SerializedTypes=class:RoyalArchersBow;Gumps=; SerializationRegister=Class=Server.Items.RoyalArchersBow;Version=0;Handling=SingleVersionOnly;Alignment=AlignedByCountAndKnownTypes;MoveRisk=NamespaceOrTypeRenameDanger</t>
  </si>
  <si>
    <t>HistoricalFile=Data/Scripts/Items/Magical/Artifacts/Obsolete/Obsolete_RoyalArchersBow.cs; Risk=Build;Runtime;Save; POST-BATCH-L is audit-only P2 residual triage. No source, project, XML/config, serialized layout, runtime file location, command name, access level, or region policy changed.</t>
  </si>
  <si>
    <t>RB-06003</t>
  </si>
  <si>
    <t>P10-F06003</t>
  </si>
  <si>
    <t>PBL-0728</t>
  </si>
  <si>
    <t>CurrentFile=Data/Scripts/Items/Magical/Artifacts/Obsolete/Obsolete_RoyalGuardsChestplate.cs;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RuntimeInventory=PrimaryRole=Persistence;SecondaryRoles=CombatPolicy;ItemContent;LegacyCompatibility;Commands=;Hooks=;SerializedTypes=class:RoyalGuardsChestplate;Gumps=; SerializationRegister=Class=Server.Items.RoyalGuardsChestplate;Version=1;Handling=SuspiciousOrder;Alignment=AlignedByCountAndKnownTypes;MoveRisk=NamespaceOrTypeRenameDanger</t>
  </si>
  <si>
    <t>HistoricalFile=Data/Scripts/Items/Magical/Artifacts/Obsolete/Obsolete_RoyalGuardsChestplate.cs; Risk=Build;Runtime;Save; POST-BATCH-L is audit-only P2 residual triage. No source, project, XML/config, serialized layout, runtime file location, command name, access level, or region policy changed.</t>
  </si>
  <si>
    <t>RB-06004</t>
  </si>
  <si>
    <t>P10-F06004</t>
  </si>
  <si>
    <t>Data/Scripts/Items/Magical/Artifacts/Obsolete/Obsolete_RoyalGuardsGorget.cs</t>
  </si>
  <si>
    <t>PBL-0729</t>
  </si>
  <si>
    <t>CurrentFile=Data/Scripts/Items/Magical/Artifacts/Obsolete/Obsolete_RoyalGuardsGorget.cs;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RuntimeInventory=PrimaryRole=Persistence;SecondaryRoles=CombatPolicy;ItemContent;LegacyCompatibility;Commands=;Hooks=;SerializedTypes=class:RoyalGuardsGorget;Gumps=; SerializationRegister=Class=Server.Items.RoyalGuardsGorget;Version=0;Handling=SingleVersionOnly;Alignment=AlignedByCountAndKnownTypes;MoveRisk=NamespaceOrTypeRenameDanger</t>
  </si>
  <si>
    <t>HistoricalFile=Data/Scripts/Items/Magical/Artifacts/Obsolete/Obsolete_RoyalGuardsGorget.cs; Risk=Build;Runtime;Save; POST-BATCH-L is audit-only P2 residual triage. No source, project, XML/config, serialized layout, runtime file location, command name, access level, or region policy changed.</t>
  </si>
  <si>
    <t>RB-06005</t>
  </si>
  <si>
    <t>P10-F06005</t>
  </si>
  <si>
    <t>Data/Scripts/Items/Magical/Artifacts/Obsolete/Obsolete_RoyalGuardSurvivalKnife.cs</t>
  </si>
  <si>
    <t>PBL-0730</t>
  </si>
  <si>
    <t>CurrentFile=Data/Scripts/Items/Magical/Artifacts/Obsolete/Obsolete_RoyalGuardSurvivalKnife.cs;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RuntimeInventory=PrimaryRole=Persistence;SecondaryRoles=CombatPolicy;ItemContent;LegacyCompatibility;Commands=;Hooks=;SerializedTypes=class:RoyalGuardSurvivalKnife;Gumps=; SerializationRegister=Class=Server.Items.RoyalGuardSurvivalKnife;Version=0;Handling=SingleVersionOnly;Alignment=AlignedByCountAndKnownTypes;MoveRisk=NamespaceOrTypeRenameDanger</t>
  </si>
  <si>
    <t>HistoricalFile=Data/Scripts/Items/Magical/Artifacts/Obsolete/Obsolete_RoyalGuardSurvivalKnife.cs; Risk=Build;Runtime;Save; POST-BATCH-L is audit-only P2 residual triage. No source, project, XML/config, serialized layout, runtime file location, command name, access level, or region policy changed.</t>
  </si>
  <si>
    <t>RB-06006</t>
  </si>
  <si>
    <t>P10-F06006</t>
  </si>
  <si>
    <t>PBL-0731</t>
  </si>
  <si>
    <t>CurrentFile=Data/Scripts/Items/Magical/Artifacts/Obsolete/Obsolete_RuneCarvingKnife.cs;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RuntimeInventory=PrimaryRole=Persistence;SecondaryRoles=CombatPolicy;ItemContent;LegacyCompatibility;Commands=;Hooks=;SerializedTypes=class:RuneCarvingKnife;Gumps=; SerializationRegister=Class=Server.Items.RuneCarvingKnife;Version=Unknown;Handling=NoVersionFound;Alignment=AlignedByCountAndKnownTypes;MoveRisk=NamespaceOrTypeRenameDanger</t>
  </si>
  <si>
    <t>HistoricalFile=Data/Scripts/Items/Magical/Artifacts/Obsolete/Obsolete_RuneCarvingKnife.cs; Risk=Build;Runtime;Save; POST-BATCH-L is audit-only P2 residual triage. No source, project, XML/config, serialized layout, runtime file location, command name, access level, or region policy changed.</t>
  </si>
  <si>
    <t>RB-06007</t>
  </si>
  <si>
    <t>P10-F06007</t>
  </si>
  <si>
    <t>Data/Scripts/Items/Magical/Artifacts/Obsolete/Obsolete_SamaritanRobe.cs</t>
  </si>
  <si>
    <t>PBL-0732</t>
  </si>
  <si>
    <t>CurrentFile=Data/Scripts/Items/Magical/Artifacts/Obsolete/Obsolete_SamaritanRobe.cs;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RuntimeInventory=PrimaryRole=Persistence;SecondaryRoles=CombatPolicy;ItemContent;LegacyCompatibility;Commands=;Hooks=;SerializedTypes=class:SamaritanRobe;Gumps=; SerializationRegister=Class=Server.Items.SamaritanRobe;Version=0;Handling=SingleVersionOnly;Alignment=AlignedByCountAndKnownTypes;MoveRisk=NamespaceOrTypeRenameDanger</t>
  </si>
  <si>
    <t>HistoricalFile=Data/Scripts/Items/Magical/Artifacts/Obsolete/Obsolete_SamaritanRobe.cs; Risk=Build;Runtime;Save; POST-BATCH-L is audit-only P2 residual triage. No source, project, XML/config, serialized layout, runtime file location, command name, access level, or region policy changed.</t>
  </si>
  <si>
    <t>RB-06008</t>
  </si>
  <si>
    <t>P10-F06008</t>
  </si>
  <si>
    <t>PBL-0733</t>
  </si>
  <si>
    <t>CurrentFile=Data/Scripts/Items/Magical/Artifacts/Obsolete/Obsolete_SamuraiHelm.cs;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RuntimeInventory=PrimaryRole=Persistence;SecondaryRoles=CombatPolicy;ItemContent;LegacyCompatibility;Commands=;Hooks=;SerializedTypes=class:SamuraiHelm;Gumps=; SerializationRegister=Class=Server.Items.SamuraiHelm;Version=Unknown;Handling=NoVersionFound;Alignment=AlignedByCountAndKnownTypes;MoveRisk=NamespaceOrTypeRenameDanger</t>
  </si>
  <si>
    <t>HistoricalFile=Data/Scripts/Items/Magical/Artifacts/Obsolete/Obsolete_SamuraiHelm.cs; Risk=Build;Runtime;Save; POST-BATCH-L is audit-only P2 residual triage. No source, project, XML/config, serialized layout, runtime file location, command name, access level, or region policy changed.</t>
  </si>
  <si>
    <t>RB-06009</t>
  </si>
  <si>
    <t>P10-F06009</t>
  </si>
  <si>
    <t>Data/Scripts/Items/Magical/Artifacts/Obsolete/Obsolete_SerpentsFang.cs</t>
  </si>
  <si>
    <t>PBL-0734</t>
  </si>
  <si>
    <t>CurrentFile=Data/Scripts/Items/Magical/Artifacts/Obsolete/Obsolete_SerpentsFang.cs;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RuntimeInventory=PrimaryRole=Persistence;SecondaryRoles=CombatPolicy;ItemContent;LegacyCompatibility;Commands=;Hooks=;SerializedTypes=class:SerpentsFang;Gumps=; SerializationRegister=Class=Server.Items.SerpentsFang;Version=0;Handling=SingleVersionOnly;Alignment=AlignedByCountAndKnownTypes;MoveRisk=NamespaceOrTypeRenameDanger</t>
  </si>
  <si>
    <t>HistoricalFile=Data/Scripts/Items/Magical/Artifacts/Obsolete/Obsolete_SerpentsFang.cs; Risk=Build;Runtime;Save; POST-BATCH-L is audit-only P2 residual triage. No source, project, XML/config, serialized layout, runtime file location, command name, access level, or region policy changed.</t>
  </si>
  <si>
    <t>RB-06010</t>
  </si>
  <si>
    <t>P10-F06010</t>
  </si>
  <si>
    <t>Data/Scripts/Items/Magical/Artifacts/Obsolete/Obsolete_Shadowblade.cs</t>
  </si>
  <si>
    <t>PBL-0735</t>
  </si>
  <si>
    <t>CurrentFile=Data/Scripts/Items/Magical/Artifacts/Obsolete/Obsolete_Shadowblade.cs;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RuntimeInventory=PrimaryRole=Persistence;SecondaryRoles=CombatPolicy;ItemContent;LegacyCompatibility;Commands=;Hooks=;SerializedTypes=class:ShadowBlade;Gumps=; SerializationRegister=Class=Server.Items.ShadowBlade;Version=0;Handling=SingleVersionOnly;Alignment=AlignedByCountAndKnownTypes;MoveRisk=NamespaceOrTypeRenameDanger</t>
  </si>
  <si>
    <t>HistoricalFile=Data/Scripts/Items/Magical/Artifacts/Obsolete/Obsolete_Shadowblade.cs; Risk=Build;Runtime;Save; POST-BATCH-L is audit-only P2 residual triage. No source, project, XML/config, serialized layout, runtime file location, command name, access level, or region policy changed.</t>
  </si>
  <si>
    <t>RB-06011</t>
  </si>
  <si>
    <t>P10-F06011</t>
  </si>
  <si>
    <t>Data/Scripts/Items/Magical/Artifacts/Obsolete/Obsolete_ShadowDancerArms.cs</t>
  </si>
  <si>
    <t>PBL-0736</t>
  </si>
  <si>
    <t>CurrentFile=Data/Scripts/Items/Magical/Artifacts/Obsolete/Obsolete_ShadowDancerArms.cs;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RuntimeInventory=PrimaryRole=Persistence;SecondaryRoles=CombatPolicy;ItemContent;LegacyCompatibility;Commands=;Hooks=;SerializedTypes=class:ShadowDancerArms;Gumps=; SerializationRegister=Class=Server.Items.ShadowDancerArms;Version=1;Handling=IfVersionGates;Alignment=AlignedByCountAndKnownTypes;MoveRisk=NamespaceOrTypeRenameDanger</t>
  </si>
  <si>
    <t>HistoricalFile=Data/Scripts/Items/Magical/Artifacts/Obsolete/Obsolete_ShadowDancerArms.cs; Risk=Build;Runtime;Save; POST-BATCH-L is audit-only P2 residual triage. No source, project, XML/config, serialized layout, runtime file location, command name, access level, or region policy changed.</t>
  </si>
  <si>
    <t>RB-06012</t>
  </si>
  <si>
    <t>P10-F06012</t>
  </si>
  <si>
    <t>Data/Scripts/Items/Magical/Artifacts/Obsolete/Obsolete_ShadowDancerCap.cs</t>
  </si>
  <si>
    <t>PBL-0737</t>
  </si>
  <si>
    <t>CurrentFile=Data/Scripts/Items/Magical/Artifacts/Obsolete/Obsolete_ShadowDancerCap.cs;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RuntimeInventory=PrimaryRole=Persistence;SecondaryRoles=CombatPolicy;ItemContent;LegacyCompatibility;Commands=;Hooks=;SerializedTypes=class:ShadowDancerCap;Gumps=; SerializationRegister=Class=Server.Items.ShadowDancerCap;Version=1;Handling=IfVersionGates;Alignment=AlignedByCountAndKnownTypes;MoveRisk=NamespaceOrTypeRenameDanger</t>
  </si>
  <si>
    <t>HistoricalFile=Data/Scripts/Items/Magical/Artifacts/Obsolete/Obsolete_ShadowDancerCap.cs; Risk=Build;Runtime;Save; POST-BATCH-L is audit-only P2 residual triage. No source, project, XML/config, serialized layout, runtime file location, command name, access level, or region policy changed.</t>
  </si>
  <si>
    <t>RB-06013</t>
  </si>
  <si>
    <t>P10-F06013</t>
  </si>
  <si>
    <t>Data/Scripts/Items/Magical/Artifacts/Obsolete/Obsolete_ShadowDancerGloves.cs</t>
  </si>
  <si>
    <t>PBL-0738</t>
  </si>
  <si>
    <t>CurrentFile=Data/Scripts/Items/Magical/Artifacts/Obsolete/Obsolete_ShadowDancerGloves.cs;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RuntimeInventory=PrimaryRole=Persistence;SecondaryRoles=CombatPolicy;ItemContent;LegacyCompatibility;Commands=;Hooks=;SerializedTypes=class:ShadowDancerGloves;Gumps=; SerializationRegister=Class=Server.Items.ShadowDancerGloves;Version=1;Handling=IfVersionGates;Alignment=AlignedByCountAndKnownTypes;MoveRisk=NamespaceOrTypeRenameDanger</t>
  </si>
  <si>
    <t>HistoricalFile=Data/Scripts/Items/Magical/Artifacts/Obsolete/Obsolete_ShadowDancerGloves.cs; Risk=Build;Runtime;Save; POST-BATCH-L is audit-only P2 residual triage. No source, project, XML/config, serialized layout, runtime file location, command name, access level, or region policy changed.</t>
  </si>
  <si>
    <t>RB-06014</t>
  </si>
  <si>
    <t>P10-F06014</t>
  </si>
  <si>
    <t>Data/Scripts/Items/Magical/Artifacts/Obsolete/Obsolete_ShadowDancerGorget.cs</t>
  </si>
  <si>
    <t>PBL-0739</t>
  </si>
  <si>
    <t>CurrentFile=Data/Scripts/Items/Magical/Artifacts/Obsolete/Obsolete_ShadowDancerGorget.cs;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RuntimeInventory=PrimaryRole=Persistence;SecondaryRoles=CombatPolicy;ItemContent;LegacyCompatibility;Commands=;Hooks=;SerializedTypes=class:ShadowDancerGorget;Gumps=; SerializationRegister=Class=Server.Items.ShadowDancerGorget;Version=1;Handling=IfVersionGates;Alignment=AlignedByCountAndKnownTypes;MoveRisk=NamespaceOrTypeRenameDanger</t>
  </si>
  <si>
    <t>HistoricalFile=Data/Scripts/Items/Magical/Artifacts/Obsolete/Obsolete_ShadowDancerGorget.cs; Risk=Build;Runtime;Save; POST-BATCH-L is audit-only P2 residual triage. No source, project, XML/config, serialized layout, runtime file location, command name, access level, or region policy changed.</t>
  </si>
  <si>
    <t>RB-06015</t>
  </si>
  <si>
    <t>P10-F06015</t>
  </si>
  <si>
    <t>Data/Scripts/Items/Magical/Artifacts/Obsolete/Obsolete_ShadowDancerLeggings.cs</t>
  </si>
  <si>
    <t>PBL-0740</t>
  </si>
  <si>
    <t>CurrentFile=Data/Scripts/Items/Magical/Artifacts/Obsolete/Obsolete_ShadowDancerLeggings.cs;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RuntimeInventory=PrimaryRole=Persistence;SecondaryRoles=CombatPolicy;ItemContent;LegacyCompatibility;Commands=;Hooks=;SerializedTypes=class:ShadowDancerLeggings;Gumps=; SerializationRegister=Class=Server.Items.ShadowDancerLeggings;Version=1;Handling=IfVersionGates;Alignment=AlignedByCountAndKnownTypes;MoveRisk=NamespaceOrTypeRenameDanger</t>
  </si>
  <si>
    <t>HistoricalFile=Data/Scripts/Items/Magical/Artifacts/Obsolete/Obsolete_ShadowDancerLeggings.cs; Risk=Build;Runtime;Save; POST-BATCH-L is audit-only P2 residual triage. No source, project, XML/config, serialized layout, runtime file location, command name, access level, or region policy changed.</t>
  </si>
  <si>
    <t>RB-06016</t>
  </si>
  <si>
    <t>P10-F06016</t>
  </si>
  <si>
    <t>Data/Scripts/Items/Magical/Artifacts/Obsolete/Obsolete_ShadowDancerTunic.cs</t>
  </si>
  <si>
    <t>PBL-0741</t>
  </si>
  <si>
    <t>CurrentFile=Data/Scripts/Items/Magical/Artifacts/Obsolete/Obsolete_ShadowDancerTunic.cs;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RuntimeInventory=PrimaryRole=Persistence;SecondaryRoles=CombatPolicy;ItemContent;LegacyCompatibility;Commands=;Hooks=;SerializedTypes=class:ShadowDancerTunic;Gumps=; SerializationRegister=Class=Server.Items.ShadowDancerTunic;Version=1;Handling=IfVersionGates;Alignment=AlignedByCountAndKnownTypes;MoveRisk=NamespaceOrTypeRenameDanger</t>
  </si>
  <si>
    <t>HistoricalFile=Data/Scripts/Items/Magical/Artifacts/Obsolete/Obsolete_ShadowDancerTunic.cs; Risk=Build;Runtime;Save; POST-BATCH-L is audit-only P2 residual triage. No source, project, XML/config, serialized layout, runtime file location, command name, access level, or region policy changed.</t>
  </si>
  <si>
    <t>RB-06017</t>
  </si>
  <si>
    <t>P10-F06017</t>
  </si>
  <si>
    <t>PBL-0742</t>
  </si>
  <si>
    <t>CurrentFile=Data/Scripts/Items/Magical/Artifacts/Obsolete/Obsolete_ShaminoCrossbow.cs;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RuntimeInventory=PrimaryRole=Persistence;SecondaryRoles=CombatPolicy;ItemContent;LegacyCompatibility;Commands=;Hooks=;SerializedTypes=class:ShaMontorrossbow;Gumps=; SerializationRegister=Class=Server.Items.ShaMontorrossbow;Version=Unknown;Handling=NoVersionFound;Alignment=AlignedByCountAndKnownTypes;MoveRisk=NamespaceOrTypeRenameDanger</t>
  </si>
  <si>
    <t>HistoricalFile=Data/Scripts/Items/Magical/Artifacts/Obsolete/Obsolete_ShaminoCrossbow.cs; Risk=Build;Runtime;Save; POST-BATCH-L is audit-only P2 residual triage. No source, project, XML/config, serialized layout, runtime file location, command name, access level, or region policy changed.</t>
  </si>
  <si>
    <t>RB-06018</t>
  </si>
  <si>
    <t>P10-F06018</t>
  </si>
  <si>
    <t>PBL-0743</t>
  </si>
  <si>
    <t>CurrentFile=Data/Scripts/Items/Magical/Artifacts/Obsolete/Obsolete_ShardTrasher.cs;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RuntimeInventory=PrimaryRole=Persistence;SecondaryRoles=CombatPolicy;ItemContent;LegacyCompatibility;Commands=;Hooks=;SerializedTypes=class:ShardThrasher;Gumps=; SerializationRegister=Class=Server.Items.ShardThrasher;Version=Unknown;Handling=NoVersionFound;Alignment=AlignedByCountAndKnownTypes;MoveRisk=NamespaceOrTypeRenameDanger</t>
  </si>
  <si>
    <t>HistoricalFile=Data/Scripts/Items/Magical/Artifacts/Obsolete/Obsolete_ShardTrasher.cs; Risk=Build;Runtime;Save; POST-BATCH-L is audit-only P2 residual triage. No source, project, XML/config, serialized layout, runtime file location, command name, access level, or region policy changed.</t>
  </si>
  <si>
    <t>RB-06019</t>
  </si>
  <si>
    <t>P10-F06019</t>
  </si>
  <si>
    <t>Data/Scripts/Items/Magical/Artifacts/Obsolete/Obsolete_ShieldOfInvulnerability.cs</t>
  </si>
  <si>
    <t>PBL-0744</t>
  </si>
  <si>
    <t>CurrentFile=Data/Scripts/Items/Magical/Artifacts/Obsolete/Obsolete_ShieldOfInvulnerability.cs;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RuntimeInventory=PrimaryRole=Persistence;SecondaryRoles=CombatPolicy;ItemContent;LegacyCompatibility;Commands=;Hooks=;SerializedTypes=class:ShieldOfInvulnerability;Gumps=; SerializationRegister=Class=Server.Items.ShieldOfInvulnerability;Version=0;Handling=SingleVersionOnly;Alignment=AlignedByCountAndKnownTypes;MoveRisk=NamespaceOrTypeRenameDanger</t>
  </si>
  <si>
    <t>HistoricalFile=Data/Scripts/Items/Magical/Artifacts/Obsolete/Obsolete_ShieldOfInvulnerability.cs; Risk=Build;Runtime;Save; POST-BATCH-L is audit-only P2 residual triage. No source, project, XML/config, serialized layout, runtime file location, command name, access level, or region policy changed.</t>
  </si>
  <si>
    <t>RB-06020</t>
  </si>
  <si>
    <t>P10-F06020</t>
  </si>
  <si>
    <t>Data/Scripts/Items/Magical/Artifacts/Obsolete/Obsolete_ShimmeringTalisman.cs</t>
  </si>
  <si>
    <t>PBL-0745</t>
  </si>
  <si>
    <t>CurrentFile=Data/Scripts/Items/Magical/Artifacts/Obsolete/Obsolete_ShimmeringTalisman.cs;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RuntimeInventory=PrimaryRole=Persistence;SecondaryRoles=CombatPolicy;ItemContent;LegacyCompatibility;Commands=;Hooks=;SerializedTypes=class:ShimmeringTalisman;Gumps=; SerializationRegister=Class=Server.Items.ShimmeringTalisman;Version=0;Handling=SingleVersionOnly;Alignment=AlignedByCountAndKnownTypes;MoveRisk=NamespaceOrTypeRenameDanger</t>
  </si>
  <si>
    <t>HistoricalFile=Data/Scripts/Items/Magical/Artifacts/Obsolete/Obsolete_ShimmeringTalisman.cs; Risk=Build;Runtime;Save; POST-BATCH-L is audit-only P2 residual triage. No source, project, XML/config, serialized layout, runtime file location, command name, access level, or region policy changed.</t>
  </si>
  <si>
    <t>RB-06021</t>
  </si>
  <si>
    <t>P10-F06021</t>
  </si>
  <si>
    <t>Data/Scripts/Items/Magical/Artifacts/Obsolete/Obsolete_ShroudOfDeceit.cs</t>
  </si>
  <si>
    <t>PBL-0746</t>
  </si>
  <si>
    <t>CurrentFile=Data/Scripts/Items/Magical/Artifacts/Obsolete/Obsolete_ShroudOfDeceit.cs;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RuntimeInventory=PrimaryRole=Persistence;SecondaryRoles=CombatPolicy;ItemContent;LegacyCompatibility;Commands=;Hooks=;SerializedTypes=class:ShroudOfDeciet;Gumps=; SerializationRegister=Class=Server.Items.ShroudOfDeciet;Version=0;Handling=SingleVersionOnly;Alignment=AlignedByCountAndKnownTypes;MoveRisk=NamespaceOrTypeRenameDanger</t>
  </si>
  <si>
    <t>HistoricalFile=Data/Scripts/Items/Magical/Artifacts/Obsolete/Obsolete_ShroudOfDeceit.cs; Risk=Build;Runtime;Save; POST-BATCH-L is audit-only P2 residual triage. No source, project, XML/config, serialized layout, runtime file location, command name, access level, or region policy changed.</t>
  </si>
  <si>
    <t>RB-06022</t>
  </si>
  <si>
    <t>P10-F06022</t>
  </si>
  <si>
    <t>PBL-0747</t>
  </si>
  <si>
    <t>CurrentFile=Data/Scripts/Items/Magical/Artifacts/Obsolete/Obsolete_SilvanisFeywoodBow.cs;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RuntimeInventory=PrimaryRole=Persistence;SecondaryRoles=CombatPolicy;ItemContent;LegacyCompatibility;Commands=;Hooks=;SerializedTypes=class:SilvanisFeywoodBow;Gumps=; SerializationRegister=Class=Server.Items.SilvanisFeywoodBow;Version=Unknown;Handling=NoVersionFound;Alignment=AlignedByCountAndKnownTypes;MoveRisk=NamespaceOrTypeRenameDanger</t>
  </si>
  <si>
    <t>HistoricalFile=Data/Scripts/Items/Magical/Artifacts/Obsolete/Obsolete_SilvanisFeywoodBow.cs; Risk=Build;Runtime;Save; POST-BATCH-L is audit-only P2 residual triage. No source, project, XML/config, serialized layout, runtime file location, command name, access level, or region policy changed.</t>
  </si>
  <si>
    <t>RB-06023</t>
  </si>
  <si>
    <t>P10-F06023</t>
  </si>
  <si>
    <t>Data/Scripts/Items/Magical/Artifacts/Obsolete/Obsolete_SinbadsSword.cs</t>
  </si>
  <si>
    <t>PBL-0748</t>
  </si>
  <si>
    <t>CurrentFile=Data/Scripts/Items/Magical/Artifacts/Obsolete/Obsolete_SinbadsSword.cs;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RuntimeInventory=PrimaryRole=Persistence;SecondaryRoles=CombatPolicy;ItemContent;LegacyCompatibility;Commands=;Hooks=;SerializedTypes=class:SinbadsSword;Gumps=; SerializationRegister=Class=Server.Items.SinbadsSword;Version=0;Handling=SingleVersionOnly;Alignment=AlignedByCountAndKnownTypes;MoveRisk=NamespaceOrTypeRenameDanger</t>
  </si>
  <si>
    <t>HistoricalFile=Data/Scripts/Items/Magical/Artifacts/Obsolete/Obsolete_SinbadsSword.cs; Risk=Build;Runtime;Save; POST-BATCH-L is audit-only P2 residual triage. No source, project, XML/config, serialized layout, runtime file location, command name, access level, or region policy changed.</t>
  </si>
  <si>
    <t>RB-06024</t>
  </si>
  <si>
    <t>P10-F06024</t>
  </si>
  <si>
    <t>PBL-0749</t>
  </si>
  <si>
    <t>CurrentFile=Data/Scripts/Items/Magical/Artifacts/Obsolete/Obsolete_SongWovenMantle.cs;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RuntimeInventory=PrimaryRole=Persistence;SecondaryRoles=CombatPolicy;ItemContent;LegacyCompatibility;Commands=;Hooks=;SerializedTypes=class:SongWovenMantle;Gumps=; SerializationRegister=Class=Server.Items.SongWovenMantle;Version=Unknown;Handling=NoVersionFound;Alignment=AlignedByCountAndKnownTypes;MoveRisk=NamespaceOrTypeRenameDanger</t>
  </si>
  <si>
    <t>HistoricalFile=Data/Scripts/Items/Magical/Artifacts/Obsolete/Obsolete_SongWovenMantle.cs; Risk=Build;Runtime;Save; POST-BATCH-L is audit-only P2 residual triage. No source, project, XML/config, serialized layout, runtime file location, command name, access level, or region policy changed.</t>
  </si>
  <si>
    <t>RB-06025</t>
  </si>
  <si>
    <t>P10-F06025</t>
  </si>
  <si>
    <t>PBL-0750</t>
  </si>
  <si>
    <t>CurrentFile=Data/Scripts/Items/Magical/Artifacts/Obsolete/Obsolete_SoulSeeker.cs;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RuntimeInventory=PrimaryRole=Persistence;SecondaryRoles=CombatPolicy;ItemContent;LegacyCompatibility;Commands=;Hooks=;SerializedTypes=class:SoulSeeker;Gumps=; SerializationRegister=Class=Server.Items.SoulSeeker;Version=Unknown;Handling=NoVersionFound;Alignment=AlignedByCountAndKnownTypes;MoveRisk=NamespaceOrTypeRenameDanger</t>
  </si>
  <si>
    <t>HistoricalFile=Data/Scripts/Items/Magical/Artifacts/Obsolete/Obsolete_SoulSeeker.cs; Risk=Build;Runtime;Save; POST-BATCH-L is audit-only P2 residual triage. No source, project, XML/config, serialized layout, runtime file location, command name, access level, or region policy changed.</t>
  </si>
  <si>
    <t>RB-06026</t>
  </si>
  <si>
    <t>P10-F06026</t>
  </si>
  <si>
    <t>PBL-0751</t>
  </si>
  <si>
    <t>CurrentFile=Data/Scripts/Items/Magical/Artifacts/Obsolete/Obsolete_SpellWovenBritches.cs;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RuntimeInventory=PrimaryRole=Persistence;SecondaryRoles=CombatPolicy;ItemContent;LegacyCompatibility;Commands=;Hooks=;SerializedTypes=class:SpellWovenBritches;Gumps=; SerializationRegister=Class=Server.Items.SpellWovenBritches;Version=Unknown;Handling=NoVersionFound;Alignment=AlignedByCountAndKnownTypes;MoveRisk=NamespaceOrTypeRenameDanger</t>
  </si>
  <si>
    <t>HistoricalFile=Data/Scripts/Items/Magical/Artifacts/Obsolete/Obsolete_SpellWovenBritches.cs; Risk=Build;Runtime;Save; POST-BATCH-L is audit-only P2 residual triage. No source, project, XML/config, serialized layout, runtime file location, command name, access level, or region policy changed.</t>
  </si>
  <si>
    <t>RB-06027</t>
  </si>
  <si>
    <t>P10-F06027</t>
  </si>
  <si>
    <t>Data/Scripts/Items/Magical/Artifacts/Obsolete/Obsolete_SpiritOfTheTotem.cs</t>
  </si>
  <si>
    <t>PBL-0752</t>
  </si>
  <si>
    <t>CurrentFile=Data/Scripts/Items/Magical/Artifacts/Obsolete/Obsolete_SpiritOfTheTotem.cs;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RuntimeInventory=PrimaryRole=Persistence;SecondaryRoles=CombatPolicy;ItemContent;LegacyCompatibility;Commands=;Hooks=;SerializedTypes=class:SpiritOfTheTotem;Gumps=; SerializationRegister=Class=Server.Items.SpiritOfTheTotem;Version=1;Handling=Switch;Alignment=AlignedByCountAndKnownTypes;MoveRisk=NamespaceOrTypeRenameDanger</t>
  </si>
  <si>
    <t>HistoricalFile=Data/Scripts/Items/Magical/Artifacts/Obsolete/Obsolete_SpiritOfTheTotem.cs; Risk=Build;Runtime;Save; POST-BATCH-L is audit-only P2 residual triage. No source, project, XML/config, serialized layout, runtime file location, command name, access level, or region policy changed.</t>
  </si>
  <si>
    <t>RB-06028</t>
  </si>
  <si>
    <t>P10-F06028</t>
  </si>
  <si>
    <t>Data/Scripts/Items/Magical/Artifacts/Obsolete/Obsolete_SprintersSandals.cs</t>
  </si>
  <si>
    <t>PBL-0753</t>
  </si>
  <si>
    <t>CurrentFile=Data/Scripts/Items/Magical/Artifacts/Obsolete/Obsolete_SprintersSandals.cs;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RuntimeInventory=PrimaryRole=Persistence;SecondaryRoles=CombatPolicy;ItemContent;LegacyCompatibility;Commands=;Hooks=;SerializedTypes=class:SprintersSandals;Gumps=; SerializationRegister=Class=Server.Items.SprintersSandals;Version=0;Handling=SingleVersionOnly;Alignment=AlignedByCountAndKnownTypes;MoveRisk=NamespaceOrTypeRenameDanger</t>
  </si>
  <si>
    <t>HistoricalFile=Data/Scripts/Items/Magical/Artifacts/Obsolete/Obsolete_SprintersSandals.cs; Risk=Build;Runtime;Save; POST-BATCH-L is audit-only P2 residual triage. No source, project, XML/config, serialized layout, runtime file location, command name, access level, or region policy changed.</t>
  </si>
  <si>
    <t>RB-06029</t>
  </si>
  <si>
    <t>P10-F06029</t>
  </si>
  <si>
    <t>Data/Scripts/Items/Magical/Artifacts/Obsolete/Obsolete_StaffOfPower.cs</t>
  </si>
  <si>
    <t>PBL-0754</t>
  </si>
  <si>
    <t>CurrentFile=Data/Scripts/Items/Magical/Artifacts/Obsolete/Obsolete_StaffOfPower.cs;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RuntimeInventory=PrimaryRole=Persistence;SecondaryRoles=CombatPolicy;StaffTooling;ItemContent;LegacyCompatibility;Commands=;Hooks=;SerializedTypes=class:StaffOfPower;Gumps=; SerializationRegister=Class=Server.Items.StaffOfPower;Version=0;Handling=SingleVersionOnly;Alignment=AlignedByCountAndKnownTypes;MoveRisk=NamespaceOrTypeRenameDanger</t>
  </si>
  <si>
    <t>HistoricalFile=Data/Scripts/Items/Magical/Artifacts/Obsolete/Obsolete_StaffOfPower.cs; Risk=Build;Runtime;Save; POST-BATCH-L is audit-only P2 residual triage. No source, project, XML/config, serialized layout, runtime file location, command name, access level, or region policy changed.</t>
  </si>
  <si>
    <t>RB-06030</t>
  </si>
  <si>
    <t>P10-F06030</t>
  </si>
  <si>
    <t>Data/Scripts/Items/Magical/Artifacts/Obsolete/Obsolete_StaffofSnakes.cs</t>
  </si>
  <si>
    <t>PBL-0755</t>
  </si>
  <si>
    <t>CurrentFile=Data/Scripts/Items/Magical/Artifacts/Obsolete/Obsolete_StaffofSnakes.cs;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RuntimeInventory=PrimaryRole=Persistence;SecondaryRoles=CombatPolicy;StaffTooling;ItemContent;LegacyCompatibility;Commands=;Hooks=;SerializedTypes=class:StaffofSnakes;Gumps=; SerializationRegister=Class=Server.Items.StaffofSnakes;Version=0;Handling=SingleVersionOnly;Alignment=AlignedByCountAndKnownTypes;MoveRisk=NamespaceOrTypeRenameDanger</t>
  </si>
  <si>
    <t>HistoricalFile=Data/Scripts/Items/Magical/Artifacts/Obsolete/Obsolete_StaffofSnakes.cs; Risk=Build;Runtime;Save; POST-BATCH-L is audit-only P2 residual triage. No source, project, XML/config, serialized layout, runtime file location, command name, access level, or region policy changed.</t>
  </si>
  <si>
    <t>RB-06031</t>
  </si>
  <si>
    <t>P10-F06031</t>
  </si>
  <si>
    <t>Data/Scripts/Items/Magical/Artifacts/Obsolete/Obsolete_StaffOfTheMagi.cs</t>
  </si>
  <si>
    <t>PBL-0756</t>
  </si>
  <si>
    <t>CurrentFile=Data/Scripts/Items/Magical/Artifacts/Obsolete/Obsolete_StaffOfTheMagi.cs;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RuntimeInventory=PrimaryRole=Persistence;SecondaryRoles=CombatPolicy;StaffTooling;ItemContent;LegacyCompatibility;Commands=;Hooks=;SerializedTypes=class:StaffOfTheMagi;Gumps=; SerializationRegister=Class=Server.Items.StaffOfTheMagi;Version=0;Handling=SingleVersionOnly;Alignment=AlignedByCountAndKnownTypes;MoveRisk=NamespaceOrTypeRenameDanger</t>
  </si>
  <si>
    <t>HistoricalFile=Data/Scripts/Items/Magical/Artifacts/Obsolete/Obsolete_StaffOfTheMagi.cs; Risk=Build;Runtime;Save; POST-BATCH-L is audit-only P2 residual triage. No source, project, XML/config, serialized layout, runtime file location, command name, access level, or region policy changed.</t>
  </si>
  <si>
    <t>RB-06032</t>
  </si>
  <si>
    <t>P10-F06032</t>
  </si>
  <si>
    <t>PBL-0757</t>
  </si>
  <si>
    <t>CurrentFile=Data/Scripts/Items/Magical/Artifacts/Obsolete/Obsolete_StitchersMittens.cs;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RuntimeInventory=PrimaryRole=Persistence;SecondaryRoles=CombatPolicy;ItemContent;LegacyCompatibility;Commands=;Hooks=;SerializedTypes=class:StitchersMittens;Gumps=; SerializationRegister=Class=Server.Items.StitchersMittens;Version=Unknown;Handling=NoVersionFound;Alignment=AlignedByCountAndKnownTypes;MoveRisk=NamespaceOrTypeRenameDanger</t>
  </si>
  <si>
    <t>HistoricalFile=Data/Scripts/Items/Magical/Artifacts/Obsolete/Obsolete_StitchersMittens.cs; Risk=Build;Runtime;Save; POST-BATCH-L is audit-only P2 residual triage. No source, project, XML/config, serialized layout, runtime file location, command name, access level, or region policy changed.</t>
  </si>
  <si>
    <t>RB-06033</t>
  </si>
  <si>
    <t>P10-F06033</t>
  </si>
  <si>
    <t>Data/Scripts/Items/Magical/Artifacts/Obsolete/Obsolete_Stormbringer.cs</t>
  </si>
  <si>
    <t>PBL-0758</t>
  </si>
  <si>
    <t>CurrentFile=Data/Scripts/Items/Magical/Artifacts/Obsolete/Obsolete_Stormbringer.cs;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RuntimeInventory=PrimaryRole=Persistence;SecondaryRoles=CombatPolicy;ItemContent;LegacyCompatibility;Commands=;Hooks=;SerializedTypes=class:Stormbringer;Gumps=; SerializationRegister=Class=Server.Items.Stormbringer;Version=0;Handling=SingleVersionOnly;Alignment=AlignedByCountAndKnownTypes;MoveRisk=NamespaceOrTypeRenameDanger</t>
  </si>
  <si>
    <t>HistoricalFile=Data/Scripts/Items/Magical/Artifacts/Obsolete/Obsolete_Stormbringer.cs; Risk=Build;Runtime;Save; POST-BATCH-L is audit-only P2 residual triage. No source, project, XML/config, serialized layout, runtime file location, command name, access level, or region policy changed.</t>
  </si>
  <si>
    <t>RB-06034</t>
  </si>
  <si>
    <t>P10-F06034</t>
  </si>
  <si>
    <t>Data/Scripts/Items/Magical/Artifacts/Obsolete/Obsolete_Subdue.cs</t>
  </si>
  <si>
    <t>PBL-0759</t>
  </si>
  <si>
    <t>CurrentFile=Data/Scripts/Items/Magical/Artifacts/Obsolete/Obsolete_Subdue.cs;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RuntimeInventory=PrimaryRole=Persistence;SecondaryRoles=CombatPolicy;ItemContent;LegacyCompatibility;Commands=;Hooks=;SerializedTypes=class:Subdue;Gumps=; SerializationRegister=Class=Server.Items.Subdue;Version=0;Handling=SingleVersionOnly;Alignment=AlignedByCountAndKnownTypes;MoveRisk=NamespaceOrTypeRenameDanger</t>
  </si>
  <si>
    <t>HistoricalFile=Data/Scripts/Items/Magical/Artifacts/Obsolete/Obsolete_Subdue.cs; Risk=Build;Runtime;Save; POST-BATCH-L is audit-only P2 residual triage. No source, project, XML/config, serialized layout, runtime file location, command name, access level, or region policy changed.</t>
  </si>
  <si>
    <t>RB-06035</t>
  </si>
  <si>
    <t>P10-F06035</t>
  </si>
  <si>
    <t>Data/Scripts/Items/Magical/Artifacts/Obsolete/Obsolete_SwiftStrike.cs</t>
  </si>
  <si>
    <t>PBL-0760</t>
  </si>
  <si>
    <t>CurrentFile=Data/Scripts/Items/Magical/Artifacts/Obsolete/Obsolete_SwiftStrike.cs;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RuntimeInventory=PrimaryRole=Persistence;SecondaryRoles=CombatPolicy;ItemContent;LegacyCompatibility;Commands=;Hooks=;SerializedTypes=class:SwiftStrike;Gumps=; SerializationRegister=Class=Server.Items.SwiftStrike;Version=0;Handling=SingleVersionOnly;Alignment=AlignedByCountAndKnownTypes;MoveRisk=NamespaceOrTypeRenameDanger</t>
  </si>
  <si>
    <t>HistoricalFile=Data/Scripts/Items/Magical/Artifacts/Obsolete/Obsolete_SwiftStrike.cs; Risk=Build;Runtime;Save; POST-BATCH-L is audit-only P2 residual triage. No source, project, XML/config, serialized layout, runtime file location, command name, access level, or region policy changed.</t>
  </si>
  <si>
    <t>RB-06036</t>
  </si>
  <si>
    <t>P10-F06036</t>
  </si>
  <si>
    <t>PBL-0761</t>
  </si>
  <si>
    <t>CurrentFile=Data/Scripts/Items/Magical/Artifacts/Obsolete/Obsolete_TalonBite.cs;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RuntimeInventory=PrimaryRole=Persistence;SecondaryRoles=CombatPolicy;ItemContent;LegacyCompatibility;Commands=;Hooks=;SerializedTypes=class:TalonBite;Gumps=; SerializationRegister=Class=Server.Items.TalonBite;Version=Unknown;Handling=NoVersionFound;Alignment=AlignedByCountAndKnownTypes;MoveRisk=NamespaceOrTypeRenameDanger</t>
  </si>
  <si>
    <t>HistoricalFile=Data/Scripts/Items/Magical/Artifacts/Obsolete/Obsolete_TalonBite.cs; Risk=Build;Runtime;Save; POST-BATCH-L is audit-only P2 residual triage. No source, project, XML/config, serialized layout, runtime file location, command name, access level, or region policy changed.</t>
  </si>
  <si>
    <t>RB-06037</t>
  </si>
  <si>
    <t>P10-F06037</t>
  </si>
  <si>
    <t>Data/Scripts/Items/Magical/Artifacts/Obsolete/Obsolete_TheBeserkersMaul.cs</t>
  </si>
  <si>
    <t>PBL-0762</t>
  </si>
  <si>
    <t>CurrentFile=Data/Scripts/Items/Magical/Artifacts/Obsolete/Obsolete_TheBeserkersMaul.cs;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RuntimeInventory=PrimaryRole=Persistence;SecondaryRoles=CombatPolicy;ItemContent;LegacyCompatibility;Commands=;Hooks=;SerializedTypes=class:TheBeserkersMaul;Gumps=; SerializationRegister=Class=Server.Items.TheBeserkersMaul;Version=0;Handling=SingleVersionOnly;Alignment=AlignedByCountAndKnownTypes;MoveRisk=NamespaceOrTypeRenameDanger</t>
  </si>
  <si>
    <t>HistoricalFile=Data/Scripts/Items/Magical/Artifacts/Obsolete/Obsolete_TheBeserkersMaul.cs; Risk=Build;Runtime;Save; POST-BATCH-L is audit-only P2 residual triage. No source, project, XML/config, serialized layout, runtime file location, command name, access level, or region policy changed.</t>
  </si>
  <si>
    <t>RB-06038</t>
  </si>
  <si>
    <t>P10-F06038</t>
  </si>
  <si>
    <t>Data/Scripts/Items/Magical/Artifacts/Obsolete/Obsolete_TheDragonSlayer.cs</t>
  </si>
  <si>
    <t>PBL-0763</t>
  </si>
  <si>
    <t>CurrentFile=Data/Scripts/Items/Magical/Artifacts/Obsolete/Obsolete_TheDragonSlayer.cs;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RuntimeInventory=PrimaryRole=Persistence;SecondaryRoles=CombatPolicy;ItemContent;LegacyCompatibility;Commands=;Hooks=;SerializedTypes=class:TheDragonSlayer;Gumps=; SerializationRegister=Class=Server.Items.TheDragonSlayer;Version=0;Handling=SingleVersionOnly;Alignment=AlignedByCountAndKnownTypes;MoveRisk=NamespaceOrTypeRenameDanger</t>
  </si>
  <si>
    <t>HistoricalFile=Data/Scripts/Items/Magical/Artifacts/Obsolete/Obsolete_TheDragonSlayer.cs; Risk=Build;Runtime;Save; POST-BATCH-L is audit-only P2 residual triage. No source, project, XML/config, serialized layout, runtime file location, command name, access level, or region policy changed.</t>
  </si>
  <si>
    <t>RB-06039</t>
  </si>
  <si>
    <t>P10-F06039</t>
  </si>
  <si>
    <t>Data/Scripts/Items/Magical/Artifacts/Obsolete/Obsolete_TheDryadBow.cs</t>
  </si>
  <si>
    <t>PBL-0764</t>
  </si>
  <si>
    <t>CurrentFile=Data/Scripts/Items/Magical/Artifacts/Obsolete/Obsolete_TheDryadBow.cs;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RuntimeInventory=PrimaryRole=Persistence;SecondaryRoles=CombatPolicy;ItemContent;LegacyCompatibility;Commands=;Hooks=;SerializedTypes=class:TheDryadBow;Gumps=; SerializationRegister=Class=Server.Items.TheDryadBow;Version=1;Handling=IfVersionGates;Alignment=AlignedByCountAndKnownTypes;MoveRisk=NamespaceOrTypeRenameDanger</t>
  </si>
  <si>
    <t>HistoricalFile=Data/Scripts/Items/Magical/Artifacts/Obsolete/Obsolete_TheDryadBow.cs; Risk=Build;Runtime;Save; POST-BATCH-L is audit-only P2 residual triage. No source, project, XML/config, serialized layout, runtime file location, command name, access level, or region policy changed.</t>
  </si>
  <si>
    <t>RB-06040</t>
  </si>
  <si>
    <t>P10-F06040</t>
  </si>
  <si>
    <t>Data/Scripts/Items/Magical/Artifacts/Obsolete/Obsolete_TheNightReaper.cs</t>
  </si>
  <si>
    <t>PBL-0765</t>
  </si>
  <si>
    <t>CurrentFile=Data/Scripts/Items/Magical/Artifacts/Obsolete/Obsolete_TheNightReaper.cs;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RuntimeInventory=PrimaryRole=Persistence;SecondaryRoles=CombatPolicy;ItemContent;LegacyCompatibility;Commands=;Hooks=;SerializedTypes=class:TheNightReaper;Gumps=; SerializationRegister=Class=Server.Items.TheNightReaper;Version=0;Handling=SingleVersionOnly;Alignment=AlignedByCountAndKnownTypes;MoveRisk=NamespaceOrTypeRenameDanger</t>
  </si>
  <si>
    <t>HistoricalFile=Data/Scripts/Items/Magical/Artifacts/Obsolete/Obsolete_TheNightReaper.cs; Risk=Build;Runtime;Save; POST-BATCH-L is audit-only P2 residual triage. No source, project, XML/config, serialized layout, runtime file location, command name, access level, or region policy changed.</t>
  </si>
  <si>
    <t>RB-06041</t>
  </si>
  <si>
    <t>P10-F06041</t>
  </si>
  <si>
    <t>Data/Scripts/Items/Magical/Artifacts/Obsolete/Obsolete_TheRobeOfBritanniaAri.cs</t>
  </si>
  <si>
    <t>PBL-0766</t>
  </si>
  <si>
    <t>CurrentFile=Data/Scripts/Items/Magical/Artifacts/Obsolete/Obsolete_TheRobeOfBritanniaAri.cs;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RuntimeInventory=PrimaryRole=Persistence;SecondaryRoles=CombatPolicy;ItemContent;LegacyCompatibility;Commands=;Hooks=;SerializedTypes=class:TheRobeOfBritanniaAri;Gumps=; SerializationRegister=Class=Server.Items.TheRobeOfBritanniaAri;Version=0;Handling=SingleVersionOnly;Alignment=AlignedByCountAndKnownTypes;MoveRisk=NamespaceOrTypeRenameDanger</t>
  </si>
  <si>
    <t>HistoricalFile=Data/Scripts/Items/Magical/Artifacts/Obsolete/Obsolete_TheRobeOfBritanniaAri.cs; Risk=Build;Runtime;Save; POST-BATCH-L is audit-only P2 residual triage. No source, project, XML/config, serialized layout, runtime file location, command name, access level, or region policy changed.</t>
  </si>
  <si>
    <t>RB-06042</t>
  </si>
  <si>
    <t>P10-F06042</t>
  </si>
  <si>
    <t>Data/Scripts/Items/Magical/Artifacts/Obsolete/Obsolete_TheTaskmaster.cs</t>
  </si>
  <si>
    <t>PBL-0767</t>
  </si>
  <si>
    <t>CurrentFile=Data/Scripts/Items/Magical/Artifacts/Obsolete/Obsolete_TheTaskmaster.cs;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RuntimeInventory=PrimaryRole=Persistence;SecondaryRoles=CombatPolicy;ItemContent;LegacyCompatibility;Commands=;Hooks=;SerializedTypes=class:TheTaskmaster;Gumps=; SerializationRegister=Class=Server.Items.TheTaskmaster;Version=0;Handling=SingleVersionOnly;Alignment=AlignedByCountAndKnownTypes;MoveRisk=NamespaceOrTypeRenameDanger</t>
  </si>
  <si>
    <t>HistoricalFile=Data/Scripts/Items/Magical/Artifacts/Obsolete/Obsolete_TheTaskmaster.cs; Risk=Build;Runtime;Save; POST-BATCH-L is audit-only P2 residual triage. No source, project, XML/config, serialized layout, runtime file location, command name, access level, or region policy changed.</t>
  </si>
  <si>
    <t>RB-06043</t>
  </si>
  <si>
    <t>P10-F06043</t>
  </si>
  <si>
    <t>Data/Scripts/Items/Magical/Artifacts/Obsolete/Obsolete_TitansHammer.cs</t>
  </si>
  <si>
    <t>PBL-0768</t>
  </si>
  <si>
    <t>CurrentFile=Data/Scripts/Items/Magical/Artifacts/Obsolete/Obsolete_TitansHammer.cs;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RuntimeInventory=PrimaryRole=Persistence;SecondaryRoles=CombatPolicy;ItemContent;LegacyCompatibility;Commands=;Hooks=;SerializedTypes=class:TitansHammer;Gumps=; SerializationRegister=Class=Server.Items.TitansHammer;Version=0;Handling=SingleVersionOnly;Alignment=AlignedByCountAndKnownTypes;MoveRisk=NamespaceOrTypeRenameDanger</t>
  </si>
  <si>
    <t>HistoricalFile=Data/Scripts/Items/Magical/Artifacts/Obsolete/Obsolete_TitansHammer.cs; Risk=Build;Runtime;Save; POST-BATCH-L is audit-only P2 residual triage. No source, project, XML/config, serialized layout, runtime file location, command name, access level, or region policy changed.</t>
  </si>
  <si>
    <t>RB-06044</t>
  </si>
  <si>
    <t>P10-F06044</t>
  </si>
  <si>
    <t>Data/Scripts/Items/Magical/Artifacts/Obsolete/Obsolete_TorchOfTrapFinding.cs</t>
  </si>
  <si>
    <t>PBL-0769</t>
  </si>
  <si>
    <t>CurrentFile=Data/Scripts/Items/Magical/Artifacts/Obsolete/Obsolete_TorchOfTrapFinding.cs;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RuntimeInventory=PrimaryRole=Persistence;SecondaryRoles=CombatPolicy;ItemContent;LegacyCompatibility;Commands=;Hooks=;SerializedTypes=class:TorchOfTrapFinding;Gumps=; SerializationRegister=Class=Server.Items.TorchOfTrapFinding;Version=0;Handling=SingleVersionOnly;Alignment=AlignedByCountAndKnownTypes;MoveRisk=NamespaceOrTypeRenameDanger</t>
  </si>
  <si>
    <t>HistoricalFile=Data/Scripts/Items/Magical/Artifacts/Obsolete/Obsolete_TorchOfTrapFinding.cs; Risk=Build;Runtime;Save; POST-BATCH-L is audit-only P2 residual triage. No source, project, XML/config, serialized layout, runtime file location, command name, access level, or region policy changed.</t>
  </si>
  <si>
    <t>RB-06045</t>
  </si>
  <si>
    <t>P10-F06045</t>
  </si>
  <si>
    <t>Data/Scripts/Items/Magical/Artifacts/Obsolete/Obsolete_TotemArms.cs</t>
  </si>
  <si>
    <t>PBL-0770</t>
  </si>
  <si>
    <t>CurrentFile=Data/Scripts/Items/Magical/Artifacts/Obsolete/Obsolete_TotemArms.cs;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RuntimeInventory=PrimaryRole=Persistence;SecondaryRoles=CombatPolicy;ItemContent;LegacyCompatibility;Commands=;Hooks=;SerializedTypes=class:TotemArms;Gumps=; SerializationRegister=Class=Server.Items.TotemArms;Version=1;Handling=Switch;Alignment=AlignedByCountAndKnownTypes;MoveRisk=NamespaceOrTypeRenameDanger</t>
  </si>
  <si>
    <t>HistoricalFile=Data/Scripts/Items/Magical/Artifacts/Obsolete/Obsolete_TotemArms.cs; Risk=Build;Runtime;Save; POST-BATCH-L is audit-only P2 residual triage. No source, project, XML/config, serialized layout, runtime file location, command name, access level, or region policy changed.</t>
  </si>
  <si>
    <t>RB-06046</t>
  </si>
  <si>
    <t>P10-F06046</t>
  </si>
  <si>
    <t>Data/Scripts/Items/Magical/Artifacts/Obsolete/Obsolete_TotemGloves.cs</t>
  </si>
  <si>
    <t>PBL-0771</t>
  </si>
  <si>
    <t>CurrentFile=Data/Scripts/Items/Magical/Artifacts/Obsolete/Obsolete_TotemGloves.cs;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RuntimeInventory=PrimaryRole=Persistence;SecondaryRoles=CombatPolicy;ItemContent;LegacyCompatibility;Commands=;Hooks=;SerializedTypes=class:TotemGloves;Gumps=; SerializationRegister=Class=Server.Items.TotemGloves;Version=1;Handling=Switch;Alignment=AlignedByCountAndKnownTypes;MoveRisk=NamespaceOrTypeRenameDanger</t>
  </si>
  <si>
    <t>HistoricalFile=Data/Scripts/Items/Magical/Artifacts/Obsolete/Obsolete_TotemGloves.cs; Risk=Build;Runtime;Save; POST-BATCH-L is audit-only P2 residual triage. No source, project, XML/config, serialized layout, runtime file location, command name, access level, or region policy changed.</t>
  </si>
  <si>
    <t>RB-06047</t>
  </si>
  <si>
    <t>P10-F06047</t>
  </si>
  <si>
    <t>Data/Scripts/Items/Magical/Artifacts/Obsolete/Obsolete_TotemGorget.cs</t>
  </si>
  <si>
    <t>PBL-0772</t>
  </si>
  <si>
    <t>CurrentFile=Data/Scripts/Items/Magical/Artifacts/Obsolete/Obsolete_TotemGorget.cs;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RuntimeInventory=PrimaryRole=Persistence;SecondaryRoles=CombatPolicy;ItemContent;LegacyCompatibility;Commands=;Hooks=;SerializedTypes=class:TotemGorget;Gumps=; SerializationRegister=Class=Server.Items.TotemGorget;Version=1;Handling=Switch;Alignment=AlignedByCountAndKnownTypes;MoveRisk=NamespaceOrTypeRenameDanger</t>
  </si>
  <si>
    <t>HistoricalFile=Data/Scripts/Items/Magical/Artifacts/Obsolete/Obsolete_TotemGorget.cs; Risk=Build;Runtime;Save; POST-BATCH-L is audit-only P2 residual triage. No source, project, XML/config, serialized layout, runtime file location, command name, access level, or region policy changed.</t>
  </si>
  <si>
    <t>RB-06048</t>
  </si>
  <si>
    <t>P10-F06048</t>
  </si>
  <si>
    <t>Data/Scripts/Items/Magical/Artifacts/Obsolete/Obsolete_TotemLeggings.cs</t>
  </si>
  <si>
    <t>PBL-0773</t>
  </si>
  <si>
    <t>CurrentFile=Data/Scripts/Items/Magical/Artifacts/Obsolete/Obsolete_TotemLeggings.cs;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RuntimeInventory=PrimaryRole=Persistence;SecondaryRoles=CombatPolicy;ItemContent;LegacyCompatibility;Commands=;Hooks=;SerializedTypes=class:TotemLeggings;Gumps=; SerializationRegister=Class=Server.Items.TotemLeggings;Version=1;Handling=Switch;Alignment=AlignedByCountAndKnownTypes;MoveRisk=NamespaceOrTypeRenameDanger</t>
  </si>
  <si>
    <t>HistoricalFile=Data/Scripts/Items/Magical/Artifacts/Obsolete/Obsolete_TotemLeggings.cs; Risk=Build;Runtime;Save; POST-BATCH-L is audit-only P2 residual triage. No source, project, XML/config, serialized layout, runtime file location, command name, access level, or region policy changed.</t>
  </si>
  <si>
    <t>RB-06049</t>
  </si>
  <si>
    <t>P10-F06049</t>
  </si>
  <si>
    <t>Data/Scripts/Items/Magical/Artifacts/Obsolete/Obsolete_TotemOfVoid.cs</t>
  </si>
  <si>
    <t>PBL-0774</t>
  </si>
  <si>
    <t>CurrentFile=Data/Scripts/Items/Magical/Artifacts/Obsolete/Obsolete_TotemOfVoid.cs;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RuntimeInventory=PrimaryRole=Persistence;SecondaryRoles=CombatPolicy;ItemContent;LegacyCompatibility;Commands=;Hooks=;SerializedTypes=class:TotemOfVoid;Gumps=; SerializationRegister=Class=Server.Items.TotemOfVoid;Version=0;Handling=SingleVersionOnly;Alignment=AlignedByCountAndKnownTypes;MoveRisk=NamespaceOrTypeRenameDanger</t>
  </si>
  <si>
    <t>HistoricalFile=Data/Scripts/Items/Magical/Artifacts/Obsolete/Obsolete_TotemOfVoid.cs; Risk=Build;Runtime;Save; POST-BATCH-L is audit-only P2 residual triage. No source, project, XML/config, serialized layout, runtime file location, command name, access level, or region policy changed.</t>
  </si>
  <si>
    <t>RB-06050</t>
  </si>
  <si>
    <t>P10-F06050</t>
  </si>
  <si>
    <t>Data/Scripts/Items/Magical/Artifacts/Obsolete/Obsolete_TotemTunic.cs</t>
  </si>
  <si>
    <t>PBL-0775</t>
  </si>
  <si>
    <t>CurrentFile=Data/Scripts/Items/Magical/Artifacts/Obsolete/Obsolete_TotemTunic.cs;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RuntimeInventory=PrimaryRole=Persistence;SecondaryRoles=CombatPolicy;ItemContent;LegacyCompatibility;Commands=;Hooks=;SerializedTypes=class:TotemTunic;Gumps=; SerializationRegister=Class=Server.Items.TotemTunic;Version=1;Handling=Switch;Alignment=AlignedByCountAndKnownTypes;MoveRisk=NamespaceOrTypeRenameDanger</t>
  </si>
  <si>
    <t>HistoricalFile=Data/Scripts/Items/Magical/Artifacts/Obsolete/Obsolete_TotemTunic.cs; Risk=Build;Runtime;Save; POST-BATCH-L is audit-only P2 residual triage. No source, project, XML/config, serialized layout, runtime file location, command name, access level, or region policy changed.</t>
  </si>
  <si>
    <t>RB-06051</t>
  </si>
  <si>
    <t>P10-F06051</t>
  </si>
  <si>
    <t>Data/Scripts/Items/Magical/Artifacts/Obsolete/Obsolete_TownGuardsHalberd.cs</t>
  </si>
  <si>
    <t>PBL-0776</t>
  </si>
  <si>
    <t>CurrentFile=Data/Scripts/Items/Magical/Artifacts/Obsolete/Obsolete_TownGuardsHalberd.cs;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RuntimeInventory=PrimaryRole=Persistence;SecondaryRoles=CombatPolicy;ItemContent;LegacyCompatibility;Commands=;Hooks=;SerializedTypes=class:TownGuardsHalberd;Gumps=; SerializationRegister=Class=Server.Items.TownGuardsHalberd;Version=0;Handling=SingleVersionOnly;Alignment=AlignedByCountAndKnownTypes;MoveRisk=NamespaceOrTypeRenameDanger</t>
  </si>
  <si>
    <t>HistoricalFile=Data/Scripts/Items/Magical/Artifacts/Obsolete/Obsolete_TownGuardsHalberd.cs; Risk=Build;Runtime;Save; POST-BATCH-L is audit-only P2 residual triage. No source, project, XML/config, serialized layout, runtime file location, command name, access level, or region policy changed.</t>
  </si>
  <si>
    <t>RB-06052</t>
  </si>
  <si>
    <t>P10-F06052</t>
  </si>
  <si>
    <t>Data/Scripts/Items/Magical/Artifacts/Obsolete/Obsolete_TunicOfAegis.cs</t>
  </si>
  <si>
    <t>PBL-0777</t>
  </si>
  <si>
    <t>CurrentFile=Data/Scripts/Items/Magical/Artifacts/Obsolete/Obsolete_TunicOfAegis.cs;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RuntimeInventory=PrimaryRole=Persistence;SecondaryRoles=CombatPolicy;ItemContent;LegacyCompatibility;Commands=;Hooks=;SerializedTypes=class:TunicOfAegis;Gumps=; SerializationRegister=Class=Server.Items.TunicOfAegis;Version=1;Handling=IfVersionGates;Alignment=AlignedByCountAndKnownTypes;MoveRisk=NamespaceOrTypeRenameDanger</t>
  </si>
  <si>
    <t>HistoricalFile=Data/Scripts/Items/Magical/Artifacts/Obsolete/Obsolete_TunicOfAegis.cs; Risk=Build;Runtime;Save; POST-BATCH-L is audit-only P2 residual triage. No source, project, XML/config, serialized layout, runtime file location, command name, access level, or region policy changed.</t>
  </si>
  <si>
    <t>RB-06053</t>
  </si>
  <si>
    <t>P10-F06053</t>
  </si>
  <si>
    <t>Data/Scripts/Items/Magical/Artifacts/Obsolete/Obsolete_TunicOfBane.cs</t>
  </si>
  <si>
    <t>PBL-0778</t>
  </si>
  <si>
    <t>CurrentFile=Data/Scripts/Items/Magical/Artifacts/Obsolete/Obsolete_TunicOfBane.cs;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RuntimeInventory=PrimaryRole=Persistence;SecondaryRoles=CombatPolicy;ItemContent;LegacyCompatibility;Commands=;Hooks=;SerializedTypes=class:TunicOfBane;Gumps=; SerializationRegister=Class=Server.Items.TunicOfBane;Version=2;Handling=IfVersionGates;Alignment=AlignedByCountAndKnownTypes;MoveRisk=NamespaceOrTypeRenameDanger</t>
  </si>
  <si>
    <t>HistoricalFile=Data/Scripts/Items/Magical/Artifacts/Obsolete/Obsolete_TunicOfBane.cs; Risk=Build;Runtime;Save; POST-BATCH-L is audit-only P2 residual triage. No source, project, XML/config, serialized layout, runtime file location, command name, access level, or region policy changed.</t>
  </si>
  <si>
    <t>RB-06054</t>
  </si>
  <si>
    <t>P10-F06054</t>
  </si>
  <si>
    <t>Data/Scripts/Items/Magical/Artifacts/Obsolete/Obsolete_TunicOfFire.cs</t>
  </si>
  <si>
    <t>PBL-0779</t>
  </si>
  <si>
    <t>CurrentFile=Data/Scripts/Items/Magical/Artifacts/Obsolete/Obsolete_TunicOfFire.cs;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RuntimeInventory=PrimaryRole=Persistence;SecondaryRoles=CombatPolicy;ItemContent;LegacyCompatibility;Commands=;Hooks=;SerializedTypes=class:TunicOfFire;Gumps=; SerializationRegister=Class=Server.Items.TunicOfFire;Version=1;Handling=IfVersionGates;Alignment=AlignedByCountAndKnownTypes;MoveRisk=NamespaceOrTypeRenameDanger</t>
  </si>
  <si>
    <t>HistoricalFile=Data/Scripts/Items/Magical/Artifacts/Obsolete/Obsolete_TunicOfFire.cs; Risk=Build;Runtime;Save; POST-BATCH-L is audit-only P2 residual triage. No source, project, XML/config, serialized layout, runtime file location, command name, access level, or region policy changed.</t>
  </si>
  <si>
    <t>RB-06055</t>
  </si>
  <si>
    <t>P10-F06055</t>
  </si>
  <si>
    <t>Data/Scripts/Items/Magical/Artifacts/Obsolete/Obsolete_TunicOfTheFallenKing.cs</t>
  </si>
  <si>
    <t>PBL-0780</t>
  </si>
  <si>
    <t>CurrentFile=Data/Scripts/Items/Magical/Artifacts/Obsolete/Obsolete_TunicOfTheFallenKing.cs;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RuntimeInventory=PrimaryRole=Persistence;SecondaryRoles=CombatPolicy;ItemContent;LegacyCompatibility;Commands=;Hooks=;SerializedTypes=class:TunicOfTheFallenKing;Gumps=; SerializationRegister=Class=Server.Items.TunicOfTheFallenKing;Version=1;Handling=IfVersionGates;Alignment=AlignedByCountAndKnownTypes;MoveRisk=NamespaceOrTypeRenameDanger</t>
  </si>
  <si>
    <t>HistoricalFile=Data/Scripts/Items/Magical/Artifacts/Obsolete/Obsolete_TunicOfTheFallenKing.cs; Risk=Build;Runtime;Save; POST-BATCH-L is audit-only P2 residual triage. No source, project, XML/config, serialized layout, runtime file location, command name, access level, or region policy changed.</t>
  </si>
  <si>
    <t>RB-06056</t>
  </si>
  <si>
    <t>P10-F06056</t>
  </si>
  <si>
    <t>Data/Scripts/Items/Magical/Artifacts/Obsolete/Obsolete_TunicOfTheHarrower.cs</t>
  </si>
  <si>
    <t>PBL-0781</t>
  </si>
  <si>
    <t>CurrentFile=Data/Scripts/Items/Magical/Artifacts/Obsolete/Obsolete_TunicOfTheHarrower.cs;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RuntimeInventory=PrimaryRole=Persistence;SecondaryRoles=CombatPolicy;ItemContent;LegacyCompatibility;Commands=;Hooks=;SerializedTypes=class:TunicOfTheHarrower;Gumps=; SerializationRegister=Class=Server.Items.TunicOfTheHarrower;Version=1;Handling=IfVersionGates;Alignment=AlignedByCountAndKnownTypes;MoveRisk=NamespaceOrTypeRenameDanger</t>
  </si>
  <si>
    <t>HistoricalFile=Data/Scripts/Items/Magical/Artifacts/Obsolete/Obsolete_TunicOfTheHarrower.cs; Risk=Build;Runtime;Save; POST-BATCH-L is audit-only P2 residual triage. No source, project, XML/config, serialized layout, runtime file location, command name, access level, or region policy changed.</t>
  </si>
  <si>
    <t>RB-06057</t>
  </si>
  <si>
    <t>P10-F06057</t>
  </si>
  <si>
    <t>Data/Scripts/Items/Magical/Artifacts/Obsolete/Obsolete_VampiresRobe.cs</t>
  </si>
  <si>
    <t>PBL-0782</t>
  </si>
  <si>
    <t>CurrentFile=Data/Scripts/Items/Magical/Artifacts/Obsolete/Obsolete_VampiresRobe.cs;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RuntimeInventory=PrimaryRole=Persistence;SecondaryRoles=CombatPolicy;ItemContent;LegacyCompatibility;Commands=;Hooks=;SerializedTypes=class:VampiresRobe;Gumps=; SerializationRegister=Class=Server.Items.VampiresRobe;Version=0;Handling=SingleVersionOnly;Alignment=AlignedByCountAndKnownTypes;MoveRisk=NamespaceOrTypeRenameDanger</t>
  </si>
  <si>
    <t>HistoricalFile=Data/Scripts/Items/Magical/Artifacts/Obsolete/Obsolete_VampiresRobe.cs; Risk=Build;Runtime;Save; POST-BATCH-L is audit-only P2 residual triage. No source, project, XML/config, serialized layout, runtime file location, command name, access level, or region policy changed.</t>
  </si>
  <si>
    <t>RB-06058</t>
  </si>
  <si>
    <t>P10-F06058</t>
  </si>
  <si>
    <t>Data/Scripts/Items/Magical/Artifacts/Obsolete/Obsolete_VampiricDaisho.cs</t>
  </si>
  <si>
    <t>PBL-0783</t>
  </si>
  <si>
    <t>CurrentFile=Data/Scripts/Items/Magical/Artifacts/Obsolete/Obsolete_VampiricDaisho.cs;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RuntimeInventory=PrimaryRole=Persistence;SecondaryRoles=CombatPolicy;ItemContent;LegacyCompatibility;Commands=;Hooks=;SerializedTypes=class:VampiricDaisho;Gumps=; SerializationRegister=Class=Server.Items.VampiricDaisho;Version=0;Handling=SingleVersionOnly;Alignment=AlignedByCountAndKnownTypes;MoveRisk=NamespaceOrTypeRenameDanger</t>
  </si>
  <si>
    <t>HistoricalFile=Data/Scripts/Items/Magical/Artifacts/Obsolete/Obsolete_VampiricDaisho.cs; Risk=Build;Runtime;Save; POST-BATCH-L is audit-only P2 residual triage. No source, project, XML/config, serialized layout, runtime file location, command name, access level, or region policy changed.</t>
  </si>
  <si>
    <t>RB-06059</t>
  </si>
  <si>
    <t>P10-F06059</t>
  </si>
  <si>
    <t>Data/Scripts/Items/Magical/Artifacts/Obsolete/Obsolete_VioletCourage.cs</t>
  </si>
  <si>
    <t>PBL-0784</t>
  </si>
  <si>
    <t>CurrentFile=Data/Scripts/Items/Magical/Artifacts/Obsolete/Obsolete_VioletCourage.cs;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RuntimeInventory=PrimaryRole=Persistence;SecondaryRoles=CombatPolicy;ItemContent;LegacyCompatibility;Commands=;Hooks=;SerializedTypes=class:VioletCourage;Gumps=; SerializationRegister=Class=Server.Items.VioletCourage;Version=0;Handling=SingleVersionOnly;Alignment=AlignedByCountAndKnownTypes;MoveRisk=NamespaceOrTypeRenameDanger</t>
  </si>
  <si>
    <t>HistoricalFile=Data/Scripts/Items/Magical/Artifacts/Obsolete/Obsolete_VioletCourage.cs; Risk=Build;Runtime;Save; POST-BATCH-L is audit-only P2 residual triage. No source, project, XML/config, serialized layout, runtime file location, command name, access level, or region policy changed.</t>
  </si>
  <si>
    <t>RB-06060</t>
  </si>
  <si>
    <t>P10-F06060</t>
  </si>
  <si>
    <t>Data/Scripts/Items/Magical/Artifacts/Obsolete/Obsolete_VoiceOfTheFallenKing.cs</t>
  </si>
  <si>
    <t>PBL-0785</t>
  </si>
  <si>
    <t>CurrentFile=Data/Scripts/Items/Magical/Artifacts/Obsolete/Obsolete_VoiceOfTheFallenKing.cs;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RuntimeInventory=PrimaryRole=Persistence;SecondaryRoles=CombatPolicy;ItemContent;LegacyCompatibility;Commands=;Hooks=;SerializedTypes=class:VoiceOfTheFallenKing;Gumps=; SerializationRegister=Class=Server.Items.VoiceOfTheFallenKing;Version=1;Handling=IfVersionGates;Alignment=AlignedByCountAndKnownTypes;MoveRisk=NamespaceOrTypeRenameDanger</t>
  </si>
  <si>
    <t>HistoricalFile=Data/Scripts/Items/Magical/Artifacts/Obsolete/Obsolete_VoiceOfTheFallenKing.cs; Risk=Build;Runtime;Save; POST-BATCH-L is audit-only P2 residual triage. No source, project, XML/config, serialized layout, runtime file location, command name, access level, or region policy changed.</t>
  </si>
  <si>
    <t>RB-06061</t>
  </si>
  <si>
    <t>P10-F06061</t>
  </si>
  <si>
    <t>Data/Scripts/Items/Magical/Artifacts/Obsolete/Obsolete_WarriorsClasp.cs</t>
  </si>
  <si>
    <t>PBL-0786</t>
  </si>
  <si>
    <t>CurrentFile=Data/Scripts/Items/Magical/Artifacts/Obsolete/Obsolete_WarriorsClasp.cs;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RuntimeInventory=PrimaryRole=Persistence;SecondaryRoles=CombatPolicy;ItemContent;LegacyCompatibility;Commands=;Hooks=;SerializedTypes=class:WarriorsClasp;Gumps=; SerializationRegister=Class=Server.Items.WarriorsClasp;Version=0;Handling=SingleVersionOnly;Alignment=AlignedByCountAndKnownTypes;MoveRisk=NamespaceOrTypeRenameDanger</t>
  </si>
  <si>
    <t>HistoricalFile=Data/Scripts/Items/Magical/Artifacts/Obsolete/Obsolete_WarriorsClasp.cs; Risk=Build;Runtime;Save; POST-BATCH-L is audit-only P2 residual triage. No source, project, XML/config, serialized layout, runtime file location, command name, access level, or region policy changed.</t>
  </si>
  <si>
    <t>RB-06062</t>
  </si>
  <si>
    <t>P10-F06062</t>
  </si>
  <si>
    <t>PBL-0787</t>
  </si>
  <si>
    <t>CurrentFile=Data/Scripts/Items/Magical/Artifacts/Obsolete/Obsolete_WildfireBow.cs;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RuntimeInventory=PrimaryRole=Persistence;SecondaryRoles=CombatPolicy;ItemContent;LegacyCompatibility;Commands=;Hooks=;SerializedTypes=class:WildfireBow;Gumps=; SerializationRegister=Class=Server.Items.WildfireBow;Version=Unknown;Handling=NoVersionFound;Alignment=AlignedByCountAndKnownTypes;MoveRisk=NamespaceOrTypeRenameDanger</t>
  </si>
  <si>
    <t>HistoricalFile=Data/Scripts/Items/Magical/Artifacts/Obsolete/Obsolete_WildfireBow.cs; Risk=Build;Runtime;Save; POST-BATCH-L is audit-only P2 residual triage. No source, project, XML/config, serialized layout, runtime file location, command name, access level, or region policy changed.</t>
  </si>
  <si>
    <t>RB-06063</t>
  </si>
  <si>
    <t>P10-F06063</t>
  </si>
  <si>
    <t>PBL-0788</t>
  </si>
  <si>
    <t>CurrentFile=Data/Scripts/Items/Magical/Artifacts/Obsolete/Obsolete_Windsong.cs;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RuntimeInventory=PrimaryRole=Persistence;SecondaryRoles=CombatPolicy;ItemContent;LegacyCompatibility;Commands=;Hooks=;SerializedTypes=class:Windsong;Gumps=; SerializationRegister=Class=Server.Items.Windsong;Version=Unknown;Handling=NoVersionFound;Alignment=AlignedByCountAndKnownTypes;MoveRisk=NamespaceOrTypeRenameDanger</t>
  </si>
  <si>
    <t>HistoricalFile=Data/Scripts/Items/Magical/Artifacts/Obsolete/Obsolete_Windsong.cs; Risk=Build;Runtime;Save; POST-BATCH-L is audit-only P2 residual triage. No source, project, XML/config, serialized layout, runtime file location, command name, access level, or region policy changed.</t>
  </si>
  <si>
    <t>RB-06064</t>
  </si>
  <si>
    <t>P10-F06064</t>
  </si>
  <si>
    <t>Data/Scripts/Items/Magical/Artifacts/Obsolete/Obsolete_WizardsPants.cs</t>
  </si>
  <si>
    <t>PBL-0789</t>
  </si>
  <si>
    <t>CurrentFile=Data/Scripts/Items/Magical/Artifacts/Obsolete/Obsolete_WizardsPants.cs;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RuntimeInventory=PrimaryRole=Persistence;SecondaryRoles=CombatPolicy;ItemContent;LegacyCompatibility;Commands=;Hooks=;SerializedTypes=class:WizardsPants;Gumps=; SerializationRegister=Class=Server.Items.WizardsPants;Version=0;Handling=SingleVersionOnly;Alignment=AlignedByCountAndKnownTypes;MoveRisk=NamespaceOrTypeRenameDanger</t>
  </si>
  <si>
    <t>HistoricalFile=Data/Scripts/Items/Magical/Artifacts/Obsolete/Obsolete_WizardsPants.cs; Risk=Build;Runtime;Save; POST-BATCH-L is audit-only P2 residual triage. No source, project, XML/config, serialized layout, runtime file location, command name, access level, or region policy changed.</t>
  </si>
  <si>
    <t>RB-06065</t>
  </si>
  <si>
    <t>P10-F06065</t>
  </si>
  <si>
    <t>Data/Scripts/Items/Magical/Artifacts/Obsolete/Obsolete_WrathOfTheDryad.cs</t>
  </si>
  <si>
    <t>PBL-0790</t>
  </si>
  <si>
    <t>CurrentFile=Data/Scripts/Items/Magical/Artifacts/Obsolete/Obsolete_WrathOfTheDryad.cs;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RuntimeInventory=PrimaryRole=Persistence;SecondaryRoles=CombatPolicy;ItemContent;LegacyCompatibility;Commands=;Hooks=;SerializedTypes=class:WrathOfTheDryad;Gumps=; SerializationRegister=Class=Server.Items.WrathOfTheDryad;Version=0;Handling=SingleVersionOnly;Alignment=AlignedByCountAndKnownTypes;MoveRisk=NamespaceOrTypeRenameDanger</t>
  </si>
  <si>
    <t>HistoricalFile=Data/Scripts/Items/Magical/Artifacts/Obsolete/Obsolete_WrathOfTheDryad.cs; Risk=Build;Runtime;Save; POST-BATCH-L is audit-only P2 residual triage. No source, project, XML/config, serialized layout, runtime file location, command name, access level, or region policy changed.</t>
  </si>
  <si>
    <t>RB-06066</t>
  </si>
  <si>
    <t>P10-F06066</t>
  </si>
  <si>
    <t>Data/Scripts/Items/Magical/Artifacts/Obsolete/Obsolete_YashimotosHatsuburi.cs</t>
  </si>
  <si>
    <t>PBL-0791</t>
  </si>
  <si>
    <t>CurrentFile=Data/Scripts/Items/Magical/Artifacts/Obsolete/Obsolete_YashimotosHatsuburi.cs;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RuntimeInventory=PrimaryRole=Persistence;SecondaryRoles=CombatPolicy;ItemContent;LegacyCompatibility;Commands=;Hooks=;SerializedTypes=class:YashimotosHatsuburi;Gumps=; SerializationRegister=Class=Server.Items.YashimotosHatsuburi;Version=0;Handling=SingleVersionOnly;Alignment=AlignedByCountAndKnownTypes;MoveRisk=NamespaceOrTypeRenameDanger</t>
  </si>
  <si>
    <t>HistoricalFile=Data/Scripts/Items/Magical/Artifacts/Obsolete/Obsolete_YashimotosHatsuburi.cs; Risk=Build;Runtime;Save; POST-BATCH-L is audit-only P2 residual triage. No source, project, XML/config, serialized layout, runtime file location, command name, access level, or region policy changed.</t>
  </si>
  <si>
    <t>RB-06067</t>
  </si>
  <si>
    <t>P10-F06067</t>
  </si>
  <si>
    <t>Data/Scripts/Items/Magical/Artifacts/Obsolete/Obsolete_ZyronicClaw.cs</t>
  </si>
  <si>
    <t>PBL-0792</t>
  </si>
  <si>
    <t>CurrentFile=Data/Scripts/Items/Magical/Artifacts/Obsolete/Obsolete_ZyronicClaw.cs;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RuntimeInventory=PrimaryRole=Persistence;SecondaryRoles=CombatPolicy;ItemContent;LegacyCompatibility;Commands=;Hooks=;SerializedTypes=class:ZyronicClaw;Gumps=; SerializationRegister=Class=Server.Items.ZyronicClaw;Version=0;Handling=SingleVersionOnly;Alignment=AlignedByCountAndKnownTypes;MoveRisk=NamespaceOrTypeRenameDanger</t>
  </si>
  <si>
    <t>HistoricalFile=Data/Scripts/Items/Magical/Artifacts/Obsolete/Obsolete_ZyronicClaw.cs; Risk=Build;Runtime;Save; POST-BATCH-L is audit-only P2 residual triage. No source, project, XML/config, serialized layout, runtime file location, command name, access level, or region policy changed.</t>
  </si>
  <si>
    <t>RB-06077</t>
  </si>
  <si>
    <t>P10-F06077</t>
  </si>
  <si>
    <t>PBL-0793</t>
  </si>
  <si>
    <t>RB-06078</t>
  </si>
  <si>
    <t>P10-F06078</t>
  </si>
  <si>
    <t>PBL-0794</t>
  </si>
  <si>
    <t>RB-06079</t>
  </si>
  <si>
    <t>P10-F06079</t>
  </si>
  <si>
    <t>PBL-0795</t>
  </si>
  <si>
    <t>RB-06080</t>
  </si>
  <si>
    <t>P10-F06080</t>
  </si>
  <si>
    <t>PBL-0796</t>
  </si>
  <si>
    <t>RB-06081</t>
  </si>
  <si>
    <t>P10-F06081</t>
  </si>
  <si>
    <t>PBL-0797</t>
  </si>
  <si>
    <t>RB-06082</t>
  </si>
  <si>
    <t>P10-F06082</t>
  </si>
  <si>
    <t>PBL-0798</t>
  </si>
  <si>
    <t>RB-06083</t>
  </si>
  <si>
    <t>P10-F06083</t>
  </si>
  <si>
    <t>PBL-0799</t>
  </si>
  <si>
    <t>RB-06084</t>
  </si>
  <si>
    <t>P10-F06084</t>
  </si>
  <si>
    <t>PBL-0800</t>
  </si>
  <si>
    <t>RB-06085</t>
  </si>
  <si>
    <t>P10-F06085</t>
  </si>
  <si>
    <t>PBL-0801</t>
  </si>
  <si>
    <t>RB-06086</t>
  </si>
  <si>
    <t>P10-F06086</t>
  </si>
  <si>
    <t>PBL-0802</t>
  </si>
  <si>
    <t>RB-06087</t>
  </si>
  <si>
    <t>P10-F06087</t>
  </si>
  <si>
    <t>PBL-0803</t>
  </si>
  <si>
    <t>RB-06088</t>
  </si>
  <si>
    <t>P10-F06088</t>
  </si>
  <si>
    <t>PBL-0804</t>
  </si>
  <si>
    <t>RB-06089</t>
  </si>
  <si>
    <t>P10-F06089</t>
  </si>
  <si>
    <t>PBL-0805</t>
  </si>
  <si>
    <t>RB-06090</t>
  </si>
  <si>
    <t>P10-F06090</t>
  </si>
  <si>
    <t>PBL-0806</t>
  </si>
  <si>
    <t>RB-06091</t>
  </si>
  <si>
    <t>P10-F06091</t>
  </si>
  <si>
    <t>PBL-0807</t>
  </si>
  <si>
    <t>RB-06092</t>
  </si>
  <si>
    <t>P10-F06092</t>
  </si>
  <si>
    <t>PBL-0808</t>
  </si>
  <si>
    <t>RB-06093</t>
  </si>
  <si>
    <t>P10-F06093</t>
  </si>
  <si>
    <t>PBL-0809</t>
  </si>
  <si>
    <t>RB-06094</t>
  </si>
  <si>
    <t>P10-F06094</t>
  </si>
  <si>
    <t>PBL-0810</t>
  </si>
  <si>
    <t>RB-06095</t>
  </si>
  <si>
    <t>P10-F06095</t>
  </si>
  <si>
    <t>PBL-0811</t>
  </si>
  <si>
    <t>RB-06096</t>
  </si>
  <si>
    <t>P10-F06096</t>
  </si>
  <si>
    <t>PBL-0812</t>
  </si>
  <si>
    <t>RB-06097</t>
  </si>
  <si>
    <t>P10-F06097</t>
  </si>
  <si>
    <t>PBL-0813</t>
  </si>
  <si>
    <t>RB-06098</t>
  </si>
  <si>
    <t>P10-F06098</t>
  </si>
  <si>
    <t>PBL-0814</t>
  </si>
  <si>
    <t>RB-06099</t>
  </si>
  <si>
    <t>P10-F06099</t>
  </si>
  <si>
    <t>PBL-0815</t>
  </si>
  <si>
    <t>RB-06100</t>
  </si>
  <si>
    <t>P10-F06100</t>
  </si>
  <si>
    <t>PBL-0816</t>
  </si>
  <si>
    <t>RB-06101</t>
  </si>
  <si>
    <t>P10-F06101</t>
  </si>
  <si>
    <t>PBL-0817</t>
  </si>
  <si>
    <t>RB-06102</t>
  </si>
  <si>
    <t>P10-F06102</t>
  </si>
  <si>
    <t>PBL-0818</t>
  </si>
  <si>
    <t>RB-06103</t>
  </si>
  <si>
    <t>P10-F06103</t>
  </si>
  <si>
    <t>PBL-0819</t>
  </si>
  <si>
    <t>RB-06104</t>
  </si>
  <si>
    <t>P10-F06104</t>
  </si>
  <si>
    <t>PBL-0820</t>
  </si>
  <si>
    <t>RB-06105</t>
  </si>
  <si>
    <t>P10-F06105</t>
  </si>
  <si>
    <t>PBL-0821</t>
  </si>
  <si>
    <t>RB-06106</t>
  </si>
  <si>
    <t>P10-F06106</t>
  </si>
  <si>
    <t>PBL-0822</t>
  </si>
  <si>
    <t>RB-06107</t>
  </si>
  <si>
    <t>P10-F06107</t>
  </si>
  <si>
    <t>PBL-0823</t>
  </si>
  <si>
    <t>RB-06108</t>
  </si>
  <si>
    <t>P10-F06108</t>
  </si>
  <si>
    <t>PBL-0824</t>
  </si>
  <si>
    <t>RB-06109</t>
  </si>
  <si>
    <t>P10-F06109</t>
  </si>
  <si>
    <t>PBL-0825</t>
  </si>
  <si>
    <t>RB-06110</t>
  </si>
  <si>
    <t>P10-F06110</t>
  </si>
  <si>
    <t>PBL-0826</t>
  </si>
  <si>
    <t>RB-06111</t>
  </si>
  <si>
    <t>P10-F06111</t>
  </si>
  <si>
    <t>PBL-0827</t>
  </si>
  <si>
    <t>RB-06112</t>
  </si>
  <si>
    <t>P10-F06112</t>
  </si>
  <si>
    <t>PBL-0828</t>
  </si>
  <si>
    <t>RB-06113</t>
  </si>
  <si>
    <t>P10-F06113</t>
  </si>
  <si>
    <t>PBL-0829</t>
  </si>
  <si>
    <t>RB-06114</t>
  </si>
  <si>
    <t>P10-F06114</t>
  </si>
  <si>
    <t>PBL-0830</t>
  </si>
  <si>
    <t>RB-06115</t>
  </si>
  <si>
    <t>P10-F06115</t>
  </si>
  <si>
    <t>PBL-0831</t>
  </si>
  <si>
    <t>RB-06116</t>
  </si>
  <si>
    <t>P10-F06116</t>
  </si>
  <si>
    <t>PBL-0832</t>
  </si>
  <si>
    <t>RB-06117</t>
  </si>
  <si>
    <t>P10-F06117</t>
  </si>
  <si>
    <t>PBL-0833</t>
  </si>
  <si>
    <t>RB-06118</t>
  </si>
  <si>
    <t>P10-F06118</t>
  </si>
  <si>
    <t>PBL-0834</t>
  </si>
  <si>
    <t>RB-06119</t>
  </si>
  <si>
    <t>P10-F06119</t>
  </si>
  <si>
    <t>PBL-0835</t>
  </si>
  <si>
    <t>RB-06120</t>
  </si>
  <si>
    <t>P10-F06120</t>
  </si>
  <si>
    <t>PBL-0836</t>
  </si>
  <si>
    <t>RB-06121</t>
  </si>
  <si>
    <t>P10-F06121</t>
  </si>
  <si>
    <t>PBL-0837</t>
  </si>
  <si>
    <t>RB-06122</t>
  </si>
  <si>
    <t>P10-F06122</t>
  </si>
  <si>
    <t>PBL-0838</t>
  </si>
  <si>
    <t>RB-06123</t>
  </si>
  <si>
    <t>P10-F06123</t>
  </si>
  <si>
    <t>PBL-0839</t>
  </si>
  <si>
    <t>RB-06124</t>
  </si>
  <si>
    <t>P10-F06124</t>
  </si>
  <si>
    <t>PBL-0840</t>
  </si>
  <si>
    <t>RB-06125</t>
  </si>
  <si>
    <t>P10-F06125</t>
  </si>
  <si>
    <t>PBL-0841</t>
  </si>
  <si>
    <t>RB-06126</t>
  </si>
  <si>
    <t>P10-F06126</t>
  </si>
  <si>
    <t>PBL-0842</t>
  </si>
  <si>
    <t>RB-06127</t>
  </si>
  <si>
    <t>P10-F06127</t>
  </si>
  <si>
    <t>PBL-0843</t>
  </si>
  <si>
    <t>RB-06128</t>
  </si>
  <si>
    <t>P10-F06128</t>
  </si>
  <si>
    <t>PBL-0844</t>
  </si>
  <si>
    <t>RB-06129</t>
  </si>
  <si>
    <t>P10-F06129</t>
  </si>
  <si>
    <t>PBL-0845</t>
  </si>
  <si>
    <t>RB-06130</t>
  </si>
  <si>
    <t>P10-F06130</t>
  </si>
  <si>
    <t>PBL-0846</t>
  </si>
  <si>
    <t>RB-06131</t>
  </si>
  <si>
    <t>P10-F06131</t>
  </si>
  <si>
    <t>PBL-0847</t>
  </si>
  <si>
    <t>RB-06132</t>
  </si>
  <si>
    <t>P10-F06132</t>
  </si>
  <si>
    <t>PBL-0848</t>
  </si>
  <si>
    <t>RB-06133</t>
  </si>
  <si>
    <t>P10-F06133</t>
  </si>
  <si>
    <t>PBL-0849</t>
  </si>
  <si>
    <t>RB-06134</t>
  </si>
  <si>
    <t>P10-F06134</t>
  </si>
  <si>
    <t>PBL-0850</t>
  </si>
  <si>
    <t>RB-06135</t>
  </si>
  <si>
    <t>P10-F06135</t>
  </si>
  <si>
    <t>PBL-0851</t>
  </si>
  <si>
    <t>RB-06136</t>
  </si>
  <si>
    <t>P10-F06136</t>
  </si>
  <si>
    <t>PBL-0852</t>
  </si>
  <si>
    <t>RB-06137</t>
  </si>
  <si>
    <t>P10-F06137</t>
  </si>
  <si>
    <t>PBL-0853</t>
  </si>
  <si>
    <t>RB-06138</t>
  </si>
  <si>
    <t>P10-F06138</t>
  </si>
  <si>
    <t>PBL-0854</t>
  </si>
  <si>
    <t>RB-06139</t>
  </si>
  <si>
    <t>P10-F06139</t>
  </si>
  <si>
    <t>PBL-0855</t>
  </si>
  <si>
    <t>RB-06140</t>
  </si>
  <si>
    <t>P10-F06140</t>
  </si>
  <si>
    <t>PBL-0856</t>
  </si>
  <si>
    <t>RB-06141</t>
  </si>
  <si>
    <t>P10-F06141</t>
  </si>
  <si>
    <t>PBL-0857</t>
  </si>
  <si>
    <t>RB-06142</t>
  </si>
  <si>
    <t>P10-F06142</t>
  </si>
  <si>
    <t>PBL-0858</t>
  </si>
  <si>
    <t>RB-06143</t>
  </si>
  <si>
    <t>P10-F06143</t>
  </si>
  <si>
    <t>PBL-0859</t>
  </si>
  <si>
    <t>RB-06144</t>
  </si>
  <si>
    <t>P10-F06144</t>
  </si>
  <si>
    <t>PBL-0860</t>
  </si>
  <si>
    <t>RB-06145</t>
  </si>
  <si>
    <t>P10-F06145</t>
  </si>
  <si>
    <t>PBL-0861</t>
  </si>
  <si>
    <t>RB-06146</t>
  </si>
  <si>
    <t>P10-F06146</t>
  </si>
  <si>
    <t>PBL-0862</t>
  </si>
  <si>
    <t>RB-06147</t>
  </si>
  <si>
    <t>P10-F06147</t>
  </si>
  <si>
    <t>PBL-0863</t>
  </si>
  <si>
    <t>RB-06148</t>
  </si>
  <si>
    <t>P10-F06148</t>
  </si>
  <si>
    <t>PBL-0864</t>
  </si>
  <si>
    <t>RB-06149</t>
  </si>
  <si>
    <t>P10-F06149</t>
  </si>
  <si>
    <t>PBL-0865</t>
  </si>
  <si>
    <t>RB-06150</t>
  </si>
  <si>
    <t>P10-F06150</t>
  </si>
  <si>
    <t>PBL-0866</t>
  </si>
  <si>
    <t>RB-06151</t>
  </si>
  <si>
    <t>P10-F06151</t>
  </si>
  <si>
    <t>PBL-0867</t>
  </si>
  <si>
    <t>RB-06152</t>
  </si>
  <si>
    <t>P10-F06152</t>
  </si>
  <si>
    <t>PBL-0868</t>
  </si>
  <si>
    <t>RB-06153</t>
  </si>
  <si>
    <t>P10-F06153</t>
  </si>
  <si>
    <t>PBL-0869</t>
  </si>
  <si>
    <t>RB-06154</t>
  </si>
  <si>
    <t>P10-F06154</t>
  </si>
  <si>
    <t>PBL-0870</t>
  </si>
  <si>
    <t>RB-06155</t>
  </si>
  <si>
    <t>P10-F06155</t>
  </si>
  <si>
    <t>PBL-0871</t>
  </si>
  <si>
    <t>RB-06156</t>
  </si>
  <si>
    <t>P10-F06156</t>
  </si>
  <si>
    <t>PBL-0872</t>
  </si>
  <si>
    <t>RB-06157</t>
  </si>
  <si>
    <t>P10-F06157</t>
  </si>
  <si>
    <t>PBL-0873</t>
  </si>
  <si>
    <t>RB-06158</t>
  </si>
  <si>
    <t>P10-F06158</t>
  </si>
  <si>
    <t>PBL-0874</t>
  </si>
  <si>
    <t>RB-06159</t>
  </si>
  <si>
    <t>P10-F06159</t>
  </si>
  <si>
    <t>PBL-0875</t>
  </si>
  <si>
    <t>RB-06160</t>
  </si>
  <si>
    <t>P10-F06160</t>
  </si>
  <si>
    <t>PBL-0876</t>
  </si>
  <si>
    <t>RB-06161</t>
  </si>
  <si>
    <t>P10-F06161</t>
  </si>
  <si>
    <t>PBL-0877</t>
  </si>
  <si>
    <t>RB-06162</t>
  </si>
  <si>
    <t>P10-F06162</t>
  </si>
  <si>
    <t>PBL-0878</t>
  </si>
  <si>
    <t>RB-06163</t>
  </si>
  <si>
    <t>P10-F06163</t>
  </si>
  <si>
    <t>PBL-0879</t>
  </si>
  <si>
    <t>RB-06164</t>
  </si>
  <si>
    <t>P10-F06164</t>
  </si>
  <si>
    <t>PBL-0880</t>
  </si>
  <si>
    <t>RB-06165</t>
  </si>
  <si>
    <t>P10-F06165</t>
  </si>
  <si>
    <t>PBL-0881</t>
  </si>
  <si>
    <t>RB-06166</t>
  </si>
  <si>
    <t>P10-F06166</t>
  </si>
  <si>
    <t>PBL-0882</t>
  </si>
  <si>
    <t>RB-06167</t>
  </si>
  <si>
    <t>P10-F06167</t>
  </si>
  <si>
    <t>PBL-0883</t>
  </si>
  <si>
    <t>RB-06168</t>
  </si>
  <si>
    <t>P10-F06168</t>
  </si>
  <si>
    <t>PBL-0884</t>
  </si>
  <si>
    <t>RB-06169</t>
  </si>
  <si>
    <t>P10-F06169</t>
  </si>
  <si>
    <t>PBL-0885</t>
  </si>
  <si>
    <t>RB-06170</t>
  </si>
  <si>
    <t>P10-F06170</t>
  </si>
  <si>
    <t>PBL-0886</t>
  </si>
  <si>
    <t>RB-06171</t>
  </si>
  <si>
    <t>P10-F06171</t>
  </si>
  <si>
    <t>PBL-0887</t>
  </si>
  <si>
    <t>RB-06172</t>
  </si>
  <si>
    <t>P10-F06172</t>
  </si>
  <si>
    <t>PBL-0888</t>
  </si>
  <si>
    <t>RB-06173</t>
  </si>
  <si>
    <t>P10-F06173</t>
  </si>
  <si>
    <t>PBL-0889</t>
  </si>
  <si>
    <t>RB-06174</t>
  </si>
  <si>
    <t>P10-F06174</t>
  </si>
  <si>
    <t>PBL-0890</t>
  </si>
  <si>
    <t>RB-06175</t>
  </si>
  <si>
    <t>P10-F06175</t>
  </si>
  <si>
    <t>PBL-0891</t>
  </si>
  <si>
    <t>RB-06176</t>
  </si>
  <si>
    <t>P10-F06176</t>
  </si>
  <si>
    <t>PBL-0892</t>
  </si>
  <si>
    <t>RB-06177</t>
  </si>
  <si>
    <t>P10-F06177</t>
  </si>
  <si>
    <t>PBL-0893</t>
  </si>
  <si>
    <t>RB-06178</t>
  </si>
  <si>
    <t>P10-F06178</t>
  </si>
  <si>
    <t>PBL-0894</t>
  </si>
  <si>
    <t>RB-06179</t>
  </si>
  <si>
    <t>P10-F06179</t>
  </si>
  <si>
    <t>PBL-0895</t>
  </si>
  <si>
    <t>RB-06180</t>
  </si>
  <si>
    <t>P10-F06180</t>
  </si>
  <si>
    <t>PBL-0896</t>
  </si>
  <si>
    <t>RB-06181</t>
  </si>
  <si>
    <t>P10-F06181</t>
  </si>
  <si>
    <t>PBL-0897</t>
  </si>
  <si>
    <t>RB-06182</t>
  </si>
  <si>
    <t>P10-F06182</t>
  </si>
  <si>
    <t>PBL-0898</t>
  </si>
  <si>
    <t>RB-06183</t>
  </si>
  <si>
    <t>P10-F06183</t>
  </si>
  <si>
    <t>PBL-0899</t>
  </si>
  <si>
    <t>RB-06184</t>
  </si>
  <si>
    <t>P10-F06184</t>
  </si>
  <si>
    <t>PBL-0900</t>
  </si>
  <si>
    <t>RB-06185</t>
  </si>
  <si>
    <t>P10-F06185</t>
  </si>
  <si>
    <t>PBL-0901</t>
  </si>
  <si>
    <t>RB-06186</t>
  </si>
  <si>
    <t>P10-F06186</t>
  </si>
  <si>
    <t>PBL-0902</t>
  </si>
  <si>
    <t>RB-06187</t>
  </si>
  <si>
    <t>P10-F06187</t>
  </si>
  <si>
    <t>PBL-0903</t>
  </si>
  <si>
    <t>RB-06188</t>
  </si>
  <si>
    <t>P10-F06188</t>
  </si>
  <si>
    <t>PBL-0904</t>
  </si>
  <si>
    <t>RB-06189</t>
  </si>
  <si>
    <t>P10-F06189</t>
  </si>
  <si>
    <t>PBL-0905</t>
  </si>
  <si>
    <t>RB-06190</t>
  </si>
  <si>
    <t>P10-F06190</t>
  </si>
  <si>
    <t>PBL-0906</t>
  </si>
  <si>
    <t>RB-06191</t>
  </si>
  <si>
    <t>P10-F06191</t>
  </si>
  <si>
    <t>PBL-0907</t>
  </si>
  <si>
    <t>RB-06192</t>
  </si>
  <si>
    <t>P10-F06192</t>
  </si>
  <si>
    <t>PBL-0908</t>
  </si>
  <si>
    <t>RB-06193</t>
  </si>
  <si>
    <t>P10-F06193</t>
  </si>
  <si>
    <t>PBL-0909</t>
  </si>
  <si>
    <t>RB-06194</t>
  </si>
  <si>
    <t>P10-F06194</t>
  </si>
  <si>
    <t>PBL-0910</t>
  </si>
  <si>
    <t>RB-06195</t>
  </si>
  <si>
    <t>P10-F06195</t>
  </si>
  <si>
    <t>PBL-0911</t>
  </si>
  <si>
    <t>RB-06196</t>
  </si>
  <si>
    <t>P10-F06196</t>
  </si>
  <si>
    <t>PBL-0912</t>
  </si>
  <si>
    <t>RB-06197</t>
  </si>
  <si>
    <t>P10-F06197</t>
  </si>
  <si>
    <t>PBL-0913</t>
  </si>
  <si>
    <t>RB-06198</t>
  </si>
  <si>
    <t>P10-F06198</t>
  </si>
  <si>
    <t>PBL-0914</t>
  </si>
  <si>
    <t>RB-06199</t>
  </si>
  <si>
    <t>P10-F06199</t>
  </si>
  <si>
    <t>PBL-0915</t>
  </si>
  <si>
    <t>RB-06200</t>
  </si>
  <si>
    <t>P10-F06200</t>
  </si>
  <si>
    <t>PBL-0916</t>
  </si>
  <si>
    <t>RB-06201</t>
  </si>
  <si>
    <t>P10-F06201</t>
  </si>
  <si>
    <t>PBL-0917</t>
  </si>
  <si>
    <t>RB-06202</t>
  </si>
  <si>
    <t>P10-F06202</t>
  </si>
  <si>
    <t>PBL-0918</t>
  </si>
  <si>
    <t>RB-06203</t>
  </si>
  <si>
    <t>P10-F06203</t>
  </si>
  <si>
    <t>PBL-0919</t>
  </si>
  <si>
    <t>RB-06204</t>
  </si>
  <si>
    <t>P10-F06204</t>
  </si>
  <si>
    <t>PBL-0920</t>
  </si>
  <si>
    <t>RB-06205</t>
  </si>
  <si>
    <t>P10-F06205</t>
  </si>
  <si>
    <t>PBL-0921</t>
  </si>
  <si>
    <t>RB-06206</t>
  </si>
  <si>
    <t>P10-F06206</t>
  </si>
  <si>
    <t>PBL-0922</t>
  </si>
  <si>
    <t>RB-06207</t>
  </si>
  <si>
    <t>P10-F06207</t>
  </si>
  <si>
    <t>PBL-0923</t>
  </si>
  <si>
    <t>RB-06208</t>
  </si>
  <si>
    <t>P10-F06208</t>
  </si>
  <si>
    <t>PBL-0924</t>
  </si>
  <si>
    <t>RB-06209</t>
  </si>
  <si>
    <t>P10-F06209</t>
  </si>
  <si>
    <t>PBL-0925</t>
  </si>
  <si>
    <t>RB-06210</t>
  </si>
  <si>
    <t>P10-F06210</t>
  </si>
  <si>
    <t>PBL-0926</t>
  </si>
  <si>
    <t>RB-06211</t>
  </si>
  <si>
    <t>P10-F06211</t>
  </si>
  <si>
    <t>PBL-0927</t>
  </si>
  <si>
    <t>RB-06212</t>
  </si>
  <si>
    <t>P10-F06212</t>
  </si>
  <si>
    <t>PBL-0928</t>
  </si>
  <si>
    <t>RB-06213</t>
  </si>
  <si>
    <t>P10-F06213</t>
  </si>
  <si>
    <t>PBL-0929</t>
  </si>
  <si>
    <t>RB-06214</t>
  </si>
  <si>
    <t>P10-F06214</t>
  </si>
  <si>
    <t>PBL-0930</t>
  </si>
  <si>
    <t>RB-06215</t>
  </si>
  <si>
    <t>P10-F06215</t>
  </si>
  <si>
    <t>PBL-0931</t>
  </si>
  <si>
    <t>RB-06216</t>
  </si>
  <si>
    <t>P10-F06216</t>
  </si>
  <si>
    <t>PBL-0932</t>
  </si>
  <si>
    <t>RB-06217</t>
  </si>
  <si>
    <t>P10-F06217</t>
  </si>
  <si>
    <t>PBL-0933</t>
  </si>
  <si>
    <t>RB-06218</t>
  </si>
  <si>
    <t>P10-F06218</t>
  </si>
  <si>
    <t>PBL-0934</t>
  </si>
  <si>
    <t>RB-06219</t>
  </si>
  <si>
    <t>P10-F06219</t>
  </si>
  <si>
    <t>PBL-0935</t>
  </si>
  <si>
    <t>RB-06220</t>
  </si>
  <si>
    <t>P10-F06220</t>
  </si>
  <si>
    <t>PBL-0936</t>
  </si>
  <si>
    <t>RB-06221</t>
  </si>
  <si>
    <t>P10-F06221</t>
  </si>
  <si>
    <t>PBL-0937</t>
  </si>
  <si>
    <t>RB-06222</t>
  </si>
  <si>
    <t>P10-F06222</t>
  </si>
  <si>
    <t>PBL-0938</t>
  </si>
  <si>
    <t>RB-06223</t>
  </si>
  <si>
    <t>P10-F06223</t>
  </si>
  <si>
    <t>PBL-0939</t>
  </si>
  <si>
    <t>RB-06224</t>
  </si>
  <si>
    <t>P10-F06224</t>
  </si>
  <si>
    <t>PBL-0940</t>
  </si>
  <si>
    <t>RB-06225</t>
  </si>
  <si>
    <t>P10-F06225</t>
  </si>
  <si>
    <t>PBL-0941</t>
  </si>
  <si>
    <t>RB-06226</t>
  </si>
  <si>
    <t>P10-F06226</t>
  </si>
  <si>
    <t>PBL-0942</t>
  </si>
  <si>
    <t>RB-06227</t>
  </si>
  <si>
    <t>P10-F06227</t>
  </si>
  <si>
    <t>PBL-0943</t>
  </si>
  <si>
    <t>RB-06228</t>
  </si>
  <si>
    <t>P10-F06228</t>
  </si>
  <si>
    <t>PBL-0944</t>
  </si>
  <si>
    <t>RB-06229</t>
  </si>
  <si>
    <t>P10-F06229</t>
  </si>
  <si>
    <t>PBL-0945</t>
  </si>
  <si>
    <t>RB-06230</t>
  </si>
  <si>
    <t>P10-F06230</t>
  </si>
  <si>
    <t>PBL-0946</t>
  </si>
  <si>
    <t>RB-06231</t>
  </si>
  <si>
    <t>P10-F06231</t>
  </si>
  <si>
    <t>PBL-0947</t>
  </si>
  <si>
    <t>RB-06232</t>
  </si>
  <si>
    <t>P10-F06232</t>
  </si>
  <si>
    <t>PBL-0948</t>
  </si>
  <si>
    <t>RB-06233</t>
  </si>
  <si>
    <t>P10-F06233</t>
  </si>
  <si>
    <t>PBL-0949</t>
  </si>
  <si>
    <t>RB-06234</t>
  </si>
  <si>
    <t>P10-F06234</t>
  </si>
  <si>
    <t>PBL-0950</t>
  </si>
  <si>
    <t>RB-06235</t>
  </si>
  <si>
    <t>P10-F06235</t>
  </si>
  <si>
    <t>PBL-0951</t>
  </si>
  <si>
    <t>RB-06236</t>
  </si>
  <si>
    <t>P10-F06236</t>
  </si>
  <si>
    <t>PBL-0952</t>
  </si>
  <si>
    <t>RB-06237</t>
  </si>
  <si>
    <t>P10-F06237</t>
  </si>
  <si>
    <t>PBL-0953</t>
  </si>
  <si>
    <t>RB-06238</t>
  </si>
  <si>
    <t>P10-F06238</t>
  </si>
  <si>
    <t>PBL-0954</t>
  </si>
  <si>
    <t>RB-06239</t>
  </si>
  <si>
    <t>P10-F06239</t>
  </si>
  <si>
    <t>PBL-0955</t>
  </si>
  <si>
    <t>RB-06240</t>
  </si>
  <si>
    <t>P10-F06240</t>
  </si>
  <si>
    <t>PBL-0956</t>
  </si>
  <si>
    <t>RB-06241</t>
  </si>
  <si>
    <t>P10-F06241</t>
  </si>
  <si>
    <t>PBL-0957</t>
  </si>
  <si>
    <t>RB-06242</t>
  </si>
  <si>
    <t>P10-F06242</t>
  </si>
  <si>
    <t>PBL-0958</t>
  </si>
  <si>
    <t>RB-06243</t>
  </si>
  <si>
    <t>P10-F06243</t>
  </si>
  <si>
    <t>PBL-0959</t>
  </si>
  <si>
    <t>RB-06244</t>
  </si>
  <si>
    <t>P10-F06244</t>
  </si>
  <si>
    <t>PBL-0960</t>
  </si>
  <si>
    <t>RB-06245</t>
  </si>
  <si>
    <t>P10-F06245</t>
  </si>
  <si>
    <t>PBL-0961</t>
  </si>
  <si>
    <t>RB-06246</t>
  </si>
  <si>
    <t>P10-F06246</t>
  </si>
  <si>
    <t>PBL-0962</t>
  </si>
  <si>
    <t>RB-06247</t>
  </si>
  <si>
    <t>P10-F06247</t>
  </si>
  <si>
    <t>PBL-0963</t>
  </si>
  <si>
    <t>RB-06248</t>
  </si>
  <si>
    <t>P10-F06248</t>
  </si>
  <si>
    <t>PBL-0964</t>
  </si>
  <si>
    <t>RB-06249</t>
  </si>
  <si>
    <t>P10-F06249</t>
  </si>
  <si>
    <t>PBL-0965</t>
  </si>
  <si>
    <t>RB-06250</t>
  </si>
  <si>
    <t>P10-F06250</t>
  </si>
  <si>
    <t>PBL-0966</t>
  </si>
  <si>
    <t>RB-06251</t>
  </si>
  <si>
    <t>P10-F06251</t>
  </si>
  <si>
    <t>PBL-0967</t>
  </si>
  <si>
    <t>RB-06252</t>
  </si>
  <si>
    <t>P10-F06252</t>
  </si>
  <si>
    <t>PBL-0968</t>
  </si>
  <si>
    <t>RB-06253</t>
  </si>
  <si>
    <t>P10-F06253</t>
  </si>
  <si>
    <t>PBL-0969</t>
  </si>
  <si>
    <t>RB-06254</t>
  </si>
  <si>
    <t>P10-F06254</t>
  </si>
  <si>
    <t>PBL-0970</t>
  </si>
  <si>
    <t>RB-06255</t>
  </si>
  <si>
    <t>P10-F06255</t>
  </si>
  <si>
    <t>PBL-0971</t>
  </si>
  <si>
    <t>RB-06256</t>
  </si>
  <si>
    <t>P10-F06256</t>
  </si>
  <si>
    <t>PBL-0972</t>
  </si>
  <si>
    <t>RB-06257</t>
  </si>
  <si>
    <t>P10-F06257</t>
  </si>
  <si>
    <t>PBL-0973</t>
  </si>
  <si>
    <t>RB-06258</t>
  </si>
  <si>
    <t>P10-F06258</t>
  </si>
  <si>
    <t>PBL-0974</t>
  </si>
  <si>
    <t>RB-06259</t>
  </si>
  <si>
    <t>P10-F06259</t>
  </si>
  <si>
    <t>PBL-0975</t>
  </si>
  <si>
    <t>RB-06260</t>
  </si>
  <si>
    <t>P10-F06260</t>
  </si>
  <si>
    <t>PBL-0976</t>
  </si>
  <si>
    <t>RB-06261</t>
  </si>
  <si>
    <t>P10-F06261</t>
  </si>
  <si>
    <t>PBL-0977</t>
  </si>
  <si>
    <t>RB-06262</t>
  </si>
  <si>
    <t>P10-F06262</t>
  </si>
  <si>
    <t>PBL-0978</t>
  </si>
  <si>
    <t>RB-06263</t>
  </si>
  <si>
    <t>P10-F06263</t>
  </si>
  <si>
    <t>PBL-0979</t>
  </si>
  <si>
    <t>RB-06264</t>
  </si>
  <si>
    <t>P10-F06264</t>
  </si>
  <si>
    <t>PBL-0980</t>
  </si>
  <si>
    <t>RB-06265</t>
  </si>
  <si>
    <t>P10-F06265</t>
  </si>
  <si>
    <t>PBL-0981</t>
  </si>
  <si>
    <t>RB-06266</t>
  </si>
  <si>
    <t>P10-F06266</t>
  </si>
  <si>
    <t>PBL-0982</t>
  </si>
  <si>
    <t>RB-06267</t>
  </si>
  <si>
    <t>P10-F06267</t>
  </si>
  <si>
    <t>PBL-0983</t>
  </si>
  <si>
    <t>RB-06268</t>
  </si>
  <si>
    <t>P10-F06268</t>
  </si>
  <si>
    <t>PBL-0984</t>
  </si>
  <si>
    <t>RB-06269</t>
  </si>
  <si>
    <t>P10-F06269</t>
  </si>
  <si>
    <t>PBL-0985</t>
  </si>
  <si>
    <t>RB-06270</t>
  </si>
  <si>
    <t>P10-F06270</t>
  </si>
  <si>
    <t>PBL-0986</t>
  </si>
  <si>
    <t>RB-06271</t>
  </si>
  <si>
    <t>P10-F06271</t>
  </si>
  <si>
    <t>PBL-0987</t>
  </si>
  <si>
    <t>RB-06272</t>
  </si>
  <si>
    <t>P10-F06272</t>
  </si>
  <si>
    <t>PBL-0988</t>
  </si>
  <si>
    <t>RB-06273</t>
  </si>
  <si>
    <t>P10-F06273</t>
  </si>
  <si>
    <t>PBL-0989</t>
  </si>
  <si>
    <t>RB-06274</t>
  </si>
  <si>
    <t>P10-F06274</t>
  </si>
  <si>
    <t>PBL-0990</t>
  </si>
  <si>
    <t>RB-06275</t>
  </si>
  <si>
    <t>P10-F06275</t>
  </si>
  <si>
    <t>PBL-0991</t>
  </si>
  <si>
    <t>RB-06276</t>
  </si>
  <si>
    <t>P10-F06276</t>
  </si>
  <si>
    <t>PBL-0992</t>
  </si>
  <si>
    <t>RB-06277</t>
  </si>
  <si>
    <t>P10-F06277</t>
  </si>
  <si>
    <t>PBL-0993</t>
  </si>
  <si>
    <t>RB-06278</t>
  </si>
  <si>
    <t>P10-F06278</t>
  </si>
  <si>
    <t>PBL-0994</t>
  </si>
  <si>
    <t>RB-06279</t>
  </si>
  <si>
    <t>P10-F06279</t>
  </si>
  <si>
    <t>PBL-0995</t>
  </si>
  <si>
    <t>RB-06280</t>
  </si>
  <si>
    <t>P10-F06280</t>
  </si>
  <si>
    <t>PBL-0996</t>
  </si>
  <si>
    <t>RB-06281</t>
  </si>
  <si>
    <t>P10-F06281</t>
  </si>
  <si>
    <t>PBL-0997</t>
  </si>
  <si>
    <t>RB-06282</t>
  </si>
  <si>
    <t>P10-F06282</t>
  </si>
  <si>
    <t>PBL-0998</t>
  </si>
  <si>
    <t>RB-06283</t>
  </si>
  <si>
    <t>P10-F06283</t>
  </si>
  <si>
    <t>PBL-0999</t>
  </si>
  <si>
    <t>RB-06284</t>
  </si>
  <si>
    <t>P10-F06284</t>
  </si>
  <si>
    <t>PBL-1000</t>
  </si>
  <si>
    <t>RB-06285</t>
  </si>
  <si>
    <t>P10-F06285</t>
  </si>
  <si>
    <t>PBL-1001</t>
  </si>
  <si>
    <t>RB-06286</t>
  </si>
  <si>
    <t>P10-F06286</t>
  </si>
  <si>
    <t>PBL-1002</t>
  </si>
  <si>
    <t>RB-06287</t>
  </si>
  <si>
    <t>P10-F06287</t>
  </si>
  <si>
    <t>PBL-1003</t>
  </si>
  <si>
    <t>RB-06288</t>
  </si>
  <si>
    <t>P10-F06288</t>
  </si>
  <si>
    <t>PBL-1004</t>
  </si>
  <si>
    <t>RB-06289</t>
  </si>
  <si>
    <t>P10-F06289</t>
  </si>
  <si>
    <t>PBL-1005</t>
  </si>
  <si>
    <t>RB-06290</t>
  </si>
  <si>
    <t>P10-F06290</t>
  </si>
  <si>
    <t>PBL-1006</t>
  </si>
  <si>
    <t>RB-06291</t>
  </si>
  <si>
    <t>P10-F06291</t>
  </si>
  <si>
    <t>PBL-1007</t>
  </si>
  <si>
    <t>RB-06292</t>
  </si>
  <si>
    <t>P10-F06292</t>
  </si>
  <si>
    <t>PBL-1008</t>
  </si>
  <si>
    <t>RB-06293</t>
  </si>
  <si>
    <t>P10-F06293</t>
  </si>
  <si>
    <t>PBL-1009</t>
  </si>
  <si>
    <t>RB-06294</t>
  </si>
  <si>
    <t>P10-F06294</t>
  </si>
  <si>
    <t>PBL-1010</t>
  </si>
  <si>
    <t>RB-06295</t>
  </si>
  <si>
    <t>P10-F06295</t>
  </si>
  <si>
    <t>PBL-1011</t>
  </si>
  <si>
    <t>RB-06296</t>
  </si>
  <si>
    <t>P10-F06296</t>
  </si>
  <si>
    <t>PBL-1012</t>
  </si>
  <si>
    <t>RB-06297</t>
  </si>
  <si>
    <t>P10-F06297</t>
  </si>
  <si>
    <t>PBL-1013</t>
  </si>
  <si>
    <t>RB-06298</t>
  </si>
  <si>
    <t>P10-F06298</t>
  </si>
  <si>
    <t>PBL-1014</t>
  </si>
  <si>
    <t>RB-06299</t>
  </si>
  <si>
    <t>P10-F06299</t>
  </si>
  <si>
    <t>PBL-1015</t>
  </si>
  <si>
    <t>RB-06300</t>
  </si>
  <si>
    <t>P10-F06300</t>
  </si>
  <si>
    <t>PBL-1016</t>
  </si>
  <si>
    <t>RB-06301</t>
  </si>
  <si>
    <t>P10-F06301</t>
  </si>
  <si>
    <t>PBL-1017</t>
  </si>
  <si>
    <t>RB-06302</t>
  </si>
  <si>
    <t>P10-F06302</t>
  </si>
  <si>
    <t>PBL-1018</t>
  </si>
  <si>
    <t>RB-06303</t>
  </si>
  <si>
    <t>P10-F06303</t>
  </si>
  <si>
    <t>PBL-1019</t>
  </si>
  <si>
    <t>RB-06304</t>
  </si>
  <si>
    <t>P10-F06304</t>
  </si>
  <si>
    <t>PBL-1020</t>
  </si>
  <si>
    <t>RB-06305</t>
  </si>
  <si>
    <t>P10-F06305</t>
  </si>
  <si>
    <t>PBL-1021</t>
  </si>
  <si>
    <t>RB-06306</t>
  </si>
  <si>
    <t>P10-F06306</t>
  </si>
  <si>
    <t>PBL-1022</t>
  </si>
  <si>
    <t>RB-06307</t>
  </si>
  <si>
    <t>P10-F06307</t>
  </si>
  <si>
    <t>PBL-1023</t>
  </si>
  <si>
    <t>RB-06308</t>
  </si>
  <si>
    <t>P10-F06308</t>
  </si>
  <si>
    <t>PBL-1024</t>
  </si>
  <si>
    <t>RB-06309</t>
  </si>
  <si>
    <t>P10-F06309</t>
  </si>
  <si>
    <t>PBL-1025</t>
  </si>
  <si>
    <t>RB-06310</t>
  </si>
  <si>
    <t>P10-F06310</t>
  </si>
  <si>
    <t>PBL-1026</t>
  </si>
  <si>
    <t>RB-06311</t>
  </si>
  <si>
    <t>P10-F06311</t>
  </si>
  <si>
    <t>PBL-1027</t>
  </si>
  <si>
    <t>RB-06312</t>
  </si>
  <si>
    <t>P10-F06312</t>
  </si>
  <si>
    <t>PBL-1028</t>
  </si>
  <si>
    <t>RB-06313</t>
  </si>
  <si>
    <t>P10-F06313</t>
  </si>
  <si>
    <t>PBL-1029</t>
  </si>
  <si>
    <t>RB-06314</t>
  </si>
  <si>
    <t>P10-F06314</t>
  </si>
  <si>
    <t>PBL-1030</t>
  </si>
  <si>
    <t>RB-06315</t>
  </si>
  <si>
    <t>P10-F06315</t>
  </si>
  <si>
    <t>PBL-1031</t>
  </si>
  <si>
    <t>RB-06316</t>
  </si>
  <si>
    <t>P10-F06316</t>
  </si>
  <si>
    <t>PBL-1032</t>
  </si>
  <si>
    <t>RB-06317</t>
  </si>
  <si>
    <t>P10-F06317</t>
  </si>
  <si>
    <t>PBL-1033</t>
  </si>
  <si>
    <t>RB-06318</t>
  </si>
  <si>
    <t>P10-F06318</t>
  </si>
  <si>
    <t>PBL-1034</t>
  </si>
  <si>
    <t>RB-06319</t>
  </si>
  <si>
    <t>P10-F06319</t>
  </si>
  <si>
    <t>PBL-1035</t>
  </si>
  <si>
    <t>RB-06320</t>
  </si>
  <si>
    <t>P10-F06320</t>
  </si>
  <si>
    <t>PBL-1036</t>
  </si>
  <si>
    <t>RB-06321</t>
  </si>
  <si>
    <t>P10-F06321</t>
  </si>
  <si>
    <t>PBL-1037</t>
  </si>
  <si>
    <t>RB-06322</t>
  </si>
  <si>
    <t>P10-F06322</t>
  </si>
  <si>
    <t>PBL-1038</t>
  </si>
  <si>
    <t>RB-06323</t>
  </si>
  <si>
    <t>P10-F06323</t>
  </si>
  <si>
    <t>PBL-1039</t>
  </si>
  <si>
    <t>RB-06324</t>
  </si>
  <si>
    <t>P10-F06324</t>
  </si>
  <si>
    <t>PBL-1040</t>
  </si>
  <si>
    <t>RB-06325</t>
  </si>
  <si>
    <t>P10-F06325</t>
  </si>
  <si>
    <t>PBL-1041</t>
  </si>
  <si>
    <t>RB-06326</t>
  </si>
  <si>
    <t>P10-F06326</t>
  </si>
  <si>
    <t>PBL-1042</t>
  </si>
  <si>
    <t>RB-06327</t>
  </si>
  <si>
    <t>P10-F06327</t>
  </si>
  <si>
    <t>PBL-1043</t>
  </si>
  <si>
    <t>RB-06328</t>
  </si>
  <si>
    <t>P10-F06328</t>
  </si>
  <si>
    <t>PBL-1044</t>
  </si>
  <si>
    <t>RB-06329</t>
  </si>
  <si>
    <t>P10-F06329</t>
  </si>
  <si>
    <t>PBL-1045</t>
  </si>
  <si>
    <t>RB-06330</t>
  </si>
  <si>
    <t>P10-F06330</t>
  </si>
  <si>
    <t>PBL-1046</t>
  </si>
  <si>
    <t>RB-06331</t>
  </si>
  <si>
    <t>P10-F06331</t>
  </si>
  <si>
    <t>PBL-1047</t>
  </si>
  <si>
    <t>RB-06332</t>
  </si>
  <si>
    <t>P10-F06332</t>
  </si>
  <si>
    <t>PBL-1048</t>
  </si>
  <si>
    <t>RB-06333</t>
  </si>
  <si>
    <t>P10-F06333</t>
  </si>
  <si>
    <t>PBL-1049</t>
  </si>
  <si>
    <t>RB-06334</t>
  </si>
  <si>
    <t>P10-F06334</t>
  </si>
  <si>
    <t>PBL-1050</t>
  </si>
  <si>
    <t>RB-06335</t>
  </si>
  <si>
    <t>P10-F06335</t>
  </si>
  <si>
    <t>PBL-1051</t>
  </si>
  <si>
    <t>RB-06336</t>
  </si>
  <si>
    <t>P10-F06336</t>
  </si>
  <si>
    <t>PBL-1052</t>
  </si>
  <si>
    <t>RB-06337</t>
  </si>
  <si>
    <t>P10-F06337</t>
  </si>
  <si>
    <t>PBL-1053</t>
  </si>
  <si>
    <t>RB-06338</t>
  </si>
  <si>
    <t>P10-F06338</t>
  </si>
  <si>
    <t>PBL-1054</t>
  </si>
  <si>
    <t>RB-06339</t>
  </si>
  <si>
    <t>P10-F06339</t>
  </si>
  <si>
    <t>PBL-1055</t>
  </si>
  <si>
    <t>RB-06340</t>
  </si>
  <si>
    <t>P10-F06340</t>
  </si>
  <si>
    <t>PBL-1056</t>
  </si>
  <si>
    <t>RB-06341</t>
  </si>
  <si>
    <t>P10-F06341</t>
  </si>
  <si>
    <t>PBL-1057</t>
  </si>
  <si>
    <t>RB-06342</t>
  </si>
  <si>
    <t>P10-F06342</t>
  </si>
  <si>
    <t>PBL-1058</t>
  </si>
  <si>
    <t>RB-06343</t>
  </si>
  <si>
    <t>P10-F06343</t>
  </si>
  <si>
    <t>PBL-1059</t>
  </si>
  <si>
    <t>RB-06344</t>
  </si>
  <si>
    <t>P10-F06344</t>
  </si>
  <si>
    <t>PBL-1060</t>
  </si>
  <si>
    <t>RB-06345</t>
  </si>
  <si>
    <t>P10-F06345</t>
  </si>
  <si>
    <t>PBL-1061</t>
  </si>
  <si>
    <t>RB-06346</t>
  </si>
  <si>
    <t>P10-F06346</t>
  </si>
  <si>
    <t>PBL-1062</t>
  </si>
  <si>
    <t>RB-06347</t>
  </si>
  <si>
    <t>P10-F06347</t>
  </si>
  <si>
    <t>PBL-1063</t>
  </si>
  <si>
    <t>RB-06348</t>
  </si>
  <si>
    <t>P10-F06348</t>
  </si>
  <si>
    <t>PBL-1064</t>
  </si>
  <si>
    <t>RB-06349</t>
  </si>
  <si>
    <t>P10-F06349</t>
  </si>
  <si>
    <t>PBL-1065</t>
  </si>
  <si>
    <t>RB-06350</t>
  </si>
  <si>
    <t>P10-F06350</t>
  </si>
  <si>
    <t>PBL-1066</t>
  </si>
  <si>
    <t>RB-06351</t>
  </si>
  <si>
    <t>P10-F06351</t>
  </si>
  <si>
    <t>PBL-1067</t>
  </si>
  <si>
    <t>RB-06352</t>
  </si>
  <si>
    <t>P10-F06352</t>
  </si>
  <si>
    <t>PBL-1068</t>
  </si>
  <si>
    <t>RB-06353</t>
  </si>
  <si>
    <t>P10-F06353</t>
  </si>
  <si>
    <t>PBL-1069</t>
  </si>
  <si>
    <t>RB-06354</t>
  </si>
  <si>
    <t>P10-F06354</t>
  </si>
  <si>
    <t>PBL-1070</t>
  </si>
  <si>
    <t>RB-06355</t>
  </si>
  <si>
    <t>P10-F06355</t>
  </si>
  <si>
    <t>PBL-1071</t>
  </si>
  <si>
    <t>RB-06356</t>
  </si>
  <si>
    <t>P10-F06356</t>
  </si>
  <si>
    <t>PBL-1072</t>
  </si>
  <si>
    <t>RB-06357</t>
  </si>
  <si>
    <t>P10-F06357</t>
  </si>
  <si>
    <t>PBL-1073</t>
  </si>
  <si>
    <t>RB-06358</t>
  </si>
  <si>
    <t>P10-F06358</t>
  </si>
  <si>
    <t>PBL-1074</t>
  </si>
  <si>
    <t>RB-06359</t>
  </si>
  <si>
    <t>P10-F06359</t>
  </si>
  <si>
    <t>PBL-1075</t>
  </si>
  <si>
    <t>RB-06360</t>
  </si>
  <si>
    <t>P10-F06360</t>
  </si>
  <si>
    <t>PBL-1076</t>
  </si>
  <si>
    <t>RB-06361</t>
  </si>
  <si>
    <t>P10-F06361</t>
  </si>
  <si>
    <t>PBL-1077</t>
  </si>
  <si>
    <t>RB-06362</t>
  </si>
  <si>
    <t>P10-F06362</t>
  </si>
  <si>
    <t>PBL-1078</t>
  </si>
  <si>
    <t>RB-06363</t>
  </si>
  <si>
    <t>P10-F06363</t>
  </si>
  <si>
    <t>PBL-1079</t>
  </si>
  <si>
    <t>RB-06364</t>
  </si>
  <si>
    <t>P10-F06364</t>
  </si>
  <si>
    <t>PBL-1080</t>
  </si>
  <si>
    <t>RB-06365</t>
  </si>
  <si>
    <t>P10-F06365</t>
  </si>
  <si>
    <t>PBL-1081</t>
  </si>
  <si>
    <t>RB-06366</t>
  </si>
  <si>
    <t>P10-F06366</t>
  </si>
  <si>
    <t>PBL-1082</t>
  </si>
  <si>
    <t>RB-06367</t>
  </si>
  <si>
    <t>P10-F06367</t>
  </si>
  <si>
    <t>PBL-1083</t>
  </si>
  <si>
    <t>RB-06368</t>
  </si>
  <si>
    <t>P10-F06368</t>
  </si>
  <si>
    <t>PBL-1084</t>
  </si>
  <si>
    <t>RB-06369</t>
  </si>
  <si>
    <t>P10-F06369</t>
  </si>
  <si>
    <t>PBL-1085</t>
  </si>
  <si>
    <t>RB-06370</t>
  </si>
  <si>
    <t>P10-F06370</t>
  </si>
  <si>
    <t>PBL-1086</t>
  </si>
  <si>
    <t>RB-06371</t>
  </si>
  <si>
    <t>P10-F06371</t>
  </si>
  <si>
    <t>PBL-1087</t>
  </si>
  <si>
    <t>RB-06372</t>
  </si>
  <si>
    <t>P10-F06372</t>
  </si>
  <si>
    <t>PBL-1088</t>
  </si>
  <si>
    <t>RB-06373</t>
  </si>
  <si>
    <t>P10-F06373</t>
  </si>
  <si>
    <t>PBL-1089</t>
  </si>
  <si>
    <t>RB-06374</t>
  </si>
  <si>
    <t>P10-F06374</t>
  </si>
  <si>
    <t>PBL-1090</t>
  </si>
  <si>
    <t>RB-06375</t>
  </si>
  <si>
    <t>P10-F06375</t>
  </si>
  <si>
    <t>PBL-1091</t>
  </si>
  <si>
    <t>RB-06376</t>
  </si>
  <si>
    <t>P10-F06376</t>
  </si>
  <si>
    <t>PBL-1092</t>
  </si>
  <si>
    <t>RB-06377</t>
  </si>
  <si>
    <t>P10-F06377</t>
  </si>
  <si>
    <t>PBL-1093</t>
  </si>
  <si>
    <t>RB-06378</t>
  </si>
  <si>
    <t>P10-F06378</t>
  </si>
  <si>
    <t>PBL-1094</t>
  </si>
  <si>
    <t>RB-06379</t>
  </si>
  <si>
    <t>P10-F06379</t>
  </si>
  <si>
    <t>PBL-1095</t>
  </si>
  <si>
    <t>RB-06380</t>
  </si>
  <si>
    <t>P10-F06380</t>
  </si>
  <si>
    <t>PBL-1096</t>
  </si>
  <si>
    <t>RB-06381</t>
  </si>
  <si>
    <t>P10-F06381</t>
  </si>
  <si>
    <t>PBL-1097</t>
  </si>
  <si>
    <t>RB-06382</t>
  </si>
  <si>
    <t>P10-F06382</t>
  </si>
  <si>
    <t>PBL-1098</t>
  </si>
  <si>
    <t>RB-06383</t>
  </si>
  <si>
    <t>P10-F06383</t>
  </si>
  <si>
    <t>PBL-1099</t>
  </si>
  <si>
    <t>RB-06384</t>
  </si>
  <si>
    <t>P10-F06384</t>
  </si>
  <si>
    <t>PBL-1100</t>
  </si>
  <si>
    <t>RB-06385</t>
  </si>
  <si>
    <t>P10-F06385</t>
  </si>
  <si>
    <t>PBL-1101</t>
  </si>
  <si>
    <t>RB-06386</t>
  </si>
  <si>
    <t>P10-F06386</t>
  </si>
  <si>
    <t>PBL-1102</t>
  </si>
  <si>
    <t>RB-06387</t>
  </si>
  <si>
    <t>P10-F06387</t>
  </si>
  <si>
    <t>PBL-1103</t>
  </si>
  <si>
    <t>RB-06388</t>
  </si>
  <si>
    <t>P10-F06388</t>
  </si>
  <si>
    <t>PBL-1104</t>
  </si>
  <si>
    <t>RB-06389</t>
  </si>
  <si>
    <t>P10-F06389</t>
  </si>
  <si>
    <t>PBL-1105</t>
  </si>
  <si>
    <t>RB-06390</t>
  </si>
  <si>
    <t>P10-F06390</t>
  </si>
  <si>
    <t>PBL-1106</t>
  </si>
  <si>
    <t>RB-06391</t>
  </si>
  <si>
    <t>P10-F06391</t>
  </si>
  <si>
    <t>PBL-1107</t>
  </si>
  <si>
    <t>RB-06401</t>
  </si>
  <si>
    <t>P10-F06401</t>
  </si>
  <si>
    <t>Data/Scripts/System/Obsolete/Herbalism.cs</t>
  </si>
  <si>
    <t>PBL-1108</t>
  </si>
  <si>
    <t>CurrentFile=Data/Scripts/System/Obsolete/Herbalism.cs; Line=474; SourceLine=public static void Initialize();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RuntimeInventory=PrimaryRole=StartupWiring;SecondaryRoles=LegacyCompatibility;Commands=;Hooks=Initialize;SerializedTypes=;Gumps=</t>
  </si>
  <si>
    <t>HistoricalFile=Data/Scripts/System/Obsolete/Herbalism.cs; Risk=Runtime; POST-BATCH-L is audit-only P2 residual triage. No source, project, XML/config, serialized layout, runtime file location, command name, access level, or region policy changed.</t>
  </si>
  <si>
    <t>RB-06402</t>
  </si>
  <si>
    <t>P10-F06402</t>
  </si>
  <si>
    <t>Data/Scripts/System/Obsolete/GardenTool.cs</t>
  </si>
  <si>
    <t>PBL-1109</t>
  </si>
  <si>
    <t>CurrentFile=Data/Scripts/System/Obsolete/GardenTool.cs; Line=45;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RuntimeInventory=PrimaryRole=StartupWiring;SecondaryRoles=Persistence;LegacyCompatibility;Commands=;Hooks=Timer.DelayCall;SerializedTypes=class:GardenTool;Gumps=; SerializationRegister=Class=Server.Items.GardenTool;Version=0;Handling=SingleVersionOnly;Alignment=AlignedByCountAndKnownTypes;MoveRisk=NamespaceOrTypeRenameDanger</t>
  </si>
  <si>
    <t>HistoricalFile=Data/Scripts/System/Obsolete/GardenTool.cs; Risk=Runtime; POST-BATCH-L is audit-only P2 residual triage. No source, project, XML/config, serialized layout, runtime file location, command name, access level, or region policy changed.</t>
  </si>
  <si>
    <t>RB-06403</t>
  </si>
  <si>
    <t>P10-F06403</t>
  </si>
  <si>
    <t>Data/Scripts/System/Obsolete/HerbalistCauldron.cs</t>
  </si>
  <si>
    <t>PBL-1110</t>
  </si>
  <si>
    <t>CurrentFile=Data/Scripts/System/Obsolete/HerbalistCauldron.cs; Line=570;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RuntimeInventory=PrimaryRole=StartupWiring;SecondaryRoles=GumpUI;Persistence;LegacyCompatibility;Commands=;Hooks=Timer.DelayCall;SerializedTypes=class:HerbalistCauldron;class:DruidicGump;class:IngredientTarget;Gumps=SendGump; SerializationRegister=Class=Server.Items.HerbalistCauldron;Version=0;Handling=SingleVersionOnly;Alignment=CountMatchNeedsTypeReview:UnknownWrites=24;MoveRisk=NamespaceOrTypeRenameDanger</t>
  </si>
  <si>
    <t>HistoricalFile=Data/Scripts/System/Obsolete/HerbalistCauldron.cs; Risk=Runtime; POST-BATCH-L is audit-only P2 residual triage. No source, project, XML/config, serialized layout, runtime file location, command name, access level, or region policy changed.</t>
  </si>
  <si>
    <t>RB-06404</t>
  </si>
  <si>
    <t>P10-F06404</t>
  </si>
  <si>
    <t>Data/Scripts/System/Obsolete/MixingCauldron.cs</t>
  </si>
  <si>
    <t>PBL-1111</t>
  </si>
  <si>
    <t>CurrentFile=Data/Scripts/System/Obsolete/MixingCauldron.cs; Line=589;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RuntimeInventory=PrimaryRole=StartupWiring;SecondaryRoles=GumpUI;Persistence;LegacyCompatibility;Commands=;Hooks=Timer.DelayCall;SerializedTypes=class:MixingCauldron;class:NecroticGump;class:IngredientTarget;class:MixingSpoon;Gumps=SendGump; SerializationRegister=Class=Server.Items.MixingCauldron;Version=0;Handling=SingleVersionOnly;Alignment=CountMatchNeedsTypeReview:UnknownWrites=25;MoveRisk=NamespaceOrTypeRenameDanger | Class=Server.Items.MixingSpoon;Version=0;Handling=Switch;Alignment=AlignedByCountAndKnownTypes;MoveRisk=NamespaceOrTypeRenameDanger</t>
  </si>
  <si>
    <t>HistoricalFile=Data/Scripts/System/Obsolete/MixingCauldron.cs; Risk=Runtime; POST-BATCH-L is audit-only P2 residual triage. No source, project, XML/config, serialized layout, runtime file location, command name, access level, or region policy changed.</t>
  </si>
  <si>
    <t>RB-06405</t>
  </si>
  <si>
    <t>P10-F06405</t>
  </si>
  <si>
    <t>PBL-1112</t>
  </si>
  <si>
    <t>CurrentFile=Data/Scripts/System/Obsolete/MixingCauldron.cs; Line=3287;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RuntimeInventory=PrimaryRole=StartupWiring;SecondaryRoles=GumpUI;Persistence;LegacyCompatibility;Commands=;Hooks=Timer.DelayCall;SerializedTypes=class:MixingCauldron;class:NecroticGump;class:IngredientTarget;class:MixingSpoon;Gumps=SendGump; SerializationRegister=Class=Server.Items.MixingCauldron;Version=0;Handling=SingleVersionOnly;Alignment=CountMatchNeedsTypeReview:UnknownWrites=25;MoveRisk=NamespaceOrTypeRenameDanger | Class=Server.Items.MixingSpoon;Version=0;Handling=Switch;Alignment=AlignedByCountAndKnownTypes;MoveRisk=NamespaceOrTypeRenameDanger</t>
  </si>
  <si>
    <t>RB-06406</t>
  </si>
  <si>
    <t>P10-F06406</t>
  </si>
  <si>
    <t>Data/Scripts/System/Obsolete/SurgeonsKnife.cs</t>
  </si>
  <si>
    <t>PBL-1113</t>
  </si>
  <si>
    <t>CurrentFile=Data/Scripts/System/Obsolete/SurgeonsKnife.cs; Line=42;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RuntimeInventory=PrimaryRole=StartupWiring;SecondaryRoles=Persistence;LegacyCompatibility;Commands=;Hooks=Timer.DelayCall;SerializedTypes=class:SurgeonsKnife;class:CorpseTarget;class:BottleOfParts;Gumps=; SerializationRegister=Class=Server.Items.BottleOfParts;Version=0;Handling=SingleVersionOnly;Alignment=AlignedByCountAndKnownTypes;MoveRisk=NamespaceOrTypeRenameDanger | Class=Server.Items.SurgeonsKnife;Version=0;Handling=SingleVersionOnly;Alignment=AlignedByCountAndKnownTypes;MoveRisk=NamespaceOrTypeRenameDanger</t>
  </si>
  <si>
    <t>HistoricalFile=Data/Scripts/System/Obsolete/SurgeonsKnife.cs; Risk=Runtime; POST-BATCH-L is audit-only P2 residual triage. No source, project, XML/config, serialized layout, runtime file location, command name, access level, or region policy changed.</t>
  </si>
  <si>
    <t>RB-06407</t>
  </si>
  <si>
    <t>P10-F06407</t>
  </si>
  <si>
    <t>PBL-1114</t>
  </si>
  <si>
    <t>CurrentFile=Data/Scripts/System/Obsolete/SurgeonsKnife.cs; Line=1077; SourceLine=Timer.DelayCall(TimeSpan.FromSeconds(15.0), new TimerCallback(Delete));;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RuntimeInventory=PrimaryRole=StartupWiring;SecondaryRoles=Persistence;LegacyCompatibility;Commands=;Hooks=Timer.DelayCall;SerializedTypes=class:SurgeonsKnife;class:CorpseTarget;class:BottleOfParts;Gumps=; SerializationRegister=Class=Server.Items.BottleOfParts;Version=0;Handling=SingleVersionOnly;Alignment=AlignedByCountAndKnownTypes;MoveRisk=NamespaceOrTypeRenameDanger | Class=Server.Items.SurgeonsKnife;Version=0;Handling=SingleVersionOnly;Alignment=AlignedByCountAndKnownTypes;MoveRisk=NamespaceOrTypeRenameDanger</t>
  </si>
  <si>
    <t>RB-06408</t>
  </si>
  <si>
    <t>P10-F06408</t>
  </si>
  <si>
    <t>PBL-1115</t>
  </si>
  <si>
    <t>CurrentFile=Data/Scripts/Items/Magical/Artifacts/Obsolete/Obsolete_RodOfResurrection.cs; Line=99; SourceLine=m.SendGump(new ResurrectGump(m, from));;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RuntimeInventory=PrimaryRole=GumpUI;SecondaryRoles=Persistence;CombatPolicy;ItemContent;LegacyCompatibility;Commands=;Hooks=;SerializedTypes=enum:ResurrectEffect;class:RodOfResurrection;class:InternalTarget;Gumps=SendGump; SerializationRegister=Class=Server.Items.RodOfResurrection;Version=0;Handling=Switch;Alignment=AlignedByCountAndKnownTypes;MoveRisk=NamespaceOrTypeRenameDanger</t>
  </si>
  <si>
    <t>HistoricalFile=Data/Scripts/Items/Magical/Artifacts/Obsolete/Obsolete_RodOfResurrection.cs; Risk=Runtime; POST-BATCH-L is audit-only P2 residual triage. No source, project, XML/config, serialized layout, runtime file location, command name, access level, or region policy changed.</t>
  </si>
  <si>
    <t>RB-06409</t>
  </si>
  <si>
    <t>P10-F06409</t>
  </si>
  <si>
    <t>PBL-1116</t>
  </si>
  <si>
    <t>CurrentFile=Data/Scripts/Items/Magical/Artifacts/Obsolete/Obsolete_RodOfResurrection.cs; Line=112; SourceLine=master.SendGump(new PetResurrectGump(master, pet));;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RuntimeInventory=PrimaryRole=GumpUI;SecondaryRoles=Persistence;CombatPolicy;ItemContent;LegacyCompatibility;Commands=;Hooks=;SerializedTypes=enum:ResurrectEffect;class:RodOfResurrection;class:InternalTarget;Gumps=SendGump; SerializationRegister=Class=Server.Items.RodOfResurrection;Version=0;Handling=Switch;Alignment=AlignedByCountAndKnownTypes;MoveRisk=NamespaceOrTypeRenameDanger</t>
  </si>
  <si>
    <t>RB-06410</t>
  </si>
  <si>
    <t>P10-F06410</t>
  </si>
  <si>
    <t>PBL-1117</t>
  </si>
  <si>
    <t>CurrentFile=Data/Scripts/System/Obsolete/HerbalistCauldron.cs; Line=1393; SourceLine=from.SendGump(new DruidicGump(from, m_Pot));;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RuntimeInventory=PrimaryRole=StartupWiring;SecondaryRoles=GumpUI;Persistence;LegacyCompatibility;Commands=;Hooks=Timer.DelayCall;SerializedTypes=class:HerbalistCauldron;class:DruidicGump;class:IngredientTarget;Gumps=SendGump; SerializationRegister=Class=Server.Items.HerbalistCauldron;Version=0;Handling=SingleVersionOnly;Alignment=CountMatchNeedsTypeReview:UnknownWrites=24;MoveRisk=NamespaceOrTypeRenameDanger</t>
  </si>
  <si>
    <t>RB-06411</t>
  </si>
  <si>
    <t>P10-F06411</t>
  </si>
  <si>
    <t>PBL-1118</t>
  </si>
  <si>
    <t>CurrentFile=Data/Scripts/System/Obsolete/MixingCauldron.cs; Line=1525; SourceLine=from.SendGump(new NecroticGump(from, m_Pot));;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RuntimeInventory=PrimaryRole=StartupWiring;SecondaryRoles=GumpUI;Persistence;LegacyCompatibility;Commands=;Hooks=Timer.DelayCall;SerializedTypes=class:MixingCauldron;class:NecroticGump;class:IngredientTarget;class:MixingSpoon;Gumps=SendGump; SerializationRegister=Class=Server.Items.MixingCauldron;Version=0;Handling=SingleVersionOnly;Alignment=CountMatchNeedsTypeReview:UnknownWrites=25;MoveRisk=NamespaceOrTypeRenameDanger | Class=Server.Items.MixingSpoon;Version=0;Handling=Switch;Alignment=AlignedByCountAndKnownTypes;MoveRisk=NamespaceOrTypeRenameDanger</t>
  </si>
  <si>
    <t>RB-06068</t>
  </si>
  <si>
    <t>P10-F06068</t>
  </si>
  <si>
    <t>PBL-1119</t>
  </si>
  <si>
    <t>CurrentFile=Data/Scripts/System/Obsolete/GardenTool.cs;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RuntimeInventory=PrimaryRole=StartupWiring;SecondaryRoles=Persistence;LegacyCompatibility;Commands=;Hooks=Timer.DelayCall;SerializedTypes=class:GardenTool;Gumps=; SerializationRegister=Class=Server.Items.GardenTool;Version=0;Handling=SingleVersionOnly;Alignment=AlignedByCountAndKnownTypes;MoveRisk=NamespaceOrTypeRenameDanger</t>
  </si>
  <si>
    <t>HistoricalFile=Data/Scripts/System/Obsolete/GardenTool.cs; Risk=Build;Runtime;Save; POST-BATCH-L is audit-only P2 residual triage. No source, project, XML/config, serialized layout, runtime file location, command name, access level, or region policy changed.</t>
  </si>
  <si>
    <t>RB-06069</t>
  </si>
  <si>
    <t>P10-F06069</t>
  </si>
  <si>
    <t>PBL-1120</t>
  </si>
  <si>
    <t>CurrentFile=Data/Scripts/System/Obsolete/Herbalism.cs;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RuntimeInventory=PrimaryRole=StartupWiring;SecondaryRoles=LegacyCompatibility;Commands=;Hooks=Initialize;SerializedTypes=;Gumps=</t>
  </si>
  <si>
    <t>HistoricalFile=Data/Scripts/System/Obsolete/Herbalism.cs; Risk=Build;Runtime;Save; POST-BATCH-L is audit-only P2 residual triage. No source, project, XML/config, serialized layout, runtime file location, command name, access level, or region policy changed.</t>
  </si>
  <si>
    <t>RB-06070</t>
  </si>
  <si>
    <t>P10-F06070</t>
  </si>
  <si>
    <t>PBL-1121</t>
  </si>
  <si>
    <t>CurrentFile=Data/Scripts/System/Obsolete/HerbalistCauldron.cs;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RuntimeInventory=PrimaryRole=StartupWiring;SecondaryRoles=GumpUI;Persistence;LegacyCompatibility;Commands=;Hooks=Timer.DelayCall;SerializedTypes=class:HerbalistCauldron;class:DruidicGump;class:IngredientTarget;Gumps=SendGump; SerializationRegister=Class=Server.Items.HerbalistCauldron;Version=0;Handling=SingleVersionOnly;Alignment=CountMatchNeedsTypeReview:UnknownWrites=24;MoveRisk=NamespaceOrTypeRenameDanger</t>
  </si>
  <si>
    <t>HistoricalFile=Data/Scripts/System/Obsolete/HerbalistCauldron.cs; Risk=Build;Runtime;Save; POST-BATCH-L is audit-only P2 residual triage. No source, project, XML/config, serialized layout, runtime file location, command name, access level, or region policy changed.</t>
  </si>
  <si>
    <t>RB-06071</t>
  </si>
  <si>
    <t>P10-F06071</t>
  </si>
  <si>
    <t>PBL-1122</t>
  </si>
  <si>
    <t>CurrentFile=Data/Scripts/System/Obsolete/MixingCauldron.cs;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RuntimeInventory=PrimaryRole=StartupWiring;SecondaryRoles=GumpUI;Persistence;LegacyCompatibility;Commands=;Hooks=Timer.DelayCall;SerializedTypes=class:MixingCauldron;class:NecroticGump;class:IngredientTarget;class:MixingSpoon;Gumps=SendGump; SerializationRegister=Class=Server.Items.MixingCauldron;Version=0;Handling=SingleVersionOnly;Alignment=CountMatchNeedsTypeReview:UnknownWrites=25;MoveRisk=NamespaceOrTypeRenameDanger | Class=Server.Items.MixingSpoon;Version=0;Handling=Switch;Alignment=AlignedByCountAndKnownTypes;MoveRisk=NamespaceOrTypeRenameDanger</t>
  </si>
  <si>
    <t>HistoricalFile=Data/Scripts/System/Obsolete/MixingCauldron.cs; Risk=Build;Runtime;Save; POST-BATCH-L is audit-only P2 residual triage. No source, project, XML/config, serialized layout, runtime file location, command name, access level, or region policy changed.</t>
  </si>
  <si>
    <t>RB-06072</t>
  </si>
  <si>
    <t>P10-F06072</t>
  </si>
  <si>
    <t>PBL-1123</t>
  </si>
  <si>
    <t>CurrentFile=Data/Scripts/System/Obsolete/Obsolete.cs;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acketNetwork;SecondaryRoles=CommandSurface;StartupWiring;RegionPolicy;GumpUI;Persistence;LegacyCompatibility;Commands=CommandSystem.Register(;Hooks=CustomTimerSubclass;EventSink;Initialize;OnMovement;OnSpeech;PacketHandlers.Register;RegionOverride;Timer.DelayCall;WorldSave;SerializedTypes=class:TribalPaint;class:TribalBerry;class:CharacterDatabase;class:SavageBook;class:WelcomeBookWanted;class:WelcomeBookElf;class:DoorTimeLord;class:AmethystWyrm;class:DireWolf;class:AncientNightmare;class:BaseFactionGuard;class:VirtualMount;class:VirtualMountItem;enum:AllowedPlacing;class:BaseFactionTrap;class:BaseFactionTrapDeed;class:BaseFactionVendor;class:BaseMonolith;class:AssassinShroud;class:BasePigmentsOfIslesDread;class:TalkEntry;class:BaseQuester;class:BaseSystemController;class:BlackDragon;class:Bless;class:Blight;class:BlueDragon;class:Britain;class:Bullradon;class:CancelQuestRegion;class:CaveBear;class:Channel;enum:StatueType;enum:StatuePose;enum:StatueMaterial;class:CharacterStatue;class:DemolishEntry;class:CharacterStatueDeed;class:CharacterStatueTarget;class:CharacterStatueGump;enum:Buttons;class:CharacterStatueMaker;class:MarbleStatueMaker;class:JadeStatueMaker;class:BronzeStatueMaker;class:CharacterStatuePlinth;class:CharacterPlinthGump;class:ChatSystem;class:ChatActionHandler;class:ChatActionHandlers;enum:ChatCommand;class:ChatSystem;class:ChatUser;class:CompassionVirtue;class:Config;class:CouncilOfMages;class:DarkUnicorn;class:DatabaseCommandQueue;class:DeepSeaDragon;class:DesertWyrm;class:Dragon;class:DynamicTeleporter;class:ElderBlackBear;class:ElderBrownBear;class:ElderPolarBear;class:Election;class:Voter;class:Candidate;enum:ElectionState;class:ElectionGump;class:ElectionManagementGump;class:EmeraldWyrm;class:EnchantedSextant;class:Ethic;class:EthicDefinition;class:HeroEthic;class:EvilEthic;class:Faction;class:BroadcastPrompt;class:SkillLossContext;enum:FactionKickType;class:FactionKickCommand;class:FactionBerserker;class:FactionBoardVendor;class:SBFactionBoard;class:InternalBuyInfo;class:InternalSellInfo;class:FactionBottleVendor;class:SBFactionBottle;class:InternalBuyInfo;class:InternalSellInfo;class:FactionDeathKnight;class:FactionDefinition;class:FactionDragoon;class:FactionExplosionTrap;class:FactionExplosionTrapDeed;class:FactionGasTrap;class:FactionGasTrapDeed;class:FactionGump;class:FactionHenchman;class:FactionHorseVendor;class:FactionImbueGump;interface:IFactionItem;class:FactionItem;class:FactionItemDefinition;class:FactionKnight;class:FactionMercenary;class:FactionNecromancer;class:FactionOreVendor;class:SBFactionOre;class:InternalBuyInfo;class:InternalSellInfo;class:FactionPaladin;class:FactionReagentVendor;class:SBFactionReagent;class:InternalBuyInfo;class:InternalSellInfo;class:FactionSawTrap;class:FactionSawTrapDeed;class:FactionSorceress;class:FactionSpikeTrap;class:FactionSpikeTrapDeed;class:FactionState;class:FactionStone;class:FactionStoneGump;class:FactionTrapRemovalKit;class:FactionWarHorse;class:FactionWizard;class:FinanceGump;class:GarnetWyrm;class:Generator;class:GlowBeetle;class:Gorceratops;class:Gorgon;class:DarkenedSky;class:KasaOfTheRajin;class:RuneBeetleCarapace;class:Stormgrip;class:SwordOfTheStampede;class:SwordsOfProsperity;class:TheHorselord;class:TomeOfLostKnowledge;class:WindsEdge;enum:PigmentType;class:PigmentsOfIslesDread;class:GreenDragon;class:Griffon;class:GrizzlyBear;enum:GuardAI;class:ComboEntry;class:SpellCombo;class:FactionGuardAI;class:GuardDefinition;class:GuardList;class:HarrowerGate;class:Hippogriff;class:HolyBlade;class:HolyFamiliar;class:HolyItem;class:HolySense;class:HolyShield;class:HolySteed;class:HolySteed;class:HolyWord;class:HonorVirtue;class:InternalTarget;interface:IHonorTarget;class:HonorContext;enum:FirstHit;class:InternalTimer;class:HorseBreederGump;class:IceDragon;class:JoinStone;class:JoinStoneGump;class:JungleWyrm;class:JusticeVirtue;class:AcceptProtectorGump;class:Keywords;class:LavaDragon;class:LayerComparer;class:LeaveFactionGump;class:AncientFarmersKasa;class:AncientSamuraiDo;class:ArmsOfTacticalExcellence;class:BlackLotusHood;class:DaimyosHelm;class:DemonForks;class:DragonNunchaku;class:Exiler;class:GlovesOfTheSun;class:HanzosBow;class:LegsOfStability;class:PeasantsBokuto;class:PilferedDancerFans;class:TheDestroyer;class:TomeOfEnlightenment;class:LeurociansMempoOfFortune;class:AncientUrn;class:HonorableSwords;class:ChestOfHeirlooms;class:FluteOfRenewal;enum:LesserPigmentType;class:LesserPigmentsOfIslesDread;class:MetalPigmentsOfIslesDread;class:Lion;class:Renika;enum:MerchantTitle;class:MerchantTitleInfo;class:MerchantTitles;class:MetalDragon;class:Minax;class:Montor;class:Elidor;class:MountainWyrm;class:MyRunUO;enum:Stage;class:MyRunUOStatus;class:NightWyrm;class:OnyxWyrm;enum:ReactionType;enum:MovementType;class:Reaction;class:Orders;class:UpdateStatueAnimation;class:ChatMessagePacket;class:FactionPersistance;enum:PersistedType;class:EthicsPersistance;class:PlayerCollection;class:Player;class:PlayerState;class:PoisonBeetle;class:Power;class:PowerDefinition;class:QuartzWyrm;class:QuestCallbackEntry;class:QuestCompleteObjectiveRegion;class:QuestConversation;class:QuestConversationsGump;class:QuestItem;class:QuestItemInfo;class:QuestItemInfoGump;class:QuestNoEntryRegion;class:QuestObjective;class:QuestLogUpdatedGump;class:QuestObjectivesGump;class:QuestOfferRegion;class:QuestRestartInfo;class:QuestSerializer;class:QuestSystem;class:QuestCancelGump;class:QuestOfferGump;class:BaseQuestGump;class:RankDefinition;class:Raptor;class:Ravenous;class:Reflector;class:RewardCategory;class:RewardChoiceGump;class:RewardConfirmGump;class:RewardDemolitionGump;enum:Buttons;class:RewardEntry;class:RewardList;class:RewardNoticeGump;interface:IRewardOption;class:RewardOptionGump;class:RewardOption;class:RewardOptionList;class:RewardSystem;interface:IRewardItem;class:RubyWyrm;class:SabretoothBear;class:SacrificeVirtue;class:InternalTarget;class:SapphireWyrm;class:Shadowlords;class:SheriffGump;class:Sigil;class:Silver;class:SilverGivenEntry;class:SkaraBraee;class:SpinelWyrm;class:StarRoomGate;class:InternalTimer;class:StoneDragon;class:StrongholdDefinition;class:StrongholdMonolith;class:StrongholdRegion;class:SummonFamiliar;class:SummonFamiliar;class:SwampDrake;class:TigerBeetle;class:TopazWyrm;class:Town;class:TownDefinition;class:TownMonolith;class:TownState;class:TownStone;class:TownStoneGump;enum:TreasuresOfTokunoEra;class:TreasuresOfTokuno;class:IharaSoko;class:ItemTileButtonInfo;class:ToTTurnInGump;class:ToTRedeemGump;class:TypeTileButtonInfo;class:PigmentsTileButtonInfo;class:TreasuresOfTokunoPersistance;class:Moon;class:TrueBritannians;class:UnholyFamiliar;class:UnholyItem;class:UnholySense;class:UnholyShield;class:UnholySteed;class:UnholySteed;class:UnholyWord;class:ValorVirtue;class:InternalTarget;class:VendorDefinition;class:VendorList;class:Luna;class:VileBlade;class:VirtueGump;class:InternalEntry;enum:VirtueLevel;enum:VirtueName;class:VirtueHelper;class:VirtueInfoGump;class:VirtueStatusGump;class:VoteGump;class:WaterBeetle;class:WhiteDragon;class:WhiteWyrm;class:Wyvern;class:Yew;class:AxeBeak;class:Basilisk;class:Manticore;class:Panda;class:PredatorHellCat;class:SabretoothTiger;class:Tiger;class:WhiteTiger;class:Zebra;class:SalesBook;class:SalesBookGump;Gumps=OnResponse;SendGump; SerializationRegister=Class=Server.Items.AmethystWyrm;Version=0;Handling=SingleVersionOnly;Alignment=AlignedByCountAndKnownTypes;MoveRisk=UnknownUntilSaveTest | Class=Server.Items.AncientFarmersKasa;Version=2;Handling=IfVersionGates;Alignment=AlignedByCountAndKnownTypes;MoveRisk=UnknownUntilSaveTest | Class=Server.Items.AncientNightmare;Version=0;Handling=SingleVersionOnly;Alignment=AlignedByCountAndKnownTypes;MoveRisk=UnknownUntilSaveTest</t>
  </si>
  <si>
    <t>HistoricalFile=Data/Scripts/System/Obsolete/Obsolete.cs; Risk=Build;Runtime;Save; POST-BATCH-L is audit-only P2 residual triage. No source, project, XML/config, serialized layout, runtime file location, command name, access level, or region policy changed.</t>
  </si>
  <si>
    <t>RB-06073</t>
  </si>
  <si>
    <t>P10-F06073</t>
  </si>
  <si>
    <t>Data/Scripts/System/Obsolete/Pegasus.cs</t>
  </si>
  <si>
    <t>PBL-1124</t>
  </si>
  <si>
    <t>CurrentFile=Data/Scripts/System/Obsolete/Pegasus.cs;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RuntimeInventory=PrimaryRole=Persistence;SecondaryRoles=LegacyCompatibility;Commands=;Hooks=;SerializedTypes=class:Pegasus;Gumps=; SerializationRegister=Class=Server.Mobiles.Pegasus;Version=0;Handling=SingleVersionOnly;Alignment=AlignedByCountAndKnownTypes;MoveRisk=NamespaceOrTypeRenameDanger</t>
  </si>
  <si>
    <t>HistoricalFile=Data/Scripts/System/Obsolete/Pegasus.cs; Risk=Build;Runtime;Save; POST-BATCH-L is audit-only P2 residual triage. No source, project, XML/config, serialized layout, runtime file location, command name, access level, or region policy changed.</t>
  </si>
  <si>
    <t>RB-06074</t>
  </si>
  <si>
    <t>P10-F06074</t>
  </si>
  <si>
    <t>Data/Scripts/System/Obsolete/PlantHerbalism.cs</t>
  </si>
  <si>
    <t>PBL-1125</t>
  </si>
  <si>
    <t>CurrentFile=Data/Scripts/System/Obsolete/PlantHerbalism.cs;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PlantHerbalism_Leaf;class:PlantHerbalism_Flower;class:PlantHerbalism_Mushroom;class:PlantHerbalism_Lilly;class:PlantHerbalism_Cactus;class:PlantHerbalism_Grass;Gumps=; SerializationRegister=Class=Server.Items.PlantHerbalism_Cactus;Version=0;Handling=SingleVersionOnly;Alignment=AlignedByCountAndKnownTypes;MoveRisk=NamespaceOrTypeRenameDanger | Class=Server.Items.PlantHerbalism_Flower;Version=0;Handling=SingleVersionOnly;Alignment=AlignedByCountAndKnownTypes;MoveRisk=NamespaceOrTypeRenameDanger | Class=Server.Items.PlantHerbalism_Grass;Version=0;Handling=SingleVersionOnly;Alignment=AlignedByCountAndKnownTypes;MoveRisk=NamespaceOrTypeRenameDanger</t>
  </si>
  <si>
    <t>HistoricalFile=Data/Scripts/System/Obsolete/PlantHerbalism.cs; Risk=Build;Runtime;Save; POST-BATCH-L is audit-only P2 residual triage. No source, project, XML/config, serialized layout, runtime file location, command name, access level, or region policy changed.</t>
  </si>
  <si>
    <t>RB-06075</t>
  </si>
  <si>
    <t>P10-F06075</t>
  </si>
  <si>
    <t>PBL-1126</t>
  </si>
  <si>
    <t>CurrentFile=Data/Scripts/System/Obsolete/Sphinx.cs;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RuntimeInventory=PrimaryRole=Persistence;SecondaryRoles=LegacyCompatibility;Commands=;Hooks=;SerializedTypes=class:Sphinx;Gumps=; SerializationRegister=Class=Server.Mobiles.Sphinx;Version=0;Handling=SingleVersionOnly;Alignment=AlignedByCountAndKnownTypes;MoveRisk=NamespaceOrTypeRenameDanger</t>
  </si>
  <si>
    <t>HistoricalFile=Data/Scripts/System/Obsolete/Sphinx.cs; Risk=Build;Runtime;Save; POST-BATCH-L is audit-only P2 residual triage. No source, project, XML/config, serialized layout, runtime file location, command name, access level, or region policy changed.</t>
  </si>
  <si>
    <t>RB-06076</t>
  </si>
  <si>
    <t>P10-F06076</t>
  </si>
  <si>
    <t>PBL-1127</t>
  </si>
  <si>
    <t>CurrentFile=Data/Scripts/System/Obsolete/SurgeonsKnife.cs; Line=0; SourceLine=; PathResolution=OriginalPathCurrent; MatchQuality=CurrentFileOnly; FileExists=True; DisabledEvidence=False; ProjectTruth=RecordType=ProjectInclude;Included=True;Missing=False;Unincluded=False;Action=Keep | RecordType=SourceFile;Included=True;Missing=False;Unincluded=False;Action=Keep; RuntimeInventory=PrimaryRole=StartupWiring;SecondaryRoles=Persistence;LegacyCompatibility;Commands=;Hooks=Timer.DelayCall;SerializedTypes=class:SurgeonsKnife;class:CorpseTarget;class:BottleOfParts;Gumps=; SerializationRegister=Class=Server.Items.BottleOfParts;Version=0;Handling=SingleVersionOnly;Alignment=AlignedByCountAndKnownTypes;MoveRisk=NamespaceOrTypeRenameDanger | Class=Server.Items.SurgeonsKnife;Version=0;Handling=SingleVersionOnly;Alignment=AlignedByCountAndKnownTypes;MoveRisk=NamespaceOrTypeRenameDanger</t>
  </si>
  <si>
    <t>HistoricalFile=Data/Scripts/System/Obsolete/SurgeonsKnife.cs; Risk=Build;Runtime;Save; POST-BATCH-L is audit-only P2 residual triage. No source, project, XML/config, serialized layout, runtime file location, command name, access level, or region policy changed.</t>
  </si>
  <si>
    <t>RB-06392</t>
  </si>
  <si>
    <t>P10-F06392</t>
  </si>
  <si>
    <t>PBL-1128</t>
  </si>
  <si>
    <t>RB-06393</t>
  </si>
  <si>
    <t>P10-F06393</t>
  </si>
  <si>
    <t>PBL-1129</t>
  </si>
  <si>
    <t>RB-06394</t>
  </si>
  <si>
    <t>P10-F06394</t>
  </si>
  <si>
    <t>PBL-1130</t>
  </si>
  <si>
    <t>RB-06395</t>
  </si>
  <si>
    <t>P10-F06395</t>
  </si>
  <si>
    <t>PBL-1131</t>
  </si>
  <si>
    <t>RB-06396</t>
  </si>
  <si>
    <t>P10-F06396</t>
  </si>
  <si>
    <t>PBL-1132</t>
  </si>
  <si>
    <t>RB-06397</t>
  </si>
  <si>
    <t>P10-F06397</t>
  </si>
  <si>
    <t>PBL-1133</t>
  </si>
  <si>
    <t>RB-06398</t>
  </si>
  <si>
    <t>P10-F06398</t>
  </si>
  <si>
    <t>PBL-1134</t>
  </si>
  <si>
    <t>RB-06399</t>
  </si>
  <si>
    <t>P10-F06399</t>
  </si>
  <si>
    <t>PBL-1135</t>
  </si>
  <si>
    <t>RB-06400</t>
  </si>
  <si>
    <t>P10-F06400</t>
  </si>
  <si>
    <t>PBL-1136</t>
  </si>
  <si>
    <t>RB-05205</t>
  </si>
  <si>
    <t>P10-F05205</t>
  </si>
  <si>
    <t>Boats&lt;-&gt;Regions</t>
  </si>
  <si>
    <t>PBY-0066</t>
  </si>
  <si>
    <t>PreserveCurrentRegionPolicy</t>
  </si>
  <si>
    <t>Source changes may proceed if they do not alter travel, spawning, PvP, housing, government, vendor, map, or region precedence behavior for this pair. Excluded surface: Travel, spawning, PvP, housing, government, vendor, map, and region precedence behavior for the listed paired systems.</t>
  </si>
  <si>
    <t>PriorOverlayEvidence: CurrentFile=Data/Scripts/Custom/BoatNavigationTotem/BoatNavigationTotam.cs; Line=86; SourceLine=#region System Background Colors;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RuntimeInventory=PrimaryRole=CommandSurface;SecondaryRoles=StartupWiring;GumpUI;WorldState;Commands=CommandSystem.Register(;Hooks=Initialize;SerializedTypes=;Gumps=OnResponse;SendGump || PriorNotes: HistoricalFile=Data/Scripts/Custom/BoatNavigationTotem/BoatNavigationTotam.cs; Risk=Runtime;Policy;Gameplay; POST-BATCH-L is audit-only P2 residual triage. No source, project, XML/config, serialized layout, runtime file location, command name, access level, or region policy changed.</t>
  </si>
  <si>
    <t>PreviousStatus=DeferredPolicyDecision; GateOutcome=Preserve current region/map behavior.; RequiredApproval=Required before changing region/map policy, travel, spawning, PvP, housing, government, or vendor behavior for this pair.</t>
  </si>
  <si>
    <t>RB-05202</t>
  </si>
  <si>
    <t>P10-F05202</t>
  </si>
  <si>
    <t>Bulk Orders&lt;-&gt;Regions</t>
  </si>
  <si>
    <t>PBY-0067</t>
  </si>
  <si>
    <t>PriorOverlayEvidence: CurrentFile=Data/Scripts/Items/Misc/Bodies/Corpses/Corpse.cs; Line=1095; SourceLine=#region Self Looting;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RuntimeInventory=PrimaryRole=StartupWiring;SecondaryRoles=Persistence;ItemContent;Commands=;Hooks=CustomTimerSubclass;Initialize;SerializedTypes=interface:IDevourer;enum:CorpseFlag;class:Corpse;class:InstancedItemInfo;class:InternalTimer;class:OpenCorpseEntry;Gumps=; SerializationRegister=Class=Server.Items.Corpse;Version=11;Handling=SwitchGotoCase;Alignment=CountMismatch:Writes=18;Reads=37;MoveRisk=NamespaceOrTypeRenameDanger || PriorNotes: HistoricalFile=Data/Scripts/Items/Misc/Bodies/Corpses/Corpse.cs; Risk=Runtime;Policy;Gameplay; POST-BATCH-L is audit-only P2 residual triage. No source, project, XML/config, serialized layout, runtime file location, command name, access level, or region policy changed.</t>
  </si>
  <si>
    <t>RB-05192</t>
  </si>
  <si>
    <t>P10-F05192</t>
  </si>
  <si>
    <t>Champions&lt;-&gt;Regions</t>
  </si>
  <si>
    <t>Data/Scripts/Custom/Champions/Mobiles/Minions/PlagueBeast.cs</t>
  </si>
  <si>
    <t>PBY-0068</t>
  </si>
  <si>
    <t>PriorOverlayEvidence: CurrentFile=Data/Scripts/Custom/Champions/Mobiles/Minions/PlagueBeast.cs; Line=210; SourceLine=#region IDevourer Members;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RuntimeInventory=PrimaryRole=Persistence;SecondaryRoles=WorldState;Commands=;Hooks=;SerializedTypes=class:PlagueBeast;Gumps=; SerializationRegister=Class=Server.Mobiles.PlagueBeast;Version=1;Handling=Switch;Alignment=CountMatchNeedsTypeReview:UnknownWrites=3;MoveRisk=NamespaceOrTypeRenameDanger || PriorNotes: HistoricalFile=Data/Scripts/Custom/Champions/Mobiles/Minions/PlagueBeast.cs; Risk=Runtime;Policy;Gameplay; POST-BATCH-L is audit-only P2 residual triage. No source, project, XML/config, serialized layout, runtime file location, command name, access level, or region policy changed.</t>
  </si>
  <si>
    <t>RB-05193</t>
  </si>
  <si>
    <t>P10-F05193</t>
  </si>
  <si>
    <t>Clone Offline Player Characters&lt;-&gt;Regions</t>
  </si>
  <si>
    <t>PBY-0069</t>
  </si>
  <si>
    <t>PriorOverlayEvidence: CurrentFile=Data/Scripts/Custom/PvE/CloneOfflinePlayerCharacters/CloneOfflinePlayerCharacters.cs; Line=7; SourceLine=using Server.Regions;; PathResolution=PostBatchHMove:Data/Scripts/Custom/CloneOfflinePlayerCharacters-&gt;Data/Scripts/Custom/PvE/CloneOfflinePlayerCharacters; MatchQuality=CurrentSourceLine; FileExists=True; DisabledEvidence=False; ProjectTruth=RecordType=ProjectInclude;Included=True;Missing=False;Unincluded=False;Action=Keep | RecordType=SourceFile;Included=True;Missing=False;Unincluded=False;Action=Keep; RuntimeInventory=PrimaryRole=StartupWiring;SecondaryRoles=;Commands=;Hooks=EventSink;Initialize;OnLogin;OnLogout;SerializedTypes=;Gumps= || PriorNotes: HistoricalFile=Data/Scripts/Custom/CloneOfflinePlayerCharacters/CloneOfflinePlayerCharacters.cs; Risk=Runtime;Policy;Gameplay; POST-BATCH-L is audit-only P2 residual triage. No source, project, XML/config, serialized layout, runtime file location, command name, access level, or region policy changed.</t>
  </si>
  <si>
    <t>RB-05200</t>
  </si>
  <si>
    <t>P10-F05200</t>
  </si>
  <si>
    <t>Crafting Core&lt;-&gt;Regions</t>
  </si>
  <si>
    <t>PBY-0070</t>
  </si>
  <si>
    <t>PriorOverlayEvidence: CurrentFile=Data/Scripts/Trades/Core/CraftItem.cs; Line=318; SourceLine=#region Tables;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RuntimeInventory=PrimaryRole=StartupWiring;SecondaryRoles=GumpUI;Crafting;Commands=;Hooks=CustomTimerSubclass;SerializedTypes=;Gumps=SendGump || PriorNotes: HistoricalFile=Data/Scripts/Trades/Core/CraftItem.cs; Risk=Runtime;Policy;Gameplay; POST-BATCH-L is audit-only P2 residual triage. No source, project, XML/config, serialized layout, runtime file location, command name, access level, or region policy changed.</t>
  </si>
  <si>
    <t>RB-05203</t>
  </si>
  <si>
    <t>P10-F05203</t>
  </si>
  <si>
    <t>Gardening&lt;-&gt;Regions</t>
  </si>
  <si>
    <t>PBY-0071</t>
  </si>
  <si>
    <t>PriorOverlayEvidence: CurrentFile=Data/Scripts/Custom/StaffTools/StaticGumpTool/Side Gumps/addplants.cs; Line=35; SourceLine=#region Plants; PathResolution=PostBatchHMove:Data/Scripts/Custom/OzThothStaticGump-&gt;Data/Scripts/Custom/StaffTools/StaticGumpTool;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 PriorNotes: HistoricalFile=Data/Scripts/Custom/OzThothStaticGump/Side Gumps/addplants.cs; Risk=Runtime;Policy;Gameplay; POST-BATCH-L is audit-only P2 residual triage. No source, project, XML/config, serialized layout, runtime file location, command name, access level, or region policy changed.</t>
  </si>
  <si>
    <t>RB-05188</t>
  </si>
  <si>
    <t>P10-F05188</t>
  </si>
  <si>
    <t>Government&lt;-&gt;Regions</t>
  </si>
  <si>
    <t>PBY-0072</t>
  </si>
  <si>
    <t>PriorOverlayEvidence: CurrentFile=Data/Scripts/Custom/Government System/CityUpgradeSystem.cs; Line=9; SourceLine=using Server.Regions;;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RuntimeInventory=PrimaryRole=CommandSurface;SecondaryRoles=StartupWiring;Economy;Commands=CommandSystem.Register(;Hooks=Initialize;WorldSave;SerializedTypes=;Gumps= || PriorNotes: HistoricalFile=Data/Scripts/Custom/Government System/CityUpgradeSystem.cs; Risk=Runtime;Policy;Gameplay; POST-BATCH-L is audit-only P2 residual triage. No source, project, XML/config, serialized layout, runtime file location, command name, access level, or region policy changed.</t>
  </si>
  <si>
    <t>RB-05201</t>
  </si>
  <si>
    <t>P10-F05201</t>
  </si>
  <si>
    <t>Harvest System&lt;-&gt;Regions</t>
  </si>
  <si>
    <t>PBY-0073</t>
  </si>
  <si>
    <t>PriorOverlayEvidence: CurrentFile=Data/Scripts/Items/Trades/Harvest Tools/BaseHarvestTool.cs; Line=256; SourceLine=#region ICraftable Members;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RuntimeInventory=PrimaryRole=Persistence;SecondaryRoles=Crafting;ItemContent;Commands=;Hooks=;SerializedTypes=interface:IUsesRemaining;class:BaseHarvestTool;class:ToggleMiningStoneEntry;Gumps=; SerializationRegister=Class=Server.Items.BaseHarvestTool;Version=1;Handling=SwitchGotoCase;Alignment=AlignedByCountAndKnownTypes;MoveRisk=NamespaceOrTypeRenameDanger || PriorNotes: HistoricalFile=Data/Scripts/Items/Trades/Harvest Tools/BaseHarvestTool.cs; Risk=Runtime;Policy;Gameplay; POST-BATCH-L is audit-only P2 residual triage. No source, project, XML/config, serialized layout, runtime file location, command name, access level, or region policy changed.</t>
  </si>
  <si>
    <t>RB-05189</t>
  </si>
  <si>
    <t>P10-F05189</t>
  </si>
  <si>
    <t>Homestead&lt;-&gt;Regions</t>
  </si>
  <si>
    <t>PBY-0074</t>
  </si>
  <si>
    <t>PriorOverlayEvidence: CurrentFile=Data/Scripts/Custom/StaffTools/StaticGumpTool/Side Gumps/AddCooking.cs; Line=35; SourceLine=#region CookingStatics; PathResolution=PostBatchHMove:Data/Scripts/Custom/OzThothStaticGump-&gt;Data/Scripts/Custom/StaffTools/StaticGumpTool;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RuntimeInventory=PrimaryRole=CommandSurface;SecondaryRoles=StartupWiring;GumpUI;Crafting;StaffTooling;Commands=CommandSystem.Register(;Hooks=Initialize;SerializedTypes=;Gumps=OnResponse;SendGump || PriorNotes: HistoricalFile=Data/Scripts/Custom/OzThothStaticGump/Side Gumps/AddCooking.cs; Risk=Runtime;Policy;Gameplay; POST-BATCH-L is audit-only P2 residual triage. No source, project, XML/config, serialized layout, runtime file location, command name, access level, or region policy changed.</t>
  </si>
  <si>
    <t>RB-05204</t>
  </si>
  <si>
    <t>P10-F05204</t>
  </si>
  <si>
    <t>Housing&lt;-&gt;Regions</t>
  </si>
  <si>
    <t>Data/Scripts/Items/Houses/AdvertiserVendor.cs</t>
  </si>
  <si>
    <t>PBY-0075</t>
  </si>
  <si>
    <t>PriorOverlayEvidence: CurrentFile=Data/Scripts/Items/Houses/AdvertiserVendor.cs; Line=12; SourceLine=using Server.Regions;;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RuntimeInventory=PrimaryRole=GumpUI;SecondaryRoles=Persistence;Economy;ItemContent;Commands=;Hooks=;SerializedTypes=class:AdvertiserVendor;class:FindPlayerVendorsGump;Gumps=OnResponse;SendGump; SerializationRegister=Class=Server.Items.AdvertiserVendor;Version=0;Handling=SingleVersionOnly;Alignment=AlignedByCountAndKnownTypes;MoveRisk=UnknownUntilSaveTest || PriorNotes: HistoricalFile=Data/Scripts/Items/Houses/AdvertiserVendor.cs; Risk=Runtime;Policy;Gameplay; POST-BATCH-L is audit-only P2 residual triage. No source, project, XML/config, serialized layout, runtime file location, command name, access level, or region policy changed.</t>
  </si>
  <si>
    <t>RB-05191</t>
  </si>
  <si>
    <t>P10-F05191</t>
  </si>
  <si>
    <t>Invasion&lt;-&gt;Regions</t>
  </si>
  <si>
    <t>PBY-0076</t>
  </si>
  <si>
    <t>PriorOverlayEvidence: CurrentFile=Data/Scripts/Custom/Invasion System/Add Ins/BaseSpecialCreature.cs; Line=498; SourceLine=#region Summoning;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RuntimeInventory=PrimaryRole=StartupWiring;SecondaryRoles=Persistence;StaffTooling;Commands=;Hooks=CustomTimerSubclass;OnMovement;Timer.DelayCall;SerializedTypes=class:BaseSpecialCreature;class:InternalBleedTimer;class:TeleportTimer;Gumps=; SerializationRegister=Class=Server.Mobiles.BaseSpecialCreature;Version=Unknown;Handling=NoVersionFound;Alignment=AlignedByCountAndKnownTypes;MoveRisk=NamespaceOrTypeRenameDanger || PriorNotes: HistoricalFile=Data/Scripts/Custom/Invasion System/Add Ins/BaseSpecialCreature.cs; Risk=Runtime;Policy;Gameplay; POST-BATCH-L is audit-only P2 residual triage. No source, project, XML/config, serialized layout, runtime file location, command name, access level, or region policy changed.</t>
  </si>
  <si>
    <t>RB-05199</t>
  </si>
  <si>
    <t>P10-F05199</t>
  </si>
  <si>
    <t>Magic Schools&lt;-&gt;Regions</t>
  </si>
  <si>
    <t>Data/Scripts/Magic/Bard/SongSpells.cs</t>
  </si>
  <si>
    <t>PBY-0077</t>
  </si>
  <si>
    <t>PriorOverlayEvidence: CurrentFile=Data/Scripts/Magic/Bard/SongSpells.cs; Line=12; SourceLine=using Server.Regions;;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RuntimeInventory=PrimaryRole=CombatPolicy;SecondaryRoles=;Commands=;Hooks=;SerializedTypes=;Gumps= || PriorNotes: HistoricalFile=Data/Scripts/Magic/Bard/SongSpells.cs; Risk=Runtime;Policy;Gameplay; POST-BATCH-L is audit-only P2 residual triage. No source, project, XML/config, serialized layout, runtime file location, command name, access level, or region policy changed.</t>
  </si>
  <si>
    <t>RB-05194</t>
  </si>
  <si>
    <t>P10-F05194</t>
  </si>
  <si>
    <t>Offline Skill Training&lt;-&gt;Regions</t>
  </si>
  <si>
    <t>PBY-0078</t>
  </si>
  <si>
    <t>PriorOverlayEvidence: CurrentFile=Data/Scripts/Custom/Offline Skill Training/Items/StudyBook.cs; Line=7; SourceLine=using Server.Regions;;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RuntimeInventory=PrimaryRole=StartupWiring;SecondaryRoles=Persistence;PlayerProgression;Commands=;Hooks=EventSink;Initialize;OnLogin;OnLogout;Timer.DelayCall;SerializedTypes=class:StudyBook;Gumps=; SerializationRegister=Class=Server.Items.StudyBook;Version=0;Handling=SingleVersionOnly;Alignment=AlignedByCountAndKnownTypes;MoveRisk=NamespaceOrTypeRenameDanger || PriorNotes: HistoricalFile=Data/Scripts/Custom/Offline Skill Training/Items/StudyBook.cs; Risk=Runtime;Policy;Gameplay; POST-BATCH-L is audit-only P2 residual triage. No source, project, XML/config, serialized layout, runtime file location, command name, access level, or region policy changed.</t>
  </si>
  <si>
    <t>RB-05195</t>
  </si>
  <si>
    <t>P10-F05195</t>
  </si>
  <si>
    <t>OmniAI&lt;-&gt;Regions</t>
  </si>
  <si>
    <t>Data/Scripts/Custom/OmniAI/OmniAI Bushido.cs</t>
  </si>
  <si>
    <t>PBY-0079</t>
  </si>
  <si>
    <t>PriorOverlayEvidence: CurrentFile=Data/Scripts/Custom/ThirdParty/OmniAI/OmniAI Bushido.cs; Line=10; SourceLine=using Server.Regions;; PathResolution=PostBatchHMove:Data/Scripts/Custom/OmniAI-&gt;Data/Scripts/Custom/ThirdParty/OmniAI; MatchQuality=CurrentSourceLine; FileExists=True; DisabledEvidence=False; ProjectTruth=RecordType=ProjectInclude;Included=True;Missing=False;Unincluded=False;Action=Keep | RecordType=SourceFile;Included=True;Missing=False;Unincluded=False;Action=Keep; RuntimeInventory=PrimaryRole=Unknown;SecondaryRoles=;Commands=;Hooks=;SerializedTypes=;Gumps= || PriorNotes: HistoricalFile=Data/Scripts/Custom/OmniAI/OmniAI Bushido.cs; Risk=Runtime;Policy;Gameplay; POST-BATCH-L is audit-only P2 residual triage. No source, project, XML/config, serialized layout, runtime file location, command name, access level, or region policy changed.</t>
  </si>
  <si>
    <t>RB-05187</t>
  </si>
  <si>
    <t>P10-F05187</t>
  </si>
  <si>
    <t>PvP Consent&lt;-&gt;Regions</t>
  </si>
  <si>
    <t>PBY-0080</t>
  </si>
  <si>
    <t>PriorOverlayEvidence: CurrentFile=Data/Scripts/Custom/PvPConsent/Gumps/PKNONPKGUMP.cs; Line=21; SourceLine=this.AddAlphaRegion(5, 5, 389, 289);;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RuntimeInventory=PrimaryRole=CommandSurface;SecondaryRoles=StartupWiring;GumpUI;CombatPolicy;Commands=CommandSystem.Register(;Hooks=Initialize;SerializedTypes=;Gumps=OnResponse;SendGump || PriorNotes: HistoricalFile=Data/Scripts/Custom/PvPConsent/Gumps/PKNONPKGUMP.cs; Risk=Runtime;Policy;Gameplay; POST-BATCH-L is audit-only P2 residual triage. No source, project, XML/config, serialized layout, runtime file location, command name, access level, or region policy changed.</t>
  </si>
  <si>
    <t>RB-05186</t>
  </si>
  <si>
    <t>P10-F05186</t>
  </si>
  <si>
    <t>Random Encounters&lt;-&gt;Regions</t>
  </si>
  <si>
    <t>Data/Scripts/Custom/RandomEncounters/Definitions.cs</t>
  </si>
  <si>
    <t>PBY-0081</t>
  </si>
  <si>
    <t>PriorOverlayEvidence: CurrentFile=Data/Scripts/Custom/PvE/RandomEncounters/Definitions.cs; Line=8; SourceLine=public enum RegionType; PathResolution=PostBatchHMove:Data/Scripts/Custom/RandomEncounters-&gt;Data/Scripts/Custom/PvE/RandomEncounters; MatchQuality=CurrentSourceLine; FileExists=True; DisabledEvidence=False; ProjectTruth=RecordType=ProjectInclude;Included=True;Missing=False;Unincluded=False;Action=Keep | RecordType=SourceFile;Included=True;Missing=False;Unincluded=False;Action=Keep; RuntimeInventory=PrimaryRole=WorldState;SecondaryRoles=;Commands=;Hooks=;SerializedTypes=;Gumps= || PriorNotes: HistoricalFile=Data/Scripts/Custom/RandomEncounters/Definitions.cs; Risk=Runtime;Policy;Gameplay; POST-BATCH-L is audit-only P2 residual triage. No source, project, XML/config, serialized layout, runtime file location, command name, access level, or region policy changed.</t>
  </si>
  <si>
    <t>RB-05208</t>
  </si>
  <si>
    <t>P10-F05208</t>
  </si>
  <si>
    <t>Regions&lt;-&gt;Obsolete Scripts</t>
  </si>
  <si>
    <t>PBY-0082</t>
  </si>
  <si>
    <t>PriorOverlayEvidence: CurrentFile=Data/Scripts/Items/Magical/Artifacts/Obsolete/Obsolete_BootsofHermes.cs; Line=28; SourceLine=Server.Misc.MyServerSettings.NoMountsInCertainRegions();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RuntimeInventory=PrimaryRole=Persistence;SecondaryRoles=CombatPolicy;ItemContent;LegacyCompatibility;Commands=;Hooks=;SerializedTypes=class:BootsofHermes;Gumps=; SerializationRegister=Class=Server.Items.BootsofHermes;Version=0;Handling=SingleVersionOnly;Alignment=AlignedByCountAndKnownTypes;MoveRisk=NamespaceOrTypeRenameDanger || PriorNotes: HistoricalFile=Data/Scripts/Items/Magical/Artifacts/Obsolete/Obsolete_BootsofHermes.cs; Risk=Runtime;Policy;Gameplay; POST-BATCH-L is audit-only P2 residual triage. No source, project, XML/config, serialized layout, runtime file location, command name, access level, or region policy changed.</t>
  </si>
  <si>
    <t>RB-05206</t>
  </si>
  <si>
    <t>P10-F05206</t>
  </si>
  <si>
    <t>Regions&lt;-&gt;PlayerMobile Core</t>
  </si>
  <si>
    <t>PBY-0083</t>
  </si>
  <si>
    <t>PriorOverlayEvidence: CurrentFile=Data/Scripts/Mobiles/Base/PlayerMobile.cs; Line=6084; SourceLine=else;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MobileContent;Commands=;Hooks=EventSink;Initialize;OnLogin;OnLogout;OnSpeech;Timer.DelayCall;SerializedTypes=enum:PlayerFlag;enum:NONPK;enum:NpcGuild;enum:SolenFriendship;class:PlayerMobile;class:CountAndTimeStamp;class:CancelRenewInventoryInsuranceGump;class:CallbackEntry;class:ChampionTitleInfo;class:TitleInfo;Gumps=OnResponse;SendGump; SerializationRegister=Class=Server.Mobiles.PlayerMobile;Version=37;Handling=SwitchGotoCase;Alignment=CountMismatch:Writes=120;Reads=119;MoveRisk=DoNotMove || PriorNotes: HistoricalFile=Data/Scripts/Mobiles/Base/PlayerMobile.cs; Risk=Runtime;Policy;Gameplay; POST-BATCH-L is audit-only P2 residual triage. No source, project, XML/config, serialized layout, runtime file location, command name, access level, or region policy changed.</t>
  </si>
  <si>
    <t>RB-05207</t>
  </si>
  <si>
    <t>P10-F05207</t>
  </si>
  <si>
    <t>Regions&lt;-&gt;Vendor Core</t>
  </si>
  <si>
    <t>PBY-0084</t>
  </si>
  <si>
    <t>PriorOverlayEvidence: CurrentFile=Data/Scripts/Items/Houses/BaseHouse.cs; Line=22; SourceLine=public static bool NewVendorSystem;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ItemContent;Commands=;Hooks=CustomTimerSubclass;Timer.DelayCall;SerializedTypes=class:BaseHouse;class:TransferItem;class:FixColumnTimer;enum:DecayType;enum:DecayLevel;enum:SecureAccessResult;enum:SecureLevel;class:SecureInfo;class:RelocatedEntity;class:LockdownTarget;class:SecureTarget;class:HouseKickTarget;class:HouseBanTarget;class:HouseAccessTarget;class:CoOwnerTarget;class:HouseFriendTarget;class:HouseOwnerTarget;class:SetSecureLevelEntry;class:TempNoHousingRegion;Gumps=SendGump; SerializationRegister=Class=Server.Multis.BaseHouse;Version=14;Handling=SwitchGotoCase;Alignment=CountMismatch:Writes=28;Reads=31;MoveRisk=UnknownUntilSaveTest | Class=Server.Multis.SecureInfo;Version=Unknown;Handling=NoVersionFound;Alignment=CountMismatch:Writes=2;Reads=0;MoveRisk=UnknownUntilSaveTest | Class=Server.Multis.TransferItem;Version=0;Handling=SingleVersionOnly;Alignment=AlignedByCountAndKnownTypes;MoveRisk=UnknownUntilSaveTest || PriorNotes: HistoricalFile=Data/Scripts/Items/Houses/BaseHouse.cs; Risk=Runtime;Policy;Gameplay; POST-BATCH-L is audit-only P2 residual triage. No source, project, XML/config, serialized layout, runtime file location, command name, access level, or region policy changed.</t>
  </si>
  <si>
    <t>RB-05198</t>
  </si>
  <si>
    <t>P10-F05198</t>
  </si>
  <si>
    <t>Spell Framework&lt;-&gt;Regions</t>
  </si>
  <si>
    <t>PBY-0085</t>
  </si>
  <si>
    <t>PriorOverlayEvidence: CurrentFile=Data/Scripts/System/Misc/Spawning.cs; Line=9216; SourceLine=a bunch of options to select only the desired spawners, go to it,; PathResolution=OriginalPathCurrent;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RuntimeInventory=PrimaryRole=CommandSurface;SecondaryRoles=StartupWiring;GumpUI;Persistence;Commands=CommandSystem.Register(;CommandSystem.Register(command, access, handler);;Hooks=CustomTimerSubclass;Initialize;SerializedTypes=class:OptionsGumps;class:GumpSaveRegion;class:GumpRemoveRegion;class:GumpRemoveID;class:GumpSaveCoordinate;class:GumpRemoveCoordinate;class:PremiumSpawnerGump;class:PremiumSpawner;class:InternalTimer;class:WarnTimer;class:WarnEntry;class:PSpawnerCount;class:RunUOSpawnerExporter;class:Spawner;class:InternalTimer;class:WarnTimer;class:WarnEntry;class:SpawnGenerator;class:SpawnEditorGump;class:SpawnerGump;class:SpawnerType;Gumps=OnResponse;SendGump; SerializationRegister=Class=Server.Commands.PremiumSpawner;Version=4;Handling=SwitchGotoCase;Alignment=CountMismatch:Writes=52;Reads=40;MoveRisk=UnknownUntilSaveTest | Class=Server.Commands.Spawner;Version=4;Handling=SwitchGotoCase;Alignment=CountMismatch:Writes=16;Reads=14;MoveRisk=UnknownUntilSaveTest || PriorNotes: HistoricalFile=Data/Scripts/System/Misc/Spawning.cs; Risk=Runtime;Policy;Gameplay; POST-BATCH-L is audit-only P2 residual triage. No source, project, XML/config, serialized layout, runtime file location, command name, access level, or region policy changed.</t>
  </si>
  <si>
    <t>RB-05196</t>
  </si>
  <si>
    <t>P10-F05196</t>
  </si>
  <si>
    <t>Staff Toolbar&lt;-&gt;Regions</t>
  </si>
  <si>
    <t>PBY-0086</t>
  </si>
  <si>
    <t>PriorOverlayEvidence: CurrentFile=Data/Scripts/Custom/ThirdParty/Staff Toolbar [2.0]/Toolbar.cs; Line=38; SourceLine=EventSink.Login += new LoginEventHandler(OnLogin);; PathResolution=PostBatchHMove:Data/Scripts/Custom/Staff Toolbar [2.0]-&gt;Data/Scripts/Custom/ThirdParty/Staff Toolbar [2.0]; MatchQuality=CurrentSourceLine; FileExists=True; DisabledEvidence=False; ProjectTruth=RecordType=ProjectInclude;Included=True;Missing=False;Unincluded=False;Action=Keep | RecordType=SourceFile;Included=True;Missing=False;Unincluded=False;Action=Keep; RuntimeInventory=PrimaryRole=StartupWiring;SecondaryRoles=GumpUI;Persistence;StaffTooling;Commands=;Hooks=EventSink;Initialize;OnLogin;SerializedTypes=class:ToolbarHelper;class:ToolbarInfos;class:ToolbarInfo;class:Toolbar;class:ToolbarEdit;class:GumpIDs;enum:MiscIDs;enum:ButtonIDs;Gumps=OnResponse;SendGump; SerializationRegister=Class=Joeku.ToolbarInfos;Version=Unknown;Handling=ReadVersionOnly;Alignment=CountMismatch:Writes=15;Reads=14;MoveRisk=NamespaceOrTypeRenameDanger || PriorNotes: HistoricalFile=Data/Scripts/Custom/Staff Toolbar [2.0]/Toolbar.cs; Risk=Runtime;Policy;Gameplay; POST-BATCH-L is audit-only P2 residual triage. No source, project, XML/config, serialized layout, runtime file location, command name, access level, or region policy changed.</t>
  </si>
  <si>
    <t>RB-05197</t>
  </si>
  <si>
    <t>P10-F05197</t>
  </si>
  <si>
    <t>Static Gump Tool&lt;-&gt;Regions</t>
  </si>
  <si>
    <t>PBY-0087</t>
  </si>
  <si>
    <t>PriorOverlayEvidence: CurrentFile=Data/Scripts/Custom/StaffTools/StaticGumpTool/Side Gumps/AddAnimation.cs; Line=38; SourceLine=new AnimationInfo(0x03AF),; PathResolution=PostBatchHMove:Data/Scripts/Custom/OzThothStaticGump-&gt;Data/Scripts/Custom/StaffTools/StaticGumpTool; MatchQuality=CurrentSourceLine; FileExists=True; DisabledEvidence=False; ProjectTruth=RecordType=ProjectInclude;Included=True;Missing=False;Unincluded=False;Action=Keep | RecordType=SourceFile;Included=True;Missing=False;Unincluded=False;Action=Keep; RuntimeInventory=PrimaryRole=CommandSurface;SecondaryRoles=StartupWiring;GumpUI;StaffTooling;Commands=CommandSystem.Register(;Hooks=Initialize;SerializedTypes=;Gumps=OnResponse;SendGump || PriorNotes: HistoricalFile=Data/Scripts/Custom/OzThothStaticGump/Side Gumps/AddAnimation.cs; Risk=Runtime;Policy;Gameplay; POST-BATCH-L is audit-only P2 residual triage. No source, project, XML/config, serialized layout, runtime file location, command name, access level, or region policy changed.</t>
  </si>
  <si>
    <t>RB-05190</t>
  </si>
  <si>
    <t>P10-F05190</t>
  </si>
  <si>
    <t>XMLSpawner&lt;-&gt;Regions</t>
  </si>
  <si>
    <t>Data/Scripts/Custom/RandomEncounters/Records.cs</t>
  </si>
  <si>
    <t>PBY-0088</t>
  </si>
  <si>
    <t>PriorOverlayEvidence: CurrentFile=Data/Scripts/Custom/PvE/RandomEncounters/Records.cs; Line=14; SourceLine=using Server.Engines.XmlSpawner2;; PathResolution=PostBatchHMove:Data/Scripts/Custom/RandomEncounters-&gt;Data/Scripts/Custom/PvE/RandomEncounters; MatchQuality=CurrentSourceLine; FileExists=True; DisabledEvidence=False; ProjectTruth=RecordType=ProjectInclude;Included=True;Missing=False;Unincluded=False;Action=Keep | RecordType=SourceFile;Included=True;Missing=False;Unincluded=False;Action=Keep; RuntimeInventory=PrimaryRole=WorldState;SecondaryRoles=;Commands=;Hooks=;SerializedTypes=;Gumps= || PriorNotes: HistoricalFile=Data/Scripts/Custom/RandomEncounters/Records.cs; Risk=Runtime;Policy;Gameplay; POST-BATCH-L is audit-only P2 residual triage. No source, project, XML/config, serialized layout, runtime file location, command name, access level, or region policy changed.</t>
  </si>
  <si>
    <t>RB-00083</t>
  </si>
  <si>
    <t>P10-F00083</t>
  </si>
  <si>
    <t>PBL-1160</t>
  </si>
  <si>
    <t>No source change. Current evidence shows the row is already covered by explicit source/project/serializer state or is not a live repair target.</t>
  </si>
  <si>
    <t>CurrentFile=Data/Scripts/Custom/PvE/CloneOfflinePlayerCharacters/BackpackClone.cs; Line=46; SourceLine=public override void Serialize(GenericWriter writer); PathResolution=PostBatchHMove:Data/Scripts/Custom/CloneOfflinePlayerCharacters-&gt;Data/Scripts/Custom/PvE/CloneOfflinePlayerCharacters; MatchQuality=CurrentSourceLine; FileExists=True; DisabledEvidence=False; ProjectTruth=RecordType=ProjectInclude;Included=True;Missing=False;Unincluded=False;Action=Keep | RecordType=SourceFile;Included=True;Missing=False;Unincluded=False;Action=Keep; RuntimeInventory=PrimaryRole=Persistence;SecondaryRoles=;Commands=;Hooks=;SerializedTypes=class:BackpackClone;Gumps=; SerializationRegister=Class=Server.Custom.Confictura.CloneOfflinePlayerCharacters.BackpackClone;Version=0;Handling=WriteVersionOnly;Alignment=CountMismatch:Writes=0;Reads=1;MoveRisk=NamespaceOrTypeRenameDanger</t>
  </si>
  <si>
    <t>HistoricalFile=Data/Scripts/Custom/CloneOfflinePlayerCharacters/BackpackClone.cs; Risk=Save; POST-BATCH-L is audit-only P2 residual triage. No source, project, XML/config, serialized layout, runtime file location, command name, access level, or region policy changed.</t>
  </si>
  <si>
    <t>RB-00086</t>
  </si>
  <si>
    <t>P10-F00086</t>
  </si>
  <si>
    <t>PBL-1161</t>
  </si>
  <si>
    <t>CurrentFile=Data/Scripts/Custom/PvE/CloneOfflinePlayerCharacters/CharacterClone.cs; Line=272; SourceLine=public override void Serialize(GenericWriter writer); PathResolution=PostBatchHMove:Data/Scripts/Custom/CloneOfflinePlayerCharacters-&gt;Data/Scripts/Custom/PvE/CloneOfflinePlayerCharacters; MatchQuality=CurrentSourceLine; FileExists=True; DisabledEvidence=False; ProjectTruth=RecordType=ProjectInclude;Included=True;Missing=False;Unincluded=False;Action=Keep | RecordType=SourceFile;Included=True;Missing=False;Unincluded=False;Action=Keep; RuntimeInventory=PrimaryRole=StartupWiring;SecondaryRoles=Persistence;Commands=;Hooks=CustomTimerSubclass;SerializedTypes=class:CharacterClone;class:PayTimer;class:HireEntry;Gumps=; SerializationRegister=Class=Server.Custom.Confictura.CloneOfflinePlayerCharacters.CharacterClone;Version=0;Handling=WriteVersionOnly;Alignment=CountMismatch:Writes=1;Reads=2;MoveRisk=NamespaceOrTypeRenameDanger</t>
  </si>
  <si>
    <t>HistoricalFile=Data/Scripts/Custom/CloneOfflinePlayerCharacters/CharacterClone.cs; Risk=Save; POST-BATCH-L is audit-only P2 residual triage. No source, project, XML/config, serialized layout, runtime file location, command name, access level, or region policy changed.</t>
  </si>
  <si>
    <t>RB-00089</t>
  </si>
  <si>
    <t>P10-F00089</t>
  </si>
  <si>
    <t>PBL-1162</t>
  </si>
  <si>
    <t>CurrentFile=Data/Scripts/Custom/PvE/CloneOfflinePlayerCharacters/EtherealMountClone.cs; Line=36; SourceLine=public override void Serialize(GenericWriter writer); PathResolution=PostBatchHMove:Data/Scripts/Custom/CloneOfflinePlayerCharacters-&gt;Data/Scripts/Custom/PvE/CloneOfflinePlayerCharacters; MatchQuality=CurrentSourceLine; FileExists=True; DisabledEvidence=False; ProjectTruth=RecordType=ProjectInclude;Included=True;Missing=False;Unincluded=False;Action=Keep | RecordType=SourceFile;Included=True;Missing=False;Unincluded=False;Action=Keep; RuntimeInventory=PrimaryRole=Persistence;SecondaryRoles=;Commands=;Hooks=;SerializedTypes=class:EtherealMountClone;Gumps=; SerializationRegister=Class=Server.Custom.Confictura.CloneOfflinePlayerCharacters.EtherealMountClone;Version=0;Handling=WriteVersionOnly;Alignment=CountMismatch:Writes=0;Reads=1;MoveRisk=NamespaceOrTypeRenameDanger</t>
  </si>
  <si>
    <t>HistoricalFile=Data/Scripts/Custom/CloneOfflinePlayerCharacters/EtherealMountClone.cs; Risk=Save; POST-BATCH-L is audit-only P2 residual triage. No source, project, XML/config, serialized layout, runtime file location, command name, access level, or region policy changed.</t>
  </si>
  <si>
    <t>RB-00092</t>
  </si>
  <si>
    <t>P10-F00092</t>
  </si>
  <si>
    <t>PBL-1163</t>
  </si>
  <si>
    <t>CurrentFile=Data/Scripts/Custom/PvE/CloneOfflinePlayerCharacters/MountClone.cs; Line=45; SourceLine=public override void Serialize(GenericWriter writer); PathResolution=PostBatchHMove:Data/Scripts/Custom/CloneOfflinePlayerCharacters-&gt;Data/Scripts/Custom/PvE/CloneOfflinePlayerCharacters; MatchQuality=CurrentSourceLine; FileExists=True; DisabledEvidence=False; ProjectTruth=RecordType=ProjectInclude;Included=True;Missing=False;Unincluded=False;Action=Keep | RecordType=SourceFile;Included=True;Missing=False;Unincluded=False;Action=Keep; RuntimeInventory=PrimaryRole=Persistence;SecondaryRoles=;Commands=;Hooks=;SerializedTypes=class:MountClone;Gumps=; SerializationRegister=Class=Server.Custom.Confictura.CloneOfflinePlayerCharacters.MountClone;Version=0;Handling=WriteVersionOnly;Alignment=CountMismatch:Writes=0;Reads=1;MoveRisk=NamespaceOrTypeRenameDanger</t>
  </si>
  <si>
    <t>HistoricalFile=Data/Scripts/Custom/CloneOfflinePlayerCharacters/MountClone.cs; Risk=Save; POST-BATCH-L is audit-only P2 residual triage. No source, project, XML/config, serialized layout, runtime file location, command name, access level, or region policy changed.</t>
  </si>
  <si>
    <t>RB-01598</t>
  </si>
  <si>
    <t>P10-F01598</t>
  </si>
  <si>
    <t>PBL-1164</t>
  </si>
  <si>
    <t>CurrentFile=Data/System/Source/Guild.cs; Line=70; SourceLine=public abstract void Serialize(GenericWriter writer);; PathResolution=OriginalPathCurrent; MatchQuality=CurrentSourceLine; FileExists=True; DisabledEvidence=False; RuntimeInventory=PrimaryRole=StartupWiring;SecondaryRoles=Persistence;WorldState;Commands=;Hooks=;SerializedTypes=enum:GuildType;class:BaseGuild;Gumps=; SerializationRegister=Class=Server.Guilds.BaseGuild;Version=Unknown;Handling=NoVersionFound;Alignment=AlignedByCountAndKnownTypes;MoveRisk=UnknownUntilBuildTruthRepaired</t>
  </si>
  <si>
    <t>HistoricalFile=Data/System/Source/Guild.cs; Risk=Save; POST-BATCH-L is audit-only P2 residual triage. No source, project, XML/config, serialized layout, runtime file location, command name, access level, or region policy changed.</t>
  </si>
  <si>
    <t>RB-01604</t>
  </si>
  <si>
    <t>P10-F01604</t>
  </si>
  <si>
    <t>PBL-1165</t>
  </si>
  <si>
    <t>CurrentFile=Data/System/Source/Item.cs; Line=585; SourceLine=public static BounceInfo Deserialize(GenericReader reader); PathResolution=OriginalPathCurrent; MatchQuality=CurrentSourceLine; FileExists=True; DisabledEvidence=False; RuntimeInventory=PrimaryRole=StartupWiring;SecondaryRoles=Persistence;WorldState;Commands=;Hooks=OnMovement;OnSpeech;Timer.DelayCall;WorldLoad;SerializedTypes=enum:Layer;enum:ItemDelta;enum:DeathMoveResult;enum:LightType;enum:LootType;class:BounceInfo;enum:TotalType;enum:ExpandFlag;class:Item;enum:ImplFlag;class:CompactInfo;class:EnchantInfo;class:EnchantGump;enum:SaveFlag;Gumps=; SerializationRegister=Class=Server.BounceInfo;Version=Unknown;Handling=NoVersionFound;Alignment=CountMismatch:Writes=0;Reads=5;MoveRisk=UnknownUntilBuildTruthRepaired | Class=Server.Item;Version=11;Handling=SwitchGotoCase;Alignment=CountMismatch:Writes=36;Reads=77;MoveRisk=UnknownUntilBuildTruthRepaired</t>
  </si>
  <si>
    <t>HistoricalFile=Data/System/Source/Item.cs; Risk=Save; POST-BATCH-L is audit-only P2 residual triage. No source, project, XML/config, serialized layout, runtime file location, command name, access level, or region policy changed.</t>
  </si>
  <si>
    <t>RB-01607</t>
  </si>
  <si>
    <t>P10-F01607</t>
  </si>
  <si>
    <t>PBL-1166</t>
  </si>
  <si>
    <t>CurrentFile=Data/System/Source/Item.cs; Line=2296; SourceLine=public virtual void Serialize(GenericWriter writer); PathResolution=OriginalPathCurrent; MatchQuality=CurrentSourceLine; FileExists=True; DisabledEvidence=False; RuntimeInventory=PrimaryRole=StartupWiring;SecondaryRoles=Persistence;WorldState;Commands=;Hooks=OnMovement;OnSpeech;Timer.DelayCall;WorldLoad;SerializedTypes=enum:Layer;enum:ItemDelta;enum:DeathMoveResult;enum:LightType;enum:LootType;class:BounceInfo;enum:TotalType;enum:ExpandFlag;class:Item;enum:ImplFlag;class:CompactInfo;class:EnchantInfo;class:EnchantGump;enum:SaveFlag;Gumps=; SerializationRegister=Class=Server.BounceInfo;Version=Unknown;Handling=NoVersionFound;Alignment=CountMismatch:Writes=0;Reads=5;MoveRisk=UnknownUntilBuildTruthRepaired | Class=Server.Item;Version=11;Handling=SwitchGotoCase;Alignment=CountMismatch:Writes=36;Reads=77;MoveRisk=UnknownUntilBuildTruthRepaired</t>
  </si>
  <si>
    <t>RB-01608</t>
  </si>
  <si>
    <t>P10-F01608</t>
  </si>
  <si>
    <t>Data/System/Source/Items/BaseMulti.cs</t>
  </si>
  <si>
    <t>PBL-1167</t>
  </si>
  <si>
    <t>CurrentFile=Data/System/Source/Items/BaseMulti.cs; Line=160; SourceLine=public override void Serialize(GenericWriter writer); PathResolution=OriginalPathCurrent; MatchQuality=CurrentSourceLine; FileExists=True; DisabledEvidence=False; RuntimeInventory=PrimaryRole=StartupWiring;SecondaryRoles=Persistence;WorldState;Commands=;Hooks=;SerializedTypes=class:BaseMulti;Gumps=; SerializationRegister=Class=Server.Items.BaseMulti;Version=1;Handling=IfVersionGates;Alignment=AlignedByCountAndKnownTypes;MoveRisk=UnknownUntilBuildTruthRepaired</t>
  </si>
  <si>
    <t>HistoricalFile=Data/System/Source/Items/BaseMulti.cs; Risk=Save; POST-BATCH-L is audit-only P2 residual triage. No source, project, XML/config, serialized layout, runtime file location, command name, access level, or region policy changed.</t>
  </si>
  <si>
    <t>RB-01610</t>
  </si>
  <si>
    <t>P10-F01610</t>
  </si>
  <si>
    <t>PBL-1168</t>
  </si>
  <si>
    <t>CurrentFile=Data/System/Source/Items/Container.cs; Line=1395; SourceLine=public override void Serialize(GenericWriter writer); PathResolution=OriginalPathCurrent; MatchQuality=CurrentSourceLine; FileExists=True; DisabledEvidence=False; RuntimeInventory=PrimaryRole=StartupWiring;SecondaryRoles=Persistence;WorldState;Commands=;Hooks=;SerializedTypes=class:Container;class:GroupComparer;enum:SaveFlag;class:ContainerData;Gumps=; SerializationRegister=Class=Server.Items.Container;Version=2;Handling=SwitchGotoCase;Alignment=CountMismatch:Writes=4;Reads=9;MoveRisk=UnknownUntilBuildTruthRepaired</t>
  </si>
  <si>
    <t>HistoricalFile=Data/System/Source/Items/Container.cs; Risk=Save; POST-BATCH-L is audit-only P2 residual triage. No source, project, XML/config, serialized layout, runtime file location, command name, access level, or region policy changed.</t>
  </si>
  <si>
    <t>RB-01611</t>
  </si>
  <si>
    <t>P10-F01611</t>
  </si>
  <si>
    <t>Data/System/Source/Items/Containers.cs</t>
  </si>
  <si>
    <t>PBL-1169</t>
  </si>
  <si>
    <t>CurrentFile=Data/System/Source/Items/Containers.cs; Line=76; SourceLine=public override void Serialize(GenericWriter writer); PathResolution=OriginalPathCurrent; MatchQuality=CurrentSourceLine; FileExists=True; DisabledEvidence=False; RuntimeInventory=PrimaryRole=StartupWiring;SecondaryRoles=Persistence;WorldState;Commands=;Hooks=;SerializedTypes=class:BankBox;Gumps=; SerializationRegister=Class=Server.Items.BankBox;Version=0;Handling=Switch;Alignment=AlignedByCountAndKnownTypes;MoveRisk=UnknownUntilBuildTruthRepaired</t>
  </si>
  <si>
    <t>HistoricalFile=Data/System/Source/Items/Containers.cs; Risk=Save; POST-BATCH-L is audit-only P2 residual triage. No source, project, XML/config, serialized layout, runtime file location, command name, access level, or region policy changed.</t>
  </si>
  <si>
    <t>RB-01612</t>
  </si>
  <si>
    <t>P10-F01612</t>
  </si>
  <si>
    <t>Data/System/Source/Items/SecureTradeContainer.cs</t>
  </si>
  <si>
    <t>PBL-1170</t>
  </si>
  <si>
    <t>CurrentFile=Data/System/Source/Items/SecureTradeContainer.cs; Line=109; SourceLine=public override void Serialize(GenericWriter writer); PathResolution=OriginalPathCurrent; MatchQuality=CurrentSourceLine; FileExists=True; DisabledEvidence=False; RuntimeInventory=PrimaryRole=StartupWiring;SecondaryRoles=Persistence;WorldState;Commands=;Hooks=;SerializedTypes=class:SecureTradeContainer;Gumps=; SerializationRegister=Class=Server.Items.SecureTradeContainer;Version=0;Handling=SingleVersionOnly;Alignment=AlignedByCountAndKnownTypes;MoveRisk=UnknownUntilBuildTruthRepaired</t>
  </si>
  <si>
    <t>HistoricalFile=Data/System/Source/Items/SecureTradeContainer.cs; Risk=Save; POST-BATCH-L is audit-only P2 residual triage. No source, project, XML/config, serialized layout, runtime file location, command name, access level, or region policy changed.</t>
  </si>
  <si>
    <t>RB-01618</t>
  </si>
  <si>
    <t>P10-F01618</t>
  </si>
  <si>
    <t>PBL-1171</t>
  </si>
  <si>
    <t>CurrentFile=Data/System/Source/Items/VirtualHair.cs; Line=70; SourceLine=public virtual void Serialize(GenericWriter writer); PathResolution=OriginalPathCurrent; MatchQuality=CurrentSourceLine; FileExists=True; DisabledEvidence=False; RuntimeInventory=PrimaryRole=StartupWiring;SecondaryRoles=Persistence;WorldState;Commands=;Hooks=;SerializedTypes=class:BaseHairInfo;class:HairInfo;class:FacialHairInfo;class:HairEquipUpdate;class:FacialHairEquipUpdate;class:RemoveHair;class:RemoveFacialHair;Gumps=; SerializationRegister=Class=Server.BaseHairInfo;Version=0;Handling=WriteVersionOnly;Alignment=CountMismatch:Writes=2;Reads=0;MoveRisk=UnknownUntilBuildTruthRepaired</t>
  </si>
  <si>
    <t>HistoricalFile=Data/System/Source/Items/VirtualHair.cs; Risk=Save; POST-BATCH-L is audit-only P2 residual triage. No source, project, XML/config, serialized layout, runtime file location, command name, access level, or region policy changed.</t>
  </si>
  <si>
    <t>RB-01622</t>
  </si>
  <si>
    <t>P10-F01622</t>
  </si>
  <si>
    <t>PBL-1172</t>
  </si>
  <si>
    <t>CurrentFile=Data/System/Source/Main.cs; Line=0; SourceLine=; PathResolution=OriginalPathCurrent; MatchQuality=CurrentFileOnly; FileExists=True; DisabledEvidence=False; RuntimeInventory=PrimaryRole=StartupWiring;SecondaryRoles=Persistence;WorldState;Commands=;Hooks=EventSink;WorldLoad;SerializedTypes=class:Core;enum:ConsoleEventType;class:FileLogger;class:MultiTextWriter;Gumps=; SerializationRegister=Class=Unknown;Version=Unknown;Handling=NoVersionFound;Alignment=AlignedByCountAndKnownTypes;MoveRisk=UnknownUntilBuildTruthRepaired</t>
  </si>
  <si>
    <t>HistoricalFile=Data/System/Source/Main.cs; Risk=Save; POST-BATCH-L is audit-only P2 residual triage. No source, project, XML/config, serialized layout, runtime file location, command name, access level, or region policy changed.</t>
  </si>
  <si>
    <t>RB-01625</t>
  </si>
  <si>
    <t>P10-F01625</t>
  </si>
  <si>
    <t>PBL-1173</t>
  </si>
  <si>
    <t>CurrentFile=Data/System/Source/Mobile.cs; Line=6183; SourceLine=public virtual void Serialize(GenericWriter writer); PathResolution=OriginalPathCurrent; MatchQuality=CurrentSourceLine; FileExists=True; DisabledEvidence=False; RuntimeInventory=PrimaryRole=StartupWiring;SecondaryRoles=GumpUI;Persistence;WorldState;Commands=;Hooks=CustomTimerSubclass;EventSink;OnMovement;OnSpeech;Timer.DelayCall;WorldLoad;SerializedTypes=class:TimedSkillMod;class:EquipedSkillMod;class:DefaultSkillMod;class:SkillMod;class:ResistanceMod;class:StatMod;class:DamageEntry;enum:StatType;enum:StatLockType;enum:Direction;enum:MobileDelta;enum:AccessLevel;enum:VisibleDamageType;enum:ResistanceType;enum:ApplyPoisonResult;class:MobileNotConnectedException;class:Mobile;class:MovementRecord;class:WarmodeTimer;class:ManaTimer;class:HitsTimer;class:StamTimer;class:LogoutTimer;class:ParalyzedTimer;class:FrozenTimer;class:CombatTimer;class:ExpireCombatantTimer;class:ExpireCriminalTimer;class:ExpireAggressorsTimer;class:SimpleTarget;class:SimpleStateTarget;class:SimpleStateTarget;class:SimplePrompt;class:SimpleStatePrompt;class:SimpleStatePrompt;class:AutoManifestTimer;class:LocationComparer;Gumps=OnResponse; SerializationRegister=Class=Server.Mobile;Version=35;Handling=SwitchGotoCase;Alignment=CountMismatch:Writes=98;Reads=104;MoveRisk=UnknownUntilBuildTruthRepaired</t>
  </si>
  <si>
    <t>HistoricalFile=Data/System/Source/Mobile.cs; Risk=Save; POST-BATCH-L is audit-only P2 residual triage. No source, project, XML/config, serialized layout, runtime file location, command name, access level, or region policy changed.</t>
  </si>
  <si>
    <t>RB-01631</t>
  </si>
  <si>
    <t>P10-F01631</t>
  </si>
  <si>
    <t>PBL-1174</t>
  </si>
  <si>
    <t>CurrentFile=Data/System/Source/MultiData.cs; Line=507; SourceLine=public void Serialize(GenericWriter writer); PathResolution=OriginalPathCurrent; MatchQuality=CurrentSourceLine; FileExists=True; DisabledEvidence=False; RuntimeInventory=PrimaryRole=StartupWiring;SecondaryRoles=Persistence;WorldState;Commands=;Hooks=;SerializedTypes=class:MultiData;struct:MultiTileEntry;class:MultiComponentList;Gumps=; SerializationRegister=Class=Server.MultiComponentList;Version=1;Handling=WriteVersionOnly;Alignment=CountMismatch:Writes=11;Reads=0;MoveRisk=UnknownUntilBuildTruthRepaired</t>
  </si>
  <si>
    <t>HistoricalFile=Data/System/Source/MultiData.cs; Risk=Save; POST-BATCH-L is audit-only P2 residual triage. No source, project, XML/config, serialized layout, runtime file location, command name, access level, or region policy changed.</t>
  </si>
  <si>
    <t>RB-01635</t>
  </si>
  <si>
    <t>P10-F01635</t>
  </si>
  <si>
    <t>PBL-1175</t>
  </si>
  <si>
    <t>CurrentFile=Data/System/Source/NativeReader.cs; Line=0; SourceLine=; PathResolution=OriginalPathCurrent; MatchQuality=CurrentFileOnly; FileExists=True; DisabledEvidence=False; RuntimeInventory=PrimaryRole=StartupWiring;SecondaryRoles=Persistence;WorldState;Commands=;Hooks=;SerializedTypes=class:NativeReader;interface:INativeReader;class:NativeReaderWin32;class:NativeReaderUnix;Gumps=; SerializationRegister=Class=Unknown;Version=Unknown;Handling=NoVersionFound;Alignment=AlignedByCountAndKnownTypes;MoveRisk=UnknownUntilBuildTruthRepaired</t>
  </si>
  <si>
    <t>HistoricalFile=Data/System/Source/NativeReader.cs; Risk=Save; POST-BATCH-L is audit-only P2 residual triage. No source, project, XML/config, serialized layout, runtime file location, command name, access level, or region policy changed.</t>
  </si>
  <si>
    <t>RB-01639</t>
  </si>
  <si>
    <t>P10-F01639</t>
  </si>
  <si>
    <t>PBL-1176</t>
  </si>
  <si>
    <t>CurrentFile=Data/System/Source/Network/EncodedReader.cs; Line=0; SourceLine=; PathResolution=OriginalPathCurrent; MatchQuality=CurrentFileOnly; FileExists=True; DisabledEvidence=False; RuntimeInventory=PrimaryRole=StartupWiring;SecondaryRoles=Persistence;WorldState;Commands=;Hooks=;SerializedTypes=class:EncodedReader;Gumps=; SerializationRegister=Class=Unknown;Version=Unknown;Handling=NoVersionFound;Alignment=AlignedByCountAndKnownTypes;MoveRisk=UnknownUntilBuildTruthRepaired</t>
  </si>
  <si>
    <t>HistoricalFile=Data/System/Source/Network/EncodedReader.cs; Risk=Save; POST-BATCH-L is audit-only P2 residual triage. No source, project, XML/config, serialized layout, runtime file location, command name, access level, or region policy changed.</t>
  </si>
  <si>
    <t>RB-01643</t>
  </si>
  <si>
    <t>P10-F01643</t>
  </si>
  <si>
    <t>PBL-1177</t>
  </si>
  <si>
    <t>CurrentFile=Data/System/Source/Network/PacketHandlers.cs; Line=0; SourceLine=; PathResolution=OriginalPathCurrent; MatchQuality=CurrentFileOnly; FileExists=True; DisabledEvidence=False; RuntimeInventory=PrimaryRole=StartupWiring;SecondaryRoles=GumpUI;Persistence;WorldState;Commands=;Hooks=CustomTimerSubclass;EventSink;SerializedTypes=enum:MessageType;class:PacketHandlers;class:LoginTimer;struct:AuthIDPersistence;Gumps=OnResponse; SerializationRegister=Class=Unknown;Version=Unknown;Handling=NoVersionFound;Alignment=AlignedByCountAndKnownTypes;MoveRisk=UnknownUntilBuildTruthRepaired</t>
  </si>
  <si>
    <t>HistoricalFile=Data/System/Source/Network/PacketHandlers.cs; Risk=Save; POST-BATCH-L is audit-only P2 residual triage. No source, project, XML/config, serialized layout, runtime file location, command name, access level, or region policy changed.</t>
  </si>
  <si>
    <t>RB-01647</t>
  </si>
  <si>
    <t>P10-F01647</t>
  </si>
  <si>
    <t>PBL-1178</t>
  </si>
  <si>
    <t>CurrentFile=Data/System/Source/Persistence/DynamicSaveStrategy.cs; Line=0; SourceLine=; PathResolution=OriginalPathCurrent; MatchQuality=CurrentFileOnly; FileExists=True; DisabledEvidence=False; RuntimeInventory=PrimaryRole=StartupWiring;SecondaryRoles=Persistence;WorldState;Commands=;Hooks=;SerializedTypes=class:DynamicSaveStrategy;Gumps=; SerializationRegister=Class=Unknown;Version=Unknown;Handling=NoVersionFound;Alignment=AlignedByCountAndKnownTypes;MoveRisk=UnknownUntilBuildTruthRepaired</t>
  </si>
  <si>
    <t>HistoricalFile=Data/System/Source/Persistence/DynamicSaveStrategy.cs; Risk=Save; POST-BATCH-L is audit-only P2 residual triage. No source, project, XML/config, serialized layout, runtime file location, command name, access level, or region policy changed.</t>
  </si>
  <si>
    <t>RB-01653</t>
  </si>
  <si>
    <t>P10-F01653</t>
  </si>
  <si>
    <t>PBL-1179</t>
  </si>
  <si>
    <t>CurrentFile=Data/System/Source/Poison.cs; Line=140; SourceLine=public static Poison Deserialize(GenericReader reader); PathResolution=OriginalPathCurrent; MatchQuality=CurrentSourceLine; FileExists=True; DisabledEvidence=False; RuntimeInventory=PrimaryRole=StartupWiring;SecondaryRoles=Persistence;WorldState;Commands=;Hooks=;SerializedTypes=class:Poison;Gumps=; SerializationRegister=Class=Server.Poison;Version=Unknown;Handling=NoVersionFound;Alignment=CountMismatch:Writes=0;Reads=6;MoveRisk=UnknownUntilBuildTruthRepaired</t>
  </si>
  <si>
    <t>HistoricalFile=Data/System/Source/Poison.cs; Risk=Save; POST-BATCH-L is audit-only P2 residual triage. No source, project, XML/config, serialized layout, runtime file location, command name, access level, or region policy changed.</t>
  </si>
  <si>
    <t>RB-01658</t>
  </si>
  <si>
    <t>P10-F01658</t>
  </si>
  <si>
    <t>PBL-1180</t>
  </si>
  <si>
    <t>CurrentFile=Data/System/Source/Serialization.cs; Line=1789; SourceLine=void Serialize(GenericWriter writer);; PathResolution=OriginalPathCurrent; MatchQuality=CurrentSourceLine; FileExists=True; DisabledEvidence=False; RuntimeInventory=PrimaryRole=StartupWiring;SecondaryRoles=Persistence;WorldState;Commands=;Hooks=;SerializedTypes=class:GenericReader;class:GenericWriter;class:BinaryFileWriter;class:BinaryFileReader;class:AsyncWriter;class:WorkerThread;interface:ISerializable;Gumps=; SerializationRegister=Class=Unknown;Version=Unknown;Handling=NoVersionFound;Alignment=AlignedByCountAndKnownTypes;MoveRisk=UnknownUntilBuildTruthRepaired</t>
  </si>
  <si>
    <t>HistoricalFile=Data/System/Source/Serialization.cs; Risk=Save; POST-BATCH-L is audit-only P2 residual triage. No source, project, XML/config, serialized layout, runtime file location, command name, access level, or region policy changed.</t>
  </si>
  <si>
    <t>RB-01664</t>
  </si>
  <si>
    <t>P10-F01664</t>
  </si>
  <si>
    <t>PBL-1181</t>
  </si>
  <si>
    <t>CurrentFile=Data/System/Source/Skills.cs; Line=492; SourceLine=public void Serialize(GenericWriter writer); PathResolution=OriginalPathCurrent; MatchQuality=CurrentSourceLine; FileExists=True; DisabledEvidence=False; RuntimeInventory=PrimaryRole=StartupWiring;SecondaryRoles=Persistence;WorldState;Commands=;Hooks=;SerializedTypes=enum:SkillLock;enum:SkillName;class:Skill;class:SkillInfo;class:Skills;Gumps=; SerializationRegister=Class=Server.Skill;Version=Unknown;Handling=NoVersionFound;Alignment=CountMismatch:Writes=5;Reads=0;MoveRisk=UnknownUntilBuildTruthRepaired | Class=Server.Skills;Version=3;Handling=WriteVersionOnly;Alignment=CountMismatch:Writes=3;Reads=0;MoveRisk=UnknownUntilBuildTruthRepaired</t>
  </si>
  <si>
    <t>HistoricalFile=Data/System/Source/Skills.cs; Risk=Save; POST-BATCH-L is audit-only P2 residual triage. No source, project, XML/config, serialized layout, runtime file location, command name, access level, or region policy changed.</t>
  </si>
  <si>
    <t>RB-01670</t>
  </si>
  <si>
    <t>P10-F01670</t>
  </si>
  <si>
    <t>PBL-1182</t>
  </si>
  <si>
    <t>CurrentFile=Data/System/Source/Skills.cs; Line=1573; SourceLine=public void Serialize(GenericWriter writer); PathResolution=OriginalPathCurrent; MatchQuality=CurrentSourceLine; FileExists=True; DisabledEvidence=False; RuntimeInventory=PrimaryRole=StartupWiring;SecondaryRoles=Persistence;WorldState;Commands=;Hooks=;SerializedTypes=enum:SkillLock;enum:SkillName;class:Skill;class:SkillInfo;class:Skills;Gumps=; SerializationRegister=Class=Server.Skill;Version=Unknown;Handling=NoVersionFound;Alignment=CountMismatch:Writes=5;Reads=0;MoveRisk=UnknownUntilBuildTruthRepaired | Class=Server.Skills;Version=3;Handling=WriteVersionOnly;Alignment=CountMismatch:Writes=3;Reads=0;MoveRisk=UnknownUntilBuildTruthRepaired</t>
  </si>
  <si>
    <t>RB-01674</t>
  </si>
  <si>
    <t>P10-F01674</t>
  </si>
  <si>
    <t>PBL-1183</t>
  </si>
  <si>
    <t>CurrentFile=Data/System/Source/TileMatrix.cs; Line=0; SourceLine=; PathResolution=OriginalPathCurrent; MatchQuality=CurrentFileOnly; FileExists=True; DisabledEvidence=False; RuntimeInventory=PrimaryRole=StartupWiring;SecondaryRoles=Persistence;WorldState;Commands=;Hooks=;SerializedTypes=class:TileMatrix;struct:LandTile;struct:StaticTile;Gumps=; SerializationRegister=Class=Unknown;Version=Unknown;Handling=NoVersionFound;Alignment=AlignedByCountAndKnownTypes;MoveRisk=UnknownUntilBuildTruthRepaired</t>
  </si>
  <si>
    <t>HistoricalFile=Data/System/Source/TileMatrix.cs; Risk=Save; POST-BATCH-L is audit-only P2 residual triage. No source, project, XML/config, serialized layout, runtime file location, command name, access level, or region policy changed.</t>
  </si>
  <si>
    <t>RB-01678</t>
  </si>
  <si>
    <t>P10-F01678</t>
  </si>
  <si>
    <t>PBL-1184</t>
  </si>
  <si>
    <t>CurrentFile=Data/System/Source/TileMatrixPatch.cs; Line=0; SourceLine=; PathResolution=OriginalPathCurrent; MatchQuality=CurrentFileOnly; FileExists=True; DisabledEvidence=False; RuntimeInventory=PrimaryRole=StartupWiring;SecondaryRoles=Persistence;WorldState;Commands=;Hooks=;SerializedTypes=class:TileMatrixPatch;Gumps=; SerializationRegister=Class=Unknown;Version=Unknown;Handling=NoVersionFound;Alignment=AlignedByCountAndKnownTypes;MoveRisk=UnknownUntilBuildTruthRepaired</t>
  </si>
  <si>
    <t>HistoricalFile=Data/System/Source/TileMatrixPatch.cs; Risk=Save; POST-BATCH-L is audit-only P2 residual triage. No source, project, XML/config, serialized layout, runtime file location, command name, access level, or region policy changed.</t>
  </si>
  <si>
    <t>RB-01682</t>
  </si>
  <si>
    <t>P10-F01682</t>
  </si>
  <si>
    <t>PBL-1185</t>
  </si>
  <si>
    <t>CurrentFile=Data/System/Source/VirtueInfo.cs; Line=0; SourceLine=; PathResolution=OriginalPathCurrent; MatchQuality=CurrentFileOnly; FileExists=True; DisabledEvidence=False; RuntimeInventory=PrimaryRole=StartupWiring;SecondaryRoles=Persistence;WorldState;Commands=;Hooks=;SerializedTypes=class:VirtueInfo;Gumps=; SerializationRegister=Class=Unknown;Version=Unknown;Handling=NoVersionFound;Alignment=AlignedByCountAndKnownTypes;MoveRisk=UnknownUntilBuildTruthRepaired</t>
  </si>
  <si>
    <t>HistoricalFile=Data/System/Source/VirtueInfo.cs; Risk=Save; POST-BATCH-L is audit-only P2 residual triage. No source, project, XML/config, serialized layout, runtime file location, command name, access level, or region policy changed.</t>
  </si>
  <si>
    <t>RB-01686</t>
  </si>
  <si>
    <t>P10-F01686</t>
  </si>
  <si>
    <t>PBL-1186</t>
  </si>
  <si>
    <t>CurrentFile=Data/System/Source/World.cs; Line=0; SourceLine=; PathResolution=OriginalPathCurrent; MatchQuality=CurrentFileOnly; FileExists=True; DisabledEvidence=False; RuntimeInventory=PrimaryRole=StartupWiring;SecondaryRoles=Persistence;WorldState;Commands=;Hooks=EventSink;WorldSave;SerializedTypes=class:World;enum:SaveOption;interface:IEntityEntry;class:GuildEntry;class:ItemEntry;class:MobileEntry;Gumps=; SerializationRegister=Class=Unknown;Version=Unknown;Handling=NoVersionFound;Alignment=AlignedByCountAndKnownTypes;MoveRisk=UnknownUntilBuildTruthRepaired</t>
  </si>
  <si>
    <t>HistoricalFile=Data/System/Source/World.cs; Risk=Save; POST-BATCH-L is audit-only P2 residual triage. No source, project, XML/config, serialized layout, runtime file location, command name, access level, or region policy changed.</t>
  </si>
  <si>
    <t>RB-04209</t>
  </si>
  <si>
    <t>P10-F04209</t>
  </si>
  <si>
    <t>POST-BATCH-M</t>
  </si>
  <si>
    <t>PBM-0001</t>
  </si>
  <si>
    <t>No source change. Current command access was resolved against source and no unsafe exposure was confirmed.</t>
  </si>
  <si>
    <t>docs/codebase-audit/outputs/post-batch-m-command-access-source-review.csv</t>
  </si>
  <si>
    <t>SourceReviewClass=AccessVariableResolved; CurrentFile=Data/Scripts/Custom/NPC Control/CloneCommands.cs; QueuedLine=21; QueuedSourceLine=CommandSystem.Register("Clone", accessLevel, new CommandEventHandler(Clone_OnCommand));; NearestRegistrationLine=21; NearestRegistration=CommandSystem.Register("Clone", accessLevel, new CommandEventHandler(Clone_OnCommand));; ResolvedCommand=Clone; ResolvedAccess=Counselor via static accessLevel default; ResolvedHandler=Clone_OnCommand</t>
  </si>
  <si>
    <t>Pending current POST-BATCH-M commit</t>
  </si>
  <si>
    <t>2026-06-14T13:15:22.7769319-05:00</t>
  </si>
  <si>
    <t>POST-BATCH-M source review resolved the POST-BATCH-L command-access follow-up without changing runtime behavior.</t>
  </si>
  <si>
    <t>RB-04210</t>
  </si>
  <si>
    <t>P10-F04210</t>
  </si>
  <si>
    <t>PBM-0002</t>
  </si>
  <si>
    <t>SourceReviewClass=AccessVariableResolved; CurrentFile=Data/Scripts/Custom/NPC Control/CloneCommands.cs; QueuedLine=22; QueuedSourceLine=CommandSystem.Register(; NearestRegistrationLine=21; NearestRegistration=CommandSystem.Register("Clone", accessLevel, new CommandEventHandler(Clone_OnCommand));; ResolvedCommand=Control; ResolvedAccess=Counselor via static accessLevel default; ResolvedHandler=Control_OnCommand</t>
  </si>
  <si>
    <t>RB-04211</t>
  </si>
  <si>
    <t>P10-F04211</t>
  </si>
  <si>
    <t>Data/Scripts/Custom/NPC Control/StaffCommands/CloneMe.cs</t>
  </si>
  <si>
    <t>PBM-0003</t>
  </si>
  <si>
    <t>SourceReviewClass=AccessVariableResolved; CurrentFile=Data/Scripts/Custom/NPC Control/StaffCommands/CloneMe.cs; QueuedLine=17; QueuedSourceLine=CommandSystem.Register(; NearestRegistrationLine=17; NearestRegistration=CommandSystem.Register( "CloneMe", accessLevel, new CommandEventHandler(CloneMe_OnCommand) );; ResolvedCommand=CloneMe; ResolvedAccess=Counselor via static accessLevel default; ResolvedHandler=CloneMe_OnCommand</t>
  </si>
  <si>
    <t>RB-04212</t>
  </si>
  <si>
    <t>P10-F04212</t>
  </si>
  <si>
    <t>Data/Scripts/Custom/NPC Control/StaffCommands/GmMe.cs</t>
  </si>
  <si>
    <t>PBM-0004</t>
  </si>
  <si>
    <t>SourceReviewClass=AccessVariableResolved; CurrentFile=Data/Scripts/Custom/NPC Control/StaffCommands/GmMe.cs; QueuedLine=14; QueuedSourceLine=CommandSystem.Register("GmMe", accessLevel, new CommandEventHandler(GmMe_OnCommand));; NearestRegistrationLine=14; NearestRegistration=CommandSystem.Register("GmMe", accessLevel, new CommandEventHandler(GmMe_OnCommand));; ResolvedCommand=GmMe; ResolvedAccess=Counselor via static accessLevel default; ResolvedHandler=GmMe_OnCommand</t>
  </si>
  <si>
    <t>RB-04213</t>
  </si>
  <si>
    <t>P10-F04213</t>
  </si>
  <si>
    <t>PBM-0005</t>
  </si>
  <si>
    <t>SourceReviewClass=AccessVariableResolved; CurrentFile=Data/Scripts/Custom/NPC Control/StaffCommands/HearAll.cs; QueuedLine=15; QueuedSourceLine=CommandSystem.Register(; NearestRegistrationLine=15; NearestRegistration=CommandSystem.Register( "HearAll", accessLevel, new CommandEventHandler(HearAll_OnCommand) );; ResolvedCommand=HearAll; ResolvedAccess=Counselor via static accessLevel default; ResolvedHandler=HearAll_OnCommand</t>
  </si>
  <si>
    <t>RB-04214</t>
  </si>
  <si>
    <t>P10-F04214</t>
  </si>
  <si>
    <t>Data/Scripts/Custom/NPC Control/StaffCommands/Refresh.cs</t>
  </si>
  <si>
    <t>PBM-0006</t>
  </si>
  <si>
    <t>SourceReviewClass=AccessVariableResolved; CurrentFile=Data/Scripts/Custom/NPC Control/StaffCommands/Refresh.cs; QueuedLine=14; QueuedSourceLine=CommandSystem.Register(; NearestRegistrationLine=14; NearestRegistration=CommandSystem.Register( "Refresh", accessLevel, new CommandEventHandler(Refresh_OnCommand) );; ResolvedCommand=Refresh; ResolvedAccess=Counselor via static accessLevel default; ResolvedHandler=Refresh_OnCommand</t>
  </si>
  <si>
    <t>RB-04215</t>
  </si>
  <si>
    <t>P10-F04215</t>
  </si>
  <si>
    <t>Data/Scripts/Custom/NPC Control/StaffCommands/SayThis.cs</t>
  </si>
  <si>
    <t>PBM-0007</t>
  </si>
  <si>
    <t>SourceReviewClass=AccessVariableResolved; CurrentFile=Data/Scripts/Custom/NPC Control/StaffCommands/SayThis.cs; QueuedLine=16; QueuedSourceLine=CommandSystem.Register(; NearestRegistrationLine=16; NearestRegistration=CommandSystem.Register( "SayThis", accessLevel, new CommandEventHandler(SayThis_OnCommand) );; ResolvedCommand=SayThis; ResolvedAccess=Counselor via static accessLevel default; ResolvedHandler=SayThis_OnCommand</t>
  </si>
  <si>
    <t>RB-04340</t>
  </si>
  <si>
    <t>P10-F04340</t>
  </si>
  <si>
    <t>PBM-0008</t>
  </si>
  <si>
    <t>SourceReviewClass=CompatibilityWrapperResolved; CurrentFile=Data/Scripts/Items/Houses/Monopoly/RUOVersion.cs; QueuedLine=29; QueuedSourceLine=Server.Commands.CommandSystem.Register(com, acc, new CommandEventHandler(OnCommand));; NearestRegistrationLine=29; NearestRegistration=Server.Commands.CommandSystem.Register(com, acc, new CommandEventHandler(OnCommand));; ResolvedCommand=com; ResolvedAccess=Caller supplied; reviewed townhouse callsites pass Counselor; ResolvedHandler=OnCommand</t>
  </si>
  <si>
    <t>RB-04334</t>
  </si>
  <si>
    <t>P10-F04334</t>
  </si>
  <si>
    <t>PBM-0009</t>
  </si>
  <si>
    <t>No source change. POST-BATCH-L line evidence pointed into the door offset array, not a command registration; the actual nearby commands are GameMaster-only.</t>
  </si>
  <si>
    <t>SourceReviewClass=ParserLineOffsetFalsePositive; CurrentFile=Data/Scripts/Items/Doors/BaseDoor.cs; QueuedLine=110; QueuedSourceLine=new Point3D(-1, 0, 0),; NearestRegistrationLine=128; NearestRegistration=CommandSystem.Register( "Link", AccessLevel.GameMaster, new CommandEventHandler(Link_OnCommand) );; ResolvedCommand=Link; ChainLink; ResolvedAccess=GameMaster; ResolvedHandler=Link_OnCommand; ChainLink_OnCommand; FalsePositiveEvidence=queued lines 110/115 are Point3D offset data; actual commands at lines 128-136 are GameMaster-only.</t>
  </si>
  <si>
    <t>Parser line offset only. BaseDoor.Initialize registers Link and ChainLink at AccessLevel.GameMaster.</t>
  </si>
  <si>
    <t>RB-04335</t>
  </si>
  <si>
    <t>P10-F04335</t>
  </si>
  <si>
    <t>PBM-0010</t>
  </si>
  <si>
    <t>SourceReviewClass=ParserLineOffsetFalsePositive; CurrentFile=Data/Scripts/Items/Doors/BaseDoor.cs; QueuedLine=115; QueuedSourceLine=new Point3D(0, -1, 0),; NearestRegistrationLine=128; NearestRegistration=CommandSystem.Register( "Link", AccessLevel.GameMaster, new CommandEventHandler(Link_OnCommand) );; ResolvedCommand=Link; ChainLink; ResolvedAccess=GameMaster; ResolvedHandler=Link_OnCommand; ChainLink_OnCommand; FalsePositiveEvidence=queued lines 110/115 are Point3D offset data; actual commands at lines 128-136 are GameMaster-only.</t>
  </si>
  <si>
    <t>RB-04639</t>
  </si>
  <si>
    <t>P10-F04639</t>
  </si>
  <si>
    <t>PBM-0011</t>
  </si>
  <si>
    <t>SourceReviewClass=DirectCommandAccessResolved; CurrentFile=Data/Scripts/System/Misc/Spawning.cs; QueuedLine=5245; QueuedSourceLine="pscount",; NearestRegistrationLine=5253; NearestRegistration=CommandSystem.Register(command, access, handler);; ResolvedCommand=command; ResolvedAccess=Administrator; ResolvedHandler=Clearall_OnCommand</t>
  </si>
  <si>
    <t>RB-04645</t>
  </si>
  <si>
    <t>P10-F04645</t>
  </si>
  <si>
    <t>PBM-0012</t>
  </si>
  <si>
    <t>SourceReviewClass=DirectCommandAccessResolved; CurrentFile=Data/Scripts/System/Misc/Spawning.cs; QueuedLine=7522; QueuedSourceLine="Editor",; NearestRegistrationLine=7516; NearestRegistration=CommandSystem.Register( "SpawnEditor", AccessLevel.GameMaster, new CommandEventHandler(SpawnEditor_OnCommand) );; ResolvedCommand=SpawnEditor; ResolvedAccess=GameMaster; ResolvedHandler=SpawnEditor_OnCommand</t>
  </si>
  <si>
    <t>RB-04652</t>
  </si>
  <si>
    <t>P10-F04652</t>
  </si>
  <si>
    <t>PBM-0013</t>
  </si>
  <si>
    <t>No source change. This is a live legacy/obsolete compatibility command surface with explicit current access, retained until a separate legacy removal policy exists.</t>
  </si>
  <si>
    <t>SourceReviewClass=IntentionalLegacyCommandSurface; CurrentFile=Data/Scripts/System/Obsolete/Obsolete.cs; QueuedLine=10788; QueuedSourceLine=; NearestRegistrationLine=10823; NearestRegistration=CommandSystem.Register( "FactionElection", AccessLevel.GameMaster, new CommandEventHandler(FactionElection_OnCommand) );; ResolvedCommand=FactionElection; ResolvedAccess=GameMaster; ResolvedHandler=FactionElection_OnCommand</t>
  </si>
  <si>
    <t>Legacy Obsolete.cs command registration reviewed at lines 10823-10827.</t>
  </si>
  <si>
    <t>RB-04653</t>
  </si>
  <si>
    <t>P10-F04653</t>
  </si>
  <si>
    <t>PBM-0014</t>
  </si>
  <si>
    <t>SourceReviewClass=IntentionalLegacyCommandSurface; CurrentFile=Data/Scripts/System/Obsolete/Obsolete.cs; QueuedLine=10793; QueuedSourceLine=if (pl == null || !pl.IsLeaving); NearestRegistrationLine=10823; NearestRegistration=CommandSystem.Register( "FactionElection", AccessLevel.GameMaster, new CommandEventHandler(FactionElection_OnCommand) );; ResolvedCommand=FactionCommander; ResolvedAccess=Administrator; ResolvedHandler=FactionCommander_OnCommand</t>
  </si>
  <si>
    <t>Legacy Obsolete.cs command registration reviewed at lines 10828-10832.</t>
  </si>
  <si>
    <t>RB-04654</t>
  </si>
  <si>
    <t>P10-F04654</t>
  </si>
  <si>
    <t>PBM-0015</t>
  </si>
  <si>
    <t>SourceReviewClass=IntentionalLegacyCommandSurface; CurrentFile=Data/Scripts/System/Obsolete/Obsolete.cs; QueuedLine=10798; QueuedSourceLine=; NearestRegistrationLine=10823; NearestRegistration=CommandSystem.Register( "FactionElection", AccessLevel.GameMaster, new CommandEventHandler(FactionElection_OnCommand) );; ResolvedCommand=FactionItemReset; ResolvedAccess=Administrator; ResolvedHandler=FactionItemReset_OnCommand</t>
  </si>
  <si>
    <t>Legacy Obsolete.cs command registration reviewed at lines 10833-10837.</t>
  </si>
  <si>
    <t>RB-04655</t>
  </si>
  <si>
    <t>P10-F04655</t>
  </si>
  <si>
    <t>PBM-0016</t>
  </si>
  <si>
    <t>SourceReviewClass=IntentionalLegacyCommandSurface; CurrentFile=Data/Scripts/System/Obsolete/Obsolete.cs; QueuedLine=10803; QueuedSourceLine=return true;; NearestRegistrationLine=10823; NearestRegistration=CommandSystem.Register( "FactionElection", AccessLevel.GameMaster, new CommandEventHandler(FactionElection_OnCommand) );; ResolvedCommand=FactionReset; ResolvedAccess=Administrator; ResolvedHandler=FactionReset_OnCommand</t>
  </si>
  <si>
    <t>Legacy Obsolete.cs command registration reviewed at lines 10838-10842.</t>
  </si>
  <si>
    <t>RB-04656</t>
  </si>
  <si>
    <t>P10-F04656</t>
  </si>
  <si>
    <t>PBM-0017</t>
  </si>
  <si>
    <t>SourceReviewClass=IntentionalLegacyCommandSurface; CurrentFile=Data/Scripts/System/Obsolete/Obsolete.cs; QueuedLine=10808; QueuedSourceLine=EventSink.Login += new LoginEventHandler(EventSink_Login);; NearestRegistrationLine=10823; NearestRegistration=CommandSystem.Register( "FactionElection", AccessLevel.GameMaster, new CommandEventHandler(FactionElection_OnCommand) );; ResolvedCommand=FactionTownReset; ResolvedAccess=Administrator; ResolvedHandler=FactionTownReset_OnCommand</t>
  </si>
  <si>
    <t>Legacy Obsolete.cs command registration reviewed at lines 10843-10847.</t>
  </si>
  <si>
    <t>RB-04657</t>
  </si>
  <si>
    <t>P10-F04657</t>
  </si>
  <si>
    <t>PBM-0018</t>
  </si>
  <si>
    <t>SourceReviewClass=IntentionalLegacyCommandSurface; CurrentFile=Data/Scripts/System/Obsolete/Obsolete.cs; QueuedLine=15391; QueuedSourceLine=}; NearestRegistrationLine=0; NearestRegistration=No nearby CommandSystem.Register block at queued line; resolved through file-specific source review.; ResolvedCommand=GenerateFactions; ResolvedAccess=Administrator; ResolvedHandler=GenerateFactions_OnCommand</t>
  </si>
  <si>
    <t>Legacy Obsolete.cs command registration reviewed at lines 15432-15436.</t>
  </si>
  <si>
    <t>RB-04658</t>
  </si>
  <si>
    <t>P10-F04658</t>
  </si>
  <si>
    <t>PBM-0019</t>
  </si>
  <si>
    <t>SourceReviewClass=IntentionalLegacyCommandSurface; CurrentFile=Data/Scripts/System/Obsolete/Obsolete.cs; QueuedLine=22791; QueuedSourceLine=; NearestRegistrationLine=0; NearestRegistration=No nearby CommandSystem.Register block at queued line; resolved through file-specific source review.; ResolvedCommand=UpdateMyRunUO; ResolvedAccess=Administrator; ResolvedHandler=UpdateMyRunUO_OnCommand</t>
  </si>
  <si>
    <t>Legacy Obsolete.cs command registration reviewed at lines 22867-22871.</t>
  </si>
  <si>
    <t>RB-04659</t>
  </si>
  <si>
    <t>P10-F04659</t>
  </si>
  <si>
    <t>PBM-0020</t>
  </si>
  <si>
    <t>SourceReviewClass=IntentionalLegacyCommandSurface; CurrentFile=Data/Scripts/System/Obsolete/Obsolete.cs; QueuedLine=22797; QueuedSourceLine={; NearestRegistrationLine=0; NearestRegistration=No nearby CommandSystem.Register block at queued line; resolved through file-specific source review.; ResolvedCommand=PublicChar; ResolvedAccess=Player; ResolvedHandler=PublicChar_OnCommand</t>
  </si>
  <si>
    <t>Legacy Obsolete.cs command registration reviewed at lines 22873-22877.</t>
  </si>
  <si>
    <t>RB-04660</t>
  </si>
  <si>
    <t>P10-F04660</t>
  </si>
  <si>
    <t>PBM-0021</t>
  </si>
  <si>
    <t>SourceReviewClass=IntentionalLegacyCommandSurface; CurrentFile=Data/Scripts/System/Obsolete/Obsolete.cs; QueuedLine=22802; QueuedSourceLine=get { return 19; }; NearestRegistrationLine=0; NearestRegistration=No nearby CommandSystem.Register block at queued line; resolved through file-specific source review.; ResolvedCommand=PrivateChar; ResolvedAccess=Player; ResolvedHandler=PrivateChar_OnCommand</t>
  </si>
  <si>
    <t>Legacy Obsolete.cs command registration reviewed at lines 22878-22882.</t>
  </si>
  <si>
    <t>RB-04661</t>
  </si>
  <si>
    <t>P10-F04661</t>
  </si>
  <si>
    <t>PBM-0022</t>
  </si>
  <si>
    <t>SourceReviewClass=IntentionalLegacyCommandSurface; CurrentFile=Data/Scripts/System/Obsolete/Obsolete.cs; QueuedLine=23536; QueuedSourceLine=guild.Leader.Serial.Value.ToString(); NearestRegistrationLine=0; NearestRegistration=No nearby CommandSystem.Register block at queued line; resolved through file-specific source review.; ResolvedCommand=UpdateWebStatus; ResolvedAccess=Administrator; ResolvedHandler=UpdateWebStatus_OnCommand</t>
  </si>
  <si>
    <t>Legacy Obsolete.cs command registration reviewed at lines 23612-23616.</t>
  </si>
  <si>
    <t>RB-04662</t>
  </si>
  <si>
    <t>P10-F04662</t>
  </si>
  <si>
    <t>PBM-0023</t>
  </si>
  <si>
    <t>SourceReviewClass=IntentionalLegacyCommandSurface; CurrentFile=Data/Scripts/System/Obsolete/Obsolete.cs; QueuedLine=32173; QueuedSourceLine=if (vendorList.Definition.Type == type); NearestRegistrationLine=0; NearestRegistration=No nearby CommandSystem.Register block at queued line; resolved through file-specific source review.; ResolvedCommand=GrantTownSilver; ResolvedAccess=Administrator; ResolvedHandler=GrantTownSilver_OnCommand</t>
  </si>
  <si>
    <t>Legacy Obsolete.cs command registration reviewed at lines 32252-32256.</t>
  </si>
  <si>
    <t>RB-04347</t>
  </si>
  <si>
    <t>P10-F04347</t>
  </si>
  <si>
    <t>Data/Scripts/Magic/Bard/SongCommandList.cs</t>
  </si>
  <si>
    <t>PBM-0024</t>
  </si>
  <si>
    <t>SourceReviewClass=PlayerSpellCommandSurface; CurrentFile=Data/Scripts/Magic/Bard/SongCommandList.cs; QueuedLine=110; QueuedSourceLine=CommandSystem.Register(command, access, handler);; NearestRegistrationLine=110; NearestRegistration=CommandSystem.Register(command, access, handler);; ResolvedCommand=command; ResolvedAccess=Player through reviewed spell command callsites; ResolvedHandler=handler</t>
  </si>
  <si>
    <t>RB-04348</t>
  </si>
  <si>
    <t>P10-F04348</t>
  </si>
  <si>
    <t>Data/Scripts/Magic/Death Knight/DeathKnightCommands.cs</t>
  </si>
  <si>
    <t>PBM-0025</t>
  </si>
  <si>
    <t>SourceReviewClass=PlayerSpellCommandSurface; CurrentFile=Data/Scripts/Magic/Death Knight/DeathKnightCommands.cs; QueuedLine=77; QueuedSourceLine=CommandSystem.Register(command, access, handler);; NearestRegistrationLine=77; NearestRegistration=CommandSystem.Register(command, access, handler);; ResolvedCommand=command; ResolvedAccess=Player through reviewed spell command callsites; ResolvedHandler=handler</t>
  </si>
  <si>
    <t>RB-04349</t>
  </si>
  <si>
    <t>P10-F04349</t>
  </si>
  <si>
    <t>Data/Scripts/Magic/Elementalism/ElementalCommands.cs</t>
  </si>
  <si>
    <t>PBM-0026</t>
  </si>
  <si>
    <t>SourceReviewClass=PlayerSpellCommandSurface; CurrentFile=Data/Scripts/Magic/Elementalism/ElementalCommands.cs; QueuedLine=74; QueuedSourceLine=CommandSystem.Register(command, access, handler);; NearestRegistrationLine=74; NearestRegistration=CommandSystem.Register(command, access, handler);; ResolvedCommand=command; ResolvedAccess=Player through reviewed spell command callsites; ResolvedHandler=handler</t>
  </si>
  <si>
    <t>RB-04350</t>
  </si>
  <si>
    <t>P10-F04350</t>
  </si>
  <si>
    <t>Data/Scripts/Magic/Holy Man/HolyManCommands.cs</t>
  </si>
  <si>
    <t>PBM-0027</t>
  </si>
  <si>
    <t>SourceReviewClass=PlayerSpellCommandSurface; CurrentFile=Data/Scripts/Magic/Holy Man/HolyManCommands.cs; QueuedLine=65; QueuedSourceLine=CommandSystem.Register(command, access, handler);; NearestRegistrationLine=65; NearestRegistration=CommandSystem.Register(command, access, handler);; ResolvedCommand=command; ResolvedAccess=Player through reviewed spell command callsites; ResolvedHandler=handler</t>
  </si>
  <si>
    <t>RB-04351</t>
  </si>
  <si>
    <t>P10-F04351</t>
  </si>
  <si>
    <t>Data/Scripts/Magic/Jedi/JediCommandList.cs</t>
  </si>
  <si>
    <t>PBM-0028</t>
  </si>
  <si>
    <t>SourceReviewClass=PlayerSpellCommandSurface; CurrentFile=Data/Scripts/Magic/Jedi/JediCommandList.cs; QueuedLine=62; QueuedSourceLine=CommandSystem.Register(command, access, handler);; NearestRegistrationLine=62; NearestRegistration=CommandSystem.Register(command, access, handler);; ResolvedCommand=command; ResolvedAccess=Player through reviewed spell command callsites; ResolvedHandler=handler</t>
  </si>
  <si>
    <t>RB-04352</t>
  </si>
  <si>
    <t>P10-F04352</t>
  </si>
  <si>
    <t>Data/Scripts/Magic/Jester/JesterCommandList.cs</t>
  </si>
  <si>
    <t>PBM-0029</t>
  </si>
  <si>
    <t>SourceReviewClass=PlayerSpellCommandSurface; CurrentFile=Data/Scripts/Magic/Jester/JesterCommandList.cs; QueuedLine=70; QueuedSourceLine=CommandSystem.Register(command, access, handler);; NearestRegistrationLine=70; NearestRegistration=CommandSystem.Register(command, access, handler);; ResolvedCommand=command; ResolvedAccess=Player through reviewed spell command callsites; ResolvedHandler=handler</t>
  </si>
  <si>
    <t>RB-04354</t>
  </si>
  <si>
    <t>P10-F04354</t>
  </si>
  <si>
    <t>Data/Scripts/Magic/Mystic/MysticCommandList.cs</t>
  </si>
  <si>
    <t>PBM-0030</t>
  </si>
  <si>
    <t>SourceReviewClass=PlayerSpellCommandSurface; CurrentFile=Data/Scripts/Magic/Mystic/MysticCommandList.cs; QueuedLine=78; QueuedSourceLine=CommandSystem.Register(command, access, handler);; NearestRegistrationLine=78; NearestRegistration=CommandSystem.Register(command, access, handler);; ResolvedCommand=command; ResolvedAccess=Player through reviewed spell command callsites; ResolvedHandler=handler</t>
  </si>
  <si>
    <t>RB-04355</t>
  </si>
  <si>
    <t>P10-F04355</t>
  </si>
  <si>
    <t>Data/Scripts/Magic/Research/ResearchCommands.cs</t>
  </si>
  <si>
    <t>PBM-0031</t>
  </si>
  <si>
    <t>SourceReviewClass=PlayerSpellCommandSurface; CurrentFile=Data/Scripts/Magic/Research/ResearchCommands.cs; QueuedLine=324; QueuedSourceLine=CommandSystem.Register(command, access, handler);; NearestRegistrationLine=324; NearestRegistration=CommandSystem.Register(command, access, handler);; ResolvedCommand=command; ResolvedAccess=Player through reviewed spell command callsites; ResolvedHandler=handler</t>
  </si>
  <si>
    <t>RB-04356</t>
  </si>
  <si>
    <t>P10-F04356</t>
  </si>
  <si>
    <t>Data/Scripts/Magic/Shinobi/ShinobiCommandList.cs</t>
  </si>
  <si>
    <t>PBM-0032</t>
  </si>
  <si>
    <t>SourceReviewClass=PlayerSpellCommandSurface; CurrentFile=Data/Scripts/Magic/Shinobi/ShinobiCommandList.cs; QueuedLine=58; QueuedSourceLine=CommandSystem.Register(command, access, handler);; NearestRegistrationLine=58; NearestRegistration=CommandSystem.Register(command, access, handler);; ResolvedCommand=command; ResolvedAccess=Player through reviewed spell command callsites; ResolvedHandler=handler</t>
  </si>
  <si>
    <t>RB-04357</t>
  </si>
  <si>
    <t>P10-F04357</t>
  </si>
  <si>
    <t>Data/Scripts/Magic/Syth/SythCommandList.cs</t>
  </si>
  <si>
    <t>PBM-0033</t>
  </si>
  <si>
    <t>SourceReviewClass=PlayerSpellCommandSurface; CurrentFile=Data/Scripts/Magic/Syth/SythCommandList.cs; QueuedLine=66; QueuedSourceLine=CommandSystem.Register(command, access, handler);; NearestRegistrationLine=66; NearestRegistration=CommandSystem.Register(command, access, handler);; ResolvedCommand=command; ResolvedAccess=Player through reviewed spell command callsites; ResolvedHandler=handler</t>
  </si>
  <si>
    <t>RB-04359</t>
  </si>
  <si>
    <t>P10-F04359</t>
  </si>
  <si>
    <t>Data/Scripts/System/Chat/RUOVersion.cs</t>
  </si>
  <si>
    <t>PBM-0034</t>
  </si>
  <si>
    <t>SourceReviewClass=CompatibilityWrapperResolved; CurrentFile=Data/Scripts/System/Chat/RUOVersion.cs; QueuedLine=32; QueuedSourceLine=Server.Commands.CommandSystem.Register(com, acc, new CommandEventHandler(OnCommand));; NearestRegistrationLine=32; NearestRegistration=Server.Commands.CommandSystem.Register(com, acc, new CommandEventHandler(OnCommand));; ResolvedCommand=com; ResolvedAccess=Caller supplied; reviewed chat callsites pass Player, GameMaster, or Counselor; ResolvedHandler=OnCommand</t>
  </si>
  <si>
    <t>RB-04378</t>
  </si>
  <si>
    <t>P10-F04378</t>
  </si>
  <si>
    <t>PBM-0035</t>
  </si>
  <si>
    <t>SourceReviewClass=PassthroughHelperResolved; CurrentFile=Data/Scripts/System/Commands/Handlers.cs; QueuedLine=141; QueuedSourceLine=CommandSystem.Register(command, access, handler);; NearestRegistrationLine=141; NearestRegistration=CommandSystem.Register(command, access, handler);; ResolvedCommand=command; ResolvedAccess=Caller supplied by staff command registrations; reviewed helpers pass Counselor/GameMaster/Administrator; ResolvedHandler=handler</t>
  </si>
  <si>
    <t>RB-04380</t>
  </si>
  <si>
    <t>P10-F04380</t>
  </si>
  <si>
    <t>PBM-0036</t>
  </si>
  <si>
    <t>SourceReviewClass=PassthroughHelperResolved; CurrentFile=Data/Scripts/System/Commands/HelpAdmin.cs; QueuedLine=26; QueuedSourceLine=CommandSystem.Register(command, access, handler);; NearestRegistrationLine=17; NearestRegistration=CommandSystem.Register( "helpadmin", AccessLevel.Administrator, new CommandEventHandler(MyHelpAdmin_OnCommand) );; ResolvedCommand=helpadmin; ResolvedAccess=Caller supplied access parameter resolved at reviewed callsites; ResolvedHandler=MyHelpAdmin_OnCommand</t>
  </si>
  <si>
    <t>RB-04383</t>
  </si>
  <si>
    <t>P10-F04383</t>
  </si>
  <si>
    <t>PBM-0037</t>
  </si>
  <si>
    <t>SourceReviewClass=PassthroughHelperResolved; CurrentFile=Data/Scripts/System/Commands/LogTreasureChests.cs; QueuedLine=30; QueuedSourceLine=CommandSystem.Register(command, access, handler);; NearestRegistrationLine=21; NearestRegistration=CommandSystem.Register( "logchests", AccessLevel.Administrator, new CommandEventHandler(LogChests_OnCommand) );; ResolvedCommand=logchests; ResolvedAccess=Caller supplied access parameter resolved at reviewed callsites; ResolvedHandler=LogChests_OnCommand</t>
  </si>
  <si>
    <t>RB-04422</t>
  </si>
  <si>
    <t>P10-F04422</t>
  </si>
  <si>
    <t>Data/Scripts/System/Commands/Implementors/BaseCommandImplementor.cs</t>
  </si>
  <si>
    <t>PBM-0038</t>
  </si>
  <si>
    <t>SourceReviewClass=GenericCommandFramework; CurrentFile=Data/Scripts/System/Commands/Implementors/BaseCommandImplementor.cs; QueuedLine=334; QueuedSourceLine=CommandSystem.Register(; NearestRegistrationLine=334; NearestRegistration=CommandSystem.Register( m_Accessors[i], m_AccessLevel, new CommandEventHandler(Execute) );; ResolvedCommand=m_Accessors[i]; ResolvedAccess=Implementor m_AccessLevel; reviewed accessors are framework controlled; ResolvedHandler=Execute</t>
  </si>
  <si>
    <t>RB-04423</t>
  </si>
  <si>
    <t>P10-F04423</t>
  </si>
  <si>
    <t>Data/Scripts/System/Commands/Implementors/SingleCommandImplementor.cs</t>
  </si>
  <si>
    <t>PBM-0039</t>
  </si>
  <si>
    <t>SourceReviewClass=GenericCommandFramework; CurrentFile=Data/Scripts/System/Commands/Implementors/SingleCommandImplementor.cs; QueuedLine=25; QueuedSourceLine=CommandSystem.Register(; NearestRegistrationLine=25; NearestRegistration=CommandSystem.Register( command.Commands[i], command.AccessLevel, new CommandEventHandler(Redirect) );; ResolvedCommand=command.Commands[i]; ResolvedAccess=Underlying BaseCommand.AccessLevel with Redirect access recheck; ResolvedHandler=Redirect</t>
  </si>
  <si>
    <t>RB-04431</t>
  </si>
  <si>
    <t>P10-F04431</t>
  </si>
  <si>
    <t>PBM-0040</t>
  </si>
  <si>
    <t>SourceReviewClass=PassthroughHelperResolved; CurrentFile=Data/Scripts/System/Commands/Player/CorpseSearch.cs; QueuedLine=29; QueuedSourceLine=CommandSystem.Register(command, access, handler);; NearestRegistrationLine=20; NearestRegistration=CommandSystem.Register( "corpse", AccessLevel.Player, new CommandEventHandler(Corpse_OnCommand) );; ResolvedCommand=corpse; ResolvedAccess=Caller supplied access parameter resolved at reviewed callsites; ResolvedHandler=Corpse_OnCommand</t>
  </si>
  <si>
    <t>RB-04433</t>
  </si>
  <si>
    <t>P10-F04433</t>
  </si>
  <si>
    <t>PBM-0041</t>
  </si>
  <si>
    <t>SourceReviewClass=DirectCommandAccessResolved; CurrentFile=Data/Scripts/System/Commands/Player/CorpseSearch.cs; QueuedLine=134; QueuedSourceLine="corpseclear",; NearestRegistrationLine=133; NearestRegistration=CommandSystem.Register( "corpseclear", AccessLevel.Player, new CommandEventHandler(Corpse_OnCommand) );; ResolvedCommand=corpseclear; ResolvedAccess=Player; ResolvedHandler=Corpse_OnCommand</t>
  </si>
  <si>
    <t>RB-04437</t>
  </si>
  <si>
    <t>P10-F04437</t>
  </si>
  <si>
    <t>PBM-0042</t>
  </si>
  <si>
    <t>SourceReviewClass=PassthroughHelperResolved; CurrentFile=Data/Scripts/System/Commands/Player/Loot.cs; QueuedLine=125; QueuedSourceLine=CommandSystem.Register(command, access, handler);; NearestRegistrationLine=116; NearestRegistration=CommandSystem.Register( "loot", AccessLevel.Player, new CommandEventHandler(LootChoice_OnCommand) );; ResolvedCommand=loot; ResolvedAccess=Caller supplied access parameter resolved at reviewed callsites; ResolvedHandler=LootChoice_OnCommand</t>
  </si>
  <si>
    <t>RB-04439</t>
  </si>
  <si>
    <t>P10-F04439</t>
  </si>
  <si>
    <t>PBM-0043</t>
  </si>
  <si>
    <t>SourceReviewClass=PassthroughHelperResolved; CurrentFile=Data/Scripts/System/Commands/Player/MoonSearch.cs; QueuedLine=29; QueuedSourceLine=CommandSystem.Register(command, access, handler);; NearestRegistrationLine=20; NearestRegistration=CommandSystem.Register( "magicgate", AccessLevel.Player, new CommandEventHandler(Moon_OnCommand) );; ResolvedCommand=magicgate; ResolvedAccess=Caller supplied access parameter resolved at reviewed callsites; ResolvedHandler=Moon_OnCommand</t>
  </si>
  <si>
    <t>RB-04442</t>
  </si>
  <si>
    <t>P10-F04442</t>
  </si>
  <si>
    <t>PBM-0044</t>
  </si>
  <si>
    <t>SourceReviewClass=PassthroughHelperResolved; CurrentFile=Data/Scripts/System/Commands/Player/MusicPlaylist.cs; QueuedLine=30; QueuedSourceLine=CommandSystem.Register(command, access, handler);; NearestRegistrationLine=21; NearestRegistration=CommandSystem.Register( "music", AccessLevel.Player, new CommandEventHandler(MyStats_OnCommand) );; ResolvedCommand=music; ResolvedAccess=Caller supplied access parameter resolved at reviewed callsites; ResolvedHandler=MyStats_OnCommand</t>
  </si>
  <si>
    <t>RB-04448</t>
  </si>
  <si>
    <t>P10-F04448</t>
  </si>
  <si>
    <t>PBM-0045</t>
  </si>
  <si>
    <t>SourceReviewClass=PassthroughHelperResolved; CurrentFile=Data/Scripts/System/Commands/Player/QuickBar.cs; QueuedLine=35; QueuedSourceLine=CommandSystem.Register(command, access, handler);; NearestRegistrationLine=26; NearestRegistration=CommandSystem.Register( "quickbar", AccessLevel.Player, new CommandEventHandler(ToolBar_OnCommand) );; ResolvedCommand=quickbar; ResolvedAccess=Caller supplied access parameter resolved at reviewed callsites; ResolvedHandler=ToolBar_OnCommand</t>
  </si>
  <si>
    <t>RB-04451</t>
  </si>
  <si>
    <t>P10-F04451</t>
  </si>
  <si>
    <t>PBM-0046</t>
  </si>
  <si>
    <t>SourceReviewClass=PassthroughHelperResolved; CurrentFile=Data/Scripts/System/Commands/Player/RegBar.cs; QueuedLine=40; QueuedSourceLine=CommandSystem.Register(command, access, handler);; NearestRegistrationLine=31; NearestRegistration=CommandSystem.Register( "regclose", AccessLevel.Player, new CommandEventHandler(CReagent_OnCommand) );; ResolvedCommand=regclose; ResolvedAccess=Caller supplied access parameter resolved at reviewed callsites; ResolvedHandler=CReagent_OnCommand</t>
  </si>
  <si>
    <t>RB-04456</t>
  </si>
  <si>
    <t>P10-F04456</t>
  </si>
  <si>
    <t>PBM-0047</t>
  </si>
  <si>
    <t>SourceReviewClass=PlayerSpellbarCommandSurface; CurrentFile=Data/Scripts/System/Commands/Player/SpellBarsCommands.cs; QueuedLine=43; QueuedSourceLine=CommandSystem.Register(command, access, handler);; NearestRegistrationLine=34; NearestRegistration=CommandSystem.Register( "ancient", AccessLevel.Player, new CommandEventHandler(AncientBook_OnCommand) );; ResolvedCommand=ancient; ResolvedAccess=Player through reviewed spell command callsites; ResolvedHandler=AncientBook_OnCommand</t>
  </si>
  <si>
    <t>RB-04458</t>
  </si>
  <si>
    <t>P10-F04458</t>
  </si>
  <si>
    <t>PBM-0048</t>
  </si>
  <si>
    <t>SourceReviewClass=PlayerSpellbarCommandSurface; CurrentFile=Data/Scripts/System/Commands/Player/SpellBarsCommands.cs; QueuedLine=78; QueuedSourceLine=CommandSystem.Register(command, access, handler);; NearestRegistrationLine=69; NearestRegistration=CommandSystem.Register( "archclose1", AccessLevel.Player, new CommandEventHandler(CloseBar_OnCommand) );; ResolvedCommand=archclose1; ResolvedAccess=Player through reviewed spell command callsites; ResolvedHandler=CloseBar_OnCommand</t>
  </si>
  <si>
    <t>RB-04460</t>
  </si>
  <si>
    <t>P10-F04460</t>
  </si>
  <si>
    <t>PBM-0049</t>
  </si>
  <si>
    <t>SourceReviewClass=PlayerSpellbarCommandSurface; CurrentFile=Data/Scripts/System/Commands/Player/SpellBarsCommands.cs; QueuedLine=104; QueuedSourceLine=CommandSystem.Register(command, access, handler);; NearestRegistrationLine=95; NearestRegistration=CommandSystem.Register( "archclose2", AccessLevel.Player, new CommandEventHandler(CloseBar_OnCommand) );; ResolvedCommand=archclose2; ResolvedAccess=Player through reviewed spell command callsites; ResolvedHandler=CloseBar_OnCommand</t>
  </si>
  <si>
    <t>RB-04462</t>
  </si>
  <si>
    <t>P10-F04462</t>
  </si>
  <si>
    <t>PBM-0050</t>
  </si>
  <si>
    <t>SourceReviewClass=PlayerSpellbarCommandSurface; CurrentFile=Data/Scripts/System/Commands/Player/SpellBarsCommands.cs; QueuedLine=130; QueuedSourceLine=CommandSystem.Register(command, access, handler);; NearestRegistrationLine=121; NearestRegistration=CommandSystem.Register( "archclose3", AccessLevel.Player, new CommandEventHandler(CloseBar_OnCommand) );; ResolvedCommand=archclose3; ResolvedAccess=Player through reviewed spell command callsites; ResolvedHandler=CloseBar_OnCommand</t>
  </si>
  <si>
    <t>RB-04464</t>
  </si>
  <si>
    <t>P10-F04464</t>
  </si>
  <si>
    <t>PBM-0051</t>
  </si>
  <si>
    <t>SourceReviewClass=PlayerSpellbarCommandSurface; CurrentFile=Data/Scripts/System/Commands/Player/SpellBarsCommands.cs; QueuedLine=156; QueuedSourceLine=CommandSystem.Register(command, access, handler);; NearestRegistrationLine=147; NearestRegistration=CommandSystem.Register( "archclose4", AccessLevel.Player, new CommandEventHandler(CloseBar_OnCommand) );; ResolvedCommand=archclose4; ResolvedAccess=Player through reviewed spell command callsites; ResolvedHandler=CloseBar_OnCommand</t>
  </si>
  <si>
    <t>RB-04466</t>
  </si>
  <si>
    <t>P10-F04466</t>
  </si>
  <si>
    <t>PBM-0052</t>
  </si>
  <si>
    <t>SourceReviewClass=PlayerSpellbarCommandSurface; CurrentFile=Data/Scripts/System/Commands/Player/SpellBarsCommands.cs; QueuedLine=182; QueuedSourceLine=CommandSystem.Register(command, access, handler);; NearestRegistrationLine=173; NearestRegistration=CommandSystem.Register( "elementclose1", AccessLevel.Player, new CommandEventHandler(CloseBar_OnCommand) );; ResolvedCommand=elementclose1; ResolvedAccess=Player through reviewed spell command callsites; ResolvedHandler=CloseBar_OnCommand</t>
  </si>
  <si>
    <t>RB-04468</t>
  </si>
  <si>
    <t>P10-F04468</t>
  </si>
  <si>
    <t>PBM-0053</t>
  </si>
  <si>
    <t>SourceReviewClass=PlayerSpellbarCommandSurface; CurrentFile=Data/Scripts/System/Commands/Player/SpellBarsCommands.cs; QueuedLine=208; QueuedSourceLine=CommandSystem.Register(command, access, handler);; NearestRegistrationLine=199; NearestRegistration=CommandSystem.Register( "elementclose2", AccessLevel.Player, new CommandEventHandler(CloseBar_OnCommand) );; ResolvedCommand=elementclose2; ResolvedAccess=Player through reviewed spell command callsites; ResolvedHandler=CloseBar_OnCommand</t>
  </si>
  <si>
    <t>RB-04470</t>
  </si>
  <si>
    <t>P10-F04470</t>
  </si>
  <si>
    <t>PBM-0054</t>
  </si>
  <si>
    <t>SourceReviewClass=PlayerSpellbarCommandSurface; CurrentFile=Data/Scripts/System/Commands/Player/SpellBarsCommands.cs; QueuedLine=234; QueuedSourceLine=CommandSystem.Register(command, access, handler);; NearestRegistrationLine=225; NearestRegistration=CommandSystem.Register( "mageclose1", AccessLevel.Player, new CommandEventHandler(CloseBar_OnCommand) );; ResolvedCommand=mageclose1; ResolvedAccess=Player through reviewed spell command callsites; ResolvedHandler=CloseBar_OnCommand</t>
  </si>
  <si>
    <t>RB-04472</t>
  </si>
  <si>
    <t>P10-F04472</t>
  </si>
  <si>
    <t>PBM-0055</t>
  </si>
  <si>
    <t>SourceReviewClass=PlayerSpellbarCommandSurface; CurrentFile=Data/Scripts/System/Commands/Player/SpellBarsCommands.cs; QueuedLine=260; QueuedSourceLine=CommandSystem.Register(command, access, handler);; NearestRegistrationLine=251; NearestRegistration=CommandSystem.Register( "mageclose2", AccessLevel.Player, new CommandEventHandler(CloseBar_OnCommand) );; ResolvedCommand=mageclose2; ResolvedAccess=Player through reviewed spell command callsites; ResolvedHandler=CloseBar_OnCommand</t>
  </si>
  <si>
    <t>RB-04474</t>
  </si>
  <si>
    <t>P10-F04474</t>
  </si>
  <si>
    <t>PBM-0056</t>
  </si>
  <si>
    <t>SourceReviewClass=PlayerSpellbarCommandSurface; CurrentFile=Data/Scripts/System/Commands/Player/SpellBarsCommands.cs; QueuedLine=286; QueuedSourceLine=CommandSystem.Register(command, access, handler);; NearestRegistrationLine=277; NearestRegistration=CommandSystem.Register( "mageclose3", AccessLevel.Player, new CommandEventHandler(CloseBar_OnCommand) );; ResolvedCommand=mageclose3; ResolvedAccess=Player through reviewed spell command callsites; ResolvedHandler=CloseBar_OnCommand</t>
  </si>
  <si>
    <t>RB-04476</t>
  </si>
  <si>
    <t>P10-F04476</t>
  </si>
  <si>
    <t>PBM-0057</t>
  </si>
  <si>
    <t>SourceReviewClass=PlayerSpellbarCommandSurface; CurrentFile=Data/Scripts/System/Commands/Player/SpellBarsCommands.cs; QueuedLine=312; QueuedSourceLine=CommandSystem.Register(command, access, handler);; NearestRegistrationLine=303; NearestRegistration=CommandSystem.Register( "mageclose4", AccessLevel.Player, new CommandEventHandler(CloseBar_OnCommand) );; ResolvedCommand=mageclose4; ResolvedAccess=Player through reviewed spell command callsites; ResolvedHandler=CloseBar_OnCommand</t>
  </si>
  <si>
    <t>RB-04478</t>
  </si>
  <si>
    <t>P10-F04478</t>
  </si>
  <si>
    <t>PBM-0058</t>
  </si>
  <si>
    <t>SourceReviewClass=PlayerSpellbarCommandSurface; CurrentFile=Data/Scripts/System/Commands/Player/SpellBarsCommands.cs; QueuedLine=338; QueuedSourceLine=CommandSystem.Register(command, access, handler);; NearestRegistrationLine=329; NearestRegistration=CommandSystem.Register( "necroclose1", AccessLevel.Player, new CommandEventHandler(CloseBar_OnCommand) );; ResolvedCommand=necroclose1; ResolvedAccess=Player through reviewed spell command callsites; ResolvedHandler=CloseBar_OnCommand</t>
  </si>
  <si>
    <t>RB-04480</t>
  </si>
  <si>
    <t>P10-F04480</t>
  </si>
  <si>
    <t>PBM-0059</t>
  </si>
  <si>
    <t>SourceReviewClass=PlayerSpellbarCommandSurface; CurrentFile=Data/Scripts/System/Commands/Player/SpellBarsCommands.cs; QueuedLine=364; QueuedSourceLine=CommandSystem.Register(command, access, handler);; NearestRegistrationLine=355; NearestRegistration=CommandSystem.Register( "necroclose2", AccessLevel.Player, new CommandEventHandler(CloseBar_OnCommand) );; ResolvedCommand=necroclose2; ResolvedAccess=Player through reviewed spell command callsites; ResolvedHandler=CloseBar_OnCommand</t>
  </si>
  <si>
    <t>RB-04482</t>
  </si>
  <si>
    <t>P10-F04482</t>
  </si>
  <si>
    <t>PBM-0060</t>
  </si>
  <si>
    <t>SourceReviewClass=PlayerSpellbarCommandSurface; CurrentFile=Data/Scripts/System/Commands/Player/SpellBarsCommands.cs; QueuedLine=390; QueuedSourceLine=CommandSystem.Register(command, access, handler);; NearestRegistrationLine=381; NearestRegistration=CommandSystem.Register( "deathclose1", AccessLevel.Player, new CommandEventHandler(CloseBar_OnCommand) );; ResolvedCommand=deathclose1; ResolvedAccess=Player through reviewed spell command callsites; ResolvedHandler=CloseBar_OnCommand</t>
  </si>
  <si>
    <t>RB-04484</t>
  </si>
  <si>
    <t>P10-F04484</t>
  </si>
  <si>
    <t>PBM-0061</t>
  </si>
  <si>
    <t>SourceReviewClass=PlayerSpellbarCommandSurface; CurrentFile=Data/Scripts/System/Commands/Player/SpellBarsCommands.cs; QueuedLine=416; QueuedSourceLine=CommandSystem.Register(command, access, handler);; NearestRegistrationLine=407; NearestRegistration=CommandSystem.Register( "deathclose2", AccessLevel.Player, new CommandEventHandler(CloseBar_OnCommand) );; ResolvedCommand=deathclose2; ResolvedAccess=Player through reviewed spell command callsites; ResolvedHandler=CloseBar_OnCommand</t>
  </si>
  <si>
    <t>RB-04486</t>
  </si>
  <si>
    <t>P10-F04486</t>
  </si>
  <si>
    <t>PBM-0062</t>
  </si>
  <si>
    <t>SourceReviewClass=PlayerSpellbarCommandSurface; CurrentFile=Data/Scripts/System/Commands/Player/SpellBarsCommands.cs; QueuedLine=442; QueuedSourceLine=CommandSystem.Register(command, access, handler);; NearestRegistrationLine=433; NearestRegistration=CommandSystem.Register( "holyclose1", AccessLevel.Player, new CommandEventHandler(CloseBar_OnCommand) );; ResolvedCommand=holyclose1; ResolvedAccess=Player through reviewed spell command callsites; ResolvedHandler=CloseBar_OnCommand</t>
  </si>
  <si>
    <t>RB-04488</t>
  </si>
  <si>
    <t>P10-F04488</t>
  </si>
  <si>
    <t>PBM-0063</t>
  </si>
  <si>
    <t>SourceReviewClass=PlayerSpellbarCommandSurface; CurrentFile=Data/Scripts/System/Commands/Player/SpellBarsCommands.cs; QueuedLine=468; QueuedSourceLine=CommandSystem.Register(command, access, handler);; NearestRegistrationLine=459; NearestRegistration=CommandSystem.Register( "holyclose2", AccessLevel.Player, new CommandEventHandler(CloseBar_OnCommand) );; ResolvedCommand=holyclose2; ResolvedAccess=Player through reviewed spell command callsites; ResolvedHandler=CloseBar_OnCommand</t>
  </si>
  <si>
    <t>RB-04490</t>
  </si>
  <si>
    <t>P10-F04490</t>
  </si>
  <si>
    <t>PBM-0064</t>
  </si>
  <si>
    <t>SourceReviewClass=PlayerSpellbarCommandSurface; CurrentFile=Data/Scripts/System/Commands/Player/SpellBarsCommands.cs; QueuedLine=494; QueuedSourceLine=CommandSystem.Register(command, access, handler);; NearestRegistrationLine=485; NearestRegistration=CommandSystem.Register( "knightclose1", AccessLevel.Player, new CommandEventHandler(CloseBar_OnCommand) );; ResolvedCommand=knightclose1; ResolvedAccess=Player through reviewed spell command callsites; ResolvedHandler=CloseBar_OnCommand</t>
  </si>
  <si>
    <t>RB-04492</t>
  </si>
  <si>
    <t>P10-F04492</t>
  </si>
  <si>
    <t>PBM-0065</t>
  </si>
  <si>
    <t>SourceReviewClass=PlayerSpellbarCommandSurface; CurrentFile=Data/Scripts/System/Commands/Player/SpellBarsCommands.cs; QueuedLine=520; QueuedSourceLine=CommandSystem.Register(command, access, handler);; NearestRegistrationLine=511; NearestRegistration=CommandSystem.Register( "knightclose2", AccessLevel.Player, new CommandEventHandler(CloseBar_OnCommand) );; ResolvedCommand=knightclose2; ResolvedAccess=Player through reviewed spell command callsites; ResolvedHandler=CloseBar_OnCommand</t>
  </si>
  <si>
    <t>RB-04494</t>
  </si>
  <si>
    <t>P10-F04494</t>
  </si>
  <si>
    <t>PBM-0066</t>
  </si>
  <si>
    <t>SourceReviewClass=PlayerSpellbarCommandSurface; CurrentFile=Data/Scripts/System/Commands/Player/SpellBarsCommands.cs; QueuedLine=546; QueuedSourceLine=CommandSystem.Register(command, access, handler);; NearestRegistrationLine=537; NearestRegistration=CommandSystem.Register( "bardclose1", AccessLevel.Player, new CommandEventHandler(CloseBar_OnCommand) );; ResolvedCommand=bardclose1; ResolvedAccess=Player through reviewed spell command callsites; ResolvedHandler=CloseBar_OnCommand</t>
  </si>
  <si>
    <t>RB-04496</t>
  </si>
  <si>
    <t>P10-F04496</t>
  </si>
  <si>
    <t>PBM-0067</t>
  </si>
  <si>
    <t>SourceReviewClass=PlayerSpellbarCommandSurface; CurrentFile=Data/Scripts/System/Commands/Player/SpellBarsCommands.cs; QueuedLine=572; QueuedSourceLine=CommandSystem.Register(command, access, handler);; NearestRegistrationLine=563; NearestRegistration=CommandSystem.Register( "bardclose2", AccessLevel.Player, new CommandEventHandler(CloseBar_OnCommand) );; ResolvedCommand=bardclose2; ResolvedAccess=Player through reviewed spell command callsites; ResolvedHandler=CloseBar_OnCommand</t>
  </si>
  <si>
    <t>RB-04498</t>
  </si>
  <si>
    <t>P10-F04498</t>
  </si>
  <si>
    <t>PBM-0068</t>
  </si>
  <si>
    <t>SourceReviewClass=PlayerSpellbarCommandSurface; CurrentFile=Data/Scripts/System/Commands/Player/SpellBarsCommands.cs; QueuedLine=598; QueuedSourceLine=CommandSystem.Register(command, access, handler);; NearestRegistrationLine=589; NearestRegistration=CommandSystem.Register( "monkclose1", AccessLevel.Player, new CommandEventHandler(CloseBar_OnCommand) );; ResolvedCommand=monkclose1; ResolvedAccess=Player through reviewed spell command callsites; ResolvedHandler=CloseBar_OnCommand</t>
  </si>
  <si>
    <t>RB-04500</t>
  </si>
  <si>
    <t>P10-F04500</t>
  </si>
  <si>
    <t>PBM-0069</t>
  </si>
  <si>
    <t>SourceReviewClass=PlayerSpellbarCommandSurface; CurrentFile=Data/Scripts/System/Commands/Player/SpellBarsCommands.cs; QueuedLine=624; QueuedSourceLine=CommandSystem.Register(command, access, handler);; NearestRegistrationLine=615; NearestRegistration=CommandSystem.Register( "monkclose2", AccessLevel.Player, new CommandEventHandler(CloseBar_OnCommand) );; ResolvedCommand=monkclose2; ResolvedAccess=Player through reviewed spell command callsites; ResolvedHandler=CloseBar_OnCommand</t>
  </si>
  <si>
    <t>RB-04502</t>
  </si>
  <si>
    <t>P10-F04502</t>
  </si>
  <si>
    <t>PBM-0070</t>
  </si>
  <si>
    <t>SourceReviewClass=PlayerSpellbarCommandSurface; CurrentFile=Data/Scripts/System/Commands/Player/SpellBarsDisplay.cs; QueuedLine=51; QueuedSourceLine=CommandSystem.Register(command, access, handler);; NearestRegistrationLine=42; NearestRegistration=CommandSystem.Register( "archtool1", AccessLevel.Player, new CommandEventHandler(ToolBars_OnCommand) );; ResolvedCommand=archtool1; ResolvedAccess=Player through reviewed spell command callsites; ResolvedHandler=ToolBars_OnCommand</t>
  </si>
  <si>
    <t>RB-04504</t>
  </si>
  <si>
    <t>P10-F04504</t>
  </si>
  <si>
    <t>PBM-0071</t>
  </si>
  <si>
    <t>SourceReviewClass=PlayerSpellbarCommandSurface; CurrentFile=Data/Scripts/System/Commands/Player/SpellBarsDisplay.cs; QueuedLine=3471; QueuedSourceLine=CommandSystem.Register(command, access, handler);; NearestRegistrationLine=3462; NearestRegistration=CommandSystem.Register( "archtool2", AccessLevel.Player, new CommandEventHandler(ToolBars_OnCommand) );; ResolvedCommand=archtool2; ResolvedAccess=Player through reviewed spell command callsites; ResolvedHandler=ToolBars_OnCommand</t>
  </si>
  <si>
    <t>RB-04506</t>
  </si>
  <si>
    <t>P10-F04506</t>
  </si>
  <si>
    <t>PBM-0072</t>
  </si>
  <si>
    <t>SourceReviewClass=PlayerSpellbarCommandSurface; CurrentFile=Data/Scripts/System/Commands/Player/SpellBarsDisplay.cs; QueuedLine=6890; QueuedSourceLine=CommandSystem.Register(command, access, handler);; NearestRegistrationLine=6881; NearestRegistration=CommandSystem.Register( "archtool3", AccessLevel.Player, new CommandEventHandler(ToolBars_OnCommand) );; ResolvedCommand=archtool3; ResolvedAccess=Player through reviewed spell command callsites; ResolvedHandler=ToolBars_OnCommand</t>
  </si>
  <si>
    <t>RB-04508</t>
  </si>
  <si>
    <t>P10-F04508</t>
  </si>
  <si>
    <t>PBM-0073</t>
  </si>
  <si>
    <t>SourceReviewClass=PlayerSpellbarCommandSurface; CurrentFile=Data/Scripts/System/Commands/Player/SpellBarsDisplay.cs; QueuedLine=10309; QueuedSourceLine=CommandSystem.Register(command, access, handler);; NearestRegistrationLine=10300; NearestRegistration=CommandSystem.Register( "archtool4", AccessLevel.Player, new CommandEventHandler(ToolBars_OnCommand) );; ResolvedCommand=archtool4; ResolvedAccess=Player through reviewed spell command callsites; ResolvedHandler=ToolBars_OnCommand</t>
  </si>
  <si>
    <t>RB-04510</t>
  </si>
  <si>
    <t>P10-F04510</t>
  </si>
  <si>
    <t>PBM-0074</t>
  </si>
  <si>
    <t>SourceReviewClass=PlayerSpellbarCommandSurface; CurrentFile=Data/Scripts/System/Commands/Player/SpellBarsDisplay.cs; QueuedLine=13728; QueuedSourceLine=CommandSystem.Register(command, access, handler);; NearestRegistrationLine=13719; NearestRegistration=CommandSystem.Register( "magetool1", AccessLevel.Player, new CommandEventHandler(ToolBars_OnCommand) );; ResolvedCommand=magetool1; ResolvedAccess=Player through reviewed spell command callsites; ResolvedHandler=ToolBars_OnCommand</t>
  </si>
  <si>
    <t>RB-04512</t>
  </si>
  <si>
    <t>P10-F04512</t>
  </si>
  <si>
    <t>PBM-0075</t>
  </si>
  <si>
    <t>SourceReviewClass=PlayerSpellbarCommandSurface; CurrentFile=Data/Scripts/System/Commands/Player/SpellBarsDisplay.cs; QueuedLine=15664; QueuedSourceLine=CommandSystem.Register(command, access, handler);; NearestRegistrationLine=15655; NearestRegistration=CommandSystem.Register( "magetool2", AccessLevel.Player, new CommandEventHandler(ToolBars_OnCommand) );; ResolvedCommand=magetool2; ResolvedAccess=Player through reviewed spell command callsites; ResolvedHandler=ToolBars_OnCommand</t>
  </si>
  <si>
    <t>RB-04514</t>
  </si>
  <si>
    <t>P10-F04514</t>
  </si>
  <si>
    <t>PBM-0076</t>
  </si>
  <si>
    <t>SourceReviewClass=PlayerSpellbarCommandSurface; CurrentFile=Data/Scripts/System/Commands/Player/SpellBarsDisplay.cs; QueuedLine=17600; QueuedSourceLine=CommandSystem.Register(command, access, handler);; NearestRegistrationLine=17591; NearestRegistration=CommandSystem.Register( "magetool3", AccessLevel.Player, new CommandEventHandler(ToolBars_OnCommand) );; ResolvedCommand=magetool3; ResolvedAccess=Player through reviewed spell command callsites; ResolvedHandler=ToolBars_OnCommand</t>
  </si>
  <si>
    <t>RB-04516</t>
  </si>
  <si>
    <t>P10-F04516</t>
  </si>
  <si>
    <t>PBM-0077</t>
  </si>
  <si>
    <t>SourceReviewClass=PlayerSpellbarCommandSurface; CurrentFile=Data/Scripts/System/Commands/Player/SpellBarsDisplay.cs; QueuedLine=19536; QueuedSourceLine=CommandSystem.Register(command, access, handler);; NearestRegistrationLine=19527; NearestRegistration=CommandSystem.Register( "magetool4", AccessLevel.Player, new CommandEventHandler(ToolBars_OnCommand) );; ResolvedCommand=magetool4; ResolvedAccess=Player through reviewed spell command callsites; ResolvedHandler=ToolBars_OnCommand</t>
  </si>
  <si>
    <t>RB-04518</t>
  </si>
  <si>
    <t>P10-F04518</t>
  </si>
  <si>
    <t>PBM-0078</t>
  </si>
  <si>
    <t>SourceReviewClass=PlayerSpellbarCommandSurface; CurrentFile=Data/Scripts/System/Commands/Player/SpellBarsDisplay.cs; QueuedLine=21472; QueuedSourceLine=CommandSystem.Register(command, access, handler);; NearestRegistrationLine=21463; NearestRegistration=CommandSystem.Register( "elementtool1", AccessLevel.Player, new CommandEventHandler(ToolBars_OnCommand) );; ResolvedCommand=elementtool1; ResolvedAccess=Player through reviewed spell command callsites; ResolvedHandler=ToolBars_OnCommand</t>
  </si>
  <si>
    <t>RB-04520</t>
  </si>
  <si>
    <t>P10-F04520</t>
  </si>
  <si>
    <t>PBM-0079</t>
  </si>
  <si>
    <t>SourceReviewClass=PlayerSpellbarCommandSurface; CurrentFile=Data/Scripts/System/Commands/Player/SpellBarsDisplay.cs; QueuedLine=23237; QueuedSourceLine=CommandSystem.Register(command, access, handler);; NearestRegistrationLine=23228; NearestRegistration=CommandSystem.Register( "elementtool2", AccessLevel.Player, new CommandEventHandler(ToolBars_OnCommand) );; ResolvedCommand=elementtool2; ResolvedAccess=Player through reviewed spell command callsites; ResolvedHandler=ToolBars_OnCommand</t>
  </si>
  <si>
    <t>RB-04522</t>
  </si>
  <si>
    <t>P10-F04522</t>
  </si>
  <si>
    <t>PBM-0080</t>
  </si>
  <si>
    <t>SourceReviewClass=PlayerSpellbarCommandSurface; CurrentFile=Data/Scripts/System/Commands/Player/SpellBarsDisplay.cs; QueuedLine=25002; QueuedSourceLine=CommandSystem.Register(command, access, handler);; NearestRegistrationLine=24993; NearestRegistration=CommandSystem.Register( "necrotool1", AccessLevel.Player, new CommandEventHandler(ToolBars_OnCommand) );; ResolvedCommand=necrotool1; ResolvedAccess=Player through reviewed spell command callsites; ResolvedHandler=ToolBars_OnCommand</t>
  </si>
  <si>
    <t>RB-04524</t>
  </si>
  <si>
    <t>P10-F04524</t>
  </si>
  <si>
    <t>PBM-0081</t>
  </si>
  <si>
    <t>SourceReviewClass=PlayerSpellbarCommandSurface; CurrentFile=Data/Scripts/System/Commands/Player/SpellBarsDisplay.cs; QueuedLine=25576; QueuedSourceLine=CommandSystem.Register(command, access, handler);; NearestRegistrationLine=25567; NearestRegistration=CommandSystem.Register( "necrotool2", AccessLevel.Player, new CommandEventHandler(ToolBars_OnCommand) );; ResolvedCommand=necrotool2; ResolvedAccess=Player through reviewed spell command callsites; ResolvedHandler=ToolBars_OnCommand</t>
  </si>
  <si>
    <t>RB-04526</t>
  </si>
  <si>
    <t>P10-F04526</t>
  </si>
  <si>
    <t>PBM-0082</t>
  </si>
  <si>
    <t>SourceReviewClass=PlayerSpellbarCommandSurface; CurrentFile=Data/Scripts/System/Commands/Player/SpellBarsDisplay.cs; QueuedLine=26150; QueuedSourceLine=CommandSystem.Register(command, access, handler);; NearestRegistrationLine=26141; NearestRegistration=CommandSystem.Register( "knighttool1", AccessLevel.Player, new CommandEventHandler(ToolBars_OnCommand) );; ResolvedCommand=knighttool1; ResolvedAccess=Player through reviewed spell command callsites; ResolvedHandler=ToolBars_OnCommand</t>
  </si>
  <si>
    <t>RB-04528</t>
  </si>
  <si>
    <t>P10-F04528</t>
  </si>
  <si>
    <t>PBM-0083</t>
  </si>
  <si>
    <t>SourceReviewClass=PlayerSpellbarCommandSurface; CurrentFile=Data/Scripts/System/Commands/Player/SpellBarsDisplay.cs; QueuedLine=26521; QueuedSourceLine=CommandSystem.Register(command, access, handler);; NearestRegistrationLine=26512; NearestRegistration=CommandSystem.Register( "knighttool2", AccessLevel.Player, new CommandEventHandler(ToolBars_OnCommand) );; ResolvedCommand=knighttool2; ResolvedAccess=Player through reviewed spell command callsites; ResolvedHandler=ToolBars_OnCommand</t>
  </si>
  <si>
    <t>RB-04530</t>
  </si>
  <si>
    <t>P10-F04530</t>
  </si>
  <si>
    <t>PBM-0084</t>
  </si>
  <si>
    <t>SourceReviewClass=PlayerSpellbarCommandSurface; CurrentFile=Data/Scripts/System/Commands/Player/SpellBarsDisplay.cs; QueuedLine=26892; QueuedSourceLine=CommandSystem.Register(command, access, handler);; NearestRegistrationLine=26883; NearestRegistration=CommandSystem.Register( "bardtool1", AccessLevel.Player, new CommandEventHandler(ToolBars_OnCommand) );; ResolvedCommand=bardtool1; ResolvedAccess=Player through reviewed spell command callsites; ResolvedHandler=ToolBars_OnCommand</t>
  </si>
  <si>
    <t>RB-04532</t>
  </si>
  <si>
    <t>P10-F04532</t>
  </si>
  <si>
    <t>PBM-0085</t>
  </si>
  <si>
    <t>SourceReviewClass=PlayerSpellbarCommandSurface; CurrentFile=Data/Scripts/System/Commands/Player/SpellBarsDisplay.cs; QueuedLine=27437; QueuedSourceLine=CommandSystem.Register(command, access, handler);; NearestRegistrationLine=27428; NearestRegistration=CommandSystem.Register( "bardtool2", AccessLevel.Player, new CommandEventHandler(ToolBars_OnCommand) );; ResolvedCommand=bardtool2; ResolvedAccess=Player through reviewed spell command callsites; ResolvedHandler=ToolBars_OnCommand</t>
  </si>
  <si>
    <t>RB-04534</t>
  </si>
  <si>
    <t>P10-F04534</t>
  </si>
  <si>
    <t>PBM-0086</t>
  </si>
  <si>
    <t>SourceReviewClass=PlayerSpellbarCommandSurface; CurrentFile=Data/Scripts/System/Commands/Player/SpellBarsDisplay.cs; QueuedLine=27991; QueuedSourceLine=CommandSystem.Register(command, access, handler);; NearestRegistrationLine=27982; NearestRegistration=CommandSystem.Register( "deathtool1", AccessLevel.Player, new CommandEventHandler(ToolBars_OnCommand) );; ResolvedCommand=deathtool1; ResolvedAccess=Player through reviewed spell command callsites; ResolvedHandler=ToolBars_OnCommand</t>
  </si>
  <si>
    <t>RB-04536</t>
  </si>
  <si>
    <t>P10-F04536</t>
  </si>
  <si>
    <t>PBM-0087</t>
  </si>
  <si>
    <t>SourceReviewClass=PlayerSpellbarCommandSurface; CurrentFile=Data/Scripts/System/Commands/Player/SpellBarsDisplay.cs; QueuedLine=28516; QueuedSourceLine=CommandSystem.Register(command, access, handler);; NearestRegistrationLine=28507; NearestRegistration=CommandSystem.Register( "deathtool2", AccessLevel.Player, new CommandEventHandler(ToolBars_OnCommand) );; ResolvedCommand=deathtool2; ResolvedAccess=Player through reviewed spell command callsites; ResolvedHandler=ToolBars_OnCommand</t>
  </si>
  <si>
    <t>RB-04538</t>
  </si>
  <si>
    <t>P10-F04538</t>
  </si>
  <si>
    <t>PBM-0088</t>
  </si>
  <si>
    <t>SourceReviewClass=PlayerSpellbarCommandSurface; CurrentFile=Data/Scripts/System/Commands/Player/SpellBarsDisplay.cs; QueuedLine=29041; QueuedSourceLine=CommandSystem.Register(command, access, handler);; NearestRegistrationLine=29032; NearestRegistration=CommandSystem.Register( "holytool1", AccessLevel.Player, new CommandEventHandler(ToolBars_OnCommand) );; ResolvedCommand=holytool1; ResolvedAccess=Player through reviewed spell command callsites; ResolvedHandler=ToolBars_OnCommand</t>
  </si>
  <si>
    <t>RB-04540</t>
  </si>
  <si>
    <t>P10-F04540</t>
  </si>
  <si>
    <t>PBM-0089</t>
  </si>
  <si>
    <t>SourceReviewClass=PlayerSpellbarCommandSurface; CurrentFile=Data/Scripts/System/Commands/Player/SpellBarsDisplay.cs; QueuedLine=29566; QueuedSourceLine=CommandSystem.Register(command, access, handler);; NearestRegistrationLine=29557; NearestRegistration=CommandSystem.Register( "holytool2", AccessLevel.Player, new CommandEventHandler(ToolBars_OnCommand) );; ResolvedCommand=holytool2; ResolvedAccess=Player through reviewed spell command callsites; ResolvedHandler=ToolBars_OnCommand</t>
  </si>
  <si>
    <t>RB-04542</t>
  </si>
  <si>
    <t>P10-F04542</t>
  </si>
  <si>
    <t>PBM-0090</t>
  </si>
  <si>
    <t>SourceReviewClass=PlayerSpellbarCommandSurface; CurrentFile=Data/Scripts/System/Commands/Player/SpellBarsDisplay.cs; QueuedLine=30082; QueuedSourceLine=CommandSystem.Register(command, access, handler);; NearestRegistrationLine=30073; NearestRegistration=CommandSystem.Register( "monktool1", AccessLevel.Player, new CommandEventHandler(ToolBars_OnCommand) );; ResolvedCommand=monktool1; ResolvedAccess=Player through reviewed spell command callsites; ResolvedHandler=ToolBars_OnCommand</t>
  </si>
  <si>
    <t>RB-04544</t>
  </si>
  <si>
    <t>P10-F04544</t>
  </si>
  <si>
    <t>PBM-0091</t>
  </si>
  <si>
    <t>SourceReviewClass=PlayerSpellbarCommandSurface; CurrentFile=Data/Scripts/System/Commands/Player/SpellBarsDisplay.cs; QueuedLine=30473; QueuedSourceLine=CommandSystem.Register(command, access, handler);; NearestRegistrationLine=30464; NearestRegistration=CommandSystem.Register( "monktool2", AccessLevel.Player, new CommandEventHandler(ToolBars_OnCommand) );; ResolvedCommand=monktool2; ResolvedAccess=Player through reviewed spell command callsites; ResolvedHandler=ToolBars_OnCommand</t>
  </si>
  <si>
    <t>RB-04546</t>
  </si>
  <si>
    <t>P10-F04546</t>
  </si>
  <si>
    <t>PBM-0092</t>
  </si>
  <si>
    <t>SourceReviewClass=PlayerSpellbarCommandSurface; CurrentFile=Data/Scripts/System/Commands/Player/SpellBarsManage.cs; QueuedLine=47; QueuedSourceLine=CommandSystem.Register(command, access, handler);; NearestRegistrationLine=38; NearestRegistration=CommandSystem.Register( "archspell1", AccessLevel.Player, new CommandEventHandler(ToolBar_OnCommand) );; ResolvedCommand=archspell1; ResolvedAccess=Player through reviewed spell command callsites; ResolvedHandler=ToolBar_OnCommand</t>
  </si>
  <si>
    <t>RB-04548</t>
  </si>
  <si>
    <t>P10-F04548</t>
  </si>
  <si>
    <t>PBM-0093</t>
  </si>
  <si>
    <t>SourceReviewClass=PlayerSpellbarCommandSurface; CurrentFile=Data/Scripts/System/Commands/Player/SpellBarsManage.cs; QueuedLine=1252; QueuedSourceLine=CommandSystem.Register(command, access, handler);; NearestRegistrationLine=1243; NearestRegistration=CommandSystem.Register( "archspell2", AccessLevel.Player, new CommandEventHandler(ToolBar_OnCommand) );; ResolvedCommand=archspell2; ResolvedAccess=Player through reviewed spell command callsites; ResolvedHandler=ToolBar_OnCommand</t>
  </si>
  <si>
    <t>RB-04550</t>
  </si>
  <si>
    <t>P10-F04550</t>
  </si>
  <si>
    <t>PBM-0094</t>
  </si>
  <si>
    <t>SourceReviewClass=PlayerSpellbarCommandSurface; CurrentFile=Data/Scripts/System/Commands/Player/SpellBarsManage.cs; QueuedLine=2444; QueuedSourceLine=CommandSystem.Register(command, access, handler);; NearestRegistrationLine=2435; NearestRegistration=CommandSystem.Register( "archspell3", AccessLevel.Player, new CommandEventHandler(ToolBar_OnCommand) );; ResolvedCommand=archspell3; ResolvedAccess=Player through reviewed spell command callsites; ResolvedHandler=ToolBar_OnCommand</t>
  </si>
  <si>
    <t>RB-04552</t>
  </si>
  <si>
    <t>P10-F04552</t>
  </si>
  <si>
    <t>PBM-0095</t>
  </si>
  <si>
    <t>SourceReviewClass=PlayerSpellbarCommandSurface; CurrentFile=Data/Scripts/System/Commands/Player/SpellBarsManage.cs; QueuedLine=3636; QueuedSourceLine=CommandSystem.Register(command, access, handler);; NearestRegistrationLine=3627; NearestRegistration=CommandSystem.Register( "archspell4", AccessLevel.Player, new CommandEventHandler(ToolBar_OnCommand) );; ResolvedCommand=archspell4; ResolvedAccess=Player through reviewed spell command callsites; ResolvedHandler=ToolBar_OnCommand</t>
  </si>
  <si>
    <t>RB-04554</t>
  </si>
  <si>
    <t>P10-F04554</t>
  </si>
  <si>
    <t>PBM-0096</t>
  </si>
  <si>
    <t>SourceReviewClass=PlayerSpellbarCommandSurface; CurrentFile=Data/Scripts/System/Commands/Player/SpellBarsManage.cs; QueuedLine=4828; QueuedSourceLine=CommandSystem.Register(command, access, handler);; NearestRegistrationLine=4819; NearestRegistration=CommandSystem.Register( "magespell1", AccessLevel.Player, new CommandEventHandler(ToolBar_OnCommand) );; ResolvedCommand=magespell1; ResolvedAccess=Player through reviewed spell command callsites; ResolvedHandler=ToolBar_OnCommand</t>
  </si>
  <si>
    <t>RB-04556</t>
  </si>
  <si>
    <t>P10-F04556</t>
  </si>
  <si>
    <t>PBM-0097</t>
  </si>
  <si>
    <t>SourceReviewClass=PlayerSpellbarCommandSurface; CurrentFile=Data/Scripts/System/Commands/Player/SpellBarsManage.cs; QueuedLine=6009; QueuedSourceLine=CommandSystem.Register(command, access, handler);; NearestRegistrationLine=6000; NearestRegistration=CommandSystem.Register( "magespell2", AccessLevel.Player, new CommandEventHandler(ToolBar_OnCommand) );; ResolvedCommand=magespell2; ResolvedAccess=Player through reviewed spell command callsites; ResolvedHandler=ToolBar_OnCommand</t>
  </si>
  <si>
    <t>RB-04558</t>
  </si>
  <si>
    <t>P10-F04558</t>
  </si>
  <si>
    <t>PBM-0098</t>
  </si>
  <si>
    <t>SourceReviewClass=PlayerSpellbarCommandSurface; CurrentFile=Data/Scripts/System/Commands/Player/SpellBarsManage.cs; QueuedLine=7190; QueuedSourceLine=CommandSystem.Register(command, access, handler);; NearestRegistrationLine=7181; NearestRegistration=CommandSystem.Register( "magespell3", AccessLevel.Player, new CommandEventHandler(ToolBar_OnCommand) );; ResolvedCommand=magespell3; ResolvedAccess=Player through reviewed spell command callsites; ResolvedHandler=ToolBar_OnCommand</t>
  </si>
  <si>
    <t>RB-04560</t>
  </si>
  <si>
    <t>P10-F04560</t>
  </si>
  <si>
    <t>PBM-0099</t>
  </si>
  <si>
    <t>SourceReviewClass=PlayerSpellbarCommandSurface; CurrentFile=Data/Scripts/System/Commands/Player/SpellBarsManage.cs; QueuedLine=8371; QueuedSourceLine=CommandSystem.Register(command, access, handler);; NearestRegistrationLine=8362; NearestRegistration=CommandSystem.Register( "magespell4", AccessLevel.Player, new CommandEventHandler(ToolBar_OnCommand) );; ResolvedCommand=magespell4; ResolvedAccess=Player through reviewed spell command callsites; ResolvedHandler=ToolBar_OnCommand</t>
  </si>
  <si>
    <t>RB-04562</t>
  </si>
  <si>
    <t>P10-F04562</t>
  </si>
  <si>
    <t>PBM-0100</t>
  </si>
  <si>
    <t>SourceReviewClass=PlayerSpellbarCommandSurface; CurrentFile=Data/Scripts/System/Commands/Player/SpellBarsManage.cs; QueuedLine=9552; QueuedSourceLine=CommandSystem.Register(command, access, handler);; NearestRegistrationLine=9543; NearestRegistration=CommandSystem.Register( "elementspell1", AccessLevel.Player, new CommandEventHandler(ToolBar_OnCommand) );; ResolvedCommand=elementspell1; ResolvedAccess=Player through reviewed spell command callsites; ResolvedHandler=ToolBar_OnCommand</t>
  </si>
  <si>
    <t>RB-04564</t>
  </si>
  <si>
    <t>P10-F04564</t>
  </si>
  <si>
    <t>PBM-0101</t>
  </si>
  <si>
    <t>SourceReviewClass=PlayerSpellbarCommandSurface; CurrentFile=Data/Scripts/System/Commands/Player/SpellBarsManage.cs; QueuedLine=10273; QueuedSourceLine=CommandSystem.Register(command, access, handler);; NearestRegistrationLine=10264; NearestRegistration=CommandSystem.Register( "elementspell2", AccessLevel.Player, new CommandEventHandler(ToolBar_OnCommand) );; ResolvedCommand=elementspell2; ResolvedAccess=Player through reviewed spell command callsites; ResolvedHandler=ToolBar_OnCommand</t>
  </si>
  <si>
    <t>RB-04566</t>
  </si>
  <si>
    <t>P10-F04566</t>
  </si>
  <si>
    <t>PBM-0102</t>
  </si>
  <si>
    <t>SourceReviewClass=PlayerSpellbarCommandSurface; CurrentFile=Data/Scripts/System/Commands/Player/SpellBarsManage.cs; QueuedLine=10994; QueuedSourceLine=CommandSystem.Register(command, access, handler);; NearestRegistrationLine=10985; NearestRegistration=CommandSystem.Register( "necrospell1", AccessLevel.Player, new CommandEventHandler(ToolBar_OnCommand) );; ResolvedCommand=necrospell1; ResolvedAccess=Player through reviewed spell command callsites; ResolvedHandler=ToolBar_OnCommand</t>
  </si>
  <si>
    <t>RB-04568</t>
  </si>
  <si>
    <t>P10-F04568</t>
  </si>
  <si>
    <t>PBM-0103</t>
  </si>
  <si>
    <t>SourceReviewClass=PlayerSpellbarCommandSurface; CurrentFile=Data/Scripts/System/Commands/Player/SpellBarsManage.cs; QueuedLine=11438; QueuedSourceLine=CommandSystem.Register(command, access, handler);; NearestRegistrationLine=11429; NearestRegistration=CommandSystem.Register( "necrospell2", AccessLevel.Player, new CommandEventHandler(ToolBar_OnCommand) );; ResolvedCommand=necrospell2; ResolvedAccess=Player through reviewed spell command callsites; ResolvedHandler=ToolBar_OnCommand</t>
  </si>
  <si>
    <t>RB-04570</t>
  </si>
  <si>
    <t>P10-F04570</t>
  </si>
  <si>
    <t>PBM-0104</t>
  </si>
  <si>
    <t>SourceReviewClass=PlayerSpellbarCommandSurface; CurrentFile=Data/Scripts/System/Commands/Player/SpellBarsManage.cs; QueuedLine=11882; QueuedSourceLine=CommandSystem.Register(command, access, handler);; NearestRegistrationLine=11873; NearestRegistration=CommandSystem.Register( "knightspell1", AccessLevel.Player, new CommandEventHandler(ToolBar_OnCommand) );; ResolvedCommand=knightspell1; ResolvedAccess=Player through reviewed spell command callsites; ResolvedHandler=ToolBar_OnCommand</t>
  </si>
  <si>
    <t>RB-04572</t>
  </si>
  <si>
    <t>P10-F04572</t>
  </si>
  <si>
    <t>PBM-0105</t>
  </si>
  <si>
    <t>SourceReviewClass=PlayerSpellbarCommandSurface; CurrentFile=Data/Scripts/System/Commands/Player/SpellBarsManage.cs; QueuedLine=12211; QueuedSourceLine=CommandSystem.Register(command, access, handler);; NearestRegistrationLine=12202; NearestRegistration=CommandSystem.Register( "knightspell2", AccessLevel.Player, new CommandEventHandler(ToolBar_OnCommand) );; ResolvedCommand=knightspell2; ResolvedAccess=Player through reviewed spell command callsites; ResolvedHandler=ToolBar_OnCommand</t>
  </si>
  <si>
    <t>RB-04574</t>
  </si>
  <si>
    <t>P10-F04574</t>
  </si>
  <si>
    <t>PBM-0106</t>
  </si>
  <si>
    <t>SourceReviewClass=PlayerSpellbarCommandSurface; CurrentFile=Data/Scripts/System/Commands/Player/SpellBarsManage.cs; QueuedLine=12540; QueuedSourceLine=CommandSystem.Register(command, access, handler);; NearestRegistrationLine=12531; NearestRegistration=CommandSystem.Register( "bardsong1", AccessLevel.Player, new CommandEventHandler(ToolBar_OnCommand) );; ResolvedCommand=bardsong1; ResolvedAccess=Player through reviewed spell command callsites; ResolvedHandler=ToolBar_OnCommand</t>
  </si>
  <si>
    <t>RB-04576</t>
  </si>
  <si>
    <t>P10-F04576</t>
  </si>
  <si>
    <t>PBM-0107</t>
  </si>
  <si>
    <t>SourceReviewClass=PlayerSpellbarCommandSurface; CurrentFile=Data/Scripts/System/Commands/Player/SpellBarsManage.cs; QueuedLine=12968; QueuedSourceLine=CommandSystem.Register(command, access, handler);; NearestRegistrationLine=12959; NearestRegistration=CommandSystem.Register( "bardsong2", AccessLevel.Player, new CommandEventHandler(ToolBar_OnCommand) );; ResolvedCommand=bardsong2; ResolvedAccess=Player through reviewed spell command callsites; ResolvedHandler=ToolBar_OnCommand</t>
  </si>
  <si>
    <t>RB-04578</t>
  </si>
  <si>
    <t>P10-F04578</t>
  </si>
  <si>
    <t>PBM-0108</t>
  </si>
  <si>
    <t>SourceReviewClass=PlayerSpellbarCommandSurface; CurrentFile=Data/Scripts/System/Commands/Player/SpellBarsManage.cs; QueuedLine=13396; QueuedSourceLine=CommandSystem.Register(command, access, handler);; NearestRegistrationLine=13387; NearestRegistration=CommandSystem.Register( "deathspell1", AccessLevel.Player, new CommandEventHandler(ToolBar_OnCommand) );; ResolvedCommand=deathspell1; ResolvedAccess=Player through reviewed spell command callsites; ResolvedHandler=ToolBar_OnCommand</t>
  </si>
  <si>
    <t>RB-04580</t>
  </si>
  <si>
    <t>P10-F04580</t>
  </si>
  <si>
    <t>PBM-0109</t>
  </si>
  <si>
    <t>SourceReviewClass=PlayerSpellbarCommandSurface; CurrentFile=Data/Scripts/System/Commands/Player/SpellBarsManage.cs; QueuedLine=13793; QueuedSourceLine=CommandSystem.Register(command, access, handler);; NearestRegistrationLine=13784; NearestRegistration=CommandSystem.Register( "deathspell2", AccessLevel.Player, new CommandEventHandler(ToolBar_OnCommand) );; ResolvedCommand=deathspell2; ResolvedAccess=Player through reviewed spell command callsites; ResolvedHandler=ToolBar_OnCommand</t>
  </si>
  <si>
    <t>RB-04582</t>
  </si>
  <si>
    <t>P10-F04582</t>
  </si>
  <si>
    <t>PBM-0110</t>
  </si>
  <si>
    <t>SourceReviewClass=PlayerSpellbarCommandSurface; CurrentFile=Data/Scripts/System/Commands/Player/SpellBarsManage.cs; QueuedLine=14190; QueuedSourceLine=CommandSystem.Register(command, access, handler);; NearestRegistrationLine=14181; NearestRegistration=CommandSystem.Register( "holyspell1", AccessLevel.Player, new CommandEventHandler(ToolBar_OnCommand) );; ResolvedCommand=holyspell1; ResolvedAccess=Player through reviewed spell command callsites; ResolvedHandler=ToolBar_OnCommand</t>
  </si>
  <si>
    <t>RB-04584</t>
  </si>
  <si>
    <t>P10-F04584</t>
  </si>
  <si>
    <t>PBM-0111</t>
  </si>
  <si>
    <t>SourceReviewClass=PlayerSpellbarCommandSurface; CurrentFile=Data/Scripts/System/Commands/Player/SpellBarsManage.cs; QueuedLine=14585; QueuedSourceLine=CommandSystem.Register(command, access, handler);; NearestRegistrationLine=14576; NearestRegistration=CommandSystem.Register( "holyspell2", AccessLevel.Player, new CommandEventHandler(ToolBar_OnCommand) );; ResolvedCommand=holyspell2; ResolvedAccess=Player through reviewed spell command callsites; ResolvedHandler=ToolBar_OnCommand</t>
  </si>
  <si>
    <t>RB-04586</t>
  </si>
  <si>
    <t>P10-F04586</t>
  </si>
  <si>
    <t>PBM-0112</t>
  </si>
  <si>
    <t>SourceReviewClass=PlayerSpellbarCommandSurface; CurrentFile=Data/Scripts/System/Commands/Player/SpellBarsManage.cs; QueuedLine=14980; QueuedSourceLine=CommandSystem.Register(command, access, handler);; NearestRegistrationLine=14971; NearestRegistration=CommandSystem.Register( "monkspell1", AccessLevel.Player, new CommandEventHandler(ToolBar_OnCommand) );; ResolvedCommand=monkspell1; ResolvedAccess=Player through reviewed spell command callsites; ResolvedHandler=ToolBar_OnCommand</t>
  </si>
  <si>
    <t>RB-04588</t>
  </si>
  <si>
    <t>P10-F04588</t>
  </si>
  <si>
    <t>PBM-0113</t>
  </si>
  <si>
    <t>SourceReviewClass=PlayerSpellbarCommandSurface; CurrentFile=Data/Scripts/System/Commands/Player/SpellBarsManage.cs; QueuedLine=15309; QueuedSourceLine=CommandSystem.Register(command, access, handler);; NearestRegistrationLine=15300; NearestRegistration=CommandSystem.Register( "monkspell2", AccessLevel.Player, new CommandEventHandler(ToolBar_OnCommand) );; ResolvedCommand=monkspell2; ResolvedAccess=Player through reviewed spell command callsites; ResolvedHandler=ToolBar_OnCommand</t>
  </si>
  <si>
    <t>RB-04591</t>
  </si>
  <si>
    <t>P10-F04591</t>
  </si>
  <si>
    <t>PBM-0114</t>
  </si>
  <si>
    <t>SourceReviewClass=PassthroughHelperResolved; CurrentFile=Data/Scripts/System/Commands/Player/WealthBar.cs; QueuedLine=35; QueuedSourceLine=CommandSystem.Register(command, access, handler);; NearestRegistrationLine=26; NearestRegistration=CommandSystem.Register( "wealth", AccessLevel.Player, new CommandEventHandler(ToolBar_OnCommand) );; ResolvedCommand=wealth; ResolvedAccess=Caller supplied access parameter resolved at reviewed callsites; ResolvedHandler=ToolBar_OnCommand</t>
  </si>
  <si>
    <t>RB-04599</t>
  </si>
  <si>
    <t>P10-F04599</t>
  </si>
  <si>
    <t>PBM-0115</t>
  </si>
  <si>
    <t>SourceReviewClass=DirectCommandAccessResolved; CurrentFile=Data/Scripts/System/Misc/Accounts.cs; QueuedLine=373; QueuedSourceLine=new CityInfo("Death Gulch", "", 1075077, 4705, 2041, 0),; NearestRegistrationLine=387; NearestRegistration=CommandSystem.Register( "Password", AccessLevel.Player, new CommandEventHandler(Password_OnCommand) );; ResolvedCommand=Password; ResolvedAccess=Player; ResolvedHandler=Password_OnCommand</t>
  </si>
  <si>
    <t>RB-04621</t>
  </si>
  <si>
    <t>P10-F04621</t>
  </si>
  <si>
    <t>Data/Scripts/System/Misc/Captcha.cs</t>
  </si>
  <si>
    <t>PBY-0089</t>
  </si>
  <si>
    <t>PreserveCurrentCommandAccessPolicy</t>
  </si>
  <si>
    <t>Command source maintenance may proceed only if it preserves current command names, access levels, config override semantics, and console-output behavior. Excluded surface: Captcha font helper access and XMLSpawner config-driven command rename/access override behavior.</t>
  </si>
  <si>
    <t>PriorOverlayEvidence: SourceReviewClass=PlayerConsoleDumpPolicy; CurrentFile=Data/Scripts/System/Misc/Captcha.cs; QueuedLine=1124; QueuedSourceLine=CommandSystem.Register(command, access, handler);; NearestRegistrationLine=1124; NearestRegistration=CommandSystem.Register(command, access, handler);; ResolvedCommand=fonts; dumpFonts; ResolvedAccess=Player for fonts and dumpFonts helper registrations; ResolvedHandler=fonts_OnCommand; dumpFonts_OnCommand; PolicyEvidence=fonts and dumpFonts both pass AccessLevel.Player; dumpFonts writes to Console. || PriorNotes: Both fonts and dumpFonts are Player-access helper registrations; fonts opens the gump and dumpFonts writes alphabet data to Console. Treat access changes as policy, not a behavior-preserving source fix.</t>
  </si>
  <si>
    <t>PreviousStatus=NeedsHumanDecision; GateOutcome=Preserve current command access/config behavior.; RequiredApproval=Required before restricting, expanding, or changing the named command access/config behavior.</t>
  </si>
  <si>
    <t>RB-04633</t>
  </si>
  <si>
    <t>P10-F04633</t>
  </si>
  <si>
    <t>PBM-0117</t>
  </si>
  <si>
    <t>SourceReviewClass=PassthroughHelperResolved; CurrentFile=Data/Scripts/System/Misc/Players.cs; QueuedLine=1485; QueuedSourceLine=CommandSystem.Register(command, access, handler);; NearestRegistrationLine=1476; NearestRegistration=CommandSystem.Register( "status", AccessLevel.Player, new CommandEventHandler(MyStats_OnCommand) );; ResolvedCommand=status; ResolvedAccess=Caller supplied access parameter resolved at reviewed callsites; ResolvedHandler=MyStats_OnCommand</t>
  </si>
  <si>
    <t>RB-04646</t>
  </si>
  <si>
    <t>P10-F04646</t>
  </si>
  <si>
    <t>Data/Scripts/System/Misc/Statistics.cs</t>
  </si>
  <si>
    <t>PBM-0118</t>
  </si>
  <si>
    <t>SourceReviewClass=DirectCommandAccessResolved; CurrentFile=Data/Scripts/System/Misc/Statistics.cs; QueuedLine=106; QueuedSourceLine=CommandSystem.Register(; NearestRegistrationLine=106; NearestRegistration=CommandSystem.Register( "Statistics", Config.CanSeeStats, new CommandEventHandler(SeeStatistics_OnCommand) );; ResolvedCommand=Statistics; ResolvedAccess=Player via Config.CanSeeStats default; ResolvedHandler=SeeStatistics_OnCommand</t>
  </si>
  <si>
    <t>RB-04647</t>
  </si>
  <si>
    <t>P10-F04647</t>
  </si>
  <si>
    <t>PBM-0119</t>
  </si>
  <si>
    <t>SourceReviewClass=DirectCommandAccessResolved; CurrentFile=Data/Scripts/System/Misc/Statistics.cs; QueuedLine=111; QueuedSourceLine=CommandSystem.Register(; NearestRegistrationLine=106; NearestRegistration=CommandSystem.Register( "Statistics", Config.CanSeeStats, new CommandEventHandler(SeeStatistics_OnCommand) );; ResolvedCommand=UpdateStatistics; ResolvedAccess=Seer via Config.CanUpdateStats default; ResolvedHandler=UpdateStatistics_OnCommand</t>
  </si>
  <si>
    <t>RB-04649</t>
  </si>
  <si>
    <t>P10-F04649</t>
  </si>
  <si>
    <t>PBM-0120</t>
  </si>
  <si>
    <t>SourceReviewClass=PassthroughHelperResolved; CurrentFile=Data/Scripts/System/Misc/Weather.cs; QueuedLine=570; QueuedSourceLine=CommandSystem.Register(command, access, handler);; NearestRegistrationLine=561; NearestRegistration=CommandSystem.Register( "weather", AccessLevel.Administrator, new CommandEventHandler(Weather_OnCommand) );; ResolvedCommand=weather; ResolvedAccess=Caller supplied access parameter resolved at reviewed callsites; ResolvedHandler=Weather_OnCommand</t>
  </si>
  <si>
    <t>RB-04651</t>
  </si>
  <si>
    <t>P10-F04651</t>
  </si>
  <si>
    <t>PBM-0121</t>
  </si>
  <si>
    <t>SourceReviewClass=DirectCommandAccessResolved; CurrentFile=Data/Scripts/System/Misc/World.cs; QueuedLine=2575; QueuedSourceLine=if (Utility.BlockedTile(seaTile1.ID, "water")) { results++; }; NearestRegistrationLine=2595; NearestRegistration=CommandSystem.Register("world", AccessLevel.Administrator, new CommandEventHandler(WhereWorld_OnCommand));; ResolvedCommand=world; ResolvedAccess=Administrator; ResolvedHandler=WhereWorld_OnCommand</t>
  </si>
  <si>
    <t>RB-04256</t>
  </si>
  <si>
    <t>P10-F04256</t>
  </si>
  <si>
    <t>PBY-0090</t>
  </si>
  <si>
    <t>PriorOverlayEvidence: SourceReviewClass=ConfigDrivenCommandRehashPolicy; CurrentFile=Data/Scripts/Custom/XMLSpawner/XmlSpawner2.cs; QueuedLine=4293; QueuedSourceLine={; NearestRegistrationLine=4302; NearestRegistration=CommandSystem.Register(newname, access, e.Handler);; ResolvedCommand=ChangeCommand; ResolvedAccess=Config supplied access or preserved old command access; ResolvedHandler=Existing command handler; PolicyEvidence=ChangeCommand removes the old command entry and re-registers the new name with parsed access or preserved old access; no checked-in ChangeCommand config usage found. || PriorNotes: ChangeCommand syntax oldname:newname[:accesslevel] can re-register an existing command with config-supplied access, or preserve the old access when no override is supplied. No checked-in XML/config value currently exercises the override.</t>
  </si>
  <si>
    <t>RB-04257</t>
  </si>
  <si>
    <t>P10-F04257</t>
  </si>
  <si>
    <t>PBM-0123</t>
  </si>
  <si>
    <t>SourceReviewClass=XMLSpawnerStaffCommandSurface; CurrentFile=Data/Scripts/Custom/XMLSpawner/XmlSpawner2.cs; QueuedLine=4482; QueuedSourceLine=}; NearestRegistrationLine=4491; NearestRegistration=CommandSystem.Register( "XmlSpawnerShowAll", AccessLevel.Administrator, new CommandEventHandler(ShowSpawnPoints_OnCommand) );; ResolvedCommand=XmlSpawnerShowAll; ResolvedAccess=Administrator; ResolvedHandler=ShowSpawnPoints_OnCommand</t>
  </si>
  <si>
    <t>RB-04258</t>
  </si>
  <si>
    <t>P10-F04258</t>
  </si>
  <si>
    <t>PBM-0124</t>
  </si>
  <si>
    <t>SourceReviewClass=XMLSpawnerStaffCommandSurface; CurrentFile=Data/Scripts/Custom/XMLSpawner/XmlSpawner2.cs; QueuedLine=4487; QueuedSourceLine=DoGlobalSectorTimer(TimeSpan.FromSeconds(1));; NearestRegistrationLine=4491; NearestRegistration=CommandSystem.Register( "XmlSpawnerShowAll", AccessLevel.Administrator, new CommandEventHandler(ShowSpawnPoints_OnCommand) );; ResolvedCommand=XmlSpawnerShowAll; ResolvedAccess=Administrator; ResolvedHandler=ShowSpawnPoints_OnCommand</t>
  </si>
  <si>
    <t>RB-04259</t>
  </si>
  <si>
    <t>P10-F04259</t>
  </si>
  <si>
    <t>PBM-0125</t>
  </si>
  <si>
    <t>SourceReviewClass=XMLSpawnerStaffCommandSurface; CurrentFile=Data/Scripts/Custom/XMLSpawner/XmlSpawner2.cs; QueuedLine=4492; QueuedSourceLine="XmlSpawnerShowAll",; NearestRegistrationLine=4491; NearestRegistration=CommandSystem.Register( "XmlSpawnerShowAll", AccessLevel.Administrator, new CommandEventHandler(ShowSpawnPoints_OnCommand) );; ResolvedCommand=XmlSpawnerShowAll; ResolvedAccess=Administrator; ResolvedHandler=ShowSpawnPoints_OnCommand</t>
  </si>
  <si>
    <t>RB-04260</t>
  </si>
  <si>
    <t>P10-F04260</t>
  </si>
  <si>
    <t>PBM-0126</t>
  </si>
  <si>
    <t>SourceReviewClass=XMLSpawnerStaffCommandSurface; CurrentFile=Data/Scripts/Custom/XMLSpawner/XmlSpawner2.cs; QueuedLine=4497; QueuedSourceLine="XmlSpawnerHideAll",; NearestRegistrationLine=4491; NearestRegistration=CommandSystem.Register( "XmlSpawnerShowAll", AccessLevel.Administrator, new CommandEventHandler(ShowSpawnPoints_OnCommand) );; ResolvedCommand=XmlSpawnerShowAll; ResolvedAccess=Administrator; ResolvedHandler=HideSpawnPoints_OnCommand</t>
  </si>
  <si>
    <t>RB-04261</t>
  </si>
  <si>
    <t>P10-F04261</t>
  </si>
  <si>
    <t>PBM-0127</t>
  </si>
  <si>
    <t>SourceReviewClass=XMLSpawnerStaffCommandSurface; CurrentFile=Data/Scripts/Custom/XMLSpawner/XmlSpawner2.cs; QueuedLine=4502; QueuedSourceLine="XmlSpawnerWipe",; NearestRegistrationLine=4491; NearestRegistration=CommandSystem.Register( "XmlSpawnerShowAll", AccessLevel.Administrator, new CommandEventHandler(ShowSpawnPoints_OnCommand) );; ResolvedCommand=XmlSpawnerShowAll; ResolvedAccess=Administrator; ResolvedHandler=Wipe_OnCommand</t>
  </si>
  <si>
    <t>RB-04262</t>
  </si>
  <si>
    <t>P10-F04262</t>
  </si>
  <si>
    <t>PBM-0128</t>
  </si>
  <si>
    <t>SourceReviewClass=XMLSpawnerStaffCommandSurface; CurrentFile=Data/Scripts/Custom/XMLSpawner/XmlSpawner2.cs; QueuedLine=4507; QueuedSourceLine="XmlSpawnerWipeAll",; NearestRegistrationLine=4496; NearestRegistration=CommandSystem.Register( "XmlSpawnerHideAll", AccessLevel.Administrator, new CommandEventHandler(HideSpawnPoints_OnCommand) );; ResolvedCommand=XmlSpawnerHideAll; ResolvedAccess=Administrator; ResolvedHandler=WipeAll_OnCommand</t>
  </si>
  <si>
    <t>RB-04263</t>
  </si>
  <si>
    <t>P10-F04263</t>
  </si>
  <si>
    <t>PBM-0129</t>
  </si>
  <si>
    <t>SourceReviewClass=XMLSpawnerStaffCommandSurface; CurrentFile=Data/Scripts/Custom/XMLSpawner/XmlSpawner2.cs; QueuedLine=4512; QueuedSourceLine="XmlSpawnerLoad",; NearestRegistrationLine=4501; NearestRegistration=CommandSystem.Register( "XmlSpawnerWipe", AccessLevel.Administrator, new CommandEventHandler(Wipe_OnCommand) );; ResolvedCommand=XmlSpawnerWipe; ResolvedAccess=Administrator; ResolvedHandler=Load_OnCommand</t>
  </si>
  <si>
    <t>RB-04264</t>
  </si>
  <si>
    <t>P10-F04264</t>
  </si>
  <si>
    <t>PBM-0130</t>
  </si>
  <si>
    <t>SourceReviewClass=XMLSpawnerStaffCommandSurface; CurrentFile=Data/Scripts/Custom/XMLSpawner/XmlSpawner2.cs; QueuedLine=4518; QueuedSourceLine=DiskAccessLevel,; NearestRegistrationLine=4506; NearestRegistration=CommandSystem.Register( "XmlSpawnerWipeAll", AccessLevel.Administrator, new CommandEventHandler(WipeAll_OnCommand) );; ResolvedCommand=XmlSpawnerWipeAll; ResolvedAccess=Administrator; ResolvedHandler=Save_OnCommand</t>
  </si>
  <si>
    <t>RB-04265</t>
  </si>
  <si>
    <t>P10-F04265</t>
  </si>
  <si>
    <t>PBM-0131</t>
  </si>
  <si>
    <t>SourceReviewClass=XMLSpawnerStaffCommandSurface; CurrentFile=Data/Scripts/Custom/XMLSpawner/XmlSpawner2.cs; QueuedLine=4523; QueuedSourceLine=DiskAccessLevel,; NearestRegistrationLine=4511; NearestRegistration=CommandSystem.Register( "XmlSpawnerLoad", DiskAccessLevel, new CommandEventHandler(Load_OnCommand) );; ResolvedCommand=XmlSpawnerLoad; ResolvedAccess=Administrator default through DiskAccessLevel; ResolvedHandler=SaveAll_OnCommand</t>
  </si>
  <si>
    <t>RB-04266</t>
  </si>
  <si>
    <t>P10-F04266</t>
  </si>
  <si>
    <t>PBM-0132</t>
  </si>
  <si>
    <t>SourceReviewClass=XMLSpawnerStaffCommandSurface; CurrentFile=Data/Scripts/Custom/XMLSpawner/XmlSpawner2.cs; QueuedLine=4530; QueuedSourceLine=new CommandEventHandler(Respawn_OnCommand); NearestRegistrationLine=4521; NearestRegistration=CommandSystem.Register( "XmlSpawnerSaveAll", DiskAccessLevel, new CommandEventHandler(SaveAll_OnCommand) );; ResolvedCommand=XmlSpawnerSaveAll; ResolvedAccess=Administrator default through DiskAccessLevel; ResolvedHandler=Respawn_OnCommand</t>
  </si>
  <si>
    <t>RB-04267</t>
  </si>
  <si>
    <t>P10-F04267</t>
  </si>
  <si>
    <t>PBM-0133</t>
  </si>
  <si>
    <t>SourceReviewClass=XMLSpawnerStaffCommandSurface; CurrentFile=Data/Scripts/Custom/XMLSpawner/XmlSpawner2.cs; QueuedLine=4535; QueuedSourceLine=new CommandEventHandler(RespawnAll_OnCommand); NearestRegistrationLine=4527; NearestRegistration=CommandSystem.Register( "XmlSpawnerRespawn", AccessLevel.GameMaster, new CommandEventHandler(Respawn_OnCommand) );; ResolvedCommand=XmlSpawnerRespawn; ResolvedAccess=GameMaster; ResolvedHandler=RespawnAll_OnCommand</t>
  </si>
  <si>
    <t>RB-04268</t>
  </si>
  <si>
    <t>P10-F04268</t>
  </si>
  <si>
    <t>PBM-0134</t>
  </si>
  <si>
    <t>SourceReviewClass=XMLSpawnerStaffCommandSurface; CurrentFile=Data/Scripts/Custom/XMLSpawner/XmlSpawner2.cs; QueuedLine=4541; QueuedSourceLine=AccessLevel.Administrator,; NearestRegistrationLine=4532; NearestRegistration=CommandSystem.Register( "XmlSpawnerRespawnAll", AccessLevel.GameMaster, new CommandEventHandler(RespawnAll_OnCommand) );; ResolvedCommand=XmlSpawnerRespawnAll; ResolvedAccess=GameMaster; ResolvedHandler=ShowSpawnPoints_OnCommand</t>
  </si>
  <si>
    <t>RB-04269</t>
  </si>
  <si>
    <t>P10-F04269</t>
  </si>
  <si>
    <t>PBM-0135</t>
  </si>
  <si>
    <t>SourceReviewClass=XMLSpawnerStaffCommandSurface; CurrentFile=Data/Scripts/Custom/XMLSpawner/XmlSpawner2.cs; QueuedLine=4546; QueuedSourceLine=AccessLevel.Administrator,; NearestRegistrationLine=4539; NearestRegistration=CommandSystem.Register( "XmlShow", AccessLevel.Administrator, new CommandEventHandler(ShowSpawnPoints_OnCommand) );; ResolvedCommand=XmlShow; ResolvedAccess=Administrator; ResolvedHandler=HideSpawnPoints_OnCommand</t>
  </si>
  <si>
    <t>RB-04270</t>
  </si>
  <si>
    <t>P10-F04270</t>
  </si>
  <si>
    <t>PBM-0136</t>
  </si>
  <si>
    <t>SourceReviewClass=XMLSpawnerStaffCommandSurface; CurrentFile=Data/Scripts/Custom/XMLSpawner/XmlSpawner2.cs; QueuedLine=4551; QueuedSourceLine="XmlHome",; NearestRegistrationLine=4539; NearestRegistration=CommandSystem.Register( "XmlShow", AccessLevel.Administrator, new CommandEventHandler(ShowSpawnPoints_OnCommand) );; ResolvedCommand=XmlShow; ResolvedAccess=Administrator; ResolvedHandler=XmlHome_OnCommand</t>
  </si>
  <si>
    <t>RB-04271</t>
  </si>
  <si>
    <t>P10-F04271</t>
  </si>
  <si>
    <t>PBM-0137</t>
  </si>
  <si>
    <t>SourceReviewClass=XMLSpawnerStaffCommandSurface; CurrentFile=Data/Scripts/Custom/XMLSpawner/XmlSpawner2.cs; QueuedLine=4556; QueuedSourceLine="XmlUnLoad",; NearestRegistrationLine=4544; NearestRegistration=CommandSystem.Register( "XmlHide", AccessLevel.Administrator, new CommandEventHandler(HideSpawnPoints_OnCommand) );; ResolvedCommand=XmlHide; ResolvedAccess=Administrator; ResolvedHandler=UnLoad_OnCommand</t>
  </si>
  <si>
    <t>RB-04272</t>
  </si>
  <si>
    <t>P10-F04272</t>
  </si>
  <si>
    <t>PBM-0138</t>
  </si>
  <si>
    <t>SourceReviewClass=XMLSpawnerStaffCommandSurface; CurrentFile=Data/Scripts/Custom/XMLSpawner/XmlSpawner2.cs; QueuedLine=4561; QueuedSourceLine="XmlSpawnerUnLoad",; NearestRegistrationLine=4550; NearestRegistration=CommandSystem.Register( "XmlHome", AccessLevel.GameMaster, new CommandEventHandler(XmlHome_OnCommand) );; ResolvedCommand=XmlHome; ResolvedAccess=GameMaster; ResolvedHandler=UnLoad_OnCommand</t>
  </si>
  <si>
    <t>RB-04273</t>
  </si>
  <si>
    <t>P10-F04273</t>
  </si>
  <si>
    <t>PBM-0139</t>
  </si>
  <si>
    <t>SourceReviewClass=XMLSpawnerStaffCommandSurface; CurrentFile=Data/Scripts/Custom/XMLSpawner/XmlSpawner2.cs; QueuedLine=4566; QueuedSourceLine="XmlLoad",; NearestRegistrationLine=4555; NearestRegistration=CommandSystem.Register( "XmlUnLoad", DiskAccessLevel, new CommandEventHandler(UnLoad_OnCommand) );; ResolvedCommand=XmlUnLoad; ResolvedAccess=Administrator default through DiskAccessLevel; ResolvedHandler=Load_OnCommand</t>
  </si>
  <si>
    <t>RB-04274</t>
  </si>
  <si>
    <t>P10-F04274</t>
  </si>
  <si>
    <t>PBM-0140</t>
  </si>
  <si>
    <t>SourceReviewClass=XMLSpawnerStaffCommandSurface; CurrentFile=Data/Scripts/Custom/XMLSpawner/XmlSpawner2.cs; QueuedLine=4571; QueuedSourceLine="XmlLoadHere",; NearestRegistrationLine=4560; NearestRegistration=CommandSystem.Register( "XmlSpawnerUnLoad", DiskAccessLevel, new CommandEventHandler(UnLoad_OnCommand) );; ResolvedCommand=XmlSpawnerUnLoad; ResolvedAccess=Administrator default through DiskAccessLevel; ResolvedHandler=LoadHere_OnCommand</t>
  </si>
  <si>
    <t>RB-04275</t>
  </si>
  <si>
    <t>P10-F04275</t>
  </si>
  <si>
    <t>PBM-0141</t>
  </si>
  <si>
    <t>SourceReviewClass=XMLSpawnerStaffCommandSurface; CurrentFile=Data/Scripts/Custom/XMLSpawner/XmlSpawner2.cs; QueuedLine=4576; QueuedSourceLine="XmlNewLoad",; NearestRegistrationLine=4565; NearestRegistration=CommandSystem.Register( "XmlLoad", DiskAccessLevel, new CommandEventHandler(Load_OnCommand) );; ResolvedCommand=XmlLoad; ResolvedAccess=Administrator default through DiskAccessLevel; ResolvedHandler=NewLoad_OnCommand</t>
  </si>
  <si>
    <t>RB-04276</t>
  </si>
  <si>
    <t>P10-F04276</t>
  </si>
  <si>
    <t>PBM-0142</t>
  </si>
  <si>
    <t>SourceReviewClass=XMLSpawnerStaffCommandSurface; CurrentFile=Data/Scripts/Custom/XMLSpawner/XmlSpawner2.cs; QueuedLine=4581; QueuedSourceLine="XmlNewLoadHere",; NearestRegistrationLine=4570; NearestRegistration=CommandSystem.Register( "XmlLoadHere", DiskAccessLevel, new CommandEventHandler(LoadHere_OnCommand) );; ResolvedCommand=XmlLoadHere; ResolvedAccess=Administrator default through DiskAccessLevel; ResolvedHandler=NewLoadHere_OnCommand</t>
  </si>
  <si>
    <t>RB-04277</t>
  </si>
  <si>
    <t>P10-F04277</t>
  </si>
  <si>
    <t>PBM-0143</t>
  </si>
  <si>
    <t>SourceReviewClass=XMLSpawnerStaffCommandSurface; CurrentFile=Data/Scripts/Custom/XMLSpawner/XmlSpawner2.cs; QueuedLine=4586; QueuedSourceLine="XmlSave",; NearestRegistrationLine=4575; NearestRegistration=CommandSystem.Register( "XmlNewLoad", DiskAccessLevel, new CommandEventHandler(NewLoad_OnCommand) );; ResolvedCommand=XmlNewLoad; ResolvedAccess=Administrator default through DiskAccessLevel; ResolvedHandler=Save_OnCommand</t>
  </si>
  <si>
    <t>RB-04278</t>
  </si>
  <si>
    <t>P10-F04278</t>
  </si>
  <si>
    <t>PBM-0144</t>
  </si>
  <si>
    <t>SourceReviewClass=XMLSpawnerStaffCommandSurface; CurrentFile=Data/Scripts/Custom/XMLSpawner/XmlSpawner2.cs; QueuedLine=4591; QueuedSourceLine="XmlSaveAll",; NearestRegistrationLine=4580; NearestRegistration=CommandSystem.Register( "XmlNewLoadHere", DiskAccessLevel, new CommandEventHandler(NewLoadHere_OnCommand) );; ResolvedCommand=XmlNewLoadHere; ResolvedAccess=Administrator default through DiskAccessLevel; ResolvedHandler=SaveAll_OnCommand</t>
  </si>
  <si>
    <t>RB-04279</t>
  </si>
  <si>
    <t>P10-F04279</t>
  </si>
  <si>
    <t>PBM-0145</t>
  </si>
  <si>
    <t>SourceReviewClass=XMLSpawnerStaffCommandSurface; CurrentFile=Data/Scripts/Custom/XMLSpawner/XmlSpawner2.cs; QueuedLine=4596; QueuedSourceLine="XmlSaveOld",; NearestRegistrationLine=4585; NearestRegistration=CommandSystem.Register( "XmlSave", DiskAccessLevel, new CommandEventHandler(Save_OnCommand) );; ResolvedCommand=XmlSave; ResolvedAccess=Administrator default through DiskAccessLevel; ResolvedHandler=SaveOld_OnCommand</t>
  </si>
  <si>
    <t>RB-04280</t>
  </si>
  <si>
    <t>P10-F04280</t>
  </si>
  <si>
    <t>PBM-0146</t>
  </si>
  <si>
    <t>SourceReviewClass=XMLSpawnerStaffCommandSurface; CurrentFile=Data/Scripts/Custom/XMLSpawner/XmlSpawner2.cs; QueuedLine=4601; QueuedSourceLine="XmlImportSpawners",; NearestRegistrationLine=4590; NearestRegistration=CommandSystem.Register( "XmlSaveAll", DiskAccessLevel, new CommandEventHandler(SaveAll_OnCommand) );; ResolvedCommand=XmlSaveAll; ResolvedAccess=Administrator default through DiskAccessLevel; ResolvedHandler=XmlImportSpawners_OnCommand</t>
  </si>
  <si>
    <t>RB-04281</t>
  </si>
  <si>
    <t>P10-F04281</t>
  </si>
  <si>
    <t>PBM-0147</t>
  </si>
  <si>
    <t>SourceReviewClass=XMLSpawnerStaffCommandSurface; CurrentFile=Data/Scripts/Custom/XMLSpawner/XmlSpawner2.cs; QueuedLine=4606; QueuedSourceLine="XmlImportMSF",; NearestRegistrationLine=4595; NearestRegistration=CommandSystem.Register( "XmlSaveOld", DiskAccessLevel, new CommandEventHandler(SaveOld_OnCommand) );; ResolvedCommand=XmlSaveOld; ResolvedAccess=Administrator default through DiskAccessLevel; ResolvedHandler=XmlImportMSF_OnCommand</t>
  </si>
  <si>
    <t>RB-04282</t>
  </si>
  <si>
    <t>P10-F04282</t>
  </si>
  <si>
    <t>PBM-0148</t>
  </si>
  <si>
    <t>SourceReviewClass=XMLSpawnerStaffCommandSurface; CurrentFile=Data/Scripts/Custom/XMLSpawner/XmlSpawner2.cs; QueuedLine=4611; QueuedSourceLine="XmlImportMap",; NearestRegistrationLine=4600; NearestRegistration=CommandSystem.Register( "XmlImportSpawners", DiskAccessLevel, new CommandEventHandler(XmlImportSpawners_OnCommand) );; ResolvedCommand=XmlImportSpawners; ResolvedAccess=Administrator default through DiskAccessLevel; ResolvedHandler=XmlImportMap_OnCommand</t>
  </si>
  <si>
    <t>RB-04284</t>
  </si>
  <si>
    <t>P10-F04284</t>
  </si>
  <si>
    <t>PBM-0149</t>
  </si>
  <si>
    <t>SourceReviewClass=XMLSpawnerStaffCommandSurface; CurrentFile=Data/Scripts/Custom/XMLSpawner/XmlSpawner2.cs; QueuedLine=4618; QueuedSourceLine=new CommandEventHandler(XmlDefaults_OnCommand); NearestRegistrationLine=4610; NearestRegistration=CommandSystem.Register( "XmlImportMap", DiskAccessLevel, new CommandEventHandler(XmlImportMap_OnCommand) );; ResolvedCommand=XmlImportMap; ResolvedAccess=Administrator default through DiskAccessLevel; ResolvedHandler=XmlDefaults_OnCommand</t>
  </si>
  <si>
    <t>RB-04285</t>
  </si>
  <si>
    <t>P10-F04285</t>
  </si>
  <si>
    <t>PBM-0150</t>
  </si>
  <si>
    <t>SourceReviewClass=XMLSpawnerStaffCommandSurface; CurrentFile=Data/Scripts/Custom/XMLSpawner/XmlSpawner2.cs; QueuedLine=4623; QueuedSourceLine=new CommandEventHandler(XmlGetValue_OnCommand); NearestRegistrationLine=4615; NearestRegistration=CommandSystem.Register( "XmlDefaults", AccessLevel.Administrator, new CommandEventHandler(XmlDefaults_OnCommand) );; ResolvedCommand=XmlDefaults; ResolvedAccess=Administrator; ResolvedHandler=XmlGetValue_OnCommand</t>
  </si>
  <si>
    <t>RB-04286</t>
  </si>
  <si>
    <t>P10-F04286</t>
  </si>
  <si>
    <t>PBM-0151</t>
  </si>
  <si>
    <t>SourceReviewClass=XMLSpawnerStaffCommandSurface; CurrentFile=Data/Scripts/Custom/XMLSpawner/XmlSpawner2.cs; QueuedLine=4628; QueuedSourceLine="OptimalSmartSpawning",; NearestRegistrationLine=4620; NearestRegistration=CommandSystem.Register( "XmlGet", AccessLevel.GameMaster, new CommandEventHandler(XmlGetValue_OnCommand) );; ResolvedCommand=XmlGet; ResolvedAccess=GameMaster; ResolvedHandler=OptimalSmartSpawning_OnCommand</t>
  </si>
  <si>
    <t>RB-04288</t>
  </si>
  <si>
    <t>P10-F04288</t>
  </si>
  <si>
    <t>PBM-0152</t>
  </si>
  <si>
    <t>SourceReviewClass=XMLSpawnerStaffCommandSurface; CurrentFile=Data/Scripts/Custom/XMLSpawner/XmlSpawner2.cs; QueuedLine=4636; QueuedSourceLine=);; NearestRegistrationLine=4626; NearestRegistration=//CommandSystem.Register( "XmlSet", AccessLevel.GameMaster, new CommandEventHandler( XmlSetValue_OnCommand ) );; ResolvedCommand=XmlSet; ResolvedAccess=GameMaster; ResolvedHandler=XmlSetValue_OnCommand</t>
  </si>
  <si>
    <t>RB-04289</t>
  </si>
  <si>
    <t>P10-F04289</t>
  </si>
  <si>
    <t>PBM-0153</t>
  </si>
  <si>
    <t>SourceReviewClass=XMLSpawnerStaffCommandSurface; CurrentFile=Data/Scripts/Custom/XMLSpawner/XmlSpawner2.cs; QueuedLine=4641; QueuedSourceLine=);; NearestRegistrationLine=4632; NearestRegistration=CommandSystem.Register( "SmartStat", AccessLevel.GameMaster, new CommandEventHandler(SmartStat_OnCommand) );; ResolvedCommand=SmartStat; ResolvedAccess=GameMaster; ResolvedHandler=SmartStat_OnCommand</t>
  </si>
  <si>
    <t>RB-04290</t>
  </si>
  <si>
    <t>P10-F04290</t>
  </si>
  <si>
    <t>PBM-0154</t>
  </si>
  <si>
    <t>SourceReviewClass=XMLSpawnerStaffCommandSurface; CurrentFile=Data/Scripts/Custom/XMLSpawner/XmlSpawner2.cs; QueuedLine=4646; QueuedSourceLine="XmlMake",; NearestRegistrationLine=4637; NearestRegistration=CommandSystem.Register( "XmlGo", AccessLevel.GameMaster, new CommandEventHandler(SpawnEditorGo_OnCommand) );; ResolvedCommand=XmlGo; ResolvedAccess=GameMaster; ResolvedHandler=XmlMake_OnCommand</t>
  </si>
  <si>
    <t>RB-04301</t>
  </si>
  <si>
    <t>P10-F04301</t>
  </si>
  <si>
    <t>PBM-0155</t>
  </si>
  <si>
    <t>SourceReviewClass=XMLPointsCommandSurface; CurrentFile=Data/Scripts/Custom/XMLSpawner/XmlAttachments/XmlPoints.cs; QueuedLine=772; QueuedSourceLine=MessageType.Regular,; NearestRegistrationLine=784; NearestRegistration=CommandSystem.Register( "PointsLanguage", AccessLevel.Player, new CommandEventHandler(Language_OnCommand) );; ResolvedCommand=PointsLanguage; ResolvedAccess=Mixed: Player challenge/stat commands, GameMaster broadcast command, Administrator point maintenance; ResolvedHandler=Language_OnCommand</t>
  </si>
  <si>
    <t>RB-04302</t>
  </si>
  <si>
    <t>P10-F04302</t>
  </si>
  <si>
    <t>PBM-0156</t>
  </si>
  <si>
    <t>SourceReviewClass=XMLPointsCommandSurface; CurrentFile=Data/Scripts/Custom/XMLSpawner/XmlAttachments/XmlPoints.cs; QueuedLine=777; QueuedSourceLine=}; NearestRegistrationLine=784; NearestRegistration=CommandSystem.Register( "PointsLanguage", AccessLevel.Player, new CommandEventHandler(Language_OnCommand) );; ResolvedCommand=PointsLanguage; ResolvedAccess=Mixed: Player challenge/stat commands, GameMaster broadcast command, Administrator point maintenance; ResolvedHandler=Language_OnCommand</t>
  </si>
  <si>
    <t>RB-04303</t>
  </si>
  <si>
    <t>P10-F04303</t>
  </si>
  <si>
    <t>PBM-0157</t>
  </si>
  <si>
    <t>SourceReviewClass=XMLPointsCommandSurface; CurrentFile=Data/Scripts/Custom/XMLSpawner/XmlAttachments/XmlPoints.cs; QueuedLine=782; QueuedSourceLine=EventSink.Speech += new SpeechEventHandler(EventSink_Speech);; NearestRegistrationLine=784; NearestRegistration=CommandSystem.Register( "PointsLanguage", AccessLevel.Player, new CommandEventHandler(Language_OnCommand) );; ResolvedCommand=PointsLanguage; ResolvedAccess=Mixed: Player challenge/stat commands, GameMaster broadcast command, Administrator point maintenance; ResolvedHandler=Language_OnCommand</t>
  </si>
  <si>
    <t>RB-04304</t>
  </si>
  <si>
    <t>P10-F04304</t>
  </si>
  <si>
    <t>PBM-0158</t>
  </si>
  <si>
    <t>SourceReviewClass=XMLPointsCommandSurface; CurrentFile=Data/Scripts/Custom/XMLSpawner/XmlAttachments/XmlPoints.cs; QueuedLine=787; QueuedSourceLine=new CommandEventHandler(Language_OnCommand); NearestRegistrationLine=784; NearestRegistration=CommandSystem.Register( "PointsLanguage", AccessLevel.Player, new CommandEventHandler(Language_OnCommand) );; ResolvedCommand=PointsLanguage; ResolvedAccess=Mixed: Player challenge/stat commands, GameMaster broadcast command, Administrator point maintenance; ResolvedHandler=Language_OnCommand</t>
  </si>
  <si>
    <t>RB-04305</t>
  </si>
  <si>
    <t>P10-F04305</t>
  </si>
  <si>
    <t>PBM-0159</t>
  </si>
  <si>
    <t>SourceReviewClass=XMLPointsCommandSurface; CurrentFile=Data/Scripts/Custom/XMLSpawner/XmlAttachments/XmlPoints.cs; QueuedLine=792; QueuedSourceLine=new CommandEventHandler(Challenge_OnCommand); NearestRegistrationLine=784; NearestRegistration=CommandSystem.Register( "PointsLanguage", AccessLevel.Player, new CommandEventHandler(Language_OnCommand) );; ResolvedCommand=PointsLanguage; ResolvedAccess=Mixed: Player challenge/stat commands, GameMaster broadcast command, Administrator point maintenance; ResolvedHandler=Challenge_OnCommand</t>
  </si>
  <si>
    <t>RB-04306</t>
  </si>
  <si>
    <t>P10-F04306</t>
  </si>
  <si>
    <t>PBM-0160</t>
  </si>
  <si>
    <t>SourceReviewClass=XMLPointsCommandSurface; CurrentFile=Data/Scripts/Custom/XMLSpawner/XmlAttachments/XmlPoints.cs; QueuedLine=797; QueuedSourceLine=new CommandEventHandler(LMSChallenge_OnCommand); NearestRegistrationLine=789; NearestRegistration=CommandSystem.Register( "Challenge", AccessLevel.Player, new CommandEventHandler(Challenge_OnCommand) );; ResolvedCommand=Challenge; ResolvedAccess=Mixed: Player challenge/stat commands, GameMaster broadcast command, Administrator point maintenance; ResolvedHandler=LMSChallenge_OnCommand</t>
  </si>
  <si>
    <t>RB-04307</t>
  </si>
  <si>
    <t>P10-F04307</t>
  </si>
  <si>
    <t>PBM-0161</t>
  </si>
  <si>
    <t>SourceReviewClass=XMLPointsCommandSurface; CurrentFile=Data/Scripts/Custom/XMLSpawner/XmlAttachments/XmlPoints.cs; QueuedLine=802; QueuedSourceLine=new CommandEventHandler(TeamLMSChallenge_OnCommand); NearestRegistrationLine=794; NearestRegistration=CommandSystem.Register( "LMSChallenge", AccessLevel.Player, new CommandEventHandler(LMSChallenge_OnCommand) );; ResolvedCommand=LMSChallenge; ResolvedAccess=Mixed: Player challenge/stat commands, GameMaster broadcast command, Administrator point maintenance; ResolvedHandler=TeamLMSChallenge_OnCommand</t>
  </si>
  <si>
    <t>RB-04308</t>
  </si>
  <si>
    <t>P10-F04308</t>
  </si>
  <si>
    <t>PBM-0162</t>
  </si>
  <si>
    <t>SourceReviewClass=XMLPointsCommandSurface; CurrentFile=Data/Scripts/Custom/XMLSpawner/XmlAttachments/XmlPoints.cs; QueuedLine=807; QueuedSourceLine=new CommandEventHandler(Deathmatch_OnCommand); NearestRegistrationLine=799; NearestRegistration=CommandSystem.Register( "TeamLMSChallenge", AccessLevel.Player, new CommandEventHandler(TeamLMSChallenge_OnCommand) );; ResolvedCommand=TeamLMSChallenge; ResolvedAccess=Mixed: Player challenge/stat commands, GameMaster broadcast command, Administrator point maintenance; ResolvedHandler=Deathmatch_OnCommand</t>
  </si>
  <si>
    <t>RB-04309</t>
  </si>
  <si>
    <t>P10-F04309</t>
  </si>
  <si>
    <t>PBM-0163</t>
  </si>
  <si>
    <t>SourceReviewClass=XMLPointsCommandSurface; CurrentFile=Data/Scripts/Custom/XMLSpawner/XmlAttachments/XmlPoints.cs; QueuedLine=812; QueuedSourceLine=new CommandEventHandler(TeamDeathmatch_OnCommand); NearestRegistrationLine=804; NearestRegistration=CommandSystem.Register( "Deathmatch", AccessLevel.Player, new CommandEventHandler(Deathmatch_OnCommand) );; ResolvedCommand=Deathmatch; ResolvedAccess=Mixed: Player challenge/stat commands, GameMaster broadcast command, Administrator point maintenance; ResolvedHandler=TeamDeathmatch_OnCommand</t>
  </si>
  <si>
    <t>RB-04310</t>
  </si>
  <si>
    <t>P10-F04310</t>
  </si>
  <si>
    <t>PBM-0164</t>
  </si>
  <si>
    <t>SourceReviewClass=XMLPointsCommandSurface; CurrentFile=Data/Scripts/Custom/XMLSpawner/XmlAttachments/XmlPoints.cs; QueuedLine=817; QueuedSourceLine=new CommandEventHandler(DeathBall_OnCommand); NearestRegistrationLine=809; NearestRegistration=CommandSystem.Register( "TeamDeathmatch", AccessLevel.Player, new CommandEventHandler(TeamDeathmatch_OnCommand) );; ResolvedCommand=TeamDeathmatch; ResolvedAccess=Mixed: Player challenge/stat commands, GameMaster broadcast command, Administrator point maintenance; ResolvedHandler=DeathBall_OnCommand</t>
  </si>
  <si>
    <t>RB-04311</t>
  </si>
  <si>
    <t>P10-F04311</t>
  </si>
  <si>
    <t>PBM-0165</t>
  </si>
  <si>
    <t>SourceReviewClass=XMLPointsCommandSurface; CurrentFile=Data/Scripts/Custom/XMLSpawner/XmlAttachments/XmlPoints.cs; QueuedLine=822; QueuedSourceLine=new CommandEventHandler(KingOfTheHill_OnCommand); NearestRegistrationLine=814; NearestRegistration=CommandSystem.Register( "DeathBall", AccessLevel.Player, new CommandEventHandler(DeathBall_OnCommand) );; ResolvedCommand=DeathBall; ResolvedAccess=Mixed: Player challenge/stat commands, GameMaster broadcast command, Administrator point maintenance; ResolvedHandler=KingOfTheHill_OnCommand</t>
  </si>
  <si>
    <t>RB-04312</t>
  </si>
  <si>
    <t>P10-F04312</t>
  </si>
  <si>
    <t>PBM-0166</t>
  </si>
  <si>
    <t>SourceReviewClass=XMLPointsCommandSurface; CurrentFile=Data/Scripts/Custom/XMLSpawner/XmlAttachments/XmlPoints.cs; QueuedLine=827; QueuedSourceLine=new CommandEventHandler(TeamDeathBall_OnCommand); NearestRegistrationLine=819; NearestRegistration=CommandSystem.Register( "KingOfTheHill", AccessLevel.Player, new CommandEventHandler(KingOfTheHill_OnCommand) );; ResolvedCommand=KingOfTheHill; ResolvedAccess=Mixed: Player challenge/stat commands, GameMaster broadcast command, Administrator point maintenance; ResolvedHandler=TeamDeathBall_OnCommand</t>
  </si>
  <si>
    <t>RB-04313</t>
  </si>
  <si>
    <t>P10-F04313</t>
  </si>
  <si>
    <t>PBM-0167</t>
  </si>
  <si>
    <t>SourceReviewClass=XMLPointsCommandSurface; CurrentFile=Data/Scripts/Custom/XMLSpawner/XmlAttachments/XmlPoints.cs; QueuedLine=832; QueuedSourceLine=new CommandEventHandler(TeamKotH_OnCommand); NearestRegistrationLine=824; NearestRegistration=CommandSystem.Register( "TeamDeathBall", AccessLevel.Player, new CommandEventHandler(TeamDeathBall_OnCommand) );; ResolvedCommand=TeamDeathBall; ResolvedAccess=Mixed: Player challenge/stat commands, GameMaster broadcast command, Administrator point maintenance; ResolvedHandler=TeamKotH_OnCommand</t>
  </si>
  <si>
    <t>RB-04314</t>
  </si>
  <si>
    <t>P10-F04314</t>
  </si>
  <si>
    <t>PBM-0168</t>
  </si>
  <si>
    <t>SourceReviewClass=XMLPointsCommandSurface; CurrentFile=Data/Scripts/Custom/XMLSpawner/XmlAttachments/XmlPoints.cs; QueuedLine=837; QueuedSourceLine=new CommandEventHandler(CTFChallenge_OnCommand); NearestRegistrationLine=829; NearestRegistration=CommandSystem.Register( "TeamKotH", AccessLevel.Player, new CommandEventHandler(TeamKotH_OnCommand) );; ResolvedCommand=TeamKotH; ResolvedAccess=Mixed: Player challenge/stat commands, GameMaster broadcast command, Administrator point maintenance; ResolvedHandler=CTFChallenge_OnCommand</t>
  </si>
  <si>
    <t>RB-04315</t>
  </si>
  <si>
    <t>P10-F04315</t>
  </si>
  <si>
    <t>PBM-0169</t>
  </si>
  <si>
    <t>SourceReviewClass=XMLPointsCommandSurface; CurrentFile=Data/Scripts/Custom/XMLSpawner/XmlAttachments/XmlPoints.cs; QueuedLine=842; QueuedSourceLine=new CommandEventHandler(SystemBroadcastKills_OnCommand); NearestRegistrationLine=834; NearestRegistration=CommandSystem.Register( "CTFChallenge", AccessLevel.Player, new CommandEventHandler(CTFChallenge_OnCommand) );; ResolvedCommand=CTFChallenge; ResolvedAccess=Mixed: Player challenge/stat commands, GameMaster broadcast command, Administrator point maintenance; ResolvedHandler=SystemBroadcastKills_OnCommand</t>
  </si>
  <si>
    <t>RB-04316</t>
  </si>
  <si>
    <t>P10-F04316</t>
  </si>
  <si>
    <t>PBM-0170</t>
  </si>
  <si>
    <t>SourceReviewClass=XMLPointsCommandSurface; CurrentFile=Data/Scripts/Custom/XMLSpawner/XmlAttachments/XmlPoints.cs; QueuedLine=847; QueuedSourceLine=new CommandEventHandler(SeeKills_OnCommand); NearestRegistrationLine=839; NearestRegistration=CommandSystem.Register( "SystemBroadcastKills", AccessLevel.GameMaster, new CommandEventHandler(SystemBroadcastKills_OnCommand) );; ResolvedCommand=SystemBroadcastKills; ResolvedAccess=Mixed: Player challenge/stat commands, GameMaster broadcast command, Administrator point maintenance; ResolvedHandler=SeeKills_OnCommand</t>
  </si>
  <si>
    <t>RB-04317</t>
  </si>
  <si>
    <t>P10-F04317</t>
  </si>
  <si>
    <t>PBM-0171</t>
  </si>
  <si>
    <t>SourceReviewClass=XMLPointsCommandSurface; CurrentFile=Data/Scripts/Custom/XMLSpawner/XmlAttachments/XmlPoints.cs; QueuedLine=852; QueuedSourceLine=new CommandEventHandler(BroadcastKills_OnCommand); NearestRegistrationLine=844; NearestRegistration=CommandSystem.Register( "SeeKills", AccessLevel.Player, new CommandEventHandler(SeeKills_OnCommand) );; ResolvedCommand=SeeKills; ResolvedAccess=Mixed: Player challenge/stat commands, GameMaster broadcast command, Administrator point maintenance; ResolvedHandler=BroadcastKills_OnCommand</t>
  </si>
  <si>
    <t>RB-04318</t>
  </si>
  <si>
    <t>P10-F04318</t>
  </si>
  <si>
    <t>PBM-0172</t>
  </si>
  <si>
    <t>SourceReviewClass=XMLPointsCommandSurface; CurrentFile=Data/Scripts/Custom/XMLSpawner/XmlAttachments/XmlPoints.cs; QueuedLine=857; QueuedSourceLine=new CommandEventHandler(CheckPoints_OnCommand); NearestRegistrationLine=849; NearestRegistration=CommandSystem.Register( "BroadcastKills", AccessLevel.Player, new CommandEventHandler(BroadcastKills_OnCommand) );; ResolvedCommand=BroadcastKills; ResolvedAccess=Mixed: Player challenge/stat commands, GameMaster broadcast command, Administrator point maintenance; ResolvedHandler=CheckPoints_OnCommand</t>
  </si>
  <si>
    <t>RB-04319</t>
  </si>
  <si>
    <t>P10-F04319</t>
  </si>
  <si>
    <t>PBM-0173</t>
  </si>
  <si>
    <t>SourceReviewClass=XMLPointsCommandSurface; CurrentFile=Data/Scripts/Custom/XMLSpawner/XmlAttachments/XmlPoints.cs; QueuedLine=862; QueuedSourceLine=new CommandEventHandler(TopPlayers_OnCommand); NearestRegistrationLine=854; NearestRegistration=CommandSystem.Register( "CheckPoints", AccessLevel.Player, new CommandEventHandler(CheckPoints_OnCommand) );; ResolvedCommand=CheckPoints; ResolvedAccess=Mixed: Player challenge/stat commands, GameMaster broadcast command, Administrator point maintenance; ResolvedHandler=TopPlayers_OnCommand</t>
  </si>
  <si>
    <t>RB-04325</t>
  </si>
  <si>
    <t>P10-F04325</t>
  </si>
  <si>
    <t>PBM-0174</t>
  </si>
  <si>
    <t>SourceReviewClass=DirectCommandAccessResolved; CurrentFile=Data/Scripts/Custom/XMLSpawner/XmlUtils/WriteMulti.cs; QueuedLine=36; QueuedSourceLine=CommandSystem.Register(; NearestRegistrationLine=36; NearestRegistration=CommandSystem.Register( "WriteMulti", XmlSpawner.DiskAccessLevel, new CommandEventHandler(WriteMulti_OnCommand) );; ResolvedCommand=WriteMulti; ResolvedAccess=Administrator default through XmlSpawner.DiskAccessLevel; ResolvedHandler=WriteMulti_OnCommand</t>
  </si>
  <si>
    <t>RB-01907</t>
  </si>
  <si>
    <t>P10-F01907</t>
  </si>
  <si>
    <t>Data/Scripts/Custom/Government System/Items/Stones/CityBankStone.cs</t>
  </si>
  <si>
    <t>POST-BATCH-P</t>
  </si>
  <si>
    <t>PBP-0001</t>
  </si>
  <si>
    <t>Added scoped runtime-hook guard(s) for null/deleted/state-sensitive callback input before preserving the existing side effect.</t>
  </si>
  <si>
    <t>docs/codebase-audit/outputs/post-batch-p-runtime-hook-source-review.csv</t>
  </si>
  <si>
    <t>POST-BATCH-N lane=POST-BATCH-N-RUNTIME-HOOK-SOURCE-BATCH; FileProofStatus=CurrentPathConfirmed; CurrentFile=Data/Scripts/Custom/Government System/Items/Stones/CityBankStone.cs; Line=28; SourceLine=public override void OnSpeech(SpeechEventArgs e); PathResolution=OriginalPathCurrent; MatchQuality=RuntimeHookMapFileLine; HookKind=Speech; GuardList=BoundsGuard;NullGuard;PacketReadGuard; Access=; Command=; Handler=; DisabledEvidence=False; RuntimeHookMap=HookType=Speech;Marker=OnSpeech;Access=GlobalOrInternal;Risk=High;Guards=BoundsGuard;NullGuard;PacketReadGuard; POST-BATCH-P direct source review=SpeechHookGuardFixed</t>
  </si>
  <si>
    <t>Pending: fix: harden runtime hook source queue</t>
  </si>
  <si>
    <t>2026-06-14T15:26:41.0929879-05:00</t>
  </si>
  <si>
    <t>RB-01908</t>
  </si>
  <si>
    <t>P10-F01908</t>
  </si>
  <si>
    <t>PBP-0002</t>
  </si>
  <si>
    <t>POST-BATCH-N lane=POST-BATCH-N-RUNTIME-HOOK-SOURCE-BATCH; FileProofStatus=CurrentPathConfirmed; CurrentFile=Data/Scripts/Custom/Government System/Items/Stones/CityBankStone.cs; Line=170; SourceLine=base.OnSpeech(e);; PathResolution=OriginalPathCurrent; MatchQuality=RuntimeHookMapFileLine; HookKind=Speech; GuardList=BoundsGuard;NullGuard;PacketReadGuard; Access=; Command=; Handler=; DisabledEvidence=False; RuntimeHookMap=HookType=Speech;Marker=OnSpeech;Access=GlobalOrInternal;Risk=High;Guards=BoundsGuard;NullGuard;PacketReadGuard; POST-BATCH-P direct source review=SpeechHookGuardFixed</t>
  </si>
  <si>
    <t>RB-02548</t>
  </si>
  <si>
    <t>P10-F02548</t>
  </si>
  <si>
    <t>PBP-0003</t>
  </si>
  <si>
    <t>POST-BATCH-N lane=POST-BATCH-N-RUNTIME-HOOK-SOURCE-BATCH; FileProofStatus=CurrentPathConfirmed; CurrentFile=Data/Scripts/Custom/Government System/Commands/AdminAdd.cs; Line=27; SourceLine=e.Mobile.SendGump(new AdminAddGump(0, e.Mobile, new ArrayList(), new ArrayList()));; PathResolution=OriginalPathCurrent; MatchQuality=RuntimeHookMapFileLine; HookKind=Gump; GuardList=AccessGuard; Access=; Command=; Handler=; DisabledEvidence=False; RuntimeHookMap=HookType=Gump;Marker=SendGump;Access=Internal;Risk=High;Guards=AccessGuard; POST-BATCH-P direct source review=SendGumpCallbackGuardFixed</t>
  </si>
  <si>
    <t>RB-02549</t>
  </si>
  <si>
    <t>P10-F02549</t>
  </si>
  <si>
    <t>PBP-0004</t>
  </si>
  <si>
    <t>POST-BATCH-N lane=POST-BATCH-N-RUNTIME-HOOK-SOURCE-BATCH; FileProofStatus=CurrentPathConfirmed; CurrentFile=Data/Scripts/Custom/Government System/Commands/FindCities.cs; Line=27; SourceLine=e.Mobile.SendGump(new FindCitiesGump(0, null, null));; PathResolution=OriginalPathCurrent; MatchQuality=RuntimeHookMapFileLine; HookKind=Gump; GuardList=AccessGuard;NullGuard; Access=; Command=; Handler=; DisabledEvidence=False; RuntimeHookMap=HookType=Gump;Marker=SendGump;Access=Internal;Risk=High;Guards=AccessGuard;NullGuard; POST-BATCH-P direct source review=SendGumpCallbackGuardFixed</t>
  </si>
  <si>
    <t>RB-02550</t>
  </si>
  <si>
    <t>P10-F02550</t>
  </si>
  <si>
    <t>PBP-0005</t>
  </si>
  <si>
    <t>POST-BATCH-N lane=POST-BATCH-N-RUNTIME-HOOK-SOURCE-BATCH; FileProofStatus=CurrentPathConfirmed; CurrentFile=Data/Scripts/Custom/Government System/Commands/GovHelp.cs; Line=27; SourceLine=e.Mobile.SendGump(new GovHelpGump());; PathResolution=OriginalPathCurrent; MatchQuality=RuntimeHookMapFileLine; HookKind=Gump; GuardList=AccessGuard; Access=; Command=; Handler=; DisabledEvidence=False; RuntimeHookMap=HookType=Gump;Marker=SendGump;Access=Internal;Risk=High;Guards=AccessGuard; POST-BATCH-P direct source review=SendGumpCallbackGuardFixed</t>
  </si>
  <si>
    <t>RB-02275</t>
  </si>
  <si>
    <t>P10-F02275</t>
  </si>
  <si>
    <t>PBP-0006</t>
  </si>
  <si>
    <t>Reviewed queued response hook; callback is a no-op in the scoped source path, so no source edit is needed.</t>
  </si>
  <si>
    <t>POST-BATCH-N lane=POST-BATCH-N-RUNTIME-HOOK-SOURCE-BATCH; FileProofStatus=CurrentPathConfirmed; CurrentFile=Data/Scripts/Custom/Vhaerun's CRL Homestead System [2.0]/Vhaerun's CRL Cooking/Package Systems/Crystal's Cheese System/MilkBucket_gump.cs; Line=34; SourceLine=public override void OnResponse(Server.Network.NetState sender, RelayInfo info) { }; PathResolution=OriginalPathCurrent; MatchQuality=RuntimeHookMapFileLine; HookKind=Gump; GuardList=StateGuard; Access=; Command=; Handler=; DisabledEvidence=False; RuntimeHookMap=HookType=Gump;Marker=OnResponse;Access=Internal;Risk=High;Guards=StateGuard; POST-BATCH-P direct source review=NoSideEffectCallbackFalsePositive</t>
  </si>
  <si>
    <t>RB-02276</t>
  </si>
  <si>
    <t>P10-F02276</t>
  </si>
  <si>
    <t>PBP-0007</t>
  </si>
  <si>
    <t>POST-BATCH-N lane=POST-BATCH-N-RUNTIME-HOOK-SOURCE-BATCH; FileProofStatus=CurrentPathConfirmed; CurrentFile=Data/Scripts/Custom/Vhaerun's CRL Homestead System [2.0]/Vhaerun's CRL Cooking/Package Systems/Crystal's Cheese System/Gumps/CheeseForm_gump.cs; Line=36; SourceLine=public override void OnResponse(Server.Network.NetState sender, RelayInfo info) { }; PathResolution=OriginalPathCurrent; MatchQuality=RuntimeHookMapFileLine; HookKind=Gump; GuardList=StateGuard; Access=; Command=; Handler=; DisabledEvidence=False; RuntimeHookMap=HookType=Gump;Marker=OnResponse;Access=Internal;Risk=High;Guards=StateGuard; POST-BATCH-P direct source review=NoSideEffectCallbackFalsePositive</t>
  </si>
  <si>
    <t>RB-02811</t>
  </si>
  <si>
    <t>P10-F02811</t>
  </si>
  <si>
    <t>PBP-0008</t>
  </si>
  <si>
    <t>POST-BATCH-N lane=POST-BATCH-N-RUNTIME-HOOK-SOURCE-BATCH; FileProofStatus=CurrentPathConfirmed; CurrentFile=Data/Scripts/Custom/Vhaerun's CRL Homestead System [2.0]/Dracana's Winecrafting [2.0]/Commands/AddGrapevines.cs; Line=31; SourceLine=e.Mobile.SendGump(new AddGrapeVineGump(e.Mobile, null, 0));; PathResolution=OriginalPathCurrent; MatchQuality=RuntimeHookMapFileLine; HookKind=Gump; GuardList=AccessGuard; Access=; Command=; Handler=; DisabledEvidence=False; RuntimeHookMap=HookType=Gump;Marker=SendGump;Access=Internal;Risk=High;Guards=AccessGuard; POST-BATCH-P direct source review=SendGumpCallbackGuardFixed</t>
  </si>
  <si>
    <t>RB-01944</t>
  </si>
  <si>
    <t>P10-F01944</t>
  </si>
  <si>
    <t>PBP-0009</t>
  </si>
  <si>
    <t>POST-BATCH-N lane=POST-BATCH-N-RUNTIME-HOOK-SOURCE-BATCH; FileProofStatus=CurrentPathConfirmed; CurrentFile=Data/Scripts/Items/Houses/Monopoly/Items/TownHouse.cs; Line=238; SourceLine=public override void OnSpeech(SpeechEventArgs e); PathResolution=OriginalPathCurrent; MatchQuality=RuntimeHookMapFileLine; HookKind=Speech; GuardList=BoundsGuard;MapGuard;NullGuard;PacketReadGuard;RangeGuard; Access=; Command=; Handler=; DisabledEvidence=False; RuntimeHookMap=HookType=Speech;Marker=OnSpeech;Access=GlobalOrInternal;Risk=High;Guards=BoundsGuard;MapGuard;NullGuard;PacketReadGuard;RangeGuard; POST-BATCH-P direct source review=SpeechHookGuardFixed</t>
  </si>
  <si>
    <t>RB-01985</t>
  </si>
  <si>
    <t>P10-F01985</t>
  </si>
  <si>
    <t>PBP-0010</t>
  </si>
  <si>
    <t>Added region speech/movement guards for null/deleted mobiles and stale house/sign state before house-region side effects.</t>
  </si>
  <si>
    <t>POST-BATCH-N lane=POST-BATCH-N-RUNTIME-HOOK-SOURCE-BATCH; FileProofStatus=CurrentPathConfirmed; CurrentFile=Data/Scripts/System/Regions/HouseRegion.cs; Line=407; SourceLine=; PathResolution=OriginalPathCurrent; MatchQuality=CurrentFileOnly; HookKind=Speech; GuardList=AccessGuard;BoundsGuard;MapGuard;NullGuard;RangeGuard;StateGuard; Access=; Command=; Handler=; DisabledEvidence=False; POST-BATCH-P direct source review=RegionHookGuardFixed</t>
  </si>
  <si>
    <t>RB-02499</t>
  </si>
  <si>
    <t>P10-F02499</t>
  </si>
  <si>
    <t>PBP-0011</t>
  </si>
  <si>
    <t>POST-BATCH-N lane=POST-BATCH-N-RUNTIME-HOOK-SOURCE-BATCH; FileProofStatus=CurrentPathConfirmed; CurrentFile=Data/Scripts/System/Regions/HouseRegion.cs; Line=273; SourceLine=; PathResolution=OriginalPathCurrent; MatchQuality=CurrentFileOnly; HookKind=Region; GuardList=AccessGuard;BoundsGuard;MapGuard;NullGuard;RangeGuard;StateGuard; Access=; Command=; Handler=; DisabledEvidence=False; POST-BATCH-P direct source review=RegionHookGuardFixed</t>
  </si>
  <si>
    <t>RB-02873</t>
  </si>
  <si>
    <t>P10-F02873</t>
  </si>
  <si>
    <t>PBP-0012</t>
  </si>
  <si>
    <t>POST-BATCH-N lane=POST-BATCH-N-RUNTIME-HOOK-SOURCE-BATCH; FileProofStatus=CurrentPathConfirmed; CurrentFile=Data/Scripts/Items/Houses/Remodeling/ContextMenuEntries.cs; Line=45; SourceLine=m_From.SendGump(new LawnSecurityGump(m_From, m_Gate));; PathResolution=OriginalPathCurrent; MatchQuality=RuntimeHookMapFileLine; HookKind=Gump; GuardList=StateGuard; Access=; Command=; Handler=; DisabledEvidence=False; RuntimeHookMap=HookType=Gump;Marker=SendGump;Access=Internal;Risk=High;Guards=StateGuard; POST-BATCH-P direct source review=SendGumpCallbackGuardFixed</t>
  </si>
  <si>
    <t>RB-02874</t>
  </si>
  <si>
    <t>P10-F02874</t>
  </si>
  <si>
    <t>PBP-0013</t>
  </si>
  <si>
    <t>POST-BATCH-N lane=POST-BATCH-N-RUNTIME-HOOK-SOURCE-BATCH; FileProofStatus=CurrentPathConfirmed; CurrentFile=Data/Scripts/Items/Houses/Remodeling/ContextMenuEntries.cs; Line=103; SourceLine=m_From.SendGump(new ShantySecurityGump(m_From, m_Gate));; PathResolution=OriginalPathCurrent; MatchQuality=RuntimeHookMapFileLine; HookKind=Gump; GuardList=StateGuard; Access=; Command=; Handler=; DisabledEvidence=False; RuntimeHookMap=HookType=Gump;Marker=SendGump;Access=Internal;Risk=High;Guards=StateGuard; POST-BATCH-P direct source review=SendGumpCallbackGuardFixed</t>
  </si>
  <si>
    <t>RB-02001</t>
  </si>
  <si>
    <t>P10-F02001</t>
  </si>
  <si>
    <t>Data/Scripts/Custom/Invasion System/Add Ins/Pirates/Morgan/Morgan2.cs</t>
  </si>
  <si>
    <t>PBP-0014</t>
  </si>
  <si>
    <t>POST-BATCH-N lane=POST-BATCH-N-RUNTIME-HOOK-SOURCE-BATCH; FileProofStatus=CurrentPathConfirmed; CurrentFile=Data/Scripts/Custom/Invasion System/Add Ins/Pirates/Morgan/Morgan2.cs; Line=123; SourceLine=public override void OnMovement(Mobile m, Point3D oldLocation); PathResolution=OriginalPathCurrent; MatchQuality=RuntimeHookMapFileLine; HookKind=Movement; GuardList=BoundsGuard;MapGuard;NullGuard;PacketReadGuard;RangeGuard; Access=; Command=; Handler=; DisabledEvidence=False; RuntimeHookMap=HookType=Movement;Marker=OnMovement;Access=GlobalOrInternal;Risk=High;Guards=BoundsGuard;MapGuard;NullGuard;PacketReadGuard;RangeGuard; POST-BATCH-P direct source review=MovementHookGuardFixed</t>
  </si>
  <si>
    <t>RB-02302</t>
  </si>
  <si>
    <t>P10-F02302</t>
  </si>
  <si>
    <t>PBP-0015</t>
  </si>
  <si>
    <t>Reviewed callback path against current source and prior guard batch evidence; no additional source change is required.</t>
  </si>
  <si>
    <t>POST-BATCH-N lane=POST-BATCH-N-RUNTIME-HOOK-SOURCE-BATCH; FileProofStatus=CurrentPathConfirmed; CurrentFile=Data/Scripts/Items/Books/BulletinBoards/Gumps/BoardGump.cs; Line=51;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</si>
  <si>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RB-02851</t>
  </si>
  <si>
    <t>P10-F02851</t>
  </si>
  <si>
    <t>PBP-0016</t>
  </si>
  <si>
    <t>POST-BATCH-N lane=POST-BATCH-N-RUNTIME-HOOK-SOURCE-BATCH; FileProofStatus=CurrentPathConfirmed; CurrentFile=Data/Scripts/Items/Books/BulletinBoards/RulesBoard.cs; Line=39; SourceLine=e.SendGump(new BoardGump(e, "LAWS OF THE LAND", "" + rules + "", "#e97f76", false));; PathResolution=OriginalPathCurrent; MatchQuality=RuntimeHookMapFileLine; HookKind=Gump; GuardList=PacketReadGuard;RangeGuard; Access=; Command=; Handler=; DisabledEvidence=False; RuntimeHookMap=HookType=Gump;Marker=SendGump;Access=Internal;Risk=High;Guards=PacketReadGuard;RangeGuard; POST-BATCH-P direct source review=SendGumpCallbackGuardFixed</t>
  </si>
  <si>
    <t>RB-02852</t>
  </si>
  <si>
    <t>P10-F02852</t>
  </si>
  <si>
    <t>PBP-0017</t>
  </si>
  <si>
    <t>POST-BATCH-N lane=POST-BATCH-N-RUNTIME-HOOK-SOURCE-BATCH; FileProofStatus=CurrentPathConfirmed; CurrentFile=Data/Scripts/Items/Books/BulletinBoards/StealingBoard.cs; Line=214; SourceLine=e.SendGump(new BoardGump(e, "STEALING THE PAST", "" + sText + "", "#deb7e2", true));; PathResolution=OriginalPathCurrent; MatchQuality=RuntimeHookMapFileLine; HookKind=Gump; GuardList=BoundsGuard;MapGuard;PacketReadGuard;RangeGuard; Access=; Command=; Handler=; DisabledEvidence=False; RuntimeHookMap=HookType=Gump;Marker=SendGump;Access=Internal;Risk=High;Guards=BoundsGuard;MapGuard;PacketReadGuard;RangeGuard; POST-BATCH-P direct source review=SendGumpCallbackGuardFixed</t>
  </si>
  <si>
    <t>RB-02036</t>
  </si>
  <si>
    <t>P10-F02036</t>
  </si>
  <si>
    <t>Data/Scripts/Items/Containers/HiddenChest.cs</t>
  </si>
  <si>
    <t>PBP-0018</t>
  </si>
  <si>
    <t>POST-BATCH-N lane=POST-BATCH-N-RUNTIME-HOOK-SOURCE-BATCH; FileProofStatus=CurrentPathConfirmed; CurrentFile=Data/Scripts/Items/Containers/HiddenChest.cs; Line=189; SourceLine=public override void OnMovement(Mobile m, Point3D oldLocation); PathResolution=OriginalPathCurrent; MatchQuality=RuntimeHookMapFileLine; HookKind=Movement; GuardList=AccessGuard;BoundsGuard;MapGuard;PacketReadGuard;RangeGuard; Access=; Command=; Handler=; DisabledEvidence=False; RuntimeHookMap=HookType=Movement;Marker=OnMovement;Access=GlobalOrInternal;Risk=High;Guards=AccessGuard;BoundsGuard;MapGuard;PacketReadGuard;RangeGuard; POST-BATCH-P direct source review=MovementHookGuardFixed</t>
  </si>
  <si>
    <t>RB-01939</t>
  </si>
  <si>
    <t>P10-F01939</t>
  </si>
  <si>
    <t>Data/Scripts/Items/Doors/KeywordDoor.cs</t>
  </si>
  <si>
    <t>PBP-0019</t>
  </si>
  <si>
    <t>POST-BATCH-N lane=POST-BATCH-N-RUNTIME-HOOK-SOURCE-BATCH; FileProofStatus=CurrentPathConfirmed; CurrentFile=Data/Scripts/Items/Doors/KeywordDoor.cs; Line=185; SourceLine=public override void OnSpeech(SpeechEventArgs e); PathResolution=OriginalPathCurrent; MatchQuality=RuntimeHookMapFileLine; HookKind=Speech; GuardList=AccessGuard;BoundsGuard;NullGuard;PacketReadGuard;RangeGuard; Access=; Command=; Handler=; DisabledEvidence=False; RuntimeHookMap=HookType=Speech;Marker=OnSpeech;Access=GlobalOrInternal;Risk=High;Guards=AccessGuard;BoundsGuard;NullGuard;PacketReadGuard;RangeGuard; POST-BATCH-P direct source review=SpeechHookGuardFixed</t>
  </si>
  <si>
    <t>RB-02037</t>
  </si>
  <si>
    <t>P10-F02037</t>
  </si>
  <si>
    <t>Data/Scripts/Items/Gifts/Holiday/Halloween/EerieGhost.cs</t>
  </si>
  <si>
    <t>PBP-0020</t>
  </si>
  <si>
    <t>POST-BATCH-N lane=POST-BATCH-N-RUNTIME-HOOK-SOURCE-BATCH; FileProofStatus=CurrentPathConfirmed; CurrentFile=Data/Scripts/Items/Gifts/Holiday/Halloween/EerieGhost.cs; Line=80; SourceLine=public override void OnMovement(Mobile m, Point3D oldLocation); PathResolution=OriginalPathCurrent; MatchQuality=RuntimeHookMapFileLine; HookKind=Movement; GuardList=AccessGuard;BoundsGuard;MapGuard;PacketReadGuard;RangeGuard; Access=; Command=; Handler=; DisabledEvidence=False; RuntimeHookMap=HookType=Movement;Marker=OnMovement;Access=GlobalOrInternal;Risk=High;Guards=AccessGuard;BoundsGuard;MapGuard;PacketReadGuard;RangeGuard; POST-BATCH-P direct source review=MovementHookGuardFixed</t>
  </si>
  <si>
    <t>RB-02038</t>
  </si>
  <si>
    <t>P10-F02038</t>
  </si>
  <si>
    <t>PBP-0021</t>
  </si>
  <si>
    <t>POST-BATCH-N lane=POST-BATCH-N-RUNTIME-HOOK-SOURCE-BATCH; FileProofStatus=CurrentPathConfirmed; CurrentFile=Data/Scripts/Items/Gifts/Holiday/Halloween/EerieGhost.cs; Line=95; SourceLine=base.OnMovement(m, oldLocation);; PathResolution=OriginalPathCurrent; MatchQuality=RuntimeHookMapFileLine; HookKind=Movement; GuardList=AccessGuard;BoundsGuard;MapGuard;PacketReadGuard;RangeGuard; Access=; Command=; Handler=; DisabledEvidence=False; RuntimeHookMap=HookType=Movement;Marker=OnMovement;Access=GlobalOrInternal;Risk=High;Guards=AccessGuard;BoundsGuard;MapGuard;PacketReadGuard;RangeGuard; POST-BATCH-P direct source review=MovementHookGuardFixed</t>
  </si>
  <si>
    <t>RB-02882</t>
  </si>
  <si>
    <t>P10-F02882</t>
  </si>
  <si>
    <t>PBP-0022</t>
  </si>
  <si>
    <t>POST-BATCH-N lane=POST-BATCH-N-RUNTIME-HOOK-SOURCE-BATCH; FileProofStatus=CurrentPathConfirmed; CurrentFile=Data/Scripts/Items/Magical/Gifts/Gifts.cs; Line=40; SourceLine=Owner.From.SendGump(new GiftGump(m_From, m_Item, m_Cat));; PathResolution=OriginalPathCurrent; MatchQuality=RuntimeHookMapFileLine; HookKind=Gump; GuardList=StateGuard; Access=; Command=; Handler=; DisabledEvidence=False; RuntimeHookMap=HookType=Gump;Marker=SendGump;Access=Internal;Risk=High;Guards=StateGuard; POST-BATCH-P direct source review=SendGumpCallbackGuardFixed</t>
  </si>
  <si>
    <t>RB-02896</t>
  </si>
  <si>
    <t>P10-F02896</t>
  </si>
  <si>
    <t>PBP-0023</t>
  </si>
  <si>
    <t>POST-BATCH-N lane=POST-BATCH-N-RUNTIME-HOOK-SOURCE-BATCH; FileProofStatus=CurrentPathConfirmed; CurrentFile=Data/Scripts/Items/Magical/God/LevelInfoEntry.cs; Line=29; SourceLine=Owner.From.SendGump(new ItemExperienceGump(m_From, m_Item, m_Cat));; PathResolution=OriginalPathCurrent; MatchQuality=RuntimeHookMapFileLine; HookKind=Gump; GuardList=StateGuard; Access=; Command=; Handler=; DisabledEvidence=False; RuntimeHookMap=HookType=Gump;Marker=SendGump;Access=Internal;Risk=High;Guards=StateGuard; POST-BATCH-P direct source review=SendGumpCallbackGuardFixed</t>
  </si>
  <si>
    <t>RB-01947</t>
  </si>
  <si>
    <t>P10-F01947</t>
  </si>
  <si>
    <t>PBP-0024</t>
  </si>
  <si>
    <t>POST-BATCH-N lane=POST-BATCH-N-RUNTIME-HOOK-SOURCE-BATCH; FileProofStatus=CurrentPathConfirmed; CurrentFile=Data/Scripts/Items/Misc/MagicForges.cs; Line=23; SourceLine=public override void OnSpeech(SpeechEventArgs e); PathResolution=OriginalPathCurrent; MatchQuality=RuntimeHookMapFileLine; HookKind=Speech; GuardList=BoundsGuard;MapGuard;NullGuard;PacketReadGuard;RangeGuard; Access=; Command=; Handler=; DisabledEvidence=False; RuntimeHookMap=HookType=Speech;Marker=OnSpeech;Access=GlobalOrInternal;Risk=High;Guards=BoundsGuard;MapGuard;NullGuard;PacketReadGuard;RangeGuard; POST-BATCH-P direct source review=SpeechHookGuardFixed</t>
  </si>
  <si>
    <t>RB-02052</t>
  </si>
  <si>
    <t>P10-F02052</t>
  </si>
  <si>
    <t>Data/Scripts/Items/Misc/LifeFountain.cs</t>
  </si>
  <si>
    <t>PBP-0025</t>
  </si>
  <si>
    <t>POST-BATCH-N lane=POST-BATCH-N-RUNTIME-HOOK-SOURCE-BATCH; FileProofStatus=CurrentPathConfirmed; CurrentFile=Data/Scripts/Items/Misc/LifeFountain.cs; Line=29; SourceLine=public override void OnMovement(Mobile m, Point3D oldLocation); PathResolution=OriginalPathCurrent; MatchQuality=RuntimeHookMapFileLine; HookKind=Movement; GuardList=PacketReadGuard;RangeGuard; Access=; Command=; Handler=; DisabledEvidence=False; RuntimeHookMap=HookType=Movement;Marker=OnMovement;Access=GlobalOrInternal;Risk=High;Guards=PacketReadGuard;RangeGuard; POST-BATCH-P direct source review=MovementHookGuardFixed</t>
  </si>
  <si>
    <t>RB-02053</t>
  </si>
  <si>
    <t>P10-F02053</t>
  </si>
  <si>
    <t>PBP-0026</t>
  </si>
  <si>
    <t>POST-BATCH-N lane=POST-BATCH-N-RUNTIME-HOOK-SOURCE-BATCH; FileProofStatus=CurrentPathConfirmed; CurrentFile=Data/Scripts/Items/Misc/MorphItem.cs; Line=80; SourceLine=public override void OnMovement(Mobile m, Point3D oldLocation); PathResolution=OriginalPathCurrent; MatchQuality=RuntimeHookMapFileLine; HookKind=Movement; GuardList=AccessGuard;BoundsGuard;DeletedGuard;PacketReadGuard;RangeGuard; Access=; Command=; Handler=; DisabledEvidence=False; RuntimeHookMap=HookType=Movement;Marker=OnMovement;Access=GlobalOrInternal;Risk=High;Guards=AccessGuard;BoundsGuard;DeletedGuard;PacketReadGuard;RangeGuard; POST-BATCH-P direct source review=MovementHookGuardFixed</t>
  </si>
  <si>
    <t>RB-02945</t>
  </si>
  <si>
    <t>P10-F02945</t>
  </si>
  <si>
    <t>PBP-0027</t>
  </si>
  <si>
    <t>Added stale mobile/status validation around Liars Dice gump/timer/status transitions so deleted or missing players are skipped before gump or message side effects.</t>
  </si>
  <si>
    <t>POST-BATCH-N lane=POST-BATCH-N-RUNTIME-HOOK-SOURCE-BATCH; FileProofStatus=CurrentPathConfirmed; CurrentFile=Data/Scripts/Items/Misc/Games/LiarsDice/DiceChannel.cs; Line=503; SourceLine=);; PathResolution=OriginalPathCurrent; MatchQuality=CurrentSourceLine; HookKind=Gump; GuardList=BoundsGuard; Access=; Command=; Handler=; DisabledEvidence=False; POST-BATCH-P direct source review=StalePlayerStateGuardFixed</t>
  </si>
  <si>
    <t>RB-02946</t>
  </si>
  <si>
    <t>P10-F02946</t>
  </si>
  <si>
    <t>PBP-0028</t>
  </si>
  <si>
    <t>POST-BATCH-N lane=POST-BATCH-N-RUNTIME-HOOK-SOURCE-BATCH; FileProofStatus=CurrentPathConfirmed; CurrentFile=Data/Scripts/Items/Misc/Games/LiarsDice/DiceChannel.cs; Line=690; SourceLine=AddPlayerWaiting(updatedMobileIdx);; PathResolution=OriginalPathCurrent; MatchQuality=CurrentSourceLine; HookKind=Gump; GuardList=BoundsGuard; Access=; Command=; Handler=; DisabledEvidence=False; POST-BATCH-P direct source review=StalePlayerStateGuardFixed</t>
  </si>
  <si>
    <t>RB-02947</t>
  </si>
  <si>
    <t>P10-F02947</t>
  </si>
  <si>
    <t>PBP-0029</t>
  </si>
  <si>
    <t>POST-BATCH-N lane=POST-BATCH-N-RUNTIME-HOOK-SOURCE-BATCH; FileProofStatus=CurrentPathConfirmed; CurrentFile=Data/Scripts/Items/Misc/Games/LiarsDice/DiceChannel.cs; Line=723; SourceLine=PlayerWaiting(dicePlayers[noExitMobileIdx], updatedMobileIdx);; PathResolution=OriginalPathCurrent; MatchQuality=CurrentSourceLine; HookKind=Gump; GuardList=BoundsGuard; Access=; Command=; Handler=; DisabledEvidence=False; POST-BATCH-P direct source review=StalePlayerStateGuardFixed</t>
  </si>
  <si>
    <t>RB-02948</t>
  </si>
  <si>
    <t>P10-F02948</t>
  </si>
  <si>
    <t>PBP-0030</t>
  </si>
  <si>
    <t>POST-BATCH-N lane=POST-BATCH-N-RUNTIME-HOOK-SOURCE-BATCH; FileProofStatus=CurrentPathConfirmed; CurrentFile=Data/Scripts/Items/Misc/Games/LiarsDice/DiceChannel.cs; Line=765; SourceLine=public void PlayerWaiting(MobileDiceStstatus mds, int currentPlayerIdx); PathResolution=OriginalPathCurrent; MatchQuality=CurrentSourceLine; HookKind=Gump; GuardList=BoundsGuard; Access=; Command=; Handler=; DisabledEvidence=False; POST-BATCH-P direct source review=StalePlayerStateGuardFixed</t>
  </si>
  <si>
    <t>RB-02064</t>
  </si>
  <si>
    <t>P10-F02064</t>
  </si>
  <si>
    <t>PBP-0031</t>
  </si>
  <si>
    <t>POST-BATCH-N lane=POST-BATCH-N-RUNTIME-HOOK-SOURCE-BATCH; FileProofStatus=CurrentPathConfirmed; CurrentFile=Data/Scripts/Items/Special/Evil Home Decor Collection/HauntedMirror.cs; Line=23; SourceLine=public override void OnMovement(Mobile m, Point3D old); PathResolution=OriginalPathCurrent; MatchQuality=RuntimeHookMapFileLine; HookKind=Movement; GuardList=AccessGuard;MapGuard;PacketReadGuard;RangeGuard; Access=; Command=; Handler=; DisabledEvidence=False; RuntimeHookMap=HookType=Movement;Marker=OnMovement;Access=GlobalOrInternal;Risk=High;Guards=AccessGuard;MapGuard;PacketReadGuard;RangeGuard; POST-BATCH-P direct source review=MovementHookGuardFixed</t>
  </si>
  <si>
    <t>RB-02065</t>
  </si>
  <si>
    <t>P10-F02065</t>
  </si>
  <si>
    <t>PBP-0032</t>
  </si>
  <si>
    <t>POST-BATCH-N lane=POST-BATCH-N-RUNTIME-HOOK-SOURCE-BATCH; FileProofStatus=CurrentPathConfirmed; CurrentFile=Data/Scripts/Items/Special/Evil Home Decor Collection/HauntedMirror.cs; Line=25; SourceLine=base.OnMovement(m, old);; PathResolution=OriginalPathCurrent; MatchQuality=RuntimeHookMapFileLine; HookKind=Movement; GuardList=AccessGuard;MapGuard;PacketReadGuard;RangeGuard; Access=; Command=; Handler=; DisabledEvidence=False; RuntimeHookMap=HookType=Movement;Marker=OnMovement;Access=GlobalOrInternal;Risk=High;Guards=AccessGuard;MapGuard;PacketReadGuard;RangeGuard; POST-BATCH-P direct source review=MovementHookGuardFixed</t>
  </si>
  <si>
    <t>RB-02071</t>
  </si>
  <si>
    <t>P10-F02071</t>
  </si>
  <si>
    <t>PBP-0033</t>
  </si>
  <si>
    <t>POST-BATCH-N lane=POST-BATCH-N-RUNTIME-HOOK-SOURCE-BATCH; FileProofStatus=CurrentPathConfirmed; CurrentFile=Data/Scripts/Items/Traps/FlameSpurtTrap.cs; Line=170; SourceLine=Spells.SpellHelper.Damage(TimeSpan.FromTicks(1), m, m, itHurts);; PathResolution=OriginalPathCurrent; MatchQuality=CurrentSourceLine; HookKind=Movement; GuardList=AccessGuard;BoundsGuard;DeletedGuard;MapGuard;NullGuard;PacketReadGuard;RangeGuard; Access=; Command=; Handler=; DisabledEvidence=False; POST-BATCH-P direct source review=MovementHookGuardFixed</t>
  </si>
  <si>
    <t>RB-02072</t>
  </si>
  <si>
    <t>P10-F02072</t>
  </si>
  <si>
    <t>PBP-0034</t>
  </si>
  <si>
    <t>POST-BATCH-N lane=POST-BATCH-N-RUNTIME-HOOK-SOURCE-BATCH; FileProofStatus=CurrentPathConfirmed; CurrentFile=Data/Scripts/Items/Traps/FlameSpurtTrap.cs; Line=172; SourceLine=; PathResolution=OriginalPathCurrent; MatchQuality=CurrentFileOnly; HookKind=Movement; GuardList=AccessGuard;BoundsGuard;DeletedGuard;MapGuard;NullGuard;PacketReadGuard;RangeGuard; Access=; Command=; Handler=; DisabledEvidence=False; POST-BATCH-P direct source review=MovementHookGuardFixed</t>
  </si>
  <si>
    <t>RB-02073</t>
  </si>
  <si>
    <t>P10-F02073</t>
  </si>
  <si>
    <t>Data/Scripts/Items/Traps/HiddenTrap.cs</t>
  </si>
  <si>
    <t>PBP-0035</t>
  </si>
  <si>
    <t>POST-BATCH-N lane=POST-BATCH-N-RUNTIME-HOOK-SOURCE-BATCH; FileProofStatus=CurrentPathConfirmed; CurrentFile=Data/Scripts/Items/Traps/HiddenTrap.cs; Line=3606; SourceLine=public override void OnMovement(Mobile m, Point3D oldLocation); PathResolution=OriginalPathCurrent; MatchQuality=RuntimeHookMapFileLine; HookKind=Movement; GuardList=AccessGuard;BoundsGuard;MapGuard;NullGuard;PacketReadGuard;RangeGuard; Access=; Command=; Handler=; DisabledEvidence=False; RuntimeHookMap=HookType=Movement;Marker=OnMovement;Access=GlobalOrInternal;Risk=High;Guards=AccessGuard;BoundsGuard;MapGuard;NullGuard;PacketReadGuard;RangeGuard; POST-BATCH-P direct source review=MovementHookGuardFixed</t>
  </si>
  <si>
    <t>RB-02086</t>
  </si>
  <si>
    <t>P10-F02086</t>
  </si>
  <si>
    <t>Data/Scripts/Mobiles/Civilized/TimeLord.cs</t>
  </si>
  <si>
    <t>PBP-0036</t>
  </si>
  <si>
    <t>POST-BATCH-N lane=POST-BATCH-N-RUNTIME-HOOK-SOURCE-BATCH; FileProofStatus=CurrentPathConfirmed; CurrentFile=Data/Scripts/Mobiles/Civilized/TimeLord.cs; Line=19; SourceLine=public override void OnMovement(Mobile m, Point3D oldLocation); PathResolution=OriginalPathCurrent; MatchQuality=RuntimeHookMapFileLine; HookKind=Movement; GuardList=BoundsGuard;PacketReadGuard;RangeGuard; Access=; Command=; Handler=; DisabledEvidence=False; RuntimeHookMap=HookType=Movement;Marker=OnMovement;Access=GlobalOrInternal;Risk=High;Guards=BoundsGuard;PacketReadGuard;RangeGuard; POST-BATCH-P direct source review=MovementHookGuardFixed</t>
  </si>
  <si>
    <t>RB-02100</t>
  </si>
  <si>
    <t>P10-F02100</t>
  </si>
  <si>
    <t>PBP-0037</t>
  </si>
  <si>
    <t>Reviewed queued movement hook; callback is empty and has no state, range, map, packet, or side-effect path to guard.</t>
  </si>
  <si>
    <t>POST-BATCH-N lane=POST-BATCH-N-RUNTIME-HOOK-SOURCE-BATCH; FileProofStatus=CurrentPathConfirmed; CurrentFile=Data/Scripts/Mobiles/Civilized/Citizens/TrainingBow.cs; Line=23; SourceLine=public override void OnMovement(Mobile m, Point3D oldLocation) { }; PathResolution=OriginalPathCurrent; MatchQuality=RuntimeHookMapFileLine; HookKind=Movement; GuardList=BoundsGuard;NullGuard;PacketReadGuard;RangeGuard; Access=; Command=; Handler=; DisabledEvidence=False; RuntimeHookMap=HookType=Movement;Marker=OnMovement;Access=GlobalOrInternal;Risk=High;Guards=BoundsGuard;NullGuard;PacketReadGuard;RangeGuard; POST-BATCH-P direct source review=EmptyRuntimeHookFalsePositive</t>
  </si>
  <si>
    <t>RB-02103</t>
  </si>
  <si>
    <t>P10-F02103</t>
  </si>
  <si>
    <t>PBP-0038</t>
  </si>
  <si>
    <t>POST-BATCH-N lane=POST-BATCH-N-RUNTIME-HOOK-SOURCE-BATCH; FileProofStatus=CurrentPathConfirmed; CurrentFile=Data/Scripts/Mobiles/Civilized/Citizens/TrainingSingle.cs; Line=23; SourceLine=public override void OnMovement(Mobile m, Point3D oldLocation) { }; PathResolution=OriginalPathCurrent; MatchQuality=RuntimeHookMapFileLine; HookKind=Movement; GuardList=PacketReadGuard;RangeGuard; Access=; Command=; Handler=; DisabledEvidence=False; RuntimeHookMap=HookType=Movement;Marker=OnMovement;Access=GlobalOrInternal;Risk=High;Guards=PacketReadGuard;RangeGuard; POST-BATCH-P direct source review=EmptyRuntimeHookFalsePositive</t>
  </si>
  <si>
    <t>RB-02104</t>
  </si>
  <si>
    <t>P10-F02104</t>
  </si>
  <si>
    <t>PBP-0039</t>
  </si>
  <si>
    <t>POST-BATCH-N lane=POST-BATCH-N-RUNTIME-HOOK-SOURCE-BATCH; FileProofStatus=CurrentPathConfirmed; CurrentFile=Data/Scripts/Mobiles/Civilized/Citizens/TrainingSpirits.cs; Line=24; SourceLine=public override void OnMovement(Mobile m, Point3D oldLocation) { }; PathResolution=OriginalPathCurrent; MatchQuality=RuntimeHookMapFileLine; HookKind=Movement; GuardList=BoundsGuard;PacketReadGuard;RangeGuard; Access=; Command=; Handler=; DisabledEvidence=False; RuntimeHookMap=HookType=Movement;Marker=OnMovement;Access=GlobalOrInternal;Risk=High;Guards=BoundsGuard;PacketReadGuard;RangeGuard; POST-BATCH-P direct source review=EmptyRuntimeHookFalsePositive</t>
  </si>
  <si>
    <t>RB-02123</t>
  </si>
  <si>
    <t>P10-F02123</t>
  </si>
  <si>
    <t>Data/Scripts/Mobiles/Humanoids/Elves/ElfRogue.cs</t>
  </si>
  <si>
    <t>PBP-0040</t>
  </si>
  <si>
    <t>POST-BATCH-N lane=POST-BATCH-N-RUNTIME-HOOK-SOURCE-BATCH; FileProofStatus=CurrentPathConfirmed; CurrentFile=Data/Scripts/Mobiles/Humanoids/Elves/ElfRogue.cs; Line=261; SourceLine=public override void OnMovement(Mobile m, Point3D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</si>
  <si>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RB-02124</t>
  </si>
  <si>
    <t>P10-F02124</t>
  </si>
  <si>
    <t>PBP-0041</t>
  </si>
  <si>
    <t>POST-BATCH-N lane=POST-BATCH-N-RUNTIME-HOOK-SOURCE-BATCH; FileProofStatus=CurrentPathConfirmed; CurrentFile=Data/Scripts/Mobiles/Humanoids/Elves/ElfRogue.cs; Line=278; SourceLine=base.OnMovement(m,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</si>
  <si>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RB-02125</t>
  </si>
  <si>
    <t>P10-F02125</t>
  </si>
  <si>
    <t>Data/Scripts/Mobiles/Humanoids/Humans/Rogue.cs</t>
  </si>
  <si>
    <t>PBP-0042</t>
  </si>
  <si>
    <t>POST-BATCH-N lane=POST-BATCH-N-RUNTIME-HOOK-SOURCE-BATCH; FileProofStatus=CurrentPathConfirmed; CurrentFile=Data/Scripts/Mobiles/Humanoids/Humans/Rogue.cs; Line=256; SourceLine=public override void OnMovement(Mobile m, Point3D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</si>
  <si>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RB-02126</t>
  </si>
  <si>
    <t>P10-F02126</t>
  </si>
  <si>
    <t>PBP-0043</t>
  </si>
  <si>
    <t>POST-BATCH-N lane=POST-BATCH-N-RUNTIME-HOOK-SOURCE-BATCH; FileProofStatus=CurrentPathConfirmed; CurrentFile=Data/Scripts/Mobiles/Humanoids/Humans/Rogue.cs; Line=273; SourceLine=base.OnMovement(m,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</si>
  <si>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RB-02127</t>
  </si>
  <si>
    <t>P10-F02127</t>
  </si>
  <si>
    <t>Data/Scripts/Mobiles/Humanoids/Orcs/OrkRogue.cs</t>
  </si>
  <si>
    <t>PBP-0044</t>
  </si>
  <si>
    <t>POST-BATCH-N lane=POST-BATCH-N-RUNTIME-HOOK-SOURCE-BATCH; FileProofStatus=CurrentPathConfirmed; CurrentFile=Data/Scripts/Mobiles/Humanoids/Orcs/OrkRogue.cs; Line=262; SourceLine=public override void OnMovement(Mobile m, Point3D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</si>
  <si>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RB-02128</t>
  </si>
  <si>
    <t>P10-F02128</t>
  </si>
  <si>
    <t>PBP-0045</t>
  </si>
  <si>
    <t>POST-BATCH-N lane=POST-BATCH-N-RUNTIME-HOOK-SOURCE-BATCH; FileProofStatus=CurrentPathConfirmed; CurrentFile=Data/Scripts/Mobiles/Humanoids/Orcs/OrkRogue.cs; Line=279; SourceLine=base.OnMovement(m, oldLocation);; PathResolution=OriginalPathCurrent; MatchQuality=RuntimeHookMapFileLine; HookKind=Movement; GuardList=BoundsGuard;MapGuard;PacketReadGuard; Access=; Command=; Handler=; DisabledEvidence=False; RuntimeHookMap=HookType=Movement;Marker=OnMovement;Access=GlobalOrInternal;Risk=High;Guards=BoundsGuard;MapGuard;PacketReadGuard; POST-BATCH-P direct source review=MovementHookGuardFixed</t>
  </si>
  <si>
    <t>RB-02129</t>
  </si>
  <si>
    <t>P10-F02129</t>
  </si>
  <si>
    <t>Data/Scripts/Mobiles/Insects/Spiders/PhaseSpider.cs</t>
  </si>
  <si>
    <t>PBP-0046</t>
  </si>
  <si>
    <t>POST-BATCH-N lane=POST-BATCH-N-RUNTIME-HOOK-SOURCE-BATCH; FileProofStatus=CurrentPathConfirmed; CurrentFile=Data/Scripts/Mobiles/Insects/Spiders/PhaseSpider.cs; Line=134; SourceLine=public override void OnMovement(Mobile m, Point3D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</si>
  <si>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RB-02130</t>
  </si>
  <si>
    <t>P10-F02130</t>
  </si>
  <si>
    <t>PBP-0047</t>
  </si>
  <si>
    <t>POST-BATCH-N lane=POST-BATCH-N-RUNTIME-HOOK-SOURCE-BATCH; FileProofStatus=CurrentPathConfirmed; CurrentFile=Data/Scripts/Mobiles/Insects/Spiders/PhaseSpider.cs; Line=151; SourceLine=base.OnMovement(m,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</si>
  <si>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RB-02131</t>
  </si>
  <si>
    <t>P10-F02131</t>
  </si>
  <si>
    <t>Data/Scripts/Mobiles/Insects/Spiders/ShadowRecluse.cs</t>
  </si>
  <si>
    <t>PBP-0048</t>
  </si>
  <si>
    <t>POST-BATCH-N lane=POST-BATCH-N-RUNTIME-HOOK-SOURCE-BATCH; FileProofStatus=CurrentPathConfirmed; CurrentFile=Data/Scripts/Mobiles/Insects/Spiders/ShadowRecluse.cs; Line=134; SourceLine=public override void OnMovement(Mobile m, Point3D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</si>
  <si>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RB-02132</t>
  </si>
  <si>
    <t>P10-F02132</t>
  </si>
  <si>
    <t>PBP-0049</t>
  </si>
  <si>
    <t>POST-BATCH-N lane=POST-BATCH-N-RUNTIME-HOOK-SOURCE-BATCH; FileProofStatus=CurrentPathConfirmed; CurrentFile=Data/Scripts/Mobiles/Insects/Spiders/ShadowRecluse.cs; Line=151; SourceLine=base.OnMovement(m,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</si>
  <si>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RB-02134</t>
  </si>
  <si>
    <t>P10-F02134</t>
  </si>
  <si>
    <t>Data/Scripts/Mobiles/Mystical/Pixie.cs</t>
  </si>
  <si>
    <t>PBP-0050</t>
  </si>
  <si>
    <t>POST-BATCH-N lane=POST-BATCH-N-RUNTIME-HOOK-SOURCE-BATCH; FileProofStatus=CurrentPathConfirmed; CurrentFile=Data/Scripts/Mobiles/Mystical/Pixie.cs; Line=123; SourceLine=public override void OnMovement(Mobile m, Point3D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</si>
  <si>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RB-02135</t>
  </si>
  <si>
    <t>P10-F02135</t>
  </si>
  <si>
    <t>PBP-0051</t>
  </si>
  <si>
    <t>POST-BATCH-N lane=POST-BATCH-N-RUNTIME-HOOK-SOURCE-BATCH; FileProofStatus=CurrentPathConfirmed; CurrentFile=Data/Scripts/Mobiles/Mystical/Pixie.cs; Line=140; SourceLine=base.OnMovement(m,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</si>
  <si>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RB-02136</t>
  </si>
  <si>
    <t>P10-F02136</t>
  </si>
  <si>
    <t>Data/Scripts/Mobiles/Mystical/Sprite.cs</t>
  </si>
  <si>
    <t>PBP-0052</t>
  </si>
  <si>
    <t>POST-BATCH-N lane=POST-BATCH-N-RUNTIME-HOOK-SOURCE-BATCH; FileProofStatus=CurrentPathConfirmed; CurrentFile=Data/Scripts/Mobiles/Mystical/Sprite.cs; Line=120; SourceLine=public override void OnMovement(Mobile m, Point3D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</si>
  <si>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RB-02137</t>
  </si>
  <si>
    <t>P10-F02137</t>
  </si>
  <si>
    <t>PBP-0053</t>
  </si>
  <si>
    <t>POST-BATCH-N lane=POST-BATCH-N-RUNTIME-HOOK-SOURCE-BATCH; FileProofStatus=CurrentPathConfirmed; CurrentFile=Data/Scripts/Mobiles/Mystical/Sprite.cs; Line=137; SourceLine=base.OnMovement(m, oldLocation);; PathResolution=OriginalPathCurrent; MatchQuality=RuntimeHookMapFileLine; HookKind=Movement; GuardList=MapGuard;PacketReadGuard; Access=; Command=; Handler=; DisabledEvidence=False; RuntimeHookMap=HookType=Movement;Marker=OnMovement;Access=GlobalOrInternal;Risk=High;Guards=MapGuard;PacketReadGuard; POST-BATCH-P direct source review=MovementHookGuardFixed</t>
  </si>
  <si>
    <t>RB-01976</t>
  </si>
  <si>
    <t>P10-F01976</t>
  </si>
  <si>
    <t>Data/Scripts/Quests/Frankenstein/PowerCoil.cs</t>
  </si>
  <si>
    <t>PBP-0054</t>
  </si>
  <si>
    <t>POST-BATCH-N lane=POST-BATCH-N-RUNTIME-HOOK-SOURCE-BATCH; FileProofStatus=CurrentPathConfirmed; CurrentFile=Data/Scripts/Quests/Frankenstein/PowerCoil.cs; Line=20; SourceLine=public override void OnSpeech(SpeechEventArgs e); PathResolution=OriginalPathCurrent; MatchQuality=RuntimeHookMapFileLine; HookKind=Speech; GuardList=PacketReadGuard;RangeGuard; Access=; Command=; Handler=; DisabledEvidence=False; RuntimeHookMap=HookType=Speech;Marker=OnSpeech;Access=GlobalOrInternal;Risk=High;Guards=PacketReadGuard;RangeGuard; POST-BATCH-P direct source review=SpeechHookGuardFixed</t>
  </si>
  <si>
    <t>RB-03104</t>
  </si>
  <si>
    <t>P10-F03104</t>
  </si>
  <si>
    <t>PBP-0055</t>
  </si>
  <si>
    <t>POST-BATCH-N lane=POST-BATCH-N-RUNTIME-HOOK-SOURCE-BATCH; FileProofStatus=CurrentPathConfirmed; CurrentFile=Data/Scripts/Quests/Search/SearchBoard.cs; Line=41; SourceLine=e.SendGump(; PathResolution=OriginalPathCurrent; MatchQuality=RuntimeHookMapFileLine; HookKind=Gump; GuardList=BoundsGuard;PacketReadGuard;RangeGuard; Access=; Command=; Handler=; DisabledEvidence=False; RuntimeHookMap=HookType=Gump;Marker=SendGump;Access=Internal;Risk=High;Guards=BoundsGuard;PacketReadGuard;RangeGuard; POST-BATCH-P direct source review=SendGumpCallbackGuardFixed</t>
  </si>
  <si>
    <t>RB-02140</t>
  </si>
  <si>
    <t>P10-F02140</t>
  </si>
  <si>
    <t>Quests:TriggerTile.cs</t>
  </si>
  <si>
    <t>Data/Scripts/Quests/TriggerTile.cs</t>
  </si>
  <si>
    <t>PBP-0056</t>
  </si>
  <si>
    <t>POST-BATCH-N lane=POST-BATCH-N-RUNTIME-HOOK-SOURCE-BATCH; FileProofStatus=CurrentPathConfirmed; CurrentFile=Data/Scripts/Quests/TriggerTile.cs; Line=16; SourceLine=public override void OnMovement(Mobile m, Point3D oldLocation); PathResolution=OriginalPathCurrent; MatchQuality=RuntimeHookMapFileLine; HookKind=Movement; GuardList=PacketReadGuard; Access=; Command=; Handler=; DisabledEvidence=False; RuntimeHookMap=HookType=Movement;Marker=OnMovement;Access=GlobalOrInternal;Risk=High;Guards=PacketReadGuard; POST-BATCH-P direct source review=MovementHookGuardFixed</t>
  </si>
  <si>
    <t>RB-02161</t>
  </si>
  <si>
    <t>P10-F02161</t>
  </si>
  <si>
    <t>PBP-0057</t>
  </si>
  <si>
    <t>POST-BATCH-N lane=POST-BATCH-N-RUNTIME-HOOK-SOURCE-BATCH; FileProofStatus=CurrentPathConfirmed; CurrentFile=Data/Scripts/System/Obsolete/Obsolete.cs; Line=2338; SourceLine=; PathResolution=OriginalPathCurrent; MatchQuality=CurrentFileOnly; HookKind=Movement; GuardList=AccessGuard;BoundsGuard;DeletedGuard;MapGuard;NullGuard;PacketReadGuard;RangeGuard;StateGuard; Access=; Command=; Handler=; DisabledEvidence=False; POST-BATCH-P direct source review=LegacyHookGuardFixed</t>
  </si>
  <si>
    <t>RB-02467</t>
  </si>
  <si>
    <t>P10-F02467</t>
  </si>
  <si>
    <t>PBP-0058</t>
  </si>
  <si>
    <t>POST-BATCH-N lane=POST-BATCH-N-RUNTIME-HOOK-SOURCE-BATCH; FileProofStatus=CurrentPathConfirmed; CurrentFile=Data/Scripts/System/Obsolete/Obsolete.cs; Line=25975; SourceLine=; PathResolution=OriginalPathCurrent; MatchQuality=CurrentFileOnly; HookKind=Region; GuardList=AccessGuard;BoundsGuard;DeletedGuard;MapGuard;NullGuard;PacketReadGuard;RangeGuard;StateGuard; Access=; Command=; Handler=; DisabledEvidence=False; POST-BATCH-P direct source review=LegacyHookGuardFixed</t>
  </si>
  <si>
    <t>RB-02514</t>
  </si>
  <si>
    <t>P10-F02514</t>
  </si>
  <si>
    <t>PBP-0059</t>
  </si>
  <si>
    <t>Added region enter/exit guards for null or deleted mobiles before pirate-region side effects.</t>
  </si>
  <si>
    <t>POST-BATCH-N lane=POST-BATCH-N-RUNTIME-HOOK-SOURCE-BATCH; FileProofStatus=CurrentPathConfirmed; CurrentFile=Data/Scripts/System/Regions/PirateRegion.cs; Line=26; SourceLine=public override void OnEnter(Mobile m); PathResolution=OriginalPathCurrent; MatchQuality=RuntimeHookMapFileLine; HookKind=Region; GuardList=MapGuard; Access=; Command=; Handler=; DisabledEvidence=False; RuntimeHookMap=HookType=Region;Marker=RegionOverride;Access=GlobalOrInternal;Risk=High;Guards=MapGuard; POST-BATCH-P direct source review=RegionHookGuardFixed</t>
  </si>
  <si>
    <t>RB-02515</t>
  </si>
  <si>
    <t>P10-F02515</t>
  </si>
  <si>
    <t>PBP-0060</t>
  </si>
  <si>
    <t>POST-BATCH-N lane=POST-BATCH-N-RUNTIME-HOOK-SOURCE-BATCH; FileProofStatus=CurrentPathConfirmed; CurrentFile=Data/Scripts/System/Regions/PirateRegion.cs; Line=37; SourceLine=public override void OnExit(Mobile m); PathResolution=OriginalPathCurrent; MatchQuality=RuntimeHookMapFileLine; HookKind=Region; GuardList=MapGuard; Access=; Command=; Handler=; DisabledEvidence=False; RuntimeHookMap=HookType=Region;Marker=RegionOverride;Access=GlobalOrInternal;Risk=High;Guards=MapGuard; POST-BATCH-P direct source review=RegionHookGuardFixed</t>
  </si>
  <si>
    <t>RB-02206</t>
  </si>
  <si>
    <t>P10-F02206</t>
  </si>
  <si>
    <t>PBP-0061</t>
  </si>
  <si>
    <t>Reviewed server bootstrap row; scoped source is not a runtime-hook guard defect and no source edit is needed.</t>
  </si>
  <si>
    <t>POST-BATCH-N lane=POST-BATCH-N-RUNTIME-HOOK-SOURCE-BATCH; FileProofStatus=CurrentPathConfirmed; CurrentFile=Data/System/Source/Main.cs; Line=593; SourceLine=; PathResolution=OriginalPathCurrent; MatchQuality=CurrentFileOnly; HookKind=WorldLoad; GuardList=BoundsGuard;MapGuard;NullGuard;RangeGuard;StateGuard; Access=; Command=; Handler=; DisabledEvidence=False; POST-BATCH-P direct source review=ServerBootstrapReviewedNoChange</t>
  </si>
  <si>
    <t>RB-02450</t>
  </si>
  <si>
    <t>P10-F02450</t>
  </si>
  <si>
    <t>PBP-0062</t>
  </si>
  <si>
    <t>Reviewed framework callback surface; scoped row is a framework/base callback path rather than a confirmed source guard defect.</t>
  </si>
  <si>
    <t>POST-BATCH-N lane=POST-BATCH-N-RUNTIME-HOOK-SOURCE-BATCH; FileProofStatus=CurrentPathConfirmed; CurrentFile=Data/System/Source/HuePicker.cs; Line=53; SourceLine=public virtual void OnResponse(int hue) { }; PathResolution=OriginalPathCurrent; MatchQuality=RuntimeHookMapFileLine; HookKind=Gump; GuardList=StateGuard; Access=; Command=; Handler=; DisabledEvidence=False; RuntimeHookMap=HookType=Gump;Marker=OnResponse;Access=Internal;Risk=High;Guards=StateGuard; POST-BATCH-P direct source review=FrameworkCallbackReviewedNoChange</t>
  </si>
  <si>
    <t>RB-02451</t>
  </si>
  <si>
    <t>P10-F02451</t>
  </si>
  <si>
    <t>PBP-0063</t>
  </si>
  <si>
    <t>POST-BATCH-N lane=POST-BATCH-N-RUNTIME-HOOK-SOURCE-BATCH; FileProofStatus=CurrentPathConfirmed; CurrentFile=Data/System/Source/Prompt.cs; Line=46; SourceLine=public virtual void OnResponse(Mobile from, string text) { }; PathResolution=OriginalPathCurrent; MatchQuality=RuntimeHookMapFileLine; HookKind=Gump; GuardList=StateGuard; Access=; Command=; Handler=; DisabledEvidence=False; RuntimeHookMap=HookType=Gump;Marker=OnResponse;Access=Internal;Risk=High;Guards=StateGuard; POST-BATCH-P direct source review=FrameworkCallbackReviewedNoChange</t>
  </si>
  <si>
    <t>RB-01949</t>
  </si>
  <si>
    <t>P10-F01949</t>
  </si>
  <si>
    <t>PBP-0064</t>
  </si>
  <si>
    <t>POST-BATCH-N lane=POST-BATCH-N-RUNTIME-HOOK-SOURCE-BATCH; FileProofStatus=CurrentPathConfirmed; CurrentFile=Data/Scripts/Magic/Elementalism/ElementalShrine.cs; Line=20; SourceLine=public override void OnSpeech(SpeechEventArgs e); PathResolution=OriginalPathCurrent; MatchQuality=RuntimeHookMapFileLine; HookKind=Speech; GuardList=MapGuard;PacketReadGuard;RangeGuard; Access=; Command=; Handler=; DisabledEvidence=False; RuntimeHookMap=HookType=Speech;Marker=OnSpeech;Access=GlobalOrInternal;Risk=High;Guards=MapGuard;PacketReadGuard;RangeGuard; POST-BATCH-P direct source review=SpeechHookGuardFixed</t>
  </si>
  <si>
    <t>RB-02076</t>
  </si>
  <si>
    <t>P10-F02076</t>
  </si>
  <si>
    <t>Data/Scripts/Magic/Elementalism/ElementalEffect.cs</t>
  </si>
  <si>
    <t>PBP-0065</t>
  </si>
  <si>
    <t>POST-BATCH-N lane=POST-BATCH-N-RUNTIME-HOOK-SOURCE-BATCH; FileProofStatus=CurrentPathConfirmed; CurrentFile=Data/Scripts/Magic/Elementalism/ElementalEffect.cs; Line=15; SourceLine=public override void OnMovement(Mobile m, Point3D oldLocation); PathResolution=OriginalPathCurrent; MatchQuality=RuntimeHookMapFileLine; HookKind=Movement; GuardList=NullGuard;PacketReadGuard; Access=; Command=; Handler=; DisabledEvidence=False; RuntimeHookMap=HookType=Movement;Marker=OnMovement;Access=GlobalOrInternal;Risk=High;Guards=NullGuard;PacketReadGuard; POST-BATCH-P direct source review=MovementHookGuardFixed</t>
  </si>
  <si>
    <t>RB-03006</t>
  </si>
  <si>
    <t>P10-F03006</t>
  </si>
  <si>
    <t>PBP-0066</t>
  </si>
  <si>
    <t>POST-BATCH-N lane=POST-BATCH-N-RUNTIME-HOOK-SOURCE-BATCH; FileProofStatus=CurrentPathConfirmed; CurrentFile=Data/Scripts/Magic/Elementalism/ElementalShrine.cs; Line=154; SourceLine=m.SendGump(new SpellBarsElement1(m));;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POST-BATCH-P direct source review=SendGumpCallbackGuardFixed</t>
  </si>
  <si>
    <t>RB-03007</t>
  </si>
  <si>
    <t>P10-F03007</t>
  </si>
  <si>
    <t>PBP-0067</t>
  </si>
  <si>
    <t>POST-BATCH-N lane=POST-BATCH-N-RUNTIME-HOOK-SOURCE-BATCH; FileProofStatus=CurrentPathConfirmed; CurrentFile=Data/Scripts/Magic/Elementalism/ElementalShrine.cs; Line=159; SourceLine=m.SendGump(new SpellBarsElement2(m));;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POST-BATCH-P direct source review=SendGumpCallbackGuardFixed</t>
  </si>
  <si>
    <t>RB-03008</t>
  </si>
  <si>
    <t>P10-F03008</t>
  </si>
  <si>
    <t>PBP-0068</t>
  </si>
  <si>
    <t>POST-BATCH-N lane=POST-BATCH-N-RUNTIME-HOOK-SOURCE-BATCH; FileProofStatus=CurrentPathConfirmed; CurrentFile=Data/Scripts/Magic/Elementalism/ElementalShrine.cs; Line=164; SourceLine=m.SendGump(new QuickBar(m));;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POST-BATCH-P direct source review=SendGumpCallbackGuardFixed</t>
  </si>
  <si>
    <t>RB-03009</t>
  </si>
  <si>
    <t>P10-F03009</t>
  </si>
  <si>
    <t>PBP-0069</t>
  </si>
  <si>
    <t>POST-BATCH-N lane=POST-BATCH-N-RUNTIME-HOOK-SOURCE-BATCH; FileProofStatus=CurrentPathConfirmed; CurrentFile=Data/Scripts/Magic/Elementalism/ElementalShrine.cs; Line=169; SourceLine=m.SendGump(new SetupBarsElement1(m, 0));;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POST-BATCH-P direct source review=SendGumpCallbackGuardFixed</t>
  </si>
  <si>
    <t>RB-03010</t>
  </si>
  <si>
    <t>P10-F03010</t>
  </si>
  <si>
    <t>PBP-0070</t>
  </si>
  <si>
    <t>POST-BATCH-N lane=POST-BATCH-N-RUNTIME-HOOK-SOURCE-BATCH; FileProofStatus=CurrentPathConfirmed; CurrentFile=Data/Scripts/Magic/Elementalism/ElementalShrine.cs; Line=174; SourceLine=m.SendGump(new SetupBarsElement2(m, 0));; PathResolution=OriginalPathCurrent; MatchQuality=RuntimeHookMapFileLine; HookKind=Gump; GuardList=MapGuard;PacketReadGuard;RangeGuard; Access=; Command=; Handler=; DisabledEvidence=False; RuntimeHookMap=HookType=Gump;Marker=SendGump;Access=Internal;Risk=High;Guards=MapGuard;PacketReadGuard;RangeGuard; POST-BATCH-P direct source review=SendGumpCallbackGuardFixed</t>
  </si>
  <si>
    <t>RB-03023</t>
  </si>
  <si>
    <t>P10-F03023</t>
  </si>
  <si>
    <t>PBP-0071</t>
  </si>
  <si>
    <t>Added spell-cast guards for null/deleted caster state before polymorph gump/cast side effects.</t>
  </si>
  <si>
    <t>POST-BATCH-N lane=POST-BATCH-N-RUNTIME-HOOK-SOURCE-BATCH; FileProofStatus=CurrentPathConfirmed; CurrentFile=Data/Scripts/Magic/Magery/Magery 7th/Polymorph.cs; Line=65; SourceLine=Caster.SendGump(gump);; PathResolution=OriginalPathCurrent; MatchQuality=RuntimeHookMapFileLine; HookKind=Gump; GuardList=MapGuard;NullGuard; Access=; Command=; Handler=; DisabledEvidence=False; RuntimeHookMap=HookType=Gump;Marker=SendGump;Access=Internal;Risk=High;Guards=MapGuard;NullGuard; POST-BATCH-P direct source review=SpellCallbackGuardFixed</t>
  </si>
  <si>
    <t>RB-03024</t>
  </si>
  <si>
    <t>P10-F03024</t>
  </si>
  <si>
    <t>PBP-0072</t>
  </si>
  <si>
    <t>Added target callback guards for null/deleted caster, target, owner, and safe creature casting before divination side effects.</t>
  </si>
  <si>
    <t>POST-BATCH-N lane=POST-BATCH-N-RUNTIME-HOOK-SOURCE-BATCH; FileProofStatus=CurrentPathConfirmed; CurrentFile=Data/Scripts/Magic/Research/Spells/Theurgy/ResearchDivination.cs; Line=81; SourceLine=from.SendGump(new StatsGump(from, p, 2));; PathResolution=OriginalPathCurrent; MatchQuality=RuntimeHookMapFileLine; HookKind=Gump; GuardList=StateGuard; Access=; Command=; Handler=; DisabledEvidence=False; RuntimeHookMap=HookType=Gump;Marker=SendGump;Access=Internal;Risk=High;Guards=StateGuard; POST-BATCH-P direct source review=TargetCallbackGuardFixed</t>
  </si>
  <si>
    <t>RB-03025</t>
  </si>
  <si>
    <t>P10-F03025</t>
  </si>
  <si>
    <t>PBP-0073</t>
  </si>
  <si>
    <t>POST-BATCH-N lane=POST-BATCH-N-RUNTIME-HOOK-SOURCE-BATCH; FileProofStatus=CurrentPathConfirmed; CurrentFile=Data/Scripts/Magic/Research/Spells/Theurgy/ResearchDivination.cs; Line=125; SourceLine=from.SendGump(new Server.SkillHandlers.DruidismGump(from, c, 4));; PathResolution=OriginalPathCurrent; MatchQuality=RuntimeHookMapFileLine; HookKind=Gump; GuardList=StateGuard; Access=; Command=; Handler=; DisabledEvidence=False; RuntimeHookMap=HookType=Gump;Marker=SendGump;Access=Internal;Risk=High;Guards=StateGuard; POST-BATCH-P direct source review=TargetCallbackGuardFixed</t>
  </si>
  <si>
    <t>RB-03026</t>
  </si>
  <si>
    <t>P10-F03026</t>
  </si>
  <si>
    <t>PBP-0074</t>
  </si>
  <si>
    <t>POST-BATCH-N lane=POST-BATCH-N-RUNTIME-HOOK-SOURCE-BATCH; FileProofStatus=CurrentPathConfirmed; CurrentFile=Data/Scripts/Magic/Research/Spells/Theurgy/ResearchDivination.cs; Line=133; SourceLine=from.SendGump(new Server.SkillHandlers.DruidismGump(from, c, 3));; PathResolution=OriginalPathCurrent; MatchQuality=RuntimeHookMapFileLine; HookKind=Gump; GuardList=StateGuard; Access=; Command=; Handler=; DisabledEvidence=False; RuntimeHookMap=HookType=Gump;Marker=SendGump;Access=Internal;Risk=High;Guards=StateGuard; POST-BATCH-P direct source review=TargetCallbackGuardFixed</t>
  </si>
  <si>
    <t>RB-02393</t>
  </si>
  <si>
    <t>P10-F02393</t>
  </si>
  <si>
    <t>PBP-0075</t>
  </si>
  <si>
    <t>POST-BATCH-N lane=POST-BATCH-N-RUNTIME-HOOK-SOURCE-BATCH; FileProofStatus=CurrentPathConfirmed; CurrentFile=Data/Scripts/System/Commands/Player/Basics.cs; Line=53;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</si>
  <si>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RB-02394</t>
  </si>
  <si>
    <t>P10-F02394</t>
  </si>
  <si>
    <t>PBP-0076</t>
  </si>
  <si>
    <t>POST-BATCH-N lane=POST-BATCH-N-RUNTIME-HOOK-SOURCE-BATCH; FileProofStatus=CurrentPathConfirmed; CurrentFile=Data/Scripts/System/Commands/Player/CreatureHelp.cs; Line=68;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</si>
  <si>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RB-02395</t>
  </si>
  <si>
    <t>P10-F02395</t>
  </si>
  <si>
    <t>PBP-0077</t>
  </si>
  <si>
    <t>POST-BATCH-N lane=POST-BATCH-N-RUNTIME-HOOK-SOURCE-BATCH; FileProofStatus=CurrentPathConfirmed; CurrentFile=Data/Scripts/System/Commands/Player/FameKarma.cs; Line=217;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</si>
  <si>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RB-02396</t>
  </si>
  <si>
    <t>P10-F02396</t>
  </si>
  <si>
    <t>PBP-0078</t>
  </si>
  <si>
    <t>POST-BATCH-N lane=POST-BATCH-N-RUNTIME-HOOK-SOURCE-BATCH; FileProofStatus=CurrentPathConfirmed; CurrentFile=Data/Scripts/System/Commands/Player/ItemProps.cs; Line=51;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</si>
  <si>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RB-02400</t>
  </si>
  <si>
    <t>P10-F02400</t>
  </si>
  <si>
    <t>PBP-0079</t>
  </si>
  <si>
    <t>POST-BATCH-N lane=POST-BATCH-N-RUNTIME-HOOK-SOURCE-BATCH; FileProofStatus=CurrentPathConfirmed; CurrentFile=Data/Scripts/System/Commands/Player/Quests.cs; Line=50;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</si>
  <si>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RB-02405</t>
  </si>
  <si>
    <t>P10-F02405</t>
  </si>
  <si>
    <t>PBP-0080</t>
  </si>
  <si>
    <t>POST-BATCH-N lane=POST-BATCH-N-RUNTIME-HOOK-SOURCE-BATCH; FileProofStatus=CurrentPathConfirmed; CurrentFile=Data/Scripts/System/Commands/Player/Wanted.cs; Line=67; SourceLine=public override void OnResponse(NetState sender,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</si>
  <si>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RB-03132</t>
  </si>
  <si>
    <t>P10-F03132</t>
  </si>
  <si>
    <t>PBP-0081</t>
  </si>
  <si>
    <t>POST-BATCH-N lane=POST-BATCH-N-RUNTIME-HOOK-SOURCE-BATCH; FileProofStatus=CurrentPathConfirmed; CurrentFile=Data/Scripts/System/Commands/Player/Basics.cs; Line=59;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POST-BATCH-P direct source review=PriorGuardOrExistingGuardSafeNoChange</t>
  </si>
  <si>
    <t>RB-03133</t>
  </si>
  <si>
    <t>P10-F03133</t>
  </si>
  <si>
    <t>PBP-0082</t>
  </si>
  <si>
    <t>POST-BATCH-N lane=POST-BATCH-N-RUNTIME-HOOK-SOURCE-BATCH; FileProofStatus=CurrentPathConfirmed; CurrentFile=Data/Scripts/System/Commands/Player/CreatureHelp.cs; Line=74;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POST-BATCH-P direct source review=PriorGuardOrExistingGuardSafeNoChange</t>
  </si>
  <si>
    <t>RB-03134</t>
  </si>
  <si>
    <t>P10-F03134</t>
  </si>
  <si>
    <t>PBP-0083</t>
  </si>
  <si>
    <t>POST-BATCH-N lane=POST-BATCH-N-RUNTIME-HOOK-SOURCE-BATCH; FileProofStatus=CurrentPathConfirmed; CurrentFile=Data/Scripts/System/Commands/Player/FameKarma.cs; Line=223;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POST-BATCH-P direct source review=PriorGuardOrExistingGuardSafeNoChange</t>
  </si>
  <si>
    <t>RB-03135</t>
  </si>
  <si>
    <t>P10-F03135</t>
  </si>
  <si>
    <t>PBP-0084</t>
  </si>
  <si>
    <t>POST-BATCH-N lane=POST-BATCH-N-RUNTIME-HOOK-SOURCE-BATCH; FileProofStatus=CurrentPathConfirmed; CurrentFile=Data/Scripts/System/Commands/Player/ItemProps.cs; Line=57; SourceLine=from.SendGump(new Server.Engines.Help.HelpGump(from, 1));; PathResolution=OriginalPathCurrent; MatchQuality=RuntimeHookMapFileLine; HookKind=Gump; GuardList=StateGuard; Access=; Command=; Handler=; DisabledEvidence=False; RuntimeHookMap=HookType=Gump;Marker=SendGump;Access=Internal;Risk=High;Guards=StateGuard; POST-BATCH-P direct source review=PriorGuardOrExistingGuardSafeNoChange</t>
  </si>
  <si>
    <t>RB-02416</t>
  </si>
  <si>
    <t>P10-F02416</t>
  </si>
  <si>
    <t>PBP-0085</t>
  </si>
  <si>
    <t>POST-BATCH-N lane=POST-BATCH-N-RUNTIME-HOOK-SOURCE-BATCH; FileProofStatus=CurrentPathConfirmed; CurrentFile=Data/Scripts/System/Gumps/PrisonGump.cs; Line=48; SourceLine=public override void OnResponse(NetState state, RelayInfo info); PathResolution=OriginalPathCurrent; MatchQuality=RuntimeHookMapFileLine; HookKind=Gump; GuardList=StateGuard; Access=; Command=; Handler=; DisabledEvidence=False; RuntimeHookMap=HookType=Gump;Marker=OnResponse;Access=Internal;Risk=High;Guards=StateGuard; POST-BATCH-P direct source review=PriorGuardOrExistingGuardSafeNoChange</t>
  </si>
  <si>
    <t>RB-02428</t>
  </si>
  <si>
    <t>P10-F02428</t>
  </si>
  <si>
    <t>PBP-0086</t>
  </si>
  <si>
    <t>POST-BATCH-N lane=POST-BATCH-N-RUNTIME-HOOK-SOURCE-BATCH; FileProofStatus=CurrentPathConfirmed; CurrentFile=Data/Scripts/System/Help/PagePrompt.cs; Line=21; SourceLine=public override void OnResponse(Mobile from, string text); PathResolution=OriginalPathCurrent; MatchQuality=RuntimeHookMapFileLine; HookKind=Gump; GuardList=StateGuard; Access=; Command=; Handler=; DisabledEvidence=False; RuntimeHookMap=HookType=Gump;Marker=OnResponse;Access=Internal;Risk=High;Guards=StateGuard; POST-BATCH-P direct source review=FrameworkCallbackReviewedNoChange</t>
  </si>
  <si>
    <t>RB-01980</t>
  </si>
  <si>
    <t>P10-F01980</t>
  </si>
  <si>
    <t>Data/Scripts/System/Misc/InhumanSpeech.cs</t>
  </si>
  <si>
    <t>PBP-0087</t>
  </si>
  <si>
    <t>POST-BATCH-N lane=POST-BATCH-N-RUNTIME-HOOK-SOURCE-BATCH; FileProofStatus=CurrentPathConfirmed; CurrentFile=Data/Scripts/System/Misc/InhumanSpeech.cs; Line=1028; SourceLine=public bool OnSpeech(Mobile mob, Mobile speaker, string text); PathResolution=OriginalPathCurrent; MatchQuality=RuntimeHookMapFileLine; HookKind=Speech; GuardList=AccessGuard;BoundsGuard;NullGuard;RangeGuard; Access=; Command=; Handler=; DisabledEvidence=False; RuntimeHookMap=HookType=Speech;Marker=OnSpeech;Access=GlobalOrInternal;Risk=High;Guards=AccessGuard;BoundsGuard;NullGuard;RangeGuard; POST-BATCH-P direct source review=SpeechHookGuardFixed</t>
  </si>
  <si>
    <t>RB-02149</t>
  </si>
  <si>
    <t>P10-F02149</t>
  </si>
  <si>
    <t>Data/Scripts/System/Misc/Environment.cs</t>
  </si>
  <si>
    <t>PBP-0088</t>
  </si>
  <si>
    <t>Added null/deleted/map guards to ambient movement hooks before range, sound, or environmental side effects.</t>
  </si>
  <si>
    <t>POST-BATCH-N lane=POST-BATCH-N-RUNTIME-HOOK-SOURCE-BATCH; FileProofStatus=CurrentPathConfirmed; CurrentFile=Data/Scripts/System/Misc/Environment.cs; Line=22;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</si>
  <si>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RB-02150</t>
  </si>
  <si>
    <t>P10-F02150</t>
  </si>
  <si>
    <t>PBP-0089</t>
  </si>
  <si>
    <t>POST-BATCH-N lane=POST-BATCH-N-RUNTIME-HOOK-SOURCE-BATCH; FileProofStatus=CurrentPathConfirmed; CurrentFile=Data/Scripts/System/Misc/Environment.cs; Line=77;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</si>
  <si>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RB-02151</t>
  </si>
  <si>
    <t>P10-F02151</t>
  </si>
  <si>
    <t>PBP-0090</t>
  </si>
  <si>
    <t>POST-BATCH-N lane=POST-BATCH-N-RUNTIME-HOOK-SOURCE-BATCH; FileProofStatus=CurrentPathConfirmed; CurrentFile=Data/Scripts/System/Misc/Environment.cs; Line=131;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</si>
  <si>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RB-02152</t>
  </si>
  <si>
    <t>P10-F02152</t>
  </si>
  <si>
    <t>PBP-0091</t>
  </si>
  <si>
    <t>POST-BATCH-N lane=POST-BATCH-N-RUNTIME-HOOK-SOURCE-BATCH; FileProofStatus=CurrentPathConfirmed; CurrentFile=Data/Scripts/System/Misc/Environment.cs; Line=186;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</si>
  <si>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RB-02153</t>
  </si>
  <si>
    <t>P10-F02153</t>
  </si>
  <si>
    <t>PBP-0092</t>
  </si>
  <si>
    <t>POST-BATCH-N lane=POST-BATCH-N-RUNTIME-HOOK-SOURCE-BATCH; FileProofStatus=CurrentPathConfirmed; CurrentFile=Data/Scripts/System/Misc/Environment.cs; Line=243;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</si>
  <si>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RB-02154</t>
  </si>
  <si>
    <t>P10-F02154</t>
  </si>
  <si>
    <t>PBP-0093</t>
  </si>
  <si>
    <t>POST-BATCH-N lane=POST-BATCH-N-RUNTIME-HOOK-SOURCE-BATCH; FileProofStatus=CurrentPathConfirmed; CurrentFile=Data/Scripts/System/Misc/Environment.cs; Line=300;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</si>
  <si>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RB-02155</t>
  </si>
  <si>
    <t>P10-F02155</t>
  </si>
  <si>
    <t>PBP-0094</t>
  </si>
  <si>
    <t>POST-BATCH-N lane=POST-BATCH-N-RUNTIME-HOOK-SOURCE-BATCH; FileProofStatus=CurrentPathConfirmed; CurrentFile=Data/Scripts/System/Misc/Environment.cs; Line=363;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</si>
  <si>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RB-02156</t>
  </si>
  <si>
    <t>P10-F02156</t>
  </si>
  <si>
    <t>PBP-0095</t>
  </si>
  <si>
    <t>POST-BATCH-N lane=POST-BATCH-N-RUNTIME-HOOK-SOURCE-BATCH; FileProofStatus=CurrentPathConfirmed; CurrentFile=Data/Scripts/System/Misc/Environment.cs; Line=410;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</si>
  <si>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RB-02157</t>
  </si>
  <si>
    <t>P10-F02157</t>
  </si>
  <si>
    <t>PBP-0096</t>
  </si>
  <si>
    <t>POST-BATCH-N lane=POST-BATCH-N-RUNTIME-HOOK-SOURCE-BATCH; FileProofStatus=CurrentPathConfirmed; CurrentFile=Data/Scripts/System/Misc/Environment.cs; Line=464;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</si>
  <si>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RB-02158</t>
  </si>
  <si>
    <t>P10-F02158</t>
  </si>
  <si>
    <t>PBP-0097</t>
  </si>
  <si>
    <t>POST-BATCH-N lane=POST-BATCH-N-RUNTIME-HOOK-SOURCE-BATCH; FileProofStatus=CurrentPathConfirmed; CurrentFile=Data/Scripts/System/Misc/Environment.cs; Line=528; SourceLine=public override void OnMovement(Mobile m, Point3D oldLocation); PathResolution=OriginalPathCurrent; MatchQuality=RuntimeHookMapFileLine; HookKind=Movement; GuardList=MapGuard;PacketReadGuard;RangeGuard; Access=; Command=; Handler=; DisabledEvidence=False; RuntimeHookMap=HookType=Movement;Marker=OnMovement;Access=GlobalOrInternal;Risk=High;Guards=MapGuard;PacketReadGuard;RangeGuard; POST-BATCH-P direct source review=AmbientMovementGuardFixed</t>
  </si>
  <si>
    <t>RB-02159</t>
  </si>
  <si>
    <t>P10-F02159</t>
  </si>
  <si>
    <t>PBP-0098</t>
  </si>
  <si>
    <t>POST-BATCH-N lane=POST-BATCH-N-RUNTIME-HOOK-SOURCE-BATCH; FileProofStatus=CurrentPathConfirmed; CurrentFile=Data/Scripts/System/Misc/InhumanSpeech.cs; Line=1172; SourceLine=public void OnMovement(Mobile mob, Mobile mover, Point3D oldLocation); PathResolution=OriginalPathCurrent; MatchQuality=RuntimeHookMapFileLine; HookKind=Movement; GuardList=AccessGuard;BoundsGuard;NullGuard;RangeGuard; Access=; Command=; Handler=; DisabledEvidence=False; RuntimeHookMap=HookType=Movement;Marker=OnMovement;Access=GlobalOrInternal;Risk=High;Guards=AccessGuard;BoundsGuard;NullGuard;RangeGuard; POST-BATCH-P direct source review=MovementHookGuardFixed</t>
  </si>
  <si>
    <t>RB-03195</t>
  </si>
  <si>
    <t>P10-F03195</t>
  </si>
  <si>
    <t>PBP-0099</t>
  </si>
  <si>
    <t>Added command mobile/deleted/type/weapon guards before opening the special-attack display gump.</t>
  </si>
  <si>
    <t>POST-BATCH-N lane=POST-BATCH-N-RUNTIME-HOOK-SOURCE-BATCH; FileProofStatus=CurrentPathConfirmed; CurrentFile=Data/Scripts/System/Skills/Weapon Abilities/SpecialAttacksDisplay.cs; Line=85; SourceLine=pm.SendGump(new SpecialAttackGump(weapon, pm, number));; PathResolution=OriginalPathCurrent; MatchQuality=RuntimeHookMapFileLine; HookKind=Gump; GuardList=AccessGuard;NullGuard; Access=; Command=; Handler=; DisabledEvidence=False; RuntimeHookMap=HookType=Gump;Marker=SendGump;Access=Internal;Risk=High;Guards=AccessGuard;NullGuard; POST-BATCH-P direct source review=SendGumpCallbackGuardFixed</t>
  </si>
  <si>
    <t>RB-01919</t>
  </si>
  <si>
    <t>P10-F01919</t>
  </si>
  <si>
    <t>PBP-0100</t>
  </si>
  <si>
    <t>Reviewed XML attachment speech callback; existing event handler already guards null args, null/deleted mobile state, map, and command access before side effects.</t>
  </si>
  <si>
    <t>POST-BATCH-N lane=POST-BATCH-N-RUNTIME-HOOK-SOURCE-BATCH; FileProofStatus=CurrentPathConfirmed; CurrentFile=Data/Scripts/Custom/XMLSpawner/XmlAttach/XmlAttach.cs; Line=1243; SourceLine=; PathResolution=OriginalPathCurrent; MatchQuality=CurrentFileOnly; HookKind=Speech; GuardList=AccessGuard;BoundsGuard;DeletedGuard;MapGuard;NullGuard;PacketReadGuard;RangeGuard;StateGuard; Access=; Command=; Handler=; DisabledEvidence=False; POST-BATCH-P direct source review=ExistingEventGuardSafeNoChange</t>
  </si>
  <si>
    <t>RB-02003</t>
  </si>
  <si>
    <t>P10-F02003</t>
  </si>
  <si>
    <t>PBP-0101</t>
  </si>
  <si>
    <t>Reviewed XMLSpawner movement callback; existing ValidPlayerTrig gate already rejects null/deleted/non-player triggers before movement side effects. A same-file speech arg guard was also added during direct hook review.</t>
  </si>
  <si>
    <t>POST-BATCH-N lane=POST-BATCH-N-RUNTIME-HOOK-SOURCE-BATCH; FileProofStatus=CurrentPathConfirmed; CurrentFile=Data/Scripts/Custom/XMLSpawner/XmlSpawner2.cs; Line=4083; SourceLine=; PathResolution=OriginalPathCurrent; MatchQuality=CurrentFileOnly; HookKind=Movement; GuardList=AccessGuard;BoundsGuard;DeletedGuard;MapGuard;NullGuard;PacketReadGuard;RangeGuard;StateGuard; Access=; Command=; Handler=; DisabledEvidence=False; POST-BATCH-P direct source review=ExistingMovementGuardSafeNoChange</t>
  </si>
  <si>
    <t>RB-02027</t>
  </si>
  <si>
    <t>P10-F02027</t>
  </si>
  <si>
    <t>Data/Scripts/Custom/XMLSpawner/XmlItems/SimpleTileTrap.cs</t>
  </si>
  <si>
    <t>PBP-0102</t>
  </si>
  <si>
    <t>POST-BATCH-N lane=POST-BATCH-N-RUNTIME-HOOK-SOURCE-BATCH; FileProofStatus=CurrentPathConfirmed; CurrentFile=Data/Scripts/Custom/XMLSpawner/XmlItems/SimpleTileTrap.cs; Line=166; SourceLine=public override void OnMovement(Mobile m, Point3D oldLocation); PathResolution=OriginalPathCurrent; MatchQuality=RuntimeHookMapFileLine; HookKind=Movement; GuardList=AccessGuard;BoundsGuard;DeletedGuard;NullGuard;PacketReadGuard;RangeGuard; Access=; Command=; Handler=; DisabledEvidence=False; RuntimeHookMap=HookType=Movement;Marker=OnMovement;Access=GlobalOrInternal;Risk=High;Guards=AccessGuard;BoundsGuard;DeletedGuard;NullGuard;PacketReadGuard;RangeGuard; POST-BATCH-P direct source review=MovementHookGuardFixed</t>
  </si>
  <si>
    <t>RB-02028</t>
  </si>
  <si>
    <t>P10-F02028</t>
  </si>
  <si>
    <t>PBP-0103</t>
  </si>
  <si>
    <t>POST-BATCH-N lane=POST-BATCH-N-RUNTIME-HOOK-SOURCE-BATCH; FileProofStatus=CurrentPathConfirmed; CurrentFile=Data/Scripts/Custom/XMLSpawner/XmlItems/SimpleTileTrap.cs; Line=168; SourceLine=base.OnMovement(m, oldLocation);; PathResolution=OriginalPathCurrent; MatchQuality=RuntimeHookMapFileLine; HookKind=Movement; GuardList=AccessGuard;BoundsGuard;DeletedGuard;NullGuard;PacketReadGuard;RangeGuard; Access=; Command=; Handler=; DisabledEvidence=False; RuntimeHookMap=HookType=Movement;Marker=OnMovement;Access=GlobalOrInternal;Risk=High;Guards=AccessGuard;BoundsGuard;DeletedGuard;NullGuard;PacketReadGuard;RangeGuard; POST-BATCH-P direct source review=MovementHookGuardFixed</t>
  </si>
  <si>
    <t>POST-AUDIT | INSIGHTS DASHBOARD</t>
  </si>
  <si>
    <t>Source snapshot • 6,815 backlog records • Dashboard built October 17, 2026</t>
  </si>
  <si>
    <t>RECORDS</t>
  </si>
  <si>
    <t>FIXED</t>
  </si>
  <si>
    <t>NO-CHANGE OUTCOMES</t>
  </si>
  <si>
    <t>DOMAIN-ONLY BLOCKERS</t>
  </si>
  <si>
    <t>READOUT | Where to focus</t>
  </si>
  <si>
    <t>AUDIT ANALYSIS | Live source-linked summaries</t>
  </si>
  <si>
    <t>Scope: source rows 2–6816. Source data unchanged; summaries recalculate for edits within this range.</t>
  </si>
  <si>
    <t>Active status</t>
  </si>
  <si>
    <t>Records</t>
  </si>
  <si>
    <t>Share</t>
  </si>
  <si>
    <t>Interpretation</t>
  </si>
  <si>
    <t>Reviewed; no change</t>
  </si>
  <si>
    <t>Legacy retained intentionally</t>
  </si>
  <si>
    <t>Fixed per active status</t>
  </si>
  <si>
    <t>Safe; no change</t>
  </si>
  <si>
    <t>Policy resolved; no change</t>
  </si>
  <si>
    <t>Documented outcome</t>
  </si>
  <si>
    <t>False positive</t>
  </si>
  <si>
    <t>Accepted boundary/fence</t>
  </si>
  <si>
    <t>Domain-specific blocker</t>
  </si>
  <si>
    <t>No change</t>
  </si>
  <si>
    <t>Domain blockers</t>
  </si>
  <si>
    <t>Fixed share</t>
  </si>
  <si>
    <t>Last update date</t>
  </si>
  <si>
    <t>Data-quality check</t>
  </si>
  <si>
    <t>Count / gap</t>
  </si>
  <si>
    <t>Result</t>
  </si>
  <si>
    <t>Status reconciliation</t>
  </si>
  <si>
    <t>Category reconciliation</t>
  </si>
  <si>
    <t>System reconciliation</t>
  </si>
  <si>
    <t>Date reconciliation</t>
  </si>
  <si>
    <t>Repeated ID rows</t>
  </si>
  <si>
    <t>Missing active status</t>
  </si>
  <si>
    <t>Missing review artifact</t>
  </si>
  <si>
    <t>Missing source evidence</t>
  </si>
  <si>
    <t>Missing update time</t>
  </si>
  <si>
    <t>Historical status</t>
  </si>
  <si>
    <t>Now fixed</t>
  </si>
  <si>
    <t>APPROVAL GATES | Click a record to inspect the source</t>
  </si>
  <si>
    <t>Blockers apply only to the named domain; ordinary maintenance may proceed within the source-defined boundaries.</t>
  </si>
  <si>
    <t>INTERPRETATION &amp; MAINTENANCE</t>
  </si>
  <si>
    <t>No-change = ReviewedNoChange + SafeNoChange + PolicyResolvedNoChange. Fixed uses ActiveStatus exactly; no closure rate is inferred.</t>
  </si>
  <si>
    <t>IntentionalLegacy, AcceptedFence, Documented and FalsePositive remain separate outcomes; a record is not necessarily a unique file.</t>
  </si>
  <si>
    <t>Update chart counts each record’s last timestamp—not daily throughput. Dates use the written calendar date; numeric Excel dates are included.</t>
  </si>
  <si>
    <t>Live formulas cover source rows 2–6816. Category/system lists and chart rankings reflect the build snapshot; extend/re-sort them after adding data.</t>
  </si>
  <si>
    <t>Audit Analysis contains all 17 categories, 205 systems, status definitions, history comparisons and visible quality checks. Source records are untouched.</t>
  </si>
  <si>
    <t>Workbook: post-audit-active-backlog-statu | Dashboard built 2026-10-17 | No owner, SLA or creation date supplied; no overdue metric inferred.</t>
  </si>
  <si>
    <t>Backlog ID</t>
  </si>
  <si>
    <t>Restricted work</t>
  </si>
  <si>
    <t>Source record</t>
  </si>
  <si>
    <t>Quality flags indicate missing traceability or reconciliation gaps, not necessarily unresolved work. Status names are preserved verbatim.</t>
  </si>
  <si>
    <t>Update guidance: source-linked formulas recalculate on edits. After adding rows, extend source references and segment lists; sort category/system tables by Records descending to refresh chart rankings. Nonzero reconciliation checks flag incomplete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</si>
</sst>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0.0%"/>
  </numFmts>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ont>
    <font>
      <u/>
      <sz val="11"/>
      <color theme="10"/>
      <name val="Aptos Narrow"/>
      <family val="2"/>
      <scheme val="minor"/>
    </font>
    <font>
      <b/>
      <sz val="11"/>
      <color rgb="FFFFFFFF"/>
      <name val="Aptos Narrow"/>
      <family val="2"/>
      <scheme val="minor"/>
    </font>
    <font>
      <b/>
      <sz val="22"/>
      <color rgb="FFFFFFFF"/>
      <name val="Aptos Narrow"/>
      <family val="2"/>
      <scheme val="minor"/>
    </font>
    <font>
      <sz val="11"/>
      <color rgb="FF526579"/>
      <name val="Aptos Narrow"/>
      <family val="2"/>
      <scheme val="minor"/>
    </font>
    <font>
      <b/>
      <sz val="10"/>
      <color theme="1"/>
      <name val="Aptos Narrow"/>
      <family val="2"/>
      <scheme val="minor"/>
    </font>
    <font>
      <b/>
      <sz val="28"/>
      <color theme="1"/>
      <name val="Aptos Narrow"/>
      <family val="2"/>
      <scheme val="minor"/>
    </font>
    <font>
      <b/>
      <sz val="28"/>
      <color rgb="FFA85B00"/>
      <name val="Aptos Narrow"/>
      <family val="2"/>
      <scheme val="minor"/>
    </font>
    <font>
      <sz val="11"/>
      <color rgb="FF526579"/>
      <name val="Aptos"/>
    </font>
    <font>
      <sz val="10"/>
      <color rgb="FF526579"/>
      <name val="Aptos Narrow"/>
      <family val="2"/>
      <scheme val="minor"/>
    </font>
    <font>
      <sz val="10"/>
      <color rgb="FF526579"/>
      <name val="Aptos"/>
    </font>
    <font>
      <sz val="11"/>
      <color rgb="FF1C714D"/>
      <name val="Aptos Narrow"/>
      <family val="2"/>
      <scheme val="minor"/>
    </font>
    <font>
      <sz val="10"/>
      <color theme="1"/>
      <name val="Aptos Narrow"/>
      <family val="2"/>
      <scheme val="minor"/>
    </font>
    <font>
      <u/>
      <sz val="11"/>
      <color rgb="FF855000"/>
      <name val="Aptos Narrow"/>
      <family val="2"/>
      <scheme val="minor"/>
    </font>
    <font>
      <sz val="11"/>
      <color rgb="FF855000"/>
      <name val="Aptos Narrow"/>
      <family val="2"/>
      <scheme val="minor"/>
    </font>
    <font>
      <b/>
      <sz val="16"/>
      <color rgb="FFFFFFFF"/>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8354A"/>
        <bgColor indexed="64"/>
      </patternFill>
    </fill>
    <fill>
      <patternFill patternType="solid">
        <fgColor rgb="FFE7F0F5"/>
        <bgColor indexed="64"/>
      </patternFill>
    </fill>
    <fill>
      <patternFill patternType="solid">
        <fgColor rgb="FFF1F6F9"/>
        <bgColor indexed="64"/>
      </patternFill>
    </fill>
    <fill>
      <patternFill patternType="solid">
        <fgColor rgb="FF167D9A"/>
        <bgColor indexed="64"/>
      </patternFill>
    </fill>
    <fill>
      <patternFill patternType="solid">
        <fgColor rgb="FFFFF4D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30">
    <xf numFmtId="0" fontId="0" fillId="0" borderId="0" xfId="0"/>
    <xf numFmtId="0" fontId="18" fillId="0" borderId="0" xfId="0" applyFont="1"/>
    <xf numFmtId="0" fontId="28" fillId="0" borderId="0" xfId="0" applyFont="1"/>
    <xf numFmtId="0" fontId="18" fillId="0" borderId="0" xfId="0" applyFont="1" applyAlignment="1">
      <alignment vertical="center" wrapText="1"/>
    </xf>
    <xf numFmtId="0" fontId="18" fillId="0" borderId="0" xfId="0" applyFont="1" applyAlignment="1">
      <alignment vertical="center"/>
    </xf>
    <xf numFmtId="164" fontId="18" fillId="0" borderId="0" xfId="0" applyNumberFormat="1" applyFont="1" applyAlignment="1">
      <alignment vertical="center"/>
    </xf>
    <xf numFmtId="3" fontId="18" fillId="0" borderId="0" xfId="0" applyNumberFormat="1" applyFont="1" applyAlignment="1">
      <alignment vertical="center"/>
    </xf>
    <xf numFmtId="0" fontId="19" fillId="0" borderId="0" xfId="42" applyAlignment="1">
      <alignment vertical="center" wrapText="1"/>
    </xf>
    <xf numFmtId="165" fontId="18" fillId="0" borderId="0" xfId="0" applyNumberFormat="1" applyFont="1" applyAlignment="1">
      <alignment vertical="center"/>
    </xf>
    <xf numFmtId="0" fontId="27" fillId="0" borderId="0" xfId="0" applyFont="1" applyAlignment="1">
      <alignment vertical="center" wrapText="1"/>
    </xf>
    <xf numFmtId="0" fontId="27" fillId="0" borderId="0" xfId="0" applyFont="1" applyAlignment="1">
      <alignment vertical="center"/>
    </xf>
    <xf numFmtId="0" fontId="31" fillId="37" borderId="0" xfId="42" applyFont="1" applyFill="1" applyAlignment="1">
      <alignment vertical="center"/>
    </xf>
    <xf numFmtId="0" fontId="32" fillId="37" borderId="0" xfId="0" applyFont="1" applyFill="1" applyAlignment="1">
      <alignment vertical="center"/>
    </xf>
    <xf numFmtId="0" fontId="16" fillId="34" borderId="0" xfId="0" applyFont="1" applyFill="1" applyAlignment="1">
      <alignment vertical="center"/>
    </xf>
    <xf numFmtId="0" fontId="0" fillId="35" borderId="0" xfId="0" applyFill="1" applyAlignment="1">
      <alignment vertical="center"/>
    </xf>
    <xf numFmtId="0" fontId="29" fillId="35" borderId="0" xfId="0" applyFont="1" applyFill="1" applyAlignment="1">
      <alignment vertical="center"/>
    </xf>
    <xf numFmtId="0" fontId="20" fillId="36" borderId="0" xfId="0" applyFont="1" applyFill="1" applyAlignment="1">
      <alignment vertical="center"/>
    </xf>
    <xf numFmtId="0" fontId="30" fillId="0" borderId="0" xfId="0" applyFont="1" applyAlignment="1">
      <alignment vertical="center"/>
    </xf>
    <xf numFmtId="0" fontId="20" fillId="36" borderId="0" xfId="0" applyFont="1" applyFill="1"/>
    <xf numFmtId="0" fontId="21" fillId="33" borderId="0" xfId="0" applyFont="1" applyFill="1"/>
    <xf numFmtId="0" fontId="22" fillId="0" borderId="0" xfId="0" applyFont="1"/>
    <xf numFmtId="0" fontId="23" fillId="34" borderId="0" xfId="0" applyFont="1" applyFill="1"/>
    <xf numFmtId="3" fontId="24" fillId="35" borderId="0" xfId="0" applyNumberFormat="1" applyFont="1" applyFill="1"/>
    <xf numFmtId="3" fontId="25" fillId="35" borderId="0" xfId="0" applyNumberFormat="1" applyFont="1" applyFill="1"/>
    <xf numFmtId="0" fontId="0" fillId="0" borderId="0" xfId="0" applyAlignment="1">
      <alignment wrapText="1"/>
    </xf>
    <xf numFmtId="0" fontId="33" fillId="33" borderId="0" xfId="0" applyFont="1" applyFill="1"/>
    <xf numFmtId="0" fontId="26" fillId="0" borderId="0" xfId="0" applyFont="1"/>
    <xf numFmtId="0" fontId="22" fillId="0" borderId="0" xfId="0" applyFont="1" applyAlignment="1">
      <alignment wrapText="1"/>
    </xf>
    <xf numFmtId="0" fontId="0" fillId="0" borderId="0" xfId="0" applyAlignment="1"/>
    <xf numFmtId="14" fontId="0" fillId="0" borderId="0" xfId="0" applyNumberForma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855000"/>
      </font>
      <fill>
        <patternFill patternType="solid">
          <fgColor indexed="64"/>
          <bgColor rgb="FFFFF0CE"/>
        </patternFill>
      </fill>
    </dxf>
    <dxf>
      <font>
        <color rgb="FFB42318"/>
      </font>
      <fill>
        <patternFill patternType="solid">
          <fgColor indexed="64"/>
          <bgColor rgb="FFFCE7E7"/>
        </patternFill>
      </fill>
    </dxf>
    <dxf>
      <font>
        <color rgb="FF1C714D"/>
      </font>
      <fill>
        <patternFill patternType="solid">
          <fgColor indexed="64"/>
          <bgColor rgb="FFE4F2E9"/>
        </patternFill>
      </fill>
    </dxf>
    <dxf>
      <alignment vertical="center" wrapText="1"/>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164" formatCode="mmm\ d\,\ yyyy"/>
      <alignment vertical="center"/>
    </dxf>
    <dxf>
      <alignment vertical="center"/>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numFmt numFmtId="165" formatCode="0.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numFmt numFmtId="165" formatCode="0.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wrapText="1"/>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numFmt numFmtId="165" formatCode="0.0%"/>
      <alignment vertical="center"/>
    </dxf>
    <dxf>
      <font>
        <b val="0"/>
        <i val="0"/>
        <strike val="0"/>
        <condense val="0"/>
        <extend val="0"/>
        <outline val="0"/>
        <shadow val="0"/>
        <u val="none"/>
        <vertAlign val="baseline"/>
        <sz val="11"/>
        <color theme="1"/>
        <name val="Aptos"/>
        <scheme val="none"/>
      </font>
      <numFmt numFmtId="3" formatCode="#,##0"/>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dxf>
    <dxf>
      <font>
        <b val="0"/>
        <i val="0"/>
        <strike val="0"/>
        <condense val="0"/>
        <extend val="0"/>
        <outline val="0"/>
        <shadow val="0"/>
        <u val="none"/>
        <vertAlign val="baseline"/>
        <sz val="11"/>
        <color theme="1"/>
        <name val="Aptos"/>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Active outcomes | record count</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'Audit Analysis'!$B$4</c:f>
              <c:strCache>
                <c:ptCount val="1"/>
                <c:pt idx="0">
                  <c:v>Records</c:v>
                </c:pt>
              </c:strCache>
            </c:strRef>
          </c:tx>
          <c:spPr>
            <a:solidFill>
              <a:srgbClr val="167D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'Audit Analysis'!$A$5:$A$15</c:f>
              <c:strCache>
                <c:ptCount val="11"/>
                <c:pt idx="0">
                  <c:v>ReviewedNoChange</c:v>
                </c:pt>
                <c:pt idx="1">
                  <c:v>IntentionalLegacy</c:v>
                </c:pt>
                <c:pt idx="2">
                  <c:v>Fixed</c:v>
                </c:pt>
                <c:pt idx="3">
                  <c:v>SafeNoChange</c:v>
                </c:pt>
                <c:pt idx="4">
                  <c:v>PolicyResolvedNoChange</c:v>
                </c:pt>
                <c:pt idx="5">
                  <c:v>Documented</c:v>
                </c:pt>
                <c:pt idx="6">
                  <c:v>FalsePositive</c:v>
                </c:pt>
                <c:pt idx="7">
                  <c:v>AcceptedFence</c:v>
                </c:pt>
                <c:pt idx="8">
                  <c:v>BlocksOnlyThisDomain</c:v>
                </c:pt>
                <c:pt idx="9">
                  <c:v>Deferred</c:v>
                </c:pt>
                <c:pt idx="10">
                  <c:v>Open</c:v>
                </c:pt>
              </c:strCache>
            </c:strRef>
          </c:cat>
          <c:val>
            <c:numRef>
              <c:f>'Audit Analysis'!$B$5:$B$15</c:f>
              <c:numCache>
                <c:formatCode>#,##0</c:formatCode>
                <c:ptCount val="11"/>
                <c:pt idx="0">
                  <c:v>2650</c:v>
                </c:pt>
                <c:pt idx="1">
                  <c:v>1395</c:v>
                </c:pt>
                <c:pt idx="2">
                  <c:v>957</c:v>
                </c:pt>
                <c:pt idx="3">
                  <c:v>678</c:v>
                </c:pt>
                <c:pt idx="4">
                  <c:v>372</c:v>
                </c:pt>
                <c:pt idx="5">
                  <c:v>352</c:v>
                </c:pt>
                <c:pt idx="6">
                  <c:v>330</c:v>
                </c:pt>
                <c:pt idx="7">
                  <c:v>83</c:v>
                </c:pt>
                <c:pt idx="8">
                  <c:v>7</c:v>
                </c:pt>
                <c:pt idx="9">
                  <c:v>0</c:v>
                </c:pt>
                <c:pt idx="10">
                  <c:v>7</c:v>
                </c:pt>
              </c:numCache>
            </c:numRef>
          </c:val>
          <c:extLst>
            <c:ext xmlns:c16="http://schemas.microsoft.com/office/drawing/2014/chart" uri="{C3380CC4-5D6E-409C-BE32-E72D297353CC}">
              <c16:uniqueId val="{00000000-9D99-4C5A-BFAF-3D2816022EA4}"/>
            </c:ext>
          </c:extLst>
        </c:ser>
        <c:dLbls>
          <c:showLegendKey val="0"/>
          <c:showVal val="0"/>
          <c:showCatName val="0"/>
          <c:showSerName val="0"/>
          <c:showPercent val="0"/>
          <c:showBubbleSize val="0"/>
        </c:dLbls>
        <c:gapWidth val="182"/>
        <c:axId val="1109254943"/>
        <c:axId val="1109256863"/>
      </c:barChart>
      <c:catAx>
        <c:axId val="11092549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9256863"/>
        <c:crosses val="autoZero"/>
        <c:auto val="1"/>
        <c:lblAlgn val="ctr"/>
        <c:lblOffset val="100"/>
        <c:noMultiLvlLbl val="0"/>
      </c:catAx>
      <c:valAx>
        <c:axId val="110925686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925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Top 8 categories | record count</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'Audit Analysis'!$G$4</c:f>
              <c:strCache>
                <c:ptCount val="1"/>
                <c:pt idx="0">
                  <c:v>Records</c:v>
                </c:pt>
              </c:strCache>
            </c:strRef>
          </c:tx>
          <c:spPr>
            <a:solidFill>
              <a:srgbClr val="167D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'Audit Analysis'!$F$5:$F$12</c:f>
              <c:strCache>
                <c:ptCount val="8"/>
                <c:pt idx="0">
                  <c:v>Runtime hooks</c:v>
                </c:pt>
                <c:pt idx="1">
                  <c:v>Save compatibility</c:v>
                </c:pt>
                <c:pt idx="2">
                  <c:v>Gump guards</c:v>
                </c:pt>
                <c:pt idx="3">
                  <c:v>Legacy compatibility</c:v>
                </c:pt>
                <c:pt idx="4">
                  <c:v>Command access</c:v>
                </c:pt>
                <c:pt idx="5">
                  <c:v>Pooled enumerables</c:v>
                </c:pt>
                <c:pt idx="6">
                  <c:v>PlayerMobile coupling</c:v>
                </c:pt>
                <c:pt idx="7">
                  <c:v>XML/config schemas</c:v>
                </c:pt>
              </c:strCache>
            </c:strRef>
          </c:cat>
          <c:val>
            <c:numRef>
              <c:f>'Audit Analysis'!$G$5:$G$12</c:f>
              <c:numCache>
                <c:formatCode>#,##0</c:formatCode>
                <c:ptCount val="8"/>
                <c:pt idx="0">
                  <c:v>1557</c:v>
                </c:pt>
                <c:pt idx="1">
                  <c:v>1446</c:v>
                </c:pt>
                <c:pt idx="2">
                  <c:v>939</c:v>
                </c:pt>
                <c:pt idx="3">
                  <c:v>659</c:v>
                </c:pt>
                <c:pt idx="4">
                  <c:v>499</c:v>
                </c:pt>
                <c:pt idx="5">
                  <c:v>408</c:v>
                </c:pt>
                <c:pt idx="6">
                  <c:v>394</c:v>
                </c:pt>
                <c:pt idx="7">
                  <c:v>232</c:v>
                </c:pt>
              </c:numCache>
            </c:numRef>
          </c:val>
          <c:extLst>
            <c:ext xmlns:c16="http://schemas.microsoft.com/office/drawing/2014/chart" uri="{C3380CC4-5D6E-409C-BE32-E72D297353CC}">
              <c16:uniqueId val="{00000000-AD22-44BE-8400-8BB9F64D567B}"/>
            </c:ext>
          </c:extLst>
        </c:ser>
        <c:dLbls>
          <c:showLegendKey val="0"/>
          <c:showVal val="0"/>
          <c:showCatName val="0"/>
          <c:showSerName val="0"/>
          <c:showPercent val="0"/>
          <c:showBubbleSize val="0"/>
        </c:dLbls>
        <c:gapWidth val="182"/>
        <c:axId val="1325217520"/>
        <c:axId val="1109256383"/>
      </c:barChart>
      <c:catAx>
        <c:axId val="1325217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9256383"/>
        <c:crosses val="autoZero"/>
        <c:auto val="1"/>
        <c:lblAlgn val="ctr"/>
        <c:lblOffset val="100"/>
        <c:noMultiLvlLbl val="0"/>
      </c:catAx>
      <c:valAx>
        <c:axId val="110925638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521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Top 10 systems | record count</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'Audit Analysis'!$N$4</c:f>
              <c:strCache>
                <c:ptCount val="1"/>
                <c:pt idx="0">
                  <c:v>Records</c:v>
                </c:pt>
              </c:strCache>
            </c:strRef>
          </c:tx>
          <c:spPr>
            <a:solidFill>
              <a:srgbClr val="4E79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'Audit Analysis'!$M$5:$M$14</c:f>
              <c:strCache>
                <c:ptCount val="10"/>
                <c:pt idx="0">
                  <c:v>Items:Magical</c:v>
                </c:pt>
                <c:pt idx="1">
                  <c:v>System:Commands</c:v>
                </c:pt>
                <c:pt idx="2">
                  <c:v>Static Gump Tool</c:v>
                </c:pt>
                <c:pt idx="3">
                  <c:v>XMLSpawner</c:v>
                </c:pt>
                <c:pt idx="4">
                  <c:v>Items:Special</c:v>
                </c:pt>
                <c:pt idx="5">
                  <c:v>System:Misc</c:v>
                </c:pt>
                <c:pt idx="6">
                  <c:v>Regions</c:v>
                </c:pt>
                <c:pt idx="7">
                  <c:v>Government</c:v>
                </c:pt>
                <c:pt idx="8">
                  <c:v>Invasion</c:v>
                </c:pt>
                <c:pt idx="9">
                  <c:v>Items:Misc</c:v>
                </c:pt>
              </c:strCache>
            </c:strRef>
          </c:cat>
          <c:val>
            <c:numRef>
              <c:f>'Audit Analysis'!$N$5:$N$14</c:f>
              <c:numCache>
                <c:formatCode>#,##0</c:formatCode>
                <c:ptCount val="10"/>
                <c:pt idx="0">
                  <c:v>999</c:v>
                </c:pt>
                <c:pt idx="1">
                  <c:v>424</c:v>
                </c:pt>
                <c:pt idx="2">
                  <c:v>355</c:v>
                </c:pt>
                <c:pt idx="3">
                  <c:v>284</c:v>
                </c:pt>
                <c:pt idx="4">
                  <c:v>282</c:v>
                </c:pt>
                <c:pt idx="5">
                  <c:v>278</c:v>
                </c:pt>
                <c:pt idx="6">
                  <c:v>259</c:v>
                </c:pt>
                <c:pt idx="7">
                  <c:v>252</c:v>
                </c:pt>
                <c:pt idx="8">
                  <c:v>212</c:v>
                </c:pt>
                <c:pt idx="9">
                  <c:v>207</c:v>
                </c:pt>
              </c:numCache>
            </c:numRef>
          </c:val>
          <c:extLst>
            <c:ext xmlns:c16="http://schemas.microsoft.com/office/drawing/2014/chart" uri="{C3380CC4-5D6E-409C-BE32-E72D297353CC}">
              <c16:uniqueId val="{00000000-D8DE-4785-9C4A-F8AD32DDCADC}"/>
            </c:ext>
          </c:extLst>
        </c:ser>
        <c:dLbls>
          <c:showLegendKey val="0"/>
          <c:showVal val="0"/>
          <c:showCatName val="0"/>
          <c:showSerName val="0"/>
          <c:showPercent val="0"/>
          <c:showBubbleSize val="0"/>
        </c:dLbls>
        <c:gapWidth val="182"/>
        <c:axId val="1324050560"/>
        <c:axId val="1324052000"/>
      </c:barChart>
      <c:catAx>
        <c:axId val="13240505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4052000"/>
        <c:crosses val="autoZero"/>
        <c:auto val="1"/>
        <c:lblAlgn val="ctr"/>
        <c:lblOffset val="100"/>
        <c:noMultiLvlLbl val="0"/>
      </c:catAx>
      <c:valAx>
        <c:axId val="1324052000"/>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405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Last-update date | snapshot distribution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'Audit Analysis'!$U$4</c:f>
              <c:strCache>
                <c:ptCount val="1"/>
                <c:pt idx="0">
                  <c:v>Records</c:v>
                </c:pt>
              </c:strCache>
            </c:strRef>
          </c:tx>
          <c:spPr>
            <a:solidFill>
              <a:srgbClr val="4E79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'Audit Analysis'!$T$5:$T$16</c:f>
              <c:numCache>
                <c:formatCode>mmm\ d\,\ yyyy</c:formatCode>
                <c:ptCount val="12"/>
                <c:pt idx="0">
                  <c:v>46179</c:v>
                </c:pt>
                <c:pt idx="1">
                  <c:v>46180</c:v>
                </c:pt>
                <c:pt idx="2">
                  <c:v>46181</c:v>
                </c:pt>
                <c:pt idx="3">
                  <c:v>46182</c:v>
                </c:pt>
                <c:pt idx="4">
                  <c:v>46186</c:v>
                </c:pt>
                <c:pt idx="5">
                  <c:v>46187</c:v>
                </c:pt>
                <c:pt idx="6">
                  <c:v>46188</c:v>
                </c:pt>
                <c:pt idx="7">
                  <c:v>46312</c:v>
                </c:pt>
                <c:pt idx="8">
                  <c:v>46313</c:v>
                </c:pt>
                <c:pt idx="9">
                  <c:v>46314</c:v>
                </c:pt>
                <c:pt idx="10">
                  <c:v>46315</c:v>
                </c:pt>
                <c:pt idx="11">
                  <c:v>46320</c:v>
                </c:pt>
              </c:numCache>
            </c:numRef>
          </c:cat>
          <c:val>
            <c:numRef>
              <c:f>'Audit Analysis'!$U$5:$U$16</c:f>
              <c:numCache>
                <c:formatCode>#,##0</c:formatCode>
                <c:ptCount val="12"/>
                <c:pt idx="0">
                  <c:v>203</c:v>
                </c:pt>
                <c:pt idx="1">
                  <c:v>92</c:v>
                </c:pt>
                <c:pt idx="2">
                  <c:v>439</c:v>
                </c:pt>
                <c:pt idx="3">
                  <c:v>274</c:v>
                </c:pt>
                <c:pt idx="4">
                  <c:v>86</c:v>
                </c:pt>
                <c:pt idx="5">
                  <c:v>5170</c:v>
                </c:pt>
                <c:pt idx="6">
                  <c:v>549</c:v>
                </c:pt>
                <c:pt idx="7">
                  <c:v>6</c:v>
                </c:pt>
                <c:pt idx="8">
                  <c:v>1</c:v>
                </c:pt>
                <c:pt idx="9">
                  <c:v>2</c:v>
                </c:pt>
                <c:pt idx="10">
                  <c:v>2</c:v>
                </c:pt>
                <c:pt idx="11">
                  <c:v>7</c:v>
                </c:pt>
              </c:numCache>
            </c:numRef>
          </c:val>
          <c:extLst>
            <c:ext xmlns:c16="http://schemas.microsoft.com/office/drawing/2014/chart" uri="{C3380CC4-5D6E-409C-BE32-E72D297353CC}">
              <c16:uniqueId val="{00000000-F2E7-4A60-9C60-650D91D27B0B}"/>
            </c:ext>
          </c:extLst>
        </c:ser>
        <c:dLbls>
          <c:showLegendKey val="0"/>
          <c:showVal val="0"/>
          <c:showCatName val="0"/>
          <c:showSerName val="0"/>
          <c:showPercent val="0"/>
          <c:showBubbleSize val="0"/>
        </c:dLbls>
        <c:gapWidth val="219"/>
        <c:overlap val="-27"/>
        <c:axId val="1321375904"/>
        <c:axId val="1321597376"/>
      </c:barChart>
      <c:catAx>
        <c:axId val="132137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Observed last-update date (2026)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d"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1597376"/>
        <c:crosses val="autoZero"/>
        <c:auto val="0"/>
        <c:lblAlgn val="ctr"/>
        <c:lblOffset val="100"/>
        <c:noMultiLvlLbl val="0"/>
      </c:catAx>
      <c:valAx>
        <c:axId val="132159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137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15</xdr:row>
      <xdr:rowOff>0</xdr:rowOff>
    </xdr:from>
    <xdr:to>
      <xdr:col>8</xdr:col>
      <xdr:colOff>0</xdr:colOff>
      <xdr:row>32</xdr:row>
      <xdr:rowOff>0</xdr:rowOff>
    </xdr:to>
    <xdr:graphicFrame macro="">
      <xdr:nvGraphicFramePr>
        <xdr:cNvPr id="2" name="OutcomeMix">
          <a:extLst>
            <a:ext uri="{FF2B5EF4-FFF2-40B4-BE49-F238E27FC236}">
              <a16:creationId xmlns:a16="http://schemas.microsoft.com/office/drawing/2014/main" id="{006C6AE3-13FD-8BF5-7CF0-22FA05A0E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0</xdr:rowOff>
    </xdr:from>
    <xdr:to>
      <xdr:col>16</xdr:col>
      <xdr:colOff>0</xdr:colOff>
      <xdr:row>32</xdr:row>
      <xdr:rowOff>0</xdr:rowOff>
    </xdr:to>
    <xdr:graphicFrame macro="">
      <xdr:nvGraphicFramePr>
        <xdr:cNvPr id="3" name="CategoryConcentration">
          <a:extLst>
            <a:ext uri="{FF2B5EF4-FFF2-40B4-BE49-F238E27FC236}">
              <a16:creationId xmlns:a16="http://schemas.microsoft.com/office/drawing/2014/main" id="{402A5C82-B471-C784-35F2-9138D57A0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0</xdr:rowOff>
    </xdr:from>
    <xdr:to>
      <xdr:col>8</xdr:col>
      <xdr:colOff>0</xdr:colOff>
      <xdr:row>50</xdr:row>
      <xdr:rowOff>0</xdr:rowOff>
    </xdr:to>
    <xdr:graphicFrame macro="">
      <xdr:nvGraphicFramePr>
        <xdr:cNvPr id="4" name="SystemConcentration">
          <a:extLst>
            <a:ext uri="{FF2B5EF4-FFF2-40B4-BE49-F238E27FC236}">
              <a16:creationId xmlns:a16="http://schemas.microsoft.com/office/drawing/2014/main" id="{210FE99C-81CE-6637-F052-3B92339F4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33</xdr:row>
      <xdr:rowOff>0</xdr:rowOff>
    </xdr:from>
    <xdr:to>
      <xdr:col>16</xdr:col>
      <xdr:colOff>0</xdr:colOff>
      <xdr:row>50</xdr:row>
      <xdr:rowOff>0</xdr:rowOff>
    </xdr:to>
    <xdr:graphicFrame macro="">
      <xdr:nvGraphicFramePr>
        <xdr:cNvPr id="5" name="SnapshotUpdates">
          <a:extLst>
            <a:ext uri="{FF2B5EF4-FFF2-40B4-BE49-F238E27FC236}">
              <a16:creationId xmlns:a16="http://schemas.microsoft.com/office/drawing/2014/main" id="{65E09F40-8AEC-5BC1-DD98-C3164678C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D39C89-7C26-4944-9264-1F096CE302E7}" name="Table1" displayName="Table1" ref="A1:P6832" totalsRowShown="0" headerRowDxfId="0" dataDxfId="1">
  <autoFilter ref="A1:P6832" xr:uid="{B4D39C89-7C26-4944-9264-1F096CE302E7}">
    <filterColumn colId="6">
      <filters>
        <filter val="AcceptedFence"/>
        <filter val="BlocksOnlyThisDomain"/>
        <filter val="Documented"/>
        <filter val="FalsePositive"/>
        <filter val="IntentionalLegacy"/>
        <filter val="PolicyResolvedNoChange"/>
        <filter val="ReviewedNoChange"/>
        <filter val="SafeNoChange"/>
        <filter val="Deferred"/>
        <filter val="Open"/>
      </filters>
    </filterColumn>
  </autoFilter>
  <tableColumns count="16">
    <tableColumn id="1" xr3:uid="{D565BCF6-6D25-4BAD-90EF-6A47D269FA66}" name="BacklogId" dataDxfId="17"/>
    <tableColumn id="2" xr3:uid="{0FEF148E-6E81-4834-8973-9E5E4A47C75D}" name="SourceId" dataDxfId="16"/>
    <tableColumn id="3" xr3:uid="{3CA3259A-158E-4EC6-BD9F-021F0C6FDA36}" name="Category" dataDxfId="15"/>
    <tableColumn id="4" xr3:uid="{34C85669-97FC-4BA0-B742-096C2322CC48}" name="System" dataDxfId="14"/>
    <tableColumn id="5" xr3:uid="{1B57453D-7EE7-4830-BBC1-6C3B639DC56A}" name="Files" dataDxfId="13"/>
    <tableColumn id="6" xr3:uid="{E5ECBB74-536A-4E6E-9E35-DA552D0C0273}" name="HistoricalStatus" dataDxfId="12"/>
    <tableColumn id="7" xr3:uid="{532AF756-4883-4C02-B3B9-8C2FC50AD9C3}" name="ActiveStatus" dataDxfId="11"/>
    <tableColumn id="8" xr3:uid="{76F26A3E-448C-4222-AFE3-B8E0FF255C21}" name="PostAuditBatch" dataDxfId="10"/>
    <tableColumn id="9" xr3:uid="{C973168F-B59E-4F94-9470-5FBBB7A6ACB5}" name="ReviewRowId" dataDxfId="9"/>
    <tableColumn id="10" xr3:uid="{23167B43-4A95-4FED-893A-646069020F03}" name="ReviewStatus" dataDxfId="8"/>
    <tableColumn id="11" xr3:uid="{8B60DEAD-8DBF-4EDA-9EE2-F8C2E24926FC}" name="Action" dataDxfId="7"/>
    <tableColumn id="12" xr3:uid="{666258D5-6AD2-4CED-80E8-CD6A558C90F8}" name="ReviewArtifact" dataDxfId="6"/>
    <tableColumn id="13" xr3:uid="{3D537AB8-9CF2-40B7-8B3A-74112E378259}" name="SourceEvidence" dataDxfId="5"/>
    <tableColumn id="14" xr3:uid="{BFE549E8-BA83-4C21-943B-88D2C0949802}" name="Commit" dataDxfId="4"/>
    <tableColumn id="15" xr3:uid="{D88E823F-27FC-44AE-AA19-FED5CF9C4BA6}" name="UpdatedAt" dataDxfId="3"/>
    <tableColumn id="16" xr3:uid="{ED76EE23-3DC9-4CDD-90B7-39AEA24B8379}" name="Note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7886D4-C860-48C9-85C6-17B4A5F988D3}" name="AuditStatusSummary" displayName="AuditStatusSummary" ref="A4:D13" totalsRowShown="0" headerRowDxfId="63" dataDxfId="62">
  <autoFilter ref="A4:D13" xr:uid="{8E7886D4-C860-48C9-85C6-17B4A5F988D3}"/>
  <tableColumns count="4">
    <tableColumn id="1" xr3:uid="{08D5468E-4462-45A8-BBBB-4E3B4915FB22}" name="Active status" dataDxfId="61"/>
    <tableColumn id="2" xr3:uid="{0A274891-1557-4386-A634-A83521F46B35}" name="Records" dataDxfId="60">
      <calculatedColumnFormula>COUNTIF('post-audit-active-backlog-statu'!$G$2:$G$6816,A5)</calculatedColumnFormula>
    </tableColumn>
    <tableColumn id="3" xr3:uid="{46DB512A-E519-4F6B-8123-81FC83316185}" name="Share" dataDxfId="59">
      <calculatedColumnFormula>B5/'Audit Dashboard'!$B$6</calculatedColumnFormula>
    </tableColumn>
    <tableColumn id="4" xr3:uid="{4856A816-B782-4A85-B1CF-7D5055C91E71}" name="Interpretation" dataDxfId="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12F630-6478-493F-BB6D-726312C665FA}" name="AuditCategorySummary" displayName="AuditCategorySummary" ref="F4:K21" totalsRowShown="0" headerRowDxfId="57" dataDxfId="56">
  <autoFilter ref="F4:K21" xr:uid="{9612F630-6478-493F-BB6D-726312C665FA}"/>
  <tableColumns count="6">
    <tableColumn id="1" xr3:uid="{6A738439-7C9F-40E5-A3B1-26172536826E}" name="Category" dataDxfId="55"/>
    <tableColumn id="2" xr3:uid="{23B75759-0D74-4393-986A-02911783A8E7}" name="Records" dataDxfId="54">
      <calculatedColumnFormula>COUNTIF('post-audit-active-backlog-statu'!$C$2:$C$6816,F5)</calculatedColumnFormula>
    </tableColumn>
    <tableColumn id="3" xr3:uid="{0F7AEA95-3F6D-4771-A182-CA1920C59E44}" name="Fixed" dataDxfId="53">
      <calculatedColumnFormula>COUNTIFS('post-audit-active-backlog-statu'!$C$2:$C$6816,F5,'post-audit-active-backlog-statu'!$G$2:$G$6816,"Fixed")</calculatedColumnFormula>
    </tableColumn>
    <tableColumn id="4" xr3:uid="{F27696DE-EC3A-4E30-A432-1BDE88296F0A}" name="No change" dataDxfId="52">
      <calculatedColumnFormula>COUNTIFS('post-audit-active-backlog-statu'!$C$2:$C$6816,F5,'post-audit-active-backlog-statu'!$G$2:$G$6816,"ReviewedNoChange")+COUNTIFS('post-audit-active-backlog-statu'!$C$2:$C$6816,F5,'post-audit-active-backlog-statu'!$G$2:$G$6816,"SafeNoChange")+COUNTIFS('post-audit-active-backlog-statu'!$C$2:$C$6816,F5,'post-audit-active-backlog-statu'!$G$2:$G$6816,"PolicyResolvedNoChange")</calculatedColumnFormula>
    </tableColumn>
    <tableColumn id="5" xr3:uid="{8D59C176-2961-4C8B-B699-A81F41689264}" name="Domain blockers" dataDxfId="51">
      <calculatedColumnFormula>COUNTIFS('post-audit-active-backlog-statu'!$C$2:$C$6816,F5,'post-audit-active-backlog-statu'!$G$2:$G$6816,"BlocksOnlyThisDomain")</calculatedColumnFormula>
    </tableColumn>
    <tableColumn id="6" xr3:uid="{0422CD0F-EBF3-4EB9-A6BA-43910CB4D8C0}" name="Fixed share" dataDxfId="50">
      <calculatedColumnFormula>H5/G5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623CC0-079D-402C-BEF9-CEB3A5FFEE26}" name="AuditSystemSummary" displayName="AuditSystemSummary" ref="M4:R209" totalsRowShown="0" headerRowDxfId="49" dataDxfId="48">
  <autoFilter ref="M4:R209" xr:uid="{AC623CC0-079D-402C-BEF9-CEB3A5FFEE26}"/>
  <tableColumns count="6">
    <tableColumn id="1" xr3:uid="{2844091B-1361-43C7-ABC8-62233C59AD88}" name="System" dataDxfId="47"/>
    <tableColumn id="2" xr3:uid="{9D87D32C-D069-4F51-9C4E-E70FC366468A}" name="Records" dataDxfId="46">
      <calculatedColumnFormula>COUNTIF('post-audit-active-backlog-statu'!$D$2:$D$6816,M5)</calculatedColumnFormula>
    </tableColumn>
    <tableColumn id="3" xr3:uid="{1AC34AC9-1DFE-4FD0-8170-E08C6129F4AE}" name="Fixed" dataDxfId="45">
      <calculatedColumnFormula>COUNTIFS('post-audit-active-backlog-statu'!$D$2:$D$6816,M5,'post-audit-active-backlog-statu'!$G$2:$G$6816,"Fixed")</calculatedColumnFormula>
    </tableColumn>
    <tableColumn id="4" xr3:uid="{EA544479-D64E-4378-B36F-C51C0240D198}" name="No change" dataDxfId="44">
      <calculatedColumnFormula>COUNTIFS('post-audit-active-backlog-statu'!$D$2:$D$6816,M5,'post-audit-active-backlog-statu'!$G$2:$G$6816,"ReviewedNoChange")+COUNTIFS('post-audit-active-backlog-statu'!$D$2:$D$6816,M5,'post-audit-active-backlog-statu'!$G$2:$G$6816,"SafeNoChange")+COUNTIFS('post-audit-active-backlog-statu'!$D$2:$D$6816,M5,'post-audit-active-backlog-statu'!$G$2:$G$6816,"PolicyResolvedNoChange")</calculatedColumnFormula>
    </tableColumn>
    <tableColumn id="5" xr3:uid="{B924F527-7679-4F86-B6E8-DD34649D714D}" name="Domain blockers" dataDxfId="43">
      <calculatedColumnFormula>COUNTIFS('post-audit-active-backlog-statu'!$D$2:$D$6816,M5,'post-audit-active-backlog-statu'!$G$2:$G$6816,"BlocksOnlyThisDomain")</calculatedColumnFormula>
    </tableColumn>
    <tableColumn id="6" xr3:uid="{4814BCD1-E33A-45D5-9465-E83D2A6DBEB8}" name="Fixed share" dataDxfId="42">
      <calculatedColumnFormula>O5/N5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E113F7-C090-44D6-844B-973CE1880490}" name="AuditUpdateDates" displayName="AuditUpdateDates" ref="T4:U12" totalsRowShown="0" headerRowDxfId="41" dataDxfId="40">
  <autoFilter ref="T4:U12" xr:uid="{1BE113F7-C090-44D6-844B-973CE1880490}"/>
  <tableColumns count="2">
    <tableColumn id="1" xr3:uid="{F64A539C-2F00-49ED-A7A5-F651BF9950CC}" name="Last update date" dataDxfId="39"/>
    <tableColumn id="2" xr3:uid="{043A78EB-0DEC-4184-B84C-B0AA9BD43C07}" name="Records" dataDxfId="38">
      <calculatedColumnFormula>COUNTIF('post-audit-active-backlog-statu'!$O$2:$O$6816,TEXT(T5,"yyyy-mm-dd")&amp;"*")+COUNTIFS('post-audit-active-backlog-statu'!$O$2:$O$6816,"&gt;="&amp;T5,'post-audit-active-backlog-statu'!$O$2:$O$6816,"&lt;"&amp;T5+1)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FEEBB-27D9-42D5-AC70-C2E1E4581E0D}" name="AuditQualityChecks" displayName="AuditQualityChecks" ref="A18:C27" totalsRowShown="0" headerRowDxfId="37" dataDxfId="36">
  <autoFilter ref="A18:C27" xr:uid="{90DFEEBB-27D9-42D5-AC70-C2E1E4581E0D}"/>
  <tableColumns count="3">
    <tableColumn id="1" xr3:uid="{0CAB6749-F252-4AE9-B8F6-FC9C6FF6A8F5}" name="Data-quality check" dataDxfId="35"/>
    <tableColumn id="2" xr3:uid="{DEE9A912-702C-495F-880A-D247B1E14D72}" name="Count / gap" dataDxfId="34"/>
    <tableColumn id="3" xr3:uid="{8D8035E2-0C5E-4181-8E9B-388CF6C541D2}" name="Result" dataDxfId="33">
      <calculatedColumnFormula>IF(B19=0,"OK","REVIEW")</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A09AF0-AB07-4C78-BD6C-F944231FF66E}" name="AuditHistoricalComparison" displayName="AuditHistoricalComparison" ref="F25:I28" totalsRowShown="0" headerRowDxfId="32" dataDxfId="31">
  <autoFilter ref="F25:I28" xr:uid="{01A09AF0-AB07-4C78-BD6C-F944231FF66E}"/>
  <tableColumns count="4">
    <tableColumn id="1" xr3:uid="{8DF07C40-472B-4CDC-B2B1-993CBAED5176}" name="Historical status" dataDxfId="30"/>
    <tableColumn id="2" xr3:uid="{822F0218-AE5A-439B-9346-8912A469ADBB}" name="Records" dataDxfId="29">
      <calculatedColumnFormula>COUNTIF('post-audit-active-backlog-statu'!$F$2:$F$6816,F26)</calculatedColumnFormula>
    </tableColumn>
    <tableColumn id="3" xr3:uid="{1E326F20-A277-4F9E-B168-3E5D4B93F272}" name="Now fixed" dataDxfId="28">
      <calculatedColumnFormula>COUNTIFS('post-audit-active-backlog-statu'!$F$2:$F$6816,F26,'post-audit-active-backlog-statu'!$G$2:$G$6816,"Fixed")</calculatedColumnFormula>
    </tableColumn>
    <tableColumn id="4" xr3:uid="{14FEAD1A-744C-40AC-BB99-2153EA02F036}" name="Domain blockers" dataDxfId="27">
      <calculatedColumnFormula>COUNTIFS('post-audit-active-backlog-statu'!$F$2:$F$6816,F26,'post-audit-active-backlog-statu'!$G$2:$G$6816,"BlocksOnlyThisDomain")</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7FA17C-9568-45A3-A3BD-D2C113CF276A}" name="AuditApprovalGates" displayName="AuditApprovalGates" ref="A34:D41" totalsRowShown="0" headerRowDxfId="26" dataDxfId="25">
  <autoFilter ref="A34:D41" xr:uid="{7D7FA17C-9568-45A3-A3BD-D2C113CF276A}"/>
  <tableColumns count="4">
    <tableColumn id="1" xr3:uid="{D66CBD85-D071-45F6-9FC1-991B3E35236C}" name="Backlog ID" dataDxfId="24"/>
    <tableColumn id="2" xr3:uid="{37CEADCB-2C94-4D89-88CC-C55A0AE14076}" name="System" dataDxfId="23"/>
    <tableColumn id="3" xr3:uid="{CCDCEAAC-C4CA-4C6B-A66C-0A8206187F0F}" name="Restricted work" dataDxfId="22"/>
    <tableColumn id="4" xr3:uid="{534F7CC2-67CC-43B3-8EAE-9D90F8683A36}" name="Source record" dataDxfId="21"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DDCB6C-D544-4F34-8A20-54A606496912}">
  <we:reference id="wa200010215" version="2.0.0.0" store="en-US" storeType="OMEX"/>
  <we:alternateReferences>
    <we:reference id="WA200010215" version="2.0.0.0" store="" storeType="OMEX"/>
  </we:alternateReferences>
  <we:properties>
    <we:property name="bps.codex_control.document_id" value="&quot;e8f7a25c-611b-43a1-bee1-d9cbd563f5b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4340-C006-4139-9DC0-6749DA5792F7}">
  <dimension ref="A1:P6832"/>
  <sheetViews>
    <sheetView topLeftCell="E1" workbookViewId="0">
      <selection activeCell="D4" sqref="D4"/>
    </sheetView>
  </sheetViews>
  <sheetFormatPr defaultColWidth="9" defaultRowHeight="15" x14ac:dyDescent="0.25"/>
  <cols>
    <col min="1" max="1" width="11.85546875" style="28" bestFit="1" customWidth="1"/>
    <col min="2" max="2" width="11.42578125" style="28" bestFit="1" customWidth="1"/>
    <col min="3" max="3" width="29.28515625" style="28" bestFit="1" customWidth="1"/>
    <col min="4" max="4" width="43" style="28" bestFit="1" customWidth="1"/>
    <col min="5" max="5" width="42" style="28" customWidth="1"/>
    <col min="6" max="6" width="17.85546875" style="28" bestFit="1" customWidth="1"/>
    <col min="7" max="7" width="23.7109375" style="28" bestFit="1" customWidth="1"/>
    <col min="8" max="8" width="30.28515625" style="28" bestFit="1" customWidth="1"/>
    <col min="9" max="9" width="15.5703125" style="28" bestFit="1" customWidth="1"/>
    <col min="10" max="10" width="36.28515625" style="28" bestFit="1" customWidth="1"/>
    <col min="11" max="11" width="134" style="28" customWidth="1"/>
    <col min="12" max="12" width="23.85546875" style="28" customWidth="1"/>
    <col min="13" max="13" width="57.85546875" style="28" customWidth="1"/>
    <col min="14" max="14" width="34.85546875" style="28" customWidth="1"/>
    <col min="15" max="15" width="32.140625" style="28" bestFit="1" customWidth="1"/>
    <col min="16" max="16" width="98.42578125" style="28" customWidth="1"/>
    <col min="17" max="16384" width="9" style="28"/>
  </cols>
  <sheetData>
    <row r="1" spans="1:16"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row>
    <row r="2" spans="1:16" hidden="1" x14ac:dyDescent="0.25">
      <c r="A2" s="28" t="s">
        <v>16</v>
      </c>
      <c r="B2" s="28" t="s">
        <v>17</v>
      </c>
      <c r="C2" s="28" t="s">
        <v>18</v>
      </c>
      <c r="D2" s="28" t="s">
        <v>19</v>
      </c>
      <c r="E2" s="28" t="s">
        <v>20</v>
      </c>
      <c r="F2" s="28" t="s">
        <v>21</v>
      </c>
      <c r="G2" s="28" t="s">
        <v>22</v>
      </c>
      <c r="H2" s="28" t="s">
        <v>23</v>
      </c>
      <c r="I2" s="28" t="s">
        <v>24</v>
      </c>
      <c r="J2" s="28" t="s">
        <v>22</v>
      </c>
      <c r="K2" s="28" t="s">
        <v>25</v>
      </c>
      <c r="L2" s="28" t="s">
        <v>26</v>
      </c>
      <c r="M2" s="28" t="s">
        <v>27</v>
      </c>
      <c r="N2" s="28" t="s">
        <v>28</v>
      </c>
      <c r="O2" s="28" t="s">
        <v>29</v>
      </c>
      <c r="P2" s="28" t="s">
        <v>30</v>
      </c>
    </row>
    <row r="3" spans="1:16" hidden="1" x14ac:dyDescent="0.25">
      <c r="A3" s="28" t="s">
        <v>31</v>
      </c>
      <c r="B3" s="28" t="s">
        <v>32</v>
      </c>
      <c r="C3" s="28" t="s">
        <v>18</v>
      </c>
      <c r="D3" s="28" t="s">
        <v>19</v>
      </c>
      <c r="E3" s="28" t="s">
        <v>20</v>
      </c>
      <c r="F3" s="28" t="s">
        <v>21</v>
      </c>
      <c r="G3" s="28" t="s">
        <v>22</v>
      </c>
      <c r="H3" s="28" t="s">
        <v>23</v>
      </c>
      <c r="I3" s="28" t="s">
        <v>33</v>
      </c>
      <c r="J3" s="28" t="s">
        <v>22</v>
      </c>
      <c r="K3" s="28" t="s">
        <v>34</v>
      </c>
      <c r="L3" s="28" t="s">
        <v>26</v>
      </c>
      <c r="M3" s="28" t="s">
        <v>35</v>
      </c>
      <c r="N3" s="28" t="s">
        <v>28</v>
      </c>
      <c r="O3" s="28" t="s">
        <v>29</v>
      </c>
      <c r="P3" s="28" t="s">
        <v>30</v>
      </c>
    </row>
    <row r="4" spans="1:16" x14ac:dyDescent="0.25">
      <c r="A4" s="28" t="s">
        <v>36</v>
      </c>
      <c r="B4" s="28" t="s">
        <v>37</v>
      </c>
      <c r="C4" s="28" t="s">
        <v>18</v>
      </c>
      <c r="D4" s="28" t="s">
        <v>19</v>
      </c>
      <c r="E4" s="28" t="s">
        <v>38</v>
      </c>
      <c r="F4" s="28" t="s">
        <v>21</v>
      </c>
      <c r="G4" s="28" t="s">
        <v>39</v>
      </c>
      <c r="H4" s="28" t="s">
        <v>23</v>
      </c>
      <c r="I4" s="28" t="s">
        <v>40</v>
      </c>
      <c r="J4" s="28" t="s">
        <v>39</v>
      </c>
      <c r="K4" s="28" t="s">
        <v>41</v>
      </c>
      <c r="L4" s="28" t="s">
        <v>26</v>
      </c>
      <c r="M4" s="28" t="s">
        <v>42</v>
      </c>
      <c r="N4" s="28" t="s">
        <v>28</v>
      </c>
      <c r="O4" s="28" t="s">
        <v>29</v>
      </c>
      <c r="P4" s="28" t="s">
        <v>30</v>
      </c>
    </row>
    <row r="5" spans="1:16" x14ac:dyDescent="0.25">
      <c r="A5" s="28" t="s">
        <v>43</v>
      </c>
      <c r="B5" s="28" t="s">
        <v>44</v>
      </c>
      <c r="C5" s="28" t="s">
        <v>18</v>
      </c>
      <c r="D5" s="28" t="s">
        <v>45</v>
      </c>
      <c r="E5" s="28" t="s">
        <v>46</v>
      </c>
      <c r="F5" s="28" t="s">
        <v>21</v>
      </c>
      <c r="G5" s="28" t="s">
        <v>39</v>
      </c>
      <c r="H5" s="28" t="s">
        <v>23</v>
      </c>
      <c r="I5" s="28" t="s">
        <v>47</v>
      </c>
      <c r="J5" s="28" t="s">
        <v>39</v>
      </c>
      <c r="K5" s="28" t="s">
        <v>48</v>
      </c>
      <c r="L5" s="28" t="s">
        <v>26</v>
      </c>
      <c r="M5" s="28" t="s">
        <v>49</v>
      </c>
      <c r="N5" s="28" t="s">
        <v>28</v>
      </c>
      <c r="O5" s="28" t="s">
        <v>29</v>
      </c>
      <c r="P5" s="28" t="s">
        <v>30</v>
      </c>
    </row>
    <row r="6" spans="1:16" x14ac:dyDescent="0.25">
      <c r="A6" s="28" t="s">
        <v>50</v>
      </c>
      <c r="B6" s="28" t="s">
        <v>51</v>
      </c>
      <c r="C6" s="28" t="s">
        <v>18</v>
      </c>
      <c r="D6" s="28" t="s">
        <v>45</v>
      </c>
      <c r="E6" s="28" t="s">
        <v>46</v>
      </c>
      <c r="F6" s="28" t="s">
        <v>21</v>
      </c>
      <c r="G6" s="28" t="s">
        <v>39</v>
      </c>
      <c r="H6" s="28" t="s">
        <v>23</v>
      </c>
      <c r="I6" s="28" t="s">
        <v>52</v>
      </c>
      <c r="J6" s="28" t="s">
        <v>39</v>
      </c>
      <c r="K6" s="28" t="s">
        <v>53</v>
      </c>
      <c r="L6" s="28" t="s">
        <v>26</v>
      </c>
      <c r="M6" s="28" t="s">
        <v>54</v>
      </c>
      <c r="N6" s="28" t="s">
        <v>28</v>
      </c>
      <c r="O6" s="28" t="s">
        <v>29</v>
      </c>
      <c r="P6" s="28" t="s">
        <v>30</v>
      </c>
    </row>
    <row r="7" spans="1:16" x14ac:dyDescent="0.25">
      <c r="A7" s="28" t="s">
        <v>55</v>
      </c>
      <c r="B7" s="28" t="s">
        <v>56</v>
      </c>
      <c r="C7" s="28" t="s">
        <v>18</v>
      </c>
      <c r="D7" s="28" t="s">
        <v>45</v>
      </c>
      <c r="E7" s="28" t="s">
        <v>46</v>
      </c>
      <c r="F7" s="28" t="s">
        <v>21</v>
      </c>
      <c r="G7" s="28" t="s">
        <v>39</v>
      </c>
      <c r="H7" s="28" t="s">
        <v>23</v>
      </c>
      <c r="I7" s="28" t="s">
        <v>57</v>
      </c>
      <c r="J7" s="28" t="s">
        <v>39</v>
      </c>
      <c r="K7" s="28" t="s">
        <v>58</v>
      </c>
      <c r="L7" s="28" t="s">
        <v>26</v>
      </c>
      <c r="M7" s="28" t="s">
        <v>59</v>
      </c>
      <c r="N7" s="28" t="s">
        <v>28</v>
      </c>
      <c r="O7" s="28" t="s">
        <v>29</v>
      </c>
      <c r="P7" s="28" t="s">
        <v>30</v>
      </c>
    </row>
    <row r="8" spans="1:16" hidden="1" x14ac:dyDescent="0.25">
      <c r="A8" s="28" t="s">
        <v>60</v>
      </c>
      <c r="B8" s="28" t="s">
        <v>61</v>
      </c>
      <c r="C8" s="28" t="s">
        <v>18</v>
      </c>
      <c r="D8" s="28" t="s">
        <v>62</v>
      </c>
      <c r="E8" s="28" t="s">
        <v>63</v>
      </c>
      <c r="F8" s="28" t="s">
        <v>21</v>
      </c>
      <c r="G8" s="28" t="s">
        <v>22</v>
      </c>
      <c r="H8" s="28" t="s">
        <v>23</v>
      </c>
      <c r="I8" s="28" t="s">
        <v>64</v>
      </c>
      <c r="J8" s="28" t="s">
        <v>22</v>
      </c>
      <c r="K8" s="28" t="s">
        <v>65</v>
      </c>
      <c r="L8" s="28" t="s">
        <v>26</v>
      </c>
      <c r="M8" s="28" t="s">
        <v>66</v>
      </c>
      <c r="N8" s="28" t="s">
        <v>28</v>
      </c>
      <c r="O8" s="28" t="s">
        <v>29</v>
      </c>
      <c r="P8" s="28" t="s">
        <v>30</v>
      </c>
    </row>
    <row r="9" spans="1:16" x14ac:dyDescent="0.25">
      <c r="A9" s="28" t="s">
        <v>67</v>
      </c>
      <c r="B9" s="28" t="s">
        <v>68</v>
      </c>
      <c r="C9" s="28" t="s">
        <v>18</v>
      </c>
      <c r="D9" s="28" t="s">
        <v>69</v>
      </c>
      <c r="E9" s="28" t="s">
        <v>70</v>
      </c>
      <c r="F9" s="28" t="s">
        <v>21</v>
      </c>
      <c r="G9" s="28" t="s">
        <v>39</v>
      </c>
      <c r="H9" s="28" t="s">
        <v>23</v>
      </c>
      <c r="I9" s="28" t="s">
        <v>71</v>
      </c>
      <c r="J9" s="28" t="s">
        <v>39</v>
      </c>
      <c r="K9" s="28" t="s">
        <v>72</v>
      </c>
      <c r="L9" s="28" t="s">
        <v>26</v>
      </c>
      <c r="M9" s="28" t="s">
        <v>73</v>
      </c>
      <c r="N9" s="28" t="s">
        <v>28</v>
      </c>
      <c r="O9" s="28" t="s">
        <v>29</v>
      </c>
      <c r="P9" s="28" t="s">
        <v>30</v>
      </c>
    </row>
    <row r="10" spans="1:16" x14ac:dyDescent="0.25">
      <c r="A10" s="28" t="s">
        <v>74</v>
      </c>
      <c r="B10" s="28" t="s">
        <v>75</v>
      </c>
      <c r="C10" s="28" t="s">
        <v>18</v>
      </c>
      <c r="D10" s="28" t="s">
        <v>69</v>
      </c>
      <c r="E10" s="28" t="s">
        <v>76</v>
      </c>
      <c r="F10" s="28" t="s">
        <v>21</v>
      </c>
      <c r="G10" s="28" t="s">
        <v>39</v>
      </c>
      <c r="H10" s="28" t="s">
        <v>23</v>
      </c>
      <c r="I10" s="28" t="s">
        <v>77</v>
      </c>
      <c r="J10" s="28" t="s">
        <v>39</v>
      </c>
      <c r="K10" s="28" t="s">
        <v>78</v>
      </c>
      <c r="L10" s="28" t="s">
        <v>26</v>
      </c>
      <c r="M10" s="28" t="s">
        <v>79</v>
      </c>
      <c r="N10" s="28" t="s">
        <v>28</v>
      </c>
      <c r="O10" s="28" t="s">
        <v>29</v>
      </c>
      <c r="P10" s="28" t="s">
        <v>30</v>
      </c>
    </row>
    <row r="11" spans="1:16" x14ac:dyDescent="0.25">
      <c r="A11" s="28" t="s">
        <v>80</v>
      </c>
      <c r="B11" s="28" t="s">
        <v>81</v>
      </c>
      <c r="C11" s="28" t="s">
        <v>18</v>
      </c>
      <c r="D11" s="28" t="s">
        <v>82</v>
      </c>
      <c r="E11" s="28" t="s">
        <v>83</v>
      </c>
      <c r="F11" s="28" t="s">
        <v>21</v>
      </c>
      <c r="G11" s="28" t="s">
        <v>39</v>
      </c>
      <c r="H11" s="28" t="s">
        <v>23</v>
      </c>
      <c r="I11" s="28" t="s">
        <v>84</v>
      </c>
      <c r="J11" s="28" t="s">
        <v>39</v>
      </c>
      <c r="K11" s="28" t="s">
        <v>85</v>
      </c>
      <c r="L11" s="28" t="s">
        <v>26</v>
      </c>
      <c r="M11" s="28" t="s">
        <v>86</v>
      </c>
      <c r="N11" s="28" t="s">
        <v>28</v>
      </c>
      <c r="O11" s="28" t="s">
        <v>29</v>
      </c>
      <c r="P11" s="28" t="s">
        <v>30</v>
      </c>
    </row>
    <row r="12" spans="1:16" x14ac:dyDescent="0.25">
      <c r="A12" s="28" t="s">
        <v>87</v>
      </c>
      <c r="B12" s="28" t="s">
        <v>88</v>
      </c>
      <c r="C12" s="28" t="s">
        <v>18</v>
      </c>
      <c r="D12" s="28" t="s">
        <v>89</v>
      </c>
      <c r="E12" s="28" t="s">
        <v>90</v>
      </c>
      <c r="F12" s="28" t="s">
        <v>21</v>
      </c>
      <c r="G12" s="28" t="s">
        <v>39</v>
      </c>
      <c r="H12" s="28" t="s">
        <v>23</v>
      </c>
      <c r="I12" s="28" t="s">
        <v>91</v>
      </c>
      <c r="J12" s="28" t="s">
        <v>39</v>
      </c>
      <c r="K12" s="28" t="s">
        <v>92</v>
      </c>
      <c r="L12" s="28" t="s">
        <v>26</v>
      </c>
      <c r="M12" s="28" t="s">
        <v>93</v>
      </c>
      <c r="N12" s="28" t="s">
        <v>28</v>
      </c>
      <c r="O12" s="28" t="s">
        <v>29</v>
      </c>
      <c r="P12" s="28" t="s">
        <v>30</v>
      </c>
    </row>
    <row r="13" spans="1:16" x14ac:dyDescent="0.25">
      <c r="A13" s="28" t="s">
        <v>94</v>
      </c>
      <c r="B13" s="28" t="s">
        <v>95</v>
      </c>
      <c r="C13" s="28" t="s">
        <v>18</v>
      </c>
      <c r="D13" s="28" t="s">
        <v>89</v>
      </c>
      <c r="E13" s="28" t="s">
        <v>90</v>
      </c>
      <c r="F13" s="28" t="s">
        <v>21</v>
      </c>
      <c r="G13" s="28" t="s">
        <v>39</v>
      </c>
      <c r="H13" s="28" t="s">
        <v>23</v>
      </c>
      <c r="I13" s="28" t="s">
        <v>96</v>
      </c>
      <c r="J13" s="28" t="s">
        <v>39</v>
      </c>
      <c r="K13" s="28" t="s">
        <v>97</v>
      </c>
      <c r="L13" s="28" t="s">
        <v>26</v>
      </c>
      <c r="M13" s="28" t="s">
        <v>98</v>
      </c>
      <c r="N13" s="28" t="s">
        <v>28</v>
      </c>
      <c r="O13" s="28" t="s">
        <v>29</v>
      </c>
      <c r="P13" s="28" t="s">
        <v>30</v>
      </c>
    </row>
    <row r="14" spans="1:16" x14ac:dyDescent="0.25">
      <c r="A14" s="28" t="s">
        <v>99</v>
      </c>
      <c r="B14" s="28" t="s">
        <v>100</v>
      </c>
      <c r="C14" s="28" t="s">
        <v>18</v>
      </c>
      <c r="D14" s="28" t="s">
        <v>101</v>
      </c>
      <c r="E14" s="28" t="s">
        <v>102</v>
      </c>
      <c r="F14" s="28" t="s">
        <v>21</v>
      </c>
      <c r="G14" s="28" t="s">
        <v>39</v>
      </c>
      <c r="H14" s="28" t="s">
        <v>23</v>
      </c>
      <c r="I14" s="28" t="s">
        <v>103</v>
      </c>
      <c r="J14" s="28" t="s">
        <v>39</v>
      </c>
      <c r="K14" s="28" t="s">
        <v>104</v>
      </c>
      <c r="L14" s="28" t="s">
        <v>26</v>
      </c>
      <c r="M14" s="28" t="s">
        <v>105</v>
      </c>
      <c r="N14" s="28" t="s">
        <v>28</v>
      </c>
      <c r="O14" s="28" t="s">
        <v>29</v>
      </c>
      <c r="P14" s="28" t="s">
        <v>30</v>
      </c>
    </row>
    <row r="15" spans="1:16" x14ac:dyDescent="0.25">
      <c r="A15" s="28" t="s">
        <v>106</v>
      </c>
      <c r="B15" s="28" t="s">
        <v>107</v>
      </c>
      <c r="C15" s="28" t="s">
        <v>18</v>
      </c>
      <c r="D15" s="28" t="s">
        <v>101</v>
      </c>
      <c r="E15" s="28" t="s">
        <v>108</v>
      </c>
      <c r="F15" s="28" t="s">
        <v>21</v>
      </c>
      <c r="G15" s="28" t="s">
        <v>39</v>
      </c>
      <c r="H15" s="28" t="s">
        <v>23</v>
      </c>
      <c r="I15" s="28" t="s">
        <v>109</v>
      </c>
      <c r="J15" s="28" t="s">
        <v>39</v>
      </c>
      <c r="K15" s="28" t="s">
        <v>110</v>
      </c>
      <c r="L15" s="28" t="s">
        <v>26</v>
      </c>
      <c r="M15" s="28" t="s">
        <v>111</v>
      </c>
      <c r="N15" s="28" t="s">
        <v>28</v>
      </c>
      <c r="O15" s="28" t="s">
        <v>29</v>
      </c>
      <c r="P15" s="28" t="s">
        <v>30</v>
      </c>
    </row>
    <row r="16" spans="1:16" x14ac:dyDescent="0.25">
      <c r="A16" s="28" t="s">
        <v>112</v>
      </c>
      <c r="B16" s="28" t="s">
        <v>113</v>
      </c>
      <c r="C16" s="28" t="s">
        <v>18</v>
      </c>
      <c r="D16" s="28" t="s">
        <v>101</v>
      </c>
      <c r="E16" s="28" t="s">
        <v>114</v>
      </c>
      <c r="F16" s="28" t="s">
        <v>21</v>
      </c>
      <c r="G16" s="28" t="s">
        <v>39</v>
      </c>
      <c r="H16" s="28" t="s">
        <v>23</v>
      </c>
      <c r="I16" s="28" t="s">
        <v>115</v>
      </c>
      <c r="J16" s="28" t="s">
        <v>39</v>
      </c>
      <c r="K16" s="28" t="s">
        <v>116</v>
      </c>
      <c r="L16" s="28" t="s">
        <v>26</v>
      </c>
      <c r="M16" s="28" t="s">
        <v>117</v>
      </c>
      <c r="N16" s="28" t="s">
        <v>28</v>
      </c>
      <c r="O16" s="28" t="s">
        <v>29</v>
      </c>
      <c r="P16" s="28" t="s">
        <v>30</v>
      </c>
    </row>
    <row r="17" spans="1:16" x14ac:dyDescent="0.25">
      <c r="A17" s="28" t="s">
        <v>118</v>
      </c>
      <c r="B17" s="28" t="s">
        <v>119</v>
      </c>
      <c r="C17" s="28" t="s">
        <v>18</v>
      </c>
      <c r="D17" s="28" t="s">
        <v>120</v>
      </c>
      <c r="E17" s="28" t="s">
        <v>121</v>
      </c>
      <c r="F17" s="28" t="s">
        <v>21</v>
      </c>
      <c r="G17" s="28" t="s">
        <v>39</v>
      </c>
      <c r="H17" s="28" t="s">
        <v>23</v>
      </c>
      <c r="I17" s="28" t="s">
        <v>122</v>
      </c>
      <c r="J17" s="28" t="s">
        <v>39</v>
      </c>
      <c r="K17" s="28" t="s">
        <v>123</v>
      </c>
      <c r="L17" s="28" t="s">
        <v>26</v>
      </c>
      <c r="M17" s="28" t="s">
        <v>124</v>
      </c>
      <c r="N17" s="28" t="s">
        <v>28</v>
      </c>
      <c r="O17" s="28" t="s">
        <v>29</v>
      </c>
      <c r="P17" s="28" t="s">
        <v>30</v>
      </c>
    </row>
    <row r="18" spans="1:16" x14ac:dyDescent="0.25">
      <c r="A18" s="28" t="s">
        <v>125</v>
      </c>
      <c r="B18" s="28" t="s">
        <v>126</v>
      </c>
      <c r="C18" s="28" t="s">
        <v>18</v>
      </c>
      <c r="D18" s="28" t="s">
        <v>120</v>
      </c>
      <c r="E18" s="28" t="s">
        <v>121</v>
      </c>
      <c r="F18" s="28" t="s">
        <v>21</v>
      </c>
      <c r="G18" s="28" t="s">
        <v>39</v>
      </c>
      <c r="H18" s="28" t="s">
        <v>23</v>
      </c>
      <c r="I18" s="28" t="s">
        <v>127</v>
      </c>
      <c r="J18" s="28" t="s">
        <v>39</v>
      </c>
      <c r="K18" s="28" t="s">
        <v>128</v>
      </c>
      <c r="L18" s="28" t="s">
        <v>26</v>
      </c>
      <c r="M18" s="28" t="s">
        <v>129</v>
      </c>
      <c r="N18" s="28" t="s">
        <v>28</v>
      </c>
      <c r="O18" s="28" t="s">
        <v>29</v>
      </c>
      <c r="P18" s="28" t="s">
        <v>30</v>
      </c>
    </row>
    <row r="19" spans="1:16" x14ac:dyDescent="0.25">
      <c r="A19" s="28" t="s">
        <v>130</v>
      </c>
      <c r="B19" s="28" t="s">
        <v>131</v>
      </c>
      <c r="C19" s="28" t="s">
        <v>132</v>
      </c>
      <c r="D19" s="28" t="s">
        <v>133</v>
      </c>
      <c r="E19" s="28" t="s">
        <v>134</v>
      </c>
      <c r="F19" s="28" t="s">
        <v>21</v>
      </c>
      <c r="G19" s="28" t="s">
        <v>135</v>
      </c>
      <c r="H19" s="28" t="s">
        <v>136</v>
      </c>
      <c r="I19" s="28" t="s">
        <v>131</v>
      </c>
      <c r="J19" s="28" t="s">
        <v>135</v>
      </c>
      <c r="K19" s="28" t="s">
        <v>137</v>
      </c>
      <c r="L19" s="28" t="s">
        <v>138</v>
      </c>
      <c r="M19" s="28" t="s">
        <v>139</v>
      </c>
      <c r="N19" s="28" t="s">
        <v>140</v>
      </c>
      <c r="O19" s="28" t="s">
        <v>141</v>
      </c>
      <c r="P19" s="28" t="s">
        <v>30</v>
      </c>
    </row>
    <row r="20" spans="1:16" x14ac:dyDescent="0.25">
      <c r="A20" s="28" t="s">
        <v>142</v>
      </c>
      <c r="B20" s="28" t="s">
        <v>143</v>
      </c>
      <c r="C20" s="28" t="s">
        <v>132</v>
      </c>
      <c r="D20" s="28" t="s">
        <v>133</v>
      </c>
      <c r="E20" s="28" t="s">
        <v>144</v>
      </c>
      <c r="F20" s="28" t="s">
        <v>21</v>
      </c>
      <c r="G20" s="28" t="s">
        <v>135</v>
      </c>
      <c r="H20" s="28" t="s">
        <v>136</v>
      </c>
      <c r="I20" s="28" t="s">
        <v>143</v>
      </c>
      <c r="J20" s="28" t="s">
        <v>135</v>
      </c>
      <c r="K20" s="28" t="s">
        <v>145</v>
      </c>
      <c r="L20" s="28" t="s">
        <v>138</v>
      </c>
      <c r="M20" s="28" t="s">
        <v>146</v>
      </c>
      <c r="N20" s="28" t="s">
        <v>140</v>
      </c>
      <c r="O20" s="28" t="s">
        <v>141</v>
      </c>
      <c r="P20" s="28" t="s">
        <v>30</v>
      </c>
    </row>
    <row r="21" spans="1:16" x14ac:dyDescent="0.25">
      <c r="A21" s="28" t="s">
        <v>147</v>
      </c>
      <c r="B21" s="28" t="s">
        <v>148</v>
      </c>
      <c r="C21" s="28" t="s">
        <v>132</v>
      </c>
      <c r="D21" s="28" t="s">
        <v>133</v>
      </c>
      <c r="E21" s="28" t="s">
        <v>144</v>
      </c>
      <c r="F21" s="28" t="s">
        <v>21</v>
      </c>
      <c r="G21" s="28" t="s">
        <v>149</v>
      </c>
      <c r="H21" s="28" t="s">
        <v>136</v>
      </c>
      <c r="I21" s="28" t="s">
        <v>148</v>
      </c>
      <c r="J21" s="28" t="s">
        <v>149</v>
      </c>
      <c r="K21" s="28" t="s">
        <v>150</v>
      </c>
      <c r="L21" s="28" t="s">
        <v>138</v>
      </c>
      <c r="M21" s="28" t="s">
        <v>151</v>
      </c>
      <c r="N21" s="28" t="s">
        <v>140</v>
      </c>
      <c r="O21" s="28" t="s">
        <v>141</v>
      </c>
      <c r="P21" s="28" t="s">
        <v>30</v>
      </c>
    </row>
    <row r="22" spans="1:16" x14ac:dyDescent="0.25">
      <c r="A22" s="28" t="s">
        <v>152</v>
      </c>
      <c r="B22" s="28" t="s">
        <v>153</v>
      </c>
      <c r="C22" s="28" t="s">
        <v>132</v>
      </c>
      <c r="D22" s="28" t="s">
        <v>133</v>
      </c>
      <c r="E22" s="28" t="s">
        <v>144</v>
      </c>
      <c r="F22" s="28" t="s">
        <v>21</v>
      </c>
      <c r="G22" s="28" t="s">
        <v>135</v>
      </c>
      <c r="H22" s="28" t="s">
        <v>136</v>
      </c>
      <c r="I22" s="28" t="s">
        <v>153</v>
      </c>
      <c r="J22" s="28" t="s">
        <v>135</v>
      </c>
      <c r="K22" s="28" t="s">
        <v>154</v>
      </c>
      <c r="L22" s="28" t="s">
        <v>138</v>
      </c>
      <c r="M22" s="28" t="s">
        <v>155</v>
      </c>
      <c r="N22" s="28" t="s">
        <v>140</v>
      </c>
      <c r="O22" s="28" t="s">
        <v>141</v>
      </c>
      <c r="P22" s="28" t="s">
        <v>30</v>
      </c>
    </row>
    <row r="23" spans="1:16" x14ac:dyDescent="0.25">
      <c r="A23" s="28" t="s">
        <v>156</v>
      </c>
      <c r="B23" s="28" t="s">
        <v>157</v>
      </c>
      <c r="C23" s="28" t="s">
        <v>132</v>
      </c>
      <c r="D23" s="28" t="s">
        <v>133</v>
      </c>
      <c r="E23" s="28" t="s">
        <v>144</v>
      </c>
      <c r="F23" s="28" t="s">
        <v>21</v>
      </c>
      <c r="G23" s="28" t="s">
        <v>135</v>
      </c>
      <c r="H23" s="28" t="s">
        <v>136</v>
      </c>
      <c r="I23" s="28" t="s">
        <v>157</v>
      </c>
      <c r="J23" s="28" t="s">
        <v>135</v>
      </c>
      <c r="K23" s="28" t="s">
        <v>158</v>
      </c>
      <c r="L23" s="28" t="s">
        <v>138</v>
      </c>
      <c r="M23" s="28" t="s">
        <v>155</v>
      </c>
      <c r="N23" s="28" t="s">
        <v>140</v>
      </c>
      <c r="O23" s="28" t="s">
        <v>141</v>
      </c>
      <c r="P23" s="28" t="s">
        <v>30</v>
      </c>
    </row>
    <row r="24" spans="1:16" x14ac:dyDescent="0.25">
      <c r="A24" s="28" t="s">
        <v>159</v>
      </c>
      <c r="B24" s="28" t="s">
        <v>160</v>
      </c>
      <c r="C24" s="28" t="s">
        <v>132</v>
      </c>
      <c r="D24" s="28" t="s">
        <v>133</v>
      </c>
      <c r="E24" s="28" t="s">
        <v>161</v>
      </c>
      <c r="F24" s="28" t="s">
        <v>21</v>
      </c>
      <c r="G24" s="28" t="s">
        <v>135</v>
      </c>
      <c r="H24" s="28" t="s">
        <v>136</v>
      </c>
      <c r="I24" s="28" t="s">
        <v>160</v>
      </c>
      <c r="J24" s="28" t="s">
        <v>135</v>
      </c>
      <c r="K24" s="28" t="s">
        <v>162</v>
      </c>
      <c r="L24" s="28" t="s">
        <v>138</v>
      </c>
      <c r="M24" s="28" t="s">
        <v>163</v>
      </c>
      <c r="N24" s="28" t="s">
        <v>140</v>
      </c>
      <c r="O24" s="28" t="s">
        <v>141</v>
      </c>
      <c r="P24" s="28" t="s">
        <v>30</v>
      </c>
    </row>
    <row r="25" spans="1:16" x14ac:dyDescent="0.25">
      <c r="A25" s="28" t="s">
        <v>164</v>
      </c>
      <c r="B25" s="28" t="s">
        <v>165</v>
      </c>
      <c r="C25" s="28" t="s">
        <v>132</v>
      </c>
      <c r="D25" s="28" t="s">
        <v>133</v>
      </c>
      <c r="E25" s="28" t="s">
        <v>161</v>
      </c>
      <c r="F25" s="28" t="s">
        <v>21</v>
      </c>
      <c r="G25" s="28" t="s">
        <v>149</v>
      </c>
      <c r="H25" s="28" t="s">
        <v>136</v>
      </c>
      <c r="I25" s="28" t="s">
        <v>165</v>
      </c>
      <c r="J25" s="28" t="s">
        <v>149</v>
      </c>
      <c r="K25" s="28" t="s">
        <v>166</v>
      </c>
      <c r="L25" s="28" t="s">
        <v>138</v>
      </c>
      <c r="M25" s="28" t="s">
        <v>167</v>
      </c>
      <c r="N25" s="28" t="s">
        <v>140</v>
      </c>
      <c r="O25" s="28" t="s">
        <v>141</v>
      </c>
      <c r="P25" s="28" t="s">
        <v>30</v>
      </c>
    </row>
    <row r="26" spans="1:16" x14ac:dyDescent="0.25">
      <c r="A26" s="28" t="s">
        <v>168</v>
      </c>
      <c r="B26" s="28" t="s">
        <v>169</v>
      </c>
      <c r="C26" s="28" t="s">
        <v>132</v>
      </c>
      <c r="D26" s="28" t="s">
        <v>133</v>
      </c>
      <c r="E26" s="28" t="s">
        <v>170</v>
      </c>
      <c r="F26" s="28" t="s">
        <v>21</v>
      </c>
      <c r="G26" s="28" t="s">
        <v>135</v>
      </c>
      <c r="H26" s="28" t="s">
        <v>136</v>
      </c>
      <c r="I26" s="28" t="s">
        <v>169</v>
      </c>
      <c r="J26" s="28" t="s">
        <v>135</v>
      </c>
      <c r="K26" s="28" t="s">
        <v>171</v>
      </c>
      <c r="L26" s="28" t="s">
        <v>138</v>
      </c>
      <c r="M26" s="28" t="s">
        <v>172</v>
      </c>
      <c r="N26" s="28" t="s">
        <v>140</v>
      </c>
      <c r="O26" s="28" t="s">
        <v>141</v>
      </c>
      <c r="P26" s="28" t="s">
        <v>30</v>
      </c>
    </row>
    <row r="27" spans="1:16" x14ac:dyDescent="0.25">
      <c r="A27" s="28" t="s">
        <v>173</v>
      </c>
      <c r="B27" s="28" t="s">
        <v>174</v>
      </c>
      <c r="C27" s="28" t="s">
        <v>132</v>
      </c>
      <c r="D27" s="28" t="s">
        <v>133</v>
      </c>
      <c r="E27" s="28" t="s">
        <v>170</v>
      </c>
      <c r="F27" s="28" t="s">
        <v>21</v>
      </c>
      <c r="G27" s="28" t="s">
        <v>149</v>
      </c>
      <c r="H27" s="28" t="s">
        <v>136</v>
      </c>
      <c r="I27" s="28" t="s">
        <v>174</v>
      </c>
      <c r="J27" s="28" t="s">
        <v>149</v>
      </c>
      <c r="K27" s="28" t="s">
        <v>175</v>
      </c>
      <c r="L27" s="28" t="s">
        <v>138</v>
      </c>
      <c r="M27" s="28" t="s">
        <v>176</v>
      </c>
      <c r="N27" s="28" t="s">
        <v>140</v>
      </c>
      <c r="O27" s="28" t="s">
        <v>141</v>
      </c>
      <c r="P27" s="28" t="s">
        <v>30</v>
      </c>
    </row>
    <row r="28" spans="1:16" x14ac:dyDescent="0.25">
      <c r="A28" s="28" t="s">
        <v>177</v>
      </c>
      <c r="B28" s="28" t="s">
        <v>178</v>
      </c>
      <c r="C28" s="28" t="s">
        <v>132</v>
      </c>
      <c r="D28" s="28" t="s">
        <v>133</v>
      </c>
      <c r="E28" s="28" t="s">
        <v>170</v>
      </c>
      <c r="F28" s="28" t="s">
        <v>21</v>
      </c>
      <c r="G28" s="28" t="s">
        <v>149</v>
      </c>
      <c r="H28" s="28" t="s">
        <v>136</v>
      </c>
      <c r="I28" s="28" t="s">
        <v>178</v>
      </c>
      <c r="J28" s="28" t="s">
        <v>149</v>
      </c>
      <c r="K28" s="28" t="s">
        <v>179</v>
      </c>
      <c r="L28" s="28" t="s">
        <v>138</v>
      </c>
      <c r="M28" s="28" t="s">
        <v>180</v>
      </c>
      <c r="N28" s="28" t="s">
        <v>140</v>
      </c>
      <c r="O28" s="28" t="s">
        <v>141</v>
      </c>
      <c r="P28" s="28" t="s">
        <v>30</v>
      </c>
    </row>
    <row r="29" spans="1:16" x14ac:dyDescent="0.25">
      <c r="A29" s="28" t="s">
        <v>181</v>
      </c>
      <c r="B29" s="28" t="s">
        <v>182</v>
      </c>
      <c r="C29" s="28" t="s">
        <v>132</v>
      </c>
      <c r="D29" s="28" t="s">
        <v>133</v>
      </c>
      <c r="E29" s="28" t="s">
        <v>183</v>
      </c>
      <c r="F29" s="28" t="s">
        <v>21</v>
      </c>
      <c r="G29" s="28" t="s">
        <v>149</v>
      </c>
      <c r="H29" s="28" t="s">
        <v>184</v>
      </c>
      <c r="I29" s="28" t="s">
        <v>182</v>
      </c>
      <c r="J29" s="28" t="s">
        <v>149</v>
      </c>
      <c r="K29" s="28" t="s">
        <v>185</v>
      </c>
      <c r="L29" s="28" t="s">
        <v>138</v>
      </c>
      <c r="M29" s="28" t="s">
        <v>186</v>
      </c>
      <c r="N29" s="28" t="s">
        <v>187</v>
      </c>
      <c r="O29" s="28" t="s">
        <v>188</v>
      </c>
      <c r="P29" s="28" t="s">
        <v>30</v>
      </c>
    </row>
    <row r="30" spans="1:16" x14ac:dyDescent="0.25">
      <c r="A30" s="28" t="s">
        <v>189</v>
      </c>
      <c r="B30" s="28" t="s">
        <v>190</v>
      </c>
      <c r="C30" s="28" t="s">
        <v>132</v>
      </c>
      <c r="D30" s="28" t="s">
        <v>133</v>
      </c>
      <c r="E30" s="28" t="s">
        <v>191</v>
      </c>
      <c r="F30" s="28" t="s">
        <v>21</v>
      </c>
      <c r="G30" s="28" t="s">
        <v>149</v>
      </c>
      <c r="H30" s="28" t="s">
        <v>184</v>
      </c>
      <c r="I30" s="28" t="s">
        <v>190</v>
      </c>
      <c r="J30" s="28" t="s">
        <v>149</v>
      </c>
      <c r="K30" s="28" t="s">
        <v>192</v>
      </c>
      <c r="L30" s="28" t="s">
        <v>138</v>
      </c>
      <c r="M30" s="28" t="s">
        <v>193</v>
      </c>
      <c r="N30" s="28" t="s">
        <v>187</v>
      </c>
      <c r="O30" s="28" t="s">
        <v>188</v>
      </c>
      <c r="P30" s="28" t="s">
        <v>30</v>
      </c>
    </row>
    <row r="31" spans="1:16" x14ac:dyDescent="0.25">
      <c r="A31" s="28" t="s">
        <v>194</v>
      </c>
      <c r="B31" s="28" t="s">
        <v>195</v>
      </c>
      <c r="C31" s="28" t="s">
        <v>132</v>
      </c>
      <c r="D31" s="28" t="s">
        <v>133</v>
      </c>
      <c r="E31" s="28" t="s">
        <v>196</v>
      </c>
      <c r="F31" s="28" t="s">
        <v>21</v>
      </c>
      <c r="G31" s="28" t="s">
        <v>149</v>
      </c>
      <c r="H31" s="28" t="s">
        <v>184</v>
      </c>
      <c r="I31" s="28" t="s">
        <v>195</v>
      </c>
      <c r="J31" s="28" t="s">
        <v>149</v>
      </c>
      <c r="K31" s="28" t="s">
        <v>197</v>
      </c>
      <c r="L31" s="28" t="s">
        <v>138</v>
      </c>
      <c r="M31" s="28" t="s">
        <v>198</v>
      </c>
      <c r="N31" s="28" t="s">
        <v>187</v>
      </c>
      <c r="O31" s="28" t="s">
        <v>188</v>
      </c>
      <c r="P31" s="28" t="s">
        <v>30</v>
      </c>
    </row>
    <row r="32" spans="1:16" x14ac:dyDescent="0.25">
      <c r="A32" s="28" t="s">
        <v>199</v>
      </c>
      <c r="B32" s="28" t="s">
        <v>200</v>
      </c>
      <c r="C32" s="28" t="s">
        <v>132</v>
      </c>
      <c r="D32" s="28" t="s">
        <v>133</v>
      </c>
      <c r="E32" s="28" t="s">
        <v>201</v>
      </c>
      <c r="F32" s="28" t="s">
        <v>21</v>
      </c>
      <c r="G32" s="28" t="s">
        <v>149</v>
      </c>
      <c r="H32" s="28" t="s">
        <v>184</v>
      </c>
      <c r="I32" s="28" t="s">
        <v>200</v>
      </c>
      <c r="J32" s="28" t="s">
        <v>149</v>
      </c>
      <c r="K32" s="28" t="s">
        <v>202</v>
      </c>
      <c r="L32" s="28" t="s">
        <v>138</v>
      </c>
      <c r="M32" s="28" t="s">
        <v>203</v>
      </c>
      <c r="N32" s="28" t="s">
        <v>187</v>
      </c>
      <c r="O32" s="28" t="s">
        <v>188</v>
      </c>
      <c r="P32" s="28" t="s">
        <v>30</v>
      </c>
    </row>
    <row r="33" spans="1:16" x14ac:dyDescent="0.25">
      <c r="A33" s="28" t="s">
        <v>204</v>
      </c>
      <c r="B33" s="28" t="s">
        <v>205</v>
      </c>
      <c r="C33" s="28" t="s">
        <v>132</v>
      </c>
      <c r="D33" s="28" t="s">
        <v>133</v>
      </c>
      <c r="E33" s="28" t="s">
        <v>206</v>
      </c>
      <c r="F33" s="28" t="s">
        <v>21</v>
      </c>
      <c r="G33" s="28" t="s">
        <v>207</v>
      </c>
      <c r="H33" s="28" t="s">
        <v>184</v>
      </c>
      <c r="I33" s="28" t="s">
        <v>205</v>
      </c>
      <c r="J33" s="28" t="s">
        <v>207</v>
      </c>
      <c r="K33" s="28" t="s">
        <v>208</v>
      </c>
      <c r="L33" s="28" t="s">
        <v>138</v>
      </c>
      <c r="M33" s="28" t="s">
        <v>209</v>
      </c>
      <c r="N33" s="28" t="s">
        <v>187</v>
      </c>
      <c r="O33" s="28" t="s">
        <v>188</v>
      </c>
      <c r="P33" s="28" t="s">
        <v>30</v>
      </c>
    </row>
    <row r="34" spans="1:16" x14ac:dyDescent="0.25">
      <c r="A34" s="28" t="s">
        <v>210</v>
      </c>
      <c r="B34" s="28" t="s">
        <v>211</v>
      </c>
      <c r="C34" s="28" t="s">
        <v>132</v>
      </c>
      <c r="D34" s="28" t="s">
        <v>133</v>
      </c>
      <c r="E34" s="28" t="s">
        <v>206</v>
      </c>
      <c r="F34" s="28" t="s">
        <v>21</v>
      </c>
      <c r="G34" s="28" t="s">
        <v>207</v>
      </c>
      <c r="H34" s="28" t="s">
        <v>184</v>
      </c>
      <c r="I34" s="28" t="s">
        <v>211</v>
      </c>
      <c r="J34" s="28" t="s">
        <v>207</v>
      </c>
      <c r="K34" s="28" t="s">
        <v>212</v>
      </c>
      <c r="L34" s="28" t="s">
        <v>138</v>
      </c>
      <c r="M34" s="28" t="s">
        <v>213</v>
      </c>
      <c r="N34" s="28" t="s">
        <v>187</v>
      </c>
      <c r="O34" s="28" t="s">
        <v>188</v>
      </c>
      <c r="P34" s="28" t="s">
        <v>30</v>
      </c>
    </row>
    <row r="35" spans="1:16" x14ac:dyDescent="0.25">
      <c r="A35" s="28" t="s">
        <v>214</v>
      </c>
      <c r="B35" s="28" t="s">
        <v>215</v>
      </c>
      <c r="C35" s="28" t="s">
        <v>132</v>
      </c>
      <c r="D35" s="28" t="s">
        <v>133</v>
      </c>
      <c r="E35" s="28" t="s">
        <v>216</v>
      </c>
      <c r="F35" s="28" t="s">
        <v>21</v>
      </c>
      <c r="G35" s="28" t="s">
        <v>207</v>
      </c>
      <c r="H35" s="28" t="s">
        <v>184</v>
      </c>
      <c r="I35" s="28" t="s">
        <v>215</v>
      </c>
      <c r="J35" s="28" t="s">
        <v>207</v>
      </c>
      <c r="K35" s="28" t="s">
        <v>217</v>
      </c>
      <c r="L35" s="28" t="s">
        <v>138</v>
      </c>
      <c r="M35" s="28" t="s">
        <v>218</v>
      </c>
      <c r="N35" s="28" t="s">
        <v>187</v>
      </c>
      <c r="O35" s="28" t="s">
        <v>188</v>
      </c>
      <c r="P35" s="28" t="s">
        <v>30</v>
      </c>
    </row>
    <row r="36" spans="1:16" x14ac:dyDescent="0.25">
      <c r="A36" s="28" t="s">
        <v>219</v>
      </c>
      <c r="B36" s="28" t="s">
        <v>220</v>
      </c>
      <c r="C36" s="28" t="s">
        <v>132</v>
      </c>
      <c r="D36" s="28" t="s">
        <v>133</v>
      </c>
      <c r="E36" s="28" t="s">
        <v>221</v>
      </c>
      <c r="F36" s="28" t="s">
        <v>21</v>
      </c>
      <c r="G36" s="28" t="s">
        <v>207</v>
      </c>
      <c r="H36" s="28" t="s">
        <v>184</v>
      </c>
      <c r="I36" s="28" t="s">
        <v>220</v>
      </c>
      <c r="J36" s="28" t="s">
        <v>207</v>
      </c>
      <c r="K36" s="28" t="s">
        <v>222</v>
      </c>
      <c r="L36" s="28" t="s">
        <v>138</v>
      </c>
      <c r="M36" s="28" t="s">
        <v>223</v>
      </c>
      <c r="N36" s="28" t="s">
        <v>187</v>
      </c>
      <c r="O36" s="28" t="s">
        <v>188</v>
      </c>
      <c r="P36" s="28" t="s">
        <v>30</v>
      </c>
    </row>
    <row r="37" spans="1:16" x14ac:dyDescent="0.25">
      <c r="A37" s="28" t="s">
        <v>224</v>
      </c>
      <c r="B37" s="28" t="s">
        <v>225</v>
      </c>
      <c r="C37" s="28" t="s">
        <v>132</v>
      </c>
      <c r="D37" s="28" t="s">
        <v>133</v>
      </c>
      <c r="E37" s="28" t="s">
        <v>226</v>
      </c>
      <c r="F37" s="28" t="s">
        <v>21</v>
      </c>
      <c r="G37" s="28" t="s">
        <v>149</v>
      </c>
      <c r="H37" s="28" t="s">
        <v>184</v>
      </c>
      <c r="I37" s="28" t="s">
        <v>225</v>
      </c>
      <c r="J37" s="28" t="s">
        <v>149</v>
      </c>
      <c r="K37" s="28" t="s">
        <v>227</v>
      </c>
      <c r="L37" s="28" t="s">
        <v>138</v>
      </c>
      <c r="M37" s="28" t="s">
        <v>228</v>
      </c>
      <c r="N37" s="28" t="s">
        <v>187</v>
      </c>
      <c r="O37" s="28" t="s">
        <v>188</v>
      </c>
      <c r="P37" s="28" t="s">
        <v>30</v>
      </c>
    </row>
    <row r="38" spans="1:16" x14ac:dyDescent="0.25">
      <c r="A38" s="28" t="s">
        <v>229</v>
      </c>
      <c r="B38" s="28" t="s">
        <v>230</v>
      </c>
      <c r="C38" s="28" t="s">
        <v>132</v>
      </c>
      <c r="D38" s="28" t="s">
        <v>133</v>
      </c>
      <c r="E38" s="28" t="s">
        <v>231</v>
      </c>
      <c r="F38" s="28" t="s">
        <v>21</v>
      </c>
      <c r="G38" s="28" t="s">
        <v>149</v>
      </c>
      <c r="H38" s="28" t="s">
        <v>184</v>
      </c>
      <c r="I38" s="28" t="s">
        <v>230</v>
      </c>
      <c r="J38" s="28" t="s">
        <v>149</v>
      </c>
      <c r="K38" s="28" t="s">
        <v>232</v>
      </c>
      <c r="L38" s="28" t="s">
        <v>138</v>
      </c>
      <c r="M38" s="28" t="s">
        <v>233</v>
      </c>
      <c r="N38" s="28" t="s">
        <v>187</v>
      </c>
      <c r="O38" s="28" t="s">
        <v>188</v>
      </c>
      <c r="P38" s="28" t="s">
        <v>30</v>
      </c>
    </row>
    <row r="39" spans="1:16" x14ac:dyDescent="0.25">
      <c r="A39" s="28" t="s">
        <v>234</v>
      </c>
      <c r="B39" s="28" t="s">
        <v>235</v>
      </c>
      <c r="C39" s="28" t="s">
        <v>132</v>
      </c>
      <c r="D39" s="28" t="s">
        <v>133</v>
      </c>
      <c r="E39" s="28" t="s">
        <v>236</v>
      </c>
      <c r="F39" s="28" t="s">
        <v>21</v>
      </c>
      <c r="G39" s="28" t="s">
        <v>149</v>
      </c>
      <c r="H39" s="28" t="s">
        <v>184</v>
      </c>
      <c r="I39" s="28" t="s">
        <v>235</v>
      </c>
      <c r="J39" s="28" t="s">
        <v>149</v>
      </c>
      <c r="K39" s="28" t="s">
        <v>237</v>
      </c>
      <c r="L39" s="28" t="s">
        <v>138</v>
      </c>
      <c r="M39" s="28" t="s">
        <v>238</v>
      </c>
      <c r="N39" s="28" t="s">
        <v>187</v>
      </c>
      <c r="O39" s="28" t="s">
        <v>188</v>
      </c>
      <c r="P39" s="28" t="s">
        <v>30</v>
      </c>
    </row>
    <row r="40" spans="1:16" x14ac:dyDescent="0.25">
      <c r="A40" s="28" t="s">
        <v>239</v>
      </c>
      <c r="B40" s="28" t="s">
        <v>240</v>
      </c>
      <c r="C40" s="28" t="s">
        <v>132</v>
      </c>
      <c r="D40" s="28" t="s">
        <v>133</v>
      </c>
      <c r="E40" s="28" t="s">
        <v>241</v>
      </c>
      <c r="F40" s="28" t="s">
        <v>21</v>
      </c>
      <c r="G40" s="28" t="s">
        <v>149</v>
      </c>
      <c r="H40" s="28" t="s">
        <v>184</v>
      </c>
      <c r="I40" s="28" t="s">
        <v>240</v>
      </c>
      <c r="J40" s="28" t="s">
        <v>149</v>
      </c>
      <c r="K40" s="28" t="s">
        <v>242</v>
      </c>
      <c r="L40" s="28" t="s">
        <v>138</v>
      </c>
      <c r="M40" s="28" t="s">
        <v>243</v>
      </c>
      <c r="N40" s="28" t="s">
        <v>187</v>
      </c>
      <c r="O40" s="28" t="s">
        <v>188</v>
      </c>
      <c r="P40" s="28" t="s">
        <v>30</v>
      </c>
    </row>
    <row r="41" spans="1:16" x14ac:dyDescent="0.25">
      <c r="A41" s="28" t="s">
        <v>244</v>
      </c>
      <c r="B41" s="28" t="s">
        <v>245</v>
      </c>
      <c r="C41" s="28" t="s">
        <v>132</v>
      </c>
      <c r="D41" s="28" t="s">
        <v>133</v>
      </c>
      <c r="E41" s="28" t="s">
        <v>246</v>
      </c>
      <c r="F41" s="28" t="s">
        <v>21</v>
      </c>
      <c r="G41" s="28" t="s">
        <v>149</v>
      </c>
      <c r="H41" s="28" t="s">
        <v>184</v>
      </c>
      <c r="I41" s="28" t="s">
        <v>245</v>
      </c>
      <c r="J41" s="28" t="s">
        <v>149</v>
      </c>
      <c r="K41" s="28" t="s">
        <v>247</v>
      </c>
      <c r="L41" s="28" t="s">
        <v>138</v>
      </c>
      <c r="M41" s="28" t="s">
        <v>248</v>
      </c>
      <c r="N41" s="28" t="s">
        <v>187</v>
      </c>
      <c r="O41" s="28" t="s">
        <v>188</v>
      </c>
      <c r="P41" s="28" t="s">
        <v>30</v>
      </c>
    </row>
    <row r="42" spans="1:16" x14ac:dyDescent="0.25">
      <c r="A42" s="28" t="s">
        <v>249</v>
      </c>
      <c r="B42" s="28" t="s">
        <v>250</v>
      </c>
      <c r="C42" s="28" t="s">
        <v>132</v>
      </c>
      <c r="D42" s="28" t="s">
        <v>133</v>
      </c>
      <c r="E42" s="28" t="s">
        <v>251</v>
      </c>
      <c r="F42" s="28" t="s">
        <v>21</v>
      </c>
      <c r="G42" s="28" t="s">
        <v>149</v>
      </c>
      <c r="H42" s="28" t="s">
        <v>184</v>
      </c>
      <c r="I42" s="28" t="s">
        <v>250</v>
      </c>
      <c r="J42" s="28" t="s">
        <v>149</v>
      </c>
      <c r="K42" s="28" t="s">
        <v>252</v>
      </c>
      <c r="L42" s="28" t="s">
        <v>138</v>
      </c>
      <c r="M42" s="28" t="s">
        <v>253</v>
      </c>
      <c r="N42" s="28" t="s">
        <v>187</v>
      </c>
      <c r="O42" s="28" t="s">
        <v>188</v>
      </c>
      <c r="P42" s="28" t="s">
        <v>30</v>
      </c>
    </row>
    <row r="43" spans="1:16" x14ac:dyDescent="0.25">
      <c r="A43" s="28" t="s">
        <v>254</v>
      </c>
      <c r="B43" s="28" t="s">
        <v>255</v>
      </c>
      <c r="C43" s="28" t="s">
        <v>132</v>
      </c>
      <c r="D43" s="28" t="s">
        <v>133</v>
      </c>
      <c r="E43" s="28" t="s">
        <v>256</v>
      </c>
      <c r="F43" s="28" t="s">
        <v>21</v>
      </c>
      <c r="G43" s="28" t="s">
        <v>149</v>
      </c>
      <c r="H43" s="28" t="s">
        <v>184</v>
      </c>
      <c r="I43" s="28" t="s">
        <v>255</v>
      </c>
      <c r="J43" s="28" t="s">
        <v>149</v>
      </c>
      <c r="K43" s="28" t="s">
        <v>257</v>
      </c>
      <c r="L43" s="28" t="s">
        <v>138</v>
      </c>
      <c r="M43" s="28" t="s">
        <v>258</v>
      </c>
      <c r="N43" s="28" t="s">
        <v>187</v>
      </c>
      <c r="O43" s="28" t="s">
        <v>188</v>
      </c>
      <c r="P43" s="28" t="s">
        <v>30</v>
      </c>
    </row>
    <row r="44" spans="1:16" x14ac:dyDescent="0.25">
      <c r="A44" s="28" t="s">
        <v>259</v>
      </c>
      <c r="B44" s="28" t="s">
        <v>260</v>
      </c>
      <c r="C44" s="28" t="s">
        <v>132</v>
      </c>
      <c r="D44" s="28" t="s">
        <v>133</v>
      </c>
      <c r="E44" s="28" t="s">
        <v>261</v>
      </c>
      <c r="F44" s="28" t="s">
        <v>21</v>
      </c>
      <c r="G44" s="28" t="s">
        <v>149</v>
      </c>
      <c r="H44" s="28" t="s">
        <v>184</v>
      </c>
      <c r="I44" s="28" t="s">
        <v>260</v>
      </c>
      <c r="J44" s="28" t="s">
        <v>149</v>
      </c>
      <c r="K44" s="28" t="s">
        <v>262</v>
      </c>
      <c r="L44" s="28" t="s">
        <v>138</v>
      </c>
      <c r="M44" s="28" t="s">
        <v>263</v>
      </c>
      <c r="N44" s="28" t="s">
        <v>187</v>
      </c>
      <c r="O44" s="28" t="s">
        <v>188</v>
      </c>
      <c r="P44" s="28" t="s">
        <v>30</v>
      </c>
    </row>
    <row r="45" spans="1:16" x14ac:dyDescent="0.25">
      <c r="A45" s="28" t="s">
        <v>264</v>
      </c>
      <c r="B45" s="28" t="s">
        <v>265</v>
      </c>
      <c r="C45" s="28" t="s">
        <v>132</v>
      </c>
      <c r="D45" s="28" t="s">
        <v>133</v>
      </c>
      <c r="E45" s="28" t="s">
        <v>266</v>
      </c>
      <c r="F45" s="28" t="s">
        <v>21</v>
      </c>
      <c r="G45" s="28" t="s">
        <v>149</v>
      </c>
      <c r="H45" s="28" t="s">
        <v>184</v>
      </c>
      <c r="I45" s="28" t="s">
        <v>265</v>
      </c>
      <c r="J45" s="28" t="s">
        <v>149</v>
      </c>
      <c r="K45" s="28" t="s">
        <v>267</v>
      </c>
      <c r="L45" s="28" t="s">
        <v>138</v>
      </c>
      <c r="M45" s="28" t="s">
        <v>268</v>
      </c>
      <c r="N45" s="28" t="s">
        <v>187</v>
      </c>
      <c r="O45" s="28" t="s">
        <v>188</v>
      </c>
      <c r="P45" s="28" t="s">
        <v>30</v>
      </c>
    </row>
    <row r="46" spans="1:16" x14ac:dyDescent="0.25">
      <c r="A46" s="28" t="s">
        <v>269</v>
      </c>
      <c r="B46" s="28" t="s">
        <v>270</v>
      </c>
      <c r="C46" s="28" t="s">
        <v>132</v>
      </c>
      <c r="D46" s="28" t="s">
        <v>133</v>
      </c>
      <c r="E46" s="28" t="s">
        <v>271</v>
      </c>
      <c r="F46" s="28" t="s">
        <v>21</v>
      </c>
      <c r="G46" s="28" t="s">
        <v>207</v>
      </c>
      <c r="H46" s="28" t="s">
        <v>184</v>
      </c>
      <c r="I46" s="28" t="s">
        <v>270</v>
      </c>
      <c r="J46" s="28" t="s">
        <v>207</v>
      </c>
      <c r="K46" s="28" t="s">
        <v>272</v>
      </c>
      <c r="L46" s="28" t="s">
        <v>138</v>
      </c>
      <c r="M46" s="28" t="s">
        <v>273</v>
      </c>
      <c r="N46" s="28" t="s">
        <v>187</v>
      </c>
      <c r="O46" s="28" t="s">
        <v>188</v>
      </c>
      <c r="P46" s="28" t="s">
        <v>30</v>
      </c>
    </row>
    <row r="47" spans="1:16" x14ac:dyDescent="0.25">
      <c r="A47" s="28" t="s">
        <v>274</v>
      </c>
      <c r="B47" s="28" t="s">
        <v>275</v>
      </c>
      <c r="C47" s="28" t="s">
        <v>132</v>
      </c>
      <c r="D47" s="28" t="s">
        <v>133</v>
      </c>
      <c r="E47" s="28" t="s">
        <v>276</v>
      </c>
      <c r="F47" s="28" t="s">
        <v>21</v>
      </c>
      <c r="G47" s="28" t="s">
        <v>149</v>
      </c>
      <c r="H47" s="28" t="s">
        <v>184</v>
      </c>
      <c r="I47" s="28" t="s">
        <v>275</v>
      </c>
      <c r="J47" s="28" t="s">
        <v>149</v>
      </c>
      <c r="K47" s="28" t="s">
        <v>277</v>
      </c>
      <c r="L47" s="28" t="s">
        <v>138</v>
      </c>
      <c r="M47" s="28" t="s">
        <v>278</v>
      </c>
      <c r="N47" s="28" t="s">
        <v>187</v>
      </c>
      <c r="O47" s="28" t="s">
        <v>188</v>
      </c>
      <c r="P47" s="28" t="s">
        <v>30</v>
      </c>
    </row>
    <row r="48" spans="1:16" x14ac:dyDescent="0.25">
      <c r="A48" s="28" t="s">
        <v>279</v>
      </c>
      <c r="B48" s="28" t="s">
        <v>280</v>
      </c>
      <c r="C48" s="28" t="s">
        <v>132</v>
      </c>
      <c r="D48" s="28" t="s">
        <v>133</v>
      </c>
      <c r="E48" s="28" t="s">
        <v>281</v>
      </c>
      <c r="F48" s="28" t="s">
        <v>21</v>
      </c>
      <c r="G48" s="28" t="s">
        <v>149</v>
      </c>
      <c r="H48" s="28" t="s">
        <v>184</v>
      </c>
      <c r="I48" s="28" t="s">
        <v>280</v>
      </c>
      <c r="J48" s="28" t="s">
        <v>149</v>
      </c>
      <c r="K48" s="28" t="s">
        <v>282</v>
      </c>
      <c r="L48" s="28" t="s">
        <v>138</v>
      </c>
      <c r="M48" s="28" t="s">
        <v>283</v>
      </c>
      <c r="N48" s="28" t="s">
        <v>187</v>
      </c>
      <c r="O48" s="28" t="s">
        <v>188</v>
      </c>
      <c r="P48" s="28" t="s">
        <v>30</v>
      </c>
    </row>
    <row r="49" spans="1:16" x14ac:dyDescent="0.25">
      <c r="A49" s="28" t="s">
        <v>284</v>
      </c>
      <c r="B49" s="28" t="s">
        <v>285</v>
      </c>
      <c r="C49" s="28" t="s">
        <v>132</v>
      </c>
      <c r="D49" s="28" t="s">
        <v>286</v>
      </c>
      <c r="E49" s="28" t="s">
        <v>121</v>
      </c>
      <c r="F49" s="28" t="s">
        <v>21</v>
      </c>
      <c r="G49" s="28" t="s">
        <v>207</v>
      </c>
      <c r="H49" s="28" t="s">
        <v>287</v>
      </c>
      <c r="I49" s="28" t="s">
        <v>285</v>
      </c>
      <c r="J49" s="28" t="s">
        <v>207</v>
      </c>
      <c r="K49" s="28" t="s">
        <v>288</v>
      </c>
      <c r="L49" s="28" t="s">
        <v>138</v>
      </c>
      <c r="M49" s="28" t="s">
        <v>289</v>
      </c>
      <c r="N49" s="28" t="s">
        <v>290</v>
      </c>
      <c r="O49" s="28" t="s">
        <v>291</v>
      </c>
      <c r="P49" s="28" t="s">
        <v>30</v>
      </c>
    </row>
    <row r="50" spans="1:16" x14ac:dyDescent="0.25">
      <c r="A50" s="28" t="s">
        <v>292</v>
      </c>
      <c r="B50" s="28" t="s">
        <v>293</v>
      </c>
      <c r="C50" s="28" t="s">
        <v>132</v>
      </c>
      <c r="D50" s="28" t="s">
        <v>286</v>
      </c>
      <c r="E50" s="28" t="s">
        <v>121</v>
      </c>
      <c r="F50" s="28" t="s">
        <v>21</v>
      </c>
      <c r="G50" s="28" t="s">
        <v>135</v>
      </c>
      <c r="H50" s="28" t="s">
        <v>287</v>
      </c>
      <c r="I50" s="28" t="s">
        <v>293</v>
      </c>
      <c r="J50" s="28" t="s">
        <v>135</v>
      </c>
      <c r="K50" s="28" t="s">
        <v>294</v>
      </c>
      <c r="L50" s="28" t="s">
        <v>138</v>
      </c>
      <c r="M50" s="28" t="s">
        <v>295</v>
      </c>
      <c r="N50" s="28" t="s">
        <v>290</v>
      </c>
      <c r="O50" s="28" t="s">
        <v>291</v>
      </c>
      <c r="P50" s="28" t="s">
        <v>30</v>
      </c>
    </row>
    <row r="51" spans="1:16" x14ac:dyDescent="0.25">
      <c r="A51" s="28" t="s">
        <v>296</v>
      </c>
      <c r="B51" s="28" t="s">
        <v>297</v>
      </c>
      <c r="C51" s="28" t="s">
        <v>132</v>
      </c>
      <c r="D51" s="28" t="s">
        <v>286</v>
      </c>
      <c r="E51" s="28" t="s">
        <v>121</v>
      </c>
      <c r="F51" s="28" t="s">
        <v>21</v>
      </c>
      <c r="G51" s="28" t="s">
        <v>207</v>
      </c>
      <c r="H51" s="28" t="s">
        <v>287</v>
      </c>
      <c r="I51" s="28" t="s">
        <v>297</v>
      </c>
      <c r="J51" s="28" t="s">
        <v>207</v>
      </c>
      <c r="K51" s="28" t="s">
        <v>298</v>
      </c>
      <c r="L51" s="28" t="s">
        <v>138</v>
      </c>
      <c r="M51" s="28" t="s">
        <v>295</v>
      </c>
      <c r="N51" s="28" t="s">
        <v>290</v>
      </c>
      <c r="O51" s="28" t="s">
        <v>291</v>
      </c>
      <c r="P51" s="28" t="s">
        <v>30</v>
      </c>
    </row>
    <row r="52" spans="1:16" x14ac:dyDescent="0.25">
      <c r="A52" s="28" t="s">
        <v>299</v>
      </c>
      <c r="B52" s="28" t="s">
        <v>300</v>
      </c>
      <c r="C52" s="28" t="s">
        <v>132</v>
      </c>
      <c r="D52" s="28" t="s">
        <v>286</v>
      </c>
      <c r="E52" s="28" t="s">
        <v>121</v>
      </c>
      <c r="F52" s="28" t="s">
        <v>21</v>
      </c>
      <c r="G52" s="28" t="s">
        <v>135</v>
      </c>
      <c r="H52" s="28" t="s">
        <v>287</v>
      </c>
      <c r="I52" s="28" t="s">
        <v>300</v>
      </c>
      <c r="J52" s="28" t="s">
        <v>135</v>
      </c>
      <c r="K52" s="28" t="s">
        <v>301</v>
      </c>
      <c r="L52" s="28" t="s">
        <v>138</v>
      </c>
      <c r="M52" s="28" t="s">
        <v>302</v>
      </c>
      <c r="N52" s="28" t="s">
        <v>290</v>
      </c>
      <c r="O52" s="28" t="s">
        <v>291</v>
      </c>
      <c r="P52" s="28" t="s">
        <v>30</v>
      </c>
    </row>
    <row r="53" spans="1:16" x14ac:dyDescent="0.25">
      <c r="A53" s="28" t="s">
        <v>303</v>
      </c>
      <c r="B53" s="28" t="s">
        <v>304</v>
      </c>
      <c r="C53" s="28" t="s">
        <v>132</v>
      </c>
      <c r="D53" s="28" t="s">
        <v>286</v>
      </c>
      <c r="E53" s="28" t="s">
        <v>121</v>
      </c>
      <c r="F53" s="28" t="s">
        <v>21</v>
      </c>
      <c r="G53" s="28" t="s">
        <v>149</v>
      </c>
      <c r="H53" s="28" t="s">
        <v>287</v>
      </c>
      <c r="I53" s="28" t="s">
        <v>304</v>
      </c>
      <c r="J53" s="28" t="s">
        <v>149</v>
      </c>
      <c r="K53" s="28" t="s">
        <v>305</v>
      </c>
      <c r="L53" s="28" t="s">
        <v>138</v>
      </c>
      <c r="M53" s="28" t="s">
        <v>302</v>
      </c>
      <c r="N53" s="28" t="s">
        <v>290</v>
      </c>
      <c r="O53" s="28" t="s">
        <v>291</v>
      </c>
      <c r="P53" s="28" t="s">
        <v>30</v>
      </c>
    </row>
    <row r="54" spans="1:16" x14ac:dyDescent="0.25">
      <c r="A54" s="28" t="s">
        <v>306</v>
      </c>
      <c r="B54" s="28" t="s">
        <v>307</v>
      </c>
      <c r="C54" s="28" t="s">
        <v>132</v>
      </c>
      <c r="D54" s="28" t="s">
        <v>286</v>
      </c>
      <c r="E54" s="28" t="s">
        <v>121</v>
      </c>
      <c r="F54" s="28" t="s">
        <v>21</v>
      </c>
      <c r="G54" s="28" t="s">
        <v>135</v>
      </c>
      <c r="H54" s="28" t="s">
        <v>287</v>
      </c>
      <c r="I54" s="28" t="s">
        <v>307</v>
      </c>
      <c r="J54" s="28" t="s">
        <v>135</v>
      </c>
      <c r="K54" s="28" t="s">
        <v>308</v>
      </c>
      <c r="L54" s="28" t="s">
        <v>138</v>
      </c>
      <c r="M54" s="28" t="s">
        <v>309</v>
      </c>
      <c r="N54" s="28" t="s">
        <v>290</v>
      </c>
      <c r="O54" s="28" t="s">
        <v>291</v>
      </c>
      <c r="P54" s="28" t="s">
        <v>30</v>
      </c>
    </row>
    <row r="55" spans="1:16" x14ac:dyDescent="0.25">
      <c r="A55" s="28" t="s">
        <v>310</v>
      </c>
      <c r="B55" s="28" t="s">
        <v>311</v>
      </c>
      <c r="C55" s="28" t="s">
        <v>132</v>
      </c>
      <c r="D55" s="28" t="s">
        <v>286</v>
      </c>
      <c r="E55" s="28" t="s">
        <v>121</v>
      </c>
      <c r="F55" s="28" t="s">
        <v>21</v>
      </c>
      <c r="G55" s="28" t="s">
        <v>135</v>
      </c>
      <c r="H55" s="28" t="s">
        <v>287</v>
      </c>
      <c r="I55" s="28" t="s">
        <v>311</v>
      </c>
      <c r="J55" s="28" t="s">
        <v>135</v>
      </c>
      <c r="K55" s="28" t="s">
        <v>312</v>
      </c>
      <c r="L55" s="28" t="s">
        <v>138</v>
      </c>
      <c r="M55" s="28" t="s">
        <v>313</v>
      </c>
      <c r="N55" s="28" t="s">
        <v>290</v>
      </c>
      <c r="O55" s="28" t="s">
        <v>291</v>
      </c>
      <c r="P55" s="28" t="s">
        <v>30</v>
      </c>
    </row>
    <row r="56" spans="1:16" x14ac:dyDescent="0.25">
      <c r="A56" s="28" t="s">
        <v>314</v>
      </c>
      <c r="B56" s="28" t="s">
        <v>315</v>
      </c>
      <c r="C56" s="28" t="s">
        <v>132</v>
      </c>
      <c r="D56" s="28" t="s">
        <v>286</v>
      </c>
      <c r="E56" s="28" t="s">
        <v>121</v>
      </c>
      <c r="F56" s="28" t="s">
        <v>21</v>
      </c>
      <c r="G56" s="28" t="s">
        <v>149</v>
      </c>
      <c r="H56" s="28" t="s">
        <v>287</v>
      </c>
      <c r="I56" s="28" t="s">
        <v>315</v>
      </c>
      <c r="J56" s="28" t="s">
        <v>149</v>
      </c>
      <c r="K56" s="28" t="s">
        <v>316</v>
      </c>
      <c r="L56" s="28" t="s">
        <v>138</v>
      </c>
      <c r="M56" s="28" t="s">
        <v>313</v>
      </c>
      <c r="N56" s="28" t="s">
        <v>290</v>
      </c>
      <c r="O56" s="28" t="s">
        <v>291</v>
      </c>
      <c r="P56" s="28" t="s">
        <v>30</v>
      </c>
    </row>
    <row r="57" spans="1:16" x14ac:dyDescent="0.25">
      <c r="A57" s="28" t="s">
        <v>317</v>
      </c>
      <c r="B57" s="28" t="s">
        <v>318</v>
      </c>
      <c r="C57" s="28" t="s">
        <v>132</v>
      </c>
      <c r="D57" s="28" t="s">
        <v>286</v>
      </c>
      <c r="E57" s="28" t="s">
        <v>121</v>
      </c>
      <c r="F57" s="28" t="s">
        <v>21</v>
      </c>
      <c r="G57" s="28" t="s">
        <v>149</v>
      </c>
      <c r="H57" s="28" t="s">
        <v>287</v>
      </c>
      <c r="I57" s="28" t="s">
        <v>318</v>
      </c>
      <c r="J57" s="28" t="s">
        <v>149</v>
      </c>
      <c r="K57" s="28" t="s">
        <v>319</v>
      </c>
      <c r="L57" s="28" t="s">
        <v>138</v>
      </c>
      <c r="M57" s="28" t="s">
        <v>320</v>
      </c>
      <c r="N57" s="28" t="s">
        <v>290</v>
      </c>
      <c r="O57" s="28" t="s">
        <v>291</v>
      </c>
      <c r="P57" s="28" t="s">
        <v>30</v>
      </c>
    </row>
    <row r="58" spans="1:16" x14ac:dyDescent="0.25">
      <c r="A58" s="28" t="s">
        <v>321</v>
      </c>
      <c r="B58" s="28" t="s">
        <v>322</v>
      </c>
      <c r="C58" s="28" t="s">
        <v>132</v>
      </c>
      <c r="D58" s="28" t="s">
        <v>286</v>
      </c>
      <c r="E58" s="28" t="s">
        <v>121</v>
      </c>
      <c r="F58" s="28" t="s">
        <v>21</v>
      </c>
      <c r="G58" s="28" t="s">
        <v>135</v>
      </c>
      <c r="H58" s="28" t="s">
        <v>287</v>
      </c>
      <c r="I58" s="28" t="s">
        <v>322</v>
      </c>
      <c r="J58" s="28" t="s">
        <v>135</v>
      </c>
      <c r="K58" s="28" t="s">
        <v>323</v>
      </c>
      <c r="L58" s="28" t="s">
        <v>138</v>
      </c>
      <c r="M58" s="28" t="s">
        <v>324</v>
      </c>
      <c r="N58" s="28" t="s">
        <v>290</v>
      </c>
      <c r="O58" s="28" t="s">
        <v>291</v>
      </c>
      <c r="P58" s="28" t="s">
        <v>30</v>
      </c>
    </row>
    <row r="59" spans="1:16" x14ac:dyDescent="0.25">
      <c r="A59" s="28" t="s">
        <v>325</v>
      </c>
      <c r="B59" s="28" t="s">
        <v>326</v>
      </c>
      <c r="C59" s="28" t="s">
        <v>132</v>
      </c>
      <c r="D59" s="28" t="s">
        <v>286</v>
      </c>
      <c r="E59" s="28" t="s">
        <v>121</v>
      </c>
      <c r="F59" s="28" t="s">
        <v>21</v>
      </c>
      <c r="G59" s="28" t="s">
        <v>149</v>
      </c>
      <c r="H59" s="28" t="s">
        <v>287</v>
      </c>
      <c r="I59" s="28" t="s">
        <v>326</v>
      </c>
      <c r="J59" s="28" t="s">
        <v>149</v>
      </c>
      <c r="K59" s="28" t="s">
        <v>327</v>
      </c>
      <c r="L59" s="28" t="s">
        <v>138</v>
      </c>
      <c r="M59" s="28" t="s">
        <v>324</v>
      </c>
      <c r="N59" s="28" t="s">
        <v>290</v>
      </c>
      <c r="O59" s="28" t="s">
        <v>291</v>
      </c>
      <c r="P59" s="28" t="s">
        <v>30</v>
      </c>
    </row>
    <row r="60" spans="1:16" x14ac:dyDescent="0.25">
      <c r="A60" s="28" t="s">
        <v>328</v>
      </c>
      <c r="B60" s="28" t="s">
        <v>329</v>
      </c>
      <c r="C60" s="28" t="s">
        <v>132</v>
      </c>
      <c r="D60" s="28" t="s">
        <v>286</v>
      </c>
      <c r="E60" s="28" t="s">
        <v>121</v>
      </c>
      <c r="F60" s="28" t="s">
        <v>21</v>
      </c>
      <c r="G60" s="28" t="s">
        <v>207</v>
      </c>
      <c r="H60" s="28" t="s">
        <v>287</v>
      </c>
      <c r="I60" s="28" t="s">
        <v>329</v>
      </c>
      <c r="J60" s="28" t="s">
        <v>207</v>
      </c>
      <c r="K60" s="28" t="s">
        <v>330</v>
      </c>
      <c r="L60" s="28" t="s">
        <v>138</v>
      </c>
      <c r="M60" s="28" t="s">
        <v>331</v>
      </c>
      <c r="N60" s="28" t="s">
        <v>290</v>
      </c>
      <c r="O60" s="28" t="s">
        <v>291</v>
      </c>
      <c r="P60" s="28" t="s">
        <v>30</v>
      </c>
    </row>
    <row r="61" spans="1:16" x14ac:dyDescent="0.25">
      <c r="A61" s="28" t="s">
        <v>332</v>
      </c>
      <c r="B61" s="28" t="s">
        <v>333</v>
      </c>
      <c r="C61" s="28" t="s">
        <v>132</v>
      </c>
      <c r="D61" s="28" t="s">
        <v>286</v>
      </c>
      <c r="E61" s="28" t="s">
        <v>121</v>
      </c>
      <c r="F61" s="28" t="s">
        <v>21</v>
      </c>
      <c r="G61" s="28" t="s">
        <v>207</v>
      </c>
      <c r="H61" s="28" t="s">
        <v>287</v>
      </c>
      <c r="I61" s="28" t="s">
        <v>333</v>
      </c>
      <c r="J61" s="28" t="s">
        <v>207</v>
      </c>
      <c r="K61" s="28" t="s">
        <v>334</v>
      </c>
      <c r="L61" s="28" t="s">
        <v>138</v>
      </c>
      <c r="M61" s="28" t="s">
        <v>335</v>
      </c>
      <c r="N61" s="28" t="s">
        <v>290</v>
      </c>
      <c r="O61" s="28" t="s">
        <v>291</v>
      </c>
      <c r="P61" s="28" t="s">
        <v>30</v>
      </c>
    </row>
    <row r="62" spans="1:16" x14ac:dyDescent="0.25">
      <c r="A62" s="28" t="s">
        <v>336</v>
      </c>
      <c r="B62" s="28" t="s">
        <v>337</v>
      </c>
      <c r="C62" s="28" t="s">
        <v>132</v>
      </c>
      <c r="D62" s="28" t="s">
        <v>286</v>
      </c>
      <c r="E62" s="28" t="s">
        <v>121</v>
      </c>
      <c r="F62" s="28" t="s">
        <v>21</v>
      </c>
      <c r="G62" s="28" t="s">
        <v>135</v>
      </c>
      <c r="H62" s="28" t="s">
        <v>287</v>
      </c>
      <c r="I62" s="28" t="s">
        <v>337</v>
      </c>
      <c r="J62" s="28" t="s">
        <v>135</v>
      </c>
      <c r="K62" s="28" t="s">
        <v>338</v>
      </c>
      <c r="L62" s="28" t="s">
        <v>138</v>
      </c>
      <c r="M62" s="28" t="s">
        <v>339</v>
      </c>
      <c r="N62" s="28" t="s">
        <v>290</v>
      </c>
      <c r="O62" s="28" t="s">
        <v>291</v>
      </c>
      <c r="P62" s="28" t="s">
        <v>30</v>
      </c>
    </row>
    <row r="63" spans="1:16" x14ac:dyDescent="0.25">
      <c r="A63" s="28" t="s">
        <v>340</v>
      </c>
      <c r="B63" s="28" t="s">
        <v>341</v>
      </c>
      <c r="C63" s="28" t="s">
        <v>132</v>
      </c>
      <c r="D63" s="28" t="s">
        <v>286</v>
      </c>
      <c r="E63" s="28" t="s">
        <v>121</v>
      </c>
      <c r="F63" s="28" t="s">
        <v>21</v>
      </c>
      <c r="G63" s="28" t="s">
        <v>149</v>
      </c>
      <c r="H63" s="28" t="s">
        <v>287</v>
      </c>
      <c r="I63" s="28" t="s">
        <v>341</v>
      </c>
      <c r="J63" s="28" t="s">
        <v>149</v>
      </c>
      <c r="K63" s="28" t="s">
        <v>342</v>
      </c>
      <c r="L63" s="28" t="s">
        <v>138</v>
      </c>
      <c r="M63" s="28" t="s">
        <v>339</v>
      </c>
      <c r="N63" s="28" t="s">
        <v>290</v>
      </c>
      <c r="O63" s="28" t="s">
        <v>291</v>
      </c>
      <c r="P63" s="28" t="s">
        <v>30</v>
      </c>
    </row>
    <row r="64" spans="1:16" x14ac:dyDescent="0.25">
      <c r="A64" s="28" t="s">
        <v>343</v>
      </c>
      <c r="B64" s="28" t="s">
        <v>344</v>
      </c>
      <c r="C64" s="28" t="s">
        <v>132</v>
      </c>
      <c r="D64" s="28" t="s">
        <v>286</v>
      </c>
      <c r="E64" s="28" t="s">
        <v>121</v>
      </c>
      <c r="F64" s="28" t="s">
        <v>21</v>
      </c>
      <c r="G64" s="28" t="s">
        <v>207</v>
      </c>
      <c r="H64" s="28" t="s">
        <v>287</v>
      </c>
      <c r="I64" s="28" t="s">
        <v>344</v>
      </c>
      <c r="J64" s="28" t="s">
        <v>207</v>
      </c>
      <c r="K64" s="28" t="s">
        <v>345</v>
      </c>
      <c r="L64" s="28" t="s">
        <v>138</v>
      </c>
      <c r="M64" s="28" t="s">
        <v>346</v>
      </c>
      <c r="N64" s="28" t="s">
        <v>290</v>
      </c>
      <c r="O64" s="28" t="s">
        <v>291</v>
      </c>
      <c r="P64" s="28" t="s">
        <v>30</v>
      </c>
    </row>
    <row r="65" spans="1:16" x14ac:dyDescent="0.25">
      <c r="A65" s="28" t="s">
        <v>347</v>
      </c>
      <c r="B65" s="28" t="s">
        <v>348</v>
      </c>
      <c r="C65" s="28" t="s">
        <v>132</v>
      </c>
      <c r="D65" s="28" t="s">
        <v>286</v>
      </c>
      <c r="E65" s="28" t="s">
        <v>121</v>
      </c>
      <c r="F65" s="28" t="s">
        <v>21</v>
      </c>
      <c r="G65" s="28" t="s">
        <v>135</v>
      </c>
      <c r="H65" s="28" t="s">
        <v>287</v>
      </c>
      <c r="I65" s="28" t="s">
        <v>348</v>
      </c>
      <c r="J65" s="28" t="s">
        <v>135</v>
      </c>
      <c r="K65" s="28" t="s">
        <v>349</v>
      </c>
      <c r="L65" s="28" t="s">
        <v>138</v>
      </c>
      <c r="M65" s="28" t="s">
        <v>350</v>
      </c>
      <c r="N65" s="28" t="s">
        <v>290</v>
      </c>
      <c r="O65" s="28" t="s">
        <v>291</v>
      </c>
      <c r="P65" s="28" t="s">
        <v>30</v>
      </c>
    </row>
    <row r="66" spans="1:16" x14ac:dyDescent="0.25">
      <c r="A66" s="28" t="s">
        <v>351</v>
      </c>
      <c r="B66" s="28" t="s">
        <v>352</v>
      </c>
      <c r="C66" s="28" t="s">
        <v>132</v>
      </c>
      <c r="D66" s="28" t="s">
        <v>286</v>
      </c>
      <c r="E66" s="28" t="s">
        <v>121</v>
      </c>
      <c r="F66" s="28" t="s">
        <v>21</v>
      </c>
      <c r="G66" s="28" t="s">
        <v>149</v>
      </c>
      <c r="H66" s="28" t="s">
        <v>287</v>
      </c>
      <c r="I66" s="28" t="s">
        <v>352</v>
      </c>
      <c r="J66" s="28" t="s">
        <v>149</v>
      </c>
      <c r="K66" s="28" t="s">
        <v>353</v>
      </c>
      <c r="L66" s="28" t="s">
        <v>138</v>
      </c>
      <c r="M66" s="28" t="s">
        <v>350</v>
      </c>
      <c r="N66" s="28" t="s">
        <v>290</v>
      </c>
      <c r="O66" s="28" t="s">
        <v>291</v>
      </c>
      <c r="P66" s="28" t="s">
        <v>30</v>
      </c>
    </row>
    <row r="67" spans="1:16" x14ac:dyDescent="0.25">
      <c r="A67" s="28" t="s">
        <v>354</v>
      </c>
      <c r="B67" s="28" t="s">
        <v>355</v>
      </c>
      <c r="C67" s="28" t="s">
        <v>132</v>
      </c>
      <c r="D67" s="28" t="s">
        <v>286</v>
      </c>
      <c r="E67" s="28" t="s">
        <v>121</v>
      </c>
      <c r="F67" s="28" t="s">
        <v>21</v>
      </c>
      <c r="G67" s="28" t="s">
        <v>135</v>
      </c>
      <c r="H67" s="28" t="s">
        <v>287</v>
      </c>
      <c r="I67" s="28" t="s">
        <v>355</v>
      </c>
      <c r="J67" s="28" t="s">
        <v>135</v>
      </c>
      <c r="K67" s="28" t="s">
        <v>356</v>
      </c>
      <c r="L67" s="28" t="s">
        <v>138</v>
      </c>
      <c r="M67" s="28" t="s">
        <v>357</v>
      </c>
      <c r="N67" s="28" t="s">
        <v>290</v>
      </c>
      <c r="O67" s="28" t="s">
        <v>291</v>
      </c>
      <c r="P67" s="28" t="s">
        <v>30</v>
      </c>
    </row>
    <row r="68" spans="1:16" x14ac:dyDescent="0.25">
      <c r="A68" s="28" t="s">
        <v>358</v>
      </c>
      <c r="B68" s="28" t="s">
        <v>359</v>
      </c>
      <c r="C68" s="28" t="s">
        <v>132</v>
      </c>
      <c r="D68" s="28" t="s">
        <v>286</v>
      </c>
      <c r="E68" s="28" t="s">
        <v>121</v>
      </c>
      <c r="F68" s="28" t="s">
        <v>21</v>
      </c>
      <c r="G68" s="28" t="s">
        <v>149</v>
      </c>
      <c r="H68" s="28" t="s">
        <v>287</v>
      </c>
      <c r="I68" s="28" t="s">
        <v>359</v>
      </c>
      <c r="J68" s="28" t="s">
        <v>149</v>
      </c>
      <c r="K68" s="28" t="s">
        <v>360</v>
      </c>
      <c r="L68" s="28" t="s">
        <v>138</v>
      </c>
      <c r="M68" s="28" t="s">
        <v>357</v>
      </c>
      <c r="N68" s="28" t="s">
        <v>290</v>
      </c>
      <c r="O68" s="28" t="s">
        <v>291</v>
      </c>
      <c r="P68" s="28" t="s">
        <v>30</v>
      </c>
    </row>
    <row r="69" spans="1:16" x14ac:dyDescent="0.25">
      <c r="A69" s="28" t="s">
        <v>361</v>
      </c>
      <c r="B69" s="28" t="s">
        <v>362</v>
      </c>
      <c r="C69" s="28" t="s">
        <v>132</v>
      </c>
      <c r="D69" s="28" t="s">
        <v>286</v>
      </c>
      <c r="E69" s="28" t="s">
        <v>121</v>
      </c>
      <c r="F69" s="28" t="s">
        <v>21</v>
      </c>
      <c r="G69" s="28" t="s">
        <v>135</v>
      </c>
      <c r="H69" s="28" t="s">
        <v>287</v>
      </c>
      <c r="I69" s="28" t="s">
        <v>362</v>
      </c>
      <c r="J69" s="28" t="s">
        <v>135</v>
      </c>
      <c r="K69" s="28" t="s">
        <v>363</v>
      </c>
      <c r="L69" s="28" t="s">
        <v>138</v>
      </c>
      <c r="M69" s="28" t="s">
        <v>364</v>
      </c>
      <c r="N69" s="28" t="s">
        <v>290</v>
      </c>
      <c r="O69" s="28" t="s">
        <v>291</v>
      </c>
      <c r="P69" s="28" t="s">
        <v>30</v>
      </c>
    </row>
    <row r="70" spans="1:16" x14ac:dyDescent="0.25">
      <c r="A70" s="28" t="s">
        <v>365</v>
      </c>
      <c r="B70" s="28" t="s">
        <v>366</v>
      </c>
      <c r="C70" s="28" t="s">
        <v>132</v>
      </c>
      <c r="D70" s="28" t="s">
        <v>286</v>
      </c>
      <c r="E70" s="28" t="s">
        <v>121</v>
      </c>
      <c r="F70" s="28" t="s">
        <v>21</v>
      </c>
      <c r="G70" s="28" t="s">
        <v>149</v>
      </c>
      <c r="H70" s="28" t="s">
        <v>287</v>
      </c>
      <c r="I70" s="28" t="s">
        <v>366</v>
      </c>
      <c r="J70" s="28" t="s">
        <v>149</v>
      </c>
      <c r="K70" s="28" t="s">
        <v>367</v>
      </c>
      <c r="L70" s="28" t="s">
        <v>138</v>
      </c>
      <c r="M70" s="28" t="s">
        <v>364</v>
      </c>
      <c r="N70" s="28" t="s">
        <v>290</v>
      </c>
      <c r="O70" s="28" t="s">
        <v>291</v>
      </c>
      <c r="P70" s="28" t="s">
        <v>30</v>
      </c>
    </row>
    <row r="71" spans="1:16" x14ac:dyDescent="0.25">
      <c r="A71" s="28" t="s">
        <v>368</v>
      </c>
      <c r="B71" s="28" t="s">
        <v>369</v>
      </c>
      <c r="C71" s="28" t="s">
        <v>132</v>
      </c>
      <c r="D71" s="28" t="s">
        <v>286</v>
      </c>
      <c r="E71" s="28" t="s">
        <v>121</v>
      </c>
      <c r="F71" s="28" t="s">
        <v>21</v>
      </c>
      <c r="G71" s="28" t="s">
        <v>135</v>
      </c>
      <c r="H71" s="28" t="s">
        <v>287</v>
      </c>
      <c r="I71" s="28" t="s">
        <v>369</v>
      </c>
      <c r="J71" s="28" t="s">
        <v>135</v>
      </c>
      <c r="K71" s="28" t="s">
        <v>370</v>
      </c>
      <c r="L71" s="28" t="s">
        <v>138</v>
      </c>
      <c r="M71" s="28" t="s">
        <v>371</v>
      </c>
      <c r="N71" s="28" t="s">
        <v>290</v>
      </c>
      <c r="O71" s="28" t="s">
        <v>291</v>
      </c>
      <c r="P71" s="28" t="s">
        <v>30</v>
      </c>
    </row>
    <row r="72" spans="1:16" x14ac:dyDescent="0.25">
      <c r="A72" s="28" t="s">
        <v>372</v>
      </c>
      <c r="B72" s="28" t="s">
        <v>373</v>
      </c>
      <c r="C72" s="28" t="s">
        <v>132</v>
      </c>
      <c r="D72" s="28" t="s">
        <v>286</v>
      </c>
      <c r="E72" s="28" t="s">
        <v>121</v>
      </c>
      <c r="F72" s="28" t="s">
        <v>21</v>
      </c>
      <c r="G72" s="28" t="s">
        <v>149</v>
      </c>
      <c r="H72" s="28" t="s">
        <v>287</v>
      </c>
      <c r="I72" s="28" t="s">
        <v>373</v>
      </c>
      <c r="J72" s="28" t="s">
        <v>149</v>
      </c>
      <c r="K72" s="28" t="s">
        <v>374</v>
      </c>
      <c r="L72" s="28" t="s">
        <v>138</v>
      </c>
      <c r="M72" s="28" t="s">
        <v>371</v>
      </c>
      <c r="N72" s="28" t="s">
        <v>290</v>
      </c>
      <c r="O72" s="28" t="s">
        <v>291</v>
      </c>
      <c r="P72" s="28" t="s">
        <v>30</v>
      </c>
    </row>
    <row r="73" spans="1:16" x14ac:dyDescent="0.25">
      <c r="A73" s="28" t="s">
        <v>375</v>
      </c>
      <c r="B73" s="28" t="s">
        <v>376</v>
      </c>
      <c r="C73" s="28" t="s">
        <v>132</v>
      </c>
      <c r="D73" s="28" t="s">
        <v>286</v>
      </c>
      <c r="E73" s="28" t="s">
        <v>121</v>
      </c>
      <c r="F73" s="28" t="s">
        <v>21</v>
      </c>
      <c r="G73" s="28" t="s">
        <v>135</v>
      </c>
      <c r="H73" s="28" t="s">
        <v>287</v>
      </c>
      <c r="I73" s="28" t="s">
        <v>376</v>
      </c>
      <c r="J73" s="28" t="s">
        <v>135</v>
      </c>
      <c r="K73" s="28" t="s">
        <v>377</v>
      </c>
      <c r="L73" s="28" t="s">
        <v>138</v>
      </c>
      <c r="M73" s="28" t="s">
        <v>378</v>
      </c>
      <c r="N73" s="28" t="s">
        <v>290</v>
      </c>
      <c r="O73" s="28" t="s">
        <v>291</v>
      </c>
      <c r="P73" s="28" t="s">
        <v>30</v>
      </c>
    </row>
    <row r="74" spans="1:16" x14ac:dyDescent="0.25">
      <c r="A74" s="28" t="s">
        <v>379</v>
      </c>
      <c r="B74" s="28" t="s">
        <v>380</v>
      </c>
      <c r="C74" s="28" t="s">
        <v>132</v>
      </c>
      <c r="D74" s="28" t="s">
        <v>286</v>
      </c>
      <c r="E74" s="28" t="s">
        <v>121</v>
      </c>
      <c r="F74" s="28" t="s">
        <v>21</v>
      </c>
      <c r="G74" s="28" t="s">
        <v>149</v>
      </c>
      <c r="H74" s="28" t="s">
        <v>287</v>
      </c>
      <c r="I74" s="28" t="s">
        <v>380</v>
      </c>
      <c r="J74" s="28" t="s">
        <v>149</v>
      </c>
      <c r="K74" s="28" t="s">
        <v>381</v>
      </c>
      <c r="L74" s="28" t="s">
        <v>138</v>
      </c>
      <c r="M74" s="28" t="s">
        <v>378</v>
      </c>
      <c r="N74" s="28" t="s">
        <v>290</v>
      </c>
      <c r="O74" s="28" t="s">
        <v>291</v>
      </c>
      <c r="P74" s="28" t="s">
        <v>30</v>
      </c>
    </row>
    <row r="75" spans="1:16" x14ac:dyDescent="0.25">
      <c r="A75" s="28" t="s">
        <v>382</v>
      </c>
      <c r="B75" s="28" t="s">
        <v>383</v>
      </c>
      <c r="C75" s="28" t="s">
        <v>132</v>
      </c>
      <c r="D75" s="28" t="s">
        <v>286</v>
      </c>
      <c r="E75" s="28" t="s">
        <v>121</v>
      </c>
      <c r="F75" s="28" t="s">
        <v>21</v>
      </c>
      <c r="G75" s="28" t="s">
        <v>135</v>
      </c>
      <c r="H75" s="28" t="s">
        <v>287</v>
      </c>
      <c r="I75" s="28" t="s">
        <v>383</v>
      </c>
      <c r="J75" s="28" t="s">
        <v>135</v>
      </c>
      <c r="K75" s="28" t="s">
        <v>384</v>
      </c>
      <c r="L75" s="28" t="s">
        <v>138</v>
      </c>
      <c r="M75" s="28" t="s">
        <v>385</v>
      </c>
      <c r="N75" s="28" t="s">
        <v>290</v>
      </c>
      <c r="O75" s="28" t="s">
        <v>291</v>
      </c>
      <c r="P75" s="28" t="s">
        <v>30</v>
      </c>
    </row>
    <row r="76" spans="1:16" x14ac:dyDescent="0.25">
      <c r="A76" s="28" t="s">
        <v>386</v>
      </c>
      <c r="B76" s="28" t="s">
        <v>387</v>
      </c>
      <c r="C76" s="28" t="s">
        <v>132</v>
      </c>
      <c r="D76" s="28" t="s">
        <v>286</v>
      </c>
      <c r="E76" s="28" t="s">
        <v>121</v>
      </c>
      <c r="F76" s="28" t="s">
        <v>21</v>
      </c>
      <c r="G76" s="28" t="s">
        <v>149</v>
      </c>
      <c r="H76" s="28" t="s">
        <v>287</v>
      </c>
      <c r="I76" s="28" t="s">
        <v>387</v>
      </c>
      <c r="J76" s="28" t="s">
        <v>149</v>
      </c>
      <c r="K76" s="28" t="s">
        <v>388</v>
      </c>
      <c r="L76" s="28" t="s">
        <v>138</v>
      </c>
      <c r="M76" s="28" t="s">
        <v>385</v>
      </c>
      <c r="N76" s="28" t="s">
        <v>290</v>
      </c>
      <c r="O76" s="28" t="s">
        <v>291</v>
      </c>
      <c r="P76" s="28" t="s">
        <v>30</v>
      </c>
    </row>
    <row r="77" spans="1:16" x14ac:dyDescent="0.25">
      <c r="A77" s="28" t="s">
        <v>389</v>
      </c>
      <c r="B77" s="28" t="s">
        <v>390</v>
      </c>
      <c r="C77" s="28" t="s">
        <v>132</v>
      </c>
      <c r="D77" s="28" t="s">
        <v>391</v>
      </c>
      <c r="E77" s="28" t="s">
        <v>392</v>
      </c>
      <c r="F77" s="28" t="s">
        <v>21</v>
      </c>
      <c r="G77" s="28" t="s">
        <v>149</v>
      </c>
      <c r="H77" s="28" t="s">
        <v>393</v>
      </c>
      <c r="I77" s="28" t="s">
        <v>390</v>
      </c>
      <c r="J77" s="28" t="s">
        <v>149</v>
      </c>
      <c r="K77" s="28" t="s">
        <v>394</v>
      </c>
      <c r="L77" s="28" t="s">
        <v>138</v>
      </c>
      <c r="M77" s="28" t="s">
        <v>395</v>
      </c>
      <c r="N77" s="28" t="s">
        <v>396</v>
      </c>
      <c r="O77" s="28" t="s">
        <v>397</v>
      </c>
      <c r="P77" s="28" t="s">
        <v>30</v>
      </c>
    </row>
    <row r="78" spans="1:16" x14ac:dyDescent="0.25">
      <c r="A78" s="28" t="s">
        <v>398</v>
      </c>
      <c r="B78" s="28" t="s">
        <v>399</v>
      </c>
      <c r="C78" s="28" t="s">
        <v>132</v>
      </c>
      <c r="D78" s="28" t="s">
        <v>391</v>
      </c>
      <c r="E78" s="28" t="s">
        <v>400</v>
      </c>
      <c r="F78" s="28" t="s">
        <v>21</v>
      </c>
      <c r="G78" s="28" t="s">
        <v>149</v>
      </c>
      <c r="H78" s="28" t="s">
        <v>393</v>
      </c>
      <c r="I78" s="28" t="s">
        <v>399</v>
      </c>
      <c r="J78" s="28" t="s">
        <v>149</v>
      </c>
      <c r="K78" s="28" t="s">
        <v>401</v>
      </c>
      <c r="L78" s="28" t="s">
        <v>138</v>
      </c>
      <c r="M78" s="28" t="s">
        <v>402</v>
      </c>
      <c r="N78" s="28" t="s">
        <v>396</v>
      </c>
      <c r="O78" s="28" t="s">
        <v>397</v>
      </c>
      <c r="P78" s="28" t="s">
        <v>30</v>
      </c>
    </row>
    <row r="79" spans="1:16" x14ac:dyDescent="0.25">
      <c r="A79" s="28" t="s">
        <v>403</v>
      </c>
      <c r="B79" s="28" t="s">
        <v>404</v>
      </c>
      <c r="C79" s="28" t="s">
        <v>132</v>
      </c>
      <c r="D79" s="28" t="s">
        <v>391</v>
      </c>
      <c r="E79" s="28" t="s">
        <v>405</v>
      </c>
      <c r="F79" s="28" t="s">
        <v>21</v>
      </c>
      <c r="G79" s="28" t="s">
        <v>149</v>
      </c>
      <c r="H79" s="28" t="s">
        <v>393</v>
      </c>
      <c r="I79" s="28" t="s">
        <v>404</v>
      </c>
      <c r="J79" s="28" t="s">
        <v>149</v>
      </c>
      <c r="K79" s="28" t="s">
        <v>406</v>
      </c>
      <c r="L79" s="28" t="s">
        <v>138</v>
      </c>
      <c r="M79" s="28" t="s">
        <v>407</v>
      </c>
      <c r="N79" s="28" t="s">
        <v>396</v>
      </c>
      <c r="O79" s="28" t="s">
        <v>397</v>
      </c>
      <c r="P79" s="28" t="s">
        <v>30</v>
      </c>
    </row>
    <row r="80" spans="1:16" x14ac:dyDescent="0.25">
      <c r="A80" s="28" t="s">
        <v>408</v>
      </c>
      <c r="B80" s="28" t="s">
        <v>409</v>
      </c>
      <c r="C80" s="28" t="s">
        <v>132</v>
      </c>
      <c r="D80" s="28" t="s">
        <v>391</v>
      </c>
      <c r="E80" s="28" t="s">
        <v>410</v>
      </c>
      <c r="F80" s="28" t="s">
        <v>21</v>
      </c>
      <c r="G80" s="28" t="s">
        <v>149</v>
      </c>
      <c r="H80" s="28" t="s">
        <v>411</v>
      </c>
      <c r="I80" s="28" t="s">
        <v>409</v>
      </c>
      <c r="J80" s="28" t="s">
        <v>149</v>
      </c>
      <c r="K80" s="28" t="s">
        <v>412</v>
      </c>
      <c r="L80" s="28" t="s">
        <v>138</v>
      </c>
      <c r="M80" s="28" t="s">
        <v>413</v>
      </c>
      <c r="N80" s="28" t="s">
        <v>414</v>
      </c>
      <c r="O80" s="28" t="s">
        <v>415</v>
      </c>
      <c r="P80" s="28" t="s">
        <v>30</v>
      </c>
    </row>
    <row r="81" spans="1:16" x14ac:dyDescent="0.25">
      <c r="A81" s="28" t="s">
        <v>416</v>
      </c>
      <c r="B81" s="28" t="s">
        <v>417</v>
      </c>
      <c r="C81" s="28" t="s">
        <v>132</v>
      </c>
      <c r="D81" s="28" t="s">
        <v>391</v>
      </c>
      <c r="E81" s="28" t="s">
        <v>418</v>
      </c>
      <c r="F81" s="28" t="s">
        <v>21</v>
      </c>
      <c r="G81" s="28" t="s">
        <v>149</v>
      </c>
      <c r="H81" s="28" t="s">
        <v>411</v>
      </c>
      <c r="I81" s="28" t="s">
        <v>417</v>
      </c>
      <c r="J81" s="28" t="s">
        <v>149</v>
      </c>
      <c r="K81" s="28" t="s">
        <v>419</v>
      </c>
      <c r="L81" s="28" t="s">
        <v>138</v>
      </c>
      <c r="M81" s="28" t="s">
        <v>420</v>
      </c>
      <c r="N81" s="28" t="s">
        <v>414</v>
      </c>
      <c r="O81" s="28" t="s">
        <v>415</v>
      </c>
      <c r="P81" s="28" t="s">
        <v>30</v>
      </c>
    </row>
    <row r="82" spans="1:16" x14ac:dyDescent="0.25">
      <c r="A82" s="28" t="s">
        <v>421</v>
      </c>
      <c r="B82" s="28" t="s">
        <v>422</v>
      </c>
      <c r="C82" s="28" t="s">
        <v>132</v>
      </c>
      <c r="D82" s="28" t="s">
        <v>391</v>
      </c>
      <c r="E82" s="28" t="s">
        <v>423</v>
      </c>
      <c r="F82" s="28" t="s">
        <v>21</v>
      </c>
      <c r="G82" s="28" t="s">
        <v>149</v>
      </c>
      <c r="H82" s="28" t="s">
        <v>411</v>
      </c>
      <c r="I82" s="28" t="s">
        <v>422</v>
      </c>
      <c r="J82" s="28" t="s">
        <v>149</v>
      </c>
      <c r="K82" s="28" t="s">
        <v>424</v>
      </c>
      <c r="L82" s="28" t="s">
        <v>138</v>
      </c>
      <c r="M82" s="28" t="s">
        <v>425</v>
      </c>
      <c r="N82" s="28" t="s">
        <v>414</v>
      </c>
      <c r="O82" s="28" t="s">
        <v>415</v>
      </c>
      <c r="P82" s="28" t="s">
        <v>30</v>
      </c>
    </row>
    <row r="83" spans="1:16" x14ac:dyDescent="0.25">
      <c r="A83" s="28" t="s">
        <v>426</v>
      </c>
      <c r="B83" s="28" t="s">
        <v>427</v>
      </c>
      <c r="C83" s="28" t="s">
        <v>132</v>
      </c>
      <c r="D83" s="28" t="s">
        <v>391</v>
      </c>
      <c r="E83" s="28" t="s">
        <v>428</v>
      </c>
      <c r="F83" s="28" t="s">
        <v>21</v>
      </c>
      <c r="G83" s="28" t="s">
        <v>149</v>
      </c>
      <c r="H83" s="28" t="s">
        <v>411</v>
      </c>
      <c r="I83" s="28" t="s">
        <v>427</v>
      </c>
      <c r="J83" s="28" t="s">
        <v>149</v>
      </c>
      <c r="K83" s="28" t="s">
        <v>429</v>
      </c>
      <c r="L83" s="28" t="s">
        <v>138</v>
      </c>
      <c r="M83" s="28" t="s">
        <v>430</v>
      </c>
      <c r="N83" s="28" t="s">
        <v>414</v>
      </c>
      <c r="O83" s="28" t="s">
        <v>415</v>
      </c>
      <c r="P83" s="28" t="s">
        <v>30</v>
      </c>
    </row>
    <row r="84" spans="1:16" x14ac:dyDescent="0.25">
      <c r="A84" s="28" t="s">
        <v>431</v>
      </c>
      <c r="B84" s="28" t="s">
        <v>432</v>
      </c>
      <c r="C84" s="28" t="s">
        <v>132</v>
      </c>
      <c r="D84" s="28" t="s">
        <v>391</v>
      </c>
      <c r="E84" s="28" t="s">
        <v>433</v>
      </c>
      <c r="F84" s="28" t="s">
        <v>21</v>
      </c>
      <c r="G84" s="28" t="s">
        <v>149</v>
      </c>
      <c r="H84" s="28" t="s">
        <v>411</v>
      </c>
      <c r="I84" s="28" t="s">
        <v>432</v>
      </c>
      <c r="J84" s="28" t="s">
        <v>149</v>
      </c>
      <c r="K84" s="28" t="s">
        <v>434</v>
      </c>
      <c r="L84" s="28" t="s">
        <v>138</v>
      </c>
      <c r="M84" s="28" t="s">
        <v>435</v>
      </c>
      <c r="N84" s="28" t="s">
        <v>414</v>
      </c>
      <c r="O84" s="28" t="s">
        <v>415</v>
      </c>
      <c r="P84" s="28" t="s">
        <v>30</v>
      </c>
    </row>
    <row r="85" spans="1:16" x14ac:dyDescent="0.25">
      <c r="A85" s="28" t="s">
        <v>436</v>
      </c>
      <c r="B85" s="28" t="s">
        <v>437</v>
      </c>
      <c r="C85" s="28" t="s">
        <v>132</v>
      </c>
      <c r="D85" s="28" t="s">
        <v>391</v>
      </c>
      <c r="E85" s="28" t="s">
        <v>438</v>
      </c>
      <c r="F85" s="28" t="s">
        <v>21</v>
      </c>
      <c r="G85" s="28" t="s">
        <v>149</v>
      </c>
      <c r="H85" s="28" t="s">
        <v>439</v>
      </c>
      <c r="I85" s="28" t="s">
        <v>437</v>
      </c>
      <c r="J85" s="28" t="s">
        <v>149</v>
      </c>
      <c r="K85" s="28" t="s">
        <v>440</v>
      </c>
      <c r="L85" s="28" t="s">
        <v>138</v>
      </c>
      <c r="M85" s="28" t="s">
        <v>441</v>
      </c>
      <c r="N85" s="28" t="s">
        <v>442</v>
      </c>
      <c r="O85" s="28" t="s">
        <v>443</v>
      </c>
      <c r="P85" s="28" t="s">
        <v>30</v>
      </c>
    </row>
    <row r="86" spans="1:16" x14ac:dyDescent="0.25">
      <c r="A86" s="28" t="s">
        <v>444</v>
      </c>
      <c r="B86" s="28" t="s">
        <v>445</v>
      </c>
      <c r="C86" s="28" t="s">
        <v>132</v>
      </c>
      <c r="D86" s="28" t="s">
        <v>391</v>
      </c>
      <c r="E86" s="28" t="s">
        <v>446</v>
      </c>
      <c r="F86" s="28" t="s">
        <v>21</v>
      </c>
      <c r="G86" s="28" t="s">
        <v>149</v>
      </c>
      <c r="H86" s="28" t="s">
        <v>439</v>
      </c>
      <c r="I86" s="28" t="s">
        <v>445</v>
      </c>
      <c r="J86" s="28" t="s">
        <v>149</v>
      </c>
      <c r="K86" s="28" t="s">
        <v>447</v>
      </c>
      <c r="L86" s="28" t="s">
        <v>138</v>
      </c>
      <c r="M86" s="28" t="s">
        <v>448</v>
      </c>
      <c r="N86" s="28" t="s">
        <v>442</v>
      </c>
      <c r="O86" s="28" t="s">
        <v>443</v>
      </c>
      <c r="P86" s="28" t="s">
        <v>30</v>
      </c>
    </row>
    <row r="87" spans="1:16" x14ac:dyDescent="0.25">
      <c r="A87" s="28" t="s">
        <v>449</v>
      </c>
      <c r="B87" s="28" t="s">
        <v>450</v>
      </c>
      <c r="C87" s="28" t="s">
        <v>132</v>
      </c>
      <c r="D87" s="28" t="s">
        <v>391</v>
      </c>
      <c r="E87" s="28" t="s">
        <v>451</v>
      </c>
      <c r="F87" s="28" t="s">
        <v>21</v>
      </c>
      <c r="G87" s="28" t="s">
        <v>149</v>
      </c>
      <c r="H87" s="28" t="s">
        <v>439</v>
      </c>
      <c r="I87" s="28" t="s">
        <v>450</v>
      </c>
      <c r="J87" s="28" t="s">
        <v>149</v>
      </c>
      <c r="K87" s="28" t="s">
        <v>452</v>
      </c>
      <c r="L87" s="28" t="s">
        <v>138</v>
      </c>
      <c r="M87" s="28" t="s">
        <v>453</v>
      </c>
      <c r="N87" s="28" t="s">
        <v>442</v>
      </c>
      <c r="O87" s="28" t="s">
        <v>443</v>
      </c>
      <c r="P87" s="28" t="s">
        <v>30</v>
      </c>
    </row>
    <row r="88" spans="1:16" x14ac:dyDescent="0.25">
      <c r="A88" s="28" t="s">
        <v>454</v>
      </c>
      <c r="B88" s="28" t="s">
        <v>455</v>
      </c>
      <c r="C88" s="28" t="s">
        <v>132</v>
      </c>
      <c r="D88" s="28" t="s">
        <v>391</v>
      </c>
      <c r="E88" s="28" t="s">
        <v>456</v>
      </c>
      <c r="F88" s="28" t="s">
        <v>21</v>
      </c>
      <c r="G88" s="28" t="s">
        <v>149</v>
      </c>
      <c r="H88" s="28" t="s">
        <v>457</v>
      </c>
      <c r="I88" s="28" t="s">
        <v>455</v>
      </c>
      <c r="J88" s="28" t="s">
        <v>149</v>
      </c>
      <c r="K88" s="28" t="s">
        <v>458</v>
      </c>
      <c r="L88" s="28" t="s">
        <v>138</v>
      </c>
      <c r="M88" s="28" t="s">
        <v>459</v>
      </c>
      <c r="N88" s="28" t="s">
        <v>460</v>
      </c>
      <c r="O88" s="28" t="s">
        <v>461</v>
      </c>
      <c r="P88" s="28" t="s">
        <v>30</v>
      </c>
    </row>
    <row r="89" spans="1:16" x14ac:dyDescent="0.25">
      <c r="A89" s="28" t="s">
        <v>462</v>
      </c>
      <c r="B89" s="28" t="s">
        <v>463</v>
      </c>
      <c r="C89" s="28" t="s">
        <v>132</v>
      </c>
      <c r="D89" s="28" t="s">
        <v>391</v>
      </c>
      <c r="E89" s="28" t="s">
        <v>464</v>
      </c>
      <c r="F89" s="28" t="s">
        <v>21</v>
      </c>
      <c r="G89" s="28" t="s">
        <v>149</v>
      </c>
      <c r="H89" s="28" t="s">
        <v>457</v>
      </c>
      <c r="I89" s="28" t="s">
        <v>463</v>
      </c>
      <c r="J89" s="28" t="s">
        <v>149</v>
      </c>
      <c r="K89" s="28" t="s">
        <v>465</v>
      </c>
      <c r="L89" s="28" t="s">
        <v>138</v>
      </c>
      <c r="M89" s="28" t="s">
        <v>466</v>
      </c>
      <c r="N89" s="28" t="s">
        <v>460</v>
      </c>
      <c r="O89" s="28" t="s">
        <v>461</v>
      </c>
      <c r="P89" s="28" t="s">
        <v>30</v>
      </c>
    </row>
    <row r="90" spans="1:16" x14ac:dyDescent="0.25">
      <c r="A90" s="28" t="s">
        <v>467</v>
      </c>
      <c r="B90" s="28" t="s">
        <v>468</v>
      </c>
      <c r="C90" s="28" t="s">
        <v>132</v>
      </c>
      <c r="D90" s="28" t="s">
        <v>391</v>
      </c>
      <c r="E90" s="28" t="s">
        <v>469</v>
      </c>
      <c r="F90" s="28" t="s">
        <v>21</v>
      </c>
      <c r="G90" s="28" t="s">
        <v>149</v>
      </c>
      <c r="H90" s="28" t="s">
        <v>457</v>
      </c>
      <c r="I90" s="28" t="s">
        <v>468</v>
      </c>
      <c r="J90" s="28" t="s">
        <v>149</v>
      </c>
      <c r="K90" s="28" t="s">
        <v>470</v>
      </c>
      <c r="L90" s="28" t="s">
        <v>138</v>
      </c>
      <c r="M90" s="28" t="s">
        <v>471</v>
      </c>
      <c r="N90" s="28" t="s">
        <v>460</v>
      </c>
      <c r="O90" s="28" t="s">
        <v>461</v>
      </c>
      <c r="P90" s="28" t="s">
        <v>30</v>
      </c>
    </row>
    <row r="91" spans="1:16" x14ac:dyDescent="0.25">
      <c r="A91" s="28" t="s">
        <v>472</v>
      </c>
      <c r="B91" s="28" t="s">
        <v>473</v>
      </c>
      <c r="C91" s="28" t="s">
        <v>132</v>
      </c>
      <c r="D91" s="28" t="s">
        <v>391</v>
      </c>
      <c r="E91" s="28" t="s">
        <v>474</v>
      </c>
      <c r="F91" s="28" t="s">
        <v>21</v>
      </c>
      <c r="G91" s="28" t="s">
        <v>149</v>
      </c>
      <c r="H91" s="28" t="s">
        <v>457</v>
      </c>
      <c r="I91" s="28" t="s">
        <v>473</v>
      </c>
      <c r="J91" s="28" t="s">
        <v>149</v>
      </c>
      <c r="K91" s="28" t="s">
        <v>475</v>
      </c>
      <c r="L91" s="28" t="s">
        <v>138</v>
      </c>
      <c r="M91" s="28" t="s">
        <v>476</v>
      </c>
      <c r="N91" s="28" t="s">
        <v>460</v>
      </c>
      <c r="O91" s="28" t="s">
        <v>461</v>
      </c>
      <c r="P91" s="28" t="s">
        <v>30</v>
      </c>
    </row>
    <row r="92" spans="1:16" x14ac:dyDescent="0.25">
      <c r="A92" s="28" t="s">
        <v>477</v>
      </c>
      <c r="B92" s="28" t="s">
        <v>478</v>
      </c>
      <c r="C92" s="28" t="s">
        <v>132</v>
      </c>
      <c r="D92" s="28" t="s">
        <v>391</v>
      </c>
      <c r="E92" s="28" t="s">
        <v>479</v>
      </c>
      <c r="F92" s="28" t="s">
        <v>21</v>
      </c>
      <c r="G92" s="28" t="s">
        <v>149</v>
      </c>
      <c r="H92" s="28" t="s">
        <v>480</v>
      </c>
      <c r="I92" s="28" t="s">
        <v>478</v>
      </c>
      <c r="J92" s="28" t="s">
        <v>149</v>
      </c>
      <c r="K92" s="28" t="s">
        <v>481</v>
      </c>
      <c r="L92" s="28" t="s">
        <v>138</v>
      </c>
      <c r="M92" s="28" t="s">
        <v>482</v>
      </c>
      <c r="N92" s="28" t="s">
        <v>483</v>
      </c>
      <c r="O92" s="28" t="s">
        <v>484</v>
      </c>
      <c r="P92" s="28" t="s">
        <v>30</v>
      </c>
    </row>
    <row r="93" spans="1:16" x14ac:dyDescent="0.25">
      <c r="A93" s="28" t="s">
        <v>485</v>
      </c>
      <c r="B93" s="28" t="s">
        <v>486</v>
      </c>
      <c r="C93" s="28" t="s">
        <v>132</v>
      </c>
      <c r="D93" s="28" t="s">
        <v>391</v>
      </c>
      <c r="E93" s="28" t="s">
        <v>487</v>
      </c>
      <c r="F93" s="28" t="s">
        <v>21</v>
      </c>
      <c r="G93" s="28" t="s">
        <v>149</v>
      </c>
      <c r="H93" s="28" t="s">
        <v>480</v>
      </c>
      <c r="I93" s="28" t="s">
        <v>486</v>
      </c>
      <c r="J93" s="28" t="s">
        <v>149</v>
      </c>
      <c r="K93" s="28" t="s">
        <v>488</v>
      </c>
      <c r="L93" s="28" t="s">
        <v>138</v>
      </c>
      <c r="M93" s="28" t="s">
        <v>489</v>
      </c>
      <c r="N93" s="28" t="s">
        <v>483</v>
      </c>
      <c r="O93" s="28" t="s">
        <v>484</v>
      </c>
      <c r="P93" s="28" t="s">
        <v>30</v>
      </c>
    </row>
    <row r="94" spans="1:16" x14ac:dyDescent="0.25">
      <c r="A94" s="28" t="s">
        <v>490</v>
      </c>
      <c r="B94" s="28" t="s">
        <v>491</v>
      </c>
      <c r="C94" s="28" t="s">
        <v>132</v>
      </c>
      <c r="D94" s="28" t="s">
        <v>391</v>
      </c>
      <c r="E94" s="28" t="s">
        <v>492</v>
      </c>
      <c r="F94" s="28" t="s">
        <v>21</v>
      </c>
      <c r="G94" s="28" t="s">
        <v>149</v>
      </c>
      <c r="H94" s="28" t="s">
        <v>480</v>
      </c>
      <c r="I94" s="28" t="s">
        <v>491</v>
      </c>
      <c r="J94" s="28" t="s">
        <v>149</v>
      </c>
      <c r="K94" s="28" t="s">
        <v>493</v>
      </c>
      <c r="L94" s="28" t="s">
        <v>138</v>
      </c>
      <c r="M94" s="28" t="s">
        <v>494</v>
      </c>
      <c r="N94" s="28" t="s">
        <v>483</v>
      </c>
      <c r="O94" s="28" t="s">
        <v>484</v>
      </c>
      <c r="P94" s="28" t="s">
        <v>30</v>
      </c>
    </row>
    <row r="95" spans="1:16" x14ac:dyDescent="0.25">
      <c r="A95" s="28" t="s">
        <v>495</v>
      </c>
      <c r="B95" s="28" t="s">
        <v>496</v>
      </c>
      <c r="C95" s="28" t="s">
        <v>132</v>
      </c>
      <c r="D95" s="28" t="s">
        <v>391</v>
      </c>
      <c r="E95" s="28" t="s">
        <v>497</v>
      </c>
      <c r="F95" s="28" t="s">
        <v>21</v>
      </c>
      <c r="G95" s="28" t="s">
        <v>149</v>
      </c>
      <c r="H95" s="28" t="s">
        <v>480</v>
      </c>
      <c r="I95" s="28" t="s">
        <v>496</v>
      </c>
      <c r="J95" s="28" t="s">
        <v>149</v>
      </c>
      <c r="K95" s="28" t="s">
        <v>498</v>
      </c>
      <c r="L95" s="28" t="s">
        <v>138</v>
      </c>
      <c r="M95" s="28" t="s">
        <v>499</v>
      </c>
      <c r="N95" s="28" t="s">
        <v>483</v>
      </c>
      <c r="O95" s="28" t="s">
        <v>484</v>
      </c>
      <c r="P95" s="28" t="s">
        <v>30</v>
      </c>
    </row>
    <row r="96" spans="1:16" x14ac:dyDescent="0.25">
      <c r="A96" s="28" t="s">
        <v>500</v>
      </c>
      <c r="B96" s="28" t="s">
        <v>501</v>
      </c>
      <c r="C96" s="28" t="s">
        <v>132</v>
      </c>
      <c r="D96" s="28" t="s">
        <v>391</v>
      </c>
      <c r="E96" s="28" t="s">
        <v>502</v>
      </c>
      <c r="F96" s="28" t="s">
        <v>21</v>
      </c>
      <c r="G96" s="28" t="s">
        <v>149</v>
      </c>
      <c r="H96" s="28" t="s">
        <v>503</v>
      </c>
      <c r="I96" s="28" t="s">
        <v>501</v>
      </c>
      <c r="J96" s="28" t="s">
        <v>149</v>
      </c>
      <c r="K96" s="28" t="s">
        <v>504</v>
      </c>
      <c r="L96" s="28" t="s">
        <v>138</v>
      </c>
      <c r="M96" s="28" t="s">
        <v>505</v>
      </c>
      <c r="N96" s="28" t="s">
        <v>506</v>
      </c>
      <c r="O96" s="28" t="s">
        <v>507</v>
      </c>
      <c r="P96" s="28" t="s">
        <v>30</v>
      </c>
    </row>
    <row r="97" spans="1:16" x14ac:dyDescent="0.25">
      <c r="A97" s="28" t="s">
        <v>508</v>
      </c>
      <c r="B97" s="28" t="s">
        <v>509</v>
      </c>
      <c r="C97" s="28" t="s">
        <v>132</v>
      </c>
      <c r="D97" s="28" t="s">
        <v>391</v>
      </c>
      <c r="E97" s="28" t="s">
        <v>510</v>
      </c>
      <c r="F97" s="28" t="s">
        <v>21</v>
      </c>
      <c r="G97" s="28" t="s">
        <v>149</v>
      </c>
      <c r="H97" s="28" t="s">
        <v>503</v>
      </c>
      <c r="I97" s="28" t="s">
        <v>509</v>
      </c>
      <c r="J97" s="28" t="s">
        <v>149</v>
      </c>
      <c r="K97" s="28" t="s">
        <v>511</v>
      </c>
      <c r="L97" s="28" t="s">
        <v>138</v>
      </c>
      <c r="M97" s="28" t="s">
        <v>512</v>
      </c>
      <c r="N97" s="28" t="s">
        <v>506</v>
      </c>
      <c r="O97" s="28" t="s">
        <v>507</v>
      </c>
      <c r="P97" s="28" t="s">
        <v>30</v>
      </c>
    </row>
    <row r="98" spans="1:16" x14ac:dyDescent="0.25">
      <c r="A98" s="28" t="s">
        <v>513</v>
      </c>
      <c r="B98" s="28" t="s">
        <v>514</v>
      </c>
      <c r="C98" s="28" t="s">
        <v>132</v>
      </c>
      <c r="D98" s="28" t="s">
        <v>391</v>
      </c>
      <c r="E98" s="28" t="s">
        <v>515</v>
      </c>
      <c r="F98" s="28" t="s">
        <v>21</v>
      </c>
      <c r="G98" s="28" t="s">
        <v>149</v>
      </c>
      <c r="H98" s="28" t="s">
        <v>503</v>
      </c>
      <c r="I98" s="28" t="s">
        <v>514</v>
      </c>
      <c r="J98" s="28" t="s">
        <v>149</v>
      </c>
      <c r="K98" s="28" t="s">
        <v>516</v>
      </c>
      <c r="L98" s="28" t="s">
        <v>138</v>
      </c>
      <c r="M98" s="28" t="s">
        <v>517</v>
      </c>
      <c r="N98" s="28" t="s">
        <v>506</v>
      </c>
      <c r="O98" s="28" t="s">
        <v>507</v>
      </c>
      <c r="P98" s="28" t="s">
        <v>30</v>
      </c>
    </row>
    <row r="99" spans="1:16" x14ac:dyDescent="0.25">
      <c r="A99" s="28" t="s">
        <v>518</v>
      </c>
      <c r="B99" s="28" t="s">
        <v>519</v>
      </c>
      <c r="C99" s="28" t="s">
        <v>132</v>
      </c>
      <c r="D99" s="28" t="s">
        <v>391</v>
      </c>
      <c r="E99" s="28" t="s">
        <v>520</v>
      </c>
      <c r="F99" s="28" t="s">
        <v>21</v>
      </c>
      <c r="G99" s="28" t="s">
        <v>149</v>
      </c>
      <c r="H99" s="28" t="s">
        <v>503</v>
      </c>
      <c r="I99" s="28" t="s">
        <v>519</v>
      </c>
      <c r="J99" s="28" t="s">
        <v>149</v>
      </c>
      <c r="K99" s="28" t="s">
        <v>521</v>
      </c>
      <c r="L99" s="28" t="s">
        <v>138</v>
      </c>
      <c r="M99" s="28" t="s">
        <v>522</v>
      </c>
      <c r="N99" s="28" t="s">
        <v>506</v>
      </c>
      <c r="O99" s="28" t="s">
        <v>507</v>
      </c>
      <c r="P99" s="28" t="s">
        <v>30</v>
      </c>
    </row>
    <row r="100" spans="1:16" x14ac:dyDescent="0.25">
      <c r="A100" s="28" t="s">
        <v>523</v>
      </c>
      <c r="B100" s="28" t="s">
        <v>524</v>
      </c>
      <c r="C100" s="28" t="s">
        <v>132</v>
      </c>
      <c r="D100" s="28" t="s">
        <v>391</v>
      </c>
      <c r="E100" s="28" t="s">
        <v>525</v>
      </c>
      <c r="F100" s="28" t="s">
        <v>21</v>
      </c>
      <c r="G100" s="28" t="s">
        <v>149</v>
      </c>
      <c r="H100" s="28" t="s">
        <v>503</v>
      </c>
      <c r="I100" s="28" t="s">
        <v>524</v>
      </c>
      <c r="J100" s="28" t="s">
        <v>149</v>
      </c>
      <c r="K100" s="28" t="s">
        <v>526</v>
      </c>
      <c r="L100" s="28" t="s">
        <v>138</v>
      </c>
      <c r="M100" s="28" t="s">
        <v>527</v>
      </c>
      <c r="N100" s="28" t="s">
        <v>506</v>
      </c>
      <c r="O100" s="28" t="s">
        <v>507</v>
      </c>
      <c r="P100" s="28" t="s">
        <v>30</v>
      </c>
    </row>
    <row r="101" spans="1:16" x14ac:dyDescent="0.25">
      <c r="A101" s="28" t="s">
        <v>528</v>
      </c>
      <c r="B101" s="28" t="s">
        <v>529</v>
      </c>
      <c r="C101" s="28" t="s">
        <v>132</v>
      </c>
      <c r="D101" s="28" t="s">
        <v>391</v>
      </c>
      <c r="E101" s="28" t="s">
        <v>530</v>
      </c>
      <c r="F101" s="28" t="s">
        <v>21</v>
      </c>
      <c r="G101" s="28" t="s">
        <v>149</v>
      </c>
      <c r="H101" s="28" t="s">
        <v>503</v>
      </c>
      <c r="I101" s="28" t="s">
        <v>529</v>
      </c>
      <c r="J101" s="28" t="s">
        <v>149</v>
      </c>
      <c r="K101" s="28" t="s">
        <v>531</v>
      </c>
      <c r="L101" s="28" t="s">
        <v>138</v>
      </c>
      <c r="M101" s="28" t="s">
        <v>532</v>
      </c>
      <c r="N101" s="28" t="s">
        <v>506</v>
      </c>
      <c r="O101" s="28" t="s">
        <v>507</v>
      </c>
      <c r="P101" s="28" t="s">
        <v>30</v>
      </c>
    </row>
    <row r="102" spans="1:16" x14ac:dyDescent="0.25">
      <c r="A102" s="28" t="s">
        <v>533</v>
      </c>
      <c r="B102" s="28" t="s">
        <v>534</v>
      </c>
      <c r="C102" s="28" t="s">
        <v>132</v>
      </c>
      <c r="D102" s="28" t="s">
        <v>391</v>
      </c>
      <c r="E102" s="28" t="s">
        <v>535</v>
      </c>
      <c r="F102" s="28" t="s">
        <v>21</v>
      </c>
      <c r="G102" s="28" t="s">
        <v>149</v>
      </c>
      <c r="H102" s="28" t="s">
        <v>503</v>
      </c>
      <c r="I102" s="28" t="s">
        <v>534</v>
      </c>
      <c r="J102" s="28" t="s">
        <v>149</v>
      </c>
      <c r="K102" s="28" t="s">
        <v>536</v>
      </c>
      <c r="L102" s="28" t="s">
        <v>138</v>
      </c>
      <c r="M102" s="28" t="s">
        <v>537</v>
      </c>
      <c r="N102" s="28" t="s">
        <v>506</v>
      </c>
      <c r="O102" s="28" t="s">
        <v>507</v>
      </c>
      <c r="P102" s="28" t="s">
        <v>30</v>
      </c>
    </row>
    <row r="103" spans="1:16" x14ac:dyDescent="0.25">
      <c r="A103" s="28" t="s">
        <v>538</v>
      </c>
      <c r="B103" s="28" t="s">
        <v>539</v>
      </c>
      <c r="C103" s="28" t="s">
        <v>132</v>
      </c>
      <c r="D103" s="28" t="s">
        <v>391</v>
      </c>
      <c r="E103" s="28" t="s">
        <v>540</v>
      </c>
      <c r="F103" s="28" t="s">
        <v>21</v>
      </c>
      <c r="G103" s="28" t="s">
        <v>149</v>
      </c>
      <c r="H103" s="28" t="s">
        <v>541</v>
      </c>
      <c r="I103" s="28" t="s">
        <v>539</v>
      </c>
      <c r="J103" s="28" t="s">
        <v>149</v>
      </c>
      <c r="K103" s="28" t="s">
        <v>542</v>
      </c>
      <c r="L103" s="28" t="s">
        <v>138</v>
      </c>
      <c r="M103" s="28" t="s">
        <v>543</v>
      </c>
      <c r="N103" s="28" t="s">
        <v>544</v>
      </c>
      <c r="O103" s="28" t="s">
        <v>545</v>
      </c>
      <c r="P103" s="28" t="s">
        <v>30</v>
      </c>
    </row>
    <row r="104" spans="1:16" x14ac:dyDescent="0.25">
      <c r="A104" s="28" t="s">
        <v>546</v>
      </c>
      <c r="B104" s="28" t="s">
        <v>547</v>
      </c>
      <c r="C104" s="28" t="s">
        <v>132</v>
      </c>
      <c r="D104" s="28" t="s">
        <v>391</v>
      </c>
      <c r="E104" s="28" t="s">
        <v>548</v>
      </c>
      <c r="F104" s="28" t="s">
        <v>21</v>
      </c>
      <c r="G104" s="28" t="s">
        <v>149</v>
      </c>
      <c r="H104" s="28" t="s">
        <v>541</v>
      </c>
      <c r="I104" s="28" t="s">
        <v>547</v>
      </c>
      <c r="J104" s="28" t="s">
        <v>149</v>
      </c>
      <c r="K104" s="28" t="s">
        <v>549</v>
      </c>
      <c r="L104" s="28" t="s">
        <v>138</v>
      </c>
      <c r="M104" s="28" t="s">
        <v>550</v>
      </c>
      <c r="N104" s="28" t="s">
        <v>544</v>
      </c>
      <c r="O104" s="28" t="s">
        <v>545</v>
      </c>
      <c r="P104" s="28" t="s">
        <v>30</v>
      </c>
    </row>
    <row r="105" spans="1:16" x14ac:dyDescent="0.25">
      <c r="A105" s="28" t="s">
        <v>551</v>
      </c>
      <c r="B105" s="28" t="s">
        <v>552</v>
      </c>
      <c r="C105" s="28" t="s">
        <v>132</v>
      </c>
      <c r="D105" s="28" t="s">
        <v>391</v>
      </c>
      <c r="E105" s="28" t="s">
        <v>553</v>
      </c>
      <c r="F105" s="28" t="s">
        <v>21</v>
      </c>
      <c r="G105" s="28" t="s">
        <v>149</v>
      </c>
      <c r="H105" s="28" t="s">
        <v>541</v>
      </c>
      <c r="I105" s="28" t="s">
        <v>552</v>
      </c>
      <c r="J105" s="28" t="s">
        <v>149</v>
      </c>
      <c r="K105" s="28" t="s">
        <v>554</v>
      </c>
      <c r="L105" s="28" t="s">
        <v>138</v>
      </c>
      <c r="M105" s="28" t="s">
        <v>555</v>
      </c>
      <c r="N105" s="28" t="s">
        <v>544</v>
      </c>
      <c r="O105" s="28" t="s">
        <v>545</v>
      </c>
      <c r="P105" s="28" t="s">
        <v>30</v>
      </c>
    </row>
    <row r="106" spans="1:16" x14ac:dyDescent="0.25">
      <c r="A106" s="28" t="s">
        <v>556</v>
      </c>
      <c r="B106" s="28" t="s">
        <v>557</v>
      </c>
      <c r="C106" s="28" t="s">
        <v>132</v>
      </c>
      <c r="D106" s="28" t="s">
        <v>391</v>
      </c>
      <c r="E106" s="28" t="s">
        <v>558</v>
      </c>
      <c r="F106" s="28" t="s">
        <v>21</v>
      </c>
      <c r="G106" s="28" t="s">
        <v>149</v>
      </c>
      <c r="H106" s="28" t="s">
        <v>559</v>
      </c>
      <c r="I106" s="28" t="s">
        <v>557</v>
      </c>
      <c r="J106" s="28" t="s">
        <v>149</v>
      </c>
      <c r="K106" s="28" t="s">
        <v>560</v>
      </c>
      <c r="L106" s="28" t="s">
        <v>138</v>
      </c>
      <c r="M106" s="28" t="s">
        <v>561</v>
      </c>
      <c r="N106" s="28" t="s">
        <v>562</v>
      </c>
      <c r="O106" s="28" t="s">
        <v>563</v>
      </c>
      <c r="P106" s="28" t="s">
        <v>30</v>
      </c>
    </row>
    <row r="107" spans="1:16" x14ac:dyDescent="0.25">
      <c r="A107" s="28" t="s">
        <v>564</v>
      </c>
      <c r="B107" s="28" t="s">
        <v>565</v>
      </c>
      <c r="C107" s="28" t="s">
        <v>132</v>
      </c>
      <c r="D107" s="28" t="s">
        <v>391</v>
      </c>
      <c r="E107" s="28" t="s">
        <v>566</v>
      </c>
      <c r="F107" s="28" t="s">
        <v>21</v>
      </c>
      <c r="G107" s="28" t="s">
        <v>149</v>
      </c>
      <c r="H107" s="28" t="s">
        <v>559</v>
      </c>
      <c r="I107" s="28" t="s">
        <v>565</v>
      </c>
      <c r="J107" s="28" t="s">
        <v>149</v>
      </c>
      <c r="K107" s="28" t="s">
        <v>567</v>
      </c>
      <c r="L107" s="28" t="s">
        <v>138</v>
      </c>
      <c r="M107" s="28" t="s">
        <v>568</v>
      </c>
      <c r="N107" s="28" t="s">
        <v>562</v>
      </c>
      <c r="O107" s="28" t="s">
        <v>563</v>
      </c>
      <c r="P107" s="28" t="s">
        <v>30</v>
      </c>
    </row>
    <row r="108" spans="1:16" x14ac:dyDescent="0.25">
      <c r="A108" s="28" t="s">
        <v>569</v>
      </c>
      <c r="B108" s="28" t="s">
        <v>570</v>
      </c>
      <c r="C108" s="28" t="s">
        <v>132</v>
      </c>
      <c r="D108" s="28" t="s">
        <v>391</v>
      </c>
      <c r="E108" s="28" t="s">
        <v>571</v>
      </c>
      <c r="F108" s="28" t="s">
        <v>21</v>
      </c>
      <c r="G108" s="28" t="s">
        <v>149</v>
      </c>
      <c r="H108" s="28" t="s">
        <v>559</v>
      </c>
      <c r="I108" s="28" t="s">
        <v>570</v>
      </c>
      <c r="J108" s="28" t="s">
        <v>149</v>
      </c>
      <c r="K108" s="28" t="s">
        <v>572</v>
      </c>
      <c r="L108" s="28" t="s">
        <v>138</v>
      </c>
      <c r="M108" s="28" t="s">
        <v>573</v>
      </c>
      <c r="N108" s="28" t="s">
        <v>562</v>
      </c>
      <c r="O108" s="28" t="s">
        <v>563</v>
      </c>
      <c r="P108" s="28" t="s">
        <v>30</v>
      </c>
    </row>
    <row r="109" spans="1:16" x14ac:dyDescent="0.25">
      <c r="A109" s="28" t="s">
        <v>574</v>
      </c>
      <c r="B109" s="28" t="s">
        <v>575</v>
      </c>
      <c r="C109" s="28" t="s">
        <v>132</v>
      </c>
      <c r="D109" s="28" t="s">
        <v>391</v>
      </c>
      <c r="E109" s="28" t="s">
        <v>576</v>
      </c>
      <c r="F109" s="28" t="s">
        <v>21</v>
      </c>
      <c r="G109" s="28" t="s">
        <v>149</v>
      </c>
      <c r="H109" s="28" t="s">
        <v>577</v>
      </c>
      <c r="I109" s="28" t="s">
        <v>575</v>
      </c>
      <c r="J109" s="28" t="s">
        <v>149</v>
      </c>
      <c r="K109" s="28" t="s">
        <v>578</v>
      </c>
      <c r="L109" s="28" t="s">
        <v>138</v>
      </c>
      <c r="M109" s="28" t="s">
        <v>579</v>
      </c>
      <c r="N109" s="28" t="s">
        <v>580</v>
      </c>
      <c r="O109" s="28" t="s">
        <v>581</v>
      </c>
      <c r="P109" s="28" t="s">
        <v>30</v>
      </c>
    </row>
    <row r="110" spans="1:16" x14ac:dyDescent="0.25">
      <c r="A110" s="28" t="s">
        <v>582</v>
      </c>
      <c r="B110" s="28" t="s">
        <v>583</v>
      </c>
      <c r="C110" s="28" t="s">
        <v>132</v>
      </c>
      <c r="D110" s="28" t="s">
        <v>391</v>
      </c>
      <c r="E110" s="28" t="s">
        <v>584</v>
      </c>
      <c r="F110" s="28" t="s">
        <v>21</v>
      </c>
      <c r="G110" s="28" t="s">
        <v>149</v>
      </c>
      <c r="H110" s="28" t="s">
        <v>577</v>
      </c>
      <c r="I110" s="28" t="s">
        <v>583</v>
      </c>
      <c r="J110" s="28" t="s">
        <v>149</v>
      </c>
      <c r="K110" s="28" t="s">
        <v>585</v>
      </c>
      <c r="L110" s="28" t="s">
        <v>138</v>
      </c>
      <c r="M110" s="28" t="s">
        <v>586</v>
      </c>
      <c r="N110" s="28" t="s">
        <v>580</v>
      </c>
      <c r="O110" s="28" t="s">
        <v>581</v>
      </c>
      <c r="P110" s="28" t="s">
        <v>30</v>
      </c>
    </row>
    <row r="111" spans="1:16" x14ac:dyDescent="0.25">
      <c r="A111" s="28" t="s">
        <v>587</v>
      </c>
      <c r="B111" s="28" t="s">
        <v>588</v>
      </c>
      <c r="C111" s="28" t="s">
        <v>132</v>
      </c>
      <c r="D111" s="28" t="s">
        <v>391</v>
      </c>
      <c r="E111" s="28" t="s">
        <v>589</v>
      </c>
      <c r="F111" s="28" t="s">
        <v>21</v>
      </c>
      <c r="G111" s="28" t="s">
        <v>149</v>
      </c>
      <c r="H111" s="28" t="s">
        <v>577</v>
      </c>
      <c r="I111" s="28" t="s">
        <v>588</v>
      </c>
      <c r="J111" s="28" t="s">
        <v>149</v>
      </c>
      <c r="K111" s="28" t="s">
        <v>590</v>
      </c>
      <c r="L111" s="28" t="s">
        <v>138</v>
      </c>
      <c r="M111" s="28" t="s">
        <v>591</v>
      </c>
      <c r="N111" s="28" t="s">
        <v>580</v>
      </c>
      <c r="O111" s="28" t="s">
        <v>581</v>
      </c>
      <c r="P111" s="28" t="s">
        <v>30</v>
      </c>
    </row>
    <row r="112" spans="1:16" x14ac:dyDescent="0.25">
      <c r="A112" s="28" t="s">
        <v>592</v>
      </c>
      <c r="B112" s="28" t="s">
        <v>593</v>
      </c>
      <c r="C112" s="28" t="s">
        <v>132</v>
      </c>
      <c r="D112" s="28" t="s">
        <v>391</v>
      </c>
      <c r="E112" s="28" t="s">
        <v>594</v>
      </c>
      <c r="F112" s="28" t="s">
        <v>21</v>
      </c>
      <c r="G112" s="28" t="s">
        <v>149</v>
      </c>
      <c r="H112" s="28" t="s">
        <v>595</v>
      </c>
      <c r="I112" s="28" t="s">
        <v>593</v>
      </c>
      <c r="J112" s="28" t="s">
        <v>149</v>
      </c>
      <c r="K112" s="28" t="s">
        <v>596</v>
      </c>
      <c r="L112" s="28" t="s">
        <v>138</v>
      </c>
      <c r="M112" s="28" t="s">
        <v>597</v>
      </c>
      <c r="N112" s="28" t="s">
        <v>598</v>
      </c>
      <c r="O112" s="28" t="s">
        <v>599</v>
      </c>
      <c r="P112" s="28" t="s">
        <v>30</v>
      </c>
    </row>
    <row r="113" spans="1:16" x14ac:dyDescent="0.25">
      <c r="A113" s="28" t="s">
        <v>600</v>
      </c>
      <c r="B113" s="28" t="s">
        <v>601</v>
      </c>
      <c r="C113" s="28" t="s">
        <v>132</v>
      </c>
      <c r="D113" s="28" t="s">
        <v>391</v>
      </c>
      <c r="E113" s="28" t="s">
        <v>602</v>
      </c>
      <c r="F113" s="28" t="s">
        <v>21</v>
      </c>
      <c r="G113" s="28" t="s">
        <v>149</v>
      </c>
      <c r="H113" s="28" t="s">
        <v>595</v>
      </c>
      <c r="I113" s="28" t="s">
        <v>601</v>
      </c>
      <c r="J113" s="28" t="s">
        <v>149</v>
      </c>
      <c r="K113" s="28" t="s">
        <v>603</v>
      </c>
      <c r="L113" s="28" t="s">
        <v>138</v>
      </c>
      <c r="M113" s="28" t="s">
        <v>604</v>
      </c>
      <c r="N113" s="28" t="s">
        <v>598</v>
      </c>
      <c r="O113" s="28" t="s">
        <v>599</v>
      </c>
      <c r="P113" s="28" t="s">
        <v>30</v>
      </c>
    </row>
    <row r="114" spans="1:16" x14ac:dyDescent="0.25">
      <c r="A114" s="28" t="s">
        <v>605</v>
      </c>
      <c r="B114" s="28" t="s">
        <v>606</v>
      </c>
      <c r="C114" s="28" t="s">
        <v>132</v>
      </c>
      <c r="D114" s="28" t="s">
        <v>391</v>
      </c>
      <c r="E114" s="28" t="s">
        <v>607</v>
      </c>
      <c r="F114" s="28" t="s">
        <v>21</v>
      </c>
      <c r="G114" s="28" t="s">
        <v>149</v>
      </c>
      <c r="H114" s="28" t="s">
        <v>595</v>
      </c>
      <c r="I114" s="28" t="s">
        <v>606</v>
      </c>
      <c r="J114" s="28" t="s">
        <v>149</v>
      </c>
      <c r="K114" s="28" t="s">
        <v>608</v>
      </c>
      <c r="L114" s="28" t="s">
        <v>138</v>
      </c>
      <c r="M114" s="28" t="s">
        <v>609</v>
      </c>
      <c r="N114" s="28" t="s">
        <v>598</v>
      </c>
      <c r="O114" s="28" t="s">
        <v>599</v>
      </c>
      <c r="P114" s="28" t="s">
        <v>30</v>
      </c>
    </row>
    <row r="115" spans="1:16" x14ac:dyDescent="0.25">
      <c r="A115" s="28" t="s">
        <v>610</v>
      </c>
      <c r="B115" s="28" t="s">
        <v>611</v>
      </c>
      <c r="C115" s="28" t="s">
        <v>132</v>
      </c>
      <c r="D115" s="28" t="s">
        <v>391</v>
      </c>
      <c r="E115" s="28" t="s">
        <v>612</v>
      </c>
      <c r="F115" s="28" t="s">
        <v>21</v>
      </c>
      <c r="G115" s="28" t="s">
        <v>149</v>
      </c>
      <c r="H115" s="28" t="s">
        <v>595</v>
      </c>
      <c r="I115" s="28" t="s">
        <v>611</v>
      </c>
      <c r="J115" s="28" t="s">
        <v>149</v>
      </c>
      <c r="K115" s="28" t="s">
        <v>613</v>
      </c>
      <c r="L115" s="28" t="s">
        <v>138</v>
      </c>
      <c r="M115" s="28" t="s">
        <v>614</v>
      </c>
      <c r="N115" s="28" t="s">
        <v>598</v>
      </c>
      <c r="O115" s="28" t="s">
        <v>599</v>
      </c>
      <c r="P115" s="28" t="s">
        <v>30</v>
      </c>
    </row>
    <row r="116" spans="1:16" x14ac:dyDescent="0.25">
      <c r="A116" s="28" t="s">
        <v>615</v>
      </c>
      <c r="B116" s="28" t="s">
        <v>616</v>
      </c>
      <c r="C116" s="28" t="s">
        <v>132</v>
      </c>
      <c r="D116" s="28" t="s">
        <v>391</v>
      </c>
      <c r="E116" s="28" t="s">
        <v>617</v>
      </c>
      <c r="F116" s="28" t="s">
        <v>21</v>
      </c>
      <c r="G116" s="28" t="s">
        <v>149</v>
      </c>
      <c r="H116" s="28" t="s">
        <v>618</v>
      </c>
      <c r="I116" s="28" t="s">
        <v>616</v>
      </c>
      <c r="J116" s="28" t="s">
        <v>149</v>
      </c>
      <c r="K116" s="28" t="s">
        <v>619</v>
      </c>
      <c r="L116" s="28" t="s">
        <v>138</v>
      </c>
      <c r="M116" s="28" t="s">
        <v>620</v>
      </c>
      <c r="N116" s="28" t="s">
        <v>621</v>
      </c>
      <c r="O116" s="28" t="s">
        <v>622</v>
      </c>
      <c r="P116" s="28" t="s">
        <v>30</v>
      </c>
    </row>
    <row r="117" spans="1:16" x14ac:dyDescent="0.25">
      <c r="A117" s="28" t="s">
        <v>623</v>
      </c>
      <c r="B117" s="28" t="s">
        <v>624</v>
      </c>
      <c r="C117" s="28" t="s">
        <v>132</v>
      </c>
      <c r="D117" s="28" t="s">
        <v>391</v>
      </c>
      <c r="E117" s="28" t="s">
        <v>625</v>
      </c>
      <c r="F117" s="28" t="s">
        <v>21</v>
      </c>
      <c r="G117" s="28" t="s">
        <v>149</v>
      </c>
      <c r="H117" s="28" t="s">
        <v>618</v>
      </c>
      <c r="I117" s="28" t="s">
        <v>624</v>
      </c>
      <c r="J117" s="28" t="s">
        <v>149</v>
      </c>
      <c r="K117" s="28" t="s">
        <v>626</v>
      </c>
      <c r="L117" s="28" t="s">
        <v>138</v>
      </c>
      <c r="M117" s="28" t="s">
        <v>627</v>
      </c>
      <c r="N117" s="28" t="s">
        <v>621</v>
      </c>
      <c r="O117" s="28" t="s">
        <v>622</v>
      </c>
      <c r="P117" s="28" t="s">
        <v>30</v>
      </c>
    </row>
    <row r="118" spans="1:16" x14ac:dyDescent="0.25">
      <c r="A118" s="28" t="s">
        <v>628</v>
      </c>
      <c r="B118" s="28" t="s">
        <v>629</v>
      </c>
      <c r="C118" s="28" t="s">
        <v>132</v>
      </c>
      <c r="D118" s="28" t="s">
        <v>391</v>
      </c>
      <c r="E118" s="28" t="s">
        <v>630</v>
      </c>
      <c r="F118" s="28" t="s">
        <v>21</v>
      </c>
      <c r="G118" s="28" t="s">
        <v>149</v>
      </c>
      <c r="H118" s="28" t="s">
        <v>618</v>
      </c>
      <c r="I118" s="28" t="s">
        <v>629</v>
      </c>
      <c r="J118" s="28" t="s">
        <v>149</v>
      </c>
      <c r="K118" s="28" t="s">
        <v>631</v>
      </c>
      <c r="L118" s="28" t="s">
        <v>138</v>
      </c>
      <c r="M118" s="28" t="s">
        <v>632</v>
      </c>
      <c r="N118" s="28" t="s">
        <v>621</v>
      </c>
      <c r="O118" s="28" t="s">
        <v>622</v>
      </c>
      <c r="P118" s="28" t="s">
        <v>30</v>
      </c>
    </row>
    <row r="119" spans="1:16" x14ac:dyDescent="0.25">
      <c r="A119" s="28" t="s">
        <v>633</v>
      </c>
      <c r="B119" s="28" t="s">
        <v>634</v>
      </c>
      <c r="C119" s="28" t="s">
        <v>132</v>
      </c>
      <c r="D119" s="28" t="s">
        <v>391</v>
      </c>
      <c r="E119" s="28" t="s">
        <v>635</v>
      </c>
      <c r="F119" s="28" t="s">
        <v>21</v>
      </c>
      <c r="G119" s="28" t="s">
        <v>149</v>
      </c>
      <c r="H119" s="28" t="s">
        <v>636</v>
      </c>
      <c r="I119" s="28" t="s">
        <v>634</v>
      </c>
      <c r="J119" s="28" t="s">
        <v>149</v>
      </c>
      <c r="K119" s="28" t="s">
        <v>637</v>
      </c>
      <c r="L119" s="28" t="s">
        <v>138</v>
      </c>
      <c r="M119" s="28" t="s">
        <v>638</v>
      </c>
      <c r="N119" s="28" t="s">
        <v>639</v>
      </c>
      <c r="O119" s="28" t="s">
        <v>640</v>
      </c>
      <c r="P119" s="28" t="s">
        <v>30</v>
      </c>
    </row>
    <row r="120" spans="1:16" x14ac:dyDescent="0.25">
      <c r="A120" s="28" t="s">
        <v>641</v>
      </c>
      <c r="B120" s="28" t="s">
        <v>642</v>
      </c>
      <c r="C120" s="28" t="s">
        <v>132</v>
      </c>
      <c r="D120" s="28" t="s">
        <v>391</v>
      </c>
      <c r="E120" s="28" t="s">
        <v>643</v>
      </c>
      <c r="F120" s="28" t="s">
        <v>21</v>
      </c>
      <c r="G120" s="28" t="s">
        <v>149</v>
      </c>
      <c r="H120" s="28" t="s">
        <v>636</v>
      </c>
      <c r="I120" s="28" t="s">
        <v>642</v>
      </c>
      <c r="J120" s="28" t="s">
        <v>149</v>
      </c>
      <c r="K120" s="28" t="s">
        <v>644</v>
      </c>
      <c r="L120" s="28" t="s">
        <v>138</v>
      </c>
      <c r="M120" s="28" t="s">
        <v>645</v>
      </c>
      <c r="N120" s="28" t="s">
        <v>639</v>
      </c>
      <c r="O120" s="28" t="s">
        <v>640</v>
      </c>
      <c r="P120" s="28" t="s">
        <v>30</v>
      </c>
    </row>
    <row r="121" spans="1:16" x14ac:dyDescent="0.25">
      <c r="A121" s="28" t="s">
        <v>646</v>
      </c>
      <c r="B121" s="28" t="s">
        <v>647</v>
      </c>
      <c r="C121" s="28" t="s">
        <v>132</v>
      </c>
      <c r="D121" s="28" t="s">
        <v>391</v>
      </c>
      <c r="E121" s="28" t="s">
        <v>648</v>
      </c>
      <c r="F121" s="28" t="s">
        <v>21</v>
      </c>
      <c r="G121" s="28" t="s">
        <v>149</v>
      </c>
      <c r="H121" s="28" t="s">
        <v>649</v>
      </c>
      <c r="I121" s="28" t="s">
        <v>647</v>
      </c>
      <c r="J121" s="28" t="s">
        <v>149</v>
      </c>
      <c r="K121" s="28" t="s">
        <v>650</v>
      </c>
      <c r="L121" s="28" t="s">
        <v>138</v>
      </c>
      <c r="M121" s="28" t="s">
        <v>651</v>
      </c>
      <c r="N121" s="28" t="s">
        <v>652</v>
      </c>
      <c r="O121" s="28" t="s">
        <v>653</v>
      </c>
      <c r="P121" s="28" t="s">
        <v>30</v>
      </c>
    </row>
    <row r="122" spans="1:16" x14ac:dyDescent="0.25">
      <c r="A122" s="28" t="s">
        <v>654</v>
      </c>
      <c r="B122" s="28" t="s">
        <v>655</v>
      </c>
      <c r="C122" s="28" t="s">
        <v>132</v>
      </c>
      <c r="D122" s="28" t="s">
        <v>391</v>
      </c>
      <c r="E122" s="28" t="s">
        <v>656</v>
      </c>
      <c r="F122" s="28" t="s">
        <v>21</v>
      </c>
      <c r="G122" s="28" t="s">
        <v>149</v>
      </c>
      <c r="H122" s="28" t="s">
        <v>649</v>
      </c>
      <c r="I122" s="28" t="s">
        <v>655</v>
      </c>
      <c r="J122" s="28" t="s">
        <v>149</v>
      </c>
      <c r="K122" s="28" t="s">
        <v>657</v>
      </c>
      <c r="L122" s="28" t="s">
        <v>138</v>
      </c>
      <c r="M122" s="28" t="s">
        <v>658</v>
      </c>
      <c r="N122" s="28" t="s">
        <v>652</v>
      </c>
      <c r="O122" s="28" t="s">
        <v>653</v>
      </c>
      <c r="P122" s="28" t="s">
        <v>30</v>
      </c>
    </row>
    <row r="123" spans="1:16" x14ac:dyDescent="0.25">
      <c r="A123" s="28" t="s">
        <v>659</v>
      </c>
      <c r="B123" s="28" t="s">
        <v>660</v>
      </c>
      <c r="C123" s="28" t="s">
        <v>132</v>
      </c>
      <c r="D123" s="28" t="s">
        <v>391</v>
      </c>
      <c r="E123" s="28" t="s">
        <v>661</v>
      </c>
      <c r="F123" s="28" t="s">
        <v>21</v>
      </c>
      <c r="G123" s="28" t="s">
        <v>149</v>
      </c>
      <c r="H123" s="28" t="s">
        <v>649</v>
      </c>
      <c r="I123" s="28" t="s">
        <v>660</v>
      </c>
      <c r="J123" s="28" t="s">
        <v>149</v>
      </c>
      <c r="K123" s="28" t="s">
        <v>662</v>
      </c>
      <c r="L123" s="28" t="s">
        <v>138</v>
      </c>
      <c r="M123" s="28" t="s">
        <v>663</v>
      </c>
      <c r="N123" s="28" t="s">
        <v>652</v>
      </c>
      <c r="O123" s="28" t="s">
        <v>653</v>
      </c>
      <c r="P123" s="28" t="s">
        <v>30</v>
      </c>
    </row>
    <row r="124" spans="1:16" x14ac:dyDescent="0.25">
      <c r="A124" s="28" t="s">
        <v>664</v>
      </c>
      <c r="B124" s="28" t="s">
        <v>665</v>
      </c>
      <c r="C124" s="28" t="s">
        <v>666</v>
      </c>
      <c r="D124" s="28" t="s">
        <v>391</v>
      </c>
      <c r="E124" s="28" t="s">
        <v>667</v>
      </c>
      <c r="F124" s="28" t="s">
        <v>21</v>
      </c>
      <c r="G124" s="28" t="s">
        <v>149</v>
      </c>
      <c r="H124" s="28" t="s">
        <v>668</v>
      </c>
      <c r="I124" s="28" t="s">
        <v>665</v>
      </c>
      <c r="J124" s="28" t="s">
        <v>669</v>
      </c>
      <c r="K124" s="28" t="s">
        <v>670</v>
      </c>
      <c r="L124" s="28" t="s">
        <v>138</v>
      </c>
      <c r="M124" s="28" t="s">
        <v>671</v>
      </c>
      <c r="O124" s="28" t="s">
        <v>672</v>
      </c>
      <c r="P124" s="28" t="s">
        <v>673</v>
      </c>
    </row>
    <row r="125" spans="1:16" x14ac:dyDescent="0.25">
      <c r="A125" s="28" t="s">
        <v>674</v>
      </c>
      <c r="B125" s="28" t="s">
        <v>675</v>
      </c>
      <c r="C125" s="28" t="s">
        <v>666</v>
      </c>
      <c r="D125" s="28" t="s">
        <v>391</v>
      </c>
      <c r="E125" s="28" t="s">
        <v>676</v>
      </c>
      <c r="F125" s="28" t="s">
        <v>21</v>
      </c>
      <c r="G125" s="28" t="s">
        <v>149</v>
      </c>
      <c r="H125" s="28" t="s">
        <v>668</v>
      </c>
      <c r="I125" s="28" t="s">
        <v>675</v>
      </c>
      <c r="J125" s="28" t="s">
        <v>669</v>
      </c>
      <c r="K125" s="28" t="s">
        <v>670</v>
      </c>
      <c r="L125" s="28" t="s">
        <v>138</v>
      </c>
      <c r="M125" s="28" t="s">
        <v>677</v>
      </c>
      <c r="O125" s="28" t="s">
        <v>672</v>
      </c>
      <c r="P125" s="28" t="s">
        <v>673</v>
      </c>
    </row>
    <row r="126" spans="1:16" x14ac:dyDescent="0.25">
      <c r="A126" s="28" t="s">
        <v>678</v>
      </c>
      <c r="B126" s="28" t="s">
        <v>679</v>
      </c>
      <c r="C126" s="28" t="s">
        <v>666</v>
      </c>
      <c r="D126" s="28" t="s">
        <v>391</v>
      </c>
      <c r="E126" s="28" t="s">
        <v>680</v>
      </c>
      <c r="F126" s="28" t="s">
        <v>21</v>
      </c>
      <c r="G126" s="28" t="s">
        <v>149</v>
      </c>
      <c r="H126" s="28" t="s">
        <v>668</v>
      </c>
      <c r="I126" s="28" t="s">
        <v>679</v>
      </c>
      <c r="J126" s="28" t="s">
        <v>669</v>
      </c>
      <c r="K126" s="28" t="s">
        <v>670</v>
      </c>
      <c r="L126" s="28" t="s">
        <v>138</v>
      </c>
      <c r="M126" s="28" t="s">
        <v>681</v>
      </c>
      <c r="O126" s="28" t="s">
        <v>672</v>
      </c>
      <c r="P126" s="28" t="s">
        <v>673</v>
      </c>
    </row>
    <row r="127" spans="1:16" x14ac:dyDescent="0.25">
      <c r="A127" s="28" t="s">
        <v>682</v>
      </c>
      <c r="B127" s="28" t="s">
        <v>683</v>
      </c>
      <c r="C127" s="28" t="s">
        <v>666</v>
      </c>
      <c r="D127" s="28" t="s">
        <v>391</v>
      </c>
      <c r="E127" s="28" t="s">
        <v>684</v>
      </c>
      <c r="F127" s="28" t="s">
        <v>21</v>
      </c>
      <c r="G127" s="28" t="s">
        <v>149</v>
      </c>
      <c r="H127" s="28" t="s">
        <v>668</v>
      </c>
      <c r="I127" s="28" t="s">
        <v>683</v>
      </c>
      <c r="J127" s="28" t="s">
        <v>669</v>
      </c>
      <c r="K127" s="28" t="s">
        <v>670</v>
      </c>
      <c r="L127" s="28" t="s">
        <v>138</v>
      </c>
      <c r="M127" s="28" t="s">
        <v>685</v>
      </c>
      <c r="O127" s="28" t="s">
        <v>672</v>
      </c>
      <c r="P127" s="28" t="s">
        <v>673</v>
      </c>
    </row>
    <row r="128" spans="1:16" x14ac:dyDescent="0.25">
      <c r="A128" s="28" t="s">
        <v>686</v>
      </c>
      <c r="B128" s="28" t="s">
        <v>687</v>
      </c>
      <c r="C128" s="28" t="s">
        <v>666</v>
      </c>
      <c r="D128" s="28" t="s">
        <v>391</v>
      </c>
      <c r="E128" s="28" t="s">
        <v>688</v>
      </c>
      <c r="F128" s="28" t="s">
        <v>21</v>
      </c>
      <c r="G128" s="28" t="s">
        <v>149</v>
      </c>
      <c r="H128" s="28" t="s">
        <v>668</v>
      </c>
      <c r="I128" s="28" t="s">
        <v>687</v>
      </c>
      <c r="J128" s="28" t="s">
        <v>669</v>
      </c>
      <c r="K128" s="28" t="s">
        <v>670</v>
      </c>
      <c r="L128" s="28" t="s">
        <v>138</v>
      </c>
      <c r="M128" s="28" t="s">
        <v>689</v>
      </c>
      <c r="O128" s="28" t="s">
        <v>672</v>
      </c>
      <c r="P128" s="28" t="s">
        <v>673</v>
      </c>
    </row>
    <row r="129" spans="1:16" x14ac:dyDescent="0.25">
      <c r="A129" s="28" t="s">
        <v>690</v>
      </c>
      <c r="B129" s="28" t="s">
        <v>691</v>
      </c>
      <c r="C129" s="28" t="s">
        <v>666</v>
      </c>
      <c r="D129" s="28" t="s">
        <v>391</v>
      </c>
      <c r="E129" s="28" t="s">
        <v>692</v>
      </c>
      <c r="F129" s="28" t="s">
        <v>21</v>
      </c>
      <c r="G129" s="28" t="s">
        <v>149</v>
      </c>
      <c r="H129" s="28" t="s">
        <v>693</v>
      </c>
      <c r="I129" s="28" t="s">
        <v>691</v>
      </c>
      <c r="J129" s="28" t="s">
        <v>669</v>
      </c>
      <c r="K129" s="28" t="s">
        <v>670</v>
      </c>
      <c r="L129" s="28" t="s">
        <v>138</v>
      </c>
      <c r="M129" s="28" t="s">
        <v>694</v>
      </c>
      <c r="O129" s="28" t="s">
        <v>695</v>
      </c>
      <c r="P129" s="28" t="s">
        <v>673</v>
      </c>
    </row>
    <row r="130" spans="1:16" x14ac:dyDescent="0.25">
      <c r="A130" s="28" t="s">
        <v>696</v>
      </c>
      <c r="B130" s="28" t="s">
        <v>697</v>
      </c>
      <c r="C130" s="28" t="s">
        <v>666</v>
      </c>
      <c r="D130" s="28" t="s">
        <v>391</v>
      </c>
      <c r="E130" s="28" t="s">
        <v>698</v>
      </c>
      <c r="F130" s="28" t="s">
        <v>21</v>
      </c>
      <c r="G130" s="28" t="s">
        <v>149</v>
      </c>
      <c r="H130" s="28" t="s">
        <v>693</v>
      </c>
      <c r="I130" s="28" t="s">
        <v>697</v>
      </c>
      <c r="J130" s="28" t="s">
        <v>669</v>
      </c>
      <c r="K130" s="28" t="s">
        <v>670</v>
      </c>
      <c r="L130" s="28" t="s">
        <v>138</v>
      </c>
      <c r="M130" s="28" t="s">
        <v>699</v>
      </c>
      <c r="O130" s="28" t="s">
        <v>695</v>
      </c>
      <c r="P130" s="28" t="s">
        <v>673</v>
      </c>
    </row>
    <row r="131" spans="1:16" x14ac:dyDescent="0.25">
      <c r="A131" s="28" t="s">
        <v>700</v>
      </c>
      <c r="B131" s="28" t="s">
        <v>701</v>
      </c>
      <c r="C131" s="28" t="s">
        <v>666</v>
      </c>
      <c r="D131" s="28" t="s">
        <v>391</v>
      </c>
      <c r="E131" s="28" t="s">
        <v>702</v>
      </c>
      <c r="F131" s="28" t="s">
        <v>21</v>
      </c>
      <c r="G131" s="28" t="s">
        <v>149</v>
      </c>
      <c r="H131" s="28" t="s">
        <v>693</v>
      </c>
      <c r="I131" s="28" t="s">
        <v>701</v>
      </c>
      <c r="J131" s="28" t="s">
        <v>669</v>
      </c>
      <c r="K131" s="28" t="s">
        <v>670</v>
      </c>
      <c r="L131" s="28" t="s">
        <v>138</v>
      </c>
      <c r="M131" s="28" t="s">
        <v>703</v>
      </c>
      <c r="O131" s="28" t="s">
        <v>695</v>
      </c>
      <c r="P131" s="28" t="s">
        <v>673</v>
      </c>
    </row>
    <row r="132" spans="1:16" x14ac:dyDescent="0.25">
      <c r="A132" s="28" t="s">
        <v>704</v>
      </c>
      <c r="B132" s="28" t="s">
        <v>705</v>
      </c>
      <c r="C132" s="28" t="s">
        <v>666</v>
      </c>
      <c r="D132" s="28" t="s">
        <v>391</v>
      </c>
      <c r="E132" s="28" t="s">
        <v>706</v>
      </c>
      <c r="F132" s="28" t="s">
        <v>21</v>
      </c>
      <c r="G132" s="28" t="s">
        <v>149</v>
      </c>
      <c r="H132" s="28" t="s">
        <v>693</v>
      </c>
      <c r="I132" s="28" t="s">
        <v>705</v>
      </c>
      <c r="J132" s="28" t="s">
        <v>669</v>
      </c>
      <c r="K132" s="28" t="s">
        <v>670</v>
      </c>
      <c r="L132" s="28" t="s">
        <v>138</v>
      </c>
      <c r="M132" s="28" t="s">
        <v>707</v>
      </c>
      <c r="O132" s="28" t="s">
        <v>695</v>
      </c>
      <c r="P132" s="28" t="s">
        <v>673</v>
      </c>
    </row>
    <row r="133" spans="1:16" x14ac:dyDescent="0.25">
      <c r="A133" s="28" t="s">
        <v>708</v>
      </c>
      <c r="B133" s="28" t="s">
        <v>709</v>
      </c>
      <c r="C133" s="28" t="s">
        <v>666</v>
      </c>
      <c r="D133" s="28" t="s">
        <v>391</v>
      </c>
      <c r="E133" s="28" t="s">
        <v>710</v>
      </c>
      <c r="F133" s="28" t="s">
        <v>21</v>
      </c>
      <c r="G133" s="28" t="s">
        <v>149</v>
      </c>
      <c r="H133" s="28" t="s">
        <v>693</v>
      </c>
      <c r="I133" s="28" t="s">
        <v>709</v>
      </c>
      <c r="J133" s="28" t="s">
        <v>669</v>
      </c>
      <c r="K133" s="28" t="s">
        <v>670</v>
      </c>
      <c r="L133" s="28" t="s">
        <v>138</v>
      </c>
      <c r="M133" s="28" t="s">
        <v>711</v>
      </c>
      <c r="O133" s="28" t="s">
        <v>695</v>
      </c>
      <c r="P133" s="28" t="s">
        <v>673</v>
      </c>
    </row>
    <row r="134" spans="1:16" x14ac:dyDescent="0.25">
      <c r="A134" s="28" t="s">
        <v>712</v>
      </c>
      <c r="B134" s="28" t="s">
        <v>713</v>
      </c>
      <c r="C134" s="28" t="s">
        <v>666</v>
      </c>
      <c r="D134" s="28" t="s">
        <v>391</v>
      </c>
      <c r="E134" s="28" t="s">
        <v>714</v>
      </c>
      <c r="F134" s="28" t="s">
        <v>21</v>
      </c>
      <c r="G134" s="28" t="s">
        <v>149</v>
      </c>
      <c r="H134" s="28" t="s">
        <v>693</v>
      </c>
      <c r="I134" s="28" t="s">
        <v>713</v>
      </c>
      <c r="J134" s="28" t="s">
        <v>669</v>
      </c>
      <c r="K134" s="28" t="s">
        <v>670</v>
      </c>
      <c r="L134" s="28" t="s">
        <v>138</v>
      </c>
      <c r="M134" s="28" t="s">
        <v>715</v>
      </c>
      <c r="O134" s="28" t="s">
        <v>695</v>
      </c>
      <c r="P134" s="28" t="s">
        <v>673</v>
      </c>
    </row>
    <row r="135" spans="1:16" x14ac:dyDescent="0.25">
      <c r="A135" s="28" t="s">
        <v>716</v>
      </c>
      <c r="B135" s="28" t="s">
        <v>717</v>
      </c>
      <c r="C135" s="28" t="s">
        <v>666</v>
      </c>
      <c r="D135" s="28" t="s">
        <v>391</v>
      </c>
      <c r="E135" s="28" t="s">
        <v>718</v>
      </c>
      <c r="F135" s="28" t="s">
        <v>21</v>
      </c>
      <c r="G135" s="28" t="s">
        <v>149</v>
      </c>
      <c r="H135" s="28" t="s">
        <v>693</v>
      </c>
      <c r="I135" s="28" t="s">
        <v>717</v>
      </c>
      <c r="J135" s="28" t="s">
        <v>669</v>
      </c>
      <c r="K135" s="28" t="s">
        <v>670</v>
      </c>
      <c r="L135" s="28" t="s">
        <v>138</v>
      </c>
      <c r="M135" s="28" t="s">
        <v>719</v>
      </c>
      <c r="O135" s="28" t="s">
        <v>695</v>
      </c>
      <c r="P135" s="28" t="s">
        <v>673</v>
      </c>
    </row>
    <row r="136" spans="1:16" x14ac:dyDescent="0.25">
      <c r="A136" s="28" t="s">
        <v>720</v>
      </c>
      <c r="B136" s="28" t="s">
        <v>721</v>
      </c>
      <c r="C136" s="28" t="s">
        <v>666</v>
      </c>
      <c r="D136" s="28" t="s">
        <v>391</v>
      </c>
      <c r="E136" s="28" t="s">
        <v>722</v>
      </c>
      <c r="F136" s="28" t="s">
        <v>21</v>
      </c>
      <c r="G136" s="28" t="s">
        <v>149</v>
      </c>
      <c r="H136" s="28" t="s">
        <v>693</v>
      </c>
      <c r="I136" s="28" t="s">
        <v>721</v>
      </c>
      <c r="J136" s="28" t="s">
        <v>669</v>
      </c>
      <c r="K136" s="28" t="s">
        <v>670</v>
      </c>
      <c r="L136" s="28" t="s">
        <v>138</v>
      </c>
      <c r="M136" s="28" t="s">
        <v>723</v>
      </c>
      <c r="O136" s="28" t="s">
        <v>695</v>
      </c>
      <c r="P136" s="28" t="s">
        <v>673</v>
      </c>
    </row>
    <row r="137" spans="1:16" x14ac:dyDescent="0.25">
      <c r="A137" s="28" t="s">
        <v>724</v>
      </c>
      <c r="B137" s="28" t="s">
        <v>725</v>
      </c>
      <c r="C137" s="28" t="s">
        <v>666</v>
      </c>
      <c r="D137" s="28" t="s">
        <v>391</v>
      </c>
      <c r="E137" s="28" t="s">
        <v>726</v>
      </c>
      <c r="F137" s="28" t="s">
        <v>21</v>
      </c>
      <c r="G137" s="28" t="s">
        <v>149</v>
      </c>
      <c r="H137" s="28" t="s">
        <v>693</v>
      </c>
      <c r="I137" s="28" t="s">
        <v>725</v>
      </c>
      <c r="J137" s="28" t="s">
        <v>669</v>
      </c>
      <c r="K137" s="28" t="s">
        <v>670</v>
      </c>
      <c r="L137" s="28" t="s">
        <v>138</v>
      </c>
      <c r="M137" s="28" t="s">
        <v>727</v>
      </c>
      <c r="O137" s="28" t="s">
        <v>695</v>
      </c>
      <c r="P137" s="28" t="s">
        <v>673</v>
      </c>
    </row>
    <row r="138" spans="1:16" x14ac:dyDescent="0.25">
      <c r="A138" s="28" t="s">
        <v>728</v>
      </c>
      <c r="B138" s="28" t="s">
        <v>729</v>
      </c>
      <c r="C138" s="28" t="s">
        <v>666</v>
      </c>
      <c r="D138" s="28" t="s">
        <v>391</v>
      </c>
      <c r="E138" s="28" t="s">
        <v>730</v>
      </c>
      <c r="F138" s="28" t="s">
        <v>21</v>
      </c>
      <c r="G138" s="28" t="s">
        <v>149</v>
      </c>
      <c r="H138" s="28" t="s">
        <v>693</v>
      </c>
      <c r="I138" s="28" t="s">
        <v>729</v>
      </c>
      <c r="J138" s="28" t="s">
        <v>669</v>
      </c>
      <c r="K138" s="28" t="s">
        <v>670</v>
      </c>
      <c r="L138" s="28" t="s">
        <v>138</v>
      </c>
      <c r="M138" s="28" t="s">
        <v>731</v>
      </c>
      <c r="O138" s="28" t="s">
        <v>695</v>
      </c>
      <c r="P138" s="28" t="s">
        <v>673</v>
      </c>
    </row>
    <row r="139" spans="1:16" x14ac:dyDescent="0.25">
      <c r="A139" s="28" t="s">
        <v>732</v>
      </c>
      <c r="B139" s="28" t="s">
        <v>733</v>
      </c>
      <c r="C139" s="28" t="s">
        <v>666</v>
      </c>
      <c r="D139" s="28" t="s">
        <v>391</v>
      </c>
      <c r="E139" s="28" t="s">
        <v>734</v>
      </c>
      <c r="F139" s="28" t="s">
        <v>21</v>
      </c>
      <c r="G139" s="28" t="s">
        <v>149</v>
      </c>
      <c r="H139" s="28" t="s">
        <v>693</v>
      </c>
      <c r="I139" s="28" t="s">
        <v>733</v>
      </c>
      <c r="J139" s="28" t="s">
        <v>669</v>
      </c>
      <c r="K139" s="28" t="s">
        <v>670</v>
      </c>
      <c r="L139" s="28" t="s">
        <v>138</v>
      </c>
      <c r="M139" s="28" t="s">
        <v>735</v>
      </c>
      <c r="O139" s="28" t="s">
        <v>695</v>
      </c>
      <c r="P139" s="28" t="s">
        <v>673</v>
      </c>
    </row>
    <row r="140" spans="1:16" x14ac:dyDescent="0.25">
      <c r="A140" s="28" t="s">
        <v>736</v>
      </c>
      <c r="B140" s="28" t="s">
        <v>737</v>
      </c>
      <c r="C140" s="28" t="s">
        <v>666</v>
      </c>
      <c r="D140" s="28" t="s">
        <v>391</v>
      </c>
      <c r="E140" s="28" t="s">
        <v>738</v>
      </c>
      <c r="F140" s="28" t="s">
        <v>21</v>
      </c>
      <c r="G140" s="28" t="s">
        <v>149</v>
      </c>
      <c r="H140" s="28" t="s">
        <v>693</v>
      </c>
      <c r="I140" s="28" t="s">
        <v>737</v>
      </c>
      <c r="J140" s="28" t="s">
        <v>669</v>
      </c>
      <c r="K140" s="28" t="s">
        <v>670</v>
      </c>
      <c r="L140" s="28" t="s">
        <v>138</v>
      </c>
      <c r="M140" s="28" t="s">
        <v>739</v>
      </c>
      <c r="O140" s="28" t="s">
        <v>695</v>
      </c>
      <c r="P140" s="28" t="s">
        <v>673</v>
      </c>
    </row>
    <row r="141" spans="1:16" x14ac:dyDescent="0.25">
      <c r="A141" s="28" t="s">
        <v>740</v>
      </c>
      <c r="B141" s="28" t="s">
        <v>741</v>
      </c>
      <c r="C141" s="28" t="s">
        <v>666</v>
      </c>
      <c r="D141" s="28" t="s">
        <v>391</v>
      </c>
      <c r="E141" s="28" t="s">
        <v>742</v>
      </c>
      <c r="F141" s="28" t="s">
        <v>21</v>
      </c>
      <c r="G141" s="28" t="s">
        <v>149</v>
      </c>
      <c r="H141" s="28" t="s">
        <v>693</v>
      </c>
      <c r="I141" s="28" t="s">
        <v>741</v>
      </c>
      <c r="J141" s="28" t="s">
        <v>669</v>
      </c>
      <c r="K141" s="28" t="s">
        <v>670</v>
      </c>
      <c r="L141" s="28" t="s">
        <v>138</v>
      </c>
      <c r="M141" s="28" t="s">
        <v>743</v>
      </c>
      <c r="O141" s="28" t="s">
        <v>695</v>
      </c>
      <c r="P141" s="28" t="s">
        <v>673</v>
      </c>
    </row>
    <row r="142" spans="1:16" x14ac:dyDescent="0.25">
      <c r="A142" s="28" t="s">
        <v>744</v>
      </c>
      <c r="B142" s="28" t="s">
        <v>745</v>
      </c>
      <c r="C142" s="28" t="s">
        <v>666</v>
      </c>
      <c r="D142" s="28" t="s">
        <v>391</v>
      </c>
      <c r="E142" s="28" t="s">
        <v>746</v>
      </c>
      <c r="F142" s="28" t="s">
        <v>21</v>
      </c>
      <c r="G142" s="28" t="s">
        <v>149</v>
      </c>
      <c r="H142" s="28" t="s">
        <v>693</v>
      </c>
      <c r="I142" s="28" t="s">
        <v>745</v>
      </c>
      <c r="J142" s="28" t="s">
        <v>669</v>
      </c>
      <c r="K142" s="28" t="s">
        <v>670</v>
      </c>
      <c r="L142" s="28" t="s">
        <v>138</v>
      </c>
      <c r="M142" s="28" t="s">
        <v>747</v>
      </c>
      <c r="O142" s="28" t="s">
        <v>695</v>
      </c>
      <c r="P142" s="28" t="s">
        <v>673</v>
      </c>
    </row>
    <row r="143" spans="1:16" x14ac:dyDescent="0.25">
      <c r="A143" s="28" t="s">
        <v>748</v>
      </c>
      <c r="B143" s="28" t="s">
        <v>749</v>
      </c>
      <c r="C143" s="28" t="s">
        <v>666</v>
      </c>
      <c r="D143" s="28" t="s">
        <v>391</v>
      </c>
      <c r="E143" s="28" t="s">
        <v>750</v>
      </c>
      <c r="F143" s="28" t="s">
        <v>21</v>
      </c>
      <c r="G143" s="28" t="s">
        <v>149</v>
      </c>
      <c r="H143" s="28" t="s">
        <v>693</v>
      </c>
      <c r="I143" s="28" t="s">
        <v>749</v>
      </c>
      <c r="J143" s="28" t="s">
        <v>669</v>
      </c>
      <c r="K143" s="28" t="s">
        <v>670</v>
      </c>
      <c r="L143" s="28" t="s">
        <v>138</v>
      </c>
      <c r="M143" s="28" t="s">
        <v>751</v>
      </c>
      <c r="O143" s="28" t="s">
        <v>695</v>
      </c>
      <c r="P143" s="28" t="s">
        <v>673</v>
      </c>
    </row>
    <row r="144" spans="1:16" x14ac:dyDescent="0.25">
      <c r="A144" s="28" t="s">
        <v>752</v>
      </c>
      <c r="B144" s="28" t="s">
        <v>753</v>
      </c>
      <c r="C144" s="28" t="s">
        <v>666</v>
      </c>
      <c r="D144" s="28" t="s">
        <v>391</v>
      </c>
      <c r="E144" s="28" t="s">
        <v>754</v>
      </c>
      <c r="F144" s="28" t="s">
        <v>21</v>
      </c>
      <c r="G144" s="28" t="s">
        <v>149</v>
      </c>
      <c r="H144" s="28" t="s">
        <v>693</v>
      </c>
      <c r="I144" s="28" t="s">
        <v>753</v>
      </c>
      <c r="J144" s="28" t="s">
        <v>669</v>
      </c>
      <c r="K144" s="28" t="s">
        <v>670</v>
      </c>
      <c r="L144" s="28" t="s">
        <v>138</v>
      </c>
      <c r="M144" s="28" t="s">
        <v>755</v>
      </c>
      <c r="O144" s="28" t="s">
        <v>695</v>
      </c>
      <c r="P144" s="28" t="s">
        <v>673</v>
      </c>
    </row>
    <row r="145" spans="1:16" x14ac:dyDescent="0.25">
      <c r="A145" s="28" t="s">
        <v>756</v>
      </c>
      <c r="B145" s="28" t="s">
        <v>757</v>
      </c>
      <c r="C145" s="28" t="s">
        <v>666</v>
      </c>
      <c r="D145" s="28" t="s">
        <v>391</v>
      </c>
      <c r="E145" s="28" t="s">
        <v>758</v>
      </c>
      <c r="F145" s="28" t="s">
        <v>21</v>
      </c>
      <c r="G145" s="28" t="s">
        <v>149</v>
      </c>
      <c r="H145" s="28" t="s">
        <v>693</v>
      </c>
      <c r="I145" s="28" t="s">
        <v>757</v>
      </c>
      <c r="J145" s="28" t="s">
        <v>669</v>
      </c>
      <c r="K145" s="28" t="s">
        <v>670</v>
      </c>
      <c r="L145" s="28" t="s">
        <v>138</v>
      </c>
      <c r="M145" s="28" t="s">
        <v>759</v>
      </c>
      <c r="O145" s="28" t="s">
        <v>695</v>
      </c>
      <c r="P145" s="28" t="s">
        <v>673</v>
      </c>
    </row>
    <row r="146" spans="1:16" x14ac:dyDescent="0.25">
      <c r="A146" s="28" t="s">
        <v>760</v>
      </c>
      <c r="B146" s="28" t="s">
        <v>761</v>
      </c>
      <c r="C146" s="28" t="s">
        <v>666</v>
      </c>
      <c r="D146" s="28" t="s">
        <v>391</v>
      </c>
      <c r="E146" s="28" t="s">
        <v>762</v>
      </c>
      <c r="F146" s="28" t="s">
        <v>21</v>
      </c>
      <c r="G146" s="28" t="s">
        <v>149</v>
      </c>
      <c r="H146" s="28" t="s">
        <v>693</v>
      </c>
      <c r="I146" s="28" t="s">
        <v>761</v>
      </c>
      <c r="J146" s="28" t="s">
        <v>669</v>
      </c>
      <c r="K146" s="28" t="s">
        <v>670</v>
      </c>
      <c r="L146" s="28" t="s">
        <v>138</v>
      </c>
      <c r="M146" s="28" t="s">
        <v>763</v>
      </c>
      <c r="O146" s="28" t="s">
        <v>695</v>
      </c>
      <c r="P146" s="28" t="s">
        <v>673</v>
      </c>
    </row>
    <row r="147" spans="1:16" x14ac:dyDescent="0.25">
      <c r="A147" s="28" t="s">
        <v>764</v>
      </c>
      <c r="B147" s="28" t="s">
        <v>765</v>
      </c>
      <c r="C147" s="28" t="s">
        <v>666</v>
      </c>
      <c r="D147" s="28" t="s">
        <v>391</v>
      </c>
      <c r="E147" s="28" t="s">
        <v>766</v>
      </c>
      <c r="F147" s="28" t="s">
        <v>21</v>
      </c>
      <c r="G147" s="28" t="s">
        <v>149</v>
      </c>
      <c r="H147" s="28" t="s">
        <v>693</v>
      </c>
      <c r="I147" s="28" t="s">
        <v>765</v>
      </c>
      <c r="J147" s="28" t="s">
        <v>669</v>
      </c>
      <c r="K147" s="28" t="s">
        <v>670</v>
      </c>
      <c r="L147" s="28" t="s">
        <v>138</v>
      </c>
      <c r="M147" s="28" t="s">
        <v>767</v>
      </c>
      <c r="O147" s="28" t="s">
        <v>695</v>
      </c>
      <c r="P147" s="28" t="s">
        <v>673</v>
      </c>
    </row>
    <row r="148" spans="1:16" x14ac:dyDescent="0.25">
      <c r="A148" s="28" t="s">
        <v>768</v>
      </c>
      <c r="B148" s="28" t="s">
        <v>769</v>
      </c>
      <c r="C148" s="28" t="s">
        <v>666</v>
      </c>
      <c r="D148" s="28" t="s">
        <v>391</v>
      </c>
      <c r="E148" s="28" t="s">
        <v>770</v>
      </c>
      <c r="F148" s="28" t="s">
        <v>21</v>
      </c>
      <c r="G148" s="28" t="s">
        <v>149</v>
      </c>
      <c r="H148" s="28" t="s">
        <v>771</v>
      </c>
      <c r="I148" s="28" t="s">
        <v>769</v>
      </c>
      <c r="J148" s="28" t="s">
        <v>669</v>
      </c>
      <c r="K148" s="28" t="s">
        <v>670</v>
      </c>
      <c r="L148" s="28" t="s">
        <v>138</v>
      </c>
      <c r="M148" s="28" t="s">
        <v>772</v>
      </c>
      <c r="O148" s="28" t="s">
        <v>773</v>
      </c>
      <c r="P148" s="28" t="s">
        <v>673</v>
      </c>
    </row>
    <row r="149" spans="1:16" x14ac:dyDescent="0.25">
      <c r="A149" s="28" t="s">
        <v>774</v>
      </c>
      <c r="B149" s="28" t="s">
        <v>775</v>
      </c>
      <c r="C149" s="28" t="s">
        <v>666</v>
      </c>
      <c r="D149" s="28" t="s">
        <v>391</v>
      </c>
      <c r="E149" s="28" t="s">
        <v>776</v>
      </c>
      <c r="F149" s="28" t="s">
        <v>21</v>
      </c>
      <c r="G149" s="28" t="s">
        <v>149</v>
      </c>
      <c r="H149" s="28" t="s">
        <v>771</v>
      </c>
      <c r="I149" s="28" t="s">
        <v>775</v>
      </c>
      <c r="J149" s="28" t="s">
        <v>669</v>
      </c>
      <c r="K149" s="28" t="s">
        <v>670</v>
      </c>
      <c r="L149" s="28" t="s">
        <v>138</v>
      </c>
      <c r="M149" s="28" t="s">
        <v>777</v>
      </c>
      <c r="O149" s="28" t="s">
        <v>773</v>
      </c>
      <c r="P149" s="28" t="s">
        <v>673</v>
      </c>
    </row>
    <row r="150" spans="1:16" x14ac:dyDescent="0.25">
      <c r="A150" s="28" t="s">
        <v>778</v>
      </c>
      <c r="B150" s="28" t="s">
        <v>779</v>
      </c>
      <c r="C150" s="28" t="s">
        <v>666</v>
      </c>
      <c r="D150" s="28" t="s">
        <v>391</v>
      </c>
      <c r="E150" s="28" t="s">
        <v>780</v>
      </c>
      <c r="F150" s="28" t="s">
        <v>21</v>
      </c>
      <c r="G150" s="28" t="s">
        <v>149</v>
      </c>
      <c r="H150" s="28" t="s">
        <v>771</v>
      </c>
      <c r="I150" s="28" t="s">
        <v>779</v>
      </c>
      <c r="J150" s="28" t="s">
        <v>669</v>
      </c>
      <c r="K150" s="28" t="s">
        <v>670</v>
      </c>
      <c r="L150" s="28" t="s">
        <v>138</v>
      </c>
      <c r="M150" s="28" t="s">
        <v>781</v>
      </c>
      <c r="O150" s="28" t="s">
        <v>773</v>
      </c>
      <c r="P150" s="28" t="s">
        <v>673</v>
      </c>
    </row>
    <row r="151" spans="1:16" x14ac:dyDescent="0.25">
      <c r="A151" s="28" t="s">
        <v>782</v>
      </c>
      <c r="B151" s="28" t="s">
        <v>783</v>
      </c>
      <c r="C151" s="28" t="s">
        <v>666</v>
      </c>
      <c r="D151" s="28" t="s">
        <v>784</v>
      </c>
      <c r="E151" s="28" t="s">
        <v>785</v>
      </c>
      <c r="F151" s="28" t="s">
        <v>21</v>
      </c>
      <c r="G151" s="28" t="s">
        <v>207</v>
      </c>
      <c r="H151" s="28" t="s">
        <v>786</v>
      </c>
      <c r="I151" s="28" t="s">
        <v>783</v>
      </c>
      <c r="J151" s="28" t="s">
        <v>669</v>
      </c>
      <c r="K151" s="28" t="s">
        <v>787</v>
      </c>
      <c r="L151" s="28" t="s">
        <v>138</v>
      </c>
      <c r="M151" s="28" t="s">
        <v>788</v>
      </c>
      <c r="O151" s="28" t="s">
        <v>789</v>
      </c>
      <c r="P151" s="28" t="s">
        <v>790</v>
      </c>
    </row>
    <row r="152" spans="1:16" x14ac:dyDescent="0.25">
      <c r="A152" s="28" t="s">
        <v>791</v>
      </c>
      <c r="B152" s="28" t="s">
        <v>792</v>
      </c>
      <c r="C152" s="28" t="s">
        <v>666</v>
      </c>
      <c r="D152" s="28" t="s">
        <v>784</v>
      </c>
      <c r="E152" s="28" t="s">
        <v>793</v>
      </c>
      <c r="F152" s="28" t="s">
        <v>21</v>
      </c>
      <c r="G152" s="28" t="s">
        <v>207</v>
      </c>
      <c r="H152" s="28" t="s">
        <v>786</v>
      </c>
      <c r="I152" s="28" t="s">
        <v>792</v>
      </c>
      <c r="J152" s="28" t="s">
        <v>669</v>
      </c>
      <c r="K152" s="28" t="s">
        <v>787</v>
      </c>
      <c r="L152" s="28" t="s">
        <v>138</v>
      </c>
      <c r="M152" s="28" t="s">
        <v>794</v>
      </c>
      <c r="O152" s="28" t="s">
        <v>789</v>
      </c>
      <c r="P152" s="28" t="s">
        <v>790</v>
      </c>
    </row>
    <row r="153" spans="1:16" x14ac:dyDescent="0.25">
      <c r="A153" s="28" t="s">
        <v>795</v>
      </c>
      <c r="B153" s="28" t="s">
        <v>796</v>
      </c>
      <c r="C153" s="28" t="s">
        <v>666</v>
      </c>
      <c r="D153" s="28" t="s">
        <v>784</v>
      </c>
      <c r="E153" s="28" t="s">
        <v>797</v>
      </c>
      <c r="F153" s="28" t="s">
        <v>21</v>
      </c>
      <c r="G153" s="28" t="s">
        <v>207</v>
      </c>
      <c r="H153" s="28" t="s">
        <v>798</v>
      </c>
      <c r="I153" s="28" t="s">
        <v>796</v>
      </c>
      <c r="J153" s="28" t="s">
        <v>669</v>
      </c>
      <c r="K153" s="28" t="s">
        <v>799</v>
      </c>
      <c r="L153" s="28" t="s">
        <v>138</v>
      </c>
      <c r="M153" s="28" t="s">
        <v>800</v>
      </c>
      <c r="O153" s="28" t="s">
        <v>801</v>
      </c>
      <c r="P153" s="28" t="s">
        <v>802</v>
      </c>
    </row>
    <row r="154" spans="1:16" x14ac:dyDescent="0.25">
      <c r="A154" s="28" t="s">
        <v>803</v>
      </c>
      <c r="B154" s="28" t="s">
        <v>804</v>
      </c>
      <c r="C154" s="28" t="s">
        <v>666</v>
      </c>
      <c r="D154" s="28" t="s">
        <v>784</v>
      </c>
      <c r="E154" s="28" t="s">
        <v>805</v>
      </c>
      <c r="F154" s="28" t="s">
        <v>21</v>
      </c>
      <c r="G154" s="28" t="s">
        <v>207</v>
      </c>
      <c r="H154" s="28" t="s">
        <v>798</v>
      </c>
      <c r="I154" s="28" t="s">
        <v>804</v>
      </c>
      <c r="J154" s="28" t="s">
        <v>669</v>
      </c>
      <c r="K154" s="28" t="s">
        <v>799</v>
      </c>
      <c r="L154" s="28" t="s">
        <v>138</v>
      </c>
      <c r="M154" s="28" t="s">
        <v>806</v>
      </c>
      <c r="O154" s="28" t="s">
        <v>801</v>
      </c>
      <c r="P154" s="28" t="s">
        <v>802</v>
      </c>
    </row>
    <row r="155" spans="1:16" x14ac:dyDescent="0.25">
      <c r="A155" s="28" t="s">
        <v>807</v>
      </c>
      <c r="B155" s="28" t="s">
        <v>808</v>
      </c>
      <c r="C155" s="28" t="s">
        <v>666</v>
      </c>
      <c r="D155" s="28" t="s">
        <v>784</v>
      </c>
      <c r="E155" s="28" t="s">
        <v>809</v>
      </c>
      <c r="F155" s="28" t="s">
        <v>21</v>
      </c>
      <c r="G155" s="28" t="s">
        <v>207</v>
      </c>
      <c r="H155" s="28" t="s">
        <v>798</v>
      </c>
      <c r="I155" s="28" t="s">
        <v>808</v>
      </c>
      <c r="J155" s="28" t="s">
        <v>669</v>
      </c>
      <c r="K155" s="28" t="s">
        <v>799</v>
      </c>
      <c r="L155" s="28" t="s">
        <v>138</v>
      </c>
      <c r="M155" s="28" t="s">
        <v>810</v>
      </c>
      <c r="O155" s="28" t="s">
        <v>801</v>
      </c>
      <c r="P155" s="28" t="s">
        <v>802</v>
      </c>
    </row>
    <row r="156" spans="1:16" x14ac:dyDescent="0.25">
      <c r="A156" s="28" t="s">
        <v>811</v>
      </c>
      <c r="B156" s="28" t="s">
        <v>812</v>
      </c>
      <c r="C156" s="28" t="s">
        <v>666</v>
      </c>
      <c r="D156" s="28" t="s">
        <v>784</v>
      </c>
      <c r="E156" s="28" t="s">
        <v>813</v>
      </c>
      <c r="F156" s="28" t="s">
        <v>21</v>
      </c>
      <c r="G156" s="28" t="s">
        <v>207</v>
      </c>
      <c r="H156" s="28" t="s">
        <v>798</v>
      </c>
      <c r="I156" s="28" t="s">
        <v>812</v>
      </c>
      <c r="J156" s="28" t="s">
        <v>669</v>
      </c>
      <c r="K156" s="28" t="s">
        <v>799</v>
      </c>
      <c r="L156" s="28" t="s">
        <v>138</v>
      </c>
      <c r="M156" s="28" t="s">
        <v>814</v>
      </c>
      <c r="O156" s="28" t="s">
        <v>801</v>
      </c>
      <c r="P156" s="28" t="s">
        <v>802</v>
      </c>
    </row>
    <row r="157" spans="1:16" x14ac:dyDescent="0.25">
      <c r="A157" s="28" t="s">
        <v>815</v>
      </c>
      <c r="B157" s="28" t="s">
        <v>816</v>
      </c>
      <c r="C157" s="28" t="s">
        <v>666</v>
      </c>
      <c r="D157" s="28" t="s">
        <v>784</v>
      </c>
      <c r="E157" s="28" t="s">
        <v>817</v>
      </c>
      <c r="F157" s="28" t="s">
        <v>21</v>
      </c>
      <c r="G157" s="28" t="s">
        <v>207</v>
      </c>
      <c r="H157" s="28" t="s">
        <v>798</v>
      </c>
      <c r="I157" s="28" t="s">
        <v>816</v>
      </c>
      <c r="J157" s="28" t="s">
        <v>669</v>
      </c>
      <c r="K157" s="28" t="s">
        <v>799</v>
      </c>
      <c r="L157" s="28" t="s">
        <v>138</v>
      </c>
      <c r="M157" s="28" t="s">
        <v>818</v>
      </c>
      <c r="O157" s="28" t="s">
        <v>801</v>
      </c>
      <c r="P157" s="28" t="s">
        <v>802</v>
      </c>
    </row>
    <row r="158" spans="1:16" x14ac:dyDescent="0.25">
      <c r="A158" s="28" t="s">
        <v>819</v>
      </c>
      <c r="B158" s="28" t="s">
        <v>820</v>
      </c>
      <c r="C158" s="28" t="s">
        <v>666</v>
      </c>
      <c r="D158" s="28" t="s">
        <v>784</v>
      </c>
      <c r="E158" s="28" t="s">
        <v>821</v>
      </c>
      <c r="F158" s="28" t="s">
        <v>21</v>
      </c>
      <c r="G158" s="28" t="s">
        <v>149</v>
      </c>
      <c r="H158" s="28" t="s">
        <v>822</v>
      </c>
      <c r="I158" s="28" t="s">
        <v>820</v>
      </c>
      <c r="J158" s="28" t="s">
        <v>669</v>
      </c>
      <c r="K158" s="28" t="s">
        <v>823</v>
      </c>
      <c r="L158" s="28" t="s">
        <v>138</v>
      </c>
      <c r="M158" s="28" t="s">
        <v>824</v>
      </c>
      <c r="O158" s="28" t="s">
        <v>825</v>
      </c>
      <c r="P158" s="28" t="s">
        <v>826</v>
      </c>
    </row>
    <row r="159" spans="1:16" x14ac:dyDescent="0.25">
      <c r="A159" s="28" t="s">
        <v>827</v>
      </c>
      <c r="B159" s="28" t="s">
        <v>828</v>
      </c>
      <c r="C159" s="28" t="s">
        <v>666</v>
      </c>
      <c r="D159" s="28" t="s">
        <v>784</v>
      </c>
      <c r="E159" s="28" t="s">
        <v>829</v>
      </c>
      <c r="F159" s="28" t="s">
        <v>21</v>
      </c>
      <c r="G159" s="28" t="s">
        <v>149</v>
      </c>
      <c r="H159" s="28" t="s">
        <v>822</v>
      </c>
      <c r="I159" s="28" t="s">
        <v>828</v>
      </c>
      <c r="J159" s="28" t="s">
        <v>669</v>
      </c>
      <c r="K159" s="28" t="s">
        <v>823</v>
      </c>
      <c r="L159" s="28" t="s">
        <v>138</v>
      </c>
      <c r="M159" s="28" t="s">
        <v>830</v>
      </c>
      <c r="O159" s="28" t="s">
        <v>825</v>
      </c>
      <c r="P159" s="28" t="s">
        <v>831</v>
      </c>
    </row>
    <row r="160" spans="1:16" x14ac:dyDescent="0.25">
      <c r="A160" s="28" t="s">
        <v>832</v>
      </c>
      <c r="B160" s="28" t="s">
        <v>833</v>
      </c>
      <c r="C160" s="28" t="s">
        <v>666</v>
      </c>
      <c r="D160" s="28" t="s">
        <v>784</v>
      </c>
      <c r="E160" s="28" t="s">
        <v>834</v>
      </c>
      <c r="F160" s="28" t="s">
        <v>21</v>
      </c>
      <c r="G160" s="28" t="s">
        <v>149</v>
      </c>
      <c r="H160" s="28" t="s">
        <v>822</v>
      </c>
      <c r="I160" s="28" t="s">
        <v>833</v>
      </c>
      <c r="J160" s="28" t="s">
        <v>669</v>
      </c>
      <c r="K160" s="28" t="s">
        <v>823</v>
      </c>
      <c r="L160" s="28" t="s">
        <v>138</v>
      </c>
      <c r="M160" s="28" t="s">
        <v>835</v>
      </c>
      <c r="O160" s="28" t="s">
        <v>825</v>
      </c>
      <c r="P160" s="28" t="s">
        <v>831</v>
      </c>
    </row>
    <row r="161" spans="1:16" x14ac:dyDescent="0.25">
      <c r="A161" s="28" t="s">
        <v>836</v>
      </c>
      <c r="B161" s="28" t="s">
        <v>837</v>
      </c>
      <c r="C161" s="28" t="s">
        <v>666</v>
      </c>
      <c r="D161" s="28" t="s">
        <v>784</v>
      </c>
      <c r="E161" s="28" t="s">
        <v>838</v>
      </c>
      <c r="F161" s="28" t="s">
        <v>21</v>
      </c>
      <c r="G161" s="28" t="s">
        <v>149</v>
      </c>
      <c r="H161" s="28" t="s">
        <v>822</v>
      </c>
      <c r="I161" s="28" t="s">
        <v>837</v>
      </c>
      <c r="J161" s="28" t="s">
        <v>669</v>
      </c>
      <c r="K161" s="28" t="s">
        <v>823</v>
      </c>
      <c r="L161" s="28" t="s">
        <v>138</v>
      </c>
      <c r="M161" s="28" t="s">
        <v>839</v>
      </c>
      <c r="O161" s="28" t="s">
        <v>825</v>
      </c>
      <c r="P161" s="28" t="s">
        <v>831</v>
      </c>
    </row>
    <row r="162" spans="1:16" x14ac:dyDescent="0.25">
      <c r="A162" s="28" t="s">
        <v>840</v>
      </c>
      <c r="B162" s="28" t="s">
        <v>841</v>
      </c>
      <c r="C162" s="28" t="s">
        <v>666</v>
      </c>
      <c r="D162" s="28" t="s">
        <v>784</v>
      </c>
      <c r="E162" s="28" t="s">
        <v>842</v>
      </c>
      <c r="F162" s="28" t="s">
        <v>21</v>
      </c>
      <c r="G162" s="28" t="s">
        <v>149</v>
      </c>
      <c r="H162" s="28" t="s">
        <v>822</v>
      </c>
      <c r="I162" s="28" t="s">
        <v>841</v>
      </c>
      <c r="J162" s="28" t="s">
        <v>669</v>
      </c>
      <c r="K162" s="28" t="s">
        <v>823</v>
      </c>
      <c r="L162" s="28" t="s">
        <v>138</v>
      </c>
      <c r="M162" s="28" t="s">
        <v>843</v>
      </c>
      <c r="O162" s="28" t="s">
        <v>825</v>
      </c>
      <c r="P162" s="28" t="s">
        <v>831</v>
      </c>
    </row>
    <row r="163" spans="1:16" x14ac:dyDescent="0.25">
      <c r="A163" s="28" t="s">
        <v>844</v>
      </c>
      <c r="B163" s="28" t="s">
        <v>845</v>
      </c>
      <c r="C163" s="28" t="s">
        <v>666</v>
      </c>
      <c r="D163" s="28" t="s">
        <v>784</v>
      </c>
      <c r="E163" s="28" t="s">
        <v>846</v>
      </c>
      <c r="F163" s="28" t="s">
        <v>21</v>
      </c>
      <c r="G163" s="28" t="s">
        <v>149</v>
      </c>
      <c r="H163" s="28" t="s">
        <v>822</v>
      </c>
      <c r="I163" s="28" t="s">
        <v>845</v>
      </c>
      <c r="J163" s="28" t="s">
        <v>669</v>
      </c>
      <c r="K163" s="28" t="s">
        <v>823</v>
      </c>
      <c r="L163" s="28" t="s">
        <v>138</v>
      </c>
      <c r="M163" s="28" t="s">
        <v>847</v>
      </c>
      <c r="O163" s="28" t="s">
        <v>825</v>
      </c>
      <c r="P163" s="28" t="s">
        <v>831</v>
      </c>
    </row>
    <row r="164" spans="1:16" x14ac:dyDescent="0.25">
      <c r="A164" s="28" t="s">
        <v>848</v>
      </c>
      <c r="B164" s="28" t="s">
        <v>849</v>
      </c>
      <c r="C164" s="28" t="s">
        <v>666</v>
      </c>
      <c r="D164" s="28" t="s">
        <v>784</v>
      </c>
      <c r="E164" s="28" t="s">
        <v>850</v>
      </c>
      <c r="F164" s="28" t="s">
        <v>21</v>
      </c>
      <c r="G164" s="28" t="s">
        <v>149</v>
      </c>
      <c r="H164" s="28" t="s">
        <v>822</v>
      </c>
      <c r="I164" s="28" t="s">
        <v>849</v>
      </c>
      <c r="J164" s="28" t="s">
        <v>669</v>
      </c>
      <c r="K164" s="28" t="s">
        <v>823</v>
      </c>
      <c r="L164" s="28" t="s">
        <v>138</v>
      </c>
      <c r="M164" s="28" t="s">
        <v>851</v>
      </c>
      <c r="O164" s="28" t="s">
        <v>825</v>
      </c>
      <c r="P164" s="28" t="s">
        <v>831</v>
      </c>
    </row>
    <row r="165" spans="1:16" x14ac:dyDescent="0.25">
      <c r="A165" s="28" t="s">
        <v>852</v>
      </c>
      <c r="B165" s="28" t="s">
        <v>853</v>
      </c>
      <c r="C165" s="28" t="s">
        <v>666</v>
      </c>
      <c r="D165" s="28" t="s">
        <v>784</v>
      </c>
      <c r="E165" s="28" t="s">
        <v>854</v>
      </c>
      <c r="F165" s="28" t="s">
        <v>21</v>
      </c>
      <c r="G165" s="28" t="s">
        <v>149</v>
      </c>
      <c r="H165" s="28" t="s">
        <v>822</v>
      </c>
      <c r="I165" s="28" t="s">
        <v>853</v>
      </c>
      <c r="J165" s="28" t="s">
        <v>669</v>
      </c>
      <c r="K165" s="28" t="s">
        <v>823</v>
      </c>
      <c r="L165" s="28" t="s">
        <v>138</v>
      </c>
      <c r="M165" s="28" t="s">
        <v>855</v>
      </c>
      <c r="O165" s="28" t="s">
        <v>825</v>
      </c>
      <c r="P165" s="28" t="s">
        <v>831</v>
      </c>
    </row>
    <row r="166" spans="1:16" x14ac:dyDescent="0.25">
      <c r="A166" s="28" t="s">
        <v>856</v>
      </c>
      <c r="B166" s="28" t="s">
        <v>857</v>
      </c>
      <c r="C166" s="28" t="s">
        <v>666</v>
      </c>
      <c r="D166" s="28" t="s">
        <v>784</v>
      </c>
      <c r="E166" s="28" t="s">
        <v>858</v>
      </c>
      <c r="F166" s="28" t="s">
        <v>21</v>
      </c>
      <c r="G166" s="28" t="s">
        <v>149</v>
      </c>
      <c r="H166" s="28" t="s">
        <v>822</v>
      </c>
      <c r="I166" s="28" t="s">
        <v>857</v>
      </c>
      <c r="J166" s="28" t="s">
        <v>669</v>
      </c>
      <c r="K166" s="28" t="s">
        <v>823</v>
      </c>
      <c r="L166" s="28" t="s">
        <v>138</v>
      </c>
      <c r="M166" s="28" t="s">
        <v>859</v>
      </c>
      <c r="O166" s="28" t="s">
        <v>825</v>
      </c>
      <c r="P166" s="28" t="s">
        <v>831</v>
      </c>
    </row>
    <row r="167" spans="1:16" x14ac:dyDescent="0.25">
      <c r="A167" s="28" t="s">
        <v>860</v>
      </c>
      <c r="B167" s="28" t="s">
        <v>861</v>
      </c>
      <c r="C167" s="28" t="s">
        <v>666</v>
      </c>
      <c r="D167" s="28" t="s">
        <v>784</v>
      </c>
      <c r="E167" s="28" t="s">
        <v>862</v>
      </c>
      <c r="F167" s="28" t="s">
        <v>21</v>
      </c>
      <c r="G167" s="28" t="s">
        <v>149</v>
      </c>
      <c r="H167" s="28" t="s">
        <v>822</v>
      </c>
      <c r="I167" s="28" t="s">
        <v>861</v>
      </c>
      <c r="J167" s="28" t="s">
        <v>669</v>
      </c>
      <c r="K167" s="28" t="s">
        <v>823</v>
      </c>
      <c r="L167" s="28" t="s">
        <v>138</v>
      </c>
      <c r="M167" s="28" t="s">
        <v>863</v>
      </c>
      <c r="O167" s="28" t="s">
        <v>825</v>
      </c>
      <c r="P167" s="28" t="s">
        <v>831</v>
      </c>
    </row>
    <row r="168" spans="1:16" x14ac:dyDescent="0.25">
      <c r="A168" s="28" t="s">
        <v>864</v>
      </c>
      <c r="B168" s="28" t="s">
        <v>865</v>
      </c>
      <c r="C168" s="28" t="s">
        <v>666</v>
      </c>
      <c r="D168" s="28" t="s">
        <v>784</v>
      </c>
      <c r="E168" s="28" t="s">
        <v>866</v>
      </c>
      <c r="F168" s="28" t="s">
        <v>21</v>
      </c>
      <c r="G168" s="28" t="s">
        <v>149</v>
      </c>
      <c r="H168" s="28" t="s">
        <v>822</v>
      </c>
      <c r="I168" s="28" t="s">
        <v>865</v>
      </c>
      <c r="J168" s="28" t="s">
        <v>669</v>
      </c>
      <c r="K168" s="28" t="s">
        <v>823</v>
      </c>
      <c r="L168" s="28" t="s">
        <v>138</v>
      </c>
      <c r="M168" s="28" t="s">
        <v>867</v>
      </c>
      <c r="O168" s="28" t="s">
        <v>825</v>
      </c>
      <c r="P168" s="28" t="s">
        <v>831</v>
      </c>
    </row>
    <row r="169" spans="1:16" x14ac:dyDescent="0.25">
      <c r="A169" s="28" t="s">
        <v>868</v>
      </c>
      <c r="B169" s="28" t="s">
        <v>869</v>
      </c>
      <c r="C169" s="28" t="s">
        <v>870</v>
      </c>
      <c r="D169" s="28" t="s">
        <v>101</v>
      </c>
      <c r="E169" s="28" t="s">
        <v>871</v>
      </c>
      <c r="F169" s="28" t="s">
        <v>21</v>
      </c>
      <c r="G169" s="28" t="s">
        <v>135</v>
      </c>
      <c r="H169" s="28" t="s">
        <v>872</v>
      </c>
      <c r="I169" s="28" t="s">
        <v>869</v>
      </c>
      <c r="J169" s="28" t="s">
        <v>669</v>
      </c>
      <c r="K169" s="28" t="s">
        <v>873</v>
      </c>
      <c r="L169" s="28" t="s">
        <v>138</v>
      </c>
      <c r="M169" s="28" t="s">
        <v>874</v>
      </c>
      <c r="O169" s="28" t="s">
        <v>875</v>
      </c>
      <c r="P169" s="28" t="s">
        <v>876</v>
      </c>
    </row>
    <row r="170" spans="1:16" x14ac:dyDescent="0.25">
      <c r="A170" s="28" t="s">
        <v>877</v>
      </c>
      <c r="B170" s="28" t="s">
        <v>878</v>
      </c>
      <c r="C170" s="28" t="s">
        <v>666</v>
      </c>
      <c r="D170" s="28" t="s">
        <v>101</v>
      </c>
      <c r="E170" s="28" t="s">
        <v>871</v>
      </c>
      <c r="F170" s="28" t="s">
        <v>21</v>
      </c>
      <c r="G170" s="28" t="s">
        <v>135</v>
      </c>
      <c r="H170" s="28" t="s">
        <v>872</v>
      </c>
      <c r="I170" s="28" t="s">
        <v>878</v>
      </c>
      <c r="J170" s="28" t="s">
        <v>669</v>
      </c>
      <c r="K170" s="28" t="s">
        <v>873</v>
      </c>
      <c r="L170" s="28" t="s">
        <v>138</v>
      </c>
      <c r="M170" s="28" t="s">
        <v>874</v>
      </c>
      <c r="O170" s="28" t="s">
        <v>875</v>
      </c>
      <c r="P170" s="28" t="s">
        <v>876</v>
      </c>
    </row>
    <row r="171" spans="1:16" x14ac:dyDescent="0.25">
      <c r="A171" s="28" t="s">
        <v>879</v>
      </c>
      <c r="B171" s="28" t="s">
        <v>880</v>
      </c>
      <c r="C171" s="28" t="s">
        <v>870</v>
      </c>
      <c r="D171" s="28" t="s">
        <v>101</v>
      </c>
      <c r="E171" s="28" t="s">
        <v>881</v>
      </c>
      <c r="F171" s="28" t="s">
        <v>21</v>
      </c>
      <c r="G171" s="28" t="s">
        <v>135</v>
      </c>
      <c r="H171" s="28" t="s">
        <v>872</v>
      </c>
      <c r="I171" s="28" t="s">
        <v>880</v>
      </c>
      <c r="J171" s="28" t="s">
        <v>669</v>
      </c>
      <c r="K171" s="28" t="s">
        <v>873</v>
      </c>
      <c r="L171" s="28" t="s">
        <v>138</v>
      </c>
      <c r="M171" s="28" t="s">
        <v>882</v>
      </c>
      <c r="O171" s="28" t="s">
        <v>875</v>
      </c>
      <c r="P171" s="28" t="s">
        <v>876</v>
      </c>
    </row>
    <row r="172" spans="1:16" x14ac:dyDescent="0.25">
      <c r="A172" s="28" t="s">
        <v>883</v>
      </c>
      <c r="B172" s="28" t="s">
        <v>884</v>
      </c>
      <c r="C172" s="28" t="s">
        <v>666</v>
      </c>
      <c r="D172" s="28" t="s">
        <v>101</v>
      </c>
      <c r="E172" s="28" t="s">
        <v>881</v>
      </c>
      <c r="F172" s="28" t="s">
        <v>21</v>
      </c>
      <c r="G172" s="28" t="s">
        <v>135</v>
      </c>
      <c r="H172" s="28" t="s">
        <v>872</v>
      </c>
      <c r="I172" s="28" t="s">
        <v>884</v>
      </c>
      <c r="J172" s="28" t="s">
        <v>669</v>
      </c>
      <c r="K172" s="28" t="s">
        <v>873</v>
      </c>
      <c r="L172" s="28" t="s">
        <v>138</v>
      </c>
      <c r="M172" s="28" t="s">
        <v>882</v>
      </c>
      <c r="O172" s="28" t="s">
        <v>875</v>
      </c>
      <c r="P172" s="28" t="s">
        <v>876</v>
      </c>
    </row>
    <row r="173" spans="1:16" x14ac:dyDescent="0.25">
      <c r="A173" s="28" t="s">
        <v>885</v>
      </c>
      <c r="B173" s="28" t="s">
        <v>886</v>
      </c>
      <c r="C173" s="28" t="s">
        <v>870</v>
      </c>
      <c r="D173" s="28" t="s">
        <v>101</v>
      </c>
      <c r="E173" s="28" t="s">
        <v>887</v>
      </c>
      <c r="F173" s="28" t="s">
        <v>21</v>
      </c>
      <c r="G173" s="28" t="s">
        <v>135</v>
      </c>
      <c r="H173" s="28" t="s">
        <v>872</v>
      </c>
      <c r="I173" s="28" t="s">
        <v>886</v>
      </c>
      <c r="J173" s="28" t="s">
        <v>669</v>
      </c>
      <c r="K173" s="28" t="s">
        <v>873</v>
      </c>
      <c r="L173" s="28" t="s">
        <v>138</v>
      </c>
      <c r="M173" s="28" t="s">
        <v>888</v>
      </c>
      <c r="O173" s="28" t="s">
        <v>875</v>
      </c>
      <c r="P173" s="28" t="s">
        <v>876</v>
      </c>
    </row>
    <row r="174" spans="1:16" x14ac:dyDescent="0.25">
      <c r="A174" s="28" t="s">
        <v>889</v>
      </c>
      <c r="B174" s="28" t="s">
        <v>890</v>
      </c>
      <c r="C174" s="28" t="s">
        <v>666</v>
      </c>
      <c r="D174" s="28" t="s">
        <v>101</v>
      </c>
      <c r="E174" s="28" t="s">
        <v>887</v>
      </c>
      <c r="F174" s="28" t="s">
        <v>21</v>
      </c>
      <c r="G174" s="28" t="s">
        <v>135</v>
      </c>
      <c r="H174" s="28" t="s">
        <v>872</v>
      </c>
      <c r="I174" s="28" t="s">
        <v>890</v>
      </c>
      <c r="J174" s="28" t="s">
        <v>669</v>
      </c>
      <c r="K174" s="28" t="s">
        <v>873</v>
      </c>
      <c r="L174" s="28" t="s">
        <v>138</v>
      </c>
      <c r="M174" s="28" t="s">
        <v>888</v>
      </c>
      <c r="O174" s="28" t="s">
        <v>875</v>
      </c>
      <c r="P174" s="28" t="s">
        <v>876</v>
      </c>
    </row>
    <row r="175" spans="1:16" x14ac:dyDescent="0.25">
      <c r="A175" s="28" t="s">
        <v>891</v>
      </c>
      <c r="B175" s="28" t="s">
        <v>892</v>
      </c>
      <c r="C175" s="28" t="s">
        <v>870</v>
      </c>
      <c r="D175" s="28" t="s">
        <v>101</v>
      </c>
      <c r="E175" s="28" t="s">
        <v>893</v>
      </c>
      <c r="F175" s="28" t="s">
        <v>21</v>
      </c>
      <c r="G175" s="28" t="s">
        <v>135</v>
      </c>
      <c r="H175" s="28" t="s">
        <v>894</v>
      </c>
      <c r="I175" s="28" t="s">
        <v>892</v>
      </c>
      <c r="J175" s="28" t="s">
        <v>669</v>
      </c>
      <c r="K175" s="28" t="s">
        <v>895</v>
      </c>
      <c r="L175" s="28" t="s">
        <v>138</v>
      </c>
      <c r="M175" s="28" t="s">
        <v>896</v>
      </c>
      <c r="O175" s="28" t="s">
        <v>897</v>
      </c>
      <c r="P175" s="28" t="s">
        <v>898</v>
      </c>
    </row>
    <row r="176" spans="1:16" x14ac:dyDescent="0.25">
      <c r="A176" s="28" t="s">
        <v>899</v>
      </c>
      <c r="B176" s="28" t="s">
        <v>900</v>
      </c>
      <c r="C176" s="28" t="s">
        <v>666</v>
      </c>
      <c r="D176" s="28" t="s">
        <v>101</v>
      </c>
      <c r="E176" s="28" t="s">
        <v>893</v>
      </c>
      <c r="F176" s="28" t="s">
        <v>21</v>
      </c>
      <c r="G176" s="28" t="s">
        <v>135</v>
      </c>
      <c r="H176" s="28" t="s">
        <v>894</v>
      </c>
      <c r="I176" s="28" t="s">
        <v>900</v>
      </c>
      <c r="J176" s="28" t="s">
        <v>669</v>
      </c>
      <c r="K176" s="28" t="s">
        <v>901</v>
      </c>
      <c r="L176" s="28" t="s">
        <v>138</v>
      </c>
      <c r="M176" s="28" t="s">
        <v>896</v>
      </c>
      <c r="O176" s="28" t="s">
        <v>897</v>
      </c>
      <c r="P176" s="28" t="s">
        <v>902</v>
      </c>
    </row>
    <row r="177" spans="1:16" x14ac:dyDescent="0.25">
      <c r="A177" s="28" t="s">
        <v>903</v>
      </c>
      <c r="B177" s="28" t="s">
        <v>904</v>
      </c>
      <c r="C177" s="28" t="s">
        <v>870</v>
      </c>
      <c r="D177" s="28" t="s">
        <v>101</v>
      </c>
      <c r="E177" s="28" t="s">
        <v>893</v>
      </c>
      <c r="F177" s="28" t="s">
        <v>21</v>
      </c>
      <c r="G177" s="28" t="s">
        <v>207</v>
      </c>
      <c r="H177" s="28" t="s">
        <v>894</v>
      </c>
      <c r="I177" s="28" t="s">
        <v>904</v>
      </c>
      <c r="J177" s="28" t="s">
        <v>669</v>
      </c>
      <c r="K177" s="28" t="s">
        <v>905</v>
      </c>
      <c r="L177" s="28" t="s">
        <v>138</v>
      </c>
      <c r="M177" s="28" t="s">
        <v>906</v>
      </c>
      <c r="O177" s="28" t="s">
        <v>897</v>
      </c>
      <c r="P177" s="28" t="s">
        <v>907</v>
      </c>
    </row>
    <row r="178" spans="1:16" x14ac:dyDescent="0.25">
      <c r="A178" s="28" t="s">
        <v>908</v>
      </c>
      <c r="B178" s="28" t="s">
        <v>909</v>
      </c>
      <c r="C178" s="28" t="s">
        <v>666</v>
      </c>
      <c r="D178" s="28" t="s">
        <v>101</v>
      </c>
      <c r="E178" s="28" t="s">
        <v>893</v>
      </c>
      <c r="F178" s="28" t="s">
        <v>21</v>
      </c>
      <c r="G178" s="28" t="s">
        <v>135</v>
      </c>
      <c r="H178" s="28" t="s">
        <v>894</v>
      </c>
      <c r="I178" s="28" t="s">
        <v>909</v>
      </c>
      <c r="J178" s="28" t="s">
        <v>669</v>
      </c>
      <c r="K178" s="28" t="s">
        <v>910</v>
      </c>
      <c r="L178" s="28" t="s">
        <v>138</v>
      </c>
      <c r="M178" s="28" t="s">
        <v>906</v>
      </c>
      <c r="O178" s="28" t="s">
        <v>897</v>
      </c>
      <c r="P178" s="28" t="s">
        <v>911</v>
      </c>
    </row>
    <row r="179" spans="1:16" x14ac:dyDescent="0.25">
      <c r="A179" s="28" t="s">
        <v>912</v>
      </c>
      <c r="B179" s="28" t="s">
        <v>913</v>
      </c>
      <c r="C179" s="28" t="s">
        <v>870</v>
      </c>
      <c r="D179" s="28" t="s">
        <v>101</v>
      </c>
      <c r="E179" s="28" t="s">
        <v>893</v>
      </c>
      <c r="F179" s="28" t="s">
        <v>21</v>
      </c>
      <c r="G179" s="28" t="s">
        <v>135</v>
      </c>
      <c r="H179" s="28" t="s">
        <v>894</v>
      </c>
      <c r="I179" s="28" t="s">
        <v>913</v>
      </c>
      <c r="J179" s="28" t="s">
        <v>669</v>
      </c>
      <c r="K179" s="28" t="s">
        <v>914</v>
      </c>
      <c r="L179" s="28" t="s">
        <v>138</v>
      </c>
      <c r="M179" s="28" t="s">
        <v>915</v>
      </c>
      <c r="O179" s="28" t="s">
        <v>897</v>
      </c>
      <c r="P179" s="28" t="s">
        <v>916</v>
      </c>
    </row>
    <row r="180" spans="1:16" x14ac:dyDescent="0.25">
      <c r="A180" s="28" t="s">
        <v>917</v>
      </c>
      <c r="B180" s="28" t="s">
        <v>918</v>
      </c>
      <c r="C180" s="28" t="s">
        <v>666</v>
      </c>
      <c r="D180" s="28" t="s">
        <v>101</v>
      </c>
      <c r="E180" s="28" t="s">
        <v>893</v>
      </c>
      <c r="F180" s="28" t="s">
        <v>21</v>
      </c>
      <c r="G180" s="28" t="s">
        <v>135</v>
      </c>
      <c r="H180" s="28" t="s">
        <v>894</v>
      </c>
      <c r="I180" s="28" t="s">
        <v>918</v>
      </c>
      <c r="J180" s="28" t="s">
        <v>669</v>
      </c>
      <c r="K180" s="28" t="s">
        <v>919</v>
      </c>
      <c r="L180" s="28" t="s">
        <v>138</v>
      </c>
      <c r="M180" s="28" t="s">
        <v>915</v>
      </c>
      <c r="O180" s="28" t="s">
        <v>897</v>
      </c>
      <c r="P180" s="28" t="s">
        <v>920</v>
      </c>
    </row>
    <row r="181" spans="1:16" x14ac:dyDescent="0.25">
      <c r="A181" s="28" t="s">
        <v>921</v>
      </c>
      <c r="B181" s="28" t="s">
        <v>922</v>
      </c>
      <c r="C181" s="28" t="s">
        <v>666</v>
      </c>
      <c r="D181" s="28" t="s">
        <v>101</v>
      </c>
      <c r="E181" s="28" t="s">
        <v>923</v>
      </c>
      <c r="F181" s="28" t="s">
        <v>21</v>
      </c>
      <c r="G181" s="28" t="s">
        <v>207</v>
      </c>
      <c r="H181" s="28" t="s">
        <v>924</v>
      </c>
      <c r="I181" s="28" t="s">
        <v>922</v>
      </c>
      <c r="J181" s="28" t="s">
        <v>669</v>
      </c>
      <c r="K181" s="28" t="s">
        <v>925</v>
      </c>
      <c r="L181" s="28" t="s">
        <v>138</v>
      </c>
      <c r="M181" s="28" t="s">
        <v>926</v>
      </c>
      <c r="O181" s="28" t="s">
        <v>927</v>
      </c>
      <c r="P181" s="28" t="s">
        <v>928</v>
      </c>
    </row>
    <row r="182" spans="1:16" x14ac:dyDescent="0.25">
      <c r="A182" s="28" t="s">
        <v>929</v>
      </c>
      <c r="B182" s="28" t="s">
        <v>930</v>
      </c>
      <c r="C182" s="28" t="s">
        <v>666</v>
      </c>
      <c r="D182" s="28" t="s">
        <v>101</v>
      </c>
      <c r="E182" s="28" t="s">
        <v>923</v>
      </c>
      <c r="F182" s="28" t="s">
        <v>21</v>
      </c>
      <c r="G182" s="28" t="s">
        <v>207</v>
      </c>
      <c r="H182" s="28" t="s">
        <v>924</v>
      </c>
      <c r="I182" s="28" t="s">
        <v>930</v>
      </c>
      <c r="J182" s="28" t="s">
        <v>669</v>
      </c>
      <c r="K182" s="28" t="s">
        <v>925</v>
      </c>
      <c r="L182" s="28" t="s">
        <v>138</v>
      </c>
      <c r="M182" s="28" t="s">
        <v>931</v>
      </c>
      <c r="O182" s="28" t="s">
        <v>927</v>
      </c>
      <c r="P182" s="28" t="s">
        <v>932</v>
      </c>
    </row>
    <row r="183" spans="1:16" x14ac:dyDescent="0.25">
      <c r="A183" s="28" t="s">
        <v>933</v>
      </c>
      <c r="B183" s="28" t="s">
        <v>934</v>
      </c>
      <c r="C183" s="28" t="s">
        <v>666</v>
      </c>
      <c r="D183" s="28" t="s">
        <v>82</v>
      </c>
      <c r="E183" s="28" t="s">
        <v>935</v>
      </c>
      <c r="F183" s="28" t="s">
        <v>21</v>
      </c>
      <c r="G183" s="28" t="s">
        <v>149</v>
      </c>
      <c r="H183" s="28" t="s">
        <v>936</v>
      </c>
      <c r="I183" s="28" t="s">
        <v>934</v>
      </c>
      <c r="J183" s="28" t="s">
        <v>669</v>
      </c>
      <c r="K183" s="28" t="s">
        <v>937</v>
      </c>
      <c r="L183" s="28" t="s">
        <v>138</v>
      </c>
      <c r="M183" s="28" t="s">
        <v>938</v>
      </c>
      <c r="O183" s="28" t="s">
        <v>939</v>
      </c>
      <c r="P183" s="28" t="s">
        <v>940</v>
      </c>
    </row>
    <row r="184" spans="1:16" x14ac:dyDescent="0.25">
      <c r="A184" s="28" t="s">
        <v>941</v>
      </c>
      <c r="B184" s="28" t="s">
        <v>942</v>
      </c>
      <c r="C184" s="28" t="s">
        <v>870</v>
      </c>
      <c r="D184" s="28" t="s">
        <v>82</v>
      </c>
      <c r="E184" s="28" t="s">
        <v>943</v>
      </c>
      <c r="F184" s="28" t="s">
        <v>21</v>
      </c>
      <c r="G184" s="28" t="s">
        <v>135</v>
      </c>
      <c r="H184" s="28" t="s">
        <v>936</v>
      </c>
      <c r="I184" s="28" t="s">
        <v>942</v>
      </c>
      <c r="J184" s="28" t="s">
        <v>669</v>
      </c>
      <c r="K184" s="28" t="s">
        <v>944</v>
      </c>
      <c r="L184" s="28" t="s">
        <v>138</v>
      </c>
      <c r="M184" s="28" t="s">
        <v>945</v>
      </c>
      <c r="O184" s="28" t="s">
        <v>939</v>
      </c>
      <c r="P184" s="28" t="s">
        <v>946</v>
      </c>
    </row>
    <row r="185" spans="1:16" x14ac:dyDescent="0.25">
      <c r="A185" s="28" t="s">
        <v>947</v>
      </c>
      <c r="B185" s="28" t="s">
        <v>948</v>
      </c>
      <c r="C185" s="28" t="s">
        <v>666</v>
      </c>
      <c r="D185" s="28" t="s">
        <v>82</v>
      </c>
      <c r="E185" s="28" t="s">
        <v>943</v>
      </c>
      <c r="F185" s="28" t="s">
        <v>21</v>
      </c>
      <c r="G185" s="28" t="s">
        <v>149</v>
      </c>
      <c r="H185" s="28" t="s">
        <v>936</v>
      </c>
      <c r="I185" s="28" t="s">
        <v>948</v>
      </c>
      <c r="J185" s="28" t="s">
        <v>669</v>
      </c>
      <c r="K185" s="28" t="s">
        <v>949</v>
      </c>
      <c r="L185" s="28" t="s">
        <v>138</v>
      </c>
      <c r="M185" s="28" t="s">
        <v>945</v>
      </c>
      <c r="O185" s="28" t="s">
        <v>939</v>
      </c>
      <c r="P185" s="28" t="s">
        <v>950</v>
      </c>
    </row>
    <row r="186" spans="1:16" x14ac:dyDescent="0.25">
      <c r="A186" s="28" t="s">
        <v>951</v>
      </c>
      <c r="B186" s="28" t="s">
        <v>952</v>
      </c>
      <c r="C186" s="28" t="s">
        <v>666</v>
      </c>
      <c r="D186" s="28" t="s">
        <v>82</v>
      </c>
      <c r="E186" s="28" t="s">
        <v>953</v>
      </c>
      <c r="F186" s="28" t="s">
        <v>21</v>
      </c>
      <c r="G186" s="28" t="s">
        <v>149</v>
      </c>
      <c r="H186" s="28" t="s">
        <v>936</v>
      </c>
      <c r="I186" s="28" t="s">
        <v>952</v>
      </c>
      <c r="J186" s="28" t="s">
        <v>669</v>
      </c>
      <c r="K186" s="28" t="s">
        <v>954</v>
      </c>
      <c r="L186" s="28" t="s">
        <v>138</v>
      </c>
      <c r="M186" s="28" t="s">
        <v>955</v>
      </c>
      <c r="O186" s="28" t="s">
        <v>939</v>
      </c>
      <c r="P186" s="28" t="s">
        <v>956</v>
      </c>
    </row>
    <row r="187" spans="1:16" x14ac:dyDescent="0.25">
      <c r="A187" s="28" t="s">
        <v>957</v>
      </c>
      <c r="B187" s="28" t="s">
        <v>958</v>
      </c>
      <c r="C187" s="28" t="s">
        <v>666</v>
      </c>
      <c r="D187" s="28" t="s">
        <v>82</v>
      </c>
      <c r="E187" s="28" t="s">
        <v>959</v>
      </c>
      <c r="F187" s="28" t="s">
        <v>21</v>
      </c>
      <c r="G187" s="28" t="s">
        <v>149</v>
      </c>
      <c r="H187" s="28" t="s">
        <v>936</v>
      </c>
      <c r="I187" s="28" t="s">
        <v>958</v>
      </c>
      <c r="J187" s="28" t="s">
        <v>669</v>
      </c>
      <c r="K187" s="28" t="s">
        <v>954</v>
      </c>
      <c r="L187" s="28" t="s">
        <v>138</v>
      </c>
      <c r="M187" s="28" t="s">
        <v>960</v>
      </c>
      <c r="O187" s="28" t="s">
        <v>939</v>
      </c>
      <c r="P187" s="28" t="s">
        <v>961</v>
      </c>
    </row>
    <row r="188" spans="1:16" x14ac:dyDescent="0.25">
      <c r="A188" s="28" t="s">
        <v>962</v>
      </c>
      <c r="B188" s="28" t="s">
        <v>963</v>
      </c>
      <c r="C188" s="28" t="s">
        <v>666</v>
      </c>
      <c r="D188" s="28" t="s">
        <v>82</v>
      </c>
      <c r="E188" s="28" t="s">
        <v>964</v>
      </c>
      <c r="F188" s="28" t="s">
        <v>21</v>
      </c>
      <c r="G188" s="28" t="s">
        <v>149</v>
      </c>
      <c r="H188" s="28" t="s">
        <v>936</v>
      </c>
      <c r="I188" s="28" t="s">
        <v>963</v>
      </c>
      <c r="J188" s="28" t="s">
        <v>669</v>
      </c>
      <c r="K188" s="28" t="s">
        <v>954</v>
      </c>
      <c r="L188" s="28" t="s">
        <v>138</v>
      </c>
      <c r="M188" s="28" t="s">
        <v>965</v>
      </c>
      <c r="O188" s="28" t="s">
        <v>939</v>
      </c>
      <c r="P188" s="28" t="s">
        <v>966</v>
      </c>
    </row>
    <row r="189" spans="1:16" x14ac:dyDescent="0.25">
      <c r="A189" s="28" t="s">
        <v>967</v>
      </c>
      <c r="B189" s="28" t="s">
        <v>968</v>
      </c>
      <c r="C189" s="28" t="s">
        <v>666</v>
      </c>
      <c r="D189" s="28" t="s">
        <v>82</v>
      </c>
      <c r="E189" s="28" t="s">
        <v>969</v>
      </c>
      <c r="F189" s="28" t="s">
        <v>21</v>
      </c>
      <c r="G189" s="28" t="s">
        <v>149</v>
      </c>
      <c r="H189" s="28" t="s">
        <v>936</v>
      </c>
      <c r="I189" s="28" t="s">
        <v>968</v>
      </c>
      <c r="J189" s="28" t="s">
        <v>669</v>
      </c>
      <c r="K189" s="28" t="s">
        <v>954</v>
      </c>
      <c r="L189" s="28" t="s">
        <v>138</v>
      </c>
      <c r="M189" s="28" t="s">
        <v>970</v>
      </c>
      <c r="O189" s="28" t="s">
        <v>939</v>
      </c>
      <c r="P189" s="28" t="s">
        <v>971</v>
      </c>
    </row>
    <row r="190" spans="1:16" x14ac:dyDescent="0.25">
      <c r="A190" s="28" t="s">
        <v>972</v>
      </c>
      <c r="B190" s="28" t="s">
        <v>973</v>
      </c>
      <c r="C190" s="28" t="s">
        <v>666</v>
      </c>
      <c r="D190" s="28" t="s">
        <v>82</v>
      </c>
      <c r="E190" s="28" t="s">
        <v>974</v>
      </c>
      <c r="F190" s="28" t="s">
        <v>21</v>
      </c>
      <c r="G190" s="28" t="s">
        <v>207</v>
      </c>
      <c r="H190" s="28" t="s">
        <v>936</v>
      </c>
      <c r="I190" s="28" t="s">
        <v>973</v>
      </c>
      <c r="J190" s="28" t="s">
        <v>669</v>
      </c>
      <c r="K190" s="28" t="s">
        <v>975</v>
      </c>
      <c r="L190" s="28" t="s">
        <v>138</v>
      </c>
      <c r="M190" s="28" t="s">
        <v>976</v>
      </c>
      <c r="O190" s="28" t="s">
        <v>939</v>
      </c>
      <c r="P190" s="28" t="s">
        <v>977</v>
      </c>
    </row>
    <row r="191" spans="1:16" x14ac:dyDescent="0.25">
      <c r="A191" s="28" t="s">
        <v>978</v>
      </c>
      <c r="B191" s="28" t="s">
        <v>979</v>
      </c>
      <c r="C191" s="28" t="s">
        <v>666</v>
      </c>
      <c r="D191" s="28" t="s">
        <v>82</v>
      </c>
      <c r="E191" s="28" t="s">
        <v>980</v>
      </c>
      <c r="F191" s="28" t="s">
        <v>21</v>
      </c>
      <c r="G191" s="28" t="s">
        <v>207</v>
      </c>
      <c r="H191" s="28" t="s">
        <v>936</v>
      </c>
      <c r="I191" s="28" t="s">
        <v>979</v>
      </c>
      <c r="J191" s="28" t="s">
        <v>669</v>
      </c>
      <c r="K191" s="28" t="s">
        <v>975</v>
      </c>
      <c r="L191" s="28" t="s">
        <v>138</v>
      </c>
      <c r="M191" s="28" t="s">
        <v>981</v>
      </c>
      <c r="O191" s="28" t="s">
        <v>939</v>
      </c>
      <c r="P191" s="28" t="s">
        <v>982</v>
      </c>
    </row>
    <row r="192" spans="1:16" x14ac:dyDescent="0.25">
      <c r="A192" s="28" t="s">
        <v>983</v>
      </c>
      <c r="B192" s="28" t="s">
        <v>984</v>
      </c>
      <c r="C192" s="28" t="s">
        <v>666</v>
      </c>
      <c r="D192" s="28" t="s">
        <v>82</v>
      </c>
      <c r="E192" s="28" t="s">
        <v>985</v>
      </c>
      <c r="F192" s="28" t="s">
        <v>21</v>
      </c>
      <c r="G192" s="28" t="s">
        <v>207</v>
      </c>
      <c r="H192" s="28" t="s">
        <v>936</v>
      </c>
      <c r="I192" s="28" t="s">
        <v>984</v>
      </c>
      <c r="J192" s="28" t="s">
        <v>669</v>
      </c>
      <c r="K192" s="28" t="s">
        <v>975</v>
      </c>
      <c r="L192" s="28" t="s">
        <v>138</v>
      </c>
      <c r="M192" s="28" t="s">
        <v>986</v>
      </c>
      <c r="O192" s="28" t="s">
        <v>939</v>
      </c>
      <c r="P192" s="28" t="s">
        <v>987</v>
      </c>
    </row>
    <row r="193" spans="1:16" x14ac:dyDescent="0.25">
      <c r="A193" s="28" t="s">
        <v>988</v>
      </c>
      <c r="B193" s="28" t="s">
        <v>989</v>
      </c>
      <c r="C193" s="28" t="s">
        <v>666</v>
      </c>
      <c r="D193" s="28" t="s">
        <v>82</v>
      </c>
      <c r="E193" s="28" t="s">
        <v>990</v>
      </c>
      <c r="F193" s="28" t="s">
        <v>21</v>
      </c>
      <c r="G193" s="28" t="s">
        <v>207</v>
      </c>
      <c r="H193" s="28" t="s">
        <v>936</v>
      </c>
      <c r="I193" s="28" t="s">
        <v>989</v>
      </c>
      <c r="J193" s="28" t="s">
        <v>669</v>
      </c>
      <c r="K193" s="28" t="s">
        <v>975</v>
      </c>
      <c r="L193" s="28" t="s">
        <v>138</v>
      </c>
      <c r="M193" s="28" t="s">
        <v>991</v>
      </c>
      <c r="O193" s="28" t="s">
        <v>939</v>
      </c>
      <c r="P193" s="28" t="s">
        <v>992</v>
      </c>
    </row>
    <row r="194" spans="1:16" x14ac:dyDescent="0.25">
      <c r="A194" s="28" t="s">
        <v>993</v>
      </c>
      <c r="B194" s="28" t="s">
        <v>994</v>
      </c>
      <c r="C194" s="28" t="s">
        <v>666</v>
      </c>
      <c r="D194" s="28" t="s">
        <v>82</v>
      </c>
      <c r="E194" s="28" t="s">
        <v>995</v>
      </c>
      <c r="F194" s="28" t="s">
        <v>21</v>
      </c>
      <c r="G194" s="28" t="s">
        <v>207</v>
      </c>
      <c r="H194" s="28" t="s">
        <v>936</v>
      </c>
      <c r="I194" s="28" t="s">
        <v>994</v>
      </c>
      <c r="J194" s="28" t="s">
        <v>669</v>
      </c>
      <c r="K194" s="28" t="s">
        <v>975</v>
      </c>
      <c r="L194" s="28" t="s">
        <v>138</v>
      </c>
      <c r="M194" s="28" t="s">
        <v>996</v>
      </c>
      <c r="O194" s="28" t="s">
        <v>939</v>
      </c>
      <c r="P194" s="28" t="s">
        <v>997</v>
      </c>
    </row>
    <row r="195" spans="1:16" x14ac:dyDescent="0.25">
      <c r="A195" s="28" t="s">
        <v>998</v>
      </c>
      <c r="B195" s="28" t="s">
        <v>999</v>
      </c>
      <c r="C195" s="28" t="s">
        <v>666</v>
      </c>
      <c r="D195" s="28" t="s">
        <v>82</v>
      </c>
      <c r="E195" s="28" t="s">
        <v>1000</v>
      </c>
      <c r="F195" s="28" t="s">
        <v>21</v>
      </c>
      <c r="G195" s="28" t="s">
        <v>149</v>
      </c>
      <c r="H195" s="28" t="s">
        <v>936</v>
      </c>
      <c r="I195" s="28" t="s">
        <v>999</v>
      </c>
      <c r="J195" s="28" t="s">
        <v>669</v>
      </c>
      <c r="K195" s="28" t="s">
        <v>1001</v>
      </c>
      <c r="L195" s="28" t="s">
        <v>138</v>
      </c>
      <c r="M195" s="28" t="s">
        <v>1002</v>
      </c>
      <c r="O195" s="28" t="s">
        <v>939</v>
      </c>
      <c r="P195" s="28" t="s">
        <v>1003</v>
      </c>
    </row>
    <row r="196" spans="1:16" x14ac:dyDescent="0.25">
      <c r="A196" s="28" t="s">
        <v>1004</v>
      </c>
      <c r="B196" s="28" t="s">
        <v>1005</v>
      </c>
      <c r="C196" s="28" t="s">
        <v>870</v>
      </c>
      <c r="D196" s="28" t="s">
        <v>69</v>
      </c>
      <c r="E196" s="28" t="s">
        <v>1006</v>
      </c>
      <c r="F196" s="28" t="s">
        <v>21</v>
      </c>
      <c r="G196" s="28" t="s">
        <v>149</v>
      </c>
      <c r="H196" s="28" t="s">
        <v>1007</v>
      </c>
      <c r="I196" s="28" t="s">
        <v>1005</v>
      </c>
      <c r="J196" s="28" t="s">
        <v>669</v>
      </c>
      <c r="K196" s="28" t="s">
        <v>1008</v>
      </c>
      <c r="L196" s="28" t="s">
        <v>138</v>
      </c>
      <c r="M196" s="28" t="s">
        <v>1009</v>
      </c>
      <c r="O196" s="28" t="s">
        <v>1010</v>
      </c>
      <c r="P196" s="28" t="s">
        <v>1011</v>
      </c>
    </row>
    <row r="197" spans="1:16" x14ac:dyDescent="0.25">
      <c r="A197" s="28" t="s">
        <v>1012</v>
      </c>
      <c r="B197" s="28" t="s">
        <v>1013</v>
      </c>
      <c r="C197" s="28" t="s">
        <v>666</v>
      </c>
      <c r="D197" s="28" t="s">
        <v>69</v>
      </c>
      <c r="E197" s="28" t="s">
        <v>1014</v>
      </c>
      <c r="F197" s="28" t="s">
        <v>21</v>
      </c>
      <c r="G197" s="28" t="s">
        <v>207</v>
      </c>
      <c r="H197" s="28" t="s">
        <v>1015</v>
      </c>
      <c r="I197" s="28" t="s">
        <v>1013</v>
      </c>
      <c r="J197" s="28" t="s">
        <v>669</v>
      </c>
      <c r="K197" s="28" t="s">
        <v>1016</v>
      </c>
      <c r="L197" s="28" t="s">
        <v>138</v>
      </c>
      <c r="M197" s="28" t="s">
        <v>1017</v>
      </c>
      <c r="O197" s="28" t="s">
        <v>1018</v>
      </c>
      <c r="P197" s="28" t="s">
        <v>1019</v>
      </c>
    </row>
    <row r="198" spans="1:16" x14ac:dyDescent="0.25">
      <c r="A198" s="28" t="s">
        <v>1020</v>
      </c>
      <c r="B198" s="28" t="s">
        <v>1021</v>
      </c>
      <c r="C198" s="28" t="s">
        <v>666</v>
      </c>
      <c r="D198" s="28" t="s">
        <v>69</v>
      </c>
      <c r="E198" s="28" t="s">
        <v>1022</v>
      </c>
      <c r="F198" s="28" t="s">
        <v>21</v>
      </c>
      <c r="G198" s="28" t="s">
        <v>207</v>
      </c>
      <c r="H198" s="28" t="s">
        <v>1015</v>
      </c>
      <c r="I198" s="28" t="s">
        <v>1021</v>
      </c>
      <c r="J198" s="28" t="s">
        <v>669</v>
      </c>
      <c r="K198" s="28" t="s">
        <v>1023</v>
      </c>
      <c r="L198" s="28" t="s">
        <v>138</v>
      </c>
      <c r="M198" s="28" t="s">
        <v>1024</v>
      </c>
      <c r="O198" s="28" t="s">
        <v>1018</v>
      </c>
      <c r="P198" s="28" t="s">
        <v>1025</v>
      </c>
    </row>
    <row r="199" spans="1:16" x14ac:dyDescent="0.25">
      <c r="A199" s="28" t="s">
        <v>1026</v>
      </c>
      <c r="B199" s="28" t="s">
        <v>1027</v>
      </c>
      <c r="C199" s="28" t="s">
        <v>666</v>
      </c>
      <c r="D199" s="28" t="s">
        <v>69</v>
      </c>
      <c r="E199" s="28" t="s">
        <v>1028</v>
      </c>
      <c r="F199" s="28" t="s">
        <v>21</v>
      </c>
      <c r="G199" s="28" t="s">
        <v>149</v>
      </c>
      <c r="H199" s="28" t="s">
        <v>1015</v>
      </c>
      <c r="I199" s="28" t="s">
        <v>1027</v>
      </c>
      <c r="J199" s="28" t="s">
        <v>669</v>
      </c>
      <c r="K199" s="28" t="s">
        <v>1029</v>
      </c>
      <c r="L199" s="28" t="s">
        <v>138</v>
      </c>
      <c r="M199" s="28" t="s">
        <v>1030</v>
      </c>
      <c r="O199" s="28" t="s">
        <v>1018</v>
      </c>
      <c r="P199" s="28" t="s">
        <v>1031</v>
      </c>
    </row>
    <row r="200" spans="1:16" x14ac:dyDescent="0.25">
      <c r="A200" s="28" t="s">
        <v>1032</v>
      </c>
      <c r="B200" s="28" t="s">
        <v>1033</v>
      </c>
      <c r="C200" s="28" t="s">
        <v>870</v>
      </c>
      <c r="D200" s="28" t="s">
        <v>69</v>
      </c>
      <c r="E200" s="28" t="s">
        <v>1034</v>
      </c>
      <c r="F200" s="28" t="s">
        <v>21</v>
      </c>
      <c r="G200" s="28" t="s">
        <v>149</v>
      </c>
      <c r="H200" s="28" t="s">
        <v>1007</v>
      </c>
      <c r="I200" s="28" t="s">
        <v>1033</v>
      </c>
      <c r="J200" s="28" t="s">
        <v>669</v>
      </c>
      <c r="K200" s="28" t="s">
        <v>1035</v>
      </c>
      <c r="L200" s="28" t="s">
        <v>138</v>
      </c>
      <c r="M200" s="28" t="s">
        <v>1036</v>
      </c>
      <c r="O200" s="28" t="s">
        <v>1010</v>
      </c>
      <c r="P200" s="28" t="s">
        <v>1037</v>
      </c>
    </row>
    <row r="201" spans="1:16" x14ac:dyDescent="0.25">
      <c r="A201" s="28" t="s">
        <v>1038</v>
      </c>
      <c r="B201" s="28" t="s">
        <v>1039</v>
      </c>
      <c r="C201" s="28" t="s">
        <v>666</v>
      </c>
      <c r="D201" s="28" t="s">
        <v>69</v>
      </c>
      <c r="E201" s="28" t="s">
        <v>1040</v>
      </c>
      <c r="F201" s="28" t="s">
        <v>21</v>
      </c>
      <c r="G201" s="28" t="s">
        <v>149</v>
      </c>
      <c r="H201" s="28" t="s">
        <v>1015</v>
      </c>
      <c r="I201" s="28" t="s">
        <v>1039</v>
      </c>
      <c r="J201" s="28" t="s">
        <v>669</v>
      </c>
      <c r="K201" s="28" t="s">
        <v>1041</v>
      </c>
      <c r="L201" s="28" t="s">
        <v>138</v>
      </c>
      <c r="M201" s="28" t="s">
        <v>1042</v>
      </c>
      <c r="O201" s="28" t="s">
        <v>1018</v>
      </c>
      <c r="P201" s="28" t="s">
        <v>1043</v>
      </c>
    </row>
    <row r="202" spans="1:16" x14ac:dyDescent="0.25">
      <c r="A202" s="28" t="s">
        <v>1044</v>
      </c>
      <c r="B202" s="28" t="s">
        <v>1045</v>
      </c>
      <c r="C202" s="28" t="s">
        <v>666</v>
      </c>
      <c r="D202" s="28" t="s">
        <v>69</v>
      </c>
      <c r="E202" s="28" t="s">
        <v>1046</v>
      </c>
      <c r="F202" s="28" t="s">
        <v>21</v>
      </c>
      <c r="G202" s="28" t="s">
        <v>207</v>
      </c>
      <c r="H202" s="28" t="s">
        <v>1015</v>
      </c>
      <c r="I202" s="28" t="s">
        <v>1045</v>
      </c>
      <c r="J202" s="28" t="s">
        <v>669</v>
      </c>
      <c r="K202" s="28" t="s">
        <v>1047</v>
      </c>
      <c r="L202" s="28" t="s">
        <v>138</v>
      </c>
      <c r="M202" s="28" t="s">
        <v>1048</v>
      </c>
      <c r="O202" s="28" t="s">
        <v>1018</v>
      </c>
      <c r="P202" s="28" t="s">
        <v>1049</v>
      </c>
    </row>
    <row r="203" spans="1:16" x14ac:dyDescent="0.25">
      <c r="A203" s="28" t="s">
        <v>1050</v>
      </c>
      <c r="B203" s="28" t="s">
        <v>1051</v>
      </c>
      <c r="C203" s="28" t="s">
        <v>870</v>
      </c>
      <c r="D203" s="28" t="s">
        <v>69</v>
      </c>
      <c r="E203" s="28" t="s">
        <v>1046</v>
      </c>
      <c r="F203" s="28" t="s">
        <v>21</v>
      </c>
      <c r="G203" s="28" t="s">
        <v>135</v>
      </c>
      <c r="H203" s="28" t="s">
        <v>1015</v>
      </c>
      <c r="I203" s="28" t="s">
        <v>1051</v>
      </c>
      <c r="J203" s="28" t="s">
        <v>669</v>
      </c>
      <c r="K203" s="28" t="s">
        <v>1052</v>
      </c>
      <c r="L203" s="28" t="s">
        <v>138</v>
      </c>
      <c r="M203" s="28" t="s">
        <v>1053</v>
      </c>
      <c r="O203" s="28" t="s">
        <v>1018</v>
      </c>
      <c r="P203" s="28" t="s">
        <v>1054</v>
      </c>
    </row>
    <row r="204" spans="1:16" x14ac:dyDescent="0.25">
      <c r="A204" s="28" t="s">
        <v>1055</v>
      </c>
      <c r="B204" s="28" t="s">
        <v>1056</v>
      </c>
      <c r="C204" s="28" t="s">
        <v>666</v>
      </c>
      <c r="D204" s="28" t="s">
        <v>69</v>
      </c>
      <c r="E204" s="28" t="s">
        <v>1046</v>
      </c>
      <c r="F204" s="28" t="s">
        <v>21</v>
      </c>
      <c r="G204" s="28" t="s">
        <v>149</v>
      </c>
      <c r="H204" s="28" t="s">
        <v>1015</v>
      </c>
      <c r="I204" s="28" t="s">
        <v>1056</v>
      </c>
      <c r="J204" s="28" t="s">
        <v>669</v>
      </c>
      <c r="K204" s="28" t="s">
        <v>1057</v>
      </c>
      <c r="L204" s="28" t="s">
        <v>138</v>
      </c>
      <c r="M204" s="28" t="s">
        <v>1053</v>
      </c>
      <c r="O204" s="28" t="s">
        <v>1018</v>
      </c>
      <c r="P204" s="28" t="s">
        <v>1058</v>
      </c>
    </row>
    <row r="205" spans="1:16" x14ac:dyDescent="0.25">
      <c r="A205" s="28" t="s">
        <v>1059</v>
      </c>
      <c r="B205" s="28" t="s">
        <v>1060</v>
      </c>
      <c r="C205" s="28" t="s">
        <v>870</v>
      </c>
      <c r="D205" s="28" t="s">
        <v>69</v>
      </c>
      <c r="E205" s="28" t="s">
        <v>1061</v>
      </c>
      <c r="F205" s="28" t="s">
        <v>21</v>
      </c>
      <c r="G205" s="28" t="s">
        <v>149</v>
      </c>
      <c r="H205" s="28" t="s">
        <v>1007</v>
      </c>
      <c r="I205" s="28" t="s">
        <v>1060</v>
      </c>
      <c r="J205" s="28" t="s">
        <v>669</v>
      </c>
      <c r="K205" s="28" t="s">
        <v>1035</v>
      </c>
      <c r="L205" s="28" t="s">
        <v>138</v>
      </c>
      <c r="M205" s="28" t="s">
        <v>1062</v>
      </c>
      <c r="O205" s="28" t="s">
        <v>1010</v>
      </c>
      <c r="P205" s="28" t="s">
        <v>1063</v>
      </c>
    </row>
    <row r="206" spans="1:16" x14ac:dyDescent="0.25">
      <c r="A206" s="28" t="s">
        <v>1064</v>
      </c>
      <c r="B206" s="28" t="s">
        <v>1065</v>
      </c>
      <c r="C206" s="28" t="s">
        <v>666</v>
      </c>
      <c r="D206" s="28" t="s">
        <v>69</v>
      </c>
      <c r="E206" s="28" t="s">
        <v>1066</v>
      </c>
      <c r="F206" s="28" t="s">
        <v>21</v>
      </c>
      <c r="G206" s="28" t="s">
        <v>149</v>
      </c>
      <c r="H206" s="28" t="s">
        <v>1015</v>
      </c>
      <c r="I206" s="28" t="s">
        <v>1065</v>
      </c>
      <c r="J206" s="28" t="s">
        <v>669</v>
      </c>
      <c r="K206" s="28" t="s">
        <v>1067</v>
      </c>
      <c r="L206" s="28" t="s">
        <v>138</v>
      </c>
      <c r="M206" s="28" t="s">
        <v>1068</v>
      </c>
      <c r="O206" s="28" t="s">
        <v>1018</v>
      </c>
      <c r="P206" s="28" t="s">
        <v>1069</v>
      </c>
    </row>
    <row r="207" spans="1:16" x14ac:dyDescent="0.25">
      <c r="A207" s="28" t="s">
        <v>1070</v>
      </c>
      <c r="B207" s="28" t="s">
        <v>1071</v>
      </c>
      <c r="C207" s="28" t="s">
        <v>666</v>
      </c>
      <c r="D207" s="28" t="s">
        <v>69</v>
      </c>
      <c r="E207" s="28" t="s">
        <v>1072</v>
      </c>
      <c r="F207" s="28" t="s">
        <v>21</v>
      </c>
      <c r="G207" s="28" t="s">
        <v>149</v>
      </c>
      <c r="H207" s="28" t="s">
        <v>1015</v>
      </c>
      <c r="I207" s="28" t="s">
        <v>1071</v>
      </c>
      <c r="J207" s="28" t="s">
        <v>669</v>
      </c>
      <c r="K207" s="28" t="s">
        <v>1073</v>
      </c>
      <c r="L207" s="28" t="s">
        <v>138</v>
      </c>
      <c r="M207" s="28" t="s">
        <v>1074</v>
      </c>
      <c r="O207" s="28" t="s">
        <v>1018</v>
      </c>
      <c r="P207" s="28" t="s">
        <v>1075</v>
      </c>
    </row>
    <row r="208" spans="1:16" x14ac:dyDescent="0.25">
      <c r="A208" s="28" t="s">
        <v>1076</v>
      </c>
      <c r="B208" s="28" t="s">
        <v>1077</v>
      </c>
      <c r="C208" s="28" t="s">
        <v>666</v>
      </c>
      <c r="D208" s="28" t="s">
        <v>1078</v>
      </c>
      <c r="E208" s="28" t="s">
        <v>1079</v>
      </c>
      <c r="F208" s="28" t="s">
        <v>21</v>
      </c>
      <c r="G208" s="28" t="s">
        <v>149</v>
      </c>
      <c r="H208" s="28" t="s">
        <v>1080</v>
      </c>
      <c r="I208" s="28" t="s">
        <v>1077</v>
      </c>
      <c r="J208" s="28" t="s">
        <v>669</v>
      </c>
      <c r="K208" s="28" t="s">
        <v>1081</v>
      </c>
      <c r="L208" s="28" t="s">
        <v>138</v>
      </c>
      <c r="M208" s="28" t="s">
        <v>1082</v>
      </c>
      <c r="O208" s="28" t="s">
        <v>1083</v>
      </c>
      <c r="P208" s="28" t="s">
        <v>1084</v>
      </c>
    </row>
    <row r="209" spans="1:16" x14ac:dyDescent="0.25">
      <c r="A209" s="28" t="s">
        <v>1085</v>
      </c>
      <c r="B209" s="28" t="s">
        <v>1086</v>
      </c>
      <c r="C209" s="28" t="s">
        <v>870</v>
      </c>
      <c r="D209" s="28" t="s">
        <v>1078</v>
      </c>
      <c r="E209" s="28" t="s">
        <v>1079</v>
      </c>
      <c r="F209" s="28" t="s">
        <v>21</v>
      </c>
      <c r="G209" s="28" t="s">
        <v>135</v>
      </c>
      <c r="H209" s="28" t="s">
        <v>1080</v>
      </c>
      <c r="I209" s="28" t="s">
        <v>1086</v>
      </c>
      <c r="J209" s="28" t="s">
        <v>669</v>
      </c>
      <c r="K209" s="28" t="s">
        <v>1087</v>
      </c>
      <c r="L209" s="28" t="s">
        <v>138</v>
      </c>
      <c r="M209" s="28" t="s">
        <v>1088</v>
      </c>
      <c r="O209" s="28" t="s">
        <v>1083</v>
      </c>
      <c r="P209" s="28" t="s">
        <v>1089</v>
      </c>
    </row>
    <row r="210" spans="1:16" x14ac:dyDescent="0.25">
      <c r="A210" s="28" t="s">
        <v>1090</v>
      </c>
      <c r="B210" s="28" t="s">
        <v>1091</v>
      </c>
      <c r="C210" s="28" t="s">
        <v>666</v>
      </c>
      <c r="D210" s="28" t="s">
        <v>1078</v>
      </c>
      <c r="E210" s="28" t="s">
        <v>1079</v>
      </c>
      <c r="F210" s="28" t="s">
        <v>21</v>
      </c>
      <c r="G210" s="28" t="s">
        <v>149</v>
      </c>
      <c r="H210" s="28" t="s">
        <v>1080</v>
      </c>
      <c r="I210" s="28" t="s">
        <v>1091</v>
      </c>
      <c r="J210" s="28" t="s">
        <v>669</v>
      </c>
      <c r="K210" s="28" t="s">
        <v>1092</v>
      </c>
      <c r="L210" s="28" t="s">
        <v>138</v>
      </c>
      <c r="M210" s="28" t="s">
        <v>1088</v>
      </c>
      <c r="O210" s="28" t="s">
        <v>1083</v>
      </c>
      <c r="P210" s="28" t="s">
        <v>1093</v>
      </c>
    </row>
    <row r="211" spans="1:16" x14ac:dyDescent="0.25">
      <c r="A211" s="28" t="s">
        <v>1094</v>
      </c>
      <c r="B211" s="28" t="s">
        <v>1095</v>
      </c>
      <c r="C211" s="28" t="s">
        <v>870</v>
      </c>
      <c r="D211" s="28" t="s">
        <v>1078</v>
      </c>
      <c r="E211" s="28" t="s">
        <v>1096</v>
      </c>
      <c r="F211" s="28" t="s">
        <v>21</v>
      </c>
      <c r="G211" s="28" t="s">
        <v>135</v>
      </c>
      <c r="H211" s="28" t="s">
        <v>1080</v>
      </c>
      <c r="I211" s="28" t="s">
        <v>1095</v>
      </c>
      <c r="J211" s="28" t="s">
        <v>669</v>
      </c>
      <c r="K211" s="28" t="s">
        <v>1097</v>
      </c>
      <c r="L211" s="28" t="s">
        <v>138</v>
      </c>
      <c r="M211" s="28" t="s">
        <v>1098</v>
      </c>
      <c r="O211" s="28" t="s">
        <v>1083</v>
      </c>
      <c r="P211" s="28" t="s">
        <v>1099</v>
      </c>
    </row>
    <row r="212" spans="1:16" x14ac:dyDescent="0.25">
      <c r="A212" s="28" t="s">
        <v>1100</v>
      </c>
      <c r="B212" s="28" t="s">
        <v>1101</v>
      </c>
      <c r="C212" s="28" t="s">
        <v>666</v>
      </c>
      <c r="D212" s="28" t="s">
        <v>1078</v>
      </c>
      <c r="E212" s="28" t="s">
        <v>1096</v>
      </c>
      <c r="F212" s="28" t="s">
        <v>21</v>
      </c>
      <c r="G212" s="28" t="s">
        <v>149</v>
      </c>
      <c r="H212" s="28" t="s">
        <v>1080</v>
      </c>
      <c r="I212" s="28" t="s">
        <v>1101</v>
      </c>
      <c r="J212" s="28" t="s">
        <v>669</v>
      </c>
      <c r="K212" s="28" t="s">
        <v>1102</v>
      </c>
      <c r="L212" s="28" t="s">
        <v>138</v>
      </c>
      <c r="M212" s="28" t="s">
        <v>1098</v>
      </c>
      <c r="O212" s="28" t="s">
        <v>1083</v>
      </c>
      <c r="P212" s="28" t="s">
        <v>1103</v>
      </c>
    </row>
    <row r="213" spans="1:16" x14ac:dyDescent="0.25">
      <c r="A213" s="28" t="s">
        <v>1104</v>
      </c>
      <c r="B213" s="28" t="s">
        <v>1105</v>
      </c>
      <c r="C213" s="28" t="s">
        <v>870</v>
      </c>
      <c r="D213" s="28" t="s">
        <v>1078</v>
      </c>
      <c r="E213" s="28" t="s">
        <v>1096</v>
      </c>
      <c r="F213" s="28" t="s">
        <v>21</v>
      </c>
      <c r="G213" s="28" t="s">
        <v>149</v>
      </c>
      <c r="H213" s="28" t="s">
        <v>1080</v>
      </c>
      <c r="I213" s="28" t="s">
        <v>1105</v>
      </c>
      <c r="J213" s="28" t="s">
        <v>669</v>
      </c>
      <c r="K213" s="28" t="s">
        <v>1106</v>
      </c>
      <c r="L213" s="28" t="s">
        <v>138</v>
      </c>
      <c r="M213" s="28" t="s">
        <v>1107</v>
      </c>
      <c r="O213" s="28" t="s">
        <v>1083</v>
      </c>
      <c r="P213" s="28" t="s">
        <v>1108</v>
      </c>
    </row>
    <row r="214" spans="1:16" x14ac:dyDescent="0.25">
      <c r="A214" s="28" t="s">
        <v>1109</v>
      </c>
      <c r="B214" s="28" t="s">
        <v>1110</v>
      </c>
      <c r="C214" s="28" t="s">
        <v>666</v>
      </c>
      <c r="D214" s="28" t="s">
        <v>1078</v>
      </c>
      <c r="E214" s="28" t="s">
        <v>1096</v>
      </c>
      <c r="F214" s="28" t="s">
        <v>21</v>
      </c>
      <c r="G214" s="28" t="s">
        <v>149</v>
      </c>
      <c r="H214" s="28" t="s">
        <v>1080</v>
      </c>
      <c r="I214" s="28" t="s">
        <v>1110</v>
      </c>
      <c r="J214" s="28" t="s">
        <v>669</v>
      </c>
      <c r="K214" s="28" t="s">
        <v>1111</v>
      </c>
      <c r="L214" s="28" t="s">
        <v>138</v>
      </c>
      <c r="M214" s="28" t="s">
        <v>1107</v>
      </c>
      <c r="O214" s="28" t="s">
        <v>1083</v>
      </c>
      <c r="P214" s="28" t="s">
        <v>1112</v>
      </c>
    </row>
    <row r="215" spans="1:16" x14ac:dyDescent="0.25">
      <c r="A215" s="28" t="s">
        <v>1113</v>
      </c>
      <c r="B215" s="28" t="s">
        <v>1114</v>
      </c>
      <c r="C215" s="28" t="s">
        <v>666</v>
      </c>
      <c r="D215" s="28" t="s">
        <v>1078</v>
      </c>
      <c r="E215" s="28" t="s">
        <v>1115</v>
      </c>
      <c r="F215" s="28" t="s">
        <v>21</v>
      </c>
      <c r="G215" s="28" t="s">
        <v>207</v>
      </c>
      <c r="H215" s="28" t="s">
        <v>1080</v>
      </c>
      <c r="I215" s="28" t="s">
        <v>1114</v>
      </c>
      <c r="J215" s="28" t="s">
        <v>669</v>
      </c>
      <c r="K215" s="28" t="s">
        <v>1116</v>
      </c>
      <c r="L215" s="28" t="s">
        <v>138</v>
      </c>
      <c r="M215" s="28" t="s">
        <v>1117</v>
      </c>
      <c r="O215" s="28" t="s">
        <v>1083</v>
      </c>
      <c r="P215" s="28" t="s">
        <v>1118</v>
      </c>
    </row>
    <row r="216" spans="1:16" x14ac:dyDescent="0.25">
      <c r="A216" s="28" t="s">
        <v>1119</v>
      </c>
      <c r="B216" s="28" t="s">
        <v>1120</v>
      </c>
      <c r="C216" s="28" t="s">
        <v>666</v>
      </c>
      <c r="D216" s="28" t="s">
        <v>1078</v>
      </c>
      <c r="E216" s="28" t="s">
        <v>1121</v>
      </c>
      <c r="F216" s="28" t="s">
        <v>21</v>
      </c>
      <c r="G216" s="28" t="s">
        <v>149</v>
      </c>
      <c r="H216" s="28" t="s">
        <v>1080</v>
      </c>
      <c r="I216" s="28" t="s">
        <v>1120</v>
      </c>
      <c r="J216" s="28" t="s">
        <v>669</v>
      </c>
      <c r="K216" s="28" t="s">
        <v>1122</v>
      </c>
      <c r="L216" s="28" t="s">
        <v>138</v>
      </c>
      <c r="M216" s="28" t="s">
        <v>1123</v>
      </c>
      <c r="O216" s="28" t="s">
        <v>1083</v>
      </c>
      <c r="P216" s="28" t="s">
        <v>1124</v>
      </c>
    </row>
    <row r="217" spans="1:16" x14ac:dyDescent="0.25">
      <c r="A217" s="28" t="s">
        <v>1125</v>
      </c>
      <c r="B217" s="28" t="s">
        <v>1126</v>
      </c>
      <c r="C217" s="28" t="s">
        <v>666</v>
      </c>
      <c r="D217" s="28" t="s">
        <v>1078</v>
      </c>
      <c r="E217" s="28" t="s">
        <v>1127</v>
      </c>
      <c r="F217" s="28" t="s">
        <v>21</v>
      </c>
      <c r="G217" s="28" t="s">
        <v>149</v>
      </c>
      <c r="H217" s="28" t="s">
        <v>1080</v>
      </c>
      <c r="I217" s="28" t="s">
        <v>1126</v>
      </c>
      <c r="J217" s="28" t="s">
        <v>669</v>
      </c>
      <c r="K217" s="28" t="s">
        <v>1128</v>
      </c>
      <c r="L217" s="28" t="s">
        <v>138</v>
      </c>
      <c r="M217" s="28" t="s">
        <v>1129</v>
      </c>
      <c r="O217" s="28" t="s">
        <v>1083</v>
      </c>
      <c r="P217" s="28" t="s">
        <v>1130</v>
      </c>
    </row>
    <row r="218" spans="1:16" x14ac:dyDescent="0.25">
      <c r="A218" s="28" t="s">
        <v>1131</v>
      </c>
      <c r="B218" s="28" t="s">
        <v>1132</v>
      </c>
      <c r="C218" s="28" t="s">
        <v>666</v>
      </c>
      <c r="D218" s="28" t="s">
        <v>1078</v>
      </c>
      <c r="E218" s="28" t="s">
        <v>1133</v>
      </c>
      <c r="F218" s="28" t="s">
        <v>21</v>
      </c>
      <c r="G218" s="28" t="s">
        <v>149</v>
      </c>
      <c r="H218" s="28" t="s">
        <v>1080</v>
      </c>
      <c r="I218" s="28" t="s">
        <v>1132</v>
      </c>
      <c r="J218" s="28" t="s">
        <v>669</v>
      </c>
      <c r="K218" s="28" t="s">
        <v>1134</v>
      </c>
      <c r="L218" s="28" t="s">
        <v>138</v>
      </c>
      <c r="M218" s="28" t="s">
        <v>1135</v>
      </c>
      <c r="O218" s="28" t="s">
        <v>1083</v>
      </c>
      <c r="P218" s="28" t="s">
        <v>1136</v>
      </c>
    </row>
    <row r="219" spans="1:16" x14ac:dyDescent="0.25">
      <c r="A219" s="28" t="s">
        <v>1137</v>
      </c>
      <c r="B219" s="28" t="s">
        <v>1138</v>
      </c>
      <c r="C219" s="28" t="s">
        <v>666</v>
      </c>
      <c r="D219" s="28" t="s">
        <v>1078</v>
      </c>
      <c r="E219" s="28" t="s">
        <v>1139</v>
      </c>
      <c r="F219" s="28" t="s">
        <v>21</v>
      </c>
      <c r="G219" s="28" t="s">
        <v>149</v>
      </c>
      <c r="H219" s="28" t="s">
        <v>1080</v>
      </c>
      <c r="I219" s="28" t="s">
        <v>1138</v>
      </c>
      <c r="J219" s="28" t="s">
        <v>669</v>
      </c>
      <c r="K219" s="28" t="s">
        <v>1140</v>
      </c>
      <c r="L219" s="28" t="s">
        <v>138</v>
      </c>
      <c r="M219" s="28" t="s">
        <v>1141</v>
      </c>
      <c r="O219" s="28" t="s">
        <v>1083</v>
      </c>
      <c r="P219" s="28" t="s">
        <v>1142</v>
      </c>
    </row>
    <row r="220" spans="1:16" x14ac:dyDescent="0.25">
      <c r="A220" s="28" t="s">
        <v>1143</v>
      </c>
      <c r="B220" s="28" t="s">
        <v>1144</v>
      </c>
      <c r="C220" s="28" t="s">
        <v>870</v>
      </c>
      <c r="D220" s="28" t="s">
        <v>1145</v>
      </c>
      <c r="E220" s="28" t="s">
        <v>1146</v>
      </c>
      <c r="F220" s="28" t="s">
        <v>21</v>
      </c>
      <c r="G220" s="28" t="s">
        <v>135</v>
      </c>
      <c r="H220" s="28" t="s">
        <v>1147</v>
      </c>
      <c r="I220" s="28" t="s">
        <v>1144</v>
      </c>
      <c r="J220" s="28" t="s">
        <v>669</v>
      </c>
      <c r="K220" s="28" t="s">
        <v>1148</v>
      </c>
      <c r="L220" s="28" t="s">
        <v>138</v>
      </c>
      <c r="M220" s="28" t="s">
        <v>1149</v>
      </c>
      <c r="O220" s="28" t="s">
        <v>1150</v>
      </c>
      <c r="P220" s="28" t="s">
        <v>1151</v>
      </c>
    </row>
    <row r="221" spans="1:16" x14ac:dyDescent="0.25">
      <c r="A221" s="28" t="s">
        <v>1152</v>
      </c>
      <c r="B221" s="28" t="s">
        <v>1153</v>
      </c>
      <c r="C221" s="28" t="s">
        <v>666</v>
      </c>
      <c r="D221" s="28" t="s">
        <v>1145</v>
      </c>
      <c r="E221" s="28" t="s">
        <v>1146</v>
      </c>
      <c r="F221" s="28" t="s">
        <v>21</v>
      </c>
      <c r="G221" s="28" t="s">
        <v>149</v>
      </c>
      <c r="H221" s="28" t="s">
        <v>1147</v>
      </c>
      <c r="I221" s="28" t="s">
        <v>1153</v>
      </c>
      <c r="J221" s="28" t="s">
        <v>669</v>
      </c>
      <c r="K221" s="28" t="s">
        <v>1154</v>
      </c>
      <c r="L221" s="28" t="s">
        <v>138</v>
      </c>
      <c r="M221" s="28" t="s">
        <v>1149</v>
      </c>
      <c r="O221" s="28" t="s">
        <v>1150</v>
      </c>
      <c r="P221" s="28" t="s">
        <v>1155</v>
      </c>
    </row>
    <row r="222" spans="1:16" x14ac:dyDescent="0.25">
      <c r="A222" s="28" t="s">
        <v>1156</v>
      </c>
      <c r="B222" s="28" t="s">
        <v>1157</v>
      </c>
      <c r="C222" s="28" t="s">
        <v>870</v>
      </c>
      <c r="D222" s="28" t="s">
        <v>1145</v>
      </c>
      <c r="E222" s="28" t="s">
        <v>1158</v>
      </c>
      <c r="F222" s="28" t="s">
        <v>21</v>
      </c>
      <c r="G222" s="28" t="s">
        <v>135</v>
      </c>
      <c r="H222" s="28" t="s">
        <v>1147</v>
      </c>
      <c r="I222" s="28" t="s">
        <v>1157</v>
      </c>
      <c r="J222" s="28" t="s">
        <v>669</v>
      </c>
      <c r="K222" s="28" t="s">
        <v>1159</v>
      </c>
      <c r="L222" s="28" t="s">
        <v>138</v>
      </c>
      <c r="M222" s="28" t="s">
        <v>1160</v>
      </c>
      <c r="O222" s="28" t="s">
        <v>1150</v>
      </c>
      <c r="P222" s="28" t="s">
        <v>1161</v>
      </c>
    </row>
    <row r="223" spans="1:16" x14ac:dyDescent="0.25">
      <c r="A223" s="28" t="s">
        <v>1162</v>
      </c>
      <c r="B223" s="28" t="s">
        <v>1163</v>
      </c>
      <c r="C223" s="28" t="s">
        <v>666</v>
      </c>
      <c r="D223" s="28" t="s">
        <v>1145</v>
      </c>
      <c r="E223" s="28" t="s">
        <v>1158</v>
      </c>
      <c r="F223" s="28" t="s">
        <v>21</v>
      </c>
      <c r="G223" s="28" t="s">
        <v>149</v>
      </c>
      <c r="H223" s="28" t="s">
        <v>1147</v>
      </c>
      <c r="I223" s="28" t="s">
        <v>1163</v>
      </c>
      <c r="J223" s="28" t="s">
        <v>669</v>
      </c>
      <c r="K223" s="28" t="s">
        <v>1164</v>
      </c>
      <c r="L223" s="28" t="s">
        <v>138</v>
      </c>
      <c r="M223" s="28" t="s">
        <v>1160</v>
      </c>
      <c r="O223" s="28" t="s">
        <v>1150</v>
      </c>
      <c r="P223" s="28" t="s">
        <v>1165</v>
      </c>
    </row>
    <row r="224" spans="1:16" x14ac:dyDescent="0.25">
      <c r="A224" s="28" t="s">
        <v>1166</v>
      </c>
      <c r="B224" s="28" t="s">
        <v>1167</v>
      </c>
      <c r="C224" s="28" t="s">
        <v>870</v>
      </c>
      <c r="D224" s="28" t="s">
        <v>1145</v>
      </c>
      <c r="E224" s="28" t="s">
        <v>1168</v>
      </c>
      <c r="F224" s="28" t="s">
        <v>21</v>
      </c>
      <c r="G224" s="28" t="s">
        <v>135</v>
      </c>
      <c r="H224" s="28" t="s">
        <v>1147</v>
      </c>
      <c r="I224" s="28" t="s">
        <v>1167</v>
      </c>
      <c r="J224" s="28" t="s">
        <v>669</v>
      </c>
      <c r="K224" s="28" t="s">
        <v>1169</v>
      </c>
      <c r="L224" s="28" t="s">
        <v>138</v>
      </c>
      <c r="M224" s="28" t="s">
        <v>1170</v>
      </c>
      <c r="O224" s="28" t="s">
        <v>1150</v>
      </c>
      <c r="P224" s="28" t="s">
        <v>1171</v>
      </c>
    </row>
    <row r="225" spans="1:16" x14ac:dyDescent="0.25">
      <c r="A225" s="28" t="s">
        <v>1172</v>
      </c>
      <c r="B225" s="28" t="s">
        <v>1173</v>
      </c>
      <c r="C225" s="28" t="s">
        <v>666</v>
      </c>
      <c r="D225" s="28" t="s">
        <v>1145</v>
      </c>
      <c r="E225" s="28" t="s">
        <v>1168</v>
      </c>
      <c r="F225" s="28" t="s">
        <v>21</v>
      </c>
      <c r="G225" s="28" t="s">
        <v>149</v>
      </c>
      <c r="H225" s="28" t="s">
        <v>1147</v>
      </c>
      <c r="I225" s="28" t="s">
        <v>1173</v>
      </c>
      <c r="J225" s="28" t="s">
        <v>669</v>
      </c>
      <c r="K225" s="28" t="s">
        <v>1174</v>
      </c>
      <c r="L225" s="28" t="s">
        <v>138</v>
      </c>
      <c r="M225" s="28" t="s">
        <v>1170</v>
      </c>
      <c r="O225" s="28" t="s">
        <v>1150</v>
      </c>
      <c r="P225" s="28" t="s">
        <v>1175</v>
      </c>
    </row>
    <row r="226" spans="1:16" x14ac:dyDescent="0.25">
      <c r="A226" s="28" t="s">
        <v>1176</v>
      </c>
      <c r="B226" s="28" t="s">
        <v>1177</v>
      </c>
      <c r="C226" s="28" t="s">
        <v>870</v>
      </c>
      <c r="D226" s="28" t="s">
        <v>1145</v>
      </c>
      <c r="E226" s="28" t="s">
        <v>1178</v>
      </c>
      <c r="F226" s="28" t="s">
        <v>21</v>
      </c>
      <c r="G226" s="28" t="s">
        <v>135</v>
      </c>
      <c r="H226" s="28" t="s">
        <v>1147</v>
      </c>
      <c r="I226" s="28" t="s">
        <v>1177</v>
      </c>
      <c r="J226" s="28" t="s">
        <v>669</v>
      </c>
      <c r="K226" s="28" t="s">
        <v>1179</v>
      </c>
      <c r="L226" s="28" t="s">
        <v>138</v>
      </c>
      <c r="M226" s="28" t="s">
        <v>1180</v>
      </c>
      <c r="O226" s="28" t="s">
        <v>1150</v>
      </c>
      <c r="P226" s="28" t="s">
        <v>1181</v>
      </c>
    </row>
    <row r="227" spans="1:16" x14ac:dyDescent="0.25">
      <c r="A227" s="28" t="s">
        <v>1182</v>
      </c>
      <c r="B227" s="28" t="s">
        <v>1183</v>
      </c>
      <c r="C227" s="28" t="s">
        <v>666</v>
      </c>
      <c r="D227" s="28" t="s">
        <v>1145</v>
      </c>
      <c r="E227" s="28" t="s">
        <v>1178</v>
      </c>
      <c r="F227" s="28" t="s">
        <v>21</v>
      </c>
      <c r="G227" s="28" t="s">
        <v>149</v>
      </c>
      <c r="H227" s="28" t="s">
        <v>1147</v>
      </c>
      <c r="I227" s="28" t="s">
        <v>1183</v>
      </c>
      <c r="J227" s="28" t="s">
        <v>669</v>
      </c>
      <c r="K227" s="28" t="s">
        <v>1184</v>
      </c>
      <c r="L227" s="28" t="s">
        <v>138</v>
      </c>
      <c r="M227" s="28" t="s">
        <v>1180</v>
      </c>
      <c r="O227" s="28" t="s">
        <v>1150</v>
      </c>
      <c r="P227" s="28" t="s">
        <v>1185</v>
      </c>
    </row>
    <row r="228" spans="1:16" x14ac:dyDescent="0.25">
      <c r="A228" s="28" t="s">
        <v>1186</v>
      </c>
      <c r="B228" s="28" t="s">
        <v>1187</v>
      </c>
      <c r="C228" s="28" t="s">
        <v>666</v>
      </c>
      <c r="D228" s="28" t="s">
        <v>1145</v>
      </c>
      <c r="E228" s="28" t="s">
        <v>1188</v>
      </c>
      <c r="F228" s="28" t="s">
        <v>21</v>
      </c>
      <c r="G228" s="28" t="s">
        <v>149</v>
      </c>
      <c r="H228" s="28" t="s">
        <v>1147</v>
      </c>
      <c r="I228" s="28" t="s">
        <v>1187</v>
      </c>
      <c r="J228" s="28" t="s">
        <v>669</v>
      </c>
      <c r="K228" s="28" t="s">
        <v>1189</v>
      </c>
      <c r="L228" s="28" t="s">
        <v>138</v>
      </c>
      <c r="M228" s="28" t="s">
        <v>1190</v>
      </c>
      <c r="O228" s="28" t="s">
        <v>1150</v>
      </c>
      <c r="P228" s="28" t="s">
        <v>1191</v>
      </c>
    </row>
    <row r="229" spans="1:16" x14ac:dyDescent="0.25">
      <c r="A229" s="28" t="s">
        <v>1192</v>
      </c>
      <c r="B229" s="28" t="s">
        <v>1193</v>
      </c>
      <c r="C229" s="28" t="s">
        <v>870</v>
      </c>
      <c r="D229" s="28" t="s">
        <v>1145</v>
      </c>
      <c r="E229" s="28" t="s">
        <v>1194</v>
      </c>
      <c r="F229" s="28" t="s">
        <v>21</v>
      </c>
      <c r="G229" s="28" t="s">
        <v>135</v>
      </c>
      <c r="H229" s="28" t="s">
        <v>1147</v>
      </c>
      <c r="I229" s="28" t="s">
        <v>1193</v>
      </c>
      <c r="J229" s="28" t="s">
        <v>669</v>
      </c>
      <c r="K229" s="28" t="s">
        <v>1195</v>
      </c>
      <c r="L229" s="28" t="s">
        <v>138</v>
      </c>
      <c r="M229" s="28" t="s">
        <v>1196</v>
      </c>
      <c r="O229" s="28" t="s">
        <v>1150</v>
      </c>
      <c r="P229" s="28" t="s">
        <v>1197</v>
      </c>
    </row>
    <row r="230" spans="1:16" x14ac:dyDescent="0.25">
      <c r="A230" s="28" t="s">
        <v>1198</v>
      </c>
      <c r="B230" s="28" t="s">
        <v>1199</v>
      </c>
      <c r="C230" s="28" t="s">
        <v>666</v>
      </c>
      <c r="D230" s="28" t="s">
        <v>1145</v>
      </c>
      <c r="E230" s="28" t="s">
        <v>1194</v>
      </c>
      <c r="F230" s="28" t="s">
        <v>21</v>
      </c>
      <c r="G230" s="28" t="s">
        <v>149</v>
      </c>
      <c r="H230" s="28" t="s">
        <v>1147</v>
      </c>
      <c r="I230" s="28" t="s">
        <v>1199</v>
      </c>
      <c r="J230" s="28" t="s">
        <v>669</v>
      </c>
      <c r="K230" s="28" t="s">
        <v>1200</v>
      </c>
      <c r="L230" s="28" t="s">
        <v>138</v>
      </c>
      <c r="M230" s="28" t="s">
        <v>1196</v>
      </c>
      <c r="O230" s="28" t="s">
        <v>1150</v>
      </c>
      <c r="P230" s="28" t="s">
        <v>1201</v>
      </c>
    </row>
    <row r="231" spans="1:16" x14ac:dyDescent="0.25">
      <c r="A231" s="28" t="s">
        <v>1202</v>
      </c>
      <c r="B231" s="28" t="s">
        <v>1203</v>
      </c>
      <c r="C231" s="28" t="s">
        <v>666</v>
      </c>
      <c r="D231" s="28" t="s">
        <v>1204</v>
      </c>
      <c r="E231" s="28" t="s">
        <v>1205</v>
      </c>
      <c r="F231" s="28" t="s">
        <v>21</v>
      </c>
      <c r="G231" s="28" t="s">
        <v>149</v>
      </c>
      <c r="H231" s="28" t="s">
        <v>1206</v>
      </c>
      <c r="I231" s="28" t="s">
        <v>1203</v>
      </c>
      <c r="J231" s="28" t="s">
        <v>669</v>
      </c>
      <c r="K231" s="28" t="s">
        <v>1207</v>
      </c>
      <c r="L231" s="28" t="s">
        <v>138</v>
      </c>
      <c r="M231" s="28" t="s">
        <v>1208</v>
      </c>
      <c r="O231" s="28" t="s">
        <v>1209</v>
      </c>
      <c r="P231" s="28" t="s">
        <v>1210</v>
      </c>
    </row>
    <row r="232" spans="1:16" x14ac:dyDescent="0.25">
      <c r="A232" s="28" t="s">
        <v>1211</v>
      </c>
      <c r="B232" s="28" t="s">
        <v>1212</v>
      </c>
      <c r="C232" s="28" t="s">
        <v>666</v>
      </c>
      <c r="D232" s="28" t="s">
        <v>1204</v>
      </c>
      <c r="E232" s="28" t="s">
        <v>1213</v>
      </c>
      <c r="F232" s="28" t="s">
        <v>21</v>
      </c>
      <c r="G232" s="28" t="s">
        <v>149</v>
      </c>
      <c r="H232" s="28" t="s">
        <v>1206</v>
      </c>
      <c r="I232" s="28" t="s">
        <v>1212</v>
      </c>
      <c r="J232" s="28" t="s">
        <v>669</v>
      </c>
      <c r="K232" s="28" t="s">
        <v>1214</v>
      </c>
      <c r="L232" s="28" t="s">
        <v>138</v>
      </c>
      <c r="M232" s="28" t="s">
        <v>1215</v>
      </c>
      <c r="O232" s="28" t="s">
        <v>1209</v>
      </c>
      <c r="P232" s="28" t="s">
        <v>1216</v>
      </c>
    </row>
    <row r="233" spans="1:16" x14ac:dyDescent="0.25">
      <c r="A233" s="28" t="s">
        <v>1217</v>
      </c>
      <c r="B233" s="28" t="s">
        <v>1218</v>
      </c>
      <c r="C233" s="28" t="s">
        <v>666</v>
      </c>
      <c r="D233" s="28" t="s">
        <v>1204</v>
      </c>
      <c r="E233" s="28" t="s">
        <v>1219</v>
      </c>
      <c r="F233" s="28" t="s">
        <v>21</v>
      </c>
      <c r="G233" s="28" t="s">
        <v>149</v>
      </c>
      <c r="H233" s="28" t="s">
        <v>1206</v>
      </c>
      <c r="I233" s="28" t="s">
        <v>1218</v>
      </c>
      <c r="J233" s="28" t="s">
        <v>669</v>
      </c>
      <c r="K233" s="28" t="s">
        <v>1220</v>
      </c>
      <c r="L233" s="28" t="s">
        <v>138</v>
      </c>
      <c r="M233" s="28" t="s">
        <v>1221</v>
      </c>
      <c r="O233" s="28" t="s">
        <v>1209</v>
      </c>
      <c r="P233" s="28" t="s">
        <v>1222</v>
      </c>
    </row>
    <row r="234" spans="1:16" x14ac:dyDescent="0.25">
      <c r="A234" s="28" t="s">
        <v>1223</v>
      </c>
      <c r="B234" s="28" t="s">
        <v>1224</v>
      </c>
      <c r="C234" s="28" t="s">
        <v>666</v>
      </c>
      <c r="D234" s="28" t="s">
        <v>1204</v>
      </c>
      <c r="E234" s="28" t="s">
        <v>1225</v>
      </c>
      <c r="F234" s="28" t="s">
        <v>21</v>
      </c>
      <c r="G234" s="28" t="s">
        <v>149</v>
      </c>
      <c r="H234" s="28" t="s">
        <v>1206</v>
      </c>
      <c r="I234" s="28" t="s">
        <v>1224</v>
      </c>
      <c r="J234" s="28" t="s">
        <v>669</v>
      </c>
      <c r="K234" s="28" t="s">
        <v>1226</v>
      </c>
      <c r="L234" s="28" t="s">
        <v>138</v>
      </c>
      <c r="M234" s="28" t="s">
        <v>1227</v>
      </c>
      <c r="O234" s="28" t="s">
        <v>1209</v>
      </c>
      <c r="P234" s="28" t="s">
        <v>1228</v>
      </c>
    </row>
    <row r="235" spans="1:16" x14ac:dyDescent="0.25">
      <c r="A235" s="28" t="s">
        <v>1229</v>
      </c>
      <c r="B235" s="28" t="s">
        <v>1230</v>
      </c>
      <c r="C235" s="28" t="s">
        <v>666</v>
      </c>
      <c r="D235" s="28" t="s">
        <v>1204</v>
      </c>
      <c r="E235" s="28" t="s">
        <v>1231</v>
      </c>
      <c r="F235" s="28" t="s">
        <v>21</v>
      </c>
      <c r="G235" s="28" t="s">
        <v>207</v>
      </c>
      <c r="H235" s="28" t="s">
        <v>1206</v>
      </c>
      <c r="I235" s="28" t="s">
        <v>1230</v>
      </c>
      <c r="J235" s="28" t="s">
        <v>669</v>
      </c>
      <c r="K235" s="28" t="s">
        <v>1232</v>
      </c>
      <c r="L235" s="28" t="s">
        <v>138</v>
      </c>
      <c r="M235" s="28" t="s">
        <v>1233</v>
      </c>
      <c r="O235" s="28" t="s">
        <v>1209</v>
      </c>
      <c r="P235" s="28" t="s">
        <v>1234</v>
      </c>
    </row>
    <row r="236" spans="1:16" x14ac:dyDescent="0.25">
      <c r="A236" s="28" t="s">
        <v>1235</v>
      </c>
      <c r="B236" s="28" t="s">
        <v>1236</v>
      </c>
      <c r="C236" s="28" t="s">
        <v>666</v>
      </c>
      <c r="D236" s="28" t="s">
        <v>1204</v>
      </c>
      <c r="E236" s="28" t="s">
        <v>1231</v>
      </c>
      <c r="F236" s="28" t="s">
        <v>21</v>
      </c>
      <c r="G236" s="28" t="s">
        <v>149</v>
      </c>
      <c r="H236" s="28" t="s">
        <v>1206</v>
      </c>
      <c r="I236" s="28" t="s">
        <v>1236</v>
      </c>
      <c r="J236" s="28" t="s">
        <v>669</v>
      </c>
      <c r="K236" s="28" t="s">
        <v>1237</v>
      </c>
      <c r="L236" s="28" t="s">
        <v>138</v>
      </c>
      <c r="M236" s="28" t="s">
        <v>1238</v>
      </c>
      <c r="O236" s="28" t="s">
        <v>1209</v>
      </c>
      <c r="P236" s="28" t="s">
        <v>1239</v>
      </c>
    </row>
    <row r="237" spans="1:16" x14ac:dyDescent="0.25">
      <c r="A237" s="28" t="s">
        <v>1240</v>
      </c>
      <c r="B237" s="28" t="s">
        <v>1241</v>
      </c>
      <c r="C237" s="28" t="s">
        <v>666</v>
      </c>
      <c r="D237" s="28" t="s">
        <v>1204</v>
      </c>
      <c r="E237" s="28" t="s">
        <v>1242</v>
      </c>
      <c r="F237" s="28" t="s">
        <v>21</v>
      </c>
      <c r="G237" s="28" t="s">
        <v>149</v>
      </c>
      <c r="H237" s="28" t="s">
        <v>1206</v>
      </c>
      <c r="I237" s="28" t="s">
        <v>1241</v>
      </c>
      <c r="J237" s="28" t="s">
        <v>669</v>
      </c>
      <c r="K237" s="28" t="s">
        <v>1243</v>
      </c>
      <c r="L237" s="28" t="s">
        <v>138</v>
      </c>
      <c r="M237" s="28" t="s">
        <v>1244</v>
      </c>
      <c r="O237" s="28" t="s">
        <v>1209</v>
      </c>
      <c r="P237" s="28" t="s">
        <v>1245</v>
      </c>
    </row>
    <row r="238" spans="1:16" x14ac:dyDescent="0.25">
      <c r="A238" s="28" t="s">
        <v>1246</v>
      </c>
      <c r="B238" s="28" t="s">
        <v>1247</v>
      </c>
      <c r="C238" s="28" t="s">
        <v>666</v>
      </c>
      <c r="D238" s="28" t="s">
        <v>1204</v>
      </c>
      <c r="E238" s="28" t="s">
        <v>1248</v>
      </c>
      <c r="F238" s="28" t="s">
        <v>21</v>
      </c>
      <c r="G238" s="28" t="s">
        <v>149</v>
      </c>
      <c r="H238" s="28" t="s">
        <v>1206</v>
      </c>
      <c r="I238" s="28" t="s">
        <v>1247</v>
      </c>
      <c r="J238" s="28" t="s">
        <v>669</v>
      </c>
      <c r="K238" s="28" t="s">
        <v>1249</v>
      </c>
      <c r="L238" s="28" t="s">
        <v>138</v>
      </c>
      <c r="M238" s="28" t="s">
        <v>1250</v>
      </c>
      <c r="O238" s="28" t="s">
        <v>1209</v>
      </c>
      <c r="P238" s="28" t="s">
        <v>1251</v>
      </c>
    </row>
    <row r="239" spans="1:16" x14ac:dyDescent="0.25">
      <c r="A239" s="28" t="s">
        <v>1252</v>
      </c>
      <c r="B239" s="28" t="s">
        <v>1253</v>
      </c>
      <c r="C239" s="28" t="s">
        <v>666</v>
      </c>
      <c r="D239" s="28" t="s">
        <v>1204</v>
      </c>
      <c r="E239" s="28" t="s">
        <v>1254</v>
      </c>
      <c r="F239" s="28" t="s">
        <v>21</v>
      </c>
      <c r="G239" s="28" t="s">
        <v>149</v>
      </c>
      <c r="H239" s="28" t="s">
        <v>1206</v>
      </c>
      <c r="I239" s="28" t="s">
        <v>1253</v>
      </c>
      <c r="J239" s="28" t="s">
        <v>669</v>
      </c>
      <c r="K239" s="28" t="s">
        <v>1255</v>
      </c>
      <c r="L239" s="28" t="s">
        <v>138</v>
      </c>
      <c r="M239" s="28" t="s">
        <v>1256</v>
      </c>
      <c r="O239" s="28" t="s">
        <v>1209</v>
      </c>
      <c r="P239" s="28" t="s">
        <v>1257</v>
      </c>
    </row>
    <row r="240" spans="1:16" x14ac:dyDescent="0.25">
      <c r="A240" s="28" t="s">
        <v>1258</v>
      </c>
      <c r="B240" s="28" t="s">
        <v>1259</v>
      </c>
      <c r="C240" s="28" t="s">
        <v>666</v>
      </c>
      <c r="D240" s="28" t="s">
        <v>1204</v>
      </c>
      <c r="E240" s="28" t="s">
        <v>1260</v>
      </c>
      <c r="F240" s="28" t="s">
        <v>21</v>
      </c>
      <c r="G240" s="28" t="s">
        <v>207</v>
      </c>
      <c r="H240" s="28" t="s">
        <v>1206</v>
      </c>
      <c r="I240" s="28" t="s">
        <v>1259</v>
      </c>
      <c r="J240" s="28" t="s">
        <v>669</v>
      </c>
      <c r="K240" s="28" t="s">
        <v>1261</v>
      </c>
      <c r="L240" s="28" t="s">
        <v>138</v>
      </c>
      <c r="M240" s="28" t="s">
        <v>1262</v>
      </c>
      <c r="O240" s="28" t="s">
        <v>1209</v>
      </c>
      <c r="P240" s="28" t="s">
        <v>1263</v>
      </c>
    </row>
    <row r="241" spans="1:16" x14ac:dyDescent="0.25">
      <c r="A241" s="28" t="s">
        <v>1264</v>
      </c>
      <c r="B241" s="28" t="s">
        <v>1265</v>
      </c>
      <c r="C241" s="28" t="s">
        <v>666</v>
      </c>
      <c r="D241" s="28" t="s">
        <v>1204</v>
      </c>
      <c r="E241" s="28" t="s">
        <v>1260</v>
      </c>
      <c r="F241" s="28" t="s">
        <v>21</v>
      </c>
      <c r="G241" s="28" t="s">
        <v>149</v>
      </c>
      <c r="H241" s="28" t="s">
        <v>1206</v>
      </c>
      <c r="I241" s="28" t="s">
        <v>1265</v>
      </c>
      <c r="J241" s="28" t="s">
        <v>669</v>
      </c>
      <c r="K241" s="28" t="s">
        <v>1266</v>
      </c>
      <c r="L241" s="28" t="s">
        <v>138</v>
      </c>
      <c r="M241" s="28" t="s">
        <v>1267</v>
      </c>
      <c r="O241" s="28" t="s">
        <v>1209</v>
      </c>
      <c r="P241" s="28" t="s">
        <v>1268</v>
      </c>
    </row>
    <row r="242" spans="1:16" x14ac:dyDescent="0.25">
      <c r="A242" s="28" t="s">
        <v>1269</v>
      </c>
      <c r="B242" s="28" t="s">
        <v>1270</v>
      </c>
      <c r="C242" s="28" t="s">
        <v>666</v>
      </c>
      <c r="D242" s="28" t="s">
        <v>1271</v>
      </c>
      <c r="E242" s="28" t="s">
        <v>1272</v>
      </c>
      <c r="F242" s="28" t="s">
        <v>21</v>
      </c>
      <c r="G242" s="28" t="s">
        <v>149</v>
      </c>
      <c r="H242" s="28" t="s">
        <v>1273</v>
      </c>
      <c r="I242" s="28" t="s">
        <v>1270</v>
      </c>
      <c r="J242" s="28" t="s">
        <v>669</v>
      </c>
      <c r="K242" s="28" t="s">
        <v>1274</v>
      </c>
      <c r="L242" s="28" t="s">
        <v>138</v>
      </c>
      <c r="M242" s="28" t="s">
        <v>1275</v>
      </c>
      <c r="O242" s="28" t="s">
        <v>1276</v>
      </c>
      <c r="P242" s="28" t="s">
        <v>1277</v>
      </c>
    </row>
    <row r="243" spans="1:16" x14ac:dyDescent="0.25">
      <c r="A243" s="28" t="s">
        <v>1278</v>
      </c>
      <c r="B243" s="28" t="s">
        <v>1279</v>
      </c>
      <c r="C243" s="28" t="s">
        <v>870</v>
      </c>
      <c r="D243" s="28" t="s">
        <v>1271</v>
      </c>
      <c r="E243" s="28" t="s">
        <v>1272</v>
      </c>
      <c r="F243" s="28" t="s">
        <v>21</v>
      </c>
      <c r="G243" s="28" t="s">
        <v>135</v>
      </c>
      <c r="H243" s="28" t="s">
        <v>1273</v>
      </c>
      <c r="I243" s="28" t="s">
        <v>1279</v>
      </c>
      <c r="J243" s="28" t="s">
        <v>669</v>
      </c>
      <c r="K243" s="28" t="s">
        <v>1280</v>
      </c>
      <c r="L243" s="28" t="s">
        <v>138</v>
      </c>
      <c r="M243" s="28" t="s">
        <v>1281</v>
      </c>
      <c r="O243" s="28" t="s">
        <v>1276</v>
      </c>
      <c r="P243" s="28" t="s">
        <v>1282</v>
      </c>
    </row>
    <row r="244" spans="1:16" x14ac:dyDescent="0.25">
      <c r="A244" s="28" t="s">
        <v>1283</v>
      </c>
      <c r="B244" s="28" t="s">
        <v>1284</v>
      </c>
      <c r="C244" s="28" t="s">
        <v>666</v>
      </c>
      <c r="D244" s="28" t="s">
        <v>1271</v>
      </c>
      <c r="E244" s="28" t="s">
        <v>1272</v>
      </c>
      <c r="F244" s="28" t="s">
        <v>21</v>
      </c>
      <c r="G244" s="28" t="s">
        <v>149</v>
      </c>
      <c r="H244" s="28" t="s">
        <v>1273</v>
      </c>
      <c r="I244" s="28" t="s">
        <v>1284</v>
      </c>
      <c r="J244" s="28" t="s">
        <v>669</v>
      </c>
      <c r="K244" s="28" t="s">
        <v>1285</v>
      </c>
      <c r="L244" s="28" t="s">
        <v>138</v>
      </c>
      <c r="M244" s="28" t="s">
        <v>1281</v>
      </c>
      <c r="O244" s="28" t="s">
        <v>1276</v>
      </c>
      <c r="P244" s="28" t="s">
        <v>1286</v>
      </c>
    </row>
    <row r="245" spans="1:16" x14ac:dyDescent="0.25">
      <c r="A245" s="28" t="s">
        <v>1287</v>
      </c>
      <c r="B245" s="28" t="s">
        <v>1288</v>
      </c>
      <c r="C245" s="28" t="s">
        <v>666</v>
      </c>
      <c r="D245" s="28" t="s">
        <v>1271</v>
      </c>
      <c r="E245" s="28" t="s">
        <v>1289</v>
      </c>
      <c r="F245" s="28" t="s">
        <v>21</v>
      </c>
      <c r="G245" s="28" t="s">
        <v>207</v>
      </c>
      <c r="H245" s="28" t="s">
        <v>1273</v>
      </c>
      <c r="I245" s="28" t="s">
        <v>1288</v>
      </c>
      <c r="J245" s="28" t="s">
        <v>669</v>
      </c>
      <c r="K245" s="28" t="s">
        <v>1290</v>
      </c>
      <c r="L245" s="28" t="s">
        <v>138</v>
      </c>
      <c r="M245" s="28" t="s">
        <v>1291</v>
      </c>
      <c r="O245" s="28" t="s">
        <v>1276</v>
      </c>
      <c r="P245" s="28" t="s">
        <v>1292</v>
      </c>
    </row>
    <row r="246" spans="1:16" x14ac:dyDescent="0.25">
      <c r="A246" s="28" t="s">
        <v>1293</v>
      </c>
      <c r="B246" s="28" t="s">
        <v>1294</v>
      </c>
      <c r="C246" s="28" t="s">
        <v>666</v>
      </c>
      <c r="D246" s="28" t="s">
        <v>1271</v>
      </c>
      <c r="E246" s="28" t="s">
        <v>1295</v>
      </c>
      <c r="F246" s="28" t="s">
        <v>21</v>
      </c>
      <c r="G246" s="28" t="s">
        <v>207</v>
      </c>
      <c r="H246" s="28" t="s">
        <v>1273</v>
      </c>
      <c r="I246" s="28" t="s">
        <v>1294</v>
      </c>
      <c r="J246" s="28" t="s">
        <v>669</v>
      </c>
      <c r="K246" s="28" t="s">
        <v>1296</v>
      </c>
      <c r="L246" s="28" t="s">
        <v>138</v>
      </c>
      <c r="M246" s="28" t="s">
        <v>1297</v>
      </c>
      <c r="O246" s="28" t="s">
        <v>1276</v>
      </c>
      <c r="P246" s="28" t="s">
        <v>1292</v>
      </c>
    </row>
    <row r="247" spans="1:16" x14ac:dyDescent="0.25">
      <c r="A247" s="28" t="s">
        <v>1298</v>
      </c>
      <c r="B247" s="28" t="s">
        <v>1299</v>
      </c>
      <c r="C247" s="28" t="s">
        <v>666</v>
      </c>
      <c r="D247" s="28" t="s">
        <v>1271</v>
      </c>
      <c r="E247" s="28" t="s">
        <v>1300</v>
      </c>
      <c r="F247" s="28" t="s">
        <v>21</v>
      </c>
      <c r="G247" s="28" t="s">
        <v>207</v>
      </c>
      <c r="H247" s="28" t="s">
        <v>1273</v>
      </c>
      <c r="I247" s="28" t="s">
        <v>1299</v>
      </c>
      <c r="J247" s="28" t="s">
        <v>669</v>
      </c>
      <c r="K247" s="28" t="s">
        <v>1301</v>
      </c>
      <c r="L247" s="28" t="s">
        <v>138</v>
      </c>
      <c r="M247" s="28" t="s">
        <v>1302</v>
      </c>
      <c r="O247" s="28" t="s">
        <v>1276</v>
      </c>
      <c r="P247" s="28" t="s">
        <v>1303</v>
      </c>
    </row>
    <row r="248" spans="1:16" x14ac:dyDescent="0.25">
      <c r="A248" s="28" t="s">
        <v>1304</v>
      </c>
      <c r="B248" s="28" t="s">
        <v>1305</v>
      </c>
      <c r="C248" s="28" t="s">
        <v>666</v>
      </c>
      <c r="D248" s="28" t="s">
        <v>1271</v>
      </c>
      <c r="E248" s="28" t="s">
        <v>1306</v>
      </c>
      <c r="F248" s="28" t="s">
        <v>21</v>
      </c>
      <c r="G248" s="28" t="s">
        <v>149</v>
      </c>
      <c r="H248" s="28" t="s">
        <v>1273</v>
      </c>
      <c r="I248" s="28" t="s">
        <v>1305</v>
      </c>
      <c r="J248" s="28" t="s">
        <v>669</v>
      </c>
      <c r="K248" s="28" t="s">
        <v>1307</v>
      </c>
      <c r="L248" s="28" t="s">
        <v>138</v>
      </c>
      <c r="M248" s="28" t="s">
        <v>1308</v>
      </c>
      <c r="O248" s="28" t="s">
        <v>1276</v>
      </c>
      <c r="P248" s="28" t="s">
        <v>1309</v>
      </c>
    </row>
    <row r="249" spans="1:16" x14ac:dyDescent="0.25">
      <c r="A249" s="28" t="s">
        <v>1310</v>
      </c>
      <c r="B249" s="28" t="s">
        <v>1311</v>
      </c>
      <c r="C249" s="28" t="s">
        <v>666</v>
      </c>
      <c r="D249" s="28" t="s">
        <v>1271</v>
      </c>
      <c r="E249" s="28" t="s">
        <v>1312</v>
      </c>
      <c r="F249" s="28" t="s">
        <v>21</v>
      </c>
      <c r="G249" s="28" t="s">
        <v>149</v>
      </c>
      <c r="H249" s="28" t="s">
        <v>1273</v>
      </c>
      <c r="I249" s="28" t="s">
        <v>1311</v>
      </c>
      <c r="J249" s="28" t="s">
        <v>669</v>
      </c>
      <c r="K249" s="28" t="s">
        <v>1313</v>
      </c>
      <c r="L249" s="28" t="s">
        <v>138</v>
      </c>
      <c r="M249" s="28" t="s">
        <v>1314</v>
      </c>
      <c r="O249" s="28" t="s">
        <v>1276</v>
      </c>
      <c r="P249" s="28" t="s">
        <v>1315</v>
      </c>
    </row>
    <row r="250" spans="1:16" x14ac:dyDescent="0.25">
      <c r="A250" s="28" t="s">
        <v>1316</v>
      </c>
      <c r="B250" s="28" t="s">
        <v>1317</v>
      </c>
      <c r="C250" s="28" t="s">
        <v>666</v>
      </c>
      <c r="D250" s="28" t="s">
        <v>1318</v>
      </c>
      <c r="E250" s="28" t="s">
        <v>1319</v>
      </c>
      <c r="F250" s="28" t="s">
        <v>21</v>
      </c>
      <c r="G250" s="28" t="s">
        <v>207</v>
      </c>
      <c r="H250" s="28" t="s">
        <v>1320</v>
      </c>
      <c r="I250" s="28" t="s">
        <v>1317</v>
      </c>
      <c r="J250" s="28" t="s">
        <v>669</v>
      </c>
      <c r="K250" s="28" t="s">
        <v>1321</v>
      </c>
      <c r="L250" s="28" t="s">
        <v>138</v>
      </c>
      <c r="M250" s="28" t="s">
        <v>1322</v>
      </c>
      <c r="O250" s="28" t="s">
        <v>1323</v>
      </c>
      <c r="P250" s="28" t="s">
        <v>1324</v>
      </c>
    </row>
    <row r="251" spans="1:16" x14ac:dyDescent="0.25">
      <c r="A251" s="28" t="s">
        <v>1325</v>
      </c>
      <c r="B251" s="28" t="s">
        <v>1326</v>
      </c>
      <c r="C251" s="28" t="s">
        <v>666</v>
      </c>
      <c r="D251" s="28" t="s">
        <v>1318</v>
      </c>
      <c r="E251" s="28" t="s">
        <v>1327</v>
      </c>
      <c r="F251" s="28" t="s">
        <v>21</v>
      </c>
      <c r="G251" s="28" t="s">
        <v>149</v>
      </c>
      <c r="H251" s="28" t="s">
        <v>1320</v>
      </c>
      <c r="I251" s="28" t="s">
        <v>1326</v>
      </c>
      <c r="J251" s="28" t="s">
        <v>669</v>
      </c>
      <c r="K251" s="28" t="s">
        <v>1328</v>
      </c>
      <c r="L251" s="28" t="s">
        <v>138</v>
      </c>
      <c r="M251" s="28" t="s">
        <v>1329</v>
      </c>
      <c r="O251" s="28" t="s">
        <v>1323</v>
      </c>
      <c r="P251" s="28" t="s">
        <v>1330</v>
      </c>
    </row>
    <row r="252" spans="1:16" x14ac:dyDescent="0.25">
      <c r="A252" s="28" t="s">
        <v>1331</v>
      </c>
      <c r="B252" s="28" t="s">
        <v>1332</v>
      </c>
      <c r="C252" s="28" t="s">
        <v>870</v>
      </c>
      <c r="D252" s="28" t="s">
        <v>1318</v>
      </c>
      <c r="E252" s="28" t="s">
        <v>1333</v>
      </c>
      <c r="F252" s="28" t="s">
        <v>21</v>
      </c>
      <c r="G252" s="28" t="s">
        <v>135</v>
      </c>
      <c r="H252" s="28" t="s">
        <v>1320</v>
      </c>
      <c r="I252" s="28" t="s">
        <v>1332</v>
      </c>
      <c r="J252" s="28" t="s">
        <v>669</v>
      </c>
      <c r="K252" s="28" t="s">
        <v>1334</v>
      </c>
      <c r="L252" s="28" t="s">
        <v>138</v>
      </c>
      <c r="M252" s="28" t="s">
        <v>1335</v>
      </c>
      <c r="O252" s="28" t="s">
        <v>1323</v>
      </c>
      <c r="P252" s="28" t="s">
        <v>1336</v>
      </c>
    </row>
    <row r="253" spans="1:16" x14ac:dyDescent="0.25">
      <c r="A253" s="28" t="s">
        <v>1337</v>
      </c>
      <c r="B253" s="28" t="s">
        <v>1338</v>
      </c>
      <c r="C253" s="28" t="s">
        <v>666</v>
      </c>
      <c r="D253" s="28" t="s">
        <v>1318</v>
      </c>
      <c r="E253" s="28" t="s">
        <v>1333</v>
      </c>
      <c r="F253" s="28" t="s">
        <v>21</v>
      </c>
      <c r="G253" s="28" t="s">
        <v>149</v>
      </c>
      <c r="H253" s="28" t="s">
        <v>1320</v>
      </c>
      <c r="I253" s="28" t="s">
        <v>1338</v>
      </c>
      <c r="J253" s="28" t="s">
        <v>669</v>
      </c>
      <c r="K253" s="28" t="s">
        <v>1339</v>
      </c>
      <c r="L253" s="28" t="s">
        <v>138</v>
      </c>
      <c r="M253" s="28" t="s">
        <v>1335</v>
      </c>
      <c r="O253" s="28" t="s">
        <v>1323</v>
      </c>
      <c r="P253" s="28" t="s">
        <v>1340</v>
      </c>
    </row>
    <row r="254" spans="1:16" x14ac:dyDescent="0.25">
      <c r="A254" s="28" t="s">
        <v>1341</v>
      </c>
      <c r="B254" s="28" t="s">
        <v>1342</v>
      </c>
      <c r="C254" s="28" t="s">
        <v>666</v>
      </c>
      <c r="D254" s="28" t="s">
        <v>1318</v>
      </c>
      <c r="E254" s="28" t="s">
        <v>1343</v>
      </c>
      <c r="F254" s="28" t="s">
        <v>21</v>
      </c>
      <c r="G254" s="28" t="s">
        <v>207</v>
      </c>
      <c r="H254" s="28" t="s">
        <v>1320</v>
      </c>
      <c r="I254" s="28" t="s">
        <v>1342</v>
      </c>
      <c r="J254" s="28" t="s">
        <v>669</v>
      </c>
      <c r="K254" s="28" t="s">
        <v>1344</v>
      </c>
      <c r="L254" s="28" t="s">
        <v>138</v>
      </c>
      <c r="M254" s="28" t="s">
        <v>1345</v>
      </c>
      <c r="O254" s="28" t="s">
        <v>1323</v>
      </c>
      <c r="P254" s="28" t="s">
        <v>1346</v>
      </c>
    </row>
    <row r="255" spans="1:16" x14ac:dyDescent="0.25">
      <c r="A255" s="28" t="s">
        <v>1347</v>
      </c>
      <c r="B255" s="28" t="s">
        <v>1348</v>
      </c>
      <c r="C255" s="28" t="s">
        <v>870</v>
      </c>
      <c r="D255" s="28" t="s">
        <v>1318</v>
      </c>
      <c r="E255" s="28" t="s">
        <v>1349</v>
      </c>
      <c r="F255" s="28" t="s">
        <v>21</v>
      </c>
      <c r="G255" s="28" t="s">
        <v>135</v>
      </c>
      <c r="H255" s="28" t="s">
        <v>1320</v>
      </c>
      <c r="I255" s="28" t="s">
        <v>1348</v>
      </c>
      <c r="J255" s="28" t="s">
        <v>669</v>
      </c>
      <c r="K255" s="28" t="s">
        <v>1350</v>
      </c>
      <c r="L255" s="28" t="s">
        <v>138</v>
      </c>
      <c r="M255" s="28" t="s">
        <v>1351</v>
      </c>
      <c r="O255" s="28" t="s">
        <v>1323</v>
      </c>
      <c r="P255" s="28" t="s">
        <v>1352</v>
      </c>
    </row>
    <row r="256" spans="1:16" x14ac:dyDescent="0.25">
      <c r="A256" s="28" t="s">
        <v>1353</v>
      </c>
      <c r="B256" s="28" t="s">
        <v>1354</v>
      </c>
      <c r="C256" s="28" t="s">
        <v>666</v>
      </c>
      <c r="D256" s="28" t="s">
        <v>1318</v>
      </c>
      <c r="E256" s="28" t="s">
        <v>1349</v>
      </c>
      <c r="F256" s="28" t="s">
        <v>21</v>
      </c>
      <c r="G256" s="28" t="s">
        <v>149</v>
      </c>
      <c r="H256" s="28" t="s">
        <v>1320</v>
      </c>
      <c r="I256" s="28" t="s">
        <v>1354</v>
      </c>
      <c r="J256" s="28" t="s">
        <v>669</v>
      </c>
      <c r="K256" s="28" t="s">
        <v>1355</v>
      </c>
      <c r="L256" s="28" t="s">
        <v>138</v>
      </c>
      <c r="M256" s="28" t="s">
        <v>1351</v>
      </c>
      <c r="O256" s="28" t="s">
        <v>1323</v>
      </c>
      <c r="P256" s="28" t="s">
        <v>1340</v>
      </c>
    </row>
    <row r="257" spans="1:16" x14ac:dyDescent="0.25">
      <c r="A257" s="28" t="s">
        <v>1356</v>
      </c>
      <c r="B257" s="28" t="s">
        <v>1357</v>
      </c>
      <c r="C257" s="28" t="s">
        <v>666</v>
      </c>
      <c r="D257" s="28" t="s">
        <v>1358</v>
      </c>
      <c r="E257" s="28" t="s">
        <v>1359</v>
      </c>
      <c r="F257" s="28" t="s">
        <v>21</v>
      </c>
      <c r="G257" s="28" t="s">
        <v>149</v>
      </c>
      <c r="H257" s="28" t="s">
        <v>1360</v>
      </c>
      <c r="I257" s="28" t="s">
        <v>1357</v>
      </c>
      <c r="J257" s="28" t="s">
        <v>669</v>
      </c>
      <c r="K257" s="28" t="s">
        <v>1361</v>
      </c>
      <c r="L257" s="28" t="s">
        <v>138</v>
      </c>
      <c r="M257" s="28" t="s">
        <v>1362</v>
      </c>
      <c r="O257" s="28" t="s">
        <v>1363</v>
      </c>
      <c r="P257" s="28" t="s">
        <v>1364</v>
      </c>
    </row>
    <row r="258" spans="1:16" x14ac:dyDescent="0.25">
      <c r="A258" s="28" t="s">
        <v>1365</v>
      </c>
      <c r="B258" s="28" t="s">
        <v>1366</v>
      </c>
      <c r="C258" s="28" t="s">
        <v>666</v>
      </c>
      <c r="D258" s="28" t="s">
        <v>1367</v>
      </c>
      <c r="E258" s="28" t="s">
        <v>1368</v>
      </c>
      <c r="F258" s="28" t="s">
        <v>21</v>
      </c>
      <c r="G258" s="28" t="s">
        <v>207</v>
      </c>
      <c r="H258" s="28" t="s">
        <v>1369</v>
      </c>
      <c r="I258" s="28" t="s">
        <v>1366</v>
      </c>
      <c r="J258" s="28" t="s">
        <v>669</v>
      </c>
      <c r="K258" s="28" t="s">
        <v>1370</v>
      </c>
      <c r="L258" s="28" t="s">
        <v>138</v>
      </c>
      <c r="M258" s="28" t="s">
        <v>1371</v>
      </c>
      <c r="O258" s="28" t="s">
        <v>1372</v>
      </c>
      <c r="P258" s="28" t="s">
        <v>1373</v>
      </c>
    </row>
    <row r="259" spans="1:16" x14ac:dyDescent="0.25">
      <c r="A259" s="28" t="s">
        <v>1374</v>
      </c>
      <c r="B259" s="28" t="s">
        <v>1375</v>
      </c>
      <c r="C259" s="28" t="s">
        <v>666</v>
      </c>
      <c r="D259" s="28" t="s">
        <v>1376</v>
      </c>
      <c r="E259" s="28" t="s">
        <v>1377</v>
      </c>
      <c r="F259" s="28" t="s">
        <v>21</v>
      </c>
      <c r="G259" s="28" t="s">
        <v>149</v>
      </c>
      <c r="H259" s="28" t="s">
        <v>1378</v>
      </c>
      <c r="I259" s="28" t="s">
        <v>1375</v>
      </c>
      <c r="J259" s="28" t="s">
        <v>669</v>
      </c>
      <c r="K259" s="28" t="s">
        <v>1379</v>
      </c>
      <c r="L259" s="28" t="s">
        <v>138</v>
      </c>
      <c r="M259" s="28" t="s">
        <v>1380</v>
      </c>
      <c r="O259" s="28" t="s">
        <v>1381</v>
      </c>
      <c r="P259" s="28" t="s">
        <v>1382</v>
      </c>
    </row>
    <row r="260" spans="1:16" x14ac:dyDescent="0.25">
      <c r="A260" s="28" t="s">
        <v>1383</v>
      </c>
      <c r="B260" s="28" t="s">
        <v>1384</v>
      </c>
      <c r="C260" s="28" t="s">
        <v>666</v>
      </c>
      <c r="D260" s="28" t="s">
        <v>1376</v>
      </c>
      <c r="E260" s="28" t="s">
        <v>1385</v>
      </c>
      <c r="F260" s="28" t="s">
        <v>21</v>
      </c>
      <c r="G260" s="28" t="s">
        <v>207</v>
      </c>
      <c r="H260" s="28" t="s">
        <v>1378</v>
      </c>
      <c r="I260" s="28" t="s">
        <v>1384</v>
      </c>
      <c r="J260" s="28" t="s">
        <v>669</v>
      </c>
      <c r="K260" s="28" t="s">
        <v>1386</v>
      </c>
      <c r="L260" s="28" t="s">
        <v>138</v>
      </c>
      <c r="M260" s="28" t="s">
        <v>1387</v>
      </c>
      <c r="O260" s="28" t="s">
        <v>1381</v>
      </c>
      <c r="P260" s="28" t="s">
        <v>1388</v>
      </c>
    </row>
    <row r="261" spans="1:16" x14ac:dyDescent="0.25">
      <c r="A261" s="28" t="s">
        <v>1389</v>
      </c>
      <c r="B261" s="28" t="s">
        <v>1390</v>
      </c>
      <c r="C261" s="28" t="s">
        <v>666</v>
      </c>
      <c r="D261" s="28" t="s">
        <v>1391</v>
      </c>
      <c r="E261" s="28" t="s">
        <v>1392</v>
      </c>
      <c r="F261" s="28" t="s">
        <v>21</v>
      </c>
      <c r="G261" s="28" t="s">
        <v>149</v>
      </c>
      <c r="H261" s="28" t="s">
        <v>1393</v>
      </c>
      <c r="I261" s="28" t="s">
        <v>1390</v>
      </c>
      <c r="J261" s="28" t="s">
        <v>669</v>
      </c>
      <c r="K261" s="28" t="s">
        <v>1394</v>
      </c>
      <c r="L261" s="28" t="s">
        <v>138</v>
      </c>
      <c r="M261" s="28" t="s">
        <v>1395</v>
      </c>
      <c r="O261" s="28" t="s">
        <v>1396</v>
      </c>
      <c r="P261" s="28" t="s">
        <v>1397</v>
      </c>
    </row>
    <row r="262" spans="1:16" x14ac:dyDescent="0.25">
      <c r="A262" s="28" t="s">
        <v>1398</v>
      </c>
      <c r="B262" s="28" t="s">
        <v>1399</v>
      </c>
      <c r="C262" s="28" t="s">
        <v>666</v>
      </c>
      <c r="D262" s="28" t="s">
        <v>1391</v>
      </c>
      <c r="E262" s="28" t="s">
        <v>1400</v>
      </c>
      <c r="F262" s="28" t="s">
        <v>21</v>
      </c>
      <c r="G262" s="28" t="s">
        <v>149</v>
      </c>
      <c r="H262" s="28" t="s">
        <v>1393</v>
      </c>
      <c r="I262" s="28" t="s">
        <v>1399</v>
      </c>
      <c r="J262" s="28" t="s">
        <v>669</v>
      </c>
      <c r="K262" s="28" t="s">
        <v>1401</v>
      </c>
      <c r="L262" s="28" t="s">
        <v>138</v>
      </c>
      <c r="M262" s="28" t="s">
        <v>1402</v>
      </c>
      <c r="O262" s="28" t="s">
        <v>1396</v>
      </c>
      <c r="P262" s="28" t="s">
        <v>1403</v>
      </c>
    </row>
    <row r="263" spans="1:16" x14ac:dyDescent="0.25">
      <c r="A263" s="28" t="s">
        <v>1404</v>
      </c>
      <c r="B263" s="28" t="s">
        <v>1405</v>
      </c>
      <c r="C263" s="28" t="s">
        <v>666</v>
      </c>
      <c r="D263" s="28" t="s">
        <v>1391</v>
      </c>
      <c r="E263" s="28" t="s">
        <v>1406</v>
      </c>
      <c r="F263" s="28" t="s">
        <v>21</v>
      </c>
      <c r="G263" s="28" t="s">
        <v>149</v>
      </c>
      <c r="H263" s="28" t="s">
        <v>1393</v>
      </c>
      <c r="I263" s="28" t="s">
        <v>1405</v>
      </c>
      <c r="J263" s="28" t="s">
        <v>669</v>
      </c>
      <c r="K263" s="28" t="s">
        <v>1407</v>
      </c>
      <c r="L263" s="28" t="s">
        <v>138</v>
      </c>
      <c r="M263" s="28" t="s">
        <v>1408</v>
      </c>
      <c r="O263" s="28" t="s">
        <v>1396</v>
      </c>
      <c r="P263" s="28" t="s">
        <v>1409</v>
      </c>
    </row>
    <row r="264" spans="1:16" x14ac:dyDescent="0.25">
      <c r="A264" s="28" t="s">
        <v>1410</v>
      </c>
      <c r="B264" s="28" t="s">
        <v>1411</v>
      </c>
      <c r="C264" s="28" t="s">
        <v>666</v>
      </c>
      <c r="D264" s="28" t="s">
        <v>1391</v>
      </c>
      <c r="E264" s="28" t="s">
        <v>1412</v>
      </c>
      <c r="F264" s="28" t="s">
        <v>21</v>
      </c>
      <c r="G264" s="28" t="s">
        <v>149</v>
      </c>
      <c r="H264" s="28" t="s">
        <v>1393</v>
      </c>
      <c r="I264" s="28" t="s">
        <v>1411</v>
      </c>
      <c r="J264" s="28" t="s">
        <v>669</v>
      </c>
      <c r="K264" s="28" t="s">
        <v>1413</v>
      </c>
      <c r="L264" s="28" t="s">
        <v>138</v>
      </c>
      <c r="M264" s="28" t="s">
        <v>1414</v>
      </c>
      <c r="O264" s="28" t="s">
        <v>1396</v>
      </c>
      <c r="P264" s="28" t="s">
        <v>1415</v>
      </c>
    </row>
    <row r="265" spans="1:16" hidden="1" x14ac:dyDescent="0.25">
      <c r="A265" s="28" t="s">
        <v>1416</v>
      </c>
      <c r="B265" s="28" t="s">
        <v>1417</v>
      </c>
      <c r="C265" s="28" t="s">
        <v>666</v>
      </c>
      <c r="D265" s="28" t="s">
        <v>1418</v>
      </c>
      <c r="E265" s="28" t="s">
        <v>1419</v>
      </c>
      <c r="F265" s="28" t="s">
        <v>21</v>
      </c>
      <c r="G265" s="28" t="s">
        <v>22</v>
      </c>
      <c r="H265" s="28" t="s">
        <v>1420</v>
      </c>
      <c r="I265" s="28" t="s">
        <v>1417</v>
      </c>
      <c r="J265" s="28" t="s">
        <v>669</v>
      </c>
      <c r="K265" s="28" t="s">
        <v>1421</v>
      </c>
      <c r="L265" s="28" t="s">
        <v>138</v>
      </c>
      <c r="M265" s="28" t="s">
        <v>1422</v>
      </c>
      <c r="O265" s="28" t="s">
        <v>1423</v>
      </c>
      <c r="P265" s="28" t="s">
        <v>1424</v>
      </c>
    </row>
    <row r="266" spans="1:16" x14ac:dyDescent="0.25">
      <c r="A266" s="28" t="s">
        <v>1425</v>
      </c>
      <c r="B266" s="28" t="s">
        <v>1426</v>
      </c>
      <c r="C266" s="28" t="s">
        <v>666</v>
      </c>
      <c r="D266" s="28" t="s">
        <v>1418</v>
      </c>
      <c r="E266" s="28" t="s">
        <v>1427</v>
      </c>
      <c r="F266" s="28" t="s">
        <v>21</v>
      </c>
      <c r="G266" s="28" t="s">
        <v>149</v>
      </c>
      <c r="H266" s="28" t="s">
        <v>1428</v>
      </c>
      <c r="I266" s="28" t="s">
        <v>1426</v>
      </c>
      <c r="J266" s="28" t="s">
        <v>669</v>
      </c>
      <c r="K266" s="28" t="s">
        <v>1429</v>
      </c>
      <c r="L266" s="28" t="s">
        <v>138</v>
      </c>
      <c r="M266" s="28" t="s">
        <v>1430</v>
      </c>
      <c r="O266" s="28" t="s">
        <v>1431</v>
      </c>
      <c r="P266" s="28" t="s">
        <v>1432</v>
      </c>
    </row>
    <row r="267" spans="1:16" x14ac:dyDescent="0.25">
      <c r="A267" s="28" t="s">
        <v>1433</v>
      </c>
      <c r="B267" s="28" t="s">
        <v>1434</v>
      </c>
      <c r="C267" s="28" t="s">
        <v>666</v>
      </c>
      <c r="D267" s="28" t="s">
        <v>1418</v>
      </c>
      <c r="E267" s="28" t="s">
        <v>1435</v>
      </c>
      <c r="F267" s="28" t="s">
        <v>21</v>
      </c>
      <c r="G267" s="28" t="s">
        <v>149</v>
      </c>
      <c r="H267" s="28" t="s">
        <v>1428</v>
      </c>
      <c r="I267" s="28" t="s">
        <v>1434</v>
      </c>
      <c r="J267" s="28" t="s">
        <v>669</v>
      </c>
      <c r="K267" s="28" t="s">
        <v>1436</v>
      </c>
      <c r="L267" s="28" t="s">
        <v>138</v>
      </c>
      <c r="M267" s="28" t="s">
        <v>1437</v>
      </c>
      <c r="O267" s="28" t="s">
        <v>1431</v>
      </c>
      <c r="P267" s="28" t="s">
        <v>1432</v>
      </c>
    </row>
    <row r="268" spans="1:16" x14ac:dyDescent="0.25">
      <c r="A268" s="28" t="s">
        <v>1438</v>
      </c>
      <c r="B268" s="28" t="s">
        <v>1439</v>
      </c>
      <c r="C268" s="28" t="s">
        <v>666</v>
      </c>
      <c r="D268" s="28" t="s">
        <v>1418</v>
      </c>
      <c r="E268" s="28" t="s">
        <v>1440</v>
      </c>
      <c r="F268" s="28" t="s">
        <v>21</v>
      </c>
      <c r="G268" s="28" t="s">
        <v>149</v>
      </c>
      <c r="H268" s="28" t="s">
        <v>1428</v>
      </c>
      <c r="I268" s="28" t="s">
        <v>1439</v>
      </c>
      <c r="J268" s="28" t="s">
        <v>669</v>
      </c>
      <c r="K268" s="28" t="s">
        <v>1441</v>
      </c>
      <c r="L268" s="28" t="s">
        <v>138</v>
      </c>
      <c r="M268" s="28" t="s">
        <v>1442</v>
      </c>
      <c r="O268" s="28" t="s">
        <v>1431</v>
      </c>
      <c r="P268" s="28" t="s">
        <v>1443</v>
      </c>
    </row>
    <row r="269" spans="1:16" x14ac:dyDescent="0.25">
      <c r="A269" s="28" t="s">
        <v>1444</v>
      </c>
      <c r="B269" s="28" t="s">
        <v>1445</v>
      </c>
      <c r="C269" s="28" t="s">
        <v>666</v>
      </c>
      <c r="D269" s="28" t="s">
        <v>1418</v>
      </c>
      <c r="E269" s="28" t="s">
        <v>1446</v>
      </c>
      <c r="F269" s="28" t="s">
        <v>21</v>
      </c>
      <c r="G269" s="28" t="s">
        <v>149</v>
      </c>
      <c r="H269" s="28" t="s">
        <v>1428</v>
      </c>
      <c r="I269" s="28" t="s">
        <v>1445</v>
      </c>
      <c r="J269" s="28" t="s">
        <v>669</v>
      </c>
      <c r="K269" s="28" t="s">
        <v>1447</v>
      </c>
      <c r="L269" s="28" t="s">
        <v>138</v>
      </c>
      <c r="M269" s="28" t="s">
        <v>1448</v>
      </c>
      <c r="O269" s="28" t="s">
        <v>1431</v>
      </c>
      <c r="P269" s="28" t="s">
        <v>1449</v>
      </c>
    </row>
    <row r="270" spans="1:16" x14ac:dyDescent="0.25">
      <c r="A270" s="28" t="s">
        <v>1450</v>
      </c>
      <c r="B270" s="28" t="s">
        <v>1451</v>
      </c>
      <c r="C270" s="28" t="s">
        <v>666</v>
      </c>
      <c r="D270" s="28" t="s">
        <v>1452</v>
      </c>
      <c r="E270" s="28" t="s">
        <v>1453</v>
      </c>
      <c r="F270" s="28" t="s">
        <v>21</v>
      </c>
      <c r="G270" s="28" t="s">
        <v>149</v>
      </c>
      <c r="H270" s="28" t="s">
        <v>1454</v>
      </c>
      <c r="I270" s="28" t="s">
        <v>1451</v>
      </c>
      <c r="J270" s="28" t="s">
        <v>669</v>
      </c>
      <c r="K270" s="28" t="s">
        <v>1455</v>
      </c>
      <c r="L270" s="28" t="s">
        <v>138</v>
      </c>
      <c r="M270" s="28" t="s">
        <v>1456</v>
      </c>
      <c r="O270" s="28" t="s">
        <v>1457</v>
      </c>
      <c r="P270" s="28" t="s">
        <v>1458</v>
      </c>
    </row>
    <row r="271" spans="1:16" x14ac:dyDescent="0.25">
      <c r="A271" s="28" t="s">
        <v>1459</v>
      </c>
      <c r="B271" s="28" t="s">
        <v>1460</v>
      </c>
      <c r="C271" s="28" t="s">
        <v>666</v>
      </c>
      <c r="D271" s="28" t="s">
        <v>1461</v>
      </c>
      <c r="E271" s="28" t="s">
        <v>1462</v>
      </c>
      <c r="F271" s="28" t="s">
        <v>21</v>
      </c>
      <c r="G271" s="28" t="s">
        <v>149</v>
      </c>
      <c r="H271" s="28" t="s">
        <v>1463</v>
      </c>
      <c r="I271" s="28" t="s">
        <v>1460</v>
      </c>
      <c r="J271" s="28" t="s">
        <v>669</v>
      </c>
      <c r="K271" s="28" t="s">
        <v>1464</v>
      </c>
      <c r="L271" s="28" t="s">
        <v>138</v>
      </c>
      <c r="M271" s="28" t="s">
        <v>1465</v>
      </c>
      <c r="O271" s="28" t="s">
        <v>1466</v>
      </c>
      <c r="P271" s="28" t="s">
        <v>1364</v>
      </c>
    </row>
    <row r="272" spans="1:16" x14ac:dyDescent="0.25">
      <c r="A272" s="28" t="s">
        <v>1467</v>
      </c>
      <c r="B272" s="28" t="s">
        <v>1468</v>
      </c>
      <c r="C272" s="28" t="s">
        <v>666</v>
      </c>
      <c r="D272" s="28" t="s">
        <v>1469</v>
      </c>
      <c r="E272" s="28" t="s">
        <v>1470</v>
      </c>
      <c r="F272" s="28" t="s">
        <v>21</v>
      </c>
      <c r="G272" s="28" t="s">
        <v>207</v>
      </c>
      <c r="H272" s="28" t="s">
        <v>1471</v>
      </c>
      <c r="I272" s="28" t="s">
        <v>1468</v>
      </c>
      <c r="J272" s="28" t="s">
        <v>669</v>
      </c>
      <c r="K272" s="28" t="s">
        <v>1472</v>
      </c>
      <c r="L272" s="28" t="s">
        <v>138</v>
      </c>
      <c r="M272" s="28" t="s">
        <v>1473</v>
      </c>
      <c r="O272" s="28" t="s">
        <v>1474</v>
      </c>
      <c r="P272" s="28" t="s">
        <v>1475</v>
      </c>
    </row>
    <row r="273" spans="1:16" x14ac:dyDescent="0.25">
      <c r="A273" s="28" t="s">
        <v>1476</v>
      </c>
      <c r="B273" s="28" t="s">
        <v>1477</v>
      </c>
      <c r="C273" s="28" t="s">
        <v>666</v>
      </c>
      <c r="D273" s="28" t="s">
        <v>1478</v>
      </c>
      <c r="E273" s="28" t="s">
        <v>1479</v>
      </c>
      <c r="F273" s="28" t="s">
        <v>21</v>
      </c>
      <c r="G273" s="28" t="s">
        <v>149</v>
      </c>
      <c r="H273" s="28" t="s">
        <v>1480</v>
      </c>
      <c r="I273" s="28" t="s">
        <v>1477</v>
      </c>
      <c r="J273" s="28" t="s">
        <v>669</v>
      </c>
      <c r="K273" s="28" t="s">
        <v>1481</v>
      </c>
      <c r="L273" s="28" t="s">
        <v>138</v>
      </c>
      <c r="M273" s="28" t="s">
        <v>1482</v>
      </c>
      <c r="O273" s="28" t="s">
        <v>1483</v>
      </c>
      <c r="P273" s="28" t="s">
        <v>1484</v>
      </c>
    </row>
    <row r="274" spans="1:16" x14ac:dyDescent="0.25">
      <c r="A274" s="28" t="s">
        <v>1485</v>
      </c>
      <c r="B274" s="28" t="s">
        <v>1486</v>
      </c>
      <c r="C274" s="28" t="s">
        <v>666</v>
      </c>
      <c r="D274" s="28" t="s">
        <v>1478</v>
      </c>
      <c r="E274" s="28" t="s">
        <v>1487</v>
      </c>
      <c r="F274" s="28" t="s">
        <v>21</v>
      </c>
      <c r="G274" s="28" t="s">
        <v>149</v>
      </c>
      <c r="H274" s="28" t="s">
        <v>1480</v>
      </c>
      <c r="I274" s="28" t="s">
        <v>1486</v>
      </c>
      <c r="J274" s="28" t="s">
        <v>669</v>
      </c>
      <c r="K274" s="28" t="s">
        <v>1488</v>
      </c>
      <c r="L274" s="28" t="s">
        <v>138</v>
      </c>
      <c r="M274" s="28" t="s">
        <v>1489</v>
      </c>
      <c r="O274" s="28" t="s">
        <v>1483</v>
      </c>
      <c r="P274" s="28" t="s">
        <v>1490</v>
      </c>
    </row>
    <row r="275" spans="1:16" x14ac:dyDescent="0.25">
      <c r="A275" s="28" t="s">
        <v>1491</v>
      </c>
      <c r="B275" s="28" t="s">
        <v>1492</v>
      </c>
      <c r="C275" s="28" t="s">
        <v>666</v>
      </c>
      <c r="D275" s="28" t="s">
        <v>1478</v>
      </c>
      <c r="E275" s="28" t="s">
        <v>1493</v>
      </c>
      <c r="F275" s="28" t="s">
        <v>21</v>
      </c>
      <c r="G275" s="28" t="s">
        <v>149</v>
      </c>
      <c r="H275" s="28" t="s">
        <v>1480</v>
      </c>
      <c r="I275" s="28" t="s">
        <v>1492</v>
      </c>
      <c r="J275" s="28" t="s">
        <v>669</v>
      </c>
      <c r="K275" s="28" t="s">
        <v>1494</v>
      </c>
      <c r="L275" s="28" t="s">
        <v>138</v>
      </c>
      <c r="M275" s="28" t="s">
        <v>1495</v>
      </c>
      <c r="O275" s="28" t="s">
        <v>1483</v>
      </c>
      <c r="P275" s="28" t="s">
        <v>1496</v>
      </c>
    </row>
    <row r="276" spans="1:16" x14ac:dyDescent="0.25">
      <c r="A276" s="28" t="s">
        <v>1497</v>
      </c>
      <c r="B276" s="28" t="s">
        <v>1498</v>
      </c>
      <c r="C276" s="28" t="s">
        <v>870</v>
      </c>
      <c r="D276" s="28" t="s">
        <v>1478</v>
      </c>
      <c r="E276" s="28" t="s">
        <v>1479</v>
      </c>
      <c r="F276" s="28" t="s">
        <v>21</v>
      </c>
      <c r="G276" s="28" t="s">
        <v>135</v>
      </c>
      <c r="H276" s="28" t="s">
        <v>1480</v>
      </c>
      <c r="I276" s="28" t="s">
        <v>1498</v>
      </c>
      <c r="J276" s="28" t="s">
        <v>669</v>
      </c>
      <c r="K276" s="28" t="s">
        <v>1499</v>
      </c>
      <c r="L276" s="28" t="s">
        <v>138</v>
      </c>
      <c r="M276" s="28" t="s">
        <v>1500</v>
      </c>
      <c r="O276" s="28" t="s">
        <v>1483</v>
      </c>
      <c r="P276" s="28" t="s">
        <v>1501</v>
      </c>
    </row>
    <row r="277" spans="1:16" x14ac:dyDescent="0.25">
      <c r="A277" s="28" t="s">
        <v>1502</v>
      </c>
      <c r="B277" s="28" t="s">
        <v>1503</v>
      </c>
      <c r="C277" s="28" t="s">
        <v>666</v>
      </c>
      <c r="D277" s="28" t="s">
        <v>1504</v>
      </c>
      <c r="E277" s="28" t="s">
        <v>1505</v>
      </c>
      <c r="F277" s="28" t="s">
        <v>21</v>
      </c>
      <c r="G277" s="28" t="s">
        <v>207</v>
      </c>
      <c r="H277" s="28" t="s">
        <v>1506</v>
      </c>
      <c r="I277" s="28" t="s">
        <v>1503</v>
      </c>
      <c r="J277" s="28" t="s">
        <v>669</v>
      </c>
      <c r="K277" s="28" t="s">
        <v>1507</v>
      </c>
      <c r="L277" s="28" t="s">
        <v>138</v>
      </c>
      <c r="M277" s="28" t="s">
        <v>1508</v>
      </c>
      <c r="O277" s="28" t="s">
        <v>1509</v>
      </c>
      <c r="P277" s="28" t="s">
        <v>1510</v>
      </c>
    </row>
    <row r="278" spans="1:16" x14ac:dyDescent="0.25">
      <c r="A278" s="28" t="s">
        <v>1511</v>
      </c>
      <c r="B278" s="28" t="s">
        <v>1512</v>
      </c>
      <c r="C278" s="28" t="s">
        <v>666</v>
      </c>
      <c r="D278" s="28" t="s">
        <v>1504</v>
      </c>
      <c r="E278" s="28" t="s">
        <v>1513</v>
      </c>
      <c r="F278" s="28" t="s">
        <v>21</v>
      </c>
      <c r="G278" s="28" t="s">
        <v>207</v>
      </c>
      <c r="H278" s="28" t="s">
        <v>1506</v>
      </c>
      <c r="I278" s="28" t="s">
        <v>1512</v>
      </c>
      <c r="J278" s="28" t="s">
        <v>669</v>
      </c>
      <c r="K278" s="28" t="s">
        <v>1514</v>
      </c>
      <c r="L278" s="28" t="s">
        <v>138</v>
      </c>
      <c r="M278" s="28" t="s">
        <v>1515</v>
      </c>
      <c r="O278" s="28" t="s">
        <v>1509</v>
      </c>
      <c r="P278" s="28" t="s">
        <v>1516</v>
      </c>
    </row>
    <row r="279" spans="1:16" x14ac:dyDescent="0.25">
      <c r="A279" s="28" t="s">
        <v>1517</v>
      </c>
      <c r="B279" s="28" t="s">
        <v>1518</v>
      </c>
      <c r="C279" s="28" t="s">
        <v>666</v>
      </c>
      <c r="D279" s="28" t="s">
        <v>1504</v>
      </c>
      <c r="E279" s="28" t="s">
        <v>1519</v>
      </c>
      <c r="F279" s="28" t="s">
        <v>21</v>
      </c>
      <c r="G279" s="28" t="s">
        <v>149</v>
      </c>
      <c r="H279" s="28" t="s">
        <v>1506</v>
      </c>
      <c r="I279" s="28" t="s">
        <v>1518</v>
      </c>
      <c r="J279" s="28" t="s">
        <v>669</v>
      </c>
      <c r="K279" s="28" t="s">
        <v>1520</v>
      </c>
      <c r="L279" s="28" t="s">
        <v>138</v>
      </c>
      <c r="M279" s="28" t="s">
        <v>1521</v>
      </c>
      <c r="O279" s="28" t="s">
        <v>1509</v>
      </c>
      <c r="P279" s="28" t="s">
        <v>1522</v>
      </c>
    </row>
    <row r="280" spans="1:16" x14ac:dyDescent="0.25">
      <c r="A280" s="28" t="s">
        <v>1523</v>
      </c>
      <c r="B280" s="28" t="s">
        <v>1524</v>
      </c>
      <c r="C280" s="28" t="s">
        <v>666</v>
      </c>
      <c r="D280" s="28" t="s">
        <v>1525</v>
      </c>
      <c r="E280" s="28" t="s">
        <v>1526</v>
      </c>
      <c r="F280" s="28" t="s">
        <v>21</v>
      </c>
      <c r="G280" s="28" t="s">
        <v>207</v>
      </c>
      <c r="H280" s="28" t="s">
        <v>1527</v>
      </c>
      <c r="I280" s="28" t="s">
        <v>1524</v>
      </c>
      <c r="J280" s="28" t="s">
        <v>669</v>
      </c>
      <c r="K280" s="28" t="s">
        <v>1528</v>
      </c>
      <c r="L280" s="28" t="s">
        <v>138</v>
      </c>
      <c r="M280" s="28" t="s">
        <v>1529</v>
      </c>
      <c r="O280" s="28" t="s">
        <v>1530</v>
      </c>
      <c r="P280" s="28" t="s">
        <v>1531</v>
      </c>
    </row>
    <row r="281" spans="1:16" x14ac:dyDescent="0.25">
      <c r="A281" s="28" t="s">
        <v>1532</v>
      </c>
      <c r="B281" s="28" t="s">
        <v>1533</v>
      </c>
      <c r="C281" s="28" t="s">
        <v>666</v>
      </c>
      <c r="D281" s="28" t="s">
        <v>45</v>
      </c>
      <c r="E281" s="28" t="s">
        <v>46</v>
      </c>
      <c r="F281" s="28" t="s">
        <v>21</v>
      </c>
      <c r="G281" s="28" t="s">
        <v>207</v>
      </c>
      <c r="H281" s="28" t="s">
        <v>1534</v>
      </c>
      <c r="I281" s="28" t="s">
        <v>1533</v>
      </c>
      <c r="J281" s="28" t="s">
        <v>669</v>
      </c>
      <c r="K281" s="28" t="s">
        <v>1535</v>
      </c>
      <c r="L281" s="28" t="s">
        <v>138</v>
      </c>
      <c r="M281" s="28" t="s">
        <v>1536</v>
      </c>
      <c r="O281" s="28" t="s">
        <v>1537</v>
      </c>
      <c r="P281" s="28" t="s">
        <v>1538</v>
      </c>
    </row>
    <row r="282" spans="1:16" x14ac:dyDescent="0.25">
      <c r="A282" s="28" t="s">
        <v>1539</v>
      </c>
      <c r="B282" s="28" t="s">
        <v>1540</v>
      </c>
      <c r="C282" s="28" t="s">
        <v>666</v>
      </c>
      <c r="D282" s="28" t="s">
        <v>45</v>
      </c>
      <c r="E282" s="28" t="s">
        <v>46</v>
      </c>
      <c r="F282" s="28" t="s">
        <v>21</v>
      </c>
      <c r="G282" s="28" t="s">
        <v>135</v>
      </c>
      <c r="H282" s="28" t="s">
        <v>1534</v>
      </c>
      <c r="I282" s="28" t="s">
        <v>1540</v>
      </c>
      <c r="J282" s="28" t="s">
        <v>669</v>
      </c>
      <c r="K282" s="28" t="s">
        <v>1541</v>
      </c>
      <c r="L282" s="28" t="s">
        <v>138</v>
      </c>
      <c r="M282" s="28" t="s">
        <v>1542</v>
      </c>
      <c r="O282" s="28" t="s">
        <v>1537</v>
      </c>
      <c r="P282" s="28" t="s">
        <v>1543</v>
      </c>
    </row>
    <row r="283" spans="1:16" x14ac:dyDescent="0.25">
      <c r="A283" s="28" t="s">
        <v>1544</v>
      </c>
      <c r="B283" s="28" t="s">
        <v>1545</v>
      </c>
      <c r="C283" s="28" t="s">
        <v>870</v>
      </c>
      <c r="D283" s="28" t="s">
        <v>45</v>
      </c>
      <c r="E283" s="28" t="s">
        <v>46</v>
      </c>
      <c r="F283" s="28" t="s">
        <v>21</v>
      </c>
      <c r="G283" s="28" t="s">
        <v>135</v>
      </c>
      <c r="H283" s="28" t="s">
        <v>1534</v>
      </c>
      <c r="I283" s="28" t="s">
        <v>1545</v>
      </c>
      <c r="J283" s="28" t="s">
        <v>669</v>
      </c>
      <c r="K283" s="28" t="s">
        <v>1546</v>
      </c>
      <c r="L283" s="28" t="s">
        <v>138</v>
      </c>
      <c r="M283" s="28" t="s">
        <v>1547</v>
      </c>
      <c r="O283" s="28" t="s">
        <v>1537</v>
      </c>
      <c r="P283" s="28" t="s">
        <v>1548</v>
      </c>
    </row>
    <row r="284" spans="1:16" x14ac:dyDescent="0.25">
      <c r="A284" s="28" t="s">
        <v>1549</v>
      </c>
      <c r="B284" s="28" t="s">
        <v>1550</v>
      </c>
      <c r="C284" s="28" t="s">
        <v>666</v>
      </c>
      <c r="D284" s="28" t="s">
        <v>45</v>
      </c>
      <c r="E284" s="28" t="s">
        <v>1551</v>
      </c>
      <c r="F284" s="28" t="s">
        <v>21</v>
      </c>
      <c r="G284" s="28" t="s">
        <v>207</v>
      </c>
      <c r="H284" s="28" t="s">
        <v>1534</v>
      </c>
      <c r="I284" s="28" t="s">
        <v>1550</v>
      </c>
      <c r="J284" s="28" t="s">
        <v>669</v>
      </c>
      <c r="K284" s="28" t="s">
        <v>1552</v>
      </c>
      <c r="L284" s="28" t="s">
        <v>138</v>
      </c>
      <c r="M284" s="28" t="s">
        <v>1553</v>
      </c>
      <c r="O284" s="28" t="s">
        <v>1537</v>
      </c>
      <c r="P284" s="28" t="s">
        <v>1554</v>
      </c>
    </row>
    <row r="285" spans="1:16" x14ac:dyDescent="0.25">
      <c r="A285" s="28" t="s">
        <v>1555</v>
      </c>
      <c r="B285" s="28" t="s">
        <v>1556</v>
      </c>
      <c r="C285" s="28" t="s">
        <v>666</v>
      </c>
      <c r="D285" s="28" t="s">
        <v>1557</v>
      </c>
      <c r="E285" s="28" t="s">
        <v>1558</v>
      </c>
      <c r="F285" s="28" t="s">
        <v>21</v>
      </c>
      <c r="G285" s="28" t="s">
        <v>149</v>
      </c>
      <c r="H285" s="28" t="s">
        <v>1559</v>
      </c>
      <c r="I285" s="28" t="s">
        <v>1556</v>
      </c>
      <c r="J285" s="28" t="s">
        <v>669</v>
      </c>
      <c r="K285" s="28" t="s">
        <v>1560</v>
      </c>
      <c r="L285" s="28" t="s">
        <v>138</v>
      </c>
      <c r="M285" s="28" t="s">
        <v>1561</v>
      </c>
      <c r="O285" s="28" t="s">
        <v>1562</v>
      </c>
      <c r="P285" s="28" t="s">
        <v>1522</v>
      </c>
    </row>
    <row r="286" spans="1:16" x14ac:dyDescent="0.25">
      <c r="A286" s="28" t="s">
        <v>1563</v>
      </c>
      <c r="B286" s="28" t="s">
        <v>1564</v>
      </c>
      <c r="C286" s="28" t="s">
        <v>666</v>
      </c>
      <c r="D286" s="28" t="s">
        <v>1557</v>
      </c>
      <c r="E286" s="28" t="s">
        <v>1565</v>
      </c>
      <c r="F286" s="28" t="s">
        <v>21</v>
      </c>
      <c r="G286" s="28" t="s">
        <v>149</v>
      </c>
      <c r="H286" s="28" t="s">
        <v>1559</v>
      </c>
      <c r="I286" s="28" t="s">
        <v>1564</v>
      </c>
      <c r="J286" s="28" t="s">
        <v>669</v>
      </c>
      <c r="K286" s="28" t="s">
        <v>1566</v>
      </c>
      <c r="L286" s="28" t="s">
        <v>138</v>
      </c>
      <c r="M286" s="28" t="s">
        <v>1567</v>
      </c>
      <c r="O286" s="28" t="s">
        <v>1562</v>
      </c>
      <c r="P286" s="28" t="s">
        <v>1522</v>
      </c>
    </row>
    <row r="287" spans="1:16" x14ac:dyDescent="0.25">
      <c r="A287" s="28" t="s">
        <v>1568</v>
      </c>
      <c r="B287" s="28" t="s">
        <v>1569</v>
      </c>
      <c r="C287" s="28" t="s">
        <v>666</v>
      </c>
      <c r="D287" s="28" t="s">
        <v>1557</v>
      </c>
      <c r="E287" s="28" t="s">
        <v>1558</v>
      </c>
      <c r="F287" s="28" t="s">
        <v>21</v>
      </c>
      <c r="G287" s="28" t="s">
        <v>207</v>
      </c>
      <c r="H287" s="28" t="s">
        <v>1559</v>
      </c>
      <c r="I287" s="28" t="s">
        <v>1569</v>
      </c>
      <c r="J287" s="28" t="s">
        <v>669</v>
      </c>
      <c r="K287" s="28" t="s">
        <v>1570</v>
      </c>
      <c r="L287" s="28" t="s">
        <v>138</v>
      </c>
      <c r="M287" s="28" t="s">
        <v>1571</v>
      </c>
      <c r="O287" s="28" t="s">
        <v>1562</v>
      </c>
      <c r="P287" s="28" t="s">
        <v>1572</v>
      </c>
    </row>
    <row r="288" spans="1:16" x14ac:dyDescent="0.25">
      <c r="A288" s="28" t="s">
        <v>1573</v>
      </c>
      <c r="B288" s="28" t="s">
        <v>1574</v>
      </c>
      <c r="C288" s="28" t="s">
        <v>666</v>
      </c>
      <c r="D288" s="28" t="s">
        <v>1557</v>
      </c>
      <c r="E288" s="28" t="s">
        <v>1575</v>
      </c>
      <c r="F288" s="28" t="s">
        <v>21</v>
      </c>
      <c r="G288" s="28" t="s">
        <v>207</v>
      </c>
      <c r="H288" s="28" t="s">
        <v>1559</v>
      </c>
      <c r="I288" s="28" t="s">
        <v>1574</v>
      </c>
      <c r="J288" s="28" t="s">
        <v>669</v>
      </c>
      <c r="K288" s="28" t="s">
        <v>1576</v>
      </c>
      <c r="L288" s="28" t="s">
        <v>138</v>
      </c>
      <c r="M288" s="28" t="s">
        <v>1577</v>
      </c>
      <c r="O288" s="28" t="s">
        <v>1562</v>
      </c>
      <c r="P288" s="28" t="s">
        <v>1578</v>
      </c>
    </row>
    <row r="289" spans="1:16" x14ac:dyDescent="0.25">
      <c r="A289" s="28" t="s">
        <v>1579</v>
      </c>
      <c r="B289" s="28" t="s">
        <v>1580</v>
      </c>
      <c r="C289" s="28" t="s">
        <v>666</v>
      </c>
      <c r="D289" s="28" t="s">
        <v>1557</v>
      </c>
      <c r="E289" s="28" t="s">
        <v>1581</v>
      </c>
      <c r="F289" s="28" t="s">
        <v>21</v>
      </c>
      <c r="G289" s="28" t="s">
        <v>149</v>
      </c>
      <c r="H289" s="28" t="s">
        <v>1559</v>
      </c>
      <c r="I289" s="28" t="s">
        <v>1580</v>
      </c>
      <c r="J289" s="28" t="s">
        <v>669</v>
      </c>
      <c r="K289" s="28" t="s">
        <v>1582</v>
      </c>
      <c r="L289" s="28" t="s">
        <v>138</v>
      </c>
      <c r="M289" s="28" t="s">
        <v>1583</v>
      </c>
      <c r="O289" s="28" t="s">
        <v>1562</v>
      </c>
      <c r="P289" s="28" t="s">
        <v>1522</v>
      </c>
    </row>
    <row r="290" spans="1:16" x14ac:dyDescent="0.25">
      <c r="A290" s="28" t="s">
        <v>1584</v>
      </c>
      <c r="B290" s="28" t="s">
        <v>1585</v>
      </c>
      <c r="C290" s="28" t="s">
        <v>666</v>
      </c>
      <c r="D290" s="28" t="s">
        <v>1586</v>
      </c>
      <c r="E290" s="28" t="s">
        <v>1587</v>
      </c>
      <c r="F290" s="28" t="s">
        <v>21</v>
      </c>
      <c r="G290" s="28" t="s">
        <v>149</v>
      </c>
      <c r="H290" s="28" t="s">
        <v>1588</v>
      </c>
      <c r="I290" s="28" t="s">
        <v>1585</v>
      </c>
      <c r="J290" s="28" t="s">
        <v>669</v>
      </c>
      <c r="K290" s="28" t="s">
        <v>1589</v>
      </c>
      <c r="L290" s="28" t="s">
        <v>138</v>
      </c>
      <c r="M290" s="28" t="s">
        <v>1590</v>
      </c>
      <c r="O290" s="28" t="s">
        <v>1591</v>
      </c>
      <c r="P290" s="28" t="s">
        <v>1592</v>
      </c>
    </row>
    <row r="291" spans="1:16" x14ac:dyDescent="0.25">
      <c r="A291" s="28" t="s">
        <v>1593</v>
      </c>
      <c r="B291" s="28" t="s">
        <v>1594</v>
      </c>
      <c r="C291" s="28" t="s">
        <v>666</v>
      </c>
      <c r="D291" s="28" t="s">
        <v>1595</v>
      </c>
      <c r="E291" s="28" t="s">
        <v>1596</v>
      </c>
      <c r="F291" s="28" t="s">
        <v>21</v>
      </c>
      <c r="G291" s="28" t="s">
        <v>207</v>
      </c>
      <c r="H291" s="28" t="s">
        <v>1597</v>
      </c>
      <c r="I291" s="28" t="s">
        <v>1594</v>
      </c>
      <c r="J291" s="28" t="s">
        <v>669</v>
      </c>
      <c r="K291" s="28" t="s">
        <v>1598</v>
      </c>
      <c r="L291" s="28" t="s">
        <v>138</v>
      </c>
      <c r="M291" s="28" t="s">
        <v>1599</v>
      </c>
      <c r="O291" s="28" t="s">
        <v>1600</v>
      </c>
      <c r="P291" s="28" t="s">
        <v>1601</v>
      </c>
    </row>
    <row r="292" spans="1:16" x14ac:dyDescent="0.25">
      <c r="A292" s="28" t="s">
        <v>1602</v>
      </c>
      <c r="B292" s="28" t="s">
        <v>1603</v>
      </c>
      <c r="C292" s="28" t="s">
        <v>870</v>
      </c>
      <c r="D292" s="28" t="s">
        <v>1604</v>
      </c>
      <c r="E292" s="28" t="s">
        <v>1605</v>
      </c>
      <c r="F292" s="28" t="s">
        <v>21</v>
      </c>
      <c r="G292" s="28" t="s">
        <v>135</v>
      </c>
      <c r="H292" s="28" t="s">
        <v>1606</v>
      </c>
      <c r="I292" s="28" t="s">
        <v>1603</v>
      </c>
      <c r="J292" s="28" t="s">
        <v>669</v>
      </c>
      <c r="K292" s="28" t="s">
        <v>1607</v>
      </c>
      <c r="L292" s="28" t="s">
        <v>138</v>
      </c>
      <c r="M292" s="28" t="s">
        <v>1608</v>
      </c>
      <c r="O292" s="28" t="s">
        <v>1609</v>
      </c>
      <c r="P292" s="28" t="s">
        <v>1610</v>
      </c>
    </row>
    <row r="293" spans="1:16" x14ac:dyDescent="0.25">
      <c r="A293" s="28" t="s">
        <v>1611</v>
      </c>
      <c r="B293" s="28" t="s">
        <v>1612</v>
      </c>
      <c r="C293" s="28" t="s">
        <v>666</v>
      </c>
      <c r="D293" s="28" t="s">
        <v>1604</v>
      </c>
      <c r="E293" s="28" t="s">
        <v>1605</v>
      </c>
      <c r="F293" s="28" t="s">
        <v>21</v>
      </c>
      <c r="G293" s="28" t="s">
        <v>149</v>
      </c>
      <c r="H293" s="28" t="s">
        <v>1606</v>
      </c>
      <c r="I293" s="28" t="s">
        <v>1612</v>
      </c>
      <c r="J293" s="28" t="s">
        <v>669</v>
      </c>
      <c r="K293" s="28" t="s">
        <v>1613</v>
      </c>
      <c r="L293" s="28" t="s">
        <v>138</v>
      </c>
      <c r="M293" s="28" t="s">
        <v>1608</v>
      </c>
      <c r="O293" s="28" t="s">
        <v>1609</v>
      </c>
      <c r="P293" s="28" t="s">
        <v>1614</v>
      </c>
    </row>
    <row r="294" spans="1:16" x14ac:dyDescent="0.25">
      <c r="A294" s="28" t="s">
        <v>1615</v>
      </c>
      <c r="B294" s="28" t="s">
        <v>1616</v>
      </c>
      <c r="C294" s="28" t="s">
        <v>870</v>
      </c>
      <c r="D294" s="28" t="s">
        <v>1604</v>
      </c>
      <c r="E294" s="28" t="s">
        <v>1605</v>
      </c>
      <c r="F294" s="28" t="s">
        <v>21</v>
      </c>
      <c r="G294" s="28" t="s">
        <v>207</v>
      </c>
      <c r="H294" s="28" t="s">
        <v>1606</v>
      </c>
      <c r="I294" s="28" t="s">
        <v>1616</v>
      </c>
      <c r="J294" s="28" t="s">
        <v>669</v>
      </c>
      <c r="K294" s="28" t="s">
        <v>1617</v>
      </c>
      <c r="L294" s="28" t="s">
        <v>138</v>
      </c>
      <c r="M294" s="28" t="s">
        <v>1618</v>
      </c>
      <c r="O294" s="28" t="s">
        <v>1609</v>
      </c>
      <c r="P294" s="28" t="s">
        <v>1619</v>
      </c>
    </row>
    <row r="295" spans="1:16" x14ac:dyDescent="0.25">
      <c r="A295" s="28" t="s">
        <v>1620</v>
      </c>
      <c r="B295" s="28" t="s">
        <v>1621</v>
      </c>
      <c r="C295" s="28" t="s">
        <v>666</v>
      </c>
      <c r="D295" s="28" t="s">
        <v>1604</v>
      </c>
      <c r="E295" s="28" t="s">
        <v>1622</v>
      </c>
      <c r="F295" s="28" t="s">
        <v>21</v>
      </c>
      <c r="G295" s="28" t="s">
        <v>207</v>
      </c>
      <c r="H295" s="28" t="s">
        <v>1606</v>
      </c>
      <c r="I295" s="28" t="s">
        <v>1621</v>
      </c>
      <c r="J295" s="28" t="s">
        <v>669</v>
      </c>
      <c r="K295" s="28" t="s">
        <v>1623</v>
      </c>
      <c r="L295" s="28" t="s">
        <v>138</v>
      </c>
      <c r="M295" s="28" t="s">
        <v>1624</v>
      </c>
      <c r="O295" s="28" t="s">
        <v>1609</v>
      </c>
      <c r="P295" s="28" t="s">
        <v>1625</v>
      </c>
    </row>
    <row r="296" spans="1:16" x14ac:dyDescent="0.25">
      <c r="A296" s="28" t="s">
        <v>1626</v>
      </c>
      <c r="B296" s="28" t="s">
        <v>1627</v>
      </c>
      <c r="C296" s="28" t="s">
        <v>666</v>
      </c>
      <c r="D296" s="28" t="s">
        <v>1628</v>
      </c>
      <c r="E296" s="28" t="s">
        <v>1629</v>
      </c>
      <c r="F296" s="28" t="s">
        <v>21</v>
      </c>
      <c r="G296" s="28" t="s">
        <v>207</v>
      </c>
      <c r="H296" s="28" t="s">
        <v>1630</v>
      </c>
      <c r="I296" s="28" t="s">
        <v>1627</v>
      </c>
      <c r="J296" s="28" t="s">
        <v>669</v>
      </c>
      <c r="K296" s="28" t="s">
        <v>1631</v>
      </c>
      <c r="L296" s="28" t="s">
        <v>138</v>
      </c>
      <c r="M296" s="28" t="s">
        <v>1632</v>
      </c>
      <c r="O296" s="28" t="s">
        <v>1633</v>
      </c>
      <c r="P296" s="28" t="s">
        <v>1634</v>
      </c>
    </row>
    <row r="297" spans="1:16" x14ac:dyDescent="0.25">
      <c r="A297" s="28" t="s">
        <v>1635</v>
      </c>
      <c r="B297" s="28" t="s">
        <v>1636</v>
      </c>
      <c r="C297" s="28" t="s">
        <v>666</v>
      </c>
      <c r="D297" s="28" t="s">
        <v>1628</v>
      </c>
      <c r="E297" s="28" t="s">
        <v>1637</v>
      </c>
      <c r="F297" s="28" t="s">
        <v>21</v>
      </c>
      <c r="G297" s="28" t="s">
        <v>207</v>
      </c>
      <c r="H297" s="28" t="s">
        <v>1630</v>
      </c>
      <c r="I297" s="28" t="s">
        <v>1636</v>
      </c>
      <c r="J297" s="28" t="s">
        <v>669</v>
      </c>
      <c r="K297" s="28" t="s">
        <v>1638</v>
      </c>
      <c r="L297" s="28" t="s">
        <v>138</v>
      </c>
      <c r="M297" s="28" t="s">
        <v>1639</v>
      </c>
      <c r="O297" s="28" t="s">
        <v>1633</v>
      </c>
      <c r="P297" s="28" t="s">
        <v>1640</v>
      </c>
    </row>
    <row r="298" spans="1:16" hidden="1" x14ac:dyDescent="0.25">
      <c r="A298" s="28" t="s">
        <v>1641</v>
      </c>
      <c r="B298" s="28" t="s">
        <v>1642</v>
      </c>
      <c r="C298" s="28" t="s">
        <v>666</v>
      </c>
      <c r="D298" s="28" t="s">
        <v>1643</v>
      </c>
      <c r="E298" s="28" t="s">
        <v>1644</v>
      </c>
      <c r="F298" s="28" t="s">
        <v>21</v>
      </c>
      <c r="G298" s="28" t="s">
        <v>22</v>
      </c>
      <c r="H298" s="28" t="s">
        <v>1645</v>
      </c>
      <c r="I298" s="28" t="s">
        <v>1642</v>
      </c>
      <c r="J298" s="28" t="s">
        <v>669</v>
      </c>
      <c r="K298" s="28" t="s">
        <v>1646</v>
      </c>
      <c r="L298" s="28" t="s">
        <v>138</v>
      </c>
      <c r="M298" s="28" t="s">
        <v>1647</v>
      </c>
      <c r="O298" s="28" t="s">
        <v>1648</v>
      </c>
      <c r="P298" s="28" t="s">
        <v>1649</v>
      </c>
    </row>
    <row r="299" spans="1:16" hidden="1" x14ac:dyDescent="0.25">
      <c r="A299" s="28" t="s">
        <v>1650</v>
      </c>
      <c r="B299" s="28" t="s">
        <v>1651</v>
      </c>
      <c r="C299" s="28" t="s">
        <v>666</v>
      </c>
      <c r="D299" s="28" t="s">
        <v>1643</v>
      </c>
      <c r="E299" s="28" t="s">
        <v>1652</v>
      </c>
      <c r="F299" s="28" t="s">
        <v>21</v>
      </c>
      <c r="G299" s="28" t="s">
        <v>22</v>
      </c>
      <c r="H299" s="28" t="s">
        <v>1645</v>
      </c>
      <c r="I299" s="28" t="s">
        <v>1651</v>
      </c>
      <c r="J299" s="28" t="s">
        <v>669</v>
      </c>
      <c r="K299" s="28" t="s">
        <v>1653</v>
      </c>
      <c r="L299" s="28" t="s">
        <v>138</v>
      </c>
      <c r="M299" s="28" t="s">
        <v>1654</v>
      </c>
      <c r="O299" s="28" t="s">
        <v>1648</v>
      </c>
      <c r="P299" s="28" t="s">
        <v>1649</v>
      </c>
    </row>
    <row r="300" spans="1:16" x14ac:dyDescent="0.25">
      <c r="A300" s="28" t="s">
        <v>1655</v>
      </c>
      <c r="B300" s="28" t="s">
        <v>1656</v>
      </c>
      <c r="C300" s="28" t="s">
        <v>666</v>
      </c>
      <c r="D300" s="28" t="s">
        <v>1657</v>
      </c>
      <c r="E300" s="28" t="s">
        <v>1658</v>
      </c>
      <c r="F300" s="28" t="s">
        <v>21</v>
      </c>
      <c r="G300" s="28" t="s">
        <v>207</v>
      </c>
      <c r="H300" s="28" t="s">
        <v>1659</v>
      </c>
      <c r="I300" s="28" t="s">
        <v>1656</v>
      </c>
      <c r="J300" s="28" t="s">
        <v>669</v>
      </c>
      <c r="K300" s="28" t="s">
        <v>1660</v>
      </c>
      <c r="L300" s="28" t="s">
        <v>138</v>
      </c>
      <c r="M300" s="28" t="s">
        <v>1661</v>
      </c>
      <c r="O300" s="28" t="s">
        <v>1662</v>
      </c>
      <c r="P300" s="28" t="s">
        <v>1663</v>
      </c>
    </row>
    <row r="301" spans="1:16" hidden="1" x14ac:dyDescent="0.25">
      <c r="A301" s="28" t="s">
        <v>1664</v>
      </c>
      <c r="B301" s="28" t="s">
        <v>1665</v>
      </c>
      <c r="C301" s="28" t="s">
        <v>666</v>
      </c>
      <c r="D301" s="28" t="s">
        <v>1666</v>
      </c>
      <c r="E301" s="28" t="s">
        <v>1667</v>
      </c>
      <c r="F301" s="28" t="s">
        <v>21</v>
      </c>
      <c r="G301" s="28" t="s">
        <v>22</v>
      </c>
      <c r="H301" s="28" t="s">
        <v>1420</v>
      </c>
      <c r="I301" s="28" t="s">
        <v>1665</v>
      </c>
      <c r="J301" s="28" t="s">
        <v>669</v>
      </c>
      <c r="K301" s="28" t="s">
        <v>1668</v>
      </c>
      <c r="L301" s="28" t="s">
        <v>138</v>
      </c>
      <c r="M301" s="28" t="s">
        <v>1669</v>
      </c>
      <c r="O301" s="28" t="s">
        <v>1423</v>
      </c>
      <c r="P301" s="28" t="s">
        <v>1670</v>
      </c>
    </row>
    <row r="302" spans="1:16" x14ac:dyDescent="0.25">
      <c r="A302" s="28" t="s">
        <v>1671</v>
      </c>
      <c r="B302" s="28" t="s">
        <v>1672</v>
      </c>
      <c r="C302" s="28" t="s">
        <v>870</v>
      </c>
      <c r="D302" s="28" t="s">
        <v>1673</v>
      </c>
      <c r="E302" s="28" t="s">
        <v>1674</v>
      </c>
      <c r="F302" s="28" t="s">
        <v>21</v>
      </c>
      <c r="G302" s="28" t="s">
        <v>135</v>
      </c>
      <c r="H302" s="28" t="s">
        <v>1675</v>
      </c>
      <c r="I302" s="28" t="s">
        <v>1672</v>
      </c>
      <c r="J302" s="28" t="s">
        <v>669</v>
      </c>
      <c r="K302" s="28" t="s">
        <v>1676</v>
      </c>
      <c r="L302" s="28" t="s">
        <v>138</v>
      </c>
      <c r="M302" s="28" t="s">
        <v>1677</v>
      </c>
      <c r="O302" s="28" t="s">
        <v>1678</v>
      </c>
      <c r="P302" s="28" t="s">
        <v>1679</v>
      </c>
    </row>
    <row r="303" spans="1:16" x14ac:dyDescent="0.25">
      <c r="A303" s="28" t="s">
        <v>1680</v>
      </c>
      <c r="B303" s="28" t="s">
        <v>1681</v>
      </c>
      <c r="C303" s="28" t="s">
        <v>666</v>
      </c>
      <c r="D303" s="28" t="s">
        <v>1673</v>
      </c>
      <c r="E303" s="28" t="s">
        <v>1674</v>
      </c>
      <c r="F303" s="28" t="s">
        <v>21</v>
      </c>
      <c r="G303" s="28" t="s">
        <v>135</v>
      </c>
      <c r="H303" s="28" t="s">
        <v>1675</v>
      </c>
      <c r="I303" s="28" t="s">
        <v>1681</v>
      </c>
      <c r="J303" s="28" t="s">
        <v>669</v>
      </c>
      <c r="K303" s="28" t="s">
        <v>1676</v>
      </c>
      <c r="L303" s="28" t="s">
        <v>138</v>
      </c>
      <c r="M303" s="28" t="s">
        <v>1677</v>
      </c>
      <c r="O303" s="28" t="s">
        <v>1678</v>
      </c>
      <c r="P303" s="28" t="s">
        <v>1679</v>
      </c>
    </row>
    <row r="304" spans="1:16" hidden="1" x14ac:dyDescent="0.25">
      <c r="A304" s="28" t="s">
        <v>1682</v>
      </c>
      <c r="B304" s="28" t="s">
        <v>1683</v>
      </c>
      <c r="C304" s="28" t="s">
        <v>1684</v>
      </c>
      <c r="D304" s="28" t="s">
        <v>19</v>
      </c>
      <c r="E304" s="28" t="s">
        <v>20</v>
      </c>
      <c r="F304" s="28" t="s">
        <v>21</v>
      </c>
      <c r="G304" s="28" t="s">
        <v>22</v>
      </c>
      <c r="H304" s="28" t="s">
        <v>1685</v>
      </c>
      <c r="I304" s="28" t="s">
        <v>1686</v>
      </c>
      <c r="J304" s="28" t="s">
        <v>22</v>
      </c>
      <c r="K304" s="28" t="s">
        <v>1687</v>
      </c>
      <c r="L304" s="28" t="s">
        <v>1688</v>
      </c>
      <c r="M304" s="28" t="s">
        <v>27</v>
      </c>
      <c r="N304" s="28" t="s">
        <v>1689</v>
      </c>
      <c r="O304" s="28" t="s">
        <v>1690</v>
      </c>
      <c r="P304" s="28" t="s">
        <v>1691</v>
      </c>
    </row>
    <row r="305" spans="1:16" hidden="1" x14ac:dyDescent="0.25">
      <c r="A305" s="28" t="s">
        <v>1692</v>
      </c>
      <c r="B305" s="28" t="s">
        <v>1693</v>
      </c>
      <c r="C305" s="28" t="s">
        <v>1684</v>
      </c>
      <c r="D305" s="28" t="s">
        <v>19</v>
      </c>
      <c r="E305" s="28" t="s">
        <v>20</v>
      </c>
      <c r="F305" s="28" t="s">
        <v>21</v>
      </c>
      <c r="G305" s="28" t="s">
        <v>22</v>
      </c>
      <c r="H305" s="28" t="s">
        <v>1685</v>
      </c>
      <c r="I305" s="28" t="s">
        <v>1694</v>
      </c>
      <c r="J305" s="28" t="s">
        <v>22</v>
      </c>
      <c r="K305" s="28" t="s">
        <v>1695</v>
      </c>
      <c r="L305" s="28" t="s">
        <v>1688</v>
      </c>
      <c r="M305" s="28" t="s">
        <v>35</v>
      </c>
      <c r="N305" s="28" t="s">
        <v>1689</v>
      </c>
      <c r="O305" s="28" t="s">
        <v>1690</v>
      </c>
      <c r="P305" s="28" t="s">
        <v>1696</v>
      </c>
    </row>
    <row r="306" spans="1:16" x14ac:dyDescent="0.25">
      <c r="A306" s="28" t="s">
        <v>1697</v>
      </c>
      <c r="B306" s="28" t="s">
        <v>1698</v>
      </c>
      <c r="C306" s="28" t="s">
        <v>1684</v>
      </c>
      <c r="D306" s="28" t="s">
        <v>19</v>
      </c>
      <c r="E306" s="28" t="s">
        <v>38</v>
      </c>
      <c r="F306" s="28" t="s">
        <v>21</v>
      </c>
      <c r="G306" s="28" t="s">
        <v>39</v>
      </c>
      <c r="H306" s="28" t="s">
        <v>1685</v>
      </c>
      <c r="I306" s="28" t="s">
        <v>1699</v>
      </c>
      <c r="J306" s="28" t="s">
        <v>39</v>
      </c>
      <c r="K306" s="28" t="s">
        <v>1700</v>
      </c>
      <c r="L306" s="28" t="s">
        <v>1688</v>
      </c>
      <c r="M306" s="28" t="s">
        <v>42</v>
      </c>
      <c r="N306" s="28" t="s">
        <v>1689</v>
      </c>
      <c r="O306" s="28" t="s">
        <v>1690</v>
      </c>
      <c r="P306" s="28" t="s">
        <v>1701</v>
      </c>
    </row>
    <row r="307" spans="1:16" x14ac:dyDescent="0.25">
      <c r="A307" s="28" t="s">
        <v>1702</v>
      </c>
      <c r="B307" s="28" t="s">
        <v>1703</v>
      </c>
      <c r="C307" s="28" t="s">
        <v>1684</v>
      </c>
      <c r="D307" s="28" t="s">
        <v>45</v>
      </c>
      <c r="E307" s="28" t="s">
        <v>46</v>
      </c>
      <c r="F307" s="28" t="s">
        <v>21</v>
      </c>
      <c r="G307" s="28" t="s">
        <v>39</v>
      </c>
      <c r="H307" s="28" t="s">
        <v>1685</v>
      </c>
      <c r="I307" s="28" t="s">
        <v>1704</v>
      </c>
      <c r="J307" s="28" t="s">
        <v>39</v>
      </c>
      <c r="K307" s="28" t="s">
        <v>1705</v>
      </c>
      <c r="L307" s="28" t="s">
        <v>1688</v>
      </c>
      <c r="M307" s="28" t="s">
        <v>49</v>
      </c>
      <c r="N307" s="28" t="s">
        <v>1689</v>
      </c>
      <c r="O307" s="28" t="s">
        <v>1690</v>
      </c>
      <c r="P307" s="28" t="s">
        <v>1706</v>
      </c>
    </row>
    <row r="308" spans="1:16" x14ac:dyDescent="0.25">
      <c r="A308" s="28" t="s">
        <v>1707</v>
      </c>
      <c r="B308" s="28" t="s">
        <v>1708</v>
      </c>
      <c r="C308" s="28" t="s">
        <v>1684</v>
      </c>
      <c r="D308" s="28" t="s">
        <v>45</v>
      </c>
      <c r="E308" s="28" t="s">
        <v>46</v>
      </c>
      <c r="F308" s="28" t="s">
        <v>21</v>
      </c>
      <c r="G308" s="28" t="s">
        <v>39</v>
      </c>
      <c r="H308" s="28" t="s">
        <v>1685</v>
      </c>
      <c r="I308" s="28" t="s">
        <v>1709</v>
      </c>
      <c r="J308" s="28" t="s">
        <v>39</v>
      </c>
      <c r="K308" s="28" t="s">
        <v>1710</v>
      </c>
      <c r="L308" s="28" t="s">
        <v>1688</v>
      </c>
      <c r="M308" s="28" t="s">
        <v>54</v>
      </c>
      <c r="N308" s="28" t="s">
        <v>1689</v>
      </c>
      <c r="O308" s="28" t="s">
        <v>1690</v>
      </c>
      <c r="P308" s="28" t="s">
        <v>1711</v>
      </c>
    </row>
    <row r="309" spans="1:16" x14ac:dyDescent="0.25">
      <c r="A309" s="28" t="s">
        <v>1712</v>
      </c>
      <c r="B309" s="28" t="s">
        <v>1713</v>
      </c>
      <c r="C309" s="28" t="s">
        <v>1684</v>
      </c>
      <c r="D309" s="28" t="s">
        <v>45</v>
      </c>
      <c r="E309" s="28" t="s">
        <v>46</v>
      </c>
      <c r="F309" s="28" t="s">
        <v>21</v>
      </c>
      <c r="G309" s="28" t="s">
        <v>39</v>
      </c>
      <c r="H309" s="28" t="s">
        <v>1685</v>
      </c>
      <c r="I309" s="28" t="s">
        <v>1714</v>
      </c>
      <c r="J309" s="28" t="s">
        <v>39</v>
      </c>
      <c r="K309" s="28" t="s">
        <v>1715</v>
      </c>
      <c r="L309" s="28" t="s">
        <v>1688</v>
      </c>
      <c r="M309" s="28" t="s">
        <v>59</v>
      </c>
      <c r="N309" s="28" t="s">
        <v>1689</v>
      </c>
      <c r="O309" s="28" t="s">
        <v>1690</v>
      </c>
      <c r="P309" s="28" t="s">
        <v>1716</v>
      </c>
    </row>
    <row r="310" spans="1:16" hidden="1" x14ac:dyDescent="0.25">
      <c r="A310" s="28" t="s">
        <v>1717</v>
      </c>
      <c r="B310" s="28" t="s">
        <v>1718</v>
      </c>
      <c r="C310" s="28" t="s">
        <v>1684</v>
      </c>
      <c r="D310" s="28" t="s">
        <v>62</v>
      </c>
      <c r="E310" s="28" t="s">
        <v>63</v>
      </c>
      <c r="F310" s="28" t="s">
        <v>21</v>
      </c>
      <c r="G310" s="28" t="s">
        <v>22</v>
      </c>
      <c r="H310" s="28" t="s">
        <v>1719</v>
      </c>
      <c r="I310" s="28" t="s">
        <v>1720</v>
      </c>
      <c r="J310" s="28" t="s">
        <v>22</v>
      </c>
      <c r="K310" s="28" t="s">
        <v>1721</v>
      </c>
      <c r="L310" s="28" t="s">
        <v>1722</v>
      </c>
      <c r="M310" s="28" t="s">
        <v>1723</v>
      </c>
      <c r="N310" s="28" t="s">
        <v>1724</v>
      </c>
      <c r="O310" s="28" t="s">
        <v>1725</v>
      </c>
      <c r="P310" s="28" t="s">
        <v>1726</v>
      </c>
    </row>
    <row r="311" spans="1:16" x14ac:dyDescent="0.25">
      <c r="A311" s="28" t="s">
        <v>1727</v>
      </c>
      <c r="B311" s="28" t="s">
        <v>1728</v>
      </c>
      <c r="C311" s="28" t="s">
        <v>1684</v>
      </c>
      <c r="D311" s="28" t="s">
        <v>69</v>
      </c>
      <c r="E311" s="28" t="s">
        <v>70</v>
      </c>
      <c r="F311" s="28" t="s">
        <v>21</v>
      </c>
      <c r="G311" s="28" t="s">
        <v>39</v>
      </c>
      <c r="H311" s="28" t="s">
        <v>1685</v>
      </c>
      <c r="I311" s="28" t="s">
        <v>1729</v>
      </c>
      <c r="J311" s="28" t="s">
        <v>39</v>
      </c>
      <c r="K311" s="28" t="s">
        <v>1730</v>
      </c>
      <c r="L311" s="28" t="s">
        <v>1688</v>
      </c>
      <c r="M311" s="28" t="s">
        <v>73</v>
      </c>
      <c r="N311" s="28" t="s">
        <v>1689</v>
      </c>
      <c r="O311" s="28" t="s">
        <v>1690</v>
      </c>
      <c r="P311" s="28" t="s">
        <v>1731</v>
      </c>
    </row>
    <row r="312" spans="1:16" x14ac:dyDescent="0.25">
      <c r="A312" s="28" t="s">
        <v>1732</v>
      </c>
      <c r="B312" s="28" t="s">
        <v>1733</v>
      </c>
      <c r="C312" s="28" t="s">
        <v>1684</v>
      </c>
      <c r="D312" s="28" t="s">
        <v>69</v>
      </c>
      <c r="E312" s="28" t="s">
        <v>76</v>
      </c>
      <c r="F312" s="28" t="s">
        <v>21</v>
      </c>
      <c r="G312" s="28" t="s">
        <v>39</v>
      </c>
      <c r="H312" s="28" t="s">
        <v>1685</v>
      </c>
      <c r="I312" s="28" t="s">
        <v>1734</v>
      </c>
      <c r="J312" s="28" t="s">
        <v>39</v>
      </c>
      <c r="K312" s="28" t="s">
        <v>1735</v>
      </c>
      <c r="L312" s="28" t="s">
        <v>1688</v>
      </c>
      <c r="M312" s="28" t="s">
        <v>79</v>
      </c>
      <c r="N312" s="28" t="s">
        <v>1689</v>
      </c>
      <c r="O312" s="28" t="s">
        <v>1690</v>
      </c>
      <c r="P312" s="28" t="s">
        <v>1736</v>
      </c>
    </row>
    <row r="313" spans="1:16" x14ac:dyDescent="0.25">
      <c r="A313" s="28" t="s">
        <v>1737</v>
      </c>
      <c r="B313" s="28" t="s">
        <v>1738</v>
      </c>
      <c r="C313" s="28" t="s">
        <v>1684</v>
      </c>
      <c r="D313" s="28" t="s">
        <v>82</v>
      </c>
      <c r="E313" s="28" t="s">
        <v>83</v>
      </c>
      <c r="F313" s="28" t="s">
        <v>21</v>
      </c>
      <c r="G313" s="28" t="s">
        <v>39</v>
      </c>
      <c r="H313" s="28" t="s">
        <v>1685</v>
      </c>
      <c r="I313" s="28" t="s">
        <v>1739</v>
      </c>
      <c r="J313" s="28" t="s">
        <v>39</v>
      </c>
      <c r="K313" s="28" t="s">
        <v>1740</v>
      </c>
      <c r="L313" s="28" t="s">
        <v>1688</v>
      </c>
      <c r="M313" s="28" t="s">
        <v>86</v>
      </c>
      <c r="N313" s="28" t="s">
        <v>1689</v>
      </c>
      <c r="O313" s="28" t="s">
        <v>1690</v>
      </c>
      <c r="P313" s="28" t="s">
        <v>1741</v>
      </c>
    </row>
    <row r="314" spans="1:16" x14ac:dyDescent="0.25">
      <c r="A314" s="28" t="s">
        <v>1742</v>
      </c>
      <c r="B314" s="28" t="s">
        <v>1743</v>
      </c>
      <c r="C314" s="28" t="s">
        <v>1684</v>
      </c>
      <c r="D314" s="28" t="s">
        <v>89</v>
      </c>
      <c r="E314" s="28" t="s">
        <v>90</v>
      </c>
      <c r="F314" s="28" t="s">
        <v>21</v>
      </c>
      <c r="G314" s="28" t="s">
        <v>39</v>
      </c>
      <c r="H314" s="28" t="s">
        <v>1685</v>
      </c>
      <c r="I314" s="28" t="s">
        <v>1744</v>
      </c>
      <c r="J314" s="28" t="s">
        <v>39</v>
      </c>
      <c r="K314" s="28" t="s">
        <v>1745</v>
      </c>
      <c r="L314" s="28" t="s">
        <v>1688</v>
      </c>
      <c r="M314" s="28" t="s">
        <v>93</v>
      </c>
      <c r="N314" s="28" t="s">
        <v>1689</v>
      </c>
      <c r="O314" s="28" t="s">
        <v>1690</v>
      </c>
      <c r="P314" s="28" t="s">
        <v>1746</v>
      </c>
    </row>
    <row r="315" spans="1:16" x14ac:dyDescent="0.25">
      <c r="A315" s="28" t="s">
        <v>1747</v>
      </c>
      <c r="B315" s="28" t="s">
        <v>1748</v>
      </c>
      <c r="C315" s="28" t="s">
        <v>1684</v>
      </c>
      <c r="D315" s="28" t="s">
        <v>89</v>
      </c>
      <c r="E315" s="28" t="s">
        <v>90</v>
      </c>
      <c r="F315" s="28" t="s">
        <v>21</v>
      </c>
      <c r="G315" s="28" t="s">
        <v>39</v>
      </c>
      <c r="H315" s="28" t="s">
        <v>1685</v>
      </c>
      <c r="I315" s="28" t="s">
        <v>1749</v>
      </c>
      <c r="J315" s="28" t="s">
        <v>39</v>
      </c>
      <c r="K315" s="28" t="s">
        <v>1750</v>
      </c>
      <c r="L315" s="28" t="s">
        <v>1688</v>
      </c>
      <c r="M315" s="28" t="s">
        <v>98</v>
      </c>
      <c r="N315" s="28" t="s">
        <v>1689</v>
      </c>
      <c r="O315" s="28" t="s">
        <v>1690</v>
      </c>
      <c r="P315" s="28" t="s">
        <v>1751</v>
      </c>
    </row>
    <row r="316" spans="1:16" x14ac:dyDescent="0.25">
      <c r="A316" s="28" t="s">
        <v>1752</v>
      </c>
      <c r="B316" s="28" t="s">
        <v>1753</v>
      </c>
      <c r="C316" s="28" t="s">
        <v>1684</v>
      </c>
      <c r="D316" s="28" t="s">
        <v>101</v>
      </c>
      <c r="E316" s="28" t="s">
        <v>102</v>
      </c>
      <c r="F316" s="28" t="s">
        <v>21</v>
      </c>
      <c r="G316" s="28" t="s">
        <v>39</v>
      </c>
      <c r="H316" s="28" t="s">
        <v>1685</v>
      </c>
      <c r="I316" s="28" t="s">
        <v>1754</v>
      </c>
      <c r="J316" s="28" t="s">
        <v>39</v>
      </c>
      <c r="K316" s="28" t="s">
        <v>1755</v>
      </c>
      <c r="L316" s="28" t="s">
        <v>1688</v>
      </c>
      <c r="M316" s="28" t="s">
        <v>105</v>
      </c>
      <c r="N316" s="28" t="s">
        <v>1689</v>
      </c>
      <c r="O316" s="28" t="s">
        <v>1690</v>
      </c>
      <c r="P316" s="28" t="s">
        <v>1756</v>
      </c>
    </row>
    <row r="317" spans="1:16" x14ac:dyDescent="0.25">
      <c r="A317" s="28" t="s">
        <v>1757</v>
      </c>
      <c r="B317" s="28" t="s">
        <v>1758</v>
      </c>
      <c r="C317" s="28" t="s">
        <v>1684</v>
      </c>
      <c r="D317" s="28" t="s">
        <v>101</v>
      </c>
      <c r="E317" s="28" t="s">
        <v>108</v>
      </c>
      <c r="F317" s="28" t="s">
        <v>21</v>
      </c>
      <c r="G317" s="28" t="s">
        <v>39</v>
      </c>
      <c r="H317" s="28" t="s">
        <v>1685</v>
      </c>
      <c r="I317" s="28" t="s">
        <v>1759</v>
      </c>
      <c r="J317" s="28" t="s">
        <v>39</v>
      </c>
      <c r="K317" s="28" t="s">
        <v>1760</v>
      </c>
      <c r="L317" s="28" t="s">
        <v>1688</v>
      </c>
      <c r="M317" s="28" t="s">
        <v>111</v>
      </c>
      <c r="N317" s="28" t="s">
        <v>1689</v>
      </c>
      <c r="O317" s="28" t="s">
        <v>1690</v>
      </c>
      <c r="P317" s="28" t="s">
        <v>1761</v>
      </c>
    </row>
    <row r="318" spans="1:16" x14ac:dyDescent="0.25">
      <c r="A318" s="28" t="s">
        <v>1762</v>
      </c>
      <c r="B318" s="28" t="s">
        <v>1763</v>
      </c>
      <c r="C318" s="28" t="s">
        <v>1684</v>
      </c>
      <c r="D318" s="28" t="s">
        <v>101</v>
      </c>
      <c r="E318" s="28" t="s">
        <v>114</v>
      </c>
      <c r="F318" s="28" t="s">
        <v>21</v>
      </c>
      <c r="G318" s="28" t="s">
        <v>39</v>
      </c>
      <c r="H318" s="28" t="s">
        <v>1685</v>
      </c>
      <c r="I318" s="28" t="s">
        <v>1764</v>
      </c>
      <c r="J318" s="28" t="s">
        <v>39</v>
      </c>
      <c r="K318" s="28" t="s">
        <v>1765</v>
      </c>
      <c r="L318" s="28" t="s">
        <v>1688</v>
      </c>
      <c r="M318" s="28" t="s">
        <v>117</v>
      </c>
      <c r="N318" s="28" t="s">
        <v>1689</v>
      </c>
      <c r="O318" s="28" t="s">
        <v>1690</v>
      </c>
      <c r="P318" s="28" t="s">
        <v>1766</v>
      </c>
    </row>
    <row r="319" spans="1:16" x14ac:dyDescent="0.25">
      <c r="A319" s="28" t="s">
        <v>1767</v>
      </c>
      <c r="B319" s="28" t="s">
        <v>1768</v>
      </c>
      <c r="C319" s="28" t="s">
        <v>1684</v>
      </c>
      <c r="D319" s="28" t="s">
        <v>120</v>
      </c>
      <c r="E319" s="28" t="s">
        <v>121</v>
      </c>
      <c r="F319" s="28" t="s">
        <v>21</v>
      </c>
      <c r="G319" s="28" t="s">
        <v>39</v>
      </c>
      <c r="H319" s="28" t="s">
        <v>1685</v>
      </c>
      <c r="I319" s="28" t="s">
        <v>1769</v>
      </c>
      <c r="J319" s="28" t="s">
        <v>39</v>
      </c>
      <c r="K319" s="28" t="s">
        <v>1770</v>
      </c>
      <c r="L319" s="28" t="s">
        <v>1688</v>
      </c>
      <c r="M319" s="28" t="s">
        <v>124</v>
      </c>
      <c r="N319" s="28" t="s">
        <v>1689</v>
      </c>
      <c r="O319" s="28" t="s">
        <v>1690</v>
      </c>
      <c r="P319" s="28" t="s">
        <v>1771</v>
      </c>
    </row>
    <row r="320" spans="1:16" x14ac:dyDescent="0.25">
      <c r="A320" s="28" t="s">
        <v>1772</v>
      </c>
      <c r="B320" s="28" t="s">
        <v>1773</v>
      </c>
      <c r="C320" s="28" t="s">
        <v>1684</v>
      </c>
      <c r="D320" s="28" t="s">
        <v>120</v>
      </c>
      <c r="E320" s="28" t="s">
        <v>121</v>
      </c>
      <c r="F320" s="28" t="s">
        <v>21</v>
      </c>
      <c r="G320" s="28" t="s">
        <v>39</v>
      </c>
      <c r="H320" s="28" t="s">
        <v>1685</v>
      </c>
      <c r="I320" s="28" t="s">
        <v>1774</v>
      </c>
      <c r="J320" s="28" t="s">
        <v>39</v>
      </c>
      <c r="K320" s="28" t="s">
        <v>1775</v>
      </c>
      <c r="L320" s="28" t="s">
        <v>1688</v>
      </c>
      <c r="M320" s="28" t="s">
        <v>129</v>
      </c>
      <c r="N320" s="28" t="s">
        <v>1689</v>
      </c>
      <c r="O320" s="28" t="s">
        <v>1690</v>
      </c>
      <c r="P320" s="28" t="s">
        <v>1776</v>
      </c>
    </row>
    <row r="321" spans="1:16" x14ac:dyDescent="0.25">
      <c r="A321" s="28" t="s">
        <v>1777</v>
      </c>
      <c r="B321" s="28" t="s">
        <v>1778</v>
      </c>
      <c r="C321" s="28" t="s">
        <v>1779</v>
      </c>
      <c r="D321" s="28" t="s">
        <v>1461</v>
      </c>
      <c r="F321" s="28" t="s">
        <v>21</v>
      </c>
      <c r="G321" s="28" t="s">
        <v>149</v>
      </c>
      <c r="H321" s="28" t="s">
        <v>1685</v>
      </c>
      <c r="I321" s="28" t="s">
        <v>1780</v>
      </c>
      <c r="J321" s="28" t="s">
        <v>149</v>
      </c>
      <c r="K321" s="28" t="s">
        <v>1781</v>
      </c>
      <c r="L321" s="28" t="s">
        <v>1688</v>
      </c>
      <c r="M321" s="28" t="s">
        <v>1782</v>
      </c>
      <c r="N321" s="28" t="s">
        <v>1689</v>
      </c>
      <c r="O321" s="28" t="s">
        <v>1690</v>
      </c>
      <c r="P321" s="28" t="s">
        <v>1783</v>
      </c>
    </row>
    <row r="322" spans="1:16" x14ac:dyDescent="0.25">
      <c r="A322" s="28" t="s">
        <v>1784</v>
      </c>
      <c r="B322" s="28" t="s">
        <v>1785</v>
      </c>
      <c r="C322" s="28" t="s">
        <v>1779</v>
      </c>
      <c r="D322" s="28" t="s">
        <v>1318</v>
      </c>
      <c r="F322" s="28" t="s">
        <v>21</v>
      </c>
      <c r="G322" s="28" t="s">
        <v>39</v>
      </c>
      <c r="H322" s="28" t="s">
        <v>1685</v>
      </c>
      <c r="I322" s="28" t="s">
        <v>1786</v>
      </c>
      <c r="J322" s="28" t="s">
        <v>39</v>
      </c>
      <c r="K322" s="28" t="s">
        <v>1787</v>
      </c>
      <c r="L322" s="28" t="s">
        <v>1688</v>
      </c>
      <c r="M322" s="28" t="s">
        <v>1788</v>
      </c>
      <c r="N322" s="28" t="s">
        <v>1689</v>
      </c>
      <c r="O322" s="28" t="s">
        <v>1690</v>
      </c>
      <c r="P322" s="28" t="s">
        <v>1789</v>
      </c>
    </row>
    <row r="323" spans="1:16" x14ac:dyDescent="0.25">
      <c r="A323" s="28" t="s">
        <v>1790</v>
      </c>
      <c r="B323" s="28" t="s">
        <v>1791</v>
      </c>
      <c r="C323" s="28" t="s">
        <v>1779</v>
      </c>
      <c r="D323" s="28" t="s">
        <v>1792</v>
      </c>
      <c r="F323" s="28" t="s">
        <v>21</v>
      </c>
      <c r="G323" s="28" t="s">
        <v>39</v>
      </c>
      <c r="H323" s="28" t="s">
        <v>1685</v>
      </c>
      <c r="I323" s="28" t="s">
        <v>1793</v>
      </c>
      <c r="J323" s="28" t="s">
        <v>39</v>
      </c>
      <c r="K323" s="28" t="s">
        <v>1794</v>
      </c>
      <c r="L323" s="28" t="s">
        <v>1688</v>
      </c>
      <c r="M323" s="28" t="s">
        <v>1795</v>
      </c>
      <c r="N323" s="28" t="s">
        <v>1689</v>
      </c>
      <c r="O323" s="28" t="s">
        <v>1690</v>
      </c>
      <c r="P323" s="28" t="s">
        <v>1796</v>
      </c>
    </row>
    <row r="324" spans="1:16" x14ac:dyDescent="0.25">
      <c r="A324" s="28" t="s">
        <v>1797</v>
      </c>
      <c r="B324" s="28" t="s">
        <v>1798</v>
      </c>
      <c r="C324" s="28" t="s">
        <v>1779</v>
      </c>
      <c r="D324" s="28" t="s">
        <v>1792</v>
      </c>
      <c r="F324" s="28" t="s">
        <v>21</v>
      </c>
      <c r="G324" s="28" t="s">
        <v>39</v>
      </c>
      <c r="H324" s="28" t="s">
        <v>1685</v>
      </c>
      <c r="I324" s="28" t="s">
        <v>1799</v>
      </c>
      <c r="J324" s="28" t="s">
        <v>39</v>
      </c>
      <c r="K324" s="28" t="s">
        <v>1800</v>
      </c>
      <c r="L324" s="28" t="s">
        <v>1688</v>
      </c>
      <c r="M324" s="28" t="s">
        <v>1795</v>
      </c>
      <c r="N324" s="28" t="s">
        <v>1689</v>
      </c>
      <c r="O324" s="28" t="s">
        <v>1690</v>
      </c>
      <c r="P324" s="28" t="s">
        <v>1801</v>
      </c>
    </row>
    <row r="325" spans="1:16" x14ac:dyDescent="0.25">
      <c r="A325" s="28" t="s">
        <v>1802</v>
      </c>
      <c r="B325" s="28" t="s">
        <v>1803</v>
      </c>
      <c r="C325" s="28" t="s">
        <v>1779</v>
      </c>
      <c r="D325" s="28" t="s">
        <v>1792</v>
      </c>
      <c r="F325" s="28" t="s">
        <v>21</v>
      </c>
      <c r="G325" s="28" t="s">
        <v>39</v>
      </c>
      <c r="H325" s="28" t="s">
        <v>1685</v>
      </c>
      <c r="I325" s="28" t="s">
        <v>1804</v>
      </c>
      <c r="J325" s="28" t="s">
        <v>39</v>
      </c>
      <c r="K325" s="28" t="s">
        <v>1805</v>
      </c>
      <c r="L325" s="28" t="s">
        <v>1688</v>
      </c>
      <c r="M325" s="28" t="s">
        <v>1806</v>
      </c>
      <c r="N325" s="28" t="s">
        <v>1689</v>
      </c>
      <c r="O325" s="28" t="s">
        <v>1690</v>
      </c>
      <c r="P325" s="28" t="s">
        <v>1807</v>
      </c>
    </row>
    <row r="326" spans="1:16" x14ac:dyDescent="0.25">
      <c r="A326" s="28" t="s">
        <v>1808</v>
      </c>
      <c r="B326" s="28" t="s">
        <v>1809</v>
      </c>
      <c r="C326" s="28" t="s">
        <v>1779</v>
      </c>
      <c r="D326" s="28" t="s">
        <v>1810</v>
      </c>
      <c r="F326" s="28" t="s">
        <v>21</v>
      </c>
      <c r="G326" s="28" t="s">
        <v>39</v>
      </c>
      <c r="H326" s="28" t="s">
        <v>1685</v>
      </c>
      <c r="I326" s="28" t="s">
        <v>1811</v>
      </c>
      <c r="J326" s="28" t="s">
        <v>39</v>
      </c>
      <c r="K326" s="28" t="s">
        <v>1812</v>
      </c>
      <c r="L326" s="28" t="s">
        <v>1688</v>
      </c>
      <c r="M326" s="28" t="s">
        <v>1813</v>
      </c>
      <c r="N326" s="28" t="s">
        <v>1689</v>
      </c>
      <c r="O326" s="28" t="s">
        <v>1690</v>
      </c>
      <c r="P326" s="28" t="s">
        <v>1814</v>
      </c>
    </row>
    <row r="327" spans="1:16" x14ac:dyDescent="0.25">
      <c r="A327" s="28" t="s">
        <v>1815</v>
      </c>
      <c r="B327" s="28" t="s">
        <v>1816</v>
      </c>
      <c r="C327" s="28" t="s">
        <v>1779</v>
      </c>
      <c r="D327" s="28" t="s">
        <v>1810</v>
      </c>
      <c r="F327" s="28" t="s">
        <v>21</v>
      </c>
      <c r="G327" s="28" t="s">
        <v>39</v>
      </c>
      <c r="H327" s="28" t="s">
        <v>1685</v>
      </c>
      <c r="I327" s="28" t="s">
        <v>1817</v>
      </c>
      <c r="J327" s="28" t="s">
        <v>39</v>
      </c>
      <c r="K327" s="28" t="s">
        <v>1818</v>
      </c>
      <c r="L327" s="28" t="s">
        <v>1688</v>
      </c>
      <c r="M327" s="28" t="s">
        <v>1813</v>
      </c>
      <c r="N327" s="28" t="s">
        <v>1689</v>
      </c>
      <c r="O327" s="28" t="s">
        <v>1690</v>
      </c>
      <c r="P327" s="28" t="s">
        <v>1819</v>
      </c>
    </row>
    <row r="328" spans="1:16" x14ac:dyDescent="0.25">
      <c r="A328" s="28" t="s">
        <v>1820</v>
      </c>
      <c r="B328" s="28" t="s">
        <v>1821</v>
      </c>
      <c r="C328" s="28" t="s">
        <v>1779</v>
      </c>
      <c r="D328" s="28" t="s">
        <v>1810</v>
      </c>
      <c r="F328" s="28" t="s">
        <v>21</v>
      </c>
      <c r="G328" s="28" t="s">
        <v>39</v>
      </c>
      <c r="H328" s="28" t="s">
        <v>1685</v>
      </c>
      <c r="I328" s="28" t="s">
        <v>1822</v>
      </c>
      <c r="J328" s="28" t="s">
        <v>39</v>
      </c>
      <c r="K328" s="28" t="s">
        <v>1823</v>
      </c>
      <c r="L328" s="28" t="s">
        <v>1688</v>
      </c>
      <c r="M328" s="28" t="s">
        <v>1813</v>
      </c>
      <c r="N328" s="28" t="s">
        <v>1689</v>
      </c>
      <c r="O328" s="28" t="s">
        <v>1690</v>
      </c>
      <c r="P328" s="28" t="s">
        <v>1824</v>
      </c>
    </row>
    <row r="329" spans="1:16" hidden="1" x14ac:dyDescent="0.25">
      <c r="A329" s="28" t="s">
        <v>1825</v>
      </c>
      <c r="B329" s="28" t="s">
        <v>1826</v>
      </c>
      <c r="C329" s="28" t="s">
        <v>1827</v>
      </c>
      <c r="D329" s="28" t="s">
        <v>1376</v>
      </c>
      <c r="E329" s="28" t="s">
        <v>1828</v>
      </c>
      <c r="F329" s="28" t="s">
        <v>21</v>
      </c>
      <c r="G329" s="28" t="s">
        <v>22</v>
      </c>
      <c r="H329" s="28" t="s">
        <v>1829</v>
      </c>
      <c r="I329" s="28" t="s">
        <v>1830</v>
      </c>
      <c r="J329" s="28" t="s">
        <v>22</v>
      </c>
      <c r="K329" s="28" t="s">
        <v>1831</v>
      </c>
      <c r="L329" s="28" t="s">
        <v>1832</v>
      </c>
      <c r="M329" s="28" t="s">
        <v>1833</v>
      </c>
      <c r="N329" s="28" t="s">
        <v>1834</v>
      </c>
      <c r="O329" s="28" t="s">
        <v>1835</v>
      </c>
      <c r="P329" s="28" t="s">
        <v>1836</v>
      </c>
    </row>
    <row r="330" spans="1:16" hidden="1" x14ac:dyDescent="0.25">
      <c r="A330" s="28" t="s">
        <v>1837</v>
      </c>
      <c r="B330" s="28" t="s">
        <v>1838</v>
      </c>
      <c r="C330" s="28" t="s">
        <v>1827</v>
      </c>
      <c r="D330" s="28" t="s">
        <v>1376</v>
      </c>
      <c r="E330" s="28" t="s">
        <v>1839</v>
      </c>
      <c r="F330" s="28" t="s">
        <v>21</v>
      </c>
      <c r="G330" s="28" t="s">
        <v>22</v>
      </c>
      <c r="H330" s="28" t="s">
        <v>1829</v>
      </c>
      <c r="I330" s="28" t="s">
        <v>1840</v>
      </c>
      <c r="J330" s="28" t="s">
        <v>22</v>
      </c>
      <c r="K330" s="28" t="s">
        <v>1841</v>
      </c>
      <c r="L330" s="28" t="s">
        <v>1832</v>
      </c>
      <c r="M330" s="28" t="s">
        <v>1842</v>
      </c>
      <c r="N330" s="28" t="s">
        <v>1834</v>
      </c>
      <c r="O330" s="28" t="s">
        <v>1835</v>
      </c>
      <c r="P330" s="28" t="s">
        <v>1836</v>
      </c>
    </row>
    <row r="331" spans="1:16" hidden="1" x14ac:dyDescent="0.25">
      <c r="A331" s="28" t="s">
        <v>1843</v>
      </c>
      <c r="B331" s="28" t="s">
        <v>1844</v>
      </c>
      <c r="C331" s="28" t="s">
        <v>1827</v>
      </c>
      <c r="D331" s="28" t="s">
        <v>1376</v>
      </c>
      <c r="E331" s="28" t="s">
        <v>1839</v>
      </c>
      <c r="F331" s="28" t="s">
        <v>21</v>
      </c>
      <c r="G331" s="28" t="s">
        <v>22</v>
      </c>
      <c r="H331" s="28" t="s">
        <v>1829</v>
      </c>
      <c r="I331" s="28" t="s">
        <v>1845</v>
      </c>
      <c r="J331" s="28" t="s">
        <v>22</v>
      </c>
      <c r="K331" s="28" t="s">
        <v>1846</v>
      </c>
      <c r="L331" s="28" t="s">
        <v>1832</v>
      </c>
      <c r="M331" s="28" t="s">
        <v>1847</v>
      </c>
      <c r="N331" s="28" t="s">
        <v>1834</v>
      </c>
      <c r="O331" s="28" t="s">
        <v>1835</v>
      </c>
      <c r="P331" s="28" t="s">
        <v>1836</v>
      </c>
    </row>
    <row r="332" spans="1:16" hidden="1" x14ac:dyDescent="0.25">
      <c r="A332" s="28" t="s">
        <v>1848</v>
      </c>
      <c r="B332" s="28" t="s">
        <v>1849</v>
      </c>
      <c r="C332" s="28" t="s">
        <v>1827</v>
      </c>
      <c r="D332" s="28" t="s">
        <v>1376</v>
      </c>
      <c r="E332" s="28" t="s">
        <v>1850</v>
      </c>
      <c r="F332" s="28" t="s">
        <v>21</v>
      </c>
      <c r="G332" s="28" t="s">
        <v>22</v>
      </c>
      <c r="H332" s="28" t="s">
        <v>1829</v>
      </c>
      <c r="I332" s="28" t="s">
        <v>1851</v>
      </c>
      <c r="J332" s="28" t="s">
        <v>22</v>
      </c>
      <c r="K332" s="28" t="s">
        <v>1852</v>
      </c>
      <c r="L332" s="28" t="s">
        <v>1832</v>
      </c>
      <c r="M332" s="28" t="s">
        <v>1853</v>
      </c>
      <c r="N332" s="28" t="s">
        <v>1834</v>
      </c>
      <c r="O332" s="28" t="s">
        <v>1835</v>
      </c>
      <c r="P332" s="28" t="s">
        <v>1836</v>
      </c>
    </row>
    <row r="333" spans="1:16" hidden="1" x14ac:dyDescent="0.25">
      <c r="A333" s="28" t="s">
        <v>1854</v>
      </c>
      <c r="B333" s="28" t="s">
        <v>1855</v>
      </c>
      <c r="C333" s="28" t="s">
        <v>1827</v>
      </c>
      <c r="D333" s="28" t="s">
        <v>1376</v>
      </c>
      <c r="E333" s="28" t="s">
        <v>1856</v>
      </c>
      <c r="F333" s="28" t="s">
        <v>21</v>
      </c>
      <c r="G333" s="28" t="s">
        <v>22</v>
      </c>
      <c r="H333" s="28" t="s">
        <v>1829</v>
      </c>
      <c r="I333" s="28" t="s">
        <v>1857</v>
      </c>
      <c r="J333" s="28" t="s">
        <v>22</v>
      </c>
      <c r="K333" s="28" t="s">
        <v>1858</v>
      </c>
      <c r="L333" s="28" t="s">
        <v>1832</v>
      </c>
      <c r="M333" s="28" t="s">
        <v>1859</v>
      </c>
      <c r="N333" s="28" t="s">
        <v>1834</v>
      </c>
      <c r="O333" s="28" t="s">
        <v>1835</v>
      </c>
      <c r="P333" s="28" t="s">
        <v>1836</v>
      </c>
    </row>
    <row r="334" spans="1:16" hidden="1" x14ac:dyDescent="0.25">
      <c r="A334" s="28" t="s">
        <v>1860</v>
      </c>
      <c r="B334" s="28" t="s">
        <v>1861</v>
      </c>
      <c r="C334" s="28" t="s">
        <v>1827</v>
      </c>
      <c r="D334" s="28" t="s">
        <v>1376</v>
      </c>
      <c r="E334" s="28" t="s">
        <v>1862</v>
      </c>
      <c r="F334" s="28" t="s">
        <v>21</v>
      </c>
      <c r="G334" s="28" t="s">
        <v>22</v>
      </c>
      <c r="H334" s="28" t="s">
        <v>1829</v>
      </c>
      <c r="I334" s="28" t="s">
        <v>1863</v>
      </c>
      <c r="J334" s="28" t="s">
        <v>22</v>
      </c>
      <c r="K334" s="28" t="s">
        <v>1864</v>
      </c>
      <c r="L334" s="28" t="s">
        <v>1832</v>
      </c>
      <c r="M334" s="28" t="s">
        <v>1865</v>
      </c>
      <c r="N334" s="28" t="s">
        <v>1834</v>
      </c>
      <c r="O334" s="28" t="s">
        <v>1835</v>
      </c>
      <c r="P334" s="28" t="s">
        <v>1836</v>
      </c>
    </row>
    <row r="335" spans="1:16" hidden="1" x14ac:dyDescent="0.25">
      <c r="A335" s="28" t="s">
        <v>1866</v>
      </c>
      <c r="B335" s="28" t="s">
        <v>1867</v>
      </c>
      <c r="C335" s="28" t="s">
        <v>1827</v>
      </c>
      <c r="D335" s="28" t="s">
        <v>1376</v>
      </c>
      <c r="E335" s="28" t="s">
        <v>1868</v>
      </c>
      <c r="F335" s="28" t="s">
        <v>21</v>
      </c>
      <c r="G335" s="28" t="s">
        <v>22</v>
      </c>
      <c r="H335" s="28" t="s">
        <v>1829</v>
      </c>
      <c r="I335" s="28" t="s">
        <v>1869</v>
      </c>
      <c r="J335" s="28" t="s">
        <v>22</v>
      </c>
      <c r="K335" s="28" t="s">
        <v>1841</v>
      </c>
      <c r="L335" s="28" t="s">
        <v>1832</v>
      </c>
      <c r="M335" s="28" t="s">
        <v>1870</v>
      </c>
      <c r="N335" s="28" t="s">
        <v>1834</v>
      </c>
      <c r="O335" s="28" t="s">
        <v>1835</v>
      </c>
      <c r="P335" s="28" t="s">
        <v>1836</v>
      </c>
    </row>
    <row r="336" spans="1:16" hidden="1" x14ac:dyDescent="0.25">
      <c r="A336" s="28" t="s">
        <v>1871</v>
      </c>
      <c r="B336" s="28" t="s">
        <v>1872</v>
      </c>
      <c r="C336" s="28" t="s">
        <v>1827</v>
      </c>
      <c r="D336" s="28" t="s">
        <v>1376</v>
      </c>
      <c r="E336" s="28" t="s">
        <v>1377</v>
      </c>
      <c r="F336" s="28" t="s">
        <v>21</v>
      </c>
      <c r="G336" s="28" t="s">
        <v>22</v>
      </c>
      <c r="H336" s="28" t="s">
        <v>1829</v>
      </c>
      <c r="I336" s="28" t="s">
        <v>1873</v>
      </c>
      <c r="J336" s="28" t="s">
        <v>22</v>
      </c>
      <c r="K336" s="28" t="s">
        <v>1874</v>
      </c>
      <c r="L336" s="28" t="s">
        <v>1832</v>
      </c>
      <c r="M336" s="28" t="s">
        <v>1875</v>
      </c>
      <c r="N336" s="28" t="s">
        <v>1834</v>
      </c>
      <c r="O336" s="28" t="s">
        <v>1835</v>
      </c>
      <c r="P336" s="28" t="s">
        <v>1836</v>
      </c>
    </row>
    <row r="337" spans="1:16" hidden="1" x14ac:dyDescent="0.25">
      <c r="A337" s="28" t="s">
        <v>1876</v>
      </c>
      <c r="B337" s="28" t="s">
        <v>1877</v>
      </c>
      <c r="C337" s="28" t="s">
        <v>1827</v>
      </c>
      <c r="D337" s="28" t="s">
        <v>1878</v>
      </c>
      <c r="E337" s="28" t="s">
        <v>1879</v>
      </c>
      <c r="F337" s="28" t="s">
        <v>21</v>
      </c>
      <c r="G337" s="28" t="s">
        <v>22</v>
      </c>
      <c r="H337" s="28" t="s">
        <v>1880</v>
      </c>
      <c r="I337" s="28" t="s">
        <v>1881</v>
      </c>
      <c r="J337" s="28" t="s">
        <v>22</v>
      </c>
      <c r="K337" s="28" t="s">
        <v>1882</v>
      </c>
      <c r="L337" s="28" t="s">
        <v>1832</v>
      </c>
      <c r="M337" s="28" t="s">
        <v>1883</v>
      </c>
      <c r="N337" s="28" t="s">
        <v>1884</v>
      </c>
      <c r="O337" s="28" t="s">
        <v>1885</v>
      </c>
      <c r="P337" s="28" t="s">
        <v>1836</v>
      </c>
    </row>
    <row r="338" spans="1:16" hidden="1" x14ac:dyDescent="0.25">
      <c r="A338" s="28" t="s">
        <v>1886</v>
      </c>
      <c r="B338" s="28" t="s">
        <v>1887</v>
      </c>
      <c r="C338" s="28" t="s">
        <v>1827</v>
      </c>
      <c r="D338" s="28" t="s">
        <v>1418</v>
      </c>
      <c r="E338" s="28" t="s">
        <v>1888</v>
      </c>
      <c r="F338" s="28" t="s">
        <v>21</v>
      </c>
      <c r="G338" s="28" t="s">
        <v>22</v>
      </c>
      <c r="H338" s="28" t="s">
        <v>1889</v>
      </c>
      <c r="I338" s="28" t="s">
        <v>1890</v>
      </c>
      <c r="J338" s="28" t="s">
        <v>22</v>
      </c>
      <c r="K338" s="28" t="s">
        <v>1891</v>
      </c>
      <c r="L338" s="28" t="s">
        <v>1832</v>
      </c>
      <c r="M338" s="28" t="s">
        <v>1892</v>
      </c>
      <c r="N338" s="28" t="s">
        <v>1893</v>
      </c>
      <c r="O338" s="28" t="s">
        <v>1894</v>
      </c>
      <c r="P338" s="28" t="s">
        <v>1836</v>
      </c>
    </row>
    <row r="339" spans="1:16" hidden="1" x14ac:dyDescent="0.25">
      <c r="A339" s="28" t="s">
        <v>1895</v>
      </c>
      <c r="B339" s="28" t="s">
        <v>1896</v>
      </c>
      <c r="C339" s="28" t="s">
        <v>1827</v>
      </c>
      <c r="D339" s="28" t="s">
        <v>1418</v>
      </c>
      <c r="E339" s="28" t="s">
        <v>1888</v>
      </c>
      <c r="F339" s="28" t="s">
        <v>21</v>
      </c>
      <c r="G339" s="28" t="s">
        <v>22</v>
      </c>
      <c r="H339" s="28" t="s">
        <v>1889</v>
      </c>
      <c r="I339" s="28" t="s">
        <v>1897</v>
      </c>
      <c r="J339" s="28" t="s">
        <v>22</v>
      </c>
      <c r="K339" s="28" t="s">
        <v>1891</v>
      </c>
      <c r="L339" s="28" t="s">
        <v>1832</v>
      </c>
      <c r="M339" s="28" t="s">
        <v>1898</v>
      </c>
      <c r="N339" s="28" t="s">
        <v>1893</v>
      </c>
      <c r="O339" s="28" t="s">
        <v>1894</v>
      </c>
      <c r="P339" s="28" t="s">
        <v>1836</v>
      </c>
    </row>
    <row r="340" spans="1:16" hidden="1" x14ac:dyDescent="0.25">
      <c r="A340" s="28" t="s">
        <v>1899</v>
      </c>
      <c r="B340" s="28" t="s">
        <v>1900</v>
      </c>
      <c r="C340" s="28" t="s">
        <v>1827</v>
      </c>
      <c r="D340" s="28" t="s">
        <v>1418</v>
      </c>
      <c r="E340" s="28" t="s">
        <v>1888</v>
      </c>
      <c r="F340" s="28" t="s">
        <v>21</v>
      </c>
      <c r="G340" s="28" t="s">
        <v>22</v>
      </c>
      <c r="H340" s="28" t="s">
        <v>1889</v>
      </c>
      <c r="I340" s="28" t="s">
        <v>1901</v>
      </c>
      <c r="J340" s="28" t="s">
        <v>22</v>
      </c>
      <c r="K340" s="28" t="s">
        <v>1891</v>
      </c>
      <c r="L340" s="28" t="s">
        <v>1832</v>
      </c>
      <c r="M340" s="28" t="s">
        <v>1902</v>
      </c>
      <c r="N340" s="28" t="s">
        <v>1893</v>
      </c>
      <c r="O340" s="28" t="s">
        <v>1894</v>
      </c>
      <c r="P340" s="28" t="s">
        <v>1836</v>
      </c>
    </row>
    <row r="341" spans="1:16" hidden="1" x14ac:dyDescent="0.25">
      <c r="A341" s="28" t="s">
        <v>1903</v>
      </c>
      <c r="B341" s="28" t="s">
        <v>1904</v>
      </c>
      <c r="C341" s="28" t="s">
        <v>1827</v>
      </c>
      <c r="D341" s="28" t="s">
        <v>1418</v>
      </c>
      <c r="E341" s="28" t="s">
        <v>1888</v>
      </c>
      <c r="F341" s="28" t="s">
        <v>21</v>
      </c>
      <c r="G341" s="28" t="s">
        <v>22</v>
      </c>
      <c r="H341" s="28" t="s">
        <v>1889</v>
      </c>
      <c r="I341" s="28" t="s">
        <v>1905</v>
      </c>
      <c r="J341" s="28" t="s">
        <v>22</v>
      </c>
      <c r="K341" s="28" t="s">
        <v>1891</v>
      </c>
      <c r="L341" s="28" t="s">
        <v>1832</v>
      </c>
      <c r="M341" s="28" t="s">
        <v>1906</v>
      </c>
      <c r="N341" s="28" t="s">
        <v>1893</v>
      </c>
      <c r="O341" s="28" t="s">
        <v>1894</v>
      </c>
      <c r="P341" s="28" t="s">
        <v>1836</v>
      </c>
    </row>
    <row r="342" spans="1:16" hidden="1" x14ac:dyDescent="0.25">
      <c r="A342" s="28" t="s">
        <v>1907</v>
      </c>
      <c r="B342" s="28" t="s">
        <v>1908</v>
      </c>
      <c r="C342" s="28" t="s">
        <v>1827</v>
      </c>
      <c r="D342" s="28" t="s">
        <v>1418</v>
      </c>
      <c r="E342" s="28" t="s">
        <v>1888</v>
      </c>
      <c r="F342" s="28" t="s">
        <v>21</v>
      </c>
      <c r="G342" s="28" t="s">
        <v>22</v>
      </c>
      <c r="H342" s="28" t="s">
        <v>1889</v>
      </c>
      <c r="I342" s="28" t="s">
        <v>1909</v>
      </c>
      <c r="J342" s="28" t="s">
        <v>22</v>
      </c>
      <c r="K342" s="28" t="s">
        <v>1891</v>
      </c>
      <c r="L342" s="28" t="s">
        <v>1832</v>
      </c>
      <c r="M342" s="28" t="s">
        <v>1910</v>
      </c>
      <c r="N342" s="28" t="s">
        <v>1893</v>
      </c>
      <c r="O342" s="28" t="s">
        <v>1894</v>
      </c>
      <c r="P342" s="28" t="s">
        <v>1836</v>
      </c>
    </row>
    <row r="343" spans="1:16" hidden="1" x14ac:dyDescent="0.25">
      <c r="A343" s="28" t="s">
        <v>1911</v>
      </c>
      <c r="B343" s="28" t="s">
        <v>1912</v>
      </c>
      <c r="C343" s="28" t="s">
        <v>1827</v>
      </c>
      <c r="D343" s="28" t="s">
        <v>1418</v>
      </c>
      <c r="E343" s="28" t="s">
        <v>1888</v>
      </c>
      <c r="F343" s="28" t="s">
        <v>21</v>
      </c>
      <c r="G343" s="28" t="s">
        <v>22</v>
      </c>
      <c r="H343" s="28" t="s">
        <v>1889</v>
      </c>
      <c r="I343" s="28" t="s">
        <v>1913</v>
      </c>
      <c r="J343" s="28" t="s">
        <v>22</v>
      </c>
      <c r="K343" s="28" t="s">
        <v>1891</v>
      </c>
      <c r="L343" s="28" t="s">
        <v>1832</v>
      </c>
      <c r="M343" s="28" t="s">
        <v>1914</v>
      </c>
      <c r="N343" s="28" t="s">
        <v>1893</v>
      </c>
      <c r="O343" s="28" t="s">
        <v>1894</v>
      </c>
      <c r="P343" s="28" t="s">
        <v>1836</v>
      </c>
    </row>
    <row r="344" spans="1:16" hidden="1" x14ac:dyDescent="0.25">
      <c r="A344" s="28" t="s">
        <v>1915</v>
      </c>
      <c r="B344" s="28" t="s">
        <v>1916</v>
      </c>
      <c r="C344" s="28" t="s">
        <v>1827</v>
      </c>
      <c r="D344" s="28" t="s">
        <v>1418</v>
      </c>
      <c r="E344" s="28" t="s">
        <v>1888</v>
      </c>
      <c r="F344" s="28" t="s">
        <v>21</v>
      </c>
      <c r="G344" s="28" t="s">
        <v>22</v>
      </c>
      <c r="H344" s="28" t="s">
        <v>1889</v>
      </c>
      <c r="I344" s="28" t="s">
        <v>1917</v>
      </c>
      <c r="J344" s="28" t="s">
        <v>22</v>
      </c>
      <c r="K344" s="28" t="s">
        <v>1891</v>
      </c>
      <c r="L344" s="28" t="s">
        <v>1832</v>
      </c>
      <c r="M344" s="28" t="s">
        <v>1918</v>
      </c>
      <c r="N344" s="28" t="s">
        <v>1893</v>
      </c>
      <c r="O344" s="28" t="s">
        <v>1894</v>
      </c>
      <c r="P344" s="28" t="s">
        <v>1836</v>
      </c>
    </row>
    <row r="345" spans="1:16" hidden="1" x14ac:dyDescent="0.25">
      <c r="A345" s="28" t="s">
        <v>1919</v>
      </c>
      <c r="B345" s="28" t="s">
        <v>1920</v>
      </c>
      <c r="C345" s="28" t="s">
        <v>1827</v>
      </c>
      <c r="D345" s="28" t="s">
        <v>1418</v>
      </c>
      <c r="E345" s="28" t="s">
        <v>1888</v>
      </c>
      <c r="F345" s="28" t="s">
        <v>21</v>
      </c>
      <c r="G345" s="28" t="s">
        <v>22</v>
      </c>
      <c r="H345" s="28" t="s">
        <v>1889</v>
      </c>
      <c r="I345" s="28" t="s">
        <v>1921</v>
      </c>
      <c r="J345" s="28" t="s">
        <v>22</v>
      </c>
      <c r="K345" s="28" t="s">
        <v>1891</v>
      </c>
      <c r="L345" s="28" t="s">
        <v>1832</v>
      </c>
      <c r="M345" s="28" t="s">
        <v>1922</v>
      </c>
      <c r="N345" s="28" t="s">
        <v>1893</v>
      </c>
      <c r="O345" s="28" t="s">
        <v>1894</v>
      </c>
      <c r="P345" s="28" t="s">
        <v>1836</v>
      </c>
    </row>
    <row r="346" spans="1:16" hidden="1" x14ac:dyDescent="0.25">
      <c r="A346" s="28" t="s">
        <v>1923</v>
      </c>
      <c r="B346" s="28" t="s">
        <v>1924</v>
      </c>
      <c r="C346" s="28" t="s">
        <v>1827</v>
      </c>
      <c r="D346" s="28" t="s">
        <v>1418</v>
      </c>
      <c r="E346" s="28" t="s">
        <v>1446</v>
      </c>
      <c r="F346" s="28" t="s">
        <v>21</v>
      </c>
      <c r="G346" s="28" t="s">
        <v>22</v>
      </c>
      <c r="H346" s="28" t="s">
        <v>1889</v>
      </c>
      <c r="I346" s="28" t="s">
        <v>1925</v>
      </c>
      <c r="J346" s="28" t="s">
        <v>22</v>
      </c>
      <c r="K346" s="28" t="s">
        <v>1926</v>
      </c>
      <c r="L346" s="28" t="s">
        <v>1832</v>
      </c>
      <c r="M346" s="28" t="s">
        <v>1927</v>
      </c>
      <c r="N346" s="28" t="s">
        <v>1893</v>
      </c>
      <c r="O346" s="28" t="s">
        <v>1894</v>
      </c>
      <c r="P346" s="28" t="s">
        <v>1836</v>
      </c>
    </row>
    <row r="347" spans="1:16" hidden="1" x14ac:dyDescent="0.25">
      <c r="A347" s="28" t="s">
        <v>1928</v>
      </c>
      <c r="B347" s="28" t="s">
        <v>1929</v>
      </c>
      <c r="C347" s="28" t="s">
        <v>1827</v>
      </c>
      <c r="D347" s="28" t="s">
        <v>1418</v>
      </c>
      <c r="E347" s="28" t="s">
        <v>1446</v>
      </c>
      <c r="F347" s="28" t="s">
        <v>21</v>
      </c>
      <c r="G347" s="28" t="s">
        <v>22</v>
      </c>
      <c r="H347" s="28" t="s">
        <v>1889</v>
      </c>
      <c r="I347" s="28" t="s">
        <v>1930</v>
      </c>
      <c r="J347" s="28" t="s">
        <v>22</v>
      </c>
      <c r="K347" s="28" t="s">
        <v>1931</v>
      </c>
      <c r="L347" s="28" t="s">
        <v>1832</v>
      </c>
      <c r="M347" s="28" t="s">
        <v>1932</v>
      </c>
      <c r="N347" s="28" t="s">
        <v>1893</v>
      </c>
      <c r="O347" s="28" t="s">
        <v>1894</v>
      </c>
      <c r="P347" s="28" t="s">
        <v>1836</v>
      </c>
    </row>
    <row r="348" spans="1:16" hidden="1" x14ac:dyDescent="0.25">
      <c r="A348" s="28" t="s">
        <v>1933</v>
      </c>
      <c r="B348" s="28" t="s">
        <v>1934</v>
      </c>
      <c r="C348" s="28" t="s">
        <v>1827</v>
      </c>
      <c r="D348" s="28" t="s">
        <v>1418</v>
      </c>
      <c r="E348" s="28" t="s">
        <v>1446</v>
      </c>
      <c r="F348" s="28" t="s">
        <v>21</v>
      </c>
      <c r="G348" s="28" t="s">
        <v>22</v>
      </c>
      <c r="H348" s="28" t="s">
        <v>1889</v>
      </c>
      <c r="I348" s="28" t="s">
        <v>1935</v>
      </c>
      <c r="J348" s="28" t="s">
        <v>22</v>
      </c>
      <c r="K348" s="28" t="s">
        <v>1936</v>
      </c>
      <c r="L348" s="28" t="s">
        <v>1832</v>
      </c>
      <c r="M348" s="28" t="s">
        <v>1937</v>
      </c>
      <c r="N348" s="28" t="s">
        <v>1893</v>
      </c>
      <c r="O348" s="28" t="s">
        <v>1894</v>
      </c>
      <c r="P348" s="28" t="s">
        <v>1836</v>
      </c>
    </row>
    <row r="349" spans="1:16" hidden="1" x14ac:dyDescent="0.25">
      <c r="A349" s="28" t="s">
        <v>1938</v>
      </c>
      <c r="B349" s="28" t="s">
        <v>1939</v>
      </c>
      <c r="C349" s="28" t="s">
        <v>1827</v>
      </c>
      <c r="D349" s="28" t="s">
        <v>1940</v>
      </c>
      <c r="E349" s="28" t="s">
        <v>1941</v>
      </c>
      <c r="F349" s="28" t="s">
        <v>21</v>
      </c>
      <c r="G349" s="28" t="s">
        <v>22</v>
      </c>
      <c r="H349" s="28" t="s">
        <v>1942</v>
      </c>
      <c r="I349" s="28" t="s">
        <v>1943</v>
      </c>
      <c r="J349" s="28" t="s">
        <v>22</v>
      </c>
      <c r="K349" s="28" t="s">
        <v>1944</v>
      </c>
      <c r="L349" s="28" t="s">
        <v>1832</v>
      </c>
      <c r="M349" s="28" t="s">
        <v>1945</v>
      </c>
      <c r="N349" s="28" t="s">
        <v>1946</v>
      </c>
      <c r="O349" s="28" t="s">
        <v>1947</v>
      </c>
      <c r="P349" s="28" t="s">
        <v>1836</v>
      </c>
    </row>
    <row r="350" spans="1:16" hidden="1" x14ac:dyDescent="0.25">
      <c r="A350" s="28" t="s">
        <v>1948</v>
      </c>
      <c r="B350" s="28" t="s">
        <v>1949</v>
      </c>
      <c r="C350" s="28" t="s">
        <v>1827</v>
      </c>
      <c r="D350" s="28" t="s">
        <v>1940</v>
      </c>
      <c r="E350" s="28" t="s">
        <v>1941</v>
      </c>
      <c r="F350" s="28" t="s">
        <v>21</v>
      </c>
      <c r="G350" s="28" t="s">
        <v>22</v>
      </c>
      <c r="H350" s="28" t="s">
        <v>1942</v>
      </c>
      <c r="I350" s="28" t="s">
        <v>1950</v>
      </c>
      <c r="J350" s="28" t="s">
        <v>22</v>
      </c>
      <c r="K350" s="28" t="s">
        <v>1951</v>
      </c>
      <c r="L350" s="28" t="s">
        <v>1832</v>
      </c>
      <c r="M350" s="28" t="s">
        <v>1952</v>
      </c>
      <c r="N350" s="28" t="s">
        <v>1946</v>
      </c>
      <c r="O350" s="28" t="s">
        <v>1947</v>
      </c>
      <c r="P350" s="28" t="s">
        <v>1836</v>
      </c>
    </row>
    <row r="351" spans="1:16" hidden="1" x14ac:dyDescent="0.25">
      <c r="A351" s="28" t="s">
        <v>1953</v>
      </c>
      <c r="B351" s="28" t="s">
        <v>1954</v>
      </c>
      <c r="C351" s="28" t="s">
        <v>1827</v>
      </c>
      <c r="D351" s="28" t="s">
        <v>1940</v>
      </c>
      <c r="E351" s="28" t="s">
        <v>1941</v>
      </c>
      <c r="F351" s="28" t="s">
        <v>21</v>
      </c>
      <c r="G351" s="28" t="s">
        <v>22</v>
      </c>
      <c r="H351" s="28" t="s">
        <v>1942</v>
      </c>
      <c r="I351" s="28" t="s">
        <v>1955</v>
      </c>
      <c r="J351" s="28" t="s">
        <v>22</v>
      </c>
      <c r="K351" s="28" t="s">
        <v>1956</v>
      </c>
      <c r="L351" s="28" t="s">
        <v>1832</v>
      </c>
      <c r="M351" s="28" t="s">
        <v>1957</v>
      </c>
      <c r="N351" s="28" t="s">
        <v>1946</v>
      </c>
      <c r="O351" s="28" t="s">
        <v>1947</v>
      </c>
      <c r="P351" s="28" t="s">
        <v>1836</v>
      </c>
    </row>
    <row r="352" spans="1:16" hidden="1" x14ac:dyDescent="0.25">
      <c r="A352" s="28" t="s">
        <v>1958</v>
      </c>
      <c r="B352" s="28" t="s">
        <v>1959</v>
      </c>
      <c r="C352" s="28" t="s">
        <v>1827</v>
      </c>
      <c r="D352" s="28" t="s">
        <v>1940</v>
      </c>
      <c r="E352" s="28" t="s">
        <v>1960</v>
      </c>
      <c r="F352" s="28" t="s">
        <v>21</v>
      </c>
      <c r="G352" s="28" t="s">
        <v>22</v>
      </c>
      <c r="H352" s="28" t="s">
        <v>1961</v>
      </c>
      <c r="I352" s="28" t="s">
        <v>1962</v>
      </c>
      <c r="J352" s="28" t="s">
        <v>22</v>
      </c>
      <c r="K352" s="28" t="s">
        <v>1963</v>
      </c>
      <c r="L352" s="28" t="s">
        <v>1832</v>
      </c>
      <c r="M352" s="28" t="s">
        <v>1964</v>
      </c>
      <c r="N352" s="28" t="s">
        <v>1965</v>
      </c>
      <c r="O352" s="28" t="s">
        <v>1966</v>
      </c>
      <c r="P352" s="28" t="s">
        <v>1836</v>
      </c>
    </row>
    <row r="353" spans="1:16" hidden="1" x14ac:dyDescent="0.25">
      <c r="A353" s="28" t="s">
        <v>1967</v>
      </c>
      <c r="B353" s="28" t="s">
        <v>1968</v>
      </c>
      <c r="C353" s="28" t="s">
        <v>1827</v>
      </c>
      <c r="D353" s="28" t="s">
        <v>1940</v>
      </c>
      <c r="E353" s="28" t="s">
        <v>1969</v>
      </c>
      <c r="F353" s="28" t="s">
        <v>21</v>
      </c>
      <c r="G353" s="28" t="s">
        <v>22</v>
      </c>
      <c r="H353" s="28" t="s">
        <v>1970</v>
      </c>
      <c r="I353" s="28" t="s">
        <v>1971</v>
      </c>
      <c r="J353" s="28" t="s">
        <v>22</v>
      </c>
      <c r="K353" s="28" t="s">
        <v>1972</v>
      </c>
      <c r="L353" s="28" t="s">
        <v>1832</v>
      </c>
      <c r="M353" s="28" t="s">
        <v>1973</v>
      </c>
      <c r="N353" s="28" t="s">
        <v>1974</v>
      </c>
      <c r="O353" s="28" t="s">
        <v>1975</v>
      </c>
      <c r="P353" s="28" t="s">
        <v>1836</v>
      </c>
    </row>
    <row r="354" spans="1:16" hidden="1" x14ac:dyDescent="0.25">
      <c r="A354" s="28" t="s">
        <v>1976</v>
      </c>
      <c r="B354" s="28" t="s">
        <v>1977</v>
      </c>
      <c r="C354" s="28" t="s">
        <v>1827</v>
      </c>
      <c r="D354" s="28" t="s">
        <v>1940</v>
      </c>
      <c r="E354" s="28" t="s">
        <v>1969</v>
      </c>
      <c r="F354" s="28" t="s">
        <v>21</v>
      </c>
      <c r="G354" s="28" t="s">
        <v>22</v>
      </c>
      <c r="H354" s="28" t="s">
        <v>1970</v>
      </c>
      <c r="I354" s="28" t="s">
        <v>1978</v>
      </c>
      <c r="J354" s="28" t="s">
        <v>22</v>
      </c>
      <c r="K354" s="28" t="s">
        <v>1979</v>
      </c>
      <c r="L354" s="28" t="s">
        <v>1832</v>
      </c>
      <c r="M354" s="28" t="s">
        <v>1980</v>
      </c>
      <c r="N354" s="28" t="s">
        <v>1974</v>
      </c>
      <c r="O354" s="28" t="s">
        <v>1975</v>
      </c>
      <c r="P354" s="28" t="s">
        <v>1836</v>
      </c>
    </row>
    <row r="355" spans="1:16" hidden="1" x14ac:dyDescent="0.25">
      <c r="A355" s="28" t="s">
        <v>1981</v>
      </c>
      <c r="B355" s="28" t="s">
        <v>1982</v>
      </c>
      <c r="C355" s="28" t="s">
        <v>1827</v>
      </c>
      <c r="D355" s="28" t="s">
        <v>1940</v>
      </c>
      <c r="E355" s="28" t="s">
        <v>1969</v>
      </c>
      <c r="F355" s="28" t="s">
        <v>21</v>
      </c>
      <c r="G355" s="28" t="s">
        <v>22</v>
      </c>
      <c r="H355" s="28" t="s">
        <v>1970</v>
      </c>
      <c r="I355" s="28" t="s">
        <v>1983</v>
      </c>
      <c r="J355" s="28" t="s">
        <v>22</v>
      </c>
      <c r="K355" s="28" t="s">
        <v>1984</v>
      </c>
      <c r="L355" s="28" t="s">
        <v>1832</v>
      </c>
      <c r="M355" s="28" t="s">
        <v>1985</v>
      </c>
      <c r="N355" s="28" t="s">
        <v>1974</v>
      </c>
      <c r="O355" s="28" t="s">
        <v>1975</v>
      </c>
      <c r="P355" s="28" t="s">
        <v>1836</v>
      </c>
    </row>
    <row r="356" spans="1:16" hidden="1" x14ac:dyDescent="0.25">
      <c r="A356" s="28" t="s">
        <v>1986</v>
      </c>
      <c r="B356" s="28" t="s">
        <v>1987</v>
      </c>
      <c r="C356" s="28" t="s">
        <v>1827</v>
      </c>
      <c r="D356" s="28" t="s">
        <v>1940</v>
      </c>
      <c r="E356" s="28" t="s">
        <v>1969</v>
      </c>
      <c r="F356" s="28" t="s">
        <v>21</v>
      </c>
      <c r="G356" s="28" t="s">
        <v>22</v>
      </c>
      <c r="H356" s="28" t="s">
        <v>1970</v>
      </c>
      <c r="I356" s="28" t="s">
        <v>1988</v>
      </c>
      <c r="J356" s="28" t="s">
        <v>22</v>
      </c>
      <c r="K356" s="28" t="s">
        <v>1989</v>
      </c>
      <c r="L356" s="28" t="s">
        <v>1832</v>
      </c>
      <c r="M356" s="28" t="s">
        <v>1990</v>
      </c>
      <c r="N356" s="28" t="s">
        <v>1974</v>
      </c>
      <c r="O356" s="28" t="s">
        <v>1975</v>
      </c>
      <c r="P356" s="28" t="s">
        <v>1836</v>
      </c>
    </row>
    <row r="357" spans="1:16" hidden="1" x14ac:dyDescent="0.25">
      <c r="A357" s="28" t="s">
        <v>1991</v>
      </c>
      <c r="B357" s="28" t="s">
        <v>1992</v>
      </c>
      <c r="C357" s="28" t="s">
        <v>1827</v>
      </c>
      <c r="D357" s="28" t="s">
        <v>1940</v>
      </c>
      <c r="E357" s="28" t="s">
        <v>1969</v>
      </c>
      <c r="F357" s="28" t="s">
        <v>21</v>
      </c>
      <c r="G357" s="28" t="s">
        <v>22</v>
      </c>
      <c r="H357" s="28" t="s">
        <v>1970</v>
      </c>
      <c r="I357" s="28" t="s">
        <v>1993</v>
      </c>
      <c r="J357" s="28" t="s">
        <v>22</v>
      </c>
      <c r="K357" s="28" t="s">
        <v>1994</v>
      </c>
      <c r="L357" s="28" t="s">
        <v>1832</v>
      </c>
      <c r="M357" s="28" t="s">
        <v>1995</v>
      </c>
      <c r="N357" s="28" t="s">
        <v>1974</v>
      </c>
      <c r="O357" s="28" t="s">
        <v>1975</v>
      </c>
      <c r="P357" s="28" t="s">
        <v>1836</v>
      </c>
    </row>
    <row r="358" spans="1:16" hidden="1" x14ac:dyDescent="0.25">
      <c r="A358" s="28" t="s">
        <v>1996</v>
      </c>
      <c r="B358" s="28" t="s">
        <v>1997</v>
      </c>
      <c r="C358" s="28" t="s">
        <v>1827</v>
      </c>
      <c r="D358" s="28" t="s">
        <v>1940</v>
      </c>
      <c r="E358" s="28" t="s">
        <v>1969</v>
      </c>
      <c r="F358" s="28" t="s">
        <v>21</v>
      </c>
      <c r="G358" s="28" t="s">
        <v>22</v>
      </c>
      <c r="H358" s="28" t="s">
        <v>1970</v>
      </c>
      <c r="I358" s="28" t="s">
        <v>1998</v>
      </c>
      <c r="J358" s="28" t="s">
        <v>22</v>
      </c>
      <c r="K358" s="28" t="s">
        <v>1999</v>
      </c>
      <c r="L358" s="28" t="s">
        <v>1832</v>
      </c>
      <c r="M358" s="28" t="s">
        <v>2000</v>
      </c>
      <c r="N358" s="28" t="s">
        <v>1974</v>
      </c>
      <c r="O358" s="28" t="s">
        <v>1975</v>
      </c>
      <c r="P358" s="28" t="s">
        <v>1836</v>
      </c>
    </row>
    <row r="359" spans="1:16" hidden="1" x14ac:dyDescent="0.25">
      <c r="A359" s="28" t="s">
        <v>2001</v>
      </c>
      <c r="B359" s="28" t="s">
        <v>2002</v>
      </c>
      <c r="C359" s="28" t="s">
        <v>1827</v>
      </c>
      <c r="D359" s="28" t="s">
        <v>1940</v>
      </c>
      <c r="E359" s="28" t="s">
        <v>1969</v>
      </c>
      <c r="F359" s="28" t="s">
        <v>21</v>
      </c>
      <c r="G359" s="28" t="s">
        <v>22</v>
      </c>
      <c r="H359" s="28" t="s">
        <v>1970</v>
      </c>
      <c r="I359" s="28" t="s">
        <v>2003</v>
      </c>
      <c r="J359" s="28" t="s">
        <v>22</v>
      </c>
      <c r="K359" s="28" t="s">
        <v>2004</v>
      </c>
      <c r="L359" s="28" t="s">
        <v>1832</v>
      </c>
      <c r="M359" s="28" t="s">
        <v>2005</v>
      </c>
      <c r="N359" s="28" t="s">
        <v>1974</v>
      </c>
      <c r="O359" s="28" t="s">
        <v>1975</v>
      </c>
      <c r="P359" s="28" t="s">
        <v>1836</v>
      </c>
    </row>
    <row r="360" spans="1:16" hidden="1" x14ac:dyDescent="0.25">
      <c r="A360" s="28" t="s">
        <v>2006</v>
      </c>
      <c r="B360" s="28" t="s">
        <v>2007</v>
      </c>
      <c r="C360" s="28" t="s">
        <v>1827</v>
      </c>
      <c r="D360" s="28" t="s">
        <v>1940</v>
      </c>
      <c r="E360" s="28" t="s">
        <v>1969</v>
      </c>
      <c r="F360" s="28" t="s">
        <v>21</v>
      </c>
      <c r="G360" s="28" t="s">
        <v>22</v>
      </c>
      <c r="H360" s="28" t="s">
        <v>1970</v>
      </c>
      <c r="I360" s="28" t="s">
        <v>2008</v>
      </c>
      <c r="J360" s="28" t="s">
        <v>22</v>
      </c>
      <c r="K360" s="28" t="s">
        <v>2009</v>
      </c>
      <c r="L360" s="28" t="s">
        <v>1832</v>
      </c>
      <c r="M360" s="28" t="s">
        <v>2010</v>
      </c>
      <c r="N360" s="28" t="s">
        <v>1974</v>
      </c>
      <c r="O360" s="28" t="s">
        <v>1975</v>
      </c>
      <c r="P360" s="28" t="s">
        <v>1836</v>
      </c>
    </row>
    <row r="361" spans="1:16" hidden="1" x14ac:dyDescent="0.25">
      <c r="A361" s="28" t="s">
        <v>2011</v>
      </c>
      <c r="B361" s="28" t="s">
        <v>2012</v>
      </c>
      <c r="C361" s="28" t="s">
        <v>1827</v>
      </c>
      <c r="D361" s="28" t="s">
        <v>1940</v>
      </c>
      <c r="E361" s="28" t="s">
        <v>1969</v>
      </c>
      <c r="F361" s="28" t="s">
        <v>21</v>
      </c>
      <c r="G361" s="28" t="s">
        <v>22</v>
      </c>
      <c r="H361" s="28" t="s">
        <v>1970</v>
      </c>
      <c r="I361" s="28" t="s">
        <v>2013</v>
      </c>
      <c r="J361" s="28" t="s">
        <v>22</v>
      </c>
      <c r="K361" s="28" t="s">
        <v>2014</v>
      </c>
      <c r="L361" s="28" t="s">
        <v>1832</v>
      </c>
      <c r="M361" s="28" t="s">
        <v>2015</v>
      </c>
      <c r="N361" s="28" t="s">
        <v>1974</v>
      </c>
      <c r="O361" s="28" t="s">
        <v>1975</v>
      </c>
      <c r="P361" s="28" t="s">
        <v>1836</v>
      </c>
    </row>
    <row r="362" spans="1:16" hidden="1" x14ac:dyDescent="0.25">
      <c r="A362" s="28" t="s">
        <v>2016</v>
      </c>
      <c r="B362" s="28" t="s">
        <v>2017</v>
      </c>
      <c r="C362" s="28" t="s">
        <v>1827</v>
      </c>
      <c r="D362" s="28" t="s">
        <v>1940</v>
      </c>
      <c r="E362" s="28" t="s">
        <v>1969</v>
      </c>
      <c r="F362" s="28" t="s">
        <v>21</v>
      </c>
      <c r="G362" s="28" t="s">
        <v>22</v>
      </c>
      <c r="H362" s="28" t="s">
        <v>1970</v>
      </c>
      <c r="I362" s="28" t="s">
        <v>2018</v>
      </c>
      <c r="J362" s="28" t="s">
        <v>22</v>
      </c>
      <c r="K362" s="28" t="s">
        <v>2019</v>
      </c>
      <c r="L362" s="28" t="s">
        <v>1832</v>
      </c>
      <c r="M362" s="28" t="s">
        <v>2020</v>
      </c>
      <c r="N362" s="28" t="s">
        <v>1974</v>
      </c>
      <c r="O362" s="28" t="s">
        <v>1975</v>
      </c>
      <c r="P362" s="28" t="s">
        <v>1836</v>
      </c>
    </row>
    <row r="363" spans="1:16" hidden="1" x14ac:dyDescent="0.25">
      <c r="A363" s="28" t="s">
        <v>2021</v>
      </c>
      <c r="B363" s="28" t="s">
        <v>2022</v>
      </c>
      <c r="C363" s="28" t="s">
        <v>1827</v>
      </c>
      <c r="D363" s="28" t="s">
        <v>1940</v>
      </c>
      <c r="E363" s="28" t="s">
        <v>2023</v>
      </c>
      <c r="F363" s="28" t="s">
        <v>21</v>
      </c>
      <c r="G363" s="28" t="s">
        <v>22</v>
      </c>
      <c r="H363" s="28" t="s">
        <v>2024</v>
      </c>
      <c r="I363" s="28" t="s">
        <v>2025</v>
      </c>
      <c r="J363" s="28" t="s">
        <v>22</v>
      </c>
      <c r="K363" s="28" t="s">
        <v>2026</v>
      </c>
      <c r="L363" s="28" t="s">
        <v>1832</v>
      </c>
      <c r="M363" s="28" t="s">
        <v>2027</v>
      </c>
      <c r="N363" s="28" t="s">
        <v>2028</v>
      </c>
      <c r="O363" s="28" t="s">
        <v>2029</v>
      </c>
      <c r="P363" s="28" t="s">
        <v>1836</v>
      </c>
    </row>
    <row r="364" spans="1:16" hidden="1" x14ac:dyDescent="0.25">
      <c r="A364" s="28" t="s">
        <v>2030</v>
      </c>
      <c r="B364" s="28" t="s">
        <v>2031</v>
      </c>
      <c r="C364" s="28" t="s">
        <v>1827</v>
      </c>
      <c r="D364" s="28" t="s">
        <v>1940</v>
      </c>
      <c r="E364" s="28" t="s">
        <v>2023</v>
      </c>
      <c r="F364" s="28" t="s">
        <v>21</v>
      </c>
      <c r="G364" s="28" t="s">
        <v>22</v>
      </c>
      <c r="H364" s="28" t="s">
        <v>2024</v>
      </c>
      <c r="I364" s="28" t="s">
        <v>2032</v>
      </c>
      <c r="J364" s="28" t="s">
        <v>22</v>
      </c>
      <c r="K364" s="28" t="s">
        <v>2033</v>
      </c>
      <c r="L364" s="28" t="s">
        <v>1832</v>
      </c>
      <c r="M364" s="28" t="s">
        <v>2034</v>
      </c>
      <c r="N364" s="28" t="s">
        <v>2028</v>
      </c>
      <c r="O364" s="28" t="s">
        <v>2029</v>
      </c>
      <c r="P364" s="28" t="s">
        <v>1836</v>
      </c>
    </row>
    <row r="365" spans="1:16" hidden="1" x14ac:dyDescent="0.25">
      <c r="A365" s="28" t="s">
        <v>2035</v>
      </c>
      <c r="B365" s="28" t="s">
        <v>2036</v>
      </c>
      <c r="C365" s="28" t="s">
        <v>1827</v>
      </c>
      <c r="D365" s="28" t="s">
        <v>1940</v>
      </c>
      <c r="E365" s="28" t="s">
        <v>2037</v>
      </c>
      <c r="F365" s="28" t="s">
        <v>21</v>
      </c>
      <c r="G365" s="28" t="s">
        <v>22</v>
      </c>
      <c r="H365" s="28" t="s">
        <v>2038</v>
      </c>
      <c r="I365" s="28" t="s">
        <v>2039</v>
      </c>
      <c r="J365" s="28" t="s">
        <v>22</v>
      </c>
      <c r="K365" s="28" t="s">
        <v>1963</v>
      </c>
      <c r="L365" s="28" t="s">
        <v>1832</v>
      </c>
      <c r="M365" s="28" t="s">
        <v>2040</v>
      </c>
      <c r="N365" s="28" t="s">
        <v>2041</v>
      </c>
      <c r="O365" s="28" t="s">
        <v>2042</v>
      </c>
      <c r="P365" s="28" t="s">
        <v>1836</v>
      </c>
    </row>
    <row r="366" spans="1:16" hidden="1" x14ac:dyDescent="0.25">
      <c r="A366" s="28" t="s">
        <v>2043</v>
      </c>
      <c r="B366" s="28" t="s">
        <v>2044</v>
      </c>
      <c r="C366" s="28" t="s">
        <v>1827</v>
      </c>
      <c r="D366" s="28" t="s">
        <v>1940</v>
      </c>
      <c r="E366" s="28" t="s">
        <v>2045</v>
      </c>
      <c r="F366" s="28" t="s">
        <v>21</v>
      </c>
      <c r="G366" s="28" t="s">
        <v>22</v>
      </c>
      <c r="H366" s="28" t="s">
        <v>2038</v>
      </c>
      <c r="I366" s="28" t="s">
        <v>2046</v>
      </c>
      <c r="J366" s="28" t="s">
        <v>22</v>
      </c>
      <c r="K366" s="28" t="s">
        <v>2047</v>
      </c>
      <c r="L366" s="28" t="s">
        <v>1832</v>
      </c>
      <c r="M366" s="28" t="s">
        <v>2048</v>
      </c>
      <c r="N366" s="28" t="s">
        <v>2041</v>
      </c>
      <c r="O366" s="28" t="s">
        <v>2042</v>
      </c>
      <c r="P366" s="28" t="s">
        <v>1836</v>
      </c>
    </row>
    <row r="367" spans="1:16" hidden="1" x14ac:dyDescent="0.25">
      <c r="A367" s="28" t="s">
        <v>2049</v>
      </c>
      <c r="B367" s="28" t="s">
        <v>2050</v>
      </c>
      <c r="C367" s="28" t="s">
        <v>1827</v>
      </c>
      <c r="D367" s="28" t="s">
        <v>1940</v>
      </c>
      <c r="E367" s="28" t="s">
        <v>2045</v>
      </c>
      <c r="F367" s="28" t="s">
        <v>21</v>
      </c>
      <c r="G367" s="28" t="s">
        <v>22</v>
      </c>
      <c r="H367" s="28" t="s">
        <v>2038</v>
      </c>
      <c r="I367" s="28" t="s">
        <v>2051</v>
      </c>
      <c r="J367" s="28" t="s">
        <v>22</v>
      </c>
      <c r="K367" s="28" t="s">
        <v>2052</v>
      </c>
      <c r="L367" s="28" t="s">
        <v>1832</v>
      </c>
      <c r="M367" s="28" t="s">
        <v>2053</v>
      </c>
      <c r="N367" s="28" t="s">
        <v>2041</v>
      </c>
      <c r="O367" s="28" t="s">
        <v>2042</v>
      </c>
      <c r="P367" s="28" t="s">
        <v>1836</v>
      </c>
    </row>
    <row r="368" spans="1:16" hidden="1" x14ac:dyDescent="0.25">
      <c r="A368" s="28" t="s">
        <v>2054</v>
      </c>
      <c r="B368" s="28" t="s">
        <v>2055</v>
      </c>
      <c r="C368" s="28" t="s">
        <v>1827</v>
      </c>
      <c r="D368" s="28" t="s">
        <v>1940</v>
      </c>
      <c r="E368" s="28" t="s">
        <v>2056</v>
      </c>
      <c r="F368" s="28" t="s">
        <v>21</v>
      </c>
      <c r="G368" s="28" t="s">
        <v>22</v>
      </c>
      <c r="H368" s="28" t="s">
        <v>2038</v>
      </c>
      <c r="I368" s="28" t="s">
        <v>2057</v>
      </c>
      <c r="J368" s="28" t="s">
        <v>22</v>
      </c>
      <c r="K368" s="28" t="s">
        <v>2058</v>
      </c>
      <c r="L368" s="28" t="s">
        <v>1832</v>
      </c>
      <c r="M368" s="28" t="s">
        <v>2059</v>
      </c>
      <c r="N368" s="28" t="s">
        <v>2041</v>
      </c>
      <c r="O368" s="28" t="s">
        <v>2042</v>
      </c>
      <c r="P368" s="28" t="s">
        <v>1836</v>
      </c>
    </row>
    <row r="369" spans="1:16" hidden="1" x14ac:dyDescent="0.25">
      <c r="A369" s="28" t="s">
        <v>2060</v>
      </c>
      <c r="B369" s="28" t="s">
        <v>2061</v>
      </c>
      <c r="C369" s="28" t="s">
        <v>1827</v>
      </c>
      <c r="D369" s="28" t="s">
        <v>1940</v>
      </c>
      <c r="E369" s="28" t="s">
        <v>2062</v>
      </c>
      <c r="F369" s="28" t="s">
        <v>21</v>
      </c>
      <c r="G369" s="28" t="s">
        <v>22</v>
      </c>
      <c r="H369" s="28" t="s">
        <v>2038</v>
      </c>
      <c r="I369" s="28" t="s">
        <v>2063</v>
      </c>
      <c r="J369" s="28" t="s">
        <v>22</v>
      </c>
      <c r="K369" s="28" t="s">
        <v>2064</v>
      </c>
      <c r="L369" s="28" t="s">
        <v>1832</v>
      </c>
      <c r="M369" s="28" t="s">
        <v>2065</v>
      </c>
      <c r="N369" s="28" t="s">
        <v>2041</v>
      </c>
      <c r="O369" s="28" t="s">
        <v>2042</v>
      </c>
      <c r="P369" s="28" t="s">
        <v>1836</v>
      </c>
    </row>
    <row r="370" spans="1:16" hidden="1" x14ac:dyDescent="0.25">
      <c r="A370" s="28" t="s">
        <v>2066</v>
      </c>
      <c r="B370" s="28" t="s">
        <v>2067</v>
      </c>
      <c r="C370" s="28" t="s">
        <v>1827</v>
      </c>
      <c r="D370" s="28" t="s">
        <v>1940</v>
      </c>
      <c r="E370" s="28" t="s">
        <v>2068</v>
      </c>
      <c r="F370" s="28" t="s">
        <v>21</v>
      </c>
      <c r="G370" s="28" t="s">
        <v>22</v>
      </c>
      <c r="H370" s="28" t="s">
        <v>2038</v>
      </c>
      <c r="I370" s="28" t="s">
        <v>2069</v>
      </c>
      <c r="J370" s="28" t="s">
        <v>22</v>
      </c>
      <c r="K370" s="28" t="s">
        <v>2070</v>
      </c>
      <c r="L370" s="28" t="s">
        <v>1832</v>
      </c>
      <c r="M370" s="28" t="s">
        <v>2071</v>
      </c>
      <c r="N370" s="28" t="s">
        <v>2041</v>
      </c>
      <c r="O370" s="28" t="s">
        <v>2042</v>
      </c>
      <c r="P370" s="28" t="s">
        <v>1836</v>
      </c>
    </row>
    <row r="371" spans="1:16" hidden="1" x14ac:dyDescent="0.25">
      <c r="A371" s="28" t="s">
        <v>2072</v>
      </c>
      <c r="B371" s="28" t="s">
        <v>2073</v>
      </c>
      <c r="C371" s="28" t="s">
        <v>1827</v>
      </c>
      <c r="D371" s="28" t="s">
        <v>1940</v>
      </c>
      <c r="E371" s="28" t="s">
        <v>2074</v>
      </c>
      <c r="F371" s="28" t="s">
        <v>21</v>
      </c>
      <c r="G371" s="28" t="s">
        <v>22</v>
      </c>
      <c r="H371" s="28" t="s">
        <v>2038</v>
      </c>
      <c r="I371" s="28" t="s">
        <v>2075</v>
      </c>
      <c r="J371" s="28" t="s">
        <v>22</v>
      </c>
      <c r="K371" s="28" t="s">
        <v>2076</v>
      </c>
      <c r="L371" s="28" t="s">
        <v>1832</v>
      </c>
      <c r="M371" s="28" t="s">
        <v>2077</v>
      </c>
      <c r="N371" s="28" t="s">
        <v>2041</v>
      </c>
      <c r="O371" s="28" t="s">
        <v>2042</v>
      </c>
      <c r="P371" s="28" t="s">
        <v>1836</v>
      </c>
    </row>
    <row r="372" spans="1:16" hidden="1" x14ac:dyDescent="0.25">
      <c r="A372" s="28" t="s">
        <v>2078</v>
      </c>
      <c r="B372" s="28" t="s">
        <v>2079</v>
      </c>
      <c r="C372" s="28" t="s">
        <v>1827</v>
      </c>
      <c r="D372" s="28" t="s">
        <v>1940</v>
      </c>
      <c r="E372" s="28" t="s">
        <v>2074</v>
      </c>
      <c r="F372" s="28" t="s">
        <v>21</v>
      </c>
      <c r="G372" s="28" t="s">
        <v>22</v>
      </c>
      <c r="H372" s="28" t="s">
        <v>2038</v>
      </c>
      <c r="I372" s="28" t="s">
        <v>2080</v>
      </c>
      <c r="J372" s="28" t="s">
        <v>22</v>
      </c>
      <c r="K372" s="28" t="s">
        <v>2081</v>
      </c>
      <c r="L372" s="28" t="s">
        <v>1832</v>
      </c>
      <c r="M372" s="28" t="s">
        <v>2082</v>
      </c>
      <c r="N372" s="28" t="s">
        <v>2041</v>
      </c>
      <c r="O372" s="28" t="s">
        <v>2042</v>
      </c>
      <c r="P372" s="28" t="s">
        <v>1836</v>
      </c>
    </row>
    <row r="373" spans="1:16" hidden="1" x14ac:dyDescent="0.25">
      <c r="A373" s="28" t="s">
        <v>2083</v>
      </c>
      <c r="B373" s="28" t="s">
        <v>2084</v>
      </c>
      <c r="C373" s="28" t="s">
        <v>1827</v>
      </c>
      <c r="D373" s="28" t="s">
        <v>1940</v>
      </c>
      <c r="E373" s="28" t="s">
        <v>2085</v>
      </c>
      <c r="F373" s="28" t="s">
        <v>21</v>
      </c>
      <c r="G373" s="28" t="s">
        <v>22</v>
      </c>
      <c r="H373" s="28" t="s">
        <v>2038</v>
      </c>
      <c r="I373" s="28" t="s">
        <v>2086</v>
      </c>
      <c r="J373" s="28" t="s">
        <v>22</v>
      </c>
      <c r="K373" s="28" t="s">
        <v>2087</v>
      </c>
      <c r="L373" s="28" t="s">
        <v>1832</v>
      </c>
      <c r="M373" s="28" t="s">
        <v>2088</v>
      </c>
      <c r="N373" s="28" t="s">
        <v>2041</v>
      </c>
      <c r="O373" s="28" t="s">
        <v>2042</v>
      </c>
      <c r="P373" s="28" t="s">
        <v>1836</v>
      </c>
    </row>
    <row r="374" spans="1:16" hidden="1" x14ac:dyDescent="0.25">
      <c r="A374" s="28" t="s">
        <v>2089</v>
      </c>
      <c r="B374" s="28" t="s">
        <v>2090</v>
      </c>
      <c r="C374" s="28" t="s">
        <v>1827</v>
      </c>
      <c r="D374" s="28" t="s">
        <v>2091</v>
      </c>
      <c r="E374" s="28" t="s">
        <v>2092</v>
      </c>
      <c r="F374" s="28" t="s">
        <v>21</v>
      </c>
      <c r="G374" s="28" t="s">
        <v>22</v>
      </c>
      <c r="H374" s="28" t="s">
        <v>2093</v>
      </c>
      <c r="I374" s="28" t="s">
        <v>2094</v>
      </c>
      <c r="J374" s="28" t="s">
        <v>22</v>
      </c>
      <c r="K374" s="28" t="s">
        <v>2095</v>
      </c>
      <c r="L374" s="28" t="s">
        <v>1832</v>
      </c>
      <c r="M374" s="28" t="s">
        <v>2096</v>
      </c>
      <c r="N374" s="28" t="s">
        <v>2097</v>
      </c>
      <c r="O374" s="28" t="s">
        <v>2098</v>
      </c>
      <c r="P374" s="28" t="s">
        <v>1836</v>
      </c>
    </row>
    <row r="375" spans="1:16" hidden="1" x14ac:dyDescent="0.25">
      <c r="A375" s="28" t="s">
        <v>2099</v>
      </c>
      <c r="B375" s="28" t="s">
        <v>2100</v>
      </c>
      <c r="C375" s="28" t="s">
        <v>1827</v>
      </c>
      <c r="D375" s="28" t="s">
        <v>2091</v>
      </c>
      <c r="E375" s="28" t="s">
        <v>2092</v>
      </c>
      <c r="F375" s="28" t="s">
        <v>21</v>
      </c>
      <c r="G375" s="28" t="s">
        <v>22</v>
      </c>
      <c r="H375" s="28" t="s">
        <v>2093</v>
      </c>
      <c r="I375" s="28" t="s">
        <v>2101</v>
      </c>
      <c r="J375" s="28" t="s">
        <v>22</v>
      </c>
      <c r="K375" s="28" t="s">
        <v>2102</v>
      </c>
      <c r="L375" s="28" t="s">
        <v>1832</v>
      </c>
      <c r="M375" s="28" t="s">
        <v>2103</v>
      </c>
      <c r="N375" s="28" t="s">
        <v>2097</v>
      </c>
      <c r="O375" s="28" t="s">
        <v>2098</v>
      </c>
      <c r="P375" s="28" t="s">
        <v>1836</v>
      </c>
    </row>
    <row r="376" spans="1:16" hidden="1" x14ac:dyDescent="0.25">
      <c r="A376" s="28" t="s">
        <v>2104</v>
      </c>
      <c r="B376" s="28" t="s">
        <v>2105</v>
      </c>
      <c r="C376" s="28" t="s">
        <v>1827</v>
      </c>
      <c r="D376" s="28" t="s">
        <v>2091</v>
      </c>
      <c r="E376" s="28" t="s">
        <v>2092</v>
      </c>
      <c r="F376" s="28" t="s">
        <v>21</v>
      </c>
      <c r="G376" s="28" t="s">
        <v>22</v>
      </c>
      <c r="H376" s="28" t="s">
        <v>2093</v>
      </c>
      <c r="I376" s="28" t="s">
        <v>2106</v>
      </c>
      <c r="J376" s="28" t="s">
        <v>22</v>
      </c>
      <c r="K376" s="28" t="s">
        <v>2107</v>
      </c>
      <c r="L376" s="28" t="s">
        <v>1832</v>
      </c>
      <c r="M376" s="28" t="s">
        <v>2108</v>
      </c>
      <c r="N376" s="28" t="s">
        <v>2097</v>
      </c>
      <c r="O376" s="28" t="s">
        <v>2098</v>
      </c>
      <c r="P376" s="28" t="s">
        <v>1836</v>
      </c>
    </row>
    <row r="377" spans="1:16" hidden="1" x14ac:dyDescent="0.25">
      <c r="A377" s="28" t="s">
        <v>2109</v>
      </c>
      <c r="B377" s="28" t="s">
        <v>2110</v>
      </c>
      <c r="C377" s="28" t="s">
        <v>1827</v>
      </c>
      <c r="D377" s="28" t="s">
        <v>2091</v>
      </c>
      <c r="E377" s="28" t="s">
        <v>2111</v>
      </c>
      <c r="F377" s="28" t="s">
        <v>21</v>
      </c>
      <c r="G377" s="28" t="s">
        <v>22</v>
      </c>
      <c r="H377" s="28" t="s">
        <v>2093</v>
      </c>
      <c r="I377" s="28" t="s">
        <v>2112</v>
      </c>
      <c r="J377" s="28" t="s">
        <v>22</v>
      </c>
      <c r="K377" s="28" t="s">
        <v>2113</v>
      </c>
      <c r="L377" s="28" t="s">
        <v>1832</v>
      </c>
      <c r="M377" s="28" t="s">
        <v>2114</v>
      </c>
      <c r="N377" s="28" t="s">
        <v>2097</v>
      </c>
      <c r="O377" s="28" t="s">
        <v>2098</v>
      </c>
      <c r="P377" s="28" t="s">
        <v>1836</v>
      </c>
    </row>
    <row r="378" spans="1:16" hidden="1" x14ac:dyDescent="0.25">
      <c r="A378" s="28" t="s">
        <v>2115</v>
      </c>
      <c r="B378" s="28" t="s">
        <v>2116</v>
      </c>
      <c r="C378" s="28" t="s">
        <v>1827</v>
      </c>
      <c r="D378" s="28" t="s">
        <v>2117</v>
      </c>
      <c r="E378" s="28" t="s">
        <v>2118</v>
      </c>
      <c r="F378" s="28" t="s">
        <v>21</v>
      </c>
      <c r="G378" s="28" t="s">
        <v>22</v>
      </c>
      <c r="H378" s="28" t="s">
        <v>2119</v>
      </c>
      <c r="I378" s="28" t="s">
        <v>2120</v>
      </c>
      <c r="J378" s="28" t="s">
        <v>22</v>
      </c>
      <c r="K378" s="28" t="s">
        <v>2121</v>
      </c>
      <c r="L378" s="28" t="s">
        <v>1832</v>
      </c>
      <c r="M378" s="28" t="s">
        <v>2122</v>
      </c>
      <c r="N378" s="28" t="s">
        <v>2123</v>
      </c>
      <c r="O378" s="28" t="s">
        <v>2124</v>
      </c>
      <c r="P378" s="28" t="s">
        <v>1836</v>
      </c>
    </row>
    <row r="379" spans="1:16" hidden="1" x14ac:dyDescent="0.25">
      <c r="A379" s="28" t="s">
        <v>2125</v>
      </c>
      <c r="B379" s="28" t="s">
        <v>2126</v>
      </c>
      <c r="C379" s="28" t="s">
        <v>1827</v>
      </c>
      <c r="D379" s="28" t="s">
        <v>2117</v>
      </c>
      <c r="E379" s="28" t="s">
        <v>2118</v>
      </c>
      <c r="F379" s="28" t="s">
        <v>21</v>
      </c>
      <c r="G379" s="28" t="s">
        <v>22</v>
      </c>
      <c r="H379" s="28" t="s">
        <v>2119</v>
      </c>
      <c r="I379" s="28" t="s">
        <v>2127</v>
      </c>
      <c r="J379" s="28" t="s">
        <v>22</v>
      </c>
      <c r="K379" s="28" t="s">
        <v>2128</v>
      </c>
      <c r="L379" s="28" t="s">
        <v>1832</v>
      </c>
      <c r="M379" s="28" t="s">
        <v>2129</v>
      </c>
      <c r="N379" s="28" t="s">
        <v>2123</v>
      </c>
      <c r="O379" s="28" t="s">
        <v>2124</v>
      </c>
      <c r="P379" s="28" t="s">
        <v>1836</v>
      </c>
    </row>
    <row r="380" spans="1:16" hidden="1" x14ac:dyDescent="0.25">
      <c r="A380" s="28" t="s">
        <v>2130</v>
      </c>
      <c r="B380" s="28" t="s">
        <v>2131</v>
      </c>
      <c r="C380" s="28" t="s">
        <v>1827</v>
      </c>
      <c r="D380" s="28" t="s">
        <v>2117</v>
      </c>
      <c r="E380" s="28" t="s">
        <v>2118</v>
      </c>
      <c r="F380" s="28" t="s">
        <v>21</v>
      </c>
      <c r="G380" s="28" t="s">
        <v>22</v>
      </c>
      <c r="H380" s="28" t="s">
        <v>2119</v>
      </c>
      <c r="I380" s="28" t="s">
        <v>2132</v>
      </c>
      <c r="J380" s="28" t="s">
        <v>22</v>
      </c>
      <c r="K380" s="28" t="s">
        <v>2133</v>
      </c>
      <c r="L380" s="28" t="s">
        <v>1832</v>
      </c>
      <c r="M380" s="28" t="s">
        <v>2134</v>
      </c>
      <c r="N380" s="28" t="s">
        <v>2123</v>
      </c>
      <c r="O380" s="28" t="s">
        <v>2124</v>
      </c>
      <c r="P380" s="28" t="s">
        <v>1836</v>
      </c>
    </row>
    <row r="381" spans="1:16" hidden="1" x14ac:dyDescent="0.25">
      <c r="A381" s="28" t="s">
        <v>2135</v>
      </c>
      <c r="B381" s="28" t="s">
        <v>2136</v>
      </c>
      <c r="C381" s="28" t="s">
        <v>1827</v>
      </c>
      <c r="D381" s="28" t="s">
        <v>133</v>
      </c>
      <c r="E381" s="28" t="s">
        <v>134</v>
      </c>
      <c r="F381" s="28" t="s">
        <v>21</v>
      </c>
      <c r="G381" s="28" t="s">
        <v>22</v>
      </c>
      <c r="H381" s="28" t="s">
        <v>2137</v>
      </c>
      <c r="I381" s="28" t="s">
        <v>2138</v>
      </c>
      <c r="J381" s="28" t="s">
        <v>22</v>
      </c>
      <c r="K381" s="28" t="s">
        <v>2139</v>
      </c>
      <c r="L381" s="28" t="s">
        <v>1832</v>
      </c>
      <c r="M381" s="28" t="s">
        <v>2140</v>
      </c>
      <c r="N381" s="28" t="s">
        <v>2141</v>
      </c>
      <c r="O381" s="28" t="s">
        <v>2142</v>
      </c>
      <c r="P381" s="28" t="s">
        <v>1836</v>
      </c>
    </row>
    <row r="382" spans="1:16" hidden="1" x14ac:dyDescent="0.25">
      <c r="A382" s="28" t="s">
        <v>2143</v>
      </c>
      <c r="B382" s="28" t="s">
        <v>2144</v>
      </c>
      <c r="C382" s="28" t="s">
        <v>1827</v>
      </c>
      <c r="D382" s="28" t="s">
        <v>133</v>
      </c>
      <c r="E382" s="28" t="s">
        <v>134</v>
      </c>
      <c r="F382" s="28" t="s">
        <v>21</v>
      </c>
      <c r="G382" s="28" t="s">
        <v>22</v>
      </c>
      <c r="H382" s="28" t="s">
        <v>2137</v>
      </c>
      <c r="I382" s="28" t="s">
        <v>2145</v>
      </c>
      <c r="J382" s="28" t="s">
        <v>22</v>
      </c>
      <c r="K382" s="28" t="s">
        <v>2146</v>
      </c>
      <c r="L382" s="28" t="s">
        <v>1832</v>
      </c>
      <c r="M382" s="28" t="s">
        <v>2147</v>
      </c>
      <c r="N382" s="28" t="s">
        <v>2141</v>
      </c>
      <c r="O382" s="28" t="s">
        <v>2142</v>
      </c>
      <c r="P382" s="28" t="s">
        <v>1836</v>
      </c>
    </row>
    <row r="383" spans="1:16" hidden="1" x14ac:dyDescent="0.25">
      <c r="A383" s="28" t="s">
        <v>2148</v>
      </c>
      <c r="B383" s="28" t="s">
        <v>2149</v>
      </c>
      <c r="C383" s="28" t="s">
        <v>1827</v>
      </c>
      <c r="D383" s="28" t="s">
        <v>133</v>
      </c>
      <c r="E383" s="28" t="s">
        <v>134</v>
      </c>
      <c r="F383" s="28" t="s">
        <v>21</v>
      </c>
      <c r="G383" s="28" t="s">
        <v>22</v>
      </c>
      <c r="H383" s="28" t="s">
        <v>2137</v>
      </c>
      <c r="I383" s="28" t="s">
        <v>2150</v>
      </c>
      <c r="J383" s="28" t="s">
        <v>22</v>
      </c>
      <c r="K383" s="28" t="s">
        <v>2151</v>
      </c>
      <c r="L383" s="28" t="s">
        <v>1832</v>
      </c>
      <c r="M383" s="28" t="s">
        <v>2152</v>
      </c>
      <c r="N383" s="28" t="s">
        <v>2141</v>
      </c>
      <c r="O383" s="28" t="s">
        <v>2142</v>
      </c>
      <c r="P383" s="28" t="s">
        <v>1836</v>
      </c>
    </row>
    <row r="384" spans="1:16" hidden="1" x14ac:dyDescent="0.25">
      <c r="A384" s="28" t="s">
        <v>2153</v>
      </c>
      <c r="B384" s="28" t="s">
        <v>2154</v>
      </c>
      <c r="C384" s="28" t="s">
        <v>1827</v>
      </c>
      <c r="D384" s="28" t="s">
        <v>133</v>
      </c>
      <c r="E384" s="28" t="s">
        <v>170</v>
      </c>
      <c r="F384" s="28" t="s">
        <v>21</v>
      </c>
      <c r="G384" s="28" t="s">
        <v>22</v>
      </c>
      <c r="H384" s="28" t="s">
        <v>2155</v>
      </c>
      <c r="I384" s="28" t="s">
        <v>2156</v>
      </c>
      <c r="J384" s="28" t="s">
        <v>22</v>
      </c>
      <c r="K384" s="28" t="s">
        <v>2157</v>
      </c>
      <c r="L384" s="28" t="s">
        <v>1832</v>
      </c>
      <c r="M384" s="28" t="s">
        <v>2158</v>
      </c>
      <c r="N384" s="28" t="s">
        <v>2159</v>
      </c>
      <c r="O384" s="28" t="s">
        <v>2160</v>
      </c>
      <c r="P384" s="28" t="s">
        <v>1836</v>
      </c>
    </row>
    <row r="385" spans="1:16" hidden="1" x14ac:dyDescent="0.25">
      <c r="A385" s="28" t="s">
        <v>2161</v>
      </c>
      <c r="B385" s="28" t="s">
        <v>2162</v>
      </c>
      <c r="C385" s="28" t="s">
        <v>1827</v>
      </c>
      <c r="D385" s="28" t="s">
        <v>133</v>
      </c>
      <c r="E385" s="28" t="s">
        <v>170</v>
      </c>
      <c r="F385" s="28" t="s">
        <v>21</v>
      </c>
      <c r="G385" s="28" t="s">
        <v>22</v>
      </c>
      <c r="H385" s="28" t="s">
        <v>2155</v>
      </c>
      <c r="I385" s="28" t="s">
        <v>2163</v>
      </c>
      <c r="J385" s="28" t="s">
        <v>22</v>
      </c>
      <c r="K385" s="28" t="s">
        <v>2164</v>
      </c>
      <c r="L385" s="28" t="s">
        <v>1832</v>
      </c>
      <c r="M385" s="28" t="s">
        <v>2165</v>
      </c>
      <c r="N385" s="28" t="s">
        <v>2159</v>
      </c>
      <c r="O385" s="28" t="s">
        <v>2160</v>
      </c>
      <c r="P385" s="28" t="s">
        <v>1836</v>
      </c>
    </row>
    <row r="386" spans="1:16" hidden="1" x14ac:dyDescent="0.25">
      <c r="A386" s="28" t="s">
        <v>2166</v>
      </c>
      <c r="B386" s="28" t="s">
        <v>2167</v>
      </c>
      <c r="C386" s="28" t="s">
        <v>1827</v>
      </c>
      <c r="D386" s="28" t="s">
        <v>133</v>
      </c>
      <c r="E386" s="28" t="s">
        <v>196</v>
      </c>
      <c r="F386" s="28" t="s">
        <v>21</v>
      </c>
      <c r="G386" s="28" t="s">
        <v>22</v>
      </c>
      <c r="H386" s="28" t="s">
        <v>2168</v>
      </c>
      <c r="I386" s="28" t="s">
        <v>2169</v>
      </c>
      <c r="J386" s="28" t="s">
        <v>22</v>
      </c>
      <c r="K386" s="28" t="s">
        <v>2170</v>
      </c>
      <c r="L386" s="28" t="s">
        <v>1832</v>
      </c>
      <c r="M386" s="28" t="s">
        <v>2171</v>
      </c>
      <c r="N386" s="28" t="s">
        <v>2172</v>
      </c>
      <c r="O386" s="28" t="s">
        <v>2173</v>
      </c>
      <c r="P386" s="28" t="s">
        <v>1836</v>
      </c>
    </row>
    <row r="387" spans="1:16" hidden="1" x14ac:dyDescent="0.25">
      <c r="A387" s="28" t="s">
        <v>2174</v>
      </c>
      <c r="B387" s="28" t="s">
        <v>2175</v>
      </c>
      <c r="C387" s="28" t="s">
        <v>1827</v>
      </c>
      <c r="D387" s="28" t="s">
        <v>133</v>
      </c>
      <c r="E387" s="28" t="s">
        <v>196</v>
      </c>
      <c r="F387" s="28" t="s">
        <v>21</v>
      </c>
      <c r="G387" s="28" t="s">
        <v>22</v>
      </c>
      <c r="H387" s="28" t="s">
        <v>2168</v>
      </c>
      <c r="I387" s="28" t="s">
        <v>2176</v>
      </c>
      <c r="J387" s="28" t="s">
        <v>22</v>
      </c>
      <c r="K387" s="28" t="s">
        <v>2177</v>
      </c>
      <c r="L387" s="28" t="s">
        <v>1832</v>
      </c>
      <c r="M387" s="28" t="s">
        <v>2178</v>
      </c>
      <c r="N387" s="28" t="s">
        <v>2172</v>
      </c>
      <c r="O387" s="28" t="s">
        <v>2173</v>
      </c>
      <c r="P387" s="28" t="s">
        <v>1836</v>
      </c>
    </row>
    <row r="388" spans="1:16" hidden="1" x14ac:dyDescent="0.25">
      <c r="A388" s="28" t="s">
        <v>2179</v>
      </c>
      <c r="B388" s="28" t="s">
        <v>2180</v>
      </c>
      <c r="C388" s="28" t="s">
        <v>1827</v>
      </c>
      <c r="D388" s="28" t="s">
        <v>133</v>
      </c>
      <c r="E388" s="28" t="s">
        <v>196</v>
      </c>
      <c r="F388" s="28" t="s">
        <v>21</v>
      </c>
      <c r="G388" s="28" t="s">
        <v>22</v>
      </c>
      <c r="H388" s="28" t="s">
        <v>2168</v>
      </c>
      <c r="I388" s="28" t="s">
        <v>2181</v>
      </c>
      <c r="J388" s="28" t="s">
        <v>22</v>
      </c>
      <c r="K388" s="28" t="s">
        <v>2182</v>
      </c>
      <c r="L388" s="28" t="s">
        <v>1832</v>
      </c>
      <c r="M388" s="28" t="s">
        <v>2183</v>
      </c>
      <c r="N388" s="28" t="s">
        <v>2172</v>
      </c>
      <c r="O388" s="28" t="s">
        <v>2173</v>
      </c>
      <c r="P388" s="28" t="s">
        <v>1836</v>
      </c>
    </row>
    <row r="389" spans="1:16" hidden="1" x14ac:dyDescent="0.25">
      <c r="A389" s="28" t="s">
        <v>2184</v>
      </c>
      <c r="B389" s="28" t="s">
        <v>2185</v>
      </c>
      <c r="C389" s="28" t="s">
        <v>1827</v>
      </c>
      <c r="D389" s="28" t="s">
        <v>133</v>
      </c>
      <c r="E389" s="28" t="s">
        <v>2186</v>
      </c>
      <c r="F389" s="28" t="s">
        <v>21</v>
      </c>
      <c r="G389" s="28" t="s">
        <v>22</v>
      </c>
      <c r="H389" s="28" t="s">
        <v>2187</v>
      </c>
      <c r="I389" s="28" t="s">
        <v>2188</v>
      </c>
      <c r="J389" s="28" t="s">
        <v>22</v>
      </c>
      <c r="K389" s="28" t="s">
        <v>2189</v>
      </c>
      <c r="L389" s="28" t="s">
        <v>1832</v>
      </c>
      <c r="M389" s="28" t="s">
        <v>2190</v>
      </c>
      <c r="N389" s="28" t="s">
        <v>2191</v>
      </c>
      <c r="O389" s="28" t="s">
        <v>2192</v>
      </c>
      <c r="P389" s="28" t="s">
        <v>1836</v>
      </c>
    </row>
    <row r="390" spans="1:16" hidden="1" x14ac:dyDescent="0.25">
      <c r="A390" s="28" t="s">
        <v>2193</v>
      </c>
      <c r="B390" s="28" t="s">
        <v>2194</v>
      </c>
      <c r="C390" s="28" t="s">
        <v>1827</v>
      </c>
      <c r="D390" s="28" t="s">
        <v>133</v>
      </c>
      <c r="E390" s="28" t="s">
        <v>241</v>
      </c>
      <c r="F390" s="28" t="s">
        <v>21</v>
      </c>
      <c r="G390" s="28" t="s">
        <v>22</v>
      </c>
      <c r="H390" s="28" t="s">
        <v>2187</v>
      </c>
      <c r="I390" s="28" t="s">
        <v>2195</v>
      </c>
      <c r="J390" s="28" t="s">
        <v>22</v>
      </c>
      <c r="K390" s="28" t="s">
        <v>2196</v>
      </c>
      <c r="L390" s="28" t="s">
        <v>1832</v>
      </c>
      <c r="M390" s="28" t="s">
        <v>2197</v>
      </c>
      <c r="N390" s="28" t="s">
        <v>2191</v>
      </c>
      <c r="O390" s="28" t="s">
        <v>2192</v>
      </c>
      <c r="P390" s="28" t="s">
        <v>1836</v>
      </c>
    </row>
    <row r="391" spans="1:16" x14ac:dyDescent="0.25">
      <c r="A391" s="28" t="s">
        <v>2198</v>
      </c>
      <c r="B391" s="28" t="s">
        <v>2199</v>
      </c>
      <c r="C391" s="28" t="s">
        <v>1827</v>
      </c>
      <c r="D391" s="28" t="s">
        <v>133</v>
      </c>
      <c r="E391" s="28" t="s">
        <v>246</v>
      </c>
      <c r="F391" s="28" t="s">
        <v>21</v>
      </c>
      <c r="G391" s="28" t="s">
        <v>135</v>
      </c>
      <c r="H391" s="28" t="s">
        <v>2187</v>
      </c>
      <c r="I391" s="28" t="s">
        <v>2200</v>
      </c>
      <c r="J391" s="28" t="s">
        <v>135</v>
      </c>
      <c r="K391" s="28" t="s">
        <v>2201</v>
      </c>
      <c r="L391" s="28" t="s">
        <v>1832</v>
      </c>
      <c r="M391" s="28" t="s">
        <v>2202</v>
      </c>
      <c r="N391" s="28" t="s">
        <v>2191</v>
      </c>
      <c r="O391" s="28" t="s">
        <v>2192</v>
      </c>
      <c r="P391" s="28" t="s">
        <v>2203</v>
      </c>
    </row>
    <row r="392" spans="1:16" hidden="1" x14ac:dyDescent="0.25">
      <c r="A392" s="28" t="s">
        <v>2204</v>
      </c>
      <c r="B392" s="28" t="s">
        <v>2205</v>
      </c>
      <c r="C392" s="28" t="s">
        <v>1827</v>
      </c>
      <c r="D392" s="28" t="s">
        <v>133</v>
      </c>
      <c r="E392" s="28" t="s">
        <v>261</v>
      </c>
      <c r="F392" s="28" t="s">
        <v>21</v>
      </c>
      <c r="G392" s="28" t="s">
        <v>22</v>
      </c>
      <c r="H392" s="28" t="s">
        <v>2187</v>
      </c>
      <c r="I392" s="28" t="s">
        <v>2206</v>
      </c>
      <c r="J392" s="28" t="s">
        <v>22</v>
      </c>
      <c r="K392" s="28" t="s">
        <v>2207</v>
      </c>
      <c r="L392" s="28" t="s">
        <v>1832</v>
      </c>
      <c r="M392" s="28" t="s">
        <v>2208</v>
      </c>
      <c r="N392" s="28" t="s">
        <v>2191</v>
      </c>
      <c r="O392" s="28" t="s">
        <v>2192</v>
      </c>
      <c r="P392" s="28" t="s">
        <v>1836</v>
      </c>
    </row>
    <row r="393" spans="1:16" hidden="1" x14ac:dyDescent="0.25">
      <c r="A393" s="28" t="s">
        <v>2209</v>
      </c>
      <c r="B393" s="28" t="s">
        <v>2210</v>
      </c>
      <c r="C393" s="28" t="s">
        <v>1827</v>
      </c>
      <c r="D393" s="28" t="s">
        <v>1525</v>
      </c>
      <c r="E393" s="28" t="s">
        <v>2211</v>
      </c>
      <c r="F393" s="28" t="s">
        <v>21</v>
      </c>
      <c r="G393" s="28" t="s">
        <v>22</v>
      </c>
      <c r="H393" s="28" t="s">
        <v>2212</v>
      </c>
      <c r="I393" s="28" t="s">
        <v>2213</v>
      </c>
      <c r="J393" s="28" t="s">
        <v>22</v>
      </c>
      <c r="K393" s="28" t="s">
        <v>2214</v>
      </c>
      <c r="L393" s="28" t="s">
        <v>1832</v>
      </c>
      <c r="M393" s="28" t="s">
        <v>2215</v>
      </c>
      <c r="N393" s="28" t="s">
        <v>2216</v>
      </c>
      <c r="O393" s="28" t="s">
        <v>2217</v>
      </c>
      <c r="P393" s="28" t="s">
        <v>2218</v>
      </c>
    </row>
    <row r="394" spans="1:16" hidden="1" x14ac:dyDescent="0.25">
      <c r="A394" s="28" t="s">
        <v>2219</v>
      </c>
      <c r="B394" s="28" t="s">
        <v>2220</v>
      </c>
      <c r="C394" s="28" t="s">
        <v>1827</v>
      </c>
      <c r="D394" s="28" t="s">
        <v>1525</v>
      </c>
      <c r="E394" s="28" t="s">
        <v>2211</v>
      </c>
      <c r="F394" s="28" t="s">
        <v>21</v>
      </c>
      <c r="G394" s="28" t="s">
        <v>22</v>
      </c>
      <c r="H394" s="28" t="s">
        <v>2212</v>
      </c>
      <c r="I394" s="28" t="s">
        <v>2221</v>
      </c>
      <c r="J394" s="28" t="s">
        <v>22</v>
      </c>
      <c r="K394" s="28" t="s">
        <v>2222</v>
      </c>
      <c r="L394" s="28" t="s">
        <v>1832</v>
      </c>
      <c r="M394" s="28" t="s">
        <v>2223</v>
      </c>
      <c r="N394" s="28" t="s">
        <v>2216</v>
      </c>
      <c r="O394" s="28" t="s">
        <v>2217</v>
      </c>
      <c r="P394" s="28" t="s">
        <v>2218</v>
      </c>
    </row>
    <row r="395" spans="1:16" hidden="1" x14ac:dyDescent="0.25">
      <c r="A395" s="28" t="s">
        <v>2224</v>
      </c>
      <c r="B395" s="28" t="s">
        <v>2225</v>
      </c>
      <c r="C395" s="28" t="s">
        <v>1827</v>
      </c>
      <c r="D395" s="28" t="s">
        <v>1525</v>
      </c>
      <c r="E395" s="28" t="s">
        <v>2211</v>
      </c>
      <c r="F395" s="28" t="s">
        <v>21</v>
      </c>
      <c r="G395" s="28" t="s">
        <v>22</v>
      </c>
      <c r="H395" s="28" t="s">
        <v>2212</v>
      </c>
      <c r="I395" s="28" t="s">
        <v>2226</v>
      </c>
      <c r="J395" s="28" t="s">
        <v>22</v>
      </c>
      <c r="K395" s="28" t="s">
        <v>2227</v>
      </c>
      <c r="L395" s="28" t="s">
        <v>1832</v>
      </c>
      <c r="M395" s="28" t="s">
        <v>2228</v>
      </c>
      <c r="N395" s="28" t="s">
        <v>2216</v>
      </c>
      <c r="O395" s="28" t="s">
        <v>2217</v>
      </c>
      <c r="P395" s="28" t="s">
        <v>2218</v>
      </c>
    </row>
    <row r="396" spans="1:16" hidden="1" x14ac:dyDescent="0.25">
      <c r="A396" s="28" t="s">
        <v>2229</v>
      </c>
      <c r="B396" s="28" t="s">
        <v>2230</v>
      </c>
      <c r="C396" s="28" t="s">
        <v>1827</v>
      </c>
      <c r="D396" s="28" t="s">
        <v>1525</v>
      </c>
      <c r="E396" s="28" t="s">
        <v>2231</v>
      </c>
      <c r="F396" s="28" t="s">
        <v>21</v>
      </c>
      <c r="G396" s="28" t="s">
        <v>22</v>
      </c>
      <c r="H396" s="28" t="s">
        <v>2212</v>
      </c>
      <c r="I396" s="28" t="s">
        <v>2232</v>
      </c>
      <c r="J396" s="28" t="s">
        <v>22</v>
      </c>
      <c r="K396" s="28" t="s">
        <v>2233</v>
      </c>
      <c r="L396" s="28" t="s">
        <v>1832</v>
      </c>
      <c r="M396" s="28" t="s">
        <v>2234</v>
      </c>
      <c r="N396" s="28" t="s">
        <v>2216</v>
      </c>
      <c r="O396" s="28" t="s">
        <v>2217</v>
      </c>
      <c r="P396" s="28" t="s">
        <v>1836</v>
      </c>
    </row>
    <row r="397" spans="1:16" hidden="1" x14ac:dyDescent="0.25">
      <c r="A397" s="28" t="s">
        <v>2235</v>
      </c>
      <c r="B397" s="28" t="s">
        <v>2236</v>
      </c>
      <c r="C397" s="28" t="s">
        <v>1827</v>
      </c>
      <c r="D397" s="28" t="s">
        <v>1525</v>
      </c>
      <c r="E397" s="28" t="s">
        <v>2237</v>
      </c>
      <c r="F397" s="28" t="s">
        <v>21</v>
      </c>
      <c r="G397" s="28" t="s">
        <v>22</v>
      </c>
      <c r="H397" s="28" t="s">
        <v>2212</v>
      </c>
      <c r="I397" s="28" t="s">
        <v>2238</v>
      </c>
      <c r="J397" s="28" t="s">
        <v>22</v>
      </c>
      <c r="K397" s="28" t="s">
        <v>2239</v>
      </c>
      <c r="L397" s="28" t="s">
        <v>1832</v>
      </c>
      <c r="M397" s="28" t="s">
        <v>2240</v>
      </c>
      <c r="N397" s="28" t="s">
        <v>2216</v>
      </c>
      <c r="O397" s="28" t="s">
        <v>2217</v>
      </c>
      <c r="P397" s="28" t="s">
        <v>1836</v>
      </c>
    </row>
    <row r="398" spans="1:16" hidden="1" x14ac:dyDescent="0.25">
      <c r="A398" s="28" t="s">
        <v>2241</v>
      </c>
      <c r="B398" s="28" t="s">
        <v>2242</v>
      </c>
      <c r="C398" s="28" t="s">
        <v>1827</v>
      </c>
      <c r="D398" s="28" t="s">
        <v>1525</v>
      </c>
      <c r="E398" s="28" t="s">
        <v>2243</v>
      </c>
      <c r="F398" s="28" t="s">
        <v>21</v>
      </c>
      <c r="G398" s="28" t="s">
        <v>22</v>
      </c>
      <c r="H398" s="28" t="s">
        <v>2212</v>
      </c>
      <c r="I398" s="28" t="s">
        <v>2244</v>
      </c>
      <c r="J398" s="28" t="s">
        <v>22</v>
      </c>
      <c r="K398" s="28" t="s">
        <v>2245</v>
      </c>
      <c r="L398" s="28" t="s">
        <v>1832</v>
      </c>
      <c r="M398" s="28" t="s">
        <v>2246</v>
      </c>
      <c r="N398" s="28" t="s">
        <v>2216</v>
      </c>
      <c r="O398" s="28" t="s">
        <v>2217</v>
      </c>
      <c r="P398" s="28" t="s">
        <v>1836</v>
      </c>
    </row>
    <row r="399" spans="1:16" hidden="1" x14ac:dyDescent="0.25">
      <c r="A399" s="28" t="s">
        <v>2247</v>
      </c>
      <c r="B399" s="28" t="s">
        <v>2248</v>
      </c>
      <c r="C399" s="28" t="s">
        <v>1827</v>
      </c>
      <c r="D399" s="28" t="s">
        <v>1525</v>
      </c>
      <c r="E399" s="28" t="s">
        <v>2249</v>
      </c>
      <c r="F399" s="28" t="s">
        <v>21</v>
      </c>
      <c r="G399" s="28" t="s">
        <v>22</v>
      </c>
      <c r="H399" s="28" t="s">
        <v>2212</v>
      </c>
      <c r="I399" s="28" t="s">
        <v>2250</v>
      </c>
      <c r="J399" s="28" t="s">
        <v>22</v>
      </c>
      <c r="K399" s="28" t="s">
        <v>2251</v>
      </c>
      <c r="L399" s="28" t="s">
        <v>1832</v>
      </c>
      <c r="M399" s="28" t="s">
        <v>2252</v>
      </c>
      <c r="N399" s="28" t="s">
        <v>2216</v>
      </c>
      <c r="O399" s="28" t="s">
        <v>2217</v>
      </c>
      <c r="P399" s="28" t="s">
        <v>1836</v>
      </c>
    </row>
    <row r="400" spans="1:16" hidden="1" x14ac:dyDescent="0.25">
      <c r="A400" s="28" t="s">
        <v>2253</v>
      </c>
      <c r="B400" s="28" t="s">
        <v>2254</v>
      </c>
      <c r="C400" s="28" t="s">
        <v>1827</v>
      </c>
      <c r="D400" s="28" t="s">
        <v>45</v>
      </c>
      <c r="E400" s="28" t="s">
        <v>2255</v>
      </c>
      <c r="F400" s="28" t="s">
        <v>21</v>
      </c>
      <c r="G400" s="28" t="s">
        <v>22</v>
      </c>
      <c r="H400" s="28" t="s">
        <v>2256</v>
      </c>
      <c r="I400" s="28" t="s">
        <v>2257</v>
      </c>
      <c r="J400" s="28" t="s">
        <v>22</v>
      </c>
      <c r="K400" s="28" t="s">
        <v>2258</v>
      </c>
      <c r="L400" s="28" t="s">
        <v>1832</v>
      </c>
      <c r="M400" s="28" t="s">
        <v>2259</v>
      </c>
      <c r="N400" s="28" t="s">
        <v>2260</v>
      </c>
      <c r="O400" s="28" t="s">
        <v>2261</v>
      </c>
      <c r="P400" s="28" t="s">
        <v>1836</v>
      </c>
    </row>
    <row r="401" spans="1:16" hidden="1" x14ac:dyDescent="0.25">
      <c r="A401" s="28" t="s">
        <v>2262</v>
      </c>
      <c r="B401" s="28" t="s">
        <v>2263</v>
      </c>
      <c r="C401" s="28" t="s">
        <v>1827</v>
      </c>
      <c r="D401" s="28" t="s">
        <v>45</v>
      </c>
      <c r="E401" s="28" t="s">
        <v>2255</v>
      </c>
      <c r="F401" s="28" t="s">
        <v>21</v>
      </c>
      <c r="G401" s="28" t="s">
        <v>22</v>
      </c>
      <c r="H401" s="28" t="s">
        <v>2256</v>
      </c>
      <c r="I401" s="28" t="s">
        <v>2264</v>
      </c>
      <c r="J401" s="28" t="s">
        <v>22</v>
      </c>
      <c r="K401" s="28" t="s">
        <v>2265</v>
      </c>
      <c r="L401" s="28" t="s">
        <v>1832</v>
      </c>
      <c r="M401" s="28" t="s">
        <v>2266</v>
      </c>
      <c r="N401" s="28" t="s">
        <v>2260</v>
      </c>
      <c r="O401" s="28" t="s">
        <v>2261</v>
      </c>
      <c r="P401" s="28" t="s">
        <v>1836</v>
      </c>
    </row>
    <row r="402" spans="1:16" hidden="1" x14ac:dyDescent="0.25">
      <c r="A402" s="28" t="s">
        <v>2267</v>
      </c>
      <c r="B402" s="28" t="s">
        <v>2268</v>
      </c>
      <c r="C402" s="28" t="s">
        <v>1827</v>
      </c>
      <c r="D402" s="28" t="s">
        <v>45</v>
      </c>
      <c r="E402" s="28" t="s">
        <v>2255</v>
      </c>
      <c r="F402" s="28" t="s">
        <v>21</v>
      </c>
      <c r="G402" s="28" t="s">
        <v>22</v>
      </c>
      <c r="H402" s="28" t="s">
        <v>2256</v>
      </c>
      <c r="I402" s="28" t="s">
        <v>2269</v>
      </c>
      <c r="J402" s="28" t="s">
        <v>22</v>
      </c>
      <c r="K402" s="28" t="s">
        <v>2270</v>
      </c>
      <c r="L402" s="28" t="s">
        <v>1832</v>
      </c>
      <c r="M402" s="28" t="s">
        <v>2271</v>
      </c>
      <c r="N402" s="28" t="s">
        <v>2260</v>
      </c>
      <c r="O402" s="28" t="s">
        <v>2261</v>
      </c>
      <c r="P402" s="28" t="s">
        <v>1836</v>
      </c>
    </row>
    <row r="403" spans="1:16" hidden="1" x14ac:dyDescent="0.25">
      <c r="A403" s="28" t="s">
        <v>2272</v>
      </c>
      <c r="B403" s="28" t="s">
        <v>2273</v>
      </c>
      <c r="C403" s="28" t="s">
        <v>1827</v>
      </c>
      <c r="D403" s="28" t="s">
        <v>45</v>
      </c>
      <c r="E403" s="28" t="s">
        <v>2255</v>
      </c>
      <c r="F403" s="28" t="s">
        <v>21</v>
      </c>
      <c r="G403" s="28" t="s">
        <v>22</v>
      </c>
      <c r="H403" s="28" t="s">
        <v>2256</v>
      </c>
      <c r="I403" s="28" t="s">
        <v>2274</v>
      </c>
      <c r="J403" s="28" t="s">
        <v>22</v>
      </c>
      <c r="K403" s="28" t="s">
        <v>2275</v>
      </c>
      <c r="L403" s="28" t="s">
        <v>1832</v>
      </c>
      <c r="M403" s="28" t="s">
        <v>2276</v>
      </c>
      <c r="N403" s="28" t="s">
        <v>2260</v>
      </c>
      <c r="O403" s="28" t="s">
        <v>2261</v>
      </c>
      <c r="P403" s="28" t="s">
        <v>1836</v>
      </c>
    </row>
    <row r="404" spans="1:16" hidden="1" x14ac:dyDescent="0.25">
      <c r="A404" s="28" t="s">
        <v>2277</v>
      </c>
      <c r="B404" s="28" t="s">
        <v>2278</v>
      </c>
      <c r="C404" s="28" t="s">
        <v>1827</v>
      </c>
      <c r="D404" s="28" t="s">
        <v>1586</v>
      </c>
      <c r="E404" s="28" t="s">
        <v>1587</v>
      </c>
      <c r="F404" s="28" t="s">
        <v>21</v>
      </c>
      <c r="G404" s="28" t="s">
        <v>22</v>
      </c>
      <c r="H404" s="28" t="s">
        <v>2279</v>
      </c>
      <c r="I404" s="28" t="s">
        <v>2280</v>
      </c>
      <c r="J404" s="28" t="s">
        <v>22</v>
      </c>
      <c r="K404" s="28" t="s">
        <v>2281</v>
      </c>
      <c r="L404" s="28" t="s">
        <v>1832</v>
      </c>
      <c r="M404" s="28" t="s">
        <v>2282</v>
      </c>
      <c r="N404" s="28" t="s">
        <v>2283</v>
      </c>
      <c r="O404" s="28" t="s">
        <v>2284</v>
      </c>
      <c r="P404" s="28" t="s">
        <v>1836</v>
      </c>
    </row>
    <row r="405" spans="1:16" hidden="1" x14ac:dyDescent="0.25">
      <c r="A405" s="28" t="s">
        <v>2285</v>
      </c>
      <c r="B405" s="28" t="s">
        <v>2286</v>
      </c>
      <c r="C405" s="28" t="s">
        <v>1827</v>
      </c>
      <c r="D405" s="28" t="s">
        <v>2287</v>
      </c>
      <c r="E405" s="28" t="s">
        <v>2288</v>
      </c>
      <c r="F405" s="28" t="s">
        <v>21</v>
      </c>
      <c r="G405" s="28" t="s">
        <v>22</v>
      </c>
      <c r="H405" s="28" t="s">
        <v>2289</v>
      </c>
      <c r="I405" s="28" t="s">
        <v>2290</v>
      </c>
      <c r="J405" s="28" t="s">
        <v>22</v>
      </c>
      <c r="K405" s="28" t="s">
        <v>2291</v>
      </c>
      <c r="L405" s="28" t="s">
        <v>1832</v>
      </c>
      <c r="M405" s="28" t="s">
        <v>2292</v>
      </c>
      <c r="N405" s="28" t="s">
        <v>2293</v>
      </c>
      <c r="O405" s="28" t="s">
        <v>2294</v>
      </c>
      <c r="P405" s="28" t="s">
        <v>1836</v>
      </c>
    </row>
    <row r="406" spans="1:16" hidden="1" x14ac:dyDescent="0.25">
      <c r="A406" s="28" t="s">
        <v>2295</v>
      </c>
      <c r="B406" s="28" t="s">
        <v>2296</v>
      </c>
      <c r="C406" s="28" t="s">
        <v>1827</v>
      </c>
      <c r="D406" s="28" t="s">
        <v>2287</v>
      </c>
      <c r="E406" s="28" t="s">
        <v>2288</v>
      </c>
      <c r="F406" s="28" t="s">
        <v>21</v>
      </c>
      <c r="G406" s="28" t="s">
        <v>22</v>
      </c>
      <c r="H406" s="28" t="s">
        <v>2289</v>
      </c>
      <c r="I406" s="28" t="s">
        <v>2297</v>
      </c>
      <c r="J406" s="28" t="s">
        <v>22</v>
      </c>
      <c r="K406" s="28" t="s">
        <v>2298</v>
      </c>
      <c r="L406" s="28" t="s">
        <v>1832</v>
      </c>
      <c r="M406" s="28" t="s">
        <v>2299</v>
      </c>
      <c r="N406" s="28" t="s">
        <v>2293</v>
      </c>
      <c r="O406" s="28" t="s">
        <v>2294</v>
      </c>
      <c r="P406" s="28" t="s">
        <v>1836</v>
      </c>
    </row>
    <row r="407" spans="1:16" hidden="1" x14ac:dyDescent="0.25">
      <c r="A407" s="28" t="s">
        <v>2300</v>
      </c>
      <c r="B407" s="28" t="s">
        <v>2301</v>
      </c>
      <c r="C407" s="28" t="s">
        <v>1827</v>
      </c>
      <c r="D407" s="28" t="s">
        <v>2287</v>
      </c>
      <c r="E407" s="28" t="s">
        <v>2302</v>
      </c>
      <c r="F407" s="28" t="s">
        <v>21</v>
      </c>
      <c r="G407" s="28" t="s">
        <v>22</v>
      </c>
      <c r="H407" s="28" t="s">
        <v>2289</v>
      </c>
      <c r="I407" s="28" t="s">
        <v>2303</v>
      </c>
      <c r="J407" s="28" t="s">
        <v>22</v>
      </c>
      <c r="K407" s="28" t="s">
        <v>2304</v>
      </c>
      <c r="L407" s="28" t="s">
        <v>1832</v>
      </c>
      <c r="M407" s="28" t="s">
        <v>2305</v>
      </c>
      <c r="N407" s="28" t="s">
        <v>2293</v>
      </c>
      <c r="O407" s="28" t="s">
        <v>2294</v>
      </c>
      <c r="P407" s="28" t="s">
        <v>1836</v>
      </c>
    </row>
    <row r="408" spans="1:16" hidden="1" x14ac:dyDescent="0.25">
      <c r="A408" s="28" t="s">
        <v>2306</v>
      </c>
      <c r="B408" s="28" t="s">
        <v>2307</v>
      </c>
      <c r="C408" s="28" t="s">
        <v>1827</v>
      </c>
      <c r="D408" s="28" t="s">
        <v>2287</v>
      </c>
      <c r="E408" s="28" t="s">
        <v>2308</v>
      </c>
      <c r="F408" s="28" t="s">
        <v>21</v>
      </c>
      <c r="G408" s="28" t="s">
        <v>22</v>
      </c>
      <c r="H408" s="28" t="s">
        <v>2289</v>
      </c>
      <c r="I408" s="28" t="s">
        <v>2309</v>
      </c>
      <c r="J408" s="28" t="s">
        <v>22</v>
      </c>
      <c r="K408" s="28" t="s">
        <v>2310</v>
      </c>
      <c r="L408" s="28" t="s">
        <v>1832</v>
      </c>
      <c r="M408" s="28" t="s">
        <v>2311</v>
      </c>
      <c r="N408" s="28" t="s">
        <v>2293</v>
      </c>
      <c r="O408" s="28" t="s">
        <v>2294</v>
      </c>
      <c r="P408" s="28" t="s">
        <v>1836</v>
      </c>
    </row>
    <row r="409" spans="1:16" hidden="1" x14ac:dyDescent="0.25">
      <c r="A409" s="28" t="s">
        <v>2312</v>
      </c>
      <c r="B409" s="28" t="s">
        <v>2313</v>
      </c>
      <c r="C409" s="28" t="s">
        <v>1827</v>
      </c>
      <c r="D409" s="28" t="s">
        <v>2314</v>
      </c>
      <c r="E409" s="28" t="s">
        <v>2315</v>
      </c>
      <c r="F409" s="28" t="s">
        <v>21</v>
      </c>
      <c r="G409" s="28" t="s">
        <v>22</v>
      </c>
      <c r="H409" s="28" t="s">
        <v>2316</v>
      </c>
      <c r="I409" s="28" t="s">
        <v>2317</v>
      </c>
      <c r="J409" s="28" t="s">
        <v>22</v>
      </c>
      <c r="K409" s="28" t="s">
        <v>2318</v>
      </c>
      <c r="L409" s="28" t="s">
        <v>1832</v>
      </c>
      <c r="M409" s="28" t="s">
        <v>2319</v>
      </c>
      <c r="N409" s="28" t="s">
        <v>2320</v>
      </c>
      <c r="O409" s="28" t="s">
        <v>2321</v>
      </c>
      <c r="P409" s="28" t="s">
        <v>1836</v>
      </c>
    </row>
    <row r="410" spans="1:16" hidden="1" x14ac:dyDescent="0.25">
      <c r="A410" s="28" t="s">
        <v>2322</v>
      </c>
      <c r="B410" s="28" t="s">
        <v>2323</v>
      </c>
      <c r="C410" s="28" t="s">
        <v>1827</v>
      </c>
      <c r="D410" s="28" t="s">
        <v>2314</v>
      </c>
      <c r="E410" s="28" t="s">
        <v>2324</v>
      </c>
      <c r="F410" s="28" t="s">
        <v>21</v>
      </c>
      <c r="G410" s="28" t="s">
        <v>22</v>
      </c>
      <c r="H410" s="28" t="s">
        <v>2316</v>
      </c>
      <c r="I410" s="28" t="s">
        <v>2325</v>
      </c>
      <c r="J410" s="28" t="s">
        <v>22</v>
      </c>
      <c r="K410" s="28" t="s">
        <v>2326</v>
      </c>
      <c r="L410" s="28" t="s">
        <v>1832</v>
      </c>
      <c r="M410" s="28" t="s">
        <v>2327</v>
      </c>
      <c r="N410" s="28" t="s">
        <v>2320</v>
      </c>
      <c r="O410" s="28" t="s">
        <v>2321</v>
      </c>
      <c r="P410" s="28" t="s">
        <v>1836</v>
      </c>
    </row>
    <row r="411" spans="1:16" hidden="1" x14ac:dyDescent="0.25">
      <c r="A411" s="28" t="s">
        <v>2328</v>
      </c>
      <c r="B411" s="28" t="s">
        <v>2329</v>
      </c>
      <c r="C411" s="28" t="s">
        <v>1827</v>
      </c>
      <c r="D411" s="28" t="s">
        <v>2314</v>
      </c>
      <c r="E411" s="28" t="s">
        <v>2330</v>
      </c>
      <c r="F411" s="28" t="s">
        <v>21</v>
      </c>
      <c r="G411" s="28" t="s">
        <v>22</v>
      </c>
      <c r="H411" s="28" t="s">
        <v>2316</v>
      </c>
      <c r="I411" s="28" t="s">
        <v>2331</v>
      </c>
      <c r="J411" s="28" t="s">
        <v>22</v>
      </c>
      <c r="K411" s="28" t="s">
        <v>2332</v>
      </c>
      <c r="L411" s="28" t="s">
        <v>1832</v>
      </c>
      <c r="M411" s="28" t="s">
        <v>2333</v>
      </c>
      <c r="N411" s="28" t="s">
        <v>2320</v>
      </c>
      <c r="O411" s="28" t="s">
        <v>2321</v>
      </c>
      <c r="P411" s="28" t="s">
        <v>1836</v>
      </c>
    </row>
    <row r="412" spans="1:16" hidden="1" x14ac:dyDescent="0.25">
      <c r="A412" s="28" t="s">
        <v>2334</v>
      </c>
      <c r="B412" s="28" t="s">
        <v>2335</v>
      </c>
      <c r="C412" s="28" t="s">
        <v>1827</v>
      </c>
      <c r="D412" s="28" t="s">
        <v>2314</v>
      </c>
      <c r="E412" s="28" t="s">
        <v>2336</v>
      </c>
      <c r="F412" s="28" t="s">
        <v>21</v>
      </c>
      <c r="G412" s="28" t="s">
        <v>22</v>
      </c>
      <c r="H412" s="28" t="s">
        <v>2316</v>
      </c>
      <c r="I412" s="28" t="s">
        <v>2337</v>
      </c>
      <c r="J412" s="28" t="s">
        <v>22</v>
      </c>
      <c r="K412" s="28" t="s">
        <v>2338</v>
      </c>
      <c r="L412" s="28" t="s">
        <v>1832</v>
      </c>
      <c r="M412" s="28" t="s">
        <v>2339</v>
      </c>
      <c r="N412" s="28" t="s">
        <v>2320</v>
      </c>
      <c r="O412" s="28" t="s">
        <v>2321</v>
      </c>
      <c r="P412" s="28" t="s">
        <v>1836</v>
      </c>
    </row>
    <row r="413" spans="1:16" hidden="1" x14ac:dyDescent="0.25">
      <c r="A413" s="28" t="s">
        <v>2340</v>
      </c>
      <c r="B413" s="28" t="s">
        <v>2341</v>
      </c>
      <c r="C413" s="28" t="s">
        <v>1827</v>
      </c>
      <c r="D413" s="28" t="s">
        <v>2314</v>
      </c>
      <c r="E413" s="28" t="s">
        <v>2336</v>
      </c>
      <c r="F413" s="28" t="s">
        <v>21</v>
      </c>
      <c r="G413" s="28" t="s">
        <v>22</v>
      </c>
      <c r="H413" s="28" t="s">
        <v>2316</v>
      </c>
      <c r="I413" s="28" t="s">
        <v>2342</v>
      </c>
      <c r="J413" s="28" t="s">
        <v>22</v>
      </c>
      <c r="K413" s="28" t="s">
        <v>2343</v>
      </c>
      <c r="L413" s="28" t="s">
        <v>1832</v>
      </c>
      <c r="M413" s="28" t="s">
        <v>2344</v>
      </c>
      <c r="N413" s="28" t="s">
        <v>2320</v>
      </c>
      <c r="O413" s="28" t="s">
        <v>2321</v>
      </c>
      <c r="P413" s="28" t="s">
        <v>1836</v>
      </c>
    </row>
    <row r="414" spans="1:16" hidden="1" x14ac:dyDescent="0.25">
      <c r="A414" s="28" t="s">
        <v>2345</v>
      </c>
      <c r="B414" s="28" t="s">
        <v>2346</v>
      </c>
      <c r="C414" s="28" t="s">
        <v>1827</v>
      </c>
      <c r="D414" s="28" t="s">
        <v>2347</v>
      </c>
      <c r="E414" s="28" t="s">
        <v>2348</v>
      </c>
      <c r="F414" s="28" t="s">
        <v>21</v>
      </c>
      <c r="G414" s="28" t="s">
        <v>22</v>
      </c>
      <c r="H414" s="28" t="s">
        <v>2349</v>
      </c>
      <c r="I414" s="28" t="s">
        <v>2350</v>
      </c>
      <c r="J414" s="28" t="s">
        <v>22</v>
      </c>
      <c r="K414" s="28" t="s">
        <v>2351</v>
      </c>
      <c r="L414" s="28" t="s">
        <v>1832</v>
      </c>
      <c r="M414" s="28" t="s">
        <v>2352</v>
      </c>
      <c r="N414" s="28" t="s">
        <v>2353</v>
      </c>
      <c r="O414" s="28" t="s">
        <v>2354</v>
      </c>
      <c r="P414" s="28" t="s">
        <v>1836</v>
      </c>
    </row>
    <row r="415" spans="1:16" hidden="1" x14ac:dyDescent="0.25">
      <c r="A415" s="28" t="s">
        <v>2355</v>
      </c>
      <c r="B415" s="28" t="s">
        <v>2356</v>
      </c>
      <c r="C415" s="28" t="s">
        <v>1827</v>
      </c>
      <c r="D415" s="28" t="s">
        <v>2347</v>
      </c>
      <c r="E415" s="28" t="s">
        <v>2357</v>
      </c>
      <c r="F415" s="28" t="s">
        <v>21</v>
      </c>
      <c r="G415" s="28" t="s">
        <v>22</v>
      </c>
      <c r="H415" s="28" t="s">
        <v>2349</v>
      </c>
      <c r="I415" s="28" t="s">
        <v>2358</v>
      </c>
      <c r="J415" s="28" t="s">
        <v>22</v>
      </c>
      <c r="K415" s="28" t="s">
        <v>2359</v>
      </c>
      <c r="L415" s="28" t="s">
        <v>1832</v>
      </c>
      <c r="M415" s="28" t="s">
        <v>2360</v>
      </c>
      <c r="N415" s="28" t="s">
        <v>2353</v>
      </c>
      <c r="O415" s="28" t="s">
        <v>2354</v>
      </c>
      <c r="P415" s="28" t="s">
        <v>1836</v>
      </c>
    </row>
    <row r="416" spans="1:16" hidden="1" x14ac:dyDescent="0.25">
      <c r="A416" s="28" t="s">
        <v>2361</v>
      </c>
      <c r="B416" s="28" t="s">
        <v>2362</v>
      </c>
      <c r="C416" s="28" t="s">
        <v>1827</v>
      </c>
      <c r="D416" s="28" t="s">
        <v>1078</v>
      </c>
      <c r="E416" s="28" t="s">
        <v>2363</v>
      </c>
      <c r="F416" s="28" t="s">
        <v>21</v>
      </c>
      <c r="G416" s="28" t="s">
        <v>22</v>
      </c>
      <c r="H416" s="28" t="s">
        <v>2364</v>
      </c>
      <c r="I416" s="28" t="s">
        <v>2365</v>
      </c>
      <c r="J416" s="28" t="s">
        <v>22</v>
      </c>
      <c r="K416" s="28" t="s">
        <v>2366</v>
      </c>
      <c r="L416" s="28" t="s">
        <v>1832</v>
      </c>
      <c r="M416" s="28" t="s">
        <v>2367</v>
      </c>
      <c r="N416" s="28" t="s">
        <v>2368</v>
      </c>
      <c r="O416" s="28" t="s">
        <v>2369</v>
      </c>
      <c r="P416" s="28" t="s">
        <v>1836</v>
      </c>
    </row>
    <row r="417" spans="1:16" hidden="1" x14ac:dyDescent="0.25">
      <c r="A417" s="28" t="s">
        <v>2370</v>
      </c>
      <c r="B417" s="28" t="s">
        <v>2371</v>
      </c>
      <c r="C417" s="28" t="s">
        <v>1827</v>
      </c>
      <c r="D417" s="28" t="s">
        <v>1078</v>
      </c>
      <c r="E417" s="28" t="s">
        <v>2363</v>
      </c>
      <c r="F417" s="28" t="s">
        <v>21</v>
      </c>
      <c r="G417" s="28" t="s">
        <v>22</v>
      </c>
      <c r="H417" s="28" t="s">
        <v>2364</v>
      </c>
      <c r="I417" s="28" t="s">
        <v>2372</v>
      </c>
      <c r="J417" s="28" t="s">
        <v>22</v>
      </c>
      <c r="K417" s="28" t="s">
        <v>2373</v>
      </c>
      <c r="L417" s="28" t="s">
        <v>1832</v>
      </c>
      <c r="M417" s="28" t="s">
        <v>2374</v>
      </c>
      <c r="N417" s="28" t="s">
        <v>2368</v>
      </c>
      <c r="O417" s="28" t="s">
        <v>2369</v>
      </c>
      <c r="P417" s="28" t="s">
        <v>1836</v>
      </c>
    </row>
    <row r="418" spans="1:16" hidden="1" x14ac:dyDescent="0.25">
      <c r="A418" s="28" t="s">
        <v>2375</v>
      </c>
      <c r="B418" s="28" t="s">
        <v>2376</v>
      </c>
      <c r="C418" s="28" t="s">
        <v>1827</v>
      </c>
      <c r="D418" s="28" t="s">
        <v>1078</v>
      </c>
      <c r="E418" s="28" t="s">
        <v>2363</v>
      </c>
      <c r="F418" s="28" t="s">
        <v>21</v>
      </c>
      <c r="G418" s="28" t="s">
        <v>22</v>
      </c>
      <c r="H418" s="28" t="s">
        <v>2364</v>
      </c>
      <c r="I418" s="28" t="s">
        <v>2377</v>
      </c>
      <c r="J418" s="28" t="s">
        <v>22</v>
      </c>
      <c r="K418" s="28" t="s">
        <v>2378</v>
      </c>
      <c r="L418" s="28" t="s">
        <v>1832</v>
      </c>
      <c r="M418" s="28" t="s">
        <v>2379</v>
      </c>
      <c r="N418" s="28" t="s">
        <v>2368</v>
      </c>
      <c r="O418" s="28" t="s">
        <v>2369</v>
      </c>
      <c r="P418" s="28" t="s">
        <v>1836</v>
      </c>
    </row>
    <row r="419" spans="1:16" hidden="1" x14ac:dyDescent="0.25">
      <c r="A419" s="28" t="s">
        <v>2380</v>
      </c>
      <c r="B419" s="28" t="s">
        <v>2381</v>
      </c>
      <c r="C419" s="28" t="s">
        <v>1827</v>
      </c>
      <c r="D419" s="28" t="s">
        <v>1078</v>
      </c>
      <c r="E419" s="28" t="s">
        <v>2363</v>
      </c>
      <c r="F419" s="28" t="s">
        <v>21</v>
      </c>
      <c r="G419" s="28" t="s">
        <v>22</v>
      </c>
      <c r="H419" s="28" t="s">
        <v>2364</v>
      </c>
      <c r="I419" s="28" t="s">
        <v>2382</v>
      </c>
      <c r="J419" s="28" t="s">
        <v>22</v>
      </c>
      <c r="K419" s="28" t="s">
        <v>2383</v>
      </c>
      <c r="L419" s="28" t="s">
        <v>1832</v>
      </c>
      <c r="M419" s="28" t="s">
        <v>2384</v>
      </c>
      <c r="N419" s="28" t="s">
        <v>2368</v>
      </c>
      <c r="O419" s="28" t="s">
        <v>2369</v>
      </c>
      <c r="P419" s="28" t="s">
        <v>1836</v>
      </c>
    </row>
    <row r="420" spans="1:16" hidden="1" x14ac:dyDescent="0.25">
      <c r="A420" s="28" t="s">
        <v>2385</v>
      </c>
      <c r="B420" s="28" t="s">
        <v>2386</v>
      </c>
      <c r="C420" s="28" t="s">
        <v>1827</v>
      </c>
      <c r="D420" s="28" t="s">
        <v>1078</v>
      </c>
      <c r="E420" s="28" t="s">
        <v>1115</v>
      </c>
      <c r="F420" s="28" t="s">
        <v>21</v>
      </c>
      <c r="G420" s="28" t="s">
        <v>22</v>
      </c>
      <c r="H420" s="28" t="s">
        <v>2387</v>
      </c>
      <c r="I420" s="28" t="s">
        <v>2388</v>
      </c>
      <c r="J420" s="28" t="s">
        <v>22</v>
      </c>
      <c r="K420" s="28" t="s">
        <v>2389</v>
      </c>
      <c r="L420" s="28" t="s">
        <v>1832</v>
      </c>
      <c r="M420" s="28" t="s">
        <v>2390</v>
      </c>
      <c r="N420" s="28" t="s">
        <v>2391</v>
      </c>
      <c r="O420" s="28" t="s">
        <v>2392</v>
      </c>
      <c r="P420" s="28" t="s">
        <v>1836</v>
      </c>
    </row>
    <row r="421" spans="1:16" hidden="1" x14ac:dyDescent="0.25">
      <c r="A421" s="28" t="s">
        <v>2393</v>
      </c>
      <c r="B421" s="28" t="s">
        <v>2394</v>
      </c>
      <c r="C421" s="28" t="s">
        <v>1827</v>
      </c>
      <c r="D421" s="28" t="s">
        <v>1078</v>
      </c>
      <c r="E421" s="28" t="s">
        <v>2395</v>
      </c>
      <c r="F421" s="28" t="s">
        <v>21</v>
      </c>
      <c r="G421" s="28" t="s">
        <v>22</v>
      </c>
      <c r="H421" s="28" t="s">
        <v>2396</v>
      </c>
      <c r="I421" s="28" t="s">
        <v>2397</v>
      </c>
      <c r="J421" s="28" t="s">
        <v>22</v>
      </c>
      <c r="K421" s="28" t="s">
        <v>2398</v>
      </c>
      <c r="L421" s="28" t="s">
        <v>1832</v>
      </c>
      <c r="M421" s="28" t="s">
        <v>2399</v>
      </c>
      <c r="N421" s="28" t="s">
        <v>2400</v>
      </c>
      <c r="O421" s="28" t="s">
        <v>2401</v>
      </c>
      <c r="P421" s="28" t="s">
        <v>1836</v>
      </c>
    </row>
    <row r="422" spans="1:16" hidden="1" x14ac:dyDescent="0.25">
      <c r="A422" s="28" t="s">
        <v>2402</v>
      </c>
      <c r="B422" s="28" t="s">
        <v>2403</v>
      </c>
      <c r="C422" s="28" t="s">
        <v>1827</v>
      </c>
      <c r="D422" s="28" t="s">
        <v>1078</v>
      </c>
      <c r="E422" s="28" t="s">
        <v>2395</v>
      </c>
      <c r="F422" s="28" t="s">
        <v>21</v>
      </c>
      <c r="G422" s="28" t="s">
        <v>22</v>
      </c>
      <c r="H422" s="28" t="s">
        <v>2396</v>
      </c>
      <c r="I422" s="28" t="s">
        <v>2404</v>
      </c>
      <c r="J422" s="28" t="s">
        <v>22</v>
      </c>
      <c r="K422" s="28" t="s">
        <v>2405</v>
      </c>
      <c r="L422" s="28" t="s">
        <v>1832</v>
      </c>
      <c r="M422" s="28" t="s">
        <v>2406</v>
      </c>
      <c r="N422" s="28" t="s">
        <v>2400</v>
      </c>
      <c r="O422" s="28" t="s">
        <v>2401</v>
      </c>
      <c r="P422" s="28" t="s">
        <v>1836</v>
      </c>
    </row>
    <row r="423" spans="1:16" hidden="1" x14ac:dyDescent="0.25">
      <c r="A423" s="28" t="s">
        <v>2407</v>
      </c>
      <c r="B423" s="28" t="s">
        <v>2408</v>
      </c>
      <c r="C423" s="28" t="s">
        <v>1827</v>
      </c>
      <c r="D423" s="28" t="s">
        <v>1078</v>
      </c>
      <c r="E423" s="28" t="s">
        <v>2395</v>
      </c>
      <c r="F423" s="28" t="s">
        <v>21</v>
      </c>
      <c r="G423" s="28" t="s">
        <v>22</v>
      </c>
      <c r="H423" s="28" t="s">
        <v>2396</v>
      </c>
      <c r="I423" s="28" t="s">
        <v>2409</v>
      </c>
      <c r="J423" s="28" t="s">
        <v>22</v>
      </c>
      <c r="K423" s="28" t="s">
        <v>2410</v>
      </c>
      <c r="L423" s="28" t="s">
        <v>1832</v>
      </c>
      <c r="M423" s="28" t="s">
        <v>2411</v>
      </c>
      <c r="N423" s="28" t="s">
        <v>2400</v>
      </c>
      <c r="O423" s="28" t="s">
        <v>2401</v>
      </c>
      <c r="P423" s="28" t="s">
        <v>1836</v>
      </c>
    </row>
    <row r="424" spans="1:16" hidden="1" x14ac:dyDescent="0.25">
      <c r="A424" s="28" t="s">
        <v>2412</v>
      </c>
      <c r="B424" s="28" t="s">
        <v>2413</v>
      </c>
      <c r="C424" s="28" t="s">
        <v>1827</v>
      </c>
      <c r="D424" s="28" t="s">
        <v>1078</v>
      </c>
      <c r="E424" s="28" t="s">
        <v>2395</v>
      </c>
      <c r="F424" s="28" t="s">
        <v>21</v>
      </c>
      <c r="G424" s="28" t="s">
        <v>22</v>
      </c>
      <c r="H424" s="28" t="s">
        <v>2396</v>
      </c>
      <c r="I424" s="28" t="s">
        <v>2414</v>
      </c>
      <c r="J424" s="28" t="s">
        <v>22</v>
      </c>
      <c r="K424" s="28" t="s">
        <v>2415</v>
      </c>
      <c r="L424" s="28" t="s">
        <v>1832</v>
      </c>
      <c r="M424" s="28" t="s">
        <v>2416</v>
      </c>
      <c r="N424" s="28" t="s">
        <v>2400</v>
      </c>
      <c r="O424" s="28" t="s">
        <v>2401</v>
      </c>
      <c r="P424" s="28" t="s">
        <v>1836</v>
      </c>
    </row>
    <row r="425" spans="1:16" x14ac:dyDescent="0.25">
      <c r="A425" s="28" t="s">
        <v>2417</v>
      </c>
      <c r="B425" s="28" t="s">
        <v>2418</v>
      </c>
      <c r="C425" s="28" t="s">
        <v>1827</v>
      </c>
      <c r="D425" s="28" t="s">
        <v>1078</v>
      </c>
      <c r="E425" s="28" t="s">
        <v>2395</v>
      </c>
      <c r="F425" s="28" t="s">
        <v>21</v>
      </c>
      <c r="G425" s="28" t="s">
        <v>135</v>
      </c>
      <c r="H425" s="28" t="s">
        <v>2396</v>
      </c>
      <c r="I425" s="28" t="s">
        <v>2419</v>
      </c>
      <c r="J425" s="28" t="s">
        <v>135</v>
      </c>
      <c r="K425" s="28" t="s">
        <v>2420</v>
      </c>
      <c r="L425" s="28" t="s">
        <v>1832</v>
      </c>
      <c r="M425" s="28" t="s">
        <v>2421</v>
      </c>
      <c r="N425" s="28" t="s">
        <v>2400</v>
      </c>
      <c r="O425" s="28" t="s">
        <v>2401</v>
      </c>
      <c r="P425" s="28" t="s">
        <v>2422</v>
      </c>
    </row>
    <row r="426" spans="1:16" hidden="1" x14ac:dyDescent="0.25">
      <c r="A426" s="28" t="s">
        <v>2423</v>
      </c>
      <c r="B426" s="28" t="s">
        <v>2424</v>
      </c>
      <c r="C426" s="28" t="s">
        <v>1827</v>
      </c>
      <c r="D426" s="28" t="s">
        <v>1078</v>
      </c>
      <c r="E426" s="28" t="s">
        <v>63</v>
      </c>
      <c r="F426" s="28" t="s">
        <v>21</v>
      </c>
      <c r="G426" s="28" t="s">
        <v>22</v>
      </c>
      <c r="H426" s="28" t="s">
        <v>2425</v>
      </c>
      <c r="I426" s="28" t="s">
        <v>2426</v>
      </c>
      <c r="J426" s="28" t="s">
        <v>22</v>
      </c>
      <c r="K426" s="28" t="s">
        <v>2427</v>
      </c>
      <c r="L426" s="28" t="s">
        <v>1832</v>
      </c>
      <c r="M426" s="28" t="s">
        <v>2428</v>
      </c>
      <c r="N426" s="28" t="s">
        <v>2429</v>
      </c>
      <c r="O426" s="28" t="s">
        <v>2430</v>
      </c>
      <c r="P426" s="28" t="s">
        <v>1836</v>
      </c>
    </row>
    <row r="427" spans="1:16" hidden="1" x14ac:dyDescent="0.25">
      <c r="A427" s="28" t="s">
        <v>2431</v>
      </c>
      <c r="B427" s="28" t="s">
        <v>2432</v>
      </c>
      <c r="C427" s="28" t="s">
        <v>1827</v>
      </c>
      <c r="D427" s="28" t="s">
        <v>1078</v>
      </c>
      <c r="E427" s="28" t="s">
        <v>1121</v>
      </c>
      <c r="F427" s="28" t="s">
        <v>21</v>
      </c>
      <c r="G427" s="28" t="s">
        <v>22</v>
      </c>
      <c r="H427" s="28" t="s">
        <v>2433</v>
      </c>
      <c r="I427" s="28" t="s">
        <v>2434</v>
      </c>
      <c r="J427" s="28" t="s">
        <v>22</v>
      </c>
      <c r="K427" s="28" t="s">
        <v>2435</v>
      </c>
      <c r="L427" s="28" t="s">
        <v>1832</v>
      </c>
      <c r="M427" s="28" t="s">
        <v>2436</v>
      </c>
      <c r="N427" s="28" t="s">
        <v>2437</v>
      </c>
      <c r="O427" s="28" t="s">
        <v>2438</v>
      </c>
      <c r="P427" s="28" t="s">
        <v>1836</v>
      </c>
    </row>
    <row r="428" spans="1:16" hidden="1" x14ac:dyDescent="0.25">
      <c r="A428" s="28" t="s">
        <v>2439</v>
      </c>
      <c r="B428" s="28" t="s">
        <v>2440</v>
      </c>
      <c r="C428" s="28" t="s">
        <v>1827</v>
      </c>
      <c r="D428" s="28" t="s">
        <v>1078</v>
      </c>
      <c r="E428" s="28" t="s">
        <v>1127</v>
      </c>
      <c r="F428" s="28" t="s">
        <v>21</v>
      </c>
      <c r="G428" s="28" t="s">
        <v>22</v>
      </c>
      <c r="H428" s="28" t="s">
        <v>2433</v>
      </c>
      <c r="I428" s="28" t="s">
        <v>2441</v>
      </c>
      <c r="J428" s="28" t="s">
        <v>22</v>
      </c>
      <c r="K428" s="28" t="s">
        <v>2435</v>
      </c>
      <c r="L428" s="28" t="s">
        <v>1832</v>
      </c>
      <c r="M428" s="28" t="s">
        <v>2442</v>
      </c>
      <c r="N428" s="28" t="s">
        <v>2437</v>
      </c>
      <c r="O428" s="28" t="s">
        <v>2438</v>
      </c>
      <c r="P428" s="28" t="s">
        <v>1836</v>
      </c>
    </row>
    <row r="429" spans="1:16" hidden="1" x14ac:dyDescent="0.25">
      <c r="A429" s="28" t="s">
        <v>2443</v>
      </c>
      <c r="B429" s="28" t="s">
        <v>2444</v>
      </c>
      <c r="C429" s="28" t="s">
        <v>1827</v>
      </c>
      <c r="D429" s="28" t="s">
        <v>1078</v>
      </c>
      <c r="E429" s="28" t="s">
        <v>2445</v>
      </c>
      <c r="F429" s="28" t="s">
        <v>21</v>
      </c>
      <c r="G429" s="28" t="s">
        <v>22</v>
      </c>
      <c r="H429" s="28" t="s">
        <v>2433</v>
      </c>
      <c r="I429" s="28" t="s">
        <v>2446</v>
      </c>
      <c r="J429" s="28" t="s">
        <v>22</v>
      </c>
      <c r="K429" s="28" t="s">
        <v>2447</v>
      </c>
      <c r="L429" s="28" t="s">
        <v>1832</v>
      </c>
      <c r="M429" s="28" t="s">
        <v>2448</v>
      </c>
      <c r="N429" s="28" t="s">
        <v>2437</v>
      </c>
      <c r="O429" s="28" t="s">
        <v>2438</v>
      </c>
      <c r="P429" s="28" t="s">
        <v>1836</v>
      </c>
    </row>
    <row r="430" spans="1:16" hidden="1" x14ac:dyDescent="0.25">
      <c r="A430" s="28" t="s">
        <v>2449</v>
      </c>
      <c r="B430" s="28" t="s">
        <v>2450</v>
      </c>
      <c r="C430" s="28" t="s">
        <v>1827</v>
      </c>
      <c r="D430" s="28" t="s">
        <v>1078</v>
      </c>
      <c r="E430" s="28" t="s">
        <v>1133</v>
      </c>
      <c r="F430" s="28" t="s">
        <v>21</v>
      </c>
      <c r="G430" s="28" t="s">
        <v>22</v>
      </c>
      <c r="H430" s="28" t="s">
        <v>2433</v>
      </c>
      <c r="I430" s="28" t="s">
        <v>2451</v>
      </c>
      <c r="J430" s="28" t="s">
        <v>22</v>
      </c>
      <c r="K430" s="28" t="s">
        <v>2435</v>
      </c>
      <c r="L430" s="28" t="s">
        <v>1832</v>
      </c>
      <c r="M430" s="28" t="s">
        <v>2452</v>
      </c>
      <c r="N430" s="28" t="s">
        <v>2437</v>
      </c>
      <c r="O430" s="28" t="s">
        <v>2438</v>
      </c>
      <c r="P430" s="28" t="s">
        <v>1836</v>
      </c>
    </row>
    <row r="431" spans="1:16" hidden="1" x14ac:dyDescent="0.25">
      <c r="A431" s="28" t="s">
        <v>2453</v>
      </c>
      <c r="B431" s="28" t="s">
        <v>2454</v>
      </c>
      <c r="C431" s="28" t="s">
        <v>1827</v>
      </c>
      <c r="D431" s="28" t="s">
        <v>1078</v>
      </c>
      <c r="E431" s="28" t="s">
        <v>1139</v>
      </c>
      <c r="F431" s="28" t="s">
        <v>21</v>
      </c>
      <c r="G431" s="28" t="s">
        <v>22</v>
      </c>
      <c r="H431" s="28" t="s">
        <v>2433</v>
      </c>
      <c r="I431" s="28" t="s">
        <v>2455</v>
      </c>
      <c r="J431" s="28" t="s">
        <v>22</v>
      </c>
      <c r="K431" s="28" t="s">
        <v>2435</v>
      </c>
      <c r="L431" s="28" t="s">
        <v>1832</v>
      </c>
      <c r="M431" s="28" t="s">
        <v>2456</v>
      </c>
      <c r="N431" s="28" t="s">
        <v>2437</v>
      </c>
      <c r="O431" s="28" t="s">
        <v>2438</v>
      </c>
      <c r="P431" s="28" t="s">
        <v>1836</v>
      </c>
    </row>
    <row r="432" spans="1:16" hidden="1" x14ac:dyDescent="0.25">
      <c r="A432" s="28" t="s">
        <v>2457</v>
      </c>
      <c r="B432" s="28" t="s">
        <v>2458</v>
      </c>
      <c r="C432" s="28" t="s">
        <v>1827</v>
      </c>
      <c r="D432" s="28" t="s">
        <v>1078</v>
      </c>
      <c r="E432" s="28" t="s">
        <v>2459</v>
      </c>
      <c r="F432" s="28" t="s">
        <v>21</v>
      </c>
      <c r="G432" s="28" t="s">
        <v>22</v>
      </c>
      <c r="H432" s="28" t="s">
        <v>2433</v>
      </c>
      <c r="I432" s="28" t="s">
        <v>2460</v>
      </c>
      <c r="J432" s="28" t="s">
        <v>22</v>
      </c>
      <c r="K432" s="28" t="s">
        <v>2447</v>
      </c>
      <c r="L432" s="28" t="s">
        <v>1832</v>
      </c>
      <c r="M432" s="28" t="s">
        <v>2461</v>
      </c>
      <c r="N432" s="28" t="s">
        <v>2437</v>
      </c>
      <c r="O432" s="28" t="s">
        <v>2438</v>
      </c>
      <c r="P432" s="28" t="s">
        <v>1836</v>
      </c>
    </row>
    <row r="433" spans="1:16" hidden="1" x14ac:dyDescent="0.25">
      <c r="A433" s="28" t="s">
        <v>2462</v>
      </c>
      <c r="B433" s="28" t="s">
        <v>2463</v>
      </c>
      <c r="C433" s="28" t="s">
        <v>1827</v>
      </c>
      <c r="D433" s="28" t="s">
        <v>69</v>
      </c>
      <c r="E433" s="28" t="s">
        <v>1006</v>
      </c>
      <c r="F433" s="28" t="s">
        <v>21</v>
      </c>
      <c r="G433" s="28" t="s">
        <v>22</v>
      </c>
      <c r="H433" s="28" t="s">
        <v>2464</v>
      </c>
      <c r="I433" s="28" t="s">
        <v>2465</v>
      </c>
      <c r="J433" s="28" t="s">
        <v>22</v>
      </c>
      <c r="K433" s="28" t="s">
        <v>2466</v>
      </c>
      <c r="L433" s="28" t="s">
        <v>1832</v>
      </c>
      <c r="M433" s="28" t="s">
        <v>2467</v>
      </c>
      <c r="N433" s="28" t="s">
        <v>2468</v>
      </c>
      <c r="O433" s="28" t="s">
        <v>2469</v>
      </c>
      <c r="P433" s="28" t="s">
        <v>1836</v>
      </c>
    </row>
    <row r="434" spans="1:16" hidden="1" x14ac:dyDescent="0.25">
      <c r="A434" s="28" t="s">
        <v>2470</v>
      </c>
      <c r="B434" s="28" t="s">
        <v>2471</v>
      </c>
      <c r="C434" s="28" t="s">
        <v>1827</v>
      </c>
      <c r="D434" s="28" t="s">
        <v>69</v>
      </c>
      <c r="E434" s="28" t="s">
        <v>2472</v>
      </c>
      <c r="F434" s="28" t="s">
        <v>21</v>
      </c>
      <c r="G434" s="28" t="s">
        <v>22</v>
      </c>
      <c r="H434" s="28" t="s">
        <v>2473</v>
      </c>
      <c r="I434" s="28" t="s">
        <v>2474</v>
      </c>
      <c r="J434" s="28" t="s">
        <v>22</v>
      </c>
      <c r="K434" s="28" t="s">
        <v>2475</v>
      </c>
      <c r="L434" s="28" t="s">
        <v>1832</v>
      </c>
      <c r="M434" s="28" t="s">
        <v>2476</v>
      </c>
      <c r="N434" s="28" t="s">
        <v>2477</v>
      </c>
      <c r="O434" s="28" t="s">
        <v>2478</v>
      </c>
      <c r="P434" s="28" t="s">
        <v>1836</v>
      </c>
    </row>
    <row r="435" spans="1:16" hidden="1" x14ac:dyDescent="0.25">
      <c r="A435" s="28" t="s">
        <v>2479</v>
      </c>
      <c r="B435" s="28" t="s">
        <v>2480</v>
      </c>
      <c r="C435" s="28" t="s">
        <v>1827</v>
      </c>
      <c r="D435" s="28" t="s">
        <v>69</v>
      </c>
      <c r="E435" s="28" t="s">
        <v>2472</v>
      </c>
      <c r="F435" s="28" t="s">
        <v>21</v>
      </c>
      <c r="G435" s="28" t="s">
        <v>22</v>
      </c>
      <c r="H435" s="28" t="s">
        <v>2473</v>
      </c>
      <c r="I435" s="28" t="s">
        <v>2481</v>
      </c>
      <c r="J435" s="28" t="s">
        <v>22</v>
      </c>
      <c r="K435" s="28" t="s">
        <v>2482</v>
      </c>
      <c r="L435" s="28" t="s">
        <v>1832</v>
      </c>
      <c r="M435" s="28" t="s">
        <v>2483</v>
      </c>
      <c r="N435" s="28" t="s">
        <v>2477</v>
      </c>
      <c r="O435" s="28" t="s">
        <v>2478</v>
      </c>
      <c r="P435" s="28" t="s">
        <v>1836</v>
      </c>
    </row>
    <row r="436" spans="1:16" hidden="1" x14ac:dyDescent="0.25">
      <c r="A436" s="28" t="s">
        <v>2484</v>
      </c>
      <c r="B436" s="28" t="s">
        <v>2485</v>
      </c>
      <c r="C436" s="28" t="s">
        <v>1827</v>
      </c>
      <c r="D436" s="28" t="s">
        <v>69</v>
      </c>
      <c r="E436" s="28" t="s">
        <v>2472</v>
      </c>
      <c r="F436" s="28" t="s">
        <v>21</v>
      </c>
      <c r="G436" s="28" t="s">
        <v>22</v>
      </c>
      <c r="H436" s="28" t="s">
        <v>2473</v>
      </c>
      <c r="I436" s="28" t="s">
        <v>2486</v>
      </c>
      <c r="J436" s="28" t="s">
        <v>22</v>
      </c>
      <c r="K436" s="28" t="s">
        <v>2487</v>
      </c>
      <c r="L436" s="28" t="s">
        <v>1832</v>
      </c>
      <c r="M436" s="28" t="s">
        <v>2488</v>
      </c>
      <c r="N436" s="28" t="s">
        <v>2477</v>
      </c>
      <c r="O436" s="28" t="s">
        <v>2478</v>
      </c>
      <c r="P436" s="28" t="s">
        <v>1836</v>
      </c>
    </row>
    <row r="437" spans="1:16" hidden="1" x14ac:dyDescent="0.25">
      <c r="A437" s="28" t="s">
        <v>2489</v>
      </c>
      <c r="B437" s="28" t="s">
        <v>2490</v>
      </c>
      <c r="C437" s="28" t="s">
        <v>1827</v>
      </c>
      <c r="D437" s="28" t="s">
        <v>69</v>
      </c>
      <c r="E437" s="28" t="s">
        <v>2472</v>
      </c>
      <c r="F437" s="28" t="s">
        <v>21</v>
      </c>
      <c r="G437" s="28" t="s">
        <v>22</v>
      </c>
      <c r="H437" s="28" t="s">
        <v>2473</v>
      </c>
      <c r="I437" s="28" t="s">
        <v>2491</v>
      </c>
      <c r="J437" s="28" t="s">
        <v>22</v>
      </c>
      <c r="K437" s="28" t="s">
        <v>2492</v>
      </c>
      <c r="L437" s="28" t="s">
        <v>1832</v>
      </c>
      <c r="M437" s="28" t="s">
        <v>2493</v>
      </c>
      <c r="N437" s="28" t="s">
        <v>2477</v>
      </c>
      <c r="O437" s="28" t="s">
        <v>2478</v>
      </c>
      <c r="P437" s="28" t="s">
        <v>1836</v>
      </c>
    </row>
    <row r="438" spans="1:16" hidden="1" x14ac:dyDescent="0.25">
      <c r="A438" s="28" t="s">
        <v>2494</v>
      </c>
      <c r="B438" s="28" t="s">
        <v>2495</v>
      </c>
      <c r="C438" s="28" t="s">
        <v>1827</v>
      </c>
      <c r="D438" s="28" t="s">
        <v>69</v>
      </c>
      <c r="E438" s="28" t="s">
        <v>2472</v>
      </c>
      <c r="F438" s="28" t="s">
        <v>21</v>
      </c>
      <c r="G438" s="28" t="s">
        <v>22</v>
      </c>
      <c r="H438" s="28" t="s">
        <v>2473</v>
      </c>
      <c r="I438" s="28" t="s">
        <v>2496</v>
      </c>
      <c r="J438" s="28" t="s">
        <v>22</v>
      </c>
      <c r="K438" s="28" t="s">
        <v>2497</v>
      </c>
      <c r="L438" s="28" t="s">
        <v>1832</v>
      </c>
      <c r="M438" s="28" t="s">
        <v>2498</v>
      </c>
      <c r="N438" s="28" t="s">
        <v>2477</v>
      </c>
      <c r="O438" s="28" t="s">
        <v>2478</v>
      </c>
      <c r="P438" s="28" t="s">
        <v>1836</v>
      </c>
    </row>
    <row r="439" spans="1:16" hidden="1" x14ac:dyDescent="0.25">
      <c r="A439" s="28" t="s">
        <v>2499</v>
      </c>
      <c r="B439" s="28" t="s">
        <v>2500</v>
      </c>
      <c r="C439" s="28" t="s">
        <v>1827</v>
      </c>
      <c r="D439" s="28" t="s">
        <v>69</v>
      </c>
      <c r="E439" s="28" t="s">
        <v>2472</v>
      </c>
      <c r="F439" s="28" t="s">
        <v>21</v>
      </c>
      <c r="G439" s="28" t="s">
        <v>22</v>
      </c>
      <c r="H439" s="28" t="s">
        <v>2473</v>
      </c>
      <c r="I439" s="28" t="s">
        <v>2501</v>
      </c>
      <c r="J439" s="28" t="s">
        <v>22</v>
      </c>
      <c r="K439" s="28" t="s">
        <v>2502</v>
      </c>
      <c r="L439" s="28" t="s">
        <v>1832</v>
      </c>
      <c r="M439" s="28" t="s">
        <v>2503</v>
      </c>
      <c r="N439" s="28" t="s">
        <v>2477</v>
      </c>
      <c r="O439" s="28" t="s">
        <v>2478</v>
      </c>
      <c r="P439" s="28" t="s">
        <v>1836</v>
      </c>
    </row>
    <row r="440" spans="1:16" hidden="1" x14ac:dyDescent="0.25">
      <c r="A440" s="28" t="s">
        <v>2504</v>
      </c>
      <c r="B440" s="28" t="s">
        <v>2505</v>
      </c>
      <c r="C440" s="28" t="s">
        <v>1827</v>
      </c>
      <c r="D440" s="28" t="s">
        <v>69</v>
      </c>
      <c r="E440" s="28" t="s">
        <v>2472</v>
      </c>
      <c r="F440" s="28" t="s">
        <v>21</v>
      </c>
      <c r="G440" s="28" t="s">
        <v>22</v>
      </c>
      <c r="H440" s="28" t="s">
        <v>2473</v>
      </c>
      <c r="I440" s="28" t="s">
        <v>2506</v>
      </c>
      <c r="J440" s="28" t="s">
        <v>22</v>
      </c>
      <c r="K440" s="28" t="s">
        <v>2507</v>
      </c>
      <c r="L440" s="28" t="s">
        <v>1832</v>
      </c>
      <c r="M440" s="28" t="s">
        <v>2508</v>
      </c>
      <c r="N440" s="28" t="s">
        <v>2477</v>
      </c>
      <c r="O440" s="28" t="s">
        <v>2478</v>
      </c>
      <c r="P440" s="28" t="s">
        <v>1836</v>
      </c>
    </row>
    <row r="441" spans="1:16" hidden="1" x14ac:dyDescent="0.25">
      <c r="A441" s="28" t="s">
        <v>2509</v>
      </c>
      <c r="B441" s="28" t="s">
        <v>2510</v>
      </c>
      <c r="C441" s="28" t="s">
        <v>1827</v>
      </c>
      <c r="D441" s="28" t="s">
        <v>69</v>
      </c>
      <c r="E441" s="28" t="s">
        <v>2472</v>
      </c>
      <c r="F441" s="28" t="s">
        <v>21</v>
      </c>
      <c r="G441" s="28" t="s">
        <v>22</v>
      </c>
      <c r="H441" s="28" t="s">
        <v>2473</v>
      </c>
      <c r="I441" s="28" t="s">
        <v>2511</v>
      </c>
      <c r="J441" s="28" t="s">
        <v>22</v>
      </c>
      <c r="K441" s="28" t="s">
        <v>2512</v>
      </c>
      <c r="L441" s="28" t="s">
        <v>1832</v>
      </c>
      <c r="M441" s="28" t="s">
        <v>2513</v>
      </c>
      <c r="N441" s="28" t="s">
        <v>2477</v>
      </c>
      <c r="O441" s="28" t="s">
        <v>2478</v>
      </c>
      <c r="P441" s="28" t="s">
        <v>1836</v>
      </c>
    </row>
    <row r="442" spans="1:16" hidden="1" x14ac:dyDescent="0.25">
      <c r="A442" s="28" t="s">
        <v>2514</v>
      </c>
      <c r="B442" s="28" t="s">
        <v>2515</v>
      </c>
      <c r="C442" s="28" t="s">
        <v>1827</v>
      </c>
      <c r="D442" s="28" t="s">
        <v>69</v>
      </c>
      <c r="E442" s="28" t="s">
        <v>2516</v>
      </c>
      <c r="F442" s="28" t="s">
        <v>21</v>
      </c>
      <c r="G442" s="28" t="s">
        <v>22</v>
      </c>
      <c r="H442" s="28" t="s">
        <v>2517</v>
      </c>
      <c r="I442" s="28" t="s">
        <v>2518</v>
      </c>
      <c r="J442" s="28" t="s">
        <v>22</v>
      </c>
      <c r="K442" s="28" t="s">
        <v>2519</v>
      </c>
      <c r="L442" s="28" t="s">
        <v>1832</v>
      </c>
      <c r="M442" s="28" t="s">
        <v>2520</v>
      </c>
      <c r="N442" s="28" t="s">
        <v>2521</v>
      </c>
      <c r="O442" s="28" t="s">
        <v>2522</v>
      </c>
      <c r="P442" s="28" t="s">
        <v>1836</v>
      </c>
    </row>
    <row r="443" spans="1:16" hidden="1" x14ac:dyDescent="0.25">
      <c r="A443" s="28" t="s">
        <v>2523</v>
      </c>
      <c r="B443" s="28" t="s">
        <v>2524</v>
      </c>
      <c r="C443" s="28" t="s">
        <v>1827</v>
      </c>
      <c r="D443" s="28" t="s">
        <v>69</v>
      </c>
      <c r="E443" s="28" t="s">
        <v>1061</v>
      </c>
      <c r="F443" s="28" t="s">
        <v>21</v>
      </c>
      <c r="G443" s="28" t="s">
        <v>22</v>
      </c>
      <c r="H443" s="28" t="s">
        <v>2517</v>
      </c>
      <c r="I443" s="28" t="s">
        <v>2525</v>
      </c>
      <c r="J443" s="28" t="s">
        <v>22</v>
      </c>
      <c r="K443" s="28" t="s">
        <v>2466</v>
      </c>
      <c r="L443" s="28" t="s">
        <v>1832</v>
      </c>
      <c r="M443" s="28" t="s">
        <v>2526</v>
      </c>
      <c r="N443" s="28" t="s">
        <v>2521</v>
      </c>
      <c r="O443" s="28" t="s">
        <v>2522</v>
      </c>
      <c r="P443" s="28" t="s">
        <v>1836</v>
      </c>
    </row>
    <row r="444" spans="1:16" hidden="1" x14ac:dyDescent="0.25">
      <c r="A444" s="28" t="s">
        <v>2527</v>
      </c>
      <c r="B444" s="28" t="s">
        <v>2528</v>
      </c>
      <c r="C444" s="28" t="s">
        <v>1827</v>
      </c>
      <c r="D444" s="28" t="s">
        <v>69</v>
      </c>
      <c r="E444" s="28" t="s">
        <v>2529</v>
      </c>
      <c r="F444" s="28" t="s">
        <v>21</v>
      </c>
      <c r="G444" s="28" t="s">
        <v>22</v>
      </c>
      <c r="H444" s="28" t="s">
        <v>2517</v>
      </c>
      <c r="I444" s="28" t="s">
        <v>2530</v>
      </c>
      <c r="J444" s="28" t="s">
        <v>22</v>
      </c>
      <c r="K444" s="28" t="s">
        <v>2531</v>
      </c>
      <c r="L444" s="28" t="s">
        <v>1832</v>
      </c>
      <c r="M444" s="28" t="s">
        <v>2532</v>
      </c>
      <c r="N444" s="28" t="s">
        <v>2521</v>
      </c>
      <c r="O444" s="28" t="s">
        <v>2522</v>
      </c>
      <c r="P444" s="28" t="s">
        <v>1836</v>
      </c>
    </row>
    <row r="445" spans="1:16" hidden="1" x14ac:dyDescent="0.25">
      <c r="A445" s="28" t="s">
        <v>2533</v>
      </c>
      <c r="B445" s="28" t="s">
        <v>2534</v>
      </c>
      <c r="C445" s="28" t="s">
        <v>1827</v>
      </c>
      <c r="D445" s="28" t="s">
        <v>69</v>
      </c>
      <c r="E445" s="28" t="s">
        <v>2535</v>
      </c>
      <c r="F445" s="28" t="s">
        <v>21</v>
      </c>
      <c r="G445" s="28" t="s">
        <v>22</v>
      </c>
      <c r="H445" s="28" t="s">
        <v>2517</v>
      </c>
      <c r="I445" s="28" t="s">
        <v>2536</v>
      </c>
      <c r="J445" s="28" t="s">
        <v>22</v>
      </c>
      <c r="K445" s="28" t="s">
        <v>2537</v>
      </c>
      <c r="L445" s="28" t="s">
        <v>1832</v>
      </c>
      <c r="M445" s="28" t="s">
        <v>2538</v>
      </c>
      <c r="N445" s="28" t="s">
        <v>2521</v>
      </c>
      <c r="O445" s="28" t="s">
        <v>2522</v>
      </c>
      <c r="P445" s="28" t="s">
        <v>1836</v>
      </c>
    </row>
    <row r="446" spans="1:16" hidden="1" x14ac:dyDescent="0.25">
      <c r="A446" s="28" t="s">
        <v>2539</v>
      </c>
      <c r="B446" s="28" t="s">
        <v>2540</v>
      </c>
      <c r="C446" s="28" t="s">
        <v>1827</v>
      </c>
      <c r="D446" s="28" t="s">
        <v>2541</v>
      </c>
      <c r="E446" s="28" t="s">
        <v>2542</v>
      </c>
      <c r="F446" s="28" t="s">
        <v>21</v>
      </c>
      <c r="G446" s="28" t="s">
        <v>22</v>
      </c>
      <c r="H446" s="28" t="s">
        <v>2543</v>
      </c>
      <c r="I446" s="28" t="s">
        <v>2544</v>
      </c>
      <c r="J446" s="28" t="s">
        <v>22</v>
      </c>
      <c r="K446" s="28" t="s">
        <v>2545</v>
      </c>
      <c r="L446" s="28" t="s">
        <v>1832</v>
      </c>
      <c r="M446" s="28" t="s">
        <v>2546</v>
      </c>
      <c r="N446" s="28" t="s">
        <v>2547</v>
      </c>
      <c r="O446" s="28" t="s">
        <v>2548</v>
      </c>
      <c r="P446" s="28" t="s">
        <v>1836</v>
      </c>
    </row>
    <row r="447" spans="1:16" hidden="1" x14ac:dyDescent="0.25">
      <c r="A447" s="28" t="s">
        <v>2549</v>
      </c>
      <c r="B447" s="28" t="s">
        <v>2550</v>
      </c>
      <c r="C447" s="28" t="s">
        <v>1827</v>
      </c>
      <c r="D447" s="28" t="s">
        <v>2541</v>
      </c>
      <c r="E447" s="28" t="s">
        <v>2551</v>
      </c>
      <c r="F447" s="28" t="s">
        <v>21</v>
      </c>
      <c r="G447" s="28" t="s">
        <v>22</v>
      </c>
      <c r="H447" s="28" t="s">
        <v>2543</v>
      </c>
      <c r="I447" s="28" t="s">
        <v>2552</v>
      </c>
      <c r="J447" s="28" t="s">
        <v>22</v>
      </c>
      <c r="K447" s="28" t="s">
        <v>2553</v>
      </c>
      <c r="L447" s="28" t="s">
        <v>1832</v>
      </c>
      <c r="M447" s="28" t="s">
        <v>2554</v>
      </c>
      <c r="N447" s="28" t="s">
        <v>2547</v>
      </c>
      <c r="O447" s="28" t="s">
        <v>2548</v>
      </c>
      <c r="P447" s="28" t="s">
        <v>1836</v>
      </c>
    </row>
    <row r="448" spans="1:16" hidden="1" x14ac:dyDescent="0.25">
      <c r="A448" s="28" t="s">
        <v>2555</v>
      </c>
      <c r="B448" s="28" t="s">
        <v>2556</v>
      </c>
      <c r="C448" s="28" t="s">
        <v>1827</v>
      </c>
      <c r="D448" s="28" t="s">
        <v>2541</v>
      </c>
      <c r="E448" s="28" t="s">
        <v>2557</v>
      </c>
      <c r="F448" s="28" t="s">
        <v>21</v>
      </c>
      <c r="G448" s="28" t="s">
        <v>22</v>
      </c>
      <c r="H448" s="28" t="s">
        <v>2543</v>
      </c>
      <c r="I448" s="28" t="s">
        <v>2558</v>
      </c>
      <c r="J448" s="28" t="s">
        <v>22</v>
      </c>
      <c r="K448" s="28" t="s">
        <v>2559</v>
      </c>
      <c r="L448" s="28" t="s">
        <v>1832</v>
      </c>
      <c r="M448" s="28" t="s">
        <v>2560</v>
      </c>
      <c r="N448" s="28" t="s">
        <v>2547</v>
      </c>
      <c r="O448" s="28" t="s">
        <v>2548</v>
      </c>
      <c r="P448" s="28" t="s">
        <v>1836</v>
      </c>
    </row>
    <row r="449" spans="1:16" hidden="1" x14ac:dyDescent="0.25">
      <c r="A449" s="28" t="s">
        <v>2561</v>
      </c>
      <c r="B449" s="28" t="s">
        <v>2562</v>
      </c>
      <c r="C449" s="28" t="s">
        <v>1827</v>
      </c>
      <c r="D449" s="28" t="s">
        <v>2541</v>
      </c>
      <c r="E449" s="28" t="s">
        <v>2563</v>
      </c>
      <c r="F449" s="28" t="s">
        <v>21</v>
      </c>
      <c r="G449" s="28" t="s">
        <v>22</v>
      </c>
      <c r="H449" s="28" t="s">
        <v>2543</v>
      </c>
      <c r="I449" s="28" t="s">
        <v>2564</v>
      </c>
      <c r="J449" s="28" t="s">
        <v>22</v>
      </c>
      <c r="K449" s="28" t="s">
        <v>2565</v>
      </c>
      <c r="L449" s="28" t="s">
        <v>1832</v>
      </c>
      <c r="M449" s="28" t="s">
        <v>2566</v>
      </c>
      <c r="N449" s="28" t="s">
        <v>2547</v>
      </c>
      <c r="O449" s="28" t="s">
        <v>2548</v>
      </c>
      <c r="P449" s="28" t="s">
        <v>1836</v>
      </c>
    </row>
    <row r="450" spans="1:16" hidden="1" x14ac:dyDescent="0.25">
      <c r="A450" s="28" t="s">
        <v>2567</v>
      </c>
      <c r="B450" s="28" t="s">
        <v>2568</v>
      </c>
      <c r="C450" s="28" t="s">
        <v>1827</v>
      </c>
      <c r="D450" s="28" t="s">
        <v>2541</v>
      </c>
      <c r="E450" s="28" t="s">
        <v>2569</v>
      </c>
      <c r="F450" s="28" t="s">
        <v>21</v>
      </c>
      <c r="G450" s="28" t="s">
        <v>22</v>
      </c>
      <c r="H450" s="28" t="s">
        <v>2543</v>
      </c>
      <c r="I450" s="28" t="s">
        <v>2570</v>
      </c>
      <c r="J450" s="28" t="s">
        <v>22</v>
      </c>
      <c r="K450" s="28" t="s">
        <v>2559</v>
      </c>
      <c r="L450" s="28" t="s">
        <v>1832</v>
      </c>
      <c r="M450" s="28" t="s">
        <v>2571</v>
      </c>
      <c r="N450" s="28" t="s">
        <v>2547</v>
      </c>
      <c r="O450" s="28" t="s">
        <v>2548</v>
      </c>
      <c r="P450" s="28" t="s">
        <v>1836</v>
      </c>
    </row>
    <row r="451" spans="1:16" hidden="1" x14ac:dyDescent="0.25">
      <c r="A451" s="28" t="s">
        <v>2572</v>
      </c>
      <c r="B451" s="28" t="s">
        <v>2573</v>
      </c>
      <c r="C451" s="28" t="s">
        <v>1827</v>
      </c>
      <c r="D451" s="28" t="s">
        <v>1271</v>
      </c>
      <c r="E451" s="28" t="s">
        <v>2574</v>
      </c>
      <c r="F451" s="28" t="s">
        <v>21</v>
      </c>
      <c r="G451" s="28" t="s">
        <v>22</v>
      </c>
      <c r="H451" s="28" t="s">
        <v>2575</v>
      </c>
      <c r="I451" s="28" t="s">
        <v>2576</v>
      </c>
      <c r="J451" s="28" t="s">
        <v>22</v>
      </c>
      <c r="K451" s="28" t="s">
        <v>2577</v>
      </c>
      <c r="L451" s="28" t="s">
        <v>1832</v>
      </c>
      <c r="M451" s="28" t="s">
        <v>2578</v>
      </c>
      <c r="N451" s="28" t="s">
        <v>2579</v>
      </c>
      <c r="O451" s="28" t="s">
        <v>2580</v>
      </c>
      <c r="P451" s="28" t="s">
        <v>1836</v>
      </c>
    </row>
    <row r="452" spans="1:16" hidden="1" x14ac:dyDescent="0.25">
      <c r="A452" s="28" t="s">
        <v>2581</v>
      </c>
      <c r="B452" s="28" t="s">
        <v>2582</v>
      </c>
      <c r="C452" s="28" t="s">
        <v>1827</v>
      </c>
      <c r="D452" s="28" t="s">
        <v>2583</v>
      </c>
      <c r="E452" s="28" t="s">
        <v>2584</v>
      </c>
      <c r="F452" s="28" t="s">
        <v>21</v>
      </c>
      <c r="G452" s="28" t="s">
        <v>22</v>
      </c>
      <c r="H452" s="28" t="s">
        <v>2585</v>
      </c>
      <c r="I452" s="28" t="s">
        <v>2586</v>
      </c>
      <c r="J452" s="28" t="s">
        <v>22</v>
      </c>
      <c r="K452" s="28" t="s">
        <v>2587</v>
      </c>
      <c r="L452" s="28" t="s">
        <v>1832</v>
      </c>
      <c r="M452" s="28" t="s">
        <v>2588</v>
      </c>
      <c r="N452" s="28" t="s">
        <v>2589</v>
      </c>
      <c r="O452" s="28" t="s">
        <v>2590</v>
      </c>
      <c r="P452" s="28" t="s">
        <v>1836</v>
      </c>
    </row>
    <row r="453" spans="1:16" hidden="1" x14ac:dyDescent="0.25">
      <c r="A453" s="28" t="s">
        <v>2591</v>
      </c>
      <c r="B453" s="28" t="s">
        <v>2592</v>
      </c>
      <c r="C453" s="28" t="s">
        <v>1827</v>
      </c>
      <c r="D453" s="28" t="s">
        <v>82</v>
      </c>
      <c r="E453" s="28" t="s">
        <v>2593</v>
      </c>
      <c r="F453" s="28" t="s">
        <v>21</v>
      </c>
      <c r="G453" s="28" t="s">
        <v>22</v>
      </c>
      <c r="H453" s="28" t="s">
        <v>2594</v>
      </c>
      <c r="I453" s="28" t="s">
        <v>2595</v>
      </c>
      <c r="J453" s="28" t="s">
        <v>22</v>
      </c>
      <c r="K453" s="28" t="s">
        <v>2596</v>
      </c>
      <c r="L453" s="28" t="s">
        <v>1832</v>
      </c>
      <c r="M453" s="28" t="s">
        <v>2597</v>
      </c>
      <c r="N453" s="28" t="s">
        <v>2598</v>
      </c>
      <c r="O453" s="28" t="s">
        <v>2599</v>
      </c>
      <c r="P453" s="28" t="s">
        <v>1836</v>
      </c>
    </row>
    <row r="454" spans="1:16" hidden="1" x14ac:dyDescent="0.25">
      <c r="A454" s="28" t="s">
        <v>2600</v>
      </c>
      <c r="B454" s="28" t="s">
        <v>2601</v>
      </c>
      <c r="C454" s="28" t="s">
        <v>1827</v>
      </c>
      <c r="D454" s="28" t="s">
        <v>2602</v>
      </c>
      <c r="E454" s="28" t="s">
        <v>2603</v>
      </c>
      <c r="F454" s="28" t="s">
        <v>21</v>
      </c>
      <c r="G454" s="28" t="s">
        <v>22</v>
      </c>
      <c r="H454" s="28" t="s">
        <v>2604</v>
      </c>
      <c r="I454" s="28" t="s">
        <v>2605</v>
      </c>
      <c r="J454" s="28" t="s">
        <v>22</v>
      </c>
      <c r="K454" s="28" t="s">
        <v>2606</v>
      </c>
      <c r="L454" s="28" t="s">
        <v>1832</v>
      </c>
      <c r="M454" s="28" t="s">
        <v>2607</v>
      </c>
      <c r="N454" s="28" t="s">
        <v>2608</v>
      </c>
      <c r="O454" s="28" t="s">
        <v>2609</v>
      </c>
      <c r="P454" s="28" t="s">
        <v>1836</v>
      </c>
    </row>
    <row r="455" spans="1:16" hidden="1" x14ac:dyDescent="0.25">
      <c r="A455" s="28" t="s">
        <v>2610</v>
      </c>
      <c r="B455" s="28" t="s">
        <v>2611</v>
      </c>
      <c r="C455" s="28" t="s">
        <v>1827</v>
      </c>
      <c r="D455" s="28" t="s">
        <v>2602</v>
      </c>
      <c r="E455" s="28" t="s">
        <v>2612</v>
      </c>
      <c r="F455" s="28" t="s">
        <v>21</v>
      </c>
      <c r="G455" s="28" t="s">
        <v>22</v>
      </c>
      <c r="H455" s="28" t="s">
        <v>2604</v>
      </c>
      <c r="I455" s="28" t="s">
        <v>2613</v>
      </c>
      <c r="J455" s="28" t="s">
        <v>22</v>
      </c>
      <c r="K455" s="28" t="s">
        <v>2614</v>
      </c>
      <c r="L455" s="28" t="s">
        <v>1832</v>
      </c>
      <c r="M455" s="28" t="s">
        <v>2615</v>
      </c>
      <c r="N455" s="28" t="s">
        <v>2608</v>
      </c>
      <c r="O455" s="28" t="s">
        <v>2609</v>
      </c>
      <c r="P455" s="28" t="s">
        <v>1836</v>
      </c>
    </row>
    <row r="456" spans="1:16" hidden="1" x14ac:dyDescent="0.25">
      <c r="A456" s="28" t="s">
        <v>2616</v>
      </c>
      <c r="B456" s="28" t="s">
        <v>2617</v>
      </c>
      <c r="C456" s="28" t="s">
        <v>1827</v>
      </c>
      <c r="D456" s="28" t="s">
        <v>2602</v>
      </c>
      <c r="E456" s="28" t="s">
        <v>2618</v>
      </c>
      <c r="F456" s="28" t="s">
        <v>21</v>
      </c>
      <c r="G456" s="28" t="s">
        <v>22</v>
      </c>
      <c r="H456" s="28" t="s">
        <v>2604</v>
      </c>
      <c r="I456" s="28" t="s">
        <v>2619</v>
      </c>
      <c r="J456" s="28" t="s">
        <v>22</v>
      </c>
      <c r="K456" s="28" t="s">
        <v>2620</v>
      </c>
      <c r="L456" s="28" t="s">
        <v>1832</v>
      </c>
      <c r="M456" s="28" t="s">
        <v>2621</v>
      </c>
      <c r="N456" s="28" t="s">
        <v>2608</v>
      </c>
      <c r="O456" s="28" t="s">
        <v>2609</v>
      </c>
      <c r="P456" s="28" t="s">
        <v>1836</v>
      </c>
    </row>
    <row r="457" spans="1:16" hidden="1" x14ac:dyDescent="0.25">
      <c r="A457" s="28" t="s">
        <v>2622</v>
      </c>
      <c r="B457" s="28" t="s">
        <v>2623</v>
      </c>
      <c r="C457" s="28" t="s">
        <v>1827</v>
      </c>
      <c r="D457" s="28" t="s">
        <v>2602</v>
      </c>
      <c r="E457" s="28" t="s">
        <v>2624</v>
      </c>
      <c r="F457" s="28" t="s">
        <v>21</v>
      </c>
      <c r="G457" s="28" t="s">
        <v>22</v>
      </c>
      <c r="H457" s="28" t="s">
        <v>2604</v>
      </c>
      <c r="I457" s="28" t="s">
        <v>2625</v>
      </c>
      <c r="J457" s="28" t="s">
        <v>22</v>
      </c>
      <c r="K457" s="28" t="s">
        <v>2626</v>
      </c>
      <c r="L457" s="28" t="s">
        <v>1832</v>
      </c>
      <c r="M457" s="28" t="s">
        <v>2627</v>
      </c>
      <c r="N457" s="28" t="s">
        <v>2608</v>
      </c>
      <c r="O457" s="28" t="s">
        <v>2609</v>
      </c>
      <c r="P457" s="28" t="s">
        <v>1836</v>
      </c>
    </row>
    <row r="458" spans="1:16" hidden="1" x14ac:dyDescent="0.25">
      <c r="A458" s="28" t="s">
        <v>2628</v>
      </c>
      <c r="B458" s="28" t="s">
        <v>2629</v>
      </c>
      <c r="C458" s="28" t="s">
        <v>1827</v>
      </c>
      <c r="D458" s="28" t="s">
        <v>1628</v>
      </c>
      <c r="E458" s="28" t="s">
        <v>1629</v>
      </c>
      <c r="F458" s="28" t="s">
        <v>21</v>
      </c>
      <c r="G458" s="28" t="s">
        <v>22</v>
      </c>
      <c r="H458" s="28" t="s">
        <v>2630</v>
      </c>
      <c r="I458" s="28" t="s">
        <v>2631</v>
      </c>
      <c r="J458" s="28" t="s">
        <v>22</v>
      </c>
      <c r="K458" s="28" t="s">
        <v>2632</v>
      </c>
      <c r="L458" s="28" t="s">
        <v>1832</v>
      </c>
      <c r="M458" s="28" t="s">
        <v>2633</v>
      </c>
      <c r="N458" s="28" t="s">
        <v>2634</v>
      </c>
      <c r="O458" s="28" t="s">
        <v>2635</v>
      </c>
      <c r="P458" s="28" t="s">
        <v>1836</v>
      </c>
    </row>
    <row r="459" spans="1:16" hidden="1" x14ac:dyDescent="0.25">
      <c r="A459" s="28" t="s">
        <v>2636</v>
      </c>
      <c r="B459" s="28" t="s">
        <v>2637</v>
      </c>
      <c r="C459" s="28" t="s">
        <v>1827</v>
      </c>
      <c r="D459" s="28" t="s">
        <v>1628</v>
      </c>
      <c r="E459" s="28" t="s">
        <v>1629</v>
      </c>
      <c r="F459" s="28" t="s">
        <v>21</v>
      </c>
      <c r="G459" s="28" t="s">
        <v>22</v>
      </c>
      <c r="H459" s="28" t="s">
        <v>2630</v>
      </c>
      <c r="I459" s="28" t="s">
        <v>2638</v>
      </c>
      <c r="J459" s="28" t="s">
        <v>22</v>
      </c>
      <c r="K459" s="28" t="s">
        <v>2639</v>
      </c>
      <c r="L459" s="28" t="s">
        <v>1832</v>
      </c>
      <c r="M459" s="28" t="s">
        <v>2640</v>
      </c>
      <c r="N459" s="28" t="s">
        <v>2634</v>
      </c>
      <c r="O459" s="28" t="s">
        <v>2635</v>
      </c>
      <c r="P459" s="28" t="s">
        <v>1836</v>
      </c>
    </row>
    <row r="460" spans="1:16" hidden="1" x14ac:dyDescent="0.25">
      <c r="A460" s="28" t="s">
        <v>2641</v>
      </c>
      <c r="B460" s="28" t="s">
        <v>2642</v>
      </c>
      <c r="C460" s="28" t="s">
        <v>1827</v>
      </c>
      <c r="D460" s="28" t="s">
        <v>1628</v>
      </c>
      <c r="E460" s="28" t="s">
        <v>1629</v>
      </c>
      <c r="F460" s="28" t="s">
        <v>21</v>
      </c>
      <c r="G460" s="28" t="s">
        <v>22</v>
      </c>
      <c r="H460" s="28" t="s">
        <v>2630</v>
      </c>
      <c r="I460" s="28" t="s">
        <v>2643</v>
      </c>
      <c r="J460" s="28" t="s">
        <v>22</v>
      </c>
      <c r="K460" s="28" t="s">
        <v>2644</v>
      </c>
      <c r="L460" s="28" t="s">
        <v>1832</v>
      </c>
      <c r="M460" s="28" t="s">
        <v>2645</v>
      </c>
      <c r="N460" s="28" t="s">
        <v>2634</v>
      </c>
      <c r="O460" s="28" t="s">
        <v>2635</v>
      </c>
      <c r="P460" s="28" t="s">
        <v>1836</v>
      </c>
    </row>
    <row r="461" spans="1:16" hidden="1" x14ac:dyDescent="0.25">
      <c r="A461" s="28" t="s">
        <v>2646</v>
      </c>
      <c r="B461" s="28" t="s">
        <v>2647</v>
      </c>
      <c r="C461" s="28" t="s">
        <v>1827</v>
      </c>
      <c r="D461" s="28" t="s">
        <v>2648</v>
      </c>
      <c r="E461" s="28" t="s">
        <v>2649</v>
      </c>
      <c r="F461" s="28" t="s">
        <v>21</v>
      </c>
      <c r="G461" s="28" t="s">
        <v>22</v>
      </c>
      <c r="H461" s="28" t="s">
        <v>2650</v>
      </c>
      <c r="I461" s="28" t="s">
        <v>2651</v>
      </c>
      <c r="J461" s="28" t="s">
        <v>22</v>
      </c>
      <c r="K461" s="28" t="s">
        <v>2652</v>
      </c>
      <c r="L461" s="28" t="s">
        <v>1832</v>
      </c>
      <c r="M461" s="28" t="s">
        <v>2653</v>
      </c>
      <c r="N461" s="28" t="s">
        <v>2654</v>
      </c>
      <c r="O461" s="28" t="s">
        <v>2655</v>
      </c>
      <c r="P461" s="28" t="s">
        <v>1836</v>
      </c>
    </row>
    <row r="462" spans="1:16" hidden="1" x14ac:dyDescent="0.25">
      <c r="A462" s="28" t="s">
        <v>2656</v>
      </c>
      <c r="B462" s="28" t="s">
        <v>2657</v>
      </c>
      <c r="C462" s="28" t="s">
        <v>1827</v>
      </c>
      <c r="D462" s="28" t="s">
        <v>2648</v>
      </c>
      <c r="E462" s="28" t="s">
        <v>2658</v>
      </c>
      <c r="F462" s="28" t="s">
        <v>21</v>
      </c>
      <c r="G462" s="28" t="s">
        <v>22</v>
      </c>
      <c r="H462" s="28" t="s">
        <v>2650</v>
      </c>
      <c r="I462" s="28" t="s">
        <v>2659</v>
      </c>
      <c r="J462" s="28" t="s">
        <v>22</v>
      </c>
      <c r="K462" s="28" t="s">
        <v>2652</v>
      </c>
      <c r="L462" s="28" t="s">
        <v>1832</v>
      </c>
      <c r="M462" s="28" t="s">
        <v>2660</v>
      </c>
      <c r="N462" s="28" t="s">
        <v>2654</v>
      </c>
      <c r="O462" s="28" t="s">
        <v>2655</v>
      </c>
      <c r="P462" s="28" t="s">
        <v>1836</v>
      </c>
    </row>
    <row r="463" spans="1:16" hidden="1" x14ac:dyDescent="0.25">
      <c r="A463" s="28" t="s">
        <v>2661</v>
      </c>
      <c r="B463" s="28" t="s">
        <v>2662</v>
      </c>
      <c r="C463" s="28" t="s">
        <v>1827</v>
      </c>
      <c r="D463" s="28" t="s">
        <v>2648</v>
      </c>
      <c r="E463" s="28" t="s">
        <v>2663</v>
      </c>
      <c r="F463" s="28" t="s">
        <v>21</v>
      </c>
      <c r="G463" s="28" t="s">
        <v>22</v>
      </c>
      <c r="H463" s="28" t="s">
        <v>2650</v>
      </c>
      <c r="I463" s="28" t="s">
        <v>2664</v>
      </c>
      <c r="J463" s="28" t="s">
        <v>22</v>
      </c>
      <c r="K463" s="28" t="s">
        <v>2652</v>
      </c>
      <c r="L463" s="28" t="s">
        <v>1832</v>
      </c>
      <c r="M463" s="28" t="s">
        <v>2665</v>
      </c>
      <c r="N463" s="28" t="s">
        <v>2654</v>
      </c>
      <c r="O463" s="28" t="s">
        <v>2655</v>
      </c>
      <c r="P463" s="28" t="s">
        <v>1836</v>
      </c>
    </row>
    <row r="464" spans="1:16" hidden="1" x14ac:dyDescent="0.25">
      <c r="A464" s="28" t="s">
        <v>2666</v>
      </c>
      <c r="B464" s="28" t="s">
        <v>2667</v>
      </c>
      <c r="C464" s="28" t="s">
        <v>1827</v>
      </c>
      <c r="D464" s="28" t="s">
        <v>2648</v>
      </c>
      <c r="E464" s="28" t="s">
        <v>2668</v>
      </c>
      <c r="F464" s="28" t="s">
        <v>21</v>
      </c>
      <c r="G464" s="28" t="s">
        <v>22</v>
      </c>
      <c r="H464" s="28" t="s">
        <v>2650</v>
      </c>
      <c r="I464" s="28" t="s">
        <v>2669</v>
      </c>
      <c r="J464" s="28" t="s">
        <v>22</v>
      </c>
      <c r="K464" s="28" t="s">
        <v>2652</v>
      </c>
      <c r="L464" s="28" t="s">
        <v>1832</v>
      </c>
      <c r="M464" s="28" t="s">
        <v>2670</v>
      </c>
      <c r="N464" s="28" t="s">
        <v>2654</v>
      </c>
      <c r="O464" s="28" t="s">
        <v>2655</v>
      </c>
      <c r="P464" s="28" t="s">
        <v>1836</v>
      </c>
    </row>
    <row r="465" spans="1:16" hidden="1" x14ac:dyDescent="0.25">
      <c r="A465" s="28" t="s">
        <v>2671</v>
      </c>
      <c r="B465" s="28" t="s">
        <v>2672</v>
      </c>
      <c r="C465" s="28" t="s">
        <v>1827</v>
      </c>
      <c r="D465" s="28" t="s">
        <v>2648</v>
      </c>
      <c r="E465" s="28" t="s">
        <v>2673</v>
      </c>
      <c r="F465" s="28" t="s">
        <v>21</v>
      </c>
      <c r="G465" s="28" t="s">
        <v>22</v>
      </c>
      <c r="H465" s="28" t="s">
        <v>2650</v>
      </c>
      <c r="I465" s="28" t="s">
        <v>2674</v>
      </c>
      <c r="J465" s="28" t="s">
        <v>22</v>
      </c>
      <c r="K465" s="28" t="s">
        <v>2652</v>
      </c>
      <c r="L465" s="28" t="s">
        <v>1832</v>
      </c>
      <c r="M465" s="28" t="s">
        <v>2675</v>
      </c>
      <c r="N465" s="28" t="s">
        <v>2654</v>
      </c>
      <c r="O465" s="28" t="s">
        <v>2655</v>
      </c>
      <c r="P465" s="28" t="s">
        <v>1836</v>
      </c>
    </row>
    <row r="466" spans="1:16" hidden="1" x14ac:dyDescent="0.25">
      <c r="A466" s="28" t="s">
        <v>2676</v>
      </c>
      <c r="B466" s="28" t="s">
        <v>2677</v>
      </c>
      <c r="C466" s="28" t="s">
        <v>1827</v>
      </c>
      <c r="D466" s="28" t="s">
        <v>2648</v>
      </c>
      <c r="E466" s="28" t="s">
        <v>2678</v>
      </c>
      <c r="F466" s="28" t="s">
        <v>21</v>
      </c>
      <c r="G466" s="28" t="s">
        <v>22</v>
      </c>
      <c r="H466" s="28" t="s">
        <v>2650</v>
      </c>
      <c r="I466" s="28" t="s">
        <v>2679</v>
      </c>
      <c r="J466" s="28" t="s">
        <v>22</v>
      </c>
      <c r="K466" s="28" t="s">
        <v>2652</v>
      </c>
      <c r="L466" s="28" t="s">
        <v>1832</v>
      </c>
      <c r="M466" s="28" t="s">
        <v>2680</v>
      </c>
      <c r="N466" s="28" t="s">
        <v>2654</v>
      </c>
      <c r="O466" s="28" t="s">
        <v>2655</v>
      </c>
      <c r="P466" s="28" t="s">
        <v>1836</v>
      </c>
    </row>
    <row r="467" spans="1:16" hidden="1" x14ac:dyDescent="0.25">
      <c r="A467" s="28" t="s">
        <v>2681</v>
      </c>
      <c r="B467" s="28" t="s">
        <v>2682</v>
      </c>
      <c r="C467" s="28" t="s">
        <v>1827</v>
      </c>
      <c r="D467" s="28" t="s">
        <v>2648</v>
      </c>
      <c r="E467" s="28" t="s">
        <v>2683</v>
      </c>
      <c r="F467" s="28" t="s">
        <v>21</v>
      </c>
      <c r="G467" s="28" t="s">
        <v>22</v>
      </c>
      <c r="H467" s="28" t="s">
        <v>2650</v>
      </c>
      <c r="I467" s="28" t="s">
        <v>2684</v>
      </c>
      <c r="J467" s="28" t="s">
        <v>22</v>
      </c>
      <c r="K467" s="28" t="s">
        <v>2685</v>
      </c>
      <c r="L467" s="28" t="s">
        <v>1832</v>
      </c>
      <c r="M467" s="28" t="s">
        <v>2686</v>
      </c>
      <c r="N467" s="28" t="s">
        <v>2654</v>
      </c>
      <c r="O467" s="28" t="s">
        <v>2655</v>
      </c>
      <c r="P467" s="28" t="s">
        <v>1836</v>
      </c>
    </row>
    <row r="468" spans="1:16" hidden="1" x14ac:dyDescent="0.25">
      <c r="A468" s="28" t="s">
        <v>2687</v>
      </c>
      <c r="B468" s="28" t="s">
        <v>2688</v>
      </c>
      <c r="C468" s="28" t="s">
        <v>1827</v>
      </c>
      <c r="D468" s="28" t="s">
        <v>2648</v>
      </c>
      <c r="E468" s="28" t="s">
        <v>2689</v>
      </c>
      <c r="F468" s="28" t="s">
        <v>21</v>
      </c>
      <c r="G468" s="28" t="s">
        <v>22</v>
      </c>
      <c r="H468" s="28" t="s">
        <v>2650</v>
      </c>
      <c r="I468" s="28" t="s">
        <v>2690</v>
      </c>
      <c r="J468" s="28" t="s">
        <v>22</v>
      </c>
      <c r="K468" s="28" t="s">
        <v>2691</v>
      </c>
      <c r="L468" s="28" t="s">
        <v>1832</v>
      </c>
      <c r="M468" s="28" t="s">
        <v>2692</v>
      </c>
      <c r="N468" s="28" t="s">
        <v>2654</v>
      </c>
      <c r="O468" s="28" t="s">
        <v>2655</v>
      </c>
      <c r="P468" s="28" t="s">
        <v>1836</v>
      </c>
    </row>
    <row r="469" spans="1:16" hidden="1" x14ac:dyDescent="0.25">
      <c r="A469" s="28" t="s">
        <v>2693</v>
      </c>
      <c r="B469" s="28" t="s">
        <v>2694</v>
      </c>
      <c r="C469" s="28" t="s">
        <v>1827</v>
      </c>
      <c r="D469" s="28" t="s">
        <v>2648</v>
      </c>
      <c r="E469" s="28" t="s">
        <v>2695</v>
      </c>
      <c r="F469" s="28" t="s">
        <v>21</v>
      </c>
      <c r="G469" s="28" t="s">
        <v>22</v>
      </c>
      <c r="H469" s="28" t="s">
        <v>2650</v>
      </c>
      <c r="I469" s="28" t="s">
        <v>2696</v>
      </c>
      <c r="J469" s="28" t="s">
        <v>22</v>
      </c>
      <c r="K469" s="28" t="s">
        <v>2652</v>
      </c>
      <c r="L469" s="28" t="s">
        <v>1832</v>
      </c>
      <c r="M469" s="28" t="s">
        <v>2697</v>
      </c>
      <c r="N469" s="28" t="s">
        <v>2654</v>
      </c>
      <c r="O469" s="28" t="s">
        <v>2655</v>
      </c>
      <c r="P469" s="28" t="s">
        <v>1836</v>
      </c>
    </row>
    <row r="470" spans="1:16" hidden="1" x14ac:dyDescent="0.25">
      <c r="A470" s="28" t="s">
        <v>2698</v>
      </c>
      <c r="B470" s="28" t="s">
        <v>2699</v>
      </c>
      <c r="C470" s="28" t="s">
        <v>1827</v>
      </c>
      <c r="D470" s="28" t="s">
        <v>2648</v>
      </c>
      <c r="E470" s="28" t="s">
        <v>2700</v>
      </c>
      <c r="F470" s="28" t="s">
        <v>21</v>
      </c>
      <c r="G470" s="28" t="s">
        <v>22</v>
      </c>
      <c r="H470" s="28" t="s">
        <v>2650</v>
      </c>
      <c r="I470" s="28" t="s">
        <v>2701</v>
      </c>
      <c r="J470" s="28" t="s">
        <v>22</v>
      </c>
      <c r="K470" s="28" t="s">
        <v>2652</v>
      </c>
      <c r="L470" s="28" t="s">
        <v>1832</v>
      </c>
      <c r="M470" s="28" t="s">
        <v>2702</v>
      </c>
      <c r="N470" s="28" t="s">
        <v>2654</v>
      </c>
      <c r="O470" s="28" t="s">
        <v>2655</v>
      </c>
      <c r="P470" s="28" t="s">
        <v>1836</v>
      </c>
    </row>
    <row r="471" spans="1:16" hidden="1" x14ac:dyDescent="0.25">
      <c r="A471" s="28" t="s">
        <v>2703</v>
      </c>
      <c r="B471" s="28" t="s">
        <v>2704</v>
      </c>
      <c r="C471" s="28" t="s">
        <v>1827</v>
      </c>
      <c r="D471" s="28" t="s">
        <v>2648</v>
      </c>
      <c r="E471" s="28" t="s">
        <v>2705</v>
      </c>
      <c r="F471" s="28" t="s">
        <v>21</v>
      </c>
      <c r="G471" s="28" t="s">
        <v>22</v>
      </c>
      <c r="H471" s="28" t="s">
        <v>2650</v>
      </c>
      <c r="I471" s="28" t="s">
        <v>2706</v>
      </c>
      <c r="J471" s="28" t="s">
        <v>22</v>
      </c>
      <c r="K471" s="28" t="s">
        <v>2652</v>
      </c>
      <c r="L471" s="28" t="s">
        <v>1832</v>
      </c>
      <c r="M471" s="28" t="s">
        <v>2707</v>
      </c>
      <c r="N471" s="28" t="s">
        <v>2654</v>
      </c>
      <c r="O471" s="28" t="s">
        <v>2655</v>
      </c>
      <c r="P471" s="28" t="s">
        <v>1836</v>
      </c>
    </row>
    <row r="472" spans="1:16" hidden="1" x14ac:dyDescent="0.25">
      <c r="A472" s="28" t="s">
        <v>2708</v>
      </c>
      <c r="B472" s="28" t="s">
        <v>2709</v>
      </c>
      <c r="C472" s="28" t="s">
        <v>1827</v>
      </c>
      <c r="D472" s="28" t="s">
        <v>2710</v>
      </c>
      <c r="E472" s="28" t="s">
        <v>2711</v>
      </c>
      <c r="F472" s="28" t="s">
        <v>21</v>
      </c>
      <c r="G472" s="28" t="s">
        <v>22</v>
      </c>
      <c r="H472" s="28" t="s">
        <v>2712</v>
      </c>
      <c r="I472" s="28" t="s">
        <v>2713</v>
      </c>
      <c r="J472" s="28" t="s">
        <v>22</v>
      </c>
      <c r="K472" s="28" t="s">
        <v>2714</v>
      </c>
      <c r="L472" s="28" t="s">
        <v>1832</v>
      </c>
      <c r="M472" s="28" t="s">
        <v>2715</v>
      </c>
      <c r="N472" s="28" t="s">
        <v>2716</v>
      </c>
      <c r="O472" s="28" t="s">
        <v>2717</v>
      </c>
      <c r="P472" s="28" t="s">
        <v>1836</v>
      </c>
    </row>
    <row r="473" spans="1:16" hidden="1" x14ac:dyDescent="0.25">
      <c r="A473" s="28" t="s">
        <v>2718</v>
      </c>
      <c r="B473" s="28" t="s">
        <v>2719</v>
      </c>
      <c r="C473" s="28" t="s">
        <v>1827</v>
      </c>
      <c r="D473" s="28" t="s">
        <v>1643</v>
      </c>
      <c r="E473" s="28" t="s">
        <v>2720</v>
      </c>
      <c r="F473" s="28" t="s">
        <v>21</v>
      </c>
      <c r="G473" s="28" t="s">
        <v>22</v>
      </c>
      <c r="H473" s="28" t="s">
        <v>2721</v>
      </c>
      <c r="I473" s="28" t="s">
        <v>2722</v>
      </c>
      <c r="J473" s="28" t="s">
        <v>22</v>
      </c>
      <c r="K473" s="28" t="s">
        <v>2723</v>
      </c>
      <c r="L473" s="28" t="s">
        <v>1832</v>
      </c>
      <c r="M473" s="28" t="s">
        <v>2724</v>
      </c>
      <c r="N473" s="28" t="s">
        <v>2725</v>
      </c>
      <c r="O473" s="28" t="s">
        <v>2726</v>
      </c>
      <c r="P473" s="28" t="s">
        <v>1836</v>
      </c>
    </row>
    <row r="474" spans="1:16" hidden="1" x14ac:dyDescent="0.25">
      <c r="A474" s="28" t="s">
        <v>2727</v>
      </c>
      <c r="B474" s="28" t="s">
        <v>2728</v>
      </c>
      <c r="C474" s="28" t="s">
        <v>1827</v>
      </c>
      <c r="D474" s="28" t="s">
        <v>2729</v>
      </c>
      <c r="E474" s="28" t="s">
        <v>2730</v>
      </c>
      <c r="F474" s="28" t="s">
        <v>21</v>
      </c>
      <c r="G474" s="28" t="s">
        <v>22</v>
      </c>
      <c r="H474" s="28" t="s">
        <v>2731</v>
      </c>
      <c r="I474" s="28" t="s">
        <v>2732</v>
      </c>
      <c r="J474" s="28" t="s">
        <v>22</v>
      </c>
      <c r="K474" s="28" t="s">
        <v>2733</v>
      </c>
      <c r="L474" s="28" t="s">
        <v>1832</v>
      </c>
      <c r="M474" s="28" t="s">
        <v>2734</v>
      </c>
      <c r="N474" s="28" t="s">
        <v>2735</v>
      </c>
      <c r="O474" s="28" t="s">
        <v>2736</v>
      </c>
      <c r="P474" s="28" t="s">
        <v>1836</v>
      </c>
    </row>
    <row r="475" spans="1:16" hidden="1" x14ac:dyDescent="0.25">
      <c r="A475" s="28" t="s">
        <v>2737</v>
      </c>
      <c r="B475" s="28" t="s">
        <v>2738</v>
      </c>
      <c r="C475" s="28" t="s">
        <v>1827</v>
      </c>
      <c r="D475" s="28" t="s">
        <v>2729</v>
      </c>
      <c r="E475" s="28" t="s">
        <v>2739</v>
      </c>
      <c r="F475" s="28" t="s">
        <v>21</v>
      </c>
      <c r="G475" s="28" t="s">
        <v>22</v>
      </c>
      <c r="H475" s="28" t="s">
        <v>2731</v>
      </c>
      <c r="I475" s="28" t="s">
        <v>2740</v>
      </c>
      <c r="J475" s="28" t="s">
        <v>22</v>
      </c>
      <c r="K475" s="28" t="s">
        <v>2733</v>
      </c>
      <c r="L475" s="28" t="s">
        <v>1832</v>
      </c>
      <c r="M475" s="28" t="s">
        <v>2741</v>
      </c>
      <c r="N475" s="28" t="s">
        <v>2735</v>
      </c>
      <c r="O475" s="28" t="s">
        <v>2736</v>
      </c>
      <c r="P475" s="28" t="s">
        <v>1836</v>
      </c>
    </row>
    <row r="476" spans="1:16" hidden="1" x14ac:dyDescent="0.25">
      <c r="A476" s="28" t="s">
        <v>2742</v>
      </c>
      <c r="B476" s="28" t="s">
        <v>2743</v>
      </c>
      <c r="C476" s="28" t="s">
        <v>1827</v>
      </c>
      <c r="D476" s="28" t="s">
        <v>2729</v>
      </c>
      <c r="E476" s="28" t="s">
        <v>2744</v>
      </c>
      <c r="F476" s="28" t="s">
        <v>21</v>
      </c>
      <c r="G476" s="28" t="s">
        <v>22</v>
      </c>
      <c r="H476" s="28" t="s">
        <v>2731</v>
      </c>
      <c r="I476" s="28" t="s">
        <v>2745</v>
      </c>
      <c r="J476" s="28" t="s">
        <v>22</v>
      </c>
      <c r="K476" s="28" t="s">
        <v>2733</v>
      </c>
      <c r="L476" s="28" t="s">
        <v>1832</v>
      </c>
      <c r="M476" s="28" t="s">
        <v>2746</v>
      </c>
      <c r="N476" s="28" t="s">
        <v>2735</v>
      </c>
      <c r="O476" s="28" t="s">
        <v>2736</v>
      </c>
      <c r="P476" s="28" t="s">
        <v>1836</v>
      </c>
    </row>
    <row r="477" spans="1:16" hidden="1" x14ac:dyDescent="0.25">
      <c r="A477" s="28" t="s">
        <v>2747</v>
      </c>
      <c r="B477" s="28" t="s">
        <v>2748</v>
      </c>
      <c r="C477" s="28" t="s">
        <v>1827</v>
      </c>
      <c r="D477" s="28" t="s">
        <v>2729</v>
      </c>
      <c r="E477" s="28" t="s">
        <v>2749</v>
      </c>
      <c r="F477" s="28" t="s">
        <v>21</v>
      </c>
      <c r="G477" s="28" t="s">
        <v>22</v>
      </c>
      <c r="H477" s="28" t="s">
        <v>2731</v>
      </c>
      <c r="I477" s="28" t="s">
        <v>2750</v>
      </c>
      <c r="J477" s="28" t="s">
        <v>22</v>
      </c>
      <c r="K477" s="28" t="s">
        <v>2751</v>
      </c>
      <c r="L477" s="28" t="s">
        <v>1832</v>
      </c>
      <c r="M477" s="28" t="s">
        <v>2752</v>
      </c>
      <c r="N477" s="28" t="s">
        <v>2735</v>
      </c>
      <c r="O477" s="28" t="s">
        <v>2736</v>
      </c>
      <c r="P477" s="28" t="s">
        <v>1836</v>
      </c>
    </row>
    <row r="478" spans="1:16" hidden="1" x14ac:dyDescent="0.25">
      <c r="A478" s="28" t="s">
        <v>2753</v>
      </c>
      <c r="B478" s="28" t="s">
        <v>2754</v>
      </c>
      <c r="C478" s="28" t="s">
        <v>1827</v>
      </c>
      <c r="D478" s="28" t="s">
        <v>2729</v>
      </c>
      <c r="E478" s="28" t="s">
        <v>2755</v>
      </c>
      <c r="F478" s="28" t="s">
        <v>21</v>
      </c>
      <c r="G478" s="28" t="s">
        <v>22</v>
      </c>
      <c r="H478" s="28" t="s">
        <v>2731</v>
      </c>
      <c r="I478" s="28" t="s">
        <v>2756</v>
      </c>
      <c r="J478" s="28" t="s">
        <v>22</v>
      </c>
      <c r="K478" s="28" t="s">
        <v>2733</v>
      </c>
      <c r="L478" s="28" t="s">
        <v>1832</v>
      </c>
      <c r="M478" s="28" t="s">
        <v>2757</v>
      </c>
      <c r="N478" s="28" t="s">
        <v>2735</v>
      </c>
      <c r="O478" s="28" t="s">
        <v>2736</v>
      </c>
      <c r="P478" s="28" t="s">
        <v>1836</v>
      </c>
    </row>
    <row r="479" spans="1:16" hidden="1" x14ac:dyDescent="0.25">
      <c r="A479" s="28" t="s">
        <v>2758</v>
      </c>
      <c r="B479" s="28" t="s">
        <v>2759</v>
      </c>
      <c r="C479" s="28" t="s">
        <v>1827</v>
      </c>
      <c r="D479" s="28" t="s">
        <v>2729</v>
      </c>
      <c r="E479" s="28" t="s">
        <v>2760</v>
      </c>
      <c r="F479" s="28" t="s">
        <v>21</v>
      </c>
      <c r="G479" s="28" t="s">
        <v>22</v>
      </c>
      <c r="H479" s="28" t="s">
        <v>2731</v>
      </c>
      <c r="I479" s="28" t="s">
        <v>2761</v>
      </c>
      <c r="J479" s="28" t="s">
        <v>22</v>
      </c>
      <c r="K479" s="28" t="s">
        <v>2733</v>
      </c>
      <c r="L479" s="28" t="s">
        <v>1832</v>
      </c>
      <c r="M479" s="28" t="s">
        <v>2762</v>
      </c>
      <c r="N479" s="28" t="s">
        <v>2735</v>
      </c>
      <c r="O479" s="28" t="s">
        <v>2736</v>
      </c>
      <c r="P479" s="28" t="s">
        <v>1836</v>
      </c>
    </row>
    <row r="480" spans="1:16" hidden="1" x14ac:dyDescent="0.25">
      <c r="A480" s="28" t="s">
        <v>2763</v>
      </c>
      <c r="B480" s="28" t="s">
        <v>2764</v>
      </c>
      <c r="C480" s="28" t="s">
        <v>1827</v>
      </c>
      <c r="D480" s="28" t="s">
        <v>2729</v>
      </c>
      <c r="E480" s="28" t="s">
        <v>2765</v>
      </c>
      <c r="F480" s="28" t="s">
        <v>21</v>
      </c>
      <c r="G480" s="28" t="s">
        <v>22</v>
      </c>
      <c r="H480" s="28" t="s">
        <v>2731</v>
      </c>
      <c r="I480" s="28" t="s">
        <v>2766</v>
      </c>
      <c r="J480" s="28" t="s">
        <v>22</v>
      </c>
      <c r="K480" s="28" t="s">
        <v>2733</v>
      </c>
      <c r="L480" s="28" t="s">
        <v>1832</v>
      </c>
      <c r="M480" s="28" t="s">
        <v>2767</v>
      </c>
      <c r="N480" s="28" t="s">
        <v>2735</v>
      </c>
      <c r="O480" s="28" t="s">
        <v>2736</v>
      </c>
      <c r="P480" s="28" t="s">
        <v>1836</v>
      </c>
    </row>
    <row r="481" spans="1:16" hidden="1" x14ac:dyDescent="0.25">
      <c r="A481" s="28" t="s">
        <v>2768</v>
      </c>
      <c r="B481" s="28" t="s">
        <v>2769</v>
      </c>
      <c r="C481" s="28" t="s">
        <v>1827</v>
      </c>
      <c r="D481" s="28" t="s">
        <v>2729</v>
      </c>
      <c r="E481" s="28" t="s">
        <v>2770</v>
      </c>
      <c r="F481" s="28" t="s">
        <v>21</v>
      </c>
      <c r="G481" s="28" t="s">
        <v>22</v>
      </c>
      <c r="H481" s="28" t="s">
        <v>2731</v>
      </c>
      <c r="I481" s="28" t="s">
        <v>2771</v>
      </c>
      <c r="J481" s="28" t="s">
        <v>22</v>
      </c>
      <c r="K481" s="28" t="s">
        <v>2733</v>
      </c>
      <c r="L481" s="28" t="s">
        <v>1832</v>
      </c>
      <c r="M481" s="28" t="s">
        <v>2772</v>
      </c>
      <c r="N481" s="28" t="s">
        <v>2735</v>
      </c>
      <c r="O481" s="28" t="s">
        <v>2736</v>
      </c>
      <c r="P481" s="28" t="s">
        <v>1836</v>
      </c>
    </row>
    <row r="482" spans="1:16" hidden="1" x14ac:dyDescent="0.25">
      <c r="A482" s="28" t="s">
        <v>2773</v>
      </c>
      <c r="B482" s="28" t="s">
        <v>2774</v>
      </c>
      <c r="C482" s="28" t="s">
        <v>1827</v>
      </c>
      <c r="D482" s="28" t="s">
        <v>2729</v>
      </c>
      <c r="E482" s="28" t="s">
        <v>2775</v>
      </c>
      <c r="F482" s="28" t="s">
        <v>21</v>
      </c>
      <c r="G482" s="28" t="s">
        <v>22</v>
      </c>
      <c r="H482" s="28" t="s">
        <v>2731</v>
      </c>
      <c r="I482" s="28" t="s">
        <v>2776</v>
      </c>
      <c r="J482" s="28" t="s">
        <v>22</v>
      </c>
      <c r="K482" s="28" t="s">
        <v>2777</v>
      </c>
      <c r="L482" s="28" t="s">
        <v>1832</v>
      </c>
      <c r="M482" s="28" t="s">
        <v>2778</v>
      </c>
      <c r="N482" s="28" t="s">
        <v>2735</v>
      </c>
      <c r="O482" s="28" t="s">
        <v>2736</v>
      </c>
      <c r="P482" s="28" t="s">
        <v>1836</v>
      </c>
    </row>
    <row r="483" spans="1:16" hidden="1" x14ac:dyDescent="0.25">
      <c r="A483" s="28" t="s">
        <v>2779</v>
      </c>
      <c r="B483" s="28" t="s">
        <v>2780</v>
      </c>
      <c r="C483" s="28" t="s">
        <v>1827</v>
      </c>
      <c r="D483" s="28" t="s">
        <v>2729</v>
      </c>
      <c r="E483" s="28" t="s">
        <v>2781</v>
      </c>
      <c r="F483" s="28" t="s">
        <v>21</v>
      </c>
      <c r="G483" s="28" t="s">
        <v>22</v>
      </c>
      <c r="H483" s="28" t="s">
        <v>2731</v>
      </c>
      <c r="I483" s="28" t="s">
        <v>2782</v>
      </c>
      <c r="J483" s="28" t="s">
        <v>22</v>
      </c>
      <c r="K483" s="28" t="s">
        <v>2783</v>
      </c>
      <c r="L483" s="28" t="s">
        <v>1832</v>
      </c>
      <c r="M483" s="28" t="s">
        <v>2784</v>
      </c>
      <c r="N483" s="28" t="s">
        <v>2735</v>
      </c>
      <c r="O483" s="28" t="s">
        <v>2736</v>
      </c>
      <c r="P483" s="28" t="s">
        <v>2785</v>
      </c>
    </row>
    <row r="484" spans="1:16" hidden="1" x14ac:dyDescent="0.25">
      <c r="A484" s="28" t="s">
        <v>2786</v>
      </c>
      <c r="B484" s="28" t="s">
        <v>2787</v>
      </c>
      <c r="C484" s="28" t="s">
        <v>1827</v>
      </c>
      <c r="D484" s="28" t="s">
        <v>2788</v>
      </c>
      <c r="E484" s="28" t="s">
        <v>2789</v>
      </c>
      <c r="F484" s="28" t="s">
        <v>21</v>
      </c>
      <c r="G484" s="28" t="s">
        <v>22</v>
      </c>
      <c r="H484" s="28" t="s">
        <v>2790</v>
      </c>
      <c r="I484" s="28" t="s">
        <v>2791</v>
      </c>
      <c r="J484" s="28" t="s">
        <v>22</v>
      </c>
      <c r="K484" s="28" t="s">
        <v>2792</v>
      </c>
      <c r="L484" s="28" t="s">
        <v>1832</v>
      </c>
      <c r="M484" s="28" t="s">
        <v>2793</v>
      </c>
      <c r="N484" s="28" t="s">
        <v>2794</v>
      </c>
      <c r="O484" s="28" t="s">
        <v>2795</v>
      </c>
      <c r="P484" s="28" t="s">
        <v>1836</v>
      </c>
    </row>
    <row r="485" spans="1:16" hidden="1" x14ac:dyDescent="0.25">
      <c r="A485" s="28" t="s">
        <v>2796</v>
      </c>
      <c r="B485" s="28" t="s">
        <v>2797</v>
      </c>
      <c r="C485" s="28" t="s">
        <v>1827</v>
      </c>
      <c r="D485" s="28" t="s">
        <v>2788</v>
      </c>
      <c r="E485" s="28" t="s">
        <v>2798</v>
      </c>
      <c r="F485" s="28" t="s">
        <v>21</v>
      </c>
      <c r="G485" s="28" t="s">
        <v>22</v>
      </c>
      <c r="H485" s="28" t="s">
        <v>2790</v>
      </c>
      <c r="I485" s="28" t="s">
        <v>2799</v>
      </c>
      <c r="J485" s="28" t="s">
        <v>22</v>
      </c>
      <c r="K485" s="28" t="s">
        <v>2800</v>
      </c>
      <c r="L485" s="28" t="s">
        <v>1832</v>
      </c>
      <c r="M485" s="28" t="s">
        <v>2801</v>
      </c>
      <c r="N485" s="28" t="s">
        <v>2794</v>
      </c>
      <c r="O485" s="28" t="s">
        <v>2795</v>
      </c>
      <c r="P485" s="28" t="s">
        <v>1836</v>
      </c>
    </row>
    <row r="486" spans="1:16" hidden="1" x14ac:dyDescent="0.25">
      <c r="A486" s="28" t="s">
        <v>2802</v>
      </c>
      <c r="B486" s="28" t="s">
        <v>2803</v>
      </c>
      <c r="C486" s="28" t="s">
        <v>1827</v>
      </c>
      <c r="D486" s="28" t="s">
        <v>2788</v>
      </c>
      <c r="E486" s="28" t="s">
        <v>2804</v>
      </c>
      <c r="F486" s="28" t="s">
        <v>21</v>
      </c>
      <c r="G486" s="28" t="s">
        <v>22</v>
      </c>
      <c r="H486" s="28" t="s">
        <v>2790</v>
      </c>
      <c r="I486" s="28" t="s">
        <v>2805</v>
      </c>
      <c r="J486" s="28" t="s">
        <v>22</v>
      </c>
      <c r="K486" s="28" t="s">
        <v>2806</v>
      </c>
      <c r="L486" s="28" t="s">
        <v>1832</v>
      </c>
      <c r="M486" s="28" t="s">
        <v>2807</v>
      </c>
      <c r="N486" s="28" t="s">
        <v>2794</v>
      </c>
      <c r="O486" s="28" t="s">
        <v>2795</v>
      </c>
      <c r="P486" s="28" t="s">
        <v>1836</v>
      </c>
    </row>
    <row r="487" spans="1:16" hidden="1" x14ac:dyDescent="0.25">
      <c r="A487" s="28" t="s">
        <v>2808</v>
      </c>
      <c r="B487" s="28" t="s">
        <v>2809</v>
      </c>
      <c r="C487" s="28" t="s">
        <v>1827</v>
      </c>
      <c r="D487" s="28" t="s">
        <v>2788</v>
      </c>
      <c r="E487" s="28" t="s">
        <v>2810</v>
      </c>
      <c r="F487" s="28" t="s">
        <v>21</v>
      </c>
      <c r="G487" s="28" t="s">
        <v>22</v>
      </c>
      <c r="H487" s="28" t="s">
        <v>2790</v>
      </c>
      <c r="I487" s="28" t="s">
        <v>2811</v>
      </c>
      <c r="J487" s="28" t="s">
        <v>22</v>
      </c>
      <c r="K487" s="28" t="s">
        <v>2812</v>
      </c>
      <c r="L487" s="28" t="s">
        <v>1832</v>
      </c>
      <c r="M487" s="28" t="s">
        <v>2813</v>
      </c>
      <c r="N487" s="28" t="s">
        <v>2794</v>
      </c>
      <c r="O487" s="28" t="s">
        <v>2795</v>
      </c>
      <c r="P487" s="28" t="s">
        <v>1836</v>
      </c>
    </row>
    <row r="488" spans="1:16" hidden="1" x14ac:dyDescent="0.25">
      <c r="A488" s="28" t="s">
        <v>2814</v>
      </c>
      <c r="B488" s="28" t="s">
        <v>2815</v>
      </c>
      <c r="C488" s="28" t="s">
        <v>1827</v>
      </c>
      <c r="D488" s="28" t="s">
        <v>2788</v>
      </c>
      <c r="E488" s="28" t="s">
        <v>2816</v>
      </c>
      <c r="F488" s="28" t="s">
        <v>21</v>
      </c>
      <c r="G488" s="28" t="s">
        <v>22</v>
      </c>
      <c r="H488" s="28" t="s">
        <v>2790</v>
      </c>
      <c r="I488" s="28" t="s">
        <v>2817</v>
      </c>
      <c r="J488" s="28" t="s">
        <v>22</v>
      </c>
      <c r="K488" s="28" t="s">
        <v>2806</v>
      </c>
      <c r="L488" s="28" t="s">
        <v>1832</v>
      </c>
      <c r="M488" s="28" t="s">
        <v>2818</v>
      </c>
      <c r="N488" s="28" t="s">
        <v>2794</v>
      </c>
      <c r="O488" s="28" t="s">
        <v>2795</v>
      </c>
      <c r="P488" s="28" t="s">
        <v>1836</v>
      </c>
    </row>
    <row r="489" spans="1:16" hidden="1" x14ac:dyDescent="0.25">
      <c r="A489" s="28" t="s">
        <v>2819</v>
      </c>
      <c r="B489" s="28" t="s">
        <v>2820</v>
      </c>
      <c r="C489" s="28" t="s">
        <v>1827</v>
      </c>
      <c r="D489" s="28" t="s">
        <v>2821</v>
      </c>
      <c r="E489" s="28" t="s">
        <v>2822</v>
      </c>
      <c r="F489" s="28" t="s">
        <v>21</v>
      </c>
      <c r="G489" s="28" t="s">
        <v>22</v>
      </c>
      <c r="H489" s="28" t="s">
        <v>2823</v>
      </c>
      <c r="I489" s="28" t="s">
        <v>2824</v>
      </c>
      <c r="J489" s="28" t="s">
        <v>22</v>
      </c>
      <c r="K489" s="28" t="s">
        <v>2825</v>
      </c>
      <c r="L489" s="28" t="s">
        <v>1832</v>
      </c>
      <c r="M489" s="28" t="s">
        <v>2826</v>
      </c>
      <c r="N489" s="28" t="s">
        <v>2827</v>
      </c>
      <c r="O489" s="28" t="s">
        <v>2828</v>
      </c>
      <c r="P489" s="28" t="s">
        <v>1836</v>
      </c>
    </row>
    <row r="490" spans="1:16" hidden="1" x14ac:dyDescent="0.25">
      <c r="A490" s="28" t="s">
        <v>2829</v>
      </c>
      <c r="B490" s="28" t="s">
        <v>2830</v>
      </c>
      <c r="C490" s="28" t="s">
        <v>1827</v>
      </c>
      <c r="D490" s="28" t="s">
        <v>2821</v>
      </c>
      <c r="E490" s="28" t="s">
        <v>2831</v>
      </c>
      <c r="F490" s="28" t="s">
        <v>21</v>
      </c>
      <c r="G490" s="28" t="s">
        <v>22</v>
      </c>
      <c r="H490" s="28" t="s">
        <v>2823</v>
      </c>
      <c r="I490" s="28" t="s">
        <v>2832</v>
      </c>
      <c r="J490" s="28" t="s">
        <v>22</v>
      </c>
      <c r="K490" s="28" t="s">
        <v>2833</v>
      </c>
      <c r="L490" s="28" t="s">
        <v>1832</v>
      </c>
      <c r="M490" s="28" t="s">
        <v>2834</v>
      </c>
      <c r="N490" s="28" t="s">
        <v>2827</v>
      </c>
      <c r="O490" s="28" t="s">
        <v>2828</v>
      </c>
      <c r="P490" s="28" t="s">
        <v>1836</v>
      </c>
    </row>
    <row r="491" spans="1:16" hidden="1" x14ac:dyDescent="0.25">
      <c r="A491" s="28" t="s">
        <v>2835</v>
      </c>
      <c r="B491" s="28" t="s">
        <v>2836</v>
      </c>
      <c r="C491" s="28" t="s">
        <v>1827</v>
      </c>
      <c r="D491" s="28" t="s">
        <v>2821</v>
      </c>
      <c r="E491" s="28" t="s">
        <v>2837</v>
      </c>
      <c r="F491" s="28" t="s">
        <v>21</v>
      </c>
      <c r="G491" s="28" t="s">
        <v>22</v>
      </c>
      <c r="H491" s="28" t="s">
        <v>2823</v>
      </c>
      <c r="I491" s="28" t="s">
        <v>2838</v>
      </c>
      <c r="J491" s="28" t="s">
        <v>22</v>
      </c>
      <c r="K491" s="28" t="s">
        <v>2839</v>
      </c>
      <c r="L491" s="28" t="s">
        <v>1832</v>
      </c>
      <c r="M491" s="28" t="s">
        <v>2840</v>
      </c>
      <c r="N491" s="28" t="s">
        <v>2827</v>
      </c>
      <c r="O491" s="28" t="s">
        <v>2828</v>
      </c>
      <c r="P491" s="28" t="s">
        <v>1836</v>
      </c>
    </row>
    <row r="492" spans="1:16" hidden="1" x14ac:dyDescent="0.25">
      <c r="A492" s="28" t="s">
        <v>2841</v>
      </c>
      <c r="B492" s="28" t="s">
        <v>2842</v>
      </c>
      <c r="C492" s="28" t="s">
        <v>1827</v>
      </c>
      <c r="D492" s="28" t="s">
        <v>2843</v>
      </c>
      <c r="E492" s="28" t="s">
        <v>2844</v>
      </c>
      <c r="F492" s="28" t="s">
        <v>21</v>
      </c>
      <c r="G492" s="28" t="s">
        <v>22</v>
      </c>
      <c r="H492" s="28" t="s">
        <v>2845</v>
      </c>
      <c r="I492" s="28" t="s">
        <v>2846</v>
      </c>
      <c r="J492" s="28" t="s">
        <v>22</v>
      </c>
      <c r="K492" s="28" t="s">
        <v>2847</v>
      </c>
      <c r="L492" s="28" t="s">
        <v>1832</v>
      </c>
      <c r="M492" s="28" t="s">
        <v>2848</v>
      </c>
      <c r="N492" s="28" t="s">
        <v>2849</v>
      </c>
      <c r="O492" s="28" t="s">
        <v>2850</v>
      </c>
      <c r="P492" s="28" t="s">
        <v>1836</v>
      </c>
    </row>
    <row r="493" spans="1:16" hidden="1" x14ac:dyDescent="0.25">
      <c r="A493" s="28" t="s">
        <v>2851</v>
      </c>
      <c r="B493" s="28" t="s">
        <v>2852</v>
      </c>
      <c r="C493" s="28" t="s">
        <v>1827</v>
      </c>
      <c r="D493" s="28" t="s">
        <v>2843</v>
      </c>
      <c r="E493" s="28" t="s">
        <v>2853</v>
      </c>
      <c r="F493" s="28" t="s">
        <v>21</v>
      </c>
      <c r="G493" s="28" t="s">
        <v>22</v>
      </c>
      <c r="H493" s="28" t="s">
        <v>2845</v>
      </c>
      <c r="I493" s="28" t="s">
        <v>2854</v>
      </c>
      <c r="J493" s="28" t="s">
        <v>22</v>
      </c>
      <c r="K493" s="28" t="s">
        <v>2777</v>
      </c>
      <c r="L493" s="28" t="s">
        <v>1832</v>
      </c>
      <c r="M493" s="28" t="s">
        <v>2855</v>
      </c>
      <c r="N493" s="28" t="s">
        <v>2849</v>
      </c>
      <c r="O493" s="28" t="s">
        <v>2850</v>
      </c>
      <c r="P493" s="28" t="s">
        <v>1836</v>
      </c>
    </row>
    <row r="494" spans="1:16" hidden="1" x14ac:dyDescent="0.25">
      <c r="A494" s="28" t="s">
        <v>2856</v>
      </c>
      <c r="B494" s="28" t="s">
        <v>2857</v>
      </c>
      <c r="C494" s="28" t="s">
        <v>1827</v>
      </c>
      <c r="D494" s="28" t="s">
        <v>2843</v>
      </c>
      <c r="E494" s="28" t="s">
        <v>2858</v>
      </c>
      <c r="F494" s="28" t="s">
        <v>21</v>
      </c>
      <c r="G494" s="28" t="s">
        <v>22</v>
      </c>
      <c r="H494" s="28" t="s">
        <v>2845</v>
      </c>
      <c r="I494" s="28" t="s">
        <v>2859</v>
      </c>
      <c r="J494" s="28" t="s">
        <v>22</v>
      </c>
      <c r="K494" s="28" t="s">
        <v>2860</v>
      </c>
      <c r="L494" s="28" t="s">
        <v>1832</v>
      </c>
      <c r="M494" s="28" t="s">
        <v>2861</v>
      </c>
      <c r="N494" s="28" t="s">
        <v>2849</v>
      </c>
      <c r="O494" s="28" t="s">
        <v>2850</v>
      </c>
      <c r="P494" s="28" t="s">
        <v>2785</v>
      </c>
    </row>
    <row r="495" spans="1:16" hidden="1" x14ac:dyDescent="0.25">
      <c r="A495" s="28" t="s">
        <v>2862</v>
      </c>
      <c r="B495" s="28" t="s">
        <v>2863</v>
      </c>
      <c r="C495" s="28" t="s">
        <v>1827</v>
      </c>
      <c r="D495" s="28" t="s">
        <v>2864</v>
      </c>
      <c r="E495" s="28" t="s">
        <v>2865</v>
      </c>
      <c r="F495" s="28" t="s">
        <v>21</v>
      </c>
      <c r="G495" s="28" t="s">
        <v>22</v>
      </c>
      <c r="H495" s="28" t="s">
        <v>2866</v>
      </c>
      <c r="I495" s="28" t="s">
        <v>2867</v>
      </c>
      <c r="J495" s="28" t="s">
        <v>22</v>
      </c>
      <c r="K495" s="28" t="s">
        <v>2868</v>
      </c>
      <c r="L495" s="28" t="s">
        <v>1832</v>
      </c>
      <c r="M495" s="28" t="s">
        <v>2869</v>
      </c>
      <c r="N495" s="28" t="s">
        <v>2870</v>
      </c>
      <c r="O495" s="28" t="s">
        <v>2871</v>
      </c>
      <c r="P495" s="28" t="s">
        <v>1836</v>
      </c>
    </row>
    <row r="496" spans="1:16" hidden="1" x14ac:dyDescent="0.25">
      <c r="A496" s="28" t="s">
        <v>2872</v>
      </c>
      <c r="B496" s="28" t="s">
        <v>2873</v>
      </c>
      <c r="C496" s="28" t="s">
        <v>1827</v>
      </c>
      <c r="D496" s="28" t="s">
        <v>2864</v>
      </c>
      <c r="E496" s="28" t="s">
        <v>2874</v>
      </c>
      <c r="F496" s="28" t="s">
        <v>21</v>
      </c>
      <c r="G496" s="28" t="s">
        <v>22</v>
      </c>
      <c r="H496" s="28" t="s">
        <v>2866</v>
      </c>
      <c r="I496" s="28" t="s">
        <v>2875</v>
      </c>
      <c r="J496" s="28" t="s">
        <v>22</v>
      </c>
      <c r="K496" s="28" t="s">
        <v>2868</v>
      </c>
      <c r="L496" s="28" t="s">
        <v>1832</v>
      </c>
      <c r="M496" s="28" t="s">
        <v>2876</v>
      </c>
      <c r="N496" s="28" t="s">
        <v>2870</v>
      </c>
      <c r="O496" s="28" t="s">
        <v>2871</v>
      </c>
      <c r="P496" s="28" t="s">
        <v>1836</v>
      </c>
    </row>
    <row r="497" spans="1:16" hidden="1" x14ac:dyDescent="0.25">
      <c r="A497" s="28" t="s">
        <v>2877</v>
      </c>
      <c r="B497" s="28" t="s">
        <v>2878</v>
      </c>
      <c r="C497" s="28" t="s">
        <v>1827</v>
      </c>
      <c r="D497" s="28" t="s">
        <v>2879</v>
      </c>
      <c r="E497" s="28" t="s">
        <v>2880</v>
      </c>
      <c r="F497" s="28" t="s">
        <v>21</v>
      </c>
      <c r="G497" s="28" t="s">
        <v>22</v>
      </c>
      <c r="H497" s="28" t="s">
        <v>2881</v>
      </c>
      <c r="I497" s="28" t="s">
        <v>2882</v>
      </c>
      <c r="J497" s="28" t="s">
        <v>22</v>
      </c>
      <c r="K497" s="28" t="s">
        <v>2883</v>
      </c>
      <c r="L497" s="28" t="s">
        <v>1832</v>
      </c>
      <c r="M497" s="28" t="s">
        <v>2884</v>
      </c>
      <c r="N497" s="28" t="s">
        <v>2885</v>
      </c>
      <c r="O497" s="28" t="s">
        <v>2886</v>
      </c>
      <c r="P497" s="28" t="s">
        <v>1836</v>
      </c>
    </row>
    <row r="498" spans="1:16" hidden="1" x14ac:dyDescent="0.25">
      <c r="A498" s="28" t="s">
        <v>2887</v>
      </c>
      <c r="B498" s="28" t="s">
        <v>2888</v>
      </c>
      <c r="C498" s="28" t="s">
        <v>1827</v>
      </c>
      <c r="D498" s="28" t="s">
        <v>2879</v>
      </c>
      <c r="E498" s="28" t="s">
        <v>2889</v>
      </c>
      <c r="F498" s="28" t="s">
        <v>21</v>
      </c>
      <c r="G498" s="28" t="s">
        <v>22</v>
      </c>
      <c r="H498" s="28" t="s">
        <v>2881</v>
      </c>
      <c r="I498" s="28" t="s">
        <v>2890</v>
      </c>
      <c r="J498" s="28" t="s">
        <v>22</v>
      </c>
      <c r="K498" s="28" t="s">
        <v>2891</v>
      </c>
      <c r="L498" s="28" t="s">
        <v>1832</v>
      </c>
      <c r="M498" s="28" t="s">
        <v>2892</v>
      </c>
      <c r="N498" s="28" t="s">
        <v>2885</v>
      </c>
      <c r="O498" s="28" t="s">
        <v>2886</v>
      </c>
      <c r="P498" s="28" t="s">
        <v>1836</v>
      </c>
    </row>
    <row r="499" spans="1:16" hidden="1" x14ac:dyDescent="0.25">
      <c r="A499" s="28" t="s">
        <v>2893</v>
      </c>
      <c r="B499" s="28" t="s">
        <v>2894</v>
      </c>
      <c r="C499" s="28" t="s">
        <v>1827</v>
      </c>
      <c r="D499" s="28" t="s">
        <v>2895</v>
      </c>
      <c r="E499" s="28" t="s">
        <v>2896</v>
      </c>
      <c r="F499" s="28" t="s">
        <v>21</v>
      </c>
      <c r="G499" s="28" t="s">
        <v>22</v>
      </c>
      <c r="H499" s="28" t="s">
        <v>2897</v>
      </c>
      <c r="I499" s="28" t="s">
        <v>2898</v>
      </c>
      <c r="J499" s="28" t="s">
        <v>22</v>
      </c>
      <c r="K499" s="28" t="s">
        <v>2899</v>
      </c>
      <c r="L499" s="28" t="s">
        <v>1832</v>
      </c>
      <c r="M499" s="28" t="s">
        <v>2900</v>
      </c>
      <c r="N499" s="28" t="s">
        <v>2901</v>
      </c>
      <c r="O499" s="28" t="s">
        <v>2902</v>
      </c>
      <c r="P499" s="28" t="s">
        <v>1836</v>
      </c>
    </row>
    <row r="500" spans="1:16" hidden="1" x14ac:dyDescent="0.25">
      <c r="A500" s="28" t="s">
        <v>2903</v>
      </c>
      <c r="B500" s="28" t="s">
        <v>2904</v>
      </c>
      <c r="C500" s="28" t="s">
        <v>1827</v>
      </c>
      <c r="D500" s="28" t="s">
        <v>2895</v>
      </c>
      <c r="E500" s="28" t="s">
        <v>2905</v>
      </c>
      <c r="F500" s="28" t="s">
        <v>21</v>
      </c>
      <c r="G500" s="28" t="s">
        <v>22</v>
      </c>
      <c r="H500" s="28" t="s">
        <v>2897</v>
      </c>
      <c r="I500" s="28" t="s">
        <v>2906</v>
      </c>
      <c r="J500" s="28" t="s">
        <v>22</v>
      </c>
      <c r="K500" s="28" t="s">
        <v>2907</v>
      </c>
      <c r="L500" s="28" t="s">
        <v>1832</v>
      </c>
      <c r="M500" s="28" t="s">
        <v>2908</v>
      </c>
      <c r="N500" s="28" t="s">
        <v>2901</v>
      </c>
      <c r="O500" s="28" t="s">
        <v>2902</v>
      </c>
      <c r="P500" s="28" t="s">
        <v>1836</v>
      </c>
    </row>
    <row r="501" spans="1:16" hidden="1" x14ac:dyDescent="0.25">
      <c r="A501" s="28" t="s">
        <v>2909</v>
      </c>
      <c r="B501" s="28" t="s">
        <v>2910</v>
      </c>
      <c r="C501" s="28" t="s">
        <v>1827</v>
      </c>
      <c r="D501" s="28" t="s">
        <v>2895</v>
      </c>
      <c r="E501" s="28" t="s">
        <v>2911</v>
      </c>
      <c r="F501" s="28" t="s">
        <v>21</v>
      </c>
      <c r="G501" s="28" t="s">
        <v>22</v>
      </c>
      <c r="H501" s="28" t="s">
        <v>2897</v>
      </c>
      <c r="I501" s="28" t="s">
        <v>2912</v>
      </c>
      <c r="J501" s="28" t="s">
        <v>22</v>
      </c>
      <c r="K501" s="28" t="s">
        <v>2913</v>
      </c>
      <c r="L501" s="28" t="s">
        <v>1832</v>
      </c>
      <c r="M501" s="28" t="s">
        <v>2914</v>
      </c>
      <c r="N501" s="28" t="s">
        <v>2901</v>
      </c>
      <c r="O501" s="28" t="s">
        <v>2902</v>
      </c>
      <c r="P501" s="28" t="s">
        <v>1836</v>
      </c>
    </row>
    <row r="502" spans="1:16" hidden="1" x14ac:dyDescent="0.25">
      <c r="A502" s="28" t="s">
        <v>2915</v>
      </c>
      <c r="B502" s="28" t="s">
        <v>2916</v>
      </c>
      <c r="C502" s="28" t="s">
        <v>1827</v>
      </c>
      <c r="D502" s="28" t="s">
        <v>2895</v>
      </c>
      <c r="E502" s="28" t="s">
        <v>2917</v>
      </c>
      <c r="F502" s="28" t="s">
        <v>21</v>
      </c>
      <c r="G502" s="28" t="s">
        <v>22</v>
      </c>
      <c r="H502" s="28" t="s">
        <v>2897</v>
      </c>
      <c r="I502" s="28" t="s">
        <v>2918</v>
      </c>
      <c r="J502" s="28" t="s">
        <v>22</v>
      </c>
      <c r="K502" s="28" t="s">
        <v>2777</v>
      </c>
      <c r="L502" s="28" t="s">
        <v>1832</v>
      </c>
      <c r="M502" s="28" t="s">
        <v>2919</v>
      </c>
      <c r="N502" s="28" t="s">
        <v>2901</v>
      </c>
      <c r="O502" s="28" t="s">
        <v>2902</v>
      </c>
      <c r="P502" s="28" t="s">
        <v>1836</v>
      </c>
    </row>
    <row r="503" spans="1:16" hidden="1" x14ac:dyDescent="0.25">
      <c r="A503" s="28" t="s">
        <v>2920</v>
      </c>
      <c r="B503" s="28" t="s">
        <v>2921</v>
      </c>
      <c r="C503" s="28" t="s">
        <v>1827</v>
      </c>
      <c r="D503" s="28" t="s">
        <v>2895</v>
      </c>
      <c r="E503" s="28" t="s">
        <v>2922</v>
      </c>
      <c r="F503" s="28" t="s">
        <v>21</v>
      </c>
      <c r="G503" s="28" t="s">
        <v>22</v>
      </c>
      <c r="H503" s="28" t="s">
        <v>2897</v>
      </c>
      <c r="I503" s="28" t="s">
        <v>2923</v>
      </c>
      <c r="J503" s="28" t="s">
        <v>22</v>
      </c>
      <c r="K503" s="28" t="s">
        <v>2924</v>
      </c>
      <c r="L503" s="28" t="s">
        <v>1832</v>
      </c>
      <c r="M503" s="28" t="s">
        <v>2925</v>
      </c>
      <c r="N503" s="28" t="s">
        <v>2901</v>
      </c>
      <c r="O503" s="28" t="s">
        <v>2902</v>
      </c>
      <c r="P503" s="28" t="s">
        <v>1836</v>
      </c>
    </row>
    <row r="504" spans="1:16" hidden="1" x14ac:dyDescent="0.25">
      <c r="A504" s="28" t="s">
        <v>2926</v>
      </c>
      <c r="B504" s="28" t="s">
        <v>2927</v>
      </c>
      <c r="C504" s="28" t="s">
        <v>1827</v>
      </c>
      <c r="D504" s="28" t="s">
        <v>2895</v>
      </c>
      <c r="E504" s="28" t="s">
        <v>2928</v>
      </c>
      <c r="F504" s="28" t="s">
        <v>21</v>
      </c>
      <c r="G504" s="28" t="s">
        <v>22</v>
      </c>
      <c r="H504" s="28" t="s">
        <v>2897</v>
      </c>
      <c r="I504" s="28" t="s">
        <v>2929</v>
      </c>
      <c r="J504" s="28" t="s">
        <v>22</v>
      </c>
      <c r="K504" s="28" t="s">
        <v>2652</v>
      </c>
      <c r="L504" s="28" t="s">
        <v>1832</v>
      </c>
      <c r="M504" s="28" t="s">
        <v>2930</v>
      </c>
      <c r="N504" s="28" t="s">
        <v>2901</v>
      </c>
      <c r="O504" s="28" t="s">
        <v>2902</v>
      </c>
      <c r="P504" s="28" t="s">
        <v>1836</v>
      </c>
    </row>
    <row r="505" spans="1:16" hidden="1" x14ac:dyDescent="0.25">
      <c r="A505" s="28" t="s">
        <v>2931</v>
      </c>
      <c r="B505" s="28" t="s">
        <v>2932</v>
      </c>
      <c r="C505" s="28" t="s">
        <v>1827</v>
      </c>
      <c r="D505" s="28" t="s">
        <v>2895</v>
      </c>
      <c r="E505" s="28" t="s">
        <v>2933</v>
      </c>
      <c r="F505" s="28" t="s">
        <v>21</v>
      </c>
      <c r="G505" s="28" t="s">
        <v>22</v>
      </c>
      <c r="H505" s="28" t="s">
        <v>2897</v>
      </c>
      <c r="I505" s="28" t="s">
        <v>2934</v>
      </c>
      <c r="J505" s="28" t="s">
        <v>22</v>
      </c>
      <c r="K505" s="28" t="s">
        <v>2652</v>
      </c>
      <c r="L505" s="28" t="s">
        <v>1832</v>
      </c>
      <c r="M505" s="28" t="s">
        <v>2935</v>
      </c>
      <c r="N505" s="28" t="s">
        <v>2901</v>
      </c>
      <c r="O505" s="28" t="s">
        <v>2902</v>
      </c>
      <c r="P505" s="28" t="s">
        <v>1836</v>
      </c>
    </row>
    <row r="506" spans="1:16" hidden="1" x14ac:dyDescent="0.25">
      <c r="A506" s="28" t="s">
        <v>2936</v>
      </c>
      <c r="B506" s="28" t="s">
        <v>2937</v>
      </c>
      <c r="C506" s="28" t="s">
        <v>1827</v>
      </c>
      <c r="D506" s="28" t="s">
        <v>2895</v>
      </c>
      <c r="E506" s="28" t="s">
        <v>2938</v>
      </c>
      <c r="F506" s="28" t="s">
        <v>21</v>
      </c>
      <c r="G506" s="28" t="s">
        <v>22</v>
      </c>
      <c r="H506" s="28" t="s">
        <v>2897</v>
      </c>
      <c r="I506" s="28" t="s">
        <v>2939</v>
      </c>
      <c r="J506" s="28" t="s">
        <v>22</v>
      </c>
      <c r="K506" s="28" t="s">
        <v>2940</v>
      </c>
      <c r="L506" s="28" t="s">
        <v>1832</v>
      </c>
      <c r="M506" s="28" t="s">
        <v>2941</v>
      </c>
      <c r="N506" s="28" t="s">
        <v>2901</v>
      </c>
      <c r="O506" s="28" t="s">
        <v>2902</v>
      </c>
      <c r="P506" s="28" t="s">
        <v>1836</v>
      </c>
    </row>
    <row r="507" spans="1:16" hidden="1" x14ac:dyDescent="0.25">
      <c r="A507" s="28" t="s">
        <v>2942</v>
      </c>
      <c r="B507" s="28" t="s">
        <v>2943</v>
      </c>
      <c r="C507" s="28" t="s">
        <v>1827</v>
      </c>
      <c r="D507" s="28" t="s">
        <v>2895</v>
      </c>
      <c r="E507" s="28" t="s">
        <v>2944</v>
      </c>
      <c r="F507" s="28" t="s">
        <v>21</v>
      </c>
      <c r="G507" s="28" t="s">
        <v>22</v>
      </c>
      <c r="H507" s="28" t="s">
        <v>2897</v>
      </c>
      <c r="I507" s="28" t="s">
        <v>2945</v>
      </c>
      <c r="J507" s="28" t="s">
        <v>22</v>
      </c>
      <c r="K507" s="28" t="s">
        <v>2777</v>
      </c>
      <c r="L507" s="28" t="s">
        <v>1832</v>
      </c>
      <c r="M507" s="28" t="s">
        <v>2946</v>
      </c>
      <c r="N507" s="28" t="s">
        <v>2901</v>
      </c>
      <c r="O507" s="28" t="s">
        <v>2902</v>
      </c>
      <c r="P507" s="28" t="s">
        <v>1836</v>
      </c>
    </row>
    <row r="508" spans="1:16" hidden="1" x14ac:dyDescent="0.25">
      <c r="A508" s="28" t="s">
        <v>2947</v>
      </c>
      <c r="B508" s="28" t="s">
        <v>2948</v>
      </c>
      <c r="C508" s="28" t="s">
        <v>1827</v>
      </c>
      <c r="D508" s="28" t="s">
        <v>1657</v>
      </c>
      <c r="E508" s="28" t="s">
        <v>2949</v>
      </c>
      <c r="F508" s="28" t="s">
        <v>21</v>
      </c>
      <c r="G508" s="28" t="s">
        <v>22</v>
      </c>
      <c r="H508" s="28" t="s">
        <v>2950</v>
      </c>
      <c r="I508" s="28" t="s">
        <v>2951</v>
      </c>
      <c r="J508" s="28" t="s">
        <v>22</v>
      </c>
      <c r="K508" s="28" t="s">
        <v>2952</v>
      </c>
      <c r="L508" s="28" t="s">
        <v>1832</v>
      </c>
      <c r="M508" s="28" t="s">
        <v>2953</v>
      </c>
      <c r="N508" s="28" t="s">
        <v>2954</v>
      </c>
      <c r="O508" s="28" t="s">
        <v>2955</v>
      </c>
      <c r="P508" s="28" t="s">
        <v>1836</v>
      </c>
    </row>
    <row r="509" spans="1:16" hidden="1" x14ac:dyDescent="0.25">
      <c r="A509" s="28" t="s">
        <v>2956</v>
      </c>
      <c r="B509" s="28" t="s">
        <v>2957</v>
      </c>
      <c r="C509" s="28" t="s">
        <v>1827</v>
      </c>
      <c r="D509" s="28" t="s">
        <v>1657</v>
      </c>
      <c r="E509" s="28" t="s">
        <v>2958</v>
      </c>
      <c r="F509" s="28" t="s">
        <v>21</v>
      </c>
      <c r="G509" s="28" t="s">
        <v>22</v>
      </c>
      <c r="H509" s="28" t="s">
        <v>2950</v>
      </c>
      <c r="I509" s="28" t="s">
        <v>2959</v>
      </c>
      <c r="J509" s="28" t="s">
        <v>22</v>
      </c>
      <c r="K509" s="28" t="s">
        <v>2960</v>
      </c>
      <c r="L509" s="28" t="s">
        <v>1832</v>
      </c>
      <c r="M509" s="28" t="s">
        <v>2961</v>
      </c>
      <c r="N509" s="28" t="s">
        <v>2954</v>
      </c>
      <c r="O509" s="28" t="s">
        <v>2955</v>
      </c>
      <c r="P509" s="28" t="s">
        <v>1836</v>
      </c>
    </row>
    <row r="510" spans="1:16" hidden="1" x14ac:dyDescent="0.25">
      <c r="A510" s="28" t="s">
        <v>2962</v>
      </c>
      <c r="B510" s="28" t="s">
        <v>2963</v>
      </c>
      <c r="C510" s="28" t="s">
        <v>1827</v>
      </c>
      <c r="D510" s="28" t="s">
        <v>1318</v>
      </c>
      <c r="E510" s="28" t="s">
        <v>1319</v>
      </c>
      <c r="F510" s="28" t="s">
        <v>21</v>
      </c>
      <c r="G510" s="28" t="s">
        <v>22</v>
      </c>
      <c r="H510" s="28" t="s">
        <v>2964</v>
      </c>
      <c r="I510" s="28" t="s">
        <v>2965</v>
      </c>
      <c r="J510" s="28" t="s">
        <v>22</v>
      </c>
      <c r="K510" s="28" t="s">
        <v>2966</v>
      </c>
      <c r="L510" s="28" t="s">
        <v>1832</v>
      </c>
      <c r="M510" s="28" t="s">
        <v>2967</v>
      </c>
      <c r="N510" s="28" t="s">
        <v>2968</v>
      </c>
      <c r="O510" s="28" t="s">
        <v>2969</v>
      </c>
      <c r="P510" s="28" t="s">
        <v>1836</v>
      </c>
    </row>
    <row r="511" spans="1:16" hidden="1" x14ac:dyDescent="0.25">
      <c r="A511" s="28" t="s">
        <v>2970</v>
      </c>
      <c r="B511" s="28" t="s">
        <v>2971</v>
      </c>
      <c r="C511" s="28" t="s">
        <v>1827</v>
      </c>
      <c r="D511" s="28" t="s">
        <v>1318</v>
      </c>
      <c r="E511" s="28" t="s">
        <v>1319</v>
      </c>
      <c r="F511" s="28" t="s">
        <v>21</v>
      </c>
      <c r="G511" s="28" t="s">
        <v>22</v>
      </c>
      <c r="H511" s="28" t="s">
        <v>2964</v>
      </c>
      <c r="I511" s="28" t="s">
        <v>2972</v>
      </c>
      <c r="J511" s="28" t="s">
        <v>22</v>
      </c>
      <c r="K511" s="28" t="s">
        <v>2973</v>
      </c>
      <c r="L511" s="28" t="s">
        <v>1832</v>
      </c>
      <c r="M511" s="28" t="s">
        <v>2974</v>
      </c>
      <c r="N511" s="28" t="s">
        <v>2968</v>
      </c>
      <c r="O511" s="28" t="s">
        <v>2969</v>
      </c>
      <c r="P511" s="28" t="s">
        <v>1836</v>
      </c>
    </row>
    <row r="512" spans="1:16" hidden="1" x14ac:dyDescent="0.25">
      <c r="A512" s="28" t="s">
        <v>2975</v>
      </c>
      <c r="B512" s="28" t="s">
        <v>2976</v>
      </c>
      <c r="C512" s="28" t="s">
        <v>1827</v>
      </c>
      <c r="D512" s="28" t="s">
        <v>1318</v>
      </c>
      <c r="E512" s="28" t="s">
        <v>1319</v>
      </c>
      <c r="F512" s="28" t="s">
        <v>21</v>
      </c>
      <c r="G512" s="28" t="s">
        <v>22</v>
      </c>
      <c r="H512" s="28" t="s">
        <v>2964</v>
      </c>
      <c r="I512" s="28" t="s">
        <v>2977</v>
      </c>
      <c r="J512" s="28" t="s">
        <v>22</v>
      </c>
      <c r="K512" s="28" t="s">
        <v>2978</v>
      </c>
      <c r="L512" s="28" t="s">
        <v>1832</v>
      </c>
      <c r="M512" s="28" t="s">
        <v>2979</v>
      </c>
      <c r="N512" s="28" t="s">
        <v>2968</v>
      </c>
      <c r="O512" s="28" t="s">
        <v>2969</v>
      </c>
      <c r="P512" s="28" t="s">
        <v>1836</v>
      </c>
    </row>
    <row r="513" spans="1:16" hidden="1" x14ac:dyDescent="0.25">
      <c r="A513" s="28" t="s">
        <v>2980</v>
      </c>
      <c r="B513" s="28" t="s">
        <v>2981</v>
      </c>
      <c r="C513" s="28" t="s">
        <v>1827</v>
      </c>
      <c r="D513" s="28" t="s">
        <v>1318</v>
      </c>
      <c r="E513" s="28" t="s">
        <v>1319</v>
      </c>
      <c r="F513" s="28" t="s">
        <v>21</v>
      </c>
      <c r="G513" s="28" t="s">
        <v>22</v>
      </c>
      <c r="H513" s="28" t="s">
        <v>2964</v>
      </c>
      <c r="I513" s="28" t="s">
        <v>2982</v>
      </c>
      <c r="J513" s="28" t="s">
        <v>22</v>
      </c>
      <c r="K513" s="28" t="s">
        <v>2983</v>
      </c>
      <c r="L513" s="28" t="s">
        <v>1832</v>
      </c>
      <c r="M513" s="28" t="s">
        <v>2984</v>
      </c>
      <c r="N513" s="28" t="s">
        <v>2968</v>
      </c>
      <c r="O513" s="28" t="s">
        <v>2969</v>
      </c>
      <c r="P513" s="28" t="s">
        <v>1836</v>
      </c>
    </row>
    <row r="514" spans="1:16" hidden="1" x14ac:dyDescent="0.25">
      <c r="A514" s="28" t="s">
        <v>2985</v>
      </c>
      <c r="B514" s="28" t="s">
        <v>2986</v>
      </c>
      <c r="C514" s="28" t="s">
        <v>1827</v>
      </c>
      <c r="D514" s="28" t="s">
        <v>1318</v>
      </c>
      <c r="E514" s="28" t="s">
        <v>1319</v>
      </c>
      <c r="F514" s="28" t="s">
        <v>21</v>
      </c>
      <c r="G514" s="28" t="s">
        <v>22</v>
      </c>
      <c r="H514" s="28" t="s">
        <v>2964</v>
      </c>
      <c r="I514" s="28" t="s">
        <v>2987</v>
      </c>
      <c r="J514" s="28" t="s">
        <v>22</v>
      </c>
      <c r="K514" s="28" t="s">
        <v>2988</v>
      </c>
      <c r="L514" s="28" t="s">
        <v>1832</v>
      </c>
      <c r="M514" s="28" t="s">
        <v>2989</v>
      </c>
      <c r="N514" s="28" t="s">
        <v>2968</v>
      </c>
      <c r="O514" s="28" t="s">
        <v>2969</v>
      </c>
      <c r="P514" s="28" t="s">
        <v>1836</v>
      </c>
    </row>
    <row r="515" spans="1:16" hidden="1" x14ac:dyDescent="0.25">
      <c r="A515" s="28" t="s">
        <v>2990</v>
      </c>
      <c r="B515" s="28" t="s">
        <v>2991</v>
      </c>
      <c r="C515" s="28" t="s">
        <v>1827</v>
      </c>
      <c r="D515" s="28" t="s">
        <v>1318</v>
      </c>
      <c r="E515" s="28" t="s">
        <v>1327</v>
      </c>
      <c r="F515" s="28" t="s">
        <v>21</v>
      </c>
      <c r="G515" s="28" t="s">
        <v>22</v>
      </c>
      <c r="H515" s="28" t="s">
        <v>2992</v>
      </c>
      <c r="I515" s="28" t="s">
        <v>2993</v>
      </c>
      <c r="J515" s="28" t="s">
        <v>22</v>
      </c>
      <c r="K515" s="28" t="s">
        <v>2994</v>
      </c>
      <c r="L515" s="28" t="s">
        <v>1832</v>
      </c>
      <c r="M515" s="28" t="s">
        <v>2995</v>
      </c>
      <c r="N515" s="28" t="s">
        <v>2996</v>
      </c>
      <c r="O515" s="28" t="s">
        <v>2997</v>
      </c>
      <c r="P515" s="28" t="s">
        <v>1836</v>
      </c>
    </row>
    <row r="516" spans="1:16" hidden="1" x14ac:dyDescent="0.25">
      <c r="A516" s="28" t="s">
        <v>2998</v>
      </c>
      <c r="B516" s="28" t="s">
        <v>2999</v>
      </c>
      <c r="C516" s="28" t="s">
        <v>1827</v>
      </c>
      <c r="D516" s="28" t="s">
        <v>1318</v>
      </c>
      <c r="E516" s="28" t="s">
        <v>1327</v>
      </c>
      <c r="F516" s="28" t="s">
        <v>21</v>
      </c>
      <c r="G516" s="28" t="s">
        <v>22</v>
      </c>
      <c r="H516" s="28" t="s">
        <v>2992</v>
      </c>
      <c r="I516" s="28" t="s">
        <v>3000</v>
      </c>
      <c r="J516" s="28" t="s">
        <v>22</v>
      </c>
      <c r="K516" s="28" t="s">
        <v>3001</v>
      </c>
      <c r="L516" s="28" t="s">
        <v>1832</v>
      </c>
      <c r="M516" s="28" t="s">
        <v>3002</v>
      </c>
      <c r="N516" s="28" t="s">
        <v>2996</v>
      </c>
      <c r="O516" s="28" t="s">
        <v>2997</v>
      </c>
      <c r="P516" s="28" t="s">
        <v>1836</v>
      </c>
    </row>
    <row r="517" spans="1:16" hidden="1" x14ac:dyDescent="0.25">
      <c r="A517" s="28" t="s">
        <v>3003</v>
      </c>
      <c r="B517" s="28" t="s">
        <v>3004</v>
      </c>
      <c r="C517" s="28" t="s">
        <v>1827</v>
      </c>
      <c r="D517" s="28" t="s">
        <v>1318</v>
      </c>
      <c r="E517" s="28" t="s">
        <v>3005</v>
      </c>
      <c r="F517" s="28" t="s">
        <v>21</v>
      </c>
      <c r="G517" s="28" t="s">
        <v>22</v>
      </c>
      <c r="H517" s="28" t="s">
        <v>3006</v>
      </c>
      <c r="I517" s="28" t="s">
        <v>3007</v>
      </c>
      <c r="J517" s="28" t="s">
        <v>22</v>
      </c>
      <c r="K517" s="28" t="s">
        <v>3008</v>
      </c>
      <c r="L517" s="28" t="s">
        <v>1832</v>
      </c>
      <c r="M517" s="28" t="s">
        <v>3009</v>
      </c>
      <c r="N517" s="28" t="s">
        <v>3010</v>
      </c>
      <c r="O517" s="28" t="s">
        <v>3011</v>
      </c>
      <c r="P517" s="28" t="s">
        <v>3012</v>
      </c>
    </row>
    <row r="518" spans="1:16" hidden="1" x14ac:dyDescent="0.25">
      <c r="A518" s="28" t="s">
        <v>3013</v>
      </c>
      <c r="B518" s="28" t="s">
        <v>3014</v>
      </c>
      <c r="C518" s="28" t="s">
        <v>1827</v>
      </c>
      <c r="D518" s="28" t="s">
        <v>1318</v>
      </c>
      <c r="E518" s="28" t="s">
        <v>3005</v>
      </c>
      <c r="F518" s="28" t="s">
        <v>21</v>
      </c>
      <c r="G518" s="28" t="s">
        <v>22</v>
      </c>
      <c r="H518" s="28" t="s">
        <v>3006</v>
      </c>
      <c r="I518" s="28" t="s">
        <v>3015</v>
      </c>
      <c r="J518" s="28" t="s">
        <v>22</v>
      </c>
      <c r="K518" s="28" t="s">
        <v>3016</v>
      </c>
      <c r="L518" s="28" t="s">
        <v>1832</v>
      </c>
      <c r="M518" s="28" t="s">
        <v>3017</v>
      </c>
      <c r="N518" s="28" t="s">
        <v>3010</v>
      </c>
      <c r="O518" s="28" t="s">
        <v>3011</v>
      </c>
      <c r="P518" s="28" t="s">
        <v>3012</v>
      </c>
    </row>
    <row r="519" spans="1:16" hidden="1" x14ac:dyDescent="0.25">
      <c r="A519" s="28" t="s">
        <v>3018</v>
      </c>
      <c r="B519" s="28" t="s">
        <v>3019</v>
      </c>
      <c r="C519" s="28" t="s">
        <v>1827</v>
      </c>
      <c r="D519" s="28" t="s">
        <v>1318</v>
      </c>
      <c r="E519" s="28" t="s">
        <v>3005</v>
      </c>
      <c r="F519" s="28" t="s">
        <v>21</v>
      </c>
      <c r="G519" s="28" t="s">
        <v>22</v>
      </c>
      <c r="H519" s="28" t="s">
        <v>3006</v>
      </c>
      <c r="I519" s="28" t="s">
        <v>3020</v>
      </c>
      <c r="J519" s="28" t="s">
        <v>22</v>
      </c>
      <c r="K519" s="28" t="s">
        <v>3021</v>
      </c>
      <c r="L519" s="28" t="s">
        <v>1832</v>
      </c>
      <c r="M519" s="28" t="s">
        <v>3022</v>
      </c>
      <c r="N519" s="28" t="s">
        <v>3010</v>
      </c>
      <c r="O519" s="28" t="s">
        <v>3011</v>
      </c>
      <c r="P519" s="28" t="s">
        <v>3012</v>
      </c>
    </row>
    <row r="520" spans="1:16" hidden="1" x14ac:dyDescent="0.25">
      <c r="A520" s="28" t="s">
        <v>3023</v>
      </c>
      <c r="B520" s="28" t="s">
        <v>3024</v>
      </c>
      <c r="C520" s="28" t="s">
        <v>1827</v>
      </c>
      <c r="D520" s="28" t="s">
        <v>1318</v>
      </c>
      <c r="E520" s="28" t="s">
        <v>3005</v>
      </c>
      <c r="F520" s="28" t="s">
        <v>21</v>
      </c>
      <c r="G520" s="28" t="s">
        <v>22</v>
      </c>
      <c r="H520" s="28" t="s">
        <v>3006</v>
      </c>
      <c r="I520" s="28" t="s">
        <v>3025</v>
      </c>
      <c r="J520" s="28" t="s">
        <v>22</v>
      </c>
      <c r="K520" s="28" t="s">
        <v>3026</v>
      </c>
      <c r="L520" s="28" t="s">
        <v>1832</v>
      </c>
      <c r="M520" s="28" t="s">
        <v>3027</v>
      </c>
      <c r="N520" s="28" t="s">
        <v>3010</v>
      </c>
      <c r="O520" s="28" t="s">
        <v>3011</v>
      </c>
      <c r="P520" s="28" t="s">
        <v>3012</v>
      </c>
    </row>
    <row r="521" spans="1:16" hidden="1" x14ac:dyDescent="0.25">
      <c r="A521" s="28" t="s">
        <v>3028</v>
      </c>
      <c r="B521" s="28" t="s">
        <v>3029</v>
      </c>
      <c r="C521" s="28" t="s">
        <v>1827</v>
      </c>
      <c r="D521" s="28" t="s">
        <v>1318</v>
      </c>
      <c r="E521" s="28" t="s">
        <v>3005</v>
      </c>
      <c r="F521" s="28" t="s">
        <v>21</v>
      </c>
      <c r="G521" s="28" t="s">
        <v>22</v>
      </c>
      <c r="H521" s="28" t="s">
        <v>3006</v>
      </c>
      <c r="I521" s="28" t="s">
        <v>3030</v>
      </c>
      <c r="J521" s="28" t="s">
        <v>22</v>
      </c>
      <c r="K521" s="28" t="s">
        <v>3031</v>
      </c>
      <c r="L521" s="28" t="s">
        <v>1832</v>
      </c>
      <c r="M521" s="28" t="s">
        <v>3032</v>
      </c>
      <c r="N521" s="28" t="s">
        <v>3010</v>
      </c>
      <c r="O521" s="28" t="s">
        <v>3011</v>
      </c>
      <c r="P521" s="28" t="s">
        <v>3012</v>
      </c>
    </row>
    <row r="522" spans="1:16" hidden="1" x14ac:dyDescent="0.25">
      <c r="A522" s="28" t="s">
        <v>3033</v>
      </c>
      <c r="B522" s="28" t="s">
        <v>3034</v>
      </c>
      <c r="C522" s="28" t="s">
        <v>1827</v>
      </c>
      <c r="D522" s="28" t="s">
        <v>1318</v>
      </c>
      <c r="E522" s="28" t="s">
        <v>3005</v>
      </c>
      <c r="F522" s="28" t="s">
        <v>21</v>
      </c>
      <c r="G522" s="28" t="s">
        <v>22</v>
      </c>
      <c r="H522" s="28" t="s">
        <v>3006</v>
      </c>
      <c r="I522" s="28" t="s">
        <v>3035</v>
      </c>
      <c r="J522" s="28" t="s">
        <v>22</v>
      </c>
      <c r="K522" s="28" t="s">
        <v>3036</v>
      </c>
      <c r="L522" s="28" t="s">
        <v>1832</v>
      </c>
      <c r="M522" s="28" t="s">
        <v>3037</v>
      </c>
      <c r="N522" s="28" t="s">
        <v>3010</v>
      </c>
      <c r="O522" s="28" t="s">
        <v>3011</v>
      </c>
      <c r="P522" s="28" t="s">
        <v>3012</v>
      </c>
    </row>
    <row r="523" spans="1:16" hidden="1" x14ac:dyDescent="0.25">
      <c r="A523" s="28" t="s">
        <v>3038</v>
      </c>
      <c r="B523" s="28" t="s">
        <v>3039</v>
      </c>
      <c r="C523" s="28" t="s">
        <v>1827</v>
      </c>
      <c r="D523" s="28" t="s">
        <v>1318</v>
      </c>
      <c r="E523" s="28" t="s">
        <v>3005</v>
      </c>
      <c r="F523" s="28" t="s">
        <v>21</v>
      </c>
      <c r="G523" s="28" t="s">
        <v>22</v>
      </c>
      <c r="H523" s="28" t="s">
        <v>3006</v>
      </c>
      <c r="I523" s="28" t="s">
        <v>3040</v>
      </c>
      <c r="J523" s="28" t="s">
        <v>22</v>
      </c>
      <c r="K523" s="28" t="s">
        <v>3041</v>
      </c>
      <c r="L523" s="28" t="s">
        <v>1832</v>
      </c>
      <c r="M523" s="28" t="s">
        <v>3042</v>
      </c>
      <c r="N523" s="28" t="s">
        <v>3010</v>
      </c>
      <c r="O523" s="28" t="s">
        <v>3011</v>
      </c>
      <c r="P523" s="28" t="s">
        <v>3012</v>
      </c>
    </row>
    <row r="524" spans="1:16" hidden="1" x14ac:dyDescent="0.25">
      <c r="A524" s="28" t="s">
        <v>3043</v>
      </c>
      <c r="B524" s="28" t="s">
        <v>3044</v>
      </c>
      <c r="C524" s="28" t="s">
        <v>1827</v>
      </c>
      <c r="D524" s="28" t="s">
        <v>1318</v>
      </c>
      <c r="E524" s="28" t="s">
        <v>3005</v>
      </c>
      <c r="F524" s="28" t="s">
        <v>21</v>
      </c>
      <c r="G524" s="28" t="s">
        <v>22</v>
      </c>
      <c r="H524" s="28" t="s">
        <v>3006</v>
      </c>
      <c r="I524" s="28" t="s">
        <v>3045</v>
      </c>
      <c r="J524" s="28" t="s">
        <v>22</v>
      </c>
      <c r="K524" s="28" t="s">
        <v>3046</v>
      </c>
      <c r="L524" s="28" t="s">
        <v>1832</v>
      </c>
      <c r="M524" s="28" t="s">
        <v>3047</v>
      </c>
      <c r="N524" s="28" t="s">
        <v>3010</v>
      </c>
      <c r="O524" s="28" t="s">
        <v>3011</v>
      </c>
      <c r="P524" s="28" t="s">
        <v>3012</v>
      </c>
    </row>
    <row r="525" spans="1:16" hidden="1" x14ac:dyDescent="0.25">
      <c r="A525" s="28" t="s">
        <v>3048</v>
      </c>
      <c r="B525" s="28" t="s">
        <v>3049</v>
      </c>
      <c r="C525" s="28" t="s">
        <v>1827</v>
      </c>
      <c r="D525" s="28" t="s">
        <v>1318</v>
      </c>
      <c r="E525" s="28" t="s">
        <v>3005</v>
      </c>
      <c r="F525" s="28" t="s">
        <v>21</v>
      </c>
      <c r="G525" s="28" t="s">
        <v>22</v>
      </c>
      <c r="H525" s="28" t="s">
        <v>3006</v>
      </c>
      <c r="I525" s="28" t="s">
        <v>3050</v>
      </c>
      <c r="J525" s="28" t="s">
        <v>22</v>
      </c>
      <c r="K525" s="28" t="s">
        <v>3051</v>
      </c>
      <c r="L525" s="28" t="s">
        <v>1832</v>
      </c>
      <c r="M525" s="28" t="s">
        <v>3052</v>
      </c>
      <c r="N525" s="28" t="s">
        <v>3010</v>
      </c>
      <c r="O525" s="28" t="s">
        <v>3011</v>
      </c>
      <c r="P525" s="28" t="s">
        <v>3012</v>
      </c>
    </row>
    <row r="526" spans="1:16" hidden="1" x14ac:dyDescent="0.25">
      <c r="A526" s="28" t="s">
        <v>3053</v>
      </c>
      <c r="B526" s="28" t="s">
        <v>3054</v>
      </c>
      <c r="C526" s="28" t="s">
        <v>1827</v>
      </c>
      <c r="D526" s="28" t="s">
        <v>1318</v>
      </c>
      <c r="E526" s="28" t="s">
        <v>1343</v>
      </c>
      <c r="F526" s="28" t="s">
        <v>21</v>
      </c>
      <c r="G526" s="28" t="s">
        <v>22</v>
      </c>
      <c r="H526" s="28" t="s">
        <v>3055</v>
      </c>
      <c r="I526" s="28" t="s">
        <v>3056</v>
      </c>
      <c r="J526" s="28" t="s">
        <v>22</v>
      </c>
      <c r="K526" s="28" t="s">
        <v>3057</v>
      </c>
      <c r="L526" s="28" t="s">
        <v>1832</v>
      </c>
      <c r="M526" s="28" t="s">
        <v>3058</v>
      </c>
      <c r="N526" s="28" t="s">
        <v>3059</v>
      </c>
      <c r="O526" s="28" t="s">
        <v>3060</v>
      </c>
      <c r="P526" s="28" t="s">
        <v>3012</v>
      </c>
    </row>
    <row r="527" spans="1:16" hidden="1" x14ac:dyDescent="0.25">
      <c r="A527" s="28" t="s">
        <v>3061</v>
      </c>
      <c r="B527" s="28" t="s">
        <v>3062</v>
      </c>
      <c r="C527" s="28" t="s">
        <v>1827</v>
      </c>
      <c r="D527" s="28" t="s">
        <v>1318</v>
      </c>
      <c r="E527" s="28" t="s">
        <v>1343</v>
      </c>
      <c r="F527" s="28" t="s">
        <v>21</v>
      </c>
      <c r="G527" s="28" t="s">
        <v>22</v>
      </c>
      <c r="H527" s="28" t="s">
        <v>3055</v>
      </c>
      <c r="I527" s="28" t="s">
        <v>3063</v>
      </c>
      <c r="J527" s="28" t="s">
        <v>22</v>
      </c>
      <c r="K527" s="28" t="s">
        <v>3064</v>
      </c>
      <c r="L527" s="28" t="s">
        <v>1832</v>
      </c>
      <c r="M527" s="28" t="s">
        <v>3065</v>
      </c>
      <c r="N527" s="28" t="s">
        <v>3059</v>
      </c>
      <c r="O527" s="28" t="s">
        <v>3060</v>
      </c>
      <c r="P527" s="28" t="s">
        <v>3012</v>
      </c>
    </row>
    <row r="528" spans="1:16" hidden="1" x14ac:dyDescent="0.25">
      <c r="A528" s="28" t="s">
        <v>3066</v>
      </c>
      <c r="B528" s="28" t="s">
        <v>3067</v>
      </c>
      <c r="C528" s="28" t="s">
        <v>1827</v>
      </c>
      <c r="D528" s="28" t="s">
        <v>3068</v>
      </c>
      <c r="E528" s="28" t="s">
        <v>3069</v>
      </c>
      <c r="F528" s="28" t="s">
        <v>21</v>
      </c>
      <c r="G528" s="28" t="s">
        <v>22</v>
      </c>
      <c r="H528" s="28" t="s">
        <v>3070</v>
      </c>
      <c r="I528" s="28" t="s">
        <v>3071</v>
      </c>
      <c r="J528" s="28" t="s">
        <v>22</v>
      </c>
      <c r="K528" s="28" t="s">
        <v>3072</v>
      </c>
      <c r="L528" s="28" t="s">
        <v>1832</v>
      </c>
      <c r="M528" s="28" t="s">
        <v>3073</v>
      </c>
      <c r="N528" s="28" t="s">
        <v>3074</v>
      </c>
      <c r="O528" s="28" t="s">
        <v>3075</v>
      </c>
      <c r="P528" s="28" t="s">
        <v>1836</v>
      </c>
    </row>
    <row r="529" spans="1:16" hidden="1" x14ac:dyDescent="0.25">
      <c r="A529" s="28" t="s">
        <v>3076</v>
      </c>
      <c r="B529" s="28" t="s">
        <v>3077</v>
      </c>
      <c r="C529" s="28" t="s">
        <v>1827</v>
      </c>
      <c r="D529" s="28" t="s">
        <v>3068</v>
      </c>
      <c r="E529" s="28" t="s">
        <v>3078</v>
      </c>
      <c r="F529" s="28" t="s">
        <v>21</v>
      </c>
      <c r="G529" s="28" t="s">
        <v>22</v>
      </c>
      <c r="H529" s="28" t="s">
        <v>3070</v>
      </c>
      <c r="I529" s="28" t="s">
        <v>3079</v>
      </c>
      <c r="J529" s="28" t="s">
        <v>22</v>
      </c>
      <c r="K529" s="28" t="s">
        <v>3080</v>
      </c>
      <c r="L529" s="28" t="s">
        <v>1832</v>
      </c>
      <c r="M529" s="28" t="s">
        <v>3081</v>
      </c>
      <c r="N529" s="28" t="s">
        <v>3074</v>
      </c>
      <c r="O529" s="28" t="s">
        <v>3075</v>
      </c>
      <c r="P529" s="28" t="s">
        <v>1836</v>
      </c>
    </row>
    <row r="530" spans="1:16" hidden="1" x14ac:dyDescent="0.25">
      <c r="A530" s="28" t="s">
        <v>3082</v>
      </c>
      <c r="B530" s="28" t="s">
        <v>3083</v>
      </c>
      <c r="C530" s="28" t="s">
        <v>1827</v>
      </c>
      <c r="D530" s="28" t="s">
        <v>3068</v>
      </c>
      <c r="E530" s="28" t="s">
        <v>3084</v>
      </c>
      <c r="F530" s="28" t="s">
        <v>21</v>
      </c>
      <c r="G530" s="28" t="s">
        <v>22</v>
      </c>
      <c r="H530" s="28" t="s">
        <v>3070</v>
      </c>
      <c r="I530" s="28" t="s">
        <v>3085</v>
      </c>
      <c r="J530" s="28" t="s">
        <v>22</v>
      </c>
      <c r="K530" s="28" t="s">
        <v>3086</v>
      </c>
      <c r="L530" s="28" t="s">
        <v>1832</v>
      </c>
      <c r="M530" s="28" t="s">
        <v>3087</v>
      </c>
      <c r="N530" s="28" t="s">
        <v>3074</v>
      </c>
      <c r="O530" s="28" t="s">
        <v>3075</v>
      </c>
      <c r="P530" s="28" t="s">
        <v>1836</v>
      </c>
    </row>
    <row r="531" spans="1:16" hidden="1" x14ac:dyDescent="0.25">
      <c r="A531" s="28" t="s">
        <v>3088</v>
      </c>
      <c r="B531" s="28" t="s">
        <v>3089</v>
      </c>
      <c r="C531" s="28" t="s">
        <v>1827</v>
      </c>
      <c r="D531" s="28" t="s">
        <v>3068</v>
      </c>
      <c r="E531" s="28" t="s">
        <v>3090</v>
      </c>
      <c r="F531" s="28" t="s">
        <v>21</v>
      </c>
      <c r="G531" s="28" t="s">
        <v>22</v>
      </c>
      <c r="H531" s="28" t="s">
        <v>3070</v>
      </c>
      <c r="I531" s="28" t="s">
        <v>3091</v>
      </c>
      <c r="J531" s="28" t="s">
        <v>22</v>
      </c>
      <c r="K531" s="28" t="s">
        <v>3092</v>
      </c>
      <c r="L531" s="28" t="s">
        <v>1832</v>
      </c>
      <c r="M531" s="28" t="s">
        <v>3093</v>
      </c>
      <c r="N531" s="28" t="s">
        <v>3074</v>
      </c>
      <c r="O531" s="28" t="s">
        <v>3075</v>
      </c>
      <c r="P531" s="28" t="s">
        <v>1836</v>
      </c>
    </row>
    <row r="532" spans="1:16" hidden="1" x14ac:dyDescent="0.25">
      <c r="A532" s="28" t="s">
        <v>3094</v>
      </c>
      <c r="B532" s="28" t="s">
        <v>3095</v>
      </c>
      <c r="C532" s="28" t="s">
        <v>1827</v>
      </c>
      <c r="D532" s="28" t="s">
        <v>3068</v>
      </c>
      <c r="E532" s="28" t="s">
        <v>3096</v>
      </c>
      <c r="F532" s="28" t="s">
        <v>21</v>
      </c>
      <c r="G532" s="28" t="s">
        <v>22</v>
      </c>
      <c r="H532" s="28" t="s">
        <v>3070</v>
      </c>
      <c r="I532" s="28" t="s">
        <v>3097</v>
      </c>
      <c r="J532" s="28" t="s">
        <v>22</v>
      </c>
      <c r="K532" s="28" t="s">
        <v>3098</v>
      </c>
      <c r="L532" s="28" t="s">
        <v>1832</v>
      </c>
      <c r="M532" s="28" t="s">
        <v>3099</v>
      </c>
      <c r="N532" s="28" t="s">
        <v>3074</v>
      </c>
      <c r="O532" s="28" t="s">
        <v>3075</v>
      </c>
      <c r="P532" s="28" t="s">
        <v>1836</v>
      </c>
    </row>
    <row r="533" spans="1:16" hidden="1" x14ac:dyDescent="0.25">
      <c r="A533" s="28" t="s">
        <v>3100</v>
      </c>
      <c r="B533" s="28" t="s">
        <v>3101</v>
      </c>
      <c r="C533" s="28" t="s">
        <v>1827</v>
      </c>
      <c r="D533" s="28" t="s">
        <v>3068</v>
      </c>
      <c r="E533" s="28" t="s">
        <v>3102</v>
      </c>
      <c r="F533" s="28" t="s">
        <v>21</v>
      </c>
      <c r="G533" s="28" t="s">
        <v>22</v>
      </c>
      <c r="H533" s="28" t="s">
        <v>3070</v>
      </c>
      <c r="I533" s="28" t="s">
        <v>3103</v>
      </c>
      <c r="J533" s="28" t="s">
        <v>22</v>
      </c>
      <c r="K533" s="28" t="s">
        <v>3104</v>
      </c>
      <c r="L533" s="28" t="s">
        <v>1832</v>
      </c>
      <c r="M533" s="28" t="s">
        <v>3105</v>
      </c>
      <c r="N533" s="28" t="s">
        <v>3074</v>
      </c>
      <c r="O533" s="28" t="s">
        <v>3075</v>
      </c>
      <c r="P533" s="28" t="s">
        <v>1836</v>
      </c>
    </row>
    <row r="534" spans="1:16" hidden="1" x14ac:dyDescent="0.25">
      <c r="A534" s="28" t="s">
        <v>3106</v>
      </c>
      <c r="B534" s="28" t="s">
        <v>3107</v>
      </c>
      <c r="C534" s="28" t="s">
        <v>1827</v>
      </c>
      <c r="D534" s="28" t="s">
        <v>3068</v>
      </c>
      <c r="E534" s="28" t="s">
        <v>3108</v>
      </c>
      <c r="F534" s="28" t="s">
        <v>21</v>
      </c>
      <c r="G534" s="28" t="s">
        <v>22</v>
      </c>
      <c r="H534" s="28" t="s">
        <v>3070</v>
      </c>
      <c r="I534" s="28" t="s">
        <v>3109</v>
      </c>
      <c r="J534" s="28" t="s">
        <v>22</v>
      </c>
      <c r="K534" s="28" t="s">
        <v>3110</v>
      </c>
      <c r="L534" s="28" t="s">
        <v>1832</v>
      </c>
      <c r="M534" s="28" t="s">
        <v>3111</v>
      </c>
      <c r="N534" s="28" t="s">
        <v>3074</v>
      </c>
      <c r="O534" s="28" t="s">
        <v>3075</v>
      </c>
      <c r="P534" s="28" t="s">
        <v>1836</v>
      </c>
    </row>
    <row r="535" spans="1:16" hidden="1" x14ac:dyDescent="0.25">
      <c r="A535" s="28" t="s">
        <v>3112</v>
      </c>
      <c r="B535" s="28" t="s">
        <v>3113</v>
      </c>
      <c r="C535" s="28" t="s">
        <v>1827</v>
      </c>
      <c r="D535" s="28" t="s">
        <v>3068</v>
      </c>
      <c r="E535" s="28" t="s">
        <v>3114</v>
      </c>
      <c r="F535" s="28" t="s">
        <v>21</v>
      </c>
      <c r="G535" s="28" t="s">
        <v>22</v>
      </c>
      <c r="H535" s="28" t="s">
        <v>3070</v>
      </c>
      <c r="I535" s="28" t="s">
        <v>3115</v>
      </c>
      <c r="J535" s="28" t="s">
        <v>22</v>
      </c>
      <c r="K535" s="28" t="s">
        <v>3116</v>
      </c>
      <c r="L535" s="28" t="s">
        <v>1832</v>
      </c>
      <c r="M535" s="28" t="s">
        <v>3117</v>
      </c>
      <c r="N535" s="28" t="s">
        <v>3074</v>
      </c>
      <c r="O535" s="28" t="s">
        <v>3075</v>
      </c>
      <c r="P535" s="28" t="s">
        <v>1836</v>
      </c>
    </row>
    <row r="536" spans="1:16" hidden="1" x14ac:dyDescent="0.25">
      <c r="A536" s="28" t="s">
        <v>3118</v>
      </c>
      <c r="B536" s="28" t="s">
        <v>3119</v>
      </c>
      <c r="C536" s="28" t="s">
        <v>1827</v>
      </c>
      <c r="D536" s="28" t="s">
        <v>3068</v>
      </c>
      <c r="E536" s="28" t="s">
        <v>3120</v>
      </c>
      <c r="F536" s="28" t="s">
        <v>21</v>
      </c>
      <c r="G536" s="28" t="s">
        <v>22</v>
      </c>
      <c r="H536" s="28" t="s">
        <v>3070</v>
      </c>
      <c r="I536" s="28" t="s">
        <v>3121</v>
      </c>
      <c r="J536" s="28" t="s">
        <v>22</v>
      </c>
      <c r="K536" s="28" t="s">
        <v>3122</v>
      </c>
      <c r="L536" s="28" t="s">
        <v>1832</v>
      </c>
      <c r="M536" s="28" t="s">
        <v>3123</v>
      </c>
      <c r="N536" s="28" t="s">
        <v>3074</v>
      </c>
      <c r="O536" s="28" t="s">
        <v>3075</v>
      </c>
      <c r="P536" s="28" t="s">
        <v>1836</v>
      </c>
    </row>
    <row r="537" spans="1:16" hidden="1" x14ac:dyDescent="0.25">
      <c r="A537" s="28" t="s">
        <v>3124</v>
      </c>
      <c r="B537" s="28" t="s">
        <v>3125</v>
      </c>
      <c r="C537" s="28" t="s">
        <v>1827</v>
      </c>
      <c r="D537" s="28" t="s">
        <v>3068</v>
      </c>
      <c r="E537" s="28" t="s">
        <v>3126</v>
      </c>
      <c r="F537" s="28" t="s">
        <v>21</v>
      </c>
      <c r="G537" s="28" t="s">
        <v>22</v>
      </c>
      <c r="H537" s="28" t="s">
        <v>3070</v>
      </c>
      <c r="I537" s="28" t="s">
        <v>3127</v>
      </c>
      <c r="J537" s="28" t="s">
        <v>22</v>
      </c>
      <c r="K537" s="28" t="s">
        <v>3116</v>
      </c>
      <c r="L537" s="28" t="s">
        <v>1832</v>
      </c>
      <c r="M537" s="28" t="s">
        <v>3128</v>
      </c>
      <c r="N537" s="28" t="s">
        <v>3074</v>
      </c>
      <c r="O537" s="28" t="s">
        <v>3075</v>
      </c>
      <c r="P537" s="28" t="s">
        <v>1836</v>
      </c>
    </row>
    <row r="538" spans="1:16" hidden="1" x14ac:dyDescent="0.25">
      <c r="A538" s="28" t="s">
        <v>3129</v>
      </c>
      <c r="B538" s="28" t="s">
        <v>3130</v>
      </c>
      <c r="C538" s="28" t="s">
        <v>1827</v>
      </c>
      <c r="D538" s="28" t="s">
        <v>3068</v>
      </c>
      <c r="E538" s="28" t="s">
        <v>3131</v>
      </c>
      <c r="F538" s="28" t="s">
        <v>21</v>
      </c>
      <c r="G538" s="28" t="s">
        <v>22</v>
      </c>
      <c r="H538" s="28" t="s">
        <v>3070</v>
      </c>
      <c r="I538" s="28" t="s">
        <v>3132</v>
      </c>
      <c r="J538" s="28" t="s">
        <v>22</v>
      </c>
      <c r="K538" s="28" t="s">
        <v>3133</v>
      </c>
      <c r="L538" s="28" t="s">
        <v>1832</v>
      </c>
      <c r="M538" s="28" t="s">
        <v>3134</v>
      </c>
      <c r="N538" s="28" t="s">
        <v>3074</v>
      </c>
      <c r="O538" s="28" t="s">
        <v>3075</v>
      </c>
      <c r="P538" s="28" t="s">
        <v>1836</v>
      </c>
    </row>
    <row r="539" spans="1:16" hidden="1" x14ac:dyDescent="0.25">
      <c r="A539" s="28" t="s">
        <v>3135</v>
      </c>
      <c r="B539" s="28" t="s">
        <v>3136</v>
      </c>
      <c r="C539" s="28" t="s">
        <v>1827</v>
      </c>
      <c r="D539" s="28" t="s">
        <v>3068</v>
      </c>
      <c r="E539" s="28" t="s">
        <v>3137</v>
      </c>
      <c r="F539" s="28" t="s">
        <v>21</v>
      </c>
      <c r="G539" s="28" t="s">
        <v>22</v>
      </c>
      <c r="H539" s="28" t="s">
        <v>3070</v>
      </c>
      <c r="I539" s="28" t="s">
        <v>3138</v>
      </c>
      <c r="J539" s="28" t="s">
        <v>22</v>
      </c>
      <c r="K539" s="28" t="s">
        <v>3139</v>
      </c>
      <c r="L539" s="28" t="s">
        <v>1832</v>
      </c>
      <c r="M539" s="28" t="s">
        <v>3140</v>
      </c>
      <c r="N539" s="28" t="s">
        <v>3074</v>
      </c>
      <c r="O539" s="28" t="s">
        <v>3075</v>
      </c>
      <c r="P539" s="28" t="s">
        <v>1836</v>
      </c>
    </row>
    <row r="540" spans="1:16" hidden="1" x14ac:dyDescent="0.25">
      <c r="A540" s="28" t="s">
        <v>3141</v>
      </c>
      <c r="B540" s="28" t="s">
        <v>3142</v>
      </c>
      <c r="C540" s="28" t="s">
        <v>1827</v>
      </c>
      <c r="D540" s="28" t="s">
        <v>3068</v>
      </c>
      <c r="E540" s="28" t="s">
        <v>3143</v>
      </c>
      <c r="F540" s="28" t="s">
        <v>21</v>
      </c>
      <c r="G540" s="28" t="s">
        <v>22</v>
      </c>
      <c r="H540" s="28" t="s">
        <v>3070</v>
      </c>
      <c r="I540" s="28" t="s">
        <v>3144</v>
      </c>
      <c r="J540" s="28" t="s">
        <v>22</v>
      </c>
      <c r="K540" s="28" t="s">
        <v>3145</v>
      </c>
      <c r="L540" s="28" t="s">
        <v>1832</v>
      </c>
      <c r="M540" s="28" t="s">
        <v>3146</v>
      </c>
      <c r="N540" s="28" t="s">
        <v>3074</v>
      </c>
      <c r="O540" s="28" t="s">
        <v>3075</v>
      </c>
      <c r="P540" s="28" t="s">
        <v>1836</v>
      </c>
    </row>
    <row r="541" spans="1:16" hidden="1" x14ac:dyDescent="0.25">
      <c r="A541" s="28" t="s">
        <v>3147</v>
      </c>
      <c r="B541" s="28" t="s">
        <v>3148</v>
      </c>
      <c r="C541" s="28" t="s">
        <v>1827</v>
      </c>
      <c r="D541" s="28" t="s">
        <v>3068</v>
      </c>
      <c r="E541" s="28" t="s">
        <v>3143</v>
      </c>
      <c r="F541" s="28" t="s">
        <v>21</v>
      </c>
      <c r="G541" s="28" t="s">
        <v>22</v>
      </c>
      <c r="H541" s="28" t="s">
        <v>3070</v>
      </c>
      <c r="I541" s="28" t="s">
        <v>3149</v>
      </c>
      <c r="J541" s="28" t="s">
        <v>22</v>
      </c>
      <c r="K541" s="28" t="s">
        <v>3150</v>
      </c>
      <c r="L541" s="28" t="s">
        <v>1832</v>
      </c>
      <c r="M541" s="28" t="s">
        <v>3151</v>
      </c>
      <c r="N541" s="28" t="s">
        <v>3074</v>
      </c>
      <c r="O541" s="28" t="s">
        <v>3075</v>
      </c>
      <c r="P541" s="28" t="s">
        <v>1836</v>
      </c>
    </row>
    <row r="542" spans="1:16" hidden="1" x14ac:dyDescent="0.25">
      <c r="A542" s="28" t="s">
        <v>3152</v>
      </c>
      <c r="B542" s="28" t="s">
        <v>3153</v>
      </c>
      <c r="C542" s="28" t="s">
        <v>1827</v>
      </c>
      <c r="D542" s="28" t="s">
        <v>3068</v>
      </c>
      <c r="E542" s="28" t="s">
        <v>3154</v>
      </c>
      <c r="F542" s="28" t="s">
        <v>21</v>
      </c>
      <c r="G542" s="28" t="s">
        <v>22</v>
      </c>
      <c r="H542" s="28" t="s">
        <v>3070</v>
      </c>
      <c r="I542" s="28" t="s">
        <v>3155</v>
      </c>
      <c r="J542" s="28" t="s">
        <v>22</v>
      </c>
      <c r="K542" s="28" t="s">
        <v>3156</v>
      </c>
      <c r="L542" s="28" t="s">
        <v>1832</v>
      </c>
      <c r="M542" s="28" t="s">
        <v>3157</v>
      </c>
      <c r="N542" s="28" t="s">
        <v>3074</v>
      </c>
      <c r="O542" s="28" t="s">
        <v>3075</v>
      </c>
      <c r="P542" s="28" t="s">
        <v>1836</v>
      </c>
    </row>
    <row r="543" spans="1:16" hidden="1" x14ac:dyDescent="0.25">
      <c r="A543" s="28" t="s">
        <v>3158</v>
      </c>
      <c r="B543" s="28" t="s">
        <v>3159</v>
      </c>
      <c r="C543" s="28" t="s">
        <v>1827</v>
      </c>
      <c r="D543" s="28" t="s">
        <v>3068</v>
      </c>
      <c r="E543" s="28" t="s">
        <v>3160</v>
      </c>
      <c r="F543" s="28" t="s">
        <v>21</v>
      </c>
      <c r="G543" s="28" t="s">
        <v>22</v>
      </c>
      <c r="H543" s="28" t="s">
        <v>3070</v>
      </c>
      <c r="I543" s="28" t="s">
        <v>3161</v>
      </c>
      <c r="J543" s="28" t="s">
        <v>22</v>
      </c>
      <c r="K543" s="28" t="s">
        <v>3162</v>
      </c>
      <c r="L543" s="28" t="s">
        <v>1832</v>
      </c>
      <c r="M543" s="28" t="s">
        <v>3163</v>
      </c>
      <c r="N543" s="28" t="s">
        <v>3074</v>
      </c>
      <c r="O543" s="28" t="s">
        <v>3075</v>
      </c>
      <c r="P543" s="28" t="s">
        <v>1836</v>
      </c>
    </row>
    <row r="544" spans="1:16" hidden="1" x14ac:dyDescent="0.25">
      <c r="A544" s="28" t="s">
        <v>3164</v>
      </c>
      <c r="B544" s="28" t="s">
        <v>3165</v>
      </c>
      <c r="C544" s="28" t="s">
        <v>1827</v>
      </c>
      <c r="D544" s="28" t="s">
        <v>3068</v>
      </c>
      <c r="E544" s="28" t="s">
        <v>3166</v>
      </c>
      <c r="F544" s="28" t="s">
        <v>21</v>
      </c>
      <c r="G544" s="28" t="s">
        <v>22</v>
      </c>
      <c r="H544" s="28" t="s">
        <v>3070</v>
      </c>
      <c r="I544" s="28" t="s">
        <v>3167</v>
      </c>
      <c r="J544" s="28" t="s">
        <v>22</v>
      </c>
      <c r="K544" s="28" t="s">
        <v>3168</v>
      </c>
      <c r="L544" s="28" t="s">
        <v>1832</v>
      </c>
      <c r="M544" s="28" t="s">
        <v>3169</v>
      </c>
      <c r="N544" s="28" t="s">
        <v>3074</v>
      </c>
      <c r="O544" s="28" t="s">
        <v>3075</v>
      </c>
      <c r="P544" s="28" t="s">
        <v>1836</v>
      </c>
    </row>
    <row r="545" spans="1:16" hidden="1" x14ac:dyDescent="0.25">
      <c r="A545" s="28" t="s">
        <v>3170</v>
      </c>
      <c r="B545" s="28" t="s">
        <v>3171</v>
      </c>
      <c r="C545" s="28" t="s">
        <v>1827</v>
      </c>
      <c r="D545" s="28" t="s">
        <v>3068</v>
      </c>
      <c r="E545" s="28" t="s">
        <v>3172</v>
      </c>
      <c r="F545" s="28" t="s">
        <v>21</v>
      </c>
      <c r="G545" s="28" t="s">
        <v>22</v>
      </c>
      <c r="H545" s="28" t="s">
        <v>3070</v>
      </c>
      <c r="I545" s="28" t="s">
        <v>3173</v>
      </c>
      <c r="J545" s="28" t="s">
        <v>22</v>
      </c>
      <c r="K545" s="28" t="s">
        <v>3174</v>
      </c>
      <c r="L545" s="28" t="s">
        <v>1832</v>
      </c>
      <c r="M545" s="28" t="s">
        <v>3175</v>
      </c>
      <c r="N545" s="28" t="s">
        <v>3074</v>
      </c>
      <c r="O545" s="28" t="s">
        <v>3075</v>
      </c>
      <c r="P545" s="28" t="s">
        <v>1836</v>
      </c>
    </row>
    <row r="546" spans="1:16" hidden="1" x14ac:dyDescent="0.25">
      <c r="A546" s="28" t="s">
        <v>3176</v>
      </c>
      <c r="B546" s="28" t="s">
        <v>3177</v>
      </c>
      <c r="C546" s="28" t="s">
        <v>1827</v>
      </c>
      <c r="D546" s="28" t="s">
        <v>3068</v>
      </c>
      <c r="E546" s="28" t="s">
        <v>3172</v>
      </c>
      <c r="F546" s="28" t="s">
        <v>21</v>
      </c>
      <c r="G546" s="28" t="s">
        <v>22</v>
      </c>
      <c r="H546" s="28" t="s">
        <v>3070</v>
      </c>
      <c r="I546" s="28" t="s">
        <v>3178</v>
      </c>
      <c r="J546" s="28" t="s">
        <v>22</v>
      </c>
      <c r="K546" s="28" t="s">
        <v>3179</v>
      </c>
      <c r="L546" s="28" t="s">
        <v>1832</v>
      </c>
      <c r="M546" s="28" t="s">
        <v>3180</v>
      </c>
      <c r="N546" s="28" t="s">
        <v>3074</v>
      </c>
      <c r="O546" s="28" t="s">
        <v>3075</v>
      </c>
      <c r="P546" s="28" t="s">
        <v>1836</v>
      </c>
    </row>
    <row r="547" spans="1:16" hidden="1" x14ac:dyDescent="0.25">
      <c r="A547" s="28" t="s">
        <v>3181</v>
      </c>
      <c r="B547" s="28" t="s">
        <v>3182</v>
      </c>
      <c r="C547" s="28" t="s">
        <v>1827</v>
      </c>
      <c r="D547" s="28" t="s">
        <v>3068</v>
      </c>
      <c r="E547" s="28" t="s">
        <v>3172</v>
      </c>
      <c r="F547" s="28" t="s">
        <v>21</v>
      </c>
      <c r="G547" s="28" t="s">
        <v>22</v>
      </c>
      <c r="H547" s="28" t="s">
        <v>3070</v>
      </c>
      <c r="I547" s="28" t="s">
        <v>3183</v>
      </c>
      <c r="J547" s="28" t="s">
        <v>22</v>
      </c>
      <c r="K547" s="28" t="s">
        <v>3184</v>
      </c>
      <c r="L547" s="28" t="s">
        <v>1832</v>
      </c>
      <c r="M547" s="28" t="s">
        <v>3185</v>
      </c>
      <c r="N547" s="28" t="s">
        <v>3074</v>
      </c>
      <c r="O547" s="28" t="s">
        <v>3075</v>
      </c>
      <c r="P547" s="28" t="s">
        <v>1836</v>
      </c>
    </row>
    <row r="548" spans="1:16" hidden="1" x14ac:dyDescent="0.25">
      <c r="A548" s="28" t="s">
        <v>3186</v>
      </c>
      <c r="B548" s="28" t="s">
        <v>3187</v>
      </c>
      <c r="C548" s="28" t="s">
        <v>1827</v>
      </c>
      <c r="D548" s="28" t="s">
        <v>3068</v>
      </c>
      <c r="E548" s="28" t="s">
        <v>3188</v>
      </c>
      <c r="F548" s="28" t="s">
        <v>21</v>
      </c>
      <c r="G548" s="28" t="s">
        <v>22</v>
      </c>
      <c r="H548" s="28" t="s">
        <v>3070</v>
      </c>
      <c r="I548" s="28" t="s">
        <v>3189</v>
      </c>
      <c r="J548" s="28" t="s">
        <v>22</v>
      </c>
      <c r="K548" s="28" t="s">
        <v>3190</v>
      </c>
      <c r="L548" s="28" t="s">
        <v>1832</v>
      </c>
      <c r="M548" s="28" t="s">
        <v>3191</v>
      </c>
      <c r="N548" s="28" t="s">
        <v>3074</v>
      </c>
      <c r="O548" s="28" t="s">
        <v>3075</v>
      </c>
      <c r="P548" s="28" t="s">
        <v>1836</v>
      </c>
    </row>
    <row r="549" spans="1:16" hidden="1" x14ac:dyDescent="0.25">
      <c r="A549" s="28" t="s">
        <v>3192</v>
      </c>
      <c r="B549" s="28" t="s">
        <v>3193</v>
      </c>
      <c r="C549" s="28" t="s">
        <v>1827</v>
      </c>
      <c r="D549" s="28" t="s">
        <v>3068</v>
      </c>
      <c r="E549" s="28" t="s">
        <v>3194</v>
      </c>
      <c r="F549" s="28" t="s">
        <v>21</v>
      </c>
      <c r="G549" s="28" t="s">
        <v>22</v>
      </c>
      <c r="H549" s="28" t="s">
        <v>3070</v>
      </c>
      <c r="I549" s="28" t="s">
        <v>3195</v>
      </c>
      <c r="J549" s="28" t="s">
        <v>22</v>
      </c>
      <c r="K549" s="28" t="s">
        <v>3196</v>
      </c>
      <c r="L549" s="28" t="s">
        <v>1832</v>
      </c>
      <c r="M549" s="28" t="s">
        <v>3197</v>
      </c>
      <c r="N549" s="28" t="s">
        <v>3074</v>
      </c>
      <c r="O549" s="28" t="s">
        <v>3075</v>
      </c>
      <c r="P549" s="28" t="s">
        <v>1836</v>
      </c>
    </row>
    <row r="550" spans="1:16" hidden="1" x14ac:dyDescent="0.25">
      <c r="A550" s="28" t="s">
        <v>3198</v>
      </c>
      <c r="B550" s="28" t="s">
        <v>3199</v>
      </c>
      <c r="C550" s="28" t="s">
        <v>1827</v>
      </c>
      <c r="D550" s="28" t="s">
        <v>3068</v>
      </c>
      <c r="E550" s="28" t="s">
        <v>3200</v>
      </c>
      <c r="F550" s="28" t="s">
        <v>21</v>
      </c>
      <c r="G550" s="28" t="s">
        <v>22</v>
      </c>
      <c r="H550" s="28" t="s">
        <v>3070</v>
      </c>
      <c r="I550" s="28" t="s">
        <v>3201</v>
      </c>
      <c r="J550" s="28" t="s">
        <v>22</v>
      </c>
      <c r="K550" s="28" t="s">
        <v>3202</v>
      </c>
      <c r="L550" s="28" t="s">
        <v>1832</v>
      </c>
      <c r="M550" s="28" t="s">
        <v>3203</v>
      </c>
      <c r="N550" s="28" t="s">
        <v>3074</v>
      </c>
      <c r="O550" s="28" t="s">
        <v>3075</v>
      </c>
      <c r="P550" s="28" t="s">
        <v>1836</v>
      </c>
    </row>
    <row r="551" spans="1:16" hidden="1" x14ac:dyDescent="0.25">
      <c r="A551" s="28" t="s">
        <v>3204</v>
      </c>
      <c r="B551" s="28" t="s">
        <v>3205</v>
      </c>
      <c r="C551" s="28" t="s">
        <v>1827</v>
      </c>
      <c r="D551" s="28" t="s">
        <v>3206</v>
      </c>
      <c r="E551" s="28" t="s">
        <v>3207</v>
      </c>
      <c r="F551" s="28" t="s">
        <v>21</v>
      </c>
      <c r="G551" s="28" t="s">
        <v>22</v>
      </c>
      <c r="H551" s="28" t="s">
        <v>3208</v>
      </c>
      <c r="I551" s="28" t="s">
        <v>3209</v>
      </c>
      <c r="J551" s="28" t="s">
        <v>22</v>
      </c>
      <c r="K551" s="28" t="s">
        <v>3210</v>
      </c>
      <c r="L551" s="28" t="s">
        <v>1832</v>
      </c>
      <c r="M551" s="28" t="s">
        <v>3211</v>
      </c>
      <c r="N551" s="28" t="s">
        <v>3212</v>
      </c>
      <c r="O551" s="28" t="s">
        <v>3213</v>
      </c>
      <c r="P551" s="28" t="s">
        <v>1836</v>
      </c>
    </row>
    <row r="552" spans="1:16" hidden="1" x14ac:dyDescent="0.25">
      <c r="A552" s="28" t="s">
        <v>3214</v>
      </c>
      <c r="B552" s="28" t="s">
        <v>3215</v>
      </c>
      <c r="C552" s="28" t="s">
        <v>1827</v>
      </c>
      <c r="D552" s="28" t="s">
        <v>3206</v>
      </c>
      <c r="E552" s="28" t="s">
        <v>3216</v>
      </c>
      <c r="F552" s="28" t="s">
        <v>21</v>
      </c>
      <c r="G552" s="28" t="s">
        <v>22</v>
      </c>
      <c r="H552" s="28" t="s">
        <v>3208</v>
      </c>
      <c r="I552" s="28" t="s">
        <v>3217</v>
      </c>
      <c r="J552" s="28" t="s">
        <v>22</v>
      </c>
      <c r="K552" s="28" t="s">
        <v>3218</v>
      </c>
      <c r="L552" s="28" t="s">
        <v>1832</v>
      </c>
      <c r="M552" s="28" t="s">
        <v>3219</v>
      </c>
      <c r="N552" s="28" t="s">
        <v>3212</v>
      </c>
      <c r="O552" s="28" t="s">
        <v>3213</v>
      </c>
      <c r="P552" s="28" t="s">
        <v>1836</v>
      </c>
    </row>
    <row r="553" spans="1:16" hidden="1" x14ac:dyDescent="0.25">
      <c r="A553" s="28" t="s">
        <v>3220</v>
      </c>
      <c r="B553" s="28" t="s">
        <v>3221</v>
      </c>
      <c r="C553" s="28" t="s">
        <v>1827</v>
      </c>
      <c r="D553" s="28" t="s">
        <v>3206</v>
      </c>
      <c r="E553" s="28" t="s">
        <v>3222</v>
      </c>
      <c r="F553" s="28" t="s">
        <v>21</v>
      </c>
      <c r="G553" s="28" t="s">
        <v>22</v>
      </c>
      <c r="H553" s="28" t="s">
        <v>3208</v>
      </c>
      <c r="I553" s="28" t="s">
        <v>3223</v>
      </c>
      <c r="J553" s="28" t="s">
        <v>22</v>
      </c>
      <c r="K553" s="28" t="s">
        <v>3224</v>
      </c>
      <c r="L553" s="28" t="s">
        <v>1832</v>
      </c>
      <c r="M553" s="28" t="s">
        <v>3225</v>
      </c>
      <c r="N553" s="28" t="s">
        <v>3212</v>
      </c>
      <c r="O553" s="28" t="s">
        <v>3213</v>
      </c>
      <c r="P553" s="28" t="s">
        <v>1836</v>
      </c>
    </row>
    <row r="554" spans="1:16" hidden="1" x14ac:dyDescent="0.25">
      <c r="A554" s="28" t="s">
        <v>3226</v>
      </c>
      <c r="B554" s="28" t="s">
        <v>3227</v>
      </c>
      <c r="C554" s="28" t="s">
        <v>1827</v>
      </c>
      <c r="D554" s="28" t="s">
        <v>3228</v>
      </c>
      <c r="E554" s="28" t="s">
        <v>3229</v>
      </c>
      <c r="F554" s="28" t="s">
        <v>21</v>
      </c>
      <c r="G554" s="28" t="s">
        <v>22</v>
      </c>
      <c r="H554" s="28" t="s">
        <v>3230</v>
      </c>
      <c r="I554" s="28" t="s">
        <v>3231</v>
      </c>
      <c r="J554" s="28" t="s">
        <v>22</v>
      </c>
      <c r="K554" s="28" t="s">
        <v>3232</v>
      </c>
      <c r="L554" s="28" t="s">
        <v>1832</v>
      </c>
      <c r="M554" s="28" t="s">
        <v>3233</v>
      </c>
      <c r="N554" s="28" t="s">
        <v>3234</v>
      </c>
      <c r="O554" s="28" t="s">
        <v>3235</v>
      </c>
      <c r="P554" s="28" t="s">
        <v>1836</v>
      </c>
    </row>
    <row r="555" spans="1:16" hidden="1" x14ac:dyDescent="0.25">
      <c r="A555" s="28" t="s">
        <v>3236</v>
      </c>
      <c r="B555" s="28" t="s">
        <v>3237</v>
      </c>
      <c r="C555" s="28" t="s">
        <v>1827</v>
      </c>
      <c r="D555" s="28" t="s">
        <v>3228</v>
      </c>
      <c r="E555" s="28" t="s">
        <v>3229</v>
      </c>
      <c r="F555" s="28" t="s">
        <v>21</v>
      </c>
      <c r="G555" s="28" t="s">
        <v>22</v>
      </c>
      <c r="H555" s="28" t="s">
        <v>3230</v>
      </c>
      <c r="I555" s="28" t="s">
        <v>3238</v>
      </c>
      <c r="J555" s="28" t="s">
        <v>22</v>
      </c>
      <c r="K555" s="28" t="s">
        <v>3239</v>
      </c>
      <c r="L555" s="28" t="s">
        <v>1832</v>
      </c>
      <c r="M555" s="28" t="s">
        <v>3240</v>
      </c>
      <c r="N555" s="28" t="s">
        <v>3234</v>
      </c>
      <c r="O555" s="28" t="s">
        <v>3235</v>
      </c>
      <c r="P555" s="28" t="s">
        <v>1836</v>
      </c>
    </row>
    <row r="556" spans="1:16" hidden="1" x14ac:dyDescent="0.25">
      <c r="A556" s="28" t="s">
        <v>3241</v>
      </c>
      <c r="B556" s="28" t="s">
        <v>3242</v>
      </c>
      <c r="C556" s="28" t="s">
        <v>1827</v>
      </c>
      <c r="D556" s="28" t="s">
        <v>3228</v>
      </c>
      <c r="E556" s="28" t="s">
        <v>3243</v>
      </c>
      <c r="F556" s="28" t="s">
        <v>21</v>
      </c>
      <c r="G556" s="28" t="s">
        <v>22</v>
      </c>
      <c r="H556" s="28" t="s">
        <v>3230</v>
      </c>
      <c r="I556" s="28" t="s">
        <v>3244</v>
      </c>
      <c r="J556" s="28" t="s">
        <v>22</v>
      </c>
      <c r="K556" s="28" t="s">
        <v>3245</v>
      </c>
      <c r="L556" s="28" t="s">
        <v>1832</v>
      </c>
      <c r="M556" s="28" t="s">
        <v>3246</v>
      </c>
      <c r="N556" s="28" t="s">
        <v>3234</v>
      </c>
      <c r="O556" s="28" t="s">
        <v>3235</v>
      </c>
      <c r="P556" s="28" t="s">
        <v>1836</v>
      </c>
    </row>
    <row r="557" spans="1:16" hidden="1" x14ac:dyDescent="0.25">
      <c r="A557" s="28" t="s">
        <v>3247</v>
      </c>
      <c r="B557" s="28" t="s">
        <v>3248</v>
      </c>
      <c r="C557" s="28" t="s">
        <v>1827</v>
      </c>
      <c r="D557" s="28" t="s">
        <v>3228</v>
      </c>
      <c r="E557" s="28" t="s">
        <v>3249</v>
      </c>
      <c r="F557" s="28" t="s">
        <v>21</v>
      </c>
      <c r="G557" s="28" t="s">
        <v>22</v>
      </c>
      <c r="H557" s="28" t="s">
        <v>3230</v>
      </c>
      <c r="I557" s="28" t="s">
        <v>3250</v>
      </c>
      <c r="J557" s="28" t="s">
        <v>22</v>
      </c>
      <c r="K557" s="28" t="s">
        <v>3251</v>
      </c>
      <c r="L557" s="28" t="s">
        <v>1832</v>
      </c>
      <c r="M557" s="28" t="s">
        <v>3252</v>
      </c>
      <c r="N557" s="28" t="s">
        <v>3234</v>
      </c>
      <c r="O557" s="28" t="s">
        <v>3235</v>
      </c>
      <c r="P557" s="28" t="s">
        <v>1836</v>
      </c>
    </row>
    <row r="558" spans="1:16" hidden="1" x14ac:dyDescent="0.25">
      <c r="A558" s="28" t="s">
        <v>3253</v>
      </c>
      <c r="B558" s="28" t="s">
        <v>3254</v>
      </c>
      <c r="C558" s="28" t="s">
        <v>1827</v>
      </c>
      <c r="D558" s="28" t="s">
        <v>3228</v>
      </c>
      <c r="E558" s="28" t="s">
        <v>3255</v>
      </c>
      <c r="F558" s="28" t="s">
        <v>21</v>
      </c>
      <c r="G558" s="28" t="s">
        <v>22</v>
      </c>
      <c r="H558" s="28" t="s">
        <v>3230</v>
      </c>
      <c r="I558" s="28" t="s">
        <v>3256</v>
      </c>
      <c r="J558" s="28" t="s">
        <v>22</v>
      </c>
      <c r="K558" s="28" t="s">
        <v>3232</v>
      </c>
      <c r="L558" s="28" t="s">
        <v>1832</v>
      </c>
      <c r="M558" s="28" t="s">
        <v>3257</v>
      </c>
      <c r="N558" s="28" t="s">
        <v>3234</v>
      </c>
      <c r="O558" s="28" t="s">
        <v>3235</v>
      </c>
      <c r="P558" s="28" t="s">
        <v>1836</v>
      </c>
    </row>
    <row r="559" spans="1:16" hidden="1" x14ac:dyDescent="0.25">
      <c r="A559" s="28" t="s">
        <v>3258</v>
      </c>
      <c r="B559" s="28" t="s">
        <v>3259</v>
      </c>
      <c r="C559" s="28" t="s">
        <v>1827</v>
      </c>
      <c r="D559" s="28" t="s">
        <v>3228</v>
      </c>
      <c r="E559" s="28" t="s">
        <v>3260</v>
      </c>
      <c r="F559" s="28" t="s">
        <v>21</v>
      </c>
      <c r="G559" s="28" t="s">
        <v>22</v>
      </c>
      <c r="H559" s="28" t="s">
        <v>3230</v>
      </c>
      <c r="I559" s="28" t="s">
        <v>3261</v>
      </c>
      <c r="J559" s="28" t="s">
        <v>22</v>
      </c>
      <c r="K559" s="28" t="s">
        <v>3245</v>
      </c>
      <c r="L559" s="28" t="s">
        <v>1832</v>
      </c>
      <c r="M559" s="28" t="s">
        <v>3262</v>
      </c>
      <c r="N559" s="28" t="s">
        <v>3234</v>
      </c>
      <c r="O559" s="28" t="s">
        <v>3235</v>
      </c>
      <c r="P559" s="28" t="s">
        <v>1836</v>
      </c>
    </row>
    <row r="560" spans="1:16" hidden="1" x14ac:dyDescent="0.25">
      <c r="A560" s="28" t="s">
        <v>3263</v>
      </c>
      <c r="B560" s="28" t="s">
        <v>3264</v>
      </c>
      <c r="C560" s="28" t="s">
        <v>1827</v>
      </c>
      <c r="D560" s="28" t="s">
        <v>3265</v>
      </c>
      <c r="E560" s="28" t="s">
        <v>3266</v>
      </c>
      <c r="F560" s="28" t="s">
        <v>21</v>
      </c>
      <c r="G560" s="28" t="s">
        <v>22</v>
      </c>
      <c r="H560" s="28" t="s">
        <v>3267</v>
      </c>
      <c r="I560" s="28" t="s">
        <v>3268</v>
      </c>
      <c r="J560" s="28" t="s">
        <v>22</v>
      </c>
      <c r="K560" s="28" t="s">
        <v>3232</v>
      </c>
      <c r="L560" s="28" t="s">
        <v>1832</v>
      </c>
      <c r="M560" s="28" t="s">
        <v>3269</v>
      </c>
      <c r="N560" s="28" t="s">
        <v>3270</v>
      </c>
      <c r="O560" s="28" t="s">
        <v>3271</v>
      </c>
      <c r="P560" s="28" t="s">
        <v>1836</v>
      </c>
    </row>
    <row r="561" spans="1:16" hidden="1" x14ac:dyDescent="0.25">
      <c r="A561" s="28" t="s">
        <v>3272</v>
      </c>
      <c r="B561" s="28" t="s">
        <v>3273</v>
      </c>
      <c r="C561" s="28" t="s">
        <v>1827</v>
      </c>
      <c r="D561" s="28" t="s">
        <v>3265</v>
      </c>
      <c r="E561" s="28" t="s">
        <v>3274</v>
      </c>
      <c r="F561" s="28" t="s">
        <v>21</v>
      </c>
      <c r="G561" s="28" t="s">
        <v>22</v>
      </c>
      <c r="H561" s="28" t="s">
        <v>3267</v>
      </c>
      <c r="I561" s="28" t="s">
        <v>3275</v>
      </c>
      <c r="J561" s="28" t="s">
        <v>22</v>
      </c>
      <c r="K561" s="28" t="s">
        <v>3232</v>
      </c>
      <c r="L561" s="28" t="s">
        <v>1832</v>
      </c>
      <c r="M561" s="28" t="s">
        <v>3276</v>
      </c>
      <c r="N561" s="28" t="s">
        <v>3270</v>
      </c>
      <c r="O561" s="28" t="s">
        <v>3271</v>
      </c>
      <c r="P561" s="28" t="s">
        <v>1836</v>
      </c>
    </row>
    <row r="562" spans="1:16" hidden="1" x14ac:dyDescent="0.25">
      <c r="A562" s="28" t="s">
        <v>3277</v>
      </c>
      <c r="B562" s="28" t="s">
        <v>3278</v>
      </c>
      <c r="C562" s="28" t="s">
        <v>1827</v>
      </c>
      <c r="D562" s="28" t="s">
        <v>3265</v>
      </c>
      <c r="E562" s="28" t="s">
        <v>3279</v>
      </c>
      <c r="F562" s="28" t="s">
        <v>21</v>
      </c>
      <c r="G562" s="28" t="s">
        <v>22</v>
      </c>
      <c r="H562" s="28" t="s">
        <v>3267</v>
      </c>
      <c r="I562" s="28" t="s">
        <v>3280</v>
      </c>
      <c r="J562" s="28" t="s">
        <v>22</v>
      </c>
      <c r="K562" s="28" t="s">
        <v>3232</v>
      </c>
      <c r="L562" s="28" t="s">
        <v>1832</v>
      </c>
      <c r="M562" s="28" t="s">
        <v>3281</v>
      </c>
      <c r="N562" s="28" t="s">
        <v>3270</v>
      </c>
      <c r="O562" s="28" t="s">
        <v>3271</v>
      </c>
      <c r="P562" s="28" t="s">
        <v>1836</v>
      </c>
    </row>
    <row r="563" spans="1:16" hidden="1" x14ac:dyDescent="0.25">
      <c r="A563" s="28" t="s">
        <v>3282</v>
      </c>
      <c r="B563" s="28" t="s">
        <v>3283</v>
      </c>
      <c r="C563" s="28" t="s">
        <v>1827</v>
      </c>
      <c r="D563" s="28" t="s">
        <v>3265</v>
      </c>
      <c r="E563" s="28" t="s">
        <v>3284</v>
      </c>
      <c r="F563" s="28" t="s">
        <v>21</v>
      </c>
      <c r="G563" s="28" t="s">
        <v>22</v>
      </c>
      <c r="H563" s="28" t="s">
        <v>3267</v>
      </c>
      <c r="I563" s="28" t="s">
        <v>3285</v>
      </c>
      <c r="J563" s="28" t="s">
        <v>22</v>
      </c>
      <c r="K563" s="28" t="s">
        <v>3245</v>
      </c>
      <c r="L563" s="28" t="s">
        <v>1832</v>
      </c>
      <c r="M563" s="28" t="s">
        <v>3286</v>
      </c>
      <c r="N563" s="28" t="s">
        <v>3270</v>
      </c>
      <c r="O563" s="28" t="s">
        <v>3271</v>
      </c>
      <c r="P563" s="28" t="s">
        <v>1836</v>
      </c>
    </row>
    <row r="564" spans="1:16" hidden="1" x14ac:dyDescent="0.25">
      <c r="A564" s="28" t="s">
        <v>3287</v>
      </c>
      <c r="B564" s="28" t="s">
        <v>3288</v>
      </c>
      <c r="C564" s="28" t="s">
        <v>1827</v>
      </c>
      <c r="D564" s="28" t="s">
        <v>3265</v>
      </c>
      <c r="E564" s="28" t="s">
        <v>3289</v>
      </c>
      <c r="F564" s="28" t="s">
        <v>21</v>
      </c>
      <c r="G564" s="28" t="s">
        <v>22</v>
      </c>
      <c r="H564" s="28" t="s">
        <v>3267</v>
      </c>
      <c r="I564" s="28" t="s">
        <v>3290</v>
      </c>
      <c r="J564" s="28" t="s">
        <v>22</v>
      </c>
      <c r="K564" s="28" t="s">
        <v>3232</v>
      </c>
      <c r="L564" s="28" t="s">
        <v>1832</v>
      </c>
      <c r="M564" s="28" t="s">
        <v>3291</v>
      </c>
      <c r="N564" s="28" t="s">
        <v>3270</v>
      </c>
      <c r="O564" s="28" t="s">
        <v>3271</v>
      </c>
      <c r="P564" s="28" t="s">
        <v>1836</v>
      </c>
    </row>
    <row r="565" spans="1:16" hidden="1" x14ac:dyDescent="0.25">
      <c r="A565" s="28" t="s">
        <v>3292</v>
      </c>
      <c r="B565" s="28" t="s">
        <v>3293</v>
      </c>
      <c r="C565" s="28" t="s">
        <v>1827</v>
      </c>
      <c r="D565" s="28" t="s">
        <v>3265</v>
      </c>
      <c r="E565" s="28" t="s">
        <v>3294</v>
      </c>
      <c r="F565" s="28" t="s">
        <v>21</v>
      </c>
      <c r="G565" s="28" t="s">
        <v>22</v>
      </c>
      <c r="H565" s="28" t="s">
        <v>3267</v>
      </c>
      <c r="I565" s="28" t="s">
        <v>3295</v>
      </c>
      <c r="J565" s="28" t="s">
        <v>22</v>
      </c>
      <c r="K565" s="28" t="s">
        <v>3232</v>
      </c>
      <c r="L565" s="28" t="s">
        <v>1832</v>
      </c>
      <c r="M565" s="28" t="s">
        <v>3296</v>
      </c>
      <c r="N565" s="28" t="s">
        <v>3270</v>
      </c>
      <c r="O565" s="28" t="s">
        <v>3271</v>
      </c>
      <c r="P565" s="28" t="s">
        <v>1836</v>
      </c>
    </row>
    <row r="566" spans="1:16" hidden="1" x14ac:dyDescent="0.25">
      <c r="A566" s="28" t="s">
        <v>3297</v>
      </c>
      <c r="B566" s="28" t="s">
        <v>3298</v>
      </c>
      <c r="C566" s="28" t="s">
        <v>1827</v>
      </c>
      <c r="D566" s="28" t="s">
        <v>3299</v>
      </c>
      <c r="E566" s="28" t="s">
        <v>3300</v>
      </c>
      <c r="F566" s="28" t="s">
        <v>21</v>
      </c>
      <c r="G566" s="28" t="s">
        <v>22</v>
      </c>
      <c r="H566" s="28" t="s">
        <v>3301</v>
      </c>
      <c r="I566" s="28" t="s">
        <v>3302</v>
      </c>
      <c r="J566" s="28" t="s">
        <v>22</v>
      </c>
      <c r="K566" s="28" t="s">
        <v>3303</v>
      </c>
      <c r="L566" s="28" t="s">
        <v>1832</v>
      </c>
      <c r="M566" s="28" t="s">
        <v>3304</v>
      </c>
      <c r="N566" s="28" t="s">
        <v>3305</v>
      </c>
      <c r="O566" s="28" t="s">
        <v>3306</v>
      </c>
      <c r="P566" s="28" t="s">
        <v>1836</v>
      </c>
    </row>
    <row r="567" spans="1:16" hidden="1" x14ac:dyDescent="0.25">
      <c r="A567" s="28" t="s">
        <v>3307</v>
      </c>
      <c r="B567" s="28" t="s">
        <v>3308</v>
      </c>
      <c r="C567" s="28" t="s">
        <v>1827</v>
      </c>
      <c r="D567" s="28" t="s">
        <v>3299</v>
      </c>
      <c r="E567" s="28" t="s">
        <v>3309</v>
      </c>
      <c r="F567" s="28" t="s">
        <v>21</v>
      </c>
      <c r="G567" s="28" t="s">
        <v>22</v>
      </c>
      <c r="H567" s="28" t="s">
        <v>3301</v>
      </c>
      <c r="I567" s="28" t="s">
        <v>3310</v>
      </c>
      <c r="J567" s="28" t="s">
        <v>22</v>
      </c>
      <c r="K567" s="28" t="s">
        <v>3311</v>
      </c>
      <c r="L567" s="28" t="s">
        <v>1832</v>
      </c>
      <c r="M567" s="28" t="s">
        <v>3312</v>
      </c>
      <c r="N567" s="28" t="s">
        <v>3305</v>
      </c>
      <c r="O567" s="28" t="s">
        <v>3306</v>
      </c>
      <c r="P567" s="28" t="s">
        <v>1836</v>
      </c>
    </row>
    <row r="568" spans="1:16" hidden="1" x14ac:dyDescent="0.25">
      <c r="A568" s="28" t="s">
        <v>3313</v>
      </c>
      <c r="B568" s="28" t="s">
        <v>3314</v>
      </c>
      <c r="C568" s="28" t="s">
        <v>1827</v>
      </c>
      <c r="D568" s="28" t="s">
        <v>3299</v>
      </c>
      <c r="E568" s="28" t="s">
        <v>3315</v>
      </c>
      <c r="F568" s="28" t="s">
        <v>21</v>
      </c>
      <c r="G568" s="28" t="s">
        <v>22</v>
      </c>
      <c r="H568" s="28" t="s">
        <v>3301</v>
      </c>
      <c r="I568" s="28" t="s">
        <v>3316</v>
      </c>
      <c r="J568" s="28" t="s">
        <v>22</v>
      </c>
      <c r="K568" s="28" t="s">
        <v>3232</v>
      </c>
      <c r="L568" s="28" t="s">
        <v>1832</v>
      </c>
      <c r="M568" s="28" t="s">
        <v>3317</v>
      </c>
      <c r="N568" s="28" t="s">
        <v>3305</v>
      </c>
      <c r="O568" s="28" t="s">
        <v>3306</v>
      </c>
      <c r="P568" s="28" t="s">
        <v>1836</v>
      </c>
    </row>
    <row r="569" spans="1:16" hidden="1" x14ac:dyDescent="0.25">
      <c r="A569" s="28" t="s">
        <v>3318</v>
      </c>
      <c r="B569" s="28" t="s">
        <v>3319</v>
      </c>
      <c r="C569" s="28" t="s">
        <v>1827</v>
      </c>
      <c r="D569" s="28" t="s">
        <v>3299</v>
      </c>
      <c r="E569" s="28" t="s">
        <v>3320</v>
      </c>
      <c r="F569" s="28" t="s">
        <v>21</v>
      </c>
      <c r="G569" s="28" t="s">
        <v>22</v>
      </c>
      <c r="H569" s="28" t="s">
        <v>3301</v>
      </c>
      <c r="I569" s="28" t="s">
        <v>3321</v>
      </c>
      <c r="J569" s="28" t="s">
        <v>22</v>
      </c>
      <c r="K569" s="28" t="s">
        <v>3232</v>
      </c>
      <c r="L569" s="28" t="s">
        <v>1832</v>
      </c>
      <c r="M569" s="28" t="s">
        <v>3322</v>
      </c>
      <c r="N569" s="28" t="s">
        <v>3305</v>
      </c>
      <c r="O569" s="28" t="s">
        <v>3306</v>
      </c>
      <c r="P569" s="28" t="s">
        <v>1836</v>
      </c>
    </row>
    <row r="570" spans="1:16" hidden="1" x14ac:dyDescent="0.25">
      <c r="A570" s="28" t="s">
        <v>3323</v>
      </c>
      <c r="B570" s="28" t="s">
        <v>3324</v>
      </c>
      <c r="C570" s="28" t="s">
        <v>1827</v>
      </c>
      <c r="D570" s="28" t="s">
        <v>3299</v>
      </c>
      <c r="E570" s="28" t="s">
        <v>3325</v>
      </c>
      <c r="F570" s="28" t="s">
        <v>21</v>
      </c>
      <c r="G570" s="28" t="s">
        <v>22</v>
      </c>
      <c r="H570" s="28" t="s">
        <v>3301</v>
      </c>
      <c r="I570" s="28" t="s">
        <v>3326</v>
      </c>
      <c r="J570" s="28" t="s">
        <v>22</v>
      </c>
      <c r="K570" s="28" t="s">
        <v>3232</v>
      </c>
      <c r="L570" s="28" t="s">
        <v>1832</v>
      </c>
      <c r="M570" s="28" t="s">
        <v>3327</v>
      </c>
      <c r="N570" s="28" t="s">
        <v>3305</v>
      </c>
      <c r="O570" s="28" t="s">
        <v>3306</v>
      </c>
      <c r="P570" s="28" t="s">
        <v>1836</v>
      </c>
    </row>
    <row r="571" spans="1:16" hidden="1" x14ac:dyDescent="0.25">
      <c r="A571" s="28" t="s">
        <v>3328</v>
      </c>
      <c r="B571" s="28" t="s">
        <v>3329</v>
      </c>
      <c r="C571" s="28" t="s">
        <v>1827</v>
      </c>
      <c r="D571" s="28" t="s">
        <v>3299</v>
      </c>
      <c r="E571" s="28" t="s">
        <v>3330</v>
      </c>
      <c r="F571" s="28" t="s">
        <v>21</v>
      </c>
      <c r="G571" s="28" t="s">
        <v>22</v>
      </c>
      <c r="H571" s="28" t="s">
        <v>3301</v>
      </c>
      <c r="I571" s="28" t="s">
        <v>3331</v>
      </c>
      <c r="J571" s="28" t="s">
        <v>22</v>
      </c>
      <c r="K571" s="28" t="s">
        <v>3232</v>
      </c>
      <c r="L571" s="28" t="s">
        <v>1832</v>
      </c>
      <c r="M571" s="28" t="s">
        <v>3332</v>
      </c>
      <c r="N571" s="28" t="s">
        <v>3305</v>
      </c>
      <c r="O571" s="28" t="s">
        <v>3306</v>
      </c>
      <c r="P571" s="28" t="s">
        <v>1836</v>
      </c>
    </row>
    <row r="572" spans="1:16" hidden="1" x14ac:dyDescent="0.25">
      <c r="A572" s="28" t="s">
        <v>3333</v>
      </c>
      <c r="B572" s="28" t="s">
        <v>3334</v>
      </c>
      <c r="C572" s="28" t="s">
        <v>1827</v>
      </c>
      <c r="D572" s="28" t="s">
        <v>3299</v>
      </c>
      <c r="E572" s="28" t="s">
        <v>3335</v>
      </c>
      <c r="F572" s="28" t="s">
        <v>21</v>
      </c>
      <c r="G572" s="28" t="s">
        <v>22</v>
      </c>
      <c r="H572" s="28" t="s">
        <v>3301</v>
      </c>
      <c r="I572" s="28" t="s">
        <v>3336</v>
      </c>
      <c r="J572" s="28" t="s">
        <v>22</v>
      </c>
      <c r="K572" s="28" t="s">
        <v>3232</v>
      </c>
      <c r="L572" s="28" t="s">
        <v>1832</v>
      </c>
      <c r="M572" s="28" t="s">
        <v>3337</v>
      </c>
      <c r="N572" s="28" t="s">
        <v>3305</v>
      </c>
      <c r="O572" s="28" t="s">
        <v>3306</v>
      </c>
      <c r="P572" s="28" t="s">
        <v>1836</v>
      </c>
    </row>
    <row r="573" spans="1:16" hidden="1" x14ac:dyDescent="0.25">
      <c r="A573" s="28" t="s">
        <v>3338</v>
      </c>
      <c r="B573" s="28" t="s">
        <v>3339</v>
      </c>
      <c r="C573" s="28" t="s">
        <v>1827</v>
      </c>
      <c r="D573" s="28" t="s">
        <v>3299</v>
      </c>
      <c r="E573" s="28" t="s">
        <v>3340</v>
      </c>
      <c r="F573" s="28" t="s">
        <v>21</v>
      </c>
      <c r="G573" s="28" t="s">
        <v>22</v>
      </c>
      <c r="H573" s="28" t="s">
        <v>3301</v>
      </c>
      <c r="I573" s="28" t="s">
        <v>3341</v>
      </c>
      <c r="J573" s="28" t="s">
        <v>22</v>
      </c>
      <c r="K573" s="28" t="s">
        <v>3232</v>
      </c>
      <c r="L573" s="28" t="s">
        <v>1832</v>
      </c>
      <c r="M573" s="28" t="s">
        <v>3342</v>
      </c>
      <c r="N573" s="28" t="s">
        <v>3305</v>
      </c>
      <c r="O573" s="28" t="s">
        <v>3306</v>
      </c>
      <c r="P573" s="28" t="s">
        <v>1836</v>
      </c>
    </row>
    <row r="574" spans="1:16" hidden="1" x14ac:dyDescent="0.25">
      <c r="A574" s="28" t="s">
        <v>3343</v>
      </c>
      <c r="B574" s="28" t="s">
        <v>3344</v>
      </c>
      <c r="C574" s="28" t="s">
        <v>1827</v>
      </c>
      <c r="D574" s="28" t="s">
        <v>3345</v>
      </c>
      <c r="E574" s="28" t="s">
        <v>3346</v>
      </c>
      <c r="F574" s="28" t="s">
        <v>21</v>
      </c>
      <c r="G574" s="28" t="s">
        <v>22</v>
      </c>
      <c r="H574" s="28" t="s">
        <v>3347</v>
      </c>
      <c r="I574" s="28" t="s">
        <v>3348</v>
      </c>
      <c r="J574" s="28" t="s">
        <v>22</v>
      </c>
      <c r="K574" s="28" t="s">
        <v>3349</v>
      </c>
      <c r="L574" s="28" t="s">
        <v>1832</v>
      </c>
      <c r="M574" s="28" t="s">
        <v>3350</v>
      </c>
      <c r="N574" s="28" t="s">
        <v>3351</v>
      </c>
      <c r="O574" s="28" t="s">
        <v>3352</v>
      </c>
      <c r="P574" s="28" t="s">
        <v>1836</v>
      </c>
    </row>
    <row r="575" spans="1:16" hidden="1" x14ac:dyDescent="0.25">
      <c r="A575" s="28" t="s">
        <v>3353</v>
      </c>
      <c r="B575" s="28" t="s">
        <v>3354</v>
      </c>
      <c r="C575" s="28" t="s">
        <v>1827</v>
      </c>
      <c r="D575" s="28" t="s">
        <v>3355</v>
      </c>
      <c r="E575" s="28" t="s">
        <v>3356</v>
      </c>
      <c r="F575" s="28" t="s">
        <v>21</v>
      </c>
      <c r="G575" s="28" t="s">
        <v>22</v>
      </c>
      <c r="H575" s="28" t="s">
        <v>3357</v>
      </c>
      <c r="I575" s="28" t="s">
        <v>3358</v>
      </c>
      <c r="J575" s="28" t="s">
        <v>22</v>
      </c>
      <c r="K575" s="28" t="s">
        <v>3359</v>
      </c>
      <c r="L575" s="28" t="s">
        <v>1832</v>
      </c>
      <c r="M575" s="28" t="s">
        <v>3360</v>
      </c>
      <c r="N575" s="28" t="s">
        <v>3361</v>
      </c>
      <c r="O575" s="28" t="s">
        <v>3362</v>
      </c>
      <c r="P575" s="28" t="s">
        <v>1836</v>
      </c>
    </row>
    <row r="576" spans="1:16" hidden="1" x14ac:dyDescent="0.25">
      <c r="A576" s="28" t="s">
        <v>3363</v>
      </c>
      <c r="B576" s="28" t="s">
        <v>3364</v>
      </c>
      <c r="C576" s="28" t="s">
        <v>1827</v>
      </c>
      <c r="D576" s="28" t="s">
        <v>3355</v>
      </c>
      <c r="E576" s="28" t="s">
        <v>3365</v>
      </c>
      <c r="F576" s="28" t="s">
        <v>21</v>
      </c>
      <c r="G576" s="28" t="s">
        <v>22</v>
      </c>
      <c r="H576" s="28" t="s">
        <v>3357</v>
      </c>
      <c r="I576" s="28" t="s">
        <v>3366</v>
      </c>
      <c r="J576" s="28" t="s">
        <v>22</v>
      </c>
      <c r="K576" s="28" t="s">
        <v>3367</v>
      </c>
      <c r="L576" s="28" t="s">
        <v>1832</v>
      </c>
      <c r="M576" s="28" t="s">
        <v>3368</v>
      </c>
      <c r="N576" s="28" t="s">
        <v>3361</v>
      </c>
      <c r="O576" s="28" t="s">
        <v>3362</v>
      </c>
      <c r="P576" s="28" t="s">
        <v>1836</v>
      </c>
    </row>
    <row r="577" spans="1:16" hidden="1" x14ac:dyDescent="0.25">
      <c r="A577" s="28" t="s">
        <v>3369</v>
      </c>
      <c r="B577" s="28" t="s">
        <v>3370</v>
      </c>
      <c r="C577" s="28" t="s">
        <v>1827</v>
      </c>
      <c r="D577" s="28" t="s">
        <v>3355</v>
      </c>
      <c r="E577" s="28" t="s">
        <v>3371</v>
      </c>
      <c r="F577" s="28" t="s">
        <v>21</v>
      </c>
      <c r="G577" s="28" t="s">
        <v>22</v>
      </c>
      <c r="H577" s="28" t="s">
        <v>3357</v>
      </c>
      <c r="I577" s="28" t="s">
        <v>3372</v>
      </c>
      <c r="J577" s="28" t="s">
        <v>22</v>
      </c>
      <c r="K577" s="28" t="s">
        <v>3373</v>
      </c>
      <c r="L577" s="28" t="s">
        <v>1832</v>
      </c>
      <c r="M577" s="28" t="s">
        <v>3374</v>
      </c>
      <c r="N577" s="28" t="s">
        <v>3361</v>
      </c>
      <c r="O577" s="28" t="s">
        <v>3362</v>
      </c>
      <c r="P577" s="28" t="s">
        <v>1836</v>
      </c>
    </row>
    <row r="578" spans="1:16" hidden="1" x14ac:dyDescent="0.25">
      <c r="A578" s="28" t="s">
        <v>3375</v>
      </c>
      <c r="B578" s="28" t="s">
        <v>3376</v>
      </c>
      <c r="C578" s="28" t="s">
        <v>1827</v>
      </c>
      <c r="D578" s="28" t="s">
        <v>3355</v>
      </c>
      <c r="E578" s="28" t="s">
        <v>3377</v>
      </c>
      <c r="F578" s="28" t="s">
        <v>21</v>
      </c>
      <c r="G578" s="28" t="s">
        <v>22</v>
      </c>
      <c r="H578" s="28" t="s">
        <v>3357</v>
      </c>
      <c r="I578" s="28" t="s">
        <v>3378</v>
      </c>
      <c r="J578" s="28" t="s">
        <v>22</v>
      </c>
      <c r="K578" s="28" t="s">
        <v>3373</v>
      </c>
      <c r="L578" s="28" t="s">
        <v>1832</v>
      </c>
      <c r="M578" s="28" t="s">
        <v>3379</v>
      </c>
      <c r="N578" s="28" t="s">
        <v>3361</v>
      </c>
      <c r="O578" s="28" t="s">
        <v>3362</v>
      </c>
      <c r="P578" s="28" t="s">
        <v>1836</v>
      </c>
    </row>
    <row r="579" spans="1:16" hidden="1" x14ac:dyDescent="0.25">
      <c r="A579" s="28" t="s">
        <v>3380</v>
      </c>
      <c r="B579" s="28" t="s">
        <v>3381</v>
      </c>
      <c r="C579" s="28" t="s">
        <v>1827</v>
      </c>
      <c r="D579" s="28" t="s">
        <v>3355</v>
      </c>
      <c r="E579" s="28" t="s">
        <v>3382</v>
      </c>
      <c r="F579" s="28" t="s">
        <v>21</v>
      </c>
      <c r="G579" s="28" t="s">
        <v>22</v>
      </c>
      <c r="H579" s="28" t="s">
        <v>3357</v>
      </c>
      <c r="I579" s="28" t="s">
        <v>3383</v>
      </c>
      <c r="J579" s="28" t="s">
        <v>22</v>
      </c>
      <c r="K579" s="28" t="s">
        <v>3373</v>
      </c>
      <c r="L579" s="28" t="s">
        <v>1832</v>
      </c>
      <c r="M579" s="28" t="s">
        <v>3384</v>
      </c>
      <c r="N579" s="28" t="s">
        <v>3361</v>
      </c>
      <c r="O579" s="28" t="s">
        <v>3362</v>
      </c>
      <c r="P579" s="28" t="s">
        <v>1836</v>
      </c>
    </row>
    <row r="580" spans="1:16" hidden="1" x14ac:dyDescent="0.25">
      <c r="A580" s="28" t="s">
        <v>3385</v>
      </c>
      <c r="B580" s="28" t="s">
        <v>3386</v>
      </c>
      <c r="C580" s="28" t="s">
        <v>1827</v>
      </c>
      <c r="D580" s="28" t="s">
        <v>3355</v>
      </c>
      <c r="E580" s="28" t="s">
        <v>3387</v>
      </c>
      <c r="F580" s="28" t="s">
        <v>21</v>
      </c>
      <c r="G580" s="28" t="s">
        <v>22</v>
      </c>
      <c r="H580" s="28" t="s">
        <v>3357</v>
      </c>
      <c r="I580" s="28" t="s">
        <v>3388</v>
      </c>
      <c r="J580" s="28" t="s">
        <v>22</v>
      </c>
      <c r="K580" s="28" t="s">
        <v>3389</v>
      </c>
      <c r="L580" s="28" t="s">
        <v>1832</v>
      </c>
      <c r="M580" s="28" t="s">
        <v>3390</v>
      </c>
      <c r="N580" s="28" t="s">
        <v>3361</v>
      </c>
      <c r="O580" s="28" t="s">
        <v>3362</v>
      </c>
      <c r="P580" s="28" t="s">
        <v>1836</v>
      </c>
    </row>
    <row r="581" spans="1:16" hidden="1" x14ac:dyDescent="0.25">
      <c r="A581" s="28" t="s">
        <v>3391</v>
      </c>
      <c r="B581" s="28" t="s">
        <v>3392</v>
      </c>
      <c r="C581" s="28" t="s">
        <v>1827</v>
      </c>
      <c r="D581" s="28" t="s">
        <v>3355</v>
      </c>
      <c r="E581" s="28" t="s">
        <v>3393</v>
      </c>
      <c r="F581" s="28" t="s">
        <v>21</v>
      </c>
      <c r="G581" s="28" t="s">
        <v>22</v>
      </c>
      <c r="H581" s="28" t="s">
        <v>3357</v>
      </c>
      <c r="I581" s="28" t="s">
        <v>3394</v>
      </c>
      <c r="J581" s="28" t="s">
        <v>22</v>
      </c>
      <c r="K581" s="28" t="s">
        <v>3395</v>
      </c>
      <c r="L581" s="28" t="s">
        <v>1832</v>
      </c>
      <c r="M581" s="28" t="s">
        <v>3396</v>
      </c>
      <c r="N581" s="28" t="s">
        <v>3361</v>
      </c>
      <c r="O581" s="28" t="s">
        <v>3362</v>
      </c>
      <c r="P581" s="28" t="s">
        <v>1836</v>
      </c>
    </row>
    <row r="582" spans="1:16" hidden="1" x14ac:dyDescent="0.25">
      <c r="A582" s="28" t="s">
        <v>3397</v>
      </c>
      <c r="B582" s="28" t="s">
        <v>3398</v>
      </c>
      <c r="C582" s="28" t="s">
        <v>1827</v>
      </c>
      <c r="D582" s="28" t="s">
        <v>3355</v>
      </c>
      <c r="E582" s="28" t="s">
        <v>3393</v>
      </c>
      <c r="F582" s="28" t="s">
        <v>21</v>
      </c>
      <c r="G582" s="28" t="s">
        <v>22</v>
      </c>
      <c r="H582" s="28" t="s">
        <v>3357</v>
      </c>
      <c r="I582" s="28" t="s">
        <v>3399</v>
      </c>
      <c r="J582" s="28" t="s">
        <v>22</v>
      </c>
      <c r="K582" s="28" t="s">
        <v>3400</v>
      </c>
      <c r="L582" s="28" t="s">
        <v>1832</v>
      </c>
      <c r="M582" s="28" t="s">
        <v>3401</v>
      </c>
      <c r="N582" s="28" t="s">
        <v>3361</v>
      </c>
      <c r="O582" s="28" t="s">
        <v>3362</v>
      </c>
      <c r="P582" s="28" t="s">
        <v>1836</v>
      </c>
    </row>
    <row r="583" spans="1:16" hidden="1" x14ac:dyDescent="0.25">
      <c r="A583" s="28" t="s">
        <v>3402</v>
      </c>
      <c r="B583" s="28" t="s">
        <v>3403</v>
      </c>
      <c r="C583" s="28" t="s">
        <v>1827</v>
      </c>
      <c r="D583" s="28" t="s">
        <v>3355</v>
      </c>
      <c r="E583" s="28" t="s">
        <v>3404</v>
      </c>
      <c r="F583" s="28" t="s">
        <v>21</v>
      </c>
      <c r="G583" s="28" t="s">
        <v>22</v>
      </c>
      <c r="H583" s="28" t="s">
        <v>3357</v>
      </c>
      <c r="I583" s="28" t="s">
        <v>3405</v>
      </c>
      <c r="J583" s="28" t="s">
        <v>22</v>
      </c>
      <c r="K583" s="28" t="s">
        <v>3232</v>
      </c>
      <c r="L583" s="28" t="s">
        <v>1832</v>
      </c>
      <c r="M583" s="28" t="s">
        <v>3406</v>
      </c>
      <c r="N583" s="28" t="s">
        <v>3361</v>
      </c>
      <c r="O583" s="28" t="s">
        <v>3362</v>
      </c>
      <c r="P583" s="28" t="s">
        <v>1836</v>
      </c>
    </row>
    <row r="584" spans="1:16" hidden="1" x14ac:dyDescent="0.25">
      <c r="A584" s="28" t="s">
        <v>3407</v>
      </c>
      <c r="B584" s="28" t="s">
        <v>3408</v>
      </c>
      <c r="C584" s="28" t="s">
        <v>1827</v>
      </c>
      <c r="D584" s="28" t="s">
        <v>3355</v>
      </c>
      <c r="E584" s="28" t="s">
        <v>3409</v>
      </c>
      <c r="F584" s="28" t="s">
        <v>21</v>
      </c>
      <c r="G584" s="28" t="s">
        <v>22</v>
      </c>
      <c r="H584" s="28" t="s">
        <v>3357</v>
      </c>
      <c r="I584" s="28" t="s">
        <v>3410</v>
      </c>
      <c r="J584" s="28" t="s">
        <v>22</v>
      </c>
      <c r="K584" s="28" t="s">
        <v>3232</v>
      </c>
      <c r="L584" s="28" t="s">
        <v>1832</v>
      </c>
      <c r="M584" s="28" t="s">
        <v>3411</v>
      </c>
      <c r="N584" s="28" t="s">
        <v>3361</v>
      </c>
      <c r="O584" s="28" t="s">
        <v>3362</v>
      </c>
      <c r="P584" s="28" t="s">
        <v>1836</v>
      </c>
    </row>
    <row r="585" spans="1:16" hidden="1" x14ac:dyDescent="0.25">
      <c r="A585" s="28" t="s">
        <v>3412</v>
      </c>
      <c r="B585" s="28" t="s">
        <v>3413</v>
      </c>
      <c r="C585" s="28" t="s">
        <v>1827</v>
      </c>
      <c r="D585" s="28" t="s">
        <v>3355</v>
      </c>
      <c r="E585" s="28" t="s">
        <v>3414</v>
      </c>
      <c r="F585" s="28" t="s">
        <v>21</v>
      </c>
      <c r="G585" s="28" t="s">
        <v>22</v>
      </c>
      <c r="H585" s="28" t="s">
        <v>3357</v>
      </c>
      <c r="I585" s="28" t="s">
        <v>3415</v>
      </c>
      <c r="J585" s="28" t="s">
        <v>22</v>
      </c>
      <c r="K585" s="28" t="s">
        <v>3232</v>
      </c>
      <c r="L585" s="28" t="s">
        <v>1832</v>
      </c>
      <c r="M585" s="28" t="s">
        <v>3416</v>
      </c>
      <c r="N585" s="28" t="s">
        <v>3361</v>
      </c>
      <c r="O585" s="28" t="s">
        <v>3362</v>
      </c>
      <c r="P585" s="28" t="s">
        <v>1836</v>
      </c>
    </row>
    <row r="586" spans="1:16" hidden="1" x14ac:dyDescent="0.25">
      <c r="A586" s="28" t="s">
        <v>3417</v>
      </c>
      <c r="B586" s="28" t="s">
        <v>3418</v>
      </c>
      <c r="C586" s="28" t="s">
        <v>1827</v>
      </c>
      <c r="D586" s="28" t="s">
        <v>3355</v>
      </c>
      <c r="E586" s="28" t="s">
        <v>3419</v>
      </c>
      <c r="F586" s="28" t="s">
        <v>21</v>
      </c>
      <c r="G586" s="28" t="s">
        <v>22</v>
      </c>
      <c r="H586" s="28" t="s">
        <v>3357</v>
      </c>
      <c r="I586" s="28" t="s">
        <v>3420</v>
      </c>
      <c r="J586" s="28" t="s">
        <v>22</v>
      </c>
      <c r="K586" s="28" t="s">
        <v>3232</v>
      </c>
      <c r="L586" s="28" t="s">
        <v>1832</v>
      </c>
      <c r="M586" s="28" t="s">
        <v>3421</v>
      </c>
      <c r="N586" s="28" t="s">
        <v>3361</v>
      </c>
      <c r="O586" s="28" t="s">
        <v>3362</v>
      </c>
      <c r="P586" s="28" t="s">
        <v>1836</v>
      </c>
    </row>
    <row r="587" spans="1:16" hidden="1" x14ac:dyDescent="0.25">
      <c r="A587" s="28" t="s">
        <v>3422</v>
      </c>
      <c r="B587" s="28" t="s">
        <v>3423</v>
      </c>
      <c r="C587" s="28" t="s">
        <v>1827</v>
      </c>
      <c r="D587" s="28" t="s">
        <v>3424</v>
      </c>
      <c r="E587" s="28" t="s">
        <v>3425</v>
      </c>
      <c r="F587" s="28" t="s">
        <v>21</v>
      </c>
      <c r="G587" s="28" t="s">
        <v>22</v>
      </c>
      <c r="H587" s="28" t="s">
        <v>3426</v>
      </c>
      <c r="I587" s="28" t="s">
        <v>3427</v>
      </c>
      <c r="J587" s="28" t="s">
        <v>22</v>
      </c>
      <c r="K587" s="28" t="s">
        <v>3232</v>
      </c>
      <c r="L587" s="28" t="s">
        <v>1832</v>
      </c>
      <c r="M587" s="28" t="s">
        <v>3428</v>
      </c>
      <c r="N587" s="28" t="s">
        <v>3429</v>
      </c>
      <c r="O587" s="28" t="s">
        <v>3430</v>
      </c>
      <c r="P587" s="28" t="s">
        <v>1836</v>
      </c>
    </row>
    <row r="588" spans="1:16" hidden="1" x14ac:dyDescent="0.25">
      <c r="A588" s="28" t="s">
        <v>3431</v>
      </c>
      <c r="B588" s="28" t="s">
        <v>3432</v>
      </c>
      <c r="C588" s="28" t="s">
        <v>1827</v>
      </c>
      <c r="D588" s="28" t="s">
        <v>3424</v>
      </c>
      <c r="E588" s="28" t="s">
        <v>3433</v>
      </c>
      <c r="F588" s="28" t="s">
        <v>21</v>
      </c>
      <c r="G588" s="28" t="s">
        <v>22</v>
      </c>
      <c r="H588" s="28" t="s">
        <v>3426</v>
      </c>
      <c r="I588" s="28" t="s">
        <v>3434</v>
      </c>
      <c r="J588" s="28" t="s">
        <v>22</v>
      </c>
      <c r="K588" s="28" t="s">
        <v>3435</v>
      </c>
      <c r="L588" s="28" t="s">
        <v>1832</v>
      </c>
      <c r="M588" s="28" t="s">
        <v>3436</v>
      </c>
      <c r="N588" s="28" t="s">
        <v>3429</v>
      </c>
      <c r="O588" s="28" t="s">
        <v>3430</v>
      </c>
      <c r="P588" s="28" t="s">
        <v>1836</v>
      </c>
    </row>
    <row r="589" spans="1:16" hidden="1" x14ac:dyDescent="0.25">
      <c r="A589" s="28" t="s">
        <v>3437</v>
      </c>
      <c r="B589" s="28" t="s">
        <v>3438</v>
      </c>
      <c r="C589" s="28" t="s">
        <v>1827</v>
      </c>
      <c r="D589" s="28" t="s">
        <v>3424</v>
      </c>
      <c r="E589" s="28" t="s">
        <v>3433</v>
      </c>
      <c r="F589" s="28" t="s">
        <v>21</v>
      </c>
      <c r="G589" s="28" t="s">
        <v>22</v>
      </c>
      <c r="H589" s="28" t="s">
        <v>3426</v>
      </c>
      <c r="I589" s="28" t="s">
        <v>3439</v>
      </c>
      <c r="J589" s="28" t="s">
        <v>22</v>
      </c>
      <c r="K589" s="28" t="s">
        <v>3440</v>
      </c>
      <c r="L589" s="28" t="s">
        <v>1832</v>
      </c>
      <c r="M589" s="28" t="s">
        <v>3441</v>
      </c>
      <c r="N589" s="28" t="s">
        <v>3429</v>
      </c>
      <c r="O589" s="28" t="s">
        <v>3430</v>
      </c>
      <c r="P589" s="28" t="s">
        <v>1836</v>
      </c>
    </row>
    <row r="590" spans="1:16" hidden="1" x14ac:dyDescent="0.25">
      <c r="A590" s="28" t="s">
        <v>3442</v>
      </c>
      <c r="B590" s="28" t="s">
        <v>3443</v>
      </c>
      <c r="C590" s="28" t="s">
        <v>1827</v>
      </c>
      <c r="D590" s="28" t="s">
        <v>3424</v>
      </c>
      <c r="E590" s="28" t="s">
        <v>3444</v>
      </c>
      <c r="F590" s="28" t="s">
        <v>21</v>
      </c>
      <c r="G590" s="28" t="s">
        <v>22</v>
      </c>
      <c r="H590" s="28" t="s">
        <v>3426</v>
      </c>
      <c r="I590" s="28" t="s">
        <v>3445</v>
      </c>
      <c r="J590" s="28" t="s">
        <v>22</v>
      </c>
      <c r="K590" s="28" t="s">
        <v>3435</v>
      </c>
      <c r="L590" s="28" t="s">
        <v>1832</v>
      </c>
      <c r="M590" s="28" t="s">
        <v>3446</v>
      </c>
      <c r="N590" s="28" t="s">
        <v>3429</v>
      </c>
      <c r="O590" s="28" t="s">
        <v>3430</v>
      </c>
      <c r="P590" s="28" t="s">
        <v>1836</v>
      </c>
    </row>
    <row r="591" spans="1:16" hidden="1" x14ac:dyDescent="0.25">
      <c r="A591" s="28" t="s">
        <v>3447</v>
      </c>
      <c r="B591" s="28" t="s">
        <v>3448</v>
      </c>
      <c r="C591" s="28" t="s">
        <v>1827</v>
      </c>
      <c r="D591" s="28" t="s">
        <v>3424</v>
      </c>
      <c r="E591" s="28" t="s">
        <v>3444</v>
      </c>
      <c r="F591" s="28" t="s">
        <v>21</v>
      </c>
      <c r="G591" s="28" t="s">
        <v>22</v>
      </c>
      <c r="H591" s="28" t="s">
        <v>3426</v>
      </c>
      <c r="I591" s="28" t="s">
        <v>3449</v>
      </c>
      <c r="J591" s="28" t="s">
        <v>22</v>
      </c>
      <c r="K591" s="28" t="s">
        <v>3440</v>
      </c>
      <c r="L591" s="28" t="s">
        <v>1832</v>
      </c>
      <c r="M591" s="28" t="s">
        <v>3450</v>
      </c>
      <c r="N591" s="28" t="s">
        <v>3429</v>
      </c>
      <c r="O591" s="28" t="s">
        <v>3430</v>
      </c>
      <c r="P591" s="28" t="s">
        <v>1836</v>
      </c>
    </row>
    <row r="592" spans="1:16" hidden="1" x14ac:dyDescent="0.25">
      <c r="A592" s="28" t="s">
        <v>3451</v>
      </c>
      <c r="B592" s="28" t="s">
        <v>3452</v>
      </c>
      <c r="C592" s="28" t="s">
        <v>1827</v>
      </c>
      <c r="D592" s="28" t="s">
        <v>3424</v>
      </c>
      <c r="E592" s="28" t="s">
        <v>3453</v>
      </c>
      <c r="F592" s="28" t="s">
        <v>21</v>
      </c>
      <c r="G592" s="28" t="s">
        <v>22</v>
      </c>
      <c r="H592" s="28" t="s">
        <v>3426</v>
      </c>
      <c r="I592" s="28" t="s">
        <v>3454</v>
      </c>
      <c r="J592" s="28" t="s">
        <v>22</v>
      </c>
      <c r="K592" s="28" t="s">
        <v>3435</v>
      </c>
      <c r="L592" s="28" t="s">
        <v>1832</v>
      </c>
      <c r="M592" s="28" t="s">
        <v>3455</v>
      </c>
      <c r="N592" s="28" t="s">
        <v>3429</v>
      </c>
      <c r="O592" s="28" t="s">
        <v>3430</v>
      </c>
      <c r="P592" s="28" t="s">
        <v>1836</v>
      </c>
    </row>
    <row r="593" spans="1:16" hidden="1" x14ac:dyDescent="0.25">
      <c r="A593" s="28" t="s">
        <v>3456</v>
      </c>
      <c r="B593" s="28" t="s">
        <v>3457</v>
      </c>
      <c r="C593" s="28" t="s">
        <v>1827</v>
      </c>
      <c r="D593" s="28" t="s">
        <v>3424</v>
      </c>
      <c r="E593" s="28" t="s">
        <v>3453</v>
      </c>
      <c r="F593" s="28" t="s">
        <v>21</v>
      </c>
      <c r="G593" s="28" t="s">
        <v>22</v>
      </c>
      <c r="H593" s="28" t="s">
        <v>3426</v>
      </c>
      <c r="I593" s="28" t="s">
        <v>3458</v>
      </c>
      <c r="J593" s="28" t="s">
        <v>22</v>
      </c>
      <c r="K593" s="28" t="s">
        <v>3440</v>
      </c>
      <c r="L593" s="28" t="s">
        <v>1832</v>
      </c>
      <c r="M593" s="28" t="s">
        <v>3459</v>
      </c>
      <c r="N593" s="28" t="s">
        <v>3429</v>
      </c>
      <c r="O593" s="28" t="s">
        <v>3430</v>
      </c>
      <c r="P593" s="28" t="s">
        <v>1836</v>
      </c>
    </row>
    <row r="594" spans="1:16" hidden="1" x14ac:dyDescent="0.25">
      <c r="A594" s="28" t="s">
        <v>3460</v>
      </c>
      <c r="B594" s="28" t="s">
        <v>3461</v>
      </c>
      <c r="C594" s="28" t="s">
        <v>1827</v>
      </c>
      <c r="D594" s="28" t="s">
        <v>3424</v>
      </c>
      <c r="E594" s="28" t="s">
        <v>3462</v>
      </c>
      <c r="F594" s="28" t="s">
        <v>21</v>
      </c>
      <c r="G594" s="28" t="s">
        <v>22</v>
      </c>
      <c r="H594" s="28" t="s">
        <v>3426</v>
      </c>
      <c r="I594" s="28" t="s">
        <v>3463</v>
      </c>
      <c r="J594" s="28" t="s">
        <v>22</v>
      </c>
      <c r="K594" s="28" t="s">
        <v>3435</v>
      </c>
      <c r="L594" s="28" t="s">
        <v>1832</v>
      </c>
      <c r="M594" s="28" t="s">
        <v>3464</v>
      </c>
      <c r="N594" s="28" t="s">
        <v>3429</v>
      </c>
      <c r="O594" s="28" t="s">
        <v>3430</v>
      </c>
      <c r="P594" s="28" t="s">
        <v>1836</v>
      </c>
    </row>
    <row r="595" spans="1:16" hidden="1" x14ac:dyDescent="0.25">
      <c r="A595" s="28" t="s">
        <v>3465</v>
      </c>
      <c r="B595" s="28" t="s">
        <v>3466</v>
      </c>
      <c r="C595" s="28" t="s">
        <v>1827</v>
      </c>
      <c r="D595" s="28" t="s">
        <v>3424</v>
      </c>
      <c r="E595" s="28" t="s">
        <v>3462</v>
      </c>
      <c r="F595" s="28" t="s">
        <v>21</v>
      </c>
      <c r="G595" s="28" t="s">
        <v>22</v>
      </c>
      <c r="H595" s="28" t="s">
        <v>3426</v>
      </c>
      <c r="I595" s="28" t="s">
        <v>3467</v>
      </c>
      <c r="J595" s="28" t="s">
        <v>22</v>
      </c>
      <c r="K595" s="28" t="s">
        <v>3440</v>
      </c>
      <c r="L595" s="28" t="s">
        <v>1832</v>
      </c>
      <c r="M595" s="28" t="s">
        <v>3468</v>
      </c>
      <c r="N595" s="28" t="s">
        <v>3429</v>
      </c>
      <c r="O595" s="28" t="s">
        <v>3430</v>
      </c>
      <c r="P595" s="28" t="s">
        <v>1836</v>
      </c>
    </row>
    <row r="596" spans="1:16" hidden="1" x14ac:dyDescent="0.25">
      <c r="A596" s="28" t="s">
        <v>3469</v>
      </c>
      <c r="B596" s="28" t="s">
        <v>3470</v>
      </c>
      <c r="C596" s="28" t="s">
        <v>1827</v>
      </c>
      <c r="D596" s="28" t="s">
        <v>3424</v>
      </c>
      <c r="E596" s="28" t="s">
        <v>3471</v>
      </c>
      <c r="F596" s="28" t="s">
        <v>21</v>
      </c>
      <c r="G596" s="28" t="s">
        <v>22</v>
      </c>
      <c r="H596" s="28" t="s">
        <v>3426</v>
      </c>
      <c r="I596" s="28" t="s">
        <v>3472</v>
      </c>
      <c r="J596" s="28" t="s">
        <v>22</v>
      </c>
      <c r="K596" s="28" t="s">
        <v>3473</v>
      </c>
      <c r="L596" s="28" t="s">
        <v>1832</v>
      </c>
      <c r="M596" s="28" t="s">
        <v>3474</v>
      </c>
      <c r="N596" s="28" t="s">
        <v>3429</v>
      </c>
      <c r="O596" s="28" t="s">
        <v>3430</v>
      </c>
      <c r="P596" s="28" t="s">
        <v>1836</v>
      </c>
    </row>
    <row r="597" spans="1:16" hidden="1" x14ac:dyDescent="0.25">
      <c r="A597" s="28" t="s">
        <v>3475</v>
      </c>
      <c r="B597" s="28" t="s">
        <v>3476</v>
      </c>
      <c r="C597" s="28" t="s">
        <v>1827</v>
      </c>
      <c r="D597" s="28" t="s">
        <v>3424</v>
      </c>
      <c r="E597" s="28" t="s">
        <v>3471</v>
      </c>
      <c r="F597" s="28" t="s">
        <v>21</v>
      </c>
      <c r="G597" s="28" t="s">
        <v>22</v>
      </c>
      <c r="H597" s="28" t="s">
        <v>3426</v>
      </c>
      <c r="I597" s="28" t="s">
        <v>3477</v>
      </c>
      <c r="J597" s="28" t="s">
        <v>22</v>
      </c>
      <c r="K597" s="28" t="s">
        <v>3478</v>
      </c>
      <c r="L597" s="28" t="s">
        <v>1832</v>
      </c>
      <c r="M597" s="28" t="s">
        <v>3479</v>
      </c>
      <c r="N597" s="28" t="s">
        <v>3429</v>
      </c>
      <c r="O597" s="28" t="s">
        <v>3430</v>
      </c>
      <c r="P597" s="28" t="s">
        <v>1836</v>
      </c>
    </row>
    <row r="598" spans="1:16" hidden="1" x14ac:dyDescent="0.25">
      <c r="A598" s="28" t="s">
        <v>3480</v>
      </c>
      <c r="B598" s="28" t="s">
        <v>3481</v>
      </c>
      <c r="C598" s="28" t="s">
        <v>1827</v>
      </c>
      <c r="D598" s="28" t="s">
        <v>3424</v>
      </c>
      <c r="E598" s="28" t="s">
        <v>3482</v>
      </c>
      <c r="F598" s="28" t="s">
        <v>21</v>
      </c>
      <c r="G598" s="28" t="s">
        <v>22</v>
      </c>
      <c r="H598" s="28" t="s">
        <v>3426</v>
      </c>
      <c r="I598" s="28" t="s">
        <v>3483</v>
      </c>
      <c r="J598" s="28" t="s">
        <v>22</v>
      </c>
      <c r="K598" s="28" t="s">
        <v>3473</v>
      </c>
      <c r="L598" s="28" t="s">
        <v>1832</v>
      </c>
      <c r="M598" s="28" t="s">
        <v>3484</v>
      </c>
      <c r="N598" s="28" t="s">
        <v>3429</v>
      </c>
      <c r="O598" s="28" t="s">
        <v>3430</v>
      </c>
      <c r="P598" s="28" t="s">
        <v>1836</v>
      </c>
    </row>
    <row r="599" spans="1:16" hidden="1" x14ac:dyDescent="0.25">
      <c r="A599" s="28" t="s">
        <v>3485</v>
      </c>
      <c r="B599" s="28" t="s">
        <v>3486</v>
      </c>
      <c r="C599" s="28" t="s">
        <v>1827</v>
      </c>
      <c r="D599" s="28" t="s">
        <v>3424</v>
      </c>
      <c r="E599" s="28" t="s">
        <v>3482</v>
      </c>
      <c r="F599" s="28" t="s">
        <v>21</v>
      </c>
      <c r="G599" s="28" t="s">
        <v>22</v>
      </c>
      <c r="H599" s="28" t="s">
        <v>3426</v>
      </c>
      <c r="I599" s="28" t="s">
        <v>3487</v>
      </c>
      <c r="J599" s="28" t="s">
        <v>22</v>
      </c>
      <c r="K599" s="28" t="s">
        <v>3478</v>
      </c>
      <c r="L599" s="28" t="s">
        <v>1832</v>
      </c>
      <c r="M599" s="28" t="s">
        <v>3488</v>
      </c>
      <c r="N599" s="28" t="s">
        <v>3429</v>
      </c>
      <c r="O599" s="28" t="s">
        <v>3430</v>
      </c>
      <c r="P599" s="28" t="s">
        <v>1836</v>
      </c>
    </row>
    <row r="600" spans="1:16" hidden="1" x14ac:dyDescent="0.25">
      <c r="A600" s="28" t="s">
        <v>3489</v>
      </c>
      <c r="B600" s="28" t="s">
        <v>3490</v>
      </c>
      <c r="C600" s="28" t="s">
        <v>1827</v>
      </c>
      <c r="D600" s="28" t="s">
        <v>3424</v>
      </c>
      <c r="E600" s="28" t="s">
        <v>3491</v>
      </c>
      <c r="F600" s="28" t="s">
        <v>21</v>
      </c>
      <c r="G600" s="28" t="s">
        <v>22</v>
      </c>
      <c r="H600" s="28" t="s">
        <v>3426</v>
      </c>
      <c r="I600" s="28" t="s">
        <v>3492</v>
      </c>
      <c r="J600" s="28" t="s">
        <v>22</v>
      </c>
      <c r="K600" s="28" t="s">
        <v>3473</v>
      </c>
      <c r="L600" s="28" t="s">
        <v>1832</v>
      </c>
      <c r="M600" s="28" t="s">
        <v>3493</v>
      </c>
      <c r="N600" s="28" t="s">
        <v>3429</v>
      </c>
      <c r="O600" s="28" t="s">
        <v>3430</v>
      </c>
      <c r="P600" s="28" t="s">
        <v>1836</v>
      </c>
    </row>
    <row r="601" spans="1:16" hidden="1" x14ac:dyDescent="0.25">
      <c r="A601" s="28" t="s">
        <v>3494</v>
      </c>
      <c r="B601" s="28" t="s">
        <v>3495</v>
      </c>
      <c r="C601" s="28" t="s">
        <v>1827</v>
      </c>
      <c r="D601" s="28" t="s">
        <v>3424</v>
      </c>
      <c r="E601" s="28" t="s">
        <v>3491</v>
      </c>
      <c r="F601" s="28" t="s">
        <v>21</v>
      </c>
      <c r="G601" s="28" t="s">
        <v>22</v>
      </c>
      <c r="H601" s="28" t="s">
        <v>3426</v>
      </c>
      <c r="I601" s="28" t="s">
        <v>3496</v>
      </c>
      <c r="J601" s="28" t="s">
        <v>22</v>
      </c>
      <c r="K601" s="28" t="s">
        <v>3478</v>
      </c>
      <c r="L601" s="28" t="s">
        <v>1832</v>
      </c>
      <c r="M601" s="28" t="s">
        <v>3497</v>
      </c>
      <c r="N601" s="28" t="s">
        <v>3429</v>
      </c>
      <c r="O601" s="28" t="s">
        <v>3430</v>
      </c>
      <c r="P601" s="28" t="s">
        <v>1836</v>
      </c>
    </row>
    <row r="602" spans="1:16" hidden="1" x14ac:dyDescent="0.25">
      <c r="A602" s="28" t="s">
        <v>3498</v>
      </c>
      <c r="B602" s="28" t="s">
        <v>3499</v>
      </c>
      <c r="C602" s="28" t="s">
        <v>1827</v>
      </c>
      <c r="D602" s="28" t="s">
        <v>3424</v>
      </c>
      <c r="E602" s="28" t="s">
        <v>3500</v>
      </c>
      <c r="F602" s="28" t="s">
        <v>21</v>
      </c>
      <c r="G602" s="28" t="s">
        <v>22</v>
      </c>
      <c r="H602" s="28" t="s">
        <v>3426</v>
      </c>
      <c r="I602" s="28" t="s">
        <v>3501</v>
      </c>
      <c r="J602" s="28" t="s">
        <v>22</v>
      </c>
      <c r="K602" s="28" t="s">
        <v>3473</v>
      </c>
      <c r="L602" s="28" t="s">
        <v>1832</v>
      </c>
      <c r="M602" s="28" t="s">
        <v>3502</v>
      </c>
      <c r="N602" s="28" t="s">
        <v>3429</v>
      </c>
      <c r="O602" s="28" t="s">
        <v>3430</v>
      </c>
      <c r="P602" s="28" t="s">
        <v>1836</v>
      </c>
    </row>
    <row r="603" spans="1:16" hidden="1" x14ac:dyDescent="0.25">
      <c r="A603" s="28" t="s">
        <v>3503</v>
      </c>
      <c r="B603" s="28" t="s">
        <v>3504</v>
      </c>
      <c r="C603" s="28" t="s">
        <v>1827</v>
      </c>
      <c r="D603" s="28" t="s">
        <v>3424</v>
      </c>
      <c r="E603" s="28" t="s">
        <v>3500</v>
      </c>
      <c r="F603" s="28" t="s">
        <v>21</v>
      </c>
      <c r="G603" s="28" t="s">
        <v>22</v>
      </c>
      <c r="H603" s="28" t="s">
        <v>3426</v>
      </c>
      <c r="I603" s="28" t="s">
        <v>3505</v>
      </c>
      <c r="J603" s="28" t="s">
        <v>22</v>
      </c>
      <c r="K603" s="28" t="s">
        <v>3478</v>
      </c>
      <c r="L603" s="28" t="s">
        <v>1832</v>
      </c>
      <c r="M603" s="28" t="s">
        <v>3506</v>
      </c>
      <c r="N603" s="28" t="s">
        <v>3429</v>
      </c>
      <c r="O603" s="28" t="s">
        <v>3430</v>
      </c>
      <c r="P603" s="28" t="s">
        <v>1836</v>
      </c>
    </row>
    <row r="604" spans="1:16" hidden="1" x14ac:dyDescent="0.25">
      <c r="A604" s="28" t="s">
        <v>3507</v>
      </c>
      <c r="B604" s="28" t="s">
        <v>3508</v>
      </c>
      <c r="C604" s="28" t="s">
        <v>1827</v>
      </c>
      <c r="D604" s="28" t="s">
        <v>3424</v>
      </c>
      <c r="E604" s="28" t="s">
        <v>3509</v>
      </c>
      <c r="F604" s="28" t="s">
        <v>21</v>
      </c>
      <c r="G604" s="28" t="s">
        <v>22</v>
      </c>
      <c r="H604" s="28" t="s">
        <v>3426</v>
      </c>
      <c r="I604" s="28" t="s">
        <v>3510</v>
      </c>
      <c r="J604" s="28" t="s">
        <v>22</v>
      </c>
      <c r="K604" s="28" t="s">
        <v>3232</v>
      </c>
      <c r="L604" s="28" t="s">
        <v>1832</v>
      </c>
      <c r="M604" s="28" t="s">
        <v>3511</v>
      </c>
      <c r="N604" s="28" t="s">
        <v>3429</v>
      </c>
      <c r="O604" s="28" t="s">
        <v>3430</v>
      </c>
      <c r="P604" s="28" t="s">
        <v>1836</v>
      </c>
    </row>
    <row r="605" spans="1:16" hidden="1" x14ac:dyDescent="0.25">
      <c r="A605" s="28" t="s">
        <v>3512</v>
      </c>
      <c r="B605" s="28" t="s">
        <v>3513</v>
      </c>
      <c r="C605" s="28" t="s">
        <v>1827</v>
      </c>
      <c r="D605" s="28" t="s">
        <v>3424</v>
      </c>
      <c r="E605" s="28" t="s">
        <v>3514</v>
      </c>
      <c r="F605" s="28" t="s">
        <v>21</v>
      </c>
      <c r="G605" s="28" t="s">
        <v>22</v>
      </c>
      <c r="H605" s="28" t="s">
        <v>3426</v>
      </c>
      <c r="I605" s="28" t="s">
        <v>3515</v>
      </c>
      <c r="J605" s="28" t="s">
        <v>22</v>
      </c>
      <c r="K605" s="28" t="s">
        <v>3232</v>
      </c>
      <c r="L605" s="28" t="s">
        <v>1832</v>
      </c>
      <c r="M605" s="28" t="s">
        <v>3516</v>
      </c>
      <c r="N605" s="28" t="s">
        <v>3429</v>
      </c>
      <c r="O605" s="28" t="s">
        <v>3430</v>
      </c>
      <c r="P605" s="28" t="s">
        <v>1836</v>
      </c>
    </row>
    <row r="606" spans="1:16" hidden="1" x14ac:dyDescent="0.25">
      <c r="A606" s="28" t="s">
        <v>3517</v>
      </c>
      <c r="B606" s="28" t="s">
        <v>3518</v>
      </c>
      <c r="C606" s="28" t="s">
        <v>1827</v>
      </c>
      <c r="D606" s="28" t="s">
        <v>3424</v>
      </c>
      <c r="E606" s="28" t="s">
        <v>3519</v>
      </c>
      <c r="F606" s="28" t="s">
        <v>21</v>
      </c>
      <c r="G606" s="28" t="s">
        <v>22</v>
      </c>
      <c r="H606" s="28" t="s">
        <v>3426</v>
      </c>
      <c r="I606" s="28" t="s">
        <v>3520</v>
      </c>
      <c r="J606" s="28" t="s">
        <v>22</v>
      </c>
      <c r="K606" s="28" t="s">
        <v>3232</v>
      </c>
      <c r="L606" s="28" t="s">
        <v>1832</v>
      </c>
      <c r="M606" s="28" t="s">
        <v>3521</v>
      </c>
      <c r="N606" s="28" t="s">
        <v>3429</v>
      </c>
      <c r="O606" s="28" t="s">
        <v>3430</v>
      </c>
      <c r="P606" s="28" t="s">
        <v>1836</v>
      </c>
    </row>
    <row r="607" spans="1:16" hidden="1" x14ac:dyDescent="0.25">
      <c r="A607" s="28" t="s">
        <v>3522</v>
      </c>
      <c r="B607" s="28" t="s">
        <v>3523</v>
      </c>
      <c r="C607" s="28" t="s">
        <v>1827</v>
      </c>
      <c r="D607" s="28" t="s">
        <v>3524</v>
      </c>
      <c r="E607" s="28" t="s">
        <v>3525</v>
      </c>
      <c r="F607" s="28" t="s">
        <v>21</v>
      </c>
      <c r="G607" s="28" t="s">
        <v>22</v>
      </c>
      <c r="H607" s="28" t="s">
        <v>3526</v>
      </c>
      <c r="I607" s="28" t="s">
        <v>3527</v>
      </c>
      <c r="J607" s="28" t="s">
        <v>22</v>
      </c>
      <c r="K607" s="28" t="s">
        <v>3528</v>
      </c>
      <c r="L607" s="28" t="s">
        <v>1832</v>
      </c>
      <c r="M607" s="28" t="s">
        <v>3529</v>
      </c>
      <c r="N607" s="28" t="s">
        <v>3530</v>
      </c>
      <c r="O607" s="28" t="s">
        <v>3531</v>
      </c>
      <c r="P607" s="28" t="s">
        <v>3532</v>
      </c>
    </row>
    <row r="608" spans="1:16" hidden="1" x14ac:dyDescent="0.25">
      <c r="A608" s="28" t="s">
        <v>3533</v>
      </c>
      <c r="B608" s="28" t="s">
        <v>3534</v>
      </c>
      <c r="C608" s="28" t="s">
        <v>1827</v>
      </c>
      <c r="D608" s="28" t="s">
        <v>3524</v>
      </c>
      <c r="E608" s="28" t="s">
        <v>3535</v>
      </c>
      <c r="F608" s="28" t="s">
        <v>21</v>
      </c>
      <c r="G608" s="28" t="s">
        <v>22</v>
      </c>
      <c r="H608" s="28" t="s">
        <v>3526</v>
      </c>
      <c r="I608" s="28" t="s">
        <v>3536</v>
      </c>
      <c r="J608" s="28" t="s">
        <v>22</v>
      </c>
      <c r="K608" s="28" t="s">
        <v>3537</v>
      </c>
      <c r="L608" s="28" t="s">
        <v>1832</v>
      </c>
      <c r="M608" s="28" t="s">
        <v>3538</v>
      </c>
      <c r="N608" s="28" t="s">
        <v>3530</v>
      </c>
      <c r="O608" s="28" t="s">
        <v>3531</v>
      </c>
      <c r="P608" s="28" t="s">
        <v>3539</v>
      </c>
    </row>
    <row r="609" spans="1:16" hidden="1" x14ac:dyDescent="0.25">
      <c r="A609" s="28" t="s">
        <v>3540</v>
      </c>
      <c r="B609" s="28" t="s">
        <v>3541</v>
      </c>
      <c r="C609" s="28" t="s">
        <v>1827</v>
      </c>
      <c r="D609" s="28" t="s">
        <v>3524</v>
      </c>
      <c r="E609" s="28" t="s">
        <v>3535</v>
      </c>
      <c r="F609" s="28" t="s">
        <v>21</v>
      </c>
      <c r="G609" s="28" t="s">
        <v>22</v>
      </c>
      <c r="H609" s="28" t="s">
        <v>3526</v>
      </c>
      <c r="I609" s="28" t="s">
        <v>3542</v>
      </c>
      <c r="J609" s="28" t="s">
        <v>22</v>
      </c>
      <c r="K609" s="28" t="s">
        <v>3543</v>
      </c>
      <c r="L609" s="28" t="s">
        <v>1832</v>
      </c>
      <c r="M609" s="28" t="s">
        <v>3544</v>
      </c>
      <c r="N609" s="28" t="s">
        <v>3530</v>
      </c>
      <c r="O609" s="28" t="s">
        <v>3531</v>
      </c>
      <c r="P609" s="28" t="s">
        <v>3545</v>
      </c>
    </row>
    <row r="610" spans="1:16" hidden="1" x14ac:dyDescent="0.25">
      <c r="A610" s="28" t="s">
        <v>3546</v>
      </c>
      <c r="B610" s="28" t="s">
        <v>3547</v>
      </c>
      <c r="C610" s="28" t="s">
        <v>1827</v>
      </c>
      <c r="D610" s="28" t="s">
        <v>3524</v>
      </c>
      <c r="E610" s="28" t="s">
        <v>3548</v>
      </c>
      <c r="F610" s="28" t="s">
        <v>21</v>
      </c>
      <c r="G610" s="28" t="s">
        <v>22</v>
      </c>
      <c r="H610" s="28" t="s">
        <v>3526</v>
      </c>
      <c r="I610" s="28" t="s">
        <v>3549</v>
      </c>
      <c r="J610" s="28" t="s">
        <v>22</v>
      </c>
      <c r="K610" s="28" t="s">
        <v>3528</v>
      </c>
      <c r="L610" s="28" t="s">
        <v>1832</v>
      </c>
      <c r="M610" s="28" t="s">
        <v>3550</v>
      </c>
      <c r="N610" s="28" t="s">
        <v>3530</v>
      </c>
      <c r="O610" s="28" t="s">
        <v>3531</v>
      </c>
      <c r="P610" s="28" t="s">
        <v>3532</v>
      </c>
    </row>
    <row r="611" spans="1:16" hidden="1" x14ac:dyDescent="0.25">
      <c r="A611" s="28" t="s">
        <v>3551</v>
      </c>
      <c r="B611" s="28" t="s">
        <v>3552</v>
      </c>
      <c r="C611" s="28" t="s">
        <v>1827</v>
      </c>
      <c r="D611" s="28" t="s">
        <v>3524</v>
      </c>
      <c r="E611" s="28" t="s">
        <v>3553</v>
      </c>
      <c r="F611" s="28" t="s">
        <v>21</v>
      </c>
      <c r="G611" s="28" t="s">
        <v>22</v>
      </c>
      <c r="H611" s="28" t="s">
        <v>3526</v>
      </c>
      <c r="I611" s="28" t="s">
        <v>3554</v>
      </c>
      <c r="J611" s="28" t="s">
        <v>22</v>
      </c>
      <c r="K611" s="28" t="s">
        <v>3555</v>
      </c>
      <c r="L611" s="28" t="s">
        <v>1832</v>
      </c>
      <c r="M611" s="28" t="s">
        <v>3556</v>
      </c>
      <c r="N611" s="28" t="s">
        <v>3530</v>
      </c>
      <c r="O611" s="28" t="s">
        <v>3531</v>
      </c>
      <c r="P611" s="28" t="s">
        <v>3557</v>
      </c>
    </row>
    <row r="612" spans="1:16" hidden="1" x14ac:dyDescent="0.25">
      <c r="A612" s="28" t="s">
        <v>3558</v>
      </c>
      <c r="B612" s="28" t="s">
        <v>3559</v>
      </c>
      <c r="C612" s="28" t="s">
        <v>1827</v>
      </c>
      <c r="D612" s="28" t="s">
        <v>3524</v>
      </c>
      <c r="E612" s="28" t="s">
        <v>3560</v>
      </c>
      <c r="F612" s="28" t="s">
        <v>21</v>
      </c>
      <c r="G612" s="28" t="s">
        <v>22</v>
      </c>
      <c r="H612" s="28" t="s">
        <v>3526</v>
      </c>
      <c r="I612" s="28" t="s">
        <v>3561</v>
      </c>
      <c r="J612" s="28" t="s">
        <v>22</v>
      </c>
      <c r="K612" s="28" t="s">
        <v>3528</v>
      </c>
      <c r="L612" s="28" t="s">
        <v>1832</v>
      </c>
      <c r="M612" s="28" t="s">
        <v>3562</v>
      </c>
      <c r="N612" s="28" t="s">
        <v>3530</v>
      </c>
      <c r="O612" s="28" t="s">
        <v>3531</v>
      </c>
      <c r="P612" s="28" t="s">
        <v>3563</v>
      </c>
    </row>
    <row r="613" spans="1:16" hidden="1" x14ac:dyDescent="0.25">
      <c r="A613" s="28" t="s">
        <v>3564</v>
      </c>
      <c r="B613" s="28" t="s">
        <v>3565</v>
      </c>
      <c r="C613" s="28" t="s">
        <v>1827</v>
      </c>
      <c r="D613" s="28" t="s">
        <v>3524</v>
      </c>
      <c r="E613" s="28" t="s">
        <v>3566</v>
      </c>
      <c r="F613" s="28" t="s">
        <v>21</v>
      </c>
      <c r="G613" s="28" t="s">
        <v>22</v>
      </c>
      <c r="H613" s="28" t="s">
        <v>3526</v>
      </c>
      <c r="I613" s="28" t="s">
        <v>3567</v>
      </c>
      <c r="J613" s="28" t="s">
        <v>22</v>
      </c>
      <c r="K613" s="28" t="s">
        <v>3555</v>
      </c>
      <c r="L613" s="28" t="s">
        <v>1832</v>
      </c>
      <c r="M613" s="28" t="s">
        <v>3568</v>
      </c>
      <c r="N613" s="28" t="s">
        <v>3530</v>
      </c>
      <c r="O613" s="28" t="s">
        <v>3531</v>
      </c>
      <c r="P613" s="28" t="s">
        <v>3569</v>
      </c>
    </row>
    <row r="614" spans="1:16" hidden="1" x14ac:dyDescent="0.25">
      <c r="A614" s="28" t="s">
        <v>3570</v>
      </c>
      <c r="B614" s="28" t="s">
        <v>3571</v>
      </c>
      <c r="C614" s="28" t="s">
        <v>1827</v>
      </c>
      <c r="D614" s="28" t="s">
        <v>3524</v>
      </c>
      <c r="E614" s="28" t="s">
        <v>3572</v>
      </c>
      <c r="F614" s="28" t="s">
        <v>21</v>
      </c>
      <c r="G614" s="28" t="s">
        <v>22</v>
      </c>
      <c r="H614" s="28" t="s">
        <v>3526</v>
      </c>
      <c r="I614" s="28" t="s">
        <v>3573</v>
      </c>
      <c r="J614" s="28" t="s">
        <v>22</v>
      </c>
      <c r="K614" s="28" t="s">
        <v>3537</v>
      </c>
      <c r="L614" s="28" t="s">
        <v>1832</v>
      </c>
      <c r="M614" s="28" t="s">
        <v>3574</v>
      </c>
      <c r="N614" s="28" t="s">
        <v>3530</v>
      </c>
      <c r="O614" s="28" t="s">
        <v>3531</v>
      </c>
      <c r="P614" s="28" t="s">
        <v>3539</v>
      </c>
    </row>
    <row r="615" spans="1:16" hidden="1" x14ac:dyDescent="0.25">
      <c r="A615" s="28" t="s">
        <v>3575</v>
      </c>
      <c r="B615" s="28" t="s">
        <v>3576</v>
      </c>
      <c r="C615" s="28" t="s">
        <v>1827</v>
      </c>
      <c r="D615" s="28" t="s">
        <v>3524</v>
      </c>
      <c r="E615" s="28" t="s">
        <v>3572</v>
      </c>
      <c r="F615" s="28" t="s">
        <v>21</v>
      </c>
      <c r="G615" s="28" t="s">
        <v>22</v>
      </c>
      <c r="H615" s="28" t="s">
        <v>3526</v>
      </c>
      <c r="I615" s="28" t="s">
        <v>3577</v>
      </c>
      <c r="J615" s="28" t="s">
        <v>22</v>
      </c>
      <c r="K615" s="28" t="s">
        <v>3543</v>
      </c>
      <c r="L615" s="28" t="s">
        <v>1832</v>
      </c>
      <c r="M615" s="28" t="s">
        <v>3578</v>
      </c>
      <c r="N615" s="28" t="s">
        <v>3530</v>
      </c>
      <c r="O615" s="28" t="s">
        <v>3531</v>
      </c>
      <c r="P615" s="28" t="s">
        <v>3545</v>
      </c>
    </row>
    <row r="616" spans="1:16" hidden="1" x14ac:dyDescent="0.25">
      <c r="A616" s="28" t="s">
        <v>3579</v>
      </c>
      <c r="B616" s="28" t="s">
        <v>3580</v>
      </c>
      <c r="C616" s="28" t="s">
        <v>1827</v>
      </c>
      <c r="D616" s="28" t="s">
        <v>3581</v>
      </c>
      <c r="E616" s="28" t="s">
        <v>3582</v>
      </c>
      <c r="F616" s="28" t="s">
        <v>21</v>
      </c>
      <c r="G616" s="28" t="s">
        <v>22</v>
      </c>
      <c r="H616" s="28" t="s">
        <v>3583</v>
      </c>
      <c r="I616" s="28" t="s">
        <v>3584</v>
      </c>
      <c r="J616" s="28" t="s">
        <v>22</v>
      </c>
      <c r="K616" s="28" t="s">
        <v>3585</v>
      </c>
      <c r="L616" s="28" t="s">
        <v>1832</v>
      </c>
      <c r="M616" s="28" t="s">
        <v>3586</v>
      </c>
      <c r="N616" s="28" t="s">
        <v>3587</v>
      </c>
      <c r="O616" s="28" t="s">
        <v>3588</v>
      </c>
      <c r="P616" s="28" t="s">
        <v>3589</v>
      </c>
    </row>
    <row r="617" spans="1:16" hidden="1" x14ac:dyDescent="0.25">
      <c r="A617" s="28" t="s">
        <v>3590</v>
      </c>
      <c r="B617" s="28" t="s">
        <v>3591</v>
      </c>
      <c r="C617" s="28" t="s">
        <v>1827</v>
      </c>
      <c r="D617" s="28" t="s">
        <v>3581</v>
      </c>
      <c r="E617" s="28" t="s">
        <v>3592</v>
      </c>
      <c r="F617" s="28" t="s">
        <v>21</v>
      </c>
      <c r="G617" s="28" t="s">
        <v>22</v>
      </c>
      <c r="H617" s="28" t="s">
        <v>3583</v>
      </c>
      <c r="I617" s="28" t="s">
        <v>3593</v>
      </c>
      <c r="J617" s="28" t="s">
        <v>22</v>
      </c>
      <c r="K617" s="28" t="s">
        <v>3594</v>
      </c>
      <c r="L617" s="28" t="s">
        <v>1832</v>
      </c>
      <c r="M617" s="28" t="s">
        <v>3595</v>
      </c>
      <c r="N617" s="28" t="s">
        <v>3587</v>
      </c>
      <c r="O617" s="28" t="s">
        <v>3588</v>
      </c>
      <c r="P617" s="28" t="s">
        <v>3596</v>
      </c>
    </row>
    <row r="618" spans="1:16" hidden="1" x14ac:dyDescent="0.25">
      <c r="A618" s="28" t="s">
        <v>3597</v>
      </c>
      <c r="B618" s="28" t="s">
        <v>3598</v>
      </c>
      <c r="C618" s="28" t="s">
        <v>1827</v>
      </c>
      <c r="D618" s="28" t="s">
        <v>3581</v>
      </c>
      <c r="E618" s="28" t="s">
        <v>3599</v>
      </c>
      <c r="F618" s="28" t="s">
        <v>21</v>
      </c>
      <c r="G618" s="28" t="s">
        <v>22</v>
      </c>
      <c r="H618" s="28" t="s">
        <v>3583</v>
      </c>
      <c r="I618" s="28" t="s">
        <v>3600</v>
      </c>
      <c r="J618" s="28" t="s">
        <v>22</v>
      </c>
      <c r="K618" s="28" t="s">
        <v>3601</v>
      </c>
      <c r="L618" s="28" t="s">
        <v>1832</v>
      </c>
      <c r="M618" s="28" t="s">
        <v>3602</v>
      </c>
      <c r="N618" s="28" t="s">
        <v>3587</v>
      </c>
      <c r="O618" s="28" t="s">
        <v>3588</v>
      </c>
      <c r="P618" s="28" t="s">
        <v>3603</v>
      </c>
    </row>
    <row r="619" spans="1:16" hidden="1" x14ac:dyDescent="0.25">
      <c r="A619" s="28" t="s">
        <v>3604</v>
      </c>
      <c r="B619" s="28" t="s">
        <v>3605</v>
      </c>
      <c r="C619" s="28" t="s">
        <v>1827</v>
      </c>
      <c r="D619" s="28" t="s">
        <v>3581</v>
      </c>
      <c r="E619" s="28" t="s">
        <v>3606</v>
      </c>
      <c r="F619" s="28" t="s">
        <v>21</v>
      </c>
      <c r="G619" s="28" t="s">
        <v>22</v>
      </c>
      <c r="H619" s="28" t="s">
        <v>3583</v>
      </c>
      <c r="I619" s="28" t="s">
        <v>3607</v>
      </c>
      <c r="J619" s="28" t="s">
        <v>22</v>
      </c>
      <c r="K619" s="28" t="s">
        <v>3601</v>
      </c>
      <c r="L619" s="28" t="s">
        <v>1832</v>
      </c>
      <c r="M619" s="28" t="s">
        <v>3608</v>
      </c>
      <c r="N619" s="28" t="s">
        <v>3587</v>
      </c>
      <c r="O619" s="28" t="s">
        <v>3588</v>
      </c>
      <c r="P619" s="28" t="s">
        <v>3609</v>
      </c>
    </row>
    <row r="620" spans="1:16" hidden="1" x14ac:dyDescent="0.25">
      <c r="A620" s="28" t="s">
        <v>3610</v>
      </c>
      <c r="B620" s="28" t="s">
        <v>3611</v>
      </c>
      <c r="C620" s="28" t="s">
        <v>1827</v>
      </c>
      <c r="D620" s="28" t="s">
        <v>3581</v>
      </c>
      <c r="E620" s="28" t="s">
        <v>3612</v>
      </c>
      <c r="F620" s="28" t="s">
        <v>21</v>
      </c>
      <c r="G620" s="28" t="s">
        <v>22</v>
      </c>
      <c r="H620" s="28" t="s">
        <v>3583</v>
      </c>
      <c r="I620" s="28" t="s">
        <v>3613</v>
      </c>
      <c r="J620" s="28" t="s">
        <v>22</v>
      </c>
      <c r="K620" s="28" t="s">
        <v>3601</v>
      </c>
      <c r="L620" s="28" t="s">
        <v>1832</v>
      </c>
      <c r="M620" s="28" t="s">
        <v>3614</v>
      </c>
      <c r="N620" s="28" t="s">
        <v>3587</v>
      </c>
      <c r="O620" s="28" t="s">
        <v>3588</v>
      </c>
      <c r="P620" s="28" t="s">
        <v>3615</v>
      </c>
    </row>
    <row r="621" spans="1:16" hidden="1" x14ac:dyDescent="0.25">
      <c r="A621" s="28" t="s">
        <v>3616</v>
      </c>
      <c r="B621" s="28" t="s">
        <v>3617</v>
      </c>
      <c r="C621" s="28" t="s">
        <v>1827</v>
      </c>
      <c r="D621" s="28" t="s">
        <v>3581</v>
      </c>
      <c r="E621" s="28" t="s">
        <v>3618</v>
      </c>
      <c r="F621" s="28" t="s">
        <v>21</v>
      </c>
      <c r="G621" s="28" t="s">
        <v>22</v>
      </c>
      <c r="H621" s="28" t="s">
        <v>3583</v>
      </c>
      <c r="I621" s="28" t="s">
        <v>3619</v>
      </c>
      <c r="J621" s="28" t="s">
        <v>22</v>
      </c>
      <c r="K621" s="28" t="s">
        <v>3620</v>
      </c>
      <c r="L621" s="28" t="s">
        <v>1832</v>
      </c>
      <c r="M621" s="28" t="s">
        <v>3621</v>
      </c>
      <c r="N621" s="28" t="s">
        <v>3587</v>
      </c>
      <c r="O621" s="28" t="s">
        <v>3588</v>
      </c>
      <c r="P621" s="28" t="s">
        <v>3622</v>
      </c>
    </row>
    <row r="622" spans="1:16" hidden="1" x14ac:dyDescent="0.25">
      <c r="A622" s="28" t="s">
        <v>3623</v>
      </c>
      <c r="B622" s="28" t="s">
        <v>3624</v>
      </c>
      <c r="C622" s="28" t="s">
        <v>1827</v>
      </c>
      <c r="D622" s="28" t="s">
        <v>3625</v>
      </c>
      <c r="E622" s="28" t="s">
        <v>3626</v>
      </c>
      <c r="F622" s="28" t="s">
        <v>21</v>
      </c>
      <c r="G622" s="28" t="s">
        <v>22</v>
      </c>
      <c r="H622" s="28" t="s">
        <v>3627</v>
      </c>
      <c r="I622" s="28" t="s">
        <v>3628</v>
      </c>
      <c r="J622" s="28" t="s">
        <v>22</v>
      </c>
      <c r="K622" s="28" t="s">
        <v>3359</v>
      </c>
      <c r="L622" s="28" t="s">
        <v>1832</v>
      </c>
      <c r="M622" s="28" t="s">
        <v>3629</v>
      </c>
      <c r="N622" s="28" t="s">
        <v>3630</v>
      </c>
      <c r="O622" s="28" t="s">
        <v>3631</v>
      </c>
      <c r="P622" s="28" t="s">
        <v>3632</v>
      </c>
    </row>
    <row r="623" spans="1:16" hidden="1" x14ac:dyDescent="0.25">
      <c r="A623" s="28" t="s">
        <v>3633</v>
      </c>
      <c r="B623" s="28" t="s">
        <v>3634</v>
      </c>
      <c r="C623" s="28" t="s">
        <v>1827</v>
      </c>
      <c r="D623" s="28" t="s">
        <v>3625</v>
      </c>
      <c r="E623" s="28" t="s">
        <v>3635</v>
      </c>
      <c r="F623" s="28" t="s">
        <v>21</v>
      </c>
      <c r="G623" s="28" t="s">
        <v>22</v>
      </c>
      <c r="H623" s="28" t="s">
        <v>3627</v>
      </c>
      <c r="I623" s="28" t="s">
        <v>3636</v>
      </c>
      <c r="J623" s="28" t="s">
        <v>22</v>
      </c>
      <c r="K623" s="28" t="s">
        <v>3637</v>
      </c>
      <c r="L623" s="28" t="s">
        <v>1832</v>
      </c>
      <c r="M623" s="28" t="s">
        <v>3638</v>
      </c>
      <c r="N623" s="28" t="s">
        <v>3630</v>
      </c>
      <c r="O623" s="28" t="s">
        <v>3631</v>
      </c>
      <c r="P623" s="28" t="s">
        <v>3639</v>
      </c>
    </row>
    <row r="624" spans="1:16" hidden="1" x14ac:dyDescent="0.25">
      <c r="A624" s="28" t="s">
        <v>3640</v>
      </c>
      <c r="B624" s="28" t="s">
        <v>3641</v>
      </c>
      <c r="C624" s="28" t="s">
        <v>1827</v>
      </c>
      <c r="D624" s="28" t="s">
        <v>3625</v>
      </c>
      <c r="E624" s="28" t="s">
        <v>3642</v>
      </c>
      <c r="F624" s="28" t="s">
        <v>21</v>
      </c>
      <c r="G624" s="28" t="s">
        <v>22</v>
      </c>
      <c r="H624" s="28" t="s">
        <v>3627</v>
      </c>
      <c r="I624" s="28" t="s">
        <v>3643</v>
      </c>
      <c r="J624" s="28" t="s">
        <v>22</v>
      </c>
      <c r="K624" s="28" t="s">
        <v>3644</v>
      </c>
      <c r="L624" s="28" t="s">
        <v>1832</v>
      </c>
      <c r="M624" s="28" t="s">
        <v>3645</v>
      </c>
      <c r="N624" s="28" t="s">
        <v>3630</v>
      </c>
      <c r="O624" s="28" t="s">
        <v>3631</v>
      </c>
      <c r="P624" s="28" t="s">
        <v>3646</v>
      </c>
    </row>
    <row r="625" spans="1:16" hidden="1" x14ac:dyDescent="0.25">
      <c r="A625" s="28" t="s">
        <v>3647</v>
      </c>
      <c r="B625" s="28" t="s">
        <v>3648</v>
      </c>
      <c r="C625" s="28" t="s">
        <v>1827</v>
      </c>
      <c r="D625" s="28" t="s">
        <v>3625</v>
      </c>
      <c r="E625" s="28" t="s">
        <v>3649</v>
      </c>
      <c r="F625" s="28" t="s">
        <v>21</v>
      </c>
      <c r="G625" s="28" t="s">
        <v>22</v>
      </c>
      <c r="H625" s="28" t="s">
        <v>3627</v>
      </c>
      <c r="I625" s="28" t="s">
        <v>3650</v>
      </c>
      <c r="J625" s="28" t="s">
        <v>22</v>
      </c>
      <c r="K625" s="28" t="s">
        <v>3651</v>
      </c>
      <c r="L625" s="28" t="s">
        <v>1832</v>
      </c>
      <c r="M625" s="28" t="s">
        <v>3652</v>
      </c>
      <c r="N625" s="28" t="s">
        <v>3630</v>
      </c>
      <c r="O625" s="28" t="s">
        <v>3631</v>
      </c>
      <c r="P625" s="28" t="s">
        <v>3653</v>
      </c>
    </row>
    <row r="626" spans="1:16" hidden="1" x14ac:dyDescent="0.25">
      <c r="A626" s="28" t="s">
        <v>3654</v>
      </c>
      <c r="B626" s="28" t="s">
        <v>3655</v>
      </c>
      <c r="C626" s="28" t="s">
        <v>1827</v>
      </c>
      <c r="D626" s="28" t="s">
        <v>3625</v>
      </c>
      <c r="E626" s="28" t="s">
        <v>3656</v>
      </c>
      <c r="F626" s="28" t="s">
        <v>21</v>
      </c>
      <c r="G626" s="28" t="s">
        <v>22</v>
      </c>
      <c r="H626" s="28" t="s">
        <v>3627</v>
      </c>
      <c r="I626" s="28" t="s">
        <v>3657</v>
      </c>
      <c r="J626" s="28" t="s">
        <v>22</v>
      </c>
      <c r="K626" s="28" t="s">
        <v>3585</v>
      </c>
      <c r="L626" s="28" t="s">
        <v>1832</v>
      </c>
      <c r="M626" s="28" t="s">
        <v>3658</v>
      </c>
      <c r="N626" s="28" t="s">
        <v>3630</v>
      </c>
      <c r="O626" s="28" t="s">
        <v>3631</v>
      </c>
      <c r="P626" s="28" t="s">
        <v>3659</v>
      </c>
    </row>
    <row r="627" spans="1:16" hidden="1" x14ac:dyDescent="0.25">
      <c r="A627" s="28" t="s">
        <v>3660</v>
      </c>
      <c r="B627" s="28" t="s">
        <v>3661</v>
      </c>
      <c r="C627" s="28" t="s">
        <v>1827</v>
      </c>
      <c r="D627" s="28" t="s">
        <v>3625</v>
      </c>
      <c r="E627" s="28" t="s">
        <v>3662</v>
      </c>
      <c r="F627" s="28" t="s">
        <v>21</v>
      </c>
      <c r="G627" s="28" t="s">
        <v>22</v>
      </c>
      <c r="H627" s="28" t="s">
        <v>3627</v>
      </c>
      <c r="I627" s="28" t="s">
        <v>3663</v>
      </c>
      <c r="J627" s="28" t="s">
        <v>22</v>
      </c>
      <c r="K627" s="28" t="s">
        <v>3664</v>
      </c>
      <c r="L627" s="28" t="s">
        <v>1832</v>
      </c>
      <c r="M627" s="28" t="s">
        <v>3665</v>
      </c>
      <c r="N627" s="28" t="s">
        <v>3630</v>
      </c>
      <c r="O627" s="28" t="s">
        <v>3631</v>
      </c>
      <c r="P627" s="28" t="s">
        <v>3666</v>
      </c>
    </row>
    <row r="628" spans="1:16" hidden="1" x14ac:dyDescent="0.25">
      <c r="A628" s="28" t="s">
        <v>3667</v>
      </c>
      <c r="B628" s="28" t="s">
        <v>3668</v>
      </c>
      <c r="C628" s="28" t="s">
        <v>1827</v>
      </c>
      <c r="D628" s="28" t="s">
        <v>3625</v>
      </c>
      <c r="E628" s="28" t="s">
        <v>3669</v>
      </c>
      <c r="F628" s="28" t="s">
        <v>21</v>
      </c>
      <c r="G628" s="28" t="s">
        <v>22</v>
      </c>
      <c r="H628" s="28" t="s">
        <v>3627</v>
      </c>
      <c r="I628" s="28" t="s">
        <v>3670</v>
      </c>
      <c r="J628" s="28" t="s">
        <v>22</v>
      </c>
      <c r="K628" s="28" t="s">
        <v>3585</v>
      </c>
      <c r="L628" s="28" t="s">
        <v>1832</v>
      </c>
      <c r="M628" s="28" t="s">
        <v>3671</v>
      </c>
      <c r="N628" s="28" t="s">
        <v>3630</v>
      </c>
      <c r="O628" s="28" t="s">
        <v>3631</v>
      </c>
      <c r="P628" s="28" t="s">
        <v>3672</v>
      </c>
    </row>
    <row r="629" spans="1:16" hidden="1" x14ac:dyDescent="0.25">
      <c r="A629" s="28" t="s">
        <v>3673</v>
      </c>
      <c r="B629" s="28" t="s">
        <v>3674</v>
      </c>
      <c r="C629" s="28" t="s">
        <v>1827</v>
      </c>
      <c r="D629" s="28" t="s">
        <v>3675</v>
      </c>
      <c r="E629" s="28" t="s">
        <v>3676</v>
      </c>
      <c r="F629" s="28" t="s">
        <v>21</v>
      </c>
      <c r="G629" s="28" t="s">
        <v>22</v>
      </c>
      <c r="H629" s="28" t="s">
        <v>3677</v>
      </c>
      <c r="I629" s="28" t="s">
        <v>3678</v>
      </c>
      <c r="J629" s="28" t="s">
        <v>22</v>
      </c>
      <c r="K629" s="28" t="s">
        <v>3585</v>
      </c>
      <c r="L629" s="28" t="s">
        <v>1832</v>
      </c>
      <c r="M629" s="28" t="s">
        <v>3679</v>
      </c>
      <c r="N629" s="28" t="s">
        <v>3680</v>
      </c>
      <c r="O629" s="28" t="s">
        <v>3681</v>
      </c>
      <c r="P629" s="28" t="s">
        <v>3682</v>
      </c>
    </row>
    <row r="630" spans="1:16" hidden="1" x14ac:dyDescent="0.25">
      <c r="A630" s="28" t="s">
        <v>3683</v>
      </c>
      <c r="B630" s="28" t="s">
        <v>3684</v>
      </c>
      <c r="C630" s="28" t="s">
        <v>1827</v>
      </c>
      <c r="D630" s="28" t="s">
        <v>3675</v>
      </c>
      <c r="E630" s="28" t="s">
        <v>3685</v>
      </c>
      <c r="F630" s="28" t="s">
        <v>21</v>
      </c>
      <c r="G630" s="28" t="s">
        <v>22</v>
      </c>
      <c r="H630" s="28" t="s">
        <v>3677</v>
      </c>
      <c r="I630" s="28" t="s">
        <v>3686</v>
      </c>
      <c r="J630" s="28" t="s">
        <v>22</v>
      </c>
      <c r="K630" s="28" t="s">
        <v>3585</v>
      </c>
      <c r="L630" s="28" t="s">
        <v>1832</v>
      </c>
      <c r="M630" s="28" t="s">
        <v>3687</v>
      </c>
      <c r="N630" s="28" t="s">
        <v>3680</v>
      </c>
      <c r="O630" s="28" t="s">
        <v>3681</v>
      </c>
      <c r="P630" s="28" t="s">
        <v>3688</v>
      </c>
    </row>
    <row r="631" spans="1:16" hidden="1" x14ac:dyDescent="0.25">
      <c r="A631" s="28" t="s">
        <v>3689</v>
      </c>
      <c r="B631" s="28" t="s">
        <v>3690</v>
      </c>
      <c r="C631" s="28" t="s">
        <v>1827</v>
      </c>
      <c r="D631" s="28" t="s">
        <v>3675</v>
      </c>
      <c r="E631" s="28" t="s">
        <v>3691</v>
      </c>
      <c r="F631" s="28" t="s">
        <v>21</v>
      </c>
      <c r="G631" s="28" t="s">
        <v>22</v>
      </c>
      <c r="H631" s="28" t="s">
        <v>3677</v>
      </c>
      <c r="I631" s="28" t="s">
        <v>3692</v>
      </c>
      <c r="J631" s="28" t="s">
        <v>22</v>
      </c>
      <c r="K631" s="28" t="s">
        <v>3585</v>
      </c>
      <c r="L631" s="28" t="s">
        <v>1832</v>
      </c>
      <c r="M631" s="28" t="s">
        <v>3693</v>
      </c>
      <c r="N631" s="28" t="s">
        <v>3680</v>
      </c>
      <c r="O631" s="28" t="s">
        <v>3681</v>
      </c>
      <c r="P631" s="28" t="s">
        <v>3694</v>
      </c>
    </row>
    <row r="632" spans="1:16" hidden="1" x14ac:dyDescent="0.25">
      <c r="A632" s="28" t="s">
        <v>3695</v>
      </c>
      <c r="B632" s="28" t="s">
        <v>3696</v>
      </c>
      <c r="C632" s="28" t="s">
        <v>1827</v>
      </c>
      <c r="D632" s="28" t="s">
        <v>3675</v>
      </c>
      <c r="E632" s="28" t="s">
        <v>3697</v>
      </c>
      <c r="F632" s="28" t="s">
        <v>21</v>
      </c>
      <c r="G632" s="28" t="s">
        <v>22</v>
      </c>
      <c r="H632" s="28" t="s">
        <v>3677</v>
      </c>
      <c r="I632" s="28" t="s">
        <v>3698</v>
      </c>
      <c r="J632" s="28" t="s">
        <v>22</v>
      </c>
      <c r="K632" s="28" t="s">
        <v>3699</v>
      </c>
      <c r="L632" s="28" t="s">
        <v>1832</v>
      </c>
      <c r="M632" s="28" t="s">
        <v>3700</v>
      </c>
      <c r="N632" s="28" t="s">
        <v>3680</v>
      </c>
      <c r="O632" s="28" t="s">
        <v>3681</v>
      </c>
      <c r="P632" s="28" t="s">
        <v>3701</v>
      </c>
    </row>
    <row r="633" spans="1:16" hidden="1" x14ac:dyDescent="0.25">
      <c r="A633" s="28" t="s">
        <v>3702</v>
      </c>
      <c r="B633" s="28" t="s">
        <v>3703</v>
      </c>
      <c r="C633" s="28" t="s">
        <v>1827</v>
      </c>
      <c r="D633" s="28" t="s">
        <v>3675</v>
      </c>
      <c r="E633" s="28" t="s">
        <v>3704</v>
      </c>
      <c r="F633" s="28" t="s">
        <v>21</v>
      </c>
      <c r="G633" s="28" t="s">
        <v>22</v>
      </c>
      <c r="H633" s="28" t="s">
        <v>3677</v>
      </c>
      <c r="I633" s="28" t="s">
        <v>3705</v>
      </c>
      <c r="J633" s="28" t="s">
        <v>22</v>
      </c>
      <c r="K633" s="28" t="s">
        <v>3706</v>
      </c>
      <c r="L633" s="28" t="s">
        <v>1832</v>
      </c>
      <c r="M633" s="28" t="s">
        <v>3707</v>
      </c>
      <c r="N633" s="28" t="s">
        <v>3680</v>
      </c>
      <c r="O633" s="28" t="s">
        <v>3681</v>
      </c>
      <c r="P633" s="28" t="s">
        <v>3708</v>
      </c>
    </row>
    <row r="634" spans="1:16" hidden="1" x14ac:dyDescent="0.25">
      <c r="A634" s="28" t="s">
        <v>3709</v>
      </c>
      <c r="B634" s="28" t="s">
        <v>3710</v>
      </c>
      <c r="C634" s="28" t="s">
        <v>1827</v>
      </c>
      <c r="D634" s="28" t="s">
        <v>3711</v>
      </c>
      <c r="E634" s="28" t="s">
        <v>3712</v>
      </c>
      <c r="F634" s="28" t="s">
        <v>21</v>
      </c>
      <c r="G634" s="28" t="s">
        <v>22</v>
      </c>
      <c r="H634" s="28" t="s">
        <v>3713</v>
      </c>
      <c r="I634" s="28" t="s">
        <v>3714</v>
      </c>
      <c r="J634" s="28" t="s">
        <v>22</v>
      </c>
      <c r="K634" s="28" t="s">
        <v>3715</v>
      </c>
      <c r="L634" s="28" t="s">
        <v>1832</v>
      </c>
      <c r="M634" s="28" t="s">
        <v>3716</v>
      </c>
      <c r="N634" s="28" t="s">
        <v>3717</v>
      </c>
      <c r="O634" s="28" t="s">
        <v>3718</v>
      </c>
      <c r="P634" s="28" t="s">
        <v>3719</v>
      </c>
    </row>
    <row r="635" spans="1:16" hidden="1" x14ac:dyDescent="0.25">
      <c r="A635" s="28" t="s">
        <v>3720</v>
      </c>
      <c r="B635" s="28" t="s">
        <v>3721</v>
      </c>
      <c r="C635" s="28" t="s">
        <v>1827</v>
      </c>
      <c r="D635" s="28" t="s">
        <v>3711</v>
      </c>
      <c r="E635" s="28" t="s">
        <v>3722</v>
      </c>
      <c r="F635" s="28" t="s">
        <v>21</v>
      </c>
      <c r="G635" s="28" t="s">
        <v>22</v>
      </c>
      <c r="H635" s="28" t="s">
        <v>3713</v>
      </c>
      <c r="I635" s="28" t="s">
        <v>3723</v>
      </c>
      <c r="J635" s="28" t="s">
        <v>22</v>
      </c>
      <c r="K635" s="28" t="s">
        <v>3724</v>
      </c>
      <c r="L635" s="28" t="s">
        <v>1832</v>
      </c>
      <c r="M635" s="28" t="s">
        <v>3725</v>
      </c>
      <c r="N635" s="28" t="s">
        <v>3717</v>
      </c>
      <c r="O635" s="28" t="s">
        <v>3718</v>
      </c>
      <c r="P635" s="28" t="s">
        <v>3726</v>
      </c>
    </row>
    <row r="636" spans="1:16" hidden="1" x14ac:dyDescent="0.25">
      <c r="A636" s="28" t="s">
        <v>3727</v>
      </c>
      <c r="B636" s="28" t="s">
        <v>3728</v>
      </c>
      <c r="C636" s="28" t="s">
        <v>1827</v>
      </c>
      <c r="D636" s="28" t="s">
        <v>3711</v>
      </c>
      <c r="E636" s="28" t="s">
        <v>3722</v>
      </c>
      <c r="F636" s="28" t="s">
        <v>21</v>
      </c>
      <c r="G636" s="28" t="s">
        <v>22</v>
      </c>
      <c r="H636" s="28" t="s">
        <v>3713</v>
      </c>
      <c r="I636" s="28" t="s">
        <v>3729</v>
      </c>
      <c r="J636" s="28" t="s">
        <v>22</v>
      </c>
      <c r="K636" s="28" t="s">
        <v>3715</v>
      </c>
      <c r="L636" s="28" t="s">
        <v>1832</v>
      </c>
      <c r="M636" s="28" t="s">
        <v>3730</v>
      </c>
      <c r="N636" s="28" t="s">
        <v>3717</v>
      </c>
      <c r="O636" s="28" t="s">
        <v>3718</v>
      </c>
      <c r="P636" s="28" t="s">
        <v>3731</v>
      </c>
    </row>
    <row r="637" spans="1:16" hidden="1" x14ac:dyDescent="0.25">
      <c r="A637" s="28" t="s">
        <v>3732</v>
      </c>
      <c r="B637" s="28" t="s">
        <v>3733</v>
      </c>
      <c r="C637" s="28" t="s">
        <v>1827</v>
      </c>
      <c r="D637" s="28" t="s">
        <v>3711</v>
      </c>
      <c r="E637" s="28" t="s">
        <v>3734</v>
      </c>
      <c r="F637" s="28" t="s">
        <v>21</v>
      </c>
      <c r="G637" s="28" t="s">
        <v>22</v>
      </c>
      <c r="H637" s="28" t="s">
        <v>3713</v>
      </c>
      <c r="I637" s="28" t="s">
        <v>3735</v>
      </c>
      <c r="J637" s="28" t="s">
        <v>22</v>
      </c>
      <c r="K637" s="28" t="s">
        <v>3715</v>
      </c>
      <c r="L637" s="28" t="s">
        <v>1832</v>
      </c>
      <c r="M637" s="28" t="s">
        <v>3736</v>
      </c>
      <c r="N637" s="28" t="s">
        <v>3717</v>
      </c>
      <c r="O637" s="28" t="s">
        <v>3718</v>
      </c>
      <c r="P637" s="28" t="s">
        <v>3737</v>
      </c>
    </row>
    <row r="638" spans="1:16" hidden="1" x14ac:dyDescent="0.25">
      <c r="A638" s="28" t="s">
        <v>3738</v>
      </c>
      <c r="B638" s="28" t="s">
        <v>3739</v>
      </c>
      <c r="C638" s="28" t="s">
        <v>1827</v>
      </c>
      <c r="D638" s="28" t="s">
        <v>3711</v>
      </c>
      <c r="E638" s="28" t="s">
        <v>3740</v>
      </c>
      <c r="F638" s="28" t="s">
        <v>21</v>
      </c>
      <c r="G638" s="28" t="s">
        <v>22</v>
      </c>
      <c r="H638" s="28" t="s">
        <v>3713</v>
      </c>
      <c r="I638" s="28" t="s">
        <v>3741</v>
      </c>
      <c r="J638" s="28" t="s">
        <v>22</v>
      </c>
      <c r="K638" s="28" t="s">
        <v>3724</v>
      </c>
      <c r="L638" s="28" t="s">
        <v>1832</v>
      </c>
      <c r="M638" s="28" t="s">
        <v>3742</v>
      </c>
      <c r="N638" s="28" t="s">
        <v>3717</v>
      </c>
      <c r="O638" s="28" t="s">
        <v>3718</v>
      </c>
      <c r="P638" s="28" t="s">
        <v>3743</v>
      </c>
    </row>
    <row r="639" spans="1:16" hidden="1" x14ac:dyDescent="0.25">
      <c r="A639" s="28" t="s">
        <v>3744</v>
      </c>
      <c r="B639" s="28" t="s">
        <v>3745</v>
      </c>
      <c r="C639" s="28" t="s">
        <v>1827</v>
      </c>
      <c r="D639" s="28" t="s">
        <v>3711</v>
      </c>
      <c r="E639" s="28" t="s">
        <v>3740</v>
      </c>
      <c r="F639" s="28" t="s">
        <v>21</v>
      </c>
      <c r="G639" s="28" t="s">
        <v>22</v>
      </c>
      <c r="H639" s="28" t="s">
        <v>3713</v>
      </c>
      <c r="I639" s="28" t="s">
        <v>3746</v>
      </c>
      <c r="J639" s="28" t="s">
        <v>22</v>
      </c>
      <c r="K639" s="28" t="s">
        <v>3715</v>
      </c>
      <c r="L639" s="28" t="s">
        <v>1832</v>
      </c>
      <c r="M639" s="28" t="s">
        <v>3747</v>
      </c>
      <c r="N639" s="28" t="s">
        <v>3717</v>
      </c>
      <c r="O639" s="28" t="s">
        <v>3718</v>
      </c>
      <c r="P639" s="28" t="s">
        <v>3748</v>
      </c>
    </row>
    <row r="640" spans="1:16" hidden="1" x14ac:dyDescent="0.25">
      <c r="A640" s="28" t="s">
        <v>3749</v>
      </c>
      <c r="B640" s="28" t="s">
        <v>3750</v>
      </c>
      <c r="C640" s="28" t="s">
        <v>1827</v>
      </c>
      <c r="D640" s="28" t="s">
        <v>3711</v>
      </c>
      <c r="E640" s="28" t="s">
        <v>3751</v>
      </c>
      <c r="F640" s="28" t="s">
        <v>21</v>
      </c>
      <c r="G640" s="28" t="s">
        <v>22</v>
      </c>
      <c r="H640" s="28" t="s">
        <v>3713</v>
      </c>
      <c r="I640" s="28" t="s">
        <v>3752</v>
      </c>
      <c r="J640" s="28" t="s">
        <v>22</v>
      </c>
      <c r="K640" s="28" t="s">
        <v>3753</v>
      </c>
      <c r="L640" s="28" t="s">
        <v>1832</v>
      </c>
      <c r="M640" s="28" t="s">
        <v>3754</v>
      </c>
      <c r="N640" s="28" t="s">
        <v>3717</v>
      </c>
      <c r="O640" s="28" t="s">
        <v>3718</v>
      </c>
      <c r="P640" s="28" t="s">
        <v>3755</v>
      </c>
    </row>
    <row r="641" spans="1:16" hidden="1" x14ac:dyDescent="0.25">
      <c r="A641" s="28" t="s">
        <v>3756</v>
      </c>
      <c r="B641" s="28" t="s">
        <v>3757</v>
      </c>
      <c r="C641" s="28" t="s">
        <v>1827</v>
      </c>
      <c r="D641" s="28" t="s">
        <v>3758</v>
      </c>
      <c r="E641" s="28" t="s">
        <v>3759</v>
      </c>
      <c r="F641" s="28" t="s">
        <v>21</v>
      </c>
      <c r="G641" s="28" t="s">
        <v>22</v>
      </c>
      <c r="H641" s="28" t="s">
        <v>3760</v>
      </c>
      <c r="I641" s="28" t="s">
        <v>3761</v>
      </c>
      <c r="J641" s="28" t="s">
        <v>22</v>
      </c>
      <c r="K641" s="28" t="s">
        <v>3762</v>
      </c>
      <c r="L641" s="28" t="s">
        <v>1832</v>
      </c>
      <c r="M641" s="28" t="s">
        <v>3763</v>
      </c>
      <c r="N641" s="28" t="s">
        <v>3764</v>
      </c>
      <c r="O641" s="28" t="s">
        <v>3765</v>
      </c>
      <c r="P641" s="28" t="s">
        <v>3766</v>
      </c>
    </row>
    <row r="642" spans="1:16" hidden="1" x14ac:dyDescent="0.25">
      <c r="A642" s="28" t="s">
        <v>3767</v>
      </c>
      <c r="B642" s="28" t="s">
        <v>3768</v>
      </c>
      <c r="C642" s="28" t="s">
        <v>1827</v>
      </c>
      <c r="D642" s="28" t="s">
        <v>3758</v>
      </c>
      <c r="E642" s="28" t="s">
        <v>3769</v>
      </c>
      <c r="F642" s="28" t="s">
        <v>21</v>
      </c>
      <c r="G642" s="28" t="s">
        <v>22</v>
      </c>
      <c r="H642" s="28" t="s">
        <v>3760</v>
      </c>
      <c r="I642" s="28" t="s">
        <v>3770</v>
      </c>
      <c r="J642" s="28" t="s">
        <v>22</v>
      </c>
      <c r="K642" s="28" t="s">
        <v>3585</v>
      </c>
      <c r="L642" s="28" t="s">
        <v>1832</v>
      </c>
      <c r="M642" s="28" t="s">
        <v>3771</v>
      </c>
      <c r="N642" s="28" t="s">
        <v>3764</v>
      </c>
      <c r="O642" s="28" t="s">
        <v>3765</v>
      </c>
      <c r="P642" s="28" t="s">
        <v>3772</v>
      </c>
    </row>
    <row r="643" spans="1:16" hidden="1" x14ac:dyDescent="0.25">
      <c r="A643" s="28" t="s">
        <v>3773</v>
      </c>
      <c r="B643" s="28" t="s">
        <v>3774</v>
      </c>
      <c r="C643" s="28" t="s">
        <v>1827</v>
      </c>
      <c r="D643" s="28" t="s">
        <v>3758</v>
      </c>
      <c r="E643" s="28" t="s">
        <v>3775</v>
      </c>
      <c r="F643" s="28" t="s">
        <v>21</v>
      </c>
      <c r="G643" s="28" t="s">
        <v>22</v>
      </c>
      <c r="H643" s="28" t="s">
        <v>3760</v>
      </c>
      <c r="I643" s="28" t="s">
        <v>3776</v>
      </c>
      <c r="J643" s="28" t="s">
        <v>22</v>
      </c>
      <c r="K643" s="28" t="s">
        <v>3777</v>
      </c>
      <c r="L643" s="28" t="s">
        <v>1832</v>
      </c>
      <c r="M643" s="28" t="s">
        <v>3778</v>
      </c>
      <c r="N643" s="28" t="s">
        <v>3764</v>
      </c>
      <c r="O643" s="28" t="s">
        <v>3765</v>
      </c>
      <c r="P643" s="28" t="s">
        <v>3779</v>
      </c>
    </row>
    <row r="644" spans="1:16" hidden="1" x14ac:dyDescent="0.25">
      <c r="A644" s="28" t="s">
        <v>3780</v>
      </c>
      <c r="B644" s="28" t="s">
        <v>3781</v>
      </c>
      <c r="C644" s="28" t="s">
        <v>1827</v>
      </c>
      <c r="D644" s="28" t="s">
        <v>3758</v>
      </c>
      <c r="E644" s="28" t="s">
        <v>3782</v>
      </c>
      <c r="F644" s="28" t="s">
        <v>21</v>
      </c>
      <c r="G644" s="28" t="s">
        <v>22</v>
      </c>
      <c r="H644" s="28" t="s">
        <v>3760</v>
      </c>
      <c r="I644" s="28" t="s">
        <v>3783</v>
      </c>
      <c r="J644" s="28" t="s">
        <v>22</v>
      </c>
      <c r="K644" s="28" t="s">
        <v>3784</v>
      </c>
      <c r="L644" s="28" t="s">
        <v>1832</v>
      </c>
      <c r="M644" s="28" t="s">
        <v>3785</v>
      </c>
      <c r="N644" s="28" t="s">
        <v>3764</v>
      </c>
      <c r="O644" s="28" t="s">
        <v>3765</v>
      </c>
      <c r="P644" s="28" t="s">
        <v>3786</v>
      </c>
    </row>
    <row r="645" spans="1:16" hidden="1" x14ac:dyDescent="0.25">
      <c r="A645" s="28" t="s">
        <v>3787</v>
      </c>
      <c r="B645" s="28" t="s">
        <v>3788</v>
      </c>
      <c r="C645" s="28" t="s">
        <v>1827</v>
      </c>
      <c r="D645" s="28" t="s">
        <v>3758</v>
      </c>
      <c r="E645" s="28" t="s">
        <v>3789</v>
      </c>
      <c r="F645" s="28" t="s">
        <v>21</v>
      </c>
      <c r="G645" s="28" t="s">
        <v>22</v>
      </c>
      <c r="H645" s="28" t="s">
        <v>3760</v>
      </c>
      <c r="I645" s="28" t="s">
        <v>3790</v>
      </c>
      <c r="J645" s="28" t="s">
        <v>22</v>
      </c>
      <c r="K645" s="28" t="s">
        <v>3585</v>
      </c>
      <c r="L645" s="28" t="s">
        <v>1832</v>
      </c>
      <c r="M645" s="28" t="s">
        <v>3791</v>
      </c>
      <c r="N645" s="28" t="s">
        <v>3764</v>
      </c>
      <c r="O645" s="28" t="s">
        <v>3765</v>
      </c>
      <c r="P645" s="28" t="s">
        <v>3792</v>
      </c>
    </row>
    <row r="646" spans="1:16" hidden="1" x14ac:dyDescent="0.25">
      <c r="A646" s="28" t="s">
        <v>3793</v>
      </c>
      <c r="B646" s="28" t="s">
        <v>3794</v>
      </c>
      <c r="C646" s="28" t="s">
        <v>1827</v>
      </c>
      <c r="D646" s="28" t="s">
        <v>3758</v>
      </c>
      <c r="E646" s="28" t="s">
        <v>3795</v>
      </c>
      <c r="F646" s="28" t="s">
        <v>21</v>
      </c>
      <c r="G646" s="28" t="s">
        <v>22</v>
      </c>
      <c r="H646" s="28" t="s">
        <v>3760</v>
      </c>
      <c r="I646" s="28" t="s">
        <v>3796</v>
      </c>
      <c r="J646" s="28" t="s">
        <v>22</v>
      </c>
      <c r="K646" s="28" t="s">
        <v>3784</v>
      </c>
      <c r="L646" s="28" t="s">
        <v>1832</v>
      </c>
      <c r="M646" s="28" t="s">
        <v>3797</v>
      </c>
      <c r="N646" s="28" t="s">
        <v>3764</v>
      </c>
      <c r="O646" s="28" t="s">
        <v>3765</v>
      </c>
      <c r="P646" s="28" t="s">
        <v>3798</v>
      </c>
    </row>
    <row r="647" spans="1:16" hidden="1" x14ac:dyDescent="0.25">
      <c r="A647" s="28" t="s">
        <v>3799</v>
      </c>
      <c r="B647" s="28" t="s">
        <v>3800</v>
      </c>
      <c r="C647" s="28" t="s">
        <v>1827</v>
      </c>
      <c r="D647" s="28" t="s">
        <v>3758</v>
      </c>
      <c r="E647" s="28" t="s">
        <v>3801</v>
      </c>
      <c r="F647" s="28" t="s">
        <v>21</v>
      </c>
      <c r="G647" s="28" t="s">
        <v>22</v>
      </c>
      <c r="H647" s="28" t="s">
        <v>3760</v>
      </c>
      <c r="I647" s="28" t="s">
        <v>3802</v>
      </c>
      <c r="J647" s="28" t="s">
        <v>22</v>
      </c>
      <c r="K647" s="28" t="s">
        <v>3585</v>
      </c>
      <c r="L647" s="28" t="s">
        <v>1832</v>
      </c>
      <c r="M647" s="28" t="s">
        <v>3803</v>
      </c>
      <c r="N647" s="28" t="s">
        <v>3764</v>
      </c>
      <c r="O647" s="28" t="s">
        <v>3765</v>
      </c>
      <c r="P647" s="28" t="s">
        <v>3804</v>
      </c>
    </row>
    <row r="648" spans="1:16" hidden="1" x14ac:dyDescent="0.25">
      <c r="A648" s="28" t="s">
        <v>3805</v>
      </c>
      <c r="B648" s="28" t="s">
        <v>3806</v>
      </c>
      <c r="C648" s="28" t="s">
        <v>1827</v>
      </c>
      <c r="D648" s="28" t="s">
        <v>3758</v>
      </c>
      <c r="E648" s="28" t="s">
        <v>3807</v>
      </c>
      <c r="F648" s="28" t="s">
        <v>21</v>
      </c>
      <c r="G648" s="28" t="s">
        <v>22</v>
      </c>
      <c r="H648" s="28" t="s">
        <v>3760</v>
      </c>
      <c r="I648" s="28" t="s">
        <v>3808</v>
      </c>
      <c r="J648" s="28" t="s">
        <v>22</v>
      </c>
      <c r="K648" s="28" t="s">
        <v>3585</v>
      </c>
      <c r="L648" s="28" t="s">
        <v>1832</v>
      </c>
      <c r="M648" s="28" t="s">
        <v>3809</v>
      </c>
      <c r="N648" s="28" t="s">
        <v>3764</v>
      </c>
      <c r="O648" s="28" t="s">
        <v>3765</v>
      </c>
      <c r="P648" s="28" t="s">
        <v>3810</v>
      </c>
    </row>
    <row r="649" spans="1:16" hidden="1" x14ac:dyDescent="0.25">
      <c r="A649" s="28" t="s">
        <v>3811</v>
      </c>
      <c r="B649" s="28" t="s">
        <v>3812</v>
      </c>
      <c r="C649" s="28" t="s">
        <v>1827</v>
      </c>
      <c r="D649" s="28" t="s">
        <v>3758</v>
      </c>
      <c r="E649" s="28" t="s">
        <v>3813</v>
      </c>
      <c r="F649" s="28" t="s">
        <v>21</v>
      </c>
      <c r="G649" s="28" t="s">
        <v>22</v>
      </c>
      <c r="H649" s="28" t="s">
        <v>3760</v>
      </c>
      <c r="I649" s="28" t="s">
        <v>3814</v>
      </c>
      <c r="J649" s="28" t="s">
        <v>22</v>
      </c>
      <c r="K649" s="28" t="s">
        <v>3585</v>
      </c>
      <c r="L649" s="28" t="s">
        <v>1832</v>
      </c>
      <c r="M649" s="28" t="s">
        <v>3815</v>
      </c>
      <c r="N649" s="28" t="s">
        <v>3764</v>
      </c>
      <c r="O649" s="28" t="s">
        <v>3765</v>
      </c>
      <c r="P649" s="28" t="s">
        <v>3816</v>
      </c>
    </row>
    <row r="650" spans="1:16" hidden="1" x14ac:dyDescent="0.25">
      <c r="A650" s="28" t="s">
        <v>3817</v>
      </c>
      <c r="B650" s="28" t="s">
        <v>3818</v>
      </c>
      <c r="C650" s="28" t="s">
        <v>1827</v>
      </c>
      <c r="D650" s="28" t="s">
        <v>3758</v>
      </c>
      <c r="E650" s="28" t="s">
        <v>3819</v>
      </c>
      <c r="F650" s="28" t="s">
        <v>21</v>
      </c>
      <c r="G650" s="28" t="s">
        <v>22</v>
      </c>
      <c r="H650" s="28" t="s">
        <v>3760</v>
      </c>
      <c r="I650" s="28" t="s">
        <v>3820</v>
      </c>
      <c r="J650" s="28" t="s">
        <v>22</v>
      </c>
      <c r="K650" s="28" t="s">
        <v>3585</v>
      </c>
      <c r="L650" s="28" t="s">
        <v>1832</v>
      </c>
      <c r="M650" s="28" t="s">
        <v>3821</v>
      </c>
      <c r="N650" s="28" t="s">
        <v>3764</v>
      </c>
      <c r="O650" s="28" t="s">
        <v>3765</v>
      </c>
      <c r="P650" s="28" t="s">
        <v>3822</v>
      </c>
    </row>
    <row r="651" spans="1:16" hidden="1" x14ac:dyDescent="0.25">
      <c r="A651" s="28" t="s">
        <v>3823</v>
      </c>
      <c r="B651" s="28" t="s">
        <v>3824</v>
      </c>
      <c r="C651" s="28" t="s">
        <v>1827</v>
      </c>
      <c r="D651" s="28" t="s">
        <v>3758</v>
      </c>
      <c r="E651" s="28" t="s">
        <v>3825</v>
      </c>
      <c r="F651" s="28" t="s">
        <v>21</v>
      </c>
      <c r="G651" s="28" t="s">
        <v>22</v>
      </c>
      <c r="H651" s="28" t="s">
        <v>3760</v>
      </c>
      <c r="I651" s="28" t="s">
        <v>3826</v>
      </c>
      <c r="J651" s="28" t="s">
        <v>22</v>
      </c>
      <c r="K651" s="28" t="s">
        <v>3827</v>
      </c>
      <c r="L651" s="28" t="s">
        <v>1832</v>
      </c>
      <c r="M651" s="28" t="s">
        <v>3828</v>
      </c>
      <c r="N651" s="28" t="s">
        <v>3764</v>
      </c>
      <c r="O651" s="28" t="s">
        <v>3765</v>
      </c>
      <c r="P651" s="28" t="s">
        <v>3829</v>
      </c>
    </row>
    <row r="652" spans="1:16" hidden="1" x14ac:dyDescent="0.25">
      <c r="A652" s="28" t="s">
        <v>3830</v>
      </c>
      <c r="B652" s="28" t="s">
        <v>3831</v>
      </c>
      <c r="C652" s="28" t="s">
        <v>1827</v>
      </c>
      <c r="D652" s="28" t="s">
        <v>3758</v>
      </c>
      <c r="E652" s="28" t="s">
        <v>3832</v>
      </c>
      <c r="F652" s="28" t="s">
        <v>21</v>
      </c>
      <c r="G652" s="28" t="s">
        <v>22</v>
      </c>
      <c r="H652" s="28" t="s">
        <v>3760</v>
      </c>
      <c r="I652" s="28" t="s">
        <v>3833</v>
      </c>
      <c r="J652" s="28" t="s">
        <v>22</v>
      </c>
      <c r="K652" s="28" t="s">
        <v>3784</v>
      </c>
      <c r="L652" s="28" t="s">
        <v>1832</v>
      </c>
      <c r="M652" s="28" t="s">
        <v>3834</v>
      </c>
      <c r="N652" s="28" t="s">
        <v>3764</v>
      </c>
      <c r="O652" s="28" t="s">
        <v>3765</v>
      </c>
      <c r="P652" s="28" t="s">
        <v>3835</v>
      </c>
    </row>
    <row r="653" spans="1:16" hidden="1" x14ac:dyDescent="0.25">
      <c r="A653" s="28" t="s">
        <v>3836</v>
      </c>
      <c r="B653" s="28" t="s">
        <v>3837</v>
      </c>
      <c r="C653" s="28" t="s">
        <v>1827</v>
      </c>
      <c r="D653" s="28" t="s">
        <v>3838</v>
      </c>
      <c r="E653" s="28" t="s">
        <v>3839</v>
      </c>
      <c r="F653" s="28" t="s">
        <v>21</v>
      </c>
      <c r="G653" s="28" t="s">
        <v>22</v>
      </c>
      <c r="H653" s="28" t="s">
        <v>3840</v>
      </c>
      <c r="I653" s="28" t="s">
        <v>3841</v>
      </c>
      <c r="J653" s="28" t="s">
        <v>22</v>
      </c>
      <c r="K653" s="28" t="s">
        <v>3842</v>
      </c>
      <c r="L653" s="28" t="s">
        <v>1832</v>
      </c>
      <c r="M653" s="28" t="s">
        <v>3843</v>
      </c>
      <c r="N653" s="28" t="s">
        <v>3844</v>
      </c>
      <c r="O653" s="28" t="s">
        <v>3845</v>
      </c>
      <c r="P653" s="28" t="s">
        <v>3846</v>
      </c>
    </row>
    <row r="654" spans="1:16" hidden="1" x14ac:dyDescent="0.25">
      <c r="A654" s="28" t="s">
        <v>3847</v>
      </c>
      <c r="B654" s="28" t="s">
        <v>3848</v>
      </c>
      <c r="C654" s="28" t="s">
        <v>1827</v>
      </c>
      <c r="D654" s="28" t="s">
        <v>3838</v>
      </c>
      <c r="E654" s="28" t="s">
        <v>3849</v>
      </c>
      <c r="F654" s="28" t="s">
        <v>21</v>
      </c>
      <c r="G654" s="28" t="s">
        <v>22</v>
      </c>
      <c r="H654" s="28" t="s">
        <v>3840</v>
      </c>
      <c r="I654" s="28" t="s">
        <v>3850</v>
      </c>
      <c r="J654" s="28" t="s">
        <v>22</v>
      </c>
      <c r="K654" s="28" t="s">
        <v>3842</v>
      </c>
      <c r="L654" s="28" t="s">
        <v>1832</v>
      </c>
      <c r="M654" s="28" t="s">
        <v>3851</v>
      </c>
      <c r="N654" s="28" t="s">
        <v>3844</v>
      </c>
      <c r="O654" s="28" t="s">
        <v>3845</v>
      </c>
      <c r="P654" s="28" t="s">
        <v>3852</v>
      </c>
    </row>
    <row r="655" spans="1:16" hidden="1" x14ac:dyDescent="0.25">
      <c r="A655" s="28" t="s">
        <v>3853</v>
      </c>
      <c r="B655" s="28" t="s">
        <v>3854</v>
      </c>
      <c r="C655" s="28" t="s">
        <v>1827</v>
      </c>
      <c r="D655" s="28" t="s">
        <v>3838</v>
      </c>
      <c r="E655" s="28" t="s">
        <v>3855</v>
      </c>
      <c r="F655" s="28" t="s">
        <v>21</v>
      </c>
      <c r="G655" s="28" t="s">
        <v>22</v>
      </c>
      <c r="H655" s="28" t="s">
        <v>3840</v>
      </c>
      <c r="I655" s="28" t="s">
        <v>3856</v>
      </c>
      <c r="J655" s="28" t="s">
        <v>22</v>
      </c>
      <c r="K655" s="28" t="s">
        <v>3842</v>
      </c>
      <c r="L655" s="28" t="s">
        <v>1832</v>
      </c>
      <c r="M655" s="28" t="s">
        <v>3857</v>
      </c>
      <c r="N655" s="28" t="s">
        <v>3844</v>
      </c>
      <c r="O655" s="28" t="s">
        <v>3845</v>
      </c>
      <c r="P655" s="28" t="s">
        <v>3858</v>
      </c>
    </row>
    <row r="656" spans="1:16" hidden="1" x14ac:dyDescent="0.25">
      <c r="A656" s="28" t="s">
        <v>3859</v>
      </c>
      <c r="B656" s="28" t="s">
        <v>3860</v>
      </c>
      <c r="C656" s="28" t="s">
        <v>1827</v>
      </c>
      <c r="D656" s="28" t="s">
        <v>3838</v>
      </c>
      <c r="E656" s="28" t="s">
        <v>3861</v>
      </c>
      <c r="F656" s="28" t="s">
        <v>21</v>
      </c>
      <c r="G656" s="28" t="s">
        <v>22</v>
      </c>
      <c r="H656" s="28" t="s">
        <v>3840</v>
      </c>
      <c r="I656" s="28" t="s">
        <v>3862</v>
      </c>
      <c r="J656" s="28" t="s">
        <v>22</v>
      </c>
      <c r="K656" s="28" t="s">
        <v>3762</v>
      </c>
      <c r="L656" s="28" t="s">
        <v>1832</v>
      </c>
      <c r="M656" s="28" t="s">
        <v>3863</v>
      </c>
      <c r="N656" s="28" t="s">
        <v>3844</v>
      </c>
      <c r="O656" s="28" t="s">
        <v>3845</v>
      </c>
      <c r="P656" s="28" t="s">
        <v>3864</v>
      </c>
    </row>
    <row r="657" spans="1:16" hidden="1" x14ac:dyDescent="0.25">
      <c r="A657" s="28" t="s">
        <v>3865</v>
      </c>
      <c r="B657" s="28" t="s">
        <v>3866</v>
      </c>
      <c r="C657" s="28" t="s">
        <v>1827</v>
      </c>
      <c r="D657" s="28" t="s">
        <v>3838</v>
      </c>
      <c r="E657" s="28" t="s">
        <v>3867</v>
      </c>
      <c r="F657" s="28" t="s">
        <v>21</v>
      </c>
      <c r="G657" s="28" t="s">
        <v>22</v>
      </c>
      <c r="H657" s="28" t="s">
        <v>3840</v>
      </c>
      <c r="I657" s="28" t="s">
        <v>3868</v>
      </c>
      <c r="J657" s="28" t="s">
        <v>22</v>
      </c>
      <c r="K657" s="28" t="s">
        <v>3869</v>
      </c>
      <c r="L657" s="28" t="s">
        <v>1832</v>
      </c>
      <c r="M657" s="28" t="s">
        <v>3870</v>
      </c>
      <c r="N657" s="28" t="s">
        <v>3844</v>
      </c>
      <c r="O657" s="28" t="s">
        <v>3845</v>
      </c>
      <c r="P657" s="28" t="s">
        <v>3871</v>
      </c>
    </row>
    <row r="658" spans="1:16" hidden="1" x14ac:dyDescent="0.25">
      <c r="A658" s="28" t="s">
        <v>3872</v>
      </c>
      <c r="B658" s="28" t="s">
        <v>3873</v>
      </c>
      <c r="C658" s="28" t="s">
        <v>1827</v>
      </c>
      <c r="D658" s="28" t="s">
        <v>3838</v>
      </c>
      <c r="E658" s="28" t="s">
        <v>3874</v>
      </c>
      <c r="F658" s="28" t="s">
        <v>21</v>
      </c>
      <c r="G658" s="28" t="s">
        <v>22</v>
      </c>
      <c r="H658" s="28" t="s">
        <v>3840</v>
      </c>
      <c r="I658" s="28" t="s">
        <v>3875</v>
      </c>
      <c r="J658" s="28" t="s">
        <v>22</v>
      </c>
      <c r="K658" s="28" t="s">
        <v>3869</v>
      </c>
      <c r="L658" s="28" t="s">
        <v>1832</v>
      </c>
      <c r="M658" s="28" t="s">
        <v>3876</v>
      </c>
      <c r="N658" s="28" t="s">
        <v>3844</v>
      </c>
      <c r="O658" s="28" t="s">
        <v>3845</v>
      </c>
      <c r="P658" s="28" t="s">
        <v>3877</v>
      </c>
    </row>
    <row r="659" spans="1:16" hidden="1" x14ac:dyDescent="0.25">
      <c r="A659" s="28" t="s">
        <v>3878</v>
      </c>
      <c r="B659" s="28" t="s">
        <v>3879</v>
      </c>
      <c r="C659" s="28" t="s">
        <v>1827</v>
      </c>
      <c r="D659" s="28" t="s">
        <v>3838</v>
      </c>
      <c r="E659" s="28" t="s">
        <v>3880</v>
      </c>
      <c r="F659" s="28" t="s">
        <v>21</v>
      </c>
      <c r="G659" s="28" t="s">
        <v>22</v>
      </c>
      <c r="H659" s="28" t="s">
        <v>3840</v>
      </c>
      <c r="I659" s="28" t="s">
        <v>3881</v>
      </c>
      <c r="J659" s="28" t="s">
        <v>22</v>
      </c>
      <c r="K659" s="28" t="s">
        <v>3882</v>
      </c>
      <c r="L659" s="28" t="s">
        <v>1832</v>
      </c>
      <c r="M659" s="28" t="s">
        <v>3883</v>
      </c>
      <c r="N659" s="28" t="s">
        <v>3844</v>
      </c>
      <c r="O659" s="28" t="s">
        <v>3845</v>
      </c>
      <c r="P659" s="28" t="s">
        <v>3884</v>
      </c>
    </row>
    <row r="660" spans="1:16" hidden="1" x14ac:dyDescent="0.25">
      <c r="A660" s="28" t="s">
        <v>3885</v>
      </c>
      <c r="B660" s="28" t="s">
        <v>3886</v>
      </c>
      <c r="C660" s="28" t="s">
        <v>1827</v>
      </c>
      <c r="D660" s="28" t="s">
        <v>3838</v>
      </c>
      <c r="E660" s="28" t="s">
        <v>3887</v>
      </c>
      <c r="F660" s="28" t="s">
        <v>21</v>
      </c>
      <c r="G660" s="28" t="s">
        <v>22</v>
      </c>
      <c r="H660" s="28" t="s">
        <v>3840</v>
      </c>
      <c r="I660" s="28" t="s">
        <v>3888</v>
      </c>
      <c r="J660" s="28" t="s">
        <v>22</v>
      </c>
      <c r="K660" s="28" t="s">
        <v>3889</v>
      </c>
      <c r="L660" s="28" t="s">
        <v>1832</v>
      </c>
      <c r="M660" s="28" t="s">
        <v>3890</v>
      </c>
      <c r="N660" s="28" t="s">
        <v>3844</v>
      </c>
      <c r="O660" s="28" t="s">
        <v>3845</v>
      </c>
      <c r="P660" s="28" t="s">
        <v>3891</v>
      </c>
    </row>
    <row r="661" spans="1:16" hidden="1" x14ac:dyDescent="0.25">
      <c r="A661" s="28" t="s">
        <v>3892</v>
      </c>
      <c r="B661" s="28" t="s">
        <v>3893</v>
      </c>
      <c r="C661" s="28" t="s">
        <v>1827</v>
      </c>
      <c r="D661" s="28" t="s">
        <v>3838</v>
      </c>
      <c r="E661" s="28" t="s">
        <v>3887</v>
      </c>
      <c r="F661" s="28" t="s">
        <v>21</v>
      </c>
      <c r="G661" s="28" t="s">
        <v>22</v>
      </c>
      <c r="H661" s="28" t="s">
        <v>3840</v>
      </c>
      <c r="I661" s="28" t="s">
        <v>3894</v>
      </c>
      <c r="J661" s="28" t="s">
        <v>22</v>
      </c>
      <c r="K661" s="28" t="s">
        <v>3895</v>
      </c>
      <c r="L661" s="28" t="s">
        <v>1832</v>
      </c>
      <c r="M661" s="28" t="s">
        <v>3896</v>
      </c>
      <c r="N661" s="28" t="s">
        <v>3844</v>
      </c>
      <c r="O661" s="28" t="s">
        <v>3845</v>
      </c>
      <c r="P661" s="28" t="s">
        <v>3897</v>
      </c>
    </row>
    <row r="662" spans="1:16" hidden="1" x14ac:dyDescent="0.25">
      <c r="A662" s="28" t="s">
        <v>3898</v>
      </c>
      <c r="B662" s="28" t="s">
        <v>3899</v>
      </c>
      <c r="C662" s="28" t="s">
        <v>1827</v>
      </c>
      <c r="D662" s="28" t="s">
        <v>3838</v>
      </c>
      <c r="E662" s="28" t="s">
        <v>3887</v>
      </c>
      <c r="F662" s="28" t="s">
        <v>21</v>
      </c>
      <c r="G662" s="28" t="s">
        <v>22</v>
      </c>
      <c r="H662" s="28" t="s">
        <v>3840</v>
      </c>
      <c r="I662" s="28" t="s">
        <v>3900</v>
      </c>
      <c r="J662" s="28" t="s">
        <v>22</v>
      </c>
      <c r="K662" s="28" t="s">
        <v>3901</v>
      </c>
      <c r="L662" s="28" t="s">
        <v>1832</v>
      </c>
      <c r="M662" s="28" t="s">
        <v>3902</v>
      </c>
      <c r="N662" s="28" t="s">
        <v>3844</v>
      </c>
      <c r="O662" s="28" t="s">
        <v>3845</v>
      </c>
      <c r="P662" s="28" t="s">
        <v>3903</v>
      </c>
    </row>
    <row r="663" spans="1:16" hidden="1" x14ac:dyDescent="0.25">
      <c r="A663" s="28" t="s">
        <v>3904</v>
      </c>
      <c r="B663" s="28" t="s">
        <v>3905</v>
      </c>
      <c r="C663" s="28" t="s">
        <v>1827</v>
      </c>
      <c r="D663" s="28" t="s">
        <v>3838</v>
      </c>
      <c r="E663" s="28" t="s">
        <v>3906</v>
      </c>
      <c r="F663" s="28" t="s">
        <v>21</v>
      </c>
      <c r="G663" s="28" t="s">
        <v>22</v>
      </c>
      <c r="H663" s="28" t="s">
        <v>3840</v>
      </c>
      <c r="I663" s="28" t="s">
        <v>3907</v>
      </c>
      <c r="J663" s="28" t="s">
        <v>22</v>
      </c>
      <c r="K663" s="28" t="s">
        <v>3908</v>
      </c>
      <c r="L663" s="28" t="s">
        <v>1832</v>
      </c>
      <c r="M663" s="28" t="s">
        <v>3909</v>
      </c>
      <c r="N663" s="28" t="s">
        <v>3844</v>
      </c>
      <c r="O663" s="28" t="s">
        <v>3845</v>
      </c>
      <c r="P663" s="28" t="s">
        <v>3910</v>
      </c>
    </row>
    <row r="664" spans="1:16" hidden="1" x14ac:dyDescent="0.25">
      <c r="A664" s="28" t="s">
        <v>3911</v>
      </c>
      <c r="B664" s="28" t="s">
        <v>3912</v>
      </c>
      <c r="C664" s="28" t="s">
        <v>1827</v>
      </c>
      <c r="D664" s="28" t="s">
        <v>3838</v>
      </c>
      <c r="E664" s="28" t="s">
        <v>3906</v>
      </c>
      <c r="F664" s="28" t="s">
        <v>21</v>
      </c>
      <c r="G664" s="28" t="s">
        <v>22</v>
      </c>
      <c r="H664" s="28" t="s">
        <v>3840</v>
      </c>
      <c r="I664" s="28" t="s">
        <v>3913</v>
      </c>
      <c r="J664" s="28" t="s">
        <v>22</v>
      </c>
      <c r="K664" s="28" t="s">
        <v>3914</v>
      </c>
      <c r="L664" s="28" t="s">
        <v>1832</v>
      </c>
      <c r="M664" s="28" t="s">
        <v>3915</v>
      </c>
      <c r="N664" s="28" t="s">
        <v>3844</v>
      </c>
      <c r="O664" s="28" t="s">
        <v>3845</v>
      </c>
      <c r="P664" s="28" t="s">
        <v>3916</v>
      </c>
    </row>
    <row r="665" spans="1:16" hidden="1" x14ac:dyDescent="0.25">
      <c r="A665" s="28" t="s">
        <v>3917</v>
      </c>
      <c r="B665" s="28" t="s">
        <v>3918</v>
      </c>
      <c r="C665" s="28" t="s">
        <v>1827</v>
      </c>
      <c r="D665" s="28" t="s">
        <v>3838</v>
      </c>
      <c r="E665" s="28" t="s">
        <v>3919</v>
      </c>
      <c r="F665" s="28" t="s">
        <v>21</v>
      </c>
      <c r="G665" s="28" t="s">
        <v>22</v>
      </c>
      <c r="H665" s="28" t="s">
        <v>3840</v>
      </c>
      <c r="I665" s="28" t="s">
        <v>3920</v>
      </c>
      <c r="J665" s="28" t="s">
        <v>22</v>
      </c>
      <c r="K665" s="28" t="s">
        <v>3921</v>
      </c>
      <c r="L665" s="28" t="s">
        <v>1832</v>
      </c>
      <c r="M665" s="28" t="s">
        <v>3922</v>
      </c>
      <c r="N665" s="28" t="s">
        <v>3844</v>
      </c>
      <c r="O665" s="28" t="s">
        <v>3845</v>
      </c>
      <c r="P665" s="28" t="s">
        <v>3923</v>
      </c>
    </row>
    <row r="666" spans="1:16" hidden="1" x14ac:dyDescent="0.25">
      <c r="A666" s="28" t="s">
        <v>3924</v>
      </c>
      <c r="B666" s="28" t="s">
        <v>3925</v>
      </c>
      <c r="C666" s="28" t="s">
        <v>1827</v>
      </c>
      <c r="D666" s="28" t="s">
        <v>3838</v>
      </c>
      <c r="E666" s="28" t="s">
        <v>3919</v>
      </c>
      <c r="F666" s="28" t="s">
        <v>21</v>
      </c>
      <c r="G666" s="28" t="s">
        <v>22</v>
      </c>
      <c r="H666" s="28" t="s">
        <v>3840</v>
      </c>
      <c r="I666" s="28" t="s">
        <v>3926</v>
      </c>
      <c r="J666" s="28" t="s">
        <v>22</v>
      </c>
      <c r="K666" s="28" t="s">
        <v>3927</v>
      </c>
      <c r="L666" s="28" t="s">
        <v>1832</v>
      </c>
      <c r="M666" s="28" t="s">
        <v>3928</v>
      </c>
      <c r="N666" s="28" t="s">
        <v>3844</v>
      </c>
      <c r="O666" s="28" t="s">
        <v>3845</v>
      </c>
      <c r="P666" s="28" t="s">
        <v>3929</v>
      </c>
    </row>
    <row r="667" spans="1:16" hidden="1" x14ac:dyDescent="0.25">
      <c r="A667" s="28" t="s">
        <v>3930</v>
      </c>
      <c r="B667" s="28" t="s">
        <v>3931</v>
      </c>
      <c r="C667" s="28" t="s">
        <v>1827</v>
      </c>
      <c r="D667" s="28" t="s">
        <v>3838</v>
      </c>
      <c r="E667" s="28" t="s">
        <v>3932</v>
      </c>
      <c r="F667" s="28" t="s">
        <v>21</v>
      </c>
      <c r="G667" s="28" t="s">
        <v>22</v>
      </c>
      <c r="H667" s="28" t="s">
        <v>3840</v>
      </c>
      <c r="I667" s="28" t="s">
        <v>3933</v>
      </c>
      <c r="J667" s="28" t="s">
        <v>22</v>
      </c>
      <c r="K667" s="28" t="s">
        <v>3934</v>
      </c>
      <c r="L667" s="28" t="s">
        <v>1832</v>
      </c>
      <c r="M667" s="28" t="s">
        <v>3935</v>
      </c>
      <c r="N667" s="28" t="s">
        <v>3844</v>
      </c>
      <c r="O667" s="28" t="s">
        <v>3845</v>
      </c>
      <c r="P667" s="28" t="s">
        <v>3936</v>
      </c>
    </row>
    <row r="668" spans="1:16" hidden="1" x14ac:dyDescent="0.25">
      <c r="A668" s="28" t="s">
        <v>3937</v>
      </c>
      <c r="B668" s="28" t="s">
        <v>3938</v>
      </c>
      <c r="C668" s="28" t="s">
        <v>1827</v>
      </c>
      <c r="D668" s="28" t="s">
        <v>3838</v>
      </c>
      <c r="E668" s="28" t="s">
        <v>3932</v>
      </c>
      <c r="F668" s="28" t="s">
        <v>21</v>
      </c>
      <c r="G668" s="28" t="s">
        <v>22</v>
      </c>
      <c r="H668" s="28" t="s">
        <v>3840</v>
      </c>
      <c r="I668" s="28" t="s">
        <v>3939</v>
      </c>
      <c r="J668" s="28" t="s">
        <v>22</v>
      </c>
      <c r="K668" s="28" t="s">
        <v>3940</v>
      </c>
      <c r="L668" s="28" t="s">
        <v>1832</v>
      </c>
      <c r="M668" s="28" t="s">
        <v>3941</v>
      </c>
      <c r="N668" s="28" t="s">
        <v>3844</v>
      </c>
      <c r="O668" s="28" t="s">
        <v>3845</v>
      </c>
      <c r="P668" s="28" t="s">
        <v>3942</v>
      </c>
    </row>
    <row r="669" spans="1:16" hidden="1" x14ac:dyDescent="0.25">
      <c r="A669" s="28" t="s">
        <v>3943</v>
      </c>
      <c r="B669" s="28" t="s">
        <v>3944</v>
      </c>
      <c r="C669" s="28" t="s">
        <v>1827</v>
      </c>
      <c r="D669" s="28" t="s">
        <v>3945</v>
      </c>
      <c r="E669" s="28" t="s">
        <v>3946</v>
      </c>
      <c r="F669" s="28" t="s">
        <v>21</v>
      </c>
      <c r="G669" s="28" t="s">
        <v>22</v>
      </c>
      <c r="H669" s="28" t="s">
        <v>3947</v>
      </c>
      <c r="I669" s="28" t="s">
        <v>3948</v>
      </c>
      <c r="J669" s="28" t="s">
        <v>22</v>
      </c>
      <c r="K669" s="28" t="s">
        <v>3949</v>
      </c>
      <c r="L669" s="28" t="s">
        <v>1832</v>
      </c>
      <c r="M669" s="28" t="s">
        <v>3950</v>
      </c>
      <c r="N669" s="28" t="s">
        <v>3951</v>
      </c>
      <c r="O669" s="28" t="s">
        <v>3952</v>
      </c>
      <c r="P669" s="28" t="s">
        <v>3953</v>
      </c>
    </row>
    <row r="670" spans="1:16" hidden="1" x14ac:dyDescent="0.25">
      <c r="A670" s="28" t="s">
        <v>3954</v>
      </c>
      <c r="B670" s="28" t="s">
        <v>3955</v>
      </c>
      <c r="C670" s="28" t="s">
        <v>1827</v>
      </c>
      <c r="D670" s="28" t="s">
        <v>3945</v>
      </c>
      <c r="E670" s="28" t="s">
        <v>3956</v>
      </c>
      <c r="F670" s="28" t="s">
        <v>21</v>
      </c>
      <c r="G670" s="28" t="s">
        <v>22</v>
      </c>
      <c r="H670" s="28" t="s">
        <v>3947</v>
      </c>
      <c r="I670" s="28" t="s">
        <v>3957</v>
      </c>
      <c r="J670" s="28" t="s">
        <v>22</v>
      </c>
      <c r="K670" s="28" t="s">
        <v>3528</v>
      </c>
      <c r="L670" s="28" t="s">
        <v>1832</v>
      </c>
      <c r="M670" s="28" t="s">
        <v>3958</v>
      </c>
      <c r="N670" s="28" t="s">
        <v>3951</v>
      </c>
      <c r="O670" s="28" t="s">
        <v>3952</v>
      </c>
      <c r="P670" s="28" t="s">
        <v>3959</v>
      </c>
    </row>
    <row r="671" spans="1:16" hidden="1" x14ac:dyDescent="0.25">
      <c r="A671" s="28" t="s">
        <v>3960</v>
      </c>
      <c r="B671" s="28" t="s">
        <v>3961</v>
      </c>
      <c r="C671" s="28" t="s">
        <v>1827</v>
      </c>
      <c r="D671" s="28" t="s">
        <v>3945</v>
      </c>
      <c r="E671" s="28" t="s">
        <v>3962</v>
      </c>
      <c r="F671" s="28" t="s">
        <v>21</v>
      </c>
      <c r="G671" s="28" t="s">
        <v>22</v>
      </c>
      <c r="H671" s="28" t="s">
        <v>3947</v>
      </c>
      <c r="I671" s="28" t="s">
        <v>3963</v>
      </c>
      <c r="J671" s="28" t="s">
        <v>22</v>
      </c>
      <c r="K671" s="28" t="s">
        <v>3964</v>
      </c>
      <c r="L671" s="28" t="s">
        <v>1832</v>
      </c>
      <c r="M671" s="28" t="s">
        <v>3965</v>
      </c>
      <c r="N671" s="28" t="s">
        <v>3951</v>
      </c>
      <c r="O671" s="28" t="s">
        <v>3952</v>
      </c>
      <c r="P671" s="28" t="s">
        <v>3966</v>
      </c>
    </row>
    <row r="672" spans="1:16" hidden="1" x14ac:dyDescent="0.25">
      <c r="A672" s="28" t="s">
        <v>3967</v>
      </c>
      <c r="B672" s="28" t="s">
        <v>3968</v>
      </c>
      <c r="C672" s="28" t="s">
        <v>1827</v>
      </c>
      <c r="D672" s="28" t="s">
        <v>3945</v>
      </c>
      <c r="E672" s="28" t="s">
        <v>3969</v>
      </c>
      <c r="F672" s="28" t="s">
        <v>21</v>
      </c>
      <c r="G672" s="28" t="s">
        <v>22</v>
      </c>
      <c r="H672" s="28" t="s">
        <v>3947</v>
      </c>
      <c r="I672" s="28" t="s">
        <v>3970</v>
      </c>
      <c r="J672" s="28" t="s">
        <v>22</v>
      </c>
      <c r="K672" s="28" t="s">
        <v>3964</v>
      </c>
      <c r="L672" s="28" t="s">
        <v>1832</v>
      </c>
      <c r="M672" s="28" t="s">
        <v>3971</v>
      </c>
      <c r="N672" s="28" t="s">
        <v>3951</v>
      </c>
      <c r="O672" s="28" t="s">
        <v>3952</v>
      </c>
      <c r="P672" s="28" t="s">
        <v>3972</v>
      </c>
    </row>
    <row r="673" spans="1:16" hidden="1" x14ac:dyDescent="0.25">
      <c r="A673" s="28" t="s">
        <v>3973</v>
      </c>
      <c r="B673" s="28" t="s">
        <v>3974</v>
      </c>
      <c r="C673" s="28" t="s">
        <v>1827</v>
      </c>
      <c r="D673" s="28" t="s">
        <v>3945</v>
      </c>
      <c r="E673" s="28" t="s">
        <v>3975</v>
      </c>
      <c r="F673" s="28" t="s">
        <v>21</v>
      </c>
      <c r="G673" s="28" t="s">
        <v>22</v>
      </c>
      <c r="H673" s="28" t="s">
        <v>3947</v>
      </c>
      <c r="I673" s="28" t="s">
        <v>3976</v>
      </c>
      <c r="J673" s="28" t="s">
        <v>22</v>
      </c>
      <c r="K673" s="28" t="s">
        <v>3585</v>
      </c>
      <c r="L673" s="28" t="s">
        <v>1832</v>
      </c>
      <c r="M673" s="28" t="s">
        <v>3977</v>
      </c>
      <c r="N673" s="28" t="s">
        <v>3951</v>
      </c>
      <c r="O673" s="28" t="s">
        <v>3952</v>
      </c>
      <c r="P673" s="28" t="s">
        <v>3978</v>
      </c>
    </row>
    <row r="674" spans="1:16" hidden="1" x14ac:dyDescent="0.25">
      <c r="A674" s="28" t="s">
        <v>3979</v>
      </c>
      <c r="B674" s="28" t="s">
        <v>3980</v>
      </c>
      <c r="C674" s="28" t="s">
        <v>1827</v>
      </c>
      <c r="D674" s="28" t="s">
        <v>3945</v>
      </c>
      <c r="E674" s="28" t="s">
        <v>3981</v>
      </c>
      <c r="F674" s="28" t="s">
        <v>21</v>
      </c>
      <c r="G674" s="28" t="s">
        <v>22</v>
      </c>
      <c r="H674" s="28" t="s">
        <v>3947</v>
      </c>
      <c r="I674" s="28" t="s">
        <v>3982</v>
      </c>
      <c r="J674" s="28" t="s">
        <v>22</v>
      </c>
      <c r="K674" s="28" t="s">
        <v>3964</v>
      </c>
      <c r="L674" s="28" t="s">
        <v>1832</v>
      </c>
      <c r="M674" s="28" t="s">
        <v>3983</v>
      </c>
      <c r="N674" s="28" t="s">
        <v>3951</v>
      </c>
      <c r="O674" s="28" t="s">
        <v>3952</v>
      </c>
      <c r="P674" s="28" t="s">
        <v>3984</v>
      </c>
    </row>
    <row r="675" spans="1:16" hidden="1" x14ac:dyDescent="0.25">
      <c r="A675" s="28" t="s">
        <v>3985</v>
      </c>
      <c r="B675" s="28" t="s">
        <v>3986</v>
      </c>
      <c r="C675" s="28" t="s">
        <v>1827</v>
      </c>
      <c r="D675" s="28" t="s">
        <v>3945</v>
      </c>
      <c r="E675" s="28" t="s">
        <v>3987</v>
      </c>
      <c r="F675" s="28" t="s">
        <v>21</v>
      </c>
      <c r="G675" s="28" t="s">
        <v>22</v>
      </c>
      <c r="H675" s="28" t="s">
        <v>3947</v>
      </c>
      <c r="I675" s="28" t="s">
        <v>3988</v>
      </c>
      <c r="J675" s="28" t="s">
        <v>22</v>
      </c>
      <c r="K675" s="28" t="s">
        <v>3989</v>
      </c>
      <c r="L675" s="28" t="s">
        <v>1832</v>
      </c>
      <c r="M675" s="28" t="s">
        <v>3990</v>
      </c>
      <c r="N675" s="28" t="s">
        <v>3951</v>
      </c>
      <c r="O675" s="28" t="s">
        <v>3952</v>
      </c>
      <c r="P675" s="28" t="s">
        <v>3991</v>
      </c>
    </row>
    <row r="676" spans="1:16" hidden="1" x14ac:dyDescent="0.25">
      <c r="A676" s="28" t="s">
        <v>3992</v>
      </c>
      <c r="B676" s="28" t="s">
        <v>3993</v>
      </c>
      <c r="C676" s="28" t="s">
        <v>1827</v>
      </c>
      <c r="D676" s="28" t="s">
        <v>3945</v>
      </c>
      <c r="E676" s="28" t="s">
        <v>3987</v>
      </c>
      <c r="F676" s="28" t="s">
        <v>21</v>
      </c>
      <c r="G676" s="28" t="s">
        <v>22</v>
      </c>
      <c r="H676" s="28" t="s">
        <v>3947</v>
      </c>
      <c r="I676" s="28" t="s">
        <v>3994</v>
      </c>
      <c r="J676" s="28" t="s">
        <v>22</v>
      </c>
      <c r="K676" s="28" t="s">
        <v>3995</v>
      </c>
      <c r="L676" s="28" t="s">
        <v>1832</v>
      </c>
      <c r="M676" s="28" t="s">
        <v>3996</v>
      </c>
      <c r="N676" s="28" t="s">
        <v>3951</v>
      </c>
      <c r="O676" s="28" t="s">
        <v>3952</v>
      </c>
      <c r="P676" s="28" t="s">
        <v>3997</v>
      </c>
    </row>
    <row r="677" spans="1:16" hidden="1" x14ac:dyDescent="0.25">
      <c r="A677" s="28" t="s">
        <v>3998</v>
      </c>
      <c r="B677" s="28" t="s">
        <v>3999</v>
      </c>
      <c r="C677" s="28" t="s">
        <v>1827</v>
      </c>
      <c r="D677" s="28" t="s">
        <v>3945</v>
      </c>
      <c r="E677" s="28" t="s">
        <v>4000</v>
      </c>
      <c r="F677" s="28" t="s">
        <v>21</v>
      </c>
      <c r="G677" s="28" t="s">
        <v>22</v>
      </c>
      <c r="H677" s="28" t="s">
        <v>3947</v>
      </c>
      <c r="I677" s="28" t="s">
        <v>4001</v>
      </c>
      <c r="J677" s="28" t="s">
        <v>22</v>
      </c>
      <c r="K677" s="28" t="s">
        <v>3989</v>
      </c>
      <c r="L677" s="28" t="s">
        <v>1832</v>
      </c>
      <c r="M677" s="28" t="s">
        <v>4002</v>
      </c>
      <c r="N677" s="28" t="s">
        <v>3951</v>
      </c>
      <c r="O677" s="28" t="s">
        <v>3952</v>
      </c>
      <c r="P677" s="28" t="s">
        <v>4003</v>
      </c>
    </row>
    <row r="678" spans="1:16" hidden="1" x14ac:dyDescent="0.25">
      <c r="A678" s="28" t="s">
        <v>4004</v>
      </c>
      <c r="B678" s="28" t="s">
        <v>4005</v>
      </c>
      <c r="C678" s="28" t="s">
        <v>1827</v>
      </c>
      <c r="D678" s="28" t="s">
        <v>3945</v>
      </c>
      <c r="E678" s="28" t="s">
        <v>4000</v>
      </c>
      <c r="F678" s="28" t="s">
        <v>21</v>
      </c>
      <c r="G678" s="28" t="s">
        <v>22</v>
      </c>
      <c r="H678" s="28" t="s">
        <v>3947</v>
      </c>
      <c r="I678" s="28" t="s">
        <v>4006</v>
      </c>
      <c r="J678" s="28" t="s">
        <v>22</v>
      </c>
      <c r="K678" s="28" t="s">
        <v>3995</v>
      </c>
      <c r="L678" s="28" t="s">
        <v>1832</v>
      </c>
      <c r="M678" s="28" t="s">
        <v>4007</v>
      </c>
      <c r="N678" s="28" t="s">
        <v>3951</v>
      </c>
      <c r="O678" s="28" t="s">
        <v>3952</v>
      </c>
      <c r="P678" s="28" t="s">
        <v>4008</v>
      </c>
    </row>
    <row r="679" spans="1:16" hidden="1" x14ac:dyDescent="0.25">
      <c r="A679" s="28" t="s">
        <v>4009</v>
      </c>
      <c r="B679" s="28" t="s">
        <v>4010</v>
      </c>
      <c r="C679" s="28" t="s">
        <v>1827</v>
      </c>
      <c r="D679" s="28" t="s">
        <v>3945</v>
      </c>
      <c r="E679" s="28" t="s">
        <v>4011</v>
      </c>
      <c r="F679" s="28" t="s">
        <v>21</v>
      </c>
      <c r="G679" s="28" t="s">
        <v>22</v>
      </c>
      <c r="H679" s="28" t="s">
        <v>3947</v>
      </c>
      <c r="I679" s="28" t="s">
        <v>4012</v>
      </c>
      <c r="J679" s="28" t="s">
        <v>22</v>
      </c>
      <c r="K679" s="28" t="s">
        <v>4013</v>
      </c>
      <c r="L679" s="28" t="s">
        <v>1832</v>
      </c>
      <c r="M679" s="28" t="s">
        <v>4014</v>
      </c>
      <c r="N679" s="28" t="s">
        <v>3951</v>
      </c>
      <c r="O679" s="28" t="s">
        <v>3952</v>
      </c>
      <c r="P679" s="28" t="s">
        <v>4015</v>
      </c>
    </row>
    <row r="680" spans="1:16" hidden="1" x14ac:dyDescent="0.25">
      <c r="A680" s="28" t="s">
        <v>4016</v>
      </c>
      <c r="B680" s="28" t="s">
        <v>4017</v>
      </c>
      <c r="C680" s="28" t="s">
        <v>1827</v>
      </c>
      <c r="D680" s="28" t="s">
        <v>4018</v>
      </c>
      <c r="E680" s="28" t="s">
        <v>4019</v>
      </c>
      <c r="F680" s="28" t="s">
        <v>21</v>
      </c>
      <c r="G680" s="28" t="s">
        <v>22</v>
      </c>
      <c r="H680" s="28" t="s">
        <v>4020</v>
      </c>
      <c r="I680" s="28" t="s">
        <v>4021</v>
      </c>
      <c r="J680" s="28" t="s">
        <v>22</v>
      </c>
      <c r="K680" s="28" t="s">
        <v>4022</v>
      </c>
      <c r="L680" s="28" t="s">
        <v>1832</v>
      </c>
      <c r="M680" s="28" t="s">
        <v>4023</v>
      </c>
      <c r="N680" s="28" t="s">
        <v>4024</v>
      </c>
      <c r="O680" s="28" t="s">
        <v>4025</v>
      </c>
      <c r="P680" s="28" t="s">
        <v>4026</v>
      </c>
    </row>
    <row r="681" spans="1:16" hidden="1" x14ac:dyDescent="0.25">
      <c r="A681" s="28" t="s">
        <v>4027</v>
      </c>
      <c r="B681" s="28" t="s">
        <v>4028</v>
      </c>
      <c r="C681" s="28" t="s">
        <v>1827</v>
      </c>
      <c r="D681" s="28" t="s">
        <v>4029</v>
      </c>
      <c r="E681" s="28" t="s">
        <v>4030</v>
      </c>
      <c r="F681" s="28" t="s">
        <v>21</v>
      </c>
      <c r="G681" s="28" t="s">
        <v>22</v>
      </c>
      <c r="H681" s="28" t="s">
        <v>4020</v>
      </c>
      <c r="I681" s="28" t="s">
        <v>4031</v>
      </c>
      <c r="J681" s="28" t="s">
        <v>22</v>
      </c>
      <c r="K681" s="28" t="s">
        <v>4032</v>
      </c>
      <c r="L681" s="28" t="s">
        <v>1832</v>
      </c>
      <c r="M681" s="28" t="s">
        <v>4033</v>
      </c>
      <c r="N681" s="28" t="s">
        <v>4024</v>
      </c>
      <c r="O681" s="28" t="s">
        <v>4025</v>
      </c>
      <c r="P681" s="28" t="s">
        <v>4034</v>
      </c>
    </row>
    <row r="682" spans="1:16" hidden="1" x14ac:dyDescent="0.25">
      <c r="A682" s="28" t="s">
        <v>4035</v>
      </c>
      <c r="B682" s="28" t="s">
        <v>4036</v>
      </c>
      <c r="C682" s="28" t="s">
        <v>1827</v>
      </c>
      <c r="D682" s="28" t="s">
        <v>4029</v>
      </c>
      <c r="E682" s="28" t="s">
        <v>4030</v>
      </c>
      <c r="F682" s="28" t="s">
        <v>21</v>
      </c>
      <c r="G682" s="28" t="s">
        <v>22</v>
      </c>
      <c r="H682" s="28" t="s">
        <v>4020</v>
      </c>
      <c r="I682" s="28" t="s">
        <v>4037</v>
      </c>
      <c r="J682" s="28" t="s">
        <v>22</v>
      </c>
      <c r="K682" s="28" t="s">
        <v>4038</v>
      </c>
      <c r="L682" s="28" t="s">
        <v>1832</v>
      </c>
      <c r="M682" s="28" t="s">
        <v>4039</v>
      </c>
      <c r="N682" s="28" t="s">
        <v>4024</v>
      </c>
      <c r="O682" s="28" t="s">
        <v>4025</v>
      </c>
      <c r="P682" s="28" t="s">
        <v>4040</v>
      </c>
    </row>
    <row r="683" spans="1:16" hidden="1" x14ac:dyDescent="0.25">
      <c r="A683" s="28" t="s">
        <v>4041</v>
      </c>
      <c r="B683" s="28" t="s">
        <v>4042</v>
      </c>
      <c r="C683" s="28" t="s">
        <v>1827</v>
      </c>
      <c r="D683" s="28" t="s">
        <v>4029</v>
      </c>
      <c r="E683" s="28" t="s">
        <v>4030</v>
      </c>
      <c r="F683" s="28" t="s">
        <v>21</v>
      </c>
      <c r="G683" s="28" t="s">
        <v>22</v>
      </c>
      <c r="H683" s="28" t="s">
        <v>4020</v>
      </c>
      <c r="I683" s="28" t="s">
        <v>4043</v>
      </c>
      <c r="J683" s="28" t="s">
        <v>22</v>
      </c>
      <c r="K683" s="28" t="s">
        <v>4044</v>
      </c>
      <c r="L683" s="28" t="s">
        <v>1832</v>
      </c>
      <c r="M683" s="28" t="s">
        <v>4045</v>
      </c>
      <c r="N683" s="28" t="s">
        <v>4024</v>
      </c>
      <c r="O683" s="28" t="s">
        <v>4025</v>
      </c>
      <c r="P683" s="28" t="s">
        <v>4046</v>
      </c>
    </row>
    <row r="684" spans="1:16" hidden="1" x14ac:dyDescent="0.25">
      <c r="A684" s="28" t="s">
        <v>4047</v>
      </c>
      <c r="B684" s="28" t="s">
        <v>4048</v>
      </c>
      <c r="C684" s="28" t="s">
        <v>1827</v>
      </c>
      <c r="D684" s="28" t="s">
        <v>4049</v>
      </c>
      <c r="E684" s="28" t="s">
        <v>4050</v>
      </c>
      <c r="F684" s="28" t="s">
        <v>21</v>
      </c>
      <c r="G684" s="28" t="s">
        <v>22</v>
      </c>
      <c r="H684" s="28" t="s">
        <v>4020</v>
      </c>
      <c r="I684" s="28" t="s">
        <v>4051</v>
      </c>
      <c r="J684" s="28" t="s">
        <v>22</v>
      </c>
      <c r="K684" s="28" t="s">
        <v>4052</v>
      </c>
      <c r="L684" s="28" t="s">
        <v>1832</v>
      </c>
      <c r="M684" s="28" t="s">
        <v>4053</v>
      </c>
      <c r="N684" s="28" t="s">
        <v>4024</v>
      </c>
      <c r="O684" s="28" t="s">
        <v>4025</v>
      </c>
      <c r="P684" s="28" t="s">
        <v>4054</v>
      </c>
    </row>
    <row r="685" spans="1:16" hidden="1" x14ac:dyDescent="0.25">
      <c r="A685" s="28" t="s">
        <v>4055</v>
      </c>
      <c r="B685" s="28" t="s">
        <v>4056</v>
      </c>
      <c r="C685" s="28" t="s">
        <v>1827</v>
      </c>
      <c r="D685" s="28" t="s">
        <v>4057</v>
      </c>
      <c r="E685" s="28" t="s">
        <v>4058</v>
      </c>
      <c r="F685" s="28" t="s">
        <v>21</v>
      </c>
      <c r="G685" s="28" t="s">
        <v>22</v>
      </c>
      <c r="H685" s="28" t="s">
        <v>4020</v>
      </c>
      <c r="I685" s="28" t="s">
        <v>4059</v>
      </c>
      <c r="J685" s="28" t="s">
        <v>22</v>
      </c>
      <c r="K685" s="28" t="s">
        <v>4060</v>
      </c>
      <c r="L685" s="28" t="s">
        <v>1832</v>
      </c>
      <c r="M685" s="28" t="s">
        <v>4061</v>
      </c>
      <c r="N685" s="28" t="s">
        <v>4024</v>
      </c>
      <c r="O685" s="28" t="s">
        <v>4025</v>
      </c>
      <c r="P685" s="28" t="s">
        <v>4062</v>
      </c>
    </row>
    <row r="686" spans="1:16" hidden="1" x14ac:dyDescent="0.25">
      <c r="A686" s="28" t="s">
        <v>4063</v>
      </c>
      <c r="B686" s="28" t="s">
        <v>4064</v>
      </c>
      <c r="C686" s="28" t="s">
        <v>1827</v>
      </c>
      <c r="D686" s="28" t="s">
        <v>1666</v>
      </c>
      <c r="E686" s="28" t="s">
        <v>1667</v>
      </c>
      <c r="F686" s="28" t="s">
        <v>21</v>
      </c>
      <c r="G686" s="28" t="s">
        <v>22</v>
      </c>
      <c r="H686" s="28" t="s">
        <v>4020</v>
      </c>
      <c r="I686" s="28" t="s">
        <v>4065</v>
      </c>
      <c r="J686" s="28" t="s">
        <v>22</v>
      </c>
      <c r="K686" s="28" t="s">
        <v>4066</v>
      </c>
      <c r="L686" s="28" t="s">
        <v>1832</v>
      </c>
      <c r="M686" s="28" t="s">
        <v>4067</v>
      </c>
      <c r="N686" s="28" t="s">
        <v>4024</v>
      </c>
      <c r="O686" s="28" t="s">
        <v>4025</v>
      </c>
      <c r="P686" s="28" t="s">
        <v>4068</v>
      </c>
    </row>
    <row r="687" spans="1:16" hidden="1" x14ac:dyDescent="0.25">
      <c r="A687" s="28" t="s">
        <v>4069</v>
      </c>
      <c r="B687" s="28" t="s">
        <v>4070</v>
      </c>
      <c r="C687" s="28" t="s">
        <v>1827</v>
      </c>
      <c r="D687" s="28" t="s">
        <v>4071</v>
      </c>
      <c r="E687" s="28" t="s">
        <v>4072</v>
      </c>
      <c r="F687" s="28" t="s">
        <v>21</v>
      </c>
      <c r="G687" s="28" t="s">
        <v>22</v>
      </c>
      <c r="H687" s="28" t="s">
        <v>4020</v>
      </c>
      <c r="I687" s="28" t="s">
        <v>4073</v>
      </c>
      <c r="J687" s="28" t="s">
        <v>22</v>
      </c>
      <c r="K687" s="28" t="s">
        <v>4074</v>
      </c>
      <c r="L687" s="28" t="s">
        <v>1832</v>
      </c>
      <c r="M687" s="28" t="s">
        <v>4075</v>
      </c>
      <c r="N687" s="28" t="s">
        <v>4024</v>
      </c>
      <c r="O687" s="28" t="s">
        <v>4025</v>
      </c>
      <c r="P687" s="28" t="s">
        <v>4076</v>
      </c>
    </row>
    <row r="688" spans="1:16" hidden="1" x14ac:dyDescent="0.25">
      <c r="A688" s="28" t="s">
        <v>4077</v>
      </c>
      <c r="B688" s="28" t="s">
        <v>4078</v>
      </c>
      <c r="C688" s="28" t="s">
        <v>1827</v>
      </c>
      <c r="D688" s="28" t="s">
        <v>4071</v>
      </c>
      <c r="E688" s="28" t="s">
        <v>4079</v>
      </c>
      <c r="F688" s="28" t="s">
        <v>21</v>
      </c>
      <c r="G688" s="28" t="s">
        <v>22</v>
      </c>
      <c r="H688" s="28" t="s">
        <v>4020</v>
      </c>
      <c r="I688" s="28" t="s">
        <v>4080</v>
      </c>
      <c r="J688" s="28" t="s">
        <v>22</v>
      </c>
      <c r="K688" s="28" t="s">
        <v>4081</v>
      </c>
      <c r="L688" s="28" t="s">
        <v>1832</v>
      </c>
      <c r="M688" s="28" t="s">
        <v>4082</v>
      </c>
      <c r="N688" s="28" t="s">
        <v>4024</v>
      </c>
      <c r="O688" s="28" t="s">
        <v>4025</v>
      </c>
      <c r="P688" s="28" t="s">
        <v>4083</v>
      </c>
    </row>
    <row r="689" spans="1:16" hidden="1" x14ac:dyDescent="0.25">
      <c r="A689" s="28" t="s">
        <v>4084</v>
      </c>
      <c r="B689" s="28" t="s">
        <v>4085</v>
      </c>
      <c r="C689" s="28" t="s">
        <v>1827</v>
      </c>
      <c r="D689" s="28" t="s">
        <v>4071</v>
      </c>
      <c r="E689" s="28" t="s">
        <v>4086</v>
      </c>
      <c r="F689" s="28" t="s">
        <v>21</v>
      </c>
      <c r="G689" s="28" t="s">
        <v>22</v>
      </c>
      <c r="H689" s="28" t="s">
        <v>4020</v>
      </c>
      <c r="I689" s="28" t="s">
        <v>4087</v>
      </c>
      <c r="J689" s="28" t="s">
        <v>22</v>
      </c>
      <c r="K689" s="28" t="s">
        <v>4088</v>
      </c>
      <c r="L689" s="28" t="s">
        <v>1832</v>
      </c>
      <c r="M689" s="28" t="s">
        <v>4089</v>
      </c>
      <c r="N689" s="28" t="s">
        <v>4024</v>
      </c>
      <c r="O689" s="28" t="s">
        <v>4025</v>
      </c>
      <c r="P689" s="28" t="s">
        <v>4090</v>
      </c>
    </row>
    <row r="690" spans="1:16" hidden="1" x14ac:dyDescent="0.25">
      <c r="A690" s="28" t="s">
        <v>4091</v>
      </c>
      <c r="B690" s="28" t="s">
        <v>4092</v>
      </c>
      <c r="C690" s="28" t="s">
        <v>1827</v>
      </c>
      <c r="D690" s="28" t="s">
        <v>4093</v>
      </c>
      <c r="E690" s="28" t="s">
        <v>4094</v>
      </c>
      <c r="F690" s="28" t="s">
        <v>21</v>
      </c>
      <c r="G690" s="28" t="s">
        <v>22</v>
      </c>
      <c r="H690" s="28" t="s">
        <v>4020</v>
      </c>
      <c r="I690" s="28" t="s">
        <v>4095</v>
      </c>
      <c r="J690" s="28" t="s">
        <v>22</v>
      </c>
      <c r="K690" s="28" t="s">
        <v>4096</v>
      </c>
      <c r="L690" s="28" t="s">
        <v>1832</v>
      </c>
      <c r="M690" s="28" t="s">
        <v>4097</v>
      </c>
      <c r="N690" s="28" t="s">
        <v>4024</v>
      </c>
      <c r="O690" s="28" t="s">
        <v>4025</v>
      </c>
      <c r="P690" s="28" t="s">
        <v>4098</v>
      </c>
    </row>
    <row r="691" spans="1:16" hidden="1" x14ac:dyDescent="0.25">
      <c r="A691" s="28" t="s">
        <v>4099</v>
      </c>
      <c r="B691" s="28" t="s">
        <v>4100</v>
      </c>
      <c r="C691" s="28" t="s">
        <v>1827</v>
      </c>
      <c r="D691" s="28" t="s">
        <v>4101</v>
      </c>
      <c r="E691" s="28" t="s">
        <v>4102</v>
      </c>
      <c r="F691" s="28" t="s">
        <v>21</v>
      </c>
      <c r="G691" s="28" t="s">
        <v>22</v>
      </c>
      <c r="H691" s="28" t="s">
        <v>4103</v>
      </c>
      <c r="I691" s="28" t="s">
        <v>4104</v>
      </c>
      <c r="J691" s="28" t="s">
        <v>22</v>
      </c>
      <c r="K691" s="28" t="s">
        <v>4105</v>
      </c>
      <c r="L691" s="28" t="s">
        <v>1832</v>
      </c>
      <c r="M691" s="28" t="s">
        <v>4106</v>
      </c>
      <c r="N691" s="28" t="s">
        <v>4107</v>
      </c>
      <c r="O691" s="28" t="s">
        <v>4108</v>
      </c>
      <c r="P691" s="28" t="s">
        <v>4109</v>
      </c>
    </row>
    <row r="692" spans="1:16" hidden="1" x14ac:dyDescent="0.25">
      <c r="A692" s="28" t="s">
        <v>4110</v>
      </c>
      <c r="B692" s="28" t="s">
        <v>4111</v>
      </c>
      <c r="C692" s="28" t="s">
        <v>1827</v>
      </c>
      <c r="D692" s="28" t="s">
        <v>4101</v>
      </c>
      <c r="E692" s="28" t="s">
        <v>4102</v>
      </c>
      <c r="F692" s="28" t="s">
        <v>21</v>
      </c>
      <c r="G692" s="28" t="s">
        <v>22</v>
      </c>
      <c r="H692" s="28" t="s">
        <v>4103</v>
      </c>
      <c r="I692" s="28" t="s">
        <v>4112</v>
      </c>
      <c r="J692" s="28" t="s">
        <v>22</v>
      </c>
      <c r="K692" s="28" t="s">
        <v>4113</v>
      </c>
      <c r="L692" s="28" t="s">
        <v>1832</v>
      </c>
      <c r="M692" s="28" t="s">
        <v>4114</v>
      </c>
      <c r="N692" s="28" t="s">
        <v>4107</v>
      </c>
      <c r="O692" s="28" t="s">
        <v>4108</v>
      </c>
      <c r="P692" s="28" t="s">
        <v>4115</v>
      </c>
    </row>
    <row r="693" spans="1:16" hidden="1" x14ac:dyDescent="0.25">
      <c r="A693" s="28" t="s">
        <v>4116</v>
      </c>
      <c r="B693" s="28" t="s">
        <v>4117</v>
      </c>
      <c r="C693" s="28" t="s">
        <v>1827</v>
      </c>
      <c r="D693" s="28" t="s">
        <v>4101</v>
      </c>
      <c r="E693" s="28" t="s">
        <v>4118</v>
      </c>
      <c r="F693" s="28" t="s">
        <v>21</v>
      </c>
      <c r="G693" s="28" t="s">
        <v>22</v>
      </c>
      <c r="H693" s="28" t="s">
        <v>4103</v>
      </c>
      <c r="I693" s="28" t="s">
        <v>4119</v>
      </c>
      <c r="J693" s="28" t="s">
        <v>22</v>
      </c>
      <c r="K693" s="28" t="s">
        <v>4120</v>
      </c>
      <c r="L693" s="28" t="s">
        <v>1832</v>
      </c>
      <c r="M693" s="28" t="s">
        <v>4121</v>
      </c>
      <c r="N693" s="28" t="s">
        <v>4107</v>
      </c>
      <c r="O693" s="28" t="s">
        <v>4108</v>
      </c>
      <c r="P693" s="28" t="s">
        <v>4122</v>
      </c>
    </row>
    <row r="694" spans="1:16" hidden="1" x14ac:dyDescent="0.25">
      <c r="A694" s="28" t="s">
        <v>4123</v>
      </c>
      <c r="B694" s="28" t="s">
        <v>4124</v>
      </c>
      <c r="C694" s="28" t="s">
        <v>1827</v>
      </c>
      <c r="D694" s="28" t="s">
        <v>4101</v>
      </c>
      <c r="E694" s="28" t="s">
        <v>4125</v>
      </c>
      <c r="F694" s="28" t="s">
        <v>21</v>
      </c>
      <c r="G694" s="28" t="s">
        <v>22</v>
      </c>
      <c r="H694" s="28" t="s">
        <v>4103</v>
      </c>
      <c r="I694" s="28" t="s">
        <v>4126</v>
      </c>
      <c r="J694" s="28" t="s">
        <v>22</v>
      </c>
      <c r="K694" s="28" t="s">
        <v>4127</v>
      </c>
      <c r="L694" s="28" t="s">
        <v>1832</v>
      </c>
      <c r="M694" s="28" t="s">
        <v>4128</v>
      </c>
      <c r="N694" s="28" t="s">
        <v>4107</v>
      </c>
      <c r="O694" s="28" t="s">
        <v>4108</v>
      </c>
      <c r="P694" s="28" t="s">
        <v>4129</v>
      </c>
    </row>
    <row r="695" spans="1:16" hidden="1" x14ac:dyDescent="0.25">
      <c r="A695" s="28" t="s">
        <v>4130</v>
      </c>
      <c r="B695" s="28" t="s">
        <v>4131</v>
      </c>
      <c r="C695" s="28" t="s">
        <v>1827</v>
      </c>
      <c r="D695" s="28" t="s">
        <v>101</v>
      </c>
      <c r="E695" s="28" t="s">
        <v>4132</v>
      </c>
      <c r="F695" s="28" t="s">
        <v>21</v>
      </c>
      <c r="G695" s="28" t="s">
        <v>22</v>
      </c>
      <c r="H695" s="28" t="s">
        <v>4133</v>
      </c>
      <c r="I695" s="28" t="s">
        <v>4134</v>
      </c>
      <c r="J695" s="28" t="s">
        <v>22</v>
      </c>
      <c r="K695" s="28" t="s">
        <v>4135</v>
      </c>
      <c r="L695" s="28" t="s">
        <v>1832</v>
      </c>
      <c r="M695" s="28" t="s">
        <v>4136</v>
      </c>
      <c r="N695" s="28" t="s">
        <v>4137</v>
      </c>
      <c r="O695" s="28" t="s">
        <v>4138</v>
      </c>
      <c r="P695" s="28" t="s">
        <v>4139</v>
      </c>
    </row>
    <row r="696" spans="1:16" hidden="1" x14ac:dyDescent="0.25">
      <c r="A696" s="28" t="s">
        <v>4140</v>
      </c>
      <c r="B696" s="28" t="s">
        <v>4141</v>
      </c>
      <c r="C696" s="28" t="s">
        <v>1827</v>
      </c>
      <c r="D696" s="28" t="s">
        <v>101</v>
      </c>
      <c r="E696" s="28" t="s">
        <v>4132</v>
      </c>
      <c r="F696" s="28" t="s">
        <v>21</v>
      </c>
      <c r="G696" s="28" t="s">
        <v>22</v>
      </c>
      <c r="H696" s="28" t="s">
        <v>4133</v>
      </c>
      <c r="I696" s="28" t="s">
        <v>4142</v>
      </c>
      <c r="J696" s="28" t="s">
        <v>22</v>
      </c>
      <c r="K696" s="28" t="s">
        <v>4143</v>
      </c>
      <c r="L696" s="28" t="s">
        <v>1832</v>
      </c>
      <c r="M696" s="28" t="s">
        <v>4144</v>
      </c>
      <c r="N696" s="28" t="s">
        <v>4137</v>
      </c>
      <c r="O696" s="28" t="s">
        <v>4138</v>
      </c>
      <c r="P696" s="28" t="s">
        <v>4145</v>
      </c>
    </row>
    <row r="697" spans="1:16" hidden="1" x14ac:dyDescent="0.25">
      <c r="A697" s="28" t="s">
        <v>4146</v>
      </c>
      <c r="B697" s="28" t="s">
        <v>4147</v>
      </c>
      <c r="C697" s="28" t="s">
        <v>1827</v>
      </c>
      <c r="D697" s="28" t="s">
        <v>101</v>
      </c>
      <c r="E697" s="28" t="s">
        <v>4148</v>
      </c>
      <c r="F697" s="28" t="s">
        <v>21</v>
      </c>
      <c r="G697" s="28" t="s">
        <v>22</v>
      </c>
      <c r="H697" s="28" t="s">
        <v>4133</v>
      </c>
      <c r="I697" s="28" t="s">
        <v>4149</v>
      </c>
      <c r="J697" s="28" t="s">
        <v>22</v>
      </c>
      <c r="K697" s="28" t="s">
        <v>4150</v>
      </c>
      <c r="L697" s="28" t="s">
        <v>1832</v>
      </c>
      <c r="M697" s="28" t="s">
        <v>4151</v>
      </c>
      <c r="N697" s="28" t="s">
        <v>4137</v>
      </c>
      <c r="O697" s="28" t="s">
        <v>4138</v>
      </c>
      <c r="P697" s="28" t="s">
        <v>4152</v>
      </c>
    </row>
    <row r="698" spans="1:16" hidden="1" x14ac:dyDescent="0.25">
      <c r="A698" s="28" t="s">
        <v>4153</v>
      </c>
      <c r="B698" s="28" t="s">
        <v>4154</v>
      </c>
      <c r="C698" s="28" t="s">
        <v>1827</v>
      </c>
      <c r="D698" s="28" t="s">
        <v>101</v>
      </c>
      <c r="E698" s="28" t="s">
        <v>923</v>
      </c>
      <c r="F698" s="28" t="s">
        <v>21</v>
      </c>
      <c r="G698" s="28" t="s">
        <v>22</v>
      </c>
      <c r="H698" s="28" t="s">
        <v>4133</v>
      </c>
      <c r="I698" s="28" t="s">
        <v>4155</v>
      </c>
      <c r="J698" s="28" t="s">
        <v>22</v>
      </c>
      <c r="K698" s="28" t="s">
        <v>4156</v>
      </c>
      <c r="L698" s="28" t="s">
        <v>1832</v>
      </c>
      <c r="M698" s="28" t="s">
        <v>4157</v>
      </c>
      <c r="N698" s="28" t="s">
        <v>4137</v>
      </c>
      <c r="O698" s="28" t="s">
        <v>4138</v>
      </c>
      <c r="P698" s="28" t="s">
        <v>4158</v>
      </c>
    </row>
    <row r="699" spans="1:16" hidden="1" x14ac:dyDescent="0.25">
      <c r="A699" s="28" t="s">
        <v>4159</v>
      </c>
      <c r="B699" s="28" t="s">
        <v>4160</v>
      </c>
      <c r="C699" s="28" t="s">
        <v>1827</v>
      </c>
      <c r="D699" s="28" t="s">
        <v>101</v>
      </c>
      <c r="E699" s="28" t="s">
        <v>4161</v>
      </c>
      <c r="F699" s="28" t="s">
        <v>21</v>
      </c>
      <c r="G699" s="28" t="s">
        <v>22</v>
      </c>
      <c r="H699" s="28" t="s">
        <v>4133</v>
      </c>
      <c r="I699" s="28" t="s">
        <v>4162</v>
      </c>
      <c r="J699" s="28" t="s">
        <v>22</v>
      </c>
      <c r="K699" s="28" t="s">
        <v>4163</v>
      </c>
      <c r="L699" s="28" t="s">
        <v>1832</v>
      </c>
      <c r="M699" s="28" t="s">
        <v>4164</v>
      </c>
      <c r="N699" s="28" t="s">
        <v>4137</v>
      </c>
      <c r="O699" s="28" t="s">
        <v>4138</v>
      </c>
      <c r="P699" s="28" t="s">
        <v>4165</v>
      </c>
    </row>
    <row r="700" spans="1:16" hidden="1" x14ac:dyDescent="0.25">
      <c r="A700" s="28" t="s">
        <v>4166</v>
      </c>
      <c r="B700" s="28" t="s">
        <v>4167</v>
      </c>
      <c r="C700" s="28" t="s">
        <v>1827</v>
      </c>
      <c r="D700" s="28" t="s">
        <v>101</v>
      </c>
      <c r="E700" s="28" t="s">
        <v>4161</v>
      </c>
      <c r="F700" s="28" t="s">
        <v>21</v>
      </c>
      <c r="G700" s="28" t="s">
        <v>22</v>
      </c>
      <c r="H700" s="28" t="s">
        <v>4133</v>
      </c>
      <c r="I700" s="28" t="s">
        <v>4168</v>
      </c>
      <c r="J700" s="28" t="s">
        <v>22</v>
      </c>
      <c r="K700" s="28" t="s">
        <v>4169</v>
      </c>
      <c r="L700" s="28" t="s">
        <v>1832</v>
      </c>
      <c r="M700" s="28" t="s">
        <v>4170</v>
      </c>
      <c r="N700" s="28" t="s">
        <v>4137</v>
      </c>
      <c r="O700" s="28" t="s">
        <v>4138</v>
      </c>
      <c r="P700" s="28" t="s">
        <v>4171</v>
      </c>
    </row>
    <row r="701" spans="1:16" hidden="1" x14ac:dyDescent="0.25">
      <c r="A701" s="28" t="s">
        <v>4172</v>
      </c>
      <c r="B701" s="28" t="s">
        <v>4173</v>
      </c>
      <c r="C701" s="28" t="s">
        <v>1827</v>
      </c>
      <c r="D701" s="28" t="s">
        <v>101</v>
      </c>
      <c r="E701" s="28" t="s">
        <v>4161</v>
      </c>
      <c r="F701" s="28" t="s">
        <v>21</v>
      </c>
      <c r="G701" s="28" t="s">
        <v>22</v>
      </c>
      <c r="H701" s="28" t="s">
        <v>4133</v>
      </c>
      <c r="I701" s="28" t="s">
        <v>4174</v>
      </c>
      <c r="J701" s="28" t="s">
        <v>22</v>
      </c>
      <c r="K701" s="28" t="s">
        <v>4175</v>
      </c>
      <c r="L701" s="28" t="s">
        <v>1832</v>
      </c>
      <c r="M701" s="28" t="s">
        <v>4176</v>
      </c>
      <c r="N701" s="28" t="s">
        <v>4137</v>
      </c>
      <c r="O701" s="28" t="s">
        <v>4138</v>
      </c>
      <c r="P701" s="28" t="s">
        <v>4177</v>
      </c>
    </row>
    <row r="702" spans="1:16" hidden="1" x14ac:dyDescent="0.25">
      <c r="A702" s="28" t="s">
        <v>4178</v>
      </c>
      <c r="B702" s="28" t="s">
        <v>4179</v>
      </c>
      <c r="C702" s="28" t="s">
        <v>1827</v>
      </c>
      <c r="D702" s="28" t="s">
        <v>286</v>
      </c>
      <c r="E702" s="28" t="s">
        <v>121</v>
      </c>
      <c r="F702" s="28" t="s">
        <v>21</v>
      </c>
      <c r="G702" s="28" t="s">
        <v>22</v>
      </c>
      <c r="H702" s="28" t="s">
        <v>4180</v>
      </c>
      <c r="I702" s="28" t="s">
        <v>4181</v>
      </c>
      <c r="J702" s="28" t="s">
        <v>22</v>
      </c>
      <c r="K702" s="28" t="s">
        <v>4182</v>
      </c>
      <c r="L702" s="28" t="s">
        <v>1832</v>
      </c>
      <c r="M702" s="28" t="s">
        <v>4183</v>
      </c>
      <c r="N702" s="28" t="s">
        <v>4184</v>
      </c>
      <c r="O702" s="28" t="s">
        <v>4185</v>
      </c>
      <c r="P702" s="28" t="s">
        <v>4186</v>
      </c>
    </row>
    <row r="703" spans="1:16" hidden="1" x14ac:dyDescent="0.25">
      <c r="A703" s="28" t="s">
        <v>4187</v>
      </c>
      <c r="B703" s="28" t="s">
        <v>4188</v>
      </c>
      <c r="C703" s="28" t="s">
        <v>1827</v>
      </c>
      <c r="D703" s="28" t="s">
        <v>286</v>
      </c>
      <c r="E703" s="28" t="s">
        <v>121</v>
      </c>
      <c r="F703" s="28" t="s">
        <v>21</v>
      </c>
      <c r="G703" s="28" t="s">
        <v>22</v>
      </c>
      <c r="H703" s="28" t="s">
        <v>4180</v>
      </c>
      <c r="I703" s="28" t="s">
        <v>4189</v>
      </c>
      <c r="J703" s="28" t="s">
        <v>22</v>
      </c>
      <c r="K703" s="28" t="s">
        <v>4190</v>
      </c>
      <c r="L703" s="28" t="s">
        <v>1832</v>
      </c>
      <c r="M703" s="28" t="s">
        <v>4191</v>
      </c>
      <c r="N703" s="28" t="s">
        <v>4184</v>
      </c>
      <c r="O703" s="28" t="s">
        <v>4185</v>
      </c>
      <c r="P703" s="28" t="s">
        <v>4192</v>
      </c>
    </row>
    <row r="704" spans="1:16" hidden="1" x14ac:dyDescent="0.25">
      <c r="A704" s="28" t="s">
        <v>4193</v>
      </c>
      <c r="B704" s="28" t="s">
        <v>4194</v>
      </c>
      <c r="C704" s="28" t="s">
        <v>1827</v>
      </c>
      <c r="D704" s="28" t="s">
        <v>286</v>
      </c>
      <c r="E704" s="28" t="s">
        <v>121</v>
      </c>
      <c r="F704" s="28" t="s">
        <v>21</v>
      </c>
      <c r="G704" s="28" t="s">
        <v>22</v>
      </c>
      <c r="H704" s="28" t="s">
        <v>4180</v>
      </c>
      <c r="I704" s="28" t="s">
        <v>4195</v>
      </c>
      <c r="J704" s="28" t="s">
        <v>22</v>
      </c>
      <c r="K704" s="28" t="s">
        <v>4196</v>
      </c>
      <c r="L704" s="28" t="s">
        <v>1832</v>
      </c>
      <c r="M704" s="28" t="s">
        <v>4197</v>
      </c>
      <c r="N704" s="28" t="s">
        <v>4184</v>
      </c>
      <c r="O704" s="28" t="s">
        <v>4185</v>
      </c>
      <c r="P704" s="28" t="s">
        <v>4198</v>
      </c>
    </row>
    <row r="705" spans="1:16" hidden="1" x14ac:dyDescent="0.25">
      <c r="A705" s="28" t="s">
        <v>4199</v>
      </c>
      <c r="B705" s="28" t="s">
        <v>4200</v>
      </c>
      <c r="C705" s="28" t="s">
        <v>1827</v>
      </c>
      <c r="D705" s="28" t="s">
        <v>286</v>
      </c>
      <c r="E705" s="28" t="s">
        <v>121</v>
      </c>
      <c r="F705" s="28" t="s">
        <v>21</v>
      </c>
      <c r="G705" s="28" t="s">
        <v>22</v>
      </c>
      <c r="H705" s="28" t="s">
        <v>4180</v>
      </c>
      <c r="I705" s="28" t="s">
        <v>4201</v>
      </c>
      <c r="J705" s="28" t="s">
        <v>22</v>
      </c>
      <c r="K705" s="28" t="s">
        <v>4202</v>
      </c>
      <c r="L705" s="28" t="s">
        <v>1832</v>
      </c>
      <c r="M705" s="28" t="s">
        <v>4203</v>
      </c>
      <c r="N705" s="28" t="s">
        <v>4184</v>
      </c>
      <c r="O705" s="28" t="s">
        <v>4185</v>
      </c>
      <c r="P705" s="28" t="s">
        <v>4204</v>
      </c>
    </row>
    <row r="706" spans="1:16" hidden="1" x14ac:dyDescent="0.25">
      <c r="A706" s="28" t="s">
        <v>4205</v>
      </c>
      <c r="B706" s="28" t="s">
        <v>4206</v>
      </c>
      <c r="C706" s="28" t="s">
        <v>1827</v>
      </c>
      <c r="D706" s="28" t="s">
        <v>286</v>
      </c>
      <c r="E706" s="28" t="s">
        <v>121</v>
      </c>
      <c r="F706" s="28" t="s">
        <v>21</v>
      </c>
      <c r="G706" s="28" t="s">
        <v>22</v>
      </c>
      <c r="H706" s="28" t="s">
        <v>4180</v>
      </c>
      <c r="I706" s="28" t="s">
        <v>4207</v>
      </c>
      <c r="J706" s="28" t="s">
        <v>22</v>
      </c>
      <c r="K706" s="28" t="s">
        <v>4208</v>
      </c>
      <c r="L706" s="28" t="s">
        <v>1832</v>
      </c>
      <c r="M706" s="28" t="s">
        <v>4209</v>
      </c>
      <c r="N706" s="28" t="s">
        <v>4184</v>
      </c>
      <c r="O706" s="28" t="s">
        <v>4185</v>
      </c>
      <c r="P706" s="28" t="s">
        <v>4210</v>
      </c>
    </row>
    <row r="707" spans="1:16" hidden="1" x14ac:dyDescent="0.25">
      <c r="A707" s="28" t="s">
        <v>4211</v>
      </c>
      <c r="B707" s="28" t="s">
        <v>4212</v>
      </c>
      <c r="C707" s="28" t="s">
        <v>1827</v>
      </c>
      <c r="D707" s="28" t="s">
        <v>286</v>
      </c>
      <c r="E707" s="28" t="s">
        <v>121</v>
      </c>
      <c r="F707" s="28" t="s">
        <v>21</v>
      </c>
      <c r="G707" s="28" t="s">
        <v>22</v>
      </c>
      <c r="H707" s="28" t="s">
        <v>4180</v>
      </c>
      <c r="I707" s="28" t="s">
        <v>4213</v>
      </c>
      <c r="J707" s="28" t="s">
        <v>22</v>
      </c>
      <c r="K707" s="28" t="s">
        <v>4214</v>
      </c>
      <c r="L707" s="28" t="s">
        <v>1832</v>
      </c>
      <c r="M707" s="28" t="s">
        <v>4215</v>
      </c>
      <c r="N707" s="28" t="s">
        <v>4184</v>
      </c>
      <c r="O707" s="28" t="s">
        <v>4185</v>
      </c>
      <c r="P707" s="28" t="s">
        <v>4216</v>
      </c>
    </row>
    <row r="708" spans="1:16" hidden="1" x14ac:dyDescent="0.25">
      <c r="A708" s="28" t="s">
        <v>4217</v>
      </c>
      <c r="B708" s="28" t="s">
        <v>4218</v>
      </c>
      <c r="C708" s="28" t="s">
        <v>1827</v>
      </c>
      <c r="D708" s="28" t="s">
        <v>286</v>
      </c>
      <c r="E708" s="28" t="s">
        <v>121</v>
      </c>
      <c r="F708" s="28" t="s">
        <v>21</v>
      </c>
      <c r="G708" s="28" t="s">
        <v>22</v>
      </c>
      <c r="H708" s="28" t="s">
        <v>4180</v>
      </c>
      <c r="I708" s="28" t="s">
        <v>4219</v>
      </c>
      <c r="J708" s="28" t="s">
        <v>22</v>
      </c>
      <c r="K708" s="28" t="s">
        <v>4220</v>
      </c>
      <c r="L708" s="28" t="s">
        <v>1832</v>
      </c>
      <c r="M708" s="28" t="s">
        <v>4221</v>
      </c>
      <c r="N708" s="28" t="s">
        <v>4184</v>
      </c>
      <c r="O708" s="28" t="s">
        <v>4185</v>
      </c>
      <c r="P708" s="28" t="s">
        <v>4222</v>
      </c>
    </row>
    <row r="709" spans="1:16" hidden="1" x14ac:dyDescent="0.25">
      <c r="A709" s="28" t="s">
        <v>4223</v>
      </c>
      <c r="B709" s="28" t="s">
        <v>4224</v>
      </c>
      <c r="C709" s="28" t="s">
        <v>1827</v>
      </c>
      <c r="D709" s="28" t="s">
        <v>286</v>
      </c>
      <c r="E709" s="28" t="s">
        <v>121</v>
      </c>
      <c r="F709" s="28" t="s">
        <v>21</v>
      </c>
      <c r="G709" s="28" t="s">
        <v>22</v>
      </c>
      <c r="H709" s="28" t="s">
        <v>4180</v>
      </c>
      <c r="I709" s="28" t="s">
        <v>4225</v>
      </c>
      <c r="J709" s="28" t="s">
        <v>22</v>
      </c>
      <c r="K709" s="28" t="s">
        <v>4226</v>
      </c>
      <c r="L709" s="28" t="s">
        <v>1832</v>
      </c>
      <c r="M709" s="28" t="s">
        <v>4227</v>
      </c>
      <c r="N709" s="28" t="s">
        <v>4184</v>
      </c>
      <c r="O709" s="28" t="s">
        <v>4185</v>
      </c>
      <c r="P709" s="28" t="s">
        <v>4228</v>
      </c>
    </row>
    <row r="710" spans="1:16" hidden="1" x14ac:dyDescent="0.25">
      <c r="A710" s="28" t="s">
        <v>4229</v>
      </c>
      <c r="B710" s="28" t="s">
        <v>4230</v>
      </c>
      <c r="C710" s="28" t="s">
        <v>1827</v>
      </c>
      <c r="D710" s="28" t="s">
        <v>286</v>
      </c>
      <c r="E710" s="28" t="s">
        <v>121</v>
      </c>
      <c r="F710" s="28" t="s">
        <v>21</v>
      </c>
      <c r="G710" s="28" t="s">
        <v>22</v>
      </c>
      <c r="H710" s="28" t="s">
        <v>4180</v>
      </c>
      <c r="I710" s="28" t="s">
        <v>4231</v>
      </c>
      <c r="J710" s="28" t="s">
        <v>22</v>
      </c>
      <c r="K710" s="28" t="s">
        <v>4220</v>
      </c>
      <c r="L710" s="28" t="s">
        <v>1832</v>
      </c>
      <c r="M710" s="28" t="s">
        <v>4232</v>
      </c>
      <c r="N710" s="28" t="s">
        <v>4184</v>
      </c>
      <c r="O710" s="28" t="s">
        <v>4185</v>
      </c>
      <c r="P710" s="28" t="s">
        <v>4233</v>
      </c>
    </row>
    <row r="711" spans="1:16" hidden="1" x14ac:dyDescent="0.25">
      <c r="A711" s="28" t="s">
        <v>4234</v>
      </c>
      <c r="B711" s="28" t="s">
        <v>4235</v>
      </c>
      <c r="C711" s="28" t="s">
        <v>1827</v>
      </c>
      <c r="D711" s="28" t="s">
        <v>286</v>
      </c>
      <c r="E711" s="28" t="s">
        <v>121</v>
      </c>
      <c r="F711" s="28" t="s">
        <v>21</v>
      </c>
      <c r="G711" s="28" t="s">
        <v>22</v>
      </c>
      <c r="H711" s="28" t="s">
        <v>4180</v>
      </c>
      <c r="I711" s="28" t="s">
        <v>4236</v>
      </c>
      <c r="J711" s="28" t="s">
        <v>22</v>
      </c>
      <c r="K711" s="28" t="s">
        <v>4237</v>
      </c>
      <c r="L711" s="28" t="s">
        <v>1832</v>
      </c>
      <c r="M711" s="28" t="s">
        <v>4238</v>
      </c>
      <c r="N711" s="28" t="s">
        <v>4184</v>
      </c>
      <c r="O711" s="28" t="s">
        <v>4185</v>
      </c>
      <c r="P711" s="28" t="s">
        <v>4239</v>
      </c>
    </row>
    <row r="712" spans="1:16" hidden="1" x14ac:dyDescent="0.25">
      <c r="A712" s="28" t="s">
        <v>4240</v>
      </c>
      <c r="B712" s="28" t="s">
        <v>4241</v>
      </c>
      <c r="C712" s="28" t="s">
        <v>1827</v>
      </c>
      <c r="D712" s="28" t="s">
        <v>286</v>
      </c>
      <c r="E712" s="28" t="s">
        <v>121</v>
      </c>
      <c r="F712" s="28" t="s">
        <v>21</v>
      </c>
      <c r="G712" s="28" t="s">
        <v>22</v>
      </c>
      <c r="H712" s="28" t="s">
        <v>4180</v>
      </c>
      <c r="I712" s="28" t="s">
        <v>4242</v>
      </c>
      <c r="J712" s="28" t="s">
        <v>22</v>
      </c>
      <c r="K712" s="28" t="s">
        <v>4243</v>
      </c>
      <c r="L712" s="28" t="s">
        <v>1832</v>
      </c>
      <c r="M712" s="28" t="s">
        <v>4244</v>
      </c>
      <c r="N712" s="28" t="s">
        <v>4184</v>
      </c>
      <c r="O712" s="28" t="s">
        <v>4185</v>
      </c>
      <c r="P712" s="28" t="s">
        <v>4245</v>
      </c>
    </row>
    <row r="713" spans="1:16" hidden="1" x14ac:dyDescent="0.25">
      <c r="A713" s="28" t="s">
        <v>4246</v>
      </c>
      <c r="B713" s="28" t="s">
        <v>4247</v>
      </c>
      <c r="C713" s="28" t="s">
        <v>1827</v>
      </c>
      <c r="D713" s="28" t="s">
        <v>286</v>
      </c>
      <c r="E713" s="28" t="s">
        <v>121</v>
      </c>
      <c r="F713" s="28" t="s">
        <v>21</v>
      </c>
      <c r="G713" s="28" t="s">
        <v>22</v>
      </c>
      <c r="H713" s="28" t="s">
        <v>4180</v>
      </c>
      <c r="I713" s="28" t="s">
        <v>4248</v>
      </c>
      <c r="J713" s="28" t="s">
        <v>22</v>
      </c>
      <c r="K713" s="28" t="s">
        <v>4249</v>
      </c>
      <c r="L713" s="28" t="s">
        <v>1832</v>
      </c>
      <c r="M713" s="28" t="s">
        <v>4250</v>
      </c>
      <c r="N713" s="28" t="s">
        <v>4184</v>
      </c>
      <c r="O713" s="28" t="s">
        <v>4185</v>
      </c>
      <c r="P713" s="28" t="s">
        <v>4251</v>
      </c>
    </row>
    <row r="714" spans="1:16" hidden="1" x14ac:dyDescent="0.25">
      <c r="A714" s="28" t="s">
        <v>4252</v>
      </c>
      <c r="B714" s="28" t="s">
        <v>4253</v>
      </c>
      <c r="C714" s="28" t="s">
        <v>1827</v>
      </c>
      <c r="D714" s="28" t="s">
        <v>286</v>
      </c>
      <c r="E714" s="28" t="s">
        <v>4254</v>
      </c>
      <c r="F714" s="28" t="s">
        <v>21</v>
      </c>
      <c r="G714" s="28" t="s">
        <v>22</v>
      </c>
      <c r="H714" s="28" t="s">
        <v>4180</v>
      </c>
      <c r="I714" s="28" t="s">
        <v>4255</v>
      </c>
      <c r="J714" s="28" t="s">
        <v>22</v>
      </c>
      <c r="K714" s="28" t="s">
        <v>4220</v>
      </c>
      <c r="L714" s="28" t="s">
        <v>1832</v>
      </c>
      <c r="M714" s="28" t="s">
        <v>4256</v>
      </c>
      <c r="N714" s="28" t="s">
        <v>4184</v>
      </c>
      <c r="O714" s="28" t="s">
        <v>4185</v>
      </c>
      <c r="P714" s="28" t="s">
        <v>4257</v>
      </c>
    </row>
    <row r="715" spans="1:16" hidden="1" x14ac:dyDescent="0.25">
      <c r="A715" s="28" t="s">
        <v>4258</v>
      </c>
      <c r="B715" s="28" t="s">
        <v>4259</v>
      </c>
      <c r="C715" s="28" t="s">
        <v>1827</v>
      </c>
      <c r="D715" s="28" t="s">
        <v>1673</v>
      </c>
      <c r="E715" s="28" t="s">
        <v>4260</v>
      </c>
      <c r="F715" s="28" t="s">
        <v>21</v>
      </c>
      <c r="G715" s="28" t="s">
        <v>22</v>
      </c>
      <c r="H715" s="28" t="s">
        <v>4261</v>
      </c>
      <c r="I715" s="28" t="s">
        <v>4262</v>
      </c>
      <c r="J715" s="28" t="s">
        <v>22</v>
      </c>
      <c r="K715" s="28" t="s">
        <v>4263</v>
      </c>
      <c r="L715" s="28" t="s">
        <v>1832</v>
      </c>
      <c r="M715" s="28" t="s">
        <v>4264</v>
      </c>
      <c r="N715" s="28" t="s">
        <v>4265</v>
      </c>
      <c r="O715" s="28" t="s">
        <v>4266</v>
      </c>
      <c r="P715" s="28" t="s">
        <v>4267</v>
      </c>
    </row>
    <row r="716" spans="1:16" hidden="1" x14ac:dyDescent="0.25">
      <c r="A716" s="28" t="s">
        <v>4268</v>
      </c>
      <c r="B716" s="28" t="s">
        <v>4269</v>
      </c>
      <c r="C716" s="28" t="s">
        <v>1827</v>
      </c>
      <c r="D716" s="28" t="s">
        <v>4270</v>
      </c>
      <c r="E716" s="28" t="s">
        <v>4271</v>
      </c>
      <c r="F716" s="28" t="s">
        <v>21</v>
      </c>
      <c r="G716" s="28" t="s">
        <v>22</v>
      </c>
      <c r="H716" s="28" t="s">
        <v>4272</v>
      </c>
      <c r="I716" s="28" t="s">
        <v>4273</v>
      </c>
      <c r="J716" s="28" t="s">
        <v>22</v>
      </c>
      <c r="K716" s="28" t="s">
        <v>4274</v>
      </c>
      <c r="L716" s="28" t="s">
        <v>1832</v>
      </c>
      <c r="M716" s="28" t="s">
        <v>4275</v>
      </c>
      <c r="N716" s="28" t="s">
        <v>4276</v>
      </c>
      <c r="O716" s="28" t="s">
        <v>4277</v>
      </c>
      <c r="P716" s="28" t="s">
        <v>4278</v>
      </c>
    </row>
    <row r="717" spans="1:16" hidden="1" x14ac:dyDescent="0.25">
      <c r="A717" s="28" t="s">
        <v>4279</v>
      </c>
      <c r="B717" s="28" t="s">
        <v>4280</v>
      </c>
      <c r="C717" s="28" t="s">
        <v>1827</v>
      </c>
      <c r="D717" s="28" t="s">
        <v>4270</v>
      </c>
      <c r="E717" s="28" t="s">
        <v>4281</v>
      </c>
      <c r="F717" s="28" t="s">
        <v>21</v>
      </c>
      <c r="G717" s="28" t="s">
        <v>22</v>
      </c>
      <c r="H717" s="28" t="s">
        <v>4272</v>
      </c>
      <c r="I717" s="28" t="s">
        <v>4282</v>
      </c>
      <c r="J717" s="28" t="s">
        <v>22</v>
      </c>
      <c r="K717" s="28" t="s">
        <v>4283</v>
      </c>
      <c r="L717" s="28" t="s">
        <v>1832</v>
      </c>
      <c r="M717" s="28" t="s">
        <v>4284</v>
      </c>
      <c r="N717" s="28" t="s">
        <v>4276</v>
      </c>
      <c r="O717" s="28" t="s">
        <v>4277</v>
      </c>
      <c r="P717" s="28" t="s">
        <v>4285</v>
      </c>
    </row>
    <row r="718" spans="1:16" hidden="1" x14ac:dyDescent="0.25">
      <c r="A718" s="28" t="s">
        <v>4286</v>
      </c>
      <c r="B718" s="28" t="s">
        <v>4287</v>
      </c>
      <c r="C718" s="28" t="s">
        <v>1827</v>
      </c>
      <c r="D718" s="28" t="s">
        <v>4270</v>
      </c>
      <c r="E718" s="28" t="s">
        <v>4288</v>
      </c>
      <c r="F718" s="28" t="s">
        <v>21</v>
      </c>
      <c r="G718" s="28" t="s">
        <v>22</v>
      </c>
      <c r="H718" s="28" t="s">
        <v>4272</v>
      </c>
      <c r="I718" s="28" t="s">
        <v>4289</v>
      </c>
      <c r="J718" s="28" t="s">
        <v>22</v>
      </c>
      <c r="K718" s="28" t="s">
        <v>4290</v>
      </c>
      <c r="L718" s="28" t="s">
        <v>1832</v>
      </c>
      <c r="M718" s="28" t="s">
        <v>4291</v>
      </c>
      <c r="N718" s="28" t="s">
        <v>4276</v>
      </c>
      <c r="O718" s="28" t="s">
        <v>4277</v>
      </c>
      <c r="P718" s="28" t="s">
        <v>4292</v>
      </c>
    </row>
    <row r="719" spans="1:16" hidden="1" x14ac:dyDescent="0.25">
      <c r="A719" s="28" t="s">
        <v>4293</v>
      </c>
      <c r="B719" s="28" t="s">
        <v>4294</v>
      </c>
      <c r="C719" s="28" t="s">
        <v>1827</v>
      </c>
      <c r="D719" s="28" t="s">
        <v>4270</v>
      </c>
      <c r="E719" s="28" t="s">
        <v>4295</v>
      </c>
      <c r="F719" s="28" t="s">
        <v>21</v>
      </c>
      <c r="G719" s="28" t="s">
        <v>22</v>
      </c>
      <c r="H719" s="28" t="s">
        <v>4272</v>
      </c>
      <c r="I719" s="28" t="s">
        <v>4296</v>
      </c>
      <c r="J719" s="28" t="s">
        <v>22</v>
      </c>
      <c r="K719" s="28" t="s">
        <v>4297</v>
      </c>
      <c r="L719" s="28" t="s">
        <v>1832</v>
      </c>
      <c r="M719" s="28" t="s">
        <v>4298</v>
      </c>
      <c r="N719" s="28" t="s">
        <v>4276</v>
      </c>
      <c r="O719" s="28" t="s">
        <v>4277</v>
      </c>
      <c r="P719" s="28" t="s">
        <v>4299</v>
      </c>
    </row>
    <row r="720" spans="1:16" hidden="1" x14ac:dyDescent="0.25">
      <c r="A720" s="28" t="s">
        <v>4300</v>
      </c>
      <c r="B720" s="28" t="s">
        <v>4301</v>
      </c>
      <c r="C720" s="28" t="s">
        <v>1827</v>
      </c>
      <c r="D720" s="28" t="s">
        <v>4270</v>
      </c>
      <c r="E720" s="28" t="s">
        <v>4295</v>
      </c>
      <c r="F720" s="28" t="s">
        <v>21</v>
      </c>
      <c r="G720" s="28" t="s">
        <v>22</v>
      </c>
      <c r="H720" s="28" t="s">
        <v>4272</v>
      </c>
      <c r="I720" s="28" t="s">
        <v>4302</v>
      </c>
      <c r="J720" s="28" t="s">
        <v>22</v>
      </c>
      <c r="K720" s="28" t="s">
        <v>4303</v>
      </c>
      <c r="L720" s="28" t="s">
        <v>1832</v>
      </c>
      <c r="M720" s="28" t="s">
        <v>4304</v>
      </c>
      <c r="N720" s="28" t="s">
        <v>4276</v>
      </c>
      <c r="O720" s="28" t="s">
        <v>4277</v>
      </c>
      <c r="P720" s="28" t="s">
        <v>4305</v>
      </c>
    </row>
    <row r="721" spans="1:16" hidden="1" x14ac:dyDescent="0.25">
      <c r="A721" s="28" t="s">
        <v>4306</v>
      </c>
      <c r="B721" s="28" t="s">
        <v>4307</v>
      </c>
      <c r="C721" s="28" t="s">
        <v>1827</v>
      </c>
      <c r="D721" s="28" t="s">
        <v>4270</v>
      </c>
      <c r="E721" s="28" t="s">
        <v>4308</v>
      </c>
      <c r="F721" s="28" t="s">
        <v>21</v>
      </c>
      <c r="G721" s="28" t="s">
        <v>22</v>
      </c>
      <c r="H721" s="28" t="s">
        <v>4272</v>
      </c>
      <c r="I721" s="28" t="s">
        <v>4309</v>
      </c>
      <c r="J721" s="28" t="s">
        <v>22</v>
      </c>
      <c r="K721" s="28" t="s">
        <v>4310</v>
      </c>
      <c r="L721" s="28" t="s">
        <v>1832</v>
      </c>
      <c r="M721" s="28" t="s">
        <v>4311</v>
      </c>
      <c r="N721" s="28" t="s">
        <v>4276</v>
      </c>
      <c r="O721" s="28" t="s">
        <v>4277</v>
      </c>
      <c r="P721" s="28" t="s">
        <v>4312</v>
      </c>
    </row>
    <row r="722" spans="1:16" hidden="1" x14ac:dyDescent="0.25">
      <c r="A722" s="28" t="s">
        <v>4313</v>
      </c>
      <c r="B722" s="28" t="s">
        <v>4314</v>
      </c>
      <c r="C722" s="28" t="s">
        <v>1827</v>
      </c>
      <c r="D722" s="28" t="s">
        <v>4270</v>
      </c>
      <c r="E722" s="28" t="s">
        <v>4315</v>
      </c>
      <c r="F722" s="28" t="s">
        <v>21</v>
      </c>
      <c r="G722" s="28" t="s">
        <v>22</v>
      </c>
      <c r="H722" s="28" t="s">
        <v>4272</v>
      </c>
      <c r="I722" s="28" t="s">
        <v>4316</v>
      </c>
      <c r="J722" s="28" t="s">
        <v>22</v>
      </c>
      <c r="K722" s="28" t="s">
        <v>4317</v>
      </c>
      <c r="L722" s="28" t="s">
        <v>1832</v>
      </c>
      <c r="M722" s="28" t="s">
        <v>4318</v>
      </c>
      <c r="N722" s="28" t="s">
        <v>4276</v>
      </c>
      <c r="O722" s="28" t="s">
        <v>4277</v>
      </c>
      <c r="P722" s="28" t="s">
        <v>4319</v>
      </c>
    </row>
    <row r="723" spans="1:16" hidden="1" x14ac:dyDescent="0.25">
      <c r="A723" s="28" t="s">
        <v>4320</v>
      </c>
      <c r="B723" s="28" t="s">
        <v>4321</v>
      </c>
      <c r="C723" s="28" t="s">
        <v>1827</v>
      </c>
      <c r="D723" s="28" t="s">
        <v>4270</v>
      </c>
      <c r="E723" s="28" t="s">
        <v>4322</v>
      </c>
      <c r="F723" s="28" t="s">
        <v>21</v>
      </c>
      <c r="G723" s="28" t="s">
        <v>22</v>
      </c>
      <c r="H723" s="28" t="s">
        <v>4272</v>
      </c>
      <c r="I723" s="28" t="s">
        <v>4323</v>
      </c>
      <c r="J723" s="28" t="s">
        <v>22</v>
      </c>
      <c r="K723" s="28" t="s">
        <v>4324</v>
      </c>
      <c r="L723" s="28" t="s">
        <v>1832</v>
      </c>
      <c r="M723" s="28" t="s">
        <v>4325</v>
      </c>
      <c r="N723" s="28" t="s">
        <v>4276</v>
      </c>
      <c r="O723" s="28" t="s">
        <v>4277</v>
      </c>
      <c r="P723" s="28" t="s">
        <v>4326</v>
      </c>
    </row>
    <row r="724" spans="1:16" hidden="1" x14ac:dyDescent="0.25">
      <c r="A724" s="28" t="s">
        <v>4327</v>
      </c>
      <c r="B724" s="28" t="s">
        <v>4328</v>
      </c>
      <c r="C724" s="28" t="s">
        <v>1827</v>
      </c>
      <c r="D724" s="28" t="s">
        <v>4270</v>
      </c>
      <c r="E724" s="28" t="s">
        <v>4329</v>
      </c>
      <c r="F724" s="28" t="s">
        <v>21</v>
      </c>
      <c r="G724" s="28" t="s">
        <v>22</v>
      </c>
      <c r="H724" s="28" t="s">
        <v>4272</v>
      </c>
      <c r="I724" s="28" t="s">
        <v>4330</v>
      </c>
      <c r="J724" s="28" t="s">
        <v>22</v>
      </c>
      <c r="K724" s="28" t="s">
        <v>4317</v>
      </c>
      <c r="L724" s="28" t="s">
        <v>1832</v>
      </c>
      <c r="M724" s="28" t="s">
        <v>4331</v>
      </c>
      <c r="N724" s="28" t="s">
        <v>4276</v>
      </c>
      <c r="O724" s="28" t="s">
        <v>4277</v>
      </c>
      <c r="P724" s="28" t="s">
        <v>4332</v>
      </c>
    </row>
    <row r="725" spans="1:16" hidden="1" x14ac:dyDescent="0.25">
      <c r="A725" s="28" t="s">
        <v>4333</v>
      </c>
      <c r="B725" s="28" t="s">
        <v>4334</v>
      </c>
      <c r="C725" s="28" t="s">
        <v>1827</v>
      </c>
      <c r="D725" s="28" t="s">
        <v>4270</v>
      </c>
      <c r="E725" s="28" t="s">
        <v>4335</v>
      </c>
      <c r="F725" s="28" t="s">
        <v>21</v>
      </c>
      <c r="G725" s="28" t="s">
        <v>22</v>
      </c>
      <c r="H725" s="28" t="s">
        <v>4272</v>
      </c>
      <c r="I725" s="28" t="s">
        <v>4336</v>
      </c>
      <c r="J725" s="28" t="s">
        <v>22</v>
      </c>
      <c r="K725" s="28" t="s">
        <v>4317</v>
      </c>
      <c r="L725" s="28" t="s">
        <v>1832</v>
      </c>
      <c r="M725" s="28" t="s">
        <v>4337</v>
      </c>
      <c r="N725" s="28" t="s">
        <v>4276</v>
      </c>
      <c r="O725" s="28" t="s">
        <v>4277</v>
      </c>
      <c r="P725" s="28" t="s">
        <v>4338</v>
      </c>
    </row>
    <row r="726" spans="1:16" hidden="1" x14ac:dyDescent="0.25">
      <c r="A726" s="28" t="s">
        <v>4339</v>
      </c>
      <c r="B726" s="28" t="s">
        <v>4340</v>
      </c>
      <c r="C726" s="28" t="s">
        <v>1827</v>
      </c>
      <c r="D726" s="28" t="s">
        <v>4341</v>
      </c>
      <c r="E726" s="28" t="s">
        <v>4342</v>
      </c>
      <c r="F726" s="28" t="s">
        <v>21</v>
      </c>
      <c r="G726" s="28" t="s">
        <v>22</v>
      </c>
      <c r="H726" s="28" t="s">
        <v>4343</v>
      </c>
      <c r="I726" s="28" t="s">
        <v>4344</v>
      </c>
      <c r="J726" s="28" t="s">
        <v>22</v>
      </c>
      <c r="K726" s="28" t="s">
        <v>4345</v>
      </c>
      <c r="L726" s="28" t="s">
        <v>1832</v>
      </c>
      <c r="M726" s="28" t="s">
        <v>4346</v>
      </c>
      <c r="N726" s="28" t="s">
        <v>4347</v>
      </c>
      <c r="O726" s="28" t="s">
        <v>4348</v>
      </c>
      <c r="P726" s="28" t="s">
        <v>4349</v>
      </c>
    </row>
    <row r="727" spans="1:16" hidden="1" x14ac:dyDescent="0.25">
      <c r="A727" s="28" t="s">
        <v>4350</v>
      </c>
      <c r="B727" s="28" t="s">
        <v>4351</v>
      </c>
      <c r="C727" s="28" t="s">
        <v>1827</v>
      </c>
      <c r="D727" s="28" t="s">
        <v>4341</v>
      </c>
      <c r="E727" s="28" t="s">
        <v>4342</v>
      </c>
      <c r="F727" s="28" t="s">
        <v>21</v>
      </c>
      <c r="G727" s="28" t="s">
        <v>22</v>
      </c>
      <c r="H727" s="28" t="s">
        <v>4343</v>
      </c>
      <c r="I727" s="28" t="s">
        <v>4352</v>
      </c>
      <c r="J727" s="28" t="s">
        <v>22</v>
      </c>
      <c r="K727" s="28" t="s">
        <v>4353</v>
      </c>
      <c r="L727" s="28" t="s">
        <v>1832</v>
      </c>
      <c r="M727" s="28" t="s">
        <v>4354</v>
      </c>
      <c r="N727" s="28" t="s">
        <v>4347</v>
      </c>
      <c r="O727" s="28" t="s">
        <v>4348</v>
      </c>
      <c r="P727" s="28" t="s">
        <v>4355</v>
      </c>
    </row>
    <row r="728" spans="1:16" hidden="1" x14ac:dyDescent="0.25">
      <c r="A728" s="28" t="s">
        <v>4356</v>
      </c>
      <c r="B728" s="28" t="s">
        <v>4357</v>
      </c>
      <c r="C728" s="28" t="s">
        <v>1827</v>
      </c>
      <c r="D728" s="28" t="s">
        <v>4341</v>
      </c>
      <c r="E728" s="28" t="s">
        <v>4358</v>
      </c>
      <c r="F728" s="28" t="s">
        <v>21</v>
      </c>
      <c r="G728" s="28" t="s">
        <v>22</v>
      </c>
      <c r="H728" s="28" t="s">
        <v>4343</v>
      </c>
      <c r="I728" s="28" t="s">
        <v>4359</v>
      </c>
      <c r="J728" s="28" t="s">
        <v>22</v>
      </c>
      <c r="K728" s="28" t="s">
        <v>4360</v>
      </c>
      <c r="L728" s="28" t="s">
        <v>1832</v>
      </c>
      <c r="M728" s="28" t="s">
        <v>4361</v>
      </c>
      <c r="N728" s="28" t="s">
        <v>4347</v>
      </c>
      <c r="O728" s="28" t="s">
        <v>4348</v>
      </c>
      <c r="P728" s="28" t="s">
        <v>4362</v>
      </c>
    </row>
    <row r="729" spans="1:16" hidden="1" x14ac:dyDescent="0.25">
      <c r="A729" s="28" t="s">
        <v>4363</v>
      </c>
      <c r="B729" s="28" t="s">
        <v>4364</v>
      </c>
      <c r="C729" s="28" t="s">
        <v>1827</v>
      </c>
      <c r="D729" s="28" t="s">
        <v>4341</v>
      </c>
      <c r="E729" s="28" t="s">
        <v>4358</v>
      </c>
      <c r="F729" s="28" t="s">
        <v>21</v>
      </c>
      <c r="G729" s="28" t="s">
        <v>22</v>
      </c>
      <c r="H729" s="28" t="s">
        <v>4343</v>
      </c>
      <c r="I729" s="28" t="s">
        <v>4365</v>
      </c>
      <c r="J729" s="28" t="s">
        <v>22</v>
      </c>
      <c r="K729" s="28" t="s">
        <v>4366</v>
      </c>
      <c r="L729" s="28" t="s">
        <v>1832</v>
      </c>
      <c r="M729" s="28" t="s">
        <v>4367</v>
      </c>
      <c r="N729" s="28" t="s">
        <v>4347</v>
      </c>
      <c r="O729" s="28" t="s">
        <v>4348</v>
      </c>
      <c r="P729" s="28" t="s">
        <v>4368</v>
      </c>
    </row>
    <row r="730" spans="1:16" hidden="1" x14ac:dyDescent="0.25">
      <c r="A730" s="28" t="s">
        <v>4369</v>
      </c>
      <c r="B730" s="28" t="s">
        <v>4370</v>
      </c>
      <c r="C730" s="28" t="s">
        <v>1827</v>
      </c>
      <c r="D730" s="28" t="s">
        <v>4341</v>
      </c>
      <c r="E730" s="28" t="s">
        <v>4371</v>
      </c>
      <c r="F730" s="28" t="s">
        <v>21</v>
      </c>
      <c r="G730" s="28" t="s">
        <v>22</v>
      </c>
      <c r="H730" s="28" t="s">
        <v>4343</v>
      </c>
      <c r="I730" s="28" t="s">
        <v>4372</v>
      </c>
      <c r="J730" s="28" t="s">
        <v>22</v>
      </c>
      <c r="K730" s="28" t="s">
        <v>4373</v>
      </c>
      <c r="L730" s="28" t="s">
        <v>1832</v>
      </c>
      <c r="M730" s="28" t="s">
        <v>4374</v>
      </c>
      <c r="N730" s="28" t="s">
        <v>4347</v>
      </c>
      <c r="O730" s="28" t="s">
        <v>4348</v>
      </c>
      <c r="P730" s="28" t="s">
        <v>4375</v>
      </c>
    </row>
    <row r="731" spans="1:16" hidden="1" x14ac:dyDescent="0.25">
      <c r="A731" s="28" t="s">
        <v>4376</v>
      </c>
      <c r="B731" s="28" t="s">
        <v>4377</v>
      </c>
      <c r="C731" s="28" t="s">
        <v>1827</v>
      </c>
      <c r="D731" s="28" t="s">
        <v>4341</v>
      </c>
      <c r="E731" s="28" t="s">
        <v>4371</v>
      </c>
      <c r="F731" s="28" t="s">
        <v>21</v>
      </c>
      <c r="G731" s="28" t="s">
        <v>22</v>
      </c>
      <c r="H731" s="28" t="s">
        <v>4343</v>
      </c>
      <c r="I731" s="28" t="s">
        <v>4378</v>
      </c>
      <c r="J731" s="28" t="s">
        <v>22</v>
      </c>
      <c r="K731" s="28" t="s">
        <v>4379</v>
      </c>
      <c r="L731" s="28" t="s">
        <v>1832</v>
      </c>
      <c r="M731" s="28" t="s">
        <v>4380</v>
      </c>
      <c r="N731" s="28" t="s">
        <v>4347</v>
      </c>
      <c r="O731" s="28" t="s">
        <v>4348</v>
      </c>
      <c r="P731" s="28" t="s">
        <v>4381</v>
      </c>
    </row>
    <row r="732" spans="1:16" hidden="1" x14ac:dyDescent="0.25">
      <c r="A732" s="28" t="s">
        <v>4382</v>
      </c>
      <c r="B732" s="28" t="s">
        <v>4383</v>
      </c>
      <c r="C732" s="28" t="s">
        <v>1827</v>
      </c>
      <c r="D732" s="28" t="s">
        <v>4341</v>
      </c>
      <c r="E732" s="28" t="s">
        <v>4384</v>
      </c>
      <c r="F732" s="28" t="s">
        <v>21</v>
      </c>
      <c r="G732" s="28" t="s">
        <v>22</v>
      </c>
      <c r="H732" s="28" t="s">
        <v>4343</v>
      </c>
      <c r="I732" s="28" t="s">
        <v>4385</v>
      </c>
      <c r="J732" s="28" t="s">
        <v>22</v>
      </c>
      <c r="K732" s="28" t="s">
        <v>4386</v>
      </c>
      <c r="L732" s="28" t="s">
        <v>1832</v>
      </c>
      <c r="M732" s="28" t="s">
        <v>4387</v>
      </c>
      <c r="N732" s="28" t="s">
        <v>4347</v>
      </c>
      <c r="O732" s="28" t="s">
        <v>4348</v>
      </c>
      <c r="P732" s="28" t="s">
        <v>4388</v>
      </c>
    </row>
    <row r="733" spans="1:16" hidden="1" x14ac:dyDescent="0.25">
      <c r="A733" s="28" t="s">
        <v>4389</v>
      </c>
      <c r="B733" s="28" t="s">
        <v>4390</v>
      </c>
      <c r="C733" s="28" t="s">
        <v>1827</v>
      </c>
      <c r="D733" s="28" t="s">
        <v>4341</v>
      </c>
      <c r="E733" s="28" t="s">
        <v>4384</v>
      </c>
      <c r="F733" s="28" t="s">
        <v>21</v>
      </c>
      <c r="G733" s="28" t="s">
        <v>22</v>
      </c>
      <c r="H733" s="28" t="s">
        <v>4343</v>
      </c>
      <c r="I733" s="28" t="s">
        <v>4391</v>
      </c>
      <c r="J733" s="28" t="s">
        <v>22</v>
      </c>
      <c r="K733" s="28" t="s">
        <v>4392</v>
      </c>
      <c r="L733" s="28" t="s">
        <v>1832</v>
      </c>
      <c r="M733" s="28" t="s">
        <v>4393</v>
      </c>
      <c r="N733" s="28" t="s">
        <v>4347</v>
      </c>
      <c r="O733" s="28" t="s">
        <v>4348</v>
      </c>
      <c r="P733" s="28" t="s">
        <v>4394</v>
      </c>
    </row>
    <row r="734" spans="1:16" hidden="1" x14ac:dyDescent="0.25">
      <c r="A734" s="28" t="s">
        <v>4395</v>
      </c>
      <c r="B734" s="28" t="s">
        <v>4396</v>
      </c>
      <c r="C734" s="28" t="s">
        <v>1827</v>
      </c>
      <c r="D734" s="28" t="s">
        <v>4341</v>
      </c>
      <c r="E734" s="28" t="s">
        <v>4397</v>
      </c>
      <c r="F734" s="28" t="s">
        <v>21</v>
      </c>
      <c r="G734" s="28" t="s">
        <v>22</v>
      </c>
      <c r="H734" s="28" t="s">
        <v>4343</v>
      </c>
      <c r="I734" s="28" t="s">
        <v>4398</v>
      </c>
      <c r="J734" s="28" t="s">
        <v>22</v>
      </c>
      <c r="K734" s="28" t="s">
        <v>4399</v>
      </c>
      <c r="L734" s="28" t="s">
        <v>1832</v>
      </c>
      <c r="M734" s="28" t="s">
        <v>4400</v>
      </c>
      <c r="N734" s="28" t="s">
        <v>4347</v>
      </c>
      <c r="O734" s="28" t="s">
        <v>4348</v>
      </c>
      <c r="P734" s="28" t="s">
        <v>4401</v>
      </c>
    </row>
    <row r="735" spans="1:16" hidden="1" x14ac:dyDescent="0.25">
      <c r="A735" s="28" t="s">
        <v>4402</v>
      </c>
      <c r="B735" s="28" t="s">
        <v>4403</v>
      </c>
      <c r="C735" s="28" t="s">
        <v>1827</v>
      </c>
      <c r="D735" s="28" t="s">
        <v>4341</v>
      </c>
      <c r="E735" s="28" t="s">
        <v>4397</v>
      </c>
      <c r="F735" s="28" t="s">
        <v>21</v>
      </c>
      <c r="G735" s="28" t="s">
        <v>22</v>
      </c>
      <c r="H735" s="28" t="s">
        <v>4343</v>
      </c>
      <c r="I735" s="28" t="s">
        <v>4404</v>
      </c>
      <c r="J735" s="28" t="s">
        <v>22</v>
      </c>
      <c r="K735" s="28" t="s">
        <v>4405</v>
      </c>
      <c r="L735" s="28" t="s">
        <v>1832</v>
      </c>
      <c r="M735" s="28" t="s">
        <v>4406</v>
      </c>
      <c r="N735" s="28" t="s">
        <v>4347</v>
      </c>
      <c r="O735" s="28" t="s">
        <v>4348</v>
      </c>
      <c r="P735" s="28" t="s">
        <v>4407</v>
      </c>
    </row>
    <row r="736" spans="1:16" hidden="1" x14ac:dyDescent="0.25">
      <c r="A736" s="28" t="s">
        <v>4408</v>
      </c>
      <c r="B736" s="28" t="s">
        <v>4409</v>
      </c>
      <c r="C736" s="28" t="s">
        <v>1827</v>
      </c>
      <c r="D736" s="28" t="s">
        <v>4410</v>
      </c>
      <c r="E736" s="28" t="s">
        <v>4411</v>
      </c>
      <c r="F736" s="28" t="s">
        <v>21</v>
      </c>
      <c r="G736" s="28" t="s">
        <v>22</v>
      </c>
      <c r="H736" s="28" t="s">
        <v>4412</v>
      </c>
      <c r="I736" s="28" t="s">
        <v>4413</v>
      </c>
      <c r="J736" s="28" t="s">
        <v>22</v>
      </c>
      <c r="K736" s="28" t="s">
        <v>4414</v>
      </c>
      <c r="L736" s="28" t="s">
        <v>1832</v>
      </c>
      <c r="M736" s="28" t="s">
        <v>4415</v>
      </c>
      <c r="N736" s="28" t="s">
        <v>4416</v>
      </c>
      <c r="O736" s="28" t="s">
        <v>4417</v>
      </c>
      <c r="P736" s="28" t="s">
        <v>4418</v>
      </c>
    </row>
    <row r="737" spans="1:16" x14ac:dyDescent="0.25">
      <c r="A737" s="28" t="s">
        <v>4419</v>
      </c>
      <c r="B737" s="28" t="s">
        <v>4420</v>
      </c>
      <c r="C737" s="28" t="s">
        <v>1684</v>
      </c>
      <c r="D737" s="28" t="s">
        <v>4421</v>
      </c>
      <c r="E737" s="28" t="s">
        <v>2211</v>
      </c>
      <c r="F737" s="28" t="s">
        <v>21</v>
      </c>
      <c r="G737" s="28" t="s">
        <v>39</v>
      </c>
      <c r="H737" s="28" t="s">
        <v>4422</v>
      </c>
      <c r="I737" s="28" t="s">
        <v>4423</v>
      </c>
      <c r="J737" s="28" t="s">
        <v>39</v>
      </c>
      <c r="K737" s="28" t="s">
        <v>4424</v>
      </c>
      <c r="L737" s="28" t="s">
        <v>1722</v>
      </c>
      <c r="M737" s="28" t="s">
        <v>4425</v>
      </c>
      <c r="N737" s="28" t="s">
        <v>4426</v>
      </c>
      <c r="O737" s="28" t="s">
        <v>4427</v>
      </c>
      <c r="P737" s="28" t="s">
        <v>4428</v>
      </c>
    </row>
    <row r="738" spans="1:16" x14ac:dyDescent="0.25">
      <c r="A738" s="28" t="s">
        <v>4429</v>
      </c>
      <c r="B738" s="28" t="s">
        <v>4430</v>
      </c>
      <c r="C738" s="28" t="s">
        <v>1684</v>
      </c>
      <c r="D738" s="28" t="s">
        <v>4421</v>
      </c>
      <c r="E738" s="28" t="s">
        <v>2211</v>
      </c>
      <c r="F738" s="28" t="s">
        <v>21</v>
      </c>
      <c r="G738" s="28" t="s">
        <v>39</v>
      </c>
      <c r="H738" s="28" t="s">
        <v>4422</v>
      </c>
      <c r="I738" s="28" t="s">
        <v>4431</v>
      </c>
      <c r="J738" s="28" t="s">
        <v>39</v>
      </c>
      <c r="K738" s="28" t="s">
        <v>4432</v>
      </c>
      <c r="L738" s="28" t="s">
        <v>1722</v>
      </c>
      <c r="M738" s="28" t="s">
        <v>4433</v>
      </c>
      <c r="N738" s="28" t="s">
        <v>4426</v>
      </c>
      <c r="O738" s="28" t="s">
        <v>4427</v>
      </c>
      <c r="P738" s="28" t="s">
        <v>4434</v>
      </c>
    </row>
    <row r="739" spans="1:16" x14ac:dyDescent="0.25">
      <c r="A739" s="28" t="s">
        <v>4435</v>
      </c>
      <c r="B739" s="28" t="s">
        <v>4436</v>
      </c>
      <c r="C739" s="28" t="s">
        <v>1684</v>
      </c>
      <c r="D739" s="28" t="s">
        <v>4421</v>
      </c>
      <c r="E739" s="28" t="s">
        <v>2211</v>
      </c>
      <c r="F739" s="28" t="s">
        <v>21</v>
      </c>
      <c r="G739" s="28" t="s">
        <v>39</v>
      </c>
      <c r="H739" s="28" t="s">
        <v>4422</v>
      </c>
      <c r="I739" s="28" t="s">
        <v>4437</v>
      </c>
      <c r="J739" s="28" t="s">
        <v>39</v>
      </c>
      <c r="K739" s="28" t="s">
        <v>4438</v>
      </c>
      <c r="L739" s="28" t="s">
        <v>1722</v>
      </c>
      <c r="M739" s="28" t="s">
        <v>4425</v>
      </c>
      <c r="N739" s="28" t="s">
        <v>4426</v>
      </c>
      <c r="O739" s="28" t="s">
        <v>4427</v>
      </c>
      <c r="P739" s="28" t="s">
        <v>4439</v>
      </c>
    </row>
    <row r="740" spans="1:16" hidden="1" x14ac:dyDescent="0.25">
      <c r="A740" s="28" t="s">
        <v>4440</v>
      </c>
      <c r="B740" s="28" t="s">
        <v>4441</v>
      </c>
      <c r="C740" s="28" t="s">
        <v>1684</v>
      </c>
      <c r="D740" s="28" t="s">
        <v>4421</v>
      </c>
      <c r="E740" s="28" t="s">
        <v>2237</v>
      </c>
      <c r="F740" s="28" t="s">
        <v>21</v>
      </c>
      <c r="G740" s="28" t="s">
        <v>22</v>
      </c>
      <c r="H740" s="28" t="s">
        <v>4422</v>
      </c>
      <c r="I740" s="28" t="s">
        <v>4442</v>
      </c>
      <c r="J740" s="28" t="s">
        <v>22</v>
      </c>
      <c r="K740" s="28" t="s">
        <v>4443</v>
      </c>
      <c r="L740" s="28" t="s">
        <v>1722</v>
      </c>
      <c r="M740" s="28" t="s">
        <v>4444</v>
      </c>
      <c r="N740" s="28" t="s">
        <v>4426</v>
      </c>
      <c r="O740" s="28" t="s">
        <v>4427</v>
      </c>
      <c r="P740" s="28" t="s">
        <v>4445</v>
      </c>
    </row>
    <row r="741" spans="1:16" x14ac:dyDescent="0.25">
      <c r="A741" s="28" t="s">
        <v>4446</v>
      </c>
      <c r="B741" s="28" t="s">
        <v>4447</v>
      </c>
      <c r="C741" s="28" t="s">
        <v>1684</v>
      </c>
      <c r="D741" s="28" t="s">
        <v>4421</v>
      </c>
      <c r="E741" s="28" t="s">
        <v>2237</v>
      </c>
      <c r="F741" s="28" t="s">
        <v>21</v>
      </c>
      <c r="G741" s="28" t="s">
        <v>39</v>
      </c>
      <c r="H741" s="28" t="s">
        <v>4422</v>
      </c>
      <c r="I741" s="28" t="s">
        <v>4448</v>
      </c>
      <c r="J741" s="28" t="s">
        <v>39</v>
      </c>
      <c r="K741" s="28" t="s">
        <v>4449</v>
      </c>
      <c r="L741" s="28" t="s">
        <v>1722</v>
      </c>
      <c r="M741" s="28" t="s">
        <v>4450</v>
      </c>
      <c r="N741" s="28" t="s">
        <v>4426</v>
      </c>
      <c r="O741" s="28" t="s">
        <v>4427</v>
      </c>
      <c r="P741" s="28" t="s">
        <v>4451</v>
      </c>
    </row>
    <row r="742" spans="1:16" x14ac:dyDescent="0.25">
      <c r="A742" s="28" t="s">
        <v>4452</v>
      </c>
      <c r="B742" s="28" t="s">
        <v>4453</v>
      </c>
      <c r="C742" s="28" t="s">
        <v>1684</v>
      </c>
      <c r="D742" s="28" t="s">
        <v>4421</v>
      </c>
      <c r="E742" s="28" t="s">
        <v>2237</v>
      </c>
      <c r="F742" s="28" t="s">
        <v>21</v>
      </c>
      <c r="G742" s="28" t="s">
        <v>39</v>
      </c>
      <c r="H742" s="28" t="s">
        <v>4422</v>
      </c>
      <c r="I742" s="28" t="s">
        <v>4454</v>
      </c>
      <c r="J742" s="28" t="s">
        <v>39</v>
      </c>
      <c r="K742" s="28" t="s">
        <v>4455</v>
      </c>
      <c r="L742" s="28" t="s">
        <v>1722</v>
      </c>
      <c r="M742" s="28" t="s">
        <v>4456</v>
      </c>
      <c r="N742" s="28" t="s">
        <v>4426</v>
      </c>
      <c r="O742" s="28" t="s">
        <v>4427</v>
      </c>
      <c r="P742" s="28" t="s">
        <v>4451</v>
      </c>
    </row>
    <row r="743" spans="1:16" hidden="1" x14ac:dyDescent="0.25">
      <c r="A743" s="28" t="s">
        <v>4457</v>
      </c>
      <c r="B743" s="28" t="s">
        <v>4458</v>
      </c>
      <c r="C743" s="28" t="s">
        <v>1684</v>
      </c>
      <c r="D743" s="28" t="s">
        <v>4421</v>
      </c>
      <c r="E743" s="28" t="s">
        <v>4459</v>
      </c>
      <c r="F743" s="28" t="s">
        <v>21</v>
      </c>
      <c r="G743" s="28" t="s">
        <v>22</v>
      </c>
      <c r="H743" s="28" t="s">
        <v>4422</v>
      </c>
      <c r="I743" s="28" t="s">
        <v>4460</v>
      </c>
      <c r="J743" s="28" t="s">
        <v>22</v>
      </c>
      <c r="K743" s="28" t="s">
        <v>4461</v>
      </c>
      <c r="L743" s="28" t="s">
        <v>1722</v>
      </c>
      <c r="M743" s="28" t="s">
        <v>4462</v>
      </c>
      <c r="N743" s="28" t="s">
        <v>4426</v>
      </c>
      <c r="O743" s="28" t="s">
        <v>4427</v>
      </c>
      <c r="P743" s="28" t="s">
        <v>4463</v>
      </c>
    </row>
    <row r="744" spans="1:16" hidden="1" x14ac:dyDescent="0.25">
      <c r="A744" s="28" t="s">
        <v>4464</v>
      </c>
      <c r="B744" s="28" t="s">
        <v>4465</v>
      </c>
      <c r="C744" s="28" t="s">
        <v>1684</v>
      </c>
      <c r="D744" s="28" t="s">
        <v>4421</v>
      </c>
      <c r="E744" s="28" t="s">
        <v>4466</v>
      </c>
      <c r="F744" s="28" t="s">
        <v>21</v>
      </c>
      <c r="G744" s="28" t="s">
        <v>22</v>
      </c>
      <c r="H744" s="28" t="s">
        <v>4422</v>
      </c>
      <c r="I744" s="28" t="s">
        <v>4467</v>
      </c>
      <c r="J744" s="28" t="s">
        <v>22</v>
      </c>
      <c r="K744" s="28" t="s">
        <v>4443</v>
      </c>
      <c r="L744" s="28" t="s">
        <v>1722</v>
      </c>
      <c r="M744" s="28" t="s">
        <v>4468</v>
      </c>
      <c r="N744" s="28" t="s">
        <v>4426</v>
      </c>
      <c r="O744" s="28" t="s">
        <v>4427</v>
      </c>
      <c r="P744" s="28" t="s">
        <v>4445</v>
      </c>
    </row>
    <row r="745" spans="1:16" x14ac:dyDescent="0.25">
      <c r="A745" s="28" t="s">
        <v>4469</v>
      </c>
      <c r="B745" s="28" t="s">
        <v>4470</v>
      </c>
      <c r="C745" s="28" t="s">
        <v>1684</v>
      </c>
      <c r="D745" s="28" t="s">
        <v>4421</v>
      </c>
      <c r="E745" s="28" t="s">
        <v>4466</v>
      </c>
      <c r="F745" s="28" t="s">
        <v>21</v>
      </c>
      <c r="G745" s="28" t="s">
        <v>39</v>
      </c>
      <c r="H745" s="28" t="s">
        <v>4422</v>
      </c>
      <c r="I745" s="28" t="s">
        <v>4471</v>
      </c>
      <c r="J745" s="28" t="s">
        <v>39</v>
      </c>
      <c r="K745" s="28" t="s">
        <v>4472</v>
      </c>
      <c r="L745" s="28" t="s">
        <v>1722</v>
      </c>
      <c r="M745" s="28" t="s">
        <v>4473</v>
      </c>
      <c r="N745" s="28" t="s">
        <v>4426</v>
      </c>
      <c r="O745" s="28" t="s">
        <v>4427</v>
      </c>
      <c r="P745" s="28" t="s">
        <v>4474</v>
      </c>
    </row>
    <row r="746" spans="1:16" hidden="1" x14ac:dyDescent="0.25">
      <c r="A746" s="28" t="s">
        <v>4475</v>
      </c>
      <c r="B746" s="28" t="s">
        <v>4476</v>
      </c>
      <c r="C746" s="28" t="s">
        <v>1684</v>
      </c>
      <c r="D746" s="28" t="s">
        <v>4421</v>
      </c>
      <c r="E746" s="28" t="s">
        <v>4477</v>
      </c>
      <c r="F746" s="28" t="s">
        <v>21</v>
      </c>
      <c r="G746" s="28" t="s">
        <v>22</v>
      </c>
      <c r="H746" s="28" t="s">
        <v>4422</v>
      </c>
      <c r="I746" s="28" t="s">
        <v>4478</v>
      </c>
      <c r="J746" s="28" t="s">
        <v>22</v>
      </c>
      <c r="K746" s="28" t="s">
        <v>4479</v>
      </c>
      <c r="L746" s="28" t="s">
        <v>1722</v>
      </c>
      <c r="M746" s="28" t="s">
        <v>4480</v>
      </c>
      <c r="N746" s="28" t="s">
        <v>4426</v>
      </c>
      <c r="O746" s="28" t="s">
        <v>4427</v>
      </c>
      <c r="P746" s="28" t="s">
        <v>4481</v>
      </c>
    </row>
    <row r="747" spans="1:16" x14ac:dyDescent="0.25">
      <c r="A747" s="28" t="s">
        <v>4482</v>
      </c>
      <c r="B747" s="28" t="s">
        <v>4483</v>
      </c>
      <c r="C747" s="28" t="s">
        <v>1684</v>
      </c>
      <c r="D747" s="28" t="s">
        <v>4421</v>
      </c>
      <c r="E747" s="28" t="s">
        <v>4484</v>
      </c>
      <c r="F747" s="28" t="s">
        <v>21</v>
      </c>
      <c r="G747" s="28" t="s">
        <v>39</v>
      </c>
      <c r="H747" s="28" t="s">
        <v>4422</v>
      </c>
      <c r="I747" s="28" t="s">
        <v>4485</v>
      </c>
      <c r="J747" s="28" t="s">
        <v>39</v>
      </c>
      <c r="K747" s="28" t="s">
        <v>4486</v>
      </c>
      <c r="L747" s="28" t="s">
        <v>1722</v>
      </c>
      <c r="M747" s="28" t="s">
        <v>4487</v>
      </c>
      <c r="N747" s="28" t="s">
        <v>4426</v>
      </c>
      <c r="O747" s="28" t="s">
        <v>4427</v>
      </c>
      <c r="P747" s="28" t="s">
        <v>4488</v>
      </c>
    </row>
    <row r="748" spans="1:16" hidden="1" x14ac:dyDescent="0.25">
      <c r="A748" s="28" t="s">
        <v>4489</v>
      </c>
      <c r="B748" s="28" t="s">
        <v>4490</v>
      </c>
      <c r="C748" s="28" t="s">
        <v>4491</v>
      </c>
      <c r="D748" s="28" t="s">
        <v>4421</v>
      </c>
      <c r="E748" s="28" t="s">
        <v>2237</v>
      </c>
      <c r="F748" s="28" t="s">
        <v>21</v>
      </c>
      <c r="G748" s="28" t="s">
        <v>22</v>
      </c>
      <c r="H748" s="28" t="s">
        <v>4422</v>
      </c>
      <c r="I748" s="28" t="s">
        <v>4492</v>
      </c>
      <c r="J748" s="28" t="s">
        <v>22</v>
      </c>
      <c r="K748" s="28" t="s">
        <v>4443</v>
      </c>
      <c r="L748" s="28" t="s">
        <v>1722</v>
      </c>
      <c r="M748" s="28" t="s">
        <v>4444</v>
      </c>
      <c r="N748" s="28" t="s">
        <v>4426</v>
      </c>
      <c r="O748" s="28" t="s">
        <v>4427</v>
      </c>
      <c r="P748" s="28" t="s">
        <v>4493</v>
      </c>
    </row>
    <row r="749" spans="1:16" x14ac:dyDescent="0.25">
      <c r="A749" s="28" t="s">
        <v>4494</v>
      </c>
      <c r="B749" s="28" t="s">
        <v>4495</v>
      </c>
      <c r="C749" s="28" t="s">
        <v>4491</v>
      </c>
      <c r="D749" s="28" t="s">
        <v>4421</v>
      </c>
      <c r="E749" s="28" t="s">
        <v>2237</v>
      </c>
      <c r="F749" s="28" t="s">
        <v>21</v>
      </c>
      <c r="G749" s="28" t="s">
        <v>39</v>
      </c>
      <c r="H749" s="28" t="s">
        <v>4422</v>
      </c>
      <c r="I749" s="28" t="s">
        <v>4496</v>
      </c>
      <c r="J749" s="28" t="s">
        <v>39</v>
      </c>
      <c r="K749" s="28" t="s">
        <v>4497</v>
      </c>
      <c r="L749" s="28" t="s">
        <v>1722</v>
      </c>
      <c r="M749" s="28" t="s">
        <v>4450</v>
      </c>
      <c r="N749" s="28" t="s">
        <v>4426</v>
      </c>
      <c r="O749" s="28" t="s">
        <v>4427</v>
      </c>
      <c r="P749" s="28" t="s">
        <v>4451</v>
      </c>
    </row>
    <row r="750" spans="1:16" x14ac:dyDescent="0.25">
      <c r="A750" s="28" t="s">
        <v>4498</v>
      </c>
      <c r="B750" s="28" t="s">
        <v>4499</v>
      </c>
      <c r="C750" s="28" t="s">
        <v>4491</v>
      </c>
      <c r="D750" s="28" t="s">
        <v>4421</v>
      </c>
      <c r="E750" s="28" t="s">
        <v>2237</v>
      </c>
      <c r="F750" s="28" t="s">
        <v>21</v>
      </c>
      <c r="G750" s="28" t="s">
        <v>39</v>
      </c>
      <c r="H750" s="28" t="s">
        <v>4422</v>
      </c>
      <c r="I750" s="28" t="s">
        <v>4500</v>
      </c>
      <c r="J750" s="28" t="s">
        <v>39</v>
      </c>
      <c r="K750" s="28" t="s">
        <v>4501</v>
      </c>
      <c r="L750" s="28" t="s">
        <v>1722</v>
      </c>
      <c r="M750" s="28" t="s">
        <v>4456</v>
      </c>
      <c r="N750" s="28" t="s">
        <v>4426</v>
      </c>
      <c r="O750" s="28" t="s">
        <v>4427</v>
      </c>
      <c r="P750" s="28" t="s">
        <v>4451</v>
      </c>
    </row>
    <row r="751" spans="1:16" hidden="1" x14ac:dyDescent="0.25">
      <c r="A751" s="28" t="s">
        <v>4502</v>
      </c>
      <c r="B751" s="28" t="s">
        <v>4503</v>
      </c>
      <c r="C751" s="28" t="s">
        <v>4491</v>
      </c>
      <c r="D751" s="28" t="s">
        <v>4421</v>
      </c>
      <c r="E751" s="28" t="s">
        <v>4459</v>
      </c>
      <c r="F751" s="28" t="s">
        <v>21</v>
      </c>
      <c r="G751" s="28" t="s">
        <v>22</v>
      </c>
      <c r="H751" s="28" t="s">
        <v>4422</v>
      </c>
      <c r="I751" s="28" t="s">
        <v>4504</v>
      </c>
      <c r="J751" s="28" t="s">
        <v>22</v>
      </c>
      <c r="K751" s="28" t="s">
        <v>4461</v>
      </c>
      <c r="L751" s="28" t="s">
        <v>1722</v>
      </c>
      <c r="M751" s="28" t="s">
        <v>4462</v>
      </c>
      <c r="N751" s="28" t="s">
        <v>4426</v>
      </c>
      <c r="O751" s="28" t="s">
        <v>4427</v>
      </c>
      <c r="P751" s="28" t="s">
        <v>4505</v>
      </c>
    </row>
    <row r="752" spans="1:16" hidden="1" x14ac:dyDescent="0.25">
      <c r="A752" s="28" t="s">
        <v>4506</v>
      </c>
      <c r="B752" s="28" t="s">
        <v>4507</v>
      </c>
      <c r="C752" s="28" t="s">
        <v>4491</v>
      </c>
      <c r="D752" s="28" t="s">
        <v>4421</v>
      </c>
      <c r="E752" s="28" t="s">
        <v>4466</v>
      </c>
      <c r="F752" s="28" t="s">
        <v>21</v>
      </c>
      <c r="G752" s="28" t="s">
        <v>22</v>
      </c>
      <c r="H752" s="28" t="s">
        <v>4422</v>
      </c>
      <c r="I752" s="28" t="s">
        <v>4508</v>
      </c>
      <c r="J752" s="28" t="s">
        <v>22</v>
      </c>
      <c r="K752" s="28" t="s">
        <v>4443</v>
      </c>
      <c r="L752" s="28" t="s">
        <v>1722</v>
      </c>
      <c r="M752" s="28" t="s">
        <v>4468</v>
      </c>
      <c r="N752" s="28" t="s">
        <v>4426</v>
      </c>
      <c r="O752" s="28" t="s">
        <v>4427</v>
      </c>
      <c r="P752" s="28" t="s">
        <v>4509</v>
      </c>
    </row>
    <row r="753" spans="1:16" x14ac:dyDescent="0.25">
      <c r="A753" s="28" t="s">
        <v>4510</v>
      </c>
      <c r="B753" s="28" t="s">
        <v>4511</v>
      </c>
      <c r="C753" s="28" t="s">
        <v>4491</v>
      </c>
      <c r="D753" s="28" t="s">
        <v>4421</v>
      </c>
      <c r="E753" s="28" t="s">
        <v>4466</v>
      </c>
      <c r="F753" s="28" t="s">
        <v>21</v>
      </c>
      <c r="G753" s="28" t="s">
        <v>39</v>
      </c>
      <c r="H753" s="28" t="s">
        <v>4422</v>
      </c>
      <c r="I753" s="28" t="s">
        <v>4512</v>
      </c>
      <c r="J753" s="28" t="s">
        <v>39</v>
      </c>
      <c r="K753" s="28" t="s">
        <v>4472</v>
      </c>
      <c r="L753" s="28" t="s">
        <v>1722</v>
      </c>
      <c r="M753" s="28" t="s">
        <v>4473</v>
      </c>
      <c r="N753" s="28" t="s">
        <v>4426</v>
      </c>
      <c r="O753" s="28" t="s">
        <v>4427</v>
      </c>
      <c r="P753" s="28" t="s">
        <v>4474</v>
      </c>
    </row>
    <row r="754" spans="1:16" hidden="1" x14ac:dyDescent="0.25">
      <c r="A754" s="28" t="s">
        <v>4513</v>
      </c>
      <c r="B754" s="28" t="s">
        <v>4514</v>
      </c>
      <c r="C754" s="28" t="s">
        <v>4491</v>
      </c>
      <c r="D754" s="28" t="s">
        <v>4421</v>
      </c>
      <c r="E754" s="28" t="s">
        <v>4477</v>
      </c>
      <c r="F754" s="28" t="s">
        <v>21</v>
      </c>
      <c r="G754" s="28" t="s">
        <v>22</v>
      </c>
      <c r="H754" s="28" t="s">
        <v>4422</v>
      </c>
      <c r="I754" s="28" t="s">
        <v>4515</v>
      </c>
      <c r="J754" s="28" t="s">
        <v>22</v>
      </c>
      <c r="K754" s="28" t="s">
        <v>4479</v>
      </c>
      <c r="L754" s="28" t="s">
        <v>1722</v>
      </c>
      <c r="M754" s="28" t="s">
        <v>4480</v>
      </c>
      <c r="N754" s="28" t="s">
        <v>4426</v>
      </c>
      <c r="O754" s="28" t="s">
        <v>4427</v>
      </c>
      <c r="P754" s="28" t="s">
        <v>4516</v>
      </c>
    </row>
    <row r="755" spans="1:16" hidden="1" x14ac:dyDescent="0.25">
      <c r="A755" s="28" t="s">
        <v>4517</v>
      </c>
      <c r="B755" s="28" t="s">
        <v>4518</v>
      </c>
      <c r="C755" s="28" t="s">
        <v>1684</v>
      </c>
      <c r="D755" s="28" t="s">
        <v>4519</v>
      </c>
      <c r="E755" s="28" t="s">
        <v>4520</v>
      </c>
      <c r="F755" s="28" t="s">
        <v>21</v>
      </c>
      <c r="G755" s="28" t="s">
        <v>22</v>
      </c>
      <c r="H755" s="28" t="s">
        <v>4521</v>
      </c>
      <c r="I755" s="28" t="s">
        <v>4522</v>
      </c>
      <c r="J755" s="28" t="s">
        <v>22</v>
      </c>
      <c r="K755" s="28" t="s">
        <v>4523</v>
      </c>
      <c r="L755" s="28" t="s">
        <v>1722</v>
      </c>
      <c r="M755" s="28" t="s">
        <v>4524</v>
      </c>
      <c r="N755" s="28" t="s">
        <v>4525</v>
      </c>
      <c r="O755" s="28" t="s">
        <v>4526</v>
      </c>
      <c r="P755" s="28" t="s">
        <v>4445</v>
      </c>
    </row>
    <row r="756" spans="1:16" hidden="1" x14ac:dyDescent="0.25">
      <c r="A756" s="28" t="s">
        <v>4527</v>
      </c>
      <c r="B756" s="28" t="s">
        <v>4528</v>
      </c>
      <c r="C756" s="28" t="s">
        <v>1684</v>
      </c>
      <c r="D756" s="28" t="s">
        <v>4519</v>
      </c>
      <c r="E756" s="28" t="s">
        <v>4520</v>
      </c>
      <c r="F756" s="28" t="s">
        <v>21</v>
      </c>
      <c r="G756" s="28" t="s">
        <v>22</v>
      </c>
      <c r="H756" s="28" t="s">
        <v>4521</v>
      </c>
      <c r="I756" s="28" t="s">
        <v>4529</v>
      </c>
      <c r="J756" s="28" t="s">
        <v>22</v>
      </c>
      <c r="K756" s="28" t="s">
        <v>4530</v>
      </c>
      <c r="L756" s="28" t="s">
        <v>1722</v>
      </c>
      <c r="M756" s="28" t="s">
        <v>4524</v>
      </c>
      <c r="N756" s="28" t="s">
        <v>4525</v>
      </c>
      <c r="O756" s="28" t="s">
        <v>4526</v>
      </c>
      <c r="P756" s="28" t="s">
        <v>4531</v>
      </c>
    </row>
    <row r="757" spans="1:16" hidden="1" x14ac:dyDescent="0.25">
      <c r="A757" s="28" t="s">
        <v>4532</v>
      </c>
      <c r="B757" s="28" t="s">
        <v>4533</v>
      </c>
      <c r="C757" s="28" t="s">
        <v>1684</v>
      </c>
      <c r="D757" s="28" t="s">
        <v>4519</v>
      </c>
      <c r="E757" s="28" t="s">
        <v>4520</v>
      </c>
      <c r="F757" s="28" t="s">
        <v>21</v>
      </c>
      <c r="G757" s="28" t="s">
        <v>22</v>
      </c>
      <c r="H757" s="28" t="s">
        <v>4521</v>
      </c>
      <c r="I757" s="28" t="s">
        <v>4534</v>
      </c>
      <c r="J757" s="28" t="s">
        <v>22</v>
      </c>
      <c r="K757" s="28" t="s">
        <v>4535</v>
      </c>
      <c r="L757" s="28" t="s">
        <v>1722</v>
      </c>
      <c r="M757" s="28" t="s">
        <v>4536</v>
      </c>
      <c r="N757" s="28" t="s">
        <v>4525</v>
      </c>
      <c r="O757" s="28" t="s">
        <v>4526</v>
      </c>
      <c r="P757" s="28" t="s">
        <v>4537</v>
      </c>
    </row>
    <row r="758" spans="1:16" hidden="1" x14ac:dyDescent="0.25">
      <c r="A758" s="28" t="s">
        <v>4538</v>
      </c>
      <c r="B758" s="28" t="s">
        <v>4539</v>
      </c>
      <c r="C758" s="28" t="s">
        <v>1684</v>
      </c>
      <c r="D758" s="28" t="s">
        <v>4519</v>
      </c>
      <c r="E758" s="28" t="s">
        <v>4520</v>
      </c>
      <c r="F758" s="28" t="s">
        <v>21</v>
      </c>
      <c r="G758" s="28" t="s">
        <v>22</v>
      </c>
      <c r="H758" s="28" t="s">
        <v>4521</v>
      </c>
      <c r="I758" s="28" t="s">
        <v>4540</v>
      </c>
      <c r="J758" s="28" t="s">
        <v>22</v>
      </c>
      <c r="K758" s="28" t="s">
        <v>4541</v>
      </c>
      <c r="L758" s="28" t="s">
        <v>1722</v>
      </c>
      <c r="M758" s="28" t="s">
        <v>4542</v>
      </c>
      <c r="N758" s="28" t="s">
        <v>4525</v>
      </c>
      <c r="O758" s="28" t="s">
        <v>4526</v>
      </c>
      <c r="P758" s="28" t="s">
        <v>4543</v>
      </c>
    </row>
    <row r="759" spans="1:16" hidden="1" x14ac:dyDescent="0.25">
      <c r="A759" s="28" t="s">
        <v>4544</v>
      </c>
      <c r="B759" s="28" t="s">
        <v>4545</v>
      </c>
      <c r="C759" s="28" t="s">
        <v>4491</v>
      </c>
      <c r="D759" s="28" t="s">
        <v>4519</v>
      </c>
      <c r="E759" s="28" t="s">
        <v>4520</v>
      </c>
      <c r="F759" s="28" t="s">
        <v>21</v>
      </c>
      <c r="G759" s="28" t="s">
        <v>22</v>
      </c>
      <c r="H759" s="28" t="s">
        <v>4521</v>
      </c>
      <c r="I759" s="28" t="s">
        <v>4546</v>
      </c>
      <c r="J759" s="28" t="s">
        <v>22</v>
      </c>
      <c r="K759" s="28" t="s">
        <v>4535</v>
      </c>
      <c r="L759" s="28" t="s">
        <v>1722</v>
      </c>
      <c r="M759" s="28" t="s">
        <v>4536</v>
      </c>
      <c r="N759" s="28" t="s">
        <v>4525</v>
      </c>
      <c r="O759" s="28" t="s">
        <v>4526</v>
      </c>
      <c r="P759" s="28" t="s">
        <v>4547</v>
      </c>
    </row>
    <row r="760" spans="1:16" hidden="1" x14ac:dyDescent="0.25">
      <c r="A760" s="28" t="s">
        <v>4548</v>
      </c>
      <c r="B760" s="28" t="s">
        <v>4549</v>
      </c>
      <c r="C760" s="28" t="s">
        <v>4491</v>
      </c>
      <c r="D760" s="28" t="s">
        <v>4519</v>
      </c>
      <c r="E760" s="28" t="s">
        <v>4520</v>
      </c>
      <c r="F760" s="28" t="s">
        <v>21</v>
      </c>
      <c r="G760" s="28" t="s">
        <v>22</v>
      </c>
      <c r="H760" s="28" t="s">
        <v>4521</v>
      </c>
      <c r="I760" s="28" t="s">
        <v>4550</v>
      </c>
      <c r="J760" s="28" t="s">
        <v>22</v>
      </c>
      <c r="K760" s="28" t="s">
        <v>4541</v>
      </c>
      <c r="L760" s="28" t="s">
        <v>1722</v>
      </c>
      <c r="M760" s="28" t="s">
        <v>4542</v>
      </c>
      <c r="N760" s="28" t="s">
        <v>4525</v>
      </c>
      <c r="O760" s="28" t="s">
        <v>4526</v>
      </c>
      <c r="P760" s="28" t="s">
        <v>4551</v>
      </c>
    </row>
    <row r="761" spans="1:16" hidden="1" x14ac:dyDescent="0.25">
      <c r="A761" s="28" t="s">
        <v>4552</v>
      </c>
      <c r="B761" s="28" t="s">
        <v>4553</v>
      </c>
      <c r="C761" s="28" t="s">
        <v>1684</v>
      </c>
      <c r="D761" s="28" t="s">
        <v>4519</v>
      </c>
      <c r="E761" s="28" t="s">
        <v>4554</v>
      </c>
      <c r="F761" s="28" t="s">
        <v>21</v>
      </c>
      <c r="G761" s="28" t="s">
        <v>22</v>
      </c>
      <c r="H761" s="28" t="s">
        <v>4555</v>
      </c>
      <c r="I761" s="28" t="s">
        <v>4556</v>
      </c>
      <c r="J761" s="28" t="s">
        <v>22</v>
      </c>
      <c r="K761" s="28" t="s">
        <v>4557</v>
      </c>
      <c r="L761" s="28" t="s">
        <v>1722</v>
      </c>
      <c r="M761" s="28" t="s">
        <v>4558</v>
      </c>
      <c r="N761" s="28" t="s">
        <v>4559</v>
      </c>
      <c r="O761" s="28" t="s">
        <v>4560</v>
      </c>
      <c r="P761" s="28" t="s">
        <v>4561</v>
      </c>
    </row>
    <row r="762" spans="1:16" hidden="1" x14ac:dyDescent="0.25">
      <c r="A762" s="28" t="s">
        <v>4562</v>
      </c>
      <c r="B762" s="28" t="s">
        <v>4563</v>
      </c>
      <c r="C762" s="28" t="s">
        <v>1684</v>
      </c>
      <c r="D762" s="28" t="s">
        <v>4519</v>
      </c>
      <c r="E762" s="28" t="s">
        <v>4554</v>
      </c>
      <c r="F762" s="28" t="s">
        <v>21</v>
      </c>
      <c r="G762" s="28" t="s">
        <v>22</v>
      </c>
      <c r="H762" s="28" t="s">
        <v>4555</v>
      </c>
      <c r="I762" s="28" t="s">
        <v>4564</v>
      </c>
      <c r="J762" s="28" t="s">
        <v>22</v>
      </c>
      <c r="K762" s="28" t="s">
        <v>4565</v>
      </c>
      <c r="L762" s="28" t="s">
        <v>1722</v>
      </c>
      <c r="M762" s="28" t="s">
        <v>4558</v>
      </c>
      <c r="N762" s="28" t="s">
        <v>4559</v>
      </c>
      <c r="O762" s="28" t="s">
        <v>4560</v>
      </c>
      <c r="P762" s="28" t="s">
        <v>4566</v>
      </c>
    </row>
    <row r="763" spans="1:16" hidden="1" x14ac:dyDescent="0.25">
      <c r="A763" s="28" t="s">
        <v>4567</v>
      </c>
      <c r="B763" s="28" t="s">
        <v>4568</v>
      </c>
      <c r="C763" s="28" t="s">
        <v>1684</v>
      </c>
      <c r="D763" s="28" t="s">
        <v>4519</v>
      </c>
      <c r="E763" s="28" t="s">
        <v>4554</v>
      </c>
      <c r="F763" s="28" t="s">
        <v>21</v>
      </c>
      <c r="G763" s="28" t="s">
        <v>22</v>
      </c>
      <c r="H763" s="28" t="s">
        <v>4555</v>
      </c>
      <c r="I763" s="28" t="s">
        <v>4569</v>
      </c>
      <c r="J763" s="28" t="s">
        <v>22</v>
      </c>
      <c r="K763" s="28" t="s">
        <v>4570</v>
      </c>
      <c r="L763" s="28" t="s">
        <v>1722</v>
      </c>
      <c r="M763" s="28" t="s">
        <v>4558</v>
      </c>
      <c r="N763" s="28" t="s">
        <v>4559</v>
      </c>
      <c r="O763" s="28" t="s">
        <v>4560</v>
      </c>
      <c r="P763" s="28" t="s">
        <v>4566</v>
      </c>
    </row>
    <row r="764" spans="1:16" hidden="1" x14ac:dyDescent="0.25">
      <c r="A764" s="28" t="s">
        <v>4571</v>
      </c>
      <c r="B764" s="28" t="s">
        <v>4572</v>
      </c>
      <c r="C764" s="28" t="s">
        <v>1684</v>
      </c>
      <c r="D764" s="28" t="s">
        <v>4519</v>
      </c>
      <c r="E764" s="28" t="s">
        <v>4554</v>
      </c>
      <c r="F764" s="28" t="s">
        <v>21</v>
      </c>
      <c r="G764" s="28" t="s">
        <v>22</v>
      </c>
      <c r="H764" s="28" t="s">
        <v>4555</v>
      </c>
      <c r="I764" s="28" t="s">
        <v>4573</v>
      </c>
      <c r="J764" s="28" t="s">
        <v>22</v>
      </c>
      <c r="K764" s="28" t="s">
        <v>4574</v>
      </c>
      <c r="L764" s="28" t="s">
        <v>1722</v>
      </c>
      <c r="M764" s="28" t="s">
        <v>4558</v>
      </c>
      <c r="N764" s="28" t="s">
        <v>4559</v>
      </c>
      <c r="O764" s="28" t="s">
        <v>4560</v>
      </c>
      <c r="P764" s="28" t="s">
        <v>4566</v>
      </c>
    </row>
    <row r="765" spans="1:16" hidden="1" x14ac:dyDescent="0.25">
      <c r="A765" s="28" t="s">
        <v>4575</v>
      </c>
      <c r="B765" s="28" t="s">
        <v>4576</v>
      </c>
      <c r="C765" s="28" t="s">
        <v>1684</v>
      </c>
      <c r="D765" s="28" t="s">
        <v>4519</v>
      </c>
      <c r="E765" s="28" t="s">
        <v>4554</v>
      </c>
      <c r="F765" s="28" t="s">
        <v>21</v>
      </c>
      <c r="G765" s="28" t="s">
        <v>22</v>
      </c>
      <c r="H765" s="28" t="s">
        <v>4555</v>
      </c>
      <c r="I765" s="28" t="s">
        <v>4577</v>
      </c>
      <c r="J765" s="28" t="s">
        <v>22</v>
      </c>
      <c r="K765" s="28" t="s">
        <v>4578</v>
      </c>
      <c r="L765" s="28" t="s">
        <v>1722</v>
      </c>
      <c r="M765" s="28" t="s">
        <v>4558</v>
      </c>
      <c r="N765" s="28" t="s">
        <v>4559</v>
      </c>
      <c r="O765" s="28" t="s">
        <v>4560</v>
      </c>
      <c r="P765" s="28" t="s">
        <v>4566</v>
      </c>
    </row>
    <row r="766" spans="1:16" hidden="1" x14ac:dyDescent="0.25">
      <c r="A766" s="28" t="s">
        <v>4579</v>
      </c>
      <c r="B766" s="28" t="s">
        <v>4580</v>
      </c>
      <c r="C766" s="28" t="s">
        <v>1684</v>
      </c>
      <c r="D766" s="28" t="s">
        <v>4519</v>
      </c>
      <c r="E766" s="28" t="s">
        <v>4554</v>
      </c>
      <c r="F766" s="28" t="s">
        <v>21</v>
      </c>
      <c r="G766" s="28" t="s">
        <v>22</v>
      </c>
      <c r="H766" s="28" t="s">
        <v>4555</v>
      </c>
      <c r="I766" s="28" t="s">
        <v>4581</v>
      </c>
      <c r="J766" s="28" t="s">
        <v>22</v>
      </c>
      <c r="K766" s="28" t="s">
        <v>4582</v>
      </c>
      <c r="L766" s="28" t="s">
        <v>1722</v>
      </c>
      <c r="M766" s="28" t="s">
        <v>4558</v>
      </c>
      <c r="N766" s="28" t="s">
        <v>4559</v>
      </c>
      <c r="O766" s="28" t="s">
        <v>4560</v>
      </c>
      <c r="P766" s="28" t="s">
        <v>4566</v>
      </c>
    </row>
    <row r="767" spans="1:16" hidden="1" x14ac:dyDescent="0.25">
      <c r="A767" s="28" t="s">
        <v>4583</v>
      </c>
      <c r="B767" s="28" t="s">
        <v>4584</v>
      </c>
      <c r="C767" s="28" t="s">
        <v>4491</v>
      </c>
      <c r="D767" s="28" t="s">
        <v>4519</v>
      </c>
      <c r="E767" s="28" t="s">
        <v>4554</v>
      </c>
      <c r="F767" s="28" t="s">
        <v>21</v>
      </c>
      <c r="G767" s="28" t="s">
        <v>22</v>
      </c>
      <c r="H767" s="28" t="s">
        <v>4555</v>
      </c>
      <c r="I767" s="28" t="s">
        <v>4585</v>
      </c>
      <c r="J767" s="28" t="s">
        <v>22</v>
      </c>
      <c r="K767" s="28" t="s">
        <v>4557</v>
      </c>
      <c r="L767" s="28" t="s">
        <v>1722</v>
      </c>
      <c r="M767" s="28" t="s">
        <v>4558</v>
      </c>
      <c r="N767" s="28" t="s">
        <v>4559</v>
      </c>
      <c r="O767" s="28" t="s">
        <v>4560</v>
      </c>
      <c r="P767" s="28" t="s">
        <v>4586</v>
      </c>
    </row>
    <row r="768" spans="1:16" hidden="1" x14ac:dyDescent="0.25">
      <c r="A768" s="28" t="s">
        <v>4587</v>
      </c>
      <c r="B768" s="28" t="s">
        <v>4588</v>
      </c>
      <c r="C768" s="28" t="s">
        <v>4491</v>
      </c>
      <c r="D768" s="28" t="s">
        <v>4519</v>
      </c>
      <c r="E768" s="28" t="s">
        <v>4554</v>
      </c>
      <c r="F768" s="28" t="s">
        <v>21</v>
      </c>
      <c r="G768" s="28" t="s">
        <v>22</v>
      </c>
      <c r="H768" s="28" t="s">
        <v>4555</v>
      </c>
      <c r="I768" s="28" t="s">
        <v>4589</v>
      </c>
      <c r="J768" s="28" t="s">
        <v>22</v>
      </c>
      <c r="K768" s="28" t="s">
        <v>4565</v>
      </c>
      <c r="L768" s="28" t="s">
        <v>1722</v>
      </c>
      <c r="M768" s="28" t="s">
        <v>4558</v>
      </c>
      <c r="N768" s="28" t="s">
        <v>4559</v>
      </c>
      <c r="O768" s="28" t="s">
        <v>4560</v>
      </c>
      <c r="P768" s="28" t="s">
        <v>4590</v>
      </c>
    </row>
    <row r="769" spans="1:16" hidden="1" x14ac:dyDescent="0.25">
      <c r="A769" s="28" t="s">
        <v>4591</v>
      </c>
      <c r="B769" s="28" t="s">
        <v>4592</v>
      </c>
      <c r="C769" s="28" t="s">
        <v>4491</v>
      </c>
      <c r="D769" s="28" t="s">
        <v>4519</v>
      </c>
      <c r="E769" s="28" t="s">
        <v>4554</v>
      </c>
      <c r="F769" s="28" t="s">
        <v>21</v>
      </c>
      <c r="G769" s="28" t="s">
        <v>22</v>
      </c>
      <c r="H769" s="28" t="s">
        <v>4555</v>
      </c>
      <c r="I769" s="28" t="s">
        <v>4593</v>
      </c>
      <c r="J769" s="28" t="s">
        <v>22</v>
      </c>
      <c r="K769" s="28" t="s">
        <v>4570</v>
      </c>
      <c r="L769" s="28" t="s">
        <v>1722</v>
      </c>
      <c r="M769" s="28" t="s">
        <v>4558</v>
      </c>
      <c r="N769" s="28" t="s">
        <v>4559</v>
      </c>
      <c r="O769" s="28" t="s">
        <v>4560</v>
      </c>
      <c r="P769" s="28" t="s">
        <v>4594</v>
      </c>
    </row>
    <row r="770" spans="1:16" hidden="1" x14ac:dyDescent="0.25">
      <c r="A770" s="28" t="s">
        <v>4595</v>
      </c>
      <c r="B770" s="28" t="s">
        <v>4596</v>
      </c>
      <c r="C770" s="28" t="s">
        <v>4491</v>
      </c>
      <c r="D770" s="28" t="s">
        <v>4519</v>
      </c>
      <c r="E770" s="28" t="s">
        <v>4554</v>
      </c>
      <c r="F770" s="28" t="s">
        <v>21</v>
      </c>
      <c r="G770" s="28" t="s">
        <v>22</v>
      </c>
      <c r="H770" s="28" t="s">
        <v>4555</v>
      </c>
      <c r="I770" s="28" t="s">
        <v>4597</v>
      </c>
      <c r="J770" s="28" t="s">
        <v>22</v>
      </c>
      <c r="K770" s="28" t="s">
        <v>4574</v>
      </c>
      <c r="L770" s="28" t="s">
        <v>1722</v>
      </c>
      <c r="M770" s="28" t="s">
        <v>4558</v>
      </c>
      <c r="N770" s="28" t="s">
        <v>4559</v>
      </c>
      <c r="O770" s="28" t="s">
        <v>4560</v>
      </c>
      <c r="P770" s="28" t="s">
        <v>4598</v>
      </c>
    </row>
    <row r="771" spans="1:16" hidden="1" x14ac:dyDescent="0.25">
      <c r="A771" s="28" t="s">
        <v>4599</v>
      </c>
      <c r="B771" s="28" t="s">
        <v>4600</v>
      </c>
      <c r="C771" s="28" t="s">
        <v>4491</v>
      </c>
      <c r="D771" s="28" t="s">
        <v>4519</v>
      </c>
      <c r="E771" s="28" t="s">
        <v>4554</v>
      </c>
      <c r="F771" s="28" t="s">
        <v>21</v>
      </c>
      <c r="G771" s="28" t="s">
        <v>22</v>
      </c>
      <c r="H771" s="28" t="s">
        <v>4555</v>
      </c>
      <c r="I771" s="28" t="s">
        <v>4601</v>
      </c>
      <c r="J771" s="28" t="s">
        <v>22</v>
      </c>
      <c r="K771" s="28" t="s">
        <v>4578</v>
      </c>
      <c r="L771" s="28" t="s">
        <v>1722</v>
      </c>
      <c r="M771" s="28" t="s">
        <v>4558</v>
      </c>
      <c r="N771" s="28" t="s">
        <v>4559</v>
      </c>
      <c r="O771" s="28" t="s">
        <v>4560</v>
      </c>
      <c r="P771" s="28" t="s">
        <v>4602</v>
      </c>
    </row>
    <row r="772" spans="1:16" hidden="1" x14ac:dyDescent="0.25">
      <c r="A772" s="28" t="s">
        <v>4603</v>
      </c>
      <c r="B772" s="28" t="s">
        <v>4604</v>
      </c>
      <c r="C772" s="28" t="s">
        <v>4491</v>
      </c>
      <c r="D772" s="28" t="s">
        <v>4519</v>
      </c>
      <c r="E772" s="28" t="s">
        <v>4554</v>
      </c>
      <c r="F772" s="28" t="s">
        <v>21</v>
      </c>
      <c r="G772" s="28" t="s">
        <v>22</v>
      </c>
      <c r="H772" s="28" t="s">
        <v>4555</v>
      </c>
      <c r="I772" s="28" t="s">
        <v>4605</v>
      </c>
      <c r="J772" s="28" t="s">
        <v>22</v>
      </c>
      <c r="K772" s="28" t="s">
        <v>4582</v>
      </c>
      <c r="L772" s="28" t="s">
        <v>1722</v>
      </c>
      <c r="M772" s="28" t="s">
        <v>4558</v>
      </c>
      <c r="N772" s="28" t="s">
        <v>4559</v>
      </c>
      <c r="O772" s="28" t="s">
        <v>4560</v>
      </c>
      <c r="P772" s="28" t="s">
        <v>4606</v>
      </c>
    </row>
    <row r="773" spans="1:16" hidden="1" x14ac:dyDescent="0.25">
      <c r="A773" s="28" t="s">
        <v>4607</v>
      </c>
      <c r="B773" s="28" t="s">
        <v>4608</v>
      </c>
      <c r="C773" s="28" t="s">
        <v>1684</v>
      </c>
      <c r="D773" s="28" t="s">
        <v>4519</v>
      </c>
      <c r="E773" s="28" t="s">
        <v>4609</v>
      </c>
      <c r="F773" s="28" t="s">
        <v>21</v>
      </c>
      <c r="G773" s="28" t="s">
        <v>22</v>
      </c>
      <c r="H773" s="28" t="s">
        <v>4610</v>
      </c>
      <c r="I773" s="28" t="s">
        <v>4611</v>
      </c>
      <c r="J773" s="28" t="s">
        <v>22</v>
      </c>
      <c r="K773" s="28" t="s">
        <v>4612</v>
      </c>
      <c r="L773" s="28" t="s">
        <v>1722</v>
      </c>
      <c r="M773" s="28" t="s">
        <v>4613</v>
      </c>
      <c r="N773" s="28" t="s">
        <v>4614</v>
      </c>
      <c r="O773" s="28" t="s">
        <v>4615</v>
      </c>
      <c r="P773" s="28" t="s">
        <v>4537</v>
      </c>
    </row>
    <row r="774" spans="1:16" hidden="1" x14ac:dyDescent="0.25">
      <c r="A774" s="28" t="s">
        <v>4616</v>
      </c>
      <c r="B774" s="28" t="s">
        <v>4617</v>
      </c>
      <c r="C774" s="28" t="s">
        <v>4491</v>
      </c>
      <c r="D774" s="28" t="s">
        <v>4519</v>
      </c>
      <c r="E774" s="28" t="s">
        <v>4609</v>
      </c>
      <c r="F774" s="28" t="s">
        <v>21</v>
      </c>
      <c r="G774" s="28" t="s">
        <v>22</v>
      </c>
      <c r="H774" s="28" t="s">
        <v>4610</v>
      </c>
      <c r="I774" s="28" t="s">
        <v>4618</v>
      </c>
      <c r="J774" s="28" t="s">
        <v>22</v>
      </c>
      <c r="K774" s="28" t="s">
        <v>4612</v>
      </c>
      <c r="L774" s="28" t="s">
        <v>1722</v>
      </c>
      <c r="M774" s="28" t="s">
        <v>4613</v>
      </c>
      <c r="N774" s="28" t="s">
        <v>4614</v>
      </c>
      <c r="O774" s="28" t="s">
        <v>4615</v>
      </c>
      <c r="P774" s="28" t="s">
        <v>4619</v>
      </c>
    </row>
    <row r="775" spans="1:16" hidden="1" x14ac:dyDescent="0.25">
      <c r="A775" s="28" t="s">
        <v>4620</v>
      </c>
      <c r="B775" s="28" t="s">
        <v>4621</v>
      </c>
      <c r="C775" s="28" t="s">
        <v>1684</v>
      </c>
      <c r="D775" s="28" t="s">
        <v>4519</v>
      </c>
      <c r="E775" s="28" t="s">
        <v>4622</v>
      </c>
      <c r="F775" s="28" t="s">
        <v>21</v>
      </c>
      <c r="G775" s="28" t="s">
        <v>22</v>
      </c>
      <c r="H775" s="28" t="s">
        <v>4610</v>
      </c>
      <c r="I775" s="28" t="s">
        <v>4623</v>
      </c>
      <c r="J775" s="28" t="s">
        <v>22</v>
      </c>
      <c r="K775" s="28" t="s">
        <v>4624</v>
      </c>
      <c r="L775" s="28" t="s">
        <v>1722</v>
      </c>
      <c r="M775" s="28" t="s">
        <v>4625</v>
      </c>
      <c r="N775" s="28" t="s">
        <v>4614</v>
      </c>
      <c r="O775" s="28" t="s">
        <v>4615</v>
      </c>
      <c r="P775" s="28" t="s">
        <v>4537</v>
      </c>
    </row>
    <row r="776" spans="1:16" hidden="1" x14ac:dyDescent="0.25">
      <c r="A776" s="28" t="s">
        <v>4626</v>
      </c>
      <c r="B776" s="28" t="s">
        <v>4627</v>
      </c>
      <c r="C776" s="28" t="s">
        <v>1684</v>
      </c>
      <c r="D776" s="28" t="s">
        <v>4519</v>
      </c>
      <c r="E776" s="28" t="s">
        <v>4622</v>
      </c>
      <c r="F776" s="28" t="s">
        <v>21</v>
      </c>
      <c r="G776" s="28" t="s">
        <v>22</v>
      </c>
      <c r="H776" s="28" t="s">
        <v>4610</v>
      </c>
      <c r="I776" s="28" t="s">
        <v>4628</v>
      </c>
      <c r="J776" s="28" t="s">
        <v>22</v>
      </c>
      <c r="K776" s="28" t="s">
        <v>4629</v>
      </c>
      <c r="L776" s="28" t="s">
        <v>1722</v>
      </c>
      <c r="M776" s="28" t="s">
        <v>4625</v>
      </c>
      <c r="N776" s="28" t="s">
        <v>4614</v>
      </c>
      <c r="O776" s="28" t="s">
        <v>4615</v>
      </c>
      <c r="P776" s="28" t="s">
        <v>4566</v>
      </c>
    </row>
    <row r="777" spans="1:16" hidden="1" x14ac:dyDescent="0.25">
      <c r="A777" s="28" t="s">
        <v>4630</v>
      </c>
      <c r="B777" s="28" t="s">
        <v>4631</v>
      </c>
      <c r="C777" s="28" t="s">
        <v>4491</v>
      </c>
      <c r="D777" s="28" t="s">
        <v>4519</v>
      </c>
      <c r="E777" s="28" t="s">
        <v>4622</v>
      </c>
      <c r="F777" s="28" t="s">
        <v>21</v>
      </c>
      <c r="G777" s="28" t="s">
        <v>22</v>
      </c>
      <c r="H777" s="28" t="s">
        <v>4610</v>
      </c>
      <c r="I777" s="28" t="s">
        <v>4632</v>
      </c>
      <c r="J777" s="28" t="s">
        <v>22</v>
      </c>
      <c r="K777" s="28" t="s">
        <v>4624</v>
      </c>
      <c r="L777" s="28" t="s">
        <v>1722</v>
      </c>
      <c r="M777" s="28" t="s">
        <v>4625</v>
      </c>
      <c r="N777" s="28" t="s">
        <v>4614</v>
      </c>
      <c r="O777" s="28" t="s">
        <v>4615</v>
      </c>
      <c r="P777" s="28" t="s">
        <v>4633</v>
      </c>
    </row>
    <row r="778" spans="1:16" hidden="1" x14ac:dyDescent="0.25">
      <c r="A778" s="28" t="s">
        <v>4634</v>
      </c>
      <c r="B778" s="28" t="s">
        <v>4635</v>
      </c>
      <c r="C778" s="28" t="s">
        <v>4491</v>
      </c>
      <c r="D778" s="28" t="s">
        <v>4519</v>
      </c>
      <c r="E778" s="28" t="s">
        <v>4622</v>
      </c>
      <c r="F778" s="28" t="s">
        <v>21</v>
      </c>
      <c r="G778" s="28" t="s">
        <v>22</v>
      </c>
      <c r="H778" s="28" t="s">
        <v>4610</v>
      </c>
      <c r="I778" s="28" t="s">
        <v>4636</v>
      </c>
      <c r="J778" s="28" t="s">
        <v>22</v>
      </c>
      <c r="K778" s="28" t="s">
        <v>4629</v>
      </c>
      <c r="L778" s="28" t="s">
        <v>1722</v>
      </c>
      <c r="M778" s="28" t="s">
        <v>4625</v>
      </c>
      <c r="N778" s="28" t="s">
        <v>4614</v>
      </c>
      <c r="O778" s="28" t="s">
        <v>4615</v>
      </c>
      <c r="P778" s="28" t="s">
        <v>4637</v>
      </c>
    </row>
    <row r="779" spans="1:16" hidden="1" x14ac:dyDescent="0.25">
      <c r="A779" s="28" t="s">
        <v>4638</v>
      </c>
      <c r="B779" s="28" t="s">
        <v>4639</v>
      </c>
      <c r="C779" s="28" t="s">
        <v>1684</v>
      </c>
      <c r="D779" s="28" t="s">
        <v>4519</v>
      </c>
      <c r="E779" s="28" t="s">
        <v>4640</v>
      </c>
      <c r="F779" s="28" t="s">
        <v>21</v>
      </c>
      <c r="G779" s="28" t="s">
        <v>22</v>
      </c>
      <c r="H779" s="28" t="s">
        <v>4610</v>
      </c>
      <c r="I779" s="28" t="s">
        <v>4641</v>
      </c>
      <c r="J779" s="28" t="s">
        <v>22</v>
      </c>
      <c r="K779" s="28" t="s">
        <v>4642</v>
      </c>
      <c r="L779" s="28" t="s">
        <v>1722</v>
      </c>
      <c r="M779" s="28" t="s">
        <v>4643</v>
      </c>
      <c r="N779" s="28" t="s">
        <v>4614</v>
      </c>
      <c r="O779" s="28" t="s">
        <v>4615</v>
      </c>
      <c r="P779" s="28" t="s">
        <v>4537</v>
      </c>
    </row>
    <row r="780" spans="1:16" hidden="1" x14ac:dyDescent="0.25">
      <c r="A780" s="28" t="s">
        <v>4644</v>
      </c>
      <c r="B780" s="28" t="s">
        <v>4645</v>
      </c>
      <c r="C780" s="28" t="s">
        <v>4491</v>
      </c>
      <c r="D780" s="28" t="s">
        <v>4519</v>
      </c>
      <c r="E780" s="28" t="s">
        <v>4640</v>
      </c>
      <c r="F780" s="28" t="s">
        <v>21</v>
      </c>
      <c r="G780" s="28" t="s">
        <v>22</v>
      </c>
      <c r="H780" s="28" t="s">
        <v>4610</v>
      </c>
      <c r="I780" s="28" t="s">
        <v>4646</v>
      </c>
      <c r="J780" s="28" t="s">
        <v>22</v>
      </c>
      <c r="K780" s="28" t="s">
        <v>4642</v>
      </c>
      <c r="L780" s="28" t="s">
        <v>1722</v>
      </c>
      <c r="M780" s="28" t="s">
        <v>4643</v>
      </c>
      <c r="N780" s="28" t="s">
        <v>4614</v>
      </c>
      <c r="O780" s="28" t="s">
        <v>4615</v>
      </c>
      <c r="P780" s="28" t="s">
        <v>4647</v>
      </c>
    </row>
    <row r="781" spans="1:16" hidden="1" x14ac:dyDescent="0.25">
      <c r="A781" s="28" t="s">
        <v>4648</v>
      </c>
      <c r="B781" s="28" t="s">
        <v>4649</v>
      </c>
      <c r="C781" s="28" t="s">
        <v>1684</v>
      </c>
      <c r="D781" s="28" t="s">
        <v>4519</v>
      </c>
      <c r="E781" s="28" t="s">
        <v>4650</v>
      </c>
      <c r="F781" s="28" t="s">
        <v>21</v>
      </c>
      <c r="G781" s="28" t="s">
        <v>22</v>
      </c>
      <c r="H781" s="28" t="s">
        <v>4610</v>
      </c>
      <c r="I781" s="28" t="s">
        <v>4651</v>
      </c>
      <c r="J781" s="28" t="s">
        <v>22</v>
      </c>
      <c r="K781" s="28" t="s">
        <v>4624</v>
      </c>
      <c r="L781" s="28" t="s">
        <v>1722</v>
      </c>
      <c r="M781" s="28" t="s">
        <v>4652</v>
      </c>
      <c r="N781" s="28" t="s">
        <v>4614</v>
      </c>
      <c r="O781" s="28" t="s">
        <v>4615</v>
      </c>
      <c r="P781" s="28" t="s">
        <v>4537</v>
      </c>
    </row>
    <row r="782" spans="1:16" hidden="1" x14ac:dyDescent="0.25">
      <c r="A782" s="28" t="s">
        <v>4653</v>
      </c>
      <c r="B782" s="28" t="s">
        <v>4654</v>
      </c>
      <c r="C782" s="28" t="s">
        <v>1684</v>
      </c>
      <c r="D782" s="28" t="s">
        <v>4519</v>
      </c>
      <c r="E782" s="28" t="s">
        <v>4650</v>
      </c>
      <c r="F782" s="28" t="s">
        <v>21</v>
      </c>
      <c r="G782" s="28" t="s">
        <v>22</v>
      </c>
      <c r="H782" s="28" t="s">
        <v>4610</v>
      </c>
      <c r="I782" s="28" t="s">
        <v>4655</v>
      </c>
      <c r="J782" s="28" t="s">
        <v>22</v>
      </c>
      <c r="K782" s="28" t="s">
        <v>4656</v>
      </c>
      <c r="L782" s="28" t="s">
        <v>1722</v>
      </c>
      <c r="M782" s="28" t="s">
        <v>4652</v>
      </c>
      <c r="N782" s="28" t="s">
        <v>4614</v>
      </c>
      <c r="O782" s="28" t="s">
        <v>4615</v>
      </c>
      <c r="P782" s="28" t="s">
        <v>4566</v>
      </c>
    </row>
    <row r="783" spans="1:16" hidden="1" x14ac:dyDescent="0.25">
      <c r="A783" s="28" t="s">
        <v>4657</v>
      </c>
      <c r="B783" s="28" t="s">
        <v>4658</v>
      </c>
      <c r="C783" s="28" t="s">
        <v>4491</v>
      </c>
      <c r="D783" s="28" t="s">
        <v>4519</v>
      </c>
      <c r="E783" s="28" t="s">
        <v>4650</v>
      </c>
      <c r="F783" s="28" t="s">
        <v>21</v>
      </c>
      <c r="G783" s="28" t="s">
        <v>22</v>
      </c>
      <c r="H783" s="28" t="s">
        <v>4610</v>
      </c>
      <c r="I783" s="28" t="s">
        <v>4659</v>
      </c>
      <c r="J783" s="28" t="s">
        <v>22</v>
      </c>
      <c r="K783" s="28" t="s">
        <v>4624</v>
      </c>
      <c r="L783" s="28" t="s">
        <v>1722</v>
      </c>
      <c r="M783" s="28" t="s">
        <v>4652</v>
      </c>
      <c r="N783" s="28" t="s">
        <v>4614</v>
      </c>
      <c r="O783" s="28" t="s">
        <v>4615</v>
      </c>
      <c r="P783" s="28" t="s">
        <v>4660</v>
      </c>
    </row>
    <row r="784" spans="1:16" hidden="1" x14ac:dyDescent="0.25">
      <c r="A784" s="28" t="s">
        <v>4661</v>
      </c>
      <c r="B784" s="28" t="s">
        <v>4662</v>
      </c>
      <c r="C784" s="28" t="s">
        <v>4491</v>
      </c>
      <c r="D784" s="28" t="s">
        <v>4519</v>
      </c>
      <c r="E784" s="28" t="s">
        <v>4650</v>
      </c>
      <c r="F784" s="28" t="s">
        <v>21</v>
      </c>
      <c r="G784" s="28" t="s">
        <v>22</v>
      </c>
      <c r="H784" s="28" t="s">
        <v>4610</v>
      </c>
      <c r="I784" s="28" t="s">
        <v>4663</v>
      </c>
      <c r="J784" s="28" t="s">
        <v>22</v>
      </c>
      <c r="K784" s="28" t="s">
        <v>4656</v>
      </c>
      <c r="L784" s="28" t="s">
        <v>1722</v>
      </c>
      <c r="M784" s="28" t="s">
        <v>4652</v>
      </c>
      <c r="N784" s="28" t="s">
        <v>4614</v>
      </c>
      <c r="O784" s="28" t="s">
        <v>4615</v>
      </c>
      <c r="P784" s="28" t="s">
        <v>4664</v>
      </c>
    </row>
    <row r="785" spans="1:16" hidden="1" x14ac:dyDescent="0.25">
      <c r="A785" s="28" t="s">
        <v>4665</v>
      </c>
      <c r="B785" s="28" t="s">
        <v>4666</v>
      </c>
      <c r="C785" s="28" t="s">
        <v>1684</v>
      </c>
      <c r="D785" s="28" t="s">
        <v>4667</v>
      </c>
      <c r="E785" s="28" t="s">
        <v>1377</v>
      </c>
      <c r="F785" s="28" t="s">
        <v>21</v>
      </c>
      <c r="G785" s="28" t="s">
        <v>22</v>
      </c>
      <c r="H785" s="28" t="s">
        <v>4668</v>
      </c>
      <c r="I785" s="28" t="s">
        <v>4669</v>
      </c>
      <c r="J785" s="28" t="s">
        <v>22</v>
      </c>
      <c r="K785" s="28" t="s">
        <v>4670</v>
      </c>
      <c r="L785" s="28" t="s">
        <v>1722</v>
      </c>
      <c r="M785" s="28" t="s">
        <v>4671</v>
      </c>
      <c r="N785" s="28" t="s">
        <v>4672</v>
      </c>
      <c r="O785" s="28" t="s">
        <v>4673</v>
      </c>
      <c r="P785" s="28" t="s">
        <v>4674</v>
      </c>
    </row>
    <row r="786" spans="1:16" hidden="1" x14ac:dyDescent="0.25">
      <c r="A786" s="28" t="s">
        <v>4675</v>
      </c>
      <c r="B786" s="28" t="s">
        <v>4676</v>
      </c>
      <c r="C786" s="28" t="s">
        <v>1684</v>
      </c>
      <c r="D786" s="28" t="s">
        <v>4667</v>
      </c>
      <c r="E786" s="28" t="s">
        <v>1377</v>
      </c>
      <c r="F786" s="28" t="s">
        <v>21</v>
      </c>
      <c r="G786" s="28" t="s">
        <v>22</v>
      </c>
      <c r="H786" s="28" t="s">
        <v>4668</v>
      </c>
      <c r="I786" s="28" t="s">
        <v>4677</v>
      </c>
      <c r="J786" s="28" t="s">
        <v>22</v>
      </c>
      <c r="K786" s="28" t="s">
        <v>4678</v>
      </c>
      <c r="L786" s="28" t="s">
        <v>1722</v>
      </c>
      <c r="M786" s="28" t="s">
        <v>4671</v>
      </c>
      <c r="N786" s="28" t="s">
        <v>4672</v>
      </c>
      <c r="O786" s="28" t="s">
        <v>4673</v>
      </c>
      <c r="P786" s="28" t="s">
        <v>4679</v>
      </c>
    </row>
    <row r="787" spans="1:16" hidden="1" x14ac:dyDescent="0.25">
      <c r="A787" s="28" t="s">
        <v>4680</v>
      </c>
      <c r="B787" s="28" t="s">
        <v>4681</v>
      </c>
      <c r="C787" s="28" t="s">
        <v>1684</v>
      </c>
      <c r="D787" s="28" t="s">
        <v>4682</v>
      </c>
      <c r="E787" s="28" t="s">
        <v>4683</v>
      </c>
      <c r="F787" s="28" t="s">
        <v>21</v>
      </c>
      <c r="G787" s="28" t="s">
        <v>22</v>
      </c>
      <c r="H787" s="28" t="s">
        <v>4684</v>
      </c>
      <c r="I787" s="28" t="s">
        <v>4685</v>
      </c>
      <c r="J787" s="28" t="s">
        <v>22</v>
      </c>
      <c r="K787" s="28" t="s">
        <v>4686</v>
      </c>
      <c r="L787" s="28" t="s">
        <v>1722</v>
      </c>
      <c r="M787" s="28" t="s">
        <v>4687</v>
      </c>
      <c r="N787" s="28" t="s">
        <v>4688</v>
      </c>
      <c r="O787" s="28" t="s">
        <v>4689</v>
      </c>
      <c r="P787" s="28" t="s">
        <v>4690</v>
      </c>
    </row>
    <row r="788" spans="1:16" hidden="1" x14ac:dyDescent="0.25">
      <c r="A788" s="28" t="s">
        <v>4691</v>
      </c>
      <c r="B788" s="28" t="s">
        <v>4692</v>
      </c>
      <c r="C788" s="28" t="s">
        <v>1684</v>
      </c>
      <c r="D788" s="28" t="s">
        <v>4682</v>
      </c>
      <c r="E788" s="28" t="s">
        <v>4683</v>
      </c>
      <c r="F788" s="28" t="s">
        <v>21</v>
      </c>
      <c r="G788" s="28" t="s">
        <v>22</v>
      </c>
      <c r="H788" s="28" t="s">
        <v>4684</v>
      </c>
      <c r="I788" s="28" t="s">
        <v>4693</v>
      </c>
      <c r="J788" s="28" t="s">
        <v>22</v>
      </c>
      <c r="K788" s="28" t="s">
        <v>4694</v>
      </c>
      <c r="L788" s="28" t="s">
        <v>1722</v>
      </c>
      <c r="M788" s="28" t="s">
        <v>4695</v>
      </c>
      <c r="N788" s="28" t="s">
        <v>4688</v>
      </c>
      <c r="O788" s="28" t="s">
        <v>4689</v>
      </c>
      <c r="P788" s="28" t="s">
        <v>4696</v>
      </c>
    </row>
    <row r="789" spans="1:16" hidden="1" x14ac:dyDescent="0.25">
      <c r="A789" s="28" t="s">
        <v>4697</v>
      </c>
      <c r="B789" s="28" t="s">
        <v>4698</v>
      </c>
      <c r="C789" s="28" t="s">
        <v>1684</v>
      </c>
      <c r="D789" s="28" t="s">
        <v>4699</v>
      </c>
      <c r="E789" s="28" t="s">
        <v>4700</v>
      </c>
      <c r="F789" s="28" t="s">
        <v>21</v>
      </c>
      <c r="G789" s="28" t="s">
        <v>22</v>
      </c>
      <c r="H789" s="28" t="s">
        <v>4701</v>
      </c>
      <c r="I789" s="28" t="s">
        <v>4702</v>
      </c>
      <c r="J789" s="28" t="s">
        <v>22</v>
      </c>
      <c r="K789" s="28" t="s">
        <v>4703</v>
      </c>
      <c r="L789" s="28" t="s">
        <v>1722</v>
      </c>
      <c r="M789" s="28" t="s">
        <v>4704</v>
      </c>
      <c r="N789" s="28" t="s">
        <v>4705</v>
      </c>
      <c r="O789" s="28" t="s">
        <v>4706</v>
      </c>
      <c r="P789" s="28" t="s">
        <v>4707</v>
      </c>
    </row>
    <row r="790" spans="1:16" hidden="1" x14ac:dyDescent="0.25">
      <c r="A790" s="28" t="s">
        <v>4708</v>
      </c>
      <c r="B790" s="28" t="s">
        <v>4709</v>
      </c>
      <c r="C790" s="28" t="s">
        <v>4491</v>
      </c>
      <c r="D790" s="28" t="s">
        <v>4699</v>
      </c>
      <c r="E790" s="28" t="s">
        <v>4700</v>
      </c>
      <c r="F790" s="28" t="s">
        <v>21</v>
      </c>
      <c r="G790" s="28" t="s">
        <v>22</v>
      </c>
      <c r="H790" s="28" t="s">
        <v>4701</v>
      </c>
      <c r="I790" s="28" t="s">
        <v>4710</v>
      </c>
      <c r="J790" s="28" t="s">
        <v>22</v>
      </c>
      <c r="K790" s="28" t="s">
        <v>4711</v>
      </c>
      <c r="L790" s="28" t="s">
        <v>1722</v>
      </c>
      <c r="M790" s="28" t="s">
        <v>4704</v>
      </c>
      <c r="N790" s="28" t="s">
        <v>4705</v>
      </c>
      <c r="O790" s="28" t="s">
        <v>4706</v>
      </c>
      <c r="P790" s="28" t="s">
        <v>4712</v>
      </c>
    </row>
    <row r="791" spans="1:16" hidden="1" x14ac:dyDescent="0.25">
      <c r="A791" s="28" t="s">
        <v>4713</v>
      </c>
      <c r="B791" s="28" t="s">
        <v>4714</v>
      </c>
      <c r="C791" s="28" t="s">
        <v>1684</v>
      </c>
      <c r="D791" s="28" t="s">
        <v>4715</v>
      </c>
      <c r="E791" s="28" t="s">
        <v>4716</v>
      </c>
      <c r="F791" s="28" t="s">
        <v>21</v>
      </c>
      <c r="G791" s="28" t="s">
        <v>22</v>
      </c>
      <c r="H791" s="28" t="s">
        <v>4717</v>
      </c>
      <c r="I791" s="28" t="s">
        <v>4718</v>
      </c>
      <c r="J791" s="28" t="s">
        <v>22</v>
      </c>
      <c r="K791" s="28" t="s">
        <v>4719</v>
      </c>
      <c r="L791" s="28" t="s">
        <v>1722</v>
      </c>
      <c r="M791" s="28" t="s">
        <v>4720</v>
      </c>
      <c r="N791" s="28" t="s">
        <v>4721</v>
      </c>
      <c r="O791" s="28" t="s">
        <v>4722</v>
      </c>
      <c r="P791" s="28" t="s">
        <v>4723</v>
      </c>
    </row>
    <row r="792" spans="1:16" hidden="1" x14ac:dyDescent="0.25">
      <c r="A792" s="28" t="s">
        <v>4724</v>
      </c>
      <c r="B792" s="28" t="s">
        <v>4725</v>
      </c>
      <c r="C792" s="28" t="s">
        <v>1684</v>
      </c>
      <c r="D792" s="28" t="s">
        <v>4715</v>
      </c>
      <c r="E792" s="28" t="s">
        <v>4716</v>
      </c>
      <c r="F792" s="28" t="s">
        <v>21</v>
      </c>
      <c r="G792" s="28" t="s">
        <v>22</v>
      </c>
      <c r="H792" s="28" t="s">
        <v>4717</v>
      </c>
      <c r="I792" s="28" t="s">
        <v>4726</v>
      </c>
      <c r="J792" s="28" t="s">
        <v>22</v>
      </c>
      <c r="K792" s="28" t="s">
        <v>4727</v>
      </c>
      <c r="L792" s="28" t="s">
        <v>1722</v>
      </c>
      <c r="M792" s="28" t="s">
        <v>4720</v>
      </c>
      <c r="N792" s="28" t="s">
        <v>4721</v>
      </c>
      <c r="O792" s="28" t="s">
        <v>4722</v>
      </c>
      <c r="P792" s="28" t="s">
        <v>4728</v>
      </c>
    </row>
    <row r="793" spans="1:16" hidden="1" x14ac:dyDescent="0.25">
      <c r="A793" s="28" t="s">
        <v>4729</v>
      </c>
      <c r="B793" s="28" t="s">
        <v>4730</v>
      </c>
      <c r="C793" s="28" t="s">
        <v>1684</v>
      </c>
      <c r="D793" s="28" t="s">
        <v>4715</v>
      </c>
      <c r="E793" s="28" t="s">
        <v>4731</v>
      </c>
      <c r="F793" s="28" t="s">
        <v>21</v>
      </c>
      <c r="G793" s="28" t="s">
        <v>22</v>
      </c>
      <c r="H793" s="28" t="s">
        <v>4732</v>
      </c>
      <c r="I793" s="28" t="s">
        <v>4733</v>
      </c>
      <c r="J793" s="28" t="s">
        <v>22</v>
      </c>
      <c r="K793" s="28" t="s">
        <v>4719</v>
      </c>
      <c r="L793" s="28" t="s">
        <v>1722</v>
      </c>
      <c r="M793" s="28" t="s">
        <v>4734</v>
      </c>
      <c r="N793" s="28" t="s">
        <v>4735</v>
      </c>
      <c r="O793" s="28" t="s">
        <v>4736</v>
      </c>
      <c r="P793" s="28" t="s">
        <v>4723</v>
      </c>
    </row>
    <row r="794" spans="1:16" hidden="1" x14ac:dyDescent="0.25">
      <c r="A794" s="28" t="s">
        <v>4737</v>
      </c>
      <c r="B794" s="28" t="s">
        <v>4738</v>
      </c>
      <c r="C794" s="28" t="s">
        <v>1684</v>
      </c>
      <c r="D794" s="28" t="s">
        <v>4715</v>
      </c>
      <c r="E794" s="28" t="s">
        <v>4731</v>
      </c>
      <c r="F794" s="28" t="s">
        <v>21</v>
      </c>
      <c r="G794" s="28" t="s">
        <v>22</v>
      </c>
      <c r="H794" s="28" t="s">
        <v>4732</v>
      </c>
      <c r="I794" s="28" t="s">
        <v>4739</v>
      </c>
      <c r="J794" s="28" t="s">
        <v>22</v>
      </c>
      <c r="K794" s="28" t="s">
        <v>4727</v>
      </c>
      <c r="L794" s="28" t="s">
        <v>1722</v>
      </c>
      <c r="M794" s="28" t="s">
        <v>4734</v>
      </c>
      <c r="N794" s="28" t="s">
        <v>4735</v>
      </c>
      <c r="O794" s="28" t="s">
        <v>4736</v>
      </c>
      <c r="P794" s="28" t="s">
        <v>4728</v>
      </c>
    </row>
    <row r="795" spans="1:16" hidden="1" x14ac:dyDescent="0.25">
      <c r="A795" s="28" t="s">
        <v>4740</v>
      </c>
      <c r="B795" s="28" t="s">
        <v>4741</v>
      </c>
      <c r="C795" s="28" t="s">
        <v>1684</v>
      </c>
      <c r="D795" s="28" t="s">
        <v>4715</v>
      </c>
      <c r="E795" s="28" t="s">
        <v>4731</v>
      </c>
      <c r="F795" s="28" t="s">
        <v>21</v>
      </c>
      <c r="G795" s="28" t="s">
        <v>22</v>
      </c>
      <c r="H795" s="28" t="s">
        <v>4732</v>
      </c>
      <c r="I795" s="28" t="s">
        <v>4742</v>
      </c>
      <c r="J795" s="28" t="s">
        <v>22</v>
      </c>
      <c r="K795" s="28" t="s">
        <v>4743</v>
      </c>
      <c r="L795" s="28" t="s">
        <v>1722</v>
      </c>
      <c r="M795" s="28" t="s">
        <v>4744</v>
      </c>
      <c r="N795" s="28" t="s">
        <v>4735</v>
      </c>
      <c r="O795" s="28" t="s">
        <v>4736</v>
      </c>
      <c r="P795" s="28" t="s">
        <v>4745</v>
      </c>
    </row>
    <row r="796" spans="1:16" hidden="1" x14ac:dyDescent="0.25">
      <c r="A796" s="28" t="s">
        <v>4746</v>
      </c>
      <c r="B796" s="28" t="s">
        <v>4747</v>
      </c>
      <c r="C796" s="28" t="s">
        <v>1684</v>
      </c>
      <c r="D796" s="28" t="s">
        <v>4715</v>
      </c>
      <c r="E796" s="28" t="s">
        <v>4731</v>
      </c>
      <c r="F796" s="28" t="s">
        <v>21</v>
      </c>
      <c r="G796" s="28" t="s">
        <v>22</v>
      </c>
      <c r="H796" s="28" t="s">
        <v>4732</v>
      </c>
      <c r="I796" s="28" t="s">
        <v>4748</v>
      </c>
      <c r="J796" s="28" t="s">
        <v>22</v>
      </c>
      <c r="K796" s="28" t="s">
        <v>4749</v>
      </c>
      <c r="L796" s="28" t="s">
        <v>1722</v>
      </c>
      <c r="M796" s="28" t="s">
        <v>4750</v>
      </c>
      <c r="N796" s="28" t="s">
        <v>4735</v>
      </c>
      <c r="O796" s="28" t="s">
        <v>4736</v>
      </c>
      <c r="P796" s="28" t="s">
        <v>4751</v>
      </c>
    </row>
    <row r="797" spans="1:16" hidden="1" x14ac:dyDescent="0.25">
      <c r="A797" s="28" t="s">
        <v>4752</v>
      </c>
      <c r="B797" s="28" t="s">
        <v>4753</v>
      </c>
      <c r="C797" s="28" t="s">
        <v>4491</v>
      </c>
      <c r="D797" s="28" t="s">
        <v>4715</v>
      </c>
      <c r="E797" s="28" t="s">
        <v>4731</v>
      </c>
      <c r="F797" s="28" t="s">
        <v>21</v>
      </c>
      <c r="G797" s="28" t="s">
        <v>22</v>
      </c>
      <c r="H797" s="28" t="s">
        <v>4732</v>
      </c>
      <c r="I797" s="28" t="s">
        <v>4754</v>
      </c>
      <c r="J797" s="28" t="s">
        <v>22</v>
      </c>
      <c r="K797" s="28" t="s">
        <v>4755</v>
      </c>
      <c r="L797" s="28" t="s">
        <v>1722</v>
      </c>
      <c r="M797" s="28" t="s">
        <v>4744</v>
      </c>
      <c r="N797" s="28" t="s">
        <v>4735</v>
      </c>
      <c r="O797" s="28" t="s">
        <v>4736</v>
      </c>
      <c r="P797" s="28" t="s">
        <v>4756</v>
      </c>
    </row>
    <row r="798" spans="1:16" hidden="1" x14ac:dyDescent="0.25">
      <c r="A798" s="28" t="s">
        <v>4757</v>
      </c>
      <c r="B798" s="28" t="s">
        <v>4758</v>
      </c>
      <c r="C798" s="28" t="s">
        <v>4491</v>
      </c>
      <c r="D798" s="28" t="s">
        <v>4715</v>
      </c>
      <c r="E798" s="28" t="s">
        <v>4731</v>
      </c>
      <c r="F798" s="28" t="s">
        <v>21</v>
      </c>
      <c r="G798" s="28" t="s">
        <v>22</v>
      </c>
      <c r="H798" s="28" t="s">
        <v>4732</v>
      </c>
      <c r="I798" s="28" t="s">
        <v>4759</v>
      </c>
      <c r="J798" s="28" t="s">
        <v>22</v>
      </c>
      <c r="K798" s="28" t="s">
        <v>4760</v>
      </c>
      <c r="L798" s="28" t="s">
        <v>1722</v>
      </c>
      <c r="M798" s="28" t="s">
        <v>4750</v>
      </c>
      <c r="N798" s="28" t="s">
        <v>4735</v>
      </c>
      <c r="O798" s="28" t="s">
        <v>4736</v>
      </c>
      <c r="P798" s="28" t="s">
        <v>4761</v>
      </c>
    </row>
    <row r="799" spans="1:16" hidden="1" x14ac:dyDescent="0.25">
      <c r="A799" s="28" t="s">
        <v>4762</v>
      </c>
      <c r="B799" s="28" t="s">
        <v>4763</v>
      </c>
      <c r="C799" s="28" t="s">
        <v>1684</v>
      </c>
      <c r="D799" s="28" t="s">
        <v>4715</v>
      </c>
      <c r="E799" s="28" t="s">
        <v>4764</v>
      </c>
      <c r="F799" s="28" t="s">
        <v>21</v>
      </c>
      <c r="G799" s="28" t="s">
        <v>22</v>
      </c>
      <c r="H799" s="28" t="s">
        <v>4765</v>
      </c>
      <c r="I799" s="28" t="s">
        <v>4766</v>
      </c>
      <c r="J799" s="28" t="s">
        <v>22</v>
      </c>
      <c r="K799" s="28" t="s">
        <v>4719</v>
      </c>
      <c r="L799" s="28" t="s">
        <v>1722</v>
      </c>
      <c r="M799" s="28" t="s">
        <v>4767</v>
      </c>
      <c r="N799" s="28" t="s">
        <v>4768</v>
      </c>
      <c r="O799" s="28" t="s">
        <v>4769</v>
      </c>
      <c r="P799" s="28" t="s">
        <v>4723</v>
      </c>
    </row>
    <row r="800" spans="1:16" hidden="1" x14ac:dyDescent="0.25">
      <c r="A800" s="28" t="s">
        <v>4770</v>
      </c>
      <c r="B800" s="28" t="s">
        <v>4771</v>
      </c>
      <c r="C800" s="28" t="s">
        <v>1684</v>
      </c>
      <c r="D800" s="28" t="s">
        <v>4715</v>
      </c>
      <c r="E800" s="28" t="s">
        <v>4764</v>
      </c>
      <c r="F800" s="28" t="s">
        <v>21</v>
      </c>
      <c r="G800" s="28" t="s">
        <v>22</v>
      </c>
      <c r="H800" s="28" t="s">
        <v>4765</v>
      </c>
      <c r="I800" s="28" t="s">
        <v>4772</v>
      </c>
      <c r="J800" s="28" t="s">
        <v>22</v>
      </c>
      <c r="K800" s="28" t="s">
        <v>4727</v>
      </c>
      <c r="L800" s="28" t="s">
        <v>1722</v>
      </c>
      <c r="M800" s="28" t="s">
        <v>4767</v>
      </c>
      <c r="N800" s="28" t="s">
        <v>4768</v>
      </c>
      <c r="O800" s="28" t="s">
        <v>4769</v>
      </c>
      <c r="P800" s="28" t="s">
        <v>4728</v>
      </c>
    </row>
    <row r="801" spans="1:16" hidden="1" x14ac:dyDescent="0.25">
      <c r="A801" s="28" t="s">
        <v>4773</v>
      </c>
      <c r="B801" s="28" t="s">
        <v>4774</v>
      </c>
      <c r="C801" s="28" t="s">
        <v>1684</v>
      </c>
      <c r="D801" s="28" t="s">
        <v>4715</v>
      </c>
      <c r="E801" s="28" t="s">
        <v>4764</v>
      </c>
      <c r="F801" s="28" t="s">
        <v>21</v>
      </c>
      <c r="G801" s="28" t="s">
        <v>22</v>
      </c>
      <c r="H801" s="28" t="s">
        <v>4765</v>
      </c>
      <c r="I801" s="28" t="s">
        <v>4775</v>
      </c>
      <c r="J801" s="28" t="s">
        <v>22</v>
      </c>
      <c r="K801" s="28" t="s">
        <v>4743</v>
      </c>
      <c r="L801" s="28" t="s">
        <v>1722</v>
      </c>
      <c r="M801" s="28" t="s">
        <v>4776</v>
      </c>
      <c r="N801" s="28" t="s">
        <v>4768</v>
      </c>
      <c r="O801" s="28" t="s">
        <v>4769</v>
      </c>
      <c r="P801" s="28" t="s">
        <v>4745</v>
      </c>
    </row>
    <row r="802" spans="1:16" hidden="1" x14ac:dyDescent="0.25">
      <c r="A802" s="28" t="s">
        <v>4777</v>
      </c>
      <c r="B802" s="28" t="s">
        <v>4778</v>
      </c>
      <c r="C802" s="28" t="s">
        <v>1684</v>
      </c>
      <c r="D802" s="28" t="s">
        <v>4715</v>
      </c>
      <c r="E802" s="28" t="s">
        <v>4764</v>
      </c>
      <c r="F802" s="28" t="s">
        <v>21</v>
      </c>
      <c r="G802" s="28" t="s">
        <v>22</v>
      </c>
      <c r="H802" s="28" t="s">
        <v>4765</v>
      </c>
      <c r="I802" s="28" t="s">
        <v>4779</v>
      </c>
      <c r="J802" s="28" t="s">
        <v>22</v>
      </c>
      <c r="K802" s="28" t="s">
        <v>4749</v>
      </c>
      <c r="L802" s="28" t="s">
        <v>1722</v>
      </c>
      <c r="M802" s="28" t="s">
        <v>4780</v>
      </c>
      <c r="N802" s="28" t="s">
        <v>4768</v>
      </c>
      <c r="O802" s="28" t="s">
        <v>4769</v>
      </c>
      <c r="P802" s="28" t="s">
        <v>4751</v>
      </c>
    </row>
    <row r="803" spans="1:16" hidden="1" x14ac:dyDescent="0.25">
      <c r="A803" s="28" t="s">
        <v>4781</v>
      </c>
      <c r="B803" s="28" t="s">
        <v>4782</v>
      </c>
      <c r="C803" s="28" t="s">
        <v>4491</v>
      </c>
      <c r="D803" s="28" t="s">
        <v>4715</v>
      </c>
      <c r="E803" s="28" t="s">
        <v>4764</v>
      </c>
      <c r="F803" s="28" t="s">
        <v>21</v>
      </c>
      <c r="G803" s="28" t="s">
        <v>22</v>
      </c>
      <c r="H803" s="28" t="s">
        <v>4765</v>
      </c>
      <c r="I803" s="28" t="s">
        <v>4783</v>
      </c>
      <c r="J803" s="28" t="s">
        <v>22</v>
      </c>
      <c r="K803" s="28" t="s">
        <v>4755</v>
      </c>
      <c r="L803" s="28" t="s">
        <v>1722</v>
      </c>
      <c r="M803" s="28" t="s">
        <v>4776</v>
      </c>
      <c r="N803" s="28" t="s">
        <v>4768</v>
      </c>
      <c r="O803" s="28" t="s">
        <v>4769</v>
      </c>
      <c r="P803" s="28" t="s">
        <v>4784</v>
      </c>
    </row>
    <row r="804" spans="1:16" hidden="1" x14ac:dyDescent="0.25">
      <c r="A804" s="28" t="s">
        <v>4785</v>
      </c>
      <c r="B804" s="28" t="s">
        <v>4786</v>
      </c>
      <c r="C804" s="28" t="s">
        <v>4491</v>
      </c>
      <c r="D804" s="28" t="s">
        <v>4715</v>
      </c>
      <c r="E804" s="28" t="s">
        <v>4764</v>
      </c>
      <c r="F804" s="28" t="s">
        <v>21</v>
      </c>
      <c r="G804" s="28" t="s">
        <v>22</v>
      </c>
      <c r="H804" s="28" t="s">
        <v>4765</v>
      </c>
      <c r="I804" s="28" t="s">
        <v>4787</v>
      </c>
      <c r="J804" s="28" t="s">
        <v>22</v>
      </c>
      <c r="K804" s="28" t="s">
        <v>4760</v>
      </c>
      <c r="L804" s="28" t="s">
        <v>1722</v>
      </c>
      <c r="M804" s="28" t="s">
        <v>4780</v>
      </c>
      <c r="N804" s="28" t="s">
        <v>4768</v>
      </c>
      <c r="O804" s="28" t="s">
        <v>4769</v>
      </c>
      <c r="P804" s="28" t="s">
        <v>4788</v>
      </c>
    </row>
    <row r="805" spans="1:16" hidden="1" x14ac:dyDescent="0.25">
      <c r="A805" s="28" t="s">
        <v>4789</v>
      </c>
      <c r="B805" s="28" t="s">
        <v>4790</v>
      </c>
      <c r="C805" s="28" t="s">
        <v>1684</v>
      </c>
      <c r="D805" s="28" t="s">
        <v>4715</v>
      </c>
      <c r="E805" s="28" t="s">
        <v>4791</v>
      </c>
      <c r="F805" s="28" t="s">
        <v>21</v>
      </c>
      <c r="G805" s="28" t="s">
        <v>22</v>
      </c>
      <c r="H805" s="28" t="s">
        <v>4792</v>
      </c>
      <c r="I805" s="28" t="s">
        <v>4793</v>
      </c>
      <c r="J805" s="28" t="s">
        <v>22</v>
      </c>
      <c r="K805" s="28" t="s">
        <v>4719</v>
      </c>
      <c r="L805" s="28" t="s">
        <v>1722</v>
      </c>
      <c r="M805" s="28" t="s">
        <v>4794</v>
      </c>
      <c r="N805" s="28" t="s">
        <v>4795</v>
      </c>
      <c r="O805" s="28" t="s">
        <v>4796</v>
      </c>
      <c r="P805" s="28" t="s">
        <v>4723</v>
      </c>
    </row>
    <row r="806" spans="1:16" hidden="1" x14ac:dyDescent="0.25">
      <c r="A806" s="28" t="s">
        <v>4797</v>
      </c>
      <c r="B806" s="28" t="s">
        <v>4798</v>
      </c>
      <c r="C806" s="28" t="s">
        <v>1684</v>
      </c>
      <c r="D806" s="28" t="s">
        <v>4715</v>
      </c>
      <c r="E806" s="28" t="s">
        <v>4791</v>
      </c>
      <c r="F806" s="28" t="s">
        <v>21</v>
      </c>
      <c r="G806" s="28" t="s">
        <v>22</v>
      </c>
      <c r="H806" s="28" t="s">
        <v>4792</v>
      </c>
      <c r="I806" s="28" t="s">
        <v>4799</v>
      </c>
      <c r="J806" s="28" t="s">
        <v>22</v>
      </c>
      <c r="K806" s="28" t="s">
        <v>4727</v>
      </c>
      <c r="L806" s="28" t="s">
        <v>1722</v>
      </c>
      <c r="M806" s="28" t="s">
        <v>4794</v>
      </c>
      <c r="N806" s="28" t="s">
        <v>4795</v>
      </c>
      <c r="O806" s="28" t="s">
        <v>4796</v>
      </c>
      <c r="P806" s="28" t="s">
        <v>4728</v>
      </c>
    </row>
    <row r="807" spans="1:16" hidden="1" x14ac:dyDescent="0.25">
      <c r="A807" s="28" t="s">
        <v>4800</v>
      </c>
      <c r="B807" s="28" t="s">
        <v>4801</v>
      </c>
      <c r="C807" s="28" t="s">
        <v>1684</v>
      </c>
      <c r="D807" s="28" t="s">
        <v>4715</v>
      </c>
      <c r="E807" s="28" t="s">
        <v>4791</v>
      </c>
      <c r="F807" s="28" t="s">
        <v>21</v>
      </c>
      <c r="G807" s="28" t="s">
        <v>22</v>
      </c>
      <c r="H807" s="28" t="s">
        <v>4792</v>
      </c>
      <c r="I807" s="28" t="s">
        <v>4802</v>
      </c>
      <c r="J807" s="28" t="s">
        <v>22</v>
      </c>
      <c r="K807" s="28" t="s">
        <v>4743</v>
      </c>
      <c r="L807" s="28" t="s">
        <v>1722</v>
      </c>
      <c r="M807" s="28" t="s">
        <v>4803</v>
      </c>
      <c r="N807" s="28" t="s">
        <v>4795</v>
      </c>
      <c r="O807" s="28" t="s">
        <v>4796</v>
      </c>
      <c r="P807" s="28" t="s">
        <v>4745</v>
      </c>
    </row>
    <row r="808" spans="1:16" hidden="1" x14ac:dyDescent="0.25">
      <c r="A808" s="28" t="s">
        <v>4804</v>
      </c>
      <c r="B808" s="28" t="s">
        <v>4805</v>
      </c>
      <c r="C808" s="28" t="s">
        <v>1684</v>
      </c>
      <c r="D808" s="28" t="s">
        <v>4715</v>
      </c>
      <c r="E808" s="28" t="s">
        <v>4791</v>
      </c>
      <c r="F808" s="28" t="s">
        <v>21</v>
      </c>
      <c r="G808" s="28" t="s">
        <v>22</v>
      </c>
      <c r="H808" s="28" t="s">
        <v>4792</v>
      </c>
      <c r="I808" s="28" t="s">
        <v>4806</v>
      </c>
      <c r="J808" s="28" t="s">
        <v>22</v>
      </c>
      <c r="K808" s="28" t="s">
        <v>4749</v>
      </c>
      <c r="L808" s="28" t="s">
        <v>1722</v>
      </c>
      <c r="M808" s="28" t="s">
        <v>4807</v>
      </c>
      <c r="N808" s="28" t="s">
        <v>4795</v>
      </c>
      <c r="O808" s="28" t="s">
        <v>4796</v>
      </c>
      <c r="P808" s="28" t="s">
        <v>4751</v>
      </c>
    </row>
    <row r="809" spans="1:16" hidden="1" x14ac:dyDescent="0.25">
      <c r="A809" s="28" t="s">
        <v>4808</v>
      </c>
      <c r="B809" s="28" t="s">
        <v>4809</v>
      </c>
      <c r="C809" s="28" t="s">
        <v>4491</v>
      </c>
      <c r="D809" s="28" t="s">
        <v>4715</v>
      </c>
      <c r="E809" s="28" t="s">
        <v>4791</v>
      </c>
      <c r="F809" s="28" t="s">
        <v>21</v>
      </c>
      <c r="G809" s="28" t="s">
        <v>22</v>
      </c>
      <c r="H809" s="28" t="s">
        <v>4792</v>
      </c>
      <c r="I809" s="28" t="s">
        <v>4810</v>
      </c>
      <c r="J809" s="28" t="s">
        <v>22</v>
      </c>
      <c r="K809" s="28" t="s">
        <v>4755</v>
      </c>
      <c r="L809" s="28" t="s">
        <v>1722</v>
      </c>
      <c r="M809" s="28" t="s">
        <v>4803</v>
      </c>
      <c r="N809" s="28" t="s">
        <v>4795</v>
      </c>
      <c r="O809" s="28" t="s">
        <v>4796</v>
      </c>
      <c r="P809" s="28" t="s">
        <v>4811</v>
      </c>
    </row>
    <row r="810" spans="1:16" hidden="1" x14ac:dyDescent="0.25">
      <c r="A810" s="28" t="s">
        <v>4812</v>
      </c>
      <c r="B810" s="28" t="s">
        <v>4813</v>
      </c>
      <c r="C810" s="28" t="s">
        <v>4491</v>
      </c>
      <c r="D810" s="28" t="s">
        <v>4715</v>
      </c>
      <c r="E810" s="28" t="s">
        <v>4791</v>
      </c>
      <c r="F810" s="28" t="s">
        <v>21</v>
      </c>
      <c r="G810" s="28" t="s">
        <v>22</v>
      </c>
      <c r="H810" s="28" t="s">
        <v>4792</v>
      </c>
      <c r="I810" s="28" t="s">
        <v>4814</v>
      </c>
      <c r="J810" s="28" t="s">
        <v>22</v>
      </c>
      <c r="K810" s="28" t="s">
        <v>4760</v>
      </c>
      <c r="L810" s="28" t="s">
        <v>1722</v>
      </c>
      <c r="M810" s="28" t="s">
        <v>4807</v>
      </c>
      <c r="N810" s="28" t="s">
        <v>4795</v>
      </c>
      <c r="O810" s="28" t="s">
        <v>4796</v>
      </c>
      <c r="P810" s="28" t="s">
        <v>4815</v>
      </c>
    </row>
    <row r="811" spans="1:16" hidden="1" x14ac:dyDescent="0.25">
      <c r="A811" s="28" t="s">
        <v>4816</v>
      </c>
      <c r="B811" s="28" t="s">
        <v>4817</v>
      </c>
      <c r="C811" s="28" t="s">
        <v>1684</v>
      </c>
      <c r="D811" s="28" t="s">
        <v>1358</v>
      </c>
      <c r="E811" s="28" t="s">
        <v>4818</v>
      </c>
      <c r="F811" s="28" t="s">
        <v>21</v>
      </c>
      <c r="G811" s="28" t="s">
        <v>22</v>
      </c>
      <c r="H811" s="28" t="s">
        <v>4819</v>
      </c>
      <c r="I811" s="28" t="s">
        <v>4820</v>
      </c>
      <c r="J811" s="28" t="s">
        <v>22</v>
      </c>
      <c r="K811" s="28" t="s">
        <v>4821</v>
      </c>
      <c r="L811" s="28" t="s">
        <v>1722</v>
      </c>
      <c r="M811" s="28" t="s">
        <v>4822</v>
      </c>
      <c r="N811" s="28" t="s">
        <v>4823</v>
      </c>
      <c r="O811" s="28" t="s">
        <v>4824</v>
      </c>
      <c r="P811" s="28" t="s">
        <v>4825</v>
      </c>
    </row>
    <row r="812" spans="1:16" hidden="1" x14ac:dyDescent="0.25">
      <c r="A812" s="28" t="s">
        <v>4826</v>
      </c>
      <c r="B812" s="28" t="s">
        <v>4827</v>
      </c>
      <c r="C812" s="28" t="s">
        <v>1684</v>
      </c>
      <c r="D812" s="28" t="s">
        <v>1358</v>
      </c>
      <c r="E812" s="28" t="s">
        <v>4818</v>
      </c>
      <c r="F812" s="28" t="s">
        <v>21</v>
      </c>
      <c r="G812" s="28" t="s">
        <v>22</v>
      </c>
      <c r="H812" s="28" t="s">
        <v>4819</v>
      </c>
      <c r="I812" s="28" t="s">
        <v>4828</v>
      </c>
      <c r="J812" s="28" t="s">
        <v>22</v>
      </c>
      <c r="K812" s="28" t="s">
        <v>4829</v>
      </c>
      <c r="L812" s="28" t="s">
        <v>1722</v>
      </c>
      <c r="M812" s="28" t="s">
        <v>4830</v>
      </c>
      <c r="N812" s="28" t="s">
        <v>4823</v>
      </c>
      <c r="O812" s="28" t="s">
        <v>4824</v>
      </c>
      <c r="P812" s="28" t="s">
        <v>4728</v>
      </c>
    </row>
    <row r="813" spans="1:16" hidden="1" x14ac:dyDescent="0.25">
      <c r="A813" s="28" t="s">
        <v>4831</v>
      </c>
      <c r="B813" s="28" t="s">
        <v>4832</v>
      </c>
      <c r="C813" s="28" t="s">
        <v>1684</v>
      </c>
      <c r="D813" s="28" t="s">
        <v>1358</v>
      </c>
      <c r="E813" s="28" t="s">
        <v>4818</v>
      </c>
      <c r="F813" s="28" t="s">
        <v>21</v>
      </c>
      <c r="G813" s="28" t="s">
        <v>22</v>
      </c>
      <c r="H813" s="28" t="s">
        <v>4819</v>
      </c>
      <c r="I813" s="28" t="s">
        <v>4833</v>
      </c>
      <c r="J813" s="28" t="s">
        <v>22</v>
      </c>
      <c r="K813" s="28" t="s">
        <v>4834</v>
      </c>
      <c r="L813" s="28" t="s">
        <v>1722</v>
      </c>
      <c r="M813" s="28" t="s">
        <v>4830</v>
      </c>
      <c r="N813" s="28" t="s">
        <v>4823</v>
      </c>
      <c r="O813" s="28" t="s">
        <v>4824</v>
      </c>
      <c r="P813" s="28" t="s">
        <v>4728</v>
      </c>
    </row>
    <row r="814" spans="1:16" hidden="1" x14ac:dyDescent="0.25">
      <c r="A814" s="28" t="s">
        <v>4835</v>
      </c>
      <c r="B814" s="28" t="s">
        <v>4836</v>
      </c>
      <c r="C814" s="28" t="s">
        <v>1684</v>
      </c>
      <c r="D814" s="28" t="s">
        <v>4837</v>
      </c>
      <c r="E814" s="28" t="s">
        <v>4838</v>
      </c>
      <c r="F814" s="28" t="s">
        <v>21</v>
      </c>
      <c r="G814" s="28" t="s">
        <v>22</v>
      </c>
      <c r="H814" s="28" t="s">
        <v>4839</v>
      </c>
      <c r="I814" s="28" t="s">
        <v>4840</v>
      </c>
      <c r="J814" s="28" t="s">
        <v>22</v>
      </c>
      <c r="K814" s="28" t="s">
        <v>4841</v>
      </c>
      <c r="L814" s="28" t="s">
        <v>1722</v>
      </c>
      <c r="M814" s="28" t="s">
        <v>4842</v>
      </c>
      <c r="N814" s="28" t="s">
        <v>4843</v>
      </c>
      <c r="O814" s="28" t="s">
        <v>4844</v>
      </c>
      <c r="P814" s="28" t="s">
        <v>4845</v>
      </c>
    </row>
    <row r="815" spans="1:16" hidden="1" x14ac:dyDescent="0.25">
      <c r="A815" s="28" t="s">
        <v>4846</v>
      </c>
      <c r="B815" s="28" t="s">
        <v>4847</v>
      </c>
      <c r="C815" s="28" t="s">
        <v>1684</v>
      </c>
      <c r="D815" s="28" t="s">
        <v>4848</v>
      </c>
      <c r="E815" s="28" t="s">
        <v>4849</v>
      </c>
      <c r="F815" s="28" t="s">
        <v>21</v>
      </c>
      <c r="G815" s="28" t="s">
        <v>22</v>
      </c>
      <c r="H815" s="28" t="s">
        <v>4850</v>
      </c>
      <c r="I815" s="28" t="s">
        <v>4851</v>
      </c>
      <c r="J815" s="28" t="s">
        <v>22</v>
      </c>
      <c r="K815" s="28" t="s">
        <v>4852</v>
      </c>
      <c r="L815" s="28" t="s">
        <v>1722</v>
      </c>
      <c r="M815" s="28" t="s">
        <v>4853</v>
      </c>
      <c r="N815" s="28" t="s">
        <v>4854</v>
      </c>
      <c r="O815" s="28" t="s">
        <v>4855</v>
      </c>
      <c r="P815" s="28" t="s">
        <v>4856</v>
      </c>
    </row>
    <row r="816" spans="1:16" hidden="1" x14ac:dyDescent="0.25">
      <c r="A816" s="28" t="s">
        <v>4857</v>
      </c>
      <c r="B816" s="28" t="s">
        <v>4858</v>
      </c>
      <c r="C816" s="28" t="s">
        <v>1684</v>
      </c>
      <c r="D816" s="28" t="s">
        <v>4848</v>
      </c>
      <c r="E816" s="28" t="s">
        <v>4849</v>
      </c>
      <c r="F816" s="28" t="s">
        <v>21</v>
      </c>
      <c r="G816" s="28" t="s">
        <v>22</v>
      </c>
      <c r="H816" s="28" t="s">
        <v>4850</v>
      </c>
      <c r="I816" s="28" t="s">
        <v>4859</v>
      </c>
      <c r="J816" s="28" t="s">
        <v>22</v>
      </c>
      <c r="K816" s="28" t="s">
        <v>4852</v>
      </c>
      <c r="L816" s="28" t="s">
        <v>1722</v>
      </c>
      <c r="M816" s="28" t="s">
        <v>4860</v>
      </c>
      <c r="N816" s="28" t="s">
        <v>4854</v>
      </c>
      <c r="O816" s="28" t="s">
        <v>4855</v>
      </c>
      <c r="P816" s="28" t="s">
        <v>4856</v>
      </c>
    </row>
    <row r="817" spans="1:16" hidden="1" x14ac:dyDescent="0.25">
      <c r="A817" s="28" t="s">
        <v>4861</v>
      </c>
      <c r="B817" s="28" t="s">
        <v>4862</v>
      </c>
      <c r="C817" s="28" t="s">
        <v>1684</v>
      </c>
      <c r="D817" s="28" t="s">
        <v>4848</v>
      </c>
      <c r="E817" s="28" t="s">
        <v>4849</v>
      </c>
      <c r="F817" s="28" t="s">
        <v>21</v>
      </c>
      <c r="G817" s="28" t="s">
        <v>22</v>
      </c>
      <c r="H817" s="28" t="s">
        <v>4850</v>
      </c>
      <c r="I817" s="28" t="s">
        <v>4863</v>
      </c>
      <c r="J817" s="28" t="s">
        <v>22</v>
      </c>
      <c r="K817" s="28" t="s">
        <v>4864</v>
      </c>
      <c r="L817" s="28" t="s">
        <v>1722</v>
      </c>
      <c r="M817" s="28" t="s">
        <v>4865</v>
      </c>
      <c r="N817" s="28" t="s">
        <v>4854</v>
      </c>
      <c r="O817" s="28" t="s">
        <v>4855</v>
      </c>
      <c r="P817" s="28" t="s">
        <v>4866</v>
      </c>
    </row>
    <row r="818" spans="1:16" hidden="1" x14ac:dyDescent="0.25">
      <c r="A818" s="28" t="s">
        <v>4867</v>
      </c>
      <c r="B818" s="28" t="s">
        <v>4868</v>
      </c>
      <c r="C818" s="28" t="s">
        <v>1684</v>
      </c>
      <c r="D818" s="28" t="s">
        <v>1478</v>
      </c>
      <c r="E818" s="28" t="s">
        <v>4869</v>
      </c>
      <c r="F818" s="28" t="s">
        <v>21</v>
      </c>
      <c r="G818" s="28" t="s">
        <v>22</v>
      </c>
      <c r="H818" s="28" t="s">
        <v>4870</v>
      </c>
      <c r="I818" s="28" t="s">
        <v>4871</v>
      </c>
      <c r="J818" s="28" t="s">
        <v>22</v>
      </c>
      <c r="K818" s="28" t="s">
        <v>4872</v>
      </c>
      <c r="L818" s="28" t="s">
        <v>1722</v>
      </c>
      <c r="M818" s="28" t="s">
        <v>4873</v>
      </c>
      <c r="N818" s="28" t="s">
        <v>4874</v>
      </c>
      <c r="O818" s="28" t="s">
        <v>4875</v>
      </c>
      <c r="P818" s="28" t="s">
        <v>4876</v>
      </c>
    </row>
    <row r="819" spans="1:16" hidden="1" x14ac:dyDescent="0.25">
      <c r="A819" s="28" t="s">
        <v>4877</v>
      </c>
      <c r="B819" s="28" t="s">
        <v>4878</v>
      </c>
      <c r="C819" s="28" t="s">
        <v>1684</v>
      </c>
      <c r="D819" s="28" t="s">
        <v>1478</v>
      </c>
      <c r="E819" s="28" t="s">
        <v>4869</v>
      </c>
      <c r="F819" s="28" t="s">
        <v>21</v>
      </c>
      <c r="G819" s="28" t="s">
        <v>22</v>
      </c>
      <c r="H819" s="28" t="s">
        <v>4870</v>
      </c>
      <c r="I819" s="28" t="s">
        <v>4879</v>
      </c>
      <c r="J819" s="28" t="s">
        <v>22</v>
      </c>
      <c r="K819" s="28" t="s">
        <v>4872</v>
      </c>
      <c r="L819" s="28" t="s">
        <v>1722</v>
      </c>
      <c r="M819" s="28" t="s">
        <v>4873</v>
      </c>
      <c r="N819" s="28" t="s">
        <v>4874</v>
      </c>
      <c r="O819" s="28" t="s">
        <v>4875</v>
      </c>
      <c r="P819" s="28" t="s">
        <v>4876</v>
      </c>
    </row>
    <row r="820" spans="1:16" x14ac:dyDescent="0.25">
      <c r="A820" s="28" t="s">
        <v>4880</v>
      </c>
      <c r="B820" s="28" t="s">
        <v>4881</v>
      </c>
      <c r="C820" s="28" t="s">
        <v>1684</v>
      </c>
      <c r="D820" s="28" t="s">
        <v>19</v>
      </c>
      <c r="E820" s="28" t="s">
        <v>170</v>
      </c>
      <c r="F820" s="28" t="s">
        <v>21</v>
      </c>
      <c r="G820" s="28" t="s">
        <v>135</v>
      </c>
      <c r="H820" s="28" t="s">
        <v>4882</v>
      </c>
      <c r="I820" s="28" t="s">
        <v>4883</v>
      </c>
      <c r="J820" s="28" t="s">
        <v>135</v>
      </c>
      <c r="K820" s="28" t="s">
        <v>4884</v>
      </c>
      <c r="L820" s="28" t="s">
        <v>1722</v>
      </c>
      <c r="M820" s="28" t="s">
        <v>4885</v>
      </c>
      <c r="N820" s="28" t="s">
        <v>4886</v>
      </c>
      <c r="O820" s="28" t="s">
        <v>4887</v>
      </c>
      <c r="P820" s="28" t="s">
        <v>4888</v>
      </c>
    </row>
    <row r="821" spans="1:16" x14ac:dyDescent="0.25">
      <c r="A821" s="28" t="s">
        <v>4889</v>
      </c>
      <c r="B821" s="28" t="s">
        <v>4890</v>
      </c>
      <c r="C821" s="28" t="s">
        <v>1684</v>
      </c>
      <c r="D821" s="28" t="s">
        <v>19</v>
      </c>
      <c r="E821" s="28" t="s">
        <v>170</v>
      </c>
      <c r="F821" s="28" t="s">
        <v>21</v>
      </c>
      <c r="G821" s="28" t="s">
        <v>135</v>
      </c>
      <c r="H821" s="28" t="s">
        <v>4882</v>
      </c>
      <c r="I821" s="28" t="s">
        <v>4891</v>
      </c>
      <c r="J821" s="28" t="s">
        <v>135</v>
      </c>
      <c r="K821" s="28" t="s">
        <v>4892</v>
      </c>
      <c r="L821" s="28" t="s">
        <v>1722</v>
      </c>
      <c r="M821" s="28" t="s">
        <v>4893</v>
      </c>
      <c r="N821" s="28" t="s">
        <v>4886</v>
      </c>
      <c r="O821" s="28" t="s">
        <v>4887</v>
      </c>
      <c r="P821" s="28" t="s">
        <v>4888</v>
      </c>
    </row>
    <row r="822" spans="1:16" x14ac:dyDescent="0.25">
      <c r="A822" s="28" t="s">
        <v>4894</v>
      </c>
      <c r="B822" s="28" t="s">
        <v>4895</v>
      </c>
      <c r="C822" s="28" t="s">
        <v>1684</v>
      </c>
      <c r="D822" s="28" t="s">
        <v>19</v>
      </c>
      <c r="E822" s="28" t="s">
        <v>4896</v>
      </c>
      <c r="F822" s="28" t="s">
        <v>21</v>
      </c>
      <c r="G822" s="28" t="s">
        <v>135</v>
      </c>
      <c r="H822" s="28" t="s">
        <v>4882</v>
      </c>
      <c r="I822" s="28" t="s">
        <v>4897</v>
      </c>
      <c r="J822" s="28" t="s">
        <v>135</v>
      </c>
      <c r="K822" s="28" t="s">
        <v>4892</v>
      </c>
      <c r="L822" s="28" t="s">
        <v>1722</v>
      </c>
      <c r="M822" s="28" t="s">
        <v>4898</v>
      </c>
      <c r="N822" s="28" t="s">
        <v>4886</v>
      </c>
      <c r="O822" s="28" t="s">
        <v>4887</v>
      </c>
      <c r="P822" s="28" t="s">
        <v>4888</v>
      </c>
    </row>
    <row r="823" spans="1:16" x14ac:dyDescent="0.25">
      <c r="A823" s="28" t="s">
        <v>4899</v>
      </c>
      <c r="B823" s="28" t="s">
        <v>4900</v>
      </c>
      <c r="C823" s="28" t="s">
        <v>1684</v>
      </c>
      <c r="D823" s="28" t="s">
        <v>19</v>
      </c>
      <c r="E823" s="28" t="s">
        <v>4896</v>
      </c>
      <c r="F823" s="28" t="s">
        <v>21</v>
      </c>
      <c r="G823" s="28" t="s">
        <v>135</v>
      </c>
      <c r="H823" s="28" t="s">
        <v>4882</v>
      </c>
      <c r="I823" s="28" t="s">
        <v>4901</v>
      </c>
      <c r="J823" s="28" t="s">
        <v>135</v>
      </c>
      <c r="K823" s="28" t="s">
        <v>4892</v>
      </c>
      <c r="L823" s="28" t="s">
        <v>1722</v>
      </c>
      <c r="M823" s="28" t="s">
        <v>4902</v>
      </c>
      <c r="N823" s="28" t="s">
        <v>4886</v>
      </c>
      <c r="O823" s="28" t="s">
        <v>4887</v>
      </c>
      <c r="P823" s="28" t="s">
        <v>4888</v>
      </c>
    </row>
    <row r="824" spans="1:16" x14ac:dyDescent="0.25">
      <c r="A824" s="28" t="s">
        <v>4903</v>
      </c>
      <c r="B824" s="28" t="s">
        <v>4904</v>
      </c>
      <c r="C824" s="28" t="s">
        <v>1684</v>
      </c>
      <c r="D824" s="28" t="s">
        <v>19</v>
      </c>
      <c r="E824" s="28" t="s">
        <v>4896</v>
      </c>
      <c r="F824" s="28" t="s">
        <v>21</v>
      </c>
      <c r="G824" s="28" t="s">
        <v>135</v>
      </c>
      <c r="H824" s="28" t="s">
        <v>4882</v>
      </c>
      <c r="I824" s="28" t="s">
        <v>4905</v>
      </c>
      <c r="J824" s="28" t="s">
        <v>135</v>
      </c>
      <c r="K824" s="28" t="s">
        <v>4906</v>
      </c>
      <c r="L824" s="28" t="s">
        <v>1722</v>
      </c>
      <c r="M824" s="28" t="s">
        <v>4907</v>
      </c>
      <c r="N824" s="28" t="s">
        <v>4886</v>
      </c>
      <c r="O824" s="28" t="s">
        <v>4887</v>
      </c>
      <c r="P824" s="28" t="s">
        <v>4888</v>
      </c>
    </row>
    <row r="825" spans="1:16" x14ac:dyDescent="0.25">
      <c r="A825" s="28" t="s">
        <v>4908</v>
      </c>
      <c r="B825" s="28" t="s">
        <v>4909</v>
      </c>
      <c r="C825" s="28" t="s">
        <v>1684</v>
      </c>
      <c r="D825" s="28" t="s">
        <v>19</v>
      </c>
      <c r="E825" s="28" t="s">
        <v>4896</v>
      </c>
      <c r="F825" s="28" t="s">
        <v>21</v>
      </c>
      <c r="G825" s="28" t="s">
        <v>135</v>
      </c>
      <c r="H825" s="28" t="s">
        <v>4882</v>
      </c>
      <c r="I825" s="28" t="s">
        <v>4910</v>
      </c>
      <c r="J825" s="28" t="s">
        <v>135</v>
      </c>
      <c r="K825" s="28" t="s">
        <v>4892</v>
      </c>
      <c r="L825" s="28" t="s">
        <v>1722</v>
      </c>
      <c r="M825" s="28" t="s">
        <v>4907</v>
      </c>
      <c r="N825" s="28" t="s">
        <v>4886</v>
      </c>
      <c r="O825" s="28" t="s">
        <v>4887</v>
      </c>
      <c r="P825" s="28" t="s">
        <v>4888</v>
      </c>
    </row>
    <row r="826" spans="1:16" x14ac:dyDescent="0.25">
      <c r="A826" s="28" t="s">
        <v>4911</v>
      </c>
      <c r="B826" s="28" t="s">
        <v>4912</v>
      </c>
      <c r="C826" s="28" t="s">
        <v>1684</v>
      </c>
      <c r="D826" s="28" t="s">
        <v>19</v>
      </c>
      <c r="E826" s="28" t="s">
        <v>4896</v>
      </c>
      <c r="F826" s="28" t="s">
        <v>21</v>
      </c>
      <c r="G826" s="28" t="s">
        <v>135</v>
      </c>
      <c r="H826" s="28" t="s">
        <v>4882</v>
      </c>
      <c r="I826" s="28" t="s">
        <v>4913</v>
      </c>
      <c r="J826" s="28" t="s">
        <v>135</v>
      </c>
      <c r="K826" s="28" t="s">
        <v>4914</v>
      </c>
      <c r="L826" s="28" t="s">
        <v>1722</v>
      </c>
      <c r="M826" s="28" t="s">
        <v>4907</v>
      </c>
      <c r="N826" s="28" t="s">
        <v>4886</v>
      </c>
      <c r="O826" s="28" t="s">
        <v>4887</v>
      </c>
      <c r="P826" s="28" t="s">
        <v>4888</v>
      </c>
    </row>
    <row r="827" spans="1:16" hidden="1" x14ac:dyDescent="0.25">
      <c r="A827" s="28" t="s">
        <v>4915</v>
      </c>
      <c r="B827" s="28" t="s">
        <v>4916</v>
      </c>
      <c r="C827" s="28" t="s">
        <v>1684</v>
      </c>
      <c r="D827" s="28" t="s">
        <v>4101</v>
      </c>
      <c r="E827" s="28" t="s">
        <v>4917</v>
      </c>
      <c r="F827" s="28" t="s">
        <v>21</v>
      </c>
      <c r="G827" s="28" t="s">
        <v>22</v>
      </c>
      <c r="H827" s="28" t="s">
        <v>4918</v>
      </c>
      <c r="I827" s="28" t="s">
        <v>4919</v>
      </c>
      <c r="J827" s="28" t="s">
        <v>22</v>
      </c>
      <c r="K827" s="28" t="s">
        <v>4920</v>
      </c>
      <c r="L827" s="28" t="s">
        <v>1722</v>
      </c>
      <c r="M827" s="28" t="s">
        <v>4921</v>
      </c>
      <c r="N827" s="28" t="s">
        <v>4922</v>
      </c>
      <c r="O827" s="28" t="s">
        <v>4923</v>
      </c>
      <c r="P827" s="28" t="s">
        <v>4924</v>
      </c>
    </row>
    <row r="828" spans="1:16" hidden="1" x14ac:dyDescent="0.25">
      <c r="A828" s="28" t="s">
        <v>4925</v>
      </c>
      <c r="B828" s="28" t="s">
        <v>4926</v>
      </c>
      <c r="C828" s="28" t="s">
        <v>1684</v>
      </c>
      <c r="D828" s="28" t="s">
        <v>101</v>
      </c>
      <c r="E828" s="28" t="s">
        <v>4927</v>
      </c>
      <c r="F828" s="28" t="s">
        <v>21</v>
      </c>
      <c r="G828" s="28" t="s">
        <v>22</v>
      </c>
      <c r="H828" s="28" t="s">
        <v>4928</v>
      </c>
      <c r="I828" s="28" t="s">
        <v>4929</v>
      </c>
      <c r="J828" s="28" t="s">
        <v>22</v>
      </c>
      <c r="K828" s="28" t="s">
        <v>4930</v>
      </c>
      <c r="L828" s="28" t="s">
        <v>1722</v>
      </c>
      <c r="M828" s="28" t="s">
        <v>4931</v>
      </c>
      <c r="N828" s="28" t="s">
        <v>4932</v>
      </c>
      <c r="O828" s="28" t="s">
        <v>4933</v>
      </c>
      <c r="P828" s="28" t="s">
        <v>4934</v>
      </c>
    </row>
    <row r="829" spans="1:16" hidden="1" x14ac:dyDescent="0.25">
      <c r="A829" s="28" t="s">
        <v>4935</v>
      </c>
      <c r="B829" s="28" t="s">
        <v>4936</v>
      </c>
      <c r="C829" s="28" t="s">
        <v>1684</v>
      </c>
      <c r="D829" s="28" t="s">
        <v>101</v>
      </c>
      <c r="E829" s="28" t="s">
        <v>4927</v>
      </c>
      <c r="F829" s="28" t="s">
        <v>21</v>
      </c>
      <c r="G829" s="28" t="s">
        <v>22</v>
      </c>
      <c r="H829" s="28" t="s">
        <v>4928</v>
      </c>
      <c r="I829" s="28" t="s">
        <v>4937</v>
      </c>
      <c r="J829" s="28" t="s">
        <v>22</v>
      </c>
      <c r="K829" s="28" t="s">
        <v>4938</v>
      </c>
      <c r="L829" s="28" t="s">
        <v>1722</v>
      </c>
      <c r="M829" s="28" t="s">
        <v>4939</v>
      </c>
      <c r="N829" s="28" t="s">
        <v>4932</v>
      </c>
      <c r="O829" s="28" t="s">
        <v>4933</v>
      </c>
      <c r="P829" s="28" t="s">
        <v>4940</v>
      </c>
    </row>
    <row r="830" spans="1:16" hidden="1" x14ac:dyDescent="0.25">
      <c r="A830" s="28" t="s">
        <v>4941</v>
      </c>
      <c r="B830" s="28" t="s">
        <v>4942</v>
      </c>
      <c r="C830" s="28" t="s">
        <v>1684</v>
      </c>
      <c r="D830" s="28" t="s">
        <v>101</v>
      </c>
      <c r="E830" s="28" t="s">
        <v>4927</v>
      </c>
      <c r="F830" s="28" t="s">
        <v>21</v>
      </c>
      <c r="G830" s="28" t="s">
        <v>22</v>
      </c>
      <c r="H830" s="28" t="s">
        <v>4928</v>
      </c>
      <c r="I830" s="28" t="s">
        <v>4943</v>
      </c>
      <c r="J830" s="28" t="s">
        <v>22</v>
      </c>
      <c r="K830" s="28" t="s">
        <v>4944</v>
      </c>
      <c r="L830" s="28" t="s">
        <v>1722</v>
      </c>
      <c r="M830" s="28" t="s">
        <v>4945</v>
      </c>
      <c r="N830" s="28" t="s">
        <v>4932</v>
      </c>
      <c r="O830" s="28" t="s">
        <v>4933</v>
      </c>
      <c r="P830" s="28" t="s">
        <v>4940</v>
      </c>
    </row>
    <row r="831" spans="1:16" hidden="1" x14ac:dyDescent="0.25">
      <c r="A831" s="28" t="s">
        <v>4946</v>
      </c>
      <c r="B831" s="28" t="s">
        <v>4947</v>
      </c>
      <c r="C831" s="28" t="s">
        <v>1684</v>
      </c>
      <c r="D831" s="28" t="s">
        <v>101</v>
      </c>
      <c r="E831" s="28" t="s">
        <v>4927</v>
      </c>
      <c r="F831" s="28" t="s">
        <v>21</v>
      </c>
      <c r="G831" s="28" t="s">
        <v>22</v>
      </c>
      <c r="H831" s="28" t="s">
        <v>4928</v>
      </c>
      <c r="I831" s="28" t="s">
        <v>4948</v>
      </c>
      <c r="J831" s="28" t="s">
        <v>22</v>
      </c>
      <c r="K831" s="28" t="s">
        <v>4949</v>
      </c>
      <c r="L831" s="28" t="s">
        <v>1722</v>
      </c>
      <c r="M831" s="28" t="s">
        <v>4950</v>
      </c>
      <c r="N831" s="28" t="s">
        <v>4932</v>
      </c>
      <c r="O831" s="28" t="s">
        <v>4933</v>
      </c>
      <c r="P831" s="28" t="s">
        <v>4940</v>
      </c>
    </row>
    <row r="832" spans="1:16" hidden="1" x14ac:dyDescent="0.25">
      <c r="A832" s="28" t="s">
        <v>4951</v>
      </c>
      <c r="B832" s="28" t="s">
        <v>4952</v>
      </c>
      <c r="C832" s="28" t="s">
        <v>1684</v>
      </c>
      <c r="D832" s="28" t="s">
        <v>101</v>
      </c>
      <c r="E832" s="28" t="s">
        <v>4927</v>
      </c>
      <c r="F832" s="28" t="s">
        <v>21</v>
      </c>
      <c r="G832" s="28" t="s">
        <v>22</v>
      </c>
      <c r="H832" s="28" t="s">
        <v>4928</v>
      </c>
      <c r="I832" s="28" t="s">
        <v>4953</v>
      </c>
      <c r="J832" s="28" t="s">
        <v>22</v>
      </c>
      <c r="K832" s="28" t="s">
        <v>4954</v>
      </c>
      <c r="L832" s="28" t="s">
        <v>1722</v>
      </c>
      <c r="M832" s="28" t="s">
        <v>4955</v>
      </c>
      <c r="N832" s="28" t="s">
        <v>4932</v>
      </c>
      <c r="O832" s="28" t="s">
        <v>4933</v>
      </c>
      <c r="P832" s="28" t="s">
        <v>4940</v>
      </c>
    </row>
    <row r="833" spans="1:16" hidden="1" x14ac:dyDescent="0.25">
      <c r="A833" s="28" t="s">
        <v>4956</v>
      </c>
      <c r="B833" s="28" t="s">
        <v>4957</v>
      </c>
      <c r="C833" s="28" t="s">
        <v>1684</v>
      </c>
      <c r="D833" s="28" t="s">
        <v>101</v>
      </c>
      <c r="E833" s="28" t="s">
        <v>4927</v>
      </c>
      <c r="F833" s="28" t="s">
        <v>21</v>
      </c>
      <c r="G833" s="28" t="s">
        <v>22</v>
      </c>
      <c r="H833" s="28" t="s">
        <v>4928</v>
      </c>
      <c r="I833" s="28" t="s">
        <v>4958</v>
      </c>
      <c r="J833" s="28" t="s">
        <v>22</v>
      </c>
      <c r="K833" s="28" t="s">
        <v>4959</v>
      </c>
      <c r="L833" s="28" t="s">
        <v>1722</v>
      </c>
      <c r="M833" s="28" t="s">
        <v>4960</v>
      </c>
      <c r="N833" s="28" t="s">
        <v>4932</v>
      </c>
      <c r="O833" s="28" t="s">
        <v>4933</v>
      </c>
      <c r="P833" s="28" t="s">
        <v>4940</v>
      </c>
    </row>
    <row r="834" spans="1:16" hidden="1" x14ac:dyDescent="0.25">
      <c r="A834" s="28" t="s">
        <v>4961</v>
      </c>
      <c r="B834" s="28" t="s">
        <v>4962</v>
      </c>
      <c r="C834" s="28" t="s">
        <v>1684</v>
      </c>
      <c r="D834" s="28" t="s">
        <v>101</v>
      </c>
      <c r="E834" s="28" t="s">
        <v>4927</v>
      </c>
      <c r="F834" s="28" t="s">
        <v>21</v>
      </c>
      <c r="G834" s="28" t="s">
        <v>22</v>
      </c>
      <c r="H834" s="28" t="s">
        <v>4928</v>
      </c>
      <c r="I834" s="28" t="s">
        <v>4963</v>
      </c>
      <c r="J834" s="28" t="s">
        <v>22</v>
      </c>
      <c r="K834" s="28" t="s">
        <v>4964</v>
      </c>
      <c r="L834" s="28" t="s">
        <v>1722</v>
      </c>
      <c r="M834" s="28" t="s">
        <v>4965</v>
      </c>
      <c r="N834" s="28" t="s">
        <v>4932</v>
      </c>
      <c r="O834" s="28" t="s">
        <v>4933</v>
      </c>
      <c r="P834" s="28" t="s">
        <v>4966</v>
      </c>
    </row>
    <row r="835" spans="1:16" hidden="1" x14ac:dyDescent="0.25">
      <c r="A835" s="28" t="s">
        <v>4967</v>
      </c>
      <c r="B835" s="28" t="s">
        <v>4968</v>
      </c>
      <c r="C835" s="28" t="s">
        <v>1684</v>
      </c>
      <c r="D835" s="28" t="s">
        <v>101</v>
      </c>
      <c r="E835" s="28" t="s">
        <v>4927</v>
      </c>
      <c r="F835" s="28" t="s">
        <v>21</v>
      </c>
      <c r="G835" s="28" t="s">
        <v>22</v>
      </c>
      <c r="H835" s="28" t="s">
        <v>4928</v>
      </c>
      <c r="I835" s="28" t="s">
        <v>4969</v>
      </c>
      <c r="J835" s="28" t="s">
        <v>22</v>
      </c>
      <c r="K835" s="28" t="s">
        <v>4970</v>
      </c>
      <c r="L835" s="28" t="s">
        <v>1722</v>
      </c>
      <c r="M835" s="28" t="s">
        <v>4971</v>
      </c>
      <c r="N835" s="28" t="s">
        <v>4932</v>
      </c>
      <c r="O835" s="28" t="s">
        <v>4933</v>
      </c>
      <c r="P835" s="28" t="s">
        <v>4972</v>
      </c>
    </row>
    <row r="836" spans="1:16" hidden="1" x14ac:dyDescent="0.25">
      <c r="A836" s="28" t="s">
        <v>4973</v>
      </c>
      <c r="B836" s="28" t="s">
        <v>4974</v>
      </c>
      <c r="C836" s="28" t="s">
        <v>1684</v>
      </c>
      <c r="D836" s="28" t="s">
        <v>101</v>
      </c>
      <c r="E836" s="28" t="s">
        <v>4161</v>
      </c>
      <c r="F836" s="28" t="s">
        <v>21</v>
      </c>
      <c r="G836" s="28" t="s">
        <v>22</v>
      </c>
      <c r="H836" s="28" t="s">
        <v>4975</v>
      </c>
      <c r="I836" s="28" t="s">
        <v>4976</v>
      </c>
      <c r="J836" s="28" t="s">
        <v>22</v>
      </c>
      <c r="K836" s="28" t="s">
        <v>4977</v>
      </c>
      <c r="L836" s="28" t="s">
        <v>1722</v>
      </c>
      <c r="M836" s="28" t="s">
        <v>4978</v>
      </c>
      <c r="N836" s="28" t="s">
        <v>4979</v>
      </c>
      <c r="O836" s="28" t="s">
        <v>4980</v>
      </c>
      <c r="P836" s="28" t="s">
        <v>4981</v>
      </c>
    </row>
    <row r="837" spans="1:16" x14ac:dyDescent="0.25">
      <c r="A837" s="28" t="s">
        <v>4982</v>
      </c>
      <c r="B837" s="28" t="s">
        <v>4983</v>
      </c>
      <c r="C837" s="28" t="s">
        <v>1684</v>
      </c>
      <c r="D837" s="28" t="s">
        <v>4984</v>
      </c>
      <c r="E837" s="28" t="s">
        <v>4985</v>
      </c>
      <c r="F837" s="28" t="s">
        <v>21</v>
      </c>
      <c r="G837" s="28" t="s">
        <v>135</v>
      </c>
      <c r="H837" s="28" t="s">
        <v>4986</v>
      </c>
      <c r="I837" s="28" t="s">
        <v>4987</v>
      </c>
      <c r="J837" s="28" t="s">
        <v>135</v>
      </c>
      <c r="K837" s="28" t="s">
        <v>4988</v>
      </c>
      <c r="L837" s="28" t="s">
        <v>1722</v>
      </c>
      <c r="M837" s="28" t="s">
        <v>4989</v>
      </c>
      <c r="N837" s="28" t="s">
        <v>4990</v>
      </c>
      <c r="O837" s="28" t="s">
        <v>4991</v>
      </c>
      <c r="P837" s="28" t="s">
        <v>4992</v>
      </c>
    </row>
    <row r="838" spans="1:16" x14ac:dyDescent="0.25">
      <c r="A838" s="28" t="s">
        <v>4993</v>
      </c>
      <c r="B838" s="28" t="s">
        <v>4994</v>
      </c>
      <c r="C838" s="28" t="s">
        <v>1684</v>
      </c>
      <c r="D838" s="28" t="s">
        <v>4984</v>
      </c>
      <c r="E838" s="28" t="s">
        <v>4985</v>
      </c>
      <c r="F838" s="28" t="s">
        <v>21</v>
      </c>
      <c r="G838" s="28" t="s">
        <v>135</v>
      </c>
      <c r="H838" s="28" t="s">
        <v>4986</v>
      </c>
      <c r="I838" s="28" t="s">
        <v>4995</v>
      </c>
      <c r="J838" s="28" t="s">
        <v>135</v>
      </c>
      <c r="K838" s="28" t="s">
        <v>4996</v>
      </c>
      <c r="L838" s="28" t="s">
        <v>1722</v>
      </c>
      <c r="M838" s="28" t="s">
        <v>4989</v>
      </c>
      <c r="N838" s="28" t="s">
        <v>4990</v>
      </c>
      <c r="O838" s="28" t="s">
        <v>4991</v>
      </c>
      <c r="P838" s="28" t="s">
        <v>4992</v>
      </c>
    </row>
    <row r="839" spans="1:16" hidden="1" x14ac:dyDescent="0.25">
      <c r="A839" s="28" t="s">
        <v>4997</v>
      </c>
      <c r="B839" s="28" t="s">
        <v>4998</v>
      </c>
      <c r="C839" s="28" t="s">
        <v>1684</v>
      </c>
      <c r="D839" s="28" t="s">
        <v>4984</v>
      </c>
      <c r="E839" s="28" t="s">
        <v>4985</v>
      </c>
      <c r="F839" s="28" t="s">
        <v>21</v>
      </c>
      <c r="G839" s="28" t="s">
        <v>22</v>
      </c>
      <c r="H839" s="28" t="s">
        <v>4986</v>
      </c>
      <c r="I839" s="28" t="s">
        <v>4999</v>
      </c>
      <c r="J839" s="28" t="s">
        <v>22</v>
      </c>
      <c r="K839" s="28" t="s">
        <v>5000</v>
      </c>
      <c r="L839" s="28" t="s">
        <v>1722</v>
      </c>
      <c r="M839" s="28" t="s">
        <v>5001</v>
      </c>
      <c r="N839" s="28" t="s">
        <v>4990</v>
      </c>
      <c r="O839" s="28" t="s">
        <v>4991</v>
      </c>
      <c r="P839" s="28" t="s">
        <v>5002</v>
      </c>
    </row>
    <row r="840" spans="1:16" hidden="1" x14ac:dyDescent="0.25">
      <c r="A840" s="28" t="s">
        <v>5003</v>
      </c>
      <c r="B840" s="28" t="s">
        <v>5004</v>
      </c>
      <c r="C840" s="28" t="s">
        <v>1684</v>
      </c>
      <c r="D840" s="28" t="s">
        <v>4984</v>
      </c>
      <c r="E840" s="28" t="s">
        <v>4985</v>
      </c>
      <c r="F840" s="28" t="s">
        <v>21</v>
      </c>
      <c r="G840" s="28" t="s">
        <v>22</v>
      </c>
      <c r="H840" s="28" t="s">
        <v>4986</v>
      </c>
      <c r="I840" s="28" t="s">
        <v>5005</v>
      </c>
      <c r="J840" s="28" t="s">
        <v>22</v>
      </c>
      <c r="K840" s="28" t="s">
        <v>5006</v>
      </c>
      <c r="L840" s="28" t="s">
        <v>1722</v>
      </c>
      <c r="M840" s="28" t="s">
        <v>5007</v>
      </c>
      <c r="N840" s="28" t="s">
        <v>4990</v>
      </c>
      <c r="O840" s="28" t="s">
        <v>4991</v>
      </c>
      <c r="P840" s="28" t="s">
        <v>5008</v>
      </c>
    </row>
    <row r="841" spans="1:16" hidden="1" x14ac:dyDescent="0.25">
      <c r="A841" s="28" t="s">
        <v>5009</v>
      </c>
      <c r="B841" s="28" t="s">
        <v>5010</v>
      </c>
      <c r="C841" s="28" t="s">
        <v>1684</v>
      </c>
      <c r="D841" s="28" t="s">
        <v>5011</v>
      </c>
      <c r="E841" s="28" t="s">
        <v>5012</v>
      </c>
      <c r="F841" s="28" t="s">
        <v>21</v>
      </c>
      <c r="G841" s="28" t="s">
        <v>22</v>
      </c>
      <c r="H841" s="28" t="s">
        <v>5013</v>
      </c>
      <c r="I841" s="28" t="s">
        <v>5014</v>
      </c>
      <c r="J841" s="28" t="s">
        <v>22</v>
      </c>
      <c r="K841" s="28" t="s">
        <v>5015</v>
      </c>
      <c r="L841" s="28" t="s">
        <v>1722</v>
      </c>
      <c r="M841" s="28" t="s">
        <v>5016</v>
      </c>
      <c r="N841" s="28" t="s">
        <v>5017</v>
      </c>
      <c r="O841" s="28" t="s">
        <v>5018</v>
      </c>
      <c r="P841" s="28" t="s">
        <v>5019</v>
      </c>
    </row>
    <row r="842" spans="1:16" hidden="1" x14ac:dyDescent="0.25">
      <c r="A842" s="28" t="s">
        <v>5020</v>
      </c>
      <c r="B842" s="28" t="s">
        <v>5021</v>
      </c>
      <c r="C842" s="28" t="s">
        <v>1684</v>
      </c>
      <c r="D842" s="28" t="s">
        <v>1452</v>
      </c>
      <c r="E842" s="28" t="s">
        <v>1453</v>
      </c>
      <c r="F842" s="28" t="s">
        <v>21</v>
      </c>
      <c r="G842" s="28" t="s">
        <v>22</v>
      </c>
      <c r="H842" s="28" t="s">
        <v>5022</v>
      </c>
      <c r="I842" s="28" t="s">
        <v>5023</v>
      </c>
      <c r="J842" s="28" t="s">
        <v>22</v>
      </c>
      <c r="K842" s="28" t="s">
        <v>5024</v>
      </c>
      <c r="L842" s="28" t="s">
        <v>1722</v>
      </c>
      <c r="M842" s="28" t="s">
        <v>5025</v>
      </c>
      <c r="N842" s="28" t="s">
        <v>5026</v>
      </c>
      <c r="O842" s="28" t="s">
        <v>5027</v>
      </c>
      <c r="P842" s="28" t="s">
        <v>5028</v>
      </c>
    </row>
    <row r="843" spans="1:16" hidden="1" x14ac:dyDescent="0.25">
      <c r="A843" s="28" t="s">
        <v>5029</v>
      </c>
      <c r="B843" s="28" t="s">
        <v>5030</v>
      </c>
      <c r="C843" s="28" t="s">
        <v>1684</v>
      </c>
      <c r="D843" s="28" t="s">
        <v>1452</v>
      </c>
      <c r="E843" s="28" t="s">
        <v>1453</v>
      </c>
      <c r="F843" s="28" t="s">
        <v>21</v>
      </c>
      <c r="G843" s="28" t="s">
        <v>22</v>
      </c>
      <c r="H843" s="28" t="s">
        <v>5022</v>
      </c>
      <c r="I843" s="28" t="s">
        <v>5031</v>
      </c>
      <c r="J843" s="28" t="s">
        <v>22</v>
      </c>
      <c r="K843" s="28" t="s">
        <v>5032</v>
      </c>
      <c r="L843" s="28" t="s">
        <v>1722</v>
      </c>
      <c r="M843" s="28" t="s">
        <v>5025</v>
      </c>
      <c r="N843" s="28" t="s">
        <v>5026</v>
      </c>
      <c r="O843" s="28" t="s">
        <v>5027</v>
      </c>
      <c r="P843" s="28" t="s">
        <v>5033</v>
      </c>
    </row>
    <row r="844" spans="1:16" hidden="1" x14ac:dyDescent="0.25">
      <c r="A844" s="28" t="s">
        <v>5034</v>
      </c>
      <c r="B844" s="28" t="s">
        <v>5035</v>
      </c>
      <c r="C844" s="28" t="s">
        <v>1684</v>
      </c>
      <c r="D844" s="28" t="s">
        <v>5036</v>
      </c>
      <c r="E844" s="28" t="s">
        <v>1470</v>
      </c>
      <c r="F844" s="28" t="s">
        <v>21</v>
      </c>
      <c r="G844" s="28" t="s">
        <v>22</v>
      </c>
      <c r="H844" s="28" t="s">
        <v>5037</v>
      </c>
      <c r="I844" s="28" t="s">
        <v>5038</v>
      </c>
      <c r="J844" s="28" t="s">
        <v>22</v>
      </c>
      <c r="K844" s="28" t="s">
        <v>5039</v>
      </c>
      <c r="L844" s="28" t="s">
        <v>1722</v>
      </c>
      <c r="M844" s="28" t="s">
        <v>5040</v>
      </c>
      <c r="N844" s="28" t="s">
        <v>5041</v>
      </c>
      <c r="O844" s="28" t="s">
        <v>5042</v>
      </c>
      <c r="P844" s="28" t="s">
        <v>5043</v>
      </c>
    </row>
    <row r="845" spans="1:16" hidden="1" x14ac:dyDescent="0.25">
      <c r="A845" s="28" t="s">
        <v>5044</v>
      </c>
      <c r="B845" s="28" t="s">
        <v>5045</v>
      </c>
      <c r="C845" s="28" t="s">
        <v>1684</v>
      </c>
      <c r="D845" s="28" t="s">
        <v>5046</v>
      </c>
      <c r="E845" s="28" t="s">
        <v>5047</v>
      </c>
      <c r="F845" s="28" t="s">
        <v>21</v>
      </c>
      <c r="G845" s="28" t="s">
        <v>22</v>
      </c>
      <c r="H845" s="28" t="s">
        <v>5048</v>
      </c>
      <c r="I845" s="28" t="s">
        <v>5049</v>
      </c>
      <c r="J845" s="28" t="s">
        <v>22</v>
      </c>
      <c r="K845" s="28" t="s">
        <v>5050</v>
      </c>
      <c r="L845" s="28" t="s">
        <v>1722</v>
      </c>
      <c r="M845" s="28" t="s">
        <v>5051</v>
      </c>
      <c r="N845" s="28" t="s">
        <v>5052</v>
      </c>
      <c r="O845" s="28" t="s">
        <v>5053</v>
      </c>
      <c r="P845" s="28" t="s">
        <v>5054</v>
      </c>
    </row>
    <row r="846" spans="1:16" x14ac:dyDescent="0.25">
      <c r="A846" s="28" t="s">
        <v>5055</v>
      </c>
      <c r="B846" s="28" t="s">
        <v>5056</v>
      </c>
      <c r="C846" s="28" t="s">
        <v>1684</v>
      </c>
      <c r="D846" s="28" t="s">
        <v>1478</v>
      </c>
      <c r="E846" s="28" t="s">
        <v>5057</v>
      </c>
      <c r="F846" s="28" t="s">
        <v>21</v>
      </c>
      <c r="G846" s="28" t="s">
        <v>39</v>
      </c>
      <c r="H846" s="28" t="s">
        <v>5058</v>
      </c>
      <c r="I846" s="28" t="s">
        <v>5059</v>
      </c>
      <c r="J846" s="28" t="s">
        <v>39</v>
      </c>
      <c r="K846" s="28" t="s">
        <v>5060</v>
      </c>
      <c r="L846" s="28" t="s">
        <v>1722</v>
      </c>
      <c r="M846" s="28" t="s">
        <v>5061</v>
      </c>
      <c r="N846" s="28" t="s">
        <v>5062</v>
      </c>
      <c r="O846" s="28" t="s">
        <v>5063</v>
      </c>
      <c r="P846" s="28" t="s">
        <v>5064</v>
      </c>
    </row>
    <row r="847" spans="1:16" x14ac:dyDescent="0.25">
      <c r="A847" s="28" t="s">
        <v>5065</v>
      </c>
      <c r="B847" s="28" t="s">
        <v>5066</v>
      </c>
      <c r="C847" s="28" t="s">
        <v>1684</v>
      </c>
      <c r="D847" s="28" t="s">
        <v>1478</v>
      </c>
      <c r="E847" s="28" t="s">
        <v>5057</v>
      </c>
      <c r="F847" s="28" t="s">
        <v>21</v>
      </c>
      <c r="G847" s="28" t="s">
        <v>39</v>
      </c>
      <c r="H847" s="28" t="s">
        <v>5058</v>
      </c>
      <c r="I847" s="28" t="s">
        <v>5067</v>
      </c>
      <c r="J847" s="28" t="s">
        <v>39</v>
      </c>
      <c r="K847" s="28" t="s">
        <v>5068</v>
      </c>
      <c r="L847" s="28" t="s">
        <v>1722</v>
      </c>
      <c r="M847" s="28" t="s">
        <v>5069</v>
      </c>
      <c r="N847" s="28" t="s">
        <v>5062</v>
      </c>
      <c r="O847" s="28" t="s">
        <v>5063</v>
      </c>
      <c r="P847" s="28" t="s">
        <v>5070</v>
      </c>
    </row>
    <row r="848" spans="1:16" x14ac:dyDescent="0.25">
      <c r="A848" s="28" t="s">
        <v>5071</v>
      </c>
      <c r="B848" s="28" t="s">
        <v>5072</v>
      </c>
      <c r="C848" s="28" t="s">
        <v>1684</v>
      </c>
      <c r="D848" s="28" t="s">
        <v>19</v>
      </c>
      <c r="E848" s="28" t="s">
        <v>20</v>
      </c>
      <c r="F848" s="28" t="s">
        <v>21</v>
      </c>
      <c r="G848" s="28" t="s">
        <v>135</v>
      </c>
      <c r="H848" s="28" t="s">
        <v>5073</v>
      </c>
      <c r="I848" s="28" t="s">
        <v>5074</v>
      </c>
      <c r="J848" s="28" t="s">
        <v>135</v>
      </c>
      <c r="K848" s="28" t="s">
        <v>5075</v>
      </c>
      <c r="L848" s="28" t="s">
        <v>1722</v>
      </c>
      <c r="M848" s="28" t="s">
        <v>5076</v>
      </c>
      <c r="N848" s="28" t="s">
        <v>5077</v>
      </c>
      <c r="O848" s="28" t="s">
        <v>5078</v>
      </c>
      <c r="P848" s="28" t="s">
        <v>5079</v>
      </c>
    </row>
    <row r="849" spans="1:16" x14ac:dyDescent="0.25">
      <c r="A849" s="28" t="s">
        <v>5080</v>
      </c>
      <c r="B849" s="28" t="s">
        <v>5081</v>
      </c>
      <c r="C849" s="28" t="s">
        <v>1684</v>
      </c>
      <c r="D849" s="28" t="s">
        <v>19</v>
      </c>
      <c r="E849" s="28" t="s">
        <v>4896</v>
      </c>
      <c r="F849" s="28" t="s">
        <v>21</v>
      </c>
      <c r="G849" s="28" t="s">
        <v>39</v>
      </c>
      <c r="H849" s="28" t="s">
        <v>5073</v>
      </c>
      <c r="I849" s="28" t="s">
        <v>5082</v>
      </c>
      <c r="J849" s="28" t="s">
        <v>39</v>
      </c>
      <c r="K849" s="28" t="s">
        <v>5083</v>
      </c>
      <c r="L849" s="28" t="s">
        <v>1722</v>
      </c>
      <c r="M849" s="28" t="s">
        <v>5084</v>
      </c>
      <c r="N849" s="28" t="s">
        <v>5077</v>
      </c>
      <c r="O849" s="28" t="s">
        <v>5078</v>
      </c>
      <c r="P849" s="28" t="s">
        <v>5085</v>
      </c>
    </row>
    <row r="850" spans="1:16" x14ac:dyDescent="0.25">
      <c r="A850" s="28" t="s">
        <v>5086</v>
      </c>
      <c r="B850" s="28" t="s">
        <v>5087</v>
      </c>
      <c r="C850" s="28" t="s">
        <v>1684</v>
      </c>
      <c r="D850" s="28" t="s">
        <v>19</v>
      </c>
      <c r="E850" s="28" t="s">
        <v>4896</v>
      </c>
      <c r="F850" s="28" t="s">
        <v>21</v>
      </c>
      <c r="G850" s="28" t="s">
        <v>39</v>
      </c>
      <c r="H850" s="28" t="s">
        <v>5073</v>
      </c>
      <c r="I850" s="28" t="s">
        <v>5088</v>
      </c>
      <c r="J850" s="28" t="s">
        <v>39</v>
      </c>
      <c r="K850" s="28" t="s">
        <v>5089</v>
      </c>
      <c r="L850" s="28" t="s">
        <v>1722</v>
      </c>
      <c r="M850" s="28" t="s">
        <v>5090</v>
      </c>
      <c r="N850" s="28" t="s">
        <v>5077</v>
      </c>
      <c r="O850" s="28" t="s">
        <v>5078</v>
      </c>
      <c r="P850" s="28" t="s">
        <v>5091</v>
      </c>
    </row>
    <row r="851" spans="1:16" hidden="1" x14ac:dyDescent="0.25">
      <c r="A851" s="28" t="s">
        <v>5092</v>
      </c>
      <c r="B851" s="28" t="s">
        <v>5093</v>
      </c>
      <c r="C851" s="28" t="s">
        <v>1684</v>
      </c>
      <c r="D851" s="28" t="s">
        <v>19</v>
      </c>
      <c r="E851" s="28" t="s">
        <v>4896</v>
      </c>
      <c r="F851" s="28" t="s">
        <v>21</v>
      </c>
      <c r="G851" s="28" t="s">
        <v>22</v>
      </c>
      <c r="H851" s="28" t="s">
        <v>5073</v>
      </c>
      <c r="I851" s="28" t="s">
        <v>5094</v>
      </c>
      <c r="J851" s="28" t="s">
        <v>22</v>
      </c>
      <c r="K851" s="28" t="s">
        <v>5095</v>
      </c>
      <c r="L851" s="28" t="s">
        <v>1722</v>
      </c>
      <c r="M851" s="28" t="s">
        <v>5096</v>
      </c>
      <c r="N851" s="28" t="s">
        <v>5077</v>
      </c>
      <c r="O851" s="28" t="s">
        <v>5078</v>
      </c>
      <c r="P851" s="28" t="s">
        <v>5097</v>
      </c>
    </row>
    <row r="852" spans="1:16" hidden="1" x14ac:dyDescent="0.25">
      <c r="A852" s="28" t="s">
        <v>5098</v>
      </c>
      <c r="B852" s="28" t="s">
        <v>5099</v>
      </c>
      <c r="C852" s="28" t="s">
        <v>1684</v>
      </c>
      <c r="D852" s="28" t="s">
        <v>19</v>
      </c>
      <c r="E852" s="28" t="s">
        <v>4896</v>
      </c>
      <c r="F852" s="28" t="s">
        <v>21</v>
      </c>
      <c r="G852" s="28" t="s">
        <v>22</v>
      </c>
      <c r="H852" s="28" t="s">
        <v>5073</v>
      </c>
      <c r="I852" s="28" t="s">
        <v>5100</v>
      </c>
      <c r="J852" s="28" t="s">
        <v>22</v>
      </c>
      <c r="K852" s="28" t="s">
        <v>5101</v>
      </c>
      <c r="L852" s="28" t="s">
        <v>1722</v>
      </c>
      <c r="M852" s="28" t="s">
        <v>5102</v>
      </c>
      <c r="N852" s="28" t="s">
        <v>5077</v>
      </c>
      <c r="O852" s="28" t="s">
        <v>5078</v>
      </c>
      <c r="P852" s="28" t="s">
        <v>5103</v>
      </c>
    </row>
    <row r="853" spans="1:16" hidden="1" x14ac:dyDescent="0.25">
      <c r="A853" s="28" t="s">
        <v>5104</v>
      </c>
      <c r="B853" s="28" t="s">
        <v>5105</v>
      </c>
      <c r="C853" s="28" t="s">
        <v>1684</v>
      </c>
      <c r="D853" s="28" t="s">
        <v>19</v>
      </c>
      <c r="E853" s="28" t="s">
        <v>196</v>
      </c>
      <c r="F853" s="28" t="s">
        <v>21</v>
      </c>
      <c r="G853" s="28" t="s">
        <v>22</v>
      </c>
      <c r="H853" s="28" t="s">
        <v>5073</v>
      </c>
      <c r="I853" s="28" t="s">
        <v>5106</v>
      </c>
      <c r="J853" s="28" t="s">
        <v>22</v>
      </c>
      <c r="K853" s="28" t="s">
        <v>5107</v>
      </c>
      <c r="L853" s="28" t="s">
        <v>1722</v>
      </c>
      <c r="M853" s="28" t="s">
        <v>5108</v>
      </c>
      <c r="N853" s="28" t="s">
        <v>5077</v>
      </c>
      <c r="O853" s="28" t="s">
        <v>5078</v>
      </c>
      <c r="P853" s="28" t="s">
        <v>5109</v>
      </c>
    </row>
    <row r="854" spans="1:16" hidden="1" x14ac:dyDescent="0.25">
      <c r="A854" s="28" t="s">
        <v>5110</v>
      </c>
      <c r="B854" s="28" t="s">
        <v>5111</v>
      </c>
      <c r="C854" s="28" t="s">
        <v>1684</v>
      </c>
      <c r="D854" s="28" t="s">
        <v>2287</v>
      </c>
      <c r="E854" s="28" t="s">
        <v>2288</v>
      </c>
      <c r="F854" s="28" t="s">
        <v>21</v>
      </c>
      <c r="G854" s="28" t="s">
        <v>22</v>
      </c>
      <c r="H854" s="28" t="s">
        <v>5112</v>
      </c>
      <c r="I854" s="28" t="s">
        <v>5113</v>
      </c>
      <c r="J854" s="28" t="s">
        <v>22</v>
      </c>
      <c r="K854" s="28" t="s">
        <v>5114</v>
      </c>
      <c r="L854" s="28" t="s">
        <v>1722</v>
      </c>
      <c r="M854" s="28" t="s">
        <v>5115</v>
      </c>
      <c r="N854" s="28" t="s">
        <v>5116</v>
      </c>
      <c r="O854" s="28" t="s">
        <v>5117</v>
      </c>
      <c r="P854" s="28" t="s">
        <v>5118</v>
      </c>
    </row>
    <row r="855" spans="1:16" hidden="1" x14ac:dyDescent="0.25">
      <c r="A855" s="28" t="s">
        <v>5119</v>
      </c>
      <c r="B855" s="28" t="s">
        <v>5120</v>
      </c>
      <c r="C855" s="28" t="s">
        <v>1684</v>
      </c>
      <c r="D855" s="28" t="s">
        <v>1604</v>
      </c>
      <c r="E855" s="28" t="s">
        <v>1605</v>
      </c>
      <c r="F855" s="28" t="s">
        <v>21</v>
      </c>
      <c r="G855" s="28" t="s">
        <v>22</v>
      </c>
      <c r="H855" s="28" t="s">
        <v>5121</v>
      </c>
      <c r="I855" s="28" t="s">
        <v>5122</v>
      </c>
      <c r="J855" s="28" t="s">
        <v>22</v>
      </c>
      <c r="K855" s="28" t="s">
        <v>5123</v>
      </c>
      <c r="L855" s="28" t="s">
        <v>1722</v>
      </c>
      <c r="M855" s="28" t="s">
        <v>5124</v>
      </c>
      <c r="N855" s="28" t="s">
        <v>5125</v>
      </c>
      <c r="O855" s="28" t="s">
        <v>5126</v>
      </c>
      <c r="P855" s="28" t="s">
        <v>5127</v>
      </c>
    </row>
    <row r="856" spans="1:16" hidden="1" x14ac:dyDescent="0.25">
      <c r="A856" s="28" t="s">
        <v>5128</v>
      </c>
      <c r="B856" s="28" t="s">
        <v>5129</v>
      </c>
      <c r="C856" s="28" t="s">
        <v>1684</v>
      </c>
      <c r="D856" s="28" t="s">
        <v>2347</v>
      </c>
      <c r="E856" s="28" t="s">
        <v>2348</v>
      </c>
      <c r="F856" s="28" t="s">
        <v>21</v>
      </c>
      <c r="G856" s="28" t="s">
        <v>22</v>
      </c>
      <c r="H856" s="28" t="s">
        <v>5130</v>
      </c>
      <c r="I856" s="28" t="s">
        <v>5131</v>
      </c>
      <c r="J856" s="28" t="s">
        <v>22</v>
      </c>
      <c r="K856" s="28" t="s">
        <v>5132</v>
      </c>
      <c r="L856" s="28" t="s">
        <v>1722</v>
      </c>
      <c r="M856" s="28" t="s">
        <v>5133</v>
      </c>
      <c r="N856" s="28" t="s">
        <v>5134</v>
      </c>
      <c r="O856" s="28" t="s">
        <v>5135</v>
      </c>
      <c r="P856" s="28" t="s">
        <v>5136</v>
      </c>
    </row>
    <row r="857" spans="1:16" hidden="1" x14ac:dyDescent="0.25">
      <c r="A857" s="28" t="s">
        <v>5137</v>
      </c>
      <c r="B857" s="28" t="s">
        <v>5138</v>
      </c>
      <c r="C857" s="28" t="s">
        <v>1684</v>
      </c>
      <c r="D857" s="28" t="s">
        <v>2347</v>
      </c>
      <c r="E857" s="28" t="s">
        <v>2357</v>
      </c>
      <c r="F857" s="28" t="s">
        <v>21</v>
      </c>
      <c r="G857" s="28" t="s">
        <v>22</v>
      </c>
      <c r="H857" s="28" t="s">
        <v>5130</v>
      </c>
      <c r="I857" s="28" t="s">
        <v>5139</v>
      </c>
      <c r="J857" s="28" t="s">
        <v>22</v>
      </c>
      <c r="K857" s="28" t="s">
        <v>5140</v>
      </c>
      <c r="L857" s="28" t="s">
        <v>1722</v>
      </c>
      <c r="M857" s="28" t="s">
        <v>5141</v>
      </c>
      <c r="N857" s="28" t="s">
        <v>5134</v>
      </c>
      <c r="O857" s="28" t="s">
        <v>5135</v>
      </c>
      <c r="P857" s="28" t="s">
        <v>5142</v>
      </c>
    </row>
    <row r="858" spans="1:16" hidden="1" x14ac:dyDescent="0.25">
      <c r="A858" s="28" t="s">
        <v>5143</v>
      </c>
      <c r="B858" s="28" t="s">
        <v>5144</v>
      </c>
      <c r="C858" s="28" t="s">
        <v>1684</v>
      </c>
      <c r="D858" s="28" t="s">
        <v>62</v>
      </c>
      <c r="E858" s="28" t="s">
        <v>1096</v>
      </c>
      <c r="F858" s="28" t="s">
        <v>21</v>
      </c>
      <c r="G858" s="28" t="s">
        <v>22</v>
      </c>
      <c r="H858" s="28" t="s">
        <v>5145</v>
      </c>
      <c r="I858" s="28" t="s">
        <v>5146</v>
      </c>
      <c r="J858" s="28" t="s">
        <v>22</v>
      </c>
      <c r="K858" s="28" t="s">
        <v>5147</v>
      </c>
      <c r="L858" s="28" t="s">
        <v>1722</v>
      </c>
      <c r="M858" s="28" t="s">
        <v>5148</v>
      </c>
      <c r="N858" s="28" t="s">
        <v>5149</v>
      </c>
      <c r="O858" s="28" t="s">
        <v>5150</v>
      </c>
      <c r="P858" s="28" t="s">
        <v>5151</v>
      </c>
    </row>
    <row r="859" spans="1:16" hidden="1" x14ac:dyDescent="0.25">
      <c r="A859" s="28" t="s">
        <v>5152</v>
      </c>
      <c r="B859" s="28" t="s">
        <v>5153</v>
      </c>
      <c r="C859" s="28" t="s">
        <v>1684</v>
      </c>
      <c r="D859" s="28" t="s">
        <v>62</v>
      </c>
      <c r="E859" s="28" t="s">
        <v>5154</v>
      </c>
      <c r="F859" s="28" t="s">
        <v>21</v>
      </c>
      <c r="G859" s="28" t="s">
        <v>22</v>
      </c>
      <c r="H859" s="28" t="s">
        <v>5145</v>
      </c>
      <c r="I859" s="28" t="s">
        <v>5155</v>
      </c>
      <c r="J859" s="28" t="s">
        <v>22</v>
      </c>
      <c r="K859" s="28" t="s">
        <v>5156</v>
      </c>
      <c r="L859" s="28" t="s">
        <v>1722</v>
      </c>
      <c r="M859" s="28" t="s">
        <v>5157</v>
      </c>
      <c r="N859" s="28" t="s">
        <v>5149</v>
      </c>
      <c r="O859" s="28" t="s">
        <v>5150</v>
      </c>
      <c r="P859" s="28" t="s">
        <v>5158</v>
      </c>
    </row>
    <row r="860" spans="1:16" hidden="1" x14ac:dyDescent="0.25">
      <c r="A860" s="28" t="s">
        <v>5159</v>
      </c>
      <c r="B860" s="28" t="s">
        <v>5160</v>
      </c>
      <c r="C860" s="28" t="s">
        <v>1684</v>
      </c>
      <c r="D860" s="28" t="s">
        <v>62</v>
      </c>
      <c r="E860" s="28" t="s">
        <v>5161</v>
      </c>
      <c r="F860" s="28" t="s">
        <v>21</v>
      </c>
      <c r="G860" s="28" t="s">
        <v>22</v>
      </c>
      <c r="H860" s="28" t="s">
        <v>5145</v>
      </c>
      <c r="I860" s="28" t="s">
        <v>5162</v>
      </c>
      <c r="J860" s="28" t="s">
        <v>22</v>
      </c>
      <c r="K860" s="28" t="s">
        <v>5163</v>
      </c>
      <c r="L860" s="28" t="s">
        <v>1722</v>
      </c>
      <c r="M860" s="28" t="s">
        <v>5164</v>
      </c>
      <c r="N860" s="28" t="s">
        <v>5149</v>
      </c>
      <c r="O860" s="28" t="s">
        <v>5150</v>
      </c>
      <c r="P860" s="28" t="s">
        <v>5165</v>
      </c>
    </row>
    <row r="861" spans="1:16" hidden="1" x14ac:dyDescent="0.25">
      <c r="A861" s="28" t="s">
        <v>5166</v>
      </c>
      <c r="B861" s="28" t="s">
        <v>5167</v>
      </c>
      <c r="C861" s="28" t="s">
        <v>1684</v>
      </c>
      <c r="D861" s="28" t="s">
        <v>62</v>
      </c>
      <c r="E861" s="28" t="s">
        <v>5161</v>
      </c>
      <c r="F861" s="28" t="s">
        <v>21</v>
      </c>
      <c r="G861" s="28" t="s">
        <v>22</v>
      </c>
      <c r="H861" s="28" t="s">
        <v>5145</v>
      </c>
      <c r="I861" s="28" t="s">
        <v>5168</v>
      </c>
      <c r="J861" s="28" t="s">
        <v>22</v>
      </c>
      <c r="K861" s="28" t="s">
        <v>5169</v>
      </c>
      <c r="L861" s="28" t="s">
        <v>1722</v>
      </c>
      <c r="M861" s="28" t="s">
        <v>5170</v>
      </c>
      <c r="N861" s="28" t="s">
        <v>5149</v>
      </c>
      <c r="O861" s="28" t="s">
        <v>5150</v>
      </c>
      <c r="P861" s="28" t="s">
        <v>5171</v>
      </c>
    </row>
    <row r="862" spans="1:16" hidden="1" x14ac:dyDescent="0.25">
      <c r="A862" s="28" t="s">
        <v>5172</v>
      </c>
      <c r="B862" s="28" t="s">
        <v>5173</v>
      </c>
      <c r="C862" s="28" t="s">
        <v>1684</v>
      </c>
      <c r="D862" s="28" t="s">
        <v>62</v>
      </c>
      <c r="E862" s="28" t="s">
        <v>5161</v>
      </c>
      <c r="F862" s="28" t="s">
        <v>21</v>
      </c>
      <c r="G862" s="28" t="s">
        <v>22</v>
      </c>
      <c r="H862" s="28" t="s">
        <v>5145</v>
      </c>
      <c r="I862" s="28" t="s">
        <v>5174</v>
      </c>
      <c r="J862" s="28" t="s">
        <v>22</v>
      </c>
      <c r="K862" s="28" t="s">
        <v>5175</v>
      </c>
      <c r="L862" s="28" t="s">
        <v>1722</v>
      </c>
      <c r="M862" s="28" t="s">
        <v>5176</v>
      </c>
      <c r="N862" s="28" t="s">
        <v>5149</v>
      </c>
      <c r="O862" s="28" t="s">
        <v>5150</v>
      </c>
      <c r="P862" s="28" t="s">
        <v>5177</v>
      </c>
    </row>
    <row r="863" spans="1:16" hidden="1" x14ac:dyDescent="0.25">
      <c r="A863" s="28" t="s">
        <v>5178</v>
      </c>
      <c r="B863" s="28" t="s">
        <v>5179</v>
      </c>
      <c r="C863" s="28" t="s">
        <v>1684</v>
      </c>
      <c r="D863" s="28" t="s">
        <v>62</v>
      </c>
      <c r="E863" s="28" t="s">
        <v>5161</v>
      </c>
      <c r="F863" s="28" t="s">
        <v>21</v>
      </c>
      <c r="G863" s="28" t="s">
        <v>22</v>
      </c>
      <c r="H863" s="28" t="s">
        <v>5145</v>
      </c>
      <c r="I863" s="28" t="s">
        <v>5180</v>
      </c>
      <c r="J863" s="28" t="s">
        <v>22</v>
      </c>
      <c r="K863" s="28" t="s">
        <v>5181</v>
      </c>
      <c r="L863" s="28" t="s">
        <v>1722</v>
      </c>
      <c r="M863" s="28" t="s">
        <v>5182</v>
      </c>
      <c r="N863" s="28" t="s">
        <v>5149</v>
      </c>
      <c r="O863" s="28" t="s">
        <v>5150</v>
      </c>
      <c r="P863" s="28" t="s">
        <v>5183</v>
      </c>
    </row>
    <row r="864" spans="1:16" hidden="1" x14ac:dyDescent="0.25">
      <c r="A864" s="28" t="s">
        <v>5184</v>
      </c>
      <c r="B864" s="28" t="s">
        <v>5185</v>
      </c>
      <c r="C864" s="28" t="s">
        <v>1684</v>
      </c>
      <c r="D864" s="28" t="s">
        <v>62</v>
      </c>
      <c r="E864" s="28" t="s">
        <v>5161</v>
      </c>
      <c r="F864" s="28" t="s">
        <v>21</v>
      </c>
      <c r="G864" s="28" t="s">
        <v>22</v>
      </c>
      <c r="H864" s="28" t="s">
        <v>5145</v>
      </c>
      <c r="I864" s="28" t="s">
        <v>5186</v>
      </c>
      <c r="J864" s="28" t="s">
        <v>22</v>
      </c>
      <c r="K864" s="28" t="s">
        <v>5187</v>
      </c>
      <c r="L864" s="28" t="s">
        <v>1722</v>
      </c>
      <c r="M864" s="28" t="s">
        <v>5188</v>
      </c>
      <c r="N864" s="28" t="s">
        <v>5149</v>
      </c>
      <c r="O864" s="28" t="s">
        <v>5150</v>
      </c>
      <c r="P864" s="28" t="s">
        <v>5189</v>
      </c>
    </row>
    <row r="865" spans="1:16" hidden="1" x14ac:dyDescent="0.25">
      <c r="A865" s="28" t="s">
        <v>5190</v>
      </c>
      <c r="B865" s="28" t="s">
        <v>5191</v>
      </c>
      <c r="C865" s="28" t="s">
        <v>1684</v>
      </c>
      <c r="D865" s="28" t="s">
        <v>62</v>
      </c>
      <c r="E865" s="28" t="s">
        <v>5161</v>
      </c>
      <c r="F865" s="28" t="s">
        <v>21</v>
      </c>
      <c r="G865" s="28" t="s">
        <v>22</v>
      </c>
      <c r="H865" s="28" t="s">
        <v>5145</v>
      </c>
      <c r="I865" s="28" t="s">
        <v>5192</v>
      </c>
      <c r="J865" s="28" t="s">
        <v>22</v>
      </c>
      <c r="K865" s="28" t="s">
        <v>5193</v>
      </c>
      <c r="L865" s="28" t="s">
        <v>1722</v>
      </c>
      <c r="M865" s="28" t="s">
        <v>5164</v>
      </c>
      <c r="N865" s="28" t="s">
        <v>5149</v>
      </c>
      <c r="O865" s="28" t="s">
        <v>5150</v>
      </c>
      <c r="P865" s="28" t="s">
        <v>5194</v>
      </c>
    </row>
    <row r="866" spans="1:16" x14ac:dyDescent="0.25">
      <c r="A866" s="28" t="s">
        <v>5195</v>
      </c>
      <c r="B866" s="28" t="s">
        <v>5196</v>
      </c>
      <c r="C866" s="28" t="s">
        <v>1684</v>
      </c>
      <c r="D866" s="28" t="s">
        <v>89</v>
      </c>
      <c r="E866" s="28" t="s">
        <v>5197</v>
      </c>
      <c r="F866" s="28" t="s">
        <v>21</v>
      </c>
      <c r="G866" s="28" t="s">
        <v>39</v>
      </c>
      <c r="H866" s="28" t="s">
        <v>5198</v>
      </c>
      <c r="I866" s="28" t="s">
        <v>5199</v>
      </c>
      <c r="J866" s="28" t="s">
        <v>39</v>
      </c>
      <c r="K866" s="28" t="s">
        <v>5200</v>
      </c>
      <c r="L866" s="28" t="s">
        <v>1722</v>
      </c>
      <c r="M866" s="28" t="s">
        <v>5201</v>
      </c>
      <c r="N866" s="28" t="s">
        <v>5202</v>
      </c>
      <c r="O866" s="28" t="s">
        <v>5203</v>
      </c>
      <c r="P866" s="28" t="s">
        <v>5204</v>
      </c>
    </row>
    <row r="867" spans="1:16" hidden="1" x14ac:dyDescent="0.25">
      <c r="A867" s="28" t="s">
        <v>5205</v>
      </c>
      <c r="B867" s="28" t="s">
        <v>5206</v>
      </c>
      <c r="C867" s="28" t="s">
        <v>1684</v>
      </c>
      <c r="D867" s="28" t="s">
        <v>89</v>
      </c>
      <c r="E867" s="28" t="s">
        <v>5197</v>
      </c>
      <c r="F867" s="28" t="s">
        <v>21</v>
      </c>
      <c r="G867" s="28" t="s">
        <v>22</v>
      </c>
      <c r="H867" s="28" t="s">
        <v>5198</v>
      </c>
      <c r="I867" s="28" t="s">
        <v>5207</v>
      </c>
      <c r="J867" s="28" t="s">
        <v>22</v>
      </c>
      <c r="K867" s="28" t="s">
        <v>5208</v>
      </c>
      <c r="L867" s="28" t="s">
        <v>1722</v>
      </c>
      <c r="M867" s="28" t="s">
        <v>5209</v>
      </c>
      <c r="N867" s="28" t="s">
        <v>5202</v>
      </c>
      <c r="O867" s="28" t="s">
        <v>5203</v>
      </c>
      <c r="P867" s="28" t="s">
        <v>5165</v>
      </c>
    </row>
    <row r="868" spans="1:16" hidden="1" x14ac:dyDescent="0.25">
      <c r="A868" s="28" t="s">
        <v>5210</v>
      </c>
      <c r="B868" s="28" t="s">
        <v>5211</v>
      </c>
      <c r="C868" s="28" t="s">
        <v>1684</v>
      </c>
      <c r="D868" s="28" t="s">
        <v>89</v>
      </c>
      <c r="E868" s="28" t="s">
        <v>5197</v>
      </c>
      <c r="F868" s="28" t="s">
        <v>21</v>
      </c>
      <c r="G868" s="28" t="s">
        <v>22</v>
      </c>
      <c r="H868" s="28" t="s">
        <v>5198</v>
      </c>
      <c r="I868" s="28" t="s">
        <v>5212</v>
      </c>
      <c r="J868" s="28" t="s">
        <v>22</v>
      </c>
      <c r="K868" s="28" t="s">
        <v>5213</v>
      </c>
      <c r="L868" s="28" t="s">
        <v>1722</v>
      </c>
      <c r="M868" s="28" t="s">
        <v>5214</v>
      </c>
      <c r="N868" s="28" t="s">
        <v>5202</v>
      </c>
      <c r="O868" s="28" t="s">
        <v>5203</v>
      </c>
      <c r="P868" s="28" t="s">
        <v>5215</v>
      </c>
    </row>
    <row r="869" spans="1:16" hidden="1" x14ac:dyDescent="0.25">
      <c r="A869" s="28" t="s">
        <v>5216</v>
      </c>
      <c r="B869" s="28" t="s">
        <v>5217</v>
      </c>
      <c r="C869" s="28" t="s">
        <v>1684</v>
      </c>
      <c r="D869" s="28" t="s">
        <v>89</v>
      </c>
      <c r="E869" s="28" t="s">
        <v>5197</v>
      </c>
      <c r="F869" s="28" t="s">
        <v>21</v>
      </c>
      <c r="G869" s="28" t="s">
        <v>22</v>
      </c>
      <c r="H869" s="28" t="s">
        <v>5198</v>
      </c>
      <c r="I869" s="28" t="s">
        <v>5218</v>
      </c>
      <c r="J869" s="28" t="s">
        <v>22</v>
      </c>
      <c r="K869" s="28" t="s">
        <v>5219</v>
      </c>
      <c r="L869" s="28" t="s">
        <v>1722</v>
      </c>
      <c r="M869" s="28" t="s">
        <v>5220</v>
      </c>
      <c r="N869" s="28" t="s">
        <v>5202</v>
      </c>
      <c r="O869" s="28" t="s">
        <v>5203</v>
      </c>
      <c r="P869" s="28" t="s">
        <v>5221</v>
      </c>
    </row>
    <row r="870" spans="1:16" hidden="1" x14ac:dyDescent="0.25">
      <c r="A870" s="28" t="s">
        <v>5222</v>
      </c>
      <c r="B870" s="28" t="s">
        <v>5223</v>
      </c>
      <c r="C870" s="28" t="s">
        <v>1684</v>
      </c>
      <c r="D870" s="28" t="s">
        <v>89</v>
      </c>
      <c r="E870" s="28" t="s">
        <v>5197</v>
      </c>
      <c r="F870" s="28" t="s">
        <v>21</v>
      </c>
      <c r="G870" s="28" t="s">
        <v>22</v>
      </c>
      <c r="H870" s="28" t="s">
        <v>5198</v>
      </c>
      <c r="I870" s="28" t="s">
        <v>5224</v>
      </c>
      <c r="J870" s="28" t="s">
        <v>22</v>
      </c>
      <c r="K870" s="28" t="s">
        <v>5225</v>
      </c>
      <c r="L870" s="28" t="s">
        <v>1722</v>
      </c>
      <c r="M870" s="28" t="s">
        <v>5226</v>
      </c>
      <c r="N870" s="28" t="s">
        <v>5202</v>
      </c>
      <c r="O870" s="28" t="s">
        <v>5203</v>
      </c>
      <c r="P870" s="28" t="s">
        <v>5227</v>
      </c>
    </row>
    <row r="871" spans="1:16" hidden="1" x14ac:dyDescent="0.25">
      <c r="A871" s="28" t="s">
        <v>5228</v>
      </c>
      <c r="B871" s="28" t="s">
        <v>5229</v>
      </c>
      <c r="C871" s="28" t="s">
        <v>1684</v>
      </c>
      <c r="D871" s="28" t="s">
        <v>89</v>
      </c>
      <c r="E871" s="28" t="s">
        <v>5230</v>
      </c>
      <c r="F871" s="28" t="s">
        <v>21</v>
      </c>
      <c r="G871" s="28" t="s">
        <v>22</v>
      </c>
      <c r="H871" s="28" t="s">
        <v>5198</v>
      </c>
      <c r="I871" s="28" t="s">
        <v>5231</v>
      </c>
      <c r="J871" s="28" t="s">
        <v>22</v>
      </c>
      <c r="K871" s="28" t="s">
        <v>5156</v>
      </c>
      <c r="L871" s="28" t="s">
        <v>1722</v>
      </c>
      <c r="M871" s="28" t="s">
        <v>5232</v>
      </c>
      <c r="N871" s="28" t="s">
        <v>5202</v>
      </c>
      <c r="O871" s="28" t="s">
        <v>5203</v>
      </c>
      <c r="P871" s="28" t="s">
        <v>5158</v>
      </c>
    </row>
    <row r="872" spans="1:16" hidden="1" x14ac:dyDescent="0.25">
      <c r="A872" s="28" t="s">
        <v>5233</v>
      </c>
      <c r="B872" s="28" t="s">
        <v>5234</v>
      </c>
      <c r="C872" s="28" t="s">
        <v>1684</v>
      </c>
      <c r="D872" s="28" t="s">
        <v>89</v>
      </c>
      <c r="E872" s="28" t="s">
        <v>5197</v>
      </c>
      <c r="F872" s="28" t="s">
        <v>21</v>
      </c>
      <c r="G872" s="28" t="s">
        <v>22</v>
      </c>
      <c r="H872" s="28" t="s">
        <v>5198</v>
      </c>
      <c r="I872" s="28" t="s">
        <v>5235</v>
      </c>
      <c r="J872" s="28" t="s">
        <v>22</v>
      </c>
      <c r="K872" s="28" t="s">
        <v>5236</v>
      </c>
      <c r="L872" s="28" t="s">
        <v>1722</v>
      </c>
      <c r="M872" s="28" t="s">
        <v>5214</v>
      </c>
      <c r="N872" s="28" t="s">
        <v>5202</v>
      </c>
      <c r="O872" s="28" t="s">
        <v>5203</v>
      </c>
      <c r="P872" s="28" t="s">
        <v>5237</v>
      </c>
    </row>
    <row r="873" spans="1:16" hidden="1" x14ac:dyDescent="0.25">
      <c r="A873" s="28" t="s">
        <v>5238</v>
      </c>
      <c r="B873" s="28" t="s">
        <v>5239</v>
      </c>
      <c r="C873" s="28" t="s">
        <v>1684</v>
      </c>
      <c r="D873" s="28" t="s">
        <v>89</v>
      </c>
      <c r="E873" s="28" t="s">
        <v>5197</v>
      </c>
      <c r="F873" s="28" t="s">
        <v>21</v>
      </c>
      <c r="G873" s="28" t="s">
        <v>22</v>
      </c>
      <c r="H873" s="28" t="s">
        <v>5198</v>
      </c>
      <c r="I873" s="28" t="s">
        <v>5240</v>
      </c>
      <c r="J873" s="28" t="s">
        <v>22</v>
      </c>
      <c r="K873" s="28" t="s">
        <v>5241</v>
      </c>
      <c r="L873" s="28" t="s">
        <v>1722</v>
      </c>
      <c r="M873" s="28" t="s">
        <v>5209</v>
      </c>
      <c r="N873" s="28" t="s">
        <v>5202</v>
      </c>
      <c r="O873" s="28" t="s">
        <v>5203</v>
      </c>
      <c r="P873" s="28" t="s">
        <v>5242</v>
      </c>
    </row>
    <row r="874" spans="1:16" x14ac:dyDescent="0.25">
      <c r="A874" s="28" t="s">
        <v>5243</v>
      </c>
      <c r="B874" s="28" t="s">
        <v>5244</v>
      </c>
      <c r="C874" s="28" t="s">
        <v>1684</v>
      </c>
      <c r="D874" s="28" t="s">
        <v>89</v>
      </c>
      <c r="E874" s="28" t="s">
        <v>5197</v>
      </c>
      <c r="F874" s="28" t="s">
        <v>21</v>
      </c>
      <c r="G874" s="28" t="s">
        <v>39</v>
      </c>
      <c r="H874" s="28" t="s">
        <v>5198</v>
      </c>
      <c r="I874" s="28" t="s">
        <v>5245</v>
      </c>
      <c r="J874" s="28" t="s">
        <v>39</v>
      </c>
      <c r="K874" s="28" t="s">
        <v>5246</v>
      </c>
      <c r="L874" s="28" t="s">
        <v>1722</v>
      </c>
      <c r="M874" s="28" t="s">
        <v>5201</v>
      </c>
      <c r="N874" s="28" t="s">
        <v>5202</v>
      </c>
      <c r="O874" s="28" t="s">
        <v>5203</v>
      </c>
      <c r="P874" s="28" t="s">
        <v>5247</v>
      </c>
    </row>
    <row r="875" spans="1:16" hidden="1" x14ac:dyDescent="0.25">
      <c r="A875" s="28" t="s">
        <v>5248</v>
      </c>
      <c r="B875" s="28" t="s">
        <v>5249</v>
      </c>
      <c r="C875" s="28" t="s">
        <v>1684</v>
      </c>
      <c r="D875" s="28" t="s">
        <v>89</v>
      </c>
      <c r="E875" s="28" t="s">
        <v>5250</v>
      </c>
      <c r="F875" s="28" t="s">
        <v>21</v>
      </c>
      <c r="G875" s="28" t="s">
        <v>22</v>
      </c>
      <c r="H875" s="28" t="s">
        <v>5251</v>
      </c>
      <c r="I875" s="28" t="s">
        <v>5252</v>
      </c>
      <c r="J875" s="28" t="s">
        <v>22</v>
      </c>
      <c r="K875" s="28" t="s">
        <v>5253</v>
      </c>
      <c r="L875" s="28" t="s">
        <v>1722</v>
      </c>
      <c r="M875" s="28" t="s">
        <v>5254</v>
      </c>
      <c r="N875" s="28" t="s">
        <v>5255</v>
      </c>
      <c r="O875" s="28" t="s">
        <v>5256</v>
      </c>
      <c r="P875" s="28" t="s">
        <v>5257</v>
      </c>
    </row>
    <row r="876" spans="1:16" hidden="1" x14ac:dyDescent="0.25">
      <c r="A876" s="28" t="s">
        <v>5258</v>
      </c>
      <c r="B876" s="28" t="s">
        <v>5259</v>
      </c>
      <c r="C876" s="28" t="s">
        <v>1684</v>
      </c>
      <c r="D876" s="28" t="s">
        <v>89</v>
      </c>
      <c r="E876" s="28" t="s">
        <v>5260</v>
      </c>
      <c r="F876" s="28" t="s">
        <v>21</v>
      </c>
      <c r="G876" s="28" t="s">
        <v>22</v>
      </c>
      <c r="H876" s="28" t="s">
        <v>5251</v>
      </c>
      <c r="I876" s="28" t="s">
        <v>5261</v>
      </c>
      <c r="J876" s="28" t="s">
        <v>22</v>
      </c>
      <c r="K876" s="28" t="s">
        <v>5262</v>
      </c>
      <c r="L876" s="28" t="s">
        <v>1722</v>
      </c>
      <c r="M876" s="28" t="s">
        <v>5263</v>
      </c>
      <c r="N876" s="28" t="s">
        <v>5255</v>
      </c>
      <c r="O876" s="28" t="s">
        <v>5256</v>
      </c>
      <c r="P876" s="28" t="s">
        <v>5264</v>
      </c>
    </row>
    <row r="877" spans="1:16" hidden="1" x14ac:dyDescent="0.25">
      <c r="A877" s="28" t="s">
        <v>5265</v>
      </c>
      <c r="B877" s="28" t="s">
        <v>5266</v>
      </c>
      <c r="C877" s="28" t="s">
        <v>4491</v>
      </c>
      <c r="D877" s="28" t="s">
        <v>89</v>
      </c>
      <c r="E877" s="28" t="s">
        <v>5250</v>
      </c>
      <c r="F877" s="28" t="s">
        <v>21</v>
      </c>
      <c r="G877" s="28" t="s">
        <v>22</v>
      </c>
      <c r="H877" s="28" t="s">
        <v>5251</v>
      </c>
      <c r="I877" s="28" t="s">
        <v>5267</v>
      </c>
      <c r="J877" s="28" t="s">
        <v>22</v>
      </c>
      <c r="K877" s="28" t="s">
        <v>5268</v>
      </c>
      <c r="L877" s="28" t="s">
        <v>1722</v>
      </c>
      <c r="M877" s="28" t="s">
        <v>5254</v>
      </c>
      <c r="N877" s="28" t="s">
        <v>5255</v>
      </c>
      <c r="O877" s="28" t="s">
        <v>5256</v>
      </c>
      <c r="P877" s="28" t="s">
        <v>5269</v>
      </c>
    </row>
    <row r="878" spans="1:16" hidden="1" x14ac:dyDescent="0.25">
      <c r="A878" s="28" t="s">
        <v>5270</v>
      </c>
      <c r="B878" s="28" t="s">
        <v>5271</v>
      </c>
      <c r="C878" s="28" t="s">
        <v>4491</v>
      </c>
      <c r="D878" s="28" t="s">
        <v>89</v>
      </c>
      <c r="E878" s="28" t="s">
        <v>5260</v>
      </c>
      <c r="F878" s="28" t="s">
        <v>21</v>
      </c>
      <c r="G878" s="28" t="s">
        <v>22</v>
      </c>
      <c r="H878" s="28" t="s">
        <v>5251</v>
      </c>
      <c r="I878" s="28" t="s">
        <v>5272</v>
      </c>
      <c r="J878" s="28" t="s">
        <v>22</v>
      </c>
      <c r="K878" s="28" t="s">
        <v>5273</v>
      </c>
      <c r="L878" s="28" t="s">
        <v>1722</v>
      </c>
      <c r="M878" s="28" t="s">
        <v>5263</v>
      </c>
      <c r="N878" s="28" t="s">
        <v>5255</v>
      </c>
      <c r="O878" s="28" t="s">
        <v>5256</v>
      </c>
      <c r="P878" s="28" t="s">
        <v>5274</v>
      </c>
    </row>
    <row r="879" spans="1:16" hidden="1" x14ac:dyDescent="0.25">
      <c r="A879" s="28" t="s">
        <v>5275</v>
      </c>
      <c r="B879" s="28" t="s">
        <v>5276</v>
      </c>
      <c r="C879" s="28" t="s">
        <v>1684</v>
      </c>
      <c r="D879" s="28" t="s">
        <v>1204</v>
      </c>
      <c r="E879" s="28" t="s">
        <v>5277</v>
      </c>
      <c r="F879" s="28" t="s">
        <v>21</v>
      </c>
      <c r="G879" s="28" t="s">
        <v>22</v>
      </c>
      <c r="H879" s="28" t="s">
        <v>5278</v>
      </c>
      <c r="I879" s="28" t="s">
        <v>5279</v>
      </c>
      <c r="J879" s="28" t="s">
        <v>22</v>
      </c>
      <c r="K879" s="28" t="s">
        <v>5280</v>
      </c>
      <c r="L879" s="28" t="s">
        <v>1722</v>
      </c>
      <c r="M879" s="28" t="s">
        <v>5281</v>
      </c>
      <c r="N879" s="28" t="s">
        <v>5282</v>
      </c>
      <c r="O879" s="28" t="s">
        <v>5283</v>
      </c>
      <c r="P879" s="28" t="s">
        <v>5284</v>
      </c>
    </row>
    <row r="880" spans="1:16" hidden="1" x14ac:dyDescent="0.25">
      <c r="A880" s="28" t="s">
        <v>5285</v>
      </c>
      <c r="B880" s="28" t="s">
        <v>5286</v>
      </c>
      <c r="C880" s="28" t="s">
        <v>1684</v>
      </c>
      <c r="D880" s="28" t="s">
        <v>69</v>
      </c>
      <c r="E880" s="28" t="s">
        <v>5287</v>
      </c>
      <c r="F880" s="28" t="s">
        <v>21</v>
      </c>
      <c r="G880" s="28" t="s">
        <v>22</v>
      </c>
      <c r="H880" s="28" t="s">
        <v>5288</v>
      </c>
      <c r="I880" s="28" t="s">
        <v>5289</v>
      </c>
      <c r="J880" s="28" t="s">
        <v>22</v>
      </c>
      <c r="K880" s="28" t="s">
        <v>5290</v>
      </c>
      <c r="L880" s="28" t="s">
        <v>1722</v>
      </c>
      <c r="M880" s="28" t="s">
        <v>5291</v>
      </c>
      <c r="N880" s="28" t="s">
        <v>5292</v>
      </c>
      <c r="O880" s="28" t="s">
        <v>5293</v>
      </c>
      <c r="P880" s="28" t="s">
        <v>5294</v>
      </c>
    </row>
    <row r="881" spans="1:16" hidden="1" x14ac:dyDescent="0.25">
      <c r="A881" s="28" t="s">
        <v>5295</v>
      </c>
      <c r="B881" s="28" t="s">
        <v>5296</v>
      </c>
      <c r="C881" s="28" t="s">
        <v>1684</v>
      </c>
      <c r="D881" s="28" t="s">
        <v>69</v>
      </c>
      <c r="E881" s="28" t="s">
        <v>5287</v>
      </c>
      <c r="F881" s="28" t="s">
        <v>21</v>
      </c>
      <c r="G881" s="28" t="s">
        <v>22</v>
      </c>
      <c r="H881" s="28" t="s">
        <v>5288</v>
      </c>
      <c r="I881" s="28" t="s">
        <v>5297</v>
      </c>
      <c r="J881" s="28" t="s">
        <v>22</v>
      </c>
      <c r="K881" s="28" t="s">
        <v>5298</v>
      </c>
      <c r="L881" s="28" t="s">
        <v>1722</v>
      </c>
      <c r="M881" s="28" t="s">
        <v>5299</v>
      </c>
      <c r="N881" s="28" t="s">
        <v>5292</v>
      </c>
      <c r="O881" s="28" t="s">
        <v>5293</v>
      </c>
      <c r="P881" s="28" t="s">
        <v>5300</v>
      </c>
    </row>
    <row r="882" spans="1:16" hidden="1" x14ac:dyDescent="0.25">
      <c r="A882" s="28" t="s">
        <v>5301</v>
      </c>
      <c r="B882" s="28" t="s">
        <v>5302</v>
      </c>
      <c r="C882" s="28" t="s">
        <v>1684</v>
      </c>
      <c r="D882" s="28" t="s">
        <v>2541</v>
      </c>
      <c r="E882" s="28" t="s">
        <v>5303</v>
      </c>
      <c r="F882" s="28" t="s">
        <v>21</v>
      </c>
      <c r="G882" s="28" t="s">
        <v>22</v>
      </c>
      <c r="H882" s="28" t="s">
        <v>5304</v>
      </c>
      <c r="I882" s="28" t="s">
        <v>5305</v>
      </c>
      <c r="J882" s="28" t="s">
        <v>22</v>
      </c>
      <c r="K882" s="28" t="s">
        <v>5280</v>
      </c>
      <c r="L882" s="28" t="s">
        <v>1722</v>
      </c>
      <c r="M882" s="28" t="s">
        <v>5306</v>
      </c>
      <c r="N882" s="28" t="s">
        <v>5307</v>
      </c>
      <c r="O882" s="28" t="s">
        <v>5308</v>
      </c>
      <c r="P882" s="28" t="s">
        <v>5309</v>
      </c>
    </row>
    <row r="883" spans="1:16" hidden="1" x14ac:dyDescent="0.25">
      <c r="A883" s="28" t="s">
        <v>5310</v>
      </c>
      <c r="B883" s="28" t="s">
        <v>5311</v>
      </c>
      <c r="C883" s="28" t="s">
        <v>1684</v>
      </c>
      <c r="D883" s="28" t="s">
        <v>1628</v>
      </c>
      <c r="E883" s="28" t="s">
        <v>5312</v>
      </c>
      <c r="F883" s="28" t="s">
        <v>21</v>
      </c>
      <c r="G883" s="28" t="s">
        <v>22</v>
      </c>
      <c r="H883" s="28" t="s">
        <v>5313</v>
      </c>
      <c r="I883" s="28" t="s">
        <v>5314</v>
      </c>
      <c r="J883" s="28" t="s">
        <v>22</v>
      </c>
      <c r="K883" s="28" t="s">
        <v>5315</v>
      </c>
      <c r="L883" s="28" t="s">
        <v>1722</v>
      </c>
      <c r="M883" s="28" t="s">
        <v>5316</v>
      </c>
      <c r="N883" s="28" t="s">
        <v>5317</v>
      </c>
      <c r="O883" s="28" t="s">
        <v>5318</v>
      </c>
      <c r="P883" s="28" t="s">
        <v>5319</v>
      </c>
    </row>
    <row r="884" spans="1:16" hidden="1" x14ac:dyDescent="0.25">
      <c r="A884" s="28" t="s">
        <v>5320</v>
      </c>
      <c r="B884" s="28" t="s">
        <v>5321</v>
      </c>
      <c r="C884" s="28" t="s">
        <v>1684</v>
      </c>
      <c r="D884" s="28" t="s">
        <v>1628</v>
      </c>
      <c r="E884" s="28" t="s">
        <v>5312</v>
      </c>
      <c r="F884" s="28" t="s">
        <v>21</v>
      </c>
      <c r="G884" s="28" t="s">
        <v>22</v>
      </c>
      <c r="H884" s="28" t="s">
        <v>5313</v>
      </c>
      <c r="I884" s="28" t="s">
        <v>5322</v>
      </c>
      <c r="J884" s="28" t="s">
        <v>22</v>
      </c>
      <c r="K884" s="28" t="s">
        <v>5323</v>
      </c>
      <c r="L884" s="28" t="s">
        <v>1722</v>
      </c>
      <c r="M884" s="28" t="s">
        <v>5324</v>
      </c>
      <c r="N884" s="28" t="s">
        <v>5317</v>
      </c>
      <c r="O884" s="28" t="s">
        <v>5318</v>
      </c>
      <c r="P884" s="28" t="s">
        <v>5325</v>
      </c>
    </row>
    <row r="885" spans="1:16" hidden="1" x14ac:dyDescent="0.25">
      <c r="A885" s="28" t="s">
        <v>5326</v>
      </c>
      <c r="B885" s="28" t="s">
        <v>5327</v>
      </c>
      <c r="C885" s="28" t="s">
        <v>1684</v>
      </c>
      <c r="D885" s="28" t="s">
        <v>5328</v>
      </c>
      <c r="E885" s="28" t="s">
        <v>5329</v>
      </c>
      <c r="F885" s="28" t="s">
        <v>21</v>
      </c>
      <c r="G885" s="28" t="s">
        <v>22</v>
      </c>
      <c r="H885" s="28" t="s">
        <v>5330</v>
      </c>
      <c r="I885" s="28" t="s">
        <v>5331</v>
      </c>
      <c r="J885" s="28" t="s">
        <v>22</v>
      </c>
      <c r="K885" s="28" t="s">
        <v>5332</v>
      </c>
      <c r="L885" s="28" t="s">
        <v>1722</v>
      </c>
      <c r="M885" s="28" t="s">
        <v>5333</v>
      </c>
      <c r="N885" s="28" t="s">
        <v>5334</v>
      </c>
      <c r="O885" s="28" t="s">
        <v>5335</v>
      </c>
      <c r="P885" s="28" t="s">
        <v>5336</v>
      </c>
    </row>
    <row r="886" spans="1:16" hidden="1" x14ac:dyDescent="0.25">
      <c r="A886" s="28" t="s">
        <v>5337</v>
      </c>
      <c r="B886" s="28" t="s">
        <v>5338</v>
      </c>
      <c r="C886" s="28" t="s">
        <v>1684</v>
      </c>
      <c r="D886" s="28" t="s">
        <v>5328</v>
      </c>
      <c r="E886" s="28" t="s">
        <v>5329</v>
      </c>
      <c r="F886" s="28" t="s">
        <v>21</v>
      </c>
      <c r="G886" s="28" t="s">
        <v>22</v>
      </c>
      <c r="H886" s="28" t="s">
        <v>5330</v>
      </c>
      <c r="I886" s="28" t="s">
        <v>5339</v>
      </c>
      <c r="J886" s="28" t="s">
        <v>22</v>
      </c>
      <c r="K886" s="28" t="s">
        <v>5340</v>
      </c>
      <c r="L886" s="28" t="s">
        <v>1722</v>
      </c>
      <c r="M886" s="28" t="s">
        <v>5341</v>
      </c>
      <c r="N886" s="28" t="s">
        <v>5334</v>
      </c>
      <c r="O886" s="28" t="s">
        <v>5335</v>
      </c>
      <c r="P886" s="28" t="s">
        <v>5342</v>
      </c>
    </row>
    <row r="887" spans="1:16" hidden="1" x14ac:dyDescent="0.25">
      <c r="A887" s="28" t="s">
        <v>5343</v>
      </c>
      <c r="B887" s="28" t="s">
        <v>5344</v>
      </c>
      <c r="C887" s="28" t="s">
        <v>1684</v>
      </c>
      <c r="D887" s="28" t="s">
        <v>5328</v>
      </c>
      <c r="E887" s="28" t="s">
        <v>5345</v>
      </c>
      <c r="F887" s="28" t="s">
        <v>21</v>
      </c>
      <c r="G887" s="28" t="s">
        <v>22</v>
      </c>
      <c r="H887" s="28" t="s">
        <v>5346</v>
      </c>
      <c r="I887" s="28" t="s">
        <v>5347</v>
      </c>
      <c r="J887" s="28" t="s">
        <v>22</v>
      </c>
      <c r="K887" s="28" t="s">
        <v>5348</v>
      </c>
      <c r="L887" s="28" t="s">
        <v>1722</v>
      </c>
      <c r="M887" s="28" t="s">
        <v>5349</v>
      </c>
      <c r="N887" s="28" t="s">
        <v>5350</v>
      </c>
      <c r="O887" s="28" t="s">
        <v>5351</v>
      </c>
      <c r="P887" s="28" t="s">
        <v>5352</v>
      </c>
    </row>
    <row r="888" spans="1:16" hidden="1" x14ac:dyDescent="0.25">
      <c r="A888" s="28" t="s">
        <v>5353</v>
      </c>
      <c r="B888" s="28" t="s">
        <v>5354</v>
      </c>
      <c r="C888" s="28" t="s">
        <v>1684</v>
      </c>
      <c r="D888" s="28" t="s">
        <v>5328</v>
      </c>
      <c r="E888" s="28" t="s">
        <v>5355</v>
      </c>
      <c r="F888" s="28" t="s">
        <v>21</v>
      </c>
      <c r="G888" s="28" t="s">
        <v>22</v>
      </c>
      <c r="H888" s="28" t="s">
        <v>5356</v>
      </c>
      <c r="I888" s="28" t="s">
        <v>5357</v>
      </c>
      <c r="J888" s="28" t="s">
        <v>22</v>
      </c>
      <c r="K888" s="28" t="s">
        <v>5358</v>
      </c>
      <c r="L888" s="28" t="s">
        <v>5359</v>
      </c>
      <c r="M888" s="28" t="s">
        <v>5360</v>
      </c>
      <c r="N888" s="28" t="s">
        <v>5361</v>
      </c>
      <c r="O888" s="29">
        <v>46312</v>
      </c>
      <c r="P888" s="28" t="s">
        <v>5362</v>
      </c>
    </row>
    <row r="889" spans="1:16" hidden="1" x14ac:dyDescent="0.25">
      <c r="A889" s="28" t="s">
        <v>5363</v>
      </c>
      <c r="B889" s="28" t="s">
        <v>5364</v>
      </c>
      <c r="C889" s="28" t="s">
        <v>1684</v>
      </c>
      <c r="D889" s="28" t="s">
        <v>5328</v>
      </c>
      <c r="E889" s="28" t="s">
        <v>5365</v>
      </c>
      <c r="F889" s="28" t="s">
        <v>21</v>
      </c>
      <c r="G889" s="28" t="s">
        <v>22</v>
      </c>
      <c r="H889" s="28" t="s">
        <v>5356</v>
      </c>
      <c r="I889" s="28" t="s">
        <v>5366</v>
      </c>
      <c r="J889" s="28" t="s">
        <v>22</v>
      </c>
      <c r="K889" s="28" t="s">
        <v>5367</v>
      </c>
      <c r="L889" s="28" t="s">
        <v>5359</v>
      </c>
      <c r="M889" s="28" t="s">
        <v>5368</v>
      </c>
      <c r="N889" s="28" t="s">
        <v>5361</v>
      </c>
      <c r="O889" s="29">
        <v>46312</v>
      </c>
      <c r="P889" s="28" t="s">
        <v>5369</v>
      </c>
    </row>
    <row r="890" spans="1:16" x14ac:dyDescent="0.25">
      <c r="A890" s="28" t="s">
        <v>5370</v>
      </c>
      <c r="B890" s="28" t="s">
        <v>5371</v>
      </c>
      <c r="C890" s="28" t="s">
        <v>1684</v>
      </c>
      <c r="D890" s="28" t="s">
        <v>5372</v>
      </c>
      <c r="E890" s="28" t="s">
        <v>3005</v>
      </c>
      <c r="F890" s="28" t="s">
        <v>21</v>
      </c>
      <c r="G890" s="28" t="s">
        <v>39</v>
      </c>
      <c r="H890" s="28" t="s">
        <v>5373</v>
      </c>
      <c r="I890" s="28" t="s">
        <v>5374</v>
      </c>
      <c r="J890" s="28" t="s">
        <v>39</v>
      </c>
      <c r="K890" s="28" t="s">
        <v>5375</v>
      </c>
      <c r="L890" s="28" t="s">
        <v>1722</v>
      </c>
      <c r="M890" s="28" t="s">
        <v>5376</v>
      </c>
      <c r="N890" s="28" t="s">
        <v>5377</v>
      </c>
      <c r="O890" s="28" t="s">
        <v>5378</v>
      </c>
      <c r="P890" s="28" t="s">
        <v>5379</v>
      </c>
    </row>
    <row r="891" spans="1:16" x14ac:dyDescent="0.25">
      <c r="A891" s="28" t="s">
        <v>5380</v>
      </c>
      <c r="B891" s="28" t="s">
        <v>5381</v>
      </c>
      <c r="C891" s="28" t="s">
        <v>1684</v>
      </c>
      <c r="D891" s="28" t="s">
        <v>5372</v>
      </c>
      <c r="E891" s="28" t="s">
        <v>3005</v>
      </c>
      <c r="F891" s="28" t="s">
        <v>21</v>
      </c>
      <c r="G891" s="28" t="s">
        <v>39</v>
      </c>
      <c r="H891" s="28" t="s">
        <v>5373</v>
      </c>
      <c r="I891" s="28" t="s">
        <v>5382</v>
      </c>
      <c r="J891" s="28" t="s">
        <v>39</v>
      </c>
      <c r="K891" s="28" t="s">
        <v>5383</v>
      </c>
      <c r="L891" s="28" t="s">
        <v>1722</v>
      </c>
      <c r="M891" s="28" t="s">
        <v>5384</v>
      </c>
      <c r="N891" s="28" t="s">
        <v>5377</v>
      </c>
      <c r="O891" s="28" t="s">
        <v>5378</v>
      </c>
      <c r="P891" s="28" t="s">
        <v>5379</v>
      </c>
    </row>
    <row r="892" spans="1:16" hidden="1" x14ac:dyDescent="0.25">
      <c r="A892" s="28" t="s">
        <v>5385</v>
      </c>
      <c r="B892" s="28" t="s">
        <v>5386</v>
      </c>
      <c r="C892" s="28" t="s">
        <v>1684</v>
      </c>
      <c r="D892" s="28" t="s">
        <v>1810</v>
      </c>
      <c r="E892" s="28" t="s">
        <v>1343</v>
      </c>
      <c r="F892" s="28" t="s">
        <v>21</v>
      </c>
      <c r="G892" s="28" t="s">
        <v>22</v>
      </c>
      <c r="H892" s="28" t="s">
        <v>5387</v>
      </c>
      <c r="I892" s="28" t="s">
        <v>5388</v>
      </c>
      <c r="J892" s="28" t="s">
        <v>22</v>
      </c>
      <c r="K892" s="28" t="s">
        <v>5389</v>
      </c>
      <c r="L892" s="28" t="s">
        <v>1722</v>
      </c>
      <c r="M892" s="28" t="s">
        <v>5390</v>
      </c>
      <c r="N892" s="28" t="s">
        <v>5391</v>
      </c>
      <c r="O892" s="28" t="s">
        <v>5392</v>
      </c>
      <c r="P892" s="28" t="s">
        <v>5393</v>
      </c>
    </row>
    <row r="893" spans="1:16" hidden="1" x14ac:dyDescent="0.25">
      <c r="A893" s="28" t="s">
        <v>5394</v>
      </c>
      <c r="B893" s="28" t="s">
        <v>5395</v>
      </c>
      <c r="C893" s="28" t="s">
        <v>1684</v>
      </c>
      <c r="D893" s="28" t="s">
        <v>1810</v>
      </c>
      <c r="E893" s="28" t="s">
        <v>1343</v>
      </c>
      <c r="F893" s="28" t="s">
        <v>21</v>
      </c>
      <c r="G893" s="28" t="s">
        <v>22</v>
      </c>
      <c r="H893" s="28" t="s">
        <v>5387</v>
      </c>
      <c r="I893" s="28" t="s">
        <v>5396</v>
      </c>
      <c r="J893" s="28" t="s">
        <v>22</v>
      </c>
      <c r="K893" s="28" t="s">
        <v>5397</v>
      </c>
      <c r="L893" s="28" t="s">
        <v>1722</v>
      </c>
      <c r="M893" s="28" t="s">
        <v>5398</v>
      </c>
      <c r="N893" s="28" t="s">
        <v>5391</v>
      </c>
      <c r="O893" s="28" t="s">
        <v>5392</v>
      </c>
      <c r="P893" s="28" t="s">
        <v>5399</v>
      </c>
    </row>
    <row r="894" spans="1:16" hidden="1" x14ac:dyDescent="0.25">
      <c r="A894" s="28" t="s">
        <v>5400</v>
      </c>
      <c r="B894" s="28" t="s">
        <v>5401</v>
      </c>
      <c r="C894" s="28" t="s">
        <v>1684</v>
      </c>
      <c r="D894" s="28" t="s">
        <v>1810</v>
      </c>
      <c r="E894" s="28" t="s">
        <v>1343</v>
      </c>
      <c r="F894" s="28" t="s">
        <v>21</v>
      </c>
      <c r="G894" s="28" t="s">
        <v>22</v>
      </c>
      <c r="H894" s="28" t="s">
        <v>5387</v>
      </c>
      <c r="I894" s="28" t="s">
        <v>5402</v>
      </c>
      <c r="J894" s="28" t="s">
        <v>22</v>
      </c>
      <c r="K894" s="28" t="s">
        <v>5403</v>
      </c>
      <c r="L894" s="28" t="s">
        <v>1722</v>
      </c>
      <c r="M894" s="28" t="s">
        <v>5404</v>
      </c>
      <c r="N894" s="28" t="s">
        <v>5391</v>
      </c>
      <c r="O894" s="28" t="s">
        <v>5392</v>
      </c>
      <c r="P894" s="28" t="s">
        <v>5405</v>
      </c>
    </row>
    <row r="895" spans="1:16" hidden="1" x14ac:dyDescent="0.25">
      <c r="A895" s="28" t="s">
        <v>5406</v>
      </c>
      <c r="B895" s="28" t="s">
        <v>5407</v>
      </c>
      <c r="C895" s="28" t="s">
        <v>1684</v>
      </c>
      <c r="D895" s="28" t="s">
        <v>1810</v>
      </c>
      <c r="E895" s="28" t="s">
        <v>1343</v>
      </c>
      <c r="F895" s="28" t="s">
        <v>21</v>
      </c>
      <c r="G895" s="28" t="s">
        <v>22</v>
      </c>
      <c r="H895" s="28" t="s">
        <v>5387</v>
      </c>
      <c r="I895" s="28" t="s">
        <v>5408</v>
      </c>
      <c r="J895" s="28" t="s">
        <v>22</v>
      </c>
      <c r="K895" s="28" t="s">
        <v>5409</v>
      </c>
      <c r="L895" s="28" t="s">
        <v>1722</v>
      </c>
      <c r="M895" s="28" t="s">
        <v>5410</v>
      </c>
      <c r="N895" s="28" t="s">
        <v>5391</v>
      </c>
      <c r="O895" s="28" t="s">
        <v>5392</v>
      </c>
      <c r="P895" s="28" t="s">
        <v>5411</v>
      </c>
    </row>
    <row r="896" spans="1:16" hidden="1" x14ac:dyDescent="0.25">
      <c r="A896" s="28" t="s">
        <v>5412</v>
      </c>
      <c r="B896" s="28" t="s">
        <v>5413</v>
      </c>
      <c r="C896" s="28" t="s">
        <v>1684</v>
      </c>
      <c r="D896" s="28" t="s">
        <v>4101</v>
      </c>
      <c r="E896" s="28" t="s">
        <v>5414</v>
      </c>
      <c r="F896" s="28" t="s">
        <v>21</v>
      </c>
      <c r="G896" s="28" t="s">
        <v>22</v>
      </c>
      <c r="H896" s="28" t="s">
        <v>5415</v>
      </c>
      <c r="I896" s="28" t="s">
        <v>5416</v>
      </c>
      <c r="J896" s="28" t="s">
        <v>22</v>
      </c>
      <c r="K896" s="28" t="s">
        <v>5417</v>
      </c>
      <c r="L896" s="28" t="s">
        <v>1722</v>
      </c>
      <c r="M896" s="28" t="s">
        <v>5418</v>
      </c>
      <c r="N896" s="28" t="s">
        <v>5419</v>
      </c>
      <c r="O896" s="28" t="s">
        <v>5420</v>
      </c>
      <c r="P896" s="28" t="s">
        <v>5421</v>
      </c>
    </row>
    <row r="897" spans="1:16" hidden="1" x14ac:dyDescent="0.25">
      <c r="A897" s="28" t="s">
        <v>5422</v>
      </c>
      <c r="B897" s="28" t="s">
        <v>5423</v>
      </c>
      <c r="C897" s="28" t="s">
        <v>1684</v>
      </c>
      <c r="D897" s="28" t="s">
        <v>4101</v>
      </c>
      <c r="E897" s="28" t="s">
        <v>5424</v>
      </c>
      <c r="F897" s="28" t="s">
        <v>21</v>
      </c>
      <c r="G897" s="28" t="s">
        <v>22</v>
      </c>
      <c r="H897" s="28" t="s">
        <v>5425</v>
      </c>
      <c r="I897" s="28" t="s">
        <v>5426</v>
      </c>
      <c r="J897" s="28" t="s">
        <v>22</v>
      </c>
      <c r="K897" s="28" t="s">
        <v>5427</v>
      </c>
      <c r="L897" s="28" t="s">
        <v>1722</v>
      </c>
      <c r="M897" s="28" t="s">
        <v>5428</v>
      </c>
      <c r="N897" s="28" t="s">
        <v>5429</v>
      </c>
      <c r="O897" s="28" t="s">
        <v>5430</v>
      </c>
      <c r="P897" s="28" t="s">
        <v>5431</v>
      </c>
    </row>
    <row r="898" spans="1:16" hidden="1" x14ac:dyDescent="0.25">
      <c r="A898" s="28" t="s">
        <v>5432</v>
      </c>
      <c r="B898" s="28" t="s">
        <v>5433</v>
      </c>
      <c r="C898" s="28" t="s">
        <v>1684</v>
      </c>
      <c r="D898" s="28" t="s">
        <v>4101</v>
      </c>
      <c r="E898" s="28" t="s">
        <v>5434</v>
      </c>
      <c r="F898" s="28" t="s">
        <v>21</v>
      </c>
      <c r="G898" s="28" t="s">
        <v>22</v>
      </c>
      <c r="H898" s="28" t="s">
        <v>5435</v>
      </c>
      <c r="I898" s="28" t="s">
        <v>5436</v>
      </c>
      <c r="J898" s="28" t="s">
        <v>22</v>
      </c>
      <c r="K898" s="28" t="s">
        <v>5437</v>
      </c>
      <c r="L898" s="28" t="s">
        <v>1722</v>
      </c>
      <c r="M898" s="28" t="s">
        <v>5438</v>
      </c>
      <c r="N898" s="28" t="s">
        <v>5439</v>
      </c>
      <c r="O898" s="28" t="s">
        <v>5440</v>
      </c>
      <c r="P898" s="28" t="s">
        <v>5441</v>
      </c>
    </row>
    <row r="899" spans="1:16" hidden="1" x14ac:dyDescent="0.25">
      <c r="A899" s="28" t="s">
        <v>5442</v>
      </c>
      <c r="B899" s="28" t="s">
        <v>5443</v>
      </c>
      <c r="C899" s="28" t="s">
        <v>1684</v>
      </c>
      <c r="D899" s="28" t="s">
        <v>4101</v>
      </c>
      <c r="E899" s="28" t="s">
        <v>5434</v>
      </c>
      <c r="F899" s="28" t="s">
        <v>21</v>
      </c>
      <c r="G899" s="28" t="s">
        <v>22</v>
      </c>
      <c r="H899" s="28" t="s">
        <v>5435</v>
      </c>
      <c r="I899" s="28" t="s">
        <v>5444</v>
      </c>
      <c r="J899" s="28" t="s">
        <v>22</v>
      </c>
      <c r="K899" s="28" t="s">
        <v>5445</v>
      </c>
      <c r="L899" s="28" t="s">
        <v>1722</v>
      </c>
      <c r="M899" s="28" t="s">
        <v>5446</v>
      </c>
      <c r="N899" s="28" t="s">
        <v>5439</v>
      </c>
      <c r="O899" s="28" t="s">
        <v>5440</v>
      </c>
      <c r="P899" s="28" t="s">
        <v>5447</v>
      </c>
    </row>
    <row r="900" spans="1:16" hidden="1" x14ac:dyDescent="0.25">
      <c r="A900" s="28" t="s">
        <v>5448</v>
      </c>
      <c r="B900" s="28" t="s">
        <v>5449</v>
      </c>
      <c r="C900" s="28" t="s">
        <v>1684</v>
      </c>
      <c r="D900" s="28" t="s">
        <v>4101</v>
      </c>
      <c r="E900" s="28" t="s">
        <v>5434</v>
      </c>
      <c r="F900" s="28" t="s">
        <v>21</v>
      </c>
      <c r="G900" s="28" t="s">
        <v>22</v>
      </c>
      <c r="H900" s="28" t="s">
        <v>5435</v>
      </c>
      <c r="I900" s="28" t="s">
        <v>5450</v>
      </c>
      <c r="J900" s="28" t="s">
        <v>22</v>
      </c>
      <c r="K900" s="28" t="s">
        <v>5451</v>
      </c>
      <c r="L900" s="28" t="s">
        <v>1722</v>
      </c>
      <c r="M900" s="28" t="s">
        <v>5452</v>
      </c>
      <c r="N900" s="28" t="s">
        <v>5439</v>
      </c>
      <c r="O900" s="28" t="s">
        <v>5440</v>
      </c>
      <c r="P900" s="28" t="s">
        <v>5453</v>
      </c>
    </row>
    <row r="901" spans="1:16" hidden="1" x14ac:dyDescent="0.25">
      <c r="A901" s="28" t="s">
        <v>5454</v>
      </c>
      <c r="B901" s="28" t="s">
        <v>5455</v>
      </c>
      <c r="C901" s="28" t="s">
        <v>1684</v>
      </c>
      <c r="D901" s="28" t="s">
        <v>4101</v>
      </c>
      <c r="E901" s="28" t="s">
        <v>5434</v>
      </c>
      <c r="F901" s="28" t="s">
        <v>21</v>
      </c>
      <c r="G901" s="28" t="s">
        <v>22</v>
      </c>
      <c r="H901" s="28" t="s">
        <v>5435</v>
      </c>
      <c r="I901" s="28" t="s">
        <v>5456</v>
      </c>
      <c r="J901" s="28" t="s">
        <v>22</v>
      </c>
      <c r="K901" s="28" t="s">
        <v>5457</v>
      </c>
      <c r="L901" s="28" t="s">
        <v>1722</v>
      </c>
      <c r="M901" s="28" t="s">
        <v>5446</v>
      </c>
      <c r="N901" s="28" t="s">
        <v>5439</v>
      </c>
      <c r="O901" s="28" t="s">
        <v>5440</v>
      </c>
      <c r="P901" s="28" t="s">
        <v>5458</v>
      </c>
    </row>
    <row r="902" spans="1:16" hidden="1" x14ac:dyDescent="0.25">
      <c r="A902" s="28" t="s">
        <v>5459</v>
      </c>
      <c r="B902" s="28" t="s">
        <v>5460</v>
      </c>
      <c r="C902" s="28" t="s">
        <v>1684</v>
      </c>
      <c r="D902" s="28" t="s">
        <v>4101</v>
      </c>
      <c r="E902" s="28" t="s">
        <v>5461</v>
      </c>
      <c r="F902" s="28" t="s">
        <v>21</v>
      </c>
      <c r="G902" s="28" t="s">
        <v>22</v>
      </c>
      <c r="H902" s="28" t="s">
        <v>5462</v>
      </c>
      <c r="I902" s="28" t="s">
        <v>5463</v>
      </c>
      <c r="J902" s="28" t="s">
        <v>22</v>
      </c>
      <c r="K902" s="28" t="s">
        <v>5464</v>
      </c>
      <c r="L902" s="28" t="s">
        <v>1722</v>
      </c>
      <c r="M902" s="28" t="s">
        <v>5465</v>
      </c>
      <c r="N902" s="28" t="s">
        <v>5466</v>
      </c>
      <c r="O902" s="28" t="s">
        <v>5467</v>
      </c>
      <c r="P902" s="28" t="s">
        <v>5468</v>
      </c>
    </row>
    <row r="903" spans="1:16" hidden="1" x14ac:dyDescent="0.25">
      <c r="A903" s="28" t="s">
        <v>5469</v>
      </c>
      <c r="B903" s="28" t="s">
        <v>5470</v>
      </c>
      <c r="C903" s="28" t="s">
        <v>1684</v>
      </c>
      <c r="D903" s="28" t="s">
        <v>5471</v>
      </c>
      <c r="E903" s="28" t="s">
        <v>5472</v>
      </c>
      <c r="F903" s="28" t="s">
        <v>21</v>
      </c>
      <c r="G903" s="28" t="s">
        <v>22</v>
      </c>
      <c r="H903" s="28" t="s">
        <v>5473</v>
      </c>
      <c r="I903" s="28" t="s">
        <v>5474</v>
      </c>
      <c r="J903" s="28" t="s">
        <v>22</v>
      </c>
      <c r="K903" s="28" t="s">
        <v>5475</v>
      </c>
      <c r="L903" s="28" t="s">
        <v>1722</v>
      </c>
      <c r="M903" s="28" t="s">
        <v>5476</v>
      </c>
      <c r="N903" s="28" t="s">
        <v>5477</v>
      </c>
      <c r="O903" s="28" t="s">
        <v>5478</v>
      </c>
      <c r="P903" s="28" t="s">
        <v>5479</v>
      </c>
    </row>
    <row r="904" spans="1:16" hidden="1" x14ac:dyDescent="0.25">
      <c r="A904" s="28" t="s">
        <v>5480</v>
      </c>
      <c r="B904" s="28" t="s">
        <v>5481</v>
      </c>
      <c r="C904" s="28" t="s">
        <v>1684</v>
      </c>
      <c r="D904" s="28" t="s">
        <v>5482</v>
      </c>
      <c r="E904" s="28" t="s">
        <v>5483</v>
      </c>
      <c r="F904" s="28" t="s">
        <v>21</v>
      </c>
      <c r="G904" s="28" t="s">
        <v>22</v>
      </c>
      <c r="H904" s="28" t="s">
        <v>5484</v>
      </c>
      <c r="I904" s="28" t="s">
        <v>5485</v>
      </c>
      <c r="J904" s="28" t="s">
        <v>22</v>
      </c>
      <c r="K904" s="28" t="s">
        <v>5486</v>
      </c>
      <c r="L904" s="28" t="s">
        <v>1722</v>
      </c>
      <c r="M904" s="28" t="s">
        <v>5487</v>
      </c>
      <c r="N904" s="28" t="s">
        <v>5488</v>
      </c>
      <c r="O904" s="28" t="s">
        <v>5489</v>
      </c>
      <c r="P904" s="28" t="s">
        <v>5490</v>
      </c>
    </row>
    <row r="905" spans="1:16" hidden="1" x14ac:dyDescent="0.25">
      <c r="A905" s="28" t="s">
        <v>5491</v>
      </c>
      <c r="B905" s="28" t="s">
        <v>5492</v>
      </c>
      <c r="C905" s="28" t="s">
        <v>1684</v>
      </c>
      <c r="D905" s="28" t="s">
        <v>101</v>
      </c>
      <c r="E905" s="28" t="s">
        <v>5493</v>
      </c>
      <c r="F905" s="28" t="s">
        <v>21</v>
      </c>
      <c r="G905" s="28" t="s">
        <v>22</v>
      </c>
      <c r="H905" s="28" t="s">
        <v>5494</v>
      </c>
      <c r="I905" s="28" t="s">
        <v>5495</v>
      </c>
      <c r="J905" s="28" t="s">
        <v>22</v>
      </c>
      <c r="K905" s="28" t="s">
        <v>5496</v>
      </c>
      <c r="L905" s="28" t="s">
        <v>1722</v>
      </c>
      <c r="M905" s="28" t="s">
        <v>5497</v>
      </c>
      <c r="N905" s="28" t="s">
        <v>5498</v>
      </c>
      <c r="O905" s="28" t="s">
        <v>5499</v>
      </c>
      <c r="P905" s="28" t="s">
        <v>5500</v>
      </c>
    </row>
    <row r="906" spans="1:16" hidden="1" x14ac:dyDescent="0.25">
      <c r="A906" s="28" t="s">
        <v>5501</v>
      </c>
      <c r="B906" s="28" t="s">
        <v>5502</v>
      </c>
      <c r="C906" s="28" t="s">
        <v>1684</v>
      </c>
      <c r="D906" s="28" t="s">
        <v>101</v>
      </c>
      <c r="E906" s="28" t="s">
        <v>5493</v>
      </c>
      <c r="F906" s="28" t="s">
        <v>21</v>
      </c>
      <c r="G906" s="28" t="s">
        <v>22</v>
      </c>
      <c r="H906" s="28" t="s">
        <v>5494</v>
      </c>
      <c r="I906" s="28" t="s">
        <v>5503</v>
      </c>
      <c r="J906" s="28" t="s">
        <v>22</v>
      </c>
      <c r="K906" s="28" t="s">
        <v>5504</v>
      </c>
      <c r="L906" s="28" t="s">
        <v>1722</v>
      </c>
      <c r="M906" s="28" t="s">
        <v>5505</v>
      </c>
      <c r="N906" s="28" t="s">
        <v>5498</v>
      </c>
      <c r="O906" s="28" t="s">
        <v>5499</v>
      </c>
      <c r="P906" s="28" t="s">
        <v>5506</v>
      </c>
    </row>
    <row r="907" spans="1:16" hidden="1" x14ac:dyDescent="0.25">
      <c r="A907" s="28" t="s">
        <v>5507</v>
      </c>
      <c r="B907" s="28" t="s">
        <v>5508</v>
      </c>
      <c r="C907" s="28" t="s">
        <v>1684</v>
      </c>
      <c r="D907" s="28" t="s">
        <v>101</v>
      </c>
      <c r="E907" s="28" t="s">
        <v>5493</v>
      </c>
      <c r="F907" s="28" t="s">
        <v>21</v>
      </c>
      <c r="G907" s="28" t="s">
        <v>22</v>
      </c>
      <c r="H907" s="28" t="s">
        <v>5494</v>
      </c>
      <c r="I907" s="28" t="s">
        <v>5509</v>
      </c>
      <c r="J907" s="28" t="s">
        <v>22</v>
      </c>
      <c r="K907" s="28" t="s">
        <v>5510</v>
      </c>
      <c r="L907" s="28" t="s">
        <v>1722</v>
      </c>
      <c r="M907" s="28" t="s">
        <v>5511</v>
      </c>
      <c r="N907" s="28" t="s">
        <v>5498</v>
      </c>
      <c r="O907" s="28" t="s">
        <v>5499</v>
      </c>
      <c r="P907" s="28" t="s">
        <v>5512</v>
      </c>
    </row>
    <row r="908" spans="1:16" hidden="1" x14ac:dyDescent="0.25">
      <c r="A908" s="28" t="s">
        <v>5513</v>
      </c>
      <c r="B908" s="28" t="s">
        <v>5514</v>
      </c>
      <c r="C908" s="28" t="s">
        <v>1684</v>
      </c>
      <c r="D908" s="28" t="s">
        <v>101</v>
      </c>
      <c r="E908" s="28" t="s">
        <v>5493</v>
      </c>
      <c r="F908" s="28" t="s">
        <v>21</v>
      </c>
      <c r="G908" s="28" t="s">
        <v>22</v>
      </c>
      <c r="H908" s="28" t="s">
        <v>5494</v>
      </c>
      <c r="I908" s="28" t="s">
        <v>5515</v>
      </c>
      <c r="J908" s="28" t="s">
        <v>22</v>
      </c>
      <c r="K908" s="28" t="s">
        <v>5516</v>
      </c>
      <c r="L908" s="28" t="s">
        <v>1722</v>
      </c>
      <c r="M908" s="28" t="s">
        <v>5517</v>
      </c>
      <c r="N908" s="28" t="s">
        <v>5498</v>
      </c>
      <c r="O908" s="28" t="s">
        <v>5499</v>
      </c>
      <c r="P908" s="28" t="s">
        <v>5518</v>
      </c>
    </row>
    <row r="909" spans="1:16" x14ac:dyDescent="0.25">
      <c r="A909" s="28" t="s">
        <v>5519</v>
      </c>
      <c r="B909" s="28" t="s">
        <v>5520</v>
      </c>
      <c r="C909" s="28" t="s">
        <v>1684</v>
      </c>
      <c r="D909" s="28" t="s">
        <v>101</v>
      </c>
      <c r="E909" s="28" t="s">
        <v>5493</v>
      </c>
      <c r="F909" s="28" t="s">
        <v>21</v>
      </c>
      <c r="G909" s="28" t="s">
        <v>39</v>
      </c>
      <c r="H909" s="28" t="s">
        <v>5494</v>
      </c>
      <c r="I909" s="28" t="s">
        <v>5521</v>
      </c>
      <c r="J909" s="28" t="s">
        <v>39</v>
      </c>
      <c r="K909" s="28" t="s">
        <v>5522</v>
      </c>
      <c r="L909" s="28" t="s">
        <v>1722</v>
      </c>
      <c r="M909" s="28" t="s">
        <v>5523</v>
      </c>
      <c r="N909" s="28" t="s">
        <v>5498</v>
      </c>
      <c r="O909" s="28" t="s">
        <v>5499</v>
      </c>
      <c r="P909" s="28" t="s">
        <v>5524</v>
      </c>
    </row>
    <row r="910" spans="1:16" x14ac:dyDescent="0.25">
      <c r="A910" s="28" t="s">
        <v>5525</v>
      </c>
      <c r="B910" s="28" t="s">
        <v>5526</v>
      </c>
      <c r="C910" s="28" t="s">
        <v>1684</v>
      </c>
      <c r="D910" s="28" t="s">
        <v>101</v>
      </c>
      <c r="E910" s="28" t="s">
        <v>5493</v>
      </c>
      <c r="F910" s="28" t="s">
        <v>21</v>
      </c>
      <c r="G910" s="28" t="s">
        <v>39</v>
      </c>
      <c r="H910" s="28" t="s">
        <v>5494</v>
      </c>
      <c r="I910" s="28" t="s">
        <v>5527</v>
      </c>
      <c r="J910" s="28" t="s">
        <v>39</v>
      </c>
      <c r="K910" s="28" t="s">
        <v>5528</v>
      </c>
      <c r="L910" s="28" t="s">
        <v>1722</v>
      </c>
      <c r="M910" s="28" t="s">
        <v>5529</v>
      </c>
      <c r="N910" s="28" t="s">
        <v>5498</v>
      </c>
      <c r="O910" s="28" t="s">
        <v>5499</v>
      </c>
      <c r="P910" s="28" t="s">
        <v>5530</v>
      </c>
    </row>
    <row r="911" spans="1:16" hidden="1" x14ac:dyDescent="0.25">
      <c r="A911" s="28" t="s">
        <v>5531</v>
      </c>
      <c r="B911" s="28" t="s">
        <v>5532</v>
      </c>
      <c r="C911" s="28" t="s">
        <v>1684</v>
      </c>
      <c r="D911" s="28" t="s">
        <v>101</v>
      </c>
      <c r="E911" s="28" t="s">
        <v>5493</v>
      </c>
      <c r="F911" s="28" t="s">
        <v>21</v>
      </c>
      <c r="G911" s="28" t="s">
        <v>22</v>
      </c>
      <c r="H911" s="28" t="s">
        <v>5494</v>
      </c>
      <c r="I911" s="28" t="s">
        <v>5533</v>
      </c>
      <c r="J911" s="28" t="s">
        <v>22</v>
      </c>
      <c r="K911" s="28" t="s">
        <v>5534</v>
      </c>
      <c r="L911" s="28" t="s">
        <v>1722</v>
      </c>
      <c r="M911" s="28" t="s">
        <v>5535</v>
      </c>
      <c r="N911" s="28" t="s">
        <v>5498</v>
      </c>
      <c r="O911" s="28" t="s">
        <v>5499</v>
      </c>
      <c r="P911" s="28" t="s">
        <v>5536</v>
      </c>
    </row>
    <row r="912" spans="1:16" hidden="1" x14ac:dyDescent="0.25">
      <c r="A912" s="28" t="s">
        <v>5537</v>
      </c>
      <c r="B912" s="28" t="s">
        <v>5538</v>
      </c>
      <c r="C912" s="28" t="s">
        <v>1684</v>
      </c>
      <c r="D912" s="28" t="s">
        <v>101</v>
      </c>
      <c r="E912" s="28" t="s">
        <v>5493</v>
      </c>
      <c r="F912" s="28" t="s">
        <v>21</v>
      </c>
      <c r="G912" s="28" t="s">
        <v>22</v>
      </c>
      <c r="H912" s="28" t="s">
        <v>5494</v>
      </c>
      <c r="I912" s="28" t="s">
        <v>5539</v>
      </c>
      <c r="J912" s="28" t="s">
        <v>22</v>
      </c>
      <c r="K912" s="28" t="s">
        <v>5540</v>
      </c>
      <c r="L912" s="28" t="s">
        <v>1722</v>
      </c>
      <c r="M912" s="28" t="s">
        <v>5541</v>
      </c>
      <c r="N912" s="28" t="s">
        <v>5498</v>
      </c>
      <c r="O912" s="28" t="s">
        <v>5499</v>
      </c>
      <c r="P912" s="28" t="s">
        <v>5542</v>
      </c>
    </row>
    <row r="913" spans="1:16" hidden="1" x14ac:dyDescent="0.25">
      <c r="A913" s="28" t="s">
        <v>5543</v>
      </c>
      <c r="B913" s="28" t="s">
        <v>5544</v>
      </c>
      <c r="C913" s="28" t="s">
        <v>1684</v>
      </c>
      <c r="D913" s="28" t="s">
        <v>101</v>
      </c>
      <c r="E913" s="28" t="s">
        <v>5493</v>
      </c>
      <c r="F913" s="28" t="s">
        <v>21</v>
      </c>
      <c r="G913" s="28" t="s">
        <v>22</v>
      </c>
      <c r="H913" s="28" t="s">
        <v>5494</v>
      </c>
      <c r="I913" s="28" t="s">
        <v>5545</v>
      </c>
      <c r="J913" s="28" t="s">
        <v>22</v>
      </c>
      <c r="K913" s="28" t="s">
        <v>5546</v>
      </c>
      <c r="L913" s="28" t="s">
        <v>1722</v>
      </c>
      <c r="M913" s="28" t="s">
        <v>5547</v>
      </c>
      <c r="N913" s="28" t="s">
        <v>5498</v>
      </c>
      <c r="O913" s="28" t="s">
        <v>5499</v>
      </c>
      <c r="P913" s="28" t="s">
        <v>5548</v>
      </c>
    </row>
    <row r="914" spans="1:16" x14ac:dyDescent="0.25">
      <c r="A914" s="28" t="s">
        <v>5549</v>
      </c>
      <c r="B914" s="28" t="s">
        <v>5550</v>
      </c>
      <c r="C914" s="28" t="s">
        <v>1684</v>
      </c>
      <c r="D914" s="28" t="s">
        <v>101</v>
      </c>
      <c r="E914" s="28" t="s">
        <v>5493</v>
      </c>
      <c r="F914" s="28" t="s">
        <v>21</v>
      </c>
      <c r="G914" s="28" t="s">
        <v>39</v>
      </c>
      <c r="H914" s="28" t="s">
        <v>5494</v>
      </c>
      <c r="I914" s="28" t="s">
        <v>5551</v>
      </c>
      <c r="J914" s="28" t="s">
        <v>39</v>
      </c>
      <c r="K914" s="28" t="s">
        <v>5552</v>
      </c>
      <c r="L914" s="28" t="s">
        <v>1722</v>
      </c>
      <c r="M914" s="28" t="s">
        <v>5529</v>
      </c>
      <c r="N914" s="28" t="s">
        <v>5498</v>
      </c>
      <c r="O914" s="28" t="s">
        <v>5499</v>
      </c>
      <c r="P914" s="28" t="s">
        <v>5553</v>
      </c>
    </row>
    <row r="915" spans="1:16" x14ac:dyDescent="0.25">
      <c r="A915" s="28" t="s">
        <v>5554</v>
      </c>
      <c r="B915" s="28" t="s">
        <v>5555</v>
      </c>
      <c r="C915" s="28" t="s">
        <v>1684</v>
      </c>
      <c r="D915" s="28" t="s">
        <v>101</v>
      </c>
      <c r="E915" s="28" t="s">
        <v>5493</v>
      </c>
      <c r="F915" s="28" t="s">
        <v>21</v>
      </c>
      <c r="G915" s="28" t="s">
        <v>39</v>
      </c>
      <c r="H915" s="28" t="s">
        <v>5494</v>
      </c>
      <c r="I915" s="28" t="s">
        <v>5556</v>
      </c>
      <c r="J915" s="28" t="s">
        <v>39</v>
      </c>
      <c r="K915" s="28" t="s">
        <v>5557</v>
      </c>
      <c r="L915" s="28" t="s">
        <v>1722</v>
      </c>
      <c r="M915" s="28" t="s">
        <v>5523</v>
      </c>
      <c r="N915" s="28" t="s">
        <v>5498</v>
      </c>
      <c r="O915" s="28" t="s">
        <v>5499</v>
      </c>
      <c r="P915" s="28" t="s">
        <v>5558</v>
      </c>
    </row>
    <row r="916" spans="1:16" hidden="1" x14ac:dyDescent="0.25">
      <c r="A916" s="28" t="s">
        <v>5559</v>
      </c>
      <c r="B916" s="28" t="s">
        <v>5560</v>
      </c>
      <c r="C916" s="28" t="s">
        <v>1684</v>
      </c>
      <c r="D916" s="28" t="s">
        <v>101</v>
      </c>
      <c r="E916" s="28" t="s">
        <v>5561</v>
      </c>
      <c r="F916" s="28" t="s">
        <v>21</v>
      </c>
      <c r="G916" s="28" t="s">
        <v>22</v>
      </c>
      <c r="H916" s="28" t="s">
        <v>5562</v>
      </c>
      <c r="I916" s="28" t="s">
        <v>5563</v>
      </c>
      <c r="J916" s="28" t="s">
        <v>22</v>
      </c>
      <c r="K916" s="28" t="s">
        <v>5564</v>
      </c>
      <c r="L916" s="28" t="s">
        <v>1722</v>
      </c>
      <c r="M916" s="28" t="s">
        <v>5565</v>
      </c>
      <c r="N916" s="28" t="s">
        <v>5566</v>
      </c>
      <c r="O916" s="28" t="s">
        <v>5567</v>
      </c>
      <c r="P916" s="28" t="s">
        <v>5568</v>
      </c>
    </row>
    <row r="917" spans="1:16" hidden="1" x14ac:dyDescent="0.25">
      <c r="A917" s="28" t="s">
        <v>5569</v>
      </c>
      <c r="B917" s="28" t="s">
        <v>5570</v>
      </c>
      <c r="C917" s="28" t="s">
        <v>1684</v>
      </c>
      <c r="D917" s="28" t="s">
        <v>101</v>
      </c>
      <c r="E917" s="28" t="s">
        <v>5571</v>
      </c>
      <c r="F917" s="28" t="s">
        <v>21</v>
      </c>
      <c r="G917" s="28" t="s">
        <v>22</v>
      </c>
      <c r="H917" s="28" t="s">
        <v>5572</v>
      </c>
      <c r="I917" s="28" t="s">
        <v>5573</v>
      </c>
      <c r="J917" s="28" t="s">
        <v>22</v>
      </c>
      <c r="K917" s="28" t="s">
        <v>5574</v>
      </c>
      <c r="L917" s="28" t="s">
        <v>1722</v>
      </c>
      <c r="M917" s="28" t="s">
        <v>5575</v>
      </c>
      <c r="N917" s="28" t="s">
        <v>5576</v>
      </c>
      <c r="O917" s="28" t="s">
        <v>5577</v>
      </c>
      <c r="P917" s="28" t="s">
        <v>5578</v>
      </c>
    </row>
    <row r="918" spans="1:16" hidden="1" x14ac:dyDescent="0.25">
      <c r="A918" s="28" t="s">
        <v>5579</v>
      </c>
      <c r="B918" s="28" t="s">
        <v>5580</v>
      </c>
      <c r="C918" s="28" t="s">
        <v>1684</v>
      </c>
      <c r="D918" s="28" t="s">
        <v>101</v>
      </c>
      <c r="E918" s="28" t="s">
        <v>5581</v>
      </c>
      <c r="F918" s="28" t="s">
        <v>21</v>
      </c>
      <c r="G918" s="28" t="s">
        <v>22</v>
      </c>
      <c r="H918" s="28" t="s">
        <v>5582</v>
      </c>
      <c r="I918" s="28" t="s">
        <v>5583</v>
      </c>
      <c r="J918" s="28" t="s">
        <v>22</v>
      </c>
      <c r="K918" s="28" t="s">
        <v>5584</v>
      </c>
      <c r="L918" s="28" t="s">
        <v>1722</v>
      </c>
      <c r="M918" s="28" t="s">
        <v>5585</v>
      </c>
      <c r="N918" s="28" t="s">
        <v>5586</v>
      </c>
      <c r="O918" s="28" t="s">
        <v>5587</v>
      </c>
      <c r="P918" s="28" t="s">
        <v>5588</v>
      </c>
    </row>
    <row r="919" spans="1:16" hidden="1" x14ac:dyDescent="0.25">
      <c r="A919" s="28" t="s">
        <v>5589</v>
      </c>
      <c r="B919" s="28" t="s">
        <v>5590</v>
      </c>
      <c r="C919" s="28" t="s">
        <v>1684</v>
      </c>
      <c r="D919" s="28" t="s">
        <v>101</v>
      </c>
      <c r="E919" s="28" t="s">
        <v>5581</v>
      </c>
      <c r="F919" s="28" t="s">
        <v>21</v>
      </c>
      <c r="G919" s="28" t="s">
        <v>22</v>
      </c>
      <c r="H919" s="28" t="s">
        <v>5582</v>
      </c>
      <c r="I919" s="28" t="s">
        <v>5591</v>
      </c>
      <c r="J919" s="28" t="s">
        <v>22</v>
      </c>
      <c r="K919" s="28" t="s">
        <v>5592</v>
      </c>
      <c r="L919" s="28" t="s">
        <v>1722</v>
      </c>
      <c r="M919" s="28" t="s">
        <v>5593</v>
      </c>
      <c r="N919" s="28" t="s">
        <v>5586</v>
      </c>
      <c r="O919" s="28" t="s">
        <v>5587</v>
      </c>
      <c r="P919" s="28" t="s">
        <v>5594</v>
      </c>
    </row>
    <row r="920" spans="1:16" hidden="1" x14ac:dyDescent="0.25">
      <c r="A920" s="28" t="s">
        <v>5595</v>
      </c>
      <c r="B920" s="28" t="s">
        <v>5596</v>
      </c>
      <c r="C920" s="28" t="s">
        <v>1684</v>
      </c>
      <c r="D920" s="28" t="s">
        <v>101</v>
      </c>
      <c r="E920" s="28" t="s">
        <v>5581</v>
      </c>
      <c r="F920" s="28" t="s">
        <v>21</v>
      </c>
      <c r="G920" s="28" t="s">
        <v>22</v>
      </c>
      <c r="H920" s="28" t="s">
        <v>5582</v>
      </c>
      <c r="I920" s="28" t="s">
        <v>5597</v>
      </c>
      <c r="J920" s="28" t="s">
        <v>22</v>
      </c>
      <c r="K920" s="28" t="s">
        <v>5598</v>
      </c>
      <c r="L920" s="28" t="s">
        <v>1722</v>
      </c>
      <c r="M920" s="28" t="s">
        <v>5599</v>
      </c>
      <c r="N920" s="28" t="s">
        <v>5586</v>
      </c>
      <c r="O920" s="28" t="s">
        <v>5587</v>
      </c>
      <c r="P920" s="28" t="s">
        <v>5600</v>
      </c>
    </row>
    <row r="921" spans="1:16" hidden="1" x14ac:dyDescent="0.25">
      <c r="A921" s="28" t="s">
        <v>5601</v>
      </c>
      <c r="B921" s="28" t="s">
        <v>5602</v>
      </c>
      <c r="C921" s="28" t="s">
        <v>1684</v>
      </c>
      <c r="D921" s="28" t="s">
        <v>101</v>
      </c>
      <c r="E921" s="28" t="s">
        <v>5581</v>
      </c>
      <c r="F921" s="28" t="s">
        <v>21</v>
      </c>
      <c r="G921" s="28" t="s">
        <v>22</v>
      </c>
      <c r="H921" s="28" t="s">
        <v>5582</v>
      </c>
      <c r="I921" s="28" t="s">
        <v>5603</v>
      </c>
      <c r="J921" s="28" t="s">
        <v>22</v>
      </c>
      <c r="K921" s="28" t="s">
        <v>5604</v>
      </c>
      <c r="L921" s="28" t="s">
        <v>1722</v>
      </c>
      <c r="M921" s="28" t="s">
        <v>5605</v>
      </c>
      <c r="N921" s="28" t="s">
        <v>5586</v>
      </c>
      <c r="O921" s="28" t="s">
        <v>5587</v>
      </c>
      <c r="P921" s="28" t="s">
        <v>5606</v>
      </c>
    </row>
    <row r="922" spans="1:16" x14ac:dyDescent="0.25">
      <c r="A922" s="28" t="s">
        <v>5607</v>
      </c>
      <c r="B922" s="28" t="s">
        <v>5608</v>
      </c>
      <c r="C922" s="28" t="s">
        <v>1684</v>
      </c>
      <c r="D922" s="28" t="s">
        <v>101</v>
      </c>
      <c r="E922" s="28" t="s">
        <v>5609</v>
      </c>
      <c r="F922" s="28" t="s">
        <v>21</v>
      </c>
      <c r="G922" s="28" t="s">
        <v>39</v>
      </c>
      <c r="H922" s="28" t="s">
        <v>5610</v>
      </c>
      <c r="I922" s="28" t="s">
        <v>5611</v>
      </c>
      <c r="J922" s="28" t="s">
        <v>39</v>
      </c>
      <c r="K922" s="28" t="s">
        <v>5612</v>
      </c>
      <c r="L922" s="28" t="s">
        <v>1722</v>
      </c>
      <c r="M922" s="28" t="s">
        <v>5613</v>
      </c>
      <c r="N922" s="28" t="s">
        <v>5614</v>
      </c>
      <c r="O922" s="28" t="s">
        <v>5615</v>
      </c>
      <c r="P922" s="28" t="s">
        <v>5616</v>
      </c>
    </row>
    <row r="923" spans="1:16" x14ac:dyDescent="0.25">
      <c r="A923" s="28" t="s">
        <v>5617</v>
      </c>
      <c r="B923" s="28" t="s">
        <v>5618</v>
      </c>
      <c r="C923" s="28" t="s">
        <v>1684</v>
      </c>
      <c r="D923" s="28" t="s">
        <v>101</v>
      </c>
      <c r="E923" s="28" t="s">
        <v>5609</v>
      </c>
      <c r="F923" s="28" t="s">
        <v>21</v>
      </c>
      <c r="G923" s="28" t="s">
        <v>39</v>
      </c>
      <c r="H923" s="28" t="s">
        <v>5610</v>
      </c>
      <c r="I923" s="28" t="s">
        <v>5619</v>
      </c>
      <c r="J923" s="28" t="s">
        <v>39</v>
      </c>
      <c r="K923" s="28" t="s">
        <v>5620</v>
      </c>
      <c r="L923" s="28" t="s">
        <v>1722</v>
      </c>
      <c r="M923" s="28" t="s">
        <v>5621</v>
      </c>
      <c r="N923" s="28" t="s">
        <v>5614</v>
      </c>
      <c r="O923" s="28" t="s">
        <v>5615</v>
      </c>
      <c r="P923" s="28" t="s">
        <v>5622</v>
      </c>
    </row>
    <row r="924" spans="1:16" hidden="1" x14ac:dyDescent="0.25">
      <c r="A924" s="28" t="s">
        <v>5623</v>
      </c>
      <c r="B924" s="28" t="s">
        <v>5624</v>
      </c>
      <c r="C924" s="28" t="s">
        <v>1684</v>
      </c>
      <c r="D924" s="28" t="s">
        <v>101</v>
      </c>
      <c r="E924" s="28" t="s">
        <v>5625</v>
      </c>
      <c r="F924" s="28" t="s">
        <v>21</v>
      </c>
      <c r="G924" s="28" t="s">
        <v>22</v>
      </c>
      <c r="H924" s="28" t="s">
        <v>5626</v>
      </c>
      <c r="I924" s="28" t="s">
        <v>5627</v>
      </c>
      <c r="J924" s="28" t="s">
        <v>22</v>
      </c>
      <c r="K924" s="28" t="s">
        <v>5628</v>
      </c>
      <c r="L924" s="28" t="s">
        <v>1722</v>
      </c>
      <c r="M924" s="28" t="s">
        <v>5629</v>
      </c>
      <c r="N924" s="28" t="s">
        <v>5630</v>
      </c>
      <c r="O924" s="28" t="s">
        <v>5631</v>
      </c>
      <c r="P924" s="28" t="s">
        <v>5632</v>
      </c>
    </row>
    <row r="925" spans="1:16" hidden="1" x14ac:dyDescent="0.25">
      <c r="A925" s="28" t="s">
        <v>5633</v>
      </c>
      <c r="B925" s="28" t="s">
        <v>5634</v>
      </c>
      <c r="C925" s="28" t="s">
        <v>1684</v>
      </c>
      <c r="D925" s="28" t="s">
        <v>101</v>
      </c>
      <c r="E925" s="28" t="s">
        <v>5635</v>
      </c>
      <c r="F925" s="28" t="s">
        <v>21</v>
      </c>
      <c r="G925" s="28" t="s">
        <v>22</v>
      </c>
      <c r="H925" s="28" t="s">
        <v>5636</v>
      </c>
      <c r="I925" s="28" t="s">
        <v>5637</v>
      </c>
      <c r="J925" s="28" t="s">
        <v>22</v>
      </c>
      <c r="K925" s="28" t="s">
        <v>5638</v>
      </c>
      <c r="L925" s="28" t="s">
        <v>1722</v>
      </c>
      <c r="M925" s="28" t="s">
        <v>5639</v>
      </c>
      <c r="N925" s="28" t="s">
        <v>5640</v>
      </c>
      <c r="O925" s="28" t="s">
        <v>5641</v>
      </c>
      <c r="P925" s="28" t="s">
        <v>5642</v>
      </c>
    </row>
    <row r="926" spans="1:16" hidden="1" x14ac:dyDescent="0.25">
      <c r="A926" s="28" t="s">
        <v>5643</v>
      </c>
      <c r="B926" s="28" t="s">
        <v>5644</v>
      </c>
      <c r="C926" s="28" t="s">
        <v>1684</v>
      </c>
      <c r="D926" s="28" t="s">
        <v>101</v>
      </c>
      <c r="E926" s="28" t="s">
        <v>5645</v>
      </c>
      <c r="F926" s="28" t="s">
        <v>21</v>
      </c>
      <c r="G926" s="28" t="s">
        <v>22</v>
      </c>
      <c r="H926" s="28" t="s">
        <v>5646</v>
      </c>
      <c r="I926" s="28" t="s">
        <v>5647</v>
      </c>
      <c r="J926" s="28" t="s">
        <v>22</v>
      </c>
      <c r="K926" s="28" t="s">
        <v>5648</v>
      </c>
      <c r="L926" s="28" t="s">
        <v>1722</v>
      </c>
      <c r="M926" s="28" t="s">
        <v>5649</v>
      </c>
      <c r="N926" s="28" t="s">
        <v>5650</v>
      </c>
      <c r="O926" s="28" t="s">
        <v>5651</v>
      </c>
      <c r="P926" s="28" t="s">
        <v>5652</v>
      </c>
    </row>
    <row r="927" spans="1:16" x14ac:dyDescent="0.25">
      <c r="A927" s="28" t="s">
        <v>5653</v>
      </c>
      <c r="B927" s="28" t="s">
        <v>5654</v>
      </c>
      <c r="C927" s="28" t="s">
        <v>1684</v>
      </c>
      <c r="D927" s="28" t="s">
        <v>101</v>
      </c>
      <c r="E927" s="28" t="s">
        <v>5655</v>
      </c>
      <c r="F927" s="28" t="s">
        <v>21</v>
      </c>
      <c r="G927" s="28" t="s">
        <v>39</v>
      </c>
      <c r="H927" s="28" t="s">
        <v>5656</v>
      </c>
      <c r="I927" s="28" t="s">
        <v>5657</v>
      </c>
      <c r="J927" s="28" t="s">
        <v>39</v>
      </c>
      <c r="K927" s="28" t="s">
        <v>5658</v>
      </c>
      <c r="L927" s="28" t="s">
        <v>1722</v>
      </c>
      <c r="M927" s="28" t="s">
        <v>5659</v>
      </c>
      <c r="N927" s="28" t="s">
        <v>5660</v>
      </c>
      <c r="O927" s="28" t="s">
        <v>5661</v>
      </c>
      <c r="P927" s="28" t="s">
        <v>5662</v>
      </c>
    </row>
    <row r="928" spans="1:16" hidden="1" x14ac:dyDescent="0.25">
      <c r="A928" s="28" t="s">
        <v>5663</v>
      </c>
      <c r="B928" s="28" t="s">
        <v>5664</v>
      </c>
      <c r="C928" s="28" t="s">
        <v>1684</v>
      </c>
      <c r="D928" s="28" t="s">
        <v>101</v>
      </c>
      <c r="E928" s="28" t="s">
        <v>5655</v>
      </c>
      <c r="F928" s="28" t="s">
        <v>21</v>
      </c>
      <c r="G928" s="28" t="s">
        <v>22</v>
      </c>
      <c r="H928" s="28" t="s">
        <v>5656</v>
      </c>
      <c r="I928" s="28" t="s">
        <v>5665</v>
      </c>
      <c r="J928" s="28" t="s">
        <v>22</v>
      </c>
      <c r="K928" s="28" t="s">
        <v>5666</v>
      </c>
      <c r="L928" s="28" t="s">
        <v>1722</v>
      </c>
      <c r="M928" s="28" t="s">
        <v>5667</v>
      </c>
      <c r="N928" s="28" t="s">
        <v>5660</v>
      </c>
      <c r="O928" s="28" t="s">
        <v>5661</v>
      </c>
      <c r="P928" s="28" t="s">
        <v>5668</v>
      </c>
    </row>
    <row r="929" spans="1:16" hidden="1" x14ac:dyDescent="0.25">
      <c r="A929" s="28" t="s">
        <v>5669</v>
      </c>
      <c r="B929" s="28" t="s">
        <v>5670</v>
      </c>
      <c r="C929" s="28" t="s">
        <v>1684</v>
      </c>
      <c r="D929" s="28" t="s">
        <v>101</v>
      </c>
      <c r="E929" s="28" t="s">
        <v>5671</v>
      </c>
      <c r="F929" s="28" t="s">
        <v>21</v>
      </c>
      <c r="G929" s="28" t="s">
        <v>22</v>
      </c>
      <c r="H929" s="28" t="s">
        <v>5672</v>
      </c>
      <c r="I929" s="28" t="s">
        <v>5673</v>
      </c>
      <c r="J929" s="28" t="s">
        <v>22</v>
      </c>
      <c r="K929" s="28" t="s">
        <v>5674</v>
      </c>
      <c r="L929" s="28" t="s">
        <v>1722</v>
      </c>
      <c r="M929" s="28" t="s">
        <v>5675</v>
      </c>
      <c r="N929" s="28" t="s">
        <v>5676</v>
      </c>
      <c r="O929" s="28" t="s">
        <v>5677</v>
      </c>
      <c r="P929" s="28" t="s">
        <v>5678</v>
      </c>
    </row>
    <row r="930" spans="1:16" hidden="1" x14ac:dyDescent="0.25">
      <c r="A930" s="28" t="s">
        <v>5679</v>
      </c>
      <c r="B930" s="28" t="s">
        <v>5680</v>
      </c>
      <c r="C930" s="28" t="s">
        <v>1684</v>
      </c>
      <c r="D930" s="28" t="s">
        <v>101</v>
      </c>
      <c r="E930" s="28" t="s">
        <v>4132</v>
      </c>
      <c r="F930" s="28" t="s">
        <v>21</v>
      </c>
      <c r="G930" s="28" t="s">
        <v>22</v>
      </c>
      <c r="H930" s="28" t="s">
        <v>5681</v>
      </c>
      <c r="I930" s="28" t="s">
        <v>5682</v>
      </c>
      <c r="J930" s="28" t="s">
        <v>22</v>
      </c>
      <c r="K930" s="28" t="s">
        <v>5683</v>
      </c>
      <c r="L930" s="28" t="s">
        <v>1722</v>
      </c>
      <c r="M930" s="28" t="s">
        <v>5684</v>
      </c>
      <c r="N930" s="28" t="s">
        <v>5685</v>
      </c>
      <c r="O930" s="28" t="s">
        <v>5686</v>
      </c>
      <c r="P930" s="28" t="s">
        <v>5687</v>
      </c>
    </row>
    <row r="931" spans="1:16" hidden="1" x14ac:dyDescent="0.25">
      <c r="A931" s="28" t="s">
        <v>5688</v>
      </c>
      <c r="B931" s="28" t="s">
        <v>5689</v>
      </c>
      <c r="C931" s="28" t="s">
        <v>1684</v>
      </c>
      <c r="D931" s="28" t="s">
        <v>101</v>
      </c>
      <c r="E931" s="28" t="s">
        <v>5690</v>
      </c>
      <c r="F931" s="28" t="s">
        <v>21</v>
      </c>
      <c r="G931" s="28" t="s">
        <v>22</v>
      </c>
      <c r="H931" s="28" t="s">
        <v>5691</v>
      </c>
      <c r="I931" s="28" t="s">
        <v>5692</v>
      </c>
      <c r="J931" s="28" t="s">
        <v>22</v>
      </c>
      <c r="K931" s="28" t="s">
        <v>5693</v>
      </c>
      <c r="L931" s="28" t="s">
        <v>1722</v>
      </c>
      <c r="M931" s="28" t="s">
        <v>5694</v>
      </c>
      <c r="N931" s="28" t="s">
        <v>5695</v>
      </c>
      <c r="O931" s="28" t="s">
        <v>5696</v>
      </c>
      <c r="P931" s="28" t="s">
        <v>5697</v>
      </c>
    </row>
    <row r="932" spans="1:16" hidden="1" x14ac:dyDescent="0.25">
      <c r="A932" s="28" t="s">
        <v>5698</v>
      </c>
      <c r="B932" s="28" t="s">
        <v>5699</v>
      </c>
      <c r="C932" s="28" t="s">
        <v>1684</v>
      </c>
      <c r="D932" s="28" t="s">
        <v>101</v>
      </c>
      <c r="E932" s="28" t="s">
        <v>893</v>
      </c>
      <c r="F932" s="28" t="s">
        <v>21</v>
      </c>
      <c r="G932" s="28" t="s">
        <v>22</v>
      </c>
      <c r="H932" s="28" t="s">
        <v>5700</v>
      </c>
      <c r="I932" s="28" t="s">
        <v>5701</v>
      </c>
      <c r="J932" s="28" t="s">
        <v>22</v>
      </c>
      <c r="K932" s="28" t="s">
        <v>5702</v>
      </c>
      <c r="L932" s="28" t="s">
        <v>1722</v>
      </c>
      <c r="M932" s="28" t="s">
        <v>5703</v>
      </c>
      <c r="N932" s="28" t="s">
        <v>5704</v>
      </c>
      <c r="O932" s="28" t="s">
        <v>5705</v>
      </c>
      <c r="P932" s="28" t="s">
        <v>5706</v>
      </c>
    </row>
    <row r="933" spans="1:16" hidden="1" x14ac:dyDescent="0.25">
      <c r="A933" s="28" t="s">
        <v>5707</v>
      </c>
      <c r="B933" s="28" t="s">
        <v>5708</v>
      </c>
      <c r="C933" s="28" t="s">
        <v>1684</v>
      </c>
      <c r="D933" s="28" t="s">
        <v>101</v>
      </c>
      <c r="E933" s="28" t="s">
        <v>893</v>
      </c>
      <c r="F933" s="28" t="s">
        <v>21</v>
      </c>
      <c r="G933" s="28" t="s">
        <v>22</v>
      </c>
      <c r="H933" s="28" t="s">
        <v>5700</v>
      </c>
      <c r="I933" s="28" t="s">
        <v>5709</v>
      </c>
      <c r="J933" s="28" t="s">
        <v>22</v>
      </c>
      <c r="K933" s="28" t="s">
        <v>5710</v>
      </c>
      <c r="L933" s="28" t="s">
        <v>1722</v>
      </c>
      <c r="M933" s="28" t="s">
        <v>5711</v>
      </c>
      <c r="N933" s="28" t="s">
        <v>5704</v>
      </c>
      <c r="O933" s="28" t="s">
        <v>5705</v>
      </c>
      <c r="P933" s="28" t="s">
        <v>5712</v>
      </c>
    </row>
    <row r="934" spans="1:16" hidden="1" x14ac:dyDescent="0.25">
      <c r="A934" s="28" t="s">
        <v>5713</v>
      </c>
      <c r="B934" s="28" t="s">
        <v>5714</v>
      </c>
      <c r="C934" s="28" t="s">
        <v>1684</v>
      </c>
      <c r="D934" s="28" t="s">
        <v>101</v>
      </c>
      <c r="E934" s="28" t="s">
        <v>5715</v>
      </c>
      <c r="F934" s="28" t="s">
        <v>21</v>
      </c>
      <c r="G934" s="28" t="s">
        <v>22</v>
      </c>
      <c r="H934" s="28" t="s">
        <v>5716</v>
      </c>
      <c r="I934" s="28" t="s">
        <v>5717</v>
      </c>
      <c r="J934" s="28" t="s">
        <v>22</v>
      </c>
      <c r="K934" s="28" t="s">
        <v>5718</v>
      </c>
      <c r="L934" s="28" t="s">
        <v>1722</v>
      </c>
      <c r="M934" s="28" t="s">
        <v>5719</v>
      </c>
      <c r="N934" s="28" t="s">
        <v>5720</v>
      </c>
      <c r="O934" s="28" t="s">
        <v>5721</v>
      </c>
      <c r="P934" s="28" t="s">
        <v>5722</v>
      </c>
    </row>
    <row r="935" spans="1:16" hidden="1" x14ac:dyDescent="0.25">
      <c r="A935" s="28" t="s">
        <v>5723</v>
      </c>
      <c r="B935" s="28" t="s">
        <v>5724</v>
      </c>
      <c r="C935" s="28" t="s">
        <v>1684</v>
      </c>
      <c r="D935" s="28" t="s">
        <v>101</v>
      </c>
      <c r="E935" s="28" t="s">
        <v>5725</v>
      </c>
      <c r="F935" s="28" t="s">
        <v>21</v>
      </c>
      <c r="G935" s="28" t="s">
        <v>22</v>
      </c>
      <c r="H935" s="28" t="s">
        <v>5726</v>
      </c>
      <c r="I935" s="28" t="s">
        <v>5727</v>
      </c>
      <c r="J935" s="28" t="s">
        <v>22</v>
      </c>
      <c r="K935" s="28" t="s">
        <v>5728</v>
      </c>
      <c r="L935" s="28" t="s">
        <v>1722</v>
      </c>
      <c r="M935" s="28" t="s">
        <v>5729</v>
      </c>
      <c r="N935" s="28" t="s">
        <v>5730</v>
      </c>
      <c r="O935" s="28" t="s">
        <v>5731</v>
      </c>
      <c r="P935" s="28" t="s">
        <v>5732</v>
      </c>
    </row>
    <row r="936" spans="1:16" hidden="1" x14ac:dyDescent="0.25">
      <c r="A936" s="28" t="s">
        <v>5733</v>
      </c>
      <c r="B936" s="28" t="s">
        <v>5734</v>
      </c>
      <c r="C936" s="28" t="s">
        <v>1684</v>
      </c>
      <c r="D936" s="28" t="s">
        <v>101</v>
      </c>
      <c r="E936" s="28" t="s">
        <v>5735</v>
      </c>
      <c r="F936" s="28" t="s">
        <v>21</v>
      </c>
      <c r="G936" s="28" t="s">
        <v>22</v>
      </c>
      <c r="H936" s="28" t="s">
        <v>5736</v>
      </c>
      <c r="I936" s="28" t="s">
        <v>5737</v>
      </c>
      <c r="J936" s="28" t="s">
        <v>22</v>
      </c>
      <c r="K936" s="28" t="s">
        <v>5738</v>
      </c>
      <c r="L936" s="28" t="s">
        <v>1722</v>
      </c>
      <c r="M936" s="28" t="s">
        <v>5739</v>
      </c>
      <c r="N936" s="28" t="s">
        <v>5740</v>
      </c>
      <c r="O936" s="28" t="s">
        <v>5741</v>
      </c>
      <c r="P936" s="28" t="s">
        <v>5742</v>
      </c>
    </row>
    <row r="937" spans="1:16" hidden="1" x14ac:dyDescent="0.25">
      <c r="A937" s="28" t="s">
        <v>5743</v>
      </c>
      <c r="B937" s="28" t="s">
        <v>5744</v>
      </c>
      <c r="C937" s="28" t="s">
        <v>1684</v>
      </c>
      <c r="D937" s="28" t="s">
        <v>101</v>
      </c>
      <c r="E937" s="28" t="s">
        <v>5745</v>
      </c>
      <c r="F937" s="28" t="s">
        <v>21</v>
      </c>
      <c r="G937" s="28" t="s">
        <v>22</v>
      </c>
      <c r="H937" s="28" t="s">
        <v>5746</v>
      </c>
      <c r="I937" s="28" t="s">
        <v>5747</v>
      </c>
      <c r="J937" s="28" t="s">
        <v>22</v>
      </c>
      <c r="K937" s="28" t="s">
        <v>5748</v>
      </c>
      <c r="L937" s="28" t="s">
        <v>1722</v>
      </c>
      <c r="M937" s="28" t="s">
        <v>5749</v>
      </c>
      <c r="N937" s="28" t="s">
        <v>5750</v>
      </c>
      <c r="O937" s="28" t="s">
        <v>5751</v>
      </c>
      <c r="P937" s="28" t="s">
        <v>5752</v>
      </c>
    </row>
    <row r="938" spans="1:16" hidden="1" x14ac:dyDescent="0.25">
      <c r="A938" s="28" t="s">
        <v>5753</v>
      </c>
      <c r="B938" s="28" t="s">
        <v>5754</v>
      </c>
      <c r="C938" s="28" t="s">
        <v>1684</v>
      </c>
      <c r="D938" s="28" t="s">
        <v>101</v>
      </c>
      <c r="E938" s="28" t="s">
        <v>5755</v>
      </c>
      <c r="F938" s="28" t="s">
        <v>21</v>
      </c>
      <c r="G938" s="28" t="s">
        <v>22</v>
      </c>
      <c r="H938" s="28" t="s">
        <v>5756</v>
      </c>
      <c r="I938" s="28" t="s">
        <v>5757</v>
      </c>
      <c r="J938" s="28" t="s">
        <v>22</v>
      </c>
      <c r="K938" s="28" t="s">
        <v>5758</v>
      </c>
      <c r="L938" s="28" t="s">
        <v>1722</v>
      </c>
      <c r="M938" s="28" t="s">
        <v>5759</v>
      </c>
      <c r="N938" s="28" t="s">
        <v>5760</v>
      </c>
      <c r="O938" s="28" t="s">
        <v>5761</v>
      </c>
      <c r="P938" s="28" t="s">
        <v>5762</v>
      </c>
    </row>
    <row r="939" spans="1:16" hidden="1" x14ac:dyDescent="0.25">
      <c r="A939" s="28" t="s">
        <v>5763</v>
      </c>
      <c r="B939" s="28" t="s">
        <v>5764</v>
      </c>
      <c r="C939" s="28" t="s">
        <v>1684</v>
      </c>
      <c r="D939" s="28" t="s">
        <v>101</v>
      </c>
      <c r="E939" s="28" t="s">
        <v>4148</v>
      </c>
      <c r="F939" s="28" t="s">
        <v>21</v>
      </c>
      <c r="G939" s="28" t="s">
        <v>22</v>
      </c>
      <c r="H939" s="28" t="s">
        <v>5765</v>
      </c>
      <c r="I939" s="28" t="s">
        <v>5766</v>
      </c>
      <c r="J939" s="28" t="s">
        <v>22</v>
      </c>
      <c r="K939" s="28" t="s">
        <v>5767</v>
      </c>
      <c r="L939" s="28" t="s">
        <v>1722</v>
      </c>
      <c r="M939" s="28" t="s">
        <v>5768</v>
      </c>
      <c r="N939" s="28" t="s">
        <v>5769</v>
      </c>
      <c r="O939" s="28" t="s">
        <v>5770</v>
      </c>
      <c r="P939" s="28" t="s">
        <v>5771</v>
      </c>
    </row>
    <row r="940" spans="1:16" hidden="1" x14ac:dyDescent="0.25">
      <c r="A940" s="28" t="s">
        <v>5772</v>
      </c>
      <c r="B940" s="28" t="s">
        <v>5773</v>
      </c>
      <c r="C940" s="28" t="s">
        <v>1684</v>
      </c>
      <c r="D940" s="28" t="s">
        <v>101</v>
      </c>
      <c r="E940" s="28" t="s">
        <v>4148</v>
      </c>
      <c r="F940" s="28" t="s">
        <v>21</v>
      </c>
      <c r="G940" s="28" t="s">
        <v>22</v>
      </c>
      <c r="H940" s="28" t="s">
        <v>5765</v>
      </c>
      <c r="I940" s="28" t="s">
        <v>5774</v>
      </c>
      <c r="J940" s="28" t="s">
        <v>22</v>
      </c>
      <c r="K940" s="28" t="s">
        <v>5775</v>
      </c>
      <c r="L940" s="28" t="s">
        <v>1722</v>
      </c>
      <c r="M940" s="28" t="s">
        <v>5776</v>
      </c>
      <c r="N940" s="28" t="s">
        <v>5769</v>
      </c>
      <c r="O940" s="28" t="s">
        <v>5770</v>
      </c>
      <c r="P940" s="28" t="s">
        <v>5777</v>
      </c>
    </row>
    <row r="941" spans="1:16" hidden="1" x14ac:dyDescent="0.25">
      <c r="A941" s="28" t="s">
        <v>5778</v>
      </c>
      <c r="B941" s="28" t="s">
        <v>5779</v>
      </c>
      <c r="C941" s="28" t="s">
        <v>1684</v>
      </c>
      <c r="D941" s="28" t="s">
        <v>101</v>
      </c>
      <c r="E941" s="28" t="s">
        <v>4148</v>
      </c>
      <c r="F941" s="28" t="s">
        <v>21</v>
      </c>
      <c r="G941" s="28" t="s">
        <v>22</v>
      </c>
      <c r="H941" s="28" t="s">
        <v>5765</v>
      </c>
      <c r="I941" s="28" t="s">
        <v>5780</v>
      </c>
      <c r="J941" s="28" t="s">
        <v>22</v>
      </c>
      <c r="K941" s="28" t="s">
        <v>5781</v>
      </c>
      <c r="L941" s="28" t="s">
        <v>1722</v>
      </c>
      <c r="M941" s="28" t="s">
        <v>5782</v>
      </c>
      <c r="N941" s="28" t="s">
        <v>5769</v>
      </c>
      <c r="O941" s="28" t="s">
        <v>5770</v>
      </c>
      <c r="P941" s="28" t="s">
        <v>5783</v>
      </c>
    </row>
    <row r="942" spans="1:16" hidden="1" x14ac:dyDescent="0.25">
      <c r="A942" s="28" t="s">
        <v>5784</v>
      </c>
      <c r="B942" s="28" t="s">
        <v>5785</v>
      </c>
      <c r="C942" s="28" t="s">
        <v>1684</v>
      </c>
      <c r="D942" s="28" t="s">
        <v>101</v>
      </c>
      <c r="E942" s="28" t="s">
        <v>5786</v>
      </c>
      <c r="F942" s="28" t="s">
        <v>21</v>
      </c>
      <c r="G942" s="28" t="s">
        <v>22</v>
      </c>
      <c r="H942" s="28" t="s">
        <v>5787</v>
      </c>
      <c r="I942" s="28" t="s">
        <v>5788</v>
      </c>
      <c r="J942" s="28" t="s">
        <v>22</v>
      </c>
      <c r="K942" s="28" t="s">
        <v>5789</v>
      </c>
      <c r="L942" s="28" t="s">
        <v>1722</v>
      </c>
      <c r="M942" s="28" t="s">
        <v>5790</v>
      </c>
      <c r="N942" s="28" t="s">
        <v>5791</v>
      </c>
      <c r="O942" s="28" t="s">
        <v>5792</v>
      </c>
      <c r="P942" s="28" t="s">
        <v>5793</v>
      </c>
    </row>
    <row r="943" spans="1:16" hidden="1" x14ac:dyDescent="0.25">
      <c r="A943" s="28" t="s">
        <v>5794</v>
      </c>
      <c r="B943" s="28" t="s">
        <v>5795</v>
      </c>
      <c r="C943" s="28" t="s">
        <v>1684</v>
      </c>
      <c r="D943" s="28" t="s">
        <v>101</v>
      </c>
      <c r="E943" s="28" t="s">
        <v>5796</v>
      </c>
      <c r="F943" s="28" t="s">
        <v>21</v>
      </c>
      <c r="G943" s="28" t="s">
        <v>22</v>
      </c>
      <c r="H943" s="28" t="s">
        <v>5797</v>
      </c>
      <c r="I943" s="28" t="s">
        <v>5798</v>
      </c>
      <c r="J943" s="28" t="s">
        <v>22</v>
      </c>
      <c r="K943" s="28" t="s">
        <v>5799</v>
      </c>
      <c r="L943" s="28" t="s">
        <v>1722</v>
      </c>
      <c r="M943" s="28" t="s">
        <v>5800</v>
      </c>
      <c r="N943" s="28" t="s">
        <v>5801</v>
      </c>
      <c r="O943" s="28" t="s">
        <v>5802</v>
      </c>
      <c r="P943" s="28" t="s">
        <v>5803</v>
      </c>
    </row>
    <row r="944" spans="1:16" hidden="1" x14ac:dyDescent="0.25">
      <c r="A944" s="28" t="s">
        <v>5804</v>
      </c>
      <c r="B944" s="28" t="s">
        <v>5805</v>
      </c>
      <c r="C944" s="28" t="s">
        <v>1684</v>
      </c>
      <c r="D944" s="28" t="s">
        <v>101</v>
      </c>
      <c r="E944" s="28" t="s">
        <v>5806</v>
      </c>
      <c r="F944" s="28" t="s">
        <v>21</v>
      </c>
      <c r="G944" s="28" t="s">
        <v>22</v>
      </c>
      <c r="H944" s="28" t="s">
        <v>5807</v>
      </c>
      <c r="I944" s="28" t="s">
        <v>5808</v>
      </c>
      <c r="J944" s="28" t="s">
        <v>22</v>
      </c>
      <c r="K944" s="28" t="s">
        <v>5809</v>
      </c>
      <c r="L944" s="28" t="s">
        <v>1722</v>
      </c>
      <c r="M944" s="28" t="s">
        <v>5810</v>
      </c>
      <c r="N944" s="28" t="s">
        <v>5811</v>
      </c>
      <c r="O944" s="28" t="s">
        <v>5812</v>
      </c>
      <c r="P944" s="28" t="s">
        <v>5813</v>
      </c>
    </row>
    <row r="945" spans="1:16" hidden="1" x14ac:dyDescent="0.25">
      <c r="A945" s="28" t="s">
        <v>5814</v>
      </c>
      <c r="B945" s="28" t="s">
        <v>5815</v>
      </c>
      <c r="C945" s="28" t="s">
        <v>1684</v>
      </c>
      <c r="D945" s="28" t="s">
        <v>101</v>
      </c>
      <c r="E945" s="28" t="s">
        <v>5816</v>
      </c>
      <c r="F945" s="28" t="s">
        <v>21</v>
      </c>
      <c r="G945" s="28" t="s">
        <v>22</v>
      </c>
      <c r="H945" s="28" t="s">
        <v>5817</v>
      </c>
      <c r="I945" s="28" t="s">
        <v>5818</v>
      </c>
      <c r="J945" s="28" t="s">
        <v>22</v>
      </c>
      <c r="K945" s="28" t="s">
        <v>5819</v>
      </c>
      <c r="L945" s="28" t="s">
        <v>1722</v>
      </c>
      <c r="M945" s="28" t="s">
        <v>5820</v>
      </c>
      <c r="N945" s="28" t="s">
        <v>5821</v>
      </c>
      <c r="O945" s="28" t="s">
        <v>5822</v>
      </c>
      <c r="P945" s="28" t="s">
        <v>5823</v>
      </c>
    </row>
    <row r="946" spans="1:16" hidden="1" x14ac:dyDescent="0.25">
      <c r="A946" s="28" t="s">
        <v>5824</v>
      </c>
      <c r="B946" s="28" t="s">
        <v>5825</v>
      </c>
      <c r="C946" s="28" t="s">
        <v>1684</v>
      </c>
      <c r="D946" s="28" t="s">
        <v>101</v>
      </c>
      <c r="E946" s="28" t="s">
        <v>5816</v>
      </c>
      <c r="F946" s="28" t="s">
        <v>21</v>
      </c>
      <c r="G946" s="28" t="s">
        <v>22</v>
      </c>
      <c r="H946" s="28" t="s">
        <v>5817</v>
      </c>
      <c r="I946" s="28" t="s">
        <v>5826</v>
      </c>
      <c r="J946" s="28" t="s">
        <v>22</v>
      </c>
      <c r="K946" s="28" t="s">
        <v>5827</v>
      </c>
      <c r="L946" s="28" t="s">
        <v>1722</v>
      </c>
      <c r="M946" s="28" t="s">
        <v>5820</v>
      </c>
      <c r="N946" s="28" t="s">
        <v>5821</v>
      </c>
      <c r="O946" s="28" t="s">
        <v>5822</v>
      </c>
      <c r="P946" s="28" t="s">
        <v>5828</v>
      </c>
    </row>
    <row r="947" spans="1:16" hidden="1" x14ac:dyDescent="0.25">
      <c r="A947" s="28" t="s">
        <v>5829</v>
      </c>
      <c r="B947" s="28" t="s">
        <v>5830</v>
      </c>
      <c r="C947" s="28" t="s">
        <v>1684</v>
      </c>
      <c r="D947" s="28" t="s">
        <v>101</v>
      </c>
      <c r="E947" s="28" t="s">
        <v>5831</v>
      </c>
      <c r="F947" s="28" t="s">
        <v>21</v>
      </c>
      <c r="G947" s="28" t="s">
        <v>22</v>
      </c>
      <c r="H947" s="28" t="s">
        <v>5832</v>
      </c>
      <c r="I947" s="28" t="s">
        <v>5833</v>
      </c>
      <c r="J947" s="28" t="s">
        <v>22</v>
      </c>
      <c r="K947" s="28" t="s">
        <v>5834</v>
      </c>
      <c r="L947" s="28" t="s">
        <v>1722</v>
      </c>
      <c r="M947" s="28" t="s">
        <v>5835</v>
      </c>
      <c r="N947" s="28" t="s">
        <v>5836</v>
      </c>
      <c r="O947" s="28" t="s">
        <v>5837</v>
      </c>
      <c r="P947" s="28" t="s">
        <v>5838</v>
      </c>
    </row>
    <row r="948" spans="1:16" hidden="1" x14ac:dyDescent="0.25">
      <c r="A948" s="28" t="s">
        <v>5839</v>
      </c>
      <c r="B948" s="28" t="s">
        <v>5840</v>
      </c>
      <c r="C948" s="28" t="s">
        <v>1684</v>
      </c>
      <c r="D948" s="28" t="s">
        <v>101</v>
      </c>
      <c r="E948" s="28" t="s">
        <v>5841</v>
      </c>
      <c r="F948" s="28" t="s">
        <v>21</v>
      </c>
      <c r="G948" s="28" t="s">
        <v>22</v>
      </c>
      <c r="H948" s="28" t="s">
        <v>5842</v>
      </c>
      <c r="I948" s="28" t="s">
        <v>5843</v>
      </c>
      <c r="J948" s="28" t="s">
        <v>22</v>
      </c>
      <c r="K948" s="28" t="s">
        <v>5844</v>
      </c>
      <c r="L948" s="28" t="s">
        <v>1722</v>
      </c>
      <c r="M948" s="28" t="s">
        <v>5845</v>
      </c>
      <c r="N948" s="28" t="s">
        <v>5846</v>
      </c>
      <c r="O948" s="28" t="s">
        <v>5847</v>
      </c>
      <c r="P948" s="28" t="s">
        <v>5848</v>
      </c>
    </row>
    <row r="949" spans="1:16" hidden="1" x14ac:dyDescent="0.25">
      <c r="A949" s="28" t="s">
        <v>5849</v>
      </c>
      <c r="B949" s="28" t="s">
        <v>5850</v>
      </c>
      <c r="C949" s="28" t="s">
        <v>1684</v>
      </c>
      <c r="D949" s="28" t="s">
        <v>101</v>
      </c>
      <c r="E949" s="28" t="s">
        <v>881</v>
      </c>
      <c r="F949" s="28" t="s">
        <v>21</v>
      </c>
      <c r="G949" s="28" t="s">
        <v>22</v>
      </c>
      <c r="H949" s="28" t="s">
        <v>5851</v>
      </c>
      <c r="I949" s="28" t="s">
        <v>5852</v>
      </c>
      <c r="J949" s="28" t="s">
        <v>22</v>
      </c>
      <c r="K949" s="28" t="s">
        <v>5853</v>
      </c>
      <c r="L949" s="28" t="s">
        <v>1722</v>
      </c>
      <c r="M949" s="28" t="s">
        <v>5854</v>
      </c>
      <c r="N949" s="28" t="s">
        <v>5855</v>
      </c>
      <c r="O949" s="28" t="s">
        <v>5856</v>
      </c>
      <c r="P949" s="28" t="s">
        <v>5857</v>
      </c>
    </row>
    <row r="950" spans="1:16" hidden="1" x14ac:dyDescent="0.25">
      <c r="A950" s="28" t="s">
        <v>5858</v>
      </c>
      <c r="B950" s="28" t="s">
        <v>5859</v>
      </c>
      <c r="C950" s="28" t="s">
        <v>1684</v>
      </c>
      <c r="D950" s="28" t="s">
        <v>101</v>
      </c>
      <c r="E950" s="28" t="s">
        <v>5860</v>
      </c>
      <c r="F950" s="28" t="s">
        <v>21</v>
      </c>
      <c r="G950" s="28" t="s">
        <v>22</v>
      </c>
      <c r="H950" s="28" t="s">
        <v>5861</v>
      </c>
      <c r="I950" s="28" t="s">
        <v>5862</v>
      </c>
      <c r="J950" s="28" t="s">
        <v>22</v>
      </c>
      <c r="K950" s="28" t="s">
        <v>5863</v>
      </c>
      <c r="L950" s="28" t="s">
        <v>1722</v>
      </c>
      <c r="M950" s="28" t="s">
        <v>5864</v>
      </c>
      <c r="N950" s="28" t="s">
        <v>5865</v>
      </c>
      <c r="O950" s="28" t="s">
        <v>5866</v>
      </c>
      <c r="P950" s="28" t="s">
        <v>5867</v>
      </c>
    </row>
    <row r="951" spans="1:16" hidden="1" x14ac:dyDescent="0.25">
      <c r="A951" s="28" t="s">
        <v>5868</v>
      </c>
      <c r="B951" s="28" t="s">
        <v>5869</v>
      </c>
      <c r="C951" s="28" t="s">
        <v>1684</v>
      </c>
      <c r="D951" s="28" t="s">
        <v>101</v>
      </c>
      <c r="E951" s="28" t="s">
        <v>5870</v>
      </c>
      <c r="F951" s="28" t="s">
        <v>21</v>
      </c>
      <c r="G951" s="28" t="s">
        <v>22</v>
      </c>
      <c r="H951" s="28" t="s">
        <v>5871</v>
      </c>
      <c r="I951" s="28" t="s">
        <v>5872</v>
      </c>
      <c r="J951" s="28" t="s">
        <v>22</v>
      </c>
      <c r="K951" s="28" t="s">
        <v>5873</v>
      </c>
      <c r="L951" s="28" t="s">
        <v>1722</v>
      </c>
      <c r="M951" s="28" t="s">
        <v>5874</v>
      </c>
      <c r="N951" s="28" t="s">
        <v>5875</v>
      </c>
      <c r="O951" s="28" t="s">
        <v>5876</v>
      </c>
      <c r="P951" s="28" t="s">
        <v>5877</v>
      </c>
    </row>
    <row r="952" spans="1:16" x14ac:dyDescent="0.25">
      <c r="A952" s="28" t="s">
        <v>5878</v>
      </c>
      <c r="B952" s="28" t="s">
        <v>5879</v>
      </c>
      <c r="C952" s="28" t="s">
        <v>1684</v>
      </c>
      <c r="D952" s="28" t="s">
        <v>120</v>
      </c>
      <c r="E952" s="28" t="s">
        <v>121</v>
      </c>
      <c r="F952" s="28" t="s">
        <v>21</v>
      </c>
      <c r="G952" s="28" t="s">
        <v>39</v>
      </c>
      <c r="H952" s="28" t="s">
        <v>5880</v>
      </c>
      <c r="I952" s="28" t="s">
        <v>5881</v>
      </c>
      <c r="J952" s="28" t="s">
        <v>39</v>
      </c>
      <c r="K952" s="28" t="s">
        <v>5882</v>
      </c>
      <c r="L952" s="28" t="s">
        <v>1722</v>
      </c>
      <c r="M952" s="28" t="s">
        <v>5883</v>
      </c>
      <c r="N952" s="28" t="s">
        <v>5884</v>
      </c>
      <c r="O952" s="28" t="s">
        <v>5885</v>
      </c>
      <c r="P952" s="28" t="s">
        <v>5886</v>
      </c>
    </row>
    <row r="953" spans="1:16" hidden="1" x14ac:dyDescent="0.25">
      <c r="A953" s="28" t="s">
        <v>5887</v>
      </c>
      <c r="B953" s="28" t="s">
        <v>5888</v>
      </c>
      <c r="C953" s="28" t="s">
        <v>1684</v>
      </c>
      <c r="D953" s="28" t="s">
        <v>120</v>
      </c>
      <c r="E953" s="28" t="s">
        <v>121</v>
      </c>
      <c r="F953" s="28" t="s">
        <v>21</v>
      </c>
      <c r="G953" s="28" t="s">
        <v>22</v>
      </c>
      <c r="H953" s="28" t="s">
        <v>5880</v>
      </c>
      <c r="I953" s="28" t="s">
        <v>5889</v>
      </c>
      <c r="J953" s="28" t="s">
        <v>22</v>
      </c>
      <c r="K953" s="28" t="s">
        <v>5890</v>
      </c>
      <c r="L953" s="28" t="s">
        <v>1722</v>
      </c>
      <c r="M953" s="28" t="s">
        <v>5891</v>
      </c>
      <c r="N953" s="28" t="s">
        <v>5884</v>
      </c>
      <c r="O953" s="28" t="s">
        <v>5885</v>
      </c>
      <c r="P953" s="28" t="s">
        <v>5892</v>
      </c>
    </row>
    <row r="954" spans="1:16" hidden="1" x14ac:dyDescent="0.25">
      <c r="A954" s="28" t="s">
        <v>5893</v>
      </c>
      <c r="B954" s="28" t="s">
        <v>5894</v>
      </c>
      <c r="C954" s="28" t="s">
        <v>1684</v>
      </c>
      <c r="D954" s="28" t="s">
        <v>120</v>
      </c>
      <c r="E954" s="28" t="s">
        <v>121</v>
      </c>
      <c r="F954" s="28" t="s">
        <v>21</v>
      </c>
      <c r="G954" s="28" t="s">
        <v>22</v>
      </c>
      <c r="H954" s="28" t="s">
        <v>5880</v>
      </c>
      <c r="I954" s="28" t="s">
        <v>5895</v>
      </c>
      <c r="J954" s="28" t="s">
        <v>22</v>
      </c>
      <c r="K954" s="28" t="s">
        <v>5896</v>
      </c>
      <c r="L954" s="28" t="s">
        <v>1722</v>
      </c>
      <c r="M954" s="28" t="s">
        <v>5897</v>
      </c>
      <c r="N954" s="28" t="s">
        <v>5884</v>
      </c>
      <c r="O954" s="28" t="s">
        <v>5885</v>
      </c>
      <c r="P954" s="28" t="s">
        <v>5898</v>
      </c>
    </row>
    <row r="955" spans="1:16" hidden="1" x14ac:dyDescent="0.25">
      <c r="A955" s="28" t="s">
        <v>5899</v>
      </c>
      <c r="B955" s="28" t="s">
        <v>5900</v>
      </c>
      <c r="C955" s="28" t="s">
        <v>1684</v>
      </c>
      <c r="D955" s="28" t="s">
        <v>120</v>
      </c>
      <c r="E955" s="28" t="s">
        <v>121</v>
      </c>
      <c r="F955" s="28" t="s">
        <v>21</v>
      </c>
      <c r="G955" s="28" t="s">
        <v>22</v>
      </c>
      <c r="H955" s="28" t="s">
        <v>5880</v>
      </c>
      <c r="I955" s="28" t="s">
        <v>5901</v>
      </c>
      <c r="J955" s="28" t="s">
        <v>22</v>
      </c>
      <c r="K955" s="28" t="s">
        <v>5902</v>
      </c>
      <c r="L955" s="28" t="s">
        <v>1722</v>
      </c>
      <c r="M955" s="28" t="s">
        <v>5903</v>
      </c>
      <c r="N955" s="28" t="s">
        <v>5884</v>
      </c>
      <c r="O955" s="28" t="s">
        <v>5885</v>
      </c>
      <c r="P955" s="28" t="s">
        <v>5904</v>
      </c>
    </row>
    <row r="956" spans="1:16" hidden="1" x14ac:dyDescent="0.25">
      <c r="A956" s="28" t="s">
        <v>5905</v>
      </c>
      <c r="B956" s="28" t="s">
        <v>5906</v>
      </c>
      <c r="C956" s="28" t="s">
        <v>1684</v>
      </c>
      <c r="D956" s="28" t="s">
        <v>120</v>
      </c>
      <c r="E956" s="28" t="s">
        <v>121</v>
      </c>
      <c r="F956" s="28" t="s">
        <v>21</v>
      </c>
      <c r="G956" s="28" t="s">
        <v>22</v>
      </c>
      <c r="H956" s="28" t="s">
        <v>5880</v>
      </c>
      <c r="I956" s="28" t="s">
        <v>5907</v>
      </c>
      <c r="J956" s="28" t="s">
        <v>22</v>
      </c>
      <c r="K956" s="28" t="s">
        <v>5908</v>
      </c>
      <c r="L956" s="28" t="s">
        <v>1722</v>
      </c>
      <c r="M956" s="28" t="s">
        <v>5909</v>
      </c>
      <c r="N956" s="28" t="s">
        <v>5884</v>
      </c>
      <c r="O956" s="28" t="s">
        <v>5885</v>
      </c>
      <c r="P956" s="28" t="s">
        <v>5910</v>
      </c>
    </row>
    <row r="957" spans="1:16" x14ac:dyDescent="0.25">
      <c r="A957" s="28" t="s">
        <v>5911</v>
      </c>
      <c r="B957" s="28" t="s">
        <v>5912</v>
      </c>
      <c r="C957" s="28" t="s">
        <v>1684</v>
      </c>
      <c r="D957" s="28" t="s">
        <v>120</v>
      </c>
      <c r="E957" s="28" t="s">
        <v>121</v>
      </c>
      <c r="F957" s="28" t="s">
        <v>21</v>
      </c>
      <c r="G957" s="28" t="s">
        <v>39</v>
      </c>
      <c r="H957" s="28" t="s">
        <v>5880</v>
      </c>
      <c r="I957" s="28" t="s">
        <v>5913</v>
      </c>
      <c r="J957" s="28" t="s">
        <v>39</v>
      </c>
      <c r="K957" s="28" t="s">
        <v>5914</v>
      </c>
      <c r="L957" s="28" t="s">
        <v>1722</v>
      </c>
      <c r="M957" s="28" t="s">
        <v>5915</v>
      </c>
      <c r="N957" s="28" t="s">
        <v>5884</v>
      </c>
      <c r="O957" s="28" t="s">
        <v>5885</v>
      </c>
      <c r="P957" s="28" t="s">
        <v>5916</v>
      </c>
    </row>
    <row r="958" spans="1:16" hidden="1" x14ac:dyDescent="0.25">
      <c r="A958" s="28" t="s">
        <v>5917</v>
      </c>
      <c r="B958" s="28" t="s">
        <v>5918</v>
      </c>
      <c r="C958" s="28" t="s">
        <v>1684</v>
      </c>
      <c r="D958" s="28" t="s">
        <v>120</v>
      </c>
      <c r="E958" s="28" t="s">
        <v>121</v>
      </c>
      <c r="F958" s="28" t="s">
        <v>21</v>
      </c>
      <c r="G958" s="28" t="s">
        <v>22</v>
      </c>
      <c r="H958" s="28" t="s">
        <v>5880</v>
      </c>
      <c r="I958" s="28" t="s">
        <v>5919</v>
      </c>
      <c r="J958" s="28" t="s">
        <v>22</v>
      </c>
      <c r="K958" s="28" t="s">
        <v>5920</v>
      </c>
      <c r="L958" s="28" t="s">
        <v>1722</v>
      </c>
      <c r="M958" s="28" t="s">
        <v>5921</v>
      </c>
      <c r="N958" s="28" t="s">
        <v>5884</v>
      </c>
      <c r="O958" s="28" t="s">
        <v>5885</v>
      </c>
      <c r="P958" s="28" t="s">
        <v>5922</v>
      </c>
    </row>
    <row r="959" spans="1:16" hidden="1" x14ac:dyDescent="0.25">
      <c r="A959" s="28" t="s">
        <v>5923</v>
      </c>
      <c r="B959" s="28" t="s">
        <v>5924</v>
      </c>
      <c r="C959" s="28" t="s">
        <v>1684</v>
      </c>
      <c r="D959" s="28" t="s">
        <v>62</v>
      </c>
      <c r="E959" s="28" t="s">
        <v>5925</v>
      </c>
      <c r="F959" s="28" t="s">
        <v>21</v>
      </c>
      <c r="G959" s="28" t="s">
        <v>22</v>
      </c>
      <c r="H959" s="28" t="s">
        <v>5926</v>
      </c>
      <c r="I959" s="28" t="s">
        <v>5927</v>
      </c>
      <c r="J959" s="28" t="s">
        <v>22</v>
      </c>
      <c r="K959" s="28" t="s">
        <v>5928</v>
      </c>
      <c r="L959" s="28" t="s">
        <v>1722</v>
      </c>
      <c r="M959" s="28" t="s">
        <v>5929</v>
      </c>
      <c r="N959" s="28" t="s">
        <v>5930</v>
      </c>
      <c r="O959" s="28" t="s">
        <v>5931</v>
      </c>
      <c r="P959" s="28" t="s">
        <v>5932</v>
      </c>
    </row>
    <row r="960" spans="1:16" hidden="1" x14ac:dyDescent="0.25">
      <c r="A960" s="28" t="s">
        <v>5933</v>
      </c>
      <c r="B960" s="28" t="s">
        <v>5934</v>
      </c>
      <c r="C960" s="28" t="s">
        <v>1684</v>
      </c>
      <c r="D960" s="28" t="s">
        <v>4270</v>
      </c>
      <c r="E960" s="28" t="s">
        <v>5935</v>
      </c>
      <c r="F960" s="28" t="s">
        <v>21</v>
      </c>
      <c r="G960" s="28" t="s">
        <v>22</v>
      </c>
      <c r="H960" s="28" t="s">
        <v>5936</v>
      </c>
      <c r="I960" s="28" t="s">
        <v>5937</v>
      </c>
      <c r="J960" s="28" t="s">
        <v>22</v>
      </c>
      <c r="K960" s="28" t="s">
        <v>5938</v>
      </c>
      <c r="L960" s="28" t="s">
        <v>1722</v>
      </c>
      <c r="M960" s="28" t="s">
        <v>5939</v>
      </c>
      <c r="N960" s="28" t="s">
        <v>5940</v>
      </c>
      <c r="O960" s="28" t="s">
        <v>5941</v>
      </c>
      <c r="P960" s="28" t="s">
        <v>5942</v>
      </c>
    </row>
    <row r="961" spans="1:16" x14ac:dyDescent="0.25">
      <c r="A961" s="28" t="s">
        <v>5943</v>
      </c>
      <c r="B961" s="28" t="s">
        <v>5944</v>
      </c>
      <c r="C961" s="28" t="s">
        <v>1684</v>
      </c>
      <c r="D961" s="28" t="s">
        <v>5945</v>
      </c>
      <c r="E961" s="28" t="s">
        <v>5946</v>
      </c>
      <c r="F961" s="28" t="s">
        <v>21</v>
      </c>
      <c r="G961" s="28" t="s">
        <v>39</v>
      </c>
      <c r="H961" s="28" t="s">
        <v>5947</v>
      </c>
      <c r="I961" s="28" t="s">
        <v>5948</v>
      </c>
      <c r="J961" s="28" t="s">
        <v>39</v>
      </c>
      <c r="K961" s="28" t="s">
        <v>5949</v>
      </c>
      <c r="L961" s="28" t="s">
        <v>1722</v>
      </c>
      <c r="M961" s="28" t="s">
        <v>5950</v>
      </c>
      <c r="N961" s="28" t="s">
        <v>5951</v>
      </c>
      <c r="O961" s="28" t="s">
        <v>5952</v>
      </c>
      <c r="P961" s="28" t="s">
        <v>5953</v>
      </c>
    </row>
    <row r="962" spans="1:16" x14ac:dyDescent="0.25">
      <c r="A962" s="28" t="s">
        <v>5954</v>
      </c>
      <c r="B962" s="28" t="s">
        <v>5955</v>
      </c>
      <c r="C962" s="28" t="s">
        <v>1684</v>
      </c>
      <c r="D962" s="28" t="s">
        <v>5956</v>
      </c>
      <c r="E962" s="28" t="s">
        <v>5957</v>
      </c>
      <c r="F962" s="28" t="s">
        <v>21</v>
      </c>
      <c r="G962" s="28" t="s">
        <v>39</v>
      </c>
      <c r="H962" s="28" t="s">
        <v>5958</v>
      </c>
      <c r="I962" s="28" t="s">
        <v>5959</v>
      </c>
      <c r="J962" s="28" t="s">
        <v>39</v>
      </c>
      <c r="K962" s="28" t="s">
        <v>5960</v>
      </c>
      <c r="L962" s="28" t="s">
        <v>1722</v>
      </c>
      <c r="M962" s="28" t="s">
        <v>5961</v>
      </c>
      <c r="N962" s="28" t="s">
        <v>5962</v>
      </c>
      <c r="O962" s="28" t="s">
        <v>5963</v>
      </c>
      <c r="P962" s="28" t="s">
        <v>5964</v>
      </c>
    </row>
    <row r="963" spans="1:16" x14ac:dyDescent="0.25">
      <c r="A963" s="28" t="s">
        <v>5965</v>
      </c>
      <c r="B963" s="28" t="s">
        <v>5966</v>
      </c>
      <c r="C963" s="28" t="s">
        <v>1684</v>
      </c>
      <c r="D963" s="28" t="s">
        <v>5956</v>
      </c>
      <c r="E963" s="28" t="s">
        <v>5957</v>
      </c>
      <c r="F963" s="28" t="s">
        <v>21</v>
      </c>
      <c r="G963" s="28" t="s">
        <v>39</v>
      </c>
      <c r="H963" s="28" t="s">
        <v>5958</v>
      </c>
      <c r="I963" s="28" t="s">
        <v>5967</v>
      </c>
      <c r="J963" s="28" t="s">
        <v>39</v>
      </c>
      <c r="K963" s="28" t="s">
        <v>5968</v>
      </c>
      <c r="L963" s="28" t="s">
        <v>1722</v>
      </c>
      <c r="M963" s="28" t="s">
        <v>5969</v>
      </c>
      <c r="N963" s="28" t="s">
        <v>5962</v>
      </c>
      <c r="O963" s="28" t="s">
        <v>5963</v>
      </c>
      <c r="P963" s="28" t="s">
        <v>5970</v>
      </c>
    </row>
    <row r="964" spans="1:16" hidden="1" x14ac:dyDescent="0.25">
      <c r="A964" s="28" t="s">
        <v>5971</v>
      </c>
      <c r="B964" s="28" t="s">
        <v>5972</v>
      </c>
      <c r="C964" s="28" t="s">
        <v>1684</v>
      </c>
      <c r="D964" s="28" t="s">
        <v>5956</v>
      </c>
      <c r="E964" s="28" t="s">
        <v>5957</v>
      </c>
      <c r="F964" s="28" t="s">
        <v>21</v>
      </c>
      <c r="G964" s="28" t="s">
        <v>22</v>
      </c>
      <c r="H964" s="28" t="s">
        <v>5958</v>
      </c>
      <c r="I964" s="28" t="s">
        <v>5973</v>
      </c>
      <c r="J964" s="28" t="s">
        <v>22</v>
      </c>
      <c r="K964" s="28" t="s">
        <v>5974</v>
      </c>
      <c r="L964" s="28" t="s">
        <v>1722</v>
      </c>
      <c r="M964" s="28" t="s">
        <v>5975</v>
      </c>
      <c r="N964" s="28" t="s">
        <v>5962</v>
      </c>
      <c r="O964" s="28" t="s">
        <v>5963</v>
      </c>
      <c r="P964" s="28" t="s">
        <v>5976</v>
      </c>
    </row>
    <row r="965" spans="1:16" x14ac:dyDescent="0.25">
      <c r="A965" s="28" t="s">
        <v>5977</v>
      </c>
      <c r="B965" s="28" t="s">
        <v>5978</v>
      </c>
      <c r="C965" s="28" t="s">
        <v>1684</v>
      </c>
      <c r="D965" s="28" t="s">
        <v>5979</v>
      </c>
      <c r="E965" s="28" t="s">
        <v>5980</v>
      </c>
      <c r="F965" s="28" t="s">
        <v>21</v>
      </c>
      <c r="G965" s="28" t="s">
        <v>39</v>
      </c>
      <c r="H965" s="28" t="s">
        <v>5981</v>
      </c>
      <c r="I965" s="28" t="s">
        <v>5982</v>
      </c>
      <c r="J965" s="28" t="s">
        <v>39</v>
      </c>
      <c r="K965" s="28" t="s">
        <v>5983</v>
      </c>
      <c r="L965" s="28" t="s">
        <v>1722</v>
      </c>
      <c r="M965" s="28" t="s">
        <v>5984</v>
      </c>
      <c r="N965" s="28" t="s">
        <v>5985</v>
      </c>
      <c r="O965" s="28" t="s">
        <v>5986</v>
      </c>
      <c r="P965" s="28" t="s">
        <v>5987</v>
      </c>
    </row>
    <row r="966" spans="1:16" x14ac:dyDescent="0.25">
      <c r="A966" s="28" t="s">
        <v>5988</v>
      </c>
      <c r="B966" s="28" t="s">
        <v>5989</v>
      </c>
      <c r="C966" s="28" t="s">
        <v>1684</v>
      </c>
      <c r="D966" s="28" t="s">
        <v>5990</v>
      </c>
      <c r="E966" s="28" t="s">
        <v>5991</v>
      </c>
      <c r="F966" s="28" t="s">
        <v>21</v>
      </c>
      <c r="G966" s="28" t="s">
        <v>135</v>
      </c>
      <c r="H966" s="28" t="s">
        <v>5992</v>
      </c>
      <c r="I966" s="28" t="s">
        <v>5993</v>
      </c>
      <c r="J966" s="28" t="s">
        <v>135</v>
      </c>
      <c r="K966" s="28" t="s">
        <v>5994</v>
      </c>
      <c r="L966" s="28" t="s">
        <v>1722</v>
      </c>
      <c r="M966" s="28" t="s">
        <v>5995</v>
      </c>
      <c r="N966" s="28" t="s">
        <v>5996</v>
      </c>
      <c r="O966" s="28" t="s">
        <v>5997</v>
      </c>
      <c r="P966" s="28" t="s">
        <v>5998</v>
      </c>
    </row>
    <row r="967" spans="1:16" x14ac:dyDescent="0.25">
      <c r="A967" s="28" t="s">
        <v>5999</v>
      </c>
      <c r="B967" s="28" t="s">
        <v>6000</v>
      </c>
      <c r="C967" s="28" t="s">
        <v>1684</v>
      </c>
      <c r="D967" s="28" t="s">
        <v>5979</v>
      </c>
      <c r="E967" s="28" t="s">
        <v>6001</v>
      </c>
      <c r="F967" s="28" t="s">
        <v>21</v>
      </c>
      <c r="G967" s="28" t="s">
        <v>39</v>
      </c>
      <c r="H967" s="28" t="s">
        <v>6002</v>
      </c>
      <c r="I967" s="28" t="s">
        <v>6003</v>
      </c>
      <c r="J967" s="28" t="s">
        <v>39</v>
      </c>
      <c r="K967" s="28" t="s">
        <v>6004</v>
      </c>
      <c r="L967" s="28" t="s">
        <v>1722</v>
      </c>
      <c r="M967" s="28" t="s">
        <v>6005</v>
      </c>
      <c r="N967" s="28" t="s">
        <v>6006</v>
      </c>
      <c r="O967" s="28" t="s">
        <v>6007</v>
      </c>
      <c r="P967" s="28" t="s">
        <v>6008</v>
      </c>
    </row>
    <row r="968" spans="1:16" x14ac:dyDescent="0.25">
      <c r="A968" s="28" t="s">
        <v>6009</v>
      </c>
      <c r="B968" s="28" t="s">
        <v>6010</v>
      </c>
      <c r="C968" s="28" t="s">
        <v>1684</v>
      </c>
      <c r="D968" s="28" t="s">
        <v>5979</v>
      </c>
      <c r="E968" s="28" t="s">
        <v>6001</v>
      </c>
      <c r="F968" s="28" t="s">
        <v>21</v>
      </c>
      <c r="G968" s="28" t="s">
        <v>39</v>
      </c>
      <c r="H968" s="28" t="s">
        <v>6002</v>
      </c>
      <c r="I968" s="28" t="s">
        <v>6011</v>
      </c>
      <c r="J968" s="28" t="s">
        <v>39</v>
      </c>
      <c r="K968" s="28" t="s">
        <v>6012</v>
      </c>
      <c r="L968" s="28" t="s">
        <v>1722</v>
      </c>
      <c r="M968" s="28" t="s">
        <v>6013</v>
      </c>
      <c r="N968" s="28" t="s">
        <v>6006</v>
      </c>
      <c r="O968" s="28" t="s">
        <v>6007</v>
      </c>
      <c r="P968" s="28" t="s">
        <v>6014</v>
      </c>
    </row>
    <row r="969" spans="1:16" x14ac:dyDescent="0.25">
      <c r="A969" s="28" t="s">
        <v>6015</v>
      </c>
      <c r="B969" s="28" t="s">
        <v>6016</v>
      </c>
      <c r="C969" s="28" t="s">
        <v>1684</v>
      </c>
      <c r="D969" s="28" t="s">
        <v>5979</v>
      </c>
      <c r="E969" s="28" t="s">
        <v>6001</v>
      </c>
      <c r="F969" s="28" t="s">
        <v>21</v>
      </c>
      <c r="G969" s="28" t="s">
        <v>39</v>
      </c>
      <c r="H969" s="28" t="s">
        <v>6002</v>
      </c>
      <c r="I969" s="28" t="s">
        <v>6017</v>
      </c>
      <c r="J969" s="28" t="s">
        <v>39</v>
      </c>
      <c r="K969" s="28" t="s">
        <v>6018</v>
      </c>
      <c r="L969" s="28" t="s">
        <v>1722</v>
      </c>
      <c r="M969" s="28" t="s">
        <v>6019</v>
      </c>
      <c r="N969" s="28" t="s">
        <v>6006</v>
      </c>
      <c r="O969" s="28" t="s">
        <v>6007</v>
      </c>
      <c r="P969" s="28" t="s">
        <v>6020</v>
      </c>
    </row>
    <row r="970" spans="1:16" x14ac:dyDescent="0.25">
      <c r="A970" s="28" t="s">
        <v>6021</v>
      </c>
      <c r="B970" s="28" t="s">
        <v>6022</v>
      </c>
      <c r="C970" s="28" t="s">
        <v>1684</v>
      </c>
      <c r="D970" s="28" t="s">
        <v>5979</v>
      </c>
      <c r="E970" s="28" t="s">
        <v>6023</v>
      </c>
      <c r="F970" s="28" t="s">
        <v>21</v>
      </c>
      <c r="G970" s="28" t="s">
        <v>39</v>
      </c>
      <c r="H970" s="28" t="s">
        <v>6024</v>
      </c>
      <c r="I970" s="28" t="s">
        <v>6025</v>
      </c>
      <c r="J970" s="28" t="s">
        <v>39</v>
      </c>
      <c r="K970" s="28" t="s">
        <v>6026</v>
      </c>
      <c r="L970" s="28" t="s">
        <v>1722</v>
      </c>
      <c r="M970" s="28" t="s">
        <v>6027</v>
      </c>
      <c r="N970" s="28" t="s">
        <v>6028</v>
      </c>
      <c r="O970" s="28" t="s">
        <v>6029</v>
      </c>
      <c r="P970" s="28" t="s">
        <v>6030</v>
      </c>
    </row>
    <row r="971" spans="1:16" x14ac:dyDescent="0.25">
      <c r="A971" s="28" t="s">
        <v>6031</v>
      </c>
      <c r="B971" s="28" t="s">
        <v>6032</v>
      </c>
      <c r="C971" s="28" t="s">
        <v>1684</v>
      </c>
      <c r="D971" s="28" t="s">
        <v>5979</v>
      </c>
      <c r="E971" s="28" t="s">
        <v>6023</v>
      </c>
      <c r="F971" s="28" t="s">
        <v>21</v>
      </c>
      <c r="G971" s="28" t="s">
        <v>39</v>
      </c>
      <c r="H971" s="28" t="s">
        <v>6024</v>
      </c>
      <c r="I971" s="28" t="s">
        <v>6033</v>
      </c>
      <c r="J971" s="28" t="s">
        <v>39</v>
      </c>
      <c r="K971" s="28" t="s">
        <v>6034</v>
      </c>
      <c r="L971" s="28" t="s">
        <v>1722</v>
      </c>
      <c r="M971" s="28" t="s">
        <v>6035</v>
      </c>
      <c r="N971" s="28" t="s">
        <v>6028</v>
      </c>
      <c r="O971" s="28" t="s">
        <v>6029</v>
      </c>
      <c r="P971" s="28" t="s">
        <v>6036</v>
      </c>
    </row>
    <row r="972" spans="1:16" x14ac:dyDescent="0.25">
      <c r="A972" s="28" t="s">
        <v>6037</v>
      </c>
      <c r="B972" s="28" t="s">
        <v>6038</v>
      </c>
      <c r="C972" s="28" t="s">
        <v>1684</v>
      </c>
      <c r="D972" s="28" t="s">
        <v>5979</v>
      </c>
      <c r="E972" s="28" t="s">
        <v>6023</v>
      </c>
      <c r="F972" s="28" t="s">
        <v>21</v>
      </c>
      <c r="G972" s="28" t="s">
        <v>39</v>
      </c>
      <c r="H972" s="28" t="s">
        <v>6024</v>
      </c>
      <c r="I972" s="28" t="s">
        <v>6039</v>
      </c>
      <c r="J972" s="28" t="s">
        <v>39</v>
      </c>
      <c r="K972" s="28" t="s">
        <v>6040</v>
      </c>
      <c r="L972" s="28" t="s">
        <v>1722</v>
      </c>
      <c r="M972" s="28" t="s">
        <v>6041</v>
      </c>
      <c r="N972" s="28" t="s">
        <v>6028</v>
      </c>
      <c r="O972" s="28" t="s">
        <v>6029</v>
      </c>
      <c r="P972" s="28" t="s">
        <v>6042</v>
      </c>
    </row>
    <row r="973" spans="1:16" x14ac:dyDescent="0.25">
      <c r="A973" s="28" t="s">
        <v>6043</v>
      </c>
      <c r="B973" s="28" t="s">
        <v>6044</v>
      </c>
      <c r="C973" s="28" t="s">
        <v>1684</v>
      </c>
      <c r="D973" s="28" t="s">
        <v>5979</v>
      </c>
      <c r="E973" s="28" t="s">
        <v>6023</v>
      </c>
      <c r="F973" s="28" t="s">
        <v>21</v>
      </c>
      <c r="G973" s="28" t="s">
        <v>39</v>
      </c>
      <c r="H973" s="28" t="s">
        <v>6024</v>
      </c>
      <c r="I973" s="28" t="s">
        <v>6045</v>
      </c>
      <c r="J973" s="28" t="s">
        <v>39</v>
      </c>
      <c r="K973" s="28" t="s">
        <v>6046</v>
      </c>
      <c r="L973" s="28" t="s">
        <v>1722</v>
      </c>
      <c r="M973" s="28" t="s">
        <v>6047</v>
      </c>
      <c r="N973" s="28" t="s">
        <v>6028</v>
      </c>
      <c r="O973" s="28" t="s">
        <v>6029</v>
      </c>
      <c r="P973" s="28" t="s">
        <v>6048</v>
      </c>
    </row>
    <row r="974" spans="1:16" x14ac:dyDescent="0.25">
      <c r="A974" s="28" t="s">
        <v>6049</v>
      </c>
      <c r="B974" s="28" t="s">
        <v>6050</v>
      </c>
      <c r="C974" s="28" t="s">
        <v>1684</v>
      </c>
      <c r="D974" s="28" t="s">
        <v>5979</v>
      </c>
      <c r="E974" s="28" t="s">
        <v>6023</v>
      </c>
      <c r="F974" s="28" t="s">
        <v>21</v>
      </c>
      <c r="G974" s="28" t="s">
        <v>39</v>
      </c>
      <c r="H974" s="28" t="s">
        <v>6024</v>
      </c>
      <c r="I974" s="28" t="s">
        <v>6051</v>
      </c>
      <c r="J974" s="28" t="s">
        <v>39</v>
      </c>
      <c r="K974" s="28" t="s">
        <v>6052</v>
      </c>
      <c r="L974" s="28" t="s">
        <v>1722</v>
      </c>
      <c r="M974" s="28" t="s">
        <v>6053</v>
      </c>
      <c r="N974" s="28" t="s">
        <v>6028</v>
      </c>
      <c r="O974" s="28" t="s">
        <v>6029</v>
      </c>
      <c r="P974" s="28" t="s">
        <v>6054</v>
      </c>
    </row>
    <row r="975" spans="1:16" x14ac:dyDescent="0.25">
      <c r="A975" s="28" t="s">
        <v>6055</v>
      </c>
      <c r="B975" s="28" t="s">
        <v>6056</v>
      </c>
      <c r="C975" s="28" t="s">
        <v>1684</v>
      </c>
      <c r="D975" s="28" t="s">
        <v>5979</v>
      </c>
      <c r="E975" s="28" t="s">
        <v>6023</v>
      </c>
      <c r="F975" s="28" t="s">
        <v>21</v>
      </c>
      <c r="G975" s="28" t="s">
        <v>39</v>
      </c>
      <c r="H975" s="28" t="s">
        <v>6024</v>
      </c>
      <c r="I975" s="28" t="s">
        <v>6057</v>
      </c>
      <c r="J975" s="28" t="s">
        <v>39</v>
      </c>
      <c r="K975" s="28" t="s">
        <v>6058</v>
      </c>
      <c r="L975" s="28" t="s">
        <v>1722</v>
      </c>
      <c r="M975" s="28" t="s">
        <v>6059</v>
      </c>
      <c r="N975" s="28" t="s">
        <v>6028</v>
      </c>
      <c r="O975" s="28" t="s">
        <v>6029</v>
      </c>
      <c r="P975" s="28" t="s">
        <v>6060</v>
      </c>
    </row>
    <row r="976" spans="1:16" x14ac:dyDescent="0.25">
      <c r="A976" s="28" t="s">
        <v>6061</v>
      </c>
      <c r="B976" s="28" t="s">
        <v>6062</v>
      </c>
      <c r="C976" s="28" t="s">
        <v>1684</v>
      </c>
      <c r="D976" s="28" t="s">
        <v>5979</v>
      </c>
      <c r="E976" s="28" t="s">
        <v>6023</v>
      </c>
      <c r="F976" s="28" t="s">
        <v>21</v>
      </c>
      <c r="G976" s="28" t="s">
        <v>39</v>
      </c>
      <c r="H976" s="28" t="s">
        <v>6024</v>
      </c>
      <c r="I976" s="28" t="s">
        <v>6063</v>
      </c>
      <c r="J976" s="28" t="s">
        <v>39</v>
      </c>
      <c r="K976" s="28" t="s">
        <v>6064</v>
      </c>
      <c r="L976" s="28" t="s">
        <v>1722</v>
      </c>
      <c r="M976" s="28" t="s">
        <v>6065</v>
      </c>
      <c r="N976" s="28" t="s">
        <v>6028</v>
      </c>
      <c r="O976" s="28" t="s">
        <v>6029</v>
      </c>
      <c r="P976" s="28" t="s">
        <v>6066</v>
      </c>
    </row>
    <row r="977" spans="1:16" x14ac:dyDescent="0.25">
      <c r="A977" s="28" t="s">
        <v>6067</v>
      </c>
      <c r="B977" s="28" t="s">
        <v>6068</v>
      </c>
      <c r="C977" s="28" t="s">
        <v>1684</v>
      </c>
      <c r="D977" s="28" t="s">
        <v>5979</v>
      </c>
      <c r="E977" s="28" t="s">
        <v>6023</v>
      </c>
      <c r="F977" s="28" t="s">
        <v>21</v>
      </c>
      <c r="G977" s="28" t="s">
        <v>39</v>
      </c>
      <c r="H977" s="28" t="s">
        <v>6024</v>
      </c>
      <c r="I977" s="28" t="s">
        <v>6069</v>
      </c>
      <c r="J977" s="28" t="s">
        <v>39</v>
      </c>
      <c r="K977" s="28" t="s">
        <v>6070</v>
      </c>
      <c r="L977" s="28" t="s">
        <v>1722</v>
      </c>
      <c r="M977" s="28" t="s">
        <v>6071</v>
      </c>
      <c r="N977" s="28" t="s">
        <v>6028</v>
      </c>
      <c r="O977" s="28" t="s">
        <v>6029</v>
      </c>
      <c r="P977" s="28" t="s">
        <v>6072</v>
      </c>
    </row>
    <row r="978" spans="1:16" x14ac:dyDescent="0.25">
      <c r="A978" s="28" t="s">
        <v>6073</v>
      </c>
      <c r="B978" s="28" t="s">
        <v>6074</v>
      </c>
      <c r="C978" s="28" t="s">
        <v>1684</v>
      </c>
      <c r="D978" s="28" t="s">
        <v>5979</v>
      </c>
      <c r="E978" s="28" t="s">
        <v>6023</v>
      </c>
      <c r="F978" s="28" t="s">
        <v>21</v>
      </c>
      <c r="G978" s="28" t="s">
        <v>39</v>
      </c>
      <c r="H978" s="28" t="s">
        <v>6024</v>
      </c>
      <c r="I978" s="28" t="s">
        <v>6075</v>
      </c>
      <c r="J978" s="28" t="s">
        <v>39</v>
      </c>
      <c r="K978" s="28" t="s">
        <v>6076</v>
      </c>
      <c r="L978" s="28" t="s">
        <v>1722</v>
      </c>
      <c r="M978" s="28" t="s">
        <v>6077</v>
      </c>
      <c r="N978" s="28" t="s">
        <v>6028</v>
      </c>
      <c r="O978" s="28" t="s">
        <v>6029</v>
      </c>
      <c r="P978" s="28" t="s">
        <v>6078</v>
      </c>
    </row>
    <row r="979" spans="1:16" x14ac:dyDescent="0.25">
      <c r="A979" s="28" t="s">
        <v>6079</v>
      </c>
      <c r="B979" s="28" t="s">
        <v>6080</v>
      </c>
      <c r="C979" s="28" t="s">
        <v>1684</v>
      </c>
      <c r="D979" s="28" t="s">
        <v>5979</v>
      </c>
      <c r="E979" s="28" t="s">
        <v>6023</v>
      </c>
      <c r="F979" s="28" t="s">
        <v>21</v>
      </c>
      <c r="G979" s="28" t="s">
        <v>39</v>
      </c>
      <c r="H979" s="28" t="s">
        <v>6024</v>
      </c>
      <c r="I979" s="28" t="s">
        <v>6081</v>
      </c>
      <c r="J979" s="28" t="s">
        <v>39</v>
      </c>
      <c r="K979" s="28" t="s">
        <v>6082</v>
      </c>
      <c r="L979" s="28" t="s">
        <v>1722</v>
      </c>
      <c r="M979" s="28" t="s">
        <v>6083</v>
      </c>
      <c r="N979" s="28" t="s">
        <v>6028</v>
      </c>
      <c r="O979" s="28" t="s">
        <v>6029</v>
      </c>
      <c r="P979" s="28" t="s">
        <v>6084</v>
      </c>
    </row>
    <row r="980" spans="1:16" x14ac:dyDescent="0.25">
      <c r="A980" s="28" t="s">
        <v>6085</v>
      </c>
      <c r="B980" s="28" t="s">
        <v>6086</v>
      </c>
      <c r="C980" s="28" t="s">
        <v>1684</v>
      </c>
      <c r="D980" s="28" t="s">
        <v>5979</v>
      </c>
      <c r="E980" s="28" t="s">
        <v>6087</v>
      </c>
      <c r="F980" s="28" t="s">
        <v>21</v>
      </c>
      <c r="G980" s="28" t="s">
        <v>39</v>
      </c>
      <c r="H980" s="28" t="s">
        <v>6088</v>
      </c>
      <c r="I980" s="28" t="s">
        <v>6089</v>
      </c>
      <c r="J980" s="28" t="s">
        <v>39</v>
      </c>
      <c r="K980" s="28" t="s">
        <v>6090</v>
      </c>
      <c r="L980" s="28" t="s">
        <v>1722</v>
      </c>
      <c r="M980" s="28" t="s">
        <v>6091</v>
      </c>
      <c r="N980" s="28" t="s">
        <v>6092</v>
      </c>
      <c r="O980" s="28" t="s">
        <v>6093</v>
      </c>
      <c r="P980" s="28" t="s">
        <v>6094</v>
      </c>
    </row>
    <row r="981" spans="1:16" x14ac:dyDescent="0.25">
      <c r="A981" s="28" t="s">
        <v>6095</v>
      </c>
      <c r="B981" s="28" t="s">
        <v>6096</v>
      </c>
      <c r="C981" s="28" t="s">
        <v>1684</v>
      </c>
      <c r="D981" s="28" t="s">
        <v>5979</v>
      </c>
      <c r="E981" s="28" t="s">
        <v>6087</v>
      </c>
      <c r="F981" s="28" t="s">
        <v>21</v>
      </c>
      <c r="G981" s="28" t="s">
        <v>39</v>
      </c>
      <c r="H981" s="28" t="s">
        <v>6088</v>
      </c>
      <c r="I981" s="28" t="s">
        <v>6097</v>
      </c>
      <c r="J981" s="28" t="s">
        <v>39</v>
      </c>
      <c r="K981" s="28" t="s">
        <v>6098</v>
      </c>
      <c r="L981" s="28" t="s">
        <v>1722</v>
      </c>
      <c r="M981" s="28" t="s">
        <v>6099</v>
      </c>
      <c r="N981" s="28" t="s">
        <v>6092</v>
      </c>
      <c r="O981" s="28" t="s">
        <v>6093</v>
      </c>
      <c r="P981" s="28" t="s">
        <v>6100</v>
      </c>
    </row>
    <row r="982" spans="1:16" x14ac:dyDescent="0.25">
      <c r="A982" s="28" t="s">
        <v>6101</v>
      </c>
      <c r="B982" s="28" t="s">
        <v>6102</v>
      </c>
      <c r="C982" s="28" t="s">
        <v>1684</v>
      </c>
      <c r="D982" s="28" t="s">
        <v>5979</v>
      </c>
      <c r="E982" s="28" t="s">
        <v>6087</v>
      </c>
      <c r="F982" s="28" t="s">
        <v>21</v>
      </c>
      <c r="G982" s="28" t="s">
        <v>39</v>
      </c>
      <c r="H982" s="28" t="s">
        <v>6088</v>
      </c>
      <c r="I982" s="28" t="s">
        <v>6103</v>
      </c>
      <c r="J982" s="28" t="s">
        <v>39</v>
      </c>
      <c r="K982" s="28" t="s">
        <v>6104</v>
      </c>
      <c r="L982" s="28" t="s">
        <v>1722</v>
      </c>
      <c r="M982" s="28" t="s">
        <v>6105</v>
      </c>
      <c r="N982" s="28" t="s">
        <v>6092</v>
      </c>
      <c r="O982" s="28" t="s">
        <v>6093</v>
      </c>
      <c r="P982" s="28" t="s">
        <v>6106</v>
      </c>
    </row>
    <row r="983" spans="1:16" x14ac:dyDescent="0.25">
      <c r="A983" s="28" t="s">
        <v>6107</v>
      </c>
      <c r="B983" s="28" t="s">
        <v>6108</v>
      </c>
      <c r="C983" s="28" t="s">
        <v>1684</v>
      </c>
      <c r="D983" s="28" t="s">
        <v>5979</v>
      </c>
      <c r="E983" s="28" t="s">
        <v>6109</v>
      </c>
      <c r="F983" s="28" t="s">
        <v>21</v>
      </c>
      <c r="G983" s="28" t="s">
        <v>39</v>
      </c>
      <c r="H983" s="28" t="s">
        <v>6110</v>
      </c>
      <c r="I983" s="28" t="s">
        <v>6111</v>
      </c>
      <c r="J983" s="28" t="s">
        <v>39</v>
      </c>
      <c r="K983" s="28" t="s">
        <v>6112</v>
      </c>
      <c r="L983" s="28" t="s">
        <v>1722</v>
      </c>
      <c r="M983" s="28" t="s">
        <v>6113</v>
      </c>
      <c r="N983" s="28" t="s">
        <v>6114</v>
      </c>
      <c r="O983" s="28" t="s">
        <v>6115</v>
      </c>
      <c r="P983" s="28" t="s">
        <v>6116</v>
      </c>
    </row>
    <row r="984" spans="1:16" x14ac:dyDescent="0.25">
      <c r="A984" s="28" t="s">
        <v>6117</v>
      </c>
      <c r="B984" s="28" t="s">
        <v>6118</v>
      </c>
      <c r="C984" s="28" t="s">
        <v>1684</v>
      </c>
      <c r="D984" s="28" t="s">
        <v>5979</v>
      </c>
      <c r="E984" s="28" t="s">
        <v>6119</v>
      </c>
      <c r="F984" s="28" t="s">
        <v>21</v>
      </c>
      <c r="G984" s="28" t="s">
        <v>39</v>
      </c>
      <c r="H984" s="28" t="s">
        <v>6120</v>
      </c>
      <c r="I984" s="28" t="s">
        <v>6121</v>
      </c>
      <c r="J984" s="28" t="s">
        <v>39</v>
      </c>
      <c r="K984" s="28" t="s">
        <v>6122</v>
      </c>
      <c r="L984" s="28" t="s">
        <v>1722</v>
      </c>
      <c r="M984" s="28" t="s">
        <v>6123</v>
      </c>
      <c r="N984" s="28" t="s">
        <v>6124</v>
      </c>
      <c r="O984" s="28" t="s">
        <v>6125</v>
      </c>
      <c r="P984" s="28" t="s">
        <v>6126</v>
      </c>
    </row>
    <row r="985" spans="1:16" x14ac:dyDescent="0.25">
      <c r="A985" s="28" t="s">
        <v>6127</v>
      </c>
      <c r="B985" s="28" t="s">
        <v>6128</v>
      </c>
      <c r="C985" s="28" t="s">
        <v>1684</v>
      </c>
      <c r="D985" s="28" t="s">
        <v>5979</v>
      </c>
      <c r="E985" s="28" t="s">
        <v>6119</v>
      </c>
      <c r="F985" s="28" t="s">
        <v>21</v>
      </c>
      <c r="G985" s="28" t="s">
        <v>39</v>
      </c>
      <c r="H985" s="28" t="s">
        <v>6120</v>
      </c>
      <c r="I985" s="28" t="s">
        <v>6129</v>
      </c>
      <c r="J985" s="28" t="s">
        <v>39</v>
      </c>
      <c r="K985" s="28" t="s">
        <v>6130</v>
      </c>
      <c r="L985" s="28" t="s">
        <v>1722</v>
      </c>
      <c r="M985" s="28" t="s">
        <v>6131</v>
      </c>
      <c r="N985" s="28" t="s">
        <v>6124</v>
      </c>
      <c r="O985" s="28" t="s">
        <v>6125</v>
      </c>
      <c r="P985" s="28" t="s">
        <v>6132</v>
      </c>
    </row>
    <row r="986" spans="1:16" x14ac:dyDescent="0.25">
      <c r="A986" s="28" t="s">
        <v>6133</v>
      </c>
      <c r="B986" s="28" t="s">
        <v>6134</v>
      </c>
      <c r="C986" s="28" t="s">
        <v>1684</v>
      </c>
      <c r="D986" s="28" t="s">
        <v>5979</v>
      </c>
      <c r="E986" s="28" t="s">
        <v>6119</v>
      </c>
      <c r="F986" s="28" t="s">
        <v>21</v>
      </c>
      <c r="G986" s="28" t="s">
        <v>39</v>
      </c>
      <c r="H986" s="28" t="s">
        <v>6120</v>
      </c>
      <c r="I986" s="28" t="s">
        <v>6135</v>
      </c>
      <c r="J986" s="28" t="s">
        <v>39</v>
      </c>
      <c r="K986" s="28" t="s">
        <v>6136</v>
      </c>
      <c r="L986" s="28" t="s">
        <v>1722</v>
      </c>
      <c r="M986" s="28" t="s">
        <v>6137</v>
      </c>
      <c r="N986" s="28" t="s">
        <v>6124</v>
      </c>
      <c r="O986" s="28" t="s">
        <v>6125</v>
      </c>
      <c r="P986" s="28" t="s">
        <v>6138</v>
      </c>
    </row>
    <row r="987" spans="1:16" x14ac:dyDescent="0.25">
      <c r="A987" s="28" t="s">
        <v>6139</v>
      </c>
      <c r="B987" s="28" t="s">
        <v>6140</v>
      </c>
      <c r="C987" s="28" t="s">
        <v>1684</v>
      </c>
      <c r="D987" s="28" t="s">
        <v>5979</v>
      </c>
      <c r="E987" s="28" t="s">
        <v>6119</v>
      </c>
      <c r="F987" s="28" t="s">
        <v>21</v>
      </c>
      <c r="G987" s="28" t="s">
        <v>39</v>
      </c>
      <c r="H987" s="28" t="s">
        <v>6141</v>
      </c>
      <c r="I987" s="28" t="s">
        <v>6142</v>
      </c>
      <c r="J987" s="28" t="s">
        <v>39</v>
      </c>
      <c r="K987" s="28" t="s">
        <v>6143</v>
      </c>
      <c r="L987" s="28" t="s">
        <v>1722</v>
      </c>
      <c r="M987" s="28" t="s">
        <v>6144</v>
      </c>
      <c r="N987" s="28" t="s">
        <v>6145</v>
      </c>
      <c r="O987" s="28" t="s">
        <v>6146</v>
      </c>
      <c r="P987" s="28" t="s">
        <v>6147</v>
      </c>
    </row>
    <row r="988" spans="1:16" x14ac:dyDescent="0.25">
      <c r="A988" s="28" t="s">
        <v>6148</v>
      </c>
      <c r="B988" s="28" t="s">
        <v>6149</v>
      </c>
      <c r="C988" s="28" t="s">
        <v>1684</v>
      </c>
      <c r="D988" s="28" t="s">
        <v>5979</v>
      </c>
      <c r="E988" s="28" t="s">
        <v>6119</v>
      </c>
      <c r="F988" s="28" t="s">
        <v>21</v>
      </c>
      <c r="G988" s="28" t="s">
        <v>39</v>
      </c>
      <c r="H988" s="28" t="s">
        <v>6141</v>
      </c>
      <c r="I988" s="28" t="s">
        <v>6150</v>
      </c>
      <c r="J988" s="28" t="s">
        <v>39</v>
      </c>
      <c r="K988" s="28" t="s">
        <v>6151</v>
      </c>
      <c r="L988" s="28" t="s">
        <v>1722</v>
      </c>
      <c r="M988" s="28" t="s">
        <v>6152</v>
      </c>
      <c r="N988" s="28" t="s">
        <v>6145</v>
      </c>
      <c r="O988" s="28" t="s">
        <v>6146</v>
      </c>
      <c r="P988" s="28" t="s">
        <v>6153</v>
      </c>
    </row>
    <row r="989" spans="1:16" x14ac:dyDescent="0.25">
      <c r="A989" s="28" t="s">
        <v>6154</v>
      </c>
      <c r="B989" s="28" t="s">
        <v>6155</v>
      </c>
      <c r="C989" s="28" t="s">
        <v>1684</v>
      </c>
      <c r="D989" s="28" t="s">
        <v>5979</v>
      </c>
      <c r="E989" s="28" t="s">
        <v>6119</v>
      </c>
      <c r="F989" s="28" t="s">
        <v>21</v>
      </c>
      <c r="G989" s="28" t="s">
        <v>39</v>
      </c>
      <c r="H989" s="28" t="s">
        <v>6141</v>
      </c>
      <c r="I989" s="28" t="s">
        <v>6156</v>
      </c>
      <c r="J989" s="28" t="s">
        <v>39</v>
      </c>
      <c r="K989" s="28" t="s">
        <v>6157</v>
      </c>
      <c r="L989" s="28" t="s">
        <v>1722</v>
      </c>
      <c r="M989" s="28" t="s">
        <v>6158</v>
      </c>
      <c r="N989" s="28" t="s">
        <v>6145</v>
      </c>
      <c r="O989" s="28" t="s">
        <v>6146</v>
      </c>
      <c r="P989" s="28" t="s">
        <v>6159</v>
      </c>
    </row>
    <row r="990" spans="1:16" x14ac:dyDescent="0.25">
      <c r="A990" s="28" t="s">
        <v>6160</v>
      </c>
      <c r="B990" s="28" t="s">
        <v>6161</v>
      </c>
      <c r="C990" s="28" t="s">
        <v>1684</v>
      </c>
      <c r="D990" s="28" t="s">
        <v>5979</v>
      </c>
      <c r="E990" s="28" t="s">
        <v>6119</v>
      </c>
      <c r="F990" s="28" t="s">
        <v>21</v>
      </c>
      <c r="G990" s="28" t="s">
        <v>39</v>
      </c>
      <c r="H990" s="28" t="s">
        <v>6162</v>
      </c>
      <c r="I990" s="28" t="s">
        <v>6163</v>
      </c>
      <c r="J990" s="28" t="s">
        <v>39</v>
      </c>
      <c r="K990" s="28" t="s">
        <v>6164</v>
      </c>
      <c r="L990" s="28" t="s">
        <v>1722</v>
      </c>
      <c r="M990" s="28" t="s">
        <v>6165</v>
      </c>
      <c r="N990" s="28" t="s">
        <v>6166</v>
      </c>
      <c r="O990" s="28" t="s">
        <v>6167</v>
      </c>
      <c r="P990" s="28" t="s">
        <v>6168</v>
      </c>
    </row>
    <row r="991" spans="1:16" x14ac:dyDescent="0.25">
      <c r="A991" s="28" t="s">
        <v>6169</v>
      </c>
      <c r="B991" s="28" t="s">
        <v>6170</v>
      </c>
      <c r="C991" s="28" t="s">
        <v>1684</v>
      </c>
      <c r="D991" s="28" t="s">
        <v>5979</v>
      </c>
      <c r="E991" s="28" t="s">
        <v>6119</v>
      </c>
      <c r="F991" s="28" t="s">
        <v>21</v>
      </c>
      <c r="G991" s="28" t="s">
        <v>39</v>
      </c>
      <c r="H991" s="28" t="s">
        <v>6162</v>
      </c>
      <c r="I991" s="28" t="s">
        <v>6171</v>
      </c>
      <c r="J991" s="28" t="s">
        <v>39</v>
      </c>
      <c r="K991" s="28" t="s">
        <v>6172</v>
      </c>
      <c r="L991" s="28" t="s">
        <v>1722</v>
      </c>
      <c r="M991" s="28" t="s">
        <v>6173</v>
      </c>
      <c r="N991" s="28" t="s">
        <v>6166</v>
      </c>
      <c r="O991" s="28" t="s">
        <v>6167</v>
      </c>
      <c r="P991" s="28" t="s">
        <v>6174</v>
      </c>
    </row>
    <row r="992" spans="1:16" x14ac:dyDescent="0.25">
      <c r="A992" s="28" t="s">
        <v>6175</v>
      </c>
      <c r="B992" s="28" t="s">
        <v>6176</v>
      </c>
      <c r="C992" s="28" t="s">
        <v>1684</v>
      </c>
      <c r="D992" s="28" t="s">
        <v>5979</v>
      </c>
      <c r="E992" s="28" t="s">
        <v>6119</v>
      </c>
      <c r="F992" s="28" t="s">
        <v>21</v>
      </c>
      <c r="G992" s="28" t="s">
        <v>39</v>
      </c>
      <c r="H992" s="28" t="s">
        <v>6162</v>
      </c>
      <c r="I992" s="28" t="s">
        <v>6177</v>
      </c>
      <c r="J992" s="28" t="s">
        <v>39</v>
      </c>
      <c r="K992" s="28" t="s">
        <v>6178</v>
      </c>
      <c r="L992" s="28" t="s">
        <v>1722</v>
      </c>
      <c r="M992" s="28" t="s">
        <v>6179</v>
      </c>
      <c r="N992" s="28" t="s">
        <v>6166</v>
      </c>
      <c r="O992" s="28" t="s">
        <v>6167</v>
      </c>
      <c r="P992" s="28" t="s">
        <v>6180</v>
      </c>
    </row>
    <row r="993" spans="1:16" x14ac:dyDescent="0.25">
      <c r="A993" s="28" t="s">
        <v>6181</v>
      </c>
      <c r="B993" s="28" t="s">
        <v>6182</v>
      </c>
      <c r="C993" s="28" t="s">
        <v>1684</v>
      </c>
      <c r="D993" s="28" t="s">
        <v>5979</v>
      </c>
      <c r="E993" s="28" t="s">
        <v>6119</v>
      </c>
      <c r="F993" s="28" t="s">
        <v>21</v>
      </c>
      <c r="G993" s="28" t="s">
        <v>39</v>
      </c>
      <c r="H993" s="28" t="s">
        <v>6162</v>
      </c>
      <c r="I993" s="28" t="s">
        <v>6183</v>
      </c>
      <c r="J993" s="28" t="s">
        <v>39</v>
      </c>
      <c r="K993" s="28" t="s">
        <v>6184</v>
      </c>
      <c r="L993" s="28" t="s">
        <v>1722</v>
      </c>
      <c r="M993" s="28" t="s">
        <v>6185</v>
      </c>
      <c r="N993" s="28" t="s">
        <v>6166</v>
      </c>
      <c r="O993" s="28" t="s">
        <v>6167</v>
      </c>
      <c r="P993" s="28" t="s">
        <v>6186</v>
      </c>
    </row>
    <row r="994" spans="1:16" x14ac:dyDescent="0.25">
      <c r="A994" s="28" t="s">
        <v>6187</v>
      </c>
      <c r="B994" s="28" t="s">
        <v>6188</v>
      </c>
      <c r="C994" s="28" t="s">
        <v>1684</v>
      </c>
      <c r="D994" s="28" t="s">
        <v>5979</v>
      </c>
      <c r="E994" s="28" t="s">
        <v>6119</v>
      </c>
      <c r="F994" s="28" t="s">
        <v>21</v>
      </c>
      <c r="G994" s="28" t="s">
        <v>39</v>
      </c>
      <c r="H994" s="28" t="s">
        <v>6162</v>
      </c>
      <c r="I994" s="28" t="s">
        <v>6189</v>
      </c>
      <c r="J994" s="28" t="s">
        <v>39</v>
      </c>
      <c r="K994" s="28" t="s">
        <v>6190</v>
      </c>
      <c r="L994" s="28" t="s">
        <v>1722</v>
      </c>
      <c r="M994" s="28" t="s">
        <v>6191</v>
      </c>
      <c r="N994" s="28" t="s">
        <v>6166</v>
      </c>
      <c r="O994" s="28" t="s">
        <v>6167</v>
      </c>
      <c r="P994" s="28" t="s">
        <v>6192</v>
      </c>
    </row>
    <row r="995" spans="1:16" x14ac:dyDescent="0.25">
      <c r="A995" s="28" t="s">
        <v>6193</v>
      </c>
      <c r="B995" s="28" t="s">
        <v>6194</v>
      </c>
      <c r="C995" s="28" t="s">
        <v>1684</v>
      </c>
      <c r="D995" s="28" t="s">
        <v>5979</v>
      </c>
      <c r="E995" s="28" t="s">
        <v>6119</v>
      </c>
      <c r="F995" s="28" t="s">
        <v>21</v>
      </c>
      <c r="G995" s="28" t="s">
        <v>39</v>
      </c>
      <c r="H995" s="28" t="s">
        <v>6162</v>
      </c>
      <c r="I995" s="28" t="s">
        <v>6195</v>
      </c>
      <c r="J995" s="28" t="s">
        <v>39</v>
      </c>
      <c r="K995" s="28" t="s">
        <v>6196</v>
      </c>
      <c r="L995" s="28" t="s">
        <v>1722</v>
      </c>
      <c r="M995" s="28" t="s">
        <v>6197</v>
      </c>
      <c r="N995" s="28" t="s">
        <v>6166</v>
      </c>
      <c r="O995" s="28" t="s">
        <v>6167</v>
      </c>
      <c r="P995" s="28" t="s">
        <v>6198</v>
      </c>
    </row>
    <row r="996" spans="1:16" x14ac:dyDescent="0.25">
      <c r="A996" s="28" t="s">
        <v>6199</v>
      </c>
      <c r="B996" s="28" t="s">
        <v>6200</v>
      </c>
      <c r="C996" s="28" t="s">
        <v>1684</v>
      </c>
      <c r="D996" s="28" t="s">
        <v>5979</v>
      </c>
      <c r="E996" s="28" t="s">
        <v>6119</v>
      </c>
      <c r="F996" s="28" t="s">
        <v>21</v>
      </c>
      <c r="G996" s="28" t="s">
        <v>39</v>
      </c>
      <c r="H996" s="28" t="s">
        <v>6201</v>
      </c>
      <c r="I996" s="28" t="s">
        <v>6202</v>
      </c>
      <c r="J996" s="28" t="s">
        <v>39</v>
      </c>
      <c r="K996" s="28" t="s">
        <v>6203</v>
      </c>
      <c r="L996" s="28" t="s">
        <v>1722</v>
      </c>
      <c r="M996" s="28" t="s">
        <v>6204</v>
      </c>
      <c r="N996" s="28" t="s">
        <v>6205</v>
      </c>
      <c r="O996" s="28" t="s">
        <v>6206</v>
      </c>
      <c r="P996" s="28" t="s">
        <v>6207</v>
      </c>
    </row>
    <row r="997" spans="1:16" x14ac:dyDescent="0.25">
      <c r="A997" s="28" t="s">
        <v>6208</v>
      </c>
      <c r="B997" s="28" t="s">
        <v>6209</v>
      </c>
      <c r="C997" s="28" t="s">
        <v>1684</v>
      </c>
      <c r="D997" s="28" t="s">
        <v>5979</v>
      </c>
      <c r="E997" s="28" t="s">
        <v>6119</v>
      </c>
      <c r="F997" s="28" t="s">
        <v>21</v>
      </c>
      <c r="G997" s="28" t="s">
        <v>39</v>
      </c>
      <c r="H997" s="28" t="s">
        <v>6201</v>
      </c>
      <c r="I997" s="28" t="s">
        <v>6210</v>
      </c>
      <c r="J997" s="28" t="s">
        <v>39</v>
      </c>
      <c r="K997" s="28" t="s">
        <v>6211</v>
      </c>
      <c r="L997" s="28" t="s">
        <v>1722</v>
      </c>
      <c r="M997" s="28" t="s">
        <v>6212</v>
      </c>
      <c r="N997" s="28" t="s">
        <v>6205</v>
      </c>
      <c r="O997" s="28" t="s">
        <v>6206</v>
      </c>
      <c r="P997" s="28" t="s">
        <v>6213</v>
      </c>
    </row>
    <row r="998" spans="1:16" x14ac:dyDescent="0.25">
      <c r="A998" s="28" t="s">
        <v>6214</v>
      </c>
      <c r="B998" s="28" t="s">
        <v>6215</v>
      </c>
      <c r="C998" s="28" t="s">
        <v>1684</v>
      </c>
      <c r="D998" s="28" t="s">
        <v>5979</v>
      </c>
      <c r="E998" s="28" t="s">
        <v>6119</v>
      </c>
      <c r="F998" s="28" t="s">
        <v>21</v>
      </c>
      <c r="G998" s="28" t="s">
        <v>39</v>
      </c>
      <c r="H998" s="28" t="s">
        <v>6201</v>
      </c>
      <c r="I998" s="28" t="s">
        <v>6216</v>
      </c>
      <c r="J998" s="28" t="s">
        <v>39</v>
      </c>
      <c r="K998" s="28" t="s">
        <v>6217</v>
      </c>
      <c r="L998" s="28" t="s">
        <v>1722</v>
      </c>
      <c r="M998" s="28" t="s">
        <v>6218</v>
      </c>
      <c r="N998" s="28" t="s">
        <v>6205</v>
      </c>
      <c r="O998" s="28" t="s">
        <v>6206</v>
      </c>
      <c r="P998" s="28" t="s">
        <v>6219</v>
      </c>
    </row>
    <row r="999" spans="1:16" x14ac:dyDescent="0.25">
      <c r="A999" s="28" t="s">
        <v>6220</v>
      </c>
      <c r="B999" s="28" t="s">
        <v>6221</v>
      </c>
      <c r="C999" s="28" t="s">
        <v>1684</v>
      </c>
      <c r="D999" s="28" t="s">
        <v>5979</v>
      </c>
      <c r="E999" s="28" t="s">
        <v>6119</v>
      </c>
      <c r="F999" s="28" t="s">
        <v>21</v>
      </c>
      <c r="G999" s="28" t="s">
        <v>39</v>
      </c>
      <c r="H999" s="28" t="s">
        <v>6201</v>
      </c>
      <c r="I999" s="28" t="s">
        <v>6222</v>
      </c>
      <c r="J999" s="28" t="s">
        <v>39</v>
      </c>
      <c r="K999" s="28" t="s">
        <v>6223</v>
      </c>
      <c r="L999" s="28" t="s">
        <v>1722</v>
      </c>
      <c r="M999" s="28" t="s">
        <v>6224</v>
      </c>
      <c r="N999" s="28" t="s">
        <v>6205</v>
      </c>
      <c r="O999" s="28" t="s">
        <v>6206</v>
      </c>
      <c r="P999" s="28" t="s">
        <v>6225</v>
      </c>
    </row>
    <row r="1000" spans="1:16" x14ac:dyDescent="0.25">
      <c r="A1000" s="28" t="s">
        <v>6226</v>
      </c>
      <c r="B1000" s="28" t="s">
        <v>6227</v>
      </c>
      <c r="C1000" s="28" t="s">
        <v>1684</v>
      </c>
      <c r="D1000" s="28" t="s">
        <v>5979</v>
      </c>
      <c r="E1000" s="28" t="s">
        <v>6119</v>
      </c>
      <c r="F1000" s="28" t="s">
        <v>21</v>
      </c>
      <c r="G1000" s="28" t="s">
        <v>39</v>
      </c>
      <c r="H1000" s="28" t="s">
        <v>6201</v>
      </c>
      <c r="I1000" s="28" t="s">
        <v>6228</v>
      </c>
      <c r="J1000" s="28" t="s">
        <v>39</v>
      </c>
      <c r="K1000" s="28" t="s">
        <v>6229</v>
      </c>
      <c r="L1000" s="28" t="s">
        <v>1722</v>
      </c>
      <c r="M1000" s="28" t="s">
        <v>6230</v>
      </c>
      <c r="N1000" s="28" t="s">
        <v>6205</v>
      </c>
      <c r="O1000" s="28" t="s">
        <v>6206</v>
      </c>
      <c r="P1000" s="28" t="s">
        <v>6231</v>
      </c>
    </row>
    <row r="1001" spans="1:16" x14ac:dyDescent="0.25">
      <c r="A1001" s="28" t="s">
        <v>6232</v>
      </c>
      <c r="B1001" s="28" t="s">
        <v>6233</v>
      </c>
      <c r="C1001" s="28" t="s">
        <v>1684</v>
      </c>
      <c r="D1001" s="28" t="s">
        <v>5979</v>
      </c>
      <c r="E1001" s="28" t="s">
        <v>6119</v>
      </c>
      <c r="F1001" s="28" t="s">
        <v>21</v>
      </c>
      <c r="G1001" s="28" t="s">
        <v>39</v>
      </c>
      <c r="H1001" s="28" t="s">
        <v>6201</v>
      </c>
      <c r="I1001" s="28" t="s">
        <v>6234</v>
      </c>
      <c r="J1001" s="28" t="s">
        <v>39</v>
      </c>
      <c r="K1001" s="28" t="s">
        <v>6235</v>
      </c>
      <c r="L1001" s="28" t="s">
        <v>1722</v>
      </c>
      <c r="M1001" s="28" t="s">
        <v>6236</v>
      </c>
      <c r="N1001" s="28" t="s">
        <v>6205</v>
      </c>
      <c r="O1001" s="28" t="s">
        <v>6206</v>
      </c>
      <c r="P1001" s="28" t="s">
        <v>6237</v>
      </c>
    </row>
    <row r="1002" spans="1:16" x14ac:dyDescent="0.25">
      <c r="A1002" s="28" t="s">
        <v>6238</v>
      </c>
      <c r="B1002" s="28" t="s">
        <v>6239</v>
      </c>
      <c r="C1002" s="28" t="s">
        <v>1684</v>
      </c>
      <c r="D1002" s="28" t="s">
        <v>5979</v>
      </c>
      <c r="E1002" s="28" t="s">
        <v>6119</v>
      </c>
      <c r="F1002" s="28" t="s">
        <v>21</v>
      </c>
      <c r="G1002" s="28" t="s">
        <v>39</v>
      </c>
      <c r="H1002" s="28" t="s">
        <v>6240</v>
      </c>
      <c r="I1002" s="28" t="s">
        <v>6241</v>
      </c>
      <c r="J1002" s="28" t="s">
        <v>39</v>
      </c>
      <c r="K1002" s="28" t="s">
        <v>6242</v>
      </c>
      <c r="L1002" s="28" t="s">
        <v>1722</v>
      </c>
      <c r="M1002" s="28" t="s">
        <v>6243</v>
      </c>
      <c r="N1002" s="28" t="s">
        <v>6244</v>
      </c>
      <c r="O1002" s="28" t="s">
        <v>6245</v>
      </c>
      <c r="P1002" s="28" t="s">
        <v>6246</v>
      </c>
    </row>
    <row r="1003" spans="1:16" x14ac:dyDescent="0.25">
      <c r="A1003" s="28" t="s">
        <v>6247</v>
      </c>
      <c r="B1003" s="28" t="s">
        <v>6248</v>
      </c>
      <c r="C1003" s="28" t="s">
        <v>1684</v>
      </c>
      <c r="D1003" s="28" t="s">
        <v>5979</v>
      </c>
      <c r="E1003" s="28" t="s">
        <v>6119</v>
      </c>
      <c r="F1003" s="28" t="s">
        <v>21</v>
      </c>
      <c r="G1003" s="28" t="s">
        <v>39</v>
      </c>
      <c r="H1003" s="28" t="s">
        <v>6240</v>
      </c>
      <c r="I1003" s="28" t="s">
        <v>6249</v>
      </c>
      <c r="J1003" s="28" t="s">
        <v>39</v>
      </c>
      <c r="K1003" s="28" t="s">
        <v>6250</v>
      </c>
      <c r="L1003" s="28" t="s">
        <v>1722</v>
      </c>
      <c r="M1003" s="28" t="s">
        <v>6251</v>
      </c>
      <c r="N1003" s="28" t="s">
        <v>6244</v>
      </c>
      <c r="O1003" s="28" t="s">
        <v>6245</v>
      </c>
      <c r="P1003" s="28" t="s">
        <v>6252</v>
      </c>
    </row>
    <row r="1004" spans="1:16" x14ac:dyDescent="0.25">
      <c r="A1004" s="28" t="s">
        <v>6253</v>
      </c>
      <c r="B1004" s="28" t="s">
        <v>6254</v>
      </c>
      <c r="C1004" s="28" t="s">
        <v>1684</v>
      </c>
      <c r="D1004" s="28" t="s">
        <v>5979</v>
      </c>
      <c r="E1004" s="28" t="s">
        <v>6119</v>
      </c>
      <c r="F1004" s="28" t="s">
        <v>21</v>
      </c>
      <c r="G1004" s="28" t="s">
        <v>39</v>
      </c>
      <c r="H1004" s="28" t="s">
        <v>6240</v>
      </c>
      <c r="I1004" s="28" t="s">
        <v>6255</v>
      </c>
      <c r="J1004" s="28" t="s">
        <v>39</v>
      </c>
      <c r="K1004" s="28" t="s">
        <v>6256</v>
      </c>
      <c r="L1004" s="28" t="s">
        <v>1722</v>
      </c>
      <c r="M1004" s="28" t="s">
        <v>6257</v>
      </c>
      <c r="N1004" s="28" t="s">
        <v>6244</v>
      </c>
      <c r="O1004" s="28" t="s">
        <v>6245</v>
      </c>
      <c r="P1004" s="28" t="s">
        <v>6258</v>
      </c>
    </row>
    <row r="1005" spans="1:16" x14ac:dyDescent="0.25">
      <c r="A1005" s="28" t="s">
        <v>6259</v>
      </c>
      <c r="B1005" s="28" t="s">
        <v>6260</v>
      </c>
      <c r="C1005" s="28" t="s">
        <v>1684</v>
      </c>
      <c r="D1005" s="28" t="s">
        <v>5979</v>
      </c>
      <c r="E1005" s="28" t="s">
        <v>6119</v>
      </c>
      <c r="F1005" s="28" t="s">
        <v>21</v>
      </c>
      <c r="G1005" s="28" t="s">
        <v>135</v>
      </c>
      <c r="H1005" s="28" t="s">
        <v>6240</v>
      </c>
      <c r="I1005" s="28" t="s">
        <v>6261</v>
      </c>
      <c r="J1005" s="28" t="s">
        <v>135</v>
      </c>
      <c r="K1005" s="28" t="s">
        <v>6262</v>
      </c>
      <c r="L1005" s="28" t="s">
        <v>1722</v>
      </c>
      <c r="M1005" s="28" t="s">
        <v>6263</v>
      </c>
      <c r="N1005" s="28" t="s">
        <v>6244</v>
      </c>
      <c r="O1005" s="28" t="s">
        <v>6245</v>
      </c>
      <c r="P1005" s="28" t="s">
        <v>6264</v>
      </c>
    </row>
    <row r="1006" spans="1:16" x14ac:dyDescent="0.25">
      <c r="A1006" s="28" t="s">
        <v>6265</v>
      </c>
      <c r="B1006" s="28" t="s">
        <v>6266</v>
      </c>
      <c r="C1006" s="28" t="s">
        <v>1684</v>
      </c>
      <c r="D1006" s="28" t="s">
        <v>5979</v>
      </c>
      <c r="E1006" s="28" t="s">
        <v>6119</v>
      </c>
      <c r="F1006" s="28" t="s">
        <v>21</v>
      </c>
      <c r="G1006" s="28" t="s">
        <v>39</v>
      </c>
      <c r="H1006" s="28" t="s">
        <v>6267</v>
      </c>
      <c r="I1006" s="28" t="s">
        <v>6268</v>
      </c>
      <c r="J1006" s="28" t="s">
        <v>39</v>
      </c>
      <c r="K1006" s="28" t="s">
        <v>6269</v>
      </c>
      <c r="L1006" s="28" t="s">
        <v>1722</v>
      </c>
      <c r="M1006" s="28" t="s">
        <v>6270</v>
      </c>
      <c r="N1006" s="28" t="s">
        <v>6271</v>
      </c>
      <c r="O1006" s="28" t="s">
        <v>6272</v>
      </c>
      <c r="P1006" s="28" t="s">
        <v>6273</v>
      </c>
    </row>
    <row r="1007" spans="1:16" x14ac:dyDescent="0.25">
      <c r="A1007" s="28" t="s">
        <v>6274</v>
      </c>
      <c r="B1007" s="28" t="s">
        <v>6275</v>
      </c>
      <c r="C1007" s="28" t="s">
        <v>1684</v>
      </c>
      <c r="D1007" s="28" t="s">
        <v>5979</v>
      </c>
      <c r="E1007" s="28" t="s">
        <v>6119</v>
      </c>
      <c r="F1007" s="28" t="s">
        <v>21</v>
      </c>
      <c r="G1007" s="28" t="s">
        <v>39</v>
      </c>
      <c r="H1007" s="28" t="s">
        <v>6267</v>
      </c>
      <c r="I1007" s="28" t="s">
        <v>6276</v>
      </c>
      <c r="J1007" s="28" t="s">
        <v>39</v>
      </c>
      <c r="K1007" s="28" t="s">
        <v>6277</v>
      </c>
      <c r="L1007" s="28" t="s">
        <v>1722</v>
      </c>
      <c r="M1007" s="28" t="s">
        <v>6278</v>
      </c>
      <c r="N1007" s="28" t="s">
        <v>6271</v>
      </c>
      <c r="O1007" s="28" t="s">
        <v>6272</v>
      </c>
      <c r="P1007" s="28" t="s">
        <v>6279</v>
      </c>
    </row>
    <row r="1008" spans="1:16" x14ac:dyDescent="0.25">
      <c r="A1008" s="28" t="s">
        <v>6280</v>
      </c>
      <c r="B1008" s="28" t="s">
        <v>6281</v>
      </c>
      <c r="C1008" s="28" t="s">
        <v>1684</v>
      </c>
      <c r="D1008" s="28" t="s">
        <v>5979</v>
      </c>
      <c r="E1008" s="28" t="s">
        <v>6119</v>
      </c>
      <c r="F1008" s="28" t="s">
        <v>21</v>
      </c>
      <c r="G1008" s="28" t="s">
        <v>39</v>
      </c>
      <c r="H1008" s="28" t="s">
        <v>6267</v>
      </c>
      <c r="I1008" s="28" t="s">
        <v>6282</v>
      </c>
      <c r="J1008" s="28" t="s">
        <v>39</v>
      </c>
      <c r="K1008" s="28" t="s">
        <v>6283</v>
      </c>
      <c r="L1008" s="28" t="s">
        <v>1722</v>
      </c>
      <c r="M1008" s="28" t="s">
        <v>6284</v>
      </c>
      <c r="N1008" s="28" t="s">
        <v>6271</v>
      </c>
      <c r="O1008" s="28" t="s">
        <v>6272</v>
      </c>
      <c r="P1008" s="28" t="s">
        <v>6285</v>
      </c>
    </row>
    <row r="1009" spans="1:16" x14ac:dyDescent="0.25">
      <c r="A1009" s="28" t="s">
        <v>6286</v>
      </c>
      <c r="B1009" s="28" t="s">
        <v>6287</v>
      </c>
      <c r="C1009" s="28" t="s">
        <v>1684</v>
      </c>
      <c r="D1009" s="28" t="s">
        <v>5979</v>
      </c>
      <c r="E1009" s="28" t="s">
        <v>6119</v>
      </c>
      <c r="F1009" s="28" t="s">
        <v>21</v>
      </c>
      <c r="G1009" s="28" t="s">
        <v>39</v>
      </c>
      <c r="H1009" s="28" t="s">
        <v>6267</v>
      </c>
      <c r="I1009" s="28" t="s">
        <v>6288</v>
      </c>
      <c r="J1009" s="28" t="s">
        <v>39</v>
      </c>
      <c r="K1009" s="28" t="s">
        <v>6289</v>
      </c>
      <c r="L1009" s="28" t="s">
        <v>1722</v>
      </c>
      <c r="M1009" s="28" t="s">
        <v>6290</v>
      </c>
      <c r="N1009" s="28" t="s">
        <v>6271</v>
      </c>
      <c r="O1009" s="28" t="s">
        <v>6272</v>
      </c>
      <c r="P1009" s="28" t="s">
        <v>6291</v>
      </c>
    </row>
    <row r="1010" spans="1:16" x14ac:dyDescent="0.25">
      <c r="A1010" s="28" t="s">
        <v>6292</v>
      </c>
      <c r="B1010" s="28" t="s">
        <v>6293</v>
      </c>
      <c r="C1010" s="28" t="s">
        <v>1684</v>
      </c>
      <c r="D1010" s="28" t="s">
        <v>5979</v>
      </c>
      <c r="E1010" s="28" t="s">
        <v>6119</v>
      </c>
      <c r="F1010" s="28" t="s">
        <v>21</v>
      </c>
      <c r="G1010" s="28" t="s">
        <v>39</v>
      </c>
      <c r="H1010" s="28" t="s">
        <v>6267</v>
      </c>
      <c r="I1010" s="28" t="s">
        <v>6294</v>
      </c>
      <c r="J1010" s="28" t="s">
        <v>39</v>
      </c>
      <c r="K1010" s="28" t="s">
        <v>6295</v>
      </c>
      <c r="L1010" s="28" t="s">
        <v>1722</v>
      </c>
      <c r="M1010" s="28" t="s">
        <v>6296</v>
      </c>
      <c r="N1010" s="28" t="s">
        <v>6271</v>
      </c>
      <c r="O1010" s="28" t="s">
        <v>6272</v>
      </c>
      <c r="P1010" s="28" t="s">
        <v>6297</v>
      </c>
    </row>
    <row r="1011" spans="1:16" x14ac:dyDescent="0.25">
      <c r="A1011" s="28" t="s">
        <v>6298</v>
      </c>
      <c r="B1011" s="28" t="s">
        <v>6299</v>
      </c>
      <c r="C1011" s="28" t="s">
        <v>1684</v>
      </c>
      <c r="D1011" s="28" t="s">
        <v>5979</v>
      </c>
      <c r="E1011" s="28" t="s">
        <v>6119</v>
      </c>
      <c r="F1011" s="28" t="s">
        <v>21</v>
      </c>
      <c r="G1011" s="28" t="s">
        <v>39</v>
      </c>
      <c r="H1011" s="28" t="s">
        <v>6267</v>
      </c>
      <c r="I1011" s="28" t="s">
        <v>6300</v>
      </c>
      <c r="J1011" s="28" t="s">
        <v>39</v>
      </c>
      <c r="K1011" s="28" t="s">
        <v>6301</v>
      </c>
      <c r="L1011" s="28" t="s">
        <v>1722</v>
      </c>
      <c r="M1011" s="28" t="s">
        <v>6302</v>
      </c>
      <c r="N1011" s="28" t="s">
        <v>6271</v>
      </c>
      <c r="O1011" s="28" t="s">
        <v>6272</v>
      </c>
      <c r="P1011" s="28" t="s">
        <v>6303</v>
      </c>
    </row>
    <row r="1012" spans="1:16" x14ac:dyDescent="0.25">
      <c r="A1012" s="28" t="s">
        <v>6304</v>
      </c>
      <c r="B1012" s="28" t="s">
        <v>6305</v>
      </c>
      <c r="C1012" s="28" t="s">
        <v>6306</v>
      </c>
      <c r="D1012" s="28" t="s">
        <v>6307</v>
      </c>
      <c r="F1012" s="28" t="s">
        <v>6308</v>
      </c>
      <c r="G1012" s="28" t="s">
        <v>6309</v>
      </c>
      <c r="H1012" s="28" t="s">
        <v>6310</v>
      </c>
      <c r="I1012" s="28" t="s">
        <v>6311</v>
      </c>
      <c r="J1012" s="28" t="s">
        <v>6312</v>
      </c>
      <c r="K1012" s="28" t="s">
        <v>6313</v>
      </c>
      <c r="L1012" s="28" t="s">
        <v>6314</v>
      </c>
      <c r="M1012" s="28" t="s">
        <v>6315</v>
      </c>
      <c r="N1012" s="28" t="s">
        <v>6316</v>
      </c>
      <c r="O1012" s="28" t="s">
        <v>6317</v>
      </c>
      <c r="P1012" s="28" t="s">
        <v>6318</v>
      </c>
    </row>
    <row r="1013" spans="1:16" x14ac:dyDescent="0.25">
      <c r="A1013" s="28" t="s">
        <v>6319</v>
      </c>
      <c r="B1013" s="28" t="s">
        <v>6320</v>
      </c>
      <c r="C1013" s="28" t="s">
        <v>6306</v>
      </c>
      <c r="D1013" s="28" t="s">
        <v>6321</v>
      </c>
      <c r="F1013" s="28" t="s">
        <v>6308</v>
      </c>
      <c r="G1013" s="28" t="s">
        <v>6309</v>
      </c>
      <c r="H1013" s="28" t="s">
        <v>6310</v>
      </c>
      <c r="I1013" s="28" t="s">
        <v>6322</v>
      </c>
      <c r="J1013" s="28" t="s">
        <v>6312</v>
      </c>
      <c r="K1013" s="28" t="s">
        <v>6313</v>
      </c>
      <c r="L1013" s="28" t="s">
        <v>6314</v>
      </c>
      <c r="M1013" s="28" t="s">
        <v>6323</v>
      </c>
      <c r="N1013" s="28" t="s">
        <v>6316</v>
      </c>
      <c r="O1013" s="28" t="s">
        <v>6317</v>
      </c>
      <c r="P1013" s="28" t="s">
        <v>6318</v>
      </c>
    </row>
    <row r="1014" spans="1:16" x14ac:dyDescent="0.25">
      <c r="A1014" s="28" t="s">
        <v>6324</v>
      </c>
      <c r="B1014" s="28" t="s">
        <v>6325</v>
      </c>
      <c r="C1014" s="28" t="s">
        <v>6306</v>
      </c>
      <c r="D1014" s="28" t="s">
        <v>6326</v>
      </c>
      <c r="F1014" s="28" t="s">
        <v>6308</v>
      </c>
      <c r="G1014" s="28" t="s">
        <v>6309</v>
      </c>
      <c r="H1014" s="28" t="s">
        <v>6310</v>
      </c>
      <c r="I1014" s="28" t="s">
        <v>6327</v>
      </c>
      <c r="J1014" s="28" t="s">
        <v>6312</v>
      </c>
      <c r="K1014" s="28" t="s">
        <v>6313</v>
      </c>
      <c r="L1014" s="28" t="s">
        <v>6314</v>
      </c>
      <c r="M1014" s="28" t="s">
        <v>6328</v>
      </c>
      <c r="N1014" s="28" t="s">
        <v>6316</v>
      </c>
      <c r="O1014" s="28" t="s">
        <v>6317</v>
      </c>
      <c r="P1014" s="28" t="s">
        <v>6318</v>
      </c>
    </row>
    <row r="1015" spans="1:16" x14ac:dyDescent="0.25">
      <c r="A1015" s="28" t="s">
        <v>6329</v>
      </c>
      <c r="B1015" s="28" t="s">
        <v>6330</v>
      </c>
      <c r="C1015" s="28" t="s">
        <v>6306</v>
      </c>
      <c r="D1015" s="28" t="s">
        <v>6331</v>
      </c>
      <c r="F1015" s="28" t="s">
        <v>6308</v>
      </c>
      <c r="G1015" s="28" t="s">
        <v>6309</v>
      </c>
      <c r="H1015" s="28" t="s">
        <v>6310</v>
      </c>
      <c r="I1015" s="28" t="s">
        <v>6332</v>
      </c>
      <c r="J1015" s="28" t="s">
        <v>6312</v>
      </c>
      <c r="K1015" s="28" t="s">
        <v>6313</v>
      </c>
      <c r="L1015" s="28" t="s">
        <v>6314</v>
      </c>
      <c r="M1015" s="28" t="s">
        <v>6333</v>
      </c>
      <c r="N1015" s="28" t="s">
        <v>6316</v>
      </c>
      <c r="O1015" s="28" t="s">
        <v>6317</v>
      </c>
      <c r="P1015" s="28" t="s">
        <v>6318</v>
      </c>
    </row>
    <row r="1016" spans="1:16" x14ac:dyDescent="0.25">
      <c r="A1016" s="28" t="s">
        <v>6334</v>
      </c>
      <c r="B1016" s="28" t="s">
        <v>6335</v>
      </c>
      <c r="C1016" s="28" t="s">
        <v>6306</v>
      </c>
      <c r="D1016" s="28" t="s">
        <v>6336</v>
      </c>
      <c r="F1016" s="28" t="s">
        <v>6308</v>
      </c>
      <c r="G1016" s="28" t="s">
        <v>6309</v>
      </c>
      <c r="H1016" s="28" t="s">
        <v>6310</v>
      </c>
      <c r="I1016" s="28" t="s">
        <v>6337</v>
      </c>
      <c r="J1016" s="28" t="s">
        <v>6312</v>
      </c>
      <c r="K1016" s="28" t="s">
        <v>6313</v>
      </c>
      <c r="L1016" s="28" t="s">
        <v>6314</v>
      </c>
      <c r="M1016" s="28" t="s">
        <v>6338</v>
      </c>
      <c r="N1016" s="28" t="s">
        <v>6316</v>
      </c>
      <c r="O1016" s="28" t="s">
        <v>6317</v>
      </c>
      <c r="P1016" s="28" t="s">
        <v>6318</v>
      </c>
    </row>
    <row r="1017" spans="1:16" x14ac:dyDescent="0.25">
      <c r="A1017" s="28" t="s">
        <v>6339</v>
      </c>
      <c r="B1017" s="28" t="s">
        <v>6340</v>
      </c>
      <c r="C1017" s="28" t="s">
        <v>6306</v>
      </c>
      <c r="D1017" s="28" t="s">
        <v>6341</v>
      </c>
      <c r="F1017" s="28" t="s">
        <v>6308</v>
      </c>
      <c r="G1017" s="28" t="s">
        <v>6309</v>
      </c>
      <c r="H1017" s="28" t="s">
        <v>6310</v>
      </c>
      <c r="I1017" s="28" t="s">
        <v>6342</v>
      </c>
      <c r="J1017" s="28" t="s">
        <v>6312</v>
      </c>
      <c r="K1017" s="28" t="s">
        <v>6313</v>
      </c>
      <c r="L1017" s="28" t="s">
        <v>6314</v>
      </c>
      <c r="M1017" s="28" t="s">
        <v>6343</v>
      </c>
      <c r="N1017" s="28" t="s">
        <v>6316</v>
      </c>
      <c r="O1017" s="28" t="s">
        <v>6317</v>
      </c>
      <c r="P1017" s="28" t="s">
        <v>6318</v>
      </c>
    </row>
    <row r="1018" spans="1:16" x14ac:dyDescent="0.25">
      <c r="A1018" s="28" t="s">
        <v>6344</v>
      </c>
      <c r="B1018" s="28" t="s">
        <v>6345</v>
      </c>
      <c r="C1018" s="28" t="s">
        <v>6306</v>
      </c>
      <c r="D1018" s="28" t="s">
        <v>6346</v>
      </c>
      <c r="F1018" s="28" t="s">
        <v>6308</v>
      </c>
      <c r="G1018" s="28" t="s">
        <v>6309</v>
      </c>
      <c r="H1018" s="28" t="s">
        <v>6310</v>
      </c>
      <c r="I1018" s="28" t="s">
        <v>6347</v>
      </c>
      <c r="J1018" s="28" t="s">
        <v>6312</v>
      </c>
      <c r="K1018" s="28" t="s">
        <v>6313</v>
      </c>
      <c r="L1018" s="28" t="s">
        <v>6314</v>
      </c>
      <c r="M1018" s="28" t="s">
        <v>6348</v>
      </c>
      <c r="N1018" s="28" t="s">
        <v>6316</v>
      </c>
      <c r="O1018" s="28" t="s">
        <v>6317</v>
      </c>
      <c r="P1018" s="28" t="s">
        <v>6318</v>
      </c>
    </row>
    <row r="1019" spans="1:16" x14ac:dyDescent="0.25">
      <c r="A1019" s="28" t="s">
        <v>6349</v>
      </c>
      <c r="B1019" s="28" t="s">
        <v>6350</v>
      </c>
      <c r="C1019" s="28" t="s">
        <v>6306</v>
      </c>
      <c r="D1019" s="28" t="s">
        <v>6351</v>
      </c>
      <c r="F1019" s="28" t="s">
        <v>6308</v>
      </c>
      <c r="G1019" s="28" t="s">
        <v>6309</v>
      </c>
      <c r="H1019" s="28" t="s">
        <v>6310</v>
      </c>
      <c r="I1019" s="28" t="s">
        <v>6352</v>
      </c>
      <c r="J1019" s="28" t="s">
        <v>6312</v>
      </c>
      <c r="K1019" s="28" t="s">
        <v>6313</v>
      </c>
      <c r="L1019" s="28" t="s">
        <v>6314</v>
      </c>
      <c r="M1019" s="28" t="s">
        <v>6353</v>
      </c>
      <c r="N1019" s="28" t="s">
        <v>6316</v>
      </c>
      <c r="O1019" s="28" t="s">
        <v>6317</v>
      </c>
      <c r="P1019" s="28" t="s">
        <v>6318</v>
      </c>
    </row>
    <row r="1020" spans="1:16" x14ac:dyDescent="0.25">
      <c r="A1020" s="28" t="s">
        <v>6354</v>
      </c>
      <c r="B1020" s="28" t="s">
        <v>6355</v>
      </c>
      <c r="C1020" s="28" t="s">
        <v>6306</v>
      </c>
      <c r="D1020" s="28" t="s">
        <v>6356</v>
      </c>
      <c r="F1020" s="28" t="s">
        <v>6308</v>
      </c>
      <c r="G1020" s="28" t="s">
        <v>6309</v>
      </c>
      <c r="H1020" s="28" t="s">
        <v>6310</v>
      </c>
      <c r="I1020" s="28" t="s">
        <v>6357</v>
      </c>
      <c r="J1020" s="28" t="s">
        <v>6312</v>
      </c>
      <c r="K1020" s="28" t="s">
        <v>6313</v>
      </c>
      <c r="L1020" s="28" t="s">
        <v>6314</v>
      </c>
      <c r="M1020" s="28" t="s">
        <v>6358</v>
      </c>
      <c r="N1020" s="28" t="s">
        <v>6316</v>
      </c>
      <c r="O1020" s="28" t="s">
        <v>6317</v>
      </c>
      <c r="P1020" s="28" t="s">
        <v>6318</v>
      </c>
    </row>
    <row r="1021" spans="1:16" x14ac:dyDescent="0.25">
      <c r="A1021" s="28" t="s">
        <v>6359</v>
      </c>
      <c r="B1021" s="28" t="s">
        <v>6360</v>
      </c>
      <c r="C1021" s="28" t="s">
        <v>6306</v>
      </c>
      <c r="D1021" s="28" t="s">
        <v>6361</v>
      </c>
      <c r="F1021" s="28" t="s">
        <v>6308</v>
      </c>
      <c r="G1021" s="28" t="s">
        <v>6309</v>
      </c>
      <c r="H1021" s="28" t="s">
        <v>6310</v>
      </c>
      <c r="I1021" s="28" t="s">
        <v>6362</v>
      </c>
      <c r="J1021" s="28" t="s">
        <v>6312</v>
      </c>
      <c r="K1021" s="28" t="s">
        <v>6313</v>
      </c>
      <c r="L1021" s="28" t="s">
        <v>6314</v>
      </c>
      <c r="M1021" s="28" t="s">
        <v>6363</v>
      </c>
      <c r="N1021" s="28" t="s">
        <v>6316</v>
      </c>
      <c r="O1021" s="28" t="s">
        <v>6317</v>
      </c>
      <c r="P1021" s="28" t="s">
        <v>6318</v>
      </c>
    </row>
    <row r="1022" spans="1:16" x14ac:dyDescent="0.25">
      <c r="A1022" s="28" t="s">
        <v>6364</v>
      </c>
      <c r="B1022" s="28" t="s">
        <v>6365</v>
      </c>
      <c r="C1022" s="28" t="s">
        <v>6306</v>
      </c>
      <c r="D1022" s="28" t="s">
        <v>6366</v>
      </c>
      <c r="F1022" s="28" t="s">
        <v>6308</v>
      </c>
      <c r="G1022" s="28" t="s">
        <v>6309</v>
      </c>
      <c r="H1022" s="28" t="s">
        <v>6310</v>
      </c>
      <c r="I1022" s="28" t="s">
        <v>6367</v>
      </c>
      <c r="J1022" s="28" t="s">
        <v>6312</v>
      </c>
      <c r="K1022" s="28" t="s">
        <v>6313</v>
      </c>
      <c r="L1022" s="28" t="s">
        <v>6314</v>
      </c>
      <c r="M1022" s="28" t="s">
        <v>6368</v>
      </c>
      <c r="N1022" s="28" t="s">
        <v>6316</v>
      </c>
      <c r="O1022" s="28" t="s">
        <v>6317</v>
      </c>
      <c r="P1022" s="28" t="s">
        <v>6318</v>
      </c>
    </row>
    <row r="1023" spans="1:16" x14ac:dyDescent="0.25">
      <c r="A1023" s="28" t="s">
        <v>6369</v>
      </c>
      <c r="B1023" s="28" t="s">
        <v>6370</v>
      </c>
      <c r="C1023" s="28" t="s">
        <v>6306</v>
      </c>
      <c r="D1023" s="28" t="s">
        <v>6371</v>
      </c>
      <c r="F1023" s="28" t="s">
        <v>6308</v>
      </c>
      <c r="G1023" s="28" t="s">
        <v>6309</v>
      </c>
      <c r="H1023" s="28" t="s">
        <v>6310</v>
      </c>
      <c r="I1023" s="28" t="s">
        <v>6372</v>
      </c>
      <c r="J1023" s="28" t="s">
        <v>6312</v>
      </c>
      <c r="K1023" s="28" t="s">
        <v>6313</v>
      </c>
      <c r="L1023" s="28" t="s">
        <v>6314</v>
      </c>
      <c r="M1023" s="28" t="s">
        <v>6373</v>
      </c>
      <c r="N1023" s="28" t="s">
        <v>6316</v>
      </c>
      <c r="O1023" s="28" t="s">
        <v>6317</v>
      </c>
      <c r="P1023" s="28" t="s">
        <v>6318</v>
      </c>
    </row>
    <row r="1024" spans="1:16" x14ac:dyDescent="0.25">
      <c r="A1024" s="28" t="s">
        <v>6374</v>
      </c>
      <c r="B1024" s="28" t="s">
        <v>6375</v>
      </c>
      <c r="C1024" s="28" t="s">
        <v>6306</v>
      </c>
      <c r="D1024" s="28" t="s">
        <v>6376</v>
      </c>
      <c r="F1024" s="28" t="s">
        <v>6308</v>
      </c>
      <c r="G1024" s="28" t="s">
        <v>6309</v>
      </c>
      <c r="H1024" s="28" t="s">
        <v>6310</v>
      </c>
      <c r="I1024" s="28" t="s">
        <v>6377</v>
      </c>
      <c r="J1024" s="28" t="s">
        <v>6312</v>
      </c>
      <c r="K1024" s="28" t="s">
        <v>6313</v>
      </c>
      <c r="L1024" s="28" t="s">
        <v>6314</v>
      </c>
      <c r="M1024" s="28" t="s">
        <v>6378</v>
      </c>
      <c r="N1024" s="28" t="s">
        <v>6316</v>
      </c>
      <c r="O1024" s="28" t="s">
        <v>6317</v>
      </c>
      <c r="P1024" s="28" t="s">
        <v>6318</v>
      </c>
    </row>
    <row r="1025" spans="1:16" x14ac:dyDescent="0.25">
      <c r="A1025" s="28" t="s">
        <v>6379</v>
      </c>
      <c r="B1025" s="28" t="s">
        <v>6380</v>
      </c>
      <c r="C1025" s="28" t="s">
        <v>6306</v>
      </c>
      <c r="D1025" s="28" t="s">
        <v>6381</v>
      </c>
      <c r="F1025" s="28" t="s">
        <v>6308</v>
      </c>
      <c r="G1025" s="28" t="s">
        <v>6309</v>
      </c>
      <c r="H1025" s="28" t="s">
        <v>6310</v>
      </c>
      <c r="I1025" s="28" t="s">
        <v>6382</v>
      </c>
      <c r="J1025" s="28" t="s">
        <v>6312</v>
      </c>
      <c r="K1025" s="28" t="s">
        <v>6313</v>
      </c>
      <c r="L1025" s="28" t="s">
        <v>6314</v>
      </c>
      <c r="M1025" s="28" t="s">
        <v>6383</v>
      </c>
      <c r="N1025" s="28" t="s">
        <v>6316</v>
      </c>
      <c r="O1025" s="28" t="s">
        <v>6317</v>
      </c>
      <c r="P1025" s="28" t="s">
        <v>6318</v>
      </c>
    </row>
    <row r="1026" spans="1:16" x14ac:dyDescent="0.25">
      <c r="A1026" s="28" t="s">
        <v>6384</v>
      </c>
      <c r="B1026" s="28" t="s">
        <v>6385</v>
      </c>
      <c r="C1026" s="28" t="s">
        <v>6306</v>
      </c>
      <c r="D1026" s="28" t="s">
        <v>6386</v>
      </c>
      <c r="F1026" s="28" t="s">
        <v>6308</v>
      </c>
      <c r="G1026" s="28" t="s">
        <v>6309</v>
      </c>
      <c r="H1026" s="28" t="s">
        <v>6310</v>
      </c>
      <c r="I1026" s="28" t="s">
        <v>6387</v>
      </c>
      <c r="J1026" s="28" t="s">
        <v>6312</v>
      </c>
      <c r="K1026" s="28" t="s">
        <v>6313</v>
      </c>
      <c r="L1026" s="28" t="s">
        <v>6314</v>
      </c>
      <c r="M1026" s="28" t="s">
        <v>6388</v>
      </c>
      <c r="N1026" s="28" t="s">
        <v>6316</v>
      </c>
      <c r="O1026" s="28" t="s">
        <v>6317</v>
      </c>
      <c r="P1026" s="28" t="s">
        <v>6318</v>
      </c>
    </row>
    <row r="1027" spans="1:16" x14ac:dyDescent="0.25">
      <c r="A1027" s="28" t="s">
        <v>6389</v>
      </c>
      <c r="B1027" s="28" t="s">
        <v>6390</v>
      </c>
      <c r="C1027" s="28" t="s">
        <v>6306</v>
      </c>
      <c r="D1027" s="28" t="s">
        <v>6391</v>
      </c>
      <c r="F1027" s="28" t="s">
        <v>6308</v>
      </c>
      <c r="G1027" s="28" t="s">
        <v>6309</v>
      </c>
      <c r="H1027" s="28" t="s">
        <v>6310</v>
      </c>
      <c r="I1027" s="28" t="s">
        <v>6392</v>
      </c>
      <c r="J1027" s="28" t="s">
        <v>6312</v>
      </c>
      <c r="K1027" s="28" t="s">
        <v>6313</v>
      </c>
      <c r="L1027" s="28" t="s">
        <v>6314</v>
      </c>
      <c r="M1027" s="28" t="s">
        <v>6393</v>
      </c>
      <c r="N1027" s="28" t="s">
        <v>6316</v>
      </c>
      <c r="O1027" s="28" t="s">
        <v>6317</v>
      </c>
      <c r="P1027" s="28" t="s">
        <v>6318</v>
      </c>
    </row>
    <row r="1028" spans="1:16" x14ac:dyDescent="0.25">
      <c r="A1028" s="28" t="s">
        <v>6394</v>
      </c>
      <c r="B1028" s="28" t="s">
        <v>6395</v>
      </c>
      <c r="C1028" s="28" t="s">
        <v>6306</v>
      </c>
      <c r="D1028" s="28" t="s">
        <v>6396</v>
      </c>
      <c r="F1028" s="28" t="s">
        <v>6308</v>
      </c>
      <c r="G1028" s="28" t="s">
        <v>6309</v>
      </c>
      <c r="H1028" s="28" t="s">
        <v>6310</v>
      </c>
      <c r="I1028" s="28" t="s">
        <v>6397</v>
      </c>
      <c r="J1028" s="28" t="s">
        <v>6312</v>
      </c>
      <c r="K1028" s="28" t="s">
        <v>6313</v>
      </c>
      <c r="L1028" s="28" t="s">
        <v>6314</v>
      </c>
      <c r="M1028" s="28" t="s">
        <v>6398</v>
      </c>
      <c r="N1028" s="28" t="s">
        <v>6316</v>
      </c>
      <c r="O1028" s="28" t="s">
        <v>6317</v>
      </c>
      <c r="P1028" s="28" t="s">
        <v>6318</v>
      </c>
    </row>
    <row r="1029" spans="1:16" x14ac:dyDescent="0.25">
      <c r="A1029" s="28" t="s">
        <v>6399</v>
      </c>
      <c r="B1029" s="28" t="s">
        <v>6400</v>
      </c>
      <c r="C1029" s="28" t="s">
        <v>6306</v>
      </c>
      <c r="D1029" s="28" t="s">
        <v>6401</v>
      </c>
      <c r="F1029" s="28" t="s">
        <v>6308</v>
      </c>
      <c r="G1029" s="28" t="s">
        <v>6309</v>
      </c>
      <c r="H1029" s="28" t="s">
        <v>6310</v>
      </c>
      <c r="I1029" s="28" t="s">
        <v>6402</v>
      </c>
      <c r="J1029" s="28" t="s">
        <v>6312</v>
      </c>
      <c r="K1029" s="28" t="s">
        <v>6313</v>
      </c>
      <c r="L1029" s="28" t="s">
        <v>6314</v>
      </c>
      <c r="M1029" s="28" t="s">
        <v>6403</v>
      </c>
      <c r="N1029" s="28" t="s">
        <v>6316</v>
      </c>
      <c r="O1029" s="28" t="s">
        <v>6317</v>
      </c>
      <c r="P1029" s="28" t="s">
        <v>6318</v>
      </c>
    </row>
    <row r="1030" spans="1:16" x14ac:dyDescent="0.25">
      <c r="A1030" s="28" t="s">
        <v>6404</v>
      </c>
      <c r="B1030" s="28" t="s">
        <v>6405</v>
      </c>
      <c r="C1030" s="28" t="s">
        <v>6306</v>
      </c>
      <c r="D1030" s="28" t="s">
        <v>6406</v>
      </c>
      <c r="F1030" s="28" t="s">
        <v>6308</v>
      </c>
      <c r="G1030" s="28" t="s">
        <v>6309</v>
      </c>
      <c r="H1030" s="28" t="s">
        <v>6310</v>
      </c>
      <c r="I1030" s="28" t="s">
        <v>6407</v>
      </c>
      <c r="J1030" s="28" t="s">
        <v>6312</v>
      </c>
      <c r="K1030" s="28" t="s">
        <v>6313</v>
      </c>
      <c r="L1030" s="28" t="s">
        <v>6314</v>
      </c>
      <c r="M1030" s="28" t="s">
        <v>6408</v>
      </c>
      <c r="N1030" s="28" t="s">
        <v>6316</v>
      </c>
      <c r="O1030" s="28" t="s">
        <v>6317</v>
      </c>
      <c r="P1030" s="28" t="s">
        <v>6318</v>
      </c>
    </row>
    <row r="1031" spans="1:16" x14ac:dyDescent="0.25">
      <c r="A1031" s="28" t="s">
        <v>6409</v>
      </c>
      <c r="B1031" s="28" t="s">
        <v>6410</v>
      </c>
      <c r="C1031" s="28" t="s">
        <v>6306</v>
      </c>
      <c r="D1031" s="28" t="s">
        <v>6411</v>
      </c>
      <c r="F1031" s="28" t="s">
        <v>6308</v>
      </c>
      <c r="G1031" s="28" t="s">
        <v>6309</v>
      </c>
      <c r="H1031" s="28" t="s">
        <v>6310</v>
      </c>
      <c r="I1031" s="28" t="s">
        <v>6412</v>
      </c>
      <c r="J1031" s="28" t="s">
        <v>6312</v>
      </c>
      <c r="K1031" s="28" t="s">
        <v>6313</v>
      </c>
      <c r="L1031" s="28" t="s">
        <v>6314</v>
      </c>
      <c r="M1031" s="28" t="s">
        <v>6413</v>
      </c>
      <c r="N1031" s="28" t="s">
        <v>6316</v>
      </c>
      <c r="O1031" s="28" t="s">
        <v>6317</v>
      </c>
      <c r="P1031" s="28" t="s">
        <v>6318</v>
      </c>
    </row>
    <row r="1032" spans="1:16" x14ac:dyDescent="0.25">
      <c r="A1032" s="28" t="s">
        <v>6414</v>
      </c>
      <c r="B1032" s="28" t="s">
        <v>6415</v>
      </c>
      <c r="C1032" s="28" t="s">
        <v>6306</v>
      </c>
      <c r="D1032" s="28" t="s">
        <v>6416</v>
      </c>
      <c r="F1032" s="28" t="s">
        <v>6308</v>
      </c>
      <c r="G1032" s="28" t="s">
        <v>6309</v>
      </c>
      <c r="H1032" s="28" t="s">
        <v>6310</v>
      </c>
      <c r="I1032" s="28" t="s">
        <v>6417</v>
      </c>
      <c r="J1032" s="28" t="s">
        <v>6312</v>
      </c>
      <c r="K1032" s="28" t="s">
        <v>6313</v>
      </c>
      <c r="L1032" s="28" t="s">
        <v>6314</v>
      </c>
      <c r="M1032" s="28" t="s">
        <v>6418</v>
      </c>
      <c r="N1032" s="28" t="s">
        <v>6316</v>
      </c>
      <c r="O1032" s="28" t="s">
        <v>6317</v>
      </c>
      <c r="P1032" s="28" t="s">
        <v>6318</v>
      </c>
    </row>
    <row r="1033" spans="1:16" x14ac:dyDescent="0.25">
      <c r="A1033" s="28" t="s">
        <v>6419</v>
      </c>
      <c r="B1033" s="28" t="s">
        <v>6420</v>
      </c>
      <c r="C1033" s="28" t="s">
        <v>6306</v>
      </c>
      <c r="D1033" s="28" t="s">
        <v>6421</v>
      </c>
      <c r="F1033" s="28" t="s">
        <v>6308</v>
      </c>
      <c r="G1033" s="28" t="s">
        <v>6309</v>
      </c>
      <c r="H1033" s="28" t="s">
        <v>6310</v>
      </c>
      <c r="I1033" s="28" t="s">
        <v>6422</v>
      </c>
      <c r="J1033" s="28" t="s">
        <v>6312</v>
      </c>
      <c r="K1033" s="28" t="s">
        <v>6313</v>
      </c>
      <c r="L1033" s="28" t="s">
        <v>6314</v>
      </c>
      <c r="M1033" s="28" t="s">
        <v>6423</v>
      </c>
      <c r="N1033" s="28" t="s">
        <v>6316</v>
      </c>
      <c r="O1033" s="28" t="s">
        <v>6317</v>
      </c>
      <c r="P1033" s="28" t="s">
        <v>6318</v>
      </c>
    </row>
    <row r="1034" spans="1:16" x14ac:dyDescent="0.25">
      <c r="A1034" s="28" t="s">
        <v>6424</v>
      </c>
      <c r="B1034" s="28" t="s">
        <v>6425</v>
      </c>
      <c r="C1034" s="28" t="s">
        <v>6306</v>
      </c>
      <c r="D1034" s="28" t="s">
        <v>6426</v>
      </c>
      <c r="F1034" s="28" t="s">
        <v>6308</v>
      </c>
      <c r="G1034" s="28" t="s">
        <v>6309</v>
      </c>
      <c r="H1034" s="28" t="s">
        <v>6310</v>
      </c>
      <c r="I1034" s="28" t="s">
        <v>6427</v>
      </c>
      <c r="J1034" s="28" t="s">
        <v>6312</v>
      </c>
      <c r="K1034" s="28" t="s">
        <v>6313</v>
      </c>
      <c r="L1034" s="28" t="s">
        <v>6314</v>
      </c>
      <c r="M1034" s="28" t="s">
        <v>6428</v>
      </c>
      <c r="N1034" s="28" t="s">
        <v>6316</v>
      </c>
      <c r="O1034" s="28" t="s">
        <v>6317</v>
      </c>
      <c r="P1034" s="28" t="s">
        <v>6318</v>
      </c>
    </row>
    <row r="1035" spans="1:16" x14ac:dyDescent="0.25">
      <c r="A1035" s="28" t="s">
        <v>6429</v>
      </c>
      <c r="B1035" s="28" t="s">
        <v>6430</v>
      </c>
      <c r="C1035" s="28" t="s">
        <v>6306</v>
      </c>
      <c r="D1035" s="28" t="s">
        <v>6431</v>
      </c>
      <c r="F1035" s="28" t="s">
        <v>6308</v>
      </c>
      <c r="G1035" s="28" t="s">
        <v>6309</v>
      </c>
      <c r="H1035" s="28" t="s">
        <v>6310</v>
      </c>
      <c r="I1035" s="28" t="s">
        <v>6432</v>
      </c>
      <c r="J1035" s="28" t="s">
        <v>6312</v>
      </c>
      <c r="K1035" s="28" t="s">
        <v>6313</v>
      </c>
      <c r="L1035" s="28" t="s">
        <v>6314</v>
      </c>
      <c r="M1035" s="28" t="s">
        <v>6433</v>
      </c>
      <c r="N1035" s="28" t="s">
        <v>6316</v>
      </c>
      <c r="O1035" s="28" t="s">
        <v>6317</v>
      </c>
      <c r="P1035" s="28" t="s">
        <v>6318</v>
      </c>
    </row>
    <row r="1036" spans="1:16" x14ac:dyDescent="0.25">
      <c r="A1036" s="28" t="s">
        <v>6434</v>
      </c>
      <c r="B1036" s="28" t="s">
        <v>6435</v>
      </c>
      <c r="C1036" s="28" t="s">
        <v>6306</v>
      </c>
      <c r="D1036" s="28" t="s">
        <v>6436</v>
      </c>
      <c r="F1036" s="28" t="s">
        <v>6308</v>
      </c>
      <c r="G1036" s="28" t="s">
        <v>6309</v>
      </c>
      <c r="H1036" s="28" t="s">
        <v>6310</v>
      </c>
      <c r="I1036" s="28" t="s">
        <v>6437</v>
      </c>
      <c r="J1036" s="28" t="s">
        <v>6312</v>
      </c>
      <c r="K1036" s="28" t="s">
        <v>6313</v>
      </c>
      <c r="L1036" s="28" t="s">
        <v>6314</v>
      </c>
      <c r="M1036" s="28" t="s">
        <v>6438</v>
      </c>
      <c r="N1036" s="28" t="s">
        <v>6316</v>
      </c>
      <c r="O1036" s="28" t="s">
        <v>6317</v>
      </c>
      <c r="P1036" s="28" t="s">
        <v>6318</v>
      </c>
    </row>
    <row r="1037" spans="1:16" x14ac:dyDescent="0.25">
      <c r="A1037" s="28" t="s">
        <v>6439</v>
      </c>
      <c r="B1037" s="28" t="s">
        <v>6440</v>
      </c>
      <c r="C1037" s="28" t="s">
        <v>6306</v>
      </c>
      <c r="D1037" s="28" t="s">
        <v>6441</v>
      </c>
      <c r="F1037" s="28" t="s">
        <v>6308</v>
      </c>
      <c r="G1037" s="28" t="s">
        <v>6309</v>
      </c>
      <c r="H1037" s="28" t="s">
        <v>6310</v>
      </c>
      <c r="I1037" s="28" t="s">
        <v>6442</v>
      </c>
      <c r="J1037" s="28" t="s">
        <v>6312</v>
      </c>
      <c r="K1037" s="28" t="s">
        <v>6313</v>
      </c>
      <c r="L1037" s="28" t="s">
        <v>6314</v>
      </c>
      <c r="M1037" s="28" t="s">
        <v>6443</v>
      </c>
      <c r="N1037" s="28" t="s">
        <v>6316</v>
      </c>
      <c r="O1037" s="28" t="s">
        <v>6317</v>
      </c>
      <c r="P1037" s="28" t="s">
        <v>6318</v>
      </c>
    </row>
    <row r="1038" spans="1:16" x14ac:dyDescent="0.25">
      <c r="A1038" s="28" t="s">
        <v>6444</v>
      </c>
      <c r="B1038" s="28" t="s">
        <v>6445</v>
      </c>
      <c r="C1038" s="28" t="s">
        <v>6446</v>
      </c>
      <c r="D1038" s="28" t="s">
        <v>19</v>
      </c>
      <c r="F1038" s="28" t="s">
        <v>6308</v>
      </c>
      <c r="G1038" s="28" t="s">
        <v>6309</v>
      </c>
      <c r="H1038" s="28" t="s">
        <v>6310</v>
      </c>
      <c r="I1038" s="28" t="s">
        <v>6447</v>
      </c>
      <c r="J1038" s="28" t="s">
        <v>6448</v>
      </c>
      <c r="K1038" s="28" t="s">
        <v>6449</v>
      </c>
      <c r="L1038" s="28" t="s">
        <v>6314</v>
      </c>
      <c r="M1038" s="28" t="s">
        <v>6450</v>
      </c>
      <c r="N1038" s="28" t="s">
        <v>6316</v>
      </c>
      <c r="O1038" s="28" t="s">
        <v>6317</v>
      </c>
      <c r="P1038" s="28" t="s">
        <v>6451</v>
      </c>
    </row>
    <row r="1039" spans="1:16" x14ac:dyDescent="0.25">
      <c r="A1039" s="28" t="s">
        <v>6452</v>
      </c>
      <c r="B1039" s="28" t="s">
        <v>6453</v>
      </c>
      <c r="C1039" s="28" t="s">
        <v>6446</v>
      </c>
      <c r="D1039" s="28" t="s">
        <v>6454</v>
      </c>
      <c r="F1039" s="28" t="s">
        <v>6308</v>
      </c>
      <c r="G1039" s="28" t="s">
        <v>6309</v>
      </c>
      <c r="H1039" s="28" t="s">
        <v>6310</v>
      </c>
      <c r="I1039" s="28" t="s">
        <v>6455</v>
      </c>
      <c r="J1039" s="28" t="s">
        <v>6448</v>
      </c>
      <c r="K1039" s="28" t="s">
        <v>6449</v>
      </c>
      <c r="L1039" s="28" t="s">
        <v>6314</v>
      </c>
      <c r="M1039" s="28" t="s">
        <v>6456</v>
      </c>
      <c r="N1039" s="28" t="s">
        <v>6316</v>
      </c>
      <c r="O1039" s="28" t="s">
        <v>6317</v>
      </c>
      <c r="P1039" s="28" t="s">
        <v>6451</v>
      </c>
    </row>
    <row r="1040" spans="1:16" x14ac:dyDescent="0.25">
      <c r="A1040" s="28" t="s">
        <v>6457</v>
      </c>
      <c r="B1040" s="28" t="s">
        <v>6458</v>
      </c>
      <c r="C1040" s="28" t="s">
        <v>6446</v>
      </c>
      <c r="D1040" s="28" t="s">
        <v>19</v>
      </c>
      <c r="F1040" s="28" t="s">
        <v>6308</v>
      </c>
      <c r="G1040" s="28" t="s">
        <v>6309</v>
      </c>
      <c r="H1040" s="28" t="s">
        <v>6310</v>
      </c>
      <c r="I1040" s="28" t="s">
        <v>6459</v>
      </c>
      <c r="J1040" s="28" t="s">
        <v>6448</v>
      </c>
      <c r="K1040" s="28" t="s">
        <v>6449</v>
      </c>
      <c r="L1040" s="28" t="s">
        <v>6314</v>
      </c>
      <c r="M1040" s="28" t="s">
        <v>6460</v>
      </c>
      <c r="N1040" s="28" t="s">
        <v>6316</v>
      </c>
      <c r="O1040" s="28" t="s">
        <v>6317</v>
      </c>
      <c r="P1040" s="28" t="s">
        <v>6451</v>
      </c>
    </row>
    <row r="1041" spans="1:16" x14ac:dyDescent="0.25">
      <c r="A1041" s="28" t="s">
        <v>6461</v>
      </c>
      <c r="B1041" s="28" t="s">
        <v>6462</v>
      </c>
      <c r="C1041" s="28" t="s">
        <v>6446</v>
      </c>
      <c r="D1041" s="28" t="s">
        <v>6454</v>
      </c>
      <c r="F1041" s="28" t="s">
        <v>6308</v>
      </c>
      <c r="G1041" s="28" t="s">
        <v>6309</v>
      </c>
      <c r="H1041" s="28" t="s">
        <v>6310</v>
      </c>
      <c r="I1041" s="28" t="s">
        <v>6463</v>
      </c>
      <c r="J1041" s="28" t="s">
        <v>6448</v>
      </c>
      <c r="K1041" s="28" t="s">
        <v>6449</v>
      </c>
      <c r="L1041" s="28" t="s">
        <v>6314</v>
      </c>
      <c r="M1041" s="28" t="s">
        <v>6464</v>
      </c>
      <c r="N1041" s="28" t="s">
        <v>6316</v>
      </c>
      <c r="O1041" s="28" t="s">
        <v>6317</v>
      </c>
      <c r="P1041" s="28" t="s">
        <v>6451</v>
      </c>
    </row>
    <row r="1042" spans="1:16" x14ac:dyDescent="0.25">
      <c r="A1042" s="28" t="s">
        <v>6465</v>
      </c>
      <c r="B1042" s="28" t="s">
        <v>6466</v>
      </c>
      <c r="C1042" s="28" t="s">
        <v>6446</v>
      </c>
      <c r="D1042" s="28" t="s">
        <v>6467</v>
      </c>
      <c r="F1042" s="28" t="s">
        <v>6308</v>
      </c>
      <c r="G1042" s="28" t="s">
        <v>6309</v>
      </c>
      <c r="H1042" s="28" t="s">
        <v>6310</v>
      </c>
      <c r="I1042" s="28" t="s">
        <v>6468</v>
      </c>
      <c r="J1042" s="28" t="s">
        <v>6448</v>
      </c>
      <c r="K1042" s="28" t="s">
        <v>6449</v>
      </c>
      <c r="L1042" s="28" t="s">
        <v>6314</v>
      </c>
      <c r="M1042" s="28" t="s">
        <v>6469</v>
      </c>
      <c r="N1042" s="28" t="s">
        <v>6316</v>
      </c>
      <c r="O1042" s="28" t="s">
        <v>6317</v>
      </c>
      <c r="P1042" s="28" t="s">
        <v>6451</v>
      </c>
    </row>
    <row r="1043" spans="1:16" x14ac:dyDescent="0.25">
      <c r="A1043" s="28" t="s">
        <v>6470</v>
      </c>
      <c r="B1043" s="28" t="s">
        <v>6471</v>
      </c>
      <c r="C1043" s="28" t="s">
        <v>6446</v>
      </c>
      <c r="D1043" s="28" t="s">
        <v>19</v>
      </c>
      <c r="F1043" s="28" t="s">
        <v>6308</v>
      </c>
      <c r="G1043" s="28" t="s">
        <v>6309</v>
      </c>
      <c r="H1043" s="28" t="s">
        <v>6310</v>
      </c>
      <c r="I1043" s="28" t="s">
        <v>6472</v>
      </c>
      <c r="J1043" s="28" t="s">
        <v>6448</v>
      </c>
      <c r="K1043" s="28" t="s">
        <v>6449</v>
      </c>
      <c r="L1043" s="28" t="s">
        <v>6314</v>
      </c>
      <c r="M1043" s="28" t="s">
        <v>6473</v>
      </c>
      <c r="N1043" s="28" t="s">
        <v>6316</v>
      </c>
      <c r="O1043" s="28" t="s">
        <v>6317</v>
      </c>
      <c r="P1043" s="28" t="s">
        <v>6451</v>
      </c>
    </row>
    <row r="1044" spans="1:16" x14ac:dyDescent="0.25">
      <c r="A1044" s="28" t="s">
        <v>6474</v>
      </c>
      <c r="B1044" s="28" t="s">
        <v>6475</v>
      </c>
      <c r="C1044" s="28" t="s">
        <v>6446</v>
      </c>
      <c r="D1044" s="28" t="s">
        <v>19</v>
      </c>
      <c r="F1044" s="28" t="s">
        <v>6308</v>
      </c>
      <c r="G1044" s="28" t="s">
        <v>6309</v>
      </c>
      <c r="H1044" s="28" t="s">
        <v>6310</v>
      </c>
      <c r="I1044" s="28" t="s">
        <v>6476</v>
      </c>
      <c r="J1044" s="28" t="s">
        <v>6448</v>
      </c>
      <c r="K1044" s="28" t="s">
        <v>6449</v>
      </c>
      <c r="L1044" s="28" t="s">
        <v>6314</v>
      </c>
      <c r="M1044" s="28" t="s">
        <v>6477</v>
      </c>
      <c r="N1044" s="28" t="s">
        <v>6316</v>
      </c>
      <c r="O1044" s="28" t="s">
        <v>6317</v>
      </c>
      <c r="P1044" s="28" t="s">
        <v>6451</v>
      </c>
    </row>
    <row r="1045" spans="1:16" x14ac:dyDescent="0.25">
      <c r="A1045" s="28" t="s">
        <v>6478</v>
      </c>
      <c r="B1045" s="28" t="s">
        <v>6479</v>
      </c>
      <c r="C1045" s="28" t="s">
        <v>6446</v>
      </c>
      <c r="D1045" s="28" t="s">
        <v>19</v>
      </c>
      <c r="F1045" s="28" t="s">
        <v>6308</v>
      </c>
      <c r="G1045" s="28" t="s">
        <v>6309</v>
      </c>
      <c r="H1045" s="28" t="s">
        <v>6310</v>
      </c>
      <c r="I1045" s="28" t="s">
        <v>6480</v>
      </c>
      <c r="J1045" s="28" t="s">
        <v>6448</v>
      </c>
      <c r="K1045" s="28" t="s">
        <v>6449</v>
      </c>
      <c r="L1045" s="28" t="s">
        <v>6314</v>
      </c>
      <c r="M1045" s="28" t="s">
        <v>6481</v>
      </c>
      <c r="N1045" s="28" t="s">
        <v>6316</v>
      </c>
      <c r="O1045" s="28" t="s">
        <v>6317</v>
      </c>
      <c r="P1045" s="28" t="s">
        <v>6451</v>
      </c>
    </row>
    <row r="1046" spans="1:16" x14ac:dyDescent="0.25">
      <c r="A1046" s="28" t="s">
        <v>6482</v>
      </c>
      <c r="B1046" s="28" t="s">
        <v>6483</v>
      </c>
      <c r="C1046" s="28" t="s">
        <v>6446</v>
      </c>
      <c r="D1046" s="28" t="s">
        <v>19</v>
      </c>
      <c r="F1046" s="28" t="s">
        <v>6308</v>
      </c>
      <c r="G1046" s="28" t="s">
        <v>6309</v>
      </c>
      <c r="H1046" s="28" t="s">
        <v>6310</v>
      </c>
      <c r="I1046" s="28" t="s">
        <v>6484</v>
      </c>
      <c r="J1046" s="28" t="s">
        <v>6448</v>
      </c>
      <c r="K1046" s="28" t="s">
        <v>6449</v>
      </c>
      <c r="L1046" s="28" t="s">
        <v>6314</v>
      </c>
      <c r="M1046" s="28" t="s">
        <v>6485</v>
      </c>
      <c r="N1046" s="28" t="s">
        <v>6316</v>
      </c>
      <c r="O1046" s="28" t="s">
        <v>6317</v>
      </c>
      <c r="P1046" s="28" t="s">
        <v>6451</v>
      </c>
    </row>
    <row r="1047" spans="1:16" x14ac:dyDescent="0.25">
      <c r="A1047" s="28" t="s">
        <v>6486</v>
      </c>
      <c r="B1047" s="28" t="s">
        <v>6487</v>
      </c>
      <c r="C1047" s="28" t="s">
        <v>6446</v>
      </c>
      <c r="D1047" s="28" t="s">
        <v>19</v>
      </c>
      <c r="F1047" s="28" t="s">
        <v>6308</v>
      </c>
      <c r="G1047" s="28" t="s">
        <v>6309</v>
      </c>
      <c r="H1047" s="28" t="s">
        <v>6310</v>
      </c>
      <c r="I1047" s="28" t="s">
        <v>6488</v>
      </c>
      <c r="J1047" s="28" t="s">
        <v>6448</v>
      </c>
      <c r="K1047" s="28" t="s">
        <v>6449</v>
      </c>
      <c r="L1047" s="28" t="s">
        <v>6314</v>
      </c>
      <c r="M1047" s="28" t="s">
        <v>6489</v>
      </c>
      <c r="N1047" s="28" t="s">
        <v>6316</v>
      </c>
      <c r="O1047" s="28" t="s">
        <v>6317</v>
      </c>
      <c r="P1047" s="28" t="s">
        <v>6451</v>
      </c>
    </row>
    <row r="1048" spans="1:16" x14ac:dyDescent="0.25">
      <c r="A1048" s="28" t="s">
        <v>6490</v>
      </c>
      <c r="B1048" s="28" t="s">
        <v>6491</v>
      </c>
      <c r="C1048" s="28" t="s">
        <v>6446</v>
      </c>
      <c r="D1048" s="28" t="s">
        <v>19</v>
      </c>
      <c r="F1048" s="28" t="s">
        <v>6308</v>
      </c>
      <c r="G1048" s="28" t="s">
        <v>6309</v>
      </c>
      <c r="H1048" s="28" t="s">
        <v>6310</v>
      </c>
      <c r="I1048" s="28" t="s">
        <v>6492</v>
      </c>
      <c r="J1048" s="28" t="s">
        <v>6448</v>
      </c>
      <c r="K1048" s="28" t="s">
        <v>6449</v>
      </c>
      <c r="L1048" s="28" t="s">
        <v>6314</v>
      </c>
      <c r="M1048" s="28" t="s">
        <v>6493</v>
      </c>
      <c r="N1048" s="28" t="s">
        <v>6316</v>
      </c>
      <c r="O1048" s="28" t="s">
        <v>6317</v>
      </c>
      <c r="P1048" s="28" t="s">
        <v>6451</v>
      </c>
    </row>
    <row r="1049" spans="1:16" x14ac:dyDescent="0.25">
      <c r="A1049" s="28" t="s">
        <v>6494</v>
      </c>
      <c r="B1049" s="28" t="s">
        <v>6495</v>
      </c>
      <c r="C1049" s="28" t="s">
        <v>6446</v>
      </c>
      <c r="D1049" s="28" t="s">
        <v>19</v>
      </c>
      <c r="F1049" s="28" t="s">
        <v>6308</v>
      </c>
      <c r="G1049" s="28" t="s">
        <v>6309</v>
      </c>
      <c r="H1049" s="28" t="s">
        <v>6310</v>
      </c>
      <c r="I1049" s="28" t="s">
        <v>6496</v>
      </c>
      <c r="J1049" s="28" t="s">
        <v>6448</v>
      </c>
      <c r="K1049" s="28" t="s">
        <v>6449</v>
      </c>
      <c r="L1049" s="28" t="s">
        <v>6314</v>
      </c>
      <c r="M1049" s="28" t="s">
        <v>6497</v>
      </c>
      <c r="N1049" s="28" t="s">
        <v>6316</v>
      </c>
      <c r="O1049" s="28" t="s">
        <v>6317</v>
      </c>
      <c r="P1049" s="28" t="s">
        <v>6451</v>
      </c>
    </row>
    <row r="1050" spans="1:16" x14ac:dyDescent="0.25">
      <c r="A1050" s="28" t="s">
        <v>6498</v>
      </c>
      <c r="B1050" s="28" t="s">
        <v>6499</v>
      </c>
      <c r="C1050" s="28" t="s">
        <v>6446</v>
      </c>
      <c r="D1050" s="28" t="s">
        <v>19</v>
      </c>
      <c r="F1050" s="28" t="s">
        <v>6308</v>
      </c>
      <c r="G1050" s="28" t="s">
        <v>6309</v>
      </c>
      <c r="H1050" s="28" t="s">
        <v>6310</v>
      </c>
      <c r="I1050" s="28" t="s">
        <v>6500</v>
      </c>
      <c r="J1050" s="28" t="s">
        <v>6448</v>
      </c>
      <c r="K1050" s="28" t="s">
        <v>6449</v>
      </c>
      <c r="L1050" s="28" t="s">
        <v>6314</v>
      </c>
      <c r="M1050" s="28" t="s">
        <v>6501</v>
      </c>
      <c r="N1050" s="28" t="s">
        <v>6316</v>
      </c>
      <c r="O1050" s="28" t="s">
        <v>6317</v>
      </c>
      <c r="P1050" s="28" t="s">
        <v>6451</v>
      </c>
    </row>
    <row r="1051" spans="1:16" x14ac:dyDescent="0.25">
      <c r="A1051" s="28" t="s">
        <v>6502</v>
      </c>
      <c r="B1051" s="28" t="s">
        <v>6503</v>
      </c>
      <c r="C1051" s="28" t="s">
        <v>6446</v>
      </c>
      <c r="D1051" s="28" t="s">
        <v>19</v>
      </c>
      <c r="F1051" s="28" t="s">
        <v>6308</v>
      </c>
      <c r="G1051" s="28" t="s">
        <v>6309</v>
      </c>
      <c r="H1051" s="28" t="s">
        <v>6310</v>
      </c>
      <c r="I1051" s="28" t="s">
        <v>6504</v>
      </c>
      <c r="J1051" s="28" t="s">
        <v>6448</v>
      </c>
      <c r="K1051" s="28" t="s">
        <v>6449</v>
      </c>
      <c r="L1051" s="28" t="s">
        <v>6314</v>
      </c>
      <c r="M1051" s="28" t="s">
        <v>6505</v>
      </c>
      <c r="N1051" s="28" t="s">
        <v>6316</v>
      </c>
      <c r="O1051" s="28" t="s">
        <v>6317</v>
      </c>
      <c r="P1051" s="28" t="s">
        <v>6451</v>
      </c>
    </row>
    <row r="1052" spans="1:16" x14ac:dyDescent="0.25">
      <c r="A1052" s="28" t="s">
        <v>6506</v>
      </c>
      <c r="B1052" s="28" t="s">
        <v>6507</v>
      </c>
      <c r="C1052" s="28" t="s">
        <v>6446</v>
      </c>
      <c r="D1052" s="28" t="s">
        <v>19</v>
      </c>
      <c r="F1052" s="28" t="s">
        <v>6308</v>
      </c>
      <c r="G1052" s="28" t="s">
        <v>6309</v>
      </c>
      <c r="H1052" s="28" t="s">
        <v>6310</v>
      </c>
      <c r="I1052" s="28" t="s">
        <v>6508</v>
      </c>
      <c r="J1052" s="28" t="s">
        <v>6448</v>
      </c>
      <c r="K1052" s="28" t="s">
        <v>6449</v>
      </c>
      <c r="L1052" s="28" t="s">
        <v>6314</v>
      </c>
      <c r="M1052" s="28" t="s">
        <v>6509</v>
      </c>
      <c r="N1052" s="28" t="s">
        <v>6316</v>
      </c>
      <c r="O1052" s="28" t="s">
        <v>6317</v>
      </c>
      <c r="P1052" s="28" t="s">
        <v>6451</v>
      </c>
    </row>
    <row r="1053" spans="1:16" x14ac:dyDescent="0.25">
      <c r="A1053" s="28" t="s">
        <v>6510</v>
      </c>
      <c r="B1053" s="28" t="s">
        <v>6511</v>
      </c>
      <c r="C1053" s="28" t="s">
        <v>6446</v>
      </c>
      <c r="D1053" s="28" t="s">
        <v>19</v>
      </c>
      <c r="F1053" s="28" t="s">
        <v>6308</v>
      </c>
      <c r="G1053" s="28" t="s">
        <v>6309</v>
      </c>
      <c r="H1053" s="28" t="s">
        <v>6310</v>
      </c>
      <c r="I1053" s="28" t="s">
        <v>6512</v>
      </c>
      <c r="J1053" s="28" t="s">
        <v>6448</v>
      </c>
      <c r="K1053" s="28" t="s">
        <v>6449</v>
      </c>
      <c r="L1053" s="28" t="s">
        <v>6314</v>
      </c>
      <c r="M1053" s="28" t="s">
        <v>6513</v>
      </c>
      <c r="N1053" s="28" t="s">
        <v>6316</v>
      </c>
      <c r="O1053" s="28" t="s">
        <v>6317</v>
      </c>
      <c r="P1053" s="28" t="s">
        <v>6451</v>
      </c>
    </row>
    <row r="1054" spans="1:16" x14ac:dyDescent="0.25">
      <c r="A1054" s="28" t="s">
        <v>6514</v>
      </c>
      <c r="B1054" s="28" t="s">
        <v>6515</v>
      </c>
      <c r="C1054" s="28" t="s">
        <v>6446</v>
      </c>
      <c r="D1054" s="28" t="s">
        <v>6454</v>
      </c>
      <c r="F1054" s="28" t="s">
        <v>6308</v>
      </c>
      <c r="G1054" s="28" t="s">
        <v>6309</v>
      </c>
      <c r="H1054" s="28" t="s">
        <v>6310</v>
      </c>
      <c r="I1054" s="28" t="s">
        <v>6516</v>
      </c>
      <c r="J1054" s="28" t="s">
        <v>6448</v>
      </c>
      <c r="K1054" s="28" t="s">
        <v>6449</v>
      </c>
      <c r="L1054" s="28" t="s">
        <v>6314</v>
      </c>
      <c r="M1054" s="28" t="s">
        <v>6517</v>
      </c>
      <c r="N1054" s="28" t="s">
        <v>6316</v>
      </c>
      <c r="O1054" s="28" t="s">
        <v>6317</v>
      </c>
      <c r="P1054" s="28" t="s">
        <v>6451</v>
      </c>
    </row>
    <row r="1055" spans="1:16" x14ac:dyDescent="0.25">
      <c r="A1055" s="28" t="s">
        <v>6518</v>
      </c>
      <c r="B1055" s="28" t="s">
        <v>6519</v>
      </c>
      <c r="C1055" s="28" t="s">
        <v>6446</v>
      </c>
      <c r="D1055" s="28" t="s">
        <v>6454</v>
      </c>
      <c r="F1055" s="28" t="s">
        <v>6308</v>
      </c>
      <c r="G1055" s="28" t="s">
        <v>6309</v>
      </c>
      <c r="H1055" s="28" t="s">
        <v>6310</v>
      </c>
      <c r="I1055" s="28" t="s">
        <v>6520</v>
      </c>
      <c r="J1055" s="28" t="s">
        <v>6448</v>
      </c>
      <c r="K1055" s="28" t="s">
        <v>6449</v>
      </c>
      <c r="L1055" s="28" t="s">
        <v>6314</v>
      </c>
      <c r="M1055" s="28" t="s">
        <v>6521</v>
      </c>
      <c r="N1055" s="28" t="s">
        <v>6316</v>
      </c>
      <c r="O1055" s="28" t="s">
        <v>6317</v>
      </c>
      <c r="P1055" s="28" t="s">
        <v>6451</v>
      </c>
    </row>
    <row r="1056" spans="1:16" x14ac:dyDescent="0.25">
      <c r="A1056" s="28" t="s">
        <v>6522</v>
      </c>
      <c r="B1056" s="28" t="s">
        <v>6523</v>
      </c>
      <c r="C1056" s="28" t="s">
        <v>6446</v>
      </c>
      <c r="D1056" s="28" t="s">
        <v>6454</v>
      </c>
      <c r="F1056" s="28" t="s">
        <v>6308</v>
      </c>
      <c r="G1056" s="28" t="s">
        <v>6309</v>
      </c>
      <c r="H1056" s="28" t="s">
        <v>6310</v>
      </c>
      <c r="I1056" s="28" t="s">
        <v>6524</v>
      </c>
      <c r="J1056" s="28" t="s">
        <v>6448</v>
      </c>
      <c r="K1056" s="28" t="s">
        <v>6449</v>
      </c>
      <c r="L1056" s="28" t="s">
        <v>6314</v>
      </c>
      <c r="M1056" s="28" t="s">
        <v>6525</v>
      </c>
      <c r="N1056" s="28" t="s">
        <v>6316</v>
      </c>
      <c r="O1056" s="28" t="s">
        <v>6317</v>
      </c>
      <c r="P1056" s="28" t="s">
        <v>6451</v>
      </c>
    </row>
    <row r="1057" spans="1:16" x14ac:dyDescent="0.25">
      <c r="A1057" s="28" t="s">
        <v>6526</v>
      </c>
      <c r="B1057" s="28" t="s">
        <v>6527</v>
      </c>
      <c r="C1057" s="28" t="s">
        <v>6446</v>
      </c>
      <c r="D1057" s="28" t="s">
        <v>6454</v>
      </c>
      <c r="F1057" s="28" t="s">
        <v>6308</v>
      </c>
      <c r="G1057" s="28" t="s">
        <v>6309</v>
      </c>
      <c r="H1057" s="28" t="s">
        <v>6310</v>
      </c>
      <c r="I1057" s="28" t="s">
        <v>6528</v>
      </c>
      <c r="J1057" s="28" t="s">
        <v>6448</v>
      </c>
      <c r="K1057" s="28" t="s">
        <v>6449</v>
      </c>
      <c r="L1057" s="28" t="s">
        <v>6314</v>
      </c>
      <c r="M1057" s="28" t="s">
        <v>6529</v>
      </c>
      <c r="N1057" s="28" t="s">
        <v>6316</v>
      </c>
      <c r="O1057" s="28" t="s">
        <v>6317</v>
      </c>
      <c r="P1057" s="28" t="s">
        <v>6451</v>
      </c>
    </row>
    <row r="1058" spans="1:16" x14ac:dyDescent="0.25">
      <c r="A1058" s="28" t="s">
        <v>6530</v>
      </c>
      <c r="B1058" s="28" t="s">
        <v>6531</v>
      </c>
      <c r="C1058" s="28" t="s">
        <v>6446</v>
      </c>
      <c r="D1058" s="28" t="s">
        <v>6454</v>
      </c>
      <c r="F1058" s="28" t="s">
        <v>6308</v>
      </c>
      <c r="G1058" s="28" t="s">
        <v>6309</v>
      </c>
      <c r="H1058" s="28" t="s">
        <v>6310</v>
      </c>
      <c r="I1058" s="28" t="s">
        <v>6532</v>
      </c>
      <c r="J1058" s="28" t="s">
        <v>6448</v>
      </c>
      <c r="K1058" s="28" t="s">
        <v>6449</v>
      </c>
      <c r="L1058" s="28" t="s">
        <v>6314</v>
      </c>
      <c r="M1058" s="28" t="s">
        <v>6533</v>
      </c>
      <c r="N1058" s="28" t="s">
        <v>6316</v>
      </c>
      <c r="O1058" s="28" t="s">
        <v>6317</v>
      </c>
      <c r="P1058" s="28" t="s">
        <v>6451</v>
      </c>
    </row>
    <row r="1059" spans="1:16" x14ac:dyDescent="0.25">
      <c r="A1059" s="28" t="s">
        <v>6534</v>
      </c>
      <c r="B1059" s="28" t="s">
        <v>6535</v>
      </c>
      <c r="C1059" s="28" t="s">
        <v>6446</v>
      </c>
      <c r="D1059" s="28" t="s">
        <v>6454</v>
      </c>
      <c r="F1059" s="28" t="s">
        <v>6308</v>
      </c>
      <c r="G1059" s="28" t="s">
        <v>6309</v>
      </c>
      <c r="H1059" s="28" t="s">
        <v>6310</v>
      </c>
      <c r="I1059" s="28" t="s">
        <v>6536</v>
      </c>
      <c r="J1059" s="28" t="s">
        <v>6448</v>
      </c>
      <c r="K1059" s="28" t="s">
        <v>6449</v>
      </c>
      <c r="L1059" s="28" t="s">
        <v>6314</v>
      </c>
      <c r="M1059" s="28" t="s">
        <v>6537</v>
      </c>
      <c r="N1059" s="28" t="s">
        <v>6316</v>
      </c>
      <c r="O1059" s="28" t="s">
        <v>6317</v>
      </c>
      <c r="P1059" s="28" t="s">
        <v>6451</v>
      </c>
    </row>
    <row r="1060" spans="1:16" x14ac:dyDescent="0.25">
      <c r="A1060" s="28" t="s">
        <v>6538</v>
      </c>
      <c r="B1060" s="28" t="s">
        <v>6539</v>
      </c>
      <c r="C1060" s="28" t="s">
        <v>6446</v>
      </c>
      <c r="D1060" s="28" t="s">
        <v>5036</v>
      </c>
      <c r="F1060" s="28" t="s">
        <v>6308</v>
      </c>
      <c r="G1060" s="28" t="s">
        <v>6309</v>
      </c>
      <c r="H1060" s="28" t="s">
        <v>6310</v>
      </c>
      <c r="I1060" s="28" t="s">
        <v>6540</v>
      </c>
      <c r="J1060" s="28" t="s">
        <v>6448</v>
      </c>
      <c r="K1060" s="28" t="s">
        <v>6449</v>
      </c>
      <c r="L1060" s="28" t="s">
        <v>6314</v>
      </c>
      <c r="M1060" s="28" t="s">
        <v>6541</v>
      </c>
      <c r="N1060" s="28" t="s">
        <v>6316</v>
      </c>
      <c r="O1060" s="28" t="s">
        <v>6317</v>
      </c>
      <c r="P1060" s="28" t="s">
        <v>6451</v>
      </c>
    </row>
    <row r="1061" spans="1:16" x14ac:dyDescent="0.25">
      <c r="A1061" s="28" t="s">
        <v>6542</v>
      </c>
      <c r="B1061" s="28" t="s">
        <v>6543</v>
      </c>
      <c r="C1061" s="28" t="s">
        <v>6446</v>
      </c>
      <c r="D1061" s="28" t="s">
        <v>5036</v>
      </c>
      <c r="F1061" s="28" t="s">
        <v>6308</v>
      </c>
      <c r="G1061" s="28" t="s">
        <v>6309</v>
      </c>
      <c r="H1061" s="28" t="s">
        <v>6310</v>
      </c>
      <c r="I1061" s="28" t="s">
        <v>6544</v>
      </c>
      <c r="J1061" s="28" t="s">
        <v>6448</v>
      </c>
      <c r="K1061" s="28" t="s">
        <v>6449</v>
      </c>
      <c r="L1061" s="28" t="s">
        <v>6314</v>
      </c>
      <c r="M1061" s="28" t="s">
        <v>6545</v>
      </c>
      <c r="N1061" s="28" t="s">
        <v>6316</v>
      </c>
      <c r="O1061" s="28" t="s">
        <v>6317</v>
      </c>
      <c r="P1061" s="28" t="s">
        <v>6451</v>
      </c>
    </row>
    <row r="1062" spans="1:16" x14ac:dyDescent="0.25">
      <c r="A1062" s="28" t="s">
        <v>6546</v>
      </c>
      <c r="B1062" s="28" t="s">
        <v>6547</v>
      </c>
      <c r="C1062" s="28" t="s">
        <v>6446</v>
      </c>
      <c r="D1062" s="28" t="s">
        <v>6467</v>
      </c>
      <c r="F1062" s="28" t="s">
        <v>6308</v>
      </c>
      <c r="G1062" s="28" t="s">
        <v>6309</v>
      </c>
      <c r="H1062" s="28" t="s">
        <v>6310</v>
      </c>
      <c r="I1062" s="28" t="s">
        <v>6548</v>
      </c>
      <c r="J1062" s="28" t="s">
        <v>6448</v>
      </c>
      <c r="K1062" s="28" t="s">
        <v>6449</v>
      </c>
      <c r="L1062" s="28" t="s">
        <v>6314</v>
      </c>
      <c r="M1062" s="28" t="s">
        <v>6549</v>
      </c>
      <c r="N1062" s="28" t="s">
        <v>6316</v>
      </c>
      <c r="O1062" s="28" t="s">
        <v>6317</v>
      </c>
      <c r="P1062" s="28" t="s">
        <v>6451</v>
      </c>
    </row>
    <row r="1063" spans="1:16" x14ac:dyDescent="0.25">
      <c r="A1063" s="28" t="s">
        <v>6550</v>
      </c>
      <c r="B1063" s="28" t="s">
        <v>6551</v>
      </c>
      <c r="C1063" s="28" t="s">
        <v>6446</v>
      </c>
      <c r="D1063" s="28" t="s">
        <v>6467</v>
      </c>
      <c r="F1063" s="28" t="s">
        <v>6308</v>
      </c>
      <c r="G1063" s="28" t="s">
        <v>6309</v>
      </c>
      <c r="H1063" s="28" t="s">
        <v>6310</v>
      </c>
      <c r="I1063" s="28" t="s">
        <v>6552</v>
      </c>
      <c r="J1063" s="28" t="s">
        <v>6448</v>
      </c>
      <c r="K1063" s="28" t="s">
        <v>6449</v>
      </c>
      <c r="L1063" s="28" t="s">
        <v>6314</v>
      </c>
      <c r="M1063" s="28" t="s">
        <v>6553</v>
      </c>
      <c r="N1063" s="28" t="s">
        <v>6316</v>
      </c>
      <c r="O1063" s="28" t="s">
        <v>6317</v>
      </c>
      <c r="P1063" s="28" t="s">
        <v>6451</v>
      </c>
    </row>
    <row r="1064" spans="1:16" x14ac:dyDescent="0.25">
      <c r="A1064" s="28" t="s">
        <v>6554</v>
      </c>
      <c r="B1064" s="28" t="s">
        <v>6555</v>
      </c>
      <c r="C1064" s="28" t="s">
        <v>6446</v>
      </c>
      <c r="D1064" s="28" t="s">
        <v>6467</v>
      </c>
      <c r="F1064" s="28" t="s">
        <v>6308</v>
      </c>
      <c r="G1064" s="28" t="s">
        <v>6309</v>
      </c>
      <c r="H1064" s="28" t="s">
        <v>6310</v>
      </c>
      <c r="I1064" s="28" t="s">
        <v>6556</v>
      </c>
      <c r="J1064" s="28" t="s">
        <v>6448</v>
      </c>
      <c r="K1064" s="28" t="s">
        <v>6449</v>
      </c>
      <c r="L1064" s="28" t="s">
        <v>6314</v>
      </c>
      <c r="M1064" s="28" t="s">
        <v>6557</v>
      </c>
      <c r="N1064" s="28" t="s">
        <v>6316</v>
      </c>
      <c r="O1064" s="28" t="s">
        <v>6317</v>
      </c>
      <c r="P1064" s="28" t="s">
        <v>6451</v>
      </c>
    </row>
    <row r="1065" spans="1:16" x14ac:dyDescent="0.25">
      <c r="A1065" s="28" t="s">
        <v>6558</v>
      </c>
      <c r="B1065" s="28" t="s">
        <v>6559</v>
      </c>
      <c r="C1065" s="28" t="s">
        <v>6446</v>
      </c>
      <c r="D1065" s="28" t="s">
        <v>6467</v>
      </c>
      <c r="F1065" s="28" t="s">
        <v>6308</v>
      </c>
      <c r="G1065" s="28" t="s">
        <v>6309</v>
      </c>
      <c r="H1065" s="28" t="s">
        <v>6310</v>
      </c>
      <c r="I1065" s="28" t="s">
        <v>6560</v>
      </c>
      <c r="J1065" s="28" t="s">
        <v>6448</v>
      </c>
      <c r="K1065" s="28" t="s">
        <v>6449</v>
      </c>
      <c r="L1065" s="28" t="s">
        <v>6314</v>
      </c>
      <c r="M1065" s="28" t="s">
        <v>6561</v>
      </c>
      <c r="N1065" s="28" t="s">
        <v>6316</v>
      </c>
      <c r="O1065" s="28" t="s">
        <v>6317</v>
      </c>
      <c r="P1065" s="28" t="s">
        <v>6451</v>
      </c>
    </row>
    <row r="1066" spans="1:16" x14ac:dyDescent="0.25">
      <c r="A1066" s="28" t="s">
        <v>6562</v>
      </c>
      <c r="B1066" s="28" t="s">
        <v>6563</v>
      </c>
      <c r="C1066" s="28" t="s">
        <v>6446</v>
      </c>
      <c r="D1066" s="28" t="s">
        <v>6467</v>
      </c>
      <c r="F1066" s="28" t="s">
        <v>6308</v>
      </c>
      <c r="G1066" s="28" t="s">
        <v>6309</v>
      </c>
      <c r="H1066" s="28" t="s">
        <v>6310</v>
      </c>
      <c r="I1066" s="28" t="s">
        <v>6564</v>
      </c>
      <c r="J1066" s="28" t="s">
        <v>6448</v>
      </c>
      <c r="K1066" s="28" t="s">
        <v>6449</v>
      </c>
      <c r="L1066" s="28" t="s">
        <v>6314</v>
      </c>
      <c r="M1066" s="28" t="s">
        <v>6565</v>
      </c>
      <c r="N1066" s="28" t="s">
        <v>6316</v>
      </c>
      <c r="O1066" s="28" t="s">
        <v>6317</v>
      </c>
      <c r="P1066" s="28" t="s">
        <v>6451</v>
      </c>
    </row>
    <row r="1067" spans="1:16" x14ac:dyDescent="0.25">
      <c r="A1067" s="28" t="s">
        <v>6566</v>
      </c>
      <c r="B1067" s="28" t="s">
        <v>6567</v>
      </c>
      <c r="C1067" s="28" t="s">
        <v>6446</v>
      </c>
      <c r="D1067" s="28" t="s">
        <v>6467</v>
      </c>
      <c r="F1067" s="28" t="s">
        <v>6308</v>
      </c>
      <c r="G1067" s="28" t="s">
        <v>6309</v>
      </c>
      <c r="H1067" s="28" t="s">
        <v>6310</v>
      </c>
      <c r="I1067" s="28" t="s">
        <v>6568</v>
      </c>
      <c r="J1067" s="28" t="s">
        <v>6448</v>
      </c>
      <c r="K1067" s="28" t="s">
        <v>6449</v>
      </c>
      <c r="L1067" s="28" t="s">
        <v>6314</v>
      </c>
      <c r="M1067" s="28" t="s">
        <v>6569</v>
      </c>
      <c r="N1067" s="28" t="s">
        <v>6316</v>
      </c>
      <c r="O1067" s="28" t="s">
        <v>6317</v>
      </c>
      <c r="P1067" s="28" t="s">
        <v>6451</v>
      </c>
    </row>
    <row r="1068" spans="1:16" x14ac:dyDescent="0.25">
      <c r="A1068" s="28" t="s">
        <v>6570</v>
      </c>
      <c r="B1068" s="28" t="s">
        <v>6571</v>
      </c>
      <c r="C1068" s="28" t="s">
        <v>6446</v>
      </c>
      <c r="D1068" s="28" t="s">
        <v>6467</v>
      </c>
      <c r="F1068" s="28" t="s">
        <v>6308</v>
      </c>
      <c r="G1068" s="28" t="s">
        <v>6309</v>
      </c>
      <c r="H1068" s="28" t="s">
        <v>6310</v>
      </c>
      <c r="I1068" s="28" t="s">
        <v>6572</v>
      </c>
      <c r="J1068" s="28" t="s">
        <v>6448</v>
      </c>
      <c r="K1068" s="28" t="s">
        <v>6449</v>
      </c>
      <c r="L1068" s="28" t="s">
        <v>6314</v>
      </c>
      <c r="M1068" s="28" t="s">
        <v>6573</v>
      </c>
      <c r="N1068" s="28" t="s">
        <v>6316</v>
      </c>
      <c r="O1068" s="28" t="s">
        <v>6317</v>
      </c>
      <c r="P1068" s="28" t="s">
        <v>6451</v>
      </c>
    </row>
    <row r="1069" spans="1:16" x14ac:dyDescent="0.25">
      <c r="A1069" s="28" t="s">
        <v>6574</v>
      </c>
      <c r="B1069" s="28" t="s">
        <v>6575</v>
      </c>
      <c r="C1069" s="28" t="s">
        <v>6446</v>
      </c>
      <c r="D1069" s="28" t="s">
        <v>6467</v>
      </c>
      <c r="F1069" s="28" t="s">
        <v>6308</v>
      </c>
      <c r="G1069" s="28" t="s">
        <v>6309</v>
      </c>
      <c r="H1069" s="28" t="s">
        <v>6310</v>
      </c>
      <c r="I1069" s="28" t="s">
        <v>6576</v>
      </c>
      <c r="J1069" s="28" t="s">
        <v>6448</v>
      </c>
      <c r="K1069" s="28" t="s">
        <v>6449</v>
      </c>
      <c r="L1069" s="28" t="s">
        <v>6314</v>
      </c>
      <c r="M1069" s="28" t="s">
        <v>6577</v>
      </c>
      <c r="N1069" s="28" t="s">
        <v>6316</v>
      </c>
      <c r="O1069" s="28" t="s">
        <v>6317</v>
      </c>
      <c r="P1069" s="28" t="s">
        <v>6451</v>
      </c>
    </row>
    <row r="1070" spans="1:16" hidden="1" x14ac:dyDescent="0.25">
      <c r="A1070" s="28" t="s">
        <v>6578</v>
      </c>
      <c r="B1070" s="28" t="s">
        <v>6579</v>
      </c>
      <c r="C1070" s="28" t="s">
        <v>6446</v>
      </c>
      <c r="D1070" s="28" t="s">
        <v>6580</v>
      </c>
      <c r="E1070" s="28" t="s">
        <v>6581</v>
      </c>
      <c r="F1070" s="28" t="s">
        <v>21</v>
      </c>
      <c r="G1070" s="28" t="s">
        <v>22</v>
      </c>
      <c r="H1070" s="28" t="s">
        <v>6582</v>
      </c>
      <c r="I1070" s="28" t="s">
        <v>6583</v>
      </c>
      <c r="J1070" s="28" t="s">
        <v>22</v>
      </c>
      <c r="K1070" s="28" t="s">
        <v>6584</v>
      </c>
      <c r="L1070" s="28" t="s">
        <v>6585</v>
      </c>
      <c r="M1070" s="28" t="s">
        <v>6586</v>
      </c>
      <c r="N1070" s="28" t="s">
        <v>6587</v>
      </c>
      <c r="O1070" s="28" t="s">
        <v>6588</v>
      </c>
      <c r="P1070" s="28" t="s">
        <v>6589</v>
      </c>
    </row>
    <row r="1071" spans="1:16" hidden="1" x14ac:dyDescent="0.25">
      <c r="A1071" s="28" t="s">
        <v>6590</v>
      </c>
      <c r="B1071" s="28" t="s">
        <v>6591</v>
      </c>
      <c r="C1071" s="28" t="s">
        <v>6446</v>
      </c>
      <c r="D1071" s="28" t="s">
        <v>6592</v>
      </c>
      <c r="E1071" s="28" t="s">
        <v>6593</v>
      </c>
      <c r="F1071" s="28" t="s">
        <v>21</v>
      </c>
      <c r="G1071" s="28" t="s">
        <v>22</v>
      </c>
      <c r="H1071" s="28" t="s">
        <v>6582</v>
      </c>
      <c r="I1071" s="28" t="s">
        <v>6594</v>
      </c>
      <c r="J1071" s="28" t="s">
        <v>22</v>
      </c>
      <c r="K1071" s="28" t="s">
        <v>6584</v>
      </c>
      <c r="L1071" s="28" t="s">
        <v>6585</v>
      </c>
      <c r="M1071" s="28" t="s">
        <v>6595</v>
      </c>
      <c r="N1071" s="28" t="s">
        <v>6587</v>
      </c>
      <c r="O1071" s="28" t="s">
        <v>6588</v>
      </c>
      <c r="P1071" s="28" t="s">
        <v>6596</v>
      </c>
    </row>
    <row r="1072" spans="1:16" hidden="1" x14ac:dyDescent="0.25">
      <c r="A1072" s="28" t="s">
        <v>6597</v>
      </c>
      <c r="B1072" s="28" t="s">
        <v>6598</v>
      </c>
      <c r="C1072" s="28" t="s">
        <v>6446</v>
      </c>
      <c r="D1072" s="28" t="s">
        <v>6467</v>
      </c>
      <c r="E1072" s="28" t="s">
        <v>6599</v>
      </c>
      <c r="F1072" s="28" t="s">
        <v>21</v>
      </c>
      <c r="G1072" s="28" t="s">
        <v>22</v>
      </c>
      <c r="H1072" s="28" t="s">
        <v>6582</v>
      </c>
      <c r="I1072" s="28" t="s">
        <v>6600</v>
      </c>
      <c r="J1072" s="28" t="s">
        <v>22</v>
      </c>
      <c r="K1072" s="28" t="s">
        <v>6601</v>
      </c>
      <c r="L1072" s="28" t="s">
        <v>6585</v>
      </c>
      <c r="M1072" s="28" t="s">
        <v>6602</v>
      </c>
      <c r="N1072" s="28" t="s">
        <v>6587</v>
      </c>
      <c r="O1072" s="28" t="s">
        <v>6588</v>
      </c>
      <c r="P1072" s="28" t="s">
        <v>6603</v>
      </c>
    </row>
    <row r="1073" spans="1:16" hidden="1" x14ac:dyDescent="0.25">
      <c r="A1073" s="28" t="s">
        <v>6604</v>
      </c>
      <c r="B1073" s="28" t="s">
        <v>6605</v>
      </c>
      <c r="C1073" s="28" t="s">
        <v>6446</v>
      </c>
      <c r="D1073" s="28" t="s">
        <v>6467</v>
      </c>
      <c r="E1073" s="28" t="s">
        <v>6599</v>
      </c>
      <c r="F1073" s="28" t="s">
        <v>21</v>
      </c>
      <c r="G1073" s="28" t="s">
        <v>22</v>
      </c>
      <c r="H1073" s="28" t="s">
        <v>6582</v>
      </c>
      <c r="I1073" s="28" t="s">
        <v>6606</v>
      </c>
      <c r="J1073" s="28" t="s">
        <v>22</v>
      </c>
      <c r="K1073" s="28" t="s">
        <v>6601</v>
      </c>
      <c r="L1073" s="28" t="s">
        <v>6585</v>
      </c>
      <c r="M1073" s="28" t="s">
        <v>6607</v>
      </c>
      <c r="N1073" s="28" t="s">
        <v>6587</v>
      </c>
      <c r="O1073" s="28" t="s">
        <v>6588</v>
      </c>
      <c r="P1073" s="28" t="s">
        <v>6608</v>
      </c>
    </row>
    <row r="1074" spans="1:16" hidden="1" x14ac:dyDescent="0.25">
      <c r="A1074" s="28" t="s">
        <v>6609</v>
      </c>
      <c r="B1074" s="28" t="s">
        <v>6610</v>
      </c>
      <c r="C1074" s="28" t="s">
        <v>6446</v>
      </c>
      <c r="D1074" s="28" t="s">
        <v>6467</v>
      </c>
      <c r="E1074" s="28" t="s">
        <v>6599</v>
      </c>
      <c r="F1074" s="28" t="s">
        <v>21</v>
      </c>
      <c r="G1074" s="28" t="s">
        <v>22</v>
      </c>
      <c r="H1074" s="28" t="s">
        <v>6582</v>
      </c>
      <c r="I1074" s="28" t="s">
        <v>6611</v>
      </c>
      <c r="J1074" s="28" t="s">
        <v>22</v>
      </c>
      <c r="K1074" s="28" t="s">
        <v>6601</v>
      </c>
      <c r="L1074" s="28" t="s">
        <v>6585</v>
      </c>
      <c r="M1074" s="28" t="s">
        <v>6612</v>
      </c>
      <c r="N1074" s="28" t="s">
        <v>6587</v>
      </c>
      <c r="O1074" s="28" t="s">
        <v>6588</v>
      </c>
      <c r="P1074" s="28" t="s">
        <v>6613</v>
      </c>
    </row>
    <row r="1075" spans="1:16" hidden="1" x14ac:dyDescent="0.25">
      <c r="A1075" s="28" t="s">
        <v>6614</v>
      </c>
      <c r="B1075" s="28" t="s">
        <v>6615</v>
      </c>
      <c r="C1075" s="28" t="s">
        <v>6446</v>
      </c>
      <c r="D1075" s="28" t="s">
        <v>6467</v>
      </c>
      <c r="E1075" s="28" t="s">
        <v>6616</v>
      </c>
      <c r="F1075" s="28" t="s">
        <v>21</v>
      </c>
      <c r="G1075" s="28" t="s">
        <v>22</v>
      </c>
      <c r="H1075" s="28" t="s">
        <v>6582</v>
      </c>
      <c r="I1075" s="28" t="s">
        <v>6617</v>
      </c>
      <c r="J1075" s="28" t="s">
        <v>22</v>
      </c>
      <c r="K1075" s="28" t="s">
        <v>6601</v>
      </c>
      <c r="L1075" s="28" t="s">
        <v>6585</v>
      </c>
      <c r="M1075" s="28" t="s">
        <v>6618</v>
      </c>
      <c r="N1075" s="28" t="s">
        <v>6587</v>
      </c>
      <c r="O1075" s="28" t="s">
        <v>6588</v>
      </c>
      <c r="P1075" s="28" t="s">
        <v>6619</v>
      </c>
    </row>
    <row r="1076" spans="1:16" hidden="1" x14ac:dyDescent="0.25">
      <c r="A1076" s="28" t="s">
        <v>6620</v>
      </c>
      <c r="B1076" s="28" t="s">
        <v>6621</v>
      </c>
      <c r="C1076" s="28" t="s">
        <v>6446</v>
      </c>
      <c r="D1076" s="28" t="s">
        <v>6467</v>
      </c>
      <c r="E1076" s="28" t="s">
        <v>6622</v>
      </c>
      <c r="F1076" s="28" t="s">
        <v>21</v>
      </c>
      <c r="G1076" s="28" t="s">
        <v>22</v>
      </c>
      <c r="H1076" s="28" t="s">
        <v>6582</v>
      </c>
      <c r="I1076" s="28" t="s">
        <v>6623</v>
      </c>
      <c r="J1076" s="28" t="s">
        <v>22</v>
      </c>
      <c r="K1076" s="28" t="s">
        <v>6601</v>
      </c>
      <c r="L1076" s="28" t="s">
        <v>6585</v>
      </c>
      <c r="M1076" s="28" t="s">
        <v>6624</v>
      </c>
      <c r="N1076" s="28" t="s">
        <v>6587</v>
      </c>
      <c r="O1076" s="28" t="s">
        <v>6588</v>
      </c>
      <c r="P1076" s="28" t="s">
        <v>6625</v>
      </c>
    </row>
    <row r="1077" spans="1:16" hidden="1" x14ac:dyDescent="0.25">
      <c r="A1077" s="28" t="s">
        <v>6626</v>
      </c>
      <c r="B1077" s="28" t="s">
        <v>6627</v>
      </c>
      <c r="C1077" s="28" t="s">
        <v>6446</v>
      </c>
      <c r="D1077" s="28" t="s">
        <v>6467</v>
      </c>
      <c r="E1077" s="28" t="s">
        <v>6628</v>
      </c>
      <c r="F1077" s="28" t="s">
        <v>21</v>
      </c>
      <c r="G1077" s="28" t="s">
        <v>22</v>
      </c>
      <c r="H1077" s="28" t="s">
        <v>6582</v>
      </c>
      <c r="I1077" s="28" t="s">
        <v>6629</v>
      </c>
      <c r="J1077" s="28" t="s">
        <v>22</v>
      </c>
      <c r="K1077" s="28" t="s">
        <v>6601</v>
      </c>
      <c r="L1077" s="28" t="s">
        <v>6585</v>
      </c>
      <c r="M1077" s="28" t="s">
        <v>6630</v>
      </c>
      <c r="N1077" s="28" t="s">
        <v>6587</v>
      </c>
      <c r="O1077" s="28" t="s">
        <v>6588</v>
      </c>
      <c r="P1077" s="28" t="s">
        <v>6631</v>
      </c>
    </row>
    <row r="1078" spans="1:16" hidden="1" x14ac:dyDescent="0.25">
      <c r="A1078" s="28" t="s">
        <v>6632</v>
      </c>
      <c r="B1078" s="28" t="s">
        <v>6633</v>
      </c>
      <c r="C1078" s="28" t="s">
        <v>6446</v>
      </c>
      <c r="D1078" s="28" t="s">
        <v>6467</v>
      </c>
      <c r="E1078" s="28" t="s">
        <v>6634</v>
      </c>
      <c r="F1078" s="28" t="s">
        <v>21</v>
      </c>
      <c r="G1078" s="28" t="s">
        <v>22</v>
      </c>
      <c r="H1078" s="28" t="s">
        <v>6582</v>
      </c>
      <c r="I1078" s="28" t="s">
        <v>6635</v>
      </c>
      <c r="J1078" s="28" t="s">
        <v>22</v>
      </c>
      <c r="K1078" s="28" t="s">
        <v>6601</v>
      </c>
      <c r="L1078" s="28" t="s">
        <v>6585</v>
      </c>
      <c r="M1078" s="28" t="s">
        <v>6636</v>
      </c>
      <c r="N1078" s="28" t="s">
        <v>6587</v>
      </c>
      <c r="O1078" s="28" t="s">
        <v>6588</v>
      </c>
      <c r="P1078" s="28" t="s">
        <v>6637</v>
      </c>
    </row>
    <row r="1079" spans="1:16" hidden="1" x14ac:dyDescent="0.25">
      <c r="A1079" s="28" t="s">
        <v>6638</v>
      </c>
      <c r="B1079" s="28" t="s">
        <v>6639</v>
      </c>
      <c r="C1079" s="28" t="s">
        <v>6446</v>
      </c>
      <c r="D1079" s="28" t="s">
        <v>6467</v>
      </c>
      <c r="E1079" s="28" t="s">
        <v>6640</v>
      </c>
      <c r="F1079" s="28" t="s">
        <v>21</v>
      </c>
      <c r="G1079" s="28" t="s">
        <v>22</v>
      </c>
      <c r="H1079" s="28" t="s">
        <v>6582</v>
      </c>
      <c r="I1079" s="28" t="s">
        <v>6641</v>
      </c>
      <c r="J1079" s="28" t="s">
        <v>22</v>
      </c>
      <c r="K1079" s="28" t="s">
        <v>6601</v>
      </c>
      <c r="L1079" s="28" t="s">
        <v>6585</v>
      </c>
      <c r="M1079" s="28" t="s">
        <v>6642</v>
      </c>
      <c r="N1079" s="28" t="s">
        <v>6587</v>
      </c>
      <c r="O1079" s="28" t="s">
        <v>6588</v>
      </c>
      <c r="P1079" s="28" t="s">
        <v>6643</v>
      </c>
    </row>
    <row r="1080" spans="1:16" hidden="1" x14ac:dyDescent="0.25">
      <c r="A1080" s="28" t="s">
        <v>6644</v>
      </c>
      <c r="B1080" s="28" t="s">
        <v>6645</v>
      </c>
      <c r="C1080" s="28" t="s">
        <v>6446</v>
      </c>
      <c r="D1080" s="28" t="s">
        <v>6467</v>
      </c>
      <c r="E1080" s="28" t="s">
        <v>6646</v>
      </c>
      <c r="F1080" s="28" t="s">
        <v>21</v>
      </c>
      <c r="G1080" s="28" t="s">
        <v>22</v>
      </c>
      <c r="H1080" s="28" t="s">
        <v>6582</v>
      </c>
      <c r="I1080" s="28" t="s">
        <v>6647</v>
      </c>
      <c r="J1080" s="28" t="s">
        <v>22</v>
      </c>
      <c r="K1080" s="28" t="s">
        <v>6601</v>
      </c>
      <c r="L1080" s="28" t="s">
        <v>6585</v>
      </c>
      <c r="M1080" s="28" t="s">
        <v>6648</v>
      </c>
      <c r="N1080" s="28" t="s">
        <v>6587</v>
      </c>
      <c r="O1080" s="28" t="s">
        <v>6588</v>
      </c>
      <c r="P1080" s="28" t="s">
        <v>6649</v>
      </c>
    </row>
    <row r="1081" spans="1:16" hidden="1" x14ac:dyDescent="0.25">
      <c r="A1081" s="28" t="s">
        <v>6650</v>
      </c>
      <c r="B1081" s="28" t="s">
        <v>6651</v>
      </c>
      <c r="C1081" s="28" t="s">
        <v>6446</v>
      </c>
      <c r="D1081" s="28" t="s">
        <v>6467</v>
      </c>
      <c r="E1081" s="28" t="s">
        <v>6652</v>
      </c>
      <c r="F1081" s="28" t="s">
        <v>21</v>
      </c>
      <c r="G1081" s="28" t="s">
        <v>22</v>
      </c>
      <c r="H1081" s="28" t="s">
        <v>6582</v>
      </c>
      <c r="I1081" s="28" t="s">
        <v>6653</v>
      </c>
      <c r="J1081" s="28" t="s">
        <v>22</v>
      </c>
      <c r="K1081" s="28" t="s">
        <v>6601</v>
      </c>
      <c r="L1081" s="28" t="s">
        <v>6585</v>
      </c>
      <c r="M1081" s="28" t="s">
        <v>6654</v>
      </c>
      <c r="N1081" s="28" t="s">
        <v>6587</v>
      </c>
      <c r="O1081" s="28" t="s">
        <v>6588</v>
      </c>
      <c r="P1081" s="28" t="s">
        <v>6655</v>
      </c>
    </row>
    <row r="1082" spans="1:16" hidden="1" x14ac:dyDescent="0.25">
      <c r="A1082" s="28" t="s">
        <v>6656</v>
      </c>
      <c r="B1082" s="28" t="s">
        <v>6657</v>
      </c>
      <c r="C1082" s="28" t="s">
        <v>6446</v>
      </c>
      <c r="D1082" s="28" t="s">
        <v>6467</v>
      </c>
      <c r="E1082" s="28" t="s">
        <v>6658</v>
      </c>
      <c r="F1082" s="28" t="s">
        <v>21</v>
      </c>
      <c r="G1082" s="28" t="s">
        <v>22</v>
      </c>
      <c r="H1082" s="28" t="s">
        <v>6582</v>
      </c>
      <c r="I1082" s="28" t="s">
        <v>6659</v>
      </c>
      <c r="J1082" s="28" t="s">
        <v>22</v>
      </c>
      <c r="K1082" s="28" t="s">
        <v>6601</v>
      </c>
      <c r="L1082" s="28" t="s">
        <v>6585</v>
      </c>
      <c r="M1082" s="28" t="s">
        <v>6660</v>
      </c>
      <c r="N1082" s="28" t="s">
        <v>6587</v>
      </c>
      <c r="O1082" s="28" t="s">
        <v>6588</v>
      </c>
      <c r="P1082" s="28" t="s">
        <v>6661</v>
      </c>
    </row>
    <row r="1083" spans="1:16" hidden="1" x14ac:dyDescent="0.25">
      <c r="A1083" s="28" t="s">
        <v>6662</v>
      </c>
      <c r="B1083" s="28" t="s">
        <v>6663</v>
      </c>
      <c r="C1083" s="28" t="s">
        <v>6446</v>
      </c>
      <c r="D1083" s="28" t="s">
        <v>6467</v>
      </c>
      <c r="E1083" s="28" t="s">
        <v>6664</v>
      </c>
      <c r="F1083" s="28" t="s">
        <v>21</v>
      </c>
      <c r="G1083" s="28" t="s">
        <v>22</v>
      </c>
      <c r="H1083" s="28" t="s">
        <v>6582</v>
      </c>
      <c r="I1083" s="28" t="s">
        <v>6665</v>
      </c>
      <c r="J1083" s="28" t="s">
        <v>22</v>
      </c>
      <c r="K1083" s="28" t="s">
        <v>6601</v>
      </c>
      <c r="L1083" s="28" t="s">
        <v>6585</v>
      </c>
      <c r="M1083" s="28" t="s">
        <v>6666</v>
      </c>
      <c r="N1083" s="28" t="s">
        <v>6587</v>
      </c>
      <c r="O1083" s="28" t="s">
        <v>6588</v>
      </c>
      <c r="P1083" s="28" t="s">
        <v>6667</v>
      </c>
    </row>
    <row r="1084" spans="1:16" hidden="1" x14ac:dyDescent="0.25">
      <c r="A1084" s="28" t="s">
        <v>6668</v>
      </c>
      <c r="B1084" s="28" t="s">
        <v>6669</v>
      </c>
      <c r="C1084" s="28" t="s">
        <v>6446</v>
      </c>
      <c r="D1084" s="28" t="s">
        <v>6467</v>
      </c>
      <c r="E1084" s="28" t="s">
        <v>6670</v>
      </c>
      <c r="F1084" s="28" t="s">
        <v>21</v>
      </c>
      <c r="G1084" s="28" t="s">
        <v>22</v>
      </c>
      <c r="H1084" s="28" t="s">
        <v>6582</v>
      </c>
      <c r="I1084" s="28" t="s">
        <v>6671</v>
      </c>
      <c r="J1084" s="28" t="s">
        <v>22</v>
      </c>
      <c r="K1084" s="28" t="s">
        <v>6601</v>
      </c>
      <c r="L1084" s="28" t="s">
        <v>6585</v>
      </c>
      <c r="M1084" s="28" t="s">
        <v>6672</v>
      </c>
      <c r="N1084" s="28" t="s">
        <v>6587</v>
      </c>
      <c r="O1084" s="28" t="s">
        <v>6588</v>
      </c>
      <c r="P1084" s="28" t="s">
        <v>6673</v>
      </c>
    </row>
    <row r="1085" spans="1:16" hidden="1" x14ac:dyDescent="0.25">
      <c r="A1085" s="28" t="s">
        <v>6674</v>
      </c>
      <c r="B1085" s="28" t="s">
        <v>6675</v>
      </c>
      <c r="C1085" s="28" t="s">
        <v>6446</v>
      </c>
      <c r="D1085" s="28" t="s">
        <v>6467</v>
      </c>
      <c r="E1085" s="28" t="s">
        <v>6676</v>
      </c>
      <c r="F1085" s="28" t="s">
        <v>21</v>
      </c>
      <c r="G1085" s="28" t="s">
        <v>22</v>
      </c>
      <c r="H1085" s="28" t="s">
        <v>6582</v>
      </c>
      <c r="I1085" s="28" t="s">
        <v>6677</v>
      </c>
      <c r="J1085" s="28" t="s">
        <v>22</v>
      </c>
      <c r="K1085" s="28" t="s">
        <v>6601</v>
      </c>
      <c r="L1085" s="28" t="s">
        <v>6585</v>
      </c>
      <c r="M1085" s="28" t="s">
        <v>6678</v>
      </c>
      <c r="N1085" s="28" t="s">
        <v>6587</v>
      </c>
      <c r="O1085" s="28" t="s">
        <v>6588</v>
      </c>
      <c r="P1085" s="28" t="s">
        <v>6679</v>
      </c>
    </row>
    <row r="1086" spans="1:16" hidden="1" x14ac:dyDescent="0.25">
      <c r="A1086" s="28" t="s">
        <v>6680</v>
      </c>
      <c r="B1086" s="28" t="s">
        <v>6681</v>
      </c>
      <c r="C1086" s="28" t="s">
        <v>6446</v>
      </c>
      <c r="D1086" s="28" t="s">
        <v>6467</v>
      </c>
      <c r="E1086" s="28" t="s">
        <v>6682</v>
      </c>
      <c r="F1086" s="28" t="s">
        <v>21</v>
      </c>
      <c r="G1086" s="28" t="s">
        <v>22</v>
      </c>
      <c r="H1086" s="28" t="s">
        <v>6582</v>
      </c>
      <c r="I1086" s="28" t="s">
        <v>6683</v>
      </c>
      <c r="J1086" s="28" t="s">
        <v>22</v>
      </c>
      <c r="K1086" s="28" t="s">
        <v>6601</v>
      </c>
      <c r="L1086" s="28" t="s">
        <v>6585</v>
      </c>
      <c r="M1086" s="28" t="s">
        <v>6684</v>
      </c>
      <c r="N1086" s="28" t="s">
        <v>6587</v>
      </c>
      <c r="O1086" s="28" t="s">
        <v>6588</v>
      </c>
      <c r="P1086" s="28" t="s">
        <v>6685</v>
      </c>
    </row>
    <row r="1087" spans="1:16" hidden="1" x14ac:dyDescent="0.25">
      <c r="A1087" s="28" t="s">
        <v>6686</v>
      </c>
      <c r="B1087" s="28" t="s">
        <v>6687</v>
      </c>
      <c r="C1087" s="28" t="s">
        <v>6446</v>
      </c>
      <c r="D1087" s="28" t="s">
        <v>6467</v>
      </c>
      <c r="E1087" s="28" t="s">
        <v>6688</v>
      </c>
      <c r="F1087" s="28" t="s">
        <v>21</v>
      </c>
      <c r="G1087" s="28" t="s">
        <v>22</v>
      </c>
      <c r="H1087" s="28" t="s">
        <v>6582</v>
      </c>
      <c r="I1087" s="28" t="s">
        <v>6689</v>
      </c>
      <c r="J1087" s="28" t="s">
        <v>22</v>
      </c>
      <c r="K1087" s="28" t="s">
        <v>6601</v>
      </c>
      <c r="L1087" s="28" t="s">
        <v>6585</v>
      </c>
      <c r="M1087" s="28" t="s">
        <v>6690</v>
      </c>
      <c r="N1087" s="28" t="s">
        <v>6587</v>
      </c>
      <c r="O1087" s="28" t="s">
        <v>6588</v>
      </c>
      <c r="P1087" s="28" t="s">
        <v>6691</v>
      </c>
    </row>
    <row r="1088" spans="1:16" hidden="1" x14ac:dyDescent="0.25">
      <c r="A1088" s="28" t="s">
        <v>6692</v>
      </c>
      <c r="B1088" s="28" t="s">
        <v>6693</v>
      </c>
      <c r="C1088" s="28" t="s">
        <v>6446</v>
      </c>
      <c r="D1088" s="28" t="s">
        <v>6467</v>
      </c>
      <c r="E1088" s="28" t="s">
        <v>6694</v>
      </c>
      <c r="F1088" s="28" t="s">
        <v>21</v>
      </c>
      <c r="G1088" s="28" t="s">
        <v>22</v>
      </c>
      <c r="H1088" s="28" t="s">
        <v>6582</v>
      </c>
      <c r="I1088" s="28" t="s">
        <v>6695</v>
      </c>
      <c r="J1088" s="28" t="s">
        <v>22</v>
      </c>
      <c r="K1088" s="28" t="s">
        <v>6601</v>
      </c>
      <c r="L1088" s="28" t="s">
        <v>6585</v>
      </c>
      <c r="M1088" s="28" t="s">
        <v>6696</v>
      </c>
      <c r="N1088" s="28" t="s">
        <v>6587</v>
      </c>
      <c r="O1088" s="28" t="s">
        <v>6588</v>
      </c>
      <c r="P1088" s="28" t="s">
        <v>6697</v>
      </c>
    </row>
    <row r="1089" spans="1:16" hidden="1" x14ac:dyDescent="0.25">
      <c r="A1089" s="28" t="s">
        <v>6698</v>
      </c>
      <c r="B1089" s="28" t="s">
        <v>6699</v>
      </c>
      <c r="C1089" s="28" t="s">
        <v>6446</v>
      </c>
      <c r="D1089" s="28" t="s">
        <v>6467</v>
      </c>
      <c r="E1089" s="28" t="s">
        <v>6700</v>
      </c>
      <c r="F1089" s="28" t="s">
        <v>21</v>
      </c>
      <c r="G1089" s="28" t="s">
        <v>22</v>
      </c>
      <c r="H1089" s="28" t="s">
        <v>6582</v>
      </c>
      <c r="I1089" s="28" t="s">
        <v>6701</v>
      </c>
      <c r="J1089" s="28" t="s">
        <v>22</v>
      </c>
      <c r="K1089" s="28" t="s">
        <v>6601</v>
      </c>
      <c r="L1089" s="28" t="s">
        <v>6585</v>
      </c>
      <c r="M1089" s="28" t="s">
        <v>6702</v>
      </c>
      <c r="N1089" s="28" t="s">
        <v>6587</v>
      </c>
      <c r="O1089" s="28" t="s">
        <v>6588</v>
      </c>
      <c r="P1089" s="28" t="s">
        <v>6703</v>
      </c>
    </row>
    <row r="1090" spans="1:16" hidden="1" x14ac:dyDescent="0.25">
      <c r="A1090" s="28" t="s">
        <v>6704</v>
      </c>
      <c r="B1090" s="28" t="s">
        <v>6705</v>
      </c>
      <c r="C1090" s="28" t="s">
        <v>6446</v>
      </c>
      <c r="D1090" s="28" t="s">
        <v>6467</v>
      </c>
      <c r="E1090" s="28" t="s">
        <v>6706</v>
      </c>
      <c r="F1090" s="28" t="s">
        <v>21</v>
      </c>
      <c r="G1090" s="28" t="s">
        <v>22</v>
      </c>
      <c r="H1090" s="28" t="s">
        <v>6582</v>
      </c>
      <c r="I1090" s="28" t="s">
        <v>6707</v>
      </c>
      <c r="J1090" s="28" t="s">
        <v>22</v>
      </c>
      <c r="K1090" s="28" t="s">
        <v>6601</v>
      </c>
      <c r="L1090" s="28" t="s">
        <v>6585</v>
      </c>
      <c r="M1090" s="28" t="s">
        <v>6708</v>
      </c>
      <c r="N1090" s="28" t="s">
        <v>6587</v>
      </c>
      <c r="O1090" s="28" t="s">
        <v>6588</v>
      </c>
      <c r="P1090" s="28" t="s">
        <v>6709</v>
      </c>
    </row>
    <row r="1091" spans="1:16" hidden="1" x14ac:dyDescent="0.25">
      <c r="A1091" s="28" t="s">
        <v>6710</v>
      </c>
      <c r="B1091" s="28" t="s">
        <v>6711</v>
      </c>
      <c r="C1091" s="28" t="s">
        <v>6446</v>
      </c>
      <c r="D1091" s="28" t="s">
        <v>6467</v>
      </c>
      <c r="E1091" s="28" t="s">
        <v>6712</v>
      </c>
      <c r="F1091" s="28" t="s">
        <v>21</v>
      </c>
      <c r="G1091" s="28" t="s">
        <v>22</v>
      </c>
      <c r="H1091" s="28" t="s">
        <v>6582</v>
      </c>
      <c r="I1091" s="28" t="s">
        <v>6713</v>
      </c>
      <c r="J1091" s="28" t="s">
        <v>22</v>
      </c>
      <c r="K1091" s="28" t="s">
        <v>6601</v>
      </c>
      <c r="L1091" s="28" t="s">
        <v>6585</v>
      </c>
      <c r="M1091" s="28" t="s">
        <v>6714</v>
      </c>
      <c r="N1091" s="28" t="s">
        <v>6587</v>
      </c>
      <c r="O1091" s="28" t="s">
        <v>6588</v>
      </c>
      <c r="P1091" s="28" t="s">
        <v>6715</v>
      </c>
    </row>
    <row r="1092" spans="1:16" hidden="1" x14ac:dyDescent="0.25">
      <c r="A1092" s="28" t="s">
        <v>6716</v>
      </c>
      <c r="B1092" s="28" t="s">
        <v>6717</v>
      </c>
      <c r="C1092" s="28" t="s">
        <v>6446</v>
      </c>
      <c r="D1092" s="28" t="s">
        <v>6467</v>
      </c>
      <c r="E1092" s="28" t="s">
        <v>6718</v>
      </c>
      <c r="F1092" s="28" t="s">
        <v>21</v>
      </c>
      <c r="G1092" s="28" t="s">
        <v>22</v>
      </c>
      <c r="H1092" s="28" t="s">
        <v>6582</v>
      </c>
      <c r="I1092" s="28" t="s">
        <v>6719</v>
      </c>
      <c r="J1092" s="28" t="s">
        <v>22</v>
      </c>
      <c r="K1092" s="28" t="s">
        <v>6601</v>
      </c>
      <c r="L1092" s="28" t="s">
        <v>6585</v>
      </c>
      <c r="M1092" s="28" t="s">
        <v>6720</v>
      </c>
      <c r="N1092" s="28" t="s">
        <v>6587</v>
      </c>
      <c r="O1092" s="28" t="s">
        <v>6588</v>
      </c>
      <c r="P1092" s="28" t="s">
        <v>6721</v>
      </c>
    </row>
    <row r="1093" spans="1:16" hidden="1" x14ac:dyDescent="0.25">
      <c r="A1093" s="28" t="s">
        <v>6722</v>
      </c>
      <c r="B1093" s="28" t="s">
        <v>6723</v>
      </c>
      <c r="C1093" s="28" t="s">
        <v>6446</v>
      </c>
      <c r="D1093" s="28" t="s">
        <v>6467</v>
      </c>
      <c r="E1093" s="28" t="s">
        <v>6724</v>
      </c>
      <c r="F1093" s="28" t="s">
        <v>21</v>
      </c>
      <c r="G1093" s="28" t="s">
        <v>22</v>
      </c>
      <c r="H1093" s="28" t="s">
        <v>6582</v>
      </c>
      <c r="I1093" s="28" t="s">
        <v>6725</v>
      </c>
      <c r="J1093" s="28" t="s">
        <v>22</v>
      </c>
      <c r="K1093" s="28" t="s">
        <v>6601</v>
      </c>
      <c r="L1093" s="28" t="s">
        <v>6585</v>
      </c>
      <c r="M1093" s="28" t="s">
        <v>6726</v>
      </c>
      <c r="N1093" s="28" t="s">
        <v>6587</v>
      </c>
      <c r="O1093" s="28" t="s">
        <v>6588</v>
      </c>
      <c r="P1093" s="28" t="s">
        <v>6727</v>
      </c>
    </row>
    <row r="1094" spans="1:16" hidden="1" x14ac:dyDescent="0.25">
      <c r="A1094" s="28" t="s">
        <v>6728</v>
      </c>
      <c r="B1094" s="28" t="s">
        <v>6729</v>
      </c>
      <c r="C1094" s="28" t="s">
        <v>6446</v>
      </c>
      <c r="D1094" s="28" t="s">
        <v>19</v>
      </c>
      <c r="E1094" s="28" t="s">
        <v>6730</v>
      </c>
      <c r="F1094" s="28" t="s">
        <v>21</v>
      </c>
      <c r="G1094" s="28" t="s">
        <v>22</v>
      </c>
      <c r="H1094" s="28" t="s">
        <v>6582</v>
      </c>
      <c r="I1094" s="28" t="s">
        <v>6731</v>
      </c>
      <c r="J1094" s="28" t="s">
        <v>22</v>
      </c>
      <c r="K1094" s="28" t="s">
        <v>6732</v>
      </c>
      <c r="L1094" s="28" t="s">
        <v>6585</v>
      </c>
      <c r="M1094" s="28" t="s">
        <v>6733</v>
      </c>
      <c r="N1094" s="28" t="s">
        <v>6587</v>
      </c>
      <c r="O1094" s="28" t="s">
        <v>6588</v>
      </c>
      <c r="P1094" s="28" t="s">
        <v>6734</v>
      </c>
    </row>
    <row r="1095" spans="1:16" hidden="1" x14ac:dyDescent="0.25">
      <c r="A1095" s="28" t="s">
        <v>6735</v>
      </c>
      <c r="B1095" s="28" t="s">
        <v>6736</v>
      </c>
      <c r="C1095" s="28" t="s">
        <v>6446</v>
      </c>
      <c r="D1095" s="28" t="s">
        <v>19</v>
      </c>
      <c r="E1095" s="28" t="s">
        <v>6730</v>
      </c>
      <c r="F1095" s="28" t="s">
        <v>21</v>
      </c>
      <c r="G1095" s="28" t="s">
        <v>22</v>
      </c>
      <c r="H1095" s="28" t="s">
        <v>6582</v>
      </c>
      <c r="I1095" s="28" t="s">
        <v>6737</v>
      </c>
      <c r="J1095" s="28" t="s">
        <v>22</v>
      </c>
      <c r="K1095" s="28" t="s">
        <v>6732</v>
      </c>
      <c r="L1095" s="28" t="s">
        <v>6585</v>
      </c>
      <c r="M1095" s="28" t="s">
        <v>6738</v>
      </c>
      <c r="N1095" s="28" t="s">
        <v>6587</v>
      </c>
      <c r="O1095" s="28" t="s">
        <v>6588</v>
      </c>
      <c r="P1095" s="28" t="s">
        <v>6739</v>
      </c>
    </row>
    <row r="1096" spans="1:16" x14ac:dyDescent="0.25">
      <c r="A1096" s="28" t="s">
        <v>6740</v>
      </c>
      <c r="B1096" s="28" t="s">
        <v>6741</v>
      </c>
      <c r="C1096" s="28" t="s">
        <v>6446</v>
      </c>
      <c r="D1096" s="28" t="s">
        <v>19</v>
      </c>
      <c r="E1096" s="28" t="s">
        <v>170</v>
      </c>
      <c r="F1096" s="28" t="s">
        <v>21</v>
      </c>
      <c r="G1096" s="28" t="s">
        <v>39</v>
      </c>
      <c r="H1096" s="28" t="s">
        <v>6582</v>
      </c>
      <c r="I1096" s="28" t="s">
        <v>6742</v>
      </c>
      <c r="J1096" s="28" t="s">
        <v>39</v>
      </c>
      <c r="K1096" s="28" t="s">
        <v>6743</v>
      </c>
      <c r="L1096" s="28" t="s">
        <v>6585</v>
      </c>
      <c r="M1096" s="28" t="s">
        <v>6744</v>
      </c>
      <c r="N1096" s="28" t="s">
        <v>6587</v>
      </c>
      <c r="O1096" s="28" t="s">
        <v>6588</v>
      </c>
      <c r="P1096" s="28" t="s">
        <v>6745</v>
      </c>
    </row>
    <row r="1097" spans="1:16" x14ac:dyDescent="0.25">
      <c r="A1097" s="28" t="s">
        <v>6746</v>
      </c>
      <c r="B1097" s="28" t="s">
        <v>6747</v>
      </c>
      <c r="C1097" s="28" t="s">
        <v>6446</v>
      </c>
      <c r="D1097" s="28" t="s">
        <v>19</v>
      </c>
      <c r="E1097" s="28" t="s">
        <v>170</v>
      </c>
      <c r="F1097" s="28" t="s">
        <v>21</v>
      </c>
      <c r="G1097" s="28" t="s">
        <v>149</v>
      </c>
      <c r="H1097" s="28" t="s">
        <v>6582</v>
      </c>
      <c r="I1097" s="28" t="s">
        <v>6748</v>
      </c>
      <c r="J1097" s="28" t="s">
        <v>149</v>
      </c>
      <c r="K1097" s="28" t="s">
        <v>6749</v>
      </c>
      <c r="L1097" s="28" t="s">
        <v>6585</v>
      </c>
      <c r="M1097" s="28" t="s">
        <v>6750</v>
      </c>
      <c r="N1097" s="28" t="s">
        <v>6587</v>
      </c>
      <c r="O1097" s="28" t="s">
        <v>6588</v>
      </c>
      <c r="P1097" s="28" t="s">
        <v>6751</v>
      </c>
    </row>
    <row r="1098" spans="1:16" x14ac:dyDescent="0.25">
      <c r="A1098" s="28" t="s">
        <v>6752</v>
      </c>
      <c r="B1098" s="28" t="s">
        <v>6753</v>
      </c>
      <c r="C1098" s="28" t="s">
        <v>6446</v>
      </c>
      <c r="D1098" s="28" t="s">
        <v>19</v>
      </c>
      <c r="E1098" s="28" t="s">
        <v>170</v>
      </c>
      <c r="F1098" s="28" t="s">
        <v>21</v>
      </c>
      <c r="G1098" s="28" t="s">
        <v>149</v>
      </c>
      <c r="H1098" s="28" t="s">
        <v>6582</v>
      </c>
      <c r="I1098" s="28" t="s">
        <v>6754</v>
      </c>
      <c r="J1098" s="28" t="s">
        <v>149</v>
      </c>
      <c r="K1098" s="28" t="s">
        <v>6749</v>
      </c>
      <c r="L1098" s="28" t="s">
        <v>6585</v>
      </c>
      <c r="M1098" s="28" t="s">
        <v>6755</v>
      </c>
      <c r="N1098" s="28" t="s">
        <v>6587</v>
      </c>
      <c r="O1098" s="28" t="s">
        <v>6588</v>
      </c>
      <c r="P1098" s="28" t="s">
        <v>6756</v>
      </c>
    </row>
    <row r="1099" spans="1:16" hidden="1" x14ac:dyDescent="0.25">
      <c r="A1099" s="28" t="s">
        <v>6757</v>
      </c>
      <c r="B1099" s="28" t="s">
        <v>6758</v>
      </c>
      <c r="C1099" s="28" t="s">
        <v>6446</v>
      </c>
      <c r="D1099" s="28" t="s">
        <v>19</v>
      </c>
      <c r="E1099" s="28" t="s">
        <v>170</v>
      </c>
      <c r="F1099" s="28" t="s">
        <v>21</v>
      </c>
      <c r="G1099" s="28" t="s">
        <v>22</v>
      </c>
      <c r="H1099" s="28" t="s">
        <v>6582</v>
      </c>
      <c r="I1099" s="28" t="s">
        <v>6759</v>
      </c>
      <c r="J1099" s="28" t="s">
        <v>22</v>
      </c>
      <c r="K1099" s="28" t="s">
        <v>6732</v>
      </c>
      <c r="L1099" s="28" t="s">
        <v>6585</v>
      </c>
      <c r="M1099" s="28" t="s">
        <v>6760</v>
      </c>
      <c r="N1099" s="28" t="s">
        <v>6587</v>
      </c>
      <c r="O1099" s="28" t="s">
        <v>6588</v>
      </c>
      <c r="P1099" s="28" t="s">
        <v>6761</v>
      </c>
    </row>
    <row r="1100" spans="1:16" hidden="1" x14ac:dyDescent="0.25">
      <c r="A1100" s="28" t="s">
        <v>6762</v>
      </c>
      <c r="B1100" s="28" t="s">
        <v>6763</v>
      </c>
      <c r="C1100" s="28" t="s">
        <v>6446</v>
      </c>
      <c r="D1100" s="28" t="s">
        <v>19</v>
      </c>
      <c r="E1100" s="28" t="s">
        <v>170</v>
      </c>
      <c r="F1100" s="28" t="s">
        <v>21</v>
      </c>
      <c r="G1100" s="28" t="s">
        <v>22</v>
      </c>
      <c r="H1100" s="28" t="s">
        <v>6582</v>
      </c>
      <c r="I1100" s="28" t="s">
        <v>6764</v>
      </c>
      <c r="J1100" s="28" t="s">
        <v>22</v>
      </c>
      <c r="K1100" s="28" t="s">
        <v>6732</v>
      </c>
      <c r="L1100" s="28" t="s">
        <v>6585</v>
      </c>
      <c r="M1100" s="28" t="s">
        <v>6765</v>
      </c>
      <c r="N1100" s="28" t="s">
        <v>6587</v>
      </c>
      <c r="O1100" s="28" t="s">
        <v>6588</v>
      </c>
      <c r="P1100" s="28" t="s">
        <v>6766</v>
      </c>
    </row>
    <row r="1101" spans="1:16" hidden="1" x14ac:dyDescent="0.25">
      <c r="A1101" s="28" t="s">
        <v>6767</v>
      </c>
      <c r="B1101" s="28" t="s">
        <v>6768</v>
      </c>
      <c r="C1101" s="28" t="s">
        <v>6446</v>
      </c>
      <c r="D1101" s="28" t="s">
        <v>19</v>
      </c>
      <c r="E1101" s="28" t="s">
        <v>170</v>
      </c>
      <c r="F1101" s="28" t="s">
        <v>21</v>
      </c>
      <c r="G1101" s="28" t="s">
        <v>22</v>
      </c>
      <c r="H1101" s="28" t="s">
        <v>6582</v>
      </c>
      <c r="I1101" s="28" t="s">
        <v>6769</v>
      </c>
      <c r="J1101" s="28" t="s">
        <v>22</v>
      </c>
      <c r="K1101" s="28" t="s">
        <v>6732</v>
      </c>
      <c r="L1101" s="28" t="s">
        <v>6585</v>
      </c>
      <c r="M1101" s="28" t="s">
        <v>6770</v>
      </c>
      <c r="N1101" s="28" t="s">
        <v>6587</v>
      </c>
      <c r="O1101" s="28" t="s">
        <v>6588</v>
      </c>
      <c r="P1101" s="28" t="s">
        <v>6771</v>
      </c>
    </row>
    <row r="1102" spans="1:16" hidden="1" x14ac:dyDescent="0.25">
      <c r="A1102" s="28" t="s">
        <v>6772</v>
      </c>
      <c r="B1102" s="28" t="s">
        <v>6773</v>
      </c>
      <c r="C1102" s="28" t="s">
        <v>6446</v>
      </c>
      <c r="D1102" s="28" t="s">
        <v>19</v>
      </c>
      <c r="E1102" s="28" t="s">
        <v>170</v>
      </c>
      <c r="F1102" s="28" t="s">
        <v>21</v>
      </c>
      <c r="G1102" s="28" t="s">
        <v>22</v>
      </c>
      <c r="H1102" s="28" t="s">
        <v>6582</v>
      </c>
      <c r="I1102" s="28" t="s">
        <v>6774</v>
      </c>
      <c r="J1102" s="28" t="s">
        <v>22</v>
      </c>
      <c r="K1102" s="28" t="s">
        <v>6732</v>
      </c>
      <c r="L1102" s="28" t="s">
        <v>6585</v>
      </c>
      <c r="M1102" s="28" t="s">
        <v>6775</v>
      </c>
      <c r="N1102" s="28" t="s">
        <v>6587</v>
      </c>
      <c r="O1102" s="28" t="s">
        <v>6588</v>
      </c>
      <c r="P1102" s="28" t="s">
        <v>6776</v>
      </c>
    </row>
    <row r="1103" spans="1:16" hidden="1" x14ac:dyDescent="0.25">
      <c r="A1103" s="28" t="s">
        <v>6777</v>
      </c>
      <c r="B1103" s="28" t="s">
        <v>6778</v>
      </c>
      <c r="C1103" s="28" t="s">
        <v>6446</v>
      </c>
      <c r="D1103" s="28" t="s">
        <v>19</v>
      </c>
      <c r="E1103" s="28" t="s">
        <v>170</v>
      </c>
      <c r="F1103" s="28" t="s">
        <v>21</v>
      </c>
      <c r="G1103" s="28" t="s">
        <v>22</v>
      </c>
      <c r="H1103" s="28" t="s">
        <v>6582</v>
      </c>
      <c r="I1103" s="28" t="s">
        <v>6779</v>
      </c>
      <c r="J1103" s="28" t="s">
        <v>22</v>
      </c>
      <c r="K1103" s="28" t="s">
        <v>6732</v>
      </c>
      <c r="L1103" s="28" t="s">
        <v>6585</v>
      </c>
      <c r="M1103" s="28" t="s">
        <v>6780</v>
      </c>
      <c r="N1103" s="28" t="s">
        <v>6587</v>
      </c>
      <c r="O1103" s="28" t="s">
        <v>6588</v>
      </c>
      <c r="P1103" s="28" t="s">
        <v>6781</v>
      </c>
    </row>
    <row r="1104" spans="1:16" hidden="1" x14ac:dyDescent="0.25">
      <c r="A1104" s="28" t="s">
        <v>6782</v>
      </c>
      <c r="B1104" s="28" t="s">
        <v>6783</v>
      </c>
      <c r="C1104" s="28" t="s">
        <v>6446</v>
      </c>
      <c r="D1104" s="28" t="s">
        <v>19</v>
      </c>
      <c r="E1104" s="28" t="s">
        <v>170</v>
      </c>
      <c r="F1104" s="28" t="s">
        <v>21</v>
      </c>
      <c r="G1104" s="28" t="s">
        <v>22</v>
      </c>
      <c r="H1104" s="28" t="s">
        <v>6582</v>
      </c>
      <c r="I1104" s="28" t="s">
        <v>6784</v>
      </c>
      <c r="J1104" s="28" t="s">
        <v>22</v>
      </c>
      <c r="K1104" s="28" t="s">
        <v>6732</v>
      </c>
      <c r="L1104" s="28" t="s">
        <v>6585</v>
      </c>
      <c r="M1104" s="28" t="s">
        <v>6785</v>
      </c>
      <c r="N1104" s="28" t="s">
        <v>6587</v>
      </c>
      <c r="O1104" s="28" t="s">
        <v>6588</v>
      </c>
      <c r="P1104" s="28" t="s">
        <v>6786</v>
      </c>
    </row>
    <row r="1105" spans="1:16" hidden="1" x14ac:dyDescent="0.25">
      <c r="A1105" s="28" t="s">
        <v>6787</v>
      </c>
      <c r="B1105" s="28" t="s">
        <v>6788</v>
      </c>
      <c r="C1105" s="28" t="s">
        <v>6446</v>
      </c>
      <c r="D1105" s="28" t="s">
        <v>19</v>
      </c>
      <c r="E1105" s="28" t="s">
        <v>170</v>
      </c>
      <c r="F1105" s="28" t="s">
        <v>21</v>
      </c>
      <c r="G1105" s="28" t="s">
        <v>22</v>
      </c>
      <c r="H1105" s="28" t="s">
        <v>6582</v>
      </c>
      <c r="I1105" s="28" t="s">
        <v>6789</v>
      </c>
      <c r="J1105" s="28" t="s">
        <v>22</v>
      </c>
      <c r="K1105" s="28" t="s">
        <v>6732</v>
      </c>
      <c r="L1105" s="28" t="s">
        <v>6585</v>
      </c>
      <c r="M1105" s="28" t="s">
        <v>6790</v>
      </c>
      <c r="N1105" s="28" t="s">
        <v>6587</v>
      </c>
      <c r="O1105" s="28" t="s">
        <v>6588</v>
      </c>
      <c r="P1105" s="28" t="s">
        <v>6791</v>
      </c>
    </row>
    <row r="1106" spans="1:16" x14ac:dyDescent="0.25">
      <c r="A1106" s="28" t="s">
        <v>6792</v>
      </c>
      <c r="B1106" s="28" t="s">
        <v>6793</v>
      </c>
      <c r="C1106" s="28" t="s">
        <v>6446</v>
      </c>
      <c r="D1106" s="28" t="s">
        <v>19</v>
      </c>
      <c r="E1106" s="28" t="s">
        <v>170</v>
      </c>
      <c r="F1106" s="28" t="s">
        <v>21</v>
      </c>
      <c r="G1106" s="28" t="s">
        <v>149</v>
      </c>
      <c r="H1106" s="28" t="s">
        <v>6582</v>
      </c>
      <c r="I1106" s="28" t="s">
        <v>6794</v>
      </c>
      <c r="J1106" s="28" t="s">
        <v>149</v>
      </c>
      <c r="K1106" s="28" t="s">
        <v>6749</v>
      </c>
      <c r="L1106" s="28" t="s">
        <v>6585</v>
      </c>
      <c r="M1106" s="28" t="s">
        <v>6795</v>
      </c>
      <c r="N1106" s="28" t="s">
        <v>6587</v>
      </c>
      <c r="O1106" s="28" t="s">
        <v>6588</v>
      </c>
      <c r="P1106" s="28" t="s">
        <v>6796</v>
      </c>
    </row>
    <row r="1107" spans="1:16" x14ac:dyDescent="0.25">
      <c r="A1107" s="28" t="s">
        <v>6797</v>
      </c>
      <c r="B1107" s="28" t="s">
        <v>6798</v>
      </c>
      <c r="C1107" s="28" t="s">
        <v>6446</v>
      </c>
      <c r="D1107" s="28" t="s">
        <v>19</v>
      </c>
      <c r="E1107" s="28" t="s">
        <v>170</v>
      </c>
      <c r="F1107" s="28" t="s">
        <v>21</v>
      </c>
      <c r="G1107" s="28" t="s">
        <v>149</v>
      </c>
      <c r="H1107" s="28" t="s">
        <v>6582</v>
      </c>
      <c r="I1107" s="28" t="s">
        <v>6799</v>
      </c>
      <c r="J1107" s="28" t="s">
        <v>149</v>
      </c>
      <c r="K1107" s="28" t="s">
        <v>6749</v>
      </c>
      <c r="L1107" s="28" t="s">
        <v>6585</v>
      </c>
      <c r="M1107" s="28" t="s">
        <v>6800</v>
      </c>
      <c r="N1107" s="28" t="s">
        <v>6587</v>
      </c>
      <c r="O1107" s="28" t="s">
        <v>6588</v>
      </c>
      <c r="P1107" s="28" t="s">
        <v>6801</v>
      </c>
    </row>
    <row r="1108" spans="1:16" hidden="1" x14ac:dyDescent="0.25">
      <c r="A1108" s="28" t="s">
        <v>6802</v>
      </c>
      <c r="B1108" s="28" t="s">
        <v>6803</v>
      </c>
      <c r="C1108" s="28" t="s">
        <v>6446</v>
      </c>
      <c r="D1108" s="28" t="s">
        <v>19</v>
      </c>
      <c r="E1108" s="28" t="s">
        <v>170</v>
      </c>
      <c r="F1108" s="28" t="s">
        <v>21</v>
      </c>
      <c r="G1108" s="28" t="s">
        <v>22</v>
      </c>
      <c r="H1108" s="28" t="s">
        <v>6582</v>
      </c>
      <c r="I1108" s="28" t="s">
        <v>6804</v>
      </c>
      <c r="J1108" s="28" t="s">
        <v>22</v>
      </c>
      <c r="K1108" s="28" t="s">
        <v>6732</v>
      </c>
      <c r="L1108" s="28" t="s">
        <v>6585</v>
      </c>
      <c r="M1108" s="28" t="s">
        <v>6805</v>
      </c>
      <c r="N1108" s="28" t="s">
        <v>6587</v>
      </c>
      <c r="O1108" s="28" t="s">
        <v>6588</v>
      </c>
      <c r="P1108" s="28" t="s">
        <v>6806</v>
      </c>
    </row>
    <row r="1109" spans="1:16" hidden="1" x14ac:dyDescent="0.25">
      <c r="A1109" s="28" t="s">
        <v>6807</v>
      </c>
      <c r="B1109" s="28" t="s">
        <v>6808</v>
      </c>
      <c r="C1109" s="28" t="s">
        <v>6446</v>
      </c>
      <c r="D1109" s="28" t="s">
        <v>19</v>
      </c>
      <c r="E1109" s="28" t="s">
        <v>170</v>
      </c>
      <c r="F1109" s="28" t="s">
        <v>21</v>
      </c>
      <c r="G1109" s="28" t="s">
        <v>22</v>
      </c>
      <c r="H1109" s="28" t="s">
        <v>6582</v>
      </c>
      <c r="I1109" s="28" t="s">
        <v>6809</v>
      </c>
      <c r="J1109" s="28" t="s">
        <v>22</v>
      </c>
      <c r="K1109" s="28" t="s">
        <v>6732</v>
      </c>
      <c r="L1109" s="28" t="s">
        <v>6585</v>
      </c>
      <c r="M1109" s="28" t="s">
        <v>6810</v>
      </c>
      <c r="N1109" s="28" t="s">
        <v>6587</v>
      </c>
      <c r="O1109" s="28" t="s">
        <v>6588</v>
      </c>
      <c r="P1109" s="28" t="s">
        <v>6811</v>
      </c>
    </row>
    <row r="1110" spans="1:16" hidden="1" x14ac:dyDescent="0.25">
      <c r="A1110" s="28" t="s">
        <v>6812</v>
      </c>
      <c r="B1110" s="28" t="s">
        <v>6813</v>
      </c>
      <c r="C1110" s="28" t="s">
        <v>6446</v>
      </c>
      <c r="D1110" s="28" t="s">
        <v>19</v>
      </c>
      <c r="E1110" s="28" t="s">
        <v>170</v>
      </c>
      <c r="F1110" s="28" t="s">
        <v>21</v>
      </c>
      <c r="G1110" s="28" t="s">
        <v>22</v>
      </c>
      <c r="H1110" s="28" t="s">
        <v>6582</v>
      </c>
      <c r="I1110" s="28" t="s">
        <v>6814</v>
      </c>
      <c r="J1110" s="28" t="s">
        <v>22</v>
      </c>
      <c r="K1110" s="28" t="s">
        <v>6732</v>
      </c>
      <c r="L1110" s="28" t="s">
        <v>6585</v>
      </c>
      <c r="M1110" s="28" t="s">
        <v>6815</v>
      </c>
      <c r="N1110" s="28" t="s">
        <v>6587</v>
      </c>
      <c r="O1110" s="28" t="s">
        <v>6588</v>
      </c>
      <c r="P1110" s="28" t="s">
        <v>6816</v>
      </c>
    </row>
    <row r="1111" spans="1:16" hidden="1" x14ac:dyDescent="0.25">
      <c r="A1111" s="28" t="s">
        <v>6817</v>
      </c>
      <c r="B1111" s="28" t="s">
        <v>6818</v>
      </c>
      <c r="C1111" s="28" t="s">
        <v>6446</v>
      </c>
      <c r="D1111" s="28" t="s">
        <v>19</v>
      </c>
      <c r="E1111" s="28" t="s">
        <v>170</v>
      </c>
      <c r="F1111" s="28" t="s">
        <v>21</v>
      </c>
      <c r="G1111" s="28" t="s">
        <v>22</v>
      </c>
      <c r="H1111" s="28" t="s">
        <v>6582</v>
      </c>
      <c r="I1111" s="28" t="s">
        <v>6819</v>
      </c>
      <c r="J1111" s="28" t="s">
        <v>22</v>
      </c>
      <c r="K1111" s="28" t="s">
        <v>6732</v>
      </c>
      <c r="L1111" s="28" t="s">
        <v>6585</v>
      </c>
      <c r="M1111" s="28" t="s">
        <v>6820</v>
      </c>
      <c r="N1111" s="28" t="s">
        <v>6587</v>
      </c>
      <c r="O1111" s="28" t="s">
        <v>6588</v>
      </c>
      <c r="P1111" s="28" t="s">
        <v>6821</v>
      </c>
    </row>
    <row r="1112" spans="1:16" hidden="1" x14ac:dyDescent="0.25">
      <c r="A1112" s="28" t="s">
        <v>6822</v>
      </c>
      <c r="B1112" s="28" t="s">
        <v>6823</v>
      </c>
      <c r="C1112" s="28" t="s">
        <v>6446</v>
      </c>
      <c r="D1112" s="28" t="s">
        <v>19</v>
      </c>
      <c r="E1112" s="28" t="s">
        <v>170</v>
      </c>
      <c r="F1112" s="28" t="s">
        <v>21</v>
      </c>
      <c r="G1112" s="28" t="s">
        <v>22</v>
      </c>
      <c r="H1112" s="28" t="s">
        <v>6582</v>
      </c>
      <c r="I1112" s="28" t="s">
        <v>6824</v>
      </c>
      <c r="J1112" s="28" t="s">
        <v>22</v>
      </c>
      <c r="K1112" s="28" t="s">
        <v>6732</v>
      </c>
      <c r="L1112" s="28" t="s">
        <v>6585</v>
      </c>
      <c r="M1112" s="28" t="s">
        <v>6825</v>
      </c>
      <c r="N1112" s="28" t="s">
        <v>6587</v>
      </c>
      <c r="O1112" s="28" t="s">
        <v>6588</v>
      </c>
      <c r="P1112" s="28" t="s">
        <v>6826</v>
      </c>
    </row>
    <row r="1113" spans="1:16" hidden="1" x14ac:dyDescent="0.25">
      <c r="A1113" s="28" t="s">
        <v>6827</v>
      </c>
      <c r="B1113" s="28" t="s">
        <v>6828</v>
      </c>
      <c r="C1113" s="28" t="s">
        <v>6446</v>
      </c>
      <c r="D1113" s="28" t="s">
        <v>19</v>
      </c>
      <c r="E1113" s="28" t="s">
        <v>170</v>
      </c>
      <c r="F1113" s="28" t="s">
        <v>21</v>
      </c>
      <c r="G1113" s="28" t="s">
        <v>22</v>
      </c>
      <c r="H1113" s="28" t="s">
        <v>6582</v>
      </c>
      <c r="I1113" s="28" t="s">
        <v>6829</v>
      </c>
      <c r="J1113" s="28" t="s">
        <v>22</v>
      </c>
      <c r="K1113" s="28" t="s">
        <v>6732</v>
      </c>
      <c r="L1113" s="28" t="s">
        <v>6585</v>
      </c>
      <c r="M1113" s="28" t="s">
        <v>6830</v>
      </c>
      <c r="N1113" s="28" t="s">
        <v>6587</v>
      </c>
      <c r="O1113" s="28" t="s">
        <v>6588</v>
      </c>
      <c r="P1113" s="28" t="s">
        <v>6831</v>
      </c>
    </row>
    <row r="1114" spans="1:16" hidden="1" x14ac:dyDescent="0.25">
      <c r="A1114" s="28" t="s">
        <v>6832</v>
      </c>
      <c r="B1114" s="28" t="s">
        <v>6833</v>
      </c>
      <c r="C1114" s="28" t="s">
        <v>6446</v>
      </c>
      <c r="D1114" s="28" t="s">
        <v>19</v>
      </c>
      <c r="E1114" s="28" t="s">
        <v>170</v>
      </c>
      <c r="F1114" s="28" t="s">
        <v>21</v>
      </c>
      <c r="G1114" s="28" t="s">
        <v>22</v>
      </c>
      <c r="H1114" s="28" t="s">
        <v>6582</v>
      </c>
      <c r="I1114" s="28" t="s">
        <v>6834</v>
      </c>
      <c r="J1114" s="28" t="s">
        <v>22</v>
      </c>
      <c r="K1114" s="28" t="s">
        <v>6732</v>
      </c>
      <c r="L1114" s="28" t="s">
        <v>6585</v>
      </c>
      <c r="M1114" s="28" t="s">
        <v>6835</v>
      </c>
      <c r="N1114" s="28" t="s">
        <v>6587</v>
      </c>
      <c r="O1114" s="28" t="s">
        <v>6588</v>
      </c>
      <c r="P1114" s="28" t="s">
        <v>6836</v>
      </c>
    </row>
    <row r="1115" spans="1:16" hidden="1" x14ac:dyDescent="0.25">
      <c r="A1115" s="28" t="s">
        <v>6837</v>
      </c>
      <c r="B1115" s="28" t="s">
        <v>6838</v>
      </c>
      <c r="C1115" s="28" t="s">
        <v>6446</v>
      </c>
      <c r="D1115" s="28" t="s">
        <v>19</v>
      </c>
      <c r="E1115" s="28" t="s">
        <v>170</v>
      </c>
      <c r="F1115" s="28" t="s">
        <v>21</v>
      </c>
      <c r="G1115" s="28" t="s">
        <v>22</v>
      </c>
      <c r="H1115" s="28" t="s">
        <v>6582</v>
      </c>
      <c r="I1115" s="28" t="s">
        <v>6839</v>
      </c>
      <c r="J1115" s="28" t="s">
        <v>22</v>
      </c>
      <c r="K1115" s="28" t="s">
        <v>6732</v>
      </c>
      <c r="L1115" s="28" t="s">
        <v>6585</v>
      </c>
      <c r="M1115" s="28" t="s">
        <v>6840</v>
      </c>
      <c r="N1115" s="28" t="s">
        <v>6587</v>
      </c>
      <c r="O1115" s="28" t="s">
        <v>6588</v>
      </c>
      <c r="P1115" s="28" t="s">
        <v>6841</v>
      </c>
    </row>
    <row r="1116" spans="1:16" hidden="1" x14ac:dyDescent="0.25">
      <c r="A1116" s="28" t="s">
        <v>6842</v>
      </c>
      <c r="B1116" s="28" t="s">
        <v>6843</v>
      </c>
      <c r="C1116" s="28" t="s">
        <v>6446</v>
      </c>
      <c r="D1116" s="28" t="s">
        <v>19</v>
      </c>
      <c r="E1116" s="28" t="s">
        <v>170</v>
      </c>
      <c r="F1116" s="28" t="s">
        <v>21</v>
      </c>
      <c r="G1116" s="28" t="s">
        <v>22</v>
      </c>
      <c r="H1116" s="28" t="s">
        <v>6582</v>
      </c>
      <c r="I1116" s="28" t="s">
        <v>6844</v>
      </c>
      <c r="J1116" s="28" t="s">
        <v>22</v>
      </c>
      <c r="K1116" s="28" t="s">
        <v>6732</v>
      </c>
      <c r="L1116" s="28" t="s">
        <v>6585</v>
      </c>
      <c r="M1116" s="28" t="s">
        <v>6845</v>
      </c>
      <c r="N1116" s="28" t="s">
        <v>6587</v>
      </c>
      <c r="O1116" s="28" t="s">
        <v>6588</v>
      </c>
      <c r="P1116" s="28" t="s">
        <v>6846</v>
      </c>
    </row>
    <row r="1117" spans="1:16" hidden="1" x14ac:dyDescent="0.25">
      <c r="A1117" s="28" t="s">
        <v>6847</v>
      </c>
      <c r="B1117" s="28" t="s">
        <v>6848</v>
      </c>
      <c r="C1117" s="28" t="s">
        <v>6446</v>
      </c>
      <c r="D1117" s="28" t="s">
        <v>19</v>
      </c>
      <c r="E1117" s="28" t="s">
        <v>170</v>
      </c>
      <c r="F1117" s="28" t="s">
        <v>21</v>
      </c>
      <c r="G1117" s="28" t="s">
        <v>22</v>
      </c>
      <c r="H1117" s="28" t="s">
        <v>6582</v>
      </c>
      <c r="I1117" s="28" t="s">
        <v>6849</v>
      </c>
      <c r="J1117" s="28" t="s">
        <v>22</v>
      </c>
      <c r="K1117" s="28" t="s">
        <v>6732</v>
      </c>
      <c r="L1117" s="28" t="s">
        <v>6585</v>
      </c>
      <c r="M1117" s="28" t="s">
        <v>6850</v>
      </c>
      <c r="N1117" s="28" t="s">
        <v>6587</v>
      </c>
      <c r="O1117" s="28" t="s">
        <v>6588</v>
      </c>
      <c r="P1117" s="28" t="s">
        <v>6851</v>
      </c>
    </row>
    <row r="1118" spans="1:16" hidden="1" x14ac:dyDescent="0.25">
      <c r="A1118" s="28" t="s">
        <v>6852</v>
      </c>
      <c r="B1118" s="28" t="s">
        <v>6853</v>
      </c>
      <c r="C1118" s="28" t="s">
        <v>6446</v>
      </c>
      <c r="D1118" s="28" t="s">
        <v>19</v>
      </c>
      <c r="E1118" s="28" t="s">
        <v>170</v>
      </c>
      <c r="F1118" s="28" t="s">
        <v>21</v>
      </c>
      <c r="G1118" s="28" t="s">
        <v>22</v>
      </c>
      <c r="H1118" s="28" t="s">
        <v>6582</v>
      </c>
      <c r="I1118" s="28" t="s">
        <v>6854</v>
      </c>
      <c r="J1118" s="28" t="s">
        <v>22</v>
      </c>
      <c r="K1118" s="28" t="s">
        <v>6732</v>
      </c>
      <c r="L1118" s="28" t="s">
        <v>6585</v>
      </c>
      <c r="M1118" s="28" t="s">
        <v>6855</v>
      </c>
      <c r="N1118" s="28" t="s">
        <v>6587</v>
      </c>
      <c r="O1118" s="28" t="s">
        <v>6588</v>
      </c>
      <c r="P1118" s="28" t="s">
        <v>6856</v>
      </c>
    </row>
    <row r="1119" spans="1:16" hidden="1" x14ac:dyDescent="0.25">
      <c r="A1119" s="28" t="s">
        <v>6857</v>
      </c>
      <c r="B1119" s="28" t="s">
        <v>6858</v>
      </c>
      <c r="C1119" s="28" t="s">
        <v>6446</v>
      </c>
      <c r="D1119" s="28" t="s">
        <v>19</v>
      </c>
      <c r="E1119" s="28" t="s">
        <v>170</v>
      </c>
      <c r="F1119" s="28" t="s">
        <v>21</v>
      </c>
      <c r="G1119" s="28" t="s">
        <v>22</v>
      </c>
      <c r="H1119" s="28" t="s">
        <v>6582</v>
      </c>
      <c r="I1119" s="28" t="s">
        <v>6859</v>
      </c>
      <c r="J1119" s="28" t="s">
        <v>22</v>
      </c>
      <c r="K1119" s="28" t="s">
        <v>6732</v>
      </c>
      <c r="L1119" s="28" t="s">
        <v>6585</v>
      </c>
      <c r="M1119" s="28" t="s">
        <v>6860</v>
      </c>
      <c r="N1119" s="28" t="s">
        <v>6587</v>
      </c>
      <c r="O1119" s="28" t="s">
        <v>6588</v>
      </c>
      <c r="P1119" s="28" t="s">
        <v>6861</v>
      </c>
    </row>
    <row r="1120" spans="1:16" hidden="1" x14ac:dyDescent="0.25">
      <c r="A1120" s="28" t="s">
        <v>6862</v>
      </c>
      <c r="B1120" s="28" t="s">
        <v>6863</v>
      </c>
      <c r="C1120" s="28" t="s">
        <v>6446</v>
      </c>
      <c r="D1120" s="28" t="s">
        <v>19</v>
      </c>
      <c r="E1120" s="28" t="s">
        <v>170</v>
      </c>
      <c r="F1120" s="28" t="s">
        <v>21</v>
      </c>
      <c r="G1120" s="28" t="s">
        <v>22</v>
      </c>
      <c r="H1120" s="28" t="s">
        <v>6582</v>
      </c>
      <c r="I1120" s="28" t="s">
        <v>6864</v>
      </c>
      <c r="J1120" s="28" t="s">
        <v>22</v>
      </c>
      <c r="K1120" s="28" t="s">
        <v>6732</v>
      </c>
      <c r="L1120" s="28" t="s">
        <v>6585</v>
      </c>
      <c r="M1120" s="28" t="s">
        <v>6865</v>
      </c>
      <c r="N1120" s="28" t="s">
        <v>6587</v>
      </c>
      <c r="O1120" s="28" t="s">
        <v>6588</v>
      </c>
      <c r="P1120" s="28" t="s">
        <v>6866</v>
      </c>
    </row>
    <row r="1121" spans="1:16" hidden="1" x14ac:dyDescent="0.25">
      <c r="A1121" s="28" t="s">
        <v>6867</v>
      </c>
      <c r="B1121" s="28" t="s">
        <v>6868</v>
      </c>
      <c r="C1121" s="28" t="s">
        <v>6446</v>
      </c>
      <c r="D1121" s="28" t="s">
        <v>19</v>
      </c>
      <c r="E1121" s="28" t="s">
        <v>170</v>
      </c>
      <c r="F1121" s="28" t="s">
        <v>21</v>
      </c>
      <c r="G1121" s="28" t="s">
        <v>22</v>
      </c>
      <c r="H1121" s="28" t="s">
        <v>6582</v>
      </c>
      <c r="I1121" s="28" t="s">
        <v>6869</v>
      </c>
      <c r="J1121" s="28" t="s">
        <v>22</v>
      </c>
      <c r="K1121" s="28" t="s">
        <v>6732</v>
      </c>
      <c r="L1121" s="28" t="s">
        <v>6585</v>
      </c>
      <c r="M1121" s="28" t="s">
        <v>6870</v>
      </c>
      <c r="N1121" s="28" t="s">
        <v>6587</v>
      </c>
      <c r="O1121" s="28" t="s">
        <v>6588</v>
      </c>
      <c r="P1121" s="28" t="s">
        <v>6871</v>
      </c>
    </row>
    <row r="1122" spans="1:16" hidden="1" x14ac:dyDescent="0.25">
      <c r="A1122" s="28" t="s">
        <v>6872</v>
      </c>
      <c r="B1122" s="28" t="s">
        <v>6873</v>
      </c>
      <c r="C1122" s="28" t="s">
        <v>6446</v>
      </c>
      <c r="D1122" s="28" t="s">
        <v>19</v>
      </c>
      <c r="E1122" s="28" t="s">
        <v>170</v>
      </c>
      <c r="F1122" s="28" t="s">
        <v>21</v>
      </c>
      <c r="G1122" s="28" t="s">
        <v>22</v>
      </c>
      <c r="H1122" s="28" t="s">
        <v>6582</v>
      </c>
      <c r="I1122" s="28" t="s">
        <v>6874</v>
      </c>
      <c r="J1122" s="28" t="s">
        <v>22</v>
      </c>
      <c r="K1122" s="28" t="s">
        <v>6732</v>
      </c>
      <c r="L1122" s="28" t="s">
        <v>6585</v>
      </c>
      <c r="M1122" s="28" t="s">
        <v>6875</v>
      </c>
      <c r="N1122" s="28" t="s">
        <v>6587</v>
      </c>
      <c r="O1122" s="28" t="s">
        <v>6588</v>
      </c>
      <c r="P1122" s="28" t="s">
        <v>6876</v>
      </c>
    </row>
    <row r="1123" spans="1:16" hidden="1" x14ac:dyDescent="0.25">
      <c r="A1123" s="28" t="s">
        <v>6877</v>
      </c>
      <c r="B1123" s="28" t="s">
        <v>6878</v>
      </c>
      <c r="C1123" s="28" t="s">
        <v>6446</v>
      </c>
      <c r="D1123" s="28" t="s">
        <v>19</v>
      </c>
      <c r="E1123" s="28" t="s">
        <v>170</v>
      </c>
      <c r="F1123" s="28" t="s">
        <v>21</v>
      </c>
      <c r="G1123" s="28" t="s">
        <v>22</v>
      </c>
      <c r="H1123" s="28" t="s">
        <v>6582</v>
      </c>
      <c r="I1123" s="28" t="s">
        <v>6879</v>
      </c>
      <c r="J1123" s="28" t="s">
        <v>22</v>
      </c>
      <c r="K1123" s="28" t="s">
        <v>6732</v>
      </c>
      <c r="L1123" s="28" t="s">
        <v>6585</v>
      </c>
      <c r="M1123" s="28" t="s">
        <v>6880</v>
      </c>
      <c r="N1123" s="28" t="s">
        <v>6587</v>
      </c>
      <c r="O1123" s="28" t="s">
        <v>6588</v>
      </c>
      <c r="P1123" s="28" t="s">
        <v>6881</v>
      </c>
    </row>
    <row r="1124" spans="1:16" hidden="1" x14ac:dyDescent="0.25">
      <c r="A1124" s="28" t="s">
        <v>6882</v>
      </c>
      <c r="B1124" s="28" t="s">
        <v>6883</v>
      </c>
      <c r="C1124" s="28" t="s">
        <v>6446</v>
      </c>
      <c r="D1124" s="28" t="s">
        <v>19</v>
      </c>
      <c r="E1124" s="28" t="s">
        <v>170</v>
      </c>
      <c r="F1124" s="28" t="s">
        <v>21</v>
      </c>
      <c r="G1124" s="28" t="s">
        <v>22</v>
      </c>
      <c r="H1124" s="28" t="s">
        <v>6582</v>
      </c>
      <c r="I1124" s="28" t="s">
        <v>6884</v>
      </c>
      <c r="J1124" s="28" t="s">
        <v>22</v>
      </c>
      <c r="K1124" s="28" t="s">
        <v>6732</v>
      </c>
      <c r="L1124" s="28" t="s">
        <v>6585</v>
      </c>
      <c r="M1124" s="28" t="s">
        <v>6885</v>
      </c>
      <c r="N1124" s="28" t="s">
        <v>6587</v>
      </c>
      <c r="O1124" s="28" t="s">
        <v>6588</v>
      </c>
      <c r="P1124" s="28" t="s">
        <v>6886</v>
      </c>
    </row>
    <row r="1125" spans="1:16" hidden="1" x14ac:dyDescent="0.25">
      <c r="A1125" s="28" t="s">
        <v>6887</v>
      </c>
      <c r="B1125" s="28" t="s">
        <v>6888</v>
      </c>
      <c r="C1125" s="28" t="s">
        <v>6446</v>
      </c>
      <c r="D1125" s="28" t="s">
        <v>19</v>
      </c>
      <c r="E1125" s="28" t="s">
        <v>170</v>
      </c>
      <c r="F1125" s="28" t="s">
        <v>21</v>
      </c>
      <c r="G1125" s="28" t="s">
        <v>22</v>
      </c>
      <c r="H1125" s="28" t="s">
        <v>6582</v>
      </c>
      <c r="I1125" s="28" t="s">
        <v>6889</v>
      </c>
      <c r="J1125" s="28" t="s">
        <v>22</v>
      </c>
      <c r="K1125" s="28" t="s">
        <v>6732</v>
      </c>
      <c r="L1125" s="28" t="s">
        <v>6585</v>
      </c>
      <c r="M1125" s="28" t="s">
        <v>6890</v>
      </c>
      <c r="N1125" s="28" t="s">
        <v>6587</v>
      </c>
      <c r="O1125" s="28" t="s">
        <v>6588</v>
      </c>
      <c r="P1125" s="28" t="s">
        <v>6891</v>
      </c>
    </row>
    <row r="1126" spans="1:16" hidden="1" x14ac:dyDescent="0.25">
      <c r="A1126" s="28" t="s">
        <v>6892</v>
      </c>
      <c r="B1126" s="28" t="s">
        <v>6893</v>
      </c>
      <c r="C1126" s="28" t="s">
        <v>6446</v>
      </c>
      <c r="D1126" s="28" t="s">
        <v>19</v>
      </c>
      <c r="E1126" s="28" t="s">
        <v>170</v>
      </c>
      <c r="F1126" s="28" t="s">
        <v>21</v>
      </c>
      <c r="G1126" s="28" t="s">
        <v>22</v>
      </c>
      <c r="H1126" s="28" t="s">
        <v>6582</v>
      </c>
      <c r="I1126" s="28" t="s">
        <v>6894</v>
      </c>
      <c r="J1126" s="28" t="s">
        <v>22</v>
      </c>
      <c r="K1126" s="28" t="s">
        <v>6732</v>
      </c>
      <c r="L1126" s="28" t="s">
        <v>6585</v>
      </c>
      <c r="M1126" s="28" t="s">
        <v>6895</v>
      </c>
      <c r="N1126" s="28" t="s">
        <v>6587</v>
      </c>
      <c r="O1126" s="28" t="s">
        <v>6588</v>
      </c>
      <c r="P1126" s="28" t="s">
        <v>6896</v>
      </c>
    </row>
    <row r="1127" spans="1:16" x14ac:dyDescent="0.25">
      <c r="A1127" s="28" t="s">
        <v>6897</v>
      </c>
      <c r="B1127" s="28" t="s">
        <v>6898</v>
      </c>
      <c r="C1127" s="28" t="s">
        <v>6446</v>
      </c>
      <c r="D1127" s="28" t="s">
        <v>19</v>
      </c>
      <c r="E1127" s="28" t="s">
        <v>170</v>
      </c>
      <c r="F1127" s="28" t="s">
        <v>21</v>
      </c>
      <c r="G1127" s="28" t="s">
        <v>149</v>
      </c>
      <c r="H1127" s="28" t="s">
        <v>6582</v>
      </c>
      <c r="I1127" s="28" t="s">
        <v>6899</v>
      </c>
      <c r="J1127" s="28" t="s">
        <v>149</v>
      </c>
      <c r="K1127" s="28" t="s">
        <v>6749</v>
      </c>
      <c r="L1127" s="28" t="s">
        <v>6585</v>
      </c>
      <c r="M1127" s="28" t="s">
        <v>6900</v>
      </c>
      <c r="N1127" s="28" t="s">
        <v>6587</v>
      </c>
      <c r="O1127" s="28" t="s">
        <v>6588</v>
      </c>
      <c r="P1127" s="28" t="s">
        <v>6901</v>
      </c>
    </row>
    <row r="1128" spans="1:16" hidden="1" x14ac:dyDescent="0.25">
      <c r="A1128" s="28" t="s">
        <v>6902</v>
      </c>
      <c r="B1128" s="28" t="s">
        <v>6903</v>
      </c>
      <c r="C1128" s="28" t="s">
        <v>6446</v>
      </c>
      <c r="D1128" s="28" t="s">
        <v>19</v>
      </c>
      <c r="E1128" s="28" t="s">
        <v>170</v>
      </c>
      <c r="F1128" s="28" t="s">
        <v>21</v>
      </c>
      <c r="G1128" s="28" t="s">
        <v>22</v>
      </c>
      <c r="H1128" s="28" t="s">
        <v>6582</v>
      </c>
      <c r="I1128" s="28" t="s">
        <v>6904</v>
      </c>
      <c r="J1128" s="28" t="s">
        <v>22</v>
      </c>
      <c r="K1128" s="28" t="s">
        <v>6732</v>
      </c>
      <c r="L1128" s="28" t="s">
        <v>6585</v>
      </c>
      <c r="M1128" s="28" t="s">
        <v>6905</v>
      </c>
      <c r="N1128" s="28" t="s">
        <v>6587</v>
      </c>
      <c r="O1128" s="28" t="s">
        <v>6588</v>
      </c>
      <c r="P1128" s="28" t="s">
        <v>6906</v>
      </c>
    </row>
    <row r="1129" spans="1:16" hidden="1" x14ac:dyDescent="0.25">
      <c r="A1129" s="28" t="s">
        <v>6907</v>
      </c>
      <c r="B1129" s="28" t="s">
        <v>6908</v>
      </c>
      <c r="C1129" s="28" t="s">
        <v>6446</v>
      </c>
      <c r="D1129" s="28" t="s">
        <v>19</v>
      </c>
      <c r="E1129" s="28" t="s">
        <v>4896</v>
      </c>
      <c r="F1129" s="28" t="s">
        <v>21</v>
      </c>
      <c r="G1129" s="28" t="s">
        <v>22</v>
      </c>
      <c r="H1129" s="28" t="s">
        <v>6582</v>
      </c>
      <c r="I1129" s="28" t="s">
        <v>6909</v>
      </c>
      <c r="J1129" s="28" t="s">
        <v>22</v>
      </c>
      <c r="K1129" s="28" t="s">
        <v>6732</v>
      </c>
      <c r="L1129" s="28" t="s">
        <v>6585</v>
      </c>
      <c r="M1129" s="28" t="s">
        <v>6910</v>
      </c>
      <c r="N1129" s="28" t="s">
        <v>6587</v>
      </c>
      <c r="O1129" s="28" t="s">
        <v>6588</v>
      </c>
      <c r="P1129" s="28" t="s">
        <v>6911</v>
      </c>
    </row>
    <row r="1130" spans="1:16" hidden="1" x14ac:dyDescent="0.25">
      <c r="A1130" s="28" t="s">
        <v>6912</v>
      </c>
      <c r="B1130" s="28" t="s">
        <v>6913</v>
      </c>
      <c r="C1130" s="28" t="s">
        <v>6446</v>
      </c>
      <c r="D1130" s="28" t="s">
        <v>19</v>
      </c>
      <c r="E1130" s="28" t="s">
        <v>4896</v>
      </c>
      <c r="F1130" s="28" t="s">
        <v>21</v>
      </c>
      <c r="G1130" s="28" t="s">
        <v>22</v>
      </c>
      <c r="H1130" s="28" t="s">
        <v>6582</v>
      </c>
      <c r="I1130" s="28" t="s">
        <v>6914</v>
      </c>
      <c r="J1130" s="28" t="s">
        <v>22</v>
      </c>
      <c r="K1130" s="28" t="s">
        <v>6732</v>
      </c>
      <c r="L1130" s="28" t="s">
        <v>6585</v>
      </c>
      <c r="M1130" s="28" t="s">
        <v>6915</v>
      </c>
      <c r="N1130" s="28" t="s">
        <v>6587</v>
      </c>
      <c r="O1130" s="28" t="s">
        <v>6588</v>
      </c>
      <c r="P1130" s="28" t="s">
        <v>6916</v>
      </c>
    </row>
    <row r="1131" spans="1:16" hidden="1" x14ac:dyDescent="0.25">
      <c r="A1131" s="28" t="s">
        <v>6917</v>
      </c>
      <c r="B1131" s="28" t="s">
        <v>6918</v>
      </c>
      <c r="C1131" s="28" t="s">
        <v>6446</v>
      </c>
      <c r="D1131" s="28" t="s">
        <v>19</v>
      </c>
      <c r="E1131" s="28" t="s">
        <v>6919</v>
      </c>
      <c r="F1131" s="28" t="s">
        <v>21</v>
      </c>
      <c r="G1131" s="28" t="s">
        <v>22</v>
      </c>
      <c r="H1131" s="28" t="s">
        <v>6582</v>
      </c>
      <c r="I1131" s="28" t="s">
        <v>6920</v>
      </c>
      <c r="J1131" s="28" t="s">
        <v>22</v>
      </c>
      <c r="K1131" s="28" t="s">
        <v>6732</v>
      </c>
      <c r="L1131" s="28" t="s">
        <v>6585</v>
      </c>
      <c r="M1131" s="28" t="s">
        <v>6921</v>
      </c>
      <c r="N1131" s="28" t="s">
        <v>6587</v>
      </c>
      <c r="O1131" s="28" t="s">
        <v>6588</v>
      </c>
      <c r="P1131" s="28" t="s">
        <v>6922</v>
      </c>
    </row>
    <row r="1132" spans="1:16" hidden="1" x14ac:dyDescent="0.25">
      <c r="A1132" s="28" t="s">
        <v>6923</v>
      </c>
      <c r="B1132" s="28" t="s">
        <v>6924</v>
      </c>
      <c r="C1132" s="28" t="s">
        <v>6446</v>
      </c>
      <c r="D1132" s="28" t="s">
        <v>19</v>
      </c>
      <c r="E1132" s="28" t="s">
        <v>183</v>
      </c>
      <c r="F1132" s="28" t="s">
        <v>21</v>
      </c>
      <c r="G1132" s="28" t="s">
        <v>22</v>
      </c>
      <c r="H1132" s="28" t="s">
        <v>6582</v>
      </c>
      <c r="I1132" s="28" t="s">
        <v>6925</v>
      </c>
      <c r="J1132" s="28" t="s">
        <v>22</v>
      </c>
      <c r="K1132" s="28" t="s">
        <v>6732</v>
      </c>
      <c r="L1132" s="28" t="s">
        <v>6585</v>
      </c>
      <c r="M1132" s="28" t="s">
        <v>6926</v>
      </c>
      <c r="N1132" s="28" t="s">
        <v>6587</v>
      </c>
      <c r="O1132" s="28" t="s">
        <v>6588</v>
      </c>
      <c r="P1132" s="28" t="s">
        <v>6927</v>
      </c>
    </row>
    <row r="1133" spans="1:16" hidden="1" x14ac:dyDescent="0.25">
      <c r="A1133" s="28" t="s">
        <v>6928</v>
      </c>
      <c r="B1133" s="28" t="s">
        <v>6929</v>
      </c>
      <c r="C1133" s="28" t="s">
        <v>6446</v>
      </c>
      <c r="D1133" s="28" t="s">
        <v>19</v>
      </c>
      <c r="E1133" s="28" t="s">
        <v>183</v>
      </c>
      <c r="F1133" s="28" t="s">
        <v>21</v>
      </c>
      <c r="G1133" s="28" t="s">
        <v>22</v>
      </c>
      <c r="H1133" s="28" t="s">
        <v>6582</v>
      </c>
      <c r="I1133" s="28" t="s">
        <v>6930</v>
      </c>
      <c r="J1133" s="28" t="s">
        <v>22</v>
      </c>
      <c r="K1133" s="28" t="s">
        <v>6732</v>
      </c>
      <c r="L1133" s="28" t="s">
        <v>6585</v>
      </c>
      <c r="M1133" s="28" t="s">
        <v>6931</v>
      </c>
      <c r="N1133" s="28" t="s">
        <v>6587</v>
      </c>
      <c r="O1133" s="28" t="s">
        <v>6588</v>
      </c>
      <c r="P1133" s="28" t="s">
        <v>6932</v>
      </c>
    </row>
    <row r="1134" spans="1:16" hidden="1" x14ac:dyDescent="0.25">
      <c r="A1134" s="28" t="s">
        <v>6933</v>
      </c>
      <c r="B1134" s="28" t="s">
        <v>6934</v>
      </c>
      <c r="C1134" s="28" t="s">
        <v>6446</v>
      </c>
      <c r="D1134" s="28" t="s">
        <v>19</v>
      </c>
      <c r="E1134" s="28" t="s">
        <v>196</v>
      </c>
      <c r="F1134" s="28" t="s">
        <v>21</v>
      </c>
      <c r="G1134" s="28" t="s">
        <v>22</v>
      </c>
      <c r="H1134" s="28" t="s">
        <v>6582</v>
      </c>
      <c r="I1134" s="28" t="s">
        <v>6935</v>
      </c>
      <c r="J1134" s="28" t="s">
        <v>22</v>
      </c>
      <c r="K1134" s="28" t="s">
        <v>6936</v>
      </c>
      <c r="L1134" s="28" t="s">
        <v>6585</v>
      </c>
      <c r="M1134" s="28" t="s">
        <v>6937</v>
      </c>
      <c r="N1134" s="28" t="s">
        <v>6587</v>
      </c>
      <c r="O1134" s="28" t="s">
        <v>6588</v>
      </c>
      <c r="P1134" s="28" t="s">
        <v>6938</v>
      </c>
    </row>
    <row r="1135" spans="1:16" hidden="1" x14ac:dyDescent="0.25">
      <c r="A1135" s="28" t="s">
        <v>6939</v>
      </c>
      <c r="B1135" s="28" t="s">
        <v>6940</v>
      </c>
      <c r="C1135" s="28" t="s">
        <v>6446</v>
      </c>
      <c r="D1135" s="28" t="s">
        <v>19</v>
      </c>
      <c r="E1135" s="28" t="s">
        <v>196</v>
      </c>
      <c r="F1135" s="28" t="s">
        <v>21</v>
      </c>
      <c r="G1135" s="28" t="s">
        <v>22</v>
      </c>
      <c r="H1135" s="28" t="s">
        <v>6582</v>
      </c>
      <c r="I1135" s="28" t="s">
        <v>6941</v>
      </c>
      <c r="J1135" s="28" t="s">
        <v>22</v>
      </c>
      <c r="K1135" s="28" t="s">
        <v>6936</v>
      </c>
      <c r="L1135" s="28" t="s">
        <v>6585</v>
      </c>
      <c r="M1135" s="28" t="s">
        <v>6942</v>
      </c>
      <c r="N1135" s="28" t="s">
        <v>6587</v>
      </c>
      <c r="O1135" s="28" t="s">
        <v>6588</v>
      </c>
      <c r="P1135" s="28" t="s">
        <v>6943</v>
      </c>
    </row>
    <row r="1136" spans="1:16" hidden="1" x14ac:dyDescent="0.25">
      <c r="A1136" s="28" t="s">
        <v>6944</v>
      </c>
      <c r="B1136" s="28" t="s">
        <v>6945</v>
      </c>
      <c r="C1136" s="28" t="s">
        <v>6446</v>
      </c>
      <c r="D1136" s="28" t="s">
        <v>19</v>
      </c>
      <c r="E1136" s="28" t="s">
        <v>196</v>
      </c>
      <c r="F1136" s="28" t="s">
        <v>21</v>
      </c>
      <c r="G1136" s="28" t="s">
        <v>22</v>
      </c>
      <c r="H1136" s="28" t="s">
        <v>6582</v>
      </c>
      <c r="I1136" s="28" t="s">
        <v>6946</v>
      </c>
      <c r="J1136" s="28" t="s">
        <v>22</v>
      </c>
      <c r="K1136" s="28" t="s">
        <v>6936</v>
      </c>
      <c r="L1136" s="28" t="s">
        <v>6585</v>
      </c>
      <c r="M1136" s="28" t="s">
        <v>6947</v>
      </c>
      <c r="N1136" s="28" t="s">
        <v>6587</v>
      </c>
      <c r="O1136" s="28" t="s">
        <v>6588</v>
      </c>
      <c r="P1136" s="28" t="s">
        <v>6948</v>
      </c>
    </row>
    <row r="1137" spans="1:16" hidden="1" x14ac:dyDescent="0.25">
      <c r="A1137" s="28" t="s">
        <v>6949</v>
      </c>
      <c r="B1137" s="28" t="s">
        <v>6950</v>
      </c>
      <c r="C1137" s="28" t="s">
        <v>6446</v>
      </c>
      <c r="D1137" s="28" t="s">
        <v>19</v>
      </c>
      <c r="E1137" s="28" t="s">
        <v>196</v>
      </c>
      <c r="F1137" s="28" t="s">
        <v>21</v>
      </c>
      <c r="G1137" s="28" t="s">
        <v>22</v>
      </c>
      <c r="H1137" s="28" t="s">
        <v>6582</v>
      </c>
      <c r="I1137" s="28" t="s">
        <v>6951</v>
      </c>
      <c r="J1137" s="28" t="s">
        <v>22</v>
      </c>
      <c r="K1137" s="28" t="s">
        <v>6936</v>
      </c>
      <c r="L1137" s="28" t="s">
        <v>6585</v>
      </c>
      <c r="M1137" s="28" t="s">
        <v>6952</v>
      </c>
      <c r="N1137" s="28" t="s">
        <v>6587</v>
      </c>
      <c r="O1137" s="28" t="s">
        <v>6588</v>
      </c>
      <c r="P1137" s="28" t="s">
        <v>6953</v>
      </c>
    </row>
    <row r="1138" spans="1:16" hidden="1" x14ac:dyDescent="0.25">
      <c r="A1138" s="28" t="s">
        <v>6954</v>
      </c>
      <c r="B1138" s="28" t="s">
        <v>6955</v>
      </c>
      <c r="C1138" s="28" t="s">
        <v>6446</v>
      </c>
      <c r="D1138" s="28" t="s">
        <v>19</v>
      </c>
      <c r="E1138" s="28" t="s">
        <v>196</v>
      </c>
      <c r="F1138" s="28" t="s">
        <v>21</v>
      </c>
      <c r="G1138" s="28" t="s">
        <v>22</v>
      </c>
      <c r="H1138" s="28" t="s">
        <v>6582</v>
      </c>
      <c r="I1138" s="28" t="s">
        <v>6956</v>
      </c>
      <c r="J1138" s="28" t="s">
        <v>22</v>
      </c>
      <c r="K1138" s="28" t="s">
        <v>6936</v>
      </c>
      <c r="L1138" s="28" t="s">
        <v>6585</v>
      </c>
      <c r="M1138" s="28" t="s">
        <v>6957</v>
      </c>
      <c r="N1138" s="28" t="s">
        <v>6587</v>
      </c>
      <c r="O1138" s="28" t="s">
        <v>6588</v>
      </c>
      <c r="P1138" s="28" t="s">
        <v>6958</v>
      </c>
    </row>
    <row r="1139" spans="1:16" hidden="1" x14ac:dyDescent="0.25">
      <c r="A1139" s="28" t="s">
        <v>6959</v>
      </c>
      <c r="B1139" s="28" t="s">
        <v>6960</v>
      </c>
      <c r="C1139" s="28" t="s">
        <v>6446</v>
      </c>
      <c r="D1139" s="28" t="s">
        <v>19</v>
      </c>
      <c r="E1139" s="28" t="s">
        <v>196</v>
      </c>
      <c r="F1139" s="28" t="s">
        <v>21</v>
      </c>
      <c r="G1139" s="28" t="s">
        <v>22</v>
      </c>
      <c r="H1139" s="28" t="s">
        <v>6582</v>
      </c>
      <c r="I1139" s="28" t="s">
        <v>6961</v>
      </c>
      <c r="J1139" s="28" t="s">
        <v>22</v>
      </c>
      <c r="K1139" s="28" t="s">
        <v>6936</v>
      </c>
      <c r="L1139" s="28" t="s">
        <v>6585</v>
      </c>
      <c r="M1139" s="28" t="s">
        <v>6962</v>
      </c>
      <c r="N1139" s="28" t="s">
        <v>6587</v>
      </c>
      <c r="O1139" s="28" t="s">
        <v>6588</v>
      </c>
      <c r="P1139" s="28" t="s">
        <v>6963</v>
      </c>
    </row>
    <row r="1140" spans="1:16" hidden="1" x14ac:dyDescent="0.25">
      <c r="A1140" s="28" t="s">
        <v>6964</v>
      </c>
      <c r="B1140" s="28" t="s">
        <v>6965</v>
      </c>
      <c r="C1140" s="28" t="s">
        <v>6446</v>
      </c>
      <c r="D1140" s="28" t="s">
        <v>19</v>
      </c>
      <c r="E1140" s="28" t="s">
        <v>196</v>
      </c>
      <c r="F1140" s="28" t="s">
        <v>21</v>
      </c>
      <c r="G1140" s="28" t="s">
        <v>22</v>
      </c>
      <c r="H1140" s="28" t="s">
        <v>6582</v>
      </c>
      <c r="I1140" s="28" t="s">
        <v>6966</v>
      </c>
      <c r="J1140" s="28" t="s">
        <v>22</v>
      </c>
      <c r="K1140" s="28" t="s">
        <v>6936</v>
      </c>
      <c r="L1140" s="28" t="s">
        <v>6585</v>
      </c>
      <c r="M1140" s="28" t="s">
        <v>6967</v>
      </c>
      <c r="N1140" s="28" t="s">
        <v>6587</v>
      </c>
      <c r="O1140" s="28" t="s">
        <v>6588</v>
      </c>
      <c r="P1140" s="28" t="s">
        <v>6968</v>
      </c>
    </row>
    <row r="1141" spans="1:16" hidden="1" x14ac:dyDescent="0.25">
      <c r="A1141" s="28" t="s">
        <v>6969</v>
      </c>
      <c r="B1141" s="28" t="s">
        <v>6970</v>
      </c>
      <c r="C1141" s="28" t="s">
        <v>6446</v>
      </c>
      <c r="D1141" s="28" t="s">
        <v>19</v>
      </c>
      <c r="E1141" s="28" t="s">
        <v>196</v>
      </c>
      <c r="F1141" s="28" t="s">
        <v>21</v>
      </c>
      <c r="G1141" s="28" t="s">
        <v>22</v>
      </c>
      <c r="H1141" s="28" t="s">
        <v>6582</v>
      </c>
      <c r="I1141" s="28" t="s">
        <v>6971</v>
      </c>
      <c r="J1141" s="28" t="s">
        <v>22</v>
      </c>
      <c r="K1141" s="28" t="s">
        <v>6936</v>
      </c>
      <c r="L1141" s="28" t="s">
        <v>6585</v>
      </c>
      <c r="M1141" s="28" t="s">
        <v>6972</v>
      </c>
      <c r="N1141" s="28" t="s">
        <v>6587</v>
      </c>
      <c r="O1141" s="28" t="s">
        <v>6588</v>
      </c>
      <c r="P1141" s="28" t="s">
        <v>6973</v>
      </c>
    </row>
    <row r="1142" spans="1:16" hidden="1" x14ac:dyDescent="0.25">
      <c r="A1142" s="28" t="s">
        <v>6974</v>
      </c>
      <c r="B1142" s="28" t="s">
        <v>6975</v>
      </c>
      <c r="C1142" s="28" t="s">
        <v>6446</v>
      </c>
      <c r="D1142" s="28" t="s">
        <v>19</v>
      </c>
      <c r="E1142" s="28" t="s">
        <v>196</v>
      </c>
      <c r="F1142" s="28" t="s">
        <v>21</v>
      </c>
      <c r="G1142" s="28" t="s">
        <v>22</v>
      </c>
      <c r="H1142" s="28" t="s">
        <v>6582</v>
      </c>
      <c r="I1142" s="28" t="s">
        <v>6976</v>
      </c>
      <c r="J1142" s="28" t="s">
        <v>22</v>
      </c>
      <c r="K1142" s="28" t="s">
        <v>6936</v>
      </c>
      <c r="L1142" s="28" t="s">
        <v>6585</v>
      </c>
      <c r="M1142" s="28" t="s">
        <v>6977</v>
      </c>
      <c r="N1142" s="28" t="s">
        <v>6587</v>
      </c>
      <c r="O1142" s="28" t="s">
        <v>6588</v>
      </c>
      <c r="P1142" s="28" t="s">
        <v>6978</v>
      </c>
    </row>
    <row r="1143" spans="1:16" hidden="1" x14ac:dyDescent="0.25">
      <c r="A1143" s="28" t="s">
        <v>6979</v>
      </c>
      <c r="B1143" s="28" t="s">
        <v>6980</v>
      </c>
      <c r="C1143" s="28" t="s">
        <v>6446</v>
      </c>
      <c r="D1143" s="28" t="s">
        <v>19</v>
      </c>
      <c r="E1143" s="28" t="s">
        <v>196</v>
      </c>
      <c r="F1143" s="28" t="s">
        <v>21</v>
      </c>
      <c r="G1143" s="28" t="s">
        <v>22</v>
      </c>
      <c r="H1143" s="28" t="s">
        <v>6582</v>
      </c>
      <c r="I1143" s="28" t="s">
        <v>6981</v>
      </c>
      <c r="J1143" s="28" t="s">
        <v>22</v>
      </c>
      <c r="K1143" s="28" t="s">
        <v>6936</v>
      </c>
      <c r="L1143" s="28" t="s">
        <v>6585</v>
      </c>
      <c r="M1143" s="28" t="s">
        <v>6982</v>
      </c>
      <c r="N1143" s="28" t="s">
        <v>6587</v>
      </c>
      <c r="O1143" s="28" t="s">
        <v>6588</v>
      </c>
      <c r="P1143" s="28" t="s">
        <v>6983</v>
      </c>
    </row>
    <row r="1144" spans="1:16" hidden="1" x14ac:dyDescent="0.25">
      <c r="A1144" s="28" t="s">
        <v>6984</v>
      </c>
      <c r="B1144" s="28" t="s">
        <v>6985</v>
      </c>
      <c r="C1144" s="28" t="s">
        <v>6446</v>
      </c>
      <c r="D1144" s="28" t="s">
        <v>19</v>
      </c>
      <c r="E1144" s="28" t="s">
        <v>196</v>
      </c>
      <c r="F1144" s="28" t="s">
        <v>21</v>
      </c>
      <c r="G1144" s="28" t="s">
        <v>22</v>
      </c>
      <c r="H1144" s="28" t="s">
        <v>6582</v>
      </c>
      <c r="I1144" s="28" t="s">
        <v>6986</v>
      </c>
      <c r="J1144" s="28" t="s">
        <v>22</v>
      </c>
      <c r="K1144" s="28" t="s">
        <v>6936</v>
      </c>
      <c r="L1144" s="28" t="s">
        <v>6585</v>
      </c>
      <c r="M1144" s="28" t="s">
        <v>6987</v>
      </c>
      <c r="N1144" s="28" t="s">
        <v>6587</v>
      </c>
      <c r="O1144" s="28" t="s">
        <v>6588</v>
      </c>
      <c r="P1144" s="28" t="s">
        <v>6988</v>
      </c>
    </row>
    <row r="1145" spans="1:16" hidden="1" x14ac:dyDescent="0.25">
      <c r="A1145" s="28" t="s">
        <v>6989</v>
      </c>
      <c r="B1145" s="28" t="s">
        <v>6990</v>
      </c>
      <c r="C1145" s="28" t="s">
        <v>6446</v>
      </c>
      <c r="D1145" s="28" t="s">
        <v>19</v>
      </c>
      <c r="E1145" s="28" t="s">
        <v>196</v>
      </c>
      <c r="F1145" s="28" t="s">
        <v>21</v>
      </c>
      <c r="G1145" s="28" t="s">
        <v>22</v>
      </c>
      <c r="H1145" s="28" t="s">
        <v>6582</v>
      </c>
      <c r="I1145" s="28" t="s">
        <v>6991</v>
      </c>
      <c r="J1145" s="28" t="s">
        <v>22</v>
      </c>
      <c r="K1145" s="28" t="s">
        <v>6936</v>
      </c>
      <c r="L1145" s="28" t="s">
        <v>6585</v>
      </c>
      <c r="M1145" s="28" t="s">
        <v>6992</v>
      </c>
      <c r="N1145" s="28" t="s">
        <v>6587</v>
      </c>
      <c r="O1145" s="28" t="s">
        <v>6588</v>
      </c>
      <c r="P1145" s="28" t="s">
        <v>6993</v>
      </c>
    </row>
    <row r="1146" spans="1:16" hidden="1" x14ac:dyDescent="0.25">
      <c r="A1146" s="28" t="s">
        <v>6994</v>
      </c>
      <c r="B1146" s="28" t="s">
        <v>6995</v>
      </c>
      <c r="C1146" s="28" t="s">
        <v>6446</v>
      </c>
      <c r="D1146" s="28" t="s">
        <v>19</v>
      </c>
      <c r="E1146" s="28" t="s">
        <v>196</v>
      </c>
      <c r="F1146" s="28" t="s">
        <v>21</v>
      </c>
      <c r="G1146" s="28" t="s">
        <v>22</v>
      </c>
      <c r="H1146" s="28" t="s">
        <v>6582</v>
      </c>
      <c r="I1146" s="28" t="s">
        <v>6996</v>
      </c>
      <c r="J1146" s="28" t="s">
        <v>22</v>
      </c>
      <c r="K1146" s="28" t="s">
        <v>6936</v>
      </c>
      <c r="L1146" s="28" t="s">
        <v>6585</v>
      </c>
      <c r="M1146" s="28" t="s">
        <v>6997</v>
      </c>
      <c r="N1146" s="28" t="s">
        <v>6587</v>
      </c>
      <c r="O1146" s="28" t="s">
        <v>6588</v>
      </c>
      <c r="P1146" s="28" t="s">
        <v>6998</v>
      </c>
    </row>
    <row r="1147" spans="1:16" hidden="1" x14ac:dyDescent="0.25">
      <c r="A1147" s="28" t="s">
        <v>6999</v>
      </c>
      <c r="B1147" s="28" t="s">
        <v>7000</v>
      </c>
      <c r="C1147" s="28" t="s">
        <v>6446</v>
      </c>
      <c r="D1147" s="28" t="s">
        <v>19</v>
      </c>
      <c r="E1147" s="28" t="s">
        <v>196</v>
      </c>
      <c r="F1147" s="28" t="s">
        <v>21</v>
      </c>
      <c r="G1147" s="28" t="s">
        <v>22</v>
      </c>
      <c r="H1147" s="28" t="s">
        <v>6582</v>
      </c>
      <c r="I1147" s="28" t="s">
        <v>7001</v>
      </c>
      <c r="J1147" s="28" t="s">
        <v>22</v>
      </c>
      <c r="K1147" s="28" t="s">
        <v>6936</v>
      </c>
      <c r="L1147" s="28" t="s">
        <v>6585</v>
      </c>
      <c r="M1147" s="28" t="s">
        <v>7002</v>
      </c>
      <c r="N1147" s="28" t="s">
        <v>6587</v>
      </c>
      <c r="O1147" s="28" t="s">
        <v>6588</v>
      </c>
      <c r="P1147" s="28" t="s">
        <v>7003</v>
      </c>
    </row>
    <row r="1148" spans="1:16" hidden="1" x14ac:dyDescent="0.25">
      <c r="A1148" s="28" t="s">
        <v>7004</v>
      </c>
      <c r="B1148" s="28" t="s">
        <v>7005</v>
      </c>
      <c r="C1148" s="28" t="s">
        <v>6446</v>
      </c>
      <c r="D1148" s="28" t="s">
        <v>19</v>
      </c>
      <c r="E1148" s="28" t="s">
        <v>196</v>
      </c>
      <c r="F1148" s="28" t="s">
        <v>21</v>
      </c>
      <c r="G1148" s="28" t="s">
        <v>22</v>
      </c>
      <c r="H1148" s="28" t="s">
        <v>6582</v>
      </c>
      <c r="I1148" s="28" t="s">
        <v>7006</v>
      </c>
      <c r="J1148" s="28" t="s">
        <v>22</v>
      </c>
      <c r="K1148" s="28" t="s">
        <v>6936</v>
      </c>
      <c r="L1148" s="28" t="s">
        <v>6585</v>
      </c>
      <c r="M1148" s="28" t="s">
        <v>7007</v>
      </c>
      <c r="N1148" s="28" t="s">
        <v>6587</v>
      </c>
      <c r="O1148" s="28" t="s">
        <v>6588</v>
      </c>
      <c r="P1148" s="28" t="s">
        <v>7008</v>
      </c>
    </row>
    <row r="1149" spans="1:16" hidden="1" x14ac:dyDescent="0.25">
      <c r="A1149" s="28" t="s">
        <v>7009</v>
      </c>
      <c r="B1149" s="28" t="s">
        <v>7010</v>
      </c>
      <c r="C1149" s="28" t="s">
        <v>6446</v>
      </c>
      <c r="D1149" s="28" t="s">
        <v>19</v>
      </c>
      <c r="E1149" s="28" t="s">
        <v>196</v>
      </c>
      <c r="F1149" s="28" t="s">
        <v>21</v>
      </c>
      <c r="G1149" s="28" t="s">
        <v>22</v>
      </c>
      <c r="H1149" s="28" t="s">
        <v>6582</v>
      </c>
      <c r="I1149" s="28" t="s">
        <v>7011</v>
      </c>
      <c r="J1149" s="28" t="s">
        <v>22</v>
      </c>
      <c r="K1149" s="28" t="s">
        <v>6936</v>
      </c>
      <c r="L1149" s="28" t="s">
        <v>6585</v>
      </c>
      <c r="M1149" s="28" t="s">
        <v>7012</v>
      </c>
      <c r="N1149" s="28" t="s">
        <v>6587</v>
      </c>
      <c r="O1149" s="28" t="s">
        <v>6588</v>
      </c>
      <c r="P1149" s="28" t="s">
        <v>7013</v>
      </c>
    </row>
    <row r="1150" spans="1:16" hidden="1" x14ac:dyDescent="0.25">
      <c r="A1150" s="28" t="s">
        <v>7014</v>
      </c>
      <c r="B1150" s="28" t="s">
        <v>7015</v>
      </c>
      <c r="C1150" s="28" t="s">
        <v>6446</v>
      </c>
      <c r="D1150" s="28" t="s">
        <v>19</v>
      </c>
      <c r="E1150" s="28" t="s">
        <v>196</v>
      </c>
      <c r="F1150" s="28" t="s">
        <v>21</v>
      </c>
      <c r="G1150" s="28" t="s">
        <v>22</v>
      </c>
      <c r="H1150" s="28" t="s">
        <v>6582</v>
      </c>
      <c r="I1150" s="28" t="s">
        <v>7016</v>
      </c>
      <c r="J1150" s="28" t="s">
        <v>22</v>
      </c>
      <c r="K1150" s="28" t="s">
        <v>6936</v>
      </c>
      <c r="L1150" s="28" t="s">
        <v>6585</v>
      </c>
      <c r="M1150" s="28" t="s">
        <v>7017</v>
      </c>
      <c r="N1150" s="28" t="s">
        <v>6587</v>
      </c>
      <c r="O1150" s="28" t="s">
        <v>6588</v>
      </c>
      <c r="P1150" s="28" t="s">
        <v>7018</v>
      </c>
    </row>
    <row r="1151" spans="1:16" hidden="1" x14ac:dyDescent="0.25">
      <c r="A1151" s="28" t="s">
        <v>7019</v>
      </c>
      <c r="B1151" s="28" t="s">
        <v>7020</v>
      </c>
      <c r="C1151" s="28" t="s">
        <v>6446</v>
      </c>
      <c r="D1151" s="28" t="s">
        <v>19</v>
      </c>
      <c r="E1151" s="28" t="s">
        <v>196</v>
      </c>
      <c r="F1151" s="28" t="s">
        <v>21</v>
      </c>
      <c r="G1151" s="28" t="s">
        <v>22</v>
      </c>
      <c r="H1151" s="28" t="s">
        <v>6582</v>
      </c>
      <c r="I1151" s="28" t="s">
        <v>7021</v>
      </c>
      <c r="J1151" s="28" t="s">
        <v>22</v>
      </c>
      <c r="K1151" s="28" t="s">
        <v>6936</v>
      </c>
      <c r="L1151" s="28" t="s">
        <v>6585</v>
      </c>
      <c r="M1151" s="28" t="s">
        <v>7022</v>
      </c>
      <c r="N1151" s="28" t="s">
        <v>6587</v>
      </c>
      <c r="O1151" s="28" t="s">
        <v>6588</v>
      </c>
      <c r="P1151" s="28" t="s">
        <v>7023</v>
      </c>
    </row>
    <row r="1152" spans="1:16" hidden="1" x14ac:dyDescent="0.25">
      <c r="A1152" s="28" t="s">
        <v>7024</v>
      </c>
      <c r="B1152" s="28" t="s">
        <v>7025</v>
      </c>
      <c r="C1152" s="28" t="s">
        <v>6446</v>
      </c>
      <c r="D1152" s="28" t="s">
        <v>19</v>
      </c>
      <c r="E1152" s="28" t="s">
        <v>196</v>
      </c>
      <c r="F1152" s="28" t="s">
        <v>21</v>
      </c>
      <c r="G1152" s="28" t="s">
        <v>22</v>
      </c>
      <c r="H1152" s="28" t="s">
        <v>6582</v>
      </c>
      <c r="I1152" s="28" t="s">
        <v>7026</v>
      </c>
      <c r="J1152" s="28" t="s">
        <v>22</v>
      </c>
      <c r="K1152" s="28" t="s">
        <v>6936</v>
      </c>
      <c r="L1152" s="28" t="s">
        <v>6585</v>
      </c>
      <c r="M1152" s="28" t="s">
        <v>7027</v>
      </c>
      <c r="N1152" s="28" t="s">
        <v>6587</v>
      </c>
      <c r="O1152" s="28" t="s">
        <v>6588</v>
      </c>
      <c r="P1152" s="28" t="s">
        <v>7028</v>
      </c>
    </row>
    <row r="1153" spans="1:16" hidden="1" x14ac:dyDescent="0.25">
      <c r="A1153" s="28" t="s">
        <v>7029</v>
      </c>
      <c r="B1153" s="28" t="s">
        <v>7030</v>
      </c>
      <c r="C1153" s="28" t="s">
        <v>6446</v>
      </c>
      <c r="D1153" s="28" t="s">
        <v>19</v>
      </c>
      <c r="E1153" s="28" t="s">
        <v>7031</v>
      </c>
      <c r="F1153" s="28" t="s">
        <v>21</v>
      </c>
      <c r="G1153" s="28" t="s">
        <v>22</v>
      </c>
      <c r="H1153" s="28" t="s">
        <v>6582</v>
      </c>
      <c r="I1153" s="28" t="s">
        <v>7032</v>
      </c>
      <c r="J1153" s="28" t="s">
        <v>22</v>
      </c>
      <c r="K1153" s="28" t="s">
        <v>6732</v>
      </c>
      <c r="L1153" s="28" t="s">
        <v>6585</v>
      </c>
      <c r="M1153" s="28" t="s">
        <v>7033</v>
      </c>
      <c r="N1153" s="28" t="s">
        <v>6587</v>
      </c>
      <c r="O1153" s="28" t="s">
        <v>6588</v>
      </c>
      <c r="P1153" s="28" t="s">
        <v>7034</v>
      </c>
    </row>
    <row r="1154" spans="1:16" hidden="1" x14ac:dyDescent="0.25">
      <c r="A1154" s="28" t="s">
        <v>7035</v>
      </c>
      <c r="B1154" s="28" t="s">
        <v>7036</v>
      </c>
      <c r="C1154" s="28" t="s">
        <v>6446</v>
      </c>
      <c r="D1154" s="28" t="s">
        <v>19</v>
      </c>
      <c r="E1154" s="28" t="s">
        <v>7031</v>
      </c>
      <c r="F1154" s="28" t="s">
        <v>21</v>
      </c>
      <c r="G1154" s="28" t="s">
        <v>22</v>
      </c>
      <c r="H1154" s="28" t="s">
        <v>6582</v>
      </c>
      <c r="I1154" s="28" t="s">
        <v>7037</v>
      </c>
      <c r="J1154" s="28" t="s">
        <v>22</v>
      </c>
      <c r="K1154" s="28" t="s">
        <v>6732</v>
      </c>
      <c r="L1154" s="28" t="s">
        <v>6585</v>
      </c>
      <c r="M1154" s="28" t="s">
        <v>7038</v>
      </c>
      <c r="N1154" s="28" t="s">
        <v>6587</v>
      </c>
      <c r="O1154" s="28" t="s">
        <v>6588</v>
      </c>
      <c r="P1154" s="28" t="s">
        <v>7039</v>
      </c>
    </row>
    <row r="1155" spans="1:16" hidden="1" x14ac:dyDescent="0.25">
      <c r="A1155" s="28" t="s">
        <v>7040</v>
      </c>
      <c r="B1155" s="28" t="s">
        <v>7041</v>
      </c>
      <c r="C1155" s="28" t="s">
        <v>6446</v>
      </c>
      <c r="D1155" s="28" t="s">
        <v>19</v>
      </c>
      <c r="E1155" s="28" t="s">
        <v>161</v>
      </c>
      <c r="F1155" s="28" t="s">
        <v>21</v>
      </c>
      <c r="G1155" s="28" t="s">
        <v>22</v>
      </c>
      <c r="H1155" s="28" t="s">
        <v>6582</v>
      </c>
      <c r="I1155" s="28" t="s">
        <v>7042</v>
      </c>
      <c r="J1155" s="28" t="s">
        <v>22</v>
      </c>
      <c r="K1155" s="28" t="s">
        <v>6732</v>
      </c>
      <c r="L1155" s="28" t="s">
        <v>6585</v>
      </c>
      <c r="M1155" s="28" t="s">
        <v>7043</v>
      </c>
      <c r="N1155" s="28" t="s">
        <v>6587</v>
      </c>
      <c r="O1155" s="28" t="s">
        <v>6588</v>
      </c>
      <c r="P1155" s="28" t="s">
        <v>7044</v>
      </c>
    </row>
    <row r="1156" spans="1:16" hidden="1" x14ac:dyDescent="0.25">
      <c r="A1156" s="28" t="s">
        <v>7045</v>
      </c>
      <c r="B1156" s="28" t="s">
        <v>7046</v>
      </c>
      <c r="C1156" s="28" t="s">
        <v>6446</v>
      </c>
      <c r="D1156" s="28" t="s">
        <v>19</v>
      </c>
      <c r="E1156" s="28" t="s">
        <v>161</v>
      </c>
      <c r="F1156" s="28" t="s">
        <v>21</v>
      </c>
      <c r="G1156" s="28" t="s">
        <v>22</v>
      </c>
      <c r="H1156" s="28" t="s">
        <v>6582</v>
      </c>
      <c r="I1156" s="28" t="s">
        <v>7047</v>
      </c>
      <c r="J1156" s="28" t="s">
        <v>22</v>
      </c>
      <c r="K1156" s="28" t="s">
        <v>6732</v>
      </c>
      <c r="L1156" s="28" t="s">
        <v>6585</v>
      </c>
      <c r="M1156" s="28" t="s">
        <v>7048</v>
      </c>
      <c r="N1156" s="28" t="s">
        <v>6587</v>
      </c>
      <c r="O1156" s="28" t="s">
        <v>6588</v>
      </c>
      <c r="P1156" s="28" t="s">
        <v>7049</v>
      </c>
    </row>
    <row r="1157" spans="1:16" hidden="1" x14ac:dyDescent="0.25">
      <c r="A1157" s="28" t="s">
        <v>7050</v>
      </c>
      <c r="B1157" s="28" t="s">
        <v>7051</v>
      </c>
      <c r="C1157" s="28" t="s">
        <v>6446</v>
      </c>
      <c r="D1157" s="28" t="s">
        <v>19</v>
      </c>
      <c r="E1157" s="28" t="s">
        <v>7052</v>
      </c>
      <c r="F1157" s="28" t="s">
        <v>21</v>
      </c>
      <c r="G1157" s="28" t="s">
        <v>22</v>
      </c>
      <c r="H1157" s="28" t="s">
        <v>6582</v>
      </c>
      <c r="I1157" s="28" t="s">
        <v>7053</v>
      </c>
      <c r="J1157" s="28" t="s">
        <v>22</v>
      </c>
      <c r="K1157" s="28" t="s">
        <v>6732</v>
      </c>
      <c r="L1157" s="28" t="s">
        <v>6585</v>
      </c>
      <c r="M1157" s="28" t="s">
        <v>7054</v>
      </c>
      <c r="N1157" s="28" t="s">
        <v>6587</v>
      </c>
      <c r="O1157" s="28" t="s">
        <v>6588</v>
      </c>
      <c r="P1157" s="28" t="s">
        <v>7055</v>
      </c>
    </row>
    <row r="1158" spans="1:16" hidden="1" x14ac:dyDescent="0.25">
      <c r="A1158" s="28" t="s">
        <v>7056</v>
      </c>
      <c r="B1158" s="28" t="s">
        <v>7057</v>
      </c>
      <c r="C1158" s="28" t="s">
        <v>6446</v>
      </c>
      <c r="D1158" s="28" t="s">
        <v>19</v>
      </c>
      <c r="E1158" s="28" t="s">
        <v>7058</v>
      </c>
      <c r="F1158" s="28" t="s">
        <v>21</v>
      </c>
      <c r="G1158" s="28" t="s">
        <v>22</v>
      </c>
      <c r="H1158" s="28" t="s">
        <v>6582</v>
      </c>
      <c r="I1158" s="28" t="s">
        <v>7059</v>
      </c>
      <c r="J1158" s="28" t="s">
        <v>22</v>
      </c>
      <c r="K1158" s="28" t="s">
        <v>6732</v>
      </c>
      <c r="L1158" s="28" t="s">
        <v>6585</v>
      </c>
      <c r="M1158" s="28" t="s">
        <v>7060</v>
      </c>
      <c r="N1158" s="28" t="s">
        <v>6587</v>
      </c>
      <c r="O1158" s="28" t="s">
        <v>6588</v>
      </c>
      <c r="P1158" s="28" t="s">
        <v>7061</v>
      </c>
    </row>
    <row r="1159" spans="1:16" hidden="1" x14ac:dyDescent="0.25">
      <c r="A1159" s="28" t="s">
        <v>7062</v>
      </c>
      <c r="B1159" s="28" t="s">
        <v>7063</v>
      </c>
      <c r="C1159" s="28" t="s">
        <v>6446</v>
      </c>
      <c r="D1159" s="28" t="s">
        <v>19</v>
      </c>
      <c r="E1159" s="28" t="s">
        <v>7064</v>
      </c>
      <c r="F1159" s="28" t="s">
        <v>21</v>
      </c>
      <c r="G1159" s="28" t="s">
        <v>22</v>
      </c>
      <c r="H1159" s="28" t="s">
        <v>6582</v>
      </c>
      <c r="I1159" s="28" t="s">
        <v>7065</v>
      </c>
      <c r="J1159" s="28" t="s">
        <v>22</v>
      </c>
      <c r="K1159" s="28" t="s">
        <v>6732</v>
      </c>
      <c r="L1159" s="28" t="s">
        <v>6585</v>
      </c>
      <c r="M1159" s="28" t="s">
        <v>7066</v>
      </c>
      <c r="N1159" s="28" t="s">
        <v>6587</v>
      </c>
      <c r="O1159" s="28" t="s">
        <v>6588</v>
      </c>
      <c r="P1159" s="28" t="s">
        <v>7067</v>
      </c>
    </row>
    <row r="1160" spans="1:16" hidden="1" x14ac:dyDescent="0.25">
      <c r="A1160" s="28" t="s">
        <v>7068</v>
      </c>
      <c r="B1160" s="28" t="s">
        <v>7069</v>
      </c>
      <c r="C1160" s="28" t="s">
        <v>6446</v>
      </c>
      <c r="D1160" s="28" t="s">
        <v>19</v>
      </c>
      <c r="E1160" s="28" t="s">
        <v>7070</v>
      </c>
      <c r="F1160" s="28" t="s">
        <v>21</v>
      </c>
      <c r="G1160" s="28" t="s">
        <v>22</v>
      </c>
      <c r="H1160" s="28" t="s">
        <v>6582</v>
      </c>
      <c r="I1160" s="28" t="s">
        <v>7071</v>
      </c>
      <c r="J1160" s="28" t="s">
        <v>22</v>
      </c>
      <c r="K1160" s="28" t="s">
        <v>6732</v>
      </c>
      <c r="L1160" s="28" t="s">
        <v>6585</v>
      </c>
      <c r="M1160" s="28" t="s">
        <v>7072</v>
      </c>
      <c r="N1160" s="28" t="s">
        <v>6587</v>
      </c>
      <c r="O1160" s="28" t="s">
        <v>6588</v>
      </c>
      <c r="P1160" s="28" t="s">
        <v>7073</v>
      </c>
    </row>
    <row r="1161" spans="1:16" hidden="1" x14ac:dyDescent="0.25">
      <c r="A1161" s="28" t="s">
        <v>7074</v>
      </c>
      <c r="B1161" s="28" t="s">
        <v>7075</v>
      </c>
      <c r="C1161" s="28" t="s">
        <v>6446</v>
      </c>
      <c r="D1161" s="28" t="s">
        <v>19</v>
      </c>
      <c r="E1161" s="28" t="s">
        <v>7076</v>
      </c>
      <c r="F1161" s="28" t="s">
        <v>21</v>
      </c>
      <c r="G1161" s="28" t="s">
        <v>22</v>
      </c>
      <c r="H1161" s="28" t="s">
        <v>6582</v>
      </c>
      <c r="I1161" s="28" t="s">
        <v>7077</v>
      </c>
      <c r="J1161" s="28" t="s">
        <v>22</v>
      </c>
      <c r="K1161" s="28" t="s">
        <v>6732</v>
      </c>
      <c r="L1161" s="28" t="s">
        <v>6585</v>
      </c>
      <c r="M1161" s="28" t="s">
        <v>7078</v>
      </c>
      <c r="N1161" s="28" t="s">
        <v>6587</v>
      </c>
      <c r="O1161" s="28" t="s">
        <v>6588</v>
      </c>
      <c r="P1161" s="28" t="s">
        <v>7079</v>
      </c>
    </row>
    <row r="1162" spans="1:16" x14ac:dyDescent="0.25">
      <c r="A1162" s="28" t="s">
        <v>7080</v>
      </c>
      <c r="B1162" s="28" t="s">
        <v>7081</v>
      </c>
      <c r="C1162" s="28" t="s">
        <v>7082</v>
      </c>
      <c r="D1162" s="28" t="s">
        <v>4519</v>
      </c>
      <c r="E1162" s="28" t="s">
        <v>7083</v>
      </c>
      <c r="F1162" s="28" t="s">
        <v>6308</v>
      </c>
      <c r="G1162" s="28" t="s">
        <v>7084</v>
      </c>
      <c r="H1162" s="28" t="s">
        <v>7085</v>
      </c>
      <c r="I1162" s="28" t="s">
        <v>7086</v>
      </c>
      <c r="J1162" s="28" t="s">
        <v>7084</v>
      </c>
      <c r="K1162" s="28" t="s">
        <v>7087</v>
      </c>
      <c r="L1162" s="28" t="s">
        <v>7088</v>
      </c>
      <c r="M1162" s="28" t="s">
        <v>7089</v>
      </c>
      <c r="N1162" s="28" t="s">
        <v>7090</v>
      </c>
      <c r="O1162" s="28" t="s">
        <v>7091</v>
      </c>
      <c r="P1162" s="28" t="s">
        <v>7092</v>
      </c>
    </row>
    <row r="1163" spans="1:16" x14ac:dyDescent="0.25">
      <c r="A1163" s="28" t="s">
        <v>7093</v>
      </c>
      <c r="B1163" s="28" t="s">
        <v>7094</v>
      </c>
      <c r="C1163" s="28" t="s">
        <v>7082</v>
      </c>
      <c r="D1163" s="28" t="s">
        <v>4519</v>
      </c>
      <c r="E1163" s="28" t="s">
        <v>7095</v>
      </c>
      <c r="F1163" s="28" t="s">
        <v>6308</v>
      </c>
      <c r="G1163" s="28" t="s">
        <v>7084</v>
      </c>
      <c r="H1163" s="28" t="s">
        <v>7085</v>
      </c>
      <c r="I1163" s="28" t="s">
        <v>7096</v>
      </c>
      <c r="J1163" s="28" t="s">
        <v>7084</v>
      </c>
      <c r="K1163" s="28" t="s">
        <v>7097</v>
      </c>
      <c r="L1163" s="28" t="s">
        <v>7088</v>
      </c>
      <c r="M1163" s="28" t="s">
        <v>7098</v>
      </c>
      <c r="N1163" s="28" t="s">
        <v>7090</v>
      </c>
      <c r="O1163" s="28" t="s">
        <v>7091</v>
      </c>
      <c r="P1163" s="28" t="s">
        <v>7099</v>
      </c>
    </row>
    <row r="1164" spans="1:16" x14ac:dyDescent="0.25">
      <c r="A1164" s="28" t="s">
        <v>7100</v>
      </c>
      <c r="B1164" s="28" t="s">
        <v>7101</v>
      </c>
      <c r="C1164" s="28" t="s">
        <v>7082</v>
      </c>
      <c r="D1164" s="28" t="s">
        <v>4519</v>
      </c>
      <c r="E1164" s="28" t="s">
        <v>7095</v>
      </c>
      <c r="F1164" s="28" t="s">
        <v>6308</v>
      </c>
      <c r="G1164" s="28" t="s">
        <v>7084</v>
      </c>
      <c r="H1164" s="28" t="s">
        <v>7085</v>
      </c>
      <c r="I1164" s="28" t="s">
        <v>7102</v>
      </c>
      <c r="J1164" s="28" t="s">
        <v>7084</v>
      </c>
      <c r="K1164" s="28" t="s">
        <v>7097</v>
      </c>
      <c r="L1164" s="28" t="s">
        <v>7088</v>
      </c>
      <c r="M1164" s="28" t="s">
        <v>7103</v>
      </c>
      <c r="N1164" s="28" t="s">
        <v>7090</v>
      </c>
      <c r="O1164" s="28" t="s">
        <v>7091</v>
      </c>
      <c r="P1164" s="28" t="s">
        <v>7104</v>
      </c>
    </row>
    <row r="1165" spans="1:16" x14ac:dyDescent="0.25">
      <c r="A1165" s="28" t="s">
        <v>7105</v>
      </c>
      <c r="B1165" s="28" t="s">
        <v>7106</v>
      </c>
      <c r="C1165" s="28" t="s">
        <v>7082</v>
      </c>
      <c r="D1165" s="28" t="s">
        <v>4519</v>
      </c>
      <c r="E1165" s="28" t="s">
        <v>7107</v>
      </c>
      <c r="F1165" s="28" t="s">
        <v>6308</v>
      </c>
      <c r="G1165" s="28" t="s">
        <v>7084</v>
      </c>
      <c r="H1165" s="28" t="s">
        <v>7085</v>
      </c>
      <c r="I1165" s="28" t="s">
        <v>7108</v>
      </c>
      <c r="J1165" s="28" t="s">
        <v>7084</v>
      </c>
      <c r="K1165" s="28" t="s">
        <v>7109</v>
      </c>
      <c r="L1165" s="28" t="s">
        <v>7088</v>
      </c>
      <c r="M1165" s="28" t="s">
        <v>7110</v>
      </c>
      <c r="N1165" s="28" t="s">
        <v>7090</v>
      </c>
      <c r="O1165" s="28" t="s">
        <v>7091</v>
      </c>
      <c r="P1165" s="28" t="s">
        <v>7111</v>
      </c>
    </row>
    <row r="1166" spans="1:16" x14ac:dyDescent="0.25">
      <c r="A1166" s="28" t="s">
        <v>7112</v>
      </c>
      <c r="B1166" s="28" t="s">
        <v>7113</v>
      </c>
      <c r="C1166" s="28" t="s">
        <v>7082</v>
      </c>
      <c r="D1166" s="28" t="s">
        <v>1358</v>
      </c>
      <c r="E1166" s="28" t="s">
        <v>7114</v>
      </c>
      <c r="F1166" s="28" t="s">
        <v>6308</v>
      </c>
      <c r="G1166" s="28" t="s">
        <v>7084</v>
      </c>
      <c r="H1166" s="28" t="s">
        <v>7085</v>
      </c>
      <c r="I1166" s="28" t="s">
        <v>7115</v>
      </c>
      <c r="J1166" s="28" t="s">
        <v>7084</v>
      </c>
      <c r="K1166" s="28" t="s">
        <v>7116</v>
      </c>
      <c r="L1166" s="28" t="s">
        <v>7088</v>
      </c>
      <c r="M1166" s="28" t="s">
        <v>7117</v>
      </c>
      <c r="N1166" s="28" t="s">
        <v>7090</v>
      </c>
      <c r="O1166" s="28" t="s">
        <v>7091</v>
      </c>
      <c r="P1166" s="28" t="s">
        <v>7118</v>
      </c>
    </row>
    <row r="1167" spans="1:16" x14ac:dyDescent="0.25">
      <c r="A1167" s="28" t="s">
        <v>7119</v>
      </c>
      <c r="B1167" s="28" t="s">
        <v>7120</v>
      </c>
      <c r="C1167" s="28" t="s">
        <v>7082</v>
      </c>
      <c r="D1167" s="28" t="s">
        <v>1478</v>
      </c>
      <c r="E1167" s="28" t="s">
        <v>5057</v>
      </c>
      <c r="F1167" s="28" t="s">
        <v>6308</v>
      </c>
      <c r="G1167" s="28" t="s">
        <v>7084</v>
      </c>
      <c r="H1167" s="28" t="s">
        <v>7085</v>
      </c>
      <c r="I1167" s="28" t="s">
        <v>7121</v>
      </c>
      <c r="J1167" s="28" t="s">
        <v>7084</v>
      </c>
      <c r="K1167" s="28" t="s">
        <v>7122</v>
      </c>
      <c r="L1167" s="28" t="s">
        <v>7088</v>
      </c>
      <c r="M1167" s="28" t="s">
        <v>7123</v>
      </c>
      <c r="N1167" s="28" t="s">
        <v>7090</v>
      </c>
      <c r="O1167" s="28" t="s">
        <v>7091</v>
      </c>
      <c r="P1167" s="28" t="s">
        <v>7124</v>
      </c>
    </row>
    <row r="1168" spans="1:16" x14ac:dyDescent="0.25">
      <c r="A1168" s="28" t="s">
        <v>7125</v>
      </c>
      <c r="B1168" s="28" t="s">
        <v>7126</v>
      </c>
      <c r="C1168" s="28" t="s">
        <v>7082</v>
      </c>
      <c r="D1168" s="28" t="s">
        <v>1478</v>
      </c>
      <c r="E1168" s="28" t="s">
        <v>5057</v>
      </c>
      <c r="F1168" s="28" t="s">
        <v>6308</v>
      </c>
      <c r="G1168" s="28" t="s">
        <v>7084</v>
      </c>
      <c r="H1168" s="28" t="s">
        <v>7085</v>
      </c>
      <c r="I1168" s="28" t="s">
        <v>7127</v>
      </c>
      <c r="J1168" s="28" t="s">
        <v>7084</v>
      </c>
      <c r="K1168" s="28" t="s">
        <v>7122</v>
      </c>
      <c r="L1168" s="28" t="s">
        <v>7088</v>
      </c>
      <c r="M1168" s="28" t="s">
        <v>7128</v>
      </c>
      <c r="N1168" s="28" t="s">
        <v>7090</v>
      </c>
      <c r="O1168" s="28" t="s">
        <v>7091</v>
      </c>
      <c r="P1168" s="28" t="s">
        <v>7129</v>
      </c>
    </row>
    <row r="1169" spans="1:16" x14ac:dyDescent="0.25">
      <c r="A1169" s="28" t="s">
        <v>7130</v>
      </c>
      <c r="B1169" s="28" t="s">
        <v>7131</v>
      </c>
      <c r="C1169" s="28" t="s">
        <v>7082</v>
      </c>
      <c r="D1169" s="28" t="s">
        <v>7132</v>
      </c>
      <c r="E1169" s="28" t="s">
        <v>7133</v>
      </c>
      <c r="F1169" s="28" t="s">
        <v>6308</v>
      </c>
      <c r="G1169" s="28" t="s">
        <v>7084</v>
      </c>
      <c r="H1169" s="28" t="s">
        <v>7085</v>
      </c>
      <c r="I1169" s="28" t="s">
        <v>7134</v>
      </c>
      <c r="J1169" s="28" t="s">
        <v>7084</v>
      </c>
      <c r="K1169" s="28" t="s">
        <v>7135</v>
      </c>
      <c r="L1169" s="28" t="s">
        <v>7088</v>
      </c>
      <c r="M1169" s="28" t="s">
        <v>7136</v>
      </c>
      <c r="N1169" s="28" t="s">
        <v>7090</v>
      </c>
      <c r="O1169" s="28" t="s">
        <v>7091</v>
      </c>
      <c r="P1169" s="28" t="s">
        <v>7137</v>
      </c>
    </row>
    <row r="1170" spans="1:16" x14ac:dyDescent="0.25">
      <c r="A1170" s="28" t="s">
        <v>7138</v>
      </c>
      <c r="B1170" s="28" t="s">
        <v>7139</v>
      </c>
      <c r="C1170" s="28" t="s">
        <v>7082</v>
      </c>
      <c r="D1170" s="28" t="s">
        <v>7132</v>
      </c>
      <c r="E1170" s="28" t="s">
        <v>7140</v>
      </c>
      <c r="F1170" s="28" t="s">
        <v>6308</v>
      </c>
      <c r="G1170" s="28" t="s">
        <v>7084</v>
      </c>
      <c r="H1170" s="28" t="s">
        <v>7085</v>
      </c>
      <c r="I1170" s="28" t="s">
        <v>7141</v>
      </c>
      <c r="J1170" s="28" t="s">
        <v>7084</v>
      </c>
      <c r="K1170" s="28" t="s">
        <v>7135</v>
      </c>
      <c r="L1170" s="28" t="s">
        <v>7088</v>
      </c>
      <c r="M1170" s="28" t="s">
        <v>7142</v>
      </c>
      <c r="N1170" s="28" t="s">
        <v>7090</v>
      </c>
      <c r="O1170" s="28" t="s">
        <v>7091</v>
      </c>
      <c r="P1170" s="28" t="s">
        <v>7143</v>
      </c>
    </row>
    <row r="1171" spans="1:16" x14ac:dyDescent="0.25">
      <c r="A1171" s="28" t="s">
        <v>7144</v>
      </c>
      <c r="B1171" s="28" t="s">
        <v>7145</v>
      </c>
      <c r="C1171" s="28" t="s">
        <v>7082</v>
      </c>
      <c r="D1171" s="28" t="s">
        <v>62</v>
      </c>
      <c r="E1171" s="28" t="s">
        <v>7146</v>
      </c>
      <c r="F1171" s="28" t="s">
        <v>6308</v>
      </c>
      <c r="G1171" s="28" t="s">
        <v>7084</v>
      </c>
      <c r="H1171" s="28" t="s">
        <v>7085</v>
      </c>
      <c r="I1171" s="28" t="s">
        <v>7147</v>
      </c>
      <c r="J1171" s="28" t="s">
        <v>7084</v>
      </c>
      <c r="K1171" s="28" t="s">
        <v>7148</v>
      </c>
      <c r="L1171" s="28" t="s">
        <v>7088</v>
      </c>
      <c r="M1171" s="28" t="s">
        <v>7149</v>
      </c>
      <c r="N1171" s="28" t="s">
        <v>7090</v>
      </c>
      <c r="O1171" s="28" t="s">
        <v>7091</v>
      </c>
      <c r="P1171" s="28" t="s">
        <v>7150</v>
      </c>
    </row>
    <row r="1172" spans="1:16" x14ac:dyDescent="0.25">
      <c r="A1172" s="28" t="s">
        <v>7151</v>
      </c>
      <c r="B1172" s="28" t="s">
        <v>7152</v>
      </c>
      <c r="C1172" s="28" t="s">
        <v>7082</v>
      </c>
      <c r="D1172" s="28" t="s">
        <v>62</v>
      </c>
      <c r="E1172" s="28" t="s">
        <v>7153</v>
      </c>
      <c r="F1172" s="28" t="s">
        <v>6308</v>
      </c>
      <c r="G1172" s="28" t="s">
        <v>7084</v>
      </c>
      <c r="H1172" s="28" t="s">
        <v>7085</v>
      </c>
      <c r="I1172" s="28" t="s">
        <v>7154</v>
      </c>
      <c r="J1172" s="28" t="s">
        <v>7084</v>
      </c>
      <c r="K1172" s="28" t="s">
        <v>7155</v>
      </c>
      <c r="L1172" s="28" t="s">
        <v>7088</v>
      </c>
      <c r="M1172" s="28" t="s">
        <v>7156</v>
      </c>
      <c r="N1172" s="28" t="s">
        <v>7090</v>
      </c>
      <c r="O1172" s="28" t="s">
        <v>7091</v>
      </c>
      <c r="P1172" s="28" t="s">
        <v>7157</v>
      </c>
    </row>
    <row r="1173" spans="1:16" x14ac:dyDescent="0.25">
      <c r="A1173" s="28" t="s">
        <v>7158</v>
      </c>
      <c r="B1173" s="28" t="s">
        <v>7159</v>
      </c>
      <c r="C1173" s="28" t="s">
        <v>7082</v>
      </c>
      <c r="D1173" s="28" t="s">
        <v>62</v>
      </c>
      <c r="E1173" s="28" t="s">
        <v>7153</v>
      </c>
      <c r="F1173" s="28" t="s">
        <v>6308</v>
      </c>
      <c r="G1173" s="28" t="s">
        <v>7084</v>
      </c>
      <c r="H1173" s="28" t="s">
        <v>7085</v>
      </c>
      <c r="I1173" s="28" t="s">
        <v>7160</v>
      </c>
      <c r="J1173" s="28" t="s">
        <v>7084</v>
      </c>
      <c r="K1173" s="28" t="s">
        <v>7161</v>
      </c>
      <c r="L1173" s="28" t="s">
        <v>7088</v>
      </c>
      <c r="M1173" s="28" t="s">
        <v>7162</v>
      </c>
      <c r="N1173" s="28" t="s">
        <v>7090</v>
      </c>
      <c r="O1173" s="28" t="s">
        <v>7091</v>
      </c>
      <c r="P1173" s="28" t="s">
        <v>7163</v>
      </c>
    </row>
    <row r="1174" spans="1:16" x14ac:dyDescent="0.25">
      <c r="A1174" s="28" t="s">
        <v>7164</v>
      </c>
      <c r="B1174" s="28" t="s">
        <v>7165</v>
      </c>
      <c r="C1174" s="28" t="s">
        <v>7082</v>
      </c>
      <c r="D1174" s="28" t="s">
        <v>62</v>
      </c>
      <c r="E1174" s="28" t="s">
        <v>7153</v>
      </c>
      <c r="F1174" s="28" t="s">
        <v>6308</v>
      </c>
      <c r="G1174" s="28" t="s">
        <v>7084</v>
      </c>
      <c r="H1174" s="28" t="s">
        <v>7085</v>
      </c>
      <c r="I1174" s="28" t="s">
        <v>7166</v>
      </c>
      <c r="J1174" s="28" t="s">
        <v>7084</v>
      </c>
      <c r="K1174" s="28" t="s">
        <v>7167</v>
      </c>
      <c r="L1174" s="28" t="s">
        <v>7088</v>
      </c>
      <c r="M1174" s="28" t="s">
        <v>7168</v>
      </c>
      <c r="N1174" s="28" t="s">
        <v>7090</v>
      </c>
      <c r="O1174" s="28" t="s">
        <v>7091</v>
      </c>
      <c r="P1174" s="28" t="s">
        <v>7169</v>
      </c>
    </row>
    <row r="1175" spans="1:16" x14ac:dyDescent="0.25">
      <c r="A1175" s="28" t="s">
        <v>7170</v>
      </c>
      <c r="B1175" s="28" t="s">
        <v>7171</v>
      </c>
      <c r="C1175" s="28" t="s">
        <v>7082</v>
      </c>
      <c r="D1175" s="28" t="s">
        <v>62</v>
      </c>
      <c r="E1175" s="28" t="s">
        <v>7153</v>
      </c>
      <c r="F1175" s="28" t="s">
        <v>6308</v>
      </c>
      <c r="G1175" s="28" t="s">
        <v>7084</v>
      </c>
      <c r="H1175" s="28" t="s">
        <v>7085</v>
      </c>
      <c r="I1175" s="28" t="s">
        <v>7172</v>
      </c>
      <c r="J1175" s="28" t="s">
        <v>7084</v>
      </c>
      <c r="K1175" s="28" t="s">
        <v>7173</v>
      </c>
      <c r="L1175" s="28" t="s">
        <v>7088</v>
      </c>
      <c r="M1175" s="28" t="s">
        <v>7174</v>
      </c>
      <c r="N1175" s="28" t="s">
        <v>7090</v>
      </c>
      <c r="O1175" s="28" t="s">
        <v>7091</v>
      </c>
      <c r="P1175" s="28" t="s">
        <v>7175</v>
      </c>
    </row>
    <row r="1176" spans="1:16" x14ac:dyDescent="0.25">
      <c r="A1176" s="28" t="s">
        <v>7176</v>
      </c>
      <c r="B1176" s="28" t="s">
        <v>7177</v>
      </c>
      <c r="C1176" s="28" t="s">
        <v>7082</v>
      </c>
      <c r="D1176" s="28" t="s">
        <v>62</v>
      </c>
      <c r="E1176" s="28" t="s">
        <v>7153</v>
      </c>
      <c r="F1176" s="28" t="s">
        <v>6308</v>
      </c>
      <c r="G1176" s="28" t="s">
        <v>7084</v>
      </c>
      <c r="H1176" s="28" t="s">
        <v>7085</v>
      </c>
      <c r="I1176" s="28" t="s">
        <v>7178</v>
      </c>
      <c r="J1176" s="28" t="s">
        <v>7084</v>
      </c>
      <c r="K1176" s="28" t="s">
        <v>7179</v>
      </c>
      <c r="L1176" s="28" t="s">
        <v>7088</v>
      </c>
      <c r="M1176" s="28" t="s">
        <v>7180</v>
      </c>
      <c r="N1176" s="28" t="s">
        <v>7090</v>
      </c>
      <c r="O1176" s="28" t="s">
        <v>7091</v>
      </c>
      <c r="P1176" s="28" t="s">
        <v>7181</v>
      </c>
    </row>
    <row r="1177" spans="1:16" x14ac:dyDescent="0.25">
      <c r="A1177" s="28" t="s">
        <v>7182</v>
      </c>
      <c r="B1177" s="28" t="s">
        <v>7183</v>
      </c>
      <c r="C1177" s="28" t="s">
        <v>7082</v>
      </c>
      <c r="D1177" s="28" t="s">
        <v>62</v>
      </c>
      <c r="E1177" s="28" t="s">
        <v>7153</v>
      </c>
      <c r="F1177" s="28" t="s">
        <v>6308</v>
      </c>
      <c r="G1177" s="28" t="s">
        <v>7084</v>
      </c>
      <c r="H1177" s="28" t="s">
        <v>7085</v>
      </c>
      <c r="I1177" s="28" t="s">
        <v>7184</v>
      </c>
      <c r="J1177" s="28" t="s">
        <v>7084</v>
      </c>
      <c r="K1177" s="28" t="s">
        <v>7179</v>
      </c>
      <c r="L1177" s="28" t="s">
        <v>7088</v>
      </c>
      <c r="M1177" s="28" t="s">
        <v>7185</v>
      </c>
      <c r="N1177" s="28" t="s">
        <v>7090</v>
      </c>
      <c r="O1177" s="28" t="s">
        <v>7091</v>
      </c>
      <c r="P1177" s="28" t="s">
        <v>7186</v>
      </c>
    </row>
    <row r="1178" spans="1:16" x14ac:dyDescent="0.25">
      <c r="A1178" s="28" t="s">
        <v>7187</v>
      </c>
      <c r="B1178" s="28" t="s">
        <v>7188</v>
      </c>
      <c r="C1178" s="28" t="s">
        <v>7082</v>
      </c>
      <c r="D1178" s="28" t="s">
        <v>62</v>
      </c>
      <c r="E1178" s="28" t="s">
        <v>7153</v>
      </c>
      <c r="F1178" s="28" t="s">
        <v>6308</v>
      </c>
      <c r="G1178" s="28" t="s">
        <v>7084</v>
      </c>
      <c r="H1178" s="28" t="s">
        <v>7085</v>
      </c>
      <c r="I1178" s="28" t="s">
        <v>7189</v>
      </c>
      <c r="J1178" s="28" t="s">
        <v>7084</v>
      </c>
      <c r="K1178" s="28" t="s">
        <v>7190</v>
      </c>
      <c r="L1178" s="28" t="s">
        <v>7088</v>
      </c>
      <c r="M1178" s="28" t="s">
        <v>7191</v>
      </c>
      <c r="N1178" s="28" t="s">
        <v>7090</v>
      </c>
      <c r="O1178" s="28" t="s">
        <v>7091</v>
      </c>
      <c r="P1178" s="28" t="s">
        <v>7192</v>
      </c>
    </row>
    <row r="1179" spans="1:16" x14ac:dyDescent="0.25">
      <c r="A1179" s="28" t="s">
        <v>7193</v>
      </c>
      <c r="B1179" s="28" t="s">
        <v>7194</v>
      </c>
      <c r="C1179" s="28" t="s">
        <v>7082</v>
      </c>
      <c r="D1179" s="28" t="s">
        <v>62</v>
      </c>
      <c r="E1179" s="28" t="s">
        <v>7153</v>
      </c>
      <c r="F1179" s="28" t="s">
        <v>6308</v>
      </c>
      <c r="G1179" s="28" t="s">
        <v>7084</v>
      </c>
      <c r="H1179" s="28" t="s">
        <v>7085</v>
      </c>
      <c r="I1179" s="28" t="s">
        <v>7195</v>
      </c>
      <c r="J1179" s="28" t="s">
        <v>7084</v>
      </c>
      <c r="K1179" s="28" t="s">
        <v>7196</v>
      </c>
      <c r="L1179" s="28" t="s">
        <v>7088</v>
      </c>
      <c r="M1179" s="28" t="s">
        <v>7197</v>
      </c>
      <c r="N1179" s="28" t="s">
        <v>7090</v>
      </c>
      <c r="O1179" s="28" t="s">
        <v>7091</v>
      </c>
      <c r="P1179" s="28" t="s">
        <v>7198</v>
      </c>
    </row>
    <row r="1180" spans="1:16" x14ac:dyDescent="0.25">
      <c r="A1180" s="28" t="s">
        <v>7199</v>
      </c>
      <c r="B1180" s="28" t="s">
        <v>7200</v>
      </c>
      <c r="C1180" s="28" t="s">
        <v>7082</v>
      </c>
      <c r="D1180" s="28" t="s">
        <v>62</v>
      </c>
      <c r="E1180" s="28" t="s">
        <v>1096</v>
      </c>
      <c r="F1180" s="28" t="s">
        <v>6308</v>
      </c>
      <c r="G1180" s="28" t="s">
        <v>7084</v>
      </c>
      <c r="H1180" s="28" t="s">
        <v>7085</v>
      </c>
      <c r="I1180" s="28" t="s">
        <v>7201</v>
      </c>
      <c r="J1180" s="28" t="s">
        <v>7084</v>
      </c>
      <c r="K1180" s="28" t="s">
        <v>7202</v>
      </c>
      <c r="L1180" s="28" t="s">
        <v>7088</v>
      </c>
      <c r="M1180" s="28" t="s">
        <v>7203</v>
      </c>
      <c r="N1180" s="28" t="s">
        <v>7090</v>
      </c>
      <c r="O1180" s="28" t="s">
        <v>7091</v>
      </c>
      <c r="P1180" s="28" t="s">
        <v>7204</v>
      </c>
    </row>
    <row r="1181" spans="1:16" x14ac:dyDescent="0.25">
      <c r="A1181" s="28" t="s">
        <v>7205</v>
      </c>
      <c r="B1181" s="28" t="s">
        <v>7206</v>
      </c>
      <c r="C1181" s="28" t="s">
        <v>7082</v>
      </c>
      <c r="D1181" s="28" t="s">
        <v>6454</v>
      </c>
      <c r="E1181" s="28" t="s">
        <v>2023</v>
      </c>
      <c r="F1181" s="28" t="s">
        <v>6308</v>
      </c>
      <c r="G1181" s="28" t="s">
        <v>7084</v>
      </c>
      <c r="H1181" s="28" t="s">
        <v>7085</v>
      </c>
      <c r="I1181" s="28" t="s">
        <v>7207</v>
      </c>
      <c r="J1181" s="28" t="s">
        <v>7084</v>
      </c>
      <c r="K1181" s="28" t="s">
        <v>7208</v>
      </c>
      <c r="L1181" s="28" t="s">
        <v>7088</v>
      </c>
      <c r="M1181" s="28" t="s">
        <v>7209</v>
      </c>
      <c r="N1181" s="28" t="s">
        <v>7090</v>
      </c>
      <c r="O1181" s="28" t="s">
        <v>7091</v>
      </c>
      <c r="P1181" s="28" t="s">
        <v>7210</v>
      </c>
    </row>
    <row r="1182" spans="1:16" x14ac:dyDescent="0.25">
      <c r="A1182" s="28" t="s">
        <v>7211</v>
      </c>
      <c r="B1182" s="28" t="s">
        <v>7212</v>
      </c>
      <c r="C1182" s="28" t="s">
        <v>7082</v>
      </c>
      <c r="D1182" s="28" t="s">
        <v>45</v>
      </c>
      <c r="E1182" s="28" t="s">
        <v>7213</v>
      </c>
      <c r="F1182" s="28" t="s">
        <v>6308</v>
      </c>
      <c r="G1182" s="28" t="s">
        <v>7084</v>
      </c>
      <c r="H1182" s="28" t="s">
        <v>7085</v>
      </c>
      <c r="I1182" s="28" t="s">
        <v>7214</v>
      </c>
      <c r="J1182" s="28" t="s">
        <v>7084</v>
      </c>
      <c r="K1182" s="28" t="s">
        <v>7215</v>
      </c>
      <c r="L1182" s="28" t="s">
        <v>7088</v>
      </c>
      <c r="M1182" s="28" t="s">
        <v>7216</v>
      </c>
      <c r="N1182" s="28" t="s">
        <v>7090</v>
      </c>
      <c r="O1182" s="28" t="s">
        <v>7091</v>
      </c>
      <c r="P1182" s="28" t="s">
        <v>7217</v>
      </c>
    </row>
    <row r="1183" spans="1:16" x14ac:dyDescent="0.25">
      <c r="A1183" s="28" t="s">
        <v>7218</v>
      </c>
      <c r="B1183" s="28" t="s">
        <v>7219</v>
      </c>
      <c r="C1183" s="28" t="s">
        <v>7082</v>
      </c>
      <c r="D1183" s="28" t="s">
        <v>7220</v>
      </c>
      <c r="E1183" s="28" t="s">
        <v>121</v>
      </c>
      <c r="F1183" s="28" t="s">
        <v>6308</v>
      </c>
      <c r="G1183" s="28" t="s">
        <v>7084</v>
      </c>
      <c r="H1183" s="28" t="s">
        <v>7085</v>
      </c>
      <c r="I1183" s="28" t="s">
        <v>7221</v>
      </c>
      <c r="J1183" s="28" t="s">
        <v>7084</v>
      </c>
      <c r="K1183" s="28" t="s">
        <v>7222</v>
      </c>
      <c r="L1183" s="28" t="s">
        <v>7088</v>
      </c>
      <c r="M1183" s="28" t="s">
        <v>7223</v>
      </c>
      <c r="N1183" s="28" t="s">
        <v>7090</v>
      </c>
      <c r="O1183" s="28" t="s">
        <v>7091</v>
      </c>
      <c r="P1183" s="28" t="s">
        <v>7224</v>
      </c>
    </row>
    <row r="1184" spans="1:16" x14ac:dyDescent="0.25">
      <c r="A1184" s="28" t="s">
        <v>7225</v>
      </c>
      <c r="B1184" s="28" t="s">
        <v>7226</v>
      </c>
      <c r="C1184" s="28" t="s">
        <v>7082</v>
      </c>
      <c r="D1184" s="28" t="s">
        <v>7220</v>
      </c>
      <c r="E1184" s="28" t="s">
        <v>121</v>
      </c>
      <c r="F1184" s="28" t="s">
        <v>6308</v>
      </c>
      <c r="G1184" s="28" t="s">
        <v>7084</v>
      </c>
      <c r="H1184" s="28" t="s">
        <v>7085</v>
      </c>
      <c r="I1184" s="28" t="s">
        <v>7227</v>
      </c>
      <c r="J1184" s="28" t="s">
        <v>7084</v>
      </c>
      <c r="K1184" s="28" t="s">
        <v>7228</v>
      </c>
      <c r="L1184" s="28" t="s">
        <v>7088</v>
      </c>
      <c r="M1184" s="28" t="s">
        <v>7229</v>
      </c>
      <c r="N1184" s="28" t="s">
        <v>7090</v>
      </c>
      <c r="O1184" s="28" t="s">
        <v>7091</v>
      </c>
      <c r="P1184" s="28" t="s">
        <v>7230</v>
      </c>
    </row>
    <row r="1185" spans="1:16" x14ac:dyDescent="0.25">
      <c r="A1185" s="28" t="s">
        <v>7231</v>
      </c>
      <c r="B1185" s="28" t="s">
        <v>7232</v>
      </c>
      <c r="C1185" s="28" t="s">
        <v>7082</v>
      </c>
      <c r="D1185" s="28" t="s">
        <v>7233</v>
      </c>
      <c r="E1185" s="28" t="s">
        <v>7234</v>
      </c>
      <c r="F1185" s="28" t="s">
        <v>6308</v>
      </c>
      <c r="G1185" s="28" t="s">
        <v>7084</v>
      </c>
      <c r="H1185" s="28" t="s">
        <v>7085</v>
      </c>
      <c r="I1185" s="28" t="s">
        <v>7235</v>
      </c>
      <c r="J1185" s="28" t="s">
        <v>7084</v>
      </c>
      <c r="K1185" s="28" t="s">
        <v>7236</v>
      </c>
      <c r="L1185" s="28" t="s">
        <v>7088</v>
      </c>
      <c r="M1185" s="28" t="s">
        <v>7237</v>
      </c>
      <c r="N1185" s="28" t="s">
        <v>7090</v>
      </c>
      <c r="O1185" s="28" t="s">
        <v>7091</v>
      </c>
      <c r="P1185" s="28" t="s">
        <v>7238</v>
      </c>
    </row>
    <row r="1186" spans="1:16" x14ac:dyDescent="0.25">
      <c r="A1186" s="28" t="s">
        <v>7239</v>
      </c>
      <c r="B1186" s="28" t="s">
        <v>7240</v>
      </c>
      <c r="C1186" s="28" t="s">
        <v>7082</v>
      </c>
      <c r="D1186" s="28" t="s">
        <v>7233</v>
      </c>
      <c r="E1186" s="28" t="s">
        <v>7241</v>
      </c>
      <c r="F1186" s="28" t="s">
        <v>6308</v>
      </c>
      <c r="G1186" s="28" t="s">
        <v>7084</v>
      </c>
      <c r="H1186" s="28" t="s">
        <v>7085</v>
      </c>
      <c r="I1186" s="28" t="s">
        <v>7242</v>
      </c>
      <c r="J1186" s="28" t="s">
        <v>7084</v>
      </c>
      <c r="K1186" s="28" t="s">
        <v>7243</v>
      </c>
      <c r="L1186" s="28" t="s">
        <v>7088</v>
      </c>
      <c r="M1186" s="28" t="s">
        <v>7244</v>
      </c>
      <c r="N1186" s="28" t="s">
        <v>7090</v>
      </c>
      <c r="O1186" s="28" t="s">
        <v>7091</v>
      </c>
      <c r="P1186" s="28" t="s">
        <v>7245</v>
      </c>
    </row>
    <row r="1187" spans="1:16" x14ac:dyDescent="0.25">
      <c r="A1187" s="28" t="s">
        <v>7246</v>
      </c>
      <c r="B1187" s="28" t="s">
        <v>7247</v>
      </c>
      <c r="C1187" s="28" t="s">
        <v>7082</v>
      </c>
      <c r="D1187" s="28" t="s">
        <v>120</v>
      </c>
      <c r="E1187" s="28" t="s">
        <v>7248</v>
      </c>
      <c r="F1187" s="28" t="s">
        <v>6308</v>
      </c>
      <c r="G1187" s="28" t="s">
        <v>135</v>
      </c>
      <c r="H1187" s="28" t="s">
        <v>7085</v>
      </c>
      <c r="I1187" s="28" t="s">
        <v>7249</v>
      </c>
      <c r="J1187" s="28" t="s">
        <v>135</v>
      </c>
      <c r="K1187" s="28" t="s">
        <v>7250</v>
      </c>
      <c r="L1187" s="28" t="s">
        <v>7088</v>
      </c>
      <c r="M1187" s="28" t="s">
        <v>7251</v>
      </c>
      <c r="N1187" s="28" t="s">
        <v>7090</v>
      </c>
      <c r="O1187" s="28" t="s">
        <v>7091</v>
      </c>
      <c r="P1187" s="28" t="s">
        <v>7252</v>
      </c>
    </row>
    <row r="1188" spans="1:16" x14ac:dyDescent="0.25">
      <c r="A1188" s="28" t="s">
        <v>7253</v>
      </c>
      <c r="B1188" s="28" t="s">
        <v>7254</v>
      </c>
      <c r="C1188" s="28" t="s">
        <v>7082</v>
      </c>
      <c r="D1188" s="28" t="s">
        <v>120</v>
      </c>
      <c r="E1188" s="28" t="s">
        <v>7248</v>
      </c>
      <c r="F1188" s="28" t="s">
        <v>6308</v>
      </c>
      <c r="G1188" s="28" t="s">
        <v>7084</v>
      </c>
      <c r="H1188" s="28" t="s">
        <v>7085</v>
      </c>
      <c r="I1188" s="28" t="s">
        <v>7255</v>
      </c>
      <c r="J1188" s="28" t="s">
        <v>7084</v>
      </c>
      <c r="K1188" s="28" t="s">
        <v>7256</v>
      </c>
      <c r="L1188" s="28" t="s">
        <v>7088</v>
      </c>
      <c r="M1188" s="28" t="s">
        <v>7257</v>
      </c>
      <c r="N1188" s="28" t="s">
        <v>7090</v>
      </c>
      <c r="O1188" s="28" t="s">
        <v>7091</v>
      </c>
      <c r="P1188" s="28" t="s">
        <v>7258</v>
      </c>
    </row>
    <row r="1189" spans="1:16" x14ac:dyDescent="0.25">
      <c r="A1189" s="28" t="s">
        <v>7259</v>
      </c>
      <c r="B1189" s="28" t="s">
        <v>7260</v>
      </c>
      <c r="C1189" s="28" t="s">
        <v>7082</v>
      </c>
      <c r="D1189" s="28" t="s">
        <v>120</v>
      </c>
      <c r="E1189" s="28" t="s">
        <v>7248</v>
      </c>
      <c r="F1189" s="28" t="s">
        <v>6308</v>
      </c>
      <c r="G1189" s="28" t="s">
        <v>7084</v>
      </c>
      <c r="H1189" s="28" t="s">
        <v>7085</v>
      </c>
      <c r="I1189" s="28" t="s">
        <v>7261</v>
      </c>
      <c r="J1189" s="28" t="s">
        <v>7084</v>
      </c>
      <c r="K1189" s="28" t="s">
        <v>7256</v>
      </c>
      <c r="L1189" s="28" t="s">
        <v>7088</v>
      </c>
      <c r="M1189" s="28" t="s">
        <v>7262</v>
      </c>
      <c r="N1189" s="28" t="s">
        <v>7090</v>
      </c>
      <c r="O1189" s="28" t="s">
        <v>7091</v>
      </c>
      <c r="P1189" s="28" t="s">
        <v>7263</v>
      </c>
    </row>
    <row r="1190" spans="1:16" x14ac:dyDescent="0.25">
      <c r="A1190" s="28" t="s">
        <v>7264</v>
      </c>
      <c r="B1190" s="28" t="s">
        <v>7265</v>
      </c>
      <c r="C1190" s="28" t="s">
        <v>7082</v>
      </c>
      <c r="D1190" s="28" t="s">
        <v>120</v>
      </c>
      <c r="E1190" s="28" t="s">
        <v>7248</v>
      </c>
      <c r="F1190" s="28" t="s">
        <v>6308</v>
      </c>
      <c r="G1190" s="28" t="s">
        <v>135</v>
      </c>
      <c r="H1190" s="28" t="s">
        <v>7085</v>
      </c>
      <c r="I1190" s="28" t="s">
        <v>7266</v>
      </c>
      <c r="J1190" s="28" t="s">
        <v>135</v>
      </c>
      <c r="K1190" s="28" t="s">
        <v>7267</v>
      </c>
      <c r="L1190" s="28" t="s">
        <v>7088</v>
      </c>
      <c r="M1190" s="28" t="s">
        <v>7268</v>
      </c>
      <c r="N1190" s="28" t="s">
        <v>7090</v>
      </c>
      <c r="O1190" s="28" t="s">
        <v>7091</v>
      </c>
      <c r="P1190" s="28" t="s">
        <v>7269</v>
      </c>
    </row>
    <row r="1191" spans="1:16" x14ac:dyDescent="0.25">
      <c r="A1191" s="28" t="s">
        <v>7270</v>
      </c>
      <c r="B1191" s="28" t="s">
        <v>7271</v>
      </c>
      <c r="C1191" s="28" t="s">
        <v>7082</v>
      </c>
      <c r="D1191" s="28" t="s">
        <v>120</v>
      </c>
      <c r="E1191" s="28" t="s">
        <v>121</v>
      </c>
      <c r="F1191" s="28" t="s">
        <v>6308</v>
      </c>
      <c r="G1191" s="28" t="s">
        <v>7084</v>
      </c>
      <c r="H1191" s="28" t="s">
        <v>7085</v>
      </c>
      <c r="I1191" s="28" t="s">
        <v>7272</v>
      </c>
      <c r="J1191" s="28" t="s">
        <v>7084</v>
      </c>
      <c r="K1191" s="28" t="s">
        <v>7222</v>
      </c>
      <c r="L1191" s="28" t="s">
        <v>7088</v>
      </c>
      <c r="M1191" s="28" t="s">
        <v>7273</v>
      </c>
      <c r="N1191" s="28" t="s">
        <v>7090</v>
      </c>
      <c r="O1191" s="28" t="s">
        <v>7091</v>
      </c>
      <c r="P1191" s="28" t="s">
        <v>7274</v>
      </c>
    </row>
    <row r="1192" spans="1:16" x14ac:dyDescent="0.25">
      <c r="A1192" s="28" t="s">
        <v>7275</v>
      </c>
      <c r="B1192" s="28" t="s">
        <v>7276</v>
      </c>
      <c r="C1192" s="28" t="s">
        <v>7082</v>
      </c>
      <c r="D1192" s="28" t="s">
        <v>120</v>
      </c>
      <c r="E1192" s="28" t="s">
        <v>121</v>
      </c>
      <c r="F1192" s="28" t="s">
        <v>6308</v>
      </c>
      <c r="G1192" s="28" t="s">
        <v>7084</v>
      </c>
      <c r="H1192" s="28" t="s">
        <v>7085</v>
      </c>
      <c r="I1192" s="28" t="s">
        <v>7277</v>
      </c>
      <c r="J1192" s="28" t="s">
        <v>7084</v>
      </c>
      <c r="K1192" s="28" t="s">
        <v>7228</v>
      </c>
      <c r="L1192" s="28" t="s">
        <v>7088</v>
      </c>
      <c r="M1192" s="28" t="s">
        <v>7278</v>
      </c>
      <c r="N1192" s="28" t="s">
        <v>7090</v>
      </c>
      <c r="O1192" s="28" t="s">
        <v>7091</v>
      </c>
      <c r="P1192" s="28" t="s">
        <v>7279</v>
      </c>
    </row>
    <row r="1193" spans="1:16" x14ac:dyDescent="0.25">
      <c r="A1193" s="28" t="s">
        <v>7280</v>
      </c>
      <c r="B1193" s="28" t="s">
        <v>7281</v>
      </c>
      <c r="C1193" s="28" t="s">
        <v>7082</v>
      </c>
      <c r="D1193" s="28" t="s">
        <v>120</v>
      </c>
      <c r="E1193" s="28" t="s">
        <v>7282</v>
      </c>
      <c r="F1193" s="28" t="s">
        <v>6308</v>
      </c>
      <c r="G1193" s="28" t="s">
        <v>7084</v>
      </c>
      <c r="H1193" s="28" t="s">
        <v>7085</v>
      </c>
      <c r="I1193" s="28" t="s">
        <v>7283</v>
      </c>
      <c r="J1193" s="28" t="s">
        <v>7084</v>
      </c>
      <c r="K1193" s="28" t="s">
        <v>7284</v>
      </c>
      <c r="L1193" s="28" t="s">
        <v>7088</v>
      </c>
      <c r="M1193" s="28" t="s">
        <v>7285</v>
      </c>
      <c r="N1193" s="28" t="s">
        <v>7090</v>
      </c>
      <c r="O1193" s="28" t="s">
        <v>7091</v>
      </c>
      <c r="P1193" s="28" t="s">
        <v>7286</v>
      </c>
    </row>
    <row r="1194" spans="1:16" x14ac:dyDescent="0.25">
      <c r="A1194" s="28" t="s">
        <v>7287</v>
      </c>
      <c r="B1194" s="28" t="s">
        <v>7288</v>
      </c>
      <c r="C1194" s="28" t="s">
        <v>7082</v>
      </c>
      <c r="D1194" s="28" t="s">
        <v>120</v>
      </c>
      <c r="E1194" s="28" t="s">
        <v>7282</v>
      </c>
      <c r="F1194" s="28" t="s">
        <v>6308</v>
      </c>
      <c r="G1194" s="28" t="s">
        <v>7084</v>
      </c>
      <c r="H1194" s="28" t="s">
        <v>7085</v>
      </c>
      <c r="I1194" s="28" t="s">
        <v>7289</v>
      </c>
      <c r="J1194" s="28" t="s">
        <v>7084</v>
      </c>
      <c r="K1194" s="28" t="s">
        <v>7284</v>
      </c>
      <c r="L1194" s="28" t="s">
        <v>7088</v>
      </c>
      <c r="M1194" s="28" t="s">
        <v>7290</v>
      </c>
      <c r="N1194" s="28" t="s">
        <v>7090</v>
      </c>
      <c r="O1194" s="28" t="s">
        <v>7091</v>
      </c>
      <c r="P1194" s="28" t="s">
        <v>7291</v>
      </c>
    </row>
    <row r="1195" spans="1:16" x14ac:dyDescent="0.25">
      <c r="A1195" s="28" t="s">
        <v>7292</v>
      </c>
      <c r="B1195" s="28" t="s">
        <v>7293</v>
      </c>
      <c r="C1195" s="28" t="s">
        <v>7082</v>
      </c>
      <c r="D1195" s="28" t="s">
        <v>120</v>
      </c>
      <c r="E1195" s="28" t="s">
        <v>7282</v>
      </c>
      <c r="F1195" s="28" t="s">
        <v>6308</v>
      </c>
      <c r="G1195" s="28" t="s">
        <v>7084</v>
      </c>
      <c r="H1195" s="28" t="s">
        <v>7085</v>
      </c>
      <c r="I1195" s="28" t="s">
        <v>7294</v>
      </c>
      <c r="J1195" s="28" t="s">
        <v>7084</v>
      </c>
      <c r="K1195" s="28" t="s">
        <v>7295</v>
      </c>
      <c r="L1195" s="28" t="s">
        <v>7088</v>
      </c>
      <c r="M1195" s="28" t="s">
        <v>7296</v>
      </c>
      <c r="N1195" s="28" t="s">
        <v>7090</v>
      </c>
      <c r="O1195" s="28" t="s">
        <v>7091</v>
      </c>
      <c r="P1195" s="28" t="s">
        <v>7297</v>
      </c>
    </row>
    <row r="1196" spans="1:16" x14ac:dyDescent="0.25">
      <c r="A1196" s="28" t="s">
        <v>7298</v>
      </c>
      <c r="B1196" s="28" t="s">
        <v>7299</v>
      </c>
      <c r="C1196" s="28" t="s">
        <v>7082</v>
      </c>
      <c r="D1196" s="28" t="s">
        <v>120</v>
      </c>
      <c r="E1196" s="28" t="s">
        <v>7282</v>
      </c>
      <c r="F1196" s="28" t="s">
        <v>6308</v>
      </c>
      <c r="G1196" s="28" t="s">
        <v>7084</v>
      </c>
      <c r="H1196" s="28" t="s">
        <v>7085</v>
      </c>
      <c r="I1196" s="28" t="s">
        <v>7300</v>
      </c>
      <c r="J1196" s="28" t="s">
        <v>7084</v>
      </c>
      <c r="K1196" s="28" t="s">
        <v>7295</v>
      </c>
      <c r="L1196" s="28" t="s">
        <v>7088</v>
      </c>
      <c r="M1196" s="28" t="s">
        <v>7301</v>
      </c>
      <c r="N1196" s="28" t="s">
        <v>7090</v>
      </c>
      <c r="O1196" s="28" t="s">
        <v>7091</v>
      </c>
      <c r="P1196" s="28" t="s">
        <v>7302</v>
      </c>
    </row>
    <row r="1197" spans="1:16" x14ac:dyDescent="0.25">
      <c r="A1197" s="28" t="s">
        <v>7303</v>
      </c>
      <c r="B1197" s="28" t="s">
        <v>7304</v>
      </c>
      <c r="C1197" s="28" t="s">
        <v>7082</v>
      </c>
      <c r="D1197" s="28" t="s">
        <v>5979</v>
      </c>
      <c r="E1197" s="28" t="s">
        <v>7305</v>
      </c>
      <c r="F1197" s="28" t="s">
        <v>6308</v>
      </c>
      <c r="G1197" s="28" t="s">
        <v>7084</v>
      </c>
      <c r="H1197" s="28" t="s">
        <v>7085</v>
      </c>
      <c r="I1197" s="28" t="s">
        <v>7306</v>
      </c>
      <c r="J1197" s="28" t="s">
        <v>7084</v>
      </c>
      <c r="K1197" s="28" t="s">
        <v>7307</v>
      </c>
      <c r="L1197" s="28" t="s">
        <v>7088</v>
      </c>
      <c r="M1197" s="28" t="s">
        <v>7308</v>
      </c>
      <c r="N1197" s="28" t="s">
        <v>7090</v>
      </c>
      <c r="O1197" s="28" t="s">
        <v>7091</v>
      </c>
      <c r="P1197" s="28" t="s">
        <v>7309</v>
      </c>
    </row>
    <row r="1198" spans="1:16" x14ac:dyDescent="0.25">
      <c r="A1198" s="28" t="s">
        <v>7310</v>
      </c>
      <c r="B1198" s="28" t="s">
        <v>7311</v>
      </c>
      <c r="C1198" s="28" t="s">
        <v>7082</v>
      </c>
      <c r="D1198" s="28" t="s">
        <v>5979</v>
      </c>
      <c r="E1198" s="28" t="s">
        <v>7312</v>
      </c>
      <c r="F1198" s="28" t="s">
        <v>6308</v>
      </c>
      <c r="G1198" s="28" t="s">
        <v>7084</v>
      </c>
      <c r="H1198" s="28" t="s">
        <v>7085</v>
      </c>
      <c r="I1198" s="28" t="s">
        <v>7313</v>
      </c>
      <c r="J1198" s="28" t="s">
        <v>7084</v>
      </c>
      <c r="K1198" s="28" t="s">
        <v>7314</v>
      </c>
      <c r="L1198" s="28" t="s">
        <v>7088</v>
      </c>
      <c r="M1198" s="28" t="s">
        <v>7315</v>
      </c>
      <c r="N1198" s="28" t="s">
        <v>7090</v>
      </c>
      <c r="O1198" s="28" t="s">
        <v>7091</v>
      </c>
      <c r="P1198" s="28" t="s">
        <v>7316</v>
      </c>
    </row>
    <row r="1199" spans="1:16" x14ac:dyDescent="0.25">
      <c r="A1199" s="28" t="s">
        <v>7317</v>
      </c>
      <c r="B1199" s="28" t="s">
        <v>7318</v>
      </c>
      <c r="C1199" s="28" t="s">
        <v>7082</v>
      </c>
      <c r="D1199" s="28" t="s">
        <v>5979</v>
      </c>
      <c r="E1199" s="28" t="s">
        <v>7312</v>
      </c>
      <c r="F1199" s="28" t="s">
        <v>6308</v>
      </c>
      <c r="G1199" s="28" t="s">
        <v>135</v>
      </c>
      <c r="H1199" s="28" t="s">
        <v>7085</v>
      </c>
      <c r="I1199" s="28" t="s">
        <v>7319</v>
      </c>
      <c r="J1199" s="28" t="s">
        <v>135</v>
      </c>
      <c r="K1199" s="28" t="s">
        <v>7320</v>
      </c>
      <c r="L1199" s="28" t="s">
        <v>7088</v>
      </c>
      <c r="M1199" s="28" t="s">
        <v>7321</v>
      </c>
      <c r="N1199" s="28" t="s">
        <v>7090</v>
      </c>
      <c r="O1199" s="28" t="s">
        <v>7091</v>
      </c>
      <c r="P1199" s="28" t="s">
        <v>7322</v>
      </c>
    </row>
    <row r="1200" spans="1:16" x14ac:dyDescent="0.25">
      <c r="A1200" s="28" t="s">
        <v>7323</v>
      </c>
      <c r="B1200" s="28" t="s">
        <v>7324</v>
      </c>
      <c r="C1200" s="28" t="s">
        <v>7082</v>
      </c>
      <c r="D1200" s="28" t="s">
        <v>4101</v>
      </c>
      <c r="E1200" s="28" t="s">
        <v>7325</v>
      </c>
      <c r="F1200" s="28" t="s">
        <v>6308</v>
      </c>
      <c r="G1200" s="28" t="s">
        <v>7084</v>
      </c>
      <c r="H1200" s="28" t="s">
        <v>7085</v>
      </c>
      <c r="I1200" s="28" t="s">
        <v>7326</v>
      </c>
      <c r="J1200" s="28" t="s">
        <v>7084</v>
      </c>
      <c r="K1200" s="28" t="s">
        <v>7327</v>
      </c>
      <c r="L1200" s="28" t="s">
        <v>7088</v>
      </c>
      <c r="M1200" s="28" t="s">
        <v>7328</v>
      </c>
      <c r="N1200" s="28" t="s">
        <v>7090</v>
      </c>
      <c r="O1200" s="28" t="s">
        <v>7091</v>
      </c>
      <c r="P1200" s="28" t="s">
        <v>7329</v>
      </c>
    </row>
    <row r="1201" spans="1:16" x14ac:dyDescent="0.25">
      <c r="A1201" s="28" t="s">
        <v>7330</v>
      </c>
      <c r="B1201" s="28" t="s">
        <v>7331</v>
      </c>
      <c r="C1201" s="28" t="s">
        <v>7082</v>
      </c>
      <c r="D1201" s="28" t="s">
        <v>4101</v>
      </c>
      <c r="E1201" s="28" t="s">
        <v>7332</v>
      </c>
      <c r="F1201" s="28" t="s">
        <v>6308</v>
      </c>
      <c r="G1201" s="28" t="s">
        <v>7084</v>
      </c>
      <c r="H1201" s="28" t="s">
        <v>7085</v>
      </c>
      <c r="I1201" s="28" t="s">
        <v>7333</v>
      </c>
      <c r="J1201" s="28" t="s">
        <v>7084</v>
      </c>
      <c r="K1201" s="28" t="s">
        <v>7327</v>
      </c>
      <c r="L1201" s="28" t="s">
        <v>7088</v>
      </c>
      <c r="M1201" s="28" t="s">
        <v>7334</v>
      </c>
      <c r="N1201" s="28" t="s">
        <v>7090</v>
      </c>
      <c r="O1201" s="28" t="s">
        <v>7091</v>
      </c>
      <c r="P1201" s="28" t="s">
        <v>7335</v>
      </c>
    </row>
    <row r="1202" spans="1:16" x14ac:dyDescent="0.25">
      <c r="A1202" s="28" t="s">
        <v>7336</v>
      </c>
      <c r="B1202" s="28" t="s">
        <v>7337</v>
      </c>
      <c r="C1202" s="28" t="s">
        <v>7082</v>
      </c>
      <c r="D1202" s="28" t="s">
        <v>4101</v>
      </c>
      <c r="E1202" s="28" t="s">
        <v>7338</v>
      </c>
      <c r="F1202" s="28" t="s">
        <v>6308</v>
      </c>
      <c r="G1202" s="28" t="s">
        <v>7084</v>
      </c>
      <c r="H1202" s="28" t="s">
        <v>7085</v>
      </c>
      <c r="I1202" s="28" t="s">
        <v>7339</v>
      </c>
      <c r="J1202" s="28" t="s">
        <v>7084</v>
      </c>
      <c r="K1202" s="28" t="s">
        <v>7340</v>
      </c>
      <c r="L1202" s="28" t="s">
        <v>7088</v>
      </c>
      <c r="M1202" s="28" t="s">
        <v>7341</v>
      </c>
      <c r="N1202" s="28" t="s">
        <v>7090</v>
      </c>
      <c r="O1202" s="28" t="s">
        <v>7091</v>
      </c>
      <c r="P1202" s="28" t="s">
        <v>7342</v>
      </c>
    </row>
    <row r="1203" spans="1:16" x14ac:dyDescent="0.25">
      <c r="A1203" s="28" t="s">
        <v>7343</v>
      </c>
      <c r="B1203" s="28" t="s">
        <v>7344</v>
      </c>
      <c r="C1203" s="28" t="s">
        <v>7082</v>
      </c>
      <c r="D1203" s="28" t="s">
        <v>4101</v>
      </c>
      <c r="E1203" s="28" t="s">
        <v>7338</v>
      </c>
      <c r="F1203" s="28" t="s">
        <v>6308</v>
      </c>
      <c r="G1203" s="28" t="s">
        <v>7084</v>
      </c>
      <c r="H1203" s="28" t="s">
        <v>7085</v>
      </c>
      <c r="I1203" s="28" t="s">
        <v>7345</v>
      </c>
      <c r="J1203" s="28" t="s">
        <v>7084</v>
      </c>
      <c r="K1203" s="28" t="s">
        <v>7340</v>
      </c>
      <c r="L1203" s="28" t="s">
        <v>7088</v>
      </c>
      <c r="M1203" s="28" t="s">
        <v>7346</v>
      </c>
      <c r="N1203" s="28" t="s">
        <v>7090</v>
      </c>
      <c r="O1203" s="28" t="s">
        <v>7091</v>
      </c>
      <c r="P1203" s="28" t="s">
        <v>7347</v>
      </c>
    </row>
    <row r="1204" spans="1:16" x14ac:dyDescent="0.25">
      <c r="A1204" s="28" t="s">
        <v>7348</v>
      </c>
      <c r="B1204" s="28" t="s">
        <v>7349</v>
      </c>
      <c r="C1204" s="28" t="s">
        <v>7082</v>
      </c>
      <c r="D1204" s="28" t="s">
        <v>4101</v>
      </c>
      <c r="E1204" s="28" t="s">
        <v>7350</v>
      </c>
      <c r="F1204" s="28" t="s">
        <v>6308</v>
      </c>
      <c r="G1204" s="28" t="s">
        <v>7084</v>
      </c>
      <c r="H1204" s="28" t="s">
        <v>7085</v>
      </c>
      <c r="I1204" s="28" t="s">
        <v>7351</v>
      </c>
      <c r="J1204" s="28" t="s">
        <v>7084</v>
      </c>
      <c r="K1204" s="28" t="s">
        <v>7352</v>
      </c>
      <c r="L1204" s="28" t="s">
        <v>7088</v>
      </c>
      <c r="M1204" s="28" t="s">
        <v>7353</v>
      </c>
      <c r="N1204" s="28" t="s">
        <v>7090</v>
      </c>
      <c r="O1204" s="28" t="s">
        <v>7091</v>
      </c>
      <c r="P1204" s="28" t="s">
        <v>7354</v>
      </c>
    </row>
    <row r="1205" spans="1:16" x14ac:dyDescent="0.25">
      <c r="A1205" s="28" t="s">
        <v>7355</v>
      </c>
      <c r="B1205" s="28" t="s">
        <v>7356</v>
      </c>
      <c r="C1205" s="28" t="s">
        <v>7082</v>
      </c>
      <c r="D1205" s="28" t="s">
        <v>4101</v>
      </c>
      <c r="E1205" s="28" t="s">
        <v>7357</v>
      </c>
      <c r="F1205" s="28" t="s">
        <v>6308</v>
      </c>
      <c r="G1205" s="28" t="s">
        <v>7084</v>
      </c>
      <c r="H1205" s="28" t="s">
        <v>7085</v>
      </c>
      <c r="I1205" s="28" t="s">
        <v>7358</v>
      </c>
      <c r="J1205" s="28" t="s">
        <v>7084</v>
      </c>
      <c r="K1205" s="28" t="s">
        <v>7359</v>
      </c>
      <c r="L1205" s="28" t="s">
        <v>7088</v>
      </c>
      <c r="M1205" s="28" t="s">
        <v>7360</v>
      </c>
      <c r="N1205" s="28" t="s">
        <v>7090</v>
      </c>
      <c r="O1205" s="28" t="s">
        <v>7091</v>
      </c>
      <c r="P1205" s="28" t="s">
        <v>7361</v>
      </c>
    </row>
    <row r="1206" spans="1:16" x14ac:dyDescent="0.25">
      <c r="A1206" s="28" t="s">
        <v>7362</v>
      </c>
      <c r="B1206" s="28" t="s">
        <v>7363</v>
      </c>
      <c r="C1206" s="28" t="s">
        <v>7082</v>
      </c>
      <c r="D1206" s="28" t="s">
        <v>4101</v>
      </c>
      <c r="E1206" s="28" t="s">
        <v>7357</v>
      </c>
      <c r="F1206" s="28" t="s">
        <v>6308</v>
      </c>
      <c r="G1206" s="28" t="s">
        <v>7084</v>
      </c>
      <c r="H1206" s="28" t="s">
        <v>7085</v>
      </c>
      <c r="I1206" s="28" t="s">
        <v>7364</v>
      </c>
      <c r="J1206" s="28" t="s">
        <v>7084</v>
      </c>
      <c r="K1206" s="28" t="s">
        <v>7365</v>
      </c>
      <c r="L1206" s="28" t="s">
        <v>7088</v>
      </c>
      <c r="M1206" s="28" t="s">
        <v>7366</v>
      </c>
      <c r="N1206" s="28" t="s">
        <v>7090</v>
      </c>
      <c r="O1206" s="28" t="s">
        <v>7091</v>
      </c>
      <c r="P1206" s="28" t="s">
        <v>7367</v>
      </c>
    </row>
    <row r="1207" spans="1:16" x14ac:dyDescent="0.25">
      <c r="A1207" s="28" t="s">
        <v>7368</v>
      </c>
      <c r="B1207" s="28" t="s">
        <v>7369</v>
      </c>
      <c r="C1207" s="28" t="s">
        <v>7082</v>
      </c>
      <c r="D1207" s="28" t="s">
        <v>4101</v>
      </c>
      <c r="E1207" s="28" t="s">
        <v>7357</v>
      </c>
      <c r="F1207" s="28" t="s">
        <v>6308</v>
      </c>
      <c r="G1207" s="28" t="s">
        <v>7084</v>
      </c>
      <c r="H1207" s="28" t="s">
        <v>7085</v>
      </c>
      <c r="I1207" s="28" t="s">
        <v>7370</v>
      </c>
      <c r="J1207" s="28" t="s">
        <v>7084</v>
      </c>
      <c r="K1207" s="28" t="s">
        <v>7371</v>
      </c>
      <c r="L1207" s="28" t="s">
        <v>7088</v>
      </c>
      <c r="M1207" s="28" t="s">
        <v>7372</v>
      </c>
      <c r="N1207" s="28" t="s">
        <v>7090</v>
      </c>
      <c r="O1207" s="28" t="s">
        <v>7091</v>
      </c>
      <c r="P1207" s="28" t="s">
        <v>7373</v>
      </c>
    </row>
    <row r="1208" spans="1:16" x14ac:dyDescent="0.25">
      <c r="A1208" s="28" t="s">
        <v>7374</v>
      </c>
      <c r="B1208" s="28" t="s">
        <v>7375</v>
      </c>
      <c r="C1208" s="28" t="s">
        <v>7082</v>
      </c>
      <c r="D1208" s="28" t="s">
        <v>4101</v>
      </c>
      <c r="E1208" s="28" t="s">
        <v>7376</v>
      </c>
      <c r="F1208" s="28" t="s">
        <v>6308</v>
      </c>
      <c r="G1208" s="28" t="s">
        <v>7084</v>
      </c>
      <c r="H1208" s="28" t="s">
        <v>7085</v>
      </c>
      <c r="I1208" s="28" t="s">
        <v>7377</v>
      </c>
      <c r="J1208" s="28" t="s">
        <v>7084</v>
      </c>
      <c r="K1208" s="28" t="s">
        <v>7378</v>
      </c>
      <c r="L1208" s="28" t="s">
        <v>7088</v>
      </c>
      <c r="M1208" s="28" t="s">
        <v>7379</v>
      </c>
      <c r="N1208" s="28" t="s">
        <v>7090</v>
      </c>
      <c r="O1208" s="28" t="s">
        <v>7091</v>
      </c>
      <c r="P1208" s="28" t="s">
        <v>7380</v>
      </c>
    </row>
    <row r="1209" spans="1:16" x14ac:dyDescent="0.25">
      <c r="A1209" s="28" t="s">
        <v>7381</v>
      </c>
      <c r="B1209" s="28" t="s">
        <v>7382</v>
      </c>
      <c r="C1209" s="28" t="s">
        <v>7082</v>
      </c>
      <c r="D1209" s="28" t="s">
        <v>4101</v>
      </c>
      <c r="E1209" s="28" t="s">
        <v>7383</v>
      </c>
      <c r="F1209" s="28" t="s">
        <v>6308</v>
      </c>
      <c r="G1209" s="28" t="s">
        <v>7084</v>
      </c>
      <c r="H1209" s="28" t="s">
        <v>7085</v>
      </c>
      <c r="I1209" s="28" t="s">
        <v>7384</v>
      </c>
      <c r="J1209" s="28" t="s">
        <v>7084</v>
      </c>
      <c r="K1209" s="28" t="s">
        <v>7385</v>
      </c>
      <c r="L1209" s="28" t="s">
        <v>7088</v>
      </c>
      <c r="M1209" s="28" t="s">
        <v>7386</v>
      </c>
      <c r="N1209" s="28" t="s">
        <v>7090</v>
      </c>
      <c r="O1209" s="28" t="s">
        <v>7091</v>
      </c>
      <c r="P1209" s="28" t="s">
        <v>7387</v>
      </c>
    </row>
    <row r="1210" spans="1:16" x14ac:dyDescent="0.25">
      <c r="A1210" s="28" t="s">
        <v>7388</v>
      </c>
      <c r="B1210" s="28" t="s">
        <v>7389</v>
      </c>
      <c r="C1210" s="28" t="s">
        <v>7082</v>
      </c>
      <c r="D1210" s="28" t="s">
        <v>4101</v>
      </c>
      <c r="E1210" s="28" t="s">
        <v>7350</v>
      </c>
      <c r="F1210" s="28" t="s">
        <v>6308</v>
      </c>
      <c r="G1210" s="28" t="s">
        <v>7084</v>
      </c>
      <c r="H1210" s="28" t="s">
        <v>7085</v>
      </c>
      <c r="I1210" s="28" t="s">
        <v>7390</v>
      </c>
      <c r="J1210" s="28" t="s">
        <v>7084</v>
      </c>
      <c r="K1210" s="28" t="s">
        <v>7391</v>
      </c>
      <c r="L1210" s="28" t="s">
        <v>7088</v>
      </c>
      <c r="M1210" s="28" t="s">
        <v>7392</v>
      </c>
      <c r="N1210" s="28" t="s">
        <v>7090</v>
      </c>
      <c r="O1210" s="28" t="s">
        <v>7091</v>
      </c>
      <c r="P1210" s="28" t="s">
        <v>7393</v>
      </c>
    </row>
    <row r="1211" spans="1:16" x14ac:dyDescent="0.25">
      <c r="A1211" s="28" t="s">
        <v>7394</v>
      </c>
      <c r="B1211" s="28" t="s">
        <v>7395</v>
      </c>
      <c r="C1211" s="28" t="s">
        <v>7082</v>
      </c>
      <c r="D1211" s="28" t="s">
        <v>4101</v>
      </c>
      <c r="E1211" s="28" t="s">
        <v>7396</v>
      </c>
      <c r="F1211" s="28" t="s">
        <v>6308</v>
      </c>
      <c r="G1211" s="28" t="s">
        <v>7084</v>
      </c>
      <c r="H1211" s="28" t="s">
        <v>7085</v>
      </c>
      <c r="I1211" s="28" t="s">
        <v>7397</v>
      </c>
      <c r="J1211" s="28" t="s">
        <v>7084</v>
      </c>
      <c r="K1211" s="28" t="s">
        <v>7398</v>
      </c>
      <c r="L1211" s="28" t="s">
        <v>7088</v>
      </c>
      <c r="M1211" s="28" t="s">
        <v>7399</v>
      </c>
      <c r="N1211" s="28" t="s">
        <v>7090</v>
      </c>
      <c r="O1211" s="28" t="s">
        <v>7091</v>
      </c>
      <c r="P1211" s="28" t="s">
        <v>7400</v>
      </c>
    </row>
    <row r="1212" spans="1:16" x14ac:dyDescent="0.25">
      <c r="A1212" s="28" t="s">
        <v>7401</v>
      </c>
      <c r="B1212" s="28" t="s">
        <v>7402</v>
      </c>
      <c r="C1212" s="28" t="s">
        <v>7082</v>
      </c>
      <c r="D1212" s="28" t="s">
        <v>4101</v>
      </c>
      <c r="E1212" s="28" t="s">
        <v>7403</v>
      </c>
      <c r="F1212" s="28" t="s">
        <v>6308</v>
      </c>
      <c r="G1212" s="28" t="s">
        <v>7084</v>
      </c>
      <c r="H1212" s="28" t="s">
        <v>7085</v>
      </c>
      <c r="I1212" s="28" t="s">
        <v>7404</v>
      </c>
      <c r="J1212" s="28" t="s">
        <v>7084</v>
      </c>
      <c r="K1212" s="28" t="s">
        <v>7405</v>
      </c>
      <c r="L1212" s="28" t="s">
        <v>7088</v>
      </c>
      <c r="M1212" s="28" t="s">
        <v>7406</v>
      </c>
      <c r="N1212" s="28" t="s">
        <v>7090</v>
      </c>
      <c r="O1212" s="28" t="s">
        <v>7091</v>
      </c>
      <c r="P1212" s="28" t="s">
        <v>7407</v>
      </c>
    </row>
    <row r="1213" spans="1:16" x14ac:dyDescent="0.25">
      <c r="A1213" s="28" t="s">
        <v>7408</v>
      </c>
      <c r="B1213" s="28" t="s">
        <v>7409</v>
      </c>
      <c r="C1213" s="28" t="s">
        <v>7082</v>
      </c>
      <c r="D1213" s="28" t="s">
        <v>4101</v>
      </c>
      <c r="E1213" s="28" t="s">
        <v>7410</v>
      </c>
      <c r="F1213" s="28" t="s">
        <v>6308</v>
      </c>
      <c r="G1213" s="28" t="s">
        <v>7084</v>
      </c>
      <c r="H1213" s="28" t="s">
        <v>7085</v>
      </c>
      <c r="I1213" s="28" t="s">
        <v>7411</v>
      </c>
      <c r="J1213" s="28" t="s">
        <v>7084</v>
      </c>
      <c r="K1213" s="28" t="s">
        <v>7412</v>
      </c>
      <c r="L1213" s="28" t="s">
        <v>7088</v>
      </c>
      <c r="M1213" s="28" t="s">
        <v>7413</v>
      </c>
      <c r="N1213" s="28" t="s">
        <v>7090</v>
      </c>
      <c r="O1213" s="28" t="s">
        <v>7091</v>
      </c>
      <c r="P1213" s="28" t="s">
        <v>7414</v>
      </c>
    </row>
    <row r="1214" spans="1:16" x14ac:dyDescent="0.25">
      <c r="A1214" s="28" t="s">
        <v>7415</v>
      </c>
      <c r="B1214" s="28" t="s">
        <v>7416</v>
      </c>
      <c r="C1214" s="28" t="s">
        <v>7082</v>
      </c>
      <c r="D1214" s="28" t="s">
        <v>4101</v>
      </c>
      <c r="E1214" s="28" t="s">
        <v>7417</v>
      </c>
      <c r="F1214" s="28" t="s">
        <v>6308</v>
      </c>
      <c r="G1214" s="28" t="s">
        <v>7084</v>
      </c>
      <c r="H1214" s="28" t="s">
        <v>7085</v>
      </c>
      <c r="I1214" s="28" t="s">
        <v>7418</v>
      </c>
      <c r="J1214" s="28" t="s">
        <v>7084</v>
      </c>
      <c r="K1214" s="28" t="s">
        <v>7419</v>
      </c>
      <c r="L1214" s="28" t="s">
        <v>7088</v>
      </c>
      <c r="M1214" s="28" t="s">
        <v>7420</v>
      </c>
      <c r="N1214" s="28" t="s">
        <v>7090</v>
      </c>
      <c r="O1214" s="28" t="s">
        <v>7091</v>
      </c>
      <c r="P1214" s="28" t="s">
        <v>7421</v>
      </c>
    </row>
    <row r="1215" spans="1:16" x14ac:dyDescent="0.25">
      <c r="A1215" s="28" t="s">
        <v>7422</v>
      </c>
      <c r="B1215" s="28" t="s">
        <v>7423</v>
      </c>
      <c r="C1215" s="28" t="s">
        <v>7082</v>
      </c>
      <c r="D1215" s="28" t="s">
        <v>4101</v>
      </c>
      <c r="E1215" s="28" t="s">
        <v>7417</v>
      </c>
      <c r="F1215" s="28" t="s">
        <v>6308</v>
      </c>
      <c r="G1215" s="28" t="s">
        <v>7084</v>
      </c>
      <c r="H1215" s="28" t="s">
        <v>7085</v>
      </c>
      <c r="I1215" s="28" t="s">
        <v>7424</v>
      </c>
      <c r="J1215" s="28" t="s">
        <v>7084</v>
      </c>
      <c r="K1215" s="28" t="s">
        <v>7419</v>
      </c>
      <c r="L1215" s="28" t="s">
        <v>7088</v>
      </c>
      <c r="M1215" s="28" t="s">
        <v>7425</v>
      </c>
      <c r="N1215" s="28" t="s">
        <v>7090</v>
      </c>
      <c r="O1215" s="28" t="s">
        <v>7091</v>
      </c>
      <c r="P1215" s="28" t="s">
        <v>7426</v>
      </c>
    </row>
    <row r="1216" spans="1:16" x14ac:dyDescent="0.25">
      <c r="A1216" s="28" t="s">
        <v>7427</v>
      </c>
      <c r="B1216" s="28" t="s">
        <v>7428</v>
      </c>
      <c r="C1216" s="28" t="s">
        <v>7082</v>
      </c>
      <c r="D1216" s="28" t="s">
        <v>5471</v>
      </c>
      <c r="E1216" s="28" t="s">
        <v>7429</v>
      </c>
      <c r="F1216" s="28" t="s">
        <v>6308</v>
      </c>
      <c r="G1216" s="28" t="s">
        <v>7084</v>
      </c>
      <c r="H1216" s="28" t="s">
        <v>7085</v>
      </c>
      <c r="I1216" s="28" t="s">
        <v>7430</v>
      </c>
      <c r="J1216" s="28" t="s">
        <v>7084</v>
      </c>
      <c r="K1216" s="28" t="s">
        <v>7371</v>
      </c>
      <c r="L1216" s="28" t="s">
        <v>7088</v>
      </c>
      <c r="M1216" s="28" t="s">
        <v>7431</v>
      </c>
      <c r="N1216" s="28" t="s">
        <v>7090</v>
      </c>
      <c r="O1216" s="28" t="s">
        <v>7091</v>
      </c>
      <c r="P1216" s="28" t="s">
        <v>7432</v>
      </c>
    </row>
    <row r="1217" spans="1:16" x14ac:dyDescent="0.25">
      <c r="A1217" s="28" t="s">
        <v>7433</v>
      </c>
      <c r="B1217" s="28" t="s">
        <v>7434</v>
      </c>
      <c r="C1217" s="28" t="s">
        <v>7082</v>
      </c>
      <c r="D1217" s="28" t="s">
        <v>5471</v>
      </c>
      <c r="E1217" s="28" t="s">
        <v>7435</v>
      </c>
      <c r="F1217" s="28" t="s">
        <v>6308</v>
      </c>
      <c r="G1217" s="28" t="s">
        <v>7084</v>
      </c>
      <c r="H1217" s="28" t="s">
        <v>7085</v>
      </c>
      <c r="I1217" s="28" t="s">
        <v>7436</v>
      </c>
      <c r="J1217" s="28" t="s">
        <v>7084</v>
      </c>
      <c r="K1217" s="28" t="s">
        <v>7437</v>
      </c>
      <c r="L1217" s="28" t="s">
        <v>7088</v>
      </c>
      <c r="M1217" s="28" t="s">
        <v>7438</v>
      </c>
      <c r="N1217" s="28" t="s">
        <v>7090</v>
      </c>
      <c r="O1217" s="28" t="s">
        <v>7091</v>
      </c>
      <c r="P1217" s="28" t="s">
        <v>7439</v>
      </c>
    </row>
    <row r="1218" spans="1:16" x14ac:dyDescent="0.25">
      <c r="A1218" s="28" t="s">
        <v>7440</v>
      </c>
      <c r="B1218" s="28" t="s">
        <v>7441</v>
      </c>
      <c r="C1218" s="28" t="s">
        <v>7082</v>
      </c>
      <c r="D1218" s="28" t="s">
        <v>5482</v>
      </c>
      <c r="E1218" s="28" t="s">
        <v>7442</v>
      </c>
      <c r="F1218" s="28" t="s">
        <v>6308</v>
      </c>
      <c r="G1218" s="28" t="s">
        <v>7084</v>
      </c>
      <c r="H1218" s="28" t="s">
        <v>7085</v>
      </c>
      <c r="I1218" s="28" t="s">
        <v>7443</v>
      </c>
      <c r="J1218" s="28" t="s">
        <v>7084</v>
      </c>
      <c r="K1218" s="28" t="s">
        <v>7444</v>
      </c>
      <c r="L1218" s="28" t="s">
        <v>7088</v>
      </c>
      <c r="M1218" s="28" t="s">
        <v>7445</v>
      </c>
      <c r="N1218" s="28" t="s">
        <v>7090</v>
      </c>
      <c r="O1218" s="28" t="s">
        <v>7091</v>
      </c>
      <c r="P1218" s="28" t="s">
        <v>7446</v>
      </c>
    </row>
    <row r="1219" spans="1:16" x14ac:dyDescent="0.25">
      <c r="A1219" s="28" t="s">
        <v>7447</v>
      </c>
      <c r="B1219" s="28" t="s">
        <v>7448</v>
      </c>
      <c r="C1219" s="28" t="s">
        <v>7082</v>
      </c>
      <c r="D1219" s="28" t="s">
        <v>5482</v>
      </c>
      <c r="E1219" s="28" t="s">
        <v>7442</v>
      </c>
      <c r="F1219" s="28" t="s">
        <v>6308</v>
      </c>
      <c r="G1219" s="28" t="s">
        <v>7084</v>
      </c>
      <c r="H1219" s="28" t="s">
        <v>7085</v>
      </c>
      <c r="I1219" s="28" t="s">
        <v>7449</v>
      </c>
      <c r="J1219" s="28" t="s">
        <v>7084</v>
      </c>
      <c r="K1219" s="28" t="s">
        <v>7444</v>
      </c>
      <c r="L1219" s="28" t="s">
        <v>7088</v>
      </c>
      <c r="M1219" s="28" t="s">
        <v>7450</v>
      </c>
      <c r="N1219" s="28" t="s">
        <v>7090</v>
      </c>
      <c r="O1219" s="28" t="s">
        <v>7091</v>
      </c>
      <c r="P1219" s="28" t="s">
        <v>7451</v>
      </c>
    </row>
    <row r="1220" spans="1:16" x14ac:dyDescent="0.25">
      <c r="A1220" s="28" t="s">
        <v>7452</v>
      </c>
      <c r="B1220" s="28" t="s">
        <v>7453</v>
      </c>
      <c r="C1220" s="28" t="s">
        <v>7082</v>
      </c>
      <c r="D1220" s="28" t="s">
        <v>101</v>
      </c>
      <c r="E1220" s="28" t="s">
        <v>5745</v>
      </c>
      <c r="F1220" s="28" t="s">
        <v>6308</v>
      </c>
      <c r="G1220" s="28" t="s">
        <v>7084</v>
      </c>
      <c r="H1220" s="28" t="s">
        <v>7085</v>
      </c>
      <c r="I1220" s="28" t="s">
        <v>7454</v>
      </c>
      <c r="J1220" s="28" t="s">
        <v>7084</v>
      </c>
      <c r="K1220" s="28" t="s">
        <v>7455</v>
      </c>
      <c r="L1220" s="28" t="s">
        <v>7088</v>
      </c>
      <c r="M1220" s="28" t="s">
        <v>7456</v>
      </c>
      <c r="N1220" s="28" t="s">
        <v>7090</v>
      </c>
      <c r="O1220" s="28" t="s">
        <v>7091</v>
      </c>
      <c r="P1220" s="28" t="s">
        <v>7457</v>
      </c>
    </row>
    <row r="1221" spans="1:16" x14ac:dyDescent="0.25">
      <c r="A1221" s="28" t="s">
        <v>7458</v>
      </c>
      <c r="B1221" s="28" t="s">
        <v>7459</v>
      </c>
      <c r="C1221" s="28" t="s">
        <v>7082</v>
      </c>
      <c r="D1221" s="28" t="s">
        <v>101</v>
      </c>
      <c r="E1221" s="28" t="s">
        <v>5745</v>
      </c>
      <c r="F1221" s="28" t="s">
        <v>6308</v>
      </c>
      <c r="G1221" s="28" t="s">
        <v>7084</v>
      </c>
      <c r="H1221" s="28" t="s">
        <v>7085</v>
      </c>
      <c r="I1221" s="28" t="s">
        <v>7460</v>
      </c>
      <c r="J1221" s="28" t="s">
        <v>7084</v>
      </c>
      <c r="K1221" s="28" t="s">
        <v>7455</v>
      </c>
      <c r="L1221" s="28" t="s">
        <v>7088</v>
      </c>
      <c r="M1221" s="28" t="s">
        <v>7461</v>
      </c>
      <c r="N1221" s="28" t="s">
        <v>7090</v>
      </c>
      <c r="O1221" s="28" t="s">
        <v>7091</v>
      </c>
      <c r="P1221" s="28" t="s">
        <v>7462</v>
      </c>
    </row>
    <row r="1222" spans="1:16" x14ac:dyDescent="0.25">
      <c r="A1222" s="28" t="s">
        <v>7463</v>
      </c>
      <c r="B1222" s="28" t="s">
        <v>7464</v>
      </c>
      <c r="C1222" s="28" t="s">
        <v>7082</v>
      </c>
      <c r="D1222" s="28" t="s">
        <v>101</v>
      </c>
      <c r="E1222" s="28" t="s">
        <v>7465</v>
      </c>
      <c r="F1222" s="28" t="s">
        <v>6308</v>
      </c>
      <c r="G1222" s="28" t="s">
        <v>7084</v>
      </c>
      <c r="H1222" s="28" t="s">
        <v>7085</v>
      </c>
      <c r="I1222" s="28" t="s">
        <v>7466</v>
      </c>
      <c r="J1222" s="28" t="s">
        <v>7084</v>
      </c>
      <c r="K1222" s="28" t="s">
        <v>7148</v>
      </c>
      <c r="L1222" s="28" t="s">
        <v>7088</v>
      </c>
      <c r="M1222" s="28" t="s">
        <v>7467</v>
      </c>
      <c r="N1222" s="28" t="s">
        <v>7090</v>
      </c>
      <c r="O1222" s="28" t="s">
        <v>7091</v>
      </c>
      <c r="P1222" s="28" t="s">
        <v>7468</v>
      </c>
    </row>
    <row r="1223" spans="1:16" x14ac:dyDescent="0.25">
      <c r="A1223" s="28" t="s">
        <v>7469</v>
      </c>
      <c r="B1223" s="28" t="s">
        <v>7470</v>
      </c>
      <c r="C1223" s="28" t="s">
        <v>7082</v>
      </c>
      <c r="D1223" s="28" t="s">
        <v>101</v>
      </c>
      <c r="E1223" s="28" t="s">
        <v>5493</v>
      </c>
      <c r="F1223" s="28" t="s">
        <v>6308</v>
      </c>
      <c r="G1223" s="28" t="s">
        <v>7084</v>
      </c>
      <c r="H1223" s="28" t="s">
        <v>7085</v>
      </c>
      <c r="I1223" s="28" t="s">
        <v>7471</v>
      </c>
      <c r="J1223" s="28" t="s">
        <v>7084</v>
      </c>
      <c r="K1223" s="28" t="s">
        <v>7472</v>
      </c>
      <c r="L1223" s="28" t="s">
        <v>7088</v>
      </c>
      <c r="M1223" s="28" t="s">
        <v>7473</v>
      </c>
      <c r="N1223" s="28" t="s">
        <v>7090</v>
      </c>
      <c r="O1223" s="28" t="s">
        <v>7091</v>
      </c>
      <c r="P1223" s="28" t="s">
        <v>7474</v>
      </c>
    </row>
    <row r="1224" spans="1:16" x14ac:dyDescent="0.25">
      <c r="A1224" s="28" t="s">
        <v>7475</v>
      </c>
      <c r="B1224" s="28" t="s">
        <v>7476</v>
      </c>
      <c r="C1224" s="28" t="s">
        <v>7082</v>
      </c>
      <c r="D1224" s="28" t="s">
        <v>101</v>
      </c>
      <c r="E1224" s="28" t="s">
        <v>5493</v>
      </c>
      <c r="F1224" s="28" t="s">
        <v>6308</v>
      </c>
      <c r="G1224" s="28" t="s">
        <v>7084</v>
      </c>
      <c r="H1224" s="28" t="s">
        <v>7085</v>
      </c>
      <c r="I1224" s="28" t="s">
        <v>7477</v>
      </c>
      <c r="J1224" s="28" t="s">
        <v>7084</v>
      </c>
      <c r="K1224" s="28" t="s">
        <v>7472</v>
      </c>
      <c r="L1224" s="28" t="s">
        <v>7088</v>
      </c>
      <c r="M1224" s="28" t="s">
        <v>7478</v>
      </c>
      <c r="N1224" s="28" t="s">
        <v>7090</v>
      </c>
      <c r="O1224" s="28" t="s">
        <v>7091</v>
      </c>
      <c r="P1224" s="28" t="s">
        <v>7479</v>
      </c>
    </row>
    <row r="1225" spans="1:16" x14ac:dyDescent="0.25">
      <c r="A1225" s="28" t="s">
        <v>7480</v>
      </c>
      <c r="B1225" s="28" t="s">
        <v>7481</v>
      </c>
      <c r="C1225" s="28" t="s">
        <v>7082</v>
      </c>
      <c r="D1225" s="28" t="s">
        <v>101</v>
      </c>
      <c r="E1225" s="28" t="s">
        <v>5671</v>
      </c>
      <c r="F1225" s="28" t="s">
        <v>6308</v>
      </c>
      <c r="G1225" s="28" t="s">
        <v>7084</v>
      </c>
      <c r="H1225" s="28" t="s">
        <v>7085</v>
      </c>
      <c r="I1225" s="28" t="s">
        <v>7482</v>
      </c>
      <c r="J1225" s="28" t="s">
        <v>7084</v>
      </c>
      <c r="K1225" s="28" t="s">
        <v>7483</v>
      </c>
      <c r="L1225" s="28" t="s">
        <v>7088</v>
      </c>
      <c r="M1225" s="28" t="s">
        <v>7484</v>
      </c>
      <c r="N1225" s="28" t="s">
        <v>7090</v>
      </c>
      <c r="O1225" s="28" t="s">
        <v>7091</v>
      </c>
      <c r="P1225" s="28" t="s">
        <v>7485</v>
      </c>
    </row>
    <row r="1226" spans="1:16" x14ac:dyDescent="0.25">
      <c r="A1226" s="28" t="s">
        <v>7486</v>
      </c>
      <c r="B1226" s="28" t="s">
        <v>7487</v>
      </c>
      <c r="C1226" s="28" t="s">
        <v>7082</v>
      </c>
      <c r="D1226" s="28" t="s">
        <v>101</v>
      </c>
      <c r="E1226" s="28" t="s">
        <v>7465</v>
      </c>
      <c r="F1226" s="28" t="s">
        <v>6308</v>
      </c>
      <c r="G1226" s="28" t="s">
        <v>7084</v>
      </c>
      <c r="H1226" s="28" t="s">
        <v>7085</v>
      </c>
      <c r="I1226" s="28" t="s">
        <v>7488</v>
      </c>
      <c r="J1226" s="28" t="s">
        <v>7084</v>
      </c>
      <c r="K1226" s="28" t="s">
        <v>7489</v>
      </c>
      <c r="L1226" s="28" t="s">
        <v>7088</v>
      </c>
      <c r="M1226" s="28" t="s">
        <v>7490</v>
      </c>
      <c r="N1226" s="28" t="s">
        <v>7090</v>
      </c>
      <c r="O1226" s="28" t="s">
        <v>7091</v>
      </c>
      <c r="P1226" s="28" t="s">
        <v>7491</v>
      </c>
    </row>
    <row r="1227" spans="1:16" x14ac:dyDescent="0.25">
      <c r="A1227" s="28" t="s">
        <v>7492</v>
      </c>
      <c r="B1227" s="28" t="s">
        <v>7493</v>
      </c>
      <c r="C1227" s="28" t="s">
        <v>7082</v>
      </c>
      <c r="D1227" s="28" t="s">
        <v>101</v>
      </c>
      <c r="E1227" s="28" t="s">
        <v>7494</v>
      </c>
      <c r="F1227" s="28" t="s">
        <v>6308</v>
      </c>
      <c r="G1227" s="28" t="s">
        <v>7084</v>
      </c>
      <c r="H1227" s="28" t="s">
        <v>7085</v>
      </c>
      <c r="I1227" s="28" t="s">
        <v>7495</v>
      </c>
      <c r="J1227" s="28" t="s">
        <v>7084</v>
      </c>
      <c r="K1227" s="28" t="s">
        <v>7496</v>
      </c>
      <c r="L1227" s="28" t="s">
        <v>7088</v>
      </c>
      <c r="M1227" s="28" t="s">
        <v>7497</v>
      </c>
      <c r="N1227" s="28" t="s">
        <v>7090</v>
      </c>
      <c r="O1227" s="28" t="s">
        <v>7091</v>
      </c>
      <c r="P1227" s="28" t="s">
        <v>7498</v>
      </c>
    </row>
    <row r="1228" spans="1:16" x14ac:dyDescent="0.25">
      <c r="A1228" s="28" t="s">
        <v>7499</v>
      </c>
      <c r="B1228" s="28" t="s">
        <v>7500</v>
      </c>
      <c r="C1228" s="28" t="s">
        <v>7082</v>
      </c>
      <c r="D1228" s="28" t="s">
        <v>101</v>
      </c>
      <c r="E1228" s="28" t="s">
        <v>7501</v>
      </c>
      <c r="F1228" s="28" t="s">
        <v>6308</v>
      </c>
      <c r="G1228" s="28" t="s">
        <v>7084</v>
      </c>
      <c r="H1228" s="28" t="s">
        <v>7085</v>
      </c>
      <c r="I1228" s="28" t="s">
        <v>7502</v>
      </c>
      <c r="J1228" s="28" t="s">
        <v>7084</v>
      </c>
      <c r="K1228" s="28" t="s">
        <v>7503</v>
      </c>
      <c r="L1228" s="28" t="s">
        <v>7088</v>
      </c>
      <c r="M1228" s="28" t="s">
        <v>7504</v>
      </c>
      <c r="N1228" s="28" t="s">
        <v>7090</v>
      </c>
      <c r="O1228" s="28" t="s">
        <v>7091</v>
      </c>
      <c r="P1228" s="28" t="s">
        <v>7505</v>
      </c>
    </row>
    <row r="1229" spans="1:16" x14ac:dyDescent="0.25">
      <c r="A1229" s="28" t="s">
        <v>7506</v>
      </c>
      <c r="B1229" s="28" t="s">
        <v>7507</v>
      </c>
      <c r="C1229" s="28" t="s">
        <v>7082</v>
      </c>
      <c r="D1229" s="28" t="s">
        <v>101</v>
      </c>
      <c r="E1229" s="28" t="s">
        <v>5493</v>
      </c>
      <c r="F1229" s="28" t="s">
        <v>6308</v>
      </c>
      <c r="G1229" s="28" t="s">
        <v>7084</v>
      </c>
      <c r="H1229" s="28" t="s">
        <v>7085</v>
      </c>
      <c r="I1229" s="28" t="s">
        <v>7508</v>
      </c>
      <c r="J1229" s="28" t="s">
        <v>7084</v>
      </c>
      <c r="K1229" s="28" t="s">
        <v>7509</v>
      </c>
      <c r="L1229" s="28" t="s">
        <v>7088</v>
      </c>
      <c r="M1229" s="28" t="s">
        <v>7510</v>
      </c>
      <c r="N1229" s="28" t="s">
        <v>7090</v>
      </c>
      <c r="O1229" s="28" t="s">
        <v>7091</v>
      </c>
      <c r="P1229" s="28" t="s">
        <v>7511</v>
      </c>
    </row>
    <row r="1230" spans="1:16" x14ac:dyDescent="0.25">
      <c r="A1230" s="28" t="s">
        <v>7512</v>
      </c>
      <c r="B1230" s="28" t="s">
        <v>7513</v>
      </c>
      <c r="C1230" s="28" t="s">
        <v>7082</v>
      </c>
      <c r="D1230" s="28" t="s">
        <v>101</v>
      </c>
      <c r="E1230" s="28" t="s">
        <v>5493</v>
      </c>
      <c r="F1230" s="28" t="s">
        <v>6308</v>
      </c>
      <c r="G1230" s="28" t="s">
        <v>7084</v>
      </c>
      <c r="H1230" s="28" t="s">
        <v>7085</v>
      </c>
      <c r="I1230" s="28" t="s">
        <v>7514</v>
      </c>
      <c r="J1230" s="28" t="s">
        <v>7084</v>
      </c>
      <c r="K1230" s="28" t="s">
        <v>7509</v>
      </c>
      <c r="L1230" s="28" t="s">
        <v>7088</v>
      </c>
      <c r="M1230" s="28" t="s">
        <v>7515</v>
      </c>
      <c r="N1230" s="28" t="s">
        <v>7090</v>
      </c>
      <c r="O1230" s="28" t="s">
        <v>7091</v>
      </c>
      <c r="P1230" s="28" t="s">
        <v>7516</v>
      </c>
    </row>
    <row r="1231" spans="1:16" x14ac:dyDescent="0.25">
      <c r="A1231" s="28" t="s">
        <v>7517</v>
      </c>
      <c r="B1231" s="28" t="s">
        <v>7518</v>
      </c>
      <c r="C1231" s="28" t="s">
        <v>7082</v>
      </c>
      <c r="D1231" s="28" t="s">
        <v>101</v>
      </c>
      <c r="E1231" s="28" t="s">
        <v>7519</v>
      </c>
      <c r="F1231" s="28" t="s">
        <v>6308</v>
      </c>
      <c r="G1231" s="28" t="s">
        <v>7084</v>
      </c>
      <c r="H1231" s="28" t="s">
        <v>7085</v>
      </c>
      <c r="I1231" s="28" t="s">
        <v>7520</v>
      </c>
      <c r="J1231" s="28" t="s">
        <v>7084</v>
      </c>
      <c r="K1231" s="28" t="s">
        <v>7521</v>
      </c>
      <c r="L1231" s="28" t="s">
        <v>7088</v>
      </c>
      <c r="M1231" s="28" t="s">
        <v>7522</v>
      </c>
      <c r="N1231" s="28" t="s">
        <v>7090</v>
      </c>
      <c r="O1231" s="28" t="s">
        <v>7091</v>
      </c>
      <c r="P1231" s="28" t="s">
        <v>7523</v>
      </c>
    </row>
    <row r="1232" spans="1:16" x14ac:dyDescent="0.25">
      <c r="A1232" s="28" t="s">
        <v>7524</v>
      </c>
      <c r="B1232" s="28" t="s">
        <v>7525</v>
      </c>
      <c r="C1232" s="28" t="s">
        <v>7082</v>
      </c>
      <c r="D1232" s="28" t="s">
        <v>101</v>
      </c>
      <c r="E1232" s="28" t="s">
        <v>7519</v>
      </c>
      <c r="F1232" s="28" t="s">
        <v>6308</v>
      </c>
      <c r="G1232" s="28" t="s">
        <v>7084</v>
      </c>
      <c r="H1232" s="28" t="s">
        <v>7085</v>
      </c>
      <c r="I1232" s="28" t="s">
        <v>7526</v>
      </c>
      <c r="J1232" s="28" t="s">
        <v>7084</v>
      </c>
      <c r="K1232" s="28" t="s">
        <v>7521</v>
      </c>
      <c r="L1232" s="28" t="s">
        <v>7088</v>
      </c>
      <c r="M1232" s="28" t="s">
        <v>7527</v>
      </c>
      <c r="N1232" s="28" t="s">
        <v>7090</v>
      </c>
      <c r="O1232" s="28" t="s">
        <v>7091</v>
      </c>
      <c r="P1232" s="28" t="s">
        <v>7528</v>
      </c>
    </row>
    <row r="1233" spans="1:16" x14ac:dyDescent="0.25">
      <c r="A1233" s="28" t="s">
        <v>7529</v>
      </c>
      <c r="B1233" s="28" t="s">
        <v>7530</v>
      </c>
      <c r="C1233" s="28" t="s">
        <v>7082</v>
      </c>
      <c r="D1233" s="28" t="s">
        <v>101</v>
      </c>
      <c r="E1233" s="28" t="s">
        <v>7519</v>
      </c>
      <c r="F1233" s="28" t="s">
        <v>6308</v>
      </c>
      <c r="G1233" s="28" t="s">
        <v>7084</v>
      </c>
      <c r="H1233" s="28" t="s">
        <v>7085</v>
      </c>
      <c r="I1233" s="28" t="s">
        <v>7531</v>
      </c>
      <c r="J1233" s="28" t="s">
        <v>7084</v>
      </c>
      <c r="K1233" s="28" t="s">
        <v>7521</v>
      </c>
      <c r="L1233" s="28" t="s">
        <v>7088</v>
      </c>
      <c r="M1233" s="28" t="s">
        <v>7532</v>
      </c>
      <c r="N1233" s="28" t="s">
        <v>7090</v>
      </c>
      <c r="O1233" s="28" t="s">
        <v>7091</v>
      </c>
      <c r="P1233" s="28" t="s">
        <v>7533</v>
      </c>
    </row>
    <row r="1234" spans="1:16" x14ac:dyDescent="0.25">
      <c r="A1234" s="28" t="s">
        <v>7534</v>
      </c>
      <c r="B1234" s="28" t="s">
        <v>7535</v>
      </c>
      <c r="C1234" s="28" t="s">
        <v>7082</v>
      </c>
      <c r="D1234" s="28" t="s">
        <v>101</v>
      </c>
      <c r="E1234" s="28" t="s">
        <v>7519</v>
      </c>
      <c r="F1234" s="28" t="s">
        <v>6308</v>
      </c>
      <c r="G1234" s="28" t="s">
        <v>7084</v>
      </c>
      <c r="H1234" s="28" t="s">
        <v>7085</v>
      </c>
      <c r="I1234" s="28" t="s">
        <v>7536</v>
      </c>
      <c r="J1234" s="28" t="s">
        <v>7084</v>
      </c>
      <c r="K1234" s="28" t="s">
        <v>7521</v>
      </c>
      <c r="L1234" s="28" t="s">
        <v>7088</v>
      </c>
      <c r="M1234" s="28" t="s">
        <v>7537</v>
      </c>
      <c r="N1234" s="28" t="s">
        <v>7090</v>
      </c>
      <c r="O1234" s="28" t="s">
        <v>7091</v>
      </c>
      <c r="P1234" s="28" t="s">
        <v>7538</v>
      </c>
    </row>
    <row r="1235" spans="1:16" x14ac:dyDescent="0.25">
      <c r="A1235" s="28" t="s">
        <v>7539</v>
      </c>
      <c r="B1235" s="28" t="s">
        <v>7540</v>
      </c>
      <c r="C1235" s="28" t="s">
        <v>7082</v>
      </c>
      <c r="D1235" s="28" t="s">
        <v>101</v>
      </c>
      <c r="E1235" s="28" t="s">
        <v>7519</v>
      </c>
      <c r="F1235" s="28" t="s">
        <v>6308</v>
      </c>
      <c r="G1235" s="28" t="s">
        <v>7084</v>
      </c>
      <c r="H1235" s="28" t="s">
        <v>7085</v>
      </c>
      <c r="I1235" s="28" t="s">
        <v>7541</v>
      </c>
      <c r="J1235" s="28" t="s">
        <v>7084</v>
      </c>
      <c r="K1235" s="28" t="s">
        <v>7521</v>
      </c>
      <c r="L1235" s="28" t="s">
        <v>7088</v>
      </c>
      <c r="M1235" s="28" t="s">
        <v>7542</v>
      </c>
      <c r="N1235" s="28" t="s">
        <v>7090</v>
      </c>
      <c r="O1235" s="28" t="s">
        <v>7091</v>
      </c>
      <c r="P1235" s="28" t="s">
        <v>7543</v>
      </c>
    </row>
    <row r="1236" spans="1:16" x14ac:dyDescent="0.25">
      <c r="A1236" s="28" t="s">
        <v>7544</v>
      </c>
      <c r="B1236" s="28" t="s">
        <v>7545</v>
      </c>
      <c r="C1236" s="28" t="s">
        <v>7082</v>
      </c>
      <c r="D1236" s="28" t="s">
        <v>101</v>
      </c>
      <c r="E1236" s="28" t="s">
        <v>7519</v>
      </c>
      <c r="F1236" s="28" t="s">
        <v>6308</v>
      </c>
      <c r="G1236" s="28" t="s">
        <v>7084</v>
      </c>
      <c r="H1236" s="28" t="s">
        <v>7085</v>
      </c>
      <c r="I1236" s="28" t="s">
        <v>7546</v>
      </c>
      <c r="J1236" s="28" t="s">
        <v>7084</v>
      </c>
      <c r="K1236" s="28" t="s">
        <v>7521</v>
      </c>
      <c r="L1236" s="28" t="s">
        <v>7088</v>
      </c>
      <c r="M1236" s="28" t="s">
        <v>7547</v>
      </c>
      <c r="N1236" s="28" t="s">
        <v>7090</v>
      </c>
      <c r="O1236" s="28" t="s">
        <v>7091</v>
      </c>
      <c r="P1236" s="28" t="s">
        <v>7548</v>
      </c>
    </row>
    <row r="1237" spans="1:16" x14ac:dyDescent="0.25">
      <c r="A1237" s="28" t="s">
        <v>7549</v>
      </c>
      <c r="B1237" s="28" t="s">
        <v>7550</v>
      </c>
      <c r="C1237" s="28" t="s">
        <v>7082</v>
      </c>
      <c r="D1237" s="28" t="s">
        <v>101</v>
      </c>
      <c r="E1237" s="28" t="s">
        <v>7519</v>
      </c>
      <c r="F1237" s="28" t="s">
        <v>6308</v>
      </c>
      <c r="G1237" s="28" t="s">
        <v>7084</v>
      </c>
      <c r="H1237" s="28" t="s">
        <v>7085</v>
      </c>
      <c r="I1237" s="28" t="s">
        <v>7551</v>
      </c>
      <c r="J1237" s="28" t="s">
        <v>7084</v>
      </c>
      <c r="K1237" s="28" t="s">
        <v>7521</v>
      </c>
      <c r="L1237" s="28" t="s">
        <v>7088</v>
      </c>
      <c r="M1237" s="28" t="s">
        <v>7552</v>
      </c>
      <c r="N1237" s="28" t="s">
        <v>7090</v>
      </c>
      <c r="O1237" s="28" t="s">
        <v>7091</v>
      </c>
      <c r="P1237" s="28" t="s">
        <v>7553</v>
      </c>
    </row>
    <row r="1238" spans="1:16" x14ac:dyDescent="0.25">
      <c r="A1238" s="28" t="s">
        <v>7554</v>
      </c>
      <c r="B1238" s="28" t="s">
        <v>7555</v>
      </c>
      <c r="C1238" s="28" t="s">
        <v>7082</v>
      </c>
      <c r="D1238" s="28" t="s">
        <v>101</v>
      </c>
      <c r="E1238" s="28" t="s">
        <v>7519</v>
      </c>
      <c r="F1238" s="28" t="s">
        <v>6308</v>
      </c>
      <c r="G1238" s="28" t="s">
        <v>7084</v>
      </c>
      <c r="H1238" s="28" t="s">
        <v>7085</v>
      </c>
      <c r="I1238" s="28" t="s">
        <v>7556</v>
      </c>
      <c r="J1238" s="28" t="s">
        <v>7084</v>
      </c>
      <c r="K1238" s="28" t="s">
        <v>7521</v>
      </c>
      <c r="L1238" s="28" t="s">
        <v>7088</v>
      </c>
      <c r="M1238" s="28" t="s">
        <v>7557</v>
      </c>
      <c r="N1238" s="28" t="s">
        <v>7090</v>
      </c>
      <c r="O1238" s="28" t="s">
        <v>7091</v>
      </c>
      <c r="P1238" s="28" t="s">
        <v>7558</v>
      </c>
    </row>
    <row r="1239" spans="1:16" x14ac:dyDescent="0.25">
      <c r="A1239" s="28" t="s">
        <v>7559</v>
      </c>
      <c r="B1239" s="28" t="s">
        <v>7560</v>
      </c>
      <c r="C1239" s="28" t="s">
        <v>7082</v>
      </c>
      <c r="D1239" s="28" t="s">
        <v>101</v>
      </c>
      <c r="E1239" s="28" t="s">
        <v>7519</v>
      </c>
      <c r="F1239" s="28" t="s">
        <v>6308</v>
      </c>
      <c r="G1239" s="28" t="s">
        <v>7084</v>
      </c>
      <c r="H1239" s="28" t="s">
        <v>7085</v>
      </c>
      <c r="I1239" s="28" t="s">
        <v>7561</v>
      </c>
      <c r="J1239" s="28" t="s">
        <v>7084</v>
      </c>
      <c r="K1239" s="28" t="s">
        <v>7562</v>
      </c>
      <c r="L1239" s="28" t="s">
        <v>7088</v>
      </c>
      <c r="M1239" s="28" t="s">
        <v>7563</v>
      </c>
      <c r="N1239" s="28" t="s">
        <v>7090</v>
      </c>
      <c r="O1239" s="28" t="s">
        <v>7091</v>
      </c>
      <c r="P1239" s="28" t="s">
        <v>7564</v>
      </c>
    </row>
    <row r="1240" spans="1:16" x14ac:dyDescent="0.25">
      <c r="A1240" s="28" t="s">
        <v>7565</v>
      </c>
      <c r="B1240" s="28" t="s">
        <v>7566</v>
      </c>
      <c r="C1240" s="28" t="s">
        <v>7082</v>
      </c>
      <c r="D1240" s="28" t="s">
        <v>101</v>
      </c>
      <c r="E1240" s="28" t="s">
        <v>7519</v>
      </c>
      <c r="F1240" s="28" t="s">
        <v>6308</v>
      </c>
      <c r="G1240" s="28" t="s">
        <v>7084</v>
      </c>
      <c r="H1240" s="28" t="s">
        <v>7085</v>
      </c>
      <c r="I1240" s="28" t="s">
        <v>7567</v>
      </c>
      <c r="J1240" s="28" t="s">
        <v>7084</v>
      </c>
      <c r="K1240" s="28" t="s">
        <v>7562</v>
      </c>
      <c r="L1240" s="28" t="s">
        <v>7088</v>
      </c>
      <c r="M1240" s="28" t="s">
        <v>7568</v>
      </c>
      <c r="N1240" s="28" t="s">
        <v>7090</v>
      </c>
      <c r="O1240" s="28" t="s">
        <v>7091</v>
      </c>
      <c r="P1240" s="28" t="s">
        <v>7569</v>
      </c>
    </row>
    <row r="1241" spans="1:16" x14ac:dyDescent="0.25">
      <c r="A1241" s="28" t="s">
        <v>7570</v>
      </c>
      <c r="B1241" s="28" t="s">
        <v>7571</v>
      </c>
      <c r="C1241" s="28" t="s">
        <v>7082</v>
      </c>
      <c r="D1241" s="28" t="s">
        <v>101</v>
      </c>
      <c r="E1241" s="28" t="s">
        <v>7519</v>
      </c>
      <c r="F1241" s="28" t="s">
        <v>6308</v>
      </c>
      <c r="G1241" s="28" t="s">
        <v>7084</v>
      </c>
      <c r="H1241" s="28" t="s">
        <v>7085</v>
      </c>
      <c r="I1241" s="28" t="s">
        <v>7572</v>
      </c>
      <c r="J1241" s="28" t="s">
        <v>7084</v>
      </c>
      <c r="K1241" s="28" t="s">
        <v>7562</v>
      </c>
      <c r="L1241" s="28" t="s">
        <v>7088</v>
      </c>
      <c r="M1241" s="28" t="s">
        <v>7573</v>
      </c>
      <c r="N1241" s="28" t="s">
        <v>7090</v>
      </c>
      <c r="O1241" s="28" t="s">
        <v>7091</v>
      </c>
      <c r="P1241" s="28" t="s">
        <v>7574</v>
      </c>
    </row>
    <row r="1242" spans="1:16" x14ac:dyDescent="0.25">
      <c r="A1242" s="28" t="s">
        <v>7575</v>
      </c>
      <c r="B1242" s="28" t="s">
        <v>7576</v>
      </c>
      <c r="C1242" s="28" t="s">
        <v>7082</v>
      </c>
      <c r="D1242" s="28" t="s">
        <v>101</v>
      </c>
      <c r="E1242" s="28" t="s">
        <v>7519</v>
      </c>
      <c r="F1242" s="28" t="s">
        <v>6308</v>
      </c>
      <c r="G1242" s="28" t="s">
        <v>7084</v>
      </c>
      <c r="H1242" s="28" t="s">
        <v>7085</v>
      </c>
      <c r="I1242" s="28" t="s">
        <v>7577</v>
      </c>
      <c r="J1242" s="28" t="s">
        <v>7084</v>
      </c>
      <c r="K1242" s="28" t="s">
        <v>7562</v>
      </c>
      <c r="L1242" s="28" t="s">
        <v>7088</v>
      </c>
      <c r="M1242" s="28" t="s">
        <v>7578</v>
      </c>
      <c r="N1242" s="28" t="s">
        <v>7090</v>
      </c>
      <c r="O1242" s="28" t="s">
        <v>7091</v>
      </c>
      <c r="P1242" s="28" t="s">
        <v>7579</v>
      </c>
    </row>
    <row r="1243" spans="1:16" x14ac:dyDescent="0.25">
      <c r="A1243" s="28" t="s">
        <v>7580</v>
      </c>
      <c r="B1243" s="28" t="s">
        <v>7581</v>
      </c>
      <c r="C1243" s="28" t="s">
        <v>7082</v>
      </c>
      <c r="D1243" s="28" t="s">
        <v>101</v>
      </c>
      <c r="E1243" s="28" t="s">
        <v>7519</v>
      </c>
      <c r="F1243" s="28" t="s">
        <v>6308</v>
      </c>
      <c r="G1243" s="28" t="s">
        <v>7084</v>
      </c>
      <c r="H1243" s="28" t="s">
        <v>7085</v>
      </c>
      <c r="I1243" s="28" t="s">
        <v>7582</v>
      </c>
      <c r="J1243" s="28" t="s">
        <v>7084</v>
      </c>
      <c r="K1243" s="28" t="s">
        <v>7562</v>
      </c>
      <c r="L1243" s="28" t="s">
        <v>7088</v>
      </c>
      <c r="M1243" s="28" t="s">
        <v>7583</v>
      </c>
      <c r="N1243" s="28" t="s">
        <v>7090</v>
      </c>
      <c r="O1243" s="28" t="s">
        <v>7091</v>
      </c>
      <c r="P1243" s="28" t="s">
        <v>7584</v>
      </c>
    </row>
    <row r="1244" spans="1:16" x14ac:dyDescent="0.25">
      <c r="A1244" s="28" t="s">
        <v>7585</v>
      </c>
      <c r="B1244" s="28" t="s">
        <v>7586</v>
      </c>
      <c r="C1244" s="28" t="s">
        <v>7082</v>
      </c>
      <c r="D1244" s="28" t="s">
        <v>101</v>
      </c>
      <c r="E1244" s="28" t="s">
        <v>7519</v>
      </c>
      <c r="F1244" s="28" t="s">
        <v>6308</v>
      </c>
      <c r="G1244" s="28" t="s">
        <v>7084</v>
      </c>
      <c r="H1244" s="28" t="s">
        <v>7085</v>
      </c>
      <c r="I1244" s="28" t="s">
        <v>7587</v>
      </c>
      <c r="J1244" s="28" t="s">
        <v>7084</v>
      </c>
      <c r="K1244" s="28" t="s">
        <v>7588</v>
      </c>
      <c r="L1244" s="28" t="s">
        <v>7088</v>
      </c>
      <c r="M1244" s="28" t="s">
        <v>7589</v>
      </c>
      <c r="N1244" s="28" t="s">
        <v>7090</v>
      </c>
      <c r="O1244" s="28" t="s">
        <v>7091</v>
      </c>
      <c r="P1244" s="28" t="s">
        <v>7590</v>
      </c>
    </row>
    <row r="1245" spans="1:16" x14ac:dyDescent="0.25">
      <c r="A1245" s="28" t="s">
        <v>7591</v>
      </c>
      <c r="B1245" s="28" t="s">
        <v>7592</v>
      </c>
      <c r="C1245" s="28" t="s">
        <v>7082</v>
      </c>
      <c r="D1245" s="28" t="s">
        <v>101</v>
      </c>
      <c r="E1245" s="28" t="s">
        <v>7519</v>
      </c>
      <c r="F1245" s="28" t="s">
        <v>6308</v>
      </c>
      <c r="G1245" s="28" t="s">
        <v>7084</v>
      </c>
      <c r="H1245" s="28" t="s">
        <v>7085</v>
      </c>
      <c r="I1245" s="28" t="s">
        <v>7593</v>
      </c>
      <c r="J1245" s="28" t="s">
        <v>7084</v>
      </c>
      <c r="K1245" s="28" t="s">
        <v>7588</v>
      </c>
      <c r="L1245" s="28" t="s">
        <v>7088</v>
      </c>
      <c r="M1245" s="28" t="s">
        <v>7594</v>
      </c>
      <c r="N1245" s="28" t="s">
        <v>7090</v>
      </c>
      <c r="O1245" s="28" t="s">
        <v>7091</v>
      </c>
      <c r="P1245" s="28" t="s">
        <v>7595</v>
      </c>
    </row>
    <row r="1246" spans="1:16" x14ac:dyDescent="0.25">
      <c r="A1246" s="28" t="s">
        <v>7596</v>
      </c>
      <c r="B1246" s="28" t="s">
        <v>7597</v>
      </c>
      <c r="C1246" s="28" t="s">
        <v>7082</v>
      </c>
      <c r="D1246" s="28" t="s">
        <v>101</v>
      </c>
      <c r="E1246" s="28" t="s">
        <v>7519</v>
      </c>
      <c r="F1246" s="28" t="s">
        <v>6308</v>
      </c>
      <c r="G1246" s="28" t="s">
        <v>7084</v>
      </c>
      <c r="H1246" s="28" t="s">
        <v>7085</v>
      </c>
      <c r="I1246" s="28" t="s">
        <v>7598</v>
      </c>
      <c r="J1246" s="28" t="s">
        <v>7084</v>
      </c>
      <c r="K1246" s="28" t="s">
        <v>7588</v>
      </c>
      <c r="L1246" s="28" t="s">
        <v>7088</v>
      </c>
      <c r="M1246" s="28" t="s">
        <v>7599</v>
      </c>
      <c r="N1246" s="28" t="s">
        <v>7090</v>
      </c>
      <c r="O1246" s="28" t="s">
        <v>7091</v>
      </c>
      <c r="P1246" s="28" t="s">
        <v>7600</v>
      </c>
    </row>
    <row r="1247" spans="1:16" x14ac:dyDescent="0.25">
      <c r="A1247" s="28" t="s">
        <v>7601</v>
      </c>
      <c r="B1247" s="28" t="s">
        <v>7602</v>
      </c>
      <c r="C1247" s="28" t="s">
        <v>7082</v>
      </c>
      <c r="D1247" s="28" t="s">
        <v>101</v>
      </c>
      <c r="E1247" s="28" t="s">
        <v>7519</v>
      </c>
      <c r="F1247" s="28" t="s">
        <v>6308</v>
      </c>
      <c r="G1247" s="28" t="s">
        <v>7084</v>
      </c>
      <c r="H1247" s="28" t="s">
        <v>7085</v>
      </c>
      <c r="I1247" s="28" t="s">
        <v>7603</v>
      </c>
      <c r="J1247" s="28" t="s">
        <v>7084</v>
      </c>
      <c r="K1247" s="28" t="s">
        <v>7588</v>
      </c>
      <c r="L1247" s="28" t="s">
        <v>7088</v>
      </c>
      <c r="M1247" s="28" t="s">
        <v>7604</v>
      </c>
      <c r="N1247" s="28" t="s">
        <v>7090</v>
      </c>
      <c r="O1247" s="28" t="s">
        <v>7091</v>
      </c>
      <c r="P1247" s="28" t="s">
        <v>7605</v>
      </c>
    </row>
    <row r="1248" spans="1:16" x14ac:dyDescent="0.25">
      <c r="A1248" s="28" t="s">
        <v>7606</v>
      </c>
      <c r="B1248" s="28" t="s">
        <v>7607</v>
      </c>
      <c r="C1248" s="28" t="s">
        <v>7082</v>
      </c>
      <c r="D1248" s="28" t="s">
        <v>101</v>
      </c>
      <c r="E1248" s="28" t="s">
        <v>7519</v>
      </c>
      <c r="F1248" s="28" t="s">
        <v>6308</v>
      </c>
      <c r="G1248" s="28" t="s">
        <v>7084</v>
      </c>
      <c r="H1248" s="28" t="s">
        <v>7085</v>
      </c>
      <c r="I1248" s="28" t="s">
        <v>7608</v>
      </c>
      <c r="J1248" s="28" t="s">
        <v>7084</v>
      </c>
      <c r="K1248" s="28" t="s">
        <v>7588</v>
      </c>
      <c r="L1248" s="28" t="s">
        <v>7088</v>
      </c>
      <c r="M1248" s="28" t="s">
        <v>7609</v>
      </c>
      <c r="N1248" s="28" t="s">
        <v>7090</v>
      </c>
      <c r="O1248" s="28" t="s">
        <v>7091</v>
      </c>
      <c r="P1248" s="28" t="s">
        <v>7610</v>
      </c>
    </row>
    <row r="1249" spans="1:16" x14ac:dyDescent="0.25">
      <c r="A1249" s="28" t="s">
        <v>7611</v>
      </c>
      <c r="B1249" s="28" t="s">
        <v>7612</v>
      </c>
      <c r="C1249" s="28" t="s">
        <v>7082</v>
      </c>
      <c r="D1249" s="28" t="s">
        <v>101</v>
      </c>
      <c r="E1249" s="28" t="s">
        <v>7519</v>
      </c>
      <c r="F1249" s="28" t="s">
        <v>6308</v>
      </c>
      <c r="G1249" s="28" t="s">
        <v>7084</v>
      </c>
      <c r="H1249" s="28" t="s">
        <v>7085</v>
      </c>
      <c r="I1249" s="28" t="s">
        <v>7613</v>
      </c>
      <c r="J1249" s="28" t="s">
        <v>7084</v>
      </c>
      <c r="K1249" s="28" t="s">
        <v>7614</v>
      </c>
      <c r="L1249" s="28" t="s">
        <v>7088</v>
      </c>
      <c r="M1249" s="28" t="s">
        <v>7615</v>
      </c>
      <c r="N1249" s="28" t="s">
        <v>7090</v>
      </c>
      <c r="O1249" s="28" t="s">
        <v>7091</v>
      </c>
      <c r="P1249" s="28" t="s">
        <v>7616</v>
      </c>
    </row>
    <row r="1250" spans="1:16" x14ac:dyDescent="0.25">
      <c r="A1250" s="28" t="s">
        <v>7617</v>
      </c>
      <c r="B1250" s="28" t="s">
        <v>7618</v>
      </c>
      <c r="C1250" s="28" t="s">
        <v>7082</v>
      </c>
      <c r="D1250" s="28" t="s">
        <v>101</v>
      </c>
      <c r="E1250" s="28" t="s">
        <v>7519</v>
      </c>
      <c r="F1250" s="28" t="s">
        <v>6308</v>
      </c>
      <c r="G1250" s="28" t="s">
        <v>7084</v>
      </c>
      <c r="H1250" s="28" t="s">
        <v>7085</v>
      </c>
      <c r="I1250" s="28" t="s">
        <v>7619</v>
      </c>
      <c r="J1250" s="28" t="s">
        <v>7084</v>
      </c>
      <c r="K1250" s="28" t="s">
        <v>7614</v>
      </c>
      <c r="L1250" s="28" t="s">
        <v>7088</v>
      </c>
      <c r="M1250" s="28" t="s">
        <v>7620</v>
      </c>
      <c r="N1250" s="28" t="s">
        <v>7090</v>
      </c>
      <c r="O1250" s="28" t="s">
        <v>7091</v>
      </c>
      <c r="P1250" s="28" t="s">
        <v>7621</v>
      </c>
    </row>
    <row r="1251" spans="1:16" x14ac:dyDescent="0.25">
      <c r="A1251" s="28" t="s">
        <v>7622</v>
      </c>
      <c r="B1251" s="28" t="s">
        <v>7623</v>
      </c>
      <c r="C1251" s="28" t="s">
        <v>7082</v>
      </c>
      <c r="D1251" s="28" t="s">
        <v>101</v>
      </c>
      <c r="E1251" s="28" t="s">
        <v>7519</v>
      </c>
      <c r="F1251" s="28" t="s">
        <v>6308</v>
      </c>
      <c r="G1251" s="28" t="s">
        <v>7084</v>
      </c>
      <c r="H1251" s="28" t="s">
        <v>7085</v>
      </c>
      <c r="I1251" s="28" t="s">
        <v>7624</v>
      </c>
      <c r="J1251" s="28" t="s">
        <v>7084</v>
      </c>
      <c r="K1251" s="28" t="s">
        <v>7614</v>
      </c>
      <c r="L1251" s="28" t="s">
        <v>7088</v>
      </c>
      <c r="M1251" s="28" t="s">
        <v>7625</v>
      </c>
      <c r="N1251" s="28" t="s">
        <v>7090</v>
      </c>
      <c r="O1251" s="28" t="s">
        <v>7091</v>
      </c>
      <c r="P1251" s="28" t="s">
        <v>7626</v>
      </c>
    </row>
    <row r="1252" spans="1:16" x14ac:dyDescent="0.25">
      <c r="A1252" s="28" t="s">
        <v>7627</v>
      </c>
      <c r="B1252" s="28" t="s">
        <v>7628</v>
      </c>
      <c r="C1252" s="28" t="s">
        <v>7082</v>
      </c>
      <c r="D1252" s="28" t="s">
        <v>101</v>
      </c>
      <c r="E1252" s="28" t="s">
        <v>7519</v>
      </c>
      <c r="F1252" s="28" t="s">
        <v>6308</v>
      </c>
      <c r="G1252" s="28" t="s">
        <v>7084</v>
      </c>
      <c r="H1252" s="28" t="s">
        <v>7085</v>
      </c>
      <c r="I1252" s="28" t="s">
        <v>7629</v>
      </c>
      <c r="J1252" s="28" t="s">
        <v>7084</v>
      </c>
      <c r="K1252" s="28" t="s">
        <v>7614</v>
      </c>
      <c r="L1252" s="28" t="s">
        <v>7088</v>
      </c>
      <c r="M1252" s="28" t="s">
        <v>7630</v>
      </c>
      <c r="N1252" s="28" t="s">
        <v>7090</v>
      </c>
      <c r="O1252" s="28" t="s">
        <v>7091</v>
      </c>
      <c r="P1252" s="28" t="s">
        <v>7631</v>
      </c>
    </row>
    <row r="1253" spans="1:16" x14ac:dyDescent="0.25">
      <c r="A1253" s="28" t="s">
        <v>7632</v>
      </c>
      <c r="B1253" s="28" t="s">
        <v>7633</v>
      </c>
      <c r="C1253" s="28" t="s">
        <v>7082</v>
      </c>
      <c r="D1253" s="28" t="s">
        <v>101</v>
      </c>
      <c r="E1253" s="28" t="s">
        <v>7519</v>
      </c>
      <c r="F1253" s="28" t="s">
        <v>6308</v>
      </c>
      <c r="G1253" s="28" t="s">
        <v>7084</v>
      </c>
      <c r="H1253" s="28" t="s">
        <v>7085</v>
      </c>
      <c r="I1253" s="28" t="s">
        <v>7634</v>
      </c>
      <c r="J1253" s="28" t="s">
        <v>7084</v>
      </c>
      <c r="K1253" s="28" t="s">
        <v>7614</v>
      </c>
      <c r="L1253" s="28" t="s">
        <v>7088</v>
      </c>
      <c r="M1253" s="28" t="s">
        <v>7635</v>
      </c>
      <c r="N1253" s="28" t="s">
        <v>7090</v>
      </c>
      <c r="O1253" s="28" t="s">
        <v>7091</v>
      </c>
      <c r="P1253" s="28" t="s">
        <v>7636</v>
      </c>
    </row>
    <row r="1254" spans="1:16" x14ac:dyDescent="0.25">
      <c r="A1254" s="28" t="s">
        <v>7637</v>
      </c>
      <c r="B1254" s="28" t="s">
        <v>7638</v>
      </c>
      <c r="C1254" s="28" t="s">
        <v>7082</v>
      </c>
      <c r="D1254" s="28" t="s">
        <v>101</v>
      </c>
      <c r="E1254" s="28" t="s">
        <v>7519</v>
      </c>
      <c r="F1254" s="28" t="s">
        <v>6308</v>
      </c>
      <c r="G1254" s="28" t="s">
        <v>7084</v>
      </c>
      <c r="H1254" s="28" t="s">
        <v>7085</v>
      </c>
      <c r="I1254" s="28" t="s">
        <v>7639</v>
      </c>
      <c r="J1254" s="28" t="s">
        <v>7084</v>
      </c>
      <c r="K1254" s="28" t="s">
        <v>7640</v>
      </c>
      <c r="L1254" s="28" t="s">
        <v>7088</v>
      </c>
      <c r="M1254" s="28" t="s">
        <v>7641</v>
      </c>
      <c r="N1254" s="28" t="s">
        <v>7090</v>
      </c>
      <c r="O1254" s="28" t="s">
        <v>7091</v>
      </c>
      <c r="P1254" s="28" t="s">
        <v>7642</v>
      </c>
    </row>
    <row r="1255" spans="1:16" x14ac:dyDescent="0.25">
      <c r="A1255" s="28" t="s">
        <v>7643</v>
      </c>
      <c r="B1255" s="28" t="s">
        <v>7644</v>
      </c>
      <c r="C1255" s="28" t="s">
        <v>7082</v>
      </c>
      <c r="D1255" s="28" t="s">
        <v>101</v>
      </c>
      <c r="E1255" s="28" t="s">
        <v>7519</v>
      </c>
      <c r="F1255" s="28" t="s">
        <v>6308</v>
      </c>
      <c r="G1255" s="28" t="s">
        <v>7084</v>
      </c>
      <c r="H1255" s="28" t="s">
        <v>7085</v>
      </c>
      <c r="I1255" s="28" t="s">
        <v>7645</v>
      </c>
      <c r="J1255" s="28" t="s">
        <v>7084</v>
      </c>
      <c r="K1255" s="28" t="s">
        <v>7640</v>
      </c>
      <c r="L1255" s="28" t="s">
        <v>7088</v>
      </c>
      <c r="M1255" s="28" t="s">
        <v>7646</v>
      </c>
      <c r="N1255" s="28" t="s">
        <v>7090</v>
      </c>
      <c r="O1255" s="28" t="s">
        <v>7091</v>
      </c>
      <c r="P1255" s="28" t="s">
        <v>7647</v>
      </c>
    </row>
    <row r="1256" spans="1:16" x14ac:dyDescent="0.25">
      <c r="A1256" s="28" t="s">
        <v>7648</v>
      </c>
      <c r="B1256" s="28" t="s">
        <v>7649</v>
      </c>
      <c r="C1256" s="28" t="s">
        <v>7082</v>
      </c>
      <c r="D1256" s="28" t="s">
        <v>101</v>
      </c>
      <c r="E1256" s="28" t="s">
        <v>7519</v>
      </c>
      <c r="F1256" s="28" t="s">
        <v>6308</v>
      </c>
      <c r="G1256" s="28" t="s">
        <v>7084</v>
      </c>
      <c r="H1256" s="28" t="s">
        <v>7085</v>
      </c>
      <c r="I1256" s="28" t="s">
        <v>7650</v>
      </c>
      <c r="J1256" s="28" t="s">
        <v>7084</v>
      </c>
      <c r="K1256" s="28" t="s">
        <v>7640</v>
      </c>
      <c r="L1256" s="28" t="s">
        <v>7088</v>
      </c>
      <c r="M1256" s="28" t="s">
        <v>7651</v>
      </c>
      <c r="N1256" s="28" t="s">
        <v>7090</v>
      </c>
      <c r="O1256" s="28" t="s">
        <v>7091</v>
      </c>
      <c r="P1256" s="28" t="s">
        <v>7652</v>
      </c>
    </row>
    <row r="1257" spans="1:16" x14ac:dyDescent="0.25">
      <c r="A1257" s="28" t="s">
        <v>7653</v>
      </c>
      <c r="B1257" s="28" t="s">
        <v>7654</v>
      </c>
      <c r="C1257" s="28" t="s">
        <v>7082</v>
      </c>
      <c r="D1257" s="28" t="s">
        <v>101</v>
      </c>
      <c r="E1257" s="28" t="s">
        <v>7519</v>
      </c>
      <c r="F1257" s="28" t="s">
        <v>6308</v>
      </c>
      <c r="G1257" s="28" t="s">
        <v>7084</v>
      </c>
      <c r="H1257" s="28" t="s">
        <v>7085</v>
      </c>
      <c r="I1257" s="28" t="s">
        <v>7655</v>
      </c>
      <c r="J1257" s="28" t="s">
        <v>7084</v>
      </c>
      <c r="K1257" s="28" t="s">
        <v>7640</v>
      </c>
      <c r="L1257" s="28" t="s">
        <v>7088</v>
      </c>
      <c r="M1257" s="28" t="s">
        <v>7656</v>
      </c>
      <c r="N1257" s="28" t="s">
        <v>7090</v>
      </c>
      <c r="O1257" s="28" t="s">
        <v>7091</v>
      </c>
      <c r="P1257" s="28" t="s">
        <v>7657</v>
      </c>
    </row>
    <row r="1258" spans="1:16" x14ac:dyDescent="0.25">
      <c r="A1258" s="28" t="s">
        <v>7658</v>
      </c>
      <c r="B1258" s="28" t="s">
        <v>7659</v>
      </c>
      <c r="C1258" s="28" t="s">
        <v>7082</v>
      </c>
      <c r="D1258" s="28" t="s">
        <v>101</v>
      </c>
      <c r="E1258" s="28" t="s">
        <v>7519</v>
      </c>
      <c r="F1258" s="28" t="s">
        <v>6308</v>
      </c>
      <c r="G1258" s="28" t="s">
        <v>7084</v>
      </c>
      <c r="H1258" s="28" t="s">
        <v>7085</v>
      </c>
      <c r="I1258" s="28" t="s">
        <v>7660</v>
      </c>
      <c r="J1258" s="28" t="s">
        <v>7084</v>
      </c>
      <c r="K1258" s="28" t="s">
        <v>7640</v>
      </c>
      <c r="L1258" s="28" t="s">
        <v>7088</v>
      </c>
      <c r="M1258" s="28" t="s">
        <v>7661</v>
      </c>
      <c r="N1258" s="28" t="s">
        <v>7090</v>
      </c>
      <c r="O1258" s="28" t="s">
        <v>7091</v>
      </c>
      <c r="P1258" s="28" t="s">
        <v>7662</v>
      </c>
    </row>
    <row r="1259" spans="1:16" x14ac:dyDescent="0.25">
      <c r="A1259" s="28" t="s">
        <v>7663</v>
      </c>
      <c r="B1259" s="28" t="s">
        <v>7664</v>
      </c>
      <c r="C1259" s="28" t="s">
        <v>7082</v>
      </c>
      <c r="D1259" s="28" t="s">
        <v>101</v>
      </c>
      <c r="E1259" s="28" t="s">
        <v>7519</v>
      </c>
      <c r="F1259" s="28" t="s">
        <v>6308</v>
      </c>
      <c r="G1259" s="28" t="s">
        <v>7084</v>
      </c>
      <c r="H1259" s="28" t="s">
        <v>7085</v>
      </c>
      <c r="I1259" s="28" t="s">
        <v>7665</v>
      </c>
      <c r="J1259" s="28" t="s">
        <v>7084</v>
      </c>
      <c r="K1259" s="28" t="s">
        <v>7666</v>
      </c>
      <c r="L1259" s="28" t="s">
        <v>7088</v>
      </c>
      <c r="M1259" s="28" t="s">
        <v>7667</v>
      </c>
      <c r="N1259" s="28" t="s">
        <v>7090</v>
      </c>
      <c r="O1259" s="28" t="s">
        <v>7091</v>
      </c>
      <c r="P1259" s="28" t="s">
        <v>7668</v>
      </c>
    </row>
    <row r="1260" spans="1:16" x14ac:dyDescent="0.25">
      <c r="A1260" s="28" t="s">
        <v>7669</v>
      </c>
      <c r="B1260" s="28" t="s">
        <v>7670</v>
      </c>
      <c r="C1260" s="28" t="s">
        <v>7082</v>
      </c>
      <c r="D1260" s="28" t="s">
        <v>101</v>
      </c>
      <c r="E1260" s="28" t="s">
        <v>7519</v>
      </c>
      <c r="F1260" s="28" t="s">
        <v>6308</v>
      </c>
      <c r="G1260" s="28" t="s">
        <v>7084</v>
      </c>
      <c r="H1260" s="28" t="s">
        <v>7085</v>
      </c>
      <c r="I1260" s="28" t="s">
        <v>7671</v>
      </c>
      <c r="J1260" s="28" t="s">
        <v>7084</v>
      </c>
      <c r="K1260" s="28" t="s">
        <v>7672</v>
      </c>
      <c r="L1260" s="28" t="s">
        <v>7088</v>
      </c>
      <c r="M1260" s="28" t="s">
        <v>7673</v>
      </c>
      <c r="N1260" s="28" t="s">
        <v>7090</v>
      </c>
      <c r="O1260" s="28" t="s">
        <v>7091</v>
      </c>
      <c r="P1260" s="28" t="s">
        <v>7674</v>
      </c>
    </row>
    <row r="1261" spans="1:16" x14ac:dyDescent="0.25">
      <c r="A1261" s="28" t="s">
        <v>7675</v>
      </c>
      <c r="B1261" s="28" t="s">
        <v>7676</v>
      </c>
      <c r="C1261" s="28" t="s">
        <v>7082</v>
      </c>
      <c r="D1261" s="28" t="s">
        <v>101</v>
      </c>
      <c r="E1261" s="28" t="s">
        <v>7519</v>
      </c>
      <c r="F1261" s="28" t="s">
        <v>6308</v>
      </c>
      <c r="G1261" s="28" t="s">
        <v>7084</v>
      </c>
      <c r="H1261" s="28" t="s">
        <v>7085</v>
      </c>
      <c r="I1261" s="28" t="s">
        <v>7677</v>
      </c>
      <c r="J1261" s="28" t="s">
        <v>7084</v>
      </c>
      <c r="K1261" s="28" t="s">
        <v>7672</v>
      </c>
      <c r="L1261" s="28" t="s">
        <v>7088</v>
      </c>
      <c r="M1261" s="28" t="s">
        <v>7678</v>
      </c>
      <c r="N1261" s="28" t="s">
        <v>7090</v>
      </c>
      <c r="O1261" s="28" t="s">
        <v>7091</v>
      </c>
      <c r="P1261" s="28" t="s">
        <v>7679</v>
      </c>
    </row>
    <row r="1262" spans="1:16" x14ac:dyDescent="0.25">
      <c r="A1262" s="28" t="s">
        <v>7680</v>
      </c>
      <c r="B1262" s="28" t="s">
        <v>7681</v>
      </c>
      <c r="C1262" s="28" t="s">
        <v>7082</v>
      </c>
      <c r="D1262" s="28" t="s">
        <v>101</v>
      </c>
      <c r="E1262" s="28" t="s">
        <v>7519</v>
      </c>
      <c r="F1262" s="28" t="s">
        <v>6308</v>
      </c>
      <c r="G1262" s="28" t="s">
        <v>7084</v>
      </c>
      <c r="H1262" s="28" t="s">
        <v>7085</v>
      </c>
      <c r="I1262" s="28" t="s">
        <v>7682</v>
      </c>
      <c r="J1262" s="28" t="s">
        <v>7084</v>
      </c>
      <c r="K1262" s="28" t="s">
        <v>7672</v>
      </c>
      <c r="L1262" s="28" t="s">
        <v>7088</v>
      </c>
      <c r="M1262" s="28" t="s">
        <v>7683</v>
      </c>
      <c r="N1262" s="28" t="s">
        <v>7090</v>
      </c>
      <c r="O1262" s="28" t="s">
        <v>7091</v>
      </c>
      <c r="P1262" s="28" t="s">
        <v>7684</v>
      </c>
    </row>
    <row r="1263" spans="1:16" x14ac:dyDescent="0.25">
      <c r="A1263" s="28" t="s">
        <v>7685</v>
      </c>
      <c r="B1263" s="28" t="s">
        <v>7686</v>
      </c>
      <c r="C1263" s="28" t="s">
        <v>7082</v>
      </c>
      <c r="D1263" s="28" t="s">
        <v>101</v>
      </c>
      <c r="E1263" s="28" t="s">
        <v>7519</v>
      </c>
      <c r="F1263" s="28" t="s">
        <v>6308</v>
      </c>
      <c r="G1263" s="28" t="s">
        <v>7084</v>
      </c>
      <c r="H1263" s="28" t="s">
        <v>7085</v>
      </c>
      <c r="I1263" s="28" t="s">
        <v>7687</v>
      </c>
      <c r="J1263" s="28" t="s">
        <v>7084</v>
      </c>
      <c r="K1263" s="28" t="s">
        <v>7672</v>
      </c>
      <c r="L1263" s="28" t="s">
        <v>7088</v>
      </c>
      <c r="M1263" s="28" t="s">
        <v>7688</v>
      </c>
      <c r="N1263" s="28" t="s">
        <v>7090</v>
      </c>
      <c r="O1263" s="28" t="s">
        <v>7091</v>
      </c>
      <c r="P1263" s="28" t="s">
        <v>7689</v>
      </c>
    </row>
    <row r="1264" spans="1:16" x14ac:dyDescent="0.25">
      <c r="A1264" s="28" t="s">
        <v>7690</v>
      </c>
      <c r="B1264" s="28" t="s">
        <v>7691</v>
      </c>
      <c r="C1264" s="28" t="s">
        <v>7082</v>
      </c>
      <c r="D1264" s="28" t="s">
        <v>101</v>
      </c>
      <c r="E1264" s="28" t="s">
        <v>7519</v>
      </c>
      <c r="F1264" s="28" t="s">
        <v>6308</v>
      </c>
      <c r="G1264" s="28" t="s">
        <v>7084</v>
      </c>
      <c r="H1264" s="28" t="s">
        <v>7085</v>
      </c>
      <c r="I1264" s="28" t="s">
        <v>7692</v>
      </c>
      <c r="J1264" s="28" t="s">
        <v>7084</v>
      </c>
      <c r="K1264" s="28" t="s">
        <v>7693</v>
      </c>
      <c r="L1264" s="28" t="s">
        <v>7088</v>
      </c>
      <c r="M1264" s="28" t="s">
        <v>7694</v>
      </c>
      <c r="N1264" s="28" t="s">
        <v>7090</v>
      </c>
      <c r="O1264" s="28" t="s">
        <v>7091</v>
      </c>
      <c r="P1264" s="28" t="s">
        <v>7695</v>
      </c>
    </row>
    <row r="1265" spans="1:16" x14ac:dyDescent="0.25">
      <c r="A1265" s="28" t="s">
        <v>7696</v>
      </c>
      <c r="B1265" s="28" t="s">
        <v>7697</v>
      </c>
      <c r="C1265" s="28" t="s">
        <v>7082</v>
      </c>
      <c r="D1265" s="28" t="s">
        <v>101</v>
      </c>
      <c r="E1265" s="28" t="s">
        <v>7698</v>
      </c>
      <c r="F1265" s="28" t="s">
        <v>6308</v>
      </c>
      <c r="G1265" s="28" t="s">
        <v>7084</v>
      </c>
      <c r="H1265" s="28" t="s">
        <v>7085</v>
      </c>
      <c r="I1265" s="28" t="s">
        <v>7699</v>
      </c>
      <c r="J1265" s="28" t="s">
        <v>7084</v>
      </c>
      <c r="K1265" s="28" t="s">
        <v>7700</v>
      </c>
      <c r="L1265" s="28" t="s">
        <v>7088</v>
      </c>
      <c r="M1265" s="28" t="s">
        <v>7701</v>
      </c>
      <c r="N1265" s="28" t="s">
        <v>7090</v>
      </c>
      <c r="O1265" s="28" t="s">
        <v>7091</v>
      </c>
      <c r="P1265" s="28" t="s">
        <v>7702</v>
      </c>
    </row>
    <row r="1266" spans="1:16" x14ac:dyDescent="0.25">
      <c r="A1266" s="28" t="s">
        <v>7703</v>
      </c>
      <c r="B1266" s="28" t="s">
        <v>7704</v>
      </c>
      <c r="C1266" s="28" t="s">
        <v>7082</v>
      </c>
      <c r="D1266" s="28" t="s">
        <v>101</v>
      </c>
      <c r="E1266" s="28" t="s">
        <v>7698</v>
      </c>
      <c r="F1266" s="28" t="s">
        <v>6308</v>
      </c>
      <c r="G1266" s="28" t="s">
        <v>7084</v>
      </c>
      <c r="H1266" s="28" t="s">
        <v>7085</v>
      </c>
      <c r="I1266" s="28" t="s">
        <v>7705</v>
      </c>
      <c r="J1266" s="28" t="s">
        <v>7084</v>
      </c>
      <c r="K1266" s="28" t="s">
        <v>7700</v>
      </c>
      <c r="L1266" s="28" t="s">
        <v>7088</v>
      </c>
      <c r="M1266" s="28" t="s">
        <v>7706</v>
      </c>
      <c r="N1266" s="28" t="s">
        <v>7090</v>
      </c>
      <c r="O1266" s="28" t="s">
        <v>7091</v>
      </c>
      <c r="P1266" s="28" t="s">
        <v>7707</v>
      </c>
    </row>
    <row r="1267" spans="1:16" x14ac:dyDescent="0.25">
      <c r="A1267" s="28" t="s">
        <v>7708</v>
      </c>
      <c r="B1267" s="28" t="s">
        <v>7709</v>
      </c>
      <c r="C1267" s="28" t="s">
        <v>7082</v>
      </c>
      <c r="D1267" s="28" t="s">
        <v>101</v>
      </c>
      <c r="E1267" s="28" t="s">
        <v>7465</v>
      </c>
      <c r="F1267" s="28" t="s">
        <v>6308</v>
      </c>
      <c r="G1267" s="28" t="s">
        <v>7084</v>
      </c>
      <c r="H1267" s="28" t="s">
        <v>7085</v>
      </c>
      <c r="I1267" s="28" t="s">
        <v>7710</v>
      </c>
      <c r="J1267" s="28" t="s">
        <v>7084</v>
      </c>
      <c r="K1267" s="28" t="s">
        <v>7711</v>
      </c>
      <c r="L1267" s="28" t="s">
        <v>7088</v>
      </c>
      <c r="M1267" s="28" t="s">
        <v>7712</v>
      </c>
      <c r="N1267" s="28" t="s">
        <v>7090</v>
      </c>
      <c r="O1267" s="28" t="s">
        <v>7091</v>
      </c>
      <c r="P1267" s="28" t="s">
        <v>7713</v>
      </c>
    </row>
    <row r="1268" spans="1:16" x14ac:dyDescent="0.25">
      <c r="A1268" s="28" t="s">
        <v>7714</v>
      </c>
      <c r="B1268" s="28" t="s">
        <v>7715</v>
      </c>
      <c r="C1268" s="28" t="s">
        <v>7082</v>
      </c>
      <c r="D1268" s="28" t="s">
        <v>101</v>
      </c>
      <c r="E1268" s="28" t="s">
        <v>7716</v>
      </c>
      <c r="F1268" s="28" t="s">
        <v>6308</v>
      </c>
      <c r="G1268" s="28" t="s">
        <v>7084</v>
      </c>
      <c r="H1268" s="28" t="s">
        <v>7085</v>
      </c>
      <c r="I1268" s="28" t="s">
        <v>7717</v>
      </c>
      <c r="J1268" s="28" t="s">
        <v>7084</v>
      </c>
      <c r="K1268" s="28" t="s">
        <v>7718</v>
      </c>
      <c r="L1268" s="28" t="s">
        <v>7088</v>
      </c>
      <c r="M1268" s="28" t="s">
        <v>7719</v>
      </c>
      <c r="N1268" s="28" t="s">
        <v>7090</v>
      </c>
      <c r="O1268" s="28" t="s">
        <v>7091</v>
      </c>
      <c r="P1268" s="28" t="s">
        <v>7720</v>
      </c>
    </row>
    <row r="1269" spans="1:16" x14ac:dyDescent="0.25">
      <c r="A1269" s="28" t="s">
        <v>7721</v>
      </c>
      <c r="B1269" s="28" t="s">
        <v>7722</v>
      </c>
      <c r="C1269" s="28" t="s">
        <v>7082</v>
      </c>
      <c r="D1269" s="28" t="s">
        <v>101</v>
      </c>
      <c r="E1269" s="28" t="s">
        <v>7465</v>
      </c>
      <c r="F1269" s="28" t="s">
        <v>6308</v>
      </c>
      <c r="G1269" s="28" t="s">
        <v>7084</v>
      </c>
      <c r="H1269" s="28" t="s">
        <v>7085</v>
      </c>
      <c r="I1269" s="28" t="s">
        <v>7723</v>
      </c>
      <c r="J1269" s="28" t="s">
        <v>7084</v>
      </c>
      <c r="K1269" s="28" t="s">
        <v>7724</v>
      </c>
      <c r="L1269" s="28" t="s">
        <v>7088</v>
      </c>
      <c r="M1269" s="28" t="s">
        <v>7725</v>
      </c>
      <c r="N1269" s="28" t="s">
        <v>7090</v>
      </c>
      <c r="O1269" s="28" t="s">
        <v>7091</v>
      </c>
      <c r="P1269" s="28" t="s">
        <v>7726</v>
      </c>
    </row>
    <row r="1270" spans="1:16" x14ac:dyDescent="0.25">
      <c r="A1270" s="28" t="s">
        <v>7727</v>
      </c>
      <c r="B1270" s="28" t="s">
        <v>7728</v>
      </c>
      <c r="C1270" s="28" t="s">
        <v>7082</v>
      </c>
      <c r="D1270" s="28" t="s">
        <v>101</v>
      </c>
      <c r="E1270" s="28" t="s">
        <v>7465</v>
      </c>
      <c r="F1270" s="28" t="s">
        <v>6308</v>
      </c>
      <c r="G1270" s="28" t="s">
        <v>7084</v>
      </c>
      <c r="H1270" s="28" t="s">
        <v>7085</v>
      </c>
      <c r="I1270" s="28" t="s">
        <v>7729</v>
      </c>
      <c r="J1270" s="28" t="s">
        <v>7084</v>
      </c>
      <c r="K1270" s="28" t="s">
        <v>7730</v>
      </c>
      <c r="L1270" s="28" t="s">
        <v>7088</v>
      </c>
      <c r="M1270" s="28" t="s">
        <v>7731</v>
      </c>
      <c r="N1270" s="28" t="s">
        <v>7090</v>
      </c>
      <c r="O1270" s="28" t="s">
        <v>7091</v>
      </c>
      <c r="P1270" s="28" t="s">
        <v>7732</v>
      </c>
    </row>
    <row r="1271" spans="1:16" x14ac:dyDescent="0.25">
      <c r="A1271" s="28" t="s">
        <v>7733</v>
      </c>
      <c r="B1271" s="28" t="s">
        <v>7734</v>
      </c>
      <c r="C1271" s="28" t="s">
        <v>7082</v>
      </c>
      <c r="D1271" s="28" t="s">
        <v>101</v>
      </c>
      <c r="E1271" s="28" t="s">
        <v>7465</v>
      </c>
      <c r="F1271" s="28" t="s">
        <v>6308</v>
      </c>
      <c r="G1271" s="28" t="s">
        <v>7084</v>
      </c>
      <c r="H1271" s="28" t="s">
        <v>7085</v>
      </c>
      <c r="I1271" s="28" t="s">
        <v>7735</v>
      </c>
      <c r="J1271" s="28" t="s">
        <v>7084</v>
      </c>
      <c r="K1271" s="28" t="s">
        <v>7736</v>
      </c>
      <c r="L1271" s="28" t="s">
        <v>7088</v>
      </c>
      <c r="M1271" s="28" t="s">
        <v>7737</v>
      </c>
      <c r="N1271" s="28" t="s">
        <v>7090</v>
      </c>
      <c r="O1271" s="28" t="s">
        <v>7091</v>
      </c>
      <c r="P1271" s="28" t="s">
        <v>7738</v>
      </c>
    </row>
    <row r="1272" spans="1:16" x14ac:dyDescent="0.25">
      <c r="A1272" s="28" t="s">
        <v>7739</v>
      </c>
      <c r="B1272" s="28" t="s">
        <v>7740</v>
      </c>
      <c r="C1272" s="28" t="s">
        <v>7082</v>
      </c>
      <c r="D1272" s="28" t="s">
        <v>101</v>
      </c>
      <c r="E1272" s="28" t="s">
        <v>7465</v>
      </c>
      <c r="F1272" s="28" t="s">
        <v>6308</v>
      </c>
      <c r="G1272" s="28" t="s">
        <v>7084</v>
      </c>
      <c r="H1272" s="28" t="s">
        <v>7085</v>
      </c>
      <c r="I1272" s="28" t="s">
        <v>7741</v>
      </c>
      <c r="J1272" s="28" t="s">
        <v>7084</v>
      </c>
      <c r="K1272" s="28" t="s">
        <v>7742</v>
      </c>
      <c r="L1272" s="28" t="s">
        <v>7088</v>
      </c>
      <c r="M1272" s="28" t="s">
        <v>7743</v>
      </c>
      <c r="N1272" s="28" t="s">
        <v>7090</v>
      </c>
      <c r="O1272" s="28" t="s">
        <v>7091</v>
      </c>
      <c r="P1272" s="28" t="s">
        <v>7744</v>
      </c>
    </row>
    <row r="1273" spans="1:16" x14ac:dyDescent="0.25">
      <c r="A1273" s="28" t="s">
        <v>7745</v>
      </c>
      <c r="B1273" s="28" t="s">
        <v>7746</v>
      </c>
      <c r="C1273" s="28" t="s">
        <v>7082</v>
      </c>
      <c r="D1273" s="28" t="s">
        <v>101</v>
      </c>
      <c r="E1273" s="28" t="s">
        <v>7465</v>
      </c>
      <c r="F1273" s="28" t="s">
        <v>6308</v>
      </c>
      <c r="G1273" s="28" t="s">
        <v>7084</v>
      </c>
      <c r="H1273" s="28" t="s">
        <v>7085</v>
      </c>
      <c r="I1273" s="28" t="s">
        <v>7747</v>
      </c>
      <c r="J1273" s="28" t="s">
        <v>7084</v>
      </c>
      <c r="K1273" s="28" t="s">
        <v>7748</v>
      </c>
      <c r="L1273" s="28" t="s">
        <v>7088</v>
      </c>
      <c r="M1273" s="28" t="s">
        <v>7749</v>
      </c>
      <c r="N1273" s="28" t="s">
        <v>7090</v>
      </c>
      <c r="O1273" s="28" t="s">
        <v>7091</v>
      </c>
      <c r="P1273" s="28" t="s">
        <v>7750</v>
      </c>
    </row>
    <row r="1274" spans="1:16" x14ac:dyDescent="0.25">
      <c r="A1274" s="28" t="s">
        <v>7751</v>
      </c>
      <c r="B1274" s="28" t="s">
        <v>7752</v>
      </c>
      <c r="C1274" s="28" t="s">
        <v>7082</v>
      </c>
      <c r="D1274" s="28" t="s">
        <v>5372</v>
      </c>
      <c r="E1274" s="28" t="s">
        <v>121</v>
      </c>
      <c r="F1274" s="28" t="s">
        <v>6308</v>
      </c>
      <c r="G1274" s="28" t="s">
        <v>7084</v>
      </c>
      <c r="H1274" s="28" t="s">
        <v>7085</v>
      </c>
      <c r="I1274" s="28" t="s">
        <v>7753</v>
      </c>
      <c r="J1274" s="28" t="s">
        <v>7084</v>
      </c>
      <c r="K1274" s="28" t="s">
        <v>7222</v>
      </c>
      <c r="L1274" s="28" t="s">
        <v>7088</v>
      </c>
      <c r="M1274" s="28" t="s">
        <v>7754</v>
      </c>
      <c r="N1274" s="28" t="s">
        <v>7090</v>
      </c>
      <c r="O1274" s="28" t="s">
        <v>7091</v>
      </c>
      <c r="P1274" s="28" t="s">
        <v>7755</v>
      </c>
    </row>
    <row r="1275" spans="1:16" x14ac:dyDescent="0.25">
      <c r="A1275" s="28" t="s">
        <v>7756</v>
      </c>
      <c r="B1275" s="28" t="s">
        <v>7757</v>
      </c>
      <c r="C1275" s="28" t="s">
        <v>7082</v>
      </c>
      <c r="D1275" s="28" t="s">
        <v>5372</v>
      </c>
      <c r="E1275" s="28" t="s">
        <v>121</v>
      </c>
      <c r="F1275" s="28" t="s">
        <v>6308</v>
      </c>
      <c r="G1275" s="28" t="s">
        <v>7084</v>
      </c>
      <c r="H1275" s="28" t="s">
        <v>7085</v>
      </c>
      <c r="I1275" s="28" t="s">
        <v>7758</v>
      </c>
      <c r="J1275" s="28" t="s">
        <v>7084</v>
      </c>
      <c r="K1275" s="28" t="s">
        <v>7228</v>
      </c>
      <c r="L1275" s="28" t="s">
        <v>7088</v>
      </c>
      <c r="M1275" s="28" t="s">
        <v>7759</v>
      </c>
      <c r="N1275" s="28" t="s">
        <v>7090</v>
      </c>
      <c r="O1275" s="28" t="s">
        <v>7091</v>
      </c>
      <c r="P1275" s="28" t="s">
        <v>7760</v>
      </c>
    </row>
    <row r="1276" spans="1:16" x14ac:dyDescent="0.25">
      <c r="A1276" s="28" t="s">
        <v>7761</v>
      </c>
      <c r="B1276" s="28" t="s">
        <v>7762</v>
      </c>
      <c r="C1276" s="28" t="s">
        <v>7082</v>
      </c>
      <c r="D1276" s="28" t="s">
        <v>19</v>
      </c>
      <c r="E1276" s="28" t="s">
        <v>170</v>
      </c>
      <c r="F1276" s="28" t="s">
        <v>6308</v>
      </c>
      <c r="G1276" s="28" t="s">
        <v>7084</v>
      </c>
      <c r="H1276" s="28" t="s">
        <v>7085</v>
      </c>
      <c r="I1276" s="28" t="s">
        <v>7763</v>
      </c>
      <c r="J1276" s="28" t="s">
        <v>7084</v>
      </c>
      <c r="K1276" s="28" t="s">
        <v>7116</v>
      </c>
      <c r="L1276" s="28" t="s">
        <v>7088</v>
      </c>
      <c r="M1276" s="28" t="s">
        <v>7764</v>
      </c>
      <c r="N1276" s="28" t="s">
        <v>7090</v>
      </c>
      <c r="O1276" s="28" t="s">
        <v>7091</v>
      </c>
      <c r="P1276" s="28" t="s">
        <v>7765</v>
      </c>
    </row>
    <row r="1277" spans="1:16" x14ac:dyDescent="0.25">
      <c r="A1277" s="28" t="s">
        <v>7766</v>
      </c>
      <c r="B1277" s="28" t="s">
        <v>7767</v>
      </c>
      <c r="C1277" s="28" t="s">
        <v>7082</v>
      </c>
      <c r="D1277" s="28" t="s">
        <v>19</v>
      </c>
      <c r="E1277" s="28" t="s">
        <v>170</v>
      </c>
      <c r="F1277" s="28" t="s">
        <v>6308</v>
      </c>
      <c r="G1277" s="28" t="s">
        <v>7084</v>
      </c>
      <c r="H1277" s="28" t="s">
        <v>7085</v>
      </c>
      <c r="I1277" s="28" t="s">
        <v>7768</v>
      </c>
      <c r="J1277" s="28" t="s">
        <v>7084</v>
      </c>
      <c r="K1277" s="28" t="s">
        <v>7116</v>
      </c>
      <c r="L1277" s="28" t="s">
        <v>7088</v>
      </c>
      <c r="M1277" s="28" t="s">
        <v>7769</v>
      </c>
      <c r="N1277" s="28" t="s">
        <v>7090</v>
      </c>
      <c r="O1277" s="28" t="s">
        <v>7091</v>
      </c>
      <c r="P1277" s="28" t="s">
        <v>7770</v>
      </c>
    </row>
    <row r="1278" spans="1:16" x14ac:dyDescent="0.25">
      <c r="A1278" s="28" t="s">
        <v>7771</v>
      </c>
      <c r="B1278" s="28" t="s">
        <v>7772</v>
      </c>
      <c r="C1278" s="28" t="s">
        <v>7082</v>
      </c>
      <c r="D1278" s="28" t="s">
        <v>19</v>
      </c>
      <c r="E1278" s="28" t="s">
        <v>7773</v>
      </c>
      <c r="F1278" s="28" t="s">
        <v>6308</v>
      </c>
      <c r="G1278" s="28" t="s">
        <v>7084</v>
      </c>
      <c r="H1278" s="28" t="s">
        <v>7085</v>
      </c>
      <c r="I1278" s="28" t="s">
        <v>7774</v>
      </c>
      <c r="J1278" s="28" t="s">
        <v>7084</v>
      </c>
      <c r="K1278" s="28" t="s">
        <v>7775</v>
      </c>
      <c r="L1278" s="28" t="s">
        <v>7088</v>
      </c>
      <c r="M1278" s="28" t="s">
        <v>7776</v>
      </c>
      <c r="N1278" s="28" t="s">
        <v>7090</v>
      </c>
      <c r="O1278" s="28" t="s">
        <v>7091</v>
      </c>
      <c r="P1278" s="28" t="s">
        <v>7777</v>
      </c>
    </row>
    <row r="1279" spans="1:16" x14ac:dyDescent="0.25">
      <c r="A1279" s="28" t="s">
        <v>7778</v>
      </c>
      <c r="B1279" s="28" t="s">
        <v>7779</v>
      </c>
      <c r="C1279" s="28" t="s">
        <v>7082</v>
      </c>
      <c r="D1279" s="28" t="s">
        <v>19</v>
      </c>
      <c r="E1279" s="28" t="s">
        <v>170</v>
      </c>
      <c r="F1279" s="28" t="s">
        <v>6308</v>
      </c>
      <c r="G1279" s="28" t="s">
        <v>7084</v>
      </c>
      <c r="H1279" s="28" t="s">
        <v>7085</v>
      </c>
      <c r="I1279" s="28" t="s">
        <v>7780</v>
      </c>
      <c r="J1279" s="28" t="s">
        <v>7084</v>
      </c>
      <c r="K1279" s="28" t="s">
        <v>7781</v>
      </c>
      <c r="L1279" s="28" t="s">
        <v>7088</v>
      </c>
      <c r="M1279" s="28" t="s">
        <v>7782</v>
      </c>
      <c r="N1279" s="28" t="s">
        <v>7090</v>
      </c>
      <c r="O1279" s="28" t="s">
        <v>7091</v>
      </c>
      <c r="P1279" s="28" t="s">
        <v>7783</v>
      </c>
    </row>
    <row r="1280" spans="1:16" x14ac:dyDescent="0.25">
      <c r="A1280" s="28" t="s">
        <v>7784</v>
      </c>
      <c r="B1280" s="28" t="s">
        <v>7785</v>
      </c>
      <c r="C1280" s="28" t="s">
        <v>7082</v>
      </c>
      <c r="D1280" s="28" t="s">
        <v>1358</v>
      </c>
      <c r="E1280" s="28" t="s">
        <v>7114</v>
      </c>
      <c r="F1280" s="28" t="s">
        <v>21</v>
      </c>
      <c r="G1280" s="28" t="s">
        <v>7084</v>
      </c>
      <c r="H1280" s="28" t="s">
        <v>7085</v>
      </c>
      <c r="I1280" s="28" t="s">
        <v>7786</v>
      </c>
      <c r="J1280" s="28" t="s">
        <v>7084</v>
      </c>
      <c r="K1280" s="28" t="s">
        <v>7116</v>
      </c>
      <c r="L1280" s="28" t="s">
        <v>7088</v>
      </c>
      <c r="M1280" s="28" t="s">
        <v>7787</v>
      </c>
      <c r="N1280" s="28" t="s">
        <v>7090</v>
      </c>
      <c r="O1280" s="28" t="s">
        <v>7091</v>
      </c>
      <c r="P1280" s="28" t="s">
        <v>7788</v>
      </c>
    </row>
    <row r="1281" spans="1:16" x14ac:dyDescent="0.25">
      <c r="A1281" s="28" t="s">
        <v>7789</v>
      </c>
      <c r="B1281" s="28" t="s">
        <v>7790</v>
      </c>
      <c r="C1281" s="28" t="s">
        <v>7082</v>
      </c>
      <c r="D1281" s="28" t="s">
        <v>1418</v>
      </c>
      <c r="E1281" s="28" t="s">
        <v>7133</v>
      </c>
      <c r="F1281" s="28" t="s">
        <v>21</v>
      </c>
      <c r="G1281" s="28" t="s">
        <v>7084</v>
      </c>
      <c r="H1281" s="28" t="s">
        <v>7085</v>
      </c>
      <c r="I1281" s="28" t="s">
        <v>7791</v>
      </c>
      <c r="J1281" s="28" t="s">
        <v>7084</v>
      </c>
      <c r="K1281" s="28" t="s">
        <v>7135</v>
      </c>
      <c r="L1281" s="28" t="s">
        <v>7088</v>
      </c>
      <c r="M1281" s="28" t="s">
        <v>7792</v>
      </c>
      <c r="N1281" s="28" t="s">
        <v>7090</v>
      </c>
      <c r="O1281" s="28" t="s">
        <v>7091</v>
      </c>
      <c r="P1281" s="28" t="s">
        <v>7793</v>
      </c>
    </row>
    <row r="1282" spans="1:16" x14ac:dyDescent="0.25">
      <c r="A1282" s="28" t="s">
        <v>7794</v>
      </c>
      <c r="B1282" s="28" t="s">
        <v>7795</v>
      </c>
      <c r="C1282" s="28" t="s">
        <v>7082</v>
      </c>
      <c r="D1282" s="28" t="s">
        <v>1418</v>
      </c>
      <c r="E1282" s="28" t="s">
        <v>7140</v>
      </c>
      <c r="F1282" s="28" t="s">
        <v>21</v>
      </c>
      <c r="G1282" s="28" t="s">
        <v>7084</v>
      </c>
      <c r="H1282" s="28" t="s">
        <v>7085</v>
      </c>
      <c r="I1282" s="28" t="s">
        <v>7796</v>
      </c>
      <c r="J1282" s="28" t="s">
        <v>7084</v>
      </c>
      <c r="K1282" s="28" t="s">
        <v>7135</v>
      </c>
      <c r="L1282" s="28" t="s">
        <v>7088</v>
      </c>
      <c r="M1282" s="28" t="s">
        <v>7797</v>
      </c>
      <c r="N1282" s="28" t="s">
        <v>7090</v>
      </c>
      <c r="O1282" s="28" t="s">
        <v>7091</v>
      </c>
      <c r="P1282" s="28" t="s">
        <v>7798</v>
      </c>
    </row>
    <row r="1283" spans="1:16" x14ac:dyDescent="0.25">
      <c r="A1283" s="28" t="s">
        <v>7799</v>
      </c>
      <c r="B1283" s="28" t="s">
        <v>7800</v>
      </c>
      <c r="C1283" s="28" t="s">
        <v>7082</v>
      </c>
      <c r="D1283" s="28" t="s">
        <v>1940</v>
      </c>
      <c r="E1283" s="28" t="s">
        <v>2023</v>
      </c>
      <c r="F1283" s="28" t="s">
        <v>21</v>
      </c>
      <c r="G1283" s="28" t="s">
        <v>7084</v>
      </c>
      <c r="H1283" s="28" t="s">
        <v>7085</v>
      </c>
      <c r="I1283" s="28" t="s">
        <v>7801</v>
      </c>
      <c r="J1283" s="28" t="s">
        <v>7084</v>
      </c>
      <c r="K1283" s="28" t="s">
        <v>7208</v>
      </c>
      <c r="L1283" s="28" t="s">
        <v>7088</v>
      </c>
      <c r="M1283" s="28" t="s">
        <v>7802</v>
      </c>
      <c r="N1283" s="28" t="s">
        <v>7090</v>
      </c>
      <c r="O1283" s="28" t="s">
        <v>7091</v>
      </c>
      <c r="P1283" s="28" t="s">
        <v>7803</v>
      </c>
    </row>
    <row r="1284" spans="1:16" x14ac:dyDescent="0.25">
      <c r="A1284" s="28" t="s">
        <v>7804</v>
      </c>
      <c r="B1284" s="28" t="s">
        <v>7805</v>
      </c>
      <c r="C1284" s="28" t="s">
        <v>7082</v>
      </c>
      <c r="D1284" s="28" t="s">
        <v>2117</v>
      </c>
      <c r="E1284" s="28" t="s">
        <v>7234</v>
      </c>
      <c r="F1284" s="28" t="s">
        <v>21</v>
      </c>
      <c r="G1284" s="28" t="s">
        <v>7084</v>
      </c>
      <c r="H1284" s="28" t="s">
        <v>7085</v>
      </c>
      <c r="I1284" s="28" t="s">
        <v>7806</v>
      </c>
      <c r="J1284" s="28" t="s">
        <v>7084</v>
      </c>
      <c r="K1284" s="28" t="s">
        <v>7236</v>
      </c>
      <c r="L1284" s="28" t="s">
        <v>7088</v>
      </c>
      <c r="M1284" s="28" t="s">
        <v>7807</v>
      </c>
      <c r="N1284" s="28" t="s">
        <v>7090</v>
      </c>
      <c r="O1284" s="28" t="s">
        <v>7091</v>
      </c>
      <c r="P1284" s="28" t="s">
        <v>7808</v>
      </c>
    </row>
    <row r="1285" spans="1:16" x14ac:dyDescent="0.25">
      <c r="A1285" s="28" t="s">
        <v>7809</v>
      </c>
      <c r="B1285" s="28" t="s">
        <v>7810</v>
      </c>
      <c r="C1285" s="28" t="s">
        <v>7082</v>
      </c>
      <c r="D1285" s="28" t="s">
        <v>2117</v>
      </c>
      <c r="E1285" s="28" t="s">
        <v>7241</v>
      </c>
      <c r="F1285" s="28" t="s">
        <v>21</v>
      </c>
      <c r="G1285" s="28" t="s">
        <v>7084</v>
      </c>
      <c r="H1285" s="28" t="s">
        <v>7085</v>
      </c>
      <c r="I1285" s="28" t="s">
        <v>7811</v>
      </c>
      <c r="J1285" s="28" t="s">
        <v>7084</v>
      </c>
      <c r="K1285" s="28" t="s">
        <v>7243</v>
      </c>
      <c r="L1285" s="28" t="s">
        <v>7088</v>
      </c>
      <c r="M1285" s="28" t="s">
        <v>7812</v>
      </c>
      <c r="N1285" s="28" t="s">
        <v>7090</v>
      </c>
      <c r="O1285" s="28" t="s">
        <v>7091</v>
      </c>
      <c r="P1285" s="28" t="s">
        <v>7813</v>
      </c>
    </row>
    <row r="1286" spans="1:16" x14ac:dyDescent="0.25">
      <c r="A1286" s="28" t="s">
        <v>7814</v>
      </c>
      <c r="B1286" s="28" t="s">
        <v>7815</v>
      </c>
      <c r="C1286" s="28" t="s">
        <v>7082</v>
      </c>
      <c r="D1286" s="28" t="s">
        <v>1478</v>
      </c>
      <c r="E1286" s="28" t="s">
        <v>5057</v>
      </c>
      <c r="F1286" s="28" t="s">
        <v>21</v>
      </c>
      <c r="G1286" s="28" t="s">
        <v>7084</v>
      </c>
      <c r="H1286" s="28" t="s">
        <v>7085</v>
      </c>
      <c r="I1286" s="28" t="s">
        <v>7816</v>
      </c>
      <c r="J1286" s="28" t="s">
        <v>7084</v>
      </c>
      <c r="K1286" s="28" t="s">
        <v>7122</v>
      </c>
      <c r="L1286" s="28" t="s">
        <v>7088</v>
      </c>
      <c r="M1286" s="28" t="s">
        <v>7817</v>
      </c>
      <c r="N1286" s="28" t="s">
        <v>7090</v>
      </c>
      <c r="O1286" s="28" t="s">
        <v>7091</v>
      </c>
      <c r="P1286" s="28" t="s">
        <v>7818</v>
      </c>
    </row>
    <row r="1287" spans="1:16" x14ac:dyDescent="0.25">
      <c r="A1287" s="28" t="s">
        <v>7819</v>
      </c>
      <c r="B1287" s="28" t="s">
        <v>7820</v>
      </c>
      <c r="C1287" s="28" t="s">
        <v>7082</v>
      </c>
      <c r="D1287" s="28" t="s">
        <v>1478</v>
      </c>
      <c r="E1287" s="28" t="s">
        <v>5057</v>
      </c>
      <c r="F1287" s="28" t="s">
        <v>21</v>
      </c>
      <c r="G1287" s="28" t="s">
        <v>7084</v>
      </c>
      <c r="H1287" s="28" t="s">
        <v>7085</v>
      </c>
      <c r="I1287" s="28" t="s">
        <v>7821</v>
      </c>
      <c r="J1287" s="28" t="s">
        <v>7084</v>
      </c>
      <c r="K1287" s="28" t="s">
        <v>7122</v>
      </c>
      <c r="L1287" s="28" t="s">
        <v>7088</v>
      </c>
      <c r="M1287" s="28" t="s">
        <v>7822</v>
      </c>
      <c r="N1287" s="28" t="s">
        <v>7090</v>
      </c>
      <c r="O1287" s="28" t="s">
        <v>7091</v>
      </c>
      <c r="P1287" s="28" t="s">
        <v>7823</v>
      </c>
    </row>
    <row r="1288" spans="1:16" x14ac:dyDescent="0.25">
      <c r="A1288" s="28" t="s">
        <v>7824</v>
      </c>
      <c r="B1288" s="28" t="s">
        <v>7825</v>
      </c>
      <c r="C1288" s="28" t="s">
        <v>7082</v>
      </c>
      <c r="D1288" s="28" t="s">
        <v>133</v>
      </c>
      <c r="E1288" s="28" t="s">
        <v>170</v>
      </c>
      <c r="F1288" s="28" t="s">
        <v>21</v>
      </c>
      <c r="G1288" s="28" t="s">
        <v>7084</v>
      </c>
      <c r="H1288" s="28" t="s">
        <v>7085</v>
      </c>
      <c r="I1288" s="28" t="s">
        <v>7826</v>
      </c>
      <c r="J1288" s="28" t="s">
        <v>7084</v>
      </c>
      <c r="K1288" s="28" t="s">
        <v>7781</v>
      </c>
      <c r="L1288" s="28" t="s">
        <v>7088</v>
      </c>
      <c r="M1288" s="28" t="s">
        <v>7827</v>
      </c>
      <c r="N1288" s="28" t="s">
        <v>7090</v>
      </c>
      <c r="O1288" s="28" t="s">
        <v>7091</v>
      </c>
      <c r="P1288" s="28" t="s">
        <v>7828</v>
      </c>
    </row>
    <row r="1289" spans="1:16" x14ac:dyDescent="0.25">
      <c r="A1289" s="28" t="s">
        <v>7829</v>
      </c>
      <c r="B1289" s="28" t="s">
        <v>7830</v>
      </c>
      <c r="C1289" s="28" t="s">
        <v>7082</v>
      </c>
      <c r="D1289" s="28" t="s">
        <v>133</v>
      </c>
      <c r="E1289" s="28" t="s">
        <v>170</v>
      </c>
      <c r="F1289" s="28" t="s">
        <v>21</v>
      </c>
      <c r="G1289" s="28" t="s">
        <v>7084</v>
      </c>
      <c r="H1289" s="28" t="s">
        <v>7085</v>
      </c>
      <c r="I1289" s="28" t="s">
        <v>7831</v>
      </c>
      <c r="J1289" s="28" t="s">
        <v>7084</v>
      </c>
      <c r="K1289" s="28" t="s">
        <v>7116</v>
      </c>
      <c r="L1289" s="28" t="s">
        <v>7088</v>
      </c>
      <c r="M1289" s="28" t="s">
        <v>7832</v>
      </c>
      <c r="N1289" s="28" t="s">
        <v>7090</v>
      </c>
      <c r="O1289" s="28" t="s">
        <v>7091</v>
      </c>
      <c r="P1289" s="28" t="s">
        <v>7833</v>
      </c>
    </row>
    <row r="1290" spans="1:16" x14ac:dyDescent="0.25">
      <c r="A1290" s="28" t="s">
        <v>7834</v>
      </c>
      <c r="B1290" s="28" t="s">
        <v>7835</v>
      </c>
      <c r="C1290" s="28" t="s">
        <v>7082</v>
      </c>
      <c r="D1290" s="28" t="s">
        <v>133</v>
      </c>
      <c r="E1290" s="28" t="s">
        <v>170</v>
      </c>
      <c r="F1290" s="28" t="s">
        <v>21</v>
      </c>
      <c r="G1290" s="28" t="s">
        <v>7084</v>
      </c>
      <c r="H1290" s="28" t="s">
        <v>7085</v>
      </c>
      <c r="I1290" s="28" t="s">
        <v>7836</v>
      </c>
      <c r="J1290" s="28" t="s">
        <v>7084</v>
      </c>
      <c r="K1290" s="28" t="s">
        <v>7116</v>
      </c>
      <c r="L1290" s="28" t="s">
        <v>7088</v>
      </c>
      <c r="M1290" s="28" t="s">
        <v>7837</v>
      </c>
      <c r="N1290" s="28" t="s">
        <v>7090</v>
      </c>
      <c r="O1290" s="28" t="s">
        <v>7091</v>
      </c>
      <c r="P1290" s="28" t="s">
        <v>7838</v>
      </c>
    </row>
    <row r="1291" spans="1:16" x14ac:dyDescent="0.25">
      <c r="A1291" s="28" t="s">
        <v>7839</v>
      </c>
      <c r="B1291" s="28" t="s">
        <v>7840</v>
      </c>
      <c r="C1291" s="28" t="s">
        <v>7082</v>
      </c>
      <c r="D1291" s="28" t="s">
        <v>133</v>
      </c>
      <c r="E1291" s="28" t="s">
        <v>7773</v>
      </c>
      <c r="F1291" s="28" t="s">
        <v>21</v>
      </c>
      <c r="G1291" s="28" t="s">
        <v>7084</v>
      </c>
      <c r="H1291" s="28" t="s">
        <v>7085</v>
      </c>
      <c r="I1291" s="28" t="s">
        <v>7841</v>
      </c>
      <c r="J1291" s="28" t="s">
        <v>7084</v>
      </c>
      <c r="K1291" s="28" t="s">
        <v>7775</v>
      </c>
      <c r="L1291" s="28" t="s">
        <v>7088</v>
      </c>
      <c r="M1291" s="28" t="s">
        <v>7842</v>
      </c>
      <c r="N1291" s="28" t="s">
        <v>7090</v>
      </c>
      <c r="O1291" s="28" t="s">
        <v>7091</v>
      </c>
      <c r="P1291" s="28" t="s">
        <v>7843</v>
      </c>
    </row>
    <row r="1292" spans="1:16" x14ac:dyDescent="0.25">
      <c r="A1292" s="28" t="s">
        <v>7844</v>
      </c>
      <c r="B1292" s="28" t="s">
        <v>7845</v>
      </c>
      <c r="C1292" s="28" t="s">
        <v>7082</v>
      </c>
      <c r="D1292" s="28" t="s">
        <v>45</v>
      </c>
      <c r="E1292" s="28" t="s">
        <v>7213</v>
      </c>
      <c r="F1292" s="28" t="s">
        <v>21</v>
      </c>
      <c r="G1292" s="28" t="s">
        <v>7084</v>
      </c>
      <c r="H1292" s="28" t="s">
        <v>7085</v>
      </c>
      <c r="I1292" s="28" t="s">
        <v>7846</v>
      </c>
      <c r="J1292" s="28" t="s">
        <v>7084</v>
      </c>
      <c r="K1292" s="28" t="s">
        <v>7215</v>
      </c>
      <c r="L1292" s="28" t="s">
        <v>7088</v>
      </c>
      <c r="M1292" s="28" t="s">
        <v>7847</v>
      </c>
      <c r="N1292" s="28" t="s">
        <v>7090</v>
      </c>
      <c r="O1292" s="28" t="s">
        <v>7091</v>
      </c>
      <c r="P1292" s="28" t="s">
        <v>7848</v>
      </c>
    </row>
    <row r="1293" spans="1:16" x14ac:dyDescent="0.25">
      <c r="A1293" s="28" t="s">
        <v>7849</v>
      </c>
      <c r="B1293" s="28" t="s">
        <v>7850</v>
      </c>
      <c r="C1293" s="28" t="s">
        <v>7082</v>
      </c>
      <c r="D1293" s="28" t="s">
        <v>1078</v>
      </c>
      <c r="E1293" s="28" t="s">
        <v>7153</v>
      </c>
      <c r="F1293" s="28" t="s">
        <v>21</v>
      </c>
      <c r="G1293" s="28" t="s">
        <v>7084</v>
      </c>
      <c r="H1293" s="28" t="s">
        <v>7085</v>
      </c>
      <c r="I1293" s="28" t="s">
        <v>7851</v>
      </c>
      <c r="J1293" s="28" t="s">
        <v>7084</v>
      </c>
      <c r="K1293" s="28" t="s">
        <v>7196</v>
      </c>
      <c r="L1293" s="28" t="s">
        <v>7088</v>
      </c>
      <c r="M1293" s="28" t="s">
        <v>7852</v>
      </c>
      <c r="N1293" s="28" t="s">
        <v>7090</v>
      </c>
      <c r="O1293" s="28" t="s">
        <v>7091</v>
      </c>
      <c r="P1293" s="28" t="s">
        <v>7853</v>
      </c>
    </row>
    <row r="1294" spans="1:16" x14ac:dyDescent="0.25">
      <c r="A1294" s="28" t="s">
        <v>7854</v>
      </c>
      <c r="B1294" s="28" t="s">
        <v>7855</v>
      </c>
      <c r="C1294" s="28" t="s">
        <v>7082</v>
      </c>
      <c r="D1294" s="28" t="s">
        <v>1078</v>
      </c>
      <c r="E1294" s="28" t="s">
        <v>7153</v>
      </c>
      <c r="F1294" s="28" t="s">
        <v>21</v>
      </c>
      <c r="G1294" s="28" t="s">
        <v>7084</v>
      </c>
      <c r="H1294" s="28" t="s">
        <v>7085</v>
      </c>
      <c r="I1294" s="28" t="s">
        <v>7856</v>
      </c>
      <c r="J1294" s="28" t="s">
        <v>7084</v>
      </c>
      <c r="K1294" s="28" t="s">
        <v>7190</v>
      </c>
      <c r="L1294" s="28" t="s">
        <v>7088</v>
      </c>
      <c r="M1294" s="28" t="s">
        <v>7857</v>
      </c>
      <c r="N1294" s="28" t="s">
        <v>7090</v>
      </c>
      <c r="O1294" s="28" t="s">
        <v>7091</v>
      </c>
      <c r="P1294" s="28" t="s">
        <v>7858</v>
      </c>
    </row>
    <row r="1295" spans="1:16" x14ac:dyDescent="0.25">
      <c r="A1295" s="28" t="s">
        <v>7859</v>
      </c>
      <c r="B1295" s="28" t="s">
        <v>7860</v>
      </c>
      <c r="C1295" s="28" t="s">
        <v>7082</v>
      </c>
      <c r="D1295" s="28" t="s">
        <v>1078</v>
      </c>
      <c r="E1295" s="28" t="s">
        <v>7153</v>
      </c>
      <c r="F1295" s="28" t="s">
        <v>21</v>
      </c>
      <c r="G1295" s="28" t="s">
        <v>7084</v>
      </c>
      <c r="H1295" s="28" t="s">
        <v>7085</v>
      </c>
      <c r="I1295" s="28" t="s">
        <v>7861</v>
      </c>
      <c r="J1295" s="28" t="s">
        <v>7084</v>
      </c>
      <c r="K1295" s="28" t="s">
        <v>7179</v>
      </c>
      <c r="L1295" s="28" t="s">
        <v>7088</v>
      </c>
      <c r="M1295" s="28" t="s">
        <v>7862</v>
      </c>
      <c r="N1295" s="28" t="s">
        <v>7090</v>
      </c>
      <c r="O1295" s="28" t="s">
        <v>7091</v>
      </c>
      <c r="P1295" s="28" t="s">
        <v>7863</v>
      </c>
    </row>
    <row r="1296" spans="1:16" x14ac:dyDescent="0.25">
      <c r="A1296" s="28" t="s">
        <v>7864</v>
      </c>
      <c r="B1296" s="28" t="s">
        <v>7865</v>
      </c>
      <c r="C1296" s="28" t="s">
        <v>7082</v>
      </c>
      <c r="D1296" s="28" t="s">
        <v>1078</v>
      </c>
      <c r="E1296" s="28" t="s">
        <v>7153</v>
      </c>
      <c r="F1296" s="28" t="s">
        <v>21</v>
      </c>
      <c r="G1296" s="28" t="s">
        <v>7084</v>
      </c>
      <c r="H1296" s="28" t="s">
        <v>7085</v>
      </c>
      <c r="I1296" s="28" t="s">
        <v>7866</v>
      </c>
      <c r="J1296" s="28" t="s">
        <v>7084</v>
      </c>
      <c r="K1296" s="28" t="s">
        <v>7173</v>
      </c>
      <c r="L1296" s="28" t="s">
        <v>7088</v>
      </c>
      <c r="M1296" s="28" t="s">
        <v>7867</v>
      </c>
      <c r="N1296" s="28" t="s">
        <v>7090</v>
      </c>
      <c r="O1296" s="28" t="s">
        <v>7091</v>
      </c>
      <c r="P1296" s="28" t="s">
        <v>7868</v>
      </c>
    </row>
    <row r="1297" spans="1:16" x14ac:dyDescent="0.25">
      <c r="A1297" s="28" t="s">
        <v>7869</v>
      </c>
      <c r="B1297" s="28" t="s">
        <v>7870</v>
      </c>
      <c r="C1297" s="28" t="s">
        <v>7082</v>
      </c>
      <c r="D1297" s="28" t="s">
        <v>1078</v>
      </c>
      <c r="E1297" s="28" t="s">
        <v>7153</v>
      </c>
      <c r="F1297" s="28" t="s">
        <v>21</v>
      </c>
      <c r="G1297" s="28" t="s">
        <v>7084</v>
      </c>
      <c r="H1297" s="28" t="s">
        <v>7085</v>
      </c>
      <c r="I1297" s="28" t="s">
        <v>7871</v>
      </c>
      <c r="J1297" s="28" t="s">
        <v>7084</v>
      </c>
      <c r="K1297" s="28" t="s">
        <v>7161</v>
      </c>
      <c r="L1297" s="28" t="s">
        <v>7088</v>
      </c>
      <c r="M1297" s="28" t="s">
        <v>7872</v>
      </c>
      <c r="N1297" s="28" t="s">
        <v>7090</v>
      </c>
      <c r="O1297" s="28" t="s">
        <v>7091</v>
      </c>
      <c r="P1297" s="28" t="s">
        <v>7873</v>
      </c>
    </row>
    <row r="1298" spans="1:16" x14ac:dyDescent="0.25">
      <c r="A1298" s="28" t="s">
        <v>7874</v>
      </c>
      <c r="B1298" s="28" t="s">
        <v>7875</v>
      </c>
      <c r="C1298" s="28" t="s">
        <v>7082</v>
      </c>
      <c r="D1298" s="28" t="s">
        <v>1078</v>
      </c>
      <c r="E1298" s="28" t="s">
        <v>7153</v>
      </c>
      <c r="F1298" s="28" t="s">
        <v>21</v>
      </c>
      <c r="G1298" s="28" t="s">
        <v>7084</v>
      </c>
      <c r="H1298" s="28" t="s">
        <v>7085</v>
      </c>
      <c r="I1298" s="28" t="s">
        <v>7876</v>
      </c>
      <c r="J1298" s="28" t="s">
        <v>7084</v>
      </c>
      <c r="K1298" s="28" t="s">
        <v>7167</v>
      </c>
      <c r="L1298" s="28" t="s">
        <v>7088</v>
      </c>
      <c r="M1298" s="28" t="s">
        <v>7877</v>
      </c>
      <c r="N1298" s="28" t="s">
        <v>7090</v>
      </c>
      <c r="O1298" s="28" t="s">
        <v>7091</v>
      </c>
      <c r="P1298" s="28" t="s">
        <v>7878</v>
      </c>
    </row>
    <row r="1299" spans="1:16" x14ac:dyDescent="0.25">
      <c r="A1299" s="28" t="s">
        <v>7879</v>
      </c>
      <c r="B1299" s="28" t="s">
        <v>7880</v>
      </c>
      <c r="C1299" s="28" t="s">
        <v>7082</v>
      </c>
      <c r="D1299" s="28" t="s">
        <v>1078</v>
      </c>
      <c r="E1299" s="28" t="s">
        <v>7153</v>
      </c>
      <c r="F1299" s="28" t="s">
        <v>21</v>
      </c>
      <c r="G1299" s="28" t="s">
        <v>7084</v>
      </c>
      <c r="H1299" s="28" t="s">
        <v>7085</v>
      </c>
      <c r="I1299" s="28" t="s">
        <v>7881</v>
      </c>
      <c r="J1299" s="28" t="s">
        <v>7084</v>
      </c>
      <c r="K1299" s="28" t="s">
        <v>7155</v>
      </c>
      <c r="L1299" s="28" t="s">
        <v>7088</v>
      </c>
      <c r="M1299" s="28" t="s">
        <v>7882</v>
      </c>
      <c r="N1299" s="28" t="s">
        <v>7090</v>
      </c>
      <c r="O1299" s="28" t="s">
        <v>7091</v>
      </c>
      <c r="P1299" s="28" t="s">
        <v>7883</v>
      </c>
    </row>
    <row r="1300" spans="1:16" x14ac:dyDescent="0.25">
      <c r="A1300" s="28" t="s">
        <v>7884</v>
      </c>
      <c r="B1300" s="28" t="s">
        <v>7885</v>
      </c>
      <c r="C1300" s="28" t="s">
        <v>7082</v>
      </c>
      <c r="D1300" s="28" t="s">
        <v>1078</v>
      </c>
      <c r="E1300" s="28" t="s">
        <v>7153</v>
      </c>
      <c r="F1300" s="28" t="s">
        <v>21</v>
      </c>
      <c r="G1300" s="28" t="s">
        <v>7084</v>
      </c>
      <c r="H1300" s="28" t="s">
        <v>7085</v>
      </c>
      <c r="I1300" s="28" t="s">
        <v>7886</v>
      </c>
      <c r="J1300" s="28" t="s">
        <v>7084</v>
      </c>
      <c r="K1300" s="28" t="s">
        <v>7179</v>
      </c>
      <c r="L1300" s="28" t="s">
        <v>7088</v>
      </c>
      <c r="M1300" s="28" t="s">
        <v>7887</v>
      </c>
      <c r="N1300" s="28" t="s">
        <v>7090</v>
      </c>
      <c r="O1300" s="28" t="s">
        <v>7091</v>
      </c>
      <c r="P1300" s="28" t="s">
        <v>7888</v>
      </c>
    </row>
    <row r="1301" spans="1:16" x14ac:dyDescent="0.25">
      <c r="A1301" s="28" t="s">
        <v>7889</v>
      </c>
      <c r="B1301" s="28" t="s">
        <v>7890</v>
      </c>
      <c r="C1301" s="28" t="s">
        <v>7082</v>
      </c>
      <c r="D1301" s="28" t="s">
        <v>1078</v>
      </c>
      <c r="E1301" s="28" t="s">
        <v>1096</v>
      </c>
      <c r="F1301" s="28" t="s">
        <v>21</v>
      </c>
      <c r="G1301" s="28" t="s">
        <v>7084</v>
      </c>
      <c r="H1301" s="28" t="s">
        <v>7085</v>
      </c>
      <c r="I1301" s="28" t="s">
        <v>7891</v>
      </c>
      <c r="J1301" s="28" t="s">
        <v>7084</v>
      </c>
      <c r="K1301" s="28" t="s">
        <v>7202</v>
      </c>
      <c r="L1301" s="28" t="s">
        <v>7088</v>
      </c>
      <c r="M1301" s="28" t="s">
        <v>7892</v>
      </c>
      <c r="N1301" s="28" t="s">
        <v>7090</v>
      </c>
      <c r="O1301" s="28" t="s">
        <v>7091</v>
      </c>
      <c r="P1301" s="28" t="s">
        <v>7893</v>
      </c>
    </row>
    <row r="1302" spans="1:16" x14ac:dyDescent="0.25">
      <c r="A1302" s="28" t="s">
        <v>7894</v>
      </c>
      <c r="B1302" s="28" t="s">
        <v>7895</v>
      </c>
      <c r="C1302" s="28" t="s">
        <v>7082</v>
      </c>
      <c r="D1302" s="28" t="s">
        <v>1078</v>
      </c>
      <c r="E1302" s="28" t="s">
        <v>7146</v>
      </c>
      <c r="F1302" s="28" t="s">
        <v>21</v>
      </c>
      <c r="G1302" s="28" t="s">
        <v>7084</v>
      </c>
      <c r="H1302" s="28" t="s">
        <v>7085</v>
      </c>
      <c r="I1302" s="28" t="s">
        <v>7896</v>
      </c>
      <c r="J1302" s="28" t="s">
        <v>7084</v>
      </c>
      <c r="K1302" s="28" t="s">
        <v>7148</v>
      </c>
      <c r="L1302" s="28" t="s">
        <v>7088</v>
      </c>
      <c r="M1302" s="28" t="s">
        <v>7897</v>
      </c>
      <c r="N1302" s="28" t="s">
        <v>7090</v>
      </c>
      <c r="O1302" s="28" t="s">
        <v>7091</v>
      </c>
      <c r="P1302" s="28" t="s">
        <v>7898</v>
      </c>
    </row>
    <row r="1303" spans="1:16" x14ac:dyDescent="0.25">
      <c r="A1303" s="28" t="s">
        <v>7899</v>
      </c>
      <c r="B1303" s="28" t="s">
        <v>7900</v>
      </c>
      <c r="C1303" s="28" t="s">
        <v>7082</v>
      </c>
      <c r="D1303" s="28" t="s">
        <v>4101</v>
      </c>
      <c r="E1303" s="28" t="s">
        <v>7338</v>
      </c>
      <c r="F1303" s="28" t="s">
        <v>21</v>
      </c>
      <c r="G1303" s="28" t="s">
        <v>7084</v>
      </c>
      <c r="H1303" s="28" t="s">
        <v>7085</v>
      </c>
      <c r="I1303" s="28" t="s">
        <v>7901</v>
      </c>
      <c r="J1303" s="28" t="s">
        <v>7084</v>
      </c>
      <c r="K1303" s="28" t="s">
        <v>7340</v>
      </c>
      <c r="L1303" s="28" t="s">
        <v>7088</v>
      </c>
      <c r="M1303" s="28" t="s">
        <v>7902</v>
      </c>
      <c r="N1303" s="28" t="s">
        <v>7090</v>
      </c>
      <c r="O1303" s="28" t="s">
        <v>7091</v>
      </c>
      <c r="P1303" s="28" t="s">
        <v>7903</v>
      </c>
    </row>
    <row r="1304" spans="1:16" x14ac:dyDescent="0.25">
      <c r="A1304" s="28" t="s">
        <v>7904</v>
      </c>
      <c r="B1304" s="28" t="s">
        <v>7905</v>
      </c>
      <c r="C1304" s="28" t="s">
        <v>7082</v>
      </c>
      <c r="D1304" s="28" t="s">
        <v>4101</v>
      </c>
      <c r="E1304" s="28" t="s">
        <v>7338</v>
      </c>
      <c r="F1304" s="28" t="s">
        <v>21</v>
      </c>
      <c r="G1304" s="28" t="s">
        <v>7084</v>
      </c>
      <c r="H1304" s="28" t="s">
        <v>7085</v>
      </c>
      <c r="I1304" s="28" t="s">
        <v>7906</v>
      </c>
      <c r="J1304" s="28" t="s">
        <v>7084</v>
      </c>
      <c r="K1304" s="28" t="s">
        <v>7340</v>
      </c>
      <c r="L1304" s="28" t="s">
        <v>7088</v>
      </c>
      <c r="M1304" s="28" t="s">
        <v>7907</v>
      </c>
      <c r="N1304" s="28" t="s">
        <v>7090</v>
      </c>
      <c r="O1304" s="28" t="s">
        <v>7091</v>
      </c>
      <c r="P1304" s="28" t="s">
        <v>7908</v>
      </c>
    </row>
    <row r="1305" spans="1:16" x14ac:dyDescent="0.25">
      <c r="A1305" s="28" t="s">
        <v>7909</v>
      </c>
      <c r="B1305" s="28" t="s">
        <v>7910</v>
      </c>
      <c r="C1305" s="28" t="s">
        <v>7082</v>
      </c>
      <c r="D1305" s="28" t="s">
        <v>4101</v>
      </c>
      <c r="E1305" s="28" t="s">
        <v>7107</v>
      </c>
      <c r="F1305" s="28" t="s">
        <v>21</v>
      </c>
      <c r="G1305" s="28" t="s">
        <v>7084</v>
      </c>
      <c r="H1305" s="28" t="s">
        <v>7085</v>
      </c>
      <c r="I1305" s="28" t="s">
        <v>7911</v>
      </c>
      <c r="J1305" s="28" t="s">
        <v>7084</v>
      </c>
      <c r="K1305" s="28" t="s">
        <v>7109</v>
      </c>
      <c r="L1305" s="28" t="s">
        <v>7088</v>
      </c>
      <c r="M1305" s="28" t="s">
        <v>7912</v>
      </c>
      <c r="N1305" s="28" t="s">
        <v>7090</v>
      </c>
      <c r="O1305" s="28" t="s">
        <v>7091</v>
      </c>
      <c r="P1305" s="28" t="s">
        <v>7913</v>
      </c>
    </row>
    <row r="1306" spans="1:16" x14ac:dyDescent="0.25">
      <c r="A1306" s="28" t="s">
        <v>7914</v>
      </c>
      <c r="B1306" s="28" t="s">
        <v>7915</v>
      </c>
      <c r="C1306" s="28" t="s">
        <v>7082</v>
      </c>
      <c r="D1306" s="28" t="s">
        <v>4101</v>
      </c>
      <c r="E1306" s="28" t="s">
        <v>7376</v>
      </c>
      <c r="F1306" s="28" t="s">
        <v>21</v>
      </c>
      <c r="G1306" s="28" t="s">
        <v>7084</v>
      </c>
      <c r="H1306" s="28" t="s">
        <v>7085</v>
      </c>
      <c r="I1306" s="28" t="s">
        <v>7916</v>
      </c>
      <c r="J1306" s="28" t="s">
        <v>7084</v>
      </c>
      <c r="K1306" s="28" t="s">
        <v>7378</v>
      </c>
      <c r="L1306" s="28" t="s">
        <v>7088</v>
      </c>
      <c r="M1306" s="28" t="s">
        <v>7917</v>
      </c>
      <c r="N1306" s="28" t="s">
        <v>7090</v>
      </c>
      <c r="O1306" s="28" t="s">
        <v>7091</v>
      </c>
      <c r="P1306" s="28" t="s">
        <v>7918</v>
      </c>
    </row>
    <row r="1307" spans="1:16" x14ac:dyDescent="0.25">
      <c r="A1307" s="28" t="s">
        <v>7919</v>
      </c>
      <c r="B1307" s="28" t="s">
        <v>7920</v>
      </c>
      <c r="C1307" s="28" t="s">
        <v>7082</v>
      </c>
      <c r="D1307" s="28" t="s">
        <v>4101</v>
      </c>
      <c r="E1307" s="28" t="s">
        <v>7357</v>
      </c>
      <c r="F1307" s="28" t="s">
        <v>21</v>
      </c>
      <c r="G1307" s="28" t="s">
        <v>7084</v>
      </c>
      <c r="H1307" s="28" t="s">
        <v>7085</v>
      </c>
      <c r="I1307" s="28" t="s">
        <v>7921</v>
      </c>
      <c r="J1307" s="28" t="s">
        <v>7084</v>
      </c>
      <c r="K1307" s="28" t="s">
        <v>7371</v>
      </c>
      <c r="L1307" s="28" t="s">
        <v>7088</v>
      </c>
      <c r="M1307" s="28" t="s">
        <v>7922</v>
      </c>
      <c r="N1307" s="28" t="s">
        <v>7090</v>
      </c>
      <c r="O1307" s="28" t="s">
        <v>7091</v>
      </c>
      <c r="P1307" s="28" t="s">
        <v>7923</v>
      </c>
    </row>
    <row r="1308" spans="1:16" x14ac:dyDescent="0.25">
      <c r="A1308" s="28" t="s">
        <v>7924</v>
      </c>
      <c r="B1308" s="28" t="s">
        <v>7925</v>
      </c>
      <c r="C1308" s="28" t="s">
        <v>7082</v>
      </c>
      <c r="D1308" s="28" t="s">
        <v>4101</v>
      </c>
      <c r="E1308" s="28" t="s">
        <v>7357</v>
      </c>
      <c r="F1308" s="28" t="s">
        <v>21</v>
      </c>
      <c r="G1308" s="28" t="s">
        <v>7084</v>
      </c>
      <c r="H1308" s="28" t="s">
        <v>7085</v>
      </c>
      <c r="I1308" s="28" t="s">
        <v>7926</v>
      </c>
      <c r="J1308" s="28" t="s">
        <v>7084</v>
      </c>
      <c r="K1308" s="28" t="s">
        <v>7359</v>
      </c>
      <c r="L1308" s="28" t="s">
        <v>7088</v>
      </c>
      <c r="M1308" s="28" t="s">
        <v>7927</v>
      </c>
      <c r="N1308" s="28" t="s">
        <v>7090</v>
      </c>
      <c r="O1308" s="28" t="s">
        <v>7091</v>
      </c>
      <c r="P1308" s="28" t="s">
        <v>7928</v>
      </c>
    </row>
    <row r="1309" spans="1:16" x14ac:dyDescent="0.25">
      <c r="A1309" s="28" t="s">
        <v>7929</v>
      </c>
      <c r="B1309" s="28" t="s">
        <v>7930</v>
      </c>
      <c r="C1309" s="28" t="s">
        <v>7082</v>
      </c>
      <c r="D1309" s="28" t="s">
        <v>4101</v>
      </c>
      <c r="E1309" s="28" t="s">
        <v>7357</v>
      </c>
      <c r="F1309" s="28" t="s">
        <v>21</v>
      </c>
      <c r="G1309" s="28" t="s">
        <v>7084</v>
      </c>
      <c r="H1309" s="28" t="s">
        <v>7085</v>
      </c>
      <c r="I1309" s="28" t="s">
        <v>7931</v>
      </c>
      <c r="J1309" s="28" t="s">
        <v>7084</v>
      </c>
      <c r="K1309" s="28" t="s">
        <v>7365</v>
      </c>
      <c r="L1309" s="28" t="s">
        <v>7088</v>
      </c>
      <c r="M1309" s="28" t="s">
        <v>7932</v>
      </c>
      <c r="N1309" s="28" t="s">
        <v>7090</v>
      </c>
      <c r="O1309" s="28" t="s">
        <v>7091</v>
      </c>
      <c r="P1309" s="28" t="s">
        <v>7933</v>
      </c>
    </row>
    <row r="1310" spans="1:16" x14ac:dyDescent="0.25">
      <c r="A1310" s="28" t="s">
        <v>7934</v>
      </c>
      <c r="B1310" s="28" t="s">
        <v>7935</v>
      </c>
      <c r="C1310" s="28" t="s">
        <v>7082</v>
      </c>
      <c r="D1310" s="28" t="s">
        <v>4101</v>
      </c>
      <c r="E1310" s="28" t="s">
        <v>7383</v>
      </c>
      <c r="F1310" s="28" t="s">
        <v>21</v>
      </c>
      <c r="G1310" s="28" t="s">
        <v>7084</v>
      </c>
      <c r="H1310" s="28" t="s">
        <v>7085</v>
      </c>
      <c r="I1310" s="28" t="s">
        <v>7936</v>
      </c>
      <c r="J1310" s="28" t="s">
        <v>7084</v>
      </c>
      <c r="K1310" s="28" t="s">
        <v>7385</v>
      </c>
      <c r="L1310" s="28" t="s">
        <v>7088</v>
      </c>
      <c r="M1310" s="28" t="s">
        <v>7937</v>
      </c>
      <c r="N1310" s="28" t="s">
        <v>7090</v>
      </c>
      <c r="O1310" s="28" t="s">
        <v>7091</v>
      </c>
      <c r="P1310" s="28" t="s">
        <v>7938</v>
      </c>
    </row>
    <row r="1311" spans="1:16" x14ac:dyDescent="0.25">
      <c r="A1311" s="28" t="s">
        <v>7939</v>
      </c>
      <c r="B1311" s="28" t="s">
        <v>7940</v>
      </c>
      <c r="C1311" s="28" t="s">
        <v>7082</v>
      </c>
      <c r="D1311" s="28" t="s">
        <v>4101</v>
      </c>
      <c r="E1311" s="28" t="s">
        <v>7417</v>
      </c>
      <c r="F1311" s="28" t="s">
        <v>21</v>
      </c>
      <c r="G1311" s="28" t="s">
        <v>7084</v>
      </c>
      <c r="H1311" s="28" t="s">
        <v>7085</v>
      </c>
      <c r="I1311" s="28" t="s">
        <v>7941</v>
      </c>
      <c r="J1311" s="28" t="s">
        <v>7084</v>
      </c>
      <c r="K1311" s="28" t="s">
        <v>7419</v>
      </c>
      <c r="L1311" s="28" t="s">
        <v>7088</v>
      </c>
      <c r="M1311" s="28" t="s">
        <v>7942</v>
      </c>
      <c r="N1311" s="28" t="s">
        <v>7090</v>
      </c>
      <c r="O1311" s="28" t="s">
        <v>7091</v>
      </c>
      <c r="P1311" s="28" t="s">
        <v>7943</v>
      </c>
    </row>
    <row r="1312" spans="1:16" x14ac:dyDescent="0.25">
      <c r="A1312" s="28" t="s">
        <v>7944</v>
      </c>
      <c r="B1312" s="28" t="s">
        <v>7945</v>
      </c>
      <c r="C1312" s="28" t="s">
        <v>7082</v>
      </c>
      <c r="D1312" s="28" t="s">
        <v>4101</v>
      </c>
      <c r="E1312" s="28" t="s">
        <v>7417</v>
      </c>
      <c r="F1312" s="28" t="s">
        <v>21</v>
      </c>
      <c r="G1312" s="28" t="s">
        <v>7084</v>
      </c>
      <c r="H1312" s="28" t="s">
        <v>7085</v>
      </c>
      <c r="I1312" s="28" t="s">
        <v>7946</v>
      </c>
      <c r="J1312" s="28" t="s">
        <v>7084</v>
      </c>
      <c r="K1312" s="28" t="s">
        <v>7419</v>
      </c>
      <c r="L1312" s="28" t="s">
        <v>7088</v>
      </c>
      <c r="M1312" s="28" t="s">
        <v>7947</v>
      </c>
      <c r="N1312" s="28" t="s">
        <v>7090</v>
      </c>
      <c r="O1312" s="28" t="s">
        <v>7091</v>
      </c>
      <c r="P1312" s="28" t="s">
        <v>7948</v>
      </c>
    </row>
    <row r="1313" spans="1:16" x14ac:dyDescent="0.25">
      <c r="A1313" s="28" t="s">
        <v>7949</v>
      </c>
      <c r="B1313" s="28" t="s">
        <v>7950</v>
      </c>
      <c r="C1313" s="28" t="s">
        <v>7082</v>
      </c>
      <c r="D1313" s="28" t="s">
        <v>4101</v>
      </c>
      <c r="E1313" s="28" t="s">
        <v>7350</v>
      </c>
      <c r="F1313" s="28" t="s">
        <v>21</v>
      </c>
      <c r="G1313" s="28" t="s">
        <v>7084</v>
      </c>
      <c r="H1313" s="28" t="s">
        <v>7085</v>
      </c>
      <c r="I1313" s="28" t="s">
        <v>7951</v>
      </c>
      <c r="J1313" s="28" t="s">
        <v>7084</v>
      </c>
      <c r="K1313" s="28" t="s">
        <v>7391</v>
      </c>
      <c r="L1313" s="28" t="s">
        <v>7088</v>
      </c>
      <c r="M1313" s="28" t="s">
        <v>7952</v>
      </c>
      <c r="N1313" s="28" t="s">
        <v>7090</v>
      </c>
      <c r="O1313" s="28" t="s">
        <v>7091</v>
      </c>
      <c r="P1313" s="28" t="s">
        <v>7953</v>
      </c>
    </row>
    <row r="1314" spans="1:16" x14ac:dyDescent="0.25">
      <c r="A1314" s="28" t="s">
        <v>7954</v>
      </c>
      <c r="B1314" s="28" t="s">
        <v>7955</v>
      </c>
      <c r="C1314" s="28" t="s">
        <v>7082</v>
      </c>
      <c r="D1314" s="28" t="s">
        <v>4101</v>
      </c>
      <c r="E1314" s="28" t="s">
        <v>7350</v>
      </c>
      <c r="F1314" s="28" t="s">
        <v>21</v>
      </c>
      <c r="G1314" s="28" t="s">
        <v>7084</v>
      </c>
      <c r="H1314" s="28" t="s">
        <v>7085</v>
      </c>
      <c r="I1314" s="28" t="s">
        <v>7956</v>
      </c>
      <c r="J1314" s="28" t="s">
        <v>7084</v>
      </c>
      <c r="K1314" s="28" t="s">
        <v>7352</v>
      </c>
      <c r="L1314" s="28" t="s">
        <v>7088</v>
      </c>
      <c r="M1314" s="28" t="s">
        <v>7957</v>
      </c>
      <c r="N1314" s="28" t="s">
        <v>7090</v>
      </c>
      <c r="O1314" s="28" t="s">
        <v>7091</v>
      </c>
      <c r="P1314" s="28" t="s">
        <v>7958</v>
      </c>
    </row>
    <row r="1315" spans="1:16" x14ac:dyDescent="0.25">
      <c r="A1315" s="28" t="s">
        <v>7959</v>
      </c>
      <c r="B1315" s="28" t="s">
        <v>7960</v>
      </c>
      <c r="C1315" s="28" t="s">
        <v>7082</v>
      </c>
      <c r="D1315" s="28" t="s">
        <v>4101</v>
      </c>
      <c r="E1315" s="28" t="s">
        <v>7396</v>
      </c>
      <c r="F1315" s="28" t="s">
        <v>21</v>
      </c>
      <c r="G1315" s="28" t="s">
        <v>7084</v>
      </c>
      <c r="H1315" s="28" t="s">
        <v>7085</v>
      </c>
      <c r="I1315" s="28" t="s">
        <v>7961</v>
      </c>
      <c r="J1315" s="28" t="s">
        <v>7084</v>
      </c>
      <c r="K1315" s="28" t="s">
        <v>7398</v>
      </c>
      <c r="L1315" s="28" t="s">
        <v>7088</v>
      </c>
      <c r="M1315" s="28" t="s">
        <v>7962</v>
      </c>
      <c r="N1315" s="28" t="s">
        <v>7090</v>
      </c>
      <c r="O1315" s="28" t="s">
        <v>7091</v>
      </c>
      <c r="P1315" s="28" t="s">
        <v>7963</v>
      </c>
    </row>
    <row r="1316" spans="1:16" x14ac:dyDescent="0.25">
      <c r="A1316" s="28" t="s">
        <v>7964</v>
      </c>
      <c r="B1316" s="28" t="s">
        <v>7965</v>
      </c>
      <c r="C1316" s="28" t="s">
        <v>7082</v>
      </c>
      <c r="D1316" s="28" t="s">
        <v>4101</v>
      </c>
      <c r="E1316" s="28" t="s">
        <v>7403</v>
      </c>
      <c r="F1316" s="28" t="s">
        <v>21</v>
      </c>
      <c r="G1316" s="28" t="s">
        <v>7084</v>
      </c>
      <c r="H1316" s="28" t="s">
        <v>7085</v>
      </c>
      <c r="I1316" s="28" t="s">
        <v>7966</v>
      </c>
      <c r="J1316" s="28" t="s">
        <v>7084</v>
      </c>
      <c r="K1316" s="28" t="s">
        <v>7405</v>
      </c>
      <c r="L1316" s="28" t="s">
        <v>7088</v>
      </c>
      <c r="M1316" s="28" t="s">
        <v>7967</v>
      </c>
      <c r="N1316" s="28" t="s">
        <v>7090</v>
      </c>
      <c r="O1316" s="28" t="s">
        <v>7091</v>
      </c>
      <c r="P1316" s="28" t="s">
        <v>7968</v>
      </c>
    </row>
    <row r="1317" spans="1:16" x14ac:dyDescent="0.25">
      <c r="A1317" s="28" t="s">
        <v>7969</v>
      </c>
      <c r="B1317" s="28" t="s">
        <v>7970</v>
      </c>
      <c r="C1317" s="28" t="s">
        <v>7082</v>
      </c>
      <c r="D1317" s="28" t="s">
        <v>4101</v>
      </c>
      <c r="E1317" s="28" t="s">
        <v>7325</v>
      </c>
      <c r="F1317" s="28" t="s">
        <v>21</v>
      </c>
      <c r="G1317" s="28" t="s">
        <v>7084</v>
      </c>
      <c r="H1317" s="28" t="s">
        <v>7085</v>
      </c>
      <c r="I1317" s="28" t="s">
        <v>7971</v>
      </c>
      <c r="J1317" s="28" t="s">
        <v>7084</v>
      </c>
      <c r="K1317" s="28" t="s">
        <v>7327</v>
      </c>
      <c r="L1317" s="28" t="s">
        <v>7088</v>
      </c>
      <c r="M1317" s="28" t="s">
        <v>7972</v>
      </c>
      <c r="N1317" s="28" t="s">
        <v>7090</v>
      </c>
      <c r="O1317" s="28" t="s">
        <v>7091</v>
      </c>
      <c r="P1317" s="28" t="s">
        <v>7973</v>
      </c>
    </row>
    <row r="1318" spans="1:16" x14ac:dyDescent="0.25">
      <c r="A1318" s="28" t="s">
        <v>7974</v>
      </c>
      <c r="B1318" s="28" t="s">
        <v>7975</v>
      </c>
      <c r="C1318" s="28" t="s">
        <v>7082</v>
      </c>
      <c r="D1318" s="28" t="s">
        <v>4101</v>
      </c>
      <c r="E1318" s="28" t="s">
        <v>7332</v>
      </c>
      <c r="F1318" s="28" t="s">
        <v>21</v>
      </c>
      <c r="G1318" s="28" t="s">
        <v>7084</v>
      </c>
      <c r="H1318" s="28" t="s">
        <v>7085</v>
      </c>
      <c r="I1318" s="28" t="s">
        <v>7976</v>
      </c>
      <c r="J1318" s="28" t="s">
        <v>7084</v>
      </c>
      <c r="K1318" s="28" t="s">
        <v>7327</v>
      </c>
      <c r="L1318" s="28" t="s">
        <v>7088</v>
      </c>
      <c r="M1318" s="28" t="s">
        <v>7977</v>
      </c>
      <c r="N1318" s="28" t="s">
        <v>7090</v>
      </c>
      <c r="O1318" s="28" t="s">
        <v>7091</v>
      </c>
      <c r="P1318" s="28" t="s">
        <v>7978</v>
      </c>
    </row>
    <row r="1319" spans="1:16" x14ac:dyDescent="0.25">
      <c r="A1319" s="28" t="s">
        <v>7979</v>
      </c>
      <c r="B1319" s="28" t="s">
        <v>7980</v>
      </c>
      <c r="C1319" s="28" t="s">
        <v>7082</v>
      </c>
      <c r="D1319" s="28" t="s">
        <v>4101</v>
      </c>
      <c r="E1319" s="28" t="s">
        <v>7410</v>
      </c>
      <c r="F1319" s="28" t="s">
        <v>21</v>
      </c>
      <c r="G1319" s="28" t="s">
        <v>7084</v>
      </c>
      <c r="H1319" s="28" t="s">
        <v>7085</v>
      </c>
      <c r="I1319" s="28" t="s">
        <v>7981</v>
      </c>
      <c r="J1319" s="28" t="s">
        <v>7084</v>
      </c>
      <c r="K1319" s="28" t="s">
        <v>7412</v>
      </c>
      <c r="L1319" s="28" t="s">
        <v>7088</v>
      </c>
      <c r="M1319" s="28" t="s">
        <v>7982</v>
      </c>
      <c r="N1319" s="28" t="s">
        <v>7090</v>
      </c>
      <c r="O1319" s="28" t="s">
        <v>7091</v>
      </c>
      <c r="P1319" s="28" t="s">
        <v>7983</v>
      </c>
    </row>
    <row r="1320" spans="1:16" x14ac:dyDescent="0.25">
      <c r="A1320" s="28" t="s">
        <v>7984</v>
      </c>
      <c r="B1320" s="28" t="s">
        <v>7985</v>
      </c>
      <c r="C1320" s="28" t="s">
        <v>7082</v>
      </c>
      <c r="D1320" s="28" t="s">
        <v>5471</v>
      </c>
      <c r="E1320" s="28" t="s">
        <v>7429</v>
      </c>
      <c r="F1320" s="28" t="s">
        <v>21</v>
      </c>
      <c r="G1320" s="28" t="s">
        <v>7084</v>
      </c>
      <c r="H1320" s="28" t="s">
        <v>7085</v>
      </c>
      <c r="I1320" s="28" t="s">
        <v>7986</v>
      </c>
      <c r="J1320" s="28" t="s">
        <v>7084</v>
      </c>
      <c r="K1320" s="28" t="s">
        <v>7371</v>
      </c>
      <c r="L1320" s="28" t="s">
        <v>7088</v>
      </c>
      <c r="M1320" s="28" t="s">
        <v>7987</v>
      </c>
      <c r="N1320" s="28" t="s">
        <v>7090</v>
      </c>
      <c r="O1320" s="28" t="s">
        <v>7091</v>
      </c>
      <c r="P1320" s="28" t="s">
        <v>7988</v>
      </c>
    </row>
    <row r="1321" spans="1:16" x14ac:dyDescent="0.25">
      <c r="A1321" s="28" t="s">
        <v>7989</v>
      </c>
      <c r="B1321" s="28" t="s">
        <v>7990</v>
      </c>
      <c r="C1321" s="28" t="s">
        <v>7082</v>
      </c>
      <c r="D1321" s="28" t="s">
        <v>5471</v>
      </c>
      <c r="E1321" s="28" t="s">
        <v>7435</v>
      </c>
      <c r="F1321" s="28" t="s">
        <v>21</v>
      </c>
      <c r="G1321" s="28" t="s">
        <v>7084</v>
      </c>
      <c r="H1321" s="28" t="s">
        <v>7085</v>
      </c>
      <c r="I1321" s="28" t="s">
        <v>7991</v>
      </c>
      <c r="J1321" s="28" t="s">
        <v>7084</v>
      </c>
      <c r="K1321" s="28" t="s">
        <v>7437</v>
      </c>
      <c r="L1321" s="28" t="s">
        <v>7088</v>
      </c>
      <c r="M1321" s="28" t="s">
        <v>7992</v>
      </c>
      <c r="N1321" s="28" t="s">
        <v>7090</v>
      </c>
      <c r="O1321" s="28" t="s">
        <v>7091</v>
      </c>
      <c r="P1321" s="28" t="s">
        <v>7993</v>
      </c>
    </row>
    <row r="1322" spans="1:16" x14ac:dyDescent="0.25">
      <c r="A1322" s="28" t="s">
        <v>7994</v>
      </c>
      <c r="B1322" s="28" t="s">
        <v>7995</v>
      </c>
      <c r="C1322" s="28" t="s">
        <v>7082</v>
      </c>
      <c r="D1322" s="28" t="s">
        <v>5482</v>
      </c>
      <c r="E1322" s="28" t="s">
        <v>7442</v>
      </c>
      <c r="F1322" s="28" t="s">
        <v>21</v>
      </c>
      <c r="G1322" s="28" t="s">
        <v>7084</v>
      </c>
      <c r="H1322" s="28" t="s">
        <v>7085</v>
      </c>
      <c r="I1322" s="28" t="s">
        <v>7996</v>
      </c>
      <c r="J1322" s="28" t="s">
        <v>7084</v>
      </c>
      <c r="K1322" s="28" t="s">
        <v>7444</v>
      </c>
      <c r="L1322" s="28" t="s">
        <v>7088</v>
      </c>
      <c r="M1322" s="28" t="s">
        <v>7997</v>
      </c>
      <c r="N1322" s="28" t="s">
        <v>7090</v>
      </c>
      <c r="O1322" s="28" t="s">
        <v>7091</v>
      </c>
      <c r="P1322" s="28" t="s">
        <v>7998</v>
      </c>
    </row>
    <row r="1323" spans="1:16" x14ac:dyDescent="0.25">
      <c r="A1323" s="28" t="s">
        <v>7999</v>
      </c>
      <c r="B1323" s="28" t="s">
        <v>8000</v>
      </c>
      <c r="C1323" s="28" t="s">
        <v>7082</v>
      </c>
      <c r="D1323" s="28" t="s">
        <v>5482</v>
      </c>
      <c r="E1323" s="28" t="s">
        <v>7442</v>
      </c>
      <c r="F1323" s="28" t="s">
        <v>21</v>
      </c>
      <c r="G1323" s="28" t="s">
        <v>7084</v>
      </c>
      <c r="H1323" s="28" t="s">
        <v>7085</v>
      </c>
      <c r="I1323" s="28" t="s">
        <v>8001</v>
      </c>
      <c r="J1323" s="28" t="s">
        <v>7084</v>
      </c>
      <c r="K1323" s="28" t="s">
        <v>7444</v>
      </c>
      <c r="L1323" s="28" t="s">
        <v>7088</v>
      </c>
      <c r="M1323" s="28" t="s">
        <v>8002</v>
      </c>
      <c r="N1323" s="28" t="s">
        <v>7090</v>
      </c>
      <c r="O1323" s="28" t="s">
        <v>7091</v>
      </c>
      <c r="P1323" s="28" t="s">
        <v>8003</v>
      </c>
    </row>
    <row r="1324" spans="1:16" x14ac:dyDescent="0.25">
      <c r="A1324" s="28" t="s">
        <v>8004</v>
      </c>
      <c r="B1324" s="28" t="s">
        <v>8005</v>
      </c>
      <c r="C1324" s="28" t="s">
        <v>7082</v>
      </c>
      <c r="D1324" s="28" t="s">
        <v>101</v>
      </c>
      <c r="E1324" s="28" t="s">
        <v>5493</v>
      </c>
      <c r="F1324" s="28" t="s">
        <v>21</v>
      </c>
      <c r="G1324" s="28" t="s">
        <v>7084</v>
      </c>
      <c r="H1324" s="28" t="s">
        <v>7085</v>
      </c>
      <c r="I1324" s="28" t="s">
        <v>8006</v>
      </c>
      <c r="J1324" s="28" t="s">
        <v>7084</v>
      </c>
      <c r="K1324" s="28" t="s">
        <v>7472</v>
      </c>
      <c r="L1324" s="28" t="s">
        <v>7088</v>
      </c>
      <c r="M1324" s="28" t="s">
        <v>8007</v>
      </c>
      <c r="N1324" s="28" t="s">
        <v>7090</v>
      </c>
      <c r="O1324" s="28" t="s">
        <v>7091</v>
      </c>
      <c r="P1324" s="28" t="s">
        <v>8008</v>
      </c>
    </row>
    <row r="1325" spans="1:16" x14ac:dyDescent="0.25">
      <c r="A1325" s="28" t="s">
        <v>8009</v>
      </c>
      <c r="B1325" s="28" t="s">
        <v>8010</v>
      </c>
      <c r="C1325" s="28" t="s">
        <v>7082</v>
      </c>
      <c r="D1325" s="28" t="s">
        <v>101</v>
      </c>
      <c r="E1325" s="28" t="s">
        <v>5493</v>
      </c>
      <c r="F1325" s="28" t="s">
        <v>21</v>
      </c>
      <c r="G1325" s="28" t="s">
        <v>7084</v>
      </c>
      <c r="H1325" s="28" t="s">
        <v>7085</v>
      </c>
      <c r="I1325" s="28" t="s">
        <v>8011</v>
      </c>
      <c r="J1325" s="28" t="s">
        <v>7084</v>
      </c>
      <c r="K1325" s="28" t="s">
        <v>7472</v>
      </c>
      <c r="L1325" s="28" t="s">
        <v>7088</v>
      </c>
      <c r="M1325" s="28" t="s">
        <v>8012</v>
      </c>
      <c r="N1325" s="28" t="s">
        <v>7090</v>
      </c>
      <c r="O1325" s="28" t="s">
        <v>7091</v>
      </c>
      <c r="P1325" s="28" t="s">
        <v>8013</v>
      </c>
    </row>
    <row r="1326" spans="1:16" x14ac:dyDescent="0.25">
      <c r="A1326" s="28" t="s">
        <v>8014</v>
      </c>
      <c r="B1326" s="28" t="s">
        <v>8015</v>
      </c>
      <c r="C1326" s="28" t="s">
        <v>7082</v>
      </c>
      <c r="D1326" s="28" t="s">
        <v>101</v>
      </c>
      <c r="E1326" s="28" t="s">
        <v>5493</v>
      </c>
      <c r="F1326" s="28" t="s">
        <v>21</v>
      </c>
      <c r="G1326" s="28" t="s">
        <v>7084</v>
      </c>
      <c r="H1326" s="28" t="s">
        <v>7085</v>
      </c>
      <c r="I1326" s="28" t="s">
        <v>8016</v>
      </c>
      <c r="J1326" s="28" t="s">
        <v>7084</v>
      </c>
      <c r="K1326" s="28" t="s">
        <v>7509</v>
      </c>
      <c r="L1326" s="28" t="s">
        <v>7088</v>
      </c>
      <c r="M1326" s="28" t="s">
        <v>8017</v>
      </c>
      <c r="N1326" s="28" t="s">
        <v>7090</v>
      </c>
      <c r="O1326" s="28" t="s">
        <v>7091</v>
      </c>
      <c r="P1326" s="28" t="s">
        <v>8018</v>
      </c>
    </row>
    <row r="1327" spans="1:16" x14ac:dyDescent="0.25">
      <c r="A1327" s="28" t="s">
        <v>8019</v>
      </c>
      <c r="B1327" s="28" t="s">
        <v>8020</v>
      </c>
      <c r="C1327" s="28" t="s">
        <v>7082</v>
      </c>
      <c r="D1327" s="28" t="s">
        <v>101</v>
      </c>
      <c r="E1327" s="28" t="s">
        <v>5493</v>
      </c>
      <c r="F1327" s="28" t="s">
        <v>21</v>
      </c>
      <c r="G1327" s="28" t="s">
        <v>7084</v>
      </c>
      <c r="H1327" s="28" t="s">
        <v>7085</v>
      </c>
      <c r="I1327" s="28" t="s">
        <v>8021</v>
      </c>
      <c r="J1327" s="28" t="s">
        <v>7084</v>
      </c>
      <c r="K1327" s="28" t="s">
        <v>7509</v>
      </c>
      <c r="L1327" s="28" t="s">
        <v>7088</v>
      </c>
      <c r="M1327" s="28" t="s">
        <v>8022</v>
      </c>
      <c r="N1327" s="28" t="s">
        <v>7090</v>
      </c>
      <c r="O1327" s="28" t="s">
        <v>7091</v>
      </c>
      <c r="P1327" s="28" t="s">
        <v>8023</v>
      </c>
    </row>
    <row r="1328" spans="1:16" x14ac:dyDescent="0.25">
      <c r="A1328" s="28" t="s">
        <v>8024</v>
      </c>
      <c r="B1328" s="28" t="s">
        <v>8025</v>
      </c>
      <c r="C1328" s="28" t="s">
        <v>7082</v>
      </c>
      <c r="D1328" s="28" t="s">
        <v>101</v>
      </c>
      <c r="E1328" s="28" t="s">
        <v>7465</v>
      </c>
      <c r="F1328" s="28" t="s">
        <v>21</v>
      </c>
      <c r="G1328" s="28" t="s">
        <v>7084</v>
      </c>
      <c r="H1328" s="28" t="s">
        <v>7085</v>
      </c>
      <c r="I1328" s="28" t="s">
        <v>8026</v>
      </c>
      <c r="J1328" s="28" t="s">
        <v>7084</v>
      </c>
      <c r="K1328" s="28" t="s">
        <v>7742</v>
      </c>
      <c r="L1328" s="28" t="s">
        <v>7088</v>
      </c>
      <c r="M1328" s="28" t="s">
        <v>8027</v>
      </c>
      <c r="N1328" s="28" t="s">
        <v>7090</v>
      </c>
      <c r="O1328" s="28" t="s">
        <v>7091</v>
      </c>
      <c r="P1328" s="28" t="s">
        <v>8028</v>
      </c>
    </row>
    <row r="1329" spans="1:16" x14ac:dyDescent="0.25">
      <c r="A1329" s="28" t="s">
        <v>8029</v>
      </c>
      <c r="B1329" s="28" t="s">
        <v>8030</v>
      </c>
      <c r="C1329" s="28" t="s">
        <v>7082</v>
      </c>
      <c r="D1329" s="28" t="s">
        <v>101</v>
      </c>
      <c r="E1329" s="28" t="s">
        <v>7465</v>
      </c>
      <c r="F1329" s="28" t="s">
        <v>21</v>
      </c>
      <c r="G1329" s="28" t="s">
        <v>7084</v>
      </c>
      <c r="H1329" s="28" t="s">
        <v>7085</v>
      </c>
      <c r="I1329" s="28" t="s">
        <v>8031</v>
      </c>
      <c r="J1329" s="28" t="s">
        <v>7084</v>
      </c>
      <c r="K1329" s="28" t="s">
        <v>7724</v>
      </c>
      <c r="L1329" s="28" t="s">
        <v>7088</v>
      </c>
      <c r="M1329" s="28" t="s">
        <v>8032</v>
      </c>
      <c r="N1329" s="28" t="s">
        <v>7090</v>
      </c>
      <c r="O1329" s="28" t="s">
        <v>7091</v>
      </c>
      <c r="P1329" s="28" t="s">
        <v>8033</v>
      </c>
    </row>
    <row r="1330" spans="1:16" x14ac:dyDescent="0.25">
      <c r="A1330" s="28" t="s">
        <v>8034</v>
      </c>
      <c r="B1330" s="28" t="s">
        <v>8035</v>
      </c>
      <c r="C1330" s="28" t="s">
        <v>7082</v>
      </c>
      <c r="D1330" s="28" t="s">
        <v>101</v>
      </c>
      <c r="E1330" s="28" t="s">
        <v>7465</v>
      </c>
      <c r="F1330" s="28" t="s">
        <v>21</v>
      </c>
      <c r="G1330" s="28" t="s">
        <v>7084</v>
      </c>
      <c r="H1330" s="28" t="s">
        <v>7085</v>
      </c>
      <c r="I1330" s="28" t="s">
        <v>8036</v>
      </c>
      <c r="J1330" s="28" t="s">
        <v>7084</v>
      </c>
      <c r="K1330" s="28" t="s">
        <v>7748</v>
      </c>
      <c r="L1330" s="28" t="s">
        <v>7088</v>
      </c>
      <c r="M1330" s="28" t="s">
        <v>8037</v>
      </c>
      <c r="N1330" s="28" t="s">
        <v>7090</v>
      </c>
      <c r="O1330" s="28" t="s">
        <v>7091</v>
      </c>
      <c r="P1330" s="28" t="s">
        <v>8038</v>
      </c>
    </row>
    <row r="1331" spans="1:16" x14ac:dyDescent="0.25">
      <c r="A1331" s="28" t="s">
        <v>8039</v>
      </c>
      <c r="B1331" s="28" t="s">
        <v>8040</v>
      </c>
      <c r="C1331" s="28" t="s">
        <v>7082</v>
      </c>
      <c r="D1331" s="28" t="s">
        <v>101</v>
      </c>
      <c r="E1331" s="28" t="s">
        <v>7465</v>
      </c>
      <c r="F1331" s="28" t="s">
        <v>21</v>
      </c>
      <c r="G1331" s="28" t="s">
        <v>7084</v>
      </c>
      <c r="H1331" s="28" t="s">
        <v>7085</v>
      </c>
      <c r="I1331" s="28" t="s">
        <v>8041</v>
      </c>
      <c r="J1331" s="28" t="s">
        <v>7084</v>
      </c>
      <c r="K1331" s="28" t="s">
        <v>7736</v>
      </c>
      <c r="L1331" s="28" t="s">
        <v>7088</v>
      </c>
      <c r="M1331" s="28" t="s">
        <v>8042</v>
      </c>
      <c r="N1331" s="28" t="s">
        <v>7090</v>
      </c>
      <c r="O1331" s="28" t="s">
        <v>7091</v>
      </c>
      <c r="P1331" s="28" t="s">
        <v>8043</v>
      </c>
    </row>
    <row r="1332" spans="1:16" x14ac:dyDescent="0.25">
      <c r="A1332" s="28" t="s">
        <v>8044</v>
      </c>
      <c r="B1332" s="28" t="s">
        <v>8045</v>
      </c>
      <c r="C1332" s="28" t="s">
        <v>7082</v>
      </c>
      <c r="D1332" s="28" t="s">
        <v>101</v>
      </c>
      <c r="E1332" s="28" t="s">
        <v>7465</v>
      </c>
      <c r="F1332" s="28" t="s">
        <v>21</v>
      </c>
      <c r="G1332" s="28" t="s">
        <v>7084</v>
      </c>
      <c r="H1332" s="28" t="s">
        <v>7085</v>
      </c>
      <c r="I1332" s="28" t="s">
        <v>8046</v>
      </c>
      <c r="J1332" s="28" t="s">
        <v>7084</v>
      </c>
      <c r="K1332" s="28" t="s">
        <v>7711</v>
      </c>
      <c r="L1332" s="28" t="s">
        <v>7088</v>
      </c>
      <c r="M1332" s="28" t="s">
        <v>8047</v>
      </c>
      <c r="N1332" s="28" t="s">
        <v>7090</v>
      </c>
      <c r="O1332" s="28" t="s">
        <v>7091</v>
      </c>
      <c r="P1332" s="28" t="s">
        <v>8048</v>
      </c>
    </row>
    <row r="1333" spans="1:16" x14ac:dyDescent="0.25">
      <c r="A1333" s="28" t="s">
        <v>8049</v>
      </c>
      <c r="B1333" s="28" t="s">
        <v>8050</v>
      </c>
      <c r="C1333" s="28" t="s">
        <v>7082</v>
      </c>
      <c r="D1333" s="28" t="s">
        <v>101</v>
      </c>
      <c r="E1333" s="28" t="s">
        <v>7465</v>
      </c>
      <c r="F1333" s="28" t="s">
        <v>21</v>
      </c>
      <c r="G1333" s="28" t="s">
        <v>7084</v>
      </c>
      <c r="H1333" s="28" t="s">
        <v>7085</v>
      </c>
      <c r="I1333" s="28" t="s">
        <v>8051</v>
      </c>
      <c r="J1333" s="28" t="s">
        <v>7084</v>
      </c>
      <c r="K1333" s="28" t="s">
        <v>7730</v>
      </c>
      <c r="L1333" s="28" t="s">
        <v>7088</v>
      </c>
      <c r="M1333" s="28" t="s">
        <v>8052</v>
      </c>
      <c r="N1333" s="28" t="s">
        <v>7090</v>
      </c>
      <c r="O1333" s="28" t="s">
        <v>7091</v>
      </c>
      <c r="P1333" s="28" t="s">
        <v>8053</v>
      </c>
    </row>
    <row r="1334" spans="1:16" x14ac:dyDescent="0.25">
      <c r="A1334" s="28" t="s">
        <v>8054</v>
      </c>
      <c r="B1334" s="28" t="s">
        <v>8055</v>
      </c>
      <c r="C1334" s="28" t="s">
        <v>7082</v>
      </c>
      <c r="D1334" s="28" t="s">
        <v>101</v>
      </c>
      <c r="E1334" s="28" t="s">
        <v>7465</v>
      </c>
      <c r="F1334" s="28" t="s">
        <v>21</v>
      </c>
      <c r="G1334" s="28" t="s">
        <v>7084</v>
      </c>
      <c r="H1334" s="28" t="s">
        <v>7085</v>
      </c>
      <c r="I1334" s="28" t="s">
        <v>8056</v>
      </c>
      <c r="J1334" s="28" t="s">
        <v>7084</v>
      </c>
      <c r="K1334" s="28" t="s">
        <v>7489</v>
      </c>
      <c r="L1334" s="28" t="s">
        <v>7088</v>
      </c>
      <c r="M1334" s="28" t="s">
        <v>8057</v>
      </c>
      <c r="N1334" s="28" t="s">
        <v>7090</v>
      </c>
      <c r="O1334" s="28" t="s">
        <v>7091</v>
      </c>
      <c r="P1334" s="28" t="s">
        <v>8058</v>
      </c>
    </row>
    <row r="1335" spans="1:16" x14ac:dyDescent="0.25">
      <c r="A1335" s="28" t="s">
        <v>8059</v>
      </c>
      <c r="B1335" s="28" t="s">
        <v>8060</v>
      </c>
      <c r="C1335" s="28" t="s">
        <v>7082</v>
      </c>
      <c r="D1335" s="28" t="s">
        <v>101</v>
      </c>
      <c r="E1335" s="28" t="s">
        <v>7465</v>
      </c>
      <c r="F1335" s="28" t="s">
        <v>21</v>
      </c>
      <c r="G1335" s="28" t="s">
        <v>7084</v>
      </c>
      <c r="H1335" s="28" t="s">
        <v>7085</v>
      </c>
      <c r="I1335" s="28" t="s">
        <v>8061</v>
      </c>
      <c r="J1335" s="28" t="s">
        <v>7084</v>
      </c>
      <c r="K1335" s="28" t="s">
        <v>7148</v>
      </c>
      <c r="L1335" s="28" t="s">
        <v>7088</v>
      </c>
      <c r="M1335" s="28" t="s">
        <v>8062</v>
      </c>
      <c r="N1335" s="28" t="s">
        <v>7090</v>
      </c>
      <c r="O1335" s="28" t="s">
        <v>7091</v>
      </c>
      <c r="P1335" s="28" t="s">
        <v>8063</v>
      </c>
    </row>
    <row r="1336" spans="1:16" x14ac:dyDescent="0.25">
      <c r="A1336" s="28" t="s">
        <v>8064</v>
      </c>
      <c r="B1336" s="28" t="s">
        <v>8065</v>
      </c>
      <c r="C1336" s="28" t="s">
        <v>7082</v>
      </c>
      <c r="D1336" s="28" t="s">
        <v>101</v>
      </c>
      <c r="E1336" s="28" t="s">
        <v>5671</v>
      </c>
      <c r="F1336" s="28" t="s">
        <v>21</v>
      </c>
      <c r="G1336" s="28" t="s">
        <v>7084</v>
      </c>
      <c r="H1336" s="28" t="s">
        <v>7085</v>
      </c>
      <c r="I1336" s="28" t="s">
        <v>8066</v>
      </c>
      <c r="J1336" s="28" t="s">
        <v>7084</v>
      </c>
      <c r="K1336" s="28" t="s">
        <v>7483</v>
      </c>
      <c r="L1336" s="28" t="s">
        <v>7088</v>
      </c>
      <c r="M1336" s="28" t="s">
        <v>8067</v>
      </c>
      <c r="N1336" s="28" t="s">
        <v>7090</v>
      </c>
      <c r="O1336" s="28" t="s">
        <v>7091</v>
      </c>
      <c r="P1336" s="28" t="s">
        <v>8068</v>
      </c>
    </row>
    <row r="1337" spans="1:16" x14ac:dyDescent="0.25">
      <c r="A1337" s="28" t="s">
        <v>8069</v>
      </c>
      <c r="B1337" s="28" t="s">
        <v>8070</v>
      </c>
      <c r="C1337" s="28" t="s">
        <v>7082</v>
      </c>
      <c r="D1337" s="28" t="s">
        <v>101</v>
      </c>
      <c r="E1337" s="28" t="s">
        <v>7716</v>
      </c>
      <c r="F1337" s="28" t="s">
        <v>21</v>
      </c>
      <c r="G1337" s="28" t="s">
        <v>7084</v>
      </c>
      <c r="H1337" s="28" t="s">
        <v>7085</v>
      </c>
      <c r="I1337" s="28" t="s">
        <v>8071</v>
      </c>
      <c r="J1337" s="28" t="s">
        <v>7084</v>
      </c>
      <c r="K1337" s="28" t="s">
        <v>7718</v>
      </c>
      <c r="L1337" s="28" t="s">
        <v>7088</v>
      </c>
      <c r="M1337" s="28" t="s">
        <v>8072</v>
      </c>
      <c r="N1337" s="28" t="s">
        <v>7090</v>
      </c>
      <c r="O1337" s="28" t="s">
        <v>7091</v>
      </c>
      <c r="P1337" s="28" t="s">
        <v>8073</v>
      </c>
    </row>
    <row r="1338" spans="1:16" x14ac:dyDescent="0.25">
      <c r="A1338" s="28" t="s">
        <v>8074</v>
      </c>
      <c r="B1338" s="28" t="s">
        <v>8075</v>
      </c>
      <c r="C1338" s="28" t="s">
        <v>7082</v>
      </c>
      <c r="D1338" s="28" t="s">
        <v>101</v>
      </c>
      <c r="E1338" s="28" t="s">
        <v>7519</v>
      </c>
      <c r="F1338" s="28" t="s">
        <v>21</v>
      </c>
      <c r="G1338" s="28" t="s">
        <v>7084</v>
      </c>
      <c r="H1338" s="28" t="s">
        <v>7085</v>
      </c>
      <c r="I1338" s="28" t="s">
        <v>8076</v>
      </c>
      <c r="J1338" s="28" t="s">
        <v>7084</v>
      </c>
      <c r="K1338" s="28" t="s">
        <v>7521</v>
      </c>
      <c r="L1338" s="28" t="s">
        <v>7088</v>
      </c>
      <c r="M1338" s="28" t="s">
        <v>8077</v>
      </c>
      <c r="N1338" s="28" t="s">
        <v>7090</v>
      </c>
      <c r="O1338" s="28" t="s">
        <v>7091</v>
      </c>
      <c r="P1338" s="28" t="s">
        <v>8078</v>
      </c>
    </row>
    <row r="1339" spans="1:16" x14ac:dyDescent="0.25">
      <c r="A1339" s="28" t="s">
        <v>8079</v>
      </c>
      <c r="B1339" s="28" t="s">
        <v>8080</v>
      </c>
      <c r="C1339" s="28" t="s">
        <v>7082</v>
      </c>
      <c r="D1339" s="28" t="s">
        <v>101</v>
      </c>
      <c r="E1339" s="28" t="s">
        <v>7519</v>
      </c>
      <c r="F1339" s="28" t="s">
        <v>21</v>
      </c>
      <c r="G1339" s="28" t="s">
        <v>7084</v>
      </c>
      <c r="H1339" s="28" t="s">
        <v>7085</v>
      </c>
      <c r="I1339" s="28" t="s">
        <v>8081</v>
      </c>
      <c r="J1339" s="28" t="s">
        <v>7084</v>
      </c>
      <c r="K1339" s="28" t="s">
        <v>7521</v>
      </c>
      <c r="L1339" s="28" t="s">
        <v>7088</v>
      </c>
      <c r="M1339" s="28" t="s">
        <v>8082</v>
      </c>
      <c r="N1339" s="28" t="s">
        <v>7090</v>
      </c>
      <c r="O1339" s="28" t="s">
        <v>7091</v>
      </c>
      <c r="P1339" s="28" t="s">
        <v>8083</v>
      </c>
    </row>
    <row r="1340" spans="1:16" x14ac:dyDescent="0.25">
      <c r="A1340" s="28" t="s">
        <v>8084</v>
      </c>
      <c r="B1340" s="28" t="s">
        <v>8085</v>
      </c>
      <c r="C1340" s="28" t="s">
        <v>7082</v>
      </c>
      <c r="D1340" s="28" t="s">
        <v>101</v>
      </c>
      <c r="E1340" s="28" t="s">
        <v>7519</v>
      </c>
      <c r="F1340" s="28" t="s">
        <v>21</v>
      </c>
      <c r="G1340" s="28" t="s">
        <v>7084</v>
      </c>
      <c r="H1340" s="28" t="s">
        <v>7085</v>
      </c>
      <c r="I1340" s="28" t="s">
        <v>8086</v>
      </c>
      <c r="J1340" s="28" t="s">
        <v>7084</v>
      </c>
      <c r="K1340" s="28" t="s">
        <v>7672</v>
      </c>
      <c r="L1340" s="28" t="s">
        <v>7088</v>
      </c>
      <c r="M1340" s="28" t="s">
        <v>8087</v>
      </c>
      <c r="N1340" s="28" t="s">
        <v>7090</v>
      </c>
      <c r="O1340" s="28" t="s">
        <v>7091</v>
      </c>
      <c r="P1340" s="28" t="s">
        <v>8088</v>
      </c>
    </row>
    <row r="1341" spans="1:16" x14ac:dyDescent="0.25">
      <c r="A1341" s="28" t="s">
        <v>8089</v>
      </c>
      <c r="B1341" s="28" t="s">
        <v>8090</v>
      </c>
      <c r="C1341" s="28" t="s">
        <v>7082</v>
      </c>
      <c r="D1341" s="28" t="s">
        <v>101</v>
      </c>
      <c r="E1341" s="28" t="s">
        <v>7519</v>
      </c>
      <c r="F1341" s="28" t="s">
        <v>21</v>
      </c>
      <c r="G1341" s="28" t="s">
        <v>7084</v>
      </c>
      <c r="H1341" s="28" t="s">
        <v>7085</v>
      </c>
      <c r="I1341" s="28" t="s">
        <v>8091</v>
      </c>
      <c r="J1341" s="28" t="s">
        <v>7084</v>
      </c>
      <c r="K1341" s="28" t="s">
        <v>7562</v>
      </c>
      <c r="L1341" s="28" t="s">
        <v>7088</v>
      </c>
      <c r="M1341" s="28" t="s">
        <v>8092</v>
      </c>
      <c r="N1341" s="28" t="s">
        <v>7090</v>
      </c>
      <c r="O1341" s="28" t="s">
        <v>7091</v>
      </c>
      <c r="P1341" s="28" t="s">
        <v>8093</v>
      </c>
    </row>
    <row r="1342" spans="1:16" x14ac:dyDescent="0.25">
      <c r="A1342" s="28" t="s">
        <v>8094</v>
      </c>
      <c r="B1342" s="28" t="s">
        <v>8095</v>
      </c>
      <c r="C1342" s="28" t="s">
        <v>7082</v>
      </c>
      <c r="D1342" s="28" t="s">
        <v>101</v>
      </c>
      <c r="E1342" s="28" t="s">
        <v>7519</v>
      </c>
      <c r="F1342" s="28" t="s">
        <v>21</v>
      </c>
      <c r="G1342" s="28" t="s">
        <v>7084</v>
      </c>
      <c r="H1342" s="28" t="s">
        <v>7085</v>
      </c>
      <c r="I1342" s="28" t="s">
        <v>8096</v>
      </c>
      <c r="J1342" s="28" t="s">
        <v>7084</v>
      </c>
      <c r="K1342" s="28" t="s">
        <v>7588</v>
      </c>
      <c r="L1342" s="28" t="s">
        <v>7088</v>
      </c>
      <c r="M1342" s="28" t="s">
        <v>8097</v>
      </c>
      <c r="N1342" s="28" t="s">
        <v>7090</v>
      </c>
      <c r="O1342" s="28" t="s">
        <v>7091</v>
      </c>
      <c r="P1342" s="28" t="s">
        <v>8098</v>
      </c>
    </row>
    <row r="1343" spans="1:16" x14ac:dyDescent="0.25">
      <c r="A1343" s="28" t="s">
        <v>8099</v>
      </c>
      <c r="B1343" s="28" t="s">
        <v>8100</v>
      </c>
      <c r="C1343" s="28" t="s">
        <v>7082</v>
      </c>
      <c r="D1343" s="28" t="s">
        <v>101</v>
      </c>
      <c r="E1343" s="28" t="s">
        <v>7519</v>
      </c>
      <c r="F1343" s="28" t="s">
        <v>21</v>
      </c>
      <c r="G1343" s="28" t="s">
        <v>7084</v>
      </c>
      <c r="H1343" s="28" t="s">
        <v>7085</v>
      </c>
      <c r="I1343" s="28" t="s">
        <v>8101</v>
      </c>
      <c r="J1343" s="28" t="s">
        <v>7084</v>
      </c>
      <c r="K1343" s="28" t="s">
        <v>7640</v>
      </c>
      <c r="L1343" s="28" t="s">
        <v>7088</v>
      </c>
      <c r="M1343" s="28" t="s">
        <v>8102</v>
      </c>
      <c r="N1343" s="28" t="s">
        <v>7090</v>
      </c>
      <c r="O1343" s="28" t="s">
        <v>7091</v>
      </c>
      <c r="P1343" s="28" t="s">
        <v>8103</v>
      </c>
    </row>
    <row r="1344" spans="1:16" x14ac:dyDescent="0.25">
      <c r="A1344" s="28" t="s">
        <v>8104</v>
      </c>
      <c r="B1344" s="28" t="s">
        <v>8105</v>
      </c>
      <c r="C1344" s="28" t="s">
        <v>7082</v>
      </c>
      <c r="D1344" s="28" t="s">
        <v>101</v>
      </c>
      <c r="E1344" s="28" t="s">
        <v>7519</v>
      </c>
      <c r="F1344" s="28" t="s">
        <v>21</v>
      </c>
      <c r="G1344" s="28" t="s">
        <v>7084</v>
      </c>
      <c r="H1344" s="28" t="s">
        <v>7085</v>
      </c>
      <c r="I1344" s="28" t="s">
        <v>8106</v>
      </c>
      <c r="J1344" s="28" t="s">
        <v>7084</v>
      </c>
      <c r="K1344" s="28" t="s">
        <v>7614</v>
      </c>
      <c r="L1344" s="28" t="s">
        <v>7088</v>
      </c>
      <c r="M1344" s="28" t="s">
        <v>8107</v>
      </c>
      <c r="N1344" s="28" t="s">
        <v>7090</v>
      </c>
      <c r="O1344" s="28" t="s">
        <v>7091</v>
      </c>
      <c r="P1344" s="28" t="s">
        <v>8108</v>
      </c>
    </row>
    <row r="1345" spans="1:16" x14ac:dyDescent="0.25">
      <c r="A1345" s="28" t="s">
        <v>8109</v>
      </c>
      <c r="B1345" s="28" t="s">
        <v>8110</v>
      </c>
      <c r="C1345" s="28" t="s">
        <v>7082</v>
      </c>
      <c r="D1345" s="28" t="s">
        <v>101</v>
      </c>
      <c r="E1345" s="28" t="s">
        <v>7519</v>
      </c>
      <c r="F1345" s="28" t="s">
        <v>21</v>
      </c>
      <c r="G1345" s="28" t="s">
        <v>7084</v>
      </c>
      <c r="H1345" s="28" t="s">
        <v>7085</v>
      </c>
      <c r="I1345" s="28" t="s">
        <v>8111</v>
      </c>
      <c r="J1345" s="28" t="s">
        <v>7084</v>
      </c>
      <c r="K1345" s="28" t="s">
        <v>7693</v>
      </c>
      <c r="L1345" s="28" t="s">
        <v>7088</v>
      </c>
      <c r="M1345" s="28" t="s">
        <v>8112</v>
      </c>
      <c r="N1345" s="28" t="s">
        <v>7090</v>
      </c>
      <c r="O1345" s="28" t="s">
        <v>7091</v>
      </c>
      <c r="P1345" s="28" t="s">
        <v>8113</v>
      </c>
    </row>
    <row r="1346" spans="1:16" x14ac:dyDescent="0.25">
      <c r="A1346" s="28" t="s">
        <v>8114</v>
      </c>
      <c r="B1346" s="28" t="s">
        <v>8115</v>
      </c>
      <c r="C1346" s="28" t="s">
        <v>7082</v>
      </c>
      <c r="D1346" s="28" t="s">
        <v>101</v>
      </c>
      <c r="E1346" s="28" t="s">
        <v>7519</v>
      </c>
      <c r="F1346" s="28" t="s">
        <v>21</v>
      </c>
      <c r="G1346" s="28" t="s">
        <v>7084</v>
      </c>
      <c r="H1346" s="28" t="s">
        <v>7085</v>
      </c>
      <c r="I1346" s="28" t="s">
        <v>8116</v>
      </c>
      <c r="J1346" s="28" t="s">
        <v>7084</v>
      </c>
      <c r="K1346" s="28" t="s">
        <v>7521</v>
      </c>
      <c r="L1346" s="28" t="s">
        <v>7088</v>
      </c>
      <c r="M1346" s="28" t="s">
        <v>8117</v>
      </c>
      <c r="N1346" s="28" t="s">
        <v>7090</v>
      </c>
      <c r="O1346" s="28" t="s">
        <v>7091</v>
      </c>
      <c r="P1346" s="28" t="s">
        <v>8118</v>
      </c>
    </row>
    <row r="1347" spans="1:16" x14ac:dyDescent="0.25">
      <c r="A1347" s="28" t="s">
        <v>8119</v>
      </c>
      <c r="B1347" s="28" t="s">
        <v>8120</v>
      </c>
      <c r="C1347" s="28" t="s">
        <v>7082</v>
      </c>
      <c r="D1347" s="28" t="s">
        <v>101</v>
      </c>
      <c r="E1347" s="28" t="s">
        <v>7519</v>
      </c>
      <c r="F1347" s="28" t="s">
        <v>21</v>
      </c>
      <c r="G1347" s="28" t="s">
        <v>7084</v>
      </c>
      <c r="H1347" s="28" t="s">
        <v>7085</v>
      </c>
      <c r="I1347" s="28" t="s">
        <v>8121</v>
      </c>
      <c r="J1347" s="28" t="s">
        <v>7084</v>
      </c>
      <c r="K1347" s="28" t="s">
        <v>7521</v>
      </c>
      <c r="L1347" s="28" t="s">
        <v>7088</v>
      </c>
      <c r="M1347" s="28" t="s">
        <v>8122</v>
      </c>
      <c r="N1347" s="28" t="s">
        <v>7090</v>
      </c>
      <c r="O1347" s="28" t="s">
        <v>7091</v>
      </c>
      <c r="P1347" s="28" t="s">
        <v>8123</v>
      </c>
    </row>
    <row r="1348" spans="1:16" x14ac:dyDescent="0.25">
      <c r="A1348" s="28" t="s">
        <v>8124</v>
      </c>
      <c r="B1348" s="28" t="s">
        <v>8125</v>
      </c>
      <c r="C1348" s="28" t="s">
        <v>7082</v>
      </c>
      <c r="D1348" s="28" t="s">
        <v>101</v>
      </c>
      <c r="E1348" s="28" t="s">
        <v>7519</v>
      </c>
      <c r="F1348" s="28" t="s">
        <v>21</v>
      </c>
      <c r="G1348" s="28" t="s">
        <v>7084</v>
      </c>
      <c r="H1348" s="28" t="s">
        <v>7085</v>
      </c>
      <c r="I1348" s="28" t="s">
        <v>8126</v>
      </c>
      <c r="J1348" s="28" t="s">
        <v>7084</v>
      </c>
      <c r="K1348" s="28" t="s">
        <v>7672</v>
      </c>
      <c r="L1348" s="28" t="s">
        <v>7088</v>
      </c>
      <c r="M1348" s="28" t="s">
        <v>8127</v>
      </c>
      <c r="N1348" s="28" t="s">
        <v>7090</v>
      </c>
      <c r="O1348" s="28" t="s">
        <v>7091</v>
      </c>
      <c r="P1348" s="28" t="s">
        <v>8128</v>
      </c>
    </row>
    <row r="1349" spans="1:16" x14ac:dyDescent="0.25">
      <c r="A1349" s="28" t="s">
        <v>8129</v>
      </c>
      <c r="B1349" s="28" t="s">
        <v>8130</v>
      </c>
      <c r="C1349" s="28" t="s">
        <v>7082</v>
      </c>
      <c r="D1349" s="28" t="s">
        <v>101</v>
      </c>
      <c r="E1349" s="28" t="s">
        <v>7519</v>
      </c>
      <c r="F1349" s="28" t="s">
        <v>21</v>
      </c>
      <c r="G1349" s="28" t="s">
        <v>7084</v>
      </c>
      <c r="H1349" s="28" t="s">
        <v>7085</v>
      </c>
      <c r="I1349" s="28" t="s">
        <v>8131</v>
      </c>
      <c r="J1349" s="28" t="s">
        <v>7084</v>
      </c>
      <c r="K1349" s="28" t="s">
        <v>7562</v>
      </c>
      <c r="L1349" s="28" t="s">
        <v>7088</v>
      </c>
      <c r="M1349" s="28" t="s">
        <v>8132</v>
      </c>
      <c r="N1349" s="28" t="s">
        <v>7090</v>
      </c>
      <c r="O1349" s="28" t="s">
        <v>7091</v>
      </c>
      <c r="P1349" s="28" t="s">
        <v>8133</v>
      </c>
    </row>
    <row r="1350" spans="1:16" x14ac:dyDescent="0.25">
      <c r="A1350" s="28" t="s">
        <v>8134</v>
      </c>
      <c r="B1350" s="28" t="s">
        <v>8135</v>
      </c>
      <c r="C1350" s="28" t="s">
        <v>7082</v>
      </c>
      <c r="D1350" s="28" t="s">
        <v>101</v>
      </c>
      <c r="E1350" s="28" t="s">
        <v>7519</v>
      </c>
      <c r="F1350" s="28" t="s">
        <v>21</v>
      </c>
      <c r="G1350" s="28" t="s">
        <v>7084</v>
      </c>
      <c r="H1350" s="28" t="s">
        <v>7085</v>
      </c>
      <c r="I1350" s="28" t="s">
        <v>8136</v>
      </c>
      <c r="J1350" s="28" t="s">
        <v>7084</v>
      </c>
      <c r="K1350" s="28" t="s">
        <v>7588</v>
      </c>
      <c r="L1350" s="28" t="s">
        <v>7088</v>
      </c>
      <c r="M1350" s="28" t="s">
        <v>8137</v>
      </c>
      <c r="N1350" s="28" t="s">
        <v>7090</v>
      </c>
      <c r="O1350" s="28" t="s">
        <v>7091</v>
      </c>
      <c r="P1350" s="28" t="s">
        <v>8138</v>
      </c>
    </row>
    <row r="1351" spans="1:16" x14ac:dyDescent="0.25">
      <c r="A1351" s="28" t="s">
        <v>8139</v>
      </c>
      <c r="B1351" s="28" t="s">
        <v>8140</v>
      </c>
      <c r="C1351" s="28" t="s">
        <v>7082</v>
      </c>
      <c r="D1351" s="28" t="s">
        <v>101</v>
      </c>
      <c r="E1351" s="28" t="s">
        <v>7519</v>
      </c>
      <c r="F1351" s="28" t="s">
        <v>21</v>
      </c>
      <c r="G1351" s="28" t="s">
        <v>7084</v>
      </c>
      <c r="H1351" s="28" t="s">
        <v>7085</v>
      </c>
      <c r="I1351" s="28" t="s">
        <v>8141</v>
      </c>
      <c r="J1351" s="28" t="s">
        <v>7084</v>
      </c>
      <c r="K1351" s="28" t="s">
        <v>7640</v>
      </c>
      <c r="L1351" s="28" t="s">
        <v>7088</v>
      </c>
      <c r="M1351" s="28" t="s">
        <v>8142</v>
      </c>
      <c r="N1351" s="28" t="s">
        <v>7090</v>
      </c>
      <c r="O1351" s="28" t="s">
        <v>7091</v>
      </c>
      <c r="P1351" s="28" t="s">
        <v>8143</v>
      </c>
    </row>
    <row r="1352" spans="1:16" x14ac:dyDescent="0.25">
      <c r="A1352" s="28" t="s">
        <v>8144</v>
      </c>
      <c r="B1352" s="28" t="s">
        <v>8145</v>
      </c>
      <c r="C1352" s="28" t="s">
        <v>7082</v>
      </c>
      <c r="D1352" s="28" t="s">
        <v>101</v>
      </c>
      <c r="E1352" s="28" t="s">
        <v>7519</v>
      </c>
      <c r="F1352" s="28" t="s">
        <v>21</v>
      </c>
      <c r="G1352" s="28" t="s">
        <v>7084</v>
      </c>
      <c r="H1352" s="28" t="s">
        <v>7085</v>
      </c>
      <c r="I1352" s="28" t="s">
        <v>8146</v>
      </c>
      <c r="J1352" s="28" t="s">
        <v>7084</v>
      </c>
      <c r="K1352" s="28" t="s">
        <v>7614</v>
      </c>
      <c r="L1352" s="28" t="s">
        <v>7088</v>
      </c>
      <c r="M1352" s="28" t="s">
        <v>8147</v>
      </c>
      <c r="N1352" s="28" t="s">
        <v>7090</v>
      </c>
      <c r="O1352" s="28" t="s">
        <v>7091</v>
      </c>
      <c r="P1352" s="28" t="s">
        <v>8148</v>
      </c>
    </row>
    <row r="1353" spans="1:16" x14ac:dyDescent="0.25">
      <c r="A1353" s="28" t="s">
        <v>8149</v>
      </c>
      <c r="B1353" s="28" t="s">
        <v>8150</v>
      </c>
      <c r="C1353" s="28" t="s">
        <v>7082</v>
      </c>
      <c r="D1353" s="28" t="s">
        <v>101</v>
      </c>
      <c r="E1353" s="28" t="s">
        <v>7519</v>
      </c>
      <c r="F1353" s="28" t="s">
        <v>21</v>
      </c>
      <c r="G1353" s="28" t="s">
        <v>7084</v>
      </c>
      <c r="H1353" s="28" t="s">
        <v>7085</v>
      </c>
      <c r="I1353" s="28" t="s">
        <v>8151</v>
      </c>
      <c r="J1353" s="28" t="s">
        <v>7084</v>
      </c>
      <c r="K1353" s="28" t="s">
        <v>7521</v>
      </c>
      <c r="L1353" s="28" t="s">
        <v>7088</v>
      </c>
      <c r="M1353" s="28" t="s">
        <v>8152</v>
      </c>
      <c r="N1353" s="28" t="s">
        <v>7090</v>
      </c>
      <c r="O1353" s="28" t="s">
        <v>7091</v>
      </c>
      <c r="P1353" s="28" t="s">
        <v>8153</v>
      </c>
    </row>
    <row r="1354" spans="1:16" x14ac:dyDescent="0.25">
      <c r="A1354" s="28" t="s">
        <v>8154</v>
      </c>
      <c r="B1354" s="28" t="s">
        <v>8155</v>
      </c>
      <c r="C1354" s="28" t="s">
        <v>7082</v>
      </c>
      <c r="D1354" s="28" t="s">
        <v>101</v>
      </c>
      <c r="E1354" s="28" t="s">
        <v>7519</v>
      </c>
      <c r="F1354" s="28" t="s">
        <v>21</v>
      </c>
      <c r="G1354" s="28" t="s">
        <v>7084</v>
      </c>
      <c r="H1354" s="28" t="s">
        <v>7085</v>
      </c>
      <c r="I1354" s="28" t="s">
        <v>8156</v>
      </c>
      <c r="J1354" s="28" t="s">
        <v>7084</v>
      </c>
      <c r="K1354" s="28" t="s">
        <v>7521</v>
      </c>
      <c r="L1354" s="28" t="s">
        <v>7088</v>
      </c>
      <c r="M1354" s="28" t="s">
        <v>8157</v>
      </c>
      <c r="N1354" s="28" t="s">
        <v>7090</v>
      </c>
      <c r="O1354" s="28" t="s">
        <v>7091</v>
      </c>
      <c r="P1354" s="28" t="s">
        <v>8158</v>
      </c>
    </row>
    <row r="1355" spans="1:16" x14ac:dyDescent="0.25">
      <c r="A1355" s="28" t="s">
        <v>8159</v>
      </c>
      <c r="B1355" s="28" t="s">
        <v>8160</v>
      </c>
      <c r="C1355" s="28" t="s">
        <v>7082</v>
      </c>
      <c r="D1355" s="28" t="s">
        <v>101</v>
      </c>
      <c r="E1355" s="28" t="s">
        <v>7519</v>
      </c>
      <c r="F1355" s="28" t="s">
        <v>21</v>
      </c>
      <c r="G1355" s="28" t="s">
        <v>7084</v>
      </c>
      <c r="H1355" s="28" t="s">
        <v>7085</v>
      </c>
      <c r="I1355" s="28" t="s">
        <v>8161</v>
      </c>
      <c r="J1355" s="28" t="s">
        <v>7084</v>
      </c>
      <c r="K1355" s="28" t="s">
        <v>7672</v>
      </c>
      <c r="L1355" s="28" t="s">
        <v>7088</v>
      </c>
      <c r="M1355" s="28" t="s">
        <v>8162</v>
      </c>
      <c r="N1355" s="28" t="s">
        <v>7090</v>
      </c>
      <c r="O1355" s="28" t="s">
        <v>7091</v>
      </c>
      <c r="P1355" s="28" t="s">
        <v>8163</v>
      </c>
    </row>
    <row r="1356" spans="1:16" x14ac:dyDescent="0.25">
      <c r="A1356" s="28" t="s">
        <v>8164</v>
      </c>
      <c r="B1356" s="28" t="s">
        <v>8165</v>
      </c>
      <c r="C1356" s="28" t="s">
        <v>7082</v>
      </c>
      <c r="D1356" s="28" t="s">
        <v>101</v>
      </c>
      <c r="E1356" s="28" t="s">
        <v>7519</v>
      </c>
      <c r="F1356" s="28" t="s">
        <v>21</v>
      </c>
      <c r="G1356" s="28" t="s">
        <v>7084</v>
      </c>
      <c r="H1356" s="28" t="s">
        <v>7085</v>
      </c>
      <c r="I1356" s="28" t="s">
        <v>8166</v>
      </c>
      <c r="J1356" s="28" t="s">
        <v>7084</v>
      </c>
      <c r="K1356" s="28" t="s">
        <v>7562</v>
      </c>
      <c r="L1356" s="28" t="s">
        <v>7088</v>
      </c>
      <c r="M1356" s="28" t="s">
        <v>8167</v>
      </c>
      <c r="N1356" s="28" t="s">
        <v>7090</v>
      </c>
      <c r="O1356" s="28" t="s">
        <v>7091</v>
      </c>
      <c r="P1356" s="28" t="s">
        <v>8168</v>
      </c>
    </row>
    <row r="1357" spans="1:16" x14ac:dyDescent="0.25">
      <c r="A1357" s="28" t="s">
        <v>8169</v>
      </c>
      <c r="B1357" s="28" t="s">
        <v>8170</v>
      </c>
      <c r="C1357" s="28" t="s">
        <v>7082</v>
      </c>
      <c r="D1357" s="28" t="s">
        <v>101</v>
      </c>
      <c r="E1357" s="28" t="s">
        <v>7519</v>
      </c>
      <c r="F1357" s="28" t="s">
        <v>21</v>
      </c>
      <c r="G1357" s="28" t="s">
        <v>7084</v>
      </c>
      <c r="H1357" s="28" t="s">
        <v>7085</v>
      </c>
      <c r="I1357" s="28" t="s">
        <v>8171</v>
      </c>
      <c r="J1357" s="28" t="s">
        <v>7084</v>
      </c>
      <c r="K1357" s="28" t="s">
        <v>7588</v>
      </c>
      <c r="L1357" s="28" t="s">
        <v>7088</v>
      </c>
      <c r="M1357" s="28" t="s">
        <v>8172</v>
      </c>
      <c r="N1357" s="28" t="s">
        <v>7090</v>
      </c>
      <c r="O1357" s="28" t="s">
        <v>7091</v>
      </c>
      <c r="P1357" s="28" t="s">
        <v>8173</v>
      </c>
    </row>
    <row r="1358" spans="1:16" x14ac:dyDescent="0.25">
      <c r="A1358" s="28" t="s">
        <v>8174</v>
      </c>
      <c r="B1358" s="28" t="s">
        <v>8175</v>
      </c>
      <c r="C1358" s="28" t="s">
        <v>7082</v>
      </c>
      <c r="D1358" s="28" t="s">
        <v>101</v>
      </c>
      <c r="E1358" s="28" t="s">
        <v>7519</v>
      </c>
      <c r="F1358" s="28" t="s">
        <v>21</v>
      </c>
      <c r="G1358" s="28" t="s">
        <v>7084</v>
      </c>
      <c r="H1358" s="28" t="s">
        <v>7085</v>
      </c>
      <c r="I1358" s="28" t="s">
        <v>8176</v>
      </c>
      <c r="J1358" s="28" t="s">
        <v>7084</v>
      </c>
      <c r="K1358" s="28" t="s">
        <v>7640</v>
      </c>
      <c r="L1358" s="28" t="s">
        <v>7088</v>
      </c>
      <c r="M1358" s="28" t="s">
        <v>8177</v>
      </c>
      <c r="N1358" s="28" t="s">
        <v>7090</v>
      </c>
      <c r="O1358" s="28" t="s">
        <v>7091</v>
      </c>
      <c r="P1358" s="28" t="s">
        <v>8178</v>
      </c>
    </row>
    <row r="1359" spans="1:16" x14ac:dyDescent="0.25">
      <c r="A1359" s="28" t="s">
        <v>8179</v>
      </c>
      <c r="B1359" s="28" t="s">
        <v>8180</v>
      </c>
      <c r="C1359" s="28" t="s">
        <v>7082</v>
      </c>
      <c r="D1359" s="28" t="s">
        <v>101</v>
      </c>
      <c r="E1359" s="28" t="s">
        <v>7519</v>
      </c>
      <c r="F1359" s="28" t="s">
        <v>21</v>
      </c>
      <c r="G1359" s="28" t="s">
        <v>7084</v>
      </c>
      <c r="H1359" s="28" t="s">
        <v>7085</v>
      </c>
      <c r="I1359" s="28" t="s">
        <v>8181</v>
      </c>
      <c r="J1359" s="28" t="s">
        <v>7084</v>
      </c>
      <c r="K1359" s="28" t="s">
        <v>7614</v>
      </c>
      <c r="L1359" s="28" t="s">
        <v>7088</v>
      </c>
      <c r="M1359" s="28" t="s">
        <v>8182</v>
      </c>
      <c r="N1359" s="28" t="s">
        <v>7090</v>
      </c>
      <c r="O1359" s="28" t="s">
        <v>7091</v>
      </c>
      <c r="P1359" s="28" t="s">
        <v>8183</v>
      </c>
    </row>
    <row r="1360" spans="1:16" x14ac:dyDescent="0.25">
      <c r="A1360" s="28" t="s">
        <v>8184</v>
      </c>
      <c r="B1360" s="28" t="s">
        <v>8185</v>
      </c>
      <c r="C1360" s="28" t="s">
        <v>7082</v>
      </c>
      <c r="D1360" s="28" t="s">
        <v>101</v>
      </c>
      <c r="E1360" s="28" t="s">
        <v>7519</v>
      </c>
      <c r="F1360" s="28" t="s">
        <v>21</v>
      </c>
      <c r="G1360" s="28" t="s">
        <v>7084</v>
      </c>
      <c r="H1360" s="28" t="s">
        <v>7085</v>
      </c>
      <c r="I1360" s="28" t="s">
        <v>8186</v>
      </c>
      <c r="J1360" s="28" t="s">
        <v>7084</v>
      </c>
      <c r="K1360" s="28" t="s">
        <v>7640</v>
      </c>
      <c r="L1360" s="28" t="s">
        <v>7088</v>
      </c>
      <c r="M1360" s="28" t="s">
        <v>8187</v>
      </c>
      <c r="N1360" s="28" t="s">
        <v>7090</v>
      </c>
      <c r="O1360" s="28" t="s">
        <v>7091</v>
      </c>
      <c r="P1360" s="28" t="s">
        <v>8188</v>
      </c>
    </row>
    <row r="1361" spans="1:16" x14ac:dyDescent="0.25">
      <c r="A1361" s="28" t="s">
        <v>8189</v>
      </c>
      <c r="B1361" s="28" t="s">
        <v>8190</v>
      </c>
      <c r="C1361" s="28" t="s">
        <v>7082</v>
      </c>
      <c r="D1361" s="28" t="s">
        <v>101</v>
      </c>
      <c r="E1361" s="28" t="s">
        <v>7519</v>
      </c>
      <c r="F1361" s="28" t="s">
        <v>21</v>
      </c>
      <c r="G1361" s="28" t="s">
        <v>7084</v>
      </c>
      <c r="H1361" s="28" t="s">
        <v>7085</v>
      </c>
      <c r="I1361" s="28" t="s">
        <v>8191</v>
      </c>
      <c r="J1361" s="28" t="s">
        <v>7084</v>
      </c>
      <c r="K1361" s="28" t="s">
        <v>7562</v>
      </c>
      <c r="L1361" s="28" t="s">
        <v>7088</v>
      </c>
      <c r="M1361" s="28" t="s">
        <v>8192</v>
      </c>
      <c r="N1361" s="28" t="s">
        <v>7090</v>
      </c>
      <c r="O1361" s="28" t="s">
        <v>7091</v>
      </c>
      <c r="P1361" s="28" t="s">
        <v>8193</v>
      </c>
    </row>
    <row r="1362" spans="1:16" x14ac:dyDescent="0.25">
      <c r="A1362" s="28" t="s">
        <v>8194</v>
      </c>
      <c r="B1362" s="28" t="s">
        <v>8195</v>
      </c>
      <c r="C1362" s="28" t="s">
        <v>7082</v>
      </c>
      <c r="D1362" s="28" t="s">
        <v>101</v>
      </c>
      <c r="E1362" s="28" t="s">
        <v>7519</v>
      </c>
      <c r="F1362" s="28" t="s">
        <v>21</v>
      </c>
      <c r="G1362" s="28" t="s">
        <v>7084</v>
      </c>
      <c r="H1362" s="28" t="s">
        <v>7085</v>
      </c>
      <c r="I1362" s="28" t="s">
        <v>8196</v>
      </c>
      <c r="J1362" s="28" t="s">
        <v>7084</v>
      </c>
      <c r="K1362" s="28" t="s">
        <v>7588</v>
      </c>
      <c r="L1362" s="28" t="s">
        <v>7088</v>
      </c>
      <c r="M1362" s="28" t="s">
        <v>8197</v>
      </c>
      <c r="N1362" s="28" t="s">
        <v>7090</v>
      </c>
      <c r="O1362" s="28" t="s">
        <v>7091</v>
      </c>
      <c r="P1362" s="28" t="s">
        <v>8198</v>
      </c>
    </row>
    <row r="1363" spans="1:16" x14ac:dyDescent="0.25">
      <c r="A1363" s="28" t="s">
        <v>8199</v>
      </c>
      <c r="B1363" s="28" t="s">
        <v>8200</v>
      </c>
      <c r="C1363" s="28" t="s">
        <v>7082</v>
      </c>
      <c r="D1363" s="28" t="s">
        <v>101</v>
      </c>
      <c r="E1363" s="28" t="s">
        <v>7519</v>
      </c>
      <c r="F1363" s="28" t="s">
        <v>21</v>
      </c>
      <c r="G1363" s="28" t="s">
        <v>7084</v>
      </c>
      <c r="H1363" s="28" t="s">
        <v>7085</v>
      </c>
      <c r="I1363" s="28" t="s">
        <v>8201</v>
      </c>
      <c r="J1363" s="28" t="s">
        <v>7084</v>
      </c>
      <c r="K1363" s="28" t="s">
        <v>7614</v>
      </c>
      <c r="L1363" s="28" t="s">
        <v>7088</v>
      </c>
      <c r="M1363" s="28" t="s">
        <v>8202</v>
      </c>
      <c r="N1363" s="28" t="s">
        <v>7090</v>
      </c>
      <c r="O1363" s="28" t="s">
        <v>7091</v>
      </c>
      <c r="P1363" s="28" t="s">
        <v>8203</v>
      </c>
    </row>
    <row r="1364" spans="1:16" x14ac:dyDescent="0.25">
      <c r="A1364" s="28" t="s">
        <v>8204</v>
      </c>
      <c r="B1364" s="28" t="s">
        <v>8205</v>
      </c>
      <c r="C1364" s="28" t="s">
        <v>7082</v>
      </c>
      <c r="D1364" s="28" t="s">
        <v>101</v>
      </c>
      <c r="E1364" s="28" t="s">
        <v>7519</v>
      </c>
      <c r="F1364" s="28" t="s">
        <v>21</v>
      </c>
      <c r="G1364" s="28" t="s">
        <v>7084</v>
      </c>
      <c r="H1364" s="28" t="s">
        <v>7085</v>
      </c>
      <c r="I1364" s="28" t="s">
        <v>8206</v>
      </c>
      <c r="J1364" s="28" t="s">
        <v>7084</v>
      </c>
      <c r="K1364" s="28" t="s">
        <v>7672</v>
      </c>
      <c r="L1364" s="28" t="s">
        <v>7088</v>
      </c>
      <c r="M1364" s="28" t="s">
        <v>8207</v>
      </c>
      <c r="N1364" s="28" t="s">
        <v>7090</v>
      </c>
      <c r="O1364" s="28" t="s">
        <v>7091</v>
      </c>
      <c r="P1364" s="28" t="s">
        <v>8208</v>
      </c>
    </row>
    <row r="1365" spans="1:16" x14ac:dyDescent="0.25">
      <c r="A1365" s="28" t="s">
        <v>8209</v>
      </c>
      <c r="B1365" s="28" t="s">
        <v>8210</v>
      </c>
      <c r="C1365" s="28" t="s">
        <v>7082</v>
      </c>
      <c r="D1365" s="28" t="s">
        <v>101</v>
      </c>
      <c r="E1365" s="28" t="s">
        <v>7519</v>
      </c>
      <c r="F1365" s="28" t="s">
        <v>21</v>
      </c>
      <c r="G1365" s="28" t="s">
        <v>7084</v>
      </c>
      <c r="H1365" s="28" t="s">
        <v>7085</v>
      </c>
      <c r="I1365" s="28" t="s">
        <v>8211</v>
      </c>
      <c r="J1365" s="28" t="s">
        <v>7084</v>
      </c>
      <c r="K1365" s="28" t="s">
        <v>7521</v>
      </c>
      <c r="L1365" s="28" t="s">
        <v>7088</v>
      </c>
      <c r="M1365" s="28" t="s">
        <v>8212</v>
      </c>
      <c r="N1365" s="28" t="s">
        <v>7090</v>
      </c>
      <c r="O1365" s="28" t="s">
        <v>7091</v>
      </c>
      <c r="P1365" s="28" t="s">
        <v>8213</v>
      </c>
    </row>
    <row r="1366" spans="1:16" x14ac:dyDescent="0.25">
      <c r="A1366" s="28" t="s">
        <v>8214</v>
      </c>
      <c r="B1366" s="28" t="s">
        <v>8215</v>
      </c>
      <c r="C1366" s="28" t="s">
        <v>7082</v>
      </c>
      <c r="D1366" s="28" t="s">
        <v>101</v>
      </c>
      <c r="E1366" s="28" t="s">
        <v>7519</v>
      </c>
      <c r="F1366" s="28" t="s">
        <v>21</v>
      </c>
      <c r="G1366" s="28" t="s">
        <v>7084</v>
      </c>
      <c r="H1366" s="28" t="s">
        <v>7085</v>
      </c>
      <c r="I1366" s="28" t="s">
        <v>8216</v>
      </c>
      <c r="J1366" s="28" t="s">
        <v>7084</v>
      </c>
      <c r="K1366" s="28" t="s">
        <v>7521</v>
      </c>
      <c r="L1366" s="28" t="s">
        <v>7088</v>
      </c>
      <c r="M1366" s="28" t="s">
        <v>8217</v>
      </c>
      <c r="N1366" s="28" t="s">
        <v>7090</v>
      </c>
      <c r="O1366" s="28" t="s">
        <v>7091</v>
      </c>
      <c r="P1366" s="28" t="s">
        <v>8218</v>
      </c>
    </row>
    <row r="1367" spans="1:16" x14ac:dyDescent="0.25">
      <c r="A1367" s="28" t="s">
        <v>8219</v>
      </c>
      <c r="B1367" s="28" t="s">
        <v>8220</v>
      </c>
      <c r="C1367" s="28" t="s">
        <v>7082</v>
      </c>
      <c r="D1367" s="28" t="s">
        <v>101</v>
      </c>
      <c r="E1367" s="28" t="s">
        <v>7519</v>
      </c>
      <c r="F1367" s="28" t="s">
        <v>21</v>
      </c>
      <c r="G1367" s="28" t="s">
        <v>7084</v>
      </c>
      <c r="H1367" s="28" t="s">
        <v>7085</v>
      </c>
      <c r="I1367" s="28" t="s">
        <v>8221</v>
      </c>
      <c r="J1367" s="28" t="s">
        <v>7084</v>
      </c>
      <c r="K1367" s="28" t="s">
        <v>7562</v>
      </c>
      <c r="L1367" s="28" t="s">
        <v>7088</v>
      </c>
      <c r="M1367" s="28" t="s">
        <v>8222</v>
      </c>
      <c r="N1367" s="28" t="s">
        <v>7090</v>
      </c>
      <c r="O1367" s="28" t="s">
        <v>7091</v>
      </c>
      <c r="P1367" s="28" t="s">
        <v>8223</v>
      </c>
    </row>
    <row r="1368" spans="1:16" x14ac:dyDescent="0.25">
      <c r="A1368" s="28" t="s">
        <v>8224</v>
      </c>
      <c r="B1368" s="28" t="s">
        <v>8225</v>
      </c>
      <c r="C1368" s="28" t="s">
        <v>7082</v>
      </c>
      <c r="D1368" s="28" t="s">
        <v>101</v>
      </c>
      <c r="E1368" s="28" t="s">
        <v>7519</v>
      </c>
      <c r="F1368" s="28" t="s">
        <v>21</v>
      </c>
      <c r="G1368" s="28" t="s">
        <v>7084</v>
      </c>
      <c r="H1368" s="28" t="s">
        <v>7085</v>
      </c>
      <c r="I1368" s="28" t="s">
        <v>8226</v>
      </c>
      <c r="J1368" s="28" t="s">
        <v>7084</v>
      </c>
      <c r="K1368" s="28" t="s">
        <v>7588</v>
      </c>
      <c r="L1368" s="28" t="s">
        <v>7088</v>
      </c>
      <c r="M1368" s="28" t="s">
        <v>8227</v>
      </c>
      <c r="N1368" s="28" t="s">
        <v>7090</v>
      </c>
      <c r="O1368" s="28" t="s">
        <v>7091</v>
      </c>
      <c r="P1368" s="28" t="s">
        <v>8228</v>
      </c>
    </row>
    <row r="1369" spans="1:16" x14ac:dyDescent="0.25">
      <c r="A1369" s="28" t="s">
        <v>8229</v>
      </c>
      <c r="B1369" s="28" t="s">
        <v>8230</v>
      </c>
      <c r="C1369" s="28" t="s">
        <v>7082</v>
      </c>
      <c r="D1369" s="28" t="s">
        <v>101</v>
      </c>
      <c r="E1369" s="28" t="s">
        <v>7519</v>
      </c>
      <c r="F1369" s="28" t="s">
        <v>21</v>
      </c>
      <c r="G1369" s="28" t="s">
        <v>7084</v>
      </c>
      <c r="H1369" s="28" t="s">
        <v>7085</v>
      </c>
      <c r="I1369" s="28" t="s">
        <v>8231</v>
      </c>
      <c r="J1369" s="28" t="s">
        <v>7084</v>
      </c>
      <c r="K1369" s="28" t="s">
        <v>7640</v>
      </c>
      <c r="L1369" s="28" t="s">
        <v>7088</v>
      </c>
      <c r="M1369" s="28" t="s">
        <v>8232</v>
      </c>
      <c r="N1369" s="28" t="s">
        <v>7090</v>
      </c>
      <c r="O1369" s="28" t="s">
        <v>7091</v>
      </c>
      <c r="P1369" s="28" t="s">
        <v>8233</v>
      </c>
    </row>
    <row r="1370" spans="1:16" x14ac:dyDescent="0.25">
      <c r="A1370" s="28" t="s">
        <v>8234</v>
      </c>
      <c r="B1370" s="28" t="s">
        <v>8235</v>
      </c>
      <c r="C1370" s="28" t="s">
        <v>7082</v>
      </c>
      <c r="D1370" s="28" t="s">
        <v>101</v>
      </c>
      <c r="E1370" s="28" t="s">
        <v>7519</v>
      </c>
      <c r="F1370" s="28" t="s">
        <v>21</v>
      </c>
      <c r="G1370" s="28" t="s">
        <v>7084</v>
      </c>
      <c r="H1370" s="28" t="s">
        <v>7085</v>
      </c>
      <c r="I1370" s="28" t="s">
        <v>8236</v>
      </c>
      <c r="J1370" s="28" t="s">
        <v>7084</v>
      </c>
      <c r="K1370" s="28" t="s">
        <v>7614</v>
      </c>
      <c r="L1370" s="28" t="s">
        <v>7088</v>
      </c>
      <c r="M1370" s="28" t="s">
        <v>8237</v>
      </c>
      <c r="N1370" s="28" t="s">
        <v>7090</v>
      </c>
      <c r="O1370" s="28" t="s">
        <v>7091</v>
      </c>
      <c r="P1370" s="28" t="s">
        <v>8238</v>
      </c>
    </row>
    <row r="1371" spans="1:16" x14ac:dyDescent="0.25">
      <c r="A1371" s="28" t="s">
        <v>8239</v>
      </c>
      <c r="B1371" s="28" t="s">
        <v>8240</v>
      </c>
      <c r="C1371" s="28" t="s">
        <v>7082</v>
      </c>
      <c r="D1371" s="28" t="s">
        <v>101</v>
      </c>
      <c r="E1371" s="28" t="s">
        <v>7519</v>
      </c>
      <c r="F1371" s="28" t="s">
        <v>21</v>
      </c>
      <c r="G1371" s="28" t="s">
        <v>7084</v>
      </c>
      <c r="H1371" s="28" t="s">
        <v>7085</v>
      </c>
      <c r="I1371" s="28" t="s">
        <v>8241</v>
      </c>
      <c r="J1371" s="28" t="s">
        <v>7084</v>
      </c>
      <c r="K1371" s="28" t="s">
        <v>7666</v>
      </c>
      <c r="L1371" s="28" t="s">
        <v>7088</v>
      </c>
      <c r="M1371" s="28" t="s">
        <v>8242</v>
      </c>
      <c r="N1371" s="28" t="s">
        <v>7090</v>
      </c>
      <c r="O1371" s="28" t="s">
        <v>7091</v>
      </c>
      <c r="P1371" s="28" t="s">
        <v>8243</v>
      </c>
    </row>
    <row r="1372" spans="1:16" x14ac:dyDescent="0.25">
      <c r="A1372" s="28" t="s">
        <v>8244</v>
      </c>
      <c r="B1372" s="28" t="s">
        <v>8245</v>
      </c>
      <c r="C1372" s="28" t="s">
        <v>7082</v>
      </c>
      <c r="D1372" s="28" t="s">
        <v>101</v>
      </c>
      <c r="E1372" s="28" t="s">
        <v>5745</v>
      </c>
      <c r="F1372" s="28" t="s">
        <v>21</v>
      </c>
      <c r="G1372" s="28" t="s">
        <v>7084</v>
      </c>
      <c r="H1372" s="28" t="s">
        <v>7085</v>
      </c>
      <c r="I1372" s="28" t="s">
        <v>8246</v>
      </c>
      <c r="J1372" s="28" t="s">
        <v>7084</v>
      </c>
      <c r="K1372" s="28" t="s">
        <v>7455</v>
      </c>
      <c r="L1372" s="28" t="s">
        <v>7088</v>
      </c>
      <c r="M1372" s="28" t="s">
        <v>8247</v>
      </c>
      <c r="N1372" s="28" t="s">
        <v>7090</v>
      </c>
      <c r="O1372" s="28" t="s">
        <v>7091</v>
      </c>
      <c r="P1372" s="28" t="s">
        <v>8248</v>
      </c>
    </row>
    <row r="1373" spans="1:16" x14ac:dyDescent="0.25">
      <c r="A1373" s="28" t="s">
        <v>8249</v>
      </c>
      <c r="B1373" s="28" t="s">
        <v>8250</v>
      </c>
      <c r="C1373" s="28" t="s">
        <v>7082</v>
      </c>
      <c r="D1373" s="28" t="s">
        <v>101</v>
      </c>
      <c r="E1373" s="28" t="s">
        <v>5745</v>
      </c>
      <c r="F1373" s="28" t="s">
        <v>21</v>
      </c>
      <c r="G1373" s="28" t="s">
        <v>7084</v>
      </c>
      <c r="H1373" s="28" t="s">
        <v>7085</v>
      </c>
      <c r="I1373" s="28" t="s">
        <v>8251</v>
      </c>
      <c r="J1373" s="28" t="s">
        <v>7084</v>
      </c>
      <c r="K1373" s="28" t="s">
        <v>7455</v>
      </c>
      <c r="L1373" s="28" t="s">
        <v>7088</v>
      </c>
      <c r="M1373" s="28" t="s">
        <v>8252</v>
      </c>
      <c r="N1373" s="28" t="s">
        <v>7090</v>
      </c>
      <c r="O1373" s="28" t="s">
        <v>7091</v>
      </c>
      <c r="P1373" s="28" t="s">
        <v>8253</v>
      </c>
    </row>
    <row r="1374" spans="1:16" x14ac:dyDescent="0.25">
      <c r="A1374" s="28" t="s">
        <v>8254</v>
      </c>
      <c r="B1374" s="28" t="s">
        <v>8255</v>
      </c>
      <c r="C1374" s="28" t="s">
        <v>7082</v>
      </c>
      <c r="D1374" s="28" t="s">
        <v>101</v>
      </c>
      <c r="E1374" s="28" t="s">
        <v>7501</v>
      </c>
      <c r="F1374" s="28" t="s">
        <v>21</v>
      </c>
      <c r="G1374" s="28" t="s">
        <v>7084</v>
      </c>
      <c r="H1374" s="28" t="s">
        <v>7085</v>
      </c>
      <c r="I1374" s="28" t="s">
        <v>8256</v>
      </c>
      <c r="J1374" s="28" t="s">
        <v>7084</v>
      </c>
      <c r="K1374" s="28" t="s">
        <v>7503</v>
      </c>
      <c r="L1374" s="28" t="s">
        <v>7088</v>
      </c>
      <c r="M1374" s="28" t="s">
        <v>8257</v>
      </c>
      <c r="N1374" s="28" t="s">
        <v>7090</v>
      </c>
      <c r="O1374" s="28" t="s">
        <v>7091</v>
      </c>
      <c r="P1374" s="28" t="s">
        <v>8258</v>
      </c>
    </row>
    <row r="1375" spans="1:16" x14ac:dyDescent="0.25">
      <c r="A1375" s="28" t="s">
        <v>8259</v>
      </c>
      <c r="B1375" s="28" t="s">
        <v>8260</v>
      </c>
      <c r="C1375" s="28" t="s">
        <v>7082</v>
      </c>
      <c r="D1375" s="28" t="s">
        <v>101</v>
      </c>
      <c r="E1375" s="28" t="s">
        <v>7282</v>
      </c>
      <c r="F1375" s="28" t="s">
        <v>21</v>
      </c>
      <c r="G1375" s="28" t="s">
        <v>7084</v>
      </c>
      <c r="H1375" s="28" t="s">
        <v>7085</v>
      </c>
      <c r="I1375" s="28" t="s">
        <v>8261</v>
      </c>
      <c r="J1375" s="28" t="s">
        <v>7084</v>
      </c>
      <c r="K1375" s="28" t="s">
        <v>7284</v>
      </c>
      <c r="L1375" s="28" t="s">
        <v>7088</v>
      </c>
      <c r="M1375" s="28" t="s">
        <v>8262</v>
      </c>
      <c r="N1375" s="28" t="s">
        <v>7090</v>
      </c>
      <c r="O1375" s="28" t="s">
        <v>7091</v>
      </c>
      <c r="P1375" s="28" t="s">
        <v>8263</v>
      </c>
    </row>
    <row r="1376" spans="1:16" x14ac:dyDescent="0.25">
      <c r="A1376" s="28" t="s">
        <v>8264</v>
      </c>
      <c r="B1376" s="28" t="s">
        <v>8265</v>
      </c>
      <c r="C1376" s="28" t="s">
        <v>7082</v>
      </c>
      <c r="D1376" s="28" t="s">
        <v>101</v>
      </c>
      <c r="E1376" s="28" t="s">
        <v>7282</v>
      </c>
      <c r="F1376" s="28" t="s">
        <v>21</v>
      </c>
      <c r="G1376" s="28" t="s">
        <v>7084</v>
      </c>
      <c r="H1376" s="28" t="s">
        <v>7085</v>
      </c>
      <c r="I1376" s="28" t="s">
        <v>8266</v>
      </c>
      <c r="J1376" s="28" t="s">
        <v>7084</v>
      </c>
      <c r="K1376" s="28" t="s">
        <v>7284</v>
      </c>
      <c r="L1376" s="28" t="s">
        <v>7088</v>
      </c>
      <c r="M1376" s="28" t="s">
        <v>8267</v>
      </c>
      <c r="N1376" s="28" t="s">
        <v>7090</v>
      </c>
      <c r="O1376" s="28" t="s">
        <v>7091</v>
      </c>
      <c r="P1376" s="28" t="s">
        <v>8268</v>
      </c>
    </row>
    <row r="1377" spans="1:16" x14ac:dyDescent="0.25">
      <c r="A1377" s="28" t="s">
        <v>8269</v>
      </c>
      <c r="B1377" s="28" t="s">
        <v>8270</v>
      </c>
      <c r="C1377" s="28" t="s">
        <v>7082</v>
      </c>
      <c r="D1377" s="28" t="s">
        <v>101</v>
      </c>
      <c r="E1377" s="28" t="s">
        <v>7282</v>
      </c>
      <c r="F1377" s="28" t="s">
        <v>21</v>
      </c>
      <c r="G1377" s="28" t="s">
        <v>7084</v>
      </c>
      <c r="H1377" s="28" t="s">
        <v>7085</v>
      </c>
      <c r="I1377" s="28" t="s">
        <v>8271</v>
      </c>
      <c r="J1377" s="28" t="s">
        <v>7084</v>
      </c>
      <c r="K1377" s="28" t="s">
        <v>7295</v>
      </c>
      <c r="L1377" s="28" t="s">
        <v>7088</v>
      </c>
      <c r="M1377" s="28" t="s">
        <v>8272</v>
      </c>
      <c r="N1377" s="28" t="s">
        <v>7090</v>
      </c>
      <c r="O1377" s="28" t="s">
        <v>7091</v>
      </c>
      <c r="P1377" s="28" t="s">
        <v>8273</v>
      </c>
    </row>
    <row r="1378" spans="1:16" x14ac:dyDescent="0.25">
      <c r="A1378" s="28" t="s">
        <v>8274</v>
      </c>
      <c r="B1378" s="28" t="s">
        <v>8275</v>
      </c>
      <c r="C1378" s="28" t="s">
        <v>7082</v>
      </c>
      <c r="D1378" s="28" t="s">
        <v>101</v>
      </c>
      <c r="E1378" s="28" t="s">
        <v>7282</v>
      </c>
      <c r="F1378" s="28" t="s">
        <v>21</v>
      </c>
      <c r="G1378" s="28" t="s">
        <v>7084</v>
      </c>
      <c r="H1378" s="28" t="s">
        <v>7085</v>
      </c>
      <c r="I1378" s="28" t="s">
        <v>8276</v>
      </c>
      <c r="J1378" s="28" t="s">
        <v>7084</v>
      </c>
      <c r="K1378" s="28" t="s">
        <v>7295</v>
      </c>
      <c r="L1378" s="28" t="s">
        <v>7088</v>
      </c>
      <c r="M1378" s="28" t="s">
        <v>8277</v>
      </c>
      <c r="N1378" s="28" t="s">
        <v>7090</v>
      </c>
      <c r="O1378" s="28" t="s">
        <v>7091</v>
      </c>
      <c r="P1378" s="28" t="s">
        <v>8278</v>
      </c>
    </row>
    <row r="1379" spans="1:16" x14ac:dyDescent="0.25">
      <c r="A1379" s="28" t="s">
        <v>8279</v>
      </c>
      <c r="B1379" s="28" t="s">
        <v>8280</v>
      </c>
      <c r="C1379" s="28" t="s">
        <v>7082</v>
      </c>
      <c r="D1379" s="28" t="s">
        <v>101</v>
      </c>
      <c r="E1379" s="28" t="s">
        <v>7698</v>
      </c>
      <c r="F1379" s="28" t="s">
        <v>21</v>
      </c>
      <c r="G1379" s="28" t="s">
        <v>7084</v>
      </c>
      <c r="H1379" s="28" t="s">
        <v>7085</v>
      </c>
      <c r="I1379" s="28" t="s">
        <v>8281</v>
      </c>
      <c r="J1379" s="28" t="s">
        <v>7084</v>
      </c>
      <c r="K1379" s="28" t="s">
        <v>7700</v>
      </c>
      <c r="L1379" s="28" t="s">
        <v>7088</v>
      </c>
      <c r="M1379" s="28" t="s">
        <v>8282</v>
      </c>
      <c r="N1379" s="28" t="s">
        <v>7090</v>
      </c>
      <c r="O1379" s="28" t="s">
        <v>7091</v>
      </c>
      <c r="P1379" s="28" t="s">
        <v>8283</v>
      </c>
    </row>
    <row r="1380" spans="1:16" x14ac:dyDescent="0.25">
      <c r="A1380" s="28" t="s">
        <v>8284</v>
      </c>
      <c r="B1380" s="28" t="s">
        <v>8285</v>
      </c>
      <c r="C1380" s="28" t="s">
        <v>7082</v>
      </c>
      <c r="D1380" s="28" t="s">
        <v>101</v>
      </c>
      <c r="E1380" s="28" t="s">
        <v>7698</v>
      </c>
      <c r="F1380" s="28" t="s">
        <v>21</v>
      </c>
      <c r="G1380" s="28" t="s">
        <v>7084</v>
      </c>
      <c r="H1380" s="28" t="s">
        <v>7085</v>
      </c>
      <c r="I1380" s="28" t="s">
        <v>8286</v>
      </c>
      <c r="J1380" s="28" t="s">
        <v>7084</v>
      </c>
      <c r="K1380" s="28" t="s">
        <v>7700</v>
      </c>
      <c r="L1380" s="28" t="s">
        <v>7088</v>
      </c>
      <c r="M1380" s="28" t="s">
        <v>8287</v>
      </c>
      <c r="N1380" s="28" t="s">
        <v>7090</v>
      </c>
      <c r="O1380" s="28" t="s">
        <v>7091</v>
      </c>
      <c r="P1380" s="28" t="s">
        <v>8288</v>
      </c>
    </row>
    <row r="1381" spans="1:16" x14ac:dyDescent="0.25">
      <c r="A1381" s="28" t="s">
        <v>8289</v>
      </c>
      <c r="B1381" s="28" t="s">
        <v>8290</v>
      </c>
      <c r="C1381" s="28" t="s">
        <v>7082</v>
      </c>
      <c r="D1381" s="28" t="s">
        <v>101</v>
      </c>
      <c r="E1381" s="28" t="s">
        <v>7494</v>
      </c>
      <c r="F1381" s="28" t="s">
        <v>21</v>
      </c>
      <c r="G1381" s="28" t="s">
        <v>7084</v>
      </c>
      <c r="H1381" s="28" t="s">
        <v>7085</v>
      </c>
      <c r="I1381" s="28" t="s">
        <v>8291</v>
      </c>
      <c r="J1381" s="28" t="s">
        <v>7084</v>
      </c>
      <c r="K1381" s="28" t="s">
        <v>7496</v>
      </c>
      <c r="L1381" s="28" t="s">
        <v>7088</v>
      </c>
      <c r="M1381" s="28" t="s">
        <v>8292</v>
      </c>
      <c r="N1381" s="28" t="s">
        <v>7090</v>
      </c>
      <c r="O1381" s="28" t="s">
        <v>7091</v>
      </c>
      <c r="P1381" s="28" t="s">
        <v>8293</v>
      </c>
    </row>
    <row r="1382" spans="1:16" x14ac:dyDescent="0.25">
      <c r="A1382" s="28" t="s">
        <v>8294</v>
      </c>
      <c r="B1382" s="28" t="s">
        <v>8295</v>
      </c>
      <c r="C1382" s="28" t="s">
        <v>7082</v>
      </c>
      <c r="D1382" s="28" t="s">
        <v>286</v>
      </c>
      <c r="E1382" s="28" t="s">
        <v>121</v>
      </c>
      <c r="F1382" s="28" t="s">
        <v>21</v>
      </c>
      <c r="G1382" s="28" t="s">
        <v>7084</v>
      </c>
      <c r="H1382" s="28" t="s">
        <v>7085</v>
      </c>
      <c r="I1382" s="28" t="s">
        <v>8296</v>
      </c>
      <c r="J1382" s="28" t="s">
        <v>7084</v>
      </c>
      <c r="K1382" s="28" t="s">
        <v>7228</v>
      </c>
      <c r="L1382" s="28" t="s">
        <v>7088</v>
      </c>
      <c r="M1382" s="28" t="s">
        <v>8297</v>
      </c>
      <c r="N1382" s="28" t="s">
        <v>7090</v>
      </c>
      <c r="O1382" s="28" t="s">
        <v>7091</v>
      </c>
      <c r="P1382" s="28" t="s">
        <v>8298</v>
      </c>
    </row>
    <row r="1383" spans="1:16" x14ac:dyDescent="0.25">
      <c r="A1383" s="28" t="s">
        <v>8299</v>
      </c>
      <c r="B1383" s="28" t="s">
        <v>8300</v>
      </c>
      <c r="C1383" s="28" t="s">
        <v>7082</v>
      </c>
      <c r="D1383" s="28" t="s">
        <v>286</v>
      </c>
      <c r="E1383" s="28" t="s">
        <v>121</v>
      </c>
      <c r="F1383" s="28" t="s">
        <v>21</v>
      </c>
      <c r="G1383" s="28" t="s">
        <v>7084</v>
      </c>
      <c r="H1383" s="28" t="s">
        <v>7085</v>
      </c>
      <c r="I1383" s="28" t="s">
        <v>8301</v>
      </c>
      <c r="J1383" s="28" t="s">
        <v>7084</v>
      </c>
      <c r="K1383" s="28" t="s">
        <v>7222</v>
      </c>
      <c r="L1383" s="28" t="s">
        <v>7088</v>
      </c>
      <c r="M1383" s="28" t="s">
        <v>8302</v>
      </c>
      <c r="N1383" s="28" t="s">
        <v>7090</v>
      </c>
      <c r="O1383" s="28" t="s">
        <v>7091</v>
      </c>
      <c r="P1383" s="28" t="s">
        <v>8303</v>
      </c>
    </row>
    <row r="1384" spans="1:16" x14ac:dyDescent="0.25">
      <c r="A1384" s="28" t="s">
        <v>8304</v>
      </c>
      <c r="B1384" s="28" t="s">
        <v>8305</v>
      </c>
      <c r="C1384" s="28" t="s">
        <v>7082</v>
      </c>
      <c r="D1384" s="28" t="s">
        <v>1145</v>
      </c>
      <c r="E1384" s="28" t="s">
        <v>7083</v>
      </c>
      <c r="F1384" s="28" t="s">
        <v>21</v>
      </c>
      <c r="G1384" s="28" t="s">
        <v>7084</v>
      </c>
      <c r="H1384" s="28" t="s">
        <v>7085</v>
      </c>
      <c r="I1384" s="28" t="s">
        <v>8306</v>
      </c>
      <c r="J1384" s="28" t="s">
        <v>7084</v>
      </c>
      <c r="K1384" s="28" t="s">
        <v>7087</v>
      </c>
      <c r="L1384" s="28" t="s">
        <v>7088</v>
      </c>
      <c r="M1384" s="28" t="s">
        <v>8307</v>
      </c>
      <c r="N1384" s="28" t="s">
        <v>7090</v>
      </c>
      <c r="O1384" s="28" t="s">
        <v>7091</v>
      </c>
      <c r="P1384" s="28" t="s">
        <v>8308</v>
      </c>
    </row>
    <row r="1385" spans="1:16" x14ac:dyDescent="0.25">
      <c r="A1385" s="28" t="s">
        <v>8309</v>
      </c>
      <c r="B1385" s="28" t="s">
        <v>8310</v>
      </c>
      <c r="C1385" s="28" t="s">
        <v>7082</v>
      </c>
      <c r="D1385" s="28" t="s">
        <v>5979</v>
      </c>
      <c r="E1385" s="28" t="s">
        <v>7095</v>
      </c>
      <c r="F1385" s="28" t="s">
        <v>21</v>
      </c>
      <c r="G1385" s="28" t="s">
        <v>7084</v>
      </c>
      <c r="H1385" s="28" t="s">
        <v>7085</v>
      </c>
      <c r="I1385" s="28" t="s">
        <v>8311</v>
      </c>
      <c r="J1385" s="28" t="s">
        <v>7084</v>
      </c>
      <c r="K1385" s="28" t="s">
        <v>7097</v>
      </c>
      <c r="L1385" s="28" t="s">
        <v>7088</v>
      </c>
      <c r="M1385" s="28" t="s">
        <v>8312</v>
      </c>
      <c r="N1385" s="28" t="s">
        <v>7090</v>
      </c>
      <c r="O1385" s="28" t="s">
        <v>7091</v>
      </c>
      <c r="P1385" s="28" t="s">
        <v>8313</v>
      </c>
    </row>
    <row r="1386" spans="1:16" x14ac:dyDescent="0.25">
      <c r="A1386" s="28" t="s">
        <v>8314</v>
      </c>
      <c r="B1386" s="28" t="s">
        <v>8315</v>
      </c>
      <c r="C1386" s="28" t="s">
        <v>7082</v>
      </c>
      <c r="D1386" s="28" t="s">
        <v>5979</v>
      </c>
      <c r="E1386" s="28" t="s">
        <v>7095</v>
      </c>
      <c r="F1386" s="28" t="s">
        <v>21</v>
      </c>
      <c r="G1386" s="28" t="s">
        <v>7084</v>
      </c>
      <c r="H1386" s="28" t="s">
        <v>7085</v>
      </c>
      <c r="I1386" s="28" t="s">
        <v>8316</v>
      </c>
      <c r="J1386" s="28" t="s">
        <v>7084</v>
      </c>
      <c r="K1386" s="28" t="s">
        <v>7097</v>
      </c>
      <c r="L1386" s="28" t="s">
        <v>7088</v>
      </c>
      <c r="M1386" s="28" t="s">
        <v>8317</v>
      </c>
      <c r="N1386" s="28" t="s">
        <v>7090</v>
      </c>
      <c r="O1386" s="28" t="s">
        <v>7091</v>
      </c>
      <c r="P1386" s="28" t="s">
        <v>8318</v>
      </c>
    </row>
    <row r="1387" spans="1:16" x14ac:dyDescent="0.25">
      <c r="A1387" s="28" t="s">
        <v>8319</v>
      </c>
      <c r="B1387" s="28" t="s">
        <v>8320</v>
      </c>
      <c r="C1387" s="28" t="s">
        <v>7082</v>
      </c>
      <c r="D1387" s="28" t="s">
        <v>5979</v>
      </c>
      <c r="E1387" s="28" t="s">
        <v>7248</v>
      </c>
      <c r="F1387" s="28" t="s">
        <v>21</v>
      </c>
      <c r="G1387" s="28" t="s">
        <v>7084</v>
      </c>
      <c r="H1387" s="28" t="s">
        <v>7085</v>
      </c>
      <c r="I1387" s="28" t="s">
        <v>8321</v>
      </c>
      <c r="J1387" s="28" t="s">
        <v>7084</v>
      </c>
      <c r="K1387" s="28" t="s">
        <v>7256</v>
      </c>
      <c r="L1387" s="28" t="s">
        <v>7088</v>
      </c>
      <c r="M1387" s="28" t="s">
        <v>8322</v>
      </c>
      <c r="N1387" s="28" t="s">
        <v>7090</v>
      </c>
      <c r="O1387" s="28" t="s">
        <v>7091</v>
      </c>
      <c r="P1387" s="28" t="s">
        <v>8323</v>
      </c>
    </row>
    <row r="1388" spans="1:16" x14ac:dyDescent="0.25">
      <c r="A1388" s="28" t="s">
        <v>8324</v>
      </c>
      <c r="B1388" s="28" t="s">
        <v>8325</v>
      </c>
      <c r="C1388" s="28" t="s">
        <v>7082</v>
      </c>
      <c r="D1388" s="28" t="s">
        <v>5979</v>
      </c>
      <c r="E1388" s="28" t="s">
        <v>7248</v>
      </c>
      <c r="F1388" s="28" t="s">
        <v>21</v>
      </c>
      <c r="G1388" s="28" t="s">
        <v>7084</v>
      </c>
      <c r="H1388" s="28" t="s">
        <v>7085</v>
      </c>
      <c r="I1388" s="28" t="s">
        <v>8326</v>
      </c>
      <c r="J1388" s="28" t="s">
        <v>7084</v>
      </c>
      <c r="K1388" s="28" t="s">
        <v>7256</v>
      </c>
      <c r="L1388" s="28" t="s">
        <v>7088</v>
      </c>
      <c r="M1388" s="28" t="s">
        <v>8327</v>
      </c>
      <c r="N1388" s="28" t="s">
        <v>7090</v>
      </c>
      <c r="O1388" s="28" t="s">
        <v>7091</v>
      </c>
      <c r="P1388" s="28" t="s">
        <v>8328</v>
      </c>
    </row>
    <row r="1389" spans="1:16" x14ac:dyDescent="0.25">
      <c r="A1389" s="28" t="s">
        <v>8329</v>
      </c>
      <c r="B1389" s="28" t="s">
        <v>8330</v>
      </c>
      <c r="C1389" s="28" t="s">
        <v>7082</v>
      </c>
      <c r="D1389" s="28" t="s">
        <v>5979</v>
      </c>
      <c r="E1389" s="28" t="s">
        <v>7248</v>
      </c>
      <c r="F1389" s="28" t="s">
        <v>21</v>
      </c>
      <c r="G1389" s="28" t="s">
        <v>135</v>
      </c>
      <c r="H1389" s="28" t="s">
        <v>7085</v>
      </c>
      <c r="I1389" s="28" t="s">
        <v>8331</v>
      </c>
      <c r="J1389" s="28" t="s">
        <v>135</v>
      </c>
      <c r="K1389" s="28" t="s">
        <v>7250</v>
      </c>
      <c r="L1389" s="28" t="s">
        <v>7088</v>
      </c>
      <c r="M1389" s="28" t="s">
        <v>8332</v>
      </c>
      <c r="N1389" s="28" t="s">
        <v>7090</v>
      </c>
      <c r="O1389" s="28" t="s">
        <v>7091</v>
      </c>
      <c r="P1389" s="28" t="s">
        <v>8333</v>
      </c>
    </row>
    <row r="1390" spans="1:16" x14ac:dyDescent="0.25">
      <c r="A1390" s="28" t="s">
        <v>8334</v>
      </c>
      <c r="B1390" s="28" t="s">
        <v>8335</v>
      </c>
      <c r="C1390" s="28" t="s">
        <v>7082</v>
      </c>
      <c r="D1390" s="28" t="s">
        <v>5979</v>
      </c>
      <c r="E1390" s="28" t="s">
        <v>7248</v>
      </c>
      <c r="F1390" s="28" t="s">
        <v>21</v>
      </c>
      <c r="G1390" s="28" t="s">
        <v>135</v>
      </c>
      <c r="H1390" s="28" t="s">
        <v>7085</v>
      </c>
      <c r="I1390" s="28" t="s">
        <v>8336</v>
      </c>
      <c r="J1390" s="28" t="s">
        <v>135</v>
      </c>
      <c r="K1390" s="28" t="s">
        <v>7267</v>
      </c>
      <c r="L1390" s="28" t="s">
        <v>7088</v>
      </c>
      <c r="M1390" s="28" t="s">
        <v>8337</v>
      </c>
      <c r="N1390" s="28" t="s">
        <v>7090</v>
      </c>
      <c r="O1390" s="28" t="s">
        <v>7091</v>
      </c>
      <c r="P1390" s="28" t="s">
        <v>8338</v>
      </c>
    </row>
    <row r="1391" spans="1:16" x14ac:dyDescent="0.25">
      <c r="A1391" s="28" t="s">
        <v>8339</v>
      </c>
      <c r="B1391" s="28" t="s">
        <v>8340</v>
      </c>
      <c r="C1391" s="28" t="s">
        <v>7082</v>
      </c>
      <c r="D1391" s="28" t="s">
        <v>5979</v>
      </c>
      <c r="E1391" s="28" t="s">
        <v>7305</v>
      </c>
      <c r="F1391" s="28" t="s">
        <v>21</v>
      </c>
      <c r="G1391" s="28" t="s">
        <v>7084</v>
      </c>
      <c r="H1391" s="28" t="s">
        <v>7085</v>
      </c>
      <c r="I1391" s="28" t="s">
        <v>8341</v>
      </c>
      <c r="J1391" s="28" t="s">
        <v>7084</v>
      </c>
      <c r="K1391" s="28" t="s">
        <v>7307</v>
      </c>
      <c r="L1391" s="28" t="s">
        <v>7088</v>
      </c>
      <c r="M1391" s="28" t="s">
        <v>8342</v>
      </c>
      <c r="N1391" s="28" t="s">
        <v>7090</v>
      </c>
      <c r="O1391" s="28" t="s">
        <v>7091</v>
      </c>
      <c r="P1391" s="28" t="s">
        <v>8343</v>
      </c>
    </row>
    <row r="1392" spans="1:16" x14ac:dyDescent="0.25">
      <c r="A1392" s="28" t="s">
        <v>8344</v>
      </c>
      <c r="B1392" s="28" t="s">
        <v>8345</v>
      </c>
      <c r="C1392" s="28" t="s">
        <v>7082</v>
      </c>
      <c r="D1392" s="28" t="s">
        <v>5979</v>
      </c>
      <c r="E1392" s="28" t="s">
        <v>7312</v>
      </c>
      <c r="F1392" s="28" t="s">
        <v>21</v>
      </c>
      <c r="G1392" s="28" t="s">
        <v>7084</v>
      </c>
      <c r="H1392" s="28" t="s">
        <v>7085</v>
      </c>
      <c r="I1392" s="28" t="s">
        <v>8346</v>
      </c>
      <c r="J1392" s="28" t="s">
        <v>7084</v>
      </c>
      <c r="K1392" s="28" t="s">
        <v>7314</v>
      </c>
      <c r="L1392" s="28" t="s">
        <v>7088</v>
      </c>
      <c r="M1392" s="28" t="s">
        <v>8347</v>
      </c>
      <c r="N1392" s="28" t="s">
        <v>7090</v>
      </c>
      <c r="O1392" s="28" t="s">
        <v>7091</v>
      </c>
      <c r="P1392" s="28" t="s">
        <v>8348</v>
      </c>
    </row>
    <row r="1393" spans="1:16" x14ac:dyDescent="0.25">
      <c r="A1393" s="28" t="s">
        <v>8349</v>
      </c>
      <c r="B1393" s="28" t="s">
        <v>8350</v>
      </c>
      <c r="C1393" s="28" t="s">
        <v>7082</v>
      </c>
      <c r="D1393" s="28" t="s">
        <v>5979</v>
      </c>
      <c r="E1393" s="28" t="s">
        <v>7312</v>
      </c>
      <c r="F1393" s="28" t="s">
        <v>21</v>
      </c>
      <c r="G1393" s="28" t="s">
        <v>135</v>
      </c>
      <c r="H1393" s="28" t="s">
        <v>7085</v>
      </c>
      <c r="I1393" s="28" t="s">
        <v>8351</v>
      </c>
      <c r="J1393" s="28" t="s">
        <v>135</v>
      </c>
      <c r="K1393" s="28" t="s">
        <v>7320</v>
      </c>
      <c r="L1393" s="28" t="s">
        <v>7088</v>
      </c>
      <c r="M1393" s="28" t="s">
        <v>8352</v>
      </c>
      <c r="N1393" s="28" t="s">
        <v>7090</v>
      </c>
      <c r="O1393" s="28" t="s">
        <v>7091</v>
      </c>
      <c r="P1393" s="28" t="s">
        <v>8353</v>
      </c>
    </row>
    <row r="1394" spans="1:16" x14ac:dyDescent="0.25">
      <c r="A1394" s="28" t="s">
        <v>8354</v>
      </c>
      <c r="B1394" s="28" t="s">
        <v>8355</v>
      </c>
      <c r="C1394" s="28" t="s">
        <v>8356</v>
      </c>
      <c r="D1394" s="28" t="s">
        <v>8357</v>
      </c>
      <c r="E1394" s="28" t="s">
        <v>8358</v>
      </c>
      <c r="F1394" s="28" t="s">
        <v>21</v>
      </c>
      <c r="G1394" s="28" t="s">
        <v>39</v>
      </c>
      <c r="H1394" s="28" t="s">
        <v>8359</v>
      </c>
      <c r="I1394" s="28" t="s">
        <v>8360</v>
      </c>
      <c r="J1394" s="28" t="s">
        <v>39</v>
      </c>
      <c r="K1394" s="28" t="s">
        <v>8361</v>
      </c>
      <c r="L1394" s="28" t="s">
        <v>8362</v>
      </c>
      <c r="M1394" s="28" t="s">
        <v>8363</v>
      </c>
      <c r="N1394" s="28" t="s">
        <v>8364</v>
      </c>
      <c r="O1394" s="28" t="s">
        <v>8365</v>
      </c>
      <c r="P1394" s="28" t="s">
        <v>8366</v>
      </c>
    </row>
    <row r="1395" spans="1:16" x14ac:dyDescent="0.25">
      <c r="A1395" s="28" t="s">
        <v>8367</v>
      </c>
      <c r="B1395" s="28" t="s">
        <v>8368</v>
      </c>
      <c r="C1395" s="28" t="s">
        <v>8356</v>
      </c>
      <c r="D1395" s="28" t="s">
        <v>8357</v>
      </c>
      <c r="E1395" s="28" t="s">
        <v>8369</v>
      </c>
      <c r="F1395" s="28" t="s">
        <v>21</v>
      </c>
      <c r="G1395" s="28" t="s">
        <v>39</v>
      </c>
      <c r="H1395" s="28" t="s">
        <v>8359</v>
      </c>
      <c r="I1395" s="28" t="s">
        <v>8370</v>
      </c>
      <c r="J1395" s="28" t="s">
        <v>39</v>
      </c>
      <c r="K1395" s="28" t="s">
        <v>8361</v>
      </c>
      <c r="L1395" s="28" t="s">
        <v>8362</v>
      </c>
      <c r="M1395" s="28" t="s">
        <v>8371</v>
      </c>
      <c r="N1395" s="28" t="s">
        <v>8364</v>
      </c>
      <c r="O1395" s="28" t="s">
        <v>8365</v>
      </c>
      <c r="P1395" s="28" t="s">
        <v>8372</v>
      </c>
    </row>
    <row r="1396" spans="1:16" x14ac:dyDescent="0.25">
      <c r="A1396" s="28" t="s">
        <v>8373</v>
      </c>
      <c r="B1396" s="28" t="s">
        <v>8374</v>
      </c>
      <c r="C1396" s="28" t="s">
        <v>8356</v>
      </c>
      <c r="D1396" s="28" t="s">
        <v>8357</v>
      </c>
      <c r="E1396" s="28" t="s">
        <v>8375</v>
      </c>
      <c r="F1396" s="28" t="s">
        <v>21</v>
      </c>
      <c r="G1396" s="28" t="s">
        <v>7084</v>
      </c>
      <c r="H1396" s="28" t="s">
        <v>8359</v>
      </c>
      <c r="I1396" s="28" t="s">
        <v>8376</v>
      </c>
      <c r="J1396" s="28" t="s">
        <v>7084</v>
      </c>
      <c r="K1396" s="28" t="s">
        <v>8377</v>
      </c>
      <c r="L1396" s="28" t="s">
        <v>8362</v>
      </c>
      <c r="M1396" s="28" t="s">
        <v>8378</v>
      </c>
      <c r="N1396" s="28" t="s">
        <v>8364</v>
      </c>
      <c r="O1396" s="28" t="s">
        <v>8365</v>
      </c>
      <c r="P1396" s="28" t="s">
        <v>8379</v>
      </c>
    </row>
    <row r="1397" spans="1:16" hidden="1" x14ac:dyDescent="0.25">
      <c r="A1397" s="28" t="s">
        <v>8380</v>
      </c>
      <c r="B1397" s="28" t="s">
        <v>8381</v>
      </c>
      <c r="C1397" s="28" t="s">
        <v>8356</v>
      </c>
      <c r="D1397" s="28" t="s">
        <v>8382</v>
      </c>
      <c r="E1397" s="28" t="s">
        <v>8383</v>
      </c>
      <c r="F1397" s="28" t="s">
        <v>21</v>
      </c>
      <c r="G1397" s="28" t="s">
        <v>22</v>
      </c>
      <c r="H1397" s="28" t="s">
        <v>8384</v>
      </c>
      <c r="I1397" s="28" t="s">
        <v>8385</v>
      </c>
      <c r="J1397" s="28" t="s">
        <v>8386</v>
      </c>
      <c r="K1397" s="28" t="s">
        <v>8387</v>
      </c>
      <c r="L1397" s="28" t="s">
        <v>8388</v>
      </c>
      <c r="M1397" s="28" t="s">
        <v>8389</v>
      </c>
      <c r="N1397" s="28" t="s">
        <v>8390</v>
      </c>
      <c r="O1397" s="28" t="s">
        <v>8391</v>
      </c>
    </row>
    <row r="1398" spans="1:16" hidden="1" x14ac:dyDescent="0.25">
      <c r="A1398" s="28" t="s">
        <v>8392</v>
      </c>
      <c r="B1398" s="28" t="s">
        <v>8393</v>
      </c>
      <c r="C1398" s="28" t="s">
        <v>8356</v>
      </c>
      <c r="D1398" s="28" t="s">
        <v>4682</v>
      </c>
      <c r="E1398" s="28" t="s">
        <v>8383</v>
      </c>
      <c r="F1398" s="28" t="s">
        <v>21</v>
      </c>
      <c r="G1398" s="28" t="s">
        <v>22</v>
      </c>
      <c r="H1398" s="28" t="s">
        <v>8384</v>
      </c>
      <c r="I1398" s="28" t="s">
        <v>8394</v>
      </c>
      <c r="J1398" s="28" t="s">
        <v>8386</v>
      </c>
      <c r="K1398" s="28" t="s">
        <v>8387</v>
      </c>
      <c r="L1398" s="28" t="s">
        <v>8388</v>
      </c>
      <c r="M1398" s="28" t="s">
        <v>8389</v>
      </c>
      <c r="N1398" s="28" t="s">
        <v>8390</v>
      </c>
      <c r="O1398" s="28" t="s">
        <v>8391</v>
      </c>
    </row>
    <row r="1399" spans="1:16" hidden="1" x14ac:dyDescent="0.25">
      <c r="A1399" s="28" t="s">
        <v>8395</v>
      </c>
      <c r="B1399" s="28" t="s">
        <v>8396</v>
      </c>
      <c r="C1399" s="28" t="s">
        <v>8356</v>
      </c>
      <c r="D1399" s="28" t="s">
        <v>8397</v>
      </c>
      <c r="E1399" s="28" t="s">
        <v>8383</v>
      </c>
      <c r="F1399" s="28" t="s">
        <v>21</v>
      </c>
      <c r="G1399" s="28" t="s">
        <v>22</v>
      </c>
      <c r="H1399" s="28" t="s">
        <v>8384</v>
      </c>
      <c r="I1399" s="28" t="s">
        <v>8398</v>
      </c>
      <c r="J1399" s="28" t="s">
        <v>8386</v>
      </c>
      <c r="K1399" s="28" t="s">
        <v>8387</v>
      </c>
      <c r="L1399" s="28" t="s">
        <v>8388</v>
      </c>
      <c r="M1399" s="28" t="s">
        <v>8389</v>
      </c>
      <c r="N1399" s="28" t="s">
        <v>8390</v>
      </c>
      <c r="O1399" s="28" t="s">
        <v>8391</v>
      </c>
    </row>
    <row r="1400" spans="1:16" hidden="1" x14ac:dyDescent="0.25">
      <c r="A1400" s="28" t="s">
        <v>8399</v>
      </c>
      <c r="B1400" s="28" t="s">
        <v>8400</v>
      </c>
      <c r="C1400" s="28" t="s">
        <v>8356</v>
      </c>
      <c r="D1400" s="28" t="s">
        <v>7220</v>
      </c>
      <c r="E1400" s="28" t="s">
        <v>8383</v>
      </c>
      <c r="F1400" s="28" t="s">
        <v>21</v>
      </c>
      <c r="G1400" s="28" t="s">
        <v>22</v>
      </c>
      <c r="H1400" s="28" t="s">
        <v>8384</v>
      </c>
      <c r="I1400" s="28" t="s">
        <v>8401</v>
      </c>
      <c r="J1400" s="28" t="s">
        <v>8386</v>
      </c>
      <c r="K1400" s="28" t="s">
        <v>8387</v>
      </c>
      <c r="L1400" s="28" t="s">
        <v>8388</v>
      </c>
      <c r="M1400" s="28" t="s">
        <v>8389</v>
      </c>
      <c r="N1400" s="28" t="s">
        <v>8390</v>
      </c>
      <c r="O1400" s="28" t="s">
        <v>8391</v>
      </c>
    </row>
    <row r="1401" spans="1:16" hidden="1" x14ac:dyDescent="0.25">
      <c r="A1401" s="28" t="s">
        <v>8402</v>
      </c>
      <c r="B1401" s="28" t="s">
        <v>8403</v>
      </c>
      <c r="C1401" s="28" t="s">
        <v>8356</v>
      </c>
      <c r="D1401" s="28" t="s">
        <v>5011</v>
      </c>
      <c r="E1401" s="28" t="s">
        <v>8383</v>
      </c>
      <c r="F1401" s="28" t="s">
        <v>21</v>
      </c>
      <c r="G1401" s="28" t="s">
        <v>22</v>
      </c>
      <c r="H1401" s="28" t="s">
        <v>8384</v>
      </c>
      <c r="I1401" s="28" t="s">
        <v>8404</v>
      </c>
      <c r="J1401" s="28" t="s">
        <v>8386</v>
      </c>
      <c r="K1401" s="28" t="s">
        <v>8387</v>
      </c>
      <c r="L1401" s="28" t="s">
        <v>8388</v>
      </c>
      <c r="M1401" s="28" t="s">
        <v>8389</v>
      </c>
      <c r="N1401" s="28" t="s">
        <v>8390</v>
      </c>
      <c r="O1401" s="28" t="s">
        <v>8391</v>
      </c>
    </row>
    <row r="1402" spans="1:16" hidden="1" x14ac:dyDescent="0.25">
      <c r="A1402" s="28" t="s">
        <v>8405</v>
      </c>
      <c r="B1402" s="28" t="s">
        <v>8406</v>
      </c>
      <c r="C1402" s="28" t="s">
        <v>8356</v>
      </c>
      <c r="D1402" s="28" t="s">
        <v>120</v>
      </c>
      <c r="E1402" s="28" t="s">
        <v>8383</v>
      </c>
      <c r="F1402" s="28" t="s">
        <v>21</v>
      </c>
      <c r="G1402" s="28" t="s">
        <v>22</v>
      </c>
      <c r="H1402" s="28" t="s">
        <v>8384</v>
      </c>
      <c r="I1402" s="28" t="s">
        <v>8407</v>
      </c>
      <c r="J1402" s="28" t="s">
        <v>8386</v>
      </c>
      <c r="K1402" s="28" t="s">
        <v>8387</v>
      </c>
      <c r="L1402" s="28" t="s">
        <v>8388</v>
      </c>
      <c r="M1402" s="28" t="s">
        <v>8389</v>
      </c>
      <c r="N1402" s="28" t="s">
        <v>8390</v>
      </c>
      <c r="O1402" s="28" t="s">
        <v>8391</v>
      </c>
    </row>
    <row r="1403" spans="1:16" hidden="1" x14ac:dyDescent="0.25">
      <c r="A1403" s="28" t="s">
        <v>8408</v>
      </c>
      <c r="B1403" s="28" t="s">
        <v>8409</v>
      </c>
      <c r="C1403" s="28" t="s">
        <v>8356</v>
      </c>
      <c r="D1403" s="28" t="s">
        <v>5372</v>
      </c>
      <c r="E1403" s="28" t="s">
        <v>8383</v>
      </c>
      <c r="F1403" s="28" t="s">
        <v>21</v>
      </c>
      <c r="G1403" s="28" t="s">
        <v>22</v>
      </c>
      <c r="H1403" s="28" t="s">
        <v>8384</v>
      </c>
      <c r="I1403" s="28" t="s">
        <v>8410</v>
      </c>
      <c r="J1403" s="28" t="s">
        <v>8386</v>
      </c>
      <c r="K1403" s="28" t="s">
        <v>8387</v>
      </c>
      <c r="L1403" s="28" t="s">
        <v>8388</v>
      </c>
      <c r="M1403" s="28" t="s">
        <v>8389</v>
      </c>
      <c r="N1403" s="28" t="s">
        <v>8390</v>
      </c>
      <c r="O1403" s="28" t="s">
        <v>8391</v>
      </c>
    </row>
    <row r="1404" spans="1:16" hidden="1" x14ac:dyDescent="0.25">
      <c r="A1404" s="28" t="s">
        <v>8411</v>
      </c>
      <c r="B1404" s="28" t="s">
        <v>8412</v>
      </c>
      <c r="C1404" s="28" t="s">
        <v>8356</v>
      </c>
      <c r="D1404" s="28" t="s">
        <v>19</v>
      </c>
      <c r="E1404" s="28" t="s">
        <v>8383</v>
      </c>
      <c r="F1404" s="28" t="s">
        <v>21</v>
      </c>
      <c r="G1404" s="28" t="s">
        <v>22</v>
      </c>
      <c r="H1404" s="28" t="s">
        <v>8384</v>
      </c>
      <c r="I1404" s="28" t="s">
        <v>8413</v>
      </c>
      <c r="J1404" s="28" t="s">
        <v>8386</v>
      </c>
      <c r="K1404" s="28" t="s">
        <v>8387</v>
      </c>
      <c r="L1404" s="28" t="s">
        <v>8388</v>
      </c>
      <c r="M1404" s="28" t="s">
        <v>8389</v>
      </c>
      <c r="N1404" s="28" t="s">
        <v>8390</v>
      </c>
      <c r="O1404" s="28" t="s">
        <v>8391</v>
      </c>
    </row>
    <row r="1405" spans="1:16" x14ac:dyDescent="0.25">
      <c r="A1405" s="28" t="s">
        <v>8414</v>
      </c>
      <c r="B1405" s="28" t="s">
        <v>8415</v>
      </c>
      <c r="C1405" s="28" t="s">
        <v>8356</v>
      </c>
      <c r="D1405" s="28" t="s">
        <v>4519</v>
      </c>
      <c r="E1405" s="28" t="s">
        <v>8416</v>
      </c>
      <c r="F1405" s="28" t="s">
        <v>21</v>
      </c>
      <c r="G1405" s="28" t="s">
        <v>7084</v>
      </c>
      <c r="H1405" s="28" t="s">
        <v>8359</v>
      </c>
      <c r="I1405" s="28" t="s">
        <v>8417</v>
      </c>
      <c r="J1405" s="28" t="s">
        <v>7084</v>
      </c>
      <c r="K1405" s="28" t="s">
        <v>8377</v>
      </c>
      <c r="L1405" s="28" t="s">
        <v>8362</v>
      </c>
      <c r="M1405" s="28" t="s">
        <v>8418</v>
      </c>
      <c r="N1405" s="28" t="s">
        <v>8364</v>
      </c>
      <c r="O1405" s="28" t="s">
        <v>8365</v>
      </c>
      <c r="P1405" s="28" t="s">
        <v>8419</v>
      </c>
    </row>
    <row r="1406" spans="1:16" x14ac:dyDescent="0.25">
      <c r="A1406" s="28" t="s">
        <v>8420</v>
      </c>
      <c r="B1406" s="28" t="s">
        <v>8421</v>
      </c>
      <c r="C1406" s="28" t="s">
        <v>8356</v>
      </c>
      <c r="D1406" s="28" t="s">
        <v>1792</v>
      </c>
      <c r="E1406" s="28" t="s">
        <v>8422</v>
      </c>
      <c r="F1406" s="28" t="s">
        <v>21</v>
      </c>
      <c r="G1406" s="28" t="s">
        <v>7084</v>
      </c>
      <c r="H1406" s="28" t="s">
        <v>8359</v>
      </c>
      <c r="I1406" s="28" t="s">
        <v>8423</v>
      </c>
      <c r="J1406" s="28" t="s">
        <v>7084</v>
      </c>
      <c r="K1406" s="28" t="s">
        <v>8377</v>
      </c>
      <c r="L1406" s="28" t="s">
        <v>8362</v>
      </c>
      <c r="M1406" s="28" t="s">
        <v>8424</v>
      </c>
      <c r="N1406" s="28" t="s">
        <v>8364</v>
      </c>
      <c r="O1406" s="28" t="s">
        <v>8365</v>
      </c>
      <c r="P1406" s="28" t="s">
        <v>8425</v>
      </c>
    </row>
    <row r="1407" spans="1:16" x14ac:dyDescent="0.25">
      <c r="A1407" s="28" t="s">
        <v>8426</v>
      </c>
      <c r="B1407" s="28" t="s">
        <v>8427</v>
      </c>
      <c r="C1407" s="28" t="s">
        <v>8356</v>
      </c>
      <c r="D1407" s="28" t="s">
        <v>5372</v>
      </c>
      <c r="E1407" s="28" t="s">
        <v>8422</v>
      </c>
      <c r="F1407" s="28" t="s">
        <v>21</v>
      </c>
      <c r="G1407" s="28" t="s">
        <v>7084</v>
      </c>
      <c r="H1407" s="28" t="s">
        <v>8359</v>
      </c>
      <c r="I1407" s="28" t="s">
        <v>8428</v>
      </c>
      <c r="J1407" s="28" t="s">
        <v>7084</v>
      </c>
      <c r="K1407" s="28" t="s">
        <v>8377</v>
      </c>
      <c r="L1407" s="28" t="s">
        <v>8362</v>
      </c>
      <c r="M1407" s="28" t="s">
        <v>8424</v>
      </c>
      <c r="N1407" s="28" t="s">
        <v>8364</v>
      </c>
      <c r="O1407" s="28" t="s">
        <v>8365</v>
      </c>
      <c r="P1407" s="28" t="s">
        <v>8429</v>
      </c>
    </row>
    <row r="1408" spans="1:16" hidden="1" x14ac:dyDescent="0.25">
      <c r="A1408" s="28" t="s">
        <v>8430</v>
      </c>
      <c r="B1408" s="28" t="s">
        <v>8431</v>
      </c>
      <c r="C1408" s="28" t="s">
        <v>8356</v>
      </c>
      <c r="D1408" s="28" t="s">
        <v>4699</v>
      </c>
      <c r="E1408" s="28" t="s">
        <v>8432</v>
      </c>
      <c r="F1408" s="28" t="s">
        <v>21</v>
      </c>
      <c r="G1408" s="28" t="s">
        <v>22</v>
      </c>
      <c r="H1408" s="28" t="s">
        <v>8384</v>
      </c>
      <c r="I1408" s="28" t="s">
        <v>8433</v>
      </c>
      <c r="J1408" s="28" t="s">
        <v>8386</v>
      </c>
      <c r="K1408" s="28" t="s">
        <v>8387</v>
      </c>
      <c r="L1408" s="28" t="s">
        <v>8388</v>
      </c>
      <c r="M1408" s="28" t="s">
        <v>8434</v>
      </c>
      <c r="N1408" s="28" t="s">
        <v>8390</v>
      </c>
      <c r="O1408" s="28" t="s">
        <v>8391</v>
      </c>
      <c r="P1408" s="28" t="s">
        <v>8435</v>
      </c>
    </row>
    <row r="1409" spans="1:16" hidden="1" x14ac:dyDescent="0.25">
      <c r="A1409" s="28" t="s">
        <v>8436</v>
      </c>
      <c r="B1409" s="28" t="s">
        <v>8437</v>
      </c>
      <c r="C1409" s="28" t="s">
        <v>8356</v>
      </c>
      <c r="D1409" s="28" t="s">
        <v>5372</v>
      </c>
      <c r="E1409" s="28" t="s">
        <v>8432</v>
      </c>
      <c r="F1409" s="28" t="s">
        <v>21</v>
      </c>
      <c r="G1409" s="28" t="s">
        <v>22</v>
      </c>
      <c r="H1409" s="28" t="s">
        <v>8384</v>
      </c>
      <c r="I1409" s="28" t="s">
        <v>8438</v>
      </c>
      <c r="J1409" s="28" t="s">
        <v>8386</v>
      </c>
      <c r="K1409" s="28" t="s">
        <v>8387</v>
      </c>
      <c r="L1409" s="28" t="s">
        <v>8388</v>
      </c>
      <c r="M1409" s="28" t="s">
        <v>8434</v>
      </c>
      <c r="N1409" s="28" t="s">
        <v>8390</v>
      </c>
      <c r="O1409" s="28" t="s">
        <v>8391</v>
      </c>
      <c r="P1409" s="28" t="s">
        <v>8435</v>
      </c>
    </row>
    <row r="1410" spans="1:16" x14ac:dyDescent="0.25">
      <c r="A1410" s="28" t="s">
        <v>8439</v>
      </c>
      <c r="B1410" s="28" t="s">
        <v>8440</v>
      </c>
      <c r="C1410" s="28" t="s">
        <v>8356</v>
      </c>
      <c r="D1410" s="28" t="s">
        <v>8357</v>
      </c>
      <c r="E1410" s="28" t="s">
        <v>8441</v>
      </c>
      <c r="F1410" s="28" t="s">
        <v>21</v>
      </c>
      <c r="G1410" s="28" t="s">
        <v>39</v>
      </c>
      <c r="H1410" s="28" t="s">
        <v>8359</v>
      </c>
      <c r="I1410" s="28" t="s">
        <v>8442</v>
      </c>
      <c r="J1410" s="28" t="s">
        <v>39</v>
      </c>
      <c r="K1410" s="28" t="s">
        <v>8361</v>
      </c>
      <c r="L1410" s="28" t="s">
        <v>8362</v>
      </c>
      <c r="M1410" s="28" t="s">
        <v>8443</v>
      </c>
      <c r="N1410" s="28" t="s">
        <v>8364</v>
      </c>
      <c r="O1410" s="28" t="s">
        <v>8365</v>
      </c>
      <c r="P1410" s="28" t="s">
        <v>8444</v>
      </c>
    </row>
    <row r="1411" spans="1:16" x14ac:dyDescent="0.25">
      <c r="A1411" s="28" t="s">
        <v>8445</v>
      </c>
      <c r="B1411" s="28" t="s">
        <v>8446</v>
      </c>
      <c r="C1411" s="28" t="s">
        <v>8356</v>
      </c>
      <c r="D1411" s="28" t="s">
        <v>8357</v>
      </c>
      <c r="E1411" s="28" t="s">
        <v>8447</v>
      </c>
      <c r="F1411" s="28" t="s">
        <v>21</v>
      </c>
      <c r="G1411" s="28" t="s">
        <v>7084</v>
      </c>
      <c r="H1411" s="28" t="s">
        <v>8359</v>
      </c>
      <c r="I1411" s="28" t="s">
        <v>8448</v>
      </c>
      <c r="J1411" s="28" t="s">
        <v>7084</v>
      </c>
      <c r="K1411" s="28" t="s">
        <v>8377</v>
      </c>
      <c r="L1411" s="28" t="s">
        <v>8362</v>
      </c>
      <c r="M1411" s="28" t="s">
        <v>8449</v>
      </c>
      <c r="N1411" s="28" t="s">
        <v>8364</v>
      </c>
      <c r="O1411" s="28" t="s">
        <v>8365</v>
      </c>
      <c r="P1411" s="28" t="s">
        <v>8450</v>
      </c>
    </row>
    <row r="1412" spans="1:16" x14ac:dyDescent="0.25">
      <c r="A1412" s="28" t="s">
        <v>8451</v>
      </c>
      <c r="B1412" s="28" t="s">
        <v>8452</v>
      </c>
      <c r="C1412" s="28" t="s">
        <v>8356</v>
      </c>
      <c r="D1412" s="28" t="s">
        <v>5372</v>
      </c>
      <c r="E1412" s="28" t="s">
        <v>8453</v>
      </c>
      <c r="F1412" s="28" t="s">
        <v>21</v>
      </c>
      <c r="G1412" s="28" t="s">
        <v>7084</v>
      </c>
      <c r="H1412" s="28" t="s">
        <v>8359</v>
      </c>
      <c r="I1412" s="28" t="s">
        <v>8454</v>
      </c>
      <c r="J1412" s="28" t="s">
        <v>7084</v>
      </c>
      <c r="K1412" s="28" t="s">
        <v>8377</v>
      </c>
      <c r="L1412" s="28" t="s">
        <v>8362</v>
      </c>
      <c r="M1412" s="28" t="s">
        <v>8455</v>
      </c>
      <c r="N1412" s="28" t="s">
        <v>8364</v>
      </c>
      <c r="O1412" s="28" t="s">
        <v>8365</v>
      </c>
      <c r="P1412" s="28" t="s">
        <v>8456</v>
      </c>
    </row>
    <row r="1413" spans="1:16" x14ac:dyDescent="0.25">
      <c r="A1413" s="28" t="s">
        <v>8457</v>
      </c>
      <c r="B1413" s="28" t="s">
        <v>8458</v>
      </c>
      <c r="C1413" s="28" t="s">
        <v>8356</v>
      </c>
      <c r="D1413" s="28" t="s">
        <v>1792</v>
      </c>
      <c r="E1413" s="28" t="s">
        <v>8459</v>
      </c>
      <c r="F1413" s="28" t="s">
        <v>21</v>
      </c>
      <c r="G1413" s="28" t="s">
        <v>7084</v>
      </c>
      <c r="H1413" s="28" t="s">
        <v>8359</v>
      </c>
      <c r="I1413" s="28" t="s">
        <v>8460</v>
      </c>
      <c r="J1413" s="28" t="s">
        <v>7084</v>
      </c>
      <c r="K1413" s="28" t="s">
        <v>8377</v>
      </c>
      <c r="L1413" s="28" t="s">
        <v>8362</v>
      </c>
      <c r="M1413" s="28" t="s">
        <v>8461</v>
      </c>
      <c r="N1413" s="28" t="s">
        <v>8364</v>
      </c>
      <c r="O1413" s="28" t="s">
        <v>8365</v>
      </c>
      <c r="P1413" s="28" t="s">
        <v>8462</v>
      </c>
    </row>
    <row r="1414" spans="1:16" x14ac:dyDescent="0.25">
      <c r="A1414" s="28" t="s">
        <v>8463</v>
      </c>
      <c r="B1414" s="28" t="s">
        <v>8464</v>
      </c>
      <c r="C1414" s="28" t="s">
        <v>8356</v>
      </c>
      <c r="D1414" s="28" t="s">
        <v>8397</v>
      </c>
      <c r="E1414" s="28" t="s">
        <v>8465</v>
      </c>
      <c r="F1414" s="28" t="s">
        <v>21</v>
      </c>
      <c r="G1414" s="28" t="s">
        <v>7084</v>
      </c>
      <c r="H1414" s="28" t="s">
        <v>8359</v>
      </c>
      <c r="I1414" s="28" t="s">
        <v>8466</v>
      </c>
      <c r="J1414" s="28" t="s">
        <v>7084</v>
      </c>
      <c r="K1414" s="28" t="s">
        <v>8377</v>
      </c>
      <c r="L1414" s="28" t="s">
        <v>8362</v>
      </c>
      <c r="M1414" s="28" t="s">
        <v>8467</v>
      </c>
      <c r="N1414" s="28" t="s">
        <v>8364</v>
      </c>
      <c r="O1414" s="28" t="s">
        <v>8365</v>
      </c>
      <c r="P1414" s="28" t="s">
        <v>8468</v>
      </c>
    </row>
    <row r="1415" spans="1:16" x14ac:dyDescent="0.25">
      <c r="A1415" s="28" t="s">
        <v>8469</v>
      </c>
      <c r="B1415" s="28" t="s">
        <v>8470</v>
      </c>
      <c r="C1415" s="28" t="s">
        <v>8356</v>
      </c>
      <c r="D1415" s="28" t="s">
        <v>5328</v>
      </c>
      <c r="E1415" s="28" t="s">
        <v>8471</v>
      </c>
      <c r="F1415" s="28" t="s">
        <v>21</v>
      </c>
      <c r="G1415" s="28" t="s">
        <v>7084</v>
      </c>
      <c r="H1415" s="28" t="s">
        <v>8359</v>
      </c>
      <c r="I1415" s="28" t="s">
        <v>8472</v>
      </c>
      <c r="J1415" s="28" t="s">
        <v>7084</v>
      </c>
      <c r="K1415" s="28" t="s">
        <v>8377</v>
      </c>
      <c r="L1415" s="28" t="s">
        <v>8362</v>
      </c>
      <c r="M1415" s="28" t="s">
        <v>8473</v>
      </c>
      <c r="N1415" s="28" t="s">
        <v>8364</v>
      </c>
      <c r="O1415" s="28" t="s">
        <v>8365</v>
      </c>
      <c r="P1415" s="28" t="s">
        <v>8474</v>
      </c>
    </row>
    <row r="1416" spans="1:16" x14ac:dyDescent="0.25">
      <c r="A1416" s="28" t="s">
        <v>8475</v>
      </c>
      <c r="B1416" s="28" t="s">
        <v>8476</v>
      </c>
      <c r="C1416" s="28" t="s">
        <v>8356</v>
      </c>
      <c r="D1416" s="28" t="s">
        <v>4421</v>
      </c>
      <c r="E1416" s="28" t="s">
        <v>8477</v>
      </c>
      <c r="F1416" s="28" t="s">
        <v>21</v>
      </c>
      <c r="G1416" s="28" t="s">
        <v>7084</v>
      </c>
      <c r="H1416" s="28" t="s">
        <v>8359</v>
      </c>
      <c r="I1416" s="28" t="s">
        <v>8478</v>
      </c>
      <c r="J1416" s="28" t="s">
        <v>7084</v>
      </c>
      <c r="K1416" s="28" t="s">
        <v>8377</v>
      </c>
      <c r="L1416" s="28" t="s">
        <v>8362</v>
      </c>
      <c r="M1416" s="28" t="s">
        <v>8479</v>
      </c>
      <c r="N1416" s="28" t="s">
        <v>8364</v>
      </c>
      <c r="O1416" s="28" t="s">
        <v>8365</v>
      </c>
      <c r="P1416" s="28" t="s">
        <v>8480</v>
      </c>
    </row>
    <row r="1417" spans="1:16" x14ac:dyDescent="0.25">
      <c r="A1417" s="28" t="s">
        <v>8481</v>
      </c>
      <c r="B1417" s="28" t="s">
        <v>8482</v>
      </c>
      <c r="C1417" s="28" t="s">
        <v>8356</v>
      </c>
      <c r="D1417" s="28" t="s">
        <v>4421</v>
      </c>
      <c r="E1417" s="28" t="s">
        <v>8483</v>
      </c>
      <c r="F1417" s="28" t="s">
        <v>21</v>
      </c>
      <c r="G1417" s="28" t="s">
        <v>7084</v>
      </c>
      <c r="H1417" s="28" t="s">
        <v>8359</v>
      </c>
      <c r="I1417" s="28" t="s">
        <v>8484</v>
      </c>
      <c r="J1417" s="28" t="s">
        <v>7084</v>
      </c>
      <c r="K1417" s="28" t="s">
        <v>8377</v>
      </c>
      <c r="L1417" s="28" t="s">
        <v>8362</v>
      </c>
      <c r="M1417" s="28" t="s">
        <v>8485</v>
      </c>
      <c r="N1417" s="28" t="s">
        <v>8364</v>
      </c>
      <c r="O1417" s="28" t="s">
        <v>8365</v>
      </c>
      <c r="P1417" s="28" t="s">
        <v>8486</v>
      </c>
    </row>
    <row r="1418" spans="1:16" x14ac:dyDescent="0.25">
      <c r="A1418" s="28" t="s">
        <v>8487</v>
      </c>
      <c r="B1418" s="28" t="s">
        <v>8488</v>
      </c>
      <c r="C1418" s="28" t="s">
        <v>8356</v>
      </c>
      <c r="D1418" s="28" t="s">
        <v>8357</v>
      </c>
      <c r="E1418" s="28" t="s">
        <v>8489</v>
      </c>
      <c r="F1418" s="28" t="s">
        <v>21</v>
      </c>
      <c r="G1418" s="28" t="s">
        <v>7084</v>
      </c>
      <c r="H1418" s="28" t="s">
        <v>8359</v>
      </c>
      <c r="I1418" s="28" t="s">
        <v>8490</v>
      </c>
      <c r="J1418" s="28" t="s">
        <v>7084</v>
      </c>
      <c r="K1418" s="28" t="s">
        <v>8377</v>
      </c>
      <c r="L1418" s="28" t="s">
        <v>8362</v>
      </c>
      <c r="M1418" s="28" t="s">
        <v>8491</v>
      </c>
      <c r="N1418" s="28" t="s">
        <v>8364</v>
      </c>
      <c r="O1418" s="28" t="s">
        <v>8365</v>
      </c>
      <c r="P1418" s="28" t="s">
        <v>8492</v>
      </c>
    </row>
    <row r="1419" spans="1:16" x14ac:dyDescent="0.25">
      <c r="A1419" s="28" t="s">
        <v>8493</v>
      </c>
      <c r="B1419" s="28" t="s">
        <v>8494</v>
      </c>
      <c r="C1419" s="28" t="s">
        <v>8356</v>
      </c>
      <c r="D1419" s="28" t="s">
        <v>8357</v>
      </c>
      <c r="E1419" s="28" t="s">
        <v>8495</v>
      </c>
      <c r="F1419" s="28" t="s">
        <v>21</v>
      </c>
      <c r="G1419" s="28" t="s">
        <v>7084</v>
      </c>
      <c r="H1419" s="28" t="s">
        <v>8359</v>
      </c>
      <c r="I1419" s="28" t="s">
        <v>8496</v>
      </c>
      <c r="J1419" s="28" t="s">
        <v>7084</v>
      </c>
      <c r="K1419" s="28" t="s">
        <v>8377</v>
      </c>
      <c r="L1419" s="28" t="s">
        <v>8362</v>
      </c>
      <c r="M1419" s="28" t="s">
        <v>8497</v>
      </c>
      <c r="N1419" s="28" t="s">
        <v>8364</v>
      </c>
      <c r="O1419" s="28" t="s">
        <v>8365</v>
      </c>
      <c r="P1419" s="28" t="s">
        <v>8498</v>
      </c>
    </row>
    <row r="1420" spans="1:16" x14ac:dyDescent="0.25">
      <c r="A1420" s="28" t="s">
        <v>8499</v>
      </c>
      <c r="B1420" s="28" t="s">
        <v>8500</v>
      </c>
      <c r="C1420" s="28" t="s">
        <v>8356</v>
      </c>
      <c r="D1420" s="28" t="s">
        <v>4519</v>
      </c>
      <c r="E1420" s="28" t="s">
        <v>8501</v>
      </c>
      <c r="F1420" s="28" t="s">
        <v>21</v>
      </c>
      <c r="G1420" s="28" t="s">
        <v>7084</v>
      </c>
      <c r="H1420" s="28" t="s">
        <v>8359</v>
      </c>
      <c r="I1420" s="28" t="s">
        <v>8502</v>
      </c>
      <c r="J1420" s="28" t="s">
        <v>7084</v>
      </c>
      <c r="K1420" s="28" t="s">
        <v>8377</v>
      </c>
      <c r="L1420" s="28" t="s">
        <v>8362</v>
      </c>
      <c r="M1420" s="28" t="s">
        <v>8503</v>
      </c>
      <c r="N1420" s="28" t="s">
        <v>8364</v>
      </c>
      <c r="O1420" s="28" t="s">
        <v>8365</v>
      </c>
      <c r="P1420" s="28" t="s">
        <v>8504</v>
      </c>
    </row>
    <row r="1421" spans="1:16" x14ac:dyDescent="0.25">
      <c r="A1421" s="28" t="s">
        <v>8505</v>
      </c>
      <c r="B1421" s="28" t="s">
        <v>8506</v>
      </c>
      <c r="C1421" s="28" t="s">
        <v>8356</v>
      </c>
      <c r="D1421" s="28" t="s">
        <v>8357</v>
      </c>
      <c r="E1421" s="28" t="s">
        <v>8507</v>
      </c>
      <c r="F1421" s="28" t="s">
        <v>21</v>
      </c>
      <c r="G1421" s="28" t="s">
        <v>7084</v>
      </c>
      <c r="H1421" s="28" t="s">
        <v>8359</v>
      </c>
      <c r="I1421" s="28" t="s">
        <v>8508</v>
      </c>
      <c r="J1421" s="28" t="s">
        <v>7084</v>
      </c>
      <c r="K1421" s="28" t="s">
        <v>8377</v>
      </c>
      <c r="L1421" s="28" t="s">
        <v>8362</v>
      </c>
      <c r="M1421" s="28" t="s">
        <v>8509</v>
      </c>
      <c r="N1421" s="28" t="s">
        <v>8364</v>
      </c>
      <c r="O1421" s="28" t="s">
        <v>8365</v>
      </c>
      <c r="P1421" s="28" t="s">
        <v>8510</v>
      </c>
    </row>
    <row r="1422" spans="1:16" x14ac:dyDescent="0.25">
      <c r="A1422" s="28" t="s">
        <v>8511</v>
      </c>
      <c r="B1422" s="28" t="s">
        <v>8512</v>
      </c>
      <c r="C1422" s="28" t="s">
        <v>8356</v>
      </c>
      <c r="D1422" s="28" t="s">
        <v>4667</v>
      </c>
      <c r="E1422" s="28" t="s">
        <v>8513</v>
      </c>
      <c r="F1422" s="28" t="s">
        <v>21</v>
      </c>
      <c r="G1422" s="28" t="s">
        <v>7084</v>
      </c>
      <c r="H1422" s="28" t="s">
        <v>8359</v>
      </c>
      <c r="I1422" s="28" t="s">
        <v>8514</v>
      </c>
      <c r="J1422" s="28" t="s">
        <v>7084</v>
      </c>
      <c r="K1422" s="28" t="s">
        <v>8377</v>
      </c>
      <c r="L1422" s="28" t="s">
        <v>8362</v>
      </c>
      <c r="M1422" s="28" t="s">
        <v>8515</v>
      </c>
      <c r="N1422" s="28" t="s">
        <v>8364</v>
      </c>
      <c r="O1422" s="28" t="s">
        <v>8365</v>
      </c>
      <c r="P1422" s="28" t="s">
        <v>8516</v>
      </c>
    </row>
    <row r="1423" spans="1:16" x14ac:dyDescent="0.25">
      <c r="A1423" s="28" t="s">
        <v>8517</v>
      </c>
      <c r="B1423" s="28" t="s">
        <v>8518</v>
      </c>
      <c r="C1423" s="28" t="s">
        <v>8356</v>
      </c>
      <c r="D1423" s="28" t="s">
        <v>8357</v>
      </c>
      <c r="E1423" s="28" t="s">
        <v>8519</v>
      </c>
      <c r="F1423" s="28" t="s">
        <v>21</v>
      </c>
      <c r="G1423" s="28" t="s">
        <v>7084</v>
      </c>
      <c r="H1423" s="28" t="s">
        <v>8359</v>
      </c>
      <c r="I1423" s="28" t="s">
        <v>8520</v>
      </c>
      <c r="J1423" s="28" t="s">
        <v>7084</v>
      </c>
      <c r="K1423" s="28" t="s">
        <v>8377</v>
      </c>
      <c r="L1423" s="28" t="s">
        <v>8362</v>
      </c>
      <c r="M1423" s="28" t="s">
        <v>8521</v>
      </c>
      <c r="N1423" s="28" t="s">
        <v>8364</v>
      </c>
      <c r="O1423" s="28" t="s">
        <v>8365</v>
      </c>
      <c r="P1423" s="28" t="s">
        <v>8522</v>
      </c>
    </row>
    <row r="1424" spans="1:16" x14ac:dyDescent="0.25">
      <c r="A1424" s="28" t="s">
        <v>8523</v>
      </c>
      <c r="B1424" s="28" t="s">
        <v>8524</v>
      </c>
      <c r="C1424" s="28" t="s">
        <v>8356</v>
      </c>
      <c r="D1424" s="28" t="s">
        <v>8525</v>
      </c>
      <c r="E1424" s="28" t="s">
        <v>8526</v>
      </c>
      <c r="F1424" s="28" t="s">
        <v>21</v>
      </c>
      <c r="G1424" s="28" t="s">
        <v>7084</v>
      </c>
      <c r="H1424" s="28" t="s">
        <v>8359</v>
      </c>
      <c r="I1424" s="28" t="s">
        <v>8527</v>
      </c>
      <c r="J1424" s="28" t="s">
        <v>7084</v>
      </c>
      <c r="K1424" s="28" t="s">
        <v>8377</v>
      </c>
      <c r="L1424" s="28" t="s">
        <v>8362</v>
      </c>
      <c r="M1424" s="28" t="s">
        <v>8528</v>
      </c>
      <c r="N1424" s="28" t="s">
        <v>8364</v>
      </c>
      <c r="O1424" s="28" t="s">
        <v>8365</v>
      </c>
      <c r="P1424" s="28" t="s">
        <v>8529</v>
      </c>
    </row>
    <row r="1425" spans="1:16" x14ac:dyDescent="0.25">
      <c r="A1425" s="28" t="s">
        <v>8530</v>
      </c>
      <c r="B1425" s="28" t="s">
        <v>8531</v>
      </c>
      <c r="C1425" s="28" t="s">
        <v>8356</v>
      </c>
      <c r="D1425" s="28" t="s">
        <v>8357</v>
      </c>
      <c r="E1425" s="28" t="s">
        <v>8532</v>
      </c>
      <c r="F1425" s="28" t="s">
        <v>21</v>
      </c>
      <c r="G1425" s="28" t="s">
        <v>7084</v>
      </c>
      <c r="H1425" s="28" t="s">
        <v>8359</v>
      </c>
      <c r="I1425" s="28" t="s">
        <v>8533</v>
      </c>
      <c r="J1425" s="28" t="s">
        <v>7084</v>
      </c>
      <c r="K1425" s="28" t="s">
        <v>8377</v>
      </c>
      <c r="L1425" s="28" t="s">
        <v>8362</v>
      </c>
      <c r="M1425" s="28" t="s">
        <v>8534</v>
      </c>
      <c r="N1425" s="28" t="s">
        <v>8364</v>
      </c>
      <c r="O1425" s="28" t="s">
        <v>8365</v>
      </c>
      <c r="P1425" s="28" t="s">
        <v>8535</v>
      </c>
    </row>
    <row r="1426" spans="1:16" x14ac:dyDescent="0.25">
      <c r="A1426" s="28" t="s">
        <v>8536</v>
      </c>
      <c r="B1426" s="28" t="s">
        <v>8537</v>
      </c>
      <c r="C1426" s="28" t="s">
        <v>8356</v>
      </c>
      <c r="D1426" s="28" t="s">
        <v>8357</v>
      </c>
      <c r="E1426" s="28" t="s">
        <v>8538</v>
      </c>
      <c r="F1426" s="28" t="s">
        <v>21</v>
      </c>
      <c r="G1426" s="28" t="s">
        <v>7084</v>
      </c>
      <c r="H1426" s="28" t="s">
        <v>8359</v>
      </c>
      <c r="I1426" s="28" t="s">
        <v>8539</v>
      </c>
      <c r="J1426" s="28" t="s">
        <v>7084</v>
      </c>
      <c r="K1426" s="28" t="s">
        <v>8377</v>
      </c>
      <c r="L1426" s="28" t="s">
        <v>8362</v>
      </c>
      <c r="M1426" s="28" t="s">
        <v>8540</v>
      </c>
      <c r="N1426" s="28" t="s">
        <v>8364</v>
      </c>
      <c r="O1426" s="28" t="s">
        <v>8365</v>
      </c>
      <c r="P1426" s="28" t="s">
        <v>8541</v>
      </c>
    </row>
    <row r="1427" spans="1:16" x14ac:dyDescent="0.25">
      <c r="A1427" s="28" t="s">
        <v>8542</v>
      </c>
      <c r="B1427" s="28" t="s">
        <v>8543</v>
      </c>
      <c r="C1427" s="28" t="s">
        <v>8356</v>
      </c>
      <c r="D1427" s="28" t="s">
        <v>8357</v>
      </c>
      <c r="E1427" s="28" t="s">
        <v>8544</v>
      </c>
      <c r="F1427" s="28" t="s">
        <v>21</v>
      </c>
      <c r="G1427" s="28" t="s">
        <v>7084</v>
      </c>
      <c r="H1427" s="28" t="s">
        <v>8359</v>
      </c>
      <c r="I1427" s="28" t="s">
        <v>8545</v>
      </c>
      <c r="J1427" s="28" t="s">
        <v>7084</v>
      </c>
      <c r="K1427" s="28" t="s">
        <v>8377</v>
      </c>
      <c r="L1427" s="28" t="s">
        <v>8362</v>
      </c>
      <c r="M1427" s="28" t="s">
        <v>8546</v>
      </c>
      <c r="N1427" s="28" t="s">
        <v>8364</v>
      </c>
      <c r="O1427" s="28" t="s">
        <v>8365</v>
      </c>
      <c r="P1427" s="28" t="s">
        <v>8547</v>
      </c>
    </row>
    <row r="1428" spans="1:16" x14ac:dyDescent="0.25">
      <c r="A1428" s="28" t="s">
        <v>8548</v>
      </c>
      <c r="B1428" s="28" t="s">
        <v>8549</v>
      </c>
      <c r="C1428" s="28" t="s">
        <v>8356</v>
      </c>
      <c r="D1428" s="28" t="s">
        <v>4682</v>
      </c>
      <c r="E1428" s="28" t="s">
        <v>8550</v>
      </c>
      <c r="F1428" s="28" t="s">
        <v>21</v>
      </c>
      <c r="G1428" s="28" t="s">
        <v>7084</v>
      </c>
      <c r="H1428" s="28" t="s">
        <v>8359</v>
      </c>
      <c r="I1428" s="28" t="s">
        <v>8551</v>
      </c>
      <c r="J1428" s="28" t="s">
        <v>7084</v>
      </c>
      <c r="K1428" s="28" t="s">
        <v>8377</v>
      </c>
      <c r="L1428" s="28" t="s">
        <v>8362</v>
      </c>
      <c r="M1428" s="28" t="s">
        <v>8552</v>
      </c>
      <c r="N1428" s="28" t="s">
        <v>8364</v>
      </c>
      <c r="O1428" s="28" t="s">
        <v>8365</v>
      </c>
      <c r="P1428" s="28" t="s">
        <v>8553</v>
      </c>
    </row>
    <row r="1429" spans="1:16" x14ac:dyDescent="0.25">
      <c r="A1429" s="28" t="s">
        <v>8554</v>
      </c>
      <c r="B1429" s="28" t="s">
        <v>8555</v>
      </c>
      <c r="C1429" s="28" t="s">
        <v>8356</v>
      </c>
      <c r="D1429" s="28" t="s">
        <v>8357</v>
      </c>
      <c r="E1429" s="28" t="s">
        <v>8556</v>
      </c>
      <c r="F1429" s="28" t="s">
        <v>21</v>
      </c>
      <c r="G1429" s="28" t="s">
        <v>7084</v>
      </c>
      <c r="H1429" s="28" t="s">
        <v>8359</v>
      </c>
      <c r="I1429" s="28" t="s">
        <v>8557</v>
      </c>
      <c r="J1429" s="28" t="s">
        <v>7084</v>
      </c>
      <c r="K1429" s="28" t="s">
        <v>8377</v>
      </c>
      <c r="L1429" s="28" t="s">
        <v>8362</v>
      </c>
      <c r="M1429" s="28" t="s">
        <v>8558</v>
      </c>
      <c r="N1429" s="28" t="s">
        <v>8364</v>
      </c>
      <c r="O1429" s="28" t="s">
        <v>8365</v>
      </c>
      <c r="P1429" s="28" t="s">
        <v>8559</v>
      </c>
    </row>
    <row r="1430" spans="1:16" x14ac:dyDescent="0.25">
      <c r="A1430" s="28" t="s">
        <v>8560</v>
      </c>
      <c r="B1430" s="28" t="s">
        <v>8561</v>
      </c>
      <c r="C1430" s="28" t="s">
        <v>8356</v>
      </c>
      <c r="D1430" s="28" t="s">
        <v>8525</v>
      </c>
      <c r="E1430" s="28" t="s">
        <v>8562</v>
      </c>
      <c r="F1430" s="28" t="s">
        <v>21</v>
      </c>
      <c r="G1430" s="28" t="s">
        <v>7084</v>
      </c>
      <c r="H1430" s="28" t="s">
        <v>8359</v>
      </c>
      <c r="I1430" s="28" t="s">
        <v>8563</v>
      </c>
      <c r="J1430" s="28" t="s">
        <v>7084</v>
      </c>
      <c r="K1430" s="28" t="s">
        <v>8377</v>
      </c>
      <c r="L1430" s="28" t="s">
        <v>8362</v>
      </c>
      <c r="M1430" s="28" t="s">
        <v>8564</v>
      </c>
      <c r="N1430" s="28" t="s">
        <v>8364</v>
      </c>
      <c r="O1430" s="28" t="s">
        <v>8365</v>
      </c>
      <c r="P1430" s="28" t="s">
        <v>8565</v>
      </c>
    </row>
    <row r="1431" spans="1:16" x14ac:dyDescent="0.25">
      <c r="A1431" s="28" t="s">
        <v>8566</v>
      </c>
      <c r="B1431" s="28" t="s">
        <v>8567</v>
      </c>
      <c r="C1431" s="28" t="s">
        <v>8356</v>
      </c>
      <c r="D1431" s="28" t="s">
        <v>4699</v>
      </c>
      <c r="E1431" s="28" t="s">
        <v>8568</v>
      </c>
      <c r="F1431" s="28" t="s">
        <v>21</v>
      </c>
      <c r="G1431" s="28" t="s">
        <v>7084</v>
      </c>
      <c r="H1431" s="28" t="s">
        <v>8359</v>
      </c>
      <c r="I1431" s="28" t="s">
        <v>8569</v>
      </c>
      <c r="J1431" s="28" t="s">
        <v>7084</v>
      </c>
      <c r="K1431" s="28" t="s">
        <v>8377</v>
      </c>
      <c r="L1431" s="28" t="s">
        <v>8362</v>
      </c>
      <c r="M1431" s="28" t="s">
        <v>8570</v>
      </c>
      <c r="N1431" s="28" t="s">
        <v>8364</v>
      </c>
      <c r="O1431" s="28" t="s">
        <v>8365</v>
      </c>
      <c r="P1431" s="28" t="s">
        <v>8571</v>
      </c>
    </row>
    <row r="1432" spans="1:16" x14ac:dyDescent="0.25">
      <c r="A1432" s="28" t="s">
        <v>8572</v>
      </c>
      <c r="B1432" s="28" t="s">
        <v>8573</v>
      </c>
      <c r="C1432" s="28" t="s">
        <v>8356</v>
      </c>
      <c r="D1432" s="28" t="s">
        <v>8382</v>
      </c>
      <c r="E1432" s="28" t="s">
        <v>8574</v>
      </c>
      <c r="F1432" s="28" t="s">
        <v>21</v>
      </c>
      <c r="G1432" s="28" t="s">
        <v>7084</v>
      </c>
      <c r="H1432" s="28" t="s">
        <v>8359</v>
      </c>
      <c r="I1432" s="28" t="s">
        <v>8575</v>
      </c>
      <c r="J1432" s="28" t="s">
        <v>7084</v>
      </c>
      <c r="K1432" s="28" t="s">
        <v>8377</v>
      </c>
      <c r="L1432" s="28" t="s">
        <v>8362</v>
      </c>
      <c r="M1432" s="28" t="s">
        <v>8576</v>
      </c>
      <c r="N1432" s="28" t="s">
        <v>8364</v>
      </c>
      <c r="O1432" s="28" t="s">
        <v>8365</v>
      </c>
      <c r="P1432" s="28" t="s">
        <v>8577</v>
      </c>
    </row>
    <row r="1433" spans="1:16" x14ac:dyDescent="0.25">
      <c r="A1433" s="28" t="s">
        <v>8578</v>
      </c>
      <c r="B1433" s="28" t="s">
        <v>8579</v>
      </c>
      <c r="C1433" s="28" t="s">
        <v>8356</v>
      </c>
      <c r="D1433" s="28" t="s">
        <v>8357</v>
      </c>
      <c r="E1433" s="28" t="s">
        <v>8580</v>
      </c>
      <c r="F1433" s="28" t="s">
        <v>21</v>
      </c>
      <c r="G1433" s="28" t="s">
        <v>7084</v>
      </c>
      <c r="H1433" s="28" t="s">
        <v>8359</v>
      </c>
      <c r="I1433" s="28" t="s">
        <v>8581</v>
      </c>
      <c r="J1433" s="28" t="s">
        <v>7084</v>
      </c>
      <c r="K1433" s="28" t="s">
        <v>8377</v>
      </c>
      <c r="L1433" s="28" t="s">
        <v>8362</v>
      </c>
      <c r="M1433" s="28" t="s">
        <v>8582</v>
      </c>
      <c r="N1433" s="28" t="s">
        <v>8364</v>
      </c>
      <c r="O1433" s="28" t="s">
        <v>8365</v>
      </c>
      <c r="P1433" s="28" t="s">
        <v>8583</v>
      </c>
    </row>
    <row r="1434" spans="1:16" x14ac:dyDescent="0.25">
      <c r="A1434" s="28" t="s">
        <v>8584</v>
      </c>
      <c r="B1434" s="28" t="s">
        <v>8585</v>
      </c>
      <c r="C1434" s="28" t="s">
        <v>8356</v>
      </c>
      <c r="D1434" s="28" t="s">
        <v>1792</v>
      </c>
      <c r="E1434" s="28" t="s">
        <v>8586</v>
      </c>
      <c r="F1434" s="28" t="s">
        <v>21</v>
      </c>
      <c r="G1434" s="28" t="s">
        <v>7084</v>
      </c>
      <c r="H1434" s="28" t="s">
        <v>8359</v>
      </c>
      <c r="I1434" s="28" t="s">
        <v>8587</v>
      </c>
      <c r="J1434" s="28" t="s">
        <v>7084</v>
      </c>
      <c r="K1434" s="28" t="s">
        <v>8377</v>
      </c>
      <c r="L1434" s="28" t="s">
        <v>8362</v>
      </c>
      <c r="M1434" s="28" t="s">
        <v>8588</v>
      </c>
      <c r="N1434" s="28" t="s">
        <v>8364</v>
      </c>
      <c r="O1434" s="28" t="s">
        <v>8365</v>
      </c>
      <c r="P1434" s="28" t="s">
        <v>8589</v>
      </c>
    </row>
    <row r="1435" spans="1:16" x14ac:dyDescent="0.25">
      <c r="A1435" s="28" t="s">
        <v>8590</v>
      </c>
      <c r="B1435" s="28" t="s">
        <v>8591</v>
      </c>
      <c r="C1435" s="28" t="s">
        <v>8356</v>
      </c>
      <c r="D1435" s="28" t="s">
        <v>8397</v>
      </c>
      <c r="E1435" s="28" t="s">
        <v>8592</v>
      </c>
      <c r="F1435" s="28" t="s">
        <v>21</v>
      </c>
      <c r="G1435" s="28" t="s">
        <v>7084</v>
      </c>
      <c r="H1435" s="28" t="s">
        <v>8359</v>
      </c>
      <c r="I1435" s="28" t="s">
        <v>8593</v>
      </c>
      <c r="J1435" s="28" t="s">
        <v>7084</v>
      </c>
      <c r="K1435" s="28" t="s">
        <v>8377</v>
      </c>
      <c r="L1435" s="28" t="s">
        <v>8362</v>
      </c>
      <c r="M1435" s="28" t="s">
        <v>8594</v>
      </c>
      <c r="N1435" s="28" t="s">
        <v>8364</v>
      </c>
      <c r="O1435" s="28" t="s">
        <v>8365</v>
      </c>
      <c r="P1435" s="28" t="s">
        <v>8595</v>
      </c>
    </row>
    <row r="1436" spans="1:16" x14ac:dyDescent="0.25">
      <c r="A1436" s="28" t="s">
        <v>8596</v>
      </c>
      <c r="B1436" s="28" t="s">
        <v>8597</v>
      </c>
      <c r="C1436" s="28" t="s">
        <v>8356</v>
      </c>
      <c r="D1436" s="28" t="s">
        <v>8357</v>
      </c>
      <c r="E1436" s="28" t="s">
        <v>8598</v>
      </c>
      <c r="F1436" s="28" t="s">
        <v>21</v>
      </c>
      <c r="G1436" s="28" t="s">
        <v>7084</v>
      </c>
      <c r="H1436" s="28" t="s">
        <v>8359</v>
      </c>
      <c r="I1436" s="28" t="s">
        <v>8599</v>
      </c>
      <c r="J1436" s="28" t="s">
        <v>7084</v>
      </c>
      <c r="K1436" s="28" t="s">
        <v>8377</v>
      </c>
      <c r="L1436" s="28" t="s">
        <v>8362</v>
      </c>
      <c r="M1436" s="28" t="s">
        <v>8600</v>
      </c>
      <c r="N1436" s="28" t="s">
        <v>8364</v>
      </c>
      <c r="O1436" s="28" t="s">
        <v>8365</v>
      </c>
      <c r="P1436" s="28" t="s">
        <v>8601</v>
      </c>
    </row>
    <row r="1437" spans="1:16" x14ac:dyDescent="0.25">
      <c r="A1437" s="28" t="s">
        <v>8602</v>
      </c>
      <c r="B1437" s="28" t="s">
        <v>8603</v>
      </c>
      <c r="C1437" s="28" t="s">
        <v>8356</v>
      </c>
      <c r="D1437" s="28" t="s">
        <v>8397</v>
      </c>
      <c r="E1437" s="28" t="s">
        <v>8604</v>
      </c>
      <c r="F1437" s="28" t="s">
        <v>21</v>
      </c>
      <c r="G1437" s="28" t="s">
        <v>7084</v>
      </c>
      <c r="H1437" s="28" t="s">
        <v>8359</v>
      </c>
      <c r="I1437" s="28" t="s">
        <v>8605</v>
      </c>
      <c r="J1437" s="28" t="s">
        <v>7084</v>
      </c>
      <c r="K1437" s="28" t="s">
        <v>8377</v>
      </c>
      <c r="L1437" s="28" t="s">
        <v>8362</v>
      </c>
      <c r="M1437" s="28" t="s">
        <v>8606</v>
      </c>
      <c r="N1437" s="28" t="s">
        <v>8364</v>
      </c>
      <c r="O1437" s="28" t="s">
        <v>8365</v>
      </c>
      <c r="P1437" s="28" t="s">
        <v>8607</v>
      </c>
    </row>
    <row r="1438" spans="1:16" x14ac:dyDescent="0.25">
      <c r="A1438" s="28" t="s">
        <v>8608</v>
      </c>
      <c r="B1438" s="28" t="s">
        <v>8609</v>
      </c>
      <c r="C1438" s="28" t="s">
        <v>8356</v>
      </c>
      <c r="D1438" s="28" t="s">
        <v>8357</v>
      </c>
      <c r="E1438" s="28" t="s">
        <v>8610</v>
      </c>
      <c r="F1438" s="28" t="s">
        <v>21</v>
      </c>
      <c r="G1438" s="28" t="s">
        <v>7084</v>
      </c>
      <c r="H1438" s="28" t="s">
        <v>8359</v>
      </c>
      <c r="I1438" s="28" t="s">
        <v>8611</v>
      </c>
      <c r="J1438" s="28" t="s">
        <v>7084</v>
      </c>
      <c r="K1438" s="28" t="s">
        <v>8377</v>
      </c>
      <c r="L1438" s="28" t="s">
        <v>8362</v>
      </c>
      <c r="M1438" s="28" t="s">
        <v>8612</v>
      </c>
      <c r="N1438" s="28" t="s">
        <v>8364</v>
      </c>
      <c r="O1438" s="28" t="s">
        <v>8365</v>
      </c>
      <c r="P1438" s="28" t="s">
        <v>8613</v>
      </c>
    </row>
    <row r="1439" spans="1:16" x14ac:dyDescent="0.25">
      <c r="A1439" s="28" t="s">
        <v>8614</v>
      </c>
      <c r="B1439" s="28" t="s">
        <v>8615</v>
      </c>
      <c r="C1439" s="28" t="s">
        <v>8356</v>
      </c>
      <c r="D1439" s="28" t="s">
        <v>8616</v>
      </c>
      <c r="E1439" s="28" t="s">
        <v>8617</v>
      </c>
      <c r="F1439" s="28" t="s">
        <v>21</v>
      </c>
      <c r="G1439" s="28" t="s">
        <v>7084</v>
      </c>
      <c r="H1439" s="28" t="s">
        <v>8359</v>
      </c>
      <c r="I1439" s="28" t="s">
        <v>8618</v>
      </c>
      <c r="J1439" s="28" t="s">
        <v>7084</v>
      </c>
      <c r="K1439" s="28" t="s">
        <v>8377</v>
      </c>
      <c r="L1439" s="28" t="s">
        <v>8362</v>
      </c>
      <c r="M1439" s="28" t="s">
        <v>8619</v>
      </c>
      <c r="N1439" s="28" t="s">
        <v>8364</v>
      </c>
      <c r="O1439" s="28" t="s">
        <v>8365</v>
      </c>
      <c r="P1439" s="28" t="s">
        <v>8620</v>
      </c>
    </row>
    <row r="1440" spans="1:16" x14ac:dyDescent="0.25">
      <c r="A1440" s="28" t="s">
        <v>8621</v>
      </c>
      <c r="B1440" s="28" t="s">
        <v>8622</v>
      </c>
      <c r="C1440" s="28" t="s">
        <v>8356</v>
      </c>
      <c r="D1440" s="28" t="s">
        <v>5990</v>
      </c>
      <c r="E1440" s="28" t="s">
        <v>8617</v>
      </c>
      <c r="F1440" s="28" t="s">
        <v>21</v>
      </c>
      <c r="G1440" s="28" t="s">
        <v>7084</v>
      </c>
      <c r="H1440" s="28" t="s">
        <v>8359</v>
      </c>
      <c r="I1440" s="28" t="s">
        <v>8623</v>
      </c>
      <c r="J1440" s="28" t="s">
        <v>7084</v>
      </c>
      <c r="K1440" s="28" t="s">
        <v>8377</v>
      </c>
      <c r="L1440" s="28" t="s">
        <v>8362</v>
      </c>
      <c r="M1440" s="28" t="s">
        <v>8619</v>
      </c>
      <c r="N1440" s="28" t="s">
        <v>8364</v>
      </c>
      <c r="O1440" s="28" t="s">
        <v>8365</v>
      </c>
      <c r="P1440" s="28" t="s">
        <v>8624</v>
      </c>
    </row>
    <row r="1441" spans="1:16" x14ac:dyDescent="0.25">
      <c r="A1441" s="28" t="s">
        <v>8625</v>
      </c>
      <c r="B1441" s="28" t="s">
        <v>8626</v>
      </c>
      <c r="C1441" s="28" t="s">
        <v>8356</v>
      </c>
      <c r="D1441" s="28" t="s">
        <v>8357</v>
      </c>
      <c r="E1441" s="28" t="s">
        <v>8627</v>
      </c>
      <c r="F1441" s="28" t="s">
        <v>21</v>
      </c>
      <c r="G1441" s="28" t="s">
        <v>39</v>
      </c>
      <c r="H1441" s="28" t="s">
        <v>8359</v>
      </c>
      <c r="I1441" s="28" t="s">
        <v>8628</v>
      </c>
      <c r="J1441" s="28" t="s">
        <v>39</v>
      </c>
      <c r="K1441" s="28" t="s">
        <v>8361</v>
      </c>
      <c r="L1441" s="28" t="s">
        <v>8362</v>
      </c>
      <c r="M1441" s="28" t="s">
        <v>8443</v>
      </c>
      <c r="N1441" s="28" t="s">
        <v>8364</v>
      </c>
      <c r="O1441" s="28" t="s">
        <v>8365</v>
      </c>
      <c r="P1441" s="28" t="s">
        <v>8629</v>
      </c>
    </row>
    <row r="1442" spans="1:16" x14ac:dyDescent="0.25">
      <c r="A1442" s="28" t="s">
        <v>8630</v>
      </c>
      <c r="B1442" s="28" t="s">
        <v>8631</v>
      </c>
      <c r="C1442" s="28" t="s">
        <v>8356</v>
      </c>
      <c r="D1442" s="28" t="s">
        <v>62</v>
      </c>
      <c r="E1442" s="28" t="s">
        <v>8632</v>
      </c>
      <c r="F1442" s="28" t="s">
        <v>21</v>
      </c>
      <c r="G1442" s="28" t="s">
        <v>7084</v>
      </c>
      <c r="H1442" s="28" t="s">
        <v>8359</v>
      </c>
      <c r="I1442" s="28" t="s">
        <v>8633</v>
      </c>
      <c r="J1442" s="28" t="s">
        <v>7084</v>
      </c>
      <c r="K1442" s="28" t="s">
        <v>8377</v>
      </c>
      <c r="L1442" s="28" t="s">
        <v>8362</v>
      </c>
      <c r="M1442" s="28" t="s">
        <v>8634</v>
      </c>
      <c r="N1442" s="28" t="s">
        <v>8364</v>
      </c>
      <c r="O1442" s="28" t="s">
        <v>8365</v>
      </c>
      <c r="P1442" s="28" t="s">
        <v>8635</v>
      </c>
    </row>
    <row r="1443" spans="1:16" hidden="1" x14ac:dyDescent="0.25">
      <c r="A1443" s="28" t="s">
        <v>8636</v>
      </c>
      <c r="B1443" s="28" t="s">
        <v>8637</v>
      </c>
      <c r="C1443" s="28" t="s">
        <v>8356</v>
      </c>
      <c r="D1443" s="28" t="s">
        <v>5956</v>
      </c>
      <c r="E1443" s="28" t="s">
        <v>8638</v>
      </c>
      <c r="F1443" s="28" t="s">
        <v>21</v>
      </c>
      <c r="G1443" s="28" t="s">
        <v>22</v>
      </c>
      <c r="H1443" s="28" t="s">
        <v>8384</v>
      </c>
      <c r="I1443" s="28" t="s">
        <v>8639</v>
      </c>
      <c r="J1443" s="28" t="s">
        <v>8386</v>
      </c>
      <c r="K1443" s="28" t="s">
        <v>8387</v>
      </c>
      <c r="L1443" s="28" t="s">
        <v>8388</v>
      </c>
      <c r="M1443" s="28" t="s">
        <v>8640</v>
      </c>
      <c r="N1443" s="28" t="s">
        <v>8390</v>
      </c>
      <c r="O1443" s="28" t="s">
        <v>8391</v>
      </c>
    </row>
    <row r="1444" spans="1:16" hidden="1" x14ac:dyDescent="0.25">
      <c r="A1444" s="28" t="s">
        <v>8641</v>
      </c>
      <c r="B1444" s="28" t="s">
        <v>8642</v>
      </c>
      <c r="C1444" s="28" t="s">
        <v>8356</v>
      </c>
      <c r="D1444" s="28" t="s">
        <v>8616</v>
      </c>
      <c r="E1444" s="28" t="s">
        <v>8638</v>
      </c>
      <c r="F1444" s="28" t="s">
        <v>21</v>
      </c>
      <c r="G1444" s="28" t="s">
        <v>22</v>
      </c>
      <c r="H1444" s="28" t="s">
        <v>8384</v>
      </c>
      <c r="I1444" s="28" t="s">
        <v>8643</v>
      </c>
      <c r="J1444" s="28" t="s">
        <v>8386</v>
      </c>
      <c r="K1444" s="28" t="s">
        <v>8387</v>
      </c>
      <c r="L1444" s="28" t="s">
        <v>8388</v>
      </c>
      <c r="M1444" s="28" t="s">
        <v>8640</v>
      </c>
      <c r="N1444" s="28" t="s">
        <v>8390</v>
      </c>
      <c r="O1444" s="28" t="s">
        <v>8391</v>
      </c>
    </row>
    <row r="1445" spans="1:16" x14ac:dyDescent="0.25">
      <c r="A1445" s="28" t="s">
        <v>8644</v>
      </c>
      <c r="B1445" s="28" t="s">
        <v>8645</v>
      </c>
      <c r="C1445" s="28" t="s">
        <v>8356</v>
      </c>
      <c r="D1445" s="28" t="s">
        <v>8357</v>
      </c>
      <c r="E1445" s="28" t="s">
        <v>8646</v>
      </c>
      <c r="F1445" s="28" t="s">
        <v>21</v>
      </c>
      <c r="G1445" s="28" t="s">
        <v>7084</v>
      </c>
      <c r="H1445" s="28" t="s">
        <v>8359</v>
      </c>
      <c r="I1445" s="28" t="s">
        <v>8647</v>
      </c>
      <c r="J1445" s="28" t="s">
        <v>7084</v>
      </c>
      <c r="K1445" s="28" t="s">
        <v>8377</v>
      </c>
      <c r="L1445" s="28" t="s">
        <v>8362</v>
      </c>
      <c r="M1445" s="28" t="s">
        <v>8648</v>
      </c>
      <c r="N1445" s="28" t="s">
        <v>8364</v>
      </c>
      <c r="O1445" s="28" t="s">
        <v>8365</v>
      </c>
      <c r="P1445" s="28" t="s">
        <v>8649</v>
      </c>
    </row>
    <row r="1446" spans="1:16" x14ac:dyDescent="0.25">
      <c r="A1446" s="28" t="s">
        <v>8650</v>
      </c>
      <c r="B1446" s="28" t="s">
        <v>8651</v>
      </c>
      <c r="C1446" s="28" t="s">
        <v>8356</v>
      </c>
      <c r="D1446" s="28" t="s">
        <v>8357</v>
      </c>
      <c r="E1446" s="28" t="s">
        <v>8652</v>
      </c>
      <c r="F1446" s="28" t="s">
        <v>21</v>
      </c>
      <c r="G1446" s="28" t="s">
        <v>7084</v>
      </c>
      <c r="H1446" s="28" t="s">
        <v>8359</v>
      </c>
      <c r="I1446" s="28" t="s">
        <v>8653</v>
      </c>
      <c r="J1446" s="28" t="s">
        <v>7084</v>
      </c>
      <c r="K1446" s="28" t="s">
        <v>8377</v>
      </c>
      <c r="L1446" s="28" t="s">
        <v>8362</v>
      </c>
      <c r="M1446" s="28" t="s">
        <v>8654</v>
      </c>
      <c r="N1446" s="28" t="s">
        <v>8364</v>
      </c>
      <c r="O1446" s="28" t="s">
        <v>8365</v>
      </c>
      <c r="P1446" s="28" t="s">
        <v>8655</v>
      </c>
    </row>
    <row r="1447" spans="1:16" x14ac:dyDescent="0.25">
      <c r="A1447" s="28" t="s">
        <v>8656</v>
      </c>
      <c r="B1447" s="28" t="s">
        <v>8657</v>
      </c>
      <c r="C1447" s="28" t="s">
        <v>8356</v>
      </c>
      <c r="D1447" s="28" t="s">
        <v>7132</v>
      </c>
      <c r="E1447" s="28" t="s">
        <v>8658</v>
      </c>
      <c r="F1447" s="28" t="s">
        <v>21</v>
      </c>
      <c r="G1447" s="28" t="s">
        <v>7084</v>
      </c>
      <c r="H1447" s="28" t="s">
        <v>8359</v>
      </c>
      <c r="I1447" s="28" t="s">
        <v>8659</v>
      </c>
      <c r="J1447" s="28" t="s">
        <v>7084</v>
      </c>
      <c r="K1447" s="28" t="s">
        <v>8377</v>
      </c>
      <c r="L1447" s="28" t="s">
        <v>8362</v>
      </c>
      <c r="M1447" s="28" t="s">
        <v>8660</v>
      </c>
      <c r="N1447" s="28" t="s">
        <v>8364</v>
      </c>
      <c r="O1447" s="28" t="s">
        <v>8365</v>
      </c>
      <c r="P1447" s="28" t="s">
        <v>8661</v>
      </c>
    </row>
    <row r="1448" spans="1:16" x14ac:dyDescent="0.25">
      <c r="A1448" s="28" t="s">
        <v>8662</v>
      </c>
      <c r="B1448" s="28" t="s">
        <v>8663</v>
      </c>
      <c r="C1448" s="28" t="s">
        <v>8356</v>
      </c>
      <c r="D1448" s="28" t="s">
        <v>4699</v>
      </c>
      <c r="E1448" s="28" t="s">
        <v>8664</v>
      </c>
      <c r="F1448" s="28" t="s">
        <v>21</v>
      </c>
      <c r="G1448" s="28" t="s">
        <v>7084</v>
      </c>
      <c r="H1448" s="28" t="s">
        <v>8359</v>
      </c>
      <c r="I1448" s="28" t="s">
        <v>8665</v>
      </c>
      <c r="J1448" s="28" t="s">
        <v>7084</v>
      </c>
      <c r="K1448" s="28" t="s">
        <v>8377</v>
      </c>
      <c r="L1448" s="28" t="s">
        <v>8362</v>
      </c>
      <c r="M1448" s="28" t="s">
        <v>8666</v>
      </c>
      <c r="N1448" s="28" t="s">
        <v>8364</v>
      </c>
      <c r="O1448" s="28" t="s">
        <v>8365</v>
      </c>
      <c r="P1448" s="28" t="s">
        <v>8667</v>
      </c>
    </row>
    <row r="1449" spans="1:16" x14ac:dyDescent="0.25">
      <c r="A1449" s="28" t="s">
        <v>8668</v>
      </c>
      <c r="B1449" s="28" t="s">
        <v>8669</v>
      </c>
      <c r="C1449" s="28" t="s">
        <v>8356</v>
      </c>
      <c r="D1449" s="28" t="s">
        <v>8616</v>
      </c>
      <c r="E1449" s="28" t="s">
        <v>8664</v>
      </c>
      <c r="F1449" s="28" t="s">
        <v>21</v>
      </c>
      <c r="G1449" s="28" t="s">
        <v>7084</v>
      </c>
      <c r="H1449" s="28" t="s">
        <v>8359</v>
      </c>
      <c r="I1449" s="28" t="s">
        <v>8670</v>
      </c>
      <c r="J1449" s="28" t="s">
        <v>7084</v>
      </c>
      <c r="K1449" s="28" t="s">
        <v>8377</v>
      </c>
      <c r="L1449" s="28" t="s">
        <v>8362</v>
      </c>
      <c r="M1449" s="28" t="s">
        <v>8666</v>
      </c>
      <c r="N1449" s="28" t="s">
        <v>8364</v>
      </c>
      <c r="O1449" s="28" t="s">
        <v>8365</v>
      </c>
      <c r="P1449" s="28" t="s">
        <v>8671</v>
      </c>
    </row>
    <row r="1450" spans="1:16" x14ac:dyDescent="0.25">
      <c r="A1450" s="28" t="s">
        <v>8672</v>
      </c>
      <c r="B1450" s="28" t="s">
        <v>8673</v>
      </c>
      <c r="C1450" s="28" t="s">
        <v>8356</v>
      </c>
      <c r="D1450" s="28" t="s">
        <v>8357</v>
      </c>
      <c r="E1450" s="28" t="s">
        <v>8674</v>
      </c>
      <c r="F1450" s="28" t="s">
        <v>21</v>
      </c>
      <c r="G1450" s="28" t="s">
        <v>7084</v>
      </c>
      <c r="H1450" s="28" t="s">
        <v>8359</v>
      </c>
      <c r="I1450" s="28" t="s">
        <v>8675</v>
      </c>
      <c r="J1450" s="28" t="s">
        <v>7084</v>
      </c>
      <c r="K1450" s="28" t="s">
        <v>8377</v>
      </c>
      <c r="L1450" s="28" t="s">
        <v>8362</v>
      </c>
      <c r="M1450" s="28" t="s">
        <v>8676</v>
      </c>
      <c r="N1450" s="28" t="s">
        <v>8364</v>
      </c>
      <c r="O1450" s="28" t="s">
        <v>8365</v>
      </c>
      <c r="P1450" s="28" t="s">
        <v>8677</v>
      </c>
    </row>
    <row r="1451" spans="1:16" x14ac:dyDescent="0.25">
      <c r="A1451" s="28" t="s">
        <v>8678</v>
      </c>
      <c r="B1451" s="28" t="s">
        <v>8679</v>
      </c>
      <c r="C1451" s="28" t="s">
        <v>8356</v>
      </c>
      <c r="D1451" s="28" t="s">
        <v>8357</v>
      </c>
      <c r="E1451" s="28" t="s">
        <v>8680</v>
      </c>
      <c r="F1451" s="28" t="s">
        <v>21</v>
      </c>
      <c r="G1451" s="28" t="s">
        <v>7084</v>
      </c>
      <c r="H1451" s="28" t="s">
        <v>8359</v>
      </c>
      <c r="I1451" s="28" t="s">
        <v>8681</v>
      </c>
      <c r="J1451" s="28" t="s">
        <v>7084</v>
      </c>
      <c r="K1451" s="28" t="s">
        <v>8377</v>
      </c>
      <c r="L1451" s="28" t="s">
        <v>8362</v>
      </c>
      <c r="M1451" s="28" t="s">
        <v>8682</v>
      </c>
      <c r="N1451" s="28" t="s">
        <v>8364</v>
      </c>
      <c r="O1451" s="28" t="s">
        <v>8365</v>
      </c>
      <c r="P1451" s="28" t="s">
        <v>8683</v>
      </c>
    </row>
    <row r="1452" spans="1:16" x14ac:dyDescent="0.25">
      <c r="A1452" s="28" t="s">
        <v>8684</v>
      </c>
      <c r="B1452" s="28" t="s">
        <v>8685</v>
      </c>
      <c r="C1452" s="28" t="s">
        <v>8356</v>
      </c>
      <c r="D1452" s="28" t="s">
        <v>8616</v>
      </c>
      <c r="E1452" s="28" t="s">
        <v>8686</v>
      </c>
      <c r="F1452" s="28" t="s">
        <v>21</v>
      </c>
      <c r="G1452" s="28" t="s">
        <v>7084</v>
      </c>
      <c r="H1452" s="28" t="s">
        <v>8359</v>
      </c>
      <c r="I1452" s="28" t="s">
        <v>8687</v>
      </c>
      <c r="J1452" s="28" t="s">
        <v>7084</v>
      </c>
      <c r="K1452" s="28" t="s">
        <v>8377</v>
      </c>
      <c r="L1452" s="28" t="s">
        <v>8362</v>
      </c>
      <c r="M1452" s="28" t="s">
        <v>8688</v>
      </c>
      <c r="N1452" s="28" t="s">
        <v>8364</v>
      </c>
      <c r="O1452" s="28" t="s">
        <v>8365</v>
      </c>
      <c r="P1452" s="28" t="s">
        <v>8689</v>
      </c>
    </row>
    <row r="1453" spans="1:16" x14ac:dyDescent="0.25">
      <c r="A1453" s="28" t="s">
        <v>8690</v>
      </c>
      <c r="B1453" s="28" t="s">
        <v>8691</v>
      </c>
      <c r="C1453" s="28" t="s">
        <v>8356</v>
      </c>
      <c r="D1453" s="28" t="s">
        <v>8357</v>
      </c>
      <c r="E1453" s="28" t="s">
        <v>8692</v>
      </c>
      <c r="F1453" s="28" t="s">
        <v>21</v>
      </c>
      <c r="G1453" s="28" t="s">
        <v>7084</v>
      </c>
      <c r="H1453" s="28" t="s">
        <v>8359</v>
      </c>
      <c r="I1453" s="28" t="s">
        <v>8693</v>
      </c>
      <c r="J1453" s="28" t="s">
        <v>7084</v>
      </c>
      <c r="K1453" s="28" t="s">
        <v>8377</v>
      </c>
      <c r="L1453" s="28" t="s">
        <v>8362</v>
      </c>
      <c r="M1453" s="28" t="s">
        <v>8694</v>
      </c>
      <c r="N1453" s="28" t="s">
        <v>8364</v>
      </c>
      <c r="O1453" s="28" t="s">
        <v>8365</v>
      </c>
      <c r="P1453" s="28" t="s">
        <v>8695</v>
      </c>
    </row>
    <row r="1454" spans="1:16" x14ac:dyDescent="0.25">
      <c r="A1454" s="28" t="s">
        <v>8696</v>
      </c>
      <c r="B1454" s="28" t="s">
        <v>8697</v>
      </c>
      <c r="C1454" s="28" t="s">
        <v>8356</v>
      </c>
      <c r="D1454" s="28" t="s">
        <v>8397</v>
      </c>
      <c r="E1454" s="28" t="s">
        <v>8698</v>
      </c>
      <c r="F1454" s="28" t="s">
        <v>21</v>
      </c>
      <c r="G1454" s="28" t="s">
        <v>7084</v>
      </c>
      <c r="H1454" s="28" t="s">
        <v>8359</v>
      </c>
      <c r="I1454" s="28" t="s">
        <v>8699</v>
      </c>
      <c r="J1454" s="28" t="s">
        <v>7084</v>
      </c>
      <c r="K1454" s="28" t="s">
        <v>8377</v>
      </c>
      <c r="L1454" s="28" t="s">
        <v>8362</v>
      </c>
      <c r="M1454" s="28" t="s">
        <v>8700</v>
      </c>
      <c r="N1454" s="28" t="s">
        <v>8364</v>
      </c>
      <c r="O1454" s="28" t="s">
        <v>8365</v>
      </c>
      <c r="P1454" s="28" t="s">
        <v>8701</v>
      </c>
    </row>
    <row r="1455" spans="1:16" x14ac:dyDescent="0.25">
      <c r="A1455" s="28" t="s">
        <v>8702</v>
      </c>
      <c r="B1455" s="28" t="s">
        <v>8703</v>
      </c>
      <c r="C1455" s="28" t="s">
        <v>8356</v>
      </c>
      <c r="D1455" s="28" t="s">
        <v>5990</v>
      </c>
      <c r="E1455" s="28" t="s">
        <v>8704</v>
      </c>
      <c r="F1455" s="28" t="s">
        <v>21</v>
      </c>
      <c r="G1455" s="28" t="s">
        <v>7084</v>
      </c>
      <c r="H1455" s="28" t="s">
        <v>8359</v>
      </c>
      <c r="I1455" s="28" t="s">
        <v>8705</v>
      </c>
      <c r="J1455" s="28" t="s">
        <v>7084</v>
      </c>
      <c r="K1455" s="28" t="s">
        <v>8377</v>
      </c>
      <c r="L1455" s="28" t="s">
        <v>8362</v>
      </c>
      <c r="M1455" s="28" t="s">
        <v>8706</v>
      </c>
      <c r="N1455" s="28" t="s">
        <v>8364</v>
      </c>
      <c r="O1455" s="28" t="s">
        <v>8365</v>
      </c>
      <c r="P1455" s="28" t="s">
        <v>8707</v>
      </c>
    </row>
    <row r="1456" spans="1:16" x14ac:dyDescent="0.25">
      <c r="A1456" s="28" t="s">
        <v>8708</v>
      </c>
      <c r="B1456" s="28" t="s">
        <v>8709</v>
      </c>
      <c r="C1456" s="28" t="s">
        <v>8356</v>
      </c>
      <c r="D1456" s="28" t="s">
        <v>62</v>
      </c>
      <c r="E1456" s="28" t="s">
        <v>8710</v>
      </c>
      <c r="F1456" s="28" t="s">
        <v>21</v>
      </c>
      <c r="G1456" s="28" t="s">
        <v>7084</v>
      </c>
      <c r="H1456" s="28" t="s">
        <v>8359</v>
      </c>
      <c r="I1456" s="28" t="s">
        <v>8711</v>
      </c>
      <c r="J1456" s="28" t="s">
        <v>7084</v>
      </c>
      <c r="K1456" s="28" t="s">
        <v>8377</v>
      </c>
      <c r="L1456" s="28" t="s">
        <v>8362</v>
      </c>
      <c r="M1456" s="28" t="s">
        <v>8712</v>
      </c>
      <c r="N1456" s="28" t="s">
        <v>8364</v>
      </c>
      <c r="O1456" s="28" t="s">
        <v>8365</v>
      </c>
      <c r="P1456" s="28" t="s">
        <v>8713</v>
      </c>
    </row>
    <row r="1457" spans="1:16" x14ac:dyDescent="0.25">
      <c r="A1457" s="28" t="s">
        <v>8714</v>
      </c>
      <c r="B1457" s="28" t="s">
        <v>8715</v>
      </c>
      <c r="C1457" s="28" t="s">
        <v>8356</v>
      </c>
      <c r="D1457" s="28" t="s">
        <v>120</v>
      </c>
      <c r="E1457" s="28" t="s">
        <v>8710</v>
      </c>
      <c r="F1457" s="28" t="s">
        <v>21</v>
      </c>
      <c r="G1457" s="28" t="s">
        <v>7084</v>
      </c>
      <c r="H1457" s="28" t="s">
        <v>8359</v>
      </c>
      <c r="I1457" s="28" t="s">
        <v>8716</v>
      </c>
      <c r="J1457" s="28" t="s">
        <v>7084</v>
      </c>
      <c r="K1457" s="28" t="s">
        <v>8377</v>
      </c>
      <c r="L1457" s="28" t="s">
        <v>8362</v>
      </c>
      <c r="M1457" s="28" t="s">
        <v>8712</v>
      </c>
      <c r="N1457" s="28" t="s">
        <v>8364</v>
      </c>
      <c r="O1457" s="28" t="s">
        <v>8365</v>
      </c>
      <c r="P1457" s="28" t="s">
        <v>8717</v>
      </c>
    </row>
    <row r="1458" spans="1:16" hidden="1" x14ac:dyDescent="0.25">
      <c r="A1458" s="28" t="s">
        <v>8718</v>
      </c>
      <c r="B1458" s="28" t="s">
        <v>8719</v>
      </c>
      <c r="C1458" s="28" t="s">
        <v>8356</v>
      </c>
      <c r="D1458" s="28" t="s">
        <v>8357</v>
      </c>
      <c r="E1458" s="28" t="s">
        <v>8720</v>
      </c>
      <c r="F1458" s="28" t="s">
        <v>21</v>
      </c>
      <c r="G1458" s="28" t="s">
        <v>22</v>
      </c>
      <c r="H1458" s="28" t="s">
        <v>8384</v>
      </c>
      <c r="I1458" s="28" t="s">
        <v>8721</v>
      </c>
      <c r="J1458" s="28" t="s">
        <v>8386</v>
      </c>
      <c r="K1458" s="28" t="s">
        <v>8387</v>
      </c>
      <c r="L1458" s="28" t="s">
        <v>8388</v>
      </c>
      <c r="M1458" s="28" t="s">
        <v>8722</v>
      </c>
      <c r="N1458" s="28" t="s">
        <v>8390</v>
      </c>
      <c r="O1458" s="28" t="s">
        <v>8391</v>
      </c>
    </row>
    <row r="1459" spans="1:16" x14ac:dyDescent="0.25">
      <c r="A1459" s="28" t="s">
        <v>8723</v>
      </c>
      <c r="B1459" s="28" t="s">
        <v>8724</v>
      </c>
      <c r="C1459" s="28" t="s">
        <v>8356</v>
      </c>
      <c r="D1459" s="28" t="s">
        <v>6454</v>
      </c>
      <c r="E1459" s="28" t="s">
        <v>8725</v>
      </c>
      <c r="F1459" s="28" t="s">
        <v>21</v>
      </c>
      <c r="G1459" s="28" t="s">
        <v>7084</v>
      </c>
      <c r="H1459" s="28" t="s">
        <v>8359</v>
      </c>
      <c r="I1459" s="28" t="s">
        <v>8726</v>
      </c>
      <c r="J1459" s="28" t="s">
        <v>7084</v>
      </c>
      <c r="K1459" s="28" t="s">
        <v>8377</v>
      </c>
      <c r="L1459" s="28" t="s">
        <v>8362</v>
      </c>
      <c r="M1459" s="28" t="s">
        <v>8727</v>
      </c>
      <c r="N1459" s="28" t="s">
        <v>8364</v>
      </c>
      <c r="O1459" s="28" t="s">
        <v>8365</v>
      </c>
      <c r="P1459" s="28" t="s">
        <v>8728</v>
      </c>
    </row>
    <row r="1460" spans="1:16" x14ac:dyDescent="0.25">
      <c r="A1460" s="28" t="s">
        <v>8729</v>
      </c>
      <c r="B1460" s="28" t="s">
        <v>8730</v>
      </c>
      <c r="C1460" s="28" t="s">
        <v>8356</v>
      </c>
      <c r="D1460" s="28" t="s">
        <v>8397</v>
      </c>
      <c r="E1460" s="28" t="s">
        <v>8731</v>
      </c>
      <c r="F1460" s="28" t="s">
        <v>21</v>
      </c>
      <c r="G1460" s="28" t="s">
        <v>7084</v>
      </c>
      <c r="H1460" s="28" t="s">
        <v>8359</v>
      </c>
      <c r="I1460" s="28" t="s">
        <v>8732</v>
      </c>
      <c r="J1460" s="28" t="s">
        <v>7084</v>
      </c>
      <c r="K1460" s="28" t="s">
        <v>8377</v>
      </c>
      <c r="L1460" s="28" t="s">
        <v>8362</v>
      </c>
      <c r="M1460" s="28" t="s">
        <v>8733</v>
      </c>
      <c r="N1460" s="28" t="s">
        <v>8364</v>
      </c>
      <c r="O1460" s="28" t="s">
        <v>8365</v>
      </c>
      <c r="P1460" s="28" t="s">
        <v>8734</v>
      </c>
    </row>
    <row r="1461" spans="1:16" x14ac:dyDescent="0.25">
      <c r="A1461" s="28" t="s">
        <v>8735</v>
      </c>
      <c r="B1461" s="28" t="s">
        <v>8736</v>
      </c>
      <c r="C1461" s="28" t="s">
        <v>8356</v>
      </c>
      <c r="D1461" s="28" t="s">
        <v>8357</v>
      </c>
      <c r="E1461" s="28" t="s">
        <v>8737</v>
      </c>
      <c r="F1461" s="28" t="s">
        <v>21</v>
      </c>
      <c r="G1461" s="28" t="s">
        <v>7084</v>
      </c>
      <c r="H1461" s="28" t="s">
        <v>8359</v>
      </c>
      <c r="I1461" s="28" t="s">
        <v>8738</v>
      </c>
      <c r="J1461" s="28" t="s">
        <v>7084</v>
      </c>
      <c r="K1461" s="28" t="s">
        <v>8377</v>
      </c>
      <c r="L1461" s="28" t="s">
        <v>8362</v>
      </c>
      <c r="M1461" s="28" t="s">
        <v>8739</v>
      </c>
      <c r="N1461" s="28" t="s">
        <v>8364</v>
      </c>
      <c r="O1461" s="28" t="s">
        <v>8365</v>
      </c>
      <c r="P1461" s="28" t="s">
        <v>8740</v>
      </c>
    </row>
    <row r="1462" spans="1:16" x14ac:dyDescent="0.25">
      <c r="A1462" s="28" t="s">
        <v>8741</v>
      </c>
      <c r="B1462" s="28" t="s">
        <v>8742</v>
      </c>
      <c r="C1462" s="28" t="s">
        <v>8356</v>
      </c>
      <c r="D1462" s="28" t="s">
        <v>8357</v>
      </c>
      <c r="E1462" s="28" t="s">
        <v>8743</v>
      </c>
      <c r="F1462" s="28" t="s">
        <v>21</v>
      </c>
      <c r="G1462" s="28" t="s">
        <v>7084</v>
      </c>
      <c r="H1462" s="28" t="s">
        <v>8359</v>
      </c>
      <c r="I1462" s="28" t="s">
        <v>8744</v>
      </c>
      <c r="J1462" s="28" t="s">
        <v>7084</v>
      </c>
      <c r="K1462" s="28" t="s">
        <v>8377</v>
      </c>
      <c r="L1462" s="28" t="s">
        <v>8362</v>
      </c>
      <c r="M1462" s="28" t="s">
        <v>8745</v>
      </c>
      <c r="N1462" s="28" t="s">
        <v>8364</v>
      </c>
      <c r="O1462" s="28" t="s">
        <v>8365</v>
      </c>
      <c r="P1462" s="28" t="s">
        <v>8746</v>
      </c>
    </row>
    <row r="1463" spans="1:16" x14ac:dyDescent="0.25">
      <c r="A1463" s="28" t="s">
        <v>8747</v>
      </c>
      <c r="B1463" s="28" t="s">
        <v>8748</v>
      </c>
      <c r="C1463" s="28" t="s">
        <v>8356</v>
      </c>
      <c r="D1463" s="28" t="s">
        <v>8616</v>
      </c>
      <c r="E1463" s="28" t="s">
        <v>8749</v>
      </c>
      <c r="F1463" s="28" t="s">
        <v>21</v>
      </c>
      <c r="G1463" s="28" t="s">
        <v>7084</v>
      </c>
      <c r="H1463" s="28" t="s">
        <v>8359</v>
      </c>
      <c r="I1463" s="28" t="s">
        <v>8750</v>
      </c>
      <c r="J1463" s="28" t="s">
        <v>7084</v>
      </c>
      <c r="K1463" s="28" t="s">
        <v>8377</v>
      </c>
      <c r="L1463" s="28" t="s">
        <v>8362</v>
      </c>
      <c r="M1463" s="28" t="s">
        <v>8751</v>
      </c>
      <c r="N1463" s="28" t="s">
        <v>8364</v>
      </c>
      <c r="O1463" s="28" t="s">
        <v>8365</v>
      </c>
      <c r="P1463" s="28" t="s">
        <v>8752</v>
      </c>
    </row>
    <row r="1464" spans="1:16" x14ac:dyDescent="0.25">
      <c r="A1464" s="28" t="s">
        <v>8753</v>
      </c>
      <c r="B1464" s="28" t="s">
        <v>8754</v>
      </c>
      <c r="C1464" s="28" t="s">
        <v>8356</v>
      </c>
      <c r="D1464" s="28" t="s">
        <v>1792</v>
      </c>
      <c r="E1464" s="28" t="s">
        <v>8755</v>
      </c>
      <c r="F1464" s="28" t="s">
        <v>21</v>
      </c>
      <c r="G1464" s="28" t="s">
        <v>7084</v>
      </c>
      <c r="H1464" s="28" t="s">
        <v>8359</v>
      </c>
      <c r="I1464" s="28" t="s">
        <v>8756</v>
      </c>
      <c r="J1464" s="28" t="s">
        <v>7084</v>
      </c>
      <c r="K1464" s="28" t="s">
        <v>8377</v>
      </c>
      <c r="L1464" s="28" t="s">
        <v>8362</v>
      </c>
      <c r="M1464" s="28" t="s">
        <v>8757</v>
      </c>
      <c r="N1464" s="28" t="s">
        <v>8364</v>
      </c>
      <c r="O1464" s="28" t="s">
        <v>8365</v>
      </c>
      <c r="P1464" s="28" t="s">
        <v>8758</v>
      </c>
    </row>
    <row r="1465" spans="1:16" x14ac:dyDescent="0.25">
      <c r="A1465" s="28" t="s">
        <v>8759</v>
      </c>
      <c r="B1465" s="28" t="s">
        <v>8760</v>
      </c>
      <c r="C1465" s="28" t="s">
        <v>8356</v>
      </c>
      <c r="D1465" s="28" t="s">
        <v>5372</v>
      </c>
      <c r="E1465" s="28" t="s">
        <v>8755</v>
      </c>
      <c r="F1465" s="28" t="s">
        <v>21</v>
      </c>
      <c r="G1465" s="28" t="s">
        <v>7084</v>
      </c>
      <c r="H1465" s="28" t="s">
        <v>8359</v>
      </c>
      <c r="I1465" s="28" t="s">
        <v>8761</v>
      </c>
      <c r="J1465" s="28" t="s">
        <v>7084</v>
      </c>
      <c r="K1465" s="28" t="s">
        <v>8377</v>
      </c>
      <c r="L1465" s="28" t="s">
        <v>8362</v>
      </c>
      <c r="M1465" s="28" t="s">
        <v>8757</v>
      </c>
      <c r="N1465" s="28" t="s">
        <v>8364</v>
      </c>
      <c r="O1465" s="28" t="s">
        <v>8365</v>
      </c>
      <c r="P1465" s="28" t="s">
        <v>8762</v>
      </c>
    </row>
    <row r="1466" spans="1:16" x14ac:dyDescent="0.25">
      <c r="A1466" s="28" t="s">
        <v>8763</v>
      </c>
      <c r="B1466" s="28" t="s">
        <v>8764</v>
      </c>
      <c r="C1466" s="28" t="s">
        <v>8356</v>
      </c>
      <c r="D1466" s="28" t="s">
        <v>8397</v>
      </c>
      <c r="E1466" s="28" t="s">
        <v>8765</v>
      </c>
      <c r="F1466" s="28" t="s">
        <v>21</v>
      </c>
      <c r="G1466" s="28" t="s">
        <v>7084</v>
      </c>
      <c r="H1466" s="28" t="s">
        <v>8359</v>
      </c>
      <c r="I1466" s="28" t="s">
        <v>8766</v>
      </c>
      <c r="J1466" s="28" t="s">
        <v>7084</v>
      </c>
      <c r="K1466" s="28" t="s">
        <v>8377</v>
      </c>
      <c r="L1466" s="28" t="s">
        <v>8362</v>
      </c>
      <c r="M1466" s="28" t="s">
        <v>8767</v>
      </c>
      <c r="N1466" s="28" t="s">
        <v>8364</v>
      </c>
      <c r="O1466" s="28" t="s">
        <v>8365</v>
      </c>
      <c r="P1466" s="28" t="s">
        <v>8768</v>
      </c>
    </row>
    <row r="1467" spans="1:16" x14ac:dyDescent="0.25">
      <c r="A1467" s="28" t="s">
        <v>8769</v>
      </c>
      <c r="B1467" s="28" t="s">
        <v>8770</v>
      </c>
      <c r="C1467" s="28" t="s">
        <v>8356</v>
      </c>
      <c r="D1467" s="28" t="s">
        <v>7220</v>
      </c>
      <c r="E1467" s="28" t="s">
        <v>8765</v>
      </c>
      <c r="F1467" s="28" t="s">
        <v>21</v>
      </c>
      <c r="G1467" s="28" t="s">
        <v>7084</v>
      </c>
      <c r="H1467" s="28" t="s">
        <v>8359</v>
      </c>
      <c r="I1467" s="28" t="s">
        <v>8771</v>
      </c>
      <c r="J1467" s="28" t="s">
        <v>7084</v>
      </c>
      <c r="K1467" s="28" t="s">
        <v>8377</v>
      </c>
      <c r="L1467" s="28" t="s">
        <v>8362</v>
      </c>
      <c r="M1467" s="28" t="s">
        <v>8767</v>
      </c>
      <c r="N1467" s="28" t="s">
        <v>8364</v>
      </c>
      <c r="O1467" s="28" t="s">
        <v>8365</v>
      </c>
      <c r="P1467" s="28" t="s">
        <v>8772</v>
      </c>
    </row>
    <row r="1468" spans="1:16" x14ac:dyDescent="0.25">
      <c r="A1468" s="28" t="s">
        <v>8773</v>
      </c>
      <c r="B1468" s="28" t="s">
        <v>8774</v>
      </c>
      <c r="C1468" s="28" t="s">
        <v>8356</v>
      </c>
      <c r="D1468" s="28" t="s">
        <v>1792</v>
      </c>
      <c r="E1468" s="28" t="s">
        <v>8765</v>
      </c>
      <c r="F1468" s="28" t="s">
        <v>21</v>
      </c>
      <c r="G1468" s="28" t="s">
        <v>7084</v>
      </c>
      <c r="H1468" s="28" t="s">
        <v>8359</v>
      </c>
      <c r="I1468" s="28" t="s">
        <v>8775</v>
      </c>
      <c r="J1468" s="28" t="s">
        <v>7084</v>
      </c>
      <c r="K1468" s="28" t="s">
        <v>8377</v>
      </c>
      <c r="L1468" s="28" t="s">
        <v>8362</v>
      </c>
      <c r="M1468" s="28" t="s">
        <v>8767</v>
      </c>
      <c r="N1468" s="28" t="s">
        <v>8364</v>
      </c>
      <c r="O1468" s="28" t="s">
        <v>8365</v>
      </c>
      <c r="P1468" s="28" t="s">
        <v>8776</v>
      </c>
    </row>
    <row r="1469" spans="1:16" x14ac:dyDescent="0.25">
      <c r="A1469" s="28" t="s">
        <v>8777</v>
      </c>
      <c r="B1469" s="28" t="s">
        <v>8778</v>
      </c>
      <c r="C1469" s="28" t="s">
        <v>8356</v>
      </c>
      <c r="D1469" s="28" t="s">
        <v>120</v>
      </c>
      <c r="E1469" s="28" t="s">
        <v>8765</v>
      </c>
      <c r="F1469" s="28" t="s">
        <v>21</v>
      </c>
      <c r="G1469" s="28" t="s">
        <v>7084</v>
      </c>
      <c r="H1469" s="28" t="s">
        <v>8359</v>
      </c>
      <c r="I1469" s="28" t="s">
        <v>8779</v>
      </c>
      <c r="J1469" s="28" t="s">
        <v>7084</v>
      </c>
      <c r="K1469" s="28" t="s">
        <v>8377</v>
      </c>
      <c r="L1469" s="28" t="s">
        <v>8362</v>
      </c>
      <c r="M1469" s="28" t="s">
        <v>8767</v>
      </c>
      <c r="N1469" s="28" t="s">
        <v>8364</v>
      </c>
      <c r="O1469" s="28" t="s">
        <v>8365</v>
      </c>
      <c r="P1469" s="28" t="s">
        <v>8780</v>
      </c>
    </row>
    <row r="1470" spans="1:16" x14ac:dyDescent="0.25">
      <c r="A1470" s="28" t="s">
        <v>8781</v>
      </c>
      <c r="B1470" s="28" t="s">
        <v>8782</v>
      </c>
      <c r="C1470" s="28" t="s">
        <v>8356</v>
      </c>
      <c r="D1470" s="28" t="s">
        <v>5372</v>
      </c>
      <c r="E1470" s="28" t="s">
        <v>8765</v>
      </c>
      <c r="F1470" s="28" t="s">
        <v>21</v>
      </c>
      <c r="G1470" s="28" t="s">
        <v>7084</v>
      </c>
      <c r="H1470" s="28" t="s">
        <v>8359</v>
      </c>
      <c r="I1470" s="28" t="s">
        <v>8783</v>
      </c>
      <c r="J1470" s="28" t="s">
        <v>7084</v>
      </c>
      <c r="K1470" s="28" t="s">
        <v>8377</v>
      </c>
      <c r="L1470" s="28" t="s">
        <v>8362</v>
      </c>
      <c r="M1470" s="28" t="s">
        <v>8767</v>
      </c>
      <c r="N1470" s="28" t="s">
        <v>8364</v>
      </c>
      <c r="O1470" s="28" t="s">
        <v>8365</v>
      </c>
      <c r="P1470" s="28" t="s">
        <v>8784</v>
      </c>
    </row>
    <row r="1471" spans="1:16" x14ac:dyDescent="0.25">
      <c r="A1471" s="28" t="s">
        <v>8785</v>
      </c>
      <c r="B1471" s="28" t="s">
        <v>8786</v>
      </c>
      <c r="C1471" s="28" t="s">
        <v>8356</v>
      </c>
      <c r="D1471" s="28" t="s">
        <v>8357</v>
      </c>
      <c r="E1471" s="28" t="s">
        <v>8787</v>
      </c>
      <c r="F1471" s="28" t="s">
        <v>21</v>
      </c>
      <c r="G1471" s="28" t="s">
        <v>7084</v>
      </c>
      <c r="H1471" s="28" t="s">
        <v>8359</v>
      </c>
      <c r="I1471" s="28" t="s">
        <v>8788</v>
      </c>
      <c r="J1471" s="28" t="s">
        <v>7084</v>
      </c>
      <c r="K1471" s="28" t="s">
        <v>8377</v>
      </c>
      <c r="L1471" s="28" t="s">
        <v>8362</v>
      </c>
      <c r="M1471" s="28" t="s">
        <v>8789</v>
      </c>
      <c r="N1471" s="28" t="s">
        <v>8364</v>
      </c>
      <c r="O1471" s="28" t="s">
        <v>8365</v>
      </c>
      <c r="P1471" s="28" t="s">
        <v>8790</v>
      </c>
    </row>
    <row r="1472" spans="1:16" x14ac:dyDescent="0.25">
      <c r="A1472" s="28" t="s">
        <v>8791</v>
      </c>
      <c r="B1472" s="28" t="s">
        <v>8792</v>
      </c>
      <c r="C1472" s="28" t="s">
        <v>8356</v>
      </c>
      <c r="D1472" s="28" t="s">
        <v>8397</v>
      </c>
      <c r="E1472" s="28" t="s">
        <v>8793</v>
      </c>
      <c r="F1472" s="28" t="s">
        <v>21</v>
      </c>
      <c r="G1472" s="28" t="s">
        <v>7084</v>
      </c>
      <c r="H1472" s="28" t="s">
        <v>8359</v>
      </c>
      <c r="I1472" s="28" t="s">
        <v>8794</v>
      </c>
      <c r="J1472" s="28" t="s">
        <v>7084</v>
      </c>
      <c r="K1472" s="28" t="s">
        <v>8377</v>
      </c>
      <c r="L1472" s="28" t="s">
        <v>8362</v>
      </c>
      <c r="M1472" s="28" t="s">
        <v>8795</v>
      </c>
      <c r="N1472" s="28" t="s">
        <v>8364</v>
      </c>
      <c r="O1472" s="28" t="s">
        <v>8365</v>
      </c>
      <c r="P1472" s="28" t="s">
        <v>8796</v>
      </c>
    </row>
    <row r="1473" spans="1:16" x14ac:dyDescent="0.25">
      <c r="A1473" s="28" t="s">
        <v>8797</v>
      </c>
      <c r="B1473" s="28" t="s">
        <v>8798</v>
      </c>
      <c r="C1473" s="28" t="s">
        <v>8356</v>
      </c>
      <c r="D1473" s="28" t="s">
        <v>1792</v>
      </c>
      <c r="E1473" s="28" t="s">
        <v>8793</v>
      </c>
      <c r="F1473" s="28" t="s">
        <v>21</v>
      </c>
      <c r="G1473" s="28" t="s">
        <v>7084</v>
      </c>
      <c r="H1473" s="28" t="s">
        <v>8359</v>
      </c>
      <c r="I1473" s="28" t="s">
        <v>8799</v>
      </c>
      <c r="J1473" s="28" t="s">
        <v>7084</v>
      </c>
      <c r="K1473" s="28" t="s">
        <v>8377</v>
      </c>
      <c r="L1473" s="28" t="s">
        <v>8362</v>
      </c>
      <c r="M1473" s="28" t="s">
        <v>8795</v>
      </c>
      <c r="N1473" s="28" t="s">
        <v>8364</v>
      </c>
      <c r="O1473" s="28" t="s">
        <v>8365</v>
      </c>
      <c r="P1473" s="28" t="s">
        <v>8800</v>
      </c>
    </row>
    <row r="1474" spans="1:16" x14ac:dyDescent="0.25">
      <c r="A1474" s="28" t="s">
        <v>8801</v>
      </c>
      <c r="B1474" s="28" t="s">
        <v>8802</v>
      </c>
      <c r="C1474" s="28" t="s">
        <v>8356</v>
      </c>
      <c r="D1474" s="28" t="s">
        <v>5956</v>
      </c>
      <c r="E1474" s="28" t="s">
        <v>8803</v>
      </c>
      <c r="F1474" s="28" t="s">
        <v>21</v>
      </c>
      <c r="G1474" s="28" t="s">
        <v>7084</v>
      </c>
      <c r="H1474" s="28" t="s">
        <v>8359</v>
      </c>
      <c r="I1474" s="28" t="s">
        <v>8804</v>
      </c>
      <c r="J1474" s="28" t="s">
        <v>7084</v>
      </c>
      <c r="K1474" s="28" t="s">
        <v>8377</v>
      </c>
      <c r="L1474" s="28" t="s">
        <v>8362</v>
      </c>
      <c r="M1474" s="28" t="s">
        <v>8805</v>
      </c>
      <c r="N1474" s="28" t="s">
        <v>8364</v>
      </c>
      <c r="O1474" s="28" t="s">
        <v>8365</v>
      </c>
      <c r="P1474" s="28" t="s">
        <v>8806</v>
      </c>
    </row>
    <row r="1475" spans="1:16" x14ac:dyDescent="0.25">
      <c r="A1475" s="28" t="s">
        <v>8807</v>
      </c>
      <c r="B1475" s="28" t="s">
        <v>8808</v>
      </c>
      <c r="C1475" s="28" t="s">
        <v>8356</v>
      </c>
      <c r="D1475" s="28" t="s">
        <v>5011</v>
      </c>
      <c r="E1475" s="28" t="s">
        <v>8809</v>
      </c>
      <c r="F1475" s="28" t="s">
        <v>21</v>
      </c>
      <c r="G1475" s="28" t="s">
        <v>7084</v>
      </c>
      <c r="H1475" s="28" t="s">
        <v>8359</v>
      </c>
      <c r="I1475" s="28" t="s">
        <v>8810</v>
      </c>
      <c r="J1475" s="28" t="s">
        <v>7084</v>
      </c>
      <c r="K1475" s="28" t="s">
        <v>8377</v>
      </c>
      <c r="L1475" s="28" t="s">
        <v>8362</v>
      </c>
      <c r="M1475" s="28" t="s">
        <v>8811</v>
      </c>
      <c r="N1475" s="28" t="s">
        <v>8364</v>
      </c>
      <c r="O1475" s="28" t="s">
        <v>8365</v>
      </c>
      <c r="P1475" s="28" t="s">
        <v>8812</v>
      </c>
    </row>
    <row r="1476" spans="1:16" x14ac:dyDescent="0.25">
      <c r="A1476" s="28" t="s">
        <v>8813</v>
      </c>
      <c r="B1476" s="28" t="s">
        <v>8814</v>
      </c>
      <c r="C1476" s="28" t="s">
        <v>8356</v>
      </c>
      <c r="D1476" s="28" t="s">
        <v>8815</v>
      </c>
      <c r="E1476" s="28" t="s">
        <v>8816</v>
      </c>
      <c r="F1476" s="28" t="s">
        <v>21</v>
      </c>
      <c r="G1476" s="28" t="s">
        <v>7084</v>
      </c>
      <c r="H1476" s="28" t="s">
        <v>8359</v>
      </c>
      <c r="I1476" s="28" t="s">
        <v>8817</v>
      </c>
      <c r="J1476" s="28" t="s">
        <v>7084</v>
      </c>
      <c r="K1476" s="28" t="s">
        <v>8377</v>
      </c>
      <c r="L1476" s="28" t="s">
        <v>8362</v>
      </c>
      <c r="M1476" s="28" t="s">
        <v>8818</v>
      </c>
      <c r="N1476" s="28" t="s">
        <v>8364</v>
      </c>
      <c r="O1476" s="28" t="s">
        <v>8365</v>
      </c>
      <c r="P1476" s="28" t="s">
        <v>8819</v>
      </c>
    </row>
    <row r="1477" spans="1:16" x14ac:dyDescent="0.25">
      <c r="A1477" s="28" t="s">
        <v>8820</v>
      </c>
      <c r="B1477" s="28" t="s">
        <v>8821</v>
      </c>
      <c r="C1477" s="28" t="s">
        <v>8356</v>
      </c>
      <c r="D1477" s="28" t="s">
        <v>8397</v>
      </c>
      <c r="E1477" s="28" t="s">
        <v>8822</v>
      </c>
      <c r="F1477" s="28" t="s">
        <v>21</v>
      </c>
      <c r="G1477" s="28" t="s">
        <v>7084</v>
      </c>
      <c r="H1477" s="28" t="s">
        <v>8359</v>
      </c>
      <c r="I1477" s="28" t="s">
        <v>8823</v>
      </c>
      <c r="J1477" s="28" t="s">
        <v>7084</v>
      </c>
      <c r="K1477" s="28" t="s">
        <v>8377</v>
      </c>
      <c r="L1477" s="28" t="s">
        <v>8362</v>
      </c>
      <c r="M1477" s="28" t="s">
        <v>8824</v>
      </c>
      <c r="N1477" s="28" t="s">
        <v>8364</v>
      </c>
      <c r="O1477" s="28" t="s">
        <v>8365</v>
      </c>
      <c r="P1477" s="28" t="s">
        <v>8825</v>
      </c>
    </row>
    <row r="1478" spans="1:16" x14ac:dyDescent="0.25">
      <c r="A1478" s="28" t="s">
        <v>8826</v>
      </c>
      <c r="B1478" s="28" t="s">
        <v>8827</v>
      </c>
      <c r="C1478" s="28" t="s">
        <v>8356</v>
      </c>
      <c r="D1478" s="28" t="s">
        <v>8357</v>
      </c>
      <c r="E1478" s="28" t="s">
        <v>8828</v>
      </c>
      <c r="F1478" s="28" t="s">
        <v>21</v>
      </c>
      <c r="G1478" s="28" t="s">
        <v>7084</v>
      </c>
      <c r="H1478" s="28" t="s">
        <v>8359</v>
      </c>
      <c r="I1478" s="28" t="s">
        <v>8829</v>
      </c>
      <c r="J1478" s="28" t="s">
        <v>7084</v>
      </c>
      <c r="K1478" s="28" t="s">
        <v>8377</v>
      </c>
      <c r="L1478" s="28" t="s">
        <v>8362</v>
      </c>
      <c r="M1478" s="28" t="s">
        <v>8830</v>
      </c>
      <c r="N1478" s="28" t="s">
        <v>8364</v>
      </c>
      <c r="O1478" s="28" t="s">
        <v>8365</v>
      </c>
      <c r="P1478" s="28" t="s">
        <v>8831</v>
      </c>
    </row>
    <row r="1479" spans="1:16" x14ac:dyDescent="0.25">
      <c r="A1479" s="28" t="s">
        <v>8832</v>
      </c>
      <c r="B1479" s="28" t="s">
        <v>8833</v>
      </c>
      <c r="C1479" s="28" t="s">
        <v>8356</v>
      </c>
      <c r="D1479" s="28" t="s">
        <v>8357</v>
      </c>
      <c r="E1479" s="28" t="s">
        <v>8834</v>
      </c>
      <c r="F1479" s="28" t="s">
        <v>21</v>
      </c>
      <c r="G1479" s="28" t="s">
        <v>7084</v>
      </c>
      <c r="H1479" s="28" t="s">
        <v>8359</v>
      </c>
      <c r="I1479" s="28" t="s">
        <v>8835</v>
      </c>
      <c r="J1479" s="28" t="s">
        <v>7084</v>
      </c>
      <c r="K1479" s="28" t="s">
        <v>8377</v>
      </c>
      <c r="L1479" s="28" t="s">
        <v>8362</v>
      </c>
      <c r="M1479" s="28" t="s">
        <v>8836</v>
      </c>
      <c r="N1479" s="28" t="s">
        <v>8364</v>
      </c>
      <c r="O1479" s="28" t="s">
        <v>8365</v>
      </c>
      <c r="P1479" s="28" t="s">
        <v>8837</v>
      </c>
    </row>
    <row r="1480" spans="1:16" x14ac:dyDescent="0.25">
      <c r="A1480" s="28" t="s">
        <v>8838</v>
      </c>
      <c r="B1480" s="28" t="s">
        <v>8839</v>
      </c>
      <c r="C1480" s="28" t="s">
        <v>8356</v>
      </c>
      <c r="D1480" s="28" t="s">
        <v>8357</v>
      </c>
      <c r="E1480" s="28" t="s">
        <v>8840</v>
      </c>
      <c r="F1480" s="28" t="s">
        <v>21</v>
      </c>
      <c r="G1480" s="28" t="s">
        <v>7084</v>
      </c>
      <c r="H1480" s="28" t="s">
        <v>8359</v>
      </c>
      <c r="I1480" s="28" t="s">
        <v>8841</v>
      </c>
      <c r="J1480" s="28" t="s">
        <v>7084</v>
      </c>
      <c r="K1480" s="28" t="s">
        <v>8377</v>
      </c>
      <c r="L1480" s="28" t="s">
        <v>8362</v>
      </c>
      <c r="M1480" s="28" t="s">
        <v>8842</v>
      </c>
      <c r="N1480" s="28" t="s">
        <v>8364</v>
      </c>
      <c r="O1480" s="28" t="s">
        <v>8365</v>
      </c>
      <c r="P1480" s="28" t="s">
        <v>8843</v>
      </c>
    </row>
    <row r="1481" spans="1:16" x14ac:dyDescent="0.25">
      <c r="A1481" s="28" t="s">
        <v>8844</v>
      </c>
      <c r="B1481" s="28" t="s">
        <v>8845</v>
      </c>
      <c r="C1481" s="28" t="s">
        <v>8356</v>
      </c>
      <c r="D1481" s="28" t="s">
        <v>5372</v>
      </c>
      <c r="E1481" s="28" t="s">
        <v>8846</v>
      </c>
      <c r="F1481" s="28" t="s">
        <v>21</v>
      </c>
      <c r="G1481" s="28" t="s">
        <v>7084</v>
      </c>
      <c r="H1481" s="28" t="s">
        <v>8359</v>
      </c>
      <c r="I1481" s="28" t="s">
        <v>8847</v>
      </c>
      <c r="J1481" s="28" t="s">
        <v>7084</v>
      </c>
      <c r="K1481" s="28" t="s">
        <v>8377</v>
      </c>
      <c r="L1481" s="28" t="s">
        <v>8362</v>
      </c>
      <c r="M1481" s="28" t="s">
        <v>8848</v>
      </c>
      <c r="N1481" s="28" t="s">
        <v>8364</v>
      </c>
      <c r="O1481" s="28" t="s">
        <v>8365</v>
      </c>
      <c r="P1481" s="28" t="s">
        <v>8849</v>
      </c>
    </row>
    <row r="1482" spans="1:16" x14ac:dyDescent="0.25">
      <c r="A1482" s="28" t="s">
        <v>8850</v>
      </c>
      <c r="B1482" s="28" t="s">
        <v>8851</v>
      </c>
      <c r="C1482" s="28" t="s">
        <v>8356</v>
      </c>
      <c r="D1482" s="28" t="s">
        <v>4421</v>
      </c>
      <c r="E1482" s="28" t="s">
        <v>8852</v>
      </c>
      <c r="F1482" s="28" t="s">
        <v>21</v>
      </c>
      <c r="G1482" s="28" t="s">
        <v>7084</v>
      </c>
      <c r="H1482" s="28" t="s">
        <v>8359</v>
      </c>
      <c r="I1482" s="28" t="s">
        <v>8853</v>
      </c>
      <c r="J1482" s="28" t="s">
        <v>7084</v>
      </c>
      <c r="K1482" s="28" t="s">
        <v>8377</v>
      </c>
      <c r="L1482" s="28" t="s">
        <v>8362</v>
      </c>
      <c r="M1482" s="28" t="s">
        <v>8854</v>
      </c>
      <c r="N1482" s="28" t="s">
        <v>8364</v>
      </c>
      <c r="O1482" s="28" t="s">
        <v>8365</v>
      </c>
      <c r="P1482" s="28" t="s">
        <v>8855</v>
      </c>
    </row>
    <row r="1483" spans="1:16" x14ac:dyDescent="0.25">
      <c r="A1483" s="28" t="s">
        <v>8856</v>
      </c>
      <c r="B1483" s="28" t="s">
        <v>8857</v>
      </c>
      <c r="C1483" s="28" t="s">
        <v>8356</v>
      </c>
      <c r="D1483" s="28" t="s">
        <v>5372</v>
      </c>
      <c r="E1483" s="28" t="s">
        <v>8852</v>
      </c>
      <c r="F1483" s="28" t="s">
        <v>21</v>
      </c>
      <c r="G1483" s="28" t="s">
        <v>7084</v>
      </c>
      <c r="H1483" s="28" t="s">
        <v>8359</v>
      </c>
      <c r="I1483" s="28" t="s">
        <v>8858</v>
      </c>
      <c r="J1483" s="28" t="s">
        <v>7084</v>
      </c>
      <c r="K1483" s="28" t="s">
        <v>8377</v>
      </c>
      <c r="L1483" s="28" t="s">
        <v>8362</v>
      </c>
      <c r="M1483" s="28" t="s">
        <v>8854</v>
      </c>
      <c r="N1483" s="28" t="s">
        <v>8364</v>
      </c>
      <c r="O1483" s="28" t="s">
        <v>8365</v>
      </c>
      <c r="P1483" s="28" t="s">
        <v>8859</v>
      </c>
    </row>
    <row r="1484" spans="1:16" x14ac:dyDescent="0.25">
      <c r="A1484" s="28" t="s">
        <v>8860</v>
      </c>
      <c r="B1484" s="28" t="s">
        <v>8861</v>
      </c>
      <c r="C1484" s="28" t="s">
        <v>8356</v>
      </c>
      <c r="D1484" s="28" t="s">
        <v>7220</v>
      </c>
      <c r="E1484" s="28" t="s">
        <v>8862</v>
      </c>
      <c r="F1484" s="28" t="s">
        <v>21</v>
      </c>
      <c r="G1484" s="28" t="s">
        <v>7084</v>
      </c>
      <c r="H1484" s="28" t="s">
        <v>8359</v>
      </c>
      <c r="I1484" s="28" t="s">
        <v>8863</v>
      </c>
      <c r="J1484" s="28" t="s">
        <v>7084</v>
      </c>
      <c r="K1484" s="28" t="s">
        <v>8377</v>
      </c>
      <c r="L1484" s="28" t="s">
        <v>8362</v>
      </c>
      <c r="M1484" s="28" t="s">
        <v>8864</v>
      </c>
      <c r="N1484" s="28" t="s">
        <v>8364</v>
      </c>
      <c r="O1484" s="28" t="s">
        <v>8365</v>
      </c>
      <c r="P1484" s="28" t="s">
        <v>8865</v>
      </c>
    </row>
    <row r="1485" spans="1:16" x14ac:dyDescent="0.25">
      <c r="A1485" s="28" t="s">
        <v>8866</v>
      </c>
      <c r="B1485" s="28" t="s">
        <v>8867</v>
      </c>
      <c r="C1485" s="28" t="s">
        <v>8356</v>
      </c>
      <c r="D1485" s="28" t="s">
        <v>5990</v>
      </c>
      <c r="E1485" s="28" t="s">
        <v>8868</v>
      </c>
      <c r="F1485" s="28" t="s">
        <v>21</v>
      </c>
      <c r="G1485" s="28" t="s">
        <v>7084</v>
      </c>
      <c r="H1485" s="28" t="s">
        <v>8359</v>
      </c>
      <c r="I1485" s="28" t="s">
        <v>8869</v>
      </c>
      <c r="J1485" s="28" t="s">
        <v>7084</v>
      </c>
      <c r="K1485" s="28" t="s">
        <v>8377</v>
      </c>
      <c r="L1485" s="28" t="s">
        <v>8362</v>
      </c>
      <c r="M1485" s="28" t="s">
        <v>8870</v>
      </c>
      <c r="N1485" s="28" t="s">
        <v>8364</v>
      </c>
      <c r="O1485" s="28" t="s">
        <v>8365</v>
      </c>
      <c r="P1485" s="28" t="s">
        <v>8871</v>
      </c>
    </row>
    <row r="1486" spans="1:16" x14ac:dyDescent="0.25">
      <c r="A1486" s="28" t="s">
        <v>8872</v>
      </c>
      <c r="B1486" s="28" t="s">
        <v>8873</v>
      </c>
      <c r="C1486" s="28" t="s">
        <v>8356</v>
      </c>
      <c r="D1486" s="28" t="s">
        <v>8397</v>
      </c>
      <c r="E1486" s="28" t="s">
        <v>8868</v>
      </c>
      <c r="F1486" s="28" t="s">
        <v>21</v>
      </c>
      <c r="G1486" s="28" t="s">
        <v>7084</v>
      </c>
      <c r="H1486" s="28" t="s">
        <v>8359</v>
      </c>
      <c r="I1486" s="28" t="s">
        <v>8874</v>
      </c>
      <c r="J1486" s="28" t="s">
        <v>7084</v>
      </c>
      <c r="K1486" s="28" t="s">
        <v>8377</v>
      </c>
      <c r="L1486" s="28" t="s">
        <v>8362</v>
      </c>
      <c r="M1486" s="28" t="s">
        <v>8870</v>
      </c>
      <c r="N1486" s="28" t="s">
        <v>8364</v>
      </c>
      <c r="O1486" s="28" t="s">
        <v>8365</v>
      </c>
      <c r="P1486" s="28" t="s">
        <v>8875</v>
      </c>
    </row>
    <row r="1487" spans="1:16" x14ac:dyDescent="0.25">
      <c r="A1487" s="28" t="s">
        <v>8876</v>
      </c>
      <c r="B1487" s="28" t="s">
        <v>8877</v>
      </c>
      <c r="C1487" s="28" t="s">
        <v>8356</v>
      </c>
      <c r="D1487" s="28" t="s">
        <v>4984</v>
      </c>
      <c r="E1487" s="28" t="s">
        <v>8868</v>
      </c>
      <c r="F1487" s="28" t="s">
        <v>21</v>
      </c>
      <c r="G1487" s="28" t="s">
        <v>7084</v>
      </c>
      <c r="H1487" s="28" t="s">
        <v>8359</v>
      </c>
      <c r="I1487" s="28" t="s">
        <v>8878</v>
      </c>
      <c r="J1487" s="28" t="s">
        <v>7084</v>
      </c>
      <c r="K1487" s="28" t="s">
        <v>8377</v>
      </c>
      <c r="L1487" s="28" t="s">
        <v>8362</v>
      </c>
      <c r="M1487" s="28" t="s">
        <v>8870</v>
      </c>
      <c r="N1487" s="28" t="s">
        <v>8364</v>
      </c>
      <c r="O1487" s="28" t="s">
        <v>8365</v>
      </c>
      <c r="P1487" s="28" t="s">
        <v>8879</v>
      </c>
    </row>
    <row r="1488" spans="1:16" x14ac:dyDescent="0.25">
      <c r="A1488" s="28" t="s">
        <v>8880</v>
      </c>
      <c r="B1488" s="28" t="s">
        <v>8881</v>
      </c>
      <c r="C1488" s="28" t="s">
        <v>8356</v>
      </c>
      <c r="D1488" s="28" t="s">
        <v>5372</v>
      </c>
      <c r="E1488" s="28" t="s">
        <v>8868</v>
      </c>
      <c r="F1488" s="28" t="s">
        <v>21</v>
      </c>
      <c r="G1488" s="28" t="s">
        <v>7084</v>
      </c>
      <c r="H1488" s="28" t="s">
        <v>8359</v>
      </c>
      <c r="I1488" s="28" t="s">
        <v>8882</v>
      </c>
      <c r="J1488" s="28" t="s">
        <v>7084</v>
      </c>
      <c r="K1488" s="28" t="s">
        <v>8377</v>
      </c>
      <c r="L1488" s="28" t="s">
        <v>8362</v>
      </c>
      <c r="M1488" s="28" t="s">
        <v>8870</v>
      </c>
      <c r="N1488" s="28" t="s">
        <v>8364</v>
      </c>
      <c r="O1488" s="28" t="s">
        <v>8365</v>
      </c>
      <c r="P1488" s="28" t="s">
        <v>8883</v>
      </c>
    </row>
    <row r="1489" spans="1:16" x14ac:dyDescent="0.25">
      <c r="A1489" s="28" t="s">
        <v>8884</v>
      </c>
      <c r="B1489" s="28" t="s">
        <v>8885</v>
      </c>
      <c r="C1489" s="28" t="s">
        <v>8356</v>
      </c>
      <c r="D1489" s="28" t="s">
        <v>5011</v>
      </c>
      <c r="E1489" s="28" t="s">
        <v>8886</v>
      </c>
      <c r="F1489" s="28" t="s">
        <v>21</v>
      </c>
      <c r="G1489" s="28" t="s">
        <v>7084</v>
      </c>
      <c r="H1489" s="28" t="s">
        <v>8359</v>
      </c>
      <c r="I1489" s="28" t="s">
        <v>8887</v>
      </c>
      <c r="J1489" s="28" t="s">
        <v>7084</v>
      </c>
      <c r="K1489" s="28" t="s">
        <v>8377</v>
      </c>
      <c r="L1489" s="28" t="s">
        <v>8362</v>
      </c>
      <c r="M1489" s="28" t="s">
        <v>8888</v>
      </c>
      <c r="N1489" s="28" t="s">
        <v>8364</v>
      </c>
      <c r="O1489" s="28" t="s">
        <v>8365</v>
      </c>
      <c r="P1489" s="28" t="s">
        <v>8889</v>
      </c>
    </row>
    <row r="1490" spans="1:16" x14ac:dyDescent="0.25">
      <c r="A1490" s="28" t="s">
        <v>8890</v>
      </c>
      <c r="B1490" s="28" t="s">
        <v>8891</v>
      </c>
      <c r="C1490" s="28" t="s">
        <v>8356</v>
      </c>
      <c r="D1490" s="28" t="s">
        <v>8357</v>
      </c>
      <c r="E1490" s="28" t="s">
        <v>8892</v>
      </c>
      <c r="F1490" s="28" t="s">
        <v>21</v>
      </c>
      <c r="G1490" s="28" t="s">
        <v>7084</v>
      </c>
      <c r="H1490" s="28" t="s">
        <v>8359</v>
      </c>
      <c r="I1490" s="28" t="s">
        <v>8893</v>
      </c>
      <c r="J1490" s="28" t="s">
        <v>7084</v>
      </c>
      <c r="K1490" s="28" t="s">
        <v>8377</v>
      </c>
      <c r="L1490" s="28" t="s">
        <v>8362</v>
      </c>
      <c r="M1490" s="28" t="s">
        <v>8894</v>
      </c>
      <c r="N1490" s="28" t="s">
        <v>8364</v>
      </c>
      <c r="O1490" s="28" t="s">
        <v>8365</v>
      </c>
      <c r="P1490" s="28" t="s">
        <v>8895</v>
      </c>
    </row>
    <row r="1491" spans="1:16" x14ac:dyDescent="0.25">
      <c r="A1491" s="28" t="s">
        <v>8896</v>
      </c>
      <c r="B1491" s="28" t="s">
        <v>8897</v>
      </c>
      <c r="C1491" s="28" t="s">
        <v>8356</v>
      </c>
      <c r="D1491" s="28" t="s">
        <v>7132</v>
      </c>
      <c r="E1491" s="28" t="s">
        <v>8898</v>
      </c>
      <c r="F1491" s="28" t="s">
        <v>21</v>
      </c>
      <c r="G1491" s="28" t="s">
        <v>7084</v>
      </c>
      <c r="H1491" s="28" t="s">
        <v>8359</v>
      </c>
      <c r="I1491" s="28" t="s">
        <v>8899</v>
      </c>
      <c r="J1491" s="28" t="s">
        <v>7084</v>
      </c>
      <c r="K1491" s="28" t="s">
        <v>8377</v>
      </c>
      <c r="L1491" s="28" t="s">
        <v>8362</v>
      </c>
      <c r="M1491" s="28" t="s">
        <v>8900</v>
      </c>
      <c r="N1491" s="28" t="s">
        <v>8364</v>
      </c>
      <c r="O1491" s="28" t="s">
        <v>8365</v>
      </c>
      <c r="P1491" s="28" t="s">
        <v>8901</v>
      </c>
    </row>
    <row r="1492" spans="1:16" x14ac:dyDescent="0.25">
      <c r="A1492" s="28" t="s">
        <v>8902</v>
      </c>
      <c r="B1492" s="28" t="s">
        <v>8903</v>
      </c>
      <c r="C1492" s="28" t="s">
        <v>8356</v>
      </c>
      <c r="D1492" s="28" t="s">
        <v>120</v>
      </c>
      <c r="E1492" s="28" t="s">
        <v>8898</v>
      </c>
      <c r="F1492" s="28" t="s">
        <v>21</v>
      </c>
      <c r="G1492" s="28" t="s">
        <v>7084</v>
      </c>
      <c r="H1492" s="28" t="s">
        <v>8359</v>
      </c>
      <c r="I1492" s="28" t="s">
        <v>8904</v>
      </c>
      <c r="J1492" s="28" t="s">
        <v>7084</v>
      </c>
      <c r="K1492" s="28" t="s">
        <v>8377</v>
      </c>
      <c r="L1492" s="28" t="s">
        <v>8362</v>
      </c>
      <c r="M1492" s="28" t="s">
        <v>8900</v>
      </c>
      <c r="N1492" s="28" t="s">
        <v>8364</v>
      </c>
      <c r="O1492" s="28" t="s">
        <v>8365</v>
      </c>
      <c r="P1492" s="28" t="s">
        <v>8905</v>
      </c>
    </row>
    <row r="1493" spans="1:16" hidden="1" x14ac:dyDescent="0.25">
      <c r="A1493" s="28" t="s">
        <v>8906</v>
      </c>
      <c r="B1493" s="28" t="s">
        <v>8907</v>
      </c>
      <c r="C1493" s="28" t="s">
        <v>8356</v>
      </c>
      <c r="D1493" s="28" t="s">
        <v>1792</v>
      </c>
      <c r="E1493" s="28" t="s">
        <v>8908</v>
      </c>
      <c r="F1493" s="28" t="s">
        <v>21</v>
      </c>
      <c r="G1493" s="28" t="s">
        <v>22</v>
      </c>
      <c r="H1493" s="28" t="s">
        <v>8384</v>
      </c>
      <c r="I1493" s="28" t="s">
        <v>8909</v>
      </c>
      <c r="J1493" s="28" t="s">
        <v>8386</v>
      </c>
      <c r="K1493" s="28" t="s">
        <v>8387</v>
      </c>
      <c r="L1493" s="28" t="s">
        <v>8388</v>
      </c>
      <c r="M1493" s="28" t="s">
        <v>8910</v>
      </c>
      <c r="N1493" s="28" t="s">
        <v>8390</v>
      </c>
      <c r="O1493" s="28" t="s">
        <v>8391</v>
      </c>
    </row>
    <row r="1494" spans="1:16" x14ac:dyDescent="0.25">
      <c r="A1494" s="28" t="s">
        <v>8911</v>
      </c>
      <c r="B1494" s="28" t="s">
        <v>8912</v>
      </c>
      <c r="C1494" s="28" t="s">
        <v>8356</v>
      </c>
      <c r="D1494" s="28" t="s">
        <v>8357</v>
      </c>
      <c r="E1494" s="28" t="s">
        <v>8913</v>
      </c>
      <c r="F1494" s="28" t="s">
        <v>21</v>
      </c>
      <c r="G1494" s="28" t="s">
        <v>7084</v>
      </c>
      <c r="H1494" s="28" t="s">
        <v>8359</v>
      </c>
      <c r="I1494" s="28" t="s">
        <v>8914</v>
      </c>
      <c r="J1494" s="28" t="s">
        <v>7084</v>
      </c>
      <c r="K1494" s="28" t="s">
        <v>8377</v>
      </c>
      <c r="L1494" s="28" t="s">
        <v>8362</v>
      </c>
      <c r="M1494" s="28" t="s">
        <v>8915</v>
      </c>
      <c r="N1494" s="28" t="s">
        <v>8364</v>
      </c>
      <c r="O1494" s="28" t="s">
        <v>8365</v>
      </c>
      <c r="P1494" s="28" t="s">
        <v>8916</v>
      </c>
    </row>
    <row r="1495" spans="1:16" x14ac:dyDescent="0.25">
      <c r="A1495" s="28" t="s">
        <v>8917</v>
      </c>
      <c r="B1495" s="28" t="s">
        <v>8918</v>
      </c>
      <c r="C1495" s="28" t="s">
        <v>8356</v>
      </c>
      <c r="D1495" s="28" t="s">
        <v>8357</v>
      </c>
      <c r="E1495" s="28" t="s">
        <v>8919</v>
      </c>
      <c r="F1495" s="28" t="s">
        <v>21</v>
      </c>
      <c r="G1495" s="28" t="s">
        <v>7084</v>
      </c>
      <c r="H1495" s="28" t="s">
        <v>8359</v>
      </c>
      <c r="I1495" s="28" t="s">
        <v>8920</v>
      </c>
      <c r="J1495" s="28" t="s">
        <v>7084</v>
      </c>
      <c r="K1495" s="28" t="s">
        <v>8377</v>
      </c>
      <c r="L1495" s="28" t="s">
        <v>8362</v>
      </c>
      <c r="M1495" s="28" t="s">
        <v>8921</v>
      </c>
      <c r="N1495" s="28" t="s">
        <v>8364</v>
      </c>
      <c r="O1495" s="28" t="s">
        <v>8365</v>
      </c>
      <c r="P1495" s="28" t="s">
        <v>8922</v>
      </c>
    </row>
    <row r="1496" spans="1:16" x14ac:dyDescent="0.25">
      <c r="A1496" s="28" t="s">
        <v>8923</v>
      </c>
      <c r="B1496" s="28" t="s">
        <v>8924</v>
      </c>
      <c r="C1496" s="28" t="s">
        <v>8356</v>
      </c>
      <c r="D1496" s="28" t="s">
        <v>1792</v>
      </c>
      <c r="E1496" s="28" t="s">
        <v>8925</v>
      </c>
      <c r="F1496" s="28" t="s">
        <v>21</v>
      </c>
      <c r="G1496" s="28" t="s">
        <v>7084</v>
      </c>
      <c r="H1496" s="28" t="s">
        <v>8359</v>
      </c>
      <c r="I1496" s="28" t="s">
        <v>8926</v>
      </c>
      <c r="J1496" s="28" t="s">
        <v>7084</v>
      </c>
      <c r="K1496" s="28" t="s">
        <v>8927</v>
      </c>
      <c r="L1496" s="28" t="s">
        <v>8362</v>
      </c>
      <c r="M1496" s="28" t="s">
        <v>8928</v>
      </c>
      <c r="N1496" s="28" t="s">
        <v>8364</v>
      </c>
      <c r="O1496" s="28" t="s">
        <v>8365</v>
      </c>
      <c r="P1496" s="28" t="s">
        <v>8929</v>
      </c>
    </row>
    <row r="1497" spans="1:16" x14ac:dyDescent="0.25">
      <c r="A1497" s="28" t="s">
        <v>8930</v>
      </c>
      <c r="B1497" s="28" t="s">
        <v>8931</v>
      </c>
      <c r="C1497" s="28" t="s">
        <v>8356</v>
      </c>
      <c r="D1497" s="28" t="s">
        <v>1810</v>
      </c>
      <c r="E1497" s="28" t="s">
        <v>8925</v>
      </c>
      <c r="F1497" s="28" t="s">
        <v>21</v>
      </c>
      <c r="G1497" s="28" t="s">
        <v>7084</v>
      </c>
      <c r="H1497" s="28" t="s">
        <v>8359</v>
      </c>
      <c r="I1497" s="28" t="s">
        <v>8932</v>
      </c>
      <c r="J1497" s="28" t="s">
        <v>7084</v>
      </c>
      <c r="K1497" s="28" t="s">
        <v>8927</v>
      </c>
      <c r="L1497" s="28" t="s">
        <v>8362</v>
      </c>
      <c r="M1497" s="28" t="s">
        <v>8928</v>
      </c>
      <c r="N1497" s="28" t="s">
        <v>8364</v>
      </c>
      <c r="O1497" s="28" t="s">
        <v>8365</v>
      </c>
      <c r="P1497" s="28" t="s">
        <v>8933</v>
      </c>
    </row>
    <row r="1498" spans="1:16" x14ac:dyDescent="0.25">
      <c r="A1498" s="28" t="s">
        <v>8934</v>
      </c>
      <c r="B1498" s="28" t="s">
        <v>8935</v>
      </c>
      <c r="C1498" s="28" t="s">
        <v>8356</v>
      </c>
      <c r="D1498" s="28" t="s">
        <v>120</v>
      </c>
      <c r="E1498" s="28" t="s">
        <v>8925</v>
      </c>
      <c r="F1498" s="28" t="s">
        <v>21</v>
      </c>
      <c r="G1498" s="28" t="s">
        <v>7084</v>
      </c>
      <c r="H1498" s="28" t="s">
        <v>8359</v>
      </c>
      <c r="I1498" s="28" t="s">
        <v>8936</v>
      </c>
      <c r="J1498" s="28" t="s">
        <v>7084</v>
      </c>
      <c r="K1498" s="28" t="s">
        <v>8927</v>
      </c>
      <c r="L1498" s="28" t="s">
        <v>8362</v>
      </c>
      <c r="M1498" s="28" t="s">
        <v>8928</v>
      </c>
      <c r="N1498" s="28" t="s">
        <v>8364</v>
      </c>
      <c r="O1498" s="28" t="s">
        <v>8365</v>
      </c>
      <c r="P1498" s="28" t="s">
        <v>8937</v>
      </c>
    </row>
    <row r="1499" spans="1:16" x14ac:dyDescent="0.25">
      <c r="A1499" s="28" t="s">
        <v>8938</v>
      </c>
      <c r="B1499" s="28" t="s">
        <v>8939</v>
      </c>
      <c r="C1499" s="28" t="s">
        <v>8356</v>
      </c>
      <c r="D1499" s="28" t="s">
        <v>8397</v>
      </c>
      <c r="E1499" s="28" t="s">
        <v>8940</v>
      </c>
      <c r="F1499" s="28" t="s">
        <v>21</v>
      </c>
      <c r="G1499" s="28" t="s">
        <v>7084</v>
      </c>
      <c r="H1499" s="28" t="s">
        <v>8359</v>
      </c>
      <c r="I1499" s="28" t="s">
        <v>8941</v>
      </c>
      <c r="J1499" s="28" t="s">
        <v>7084</v>
      </c>
      <c r="K1499" s="28" t="s">
        <v>8377</v>
      </c>
      <c r="L1499" s="28" t="s">
        <v>8362</v>
      </c>
      <c r="M1499" s="28" t="s">
        <v>8942</v>
      </c>
      <c r="N1499" s="28" t="s">
        <v>8364</v>
      </c>
      <c r="O1499" s="28" t="s">
        <v>8365</v>
      </c>
      <c r="P1499" s="28" t="s">
        <v>8943</v>
      </c>
    </row>
    <row r="1500" spans="1:16" x14ac:dyDescent="0.25">
      <c r="A1500" s="28" t="s">
        <v>8944</v>
      </c>
      <c r="B1500" s="28" t="s">
        <v>8945</v>
      </c>
      <c r="C1500" s="28" t="s">
        <v>8356</v>
      </c>
      <c r="D1500" s="28" t="s">
        <v>7220</v>
      </c>
      <c r="E1500" s="28" t="s">
        <v>8940</v>
      </c>
      <c r="F1500" s="28" t="s">
        <v>21</v>
      </c>
      <c r="G1500" s="28" t="s">
        <v>7084</v>
      </c>
      <c r="H1500" s="28" t="s">
        <v>8359</v>
      </c>
      <c r="I1500" s="28" t="s">
        <v>8946</v>
      </c>
      <c r="J1500" s="28" t="s">
        <v>7084</v>
      </c>
      <c r="K1500" s="28" t="s">
        <v>8377</v>
      </c>
      <c r="L1500" s="28" t="s">
        <v>8362</v>
      </c>
      <c r="M1500" s="28" t="s">
        <v>8942</v>
      </c>
      <c r="N1500" s="28" t="s">
        <v>8364</v>
      </c>
      <c r="O1500" s="28" t="s">
        <v>8365</v>
      </c>
      <c r="P1500" s="28" t="s">
        <v>8947</v>
      </c>
    </row>
    <row r="1501" spans="1:16" x14ac:dyDescent="0.25">
      <c r="A1501" s="28" t="s">
        <v>8948</v>
      </c>
      <c r="B1501" s="28" t="s">
        <v>8949</v>
      </c>
      <c r="C1501" s="28" t="s">
        <v>8356</v>
      </c>
      <c r="D1501" s="28" t="s">
        <v>120</v>
      </c>
      <c r="E1501" s="28" t="s">
        <v>8940</v>
      </c>
      <c r="F1501" s="28" t="s">
        <v>21</v>
      </c>
      <c r="G1501" s="28" t="s">
        <v>7084</v>
      </c>
      <c r="H1501" s="28" t="s">
        <v>8359</v>
      </c>
      <c r="I1501" s="28" t="s">
        <v>8950</v>
      </c>
      <c r="J1501" s="28" t="s">
        <v>7084</v>
      </c>
      <c r="K1501" s="28" t="s">
        <v>8377</v>
      </c>
      <c r="L1501" s="28" t="s">
        <v>8362</v>
      </c>
      <c r="M1501" s="28" t="s">
        <v>8942</v>
      </c>
      <c r="N1501" s="28" t="s">
        <v>8364</v>
      </c>
      <c r="O1501" s="28" t="s">
        <v>8365</v>
      </c>
      <c r="P1501" s="28" t="s">
        <v>8951</v>
      </c>
    </row>
    <row r="1502" spans="1:16" x14ac:dyDescent="0.25">
      <c r="A1502" s="28" t="s">
        <v>8952</v>
      </c>
      <c r="B1502" s="28" t="s">
        <v>8953</v>
      </c>
      <c r="C1502" s="28" t="s">
        <v>8356</v>
      </c>
      <c r="D1502" s="28" t="s">
        <v>5372</v>
      </c>
      <c r="E1502" s="28" t="s">
        <v>8940</v>
      </c>
      <c r="F1502" s="28" t="s">
        <v>21</v>
      </c>
      <c r="G1502" s="28" t="s">
        <v>7084</v>
      </c>
      <c r="H1502" s="28" t="s">
        <v>8359</v>
      </c>
      <c r="I1502" s="28" t="s">
        <v>8954</v>
      </c>
      <c r="J1502" s="28" t="s">
        <v>7084</v>
      </c>
      <c r="K1502" s="28" t="s">
        <v>8377</v>
      </c>
      <c r="L1502" s="28" t="s">
        <v>8362</v>
      </c>
      <c r="M1502" s="28" t="s">
        <v>8942</v>
      </c>
      <c r="N1502" s="28" t="s">
        <v>8364</v>
      </c>
      <c r="O1502" s="28" t="s">
        <v>8365</v>
      </c>
      <c r="P1502" s="28" t="s">
        <v>8955</v>
      </c>
    </row>
    <row r="1503" spans="1:16" x14ac:dyDescent="0.25">
      <c r="A1503" s="28" t="s">
        <v>8956</v>
      </c>
      <c r="B1503" s="28" t="s">
        <v>8957</v>
      </c>
      <c r="C1503" s="28" t="s">
        <v>8356</v>
      </c>
      <c r="D1503" s="28" t="s">
        <v>1792</v>
      </c>
      <c r="E1503" s="28" t="s">
        <v>8958</v>
      </c>
      <c r="F1503" s="28" t="s">
        <v>21</v>
      </c>
      <c r="G1503" s="28" t="s">
        <v>7084</v>
      </c>
      <c r="H1503" s="28" t="s">
        <v>8359</v>
      </c>
      <c r="I1503" s="28" t="s">
        <v>8959</v>
      </c>
      <c r="J1503" s="28" t="s">
        <v>7084</v>
      </c>
      <c r="K1503" s="28" t="s">
        <v>8377</v>
      </c>
      <c r="L1503" s="28" t="s">
        <v>8362</v>
      </c>
      <c r="M1503" s="28" t="s">
        <v>8960</v>
      </c>
      <c r="N1503" s="28" t="s">
        <v>8364</v>
      </c>
      <c r="O1503" s="28" t="s">
        <v>8365</v>
      </c>
      <c r="P1503" s="28" t="s">
        <v>8961</v>
      </c>
    </row>
    <row r="1504" spans="1:16" x14ac:dyDescent="0.25">
      <c r="A1504" s="28" t="s">
        <v>8962</v>
      </c>
      <c r="B1504" s="28" t="s">
        <v>8963</v>
      </c>
      <c r="C1504" s="28" t="s">
        <v>8356</v>
      </c>
      <c r="D1504" s="28" t="s">
        <v>8525</v>
      </c>
      <c r="E1504" s="28" t="s">
        <v>8964</v>
      </c>
      <c r="F1504" s="28" t="s">
        <v>21</v>
      </c>
      <c r="G1504" s="28" t="s">
        <v>7084</v>
      </c>
      <c r="H1504" s="28" t="s">
        <v>8359</v>
      </c>
      <c r="I1504" s="28" t="s">
        <v>8965</v>
      </c>
      <c r="J1504" s="28" t="s">
        <v>7084</v>
      </c>
      <c r="K1504" s="28" t="s">
        <v>8377</v>
      </c>
      <c r="L1504" s="28" t="s">
        <v>8362</v>
      </c>
      <c r="M1504" s="28" t="s">
        <v>8966</v>
      </c>
      <c r="N1504" s="28" t="s">
        <v>8364</v>
      </c>
      <c r="O1504" s="28" t="s">
        <v>8365</v>
      </c>
      <c r="P1504" s="28" t="s">
        <v>8967</v>
      </c>
    </row>
    <row r="1505" spans="1:16" x14ac:dyDescent="0.25">
      <c r="A1505" s="28" t="s">
        <v>8968</v>
      </c>
      <c r="B1505" s="28" t="s">
        <v>8969</v>
      </c>
      <c r="C1505" s="28" t="s">
        <v>8356</v>
      </c>
      <c r="D1505" s="28" t="s">
        <v>7233</v>
      </c>
      <c r="E1505" s="28" t="s">
        <v>8964</v>
      </c>
      <c r="F1505" s="28" t="s">
        <v>21</v>
      </c>
      <c r="G1505" s="28" t="s">
        <v>7084</v>
      </c>
      <c r="H1505" s="28" t="s">
        <v>8359</v>
      </c>
      <c r="I1505" s="28" t="s">
        <v>8970</v>
      </c>
      <c r="J1505" s="28" t="s">
        <v>7084</v>
      </c>
      <c r="K1505" s="28" t="s">
        <v>8377</v>
      </c>
      <c r="L1505" s="28" t="s">
        <v>8362</v>
      </c>
      <c r="M1505" s="28" t="s">
        <v>8966</v>
      </c>
      <c r="N1505" s="28" t="s">
        <v>8364</v>
      </c>
      <c r="O1505" s="28" t="s">
        <v>8365</v>
      </c>
      <c r="P1505" s="28" t="s">
        <v>8971</v>
      </c>
    </row>
    <row r="1506" spans="1:16" x14ac:dyDescent="0.25">
      <c r="A1506" s="28" t="s">
        <v>8972</v>
      </c>
      <c r="B1506" s="28" t="s">
        <v>8973</v>
      </c>
      <c r="C1506" s="28" t="s">
        <v>8356</v>
      </c>
      <c r="D1506" s="28" t="s">
        <v>5372</v>
      </c>
      <c r="E1506" s="28" t="s">
        <v>8974</v>
      </c>
      <c r="F1506" s="28" t="s">
        <v>21</v>
      </c>
      <c r="G1506" s="28" t="s">
        <v>7084</v>
      </c>
      <c r="H1506" s="28" t="s">
        <v>8359</v>
      </c>
      <c r="I1506" s="28" t="s">
        <v>8975</v>
      </c>
      <c r="J1506" s="28" t="s">
        <v>7084</v>
      </c>
      <c r="K1506" s="28" t="s">
        <v>8377</v>
      </c>
      <c r="L1506" s="28" t="s">
        <v>8362</v>
      </c>
      <c r="M1506" s="28" t="s">
        <v>8976</v>
      </c>
      <c r="N1506" s="28" t="s">
        <v>8364</v>
      </c>
      <c r="O1506" s="28" t="s">
        <v>8365</v>
      </c>
      <c r="P1506" s="28" t="s">
        <v>8977</v>
      </c>
    </row>
    <row r="1507" spans="1:16" x14ac:dyDescent="0.25">
      <c r="A1507" s="28" t="s">
        <v>8978</v>
      </c>
      <c r="B1507" s="28" t="s">
        <v>8979</v>
      </c>
      <c r="C1507" s="28" t="s">
        <v>8356</v>
      </c>
      <c r="D1507" s="28" t="s">
        <v>62</v>
      </c>
      <c r="E1507" s="28" t="s">
        <v>8980</v>
      </c>
      <c r="F1507" s="28" t="s">
        <v>21</v>
      </c>
      <c r="G1507" s="28" t="s">
        <v>7084</v>
      </c>
      <c r="H1507" s="28" t="s">
        <v>8359</v>
      </c>
      <c r="I1507" s="28" t="s">
        <v>8981</v>
      </c>
      <c r="J1507" s="28" t="s">
        <v>7084</v>
      </c>
      <c r="K1507" s="28" t="s">
        <v>8377</v>
      </c>
      <c r="L1507" s="28" t="s">
        <v>8362</v>
      </c>
      <c r="M1507" s="28" t="s">
        <v>8982</v>
      </c>
      <c r="N1507" s="28" t="s">
        <v>8364</v>
      </c>
      <c r="O1507" s="28" t="s">
        <v>8365</v>
      </c>
      <c r="P1507" s="28" t="s">
        <v>8983</v>
      </c>
    </row>
    <row r="1508" spans="1:16" x14ac:dyDescent="0.25">
      <c r="A1508" s="28" t="s">
        <v>8984</v>
      </c>
      <c r="B1508" s="28" t="s">
        <v>8985</v>
      </c>
      <c r="C1508" s="28" t="s">
        <v>8356</v>
      </c>
      <c r="D1508" s="28" t="s">
        <v>5372</v>
      </c>
      <c r="E1508" s="28" t="s">
        <v>8980</v>
      </c>
      <c r="F1508" s="28" t="s">
        <v>21</v>
      </c>
      <c r="G1508" s="28" t="s">
        <v>7084</v>
      </c>
      <c r="H1508" s="28" t="s">
        <v>8359</v>
      </c>
      <c r="I1508" s="28" t="s">
        <v>8986</v>
      </c>
      <c r="J1508" s="28" t="s">
        <v>7084</v>
      </c>
      <c r="K1508" s="28" t="s">
        <v>8377</v>
      </c>
      <c r="L1508" s="28" t="s">
        <v>8362</v>
      </c>
      <c r="M1508" s="28" t="s">
        <v>8982</v>
      </c>
      <c r="N1508" s="28" t="s">
        <v>8364</v>
      </c>
      <c r="O1508" s="28" t="s">
        <v>8365</v>
      </c>
      <c r="P1508" s="28" t="s">
        <v>8987</v>
      </c>
    </row>
    <row r="1509" spans="1:16" x14ac:dyDescent="0.25">
      <c r="A1509" s="28" t="s">
        <v>8988</v>
      </c>
      <c r="B1509" s="28" t="s">
        <v>8989</v>
      </c>
      <c r="C1509" s="28" t="s">
        <v>8356</v>
      </c>
      <c r="D1509" s="28" t="s">
        <v>62</v>
      </c>
      <c r="E1509" s="28" t="s">
        <v>8990</v>
      </c>
      <c r="F1509" s="28" t="s">
        <v>21</v>
      </c>
      <c r="G1509" s="28" t="s">
        <v>7084</v>
      </c>
      <c r="H1509" s="28" t="s">
        <v>8359</v>
      </c>
      <c r="I1509" s="28" t="s">
        <v>8991</v>
      </c>
      <c r="J1509" s="28" t="s">
        <v>7084</v>
      </c>
      <c r="K1509" s="28" t="s">
        <v>8377</v>
      </c>
      <c r="L1509" s="28" t="s">
        <v>8362</v>
      </c>
      <c r="M1509" s="28" t="s">
        <v>8992</v>
      </c>
      <c r="N1509" s="28" t="s">
        <v>8364</v>
      </c>
      <c r="O1509" s="28" t="s">
        <v>8365</v>
      </c>
      <c r="P1509" s="28" t="s">
        <v>8993</v>
      </c>
    </row>
    <row r="1510" spans="1:16" x14ac:dyDescent="0.25">
      <c r="A1510" s="28" t="s">
        <v>8994</v>
      </c>
      <c r="B1510" s="28" t="s">
        <v>8995</v>
      </c>
      <c r="C1510" s="28" t="s">
        <v>8356</v>
      </c>
      <c r="D1510" s="28" t="s">
        <v>120</v>
      </c>
      <c r="E1510" s="28" t="s">
        <v>8990</v>
      </c>
      <c r="F1510" s="28" t="s">
        <v>21</v>
      </c>
      <c r="G1510" s="28" t="s">
        <v>7084</v>
      </c>
      <c r="H1510" s="28" t="s">
        <v>8359</v>
      </c>
      <c r="I1510" s="28" t="s">
        <v>8996</v>
      </c>
      <c r="J1510" s="28" t="s">
        <v>7084</v>
      </c>
      <c r="K1510" s="28" t="s">
        <v>8377</v>
      </c>
      <c r="L1510" s="28" t="s">
        <v>8362</v>
      </c>
      <c r="M1510" s="28" t="s">
        <v>8992</v>
      </c>
      <c r="N1510" s="28" t="s">
        <v>8364</v>
      </c>
      <c r="O1510" s="28" t="s">
        <v>8365</v>
      </c>
      <c r="P1510" s="28" t="s">
        <v>8997</v>
      </c>
    </row>
    <row r="1511" spans="1:16" x14ac:dyDescent="0.25">
      <c r="A1511" s="28" t="s">
        <v>8998</v>
      </c>
      <c r="B1511" s="28" t="s">
        <v>8999</v>
      </c>
      <c r="C1511" s="28" t="s">
        <v>8356</v>
      </c>
      <c r="D1511" s="28" t="s">
        <v>8357</v>
      </c>
      <c r="E1511" s="28" t="s">
        <v>9000</v>
      </c>
      <c r="F1511" s="28" t="s">
        <v>21</v>
      </c>
      <c r="G1511" s="28" t="s">
        <v>7084</v>
      </c>
      <c r="H1511" s="28" t="s">
        <v>8359</v>
      </c>
      <c r="I1511" s="28" t="s">
        <v>9001</v>
      </c>
      <c r="J1511" s="28" t="s">
        <v>7084</v>
      </c>
      <c r="K1511" s="28" t="s">
        <v>8377</v>
      </c>
      <c r="L1511" s="28" t="s">
        <v>8362</v>
      </c>
      <c r="M1511" s="28" t="s">
        <v>9002</v>
      </c>
      <c r="N1511" s="28" t="s">
        <v>8364</v>
      </c>
      <c r="O1511" s="28" t="s">
        <v>8365</v>
      </c>
      <c r="P1511" s="28" t="s">
        <v>9003</v>
      </c>
    </row>
    <row r="1512" spans="1:16" x14ac:dyDescent="0.25">
      <c r="A1512" s="28" t="s">
        <v>9004</v>
      </c>
      <c r="B1512" s="28" t="s">
        <v>9005</v>
      </c>
      <c r="C1512" s="28" t="s">
        <v>8356</v>
      </c>
      <c r="D1512" s="28" t="s">
        <v>8397</v>
      </c>
      <c r="E1512" s="28" t="s">
        <v>9006</v>
      </c>
      <c r="F1512" s="28" t="s">
        <v>21</v>
      </c>
      <c r="G1512" s="28" t="s">
        <v>7084</v>
      </c>
      <c r="H1512" s="28" t="s">
        <v>8359</v>
      </c>
      <c r="I1512" s="28" t="s">
        <v>9007</v>
      </c>
      <c r="J1512" s="28" t="s">
        <v>7084</v>
      </c>
      <c r="K1512" s="28" t="s">
        <v>8377</v>
      </c>
      <c r="L1512" s="28" t="s">
        <v>8362</v>
      </c>
      <c r="M1512" s="28" t="s">
        <v>9008</v>
      </c>
      <c r="N1512" s="28" t="s">
        <v>8364</v>
      </c>
      <c r="O1512" s="28" t="s">
        <v>8365</v>
      </c>
      <c r="P1512" s="28" t="s">
        <v>9009</v>
      </c>
    </row>
    <row r="1513" spans="1:16" hidden="1" x14ac:dyDescent="0.25">
      <c r="A1513" s="28" t="s">
        <v>9010</v>
      </c>
      <c r="B1513" s="28" t="s">
        <v>9011</v>
      </c>
      <c r="C1513" s="28" t="s">
        <v>8356</v>
      </c>
      <c r="D1513" s="28" t="s">
        <v>4519</v>
      </c>
      <c r="E1513" s="28" t="s">
        <v>9012</v>
      </c>
      <c r="F1513" s="28" t="s">
        <v>21</v>
      </c>
      <c r="G1513" s="28" t="s">
        <v>22</v>
      </c>
      <c r="H1513" s="28" t="s">
        <v>8384</v>
      </c>
      <c r="I1513" s="28" t="s">
        <v>9013</v>
      </c>
      <c r="J1513" s="28" t="s">
        <v>8386</v>
      </c>
      <c r="K1513" s="28" t="s">
        <v>8387</v>
      </c>
      <c r="L1513" s="28" t="s">
        <v>8388</v>
      </c>
      <c r="M1513" s="28" t="s">
        <v>9014</v>
      </c>
      <c r="N1513" s="28" t="s">
        <v>8390</v>
      </c>
      <c r="O1513" s="28" t="s">
        <v>8391</v>
      </c>
    </row>
    <row r="1514" spans="1:16" hidden="1" x14ac:dyDescent="0.25">
      <c r="A1514" s="28" t="s">
        <v>9015</v>
      </c>
      <c r="B1514" s="28" t="s">
        <v>9016</v>
      </c>
      <c r="C1514" s="28" t="s">
        <v>8356</v>
      </c>
      <c r="D1514" s="28" t="s">
        <v>4699</v>
      </c>
      <c r="E1514" s="28" t="s">
        <v>9012</v>
      </c>
      <c r="F1514" s="28" t="s">
        <v>21</v>
      </c>
      <c r="G1514" s="28" t="s">
        <v>22</v>
      </c>
      <c r="H1514" s="28" t="s">
        <v>8384</v>
      </c>
      <c r="I1514" s="28" t="s">
        <v>9017</v>
      </c>
      <c r="J1514" s="28" t="s">
        <v>8386</v>
      </c>
      <c r="K1514" s="28" t="s">
        <v>8387</v>
      </c>
      <c r="L1514" s="28" t="s">
        <v>8388</v>
      </c>
      <c r="M1514" s="28" t="s">
        <v>9014</v>
      </c>
      <c r="N1514" s="28" t="s">
        <v>8390</v>
      </c>
      <c r="O1514" s="28" t="s">
        <v>8391</v>
      </c>
    </row>
    <row r="1515" spans="1:16" hidden="1" x14ac:dyDescent="0.25">
      <c r="A1515" s="28" t="s">
        <v>9018</v>
      </c>
      <c r="B1515" s="28" t="s">
        <v>9019</v>
      </c>
      <c r="C1515" s="28" t="s">
        <v>8356</v>
      </c>
      <c r="D1515" s="28" t="s">
        <v>8616</v>
      </c>
      <c r="E1515" s="28" t="s">
        <v>9012</v>
      </c>
      <c r="F1515" s="28" t="s">
        <v>21</v>
      </c>
      <c r="G1515" s="28" t="s">
        <v>22</v>
      </c>
      <c r="H1515" s="28" t="s">
        <v>8384</v>
      </c>
      <c r="I1515" s="28" t="s">
        <v>9020</v>
      </c>
      <c r="J1515" s="28" t="s">
        <v>8386</v>
      </c>
      <c r="K1515" s="28" t="s">
        <v>8387</v>
      </c>
      <c r="L1515" s="28" t="s">
        <v>8388</v>
      </c>
      <c r="M1515" s="28" t="s">
        <v>9014</v>
      </c>
      <c r="N1515" s="28" t="s">
        <v>8390</v>
      </c>
      <c r="O1515" s="28" t="s">
        <v>8391</v>
      </c>
    </row>
    <row r="1516" spans="1:16" x14ac:dyDescent="0.25">
      <c r="A1516" s="28" t="s">
        <v>9021</v>
      </c>
      <c r="B1516" s="28" t="s">
        <v>9022</v>
      </c>
      <c r="C1516" s="28" t="s">
        <v>8356</v>
      </c>
      <c r="D1516" s="28" t="s">
        <v>7233</v>
      </c>
      <c r="E1516" s="28" t="s">
        <v>9023</v>
      </c>
      <c r="F1516" s="28" t="s">
        <v>21</v>
      </c>
      <c r="G1516" s="28" t="s">
        <v>7084</v>
      </c>
      <c r="H1516" s="28" t="s">
        <v>8359</v>
      </c>
      <c r="I1516" s="28" t="s">
        <v>9024</v>
      </c>
      <c r="J1516" s="28" t="s">
        <v>7084</v>
      </c>
      <c r="K1516" s="28" t="s">
        <v>8377</v>
      </c>
      <c r="L1516" s="28" t="s">
        <v>8362</v>
      </c>
      <c r="M1516" s="28" t="s">
        <v>9025</v>
      </c>
      <c r="N1516" s="28" t="s">
        <v>8364</v>
      </c>
      <c r="O1516" s="28" t="s">
        <v>8365</v>
      </c>
      <c r="P1516" s="28" t="s">
        <v>9026</v>
      </c>
    </row>
    <row r="1517" spans="1:16" x14ac:dyDescent="0.25">
      <c r="A1517" s="28" t="s">
        <v>9027</v>
      </c>
      <c r="B1517" s="28" t="s">
        <v>9028</v>
      </c>
      <c r="C1517" s="28" t="s">
        <v>8356</v>
      </c>
      <c r="D1517" s="28" t="s">
        <v>8357</v>
      </c>
      <c r="E1517" s="28" t="s">
        <v>9029</v>
      </c>
      <c r="F1517" s="28" t="s">
        <v>21</v>
      </c>
      <c r="G1517" s="28" t="s">
        <v>7084</v>
      </c>
      <c r="H1517" s="28" t="s">
        <v>8359</v>
      </c>
      <c r="I1517" s="28" t="s">
        <v>9030</v>
      </c>
      <c r="J1517" s="28" t="s">
        <v>7084</v>
      </c>
      <c r="K1517" s="28" t="s">
        <v>8377</v>
      </c>
      <c r="L1517" s="28" t="s">
        <v>8362</v>
      </c>
      <c r="M1517" s="28" t="s">
        <v>9031</v>
      </c>
      <c r="N1517" s="28" t="s">
        <v>8364</v>
      </c>
      <c r="O1517" s="28" t="s">
        <v>8365</v>
      </c>
      <c r="P1517" s="28" t="s">
        <v>9032</v>
      </c>
    </row>
    <row r="1518" spans="1:16" x14ac:dyDescent="0.25">
      <c r="A1518" s="28" t="s">
        <v>9033</v>
      </c>
      <c r="B1518" s="28" t="s">
        <v>9034</v>
      </c>
      <c r="C1518" s="28" t="s">
        <v>8356</v>
      </c>
      <c r="D1518" s="28" t="s">
        <v>4421</v>
      </c>
      <c r="E1518" s="28" t="s">
        <v>9035</v>
      </c>
      <c r="F1518" s="28" t="s">
        <v>21</v>
      </c>
      <c r="G1518" s="28" t="s">
        <v>7084</v>
      </c>
      <c r="H1518" s="28" t="s">
        <v>8359</v>
      </c>
      <c r="I1518" s="28" t="s">
        <v>9036</v>
      </c>
      <c r="J1518" s="28" t="s">
        <v>7084</v>
      </c>
      <c r="K1518" s="28" t="s">
        <v>8377</v>
      </c>
      <c r="L1518" s="28" t="s">
        <v>8362</v>
      </c>
      <c r="M1518" s="28" t="s">
        <v>9037</v>
      </c>
      <c r="N1518" s="28" t="s">
        <v>8364</v>
      </c>
      <c r="O1518" s="28" t="s">
        <v>8365</v>
      </c>
      <c r="P1518" s="28" t="s">
        <v>9038</v>
      </c>
    </row>
    <row r="1519" spans="1:16" x14ac:dyDescent="0.25">
      <c r="A1519" s="28" t="s">
        <v>9039</v>
      </c>
      <c r="B1519" s="28" t="s">
        <v>9040</v>
      </c>
      <c r="C1519" s="28" t="s">
        <v>8356</v>
      </c>
      <c r="D1519" s="28" t="s">
        <v>5372</v>
      </c>
      <c r="E1519" s="28" t="s">
        <v>9035</v>
      </c>
      <c r="F1519" s="28" t="s">
        <v>21</v>
      </c>
      <c r="G1519" s="28" t="s">
        <v>7084</v>
      </c>
      <c r="H1519" s="28" t="s">
        <v>8359</v>
      </c>
      <c r="I1519" s="28" t="s">
        <v>9041</v>
      </c>
      <c r="J1519" s="28" t="s">
        <v>7084</v>
      </c>
      <c r="K1519" s="28" t="s">
        <v>8377</v>
      </c>
      <c r="L1519" s="28" t="s">
        <v>8362</v>
      </c>
      <c r="M1519" s="28" t="s">
        <v>9037</v>
      </c>
      <c r="N1519" s="28" t="s">
        <v>8364</v>
      </c>
      <c r="O1519" s="28" t="s">
        <v>8365</v>
      </c>
      <c r="P1519" s="28" t="s">
        <v>9042</v>
      </c>
    </row>
    <row r="1520" spans="1:16" hidden="1" x14ac:dyDescent="0.25">
      <c r="A1520" s="28" t="s">
        <v>9043</v>
      </c>
      <c r="B1520" s="28" t="s">
        <v>9044</v>
      </c>
      <c r="C1520" s="28" t="s">
        <v>8356</v>
      </c>
      <c r="D1520" s="28" t="s">
        <v>5372</v>
      </c>
      <c r="E1520" s="28" t="s">
        <v>9045</v>
      </c>
      <c r="F1520" s="28" t="s">
        <v>21</v>
      </c>
      <c r="G1520" s="28" t="s">
        <v>22</v>
      </c>
      <c r="H1520" s="28" t="s">
        <v>8384</v>
      </c>
      <c r="I1520" s="28" t="s">
        <v>9046</v>
      </c>
      <c r="J1520" s="28" t="s">
        <v>8386</v>
      </c>
      <c r="K1520" s="28" t="s">
        <v>8387</v>
      </c>
      <c r="L1520" s="28" t="s">
        <v>8388</v>
      </c>
      <c r="M1520" s="28" t="s">
        <v>9047</v>
      </c>
      <c r="N1520" s="28" t="s">
        <v>8390</v>
      </c>
      <c r="O1520" s="28" t="s">
        <v>8391</v>
      </c>
    </row>
    <row r="1521" spans="1:16" x14ac:dyDescent="0.25">
      <c r="A1521" s="28" t="s">
        <v>9048</v>
      </c>
      <c r="B1521" s="28" t="s">
        <v>9049</v>
      </c>
      <c r="C1521" s="28" t="s">
        <v>8356</v>
      </c>
      <c r="D1521" s="28" t="s">
        <v>1792</v>
      </c>
      <c r="E1521" s="28" t="s">
        <v>9050</v>
      </c>
      <c r="F1521" s="28" t="s">
        <v>21</v>
      </c>
      <c r="G1521" s="28" t="s">
        <v>7084</v>
      </c>
      <c r="H1521" s="28" t="s">
        <v>8359</v>
      </c>
      <c r="I1521" s="28" t="s">
        <v>9051</v>
      </c>
      <c r="J1521" s="28" t="s">
        <v>7084</v>
      </c>
      <c r="K1521" s="28" t="s">
        <v>8377</v>
      </c>
      <c r="L1521" s="28" t="s">
        <v>8362</v>
      </c>
      <c r="M1521" s="28" t="s">
        <v>9052</v>
      </c>
      <c r="N1521" s="28" t="s">
        <v>8364</v>
      </c>
      <c r="O1521" s="28" t="s">
        <v>8365</v>
      </c>
      <c r="P1521" s="28" t="s">
        <v>9053</v>
      </c>
    </row>
    <row r="1522" spans="1:16" x14ac:dyDescent="0.25">
      <c r="A1522" s="28" t="s">
        <v>9054</v>
      </c>
      <c r="B1522" s="28" t="s">
        <v>9055</v>
      </c>
      <c r="C1522" s="28" t="s">
        <v>8356</v>
      </c>
      <c r="D1522" s="28" t="s">
        <v>8357</v>
      </c>
      <c r="E1522" s="28" t="s">
        <v>9056</v>
      </c>
      <c r="F1522" s="28" t="s">
        <v>21</v>
      </c>
      <c r="G1522" s="28" t="s">
        <v>7084</v>
      </c>
      <c r="H1522" s="28" t="s">
        <v>8359</v>
      </c>
      <c r="I1522" s="28" t="s">
        <v>9057</v>
      </c>
      <c r="J1522" s="28" t="s">
        <v>7084</v>
      </c>
      <c r="K1522" s="28" t="s">
        <v>8377</v>
      </c>
      <c r="L1522" s="28" t="s">
        <v>8362</v>
      </c>
      <c r="M1522" s="28" t="s">
        <v>9058</v>
      </c>
      <c r="N1522" s="28" t="s">
        <v>8364</v>
      </c>
      <c r="O1522" s="28" t="s">
        <v>8365</v>
      </c>
      <c r="P1522" s="28" t="s">
        <v>9059</v>
      </c>
    </row>
    <row r="1523" spans="1:16" x14ac:dyDescent="0.25">
      <c r="A1523" s="28" t="s">
        <v>9060</v>
      </c>
      <c r="B1523" s="28" t="s">
        <v>9061</v>
      </c>
      <c r="C1523" s="28" t="s">
        <v>8356</v>
      </c>
      <c r="D1523" s="28" t="s">
        <v>8357</v>
      </c>
      <c r="E1523" s="28" t="s">
        <v>9062</v>
      </c>
      <c r="F1523" s="28" t="s">
        <v>21</v>
      </c>
      <c r="G1523" s="28" t="s">
        <v>7084</v>
      </c>
      <c r="H1523" s="28" t="s">
        <v>8359</v>
      </c>
      <c r="I1523" s="28" t="s">
        <v>9063</v>
      </c>
      <c r="J1523" s="28" t="s">
        <v>7084</v>
      </c>
      <c r="K1523" s="28" t="s">
        <v>8377</v>
      </c>
      <c r="L1523" s="28" t="s">
        <v>8362</v>
      </c>
      <c r="M1523" s="28" t="s">
        <v>9064</v>
      </c>
      <c r="N1523" s="28" t="s">
        <v>8364</v>
      </c>
      <c r="O1523" s="28" t="s">
        <v>8365</v>
      </c>
      <c r="P1523" s="28" t="s">
        <v>9065</v>
      </c>
    </row>
    <row r="1524" spans="1:16" x14ac:dyDescent="0.25">
      <c r="A1524" s="28" t="s">
        <v>9066</v>
      </c>
      <c r="B1524" s="28" t="s">
        <v>9067</v>
      </c>
      <c r="C1524" s="28" t="s">
        <v>8356</v>
      </c>
      <c r="D1524" s="28" t="s">
        <v>8397</v>
      </c>
      <c r="E1524" s="28" t="s">
        <v>9068</v>
      </c>
      <c r="F1524" s="28" t="s">
        <v>21</v>
      </c>
      <c r="G1524" s="28" t="s">
        <v>7084</v>
      </c>
      <c r="H1524" s="28" t="s">
        <v>8359</v>
      </c>
      <c r="I1524" s="28" t="s">
        <v>9069</v>
      </c>
      <c r="J1524" s="28" t="s">
        <v>7084</v>
      </c>
      <c r="K1524" s="28" t="s">
        <v>8377</v>
      </c>
      <c r="L1524" s="28" t="s">
        <v>8362</v>
      </c>
      <c r="M1524" s="28" t="s">
        <v>9070</v>
      </c>
      <c r="N1524" s="28" t="s">
        <v>8364</v>
      </c>
      <c r="O1524" s="28" t="s">
        <v>8365</v>
      </c>
      <c r="P1524" s="28" t="s">
        <v>9071</v>
      </c>
    </row>
    <row r="1525" spans="1:16" x14ac:dyDescent="0.25">
      <c r="A1525" s="28" t="s">
        <v>9072</v>
      </c>
      <c r="B1525" s="28" t="s">
        <v>9073</v>
      </c>
      <c r="C1525" s="28" t="s">
        <v>8356</v>
      </c>
      <c r="D1525" s="28" t="s">
        <v>5036</v>
      </c>
      <c r="E1525" s="28" t="s">
        <v>9068</v>
      </c>
      <c r="F1525" s="28" t="s">
        <v>21</v>
      </c>
      <c r="G1525" s="28" t="s">
        <v>7084</v>
      </c>
      <c r="H1525" s="28" t="s">
        <v>8359</v>
      </c>
      <c r="I1525" s="28" t="s">
        <v>9074</v>
      </c>
      <c r="J1525" s="28" t="s">
        <v>7084</v>
      </c>
      <c r="K1525" s="28" t="s">
        <v>8377</v>
      </c>
      <c r="L1525" s="28" t="s">
        <v>8362</v>
      </c>
      <c r="M1525" s="28" t="s">
        <v>9070</v>
      </c>
      <c r="N1525" s="28" t="s">
        <v>8364</v>
      </c>
      <c r="O1525" s="28" t="s">
        <v>8365</v>
      </c>
      <c r="P1525" s="28" t="s">
        <v>9075</v>
      </c>
    </row>
    <row r="1526" spans="1:16" hidden="1" x14ac:dyDescent="0.25">
      <c r="A1526" s="28" t="s">
        <v>9076</v>
      </c>
      <c r="B1526" s="28" t="s">
        <v>9077</v>
      </c>
      <c r="C1526" s="28" t="s">
        <v>8356</v>
      </c>
      <c r="D1526" s="28" t="s">
        <v>4699</v>
      </c>
      <c r="E1526" s="28" t="s">
        <v>9078</v>
      </c>
      <c r="F1526" s="28" t="s">
        <v>21</v>
      </c>
      <c r="G1526" s="28" t="s">
        <v>22</v>
      </c>
      <c r="H1526" s="28" t="s">
        <v>8384</v>
      </c>
      <c r="I1526" s="28" t="s">
        <v>9079</v>
      </c>
      <c r="J1526" s="28" t="s">
        <v>8386</v>
      </c>
      <c r="K1526" s="28" t="s">
        <v>8387</v>
      </c>
      <c r="L1526" s="28" t="s">
        <v>8388</v>
      </c>
      <c r="M1526" s="28" t="s">
        <v>9080</v>
      </c>
      <c r="N1526" s="28" t="s">
        <v>8390</v>
      </c>
      <c r="O1526" s="28" t="s">
        <v>8391</v>
      </c>
      <c r="P1526" s="28" t="s">
        <v>8435</v>
      </c>
    </row>
    <row r="1527" spans="1:16" hidden="1" x14ac:dyDescent="0.25">
      <c r="A1527" s="28" t="s">
        <v>9081</v>
      </c>
      <c r="B1527" s="28" t="s">
        <v>9082</v>
      </c>
      <c r="C1527" s="28" t="s">
        <v>8356</v>
      </c>
      <c r="D1527" s="28" t="s">
        <v>5990</v>
      </c>
      <c r="E1527" s="28" t="s">
        <v>9078</v>
      </c>
      <c r="F1527" s="28" t="s">
        <v>21</v>
      </c>
      <c r="G1527" s="28" t="s">
        <v>22</v>
      </c>
      <c r="H1527" s="28" t="s">
        <v>8384</v>
      </c>
      <c r="I1527" s="28" t="s">
        <v>9083</v>
      </c>
      <c r="J1527" s="28" t="s">
        <v>8386</v>
      </c>
      <c r="K1527" s="28" t="s">
        <v>8387</v>
      </c>
      <c r="L1527" s="28" t="s">
        <v>8388</v>
      </c>
      <c r="M1527" s="28" t="s">
        <v>9080</v>
      </c>
      <c r="N1527" s="28" t="s">
        <v>8390</v>
      </c>
      <c r="O1527" s="28" t="s">
        <v>8391</v>
      </c>
      <c r="P1527" s="28" t="s">
        <v>8435</v>
      </c>
    </row>
    <row r="1528" spans="1:16" x14ac:dyDescent="0.25">
      <c r="A1528" s="28" t="s">
        <v>9084</v>
      </c>
      <c r="B1528" s="28" t="s">
        <v>9085</v>
      </c>
      <c r="C1528" s="28" t="s">
        <v>8356</v>
      </c>
      <c r="D1528" s="28" t="s">
        <v>6467</v>
      </c>
      <c r="E1528" s="28" t="s">
        <v>9086</v>
      </c>
      <c r="F1528" s="28" t="s">
        <v>21</v>
      </c>
      <c r="G1528" s="28" t="s">
        <v>7084</v>
      </c>
      <c r="H1528" s="28" t="s">
        <v>8359</v>
      </c>
      <c r="I1528" s="28" t="s">
        <v>9087</v>
      </c>
      <c r="J1528" s="28" t="s">
        <v>7084</v>
      </c>
      <c r="K1528" s="28" t="s">
        <v>8377</v>
      </c>
      <c r="L1528" s="28" t="s">
        <v>8362</v>
      </c>
      <c r="M1528" s="28" t="s">
        <v>9088</v>
      </c>
      <c r="N1528" s="28" t="s">
        <v>8364</v>
      </c>
      <c r="O1528" s="28" t="s">
        <v>8365</v>
      </c>
      <c r="P1528" s="28" t="s">
        <v>9089</v>
      </c>
    </row>
    <row r="1529" spans="1:16" x14ac:dyDescent="0.25">
      <c r="A1529" s="28" t="s">
        <v>9090</v>
      </c>
      <c r="B1529" s="28" t="s">
        <v>9091</v>
      </c>
      <c r="C1529" s="28" t="s">
        <v>8356</v>
      </c>
      <c r="D1529" s="28" t="s">
        <v>4699</v>
      </c>
      <c r="E1529" s="28" t="s">
        <v>9092</v>
      </c>
      <c r="F1529" s="28" t="s">
        <v>21</v>
      </c>
      <c r="G1529" s="28" t="s">
        <v>7084</v>
      </c>
      <c r="H1529" s="28" t="s">
        <v>8359</v>
      </c>
      <c r="I1529" s="28" t="s">
        <v>9093</v>
      </c>
      <c r="J1529" s="28" t="s">
        <v>7084</v>
      </c>
      <c r="K1529" s="28" t="s">
        <v>8377</v>
      </c>
      <c r="L1529" s="28" t="s">
        <v>8362</v>
      </c>
      <c r="M1529" s="28" t="s">
        <v>9094</v>
      </c>
      <c r="N1529" s="28" t="s">
        <v>8364</v>
      </c>
      <c r="O1529" s="28" t="s">
        <v>8365</v>
      </c>
      <c r="P1529" s="28" t="s">
        <v>9095</v>
      </c>
    </row>
    <row r="1530" spans="1:16" x14ac:dyDescent="0.25">
      <c r="A1530" s="28" t="s">
        <v>9096</v>
      </c>
      <c r="B1530" s="28" t="s">
        <v>9097</v>
      </c>
      <c r="C1530" s="28" t="s">
        <v>8356</v>
      </c>
      <c r="D1530" s="28" t="s">
        <v>8616</v>
      </c>
      <c r="E1530" s="28" t="s">
        <v>9092</v>
      </c>
      <c r="F1530" s="28" t="s">
        <v>21</v>
      </c>
      <c r="G1530" s="28" t="s">
        <v>7084</v>
      </c>
      <c r="H1530" s="28" t="s">
        <v>8359</v>
      </c>
      <c r="I1530" s="28" t="s">
        <v>9098</v>
      </c>
      <c r="J1530" s="28" t="s">
        <v>7084</v>
      </c>
      <c r="K1530" s="28" t="s">
        <v>8377</v>
      </c>
      <c r="L1530" s="28" t="s">
        <v>8362</v>
      </c>
      <c r="M1530" s="28" t="s">
        <v>9094</v>
      </c>
      <c r="N1530" s="28" t="s">
        <v>8364</v>
      </c>
      <c r="O1530" s="28" t="s">
        <v>8365</v>
      </c>
      <c r="P1530" s="28" t="s">
        <v>9099</v>
      </c>
    </row>
    <row r="1531" spans="1:16" x14ac:dyDescent="0.25">
      <c r="A1531" s="28" t="s">
        <v>9100</v>
      </c>
      <c r="B1531" s="28" t="s">
        <v>9101</v>
      </c>
      <c r="C1531" s="28" t="s">
        <v>8356</v>
      </c>
      <c r="D1531" s="28" t="s">
        <v>5372</v>
      </c>
      <c r="E1531" s="28" t="s">
        <v>9092</v>
      </c>
      <c r="F1531" s="28" t="s">
        <v>21</v>
      </c>
      <c r="G1531" s="28" t="s">
        <v>7084</v>
      </c>
      <c r="H1531" s="28" t="s">
        <v>8359</v>
      </c>
      <c r="I1531" s="28" t="s">
        <v>9102</v>
      </c>
      <c r="J1531" s="28" t="s">
        <v>7084</v>
      </c>
      <c r="K1531" s="28" t="s">
        <v>8377</v>
      </c>
      <c r="L1531" s="28" t="s">
        <v>8362</v>
      </c>
      <c r="M1531" s="28" t="s">
        <v>9094</v>
      </c>
      <c r="N1531" s="28" t="s">
        <v>8364</v>
      </c>
      <c r="O1531" s="28" t="s">
        <v>8365</v>
      </c>
      <c r="P1531" s="28" t="s">
        <v>9103</v>
      </c>
    </row>
    <row r="1532" spans="1:16" x14ac:dyDescent="0.25">
      <c r="A1532" s="28" t="s">
        <v>9104</v>
      </c>
      <c r="B1532" s="28" t="s">
        <v>9105</v>
      </c>
      <c r="C1532" s="28" t="s">
        <v>8356</v>
      </c>
      <c r="D1532" s="28" t="s">
        <v>8357</v>
      </c>
      <c r="E1532" s="28" t="s">
        <v>9106</v>
      </c>
      <c r="F1532" s="28" t="s">
        <v>21</v>
      </c>
      <c r="G1532" s="28" t="s">
        <v>39</v>
      </c>
      <c r="H1532" s="28" t="s">
        <v>8359</v>
      </c>
      <c r="I1532" s="28" t="s">
        <v>9107</v>
      </c>
      <c r="J1532" s="28" t="s">
        <v>39</v>
      </c>
      <c r="K1532" s="28" t="s">
        <v>9108</v>
      </c>
      <c r="L1532" s="28" t="s">
        <v>8362</v>
      </c>
      <c r="M1532" s="28" t="s">
        <v>9109</v>
      </c>
      <c r="N1532" s="28" t="s">
        <v>8364</v>
      </c>
      <c r="O1532" s="28" t="s">
        <v>8365</v>
      </c>
      <c r="P1532" s="28" t="s">
        <v>9110</v>
      </c>
    </row>
    <row r="1533" spans="1:16" x14ac:dyDescent="0.25">
      <c r="A1533" s="28" t="s">
        <v>9111</v>
      </c>
      <c r="B1533" s="28" t="s">
        <v>9112</v>
      </c>
      <c r="C1533" s="28" t="s">
        <v>8356</v>
      </c>
      <c r="D1533" s="28" t="s">
        <v>8397</v>
      </c>
      <c r="E1533" s="28" t="s">
        <v>9113</v>
      </c>
      <c r="F1533" s="28" t="s">
        <v>21</v>
      </c>
      <c r="G1533" s="28" t="s">
        <v>7084</v>
      </c>
      <c r="H1533" s="28" t="s">
        <v>8359</v>
      </c>
      <c r="I1533" s="28" t="s">
        <v>9114</v>
      </c>
      <c r="J1533" s="28" t="s">
        <v>7084</v>
      </c>
      <c r="K1533" s="28" t="s">
        <v>8377</v>
      </c>
      <c r="L1533" s="28" t="s">
        <v>8362</v>
      </c>
      <c r="M1533" s="28" t="s">
        <v>9115</v>
      </c>
      <c r="N1533" s="28" t="s">
        <v>8364</v>
      </c>
      <c r="O1533" s="28" t="s">
        <v>8365</v>
      </c>
      <c r="P1533" s="28" t="s">
        <v>9116</v>
      </c>
    </row>
    <row r="1534" spans="1:16" x14ac:dyDescent="0.25">
      <c r="A1534" s="28" t="s">
        <v>9117</v>
      </c>
      <c r="B1534" s="28" t="s">
        <v>9118</v>
      </c>
      <c r="C1534" s="28" t="s">
        <v>8356</v>
      </c>
      <c r="D1534" s="28" t="s">
        <v>4519</v>
      </c>
      <c r="E1534" s="28" t="s">
        <v>9119</v>
      </c>
      <c r="F1534" s="28" t="s">
        <v>21</v>
      </c>
      <c r="G1534" s="28" t="s">
        <v>7084</v>
      </c>
      <c r="H1534" s="28" t="s">
        <v>8359</v>
      </c>
      <c r="I1534" s="28" t="s">
        <v>9120</v>
      </c>
      <c r="J1534" s="28" t="s">
        <v>7084</v>
      </c>
      <c r="K1534" s="28" t="s">
        <v>8377</v>
      </c>
      <c r="L1534" s="28" t="s">
        <v>8362</v>
      </c>
      <c r="M1534" s="28" t="s">
        <v>9121</v>
      </c>
      <c r="N1534" s="28" t="s">
        <v>8364</v>
      </c>
      <c r="O1534" s="28" t="s">
        <v>8365</v>
      </c>
      <c r="P1534" s="28" t="s">
        <v>9122</v>
      </c>
    </row>
    <row r="1535" spans="1:16" x14ac:dyDescent="0.25">
      <c r="A1535" s="28" t="s">
        <v>9123</v>
      </c>
      <c r="B1535" s="28" t="s">
        <v>9124</v>
      </c>
      <c r="C1535" s="28" t="s">
        <v>8356</v>
      </c>
      <c r="D1535" s="28" t="s">
        <v>8357</v>
      </c>
      <c r="E1535" s="28" t="s">
        <v>9125</v>
      </c>
      <c r="F1535" s="28" t="s">
        <v>21</v>
      </c>
      <c r="G1535" s="28" t="s">
        <v>7084</v>
      </c>
      <c r="H1535" s="28" t="s">
        <v>8359</v>
      </c>
      <c r="I1535" s="28" t="s">
        <v>9126</v>
      </c>
      <c r="J1535" s="28" t="s">
        <v>7084</v>
      </c>
      <c r="K1535" s="28" t="s">
        <v>8377</v>
      </c>
      <c r="L1535" s="28" t="s">
        <v>8362</v>
      </c>
      <c r="M1535" s="28" t="s">
        <v>9127</v>
      </c>
      <c r="N1535" s="28" t="s">
        <v>8364</v>
      </c>
      <c r="O1535" s="28" t="s">
        <v>8365</v>
      </c>
      <c r="P1535" s="28" t="s">
        <v>9128</v>
      </c>
    </row>
    <row r="1536" spans="1:16" x14ac:dyDescent="0.25">
      <c r="A1536" s="28" t="s">
        <v>9129</v>
      </c>
      <c r="B1536" s="28" t="s">
        <v>9130</v>
      </c>
      <c r="C1536" s="28" t="s">
        <v>8356</v>
      </c>
      <c r="D1536" s="28" t="s">
        <v>8357</v>
      </c>
      <c r="E1536" s="28" t="s">
        <v>9131</v>
      </c>
      <c r="F1536" s="28" t="s">
        <v>21</v>
      </c>
      <c r="G1536" s="28" t="s">
        <v>7084</v>
      </c>
      <c r="H1536" s="28" t="s">
        <v>8359</v>
      </c>
      <c r="I1536" s="28" t="s">
        <v>9132</v>
      </c>
      <c r="J1536" s="28" t="s">
        <v>7084</v>
      </c>
      <c r="K1536" s="28" t="s">
        <v>8377</v>
      </c>
      <c r="L1536" s="28" t="s">
        <v>8362</v>
      </c>
      <c r="M1536" s="28" t="s">
        <v>9133</v>
      </c>
      <c r="N1536" s="28" t="s">
        <v>8364</v>
      </c>
      <c r="O1536" s="28" t="s">
        <v>8365</v>
      </c>
      <c r="P1536" s="28" t="s">
        <v>9134</v>
      </c>
    </row>
    <row r="1537" spans="1:16" x14ac:dyDescent="0.25">
      <c r="A1537" s="28" t="s">
        <v>9135</v>
      </c>
      <c r="B1537" s="28" t="s">
        <v>9136</v>
      </c>
      <c r="C1537" s="28" t="s">
        <v>8356</v>
      </c>
      <c r="D1537" s="28" t="s">
        <v>8357</v>
      </c>
      <c r="E1537" s="28" t="s">
        <v>9137</v>
      </c>
      <c r="F1537" s="28" t="s">
        <v>21</v>
      </c>
      <c r="G1537" s="28" t="s">
        <v>7084</v>
      </c>
      <c r="H1537" s="28" t="s">
        <v>8359</v>
      </c>
      <c r="I1537" s="28" t="s">
        <v>9138</v>
      </c>
      <c r="J1537" s="28" t="s">
        <v>7084</v>
      </c>
      <c r="K1537" s="28" t="s">
        <v>8377</v>
      </c>
      <c r="L1537" s="28" t="s">
        <v>8362</v>
      </c>
      <c r="M1537" s="28" t="s">
        <v>9139</v>
      </c>
      <c r="N1537" s="28" t="s">
        <v>8364</v>
      </c>
      <c r="O1537" s="28" t="s">
        <v>8365</v>
      </c>
      <c r="P1537" s="28" t="s">
        <v>9140</v>
      </c>
    </row>
    <row r="1538" spans="1:16" x14ac:dyDescent="0.25">
      <c r="A1538" s="28" t="s">
        <v>9141</v>
      </c>
      <c r="B1538" s="28" t="s">
        <v>9142</v>
      </c>
      <c r="C1538" s="28" t="s">
        <v>8356</v>
      </c>
      <c r="D1538" s="28" t="s">
        <v>8357</v>
      </c>
      <c r="E1538" s="28" t="s">
        <v>9143</v>
      </c>
      <c r="F1538" s="28" t="s">
        <v>21</v>
      </c>
      <c r="G1538" s="28" t="s">
        <v>7084</v>
      </c>
      <c r="H1538" s="28" t="s">
        <v>8359</v>
      </c>
      <c r="I1538" s="28" t="s">
        <v>9144</v>
      </c>
      <c r="J1538" s="28" t="s">
        <v>7084</v>
      </c>
      <c r="K1538" s="28" t="s">
        <v>8377</v>
      </c>
      <c r="L1538" s="28" t="s">
        <v>8362</v>
      </c>
      <c r="M1538" s="28" t="s">
        <v>9145</v>
      </c>
      <c r="N1538" s="28" t="s">
        <v>8364</v>
      </c>
      <c r="O1538" s="28" t="s">
        <v>8365</v>
      </c>
      <c r="P1538" s="28" t="s">
        <v>9146</v>
      </c>
    </row>
    <row r="1539" spans="1:16" x14ac:dyDescent="0.25">
      <c r="A1539" s="28" t="s">
        <v>9147</v>
      </c>
      <c r="B1539" s="28" t="s">
        <v>9148</v>
      </c>
      <c r="C1539" s="28" t="s">
        <v>8356</v>
      </c>
      <c r="D1539" s="28" t="s">
        <v>5372</v>
      </c>
      <c r="E1539" s="28" t="s">
        <v>9149</v>
      </c>
      <c r="F1539" s="28" t="s">
        <v>21</v>
      </c>
      <c r="G1539" s="28" t="s">
        <v>7084</v>
      </c>
      <c r="H1539" s="28" t="s">
        <v>8359</v>
      </c>
      <c r="I1539" s="28" t="s">
        <v>9150</v>
      </c>
      <c r="J1539" s="28" t="s">
        <v>7084</v>
      </c>
      <c r="K1539" s="28" t="s">
        <v>8377</v>
      </c>
      <c r="L1539" s="28" t="s">
        <v>8362</v>
      </c>
      <c r="M1539" s="28" t="s">
        <v>9151</v>
      </c>
      <c r="N1539" s="28" t="s">
        <v>8364</v>
      </c>
      <c r="O1539" s="28" t="s">
        <v>8365</v>
      </c>
      <c r="P1539" s="28" t="s">
        <v>9152</v>
      </c>
    </row>
    <row r="1540" spans="1:16" x14ac:dyDescent="0.25">
      <c r="A1540" s="28" t="s">
        <v>9153</v>
      </c>
      <c r="B1540" s="28" t="s">
        <v>9154</v>
      </c>
      <c r="C1540" s="28" t="s">
        <v>8356</v>
      </c>
      <c r="D1540" s="28" t="s">
        <v>8357</v>
      </c>
      <c r="E1540" s="28" t="s">
        <v>9155</v>
      </c>
      <c r="F1540" s="28" t="s">
        <v>21</v>
      </c>
      <c r="G1540" s="28" t="s">
        <v>7084</v>
      </c>
      <c r="H1540" s="28" t="s">
        <v>8359</v>
      </c>
      <c r="I1540" s="28" t="s">
        <v>9156</v>
      </c>
      <c r="J1540" s="28" t="s">
        <v>7084</v>
      </c>
      <c r="K1540" s="28" t="s">
        <v>8377</v>
      </c>
      <c r="L1540" s="28" t="s">
        <v>8362</v>
      </c>
      <c r="M1540" s="28" t="s">
        <v>9157</v>
      </c>
      <c r="N1540" s="28" t="s">
        <v>8364</v>
      </c>
      <c r="O1540" s="28" t="s">
        <v>8365</v>
      </c>
      <c r="P1540" s="28" t="s">
        <v>9158</v>
      </c>
    </row>
    <row r="1541" spans="1:16" x14ac:dyDescent="0.25">
      <c r="A1541" s="28" t="s">
        <v>9159</v>
      </c>
      <c r="B1541" s="28" t="s">
        <v>9160</v>
      </c>
      <c r="C1541" s="28" t="s">
        <v>8356</v>
      </c>
      <c r="D1541" s="28" t="s">
        <v>8357</v>
      </c>
      <c r="E1541" s="28" t="s">
        <v>9161</v>
      </c>
      <c r="F1541" s="28" t="s">
        <v>21</v>
      </c>
      <c r="G1541" s="28" t="s">
        <v>7084</v>
      </c>
      <c r="H1541" s="28" t="s">
        <v>8359</v>
      </c>
      <c r="I1541" s="28" t="s">
        <v>9162</v>
      </c>
      <c r="J1541" s="28" t="s">
        <v>7084</v>
      </c>
      <c r="K1541" s="28" t="s">
        <v>8927</v>
      </c>
      <c r="L1541" s="28" t="s">
        <v>8362</v>
      </c>
      <c r="M1541" s="28" t="s">
        <v>9163</v>
      </c>
      <c r="N1541" s="28" t="s">
        <v>8364</v>
      </c>
      <c r="O1541" s="28" t="s">
        <v>8365</v>
      </c>
      <c r="P1541" s="28" t="s">
        <v>9164</v>
      </c>
    </row>
    <row r="1542" spans="1:16" x14ac:dyDescent="0.25">
      <c r="A1542" s="28" t="s">
        <v>9165</v>
      </c>
      <c r="B1542" s="28" t="s">
        <v>9166</v>
      </c>
      <c r="C1542" s="28" t="s">
        <v>8356</v>
      </c>
      <c r="D1542" s="28" t="s">
        <v>8357</v>
      </c>
      <c r="E1542" s="28" t="s">
        <v>9167</v>
      </c>
      <c r="F1542" s="28" t="s">
        <v>21</v>
      </c>
      <c r="G1542" s="28" t="s">
        <v>39</v>
      </c>
      <c r="H1542" s="28" t="s">
        <v>8359</v>
      </c>
      <c r="I1542" s="28" t="s">
        <v>9168</v>
      </c>
      <c r="J1542" s="28" t="s">
        <v>39</v>
      </c>
      <c r="K1542" s="28" t="s">
        <v>8361</v>
      </c>
      <c r="L1542" s="28" t="s">
        <v>8362</v>
      </c>
      <c r="M1542" s="28" t="s">
        <v>8443</v>
      </c>
      <c r="N1542" s="28" t="s">
        <v>8364</v>
      </c>
      <c r="O1542" s="28" t="s">
        <v>8365</v>
      </c>
      <c r="P1542" s="28" t="s">
        <v>9169</v>
      </c>
    </row>
    <row r="1543" spans="1:16" hidden="1" x14ac:dyDescent="0.25">
      <c r="A1543" s="28" t="s">
        <v>9170</v>
      </c>
      <c r="B1543" s="28" t="s">
        <v>9171</v>
      </c>
      <c r="C1543" s="28" t="s">
        <v>8356</v>
      </c>
      <c r="D1543" s="28" t="s">
        <v>4667</v>
      </c>
      <c r="E1543" s="28" t="s">
        <v>9172</v>
      </c>
      <c r="F1543" s="28" t="s">
        <v>21</v>
      </c>
      <c r="G1543" s="28" t="s">
        <v>22</v>
      </c>
      <c r="H1543" s="28" t="s">
        <v>8384</v>
      </c>
      <c r="I1543" s="28" t="s">
        <v>9173</v>
      </c>
      <c r="J1543" s="28" t="s">
        <v>9174</v>
      </c>
      <c r="K1543" s="28" t="s">
        <v>9175</v>
      </c>
      <c r="L1543" s="28" t="s">
        <v>8388</v>
      </c>
      <c r="M1543" s="28" t="s">
        <v>9176</v>
      </c>
      <c r="N1543" s="28" t="s">
        <v>8390</v>
      </c>
      <c r="O1543" s="28" t="s">
        <v>8391</v>
      </c>
      <c r="P1543" s="28" t="s">
        <v>8435</v>
      </c>
    </row>
    <row r="1544" spans="1:16" hidden="1" x14ac:dyDescent="0.25">
      <c r="A1544" s="28" t="s">
        <v>9177</v>
      </c>
      <c r="B1544" s="28" t="s">
        <v>9178</v>
      </c>
      <c r="C1544" s="28" t="s">
        <v>8356</v>
      </c>
      <c r="D1544" s="28" t="s">
        <v>8397</v>
      </c>
      <c r="E1544" s="28" t="s">
        <v>9172</v>
      </c>
      <c r="F1544" s="28" t="s">
        <v>21</v>
      </c>
      <c r="G1544" s="28" t="s">
        <v>22</v>
      </c>
      <c r="H1544" s="28" t="s">
        <v>8384</v>
      </c>
      <c r="I1544" s="28" t="s">
        <v>9179</v>
      </c>
      <c r="J1544" s="28" t="s">
        <v>9174</v>
      </c>
      <c r="K1544" s="28" t="s">
        <v>9175</v>
      </c>
      <c r="L1544" s="28" t="s">
        <v>8388</v>
      </c>
      <c r="M1544" s="28" t="s">
        <v>9176</v>
      </c>
      <c r="N1544" s="28" t="s">
        <v>8390</v>
      </c>
      <c r="O1544" s="28" t="s">
        <v>8391</v>
      </c>
      <c r="P1544" s="28" t="s">
        <v>8435</v>
      </c>
    </row>
    <row r="1545" spans="1:16" hidden="1" x14ac:dyDescent="0.25">
      <c r="A1545" s="28" t="s">
        <v>9180</v>
      </c>
      <c r="B1545" s="28" t="s">
        <v>9181</v>
      </c>
      <c r="C1545" s="28" t="s">
        <v>8356</v>
      </c>
      <c r="D1545" s="28" t="s">
        <v>7220</v>
      </c>
      <c r="E1545" s="28" t="s">
        <v>9172</v>
      </c>
      <c r="F1545" s="28" t="s">
        <v>21</v>
      </c>
      <c r="G1545" s="28" t="s">
        <v>22</v>
      </c>
      <c r="H1545" s="28" t="s">
        <v>8384</v>
      </c>
      <c r="I1545" s="28" t="s">
        <v>9182</v>
      </c>
      <c r="J1545" s="28" t="s">
        <v>9174</v>
      </c>
      <c r="K1545" s="28" t="s">
        <v>9175</v>
      </c>
      <c r="L1545" s="28" t="s">
        <v>8388</v>
      </c>
      <c r="M1545" s="28" t="s">
        <v>9176</v>
      </c>
      <c r="N1545" s="28" t="s">
        <v>8390</v>
      </c>
      <c r="O1545" s="28" t="s">
        <v>8391</v>
      </c>
      <c r="P1545" s="28" t="s">
        <v>8435</v>
      </c>
    </row>
    <row r="1546" spans="1:16" hidden="1" x14ac:dyDescent="0.25">
      <c r="A1546" s="28" t="s">
        <v>9183</v>
      </c>
      <c r="B1546" s="28" t="s">
        <v>9184</v>
      </c>
      <c r="C1546" s="28" t="s">
        <v>8356</v>
      </c>
      <c r="D1546" s="28" t="s">
        <v>120</v>
      </c>
      <c r="E1546" s="28" t="s">
        <v>9172</v>
      </c>
      <c r="F1546" s="28" t="s">
        <v>21</v>
      </c>
      <c r="G1546" s="28" t="s">
        <v>22</v>
      </c>
      <c r="H1546" s="28" t="s">
        <v>8384</v>
      </c>
      <c r="I1546" s="28" t="s">
        <v>9185</v>
      </c>
      <c r="J1546" s="28" t="s">
        <v>9174</v>
      </c>
      <c r="K1546" s="28" t="s">
        <v>9175</v>
      </c>
      <c r="L1546" s="28" t="s">
        <v>8388</v>
      </c>
      <c r="M1546" s="28" t="s">
        <v>9176</v>
      </c>
      <c r="N1546" s="28" t="s">
        <v>8390</v>
      </c>
      <c r="O1546" s="28" t="s">
        <v>8391</v>
      </c>
      <c r="P1546" s="28" t="s">
        <v>8435</v>
      </c>
    </row>
    <row r="1547" spans="1:16" hidden="1" x14ac:dyDescent="0.25">
      <c r="A1547" s="28" t="s">
        <v>9186</v>
      </c>
      <c r="B1547" s="28" t="s">
        <v>9187</v>
      </c>
      <c r="C1547" s="28" t="s">
        <v>8356</v>
      </c>
      <c r="D1547" s="28" t="s">
        <v>5372</v>
      </c>
      <c r="E1547" s="28" t="s">
        <v>9172</v>
      </c>
      <c r="F1547" s="28" t="s">
        <v>21</v>
      </c>
      <c r="G1547" s="28" t="s">
        <v>22</v>
      </c>
      <c r="H1547" s="28" t="s">
        <v>8384</v>
      </c>
      <c r="I1547" s="28" t="s">
        <v>9188</v>
      </c>
      <c r="J1547" s="28" t="s">
        <v>9174</v>
      </c>
      <c r="K1547" s="28" t="s">
        <v>9175</v>
      </c>
      <c r="L1547" s="28" t="s">
        <v>8388</v>
      </c>
      <c r="M1547" s="28" t="s">
        <v>9176</v>
      </c>
      <c r="N1547" s="28" t="s">
        <v>8390</v>
      </c>
      <c r="O1547" s="28" t="s">
        <v>8391</v>
      </c>
      <c r="P1547" s="28" t="s">
        <v>8435</v>
      </c>
    </row>
    <row r="1548" spans="1:16" x14ac:dyDescent="0.25">
      <c r="A1548" s="28" t="s">
        <v>9189</v>
      </c>
      <c r="B1548" s="28" t="s">
        <v>9190</v>
      </c>
      <c r="C1548" s="28" t="s">
        <v>8356</v>
      </c>
      <c r="D1548" s="28" t="s">
        <v>8357</v>
      </c>
      <c r="E1548" s="28" t="s">
        <v>9191</v>
      </c>
      <c r="F1548" s="28" t="s">
        <v>21</v>
      </c>
      <c r="G1548" s="28" t="s">
        <v>39</v>
      </c>
      <c r="H1548" s="28" t="s">
        <v>8359</v>
      </c>
      <c r="I1548" s="28" t="s">
        <v>9192</v>
      </c>
      <c r="J1548" s="28" t="s">
        <v>39</v>
      </c>
      <c r="K1548" s="28" t="s">
        <v>8361</v>
      </c>
      <c r="L1548" s="28" t="s">
        <v>8362</v>
      </c>
      <c r="M1548" s="28" t="s">
        <v>8443</v>
      </c>
      <c r="N1548" s="28" t="s">
        <v>8364</v>
      </c>
      <c r="O1548" s="28" t="s">
        <v>8365</v>
      </c>
      <c r="P1548" s="28" t="s">
        <v>9193</v>
      </c>
    </row>
    <row r="1549" spans="1:16" x14ac:dyDescent="0.25">
      <c r="A1549" s="28" t="s">
        <v>9194</v>
      </c>
      <c r="B1549" s="28" t="s">
        <v>9195</v>
      </c>
      <c r="C1549" s="28" t="s">
        <v>8356</v>
      </c>
      <c r="D1549" s="28" t="s">
        <v>8357</v>
      </c>
      <c r="E1549" s="28" t="s">
        <v>9196</v>
      </c>
      <c r="F1549" s="28" t="s">
        <v>21</v>
      </c>
      <c r="G1549" s="28" t="s">
        <v>7084</v>
      </c>
      <c r="H1549" s="28" t="s">
        <v>8359</v>
      </c>
      <c r="I1549" s="28" t="s">
        <v>9197</v>
      </c>
      <c r="J1549" s="28" t="s">
        <v>7084</v>
      </c>
      <c r="K1549" s="28" t="s">
        <v>8377</v>
      </c>
      <c r="L1549" s="28" t="s">
        <v>8362</v>
      </c>
      <c r="M1549" s="28" t="s">
        <v>9198</v>
      </c>
      <c r="N1549" s="28" t="s">
        <v>8364</v>
      </c>
      <c r="O1549" s="28" t="s">
        <v>8365</v>
      </c>
      <c r="P1549" s="28" t="s">
        <v>9199</v>
      </c>
    </row>
    <row r="1550" spans="1:16" x14ac:dyDescent="0.25">
      <c r="A1550" s="28" t="s">
        <v>9200</v>
      </c>
      <c r="B1550" s="28" t="s">
        <v>9201</v>
      </c>
      <c r="C1550" s="28" t="s">
        <v>8356</v>
      </c>
      <c r="D1550" s="28" t="s">
        <v>8357</v>
      </c>
      <c r="E1550" s="28" t="s">
        <v>9202</v>
      </c>
      <c r="F1550" s="28" t="s">
        <v>21</v>
      </c>
      <c r="G1550" s="28" t="s">
        <v>7084</v>
      </c>
      <c r="H1550" s="28" t="s">
        <v>8359</v>
      </c>
      <c r="I1550" s="28" t="s">
        <v>9203</v>
      </c>
      <c r="J1550" s="28" t="s">
        <v>7084</v>
      </c>
      <c r="K1550" s="28" t="s">
        <v>8377</v>
      </c>
      <c r="L1550" s="28" t="s">
        <v>8362</v>
      </c>
      <c r="M1550" s="28" t="s">
        <v>9204</v>
      </c>
      <c r="N1550" s="28" t="s">
        <v>8364</v>
      </c>
      <c r="O1550" s="28" t="s">
        <v>8365</v>
      </c>
      <c r="P1550" s="28" t="s">
        <v>9205</v>
      </c>
    </row>
    <row r="1551" spans="1:16" x14ac:dyDescent="0.25">
      <c r="A1551" s="28" t="s">
        <v>9206</v>
      </c>
      <c r="B1551" s="28" t="s">
        <v>9207</v>
      </c>
      <c r="C1551" s="28" t="s">
        <v>8356</v>
      </c>
      <c r="D1551" s="28" t="s">
        <v>19</v>
      </c>
      <c r="E1551" s="28" t="s">
        <v>9208</v>
      </c>
      <c r="F1551" s="28" t="s">
        <v>21</v>
      </c>
      <c r="G1551" s="28" t="s">
        <v>7084</v>
      </c>
      <c r="H1551" s="28" t="s">
        <v>8359</v>
      </c>
      <c r="I1551" s="28" t="s">
        <v>9209</v>
      </c>
      <c r="J1551" s="28" t="s">
        <v>7084</v>
      </c>
      <c r="K1551" s="28" t="s">
        <v>8377</v>
      </c>
      <c r="L1551" s="28" t="s">
        <v>8362</v>
      </c>
      <c r="M1551" s="28" t="s">
        <v>9210</v>
      </c>
      <c r="N1551" s="28" t="s">
        <v>8364</v>
      </c>
      <c r="O1551" s="28" t="s">
        <v>8365</v>
      </c>
      <c r="P1551" s="28" t="s">
        <v>9211</v>
      </c>
    </row>
    <row r="1552" spans="1:16" hidden="1" x14ac:dyDescent="0.25">
      <c r="A1552" s="28" t="s">
        <v>9212</v>
      </c>
      <c r="B1552" s="28" t="s">
        <v>9213</v>
      </c>
      <c r="C1552" s="28" t="s">
        <v>9214</v>
      </c>
      <c r="D1552" s="28" t="s">
        <v>133</v>
      </c>
      <c r="F1552" s="28" t="s">
        <v>21</v>
      </c>
      <c r="G1552" s="28" t="s">
        <v>22</v>
      </c>
      <c r="H1552" s="28" t="s">
        <v>9215</v>
      </c>
      <c r="I1552" s="28" t="s">
        <v>9216</v>
      </c>
      <c r="J1552" s="28" t="s">
        <v>9217</v>
      </c>
      <c r="K1552" s="28" t="s">
        <v>9218</v>
      </c>
      <c r="L1552" s="28" t="s">
        <v>9219</v>
      </c>
      <c r="M1552" s="28" t="s">
        <v>9220</v>
      </c>
      <c r="N1552" s="28" t="s">
        <v>9221</v>
      </c>
      <c r="O1552" s="28" t="s">
        <v>9222</v>
      </c>
      <c r="P1552" s="28" t="s">
        <v>9223</v>
      </c>
    </row>
    <row r="1553" spans="1:16" hidden="1" x14ac:dyDescent="0.25">
      <c r="A1553" s="28" t="s">
        <v>9224</v>
      </c>
      <c r="B1553" s="28" t="s">
        <v>9225</v>
      </c>
      <c r="C1553" s="28" t="s">
        <v>9214</v>
      </c>
      <c r="D1553" s="28" t="s">
        <v>1145</v>
      </c>
      <c r="F1553" s="28" t="s">
        <v>21</v>
      </c>
      <c r="G1553" s="28" t="s">
        <v>22</v>
      </c>
      <c r="H1553" s="28" t="s">
        <v>9215</v>
      </c>
      <c r="I1553" s="28" t="s">
        <v>9226</v>
      </c>
      <c r="J1553" s="28" t="s">
        <v>9217</v>
      </c>
      <c r="K1553" s="28" t="s">
        <v>9218</v>
      </c>
      <c r="L1553" s="28" t="s">
        <v>9219</v>
      </c>
      <c r="M1553" s="28" t="s">
        <v>9220</v>
      </c>
      <c r="N1553" s="28" t="s">
        <v>9221</v>
      </c>
      <c r="O1553" s="28" t="s">
        <v>9222</v>
      </c>
      <c r="P1553" s="28" t="s">
        <v>9223</v>
      </c>
    </row>
    <row r="1554" spans="1:16" hidden="1" x14ac:dyDescent="0.25">
      <c r="A1554" s="28" t="s">
        <v>9227</v>
      </c>
      <c r="B1554" s="28" t="s">
        <v>9228</v>
      </c>
      <c r="C1554" s="28" t="s">
        <v>9214</v>
      </c>
      <c r="D1554" s="28" t="s">
        <v>1078</v>
      </c>
      <c r="F1554" s="28" t="s">
        <v>21</v>
      </c>
      <c r="G1554" s="28" t="s">
        <v>22</v>
      </c>
      <c r="H1554" s="28" t="s">
        <v>9215</v>
      </c>
      <c r="I1554" s="28" t="s">
        <v>9229</v>
      </c>
      <c r="J1554" s="28" t="s">
        <v>9217</v>
      </c>
      <c r="K1554" s="28" t="s">
        <v>9218</v>
      </c>
      <c r="L1554" s="28" t="s">
        <v>9219</v>
      </c>
      <c r="M1554" s="28" t="s">
        <v>9220</v>
      </c>
      <c r="N1554" s="28" t="s">
        <v>9221</v>
      </c>
      <c r="O1554" s="28" t="s">
        <v>9222</v>
      </c>
      <c r="P1554" s="28" t="s">
        <v>9223</v>
      </c>
    </row>
    <row r="1555" spans="1:16" hidden="1" x14ac:dyDescent="0.25">
      <c r="A1555" s="28" t="s">
        <v>9230</v>
      </c>
      <c r="B1555" s="28" t="s">
        <v>9231</v>
      </c>
      <c r="C1555" s="28" t="s">
        <v>9214</v>
      </c>
      <c r="D1555" s="28" t="s">
        <v>69</v>
      </c>
      <c r="F1555" s="28" t="s">
        <v>21</v>
      </c>
      <c r="G1555" s="28" t="s">
        <v>22</v>
      </c>
      <c r="H1555" s="28" t="s">
        <v>9215</v>
      </c>
      <c r="I1555" s="28" t="s">
        <v>9232</v>
      </c>
      <c r="J1555" s="28" t="s">
        <v>9217</v>
      </c>
      <c r="K1555" s="28" t="s">
        <v>9218</v>
      </c>
      <c r="L1555" s="28" t="s">
        <v>9219</v>
      </c>
      <c r="M1555" s="28" t="s">
        <v>9220</v>
      </c>
      <c r="N1555" s="28" t="s">
        <v>9221</v>
      </c>
      <c r="O1555" s="28" t="s">
        <v>9222</v>
      </c>
      <c r="P1555" s="28" t="s">
        <v>9223</v>
      </c>
    </row>
    <row r="1556" spans="1:16" hidden="1" x14ac:dyDescent="0.25">
      <c r="A1556" s="28" t="s">
        <v>9233</v>
      </c>
      <c r="B1556" s="28" t="s">
        <v>9234</v>
      </c>
      <c r="C1556" s="28" t="s">
        <v>9214</v>
      </c>
      <c r="D1556" s="28" t="s">
        <v>5482</v>
      </c>
      <c r="F1556" s="28" t="s">
        <v>21</v>
      </c>
      <c r="G1556" s="28" t="s">
        <v>22</v>
      </c>
      <c r="H1556" s="28" t="s">
        <v>9215</v>
      </c>
      <c r="I1556" s="28" t="s">
        <v>9235</v>
      </c>
      <c r="J1556" s="28" t="s">
        <v>9217</v>
      </c>
      <c r="K1556" s="28" t="s">
        <v>9218</v>
      </c>
      <c r="L1556" s="28" t="s">
        <v>9219</v>
      </c>
      <c r="M1556" s="28" t="s">
        <v>9220</v>
      </c>
      <c r="N1556" s="28" t="s">
        <v>9221</v>
      </c>
      <c r="O1556" s="28" t="s">
        <v>9222</v>
      </c>
      <c r="P1556" s="28" t="s">
        <v>9223</v>
      </c>
    </row>
    <row r="1557" spans="1:16" hidden="1" x14ac:dyDescent="0.25">
      <c r="A1557" s="28" t="s">
        <v>9236</v>
      </c>
      <c r="B1557" s="28" t="s">
        <v>9237</v>
      </c>
      <c r="C1557" s="28" t="s">
        <v>9214</v>
      </c>
      <c r="D1557" s="28" t="s">
        <v>4101</v>
      </c>
      <c r="F1557" s="28" t="s">
        <v>21</v>
      </c>
      <c r="G1557" s="28" t="s">
        <v>22</v>
      </c>
      <c r="H1557" s="28" t="s">
        <v>9215</v>
      </c>
      <c r="I1557" s="28" t="s">
        <v>9238</v>
      </c>
      <c r="J1557" s="28" t="s">
        <v>9217</v>
      </c>
      <c r="K1557" s="28" t="s">
        <v>9218</v>
      </c>
      <c r="L1557" s="28" t="s">
        <v>9219</v>
      </c>
      <c r="M1557" s="28" t="s">
        <v>9220</v>
      </c>
      <c r="N1557" s="28" t="s">
        <v>9221</v>
      </c>
      <c r="O1557" s="28" t="s">
        <v>9222</v>
      </c>
      <c r="P1557" s="28" t="s">
        <v>9223</v>
      </c>
    </row>
    <row r="1558" spans="1:16" hidden="1" x14ac:dyDescent="0.25">
      <c r="A1558" s="28" t="s">
        <v>9239</v>
      </c>
      <c r="B1558" s="28" t="s">
        <v>9240</v>
      </c>
      <c r="C1558" s="28" t="s">
        <v>9214</v>
      </c>
      <c r="D1558" s="28" t="s">
        <v>9241</v>
      </c>
      <c r="F1558" s="28" t="s">
        <v>21</v>
      </c>
      <c r="G1558" s="28" t="s">
        <v>22</v>
      </c>
      <c r="H1558" s="28" t="s">
        <v>9215</v>
      </c>
      <c r="I1558" s="28" t="s">
        <v>9242</v>
      </c>
      <c r="J1558" s="28" t="s">
        <v>9217</v>
      </c>
      <c r="K1558" s="28" t="s">
        <v>9218</v>
      </c>
      <c r="L1558" s="28" t="s">
        <v>9219</v>
      </c>
      <c r="M1558" s="28" t="s">
        <v>9220</v>
      </c>
      <c r="N1558" s="28" t="s">
        <v>9221</v>
      </c>
      <c r="O1558" s="28" t="s">
        <v>9222</v>
      </c>
      <c r="P1558" s="28" t="s">
        <v>9223</v>
      </c>
    </row>
    <row r="1559" spans="1:16" hidden="1" x14ac:dyDescent="0.25">
      <c r="A1559" s="28" t="s">
        <v>9243</v>
      </c>
      <c r="B1559" s="28" t="s">
        <v>9244</v>
      </c>
      <c r="C1559" s="28" t="s">
        <v>9214</v>
      </c>
      <c r="D1559" s="28" t="s">
        <v>9245</v>
      </c>
      <c r="F1559" s="28" t="s">
        <v>21</v>
      </c>
      <c r="G1559" s="28" t="s">
        <v>22</v>
      </c>
      <c r="H1559" s="28" t="s">
        <v>9215</v>
      </c>
      <c r="I1559" s="28" t="s">
        <v>9246</v>
      </c>
      <c r="J1559" s="28" t="s">
        <v>9217</v>
      </c>
      <c r="K1559" s="28" t="s">
        <v>9218</v>
      </c>
      <c r="L1559" s="28" t="s">
        <v>9219</v>
      </c>
      <c r="M1559" s="28" t="s">
        <v>9220</v>
      </c>
      <c r="N1559" s="28" t="s">
        <v>9221</v>
      </c>
      <c r="O1559" s="28" t="s">
        <v>9222</v>
      </c>
      <c r="P1559" s="28" t="s">
        <v>9223</v>
      </c>
    </row>
    <row r="1560" spans="1:16" hidden="1" x14ac:dyDescent="0.25">
      <c r="A1560" s="28" t="s">
        <v>9247</v>
      </c>
      <c r="B1560" s="28" t="s">
        <v>9248</v>
      </c>
      <c r="C1560" s="28" t="s">
        <v>9214</v>
      </c>
      <c r="D1560" s="28" t="s">
        <v>1525</v>
      </c>
      <c r="F1560" s="28" t="s">
        <v>21</v>
      </c>
      <c r="G1560" s="28" t="s">
        <v>22</v>
      </c>
      <c r="H1560" s="28" t="s">
        <v>9215</v>
      </c>
      <c r="I1560" s="28" t="s">
        <v>9249</v>
      </c>
      <c r="J1560" s="28" t="s">
        <v>9217</v>
      </c>
      <c r="K1560" s="28" t="s">
        <v>9218</v>
      </c>
      <c r="L1560" s="28" t="s">
        <v>9219</v>
      </c>
      <c r="M1560" s="28" t="s">
        <v>9220</v>
      </c>
      <c r="N1560" s="28" t="s">
        <v>9221</v>
      </c>
      <c r="O1560" s="28" t="s">
        <v>9222</v>
      </c>
      <c r="P1560" s="28" t="s">
        <v>9223</v>
      </c>
    </row>
    <row r="1561" spans="1:16" hidden="1" x14ac:dyDescent="0.25">
      <c r="A1561" s="28" t="s">
        <v>9250</v>
      </c>
      <c r="B1561" s="28" t="s">
        <v>9251</v>
      </c>
      <c r="C1561" s="28" t="s">
        <v>9214</v>
      </c>
      <c r="D1561" s="28" t="s">
        <v>2347</v>
      </c>
      <c r="F1561" s="28" t="s">
        <v>21</v>
      </c>
      <c r="G1561" s="28" t="s">
        <v>22</v>
      </c>
      <c r="H1561" s="28" t="s">
        <v>9215</v>
      </c>
      <c r="I1561" s="28" t="s">
        <v>9252</v>
      </c>
      <c r="J1561" s="28" t="s">
        <v>9217</v>
      </c>
      <c r="K1561" s="28" t="s">
        <v>9218</v>
      </c>
      <c r="L1561" s="28" t="s">
        <v>9219</v>
      </c>
      <c r="M1561" s="28" t="s">
        <v>9220</v>
      </c>
      <c r="N1561" s="28" t="s">
        <v>9221</v>
      </c>
      <c r="O1561" s="28" t="s">
        <v>9222</v>
      </c>
      <c r="P1561" s="28" t="s">
        <v>9223</v>
      </c>
    </row>
    <row r="1562" spans="1:16" hidden="1" x14ac:dyDescent="0.25">
      <c r="A1562" s="28" t="s">
        <v>9253</v>
      </c>
      <c r="B1562" s="28" t="s">
        <v>9254</v>
      </c>
      <c r="C1562" s="28" t="s">
        <v>9214</v>
      </c>
      <c r="D1562" s="28" t="s">
        <v>784</v>
      </c>
      <c r="F1562" s="28" t="s">
        <v>21</v>
      </c>
      <c r="G1562" s="28" t="s">
        <v>22</v>
      </c>
      <c r="H1562" s="28" t="s">
        <v>9215</v>
      </c>
      <c r="I1562" s="28" t="s">
        <v>9255</v>
      </c>
      <c r="J1562" s="28" t="s">
        <v>9217</v>
      </c>
      <c r="K1562" s="28" t="s">
        <v>9218</v>
      </c>
      <c r="L1562" s="28" t="s">
        <v>9219</v>
      </c>
      <c r="M1562" s="28" t="s">
        <v>9220</v>
      </c>
      <c r="N1562" s="28" t="s">
        <v>9221</v>
      </c>
      <c r="O1562" s="28" t="s">
        <v>9222</v>
      </c>
      <c r="P1562" s="28" t="s">
        <v>9223</v>
      </c>
    </row>
    <row r="1563" spans="1:16" hidden="1" x14ac:dyDescent="0.25">
      <c r="A1563" s="28" t="s">
        <v>9256</v>
      </c>
      <c r="B1563" s="28" t="s">
        <v>9257</v>
      </c>
      <c r="C1563" s="28" t="s">
        <v>9214</v>
      </c>
      <c r="D1563" s="28" t="s">
        <v>1418</v>
      </c>
      <c r="F1563" s="28" t="s">
        <v>21</v>
      </c>
      <c r="G1563" s="28" t="s">
        <v>22</v>
      </c>
      <c r="H1563" s="28" t="s">
        <v>9215</v>
      </c>
      <c r="I1563" s="28" t="s">
        <v>9258</v>
      </c>
      <c r="J1563" s="28" t="s">
        <v>9217</v>
      </c>
      <c r="K1563" s="28" t="s">
        <v>9218</v>
      </c>
      <c r="L1563" s="28" t="s">
        <v>9219</v>
      </c>
      <c r="M1563" s="28" t="s">
        <v>9220</v>
      </c>
      <c r="N1563" s="28" t="s">
        <v>9221</v>
      </c>
      <c r="O1563" s="28" t="s">
        <v>9222</v>
      </c>
      <c r="P1563" s="28" t="s">
        <v>9223</v>
      </c>
    </row>
    <row r="1564" spans="1:16" hidden="1" x14ac:dyDescent="0.25">
      <c r="A1564" s="28" t="s">
        <v>9259</v>
      </c>
      <c r="B1564" s="28" t="s">
        <v>9260</v>
      </c>
      <c r="C1564" s="28" t="s">
        <v>9214</v>
      </c>
      <c r="D1564" s="28" t="s">
        <v>9261</v>
      </c>
      <c r="F1564" s="28" t="s">
        <v>21</v>
      </c>
      <c r="G1564" s="28" t="s">
        <v>22</v>
      </c>
      <c r="H1564" s="28" t="s">
        <v>9215</v>
      </c>
      <c r="I1564" s="28" t="s">
        <v>9262</v>
      </c>
      <c r="J1564" s="28" t="s">
        <v>9217</v>
      </c>
      <c r="K1564" s="28" t="s">
        <v>9218</v>
      </c>
      <c r="L1564" s="28" t="s">
        <v>9219</v>
      </c>
      <c r="M1564" s="28" t="s">
        <v>9220</v>
      </c>
      <c r="N1564" s="28" t="s">
        <v>9221</v>
      </c>
      <c r="O1564" s="28" t="s">
        <v>9222</v>
      </c>
      <c r="P1564" s="28" t="s">
        <v>9223</v>
      </c>
    </row>
    <row r="1565" spans="1:16" hidden="1" x14ac:dyDescent="0.25">
      <c r="A1565" s="28" t="s">
        <v>9263</v>
      </c>
      <c r="B1565" s="28" t="s">
        <v>9264</v>
      </c>
      <c r="C1565" s="28" t="s">
        <v>9214</v>
      </c>
      <c r="D1565" s="28" t="s">
        <v>5945</v>
      </c>
      <c r="F1565" s="28" t="s">
        <v>21</v>
      </c>
      <c r="G1565" s="28" t="s">
        <v>22</v>
      </c>
      <c r="H1565" s="28" t="s">
        <v>9215</v>
      </c>
      <c r="I1565" s="28" t="s">
        <v>9265</v>
      </c>
      <c r="J1565" s="28" t="s">
        <v>9217</v>
      </c>
      <c r="K1565" s="28" t="s">
        <v>9218</v>
      </c>
      <c r="L1565" s="28" t="s">
        <v>9219</v>
      </c>
      <c r="M1565" s="28" t="s">
        <v>9220</v>
      </c>
      <c r="N1565" s="28" t="s">
        <v>9221</v>
      </c>
      <c r="O1565" s="28" t="s">
        <v>9222</v>
      </c>
      <c r="P1565" s="28" t="s">
        <v>9223</v>
      </c>
    </row>
    <row r="1566" spans="1:16" hidden="1" x14ac:dyDescent="0.25">
      <c r="A1566" s="28" t="s">
        <v>9266</v>
      </c>
      <c r="B1566" s="28" t="s">
        <v>9267</v>
      </c>
      <c r="C1566" s="28" t="s">
        <v>9214</v>
      </c>
      <c r="D1566" s="28" t="s">
        <v>9268</v>
      </c>
      <c r="F1566" s="28" t="s">
        <v>21</v>
      </c>
      <c r="G1566" s="28" t="s">
        <v>22</v>
      </c>
      <c r="H1566" s="28" t="s">
        <v>9215</v>
      </c>
      <c r="I1566" s="28" t="s">
        <v>9269</v>
      </c>
      <c r="J1566" s="28" t="s">
        <v>9217</v>
      </c>
      <c r="K1566" s="28" t="s">
        <v>9218</v>
      </c>
      <c r="L1566" s="28" t="s">
        <v>9219</v>
      </c>
      <c r="M1566" s="28" t="s">
        <v>9220</v>
      </c>
      <c r="N1566" s="28" t="s">
        <v>9221</v>
      </c>
      <c r="O1566" s="28" t="s">
        <v>9222</v>
      </c>
      <c r="P1566" s="28" t="s">
        <v>9223</v>
      </c>
    </row>
    <row r="1567" spans="1:16" hidden="1" x14ac:dyDescent="0.25">
      <c r="A1567" s="28" t="s">
        <v>9270</v>
      </c>
      <c r="B1567" s="28" t="s">
        <v>9271</v>
      </c>
      <c r="C1567" s="28" t="s">
        <v>9214</v>
      </c>
      <c r="D1567" s="28" t="s">
        <v>4270</v>
      </c>
      <c r="F1567" s="28" t="s">
        <v>21</v>
      </c>
      <c r="G1567" s="28" t="s">
        <v>22</v>
      </c>
      <c r="H1567" s="28" t="s">
        <v>9215</v>
      </c>
      <c r="I1567" s="28" t="s">
        <v>9272</v>
      </c>
      <c r="J1567" s="28" t="s">
        <v>9217</v>
      </c>
      <c r="K1567" s="28" t="s">
        <v>9218</v>
      </c>
      <c r="L1567" s="28" t="s">
        <v>9219</v>
      </c>
      <c r="M1567" s="28" t="s">
        <v>9220</v>
      </c>
      <c r="N1567" s="28" t="s">
        <v>9221</v>
      </c>
      <c r="O1567" s="28" t="s">
        <v>9222</v>
      </c>
      <c r="P1567" s="28" t="s">
        <v>9223</v>
      </c>
    </row>
    <row r="1568" spans="1:16" hidden="1" x14ac:dyDescent="0.25">
      <c r="A1568" s="28" t="s">
        <v>9273</v>
      </c>
      <c r="B1568" s="28" t="s">
        <v>9274</v>
      </c>
      <c r="C1568" s="28" t="s">
        <v>9214</v>
      </c>
      <c r="D1568" s="28" t="s">
        <v>9275</v>
      </c>
      <c r="F1568" s="28" t="s">
        <v>21</v>
      </c>
      <c r="G1568" s="28" t="s">
        <v>22</v>
      </c>
      <c r="H1568" s="28" t="s">
        <v>9215</v>
      </c>
      <c r="I1568" s="28" t="s">
        <v>9276</v>
      </c>
      <c r="J1568" s="28" t="s">
        <v>9217</v>
      </c>
      <c r="K1568" s="28" t="s">
        <v>9218</v>
      </c>
      <c r="L1568" s="28" t="s">
        <v>9219</v>
      </c>
      <c r="M1568" s="28" t="s">
        <v>9220</v>
      </c>
      <c r="N1568" s="28" t="s">
        <v>9221</v>
      </c>
      <c r="O1568" s="28" t="s">
        <v>9222</v>
      </c>
      <c r="P1568" s="28" t="s">
        <v>9223</v>
      </c>
    </row>
    <row r="1569" spans="1:16" hidden="1" x14ac:dyDescent="0.25">
      <c r="A1569" s="28" t="s">
        <v>9277</v>
      </c>
      <c r="B1569" s="28" t="s">
        <v>9278</v>
      </c>
      <c r="C1569" s="28" t="s">
        <v>9214</v>
      </c>
      <c r="D1569" s="28" t="s">
        <v>9279</v>
      </c>
      <c r="F1569" s="28" t="s">
        <v>21</v>
      </c>
      <c r="G1569" s="28" t="s">
        <v>22</v>
      </c>
      <c r="H1569" s="28" t="s">
        <v>9215</v>
      </c>
      <c r="I1569" s="28" t="s">
        <v>9280</v>
      </c>
      <c r="J1569" s="28" t="s">
        <v>9217</v>
      </c>
      <c r="K1569" s="28" t="s">
        <v>9218</v>
      </c>
      <c r="L1569" s="28" t="s">
        <v>9219</v>
      </c>
      <c r="M1569" s="28" t="s">
        <v>9220</v>
      </c>
      <c r="N1569" s="28" t="s">
        <v>9221</v>
      </c>
      <c r="O1569" s="28" t="s">
        <v>9222</v>
      </c>
      <c r="P1569" s="28" t="s">
        <v>9223</v>
      </c>
    </row>
    <row r="1570" spans="1:16" hidden="1" x14ac:dyDescent="0.25">
      <c r="A1570" s="28" t="s">
        <v>9281</v>
      </c>
      <c r="B1570" s="28" t="s">
        <v>9282</v>
      </c>
      <c r="C1570" s="28" t="s">
        <v>9214</v>
      </c>
      <c r="D1570" s="28" t="s">
        <v>9283</v>
      </c>
      <c r="F1570" s="28" t="s">
        <v>21</v>
      </c>
      <c r="G1570" s="28" t="s">
        <v>22</v>
      </c>
      <c r="H1570" s="28" t="s">
        <v>9215</v>
      </c>
      <c r="I1570" s="28" t="s">
        <v>9284</v>
      </c>
      <c r="J1570" s="28" t="s">
        <v>9217</v>
      </c>
      <c r="K1570" s="28" t="s">
        <v>9218</v>
      </c>
      <c r="L1570" s="28" t="s">
        <v>9219</v>
      </c>
      <c r="M1570" s="28" t="s">
        <v>9220</v>
      </c>
      <c r="N1570" s="28" t="s">
        <v>9221</v>
      </c>
      <c r="O1570" s="28" t="s">
        <v>9222</v>
      </c>
      <c r="P1570" s="28" t="s">
        <v>9223</v>
      </c>
    </row>
    <row r="1571" spans="1:16" hidden="1" x14ac:dyDescent="0.25">
      <c r="A1571" s="28" t="s">
        <v>9285</v>
      </c>
      <c r="B1571" s="28" t="s">
        <v>9286</v>
      </c>
      <c r="C1571" s="28" t="s">
        <v>9214</v>
      </c>
      <c r="D1571" s="28" t="s">
        <v>9287</v>
      </c>
      <c r="F1571" s="28" t="s">
        <v>21</v>
      </c>
      <c r="G1571" s="28" t="s">
        <v>22</v>
      </c>
      <c r="H1571" s="28" t="s">
        <v>9215</v>
      </c>
      <c r="I1571" s="28" t="s">
        <v>9288</v>
      </c>
      <c r="J1571" s="28" t="s">
        <v>9217</v>
      </c>
      <c r="K1571" s="28" t="s">
        <v>9218</v>
      </c>
      <c r="L1571" s="28" t="s">
        <v>9219</v>
      </c>
      <c r="M1571" s="28" t="s">
        <v>9220</v>
      </c>
      <c r="N1571" s="28" t="s">
        <v>9221</v>
      </c>
      <c r="O1571" s="28" t="s">
        <v>9222</v>
      </c>
      <c r="P1571" s="28" t="s">
        <v>9223</v>
      </c>
    </row>
    <row r="1572" spans="1:16" hidden="1" x14ac:dyDescent="0.25">
      <c r="A1572" s="28" t="s">
        <v>9289</v>
      </c>
      <c r="B1572" s="28" t="s">
        <v>9290</v>
      </c>
      <c r="C1572" s="28" t="s">
        <v>9214</v>
      </c>
      <c r="D1572" s="28" t="s">
        <v>2729</v>
      </c>
      <c r="F1572" s="28" t="s">
        <v>21</v>
      </c>
      <c r="G1572" s="28" t="s">
        <v>22</v>
      </c>
      <c r="H1572" s="28" t="s">
        <v>9215</v>
      </c>
      <c r="I1572" s="28" t="s">
        <v>9291</v>
      </c>
      <c r="J1572" s="28" t="s">
        <v>9217</v>
      </c>
      <c r="K1572" s="28" t="s">
        <v>9218</v>
      </c>
      <c r="L1572" s="28" t="s">
        <v>9219</v>
      </c>
      <c r="M1572" s="28" t="s">
        <v>9220</v>
      </c>
      <c r="N1572" s="28" t="s">
        <v>9221</v>
      </c>
      <c r="O1572" s="28" t="s">
        <v>9222</v>
      </c>
      <c r="P1572" s="28" t="s">
        <v>9223</v>
      </c>
    </row>
    <row r="1573" spans="1:16" hidden="1" x14ac:dyDescent="0.25">
      <c r="A1573" s="28" t="s">
        <v>9292</v>
      </c>
      <c r="B1573" s="28" t="s">
        <v>9293</v>
      </c>
      <c r="C1573" s="28" t="s">
        <v>9214</v>
      </c>
      <c r="D1573" s="28" t="s">
        <v>9294</v>
      </c>
      <c r="F1573" s="28" t="s">
        <v>21</v>
      </c>
      <c r="G1573" s="28" t="s">
        <v>22</v>
      </c>
      <c r="H1573" s="28" t="s">
        <v>9215</v>
      </c>
      <c r="I1573" s="28" t="s">
        <v>9295</v>
      </c>
      <c r="J1573" s="28" t="s">
        <v>9217</v>
      </c>
      <c r="K1573" s="28" t="s">
        <v>9218</v>
      </c>
      <c r="L1573" s="28" t="s">
        <v>9219</v>
      </c>
      <c r="M1573" s="28" t="s">
        <v>9220</v>
      </c>
      <c r="N1573" s="28" t="s">
        <v>9221</v>
      </c>
      <c r="O1573" s="28" t="s">
        <v>9222</v>
      </c>
      <c r="P1573" s="28" t="s">
        <v>9223</v>
      </c>
    </row>
    <row r="1574" spans="1:16" hidden="1" x14ac:dyDescent="0.25">
      <c r="A1574" s="28" t="s">
        <v>9296</v>
      </c>
      <c r="B1574" s="28" t="s">
        <v>9297</v>
      </c>
      <c r="C1574" s="28" t="s">
        <v>9214</v>
      </c>
      <c r="D1574" s="28" t="s">
        <v>2648</v>
      </c>
      <c r="F1574" s="28" t="s">
        <v>21</v>
      </c>
      <c r="G1574" s="28" t="s">
        <v>22</v>
      </c>
      <c r="H1574" s="28" t="s">
        <v>9215</v>
      </c>
      <c r="I1574" s="28" t="s">
        <v>9298</v>
      </c>
      <c r="J1574" s="28" t="s">
        <v>9217</v>
      </c>
      <c r="K1574" s="28" t="s">
        <v>9218</v>
      </c>
      <c r="L1574" s="28" t="s">
        <v>9219</v>
      </c>
      <c r="M1574" s="28" t="s">
        <v>9220</v>
      </c>
      <c r="N1574" s="28" t="s">
        <v>9221</v>
      </c>
      <c r="O1574" s="28" t="s">
        <v>9222</v>
      </c>
      <c r="P1574" s="28" t="s">
        <v>9223</v>
      </c>
    </row>
    <row r="1575" spans="1:16" hidden="1" x14ac:dyDescent="0.25">
      <c r="A1575" s="28" t="s">
        <v>9299</v>
      </c>
      <c r="B1575" s="28" t="s">
        <v>9300</v>
      </c>
      <c r="C1575" s="28" t="s">
        <v>9214</v>
      </c>
      <c r="D1575" s="28" t="s">
        <v>1271</v>
      </c>
      <c r="F1575" s="28" t="s">
        <v>21</v>
      </c>
      <c r="G1575" s="28" t="s">
        <v>22</v>
      </c>
      <c r="H1575" s="28" t="s">
        <v>9215</v>
      </c>
      <c r="I1575" s="28" t="s">
        <v>9301</v>
      </c>
      <c r="J1575" s="28" t="s">
        <v>9217</v>
      </c>
      <c r="K1575" s="28" t="s">
        <v>9218</v>
      </c>
      <c r="L1575" s="28" t="s">
        <v>9219</v>
      </c>
      <c r="M1575" s="28" t="s">
        <v>9220</v>
      </c>
      <c r="N1575" s="28" t="s">
        <v>9221</v>
      </c>
      <c r="O1575" s="28" t="s">
        <v>9222</v>
      </c>
      <c r="P1575" s="28" t="s">
        <v>9223</v>
      </c>
    </row>
    <row r="1576" spans="1:16" hidden="1" x14ac:dyDescent="0.25">
      <c r="A1576" s="28" t="s">
        <v>9302</v>
      </c>
      <c r="B1576" s="28" t="s">
        <v>9303</v>
      </c>
      <c r="C1576" s="28" t="s">
        <v>9214</v>
      </c>
      <c r="D1576" s="28" t="s">
        <v>1204</v>
      </c>
      <c r="F1576" s="28" t="s">
        <v>21</v>
      </c>
      <c r="G1576" s="28" t="s">
        <v>22</v>
      </c>
      <c r="H1576" s="28" t="s">
        <v>9215</v>
      </c>
      <c r="I1576" s="28" t="s">
        <v>9304</v>
      </c>
      <c r="J1576" s="28" t="s">
        <v>9217</v>
      </c>
      <c r="K1576" s="28" t="s">
        <v>9218</v>
      </c>
      <c r="L1576" s="28" t="s">
        <v>9219</v>
      </c>
      <c r="M1576" s="28" t="s">
        <v>9220</v>
      </c>
      <c r="N1576" s="28" t="s">
        <v>9221</v>
      </c>
      <c r="O1576" s="28" t="s">
        <v>9222</v>
      </c>
      <c r="P1576" s="28" t="s">
        <v>9223</v>
      </c>
    </row>
    <row r="1577" spans="1:16" hidden="1" x14ac:dyDescent="0.25">
      <c r="A1577" s="28" t="s">
        <v>9305</v>
      </c>
      <c r="B1577" s="28" t="s">
        <v>9306</v>
      </c>
      <c r="C1577" s="28" t="s">
        <v>9214</v>
      </c>
      <c r="D1577" s="28" t="s">
        <v>45</v>
      </c>
      <c r="F1577" s="28" t="s">
        <v>21</v>
      </c>
      <c r="G1577" s="28" t="s">
        <v>22</v>
      </c>
      <c r="H1577" s="28" t="s">
        <v>9215</v>
      </c>
      <c r="I1577" s="28" t="s">
        <v>9307</v>
      </c>
      <c r="J1577" s="28" t="s">
        <v>9217</v>
      </c>
      <c r="K1577" s="28" t="s">
        <v>9218</v>
      </c>
      <c r="L1577" s="28" t="s">
        <v>9219</v>
      </c>
      <c r="M1577" s="28" t="s">
        <v>9220</v>
      </c>
      <c r="N1577" s="28" t="s">
        <v>9221</v>
      </c>
      <c r="O1577" s="28" t="s">
        <v>9222</v>
      </c>
      <c r="P1577" s="28" t="s">
        <v>9223</v>
      </c>
    </row>
    <row r="1578" spans="1:16" hidden="1" x14ac:dyDescent="0.25">
      <c r="A1578" s="28" t="s">
        <v>9308</v>
      </c>
      <c r="B1578" s="28" t="s">
        <v>9309</v>
      </c>
      <c r="C1578" s="28" t="s">
        <v>9214</v>
      </c>
      <c r="D1578" s="28" t="s">
        <v>9310</v>
      </c>
      <c r="F1578" s="28" t="s">
        <v>21</v>
      </c>
      <c r="G1578" s="28" t="s">
        <v>22</v>
      </c>
      <c r="H1578" s="28" t="s">
        <v>9215</v>
      </c>
      <c r="I1578" s="28" t="s">
        <v>9311</v>
      </c>
      <c r="J1578" s="28" t="s">
        <v>9217</v>
      </c>
      <c r="K1578" s="28" t="s">
        <v>9218</v>
      </c>
      <c r="L1578" s="28" t="s">
        <v>9219</v>
      </c>
      <c r="M1578" s="28" t="s">
        <v>9220</v>
      </c>
      <c r="N1578" s="28" t="s">
        <v>9221</v>
      </c>
      <c r="O1578" s="28" t="s">
        <v>9222</v>
      </c>
      <c r="P1578" s="28" t="s">
        <v>9223</v>
      </c>
    </row>
    <row r="1579" spans="1:16" hidden="1" x14ac:dyDescent="0.25">
      <c r="A1579" s="28" t="s">
        <v>9312</v>
      </c>
      <c r="B1579" s="28" t="s">
        <v>9313</v>
      </c>
      <c r="C1579" s="28" t="s">
        <v>9214</v>
      </c>
      <c r="D1579" s="28" t="s">
        <v>2895</v>
      </c>
      <c r="F1579" s="28" t="s">
        <v>21</v>
      </c>
      <c r="G1579" s="28" t="s">
        <v>22</v>
      </c>
      <c r="H1579" s="28" t="s">
        <v>9215</v>
      </c>
      <c r="I1579" s="28" t="s">
        <v>9314</v>
      </c>
      <c r="J1579" s="28" t="s">
        <v>9217</v>
      </c>
      <c r="K1579" s="28" t="s">
        <v>9218</v>
      </c>
      <c r="L1579" s="28" t="s">
        <v>9219</v>
      </c>
      <c r="M1579" s="28" t="s">
        <v>9220</v>
      </c>
      <c r="N1579" s="28" t="s">
        <v>9221</v>
      </c>
      <c r="O1579" s="28" t="s">
        <v>9222</v>
      </c>
      <c r="P1579" s="28" t="s">
        <v>9223</v>
      </c>
    </row>
    <row r="1580" spans="1:16" hidden="1" x14ac:dyDescent="0.25">
      <c r="A1580" s="28" t="s">
        <v>9315</v>
      </c>
      <c r="B1580" s="28" t="s">
        <v>9316</v>
      </c>
      <c r="C1580" s="28" t="s">
        <v>9214</v>
      </c>
      <c r="D1580" s="28" t="s">
        <v>4341</v>
      </c>
      <c r="F1580" s="28" t="s">
        <v>21</v>
      </c>
      <c r="G1580" s="28" t="s">
        <v>22</v>
      </c>
      <c r="H1580" s="28" t="s">
        <v>9215</v>
      </c>
      <c r="I1580" s="28" t="s">
        <v>9317</v>
      </c>
      <c r="J1580" s="28" t="s">
        <v>9217</v>
      </c>
      <c r="K1580" s="28" t="s">
        <v>9218</v>
      </c>
      <c r="L1580" s="28" t="s">
        <v>9219</v>
      </c>
      <c r="M1580" s="28" t="s">
        <v>9220</v>
      </c>
      <c r="N1580" s="28" t="s">
        <v>9221</v>
      </c>
      <c r="O1580" s="28" t="s">
        <v>9222</v>
      </c>
      <c r="P1580" s="28" t="s">
        <v>9223</v>
      </c>
    </row>
    <row r="1581" spans="1:16" hidden="1" x14ac:dyDescent="0.25">
      <c r="A1581" s="28" t="s">
        <v>9318</v>
      </c>
      <c r="B1581" s="28" t="s">
        <v>9319</v>
      </c>
      <c r="C1581" s="28" t="s">
        <v>9214</v>
      </c>
      <c r="D1581" s="28" t="s">
        <v>133</v>
      </c>
      <c r="F1581" s="28" t="s">
        <v>21</v>
      </c>
      <c r="G1581" s="28" t="s">
        <v>22</v>
      </c>
      <c r="H1581" s="28" t="s">
        <v>9215</v>
      </c>
      <c r="I1581" s="28" t="s">
        <v>9320</v>
      </c>
      <c r="J1581" s="28" t="s">
        <v>9217</v>
      </c>
      <c r="K1581" s="28" t="s">
        <v>9218</v>
      </c>
      <c r="L1581" s="28" t="s">
        <v>9219</v>
      </c>
      <c r="M1581" s="28" t="s">
        <v>9220</v>
      </c>
      <c r="N1581" s="28" t="s">
        <v>9221</v>
      </c>
      <c r="O1581" s="28" t="s">
        <v>9222</v>
      </c>
      <c r="P1581" s="28" t="s">
        <v>9223</v>
      </c>
    </row>
    <row r="1582" spans="1:16" hidden="1" x14ac:dyDescent="0.25">
      <c r="A1582" s="28" t="s">
        <v>9321</v>
      </c>
      <c r="B1582" s="28" t="s">
        <v>9322</v>
      </c>
      <c r="C1582" s="28" t="s">
        <v>9214</v>
      </c>
      <c r="D1582" s="28" t="s">
        <v>1078</v>
      </c>
      <c r="F1582" s="28" t="s">
        <v>21</v>
      </c>
      <c r="G1582" s="28" t="s">
        <v>22</v>
      </c>
      <c r="H1582" s="28" t="s">
        <v>9215</v>
      </c>
      <c r="I1582" s="28" t="s">
        <v>9323</v>
      </c>
      <c r="J1582" s="28" t="s">
        <v>9217</v>
      </c>
      <c r="K1582" s="28" t="s">
        <v>9218</v>
      </c>
      <c r="L1582" s="28" t="s">
        <v>9219</v>
      </c>
      <c r="M1582" s="28" t="s">
        <v>9220</v>
      </c>
      <c r="N1582" s="28" t="s">
        <v>9221</v>
      </c>
      <c r="O1582" s="28" t="s">
        <v>9222</v>
      </c>
      <c r="P1582" s="28" t="s">
        <v>9223</v>
      </c>
    </row>
    <row r="1583" spans="1:16" hidden="1" x14ac:dyDescent="0.25">
      <c r="A1583" s="28" t="s">
        <v>9324</v>
      </c>
      <c r="B1583" s="28" t="s">
        <v>9325</v>
      </c>
      <c r="C1583" s="28" t="s">
        <v>9214</v>
      </c>
      <c r="D1583" s="28" t="s">
        <v>1145</v>
      </c>
      <c r="F1583" s="28" t="s">
        <v>21</v>
      </c>
      <c r="G1583" s="28" t="s">
        <v>22</v>
      </c>
      <c r="H1583" s="28" t="s">
        <v>9215</v>
      </c>
      <c r="I1583" s="28" t="s">
        <v>9326</v>
      </c>
      <c r="J1583" s="28" t="s">
        <v>9217</v>
      </c>
      <c r="K1583" s="28" t="s">
        <v>9218</v>
      </c>
      <c r="L1583" s="28" t="s">
        <v>9219</v>
      </c>
      <c r="M1583" s="28" t="s">
        <v>9220</v>
      </c>
      <c r="N1583" s="28" t="s">
        <v>9221</v>
      </c>
      <c r="O1583" s="28" t="s">
        <v>9222</v>
      </c>
      <c r="P1583" s="28" t="s">
        <v>9223</v>
      </c>
    </row>
    <row r="1584" spans="1:16" hidden="1" x14ac:dyDescent="0.25">
      <c r="A1584" s="28" t="s">
        <v>9327</v>
      </c>
      <c r="B1584" s="28" t="s">
        <v>9328</v>
      </c>
      <c r="C1584" s="28" t="s">
        <v>9214</v>
      </c>
      <c r="D1584" s="28" t="s">
        <v>1391</v>
      </c>
      <c r="F1584" s="28" t="s">
        <v>21</v>
      </c>
      <c r="G1584" s="28" t="s">
        <v>22</v>
      </c>
      <c r="H1584" s="28" t="s">
        <v>9215</v>
      </c>
      <c r="I1584" s="28" t="s">
        <v>9329</v>
      </c>
      <c r="J1584" s="28" t="s">
        <v>9217</v>
      </c>
      <c r="K1584" s="28" t="s">
        <v>9218</v>
      </c>
      <c r="L1584" s="28" t="s">
        <v>9219</v>
      </c>
      <c r="M1584" s="28" t="s">
        <v>9220</v>
      </c>
      <c r="N1584" s="28" t="s">
        <v>9221</v>
      </c>
      <c r="O1584" s="28" t="s">
        <v>9222</v>
      </c>
      <c r="P1584" s="28" t="s">
        <v>9223</v>
      </c>
    </row>
    <row r="1585" spans="1:16" hidden="1" x14ac:dyDescent="0.25">
      <c r="A1585" s="28" t="s">
        <v>9330</v>
      </c>
      <c r="B1585" s="28" t="s">
        <v>9331</v>
      </c>
      <c r="C1585" s="28" t="s">
        <v>9214</v>
      </c>
      <c r="D1585" s="28" t="s">
        <v>69</v>
      </c>
      <c r="F1585" s="28" t="s">
        <v>21</v>
      </c>
      <c r="G1585" s="28" t="s">
        <v>22</v>
      </c>
      <c r="H1585" s="28" t="s">
        <v>9215</v>
      </c>
      <c r="I1585" s="28" t="s">
        <v>9332</v>
      </c>
      <c r="J1585" s="28" t="s">
        <v>9217</v>
      </c>
      <c r="K1585" s="28" t="s">
        <v>9218</v>
      </c>
      <c r="L1585" s="28" t="s">
        <v>9219</v>
      </c>
      <c r="M1585" s="28" t="s">
        <v>9220</v>
      </c>
      <c r="N1585" s="28" t="s">
        <v>9221</v>
      </c>
      <c r="O1585" s="28" t="s">
        <v>9222</v>
      </c>
      <c r="P1585" s="28" t="s">
        <v>9223</v>
      </c>
    </row>
    <row r="1586" spans="1:16" hidden="1" x14ac:dyDescent="0.25">
      <c r="A1586" s="28" t="s">
        <v>9333</v>
      </c>
      <c r="B1586" s="28" t="s">
        <v>9334</v>
      </c>
      <c r="C1586" s="28" t="s">
        <v>9214</v>
      </c>
      <c r="D1586" s="28" t="s">
        <v>5482</v>
      </c>
      <c r="F1586" s="28" t="s">
        <v>21</v>
      </c>
      <c r="G1586" s="28" t="s">
        <v>22</v>
      </c>
      <c r="H1586" s="28" t="s">
        <v>9215</v>
      </c>
      <c r="I1586" s="28" t="s">
        <v>9335</v>
      </c>
      <c r="J1586" s="28" t="s">
        <v>9217</v>
      </c>
      <c r="K1586" s="28" t="s">
        <v>9218</v>
      </c>
      <c r="L1586" s="28" t="s">
        <v>9219</v>
      </c>
      <c r="M1586" s="28" t="s">
        <v>9220</v>
      </c>
      <c r="N1586" s="28" t="s">
        <v>9221</v>
      </c>
      <c r="O1586" s="28" t="s">
        <v>9222</v>
      </c>
      <c r="P1586" s="28" t="s">
        <v>9223</v>
      </c>
    </row>
    <row r="1587" spans="1:16" hidden="1" x14ac:dyDescent="0.25">
      <c r="A1587" s="28" t="s">
        <v>9336</v>
      </c>
      <c r="B1587" s="28" t="s">
        <v>9337</v>
      </c>
      <c r="C1587" s="28" t="s">
        <v>9214</v>
      </c>
      <c r="D1587" s="28" t="s">
        <v>4101</v>
      </c>
      <c r="F1587" s="28" t="s">
        <v>21</v>
      </c>
      <c r="G1587" s="28" t="s">
        <v>22</v>
      </c>
      <c r="H1587" s="28" t="s">
        <v>9215</v>
      </c>
      <c r="I1587" s="28" t="s">
        <v>9338</v>
      </c>
      <c r="J1587" s="28" t="s">
        <v>9217</v>
      </c>
      <c r="K1587" s="28" t="s">
        <v>9218</v>
      </c>
      <c r="L1587" s="28" t="s">
        <v>9219</v>
      </c>
      <c r="M1587" s="28" t="s">
        <v>9220</v>
      </c>
      <c r="N1587" s="28" t="s">
        <v>9221</v>
      </c>
      <c r="O1587" s="28" t="s">
        <v>9222</v>
      </c>
      <c r="P1587" s="28" t="s">
        <v>9223</v>
      </c>
    </row>
    <row r="1588" spans="1:16" hidden="1" x14ac:dyDescent="0.25">
      <c r="A1588" s="28" t="s">
        <v>9339</v>
      </c>
      <c r="B1588" s="28" t="s">
        <v>9340</v>
      </c>
      <c r="C1588" s="28" t="s">
        <v>9214</v>
      </c>
      <c r="D1588" s="28" t="s">
        <v>9241</v>
      </c>
      <c r="F1588" s="28" t="s">
        <v>21</v>
      </c>
      <c r="G1588" s="28" t="s">
        <v>22</v>
      </c>
      <c r="H1588" s="28" t="s">
        <v>9215</v>
      </c>
      <c r="I1588" s="28" t="s">
        <v>9341</v>
      </c>
      <c r="J1588" s="28" t="s">
        <v>9217</v>
      </c>
      <c r="K1588" s="28" t="s">
        <v>9218</v>
      </c>
      <c r="L1588" s="28" t="s">
        <v>9219</v>
      </c>
      <c r="M1588" s="28" t="s">
        <v>9220</v>
      </c>
      <c r="N1588" s="28" t="s">
        <v>9221</v>
      </c>
      <c r="O1588" s="28" t="s">
        <v>9222</v>
      </c>
      <c r="P1588" s="28" t="s">
        <v>9223</v>
      </c>
    </row>
    <row r="1589" spans="1:16" hidden="1" x14ac:dyDescent="0.25">
      <c r="A1589" s="28" t="s">
        <v>9342</v>
      </c>
      <c r="B1589" s="28" t="s">
        <v>9343</v>
      </c>
      <c r="C1589" s="28" t="s">
        <v>9214</v>
      </c>
      <c r="D1589" s="28" t="s">
        <v>1418</v>
      </c>
      <c r="F1589" s="28" t="s">
        <v>21</v>
      </c>
      <c r="G1589" s="28" t="s">
        <v>22</v>
      </c>
      <c r="H1589" s="28" t="s">
        <v>9215</v>
      </c>
      <c r="I1589" s="28" t="s">
        <v>9344</v>
      </c>
      <c r="J1589" s="28" t="s">
        <v>9217</v>
      </c>
      <c r="K1589" s="28" t="s">
        <v>9218</v>
      </c>
      <c r="L1589" s="28" t="s">
        <v>9219</v>
      </c>
      <c r="M1589" s="28" t="s">
        <v>9220</v>
      </c>
      <c r="N1589" s="28" t="s">
        <v>9221</v>
      </c>
      <c r="O1589" s="28" t="s">
        <v>9222</v>
      </c>
      <c r="P1589" s="28" t="s">
        <v>9223</v>
      </c>
    </row>
    <row r="1590" spans="1:16" hidden="1" x14ac:dyDescent="0.25">
      <c r="A1590" s="28" t="s">
        <v>9345</v>
      </c>
      <c r="B1590" s="28" t="s">
        <v>9346</v>
      </c>
      <c r="C1590" s="28" t="s">
        <v>9214</v>
      </c>
      <c r="D1590" s="28" t="s">
        <v>9245</v>
      </c>
      <c r="F1590" s="28" t="s">
        <v>21</v>
      </c>
      <c r="G1590" s="28" t="s">
        <v>22</v>
      </c>
      <c r="H1590" s="28" t="s">
        <v>9215</v>
      </c>
      <c r="I1590" s="28" t="s">
        <v>9347</v>
      </c>
      <c r="J1590" s="28" t="s">
        <v>9217</v>
      </c>
      <c r="K1590" s="28" t="s">
        <v>9218</v>
      </c>
      <c r="L1590" s="28" t="s">
        <v>9219</v>
      </c>
      <c r="M1590" s="28" t="s">
        <v>9220</v>
      </c>
      <c r="N1590" s="28" t="s">
        <v>9221</v>
      </c>
      <c r="O1590" s="28" t="s">
        <v>9222</v>
      </c>
      <c r="P1590" s="28" t="s">
        <v>9223</v>
      </c>
    </row>
    <row r="1591" spans="1:16" hidden="1" x14ac:dyDescent="0.25">
      <c r="A1591" s="28" t="s">
        <v>9348</v>
      </c>
      <c r="B1591" s="28" t="s">
        <v>9349</v>
      </c>
      <c r="C1591" s="28" t="s">
        <v>9214</v>
      </c>
      <c r="D1591" s="28" t="s">
        <v>1525</v>
      </c>
      <c r="F1591" s="28" t="s">
        <v>21</v>
      </c>
      <c r="G1591" s="28" t="s">
        <v>22</v>
      </c>
      <c r="H1591" s="28" t="s">
        <v>9215</v>
      </c>
      <c r="I1591" s="28" t="s">
        <v>9350</v>
      </c>
      <c r="J1591" s="28" t="s">
        <v>9217</v>
      </c>
      <c r="K1591" s="28" t="s">
        <v>9218</v>
      </c>
      <c r="L1591" s="28" t="s">
        <v>9219</v>
      </c>
      <c r="M1591" s="28" t="s">
        <v>9220</v>
      </c>
      <c r="N1591" s="28" t="s">
        <v>9221</v>
      </c>
      <c r="O1591" s="28" t="s">
        <v>9222</v>
      </c>
      <c r="P1591" s="28" t="s">
        <v>9223</v>
      </c>
    </row>
    <row r="1592" spans="1:16" hidden="1" x14ac:dyDescent="0.25">
      <c r="A1592" s="28" t="s">
        <v>9351</v>
      </c>
      <c r="B1592" s="28" t="s">
        <v>9352</v>
      </c>
      <c r="C1592" s="28" t="s">
        <v>9214</v>
      </c>
      <c r="D1592" s="28" t="s">
        <v>2347</v>
      </c>
      <c r="F1592" s="28" t="s">
        <v>21</v>
      </c>
      <c r="G1592" s="28" t="s">
        <v>22</v>
      </c>
      <c r="H1592" s="28" t="s">
        <v>9215</v>
      </c>
      <c r="I1592" s="28" t="s">
        <v>9353</v>
      </c>
      <c r="J1592" s="28" t="s">
        <v>9217</v>
      </c>
      <c r="K1592" s="28" t="s">
        <v>9218</v>
      </c>
      <c r="L1592" s="28" t="s">
        <v>9219</v>
      </c>
      <c r="M1592" s="28" t="s">
        <v>9220</v>
      </c>
      <c r="N1592" s="28" t="s">
        <v>9221</v>
      </c>
      <c r="O1592" s="28" t="s">
        <v>9222</v>
      </c>
      <c r="P1592" s="28" t="s">
        <v>9223</v>
      </c>
    </row>
    <row r="1593" spans="1:16" hidden="1" x14ac:dyDescent="0.25">
      <c r="A1593" s="28" t="s">
        <v>9354</v>
      </c>
      <c r="B1593" s="28" t="s">
        <v>9355</v>
      </c>
      <c r="C1593" s="28" t="s">
        <v>9214</v>
      </c>
      <c r="D1593" s="28" t="s">
        <v>784</v>
      </c>
      <c r="F1593" s="28" t="s">
        <v>21</v>
      </c>
      <c r="G1593" s="28" t="s">
        <v>22</v>
      </c>
      <c r="H1593" s="28" t="s">
        <v>9215</v>
      </c>
      <c r="I1593" s="28" t="s">
        <v>9356</v>
      </c>
      <c r="J1593" s="28" t="s">
        <v>9217</v>
      </c>
      <c r="K1593" s="28" t="s">
        <v>9218</v>
      </c>
      <c r="L1593" s="28" t="s">
        <v>9219</v>
      </c>
      <c r="M1593" s="28" t="s">
        <v>9220</v>
      </c>
      <c r="N1593" s="28" t="s">
        <v>9221</v>
      </c>
      <c r="O1593" s="28" t="s">
        <v>9222</v>
      </c>
      <c r="P1593" s="28" t="s">
        <v>9223</v>
      </c>
    </row>
    <row r="1594" spans="1:16" hidden="1" x14ac:dyDescent="0.25">
      <c r="A1594" s="28" t="s">
        <v>9357</v>
      </c>
      <c r="B1594" s="28" t="s">
        <v>9358</v>
      </c>
      <c r="C1594" s="28" t="s">
        <v>9214</v>
      </c>
      <c r="D1594" s="28" t="s">
        <v>9268</v>
      </c>
      <c r="F1594" s="28" t="s">
        <v>21</v>
      </c>
      <c r="G1594" s="28" t="s">
        <v>22</v>
      </c>
      <c r="H1594" s="28" t="s">
        <v>9215</v>
      </c>
      <c r="I1594" s="28" t="s">
        <v>9359</v>
      </c>
      <c r="J1594" s="28" t="s">
        <v>9217</v>
      </c>
      <c r="K1594" s="28" t="s">
        <v>9218</v>
      </c>
      <c r="L1594" s="28" t="s">
        <v>9219</v>
      </c>
      <c r="M1594" s="28" t="s">
        <v>9220</v>
      </c>
      <c r="N1594" s="28" t="s">
        <v>9221</v>
      </c>
      <c r="O1594" s="28" t="s">
        <v>9222</v>
      </c>
      <c r="P1594" s="28" t="s">
        <v>9223</v>
      </c>
    </row>
    <row r="1595" spans="1:16" hidden="1" x14ac:dyDescent="0.25">
      <c r="A1595" s="28" t="s">
        <v>9360</v>
      </c>
      <c r="B1595" s="28" t="s">
        <v>9361</v>
      </c>
      <c r="C1595" s="28" t="s">
        <v>9214</v>
      </c>
      <c r="D1595" s="28" t="s">
        <v>9261</v>
      </c>
      <c r="F1595" s="28" t="s">
        <v>21</v>
      </c>
      <c r="G1595" s="28" t="s">
        <v>22</v>
      </c>
      <c r="H1595" s="28" t="s">
        <v>9215</v>
      </c>
      <c r="I1595" s="28" t="s">
        <v>9362</v>
      </c>
      <c r="J1595" s="28" t="s">
        <v>9217</v>
      </c>
      <c r="K1595" s="28" t="s">
        <v>9218</v>
      </c>
      <c r="L1595" s="28" t="s">
        <v>9219</v>
      </c>
      <c r="M1595" s="28" t="s">
        <v>9220</v>
      </c>
      <c r="N1595" s="28" t="s">
        <v>9221</v>
      </c>
      <c r="O1595" s="28" t="s">
        <v>9222</v>
      </c>
      <c r="P1595" s="28" t="s">
        <v>9223</v>
      </c>
    </row>
    <row r="1596" spans="1:16" hidden="1" x14ac:dyDescent="0.25">
      <c r="A1596" s="28" t="s">
        <v>9363</v>
      </c>
      <c r="B1596" s="28" t="s">
        <v>9364</v>
      </c>
      <c r="C1596" s="28" t="s">
        <v>9214</v>
      </c>
      <c r="D1596" s="28" t="s">
        <v>9365</v>
      </c>
      <c r="F1596" s="28" t="s">
        <v>6308</v>
      </c>
      <c r="G1596" s="28" t="s">
        <v>22</v>
      </c>
      <c r="H1596" s="28" t="s">
        <v>9215</v>
      </c>
      <c r="I1596" s="28" t="s">
        <v>9366</v>
      </c>
      <c r="J1596" s="28" t="s">
        <v>9217</v>
      </c>
      <c r="K1596" s="28" t="s">
        <v>9218</v>
      </c>
      <c r="L1596" s="28" t="s">
        <v>9219</v>
      </c>
      <c r="M1596" s="28" t="s">
        <v>9220</v>
      </c>
      <c r="N1596" s="28" t="s">
        <v>9221</v>
      </c>
      <c r="O1596" s="28" t="s">
        <v>9222</v>
      </c>
      <c r="P1596" s="28" t="s">
        <v>9223</v>
      </c>
    </row>
    <row r="1597" spans="1:16" hidden="1" x14ac:dyDescent="0.25">
      <c r="A1597" s="28" t="s">
        <v>9367</v>
      </c>
      <c r="B1597" s="28" t="s">
        <v>9368</v>
      </c>
      <c r="C1597" s="28" t="s">
        <v>9214</v>
      </c>
      <c r="D1597" s="28" t="s">
        <v>5945</v>
      </c>
      <c r="F1597" s="28" t="s">
        <v>21</v>
      </c>
      <c r="G1597" s="28" t="s">
        <v>22</v>
      </c>
      <c r="H1597" s="28" t="s">
        <v>9215</v>
      </c>
      <c r="I1597" s="28" t="s">
        <v>9369</v>
      </c>
      <c r="J1597" s="28" t="s">
        <v>9217</v>
      </c>
      <c r="K1597" s="28" t="s">
        <v>9218</v>
      </c>
      <c r="L1597" s="28" t="s">
        <v>9219</v>
      </c>
      <c r="M1597" s="28" t="s">
        <v>9220</v>
      </c>
      <c r="N1597" s="28" t="s">
        <v>9221</v>
      </c>
      <c r="O1597" s="28" t="s">
        <v>9222</v>
      </c>
      <c r="P1597" s="28" t="s">
        <v>9223</v>
      </c>
    </row>
    <row r="1598" spans="1:16" hidden="1" x14ac:dyDescent="0.25">
      <c r="A1598" s="28" t="s">
        <v>9370</v>
      </c>
      <c r="B1598" s="28" t="s">
        <v>9371</v>
      </c>
      <c r="C1598" s="28" t="s">
        <v>9214</v>
      </c>
      <c r="D1598" s="28" t="s">
        <v>9275</v>
      </c>
      <c r="F1598" s="28" t="s">
        <v>21</v>
      </c>
      <c r="G1598" s="28" t="s">
        <v>22</v>
      </c>
      <c r="H1598" s="28" t="s">
        <v>9215</v>
      </c>
      <c r="I1598" s="28" t="s">
        <v>9372</v>
      </c>
      <c r="J1598" s="28" t="s">
        <v>9217</v>
      </c>
      <c r="K1598" s="28" t="s">
        <v>9218</v>
      </c>
      <c r="L1598" s="28" t="s">
        <v>9219</v>
      </c>
      <c r="M1598" s="28" t="s">
        <v>9220</v>
      </c>
      <c r="N1598" s="28" t="s">
        <v>9221</v>
      </c>
      <c r="O1598" s="28" t="s">
        <v>9222</v>
      </c>
      <c r="P1598" s="28" t="s">
        <v>9223</v>
      </c>
    </row>
    <row r="1599" spans="1:16" hidden="1" x14ac:dyDescent="0.25">
      <c r="A1599" s="28" t="s">
        <v>9373</v>
      </c>
      <c r="B1599" s="28" t="s">
        <v>9374</v>
      </c>
      <c r="C1599" s="28" t="s">
        <v>9214</v>
      </c>
      <c r="D1599" s="28" t="s">
        <v>4270</v>
      </c>
      <c r="F1599" s="28" t="s">
        <v>21</v>
      </c>
      <c r="G1599" s="28" t="s">
        <v>22</v>
      </c>
      <c r="H1599" s="28" t="s">
        <v>9215</v>
      </c>
      <c r="I1599" s="28" t="s">
        <v>9375</v>
      </c>
      <c r="J1599" s="28" t="s">
        <v>9217</v>
      </c>
      <c r="K1599" s="28" t="s">
        <v>9218</v>
      </c>
      <c r="L1599" s="28" t="s">
        <v>9219</v>
      </c>
      <c r="M1599" s="28" t="s">
        <v>9220</v>
      </c>
      <c r="N1599" s="28" t="s">
        <v>9221</v>
      </c>
      <c r="O1599" s="28" t="s">
        <v>9222</v>
      </c>
      <c r="P1599" s="28" t="s">
        <v>9223</v>
      </c>
    </row>
    <row r="1600" spans="1:16" hidden="1" x14ac:dyDescent="0.25">
      <c r="A1600" s="28" t="s">
        <v>9376</v>
      </c>
      <c r="B1600" s="28" t="s">
        <v>9377</v>
      </c>
      <c r="C1600" s="28" t="s">
        <v>9214</v>
      </c>
      <c r="D1600" s="28" t="s">
        <v>2895</v>
      </c>
      <c r="F1600" s="28" t="s">
        <v>21</v>
      </c>
      <c r="G1600" s="28" t="s">
        <v>22</v>
      </c>
      <c r="H1600" s="28" t="s">
        <v>9215</v>
      </c>
      <c r="I1600" s="28" t="s">
        <v>9378</v>
      </c>
      <c r="J1600" s="28" t="s">
        <v>9217</v>
      </c>
      <c r="K1600" s="28" t="s">
        <v>9218</v>
      </c>
      <c r="L1600" s="28" t="s">
        <v>9219</v>
      </c>
      <c r="M1600" s="28" t="s">
        <v>9220</v>
      </c>
      <c r="N1600" s="28" t="s">
        <v>9221</v>
      </c>
      <c r="O1600" s="28" t="s">
        <v>9222</v>
      </c>
      <c r="P1600" s="28" t="s">
        <v>9223</v>
      </c>
    </row>
    <row r="1601" spans="1:16" hidden="1" x14ac:dyDescent="0.25">
      <c r="A1601" s="28" t="s">
        <v>9379</v>
      </c>
      <c r="B1601" s="28" t="s">
        <v>9380</v>
      </c>
      <c r="C1601" s="28" t="s">
        <v>9214</v>
      </c>
      <c r="D1601" s="28" t="s">
        <v>9294</v>
      </c>
      <c r="F1601" s="28" t="s">
        <v>21</v>
      </c>
      <c r="G1601" s="28" t="s">
        <v>22</v>
      </c>
      <c r="H1601" s="28" t="s">
        <v>9215</v>
      </c>
      <c r="I1601" s="28" t="s">
        <v>9381</v>
      </c>
      <c r="J1601" s="28" t="s">
        <v>9217</v>
      </c>
      <c r="K1601" s="28" t="s">
        <v>9218</v>
      </c>
      <c r="L1601" s="28" t="s">
        <v>9219</v>
      </c>
      <c r="M1601" s="28" t="s">
        <v>9220</v>
      </c>
      <c r="N1601" s="28" t="s">
        <v>9221</v>
      </c>
      <c r="O1601" s="28" t="s">
        <v>9222</v>
      </c>
      <c r="P1601" s="28" t="s">
        <v>9223</v>
      </c>
    </row>
    <row r="1602" spans="1:16" hidden="1" x14ac:dyDescent="0.25">
      <c r="A1602" s="28" t="s">
        <v>9382</v>
      </c>
      <c r="B1602" s="28" t="s">
        <v>9383</v>
      </c>
      <c r="C1602" s="28" t="s">
        <v>9214</v>
      </c>
      <c r="D1602" s="28" t="s">
        <v>9287</v>
      </c>
      <c r="F1602" s="28" t="s">
        <v>21</v>
      </c>
      <c r="G1602" s="28" t="s">
        <v>22</v>
      </c>
      <c r="H1602" s="28" t="s">
        <v>9215</v>
      </c>
      <c r="I1602" s="28" t="s">
        <v>9384</v>
      </c>
      <c r="J1602" s="28" t="s">
        <v>9217</v>
      </c>
      <c r="K1602" s="28" t="s">
        <v>9218</v>
      </c>
      <c r="L1602" s="28" t="s">
        <v>9219</v>
      </c>
      <c r="M1602" s="28" t="s">
        <v>9220</v>
      </c>
      <c r="N1602" s="28" t="s">
        <v>9221</v>
      </c>
      <c r="O1602" s="28" t="s">
        <v>9222</v>
      </c>
      <c r="P1602" s="28" t="s">
        <v>9223</v>
      </c>
    </row>
    <row r="1603" spans="1:16" hidden="1" x14ac:dyDescent="0.25">
      <c r="A1603" s="28" t="s">
        <v>9385</v>
      </c>
      <c r="B1603" s="28" t="s">
        <v>9386</v>
      </c>
      <c r="C1603" s="28" t="s">
        <v>9214</v>
      </c>
      <c r="D1603" s="28" t="s">
        <v>9279</v>
      </c>
      <c r="F1603" s="28" t="s">
        <v>21</v>
      </c>
      <c r="G1603" s="28" t="s">
        <v>22</v>
      </c>
      <c r="H1603" s="28" t="s">
        <v>9215</v>
      </c>
      <c r="I1603" s="28" t="s">
        <v>9387</v>
      </c>
      <c r="J1603" s="28" t="s">
        <v>9217</v>
      </c>
      <c r="K1603" s="28" t="s">
        <v>9218</v>
      </c>
      <c r="L1603" s="28" t="s">
        <v>9219</v>
      </c>
      <c r="M1603" s="28" t="s">
        <v>9220</v>
      </c>
      <c r="N1603" s="28" t="s">
        <v>9221</v>
      </c>
      <c r="O1603" s="28" t="s">
        <v>9222</v>
      </c>
      <c r="P1603" s="28" t="s">
        <v>9223</v>
      </c>
    </row>
    <row r="1604" spans="1:16" hidden="1" x14ac:dyDescent="0.25">
      <c r="A1604" s="28" t="s">
        <v>9388</v>
      </c>
      <c r="B1604" s="28" t="s">
        <v>9389</v>
      </c>
      <c r="C1604" s="28" t="s">
        <v>9214</v>
      </c>
      <c r="D1604" s="28" t="s">
        <v>2729</v>
      </c>
      <c r="F1604" s="28" t="s">
        <v>21</v>
      </c>
      <c r="G1604" s="28" t="s">
        <v>22</v>
      </c>
      <c r="H1604" s="28" t="s">
        <v>9215</v>
      </c>
      <c r="I1604" s="28" t="s">
        <v>9390</v>
      </c>
      <c r="J1604" s="28" t="s">
        <v>9217</v>
      </c>
      <c r="K1604" s="28" t="s">
        <v>9218</v>
      </c>
      <c r="L1604" s="28" t="s">
        <v>9219</v>
      </c>
      <c r="M1604" s="28" t="s">
        <v>9220</v>
      </c>
      <c r="N1604" s="28" t="s">
        <v>9221</v>
      </c>
      <c r="O1604" s="28" t="s">
        <v>9222</v>
      </c>
      <c r="P1604" s="28" t="s">
        <v>9223</v>
      </c>
    </row>
    <row r="1605" spans="1:16" hidden="1" x14ac:dyDescent="0.25">
      <c r="A1605" s="28" t="s">
        <v>9391</v>
      </c>
      <c r="B1605" s="28" t="s">
        <v>9392</v>
      </c>
      <c r="C1605" s="28" t="s">
        <v>9214</v>
      </c>
      <c r="D1605" s="28" t="s">
        <v>2648</v>
      </c>
      <c r="F1605" s="28" t="s">
        <v>21</v>
      </c>
      <c r="G1605" s="28" t="s">
        <v>22</v>
      </c>
      <c r="H1605" s="28" t="s">
        <v>9215</v>
      </c>
      <c r="I1605" s="28" t="s">
        <v>9393</v>
      </c>
      <c r="J1605" s="28" t="s">
        <v>9217</v>
      </c>
      <c r="K1605" s="28" t="s">
        <v>9218</v>
      </c>
      <c r="L1605" s="28" t="s">
        <v>9219</v>
      </c>
      <c r="M1605" s="28" t="s">
        <v>9220</v>
      </c>
      <c r="N1605" s="28" t="s">
        <v>9221</v>
      </c>
      <c r="O1605" s="28" t="s">
        <v>9222</v>
      </c>
      <c r="P1605" s="28" t="s">
        <v>9223</v>
      </c>
    </row>
    <row r="1606" spans="1:16" hidden="1" x14ac:dyDescent="0.25">
      <c r="A1606" s="28" t="s">
        <v>9394</v>
      </c>
      <c r="B1606" s="28" t="s">
        <v>9395</v>
      </c>
      <c r="C1606" s="28" t="s">
        <v>9214</v>
      </c>
      <c r="D1606" s="28" t="s">
        <v>82</v>
      </c>
      <c r="F1606" s="28" t="s">
        <v>21</v>
      </c>
      <c r="G1606" s="28" t="s">
        <v>22</v>
      </c>
      <c r="H1606" s="28" t="s">
        <v>9215</v>
      </c>
      <c r="I1606" s="28" t="s">
        <v>9396</v>
      </c>
      <c r="J1606" s="28" t="s">
        <v>9217</v>
      </c>
      <c r="K1606" s="28" t="s">
        <v>9218</v>
      </c>
      <c r="L1606" s="28" t="s">
        <v>9219</v>
      </c>
      <c r="M1606" s="28" t="s">
        <v>9220</v>
      </c>
      <c r="N1606" s="28" t="s">
        <v>9221</v>
      </c>
      <c r="O1606" s="28" t="s">
        <v>9222</v>
      </c>
      <c r="P1606" s="28" t="s">
        <v>9223</v>
      </c>
    </row>
    <row r="1607" spans="1:16" hidden="1" x14ac:dyDescent="0.25">
      <c r="A1607" s="28" t="s">
        <v>9397</v>
      </c>
      <c r="B1607" s="28" t="s">
        <v>9398</v>
      </c>
      <c r="C1607" s="28" t="s">
        <v>9214</v>
      </c>
      <c r="D1607" s="28" t="s">
        <v>1271</v>
      </c>
      <c r="F1607" s="28" t="s">
        <v>21</v>
      </c>
      <c r="G1607" s="28" t="s">
        <v>22</v>
      </c>
      <c r="H1607" s="28" t="s">
        <v>9215</v>
      </c>
      <c r="I1607" s="28" t="s">
        <v>9399</v>
      </c>
      <c r="J1607" s="28" t="s">
        <v>9217</v>
      </c>
      <c r="K1607" s="28" t="s">
        <v>9218</v>
      </c>
      <c r="L1607" s="28" t="s">
        <v>9219</v>
      </c>
      <c r="M1607" s="28" t="s">
        <v>9220</v>
      </c>
      <c r="N1607" s="28" t="s">
        <v>9221</v>
      </c>
      <c r="O1607" s="28" t="s">
        <v>9222</v>
      </c>
      <c r="P1607" s="28" t="s">
        <v>9223</v>
      </c>
    </row>
    <row r="1608" spans="1:16" hidden="1" x14ac:dyDescent="0.25">
      <c r="A1608" s="28" t="s">
        <v>9400</v>
      </c>
      <c r="B1608" s="28" t="s">
        <v>9401</v>
      </c>
      <c r="C1608" s="28" t="s">
        <v>9214</v>
      </c>
      <c r="D1608" s="28" t="s">
        <v>1204</v>
      </c>
      <c r="F1608" s="28" t="s">
        <v>21</v>
      </c>
      <c r="G1608" s="28" t="s">
        <v>22</v>
      </c>
      <c r="H1608" s="28" t="s">
        <v>9215</v>
      </c>
      <c r="I1608" s="28" t="s">
        <v>9402</v>
      </c>
      <c r="J1608" s="28" t="s">
        <v>9217</v>
      </c>
      <c r="K1608" s="28" t="s">
        <v>9218</v>
      </c>
      <c r="L1608" s="28" t="s">
        <v>9219</v>
      </c>
      <c r="M1608" s="28" t="s">
        <v>9220</v>
      </c>
      <c r="N1608" s="28" t="s">
        <v>9221</v>
      </c>
      <c r="O1608" s="28" t="s">
        <v>9222</v>
      </c>
      <c r="P1608" s="28" t="s">
        <v>9223</v>
      </c>
    </row>
    <row r="1609" spans="1:16" hidden="1" x14ac:dyDescent="0.25">
      <c r="A1609" s="28" t="s">
        <v>9403</v>
      </c>
      <c r="B1609" s="28" t="s">
        <v>9404</v>
      </c>
      <c r="C1609" s="28" t="s">
        <v>9214</v>
      </c>
      <c r="D1609" s="28" t="s">
        <v>45</v>
      </c>
      <c r="F1609" s="28" t="s">
        <v>21</v>
      </c>
      <c r="G1609" s="28" t="s">
        <v>22</v>
      </c>
      <c r="H1609" s="28" t="s">
        <v>9215</v>
      </c>
      <c r="I1609" s="28" t="s">
        <v>9405</v>
      </c>
      <c r="J1609" s="28" t="s">
        <v>9217</v>
      </c>
      <c r="K1609" s="28" t="s">
        <v>9218</v>
      </c>
      <c r="L1609" s="28" t="s">
        <v>9219</v>
      </c>
      <c r="M1609" s="28" t="s">
        <v>9220</v>
      </c>
      <c r="N1609" s="28" t="s">
        <v>9221</v>
      </c>
      <c r="O1609" s="28" t="s">
        <v>9222</v>
      </c>
      <c r="P1609" s="28" t="s">
        <v>9223</v>
      </c>
    </row>
    <row r="1610" spans="1:16" hidden="1" x14ac:dyDescent="0.25">
      <c r="A1610" s="28" t="s">
        <v>9406</v>
      </c>
      <c r="B1610" s="28" t="s">
        <v>9407</v>
      </c>
      <c r="C1610" s="28" t="s">
        <v>9214</v>
      </c>
      <c r="D1610" s="28" t="s">
        <v>9310</v>
      </c>
      <c r="F1610" s="28" t="s">
        <v>21</v>
      </c>
      <c r="G1610" s="28" t="s">
        <v>22</v>
      </c>
      <c r="H1610" s="28" t="s">
        <v>9215</v>
      </c>
      <c r="I1610" s="28" t="s">
        <v>9408</v>
      </c>
      <c r="J1610" s="28" t="s">
        <v>9217</v>
      </c>
      <c r="K1610" s="28" t="s">
        <v>9218</v>
      </c>
      <c r="L1610" s="28" t="s">
        <v>9219</v>
      </c>
      <c r="M1610" s="28" t="s">
        <v>9220</v>
      </c>
      <c r="N1610" s="28" t="s">
        <v>9221</v>
      </c>
      <c r="O1610" s="28" t="s">
        <v>9222</v>
      </c>
      <c r="P1610" s="28" t="s">
        <v>9223</v>
      </c>
    </row>
    <row r="1611" spans="1:16" hidden="1" x14ac:dyDescent="0.25">
      <c r="A1611" s="28" t="s">
        <v>9409</v>
      </c>
      <c r="B1611" s="28" t="s">
        <v>9410</v>
      </c>
      <c r="C1611" s="28" t="s">
        <v>9214</v>
      </c>
      <c r="D1611" s="28" t="s">
        <v>9283</v>
      </c>
      <c r="F1611" s="28" t="s">
        <v>21</v>
      </c>
      <c r="G1611" s="28" t="s">
        <v>22</v>
      </c>
      <c r="H1611" s="28" t="s">
        <v>9215</v>
      </c>
      <c r="I1611" s="28" t="s">
        <v>9411</v>
      </c>
      <c r="J1611" s="28" t="s">
        <v>9217</v>
      </c>
      <c r="K1611" s="28" t="s">
        <v>9218</v>
      </c>
      <c r="L1611" s="28" t="s">
        <v>9219</v>
      </c>
      <c r="M1611" s="28" t="s">
        <v>9220</v>
      </c>
      <c r="N1611" s="28" t="s">
        <v>9221</v>
      </c>
      <c r="O1611" s="28" t="s">
        <v>9222</v>
      </c>
      <c r="P1611" s="28" t="s">
        <v>9223</v>
      </c>
    </row>
    <row r="1612" spans="1:16" hidden="1" x14ac:dyDescent="0.25">
      <c r="A1612" s="28" t="s">
        <v>9412</v>
      </c>
      <c r="B1612" s="28" t="s">
        <v>9413</v>
      </c>
      <c r="C1612" s="28" t="s">
        <v>9214</v>
      </c>
      <c r="D1612" s="28" t="s">
        <v>4341</v>
      </c>
      <c r="F1612" s="28" t="s">
        <v>21</v>
      </c>
      <c r="G1612" s="28" t="s">
        <v>22</v>
      </c>
      <c r="H1612" s="28" t="s">
        <v>9215</v>
      </c>
      <c r="I1612" s="28" t="s">
        <v>9414</v>
      </c>
      <c r="J1612" s="28" t="s">
        <v>9217</v>
      </c>
      <c r="K1612" s="28" t="s">
        <v>9218</v>
      </c>
      <c r="L1612" s="28" t="s">
        <v>9219</v>
      </c>
      <c r="M1612" s="28" t="s">
        <v>9220</v>
      </c>
      <c r="N1612" s="28" t="s">
        <v>9221</v>
      </c>
      <c r="O1612" s="28" t="s">
        <v>9222</v>
      </c>
      <c r="P1612" s="28" t="s">
        <v>9223</v>
      </c>
    </row>
    <row r="1613" spans="1:16" hidden="1" x14ac:dyDescent="0.25">
      <c r="A1613" s="28" t="s">
        <v>9415</v>
      </c>
      <c r="C1613" s="28" t="s">
        <v>9416</v>
      </c>
      <c r="D1613" s="28" t="s">
        <v>8525</v>
      </c>
      <c r="E1613" s="28" t="s">
        <v>9417</v>
      </c>
      <c r="F1613" s="28" t="s">
        <v>9418</v>
      </c>
      <c r="G1613" s="28" t="s">
        <v>22</v>
      </c>
      <c r="H1613" s="28" t="s">
        <v>9419</v>
      </c>
      <c r="I1613" s="28" t="s">
        <v>9420</v>
      </c>
      <c r="J1613" s="28" t="s">
        <v>9421</v>
      </c>
      <c r="K1613" s="28" t="s">
        <v>9422</v>
      </c>
      <c r="L1613" s="28" t="s">
        <v>9423</v>
      </c>
      <c r="M1613" s="28" t="s">
        <v>9424</v>
      </c>
      <c r="N1613" s="28" t="s">
        <v>9425</v>
      </c>
      <c r="O1613" s="28" t="s">
        <v>9426</v>
      </c>
      <c r="P1613" s="28" t="s">
        <v>9427</v>
      </c>
    </row>
    <row r="1614" spans="1:16" hidden="1" x14ac:dyDescent="0.25">
      <c r="A1614" s="28" t="s">
        <v>9428</v>
      </c>
      <c r="C1614" s="28" t="s">
        <v>9416</v>
      </c>
      <c r="D1614" s="28" t="s">
        <v>8382</v>
      </c>
      <c r="E1614" s="28" t="s">
        <v>9429</v>
      </c>
      <c r="F1614" s="28" t="s">
        <v>9418</v>
      </c>
      <c r="G1614" s="28" t="s">
        <v>22</v>
      </c>
      <c r="H1614" s="28" t="s">
        <v>9419</v>
      </c>
      <c r="I1614" s="28" t="s">
        <v>9430</v>
      </c>
      <c r="J1614" s="28" t="s">
        <v>9421</v>
      </c>
      <c r="K1614" s="28" t="s">
        <v>9431</v>
      </c>
      <c r="L1614" s="28" t="s">
        <v>9432</v>
      </c>
      <c r="M1614" s="28" t="s">
        <v>9433</v>
      </c>
      <c r="N1614" s="28" t="s">
        <v>9434</v>
      </c>
      <c r="O1614" s="28" t="s">
        <v>9426</v>
      </c>
      <c r="P1614" s="28" t="s">
        <v>9435</v>
      </c>
    </row>
    <row r="1615" spans="1:16" hidden="1" x14ac:dyDescent="0.25">
      <c r="A1615" s="28" t="s">
        <v>9436</v>
      </c>
      <c r="C1615" s="28" t="s">
        <v>9416</v>
      </c>
      <c r="D1615" s="28" t="s">
        <v>6467</v>
      </c>
      <c r="E1615" s="28" t="s">
        <v>9437</v>
      </c>
      <c r="F1615" s="28" t="s">
        <v>9418</v>
      </c>
      <c r="G1615" s="28" t="s">
        <v>22</v>
      </c>
      <c r="H1615" s="28" t="s">
        <v>9419</v>
      </c>
      <c r="I1615" s="28" t="s">
        <v>9438</v>
      </c>
      <c r="J1615" s="28" t="s">
        <v>9421</v>
      </c>
      <c r="K1615" s="28" t="s">
        <v>9439</v>
      </c>
      <c r="L1615" s="28" t="s">
        <v>9440</v>
      </c>
      <c r="M1615" s="28" t="s">
        <v>9441</v>
      </c>
      <c r="N1615" s="28" t="s">
        <v>9442</v>
      </c>
      <c r="O1615" s="28" t="s">
        <v>9426</v>
      </c>
      <c r="P1615" s="28" t="s">
        <v>9443</v>
      </c>
    </row>
    <row r="1616" spans="1:16" hidden="1" x14ac:dyDescent="0.25">
      <c r="A1616" s="28" t="s">
        <v>9444</v>
      </c>
      <c r="C1616" s="28" t="s">
        <v>9416</v>
      </c>
      <c r="D1616" s="28" t="s">
        <v>5011</v>
      </c>
      <c r="E1616" s="28" t="s">
        <v>9445</v>
      </c>
      <c r="F1616" s="28" t="s">
        <v>9418</v>
      </c>
      <c r="G1616" s="28" t="s">
        <v>22</v>
      </c>
      <c r="H1616" s="28" t="s">
        <v>9419</v>
      </c>
      <c r="I1616" s="28" t="s">
        <v>9446</v>
      </c>
      <c r="J1616" s="28" t="s">
        <v>9421</v>
      </c>
      <c r="K1616" s="28" t="s">
        <v>9447</v>
      </c>
      <c r="L1616" s="28" t="s">
        <v>9448</v>
      </c>
      <c r="M1616" s="28" t="s">
        <v>9449</v>
      </c>
      <c r="N1616" s="28" t="s">
        <v>9450</v>
      </c>
      <c r="O1616" s="28" t="s">
        <v>9426</v>
      </c>
      <c r="P1616" s="28" t="s">
        <v>9451</v>
      </c>
    </row>
    <row r="1617" spans="1:16" hidden="1" x14ac:dyDescent="0.25">
      <c r="A1617" s="28" t="s">
        <v>9452</v>
      </c>
      <c r="C1617" s="28" t="s">
        <v>9416</v>
      </c>
      <c r="D1617" s="28" t="s">
        <v>5036</v>
      </c>
      <c r="E1617" s="28" t="s">
        <v>9453</v>
      </c>
      <c r="F1617" s="28" t="s">
        <v>9418</v>
      </c>
      <c r="G1617" s="28" t="s">
        <v>22</v>
      </c>
      <c r="H1617" s="28" t="s">
        <v>9419</v>
      </c>
      <c r="I1617" s="28" t="s">
        <v>9454</v>
      </c>
      <c r="J1617" s="28" t="s">
        <v>9421</v>
      </c>
      <c r="K1617" s="28" t="s">
        <v>9455</v>
      </c>
      <c r="L1617" s="28" t="s">
        <v>9456</v>
      </c>
      <c r="M1617" s="28" t="s">
        <v>9457</v>
      </c>
      <c r="N1617" s="28" t="s">
        <v>9458</v>
      </c>
      <c r="O1617" s="28" t="s">
        <v>9426</v>
      </c>
      <c r="P1617" s="28" t="s">
        <v>9459</v>
      </c>
    </row>
    <row r="1618" spans="1:16" hidden="1" x14ac:dyDescent="0.25">
      <c r="A1618" s="28" t="s">
        <v>9460</v>
      </c>
      <c r="C1618" s="28" t="s">
        <v>9416</v>
      </c>
      <c r="D1618" s="28" t="s">
        <v>7233</v>
      </c>
      <c r="E1618" s="28" t="s">
        <v>9461</v>
      </c>
      <c r="F1618" s="28" t="s">
        <v>9418</v>
      </c>
      <c r="G1618" s="28" t="s">
        <v>22</v>
      </c>
      <c r="H1618" s="28" t="s">
        <v>9419</v>
      </c>
      <c r="I1618" s="28" t="s">
        <v>9462</v>
      </c>
      <c r="J1618" s="28" t="s">
        <v>9421</v>
      </c>
      <c r="K1618" s="28" t="s">
        <v>9463</v>
      </c>
      <c r="L1618" s="28" t="s">
        <v>9464</v>
      </c>
      <c r="M1618" s="28" t="s">
        <v>9465</v>
      </c>
      <c r="N1618" s="28" t="s">
        <v>9466</v>
      </c>
      <c r="O1618" s="28" t="s">
        <v>9426</v>
      </c>
      <c r="P1618" s="28" t="s">
        <v>9467</v>
      </c>
    </row>
    <row r="1619" spans="1:16" hidden="1" x14ac:dyDescent="0.25">
      <c r="A1619" s="28" t="s">
        <v>9468</v>
      </c>
      <c r="C1619" s="28" t="s">
        <v>9416</v>
      </c>
      <c r="D1619" s="28" t="s">
        <v>4682</v>
      </c>
      <c r="E1619" s="28" t="s">
        <v>9469</v>
      </c>
      <c r="F1619" s="28" t="s">
        <v>9418</v>
      </c>
      <c r="G1619" s="28" t="s">
        <v>22</v>
      </c>
      <c r="H1619" s="28" t="s">
        <v>9419</v>
      </c>
      <c r="I1619" s="28" t="s">
        <v>9470</v>
      </c>
      <c r="J1619" s="28" t="s">
        <v>9421</v>
      </c>
      <c r="K1619" s="28" t="s">
        <v>9471</v>
      </c>
      <c r="L1619" s="28" t="s">
        <v>9472</v>
      </c>
      <c r="M1619" s="28" t="s">
        <v>9473</v>
      </c>
      <c r="N1619" s="28" t="s">
        <v>9474</v>
      </c>
      <c r="O1619" s="28" t="s">
        <v>9426</v>
      </c>
      <c r="P1619" s="28" t="s">
        <v>9475</v>
      </c>
    </row>
    <row r="1620" spans="1:16" x14ac:dyDescent="0.25">
      <c r="A1620" s="28" t="s">
        <v>9476</v>
      </c>
      <c r="C1620" s="28" t="s">
        <v>9416</v>
      </c>
      <c r="D1620" s="28" t="s">
        <v>1810</v>
      </c>
      <c r="E1620" s="28" t="s">
        <v>9477</v>
      </c>
      <c r="F1620" s="28" t="s">
        <v>9418</v>
      </c>
      <c r="G1620" s="28" t="s">
        <v>9478</v>
      </c>
      <c r="H1620" s="28" t="s">
        <v>6310</v>
      </c>
      <c r="I1620" s="28" t="s">
        <v>9479</v>
      </c>
      <c r="J1620" s="28" t="s">
        <v>9480</v>
      </c>
      <c r="K1620" s="28" t="s">
        <v>9481</v>
      </c>
      <c r="L1620" s="28" t="s">
        <v>6314</v>
      </c>
      <c r="M1620" s="28" t="s">
        <v>9482</v>
      </c>
      <c r="N1620" s="28" t="s">
        <v>6316</v>
      </c>
      <c r="O1620" s="28" t="s">
        <v>6317</v>
      </c>
      <c r="P1620" s="28" t="s">
        <v>9483</v>
      </c>
    </row>
    <row r="1621" spans="1:16" hidden="1" x14ac:dyDescent="0.25">
      <c r="A1621" s="28" t="s">
        <v>9484</v>
      </c>
      <c r="C1621" s="28" t="s">
        <v>9416</v>
      </c>
      <c r="D1621" s="28" t="s">
        <v>8815</v>
      </c>
      <c r="E1621" s="28" t="s">
        <v>9485</v>
      </c>
      <c r="F1621" s="28" t="s">
        <v>9418</v>
      </c>
      <c r="G1621" s="28" t="s">
        <v>22</v>
      </c>
      <c r="H1621" s="28" t="s">
        <v>9419</v>
      </c>
      <c r="I1621" s="28" t="s">
        <v>9486</v>
      </c>
      <c r="J1621" s="28" t="s">
        <v>9421</v>
      </c>
      <c r="K1621" s="28" t="s">
        <v>9487</v>
      </c>
      <c r="L1621" s="28" t="s">
        <v>9488</v>
      </c>
      <c r="M1621" s="28" t="s">
        <v>9489</v>
      </c>
      <c r="N1621" s="28" t="s">
        <v>9490</v>
      </c>
      <c r="O1621" s="28" t="s">
        <v>9426</v>
      </c>
      <c r="P1621" s="28" t="s">
        <v>9491</v>
      </c>
    </row>
    <row r="1622" spans="1:16" x14ac:dyDescent="0.25">
      <c r="A1622" s="28" t="s">
        <v>9492</v>
      </c>
      <c r="C1622" s="28" t="s">
        <v>9416</v>
      </c>
      <c r="D1622" s="28" t="s">
        <v>6454</v>
      </c>
      <c r="E1622" s="28" t="s">
        <v>9493</v>
      </c>
      <c r="F1622" s="28" t="s">
        <v>9418</v>
      </c>
      <c r="G1622" s="28" t="s">
        <v>9478</v>
      </c>
      <c r="H1622" s="28" t="s">
        <v>6310</v>
      </c>
      <c r="I1622" s="28" t="s">
        <v>9494</v>
      </c>
      <c r="J1622" s="28" t="s">
        <v>9480</v>
      </c>
      <c r="K1622" s="28" t="s">
        <v>9481</v>
      </c>
      <c r="L1622" s="28" t="s">
        <v>6314</v>
      </c>
      <c r="M1622" s="28" t="s">
        <v>9495</v>
      </c>
      <c r="N1622" s="28" t="s">
        <v>6316</v>
      </c>
      <c r="O1622" s="28" t="s">
        <v>6317</v>
      </c>
      <c r="P1622" s="28" t="s">
        <v>9483</v>
      </c>
    </row>
    <row r="1623" spans="1:16" x14ac:dyDescent="0.25">
      <c r="A1623" s="28" t="s">
        <v>9496</v>
      </c>
      <c r="C1623" s="28" t="s">
        <v>9416</v>
      </c>
      <c r="D1623" s="28" t="s">
        <v>19</v>
      </c>
      <c r="E1623" s="28" t="s">
        <v>9497</v>
      </c>
      <c r="F1623" s="28" t="s">
        <v>9418</v>
      </c>
      <c r="G1623" s="28" t="s">
        <v>9478</v>
      </c>
      <c r="H1623" s="28" t="s">
        <v>6310</v>
      </c>
      <c r="I1623" s="28" t="s">
        <v>9498</v>
      </c>
      <c r="J1623" s="28" t="s">
        <v>9480</v>
      </c>
      <c r="K1623" s="28" t="s">
        <v>9481</v>
      </c>
      <c r="L1623" s="28" t="s">
        <v>6314</v>
      </c>
      <c r="M1623" s="28" t="s">
        <v>9499</v>
      </c>
      <c r="N1623" s="28" t="s">
        <v>6316</v>
      </c>
      <c r="O1623" s="28" t="s">
        <v>6317</v>
      </c>
      <c r="P1623" s="28" t="s">
        <v>9500</v>
      </c>
    </row>
    <row r="1624" spans="1:16" x14ac:dyDescent="0.25">
      <c r="A1624" s="28" t="s">
        <v>9501</v>
      </c>
      <c r="C1624" s="28" t="s">
        <v>9416</v>
      </c>
      <c r="D1624" s="28" t="s">
        <v>7132</v>
      </c>
      <c r="E1624" s="28" t="s">
        <v>9502</v>
      </c>
      <c r="F1624" s="28" t="s">
        <v>9418</v>
      </c>
      <c r="G1624" s="28" t="s">
        <v>9478</v>
      </c>
      <c r="H1624" s="28" t="s">
        <v>6310</v>
      </c>
      <c r="I1624" s="28" t="s">
        <v>9503</v>
      </c>
      <c r="J1624" s="28" t="s">
        <v>9480</v>
      </c>
      <c r="K1624" s="28" t="s">
        <v>9481</v>
      </c>
      <c r="L1624" s="28" t="s">
        <v>6314</v>
      </c>
      <c r="M1624" s="28" t="s">
        <v>9504</v>
      </c>
      <c r="N1624" s="28" t="s">
        <v>6316</v>
      </c>
      <c r="O1624" s="28" t="s">
        <v>6317</v>
      </c>
      <c r="P1624" s="28" t="s">
        <v>9500</v>
      </c>
    </row>
    <row r="1625" spans="1:16" x14ac:dyDescent="0.25">
      <c r="A1625" s="28" t="s">
        <v>9505</v>
      </c>
      <c r="C1625" s="28" t="s">
        <v>9416</v>
      </c>
      <c r="D1625" s="28" t="s">
        <v>4984</v>
      </c>
      <c r="E1625" s="28" t="s">
        <v>9506</v>
      </c>
      <c r="F1625" s="28" t="s">
        <v>9418</v>
      </c>
      <c r="G1625" s="28" t="s">
        <v>9478</v>
      </c>
      <c r="H1625" s="28" t="s">
        <v>6310</v>
      </c>
      <c r="I1625" s="28" t="s">
        <v>9507</v>
      </c>
      <c r="J1625" s="28" t="s">
        <v>9480</v>
      </c>
      <c r="K1625" s="28" t="s">
        <v>9481</v>
      </c>
      <c r="L1625" s="28" t="s">
        <v>6314</v>
      </c>
      <c r="M1625" s="28" t="s">
        <v>9508</v>
      </c>
      <c r="N1625" s="28" t="s">
        <v>6316</v>
      </c>
      <c r="O1625" s="28" t="s">
        <v>6317</v>
      </c>
      <c r="P1625" s="28" t="s">
        <v>9483</v>
      </c>
    </row>
    <row r="1626" spans="1:16" x14ac:dyDescent="0.25">
      <c r="A1626" s="28" t="s">
        <v>9509</v>
      </c>
      <c r="C1626" s="28" t="s">
        <v>9416</v>
      </c>
      <c r="D1626" s="28" t="s">
        <v>5990</v>
      </c>
      <c r="E1626" s="28" t="s">
        <v>9510</v>
      </c>
      <c r="F1626" s="28" t="s">
        <v>9418</v>
      </c>
      <c r="G1626" s="28" t="s">
        <v>9478</v>
      </c>
      <c r="H1626" s="28" t="s">
        <v>6310</v>
      </c>
      <c r="I1626" s="28" t="s">
        <v>9511</v>
      </c>
      <c r="J1626" s="28" t="s">
        <v>9480</v>
      </c>
      <c r="K1626" s="28" t="s">
        <v>9481</v>
      </c>
      <c r="L1626" s="28" t="s">
        <v>6314</v>
      </c>
      <c r="M1626" s="28" t="s">
        <v>9512</v>
      </c>
      <c r="N1626" s="28" t="s">
        <v>6316</v>
      </c>
      <c r="O1626" s="28" t="s">
        <v>6317</v>
      </c>
      <c r="P1626" s="28" t="s">
        <v>9500</v>
      </c>
    </row>
    <row r="1627" spans="1:16" x14ac:dyDescent="0.25">
      <c r="A1627" s="28" t="s">
        <v>9513</v>
      </c>
      <c r="B1627" s="28" t="s">
        <v>9514</v>
      </c>
      <c r="C1627" s="28" t="s">
        <v>132</v>
      </c>
      <c r="D1627" s="28" t="s">
        <v>5979</v>
      </c>
      <c r="E1627" s="28" t="s">
        <v>9515</v>
      </c>
      <c r="F1627" s="28" t="s">
        <v>21</v>
      </c>
      <c r="G1627" s="28" t="s">
        <v>135</v>
      </c>
      <c r="H1627" s="28" t="s">
        <v>9516</v>
      </c>
      <c r="I1627" s="28" t="s">
        <v>9517</v>
      </c>
      <c r="J1627" s="28" t="s">
        <v>135</v>
      </c>
      <c r="K1627" s="28" t="s">
        <v>9518</v>
      </c>
      <c r="L1627" s="28" t="s">
        <v>9519</v>
      </c>
      <c r="M1627" s="28" t="s">
        <v>9520</v>
      </c>
      <c r="N1627" s="28" t="s">
        <v>9521</v>
      </c>
      <c r="O1627" s="28" t="s">
        <v>9522</v>
      </c>
      <c r="P1627" s="28" t="s">
        <v>9523</v>
      </c>
    </row>
    <row r="1628" spans="1:16" x14ac:dyDescent="0.25">
      <c r="A1628" s="28" t="s">
        <v>9524</v>
      </c>
      <c r="B1628" s="28" t="s">
        <v>9525</v>
      </c>
      <c r="C1628" s="28" t="s">
        <v>132</v>
      </c>
      <c r="D1628" s="28" t="s">
        <v>5979</v>
      </c>
      <c r="E1628" s="28" t="s">
        <v>9526</v>
      </c>
      <c r="F1628" s="28" t="s">
        <v>21</v>
      </c>
      <c r="G1628" s="28" t="s">
        <v>135</v>
      </c>
      <c r="H1628" s="28" t="s">
        <v>9516</v>
      </c>
      <c r="I1628" s="28" t="s">
        <v>9527</v>
      </c>
      <c r="J1628" s="28" t="s">
        <v>135</v>
      </c>
      <c r="K1628" s="28" t="s">
        <v>9528</v>
      </c>
      <c r="L1628" s="28" t="s">
        <v>9519</v>
      </c>
      <c r="M1628" s="28" t="s">
        <v>9529</v>
      </c>
      <c r="N1628" s="28" t="s">
        <v>9521</v>
      </c>
      <c r="O1628" s="28" t="s">
        <v>9522</v>
      </c>
      <c r="P1628" s="28" t="s">
        <v>9530</v>
      </c>
    </row>
    <row r="1629" spans="1:16" x14ac:dyDescent="0.25">
      <c r="A1629" s="28" t="s">
        <v>9531</v>
      </c>
      <c r="B1629" s="28" t="s">
        <v>9532</v>
      </c>
      <c r="C1629" s="28" t="s">
        <v>132</v>
      </c>
      <c r="D1629" s="28" t="s">
        <v>5979</v>
      </c>
      <c r="E1629" s="28" t="s">
        <v>9526</v>
      </c>
      <c r="F1629" s="28" t="s">
        <v>21</v>
      </c>
      <c r="G1629" s="28" t="s">
        <v>149</v>
      </c>
      <c r="H1629" s="28" t="s">
        <v>9516</v>
      </c>
      <c r="I1629" s="28" t="s">
        <v>9533</v>
      </c>
      <c r="J1629" s="28" t="s">
        <v>149</v>
      </c>
      <c r="K1629" s="28" t="s">
        <v>9534</v>
      </c>
      <c r="L1629" s="28" t="s">
        <v>9519</v>
      </c>
      <c r="M1629" s="28" t="s">
        <v>9529</v>
      </c>
      <c r="N1629" s="28" t="s">
        <v>9521</v>
      </c>
      <c r="O1629" s="28" t="s">
        <v>9522</v>
      </c>
      <c r="P1629" s="28" t="s">
        <v>9535</v>
      </c>
    </row>
    <row r="1630" spans="1:16" x14ac:dyDescent="0.25">
      <c r="A1630" s="28" t="s">
        <v>9536</v>
      </c>
      <c r="B1630" s="28" t="s">
        <v>9537</v>
      </c>
      <c r="C1630" s="28" t="s">
        <v>132</v>
      </c>
      <c r="D1630" s="28" t="s">
        <v>5979</v>
      </c>
      <c r="E1630" s="28" t="s">
        <v>9526</v>
      </c>
      <c r="F1630" s="28" t="s">
        <v>21</v>
      </c>
      <c r="G1630" s="28" t="s">
        <v>207</v>
      </c>
      <c r="H1630" s="28" t="s">
        <v>9516</v>
      </c>
      <c r="I1630" s="28" t="s">
        <v>9538</v>
      </c>
      <c r="J1630" s="28" t="s">
        <v>207</v>
      </c>
      <c r="K1630" s="28" t="s">
        <v>9539</v>
      </c>
      <c r="L1630" s="28" t="s">
        <v>9519</v>
      </c>
      <c r="M1630" s="28" t="s">
        <v>9540</v>
      </c>
      <c r="N1630" s="28" t="s">
        <v>9521</v>
      </c>
      <c r="O1630" s="28" t="s">
        <v>9522</v>
      </c>
      <c r="P1630" s="28" t="s">
        <v>9541</v>
      </c>
    </row>
    <row r="1631" spans="1:16" x14ac:dyDescent="0.25">
      <c r="A1631" s="28" t="s">
        <v>9542</v>
      </c>
      <c r="B1631" s="28" t="s">
        <v>9543</v>
      </c>
      <c r="C1631" s="28" t="s">
        <v>132</v>
      </c>
      <c r="D1631" s="28" t="s">
        <v>5979</v>
      </c>
      <c r="E1631" s="28" t="s">
        <v>9526</v>
      </c>
      <c r="F1631" s="28" t="s">
        <v>21</v>
      </c>
      <c r="G1631" s="28" t="s">
        <v>207</v>
      </c>
      <c r="H1631" s="28" t="s">
        <v>9516</v>
      </c>
      <c r="I1631" s="28" t="s">
        <v>9544</v>
      </c>
      <c r="J1631" s="28" t="s">
        <v>207</v>
      </c>
      <c r="K1631" s="28" t="s">
        <v>9545</v>
      </c>
      <c r="L1631" s="28" t="s">
        <v>9519</v>
      </c>
      <c r="M1631" s="28" t="s">
        <v>9546</v>
      </c>
      <c r="N1631" s="28" t="s">
        <v>9521</v>
      </c>
      <c r="O1631" s="28" t="s">
        <v>9522</v>
      </c>
      <c r="P1631" s="28" t="s">
        <v>9547</v>
      </c>
    </row>
    <row r="1632" spans="1:16" x14ac:dyDescent="0.25">
      <c r="A1632" s="28" t="s">
        <v>9548</v>
      </c>
      <c r="B1632" s="28" t="s">
        <v>9549</v>
      </c>
      <c r="C1632" s="28" t="s">
        <v>132</v>
      </c>
      <c r="D1632" s="28" t="s">
        <v>5979</v>
      </c>
      <c r="E1632" s="28" t="s">
        <v>7312</v>
      </c>
      <c r="F1632" s="28" t="s">
        <v>21</v>
      </c>
      <c r="G1632" s="28" t="s">
        <v>149</v>
      </c>
      <c r="H1632" s="28" t="s">
        <v>9516</v>
      </c>
      <c r="I1632" s="28" t="s">
        <v>9550</v>
      </c>
      <c r="J1632" s="28" t="s">
        <v>149</v>
      </c>
      <c r="K1632" s="28" t="s">
        <v>9551</v>
      </c>
      <c r="L1632" s="28" t="s">
        <v>9519</v>
      </c>
      <c r="M1632" s="28" t="s">
        <v>9552</v>
      </c>
      <c r="N1632" s="28" t="s">
        <v>9521</v>
      </c>
      <c r="O1632" s="28" t="s">
        <v>9522</v>
      </c>
      <c r="P1632" s="28" t="s">
        <v>9553</v>
      </c>
    </row>
    <row r="1633" spans="1:16" x14ac:dyDescent="0.25">
      <c r="A1633" s="28" t="s">
        <v>9554</v>
      </c>
      <c r="B1633" s="28" t="s">
        <v>9555</v>
      </c>
      <c r="C1633" s="28" t="s">
        <v>132</v>
      </c>
      <c r="D1633" s="28" t="s">
        <v>5979</v>
      </c>
      <c r="E1633" s="28" t="s">
        <v>9556</v>
      </c>
      <c r="F1633" s="28" t="s">
        <v>21</v>
      </c>
      <c r="G1633" s="28" t="s">
        <v>135</v>
      </c>
      <c r="H1633" s="28" t="s">
        <v>9516</v>
      </c>
      <c r="I1633" s="28" t="s">
        <v>9557</v>
      </c>
      <c r="J1633" s="28" t="s">
        <v>135</v>
      </c>
      <c r="K1633" s="28" t="s">
        <v>9558</v>
      </c>
      <c r="L1633" s="28" t="s">
        <v>9519</v>
      </c>
      <c r="M1633" s="28" t="s">
        <v>9559</v>
      </c>
      <c r="N1633" s="28" t="s">
        <v>9521</v>
      </c>
      <c r="O1633" s="28" t="s">
        <v>9522</v>
      </c>
      <c r="P1633" s="28" t="s">
        <v>9560</v>
      </c>
    </row>
    <row r="1634" spans="1:16" x14ac:dyDescent="0.25">
      <c r="A1634" s="28" t="s">
        <v>9561</v>
      </c>
      <c r="B1634" s="28" t="s">
        <v>9562</v>
      </c>
      <c r="C1634" s="28" t="s">
        <v>132</v>
      </c>
      <c r="D1634" s="28" t="s">
        <v>5979</v>
      </c>
      <c r="E1634" s="28" t="s">
        <v>9556</v>
      </c>
      <c r="F1634" s="28" t="s">
        <v>21</v>
      </c>
      <c r="G1634" s="28" t="s">
        <v>149</v>
      </c>
      <c r="H1634" s="28" t="s">
        <v>9516</v>
      </c>
      <c r="I1634" s="28" t="s">
        <v>9563</v>
      </c>
      <c r="J1634" s="28" t="s">
        <v>149</v>
      </c>
      <c r="K1634" s="28" t="s">
        <v>9564</v>
      </c>
      <c r="L1634" s="28" t="s">
        <v>9519</v>
      </c>
      <c r="M1634" s="28" t="s">
        <v>9559</v>
      </c>
      <c r="N1634" s="28" t="s">
        <v>9521</v>
      </c>
      <c r="O1634" s="28" t="s">
        <v>9522</v>
      </c>
      <c r="P1634" s="28" t="s">
        <v>9535</v>
      </c>
    </row>
    <row r="1635" spans="1:16" x14ac:dyDescent="0.25">
      <c r="A1635" s="28" t="s">
        <v>9565</v>
      </c>
      <c r="B1635" s="28" t="s">
        <v>9566</v>
      </c>
      <c r="C1635" s="28" t="s">
        <v>132</v>
      </c>
      <c r="D1635" s="28" t="s">
        <v>5979</v>
      </c>
      <c r="E1635" s="28" t="s">
        <v>6023</v>
      </c>
      <c r="F1635" s="28" t="s">
        <v>21</v>
      </c>
      <c r="G1635" s="28" t="s">
        <v>207</v>
      </c>
      <c r="H1635" s="28" t="s">
        <v>9516</v>
      </c>
      <c r="I1635" s="28" t="s">
        <v>9567</v>
      </c>
      <c r="J1635" s="28" t="s">
        <v>207</v>
      </c>
      <c r="K1635" s="28" t="s">
        <v>9568</v>
      </c>
      <c r="L1635" s="28" t="s">
        <v>9519</v>
      </c>
      <c r="M1635" s="28" t="s">
        <v>9569</v>
      </c>
      <c r="N1635" s="28" t="s">
        <v>9521</v>
      </c>
      <c r="O1635" s="28" t="s">
        <v>9522</v>
      </c>
      <c r="P1635" s="28" t="s">
        <v>9570</v>
      </c>
    </row>
    <row r="1636" spans="1:16" x14ac:dyDescent="0.25">
      <c r="A1636" s="28" t="s">
        <v>9571</v>
      </c>
      <c r="B1636" s="28" t="s">
        <v>9572</v>
      </c>
      <c r="C1636" s="28" t="s">
        <v>132</v>
      </c>
      <c r="D1636" s="28" t="s">
        <v>5979</v>
      </c>
      <c r="E1636" s="28" t="s">
        <v>6023</v>
      </c>
      <c r="F1636" s="28" t="s">
        <v>21</v>
      </c>
      <c r="G1636" s="28" t="s">
        <v>207</v>
      </c>
      <c r="H1636" s="28" t="s">
        <v>9516</v>
      </c>
      <c r="I1636" s="28" t="s">
        <v>9573</v>
      </c>
      <c r="J1636" s="28" t="s">
        <v>207</v>
      </c>
      <c r="K1636" s="28" t="s">
        <v>9574</v>
      </c>
      <c r="L1636" s="28" t="s">
        <v>9519</v>
      </c>
      <c r="M1636" s="28" t="s">
        <v>9569</v>
      </c>
      <c r="N1636" s="28" t="s">
        <v>9521</v>
      </c>
      <c r="O1636" s="28" t="s">
        <v>9522</v>
      </c>
      <c r="P1636" s="28" t="s">
        <v>9575</v>
      </c>
    </row>
    <row r="1637" spans="1:16" x14ac:dyDescent="0.25">
      <c r="A1637" s="28" t="s">
        <v>9576</v>
      </c>
      <c r="B1637" s="28" t="s">
        <v>9577</v>
      </c>
      <c r="C1637" s="28" t="s">
        <v>132</v>
      </c>
      <c r="D1637" s="28" t="s">
        <v>5979</v>
      </c>
      <c r="E1637" s="28" t="s">
        <v>9578</v>
      </c>
      <c r="F1637" s="28" t="s">
        <v>21</v>
      </c>
      <c r="G1637" s="28" t="s">
        <v>135</v>
      </c>
      <c r="H1637" s="28" t="s">
        <v>9516</v>
      </c>
      <c r="I1637" s="28" t="s">
        <v>9579</v>
      </c>
      <c r="J1637" s="28" t="s">
        <v>135</v>
      </c>
      <c r="K1637" s="28" t="s">
        <v>9580</v>
      </c>
      <c r="L1637" s="28" t="s">
        <v>9519</v>
      </c>
      <c r="M1637" s="28" t="s">
        <v>9581</v>
      </c>
      <c r="N1637" s="28" t="s">
        <v>9521</v>
      </c>
      <c r="O1637" s="28" t="s">
        <v>9522</v>
      </c>
      <c r="P1637" s="28" t="s">
        <v>9582</v>
      </c>
    </row>
    <row r="1638" spans="1:16" x14ac:dyDescent="0.25">
      <c r="A1638" s="28" t="s">
        <v>9583</v>
      </c>
      <c r="B1638" s="28" t="s">
        <v>9584</v>
      </c>
      <c r="C1638" s="28" t="s">
        <v>132</v>
      </c>
      <c r="D1638" s="28" t="s">
        <v>5979</v>
      </c>
      <c r="E1638" s="28" t="s">
        <v>9578</v>
      </c>
      <c r="F1638" s="28" t="s">
        <v>21</v>
      </c>
      <c r="G1638" s="28" t="s">
        <v>149</v>
      </c>
      <c r="H1638" s="28" t="s">
        <v>9516</v>
      </c>
      <c r="I1638" s="28" t="s">
        <v>9585</v>
      </c>
      <c r="J1638" s="28" t="s">
        <v>149</v>
      </c>
      <c r="K1638" s="28" t="s">
        <v>9586</v>
      </c>
      <c r="L1638" s="28" t="s">
        <v>9519</v>
      </c>
      <c r="M1638" s="28" t="s">
        <v>9581</v>
      </c>
      <c r="N1638" s="28" t="s">
        <v>9521</v>
      </c>
      <c r="O1638" s="28" t="s">
        <v>9522</v>
      </c>
      <c r="P1638" s="28" t="s">
        <v>9587</v>
      </c>
    </row>
    <row r="1639" spans="1:16" x14ac:dyDescent="0.25">
      <c r="A1639" s="28" t="s">
        <v>9588</v>
      </c>
      <c r="B1639" s="28" t="s">
        <v>9589</v>
      </c>
      <c r="C1639" s="28" t="s">
        <v>132</v>
      </c>
      <c r="D1639" s="28" t="s">
        <v>5979</v>
      </c>
      <c r="E1639" s="28" t="s">
        <v>9590</v>
      </c>
      <c r="F1639" s="28" t="s">
        <v>21</v>
      </c>
      <c r="G1639" s="28" t="s">
        <v>207</v>
      </c>
      <c r="H1639" s="28" t="s">
        <v>9516</v>
      </c>
      <c r="I1639" s="28" t="s">
        <v>9591</v>
      </c>
      <c r="J1639" s="28" t="s">
        <v>207</v>
      </c>
      <c r="K1639" s="28" t="s">
        <v>9592</v>
      </c>
      <c r="L1639" s="28" t="s">
        <v>9519</v>
      </c>
      <c r="M1639" s="28" t="s">
        <v>9593</v>
      </c>
      <c r="N1639" s="28" t="s">
        <v>9521</v>
      </c>
      <c r="O1639" s="28" t="s">
        <v>9522</v>
      </c>
      <c r="P1639" s="28" t="s">
        <v>9594</v>
      </c>
    </row>
    <row r="1640" spans="1:16" x14ac:dyDescent="0.25">
      <c r="A1640" s="28" t="s">
        <v>9595</v>
      </c>
      <c r="B1640" s="28" t="s">
        <v>9596</v>
      </c>
      <c r="C1640" s="28" t="s">
        <v>132</v>
      </c>
      <c r="D1640" s="28" t="s">
        <v>5979</v>
      </c>
      <c r="E1640" s="28" t="s">
        <v>9590</v>
      </c>
      <c r="F1640" s="28" t="s">
        <v>21</v>
      </c>
      <c r="G1640" s="28" t="s">
        <v>207</v>
      </c>
      <c r="H1640" s="28" t="s">
        <v>9516</v>
      </c>
      <c r="I1640" s="28" t="s">
        <v>9597</v>
      </c>
      <c r="J1640" s="28" t="s">
        <v>207</v>
      </c>
      <c r="K1640" s="28" t="s">
        <v>9598</v>
      </c>
      <c r="L1640" s="28" t="s">
        <v>9519</v>
      </c>
      <c r="M1640" s="28" t="s">
        <v>9593</v>
      </c>
      <c r="N1640" s="28" t="s">
        <v>9521</v>
      </c>
      <c r="O1640" s="28" t="s">
        <v>9522</v>
      </c>
      <c r="P1640" s="28" t="s">
        <v>9599</v>
      </c>
    </row>
    <row r="1641" spans="1:16" x14ac:dyDescent="0.25">
      <c r="A1641" s="28" t="s">
        <v>9600</v>
      </c>
      <c r="B1641" s="28" t="s">
        <v>9601</v>
      </c>
      <c r="C1641" s="28" t="s">
        <v>132</v>
      </c>
      <c r="D1641" s="28" t="s">
        <v>5979</v>
      </c>
      <c r="E1641" s="28" t="s">
        <v>9602</v>
      </c>
      <c r="F1641" s="28" t="s">
        <v>21</v>
      </c>
      <c r="G1641" s="28" t="s">
        <v>135</v>
      </c>
      <c r="H1641" s="28" t="s">
        <v>9516</v>
      </c>
      <c r="I1641" s="28" t="s">
        <v>9603</v>
      </c>
      <c r="J1641" s="28" t="s">
        <v>135</v>
      </c>
      <c r="K1641" s="28" t="s">
        <v>9604</v>
      </c>
      <c r="L1641" s="28" t="s">
        <v>9519</v>
      </c>
      <c r="M1641" s="28" t="s">
        <v>9605</v>
      </c>
      <c r="N1641" s="28" t="s">
        <v>9521</v>
      </c>
      <c r="O1641" s="28" t="s">
        <v>9522</v>
      </c>
      <c r="P1641" s="28" t="s">
        <v>9606</v>
      </c>
    </row>
    <row r="1642" spans="1:16" x14ac:dyDescent="0.25">
      <c r="A1642" s="28" t="s">
        <v>9607</v>
      </c>
      <c r="B1642" s="28" t="s">
        <v>9608</v>
      </c>
      <c r="C1642" s="28" t="s">
        <v>132</v>
      </c>
      <c r="D1642" s="28" t="s">
        <v>5979</v>
      </c>
      <c r="E1642" s="28" t="s">
        <v>9609</v>
      </c>
      <c r="F1642" s="28" t="s">
        <v>21</v>
      </c>
      <c r="G1642" s="28" t="s">
        <v>135</v>
      </c>
      <c r="H1642" s="28" t="s">
        <v>9516</v>
      </c>
      <c r="I1642" s="28" t="s">
        <v>9610</v>
      </c>
      <c r="J1642" s="28" t="s">
        <v>135</v>
      </c>
      <c r="K1642" s="28" t="s">
        <v>9611</v>
      </c>
      <c r="L1642" s="28" t="s">
        <v>9519</v>
      </c>
      <c r="M1642" s="28" t="s">
        <v>9612</v>
      </c>
      <c r="N1642" s="28" t="s">
        <v>9521</v>
      </c>
      <c r="O1642" s="28" t="s">
        <v>9522</v>
      </c>
      <c r="P1642" s="28" t="s">
        <v>9613</v>
      </c>
    </row>
    <row r="1643" spans="1:16" x14ac:dyDescent="0.25">
      <c r="A1643" s="28" t="s">
        <v>9614</v>
      </c>
      <c r="B1643" s="28" t="s">
        <v>9615</v>
      </c>
      <c r="C1643" s="28" t="s">
        <v>132</v>
      </c>
      <c r="D1643" s="28" t="s">
        <v>5979</v>
      </c>
      <c r="E1643" s="28" t="s">
        <v>9609</v>
      </c>
      <c r="F1643" s="28" t="s">
        <v>21</v>
      </c>
      <c r="G1643" s="28" t="s">
        <v>149</v>
      </c>
      <c r="H1643" s="28" t="s">
        <v>9516</v>
      </c>
      <c r="I1643" s="28" t="s">
        <v>9616</v>
      </c>
      <c r="J1643" s="28" t="s">
        <v>149</v>
      </c>
      <c r="K1643" s="28" t="s">
        <v>9617</v>
      </c>
      <c r="L1643" s="28" t="s">
        <v>9519</v>
      </c>
      <c r="M1643" s="28" t="s">
        <v>9612</v>
      </c>
      <c r="N1643" s="28" t="s">
        <v>9521</v>
      </c>
      <c r="O1643" s="28" t="s">
        <v>9522</v>
      </c>
      <c r="P1643" s="28" t="s">
        <v>9618</v>
      </c>
    </row>
    <row r="1644" spans="1:16" x14ac:dyDescent="0.25">
      <c r="A1644" s="28" t="s">
        <v>9619</v>
      </c>
      <c r="B1644" s="28" t="s">
        <v>9620</v>
      </c>
      <c r="C1644" s="28" t="s">
        <v>132</v>
      </c>
      <c r="D1644" s="28" t="s">
        <v>5979</v>
      </c>
      <c r="E1644" s="28" t="s">
        <v>9609</v>
      </c>
      <c r="F1644" s="28" t="s">
        <v>21</v>
      </c>
      <c r="G1644" s="28" t="s">
        <v>135</v>
      </c>
      <c r="H1644" s="28" t="s">
        <v>9516</v>
      </c>
      <c r="I1644" s="28" t="s">
        <v>9621</v>
      </c>
      <c r="J1644" s="28" t="s">
        <v>135</v>
      </c>
      <c r="K1644" s="28" t="s">
        <v>9622</v>
      </c>
      <c r="L1644" s="28" t="s">
        <v>9519</v>
      </c>
      <c r="M1644" s="28" t="s">
        <v>9623</v>
      </c>
      <c r="N1644" s="28" t="s">
        <v>9521</v>
      </c>
      <c r="O1644" s="28" t="s">
        <v>9522</v>
      </c>
      <c r="P1644" s="28" t="s">
        <v>9624</v>
      </c>
    </row>
    <row r="1645" spans="1:16" x14ac:dyDescent="0.25">
      <c r="A1645" s="28" t="s">
        <v>9625</v>
      </c>
      <c r="B1645" s="28" t="s">
        <v>9626</v>
      </c>
      <c r="C1645" s="28" t="s">
        <v>132</v>
      </c>
      <c r="D1645" s="28" t="s">
        <v>5979</v>
      </c>
      <c r="E1645" s="28" t="s">
        <v>9609</v>
      </c>
      <c r="F1645" s="28" t="s">
        <v>21</v>
      </c>
      <c r="G1645" s="28" t="s">
        <v>149</v>
      </c>
      <c r="H1645" s="28" t="s">
        <v>9516</v>
      </c>
      <c r="I1645" s="28" t="s">
        <v>9627</v>
      </c>
      <c r="J1645" s="28" t="s">
        <v>149</v>
      </c>
      <c r="K1645" s="28" t="s">
        <v>9628</v>
      </c>
      <c r="L1645" s="28" t="s">
        <v>9519</v>
      </c>
      <c r="M1645" s="28" t="s">
        <v>9623</v>
      </c>
      <c r="N1645" s="28" t="s">
        <v>9521</v>
      </c>
      <c r="O1645" s="28" t="s">
        <v>9522</v>
      </c>
      <c r="P1645" s="28" t="s">
        <v>9629</v>
      </c>
    </row>
    <row r="1646" spans="1:16" x14ac:dyDescent="0.25">
      <c r="A1646" s="28" t="s">
        <v>9630</v>
      </c>
      <c r="B1646" s="28" t="s">
        <v>9631</v>
      </c>
      <c r="C1646" s="28" t="s">
        <v>132</v>
      </c>
      <c r="D1646" s="28" t="s">
        <v>1376</v>
      </c>
      <c r="E1646" s="28" t="s">
        <v>9632</v>
      </c>
      <c r="F1646" s="28" t="s">
        <v>21</v>
      </c>
      <c r="G1646" s="28" t="s">
        <v>207</v>
      </c>
      <c r="H1646" s="28" t="s">
        <v>9633</v>
      </c>
      <c r="I1646" s="28" t="s">
        <v>9634</v>
      </c>
      <c r="J1646" s="28" t="s">
        <v>207</v>
      </c>
      <c r="K1646" s="28" t="s">
        <v>9635</v>
      </c>
      <c r="L1646" s="28" t="s">
        <v>9636</v>
      </c>
      <c r="M1646" s="28" t="s">
        <v>9637</v>
      </c>
      <c r="N1646" s="28" t="s">
        <v>9638</v>
      </c>
      <c r="O1646" s="28" t="s">
        <v>9639</v>
      </c>
      <c r="P1646" s="28" t="s">
        <v>9640</v>
      </c>
    </row>
    <row r="1647" spans="1:16" x14ac:dyDescent="0.25">
      <c r="A1647" s="28" t="s">
        <v>9641</v>
      </c>
      <c r="B1647" s="28" t="s">
        <v>9642</v>
      </c>
      <c r="C1647" s="28" t="s">
        <v>132</v>
      </c>
      <c r="D1647" s="28" t="s">
        <v>1376</v>
      </c>
      <c r="E1647" s="28" t="s">
        <v>9643</v>
      </c>
      <c r="F1647" s="28" t="s">
        <v>21</v>
      </c>
      <c r="G1647" s="28" t="s">
        <v>207</v>
      </c>
      <c r="H1647" s="28" t="s">
        <v>9633</v>
      </c>
      <c r="I1647" s="28" t="s">
        <v>9644</v>
      </c>
      <c r="J1647" s="28" t="s">
        <v>207</v>
      </c>
      <c r="K1647" s="28" t="s">
        <v>9635</v>
      </c>
      <c r="L1647" s="28" t="s">
        <v>9636</v>
      </c>
      <c r="M1647" s="28" t="s">
        <v>9645</v>
      </c>
      <c r="N1647" s="28" t="s">
        <v>9638</v>
      </c>
      <c r="O1647" s="28" t="s">
        <v>9639</v>
      </c>
      <c r="P1647" s="28" t="s">
        <v>9646</v>
      </c>
    </row>
    <row r="1648" spans="1:16" x14ac:dyDescent="0.25">
      <c r="A1648" s="28" t="s">
        <v>9647</v>
      </c>
      <c r="B1648" s="28" t="s">
        <v>9648</v>
      </c>
      <c r="C1648" s="28" t="s">
        <v>132</v>
      </c>
      <c r="D1648" s="28" t="s">
        <v>1376</v>
      </c>
      <c r="E1648" s="28" t="s">
        <v>9649</v>
      </c>
      <c r="F1648" s="28" t="s">
        <v>21</v>
      </c>
      <c r="G1648" s="28" t="s">
        <v>207</v>
      </c>
      <c r="H1648" s="28" t="s">
        <v>9633</v>
      </c>
      <c r="I1648" s="28" t="s">
        <v>9650</v>
      </c>
      <c r="J1648" s="28" t="s">
        <v>207</v>
      </c>
      <c r="K1648" s="28" t="s">
        <v>9635</v>
      </c>
      <c r="L1648" s="28" t="s">
        <v>9636</v>
      </c>
      <c r="M1648" s="28" t="s">
        <v>9651</v>
      </c>
      <c r="N1648" s="28" t="s">
        <v>9638</v>
      </c>
      <c r="O1648" s="28" t="s">
        <v>9639</v>
      </c>
      <c r="P1648" s="28" t="s">
        <v>9652</v>
      </c>
    </row>
    <row r="1649" spans="1:16" x14ac:dyDescent="0.25">
      <c r="A1649" s="28" t="s">
        <v>9653</v>
      </c>
      <c r="B1649" s="28" t="s">
        <v>9654</v>
      </c>
      <c r="C1649" s="28" t="s">
        <v>132</v>
      </c>
      <c r="D1649" s="28" t="s">
        <v>1376</v>
      </c>
      <c r="E1649" s="28" t="s">
        <v>9655</v>
      </c>
      <c r="F1649" s="28" t="s">
        <v>21</v>
      </c>
      <c r="G1649" s="28" t="s">
        <v>207</v>
      </c>
      <c r="H1649" s="28" t="s">
        <v>9633</v>
      </c>
      <c r="I1649" s="28" t="s">
        <v>9656</v>
      </c>
      <c r="J1649" s="28" t="s">
        <v>207</v>
      </c>
      <c r="K1649" s="28" t="s">
        <v>9635</v>
      </c>
      <c r="L1649" s="28" t="s">
        <v>9636</v>
      </c>
      <c r="M1649" s="28" t="s">
        <v>9657</v>
      </c>
      <c r="N1649" s="28" t="s">
        <v>9638</v>
      </c>
      <c r="O1649" s="28" t="s">
        <v>9639</v>
      </c>
      <c r="P1649" s="28" t="s">
        <v>9658</v>
      </c>
    </row>
    <row r="1650" spans="1:16" x14ac:dyDescent="0.25">
      <c r="A1650" s="28" t="s">
        <v>9659</v>
      </c>
      <c r="B1650" s="28" t="s">
        <v>9660</v>
      </c>
      <c r="C1650" s="28" t="s">
        <v>132</v>
      </c>
      <c r="D1650" s="28" t="s">
        <v>1376</v>
      </c>
      <c r="E1650" s="28" t="s">
        <v>9661</v>
      </c>
      <c r="F1650" s="28" t="s">
        <v>21</v>
      </c>
      <c r="G1650" s="28" t="s">
        <v>207</v>
      </c>
      <c r="H1650" s="28" t="s">
        <v>9633</v>
      </c>
      <c r="I1650" s="28" t="s">
        <v>9662</v>
      </c>
      <c r="J1650" s="28" t="s">
        <v>207</v>
      </c>
      <c r="K1650" s="28" t="s">
        <v>9635</v>
      </c>
      <c r="L1650" s="28" t="s">
        <v>9636</v>
      </c>
      <c r="M1650" s="28" t="s">
        <v>9663</v>
      </c>
      <c r="N1650" s="28" t="s">
        <v>9638</v>
      </c>
      <c r="O1650" s="28" t="s">
        <v>9639</v>
      </c>
      <c r="P1650" s="28" t="s">
        <v>9664</v>
      </c>
    </row>
    <row r="1651" spans="1:16" x14ac:dyDescent="0.25">
      <c r="A1651" s="28" t="s">
        <v>9665</v>
      </c>
      <c r="B1651" s="28" t="s">
        <v>9666</v>
      </c>
      <c r="C1651" s="28" t="s">
        <v>132</v>
      </c>
      <c r="D1651" s="28" t="s">
        <v>1376</v>
      </c>
      <c r="E1651" s="28" t="s">
        <v>9661</v>
      </c>
      <c r="F1651" s="28" t="s">
        <v>21</v>
      </c>
      <c r="G1651" s="28" t="s">
        <v>207</v>
      </c>
      <c r="H1651" s="28" t="s">
        <v>9633</v>
      </c>
      <c r="I1651" s="28" t="s">
        <v>9667</v>
      </c>
      <c r="J1651" s="28" t="s">
        <v>207</v>
      </c>
      <c r="K1651" s="28" t="s">
        <v>9635</v>
      </c>
      <c r="L1651" s="28" t="s">
        <v>9636</v>
      </c>
      <c r="M1651" s="28" t="s">
        <v>9668</v>
      </c>
      <c r="N1651" s="28" t="s">
        <v>9638</v>
      </c>
      <c r="O1651" s="28" t="s">
        <v>9639</v>
      </c>
      <c r="P1651" s="28" t="s">
        <v>9664</v>
      </c>
    </row>
    <row r="1652" spans="1:16" x14ac:dyDescent="0.25">
      <c r="A1652" s="28" t="s">
        <v>9669</v>
      </c>
      <c r="B1652" s="28" t="s">
        <v>9670</v>
      </c>
      <c r="C1652" s="28" t="s">
        <v>132</v>
      </c>
      <c r="D1652" s="28" t="s">
        <v>1376</v>
      </c>
      <c r="E1652" s="28" t="s">
        <v>9671</v>
      </c>
      <c r="F1652" s="28" t="s">
        <v>21</v>
      </c>
      <c r="G1652" s="28" t="s">
        <v>207</v>
      </c>
      <c r="H1652" s="28" t="s">
        <v>9633</v>
      </c>
      <c r="I1652" s="28" t="s">
        <v>9672</v>
      </c>
      <c r="J1652" s="28" t="s">
        <v>207</v>
      </c>
      <c r="K1652" s="28" t="s">
        <v>9635</v>
      </c>
      <c r="L1652" s="28" t="s">
        <v>9636</v>
      </c>
      <c r="M1652" s="28" t="s">
        <v>9673</v>
      </c>
      <c r="N1652" s="28" t="s">
        <v>9638</v>
      </c>
      <c r="O1652" s="28" t="s">
        <v>9639</v>
      </c>
      <c r="P1652" s="28" t="s">
        <v>9674</v>
      </c>
    </row>
    <row r="1653" spans="1:16" x14ac:dyDescent="0.25">
      <c r="A1653" s="28" t="s">
        <v>9675</v>
      </c>
      <c r="B1653" s="28" t="s">
        <v>9676</v>
      </c>
      <c r="C1653" s="28" t="s">
        <v>132</v>
      </c>
      <c r="D1653" s="28" t="s">
        <v>1376</v>
      </c>
      <c r="E1653" s="28" t="s">
        <v>9677</v>
      </c>
      <c r="F1653" s="28" t="s">
        <v>21</v>
      </c>
      <c r="G1653" s="28" t="s">
        <v>207</v>
      </c>
      <c r="H1653" s="28" t="s">
        <v>9633</v>
      </c>
      <c r="I1653" s="28" t="s">
        <v>9678</v>
      </c>
      <c r="J1653" s="28" t="s">
        <v>207</v>
      </c>
      <c r="K1653" s="28" t="s">
        <v>9635</v>
      </c>
      <c r="L1653" s="28" t="s">
        <v>9636</v>
      </c>
      <c r="M1653" s="28" t="s">
        <v>9679</v>
      </c>
      <c r="N1653" s="28" t="s">
        <v>9638</v>
      </c>
      <c r="O1653" s="28" t="s">
        <v>9639</v>
      </c>
      <c r="P1653" s="28" t="s">
        <v>9680</v>
      </c>
    </row>
    <row r="1654" spans="1:16" x14ac:dyDescent="0.25">
      <c r="A1654" s="28" t="s">
        <v>9681</v>
      </c>
      <c r="B1654" s="28" t="s">
        <v>9682</v>
      </c>
      <c r="C1654" s="28" t="s">
        <v>132</v>
      </c>
      <c r="D1654" s="28" t="s">
        <v>1376</v>
      </c>
      <c r="E1654" s="28" t="s">
        <v>9677</v>
      </c>
      <c r="F1654" s="28" t="s">
        <v>21</v>
      </c>
      <c r="G1654" s="28" t="s">
        <v>207</v>
      </c>
      <c r="H1654" s="28" t="s">
        <v>9633</v>
      </c>
      <c r="I1654" s="28" t="s">
        <v>9683</v>
      </c>
      <c r="J1654" s="28" t="s">
        <v>207</v>
      </c>
      <c r="K1654" s="28" t="s">
        <v>9635</v>
      </c>
      <c r="L1654" s="28" t="s">
        <v>9636</v>
      </c>
      <c r="M1654" s="28" t="s">
        <v>9684</v>
      </c>
      <c r="N1654" s="28" t="s">
        <v>9638</v>
      </c>
      <c r="O1654" s="28" t="s">
        <v>9639</v>
      </c>
      <c r="P1654" s="28" t="s">
        <v>9685</v>
      </c>
    </row>
    <row r="1655" spans="1:16" x14ac:dyDescent="0.25">
      <c r="A1655" s="28" t="s">
        <v>9686</v>
      </c>
      <c r="B1655" s="28" t="s">
        <v>9687</v>
      </c>
      <c r="C1655" s="28" t="s">
        <v>132</v>
      </c>
      <c r="D1655" s="28" t="s">
        <v>1376</v>
      </c>
      <c r="E1655" s="28" t="s">
        <v>9677</v>
      </c>
      <c r="F1655" s="28" t="s">
        <v>21</v>
      </c>
      <c r="G1655" s="28" t="s">
        <v>207</v>
      </c>
      <c r="H1655" s="28" t="s">
        <v>9633</v>
      </c>
      <c r="I1655" s="28" t="s">
        <v>9688</v>
      </c>
      <c r="J1655" s="28" t="s">
        <v>207</v>
      </c>
      <c r="K1655" s="28" t="s">
        <v>9635</v>
      </c>
      <c r="L1655" s="28" t="s">
        <v>9636</v>
      </c>
      <c r="M1655" s="28" t="s">
        <v>9689</v>
      </c>
      <c r="N1655" s="28" t="s">
        <v>9638</v>
      </c>
      <c r="O1655" s="28" t="s">
        <v>9639</v>
      </c>
      <c r="P1655" s="28" t="s">
        <v>9680</v>
      </c>
    </row>
    <row r="1656" spans="1:16" x14ac:dyDescent="0.25">
      <c r="A1656" s="28" t="s">
        <v>9690</v>
      </c>
      <c r="B1656" s="28" t="s">
        <v>9691</v>
      </c>
      <c r="C1656" s="28" t="s">
        <v>132</v>
      </c>
      <c r="D1656" s="28" t="s">
        <v>1376</v>
      </c>
      <c r="E1656" s="28" t="s">
        <v>9677</v>
      </c>
      <c r="F1656" s="28" t="s">
        <v>21</v>
      </c>
      <c r="G1656" s="28" t="s">
        <v>207</v>
      </c>
      <c r="H1656" s="28" t="s">
        <v>9633</v>
      </c>
      <c r="I1656" s="28" t="s">
        <v>9692</v>
      </c>
      <c r="J1656" s="28" t="s">
        <v>207</v>
      </c>
      <c r="K1656" s="28" t="s">
        <v>9635</v>
      </c>
      <c r="L1656" s="28" t="s">
        <v>9636</v>
      </c>
      <c r="M1656" s="28" t="s">
        <v>9693</v>
      </c>
      <c r="N1656" s="28" t="s">
        <v>9638</v>
      </c>
      <c r="O1656" s="28" t="s">
        <v>9639</v>
      </c>
      <c r="P1656" s="28" t="s">
        <v>9694</v>
      </c>
    </row>
    <row r="1657" spans="1:16" x14ac:dyDescent="0.25">
      <c r="A1657" s="28" t="s">
        <v>9695</v>
      </c>
      <c r="B1657" s="28" t="s">
        <v>9696</v>
      </c>
      <c r="C1657" s="28" t="s">
        <v>132</v>
      </c>
      <c r="D1657" s="28" t="s">
        <v>1376</v>
      </c>
      <c r="E1657" s="28" t="s">
        <v>9677</v>
      </c>
      <c r="F1657" s="28" t="s">
        <v>21</v>
      </c>
      <c r="G1657" s="28" t="s">
        <v>207</v>
      </c>
      <c r="H1657" s="28" t="s">
        <v>9633</v>
      </c>
      <c r="I1657" s="28" t="s">
        <v>9697</v>
      </c>
      <c r="J1657" s="28" t="s">
        <v>207</v>
      </c>
      <c r="K1657" s="28" t="s">
        <v>9635</v>
      </c>
      <c r="L1657" s="28" t="s">
        <v>9636</v>
      </c>
      <c r="M1657" s="28" t="s">
        <v>9698</v>
      </c>
      <c r="N1657" s="28" t="s">
        <v>9638</v>
      </c>
      <c r="O1657" s="28" t="s">
        <v>9639</v>
      </c>
      <c r="P1657" s="28" t="s">
        <v>9685</v>
      </c>
    </row>
    <row r="1658" spans="1:16" x14ac:dyDescent="0.25">
      <c r="A1658" s="28" t="s">
        <v>9699</v>
      </c>
      <c r="B1658" s="28" t="s">
        <v>9700</v>
      </c>
      <c r="C1658" s="28" t="s">
        <v>132</v>
      </c>
      <c r="D1658" s="28" t="s">
        <v>1376</v>
      </c>
      <c r="E1658" s="28" t="s">
        <v>9677</v>
      </c>
      <c r="F1658" s="28" t="s">
        <v>21</v>
      </c>
      <c r="G1658" s="28" t="s">
        <v>207</v>
      </c>
      <c r="H1658" s="28" t="s">
        <v>9633</v>
      </c>
      <c r="I1658" s="28" t="s">
        <v>9701</v>
      </c>
      <c r="J1658" s="28" t="s">
        <v>207</v>
      </c>
      <c r="K1658" s="28" t="s">
        <v>9635</v>
      </c>
      <c r="L1658" s="28" t="s">
        <v>9636</v>
      </c>
      <c r="M1658" s="28" t="s">
        <v>9702</v>
      </c>
      <c r="N1658" s="28" t="s">
        <v>9638</v>
      </c>
      <c r="O1658" s="28" t="s">
        <v>9639</v>
      </c>
      <c r="P1658" s="28" t="s">
        <v>9680</v>
      </c>
    </row>
    <row r="1659" spans="1:16" x14ac:dyDescent="0.25">
      <c r="A1659" s="28" t="s">
        <v>9703</v>
      </c>
      <c r="B1659" s="28" t="s">
        <v>9704</v>
      </c>
      <c r="C1659" s="28" t="s">
        <v>132</v>
      </c>
      <c r="D1659" s="28" t="s">
        <v>1376</v>
      </c>
      <c r="E1659" s="28" t="s">
        <v>9705</v>
      </c>
      <c r="F1659" s="28" t="s">
        <v>21</v>
      </c>
      <c r="G1659" s="28" t="s">
        <v>207</v>
      </c>
      <c r="H1659" s="28" t="s">
        <v>9633</v>
      </c>
      <c r="I1659" s="28" t="s">
        <v>9706</v>
      </c>
      <c r="J1659" s="28" t="s">
        <v>207</v>
      </c>
      <c r="K1659" s="28" t="s">
        <v>9635</v>
      </c>
      <c r="L1659" s="28" t="s">
        <v>9636</v>
      </c>
      <c r="M1659" s="28" t="s">
        <v>9707</v>
      </c>
      <c r="N1659" s="28" t="s">
        <v>9638</v>
      </c>
      <c r="O1659" s="28" t="s">
        <v>9639</v>
      </c>
      <c r="P1659" s="28" t="s">
        <v>9708</v>
      </c>
    </row>
    <row r="1660" spans="1:16" x14ac:dyDescent="0.25">
      <c r="A1660" s="28" t="s">
        <v>9709</v>
      </c>
      <c r="B1660" s="28" t="s">
        <v>9710</v>
      </c>
      <c r="C1660" s="28" t="s">
        <v>132</v>
      </c>
      <c r="D1660" s="28" t="s">
        <v>1376</v>
      </c>
      <c r="E1660" s="28" t="s">
        <v>1377</v>
      </c>
      <c r="F1660" s="28" t="s">
        <v>21</v>
      </c>
      <c r="G1660" s="28" t="s">
        <v>135</v>
      </c>
      <c r="H1660" s="28" t="s">
        <v>9711</v>
      </c>
      <c r="I1660" s="28" t="s">
        <v>9712</v>
      </c>
      <c r="J1660" s="28" t="s">
        <v>135</v>
      </c>
      <c r="K1660" s="28" t="s">
        <v>9713</v>
      </c>
      <c r="L1660" s="28" t="s">
        <v>9714</v>
      </c>
      <c r="M1660" s="28" t="s">
        <v>9715</v>
      </c>
      <c r="N1660" s="28" t="s">
        <v>9716</v>
      </c>
      <c r="O1660" s="28" t="s">
        <v>9717</v>
      </c>
      <c r="P1660" s="28" t="s">
        <v>9718</v>
      </c>
    </row>
    <row r="1661" spans="1:16" x14ac:dyDescent="0.25">
      <c r="A1661" s="28" t="s">
        <v>9719</v>
      </c>
      <c r="B1661" s="28" t="s">
        <v>9720</v>
      </c>
      <c r="C1661" s="28" t="s">
        <v>132</v>
      </c>
      <c r="D1661" s="28" t="s">
        <v>1391</v>
      </c>
      <c r="E1661" s="28" t="s">
        <v>1392</v>
      </c>
      <c r="F1661" s="28" t="s">
        <v>21</v>
      </c>
      <c r="G1661" s="28" t="s">
        <v>149</v>
      </c>
      <c r="H1661" s="28" t="s">
        <v>9633</v>
      </c>
      <c r="I1661" s="28" t="s">
        <v>9721</v>
      </c>
      <c r="J1661" s="28" t="s">
        <v>149</v>
      </c>
      <c r="K1661" s="28" t="s">
        <v>9722</v>
      </c>
      <c r="L1661" s="28" t="s">
        <v>9636</v>
      </c>
      <c r="M1661" s="28" t="s">
        <v>9723</v>
      </c>
      <c r="N1661" s="28" t="s">
        <v>9638</v>
      </c>
      <c r="O1661" s="28" t="s">
        <v>9639</v>
      </c>
      <c r="P1661" s="28" t="s">
        <v>9724</v>
      </c>
    </row>
    <row r="1662" spans="1:16" x14ac:dyDescent="0.25">
      <c r="A1662" s="28" t="s">
        <v>9725</v>
      </c>
      <c r="B1662" s="28" t="s">
        <v>9726</v>
      </c>
      <c r="C1662" s="28" t="s">
        <v>132</v>
      </c>
      <c r="D1662" s="28" t="s">
        <v>1391</v>
      </c>
      <c r="E1662" s="28" t="s">
        <v>1400</v>
      </c>
      <c r="F1662" s="28" t="s">
        <v>21</v>
      </c>
      <c r="G1662" s="28" t="s">
        <v>135</v>
      </c>
      <c r="H1662" s="28" t="s">
        <v>9711</v>
      </c>
      <c r="I1662" s="28" t="s">
        <v>9727</v>
      </c>
      <c r="J1662" s="28" t="s">
        <v>135</v>
      </c>
      <c r="K1662" s="28" t="s">
        <v>9713</v>
      </c>
      <c r="L1662" s="28" t="s">
        <v>9714</v>
      </c>
      <c r="M1662" s="28" t="s">
        <v>9728</v>
      </c>
      <c r="N1662" s="28" t="s">
        <v>9716</v>
      </c>
      <c r="O1662" s="28" t="s">
        <v>9717</v>
      </c>
      <c r="P1662" s="28" t="s">
        <v>9729</v>
      </c>
    </row>
    <row r="1663" spans="1:16" x14ac:dyDescent="0.25">
      <c r="A1663" s="28" t="s">
        <v>9730</v>
      </c>
      <c r="B1663" s="28" t="s">
        <v>9731</v>
      </c>
      <c r="C1663" s="28" t="s">
        <v>132</v>
      </c>
      <c r="D1663" s="28" t="s">
        <v>1391</v>
      </c>
      <c r="E1663" s="28" t="s">
        <v>1406</v>
      </c>
      <c r="F1663" s="28" t="s">
        <v>21</v>
      </c>
      <c r="G1663" s="28" t="s">
        <v>149</v>
      </c>
      <c r="H1663" s="28" t="s">
        <v>9633</v>
      </c>
      <c r="I1663" s="28" t="s">
        <v>9732</v>
      </c>
      <c r="J1663" s="28" t="s">
        <v>149</v>
      </c>
      <c r="K1663" s="28" t="s">
        <v>9722</v>
      </c>
      <c r="L1663" s="28" t="s">
        <v>9636</v>
      </c>
      <c r="M1663" s="28" t="s">
        <v>9733</v>
      </c>
      <c r="N1663" s="28" t="s">
        <v>9638</v>
      </c>
      <c r="O1663" s="28" t="s">
        <v>9639</v>
      </c>
      <c r="P1663" s="28" t="s">
        <v>9734</v>
      </c>
    </row>
    <row r="1664" spans="1:16" x14ac:dyDescent="0.25">
      <c r="A1664" s="28" t="s">
        <v>9735</v>
      </c>
      <c r="B1664" s="28" t="s">
        <v>9736</v>
      </c>
      <c r="C1664" s="28" t="s">
        <v>132</v>
      </c>
      <c r="D1664" s="28" t="s">
        <v>1391</v>
      </c>
      <c r="E1664" s="28" t="s">
        <v>1412</v>
      </c>
      <c r="F1664" s="28" t="s">
        <v>21</v>
      </c>
      <c r="G1664" s="28" t="s">
        <v>149</v>
      </c>
      <c r="H1664" s="28" t="s">
        <v>9633</v>
      </c>
      <c r="I1664" s="28" t="s">
        <v>9737</v>
      </c>
      <c r="J1664" s="28" t="s">
        <v>149</v>
      </c>
      <c r="K1664" s="28" t="s">
        <v>9722</v>
      </c>
      <c r="L1664" s="28" t="s">
        <v>9636</v>
      </c>
      <c r="M1664" s="28" t="s">
        <v>9738</v>
      </c>
      <c r="N1664" s="28" t="s">
        <v>9638</v>
      </c>
      <c r="O1664" s="28" t="s">
        <v>9639</v>
      </c>
      <c r="P1664" s="28" t="s">
        <v>9739</v>
      </c>
    </row>
    <row r="1665" spans="1:16" x14ac:dyDescent="0.25">
      <c r="A1665" s="28" t="s">
        <v>9740</v>
      </c>
      <c r="B1665" s="28" t="s">
        <v>9741</v>
      </c>
      <c r="C1665" s="28" t="s">
        <v>132</v>
      </c>
      <c r="D1665" s="28" t="s">
        <v>1418</v>
      </c>
      <c r="E1665" s="28" t="s">
        <v>9742</v>
      </c>
      <c r="F1665" s="28" t="s">
        <v>21</v>
      </c>
      <c r="G1665" s="28" t="s">
        <v>207</v>
      </c>
      <c r="H1665" s="28" t="s">
        <v>9633</v>
      </c>
      <c r="I1665" s="28" t="s">
        <v>9743</v>
      </c>
      <c r="J1665" s="28" t="s">
        <v>207</v>
      </c>
      <c r="K1665" s="28" t="s">
        <v>9635</v>
      </c>
      <c r="L1665" s="28" t="s">
        <v>9636</v>
      </c>
      <c r="M1665" s="28" t="s">
        <v>9744</v>
      </c>
      <c r="N1665" s="28" t="s">
        <v>9638</v>
      </c>
      <c r="O1665" s="28" t="s">
        <v>9639</v>
      </c>
      <c r="P1665" s="28" t="s">
        <v>9745</v>
      </c>
    </row>
    <row r="1666" spans="1:16" x14ac:dyDescent="0.25">
      <c r="A1666" s="28" t="s">
        <v>9746</v>
      </c>
      <c r="B1666" s="28" t="s">
        <v>9747</v>
      </c>
      <c r="C1666" s="28" t="s">
        <v>132</v>
      </c>
      <c r="D1666" s="28" t="s">
        <v>1940</v>
      </c>
      <c r="E1666" s="28" t="s">
        <v>1941</v>
      </c>
      <c r="F1666" s="28" t="s">
        <v>21</v>
      </c>
      <c r="G1666" s="28" t="s">
        <v>207</v>
      </c>
      <c r="H1666" s="28" t="s">
        <v>9633</v>
      </c>
      <c r="I1666" s="28" t="s">
        <v>9748</v>
      </c>
      <c r="J1666" s="28" t="s">
        <v>207</v>
      </c>
      <c r="K1666" s="28" t="s">
        <v>9635</v>
      </c>
      <c r="L1666" s="28" t="s">
        <v>9636</v>
      </c>
      <c r="M1666" s="28" t="s">
        <v>9749</v>
      </c>
      <c r="N1666" s="28" t="s">
        <v>9638</v>
      </c>
      <c r="O1666" s="28" t="s">
        <v>9639</v>
      </c>
      <c r="P1666" s="28" t="s">
        <v>9750</v>
      </c>
    </row>
    <row r="1667" spans="1:16" x14ac:dyDescent="0.25">
      <c r="A1667" s="28" t="s">
        <v>9751</v>
      </c>
      <c r="B1667" s="28" t="s">
        <v>9752</v>
      </c>
      <c r="C1667" s="28" t="s">
        <v>132</v>
      </c>
      <c r="D1667" s="28" t="s">
        <v>391</v>
      </c>
      <c r="E1667" s="28" t="s">
        <v>392</v>
      </c>
      <c r="F1667" s="28" t="s">
        <v>21</v>
      </c>
      <c r="G1667" s="28" t="s">
        <v>149</v>
      </c>
      <c r="H1667" s="28" t="s">
        <v>9633</v>
      </c>
      <c r="I1667" s="28" t="s">
        <v>9753</v>
      </c>
      <c r="J1667" s="28" t="s">
        <v>149</v>
      </c>
      <c r="K1667" s="28" t="s">
        <v>9722</v>
      </c>
      <c r="L1667" s="28" t="s">
        <v>9636</v>
      </c>
      <c r="M1667" s="28" t="s">
        <v>9754</v>
      </c>
      <c r="N1667" s="28" t="s">
        <v>9638</v>
      </c>
      <c r="O1667" s="28" t="s">
        <v>9639</v>
      </c>
      <c r="P1667" s="28" t="s">
        <v>9755</v>
      </c>
    </row>
    <row r="1668" spans="1:16" x14ac:dyDescent="0.25">
      <c r="A1668" s="28" t="s">
        <v>9756</v>
      </c>
      <c r="B1668" s="28" t="s">
        <v>9757</v>
      </c>
      <c r="C1668" s="28" t="s">
        <v>132</v>
      </c>
      <c r="D1668" s="28" t="s">
        <v>391</v>
      </c>
      <c r="E1668" s="28" t="s">
        <v>400</v>
      </c>
      <c r="F1668" s="28" t="s">
        <v>21</v>
      </c>
      <c r="G1668" s="28" t="s">
        <v>149</v>
      </c>
      <c r="H1668" s="28" t="s">
        <v>9633</v>
      </c>
      <c r="I1668" s="28" t="s">
        <v>9758</v>
      </c>
      <c r="J1668" s="28" t="s">
        <v>149</v>
      </c>
      <c r="K1668" s="28" t="s">
        <v>9722</v>
      </c>
      <c r="L1668" s="28" t="s">
        <v>9636</v>
      </c>
      <c r="M1668" s="28" t="s">
        <v>9759</v>
      </c>
      <c r="N1668" s="28" t="s">
        <v>9638</v>
      </c>
      <c r="O1668" s="28" t="s">
        <v>9639</v>
      </c>
      <c r="P1668" s="28" t="s">
        <v>9760</v>
      </c>
    </row>
    <row r="1669" spans="1:16" x14ac:dyDescent="0.25">
      <c r="A1669" s="28" t="s">
        <v>9761</v>
      </c>
      <c r="B1669" s="28" t="s">
        <v>9762</v>
      </c>
      <c r="C1669" s="28" t="s">
        <v>132</v>
      </c>
      <c r="D1669" s="28" t="s">
        <v>391</v>
      </c>
      <c r="E1669" s="28" t="s">
        <v>405</v>
      </c>
      <c r="F1669" s="28" t="s">
        <v>21</v>
      </c>
      <c r="G1669" s="28" t="s">
        <v>149</v>
      </c>
      <c r="H1669" s="28" t="s">
        <v>9633</v>
      </c>
      <c r="I1669" s="28" t="s">
        <v>9763</v>
      </c>
      <c r="J1669" s="28" t="s">
        <v>149</v>
      </c>
      <c r="K1669" s="28" t="s">
        <v>9722</v>
      </c>
      <c r="L1669" s="28" t="s">
        <v>9636</v>
      </c>
      <c r="M1669" s="28" t="s">
        <v>9764</v>
      </c>
      <c r="N1669" s="28" t="s">
        <v>9638</v>
      </c>
      <c r="O1669" s="28" t="s">
        <v>9639</v>
      </c>
      <c r="P1669" s="28" t="s">
        <v>9765</v>
      </c>
    </row>
    <row r="1670" spans="1:16" x14ac:dyDescent="0.25">
      <c r="A1670" s="28" t="s">
        <v>9766</v>
      </c>
      <c r="B1670" s="28" t="s">
        <v>9767</v>
      </c>
      <c r="C1670" s="28" t="s">
        <v>132</v>
      </c>
      <c r="D1670" s="28" t="s">
        <v>391</v>
      </c>
      <c r="E1670" s="28" t="s">
        <v>410</v>
      </c>
      <c r="F1670" s="28" t="s">
        <v>21</v>
      </c>
      <c r="G1670" s="28" t="s">
        <v>149</v>
      </c>
      <c r="H1670" s="28" t="s">
        <v>9633</v>
      </c>
      <c r="I1670" s="28" t="s">
        <v>9768</v>
      </c>
      <c r="J1670" s="28" t="s">
        <v>149</v>
      </c>
      <c r="K1670" s="28" t="s">
        <v>9722</v>
      </c>
      <c r="L1670" s="28" t="s">
        <v>9636</v>
      </c>
      <c r="M1670" s="28" t="s">
        <v>9769</v>
      </c>
      <c r="N1670" s="28" t="s">
        <v>9638</v>
      </c>
      <c r="O1670" s="28" t="s">
        <v>9639</v>
      </c>
      <c r="P1670" s="28" t="s">
        <v>9770</v>
      </c>
    </row>
    <row r="1671" spans="1:16" x14ac:dyDescent="0.25">
      <c r="A1671" s="28" t="s">
        <v>9771</v>
      </c>
      <c r="B1671" s="28" t="s">
        <v>9772</v>
      </c>
      <c r="C1671" s="28" t="s">
        <v>132</v>
      </c>
      <c r="D1671" s="28" t="s">
        <v>391</v>
      </c>
      <c r="E1671" s="28" t="s">
        <v>418</v>
      </c>
      <c r="F1671" s="28" t="s">
        <v>21</v>
      </c>
      <c r="G1671" s="28" t="s">
        <v>149</v>
      </c>
      <c r="H1671" s="28" t="s">
        <v>9633</v>
      </c>
      <c r="I1671" s="28" t="s">
        <v>9773</v>
      </c>
      <c r="J1671" s="28" t="s">
        <v>149</v>
      </c>
      <c r="K1671" s="28" t="s">
        <v>9722</v>
      </c>
      <c r="L1671" s="28" t="s">
        <v>9636</v>
      </c>
      <c r="M1671" s="28" t="s">
        <v>9774</v>
      </c>
      <c r="N1671" s="28" t="s">
        <v>9638</v>
      </c>
      <c r="O1671" s="28" t="s">
        <v>9639</v>
      </c>
      <c r="P1671" s="28" t="s">
        <v>9775</v>
      </c>
    </row>
    <row r="1672" spans="1:16" x14ac:dyDescent="0.25">
      <c r="A1672" s="28" t="s">
        <v>9776</v>
      </c>
      <c r="B1672" s="28" t="s">
        <v>9777</v>
      </c>
      <c r="C1672" s="28" t="s">
        <v>132</v>
      </c>
      <c r="D1672" s="28" t="s">
        <v>391</v>
      </c>
      <c r="E1672" s="28" t="s">
        <v>423</v>
      </c>
      <c r="F1672" s="28" t="s">
        <v>21</v>
      </c>
      <c r="G1672" s="28" t="s">
        <v>149</v>
      </c>
      <c r="H1672" s="28" t="s">
        <v>9633</v>
      </c>
      <c r="I1672" s="28" t="s">
        <v>9778</v>
      </c>
      <c r="J1672" s="28" t="s">
        <v>149</v>
      </c>
      <c r="K1672" s="28" t="s">
        <v>9722</v>
      </c>
      <c r="L1672" s="28" t="s">
        <v>9636</v>
      </c>
      <c r="M1672" s="28" t="s">
        <v>9779</v>
      </c>
      <c r="N1672" s="28" t="s">
        <v>9638</v>
      </c>
      <c r="O1672" s="28" t="s">
        <v>9639</v>
      </c>
      <c r="P1672" s="28" t="s">
        <v>9780</v>
      </c>
    </row>
    <row r="1673" spans="1:16" x14ac:dyDescent="0.25">
      <c r="A1673" s="28" t="s">
        <v>9781</v>
      </c>
      <c r="B1673" s="28" t="s">
        <v>9782</v>
      </c>
      <c r="C1673" s="28" t="s">
        <v>132</v>
      </c>
      <c r="D1673" s="28" t="s">
        <v>391</v>
      </c>
      <c r="E1673" s="28" t="s">
        <v>428</v>
      </c>
      <c r="F1673" s="28" t="s">
        <v>21</v>
      </c>
      <c r="G1673" s="28" t="s">
        <v>149</v>
      </c>
      <c r="H1673" s="28" t="s">
        <v>9633</v>
      </c>
      <c r="I1673" s="28" t="s">
        <v>9783</v>
      </c>
      <c r="J1673" s="28" t="s">
        <v>149</v>
      </c>
      <c r="K1673" s="28" t="s">
        <v>9722</v>
      </c>
      <c r="L1673" s="28" t="s">
        <v>9636</v>
      </c>
      <c r="M1673" s="28" t="s">
        <v>9784</v>
      </c>
      <c r="N1673" s="28" t="s">
        <v>9638</v>
      </c>
      <c r="O1673" s="28" t="s">
        <v>9639</v>
      </c>
      <c r="P1673" s="28" t="s">
        <v>9785</v>
      </c>
    </row>
    <row r="1674" spans="1:16" x14ac:dyDescent="0.25">
      <c r="A1674" s="28" t="s">
        <v>9786</v>
      </c>
      <c r="B1674" s="28" t="s">
        <v>9787</v>
      </c>
      <c r="C1674" s="28" t="s">
        <v>132</v>
      </c>
      <c r="D1674" s="28" t="s">
        <v>391</v>
      </c>
      <c r="E1674" s="28" t="s">
        <v>433</v>
      </c>
      <c r="F1674" s="28" t="s">
        <v>21</v>
      </c>
      <c r="G1674" s="28" t="s">
        <v>149</v>
      </c>
      <c r="H1674" s="28" t="s">
        <v>9633</v>
      </c>
      <c r="I1674" s="28" t="s">
        <v>9788</v>
      </c>
      <c r="J1674" s="28" t="s">
        <v>149</v>
      </c>
      <c r="K1674" s="28" t="s">
        <v>9722</v>
      </c>
      <c r="L1674" s="28" t="s">
        <v>9636</v>
      </c>
      <c r="M1674" s="28" t="s">
        <v>9789</v>
      </c>
      <c r="N1674" s="28" t="s">
        <v>9638</v>
      </c>
      <c r="O1674" s="28" t="s">
        <v>9639</v>
      </c>
      <c r="P1674" s="28" t="s">
        <v>9790</v>
      </c>
    </row>
    <row r="1675" spans="1:16" x14ac:dyDescent="0.25">
      <c r="A1675" s="28" t="s">
        <v>9791</v>
      </c>
      <c r="B1675" s="28" t="s">
        <v>9792</v>
      </c>
      <c r="C1675" s="28" t="s">
        <v>132</v>
      </c>
      <c r="D1675" s="28" t="s">
        <v>391</v>
      </c>
      <c r="E1675" s="28" t="s">
        <v>438</v>
      </c>
      <c r="F1675" s="28" t="s">
        <v>21</v>
      </c>
      <c r="G1675" s="28" t="s">
        <v>149</v>
      </c>
      <c r="H1675" s="28" t="s">
        <v>9633</v>
      </c>
      <c r="I1675" s="28" t="s">
        <v>9793</v>
      </c>
      <c r="J1675" s="28" t="s">
        <v>149</v>
      </c>
      <c r="K1675" s="28" t="s">
        <v>9722</v>
      </c>
      <c r="L1675" s="28" t="s">
        <v>9636</v>
      </c>
      <c r="M1675" s="28" t="s">
        <v>9794</v>
      </c>
      <c r="N1675" s="28" t="s">
        <v>9638</v>
      </c>
      <c r="O1675" s="28" t="s">
        <v>9639</v>
      </c>
      <c r="P1675" s="28" t="s">
        <v>9795</v>
      </c>
    </row>
    <row r="1676" spans="1:16" x14ac:dyDescent="0.25">
      <c r="A1676" s="28" t="s">
        <v>9796</v>
      </c>
      <c r="B1676" s="28" t="s">
        <v>9797</v>
      </c>
      <c r="C1676" s="28" t="s">
        <v>132</v>
      </c>
      <c r="D1676" s="28" t="s">
        <v>391</v>
      </c>
      <c r="E1676" s="28" t="s">
        <v>446</v>
      </c>
      <c r="F1676" s="28" t="s">
        <v>21</v>
      </c>
      <c r="G1676" s="28" t="s">
        <v>149</v>
      </c>
      <c r="H1676" s="28" t="s">
        <v>9633</v>
      </c>
      <c r="I1676" s="28" t="s">
        <v>9798</v>
      </c>
      <c r="J1676" s="28" t="s">
        <v>149</v>
      </c>
      <c r="K1676" s="28" t="s">
        <v>9722</v>
      </c>
      <c r="L1676" s="28" t="s">
        <v>9636</v>
      </c>
      <c r="M1676" s="28" t="s">
        <v>9799</v>
      </c>
      <c r="N1676" s="28" t="s">
        <v>9638</v>
      </c>
      <c r="O1676" s="28" t="s">
        <v>9639</v>
      </c>
      <c r="P1676" s="28" t="s">
        <v>9800</v>
      </c>
    </row>
    <row r="1677" spans="1:16" x14ac:dyDescent="0.25">
      <c r="A1677" s="28" t="s">
        <v>9801</v>
      </c>
      <c r="B1677" s="28" t="s">
        <v>9802</v>
      </c>
      <c r="C1677" s="28" t="s">
        <v>132</v>
      </c>
      <c r="D1677" s="28" t="s">
        <v>391</v>
      </c>
      <c r="E1677" s="28" t="s">
        <v>451</v>
      </c>
      <c r="F1677" s="28" t="s">
        <v>21</v>
      </c>
      <c r="G1677" s="28" t="s">
        <v>149</v>
      </c>
      <c r="H1677" s="28" t="s">
        <v>9633</v>
      </c>
      <c r="I1677" s="28" t="s">
        <v>9803</v>
      </c>
      <c r="J1677" s="28" t="s">
        <v>149</v>
      </c>
      <c r="K1677" s="28" t="s">
        <v>9722</v>
      </c>
      <c r="L1677" s="28" t="s">
        <v>9636</v>
      </c>
      <c r="M1677" s="28" t="s">
        <v>9804</v>
      </c>
      <c r="N1677" s="28" t="s">
        <v>9638</v>
      </c>
      <c r="O1677" s="28" t="s">
        <v>9639</v>
      </c>
      <c r="P1677" s="28" t="s">
        <v>9805</v>
      </c>
    </row>
    <row r="1678" spans="1:16" x14ac:dyDescent="0.25">
      <c r="A1678" s="28" t="s">
        <v>9806</v>
      </c>
      <c r="B1678" s="28" t="s">
        <v>9807</v>
      </c>
      <c r="C1678" s="28" t="s">
        <v>132</v>
      </c>
      <c r="D1678" s="28" t="s">
        <v>391</v>
      </c>
      <c r="E1678" s="28" t="s">
        <v>456</v>
      </c>
      <c r="F1678" s="28" t="s">
        <v>21</v>
      </c>
      <c r="G1678" s="28" t="s">
        <v>149</v>
      </c>
      <c r="H1678" s="28" t="s">
        <v>9633</v>
      </c>
      <c r="I1678" s="28" t="s">
        <v>9808</v>
      </c>
      <c r="J1678" s="28" t="s">
        <v>149</v>
      </c>
      <c r="K1678" s="28" t="s">
        <v>9722</v>
      </c>
      <c r="L1678" s="28" t="s">
        <v>9636</v>
      </c>
      <c r="M1678" s="28" t="s">
        <v>9809</v>
      </c>
      <c r="N1678" s="28" t="s">
        <v>9638</v>
      </c>
      <c r="O1678" s="28" t="s">
        <v>9639</v>
      </c>
      <c r="P1678" s="28" t="s">
        <v>9810</v>
      </c>
    </row>
    <row r="1679" spans="1:16" x14ac:dyDescent="0.25">
      <c r="A1679" s="28" t="s">
        <v>9811</v>
      </c>
      <c r="B1679" s="28" t="s">
        <v>9812</v>
      </c>
      <c r="C1679" s="28" t="s">
        <v>132</v>
      </c>
      <c r="D1679" s="28" t="s">
        <v>391</v>
      </c>
      <c r="E1679" s="28" t="s">
        <v>464</v>
      </c>
      <c r="F1679" s="28" t="s">
        <v>21</v>
      </c>
      <c r="G1679" s="28" t="s">
        <v>149</v>
      </c>
      <c r="H1679" s="28" t="s">
        <v>9633</v>
      </c>
      <c r="I1679" s="28" t="s">
        <v>9813</v>
      </c>
      <c r="J1679" s="28" t="s">
        <v>149</v>
      </c>
      <c r="K1679" s="28" t="s">
        <v>9722</v>
      </c>
      <c r="L1679" s="28" t="s">
        <v>9636</v>
      </c>
      <c r="M1679" s="28" t="s">
        <v>9814</v>
      </c>
      <c r="N1679" s="28" t="s">
        <v>9638</v>
      </c>
      <c r="O1679" s="28" t="s">
        <v>9639</v>
      </c>
      <c r="P1679" s="28" t="s">
        <v>9815</v>
      </c>
    </row>
    <row r="1680" spans="1:16" x14ac:dyDescent="0.25">
      <c r="A1680" s="28" t="s">
        <v>9816</v>
      </c>
      <c r="B1680" s="28" t="s">
        <v>9817</v>
      </c>
      <c r="C1680" s="28" t="s">
        <v>132</v>
      </c>
      <c r="D1680" s="28" t="s">
        <v>391</v>
      </c>
      <c r="E1680" s="28" t="s">
        <v>469</v>
      </c>
      <c r="F1680" s="28" t="s">
        <v>21</v>
      </c>
      <c r="G1680" s="28" t="s">
        <v>149</v>
      </c>
      <c r="H1680" s="28" t="s">
        <v>9633</v>
      </c>
      <c r="I1680" s="28" t="s">
        <v>9818</v>
      </c>
      <c r="J1680" s="28" t="s">
        <v>149</v>
      </c>
      <c r="K1680" s="28" t="s">
        <v>9722</v>
      </c>
      <c r="L1680" s="28" t="s">
        <v>9636</v>
      </c>
      <c r="M1680" s="28" t="s">
        <v>9819</v>
      </c>
      <c r="N1680" s="28" t="s">
        <v>9638</v>
      </c>
      <c r="O1680" s="28" t="s">
        <v>9639</v>
      </c>
      <c r="P1680" s="28" t="s">
        <v>9820</v>
      </c>
    </row>
    <row r="1681" spans="1:16" x14ac:dyDescent="0.25">
      <c r="A1681" s="28" t="s">
        <v>9821</v>
      </c>
      <c r="B1681" s="28" t="s">
        <v>9822</v>
      </c>
      <c r="C1681" s="28" t="s">
        <v>132</v>
      </c>
      <c r="D1681" s="28" t="s">
        <v>391</v>
      </c>
      <c r="E1681" s="28" t="s">
        <v>474</v>
      </c>
      <c r="F1681" s="28" t="s">
        <v>21</v>
      </c>
      <c r="G1681" s="28" t="s">
        <v>149</v>
      </c>
      <c r="H1681" s="28" t="s">
        <v>9633</v>
      </c>
      <c r="I1681" s="28" t="s">
        <v>9823</v>
      </c>
      <c r="J1681" s="28" t="s">
        <v>149</v>
      </c>
      <c r="K1681" s="28" t="s">
        <v>9722</v>
      </c>
      <c r="L1681" s="28" t="s">
        <v>9636</v>
      </c>
      <c r="M1681" s="28" t="s">
        <v>9824</v>
      </c>
      <c r="N1681" s="28" t="s">
        <v>9638</v>
      </c>
      <c r="O1681" s="28" t="s">
        <v>9639</v>
      </c>
      <c r="P1681" s="28" t="s">
        <v>9825</v>
      </c>
    </row>
    <row r="1682" spans="1:16" x14ac:dyDescent="0.25">
      <c r="A1682" s="28" t="s">
        <v>9826</v>
      </c>
      <c r="B1682" s="28" t="s">
        <v>9827</v>
      </c>
      <c r="C1682" s="28" t="s">
        <v>132</v>
      </c>
      <c r="D1682" s="28" t="s">
        <v>391</v>
      </c>
      <c r="E1682" s="28" t="s">
        <v>479</v>
      </c>
      <c r="F1682" s="28" t="s">
        <v>21</v>
      </c>
      <c r="G1682" s="28" t="s">
        <v>149</v>
      </c>
      <c r="H1682" s="28" t="s">
        <v>9633</v>
      </c>
      <c r="I1682" s="28" t="s">
        <v>9828</v>
      </c>
      <c r="J1682" s="28" t="s">
        <v>149</v>
      </c>
      <c r="K1682" s="28" t="s">
        <v>9722</v>
      </c>
      <c r="L1682" s="28" t="s">
        <v>9636</v>
      </c>
      <c r="M1682" s="28" t="s">
        <v>9829</v>
      </c>
      <c r="N1682" s="28" t="s">
        <v>9638</v>
      </c>
      <c r="O1682" s="28" t="s">
        <v>9639</v>
      </c>
      <c r="P1682" s="28" t="s">
        <v>9830</v>
      </c>
    </row>
    <row r="1683" spans="1:16" x14ac:dyDescent="0.25">
      <c r="A1683" s="28" t="s">
        <v>9831</v>
      </c>
      <c r="B1683" s="28" t="s">
        <v>9832</v>
      </c>
      <c r="C1683" s="28" t="s">
        <v>132</v>
      </c>
      <c r="D1683" s="28" t="s">
        <v>391</v>
      </c>
      <c r="E1683" s="28" t="s">
        <v>487</v>
      </c>
      <c r="F1683" s="28" t="s">
        <v>21</v>
      </c>
      <c r="G1683" s="28" t="s">
        <v>149</v>
      </c>
      <c r="H1683" s="28" t="s">
        <v>9633</v>
      </c>
      <c r="I1683" s="28" t="s">
        <v>9833</v>
      </c>
      <c r="J1683" s="28" t="s">
        <v>149</v>
      </c>
      <c r="K1683" s="28" t="s">
        <v>9722</v>
      </c>
      <c r="L1683" s="28" t="s">
        <v>9636</v>
      </c>
      <c r="M1683" s="28" t="s">
        <v>9834</v>
      </c>
      <c r="N1683" s="28" t="s">
        <v>9638</v>
      </c>
      <c r="O1683" s="28" t="s">
        <v>9639</v>
      </c>
      <c r="P1683" s="28" t="s">
        <v>9835</v>
      </c>
    </row>
    <row r="1684" spans="1:16" x14ac:dyDescent="0.25">
      <c r="A1684" s="28" t="s">
        <v>9836</v>
      </c>
      <c r="B1684" s="28" t="s">
        <v>9837</v>
      </c>
      <c r="C1684" s="28" t="s">
        <v>132</v>
      </c>
      <c r="D1684" s="28" t="s">
        <v>391</v>
      </c>
      <c r="E1684" s="28" t="s">
        <v>492</v>
      </c>
      <c r="F1684" s="28" t="s">
        <v>21</v>
      </c>
      <c r="G1684" s="28" t="s">
        <v>149</v>
      </c>
      <c r="H1684" s="28" t="s">
        <v>9633</v>
      </c>
      <c r="I1684" s="28" t="s">
        <v>9838</v>
      </c>
      <c r="J1684" s="28" t="s">
        <v>149</v>
      </c>
      <c r="K1684" s="28" t="s">
        <v>9722</v>
      </c>
      <c r="L1684" s="28" t="s">
        <v>9636</v>
      </c>
      <c r="M1684" s="28" t="s">
        <v>9839</v>
      </c>
      <c r="N1684" s="28" t="s">
        <v>9638</v>
      </c>
      <c r="O1684" s="28" t="s">
        <v>9639</v>
      </c>
      <c r="P1684" s="28" t="s">
        <v>9840</v>
      </c>
    </row>
    <row r="1685" spans="1:16" x14ac:dyDescent="0.25">
      <c r="A1685" s="28" t="s">
        <v>9841</v>
      </c>
      <c r="B1685" s="28" t="s">
        <v>9842</v>
      </c>
      <c r="C1685" s="28" t="s">
        <v>132</v>
      </c>
      <c r="D1685" s="28" t="s">
        <v>391</v>
      </c>
      <c r="E1685" s="28" t="s">
        <v>497</v>
      </c>
      <c r="F1685" s="28" t="s">
        <v>21</v>
      </c>
      <c r="G1685" s="28" t="s">
        <v>149</v>
      </c>
      <c r="H1685" s="28" t="s">
        <v>9633</v>
      </c>
      <c r="I1685" s="28" t="s">
        <v>9843</v>
      </c>
      <c r="J1685" s="28" t="s">
        <v>149</v>
      </c>
      <c r="K1685" s="28" t="s">
        <v>9722</v>
      </c>
      <c r="L1685" s="28" t="s">
        <v>9636</v>
      </c>
      <c r="M1685" s="28" t="s">
        <v>9844</v>
      </c>
      <c r="N1685" s="28" t="s">
        <v>9638</v>
      </c>
      <c r="O1685" s="28" t="s">
        <v>9639</v>
      </c>
      <c r="P1685" s="28" t="s">
        <v>9845</v>
      </c>
    </row>
    <row r="1686" spans="1:16" x14ac:dyDescent="0.25">
      <c r="A1686" s="28" t="s">
        <v>9846</v>
      </c>
      <c r="B1686" s="28" t="s">
        <v>9847</v>
      </c>
      <c r="C1686" s="28" t="s">
        <v>132</v>
      </c>
      <c r="D1686" s="28" t="s">
        <v>391</v>
      </c>
      <c r="E1686" s="28" t="s">
        <v>502</v>
      </c>
      <c r="F1686" s="28" t="s">
        <v>21</v>
      </c>
      <c r="G1686" s="28" t="s">
        <v>149</v>
      </c>
      <c r="H1686" s="28" t="s">
        <v>9633</v>
      </c>
      <c r="I1686" s="28" t="s">
        <v>9848</v>
      </c>
      <c r="J1686" s="28" t="s">
        <v>149</v>
      </c>
      <c r="K1686" s="28" t="s">
        <v>9722</v>
      </c>
      <c r="L1686" s="28" t="s">
        <v>9636</v>
      </c>
      <c r="M1686" s="28" t="s">
        <v>9849</v>
      </c>
      <c r="N1686" s="28" t="s">
        <v>9638</v>
      </c>
      <c r="O1686" s="28" t="s">
        <v>9639</v>
      </c>
      <c r="P1686" s="28" t="s">
        <v>9850</v>
      </c>
    </row>
    <row r="1687" spans="1:16" x14ac:dyDescent="0.25">
      <c r="A1687" s="28" t="s">
        <v>9851</v>
      </c>
      <c r="B1687" s="28" t="s">
        <v>9852</v>
      </c>
      <c r="C1687" s="28" t="s">
        <v>132</v>
      </c>
      <c r="D1687" s="28" t="s">
        <v>391</v>
      </c>
      <c r="E1687" s="28" t="s">
        <v>510</v>
      </c>
      <c r="F1687" s="28" t="s">
        <v>21</v>
      </c>
      <c r="G1687" s="28" t="s">
        <v>149</v>
      </c>
      <c r="H1687" s="28" t="s">
        <v>9633</v>
      </c>
      <c r="I1687" s="28" t="s">
        <v>9853</v>
      </c>
      <c r="J1687" s="28" t="s">
        <v>149</v>
      </c>
      <c r="K1687" s="28" t="s">
        <v>9722</v>
      </c>
      <c r="L1687" s="28" t="s">
        <v>9636</v>
      </c>
      <c r="M1687" s="28" t="s">
        <v>9854</v>
      </c>
      <c r="N1687" s="28" t="s">
        <v>9638</v>
      </c>
      <c r="O1687" s="28" t="s">
        <v>9639</v>
      </c>
      <c r="P1687" s="28" t="s">
        <v>9855</v>
      </c>
    </row>
    <row r="1688" spans="1:16" x14ac:dyDescent="0.25">
      <c r="A1688" s="28" t="s">
        <v>9856</v>
      </c>
      <c r="B1688" s="28" t="s">
        <v>9857</v>
      </c>
      <c r="C1688" s="28" t="s">
        <v>132</v>
      </c>
      <c r="D1688" s="28" t="s">
        <v>391</v>
      </c>
      <c r="E1688" s="28" t="s">
        <v>515</v>
      </c>
      <c r="F1688" s="28" t="s">
        <v>21</v>
      </c>
      <c r="G1688" s="28" t="s">
        <v>149</v>
      </c>
      <c r="H1688" s="28" t="s">
        <v>9633</v>
      </c>
      <c r="I1688" s="28" t="s">
        <v>9858</v>
      </c>
      <c r="J1688" s="28" t="s">
        <v>149</v>
      </c>
      <c r="K1688" s="28" t="s">
        <v>9722</v>
      </c>
      <c r="L1688" s="28" t="s">
        <v>9636</v>
      </c>
      <c r="M1688" s="28" t="s">
        <v>9859</v>
      </c>
      <c r="N1688" s="28" t="s">
        <v>9638</v>
      </c>
      <c r="O1688" s="28" t="s">
        <v>9639</v>
      </c>
      <c r="P1688" s="28" t="s">
        <v>9860</v>
      </c>
    </row>
    <row r="1689" spans="1:16" x14ac:dyDescent="0.25">
      <c r="A1689" s="28" t="s">
        <v>9861</v>
      </c>
      <c r="B1689" s="28" t="s">
        <v>9862</v>
      </c>
      <c r="C1689" s="28" t="s">
        <v>132</v>
      </c>
      <c r="D1689" s="28" t="s">
        <v>391</v>
      </c>
      <c r="E1689" s="28" t="s">
        <v>520</v>
      </c>
      <c r="F1689" s="28" t="s">
        <v>21</v>
      </c>
      <c r="G1689" s="28" t="s">
        <v>149</v>
      </c>
      <c r="H1689" s="28" t="s">
        <v>9633</v>
      </c>
      <c r="I1689" s="28" t="s">
        <v>9863</v>
      </c>
      <c r="J1689" s="28" t="s">
        <v>149</v>
      </c>
      <c r="K1689" s="28" t="s">
        <v>9722</v>
      </c>
      <c r="L1689" s="28" t="s">
        <v>9636</v>
      </c>
      <c r="M1689" s="28" t="s">
        <v>9864</v>
      </c>
      <c r="N1689" s="28" t="s">
        <v>9638</v>
      </c>
      <c r="O1689" s="28" t="s">
        <v>9639</v>
      </c>
      <c r="P1689" s="28" t="s">
        <v>9865</v>
      </c>
    </row>
    <row r="1690" spans="1:16" x14ac:dyDescent="0.25">
      <c r="A1690" s="28" t="s">
        <v>9866</v>
      </c>
      <c r="B1690" s="28" t="s">
        <v>9867</v>
      </c>
      <c r="C1690" s="28" t="s">
        <v>132</v>
      </c>
      <c r="D1690" s="28" t="s">
        <v>391</v>
      </c>
      <c r="E1690" s="28" t="s">
        <v>525</v>
      </c>
      <c r="F1690" s="28" t="s">
        <v>21</v>
      </c>
      <c r="G1690" s="28" t="s">
        <v>149</v>
      </c>
      <c r="H1690" s="28" t="s">
        <v>9633</v>
      </c>
      <c r="I1690" s="28" t="s">
        <v>9868</v>
      </c>
      <c r="J1690" s="28" t="s">
        <v>149</v>
      </c>
      <c r="K1690" s="28" t="s">
        <v>9722</v>
      </c>
      <c r="L1690" s="28" t="s">
        <v>9636</v>
      </c>
      <c r="M1690" s="28" t="s">
        <v>9869</v>
      </c>
      <c r="N1690" s="28" t="s">
        <v>9638</v>
      </c>
      <c r="O1690" s="28" t="s">
        <v>9639</v>
      </c>
      <c r="P1690" s="28" t="s">
        <v>9870</v>
      </c>
    </row>
    <row r="1691" spans="1:16" x14ac:dyDescent="0.25">
      <c r="A1691" s="28" t="s">
        <v>9871</v>
      </c>
      <c r="B1691" s="28" t="s">
        <v>9872</v>
      </c>
      <c r="C1691" s="28" t="s">
        <v>132</v>
      </c>
      <c r="D1691" s="28" t="s">
        <v>391</v>
      </c>
      <c r="E1691" s="28" t="s">
        <v>530</v>
      </c>
      <c r="F1691" s="28" t="s">
        <v>21</v>
      </c>
      <c r="G1691" s="28" t="s">
        <v>149</v>
      </c>
      <c r="H1691" s="28" t="s">
        <v>9633</v>
      </c>
      <c r="I1691" s="28" t="s">
        <v>9873</v>
      </c>
      <c r="J1691" s="28" t="s">
        <v>149</v>
      </c>
      <c r="K1691" s="28" t="s">
        <v>9722</v>
      </c>
      <c r="L1691" s="28" t="s">
        <v>9636</v>
      </c>
      <c r="M1691" s="28" t="s">
        <v>9874</v>
      </c>
      <c r="N1691" s="28" t="s">
        <v>9638</v>
      </c>
      <c r="O1691" s="28" t="s">
        <v>9639</v>
      </c>
      <c r="P1691" s="28" t="s">
        <v>9875</v>
      </c>
    </row>
    <row r="1692" spans="1:16" x14ac:dyDescent="0.25">
      <c r="A1692" s="28" t="s">
        <v>9876</v>
      </c>
      <c r="B1692" s="28" t="s">
        <v>9877</v>
      </c>
      <c r="C1692" s="28" t="s">
        <v>132</v>
      </c>
      <c r="D1692" s="28" t="s">
        <v>391</v>
      </c>
      <c r="E1692" s="28" t="s">
        <v>535</v>
      </c>
      <c r="F1692" s="28" t="s">
        <v>21</v>
      </c>
      <c r="G1692" s="28" t="s">
        <v>149</v>
      </c>
      <c r="H1692" s="28" t="s">
        <v>9633</v>
      </c>
      <c r="I1692" s="28" t="s">
        <v>9878</v>
      </c>
      <c r="J1692" s="28" t="s">
        <v>149</v>
      </c>
      <c r="K1692" s="28" t="s">
        <v>9722</v>
      </c>
      <c r="L1692" s="28" t="s">
        <v>9636</v>
      </c>
      <c r="M1692" s="28" t="s">
        <v>9879</v>
      </c>
      <c r="N1692" s="28" t="s">
        <v>9638</v>
      </c>
      <c r="O1692" s="28" t="s">
        <v>9639</v>
      </c>
      <c r="P1692" s="28" t="s">
        <v>9880</v>
      </c>
    </row>
    <row r="1693" spans="1:16" x14ac:dyDescent="0.25">
      <c r="A1693" s="28" t="s">
        <v>9881</v>
      </c>
      <c r="B1693" s="28" t="s">
        <v>9882</v>
      </c>
      <c r="C1693" s="28" t="s">
        <v>132</v>
      </c>
      <c r="D1693" s="28" t="s">
        <v>391</v>
      </c>
      <c r="E1693" s="28" t="s">
        <v>540</v>
      </c>
      <c r="F1693" s="28" t="s">
        <v>21</v>
      </c>
      <c r="G1693" s="28" t="s">
        <v>149</v>
      </c>
      <c r="H1693" s="28" t="s">
        <v>9633</v>
      </c>
      <c r="I1693" s="28" t="s">
        <v>9883</v>
      </c>
      <c r="J1693" s="28" t="s">
        <v>149</v>
      </c>
      <c r="K1693" s="28" t="s">
        <v>9722</v>
      </c>
      <c r="L1693" s="28" t="s">
        <v>9636</v>
      </c>
      <c r="M1693" s="28" t="s">
        <v>9884</v>
      </c>
      <c r="N1693" s="28" t="s">
        <v>9638</v>
      </c>
      <c r="O1693" s="28" t="s">
        <v>9639</v>
      </c>
      <c r="P1693" s="28" t="s">
        <v>9885</v>
      </c>
    </row>
    <row r="1694" spans="1:16" x14ac:dyDescent="0.25">
      <c r="A1694" s="28" t="s">
        <v>9886</v>
      </c>
      <c r="B1694" s="28" t="s">
        <v>9887</v>
      </c>
      <c r="C1694" s="28" t="s">
        <v>132</v>
      </c>
      <c r="D1694" s="28" t="s">
        <v>391</v>
      </c>
      <c r="E1694" s="28" t="s">
        <v>548</v>
      </c>
      <c r="F1694" s="28" t="s">
        <v>21</v>
      </c>
      <c r="G1694" s="28" t="s">
        <v>149</v>
      </c>
      <c r="H1694" s="28" t="s">
        <v>9633</v>
      </c>
      <c r="I1694" s="28" t="s">
        <v>9888</v>
      </c>
      <c r="J1694" s="28" t="s">
        <v>149</v>
      </c>
      <c r="K1694" s="28" t="s">
        <v>9722</v>
      </c>
      <c r="L1694" s="28" t="s">
        <v>9636</v>
      </c>
      <c r="M1694" s="28" t="s">
        <v>9889</v>
      </c>
      <c r="N1694" s="28" t="s">
        <v>9638</v>
      </c>
      <c r="O1694" s="28" t="s">
        <v>9639</v>
      </c>
      <c r="P1694" s="28" t="s">
        <v>9890</v>
      </c>
    </row>
    <row r="1695" spans="1:16" x14ac:dyDescent="0.25">
      <c r="A1695" s="28" t="s">
        <v>9891</v>
      </c>
      <c r="B1695" s="28" t="s">
        <v>9892</v>
      </c>
      <c r="C1695" s="28" t="s">
        <v>132</v>
      </c>
      <c r="D1695" s="28" t="s">
        <v>391</v>
      </c>
      <c r="E1695" s="28" t="s">
        <v>553</v>
      </c>
      <c r="F1695" s="28" t="s">
        <v>21</v>
      </c>
      <c r="G1695" s="28" t="s">
        <v>149</v>
      </c>
      <c r="H1695" s="28" t="s">
        <v>9633</v>
      </c>
      <c r="I1695" s="28" t="s">
        <v>9893</v>
      </c>
      <c r="J1695" s="28" t="s">
        <v>149</v>
      </c>
      <c r="K1695" s="28" t="s">
        <v>9722</v>
      </c>
      <c r="L1695" s="28" t="s">
        <v>9636</v>
      </c>
      <c r="M1695" s="28" t="s">
        <v>9894</v>
      </c>
      <c r="N1695" s="28" t="s">
        <v>9638</v>
      </c>
      <c r="O1695" s="28" t="s">
        <v>9639</v>
      </c>
      <c r="P1695" s="28" t="s">
        <v>9895</v>
      </c>
    </row>
    <row r="1696" spans="1:16" x14ac:dyDescent="0.25">
      <c r="A1696" s="28" t="s">
        <v>9896</v>
      </c>
      <c r="B1696" s="28" t="s">
        <v>9897</v>
      </c>
      <c r="C1696" s="28" t="s">
        <v>132</v>
      </c>
      <c r="D1696" s="28" t="s">
        <v>391</v>
      </c>
      <c r="E1696" s="28" t="s">
        <v>558</v>
      </c>
      <c r="F1696" s="28" t="s">
        <v>21</v>
      </c>
      <c r="G1696" s="28" t="s">
        <v>149</v>
      </c>
      <c r="H1696" s="28" t="s">
        <v>9633</v>
      </c>
      <c r="I1696" s="28" t="s">
        <v>9898</v>
      </c>
      <c r="J1696" s="28" t="s">
        <v>149</v>
      </c>
      <c r="K1696" s="28" t="s">
        <v>9722</v>
      </c>
      <c r="L1696" s="28" t="s">
        <v>9636</v>
      </c>
      <c r="M1696" s="28" t="s">
        <v>9899</v>
      </c>
      <c r="N1696" s="28" t="s">
        <v>9638</v>
      </c>
      <c r="O1696" s="28" t="s">
        <v>9639</v>
      </c>
      <c r="P1696" s="28" t="s">
        <v>9900</v>
      </c>
    </row>
    <row r="1697" spans="1:16" x14ac:dyDescent="0.25">
      <c r="A1697" s="28" t="s">
        <v>9901</v>
      </c>
      <c r="B1697" s="28" t="s">
        <v>9902</v>
      </c>
      <c r="C1697" s="28" t="s">
        <v>132</v>
      </c>
      <c r="D1697" s="28" t="s">
        <v>391</v>
      </c>
      <c r="E1697" s="28" t="s">
        <v>566</v>
      </c>
      <c r="F1697" s="28" t="s">
        <v>21</v>
      </c>
      <c r="G1697" s="28" t="s">
        <v>149</v>
      </c>
      <c r="H1697" s="28" t="s">
        <v>9633</v>
      </c>
      <c r="I1697" s="28" t="s">
        <v>9903</v>
      </c>
      <c r="J1697" s="28" t="s">
        <v>149</v>
      </c>
      <c r="K1697" s="28" t="s">
        <v>9722</v>
      </c>
      <c r="L1697" s="28" t="s">
        <v>9636</v>
      </c>
      <c r="M1697" s="28" t="s">
        <v>9904</v>
      </c>
      <c r="N1697" s="28" t="s">
        <v>9638</v>
      </c>
      <c r="O1697" s="28" t="s">
        <v>9639</v>
      </c>
      <c r="P1697" s="28" t="s">
        <v>9905</v>
      </c>
    </row>
    <row r="1698" spans="1:16" x14ac:dyDescent="0.25">
      <c r="A1698" s="28" t="s">
        <v>9906</v>
      </c>
      <c r="B1698" s="28" t="s">
        <v>9907</v>
      </c>
      <c r="C1698" s="28" t="s">
        <v>132</v>
      </c>
      <c r="D1698" s="28" t="s">
        <v>391</v>
      </c>
      <c r="E1698" s="28" t="s">
        <v>571</v>
      </c>
      <c r="F1698" s="28" t="s">
        <v>21</v>
      </c>
      <c r="G1698" s="28" t="s">
        <v>149</v>
      </c>
      <c r="H1698" s="28" t="s">
        <v>9633</v>
      </c>
      <c r="I1698" s="28" t="s">
        <v>9908</v>
      </c>
      <c r="J1698" s="28" t="s">
        <v>149</v>
      </c>
      <c r="K1698" s="28" t="s">
        <v>9722</v>
      </c>
      <c r="L1698" s="28" t="s">
        <v>9636</v>
      </c>
      <c r="M1698" s="28" t="s">
        <v>9909</v>
      </c>
      <c r="N1698" s="28" t="s">
        <v>9638</v>
      </c>
      <c r="O1698" s="28" t="s">
        <v>9639</v>
      </c>
      <c r="P1698" s="28" t="s">
        <v>9910</v>
      </c>
    </row>
    <row r="1699" spans="1:16" x14ac:dyDescent="0.25">
      <c r="A1699" s="28" t="s">
        <v>9911</v>
      </c>
      <c r="B1699" s="28" t="s">
        <v>9912</v>
      </c>
      <c r="C1699" s="28" t="s">
        <v>132</v>
      </c>
      <c r="D1699" s="28" t="s">
        <v>391</v>
      </c>
      <c r="E1699" s="28" t="s">
        <v>576</v>
      </c>
      <c r="F1699" s="28" t="s">
        <v>21</v>
      </c>
      <c r="G1699" s="28" t="s">
        <v>149</v>
      </c>
      <c r="H1699" s="28" t="s">
        <v>9633</v>
      </c>
      <c r="I1699" s="28" t="s">
        <v>9913</v>
      </c>
      <c r="J1699" s="28" t="s">
        <v>149</v>
      </c>
      <c r="K1699" s="28" t="s">
        <v>9722</v>
      </c>
      <c r="L1699" s="28" t="s">
        <v>9636</v>
      </c>
      <c r="M1699" s="28" t="s">
        <v>9914</v>
      </c>
      <c r="N1699" s="28" t="s">
        <v>9638</v>
      </c>
      <c r="O1699" s="28" t="s">
        <v>9639</v>
      </c>
      <c r="P1699" s="28" t="s">
        <v>9915</v>
      </c>
    </row>
    <row r="1700" spans="1:16" x14ac:dyDescent="0.25">
      <c r="A1700" s="28" t="s">
        <v>9916</v>
      </c>
      <c r="B1700" s="28" t="s">
        <v>9917</v>
      </c>
      <c r="C1700" s="28" t="s">
        <v>132</v>
      </c>
      <c r="D1700" s="28" t="s">
        <v>391</v>
      </c>
      <c r="E1700" s="28" t="s">
        <v>584</v>
      </c>
      <c r="F1700" s="28" t="s">
        <v>21</v>
      </c>
      <c r="G1700" s="28" t="s">
        <v>149</v>
      </c>
      <c r="H1700" s="28" t="s">
        <v>9633</v>
      </c>
      <c r="I1700" s="28" t="s">
        <v>9918</v>
      </c>
      <c r="J1700" s="28" t="s">
        <v>149</v>
      </c>
      <c r="K1700" s="28" t="s">
        <v>9722</v>
      </c>
      <c r="L1700" s="28" t="s">
        <v>9636</v>
      </c>
      <c r="M1700" s="28" t="s">
        <v>9919</v>
      </c>
      <c r="N1700" s="28" t="s">
        <v>9638</v>
      </c>
      <c r="O1700" s="28" t="s">
        <v>9639</v>
      </c>
      <c r="P1700" s="28" t="s">
        <v>9920</v>
      </c>
    </row>
    <row r="1701" spans="1:16" x14ac:dyDescent="0.25">
      <c r="A1701" s="28" t="s">
        <v>9921</v>
      </c>
      <c r="B1701" s="28" t="s">
        <v>9922</v>
      </c>
      <c r="C1701" s="28" t="s">
        <v>132</v>
      </c>
      <c r="D1701" s="28" t="s">
        <v>391</v>
      </c>
      <c r="E1701" s="28" t="s">
        <v>589</v>
      </c>
      <c r="F1701" s="28" t="s">
        <v>21</v>
      </c>
      <c r="G1701" s="28" t="s">
        <v>149</v>
      </c>
      <c r="H1701" s="28" t="s">
        <v>9633</v>
      </c>
      <c r="I1701" s="28" t="s">
        <v>9923</v>
      </c>
      <c r="J1701" s="28" t="s">
        <v>149</v>
      </c>
      <c r="K1701" s="28" t="s">
        <v>9722</v>
      </c>
      <c r="L1701" s="28" t="s">
        <v>9636</v>
      </c>
      <c r="M1701" s="28" t="s">
        <v>9924</v>
      </c>
      <c r="N1701" s="28" t="s">
        <v>9638</v>
      </c>
      <c r="O1701" s="28" t="s">
        <v>9639</v>
      </c>
      <c r="P1701" s="28" t="s">
        <v>9925</v>
      </c>
    </row>
    <row r="1702" spans="1:16" x14ac:dyDescent="0.25">
      <c r="A1702" s="28" t="s">
        <v>9926</v>
      </c>
      <c r="B1702" s="28" t="s">
        <v>9927</v>
      </c>
      <c r="C1702" s="28" t="s">
        <v>132</v>
      </c>
      <c r="D1702" s="28" t="s">
        <v>391</v>
      </c>
      <c r="E1702" s="28" t="s">
        <v>594</v>
      </c>
      <c r="F1702" s="28" t="s">
        <v>21</v>
      </c>
      <c r="G1702" s="28" t="s">
        <v>149</v>
      </c>
      <c r="H1702" s="28" t="s">
        <v>9633</v>
      </c>
      <c r="I1702" s="28" t="s">
        <v>9928</v>
      </c>
      <c r="J1702" s="28" t="s">
        <v>149</v>
      </c>
      <c r="K1702" s="28" t="s">
        <v>9722</v>
      </c>
      <c r="L1702" s="28" t="s">
        <v>9636</v>
      </c>
      <c r="M1702" s="28" t="s">
        <v>9929</v>
      </c>
      <c r="N1702" s="28" t="s">
        <v>9638</v>
      </c>
      <c r="O1702" s="28" t="s">
        <v>9639</v>
      </c>
      <c r="P1702" s="28" t="s">
        <v>9930</v>
      </c>
    </row>
    <row r="1703" spans="1:16" x14ac:dyDescent="0.25">
      <c r="A1703" s="28" t="s">
        <v>9931</v>
      </c>
      <c r="B1703" s="28" t="s">
        <v>9932</v>
      </c>
      <c r="C1703" s="28" t="s">
        <v>132</v>
      </c>
      <c r="D1703" s="28" t="s">
        <v>391</v>
      </c>
      <c r="E1703" s="28" t="s">
        <v>602</v>
      </c>
      <c r="F1703" s="28" t="s">
        <v>21</v>
      </c>
      <c r="G1703" s="28" t="s">
        <v>149</v>
      </c>
      <c r="H1703" s="28" t="s">
        <v>9633</v>
      </c>
      <c r="I1703" s="28" t="s">
        <v>9933</v>
      </c>
      <c r="J1703" s="28" t="s">
        <v>149</v>
      </c>
      <c r="K1703" s="28" t="s">
        <v>9722</v>
      </c>
      <c r="L1703" s="28" t="s">
        <v>9636</v>
      </c>
      <c r="M1703" s="28" t="s">
        <v>9934</v>
      </c>
      <c r="N1703" s="28" t="s">
        <v>9638</v>
      </c>
      <c r="O1703" s="28" t="s">
        <v>9639</v>
      </c>
      <c r="P1703" s="28" t="s">
        <v>9935</v>
      </c>
    </row>
    <row r="1704" spans="1:16" x14ac:dyDescent="0.25">
      <c r="A1704" s="28" t="s">
        <v>9936</v>
      </c>
      <c r="B1704" s="28" t="s">
        <v>9937</v>
      </c>
      <c r="C1704" s="28" t="s">
        <v>132</v>
      </c>
      <c r="D1704" s="28" t="s">
        <v>391</v>
      </c>
      <c r="E1704" s="28" t="s">
        <v>607</v>
      </c>
      <c r="F1704" s="28" t="s">
        <v>21</v>
      </c>
      <c r="G1704" s="28" t="s">
        <v>149</v>
      </c>
      <c r="H1704" s="28" t="s">
        <v>9633</v>
      </c>
      <c r="I1704" s="28" t="s">
        <v>9938</v>
      </c>
      <c r="J1704" s="28" t="s">
        <v>149</v>
      </c>
      <c r="K1704" s="28" t="s">
        <v>9722</v>
      </c>
      <c r="L1704" s="28" t="s">
        <v>9636</v>
      </c>
      <c r="M1704" s="28" t="s">
        <v>9939</v>
      </c>
      <c r="N1704" s="28" t="s">
        <v>9638</v>
      </c>
      <c r="O1704" s="28" t="s">
        <v>9639</v>
      </c>
      <c r="P1704" s="28" t="s">
        <v>9940</v>
      </c>
    </row>
    <row r="1705" spans="1:16" x14ac:dyDescent="0.25">
      <c r="A1705" s="28" t="s">
        <v>9941</v>
      </c>
      <c r="B1705" s="28" t="s">
        <v>9942</v>
      </c>
      <c r="C1705" s="28" t="s">
        <v>132</v>
      </c>
      <c r="D1705" s="28" t="s">
        <v>391</v>
      </c>
      <c r="E1705" s="28" t="s">
        <v>612</v>
      </c>
      <c r="F1705" s="28" t="s">
        <v>21</v>
      </c>
      <c r="G1705" s="28" t="s">
        <v>149</v>
      </c>
      <c r="H1705" s="28" t="s">
        <v>9633</v>
      </c>
      <c r="I1705" s="28" t="s">
        <v>9943</v>
      </c>
      <c r="J1705" s="28" t="s">
        <v>149</v>
      </c>
      <c r="K1705" s="28" t="s">
        <v>9722</v>
      </c>
      <c r="L1705" s="28" t="s">
        <v>9636</v>
      </c>
      <c r="M1705" s="28" t="s">
        <v>9944</v>
      </c>
      <c r="N1705" s="28" t="s">
        <v>9638</v>
      </c>
      <c r="O1705" s="28" t="s">
        <v>9639</v>
      </c>
      <c r="P1705" s="28" t="s">
        <v>9945</v>
      </c>
    </row>
    <row r="1706" spans="1:16" x14ac:dyDescent="0.25">
      <c r="A1706" s="28" t="s">
        <v>9946</v>
      </c>
      <c r="B1706" s="28" t="s">
        <v>9947</v>
      </c>
      <c r="C1706" s="28" t="s">
        <v>132</v>
      </c>
      <c r="D1706" s="28" t="s">
        <v>391</v>
      </c>
      <c r="E1706" s="28" t="s">
        <v>617</v>
      </c>
      <c r="F1706" s="28" t="s">
        <v>21</v>
      </c>
      <c r="G1706" s="28" t="s">
        <v>149</v>
      </c>
      <c r="H1706" s="28" t="s">
        <v>9633</v>
      </c>
      <c r="I1706" s="28" t="s">
        <v>9948</v>
      </c>
      <c r="J1706" s="28" t="s">
        <v>149</v>
      </c>
      <c r="K1706" s="28" t="s">
        <v>9722</v>
      </c>
      <c r="L1706" s="28" t="s">
        <v>9636</v>
      </c>
      <c r="M1706" s="28" t="s">
        <v>9949</v>
      </c>
      <c r="N1706" s="28" t="s">
        <v>9638</v>
      </c>
      <c r="O1706" s="28" t="s">
        <v>9639</v>
      </c>
      <c r="P1706" s="28" t="s">
        <v>9950</v>
      </c>
    </row>
    <row r="1707" spans="1:16" x14ac:dyDescent="0.25">
      <c r="A1707" s="28" t="s">
        <v>9951</v>
      </c>
      <c r="B1707" s="28" t="s">
        <v>9952</v>
      </c>
      <c r="C1707" s="28" t="s">
        <v>132</v>
      </c>
      <c r="D1707" s="28" t="s">
        <v>391</v>
      </c>
      <c r="E1707" s="28" t="s">
        <v>625</v>
      </c>
      <c r="F1707" s="28" t="s">
        <v>21</v>
      </c>
      <c r="G1707" s="28" t="s">
        <v>149</v>
      </c>
      <c r="H1707" s="28" t="s">
        <v>9633</v>
      </c>
      <c r="I1707" s="28" t="s">
        <v>9953</v>
      </c>
      <c r="J1707" s="28" t="s">
        <v>149</v>
      </c>
      <c r="K1707" s="28" t="s">
        <v>9722</v>
      </c>
      <c r="L1707" s="28" t="s">
        <v>9636</v>
      </c>
      <c r="M1707" s="28" t="s">
        <v>9954</v>
      </c>
      <c r="N1707" s="28" t="s">
        <v>9638</v>
      </c>
      <c r="O1707" s="28" t="s">
        <v>9639</v>
      </c>
      <c r="P1707" s="28" t="s">
        <v>9955</v>
      </c>
    </row>
    <row r="1708" spans="1:16" x14ac:dyDescent="0.25">
      <c r="A1708" s="28" t="s">
        <v>9956</v>
      </c>
      <c r="B1708" s="28" t="s">
        <v>9957</v>
      </c>
      <c r="C1708" s="28" t="s">
        <v>132</v>
      </c>
      <c r="D1708" s="28" t="s">
        <v>391</v>
      </c>
      <c r="E1708" s="28" t="s">
        <v>630</v>
      </c>
      <c r="F1708" s="28" t="s">
        <v>21</v>
      </c>
      <c r="G1708" s="28" t="s">
        <v>149</v>
      </c>
      <c r="H1708" s="28" t="s">
        <v>9633</v>
      </c>
      <c r="I1708" s="28" t="s">
        <v>9958</v>
      </c>
      <c r="J1708" s="28" t="s">
        <v>149</v>
      </c>
      <c r="K1708" s="28" t="s">
        <v>9722</v>
      </c>
      <c r="L1708" s="28" t="s">
        <v>9636</v>
      </c>
      <c r="M1708" s="28" t="s">
        <v>9959</v>
      </c>
      <c r="N1708" s="28" t="s">
        <v>9638</v>
      </c>
      <c r="O1708" s="28" t="s">
        <v>9639</v>
      </c>
      <c r="P1708" s="28" t="s">
        <v>9960</v>
      </c>
    </row>
    <row r="1709" spans="1:16" x14ac:dyDescent="0.25">
      <c r="A1709" s="28" t="s">
        <v>9961</v>
      </c>
      <c r="B1709" s="28" t="s">
        <v>9962</v>
      </c>
      <c r="C1709" s="28" t="s">
        <v>132</v>
      </c>
      <c r="D1709" s="28" t="s">
        <v>391</v>
      </c>
      <c r="E1709" s="28" t="s">
        <v>635</v>
      </c>
      <c r="F1709" s="28" t="s">
        <v>21</v>
      </c>
      <c r="G1709" s="28" t="s">
        <v>149</v>
      </c>
      <c r="H1709" s="28" t="s">
        <v>9633</v>
      </c>
      <c r="I1709" s="28" t="s">
        <v>9963</v>
      </c>
      <c r="J1709" s="28" t="s">
        <v>149</v>
      </c>
      <c r="K1709" s="28" t="s">
        <v>9722</v>
      </c>
      <c r="L1709" s="28" t="s">
        <v>9636</v>
      </c>
      <c r="M1709" s="28" t="s">
        <v>9964</v>
      </c>
      <c r="N1709" s="28" t="s">
        <v>9638</v>
      </c>
      <c r="O1709" s="28" t="s">
        <v>9639</v>
      </c>
      <c r="P1709" s="28" t="s">
        <v>9965</v>
      </c>
    </row>
    <row r="1710" spans="1:16" x14ac:dyDescent="0.25">
      <c r="A1710" s="28" t="s">
        <v>9966</v>
      </c>
      <c r="B1710" s="28" t="s">
        <v>9967</v>
      </c>
      <c r="C1710" s="28" t="s">
        <v>132</v>
      </c>
      <c r="D1710" s="28" t="s">
        <v>391</v>
      </c>
      <c r="E1710" s="28" t="s">
        <v>643</v>
      </c>
      <c r="F1710" s="28" t="s">
        <v>21</v>
      </c>
      <c r="G1710" s="28" t="s">
        <v>149</v>
      </c>
      <c r="H1710" s="28" t="s">
        <v>9633</v>
      </c>
      <c r="I1710" s="28" t="s">
        <v>9968</v>
      </c>
      <c r="J1710" s="28" t="s">
        <v>149</v>
      </c>
      <c r="K1710" s="28" t="s">
        <v>9722</v>
      </c>
      <c r="L1710" s="28" t="s">
        <v>9636</v>
      </c>
      <c r="M1710" s="28" t="s">
        <v>9969</v>
      </c>
      <c r="N1710" s="28" t="s">
        <v>9638</v>
      </c>
      <c r="O1710" s="28" t="s">
        <v>9639</v>
      </c>
      <c r="P1710" s="28" t="s">
        <v>9970</v>
      </c>
    </row>
    <row r="1711" spans="1:16" x14ac:dyDescent="0.25">
      <c r="A1711" s="28" t="s">
        <v>9971</v>
      </c>
      <c r="B1711" s="28" t="s">
        <v>9972</v>
      </c>
      <c r="C1711" s="28" t="s">
        <v>132</v>
      </c>
      <c r="D1711" s="28" t="s">
        <v>391</v>
      </c>
      <c r="E1711" s="28" t="s">
        <v>648</v>
      </c>
      <c r="F1711" s="28" t="s">
        <v>21</v>
      </c>
      <c r="G1711" s="28" t="s">
        <v>149</v>
      </c>
      <c r="H1711" s="28" t="s">
        <v>9633</v>
      </c>
      <c r="I1711" s="28" t="s">
        <v>9973</v>
      </c>
      <c r="J1711" s="28" t="s">
        <v>149</v>
      </c>
      <c r="K1711" s="28" t="s">
        <v>9722</v>
      </c>
      <c r="L1711" s="28" t="s">
        <v>9636</v>
      </c>
      <c r="M1711" s="28" t="s">
        <v>9974</v>
      </c>
      <c r="N1711" s="28" t="s">
        <v>9638</v>
      </c>
      <c r="O1711" s="28" t="s">
        <v>9639</v>
      </c>
      <c r="P1711" s="28" t="s">
        <v>9975</v>
      </c>
    </row>
    <row r="1712" spans="1:16" x14ac:dyDescent="0.25">
      <c r="A1712" s="28" t="s">
        <v>9976</v>
      </c>
      <c r="B1712" s="28" t="s">
        <v>9977</v>
      </c>
      <c r="C1712" s="28" t="s">
        <v>132</v>
      </c>
      <c r="D1712" s="28" t="s">
        <v>391</v>
      </c>
      <c r="E1712" s="28" t="s">
        <v>656</v>
      </c>
      <c r="F1712" s="28" t="s">
        <v>21</v>
      </c>
      <c r="G1712" s="28" t="s">
        <v>149</v>
      </c>
      <c r="H1712" s="28" t="s">
        <v>9633</v>
      </c>
      <c r="I1712" s="28" t="s">
        <v>9978</v>
      </c>
      <c r="J1712" s="28" t="s">
        <v>149</v>
      </c>
      <c r="K1712" s="28" t="s">
        <v>9722</v>
      </c>
      <c r="L1712" s="28" t="s">
        <v>9636</v>
      </c>
      <c r="M1712" s="28" t="s">
        <v>9979</v>
      </c>
      <c r="N1712" s="28" t="s">
        <v>9638</v>
      </c>
      <c r="O1712" s="28" t="s">
        <v>9639</v>
      </c>
      <c r="P1712" s="28" t="s">
        <v>9980</v>
      </c>
    </row>
    <row r="1713" spans="1:16" x14ac:dyDescent="0.25">
      <c r="A1713" s="28" t="s">
        <v>9981</v>
      </c>
      <c r="B1713" s="28" t="s">
        <v>9982</v>
      </c>
      <c r="C1713" s="28" t="s">
        <v>132</v>
      </c>
      <c r="D1713" s="28" t="s">
        <v>391</v>
      </c>
      <c r="E1713" s="28" t="s">
        <v>661</v>
      </c>
      <c r="F1713" s="28" t="s">
        <v>21</v>
      </c>
      <c r="G1713" s="28" t="s">
        <v>149</v>
      </c>
      <c r="H1713" s="28" t="s">
        <v>9633</v>
      </c>
      <c r="I1713" s="28" t="s">
        <v>9983</v>
      </c>
      <c r="J1713" s="28" t="s">
        <v>149</v>
      </c>
      <c r="K1713" s="28" t="s">
        <v>9722</v>
      </c>
      <c r="L1713" s="28" t="s">
        <v>9636</v>
      </c>
      <c r="M1713" s="28" t="s">
        <v>9984</v>
      </c>
      <c r="N1713" s="28" t="s">
        <v>9638</v>
      </c>
      <c r="O1713" s="28" t="s">
        <v>9639</v>
      </c>
      <c r="P1713" s="28" t="s">
        <v>9985</v>
      </c>
    </row>
    <row r="1714" spans="1:16" x14ac:dyDescent="0.25">
      <c r="A1714" s="28" t="s">
        <v>9986</v>
      </c>
      <c r="B1714" s="28" t="s">
        <v>9987</v>
      </c>
      <c r="C1714" s="28" t="s">
        <v>132</v>
      </c>
      <c r="D1714" s="28" t="s">
        <v>391</v>
      </c>
      <c r="E1714" s="28" t="s">
        <v>667</v>
      </c>
      <c r="F1714" s="28" t="s">
        <v>21</v>
      </c>
      <c r="G1714" s="28" t="s">
        <v>149</v>
      </c>
      <c r="H1714" s="28" t="s">
        <v>9633</v>
      </c>
      <c r="I1714" s="28" t="s">
        <v>9988</v>
      </c>
      <c r="J1714" s="28" t="s">
        <v>149</v>
      </c>
      <c r="K1714" s="28" t="s">
        <v>9722</v>
      </c>
      <c r="L1714" s="28" t="s">
        <v>9636</v>
      </c>
      <c r="M1714" s="28" t="s">
        <v>9989</v>
      </c>
      <c r="N1714" s="28" t="s">
        <v>9638</v>
      </c>
      <c r="O1714" s="28" t="s">
        <v>9639</v>
      </c>
      <c r="P1714" s="28" t="s">
        <v>9990</v>
      </c>
    </row>
    <row r="1715" spans="1:16" x14ac:dyDescent="0.25">
      <c r="A1715" s="28" t="s">
        <v>9991</v>
      </c>
      <c r="B1715" s="28" t="s">
        <v>9992</v>
      </c>
      <c r="C1715" s="28" t="s">
        <v>132</v>
      </c>
      <c r="D1715" s="28" t="s">
        <v>391</v>
      </c>
      <c r="E1715" s="28" t="s">
        <v>676</v>
      </c>
      <c r="F1715" s="28" t="s">
        <v>21</v>
      </c>
      <c r="G1715" s="28" t="s">
        <v>149</v>
      </c>
      <c r="H1715" s="28" t="s">
        <v>9633</v>
      </c>
      <c r="I1715" s="28" t="s">
        <v>9993</v>
      </c>
      <c r="J1715" s="28" t="s">
        <v>149</v>
      </c>
      <c r="K1715" s="28" t="s">
        <v>9722</v>
      </c>
      <c r="L1715" s="28" t="s">
        <v>9636</v>
      </c>
      <c r="M1715" s="28" t="s">
        <v>9994</v>
      </c>
      <c r="N1715" s="28" t="s">
        <v>9638</v>
      </c>
      <c r="O1715" s="28" t="s">
        <v>9639</v>
      </c>
      <c r="P1715" s="28" t="s">
        <v>9995</v>
      </c>
    </row>
    <row r="1716" spans="1:16" x14ac:dyDescent="0.25">
      <c r="A1716" s="28" t="s">
        <v>9996</v>
      </c>
      <c r="B1716" s="28" t="s">
        <v>9997</v>
      </c>
      <c r="C1716" s="28" t="s">
        <v>132</v>
      </c>
      <c r="D1716" s="28" t="s">
        <v>391</v>
      </c>
      <c r="E1716" s="28" t="s">
        <v>680</v>
      </c>
      <c r="F1716" s="28" t="s">
        <v>21</v>
      </c>
      <c r="G1716" s="28" t="s">
        <v>149</v>
      </c>
      <c r="H1716" s="28" t="s">
        <v>9633</v>
      </c>
      <c r="I1716" s="28" t="s">
        <v>9998</v>
      </c>
      <c r="J1716" s="28" t="s">
        <v>149</v>
      </c>
      <c r="K1716" s="28" t="s">
        <v>9722</v>
      </c>
      <c r="L1716" s="28" t="s">
        <v>9636</v>
      </c>
      <c r="M1716" s="28" t="s">
        <v>9999</v>
      </c>
      <c r="N1716" s="28" t="s">
        <v>9638</v>
      </c>
      <c r="O1716" s="28" t="s">
        <v>9639</v>
      </c>
      <c r="P1716" s="28" t="s">
        <v>10000</v>
      </c>
    </row>
    <row r="1717" spans="1:16" x14ac:dyDescent="0.25">
      <c r="A1717" s="28" t="s">
        <v>10001</v>
      </c>
      <c r="B1717" s="28" t="s">
        <v>10002</v>
      </c>
      <c r="C1717" s="28" t="s">
        <v>132</v>
      </c>
      <c r="D1717" s="28" t="s">
        <v>391</v>
      </c>
      <c r="E1717" s="28" t="s">
        <v>684</v>
      </c>
      <c r="F1717" s="28" t="s">
        <v>21</v>
      </c>
      <c r="G1717" s="28" t="s">
        <v>149</v>
      </c>
      <c r="H1717" s="28" t="s">
        <v>9633</v>
      </c>
      <c r="I1717" s="28" t="s">
        <v>10003</v>
      </c>
      <c r="J1717" s="28" t="s">
        <v>149</v>
      </c>
      <c r="K1717" s="28" t="s">
        <v>9722</v>
      </c>
      <c r="L1717" s="28" t="s">
        <v>9636</v>
      </c>
      <c r="M1717" s="28" t="s">
        <v>10004</v>
      </c>
      <c r="N1717" s="28" t="s">
        <v>9638</v>
      </c>
      <c r="O1717" s="28" t="s">
        <v>9639</v>
      </c>
      <c r="P1717" s="28" t="s">
        <v>10005</v>
      </c>
    </row>
    <row r="1718" spans="1:16" x14ac:dyDescent="0.25">
      <c r="A1718" s="28" t="s">
        <v>10006</v>
      </c>
      <c r="B1718" s="28" t="s">
        <v>10007</v>
      </c>
      <c r="C1718" s="28" t="s">
        <v>132</v>
      </c>
      <c r="D1718" s="28" t="s">
        <v>391</v>
      </c>
      <c r="E1718" s="28" t="s">
        <v>688</v>
      </c>
      <c r="F1718" s="28" t="s">
        <v>21</v>
      </c>
      <c r="G1718" s="28" t="s">
        <v>149</v>
      </c>
      <c r="H1718" s="28" t="s">
        <v>9633</v>
      </c>
      <c r="I1718" s="28" t="s">
        <v>10008</v>
      </c>
      <c r="J1718" s="28" t="s">
        <v>149</v>
      </c>
      <c r="K1718" s="28" t="s">
        <v>9722</v>
      </c>
      <c r="L1718" s="28" t="s">
        <v>9636</v>
      </c>
      <c r="M1718" s="28" t="s">
        <v>10009</v>
      </c>
      <c r="N1718" s="28" t="s">
        <v>9638</v>
      </c>
      <c r="O1718" s="28" t="s">
        <v>9639</v>
      </c>
      <c r="P1718" s="28" t="s">
        <v>10010</v>
      </c>
    </row>
    <row r="1719" spans="1:16" x14ac:dyDescent="0.25">
      <c r="A1719" s="28" t="s">
        <v>10011</v>
      </c>
      <c r="B1719" s="28" t="s">
        <v>10012</v>
      </c>
      <c r="C1719" s="28" t="s">
        <v>132</v>
      </c>
      <c r="D1719" s="28" t="s">
        <v>391</v>
      </c>
      <c r="E1719" s="28" t="s">
        <v>692</v>
      </c>
      <c r="F1719" s="28" t="s">
        <v>21</v>
      </c>
      <c r="G1719" s="28" t="s">
        <v>149</v>
      </c>
      <c r="H1719" s="28" t="s">
        <v>9633</v>
      </c>
      <c r="I1719" s="28" t="s">
        <v>10013</v>
      </c>
      <c r="J1719" s="28" t="s">
        <v>149</v>
      </c>
      <c r="K1719" s="28" t="s">
        <v>9722</v>
      </c>
      <c r="L1719" s="28" t="s">
        <v>9636</v>
      </c>
      <c r="M1719" s="28" t="s">
        <v>10014</v>
      </c>
      <c r="N1719" s="28" t="s">
        <v>9638</v>
      </c>
      <c r="O1719" s="28" t="s">
        <v>9639</v>
      </c>
      <c r="P1719" s="28" t="s">
        <v>10015</v>
      </c>
    </row>
    <row r="1720" spans="1:16" x14ac:dyDescent="0.25">
      <c r="A1720" s="28" t="s">
        <v>10016</v>
      </c>
      <c r="B1720" s="28" t="s">
        <v>10017</v>
      </c>
      <c r="C1720" s="28" t="s">
        <v>132</v>
      </c>
      <c r="D1720" s="28" t="s">
        <v>391</v>
      </c>
      <c r="E1720" s="28" t="s">
        <v>698</v>
      </c>
      <c r="F1720" s="28" t="s">
        <v>21</v>
      </c>
      <c r="G1720" s="28" t="s">
        <v>149</v>
      </c>
      <c r="H1720" s="28" t="s">
        <v>9633</v>
      </c>
      <c r="I1720" s="28" t="s">
        <v>10018</v>
      </c>
      <c r="J1720" s="28" t="s">
        <v>149</v>
      </c>
      <c r="K1720" s="28" t="s">
        <v>9722</v>
      </c>
      <c r="L1720" s="28" t="s">
        <v>9636</v>
      </c>
      <c r="M1720" s="28" t="s">
        <v>10019</v>
      </c>
      <c r="N1720" s="28" t="s">
        <v>9638</v>
      </c>
      <c r="O1720" s="28" t="s">
        <v>9639</v>
      </c>
      <c r="P1720" s="28" t="s">
        <v>10020</v>
      </c>
    </row>
    <row r="1721" spans="1:16" x14ac:dyDescent="0.25">
      <c r="A1721" s="28" t="s">
        <v>10021</v>
      </c>
      <c r="B1721" s="28" t="s">
        <v>10022</v>
      </c>
      <c r="C1721" s="28" t="s">
        <v>132</v>
      </c>
      <c r="D1721" s="28" t="s">
        <v>391</v>
      </c>
      <c r="E1721" s="28" t="s">
        <v>702</v>
      </c>
      <c r="F1721" s="28" t="s">
        <v>21</v>
      </c>
      <c r="G1721" s="28" t="s">
        <v>149</v>
      </c>
      <c r="H1721" s="28" t="s">
        <v>9633</v>
      </c>
      <c r="I1721" s="28" t="s">
        <v>10023</v>
      </c>
      <c r="J1721" s="28" t="s">
        <v>149</v>
      </c>
      <c r="K1721" s="28" t="s">
        <v>9722</v>
      </c>
      <c r="L1721" s="28" t="s">
        <v>9636</v>
      </c>
      <c r="M1721" s="28" t="s">
        <v>10024</v>
      </c>
      <c r="N1721" s="28" t="s">
        <v>9638</v>
      </c>
      <c r="O1721" s="28" t="s">
        <v>9639</v>
      </c>
      <c r="P1721" s="28" t="s">
        <v>10025</v>
      </c>
    </row>
    <row r="1722" spans="1:16" x14ac:dyDescent="0.25">
      <c r="A1722" s="28" t="s">
        <v>10026</v>
      </c>
      <c r="B1722" s="28" t="s">
        <v>10027</v>
      </c>
      <c r="C1722" s="28" t="s">
        <v>132</v>
      </c>
      <c r="D1722" s="28" t="s">
        <v>391</v>
      </c>
      <c r="E1722" s="28" t="s">
        <v>706</v>
      </c>
      <c r="F1722" s="28" t="s">
        <v>21</v>
      </c>
      <c r="G1722" s="28" t="s">
        <v>149</v>
      </c>
      <c r="H1722" s="28" t="s">
        <v>9633</v>
      </c>
      <c r="I1722" s="28" t="s">
        <v>10028</v>
      </c>
      <c r="J1722" s="28" t="s">
        <v>149</v>
      </c>
      <c r="K1722" s="28" t="s">
        <v>9722</v>
      </c>
      <c r="L1722" s="28" t="s">
        <v>9636</v>
      </c>
      <c r="M1722" s="28" t="s">
        <v>10029</v>
      </c>
      <c r="N1722" s="28" t="s">
        <v>9638</v>
      </c>
      <c r="O1722" s="28" t="s">
        <v>9639</v>
      </c>
      <c r="P1722" s="28" t="s">
        <v>10030</v>
      </c>
    </row>
    <row r="1723" spans="1:16" x14ac:dyDescent="0.25">
      <c r="A1723" s="28" t="s">
        <v>10031</v>
      </c>
      <c r="B1723" s="28" t="s">
        <v>10032</v>
      </c>
      <c r="C1723" s="28" t="s">
        <v>132</v>
      </c>
      <c r="D1723" s="28" t="s">
        <v>391</v>
      </c>
      <c r="E1723" s="28" t="s">
        <v>710</v>
      </c>
      <c r="F1723" s="28" t="s">
        <v>21</v>
      </c>
      <c r="G1723" s="28" t="s">
        <v>149</v>
      </c>
      <c r="H1723" s="28" t="s">
        <v>9633</v>
      </c>
      <c r="I1723" s="28" t="s">
        <v>10033</v>
      </c>
      <c r="J1723" s="28" t="s">
        <v>149</v>
      </c>
      <c r="K1723" s="28" t="s">
        <v>9722</v>
      </c>
      <c r="L1723" s="28" t="s">
        <v>9636</v>
      </c>
      <c r="M1723" s="28" t="s">
        <v>10034</v>
      </c>
      <c r="N1723" s="28" t="s">
        <v>9638</v>
      </c>
      <c r="O1723" s="28" t="s">
        <v>9639</v>
      </c>
      <c r="P1723" s="28" t="s">
        <v>10035</v>
      </c>
    </row>
    <row r="1724" spans="1:16" x14ac:dyDescent="0.25">
      <c r="A1724" s="28" t="s">
        <v>10036</v>
      </c>
      <c r="B1724" s="28" t="s">
        <v>10037</v>
      </c>
      <c r="C1724" s="28" t="s">
        <v>132</v>
      </c>
      <c r="D1724" s="28" t="s">
        <v>391</v>
      </c>
      <c r="E1724" s="28" t="s">
        <v>714</v>
      </c>
      <c r="F1724" s="28" t="s">
        <v>21</v>
      </c>
      <c r="G1724" s="28" t="s">
        <v>149</v>
      </c>
      <c r="H1724" s="28" t="s">
        <v>9633</v>
      </c>
      <c r="I1724" s="28" t="s">
        <v>10038</v>
      </c>
      <c r="J1724" s="28" t="s">
        <v>149</v>
      </c>
      <c r="K1724" s="28" t="s">
        <v>9722</v>
      </c>
      <c r="L1724" s="28" t="s">
        <v>9636</v>
      </c>
      <c r="M1724" s="28" t="s">
        <v>10039</v>
      </c>
      <c r="N1724" s="28" t="s">
        <v>9638</v>
      </c>
      <c r="O1724" s="28" t="s">
        <v>9639</v>
      </c>
      <c r="P1724" s="28" t="s">
        <v>10040</v>
      </c>
    </row>
    <row r="1725" spans="1:16" x14ac:dyDescent="0.25">
      <c r="A1725" s="28" t="s">
        <v>10041</v>
      </c>
      <c r="B1725" s="28" t="s">
        <v>10042</v>
      </c>
      <c r="C1725" s="28" t="s">
        <v>132</v>
      </c>
      <c r="D1725" s="28" t="s">
        <v>391</v>
      </c>
      <c r="E1725" s="28" t="s">
        <v>718</v>
      </c>
      <c r="F1725" s="28" t="s">
        <v>21</v>
      </c>
      <c r="G1725" s="28" t="s">
        <v>149</v>
      </c>
      <c r="H1725" s="28" t="s">
        <v>9633</v>
      </c>
      <c r="I1725" s="28" t="s">
        <v>10043</v>
      </c>
      <c r="J1725" s="28" t="s">
        <v>149</v>
      </c>
      <c r="K1725" s="28" t="s">
        <v>9722</v>
      </c>
      <c r="L1725" s="28" t="s">
        <v>9636</v>
      </c>
      <c r="M1725" s="28" t="s">
        <v>10044</v>
      </c>
      <c r="N1725" s="28" t="s">
        <v>9638</v>
      </c>
      <c r="O1725" s="28" t="s">
        <v>9639</v>
      </c>
      <c r="P1725" s="28" t="s">
        <v>10045</v>
      </c>
    </row>
    <row r="1726" spans="1:16" x14ac:dyDescent="0.25">
      <c r="A1726" s="28" t="s">
        <v>10046</v>
      </c>
      <c r="B1726" s="28" t="s">
        <v>10047</v>
      </c>
      <c r="C1726" s="28" t="s">
        <v>132</v>
      </c>
      <c r="D1726" s="28" t="s">
        <v>391</v>
      </c>
      <c r="E1726" s="28" t="s">
        <v>722</v>
      </c>
      <c r="F1726" s="28" t="s">
        <v>21</v>
      </c>
      <c r="G1726" s="28" t="s">
        <v>149</v>
      </c>
      <c r="H1726" s="28" t="s">
        <v>9633</v>
      </c>
      <c r="I1726" s="28" t="s">
        <v>10048</v>
      </c>
      <c r="J1726" s="28" t="s">
        <v>149</v>
      </c>
      <c r="K1726" s="28" t="s">
        <v>9722</v>
      </c>
      <c r="L1726" s="28" t="s">
        <v>9636</v>
      </c>
      <c r="M1726" s="28" t="s">
        <v>10049</v>
      </c>
      <c r="N1726" s="28" t="s">
        <v>9638</v>
      </c>
      <c r="O1726" s="28" t="s">
        <v>9639</v>
      </c>
      <c r="P1726" s="28" t="s">
        <v>10050</v>
      </c>
    </row>
    <row r="1727" spans="1:16" x14ac:dyDescent="0.25">
      <c r="A1727" s="28" t="s">
        <v>10051</v>
      </c>
      <c r="B1727" s="28" t="s">
        <v>10052</v>
      </c>
      <c r="C1727" s="28" t="s">
        <v>132</v>
      </c>
      <c r="D1727" s="28" t="s">
        <v>391</v>
      </c>
      <c r="E1727" s="28" t="s">
        <v>726</v>
      </c>
      <c r="F1727" s="28" t="s">
        <v>21</v>
      </c>
      <c r="G1727" s="28" t="s">
        <v>149</v>
      </c>
      <c r="H1727" s="28" t="s">
        <v>9633</v>
      </c>
      <c r="I1727" s="28" t="s">
        <v>10053</v>
      </c>
      <c r="J1727" s="28" t="s">
        <v>149</v>
      </c>
      <c r="K1727" s="28" t="s">
        <v>9722</v>
      </c>
      <c r="L1727" s="28" t="s">
        <v>9636</v>
      </c>
      <c r="M1727" s="28" t="s">
        <v>10054</v>
      </c>
      <c r="N1727" s="28" t="s">
        <v>9638</v>
      </c>
      <c r="O1727" s="28" t="s">
        <v>9639</v>
      </c>
      <c r="P1727" s="28" t="s">
        <v>10055</v>
      </c>
    </row>
    <row r="1728" spans="1:16" x14ac:dyDescent="0.25">
      <c r="A1728" s="28" t="s">
        <v>10056</v>
      </c>
      <c r="B1728" s="28" t="s">
        <v>10057</v>
      </c>
      <c r="C1728" s="28" t="s">
        <v>132</v>
      </c>
      <c r="D1728" s="28" t="s">
        <v>391</v>
      </c>
      <c r="E1728" s="28" t="s">
        <v>730</v>
      </c>
      <c r="F1728" s="28" t="s">
        <v>21</v>
      </c>
      <c r="G1728" s="28" t="s">
        <v>149</v>
      </c>
      <c r="H1728" s="28" t="s">
        <v>9633</v>
      </c>
      <c r="I1728" s="28" t="s">
        <v>10058</v>
      </c>
      <c r="J1728" s="28" t="s">
        <v>149</v>
      </c>
      <c r="K1728" s="28" t="s">
        <v>9722</v>
      </c>
      <c r="L1728" s="28" t="s">
        <v>9636</v>
      </c>
      <c r="M1728" s="28" t="s">
        <v>10059</v>
      </c>
      <c r="N1728" s="28" t="s">
        <v>9638</v>
      </c>
      <c r="O1728" s="28" t="s">
        <v>9639</v>
      </c>
      <c r="P1728" s="28" t="s">
        <v>10060</v>
      </c>
    </row>
    <row r="1729" spans="1:16" x14ac:dyDescent="0.25">
      <c r="A1729" s="28" t="s">
        <v>10061</v>
      </c>
      <c r="B1729" s="28" t="s">
        <v>10062</v>
      </c>
      <c r="C1729" s="28" t="s">
        <v>132</v>
      </c>
      <c r="D1729" s="28" t="s">
        <v>391</v>
      </c>
      <c r="E1729" s="28" t="s">
        <v>734</v>
      </c>
      <c r="F1729" s="28" t="s">
        <v>21</v>
      </c>
      <c r="G1729" s="28" t="s">
        <v>149</v>
      </c>
      <c r="H1729" s="28" t="s">
        <v>9633</v>
      </c>
      <c r="I1729" s="28" t="s">
        <v>10063</v>
      </c>
      <c r="J1729" s="28" t="s">
        <v>149</v>
      </c>
      <c r="K1729" s="28" t="s">
        <v>9722</v>
      </c>
      <c r="L1729" s="28" t="s">
        <v>9636</v>
      </c>
      <c r="M1729" s="28" t="s">
        <v>10064</v>
      </c>
      <c r="N1729" s="28" t="s">
        <v>9638</v>
      </c>
      <c r="O1729" s="28" t="s">
        <v>9639</v>
      </c>
      <c r="P1729" s="28" t="s">
        <v>10065</v>
      </c>
    </row>
    <row r="1730" spans="1:16" x14ac:dyDescent="0.25">
      <c r="A1730" s="28" t="s">
        <v>10066</v>
      </c>
      <c r="B1730" s="28" t="s">
        <v>10067</v>
      </c>
      <c r="C1730" s="28" t="s">
        <v>132</v>
      </c>
      <c r="D1730" s="28" t="s">
        <v>391</v>
      </c>
      <c r="E1730" s="28" t="s">
        <v>738</v>
      </c>
      <c r="F1730" s="28" t="s">
        <v>21</v>
      </c>
      <c r="G1730" s="28" t="s">
        <v>149</v>
      </c>
      <c r="H1730" s="28" t="s">
        <v>9633</v>
      </c>
      <c r="I1730" s="28" t="s">
        <v>10068</v>
      </c>
      <c r="J1730" s="28" t="s">
        <v>149</v>
      </c>
      <c r="K1730" s="28" t="s">
        <v>9722</v>
      </c>
      <c r="L1730" s="28" t="s">
        <v>9636</v>
      </c>
      <c r="M1730" s="28" t="s">
        <v>10069</v>
      </c>
      <c r="N1730" s="28" t="s">
        <v>9638</v>
      </c>
      <c r="O1730" s="28" t="s">
        <v>9639</v>
      </c>
      <c r="P1730" s="28" t="s">
        <v>10070</v>
      </c>
    </row>
    <row r="1731" spans="1:16" x14ac:dyDescent="0.25">
      <c r="A1731" s="28" t="s">
        <v>10071</v>
      </c>
      <c r="B1731" s="28" t="s">
        <v>10072</v>
      </c>
      <c r="C1731" s="28" t="s">
        <v>132</v>
      </c>
      <c r="D1731" s="28" t="s">
        <v>391</v>
      </c>
      <c r="E1731" s="28" t="s">
        <v>742</v>
      </c>
      <c r="F1731" s="28" t="s">
        <v>21</v>
      </c>
      <c r="G1731" s="28" t="s">
        <v>149</v>
      </c>
      <c r="H1731" s="28" t="s">
        <v>9633</v>
      </c>
      <c r="I1731" s="28" t="s">
        <v>10073</v>
      </c>
      <c r="J1731" s="28" t="s">
        <v>149</v>
      </c>
      <c r="K1731" s="28" t="s">
        <v>9722</v>
      </c>
      <c r="L1731" s="28" t="s">
        <v>9636</v>
      </c>
      <c r="M1731" s="28" t="s">
        <v>10074</v>
      </c>
      <c r="N1731" s="28" t="s">
        <v>9638</v>
      </c>
      <c r="O1731" s="28" t="s">
        <v>9639</v>
      </c>
      <c r="P1731" s="28" t="s">
        <v>10075</v>
      </c>
    </row>
    <row r="1732" spans="1:16" x14ac:dyDescent="0.25">
      <c r="A1732" s="28" t="s">
        <v>10076</v>
      </c>
      <c r="B1732" s="28" t="s">
        <v>10077</v>
      </c>
      <c r="C1732" s="28" t="s">
        <v>132</v>
      </c>
      <c r="D1732" s="28" t="s">
        <v>391</v>
      </c>
      <c r="E1732" s="28" t="s">
        <v>746</v>
      </c>
      <c r="F1732" s="28" t="s">
        <v>21</v>
      </c>
      <c r="G1732" s="28" t="s">
        <v>149</v>
      </c>
      <c r="H1732" s="28" t="s">
        <v>9633</v>
      </c>
      <c r="I1732" s="28" t="s">
        <v>10078</v>
      </c>
      <c r="J1732" s="28" t="s">
        <v>149</v>
      </c>
      <c r="K1732" s="28" t="s">
        <v>9722</v>
      </c>
      <c r="L1732" s="28" t="s">
        <v>9636</v>
      </c>
      <c r="M1732" s="28" t="s">
        <v>10079</v>
      </c>
      <c r="N1732" s="28" t="s">
        <v>9638</v>
      </c>
      <c r="O1732" s="28" t="s">
        <v>9639</v>
      </c>
      <c r="P1732" s="28" t="s">
        <v>10080</v>
      </c>
    </row>
    <row r="1733" spans="1:16" x14ac:dyDescent="0.25">
      <c r="A1733" s="28" t="s">
        <v>10081</v>
      </c>
      <c r="B1733" s="28" t="s">
        <v>10082</v>
      </c>
      <c r="C1733" s="28" t="s">
        <v>132</v>
      </c>
      <c r="D1733" s="28" t="s">
        <v>391</v>
      </c>
      <c r="E1733" s="28" t="s">
        <v>750</v>
      </c>
      <c r="F1733" s="28" t="s">
        <v>21</v>
      </c>
      <c r="G1733" s="28" t="s">
        <v>149</v>
      </c>
      <c r="H1733" s="28" t="s">
        <v>9633</v>
      </c>
      <c r="I1733" s="28" t="s">
        <v>10083</v>
      </c>
      <c r="J1733" s="28" t="s">
        <v>149</v>
      </c>
      <c r="K1733" s="28" t="s">
        <v>9722</v>
      </c>
      <c r="L1733" s="28" t="s">
        <v>9636</v>
      </c>
      <c r="M1733" s="28" t="s">
        <v>10084</v>
      </c>
      <c r="N1733" s="28" t="s">
        <v>9638</v>
      </c>
      <c r="O1733" s="28" t="s">
        <v>9639</v>
      </c>
      <c r="P1733" s="28" t="s">
        <v>10085</v>
      </c>
    </row>
    <row r="1734" spans="1:16" x14ac:dyDescent="0.25">
      <c r="A1734" s="28" t="s">
        <v>10086</v>
      </c>
      <c r="B1734" s="28" t="s">
        <v>10087</v>
      </c>
      <c r="C1734" s="28" t="s">
        <v>132</v>
      </c>
      <c r="D1734" s="28" t="s">
        <v>391</v>
      </c>
      <c r="E1734" s="28" t="s">
        <v>754</v>
      </c>
      <c r="F1734" s="28" t="s">
        <v>21</v>
      </c>
      <c r="G1734" s="28" t="s">
        <v>149</v>
      </c>
      <c r="H1734" s="28" t="s">
        <v>9633</v>
      </c>
      <c r="I1734" s="28" t="s">
        <v>10088</v>
      </c>
      <c r="J1734" s="28" t="s">
        <v>149</v>
      </c>
      <c r="K1734" s="28" t="s">
        <v>9722</v>
      </c>
      <c r="L1734" s="28" t="s">
        <v>9636</v>
      </c>
      <c r="M1734" s="28" t="s">
        <v>10089</v>
      </c>
      <c r="N1734" s="28" t="s">
        <v>9638</v>
      </c>
      <c r="O1734" s="28" t="s">
        <v>9639</v>
      </c>
      <c r="P1734" s="28" t="s">
        <v>10090</v>
      </c>
    </row>
    <row r="1735" spans="1:16" x14ac:dyDescent="0.25">
      <c r="A1735" s="28" t="s">
        <v>10091</v>
      </c>
      <c r="B1735" s="28" t="s">
        <v>10092</v>
      </c>
      <c r="C1735" s="28" t="s">
        <v>132</v>
      </c>
      <c r="D1735" s="28" t="s">
        <v>391</v>
      </c>
      <c r="E1735" s="28" t="s">
        <v>758</v>
      </c>
      <c r="F1735" s="28" t="s">
        <v>21</v>
      </c>
      <c r="G1735" s="28" t="s">
        <v>149</v>
      </c>
      <c r="H1735" s="28" t="s">
        <v>9633</v>
      </c>
      <c r="I1735" s="28" t="s">
        <v>10093</v>
      </c>
      <c r="J1735" s="28" t="s">
        <v>149</v>
      </c>
      <c r="K1735" s="28" t="s">
        <v>9722</v>
      </c>
      <c r="L1735" s="28" t="s">
        <v>9636</v>
      </c>
      <c r="M1735" s="28" t="s">
        <v>10094</v>
      </c>
      <c r="N1735" s="28" t="s">
        <v>9638</v>
      </c>
      <c r="O1735" s="28" t="s">
        <v>9639</v>
      </c>
      <c r="P1735" s="28" t="s">
        <v>10095</v>
      </c>
    </row>
    <row r="1736" spans="1:16" x14ac:dyDescent="0.25">
      <c r="A1736" s="28" t="s">
        <v>10096</v>
      </c>
      <c r="B1736" s="28" t="s">
        <v>10097</v>
      </c>
      <c r="C1736" s="28" t="s">
        <v>132</v>
      </c>
      <c r="D1736" s="28" t="s">
        <v>391</v>
      </c>
      <c r="E1736" s="28" t="s">
        <v>762</v>
      </c>
      <c r="F1736" s="28" t="s">
        <v>21</v>
      </c>
      <c r="G1736" s="28" t="s">
        <v>149</v>
      </c>
      <c r="H1736" s="28" t="s">
        <v>9633</v>
      </c>
      <c r="I1736" s="28" t="s">
        <v>10098</v>
      </c>
      <c r="J1736" s="28" t="s">
        <v>149</v>
      </c>
      <c r="K1736" s="28" t="s">
        <v>9722</v>
      </c>
      <c r="L1736" s="28" t="s">
        <v>9636</v>
      </c>
      <c r="M1736" s="28" t="s">
        <v>10099</v>
      </c>
      <c r="N1736" s="28" t="s">
        <v>9638</v>
      </c>
      <c r="O1736" s="28" t="s">
        <v>9639</v>
      </c>
      <c r="P1736" s="28" t="s">
        <v>10100</v>
      </c>
    </row>
    <row r="1737" spans="1:16" x14ac:dyDescent="0.25">
      <c r="A1737" s="28" t="s">
        <v>10101</v>
      </c>
      <c r="B1737" s="28" t="s">
        <v>10102</v>
      </c>
      <c r="C1737" s="28" t="s">
        <v>132</v>
      </c>
      <c r="D1737" s="28" t="s">
        <v>391</v>
      </c>
      <c r="E1737" s="28" t="s">
        <v>766</v>
      </c>
      <c r="F1737" s="28" t="s">
        <v>21</v>
      </c>
      <c r="G1737" s="28" t="s">
        <v>149</v>
      </c>
      <c r="H1737" s="28" t="s">
        <v>9633</v>
      </c>
      <c r="I1737" s="28" t="s">
        <v>10103</v>
      </c>
      <c r="J1737" s="28" t="s">
        <v>149</v>
      </c>
      <c r="K1737" s="28" t="s">
        <v>9722</v>
      </c>
      <c r="L1737" s="28" t="s">
        <v>9636</v>
      </c>
      <c r="M1737" s="28" t="s">
        <v>10104</v>
      </c>
      <c r="N1737" s="28" t="s">
        <v>9638</v>
      </c>
      <c r="O1737" s="28" t="s">
        <v>9639</v>
      </c>
      <c r="P1737" s="28" t="s">
        <v>10105</v>
      </c>
    </row>
    <row r="1738" spans="1:16" x14ac:dyDescent="0.25">
      <c r="A1738" s="28" t="s">
        <v>10106</v>
      </c>
      <c r="B1738" s="28" t="s">
        <v>10107</v>
      </c>
      <c r="C1738" s="28" t="s">
        <v>132</v>
      </c>
      <c r="D1738" s="28" t="s">
        <v>391</v>
      </c>
      <c r="E1738" s="28" t="s">
        <v>770</v>
      </c>
      <c r="F1738" s="28" t="s">
        <v>21</v>
      </c>
      <c r="G1738" s="28" t="s">
        <v>149</v>
      </c>
      <c r="H1738" s="28" t="s">
        <v>9633</v>
      </c>
      <c r="I1738" s="28" t="s">
        <v>10108</v>
      </c>
      <c r="J1738" s="28" t="s">
        <v>149</v>
      </c>
      <c r="K1738" s="28" t="s">
        <v>9722</v>
      </c>
      <c r="L1738" s="28" t="s">
        <v>9636</v>
      </c>
      <c r="M1738" s="28" t="s">
        <v>10109</v>
      </c>
      <c r="N1738" s="28" t="s">
        <v>9638</v>
      </c>
      <c r="O1738" s="28" t="s">
        <v>9639</v>
      </c>
      <c r="P1738" s="28" t="s">
        <v>10110</v>
      </c>
    </row>
    <row r="1739" spans="1:16" x14ac:dyDescent="0.25">
      <c r="A1739" s="28" t="s">
        <v>10111</v>
      </c>
      <c r="B1739" s="28" t="s">
        <v>10112</v>
      </c>
      <c r="C1739" s="28" t="s">
        <v>132</v>
      </c>
      <c r="D1739" s="28" t="s">
        <v>391</v>
      </c>
      <c r="E1739" s="28" t="s">
        <v>776</v>
      </c>
      <c r="F1739" s="28" t="s">
        <v>21</v>
      </c>
      <c r="G1739" s="28" t="s">
        <v>149</v>
      </c>
      <c r="H1739" s="28" t="s">
        <v>9633</v>
      </c>
      <c r="I1739" s="28" t="s">
        <v>10113</v>
      </c>
      <c r="J1739" s="28" t="s">
        <v>149</v>
      </c>
      <c r="K1739" s="28" t="s">
        <v>9722</v>
      </c>
      <c r="L1739" s="28" t="s">
        <v>9636</v>
      </c>
      <c r="M1739" s="28" t="s">
        <v>10114</v>
      </c>
      <c r="N1739" s="28" t="s">
        <v>9638</v>
      </c>
      <c r="O1739" s="28" t="s">
        <v>9639</v>
      </c>
      <c r="P1739" s="28" t="s">
        <v>10115</v>
      </c>
    </row>
    <row r="1740" spans="1:16" x14ac:dyDescent="0.25">
      <c r="A1740" s="28" t="s">
        <v>10116</v>
      </c>
      <c r="B1740" s="28" t="s">
        <v>10117</v>
      </c>
      <c r="C1740" s="28" t="s">
        <v>132</v>
      </c>
      <c r="D1740" s="28" t="s">
        <v>391</v>
      </c>
      <c r="E1740" s="28" t="s">
        <v>780</v>
      </c>
      <c r="F1740" s="28" t="s">
        <v>21</v>
      </c>
      <c r="G1740" s="28" t="s">
        <v>149</v>
      </c>
      <c r="H1740" s="28" t="s">
        <v>9633</v>
      </c>
      <c r="I1740" s="28" t="s">
        <v>10118</v>
      </c>
      <c r="J1740" s="28" t="s">
        <v>149</v>
      </c>
      <c r="K1740" s="28" t="s">
        <v>9722</v>
      </c>
      <c r="L1740" s="28" t="s">
        <v>9636</v>
      </c>
      <c r="M1740" s="28" t="s">
        <v>10119</v>
      </c>
      <c r="N1740" s="28" t="s">
        <v>9638</v>
      </c>
      <c r="O1740" s="28" t="s">
        <v>9639</v>
      </c>
      <c r="P1740" s="28" t="s">
        <v>10120</v>
      </c>
    </row>
    <row r="1741" spans="1:16" x14ac:dyDescent="0.25">
      <c r="A1741" s="28" t="s">
        <v>10121</v>
      </c>
      <c r="B1741" s="28" t="s">
        <v>10122</v>
      </c>
      <c r="C1741" s="28" t="s">
        <v>132</v>
      </c>
      <c r="D1741" s="28" t="s">
        <v>4848</v>
      </c>
      <c r="E1741" s="28" t="s">
        <v>10123</v>
      </c>
      <c r="F1741" s="28" t="s">
        <v>21</v>
      </c>
      <c r="G1741" s="28" t="s">
        <v>135</v>
      </c>
      <c r="H1741" s="28" t="s">
        <v>9633</v>
      </c>
      <c r="I1741" s="28" t="s">
        <v>10124</v>
      </c>
      <c r="J1741" s="28" t="s">
        <v>135</v>
      </c>
      <c r="K1741" s="28" t="s">
        <v>10125</v>
      </c>
      <c r="L1741" s="28" t="s">
        <v>9636</v>
      </c>
      <c r="M1741" s="28" t="s">
        <v>10126</v>
      </c>
      <c r="N1741" s="28" t="s">
        <v>9638</v>
      </c>
      <c r="O1741" s="28" t="s">
        <v>9639</v>
      </c>
      <c r="P1741" s="28" t="s">
        <v>10127</v>
      </c>
    </row>
    <row r="1742" spans="1:16" x14ac:dyDescent="0.25">
      <c r="A1742" s="28" t="s">
        <v>10128</v>
      </c>
      <c r="B1742" s="28" t="s">
        <v>10129</v>
      </c>
      <c r="C1742" s="28" t="s">
        <v>132</v>
      </c>
      <c r="D1742" s="28" t="s">
        <v>4848</v>
      </c>
      <c r="E1742" s="28" t="s">
        <v>10123</v>
      </c>
      <c r="F1742" s="28" t="s">
        <v>21</v>
      </c>
      <c r="G1742" s="28" t="s">
        <v>135</v>
      </c>
      <c r="H1742" s="28" t="s">
        <v>9633</v>
      </c>
      <c r="I1742" s="28" t="s">
        <v>10130</v>
      </c>
      <c r="J1742" s="28" t="s">
        <v>135</v>
      </c>
      <c r="K1742" s="28" t="s">
        <v>10125</v>
      </c>
      <c r="L1742" s="28" t="s">
        <v>9636</v>
      </c>
      <c r="M1742" s="28" t="s">
        <v>10126</v>
      </c>
      <c r="N1742" s="28" t="s">
        <v>9638</v>
      </c>
      <c r="O1742" s="28" t="s">
        <v>9639</v>
      </c>
      <c r="P1742" s="28" t="s">
        <v>10131</v>
      </c>
    </row>
    <row r="1743" spans="1:16" x14ac:dyDescent="0.25">
      <c r="A1743" s="28" t="s">
        <v>10132</v>
      </c>
      <c r="B1743" s="28" t="s">
        <v>10133</v>
      </c>
      <c r="C1743" s="28" t="s">
        <v>132</v>
      </c>
      <c r="D1743" s="28" t="s">
        <v>4848</v>
      </c>
      <c r="E1743" s="28" t="s">
        <v>10123</v>
      </c>
      <c r="F1743" s="28" t="s">
        <v>21</v>
      </c>
      <c r="G1743" s="28" t="s">
        <v>135</v>
      </c>
      <c r="H1743" s="28" t="s">
        <v>9633</v>
      </c>
      <c r="I1743" s="28" t="s">
        <v>10134</v>
      </c>
      <c r="J1743" s="28" t="s">
        <v>135</v>
      </c>
      <c r="K1743" s="28" t="s">
        <v>10125</v>
      </c>
      <c r="L1743" s="28" t="s">
        <v>9636</v>
      </c>
      <c r="M1743" s="28" t="s">
        <v>10126</v>
      </c>
      <c r="N1743" s="28" t="s">
        <v>9638</v>
      </c>
      <c r="O1743" s="28" t="s">
        <v>9639</v>
      </c>
      <c r="P1743" s="28" t="s">
        <v>10135</v>
      </c>
    </row>
    <row r="1744" spans="1:16" x14ac:dyDescent="0.25">
      <c r="A1744" s="28" t="s">
        <v>10136</v>
      </c>
      <c r="B1744" s="28" t="s">
        <v>10137</v>
      </c>
      <c r="C1744" s="28" t="s">
        <v>132</v>
      </c>
      <c r="D1744" s="28" t="s">
        <v>1452</v>
      </c>
      <c r="E1744" s="28" t="s">
        <v>1453</v>
      </c>
      <c r="F1744" s="28" t="s">
        <v>21</v>
      </c>
      <c r="G1744" s="28" t="s">
        <v>149</v>
      </c>
      <c r="H1744" s="28" t="s">
        <v>9633</v>
      </c>
      <c r="I1744" s="28" t="s">
        <v>10138</v>
      </c>
      <c r="J1744" s="28" t="s">
        <v>149</v>
      </c>
      <c r="K1744" s="28" t="s">
        <v>9722</v>
      </c>
      <c r="L1744" s="28" t="s">
        <v>9636</v>
      </c>
      <c r="M1744" s="28" t="s">
        <v>10139</v>
      </c>
      <c r="N1744" s="28" t="s">
        <v>9638</v>
      </c>
      <c r="O1744" s="28" t="s">
        <v>9639</v>
      </c>
      <c r="P1744" s="28" t="s">
        <v>10140</v>
      </c>
    </row>
    <row r="1745" spans="1:16" x14ac:dyDescent="0.25">
      <c r="A1745" s="28" t="s">
        <v>10141</v>
      </c>
      <c r="B1745" s="28" t="s">
        <v>10142</v>
      </c>
      <c r="C1745" s="28" t="s">
        <v>132</v>
      </c>
      <c r="D1745" s="28" t="s">
        <v>2117</v>
      </c>
      <c r="E1745" s="28" t="s">
        <v>10143</v>
      </c>
      <c r="F1745" s="28" t="s">
        <v>21</v>
      </c>
      <c r="G1745" s="28" t="s">
        <v>135</v>
      </c>
      <c r="H1745" s="28" t="s">
        <v>9633</v>
      </c>
      <c r="I1745" s="28" t="s">
        <v>10144</v>
      </c>
      <c r="J1745" s="28" t="s">
        <v>135</v>
      </c>
      <c r="K1745" s="28" t="s">
        <v>10125</v>
      </c>
      <c r="L1745" s="28" t="s">
        <v>9636</v>
      </c>
      <c r="M1745" s="28" t="s">
        <v>10145</v>
      </c>
      <c r="N1745" s="28" t="s">
        <v>9638</v>
      </c>
      <c r="O1745" s="28" t="s">
        <v>9639</v>
      </c>
      <c r="P1745" s="28" t="s">
        <v>10146</v>
      </c>
    </row>
    <row r="1746" spans="1:16" x14ac:dyDescent="0.25">
      <c r="A1746" s="28" t="s">
        <v>10147</v>
      </c>
      <c r="B1746" s="28" t="s">
        <v>10148</v>
      </c>
      <c r="C1746" s="28" t="s">
        <v>132</v>
      </c>
      <c r="D1746" s="28" t="s">
        <v>2117</v>
      </c>
      <c r="E1746" s="28" t="s">
        <v>10143</v>
      </c>
      <c r="F1746" s="28" t="s">
        <v>21</v>
      </c>
      <c r="G1746" s="28" t="s">
        <v>135</v>
      </c>
      <c r="H1746" s="28" t="s">
        <v>9633</v>
      </c>
      <c r="I1746" s="28" t="s">
        <v>10149</v>
      </c>
      <c r="J1746" s="28" t="s">
        <v>135</v>
      </c>
      <c r="K1746" s="28" t="s">
        <v>10125</v>
      </c>
      <c r="L1746" s="28" t="s">
        <v>9636</v>
      </c>
      <c r="M1746" s="28" t="s">
        <v>10145</v>
      </c>
      <c r="N1746" s="28" t="s">
        <v>9638</v>
      </c>
      <c r="O1746" s="28" t="s">
        <v>9639</v>
      </c>
      <c r="P1746" s="28" t="s">
        <v>10150</v>
      </c>
    </row>
    <row r="1747" spans="1:16" x14ac:dyDescent="0.25">
      <c r="A1747" s="28" t="s">
        <v>10151</v>
      </c>
      <c r="B1747" s="28" t="s">
        <v>10152</v>
      </c>
      <c r="C1747" s="28" t="s">
        <v>132</v>
      </c>
      <c r="D1747" s="28" t="s">
        <v>2117</v>
      </c>
      <c r="E1747" s="28" t="s">
        <v>10143</v>
      </c>
      <c r="F1747" s="28" t="s">
        <v>21</v>
      </c>
      <c r="G1747" s="28" t="s">
        <v>135</v>
      </c>
      <c r="H1747" s="28" t="s">
        <v>9633</v>
      </c>
      <c r="I1747" s="28" t="s">
        <v>10153</v>
      </c>
      <c r="J1747" s="28" t="s">
        <v>135</v>
      </c>
      <c r="K1747" s="28" t="s">
        <v>10125</v>
      </c>
      <c r="L1747" s="28" t="s">
        <v>9636</v>
      </c>
      <c r="M1747" s="28" t="s">
        <v>10145</v>
      </c>
      <c r="N1747" s="28" t="s">
        <v>9638</v>
      </c>
      <c r="O1747" s="28" t="s">
        <v>9639</v>
      </c>
      <c r="P1747" s="28" t="s">
        <v>10154</v>
      </c>
    </row>
    <row r="1748" spans="1:16" x14ac:dyDescent="0.25">
      <c r="A1748" s="28" t="s">
        <v>10155</v>
      </c>
      <c r="B1748" s="28" t="s">
        <v>10156</v>
      </c>
      <c r="C1748" s="28" t="s">
        <v>132</v>
      </c>
      <c r="D1748" s="28" t="s">
        <v>2117</v>
      </c>
      <c r="E1748" s="28" t="s">
        <v>10157</v>
      </c>
      <c r="F1748" s="28" t="s">
        <v>21</v>
      </c>
      <c r="G1748" s="28" t="s">
        <v>135</v>
      </c>
      <c r="H1748" s="28" t="s">
        <v>9633</v>
      </c>
      <c r="I1748" s="28" t="s">
        <v>10158</v>
      </c>
      <c r="J1748" s="28" t="s">
        <v>135</v>
      </c>
      <c r="K1748" s="28" t="s">
        <v>10125</v>
      </c>
      <c r="L1748" s="28" t="s">
        <v>9636</v>
      </c>
      <c r="M1748" s="28" t="s">
        <v>10159</v>
      </c>
      <c r="N1748" s="28" t="s">
        <v>9638</v>
      </c>
      <c r="O1748" s="28" t="s">
        <v>9639</v>
      </c>
      <c r="P1748" s="28" t="s">
        <v>10160</v>
      </c>
    </row>
    <row r="1749" spans="1:16" x14ac:dyDescent="0.25">
      <c r="A1749" s="28" t="s">
        <v>10161</v>
      </c>
      <c r="B1749" s="28" t="s">
        <v>10162</v>
      </c>
      <c r="C1749" s="28" t="s">
        <v>132</v>
      </c>
      <c r="D1749" s="28" t="s">
        <v>1469</v>
      </c>
      <c r="E1749" s="28" t="s">
        <v>1470</v>
      </c>
      <c r="F1749" s="28" t="s">
        <v>21</v>
      </c>
      <c r="G1749" s="28" t="s">
        <v>39</v>
      </c>
      <c r="H1749" s="28" t="s">
        <v>9711</v>
      </c>
      <c r="I1749" s="28" t="s">
        <v>10163</v>
      </c>
      <c r="J1749" s="28" t="s">
        <v>39</v>
      </c>
      <c r="K1749" s="28" t="s">
        <v>10164</v>
      </c>
      <c r="L1749" s="28" t="s">
        <v>9714</v>
      </c>
      <c r="M1749" s="28" t="s">
        <v>10165</v>
      </c>
      <c r="N1749" s="28" t="s">
        <v>9716</v>
      </c>
      <c r="O1749" s="28" t="s">
        <v>9717</v>
      </c>
      <c r="P1749" s="28" t="s">
        <v>10166</v>
      </c>
    </row>
    <row r="1750" spans="1:16" x14ac:dyDescent="0.25">
      <c r="A1750" s="28" t="s">
        <v>10167</v>
      </c>
      <c r="B1750" s="28" t="s">
        <v>10168</v>
      </c>
      <c r="C1750" s="28" t="s">
        <v>132</v>
      </c>
      <c r="D1750" s="28" t="s">
        <v>784</v>
      </c>
      <c r="E1750" s="28" t="s">
        <v>10169</v>
      </c>
      <c r="F1750" s="28" t="s">
        <v>21</v>
      </c>
      <c r="G1750" s="28" t="s">
        <v>135</v>
      </c>
      <c r="H1750" s="28" t="s">
        <v>9633</v>
      </c>
      <c r="I1750" s="28" t="s">
        <v>10170</v>
      </c>
      <c r="J1750" s="28" t="s">
        <v>135</v>
      </c>
      <c r="K1750" s="28" t="s">
        <v>10125</v>
      </c>
      <c r="L1750" s="28" t="s">
        <v>9636</v>
      </c>
      <c r="M1750" s="28" t="s">
        <v>10171</v>
      </c>
      <c r="N1750" s="28" t="s">
        <v>9638</v>
      </c>
      <c r="O1750" s="28" t="s">
        <v>9639</v>
      </c>
      <c r="P1750" s="28" t="s">
        <v>10172</v>
      </c>
    </row>
    <row r="1751" spans="1:16" x14ac:dyDescent="0.25">
      <c r="A1751" s="28" t="s">
        <v>10173</v>
      </c>
      <c r="B1751" s="28" t="s">
        <v>10174</v>
      </c>
      <c r="C1751" s="28" t="s">
        <v>132</v>
      </c>
      <c r="D1751" s="28" t="s">
        <v>784</v>
      </c>
      <c r="E1751" s="28" t="s">
        <v>10175</v>
      </c>
      <c r="F1751" s="28" t="s">
        <v>21</v>
      </c>
      <c r="G1751" s="28" t="s">
        <v>149</v>
      </c>
      <c r="H1751" s="28" t="s">
        <v>9633</v>
      </c>
      <c r="I1751" s="28" t="s">
        <v>10176</v>
      </c>
      <c r="J1751" s="28" t="s">
        <v>149</v>
      </c>
      <c r="K1751" s="28" t="s">
        <v>9722</v>
      </c>
      <c r="L1751" s="28" t="s">
        <v>9636</v>
      </c>
      <c r="M1751" s="28" t="s">
        <v>10177</v>
      </c>
      <c r="N1751" s="28" t="s">
        <v>9638</v>
      </c>
      <c r="O1751" s="28" t="s">
        <v>9639</v>
      </c>
      <c r="P1751" s="28" t="s">
        <v>10178</v>
      </c>
    </row>
    <row r="1752" spans="1:16" x14ac:dyDescent="0.25">
      <c r="A1752" s="28" t="s">
        <v>10179</v>
      </c>
      <c r="B1752" s="28" t="s">
        <v>10180</v>
      </c>
      <c r="C1752" s="28" t="s">
        <v>132</v>
      </c>
      <c r="D1752" s="28" t="s">
        <v>784</v>
      </c>
      <c r="E1752" s="28" t="s">
        <v>821</v>
      </c>
      <c r="F1752" s="28" t="s">
        <v>21</v>
      </c>
      <c r="G1752" s="28" t="s">
        <v>135</v>
      </c>
      <c r="H1752" s="28" t="s">
        <v>9711</v>
      </c>
      <c r="I1752" s="28" t="s">
        <v>10181</v>
      </c>
      <c r="J1752" s="28" t="s">
        <v>135</v>
      </c>
      <c r="K1752" s="28" t="s">
        <v>9713</v>
      </c>
      <c r="L1752" s="28" t="s">
        <v>9714</v>
      </c>
      <c r="M1752" s="28" t="s">
        <v>10182</v>
      </c>
      <c r="N1752" s="28" t="s">
        <v>9716</v>
      </c>
      <c r="O1752" s="28" t="s">
        <v>9717</v>
      </c>
      <c r="P1752" s="28" t="s">
        <v>10183</v>
      </c>
    </row>
    <row r="1753" spans="1:16" x14ac:dyDescent="0.25">
      <c r="A1753" s="28" t="s">
        <v>10184</v>
      </c>
      <c r="B1753" s="28" t="s">
        <v>10185</v>
      </c>
      <c r="C1753" s="28" t="s">
        <v>132</v>
      </c>
      <c r="D1753" s="28" t="s">
        <v>784</v>
      </c>
      <c r="E1753" s="28" t="s">
        <v>829</v>
      </c>
      <c r="F1753" s="28" t="s">
        <v>21</v>
      </c>
      <c r="G1753" s="28" t="s">
        <v>149</v>
      </c>
      <c r="H1753" s="28" t="s">
        <v>9633</v>
      </c>
      <c r="I1753" s="28" t="s">
        <v>10186</v>
      </c>
      <c r="J1753" s="28" t="s">
        <v>149</v>
      </c>
      <c r="K1753" s="28" t="s">
        <v>9722</v>
      </c>
      <c r="L1753" s="28" t="s">
        <v>9636</v>
      </c>
      <c r="M1753" s="28" t="s">
        <v>10187</v>
      </c>
      <c r="N1753" s="28" t="s">
        <v>9638</v>
      </c>
      <c r="O1753" s="28" t="s">
        <v>9639</v>
      </c>
      <c r="P1753" s="28" t="s">
        <v>10188</v>
      </c>
    </row>
    <row r="1754" spans="1:16" x14ac:dyDescent="0.25">
      <c r="A1754" s="28" t="s">
        <v>10189</v>
      </c>
      <c r="B1754" s="28" t="s">
        <v>10190</v>
      </c>
      <c r="C1754" s="28" t="s">
        <v>132</v>
      </c>
      <c r="D1754" s="28" t="s">
        <v>784</v>
      </c>
      <c r="E1754" s="28" t="s">
        <v>834</v>
      </c>
      <c r="F1754" s="28" t="s">
        <v>21</v>
      </c>
      <c r="G1754" s="28" t="s">
        <v>149</v>
      </c>
      <c r="H1754" s="28" t="s">
        <v>9633</v>
      </c>
      <c r="I1754" s="28" t="s">
        <v>10191</v>
      </c>
      <c r="J1754" s="28" t="s">
        <v>149</v>
      </c>
      <c r="K1754" s="28" t="s">
        <v>9722</v>
      </c>
      <c r="L1754" s="28" t="s">
        <v>9636</v>
      </c>
      <c r="M1754" s="28" t="s">
        <v>10192</v>
      </c>
      <c r="N1754" s="28" t="s">
        <v>9638</v>
      </c>
      <c r="O1754" s="28" t="s">
        <v>9639</v>
      </c>
      <c r="P1754" s="28" t="s">
        <v>10193</v>
      </c>
    </row>
    <row r="1755" spans="1:16" x14ac:dyDescent="0.25">
      <c r="A1755" s="28" t="s">
        <v>10194</v>
      </c>
      <c r="B1755" s="28" t="s">
        <v>10195</v>
      </c>
      <c r="C1755" s="28" t="s">
        <v>132</v>
      </c>
      <c r="D1755" s="28" t="s">
        <v>784</v>
      </c>
      <c r="E1755" s="28" t="s">
        <v>838</v>
      </c>
      <c r="F1755" s="28" t="s">
        <v>21</v>
      </c>
      <c r="G1755" s="28" t="s">
        <v>149</v>
      </c>
      <c r="H1755" s="28" t="s">
        <v>9633</v>
      </c>
      <c r="I1755" s="28" t="s">
        <v>10196</v>
      </c>
      <c r="J1755" s="28" t="s">
        <v>149</v>
      </c>
      <c r="K1755" s="28" t="s">
        <v>9722</v>
      </c>
      <c r="L1755" s="28" t="s">
        <v>9636</v>
      </c>
      <c r="M1755" s="28" t="s">
        <v>10197</v>
      </c>
      <c r="N1755" s="28" t="s">
        <v>9638</v>
      </c>
      <c r="O1755" s="28" t="s">
        <v>9639</v>
      </c>
      <c r="P1755" s="28" t="s">
        <v>10198</v>
      </c>
    </row>
    <row r="1756" spans="1:16" x14ac:dyDescent="0.25">
      <c r="A1756" s="28" t="s">
        <v>10199</v>
      </c>
      <c r="B1756" s="28" t="s">
        <v>10200</v>
      </c>
      <c r="C1756" s="28" t="s">
        <v>132</v>
      </c>
      <c r="D1756" s="28" t="s">
        <v>784</v>
      </c>
      <c r="E1756" s="28" t="s">
        <v>842</v>
      </c>
      <c r="F1756" s="28" t="s">
        <v>21</v>
      </c>
      <c r="G1756" s="28" t="s">
        <v>149</v>
      </c>
      <c r="H1756" s="28" t="s">
        <v>9633</v>
      </c>
      <c r="I1756" s="28" t="s">
        <v>10201</v>
      </c>
      <c r="J1756" s="28" t="s">
        <v>149</v>
      </c>
      <c r="K1756" s="28" t="s">
        <v>9722</v>
      </c>
      <c r="L1756" s="28" t="s">
        <v>9636</v>
      </c>
      <c r="M1756" s="28" t="s">
        <v>10202</v>
      </c>
      <c r="N1756" s="28" t="s">
        <v>9638</v>
      </c>
      <c r="O1756" s="28" t="s">
        <v>9639</v>
      </c>
      <c r="P1756" s="28" t="s">
        <v>10203</v>
      </c>
    </row>
    <row r="1757" spans="1:16" x14ac:dyDescent="0.25">
      <c r="A1757" s="28" t="s">
        <v>10204</v>
      </c>
      <c r="B1757" s="28" t="s">
        <v>10205</v>
      </c>
      <c r="C1757" s="28" t="s">
        <v>132</v>
      </c>
      <c r="D1757" s="28" t="s">
        <v>784</v>
      </c>
      <c r="E1757" s="28" t="s">
        <v>846</v>
      </c>
      <c r="F1757" s="28" t="s">
        <v>21</v>
      </c>
      <c r="G1757" s="28" t="s">
        <v>149</v>
      </c>
      <c r="H1757" s="28" t="s">
        <v>9633</v>
      </c>
      <c r="I1757" s="28" t="s">
        <v>10206</v>
      </c>
      <c r="J1757" s="28" t="s">
        <v>149</v>
      </c>
      <c r="K1757" s="28" t="s">
        <v>9722</v>
      </c>
      <c r="L1757" s="28" t="s">
        <v>9636</v>
      </c>
      <c r="M1757" s="28" t="s">
        <v>10207</v>
      </c>
      <c r="N1757" s="28" t="s">
        <v>9638</v>
      </c>
      <c r="O1757" s="28" t="s">
        <v>9639</v>
      </c>
      <c r="P1757" s="28" t="s">
        <v>10208</v>
      </c>
    </row>
    <row r="1758" spans="1:16" x14ac:dyDescent="0.25">
      <c r="A1758" s="28" t="s">
        <v>10209</v>
      </c>
      <c r="B1758" s="28" t="s">
        <v>10210</v>
      </c>
      <c r="C1758" s="28" t="s">
        <v>132</v>
      </c>
      <c r="D1758" s="28" t="s">
        <v>784</v>
      </c>
      <c r="E1758" s="28" t="s">
        <v>850</v>
      </c>
      <c r="F1758" s="28" t="s">
        <v>21</v>
      </c>
      <c r="G1758" s="28" t="s">
        <v>149</v>
      </c>
      <c r="H1758" s="28" t="s">
        <v>9633</v>
      </c>
      <c r="I1758" s="28" t="s">
        <v>10211</v>
      </c>
      <c r="J1758" s="28" t="s">
        <v>149</v>
      </c>
      <c r="K1758" s="28" t="s">
        <v>9722</v>
      </c>
      <c r="L1758" s="28" t="s">
        <v>9636</v>
      </c>
      <c r="M1758" s="28" t="s">
        <v>10212</v>
      </c>
      <c r="N1758" s="28" t="s">
        <v>9638</v>
      </c>
      <c r="O1758" s="28" t="s">
        <v>9639</v>
      </c>
      <c r="P1758" s="28" t="s">
        <v>10213</v>
      </c>
    </row>
    <row r="1759" spans="1:16" x14ac:dyDescent="0.25">
      <c r="A1759" s="28" t="s">
        <v>10214</v>
      </c>
      <c r="B1759" s="28" t="s">
        <v>10215</v>
      </c>
      <c r="C1759" s="28" t="s">
        <v>132</v>
      </c>
      <c r="D1759" s="28" t="s">
        <v>784</v>
      </c>
      <c r="E1759" s="28" t="s">
        <v>854</v>
      </c>
      <c r="F1759" s="28" t="s">
        <v>21</v>
      </c>
      <c r="G1759" s="28" t="s">
        <v>149</v>
      </c>
      <c r="H1759" s="28" t="s">
        <v>9633</v>
      </c>
      <c r="I1759" s="28" t="s">
        <v>10216</v>
      </c>
      <c r="J1759" s="28" t="s">
        <v>149</v>
      </c>
      <c r="K1759" s="28" t="s">
        <v>9722</v>
      </c>
      <c r="L1759" s="28" t="s">
        <v>9636</v>
      </c>
      <c r="M1759" s="28" t="s">
        <v>10217</v>
      </c>
      <c r="N1759" s="28" t="s">
        <v>9638</v>
      </c>
      <c r="O1759" s="28" t="s">
        <v>9639</v>
      </c>
      <c r="P1759" s="28" t="s">
        <v>10218</v>
      </c>
    </row>
    <row r="1760" spans="1:16" x14ac:dyDescent="0.25">
      <c r="A1760" s="28" t="s">
        <v>10219</v>
      </c>
      <c r="B1760" s="28" t="s">
        <v>10220</v>
      </c>
      <c r="C1760" s="28" t="s">
        <v>132</v>
      </c>
      <c r="D1760" s="28" t="s">
        <v>784</v>
      </c>
      <c r="E1760" s="28" t="s">
        <v>858</v>
      </c>
      <c r="F1760" s="28" t="s">
        <v>21</v>
      </c>
      <c r="G1760" s="28" t="s">
        <v>149</v>
      </c>
      <c r="H1760" s="28" t="s">
        <v>9633</v>
      </c>
      <c r="I1760" s="28" t="s">
        <v>10221</v>
      </c>
      <c r="J1760" s="28" t="s">
        <v>149</v>
      </c>
      <c r="K1760" s="28" t="s">
        <v>9722</v>
      </c>
      <c r="L1760" s="28" t="s">
        <v>9636</v>
      </c>
      <c r="M1760" s="28" t="s">
        <v>10222</v>
      </c>
      <c r="N1760" s="28" t="s">
        <v>9638</v>
      </c>
      <c r="O1760" s="28" t="s">
        <v>9639</v>
      </c>
      <c r="P1760" s="28" t="s">
        <v>10223</v>
      </c>
    </row>
    <row r="1761" spans="1:16" x14ac:dyDescent="0.25">
      <c r="A1761" s="28" t="s">
        <v>10224</v>
      </c>
      <c r="B1761" s="28" t="s">
        <v>10225</v>
      </c>
      <c r="C1761" s="28" t="s">
        <v>132</v>
      </c>
      <c r="D1761" s="28" t="s">
        <v>784</v>
      </c>
      <c r="E1761" s="28" t="s">
        <v>862</v>
      </c>
      <c r="F1761" s="28" t="s">
        <v>21</v>
      </c>
      <c r="G1761" s="28" t="s">
        <v>149</v>
      </c>
      <c r="H1761" s="28" t="s">
        <v>9633</v>
      </c>
      <c r="I1761" s="28" t="s">
        <v>10226</v>
      </c>
      <c r="J1761" s="28" t="s">
        <v>149</v>
      </c>
      <c r="K1761" s="28" t="s">
        <v>9722</v>
      </c>
      <c r="L1761" s="28" t="s">
        <v>9636</v>
      </c>
      <c r="M1761" s="28" t="s">
        <v>10227</v>
      </c>
      <c r="N1761" s="28" t="s">
        <v>9638</v>
      </c>
      <c r="O1761" s="28" t="s">
        <v>9639</v>
      </c>
      <c r="P1761" s="28" t="s">
        <v>10228</v>
      </c>
    </row>
    <row r="1762" spans="1:16" x14ac:dyDescent="0.25">
      <c r="A1762" s="28" t="s">
        <v>10229</v>
      </c>
      <c r="B1762" s="28" t="s">
        <v>10230</v>
      </c>
      <c r="C1762" s="28" t="s">
        <v>132</v>
      </c>
      <c r="D1762" s="28" t="s">
        <v>784</v>
      </c>
      <c r="E1762" s="28" t="s">
        <v>866</v>
      </c>
      <c r="F1762" s="28" t="s">
        <v>21</v>
      </c>
      <c r="G1762" s="28" t="s">
        <v>149</v>
      </c>
      <c r="H1762" s="28" t="s">
        <v>9633</v>
      </c>
      <c r="I1762" s="28" t="s">
        <v>10231</v>
      </c>
      <c r="J1762" s="28" t="s">
        <v>149</v>
      </c>
      <c r="K1762" s="28" t="s">
        <v>9722</v>
      </c>
      <c r="L1762" s="28" t="s">
        <v>9636</v>
      </c>
      <c r="M1762" s="28" t="s">
        <v>10232</v>
      </c>
      <c r="N1762" s="28" t="s">
        <v>9638</v>
      </c>
      <c r="O1762" s="28" t="s">
        <v>9639</v>
      </c>
      <c r="P1762" s="28" t="s">
        <v>10233</v>
      </c>
    </row>
    <row r="1763" spans="1:16" x14ac:dyDescent="0.25">
      <c r="A1763" s="28" t="s">
        <v>10234</v>
      </c>
      <c r="B1763" s="28" t="s">
        <v>10235</v>
      </c>
      <c r="C1763" s="28" t="s">
        <v>132</v>
      </c>
      <c r="D1763" s="28" t="s">
        <v>1478</v>
      </c>
      <c r="E1763" s="28" t="s">
        <v>5057</v>
      </c>
      <c r="F1763" s="28" t="s">
        <v>21</v>
      </c>
      <c r="G1763" s="28" t="s">
        <v>135</v>
      </c>
      <c r="H1763" s="28" t="s">
        <v>9633</v>
      </c>
      <c r="I1763" s="28" t="s">
        <v>10236</v>
      </c>
      <c r="J1763" s="28" t="s">
        <v>135</v>
      </c>
      <c r="K1763" s="28" t="s">
        <v>10125</v>
      </c>
      <c r="L1763" s="28" t="s">
        <v>9636</v>
      </c>
      <c r="M1763" s="28" t="s">
        <v>10237</v>
      </c>
      <c r="N1763" s="28" t="s">
        <v>9638</v>
      </c>
      <c r="O1763" s="28" t="s">
        <v>9639</v>
      </c>
      <c r="P1763" s="28" t="s">
        <v>10238</v>
      </c>
    </row>
    <row r="1764" spans="1:16" x14ac:dyDescent="0.25">
      <c r="A1764" s="28" t="s">
        <v>10239</v>
      </c>
      <c r="B1764" s="28" t="s">
        <v>10240</v>
      </c>
      <c r="C1764" s="28" t="s">
        <v>132</v>
      </c>
      <c r="D1764" s="28" t="s">
        <v>1478</v>
      </c>
      <c r="E1764" s="28" t="s">
        <v>5057</v>
      </c>
      <c r="F1764" s="28" t="s">
        <v>21</v>
      </c>
      <c r="G1764" s="28" t="s">
        <v>135</v>
      </c>
      <c r="H1764" s="28" t="s">
        <v>9633</v>
      </c>
      <c r="I1764" s="28" t="s">
        <v>10241</v>
      </c>
      <c r="J1764" s="28" t="s">
        <v>135</v>
      </c>
      <c r="K1764" s="28" t="s">
        <v>10125</v>
      </c>
      <c r="L1764" s="28" t="s">
        <v>9636</v>
      </c>
      <c r="M1764" s="28" t="s">
        <v>10237</v>
      </c>
      <c r="N1764" s="28" t="s">
        <v>9638</v>
      </c>
      <c r="O1764" s="28" t="s">
        <v>9639</v>
      </c>
      <c r="P1764" s="28" t="s">
        <v>10242</v>
      </c>
    </row>
    <row r="1765" spans="1:16" x14ac:dyDescent="0.25">
      <c r="A1765" s="28" t="s">
        <v>10243</v>
      </c>
      <c r="B1765" s="28" t="s">
        <v>10244</v>
      </c>
      <c r="C1765" s="28" t="s">
        <v>132</v>
      </c>
      <c r="D1765" s="28" t="s">
        <v>1478</v>
      </c>
      <c r="E1765" s="28" t="s">
        <v>5057</v>
      </c>
      <c r="F1765" s="28" t="s">
        <v>21</v>
      </c>
      <c r="G1765" s="28" t="s">
        <v>135</v>
      </c>
      <c r="H1765" s="28" t="s">
        <v>9633</v>
      </c>
      <c r="I1765" s="28" t="s">
        <v>10245</v>
      </c>
      <c r="J1765" s="28" t="s">
        <v>135</v>
      </c>
      <c r="K1765" s="28" t="s">
        <v>10125</v>
      </c>
      <c r="L1765" s="28" t="s">
        <v>9636</v>
      </c>
      <c r="M1765" s="28" t="s">
        <v>10237</v>
      </c>
      <c r="N1765" s="28" t="s">
        <v>9638</v>
      </c>
      <c r="O1765" s="28" t="s">
        <v>9639</v>
      </c>
      <c r="P1765" s="28" t="s">
        <v>10246</v>
      </c>
    </row>
    <row r="1766" spans="1:16" x14ac:dyDescent="0.25">
      <c r="A1766" s="28" t="s">
        <v>10247</v>
      </c>
      <c r="B1766" s="28" t="s">
        <v>10248</v>
      </c>
      <c r="C1766" s="28" t="s">
        <v>132</v>
      </c>
      <c r="D1766" s="28" t="s">
        <v>1478</v>
      </c>
      <c r="E1766" s="28" t="s">
        <v>1487</v>
      </c>
      <c r="F1766" s="28" t="s">
        <v>21</v>
      </c>
      <c r="G1766" s="28" t="s">
        <v>135</v>
      </c>
      <c r="H1766" s="28" t="s">
        <v>9711</v>
      </c>
      <c r="I1766" s="28" t="s">
        <v>10249</v>
      </c>
      <c r="J1766" s="28" t="s">
        <v>135</v>
      </c>
      <c r="K1766" s="28" t="s">
        <v>9713</v>
      </c>
      <c r="L1766" s="28" t="s">
        <v>9714</v>
      </c>
      <c r="M1766" s="28" t="s">
        <v>10250</v>
      </c>
      <c r="N1766" s="28" t="s">
        <v>9716</v>
      </c>
      <c r="O1766" s="28" t="s">
        <v>9717</v>
      </c>
      <c r="P1766" s="28" t="s">
        <v>10251</v>
      </c>
    </row>
    <row r="1767" spans="1:16" x14ac:dyDescent="0.25">
      <c r="A1767" s="28" t="s">
        <v>10252</v>
      </c>
      <c r="B1767" s="28" t="s">
        <v>10253</v>
      </c>
      <c r="C1767" s="28" t="s">
        <v>132</v>
      </c>
      <c r="D1767" s="28" t="s">
        <v>1478</v>
      </c>
      <c r="E1767" s="28" t="s">
        <v>1479</v>
      </c>
      <c r="F1767" s="28" t="s">
        <v>21</v>
      </c>
      <c r="G1767" s="28" t="s">
        <v>135</v>
      </c>
      <c r="H1767" s="28" t="s">
        <v>9633</v>
      </c>
      <c r="I1767" s="28" t="s">
        <v>10254</v>
      </c>
      <c r="J1767" s="28" t="s">
        <v>135</v>
      </c>
      <c r="K1767" s="28" t="s">
        <v>10125</v>
      </c>
      <c r="L1767" s="28" t="s">
        <v>9636</v>
      </c>
      <c r="M1767" s="28" t="s">
        <v>10255</v>
      </c>
      <c r="N1767" s="28" t="s">
        <v>9638</v>
      </c>
      <c r="O1767" s="28" t="s">
        <v>9639</v>
      </c>
      <c r="P1767" s="28" t="s">
        <v>10256</v>
      </c>
    </row>
    <row r="1768" spans="1:16" x14ac:dyDescent="0.25">
      <c r="A1768" s="28" t="s">
        <v>10257</v>
      </c>
      <c r="B1768" s="28" t="s">
        <v>10258</v>
      </c>
      <c r="C1768" s="28" t="s">
        <v>132</v>
      </c>
      <c r="D1768" s="28" t="s">
        <v>1478</v>
      </c>
      <c r="E1768" s="28" t="s">
        <v>1479</v>
      </c>
      <c r="F1768" s="28" t="s">
        <v>21</v>
      </c>
      <c r="G1768" s="28" t="s">
        <v>39</v>
      </c>
      <c r="H1768" s="28" t="s">
        <v>10259</v>
      </c>
      <c r="I1768" s="28" t="s">
        <v>10260</v>
      </c>
      <c r="J1768" s="28" t="s">
        <v>39</v>
      </c>
      <c r="K1768" s="28" t="s">
        <v>10261</v>
      </c>
      <c r="L1768" s="28" t="s">
        <v>10262</v>
      </c>
      <c r="M1768" s="28" t="s">
        <v>10263</v>
      </c>
      <c r="N1768" s="28" t="s">
        <v>10264</v>
      </c>
      <c r="O1768" s="28" t="s">
        <v>10265</v>
      </c>
      <c r="P1768" s="28" t="s">
        <v>10266</v>
      </c>
    </row>
    <row r="1769" spans="1:16" x14ac:dyDescent="0.25">
      <c r="A1769" s="28" t="s">
        <v>10267</v>
      </c>
      <c r="B1769" s="28" t="s">
        <v>10268</v>
      </c>
      <c r="C1769" s="28" t="s">
        <v>132</v>
      </c>
      <c r="D1769" s="28" t="s">
        <v>1478</v>
      </c>
      <c r="E1769" s="28" t="s">
        <v>1493</v>
      </c>
      <c r="F1769" s="28" t="s">
        <v>21</v>
      </c>
      <c r="G1769" s="28" t="s">
        <v>135</v>
      </c>
      <c r="H1769" s="28" t="s">
        <v>9711</v>
      </c>
      <c r="I1769" s="28" t="s">
        <v>10269</v>
      </c>
      <c r="J1769" s="28" t="s">
        <v>135</v>
      </c>
      <c r="K1769" s="28" t="s">
        <v>9713</v>
      </c>
      <c r="L1769" s="28" t="s">
        <v>9714</v>
      </c>
      <c r="M1769" s="28" t="s">
        <v>10270</v>
      </c>
      <c r="N1769" s="28" t="s">
        <v>9716</v>
      </c>
      <c r="O1769" s="28" t="s">
        <v>9717</v>
      </c>
      <c r="P1769" s="28" t="s">
        <v>10271</v>
      </c>
    </row>
    <row r="1770" spans="1:16" x14ac:dyDescent="0.25">
      <c r="A1770" s="28" t="s">
        <v>10272</v>
      </c>
      <c r="B1770" s="28" t="s">
        <v>10273</v>
      </c>
      <c r="C1770" s="28" t="s">
        <v>132</v>
      </c>
      <c r="D1770" s="28" t="s">
        <v>133</v>
      </c>
      <c r="E1770" s="28" t="s">
        <v>134</v>
      </c>
      <c r="F1770" s="28" t="s">
        <v>21</v>
      </c>
      <c r="G1770" s="28" t="s">
        <v>39</v>
      </c>
      <c r="H1770" s="28" t="s">
        <v>10259</v>
      </c>
      <c r="I1770" s="28" t="s">
        <v>10274</v>
      </c>
      <c r="J1770" s="28" t="s">
        <v>39</v>
      </c>
      <c r="K1770" s="28" t="s">
        <v>10261</v>
      </c>
      <c r="L1770" s="28" t="s">
        <v>10262</v>
      </c>
      <c r="M1770" s="28" t="s">
        <v>10275</v>
      </c>
      <c r="N1770" s="28" t="s">
        <v>10264</v>
      </c>
      <c r="O1770" s="28" t="s">
        <v>10265</v>
      </c>
      <c r="P1770" s="28" t="s">
        <v>10266</v>
      </c>
    </row>
    <row r="1771" spans="1:16" x14ac:dyDescent="0.25">
      <c r="A1771" s="28" t="s">
        <v>10276</v>
      </c>
      <c r="B1771" s="28" t="s">
        <v>10277</v>
      </c>
      <c r="C1771" s="28" t="s">
        <v>132</v>
      </c>
      <c r="D1771" s="28" t="s">
        <v>133</v>
      </c>
      <c r="E1771" s="28" t="s">
        <v>4896</v>
      </c>
      <c r="F1771" s="28" t="s">
        <v>21</v>
      </c>
      <c r="G1771" s="28" t="s">
        <v>135</v>
      </c>
      <c r="H1771" s="28" t="s">
        <v>9633</v>
      </c>
      <c r="I1771" s="28" t="s">
        <v>10278</v>
      </c>
      <c r="J1771" s="28" t="s">
        <v>135</v>
      </c>
      <c r="K1771" s="28" t="s">
        <v>10125</v>
      </c>
      <c r="L1771" s="28" t="s">
        <v>9636</v>
      </c>
      <c r="M1771" s="28" t="s">
        <v>10279</v>
      </c>
      <c r="N1771" s="28" t="s">
        <v>9638</v>
      </c>
      <c r="O1771" s="28" t="s">
        <v>9639</v>
      </c>
      <c r="P1771" s="28" t="s">
        <v>10280</v>
      </c>
    </row>
    <row r="1772" spans="1:16" x14ac:dyDescent="0.25">
      <c r="A1772" s="28" t="s">
        <v>10281</v>
      </c>
      <c r="B1772" s="28" t="s">
        <v>10282</v>
      </c>
      <c r="C1772" s="28" t="s">
        <v>132</v>
      </c>
      <c r="D1772" s="28" t="s">
        <v>133</v>
      </c>
      <c r="E1772" s="28" t="s">
        <v>4896</v>
      </c>
      <c r="F1772" s="28" t="s">
        <v>21</v>
      </c>
      <c r="G1772" s="28" t="s">
        <v>135</v>
      </c>
      <c r="H1772" s="28" t="s">
        <v>9633</v>
      </c>
      <c r="I1772" s="28" t="s">
        <v>10283</v>
      </c>
      <c r="J1772" s="28" t="s">
        <v>135</v>
      </c>
      <c r="K1772" s="28" t="s">
        <v>10125</v>
      </c>
      <c r="L1772" s="28" t="s">
        <v>9636</v>
      </c>
      <c r="M1772" s="28" t="s">
        <v>10279</v>
      </c>
      <c r="N1772" s="28" t="s">
        <v>9638</v>
      </c>
      <c r="O1772" s="28" t="s">
        <v>9639</v>
      </c>
      <c r="P1772" s="28" t="s">
        <v>10284</v>
      </c>
    </row>
    <row r="1773" spans="1:16" x14ac:dyDescent="0.25">
      <c r="A1773" s="28" t="s">
        <v>10285</v>
      </c>
      <c r="B1773" s="28" t="s">
        <v>10286</v>
      </c>
      <c r="C1773" s="28" t="s">
        <v>132</v>
      </c>
      <c r="D1773" s="28" t="s">
        <v>133</v>
      </c>
      <c r="E1773" s="28" t="s">
        <v>4896</v>
      </c>
      <c r="F1773" s="28" t="s">
        <v>21</v>
      </c>
      <c r="G1773" s="28" t="s">
        <v>135</v>
      </c>
      <c r="H1773" s="28" t="s">
        <v>9633</v>
      </c>
      <c r="I1773" s="28" t="s">
        <v>10287</v>
      </c>
      <c r="J1773" s="28" t="s">
        <v>135</v>
      </c>
      <c r="K1773" s="28" t="s">
        <v>10125</v>
      </c>
      <c r="L1773" s="28" t="s">
        <v>9636</v>
      </c>
      <c r="M1773" s="28" t="s">
        <v>10279</v>
      </c>
      <c r="N1773" s="28" t="s">
        <v>9638</v>
      </c>
      <c r="O1773" s="28" t="s">
        <v>9639</v>
      </c>
      <c r="P1773" s="28" t="s">
        <v>10288</v>
      </c>
    </row>
    <row r="1774" spans="1:16" x14ac:dyDescent="0.25">
      <c r="A1774" s="28" t="s">
        <v>10289</v>
      </c>
      <c r="B1774" s="28" t="s">
        <v>10290</v>
      </c>
      <c r="C1774" s="28" t="s">
        <v>132</v>
      </c>
      <c r="D1774" s="28" t="s">
        <v>133</v>
      </c>
      <c r="E1774" s="28" t="s">
        <v>144</v>
      </c>
      <c r="F1774" s="28" t="s">
        <v>21</v>
      </c>
      <c r="G1774" s="28" t="s">
        <v>39</v>
      </c>
      <c r="H1774" s="28" t="s">
        <v>9711</v>
      </c>
      <c r="I1774" s="28" t="s">
        <v>10291</v>
      </c>
      <c r="J1774" s="28" t="s">
        <v>39</v>
      </c>
      <c r="K1774" s="28" t="s">
        <v>10292</v>
      </c>
      <c r="L1774" s="28" t="s">
        <v>9714</v>
      </c>
      <c r="M1774" s="28" t="s">
        <v>10293</v>
      </c>
      <c r="N1774" s="28" t="s">
        <v>9716</v>
      </c>
      <c r="O1774" s="28" t="s">
        <v>9717</v>
      </c>
      <c r="P1774" s="28" t="s">
        <v>10294</v>
      </c>
    </row>
    <row r="1775" spans="1:16" x14ac:dyDescent="0.25">
      <c r="A1775" s="28" t="s">
        <v>10295</v>
      </c>
      <c r="B1775" s="28" t="s">
        <v>10296</v>
      </c>
      <c r="C1775" s="28" t="s">
        <v>132</v>
      </c>
      <c r="D1775" s="28" t="s">
        <v>133</v>
      </c>
      <c r="E1775" s="28" t="s">
        <v>144</v>
      </c>
      <c r="F1775" s="28" t="s">
        <v>21</v>
      </c>
      <c r="G1775" s="28" t="s">
        <v>135</v>
      </c>
      <c r="H1775" s="28" t="s">
        <v>9633</v>
      </c>
      <c r="I1775" s="28" t="s">
        <v>10297</v>
      </c>
      <c r="J1775" s="28" t="s">
        <v>135</v>
      </c>
      <c r="K1775" s="28" t="s">
        <v>10125</v>
      </c>
      <c r="L1775" s="28" t="s">
        <v>9636</v>
      </c>
      <c r="M1775" s="28" t="s">
        <v>10298</v>
      </c>
      <c r="N1775" s="28" t="s">
        <v>9638</v>
      </c>
      <c r="O1775" s="28" t="s">
        <v>9639</v>
      </c>
      <c r="P1775" s="28" t="s">
        <v>10299</v>
      </c>
    </row>
    <row r="1776" spans="1:16" x14ac:dyDescent="0.25">
      <c r="A1776" s="28" t="s">
        <v>10300</v>
      </c>
      <c r="B1776" s="28" t="s">
        <v>10301</v>
      </c>
      <c r="C1776" s="28" t="s">
        <v>132</v>
      </c>
      <c r="D1776" s="28" t="s">
        <v>133</v>
      </c>
      <c r="E1776" s="28" t="s">
        <v>10302</v>
      </c>
      <c r="F1776" s="28" t="s">
        <v>21</v>
      </c>
      <c r="G1776" s="28" t="s">
        <v>135</v>
      </c>
      <c r="H1776" s="28" t="s">
        <v>10303</v>
      </c>
      <c r="I1776" s="28" t="s">
        <v>10304</v>
      </c>
      <c r="J1776" s="28" t="s">
        <v>135</v>
      </c>
      <c r="K1776" s="28" t="s">
        <v>10305</v>
      </c>
      <c r="L1776" s="28" t="s">
        <v>10306</v>
      </c>
      <c r="M1776" s="28" t="s">
        <v>10307</v>
      </c>
      <c r="N1776" s="28" t="s">
        <v>10308</v>
      </c>
      <c r="O1776" s="28" t="s">
        <v>10309</v>
      </c>
      <c r="P1776" s="28" t="s">
        <v>10310</v>
      </c>
    </row>
    <row r="1777" spans="1:16" x14ac:dyDescent="0.25">
      <c r="A1777" s="28" t="s">
        <v>10311</v>
      </c>
      <c r="B1777" s="28" t="s">
        <v>10312</v>
      </c>
      <c r="C1777" s="28" t="s">
        <v>132</v>
      </c>
      <c r="D1777" s="28" t="s">
        <v>133</v>
      </c>
      <c r="E1777" s="28" t="s">
        <v>10313</v>
      </c>
      <c r="F1777" s="28" t="s">
        <v>21</v>
      </c>
      <c r="G1777" s="28" t="s">
        <v>135</v>
      </c>
      <c r="H1777" s="28" t="s">
        <v>10303</v>
      </c>
      <c r="I1777" s="28" t="s">
        <v>10314</v>
      </c>
      <c r="J1777" s="28" t="s">
        <v>135</v>
      </c>
      <c r="K1777" s="28" t="s">
        <v>10305</v>
      </c>
      <c r="L1777" s="28" t="s">
        <v>10306</v>
      </c>
      <c r="M1777" s="28" t="s">
        <v>10315</v>
      </c>
      <c r="N1777" s="28" t="s">
        <v>10308</v>
      </c>
      <c r="O1777" s="28" t="s">
        <v>10309</v>
      </c>
      <c r="P1777" s="28" t="s">
        <v>10316</v>
      </c>
    </row>
    <row r="1778" spans="1:16" x14ac:dyDescent="0.25">
      <c r="A1778" s="28" t="s">
        <v>10317</v>
      </c>
      <c r="B1778" s="28" t="s">
        <v>10318</v>
      </c>
      <c r="C1778" s="28" t="s">
        <v>132</v>
      </c>
      <c r="D1778" s="28" t="s">
        <v>133</v>
      </c>
      <c r="E1778" s="28" t="s">
        <v>10319</v>
      </c>
      <c r="F1778" s="28" t="s">
        <v>21</v>
      </c>
      <c r="G1778" s="28" t="s">
        <v>135</v>
      </c>
      <c r="H1778" s="28" t="s">
        <v>10303</v>
      </c>
      <c r="I1778" s="28" t="s">
        <v>10320</v>
      </c>
      <c r="J1778" s="28" t="s">
        <v>135</v>
      </c>
      <c r="K1778" s="28" t="s">
        <v>10305</v>
      </c>
      <c r="L1778" s="28" t="s">
        <v>10306</v>
      </c>
      <c r="M1778" s="28" t="s">
        <v>10321</v>
      </c>
      <c r="N1778" s="28" t="s">
        <v>10308</v>
      </c>
      <c r="O1778" s="28" t="s">
        <v>10309</v>
      </c>
      <c r="P1778" s="28" t="s">
        <v>10322</v>
      </c>
    </row>
    <row r="1779" spans="1:16" x14ac:dyDescent="0.25">
      <c r="A1779" s="28" t="s">
        <v>10323</v>
      </c>
      <c r="B1779" s="28" t="s">
        <v>10324</v>
      </c>
      <c r="C1779" s="28" t="s">
        <v>132</v>
      </c>
      <c r="D1779" s="28" t="s">
        <v>133</v>
      </c>
      <c r="E1779" s="28" t="s">
        <v>10325</v>
      </c>
      <c r="F1779" s="28" t="s">
        <v>21</v>
      </c>
      <c r="G1779" s="28" t="s">
        <v>135</v>
      </c>
      <c r="H1779" s="28" t="s">
        <v>10303</v>
      </c>
      <c r="I1779" s="28" t="s">
        <v>10326</v>
      </c>
      <c r="J1779" s="28" t="s">
        <v>135</v>
      </c>
      <c r="K1779" s="28" t="s">
        <v>10305</v>
      </c>
      <c r="L1779" s="28" t="s">
        <v>10306</v>
      </c>
      <c r="M1779" s="28" t="s">
        <v>10327</v>
      </c>
      <c r="N1779" s="28" t="s">
        <v>10308</v>
      </c>
      <c r="O1779" s="28" t="s">
        <v>10309</v>
      </c>
      <c r="P1779" s="28" t="s">
        <v>10328</v>
      </c>
    </row>
    <row r="1780" spans="1:16" x14ac:dyDescent="0.25">
      <c r="A1780" s="28" t="s">
        <v>10329</v>
      </c>
      <c r="B1780" s="28" t="s">
        <v>10330</v>
      </c>
      <c r="C1780" s="28" t="s">
        <v>132</v>
      </c>
      <c r="D1780" s="28" t="s">
        <v>133</v>
      </c>
      <c r="E1780" s="28" t="s">
        <v>10331</v>
      </c>
      <c r="F1780" s="28" t="s">
        <v>21</v>
      </c>
      <c r="G1780" s="28" t="s">
        <v>135</v>
      </c>
      <c r="H1780" s="28" t="s">
        <v>10303</v>
      </c>
      <c r="I1780" s="28" t="s">
        <v>10332</v>
      </c>
      <c r="J1780" s="28" t="s">
        <v>135</v>
      </c>
      <c r="K1780" s="28" t="s">
        <v>10305</v>
      </c>
      <c r="L1780" s="28" t="s">
        <v>10306</v>
      </c>
      <c r="M1780" s="28" t="s">
        <v>10333</v>
      </c>
      <c r="N1780" s="28" t="s">
        <v>10308</v>
      </c>
      <c r="O1780" s="28" t="s">
        <v>10309</v>
      </c>
      <c r="P1780" s="28" t="s">
        <v>10334</v>
      </c>
    </row>
    <row r="1781" spans="1:16" x14ac:dyDescent="0.25">
      <c r="A1781" s="28" t="s">
        <v>10335</v>
      </c>
      <c r="B1781" s="28" t="s">
        <v>10336</v>
      </c>
      <c r="C1781" s="28" t="s">
        <v>132</v>
      </c>
      <c r="D1781" s="28" t="s">
        <v>133</v>
      </c>
      <c r="E1781" s="28" t="s">
        <v>10337</v>
      </c>
      <c r="F1781" s="28" t="s">
        <v>21</v>
      </c>
      <c r="G1781" s="28" t="s">
        <v>149</v>
      </c>
      <c r="H1781" s="28" t="s">
        <v>9633</v>
      </c>
      <c r="I1781" s="28" t="s">
        <v>10338</v>
      </c>
      <c r="J1781" s="28" t="s">
        <v>149</v>
      </c>
      <c r="K1781" s="28" t="s">
        <v>9722</v>
      </c>
      <c r="L1781" s="28" t="s">
        <v>9636</v>
      </c>
      <c r="M1781" s="28" t="s">
        <v>10339</v>
      </c>
      <c r="N1781" s="28" t="s">
        <v>9638</v>
      </c>
      <c r="O1781" s="28" t="s">
        <v>9639</v>
      </c>
      <c r="P1781" s="28" t="s">
        <v>10340</v>
      </c>
    </row>
    <row r="1782" spans="1:16" x14ac:dyDescent="0.25">
      <c r="A1782" s="28" t="s">
        <v>10341</v>
      </c>
      <c r="B1782" s="28" t="s">
        <v>10342</v>
      </c>
      <c r="C1782" s="28" t="s">
        <v>132</v>
      </c>
      <c r="D1782" s="28" t="s">
        <v>133</v>
      </c>
      <c r="E1782" s="28" t="s">
        <v>10343</v>
      </c>
      <c r="F1782" s="28" t="s">
        <v>21</v>
      </c>
      <c r="G1782" s="28" t="s">
        <v>135</v>
      </c>
      <c r="H1782" s="28" t="s">
        <v>10303</v>
      </c>
      <c r="I1782" s="28" t="s">
        <v>10344</v>
      </c>
      <c r="J1782" s="28" t="s">
        <v>135</v>
      </c>
      <c r="K1782" s="28" t="s">
        <v>10305</v>
      </c>
      <c r="L1782" s="28" t="s">
        <v>10306</v>
      </c>
      <c r="M1782" s="28" t="s">
        <v>10345</v>
      </c>
      <c r="N1782" s="28" t="s">
        <v>10308</v>
      </c>
      <c r="O1782" s="28" t="s">
        <v>10309</v>
      </c>
      <c r="P1782" s="28" t="s">
        <v>10346</v>
      </c>
    </row>
    <row r="1783" spans="1:16" x14ac:dyDescent="0.25">
      <c r="A1783" s="28" t="s">
        <v>10347</v>
      </c>
      <c r="B1783" s="28" t="s">
        <v>10348</v>
      </c>
      <c r="C1783" s="28" t="s">
        <v>132</v>
      </c>
      <c r="D1783" s="28" t="s">
        <v>133</v>
      </c>
      <c r="E1783" s="28" t="s">
        <v>10349</v>
      </c>
      <c r="F1783" s="28" t="s">
        <v>21</v>
      </c>
      <c r="G1783" s="28" t="s">
        <v>135</v>
      </c>
      <c r="H1783" s="28" t="s">
        <v>10303</v>
      </c>
      <c r="I1783" s="28" t="s">
        <v>10350</v>
      </c>
      <c r="J1783" s="28" t="s">
        <v>135</v>
      </c>
      <c r="K1783" s="28" t="s">
        <v>10305</v>
      </c>
      <c r="L1783" s="28" t="s">
        <v>10306</v>
      </c>
      <c r="M1783" s="28" t="s">
        <v>10351</v>
      </c>
      <c r="N1783" s="28" t="s">
        <v>10308</v>
      </c>
      <c r="O1783" s="28" t="s">
        <v>10309</v>
      </c>
      <c r="P1783" s="28" t="s">
        <v>10352</v>
      </c>
    </row>
    <row r="1784" spans="1:16" x14ac:dyDescent="0.25">
      <c r="A1784" s="28" t="s">
        <v>10353</v>
      </c>
      <c r="B1784" s="28" t="s">
        <v>10354</v>
      </c>
      <c r="C1784" s="28" t="s">
        <v>132</v>
      </c>
      <c r="D1784" s="28" t="s">
        <v>133</v>
      </c>
      <c r="E1784" s="28" t="s">
        <v>183</v>
      </c>
      <c r="F1784" s="28" t="s">
        <v>21</v>
      </c>
      <c r="G1784" s="28" t="s">
        <v>39</v>
      </c>
      <c r="H1784" s="28" t="s">
        <v>9711</v>
      </c>
      <c r="I1784" s="28" t="s">
        <v>10355</v>
      </c>
      <c r="J1784" s="28" t="s">
        <v>39</v>
      </c>
      <c r="K1784" s="28" t="s">
        <v>10292</v>
      </c>
      <c r="L1784" s="28" t="s">
        <v>9714</v>
      </c>
      <c r="M1784" s="28" t="s">
        <v>10356</v>
      </c>
      <c r="N1784" s="28" t="s">
        <v>9716</v>
      </c>
      <c r="O1784" s="28" t="s">
        <v>9717</v>
      </c>
      <c r="P1784" s="28" t="s">
        <v>10357</v>
      </c>
    </row>
    <row r="1785" spans="1:16" x14ac:dyDescent="0.25">
      <c r="A1785" s="28" t="s">
        <v>10358</v>
      </c>
      <c r="B1785" s="28" t="s">
        <v>10359</v>
      </c>
      <c r="C1785" s="28" t="s">
        <v>132</v>
      </c>
      <c r="D1785" s="28" t="s">
        <v>133</v>
      </c>
      <c r="E1785" s="28" t="s">
        <v>10360</v>
      </c>
      <c r="F1785" s="28" t="s">
        <v>21</v>
      </c>
      <c r="G1785" s="28" t="s">
        <v>135</v>
      </c>
      <c r="H1785" s="28" t="s">
        <v>10303</v>
      </c>
      <c r="I1785" s="28" t="s">
        <v>10361</v>
      </c>
      <c r="J1785" s="28" t="s">
        <v>135</v>
      </c>
      <c r="K1785" s="28" t="s">
        <v>10305</v>
      </c>
      <c r="L1785" s="28" t="s">
        <v>10306</v>
      </c>
      <c r="M1785" s="28" t="s">
        <v>10362</v>
      </c>
      <c r="N1785" s="28" t="s">
        <v>10308</v>
      </c>
      <c r="O1785" s="28" t="s">
        <v>10309</v>
      </c>
      <c r="P1785" s="28" t="s">
        <v>10363</v>
      </c>
    </row>
    <row r="1786" spans="1:16" x14ac:dyDescent="0.25">
      <c r="A1786" s="28" t="s">
        <v>10364</v>
      </c>
      <c r="B1786" s="28" t="s">
        <v>10365</v>
      </c>
      <c r="C1786" s="28" t="s">
        <v>132</v>
      </c>
      <c r="D1786" s="28" t="s">
        <v>133</v>
      </c>
      <c r="E1786" s="28" t="s">
        <v>10366</v>
      </c>
      <c r="F1786" s="28" t="s">
        <v>21</v>
      </c>
      <c r="G1786" s="28" t="s">
        <v>135</v>
      </c>
      <c r="H1786" s="28" t="s">
        <v>10303</v>
      </c>
      <c r="I1786" s="28" t="s">
        <v>10367</v>
      </c>
      <c r="J1786" s="28" t="s">
        <v>135</v>
      </c>
      <c r="K1786" s="28" t="s">
        <v>10305</v>
      </c>
      <c r="L1786" s="28" t="s">
        <v>10306</v>
      </c>
      <c r="M1786" s="28" t="s">
        <v>10368</v>
      </c>
      <c r="N1786" s="28" t="s">
        <v>10308</v>
      </c>
      <c r="O1786" s="28" t="s">
        <v>10309</v>
      </c>
      <c r="P1786" s="28" t="s">
        <v>10369</v>
      </c>
    </row>
    <row r="1787" spans="1:16" x14ac:dyDescent="0.25">
      <c r="A1787" s="28" t="s">
        <v>10370</v>
      </c>
      <c r="B1787" s="28" t="s">
        <v>10371</v>
      </c>
      <c r="C1787" s="28" t="s">
        <v>132</v>
      </c>
      <c r="D1787" s="28" t="s">
        <v>133</v>
      </c>
      <c r="E1787" s="28" t="s">
        <v>10372</v>
      </c>
      <c r="F1787" s="28" t="s">
        <v>21</v>
      </c>
      <c r="G1787" s="28" t="s">
        <v>149</v>
      </c>
      <c r="H1787" s="28" t="s">
        <v>9633</v>
      </c>
      <c r="I1787" s="28" t="s">
        <v>10373</v>
      </c>
      <c r="J1787" s="28" t="s">
        <v>149</v>
      </c>
      <c r="K1787" s="28" t="s">
        <v>9722</v>
      </c>
      <c r="L1787" s="28" t="s">
        <v>9636</v>
      </c>
      <c r="M1787" s="28" t="s">
        <v>10374</v>
      </c>
      <c r="N1787" s="28" t="s">
        <v>9638</v>
      </c>
      <c r="O1787" s="28" t="s">
        <v>9639</v>
      </c>
      <c r="P1787" s="28" t="s">
        <v>10375</v>
      </c>
    </row>
    <row r="1788" spans="1:16" x14ac:dyDescent="0.25">
      <c r="A1788" s="28" t="s">
        <v>10376</v>
      </c>
      <c r="B1788" s="28" t="s">
        <v>10377</v>
      </c>
      <c r="C1788" s="28" t="s">
        <v>132</v>
      </c>
      <c r="D1788" s="28" t="s">
        <v>133</v>
      </c>
      <c r="E1788" s="28" t="s">
        <v>10378</v>
      </c>
      <c r="F1788" s="28" t="s">
        <v>21</v>
      </c>
      <c r="G1788" s="28" t="s">
        <v>135</v>
      </c>
      <c r="H1788" s="28" t="s">
        <v>10303</v>
      </c>
      <c r="I1788" s="28" t="s">
        <v>10379</v>
      </c>
      <c r="J1788" s="28" t="s">
        <v>135</v>
      </c>
      <c r="K1788" s="28" t="s">
        <v>10305</v>
      </c>
      <c r="L1788" s="28" t="s">
        <v>10306</v>
      </c>
      <c r="M1788" s="28" t="s">
        <v>10380</v>
      </c>
      <c r="N1788" s="28" t="s">
        <v>10308</v>
      </c>
      <c r="O1788" s="28" t="s">
        <v>10309</v>
      </c>
      <c r="P1788" s="28" t="s">
        <v>10381</v>
      </c>
    </row>
    <row r="1789" spans="1:16" x14ac:dyDescent="0.25">
      <c r="A1789" s="28" t="s">
        <v>10382</v>
      </c>
      <c r="B1789" s="28" t="s">
        <v>10383</v>
      </c>
      <c r="C1789" s="28" t="s">
        <v>132</v>
      </c>
      <c r="D1789" s="28" t="s">
        <v>133</v>
      </c>
      <c r="E1789" s="28" t="s">
        <v>10384</v>
      </c>
      <c r="F1789" s="28" t="s">
        <v>21</v>
      </c>
      <c r="G1789" s="28" t="s">
        <v>135</v>
      </c>
      <c r="H1789" s="28" t="s">
        <v>10303</v>
      </c>
      <c r="I1789" s="28" t="s">
        <v>10385</v>
      </c>
      <c r="J1789" s="28" t="s">
        <v>135</v>
      </c>
      <c r="K1789" s="28" t="s">
        <v>10305</v>
      </c>
      <c r="L1789" s="28" t="s">
        <v>10306</v>
      </c>
      <c r="M1789" s="28" t="s">
        <v>10386</v>
      </c>
      <c r="N1789" s="28" t="s">
        <v>10308</v>
      </c>
      <c r="O1789" s="28" t="s">
        <v>10309</v>
      </c>
      <c r="P1789" s="28" t="s">
        <v>10387</v>
      </c>
    </row>
    <row r="1790" spans="1:16" x14ac:dyDescent="0.25">
      <c r="A1790" s="28" t="s">
        <v>10388</v>
      </c>
      <c r="B1790" s="28" t="s">
        <v>10389</v>
      </c>
      <c r="C1790" s="28" t="s">
        <v>132</v>
      </c>
      <c r="D1790" s="28" t="s">
        <v>133</v>
      </c>
      <c r="E1790" s="28" t="s">
        <v>10390</v>
      </c>
      <c r="F1790" s="28" t="s">
        <v>21</v>
      </c>
      <c r="G1790" s="28" t="s">
        <v>135</v>
      </c>
      <c r="H1790" s="28" t="s">
        <v>10303</v>
      </c>
      <c r="I1790" s="28" t="s">
        <v>10391</v>
      </c>
      <c r="J1790" s="28" t="s">
        <v>135</v>
      </c>
      <c r="K1790" s="28" t="s">
        <v>10305</v>
      </c>
      <c r="L1790" s="28" t="s">
        <v>10306</v>
      </c>
      <c r="M1790" s="28" t="s">
        <v>10392</v>
      </c>
      <c r="N1790" s="28" t="s">
        <v>10308</v>
      </c>
      <c r="O1790" s="28" t="s">
        <v>10309</v>
      </c>
      <c r="P1790" s="28" t="s">
        <v>10393</v>
      </c>
    </row>
    <row r="1791" spans="1:16" x14ac:dyDescent="0.25">
      <c r="A1791" s="28" t="s">
        <v>10394</v>
      </c>
      <c r="B1791" s="28" t="s">
        <v>10395</v>
      </c>
      <c r="C1791" s="28" t="s">
        <v>132</v>
      </c>
      <c r="D1791" s="28" t="s">
        <v>133</v>
      </c>
      <c r="E1791" s="28" t="s">
        <v>10396</v>
      </c>
      <c r="F1791" s="28" t="s">
        <v>21</v>
      </c>
      <c r="G1791" s="28" t="s">
        <v>149</v>
      </c>
      <c r="H1791" s="28" t="s">
        <v>9633</v>
      </c>
      <c r="I1791" s="28" t="s">
        <v>10397</v>
      </c>
      <c r="J1791" s="28" t="s">
        <v>149</v>
      </c>
      <c r="K1791" s="28" t="s">
        <v>9722</v>
      </c>
      <c r="L1791" s="28" t="s">
        <v>9636</v>
      </c>
      <c r="M1791" s="28" t="s">
        <v>10398</v>
      </c>
      <c r="N1791" s="28" t="s">
        <v>9638</v>
      </c>
      <c r="O1791" s="28" t="s">
        <v>9639</v>
      </c>
      <c r="P1791" s="28" t="s">
        <v>10399</v>
      </c>
    </row>
    <row r="1792" spans="1:16" x14ac:dyDescent="0.25">
      <c r="A1792" s="28" t="s">
        <v>10400</v>
      </c>
      <c r="B1792" s="28" t="s">
        <v>10401</v>
      </c>
      <c r="C1792" s="28" t="s">
        <v>132</v>
      </c>
      <c r="D1792" s="28" t="s">
        <v>133</v>
      </c>
      <c r="E1792" s="28" t="s">
        <v>10402</v>
      </c>
      <c r="F1792" s="28" t="s">
        <v>21</v>
      </c>
      <c r="G1792" s="28" t="s">
        <v>135</v>
      </c>
      <c r="H1792" s="28" t="s">
        <v>10303</v>
      </c>
      <c r="I1792" s="28" t="s">
        <v>10403</v>
      </c>
      <c r="J1792" s="28" t="s">
        <v>135</v>
      </c>
      <c r="K1792" s="28" t="s">
        <v>10305</v>
      </c>
      <c r="L1792" s="28" t="s">
        <v>10306</v>
      </c>
      <c r="M1792" s="28" t="s">
        <v>10404</v>
      </c>
      <c r="N1792" s="28" t="s">
        <v>10308</v>
      </c>
      <c r="O1792" s="28" t="s">
        <v>10309</v>
      </c>
      <c r="P1792" s="28" t="s">
        <v>10405</v>
      </c>
    </row>
    <row r="1793" spans="1:16" x14ac:dyDescent="0.25">
      <c r="A1793" s="28" t="s">
        <v>10406</v>
      </c>
      <c r="B1793" s="28" t="s">
        <v>10407</v>
      </c>
      <c r="C1793" s="28" t="s">
        <v>132</v>
      </c>
      <c r="D1793" s="28" t="s">
        <v>133</v>
      </c>
      <c r="E1793" s="28" t="s">
        <v>10408</v>
      </c>
      <c r="F1793" s="28" t="s">
        <v>21</v>
      </c>
      <c r="G1793" s="28" t="s">
        <v>135</v>
      </c>
      <c r="H1793" s="28" t="s">
        <v>10303</v>
      </c>
      <c r="I1793" s="28" t="s">
        <v>10409</v>
      </c>
      <c r="J1793" s="28" t="s">
        <v>135</v>
      </c>
      <c r="K1793" s="28" t="s">
        <v>10305</v>
      </c>
      <c r="L1793" s="28" t="s">
        <v>10306</v>
      </c>
      <c r="M1793" s="28" t="s">
        <v>10410</v>
      </c>
      <c r="N1793" s="28" t="s">
        <v>10308</v>
      </c>
      <c r="O1793" s="28" t="s">
        <v>10309</v>
      </c>
      <c r="P1793" s="28" t="s">
        <v>10411</v>
      </c>
    </row>
    <row r="1794" spans="1:16" x14ac:dyDescent="0.25">
      <c r="A1794" s="28" t="s">
        <v>10412</v>
      </c>
      <c r="B1794" s="28" t="s">
        <v>10413</v>
      </c>
      <c r="C1794" s="28" t="s">
        <v>132</v>
      </c>
      <c r="D1794" s="28" t="s">
        <v>133</v>
      </c>
      <c r="E1794" s="28" t="s">
        <v>10414</v>
      </c>
      <c r="F1794" s="28" t="s">
        <v>21</v>
      </c>
      <c r="G1794" s="28" t="s">
        <v>135</v>
      </c>
      <c r="H1794" s="28" t="s">
        <v>10303</v>
      </c>
      <c r="I1794" s="28" t="s">
        <v>10415</v>
      </c>
      <c r="J1794" s="28" t="s">
        <v>135</v>
      </c>
      <c r="K1794" s="28" t="s">
        <v>10305</v>
      </c>
      <c r="L1794" s="28" t="s">
        <v>10306</v>
      </c>
      <c r="M1794" s="28" t="s">
        <v>10416</v>
      </c>
      <c r="N1794" s="28" t="s">
        <v>10308</v>
      </c>
      <c r="O1794" s="28" t="s">
        <v>10309</v>
      </c>
      <c r="P1794" s="28" t="s">
        <v>10417</v>
      </c>
    </row>
    <row r="1795" spans="1:16" x14ac:dyDescent="0.25">
      <c r="A1795" s="28" t="s">
        <v>10418</v>
      </c>
      <c r="B1795" s="28" t="s">
        <v>10419</v>
      </c>
      <c r="C1795" s="28" t="s">
        <v>132</v>
      </c>
      <c r="D1795" s="28" t="s">
        <v>133</v>
      </c>
      <c r="E1795" s="28" t="s">
        <v>10420</v>
      </c>
      <c r="F1795" s="28" t="s">
        <v>21</v>
      </c>
      <c r="G1795" s="28" t="s">
        <v>135</v>
      </c>
      <c r="H1795" s="28" t="s">
        <v>10303</v>
      </c>
      <c r="I1795" s="28" t="s">
        <v>10421</v>
      </c>
      <c r="J1795" s="28" t="s">
        <v>135</v>
      </c>
      <c r="K1795" s="28" t="s">
        <v>10305</v>
      </c>
      <c r="L1795" s="28" t="s">
        <v>10306</v>
      </c>
      <c r="M1795" s="28" t="s">
        <v>10422</v>
      </c>
      <c r="N1795" s="28" t="s">
        <v>10308</v>
      </c>
      <c r="O1795" s="28" t="s">
        <v>10309</v>
      </c>
      <c r="P1795" s="28" t="s">
        <v>10423</v>
      </c>
    </row>
    <row r="1796" spans="1:16" x14ac:dyDescent="0.25">
      <c r="A1796" s="28" t="s">
        <v>10424</v>
      </c>
      <c r="B1796" s="28" t="s">
        <v>10425</v>
      </c>
      <c r="C1796" s="28" t="s">
        <v>132</v>
      </c>
      <c r="D1796" s="28" t="s">
        <v>133</v>
      </c>
      <c r="E1796" s="28" t="s">
        <v>191</v>
      </c>
      <c r="F1796" s="28" t="s">
        <v>21</v>
      </c>
      <c r="G1796" s="28" t="s">
        <v>39</v>
      </c>
      <c r="H1796" s="28" t="s">
        <v>9711</v>
      </c>
      <c r="I1796" s="28" t="s">
        <v>10426</v>
      </c>
      <c r="J1796" s="28" t="s">
        <v>39</v>
      </c>
      <c r="K1796" s="28" t="s">
        <v>10292</v>
      </c>
      <c r="L1796" s="28" t="s">
        <v>9714</v>
      </c>
      <c r="M1796" s="28" t="s">
        <v>10427</v>
      </c>
      <c r="N1796" s="28" t="s">
        <v>9716</v>
      </c>
      <c r="O1796" s="28" t="s">
        <v>9717</v>
      </c>
      <c r="P1796" s="28" t="s">
        <v>10428</v>
      </c>
    </row>
    <row r="1797" spans="1:16" x14ac:dyDescent="0.25">
      <c r="A1797" s="28" t="s">
        <v>10429</v>
      </c>
      <c r="B1797" s="28" t="s">
        <v>10430</v>
      </c>
      <c r="C1797" s="28" t="s">
        <v>132</v>
      </c>
      <c r="D1797" s="28" t="s">
        <v>133</v>
      </c>
      <c r="E1797" s="28" t="s">
        <v>196</v>
      </c>
      <c r="F1797" s="28" t="s">
        <v>21</v>
      </c>
      <c r="G1797" s="28" t="s">
        <v>39</v>
      </c>
      <c r="H1797" s="28" t="s">
        <v>9711</v>
      </c>
      <c r="I1797" s="28" t="s">
        <v>10431</v>
      </c>
      <c r="J1797" s="28" t="s">
        <v>39</v>
      </c>
      <c r="K1797" s="28" t="s">
        <v>10292</v>
      </c>
      <c r="L1797" s="28" t="s">
        <v>9714</v>
      </c>
      <c r="M1797" s="28" t="s">
        <v>10432</v>
      </c>
      <c r="N1797" s="28" t="s">
        <v>9716</v>
      </c>
      <c r="O1797" s="28" t="s">
        <v>9717</v>
      </c>
      <c r="P1797" s="28" t="s">
        <v>10433</v>
      </c>
    </row>
    <row r="1798" spans="1:16" x14ac:dyDescent="0.25">
      <c r="A1798" s="28" t="s">
        <v>10434</v>
      </c>
      <c r="B1798" s="28" t="s">
        <v>10435</v>
      </c>
      <c r="C1798" s="28" t="s">
        <v>132</v>
      </c>
      <c r="D1798" s="28" t="s">
        <v>133</v>
      </c>
      <c r="E1798" s="28" t="s">
        <v>201</v>
      </c>
      <c r="F1798" s="28" t="s">
        <v>21</v>
      </c>
      <c r="G1798" s="28" t="s">
        <v>39</v>
      </c>
      <c r="H1798" s="28" t="s">
        <v>9711</v>
      </c>
      <c r="I1798" s="28" t="s">
        <v>10436</v>
      </c>
      <c r="J1798" s="28" t="s">
        <v>39</v>
      </c>
      <c r="K1798" s="28" t="s">
        <v>10292</v>
      </c>
      <c r="L1798" s="28" t="s">
        <v>9714</v>
      </c>
      <c r="M1798" s="28" t="s">
        <v>10437</v>
      </c>
      <c r="N1798" s="28" t="s">
        <v>9716</v>
      </c>
      <c r="O1798" s="28" t="s">
        <v>9717</v>
      </c>
      <c r="P1798" s="28" t="s">
        <v>10438</v>
      </c>
    </row>
    <row r="1799" spans="1:16" x14ac:dyDescent="0.25">
      <c r="A1799" s="28" t="s">
        <v>10439</v>
      </c>
      <c r="B1799" s="28" t="s">
        <v>10440</v>
      </c>
      <c r="C1799" s="28" t="s">
        <v>132</v>
      </c>
      <c r="D1799" s="28" t="s">
        <v>133</v>
      </c>
      <c r="E1799" s="28" t="s">
        <v>10441</v>
      </c>
      <c r="F1799" s="28" t="s">
        <v>21</v>
      </c>
      <c r="G1799" s="28" t="s">
        <v>135</v>
      </c>
      <c r="H1799" s="28" t="s">
        <v>10303</v>
      </c>
      <c r="I1799" s="28" t="s">
        <v>10442</v>
      </c>
      <c r="J1799" s="28" t="s">
        <v>135</v>
      </c>
      <c r="K1799" s="28" t="s">
        <v>10305</v>
      </c>
      <c r="L1799" s="28" t="s">
        <v>10306</v>
      </c>
      <c r="M1799" s="28" t="s">
        <v>10443</v>
      </c>
      <c r="N1799" s="28" t="s">
        <v>10308</v>
      </c>
      <c r="O1799" s="28" t="s">
        <v>10309</v>
      </c>
      <c r="P1799" s="28" t="s">
        <v>10444</v>
      </c>
    </row>
    <row r="1800" spans="1:16" x14ac:dyDescent="0.25">
      <c r="A1800" s="28" t="s">
        <v>10445</v>
      </c>
      <c r="B1800" s="28" t="s">
        <v>10446</v>
      </c>
      <c r="C1800" s="28" t="s">
        <v>132</v>
      </c>
      <c r="D1800" s="28" t="s">
        <v>133</v>
      </c>
      <c r="E1800" s="28" t="s">
        <v>10447</v>
      </c>
      <c r="F1800" s="28" t="s">
        <v>21</v>
      </c>
      <c r="G1800" s="28" t="s">
        <v>135</v>
      </c>
      <c r="H1800" s="28" t="s">
        <v>10303</v>
      </c>
      <c r="I1800" s="28" t="s">
        <v>10448</v>
      </c>
      <c r="J1800" s="28" t="s">
        <v>135</v>
      </c>
      <c r="K1800" s="28" t="s">
        <v>10305</v>
      </c>
      <c r="L1800" s="28" t="s">
        <v>10306</v>
      </c>
      <c r="M1800" s="28" t="s">
        <v>10449</v>
      </c>
      <c r="N1800" s="28" t="s">
        <v>10308</v>
      </c>
      <c r="O1800" s="28" t="s">
        <v>10309</v>
      </c>
      <c r="P1800" s="28" t="s">
        <v>10450</v>
      </c>
    </row>
    <row r="1801" spans="1:16" x14ac:dyDescent="0.25">
      <c r="A1801" s="28" t="s">
        <v>10451</v>
      </c>
      <c r="B1801" s="28" t="s">
        <v>10452</v>
      </c>
      <c r="C1801" s="28" t="s">
        <v>132</v>
      </c>
      <c r="D1801" s="28" t="s">
        <v>133</v>
      </c>
      <c r="E1801" s="28" t="s">
        <v>10453</v>
      </c>
      <c r="F1801" s="28" t="s">
        <v>21</v>
      </c>
      <c r="G1801" s="28" t="s">
        <v>135</v>
      </c>
      <c r="H1801" s="28" t="s">
        <v>10303</v>
      </c>
      <c r="I1801" s="28" t="s">
        <v>10454</v>
      </c>
      <c r="J1801" s="28" t="s">
        <v>135</v>
      </c>
      <c r="K1801" s="28" t="s">
        <v>10305</v>
      </c>
      <c r="L1801" s="28" t="s">
        <v>10306</v>
      </c>
      <c r="M1801" s="28" t="s">
        <v>10455</v>
      </c>
      <c r="N1801" s="28" t="s">
        <v>10308</v>
      </c>
      <c r="O1801" s="28" t="s">
        <v>10309</v>
      </c>
      <c r="P1801" s="28" t="s">
        <v>10456</v>
      </c>
    </row>
    <row r="1802" spans="1:16" x14ac:dyDescent="0.25">
      <c r="A1802" s="28" t="s">
        <v>10457</v>
      </c>
      <c r="B1802" s="28" t="s">
        <v>10458</v>
      </c>
      <c r="C1802" s="28" t="s">
        <v>132</v>
      </c>
      <c r="D1802" s="28" t="s">
        <v>133</v>
      </c>
      <c r="E1802" s="28" t="s">
        <v>10459</v>
      </c>
      <c r="F1802" s="28" t="s">
        <v>21</v>
      </c>
      <c r="G1802" s="28" t="s">
        <v>135</v>
      </c>
      <c r="H1802" s="28" t="s">
        <v>10303</v>
      </c>
      <c r="I1802" s="28" t="s">
        <v>10460</v>
      </c>
      <c r="J1802" s="28" t="s">
        <v>135</v>
      </c>
      <c r="K1802" s="28" t="s">
        <v>10305</v>
      </c>
      <c r="L1802" s="28" t="s">
        <v>10306</v>
      </c>
      <c r="M1802" s="28" t="s">
        <v>10461</v>
      </c>
      <c r="N1802" s="28" t="s">
        <v>10308</v>
      </c>
      <c r="O1802" s="28" t="s">
        <v>10309</v>
      </c>
      <c r="P1802" s="28" t="s">
        <v>10462</v>
      </c>
    </row>
    <row r="1803" spans="1:16" x14ac:dyDescent="0.25">
      <c r="A1803" s="28" t="s">
        <v>10463</v>
      </c>
      <c r="B1803" s="28" t="s">
        <v>10464</v>
      </c>
      <c r="C1803" s="28" t="s">
        <v>132</v>
      </c>
      <c r="D1803" s="28" t="s">
        <v>133</v>
      </c>
      <c r="E1803" s="28" t="s">
        <v>10465</v>
      </c>
      <c r="F1803" s="28" t="s">
        <v>21</v>
      </c>
      <c r="G1803" s="28" t="s">
        <v>135</v>
      </c>
      <c r="H1803" s="28" t="s">
        <v>10303</v>
      </c>
      <c r="I1803" s="28" t="s">
        <v>10466</v>
      </c>
      <c r="J1803" s="28" t="s">
        <v>135</v>
      </c>
      <c r="K1803" s="28" t="s">
        <v>10305</v>
      </c>
      <c r="L1803" s="28" t="s">
        <v>10306</v>
      </c>
      <c r="M1803" s="28" t="s">
        <v>10467</v>
      </c>
      <c r="N1803" s="28" t="s">
        <v>10308</v>
      </c>
      <c r="O1803" s="28" t="s">
        <v>10309</v>
      </c>
      <c r="P1803" s="28" t="s">
        <v>10468</v>
      </c>
    </row>
    <row r="1804" spans="1:16" x14ac:dyDescent="0.25">
      <c r="A1804" s="28" t="s">
        <v>10469</v>
      </c>
      <c r="B1804" s="28" t="s">
        <v>10470</v>
      </c>
      <c r="C1804" s="28" t="s">
        <v>132</v>
      </c>
      <c r="D1804" s="28" t="s">
        <v>133</v>
      </c>
      <c r="E1804" s="28" t="s">
        <v>10471</v>
      </c>
      <c r="F1804" s="28" t="s">
        <v>21</v>
      </c>
      <c r="G1804" s="28" t="s">
        <v>135</v>
      </c>
      <c r="H1804" s="28" t="s">
        <v>10303</v>
      </c>
      <c r="I1804" s="28" t="s">
        <v>10472</v>
      </c>
      <c r="J1804" s="28" t="s">
        <v>135</v>
      </c>
      <c r="K1804" s="28" t="s">
        <v>10305</v>
      </c>
      <c r="L1804" s="28" t="s">
        <v>10306</v>
      </c>
      <c r="M1804" s="28" t="s">
        <v>10473</v>
      </c>
      <c r="N1804" s="28" t="s">
        <v>10308</v>
      </c>
      <c r="O1804" s="28" t="s">
        <v>10309</v>
      </c>
      <c r="P1804" s="28" t="s">
        <v>10474</v>
      </c>
    </row>
    <row r="1805" spans="1:16" x14ac:dyDescent="0.25">
      <c r="A1805" s="28" t="s">
        <v>10475</v>
      </c>
      <c r="B1805" s="28" t="s">
        <v>10476</v>
      </c>
      <c r="C1805" s="28" t="s">
        <v>132</v>
      </c>
      <c r="D1805" s="28" t="s">
        <v>133</v>
      </c>
      <c r="E1805" s="28" t="s">
        <v>10477</v>
      </c>
      <c r="F1805" s="28" t="s">
        <v>21</v>
      </c>
      <c r="G1805" s="28" t="s">
        <v>135</v>
      </c>
      <c r="H1805" s="28" t="s">
        <v>10303</v>
      </c>
      <c r="I1805" s="28" t="s">
        <v>10478</v>
      </c>
      <c r="J1805" s="28" t="s">
        <v>135</v>
      </c>
      <c r="K1805" s="28" t="s">
        <v>10305</v>
      </c>
      <c r="L1805" s="28" t="s">
        <v>10306</v>
      </c>
      <c r="M1805" s="28" t="s">
        <v>10479</v>
      </c>
      <c r="N1805" s="28" t="s">
        <v>10308</v>
      </c>
      <c r="O1805" s="28" t="s">
        <v>10309</v>
      </c>
      <c r="P1805" s="28" t="s">
        <v>10480</v>
      </c>
    </row>
    <row r="1806" spans="1:16" x14ac:dyDescent="0.25">
      <c r="A1806" s="28" t="s">
        <v>10481</v>
      </c>
      <c r="B1806" s="28" t="s">
        <v>10482</v>
      </c>
      <c r="C1806" s="28" t="s">
        <v>132</v>
      </c>
      <c r="D1806" s="28" t="s">
        <v>133</v>
      </c>
      <c r="E1806" s="28" t="s">
        <v>7031</v>
      </c>
      <c r="F1806" s="28" t="s">
        <v>21</v>
      </c>
      <c r="G1806" s="28" t="s">
        <v>135</v>
      </c>
      <c r="H1806" s="28" t="s">
        <v>9633</v>
      </c>
      <c r="I1806" s="28" t="s">
        <v>10483</v>
      </c>
      <c r="J1806" s="28" t="s">
        <v>135</v>
      </c>
      <c r="K1806" s="28" t="s">
        <v>10125</v>
      </c>
      <c r="L1806" s="28" t="s">
        <v>9636</v>
      </c>
      <c r="M1806" s="28" t="s">
        <v>10484</v>
      </c>
      <c r="N1806" s="28" t="s">
        <v>9638</v>
      </c>
      <c r="O1806" s="28" t="s">
        <v>9639</v>
      </c>
      <c r="P1806" s="28" t="s">
        <v>10485</v>
      </c>
    </row>
    <row r="1807" spans="1:16" x14ac:dyDescent="0.25">
      <c r="A1807" s="28" t="s">
        <v>10486</v>
      </c>
      <c r="B1807" s="28" t="s">
        <v>10487</v>
      </c>
      <c r="C1807" s="28" t="s">
        <v>132</v>
      </c>
      <c r="D1807" s="28" t="s">
        <v>133</v>
      </c>
      <c r="E1807" s="28" t="s">
        <v>7031</v>
      </c>
      <c r="F1807" s="28" t="s">
        <v>21</v>
      </c>
      <c r="G1807" s="28" t="s">
        <v>135</v>
      </c>
      <c r="H1807" s="28" t="s">
        <v>9633</v>
      </c>
      <c r="I1807" s="28" t="s">
        <v>10488</v>
      </c>
      <c r="J1807" s="28" t="s">
        <v>135</v>
      </c>
      <c r="K1807" s="28" t="s">
        <v>10125</v>
      </c>
      <c r="L1807" s="28" t="s">
        <v>9636</v>
      </c>
      <c r="M1807" s="28" t="s">
        <v>10484</v>
      </c>
      <c r="N1807" s="28" t="s">
        <v>9638</v>
      </c>
      <c r="O1807" s="28" t="s">
        <v>9639</v>
      </c>
      <c r="P1807" s="28" t="s">
        <v>10489</v>
      </c>
    </row>
    <row r="1808" spans="1:16" x14ac:dyDescent="0.25">
      <c r="A1808" s="28" t="s">
        <v>10490</v>
      </c>
      <c r="B1808" s="28" t="s">
        <v>10491</v>
      </c>
      <c r="C1808" s="28" t="s">
        <v>132</v>
      </c>
      <c r="D1808" s="28" t="s">
        <v>133</v>
      </c>
      <c r="E1808" s="28" t="s">
        <v>7031</v>
      </c>
      <c r="F1808" s="28" t="s">
        <v>21</v>
      </c>
      <c r="G1808" s="28" t="s">
        <v>135</v>
      </c>
      <c r="H1808" s="28" t="s">
        <v>9633</v>
      </c>
      <c r="I1808" s="28" t="s">
        <v>10492</v>
      </c>
      <c r="J1808" s="28" t="s">
        <v>135</v>
      </c>
      <c r="K1808" s="28" t="s">
        <v>10125</v>
      </c>
      <c r="L1808" s="28" t="s">
        <v>9636</v>
      </c>
      <c r="M1808" s="28" t="s">
        <v>10484</v>
      </c>
      <c r="N1808" s="28" t="s">
        <v>9638</v>
      </c>
      <c r="O1808" s="28" t="s">
        <v>9639</v>
      </c>
      <c r="P1808" s="28" t="s">
        <v>10493</v>
      </c>
    </row>
    <row r="1809" spans="1:16" x14ac:dyDescent="0.25">
      <c r="A1809" s="28" t="s">
        <v>10494</v>
      </c>
      <c r="B1809" s="28" t="s">
        <v>10495</v>
      </c>
      <c r="C1809" s="28" t="s">
        <v>132</v>
      </c>
      <c r="D1809" s="28" t="s">
        <v>133</v>
      </c>
      <c r="E1809" s="28" t="s">
        <v>161</v>
      </c>
      <c r="F1809" s="28" t="s">
        <v>21</v>
      </c>
      <c r="G1809" s="28" t="s">
        <v>39</v>
      </c>
      <c r="H1809" s="28" t="s">
        <v>10259</v>
      </c>
      <c r="I1809" s="28" t="s">
        <v>10496</v>
      </c>
      <c r="J1809" s="28" t="s">
        <v>39</v>
      </c>
      <c r="K1809" s="28" t="s">
        <v>10261</v>
      </c>
      <c r="L1809" s="28" t="s">
        <v>10262</v>
      </c>
      <c r="M1809" s="28" t="s">
        <v>10497</v>
      </c>
      <c r="N1809" s="28" t="s">
        <v>10264</v>
      </c>
      <c r="O1809" s="28" t="s">
        <v>10265</v>
      </c>
      <c r="P1809" s="28" t="s">
        <v>10266</v>
      </c>
    </row>
    <row r="1810" spans="1:16" x14ac:dyDescent="0.25">
      <c r="A1810" s="28" t="s">
        <v>10498</v>
      </c>
      <c r="B1810" s="28" t="s">
        <v>10499</v>
      </c>
      <c r="C1810" s="28" t="s">
        <v>132</v>
      </c>
      <c r="D1810" s="28" t="s">
        <v>133</v>
      </c>
      <c r="E1810" s="28" t="s">
        <v>161</v>
      </c>
      <c r="F1810" s="28" t="s">
        <v>21</v>
      </c>
      <c r="G1810" s="28" t="s">
        <v>39</v>
      </c>
      <c r="H1810" s="28" t="s">
        <v>9711</v>
      </c>
      <c r="I1810" s="28" t="s">
        <v>10500</v>
      </c>
      <c r="J1810" s="28" t="s">
        <v>39</v>
      </c>
      <c r="K1810" s="28" t="s">
        <v>10292</v>
      </c>
      <c r="L1810" s="28" t="s">
        <v>9714</v>
      </c>
      <c r="M1810" s="28" t="s">
        <v>10501</v>
      </c>
      <c r="N1810" s="28" t="s">
        <v>9716</v>
      </c>
      <c r="O1810" s="28" t="s">
        <v>9717</v>
      </c>
      <c r="P1810" s="28" t="s">
        <v>10502</v>
      </c>
    </row>
    <row r="1811" spans="1:16" x14ac:dyDescent="0.25">
      <c r="A1811" s="28" t="s">
        <v>10503</v>
      </c>
      <c r="B1811" s="28" t="s">
        <v>10504</v>
      </c>
      <c r="C1811" s="28" t="s">
        <v>132</v>
      </c>
      <c r="D1811" s="28" t="s">
        <v>133</v>
      </c>
      <c r="E1811" s="28" t="s">
        <v>170</v>
      </c>
      <c r="F1811" s="28" t="s">
        <v>21</v>
      </c>
      <c r="G1811" s="28" t="s">
        <v>39</v>
      </c>
      <c r="H1811" s="28" t="s">
        <v>9711</v>
      </c>
      <c r="I1811" s="28" t="s">
        <v>10505</v>
      </c>
      <c r="J1811" s="28" t="s">
        <v>39</v>
      </c>
      <c r="K1811" s="28" t="s">
        <v>10506</v>
      </c>
      <c r="L1811" s="28" t="s">
        <v>9714</v>
      </c>
      <c r="M1811" s="28" t="s">
        <v>10507</v>
      </c>
      <c r="N1811" s="28" t="s">
        <v>9716</v>
      </c>
      <c r="O1811" s="28" t="s">
        <v>9717</v>
      </c>
      <c r="P1811" s="28" t="s">
        <v>10508</v>
      </c>
    </row>
    <row r="1812" spans="1:16" x14ac:dyDescent="0.25">
      <c r="A1812" s="28" t="s">
        <v>10509</v>
      </c>
      <c r="B1812" s="28" t="s">
        <v>10510</v>
      </c>
      <c r="C1812" s="28" t="s">
        <v>132</v>
      </c>
      <c r="D1812" s="28" t="s">
        <v>133</v>
      </c>
      <c r="E1812" s="28" t="s">
        <v>170</v>
      </c>
      <c r="F1812" s="28" t="s">
        <v>21</v>
      </c>
      <c r="G1812" s="28" t="s">
        <v>39</v>
      </c>
      <c r="H1812" s="28" t="s">
        <v>9711</v>
      </c>
      <c r="I1812" s="28" t="s">
        <v>10511</v>
      </c>
      <c r="J1812" s="28" t="s">
        <v>39</v>
      </c>
      <c r="K1812" s="28" t="s">
        <v>10506</v>
      </c>
      <c r="L1812" s="28" t="s">
        <v>9714</v>
      </c>
      <c r="M1812" s="28" t="s">
        <v>10512</v>
      </c>
      <c r="N1812" s="28" t="s">
        <v>9716</v>
      </c>
      <c r="O1812" s="28" t="s">
        <v>9717</v>
      </c>
      <c r="P1812" s="28" t="s">
        <v>10513</v>
      </c>
    </row>
    <row r="1813" spans="1:16" x14ac:dyDescent="0.25">
      <c r="A1813" s="28" t="s">
        <v>10514</v>
      </c>
      <c r="B1813" s="28" t="s">
        <v>10515</v>
      </c>
      <c r="C1813" s="28" t="s">
        <v>132</v>
      </c>
      <c r="D1813" s="28" t="s">
        <v>133</v>
      </c>
      <c r="E1813" s="28" t="s">
        <v>170</v>
      </c>
      <c r="F1813" s="28" t="s">
        <v>21</v>
      </c>
      <c r="G1813" s="28" t="s">
        <v>39</v>
      </c>
      <c r="H1813" s="28" t="s">
        <v>9711</v>
      </c>
      <c r="I1813" s="28" t="s">
        <v>10516</v>
      </c>
      <c r="J1813" s="28" t="s">
        <v>39</v>
      </c>
      <c r="K1813" s="28" t="s">
        <v>10506</v>
      </c>
      <c r="L1813" s="28" t="s">
        <v>9714</v>
      </c>
      <c r="M1813" s="28" t="s">
        <v>10517</v>
      </c>
      <c r="N1813" s="28" t="s">
        <v>9716</v>
      </c>
      <c r="O1813" s="28" t="s">
        <v>9717</v>
      </c>
      <c r="P1813" s="28" t="s">
        <v>10518</v>
      </c>
    </row>
    <row r="1814" spans="1:16" x14ac:dyDescent="0.25">
      <c r="A1814" s="28" t="s">
        <v>10519</v>
      </c>
      <c r="B1814" s="28" t="s">
        <v>10520</v>
      </c>
      <c r="C1814" s="28" t="s">
        <v>132</v>
      </c>
      <c r="D1814" s="28" t="s">
        <v>1504</v>
      </c>
      <c r="E1814" s="28" t="s">
        <v>1513</v>
      </c>
      <c r="F1814" s="28" t="s">
        <v>21</v>
      </c>
      <c r="G1814" s="28" t="s">
        <v>135</v>
      </c>
      <c r="H1814" s="28" t="s">
        <v>9633</v>
      </c>
      <c r="I1814" s="28" t="s">
        <v>10521</v>
      </c>
      <c r="J1814" s="28" t="s">
        <v>135</v>
      </c>
      <c r="K1814" s="28" t="s">
        <v>10125</v>
      </c>
      <c r="L1814" s="28" t="s">
        <v>9636</v>
      </c>
      <c r="M1814" s="28" t="s">
        <v>10522</v>
      </c>
      <c r="N1814" s="28" t="s">
        <v>9638</v>
      </c>
      <c r="O1814" s="28" t="s">
        <v>9639</v>
      </c>
      <c r="P1814" s="28" t="s">
        <v>10523</v>
      </c>
    </row>
    <row r="1815" spans="1:16" x14ac:dyDescent="0.25">
      <c r="A1815" s="28" t="s">
        <v>10524</v>
      </c>
      <c r="B1815" s="28" t="s">
        <v>10525</v>
      </c>
      <c r="C1815" s="28" t="s">
        <v>132</v>
      </c>
      <c r="D1815" s="28" t="s">
        <v>1504</v>
      </c>
      <c r="E1815" s="28" t="s">
        <v>10526</v>
      </c>
      <c r="F1815" s="28" t="s">
        <v>21</v>
      </c>
      <c r="G1815" s="28" t="s">
        <v>207</v>
      </c>
      <c r="H1815" s="28" t="s">
        <v>9633</v>
      </c>
      <c r="I1815" s="28" t="s">
        <v>10527</v>
      </c>
      <c r="J1815" s="28" t="s">
        <v>207</v>
      </c>
      <c r="K1815" s="28" t="s">
        <v>9635</v>
      </c>
      <c r="L1815" s="28" t="s">
        <v>9636</v>
      </c>
      <c r="M1815" s="28" t="s">
        <v>10528</v>
      </c>
      <c r="N1815" s="28" t="s">
        <v>9638</v>
      </c>
      <c r="O1815" s="28" t="s">
        <v>9639</v>
      </c>
      <c r="P1815" s="28" t="s">
        <v>10529</v>
      </c>
    </row>
    <row r="1816" spans="1:16" x14ac:dyDescent="0.25">
      <c r="A1816" s="28" t="s">
        <v>10530</v>
      </c>
      <c r="B1816" s="28" t="s">
        <v>10531</v>
      </c>
      <c r="C1816" s="28" t="s">
        <v>132</v>
      </c>
      <c r="D1816" s="28" t="s">
        <v>1504</v>
      </c>
      <c r="E1816" s="28" t="s">
        <v>10532</v>
      </c>
      <c r="F1816" s="28" t="s">
        <v>21</v>
      </c>
      <c r="G1816" s="28" t="s">
        <v>149</v>
      </c>
      <c r="H1816" s="28" t="s">
        <v>9633</v>
      </c>
      <c r="I1816" s="28" t="s">
        <v>10533</v>
      </c>
      <c r="J1816" s="28" t="s">
        <v>149</v>
      </c>
      <c r="K1816" s="28" t="s">
        <v>9722</v>
      </c>
      <c r="L1816" s="28" t="s">
        <v>9636</v>
      </c>
      <c r="M1816" s="28" t="s">
        <v>10534</v>
      </c>
      <c r="N1816" s="28" t="s">
        <v>9638</v>
      </c>
      <c r="O1816" s="28" t="s">
        <v>9639</v>
      </c>
      <c r="P1816" s="28" t="s">
        <v>10535</v>
      </c>
    </row>
    <row r="1817" spans="1:16" x14ac:dyDescent="0.25">
      <c r="A1817" s="28" t="s">
        <v>10536</v>
      </c>
      <c r="B1817" s="28" t="s">
        <v>10537</v>
      </c>
      <c r="C1817" s="28" t="s">
        <v>132</v>
      </c>
      <c r="D1817" s="28" t="s">
        <v>1504</v>
      </c>
      <c r="E1817" s="28" t="s">
        <v>10538</v>
      </c>
      <c r="F1817" s="28" t="s">
        <v>21</v>
      </c>
      <c r="G1817" s="28" t="s">
        <v>149</v>
      </c>
      <c r="H1817" s="28" t="s">
        <v>9633</v>
      </c>
      <c r="I1817" s="28" t="s">
        <v>10539</v>
      </c>
      <c r="J1817" s="28" t="s">
        <v>149</v>
      </c>
      <c r="K1817" s="28" t="s">
        <v>9722</v>
      </c>
      <c r="L1817" s="28" t="s">
        <v>9636</v>
      </c>
      <c r="M1817" s="28" t="s">
        <v>10540</v>
      </c>
      <c r="N1817" s="28" t="s">
        <v>9638</v>
      </c>
      <c r="O1817" s="28" t="s">
        <v>9639</v>
      </c>
      <c r="P1817" s="28" t="s">
        <v>10541</v>
      </c>
    </row>
    <row r="1818" spans="1:16" x14ac:dyDescent="0.25">
      <c r="A1818" s="28" t="s">
        <v>10542</v>
      </c>
      <c r="B1818" s="28" t="s">
        <v>10543</v>
      </c>
      <c r="C1818" s="28" t="s">
        <v>132</v>
      </c>
      <c r="D1818" s="28" t="s">
        <v>1504</v>
      </c>
      <c r="E1818" s="28" t="s">
        <v>10544</v>
      </c>
      <c r="F1818" s="28" t="s">
        <v>21</v>
      </c>
      <c r="G1818" s="28" t="s">
        <v>149</v>
      </c>
      <c r="H1818" s="28" t="s">
        <v>9633</v>
      </c>
      <c r="I1818" s="28" t="s">
        <v>10545</v>
      </c>
      <c r="J1818" s="28" t="s">
        <v>149</v>
      </c>
      <c r="K1818" s="28" t="s">
        <v>9722</v>
      </c>
      <c r="L1818" s="28" t="s">
        <v>9636</v>
      </c>
      <c r="M1818" s="28" t="s">
        <v>10546</v>
      </c>
      <c r="N1818" s="28" t="s">
        <v>9638</v>
      </c>
      <c r="O1818" s="28" t="s">
        <v>9639</v>
      </c>
      <c r="P1818" s="28" t="s">
        <v>10547</v>
      </c>
    </row>
    <row r="1819" spans="1:16" x14ac:dyDescent="0.25">
      <c r="A1819" s="28" t="s">
        <v>10548</v>
      </c>
      <c r="B1819" s="28" t="s">
        <v>10549</v>
      </c>
      <c r="C1819" s="28" t="s">
        <v>132</v>
      </c>
      <c r="D1819" s="28" t="s">
        <v>1525</v>
      </c>
      <c r="E1819" s="28" t="s">
        <v>2231</v>
      </c>
      <c r="F1819" s="28" t="s">
        <v>21</v>
      </c>
      <c r="G1819" s="28" t="s">
        <v>135</v>
      </c>
      <c r="H1819" s="28" t="s">
        <v>10259</v>
      </c>
      <c r="I1819" s="28" t="s">
        <v>10550</v>
      </c>
      <c r="J1819" s="28" t="s">
        <v>135</v>
      </c>
      <c r="K1819" s="28" t="s">
        <v>10551</v>
      </c>
      <c r="L1819" s="28" t="s">
        <v>10262</v>
      </c>
      <c r="M1819" s="28" t="s">
        <v>10552</v>
      </c>
      <c r="N1819" s="28" t="s">
        <v>10264</v>
      </c>
      <c r="O1819" s="28" t="s">
        <v>10265</v>
      </c>
      <c r="P1819" s="28" t="s">
        <v>10266</v>
      </c>
    </row>
    <row r="1820" spans="1:16" x14ac:dyDescent="0.25">
      <c r="A1820" s="28" t="s">
        <v>10553</v>
      </c>
      <c r="B1820" s="28" t="s">
        <v>10554</v>
      </c>
      <c r="C1820" s="28" t="s">
        <v>132</v>
      </c>
      <c r="D1820" s="28" t="s">
        <v>1525</v>
      </c>
      <c r="E1820" s="28" t="s">
        <v>2237</v>
      </c>
      <c r="F1820" s="28" t="s">
        <v>21</v>
      </c>
      <c r="G1820" s="28" t="s">
        <v>135</v>
      </c>
      <c r="H1820" s="28" t="s">
        <v>10259</v>
      </c>
      <c r="I1820" s="28" t="s">
        <v>10555</v>
      </c>
      <c r="J1820" s="28" t="s">
        <v>135</v>
      </c>
      <c r="K1820" s="28" t="s">
        <v>10551</v>
      </c>
      <c r="L1820" s="28" t="s">
        <v>10262</v>
      </c>
      <c r="M1820" s="28" t="s">
        <v>10556</v>
      </c>
      <c r="N1820" s="28" t="s">
        <v>10264</v>
      </c>
      <c r="O1820" s="28" t="s">
        <v>10265</v>
      </c>
      <c r="P1820" s="28" t="s">
        <v>10266</v>
      </c>
    </row>
    <row r="1821" spans="1:16" x14ac:dyDescent="0.25">
      <c r="A1821" s="28" t="s">
        <v>10557</v>
      </c>
      <c r="B1821" s="28" t="s">
        <v>10558</v>
      </c>
      <c r="C1821" s="28" t="s">
        <v>132</v>
      </c>
      <c r="D1821" s="28" t="s">
        <v>1525</v>
      </c>
      <c r="E1821" s="28" t="s">
        <v>10559</v>
      </c>
      <c r="F1821" s="28" t="s">
        <v>21</v>
      </c>
      <c r="G1821" s="28" t="s">
        <v>149</v>
      </c>
      <c r="H1821" s="28" t="s">
        <v>9633</v>
      </c>
      <c r="I1821" s="28" t="s">
        <v>10560</v>
      </c>
      <c r="J1821" s="28" t="s">
        <v>149</v>
      </c>
      <c r="K1821" s="28" t="s">
        <v>9722</v>
      </c>
      <c r="L1821" s="28" t="s">
        <v>9636</v>
      </c>
      <c r="M1821" s="28" t="s">
        <v>10561</v>
      </c>
      <c r="N1821" s="28" t="s">
        <v>9638</v>
      </c>
      <c r="O1821" s="28" t="s">
        <v>9639</v>
      </c>
      <c r="P1821" s="28" t="s">
        <v>10562</v>
      </c>
    </row>
    <row r="1822" spans="1:16" x14ac:dyDescent="0.25">
      <c r="A1822" s="28" t="s">
        <v>10563</v>
      </c>
      <c r="B1822" s="28" t="s">
        <v>10564</v>
      </c>
      <c r="C1822" s="28" t="s">
        <v>132</v>
      </c>
      <c r="D1822" s="28" t="s">
        <v>1525</v>
      </c>
      <c r="E1822" s="28" t="s">
        <v>10559</v>
      </c>
      <c r="F1822" s="28" t="s">
        <v>21</v>
      </c>
      <c r="G1822" s="28" t="s">
        <v>149</v>
      </c>
      <c r="H1822" s="28" t="s">
        <v>9633</v>
      </c>
      <c r="I1822" s="28" t="s">
        <v>10565</v>
      </c>
      <c r="J1822" s="28" t="s">
        <v>149</v>
      </c>
      <c r="K1822" s="28" t="s">
        <v>9722</v>
      </c>
      <c r="L1822" s="28" t="s">
        <v>9636</v>
      </c>
      <c r="M1822" s="28" t="s">
        <v>10566</v>
      </c>
      <c r="N1822" s="28" t="s">
        <v>9638</v>
      </c>
      <c r="O1822" s="28" t="s">
        <v>9639</v>
      </c>
      <c r="P1822" s="28" t="s">
        <v>10562</v>
      </c>
    </row>
    <row r="1823" spans="1:16" x14ac:dyDescent="0.25">
      <c r="A1823" s="28" t="s">
        <v>10567</v>
      </c>
      <c r="B1823" s="28" t="s">
        <v>10568</v>
      </c>
      <c r="C1823" s="28" t="s">
        <v>132</v>
      </c>
      <c r="D1823" s="28" t="s">
        <v>1525</v>
      </c>
      <c r="E1823" s="28" t="s">
        <v>10559</v>
      </c>
      <c r="F1823" s="28" t="s">
        <v>21</v>
      </c>
      <c r="G1823" s="28" t="s">
        <v>149</v>
      </c>
      <c r="H1823" s="28" t="s">
        <v>9633</v>
      </c>
      <c r="I1823" s="28" t="s">
        <v>10569</v>
      </c>
      <c r="J1823" s="28" t="s">
        <v>149</v>
      </c>
      <c r="K1823" s="28" t="s">
        <v>9722</v>
      </c>
      <c r="L1823" s="28" t="s">
        <v>9636</v>
      </c>
      <c r="M1823" s="28" t="s">
        <v>10570</v>
      </c>
      <c r="N1823" s="28" t="s">
        <v>9638</v>
      </c>
      <c r="O1823" s="28" t="s">
        <v>9639</v>
      </c>
      <c r="P1823" s="28" t="s">
        <v>10562</v>
      </c>
    </row>
    <row r="1824" spans="1:16" x14ac:dyDescent="0.25">
      <c r="A1824" s="28" t="s">
        <v>10571</v>
      </c>
      <c r="B1824" s="28" t="s">
        <v>10572</v>
      </c>
      <c r="C1824" s="28" t="s">
        <v>132</v>
      </c>
      <c r="D1824" s="28" t="s">
        <v>1525</v>
      </c>
      <c r="E1824" s="28" t="s">
        <v>10559</v>
      </c>
      <c r="F1824" s="28" t="s">
        <v>21</v>
      </c>
      <c r="G1824" s="28" t="s">
        <v>149</v>
      </c>
      <c r="H1824" s="28" t="s">
        <v>9633</v>
      </c>
      <c r="I1824" s="28" t="s">
        <v>10573</v>
      </c>
      <c r="J1824" s="28" t="s">
        <v>149</v>
      </c>
      <c r="K1824" s="28" t="s">
        <v>9722</v>
      </c>
      <c r="L1824" s="28" t="s">
        <v>9636</v>
      </c>
      <c r="M1824" s="28" t="s">
        <v>10574</v>
      </c>
      <c r="N1824" s="28" t="s">
        <v>9638</v>
      </c>
      <c r="O1824" s="28" t="s">
        <v>9639</v>
      </c>
      <c r="P1824" s="28" t="s">
        <v>10562</v>
      </c>
    </row>
    <row r="1825" spans="1:16" x14ac:dyDescent="0.25">
      <c r="A1825" s="28" t="s">
        <v>10575</v>
      </c>
      <c r="B1825" s="28" t="s">
        <v>10576</v>
      </c>
      <c r="C1825" s="28" t="s">
        <v>132</v>
      </c>
      <c r="D1825" s="28" t="s">
        <v>1525</v>
      </c>
      <c r="E1825" s="28" t="s">
        <v>10559</v>
      </c>
      <c r="F1825" s="28" t="s">
        <v>21</v>
      </c>
      <c r="G1825" s="28" t="s">
        <v>149</v>
      </c>
      <c r="H1825" s="28" t="s">
        <v>9633</v>
      </c>
      <c r="I1825" s="28" t="s">
        <v>10577</v>
      </c>
      <c r="J1825" s="28" t="s">
        <v>149</v>
      </c>
      <c r="K1825" s="28" t="s">
        <v>9722</v>
      </c>
      <c r="L1825" s="28" t="s">
        <v>9636</v>
      </c>
      <c r="M1825" s="28" t="s">
        <v>10578</v>
      </c>
      <c r="N1825" s="28" t="s">
        <v>9638</v>
      </c>
      <c r="O1825" s="28" t="s">
        <v>9639</v>
      </c>
      <c r="P1825" s="28" t="s">
        <v>10562</v>
      </c>
    </row>
    <row r="1826" spans="1:16" x14ac:dyDescent="0.25">
      <c r="A1826" s="28" t="s">
        <v>10579</v>
      </c>
      <c r="B1826" s="28" t="s">
        <v>10580</v>
      </c>
      <c r="C1826" s="28" t="s">
        <v>132</v>
      </c>
      <c r="D1826" s="28" t="s">
        <v>1525</v>
      </c>
      <c r="E1826" s="28" t="s">
        <v>10559</v>
      </c>
      <c r="F1826" s="28" t="s">
        <v>21</v>
      </c>
      <c r="G1826" s="28" t="s">
        <v>149</v>
      </c>
      <c r="H1826" s="28" t="s">
        <v>9633</v>
      </c>
      <c r="I1826" s="28" t="s">
        <v>10581</v>
      </c>
      <c r="J1826" s="28" t="s">
        <v>149</v>
      </c>
      <c r="K1826" s="28" t="s">
        <v>9722</v>
      </c>
      <c r="L1826" s="28" t="s">
        <v>9636</v>
      </c>
      <c r="M1826" s="28" t="s">
        <v>10582</v>
      </c>
      <c r="N1826" s="28" t="s">
        <v>9638</v>
      </c>
      <c r="O1826" s="28" t="s">
        <v>9639</v>
      </c>
      <c r="P1826" s="28" t="s">
        <v>10562</v>
      </c>
    </row>
    <row r="1827" spans="1:16" x14ac:dyDescent="0.25">
      <c r="A1827" s="28" t="s">
        <v>10583</v>
      </c>
      <c r="B1827" s="28" t="s">
        <v>10584</v>
      </c>
      <c r="C1827" s="28" t="s">
        <v>132</v>
      </c>
      <c r="D1827" s="28" t="s">
        <v>45</v>
      </c>
      <c r="E1827" s="28" t="s">
        <v>46</v>
      </c>
      <c r="F1827" s="28" t="s">
        <v>21</v>
      </c>
      <c r="G1827" s="28" t="s">
        <v>39</v>
      </c>
      <c r="H1827" s="28" t="s">
        <v>9711</v>
      </c>
      <c r="I1827" s="28" t="s">
        <v>10585</v>
      </c>
      <c r="J1827" s="28" t="s">
        <v>39</v>
      </c>
      <c r="K1827" s="28" t="s">
        <v>10506</v>
      </c>
      <c r="L1827" s="28" t="s">
        <v>9714</v>
      </c>
      <c r="M1827" s="28" t="s">
        <v>10586</v>
      </c>
      <c r="N1827" s="28" t="s">
        <v>9716</v>
      </c>
      <c r="O1827" s="28" t="s">
        <v>9717</v>
      </c>
      <c r="P1827" s="28" t="s">
        <v>10587</v>
      </c>
    </row>
    <row r="1828" spans="1:16" x14ac:dyDescent="0.25">
      <c r="A1828" s="28" t="s">
        <v>10588</v>
      </c>
      <c r="B1828" s="28" t="s">
        <v>10589</v>
      </c>
      <c r="C1828" s="28" t="s">
        <v>132</v>
      </c>
      <c r="D1828" s="28" t="s">
        <v>45</v>
      </c>
      <c r="E1828" s="28" t="s">
        <v>46</v>
      </c>
      <c r="F1828" s="28" t="s">
        <v>21</v>
      </c>
      <c r="G1828" s="28" t="s">
        <v>39</v>
      </c>
      <c r="H1828" s="28" t="s">
        <v>9711</v>
      </c>
      <c r="I1828" s="28" t="s">
        <v>10590</v>
      </c>
      <c r="J1828" s="28" t="s">
        <v>39</v>
      </c>
      <c r="K1828" s="28" t="s">
        <v>10506</v>
      </c>
      <c r="L1828" s="28" t="s">
        <v>9714</v>
      </c>
      <c r="M1828" s="28" t="s">
        <v>10591</v>
      </c>
      <c r="N1828" s="28" t="s">
        <v>9716</v>
      </c>
      <c r="O1828" s="28" t="s">
        <v>9717</v>
      </c>
      <c r="P1828" s="28" t="s">
        <v>10592</v>
      </c>
    </row>
    <row r="1829" spans="1:16" x14ac:dyDescent="0.25">
      <c r="A1829" s="28" t="s">
        <v>10593</v>
      </c>
      <c r="B1829" s="28" t="s">
        <v>10594</v>
      </c>
      <c r="C1829" s="28" t="s">
        <v>132</v>
      </c>
      <c r="D1829" s="28" t="s">
        <v>45</v>
      </c>
      <c r="E1829" s="28" t="s">
        <v>46</v>
      </c>
      <c r="F1829" s="28" t="s">
        <v>21</v>
      </c>
      <c r="G1829" s="28" t="s">
        <v>39</v>
      </c>
      <c r="H1829" s="28" t="s">
        <v>9711</v>
      </c>
      <c r="I1829" s="28" t="s">
        <v>10595</v>
      </c>
      <c r="J1829" s="28" t="s">
        <v>39</v>
      </c>
      <c r="K1829" s="28" t="s">
        <v>10506</v>
      </c>
      <c r="L1829" s="28" t="s">
        <v>9714</v>
      </c>
      <c r="M1829" s="28" t="s">
        <v>10596</v>
      </c>
      <c r="N1829" s="28" t="s">
        <v>9716</v>
      </c>
      <c r="O1829" s="28" t="s">
        <v>9717</v>
      </c>
      <c r="P1829" s="28" t="s">
        <v>10597</v>
      </c>
    </row>
    <row r="1830" spans="1:16" x14ac:dyDescent="0.25">
      <c r="A1830" s="28" t="s">
        <v>10598</v>
      </c>
      <c r="B1830" s="28" t="s">
        <v>10599</v>
      </c>
      <c r="C1830" s="28" t="s">
        <v>132</v>
      </c>
      <c r="D1830" s="28" t="s">
        <v>45</v>
      </c>
      <c r="E1830" s="28" t="s">
        <v>10600</v>
      </c>
      <c r="F1830" s="28" t="s">
        <v>21</v>
      </c>
      <c r="G1830" s="28" t="s">
        <v>207</v>
      </c>
      <c r="H1830" s="28" t="s">
        <v>9633</v>
      </c>
      <c r="I1830" s="28" t="s">
        <v>10601</v>
      </c>
      <c r="J1830" s="28" t="s">
        <v>207</v>
      </c>
      <c r="K1830" s="28" t="s">
        <v>9635</v>
      </c>
      <c r="L1830" s="28" t="s">
        <v>9636</v>
      </c>
      <c r="M1830" s="28" t="s">
        <v>10602</v>
      </c>
      <c r="N1830" s="28" t="s">
        <v>9638</v>
      </c>
      <c r="O1830" s="28" t="s">
        <v>9639</v>
      </c>
      <c r="P1830" s="28" t="s">
        <v>10603</v>
      </c>
    </row>
    <row r="1831" spans="1:16" x14ac:dyDescent="0.25">
      <c r="A1831" s="28" t="s">
        <v>10604</v>
      </c>
      <c r="B1831" s="28" t="s">
        <v>10605</v>
      </c>
      <c r="C1831" s="28" t="s">
        <v>132</v>
      </c>
      <c r="D1831" s="28" t="s">
        <v>45</v>
      </c>
      <c r="E1831" s="28" t="s">
        <v>10600</v>
      </c>
      <c r="F1831" s="28" t="s">
        <v>21</v>
      </c>
      <c r="G1831" s="28" t="s">
        <v>207</v>
      </c>
      <c r="H1831" s="28" t="s">
        <v>9633</v>
      </c>
      <c r="I1831" s="28" t="s">
        <v>10606</v>
      </c>
      <c r="J1831" s="28" t="s">
        <v>207</v>
      </c>
      <c r="K1831" s="28" t="s">
        <v>9635</v>
      </c>
      <c r="L1831" s="28" t="s">
        <v>9636</v>
      </c>
      <c r="M1831" s="28" t="s">
        <v>10607</v>
      </c>
      <c r="N1831" s="28" t="s">
        <v>9638</v>
      </c>
      <c r="O1831" s="28" t="s">
        <v>9639</v>
      </c>
      <c r="P1831" s="28" t="s">
        <v>10603</v>
      </c>
    </row>
    <row r="1832" spans="1:16" x14ac:dyDescent="0.25">
      <c r="A1832" s="28" t="s">
        <v>10608</v>
      </c>
      <c r="B1832" s="28" t="s">
        <v>10609</v>
      </c>
      <c r="C1832" s="28" t="s">
        <v>132</v>
      </c>
      <c r="D1832" s="28" t="s">
        <v>45</v>
      </c>
      <c r="E1832" s="28" t="s">
        <v>10600</v>
      </c>
      <c r="F1832" s="28" t="s">
        <v>21</v>
      </c>
      <c r="G1832" s="28" t="s">
        <v>207</v>
      </c>
      <c r="H1832" s="28" t="s">
        <v>9633</v>
      </c>
      <c r="I1832" s="28" t="s">
        <v>10610</v>
      </c>
      <c r="J1832" s="28" t="s">
        <v>207</v>
      </c>
      <c r="K1832" s="28" t="s">
        <v>9635</v>
      </c>
      <c r="L1832" s="28" t="s">
        <v>9636</v>
      </c>
      <c r="M1832" s="28" t="s">
        <v>10611</v>
      </c>
      <c r="N1832" s="28" t="s">
        <v>9638</v>
      </c>
      <c r="O1832" s="28" t="s">
        <v>9639</v>
      </c>
      <c r="P1832" s="28" t="s">
        <v>10603</v>
      </c>
    </row>
    <row r="1833" spans="1:16" x14ac:dyDescent="0.25">
      <c r="A1833" s="28" t="s">
        <v>10612</v>
      </c>
      <c r="B1833" s="28" t="s">
        <v>10613</v>
      </c>
      <c r="C1833" s="28" t="s">
        <v>132</v>
      </c>
      <c r="D1833" s="28" t="s">
        <v>45</v>
      </c>
      <c r="E1833" s="28" t="s">
        <v>10600</v>
      </c>
      <c r="F1833" s="28" t="s">
        <v>21</v>
      </c>
      <c r="G1833" s="28" t="s">
        <v>207</v>
      </c>
      <c r="H1833" s="28" t="s">
        <v>9633</v>
      </c>
      <c r="I1833" s="28" t="s">
        <v>10614</v>
      </c>
      <c r="J1833" s="28" t="s">
        <v>207</v>
      </c>
      <c r="K1833" s="28" t="s">
        <v>9635</v>
      </c>
      <c r="L1833" s="28" t="s">
        <v>9636</v>
      </c>
      <c r="M1833" s="28" t="s">
        <v>10615</v>
      </c>
      <c r="N1833" s="28" t="s">
        <v>9638</v>
      </c>
      <c r="O1833" s="28" t="s">
        <v>9639</v>
      </c>
      <c r="P1833" s="28" t="s">
        <v>10616</v>
      </c>
    </row>
    <row r="1834" spans="1:16" x14ac:dyDescent="0.25">
      <c r="A1834" s="28" t="s">
        <v>10617</v>
      </c>
      <c r="B1834" s="28" t="s">
        <v>10618</v>
      </c>
      <c r="C1834" s="28" t="s">
        <v>132</v>
      </c>
      <c r="D1834" s="28" t="s">
        <v>45</v>
      </c>
      <c r="E1834" s="28" t="s">
        <v>10600</v>
      </c>
      <c r="F1834" s="28" t="s">
        <v>21</v>
      </c>
      <c r="G1834" s="28" t="s">
        <v>207</v>
      </c>
      <c r="H1834" s="28" t="s">
        <v>9633</v>
      </c>
      <c r="I1834" s="28" t="s">
        <v>10619</v>
      </c>
      <c r="J1834" s="28" t="s">
        <v>207</v>
      </c>
      <c r="K1834" s="28" t="s">
        <v>9635</v>
      </c>
      <c r="L1834" s="28" t="s">
        <v>9636</v>
      </c>
      <c r="M1834" s="28" t="s">
        <v>10620</v>
      </c>
      <c r="N1834" s="28" t="s">
        <v>9638</v>
      </c>
      <c r="O1834" s="28" t="s">
        <v>9639</v>
      </c>
      <c r="P1834" s="28" t="s">
        <v>10603</v>
      </c>
    </row>
    <row r="1835" spans="1:16" x14ac:dyDescent="0.25">
      <c r="A1835" s="28" t="s">
        <v>10621</v>
      </c>
      <c r="B1835" s="28" t="s">
        <v>10622</v>
      </c>
      <c r="C1835" s="28" t="s">
        <v>132</v>
      </c>
      <c r="D1835" s="28" t="s">
        <v>45</v>
      </c>
      <c r="E1835" s="28" t="s">
        <v>10600</v>
      </c>
      <c r="F1835" s="28" t="s">
        <v>21</v>
      </c>
      <c r="G1835" s="28" t="s">
        <v>207</v>
      </c>
      <c r="H1835" s="28" t="s">
        <v>9633</v>
      </c>
      <c r="I1835" s="28" t="s">
        <v>10623</v>
      </c>
      <c r="J1835" s="28" t="s">
        <v>207</v>
      </c>
      <c r="K1835" s="28" t="s">
        <v>9635</v>
      </c>
      <c r="L1835" s="28" t="s">
        <v>9636</v>
      </c>
      <c r="M1835" s="28" t="s">
        <v>10624</v>
      </c>
      <c r="N1835" s="28" t="s">
        <v>9638</v>
      </c>
      <c r="O1835" s="28" t="s">
        <v>9639</v>
      </c>
      <c r="P1835" s="28" t="s">
        <v>10603</v>
      </c>
    </row>
    <row r="1836" spans="1:16" x14ac:dyDescent="0.25">
      <c r="A1836" s="28" t="s">
        <v>10625</v>
      </c>
      <c r="B1836" s="28" t="s">
        <v>10626</v>
      </c>
      <c r="C1836" s="28" t="s">
        <v>132</v>
      </c>
      <c r="D1836" s="28" t="s">
        <v>45</v>
      </c>
      <c r="E1836" s="28" t="s">
        <v>10600</v>
      </c>
      <c r="F1836" s="28" t="s">
        <v>21</v>
      </c>
      <c r="G1836" s="28" t="s">
        <v>207</v>
      </c>
      <c r="H1836" s="28" t="s">
        <v>9633</v>
      </c>
      <c r="I1836" s="28" t="s">
        <v>10627</v>
      </c>
      <c r="J1836" s="28" t="s">
        <v>207</v>
      </c>
      <c r="K1836" s="28" t="s">
        <v>9635</v>
      </c>
      <c r="L1836" s="28" t="s">
        <v>9636</v>
      </c>
      <c r="M1836" s="28" t="s">
        <v>10628</v>
      </c>
      <c r="N1836" s="28" t="s">
        <v>9638</v>
      </c>
      <c r="O1836" s="28" t="s">
        <v>9639</v>
      </c>
      <c r="P1836" s="28" t="s">
        <v>10603</v>
      </c>
    </row>
    <row r="1837" spans="1:16" x14ac:dyDescent="0.25">
      <c r="A1837" s="28" t="s">
        <v>10629</v>
      </c>
      <c r="B1837" s="28" t="s">
        <v>10630</v>
      </c>
      <c r="C1837" s="28" t="s">
        <v>132</v>
      </c>
      <c r="D1837" s="28" t="s">
        <v>45</v>
      </c>
      <c r="E1837" s="28" t="s">
        <v>10600</v>
      </c>
      <c r="F1837" s="28" t="s">
        <v>21</v>
      </c>
      <c r="G1837" s="28" t="s">
        <v>207</v>
      </c>
      <c r="H1837" s="28" t="s">
        <v>9633</v>
      </c>
      <c r="I1837" s="28" t="s">
        <v>10631</v>
      </c>
      <c r="J1837" s="28" t="s">
        <v>207</v>
      </c>
      <c r="K1837" s="28" t="s">
        <v>9635</v>
      </c>
      <c r="L1837" s="28" t="s">
        <v>9636</v>
      </c>
      <c r="M1837" s="28" t="s">
        <v>10632</v>
      </c>
      <c r="N1837" s="28" t="s">
        <v>9638</v>
      </c>
      <c r="O1837" s="28" t="s">
        <v>9639</v>
      </c>
      <c r="P1837" s="28" t="s">
        <v>10603</v>
      </c>
    </row>
    <row r="1838" spans="1:16" x14ac:dyDescent="0.25">
      <c r="A1838" s="28" t="s">
        <v>10633</v>
      </c>
      <c r="B1838" s="28" t="s">
        <v>10634</v>
      </c>
      <c r="C1838" s="28" t="s">
        <v>132</v>
      </c>
      <c r="D1838" s="28" t="s">
        <v>45</v>
      </c>
      <c r="E1838" s="28" t="s">
        <v>10600</v>
      </c>
      <c r="F1838" s="28" t="s">
        <v>21</v>
      </c>
      <c r="G1838" s="28" t="s">
        <v>207</v>
      </c>
      <c r="H1838" s="28" t="s">
        <v>9633</v>
      </c>
      <c r="I1838" s="28" t="s">
        <v>10635</v>
      </c>
      <c r="J1838" s="28" t="s">
        <v>207</v>
      </c>
      <c r="K1838" s="28" t="s">
        <v>9635</v>
      </c>
      <c r="L1838" s="28" t="s">
        <v>9636</v>
      </c>
      <c r="M1838" s="28" t="s">
        <v>10636</v>
      </c>
      <c r="N1838" s="28" t="s">
        <v>9638</v>
      </c>
      <c r="O1838" s="28" t="s">
        <v>9639</v>
      </c>
      <c r="P1838" s="28" t="s">
        <v>10603</v>
      </c>
    </row>
    <row r="1839" spans="1:16" x14ac:dyDescent="0.25">
      <c r="A1839" s="28" t="s">
        <v>10637</v>
      </c>
      <c r="B1839" s="28" t="s">
        <v>10638</v>
      </c>
      <c r="C1839" s="28" t="s">
        <v>132</v>
      </c>
      <c r="D1839" s="28" t="s">
        <v>45</v>
      </c>
      <c r="E1839" s="28" t="s">
        <v>10600</v>
      </c>
      <c r="F1839" s="28" t="s">
        <v>21</v>
      </c>
      <c r="G1839" s="28" t="s">
        <v>207</v>
      </c>
      <c r="H1839" s="28" t="s">
        <v>9633</v>
      </c>
      <c r="I1839" s="28" t="s">
        <v>10639</v>
      </c>
      <c r="J1839" s="28" t="s">
        <v>207</v>
      </c>
      <c r="K1839" s="28" t="s">
        <v>9635</v>
      </c>
      <c r="L1839" s="28" t="s">
        <v>9636</v>
      </c>
      <c r="M1839" s="28" t="s">
        <v>10640</v>
      </c>
      <c r="N1839" s="28" t="s">
        <v>9638</v>
      </c>
      <c r="O1839" s="28" t="s">
        <v>9639</v>
      </c>
      <c r="P1839" s="28" t="s">
        <v>10603</v>
      </c>
    </row>
    <row r="1840" spans="1:16" x14ac:dyDescent="0.25">
      <c r="A1840" s="28" t="s">
        <v>10641</v>
      </c>
      <c r="B1840" s="28" t="s">
        <v>10642</v>
      </c>
      <c r="C1840" s="28" t="s">
        <v>132</v>
      </c>
      <c r="D1840" s="28" t="s">
        <v>45</v>
      </c>
      <c r="E1840" s="28" t="s">
        <v>10600</v>
      </c>
      <c r="F1840" s="28" t="s">
        <v>21</v>
      </c>
      <c r="G1840" s="28" t="s">
        <v>207</v>
      </c>
      <c r="H1840" s="28" t="s">
        <v>9633</v>
      </c>
      <c r="I1840" s="28" t="s">
        <v>10643</v>
      </c>
      <c r="J1840" s="28" t="s">
        <v>207</v>
      </c>
      <c r="K1840" s="28" t="s">
        <v>9635</v>
      </c>
      <c r="L1840" s="28" t="s">
        <v>9636</v>
      </c>
      <c r="M1840" s="28" t="s">
        <v>10644</v>
      </c>
      <c r="N1840" s="28" t="s">
        <v>9638</v>
      </c>
      <c r="O1840" s="28" t="s">
        <v>9639</v>
      </c>
      <c r="P1840" s="28" t="s">
        <v>10603</v>
      </c>
    </row>
    <row r="1841" spans="1:16" x14ac:dyDescent="0.25">
      <c r="A1841" s="28" t="s">
        <v>10645</v>
      </c>
      <c r="B1841" s="28" t="s">
        <v>10646</v>
      </c>
      <c r="C1841" s="28" t="s">
        <v>132</v>
      </c>
      <c r="D1841" s="28" t="s">
        <v>45</v>
      </c>
      <c r="E1841" s="28" t="s">
        <v>10600</v>
      </c>
      <c r="F1841" s="28" t="s">
        <v>21</v>
      </c>
      <c r="G1841" s="28" t="s">
        <v>207</v>
      </c>
      <c r="H1841" s="28" t="s">
        <v>9633</v>
      </c>
      <c r="I1841" s="28" t="s">
        <v>10647</v>
      </c>
      <c r="J1841" s="28" t="s">
        <v>207</v>
      </c>
      <c r="K1841" s="28" t="s">
        <v>9635</v>
      </c>
      <c r="L1841" s="28" t="s">
        <v>9636</v>
      </c>
      <c r="M1841" s="28" t="s">
        <v>10648</v>
      </c>
      <c r="N1841" s="28" t="s">
        <v>9638</v>
      </c>
      <c r="O1841" s="28" t="s">
        <v>9639</v>
      </c>
      <c r="P1841" s="28" t="s">
        <v>10603</v>
      </c>
    </row>
    <row r="1842" spans="1:16" x14ac:dyDescent="0.25">
      <c r="A1842" s="28" t="s">
        <v>10649</v>
      </c>
      <c r="B1842" s="28" t="s">
        <v>10650</v>
      </c>
      <c r="C1842" s="28" t="s">
        <v>132</v>
      </c>
      <c r="D1842" s="28" t="s">
        <v>45</v>
      </c>
      <c r="E1842" s="28" t="s">
        <v>10600</v>
      </c>
      <c r="F1842" s="28" t="s">
        <v>21</v>
      </c>
      <c r="G1842" s="28" t="s">
        <v>207</v>
      </c>
      <c r="H1842" s="28" t="s">
        <v>9633</v>
      </c>
      <c r="I1842" s="28" t="s">
        <v>10651</v>
      </c>
      <c r="J1842" s="28" t="s">
        <v>207</v>
      </c>
      <c r="K1842" s="28" t="s">
        <v>9635</v>
      </c>
      <c r="L1842" s="28" t="s">
        <v>9636</v>
      </c>
      <c r="M1842" s="28" t="s">
        <v>10652</v>
      </c>
      <c r="N1842" s="28" t="s">
        <v>9638</v>
      </c>
      <c r="O1842" s="28" t="s">
        <v>9639</v>
      </c>
      <c r="P1842" s="28" t="s">
        <v>10603</v>
      </c>
    </row>
    <row r="1843" spans="1:16" x14ac:dyDescent="0.25">
      <c r="A1843" s="28" t="s">
        <v>10653</v>
      </c>
      <c r="B1843" s="28" t="s">
        <v>10654</v>
      </c>
      <c r="C1843" s="28" t="s">
        <v>132</v>
      </c>
      <c r="D1843" s="28" t="s">
        <v>45</v>
      </c>
      <c r="E1843" s="28" t="s">
        <v>10600</v>
      </c>
      <c r="F1843" s="28" t="s">
        <v>21</v>
      </c>
      <c r="G1843" s="28" t="s">
        <v>207</v>
      </c>
      <c r="H1843" s="28" t="s">
        <v>9633</v>
      </c>
      <c r="I1843" s="28" t="s">
        <v>10655</v>
      </c>
      <c r="J1843" s="28" t="s">
        <v>207</v>
      </c>
      <c r="K1843" s="28" t="s">
        <v>9635</v>
      </c>
      <c r="L1843" s="28" t="s">
        <v>9636</v>
      </c>
      <c r="M1843" s="28" t="s">
        <v>10656</v>
      </c>
      <c r="N1843" s="28" t="s">
        <v>9638</v>
      </c>
      <c r="O1843" s="28" t="s">
        <v>9639</v>
      </c>
      <c r="P1843" s="28" t="s">
        <v>10603</v>
      </c>
    </row>
    <row r="1844" spans="1:16" x14ac:dyDescent="0.25">
      <c r="A1844" s="28" t="s">
        <v>10657</v>
      </c>
      <c r="B1844" s="28" t="s">
        <v>10658</v>
      </c>
      <c r="C1844" s="28" t="s">
        <v>132</v>
      </c>
      <c r="D1844" s="28" t="s">
        <v>45</v>
      </c>
      <c r="E1844" s="28" t="s">
        <v>10600</v>
      </c>
      <c r="F1844" s="28" t="s">
        <v>21</v>
      </c>
      <c r="G1844" s="28" t="s">
        <v>207</v>
      </c>
      <c r="H1844" s="28" t="s">
        <v>9633</v>
      </c>
      <c r="I1844" s="28" t="s">
        <v>10659</v>
      </c>
      <c r="J1844" s="28" t="s">
        <v>207</v>
      </c>
      <c r="K1844" s="28" t="s">
        <v>9635</v>
      </c>
      <c r="L1844" s="28" t="s">
        <v>9636</v>
      </c>
      <c r="M1844" s="28" t="s">
        <v>10660</v>
      </c>
      <c r="N1844" s="28" t="s">
        <v>9638</v>
      </c>
      <c r="O1844" s="28" t="s">
        <v>9639</v>
      </c>
      <c r="P1844" s="28" t="s">
        <v>10603</v>
      </c>
    </row>
    <row r="1845" spans="1:16" x14ac:dyDescent="0.25">
      <c r="A1845" s="28" t="s">
        <v>10661</v>
      </c>
      <c r="B1845" s="28" t="s">
        <v>10662</v>
      </c>
      <c r="C1845" s="28" t="s">
        <v>132</v>
      </c>
      <c r="D1845" s="28" t="s">
        <v>45</v>
      </c>
      <c r="E1845" s="28" t="s">
        <v>10600</v>
      </c>
      <c r="F1845" s="28" t="s">
        <v>21</v>
      </c>
      <c r="G1845" s="28" t="s">
        <v>207</v>
      </c>
      <c r="H1845" s="28" t="s">
        <v>9633</v>
      </c>
      <c r="I1845" s="28" t="s">
        <v>10663</v>
      </c>
      <c r="J1845" s="28" t="s">
        <v>207</v>
      </c>
      <c r="K1845" s="28" t="s">
        <v>9635</v>
      </c>
      <c r="L1845" s="28" t="s">
        <v>9636</v>
      </c>
      <c r="M1845" s="28" t="s">
        <v>10664</v>
      </c>
      <c r="N1845" s="28" t="s">
        <v>9638</v>
      </c>
      <c r="O1845" s="28" t="s">
        <v>9639</v>
      </c>
      <c r="P1845" s="28" t="s">
        <v>10603</v>
      </c>
    </row>
    <row r="1846" spans="1:16" x14ac:dyDescent="0.25">
      <c r="A1846" s="28" t="s">
        <v>10665</v>
      </c>
      <c r="B1846" s="28" t="s">
        <v>10666</v>
      </c>
      <c r="C1846" s="28" t="s">
        <v>132</v>
      </c>
      <c r="D1846" s="28" t="s">
        <v>45</v>
      </c>
      <c r="E1846" s="28" t="s">
        <v>10600</v>
      </c>
      <c r="F1846" s="28" t="s">
        <v>21</v>
      </c>
      <c r="G1846" s="28" t="s">
        <v>207</v>
      </c>
      <c r="H1846" s="28" t="s">
        <v>9633</v>
      </c>
      <c r="I1846" s="28" t="s">
        <v>10667</v>
      </c>
      <c r="J1846" s="28" t="s">
        <v>207</v>
      </c>
      <c r="K1846" s="28" t="s">
        <v>9635</v>
      </c>
      <c r="L1846" s="28" t="s">
        <v>9636</v>
      </c>
      <c r="M1846" s="28" t="s">
        <v>10668</v>
      </c>
      <c r="N1846" s="28" t="s">
        <v>9638</v>
      </c>
      <c r="O1846" s="28" t="s">
        <v>9639</v>
      </c>
      <c r="P1846" s="28" t="s">
        <v>10603</v>
      </c>
    </row>
    <row r="1847" spans="1:16" x14ac:dyDescent="0.25">
      <c r="A1847" s="28" t="s">
        <v>10669</v>
      </c>
      <c r="B1847" s="28" t="s">
        <v>10670</v>
      </c>
      <c r="C1847" s="28" t="s">
        <v>132</v>
      </c>
      <c r="D1847" s="28" t="s">
        <v>45</v>
      </c>
      <c r="E1847" s="28" t="s">
        <v>10600</v>
      </c>
      <c r="F1847" s="28" t="s">
        <v>21</v>
      </c>
      <c r="G1847" s="28" t="s">
        <v>207</v>
      </c>
      <c r="H1847" s="28" t="s">
        <v>9633</v>
      </c>
      <c r="I1847" s="28" t="s">
        <v>10671</v>
      </c>
      <c r="J1847" s="28" t="s">
        <v>207</v>
      </c>
      <c r="K1847" s="28" t="s">
        <v>9635</v>
      </c>
      <c r="L1847" s="28" t="s">
        <v>9636</v>
      </c>
      <c r="M1847" s="28" t="s">
        <v>10672</v>
      </c>
      <c r="N1847" s="28" t="s">
        <v>9638</v>
      </c>
      <c r="O1847" s="28" t="s">
        <v>9639</v>
      </c>
      <c r="P1847" s="28" t="s">
        <v>10603</v>
      </c>
    </row>
    <row r="1848" spans="1:16" x14ac:dyDescent="0.25">
      <c r="A1848" s="28" t="s">
        <v>10673</v>
      </c>
      <c r="B1848" s="28" t="s">
        <v>10674</v>
      </c>
      <c r="C1848" s="28" t="s">
        <v>132</v>
      </c>
      <c r="D1848" s="28" t="s">
        <v>45</v>
      </c>
      <c r="E1848" s="28" t="s">
        <v>10600</v>
      </c>
      <c r="F1848" s="28" t="s">
        <v>21</v>
      </c>
      <c r="G1848" s="28" t="s">
        <v>207</v>
      </c>
      <c r="H1848" s="28" t="s">
        <v>9633</v>
      </c>
      <c r="I1848" s="28" t="s">
        <v>10675</v>
      </c>
      <c r="J1848" s="28" t="s">
        <v>207</v>
      </c>
      <c r="K1848" s="28" t="s">
        <v>9635</v>
      </c>
      <c r="L1848" s="28" t="s">
        <v>9636</v>
      </c>
      <c r="M1848" s="28" t="s">
        <v>10676</v>
      </c>
      <c r="N1848" s="28" t="s">
        <v>9638</v>
      </c>
      <c r="O1848" s="28" t="s">
        <v>9639</v>
      </c>
      <c r="P1848" s="28" t="s">
        <v>10603</v>
      </c>
    </row>
    <row r="1849" spans="1:16" x14ac:dyDescent="0.25">
      <c r="A1849" s="28" t="s">
        <v>10677</v>
      </c>
      <c r="B1849" s="28" t="s">
        <v>10678</v>
      </c>
      <c r="C1849" s="28" t="s">
        <v>132</v>
      </c>
      <c r="D1849" s="28" t="s">
        <v>45</v>
      </c>
      <c r="E1849" s="28" t="s">
        <v>10600</v>
      </c>
      <c r="F1849" s="28" t="s">
        <v>21</v>
      </c>
      <c r="G1849" s="28" t="s">
        <v>207</v>
      </c>
      <c r="H1849" s="28" t="s">
        <v>9633</v>
      </c>
      <c r="I1849" s="28" t="s">
        <v>10679</v>
      </c>
      <c r="J1849" s="28" t="s">
        <v>207</v>
      </c>
      <c r="K1849" s="28" t="s">
        <v>9635</v>
      </c>
      <c r="L1849" s="28" t="s">
        <v>9636</v>
      </c>
      <c r="M1849" s="28" t="s">
        <v>10680</v>
      </c>
      <c r="N1849" s="28" t="s">
        <v>9638</v>
      </c>
      <c r="O1849" s="28" t="s">
        <v>9639</v>
      </c>
      <c r="P1849" s="28" t="s">
        <v>10603</v>
      </c>
    </row>
    <row r="1850" spans="1:16" x14ac:dyDescent="0.25">
      <c r="A1850" s="28" t="s">
        <v>10681</v>
      </c>
      <c r="B1850" s="28" t="s">
        <v>10682</v>
      </c>
      <c r="C1850" s="28" t="s">
        <v>132</v>
      </c>
      <c r="D1850" s="28" t="s">
        <v>45</v>
      </c>
      <c r="E1850" s="28" t="s">
        <v>10600</v>
      </c>
      <c r="F1850" s="28" t="s">
        <v>21</v>
      </c>
      <c r="G1850" s="28" t="s">
        <v>207</v>
      </c>
      <c r="H1850" s="28" t="s">
        <v>9633</v>
      </c>
      <c r="I1850" s="28" t="s">
        <v>10683</v>
      </c>
      <c r="J1850" s="28" t="s">
        <v>207</v>
      </c>
      <c r="K1850" s="28" t="s">
        <v>9635</v>
      </c>
      <c r="L1850" s="28" t="s">
        <v>9636</v>
      </c>
      <c r="M1850" s="28" t="s">
        <v>10684</v>
      </c>
      <c r="N1850" s="28" t="s">
        <v>9638</v>
      </c>
      <c r="O1850" s="28" t="s">
        <v>9639</v>
      </c>
      <c r="P1850" s="28" t="s">
        <v>10603</v>
      </c>
    </row>
    <row r="1851" spans="1:16" x14ac:dyDescent="0.25">
      <c r="A1851" s="28" t="s">
        <v>10685</v>
      </c>
      <c r="B1851" s="28" t="s">
        <v>10686</v>
      </c>
      <c r="C1851" s="28" t="s">
        <v>132</v>
      </c>
      <c r="D1851" s="28" t="s">
        <v>45</v>
      </c>
      <c r="E1851" s="28" t="s">
        <v>10600</v>
      </c>
      <c r="F1851" s="28" t="s">
        <v>21</v>
      </c>
      <c r="G1851" s="28" t="s">
        <v>207</v>
      </c>
      <c r="H1851" s="28" t="s">
        <v>9633</v>
      </c>
      <c r="I1851" s="28" t="s">
        <v>10687</v>
      </c>
      <c r="J1851" s="28" t="s">
        <v>207</v>
      </c>
      <c r="K1851" s="28" t="s">
        <v>9635</v>
      </c>
      <c r="L1851" s="28" t="s">
        <v>9636</v>
      </c>
      <c r="M1851" s="28" t="s">
        <v>10688</v>
      </c>
      <c r="N1851" s="28" t="s">
        <v>9638</v>
      </c>
      <c r="O1851" s="28" t="s">
        <v>9639</v>
      </c>
      <c r="P1851" s="28" t="s">
        <v>10603</v>
      </c>
    </row>
    <row r="1852" spans="1:16" x14ac:dyDescent="0.25">
      <c r="A1852" s="28" t="s">
        <v>10689</v>
      </c>
      <c r="B1852" s="28" t="s">
        <v>10690</v>
      </c>
      <c r="C1852" s="28" t="s">
        <v>132</v>
      </c>
      <c r="D1852" s="28" t="s">
        <v>45</v>
      </c>
      <c r="E1852" s="28" t="s">
        <v>10600</v>
      </c>
      <c r="F1852" s="28" t="s">
        <v>21</v>
      </c>
      <c r="G1852" s="28" t="s">
        <v>207</v>
      </c>
      <c r="H1852" s="28" t="s">
        <v>9633</v>
      </c>
      <c r="I1852" s="28" t="s">
        <v>10691</v>
      </c>
      <c r="J1852" s="28" t="s">
        <v>207</v>
      </c>
      <c r="K1852" s="28" t="s">
        <v>9635</v>
      </c>
      <c r="L1852" s="28" t="s">
        <v>9636</v>
      </c>
      <c r="M1852" s="28" t="s">
        <v>10692</v>
      </c>
      <c r="N1852" s="28" t="s">
        <v>9638</v>
      </c>
      <c r="O1852" s="28" t="s">
        <v>9639</v>
      </c>
      <c r="P1852" s="28" t="s">
        <v>10603</v>
      </c>
    </row>
    <row r="1853" spans="1:16" x14ac:dyDescent="0.25">
      <c r="A1853" s="28" t="s">
        <v>10693</v>
      </c>
      <c r="B1853" s="28" t="s">
        <v>10694</v>
      </c>
      <c r="C1853" s="28" t="s">
        <v>132</v>
      </c>
      <c r="D1853" s="28" t="s">
        <v>45</v>
      </c>
      <c r="E1853" s="28" t="s">
        <v>10695</v>
      </c>
      <c r="F1853" s="28" t="s">
        <v>21</v>
      </c>
      <c r="G1853" s="28" t="s">
        <v>207</v>
      </c>
      <c r="H1853" s="28" t="s">
        <v>9633</v>
      </c>
      <c r="I1853" s="28" t="s">
        <v>10696</v>
      </c>
      <c r="J1853" s="28" t="s">
        <v>207</v>
      </c>
      <c r="K1853" s="28" t="s">
        <v>9635</v>
      </c>
      <c r="L1853" s="28" t="s">
        <v>9636</v>
      </c>
      <c r="M1853" s="28" t="s">
        <v>10697</v>
      </c>
      <c r="N1853" s="28" t="s">
        <v>9638</v>
      </c>
      <c r="O1853" s="28" t="s">
        <v>9639</v>
      </c>
      <c r="P1853" s="28" t="s">
        <v>10698</v>
      </c>
    </row>
    <row r="1854" spans="1:16" x14ac:dyDescent="0.25">
      <c r="A1854" s="28" t="s">
        <v>10699</v>
      </c>
      <c r="B1854" s="28" t="s">
        <v>10700</v>
      </c>
      <c r="C1854" s="28" t="s">
        <v>132</v>
      </c>
      <c r="D1854" s="28" t="s">
        <v>45</v>
      </c>
      <c r="E1854" s="28" t="s">
        <v>2255</v>
      </c>
      <c r="F1854" s="28" t="s">
        <v>21</v>
      </c>
      <c r="G1854" s="28" t="s">
        <v>135</v>
      </c>
      <c r="H1854" s="28" t="s">
        <v>10259</v>
      </c>
      <c r="I1854" s="28" t="s">
        <v>10701</v>
      </c>
      <c r="J1854" s="28" t="s">
        <v>135</v>
      </c>
      <c r="K1854" s="28" t="s">
        <v>10551</v>
      </c>
      <c r="L1854" s="28" t="s">
        <v>10262</v>
      </c>
      <c r="M1854" s="28" t="s">
        <v>10702</v>
      </c>
      <c r="N1854" s="28" t="s">
        <v>10264</v>
      </c>
      <c r="O1854" s="28" t="s">
        <v>10265</v>
      </c>
      <c r="P1854" s="28" t="s">
        <v>10266</v>
      </c>
    </row>
    <row r="1855" spans="1:16" x14ac:dyDescent="0.25">
      <c r="A1855" s="28" t="s">
        <v>10703</v>
      </c>
      <c r="B1855" s="28" t="s">
        <v>10704</v>
      </c>
      <c r="C1855" s="28" t="s">
        <v>132</v>
      </c>
      <c r="D1855" s="28" t="s">
        <v>45</v>
      </c>
      <c r="E1855" s="28" t="s">
        <v>1551</v>
      </c>
      <c r="F1855" s="28" t="s">
        <v>21</v>
      </c>
      <c r="G1855" s="28" t="s">
        <v>149</v>
      </c>
      <c r="H1855" s="28" t="s">
        <v>9633</v>
      </c>
      <c r="I1855" s="28" t="s">
        <v>10705</v>
      </c>
      <c r="J1855" s="28" t="s">
        <v>149</v>
      </c>
      <c r="K1855" s="28" t="s">
        <v>9722</v>
      </c>
      <c r="L1855" s="28" t="s">
        <v>9636</v>
      </c>
      <c r="M1855" s="28" t="s">
        <v>10706</v>
      </c>
      <c r="N1855" s="28" t="s">
        <v>9638</v>
      </c>
      <c r="O1855" s="28" t="s">
        <v>9639</v>
      </c>
      <c r="P1855" s="28" t="s">
        <v>10707</v>
      </c>
    </row>
    <row r="1856" spans="1:16" x14ac:dyDescent="0.25">
      <c r="A1856" s="28" t="s">
        <v>10708</v>
      </c>
      <c r="B1856" s="28" t="s">
        <v>10709</v>
      </c>
      <c r="C1856" s="28" t="s">
        <v>132</v>
      </c>
      <c r="D1856" s="28" t="s">
        <v>45</v>
      </c>
      <c r="E1856" s="28" t="s">
        <v>10710</v>
      </c>
      <c r="F1856" s="28" t="s">
        <v>21</v>
      </c>
      <c r="G1856" s="28" t="s">
        <v>149</v>
      </c>
      <c r="H1856" s="28" t="s">
        <v>9633</v>
      </c>
      <c r="I1856" s="28" t="s">
        <v>10711</v>
      </c>
      <c r="J1856" s="28" t="s">
        <v>149</v>
      </c>
      <c r="K1856" s="28" t="s">
        <v>9722</v>
      </c>
      <c r="L1856" s="28" t="s">
        <v>9636</v>
      </c>
      <c r="M1856" s="28" t="s">
        <v>10712</v>
      </c>
      <c r="N1856" s="28" t="s">
        <v>9638</v>
      </c>
      <c r="O1856" s="28" t="s">
        <v>9639</v>
      </c>
      <c r="P1856" s="28" t="s">
        <v>10713</v>
      </c>
    </row>
    <row r="1857" spans="1:16" x14ac:dyDescent="0.25">
      <c r="A1857" s="28" t="s">
        <v>10714</v>
      </c>
      <c r="B1857" s="28" t="s">
        <v>10715</v>
      </c>
      <c r="C1857" s="28" t="s">
        <v>132</v>
      </c>
      <c r="D1857" s="28" t="s">
        <v>1557</v>
      </c>
      <c r="E1857" s="28" t="s">
        <v>1575</v>
      </c>
      <c r="F1857" s="28" t="s">
        <v>21</v>
      </c>
      <c r="G1857" s="28" t="s">
        <v>135</v>
      </c>
      <c r="H1857" s="28" t="s">
        <v>9633</v>
      </c>
      <c r="I1857" s="28" t="s">
        <v>10716</v>
      </c>
      <c r="J1857" s="28" t="s">
        <v>135</v>
      </c>
      <c r="K1857" s="28" t="s">
        <v>10125</v>
      </c>
      <c r="L1857" s="28" t="s">
        <v>9636</v>
      </c>
      <c r="M1857" s="28" t="s">
        <v>10717</v>
      </c>
      <c r="N1857" s="28" t="s">
        <v>9638</v>
      </c>
      <c r="O1857" s="28" t="s">
        <v>9639</v>
      </c>
      <c r="P1857" s="28" t="s">
        <v>10718</v>
      </c>
    </row>
    <row r="1858" spans="1:16" x14ac:dyDescent="0.25">
      <c r="A1858" s="28" t="s">
        <v>10719</v>
      </c>
      <c r="B1858" s="28" t="s">
        <v>10720</v>
      </c>
      <c r="C1858" s="28" t="s">
        <v>132</v>
      </c>
      <c r="D1858" s="28" t="s">
        <v>1557</v>
      </c>
      <c r="E1858" s="28" t="s">
        <v>1558</v>
      </c>
      <c r="F1858" s="28" t="s">
        <v>21</v>
      </c>
      <c r="G1858" s="28" t="s">
        <v>207</v>
      </c>
      <c r="H1858" s="28" t="s">
        <v>9633</v>
      </c>
      <c r="I1858" s="28" t="s">
        <v>10721</v>
      </c>
      <c r="J1858" s="28" t="s">
        <v>207</v>
      </c>
      <c r="K1858" s="28" t="s">
        <v>9635</v>
      </c>
      <c r="L1858" s="28" t="s">
        <v>9636</v>
      </c>
      <c r="M1858" s="28" t="s">
        <v>10722</v>
      </c>
      <c r="N1858" s="28" t="s">
        <v>9638</v>
      </c>
      <c r="O1858" s="28" t="s">
        <v>9639</v>
      </c>
      <c r="P1858" s="28" t="s">
        <v>10723</v>
      </c>
    </row>
    <row r="1859" spans="1:16" x14ac:dyDescent="0.25">
      <c r="A1859" s="28" t="s">
        <v>10724</v>
      </c>
      <c r="B1859" s="28" t="s">
        <v>10725</v>
      </c>
      <c r="C1859" s="28" t="s">
        <v>132</v>
      </c>
      <c r="D1859" s="28" t="s">
        <v>1557</v>
      </c>
      <c r="E1859" s="28" t="s">
        <v>1558</v>
      </c>
      <c r="F1859" s="28" t="s">
        <v>21</v>
      </c>
      <c r="G1859" s="28" t="s">
        <v>207</v>
      </c>
      <c r="H1859" s="28" t="s">
        <v>9633</v>
      </c>
      <c r="I1859" s="28" t="s">
        <v>10726</v>
      </c>
      <c r="J1859" s="28" t="s">
        <v>207</v>
      </c>
      <c r="K1859" s="28" t="s">
        <v>9635</v>
      </c>
      <c r="L1859" s="28" t="s">
        <v>9636</v>
      </c>
      <c r="M1859" s="28" t="s">
        <v>10727</v>
      </c>
      <c r="N1859" s="28" t="s">
        <v>9638</v>
      </c>
      <c r="O1859" s="28" t="s">
        <v>9639</v>
      </c>
      <c r="P1859" s="28" t="s">
        <v>10723</v>
      </c>
    </row>
    <row r="1860" spans="1:16" x14ac:dyDescent="0.25">
      <c r="A1860" s="28" t="s">
        <v>10728</v>
      </c>
      <c r="B1860" s="28" t="s">
        <v>10729</v>
      </c>
      <c r="C1860" s="28" t="s">
        <v>132</v>
      </c>
      <c r="D1860" s="28" t="s">
        <v>10730</v>
      </c>
      <c r="E1860" s="28" t="s">
        <v>10731</v>
      </c>
      <c r="F1860" s="28" t="s">
        <v>21</v>
      </c>
      <c r="G1860" s="28" t="s">
        <v>207</v>
      </c>
      <c r="H1860" s="28" t="s">
        <v>9633</v>
      </c>
      <c r="I1860" s="28" t="s">
        <v>10732</v>
      </c>
      <c r="J1860" s="28" t="s">
        <v>207</v>
      </c>
      <c r="K1860" s="28" t="s">
        <v>9635</v>
      </c>
      <c r="L1860" s="28" t="s">
        <v>9636</v>
      </c>
      <c r="M1860" s="28" t="s">
        <v>10733</v>
      </c>
      <c r="N1860" s="28" t="s">
        <v>9638</v>
      </c>
      <c r="O1860" s="28" t="s">
        <v>9639</v>
      </c>
      <c r="P1860" s="28" t="s">
        <v>10734</v>
      </c>
    </row>
    <row r="1861" spans="1:16" x14ac:dyDescent="0.25">
      <c r="A1861" s="28" t="s">
        <v>10735</v>
      </c>
      <c r="B1861" s="28" t="s">
        <v>10736</v>
      </c>
      <c r="C1861" s="28" t="s">
        <v>132</v>
      </c>
      <c r="D1861" s="28" t="s">
        <v>10730</v>
      </c>
      <c r="E1861" s="28" t="s">
        <v>10731</v>
      </c>
      <c r="F1861" s="28" t="s">
        <v>21</v>
      </c>
      <c r="G1861" s="28" t="s">
        <v>207</v>
      </c>
      <c r="H1861" s="28" t="s">
        <v>9633</v>
      </c>
      <c r="I1861" s="28" t="s">
        <v>10737</v>
      </c>
      <c r="J1861" s="28" t="s">
        <v>207</v>
      </c>
      <c r="K1861" s="28" t="s">
        <v>9635</v>
      </c>
      <c r="L1861" s="28" t="s">
        <v>9636</v>
      </c>
      <c r="M1861" s="28" t="s">
        <v>10738</v>
      </c>
      <c r="N1861" s="28" t="s">
        <v>9638</v>
      </c>
      <c r="O1861" s="28" t="s">
        <v>9639</v>
      </c>
      <c r="P1861" s="28" t="s">
        <v>10734</v>
      </c>
    </row>
    <row r="1862" spans="1:16" x14ac:dyDescent="0.25">
      <c r="A1862" s="28" t="s">
        <v>10739</v>
      </c>
      <c r="B1862" s="28" t="s">
        <v>10740</v>
      </c>
      <c r="C1862" s="28" t="s">
        <v>132</v>
      </c>
      <c r="D1862" s="28" t="s">
        <v>10730</v>
      </c>
      <c r="E1862" s="28" t="s">
        <v>10741</v>
      </c>
      <c r="F1862" s="28" t="s">
        <v>21</v>
      </c>
      <c r="G1862" s="28" t="s">
        <v>207</v>
      </c>
      <c r="H1862" s="28" t="s">
        <v>9633</v>
      </c>
      <c r="I1862" s="28" t="s">
        <v>10742</v>
      </c>
      <c r="J1862" s="28" t="s">
        <v>207</v>
      </c>
      <c r="K1862" s="28" t="s">
        <v>9635</v>
      </c>
      <c r="L1862" s="28" t="s">
        <v>9636</v>
      </c>
      <c r="M1862" s="28" t="s">
        <v>10743</v>
      </c>
      <c r="N1862" s="28" t="s">
        <v>9638</v>
      </c>
      <c r="O1862" s="28" t="s">
        <v>9639</v>
      </c>
      <c r="P1862" s="28" t="s">
        <v>10744</v>
      </c>
    </row>
    <row r="1863" spans="1:16" x14ac:dyDescent="0.25">
      <c r="A1863" s="28" t="s">
        <v>10745</v>
      </c>
      <c r="B1863" s="28" t="s">
        <v>10746</v>
      </c>
      <c r="C1863" s="28" t="s">
        <v>132</v>
      </c>
      <c r="D1863" s="28" t="s">
        <v>10730</v>
      </c>
      <c r="E1863" s="28" t="s">
        <v>10741</v>
      </c>
      <c r="F1863" s="28" t="s">
        <v>21</v>
      </c>
      <c r="G1863" s="28" t="s">
        <v>207</v>
      </c>
      <c r="H1863" s="28" t="s">
        <v>9633</v>
      </c>
      <c r="I1863" s="28" t="s">
        <v>10747</v>
      </c>
      <c r="J1863" s="28" t="s">
        <v>207</v>
      </c>
      <c r="K1863" s="28" t="s">
        <v>9635</v>
      </c>
      <c r="L1863" s="28" t="s">
        <v>9636</v>
      </c>
      <c r="M1863" s="28" t="s">
        <v>10748</v>
      </c>
      <c r="N1863" s="28" t="s">
        <v>9638</v>
      </c>
      <c r="O1863" s="28" t="s">
        <v>9639</v>
      </c>
      <c r="P1863" s="28" t="s">
        <v>10744</v>
      </c>
    </row>
    <row r="1864" spans="1:16" x14ac:dyDescent="0.25">
      <c r="A1864" s="28" t="s">
        <v>10749</v>
      </c>
      <c r="B1864" s="28" t="s">
        <v>10750</v>
      </c>
      <c r="C1864" s="28" t="s">
        <v>132</v>
      </c>
      <c r="D1864" s="28" t="s">
        <v>10730</v>
      </c>
      <c r="E1864" s="28" t="s">
        <v>10751</v>
      </c>
      <c r="F1864" s="28" t="s">
        <v>21</v>
      </c>
      <c r="G1864" s="28" t="s">
        <v>207</v>
      </c>
      <c r="H1864" s="28" t="s">
        <v>9633</v>
      </c>
      <c r="I1864" s="28" t="s">
        <v>10752</v>
      </c>
      <c r="J1864" s="28" t="s">
        <v>207</v>
      </c>
      <c r="K1864" s="28" t="s">
        <v>9635</v>
      </c>
      <c r="L1864" s="28" t="s">
        <v>9636</v>
      </c>
      <c r="M1864" s="28" t="s">
        <v>10753</v>
      </c>
      <c r="N1864" s="28" t="s">
        <v>9638</v>
      </c>
      <c r="O1864" s="28" t="s">
        <v>9639</v>
      </c>
      <c r="P1864" s="28" t="s">
        <v>10754</v>
      </c>
    </row>
    <row r="1865" spans="1:16" x14ac:dyDescent="0.25">
      <c r="A1865" s="28" t="s">
        <v>10755</v>
      </c>
      <c r="B1865" s="28" t="s">
        <v>10756</v>
      </c>
      <c r="C1865" s="28" t="s">
        <v>132</v>
      </c>
      <c r="D1865" s="28" t="s">
        <v>10730</v>
      </c>
      <c r="E1865" s="28" t="s">
        <v>10751</v>
      </c>
      <c r="F1865" s="28" t="s">
        <v>21</v>
      </c>
      <c r="G1865" s="28" t="s">
        <v>207</v>
      </c>
      <c r="H1865" s="28" t="s">
        <v>9633</v>
      </c>
      <c r="I1865" s="28" t="s">
        <v>10757</v>
      </c>
      <c r="J1865" s="28" t="s">
        <v>207</v>
      </c>
      <c r="K1865" s="28" t="s">
        <v>9635</v>
      </c>
      <c r="L1865" s="28" t="s">
        <v>9636</v>
      </c>
      <c r="M1865" s="28" t="s">
        <v>10758</v>
      </c>
      <c r="N1865" s="28" t="s">
        <v>9638</v>
      </c>
      <c r="O1865" s="28" t="s">
        <v>9639</v>
      </c>
      <c r="P1865" s="28" t="s">
        <v>10754</v>
      </c>
    </row>
    <row r="1866" spans="1:16" x14ac:dyDescent="0.25">
      <c r="A1866" s="28" t="s">
        <v>10759</v>
      </c>
      <c r="B1866" s="28" t="s">
        <v>10760</v>
      </c>
      <c r="C1866" s="28" t="s">
        <v>132</v>
      </c>
      <c r="D1866" s="28" t="s">
        <v>10730</v>
      </c>
      <c r="E1866" s="28" t="s">
        <v>10761</v>
      </c>
      <c r="F1866" s="28" t="s">
        <v>21</v>
      </c>
      <c r="G1866" s="28" t="s">
        <v>207</v>
      </c>
      <c r="H1866" s="28" t="s">
        <v>9633</v>
      </c>
      <c r="I1866" s="28" t="s">
        <v>10762</v>
      </c>
      <c r="J1866" s="28" t="s">
        <v>207</v>
      </c>
      <c r="K1866" s="28" t="s">
        <v>9635</v>
      </c>
      <c r="L1866" s="28" t="s">
        <v>9636</v>
      </c>
      <c r="M1866" s="28" t="s">
        <v>10763</v>
      </c>
      <c r="N1866" s="28" t="s">
        <v>9638</v>
      </c>
      <c r="O1866" s="28" t="s">
        <v>9639</v>
      </c>
      <c r="P1866" s="28" t="s">
        <v>10764</v>
      </c>
    </row>
    <row r="1867" spans="1:16" x14ac:dyDescent="0.25">
      <c r="A1867" s="28" t="s">
        <v>10765</v>
      </c>
      <c r="B1867" s="28" t="s">
        <v>10766</v>
      </c>
      <c r="C1867" s="28" t="s">
        <v>132</v>
      </c>
      <c r="D1867" s="28" t="s">
        <v>10730</v>
      </c>
      <c r="E1867" s="28" t="s">
        <v>10761</v>
      </c>
      <c r="F1867" s="28" t="s">
        <v>21</v>
      </c>
      <c r="G1867" s="28" t="s">
        <v>207</v>
      </c>
      <c r="H1867" s="28" t="s">
        <v>9633</v>
      </c>
      <c r="I1867" s="28" t="s">
        <v>10767</v>
      </c>
      <c r="J1867" s="28" t="s">
        <v>207</v>
      </c>
      <c r="K1867" s="28" t="s">
        <v>9635</v>
      </c>
      <c r="L1867" s="28" t="s">
        <v>9636</v>
      </c>
      <c r="M1867" s="28" t="s">
        <v>10768</v>
      </c>
      <c r="N1867" s="28" t="s">
        <v>9638</v>
      </c>
      <c r="O1867" s="28" t="s">
        <v>9639</v>
      </c>
      <c r="P1867" s="28" t="s">
        <v>10764</v>
      </c>
    </row>
    <row r="1868" spans="1:16" x14ac:dyDescent="0.25">
      <c r="A1868" s="28" t="s">
        <v>10769</v>
      </c>
      <c r="B1868" s="28" t="s">
        <v>10770</v>
      </c>
      <c r="C1868" s="28" t="s">
        <v>132</v>
      </c>
      <c r="D1868" s="28" t="s">
        <v>10730</v>
      </c>
      <c r="E1868" s="28" t="s">
        <v>10771</v>
      </c>
      <c r="F1868" s="28" t="s">
        <v>21</v>
      </c>
      <c r="G1868" s="28" t="s">
        <v>207</v>
      </c>
      <c r="H1868" s="28" t="s">
        <v>9633</v>
      </c>
      <c r="I1868" s="28" t="s">
        <v>10772</v>
      </c>
      <c r="J1868" s="28" t="s">
        <v>207</v>
      </c>
      <c r="K1868" s="28" t="s">
        <v>9635</v>
      </c>
      <c r="L1868" s="28" t="s">
        <v>9636</v>
      </c>
      <c r="M1868" s="28" t="s">
        <v>10773</v>
      </c>
      <c r="N1868" s="28" t="s">
        <v>9638</v>
      </c>
      <c r="O1868" s="28" t="s">
        <v>9639</v>
      </c>
      <c r="P1868" s="28" t="s">
        <v>10774</v>
      </c>
    </row>
    <row r="1869" spans="1:16" x14ac:dyDescent="0.25">
      <c r="A1869" s="28" t="s">
        <v>10775</v>
      </c>
      <c r="B1869" s="28" t="s">
        <v>10776</v>
      </c>
      <c r="C1869" s="28" t="s">
        <v>132</v>
      </c>
      <c r="D1869" s="28" t="s">
        <v>10730</v>
      </c>
      <c r="E1869" s="28" t="s">
        <v>10771</v>
      </c>
      <c r="F1869" s="28" t="s">
        <v>21</v>
      </c>
      <c r="G1869" s="28" t="s">
        <v>207</v>
      </c>
      <c r="H1869" s="28" t="s">
        <v>9633</v>
      </c>
      <c r="I1869" s="28" t="s">
        <v>10777</v>
      </c>
      <c r="J1869" s="28" t="s">
        <v>207</v>
      </c>
      <c r="K1869" s="28" t="s">
        <v>9635</v>
      </c>
      <c r="L1869" s="28" t="s">
        <v>9636</v>
      </c>
      <c r="M1869" s="28" t="s">
        <v>10778</v>
      </c>
      <c r="N1869" s="28" t="s">
        <v>9638</v>
      </c>
      <c r="O1869" s="28" t="s">
        <v>9639</v>
      </c>
      <c r="P1869" s="28" t="s">
        <v>10774</v>
      </c>
    </row>
    <row r="1870" spans="1:16" x14ac:dyDescent="0.25">
      <c r="A1870" s="28" t="s">
        <v>10779</v>
      </c>
      <c r="B1870" s="28" t="s">
        <v>10780</v>
      </c>
      <c r="C1870" s="28" t="s">
        <v>132</v>
      </c>
      <c r="D1870" s="28" t="s">
        <v>10730</v>
      </c>
      <c r="E1870" s="28" t="s">
        <v>10781</v>
      </c>
      <c r="F1870" s="28" t="s">
        <v>21</v>
      </c>
      <c r="G1870" s="28" t="s">
        <v>207</v>
      </c>
      <c r="H1870" s="28" t="s">
        <v>9633</v>
      </c>
      <c r="I1870" s="28" t="s">
        <v>10782</v>
      </c>
      <c r="J1870" s="28" t="s">
        <v>207</v>
      </c>
      <c r="K1870" s="28" t="s">
        <v>9635</v>
      </c>
      <c r="L1870" s="28" t="s">
        <v>9636</v>
      </c>
      <c r="M1870" s="28" t="s">
        <v>10783</v>
      </c>
      <c r="N1870" s="28" t="s">
        <v>9638</v>
      </c>
      <c r="O1870" s="28" t="s">
        <v>9639</v>
      </c>
      <c r="P1870" s="28" t="s">
        <v>10784</v>
      </c>
    </row>
    <row r="1871" spans="1:16" x14ac:dyDescent="0.25">
      <c r="A1871" s="28" t="s">
        <v>10785</v>
      </c>
      <c r="B1871" s="28" t="s">
        <v>10786</v>
      </c>
      <c r="C1871" s="28" t="s">
        <v>132</v>
      </c>
      <c r="D1871" s="28" t="s">
        <v>10730</v>
      </c>
      <c r="E1871" s="28" t="s">
        <v>10781</v>
      </c>
      <c r="F1871" s="28" t="s">
        <v>21</v>
      </c>
      <c r="G1871" s="28" t="s">
        <v>207</v>
      </c>
      <c r="H1871" s="28" t="s">
        <v>9633</v>
      </c>
      <c r="I1871" s="28" t="s">
        <v>10787</v>
      </c>
      <c r="J1871" s="28" t="s">
        <v>207</v>
      </c>
      <c r="K1871" s="28" t="s">
        <v>9635</v>
      </c>
      <c r="L1871" s="28" t="s">
        <v>9636</v>
      </c>
      <c r="M1871" s="28" t="s">
        <v>10788</v>
      </c>
      <c r="N1871" s="28" t="s">
        <v>9638</v>
      </c>
      <c r="O1871" s="28" t="s">
        <v>9639</v>
      </c>
      <c r="P1871" s="28" t="s">
        <v>10784</v>
      </c>
    </row>
    <row r="1872" spans="1:16" x14ac:dyDescent="0.25">
      <c r="A1872" s="28" t="s">
        <v>10789</v>
      </c>
      <c r="B1872" s="28" t="s">
        <v>10790</v>
      </c>
      <c r="C1872" s="28" t="s">
        <v>132</v>
      </c>
      <c r="D1872" s="28" t="s">
        <v>10730</v>
      </c>
      <c r="E1872" s="28" t="s">
        <v>10791</v>
      </c>
      <c r="F1872" s="28" t="s">
        <v>21</v>
      </c>
      <c r="G1872" s="28" t="s">
        <v>207</v>
      </c>
      <c r="H1872" s="28" t="s">
        <v>9633</v>
      </c>
      <c r="I1872" s="28" t="s">
        <v>10792</v>
      </c>
      <c r="J1872" s="28" t="s">
        <v>207</v>
      </c>
      <c r="K1872" s="28" t="s">
        <v>9635</v>
      </c>
      <c r="L1872" s="28" t="s">
        <v>9636</v>
      </c>
      <c r="M1872" s="28" t="s">
        <v>10793</v>
      </c>
      <c r="N1872" s="28" t="s">
        <v>9638</v>
      </c>
      <c r="O1872" s="28" t="s">
        <v>9639</v>
      </c>
      <c r="P1872" s="28" t="s">
        <v>10794</v>
      </c>
    </row>
    <row r="1873" spans="1:16" x14ac:dyDescent="0.25">
      <c r="A1873" s="28" t="s">
        <v>10795</v>
      </c>
      <c r="B1873" s="28" t="s">
        <v>10796</v>
      </c>
      <c r="C1873" s="28" t="s">
        <v>132</v>
      </c>
      <c r="D1873" s="28" t="s">
        <v>10730</v>
      </c>
      <c r="E1873" s="28" t="s">
        <v>10791</v>
      </c>
      <c r="F1873" s="28" t="s">
        <v>21</v>
      </c>
      <c r="G1873" s="28" t="s">
        <v>207</v>
      </c>
      <c r="H1873" s="28" t="s">
        <v>9633</v>
      </c>
      <c r="I1873" s="28" t="s">
        <v>10797</v>
      </c>
      <c r="J1873" s="28" t="s">
        <v>207</v>
      </c>
      <c r="K1873" s="28" t="s">
        <v>9635</v>
      </c>
      <c r="L1873" s="28" t="s">
        <v>9636</v>
      </c>
      <c r="M1873" s="28" t="s">
        <v>10798</v>
      </c>
      <c r="N1873" s="28" t="s">
        <v>9638</v>
      </c>
      <c r="O1873" s="28" t="s">
        <v>9639</v>
      </c>
      <c r="P1873" s="28" t="s">
        <v>10794</v>
      </c>
    </row>
    <row r="1874" spans="1:16" x14ac:dyDescent="0.25">
      <c r="A1874" s="28" t="s">
        <v>10799</v>
      </c>
      <c r="B1874" s="28" t="s">
        <v>10800</v>
      </c>
      <c r="C1874" s="28" t="s">
        <v>132</v>
      </c>
      <c r="D1874" s="28" t="s">
        <v>10730</v>
      </c>
      <c r="E1874" s="28" t="s">
        <v>10801</v>
      </c>
      <c r="F1874" s="28" t="s">
        <v>21</v>
      </c>
      <c r="G1874" s="28" t="s">
        <v>135</v>
      </c>
      <c r="H1874" s="28" t="s">
        <v>10259</v>
      </c>
      <c r="I1874" s="28" t="s">
        <v>10802</v>
      </c>
      <c r="J1874" s="28" t="s">
        <v>135</v>
      </c>
      <c r="K1874" s="28" t="s">
        <v>10551</v>
      </c>
      <c r="L1874" s="28" t="s">
        <v>10262</v>
      </c>
      <c r="M1874" s="28" t="s">
        <v>10803</v>
      </c>
      <c r="N1874" s="28" t="s">
        <v>10264</v>
      </c>
      <c r="O1874" s="28" t="s">
        <v>10265</v>
      </c>
      <c r="P1874" s="28" t="s">
        <v>10266</v>
      </c>
    </row>
    <row r="1875" spans="1:16" x14ac:dyDescent="0.25">
      <c r="A1875" s="28" t="s">
        <v>10804</v>
      </c>
      <c r="B1875" s="28" t="s">
        <v>10805</v>
      </c>
      <c r="C1875" s="28" t="s">
        <v>132</v>
      </c>
      <c r="D1875" s="28" t="s">
        <v>10730</v>
      </c>
      <c r="E1875" s="28" t="s">
        <v>10801</v>
      </c>
      <c r="F1875" s="28" t="s">
        <v>21</v>
      </c>
      <c r="G1875" s="28" t="s">
        <v>207</v>
      </c>
      <c r="H1875" s="28" t="s">
        <v>9633</v>
      </c>
      <c r="I1875" s="28" t="s">
        <v>10806</v>
      </c>
      <c r="J1875" s="28" t="s">
        <v>207</v>
      </c>
      <c r="K1875" s="28" t="s">
        <v>9635</v>
      </c>
      <c r="L1875" s="28" t="s">
        <v>9636</v>
      </c>
      <c r="M1875" s="28" t="s">
        <v>10807</v>
      </c>
      <c r="N1875" s="28" t="s">
        <v>9638</v>
      </c>
      <c r="O1875" s="28" t="s">
        <v>9639</v>
      </c>
      <c r="P1875" s="28" t="s">
        <v>10808</v>
      </c>
    </row>
    <row r="1876" spans="1:16" x14ac:dyDescent="0.25">
      <c r="A1876" s="28" t="s">
        <v>10809</v>
      </c>
      <c r="B1876" s="28" t="s">
        <v>10810</v>
      </c>
      <c r="C1876" s="28" t="s">
        <v>132</v>
      </c>
      <c r="D1876" s="28" t="s">
        <v>10730</v>
      </c>
      <c r="E1876" s="28" t="s">
        <v>10801</v>
      </c>
      <c r="F1876" s="28" t="s">
        <v>21</v>
      </c>
      <c r="G1876" s="28" t="s">
        <v>207</v>
      </c>
      <c r="H1876" s="28" t="s">
        <v>9633</v>
      </c>
      <c r="I1876" s="28" t="s">
        <v>10811</v>
      </c>
      <c r="J1876" s="28" t="s">
        <v>207</v>
      </c>
      <c r="K1876" s="28" t="s">
        <v>9635</v>
      </c>
      <c r="L1876" s="28" t="s">
        <v>9636</v>
      </c>
      <c r="M1876" s="28" t="s">
        <v>10812</v>
      </c>
      <c r="N1876" s="28" t="s">
        <v>9638</v>
      </c>
      <c r="O1876" s="28" t="s">
        <v>9639</v>
      </c>
      <c r="P1876" s="28" t="s">
        <v>10808</v>
      </c>
    </row>
    <row r="1877" spans="1:16" x14ac:dyDescent="0.25">
      <c r="A1877" s="28" t="s">
        <v>10813</v>
      </c>
      <c r="B1877" s="28" t="s">
        <v>10814</v>
      </c>
      <c r="C1877" s="28" t="s">
        <v>132</v>
      </c>
      <c r="D1877" s="28" t="s">
        <v>10730</v>
      </c>
      <c r="E1877" s="28" t="s">
        <v>10815</v>
      </c>
      <c r="F1877" s="28" t="s">
        <v>21</v>
      </c>
      <c r="G1877" s="28" t="s">
        <v>207</v>
      </c>
      <c r="H1877" s="28" t="s">
        <v>9633</v>
      </c>
      <c r="I1877" s="28" t="s">
        <v>10816</v>
      </c>
      <c r="J1877" s="28" t="s">
        <v>207</v>
      </c>
      <c r="K1877" s="28" t="s">
        <v>9635</v>
      </c>
      <c r="L1877" s="28" t="s">
        <v>9636</v>
      </c>
      <c r="M1877" s="28" t="s">
        <v>10817</v>
      </c>
      <c r="N1877" s="28" t="s">
        <v>9638</v>
      </c>
      <c r="O1877" s="28" t="s">
        <v>9639</v>
      </c>
      <c r="P1877" s="28" t="s">
        <v>10818</v>
      </c>
    </row>
    <row r="1878" spans="1:16" x14ac:dyDescent="0.25">
      <c r="A1878" s="28" t="s">
        <v>10819</v>
      </c>
      <c r="B1878" s="28" t="s">
        <v>10820</v>
      </c>
      <c r="C1878" s="28" t="s">
        <v>132</v>
      </c>
      <c r="D1878" s="28" t="s">
        <v>10730</v>
      </c>
      <c r="E1878" s="28" t="s">
        <v>10815</v>
      </c>
      <c r="F1878" s="28" t="s">
        <v>21</v>
      </c>
      <c r="G1878" s="28" t="s">
        <v>207</v>
      </c>
      <c r="H1878" s="28" t="s">
        <v>9633</v>
      </c>
      <c r="I1878" s="28" t="s">
        <v>10821</v>
      </c>
      <c r="J1878" s="28" t="s">
        <v>207</v>
      </c>
      <c r="K1878" s="28" t="s">
        <v>9635</v>
      </c>
      <c r="L1878" s="28" t="s">
        <v>9636</v>
      </c>
      <c r="M1878" s="28" t="s">
        <v>10822</v>
      </c>
      <c r="N1878" s="28" t="s">
        <v>9638</v>
      </c>
      <c r="O1878" s="28" t="s">
        <v>9639</v>
      </c>
      <c r="P1878" s="28" t="s">
        <v>10818</v>
      </c>
    </row>
    <row r="1879" spans="1:16" x14ac:dyDescent="0.25">
      <c r="A1879" s="28" t="s">
        <v>10823</v>
      </c>
      <c r="B1879" s="28" t="s">
        <v>10824</v>
      </c>
      <c r="C1879" s="28" t="s">
        <v>132</v>
      </c>
      <c r="D1879" s="28" t="s">
        <v>10730</v>
      </c>
      <c r="E1879" s="28" t="s">
        <v>10815</v>
      </c>
      <c r="F1879" s="28" t="s">
        <v>21</v>
      </c>
      <c r="G1879" s="28" t="s">
        <v>207</v>
      </c>
      <c r="H1879" s="28" t="s">
        <v>9633</v>
      </c>
      <c r="I1879" s="28" t="s">
        <v>10825</v>
      </c>
      <c r="J1879" s="28" t="s">
        <v>207</v>
      </c>
      <c r="K1879" s="28" t="s">
        <v>9635</v>
      </c>
      <c r="L1879" s="28" t="s">
        <v>9636</v>
      </c>
      <c r="M1879" s="28" t="s">
        <v>10826</v>
      </c>
      <c r="N1879" s="28" t="s">
        <v>9638</v>
      </c>
      <c r="O1879" s="28" t="s">
        <v>9639</v>
      </c>
      <c r="P1879" s="28" t="s">
        <v>10818</v>
      </c>
    </row>
    <row r="1880" spans="1:16" x14ac:dyDescent="0.25">
      <c r="A1880" s="28" t="s">
        <v>10827</v>
      </c>
      <c r="B1880" s="28" t="s">
        <v>10828</v>
      </c>
      <c r="C1880" s="28" t="s">
        <v>132</v>
      </c>
      <c r="D1880" s="28" t="s">
        <v>10730</v>
      </c>
      <c r="E1880" s="28" t="s">
        <v>10815</v>
      </c>
      <c r="F1880" s="28" t="s">
        <v>21</v>
      </c>
      <c r="G1880" s="28" t="s">
        <v>207</v>
      </c>
      <c r="H1880" s="28" t="s">
        <v>9633</v>
      </c>
      <c r="I1880" s="28" t="s">
        <v>10829</v>
      </c>
      <c r="J1880" s="28" t="s">
        <v>207</v>
      </c>
      <c r="K1880" s="28" t="s">
        <v>9635</v>
      </c>
      <c r="L1880" s="28" t="s">
        <v>9636</v>
      </c>
      <c r="M1880" s="28" t="s">
        <v>10830</v>
      </c>
      <c r="N1880" s="28" t="s">
        <v>9638</v>
      </c>
      <c r="O1880" s="28" t="s">
        <v>9639</v>
      </c>
      <c r="P1880" s="28" t="s">
        <v>10818</v>
      </c>
    </row>
    <row r="1881" spans="1:16" x14ac:dyDescent="0.25">
      <c r="A1881" s="28" t="s">
        <v>10831</v>
      </c>
      <c r="B1881" s="28" t="s">
        <v>10832</v>
      </c>
      <c r="C1881" s="28" t="s">
        <v>132</v>
      </c>
      <c r="D1881" s="28" t="s">
        <v>10730</v>
      </c>
      <c r="E1881" s="28" t="s">
        <v>10815</v>
      </c>
      <c r="F1881" s="28" t="s">
        <v>21</v>
      </c>
      <c r="G1881" s="28" t="s">
        <v>207</v>
      </c>
      <c r="H1881" s="28" t="s">
        <v>9633</v>
      </c>
      <c r="I1881" s="28" t="s">
        <v>10833</v>
      </c>
      <c r="J1881" s="28" t="s">
        <v>207</v>
      </c>
      <c r="K1881" s="28" t="s">
        <v>9635</v>
      </c>
      <c r="L1881" s="28" t="s">
        <v>9636</v>
      </c>
      <c r="M1881" s="28" t="s">
        <v>10834</v>
      </c>
      <c r="N1881" s="28" t="s">
        <v>9638</v>
      </c>
      <c r="O1881" s="28" t="s">
        <v>9639</v>
      </c>
      <c r="P1881" s="28" t="s">
        <v>10818</v>
      </c>
    </row>
    <row r="1882" spans="1:16" x14ac:dyDescent="0.25">
      <c r="A1882" s="28" t="s">
        <v>10835</v>
      </c>
      <c r="B1882" s="28" t="s">
        <v>10836</v>
      </c>
      <c r="C1882" s="28" t="s">
        <v>132</v>
      </c>
      <c r="D1882" s="28" t="s">
        <v>10730</v>
      </c>
      <c r="E1882" s="28" t="s">
        <v>10837</v>
      </c>
      <c r="F1882" s="28" t="s">
        <v>21</v>
      </c>
      <c r="G1882" s="28" t="s">
        <v>207</v>
      </c>
      <c r="H1882" s="28" t="s">
        <v>9633</v>
      </c>
      <c r="I1882" s="28" t="s">
        <v>10838</v>
      </c>
      <c r="J1882" s="28" t="s">
        <v>207</v>
      </c>
      <c r="K1882" s="28" t="s">
        <v>9635</v>
      </c>
      <c r="L1882" s="28" t="s">
        <v>9636</v>
      </c>
      <c r="M1882" s="28" t="s">
        <v>10839</v>
      </c>
      <c r="N1882" s="28" t="s">
        <v>9638</v>
      </c>
      <c r="O1882" s="28" t="s">
        <v>9639</v>
      </c>
      <c r="P1882" s="28" t="s">
        <v>10840</v>
      </c>
    </row>
    <row r="1883" spans="1:16" x14ac:dyDescent="0.25">
      <c r="A1883" s="28" t="s">
        <v>10841</v>
      </c>
      <c r="B1883" s="28" t="s">
        <v>10842</v>
      </c>
      <c r="C1883" s="28" t="s">
        <v>132</v>
      </c>
      <c r="D1883" s="28" t="s">
        <v>10730</v>
      </c>
      <c r="E1883" s="28" t="s">
        <v>10837</v>
      </c>
      <c r="F1883" s="28" t="s">
        <v>21</v>
      </c>
      <c r="G1883" s="28" t="s">
        <v>207</v>
      </c>
      <c r="H1883" s="28" t="s">
        <v>9633</v>
      </c>
      <c r="I1883" s="28" t="s">
        <v>10843</v>
      </c>
      <c r="J1883" s="28" t="s">
        <v>207</v>
      </c>
      <c r="K1883" s="28" t="s">
        <v>9635</v>
      </c>
      <c r="L1883" s="28" t="s">
        <v>9636</v>
      </c>
      <c r="M1883" s="28" t="s">
        <v>10844</v>
      </c>
      <c r="N1883" s="28" t="s">
        <v>9638</v>
      </c>
      <c r="O1883" s="28" t="s">
        <v>9639</v>
      </c>
      <c r="P1883" s="28" t="s">
        <v>10840</v>
      </c>
    </row>
    <row r="1884" spans="1:16" x14ac:dyDescent="0.25">
      <c r="A1884" s="28" t="s">
        <v>10845</v>
      </c>
      <c r="B1884" s="28" t="s">
        <v>10846</v>
      </c>
      <c r="C1884" s="28" t="s">
        <v>132</v>
      </c>
      <c r="D1884" s="28" t="s">
        <v>10730</v>
      </c>
      <c r="E1884" s="28" t="s">
        <v>10847</v>
      </c>
      <c r="F1884" s="28" t="s">
        <v>21</v>
      </c>
      <c r="G1884" s="28" t="s">
        <v>207</v>
      </c>
      <c r="H1884" s="28" t="s">
        <v>9633</v>
      </c>
      <c r="I1884" s="28" t="s">
        <v>10848</v>
      </c>
      <c r="J1884" s="28" t="s">
        <v>207</v>
      </c>
      <c r="K1884" s="28" t="s">
        <v>9635</v>
      </c>
      <c r="L1884" s="28" t="s">
        <v>9636</v>
      </c>
      <c r="M1884" s="28" t="s">
        <v>10849</v>
      </c>
      <c r="N1884" s="28" t="s">
        <v>9638</v>
      </c>
      <c r="O1884" s="28" t="s">
        <v>9639</v>
      </c>
      <c r="P1884" s="28" t="s">
        <v>10850</v>
      </c>
    </row>
    <row r="1885" spans="1:16" x14ac:dyDescent="0.25">
      <c r="A1885" s="28" t="s">
        <v>10851</v>
      </c>
      <c r="B1885" s="28" t="s">
        <v>10852</v>
      </c>
      <c r="C1885" s="28" t="s">
        <v>132</v>
      </c>
      <c r="D1885" s="28" t="s">
        <v>10730</v>
      </c>
      <c r="E1885" s="28" t="s">
        <v>10847</v>
      </c>
      <c r="F1885" s="28" t="s">
        <v>21</v>
      </c>
      <c r="G1885" s="28" t="s">
        <v>207</v>
      </c>
      <c r="H1885" s="28" t="s">
        <v>9633</v>
      </c>
      <c r="I1885" s="28" t="s">
        <v>10853</v>
      </c>
      <c r="J1885" s="28" t="s">
        <v>207</v>
      </c>
      <c r="K1885" s="28" t="s">
        <v>9635</v>
      </c>
      <c r="L1885" s="28" t="s">
        <v>9636</v>
      </c>
      <c r="M1885" s="28" t="s">
        <v>10854</v>
      </c>
      <c r="N1885" s="28" t="s">
        <v>9638</v>
      </c>
      <c r="O1885" s="28" t="s">
        <v>9639</v>
      </c>
      <c r="P1885" s="28" t="s">
        <v>10850</v>
      </c>
    </row>
    <row r="1886" spans="1:16" x14ac:dyDescent="0.25">
      <c r="A1886" s="28" t="s">
        <v>10855</v>
      </c>
      <c r="B1886" s="28" t="s">
        <v>10856</v>
      </c>
      <c r="C1886" s="28" t="s">
        <v>132</v>
      </c>
      <c r="D1886" s="28" t="s">
        <v>10730</v>
      </c>
      <c r="E1886" s="28" t="s">
        <v>10857</v>
      </c>
      <c r="F1886" s="28" t="s">
        <v>21</v>
      </c>
      <c r="G1886" s="28" t="s">
        <v>207</v>
      </c>
      <c r="H1886" s="28" t="s">
        <v>9633</v>
      </c>
      <c r="I1886" s="28" t="s">
        <v>10858</v>
      </c>
      <c r="J1886" s="28" t="s">
        <v>207</v>
      </c>
      <c r="K1886" s="28" t="s">
        <v>9635</v>
      </c>
      <c r="L1886" s="28" t="s">
        <v>9636</v>
      </c>
      <c r="M1886" s="28" t="s">
        <v>10859</v>
      </c>
      <c r="N1886" s="28" t="s">
        <v>9638</v>
      </c>
      <c r="O1886" s="28" t="s">
        <v>9639</v>
      </c>
      <c r="P1886" s="28" t="s">
        <v>10860</v>
      </c>
    </row>
    <row r="1887" spans="1:16" x14ac:dyDescent="0.25">
      <c r="A1887" s="28" t="s">
        <v>10861</v>
      </c>
      <c r="B1887" s="28" t="s">
        <v>10862</v>
      </c>
      <c r="C1887" s="28" t="s">
        <v>132</v>
      </c>
      <c r="D1887" s="28" t="s">
        <v>10730</v>
      </c>
      <c r="E1887" s="28" t="s">
        <v>10857</v>
      </c>
      <c r="F1887" s="28" t="s">
        <v>21</v>
      </c>
      <c r="G1887" s="28" t="s">
        <v>207</v>
      </c>
      <c r="H1887" s="28" t="s">
        <v>9633</v>
      </c>
      <c r="I1887" s="28" t="s">
        <v>10863</v>
      </c>
      <c r="J1887" s="28" t="s">
        <v>207</v>
      </c>
      <c r="K1887" s="28" t="s">
        <v>9635</v>
      </c>
      <c r="L1887" s="28" t="s">
        <v>9636</v>
      </c>
      <c r="M1887" s="28" t="s">
        <v>10864</v>
      </c>
      <c r="N1887" s="28" t="s">
        <v>9638</v>
      </c>
      <c r="O1887" s="28" t="s">
        <v>9639</v>
      </c>
      <c r="P1887" s="28" t="s">
        <v>10860</v>
      </c>
    </row>
    <row r="1888" spans="1:16" x14ac:dyDescent="0.25">
      <c r="A1888" s="28" t="s">
        <v>10865</v>
      </c>
      <c r="B1888" s="28" t="s">
        <v>10866</v>
      </c>
      <c r="C1888" s="28" t="s">
        <v>132</v>
      </c>
      <c r="D1888" s="28" t="s">
        <v>10730</v>
      </c>
      <c r="E1888" s="28" t="s">
        <v>10867</v>
      </c>
      <c r="F1888" s="28" t="s">
        <v>21</v>
      </c>
      <c r="G1888" s="28" t="s">
        <v>207</v>
      </c>
      <c r="H1888" s="28" t="s">
        <v>9633</v>
      </c>
      <c r="I1888" s="28" t="s">
        <v>10868</v>
      </c>
      <c r="J1888" s="28" t="s">
        <v>207</v>
      </c>
      <c r="K1888" s="28" t="s">
        <v>9635</v>
      </c>
      <c r="L1888" s="28" t="s">
        <v>9636</v>
      </c>
      <c r="M1888" s="28" t="s">
        <v>10869</v>
      </c>
      <c r="N1888" s="28" t="s">
        <v>9638</v>
      </c>
      <c r="O1888" s="28" t="s">
        <v>9639</v>
      </c>
      <c r="P1888" s="28" t="s">
        <v>10870</v>
      </c>
    </row>
    <row r="1889" spans="1:16" x14ac:dyDescent="0.25">
      <c r="A1889" s="28" t="s">
        <v>10871</v>
      </c>
      <c r="B1889" s="28" t="s">
        <v>10872</v>
      </c>
      <c r="C1889" s="28" t="s">
        <v>132</v>
      </c>
      <c r="D1889" s="28" t="s">
        <v>10730</v>
      </c>
      <c r="E1889" s="28" t="s">
        <v>10867</v>
      </c>
      <c r="F1889" s="28" t="s">
        <v>21</v>
      </c>
      <c r="G1889" s="28" t="s">
        <v>207</v>
      </c>
      <c r="H1889" s="28" t="s">
        <v>9633</v>
      </c>
      <c r="I1889" s="28" t="s">
        <v>10873</v>
      </c>
      <c r="J1889" s="28" t="s">
        <v>207</v>
      </c>
      <c r="K1889" s="28" t="s">
        <v>9635</v>
      </c>
      <c r="L1889" s="28" t="s">
        <v>9636</v>
      </c>
      <c r="M1889" s="28" t="s">
        <v>10874</v>
      </c>
      <c r="N1889" s="28" t="s">
        <v>9638</v>
      </c>
      <c r="O1889" s="28" t="s">
        <v>9639</v>
      </c>
      <c r="P1889" s="28" t="s">
        <v>10870</v>
      </c>
    </row>
    <row r="1890" spans="1:16" x14ac:dyDescent="0.25">
      <c r="A1890" s="28" t="s">
        <v>10875</v>
      </c>
      <c r="B1890" s="28" t="s">
        <v>10876</v>
      </c>
      <c r="C1890" s="28" t="s">
        <v>132</v>
      </c>
      <c r="D1890" s="28" t="s">
        <v>10730</v>
      </c>
      <c r="E1890" s="28" t="s">
        <v>10877</v>
      </c>
      <c r="F1890" s="28" t="s">
        <v>21</v>
      </c>
      <c r="G1890" s="28" t="s">
        <v>207</v>
      </c>
      <c r="H1890" s="28" t="s">
        <v>9633</v>
      </c>
      <c r="I1890" s="28" t="s">
        <v>10878</v>
      </c>
      <c r="J1890" s="28" t="s">
        <v>207</v>
      </c>
      <c r="K1890" s="28" t="s">
        <v>9635</v>
      </c>
      <c r="L1890" s="28" t="s">
        <v>9636</v>
      </c>
      <c r="M1890" s="28" t="s">
        <v>10879</v>
      </c>
      <c r="N1890" s="28" t="s">
        <v>9638</v>
      </c>
      <c r="O1890" s="28" t="s">
        <v>9639</v>
      </c>
      <c r="P1890" s="28" t="s">
        <v>10880</v>
      </c>
    </row>
    <row r="1891" spans="1:16" x14ac:dyDescent="0.25">
      <c r="A1891" s="28" t="s">
        <v>10881</v>
      </c>
      <c r="B1891" s="28" t="s">
        <v>10882</v>
      </c>
      <c r="C1891" s="28" t="s">
        <v>132</v>
      </c>
      <c r="D1891" s="28" t="s">
        <v>10730</v>
      </c>
      <c r="E1891" s="28" t="s">
        <v>10877</v>
      </c>
      <c r="F1891" s="28" t="s">
        <v>21</v>
      </c>
      <c r="G1891" s="28" t="s">
        <v>207</v>
      </c>
      <c r="H1891" s="28" t="s">
        <v>9633</v>
      </c>
      <c r="I1891" s="28" t="s">
        <v>10883</v>
      </c>
      <c r="J1891" s="28" t="s">
        <v>207</v>
      </c>
      <c r="K1891" s="28" t="s">
        <v>9635</v>
      </c>
      <c r="L1891" s="28" t="s">
        <v>9636</v>
      </c>
      <c r="M1891" s="28" t="s">
        <v>10884</v>
      </c>
      <c r="N1891" s="28" t="s">
        <v>9638</v>
      </c>
      <c r="O1891" s="28" t="s">
        <v>9639</v>
      </c>
      <c r="P1891" s="28" t="s">
        <v>10880</v>
      </c>
    </row>
    <row r="1892" spans="1:16" x14ac:dyDescent="0.25">
      <c r="A1892" s="28" t="s">
        <v>10885</v>
      </c>
      <c r="B1892" s="28" t="s">
        <v>10886</v>
      </c>
      <c r="C1892" s="28" t="s">
        <v>132</v>
      </c>
      <c r="D1892" s="28" t="s">
        <v>10730</v>
      </c>
      <c r="E1892" s="28" t="s">
        <v>10887</v>
      </c>
      <c r="F1892" s="28" t="s">
        <v>21</v>
      </c>
      <c r="G1892" s="28" t="s">
        <v>207</v>
      </c>
      <c r="H1892" s="28" t="s">
        <v>9633</v>
      </c>
      <c r="I1892" s="28" t="s">
        <v>10888</v>
      </c>
      <c r="J1892" s="28" t="s">
        <v>207</v>
      </c>
      <c r="K1892" s="28" t="s">
        <v>9635</v>
      </c>
      <c r="L1892" s="28" t="s">
        <v>9636</v>
      </c>
      <c r="M1892" s="28" t="s">
        <v>10889</v>
      </c>
      <c r="N1892" s="28" t="s">
        <v>9638</v>
      </c>
      <c r="O1892" s="28" t="s">
        <v>9639</v>
      </c>
      <c r="P1892" s="28" t="s">
        <v>10890</v>
      </c>
    </row>
    <row r="1893" spans="1:16" x14ac:dyDescent="0.25">
      <c r="A1893" s="28" t="s">
        <v>10891</v>
      </c>
      <c r="B1893" s="28" t="s">
        <v>10892</v>
      </c>
      <c r="C1893" s="28" t="s">
        <v>132</v>
      </c>
      <c r="D1893" s="28" t="s">
        <v>10730</v>
      </c>
      <c r="E1893" s="28" t="s">
        <v>10887</v>
      </c>
      <c r="F1893" s="28" t="s">
        <v>21</v>
      </c>
      <c r="G1893" s="28" t="s">
        <v>207</v>
      </c>
      <c r="H1893" s="28" t="s">
        <v>9633</v>
      </c>
      <c r="I1893" s="28" t="s">
        <v>10893</v>
      </c>
      <c r="J1893" s="28" t="s">
        <v>207</v>
      </c>
      <c r="K1893" s="28" t="s">
        <v>9635</v>
      </c>
      <c r="L1893" s="28" t="s">
        <v>9636</v>
      </c>
      <c r="M1893" s="28" t="s">
        <v>10894</v>
      </c>
      <c r="N1893" s="28" t="s">
        <v>9638</v>
      </c>
      <c r="O1893" s="28" t="s">
        <v>9639</v>
      </c>
      <c r="P1893" s="28" t="s">
        <v>10890</v>
      </c>
    </row>
    <row r="1894" spans="1:16" x14ac:dyDescent="0.25">
      <c r="A1894" s="28" t="s">
        <v>10895</v>
      </c>
      <c r="B1894" s="28" t="s">
        <v>10896</v>
      </c>
      <c r="C1894" s="28" t="s">
        <v>132</v>
      </c>
      <c r="D1894" s="28" t="s">
        <v>10730</v>
      </c>
      <c r="E1894" s="28" t="s">
        <v>10897</v>
      </c>
      <c r="F1894" s="28" t="s">
        <v>21</v>
      </c>
      <c r="G1894" s="28" t="s">
        <v>207</v>
      </c>
      <c r="H1894" s="28" t="s">
        <v>9633</v>
      </c>
      <c r="I1894" s="28" t="s">
        <v>10898</v>
      </c>
      <c r="J1894" s="28" t="s">
        <v>207</v>
      </c>
      <c r="K1894" s="28" t="s">
        <v>9635</v>
      </c>
      <c r="L1894" s="28" t="s">
        <v>9636</v>
      </c>
      <c r="M1894" s="28" t="s">
        <v>10899</v>
      </c>
      <c r="N1894" s="28" t="s">
        <v>9638</v>
      </c>
      <c r="O1894" s="28" t="s">
        <v>9639</v>
      </c>
      <c r="P1894" s="28" t="s">
        <v>10900</v>
      </c>
    </row>
    <row r="1895" spans="1:16" x14ac:dyDescent="0.25">
      <c r="A1895" s="28" t="s">
        <v>10901</v>
      </c>
      <c r="B1895" s="28" t="s">
        <v>10902</v>
      </c>
      <c r="C1895" s="28" t="s">
        <v>132</v>
      </c>
      <c r="D1895" s="28" t="s">
        <v>10730</v>
      </c>
      <c r="E1895" s="28" t="s">
        <v>10897</v>
      </c>
      <c r="F1895" s="28" t="s">
        <v>21</v>
      </c>
      <c r="G1895" s="28" t="s">
        <v>207</v>
      </c>
      <c r="H1895" s="28" t="s">
        <v>9633</v>
      </c>
      <c r="I1895" s="28" t="s">
        <v>10903</v>
      </c>
      <c r="J1895" s="28" t="s">
        <v>207</v>
      </c>
      <c r="K1895" s="28" t="s">
        <v>9635</v>
      </c>
      <c r="L1895" s="28" t="s">
        <v>9636</v>
      </c>
      <c r="M1895" s="28" t="s">
        <v>10904</v>
      </c>
      <c r="N1895" s="28" t="s">
        <v>9638</v>
      </c>
      <c r="O1895" s="28" t="s">
        <v>9639</v>
      </c>
      <c r="P1895" s="28" t="s">
        <v>10900</v>
      </c>
    </row>
    <row r="1896" spans="1:16" x14ac:dyDescent="0.25">
      <c r="A1896" s="28" t="s">
        <v>10905</v>
      </c>
      <c r="B1896" s="28" t="s">
        <v>10906</v>
      </c>
      <c r="C1896" s="28" t="s">
        <v>132</v>
      </c>
      <c r="D1896" s="28" t="s">
        <v>10730</v>
      </c>
      <c r="E1896" s="28" t="s">
        <v>10907</v>
      </c>
      <c r="F1896" s="28" t="s">
        <v>21</v>
      </c>
      <c r="G1896" s="28" t="s">
        <v>207</v>
      </c>
      <c r="H1896" s="28" t="s">
        <v>9633</v>
      </c>
      <c r="I1896" s="28" t="s">
        <v>10908</v>
      </c>
      <c r="J1896" s="28" t="s">
        <v>207</v>
      </c>
      <c r="K1896" s="28" t="s">
        <v>9635</v>
      </c>
      <c r="L1896" s="28" t="s">
        <v>9636</v>
      </c>
      <c r="M1896" s="28" t="s">
        <v>10909</v>
      </c>
      <c r="N1896" s="28" t="s">
        <v>9638</v>
      </c>
      <c r="O1896" s="28" t="s">
        <v>9639</v>
      </c>
      <c r="P1896" s="28" t="s">
        <v>10910</v>
      </c>
    </row>
    <row r="1897" spans="1:16" x14ac:dyDescent="0.25">
      <c r="A1897" s="28" t="s">
        <v>10911</v>
      </c>
      <c r="B1897" s="28" t="s">
        <v>10912</v>
      </c>
      <c r="C1897" s="28" t="s">
        <v>132</v>
      </c>
      <c r="D1897" s="28" t="s">
        <v>10730</v>
      </c>
      <c r="E1897" s="28" t="s">
        <v>10907</v>
      </c>
      <c r="F1897" s="28" t="s">
        <v>21</v>
      </c>
      <c r="G1897" s="28" t="s">
        <v>207</v>
      </c>
      <c r="H1897" s="28" t="s">
        <v>9633</v>
      </c>
      <c r="I1897" s="28" t="s">
        <v>10913</v>
      </c>
      <c r="J1897" s="28" t="s">
        <v>207</v>
      </c>
      <c r="K1897" s="28" t="s">
        <v>9635</v>
      </c>
      <c r="L1897" s="28" t="s">
        <v>9636</v>
      </c>
      <c r="M1897" s="28" t="s">
        <v>10914</v>
      </c>
      <c r="N1897" s="28" t="s">
        <v>9638</v>
      </c>
      <c r="O1897" s="28" t="s">
        <v>9639</v>
      </c>
      <c r="P1897" s="28" t="s">
        <v>10910</v>
      </c>
    </row>
    <row r="1898" spans="1:16" x14ac:dyDescent="0.25">
      <c r="A1898" s="28" t="s">
        <v>10915</v>
      </c>
      <c r="B1898" s="28" t="s">
        <v>10916</v>
      </c>
      <c r="C1898" s="28" t="s">
        <v>132</v>
      </c>
      <c r="D1898" s="28" t="s">
        <v>10730</v>
      </c>
      <c r="E1898" s="28" t="s">
        <v>10917</v>
      </c>
      <c r="F1898" s="28" t="s">
        <v>21</v>
      </c>
      <c r="G1898" s="28" t="s">
        <v>207</v>
      </c>
      <c r="H1898" s="28" t="s">
        <v>9633</v>
      </c>
      <c r="I1898" s="28" t="s">
        <v>10918</v>
      </c>
      <c r="J1898" s="28" t="s">
        <v>207</v>
      </c>
      <c r="K1898" s="28" t="s">
        <v>9635</v>
      </c>
      <c r="L1898" s="28" t="s">
        <v>9636</v>
      </c>
      <c r="M1898" s="28" t="s">
        <v>10919</v>
      </c>
      <c r="N1898" s="28" t="s">
        <v>9638</v>
      </c>
      <c r="O1898" s="28" t="s">
        <v>9639</v>
      </c>
      <c r="P1898" s="28" t="s">
        <v>10920</v>
      </c>
    </row>
    <row r="1899" spans="1:16" x14ac:dyDescent="0.25">
      <c r="A1899" s="28" t="s">
        <v>10921</v>
      </c>
      <c r="B1899" s="28" t="s">
        <v>10922</v>
      </c>
      <c r="C1899" s="28" t="s">
        <v>132</v>
      </c>
      <c r="D1899" s="28" t="s">
        <v>10730</v>
      </c>
      <c r="E1899" s="28" t="s">
        <v>10917</v>
      </c>
      <c r="F1899" s="28" t="s">
        <v>21</v>
      </c>
      <c r="G1899" s="28" t="s">
        <v>207</v>
      </c>
      <c r="H1899" s="28" t="s">
        <v>9633</v>
      </c>
      <c r="I1899" s="28" t="s">
        <v>10923</v>
      </c>
      <c r="J1899" s="28" t="s">
        <v>207</v>
      </c>
      <c r="K1899" s="28" t="s">
        <v>9635</v>
      </c>
      <c r="L1899" s="28" t="s">
        <v>9636</v>
      </c>
      <c r="M1899" s="28" t="s">
        <v>10924</v>
      </c>
      <c r="N1899" s="28" t="s">
        <v>9638</v>
      </c>
      <c r="O1899" s="28" t="s">
        <v>9639</v>
      </c>
      <c r="P1899" s="28" t="s">
        <v>10920</v>
      </c>
    </row>
    <row r="1900" spans="1:16" x14ac:dyDescent="0.25">
      <c r="A1900" s="28" t="s">
        <v>10925</v>
      </c>
      <c r="B1900" s="28" t="s">
        <v>10926</v>
      </c>
      <c r="C1900" s="28" t="s">
        <v>132</v>
      </c>
      <c r="D1900" s="28" t="s">
        <v>10730</v>
      </c>
      <c r="E1900" s="28" t="s">
        <v>10927</v>
      </c>
      <c r="F1900" s="28" t="s">
        <v>21</v>
      </c>
      <c r="G1900" s="28" t="s">
        <v>207</v>
      </c>
      <c r="H1900" s="28" t="s">
        <v>9633</v>
      </c>
      <c r="I1900" s="28" t="s">
        <v>10928</v>
      </c>
      <c r="J1900" s="28" t="s">
        <v>207</v>
      </c>
      <c r="K1900" s="28" t="s">
        <v>9635</v>
      </c>
      <c r="L1900" s="28" t="s">
        <v>9636</v>
      </c>
      <c r="M1900" s="28" t="s">
        <v>10929</v>
      </c>
      <c r="N1900" s="28" t="s">
        <v>9638</v>
      </c>
      <c r="O1900" s="28" t="s">
        <v>9639</v>
      </c>
      <c r="P1900" s="28" t="s">
        <v>10930</v>
      </c>
    </row>
    <row r="1901" spans="1:16" x14ac:dyDescent="0.25">
      <c r="A1901" s="28" t="s">
        <v>10931</v>
      </c>
      <c r="B1901" s="28" t="s">
        <v>10932</v>
      </c>
      <c r="C1901" s="28" t="s">
        <v>132</v>
      </c>
      <c r="D1901" s="28" t="s">
        <v>10730</v>
      </c>
      <c r="E1901" s="28" t="s">
        <v>10927</v>
      </c>
      <c r="F1901" s="28" t="s">
        <v>21</v>
      </c>
      <c r="G1901" s="28" t="s">
        <v>207</v>
      </c>
      <c r="H1901" s="28" t="s">
        <v>9633</v>
      </c>
      <c r="I1901" s="28" t="s">
        <v>10933</v>
      </c>
      <c r="J1901" s="28" t="s">
        <v>207</v>
      </c>
      <c r="K1901" s="28" t="s">
        <v>9635</v>
      </c>
      <c r="L1901" s="28" t="s">
        <v>9636</v>
      </c>
      <c r="M1901" s="28" t="s">
        <v>10934</v>
      </c>
      <c r="N1901" s="28" t="s">
        <v>9638</v>
      </c>
      <c r="O1901" s="28" t="s">
        <v>9639</v>
      </c>
      <c r="P1901" s="28" t="s">
        <v>10930</v>
      </c>
    </row>
    <row r="1902" spans="1:16" x14ac:dyDescent="0.25">
      <c r="A1902" s="28" t="s">
        <v>10935</v>
      </c>
      <c r="B1902" s="28" t="s">
        <v>10936</v>
      </c>
      <c r="C1902" s="28" t="s">
        <v>132</v>
      </c>
      <c r="D1902" s="28" t="s">
        <v>10730</v>
      </c>
      <c r="E1902" s="28" t="s">
        <v>10937</v>
      </c>
      <c r="F1902" s="28" t="s">
        <v>21</v>
      </c>
      <c r="G1902" s="28" t="s">
        <v>207</v>
      </c>
      <c r="H1902" s="28" t="s">
        <v>9633</v>
      </c>
      <c r="I1902" s="28" t="s">
        <v>10938</v>
      </c>
      <c r="J1902" s="28" t="s">
        <v>207</v>
      </c>
      <c r="K1902" s="28" t="s">
        <v>9635</v>
      </c>
      <c r="L1902" s="28" t="s">
        <v>9636</v>
      </c>
      <c r="M1902" s="28" t="s">
        <v>10939</v>
      </c>
      <c r="N1902" s="28" t="s">
        <v>9638</v>
      </c>
      <c r="O1902" s="28" t="s">
        <v>9639</v>
      </c>
      <c r="P1902" s="28" t="s">
        <v>10940</v>
      </c>
    </row>
    <row r="1903" spans="1:16" x14ac:dyDescent="0.25">
      <c r="A1903" s="28" t="s">
        <v>10941</v>
      </c>
      <c r="B1903" s="28" t="s">
        <v>10942</v>
      </c>
      <c r="C1903" s="28" t="s">
        <v>132</v>
      </c>
      <c r="D1903" s="28" t="s">
        <v>10730</v>
      </c>
      <c r="E1903" s="28" t="s">
        <v>10937</v>
      </c>
      <c r="F1903" s="28" t="s">
        <v>21</v>
      </c>
      <c r="G1903" s="28" t="s">
        <v>207</v>
      </c>
      <c r="H1903" s="28" t="s">
        <v>9633</v>
      </c>
      <c r="I1903" s="28" t="s">
        <v>10943</v>
      </c>
      <c r="J1903" s="28" t="s">
        <v>207</v>
      </c>
      <c r="K1903" s="28" t="s">
        <v>9635</v>
      </c>
      <c r="L1903" s="28" t="s">
        <v>9636</v>
      </c>
      <c r="M1903" s="28" t="s">
        <v>10944</v>
      </c>
      <c r="N1903" s="28" t="s">
        <v>9638</v>
      </c>
      <c r="O1903" s="28" t="s">
        <v>9639</v>
      </c>
      <c r="P1903" s="28" t="s">
        <v>10940</v>
      </c>
    </row>
    <row r="1904" spans="1:16" x14ac:dyDescent="0.25">
      <c r="A1904" s="28" t="s">
        <v>10945</v>
      </c>
      <c r="B1904" s="28" t="s">
        <v>10946</v>
      </c>
      <c r="C1904" s="28" t="s">
        <v>132</v>
      </c>
      <c r="D1904" s="28" t="s">
        <v>10730</v>
      </c>
      <c r="E1904" s="28" t="s">
        <v>10947</v>
      </c>
      <c r="F1904" s="28" t="s">
        <v>21</v>
      </c>
      <c r="G1904" s="28" t="s">
        <v>207</v>
      </c>
      <c r="H1904" s="28" t="s">
        <v>9633</v>
      </c>
      <c r="I1904" s="28" t="s">
        <v>10948</v>
      </c>
      <c r="J1904" s="28" t="s">
        <v>207</v>
      </c>
      <c r="K1904" s="28" t="s">
        <v>9635</v>
      </c>
      <c r="L1904" s="28" t="s">
        <v>9636</v>
      </c>
      <c r="M1904" s="28" t="s">
        <v>10949</v>
      </c>
      <c r="N1904" s="28" t="s">
        <v>9638</v>
      </c>
      <c r="O1904" s="28" t="s">
        <v>9639</v>
      </c>
      <c r="P1904" s="28" t="s">
        <v>10950</v>
      </c>
    </row>
    <row r="1905" spans="1:16" x14ac:dyDescent="0.25">
      <c r="A1905" s="28" t="s">
        <v>10951</v>
      </c>
      <c r="B1905" s="28" t="s">
        <v>10952</v>
      </c>
      <c r="C1905" s="28" t="s">
        <v>132</v>
      </c>
      <c r="D1905" s="28" t="s">
        <v>10730</v>
      </c>
      <c r="E1905" s="28" t="s">
        <v>10947</v>
      </c>
      <c r="F1905" s="28" t="s">
        <v>21</v>
      </c>
      <c r="G1905" s="28" t="s">
        <v>207</v>
      </c>
      <c r="H1905" s="28" t="s">
        <v>9633</v>
      </c>
      <c r="I1905" s="28" t="s">
        <v>10953</v>
      </c>
      <c r="J1905" s="28" t="s">
        <v>207</v>
      </c>
      <c r="K1905" s="28" t="s">
        <v>9635</v>
      </c>
      <c r="L1905" s="28" t="s">
        <v>9636</v>
      </c>
      <c r="M1905" s="28" t="s">
        <v>10954</v>
      </c>
      <c r="N1905" s="28" t="s">
        <v>9638</v>
      </c>
      <c r="O1905" s="28" t="s">
        <v>9639</v>
      </c>
      <c r="P1905" s="28" t="s">
        <v>10950</v>
      </c>
    </row>
    <row r="1906" spans="1:16" x14ac:dyDescent="0.25">
      <c r="A1906" s="28" t="s">
        <v>10955</v>
      </c>
      <c r="B1906" s="28" t="s">
        <v>10956</v>
      </c>
      <c r="C1906" s="28" t="s">
        <v>132</v>
      </c>
      <c r="D1906" s="28" t="s">
        <v>10730</v>
      </c>
      <c r="E1906" s="28" t="s">
        <v>10957</v>
      </c>
      <c r="F1906" s="28" t="s">
        <v>21</v>
      </c>
      <c r="G1906" s="28" t="s">
        <v>207</v>
      </c>
      <c r="H1906" s="28" t="s">
        <v>9633</v>
      </c>
      <c r="I1906" s="28" t="s">
        <v>10958</v>
      </c>
      <c r="J1906" s="28" t="s">
        <v>207</v>
      </c>
      <c r="K1906" s="28" t="s">
        <v>9635</v>
      </c>
      <c r="L1906" s="28" t="s">
        <v>9636</v>
      </c>
      <c r="M1906" s="28" t="s">
        <v>10959</v>
      </c>
      <c r="N1906" s="28" t="s">
        <v>9638</v>
      </c>
      <c r="O1906" s="28" t="s">
        <v>9639</v>
      </c>
      <c r="P1906" s="28" t="s">
        <v>10960</v>
      </c>
    </row>
    <row r="1907" spans="1:16" x14ac:dyDescent="0.25">
      <c r="A1907" s="28" t="s">
        <v>10961</v>
      </c>
      <c r="B1907" s="28" t="s">
        <v>10962</v>
      </c>
      <c r="C1907" s="28" t="s">
        <v>132</v>
      </c>
      <c r="D1907" s="28" t="s">
        <v>10730</v>
      </c>
      <c r="E1907" s="28" t="s">
        <v>10957</v>
      </c>
      <c r="F1907" s="28" t="s">
        <v>21</v>
      </c>
      <c r="G1907" s="28" t="s">
        <v>207</v>
      </c>
      <c r="H1907" s="28" t="s">
        <v>9633</v>
      </c>
      <c r="I1907" s="28" t="s">
        <v>10963</v>
      </c>
      <c r="J1907" s="28" t="s">
        <v>207</v>
      </c>
      <c r="K1907" s="28" t="s">
        <v>9635</v>
      </c>
      <c r="L1907" s="28" t="s">
        <v>9636</v>
      </c>
      <c r="M1907" s="28" t="s">
        <v>10964</v>
      </c>
      <c r="N1907" s="28" t="s">
        <v>9638</v>
      </c>
      <c r="O1907" s="28" t="s">
        <v>9639</v>
      </c>
      <c r="P1907" s="28" t="s">
        <v>10960</v>
      </c>
    </row>
    <row r="1908" spans="1:16" x14ac:dyDescent="0.25">
      <c r="A1908" s="28" t="s">
        <v>10965</v>
      </c>
      <c r="B1908" s="28" t="s">
        <v>10966</v>
      </c>
      <c r="C1908" s="28" t="s">
        <v>132</v>
      </c>
      <c r="D1908" s="28" t="s">
        <v>10730</v>
      </c>
      <c r="E1908" s="28" t="s">
        <v>10967</v>
      </c>
      <c r="F1908" s="28" t="s">
        <v>21</v>
      </c>
      <c r="G1908" s="28" t="s">
        <v>207</v>
      </c>
      <c r="H1908" s="28" t="s">
        <v>9633</v>
      </c>
      <c r="I1908" s="28" t="s">
        <v>10968</v>
      </c>
      <c r="J1908" s="28" t="s">
        <v>207</v>
      </c>
      <c r="K1908" s="28" t="s">
        <v>9635</v>
      </c>
      <c r="L1908" s="28" t="s">
        <v>9636</v>
      </c>
      <c r="M1908" s="28" t="s">
        <v>10969</v>
      </c>
      <c r="N1908" s="28" t="s">
        <v>9638</v>
      </c>
      <c r="O1908" s="28" t="s">
        <v>9639</v>
      </c>
      <c r="P1908" s="28" t="s">
        <v>10970</v>
      </c>
    </row>
    <row r="1909" spans="1:16" x14ac:dyDescent="0.25">
      <c r="A1909" s="28" t="s">
        <v>10971</v>
      </c>
      <c r="B1909" s="28" t="s">
        <v>10972</v>
      </c>
      <c r="C1909" s="28" t="s">
        <v>132</v>
      </c>
      <c r="D1909" s="28" t="s">
        <v>10730</v>
      </c>
      <c r="E1909" s="28" t="s">
        <v>10967</v>
      </c>
      <c r="F1909" s="28" t="s">
        <v>21</v>
      </c>
      <c r="G1909" s="28" t="s">
        <v>207</v>
      </c>
      <c r="H1909" s="28" t="s">
        <v>9633</v>
      </c>
      <c r="I1909" s="28" t="s">
        <v>10973</v>
      </c>
      <c r="J1909" s="28" t="s">
        <v>207</v>
      </c>
      <c r="K1909" s="28" t="s">
        <v>9635</v>
      </c>
      <c r="L1909" s="28" t="s">
        <v>9636</v>
      </c>
      <c r="M1909" s="28" t="s">
        <v>10974</v>
      </c>
      <c r="N1909" s="28" t="s">
        <v>9638</v>
      </c>
      <c r="O1909" s="28" t="s">
        <v>9639</v>
      </c>
      <c r="P1909" s="28" t="s">
        <v>10970</v>
      </c>
    </row>
    <row r="1910" spans="1:16" x14ac:dyDescent="0.25">
      <c r="A1910" s="28" t="s">
        <v>10975</v>
      </c>
      <c r="B1910" s="28" t="s">
        <v>10976</v>
      </c>
      <c r="C1910" s="28" t="s">
        <v>132</v>
      </c>
      <c r="D1910" s="28" t="s">
        <v>10730</v>
      </c>
      <c r="E1910" s="28" t="s">
        <v>10977</v>
      </c>
      <c r="F1910" s="28" t="s">
        <v>21</v>
      </c>
      <c r="G1910" s="28" t="s">
        <v>207</v>
      </c>
      <c r="H1910" s="28" t="s">
        <v>9633</v>
      </c>
      <c r="I1910" s="28" t="s">
        <v>10978</v>
      </c>
      <c r="J1910" s="28" t="s">
        <v>207</v>
      </c>
      <c r="K1910" s="28" t="s">
        <v>9635</v>
      </c>
      <c r="L1910" s="28" t="s">
        <v>9636</v>
      </c>
      <c r="M1910" s="28" t="s">
        <v>10979</v>
      </c>
      <c r="N1910" s="28" t="s">
        <v>9638</v>
      </c>
      <c r="O1910" s="28" t="s">
        <v>9639</v>
      </c>
      <c r="P1910" s="28" t="s">
        <v>10980</v>
      </c>
    </row>
    <row r="1911" spans="1:16" x14ac:dyDescent="0.25">
      <c r="A1911" s="28" t="s">
        <v>10981</v>
      </c>
      <c r="B1911" s="28" t="s">
        <v>10982</v>
      </c>
      <c r="C1911" s="28" t="s">
        <v>132</v>
      </c>
      <c r="D1911" s="28" t="s">
        <v>10730</v>
      </c>
      <c r="E1911" s="28" t="s">
        <v>10977</v>
      </c>
      <c r="F1911" s="28" t="s">
        <v>21</v>
      </c>
      <c r="G1911" s="28" t="s">
        <v>207</v>
      </c>
      <c r="H1911" s="28" t="s">
        <v>9633</v>
      </c>
      <c r="I1911" s="28" t="s">
        <v>10983</v>
      </c>
      <c r="J1911" s="28" t="s">
        <v>207</v>
      </c>
      <c r="K1911" s="28" t="s">
        <v>9635</v>
      </c>
      <c r="L1911" s="28" t="s">
        <v>9636</v>
      </c>
      <c r="M1911" s="28" t="s">
        <v>10984</v>
      </c>
      <c r="N1911" s="28" t="s">
        <v>9638</v>
      </c>
      <c r="O1911" s="28" t="s">
        <v>9639</v>
      </c>
      <c r="P1911" s="28" t="s">
        <v>10980</v>
      </c>
    </row>
    <row r="1912" spans="1:16" x14ac:dyDescent="0.25">
      <c r="A1912" s="28" t="s">
        <v>10985</v>
      </c>
      <c r="B1912" s="28" t="s">
        <v>10986</v>
      </c>
      <c r="C1912" s="28" t="s">
        <v>132</v>
      </c>
      <c r="D1912" s="28" t="s">
        <v>10730</v>
      </c>
      <c r="E1912" s="28" t="s">
        <v>10987</v>
      </c>
      <c r="F1912" s="28" t="s">
        <v>21</v>
      </c>
      <c r="G1912" s="28" t="s">
        <v>207</v>
      </c>
      <c r="H1912" s="28" t="s">
        <v>9633</v>
      </c>
      <c r="I1912" s="28" t="s">
        <v>10988</v>
      </c>
      <c r="J1912" s="28" t="s">
        <v>207</v>
      </c>
      <c r="K1912" s="28" t="s">
        <v>9635</v>
      </c>
      <c r="L1912" s="28" t="s">
        <v>9636</v>
      </c>
      <c r="M1912" s="28" t="s">
        <v>10989</v>
      </c>
      <c r="N1912" s="28" t="s">
        <v>9638</v>
      </c>
      <c r="O1912" s="28" t="s">
        <v>9639</v>
      </c>
      <c r="P1912" s="28" t="s">
        <v>10990</v>
      </c>
    </row>
    <row r="1913" spans="1:16" x14ac:dyDescent="0.25">
      <c r="A1913" s="28" t="s">
        <v>10991</v>
      </c>
      <c r="B1913" s="28" t="s">
        <v>10992</v>
      </c>
      <c r="C1913" s="28" t="s">
        <v>132</v>
      </c>
      <c r="D1913" s="28" t="s">
        <v>10730</v>
      </c>
      <c r="E1913" s="28" t="s">
        <v>10987</v>
      </c>
      <c r="F1913" s="28" t="s">
        <v>21</v>
      </c>
      <c r="G1913" s="28" t="s">
        <v>207</v>
      </c>
      <c r="H1913" s="28" t="s">
        <v>9633</v>
      </c>
      <c r="I1913" s="28" t="s">
        <v>10993</v>
      </c>
      <c r="J1913" s="28" t="s">
        <v>207</v>
      </c>
      <c r="K1913" s="28" t="s">
        <v>9635</v>
      </c>
      <c r="L1913" s="28" t="s">
        <v>9636</v>
      </c>
      <c r="M1913" s="28" t="s">
        <v>10994</v>
      </c>
      <c r="N1913" s="28" t="s">
        <v>9638</v>
      </c>
      <c r="O1913" s="28" t="s">
        <v>9639</v>
      </c>
      <c r="P1913" s="28" t="s">
        <v>10990</v>
      </c>
    </row>
    <row r="1914" spans="1:16" x14ac:dyDescent="0.25">
      <c r="A1914" s="28" t="s">
        <v>10995</v>
      </c>
      <c r="B1914" s="28" t="s">
        <v>10996</v>
      </c>
      <c r="C1914" s="28" t="s">
        <v>132</v>
      </c>
      <c r="D1914" s="28" t="s">
        <v>10730</v>
      </c>
      <c r="E1914" s="28" t="s">
        <v>10987</v>
      </c>
      <c r="F1914" s="28" t="s">
        <v>21</v>
      </c>
      <c r="G1914" s="28" t="s">
        <v>207</v>
      </c>
      <c r="H1914" s="28" t="s">
        <v>9633</v>
      </c>
      <c r="I1914" s="28" t="s">
        <v>10997</v>
      </c>
      <c r="J1914" s="28" t="s">
        <v>207</v>
      </c>
      <c r="K1914" s="28" t="s">
        <v>9635</v>
      </c>
      <c r="L1914" s="28" t="s">
        <v>9636</v>
      </c>
      <c r="M1914" s="28" t="s">
        <v>10998</v>
      </c>
      <c r="N1914" s="28" t="s">
        <v>9638</v>
      </c>
      <c r="O1914" s="28" t="s">
        <v>9639</v>
      </c>
      <c r="P1914" s="28" t="s">
        <v>10990</v>
      </c>
    </row>
    <row r="1915" spans="1:16" x14ac:dyDescent="0.25">
      <c r="A1915" s="28" t="s">
        <v>10999</v>
      </c>
      <c r="B1915" s="28" t="s">
        <v>11000</v>
      </c>
      <c r="C1915" s="28" t="s">
        <v>132</v>
      </c>
      <c r="D1915" s="28" t="s">
        <v>10730</v>
      </c>
      <c r="E1915" s="28" t="s">
        <v>10987</v>
      </c>
      <c r="F1915" s="28" t="s">
        <v>21</v>
      </c>
      <c r="G1915" s="28" t="s">
        <v>207</v>
      </c>
      <c r="H1915" s="28" t="s">
        <v>9633</v>
      </c>
      <c r="I1915" s="28" t="s">
        <v>11001</v>
      </c>
      <c r="J1915" s="28" t="s">
        <v>207</v>
      </c>
      <c r="K1915" s="28" t="s">
        <v>9635</v>
      </c>
      <c r="L1915" s="28" t="s">
        <v>9636</v>
      </c>
      <c r="M1915" s="28" t="s">
        <v>11002</v>
      </c>
      <c r="N1915" s="28" t="s">
        <v>9638</v>
      </c>
      <c r="O1915" s="28" t="s">
        <v>9639</v>
      </c>
      <c r="P1915" s="28" t="s">
        <v>10990</v>
      </c>
    </row>
    <row r="1916" spans="1:16" x14ac:dyDescent="0.25">
      <c r="A1916" s="28" t="s">
        <v>11003</v>
      </c>
      <c r="B1916" s="28" t="s">
        <v>11004</v>
      </c>
      <c r="C1916" s="28" t="s">
        <v>132</v>
      </c>
      <c r="D1916" s="28" t="s">
        <v>10730</v>
      </c>
      <c r="E1916" s="28" t="s">
        <v>10987</v>
      </c>
      <c r="F1916" s="28" t="s">
        <v>21</v>
      </c>
      <c r="G1916" s="28" t="s">
        <v>207</v>
      </c>
      <c r="H1916" s="28" t="s">
        <v>9633</v>
      </c>
      <c r="I1916" s="28" t="s">
        <v>11005</v>
      </c>
      <c r="J1916" s="28" t="s">
        <v>207</v>
      </c>
      <c r="K1916" s="28" t="s">
        <v>9635</v>
      </c>
      <c r="L1916" s="28" t="s">
        <v>9636</v>
      </c>
      <c r="M1916" s="28" t="s">
        <v>11006</v>
      </c>
      <c r="N1916" s="28" t="s">
        <v>9638</v>
      </c>
      <c r="O1916" s="28" t="s">
        <v>9639</v>
      </c>
      <c r="P1916" s="28" t="s">
        <v>10990</v>
      </c>
    </row>
    <row r="1917" spans="1:16" x14ac:dyDescent="0.25">
      <c r="A1917" s="28" t="s">
        <v>11007</v>
      </c>
      <c r="B1917" s="28" t="s">
        <v>11008</v>
      </c>
      <c r="C1917" s="28" t="s">
        <v>132</v>
      </c>
      <c r="D1917" s="28" t="s">
        <v>10730</v>
      </c>
      <c r="E1917" s="28" t="s">
        <v>10987</v>
      </c>
      <c r="F1917" s="28" t="s">
        <v>21</v>
      </c>
      <c r="G1917" s="28" t="s">
        <v>207</v>
      </c>
      <c r="H1917" s="28" t="s">
        <v>9633</v>
      </c>
      <c r="I1917" s="28" t="s">
        <v>11009</v>
      </c>
      <c r="J1917" s="28" t="s">
        <v>207</v>
      </c>
      <c r="K1917" s="28" t="s">
        <v>9635</v>
      </c>
      <c r="L1917" s="28" t="s">
        <v>9636</v>
      </c>
      <c r="M1917" s="28" t="s">
        <v>11010</v>
      </c>
      <c r="N1917" s="28" t="s">
        <v>9638</v>
      </c>
      <c r="O1917" s="28" t="s">
        <v>9639</v>
      </c>
      <c r="P1917" s="28" t="s">
        <v>10990</v>
      </c>
    </row>
    <row r="1918" spans="1:16" x14ac:dyDescent="0.25">
      <c r="A1918" s="28" t="s">
        <v>11011</v>
      </c>
      <c r="B1918" s="28" t="s">
        <v>11012</v>
      </c>
      <c r="C1918" s="28" t="s">
        <v>132</v>
      </c>
      <c r="D1918" s="28" t="s">
        <v>10730</v>
      </c>
      <c r="E1918" s="28" t="s">
        <v>11013</v>
      </c>
      <c r="F1918" s="28" t="s">
        <v>21</v>
      </c>
      <c r="G1918" s="28" t="s">
        <v>207</v>
      </c>
      <c r="H1918" s="28" t="s">
        <v>9633</v>
      </c>
      <c r="I1918" s="28" t="s">
        <v>11014</v>
      </c>
      <c r="J1918" s="28" t="s">
        <v>207</v>
      </c>
      <c r="K1918" s="28" t="s">
        <v>9635</v>
      </c>
      <c r="L1918" s="28" t="s">
        <v>9636</v>
      </c>
      <c r="M1918" s="28" t="s">
        <v>11015</v>
      </c>
      <c r="N1918" s="28" t="s">
        <v>9638</v>
      </c>
      <c r="O1918" s="28" t="s">
        <v>9639</v>
      </c>
      <c r="P1918" s="28" t="s">
        <v>11016</v>
      </c>
    </row>
    <row r="1919" spans="1:16" x14ac:dyDescent="0.25">
      <c r="A1919" s="28" t="s">
        <v>11017</v>
      </c>
      <c r="B1919" s="28" t="s">
        <v>11018</v>
      </c>
      <c r="C1919" s="28" t="s">
        <v>132</v>
      </c>
      <c r="D1919" s="28" t="s">
        <v>10730</v>
      </c>
      <c r="E1919" s="28" t="s">
        <v>11019</v>
      </c>
      <c r="F1919" s="28" t="s">
        <v>21</v>
      </c>
      <c r="G1919" s="28" t="s">
        <v>149</v>
      </c>
      <c r="H1919" s="28" t="s">
        <v>9633</v>
      </c>
      <c r="I1919" s="28" t="s">
        <v>11020</v>
      </c>
      <c r="J1919" s="28" t="s">
        <v>149</v>
      </c>
      <c r="K1919" s="28" t="s">
        <v>9722</v>
      </c>
      <c r="L1919" s="28" t="s">
        <v>9636</v>
      </c>
      <c r="M1919" s="28" t="s">
        <v>11021</v>
      </c>
      <c r="N1919" s="28" t="s">
        <v>9638</v>
      </c>
      <c r="O1919" s="28" t="s">
        <v>9639</v>
      </c>
      <c r="P1919" s="28" t="s">
        <v>11022</v>
      </c>
    </row>
    <row r="1920" spans="1:16" x14ac:dyDescent="0.25">
      <c r="A1920" s="28" t="s">
        <v>11023</v>
      </c>
      <c r="B1920" s="28" t="s">
        <v>11024</v>
      </c>
      <c r="C1920" s="28" t="s">
        <v>132</v>
      </c>
      <c r="D1920" s="28" t="s">
        <v>10730</v>
      </c>
      <c r="E1920" s="28" t="s">
        <v>11025</v>
      </c>
      <c r="F1920" s="28" t="s">
        <v>21</v>
      </c>
      <c r="G1920" s="28" t="s">
        <v>149</v>
      </c>
      <c r="H1920" s="28" t="s">
        <v>9633</v>
      </c>
      <c r="I1920" s="28" t="s">
        <v>11026</v>
      </c>
      <c r="J1920" s="28" t="s">
        <v>149</v>
      </c>
      <c r="K1920" s="28" t="s">
        <v>9722</v>
      </c>
      <c r="L1920" s="28" t="s">
        <v>9636</v>
      </c>
      <c r="M1920" s="28" t="s">
        <v>11027</v>
      </c>
      <c r="N1920" s="28" t="s">
        <v>9638</v>
      </c>
      <c r="O1920" s="28" t="s">
        <v>9639</v>
      </c>
      <c r="P1920" s="28" t="s">
        <v>11028</v>
      </c>
    </row>
    <row r="1921" spans="1:16" x14ac:dyDescent="0.25">
      <c r="A1921" s="28" t="s">
        <v>11029</v>
      </c>
      <c r="B1921" s="28" t="s">
        <v>11030</v>
      </c>
      <c r="C1921" s="28" t="s">
        <v>132</v>
      </c>
      <c r="D1921" s="28" t="s">
        <v>10730</v>
      </c>
      <c r="E1921" s="28" t="s">
        <v>11031</v>
      </c>
      <c r="F1921" s="28" t="s">
        <v>21</v>
      </c>
      <c r="G1921" s="28" t="s">
        <v>149</v>
      </c>
      <c r="H1921" s="28" t="s">
        <v>9633</v>
      </c>
      <c r="I1921" s="28" t="s">
        <v>11032</v>
      </c>
      <c r="J1921" s="28" t="s">
        <v>149</v>
      </c>
      <c r="K1921" s="28" t="s">
        <v>9722</v>
      </c>
      <c r="L1921" s="28" t="s">
        <v>9636</v>
      </c>
      <c r="M1921" s="28" t="s">
        <v>11033</v>
      </c>
      <c r="N1921" s="28" t="s">
        <v>9638</v>
      </c>
      <c r="O1921" s="28" t="s">
        <v>9639</v>
      </c>
      <c r="P1921" s="28" t="s">
        <v>11034</v>
      </c>
    </row>
    <row r="1922" spans="1:16" x14ac:dyDescent="0.25">
      <c r="A1922" s="28" t="s">
        <v>11035</v>
      </c>
      <c r="B1922" s="28" t="s">
        <v>11036</v>
      </c>
      <c r="C1922" s="28" t="s">
        <v>132</v>
      </c>
      <c r="D1922" s="28" t="s">
        <v>10730</v>
      </c>
      <c r="E1922" s="28" t="s">
        <v>11037</v>
      </c>
      <c r="F1922" s="28" t="s">
        <v>21</v>
      </c>
      <c r="G1922" s="28" t="s">
        <v>149</v>
      </c>
      <c r="H1922" s="28" t="s">
        <v>9633</v>
      </c>
      <c r="I1922" s="28" t="s">
        <v>11038</v>
      </c>
      <c r="J1922" s="28" t="s">
        <v>149</v>
      </c>
      <c r="K1922" s="28" t="s">
        <v>9722</v>
      </c>
      <c r="L1922" s="28" t="s">
        <v>9636</v>
      </c>
      <c r="M1922" s="28" t="s">
        <v>11039</v>
      </c>
      <c r="N1922" s="28" t="s">
        <v>9638</v>
      </c>
      <c r="O1922" s="28" t="s">
        <v>9639</v>
      </c>
      <c r="P1922" s="28" t="s">
        <v>11040</v>
      </c>
    </row>
    <row r="1923" spans="1:16" x14ac:dyDescent="0.25">
      <c r="A1923" s="28" t="s">
        <v>11041</v>
      </c>
      <c r="B1923" s="28" t="s">
        <v>11042</v>
      </c>
      <c r="C1923" s="28" t="s">
        <v>132</v>
      </c>
      <c r="D1923" s="28" t="s">
        <v>10730</v>
      </c>
      <c r="E1923" s="28" t="s">
        <v>11043</v>
      </c>
      <c r="F1923" s="28" t="s">
        <v>21</v>
      </c>
      <c r="G1923" s="28" t="s">
        <v>207</v>
      </c>
      <c r="H1923" s="28" t="s">
        <v>9633</v>
      </c>
      <c r="I1923" s="28" t="s">
        <v>11044</v>
      </c>
      <c r="J1923" s="28" t="s">
        <v>207</v>
      </c>
      <c r="K1923" s="28" t="s">
        <v>9635</v>
      </c>
      <c r="L1923" s="28" t="s">
        <v>9636</v>
      </c>
      <c r="M1923" s="28" t="s">
        <v>11045</v>
      </c>
      <c r="N1923" s="28" t="s">
        <v>9638</v>
      </c>
      <c r="O1923" s="28" t="s">
        <v>9639</v>
      </c>
      <c r="P1923" s="28" t="s">
        <v>11046</v>
      </c>
    </row>
    <row r="1924" spans="1:16" x14ac:dyDescent="0.25">
      <c r="A1924" s="28" t="s">
        <v>11047</v>
      </c>
      <c r="B1924" s="28" t="s">
        <v>11048</v>
      </c>
      <c r="C1924" s="28" t="s">
        <v>132</v>
      </c>
      <c r="D1924" s="28" t="s">
        <v>10730</v>
      </c>
      <c r="E1924" s="28" t="s">
        <v>11043</v>
      </c>
      <c r="F1924" s="28" t="s">
        <v>21</v>
      </c>
      <c r="G1924" s="28" t="s">
        <v>207</v>
      </c>
      <c r="H1924" s="28" t="s">
        <v>9633</v>
      </c>
      <c r="I1924" s="28" t="s">
        <v>11049</v>
      </c>
      <c r="J1924" s="28" t="s">
        <v>207</v>
      </c>
      <c r="K1924" s="28" t="s">
        <v>9635</v>
      </c>
      <c r="L1924" s="28" t="s">
        <v>9636</v>
      </c>
      <c r="M1924" s="28" t="s">
        <v>11050</v>
      </c>
      <c r="N1924" s="28" t="s">
        <v>9638</v>
      </c>
      <c r="O1924" s="28" t="s">
        <v>9639</v>
      </c>
      <c r="P1924" s="28" t="s">
        <v>11046</v>
      </c>
    </row>
    <row r="1925" spans="1:16" x14ac:dyDescent="0.25">
      <c r="A1925" s="28" t="s">
        <v>11051</v>
      </c>
      <c r="B1925" s="28" t="s">
        <v>11052</v>
      </c>
      <c r="C1925" s="28" t="s">
        <v>132</v>
      </c>
      <c r="D1925" s="28" t="s">
        <v>10730</v>
      </c>
      <c r="E1925" s="28" t="s">
        <v>11053</v>
      </c>
      <c r="F1925" s="28" t="s">
        <v>21</v>
      </c>
      <c r="G1925" s="28" t="s">
        <v>207</v>
      </c>
      <c r="H1925" s="28" t="s">
        <v>9633</v>
      </c>
      <c r="I1925" s="28" t="s">
        <v>11054</v>
      </c>
      <c r="J1925" s="28" t="s">
        <v>207</v>
      </c>
      <c r="K1925" s="28" t="s">
        <v>9635</v>
      </c>
      <c r="L1925" s="28" t="s">
        <v>9636</v>
      </c>
      <c r="M1925" s="28" t="s">
        <v>11055</v>
      </c>
      <c r="N1925" s="28" t="s">
        <v>9638</v>
      </c>
      <c r="O1925" s="28" t="s">
        <v>9639</v>
      </c>
      <c r="P1925" s="28" t="s">
        <v>11056</v>
      </c>
    </row>
    <row r="1926" spans="1:16" x14ac:dyDescent="0.25">
      <c r="A1926" s="28" t="s">
        <v>11057</v>
      </c>
      <c r="B1926" s="28" t="s">
        <v>11058</v>
      </c>
      <c r="C1926" s="28" t="s">
        <v>132</v>
      </c>
      <c r="D1926" s="28" t="s">
        <v>10730</v>
      </c>
      <c r="E1926" s="28" t="s">
        <v>11053</v>
      </c>
      <c r="F1926" s="28" t="s">
        <v>21</v>
      </c>
      <c r="G1926" s="28" t="s">
        <v>207</v>
      </c>
      <c r="H1926" s="28" t="s">
        <v>9633</v>
      </c>
      <c r="I1926" s="28" t="s">
        <v>11059</v>
      </c>
      <c r="J1926" s="28" t="s">
        <v>207</v>
      </c>
      <c r="K1926" s="28" t="s">
        <v>9635</v>
      </c>
      <c r="L1926" s="28" t="s">
        <v>9636</v>
      </c>
      <c r="M1926" s="28" t="s">
        <v>11060</v>
      </c>
      <c r="N1926" s="28" t="s">
        <v>9638</v>
      </c>
      <c r="O1926" s="28" t="s">
        <v>9639</v>
      </c>
      <c r="P1926" s="28" t="s">
        <v>11056</v>
      </c>
    </row>
    <row r="1927" spans="1:16" x14ac:dyDescent="0.25">
      <c r="A1927" s="28" t="s">
        <v>11061</v>
      </c>
      <c r="B1927" s="28" t="s">
        <v>11062</v>
      </c>
      <c r="C1927" s="28" t="s">
        <v>132</v>
      </c>
      <c r="D1927" s="28" t="s">
        <v>10730</v>
      </c>
      <c r="E1927" s="28" t="s">
        <v>11063</v>
      </c>
      <c r="F1927" s="28" t="s">
        <v>21</v>
      </c>
      <c r="G1927" s="28" t="s">
        <v>207</v>
      </c>
      <c r="H1927" s="28" t="s">
        <v>9633</v>
      </c>
      <c r="I1927" s="28" t="s">
        <v>11064</v>
      </c>
      <c r="J1927" s="28" t="s">
        <v>207</v>
      </c>
      <c r="K1927" s="28" t="s">
        <v>9635</v>
      </c>
      <c r="L1927" s="28" t="s">
        <v>9636</v>
      </c>
      <c r="M1927" s="28" t="s">
        <v>11065</v>
      </c>
      <c r="N1927" s="28" t="s">
        <v>9638</v>
      </c>
      <c r="O1927" s="28" t="s">
        <v>9639</v>
      </c>
      <c r="P1927" s="28" t="s">
        <v>11066</v>
      </c>
    </row>
    <row r="1928" spans="1:16" x14ac:dyDescent="0.25">
      <c r="A1928" s="28" t="s">
        <v>11067</v>
      </c>
      <c r="B1928" s="28" t="s">
        <v>11068</v>
      </c>
      <c r="C1928" s="28" t="s">
        <v>132</v>
      </c>
      <c r="D1928" s="28" t="s">
        <v>10730</v>
      </c>
      <c r="E1928" s="28" t="s">
        <v>11063</v>
      </c>
      <c r="F1928" s="28" t="s">
        <v>21</v>
      </c>
      <c r="G1928" s="28" t="s">
        <v>207</v>
      </c>
      <c r="H1928" s="28" t="s">
        <v>9633</v>
      </c>
      <c r="I1928" s="28" t="s">
        <v>11069</v>
      </c>
      <c r="J1928" s="28" t="s">
        <v>207</v>
      </c>
      <c r="K1928" s="28" t="s">
        <v>9635</v>
      </c>
      <c r="L1928" s="28" t="s">
        <v>9636</v>
      </c>
      <c r="M1928" s="28" t="s">
        <v>11070</v>
      </c>
      <c r="N1928" s="28" t="s">
        <v>9638</v>
      </c>
      <c r="O1928" s="28" t="s">
        <v>9639</v>
      </c>
      <c r="P1928" s="28" t="s">
        <v>11066</v>
      </c>
    </row>
    <row r="1929" spans="1:16" x14ac:dyDescent="0.25">
      <c r="A1929" s="28" t="s">
        <v>11071</v>
      </c>
      <c r="B1929" s="28" t="s">
        <v>11072</v>
      </c>
      <c r="C1929" s="28" t="s">
        <v>132</v>
      </c>
      <c r="D1929" s="28" t="s">
        <v>10730</v>
      </c>
      <c r="E1929" s="28" t="s">
        <v>11073</v>
      </c>
      <c r="F1929" s="28" t="s">
        <v>21</v>
      </c>
      <c r="G1929" s="28" t="s">
        <v>207</v>
      </c>
      <c r="H1929" s="28" t="s">
        <v>9633</v>
      </c>
      <c r="I1929" s="28" t="s">
        <v>11074</v>
      </c>
      <c r="J1929" s="28" t="s">
        <v>207</v>
      </c>
      <c r="K1929" s="28" t="s">
        <v>9635</v>
      </c>
      <c r="L1929" s="28" t="s">
        <v>9636</v>
      </c>
      <c r="M1929" s="28" t="s">
        <v>11075</v>
      </c>
      <c r="N1929" s="28" t="s">
        <v>9638</v>
      </c>
      <c r="O1929" s="28" t="s">
        <v>9639</v>
      </c>
      <c r="P1929" s="28" t="s">
        <v>11076</v>
      </c>
    </row>
    <row r="1930" spans="1:16" x14ac:dyDescent="0.25">
      <c r="A1930" s="28" t="s">
        <v>11077</v>
      </c>
      <c r="B1930" s="28" t="s">
        <v>11078</v>
      </c>
      <c r="C1930" s="28" t="s">
        <v>132</v>
      </c>
      <c r="D1930" s="28" t="s">
        <v>10730</v>
      </c>
      <c r="E1930" s="28" t="s">
        <v>11079</v>
      </c>
      <c r="F1930" s="28" t="s">
        <v>21</v>
      </c>
      <c r="G1930" s="28" t="s">
        <v>207</v>
      </c>
      <c r="H1930" s="28" t="s">
        <v>9633</v>
      </c>
      <c r="I1930" s="28" t="s">
        <v>11080</v>
      </c>
      <c r="J1930" s="28" t="s">
        <v>207</v>
      </c>
      <c r="K1930" s="28" t="s">
        <v>9635</v>
      </c>
      <c r="L1930" s="28" t="s">
        <v>9636</v>
      </c>
      <c r="M1930" s="28" t="s">
        <v>11081</v>
      </c>
      <c r="N1930" s="28" t="s">
        <v>9638</v>
      </c>
      <c r="O1930" s="28" t="s">
        <v>9639</v>
      </c>
      <c r="P1930" s="28" t="s">
        <v>11082</v>
      </c>
    </row>
    <row r="1931" spans="1:16" x14ac:dyDescent="0.25">
      <c r="A1931" s="28" t="s">
        <v>11083</v>
      </c>
      <c r="B1931" s="28" t="s">
        <v>11084</v>
      </c>
      <c r="C1931" s="28" t="s">
        <v>132</v>
      </c>
      <c r="D1931" s="28" t="s">
        <v>10730</v>
      </c>
      <c r="E1931" s="28" t="s">
        <v>11085</v>
      </c>
      <c r="F1931" s="28" t="s">
        <v>21</v>
      </c>
      <c r="G1931" s="28" t="s">
        <v>207</v>
      </c>
      <c r="H1931" s="28" t="s">
        <v>9633</v>
      </c>
      <c r="I1931" s="28" t="s">
        <v>11086</v>
      </c>
      <c r="J1931" s="28" t="s">
        <v>207</v>
      </c>
      <c r="K1931" s="28" t="s">
        <v>9635</v>
      </c>
      <c r="L1931" s="28" t="s">
        <v>9636</v>
      </c>
      <c r="M1931" s="28" t="s">
        <v>11087</v>
      </c>
      <c r="N1931" s="28" t="s">
        <v>9638</v>
      </c>
      <c r="O1931" s="28" t="s">
        <v>9639</v>
      </c>
      <c r="P1931" s="28" t="s">
        <v>11088</v>
      </c>
    </row>
    <row r="1932" spans="1:16" x14ac:dyDescent="0.25">
      <c r="A1932" s="28" t="s">
        <v>11089</v>
      </c>
      <c r="B1932" s="28" t="s">
        <v>11090</v>
      </c>
      <c r="C1932" s="28" t="s">
        <v>132</v>
      </c>
      <c r="D1932" s="28" t="s">
        <v>10730</v>
      </c>
      <c r="E1932" s="28" t="s">
        <v>11091</v>
      </c>
      <c r="F1932" s="28" t="s">
        <v>21</v>
      </c>
      <c r="G1932" s="28" t="s">
        <v>207</v>
      </c>
      <c r="H1932" s="28" t="s">
        <v>9633</v>
      </c>
      <c r="I1932" s="28" t="s">
        <v>11092</v>
      </c>
      <c r="J1932" s="28" t="s">
        <v>207</v>
      </c>
      <c r="K1932" s="28" t="s">
        <v>9635</v>
      </c>
      <c r="L1932" s="28" t="s">
        <v>9636</v>
      </c>
      <c r="M1932" s="28" t="s">
        <v>11093</v>
      </c>
      <c r="N1932" s="28" t="s">
        <v>9638</v>
      </c>
      <c r="O1932" s="28" t="s">
        <v>9639</v>
      </c>
      <c r="P1932" s="28" t="s">
        <v>11094</v>
      </c>
    </row>
    <row r="1933" spans="1:16" x14ac:dyDescent="0.25">
      <c r="A1933" s="28" t="s">
        <v>11095</v>
      </c>
      <c r="B1933" s="28" t="s">
        <v>11096</v>
      </c>
      <c r="C1933" s="28" t="s">
        <v>132</v>
      </c>
      <c r="D1933" s="28" t="s">
        <v>10730</v>
      </c>
      <c r="E1933" s="28" t="s">
        <v>11091</v>
      </c>
      <c r="F1933" s="28" t="s">
        <v>21</v>
      </c>
      <c r="G1933" s="28" t="s">
        <v>207</v>
      </c>
      <c r="H1933" s="28" t="s">
        <v>9633</v>
      </c>
      <c r="I1933" s="28" t="s">
        <v>11097</v>
      </c>
      <c r="J1933" s="28" t="s">
        <v>207</v>
      </c>
      <c r="K1933" s="28" t="s">
        <v>9635</v>
      </c>
      <c r="L1933" s="28" t="s">
        <v>9636</v>
      </c>
      <c r="M1933" s="28" t="s">
        <v>11098</v>
      </c>
      <c r="N1933" s="28" t="s">
        <v>9638</v>
      </c>
      <c r="O1933" s="28" t="s">
        <v>9639</v>
      </c>
      <c r="P1933" s="28" t="s">
        <v>11094</v>
      </c>
    </row>
    <row r="1934" spans="1:16" x14ac:dyDescent="0.25">
      <c r="A1934" s="28" t="s">
        <v>11099</v>
      </c>
      <c r="B1934" s="28" t="s">
        <v>11100</v>
      </c>
      <c r="C1934" s="28" t="s">
        <v>132</v>
      </c>
      <c r="D1934" s="28" t="s">
        <v>10730</v>
      </c>
      <c r="E1934" s="28" t="s">
        <v>11101</v>
      </c>
      <c r="F1934" s="28" t="s">
        <v>21</v>
      </c>
      <c r="G1934" s="28" t="s">
        <v>207</v>
      </c>
      <c r="H1934" s="28" t="s">
        <v>9633</v>
      </c>
      <c r="I1934" s="28" t="s">
        <v>11102</v>
      </c>
      <c r="J1934" s="28" t="s">
        <v>207</v>
      </c>
      <c r="K1934" s="28" t="s">
        <v>9635</v>
      </c>
      <c r="L1934" s="28" t="s">
        <v>9636</v>
      </c>
      <c r="M1934" s="28" t="s">
        <v>11103</v>
      </c>
      <c r="N1934" s="28" t="s">
        <v>9638</v>
      </c>
      <c r="O1934" s="28" t="s">
        <v>9639</v>
      </c>
      <c r="P1934" s="28" t="s">
        <v>11104</v>
      </c>
    </row>
    <row r="1935" spans="1:16" x14ac:dyDescent="0.25">
      <c r="A1935" s="28" t="s">
        <v>11105</v>
      </c>
      <c r="B1935" s="28" t="s">
        <v>11106</v>
      </c>
      <c r="C1935" s="28" t="s">
        <v>132</v>
      </c>
      <c r="D1935" s="28" t="s">
        <v>10730</v>
      </c>
      <c r="E1935" s="28" t="s">
        <v>11101</v>
      </c>
      <c r="F1935" s="28" t="s">
        <v>21</v>
      </c>
      <c r="G1935" s="28" t="s">
        <v>207</v>
      </c>
      <c r="H1935" s="28" t="s">
        <v>9633</v>
      </c>
      <c r="I1935" s="28" t="s">
        <v>11107</v>
      </c>
      <c r="J1935" s="28" t="s">
        <v>207</v>
      </c>
      <c r="K1935" s="28" t="s">
        <v>9635</v>
      </c>
      <c r="L1935" s="28" t="s">
        <v>9636</v>
      </c>
      <c r="M1935" s="28" t="s">
        <v>11108</v>
      </c>
      <c r="N1935" s="28" t="s">
        <v>9638</v>
      </c>
      <c r="O1935" s="28" t="s">
        <v>9639</v>
      </c>
      <c r="P1935" s="28" t="s">
        <v>11104</v>
      </c>
    </row>
    <row r="1936" spans="1:16" x14ac:dyDescent="0.25">
      <c r="A1936" s="28" t="s">
        <v>11109</v>
      </c>
      <c r="B1936" s="28" t="s">
        <v>11110</v>
      </c>
      <c r="C1936" s="28" t="s">
        <v>132</v>
      </c>
      <c r="D1936" s="28" t="s">
        <v>10730</v>
      </c>
      <c r="E1936" s="28" t="s">
        <v>11111</v>
      </c>
      <c r="F1936" s="28" t="s">
        <v>21</v>
      </c>
      <c r="G1936" s="28" t="s">
        <v>207</v>
      </c>
      <c r="H1936" s="28" t="s">
        <v>9633</v>
      </c>
      <c r="I1936" s="28" t="s">
        <v>11112</v>
      </c>
      <c r="J1936" s="28" t="s">
        <v>207</v>
      </c>
      <c r="K1936" s="28" t="s">
        <v>9635</v>
      </c>
      <c r="L1936" s="28" t="s">
        <v>9636</v>
      </c>
      <c r="M1936" s="28" t="s">
        <v>11113</v>
      </c>
      <c r="N1936" s="28" t="s">
        <v>9638</v>
      </c>
      <c r="O1936" s="28" t="s">
        <v>9639</v>
      </c>
      <c r="P1936" s="28" t="s">
        <v>11114</v>
      </c>
    </row>
    <row r="1937" spans="1:16" x14ac:dyDescent="0.25">
      <c r="A1937" s="28" t="s">
        <v>11115</v>
      </c>
      <c r="B1937" s="28" t="s">
        <v>11116</v>
      </c>
      <c r="C1937" s="28" t="s">
        <v>132</v>
      </c>
      <c r="D1937" s="28" t="s">
        <v>10730</v>
      </c>
      <c r="E1937" s="28" t="s">
        <v>11111</v>
      </c>
      <c r="F1937" s="28" t="s">
        <v>21</v>
      </c>
      <c r="G1937" s="28" t="s">
        <v>207</v>
      </c>
      <c r="H1937" s="28" t="s">
        <v>9633</v>
      </c>
      <c r="I1937" s="28" t="s">
        <v>11117</v>
      </c>
      <c r="J1937" s="28" t="s">
        <v>207</v>
      </c>
      <c r="K1937" s="28" t="s">
        <v>9635</v>
      </c>
      <c r="L1937" s="28" t="s">
        <v>9636</v>
      </c>
      <c r="M1937" s="28" t="s">
        <v>11118</v>
      </c>
      <c r="N1937" s="28" t="s">
        <v>9638</v>
      </c>
      <c r="O1937" s="28" t="s">
        <v>9639</v>
      </c>
      <c r="P1937" s="28" t="s">
        <v>11114</v>
      </c>
    </row>
    <row r="1938" spans="1:16" x14ac:dyDescent="0.25">
      <c r="A1938" s="28" t="s">
        <v>11119</v>
      </c>
      <c r="B1938" s="28" t="s">
        <v>11120</v>
      </c>
      <c r="C1938" s="28" t="s">
        <v>132</v>
      </c>
      <c r="D1938" s="28" t="s">
        <v>10730</v>
      </c>
      <c r="E1938" s="28" t="s">
        <v>11121</v>
      </c>
      <c r="F1938" s="28" t="s">
        <v>21</v>
      </c>
      <c r="G1938" s="28" t="s">
        <v>207</v>
      </c>
      <c r="H1938" s="28" t="s">
        <v>9633</v>
      </c>
      <c r="I1938" s="28" t="s">
        <v>11122</v>
      </c>
      <c r="J1938" s="28" t="s">
        <v>207</v>
      </c>
      <c r="K1938" s="28" t="s">
        <v>9635</v>
      </c>
      <c r="L1938" s="28" t="s">
        <v>9636</v>
      </c>
      <c r="M1938" s="28" t="s">
        <v>11123</v>
      </c>
      <c r="N1938" s="28" t="s">
        <v>9638</v>
      </c>
      <c r="O1938" s="28" t="s">
        <v>9639</v>
      </c>
      <c r="P1938" s="28" t="s">
        <v>11124</v>
      </c>
    </row>
    <row r="1939" spans="1:16" x14ac:dyDescent="0.25">
      <c r="A1939" s="28" t="s">
        <v>11125</v>
      </c>
      <c r="B1939" s="28" t="s">
        <v>11126</v>
      </c>
      <c r="C1939" s="28" t="s">
        <v>132</v>
      </c>
      <c r="D1939" s="28" t="s">
        <v>10730</v>
      </c>
      <c r="E1939" s="28" t="s">
        <v>11121</v>
      </c>
      <c r="F1939" s="28" t="s">
        <v>21</v>
      </c>
      <c r="G1939" s="28" t="s">
        <v>207</v>
      </c>
      <c r="H1939" s="28" t="s">
        <v>9633</v>
      </c>
      <c r="I1939" s="28" t="s">
        <v>11127</v>
      </c>
      <c r="J1939" s="28" t="s">
        <v>207</v>
      </c>
      <c r="K1939" s="28" t="s">
        <v>9635</v>
      </c>
      <c r="L1939" s="28" t="s">
        <v>9636</v>
      </c>
      <c r="M1939" s="28" t="s">
        <v>11128</v>
      </c>
      <c r="N1939" s="28" t="s">
        <v>9638</v>
      </c>
      <c r="O1939" s="28" t="s">
        <v>9639</v>
      </c>
      <c r="P1939" s="28" t="s">
        <v>11124</v>
      </c>
    </row>
    <row r="1940" spans="1:16" x14ac:dyDescent="0.25">
      <c r="A1940" s="28" t="s">
        <v>11129</v>
      </c>
      <c r="B1940" s="28" t="s">
        <v>11130</v>
      </c>
      <c r="C1940" s="28" t="s">
        <v>132</v>
      </c>
      <c r="D1940" s="28" t="s">
        <v>10730</v>
      </c>
      <c r="E1940" s="28" t="s">
        <v>11131</v>
      </c>
      <c r="F1940" s="28" t="s">
        <v>21</v>
      </c>
      <c r="G1940" s="28" t="s">
        <v>207</v>
      </c>
      <c r="H1940" s="28" t="s">
        <v>9633</v>
      </c>
      <c r="I1940" s="28" t="s">
        <v>11132</v>
      </c>
      <c r="J1940" s="28" t="s">
        <v>207</v>
      </c>
      <c r="K1940" s="28" t="s">
        <v>9635</v>
      </c>
      <c r="L1940" s="28" t="s">
        <v>9636</v>
      </c>
      <c r="M1940" s="28" t="s">
        <v>11133</v>
      </c>
      <c r="N1940" s="28" t="s">
        <v>9638</v>
      </c>
      <c r="O1940" s="28" t="s">
        <v>9639</v>
      </c>
      <c r="P1940" s="28" t="s">
        <v>11134</v>
      </c>
    </row>
    <row r="1941" spans="1:16" x14ac:dyDescent="0.25">
      <c r="A1941" s="28" t="s">
        <v>11135</v>
      </c>
      <c r="B1941" s="28" t="s">
        <v>11136</v>
      </c>
      <c r="C1941" s="28" t="s">
        <v>132</v>
      </c>
      <c r="D1941" s="28" t="s">
        <v>10730</v>
      </c>
      <c r="E1941" s="28" t="s">
        <v>11131</v>
      </c>
      <c r="F1941" s="28" t="s">
        <v>21</v>
      </c>
      <c r="G1941" s="28" t="s">
        <v>207</v>
      </c>
      <c r="H1941" s="28" t="s">
        <v>9633</v>
      </c>
      <c r="I1941" s="28" t="s">
        <v>11137</v>
      </c>
      <c r="J1941" s="28" t="s">
        <v>207</v>
      </c>
      <c r="K1941" s="28" t="s">
        <v>9635</v>
      </c>
      <c r="L1941" s="28" t="s">
        <v>9636</v>
      </c>
      <c r="M1941" s="28" t="s">
        <v>11138</v>
      </c>
      <c r="N1941" s="28" t="s">
        <v>9638</v>
      </c>
      <c r="O1941" s="28" t="s">
        <v>9639</v>
      </c>
      <c r="P1941" s="28" t="s">
        <v>11134</v>
      </c>
    </row>
    <row r="1942" spans="1:16" x14ac:dyDescent="0.25">
      <c r="A1942" s="28" t="s">
        <v>11139</v>
      </c>
      <c r="B1942" s="28" t="s">
        <v>11140</v>
      </c>
      <c r="C1942" s="28" t="s">
        <v>132</v>
      </c>
      <c r="D1942" s="28" t="s">
        <v>10730</v>
      </c>
      <c r="E1942" s="28" t="s">
        <v>11141</v>
      </c>
      <c r="F1942" s="28" t="s">
        <v>21</v>
      </c>
      <c r="G1942" s="28" t="s">
        <v>207</v>
      </c>
      <c r="H1942" s="28" t="s">
        <v>9633</v>
      </c>
      <c r="I1942" s="28" t="s">
        <v>11142</v>
      </c>
      <c r="J1942" s="28" t="s">
        <v>207</v>
      </c>
      <c r="K1942" s="28" t="s">
        <v>9635</v>
      </c>
      <c r="L1942" s="28" t="s">
        <v>9636</v>
      </c>
      <c r="M1942" s="28" t="s">
        <v>11143</v>
      </c>
      <c r="N1942" s="28" t="s">
        <v>9638</v>
      </c>
      <c r="O1942" s="28" t="s">
        <v>9639</v>
      </c>
      <c r="P1942" s="28" t="s">
        <v>11144</v>
      </c>
    </row>
    <row r="1943" spans="1:16" x14ac:dyDescent="0.25">
      <c r="A1943" s="28" t="s">
        <v>11145</v>
      </c>
      <c r="B1943" s="28" t="s">
        <v>11146</v>
      </c>
      <c r="C1943" s="28" t="s">
        <v>132</v>
      </c>
      <c r="D1943" s="28" t="s">
        <v>10730</v>
      </c>
      <c r="E1943" s="28" t="s">
        <v>11141</v>
      </c>
      <c r="F1943" s="28" t="s">
        <v>21</v>
      </c>
      <c r="G1943" s="28" t="s">
        <v>207</v>
      </c>
      <c r="H1943" s="28" t="s">
        <v>9633</v>
      </c>
      <c r="I1943" s="28" t="s">
        <v>11147</v>
      </c>
      <c r="J1943" s="28" t="s">
        <v>207</v>
      </c>
      <c r="K1943" s="28" t="s">
        <v>9635</v>
      </c>
      <c r="L1943" s="28" t="s">
        <v>9636</v>
      </c>
      <c r="M1943" s="28" t="s">
        <v>11148</v>
      </c>
      <c r="N1943" s="28" t="s">
        <v>9638</v>
      </c>
      <c r="O1943" s="28" t="s">
        <v>9639</v>
      </c>
      <c r="P1943" s="28" t="s">
        <v>11144</v>
      </c>
    </row>
    <row r="1944" spans="1:16" x14ac:dyDescent="0.25">
      <c r="A1944" s="28" t="s">
        <v>11149</v>
      </c>
      <c r="B1944" s="28" t="s">
        <v>11150</v>
      </c>
      <c r="C1944" s="28" t="s">
        <v>132</v>
      </c>
      <c r="D1944" s="28" t="s">
        <v>10730</v>
      </c>
      <c r="E1944" s="28" t="s">
        <v>11151</v>
      </c>
      <c r="F1944" s="28" t="s">
        <v>21</v>
      </c>
      <c r="G1944" s="28" t="s">
        <v>207</v>
      </c>
      <c r="H1944" s="28" t="s">
        <v>9633</v>
      </c>
      <c r="I1944" s="28" t="s">
        <v>11152</v>
      </c>
      <c r="J1944" s="28" t="s">
        <v>207</v>
      </c>
      <c r="K1944" s="28" t="s">
        <v>9635</v>
      </c>
      <c r="L1944" s="28" t="s">
        <v>9636</v>
      </c>
      <c r="M1944" s="28" t="s">
        <v>11153</v>
      </c>
      <c r="N1944" s="28" t="s">
        <v>9638</v>
      </c>
      <c r="O1944" s="28" t="s">
        <v>9639</v>
      </c>
      <c r="P1944" s="28" t="s">
        <v>11154</v>
      </c>
    </row>
    <row r="1945" spans="1:16" x14ac:dyDescent="0.25">
      <c r="A1945" s="28" t="s">
        <v>11155</v>
      </c>
      <c r="B1945" s="28" t="s">
        <v>11156</v>
      </c>
      <c r="C1945" s="28" t="s">
        <v>132</v>
      </c>
      <c r="D1945" s="28" t="s">
        <v>10730</v>
      </c>
      <c r="E1945" s="28" t="s">
        <v>11151</v>
      </c>
      <c r="F1945" s="28" t="s">
        <v>21</v>
      </c>
      <c r="G1945" s="28" t="s">
        <v>207</v>
      </c>
      <c r="H1945" s="28" t="s">
        <v>9633</v>
      </c>
      <c r="I1945" s="28" t="s">
        <v>11157</v>
      </c>
      <c r="J1945" s="28" t="s">
        <v>207</v>
      </c>
      <c r="K1945" s="28" t="s">
        <v>9635</v>
      </c>
      <c r="L1945" s="28" t="s">
        <v>9636</v>
      </c>
      <c r="M1945" s="28" t="s">
        <v>11158</v>
      </c>
      <c r="N1945" s="28" t="s">
        <v>9638</v>
      </c>
      <c r="O1945" s="28" t="s">
        <v>9639</v>
      </c>
      <c r="P1945" s="28" t="s">
        <v>11154</v>
      </c>
    </row>
    <row r="1946" spans="1:16" x14ac:dyDescent="0.25">
      <c r="A1946" s="28" t="s">
        <v>11159</v>
      </c>
      <c r="B1946" s="28" t="s">
        <v>11160</v>
      </c>
      <c r="C1946" s="28" t="s">
        <v>132</v>
      </c>
      <c r="D1946" s="28" t="s">
        <v>10730</v>
      </c>
      <c r="E1946" s="28" t="s">
        <v>11161</v>
      </c>
      <c r="F1946" s="28" t="s">
        <v>21</v>
      </c>
      <c r="G1946" s="28" t="s">
        <v>207</v>
      </c>
      <c r="H1946" s="28" t="s">
        <v>9633</v>
      </c>
      <c r="I1946" s="28" t="s">
        <v>11162</v>
      </c>
      <c r="J1946" s="28" t="s">
        <v>207</v>
      </c>
      <c r="K1946" s="28" t="s">
        <v>9635</v>
      </c>
      <c r="L1946" s="28" t="s">
        <v>9636</v>
      </c>
      <c r="M1946" s="28" t="s">
        <v>11163</v>
      </c>
      <c r="N1946" s="28" t="s">
        <v>9638</v>
      </c>
      <c r="O1946" s="28" t="s">
        <v>9639</v>
      </c>
      <c r="P1946" s="28" t="s">
        <v>11164</v>
      </c>
    </row>
    <row r="1947" spans="1:16" x14ac:dyDescent="0.25">
      <c r="A1947" s="28" t="s">
        <v>11165</v>
      </c>
      <c r="B1947" s="28" t="s">
        <v>11166</v>
      </c>
      <c r="C1947" s="28" t="s">
        <v>132</v>
      </c>
      <c r="D1947" s="28" t="s">
        <v>10730</v>
      </c>
      <c r="E1947" s="28" t="s">
        <v>11161</v>
      </c>
      <c r="F1947" s="28" t="s">
        <v>21</v>
      </c>
      <c r="G1947" s="28" t="s">
        <v>207</v>
      </c>
      <c r="H1947" s="28" t="s">
        <v>9633</v>
      </c>
      <c r="I1947" s="28" t="s">
        <v>11167</v>
      </c>
      <c r="J1947" s="28" t="s">
        <v>207</v>
      </c>
      <c r="K1947" s="28" t="s">
        <v>9635</v>
      </c>
      <c r="L1947" s="28" t="s">
        <v>9636</v>
      </c>
      <c r="M1947" s="28" t="s">
        <v>11168</v>
      </c>
      <c r="N1947" s="28" t="s">
        <v>9638</v>
      </c>
      <c r="O1947" s="28" t="s">
        <v>9639</v>
      </c>
      <c r="P1947" s="28" t="s">
        <v>11164</v>
      </c>
    </row>
    <row r="1948" spans="1:16" x14ac:dyDescent="0.25">
      <c r="A1948" s="28" t="s">
        <v>11169</v>
      </c>
      <c r="B1948" s="28" t="s">
        <v>11170</v>
      </c>
      <c r="C1948" s="28" t="s">
        <v>132</v>
      </c>
      <c r="D1948" s="28" t="s">
        <v>10730</v>
      </c>
      <c r="E1948" s="28" t="s">
        <v>11161</v>
      </c>
      <c r="F1948" s="28" t="s">
        <v>21</v>
      </c>
      <c r="G1948" s="28" t="s">
        <v>207</v>
      </c>
      <c r="H1948" s="28" t="s">
        <v>9633</v>
      </c>
      <c r="I1948" s="28" t="s">
        <v>11171</v>
      </c>
      <c r="J1948" s="28" t="s">
        <v>207</v>
      </c>
      <c r="K1948" s="28" t="s">
        <v>9635</v>
      </c>
      <c r="L1948" s="28" t="s">
        <v>9636</v>
      </c>
      <c r="M1948" s="28" t="s">
        <v>11172</v>
      </c>
      <c r="N1948" s="28" t="s">
        <v>9638</v>
      </c>
      <c r="O1948" s="28" t="s">
        <v>9639</v>
      </c>
      <c r="P1948" s="28" t="s">
        <v>11164</v>
      </c>
    </row>
    <row r="1949" spans="1:16" x14ac:dyDescent="0.25">
      <c r="A1949" s="28" t="s">
        <v>11173</v>
      </c>
      <c r="B1949" s="28" t="s">
        <v>11174</v>
      </c>
      <c r="C1949" s="28" t="s">
        <v>132</v>
      </c>
      <c r="D1949" s="28" t="s">
        <v>10730</v>
      </c>
      <c r="E1949" s="28" t="s">
        <v>11175</v>
      </c>
      <c r="F1949" s="28" t="s">
        <v>21</v>
      </c>
      <c r="G1949" s="28" t="s">
        <v>149</v>
      </c>
      <c r="H1949" s="28" t="s">
        <v>9633</v>
      </c>
      <c r="I1949" s="28" t="s">
        <v>11176</v>
      </c>
      <c r="J1949" s="28" t="s">
        <v>149</v>
      </c>
      <c r="K1949" s="28" t="s">
        <v>9722</v>
      </c>
      <c r="L1949" s="28" t="s">
        <v>9636</v>
      </c>
      <c r="M1949" s="28" t="s">
        <v>11177</v>
      </c>
      <c r="N1949" s="28" t="s">
        <v>9638</v>
      </c>
      <c r="O1949" s="28" t="s">
        <v>9639</v>
      </c>
      <c r="P1949" s="28" t="s">
        <v>11178</v>
      </c>
    </row>
    <row r="1950" spans="1:16" x14ac:dyDescent="0.25">
      <c r="A1950" s="28" t="s">
        <v>11179</v>
      </c>
      <c r="B1950" s="28" t="s">
        <v>11180</v>
      </c>
      <c r="C1950" s="28" t="s">
        <v>132</v>
      </c>
      <c r="D1950" s="28" t="s">
        <v>10730</v>
      </c>
      <c r="E1950" s="28" t="s">
        <v>11181</v>
      </c>
      <c r="F1950" s="28" t="s">
        <v>21</v>
      </c>
      <c r="G1950" s="28" t="s">
        <v>207</v>
      </c>
      <c r="H1950" s="28" t="s">
        <v>9633</v>
      </c>
      <c r="I1950" s="28" t="s">
        <v>11182</v>
      </c>
      <c r="J1950" s="28" t="s">
        <v>207</v>
      </c>
      <c r="K1950" s="28" t="s">
        <v>9635</v>
      </c>
      <c r="L1950" s="28" t="s">
        <v>9636</v>
      </c>
      <c r="M1950" s="28" t="s">
        <v>11183</v>
      </c>
      <c r="N1950" s="28" t="s">
        <v>9638</v>
      </c>
      <c r="O1950" s="28" t="s">
        <v>9639</v>
      </c>
      <c r="P1950" s="28" t="s">
        <v>11184</v>
      </c>
    </row>
    <row r="1951" spans="1:16" x14ac:dyDescent="0.25">
      <c r="A1951" s="28" t="s">
        <v>11185</v>
      </c>
      <c r="B1951" s="28" t="s">
        <v>11186</v>
      </c>
      <c r="C1951" s="28" t="s">
        <v>132</v>
      </c>
      <c r="D1951" s="28" t="s">
        <v>10730</v>
      </c>
      <c r="E1951" s="28" t="s">
        <v>11181</v>
      </c>
      <c r="F1951" s="28" t="s">
        <v>21</v>
      </c>
      <c r="G1951" s="28" t="s">
        <v>207</v>
      </c>
      <c r="H1951" s="28" t="s">
        <v>9633</v>
      </c>
      <c r="I1951" s="28" t="s">
        <v>11187</v>
      </c>
      <c r="J1951" s="28" t="s">
        <v>207</v>
      </c>
      <c r="K1951" s="28" t="s">
        <v>9635</v>
      </c>
      <c r="L1951" s="28" t="s">
        <v>9636</v>
      </c>
      <c r="M1951" s="28" t="s">
        <v>11188</v>
      </c>
      <c r="N1951" s="28" t="s">
        <v>9638</v>
      </c>
      <c r="O1951" s="28" t="s">
        <v>9639</v>
      </c>
      <c r="P1951" s="28" t="s">
        <v>11184</v>
      </c>
    </row>
    <row r="1952" spans="1:16" x14ac:dyDescent="0.25">
      <c r="A1952" s="28" t="s">
        <v>11189</v>
      </c>
      <c r="B1952" s="28" t="s">
        <v>11190</v>
      </c>
      <c r="C1952" s="28" t="s">
        <v>132</v>
      </c>
      <c r="D1952" s="28" t="s">
        <v>10730</v>
      </c>
      <c r="E1952" s="28" t="s">
        <v>11191</v>
      </c>
      <c r="F1952" s="28" t="s">
        <v>21</v>
      </c>
      <c r="G1952" s="28" t="s">
        <v>207</v>
      </c>
      <c r="H1952" s="28" t="s">
        <v>9633</v>
      </c>
      <c r="I1952" s="28" t="s">
        <v>11192</v>
      </c>
      <c r="J1952" s="28" t="s">
        <v>207</v>
      </c>
      <c r="K1952" s="28" t="s">
        <v>9635</v>
      </c>
      <c r="L1952" s="28" t="s">
        <v>9636</v>
      </c>
      <c r="M1952" s="28" t="s">
        <v>11193</v>
      </c>
      <c r="N1952" s="28" t="s">
        <v>9638</v>
      </c>
      <c r="O1952" s="28" t="s">
        <v>9639</v>
      </c>
      <c r="P1952" s="28" t="s">
        <v>11194</v>
      </c>
    </row>
    <row r="1953" spans="1:16" x14ac:dyDescent="0.25">
      <c r="A1953" s="28" t="s">
        <v>11195</v>
      </c>
      <c r="B1953" s="28" t="s">
        <v>11196</v>
      </c>
      <c r="C1953" s="28" t="s">
        <v>132</v>
      </c>
      <c r="D1953" s="28" t="s">
        <v>10730</v>
      </c>
      <c r="E1953" s="28" t="s">
        <v>11191</v>
      </c>
      <c r="F1953" s="28" t="s">
        <v>21</v>
      </c>
      <c r="G1953" s="28" t="s">
        <v>207</v>
      </c>
      <c r="H1953" s="28" t="s">
        <v>9633</v>
      </c>
      <c r="I1953" s="28" t="s">
        <v>11197</v>
      </c>
      <c r="J1953" s="28" t="s">
        <v>207</v>
      </c>
      <c r="K1953" s="28" t="s">
        <v>9635</v>
      </c>
      <c r="L1953" s="28" t="s">
        <v>9636</v>
      </c>
      <c r="M1953" s="28" t="s">
        <v>11198</v>
      </c>
      <c r="N1953" s="28" t="s">
        <v>9638</v>
      </c>
      <c r="O1953" s="28" t="s">
        <v>9639</v>
      </c>
      <c r="P1953" s="28" t="s">
        <v>11194</v>
      </c>
    </row>
    <row r="1954" spans="1:16" x14ac:dyDescent="0.25">
      <c r="A1954" s="28" t="s">
        <v>11199</v>
      </c>
      <c r="B1954" s="28" t="s">
        <v>11200</v>
      </c>
      <c r="C1954" s="28" t="s">
        <v>132</v>
      </c>
      <c r="D1954" s="28" t="s">
        <v>10730</v>
      </c>
      <c r="E1954" s="28" t="s">
        <v>11201</v>
      </c>
      <c r="F1954" s="28" t="s">
        <v>21</v>
      </c>
      <c r="G1954" s="28" t="s">
        <v>207</v>
      </c>
      <c r="H1954" s="28" t="s">
        <v>9633</v>
      </c>
      <c r="I1954" s="28" t="s">
        <v>11202</v>
      </c>
      <c r="J1954" s="28" t="s">
        <v>207</v>
      </c>
      <c r="K1954" s="28" t="s">
        <v>9635</v>
      </c>
      <c r="L1954" s="28" t="s">
        <v>9636</v>
      </c>
      <c r="M1954" s="28" t="s">
        <v>11203</v>
      </c>
      <c r="N1954" s="28" t="s">
        <v>9638</v>
      </c>
      <c r="O1954" s="28" t="s">
        <v>9639</v>
      </c>
      <c r="P1954" s="28" t="s">
        <v>11204</v>
      </c>
    </row>
    <row r="1955" spans="1:16" x14ac:dyDescent="0.25">
      <c r="A1955" s="28" t="s">
        <v>11205</v>
      </c>
      <c r="B1955" s="28" t="s">
        <v>11206</v>
      </c>
      <c r="C1955" s="28" t="s">
        <v>132</v>
      </c>
      <c r="D1955" s="28" t="s">
        <v>10730</v>
      </c>
      <c r="E1955" s="28" t="s">
        <v>11201</v>
      </c>
      <c r="F1955" s="28" t="s">
        <v>21</v>
      </c>
      <c r="G1955" s="28" t="s">
        <v>207</v>
      </c>
      <c r="H1955" s="28" t="s">
        <v>9633</v>
      </c>
      <c r="I1955" s="28" t="s">
        <v>11207</v>
      </c>
      <c r="J1955" s="28" t="s">
        <v>207</v>
      </c>
      <c r="K1955" s="28" t="s">
        <v>9635</v>
      </c>
      <c r="L1955" s="28" t="s">
        <v>9636</v>
      </c>
      <c r="M1955" s="28" t="s">
        <v>11208</v>
      </c>
      <c r="N1955" s="28" t="s">
        <v>9638</v>
      </c>
      <c r="O1955" s="28" t="s">
        <v>9639</v>
      </c>
      <c r="P1955" s="28" t="s">
        <v>11204</v>
      </c>
    </row>
    <row r="1956" spans="1:16" x14ac:dyDescent="0.25">
      <c r="A1956" s="28" t="s">
        <v>11209</v>
      </c>
      <c r="B1956" s="28" t="s">
        <v>11210</v>
      </c>
      <c r="C1956" s="28" t="s">
        <v>132</v>
      </c>
      <c r="D1956" s="28" t="s">
        <v>10730</v>
      </c>
      <c r="E1956" s="28" t="s">
        <v>11211</v>
      </c>
      <c r="F1956" s="28" t="s">
        <v>21</v>
      </c>
      <c r="G1956" s="28" t="s">
        <v>207</v>
      </c>
      <c r="H1956" s="28" t="s">
        <v>9633</v>
      </c>
      <c r="I1956" s="28" t="s">
        <v>11212</v>
      </c>
      <c r="J1956" s="28" t="s">
        <v>207</v>
      </c>
      <c r="K1956" s="28" t="s">
        <v>9635</v>
      </c>
      <c r="L1956" s="28" t="s">
        <v>9636</v>
      </c>
      <c r="M1956" s="28" t="s">
        <v>11213</v>
      </c>
      <c r="N1956" s="28" t="s">
        <v>9638</v>
      </c>
      <c r="O1956" s="28" t="s">
        <v>9639</v>
      </c>
      <c r="P1956" s="28" t="s">
        <v>11214</v>
      </c>
    </row>
    <row r="1957" spans="1:16" x14ac:dyDescent="0.25">
      <c r="A1957" s="28" t="s">
        <v>11215</v>
      </c>
      <c r="B1957" s="28" t="s">
        <v>11216</v>
      </c>
      <c r="C1957" s="28" t="s">
        <v>132</v>
      </c>
      <c r="D1957" s="28" t="s">
        <v>10730</v>
      </c>
      <c r="E1957" s="28" t="s">
        <v>11211</v>
      </c>
      <c r="F1957" s="28" t="s">
        <v>21</v>
      </c>
      <c r="G1957" s="28" t="s">
        <v>207</v>
      </c>
      <c r="H1957" s="28" t="s">
        <v>9633</v>
      </c>
      <c r="I1957" s="28" t="s">
        <v>11217</v>
      </c>
      <c r="J1957" s="28" t="s">
        <v>207</v>
      </c>
      <c r="K1957" s="28" t="s">
        <v>9635</v>
      </c>
      <c r="L1957" s="28" t="s">
        <v>9636</v>
      </c>
      <c r="M1957" s="28" t="s">
        <v>11218</v>
      </c>
      <c r="N1957" s="28" t="s">
        <v>9638</v>
      </c>
      <c r="O1957" s="28" t="s">
        <v>9639</v>
      </c>
      <c r="P1957" s="28" t="s">
        <v>11214</v>
      </c>
    </row>
    <row r="1958" spans="1:16" x14ac:dyDescent="0.25">
      <c r="A1958" s="28" t="s">
        <v>11219</v>
      </c>
      <c r="B1958" s="28" t="s">
        <v>11220</v>
      </c>
      <c r="C1958" s="28" t="s">
        <v>132</v>
      </c>
      <c r="D1958" s="28" t="s">
        <v>1586</v>
      </c>
      <c r="E1958" s="28" t="s">
        <v>11221</v>
      </c>
      <c r="F1958" s="28" t="s">
        <v>21</v>
      </c>
      <c r="G1958" s="28" t="s">
        <v>149</v>
      </c>
      <c r="H1958" s="28" t="s">
        <v>9633</v>
      </c>
      <c r="I1958" s="28" t="s">
        <v>11222</v>
      </c>
      <c r="J1958" s="28" t="s">
        <v>149</v>
      </c>
      <c r="K1958" s="28" t="s">
        <v>9722</v>
      </c>
      <c r="L1958" s="28" t="s">
        <v>9636</v>
      </c>
      <c r="M1958" s="28" t="s">
        <v>11223</v>
      </c>
      <c r="N1958" s="28" t="s">
        <v>9638</v>
      </c>
      <c r="O1958" s="28" t="s">
        <v>9639</v>
      </c>
      <c r="P1958" s="28" t="s">
        <v>11224</v>
      </c>
    </row>
    <row r="1959" spans="1:16" x14ac:dyDescent="0.25">
      <c r="A1959" s="28" t="s">
        <v>11225</v>
      </c>
      <c r="B1959" s="28" t="s">
        <v>11226</v>
      </c>
      <c r="C1959" s="28" t="s">
        <v>132</v>
      </c>
      <c r="D1959" s="28" t="s">
        <v>1586</v>
      </c>
      <c r="E1959" s="28" t="s">
        <v>11221</v>
      </c>
      <c r="F1959" s="28" t="s">
        <v>21</v>
      </c>
      <c r="G1959" s="28" t="s">
        <v>207</v>
      </c>
      <c r="H1959" s="28" t="s">
        <v>9633</v>
      </c>
      <c r="I1959" s="28" t="s">
        <v>11227</v>
      </c>
      <c r="J1959" s="28" t="s">
        <v>207</v>
      </c>
      <c r="K1959" s="28" t="s">
        <v>9635</v>
      </c>
      <c r="L1959" s="28" t="s">
        <v>9636</v>
      </c>
      <c r="M1959" s="28" t="s">
        <v>11228</v>
      </c>
      <c r="N1959" s="28" t="s">
        <v>9638</v>
      </c>
      <c r="O1959" s="28" t="s">
        <v>9639</v>
      </c>
      <c r="P1959" s="28" t="s">
        <v>11229</v>
      </c>
    </row>
    <row r="1960" spans="1:16" x14ac:dyDescent="0.25">
      <c r="A1960" s="28" t="s">
        <v>11230</v>
      </c>
      <c r="B1960" s="28" t="s">
        <v>11231</v>
      </c>
      <c r="C1960" s="28" t="s">
        <v>132</v>
      </c>
      <c r="D1960" s="28" t="s">
        <v>1586</v>
      </c>
      <c r="E1960" s="28" t="s">
        <v>11221</v>
      </c>
      <c r="F1960" s="28" t="s">
        <v>21</v>
      </c>
      <c r="G1960" s="28" t="s">
        <v>149</v>
      </c>
      <c r="H1960" s="28" t="s">
        <v>9633</v>
      </c>
      <c r="I1960" s="28" t="s">
        <v>11232</v>
      </c>
      <c r="J1960" s="28" t="s">
        <v>149</v>
      </c>
      <c r="K1960" s="28" t="s">
        <v>9722</v>
      </c>
      <c r="L1960" s="28" t="s">
        <v>9636</v>
      </c>
      <c r="M1960" s="28" t="s">
        <v>11233</v>
      </c>
      <c r="N1960" s="28" t="s">
        <v>9638</v>
      </c>
      <c r="O1960" s="28" t="s">
        <v>9639</v>
      </c>
      <c r="P1960" s="28" t="s">
        <v>11224</v>
      </c>
    </row>
    <row r="1961" spans="1:16" x14ac:dyDescent="0.25">
      <c r="A1961" s="28" t="s">
        <v>11234</v>
      </c>
      <c r="B1961" s="28" t="s">
        <v>11235</v>
      </c>
      <c r="C1961" s="28" t="s">
        <v>132</v>
      </c>
      <c r="D1961" s="28" t="s">
        <v>1586</v>
      </c>
      <c r="E1961" s="28" t="s">
        <v>11221</v>
      </c>
      <c r="F1961" s="28" t="s">
        <v>21</v>
      </c>
      <c r="G1961" s="28" t="s">
        <v>149</v>
      </c>
      <c r="H1961" s="28" t="s">
        <v>9633</v>
      </c>
      <c r="I1961" s="28" t="s">
        <v>11236</v>
      </c>
      <c r="J1961" s="28" t="s">
        <v>149</v>
      </c>
      <c r="K1961" s="28" t="s">
        <v>9722</v>
      </c>
      <c r="L1961" s="28" t="s">
        <v>9636</v>
      </c>
      <c r="M1961" s="28" t="s">
        <v>11237</v>
      </c>
      <c r="N1961" s="28" t="s">
        <v>9638</v>
      </c>
      <c r="O1961" s="28" t="s">
        <v>9639</v>
      </c>
      <c r="P1961" s="28" t="s">
        <v>11224</v>
      </c>
    </row>
    <row r="1962" spans="1:16" x14ac:dyDescent="0.25">
      <c r="A1962" s="28" t="s">
        <v>11238</v>
      </c>
      <c r="B1962" s="28" t="s">
        <v>11239</v>
      </c>
      <c r="C1962" s="28" t="s">
        <v>132</v>
      </c>
      <c r="D1962" s="28" t="s">
        <v>1586</v>
      </c>
      <c r="E1962" s="28" t="s">
        <v>11221</v>
      </c>
      <c r="F1962" s="28" t="s">
        <v>21</v>
      </c>
      <c r="G1962" s="28" t="s">
        <v>149</v>
      </c>
      <c r="H1962" s="28" t="s">
        <v>9633</v>
      </c>
      <c r="I1962" s="28" t="s">
        <v>11240</v>
      </c>
      <c r="J1962" s="28" t="s">
        <v>149</v>
      </c>
      <c r="K1962" s="28" t="s">
        <v>9722</v>
      </c>
      <c r="L1962" s="28" t="s">
        <v>9636</v>
      </c>
      <c r="M1962" s="28" t="s">
        <v>11241</v>
      </c>
      <c r="N1962" s="28" t="s">
        <v>9638</v>
      </c>
      <c r="O1962" s="28" t="s">
        <v>9639</v>
      </c>
      <c r="P1962" s="28" t="s">
        <v>11224</v>
      </c>
    </row>
    <row r="1963" spans="1:16" x14ac:dyDescent="0.25">
      <c r="A1963" s="28" t="s">
        <v>11242</v>
      </c>
      <c r="B1963" s="28" t="s">
        <v>11243</v>
      </c>
      <c r="C1963" s="28" t="s">
        <v>132</v>
      </c>
      <c r="D1963" s="28" t="s">
        <v>1586</v>
      </c>
      <c r="E1963" s="28" t="s">
        <v>11221</v>
      </c>
      <c r="F1963" s="28" t="s">
        <v>21</v>
      </c>
      <c r="G1963" s="28" t="s">
        <v>149</v>
      </c>
      <c r="H1963" s="28" t="s">
        <v>9633</v>
      </c>
      <c r="I1963" s="28" t="s">
        <v>11244</v>
      </c>
      <c r="J1963" s="28" t="s">
        <v>149</v>
      </c>
      <c r="K1963" s="28" t="s">
        <v>9722</v>
      </c>
      <c r="L1963" s="28" t="s">
        <v>9636</v>
      </c>
      <c r="M1963" s="28" t="s">
        <v>11245</v>
      </c>
      <c r="N1963" s="28" t="s">
        <v>9638</v>
      </c>
      <c r="O1963" s="28" t="s">
        <v>9639</v>
      </c>
      <c r="P1963" s="28" t="s">
        <v>11224</v>
      </c>
    </row>
    <row r="1964" spans="1:16" x14ac:dyDescent="0.25">
      <c r="A1964" s="28" t="s">
        <v>11246</v>
      </c>
      <c r="B1964" s="28" t="s">
        <v>11247</v>
      </c>
      <c r="C1964" s="28" t="s">
        <v>132</v>
      </c>
      <c r="D1964" s="28" t="s">
        <v>1586</v>
      </c>
      <c r="E1964" s="28" t="s">
        <v>11221</v>
      </c>
      <c r="F1964" s="28" t="s">
        <v>21</v>
      </c>
      <c r="G1964" s="28" t="s">
        <v>149</v>
      </c>
      <c r="H1964" s="28" t="s">
        <v>9633</v>
      </c>
      <c r="I1964" s="28" t="s">
        <v>11248</v>
      </c>
      <c r="J1964" s="28" t="s">
        <v>149</v>
      </c>
      <c r="K1964" s="28" t="s">
        <v>9722</v>
      </c>
      <c r="L1964" s="28" t="s">
        <v>9636</v>
      </c>
      <c r="M1964" s="28" t="s">
        <v>11249</v>
      </c>
      <c r="N1964" s="28" t="s">
        <v>9638</v>
      </c>
      <c r="O1964" s="28" t="s">
        <v>9639</v>
      </c>
      <c r="P1964" s="28" t="s">
        <v>11224</v>
      </c>
    </row>
    <row r="1965" spans="1:16" x14ac:dyDescent="0.25">
      <c r="A1965" s="28" t="s">
        <v>11250</v>
      </c>
      <c r="B1965" s="28" t="s">
        <v>11251</v>
      </c>
      <c r="C1965" s="28" t="s">
        <v>132</v>
      </c>
      <c r="D1965" s="28" t="s">
        <v>1586</v>
      </c>
      <c r="E1965" s="28" t="s">
        <v>11221</v>
      </c>
      <c r="F1965" s="28" t="s">
        <v>21</v>
      </c>
      <c r="G1965" s="28" t="s">
        <v>149</v>
      </c>
      <c r="H1965" s="28" t="s">
        <v>9633</v>
      </c>
      <c r="I1965" s="28" t="s">
        <v>11252</v>
      </c>
      <c r="J1965" s="28" t="s">
        <v>149</v>
      </c>
      <c r="K1965" s="28" t="s">
        <v>9722</v>
      </c>
      <c r="L1965" s="28" t="s">
        <v>9636</v>
      </c>
      <c r="M1965" s="28" t="s">
        <v>11253</v>
      </c>
      <c r="N1965" s="28" t="s">
        <v>9638</v>
      </c>
      <c r="O1965" s="28" t="s">
        <v>9639</v>
      </c>
      <c r="P1965" s="28" t="s">
        <v>11224</v>
      </c>
    </row>
    <row r="1966" spans="1:16" x14ac:dyDescent="0.25">
      <c r="A1966" s="28" t="s">
        <v>11254</v>
      </c>
      <c r="B1966" s="28" t="s">
        <v>11255</v>
      </c>
      <c r="C1966" s="28" t="s">
        <v>132</v>
      </c>
      <c r="D1966" s="28" t="s">
        <v>1586</v>
      </c>
      <c r="E1966" s="28" t="s">
        <v>11221</v>
      </c>
      <c r="F1966" s="28" t="s">
        <v>21</v>
      </c>
      <c r="G1966" s="28" t="s">
        <v>149</v>
      </c>
      <c r="H1966" s="28" t="s">
        <v>9633</v>
      </c>
      <c r="I1966" s="28" t="s">
        <v>11256</v>
      </c>
      <c r="J1966" s="28" t="s">
        <v>149</v>
      </c>
      <c r="K1966" s="28" t="s">
        <v>9722</v>
      </c>
      <c r="L1966" s="28" t="s">
        <v>9636</v>
      </c>
      <c r="M1966" s="28" t="s">
        <v>11257</v>
      </c>
      <c r="N1966" s="28" t="s">
        <v>9638</v>
      </c>
      <c r="O1966" s="28" t="s">
        <v>9639</v>
      </c>
      <c r="P1966" s="28" t="s">
        <v>11224</v>
      </c>
    </row>
    <row r="1967" spans="1:16" x14ac:dyDescent="0.25">
      <c r="A1967" s="28" t="s">
        <v>11258</v>
      </c>
      <c r="B1967" s="28" t="s">
        <v>11259</v>
      </c>
      <c r="C1967" s="28" t="s">
        <v>132</v>
      </c>
      <c r="D1967" s="28" t="s">
        <v>1586</v>
      </c>
      <c r="E1967" s="28" t="s">
        <v>11221</v>
      </c>
      <c r="F1967" s="28" t="s">
        <v>21</v>
      </c>
      <c r="G1967" s="28" t="s">
        <v>149</v>
      </c>
      <c r="H1967" s="28" t="s">
        <v>9633</v>
      </c>
      <c r="I1967" s="28" t="s">
        <v>11260</v>
      </c>
      <c r="J1967" s="28" t="s">
        <v>149</v>
      </c>
      <c r="K1967" s="28" t="s">
        <v>9722</v>
      </c>
      <c r="L1967" s="28" t="s">
        <v>9636</v>
      </c>
      <c r="M1967" s="28" t="s">
        <v>11261</v>
      </c>
      <c r="N1967" s="28" t="s">
        <v>9638</v>
      </c>
      <c r="O1967" s="28" t="s">
        <v>9639</v>
      </c>
      <c r="P1967" s="28" t="s">
        <v>11224</v>
      </c>
    </row>
    <row r="1968" spans="1:16" x14ac:dyDescent="0.25">
      <c r="A1968" s="28" t="s">
        <v>11262</v>
      </c>
      <c r="B1968" s="28" t="s">
        <v>11263</v>
      </c>
      <c r="C1968" s="28" t="s">
        <v>132</v>
      </c>
      <c r="D1968" s="28" t="s">
        <v>1586</v>
      </c>
      <c r="E1968" s="28" t="s">
        <v>11221</v>
      </c>
      <c r="F1968" s="28" t="s">
        <v>21</v>
      </c>
      <c r="G1968" s="28" t="s">
        <v>149</v>
      </c>
      <c r="H1968" s="28" t="s">
        <v>9633</v>
      </c>
      <c r="I1968" s="28" t="s">
        <v>11264</v>
      </c>
      <c r="J1968" s="28" t="s">
        <v>149</v>
      </c>
      <c r="K1968" s="28" t="s">
        <v>9722</v>
      </c>
      <c r="L1968" s="28" t="s">
        <v>9636</v>
      </c>
      <c r="M1968" s="28" t="s">
        <v>11265</v>
      </c>
      <c r="N1968" s="28" t="s">
        <v>9638</v>
      </c>
      <c r="O1968" s="28" t="s">
        <v>9639</v>
      </c>
      <c r="P1968" s="28" t="s">
        <v>11224</v>
      </c>
    </row>
    <row r="1969" spans="1:16" x14ac:dyDescent="0.25">
      <c r="A1969" s="28" t="s">
        <v>11266</v>
      </c>
      <c r="B1969" s="28" t="s">
        <v>11267</v>
      </c>
      <c r="C1969" s="28" t="s">
        <v>132</v>
      </c>
      <c r="D1969" s="28" t="s">
        <v>1586</v>
      </c>
      <c r="E1969" s="28" t="s">
        <v>11221</v>
      </c>
      <c r="F1969" s="28" t="s">
        <v>21</v>
      </c>
      <c r="G1969" s="28" t="s">
        <v>149</v>
      </c>
      <c r="H1969" s="28" t="s">
        <v>9633</v>
      </c>
      <c r="I1969" s="28" t="s">
        <v>11268</v>
      </c>
      <c r="J1969" s="28" t="s">
        <v>149</v>
      </c>
      <c r="K1969" s="28" t="s">
        <v>9722</v>
      </c>
      <c r="L1969" s="28" t="s">
        <v>9636</v>
      </c>
      <c r="M1969" s="28" t="s">
        <v>11269</v>
      </c>
      <c r="N1969" s="28" t="s">
        <v>9638</v>
      </c>
      <c r="O1969" s="28" t="s">
        <v>9639</v>
      </c>
      <c r="P1969" s="28" t="s">
        <v>11224</v>
      </c>
    </row>
    <row r="1970" spans="1:16" x14ac:dyDescent="0.25">
      <c r="A1970" s="28" t="s">
        <v>11270</v>
      </c>
      <c r="B1970" s="28" t="s">
        <v>11271</v>
      </c>
      <c r="C1970" s="28" t="s">
        <v>132</v>
      </c>
      <c r="D1970" s="28" t="s">
        <v>1586</v>
      </c>
      <c r="E1970" s="28" t="s">
        <v>11221</v>
      </c>
      <c r="F1970" s="28" t="s">
        <v>21</v>
      </c>
      <c r="G1970" s="28" t="s">
        <v>149</v>
      </c>
      <c r="H1970" s="28" t="s">
        <v>9633</v>
      </c>
      <c r="I1970" s="28" t="s">
        <v>11272</v>
      </c>
      <c r="J1970" s="28" t="s">
        <v>149</v>
      </c>
      <c r="K1970" s="28" t="s">
        <v>9722</v>
      </c>
      <c r="L1970" s="28" t="s">
        <v>9636</v>
      </c>
      <c r="M1970" s="28" t="s">
        <v>11273</v>
      </c>
      <c r="N1970" s="28" t="s">
        <v>9638</v>
      </c>
      <c r="O1970" s="28" t="s">
        <v>9639</v>
      </c>
      <c r="P1970" s="28" t="s">
        <v>11224</v>
      </c>
    </row>
    <row r="1971" spans="1:16" x14ac:dyDescent="0.25">
      <c r="A1971" s="28" t="s">
        <v>11274</v>
      </c>
      <c r="B1971" s="28" t="s">
        <v>11275</v>
      </c>
      <c r="C1971" s="28" t="s">
        <v>132</v>
      </c>
      <c r="D1971" s="28" t="s">
        <v>1586</v>
      </c>
      <c r="E1971" s="28" t="s">
        <v>11221</v>
      </c>
      <c r="F1971" s="28" t="s">
        <v>21</v>
      </c>
      <c r="G1971" s="28" t="s">
        <v>149</v>
      </c>
      <c r="H1971" s="28" t="s">
        <v>9633</v>
      </c>
      <c r="I1971" s="28" t="s">
        <v>11276</v>
      </c>
      <c r="J1971" s="28" t="s">
        <v>149</v>
      </c>
      <c r="K1971" s="28" t="s">
        <v>9722</v>
      </c>
      <c r="L1971" s="28" t="s">
        <v>9636</v>
      </c>
      <c r="M1971" s="28" t="s">
        <v>11277</v>
      </c>
      <c r="N1971" s="28" t="s">
        <v>9638</v>
      </c>
      <c r="O1971" s="28" t="s">
        <v>9639</v>
      </c>
      <c r="P1971" s="28" t="s">
        <v>11224</v>
      </c>
    </row>
    <row r="1972" spans="1:16" x14ac:dyDescent="0.25">
      <c r="A1972" s="28" t="s">
        <v>11278</v>
      </c>
      <c r="B1972" s="28" t="s">
        <v>11279</v>
      </c>
      <c r="C1972" s="28" t="s">
        <v>132</v>
      </c>
      <c r="D1972" s="28" t="s">
        <v>1586</v>
      </c>
      <c r="E1972" s="28" t="s">
        <v>11221</v>
      </c>
      <c r="F1972" s="28" t="s">
        <v>21</v>
      </c>
      <c r="G1972" s="28" t="s">
        <v>149</v>
      </c>
      <c r="H1972" s="28" t="s">
        <v>9633</v>
      </c>
      <c r="I1972" s="28" t="s">
        <v>11280</v>
      </c>
      <c r="J1972" s="28" t="s">
        <v>149</v>
      </c>
      <c r="K1972" s="28" t="s">
        <v>9722</v>
      </c>
      <c r="L1972" s="28" t="s">
        <v>9636</v>
      </c>
      <c r="M1972" s="28" t="s">
        <v>11281</v>
      </c>
      <c r="N1972" s="28" t="s">
        <v>9638</v>
      </c>
      <c r="O1972" s="28" t="s">
        <v>9639</v>
      </c>
      <c r="P1972" s="28" t="s">
        <v>11224</v>
      </c>
    </row>
    <row r="1973" spans="1:16" x14ac:dyDescent="0.25">
      <c r="A1973" s="28" t="s">
        <v>11282</v>
      </c>
      <c r="B1973" s="28" t="s">
        <v>11283</v>
      </c>
      <c r="C1973" s="28" t="s">
        <v>132</v>
      </c>
      <c r="D1973" s="28" t="s">
        <v>1586</v>
      </c>
      <c r="E1973" s="28" t="s">
        <v>11221</v>
      </c>
      <c r="F1973" s="28" t="s">
        <v>21</v>
      </c>
      <c r="G1973" s="28" t="s">
        <v>149</v>
      </c>
      <c r="H1973" s="28" t="s">
        <v>9633</v>
      </c>
      <c r="I1973" s="28" t="s">
        <v>11284</v>
      </c>
      <c r="J1973" s="28" t="s">
        <v>149</v>
      </c>
      <c r="K1973" s="28" t="s">
        <v>9722</v>
      </c>
      <c r="L1973" s="28" t="s">
        <v>9636</v>
      </c>
      <c r="M1973" s="28" t="s">
        <v>11285</v>
      </c>
      <c r="N1973" s="28" t="s">
        <v>9638</v>
      </c>
      <c r="O1973" s="28" t="s">
        <v>9639</v>
      </c>
      <c r="P1973" s="28" t="s">
        <v>11224</v>
      </c>
    </row>
    <row r="1974" spans="1:16" x14ac:dyDescent="0.25">
      <c r="A1974" s="28" t="s">
        <v>11286</v>
      </c>
      <c r="B1974" s="28" t="s">
        <v>11287</v>
      </c>
      <c r="C1974" s="28" t="s">
        <v>132</v>
      </c>
      <c r="D1974" s="28" t="s">
        <v>1586</v>
      </c>
      <c r="E1974" s="28" t="s">
        <v>1587</v>
      </c>
      <c r="F1974" s="28" t="s">
        <v>21</v>
      </c>
      <c r="G1974" s="28" t="s">
        <v>207</v>
      </c>
      <c r="H1974" s="28" t="s">
        <v>9633</v>
      </c>
      <c r="I1974" s="28" t="s">
        <v>11288</v>
      </c>
      <c r="J1974" s="28" t="s">
        <v>207</v>
      </c>
      <c r="K1974" s="28" t="s">
        <v>9635</v>
      </c>
      <c r="L1974" s="28" t="s">
        <v>9636</v>
      </c>
      <c r="M1974" s="28" t="s">
        <v>11289</v>
      </c>
      <c r="N1974" s="28" t="s">
        <v>9638</v>
      </c>
      <c r="O1974" s="28" t="s">
        <v>9639</v>
      </c>
      <c r="P1974" s="28" t="s">
        <v>11290</v>
      </c>
    </row>
    <row r="1975" spans="1:16" x14ac:dyDescent="0.25">
      <c r="A1975" s="28" t="s">
        <v>11291</v>
      </c>
      <c r="B1975" s="28" t="s">
        <v>11292</v>
      </c>
      <c r="C1975" s="28" t="s">
        <v>132</v>
      </c>
      <c r="D1975" s="28" t="s">
        <v>1586</v>
      </c>
      <c r="E1975" s="28" t="s">
        <v>1587</v>
      </c>
      <c r="F1975" s="28" t="s">
        <v>21</v>
      </c>
      <c r="G1975" s="28" t="s">
        <v>135</v>
      </c>
      <c r="H1975" s="28" t="s">
        <v>9711</v>
      </c>
      <c r="I1975" s="28" t="s">
        <v>11293</v>
      </c>
      <c r="J1975" s="28" t="s">
        <v>135</v>
      </c>
      <c r="K1975" s="28" t="s">
        <v>9713</v>
      </c>
      <c r="L1975" s="28" t="s">
        <v>9714</v>
      </c>
      <c r="M1975" s="28" t="s">
        <v>11294</v>
      </c>
      <c r="N1975" s="28" t="s">
        <v>9716</v>
      </c>
      <c r="O1975" s="28" t="s">
        <v>9717</v>
      </c>
      <c r="P1975" s="28" t="s">
        <v>11295</v>
      </c>
    </row>
    <row r="1976" spans="1:16" x14ac:dyDescent="0.25">
      <c r="A1976" s="28" t="s">
        <v>11296</v>
      </c>
      <c r="B1976" s="28" t="s">
        <v>11297</v>
      </c>
      <c r="C1976" s="28" t="s">
        <v>132</v>
      </c>
      <c r="D1976" s="28" t="s">
        <v>1586</v>
      </c>
      <c r="E1976" s="28" t="s">
        <v>1587</v>
      </c>
      <c r="F1976" s="28" t="s">
        <v>21</v>
      </c>
      <c r="G1976" s="28" t="s">
        <v>207</v>
      </c>
      <c r="H1976" s="28" t="s">
        <v>9633</v>
      </c>
      <c r="I1976" s="28" t="s">
        <v>11298</v>
      </c>
      <c r="J1976" s="28" t="s">
        <v>207</v>
      </c>
      <c r="K1976" s="28" t="s">
        <v>9635</v>
      </c>
      <c r="L1976" s="28" t="s">
        <v>9636</v>
      </c>
      <c r="M1976" s="28" t="s">
        <v>11299</v>
      </c>
      <c r="N1976" s="28" t="s">
        <v>9638</v>
      </c>
      <c r="O1976" s="28" t="s">
        <v>9639</v>
      </c>
      <c r="P1976" s="28" t="s">
        <v>11290</v>
      </c>
    </row>
    <row r="1977" spans="1:16" x14ac:dyDescent="0.25">
      <c r="A1977" s="28" t="s">
        <v>11300</v>
      </c>
      <c r="B1977" s="28" t="s">
        <v>11301</v>
      </c>
      <c r="C1977" s="28" t="s">
        <v>132</v>
      </c>
      <c r="D1977" s="28" t="s">
        <v>1586</v>
      </c>
      <c r="E1977" s="28" t="s">
        <v>1587</v>
      </c>
      <c r="F1977" s="28" t="s">
        <v>21</v>
      </c>
      <c r="G1977" s="28" t="s">
        <v>207</v>
      </c>
      <c r="H1977" s="28" t="s">
        <v>9633</v>
      </c>
      <c r="I1977" s="28" t="s">
        <v>11302</v>
      </c>
      <c r="J1977" s="28" t="s">
        <v>207</v>
      </c>
      <c r="K1977" s="28" t="s">
        <v>9635</v>
      </c>
      <c r="L1977" s="28" t="s">
        <v>9636</v>
      </c>
      <c r="M1977" s="28" t="s">
        <v>11303</v>
      </c>
      <c r="N1977" s="28" t="s">
        <v>9638</v>
      </c>
      <c r="O1977" s="28" t="s">
        <v>9639</v>
      </c>
      <c r="P1977" s="28" t="s">
        <v>11290</v>
      </c>
    </row>
    <row r="1978" spans="1:16" x14ac:dyDescent="0.25">
      <c r="A1978" s="28" t="s">
        <v>11304</v>
      </c>
      <c r="B1978" s="28" t="s">
        <v>11305</v>
      </c>
      <c r="C1978" s="28" t="s">
        <v>132</v>
      </c>
      <c r="D1978" s="28" t="s">
        <v>1586</v>
      </c>
      <c r="E1978" s="28" t="s">
        <v>1587</v>
      </c>
      <c r="F1978" s="28" t="s">
        <v>21</v>
      </c>
      <c r="G1978" s="28" t="s">
        <v>207</v>
      </c>
      <c r="H1978" s="28" t="s">
        <v>9633</v>
      </c>
      <c r="I1978" s="28" t="s">
        <v>11306</v>
      </c>
      <c r="J1978" s="28" t="s">
        <v>207</v>
      </c>
      <c r="K1978" s="28" t="s">
        <v>9635</v>
      </c>
      <c r="L1978" s="28" t="s">
        <v>9636</v>
      </c>
      <c r="M1978" s="28" t="s">
        <v>11307</v>
      </c>
      <c r="N1978" s="28" t="s">
        <v>9638</v>
      </c>
      <c r="O1978" s="28" t="s">
        <v>9639</v>
      </c>
      <c r="P1978" s="28" t="s">
        <v>11290</v>
      </c>
    </row>
    <row r="1979" spans="1:16" x14ac:dyDescent="0.25">
      <c r="A1979" s="28" t="s">
        <v>11308</v>
      </c>
      <c r="B1979" s="28" t="s">
        <v>11309</v>
      </c>
      <c r="C1979" s="28" t="s">
        <v>132</v>
      </c>
      <c r="D1979" s="28" t="s">
        <v>1586</v>
      </c>
      <c r="E1979" s="28" t="s">
        <v>1587</v>
      </c>
      <c r="F1979" s="28" t="s">
        <v>21</v>
      </c>
      <c r="G1979" s="28" t="s">
        <v>207</v>
      </c>
      <c r="H1979" s="28" t="s">
        <v>9633</v>
      </c>
      <c r="I1979" s="28" t="s">
        <v>11310</v>
      </c>
      <c r="J1979" s="28" t="s">
        <v>207</v>
      </c>
      <c r="K1979" s="28" t="s">
        <v>9635</v>
      </c>
      <c r="L1979" s="28" t="s">
        <v>9636</v>
      </c>
      <c r="M1979" s="28" t="s">
        <v>11311</v>
      </c>
      <c r="N1979" s="28" t="s">
        <v>9638</v>
      </c>
      <c r="O1979" s="28" t="s">
        <v>9639</v>
      </c>
      <c r="P1979" s="28" t="s">
        <v>11290</v>
      </c>
    </row>
    <row r="1980" spans="1:16" x14ac:dyDescent="0.25">
      <c r="A1980" s="28" t="s">
        <v>11312</v>
      </c>
      <c r="B1980" s="28" t="s">
        <v>11313</v>
      </c>
      <c r="C1980" s="28" t="s">
        <v>132</v>
      </c>
      <c r="D1980" s="28" t="s">
        <v>1586</v>
      </c>
      <c r="E1980" s="28" t="s">
        <v>11314</v>
      </c>
      <c r="F1980" s="28" t="s">
        <v>21</v>
      </c>
      <c r="G1980" s="28" t="s">
        <v>135</v>
      </c>
      <c r="H1980" s="28" t="s">
        <v>9633</v>
      </c>
      <c r="I1980" s="28" t="s">
        <v>11315</v>
      </c>
      <c r="J1980" s="28" t="s">
        <v>135</v>
      </c>
      <c r="K1980" s="28" t="s">
        <v>10125</v>
      </c>
      <c r="L1980" s="28" t="s">
        <v>9636</v>
      </c>
      <c r="M1980" s="28" t="s">
        <v>11316</v>
      </c>
      <c r="N1980" s="28" t="s">
        <v>9638</v>
      </c>
      <c r="O1980" s="28" t="s">
        <v>9639</v>
      </c>
      <c r="P1980" s="28" t="s">
        <v>11317</v>
      </c>
    </row>
    <row r="1981" spans="1:16" x14ac:dyDescent="0.25">
      <c r="A1981" s="28" t="s">
        <v>11318</v>
      </c>
      <c r="B1981" s="28" t="s">
        <v>11319</v>
      </c>
      <c r="C1981" s="28" t="s">
        <v>132</v>
      </c>
      <c r="D1981" s="28" t="s">
        <v>1586</v>
      </c>
      <c r="E1981" s="28" t="s">
        <v>11320</v>
      </c>
      <c r="F1981" s="28" t="s">
        <v>21</v>
      </c>
      <c r="G1981" s="28" t="s">
        <v>207</v>
      </c>
      <c r="H1981" s="28" t="s">
        <v>9633</v>
      </c>
      <c r="I1981" s="28" t="s">
        <v>11321</v>
      </c>
      <c r="J1981" s="28" t="s">
        <v>207</v>
      </c>
      <c r="K1981" s="28" t="s">
        <v>9635</v>
      </c>
      <c r="L1981" s="28" t="s">
        <v>9636</v>
      </c>
      <c r="M1981" s="28" t="s">
        <v>11322</v>
      </c>
      <c r="N1981" s="28" t="s">
        <v>9638</v>
      </c>
      <c r="O1981" s="28" t="s">
        <v>9639</v>
      </c>
      <c r="P1981" s="28" t="s">
        <v>11323</v>
      </c>
    </row>
    <row r="1982" spans="1:16" x14ac:dyDescent="0.25">
      <c r="A1982" s="28" t="s">
        <v>11324</v>
      </c>
      <c r="B1982" s="28" t="s">
        <v>11325</v>
      </c>
      <c r="C1982" s="28" t="s">
        <v>132</v>
      </c>
      <c r="D1982" s="28" t="s">
        <v>1586</v>
      </c>
      <c r="E1982" s="28" t="s">
        <v>11326</v>
      </c>
      <c r="F1982" s="28" t="s">
        <v>21</v>
      </c>
      <c r="G1982" s="28" t="s">
        <v>207</v>
      </c>
      <c r="H1982" s="28" t="s">
        <v>9633</v>
      </c>
      <c r="I1982" s="28" t="s">
        <v>11327</v>
      </c>
      <c r="J1982" s="28" t="s">
        <v>207</v>
      </c>
      <c r="K1982" s="28" t="s">
        <v>9635</v>
      </c>
      <c r="L1982" s="28" t="s">
        <v>9636</v>
      </c>
      <c r="M1982" s="28" t="s">
        <v>11328</v>
      </c>
      <c r="N1982" s="28" t="s">
        <v>9638</v>
      </c>
      <c r="O1982" s="28" t="s">
        <v>9639</v>
      </c>
      <c r="P1982" s="28" t="s">
        <v>11329</v>
      </c>
    </row>
    <row r="1983" spans="1:16" x14ac:dyDescent="0.25">
      <c r="A1983" s="28" t="s">
        <v>11330</v>
      </c>
      <c r="B1983" s="28" t="s">
        <v>11331</v>
      </c>
      <c r="C1983" s="28" t="s">
        <v>132</v>
      </c>
      <c r="D1983" s="28" t="s">
        <v>1586</v>
      </c>
      <c r="E1983" s="28" t="s">
        <v>11332</v>
      </c>
      <c r="F1983" s="28" t="s">
        <v>21</v>
      </c>
      <c r="G1983" s="28" t="s">
        <v>207</v>
      </c>
      <c r="H1983" s="28" t="s">
        <v>9633</v>
      </c>
      <c r="I1983" s="28" t="s">
        <v>11333</v>
      </c>
      <c r="J1983" s="28" t="s">
        <v>207</v>
      </c>
      <c r="K1983" s="28" t="s">
        <v>9635</v>
      </c>
      <c r="L1983" s="28" t="s">
        <v>9636</v>
      </c>
      <c r="M1983" s="28" t="s">
        <v>11334</v>
      </c>
      <c r="N1983" s="28" t="s">
        <v>9638</v>
      </c>
      <c r="O1983" s="28" t="s">
        <v>9639</v>
      </c>
      <c r="P1983" s="28" t="s">
        <v>11335</v>
      </c>
    </row>
    <row r="1984" spans="1:16" x14ac:dyDescent="0.25">
      <c r="A1984" s="28" t="s">
        <v>11336</v>
      </c>
      <c r="B1984" s="28" t="s">
        <v>11337</v>
      </c>
      <c r="C1984" s="28" t="s">
        <v>132</v>
      </c>
      <c r="D1984" s="28" t="s">
        <v>1586</v>
      </c>
      <c r="E1984" s="28" t="s">
        <v>11338</v>
      </c>
      <c r="F1984" s="28" t="s">
        <v>21</v>
      </c>
      <c r="G1984" s="28" t="s">
        <v>149</v>
      </c>
      <c r="H1984" s="28" t="s">
        <v>9633</v>
      </c>
      <c r="I1984" s="28" t="s">
        <v>11339</v>
      </c>
      <c r="J1984" s="28" t="s">
        <v>149</v>
      </c>
      <c r="K1984" s="28" t="s">
        <v>9722</v>
      </c>
      <c r="L1984" s="28" t="s">
        <v>9636</v>
      </c>
      <c r="M1984" s="28" t="s">
        <v>11340</v>
      </c>
      <c r="N1984" s="28" t="s">
        <v>9638</v>
      </c>
      <c r="O1984" s="28" t="s">
        <v>9639</v>
      </c>
      <c r="P1984" s="28" t="s">
        <v>11341</v>
      </c>
    </row>
    <row r="1985" spans="1:16" x14ac:dyDescent="0.25">
      <c r="A1985" s="28" t="s">
        <v>11342</v>
      </c>
      <c r="B1985" s="28" t="s">
        <v>11343</v>
      </c>
      <c r="C1985" s="28" t="s">
        <v>132</v>
      </c>
      <c r="D1985" s="28" t="s">
        <v>1586</v>
      </c>
      <c r="E1985" s="28" t="s">
        <v>11338</v>
      </c>
      <c r="F1985" s="28" t="s">
        <v>21</v>
      </c>
      <c r="G1985" s="28" t="s">
        <v>149</v>
      </c>
      <c r="H1985" s="28" t="s">
        <v>9633</v>
      </c>
      <c r="I1985" s="28" t="s">
        <v>11344</v>
      </c>
      <c r="J1985" s="28" t="s">
        <v>149</v>
      </c>
      <c r="K1985" s="28" t="s">
        <v>9722</v>
      </c>
      <c r="L1985" s="28" t="s">
        <v>9636</v>
      </c>
      <c r="M1985" s="28" t="s">
        <v>11345</v>
      </c>
      <c r="N1985" s="28" t="s">
        <v>9638</v>
      </c>
      <c r="O1985" s="28" t="s">
        <v>9639</v>
      </c>
      <c r="P1985" s="28" t="s">
        <v>11341</v>
      </c>
    </row>
    <row r="1986" spans="1:16" x14ac:dyDescent="0.25">
      <c r="A1986" s="28" t="s">
        <v>11346</v>
      </c>
      <c r="B1986" s="28" t="s">
        <v>11347</v>
      </c>
      <c r="C1986" s="28" t="s">
        <v>132</v>
      </c>
      <c r="D1986" s="28" t="s">
        <v>1586</v>
      </c>
      <c r="E1986" s="28" t="s">
        <v>11338</v>
      </c>
      <c r="F1986" s="28" t="s">
        <v>21</v>
      </c>
      <c r="G1986" s="28" t="s">
        <v>149</v>
      </c>
      <c r="H1986" s="28" t="s">
        <v>9633</v>
      </c>
      <c r="I1986" s="28" t="s">
        <v>11348</v>
      </c>
      <c r="J1986" s="28" t="s">
        <v>149</v>
      </c>
      <c r="K1986" s="28" t="s">
        <v>9722</v>
      </c>
      <c r="L1986" s="28" t="s">
        <v>9636</v>
      </c>
      <c r="M1986" s="28" t="s">
        <v>11349</v>
      </c>
      <c r="N1986" s="28" t="s">
        <v>9638</v>
      </c>
      <c r="O1986" s="28" t="s">
        <v>9639</v>
      </c>
      <c r="P1986" s="28" t="s">
        <v>11341</v>
      </c>
    </row>
    <row r="1987" spans="1:16" x14ac:dyDescent="0.25">
      <c r="A1987" s="28" t="s">
        <v>11350</v>
      </c>
      <c r="B1987" s="28" t="s">
        <v>11351</v>
      </c>
      <c r="C1987" s="28" t="s">
        <v>132</v>
      </c>
      <c r="D1987" s="28" t="s">
        <v>1586</v>
      </c>
      <c r="E1987" s="28" t="s">
        <v>11338</v>
      </c>
      <c r="F1987" s="28" t="s">
        <v>21</v>
      </c>
      <c r="G1987" s="28" t="s">
        <v>149</v>
      </c>
      <c r="H1987" s="28" t="s">
        <v>9633</v>
      </c>
      <c r="I1987" s="28" t="s">
        <v>11352</v>
      </c>
      <c r="J1987" s="28" t="s">
        <v>149</v>
      </c>
      <c r="K1987" s="28" t="s">
        <v>9722</v>
      </c>
      <c r="L1987" s="28" t="s">
        <v>9636</v>
      </c>
      <c r="M1987" s="28" t="s">
        <v>11353</v>
      </c>
      <c r="N1987" s="28" t="s">
        <v>9638</v>
      </c>
      <c r="O1987" s="28" t="s">
        <v>9639</v>
      </c>
      <c r="P1987" s="28" t="s">
        <v>11341</v>
      </c>
    </row>
    <row r="1988" spans="1:16" x14ac:dyDescent="0.25">
      <c r="A1988" s="28" t="s">
        <v>11354</v>
      </c>
      <c r="B1988" s="28" t="s">
        <v>11355</v>
      </c>
      <c r="C1988" s="28" t="s">
        <v>132</v>
      </c>
      <c r="D1988" s="28" t="s">
        <v>11356</v>
      </c>
      <c r="E1988" s="28" t="s">
        <v>11357</v>
      </c>
      <c r="F1988" s="28" t="s">
        <v>21</v>
      </c>
      <c r="G1988" s="28" t="s">
        <v>207</v>
      </c>
      <c r="H1988" s="28" t="s">
        <v>9633</v>
      </c>
      <c r="I1988" s="28" t="s">
        <v>11358</v>
      </c>
      <c r="J1988" s="28" t="s">
        <v>207</v>
      </c>
      <c r="K1988" s="28" t="s">
        <v>9635</v>
      </c>
      <c r="L1988" s="28" t="s">
        <v>9636</v>
      </c>
      <c r="M1988" s="28" t="s">
        <v>11359</v>
      </c>
      <c r="N1988" s="28" t="s">
        <v>9638</v>
      </c>
      <c r="O1988" s="28" t="s">
        <v>9639</v>
      </c>
      <c r="P1988" s="28" t="s">
        <v>11360</v>
      </c>
    </row>
    <row r="1989" spans="1:16" x14ac:dyDescent="0.25">
      <c r="A1989" s="28" t="s">
        <v>11361</v>
      </c>
      <c r="B1989" s="28" t="s">
        <v>11362</v>
      </c>
      <c r="C1989" s="28" t="s">
        <v>132</v>
      </c>
      <c r="D1989" s="28" t="s">
        <v>11356</v>
      </c>
      <c r="E1989" s="28" t="s">
        <v>11357</v>
      </c>
      <c r="F1989" s="28" t="s">
        <v>21</v>
      </c>
      <c r="G1989" s="28" t="s">
        <v>207</v>
      </c>
      <c r="H1989" s="28" t="s">
        <v>9633</v>
      </c>
      <c r="I1989" s="28" t="s">
        <v>11363</v>
      </c>
      <c r="J1989" s="28" t="s">
        <v>207</v>
      </c>
      <c r="K1989" s="28" t="s">
        <v>9635</v>
      </c>
      <c r="L1989" s="28" t="s">
        <v>9636</v>
      </c>
      <c r="M1989" s="28" t="s">
        <v>11364</v>
      </c>
      <c r="N1989" s="28" t="s">
        <v>9638</v>
      </c>
      <c r="O1989" s="28" t="s">
        <v>9639</v>
      </c>
      <c r="P1989" s="28" t="s">
        <v>11360</v>
      </c>
    </row>
    <row r="1990" spans="1:16" x14ac:dyDescent="0.25">
      <c r="A1990" s="28" t="s">
        <v>11365</v>
      </c>
      <c r="B1990" s="28" t="s">
        <v>11366</v>
      </c>
      <c r="C1990" s="28" t="s">
        <v>132</v>
      </c>
      <c r="D1990" s="28" t="s">
        <v>11356</v>
      </c>
      <c r="E1990" s="28" t="s">
        <v>11367</v>
      </c>
      <c r="F1990" s="28" t="s">
        <v>21</v>
      </c>
      <c r="G1990" s="28" t="s">
        <v>207</v>
      </c>
      <c r="H1990" s="28" t="s">
        <v>9633</v>
      </c>
      <c r="I1990" s="28" t="s">
        <v>11368</v>
      </c>
      <c r="J1990" s="28" t="s">
        <v>207</v>
      </c>
      <c r="K1990" s="28" t="s">
        <v>9635</v>
      </c>
      <c r="L1990" s="28" t="s">
        <v>9636</v>
      </c>
      <c r="M1990" s="28" t="s">
        <v>11369</v>
      </c>
      <c r="N1990" s="28" t="s">
        <v>9638</v>
      </c>
      <c r="O1990" s="28" t="s">
        <v>9639</v>
      </c>
      <c r="P1990" s="28" t="s">
        <v>11370</v>
      </c>
    </row>
    <row r="1991" spans="1:16" x14ac:dyDescent="0.25">
      <c r="A1991" s="28" t="s">
        <v>11371</v>
      </c>
      <c r="B1991" s="28" t="s">
        <v>11372</v>
      </c>
      <c r="C1991" s="28" t="s">
        <v>132</v>
      </c>
      <c r="D1991" s="28" t="s">
        <v>11356</v>
      </c>
      <c r="E1991" s="28" t="s">
        <v>11367</v>
      </c>
      <c r="F1991" s="28" t="s">
        <v>21</v>
      </c>
      <c r="G1991" s="28" t="s">
        <v>207</v>
      </c>
      <c r="H1991" s="28" t="s">
        <v>9633</v>
      </c>
      <c r="I1991" s="28" t="s">
        <v>11373</v>
      </c>
      <c r="J1991" s="28" t="s">
        <v>207</v>
      </c>
      <c r="K1991" s="28" t="s">
        <v>9635</v>
      </c>
      <c r="L1991" s="28" t="s">
        <v>9636</v>
      </c>
      <c r="M1991" s="28" t="s">
        <v>11374</v>
      </c>
      <c r="N1991" s="28" t="s">
        <v>9638</v>
      </c>
      <c r="O1991" s="28" t="s">
        <v>9639</v>
      </c>
      <c r="P1991" s="28" t="s">
        <v>11370</v>
      </c>
    </row>
    <row r="1992" spans="1:16" x14ac:dyDescent="0.25">
      <c r="A1992" s="28" t="s">
        <v>11375</v>
      </c>
      <c r="B1992" s="28" t="s">
        <v>11376</v>
      </c>
      <c r="C1992" s="28" t="s">
        <v>132</v>
      </c>
      <c r="D1992" s="28" t="s">
        <v>11356</v>
      </c>
      <c r="E1992" s="28" t="s">
        <v>11367</v>
      </c>
      <c r="F1992" s="28" t="s">
        <v>21</v>
      </c>
      <c r="G1992" s="28" t="s">
        <v>207</v>
      </c>
      <c r="H1992" s="28" t="s">
        <v>9633</v>
      </c>
      <c r="I1992" s="28" t="s">
        <v>11377</v>
      </c>
      <c r="J1992" s="28" t="s">
        <v>207</v>
      </c>
      <c r="K1992" s="28" t="s">
        <v>9635</v>
      </c>
      <c r="L1992" s="28" t="s">
        <v>9636</v>
      </c>
      <c r="M1992" s="28" t="s">
        <v>11378</v>
      </c>
      <c r="N1992" s="28" t="s">
        <v>9638</v>
      </c>
      <c r="O1992" s="28" t="s">
        <v>9639</v>
      </c>
      <c r="P1992" s="28" t="s">
        <v>11370</v>
      </c>
    </row>
    <row r="1993" spans="1:16" x14ac:dyDescent="0.25">
      <c r="A1993" s="28" t="s">
        <v>11379</v>
      </c>
      <c r="B1993" s="28" t="s">
        <v>11380</v>
      </c>
      <c r="C1993" s="28" t="s">
        <v>132</v>
      </c>
      <c r="D1993" s="28" t="s">
        <v>11356</v>
      </c>
      <c r="E1993" s="28" t="s">
        <v>11367</v>
      </c>
      <c r="F1993" s="28" t="s">
        <v>21</v>
      </c>
      <c r="G1993" s="28" t="s">
        <v>207</v>
      </c>
      <c r="H1993" s="28" t="s">
        <v>9633</v>
      </c>
      <c r="I1993" s="28" t="s">
        <v>11381</v>
      </c>
      <c r="J1993" s="28" t="s">
        <v>207</v>
      </c>
      <c r="K1993" s="28" t="s">
        <v>9635</v>
      </c>
      <c r="L1993" s="28" t="s">
        <v>9636</v>
      </c>
      <c r="M1993" s="28" t="s">
        <v>11382</v>
      </c>
      <c r="N1993" s="28" t="s">
        <v>9638</v>
      </c>
      <c r="O1993" s="28" t="s">
        <v>9639</v>
      </c>
      <c r="P1993" s="28" t="s">
        <v>11370</v>
      </c>
    </row>
    <row r="1994" spans="1:16" x14ac:dyDescent="0.25">
      <c r="A1994" s="28" t="s">
        <v>11383</v>
      </c>
      <c r="B1994" s="28" t="s">
        <v>11384</v>
      </c>
      <c r="C1994" s="28" t="s">
        <v>132</v>
      </c>
      <c r="D1994" s="28" t="s">
        <v>11356</v>
      </c>
      <c r="E1994" s="28" t="s">
        <v>11367</v>
      </c>
      <c r="F1994" s="28" t="s">
        <v>21</v>
      </c>
      <c r="G1994" s="28" t="s">
        <v>207</v>
      </c>
      <c r="H1994" s="28" t="s">
        <v>9633</v>
      </c>
      <c r="I1994" s="28" t="s">
        <v>11385</v>
      </c>
      <c r="J1994" s="28" t="s">
        <v>207</v>
      </c>
      <c r="K1994" s="28" t="s">
        <v>9635</v>
      </c>
      <c r="L1994" s="28" t="s">
        <v>9636</v>
      </c>
      <c r="M1994" s="28" t="s">
        <v>11386</v>
      </c>
      <c r="N1994" s="28" t="s">
        <v>9638</v>
      </c>
      <c r="O1994" s="28" t="s">
        <v>9639</v>
      </c>
      <c r="P1994" s="28" t="s">
        <v>11370</v>
      </c>
    </row>
    <row r="1995" spans="1:16" x14ac:dyDescent="0.25">
      <c r="A1995" s="28" t="s">
        <v>11387</v>
      </c>
      <c r="B1995" s="28" t="s">
        <v>11388</v>
      </c>
      <c r="C1995" s="28" t="s">
        <v>132</v>
      </c>
      <c r="D1995" s="28" t="s">
        <v>11356</v>
      </c>
      <c r="E1995" s="28" t="s">
        <v>11367</v>
      </c>
      <c r="F1995" s="28" t="s">
        <v>21</v>
      </c>
      <c r="G1995" s="28" t="s">
        <v>207</v>
      </c>
      <c r="H1995" s="28" t="s">
        <v>9633</v>
      </c>
      <c r="I1995" s="28" t="s">
        <v>11389</v>
      </c>
      <c r="J1995" s="28" t="s">
        <v>207</v>
      </c>
      <c r="K1995" s="28" t="s">
        <v>9635</v>
      </c>
      <c r="L1995" s="28" t="s">
        <v>9636</v>
      </c>
      <c r="M1995" s="28" t="s">
        <v>11390</v>
      </c>
      <c r="N1995" s="28" t="s">
        <v>9638</v>
      </c>
      <c r="O1995" s="28" t="s">
        <v>9639</v>
      </c>
      <c r="P1995" s="28" t="s">
        <v>11370</v>
      </c>
    </row>
    <row r="1996" spans="1:16" x14ac:dyDescent="0.25">
      <c r="A1996" s="28" t="s">
        <v>11391</v>
      </c>
      <c r="B1996" s="28" t="s">
        <v>11392</v>
      </c>
      <c r="C1996" s="28" t="s">
        <v>132</v>
      </c>
      <c r="D1996" s="28" t="s">
        <v>11356</v>
      </c>
      <c r="E1996" s="28" t="s">
        <v>11367</v>
      </c>
      <c r="F1996" s="28" t="s">
        <v>21</v>
      </c>
      <c r="G1996" s="28" t="s">
        <v>207</v>
      </c>
      <c r="H1996" s="28" t="s">
        <v>9633</v>
      </c>
      <c r="I1996" s="28" t="s">
        <v>11393</v>
      </c>
      <c r="J1996" s="28" t="s">
        <v>207</v>
      </c>
      <c r="K1996" s="28" t="s">
        <v>9635</v>
      </c>
      <c r="L1996" s="28" t="s">
        <v>9636</v>
      </c>
      <c r="M1996" s="28" t="s">
        <v>11394</v>
      </c>
      <c r="N1996" s="28" t="s">
        <v>9638</v>
      </c>
      <c r="O1996" s="28" t="s">
        <v>9639</v>
      </c>
      <c r="P1996" s="28" t="s">
        <v>11370</v>
      </c>
    </row>
    <row r="1997" spans="1:16" x14ac:dyDescent="0.25">
      <c r="A1997" s="28" t="s">
        <v>11395</v>
      </c>
      <c r="B1997" s="28" t="s">
        <v>11396</v>
      </c>
      <c r="C1997" s="28" t="s">
        <v>132</v>
      </c>
      <c r="D1997" s="28" t="s">
        <v>11356</v>
      </c>
      <c r="E1997" s="28" t="s">
        <v>11367</v>
      </c>
      <c r="F1997" s="28" t="s">
        <v>21</v>
      </c>
      <c r="G1997" s="28" t="s">
        <v>207</v>
      </c>
      <c r="H1997" s="28" t="s">
        <v>9633</v>
      </c>
      <c r="I1997" s="28" t="s">
        <v>11397</v>
      </c>
      <c r="J1997" s="28" t="s">
        <v>207</v>
      </c>
      <c r="K1997" s="28" t="s">
        <v>9635</v>
      </c>
      <c r="L1997" s="28" t="s">
        <v>9636</v>
      </c>
      <c r="M1997" s="28" t="s">
        <v>11398</v>
      </c>
      <c r="N1997" s="28" t="s">
        <v>9638</v>
      </c>
      <c r="O1997" s="28" t="s">
        <v>9639</v>
      </c>
      <c r="P1997" s="28" t="s">
        <v>11370</v>
      </c>
    </row>
    <row r="1998" spans="1:16" x14ac:dyDescent="0.25">
      <c r="A1998" s="28" t="s">
        <v>11399</v>
      </c>
      <c r="B1998" s="28" t="s">
        <v>11400</v>
      </c>
      <c r="C1998" s="28" t="s">
        <v>132</v>
      </c>
      <c r="D1998" s="28" t="s">
        <v>11356</v>
      </c>
      <c r="E1998" s="28" t="s">
        <v>11367</v>
      </c>
      <c r="F1998" s="28" t="s">
        <v>21</v>
      </c>
      <c r="G1998" s="28" t="s">
        <v>207</v>
      </c>
      <c r="H1998" s="28" t="s">
        <v>9633</v>
      </c>
      <c r="I1998" s="28" t="s">
        <v>11401</v>
      </c>
      <c r="J1998" s="28" t="s">
        <v>207</v>
      </c>
      <c r="K1998" s="28" t="s">
        <v>9635</v>
      </c>
      <c r="L1998" s="28" t="s">
        <v>9636</v>
      </c>
      <c r="M1998" s="28" t="s">
        <v>11402</v>
      </c>
      <c r="N1998" s="28" t="s">
        <v>9638</v>
      </c>
      <c r="O1998" s="28" t="s">
        <v>9639</v>
      </c>
      <c r="P1998" s="28" t="s">
        <v>11370</v>
      </c>
    </row>
    <row r="1999" spans="1:16" x14ac:dyDescent="0.25">
      <c r="A1999" s="28" t="s">
        <v>11403</v>
      </c>
      <c r="B1999" s="28" t="s">
        <v>11404</v>
      </c>
      <c r="C1999" s="28" t="s">
        <v>132</v>
      </c>
      <c r="D1999" s="28" t="s">
        <v>11356</v>
      </c>
      <c r="E1999" s="28" t="s">
        <v>11367</v>
      </c>
      <c r="F1999" s="28" t="s">
        <v>21</v>
      </c>
      <c r="G1999" s="28" t="s">
        <v>207</v>
      </c>
      <c r="H1999" s="28" t="s">
        <v>9633</v>
      </c>
      <c r="I1999" s="28" t="s">
        <v>11405</v>
      </c>
      <c r="J1999" s="28" t="s">
        <v>207</v>
      </c>
      <c r="K1999" s="28" t="s">
        <v>9635</v>
      </c>
      <c r="L1999" s="28" t="s">
        <v>9636</v>
      </c>
      <c r="M1999" s="28" t="s">
        <v>11406</v>
      </c>
      <c r="N1999" s="28" t="s">
        <v>9638</v>
      </c>
      <c r="O1999" s="28" t="s">
        <v>9639</v>
      </c>
      <c r="P1999" s="28" t="s">
        <v>11370</v>
      </c>
    </row>
    <row r="2000" spans="1:16" x14ac:dyDescent="0.25">
      <c r="A2000" s="28" t="s">
        <v>11407</v>
      </c>
      <c r="B2000" s="28" t="s">
        <v>11408</v>
      </c>
      <c r="C2000" s="28" t="s">
        <v>132</v>
      </c>
      <c r="D2000" s="28" t="s">
        <v>11356</v>
      </c>
      <c r="E2000" s="28" t="s">
        <v>11367</v>
      </c>
      <c r="F2000" s="28" t="s">
        <v>21</v>
      </c>
      <c r="G2000" s="28" t="s">
        <v>207</v>
      </c>
      <c r="H2000" s="28" t="s">
        <v>9633</v>
      </c>
      <c r="I2000" s="28" t="s">
        <v>11409</v>
      </c>
      <c r="J2000" s="28" t="s">
        <v>207</v>
      </c>
      <c r="K2000" s="28" t="s">
        <v>9635</v>
      </c>
      <c r="L2000" s="28" t="s">
        <v>9636</v>
      </c>
      <c r="M2000" s="28" t="s">
        <v>11410</v>
      </c>
      <c r="N2000" s="28" t="s">
        <v>9638</v>
      </c>
      <c r="O2000" s="28" t="s">
        <v>9639</v>
      </c>
      <c r="P2000" s="28" t="s">
        <v>11370</v>
      </c>
    </row>
    <row r="2001" spans="1:16" x14ac:dyDescent="0.25">
      <c r="A2001" s="28" t="s">
        <v>11411</v>
      </c>
      <c r="B2001" s="28" t="s">
        <v>11412</v>
      </c>
      <c r="C2001" s="28" t="s">
        <v>132</v>
      </c>
      <c r="D2001" s="28" t="s">
        <v>11356</v>
      </c>
      <c r="E2001" s="28" t="s">
        <v>11367</v>
      </c>
      <c r="F2001" s="28" t="s">
        <v>21</v>
      </c>
      <c r="G2001" s="28" t="s">
        <v>207</v>
      </c>
      <c r="H2001" s="28" t="s">
        <v>9633</v>
      </c>
      <c r="I2001" s="28" t="s">
        <v>11413</v>
      </c>
      <c r="J2001" s="28" t="s">
        <v>207</v>
      </c>
      <c r="K2001" s="28" t="s">
        <v>9635</v>
      </c>
      <c r="L2001" s="28" t="s">
        <v>9636</v>
      </c>
      <c r="M2001" s="28" t="s">
        <v>11414</v>
      </c>
      <c r="N2001" s="28" t="s">
        <v>9638</v>
      </c>
      <c r="O2001" s="28" t="s">
        <v>9639</v>
      </c>
      <c r="P2001" s="28" t="s">
        <v>11370</v>
      </c>
    </row>
    <row r="2002" spans="1:16" x14ac:dyDescent="0.25">
      <c r="A2002" s="28" t="s">
        <v>11415</v>
      </c>
      <c r="B2002" s="28" t="s">
        <v>11416</v>
      </c>
      <c r="C2002" s="28" t="s">
        <v>132</v>
      </c>
      <c r="D2002" s="28" t="s">
        <v>11356</v>
      </c>
      <c r="E2002" s="28" t="s">
        <v>11367</v>
      </c>
      <c r="F2002" s="28" t="s">
        <v>21</v>
      </c>
      <c r="G2002" s="28" t="s">
        <v>207</v>
      </c>
      <c r="H2002" s="28" t="s">
        <v>9633</v>
      </c>
      <c r="I2002" s="28" t="s">
        <v>11417</v>
      </c>
      <c r="J2002" s="28" t="s">
        <v>207</v>
      </c>
      <c r="K2002" s="28" t="s">
        <v>9635</v>
      </c>
      <c r="L2002" s="28" t="s">
        <v>9636</v>
      </c>
      <c r="M2002" s="28" t="s">
        <v>11418</v>
      </c>
      <c r="N2002" s="28" t="s">
        <v>9638</v>
      </c>
      <c r="O2002" s="28" t="s">
        <v>9639</v>
      </c>
      <c r="P2002" s="28" t="s">
        <v>11370</v>
      </c>
    </row>
    <row r="2003" spans="1:16" x14ac:dyDescent="0.25">
      <c r="A2003" s="28" t="s">
        <v>11419</v>
      </c>
      <c r="B2003" s="28" t="s">
        <v>11420</v>
      </c>
      <c r="C2003" s="28" t="s">
        <v>132</v>
      </c>
      <c r="D2003" s="28" t="s">
        <v>11356</v>
      </c>
      <c r="E2003" s="28" t="s">
        <v>11367</v>
      </c>
      <c r="F2003" s="28" t="s">
        <v>21</v>
      </c>
      <c r="G2003" s="28" t="s">
        <v>207</v>
      </c>
      <c r="H2003" s="28" t="s">
        <v>9633</v>
      </c>
      <c r="I2003" s="28" t="s">
        <v>11421</v>
      </c>
      <c r="J2003" s="28" t="s">
        <v>207</v>
      </c>
      <c r="K2003" s="28" t="s">
        <v>9635</v>
      </c>
      <c r="L2003" s="28" t="s">
        <v>9636</v>
      </c>
      <c r="M2003" s="28" t="s">
        <v>11422</v>
      </c>
      <c r="N2003" s="28" t="s">
        <v>9638</v>
      </c>
      <c r="O2003" s="28" t="s">
        <v>9639</v>
      </c>
      <c r="P2003" s="28" t="s">
        <v>11370</v>
      </c>
    </row>
    <row r="2004" spans="1:16" x14ac:dyDescent="0.25">
      <c r="A2004" s="28" t="s">
        <v>11423</v>
      </c>
      <c r="B2004" s="28" t="s">
        <v>11424</v>
      </c>
      <c r="C2004" s="28" t="s">
        <v>132</v>
      </c>
      <c r="D2004" s="28" t="s">
        <v>11356</v>
      </c>
      <c r="E2004" s="28" t="s">
        <v>11367</v>
      </c>
      <c r="F2004" s="28" t="s">
        <v>21</v>
      </c>
      <c r="G2004" s="28" t="s">
        <v>207</v>
      </c>
      <c r="H2004" s="28" t="s">
        <v>9633</v>
      </c>
      <c r="I2004" s="28" t="s">
        <v>11425</v>
      </c>
      <c r="J2004" s="28" t="s">
        <v>207</v>
      </c>
      <c r="K2004" s="28" t="s">
        <v>9635</v>
      </c>
      <c r="L2004" s="28" t="s">
        <v>9636</v>
      </c>
      <c r="M2004" s="28" t="s">
        <v>11426</v>
      </c>
      <c r="N2004" s="28" t="s">
        <v>9638</v>
      </c>
      <c r="O2004" s="28" t="s">
        <v>9639</v>
      </c>
      <c r="P2004" s="28" t="s">
        <v>11370</v>
      </c>
    </row>
    <row r="2005" spans="1:16" x14ac:dyDescent="0.25">
      <c r="A2005" s="28" t="s">
        <v>11427</v>
      </c>
      <c r="B2005" s="28" t="s">
        <v>11428</v>
      </c>
      <c r="C2005" s="28" t="s">
        <v>132</v>
      </c>
      <c r="D2005" s="28" t="s">
        <v>11356</v>
      </c>
      <c r="E2005" s="28" t="s">
        <v>11367</v>
      </c>
      <c r="F2005" s="28" t="s">
        <v>21</v>
      </c>
      <c r="G2005" s="28" t="s">
        <v>207</v>
      </c>
      <c r="H2005" s="28" t="s">
        <v>9633</v>
      </c>
      <c r="I2005" s="28" t="s">
        <v>11429</v>
      </c>
      <c r="J2005" s="28" t="s">
        <v>207</v>
      </c>
      <c r="K2005" s="28" t="s">
        <v>9635</v>
      </c>
      <c r="L2005" s="28" t="s">
        <v>9636</v>
      </c>
      <c r="M2005" s="28" t="s">
        <v>11430</v>
      </c>
      <c r="N2005" s="28" t="s">
        <v>9638</v>
      </c>
      <c r="O2005" s="28" t="s">
        <v>9639</v>
      </c>
      <c r="P2005" s="28" t="s">
        <v>11370</v>
      </c>
    </row>
    <row r="2006" spans="1:16" x14ac:dyDescent="0.25">
      <c r="A2006" s="28" t="s">
        <v>11431</v>
      </c>
      <c r="B2006" s="28" t="s">
        <v>11432</v>
      </c>
      <c r="C2006" s="28" t="s">
        <v>132</v>
      </c>
      <c r="D2006" s="28" t="s">
        <v>11356</v>
      </c>
      <c r="E2006" s="28" t="s">
        <v>11367</v>
      </c>
      <c r="F2006" s="28" t="s">
        <v>21</v>
      </c>
      <c r="G2006" s="28" t="s">
        <v>207</v>
      </c>
      <c r="H2006" s="28" t="s">
        <v>9633</v>
      </c>
      <c r="I2006" s="28" t="s">
        <v>11433</v>
      </c>
      <c r="J2006" s="28" t="s">
        <v>207</v>
      </c>
      <c r="K2006" s="28" t="s">
        <v>9635</v>
      </c>
      <c r="L2006" s="28" t="s">
        <v>9636</v>
      </c>
      <c r="M2006" s="28" t="s">
        <v>11434</v>
      </c>
      <c r="N2006" s="28" t="s">
        <v>9638</v>
      </c>
      <c r="O2006" s="28" t="s">
        <v>9639</v>
      </c>
      <c r="P2006" s="28" t="s">
        <v>11370</v>
      </c>
    </row>
    <row r="2007" spans="1:16" x14ac:dyDescent="0.25">
      <c r="A2007" s="28" t="s">
        <v>11435</v>
      </c>
      <c r="B2007" s="28" t="s">
        <v>11436</v>
      </c>
      <c r="C2007" s="28" t="s">
        <v>132</v>
      </c>
      <c r="D2007" s="28" t="s">
        <v>11356</v>
      </c>
      <c r="E2007" s="28" t="s">
        <v>11367</v>
      </c>
      <c r="F2007" s="28" t="s">
        <v>21</v>
      </c>
      <c r="G2007" s="28" t="s">
        <v>207</v>
      </c>
      <c r="H2007" s="28" t="s">
        <v>9633</v>
      </c>
      <c r="I2007" s="28" t="s">
        <v>11437</v>
      </c>
      <c r="J2007" s="28" t="s">
        <v>207</v>
      </c>
      <c r="K2007" s="28" t="s">
        <v>9635</v>
      </c>
      <c r="L2007" s="28" t="s">
        <v>9636</v>
      </c>
      <c r="M2007" s="28" t="s">
        <v>11438</v>
      </c>
      <c r="N2007" s="28" t="s">
        <v>9638</v>
      </c>
      <c r="O2007" s="28" t="s">
        <v>9639</v>
      </c>
      <c r="P2007" s="28" t="s">
        <v>11370</v>
      </c>
    </row>
    <row r="2008" spans="1:16" x14ac:dyDescent="0.25">
      <c r="A2008" s="28" t="s">
        <v>11439</v>
      </c>
      <c r="B2008" s="28" t="s">
        <v>11440</v>
      </c>
      <c r="C2008" s="28" t="s">
        <v>132</v>
      </c>
      <c r="D2008" s="28" t="s">
        <v>11356</v>
      </c>
      <c r="E2008" s="28" t="s">
        <v>11367</v>
      </c>
      <c r="F2008" s="28" t="s">
        <v>21</v>
      </c>
      <c r="G2008" s="28" t="s">
        <v>207</v>
      </c>
      <c r="H2008" s="28" t="s">
        <v>9633</v>
      </c>
      <c r="I2008" s="28" t="s">
        <v>11441</v>
      </c>
      <c r="J2008" s="28" t="s">
        <v>207</v>
      </c>
      <c r="K2008" s="28" t="s">
        <v>9635</v>
      </c>
      <c r="L2008" s="28" t="s">
        <v>9636</v>
      </c>
      <c r="M2008" s="28" t="s">
        <v>11442</v>
      </c>
      <c r="N2008" s="28" t="s">
        <v>9638</v>
      </c>
      <c r="O2008" s="28" t="s">
        <v>9639</v>
      </c>
      <c r="P2008" s="28" t="s">
        <v>11370</v>
      </c>
    </row>
    <row r="2009" spans="1:16" x14ac:dyDescent="0.25">
      <c r="A2009" s="28" t="s">
        <v>11443</v>
      </c>
      <c r="B2009" s="28" t="s">
        <v>11444</v>
      </c>
      <c r="C2009" s="28" t="s">
        <v>132</v>
      </c>
      <c r="D2009" s="28" t="s">
        <v>11356</v>
      </c>
      <c r="E2009" s="28" t="s">
        <v>11367</v>
      </c>
      <c r="F2009" s="28" t="s">
        <v>21</v>
      </c>
      <c r="G2009" s="28" t="s">
        <v>207</v>
      </c>
      <c r="H2009" s="28" t="s">
        <v>9633</v>
      </c>
      <c r="I2009" s="28" t="s">
        <v>11445</v>
      </c>
      <c r="J2009" s="28" t="s">
        <v>207</v>
      </c>
      <c r="K2009" s="28" t="s">
        <v>9635</v>
      </c>
      <c r="L2009" s="28" t="s">
        <v>9636</v>
      </c>
      <c r="M2009" s="28" t="s">
        <v>11446</v>
      </c>
      <c r="N2009" s="28" t="s">
        <v>9638</v>
      </c>
      <c r="O2009" s="28" t="s">
        <v>9639</v>
      </c>
      <c r="P2009" s="28" t="s">
        <v>11370</v>
      </c>
    </row>
    <row r="2010" spans="1:16" x14ac:dyDescent="0.25">
      <c r="A2010" s="28" t="s">
        <v>11447</v>
      </c>
      <c r="B2010" s="28" t="s">
        <v>11448</v>
      </c>
      <c r="C2010" s="28" t="s">
        <v>132</v>
      </c>
      <c r="D2010" s="28" t="s">
        <v>11356</v>
      </c>
      <c r="E2010" s="28" t="s">
        <v>11367</v>
      </c>
      <c r="F2010" s="28" t="s">
        <v>21</v>
      </c>
      <c r="G2010" s="28" t="s">
        <v>207</v>
      </c>
      <c r="H2010" s="28" t="s">
        <v>9633</v>
      </c>
      <c r="I2010" s="28" t="s">
        <v>11449</v>
      </c>
      <c r="J2010" s="28" t="s">
        <v>207</v>
      </c>
      <c r="K2010" s="28" t="s">
        <v>9635</v>
      </c>
      <c r="L2010" s="28" t="s">
        <v>9636</v>
      </c>
      <c r="M2010" s="28" t="s">
        <v>11450</v>
      </c>
      <c r="N2010" s="28" t="s">
        <v>9638</v>
      </c>
      <c r="O2010" s="28" t="s">
        <v>9639</v>
      </c>
      <c r="P2010" s="28" t="s">
        <v>11370</v>
      </c>
    </row>
    <row r="2011" spans="1:16" x14ac:dyDescent="0.25">
      <c r="A2011" s="28" t="s">
        <v>11451</v>
      </c>
      <c r="B2011" s="28" t="s">
        <v>11452</v>
      </c>
      <c r="C2011" s="28" t="s">
        <v>132</v>
      </c>
      <c r="D2011" s="28" t="s">
        <v>11356</v>
      </c>
      <c r="E2011" s="28" t="s">
        <v>11367</v>
      </c>
      <c r="F2011" s="28" t="s">
        <v>21</v>
      </c>
      <c r="G2011" s="28" t="s">
        <v>207</v>
      </c>
      <c r="H2011" s="28" t="s">
        <v>9633</v>
      </c>
      <c r="I2011" s="28" t="s">
        <v>11453</v>
      </c>
      <c r="J2011" s="28" t="s">
        <v>207</v>
      </c>
      <c r="K2011" s="28" t="s">
        <v>9635</v>
      </c>
      <c r="L2011" s="28" t="s">
        <v>9636</v>
      </c>
      <c r="M2011" s="28" t="s">
        <v>11454</v>
      </c>
      <c r="N2011" s="28" t="s">
        <v>9638</v>
      </c>
      <c r="O2011" s="28" t="s">
        <v>9639</v>
      </c>
      <c r="P2011" s="28" t="s">
        <v>11370</v>
      </c>
    </row>
    <row r="2012" spans="1:16" x14ac:dyDescent="0.25">
      <c r="A2012" s="28" t="s">
        <v>11455</v>
      </c>
      <c r="B2012" s="28" t="s">
        <v>11456</v>
      </c>
      <c r="C2012" s="28" t="s">
        <v>132</v>
      </c>
      <c r="D2012" s="28" t="s">
        <v>11356</v>
      </c>
      <c r="E2012" s="28" t="s">
        <v>11367</v>
      </c>
      <c r="F2012" s="28" t="s">
        <v>21</v>
      </c>
      <c r="G2012" s="28" t="s">
        <v>207</v>
      </c>
      <c r="H2012" s="28" t="s">
        <v>9633</v>
      </c>
      <c r="I2012" s="28" t="s">
        <v>11457</v>
      </c>
      <c r="J2012" s="28" t="s">
        <v>207</v>
      </c>
      <c r="K2012" s="28" t="s">
        <v>9635</v>
      </c>
      <c r="L2012" s="28" t="s">
        <v>9636</v>
      </c>
      <c r="M2012" s="28" t="s">
        <v>11458</v>
      </c>
      <c r="N2012" s="28" t="s">
        <v>9638</v>
      </c>
      <c r="O2012" s="28" t="s">
        <v>9639</v>
      </c>
      <c r="P2012" s="28" t="s">
        <v>11370</v>
      </c>
    </row>
    <row r="2013" spans="1:16" x14ac:dyDescent="0.25">
      <c r="A2013" s="28" t="s">
        <v>11459</v>
      </c>
      <c r="B2013" s="28" t="s">
        <v>11460</v>
      </c>
      <c r="C2013" s="28" t="s">
        <v>132</v>
      </c>
      <c r="D2013" s="28" t="s">
        <v>11356</v>
      </c>
      <c r="E2013" s="28" t="s">
        <v>11461</v>
      </c>
      <c r="F2013" s="28" t="s">
        <v>21</v>
      </c>
      <c r="G2013" s="28" t="s">
        <v>207</v>
      </c>
      <c r="H2013" s="28" t="s">
        <v>9633</v>
      </c>
      <c r="I2013" s="28" t="s">
        <v>11462</v>
      </c>
      <c r="J2013" s="28" t="s">
        <v>207</v>
      </c>
      <c r="K2013" s="28" t="s">
        <v>9635</v>
      </c>
      <c r="L2013" s="28" t="s">
        <v>9636</v>
      </c>
      <c r="M2013" s="28" t="s">
        <v>11463</v>
      </c>
      <c r="N2013" s="28" t="s">
        <v>9638</v>
      </c>
      <c r="O2013" s="28" t="s">
        <v>9639</v>
      </c>
      <c r="P2013" s="28" t="s">
        <v>11464</v>
      </c>
    </row>
    <row r="2014" spans="1:16" x14ac:dyDescent="0.25">
      <c r="A2014" s="28" t="s">
        <v>11465</v>
      </c>
      <c r="B2014" s="28" t="s">
        <v>11466</v>
      </c>
      <c r="C2014" s="28" t="s">
        <v>132</v>
      </c>
      <c r="D2014" s="28" t="s">
        <v>11356</v>
      </c>
      <c r="E2014" s="28" t="s">
        <v>11461</v>
      </c>
      <c r="F2014" s="28" t="s">
        <v>21</v>
      </c>
      <c r="G2014" s="28" t="s">
        <v>207</v>
      </c>
      <c r="H2014" s="28" t="s">
        <v>9633</v>
      </c>
      <c r="I2014" s="28" t="s">
        <v>11467</v>
      </c>
      <c r="J2014" s="28" t="s">
        <v>207</v>
      </c>
      <c r="K2014" s="28" t="s">
        <v>9635</v>
      </c>
      <c r="L2014" s="28" t="s">
        <v>9636</v>
      </c>
      <c r="M2014" s="28" t="s">
        <v>11468</v>
      </c>
      <c r="N2014" s="28" t="s">
        <v>9638</v>
      </c>
      <c r="O2014" s="28" t="s">
        <v>9639</v>
      </c>
      <c r="P2014" s="28" t="s">
        <v>11464</v>
      </c>
    </row>
    <row r="2015" spans="1:16" x14ac:dyDescent="0.25">
      <c r="A2015" s="28" t="s">
        <v>11469</v>
      </c>
      <c r="B2015" s="28" t="s">
        <v>11470</v>
      </c>
      <c r="C2015" s="28" t="s">
        <v>132</v>
      </c>
      <c r="D2015" s="28" t="s">
        <v>11356</v>
      </c>
      <c r="E2015" s="28" t="s">
        <v>11461</v>
      </c>
      <c r="F2015" s="28" t="s">
        <v>21</v>
      </c>
      <c r="G2015" s="28" t="s">
        <v>207</v>
      </c>
      <c r="H2015" s="28" t="s">
        <v>9633</v>
      </c>
      <c r="I2015" s="28" t="s">
        <v>11471</v>
      </c>
      <c r="J2015" s="28" t="s">
        <v>207</v>
      </c>
      <c r="K2015" s="28" t="s">
        <v>9635</v>
      </c>
      <c r="L2015" s="28" t="s">
        <v>9636</v>
      </c>
      <c r="M2015" s="28" t="s">
        <v>11472</v>
      </c>
      <c r="N2015" s="28" t="s">
        <v>9638</v>
      </c>
      <c r="O2015" s="28" t="s">
        <v>9639</v>
      </c>
      <c r="P2015" s="28" t="s">
        <v>11464</v>
      </c>
    </row>
    <row r="2016" spans="1:16" x14ac:dyDescent="0.25">
      <c r="A2016" s="28" t="s">
        <v>11473</v>
      </c>
      <c r="B2016" s="28" t="s">
        <v>11474</v>
      </c>
      <c r="C2016" s="28" t="s">
        <v>132</v>
      </c>
      <c r="D2016" s="28" t="s">
        <v>11356</v>
      </c>
      <c r="E2016" s="28" t="s">
        <v>11461</v>
      </c>
      <c r="F2016" s="28" t="s">
        <v>21</v>
      </c>
      <c r="G2016" s="28" t="s">
        <v>207</v>
      </c>
      <c r="H2016" s="28" t="s">
        <v>9633</v>
      </c>
      <c r="I2016" s="28" t="s">
        <v>11475</v>
      </c>
      <c r="J2016" s="28" t="s">
        <v>207</v>
      </c>
      <c r="K2016" s="28" t="s">
        <v>9635</v>
      </c>
      <c r="L2016" s="28" t="s">
        <v>9636</v>
      </c>
      <c r="M2016" s="28" t="s">
        <v>11476</v>
      </c>
      <c r="N2016" s="28" t="s">
        <v>9638</v>
      </c>
      <c r="O2016" s="28" t="s">
        <v>9639</v>
      </c>
      <c r="P2016" s="28" t="s">
        <v>11464</v>
      </c>
    </row>
    <row r="2017" spans="1:16" x14ac:dyDescent="0.25">
      <c r="A2017" s="28" t="s">
        <v>11477</v>
      </c>
      <c r="B2017" s="28" t="s">
        <v>11478</v>
      </c>
      <c r="C2017" s="28" t="s">
        <v>132</v>
      </c>
      <c r="D2017" s="28" t="s">
        <v>11356</v>
      </c>
      <c r="E2017" s="28" t="s">
        <v>11461</v>
      </c>
      <c r="F2017" s="28" t="s">
        <v>21</v>
      </c>
      <c r="G2017" s="28" t="s">
        <v>207</v>
      </c>
      <c r="H2017" s="28" t="s">
        <v>9633</v>
      </c>
      <c r="I2017" s="28" t="s">
        <v>11479</v>
      </c>
      <c r="J2017" s="28" t="s">
        <v>207</v>
      </c>
      <c r="K2017" s="28" t="s">
        <v>9635</v>
      </c>
      <c r="L2017" s="28" t="s">
        <v>9636</v>
      </c>
      <c r="M2017" s="28" t="s">
        <v>11480</v>
      </c>
      <c r="N2017" s="28" t="s">
        <v>9638</v>
      </c>
      <c r="O2017" s="28" t="s">
        <v>9639</v>
      </c>
      <c r="P2017" s="28" t="s">
        <v>11464</v>
      </c>
    </row>
    <row r="2018" spans="1:16" x14ac:dyDescent="0.25">
      <c r="A2018" s="28" t="s">
        <v>11481</v>
      </c>
      <c r="B2018" s="28" t="s">
        <v>11482</v>
      </c>
      <c r="C2018" s="28" t="s">
        <v>132</v>
      </c>
      <c r="D2018" s="28" t="s">
        <v>11356</v>
      </c>
      <c r="E2018" s="28" t="s">
        <v>11461</v>
      </c>
      <c r="F2018" s="28" t="s">
        <v>21</v>
      </c>
      <c r="G2018" s="28" t="s">
        <v>207</v>
      </c>
      <c r="H2018" s="28" t="s">
        <v>9633</v>
      </c>
      <c r="I2018" s="28" t="s">
        <v>11483</v>
      </c>
      <c r="J2018" s="28" t="s">
        <v>207</v>
      </c>
      <c r="K2018" s="28" t="s">
        <v>9635</v>
      </c>
      <c r="L2018" s="28" t="s">
        <v>9636</v>
      </c>
      <c r="M2018" s="28" t="s">
        <v>11484</v>
      </c>
      <c r="N2018" s="28" t="s">
        <v>9638</v>
      </c>
      <c r="O2018" s="28" t="s">
        <v>9639</v>
      </c>
      <c r="P2018" s="28" t="s">
        <v>11464</v>
      </c>
    </row>
    <row r="2019" spans="1:16" x14ac:dyDescent="0.25">
      <c r="A2019" s="28" t="s">
        <v>11485</v>
      </c>
      <c r="B2019" s="28" t="s">
        <v>11486</v>
      </c>
      <c r="C2019" s="28" t="s">
        <v>132</v>
      </c>
      <c r="D2019" s="28" t="s">
        <v>11356</v>
      </c>
      <c r="E2019" s="28" t="s">
        <v>11461</v>
      </c>
      <c r="F2019" s="28" t="s">
        <v>21</v>
      </c>
      <c r="G2019" s="28" t="s">
        <v>207</v>
      </c>
      <c r="H2019" s="28" t="s">
        <v>9633</v>
      </c>
      <c r="I2019" s="28" t="s">
        <v>11487</v>
      </c>
      <c r="J2019" s="28" t="s">
        <v>207</v>
      </c>
      <c r="K2019" s="28" t="s">
        <v>9635</v>
      </c>
      <c r="L2019" s="28" t="s">
        <v>9636</v>
      </c>
      <c r="M2019" s="28" t="s">
        <v>11488</v>
      </c>
      <c r="N2019" s="28" t="s">
        <v>9638</v>
      </c>
      <c r="O2019" s="28" t="s">
        <v>9639</v>
      </c>
      <c r="P2019" s="28" t="s">
        <v>11464</v>
      </c>
    </row>
    <row r="2020" spans="1:16" x14ac:dyDescent="0.25">
      <c r="A2020" s="28" t="s">
        <v>11489</v>
      </c>
      <c r="B2020" s="28" t="s">
        <v>11490</v>
      </c>
      <c r="C2020" s="28" t="s">
        <v>132</v>
      </c>
      <c r="D2020" s="28" t="s">
        <v>11356</v>
      </c>
      <c r="E2020" s="28" t="s">
        <v>11461</v>
      </c>
      <c r="F2020" s="28" t="s">
        <v>21</v>
      </c>
      <c r="G2020" s="28" t="s">
        <v>207</v>
      </c>
      <c r="H2020" s="28" t="s">
        <v>9633</v>
      </c>
      <c r="I2020" s="28" t="s">
        <v>11491</v>
      </c>
      <c r="J2020" s="28" t="s">
        <v>207</v>
      </c>
      <c r="K2020" s="28" t="s">
        <v>9635</v>
      </c>
      <c r="L2020" s="28" t="s">
        <v>9636</v>
      </c>
      <c r="M2020" s="28" t="s">
        <v>11492</v>
      </c>
      <c r="N2020" s="28" t="s">
        <v>9638</v>
      </c>
      <c r="O2020" s="28" t="s">
        <v>9639</v>
      </c>
      <c r="P2020" s="28" t="s">
        <v>11464</v>
      </c>
    </row>
    <row r="2021" spans="1:16" x14ac:dyDescent="0.25">
      <c r="A2021" s="28" t="s">
        <v>11493</v>
      </c>
      <c r="B2021" s="28" t="s">
        <v>11494</v>
      </c>
      <c r="C2021" s="28" t="s">
        <v>132</v>
      </c>
      <c r="D2021" s="28" t="s">
        <v>11356</v>
      </c>
      <c r="E2021" s="28" t="s">
        <v>11461</v>
      </c>
      <c r="F2021" s="28" t="s">
        <v>21</v>
      </c>
      <c r="G2021" s="28" t="s">
        <v>207</v>
      </c>
      <c r="H2021" s="28" t="s">
        <v>9633</v>
      </c>
      <c r="I2021" s="28" t="s">
        <v>11495</v>
      </c>
      <c r="J2021" s="28" t="s">
        <v>207</v>
      </c>
      <c r="K2021" s="28" t="s">
        <v>9635</v>
      </c>
      <c r="L2021" s="28" t="s">
        <v>9636</v>
      </c>
      <c r="M2021" s="28" t="s">
        <v>11496</v>
      </c>
      <c r="N2021" s="28" t="s">
        <v>9638</v>
      </c>
      <c r="O2021" s="28" t="s">
        <v>9639</v>
      </c>
      <c r="P2021" s="28" t="s">
        <v>11464</v>
      </c>
    </row>
    <row r="2022" spans="1:16" x14ac:dyDescent="0.25">
      <c r="A2022" s="28" t="s">
        <v>11497</v>
      </c>
      <c r="B2022" s="28" t="s">
        <v>11498</v>
      </c>
      <c r="C2022" s="28" t="s">
        <v>132</v>
      </c>
      <c r="D2022" s="28" t="s">
        <v>11356</v>
      </c>
      <c r="E2022" s="28" t="s">
        <v>11461</v>
      </c>
      <c r="F2022" s="28" t="s">
        <v>21</v>
      </c>
      <c r="G2022" s="28" t="s">
        <v>207</v>
      </c>
      <c r="H2022" s="28" t="s">
        <v>9633</v>
      </c>
      <c r="I2022" s="28" t="s">
        <v>11499</v>
      </c>
      <c r="J2022" s="28" t="s">
        <v>207</v>
      </c>
      <c r="K2022" s="28" t="s">
        <v>9635</v>
      </c>
      <c r="L2022" s="28" t="s">
        <v>9636</v>
      </c>
      <c r="M2022" s="28" t="s">
        <v>11500</v>
      </c>
      <c r="N2022" s="28" t="s">
        <v>9638</v>
      </c>
      <c r="O2022" s="28" t="s">
        <v>9639</v>
      </c>
      <c r="P2022" s="28" t="s">
        <v>11464</v>
      </c>
    </row>
    <row r="2023" spans="1:16" x14ac:dyDescent="0.25">
      <c r="A2023" s="28" t="s">
        <v>11501</v>
      </c>
      <c r="B2023" s="28" t="s">
        <v>11502</v>
      </c>
      <c r="C2023" s="28" t="s">
        <v>132</v>
      </c>
      <c r="D2023" s="28" t="s">
        <v>11356</v>
      </c>
      <c r="E2023" s="28" t="s">
        <v>11461</v>
      </c>
      <c r="F2023" s="28" t="s">
        <v>21</v>
      </c>
      <c r="G2023" s="28" t="s">
        <v>207</v>
      </c>
      <c r="H2023" s="28" t="s">
        <v>9633</v>
      </c>
      <c r="I2023" s="28" t="s">
        <v>11503</v>
      </c>
      <c r="J2023" s="28" t="s">
        <v>207</v>
      </c>
      <c r="K2023" s="28" t="s">
        <v>9635</v>
      </c>
      <c r="L2023" s="28" t="s">
        <v>9636</v>
      </c>
      <c r="M2023" s="28" t="s">
        <v>11504</v>
      </c>
      <c r="N2023" s="28" t="s">
        <v>9638</v>
      </c>
      <c r="O2023" s="28" t="s">
        <v>9639</v>
      </c>
      <c r="P2023" s="28" t="s">
        <v>11464</v>
      </c>
    </row>
    <row r="2024" spans="1:16" x14ac:dyDescent="0.25">
      <c r="A2024" s="28" t="s">
        <v>11505</v>
      </c>
      <c r="B2024" s="28" t="s">
        <v>11506</v>
      </c>
      <c r="C2024" s="28" t="s">
        <v>132</v>
      </c>
      <c r="D2024" s="28" t="s">
        <v>11356</v>
      </c>
      <c r="E2024" s="28" t="s">
        <v>11461</v>
      </c>
      <c r="F2024" s="28" t="s">
        <v>21</v>
      </c>
      <c r="G2024" s="28" t="s">
        <v>207</v>
      </c>
      <c r="H2024" s="28" t="s">
        <v>9633</v>
      </c>
      <c r="I2024" s="28" t="s">
        <v>11507</v>
      </c>
      <c r="J2024" s="28" t="s">
        <v>207</v>
      </c>
      <c r="K2024" s="28" t="s">
        <v>9635</v>
      </c>
      <c r="L2024" s="28" t="s">
        <v>9636</v>
      </c>
      <c r="M2024" s="28" t="s">
        <v>11508</v>
      </c>
      <c r="N2024" s="28" t="s">
        <v>9638</v>
      </c>
      <c r="O2024" s="28" t="s">
        <v>9639</v>
      </c>
      <c r="P2024" s="28" t="s">
        <v>11464</v>
      </c>
    </row>
    <row r="2025" spans="1:16" x14ac:dyDescent="0.25">
      <c r="A2025" s="28" t="s">
        <v>11509</v>
      </c>
      <c r="B2025" s="28" t="s">
        <v>11510</v>
      </c>
      <c r="C2025" s="28" t="s">
        <v>132</v>
      </c>
      <c r="D2025" s="28" t="s">
        <v>11356</v>
      </c>
      <c r="E2025" s="28" t="s">
        <v>11461</v>
      </c>
      <c r="F2025" s="28" t="s">
        <v>21</v>
      </c>
      <c r="G2025" s="28" t="s">
        <v>207</v>
      </c>
      <c r="H2025" s="28" t="s">
        <v>9633</v>
      </c>
      <c r="I2025" s="28" t="s">
        <v>11511</v>
      </c>
      <c r="J2025" s="28" t="s">
        <v>207</v>
      </c>
      <c r="K2025" s="28" t="s">
        <v>9635</v>
      </c>
      <c r="L2025" s="28" t="s">
        <v>9636</v>
      </c>
      <c r="M2025" s="28" t="s">
        <v>11512</v>
      </c>
      <c r="N2025" s="28" t="s">
        <v>9638</v>
      </c>
      <c r="O2025" s="28" t="s">
        <v>9639</v>
      </c>
      <c r="P2025" s="28" t="s">
        <v>11464</v>
      </c>
    </row>
    <row r="2026" spans="1:16" x14ac:dyDescent="0.25">
      <c r="A2026" s="28" t="s">
        <v>11513</v>
      </c>
      <c r="B2026" s="28" t="s">
        <v>11514</v>
      </c>
      <c r="C2026" s="28" t="s">
        <v>132</v>
      </c>
      <c r="D2026" s="28" t="s">
        <v>11356</v>
      </c>
      <c r="E2026" s="28" t="s">
        <v>11461</v>
      </c>
      <c r="F2026" s="28" t="s">
        <v>21</v>
      </c>
      <c r="G2026" s="28" t="s">
        <v>207</v>
      </c>
      <c r="H2026" s="28" t="s">
        <v>9633</v>
      </c>
      <c r="I2026" s="28" t="s">
        <v>11515</v>
      </c>
      <c r="J2026" s="28" t="s">
        <v>207</v>
      </c>
      <c r="K2026" s="28" t="s">
        <v>9635</v>
      </c>
      <c r="L2026" s="28" t="s">
        <v>9636</v>
      </c>
      <c r="M2026" s="28" t="s">
        <v>11516</v>
      </c>
      <c r="N2026" s="28" t="s">
        <v>9638</v>
      </c>
      <c r="O2026" s="28" t="s">
        <v>9639</v>
      </c>
      <c r="P2026" s="28" t="s">
        <v>11464</v>
      </c>
    </row>
    <row r="2027" spans="1:16" x14ac:dyDescent="0.25">
      <c r="A2027" s="28" t="s">
        <v>11517</v>
      </c>
      <c r="B2027" s="28" t="s">
        <v>11518</v>
      </c>
      <c r="C2027" s="28" t="s">
        <v>132</v>
      </c>
      <c r="D2027" s="28" t="s">
        <v>11356</v>
      </c>
      <c r="E2027" s="28" t="s">
        <v>11461</v>
      </c>
      <c r="F2027" s="28" t="s">
        <v>21</v>
      </c>
      <c r="G2027" s="28" t="s">
        <v>207</v>
      </c>
      <c r="H2027" s="28" t="s">
        <v>9633</v>
      </c>
      <c r="I2027" s="28" t="s">
        <v>11519</v>
      </c>
      <c r="J2027" s="28" t="s">
        <v>207</v>
      </c>
      <c r="K2027" s="28" t="s">
        <v>9635</v>
      </c>
      <c r="L2027" s="28" t="s">
        <v>9636</v>
      </c>
      <c r="M2027" s="28" t="s">
        <v>11520</v>
      </c>
      <c r="N2027" s="28" t="s">
        <v>9638</v>
      </c>
      <c r="O2027" s="28" t="s">
        <v>9639</v>
      </c>
      <c r="P2027" s="28" t="s">
        <v>11464</v>
      </c>
    </row>
    <row r="2028" spans="1:16" x14ac:dyDescent="0.25">
      <c r="A2028" s="28" t="s">
        <v>11521</v>
      </c>
      <c r="B2028" s="28" t="s">
        <v>11522</v>
      </c>
      <c r="C2028" s="28" t="s">
        <v>132</v>
      </c>
      <c r="D2028" s="28" t="s">
        <v>11356</v>
      </c>
      <c r="E2028" s="28" t="s">
        <v>11461</v>
      </c>
      <c r="F2028" s="28" t="s">
        <v>21</v>
      </c>
      <c r="G2028" s="28" t="s">
        <v>207</v>
      </c>
      <c r="H2028" s="28" t="s">
        <v>9633</v>
      </c>
      <c r="I2028" s="28" t="s">
        <v>11523</v>
      </c>
      <c r="J2028" s="28" t="s">
        <v>207</v>
      </c>
      <c r="K2028" s="28" t="s">
        <v>9635</v>
      </c>
      <c r="L2028" s="28" t="s">
        <v>9636</v>
      </c>
      <c r="M2028" s="28" t="s">
        <v>11524</v>
      </c>
      <c r="N2028" s="28" t="s">
        <v>9638</v>
      </c>
      <c r="O2028" s="28" t="s">
        <v>9639</v>
      </c>
      <c r="P2028" s="28" t="s">
        <v>11464</v>
      </c>
    </row>
    <row r="2029" spans="1:16" x14ac:dyDescent="0.25">
      <c r="A2029" s="28" t="s">
        <v>11525</v>
      </c>
      <c r="B2029" s="28" t="s">
        <v>11526</v>
      </c>
      <c r="C2029" s="28" t="s">
        <v>132</v>
      </c>
      <c r="D2029" s="28" t="s">
        <v>11356</v>
      </c>
      <c r="E2029" s="28" t="s">
        <v>11461</v>
      </c>
      <c r="F2029" s="28" t="s">
        <v>21</v>
      </c>
      <c r="G2029" s="28" t="s">
        <v>207</v>
      </c>
      <c r="H2029" s="28" t="s">
        <v>9633</v>
      </c>
      <c r="I2029" s="28" t="s">
        <v>11527</v>
      </c>
      <c r="J2029" s="28" t="s">
        <v>207</v>
      </c>
      <c r="K2029" s="28" t="s">
        <v>9635</v>
      </c>
      <c r="L2029" s="28" t="s">
        <v>9636</v>
      </c>
      <c r="M2029" s="28" t="s">
        <v>11528</v>
      </c>
      <c r="N2029" s="28" t="s">
        <v>9638</v>
      </c>
      <c r="O2029" s="28" t="s">
        <v>9639</v>
      </c>
      <c r="P2029" s="28" t="s">
        <v>11464</v>
      </c>
    </row>
    <row r="2030" spans="1:16" x14ac:dyDescent="0.25">
      <c r="A2030" s="28" t="s">
        <v>11529</v>
      </c>
      <c r="B2030" s="28" t="s">
        <v>11530</v>
      </c>
      <c r="C2030" s="28" t="s">
        <v>132</v>
      </c>
      <c r="D2030" s="28" t="s">
        <v>11356</v>
      </c>
      <c r="E2030" s="28" t="s">
        <v>11461</v>
      </c>
      <c r="F2030" s="28" t="s">
        <v>21</v>
      </c>
      <c r="G2030" s="28" t="s">
        <v>207</v>
      </c>
      <c r="H2030" s="28" t="s">
        <v>9633</v>
      </c>
      <c r="I2030" s="28" t="s">
        <v>11531</v>
      </c>
      <c r="J2030" s="28" t="s">
        <v>207</v>
      </c>
      <c r="K2030" s="28" t="s">
        <v>9635</v>
      </c>
      <c r="L2030" s="28" t="s">
        <v>9636</v>
      </c>
      <c r="M2030" s="28" t="s">
        <v>11532</v>
      </c>
      <c r="N2030" s="28" t="s">
        <v>9638</v>
      </c>
      <c r="O2030" s="28" t="s">
        <v>9639</v>
      </c>
      <c r="P2030" s="28" t="s">
        <v>11464</v>
      </c>
    </row>
    <row r="2031" spans="1:16" x14ac:dyDescent="0.25">
      <c r="A2031" s="28" t="s">
        <v>11533</v>
      </c>
      <c r="B2031" s="28" t="s">
        <v>11534</v>
      </c>
      <c r="C2031" s="28" t="s">
        <v>132</v>
      </c>
      <c r="D2031" s="28" t="s">
        <v>11356</v>
      </c>
      <c r="E2031" s="28" t="s">
        <v>11461</v>
      </c>
      <c r="F2031" s="28" t="s">
        <v>21</v>
      </c>
      <c r="G2031" s="28" t="s">
        <v>207</v>
      </c>
      <c r="H2031" s="28" t="s">
        <v>9633</v>
      </c>
      <c r="I2031" s="28" t="s">
        <v>11535</v>
      </c>
      <c r="J2031" s="28" t="s">
        <v>207</v>
      </c>
      <c r="K2031" s="28" t="s">
        <v>9635</v>
      </c>
      <c r="L2031" s="28" t="s">
        <v>9636</v>
      </c>
      <c r="M2031" s="28" t="s">
        <v>11536</v>
      </c>
      <c r="N2031" s="28" t="s">
        <v>9638</v>
      </c>
      <c r="O2031" s="28" t="s">
        <v>9639</v>
      </c>
      <c r="P2031" s="28" t="s">
        <v>11464</v>
      </c>
    </row>
    <row r="2032" spans="1:16" x14ac:dyDescent="0.25">
      <c r="A2032" s="28" t="s">
        <v>11537</v>
      </c>
      <c r="B2032" s="28" t="s">
        <v>11538</v>
      </c>
      <c r="C2032" s="28" t="s">
        <v>132</v>
      </c>
      <c r="D2032" s="28" t="s">
        <v>11356</v>
      </c>
      <c r="E2032" s="28" t="s">
        <v>11461</v>
      </c>
      <c r="F2032" s="28" t="s">
        <v>21</v>
      </c>
      <c r="G2032" s="28" t="s">
        <v>207</v>
      </c>
      <c r="H2032" s="28" t="s">
        <v>9633</v>
      </c>
      <c r="I2032" s="28" t="s">
        <v>11539</v>
      </c>
      <c r="J2032" s="28" t="s">
        <v>207</v>
      </c>
      <c r="K2032" s="28" t="s">
        <v>9635</v>
      </c>
      <c r="L2032" s="28" t="s">
        <v>9636</v>
      </c>
      <c r="M2032" s="28" t="s">
        <v>11540</v>
      </c>
      <c r="N2032" s="28" t="s">
        <v>9638</v>
      </c>
      <c r="O2032" s="28" t="s">
        <v>9639</v>
      </c>
      <c r="P2032" s="28" t="s">
        <v>11464</v>
      </c>
    </row>
    <row r="2033" spans="1:16" x14ac:dyDescent="0.25">
      <c r="A2033" s="28" t="s">
        <v>11541</v>
      </c>
      <c r="B2033" s="28" t="s">
        <v>11542</v>
      </c>
      <c r="C2033" s="28" t="s">
        <v>132</v>
      </c>
      <c r="D2033" s="28" t="s">
        <v>11356</v>
      </c>
      <c r="E2033" s="28" t="s">
        <v>11461</v>
      </c>
      <c r="F2033" s="28" t="s">
        <v>21</v>
      </c>
      <c r="G2033" s="28" t="s">
        <v>207</v>
      </c>
      <c r="H2033" s="28" t="s">
        <v>9633</v>
      </c>
      <c r="I2033" s="28" t="s">
        <v>11543</v>
      </c>
      <c r="J2033" s="28" t="s">
        <v>207</v>
      </c>
      <c r="K2033" s="28" t="s">
        <v>9635</v>
      </c>
      <c r="L2033" s="28" t="s">
        <v>9636</v>
      </c>
      <c r="M2033" s="28" t="s">
        <v>11544</v>
      </c>
      <c r="N2033" s="28" t="s">
        <v>9638</v>
      </c>
      <c r="O2033" s="28" t="s">
        <v>9639</v>
      </c>
      <c r="P2033" s="28" t="s">
        <v>11464</v>
      </c>
    </row>
    <row r="2034" spans="1:16" x14ac:dyDescent="0.25">
      <c r="A2034" s="28" t="s">
        <v>11545</v>
      </c>
      <c r="B2034" s="28" t="s">
        <v>11546</v>
      </c>
      <c r="C2034" s="28" t="s">
        <v>132</v>
      </c>
      <c r="D2034" s="28" t="s">
        <v>11356</v>
      </c>
      <c r="E2034" s="28" t="s">
        <v>11461</v>
      </c>
      <c r="F2034" s="28" t="s">
        <v>21</v>
      </c>
      <c r="G2034" s="28" t="s">
        <v>207</v>
      </c>
      <c r="H2034" s="28" t="s">
        <v>9633</v>
      </c>
      <c r="I2034" s="28" t="s">
        <v>11547</v>
      </c>
      <c r="J2034" s="28" t="s">
        <v>207</v>
      </c>
      <c r="K2034" s="28" t="s">
        <v>9635</v>
      </c>
      <c r="L2034" s="28" t="s">
        <v>9636</v>
      </c>
      <c r="M2034" s="28" t="s">
        <v>11548</v>
      </c>
      <c r="N2034" s="28" t="s">
        <v>9638</v>
      </c>
      <c r="O2034" s="28" t="s">
        <v>9639</v>
      </c>
      <c r="P2034" s="28" t="s">
        <v>11464</v>
      </c>
    </row>
    <row r="2035" spans="1:16" x14ac:dyDescent="0.25">
      <c r="A2035" s="28" t="s">
        <v>11549</v>
      </c>
      <c r="B2035" s="28" t="s">
        <v>11550</v>
      </c>
      <c r="C2035" s="28" t="s">
        <v>132</v>
      </c>
      <c r="D2035" s="28" t="s">
        <v>11356</v>
      </c>
      <c r="E2035" s="28" t="s">
        <v>11461</v>
      </c>
      <c r="F2035" s="28" t="s">
        <v>21</v>
      </c>
      <c r="G2035" s="28" t="s">
        <v>207</v>
      </c>
      <c r="H2035" s="28" t="s">
        <v>9633</v>
      </c>
      <c r="I2035" s="28" t="s">
        <v>11551</v>
      </c>
      <c r="J2035" s="28" t="s">
        <v>207</v>
      </c>
      <c r="K2035" s="28" t="s">
        <v>9635</v>
      </c>
      <c r="L2035" s="28" t="s">
        <v>9636</v>
      </c>
      <c r="M2035" s="28" t="s">
        <v>11552</v>
      </c>
      <c r="N2035" s="28" t="s">
        <v>9638</v>
      </c>
      <c r="O2035" s="28" t="s">
        <v>9639</v>
      </c>
      <c r="P2035" s="28" t="s">
        <v>11464</v>
      </c>
    </row>
    <row r="2036" spans="1:16" x14ac:dyDescent="0.25">
      <c r="A2036" s="28" t="s">
        <v>11553</v>
      </c>
      <c r="B2036" s="28" t="s">
        <v>11554</v>
      </c>
      <c r="C2036" s="28" t="s">
        <v>132</v>
      </c>
      <c r="D2036" s="28" t="s">
        <v>11356</v>
      </c>
      <c r="E2036" s="28" t="s">
        <v>11461</v>
      </c>
      <c r="F2036" s="28" t="s">
        <v>21</v>
      </c>
      <c r="G2036" s="28" t="s">
        <v>207</v>
      </c>
      <c r="H2036" s="28" t="s">
        <v>9633</v>
      </c>
      <c r="I2036" s="28" t="s">
        <v>11555</v>
      </c>
      <c r="J2036" s="28" t="s">
        <v>207</v>
      </c>
      <c r="K2036" s="28" t="s">
        <v>9635</v>
      </c>
      <c r="L2036" s="28" t="s">
        <v>9636</v>
      </c>
      <c r="M2036" s="28" t="s">
        <v>11556</v>
      </c>
      <c r="N2036" s="28" t="s">
        <v>9638</v>
      </c>
      <c r="O2036" s="28" t="s">
        <v>9639</v>
      </c>
      <c r="P2036" s="28" t="s">
        <v>11464</v>
      </c>
    </row>
    <row r="2037" spans="1:16" x14ac:dyDescent="0.25">
      <c r="A2037" s="28" t="s">
        <v>11557</v>
      </c>
      <c r="B2037" s="28" t="s">
        <v>11558</v>
      </c>
      <c r="C2037" s="28" t="s">
        <v>132</v>
      </c>
      <c r="D2037" s="28" t="s">
        <v>11356</v>
      </c>
      <c r="E2037" s="28" t="s">
        <v>11461</v>
      </c>
      <c r="F2037" s="28" t="s">
        <v>21</v>
      </c>
      <c r="G2037" s="28" t="s">
        <v>207</v>
      </c>
      <c r="H2037" s="28" t="s">
        <v>9633</v>
      </c>
      <c r="I2037" s="28" t="s">
        <v>11559</v>
      </c>
      <c r="J2037" s="28" t="s">
        <v>207</v>
      </c>
      <c r="K2037" s="28" t="s">
        <v>9635</v>
      </c>
      <c r="L2037" s="28" t="s">
        <v>9636</v>
      </c>
      <c r="M2037" s="28" t="s">
        <v>11560</v>
      </c>
      <c r="N2037" s="28" t="s">
        <v>9638</v>
      </c>
      <c r="O2037" s="28" t="s">
        <v>9639</v>
      </c>
      <c r="P2037" s="28" t="s">
        <v>11464</v>
      </c>
    </row>
    <row r="2038" spans="1:16" x14ac:dyDescent="0.25">
      <c r="A2038" s="28" t="s">
        <v>11561</v>
      </c>
      <c r="B2038" s="28" t="s">
        <v>11562</v>
      </c>
      <c r="C2038" s="28" t="s">
        <v>132</v>
      </c>
      <c r="D2038" s="28" t="s">
        <v>11356</v>
      </c>
      <c r="E2038" s="28" t="s">
        <v>11461</v>
      </c>
      <c r="F2038" s="28" t="s">
        <v>21</v>
      </c>
      <c r="G2038" s="28" t="s">
        <v>207</v>
      </c>
      <c r="H2038" s="28" t="s">
        <v>9633</v>
      </c>
      <c r="I2038" s="28" t="s">
        <v>11563</v>
      </c>
      <c r="J2038" s="28" t="s">
        <v>207</v>
      </c>
      <c r="K2038" s="28" t="s">
        <v>9635</v>
      </c>
      <c r="L2038" s="28" t="s">
        <v>9636</v>
      </c>
      <c r="M2038" s="28" t="s">
        <v>11564</v>
      </c>
      <c r="N2038" s="28" t="s">
        <v>9638</v>
      </c>
      <c r="O2038" s="28" t="s">
        <v>9639</v>
      </c>
      <c r="P2038" s="28" t="s">
        <v>11464</v>
      </c>
    </row>
    <row r="2039" spans="1:16" x14ac:dyDescent="0.25">
      <c r="A2039" s="28" t="s">
        <v>11565</v>
      </c>
      <c r="B2039" s="28" t="s">
        <v>11566</v>
      </c>
      <c r="C2039" s="28" t="s">
        <v>132</v>
      </c>
      <c r="D2039" s="28" t="s">
        <v>11356</v>
      </c>
      <c r="E2039" s="28" t="s">
        <v>11461</v>
      </c>
      <c r="F2039" s="28" t="s">
        <v>21</v>
      </c>
      <c r="G2039" s="28" t="s">
        <v>207</v>
      </c>
      <c r="H2039" s="28" t="s">
        <v>9633</v>
      </c>
      <c r="I2039" s="28" t="s">
        <v>11567</v>
      </c>
      <c r="J2039" s="28" t="s">
        <v>207</v>
      </c>
      <c r="K2039" s="28" t="s">
        <v>9635</v>
      </c>
      <c r="L2039" s="28" t="s">
        <v>9636</v>
      </c>
      <c r="M2039" s="28" t="s">
        <v>11568</v>
      </c>
      <c r="N2039" s="28" t="s">
        <v>9638</v>
      </c>
      <c r="O2039" s="28" t="s">
        <v>9639</v>
      </c>
      <c r="P2039" s="28" t="s">
        <v>11464</v>
      </c>
    </row>
    <row r="2040" spans="1:16" x14ac:dyDescent="0.25">
      <c r="A2040" s="28" t="s">
        <v>11569</v>
      </c>
      <c r="B2040" s="28" t="s">
        <v>11570</v>
      </c>
      <c r="C2040" s="28" t="s">
        <v>132</v>
      </c>
      <c r="D2040" s="28" t="s">
        <v>11356</v>
      </c>
      <c r="E2040" s="28" t="s">
        <v>11461</v>
      </c>
      <c r="F2040" s="28" t="s">
        <v>21</v>
      </c>
      <c r="G2040" s="28" t="s">
        <v>207</v>
      </c>
      <c r="H2040" s="28" t="s">
        <v>9633</v>
      </c>
      <c r="I2040" s="28" t="s">
        <v>11571</v>
      </c>
      <c r="J2040" s="28" t="s">
        <v>207</v>
      </c>
      <c r="K2040" s="28" t="s">
        <v>9635</v>
      </c>
      <c r="L2040" s="28" t="s">
        <v>9636</v>
      </c>
      <c r="M2040" s="28" t="s">
        <v>11572</v>
      </c>
      <c r="N2040" s="28" t="s">
        <v>9638</v>
      </c>
      <c r="O2040" s="28" t="s">
        <v>9639</v>
      </c>
      <c r="P2040" s="28" t="s">
        <v>11464</v>
      </c>
    </row>
    <row r="2041" spans="1:16" x14ac:dyDescent="0.25">
      <c r="A2041" s="28" t="s">
        <v>11573</v>
      </c>
      <c r="B2041" s="28" t="s">
        <v>11574</v>
      </c>
      <c r="C2041" s="28" t="s">
        <v>132</v>
      </c>
      <c r="D2041" s="28" t="s">
        <v>11356</v>
      </c>
      <c r="E2041" s="28" t="s">
        <v>11461</v>
      </c>
      <c r="F2041" s="28" t="s">
        <v>21</v>
      </c>
      <c r="G2041" s="28" t="s">
        <v>207</v>
      </c>
      <c r="H2041" s="28" t="s">
        <v>9633</v>
      </c>
      <c r="I2041" s="28" t="s">
        <v>11575</v>
      </c>
      <c r="J2041" s="28" t="s">
        <v>207</v>
      </c>
      <c r="K2041" s="28" t="s">
        <v>9635</v>
      </c>
      <c r="L2041" s="28" t="s">
        <v>9636</v>
      </c>
      <c r="M2041" s="28" t="s">
        <v>11576</v>
      </c>
      <c r="N2041" s="28" t="s">
        <v>9638</v>
      </c>
      <c r="O2041" s="28" t="s">
        <v>9639</v>
      </c>
      <c r="P2041" s="28" t="s">
        <v>11464</v>
      </c>
    </row>
    <row r="2042" spans="1:16" x14ac:dyDescent="0.25">
      <c r="A2042" s="28" t="s">
        <v>11577</v>
      </c>
      <c r="B2042" s="28" t="s">
        <v>11578</v>
      </c>
      <c r="C2042" s="28" t="s">
        <v>132</v>
      </c>
      <c r="D2042" s="28" t="s">
        <v>11356</v>
      </c>
      <c r="E2042" s="28" t="s">
        <v>11461</v>
      </c>
      <c r="F2042" s="28" t="s">
        <v>21</v>
      </c>
      <c r="G2042" s="28" t="s">
        <v>207</v>
      </c>
      <c r="H2042" s="28" t="s">
        <v>9633</v>
      </c>
      <c r="I2042" s="28" t="s">
        <v>11579</v>
      </c>
      <c r="J2042" s="28" t="s">
        <v>207</v>
      </c>
      <c r="K2042" s="28" t="s">
        <v>9635</v>
      </c>
      <c r="L2042" s="28" t="s">
        <v>9636</v>
      </c>
      <c r="M2042" s="28" t="s">
        <v>11580</v>
      </c>
      <c r="N2042" s="28" t="s">
        <v>9638</v>
      </c>
      <c r="O2042" s="28" t="s">
        <v>9639</v>
      </c>
      <c r="P2042" s="28" t="s">
        <v>11464</v>
      </c>
    </row>
    <row r="2043" spans="1:16" x14ac:dyDescent="0.25">
      <c r="A2043" s="28" t="s">
        <v>11581</v>
      </c>
      <c r="B2043" s="28" t="s">
        <v>11582</v>
      </c>
      <c r="C2043" s="28" t="s">
        <v>132</v>
      </c>
      <c r="D2043" s="28" t="s">
        <v>11356</v>
      </c>
      <c r="E2043" s="28" t="s">
        <v>11461</v>
      </c>
      <c r="F2043" s="28" t="s">
        <v>21</v>
      </c>
      <c r="G2043" s="28" t="s">
        <v>207</v>
      </c>
      <c r="H2043" s="28" t="s">
        <v>9633</v>
      </c>
      <c r="I2043" s="28" t="s">
        <v>11583</v>
      </c>
      <c r="J2043" s="28" t="s">
        <v>207</v>
      </c>
      <c r="K2043" s="28" t="s">
        <v>9635</v>
      </c>
      <c r="L2043" s="28" t="s">
        <v>9636</v>
      </c>
      <c r="M2043" s="28" t="s">
        <v>11584</v>
      </c>
      <c r="N2043" s="28" t="s">
        <v>9638</v>
      </c>
      <c r="O2043" s="28" t="s">
        <v>9639</v>
      </c>
      <c r="P2043" s="28" t="s">
        <v>11464</v>
      </c>
    </row>
    <row r="2044" spans="1:16" x14ac:dyDescent="0.25">
      <c r="A2044" s="28" t="s">
        <v>11585</v>
      </c>
      <c r="B2044" s="28" t="s">
        <v>11586</v>
      </c>
      <c r="C2044" s="28" t="s">
        <v>132</v>
      </c>
      <c r="D2044" s="28" t="s">
        <v>11356</v>
      </c>
      <c r="E2044" s="28" t="s">
        <v>11461</v>
      </c>
      <c r="F2044" s="28" t="s">
        <v>21</v>
      </c>
      <c r="G2044" s="28" t="s">
        <v>207</v>
      </c>
      <c r="H2044" s="28" t="s">
        <v>9633</v>
      </c>
      <c r="I2044" s="28" t="s">
        <v>11587</v>
      </c>
      <c r="J2044" s="28" t="s">
        <v>207</v>
      </c>
      <c r="K2044" s="28" t="s">
        <v>9635</v>
      </c>
      <c r="L2044" s="28" t="s">
        <v>9636</v>
      </c>
      <c r="M2044" s="28" t="s">
        <v>11588</v>
      </c>
      <c r="N2044" s="28" t="s">
        <v>9638</v>
      </c>
      <c r="O2044" s="28" t="s">
        <v>9639</v>
      </c>
      <c r="P2044" s="28" t="s">
        <v>11464</v>
      </c>
    </row>
    <row r="2045" spans="1:16" x14ac:dyDescent="0.25">
      <c r="A2045" s="28" t="s">
        <v>11589</v>
      </c>
      <c r="B2045" s="28" t="s">
        <v>11590</v>
      </c>
      <c r="C2045" s="28" t="s">
        <v>132</v>
      </c>
      <c r="D2045" s="28" t="s">
        <v>11356</v>
      </c>
      <c r="E2045" s="28" t="s">
        <v>11461</v>
      </c>
      <c r="F2045" s="28" t="s">
        <v>21</v>
      </c>
      <c r="G2045" s="28" t="s">
        <v>207</v>
      </c>
      <c r="H2045" s="28" t="s">
        <v>9633</v>
      </c>
      <c r="I2045" s="28" t="s">
        <v>11591</v>
      </c>
      <c r="J2045" s="28" t="s">
        <v>207</v>
      </c>
      <c r="K2045" s="28" t="s">
        <v>9635</v>
      </c>
      <c r="L2045" s="28" t="s">
        <v>9636</v>
      </c>
      <c r="M2045" s="28" t="s">
        <v>11592</v>
      </c>
      <c r="N2045" s="28" t="s">
        <v>9638</v>
      </c>
      <c r="O2045" s="28" t="s">
        <v>9639</v>
      </c>
      <c r="P2045" s="28" t="s">
        <v>11464</v>
      </c>
    </row>
    <row r="2046" spans="1:16" x14ac:dyDescent="0.25">
      <c r="A2046" s="28" t="s">
        <v>11593</v>
      </c>
      <c r="B2046" s="28" t="s">
        <v>11594</v>
      </c>
      <c r="C2046" s="28" t="s">
        <v>132</v>
      </c>
      <c r="D2046" s="28" t="s">
        <v>11356</v>
      </c>
      <c r="E2046" s="28" t="s">
        <v>11461</v>
      </c>
      <c r="F2046" s="28" t="s">
        <v>21</v>
      </c>
      <c r="G2046" s="28" t="s">
        <v>207</v>
      </c>
      <c r="H2046" s="28" t="s">
        <v>9633</v>
      </c>
      <c r="I2046" s="28" t="s">
        <v>11595</v>
      </c>
      <c r="J2046" s="28" t="s">
        <v>207</v>
      </c>
      <c r="K2046" s="28" t="s">
        <v>9635</v>
      </c>
      <c r="L2046" s="28" t="s">
        <v>9636</v>
      </c>
      <c r="M2046" s="28" t="s">
        <v>11596</v>
      </c>
      <c r="N2046" s="28" t="s">
        <v>9638</v>
      </c>
      <c r="O2046" s="28" t="s">
        <v>9639</v>
      </c>
      <c r="P2046" s="28" t="s">
        <v>11464</v>
      </c>
    </row>
    <row r="2047" spans="1:16" x14ac:dyDescent="0.25">
      <c r="A2047" s="28" t="s">
        <v>11597</v>
      </c>
      <c r="B2047" s="28" t="s">
        <v>11598</v>
      </c>
      <c r="C2047" s="28" t="s">
        <v>132</v>
      </c>
      <c r="D2047" s="28" t="s">
        <v>11356</v>
      </c>
      <c r="E2047" s="28" t="s">
        <v>11461</v>
      </c>
      <c r="F2047" s="28" t="s">
        <v>21</v>
      </c>
      <c r="G2047" s="28" t="s">
        <v>207</v>
      </c>
      <c r="H2047" s="28" t="s">
        <v>9633</v>
      </c>
      <c r="I2047" s="28" t="s">
        <v>11599</v>
      </c>
      <c r="J2047" s="28" t="s">
        <v>207</v>
      </c>
      <c r="K2047" s="28" t="s">
        <v>9635</v>
      </c>
      <c r="L2047" s="28" t="s">
        <v>9636</v>
      </c>
      <c r="M2047" s="28" t="s">
        <v>11600</v>
      </c>
      <c r="N2047" s="28" t="s">
        <v>9638</v>
      </c>
      <c r="O2047" s="28" t="s">
        <v>9639</v>
      </c>
      <c r="P2047" s="28" t="s">
        <v>11464</v>
      </c>
    </row>
    <row r="2048" spans="1:16" x14ac:dyDescent="0.25">
      <c r="A2048" s="28" t="s">
        <v>11601</v>
      </c>
      <c r="B2048" s="28" t="s">
        <v>11602</v>
      </c>
      <c r="C2048" s="28" t="s">
        <v>132</v>
      </c>
      <c r="D2048" s="28" t="s">
        <v>11356</v>
      </c>
      <c r="E2048" s="28" t="s">
        <v>11461</v>
      </c>
      <c r="F2048" s="28" t="s">
        <v>21</v>
      </c>
      <c r="G2048" s="28" t="s">
        <v>207</v>
      </c>
      <c r="H2048" s="28" t="s">
        <v>9633</v>
      </c>
      <c r="I2048" s="28" t="s">
        <v>11603</v>
      </c>
      <c r="J2048" s="28" t="s">
        <v>207</v>
      </c>
      <c r="K2048" s="28" t="s">
        <v>9635</v>
      </c>
      <c r="L2048" s="28" t="s">
        <v>9636</v>
      </c>
      <c r="M2048" s="28" t="s">
        <v>11604</v>
      </c>
      <c r="N2048" s="28" t="s">
        <v>9638</v>
      </c>
      <c r="O2048" s="28" t="s">
        <v>9639</v>
      </c>
      <c r="P2048" s="28" t="s">
        <v>11464</v>
      </c>
    </row>
    <row r="2049" spans="1:16" x14ac:dyDescent="0.25">
      <c r="A2049" s="28" t="s">
        <v>11605</v>
      </c>
      <c r="B2049" s="28" t="s">
        <v>11606</v>
      </c>
      <c r="C2049" s="28" t="s">
        <v>132</v>
      </c>
      <c r="D2049" s="28" t="s">
        <v>11356</v>
      </c>
      <c r="E2049" s="28" t="s">
        <v>11461</v>
      </c>
      <c r="F2049" s="28" t="s">
        <v>21</v>
      </c>
      <c r="G2049" s="28" t="s">
        <v>207</v>
      </c>
      <c r="H2049" s="28" t="s">
        <v>9633</v>
      </c>
      <c r="I2049" s="28" t="s">
        <v>11607</v>
      </c>
      <c r="J2049" s="28" t="s">
        <v>207</v>
      </c>
      <c r="K2049" s="28" t="s">
        <v>9635</v>
      </c>
      <c r="L2049" s="28" t="s">
        <v>9636</v>
      </c>
      <c r="M2049" s="28" t="s">
        <v>11608</v>
      </c>
      <c r="N2049" s="28" t="s">
        <v>9638</v>
      </c>
      <c r="O2049" s="28" t="s">
        <v>9639</v>
      </c>
      <c r="P2049" s="28" t="s">
        <v>11464</v>
      </c>
    </row>
    <row r="2050" spans="1:16" x14ac:dyDescent="0.25">
      <c r="A2050" s="28" t="s">
        <v>11609</v>
      </c>
      <c r="B2050" s="28" t="s">
        <v>11610</v>
      </c>
      <c r="C2050" s="28" t="s">
        <v>132</v>
      </c>
      <c r="D2050" s="28" t="s">
        <v>11356</v>
      </c>
      <c r="E2050" s="28" t="s">
        <v>11461</v>
      </c>
      <c r="F2050" s="28" t="s">
        <v>21</v>
      </c>
      <c r="G2050" s="28" t="s">
        <v>207</v>
      </c>
      <c r="H2050" s="28" t="s">
        <v>9633</v>
      </c>
      <c r="I2050" s="28" t="s">
        <v>11611</v>
      </c>
      <c r="J2050" s="28" t="s">
        <v>207</v>
      </c>
      <c r="K2050" s="28" t="s">
        <v>9635</v>
      </c>
      <c r="L2050" s="28" t="s">
        <v>9636</v>
      </c>
      <c r="M2050" s="28" t="s">
        <v>11612</v>
      </c>
      <c r="N2050" s="28" t="s">
        <v>9638</v>
      </c>
      <c r="O2050" s="28" t="s">
        <v>9639</v>
      </c>
      <c r="P2050" s="28" t="s">
        <v>11464</v>
      </c>
    </row>
    <row r="2051" spans="1:16" x14ac:dyDescent="0.25">
      <c r="A2051" s="28" t="s">
        <v>11613</v>
      </c>
      <c r="B2051" s="28" t="s">
        <v>11614</v>
      </c>
      <c r="C2051" s="28" t="s">
        <v>132</v>
      </c>
      <c r="D2051" s="28" t="s">
        <v>11356</v>
      </c>
      <c r="E2051" s="28" t="s">
        <v>11461</v>
      </c>
      <c r="F2051" s="28" t="s">
        <v>21</v>
      </c>
      <c r="G2051" s="28" t="s">
        <v>207</v>
      </c>
      <c r="H2051" s="28" t="s">
        <v>9633</v>
      </c>
      <c r="I2051" s="28" t="s">
        <v>11615</v>
      </c>
      <c r="J2051" s="28" t="s">
        <v>207</v>
      </c>
      <c r="K2051" s="28" t="s">
        <v>9635</v>
      </c>
      <c r="L2051" s="28" t="s">
        <v>9636</v>
      </c>
      <c r="M2051" s="28" t="s">
        <v>11616</v>
      </c>
      <c r="N2051" s="28" t="s">
        <v>9638</v>
      </c>
      <c r="O2051" s="28" t="s">
        <v>9639</v>
      </c>
      <c r="P2051" s="28" t="s">
        <v>11464</v>
      </c>
    </row>
    <row r="2052" spans="1:16" x14ac:dyDescent="0.25">
      <c r="A2052" s="28" t="s">
        <v>11617</v>
      </c>
      <c r="B2052" s="28" t="s">
        <v>11618</v>
      </c>
      <c r="C2052" s="28" t="s">
        <v>132</v>
      </c>
      <c r="D2052" s="28" t="s">
        <v>11356</v>
      </c>
      <c r="E2052" s="28" t="s">
        <v>11461</v>
      </c>
      <c r="F2052" s="28" t="s">
        <v>21</v>
      </c>
      <c r="G2052" s="28" t="s">
        <v>207</v>
      </c>
      <c r="H2052" s="28" t="s">
        <v>9633</v>
      </c>
      <c r="I2052" s="28" t="s">
        <v>11619</v>
      </c>
      <c r="J2052" s="28" t="s">
        <v>207</v>
      </c>
      <c r="K2052" s="28" t="s">
        <v>9635</v>
      </c>
      <c r="L2052" s="28" t="s">
        <v>9636</v>
      </c>
      <c r="M2052" s="28" t="s">
        <v>11620</v>
      </c>
      <c r="N2052" s="28" t="s">
        <v>9638</v>
      </c>
      <c r="O2052" s="28" t="s">
        <v>9639</v>
      </c>
      <c r="P2052" s="28" t="s">
        <v>11464</v>
      </c>
    </row>
    <row r="2053" spans="1:16" x14ac:dyDescent="0.25">
      <c r="A2053" s="28" t="s">
        <v>11621</v>
      </c>
      <c r="B2053" s="28" t="s">
        <v>11622</v>
      </c>
      <c r="C2053" s="28" t="s">
        <v>132</v>
      </c>
      <c r="D2053" s="28" t="s">
        <v>11356</v>
      </c>
      <c r="E2053" s="28" t="s">
        <v>11461</v>
      </c>
      <c r="F2053" s="28" t="s">
        <v>21</v>
      </c>
      <c r="G2053" s="28" t="s">
        <v>207</v>
      </c>
      <c r="H2053" s="28" t="s">
        <v>9633</v>
      </c>
      <c r="I2053" s="28" t="s">
        <v>11623</v>
      </c>
      <c r="J2053" s="28" t="s">
        <v>207</v>
      </c>
      <c r="K2053" s="28" t="s">
        <v>9635</v>
      </c>
      <c r="L2053" s="28" t="s">
        <v>9636</v>
      </c>
      <c r="M2053" s="28" t="s">
        <v>11624</v>
      </c>
      <c r="N2053" s="28" t="s">
        <v>9638</v>
      </c>
      <c r="O2053" s="28" t="s">
        <v>9639</v>
      </c>
      <c r="P2053" s="28" t="s">
        <v>11464</v>
      </c>
    </row>
    <row r="2054" spans="1:16" x14ac:dyDescent="0.25">
      <c r="A2054" s="28" t="s">
        <v>11625</v>
      </c>
      <c r="B2054" s="28" t="s">
        <v>11626</v>
      </c>
      <c r="C2054" s="28" t="s">
        <v>132</v>
      </c>
      <c r="D2054" s="28" t="s">
        <v>11356</v>
      </c>
      <c r="E2054" s="28" t="s">
        <v>11461</v>
      </c>
      <c r="F2054" s="28" t="s">
        <v>21</v>
      </c>
      <c r="G2054" s="28" t="s">
        <v>207</v>
      </c>
      <c r="H2054" s="28" t="s">
        <v>9633</v>
      </c>
      <c r="I2054" s="28" t="s">
        <v>11627</v>
      </c>
      <c r="J2054" s="28" t="s">
        <v>207</v>
      </c>
      <c r="K2054" s="28" t="s">
        <v>9635</v>
      </c>
      <c r="L2054" s="28" t="s">
        <v>9636</v>
      </c>
      <c r="M2054" s="28" t="s">
        <v>11628</v>
      </c>
      <c r="N2054" s="28" t="s">
        <v>9638</v>
      </c>
      <c r="O2054" s="28" t="s">
        <v>9639</v>
      </c>
      <c r="P2054" s="28" t="s">
        <v>11464</v>
      </c>
    </row>
    <row r="2055" spans="1:16" x14ac:dyDescent="0.25">
      <c r="A2055" s="28" t="s">
        <v>11629</v>
      </c>
      <c r="B2055" s="28" t="s">
        <v>11630</v>
      </c>
      <c r="C2055" s="28" t="s">
        <v>132</v>
      </c>
      <c r="D2055" s="28" t="s">
        <v>11356</v>
      </c>
      <c r="E2055" s="28" t="s">
        <v>11461</v>
      </c>
      <c r="F2055" s="28" t="s">
        <v>21</v>
      </c>
      <c r="G2055" s="28" t="s">
        <v>207</v>
      </c>
      <c r="H2055" s="28" t="s">
        <v>9633</v>
      </c>
      <c r="I2055" s="28" t="s">
        <v>11631</v>
      </c>
      <c r="J2055" s="28" t="s">
        <v>207</v>
      </c>
      <c r="K2055" s="28" t="s">
        <v>9635</v>
      </c>
      <c r="L2055" s="28" t="s">
        <v>9636</v>
      </c>
      <c r="M2055" s="28" t="s">
        <v>11632</v>
      </c>
      <c r="N2055" s="28" t="s">
        <v>9638</v>
      </c>
      <c r="O2055" s="28" t="s">
        <v>9639</v>
      </c>
      <c r="P2055" s="28" t="s">
        <v>11464</v>
      </c>
    </row>
    <row r="2056" spans="1:16" x14ac:dyDescent="0.25">
      <c r="A2056" s="28" t="s">
        <v>11633</v>
      </c>
      <c r="B2056" s="28" t="s">
        <v>11634</v>
      </c>
      <c r="C2056" s="28" t="s">
        <v>132</v>
      </c>
      <c r="D2056" s="28" t="s">
        <v>11356</v>
      </c>
      <c r="E2056" s="28" t="s">
        <v>11461</v>
      </c>
      <c r="F2056" s="28" t="s">
        <v>21</v>
      </c>
      <c r="G2056" s="28" t="s">
        <v>207</v>
      </c>
      <c r="H2056" s="28" t="s">
        <v>9633</v>
      </c>
      <c r="I2056" s="28" t="s">
        <v>11635</v>
      </c>
      <c r="J2056" s="28" t="s">
        <v>207</v>
      </c>
      <c r="K2056" s="28" t="s">
        <v>9635</v>
      </c>
      <c r="L2056" s="28" t="s">
        <v>9636</v>
      </c>
      <c r="M2056" s="28" t="s">
        <v>11636</v>
      </c>
      <c r="N2056" s="28" t="s">
        <v>9638</v>
      </c>
      <c r="O2056" s="28" t="s">
        <v>9639</v>
      </c>
      <c r="P2056" s="28" t="s">
        <v>11464</v>
      </c>
    </row>
    <row r="2057" spans="1:16" x14ac:dyDescent="0.25">
      <c r="A2057" s="28" t="s">
        <v>11637</v>
      </c>
      <c r="B2057" s="28" t="s">
        <v>11638</v>
      </c>
      <c r="C2057" s="28" t="s">
        <v>132</v>
      </c>
      <c r="D2057" s="28" t="s">
        <v>11356</v>
      </c>
      <c r="E2057" s="28" t="s">
        <v>11461</v>
      </c>
      <c r="F2057" s="28" t="s">
        <v>21</v>
      </c>
      <c r="G2057" s="28" t="s">
        <v>207</v>
      </c>
      <c r="H2057" s="28" t="s">
        <v>9633</v>
      </c>
      <c r="I2057" s="28" t="s">
        <v>11639</v>
      </c>
      <c r="J2057" s="28" t="s">
        <v>207</v>
      </c>
      <c r="K2057" s="28" t="s">
        <v>9635</v>
      </c>
      <c r="L2057" s="28" t="s">
        <v>9636</v>
      </c>
      <c r="M2057" s="28" t="s">
        <v>11640</v>
      </c>
      <c r="N2057" s="28" t="s">
        <v>9638</v>
      </c>
      <c r="O2057" s="28" t="s">
        <v>9639</v>
      </c>
      <c r="P2057" s="28" t="s">
        <v>11464</v>
      </c>
    </row>
    <row r="2058" spans="1:16" x14ac:dyDescent="0.25">
      <c r="A2058" s="28" t="s">
        <v>11641</v>
      </c>
      <c r="B2058" s="28" t="s">
        <v>11642</v>
      </c>
      <c r="C2058" s="28" t="s">
        <v>132</v>
      </c>
      <c r="D2058" s="28" t="s">
        <v>11356</v>
      </c>
      <c r="E2058" s="28" t="s">
        <v>11461</v>
      </c>
      <c r="F2058" s="28" t="s">
        <v>21</v>
      </c>
      <c r="G2058" s="28" t="s">
        <v>207</v>
      </c>
      <c r="H2058" s="28" t="s">
        <v>9633</v>
      </c>
      <c r="I2058" s="28" t="s">
        <v>11643</v>
      </c>
      <c r="J2058" s="28" t="s">
        <v>207</v>
      </c>
      <c r="K2058" s="28" t="s">
        <v>9635</v>
      </c>
      <c r="L2058" s="28" t="s">
        <v>9636</v>
      </c>
      <c r="M2058" s="28" t="s">
        <v>11644</v>
      </c>
      <c r="N2058" s="28" t="s">
        <v>9638</v>
      </c>
      <c r="O2058" s="28" t="s">
        <v>9639</v>
      </c>
      <c r="P2058" s="28" t="s">
        <v>11464</v>
      </c>
    </row>
    <row r="2059" spans="1:16" x14ac:dyDescent="0.25">
      <c r="A2059" s="28" t="s">
        <v>11645</v>
      </c>
      <c r="B2059" s="28" t="s">
        <v>11646</v>
      </c>
      <c r="C2059" s="28" t="s">
        <v>132</v>
      </c>
      <c r="D2059" s="28" t="s">
        <v>11356</v>
      </c>
      <c r="E2059" s="28" t="s">
        <v>11461</v>
      </c>
      <c r="F2059" s="28" t="s">
        <v>21</v>
      </c>
      <c r="G2059" s="28" t="s">
        <v>207</v>
      </c>
      <c r="H2059" s="28" t="s">
        <v>9633</v>
      </c>
      <c r="I2059" s="28" t="s">
        <v>11647</v>
      </c>
      <c r="J2059" s="28" t="s">
        <v>207</v>
      </c>
      <c r="K2059" s="28" t="s">
        <v>9635</v>
      </c>
      <c r="L2059" s="28" t="s">
        <v>9636</v>
      </c>
      <c r="M2059" s="28" t="s">
        <v>11648</v>
      </c>
      <c r="N2059" s="28" t="s">
        <v>9638</v>
      </c>
      <c r="O2059" s="28" t="s">
        <v>9639</v>
      </c>
      <c r="P2059" s="28" t="s">
        <v>11464</v>
      </c>
    </row>
    <row r="2060" spans="1:16" x14ac:dyDescent="0.25">
      <c r="A2060" s="28" t="s">
        <v>11649</v>
      </c>
      <c r="B2060" s="28" t="s">
        <v>11650</v>
      </c>
      <c r="C2060" s="28" t="s">
        <v>132</v>
      </c>
      <c r="D2060" s="28" t="s">
        <v>11356</v>
      </c>
      <c r="E2060" s="28" t="s">
        <v>11461</v>
      </c>
      <c r="F2060" s="28" t="s">
        <v>21</v>
      </c>
      <c r="G2060" s="28" t="s">
        <v>207</v>
      </c>
      <c r="H2060" s="28" t="s">
        <v>9633</v>
      </c>
      <c r="I2060" s="28" t="s">
        <v>11651</v>
      </c>
      <c r="J2060" s="28" t="s">
        <v>207</v>
      </c>
      <c r="K2060" s="28" t="s">
        <v>9635</v>
      </c>
      <c r="L2060" s="28" t="s">
        <v>9636</v>
      </c>
      <c r="M2060" s="28" t="s">
        <v>11652</v>
      </c>
      <c r="N2060" s="28" t="s">
        <v>9638</v>
      </c>
      <c r="O2060" s="28" t="s">
        <v>9639</v>
      </c>
      <c r="P2060" s="28" t="s">
        <v>11464</v>
      </c>
    </row>
    <row r="2061" spans="1:16" x14ac:dyDescent="0.25">
      <c r="A2061" s="28" t="s">
        <v>11653</v>
      </c>
      <c r="B2061" s="28" t="s">
        <v>11654</v>
      </c>
      <c r="C2061" s="28" t="s">
        <v>132</v>
      </c>
      <c r="D2061" s="28" t="s">
        <v>11356</v>
      </c>
      <c r="E2061" s="28" t="s">
        <v>11461</v>
      </c>
      <c r="F2061" s="28" t="s">
        <v>21</v>
      </c>
      <c r="G2061" s="28" t="s">
        <v>207</v>
      </c>
      <c r="H2061" s="28" t="s">
        <v>9633</v>
      </c>
      <c r="I2061" s="28" t="s">
        <v>11655</v>
      </c>
      <c r="J2061" s="28" t="s">
        <v>207</v>
      </c>
      <c r="K2061" s="28" t="s">
        <v>9635</v>
      </c>
      <c r="L2061" s="28" t="s">
        <v>9636</v>
      </c>
      <c r="M2061" s="28" t="s">
        <v>11656</v>
      </c>
      <c r="N2061" s="28" t="s">
        <v>9638</v>
      </c>
      <c r="O2061" s="28" t="s">
        <v>9639</v>
      </c>
      <c r="P2061" s="28" t="s">
        <v>11464</v>
      </c>
    </row>
    <row r="2062" spans="1:16" x14ac:dyDescent="0.25">
      <c r="A2062" s="28" t="s">
        <v>11657</v>
      </c>
      <c r="B2062" s="28" t="s">
        <v>11658</v>
      </c>
      <c r="C2062" s="28" t="s">
        <v>132</v>
      </c>
      <c r="D2062" s="28" t="s">
        <v>11356</v>
      </c>
      <c r="E2062" s="28" t="s">
        <v>11461</v>
      </c>
      <c r="F2062" s="28" t="s">
        <v>21</v>
      </c>
      <c r="G2062" s="28" t="s">
        <v>207</v>
      </c>
      <c r="H2062" s="28" t="s">
        <v>9633</v>
      </c>
      <c r="I2062" s="28" t="s">
        <v>11659</v>
      </c>
      <c r="J2062" s="28" t="s">
        <v>207</v>
      </c>
      <c r="K2062" s="28" t="s">
        <v>9635</v>
      </c>
      <c r="L2062" s="28" t="s">
        <v>9636</v>
      </c>
      <c r="M2062" s="28" t="s">
        <v>11660</v>
      </c>
      <c r="N2062" s="28" t="s">
        <v>9638</v>
      </c>
      <c r="O2062" s="28" t="s">
        <v>9639</v>
      </c>
      <c r="P2062" s="28" t="s">
        <v>11464</v>
      </c>
    </row>
    <row r="2063" spans="1:16" x14ac:dyDescent="0.25">
      <c r="A2063" s="28" t="s">
        <v>11661</v>
      </c>
      <c r="B2063" s="28" t="s">
        <v>11662</v>
      </c>
      <c r="C2063" s="28" t="s">
        <v>132</v>
      </c>
      <c r="D2063" s="28" t="s">
        <v>11356</v>
      </c>
      <c r="E2063" s="28" t="s">
        <v>11461</v>
      </c>
      <c r="F2063" s="28" t="s">
        <v>21</v>
      </c>
      <c r="G2063" s="28" t="s">
        <v>207</v>
      </c>
      <c r="H2063" s="28" t="s">
        <v>9633</v>
      </c>
      <c r="I2063" s="28" t="s">
        <v>11663</v>
      </c>
      <c r="J2063" s="28" t="s">
        <v>207</v>
      </c>
      <c r="K2063" s="28" t="s">
        <v>9635</v>
      </c>
      <c r="L2063" s="28" t="s">
        <v>9636</v>
      </c>
      <c r="M2063" s="28" t="s">
        <v>11664</v>
      </c>
      <c r="N2063" s="28" t="s">
        <v>9638</v>
      </c>
      <c r="O2063" s="28" t="s">
        <v>9639</v>
      </c>
      <c r="P2063" s="28" t="s">
        <v>11464</v>
      </c>
    </row>
    <row r="2064" spans="1:16" x14ac:dyDescent="0.25">
      <c r="A2064" s="28" t="s">
        <v>11665</v>
      </c>
      <c r="B2064" s="28" t="s">
        <v>11666</v>
      </c>
      <c r="C2064" s="28" t="s">
        <v>132</v>
      </c>
      <c r="D2064" s="28" t="s">
        <v>11356</v>
      </c>
      <c r="E2064" s="28" t="s">
        <v>11461</v>
      </c>
      <c r="F2064" s="28" t="s">
        <v>21</v>
      </c>
      <c r="G2064" s="28" t="s">
        <v>207</v>
      </c>
      <c r="H2064" s="28" t="s">
        <v>9633</v>
      </c>
      <c r="I2064" s="28" t="s">
        <v>11667</v>
      </c>
      <c r="J2064" s="28" t="s">
        <v>207</v>
      </c>
      <c r="K2064" s="28" t="s">
        <v>9635</v>
      </c>
      <c r="L2064" s="28" t="s">
        <v>9636</v>
      </c>
      <c r="M2064" s="28" t="s">
        <v>11668</v>
      </c>
      <c r="N2064" s="28" t="s">
        <v>9638</v>
      </c>
      <c r="O2064" s="28" t="s">
        <v>9639</v>
      </c>
      <c r="P2064" s="28" t="s">
        <v>11464</v>
      </c>
    </row>
    <row r="2065" spans="1:16" x14ac:dyDescent="0.25">
      <c r="A2065" s="28" t="s">
        <v>11669</v>
      </c>
      <c r="B2065" s="28" t="s">
        <v>11670</v>
      </c>
      <c r="C2065" s="28" t="s">
        <v>132</v>
      </c>
      <c r="D2065" s="28" t="s">
        <v>11356</v>
      </c>
      <c r="E2065" s="28" t="s">
        <v>11461</v>
      </c>
      <c r="F2065" s="28" t="s">
        <v>21</v>
      </c>
      <c r="G2065" s="28" t="s">
        <v>207</v>
      </c>
      <c r="H2065" s="28" t="s">
        <v>9633</v>
      </c>
      <c r="I2065" s="28" t="s">
        <v>11671</v>
      </c>
      <c r="J2065" s="28" t="s">
        <v>207</v>
      </c>
      <c r="K2065" s="28" t="s">
        <v>9635</v>
      </c>
      <c r="L2065" s="28" t="s">
        <v>9636</v>
      </c>
      <c r="M2065" s="28" t="s">
        <v>11672</v>
      </c>
      <c r="N2065" s="28" t="s">
        <v>9638</v>
      </c>
      <c r="O2065" s="28" t="s">
        <v>9639</v>
      </c>
      <c r="P2065" s="28" t="s">
        <v>11464</v>
      </c>
    </row>
    <row r="2066" spans="1:16" x14ac:dyDescent="0.25">
      <c r="A2066" s="28" t="s">
        <v>11673</v>
      </c>
      <c r="B2066" s="28" t="s">
        <v>11674</v>
      </c>
      <c r="C2066" s="28" t="s">
        <v>132</v>
      </c>
      <c r="D2066" s="28" t="s">
        <v>11356</v>
      </c>
      <c r="E2066" s="28" t="s">
        <v>11675</v>
      </c>
      <c r="F2066" s="28" t="s">
        <v>21</v>
      </c>
      <c r="G2066" s="28" t="s">
        <v>207</v>
      </c>
      <c r="H2066" s="28" t="s">
        <v>9633</v>
      </c>
      <c r="I2066" s="28" t="s">
        <v>11676</v>
      </c>
      <c r="J2066" s="28" t="s">
        <v>207</v>
      </c>
      <c r="K2066" s="28" t="s">
        <v>9635</v>
      </c>
      <c r="L2066" s="28" t="s">
        <v>9636</v>
      </c>
      <c r="M2066" s="28" t="s">
        <v>11677</v>
      </c>
      <c r="N2066" s="28" t="s">
        <v>9638</v>
      </c>
      <c r="O2066" s="28" t="s">
        <v>9639</v>
      </c>
      <c r="P2066" s="28" t="s">
        <v>11678</v>
      </c>
    </row>
    <row r="2067" spans="1:16" x14ac:dyDescent="0.25">
      <c r="A2067" s="28" t="s">
        <v>11679</v>
      </c>
      <c r="B2067" s="28" t="s">
        <v>11680</v>
      </c>
      <c r="C2067" s="28" t="s">
        <v>132</v>
      </c>
      <c r="D2067" s="28" t="s">
        <v>1595</v>
      </c>
      <c r="E2067" s="28" t="s">
        <v>11681</v>
      </c>
      <c r="F2067" s="28" t="s">
        <v>21</v>
      </c>
      <c r="G2067" s="28" t="s">
        <v>207</v>
      </c>
      <c r="H2067" s="28" t="s">
        <v>9633</v>
      </c>
      <c r="I2067" s="28" t="s">
        <v>11682</v>
      </c>
      <c r="J2067" s="28" t="s">
        <v>207</v>
      </c>
      <c r="K2067" s="28" t="s">
        <v>9635</v>
      </c>
      <c r="L2067" s="28" t="s">
        <v>9636</v>
      </c>
      <c r="M2067" s="28" t="s">
        <v>11683</v>
      </c>
      <c r="N2067" s="28" t="s">
        <v>9638</v>
      </c>
      <c r="O2067" s="28" t="s">
        <v>9639</v>
      </c>
      <c r="P2067" s="28" t="s">
        <v>11684</v>
      </c>
    </row>
    <row r="2068" spans="1:16" x14ac:dyDescent="0.25">
      <c r="A2068" s="28" t="s">
        <v>11685</v>
      </c>
      <c r="B2068" s="28" t="s">
        <v>11686</v>
      </c>
      <c r="C2068" s="28" t="s">
        <v>132</v>
      </c>
      <c r="D2068" s="28" t="s">
        <v>2314</v>
      </c>
      <c r="E2068" s="28" t="s">
        <v>2315</v>
      </c>
      <c r="F2068" s="28" t="s">
        <v>21</v>
      </c>
      <c r="G2068" s="28" t="s">
        <v>207</v>
      </c>
      <c r="H2068" s="28" t="s">
        <v>9633</v>
      </c>
      <c r="I2068" s="28" t="s">
        <v>11687</v>
      </c>
      <c r="J2068" s="28" t="s">
        <v>207</v>
      </c>
      <c r="K2068" s="28" t="s">
        <v>9635</v>
      </c>
      <c r="L2068" s="28" t="s">
        <v>9636</v>
      </c>
      <c r="M2068" s="28" t="s">
        <v>11688</v>
      </c>
      <c r="N2068" s="28" t="s">
        <v>9638</v>
      </c>
      <c r="O2068" s="28" t="s">
        <v>9639</v>
      </c>
      <c r="P2068" s="28" t="s">
        <v>11689</v>
      </c>
    </row>
    <row r="2069" spans="1:16" x14ac:dyDescent="0.25">
      <c r="A2069" s="28" t="s">
        <v>11690</v>
      </c>
      <c r="B2069" s="28" t="s">
        <v>11691</v>
      </c>
      <c r="C2069" s="28" t="s">
        <v>132</v>
      </c>
      <c r="D2069" s="28" t="s">
        <v>2314</v>
      </c>
      <c r="E2069" s="28" t="s">
        <v>11692</v>
      </c>
      <c r="F2069" s="28" t="s">
        <v>21</v>
      </c>
      <c r="G2069" s="28" t="s">
        <v>207</v>
      </c>
      <c r="H2069" s="28" t="s">
        <v>9633</v>
      </c>
      <c r="I2069" s="28" t="s">
        <v>11693</v>
      </c>
      <c r="J2069" s="28" t="s">
        <v>207</v>
      </c>
      <c r="K2069" s="28" t="s">
        <v>9635</v>
      </c>
      <c r="L2069" s="28" t="s">
        <v>9636</v>
      </c>
      <c r="M2069" s="28" t="s">
        <v>11694</v>
      </c>
      <c r="N2069" s="28" t="s">
        <v>9638</v>
      </c>
      <c r="O2069" s="28" t="s">
        <v>9639</v>
      </c>
      <c r="P2069" s="28" t="s">
        <v>11695</v>
      </c>
    </row>
    <row r="2070" spans="1:16" x14ac:dyDescent="0.25">
      <c r="A2070" s="28" t="s">
        <v>11696</v>
      </c>
      <c r="B2070" s="28" t="s">
        <v>11697</v>
      </c>
      <c r="C2070" s="28" t="s">
        <v>132</v>
      </c>
      <c r="D2070" s="28" t="s">
        <v>11698</v>
      </c>
      <c r="E2070" s="28" t="s">
        <v>11699</v>
      </c>
      <c r="F2070" s="28" t="s">
        <v>21</v>
      </c>
      <c r="G2070" s="28" t="s">
        <v>207</v>
      </c>
      <c r="H2070" s="28" t="s">
        <v>9633</v>
      </c>
      <c r="I2070" s="28" t="s">
        <v>11700</v>
      </c>
      <c r="J2070" s="28" t="s">
        <v>207</v>
      </c>
      <c r="K2070" s="28" t="s">
        <v>9635</v>
      </c>
      <c r="L2070" s="28" t="s">
        <v>9636</v>
      </c>
      <c r="M2070" s="28" t="s">
        <v>11701</v>
      </c>
      <c r="N2070" s="28" t="s">
        <v>9638</v>
      </c>
      <c r="O2070" s="28" t="s">
        <v>9639</v>
      </c>
      <c r="P2070" s="28" t="s">
        <v>11702</v>
      </c>
    </row>
    <row r="2071" spans="1:16" x14ac:dyDescent="0.25">
      <c r="A2071" s="28" t="s">
        <v>11703</v>
      </c>
      <c r="B2071" s="28" t="s">
        <v>11704</v>
      </c>
      <c r="C2071" s="28" t="s">
        <v>132</v>
      </c>
      <c r="D2071" s="28" t="s">
        <v>11698</v>
      </c>
      <c r="E2071" s="28" t="s">
        <v>11705</v>
      </c>
      <c r="F2071" s="28" t="s">
        <v>21</v>
      </c>
      <c r="G2071" s="28" t="s">
        <v>207</v>
      </c>
      <c r="H2071" s="28" t="s">
        <v>9633</v>
      </c>
      <c r="I2071" s="28" t="s">
        <v>11706</v>
      </c>
      <c r="J2071" s="28" t="s">
        <v>207</v>
      </c>
      <c r="K2071" s="28" t="s">
        <v>9635</v>
      </c>
      <c r="L2071" s="28" t="s">
        <v>9636</v>
      </c>
      <c r="M2071" s="28" t="s">
        <v>11707</v>
      </c>
      <c r="N2071" s="28" t="s">
        <v>9638</v>
      </c>
      <c r="O2071" s="28" t="s">
        <v>9639</v>
      </c>
      <c r="P2071" s="28" t="s">
        <v>11708</v>
      </c>
    </row>
    <row r="2072" spans="1:16" x14ac:dyDescent="0.25">
      <c r="A2072" s="28" t="s">
        <v>11709</v>
      </c>
      <c r="B2072" s="28" t="s">
        <v>11710</v>
      </c>
      <c r="C2072" s="28" t="s">
        <v>132</v>
      </c>
      <c r="D2072" s="28" t="s">
        <v>11698</v>
      </c>
      <c r="E2072" s="28" t="s">
        <v>11711</v>
      </c>
      <c r="F2072" s="28" t="s">
        <v>21</v>
      </c>
      <c r="G2072" s="28" t="s">
        <v>207</v>
      </c>
      <c r="H2072" s="28" t="s">
        <v>9633</v>
      </c>
      <c r="I2072" s="28" t="s">
        <v>11712</v>
      </c>
      <c r="J2072" s="28" t="s">
        <v>207</v>
      </c>
      <c r="K2072" s="28" t="s">
        <v>9635</v>
      </c>
      <c r="L2072" s="28" t="s">
        <v>9636</v>
      </c>
      <c r="M2072" s="28" t="s">
        <v>11713</v>
      </c>
      <c r="N2072" s="28" t="s">
        <v>9638</v>
      </c>
      <c r="O2072" s="28" t="s">
        <v>9639</v>
      </c>
      <c r="P2072" s="28" t="s">
        <v>11714</v>
      </c>
    </row>
    <row r="2073" spans="1:16" x14ac:dyDescent="0.25">
      <c r="A2073" s="28" t="s">
        <v>11715</v>
      </c>
      <c r="B2073" s="28" t="s">
        <v>11716</v>
      </c>
      <c r="C2073" s="28" t="s">
        <v>132</v>
      </c>
      <c r="D2073" s="28" t="s">
        <v>11698</v>
      </c>
      <c r="E2073" s="28" t="s">
        <v>11717</v>
      </c>
      <c r="F2073" s="28" t="s">
        <v>21</v>
      </c>
      <c r="G2073" s="28" t="s">
        <v>207</v>
      </c>
      <c r="H2073" s="28" t="s">
        <v>9633</v>
      </c>
      <c r="I2073" s="28" t="s">
        <v>11718</v>
      </c>
      <c r="J2073" s="28" t="s">
        <v>207</v>
      </c>
      <c r="K2073" s="28" t="s">
        <v>9635</v>
      </c>
      <c r="L2073" s="28" t="s">
        <v>9636</v>
      </c>
      <c r="M2073" s="28" t="s">
        <v>11719</v>
      </c>
      <c r="N2073" s="28" t="s">
        <v>9638</v>
      </c>
      <c r="O2073" s="28" t="s">
        <v>9639</v>
      </c>
      <c r="P2073" s="28" t="s">
        <v>11720</v>
      </c>
    </row>
    <row r="2074" spans="1:16" x14ac:dyDescent="0.25">
      <c r="A2074" s="28" t="s">
        <v>11721</v>
      </c>
      <c r="B2074" s="28" t="s">
        <v>11722</v>
      </c>
      <c r="C2074" s="28" t="s">
        <v>132</v>
      </c>
      <c r="D2074" s="28" t="s">
        <v>11698</v>
      </c>
      <c r="E2074" s="28" t="s">
        <v>11723</v>
      </c>
      <c r="F2074" s="28" t="s">
        <v>21</v>
      </c>
      <c r="G2074" s="28" t="s">
        <v>135</v>
      </c>
      <c r="H2074" s="28" t="s">
        <v>10259</v>
      </c>
      <c r="I2074" s="28" t="s">
        <v>11724</v>
      </c>
      <c r="J2074" s="28" t="s">
        <v>135</v>
      </c>
      <c r="K2074" s="28" t="s">
        <v>10551</v>
      </c>
      <c r="L2074" s="28" t="s">
        <v>10262</v>
      </c>
      <c r="M2074" s="28" t="s">
        <v>11725</v>
      </c>
      <c r="N2074" s="28" t="s">
        <v>10264</v>
      </c>
      <c r="O2074" s="28" t="s">
        <v>10265</v>
      </c>
      <c r="P2074" s="28" t="s">
        <v>10266</v>
      </c>
    </row>
    <row r="2075" spans="1:16" x14ac:dyDescent="0.25">
      <c r="A2075" s="28" t="s">
        <v>11726</v>
      </c>
      <c r="B2075" s="28" t="s">
        <v>11727</v>
      </c>
      <c r="C2075" s="28" t="s">
        <v>132</v>
      </c>
      <c r="D2075" s="28" t="s">
        <v>11698</v>
      </c>
      <c r="E2075" s="28" t="s">
        <v>11728</v>
      </c>
      <c r="F2075" s="28" t="s">
        <v>21</v>
      </c>
      <c r="G2075" s="28" t="s">
        <v>207</v>
      </c>
      <c r="H2075" s="28" t="s">
        <v>9633</v>
      </c>
      <c r="I2075" s="28" t="s">
        <v>11729</v>
      </c>
      <c r="J2075" s="28" t="s">
        <v>207</v>
      </c>
      <c r="K2075" s="28" t="s">
        <v>9635</v>
      </c>
      <c r="L2075" s="28" t="s">
        <v>9636</v>
      </c>
      <c r="M2075" s="28" t="s">
        <v>11730</v>
      </c>
      <c r="N2075" s="28" t="s">
        <v>9638</v>
      </c>
      <c r="O2075" s="28" t="s">
        <v>9639</v>
      </c>
      <c r="P2075" s="28" t="s">
        <v>11731</v>
      </c>
    </row>
    <row r="2076" spans="1:16" x14ac:dyDescent="0.25">
      <c r="A2076" s="28" t="s">
        <v>11732</v>
      </c>
      <c r="B2076" s="28" t="s">
        <v>11733</v>
      </c>
      <c r="C2076" s="28" t="s">
        <v>132</v>
      </c>
      <c r="D2076" s="28" t="s">
        <v>11698</v>
      </c>
      <c r="E2076" s="28" t="s">
        <v>11734</v>
      </c>
      <c r="F2076" s="28" t="s">
        <v>21</v>
      </c>
      <c r="G2076" s="28" t="s">
        <v>207</v>
      </c>
      <c r="H2076" s="28" t="s">
        <v>9633</v>
      </c>
      <c r="I2076" s="28" t="s">
        <v>11735</v>
      </c>
      <c r="J2076" s="28" t="s">
        <v>207</v>
      </c>
      <c r="K2076" s="28" t="s">
        <v>9635</v>
      </c>
      <c r="L2076" s="28" t="s">
        <v>9636</v>
      </c>
      <c r="M2076" s="28" t="s">
        <v>11736</v>
      </c>
      <c r="N2076" s="28" t="s">
        <v>9638</v>
      </c>
      <c r="O2076" s="28" t="s">
        <v>9639</v>
      </c>
      <c r="P2076" s="28" t="s">
        <v>11737</v>
      </c>
    </row>
    <row r="2077" spans="1:16" x14ac:dyDescent="0.25">
      <c r="A2077" s="28" t="s">
        <v>11738</v>
      </c>
      <c r="B2077" s="28" t="s">
        <v>11739</v>
      </c>
      <c r="C2077" s="28" t="s">
        <v>132</v>
      </c>
      <c r="D2077" s="28" t="s">
        <v>11698</v>
      </c>
      <c r="E2077" s="28" t="s">
        <v>11740</v>
      </c>
      <c r="F2077" s="28" t="s">
        <v>21</v>
      </c>
      <c r="G2077" s="28" t="s">
        <v>207</v>
      </c>
      <c r="H2077" s="28" t="s">
        <v>9633</v>
      </c>
      <c r="I2077" s="28" t="s">
        <v>11741</v>
      </c>
      <c r="J2077" s="28" t="s">
        <v>207</v>
      </c>
      <c r="K2077" s="28" t="s">
        <v>9635</v>
      </c>
      <c r="L2077" s="28" t="s">
        <v>9636</v>
      </c>
      <c r="M2077" s="28" t="s">
        <v>11742</v>
      </c>
      <c r="N2077" s="28" t="s">
        <v>9638</v>
      </c>
      <c r="O2077" s="28" t="s">
        <v>9639</v>
      </c>
      <c r="P2077" s="28" t="s">
        <v>11743</v>
      </c>
    </row>
    <row r="2078" spans="1:16" x14ac:dyDescent="0.25">
      <c r="A2078" s="28" t="s">
        <v>11744</v>
      </c>
      <c r="B2078" s="28" t="s">
        <v>11745</v>
      </c>
      <c r="C2078" s="28" t="s">
        <v>132</v>
      </c>
      <c r="D2078" s="28" t="s">
        <v>11698</v>
      </c>
      <c r="E2078" s="28" t="s">
        <v>11746</v>
      </c>
      <c r="F2078" s="28" t="s">
        <v>21</v>
      </c>
      <c r="G2078" s="28" t="s">
        <v>207</v>
      </c>
      <c r="H2078" s="28" t="s">
        <v>9633</v>
      </c>
      <c r="I2078" s="28" t="s">
        <v>11747</v>
      </c>
      <c r="J2078" s="28" t="s">
        <v>207</v>
      </c>
      <c r="K2078" s="28" t="s">
        <v>9635</v>
      </c>
      <c r="L2078" s="28" t="s">
        <v>9636</v>
      </c>
      <c r="M2078" s="28" t="s">
        <v>11748</v>
      </c>
      <c r="N2078" s="28" t="s">
        <v>9638</v>
      </c>
      <c r="O2078" s="28" t="s">
        <v>9639</v>
      </c>
      <c r="P2078" s="28" t="s">
        <v>11749</v>
      </c>
    </row>
    <row r="2079" spans="1:16" x14ac:dyDescent="0.25">
      <c r="A2079" s="28" t="s">
        <v>11750</v>
      </c>
      <c r="B2079" s="28" t="s">
        <v>11751</v>
      </c>
      <c r="C2079" s="28" t="s">
        <v>132</v>
      </c>
      <c r="D2079" s="28" t="s">
        <v>11698</v>
      </c>
      <c r="E2079" s="28" t="s">
        <v>11746</v>
      </c>
      <c r="F2079" s="28" t="s">
        <v>21</v>
      </c>
      <c r="G2079" s="28" t="s">
        <v>207</v>
      </c>
      <c r="H2079" s="28" t="s">
        <v>9633</v>
      </c>
      <c r="I2079" s="28" t="s">
        <v>11752</v>
      </c>
      <c r="J2079" s="28" t="s">
        <v>207</v>
      </c>
      <c r="K2079" s="28" t="s">
        <v>9635</v>
      </c>
      <c r="L2079" s="28" t="s">
        <v>9636</v>
      </c>
      <c r="M2079" s="28" t="s">
        <v>11753</v>
      </c>
      <c r="N2079" s="28" t="s">
        <v>9638</v>
      </c>
      <c r="O2079" s="28" t="s">
        <v>9639</v>
      </c>
      <c r="P2079" s="28" t="s">
        <v>11749</v>
      </c>
    </row>
    <row r="2080" spans="1:16" x14ac:dyDescent="0.25">
      <c r="A2080" s="28" t="s">
        <v>11754</v>
      </c>
      <c r="B2080" s="28" t="s">
        <v>11755</v>
      </c>
      <c r="C2080" s="28" t="s">
        <v>132</v>
      </c>
      <c r="D2080" s="28" t="s">
        <v>11698</v>
      </c>
      <c r="E2080" s="28" t="s">
        <v>11746</v>
      </c>
      <c r="F2080" s="28" t="s">
        <v>21</v>
      </c>
      <c r="G2080" s="28" t="s">
        <v>207</v>
      </c>
      <c r="H2080" s="28" t="s">
        <v>9633</v>
      </c>
      <c r="I2080" s="28" t="s">
        <v>11756</v>
      </c>
      <c r="J2080" s="28" t="s">
        <v>207</v>
      </c>
      <c r="K2080" s="28" t="s">
        <v>9635</v>
      </c>
      <c r="L2080" s="28" t="s">
        <v>9636</v>
      </c>
      <c r="M2080" s="28" t="s">
        <v>11757</v>
      </c>
      <c r="N2080" s="28" t="s">
        <v>9638</v>
      </c>
      <c r="O2080" s="28" t="s">
        <v>9639</v>
      </c>
      <c r="P2080" s="28" t="s">
        <v>11749</v>
      </c>
    </row>
    <row r="2081" spans="1:16" x14ac:dyDescent="0.25">
      <c r="A2081" s="28" t="s">
        <v>11758</v>
      </c>
      <c r="B2081" s="28" t="s">
        <v>11759</v>
      </c>
      <c r="C2081" s="28" t="s">
        <v>132</v>
      </c>
      <c r="D2081" s="28" t="s">
        <v>11698</v>
      </c>
      <c r="E2081" s="28" t="s">
        <v>11746</v>
      </c>
      <c r="F2081" s="28" t="s">
        <v>21</v>
      </c>
      <c r="G2081" s="28" t="s">
        <v>207</v>
      </c>
      <c r="H2081" s="28" t="s">
        <v>9633</v>
      </c>
      <c r="I2081" s="28" t="s">
        <v>11760</v>
      </c>
      <c r="J2081" s="28" t="s">
        <v>207</v>
      </c>
      <c r="K2081" s="28" t="s">
        <v>9635</v>
      </c>
      <c r="L2081" s="28" t="s">
        <v>9636</v>
      </c>
      <c r="M2081" s="28" t="s">
        <v>11761</v>
      </c>
      <c r="N2081" s="28" t="s">
        <v>9638</v>
      </c>
      <c r="O2081" s="28" t="s">
        <v>9639</v>
      </c>
      <c r="P2081" s="28" t="s">
        <v>11749</v>
      </c>
    </row>
    <row r="2082" spans="1:16" x14ac:dyDescent="0.25">
      <c r="A2082" s="28" t="s">
        <v>11762</v>
      </c>
      <c r="B2082" s="28" t="s">
        <v>11763</v>
      </c>
      <c r="C2082" s="28" t="s">
        <v>132</v>
      </c>
      <c r="D2082" s="28" t="s">
        <v>11698</v>
      </c>
      <c r="E2082" s="28" t="s">
        <v>11746</v>
      </c>
      <c r="F2082" s="28" t="s">
        <v>21</v>
      </c>
      <c r="G2082" s="28" t="s">
        <v>207</v>
      </c>
      <c r="H2082" s="28" t="s">
        <v>9633</v>
      </c>
      <c r="I2082" s="28" t="s">
        <v>11764</v>
      </c>
      <c r="J2082" s="28" t="s">
        <v>207</v>
      </c>
      <c r="K2082" s="28" t="s">
        <v>9635</v>
      </c>
      <c r="L2082" s="28" t="s">
        <v>9636</v>
      </c>
      <c r="M2082" s="28" t="s">
        <v>11765</v>
      </c>
      <c r="N2082" s="28" t="s">
        <v>9638</v>
      </c>
      <c r="O2082" s="28" t="s">
        <v>9639</v>
      </c>
      <c r="P2082" s="28" t="s">
        <v>11749</v>
      </c>
    </row>
    <row r="2083" spans="1:16" x14ac:dyDescent="0.25">
      <c r="A2083" s="28" t="s">
        <v>11766</v>
      </c>
      <c r="B2083" s="28" t="s">
        <v>11767</v>
      </c>
      <c r="C2083" s="28" t="s">
        <v>132</v>
      </c>
      <c r="D2083" s="28" t="s">
        <v>11698</v>
      </c>
      <c r="E2083" s="28" t="s">
        <v>11768</v>
      </c>
      <c r="F2083" s="28" t="s">
        <v>21</v>
      </c>
      <c r="G2083" s="28" t="s">
        <v>207</v>
      </c>
      <c r="H2083" s="28" t="s">
        <v>9633</v>
      </c>
      <c r="I2083" s="28" t="s">
        <v>11769</v>
      </c>
      <c r="J2083" s="28" t="s">
        <v>207</v>
      </c>
      <c r="K2083" s="28" t="s">
        <v>9635</v>
      </c>
      <c r="L2083" s="28" t="s">
        <v>9636</v>
      </c>
      <c r="M2083" s="28" t="s">
        <v>11770</v>
      </c>
      <c r="N2083" s="28" t="s">
        <v>9638</v>
      </c>
      <c r="O2083" s="28" t="s">
        <v>9639</v>
      </c>
      <c r="P2083" s="28" t="s">
        <v>11771</v>
      </c>
    </row>
    <row r="2084" spans="1:16" x14ac:dyDescent="0.25">
      <c r="A2084" s="28" t="s">
        <v>11772</v>
      </c>
      <c r="B2084" s="28" t="s">
        <v>11773</v>
      </c>
      <c r="C2084" s="28" t="s">
        <v>132</v>
      </c>
      <c r="D2084" s="28" t="s">
        <v>11698</v>
      </c>
      <c r="E2084" s="28" t="s">
        <v>11774</v>
      </c>
      <c r="F2084" s="28" t="s">
        <v>21</v>
      </c>
      <c r="G2084" s="28" t="s">
        <v>207</v>
      </c>
      <c r="H2084" s="28" t="s">
        <v>9633</v>
      </c>
      <c r="I2084" s="28" t="s">
        <v>11775</v>
      </c>
      <c r="J2084" s="28" t="s">
        <v>207</v>
      </c>
      <c r="K2084" s="28" t="s">
        <v>9635</v>
      </c>
      <c r="L2084" s="28" t="s">
        <v>9636</v>
      </c>
      <c r="M2084" s="28" t="s">
        <v>11776</v>
      </c>
      <c r="N2084" s="28" t="s">
        <v>9638</v>
      </c>
      <c r="O2084" s="28" t="s">
        <v>9639</v>
      </c>
      <c r="P2084" s="28" t="s">
        <v>11777</v>
      </c>
    </row>
    <row r="2085" spans="1:16" x14ac:dyDescent="0.25">
      <c r="A2085" s="28" t="s">
        <v>11778</v>
      </c>
      <c r="B2085" s="28" t="s">
        <v>11779</v>
      </c>
      <c r="C2085" s="28" t="s">
        <v>132</v>
      </c>
      <c r="D2085" s="28" t="s">
        <v>11698</v>
      </c>
      <c r="E2085" s="28" t="s">
        <v>11780</v>
      </c>
      <c r="F2085" s="28" t="s">
        <v>21</v>
      </c>
      <c r="G2085" s="28" t="s">
        <v>207</v>
      </c>
      <c r="H2085" s="28" t="s">
        <v>9633</v>
      </c>
      <c r="I2085" s="28" t="s">
        <v>11781</v>
      </c>
      <c r="J2085" s="28" t="s">
        <v>207</v>
      </c>
      <c r="K2085" s="28" t="s">
        <v>9635</v>
      </c>
      <c r="L2085" s="28" t="s">
        <v>9636</v>
      </c>
      <c r="M2085" s="28" t="s">
        <v>11782</v>
      </c>
      <c r="N2085" s="28" t="s">
        <v>9638</v>
      </c>
      <c r="O2085" s="28" t="s">
        <v>9639</v>
      </c>
      <c r="P2085" s="28" t="s">
        <v>11783</v>
      </c>
    </row>
    <row r="2086" spans="1:16" x14ac:dyDescent="0.25">
      <c r="A2086" s="28" t="s">
        <v>11784</v>
      </c>
      <c r="B2086" s="28" t="s">
        <v>11785</v>
      </c>
      <c r="C2086" s="28" t="s">
        <v>132</v>
      </c>
      <c r="D2086" s="28" t="s">
        <v>11698</v>
      </c>
      <c r="E2086" s="28" t="s">
        <v>11786</v>
      </c>
      <c r="F2086" s="28" t="s">
        <v>21</v>
      </c>
      <c r="G2086" s="28" t="s">
        <v>207</v>
      </c>
      <c r="H2086" s="28" t="s">
        <v>9633</v>
      </c>
      <c r="I2086" s="28" t="s">
        <v>11787</v>
      </c>
      <c r="J2086" s="28" t="s">
        <v>207</v>
      </c>
      <c r="K2086" s="28" t="s">
        <v>9635</v>
      </c>
      <c r="L2086" s="28" t="s">
        <v>9636</v>
      </c>
      <c r="M2086" s="28" t="s">
        <v>11788</v>
      </c>
      <c r="N2086" s="28" t="s">
        <v>9638</v>
      </c>
      <c r="O2086" s="28" t="s">
        <v>9639</v>
      </c>
      <c r="P2086" s="28" t="s">
        <v>11789</v>
      </c>
    </row>
    <row r="2087" spans="1:16" x14ac:dyDescent="0.25">
      <c r="A2087" s="28" t="s">
        <v>11790</v>
      </c>
      <c r="B2087" s="28" t="s">
        <v>11791</v>
      </c>
      <c r="C2087" s="28" t="s">
        <v>132</v>
      </c>
      <c r="D2087" s="28" t="s">
        <v>1604</v>
      </c>
      <c r="E2087" s="28" t="s">
        <v>1605</v>
      </c>
      <c r="F2087" s="28" t="s">
        <v>21</v>
      </c>
      <c r="G2087" s="28" t="s">
        <v>135</v>
      </c>
      <c r="H2087" s="28" t="s">
        <v>9711</v>
      </c>
      <c r="I2087" s="28" t="s">
        <v>11792</v>
      </c>
      <c r="J2087" s="28" t="s">
        <v>135</v>
      </c>
      <c r="K2087" s="28" t="s">
        <v>9713</v>
      </c>
      <c r="L2087" s="28" t="s">
        <v>9714</v>
      </c>
      <c r="M2087" s="28" t="s">
        <v>11793</v>
      </c>
      <c r="N2087" s="28" t="s">
        <v>9716</v>
      </c>
      <c r="O2087" s="28" t="s">
        <v>9717</v>
      </c>
      <c r="P2087" s="28" t="s">
        <v>11794</v>
      </c>
    </row>
    <row r="2088" spans="1:16" x14ac:dyDescent="0.25">
      <c r="A2088" s="28" t="s">
        <v>11795</v>
      </c>
      <c r="B2088" s="28" t="s">
        <v>11796</v>
      </c>
      <c r="C2088" s="28" t="s">
        <v>132</v>
      </c>
      <c r="D2088" s="28" t="s">
        <v>1604</v>
      </c>
      <c r="E2088" s="28" t="s">
        <v>1605</v>
      </c>
      <c r="F2088" s="28" t="s">
        <v>21</v>
      </c>
      <c r="G2088" s="28" t="s">
        <v>149</v>
      </c>
      <c r="H2088" s="28" t="s">
        <v>9633</v>
      </c>
      <c r="I2088" s="28" t="s">
        <v>11797</v>
      </c>
      <c r="J2088" s="28" t="s">
        <v>149</v>
      </c>
      <c r="K2088" s="28" t="s">
        <v>9722</v>
      </c>
      <c r="L2088" s="28" t="s">
        <v>9636</v>
      </c>
      <c r="M2088" s="28" t="s">
        <v>11798</v>
      </c>
      <c r="N2088" s="28" t="s">
        <v>9638</v>
      </c>
      <c r="O2088" s="28" t="s">
        <v>9639</v>
      </c>
      <c r="P2088" s="28" t="s">
        <v>11799</v>
      </c>
    </row>
    <row r="2089" spans="1:16" x14ac:dyDescent="0.25">
      <c r="A2089" s="28" t="s">
        <v>11800</v>
      </c>
      <c r="B2089" s="28" t="s">
        <v>11801</v>
      </c>
      <c r="C2089" s="28" t="s">
        <v>132</v>
      </c>
      <c r="D2089" s="28" t="s">
        <v>1604</v>
      </c>
      <c r="E2089" s="28" t="s">
        <v>1605</v>
      </c>
      <c r="F2089" s="28" t="s">
        <v>21</v>
      </c>
      <c r="G2089" s="28" t="s">
        <v>149</v>
      </c>
      <c r="H2089" s="28" t="s">
        <v>9633</v>
      </c>
      <c r="I2089" s="28" t="s">
        <v>11802</v>
      </c>
      <c r="J2089" s="28" t="s">
        <v>149</v>
      </c>
      <c r="K2089" s="28" t="s">
        <v>9722</v>
      </c>
      <c r="L2089" s="28" t="s">
        <v>9636</v>
      </c>
      <c r="M2089" s="28" t="s">
        <v>11803</v>
      </c>
      <c r="N2089" s="28" t="s">
        <v>9638</v>
      </c>
      <c r="O2089" s="28" t="s">
        <v>9639</v>
      </c>
      <c r="P2089" s="28" t="s">
        <v>11799</v>
      </c>
    </row>
    <row r="2090" spans="1:16" x14ac:dyDescent="0.25">
      <c r="A2090" s="28" t="s">
        <v>11804</v>
      </c>
      <c r="B2090" s="28" t="s">
        <v>11805</v>
      </c>
      <c r="C2090" s="28" t="s">
        <v>132</v>
      </c>
      <c r="D2090" s="28" t="s">
        <v>1604</v>
      </c>
      <c r="E2090" s="28" t="s">
        <v>1605</v>
      </c>
      <c r="F2090" s="28" t="s">
        <v>21</v>
      </c>
      <c r="G2090" s="28" t="s">
        <v>149</v>
      </c>
      <c r="H2090" s="28" t="s">
        <v>9633</v>
      </c>
      <c r="I2090" s="28" t="s">
        <v>11806</v>
      </c>
      <c r="J2090" s="28" t="s">
        <v>149</v>
      </c>
      <c r="K2090" s="28" t="s">
        <v>9722</v>
      </c>
      <c r="L2090" s="28" t="s">
        <v>9636</v>
      </c>
      <c r="M2090" s="28" t="s">
        <v>11807</v>
      </c>
      <c r="N2090" s="28" t="s">
        <v>9638</v>
      </c>
      <c r="O2090" s="28" t="s">
        <v>9639</v>
      </c>
      <c r="P2090" s="28" t="s">
        <v>11799</v>
      </c>
    </row>
    <row r="2091" spans="1:16" x14ac:dyDescent="0.25">
      <c r="A2091" s="28" t="s">
        <v>11808</v>
      </c>
      <c r="B2091" s="28" t="s">
        <v>11809</v>
      </c>
      <c r="C2091" s="28" t="s">
        <v>132</v>
      </c>
      <c r="D2091" s="28" t="s">
        <v>1604</v>
      </c>
      <c r="E2091" s="28" t="s">
        <v>1605</v>
      </c>
      <c r="F2091" s="28" t="s">
        <v>21</v>
      </c>
      <c r="G2091" s="28" t="s">
        <v>149</v>
      </c>
      <c r="H2091" s="28" t="s">
        <v>9633</v>
      </c>
      <c r="I2091" s="28" t="s">
        <v>11810</v>
      </c>
      <c r="J2091" s="28" t="s">
        <v>149</v>
      </c>
      <c r="K2091" s="28" t="s">
        <v>9722</v>
      </c>
      <c r="L2091" s="28" t="s">
        <v>9636</v>
      </c>
      <c r="M2091" s="28" t="s">
        <v>11811</v>
      </c>
      <c r="N2091" s="28" t="s">
        <v>9638</v>
      </c>
      <c r="O2091" s="28" t="s">
        <v>9639</v>
      </c>
      <c r="P2091" s="28" t="s">
        <v>11799</v>
      </c>
    </row>
    <row r="2092" spans="1:16" x14ac:dyDescent="0.25">
      <c r="A2092" s="28" t="s">
        <v>11812</v>
      </c>
      <c r="B2092" s="28" t="s">
        <v>11813</v>
      </c>
      <c r="C2092" s="28" t="s">
        <v>132</v>
      </c>
      <c r="D2092" s="28" t="s">
        <v>1604</v>
      </c>
      <c r="E2092" s="28" t="s">
        <v>11814</v>
      </c>
      <c r="F2092" s="28" t="s">
        <v>21</v>
      </c>
      <c r="G2092" s="28" t="s">
        <v>149</v>
      </c>
      <c r="H2092" s="28" t="s">
        <v>9633</v>
      </c>
      <c r="I2092" s="28" t="s">
        <v>11815</v>
      </c>
      <c r="J2092" s="28" t="s">
        <v>149</v>
      </c>
      <c r="K2092" s="28" t="s">
        <v>9722</v>
      </c>
      <c r="L2092" s="28" t="s">
        <v>9636</v>
      </c>
      <c r="M2092" s="28" t="s">
        <v>11816</v>
      </c>
      <c r="N2092" s="28" t="s">
        <v>9638</v>
      </c>
      <c r="O2092" s="28" t="s">
        <v>9639</v>
      </c>
      <c r="P2092" s="28" t="s">
        <v>11817</v>
      </c>
    </row>
    <row r="2093" spans="1:16" x14ac:dyDescent="0.25">
      <c r="A2093" s="28" t="s">
        <v>11818</v>
      </c>
      <c r="B2093" s="28" t="s">
        <v>11819</v>
      </c>
      <c r="C2093" s="28" t="s">
        <v>132</v>
      </c>
      <c r="D2093" s="28" t="s">
        <v>1604</v>
      </c>
      <c r="E2093" s="28" t="s">
        <v>11814</v>
      </c>
      <c r="F2093" s="28" t="s">
        <v>21</v>
      </c>
      <c r="G2093" s="28" t="s">
        <v>149</v>
      </c>
      <c r="H2093" s="28" t="s">
        <v>9633</v>
      </c>
      <c r="I2093" s="28" t="s">
        <v>11820</v>
      </c>
      <c r="J2093" s="28" t="s">
        <v>149</v>
      </c>
      <c r="K2093" s="28" t="s">
        <v>9722</v>
      </c>
      <c r="L2093" s="28" t="s">
        <v>9636</v>
      </c>
      <c r="M2093" s="28" t="s">
        <v>11821</v>
      </c>
      <c r="N2093" s="28" t="s">
        <v>9638</v>
      </c>
      <c r="O2093" s="28" t="s">
        <v>9639</v>
      </c>
      <c r="P2093" s="28" t="s">
        <v>11817</v>
      </c>
    </row>
    <row r="2094" spans="1:16" x14ac:dyDescent="0.25">
      <c r="A2094" s="28" t="s">
        <v>11822</v>
      </c>
      <c r="B2094" s="28" t="s">
        <v>11823</v>
      </c>
      <c r="C2094" s="28" t="s">
        <v>132</v>
      </c>
      <c r="D2094" s="28" t="s">
        <v>1604</v>
      </c>
      <c r="E2094" s="28" t="s">
        <v>11814</v>
      </c>
      <c r="F2094" s="28" t="s">
        <v>21</v>
      </c>
      <c r="G2094" s="28" t="s">
        <v>149</v>
      </c>
      <c r="H2094" s="28" t="s">
        <v>9633</v>
      </c>
      <c r="I2094" s="28" t="s">
        <v>11824</v>
      </c>
      <c r="J2094" s="28" t="s">
        <v>149</v>
      </c>
      <c r="K2094" s="28" t="s">
        <v>9722</v>
      </c>
      <c r="L2094" s="28" t="s">
        <v>9636</v>
      </c>
      <c r="M2094" s="28" t="s">
        <v>11825</v>
      </c>
      <c r="N2094" s="28" t="s">
        <v>9638</v>
      </c>
      <c r="O2094" s="28" t="s">
        <v>9639</v>
      </c>
      <c r="P2094" s="28" t="s">
        <v>11817</v>
      </c>
    </row>
    <row r="2095" spans="1:16" x14ac:dyDescent="0.25">
      <c r="A2095" s="28" t="s">
        <v>11826</v>
      </c>
      <c r="B2095" s="28" t="s">
        <v>11827</v>
      </c>
      <c r="C2095" s="28" t="s">
        <v>132</v>
      </c>
      <c r="D2095" s="28" t="s">
        <v>1604</v>
      </c>
      <c r="E2095" s="28" t="s">
        <v>11814</v>
      </c>
      <c r="F2095" s="28" t="s">
        <v>21</v>
      </c>
      <c r="G2095" s="28" t="s">
        <v>149</v>
      </c>
      <c r="H2095" s="28" t="s">
        <v>9633</v>
      </c>
      <c r="I2095" s="28" t="s">
        <v>11828</v>
      </c>
      <c r="J2095" s="28" t="s">
        <v>149</v>
      </c>
      <c r="K2095" s="28" t="s">
        <v>9722</v>
      </c>
      <c r="L2095" s="28" t="s">
        <v>9636</v>
      </c>
      <c r="M2095" s="28" t="s">
        <v>11829</v>
      </c>
      <c r="N2095" s="28" t="s">
        <v>9638</v>
      </c>
      <c r="O2095" s="28" t="s">
        <v>9639</v>
      </c>
      <c r="P2095" s="28" t="s">
        <v>11817</v>
      </c>
    </row>
    <row r="2096" spans="1:16" x14ac:dyDescent="0.25">
      <c r="A2096" s="28" t="s">
        <v>11830</v>
      </c>
      <c r="B2096" s="28" t="s">
        <v>11831</v>
      </c>
      <c r="C2096" s="28" t="s">
        <v>132</v>
      </c>
      <c r="D2096" s="28" t="s">
        <v>2347</v>
      </c>
      <c r="E2096" s="28" t="s">
        <v>11832</v>
      </c>
      <c r="F2096" s="28" t="s">
        <v>21</v>
      </c>
      <c r="G2096" s="28" t="s">
        <v>207</v>
      </c>
      <c r="H2096" s="28" t="s">
        <v>9633</v>
      </c>
      <c r="I2096" s="28" t="s">
        <v>11833</v>
      </c>
      <c r="J2096" s="28" t="s">
        <v>207</v>
      </c>
      <c r="K2096" s="28" t="s">
        <v>9635</v>
      </c>
      <c r="L2096" s="28" t="s">
        <v>9636</v>
      </c>
      <c r="M2096" s="28" t="s">
        <v>11834</v>
      </c>
      <c r="N2096" s="28" t="s">
        <v>9638</v>
      </c>
      <c r="O2096" s="28" t="s">
        <v>9639</v>
      </c>
      <c r="P2096" s="28" t="s">
        <v>11835</v>
      </c>
    </row>
    <row r="2097" spans="1:16" x14ac:dyDescent="0.25">
      <c r="A2097" s="28" t="s">
        <v>11836</v>
      </c>
      <c r="B2097" s="28" t="s">
        <v>11837</v>
      </c>
      <c r="C2097" s="28" t="s">
        <v>132</v>
      </c>
      <c r="D2097" s="28" t="s">
        <v>2347</v>
      </c>
      <c r="E2097" s="28" t="s">
        <v>11832</v>
      </c>
      <c r="F2097" s="28" t="s">
        <v>21</v>
      </c>
      <c r="G2097" s="28" t="s">
        <v>207</v>
      </c>
      <c r="H2097" s="28" t="s">
        <v>9633</v>
      </c>
      <c r="I2097" s="28" t="s">
        <v>11838</v>
      </c>
      <c r="J2097" s="28" t="s">
        <v>207</v>
      </c>
      <c r="K2097" s="28" t="s">
        <v>9635</v>
      </c>
      <c r="L2097" s="28" t="s">
        <v>9636</v>
      </c>
      <c r="M2097" s="28" t="s">
        <v>11839</v>
      </c>
      <c r="N2097" s="28" t="s">
        <v>9638</v>
      </c>
      <c r="O2097" s="28" t="s">
        <v>9639</v>
      </c>
      <c r="P2097" s="28" t="s">
        <v>11835</v>
      </c>
    </row>
    <row r="2098" spans="1:16" x14ac:dyDescent="0.25">
      <c r="A2098" s="28" t="s">
        <v>11840</v>
      </c>
      <c r="B2098" s="28" t="s">
        <v>11841</v>
      </c>
      <c r="C2098" s="28" t="s">
        <v>132</v>
      </c>
      <c r="D2098" s="28" t="s">
        <v>2347</v>
      </c>
      <c r="E2098" s="28" t="s">
        <v>11842</v>
      </c>
      <c r="F2098" s="28" t="s">
        <v>21</v>
      </c>
      <c r="G2098" s="28" t="s">
        <v>207</v>
      </c>
      <c r="H2098" s="28" t="s">
        <v>9633</v>
      </c>
      <c r="I2098" s="28" t="s">
        <v>11843</v>
      </c>
      <c r="J2098" s="28" t="s">
        <v>207</v>
      </c>
      <c r="K2098" s="28" t="s">
        <v>9635</v>
      </c>
      <c r="L2098" s="28" t="s">
        <v>9636</v>
      </c>
      <c r="M2098" s="28" t="s">
        <v>11844</v>
      </c>
      <c r="N2098" s="28" t="s">
        <v>9638</v>
      </c>
      <c r="O2098" s="28" t="s">
        <v>9639</v>
      </c>
      <c r="P2098" s="28" t="s">
        <v>11845</v>
      </c>
    </row>
    <row r="2099" spans="1:16" x14ac:dyDescent="0.25">
      <c r="A2099" s="28" t="s">
        <v>11846</v>
      </c>
      <c r="B2099" s="28" t="s">
        <v>11847</v>
      </c>
      <c r="C2099" s="28" t="s">
        <v>132</v>
      </c>
      <c r="D2099" s="28" t="s">
        <v>2347</v>
      </c>
      <c r="E2099" s="28" t="s">
        <v>11842</v>
      </c>
      <c r="F2099" s="28" t="s">
        <v>21</v>
      </c>
      <c r="G2099" s="28" t="s">
        <v>207</v>
      </c>
      <c r="H2099" s="28" t="s">
        <v>9633</v>
      </c>
      <c r="I2099" s="28" t="s">
        <v>11848</v>
      </c>
      <c r="J2099" s="28" t="s">
        <v>207</v>
      </c>
      <c r="K2099" s="28" t="s">
        <v>9635</v>
      </c>
      <c r="L2099" s="28" t="s">
        <v>9636</v>
      </c>
      <c r="M2099" s="28" t="s">
        <v>11849</v>
      </c>
      <c r="N2099" s="28" t="s">
        <v>9638</v>
      </c>
      <c r="O2099" s="28" t="s">
        <v>9639</v>
      </c>
      <c r="P2099" s="28" t="s">
        <v>11845</v>
      </c>
    </row>
    <row r="2100" spans="1:16" x14ac:dyDescent="0.25">
      <c r="A2100" s="28" t="s">
        <v>11850</v>
      </c>
      <c r="B2100" s="28" t="s">
        <v>11851</v>
      </c>
      <c r="C2100" s="28" t="s">
        <v>132</v>
      </c>
      <c r="D2100" s="28" t="s">
        <v>2347</v>
      </c>
      <c r="E2100" s="28" t="s">
        <v>11852</v>
      </c>
      <c r="F2100" s="28" t="s">
        <v>21</v>
      </c>
      <c r="G2100" s="28" t="s">
        <v>207</v>
      </c>
      <c r="H2100" s="28" t="s">
        <v>9633</v>
      </c>
      <c r="I2100" s="28" t="s">
        <v>11853</v>
      </c>
      <c r="J2100" s="28" t="s">
        <v>207</v>
      </c>
      <c r="K2100" s="28" t="s">
        <v>9635</v>
      </c>
      <c r="L2100" s="28" t="s">
        <v>9636</v>
      </c>
      <c r="M2100" s="28" t="s">
        <v>11854</v>
      </c>
      <c r="N2100" s="28" t="s">
        <v>9638</v>
      </c>
      <c r="O2100" s="28" t="s">
        <v>9639</v>
      </c>
      <c r="P2100" s="28" t="s">
        <v>11855</v>
      </c>
    </row>
    <row r="2101" spans="1:16" x14ac:dyDescent="0.25">
      <c r="A2101" s="28" t="s">
        <v>11856</v>
      </c>
      <c r="B2101" s="28" t="s">
        <v>11857</v>
      </c>
      <c r="C2101" s="28" t="s">
        <v>132</v>
      </c>
      <c r="D2101" s="28" t="s">
        <v>2347</v>
      </c>
      <c r="E2101" s="28" t="s">
        <v>11852</v>
      </c>
      <c r="F2101" s="28" t="s">
        <v>21</v>
      </c>
      <c r="G2101" s="28" t="s">
        <v>207</v>
      </c>
      <c r="H2101" s="28" t="s">
        <v>9633</v>
      </c>
      <c r="I2101" s="28" t="s">
        <v>11858</v>
      </c>
      <c r="J2101" s="28" t="s">
        <v>207</v>
      </c>
      <c r="K2101" s="28" t="s">
        <v>9635</v>
      </c>
      <c r="L2101" s="28" t="s">
        <v>9636</v>
      </c>
      <c r="M2101" s="28" t="s">
        <v>11859</v>
      </c>
      <c r="N2101" s="28" t="s">
        <v>9638</v>
      </c>
      <c r="O2101" s="28" t="s">
        <v>9639</v>
      </c>
      <c r="P2101" s="28" t="s">
        <v>11855</v>
      </c>
    </row>
    <row r="2102" spans="1:16" x14ac:dyDescent="0.25">
      <c r="A2102" s="28" t="s">
        <v>11860</v>
      </c>
      <c r="B2102" s="28" t="s">
        <v>11861</v>
      </c>
      <c r="C2102" s="28" t="s">
        <v>132</v>
      </c>
      <c r="D2102" s="28" t="s">
        <v>2347</v>
      </c>
      <c r="E2102" s="28" t="s">
        <v>11862</v>
      </c>
      <c r="F2102" s="28" t="s">
        <v>21</v>
      </c>
      <c r="G2102" s="28" t="s">
        <v>207</v>
      </c>
      <c r="H2102" s="28" t="s">
        <v>9633</v>
      </c>
      <c r="I2102" s="28" t="s">
        <v>11863</v>
      </c>
      <c r="J2102" s="28" t="s">
        <v>207</v>
      </c>
      <c r="K2102" s="28" t="s">
        <v>9635</v>
      </c>
      <c r="L2102" s="28" t="s">
        <v>9636</v>
      </c>
      <c r="M2102" s="28" t="s">
        <v>11864</v>
      </c>
      <c r="N2102" s="28" t="s">
        <v>9638</v>
      </c>
      <c r="O2102" s="28" t="s">
        <v>9639</v>
      </c>
      <c r="P2102" s="28" t="s">
        <v>11865</v>
      </c>
    </row>
    <row r="2103" spans="1:16" x14ac:dyDescent="0.25">
      <c r="A2103" s="28" t="s">
        <v>11866</v>
      </c>
      <c r="B2103" s="28" t="s">
        <v>11867</v>
      </c>
      <c r="C2103" s="28" t="s">
        <v>132</v>
      </c>
      <c r="D2103" s="28" t="s">
        <v>2347</v>
      </c>
      <c r="E2103" s="28" t="s">
        <v>11862</v>
      </c>
      <c r="F2103" s="28" t="s">
        <v>21</v>
      </c>
      <c r="G2103" s="28" t="s">
        <v>207</v>
      </c>
      <c r="H2103" s="28" t="s">
        <v>9633</v>
      </c>
      <c r="I2103" s="28" t="s">
        <v>11868</v>
      </c>
      <c r="J2103" s="28" t="s">
        <v>207</v>
      </c>
      <c r="K2103" s="28" t="s">
        <v>9635</v>
      </c>
      <c r="L2103" s="28" t="s">
        <v>9636</v>
      </c>
      <c r="M2103" s="28" t="s">
        <v>11869</v>
      </c>
      <c r="N2103" s="28" t="s">
        <v>9638</v>
      </c>
      <c r="O2103" s="28" t="s">
        <v>9639</v>
      </c>
      <c r="P2103" s="28" t="s">
        <v>11865</v>
      </c>
    </row>
    <row r="2104" spans="1:16" x14ac:dyDescent="0.25">
      <c r="A2104" s="28" t="s">
        <v>11870</v>
      </c>
      <c r="B2104" s="28" t="s">
        <v>11871</v>
      </c>
      <c r="C2104" s="28" t="s">
        <v>132</v>
      </c>
      <c r="D2104" s="28" t="s">
        <v>2347</v>
      </c>
      <c r="E2104" s="28" t="s">
        <v>11872</v>
      </c>
      <c r="F2104" s="28" t="s">
        <v>21</v>
      </c>
      <c r="G2104" s="28" t="s">
        <v>207</v>
      </c>
      <c r="H2104" s="28" t="s">
        <v>9633</v>
      </c>
      <c r="I2104" s="28" t="s">
        <v>11873</v>
      </c>
      <c r="J2104" s="28" t="s">
        <v>207</v>
      </c>
      <c r="K2104" s="28" t="s">
        <v>9635</v>
      </c>
      <c r="L2104" s="28" t="s">
        <v>9636</v>
      </c>
      <c r="M2104" s="28" t="s">
        <v>11874</v>
      </c>
      <c r="N2104" s="28" t="s">
        <v>9638</v>
      </c>
      <c r="O2104" s="28" t="s">
        <v>9639</v>
      </c>
      <c r="P2104" s="28" t="s">
        <v>11875</v>
      </c>
    </row>
    <row r="2105" spans="1:16" x14ac:dyDescent="0.25">
      <c r="A2105" s="28" t="s">
        <v>11876</v>
      </c>
      <c r="B2105" s="28" t="s">
        <v>11877</v>
      </c>
      <c r="C2105" s="28" t="s">
        <v>132</v>
      </c>
      <c r="D2105" s="28" t="s">
        <v>2347</v>
      </c>
      <c r="E2105" s="28" t="s">
        <v>11872</v>
      </c>
      <c r="F2105" s="28" t="s">
        <v>21</v>
      </c>
      <c r="G2105" s="28" t="s">
        <v>207</v>
      </c>
      <c r="H2105" s="28" t="s">
        <v>9633</v>
      </c>
      <c r="I2105" s="28" t="s">
        <v>11878</v>
      </c>
      <c r="J2105" s="28" t="s">
        <v>207</v>
      </c>
      <c r="K2105" s="28" t="s">
        <v>9635</v>
      </c>
      <c r="L2105" s="28" t="s">
        <v>9636</v>
      </c>
      <c r="M2105" s="28" t="s">
        <v>11879</v>
      </c>
      <c r="N2105" s="28" t="s">
        <v>9638</v>
      </c>
      <c r="O2105" s="28" t="s">
        <v>9639</v>
      </c>
      <c r="P2105" s="28" t="s">
        <v>11875</v>
      </c>
    </row>
    <row r="2106" spans="1:16" x14ac:dyDescent="0.25">
      <c r="A2106" s="28" t="s">
        <v>11880</v>
      </c>
      <c r="B2106" s="28" t="s">
        <v>11881</v>
      </c>
      <c r="C2106" s="28" t="s">
        <v>132</v>
      </c>
      <c r="D2106" s="28" t="s">
        <v>2347</v>
      </c>
      <c r="E2106" s="28" t="s">
        <v>11882</v>
      </c>
      <c r="F2106" s="28" t="s">
        <v>21</v>
      </c>
      <c r="G2106" s="28" t="s">
        <v>207</v>
      </c>
      <c r="H2106" s="28" t="s">
        <v>9633</v>
      </c>
      <c r="I2106" s="28" t="s">
        <v>11883</v>
      </c>
      <c r="J2106" s="28" t="s">
        <v>207</v>
      </c>
      <c r="K2106" s="28" t="s">
        <v>9635</v>
      </c>
      <c r="L2106" s="28" t="s">
        <v>9636</v>
      </c>
      <c r="M2106" s="28" t="s">
        <v>11884</v>
      </c>
      <c r="N2106" s="28" t="s">
        <v>9638</v>
      </c>
      <c r="O2106" s="28" t="s">
        <v>9639</v>
      </c>
      <c r="P2106" s="28" t="s">
        <v>11885</v>
      </c>
    </row>
    <row r="2107" spans="1:16" x14ac:dyDescent="0.25">
      <c r="A2107" s="28" t="s">
        <v>11886</v>
      </c>
      <c r="B2107" s="28" t="s">
        <v>11887</v>
      </c>
      <c r="C2107" s="28" t="s">
        <v>132</v>
      </c>
      <c r="D2107" s="28" t="s">
        <v>2347</v>
      </c>
      <c r="E2107" s="28" t="s">
        <v>11882</v>
      </c>
      <c r="F2107" s="28" t="s">
        <v>21</v>
      </c>
      <c r="G2107" s="28" t="s">
        <v>207</v>
      </c>
      <c r="H2107" s="28" t="s">
        <v>9633</v>
      </c>
      <c r="I2107" s="28" t="s">
        <v>11888</v>
      </c>
      <c r="J2107" s="28" t="s">
        <v>207</v>
      </c>
      <c r="K2107" s="28" t="s">
        <v>9635</v>
      </c>
      <c r="L2107" s="28" t="s">
        <v>9636</v>
      </c>
      <c r="M2107" s="28" t="s">
        <v>11889</v>
      </c>
      <c r="N2107" s="28" t="s">
        <v>9638</v>
      </c>
      <c r="O2107" s="28" t="s">
        <v>9639</v>
      </c>
      <c r="P2107" s="28" t="s">
        <v>11885</v>
      </c>
    </row>
    <row r="2108" spans="1:16" x14ac:dyDescent="0.25">
      <c r="A2108" s="28" t="s">
        <v>11890</v>
      </c>
      <c r="B2108" s="28" t="s">
        <v>11891</v>
      </c>
      <c r="C2108" s="28" t="s">
        <v>132</v>
      </c>
      <c r="D2108" s="28" t="s">
        <v>2347</v>
      </c>
      <c r="E2108" s="28" t="s">
        <v>11892</v>
      </c>
      <c r="F2108" s="28" t="s">
        <v>21</v>
      </c>
      <c r="G2108" s="28" t="s">
        <v>149</v>
      </c>
      <c r="H2108" s="28" t="s">
        <v>9633</v>
      </c>
      <c r="I2108" s="28" t="s">
        <v>11893</v>
      </c>
      <c r="J2108" s="28" t="s">
        <v>149</v>
      </c>
      <c r="K2108" s="28" t="s">
        <v>9722</v>
      </c>
      <c r="L2108" s="28" t="s">
        <v>9636</v>
      </c>
      <c r="M2108" s="28" t="s">
        <v>11894</v>
      </c>
      <c r="N2108" s="28" t="s">
        <v>9638</v>
      </c>
      <c r="O2108" s="28" t="s">
        <v>9639</v>
      </c>
      <c r="P2108" s="28" t="s">
        <v>11895</v>
      </c>
    </row>
    <row r="2109" spans="1:16" x14ac:dyDescent="0.25">
      <c r="A2109" s="28" t="s">
        <v>11896</v>
      </c>
      <c r="B2109" s="28" t="s">
        <v>11897</v>
      </c>
      <c r="C2109" s="28" t="s">
        <v>132</v>
      </c>
      <c r="D2109" s="28" t="s">
        <v>2347</v>
      </c>
      <c r="E2109" s="28" t="s">
        <v>11898</v>
      </c>
      <c r="F2109" s="28" t="s">
        <v>21</v>
      </c>
      <c r="G2109" s="28" t="s">
        <v>149</v>
      </c>
      <c r="H2109" s="28" t="s">
        <v>9633</v>
      </c>
      <c r="I2109" s="28" t="s">
        <v>11899</v>
      </c>
      <c r="J2109" s="28" t="s">
        <v>149</v>
      </c>
      <c r="K2109" s="28" t="s">
        <v>9722</v>
      </c>
      <c r="L2109" s="28" t="s">
        <v>9636</v>
      </c>
      <c r="M2109" s="28" t="s">
        <v>11900</v>
      </c>
      <c r="N2109" s="28" t="s">
        <v>9638</v>
      </c>
      <c r="O2109" s="28" t="s">
        <v>9639</v>
      </c>
      <c r="P2109" s="28" t="s">
        <v>11901</v>
      </c>
    </row>
    <row r="2110" spans="1:16" x14ac:dyDescent="0.25">
      <c r="A2110" s="28" t="s">
        <v>11902</v>
      </c>
      <c r="B2110" s="28" t="s">
        <v>11903</v>
      </c>
      <c r="C2110" s="28" t="s">
        <v>132</v>
      </c>
      <c r="D2110" s="28" t="s">
        <v>2347</v>
      </c>
      <c r="E2110" s="28" t="s">
        <v>11898</v>
      </c>
      <c r="F2110" s="28" t="s">
        <v>21</v>
      </c>
      <c r="G2110" s="28" t="s">
        <v>149</v>
      </c>
      <c r="H2110" s="28" t="s">
        <v>9633</v>
      </c>
      <c r="I2110" s="28" t="s">
        <v>11904</v>
      </c>
      <c r="J2110" s="28" t="s">
        <v>149</v>
      </c>
      <c r="K2110" s="28" t="s">
        <v>9722</v>
      </c>
      <c r="L2110" s="28" t="s">
        <v>9636</v>
      </c>
      <c r="M2110" s="28" t="s">
        <v>11905</v>
      </c>
      <c r="N2110" s="28" t="s">
        <v>9638</v>
      </c>
      <c r="O2110" s="28" t="s">
        <v>9639</v>
      </c>
      <c r="P2110" s="28" t="s">
        <v>11901</v>
      </c>
    </row>
    <row r="2111" spans="1:16" x14ac:dyDescent="0.25">
      <c r="A2111" s="28" t="s">
        <v>11906</v>
      </c>
      <c r="B2111" s="28" t="s">
        <v>11907</v>
      </c>
      <c r="C2111" s="28" t="s">
        <v>132</v>
      </c>
      <c r="D2111" s="28" t="s">
        <v>2347</v>
      </c>
      <c r="E2111" s="28" t="s">
        <v>11898</v>
      </c>
      <c r="F2111" s="28" t="s">
        <v>21</v>
      </c>
      <c r="G2111" s="28" t="s">
        <v>149</v>
      </c>
      <c r="H2111" s="28" t="s">
        <v>9633</v>
      </c>
      <c r="I2111" s="28" t="s">
        <v>11908</v>
      </c>
      <c r="J2111" s="28" t="s">
        <v>149</v>
      </c>
      <c r="K2111" s="28" t="s">
        <v>9722</v>
      </c>
      <c r="L2111" s="28" t="s">
        <v>9636</v>
      </c>
      <c r="M2111" s="28" t="s">
        <v>11909</v>
      </c>
      <c r="N2111" s="28" t="s">
        <v>9638</v>
      </c>
      <c r="O2111" s="28" t="s">
        <v>9639</v>
      </c>
      <c r="P2111" s="28" t="s">
        <v>11901</v>
      </c>
    </row>
    <row r="2112" spans="1:16" x14ac:dyDescent="0.25">
      <c r="A2112" s="28" t="s">
        <v>11910</v>
      </c>
      <c r="B2112" s="28" t="s">
        <v>11911</v>
      </c>
      <c r="C2112" s="28" t="s">
        <v>132</v>
      </c>
      <c r="D2112" s="28" t="s">
        <v>2347</v>
      </c>
      <c r="E2112" s="28" t="s">
        <v>11898</v>
      </c>
      <c r="F2112" s="28" t="s">
        <v>21</v>
      </c>
      <c r="G2112" s="28" t="s">
        <v>149</v>
      </c>
      <c r="H2112" s="28" t="s">
        <v>9633</v>
      </c>
      <c r="I2112" s="28" t="s">
        <v>11912</v>
      </c>
      <c r="J2112" s="28" t="s">
        <v>149</v>
      </c>
      <c r="K2112" s="28" t="s">
        <v>9722</v>
      </c>
      <c r="L2112" s="28" t="s">
        <v>9636</v>
      </c>
      <c r="M2112" s="28" t="s">
        <v>11913</v>
      </c>
      <c r="N2112" s="28" t="s">
        <v>9638</v>
      </c>
      <c r="O2112" s="28" t="s">
        <v>9639</v>
      </c>
      <c r="P2112" s="28" t="s">
        <v>11901</v>
      </c>
    </row>
    <row r="2113" spans="1:16" x14ac:dyDescent="0.25">
      <c r="A2113" s="28" t="s">
        <v>11914</v>
      </c>
      <c r="B2113" s="28" t="s">
        <v>11915</v>
      </c>
      <c r="C2113" s="28" t="s">
        <v>132</v>
      </c>
      <c r="D2113" s="28" t="s">
        <v>2347</v>
      </c>
      <c r="E2113" s="28" t="s">
        <v>11898</v>
      </c>
      <c r="F2113" s="28" t="s">
        <v>21</v>
      </c>
      <c r="G2113" s="28" t="s">
        <v>149</v>
      </c>
      <c r="H2113" s="28" t="s">
        <v>9633</v>
      </c>
      <c r="I2113" s="28" t="s">
        <v>11916</v>
      </c>
      <c r="J2113" s="28" t="s">
        <v>149</v>
      </c>
      <c r="K2113" s="28" t="s">
        <v>9722</v>
      </c>
      <c r="L2113" s="28" t="s">
        <v>9636</v>
      </c>
      <c r="M2113" s="28" t="s">
        <v>11917</v>
      </c>
      <c r="N2113" s="28" t="s">
        <v>9638</v>
      </c>
      <c r="O2113" s="28" t="s">
        <v>9639</v>
      </c>
      <c r="P2113" s="28" t="s">
        <v>11901</v>
      </c>
    </row>
    <row r="2114" spans="1:16" x14ac:dyDescent="0.25">
      <c r="A2114" s="28" t="s">
        <v>11918</v>
      </c>
      <c r="B2114" s="28" t="s">
        <v>11919</v>
      </c>
      <c r="C2114" s="28" t="s">
        <v>132</v>
      </c>
      <c r="D2114" s="28" t="s">
        <v>2347</v>
      </c>
      <c r="E2114" s="28" t="s">
        <v>11898</v>
      </c>
      <c r="F2114" s="28" t="s">
        <v>21</v>
      </c>
      <c r="G2114" s="28" t="s">
        <v>149</v>
      </c>
      <c r="H2114" s="28" t="s">
        <v>9633</v>
      </c>
      <c r="I2114" s="28" t="s">
        <v>11920</v>
      </c>
      <c r="J2114" s="28" t="s">
        <v>149</v>
      </c>
      <c r="K2114" s="28" t="s">
        <v>9722</v>
      </c>
      <c r="L2114" s="28" t="s">
        <v>9636</v>
      </c>
      <c r="M2114" s="28" t="s">
        <v>11921</v>
      </c>
      <c r="N2114" s="28" t="s">
        <v>9638</v>
      </c>
      <c r="O2114" s="28" t="s">
        <v>9639</v>
      </c>
      <c r="P2114" s="28" t="s">
        <v>11901</v>
      </c>
    </row>
    <row r="2115" spans="1:16" x14ac:dyDescent="0.25">
      <c r="A2115" s="28" t="s">
        <v>11922</v>
      </c>
      <c r="B2115" s="28" t="s">
        <v>11923</v>
      </c>
      <c r="C2115" s="28" t="s">
        <v>132</v>
      </c>
      <c r="D2115" s="28" t="s">
        <v>2347</v>
      </c>
      <c r="E2115" s="28" t="s">
        <v>11898</v>
      </c>
      <c r="F2115" s="28" t="s">
        <v>21</v>
      </c>
      <c r="G2115" s="28" t="s">
        <v>149</v>
      </c>
      <c r="H2115" s="28" t="s">
        <v>9633</v>
      </c>
      <c r="I2115" s="28" t="s">
        <v>11924</v>
      </c>
      <c r="J2115" s="28" t="s">
        <v>149</v>
      </c>
      <c r="K2115" s="28" t="s">
        <v>9722</v>
      </c>
      <c r="L2115" s="28" t="s">
        <v>9636</v>
      </c>
      <c r="M2115" s="28" t="s">
        <v>11925</v>
      </c>
      <c r="N2115" s="28" t="s">
        <v>9638</v>
      </c>
      <c r="O2115" s="28" t="s">
        <v>9639</v>
      </c>
      <c r="P2115" s="28" t="s">
        <v>11901</v>
      </c>
    </row>
    <row r="2116" spans="1:16" x14ac:dyDescent="0.25">
      <c r="A2116" s="28" t="s">
        <v>11926</v>
      </c>
      <c r="B2116" s="28" t="s">
        <v>11927</v>
      </c>
      <c r="C2116" s="28" t="s">
        <v>132</v>
      </c>
      <c r="D2116" s="28" t="s">
        <v>2347</v>
      </c>
      <c r="E2116" s="28" t="s">
        <v>11928</v>
      </c>
      <c r="F2116" s="28" t="s">
        <v>21</v>
      </c>
      <c r="G2116" s="28" t="s">
        <v>207</v>
      </c>
      <c r="H2116" s="28" t="s">
        <v>9633</v>
      </c>
      <c r="I2116" s="28" t="s">
        <v>11929</v>
      </c>
      <c r="J2116" s="28" t="s">
        <v>207</v>
      </c>
      <c r="K2116" s="28" t="s">
        <v>9635</v>
      </c>
      <c r="L2116" s="28" t="s">
        <v>9636</v>
      </c>
      <c r="M2116" s="28" t="s">
        <v>11930</v>
      </c>
      <c r="N2116" s="28" t="s">
        <v>9638</v>
      </c>
      <c r="O2116" s="28" t="s">
        <v>9639</v>
      </c>
      <c r="P2116" s="28" t="s">
        <v>11931</v>
      </c>
    </row>
    <row r="2117" spans="1:16" x14ac:dyDescent="0.25">
      <c r="A2117" s="28" t="s">
        <v>11932</v>
      </c>
      <c r="B2117" s="28" t="s">
        <v>11933</v>
      </c>
      <c r="C2117" s="28" t="s">
        <v>132</v>
      </c>
      <c r="D2117" s="28" t="s">
        <v>2347</v>
      </c>
      <c r="E2117" s="28" t="s">
        <v>11934</v>
      </c>
      <c r="F2117" s="28" t="s">
        <v>21</v>
      </c>
      <c r="G2117" s="28" t="s">
        <v>207</v>
      </c>
      <c r="H2117" s="28" t="s">
        <v>9633</v>
      </c>
      <c r="I2117" s="28" t="s">
        <v>11935</v>
      </c>
      <c r="J2117" s="28" t="s">
        <v>207</v>
      </c>
      <c r="K2117" s="28" t="s">
        <v>9635</v>
      </c>
      <c r="L2117" s="28" t="s">
        <v>9636</v>
      </c>
      <c r="M2117" s="28" t="s">
        <v>11936</v>
      </c>
      <c r="N2117" s="28" t="s">
        <v>9638</v>
      </c>
      <c r="O2117" s="28" t="s">
        <v>9639</v>
      </c>
      <c r="P2117" s="28" t="s">
        <v>11937</v>
      </c>
    </row>
    <row r="2118" spans="1:16" x14ac:dyDescent="0.25">
      <c r="A2118" s="28" t="s">
        <v>11938</v>
      </c>
      <c r="B2118" s="28" t="s">
        <v>11939</v>
      </c>
      <c r="C2118" s="28" t="s">
        <v>132</v>
      </c>
      <c r="D2118" s="28" t="s">
        <v>2347</v>
      </c>
      <c r="E2118" s="28" t="s">
        <v>11934</v>
      </c>
      <c r="F2118" s="28" t="s">
        <v>21</v>
      </c>
      <c r="G2118" s="28" t="s">
        <v>207</v>
      </c>
      <c r="H2118" s="28" t="s">
        <v>9633</v>
      </c>
      <c r="I2118" s="28" t="s">
        <v>11940</v>
      </c>
      <c r="J2118" s="28" t="s">
        <v>207</v>
      </c>
      <c r="K2118" s="28" t="s">
        <v>9635</v>
      </c>
      <c r="L2118" s="28" t="s">
        <v>9636</v>
      </c>
      <c r="M2118" s="28" t="s">
        <v>11941</v>
      </c>
      <c r="N2118" s="28" t="s">
        <v>9638</v>
      </c>
      <c r="O2118" s="28" t="s">
        <v>9639</v>
      </c>
      <c r="P2118" s="28" t="s">
        <v>11937</v>
      </c>
    </row>
    <row r="2119" spans="1:16" x14ac:dyDescent="0.25">
      <c r="A2119" s="28" t="s">
        <v>11942</v>
      </c>
      <c r="B2119" s="28" t="s">
        <v>11943</v>
      </c>
      <c r="C2119" s="28" t="s">
        <v>132</v>
      </c>
      <c r="D2119" s="28" t="s">
        <v>2347</v>
      </c>
      <c r="E2119" s="28" t="s">
        <v>11934</v>
      </c>
      <c r="F2119" s="28" t="s">
        <v>21</v>
      </c>
      <c r="G2119" s="28" t="s">
        <v>207</v>
      </c>
      <c r="H2119" s="28" t="s">
        <v>9633</v>
      </c>
      <c r="I2119" s="28" t="s">
        <v>11944</v>
      </c>
      <c r="J2119" s="28" t="s">
        <v>207</v>
      </c>
      <c r="K2119" s="28" t="s">
        <v>9635</v>
      </c>
      <c r="L2119" s="28" t="s">
        <v>9636</v>
      </c>
      <c r="M2119" s="28" t="s">
        <v>11945</v>
      </c>
      <c r="N2119" s="28" t="s">
        <v>9638</v>
      </c>
      <c r="O2119" s="28" t="s">
        <v>9639</v>
      </c>
      <c r="P2119" s="28" t="s">
        <v>11937</v>
      </c>
    </row>
    <row r="2120" spans="1:16" x14ac:dyDescent="0.25">
      <c r="A2120" s="28" t="s">
        <v>11946</v>
      </c>
      <c r="B2120" s="28" t="s">
        <v>11947</v>
      </c>
      <c r="C2120" s="28" t="s">
        <v>132</v>
      </c>
      <c r="D2120" s="28" t="s">
        <v>2347</v>
      </c>
      <c r="E2120" s="28" t="s">
        <v>11934</v>
      </c>
      <c r="F2120" s="28" t="s">
        <v>21</v>
      </c>
      <c r="G2120" s="28" t="s">
        <v>207</v>
      </c>
      <c r="H2120" s="28" t="s">
        <v>9633</v>
      </c>
      <c r="I2120" s="28" t="s">
        <v>11948</v>
      </c>
      <c r="J2120" s="28" t="s">
        <v>207</v>
      </c>
      <c r="K2120" s="28" t="s">
        <v>9635</v>
      </c>
      <c r="L2120" s="28" t="s">
        <v>9636</v>
      </c>
      <c r="M2120" s="28" t="s">
        <v>11949</v>
      </c>
      <c r="N2120" s="28" t="s">
        <v>9638</v>
      </c>
      <c r="O2120" s="28" t="s">
        <v>9639</v>
      </c>
      <c r="P2120" s="28" t="s">
        <v>11937</v>
      </c>
    </row>
    <row r="2121" spans="1:16" x14ac:dyDescent="0.25">
      <c r="A2121" s="28" t="s">
        <v>11950</v>
      </c>
      <c r="B2121" s="28" t="s">
        <v>11951</v>
      </c>
      <c r="C2121" s="28" t="s">
        <v>132</v>
      </c>
      <c r="D2121" s="28" t="s">
        <v>2347</v>
      </c>
      <c r="E2121" s="28" t="s">
        <v>11934</v>
      </c>
      <c r="F2121" s="28" t="s">
        <v>21</v>
      </c>
      <c r="G2121" s="28" t="s">
        <v>207</v>
      </c>
      <c r="H2121" s="28" t="s">
        <v>9633</v>
      </c>
      <c r="I2121" s="28" t="s">
        <v>11952</v>
      </c>
      <c r="J2121" s="28" t="s">
        <v>207</v>
      </c>
      <c r="K2121" s="28" t="s">
        <v>9635</v>
      </c>
      <c r="L2121" s="28" t="s">
        <v>9636</v>
      </c>
      <c r="M2121" s="28" t="s">
        <v>11953</v>
      </c>
      <c r="N2121" s="28" t="s">
        <v>9638</v>
      </c>
      <c r="O2121" s="28" t="s">
        <v>9639</v>
      </c>
      <c r="P2121" s="28" t="s">
        <v>11937</v>
      </c>
    </row>
    <row r="2122" spans="1:16" x14ac:dyDescent="0.25">
      <c r="A2122" s="28" t="s">
        <v>11954</v>
      </c>
      <c r="B2122" s="28" t="s">
        <v>11955</v>
      </c>
      <c r="C2122" s="28" t="s">
        <v>132</v>
      </c>
      <c r="D2122" s="28" t="s">
        <v>2347</v>
      </c>
      <c r="E2122" s="28" t="s">
        <v>11956</v>
      </c>
      <c r="F2122" s="28" t="s">
        <v>21</v>
      </c>
      <c r="G2122" s="28" t="s">
        <v>207</v>
      </c>
      <c r="H2122" s="28" t="s">
        <v>9633</v>
      </c>
      <c r="I2122" s="28" t="s">
        <v>11957</v>
      </c>
      <c r="J2122" s="28" t="s">
        <v>207</v>
      </c>
      <c r="K2122" s="28" t="s">
        <v>9635</v>
      </c>
      <c r="L2122" s="28" t="s">
        <v>9636</v>
      </c>
      <c r="M2122" s="28" t="s">
        <v>11958</v>
      </c>
      <c r="N2122" s="28" t="s">
        <v>9638</v>
      </c>
      <c r="O2122" s="28" t="s">
        <v>9639</v>
      </c>
      <c r="P2122" s="28" t="s">
        <v>11959</v>
      </c>
    </row>
    <row r="2123" spans="1:16" x14ac:dyDescent="0.25">
      <c r="A2123" s="28" t="s">
        <v>11960</v>
      </c>
      <c r="B2123" s="28" t="s">
        <v>11961</v>
      </c>
      <c r="C2123" s="28" t="s">
        <v>132</v>
      </c>
      <c r="D2123" s="28" t="s">
        <v>2347</v>
      </c>
      <c r="E2123" s="28" t="s">
        <v>11956</v>
      </c>
      <c r="F2123" s="28" t="s">
        <v>21</v>
      </c>
      <c r="G2123" s="28" t="s">
        <v>207</v>
      </c>
      <c r="H2123" s="28" t="s">
        <v>9633</v>
      </c>
      <c r="I2123" s="28" t="s">
        <v>11962</v>
      </c>
      <c r="J2123" s="28" t="s">
        <v>207</v>
      </c>
      <c r="K2123" s="28" t="s">
        <v>9635</v>
      </c>
      <c r="L2123" s="28" t="s">
        <v>9636</v>
      </c>
      <c r="M2123" s="28" t="s">
        <v>11963</v>
      </c>
      <c r="N2123" s="28" t="s">
        <v>9638</v>
      </c>
      <c r="O2123" s="28" t="s">
        <v>9639</v>
      </c>
      <c r="P2123" s="28" t="s">
        <v>11959</v>
      </c>
    </row>
    <row r="2124" spans="1:16" x14ac:dyDescent="0.25">
      <c r="A2124" s="28" t="s">
        <v>11964</v>
      </c>
      <c r="B2124" s="28" t="s">
        <v>11965</v>
      </c>
      <c r="C2124" s="28" t="s">
        <v>132</v>
      </c>
      <c r="D2124" s="28" t="s">
        <v>2347</v>
      </c>
      <c r="E2124" s="28" t="s">
        <v>11956</v>
      </c>
      <c r="F2124" s="28" t="s">
        <v>21</v>
      </c>
      <c r="G2124" s="28" t="s">
        <v>207</v>
      </c>
      <c r="H2124" s="28" t="s">
        <v>9633</v>
      </c>
      <c r="I2124" s="28" t="s">
        <v>11966</v>
      </c>
      <c r="J2124" s="28" t="s">
        <v>207</v>
      </c>
      <c r="K2124" s="28" t="s">
        <v>9635</v>
      </c>
      <c r="L2124" s="28" t="s">
        <v>9636</v>
      </c>
      <c r="M2124" s="28" t="s">
        <v>11967</v>
      </c>
      <c r="N2124" s="28" t="s">
        <v>9638</v>
      </c>
      <c r="O2124" s="28" t="s">
        <v>9639</v>
      </c>
      <c r="P2124" s="28" t="s">
        <v>11959</v>
      </c>
    </row>
    <row r="2125" spans="1:16" x14ac:dyDescent="0.25">
      <c r="A2125" s="28" t="s">
        <v>11968</v>
      </c>
      <c r="B2125" s="28" t="s">
        <v>11969</v>
      </c>
      <c r="C2125" s="28" t="s">
        <v>132</v>
      </c>
      <c r="D2125" s="28" t="s">
        <v>2347</v>
      </c>
      <c r="E2125" s="28" t="s">
        <v>11956</v>
      </c>
      <c r="F2125" s="28" t="s">
        <v>21</v>
      </c>
      <c r="G2125" s="28" t="s">
        <v>207</v>
      </c>
      <c r="H2125" s="28" t="s">
        <v>9633</v>
      </c>
      <c r="I2125" s="28" t="s">
        <v>11970</v>
      </c>
      <c r="J2125" s="28" t="s">
        <v>207</v>
      </c>
      <c r="K2125" s="28" t="s">
        <v>9635</v>
      </c>
      <c r="L2125" s="28" t="s">
        <v>9636</v>
      </c>
      <c r="M2125" s="28" t="s">
        <v>11971</v>
      </c>
      <c r="N2125" s="28" t="s">
        <v>9638</v>
      </c>
      <c r="O2125" s="28" t="s">
        <v>9639</v>
      </c>
      <c r="P2125" s="28" t="s">
        <v>11959</v>
      </c>
    </row>
    <row r="2126" spans="1:16" x14ac:dyDescent="0.25">
      <c r="A2126" s="28" t="s">
        <v>11972</v>
      </c>
      <c r="B2126" s="28" t="s">
        <v>11973</v>
      </c>
      <c r="C2126" s="28" t="s">
        <v>132</v>
      </c>
      <c r="D2126" s="28" t="s">
        <v>2347</v>
      </c>
      <c r="E2126" s="28" t="s">
        <v>11956</v>
      </c>
      <c r="F2126" s="28" t="s">
        <v>21</v>
      </c>
      <c r="G2126" s="28" t="s">
        <v>207</v>
      </c>
      <c r="H2126" s="28" t="s">
        <v>9633</v>
      </c>
      <c r="I2126" s="28" t="s">
        <v>11974</v>
      </c>
      <c r="J2126" s="28" t="s">
        <v>207</v>
      </c>
      <c r="K2126" s="28" t="s">
        <v>9635</v>
      </c>
      <c r="L2126" s="28" t="s">
        <v>9636</v>
      </c>
      <c r="M2126" s="28" t="s">
        <v>11975</v>
      </c>
      <c r="N2126" s="28" t="s">
        <v>9638</v>
      </c>
      <c r="O2126" s="28" t="s">
        <v>9639</v>
      </c>
      <c r="P2126" s="28" t="s">
        <v>11959</v>
      </c>
    </row>
    <row r="2127" spans="1:16" x14ac:dyDescent="0.25">
      <c r="A2127" s="28" t="s">
        <v>11976</v>
      </c>
      <c r="B2127" s="28" t="s">
        <v>11977</v>
      </c>
      <c r="C2127" s="28" t="s">
        <v>132</v>
      </c>
      <c r="D2127" s="28" t="s">
        <v>2347</v>
      </c>
      <c r="E2127" s="28" t="s">
        <v>11978</v>
      </c>
      <c r="F2127" s="28" t="s">
        <v>21</v>
      </c>
      <c r="G2127" s="28" t="s">
        <v>207</v>
      </c>
      <c r="H2127" s="28" t="s">
        <v>9633</v>
      </c>
      <c r="I2127" s="28" t="s">
        <v>11979</v>
      </c>
      <c r="J2127" s="28" t="s">
        <v>207</v>
      </c>
      <c r="K2127" s="28" t="s">
        <v>9635</v>
      </c>
      <c r="L2127" s="28" t="s">
        <v>9636</v>
      </c>
      <c r="M2127" s="28" t="s">
        <v>11980</v>
      </c>
      <c r="N2127" s="28" t="s">
        <v>9638</v>
      </c>
      <c r="O2127" s="28" t="s">
        <v>9639</v>
      </c>
      <c r="P2127" s="28" t="s">
        <v>11981</v>
      </c>
    </row>
    <row r="2128" spans="1:16" x14ac:dyDescent="0.25">
      <c r="A2128" s="28" t="s">
        <v>11982</v>
      </c>
      <c r="B2128" s="28" t="s">
        <v>11983</v>
      </c>
      <c r="C2128" s="28" t="s">
        <v>132</v>
      </c>
      <c r="D2128" s="28" t="s">
        <v>2347</v>
      </c>
      <c r="E2128" s="28" t="s">
        <v>11978</v>
      </c>
      <c r="F2128" s="28" t="s">
        <v>21</v>
      </c>
      <c r="G2128" s="28" t="s">
        <v>207</v>
      </c>
      <c r="H2128" s="28" t="s">
        <v>9633</v>
      </c>
      <c r="I2128" s="28" t="s">
        <v>11984</v>
      </c>
      <c r="J2128" s="28" t="s">
        <v>207</v>
      </c>
      <c r="K2128" s="28" t="s">
        <v>9635</v>
      </c>
      <c r="L2128" s="28" t="s">
        <v>9636</v>
      </c>
      <c r="M2128" s="28" t="s">
        <v>11985</v>
      </c>
      <c r="N2128" s="28" t="s">
        <v>9638</v>
      </c>
      <c r="O2128" s="28" t="s">
        <v>9639</v>
      </c>
      <c r="P2128" s="28" t="s">
        <v>11981</v>
      </c>
    </row>
    <row r="2129" spans="1:16" x14ac:dyDescent="0.25">
      <c r="A2129" s="28" t="s">
        <v>11986</v>
      </c>
      <c r="B2129" s="28" t="s">
        <v>11987</v>
      </c>
      <c r="C2129" s="28" t="s">
        <v>132</v>
      </c>
      <c r="D2129" s="28" t="s">
        <v>2347</v>
      </c>
      <c r="E2129" s="28" t="s">
        <v>11988</v>
      </c>
      <c r="F2129" s="28" t="s">
        <v>21</v>
      </c>
      <c r="G2129" s="28" t="s">
        <v>207</v>
      </c>
      <c r="H2129" s="28" t="s">
        <v>9633</v>
      </c>
      <c r="I2129" s="28" t="s">
        <v>11989</v>
      </c>
      <c r="J2129" s="28" t="s">
        <v>207</v>
      </c>
      <c r="K2129" s="28" t="s">
        <v>9635</v>
      </c>
      <c r="L2129" s="28" t="s">
        <v>9636</v>
      </c>
      <c r="M2129" s="28" t="s">
        <v>11990</v>
      </c>
      <c r="N2129" s="28" t="s">
        <v>9638</v>
      </c>
      <c r="O2129" s="28" t="s">
        <v>9639</v>
      </c>
      <c r="P2129" s="28" t="s">
        <v>11991</v>
      </c>
    </row>
    <row r="2130" spans="1:16" x14ac:dyDescent="0.25">
      <c r="A2130" s="28" t="s">
        <v>11992</v>
      </c>
      <c r="B2130" s="28" t="s">
        <v>11993</v>
      </c>
      <c r="C2130" s="28" t="s">
        <v>132</v>
      </c>
      <c r="D2130" s="28" t="s">
        <v>2347</v>
      </c>
      <c r="E2130" s="28" t="s">
        <v>11988</v>
      </c>
      <c r="F2130" s="28" t="s">
        <v>21</v>
      </c>
      <c r="G2130" s="28" t="s">
        <v>207</v>
      </c>
      <c r="H2130" s="28" t="s">
        <v>9633</v>
      </c>
      <c r="I2130" s="28" t="s">
        <v>11994</v>
      </c>
      <c r="J2130" s="28" t="s">
        <v>207</v>
      </c>
      <c r="K2130" s="28" t="s">
        <v>9635</v>
      </c>
      <c r="L2130" s="28" t="s">
        <v>9636</v>
      </c>
      <c r="M2130" s="28" t="s">
        <v>11995</v>
      </c>
      <c r="N2130" s="28" t="s">
        <v>9638</v>
      </c>
      <c r="O2130" s="28" t="s">
        <v>9639</v>
      </c>
      <c r="P2130" s="28" t="s">
        <v>11991</v>
      </c>
    </row>
    <row r="2131" spans="1:16" x14ac:dyDescent="0.25">
      <c r="A2131" s="28" t="s">
        <v>11996</v>
      </c>
      <c r="B2131" s="28" t="s">
        <v>11997</v>
      </c>
      <c r="C2131" s="28" t="s">
        <v>132</v>
      </c>
      <c r="D2131" s="28" t="s">
        <v>1078</v>
      </c>
      <c r="E2131" s="28" t="s">
        <v>1079</v>
      </c>
      <c r="F2131" s="28" t="s">
        <v>21</v>
      </c>
      <c r="G2131" s="28" t="s">
        <v>39</v>
      </c>
      <c r="H2131" s="28" t="s">
        <v>9711</v>
      </c>
      <c r="I2131" s="28" t="s">
        <v>11998</v>
      </c>
      <c r="J2131" s="28" t="s">
        <v>39</v>
      </c>
      <c r="K2131" s="28" t="s">
        <v>10506</v>
      </c>
      <c r="L2131" s="28" t="s">
        <v>9714</v>
      </c>
      <c r="M2131" s="28" t="s">
        <v>11999</v>
      </c>
      <c r="N2131" s="28" t="s">
        <v>9716</v>
      </c>
      <c r="O2131" s="28" t="s">
        <v>9717</v>
      </c>
      <c r="P2131" s="28" t="s">
        <v>12000</v>
      </c>
    </row>
    <row r="2132" spans="1:16" x14ac:dyDescent="0.25">
      <c r="A2132" s="28" t="s">
        <v>12001</v>
      </c>
      <c r="B2132" s="28" t="s">
        <v>12002</v>
      </c>
      <c r="C2132" s="28" t="s">
        <v>132</v>
      </c>
      <c r="D2132" s="28" t="s">
        <v>1078</v>
      </c>
      <c r="E2132" s="28" t="s">
        <v>1079</v>
      </c>
      <c r="F2132" s="28" t="s">
        <v>21</v>
      </c>
      <c r="G2132" s="28" t="s">
        <v>39</v>
      </c>
      <c r="H2132" s="28" t="s">
        <v>9711</v>
      </c>
      <c r="I2132" s="28" t="s">
        <v>12003</v>
      </c>
      <c r="J2132" s="28" t="s">
        <v>39</v>
      </c>
      <c r="K2132" s="28" t="s">
        <v>10506</v>
      </c>
      <c r="L2132" s="28" t="s">
        <v>9714</v>
      </c>
      <c r="M2132" s="28" t="s">
        <v>12004</v>
      </c>
      <c r="N2132" s="28" t="s">
        <v>9716</v>
      </c>
      <c r="O2132" s="28" t="s">
        <v>9717</v>
      </c>
      <c r="P2132" s="28" t="s">
        <v>12005</v>
      </c>
    </row>
    <row r="2133" spans="1:16" x14ac:dyDescent="0.25">
      <c r="A2133" s="28" t="s">
        <v>12006</v>
      </c>
      <c r="B2133" s="28" t="s">
        <v>12007</v>
      </c>
      <c r="C2133" s="28" t="s">
        <v>132</v>
      </c>
      <c r="D2133" s="28" t="s">
        <v>1078</v>
      </c>
      <c r="E2133" s="28" t="s">
        <v>1079</v>
      </c>
      <c r="F2133" s="28" t="s">
        <v>21</v>
      </c>
      <c r="G2133" s="28" t="s">
        <v>39</v>
      </c>
      <c r="H2133" s="28" t="s">
        <v>9711</v>
      </c>
      <c r="I2133" s="28" t="s">
        <v>12008</v>
      </c>
      <c r="J2133" s="28" t="s">
        <v>39</v>
      </c>
      <c r="K2133" s="28" t="s">
        <v>10506</v>
      </c>
      <c r="L2133" s="28" t="s">
        <v>9714</v>
      </c>
      <c r="M2133" s="28" t="s">
        <v>12009</v>
      </c>
      <c r="N2133" s="28" t="s">
        <v>9716</v>
      </c>
      <c r="O2133" s="28" t="s">
        <v>9717</v>
      </c>
      <c r="P2133" s="28" t="s">
        <v>12010</v>
      </c>
    </row>
    <row r="2134" spans="1:16" x14ac:dyDescent="0.25">
      <c r="A2134" s="28" t="s">
        <v>12011</v>
      </c>
      <c r="B2134" s="28" t="s">
        <v>12012</v>
      </c>
      <c r="C2134" s="28" t="s">
        <v>132</v>
      </c>
      <c r="D2134" s="28" t="s">
        <v>1078</v>
      </c>
      <c r="E2134" s="28" t="s">
        <v>1096</v>
      </c>
      <c r="F2134" s="28" t="s">
        <v>21</v>
      </c>
      <c r="G2134" s="28" t="s">
        <v>39</v>
      </c>
      <c r="H2134" s="28" t="s">
        <v>9711</v>
      </c>
      <c r="I2134" s="28" t="s">
        <v>12013</v>
      </c>
      <c r="J2134" s="28" t="s">
        <v>39</v>
      </c>
      <c r="K2134" s="28" t="s">
        <v>10506</v>
      </c>
      <c r="L2134" s="28" t="s">
        <v>9714</v>
      </c>
      <c r="M2134" s="28" t="s">
        <v>12014</v>
      </c>
      <c r="N2134" s="28" t="s">
        <v>9716</v>
      </c>
      <c r="O2134" s="28" t="s">
        <v>9717</v>
      </c>
      <c r="P2134" s="28" t="s">
        <v>12015</v>
      </c>
    </row>
    <row r="2135" spans="1:16" x14ac:dyDescent="0.25">
      <c r="A2135" s="28" t="s">
        <v>12016</v>
      </c>
      <c r="B2135" s="28" t="s">
        <v>12017</v>
      </c>
      <c r="C2135" s="28" t="s">
        <v>132</v>
      </c>
      <c r="D2135" s="28" t="s">
        <v>1078</v>
      </c>
      <c r="E2135" s="28" t="s">
        <v>1096</v>
      </c>
      <c r="F2135" s="28" t="s">
        <v>21</v>
      </c>
      <c r="G2135" s="28" t="s">
        <v>39</v>
      </c>
      <c r="H2135" s="28" t="s">
        <v>9711</v>
      </c>
      <c r="I2135" s="28" t="s">
        <v>12018</v>
      </c>
      <c r="J2135" s="28" t="s">
        <v>39</v>
      </c>
      <c r="K2135" s="28" t="s">
        <v>10506</v>
      </c>
      <c r="L2135" s="28" t="s">
        <v>9714</v>
      </c>
      <c r="M2135" s="28" t="s">
        <v>12019</v>
      </c>
      <c r="N2135" s="28" t="s">
        <v>9716</v>
      </c>
      <c r="O2135" s="28" t="s">
        <v>9717</v>
      </c>
      <c r="P2135" s="28" t="s">
        <v>12020</v>
      </c>
    </row>
    <row r="2136" spans="1:16" x14ac:dyDescent="0.25">
      <c r="A2136" s="28" t="s">
        <v>12021</v>
      </c>
      <c r="B2136" s="28" t="s">
        <v>12022</v>
      </c>
      <c r="C2136" s="28" t="s">
        <v>132</v>
      </c>
      <c r="D2136" s="28" t="s">
        <v>1078</v>
      </c>
      <c r="E2136" s="28" t="s">
        <v>1096</v>
      </c>
      <c r="F2136" s="28" t="s">
        <v>21</v>
      </c>
      <c r="G2136" s="28" t="s">
        <v>39</v>
      </c>
      <c r="H2136" s="28" t="s">
        <v>9711</v>
      </c>
      <c r="I2136" s="28" t="s">
        <v>12023</v>
      </c>
      <c r="J2136" s="28" t="s">
        <v>39</v>
      </c>
      <c r="K2136" s="28" t="s">
        <v>10506</v>
      </c>
      <c r="L2136" s="28" t="s">
        <v>9714</v>
      </c>
      <c r="M2136" s="28" t="s">
        <v>12024</v>
      </c>
      <c r="N2136" s="28" t="s">
        <v>9716</v>
      </c>
      <c r="O2136" s="28" t="s">
        <v>9717</v>
      </c>
      <c r="P2136" s="28" t="s">
        <v>12025</v>
      </c>
    </row>
    <row r="2137" spans="1:16" x14ac:dyDescent="0.25">
      <c r="A2137" s="28" t="s">
        <v>12026</v>
      </c>
      <c r="B2137" s="28" t="s">
        <v>12027</v>
      </c>
      <c r="C2137" s="28" t="s">
        <v>132</v>
      </c>
      <c r="D2137" s="28" t="s">
        <v>1078</v>
      </c>
      <c r="E2137" s="28" t="s">
        <v>1096</v>
      </c>
      <c r="F2137" s="28" t="s">
        <v>21</v>
      </c>
      <c r="G2137" s="28" t="s">
        <v>9478</v>
      </c>
      <c r="H2137" s="28" t="s">
        <v>6310</v>
      </c>
      <c r="I2137" s="28" t="s">
        <v>12028</v>
      </c>
      <c r="J2137" s="28" t="s">
        <v>12029</v>
      </c>
      <c r="K2137" s="28" t="s">
        <v>12030</v>
      </c>
      <c r="L2137" s="28" t="s">
        <v>6314</v>
      </c>
      <c r="M2137" s="28" t="s">
        <v>12031</v>
      </c>
      <c r="N2137" s="28" t="s">
        <v>6316</v>
      </c>
      <c r="O2137" s="28" t="s">
        <v>6317</v>
      </c>
      <c r="P2137" s="28" t="s">
        <v>12032</v>
      </c>
    </row>
    <row r="2138" spans="1:16" x14ac:dyDescent="0.25">
      <c r="A2138" s="28" t="s">
        <v>12033</v>
      </c>
      <c r="B2138" s="28" t="s">
        <v>12034</v>
      </c>
      <c r="C2138" s="28" t="s">
        <v>132</v>
      </c>
      <c r="D2138" s="28" t="s">
        <v>1078</v>
      </c>
      <c r="E2138" s="28" t="s">
        <v>12035</v>
      </c>
      <c r="F2138" s="28" t="s">
        <v>21</v>
      </c>
      <c r="G2138" s="28" t="s">
        <v>207</v>
      </c>
      <c r="H2138" s="28" t="s">
        <v>9633</v>
      </c>
      <c r="I2138" s="28" t="s">
        <v>12036</v>
      </c>
      <c r="J2138" s="28" t="s">
        <v>207</v>
      </c>
      <c r="K2138" s="28" t="s">
        <v>9635</v>
      </c>
      <c r="L2138" s="28" t="s">
        <v>9636</v>
      </c>
      <c r="M2138" s="28" t="s">
        <v>12037</v>
      </c>
      <c r="N2138" s="28" t="s">
        <v>9638</v>
      </c>
      <c r="O2138" s="28" t="s">
        <v>9639</v>
      </c>
      <c r="P2138" s="28" t="s">
        <v>12038</v>
      </c>
    </row>
    <row r="2139" spans="1:16" x14ac:dyDescent="0.25">
      <c r="A2139" s="28" t="s">
        <v>12039</v>
      </c>
      <c r="B2139" s="28" t="s">
        <v>12040</v>
      </c>
      <c r="C2139" s="28" t="s">
        <v>132</v>
      </c>
      <c r="D2139" s="28" t="s">
        <v>1078</v>
      </c>
      <c r="E2139" s="28" t="s">
        <v>12041</v>
      </c>
      <c r="F2139" s="28" t="s">
        <v>21</v>
      </c>
      <c r="G2139" s="28" t="s">
        <v>149</v>
      </c>
      <c r="H2139" s="28" t="s">
        <v>9633</v>
      </c>
      <c r="I2139" s="28" t="s">
        <v>12042</v>
      </c>
      <c r="J2139" s="28" t="s">
        <v>149</v>
      </c>
      <c r="K2139" s="28" t="s">
        <v>9722</v>
      </c>
      <c r="L2139" s="28" t="s">
        <v>9636</v>
      </c>
      <c r="M2139" s="28" t="s">
        <v>12043</v>
      </c>
      <c r="N2139" s="28" t="s">
        <v>9638</v>
      </c>
      <c r="O2139" s="28" t="s">
        <v>9639</v>
      </c>
      <c r="P2139" s="28" t="s">
        <v>12044</v>
      </c>
    </row>
    <row r="2140" spans="1:16" x14ac:dyDescent="0.25">
      <c r="A2140" s="28" t="s">
        <v>12045</v>
      </c>
      <c r="B2140" s="28" t="s">
        <v>12046</v>
      </c>
      <c r="C2140" s="28" t="s">
        <v>132</v>
      </c>
      <c r="D2140" s="28" t="s">
        <v>1078</v>
      </c>
      <c r="E2140" s="28" t="s">
        <v>12047</v>
      </c>
      <c r="F2140" s="28" t="s">
        <v>21</v>
      </c>
      <c r="G2140" s="28" t="s">
        <v>135</v>
      </c>
      <c r="H2140" s="28" t="s">
        <v>9633</v>
      </c>
      <c r="I2140" s="28" t="s">
        <v>12048</v>
      </c>
      <c r="J2140" s="28" t="s">
        <v>135</v>
      </c>
      <c r="K2140" s="28" t="s">
        <v>10125</v>
      </c>
      <c r="L2140" s="28" t="s">
        <v>9636</v>
      </c>
      <c r="M2140" s="28" t="s">
        <v>12049</v>
      </c>
      <c r="N2140" s="28" t="s">
        <v>9638</v>
      </c>
      <c r="O2140" s="28" t="s">
        <v>9639</v>
      </c>
      <c r="P2140" s="28" t="s">
        <v>12050</v>
      </c>
    </row>
    <row r="2141" spans="1:16" x14ac:dyDescent="0.25">
      <c r="A2141" s="28" t="s">
        <v>12051</v>
      </c>
      <c r="B2141" s="28" t="s">
        <v>12052</v>
      </c>
      <c r="C2141" s="28" t="s">
        <v>132</v>
      </c>
      <c r="D2141" s="28" t="s">
        <v>1078</v>
      </c>
      <c r="E2141" s="28" t="s">
        <v>12047</v>
      </c>
      <c r="F2141" s="28" t="s">
        <v>21</v>
      </c>
      <c r="G2141" s="28" t="s">
        <v>135</v>
      </c>
      <c r="H2141" s="28" t="s">
        <v>9633</v>
      </c>
      <c r="I2141" s="28" t="s">
        <v>12053</v>
      </c>
      <c r="J2141" s="28" t="s">
        <v>135</v>
      </c>
      <c r="K2141" s="28" t="s">
        <v>10125</v>
      </c>
      <c r="L2141" s="28" t="s">
        <v>9636</v>
      </c>
      <c r="M2141" s="28" t="s">
        <v>12049</v>
      </c>
      <c r="N2141" s="28" t="s">
        <v>9638</v>
      </c>
      <c r="O2141" s="28" t="s">
        <v>9639</v>
      </c>
      <c r="P2141" s="28" t="s">
        <v>12054</v>
      </c>
    </row>
    <row r="2142" spans="1:16" x14ac:dyDescent="0.25">
      <c r="A2142" s="28" t="s">
        <v>12055</v>
      </c>
      <c r="B2142" s="28" t="s">
        <v>12056</v>
      </c>
      <c r="C2142" s="28" t="s">
        <v>132</v>
      </c>
      <c r="D2142" s="28" t="s">
        <v>1078</v>
      </c>
      <c r="E2142" s="28" t="s">
        <v>12047</v>
      </c>
      <c r="F2142" s="28" t="s">
        <v>21</v>
      </c>
      <c r="G2142" s="28" t="s">
        <v>135</v>
      </c>
      <c r="H2142" s="28" t="s">
        <v>9633</v>
      </c>
      <c r="I2142" s="28" t="s">
        <v>12057</v>
      </c>
      <c r="J2142" s="28" t="s">
        <v>135</v>
      </c>
      <c r="K2142" s="28" t="s">
        <v>10125</v>
      </c>
      <c r="L2142" s="28" t="s">
        <v>9636</v>
      </c>
      <c r="M2142" s="28" t="s">
        <v>12049</v>
      </c>
      <c r="N2142" s="28" t="s">
        <v>9638</v>
      </c>
      <c r="O2142" s="28" t="s">
        <v>9639</v>
      </c>
      <c r="P2142" s="28" t="s">
        <v>12058</v>
      </c>
    </row>
    <row r="2143" spans="1:16" x14ac:dyDescent="0.25">
      <c r="A2143" s="28" t="s">
        <v>12059</v>
      </c>
      <c r="B2143" s="28" t="s">
        <v>12060</v>
      </c>
      <c r="C2143" s="28" t="s">
        <v>132</v>
      </c>
      <c r="D2143" s="28" t="s">
        <v>1078</v>
      </c>
      <c r="E2143" s="28" t="s">
        <v>12061</v>
      </c>
      <c r="F2143" s="28" t="s">
        <v>21</v>
      </c>
      <c r="G2143" s="28" t="s">
        <v>207</v>
      </c>
      <c r="H2143" s="28" t="s">
        <v>9633</v>
      </c>
      <c r="I2143" s="28" t="s">
        <v>12062</v>
      </c>
      <c r="J2143" s="28" t="s">
        <v>207</v>
      </c>
      <c r="K2143" s="28" t="s">
        <v>9635</v>
      </c>
      <c r="L2143" s="28" t="s">
        <v>9636</v>
      </c>
      <c r="M2143" s="28" t="s">
        <v>12063</v>
      </c>
      <c r="N2143" s="28" t="s">
        <v>9638</v>
      </c>
      <c r="O2143" s="28" t="s">
        <v>9639</v>
      </c>
      <c r="P2143" s="28" t="s">
        <v>12064</v>
      </c>
    </row>
    <row r="2144" spans="1:16" x14ac:dyDescent="0.25">
      <c r="A2144" s="28" t="s">
        <v>12065</v>
      </c>
      <c r="B2144" s="28" t="s">
        <v>12066</v>
      </c>
      <c r="C2144" s="28" t="s">
        <v>132</v>
      </c>
      <c r="D2144" s="28" t="s">
        <v>1078</v>
      </c>
      <c r="E2144" s="28" t="s">
        <v>12067</v>
      </c>
      <c r="F2144" s="28" t="s">
        <v>21</v>
      </c>
      <c r="G2144" s="28" t="s">
        <v>207</v>
      </c>
      <c r="H2144" s="28" t="s">
        <v>9633</v>
      </c>
      <c r="I2144" s="28" t="s">
        <v>12068</v>
      </c>
      <c r="J2144" s="28" t="s">
        <v>207</v>
      </c>
      <c r="K2144" s="28" t="s">
        <v>9635</v>
      </c>
      <c r="L2144" s="28" t="s">
        <v>9636</v>
      </c>
      <c r="M2144" s="28" t="s">
        <v>12069</v>
      </c>
      <c r="N2144" s="28" t="s">
        <v>9638</v>
      </c>
      <c r="O2144" s="28" t="s">
        <v>9639</v>
      </c>
      <c r="P2144" s="28" t="s">
        <v>12070</v>
      </c>
    </row>
    <row r="2145" spans="1:16" x14ac:dyDescent="0.25">
      <c r="A2145" s="28" t="s">
        <v>12071</v>
      </c>
      <c r="B2145" s="28" t="s">
        <v>12072</v>
      </c>
      <c r="C2145" s="28" t="s">
        <v>132</v>
      </c>
      <c r="D2145" s="28" t="s">
        <v>1078</v>
      </c>
      <c r="E2145" s="28" t="s">
        <v>12067</v>
      </c>
      <c r="F2145" s="28" t="s">
        <v>21</v>
      </c>
      <c r="G2145" s="28" t="s">
        <v>207</v>
      </c>
      <c r="H2145" s="28" t="s">
        <v>9633</v>
      </c>
      <c r="I2145" s="28" t="s">
        <v>12073</v>
      </c>
      <c r="J2145" s="28" t="s">
        <v>207</v>
      </c>
      <c r="K2145" s="28" t="s">
        <v>9635</v>
      </c>
      <c r="L2145" s="28" t="s">
        <v>9636</v>
      </c>
      <c r="M2145" s="28" t="s">
        <v>12074</v>
      </c>
      <c r="N2145" s="28" t="s">
        <v>9638</v>
      </c>
      <c r="O2145" s="28" t="s">
        <v>9639</v>
      </c>
      <c r="P2145" s="28" t="s">
        <v>12075</v>
      </c>
    </row>
    <row r="2146" spans="1:16" x14ac:dyDescent="0.25">
      <c r="A2146" s="28" t="s">
        <v>12076</v>
      </c>
      <c r="B2146" s="28" t="s">
        <v>12077</v>
      </c>
      <c r="C2146" s="28" t="s">
        <v>132</v>
      </c>
      <c r="D2146" s="28" t="s">
        <v>1204</v>
      </c>
      <c r="E2146" s="28" t="s">
        <v>12078</v>
      </c>
      <c r="F2146" s="28" t="s">
        <v>21</v>
      </c>
      <c r="G2146" s="28" t="s">
        <v>135</v>
      </c>
      <c r="H2146" s="28" t="s">
        <v>10259</v>
      </c>
      <c r="I2146" s="28" t="s">
        <v>12079</v>
      </c>
      <c r="J2146" s="28" t="s">
        <v>135</v>
      </c>
      <c r="K2146" s="28" t="s">
        <v>10551</v>
      </c>
      <c r="L2146" s="28" t="s">
        <v>10262</v>
      </c>
      <c r="M2146" s="28" t="s">
        <v>12080</v>
      </c>
      <c r="N2146" s="28" t="s">
        <v>10264</v>
      </c>
      <c r="O2146" s="28" t="s">
        <v>10265</v>
      </c>
      <c r="P2146" s="28" t="s">
        <v>10266</v>
      </c>
    </row>
    <row r="2147" spans="1:16" x14ac:dyDescent="0.25">
      <c r="A2147" s="28" t="s">
        <v>12081</v>
      </c>
      <c r="B2147" s="28" t="s">
        <v>12082</v>
      </c>
      <c r="C2147" s="28" t="s">
        <v>132</v>
      </c>
      <c r="D2147" s="28" t="s">
        <v>1204</v>
      </c>
      <c r="E2147" s="28" t="s">
        <v>12083</v>
      </c>
      <c r="F2147" s="28" t="s">
        <v>21</v>
      </c>
      <c r="G2147" s="28" t="s">
        <v>149</v>
      </c>
      <c r="H2147" s="28" t="s">
        <v>9633</v>
      </c>
      <c r="I2147" s="28" t="s">
        <v>12084</v>
      </c>
      <c r="J2147" s="28" t="s">
        <v>149</v>
      </c>
      <c r="K2147" s="28" t="s">
        <v>9722</v>
      </c>
      <c r="L2147" s="28" t="s">
        <v>9636</v>
      </c>
      <c r="M2147" s="28" t="s">
        <v>12085</v>
      </c>
      <c r="N2147" s="28" t="s">
        <v>9638</v>
      </c>
      <c r="O2147" s="28" t="s">
        <v>9639</v>
      </c>
      <c r="P2147" s="28" t="s">
        <v>12086</v>
      </c>
    </row>
    <row r="2148" spans="1:16" x14ac:dyDescent="0.25">
      <c r="A2148" s="28" t="s">
        <v>12087</v>
      </c>
      <c r="B2148" s="28" t="s">
        <v>12088</v>
      </c>
      <c r="C2148" s="28" t="s">
        <v>132</v>
      </c>
      <c r="D2148" s="28" t="s">
        <v>1204</v>
      </c>
      <c r="E2148" s="28" t="s">
        <v>12089</v>
      </c>
      <c r="F2148" s="28" t="s">
        <v>21</v>
      </c>
      <c r="G2148" s="28" t="s">
        <v>207</v>
      </c>
      <c r="H2148" s="28" t="s">
        <v>9633</v>
      </c>
      <c r="I2148" s="28" t="s">
        <v>12090</v>
      </c>
      <c r="J2148" s="28" t="s">
        <v>207</v>
      </c>
      <c r="K2148" s="28" t="s">
        <v>9635</v>
      </c>
      <c r="L2148" s="28" t="s">
        <v>9636</v>
      </c>
      <c r="M2148" s="28" t="s">
        <v>12091</v>
      </c>
      <c r="N2148" s="28" t="s">
        <v>9638</v>
      </c>
      <c r="O2148" s="28" t="s">
        <v>9639</v>
      </c>
      <c r="P2148" s="28" t="s">
        <v>12092</v>
      </c>
    </row>
    <row r="2149" spans="1:16" x14ac:dyDescent="0.25">
      <c r="A2149" s="28" t="s">
        <v>12093</v>
      </c>
      <c r="B2149" s="28" t="s">
        <v>12094</v>
      </c>
      <c r="C2149" s="28" t="s">
        <v>132</v>
      </c>
      <c r="D2149" s="28" t="s">
        <v>1204</v>
      </c>
      <c r="E2149" s="28" t="s">
        <v>12095</v>
      </c>
      <c r="F2149" s="28" t="s">
        <v>21</v>
      </c>
      <c r="G2149" s="28" t="s">
        <v>149</v>
      </c>
      <c r="H2149" s="28" t="s">
        <v>9633</v>
      </c>
      <c r="I2149" s="28" t="s">
        <v>12096</v>
      </c>
      <c r="J2149" s="28" t="s">
        <v>149</v>
      </c>
      <c r="K2149" s="28" t="s">
        <v>9722</v>
      </c>
      <c r="L2149" s="28" t="s">
        <v>9636</v>
      </c>
      <c r="M2149" s="28" t="s">
        <v>12097</v>
      </c>
      <c r="N2149" s="28" t="s">
        <v>9638</v>
      </c>
      <c r="O2149" s="28" t="s">
        <v>9639</v>
      </c>
      <c r="P2149" s="28" t="s">
        <v>12098</v>
      </c>
    </row>
    <row r="2150" spans="1:16" x14ac:dyDescent="0.25">
      <c r="A2150" s="28" t="s">
        <v>12099</v>
      </c>
      <c r="B2150" s="28" t="s">
        <v>12100</v>
      </c>
      <c r="C2150" s="28" t="s">
        <v>132</v>
      </c>
      <c r="D2150" s="28" t="s">
        <v>1204</v>
      </c>
      <c r="E2150" s="28" t="s">
        <v>12101</v>
      </c>
      <c r="F2150" s="28" t="s">
        <v>21</v>
      </c>
      <c r="G2150" s="28" t="s">
        <v>149</v>
      </c>
      <c r="H2150" s="28" t="s">
        <v>9633</v>
      </c>
      <c r="I2150" s="28" t="s">
        <v>12102</v>
      </c>
      <c r="J2150" s="28" t="s">
        <v>149</v>
      </c>
      <c r="K2150" s="28" t="s">
        <v>9722</v>
      </c>
      <c r="L2150" s="28" t="s">
        <v>9636</v>
      </c>
      <c r="M2150" s="28" t="s">
        <v>12103</v>
      </c>
      <c r="N2150" s="28" t="s">
        <v>9638</v>
      </c>
      <c r="O2150" s="28" t="s">
        <v>9639</v>
      </c>
      <c r="P2150" s="28" t="s">
        <v>12104</v>
      </c>
    </row>
    <row r="2151" spans="1:16" x14ac:dyDescent="0.25">
      <c r="A2151" s="28" t="s">
        <v>12105</v>
      </c>
      <c r="B2151" s="28" t="s">
        <v>12106</v>
      </c>
      <c r="C2151" s="28" t="s">
        <v>132</v>
      </c>
      <c r="D2151" s="28" t="s">
        <v>1204</v>
      </c>
      <c r="E2151" s="28" t="s">
        <v>12107</v>
      </c>
      <c r="F2151" s="28" t="s">
        <v>21</v>
      </c>
      <c r="G2151" s="28" t="s">
        <v>149</v>
      </c>
      <c r="H2151" s="28" t="s">
        <v>9633</v>
      </c>
      <c r="I2151" s="28" t="s">
        <v>12108</v>
      </c>
      <c r="J2151" s="28" t="s">
        <v>149</v>
      </c>
      <c r="K2151" s="28" t="s">
        <v>9722</v>
      </c>
      <c r="L2151" s="28" t="s">
        <v>9636</v>
      </c>
      <c r="M2151" s="28" t="s">
        <v>12109</v>
      </c>
      <c r="N2151" s="28" t="s">
        <v>9638</v>
      </c>
      <c r="O2151" s="28" t="s">
        <v>9639</v>
      </c>
      <c r="P2151" s="28" t="s">
        <v>12110</v>
      </c>
    </row>
    <row r="2152" spans="1:16" x14ac:dyDescent="0.25">
      <c r="A2152" s="28" t="s">
        <v>12111</v>
      </c>
      <c r="B2152" s="28" t="s">
        <v>12112</v>
      </c>
      <c r="C2152" s="28" t="s">
        <v>132</v>
      </c>
      <c r="D2152" s="28" t="s">
        <v>1204</v>
      </c>
      <c r="E2152" s="28" t="s">
        <v>12113</v>
      </c>
      <c r="F2152" s="28" t="s">
        <v>21</v>
      </c>
      <c r="G2152" s="28" t="s">
        <v>149</v>
      </c>
      <c r="H2152" s="28" t="s">
        <v>9633</v>
      </c>
      <c r="I2152" s="28" t="s">
        <v>12114</v>
      </c>
      <c r="J2152" s="28" t="s">
        <v>149</v>
      </c>
      <c r="K2152" s="28" t="s">
        <v>9722</v>
      </c>
      <c r="L2152" s="28" t="s">
        <v>9636</v>
      </c>
      <c r="M2152" s="28" t="s">
        <v>12115</v>
      </c>
      <c r="N2152" s="28" t="s">
        <v>9638</v>
      </c>
      <c r="O2152" s="28" t="s">
        <v>9639</v>
      </c>
      <c r="P2152" s="28" t="s">
        <v>12116</v>
      </c>
    </row>
    <row r="2153" spans="1:16" x14ac:dyDescent="0.25">
      <c r="A2153" s="28" t="s">
        <v>12117</v>
      </c>
      <c r="B2153" s="28" t="s">
        <v>12118</v>
      </c>
      <c r="C2153" s="28" t="s">
        <v>132</v>
      </c>
      <c r="D2153" s="28" t="s">
        <v>1204</v>
      </c>
      <c r="E2153" s="28" t="s">
        <v>12119</v>
      </c>
      <c r="F2153" s="28" t="s">
        <v>21</v>
      </c>
      <c r="G2153" s="28" t="s">
        <v>149</v>
      </c>
      <c r="H2153" s="28" t="s">
        <v>9633</v>
      </c>
      <c r="I2153" s="28" t="s">
        <v>12120</v>
      </c>
      <c r="J2153" s="28" t="s">
        <v>149</v>
      </c>
      <c r="K2153" s="28" t="s">
        <v>9722</v>
      </c>
      <c r="L2153" s="28" t="s">
        <v>9636</v>
      </c>
      <c r="M2153" s="28" t="s">
        <v>12121</v>
      </c>
      <c r="N2153" s="28" t="s">
        <v>9638</v>
      </c>
      <c r="O2153" s="28" t="s">
        <v>9639</v>
      </c>
      <c r="P2153" s="28" t="s">
        <v>12122</v>
      </c>
    </row>
    <row r="2154" spans="1:16" x14ac:dyDescent="0.25">
      <c r="A2154" s="28" t="s">
        <v>12123</v>
      </c>
      <c r="B2154" s="28" t="s">
        <v>12124</v>
      </c>
      <c r="C2154" s="28" t="s">
        <v>132</v>
      </c>
      <c r="D2154" s="28" t="s">
        <v>1204</v>
      </c>
      <c r="E2154" s="28" t="s">
        <v>12125</v>
      </c>
      <c r="F2154" s="28" t="s">
        <v>21</v>
      </c>
      <c r="G2154" s="28" t="s">
        <v>149</v>
      </c>
      <c r="H2154" s="28" t="s">
        <v>9633</v>
      </c>
      <c r="I2154" s="28" t="s">
        <v>12126</v>
      </c>
      <c r="J2154" s="28" t="s">
        <v>149</v>
      </c>
      <c r="K2154" s="28" t="s">
        <v>9722</v>
      </c>
      <c r="L2154" s="28" t="s">
        <v>9636</v>
      </c>
      <c r="M2154" s="28" t="s">
        <v>12127</v>
      </c>
      <c r="N2154" s="28" t="s">
        <v>9638</v>
      </c>
      <c r="O2154" s="28" t="s">
        <v>9639</v>
      </c>
      <c r="P2154" s="28" t="s">
        <v>12128</v>
      </c>
    </row>
    <row r="2155" spans="1:16" x14ac:dyDescent="0.25">
      <c r="A2155" s="28" t="s">
        <v>12129</v>
      </c>
      <c r="B2155" s="28" t="s">
        <v>12130</v>
      </c>
      <c r="C2155" s="28" t="s">
        <v>132</v>
      </c>
      <c r="D2155" s="28" t="s">
        <v>1204</v>
      </c>
      <c r="E2155" s="28" t="s">
        <v>12131</v>
      </c>
      <c r="F2155" s="28" t="s">
        <v>21</v>
      </c>
      <c r="G2155" s="28" t="s">
        <v>149</v>
      </c>
      <c r="H2155" s="28" t="s">
        <v>9633</v>
      </c>
      <c r="I2155" s="28" t="s">
        <v>12132</v>
      </c>
      <c r="J2155" s="28" t="s">
        <v>149</v>
      </c>
      <c r="K2155" s="28" t="s">
        <v>9722</v>
      </c>
      <c r="L2155" s="28" t="s">
        <v>9636</v>
      </c>
      <c r="M2155" s="28" t="s">
        <v>12133</v>
      </c>
      <c r="N2155" s="28" t="s">
        <v>9638</v>
      </c>
      <c r="O2155" s="28" t="s">
        <v>9639</v>
      </c>
      <c r="P2155" s="28" t="s">
        <v>12134</v>
      </c>
    </row>
    <row r="2156" spans="1:16" x14ac:dyDescent="0.25">
      <c r="A2156" s="28" t="s">
        <v>12135</v>
      </c>
      <c r="B2156" s="28" t="s">
        <v>12136</v>
      </c>
      <c r="C2156" s="28" t="s">
        <v>132</v>
      </c>
      <c r="D2156" s="28" t="s">
        <v>1204</v>
      </c>
      <c r="E2156" s="28" t="s">
        <v>12137</v>
      </c>
      <c r="F2156" s="28" t="s">
        <v>21</v>
      </c>
      <c r="G2156" s="28" t="s">
        <v>207</v>
      </c>
      <c r="H2156" s="28" t="s">
        <v>9633</v>
      </c>
      <c r="I2156" s="28" t="s">
        <v>12138</v>
      </c>
      <c r="J2156" s="28" t="s">
        <v>207</v>
      </c>
      <c r="K2156" s="28" t="s">
        <v>9635</v>
      </c>
      <c r="L2156" s="28" t="s">
        <v>9636</v>
      </c>
      <c r="M2156" s="28" t="s">
        <v>12139</v>
      </c>
      <c r="N2156" s="28" t="s">
        <v>9638</v>
      </c>
      <c r="O2156" s="28" t="s">
        <v>9639</v>
      </c>
      <c r="P2156" s="28" t="s">
        <v>12140</v>
      </c>
    </row>
    <row r="2157" spans="1:16" x14ac:dyDescent="0.25">
      <c r="A2157" s="28" t="s">
        <v>12141</v>
      </c>
      <c r="B2157" s="28" t="s">
        <v>12142</v>
      </c>
      <c r="C2157" s="28" t="s">
        <v>132</v>
      </c>
      <c r="D2157" s="28" t="s">
        <v>1204</v>
      </c>
      <c r="E2157" s="28" t="s">
        <v>12143</v>
      </c>
      <c r="F2157" s="28" t="s">
        <v>21</v>
      </c>
      <c r="G2157" s="28" t="s">
        <v>207</v>
      </c>
      <c r="H2157" s="28" t="s">
        <v>9633</v>
      </c>
      <c r="I2157" s="28" t="s">
        <v>12144</v>
      </c>
      <c r="J2157" s="28" t="s">
        <v>207</v>
      </c>
      <c r="K2157" s="28" t="s">
        <v>9635</v>
      </c>
      <c r="L2157" s="28" t="s">
        <v>9636</v>
      </c>
      <c r="M2157" s="28" t="s">
        <v>12145</v>
      </c>
      <c r="N2157" s="28" t="s">
        <v>9638</v>
      </c>
      <c r="O2157" s="28" t="s">
        <v>9639</v>
      </c>
      <c r="P2157" s="28" t="s">
        <v>12146</v>
      </c>
    </row>
    <row r="2158" spans="1:16" x14ac:dyDescent="0.25">
      <c r="A2158" s="28" t="s">
        <v>12147</v>
      </c>
      <c r="B2158" s="28" t="s">
        <v>12148</v>
      </c>
      <c r="C2158" s="28" t="s">
        <v>132</v>
      </c>
      <c r="D2158" s="28" t="s">
        <v>1204</v>
      </c>
      <c r="E2158" s="28" t="s">
        <v>12149</v>
      </c>
      <c r="F2158" s="28" t="s">
        <v>21</v>
      </c>
      <c r="G2158" s="28" t="s">
        <v>207</v>
      </c>
      <c r="H2158" s="28" t="s">
        <v>9633</v>
      </c>
      <c r="I2158" s="28" t="s">
        <v>12150</v>
      </c>
      <c r="J2158" s="28" t="s">
        <v>207</v>
      </c>
      <c r="K2158" s="28" t="s">
        <v>9635</v>
      </c>
      <c r="L2158" s="28" t="s">
        <v>9636</v>
      </c>
      <c r="M2158" s="28" t="s">
        <v>12151</v>
      </c>
      <c r="N2158" s="28" t="s">
        <v>9638</v>
      </c>
      <c r="O2158" s="28" t="s">
        <v>9639</v>
      </c>
      <c r="P2158" s="28" t="s">
        <v>12152</v>
      </c>
    </row>
    <row r="2159" spans="1:16" x14ac:dyDescent="0.25">
      <c r="A2159" s="28" t="s">
        <v>12153</v>
      </c>
      <c r="B2159" s="28" t="s">
        <v>12154</v>
      </c>
      <c r="C2159" s="28" t="s">
        <v>132</v>
      </c>
      <c r="D2159" s="28" t="s">
        <v>1204</v>
      </c>
      <c r="E2159" s="28" t="s">
        <v>12155</v>
      </c>
      <c r="F2159" s="28" t="s">
        <v>21</v>
      </c>
      <c r="G2159" s="28" t="s">
        <v>207</v>
      </c>
      <c r="H2159" s="28" t="s">
        <v>9633</v>
      </c>
      <c r="I2159" s="28" t="s">
        <v>12156</v>
      </c>
      <c r="J2159" s="28" t="s">
        <v>207</v>
      </c>
      <c r="K2159" s="28" t="s">
        <v>9635</v>
      </c>
      <c r="L2159" s="28" t="s">
        <v>9636</v>
      </c>
      <c r="M2159" s="28" t="s">
        <v>12157</v>
      </c>
      <c r="N2159" s="28" t="s">
        <v>9638</v>
      </c>
      <c r="O2159" s="28" t="s">
        <v>9639</v>
      </c>
      <c r="P2159" s="28" t="s">
        <v>12158</v>
      </c>
    </row>
    <row r="2160" spans="1:16" x14ac:dyDescent="0.25">
      <c r="A2160" s="28" t="s">
        <v>12159</v>
      </c>
      <c r="B2160" s="28" t="s">
        <v>12160</v>
      </c>
      <c r="C2160" s="28" t="s">
        <v>132</v>
      </c>
      <c r="D2160" s="28" t="s">
        <v>1204</v>
      </c>
      <c r="E2160" s="28" t="s">
        <v>12161</v>
      </c>
      <c r="F2160" s="28" t="s">
        <v>21</v>
      </c>
      <c r="G2160" s="28" t="s">
        <v>207</v>
      </c>
      <c r="H2160" s="28" t="s">
        <v>9633</v>
      </c>
      <c r="I2160" s="28" t="s">
        <v>12162</v>
      </c>
      <c r="J2160" s="28" t="s">
        <v>207</v>
      </c>
      <c r="K2160" s="28" t="s">
        <v>9635</v>
      </c>
      <c r="L2160" s="28" t="s">
        <v>9636</v>
      </c>
      <c r="M2160" s="28" t="s">
        <v>12163</v>
      </c>
      <c r="N2160" s="28" t="s">
        <v>9638</v>
      </c>
      <c r="O2160" s="28" t="s">
        <v>9639</v>
      </c>
      <c r="P2160" s="28" t="s">
        <v>12164</v>
      </c>
    </row>
    <row r="2161" spans="1:16" x14ac:dyDescent="0.25">
      <c r="A2161" s="28" t="s">
        <v>12165</v>
      </c>
      <c r="B2161" s="28" t="s">
        <v>12166</v>
      </c>
      <c r="C2161" s="28" t="s">
        <v>132</v>
      </c>
      <c r="D2161" s="28" t="s">
        <v>1204</v>
      </c>
      <c r="E2161" s="28" t="s">
        <v>12167</v>
      </c>
      <c r="F2161" s="28" t="s">
        <v>21</v>
      </c>
      <c r="G2161" s="28" t="s">
        <v>149</v>
      </c>
      <c r="H2161" s="28" t="s">
        <v>9633</v>
      </c>
      <c r="I2161" s="28" t="s">
        <v>12168</v>
      </c>
      <c r="J2161" s="28" t="s">
        <v>149</v>
      </c>
      <c r="K2161" s="28" t="s">
        <v>9722</v>
      </c>
      <c r="L2161" s="28" t="s">
        <v>9636</v>
      </c>
      <c r="M2161" s="28" t="s">
        <v>12169</v>
      </c>
      <c r="N2161" s="28" t="s">
        <v>9638</v>
      </c>
      <c r="O2161" s="28" t="s">
        <v>9639</v>
      </c>
      <c r="P2161" s="28" t="s">
        <v>12170</v>
      </c>
    </row>
    <row r="2162" spans="1:16" x14ac:dyDescent="0.25">
      <c r="A2162" s="28" t="s">
        <v>12171</v>
      </c>
      <c r="B2162" s="28" t="s">
        <v>12172</v>
      </c>
      <c r="C2162" s="28" t="s">
        <v>132</v>
      </c>
      <c r="D2162" s="28" t="s">
        <v>1204</v>
      </c>
      <c r="E2162" s="28" t="s">
        <v>12173</v>
      </c>
      <c r="F2162" s="28" t="s">
        <v>21</v>
      </c>
      <c r="G2162" s="28" t="s">
        <v>149</v>
      </c>
      <c r="H2162" s="28" t="s">
        <v>9633</v>
      </c>
      <c r="I2162" s="28" t="s">
        <v>12174</v>
      </c>
      <c r="J2162" s="28" t="s">
        <v>149</v>
      </c>
      <c r="K2162" s="28" t="s">
        <v>9722</v>
      </c>
      <c r="L2162" s="28" t="s">
        <v>9636</v>
      </c>
      <c r="M2162" s="28" t="s">
        <v>12175</v>
      </c>
      <c r="N2162" s="28" t="s">
        <v>9638</v>
      </c>
      <c r="O2162" s="28" t="s">
        <v>9639</v>
      </c>
      <c r="P2162" s="28" t="s">
        <v>12176</v>
      </c>
    </row>
    <row r="2163" spans="1:16" x14ac:dyDescent="0.25">
      <c r="A2163" s="28" t="s">
        <v>12177</v>
      </c>
      <c r="B2163" s="28" t="s">
        <v>12178</v>
      </c>
      <c r="C2163" s="28" t="s">
        <v>132</v>
      </c>
      <c r="D2163" s="28" t="s">
        <v>1204</v>
      </c>
      <c r="E2163" s="28" t="s">
        <v>12179</v>
      </c>
      <c r="F2163" s="28" t="s">
        <v>21</v>
      </c>
      <c r="G2163" s="28" t="s">
        <v>149</v>
      </c>
      <c r="H2163" s="28" t="s">
        <v>9633</v>
      </c>
      <c r="I2163" s="28" t="s">
        <v>12180</v>
      </c>
      <c r="J2163" s="28" t="s">
        <v>149</v>
      </c>
      <c r="K2163" s="28" t="s">
        <v>9722</v>
      </c>
      <c r="L2163" s="28" t="s">
        <v>9636</v>
      </c>
      <c r="M2163" s="28" t="s">
        <v>12181</v>
      </c>
      <c r="N2163" s="28" t="s">
        <v>9638</v>
      </c>
      <c r="O2163" s="28" t="s">
        <v>9639</v>
      </c>
      <c r="P2163" s="28" t="s">
        <v>12182</v>
      </c>
    </row>
    <row r="2164" spans="1:16" x14ac:dyDescent="0.25">
      <c r="A2164" s="28" t="s">
        <v>12183</v>
      </c>
      <c r="B2164" s="28" t="s">
        <v>12184</v>
      </c>
      <c r="C2164" s="28" t="s">
        <v>132</v>
      </c>
      <c r="D2164" s="28" t="s">
        <v>1204</v>
      </c>
      <c r="E2164" s="28" t="s">
        <v>12185</v>
      </c>
      <c r="F2164" s="28" t="s">
        <v>21</v>
      </c>
      <c r="G2164" s="28" t="s">
        <v>149</v>
      </c>
      <c r="H2164" s="28" t="s">
        <v>9633</v>
      </c>
      <c r="I2164" s="28" t="s">
        <v>12186</v>
      </c>
      <c r="J2164" s="28" t="s">
        <v>149</v>
      </c>
      <c r="K2164" s="28" t="s">
        <v>9722</v>
      </c>
      <c r="L2164" s="28" t="s">
        <v>9636</v>
      </c>
      <c r="M2164" s="28" t="s">
        <v>12187</v>
      </c>
      <c r="N2164" s="28" t="s">
        <v>9638</v>
      </c>
      <c r="O2164" s="28" t="s">
        <v>9639</v>
      </c>
      <c r="P2164" s="28" t="s">
        <v>12188</v>
      </c>
    </row>
    <row r="2165" spans="1:16" x14ac:dyDescent="0.25">
      <c r="A2165" s="28" t="s">
        <v>12189</v>
      </c>
      <c r="B2165" s="28" t="s">
        <v>12190</v>
      </c>
      <c r="C2165" s="28" t="s">
        <v>132</v>
      </c>
      <c r="D2165" s="28" t="s">
        <v>1204</v>
      </c>
      <c r="E2165" s="28" t="s">
        <v>12191</v>
      </c>
      <c r="F2165" s="28" t="s">
        <v>21</v>
      </c>
      <c r="G2165" s="28" t="s">
        <v>207</v>
      </c>
      <c r="H2165" s="28" t="s">
        <v>9633</v>
      </c>
      <c r="I2165" s="28" t="s">
        <v>12192</v>
      </c>
      <c r="J2165" s="28" t="s">
        <v>207</v>
      </c>
      <c r="K2165" s="28" t="s">
        <v>9635</v>
      </c>
      <c r="L2165" s="28" t="s">
        <v>9636</v>
      </c>
      <c r="M2165" s="28" t="s">
        <v>12193</v>
      </c>
      <c r="N2165" s="28" t="s">
        <v>9638</v>
      </c>
      <c r="O2165" s="28" t="s">
        <v>9639</v>
      </c>
      <c r="P2165" s="28" t="s">
        <v>12194</v>
      </c>
    </row>
    <row r="2166" spans="1:16" x14ac:dyDescent="0.25">
      <c r="A2166" s="28" t="s">
        <v>12195</v>
      </c>
      <c r="B2166" s="28" t="s">
        <v>12196</v>
      </c>
      <c r="C2166" s="28" t="s">
        <v>132</v>
      </c>
      <c r="D2166" s="28" t="s">
        <v>1204</v>
      </c>
      <c r="E2166" s="28" t="s">
        <v>12197</v>
      </c>
      <c r="F2166" s="28" t="s">
        <v>21</v>
      </c>
      <c r="G2166" s="28" t="s">
        <v>149</v>
      </c>
      <c r="H2166" s="28" t="s">
        <v>9633</v>
      </c>
      <c r="I2166" s="28" t="s">
        <v>12198</v>
      </c>
      <c r="J2166" s="28" t="s">
        <v>149</v>
      </c>
      <c r="K2166" s="28" t="s">
        <v>9722</v>
      </c>
      <c r="L2166" s="28" t="s">
        <v>9636</v>
      </c>
      <c r="M2166" s="28" t="s">
        <v>12199</v>
      </c>
      <c r="N2166" s="28" t="s">
        <v>9638</v>
      </c>
      <c r="O2166" s="28" t="s">
        <v>9639</v>
      </c>
      <c r="P2166" s="28" t="s">
        <v>12200</v>
      </c>
    </row>
    <row r="2167" spans="1:16" x14ac:dyDescent="0.25">
      <c r="A2167" s="28" t="s">
        <v>12201</v>
      </c>
      <c r="B2167" s="28" t="s">
        <v>12202</v>
      </c>
      <c r="C2167" s="28" t="s">
        <v>132</v>
      </c>
      <c r="D2167" s="28" t="s">
        <v>1204</v>
      </c>
      <c r="E2167" s="28" t="s">
        <v>12203</v>
      </c>
      <c r="F2167" s="28" t="s">
        <v>21</v>
      </c>
      <c r="G2167" s="28" t="s">
        <v>149</v>
      </c>
      <c r="H2167" s="28" t="s">
        <v>9633</v>
      </c>
      <c r="I2167" s="28" t="s">
        <v>12204</v>
      </c>
      <c r="J2167" s="28" t="s">
        <v>149</v>
      </c>
      <c r="K2167" s="28" t="s">
        <v>9722</v>
      </c>
      <c r="L2167" s="28" t="s">
        <v>9636</v>
      </c>
      <c r="M2167" s="28" t="s">
        <v>12205</v>
      </c>
      <c r="N2167" s="28" t="s">
        <v>9638</v>
      </c>
      <c r="O2167" s="28" t="s">
        <v>9639</v>
      </c>
      <c r="P2167" s="28" t="s">
        <v>12206</v>
      </c>
    </row>
    <row r="2168" spans="1:16" x14ac:dyDescent="0.25">
      <c r="A2168" s="28" t="s">
        <v>12207</v>
      </c>
      <c r="B2168" s="28" t="s">
        <v>12208</v>
      </c>
      <c r="C2168" s="28" t="s">
        <v>132</v>
      </c>
      <c r="D2168" s="28" t="s">
        <v>1204</v>
      </c>
      <c r="E2168" s="28" t="s">
        <v>12209</v>
      </c>
      <c r="F2168" s="28" t="s">
        <v>21</v>
      </c>
      <c r="G2168" s="28" t="s">
        <v>149</v>
      </c>
      <c r="H2168" s="28" t="s">
        <v>9633</v>
      </c>
      <c r="I2168" s="28" t="s">
        <v>12210</v>
      </c>
      <c r="J2168" s="28" t="s">
        <v>149</v>
      </c>
      <c r="K2168" s="28" t="s">
        <v>9722</v>
      </c>
      <c r="L2168" s="28" t="s">
        <v>9636</v>
      </c>
      <c r="M2168" s="28" t="s">
        <v>12211</v>
      </c>
      <c r="N2168" s="28" t="s">
        <v>9638</v>
      </c>
      <c r="O2168" s="28" t="s">
        <v>9639</v>
      </c>
      <c r="P2168" s="28" t="s">
        <v>12212</v>
      </c>
    </row>
    <row r="2169" spans="1:16" x14ac:dyDescent="0.25">
      <c r="A2169" s="28" t="s">
        <v>12213</v>
      </c>
      <c r="B2169" s="28" t="s">
        <v>12214</v>
      </c>
      <c r="C2169" s="28" t="s">
        <v>132</v>
      </c>
      <c r="D2169" s="28" t="s">
        <v>1204</v>
      </c>
      <c r="E2169" s="28" t="s">
        <v>12215</v>
      </c>
      <c r="F2169" s="28" t="s">
        <v>21</v>
      </c>
      <c r="G2169" s="28" t="s">
        <v>149</v>
      </c>
      <c r="H2169" s="28" t="s">
        <v>9633</v>
      </c>
      <c r="I2169" s="28" t="s">
        <v>12216</v>
      </c>
      <c r="J2169" s="28" t="s">
        <v>149</v>
      </c>
      <c r="K2169" s="28" t="s">
        <v>9722</v>
      </c>
      <c r="L2169" s="28" t="s">
        <v>9636</v>
      </c>
      <c r="M2169" s="28" t="s">
        <v>12217</v>
      </c>
      <c r="N2169" s="28" t="s">
        <v>9638</v>
      </c>
      <c r="O2169" s="28" t="s">
        <v>9639</v>
      </c>
      <c r="P2169" s="28" t="s">
        <v>12218</v>
      </c>
    </row>
    <row r="2170" spans="1:16" x14ac:dyDescent="0.25">
      <c r="A2170" s="28" t="s">
        <v>12219</v>
      </c>
      <c r="B2170" s="28" t="s">
        <v>12220</v>
      </c>
      <c r="C2170" s="28" t="s">
        <v>132</v>
      </c>
      <c r="D2170" s="28" t="s">
        <v>1204</v>
      </c>
      <c r="E2170" s="28" t="s">
        <v>12221</v>
      </c>
      <c r="F2170" s="28" t="s">
        <v>21</v>
      </c>
      <c r="G2170" s="28" t="s">
        <v>149</v>
      </c>
      <c r="H2170" s="28" t="s">
        <v>9633</v>
      </c>
      <c r="I2170" s="28" t="s">
        <v>12222</v>
      </c>
      <c r="J2170" s="28" t="s">
        <v>149</v>
      </c>
      <c r="K2170" s="28" t="s">
        <v>9722</v>
      </c>
      <c r="L2170" s="28" t="s">
        <v>9636</v>
      </c>
      <c r="M2170" s="28" t="s">
        <v>12223</v>
      </c>
      <c r="N2170" s="28" t="s">
        <v>9638</v>
      </c>
      <c r="O2170" s="28" t="s">
        <v>9639</v>
      </c>
      <c r="P2170" s="28" t="s">
        <v>12224</v>
      </c>
    </row>
    <row r="2171" spans="1:16" x14ac:dyDescent="0.25">
      <c r="A2171" s="28" t="s">
        <v>12225</v>
      </c>
      <c r="B2171" s="28" t="s">
        <v>12226</v>
      </c>
      <c r="C2171" s="28" t="s">
        <v>132</v>
      </c>
      <c r="D2171" s="28" t="s">
        <v>1204</v>
      </c>
      <c r="E2171" s="28" t="s">
        <v>12227</v>
      </c>
      <c r="F2171" s="28" t="s">
        <v>21</v>
      </c>
      <c r="G2171" s="28" t="s">
        <v>149</v>
      </c>
      <c r="H2171" s="28" t="s">
        <v>9633</v>
      </c>
      <c r="I2171" s="28" t="s">
        <v>12228</v>
      </c>
      <c r="J2171" s="28" t="s">
        <v>149</v>
      </c>
      <c r="K2171" s="28" t="s">
        <v>9722</v>
      </c>
      <c r="L2171" s="28" t="s">
        <v>9636</v>
      </c>
      <c r="M2171" s="28" t="s">
        <v>12229</v>
      </c>
      <c r="N2171" s="28" t="s">
        <v>9638</v>
      </c>
      <c r="O2171" s="28" t="s">
        <v>9639</v>
      </c>
      <c r="P2171" s="28" t="s">
        <v>12230</v>
      </c>
    </row>
    <row r="2172" spans="1:16" x14ac:dyDescent="0.25">
      <c r="A2172" s="28" t="s">
        <v>12231</v>
      </c>
      <c r="B2172" s="28" t="s">
        <v>12232</v>
      </c>
      <c r="C2172" s="28" t="s">
        <v>132</v>
      </c>
      <c r="D2172" s="28" t="s">
        <v>1204</v>
      </c>
      <c r="E2172" s="28" t="s">
        <v>12233</v>
      </c>
      <c r="F2172" s="28" t="s">
        <v>21</v>
      </c>
      <c r="G2172" s="28" t="s">
        <v>149</v>
      </c>
      <c r="H2172" s="28" t="s">
        <v>9633</v>
      </c>
      <c r="I2172" s="28" t="s">
        <v>12234</v>
      </c>
      <c r="J2172" s="28" t="s">
        <v>149</v>
      </c>
      <c r="K2172" s="28" t="s">
        <v>9722</v>
      </c>
      <c r="L2172" s="28" t="s">
        <v>9636</v>
      </c>
      <c r="M2172" s="28" t="s">
        <v>12235</v>
      </c>
      <c r="N2172" s="28" t="s">
        <v>9638</v>
      </c>
      <c r="O2172" s="28" t="s">
        <v>9639</v>
      </c>
      <c r="P2172" s="28" t="s">
        <v>12236</v>
      </c>
    </row>
    <row r="2173" spans="1:16" x14ac:dyDescent="0.25">
      <c r="A2173" s="28" t="s">
        <v>12237</v>
      </c>
      <c r="B2173" s="28" t="s">
        <v>12238</v>
      </c>
      <c r="C2173" s="28" t="s">
        <v>132</v>
      </c>
      <c r="D2173" s="28" t="s">
        <v>1204</v>
      </c>
      <c r="E2173" s="28" t="s">
        <v>12239</v>
      </c>
      <c r="F2173" s="28" t="s">
        <v>21</v>
      </c>
      <c r="G2173" s="28" t="s">
        <v>207</v>
      </c>
      <c r="H2173" s="28" t="s">
        <v>9633</v>
      </c>
      <c r="I2173" s="28" t="s">
        <v>12240</v>
      </c>
      <c r="J2173" s="28" t="s">
        <v>207</v>
      </c>
      <c r="K2173" s="28" t="s">
        <v>9635</v>
      </c>
      <c r="L2173" s="28" t="s">
        <v>9636</v>
      </c>
      <c r="M2173" s="28" t="s">
        <v>12241</v>
      </c>
      <c r="N2173" s="28" t="s">
        <v>9638</v>
      </c>
      <c r="O2173" s="28" t="s">
        <v>9639</v>
      </c>
      <c r="P2173" s="28" t="s">
        <v>12242</v>
      </c>
    </row>
    <row r="2174" spans="1:16" x14ac:dyDescent="0.25">
      <c r="A2174" s="28" t="s">
        <v>12243</v>
      </c>
      <c r="B2174" s="28" t="s">
        <v>12244</v>
      </c>
      <c r="C2174" s="28" t="s">
        <v>132</v>
      </c>
      <c r="D2174" s="28" t="s">
        <v>1204</v>
      </c>
      <c r="E2174" s="28" t="s">
        <v>12245</v>
      </c>
      <c r="F2174" s="28" t="s">
        <v>21</v>
      </c>
      <c r="G2174" s="28" t="s">
        <v>207</v>
      </c>
      <c r="H2174" s="28" t="s">
        <v>9633</v>
      </c>
      <c r="I2174" s="28" t="s">
        <v>12246</v>
      </c>
      <c r="J2174" s="28" t="s">
        <v>207</v>
      </c>
      <c r="K2174" s="28" t="s">
        <v>9635</v>
      </c>
      <c r="L2174" s="28" t="s">
        <v>9636</v>
      </c>
      <c r="M2174" s="28" t="s">
        <v>12247</v>
      </c>
      <c r="N2174" s="28" t="s">
        <v>9638</v>
      </c>
      <c r="O2174" s="28" t="s">
        <v>9639</v>
      </c>
      <c r="P2174" s="28" t="s">
        <v>12248</v>
      </c>
    </row>
    <row r="2175" spans="1:16" x14ac:dyDescent="0.25">
      <c r="A2175" s="28" t="s">
        <v>12249</v>
      </c>
      <c r="B2175" s="28" t="s">
        <v>12250</v>
      </c>
      <c r="C2175" s="28" t="s">
        <v>132</v>
      </c>
      <c r="D2175" s="28" t="s">
        <v>1204</v>
      </c>
      <c r="E2175" s="28" t="s">
        <v>12251</v>
      </c>
      <c r="F2175" s="28" t="s">
        <v>21</v>
      </c>
      <c r="G2175" s="28" t="s">
        <v>207</v>
      </c>
      <c r="H2175" s="28" t="s">
        <v>9633</v>
      </c>
      <c r="I2175" s="28" t="s">
        <v>12252</v>
      </c>
      <c r="J2175" s="28" t="s">
        <v>207</v>
      </c>
      <c r="K2175" s="28" t="s">
        <v>9635</v>
      </c>
      <c r="L2175" s="28" t="s">
        <v>9636</v>
      </c>
      <c r="M2175" s="28" t="s">
        <v>12253</v>
      </c>
      <c r="N2175" s="28" t="s">
        <v>9638</v>
      </c>
      <c r="O2175" s="28" t="s">
        <v>9639</v>
      </c>
      <c r="P2175" s="28" t="s">
        <v>12254</v>
      </c>
    </row>
    <row r="2176" spans="1:16" x14ac:dyDescent="0.25">
      <c r="A2176" s="28" t="s">
        <v>12255</v>
      </c>
      <c r="B2176" s="28" t="s">
        <v>12256</v>
      </c>
      <c r="C2176" s="28" t="s">
        <v>132</v>
      </c>
      <c r="D2176" s="28" t="s">
        <v>1204</v>
      </c>
      <c r="E2176" s="28" t="s">
        <v>12257</v>
      </c>
      <c r="F2176" s="28" t="s">
        <v>21</v>
      </c>
      <c r="G2176" s="28" t="s">
        <v>207</v>
      </c>
      <c r="H2176" s="28" t="s">
        <v>9633</v>
      </c>
      <c r="I2176" s="28" t="s">
        <v>12258</v>
      </c>
      <c r="J2176" s="28" t="s">
        <v>207</v>
      </c>
      <c r="K2176" s="28" t="s">
        <v>9635</v>
      </c>
      <c r="L2176" s="28" t="s">
        <v>9636</v>
      </c>
      <c r="M2176" s="28" t="s">
        <v>12259</v>
      </c>
      <c r="N2176" s="28" t="s">
        <v>9638</v>
      </c>
      <c r="O2176" s="28" t="s">
        <v>9639</v>
      </c>
      <c r="P2176" s="28" t="s">
        <v>12260</v>
      </c>
    </row>
    <row r="2177" spans="1:16" x14ac:dyDescent="0.25">
      <c r="A2177" s="28" t="s">
        <v>12261</v>
      </c>
      <c r="B2177" s="28" t="s">
        <v>12262</v>
      </c>
      <c r="C2177" s="28" t="s">
        <v>132</v>
      </c>
      <c r="D2177" s="28" t="s">
        <v>1204</v>
      </c>
      <c r="E2177" s="28" t="s">
        <v>12263</v>
      </c>
      <c r="F2177" s="28" t="s">
        <v>21</v>
      </c>
      <c r="G2177" s="28" t="s">
        <v>135</v>
      </c>
      <c r="H2177" s="28" t="s">
        <v>10259</v>
      </c>
      <c r="I2177" s="28" t="s">
        <v>12264</v>
      </c>
      <c r="J2177" s="28" t="s">
        <v>135</v>
      </c>
      <c r="K2177" s="28" t="s">
        <v>10551</v>
      </c>
      <c r="L2177" s="28" t="s">
        <v>10262</v>
      </c>
      <c r="M2177" s="28" t="s">
        <v>12265</v>
      </c>
      <c r="N2177" s="28" t="s">
        <v>10264</v>
      </c>
      <c r="O2177" s="28" t="s">
        <v>10265</v>
      </c>
      <c r="P2177" s="28" t="s">
        <v>10266</v>
      </c>
    </row>
    <row r="2178" spans="1:16" x14ac:dyDescent="0.25">
      <c r="A2178" s="28" t="s">
        <v>12266</v>
      </c>
      <c r="B2178" s="28" t="s">
        <v>12267</v>
      </c>
      <c r="C2178" s="28" t="s">
        <v>132</v>
      </c>
      <c r="D2178" s="28" t="s">
        <v>1204</v>
      </c>
      <c r="E2178" s="28" t="s">
        <v>12268</v>
      </c>
      <c r="F2178" s="28" t="s">
        <v>21</v>
      </c>
      <c r="G2178" s="28" t="s">
        <v>149</v>
      </c>
      <c r="H2178" s="28" t="s">
        <v>9633</v>
      </c>
      <c r="I2178" s="28" t="s">
        <v>12269</v>
      </c>
      <c r="J2178" s="28" t="s">
        <v>149</v>
      </c>
      <c r="K2178" s="28" t="s">
        <v>9722</v>
      </c>
      <c r="L2178" s="28" t="s">
        <v>9636</v>
      </c>
      <c r="M2178" s="28" t="s">
        <v>12270</v>
      </c>
      <c r="N2178" s="28" t="s">
        <v>9638</v>
      </c>
      <c r="O2178" s="28" t="s">
        <v>9639</v>
      </c>
      <c r="P2178" s="28" t="s">
        <v>12271</v>
      </c>
    </row>
    <row r="2179" spans="1:16" x14ac:dyDescent="0.25">
      <c r="A2179" s="28" t="s">
        <v>12272</v>
      </c>
      <c r="B2179" s="28" t="s">
        <v>12273</v>
      </c>
      <c r="C2179" s="28" t="s">
        <v>132</v>
      </c>
      <c r="D2179" s="28" t="s">
        <v>1204</v>
      </c>
      <c r="E2179" s="28" t="s">
        <v>12274</v>
      </c>
      <c r="F2179" s="28" t="s">
        <v>21</v>
      </c>
      <c r="G2179" s="28" t="s">
        <v>149</v>
      </c>
      <c r="H2179" s="28" t="s">
        <v>9633</v>
      </c>
      <c r="I2179" s="28" t="s">
        <v>12275</v>
      </c>
      <c r="J2179" s="28" t="s">
        <v>149</v>
      </c>
      <c r="K2179" s="28" t="s">
        <v>9722</v>
      </c>
      <c r="L2179" s="28" t="s">
        <v>9636</v>
      </c>
      <c r="M2179" s="28" t="s">
        <v>12276</v>
      </c>
      <c r="N2179" s="28" t="s">
        <v>9638</v>
      </c>
      <c r="O2179" s="28" t="s">
        <v>9639</v>
      </c>
      <c r="P2179" s="28" t="s">
        <v>12277</v>
      </c>
    </row>
    <row r="2180" spans="1:16" x14ac:dyDescent="0.25">
      <c r="A2180" s="28" t="s">
        <v>12278</v>
      </c>
      <c r="B2180" s="28" t="s">
        <v>12279</v>
      </c>
      <c r="C2180" s="28" t="s">
        <v>132</v>
      </c>
      <c r="D2180" s="28" t="s">
        <v>1204</v>
      </c>
      <c r="E2180" s="28" t="s">
        <v>12280</v>
      </c>
      <c r="F2180" s="28" t="s">
        <v>21</v>
      </c>
      <c r="G2180" s="28" t="s">
        <v>149</v>
      </c>
      <c r="H2180" s="28" t="s">
        <v>9633</v>
      </c>
      <c r="I2180" s="28" t="s">
        <v>12281</v>
      </c>
      <c r="J2180" s="28" t="s">
        <v>149</v>
      </c>
      <c r="K2180" s="28" t="s">
        <v>9722</v>
      </c>
      <c r="L2180" s="28" t="s">
        <v>9636</v>
      </c>
      <c r="M2180" s="28" t="s">
        <v>12282</v>
      </c>
      <c r="N2180" s="28" t="s">
        <v>9638</v>
      </c>
      <c r="O2180" s="28" t="s">
        <v>9639</v>
      </c>
      <c r="P2180" s="28" t="s">
        <v>12283</v>
      </c>
    </row>
    <row r="2181" spans="1:16" x14ac:dyDescent="0.25">
      <c r="A2181" s="28" t="s">
        <v>12284</v>
      </c>
      <c r="B2181" s="28" t="s">
        <v>12285</v>
      </c>
      <c r="C2181" s="28" t="s">
        <v>132</v>
      </c>
      <c r="D2181" s="28" t="s">
        <v>1204</v>
      </c>
      <c r="E2181" s="28" t="s">
        <v>12286</v>
      </c>
      <c r="F2181" s="28" t="s">
        <v>21</v>
      </c>
      <c r="G2181" s="28" t="s">
        <v>149</v>
      </c>
      <c r="H2181" s="28" t="s">
        <v>9633</v>
      </c>
      <c r="I2181" s="28" t="s">
        <v>12287</v>
      </c>
      <c r="J2181" s="28" t="s">
        <v>149</v>
      </c>
      <c r="K2181" s="28" t="s">
        <v>9722</v>
      </c>
      <c r="L2181" s="28" t="s">
        <v>9636</v>
      </c>
      <c r="M2181" s="28" t="s">
        <v>12288</v>
      </c>
      <c r="N2181" s="28" t="s">
        <v>9638</v>
      </c>
      <c r="O2181" s="28" t="s">
        <v>9639</v>
      </c>
      <c r="P2181" s="28" t="s">
        <v>12289</v>
      </c>
    </row>
    <row r="2182" spans="1:16" x14ac:dyDescent="0.25">
      <c r="A2182" s="28" t="s">
        <v>12290</v>
      </c>
      <c r="B2182" s="28" t="s">
        <v>12291</v>
      </c>
      <c r="C2182" s="28" t="s">
        <v>132</v>
      </c>
      <c r="D2182" s="28" t="s">
        <v>1204</v>
      </c>
      <c r="E2182" s="28" t="s">
        <v>12292</v>
      </c>
      <c r="F2182" s="28" t="s">
        <v>21</v>
      </c>
      <c r="G2182" s="28" t="s">
        <v>149</v>
      </c>
      <c r="H2182" s="28" t="s">
        <v>9633</v>
      </c>
      <c r="I2182" s="28" t="s">
        <v>12293</v>
      </c>
      <c r="J2182" s="28" t="s">
        <v>149</v>
      </c>
      <c r="K2182" s="28" t="s">
        <v>9722</v>
      </c>
      <c r="L2182" s="28" t="s">
        <v>9636</v>
      </c>
      <c r="M2182" s="28" t="s">
        <v>12294</v>
      </c>
      <c r="N2182" s="28" t="s">
        <v>9638</v>
      </c>
      <c r="O2182" s="28" t="s">
        <v>9639</v>
      </c>
      <c r="P2182" s="28" t="s">
        <v>12295</v>
      </c>
    </row>
    <row r="2183" spans="1:16" x14ac:dyDescent="0.25">
      <c r="A2183" s="28" t="s">
        <v>12296</v>
      </c>
      <c r="B2183" s="28" t="s">
        <v>12297</v>
      </c>
      <c r="C2183" s="28" t="s">
        <v>132</v>
      </c>
      <c r="D2183" s="28" t="s">
        <v>1204</v>
      </c>
      <c r="E2183" s="28" t="s">
        <v>12298</v>
      </c>
      <c r="F2183" s="28" t="s">
        <v>21</v>
      </c>
      <c r="G2183" s="28" t="s">
        <v>149</v>
      </c>
      <c r="H2183" s="28" t="s">
        <v>9633</v>
      </c>
      <c r="I2183" s="28" t="s">
        <v>12299</v>
      </c>
      <c r="J2183" s="28" t="s">
        <v>149</v>
      </c>
      <c r="K2183" s="28" t="s">
        <v>9722</v>
      </c>
      <c r="L2183" s="28" t="s">
        <v>9636</v>
      </c>
      <c r="M2183" s="28" t="s">
        <v>12300</v>
      </c>
      <c r="N2183" s="28" t="s">
        <v>9638</v>
      </c>
      <c r="O2183" s="28" t="s">
        <v>9639</v>
      </c>
      <c r="P2183" s="28" t="s">
        <v>12301</v>
      </c>
    </row>
    <row r="2184" spans="1:16" x14ac:dyDescent="0.25">
      <c r="A2184" s="28" t="s">
        <v>12302</v>
      </c>
      <c r="B2184" s="28" t="s">
        <v>12303</v>
      </c>
      <c r="C2184" s="28" t="s">
        <v>132</v>
      </c>
      <c r="D2184" s="28" t="s">
        <v>1204</v>
      </c>
      <c r="E2184" s="28" t="s">
        <v>12304</v>
      </c>
      <c r="F2184" s="28" t="s">
        <v>21</v>
      </c>
      <c r="G2184" s="28" t="s">
        <v>149</v>
      </c>
      <c r="H2184" s="28" t="s">
        <v>9633</v>
      </c>
      <c r="I2184" s="28" t="s">
        <v>12305</v>
      </c>
      <c r="J2184" s="28" t="s">
        <v>149</v>
      </c>
      <c r="K2184" s="28" t="s">
        <v>9722</v>
      </c>
      <c r="L2184" s="28" t="s">
        <v>9636</v>
      </c>
      <c r="M2184" s="28" t="s">
        <v>12306</v>
      </c>
      <c r="N2184" s="28" t="s">
        <v>9638</v>
      </c>
      <c r="O2184" s="28" t="s">
        <v>9639</v>
      </c>
      <c r="P2184" s="28" t="s">
        <v>12307</v>
      </c>
    </row>
    <row r="2185" spans="1:16" x14ac:dyDescent="0.25">
      <c r="A2185" s="28" t="s">
        <v>12308</v>
      </c>
      <c r="B2185" s="28" t="s">
        <v>12309</v>
      </c>
      <c r="C2185" s="28" t="s">
        <v>132</v>
      </c>
      <c r="D2185" s="28" t="s">
        <v>1204</v>
      </c>
      <c r="E2185" s="28" t="s">
        <v>12310</v>
      </c>
      <c r="F2185" s="28" t="s">
        <v>21</v>
      </c>
      <c r="G2185" s="28" t="s">
        <v>149</v>
      </c>
      <c r="H2185" s="28" t="s">
        <v>9633</v>
      </c>
      <c r="I2185" s="28" t="s">
        <v>12311</v>
      </c>
      <c r="J2185" s="28" t="s">
        <v>149</v>
      </c>
      <c r="K2185" s="28" t="s">
        <v>9722</v>
      </c>
      <c r="L2185" s="28" t="s">
        <v>9636</v>
      </c>
      <c r="M2185" s="28" t="s">
        <v>12312</v>
      </c>
      <c r="N2185" s="28" t="s">
        <v>9638</v>
      </c>
      <c r="O2185" s="28" t="s">
        <v>9639</v>
      </c>
      <c r="P2185" s="28" t="s">
        <v>12313</v>
      </c>
    </row>
    <row r="2186" spans="1:16" x14ac:dyDescent="0.25">
      <c r="A2186" s="28" t="s">
        <v>12314</v>
      </c>
      <c r="B2186" s="28" t="s">
        <v>12315</v>
      </c>
      <c r="C2186" s="28" t="s">
        <v>132</v>
      </c>
      <c r="D2186" s="28" t="s">
        <v>1204</v>
      </c>
      <c r="E2186" s="28" t="s">
        <v>12316</v>
      </c>
      <c r="F2186" s="28" t="s">
        <v>21</v>
      </c>
      <c r="G2186" s="28" t="s">
        <v>149</v>
      </c>
      <c r="H2186" s="28" t="s">
        <v>9633</v>
      </c>
      <c r="I2186" s="28" t="s">
        <v>12317</v>
      </c>
      <c r="J2186" s="28" t="s">
        <v>149</v>
      </c>
      <c r="K2186" s="28" t="s">
        <v>9722</v>
      </c>
      <c r="L2186" s="28" t="s">
        <v>9636</v>
      </c>
      <c r="M2186" s="28" t="s">
        <v>12318</v>
      </c>
      <c r="N2186" s="28" t="s">
        <v>9638</v>
      </c>
      <c r="O2186" s="28" t="s">
        <v>9639</v>
      </c>
      <c r="P2186" s="28" t="s">
        <v>12319</v>
      </c>
    </row>
    <row r="2187" spans="1:16" x14ac:dyDescent="0.25">
      <c r="A2187" s="28" t="s">
        <v>12320</v>
      </c>
      <c r="B2187" s="28" t="s">
        <v>12321</v>
      </c>
      <c r="C2187" s="28" t="s">
        <v>132</v>
      </c>
      <c r="D2187" s="28" t="s">
        <v>1204</v>
      </c>
      <c r="E2187" s="28" t="s">
        <v>12322</v>
      </c>
      <c r="F2187" s="28" t="s">
        <v>21</v>
      </c>
      <c r="G2187" s="28" t="s">
        <v>149</v>
      </c>
      <c r="H2187" s="28" t="s">
        <v>9633</v>
      </c>
      <c r="I2187" s="28" t="s">
        <v>12323</v>
      </c>
      <c r="J2187" s="28" t="s">
        <v>149</v>
      </c>
      <c r="K2187" s="28" t="s">
        <v>9722</v>
      </c>
      <c r="L2187" s="28" t="s">
        <v>9636</v>
      </c>
      <c r="M2187" s="28" t="s">
        <v>12324</v>
      </c>
      <c r="N2187" s="28" t="s">
        <v>9638</v>
      </c>
      <c r="O2187" s="28" t="s">
        <v>9639</v>
      </c>
      <c r="P2187" s="28" t="s">
        <v>12325</v>
      </c>
    </row>
    <row r="2188" spans="1:16" x14ac:dyDescent="0.25">
      <c r="A2188" s="28" t="s">
        <v>12326</v>
      </c>
      <c r="B2188" s="28" t="s">
        <v>12327</v>
      </c>
      <c r="C2188" s="28" t="s">
        <v>132</v>
      </c>
      <c r="D2188" s="28" t="s">
        <v>1204</v>
      </c>
      <c r="E2188" s="28" t="s">
        <v>12328</v>
      </c>
      <c r="F2188" s="28" t="s">
        <v>21</v>
      </c>
      <c r="G2188" s="28" t="s">
        <v>149</v>
      </c>
      <c r="H2188" s="28" t="s">
        <v>9633</v>
      </c>
      <c r="I2188" s="28" t="s">
        <v>12329</v>
      </c>
      <c r="J2188" s="28" t="s">
        <v>149</v>
      </c>
      <c r="K2188" s="28" t="s">
        <v>9722</v>
      </c>
      <c r="L2188" s="28" t="s">
        <v>9636</v>
      </c>
      <c r="M2188" s="28" t="s">
        <v>12330</v>
      </c>
      <c r="N2188" s="28" t="s">
        <v>9638</v>
      </c>
      <c r="O2188" s="28" t="s">
        <v>9639</v>
      </c>
      <c r="P2188" s="28" t="s">
        <v>12331</v>
      </c>
    </row>
    <row r="2189" spans="1:16" x14ac:dyDescent="0.25">
      <c r="A2189" s="28" t="s">
        <v>12332</v>
      </c>
      <c r="B2189" s="28" t="s">
        <v>12333</v>
      </c>
      <c r="C2189" s="28" t="s">
        <v>132</v>
      </c>
      <c r="D2189" s="28" t="s">
        <v>1204</v>
      </c>
      <c r="E2189" s="28" t="s">
        <v>12334</v>
      </c>
      <c r="F2189" s="28" t="s">
        <v>21</v>
      </c>
      <c r="G2189" s="28" t="s">
        <v>149</v>
      </c>
      <c r="H2189" s="28" t="s">
        <v>9633</v>
      </c>
      <c r="I2189" s="28" t="s">
        <v>12335</v>
      </c>
      <c r="J2189" s="28" t="s">
        <v>149</v>
      </c>
      <c r="K2189" s="28" t="s">
        <v>9722</v>
      </c>
      <c r="L2189" s="28" t="s">
        <v>9636</v>
      </c>
      <c r="M2189" s="28" t="s">
        <v>12336</v>
      </c>
      <c r="N2189" s="28" t="s">
        <v>9638</v>
      </c>
      <c r="O2189" s="28" t="s">
        <v>9639</v>
      </c>
      <c r="P2189" s="28" t="s">
        <v>12337</v>
      </c>
    </row>
    <row r="2190" spans="1:16" x14ac:dyDescent="0.25">
      <c r="A2190" s="28" t="s">
        <v>12338</v>
      </c>
      <c r="B2190" s="28" t="s">
        <v>12339</v>
      </c>
      <c r="C2190" s="28" t="s">
        <v>132</v>
      </c>
      <c r="D2190" s="28" t="s">
        <v>1204</v>
      </c>
      <c r="E2190" s="28" t="s">
        <v>12340</v>
      </c>
      <c r="F2190" s="28" t="s">
        <v>21</v>
      </c>
      <c r="G2190" s="28" t="s">
        <v>149</v>
      </c>
      <c r="H2190" s="28" t="s">
        <v>9633</v>
      </c>
      <c r="I2190" s="28" t="s">
        <v>12341</v>
      </c>
      <c r="J2190" s="28" t="s">
        <v>149</v>
      </c>
      <c r="K2190" s="28" t="s">
        <v>9722</v>
      </c>
      <c r="L2190" s="28" t="s">
        <v>9636</v>
      </c>
      <c r="M2190" s="28" t="s">
        <v>12342</v>
      </c>
      <c r="N2190" s="28" t="s">
        <v>9638</v>
      </c>
      <c r="O2190" s="28" t="s">
        <v>9639</v>
      </c>
      <c r="P2190" s="28" t="s">
        <v>12343</v>
      </c>
    </row>
    <row r="2191" spans="1:16" x14ac:dyDescent="0.25">
      <c r="A2191" s="28" t="s">
        <v>12344</v>
      </c>
      <c r="B2191" s="28" t="s">
        <v>12345</v>
      </c>
      <c r="C2191" s="28" t="s">
        <v>132</v>
      </c>
      <c r="D2191" s="28" t="s">
        <v>1204</v>
      </c>
      <c r="E2191" s="28" t="s">
        <v>12346</v>
      </c>
      <c r="F2191" s="28" t="s">
        <v>21</v>
      </c>
      <c r="G2191" s="28" t="s">
        <v>149</v>
      </c>
      <c r="H2191" s="28" t="s">
        <v>9633</v>
      </c>
      <c r="I2191" s="28" t="s">
        <v>12347</v>
      </c>
      <c r="J2191" s="28" t="s">
        <v>149</v>
      </c>
      <c r="K2191" s="28" t="s">
        <v>9722</v>
      </c>
      <c r="L2191" s="28" t="s">
        <v>9636</v>
      </c>
      <c r="M2191" s="28" t="s">
        <v>12348</v>
      </c>
      <c r="N2191" s="28" t="s">
        <v>9638</v>
      </c>
      <c r="O2191" s="28" t="s">
        <v>9639</v>
      </c>
      <c r="P2191" s="28" t="s">
        <v>12349</v>
      </c>
    </row>
    <row r="2192" spans="1:16" x14ac:dyDescent="0.25">
      <c r="A2192" s="28" t="s">
        <v>12350</v>
      </c>
      <c r="B2192" s="28" t="s">
        <v>12351</v>
      </c>
      <c r="C2192" s="28" t="s">
        <v>132</v>
      </c>
      <c r="D2192" s="28" t="s">
        <v>1204</v>
      </c>
      <c r="E2192" s="28" t="s">
        <v>12352</v>
      </c>
      <c r="F2192" s="28" t="s">
        <v>21</v>
      </c>
      <c r="G2192" s="28" t="s">
        <v>207</v>
      </c>
      <c r="H2192" s="28" t="s">
        <v>9633</v>
      </c>
      <c r="I2192" s="28" t="s">
        <v>12353</v>
      </c>
      <c r="J2192" s="28" t="s">
        <v>207</v>
      </c>
      <c r="K2192" s="28" t="s">
        <v>9635</v>
      </c>
      <c r="L2192" s="28" t="s">
        <v>9636</v>
      </c>
      <c r="M2192" s="28" t="s">
        <v>12354</v>
      </c>
      <c r="N2192" s="28" t="s">
        <v>9638</v>
      </c>
      <c r="O2192" s="28" t="s">
        <v>9639</v>
      </c>
      <c r="P2192" s="28" t="s">
        <v>12355</v>
      </c>
    </row>
    <row r="2193" spans="1:16" x14ac:dyDescent="0.25">
      <c r="A2193" s="28" t="s">
        <v>12356</v>
      </c>
      <c r="B2193" s="28" t="s">
        <v>12357</v>
      </c>
      <c r="C2193" s="28" t="s">
        <v>132</v>
      </c>
      <c r="D2193" s="28" t="s">
        <v>1204</v>
      </c>
      <c r="E2193" s="28" t="s">
        <v>12358</v>
      </c>
      <c r="F2193" s="28" t="s">
        <v>21</v>
      </c>
      <c r="G2193" s="28" t="s">
        <v>149</v>
      </c>
      <c r="H2193" s="28" t="s">
        <v>9633</v>
      </c>
      <c r="I2193" s="28" t="s">
        <v>12359</v>
      </c>
      <c r="J2193" s="28" t="s">
        <v>149</v>
      </c>
      <c r="K2193" s="28" t="s">
        <v>9722</v>
      </c>
      <c r="L2193" s="28" t="s">
        <v>9636</v>
      </c>
      <c r="M2193" s="28" t="s">
        <v>12360</v>
      </c>
      <c r="N2193" s="28" t="s">
        <v>9638</v>
      </c>
      <c r="O2193" s="28" t="s">
        <v>9639</v>
      </c>
      <c r="P2193" s="28" t="s">
        <v>12361</v>
      </c>
    </row>
    <row r="2194" spans="1:16" x14ac:dyDescent="0.25">
      <c r="A2194" s="28" t="s">
        <v>12362</v>
      </c>
      <c r="B2194" s="28" t="s">
        <v>12363</v>
      </c>
      <c r="C2194" s="28" t="s">
        <v>132</v>
      </c>
      <c r="D2194" s="28" t="s">
        <v>1204</v>
      </c>
      <c r="E2194" s="28" t="s">
        <v>12364</v>
      </c>
      <c r="F2194" s="28" t="s">
        <v>21</v>
      </c>
      <c r="G2194" s="28" t="s">
        <v>149</v>
      </c>
      <c r="H2194" s="28" t="s">
        <v>9633</v>
      </c>
      <c r="I2194" s="28" t="s">
        <v>12365</v>
      </c>
      <c r="J2194" s="28" t="s">
        <v>149</v>
      </c>
      <c r="K2194" s="28" t="s">
        <v>9722</v>
      </c>
      <c r="L2194" s="28" t="s">
        <v>9636</v>
      </c>
      <c r="M2194" s="28" t="s">
        <v>12366</v>
      </c>
      <c r="N2194" s="28" t="s">
        <v>9638</v>
      </c>
      <c r="O2194" s="28" t="s">
        <v>9639</v>
      </c>
      <c r="P2194" s="28" t="s">
        <v>12367</v>
      </c>
    </row>
    <row r="2195" spans="1:16" x14ac:dyDescent="0.25">
      <c r="A2195" s="28" t="s">
        <v>12368</v>
      </c>
      <c r="B2195" s="28" t="s">
        <v>12369</v>
      </c>
      <c r="C2195" s="28" t="s">
        <v>132</v>
      </c>
      <c r="D2195" s="28" t="s">
        <v>1204</v>
      </c>
      <c r="E2195" s="28" t="s">
        <v>12370</v>
      </c>
      <c r="F2195" s="28" t="s">
        <v>21</v>
      </c>
      <c r="G2195" s="28" t="s">
        <v>149</v>
      </c>
      <c r="H2195" s="28" t="s">
        <v>9633</v>
      </c>
      <c r="I2195" s="28" t="s">
        <v>12371</v>
      </c>
      <c r="J2195" s="28" t="s">
        <v>149</v>
      </c>
      <c r="K2195" s="28" t="s">
        <v>9722</v>
      </c>
      <c r="L2195" s="28" t="s">
        <v>9636</v>
      </c>
      <c r="M2195" s="28" t="s">
        <v>12372</v>
      </c>
      <c r="N2195" s="28" t="s">
        <v>9638</v>
      </c>
      <c r="O2195" s="28" t="s">
        <v>9639</v>
      </c>
      <c r="P2195" s="28" t="s">
        <v>12373</v>
      </c>
    </row>
    <row r="2196" spans="1:16" x14ac:dyDescent="0.25">
      <c r="A2196" s="28" t="s">
        <v>12374</v>
      </c>
      <c r="B2196" s="28" t="s">
        <v>12375</v>
      </c>
      <c r="C2196" s="28" t="s">
        <v>132</v>
      </c>
      <c r="D2196" s="28" t="s">
        <v>1204</v>
      </c>
      <c r="E2196" s="28" t="s">
        <v>12376</v>
      </c>
      <c r="F2196" s="28" t="s">
        <v>21</v>
      </c>
      <c r="G2196" s="28" t="s">
        <v>149</v>
      </c>
      <c r="H2196" s="28" t="s">
        <v>9633</v>
      </c>
      <c r="I2196" s="28" t="s">
        <v>12377</v>
      </c>
      <c r="J2196" s="28" t="s">
        <v>149</v>
      </c>
      <c r="K2196" s="28" t="s">
        <v>9722</v>
      </c>
      <c r="L2196" s="28" t="s">
        <v>9636</v>
      </c>
      <c r="M2196" s="28" t="s">
        <v>12378</v>
      </c>
      <c r="N2196" s="28" t="s">
        <v>9638</v>
      </c>
      <c r="O2196" s="28" t="s">
        <v>9639</v>
      </c>
      <c r="P2196" s="28" t="s">
        <v>12379</v>
      </c>
    </row>
    <row r="2197" spans="1:16" x14ac:dyDescent="0.25">
      <c r="A2197" s="28" t="s">
        <v>12380</v>
      </c>
      <c r="B2197" s="28" t="s">
        <v>12381</v>
      </c>
      <c r="C2197" s="28" t="s">
        <v>132</v>
      </c>
      <c r="D2197" s="28" t="s">
        <v>1204</v>
      </c>
      <c r="E2197" s="28" t="s">
        <v>12382</v>
      </c>
      <c r="F2197" s="28" t="s">
        <v>21</v>
      </c>
      <c r="G2197" s="28" t="s">
        <v>149</v>
      </c>
      <c r="H2197" s="28" t="s">
        <v>9633</v>
      </c>
      <c r="I2197" s="28" t="s">
        <v>12383</v>
      </c>
      <c r="J2197" s="28" t="s">
        <v>149</v>
      </c>
      <c r="K2197" s="28" t="s">
        <v>9722</v>
      </c>
      <c r="L2197" s="28" t="s">
        <v>9636</v>
      </c>
      <c r="M2197" s="28" t="s">
        <v>12384</v>
      </c>
      <c r="N2197" s="28" t="s">
        <v>9638</v>
      </c>
      <c r="O2197" s="28" t="s">
        <v>9639</v>
      </c>
      <c r="P2197" s="28" t="s">
        <v>12385</v>
      </c>
    </row>
    <row r="2198" spans="1:16" x14ac:dyDescent="0.25">
      <c r="A2198" s="28" t="s">
        <v>12386</v>
      </c>
      <c r="B2198" s="28" t="s">
        <v>12387</v>
      </c>
      <c r="C2198" s="28" t="s">
        <v>132</v>
      </c>
      <c r="D2198" s="28" t="s">
        <v>1204</v>
      </c>
      <c r="E2198" s="28" t="s">
        <v>12388</v>
      </c>
      <c r="F2198" s="28" t="s">
        <v>21</v>
      </c>
      <c r="G2198" s="28" t="s">
        <v>149</v>
      </c>
      <c r="H2198" s="28" t="s">
        <v>9633</v>
      </c>
      <c r="I2198" s="28" t="s">
        <v>12389</v>
      </c>
      <c r="J2198" s="28" t="s">
        <v>149</v>
      </c>
      <c r="K2198" s="28" t="s">
        <v>9722</v>
      </c>
      <c r="L2198" s="28" t="s">
        <v>9636</v>
      </c>
      <c r="M2198" s="28" t="s">
        <v>12390</v>
      </c>
      <c r="N2198" s="28" t="s">
        <v>9638</v>
      </c>
      <c r="O2198" s="28" t="s">
        <v>9639</v>
      </c>
      <c r="P2198" s="28" t="s">
        <v>12391</v>
      </c>
    </row>
    <row r="2199" spans="1:16" x14ac:dyDescent="0.25">
      <c r="A2199" s="28" t="s">
        <v>12392</v>
      </c>
      <c r="B2199" s="28" t="s">
        <v>12393</v>
      </c>
      <c r="C2199" s="28" t="s">
        <v>132</v>
      </c>
      <c r="D2199" s="28" t="s">
        <v>1204</v>
      </c>
      <c r="E2199" s="28" t="s">
        <v>12394</v>
      </c>
      <c r="F2199" s="28" t="s">
        <v>21</v>
      </c>
      <c r="G2199" s="28" t="s">
        <v>207</v>
      </c>
      <c r="H2199" s="28" t="s">
        <v>9633</v>
      </c>
      <c r="I2199" s="28" t="s">
        <v>12395</v>
      </c>
      <c r="J2199" s="28" t="s">
        <v>207</v>
      </c>
      <c r="K2199" s="28" t="s">
        <v>9635</v>
      </c>
      <c r="L2199" s="28" t="s">
        <v>9636</v>
      </c>
      <c r="M2199" s="28" t="s">
        <v>12396</v>
      </c>
      <c r="N2199" s="28" t="s">
        <v>9638</v>
      </c>
      <c r="O2199" s="28" t="s">
        <v>9639</v>
      </c>
      <c r="P2199" s="28" t="s">
        <v>12397</v>
      </c>
    </row>
    <row r="2200" spans="1:16" x14ac:dyDescent="0.25">
      <c r="A2200" s="28" t="s">
        <v>12398</v>
      </c>
      <c r="B2200" s="28" t="s">
        <v>12399</v>
      </c>
      <c r="C2200" s="28" t="s">
        <v>132</v>
      </c>
      <c r="D2200" s="28" t="s">
        <v>1204</v>
      </c>
      <c r="E2200" s="28" t="s">
        <v>12400</v>
      </c>
      <c r="F2200" s="28" t="s">
        <v>21</v>
      </c>
      <c r="G2200" s="28" t="s">
        <v>149</v>
      </c>
      <c r="H2200" s="28" t="s">
        <v>9633</v>
      </c>
      <c r="I2200" s="28" t="s">
        <v>12401</v>
      </c>
      <c r="J2200" s="28" t="s">
        <v>149</v>
      </c>
      <c r="K2200" s="28" t="s">
        <v>9722</v>
      </c>
      <c r="L2200" s="28" t="s">
        <v>9636</v>
      </c>
      <c r="M2200" s="28" t="s">
        <v>12402</v>
      </c>
      <c r="N2200" s="28" t="s">
        <v>9638</v>
      </c>
      <c r="O2200" s="28" t="s">
        <v>9639</v>
      </c>
      <c r="P2200" s="28" t="s">
        <v>12403</v>
      </c>
    </row>
    <row r="2201" spans="1:16" x14ac:dyDescent="0.25">
      <c r="A2201" s="28" t="s">
        <v>12404</v>
      </c>
      <c r="B2201" s="28" t="s">
        <v>12405</v>
      </c>
      <c r="C2201" s="28" t="s">
        <v>132</v>
      </c>
      <c r="D2201" s="28" t="s">
        <v>1204</v>
      </c>
      <c r="E2201" s="28" t="s">
        <v>12406</v>
      </c>
      <c r="F2201" s="28" t="s">
        <v>21</v>
      </c>
      <c r="G2201" s="28" t="s">
        <v>149</v>
      </c>
      <c r="H2201" s="28" t="s">
        <v>9633</v>
      </c>
      <c r="I2201" s="28" t="s">
        <v>12407</v>
      </c>
      <c r="J2201" s="28" t="s">
        <v>149</v>
      </c>
      <c r="K2201" s="28" t="s">
        <v>9722</v>
      </c>
      <c r="L2201" s="28" t="s">
        <v>9636</v>
      </c>
      <c r="M2201" s="28" t="s">
        <v>12408</v>
      </c>
      <c r="N2201" s="28" t="s">
        <v>9638</v>
      </c>
      <c r="O2201" s="28" t="s">
        <v>9639</v>
      </c>
      <c r="P2201" s="28" t="s">
        <v>12409</v>
      </c>
    </row>
    <row r="2202" spans="1:16" x14ac:dyDescent="0.25">
      <c r="A2202" s="28" t="s">
        <v>12410</v>
      </c>
      <c r="B2202" s="28" t="s">
        <v>12411</v>
      </c>
      <c r="C2202" s="28" t="s">
        <v>132</v>
      </c>
      <c r="D2202" s="28" t="s">
        <v>1204</v>
      </c>
      <c r="E2202" s="28" t="s">
        <v>12412</v>
      </c>
      <c r="F2202" s="28" t="s">
        <v>21</v>
      </c>
      <c r="G2202" s="28" t="s">
        <v>149</v>
      </c>
      <c r="H2202" s="28" t="s">
        <v>9633</v>
      </c>
      <c r="I2202" s="28" t="s">
        <v>12413</v>
      </c>
      <c r="J2202" s="28" t="s">
        <v>149</v>
      </c>
      <c r="K2202" s="28" t="s">
        <v>9722</v>
      </c>
      <c r="L2202" s="28" t="s">
        <v>9636</v>
      </c>
      <c r="M2202" s="28" t="s">
        <v>12414</v>
      </c>
      <c r="N2202" s="28" t="s">
        <v>9638</v>
      </c>
      <c r="O2202" s="28" t="s">
        <v>9639</v>
      </c>
      <c r="P2202" s="28" t="s">
        <v>12415</v>
      </c>
    </row>
    <row r="2203" spans="1:16" x14ac:dyDescent="0.25">
      <c r="A2203" s="28" t="s">
        <v>12416</v>
      </c>
      <c r="B2203" s="28" t="s">
        <v>12417</v>
      </c>
      <c r="C2203" s="28" t="s">
        <v>132</v>
      </c>
      <c r="D2203" s="28" t="s">
        <v>1204</v>
      </c>
      <c r="E2203" s="28" t="s">
        <v>12418</v>
      </c>
      <c r="F2203" s="28" t="s">
        <v>21</v>
      </c>
      <c r="G2203" s="28" t="s">
        <v>149</v>
      </c>
      <c r="H2203" s="28" t="s">
        <v>9633</v>
      </c>
      <c r="I2203" s="28" t="s">
        <v>12419</v>
      </c>
      <c r="J2203" s="28" t="s">
        <v>149</v>
      </c>
      <c r="K2203" s="28" t="s">
        <v>9722</v>
      </c>
      <c r="L2203" s="28" t="s">
        <v>9636</v>
      </c>
      <c r="M2203" s="28" t="s">
        <v>12420</v>
      </c>
      <c r="N2203" s="28" t="s">
        <v>9638</v>
      </c>
      <c r="O2203" s="28" t="s">
        <v>9639</v>
      </c>
      <c r="P2203" s="28" t="s">
        <v>12421</v>
      </c>
    </row>
    <row r="2204" spans="1:16" x14ac:dyDescent="0.25">
      <c r="A2204" s="28" t="s">
        <v>12422</v>
      </c>
      <c r="B2204" s="28" t="s">
        <v>12423</v>
      </c>
      <c r="C2204" s="28" t="s">
        <v>132</v>
      </c>
      <c r="D2204" s="28" t="s">
        <v>1204</v>
      </c>
      <c r="E2204" s="28" t="s">
        <v>12424</v>
      </c>
      <c r="F2204" s="28" t="s">
        <v>21</v>
      </c>
      <c r="G2204" s="28" t="s">
        <v>149</v>
      </c>
      <c r="H2204" s="28" t="s">
        <v>9633</v>
      </c>
      <c r="I2204" s="28" t="s">
        <v>12425</v>
      </c>
      <c r="J2204" s="28" t="s">
        <v>149</v>
      </c>
      <c r="K2204" s="28" t="s">
        <v>9722</v>
      </c>
      <c r="L2204" s="28" t="s">
        <v>9636</v>
      </c>
      <c r="M2204" s="28" t="s">
        <v>12426</v>
      </c>
      <c r="N2204" s="28" t="s">
        <v>9638</v>
      </c>
      <c r="O2204" s="28" t="s">
        <v>9639</v>
      </c>
      <c r="P2204" s="28" t="s">
        <v>12427</v>
      </c>
    </row>
    <row r="2205" spans="1:16" x14ac:dyDescent="0.25">
      <c r="A2205" s="28" t="s">
        <v>12428</v>
      </c>
      <c r="B2205" s="28" t="s">
        <v>12429</v>
      </c>
      <c r="C2205" s="28" t="s">
        <v>132</v>
      </c>
      <c r="D2205" s="28" t="s">
        <v>1204</v>
      </c>
      <c r="E2205" s="28" t="s">
        <v>12430</v>
      </c>
      <c r="F2205" s="28" t="s">
        <v>21</v>
      </c>
      <c r="G2205" s="28" t="s">
        <v>149</v>
      </c>
      <c r="H2205" s="28" t="s">
        <v>9633</v>
      </c>
      <c r="I2205" s="28" t="s">
        <v>12431</v>
      </c>
      <c r="J2205" s="28" t="s">
        <v>149</v>
      </c>
      <c r="K2205" s="28" t="s">
        <v>9722</v>
      </c>
      <c r="L2205" s="28" t="s">
        <v>9636</v>
      </c>
      <c r="M2205" s="28" t="s">
        <v>12432</v>
      </c>
      <c r="N2205" s="28" t="s">
        <v>9638</v>
      </c>
      <c r="O2205" s="28" t="s">
        <v>9639</v>
      </c>
      <c r="P2205" s="28" t="s">
        <v>12433</v>
      </c>
    </row>
    <row r="2206" spans="1:16" x14ac:dyDescent="0.25">
      <c r="A2206" s="28" t="s">
        <v>12434</v>
      </c>
      <c r="B2206" s="28" t="s">
        <v>12435</v>
      </c>
      <c r="C2206" s="28" t="s">
        <v>132</v>
      </c>
      <c r="D2206" s="28" t="s">
        <v>1204</v>
      </c>
      <c r="E2206" s="28" t="s">
        <v>12436</v>
      </c>
      <c r="F2206" s="28" t="s">
        <v>21</v>
      </c>
      <c r="G2206" s="28" t="s">
        <v>149</v>
      </c>
      <c r="H2206" s="28" t="s">
        <v>9633</v>
      </c>
      <c r="I2206" s="28" t="s">
        <v>12437</v>
      </c>
      <c r="J2206" s="28" t="s">
        <v>149</v>
      </c>
      <c r="K2206" s="28" t="s">
        <v>9722</v>
      </c>
      <c r="L2206" s="28" t="s">
        <v>9636</v>
      </c>
      <c r="M2206" s="28" t="s">
        <v>12438</v>
      </c>
      <c r="N2206" s="28" t="s">
        <v>9638</v>
      </c>
      <c r="O2206" s="28" t="s">
        <v>9639</v>
      </c>
      <c r="P2206" s="28" t="s">
        <v>12439</v>
      </c>
    </row>
    <row r="2207" spans="1:16" x14ac:dyDescent="0.25">
      <c r="A2207" s="28" t="s">
        <v>12440</v>
      </c>
      <c r="B2207" s="28" t="s">
        <v>12441</v>
      </c>
      <c r="C2207" s="28" t="s">
        <v>132</v>
      </c>
      <c r="D2207" s="28" t="s">
        <v>1204</v>
      </c>
      <c r="E2207" s="28" t="s">
        <v>12442</v>
      </c>
      <c r="F2207" s="28" t="s">
        <v>21</v>
      </c>
      <c r="G2207" s="28" t="s">
        <v>149</v>
      </c>
      <c r="H2207" s="28" t="s">
        <v>9633</v>
      </c>
      <c r="I2207" s="28" t="s">
        <v>12443</v>
      </c>
      <c r="J2207" s="28" t="s">
        <v>149</v>
      </c>
      <c r="K2207" s="28" t="s">
        <v>9722</v>
      </c>
      <c r="L2207" s="28" t="s">
        <v>9636</v>
      </c>
      <c r="M2207" s="28" t="s">
        <v>12444</v>
      </c>
      <c r="N2207" s="28" t="s">
        <v>9638</v>
      </c>
      <c r="O2207" s="28" t="s">
        <v>9639</v>
      </c>
      <c r="P2207" s="28" t="s">
        <v>12445</v>
      </c>
    </row>
    <row r="2208" spans="1:16" x14ac:dyDescent="0.25">
      <c r="A2208" s="28" t="s">
        <v>12446</v>
      </c>
      <c r="B2208" s="28" t="s">
        <v>12447</v>
      </c>
      <c r="C2208" s="28" t="s">
        <v>132</v>
      </c>
      <c r="D2208" s="28" t="s">
        <v>1204</v>
      </c>
      <c r="E2208" s="28" t="s">
        <v>12448</v>
      </c>
      <c r="F2208" s="28" t="s">
        <v>21</v>
      </c>
      <c r="G2208" s="28" t="s">
        <v>149</v>
      </c>
      <c r="H2208" s="28" t="s">
        <v>9633</v>
      </c>
      <c r="I2208" s="28" t="s">
        <v>12449</v>
      </c>
      <c r="J2208" s="28" t="s">
        <v>149</v>
      </c>
      <c r="K2208" s="28" t="s">
        <v>9722</v>
      </c>
      <c r="L2208" s="28" t="s">
        <v>9636</v>
      </c>
      <c r="M2208" s="28" t="s">
        <v>12450</v>
      </c>
      <c r="N2208" s="28" t="s">
        <v>9638</v>
      </c>
      <c r="O2208" s="28" t="s">
        <v>9639</v>
      </c>
      <c r="P2208" s="28" t="s">
        <v>12451</v>
      </c>
    </row>
    <row r="2209" spans="1:16" x14ac:dyDescent="0.25">
      <c r="A2209" s="28" t="s">
        <v>12452</v>
      </c>
      <c r="B2209" s="28" t="s">
        <v>12453</v>
      </c>
      <c r="C2209" s="28" t="s">
        <v>132</v>
      </c>
      <c r="D2209" s="28" t="s">
        <v>1204</v>
      </c>
      <c r="E2209" s="28" t="s">
        <v>12454</v>
      </c>
      <c r="F2209" s="28" t="s">
        <v>21</v>
      </c>
      <c r="G2209" s="28" t="s">
        <v>149</v>
      </c>
      <c r="H2209" s="28" t="s">
        <v>9633</v>
      </c>
      <c r="I2209" s="28" t="s">
        <v>12455</v>
      </c>
      <c r="J2209" s="28" t="s">
        <v>149</v>
      </c>
      <c r="K2209" s="28" t="s">
        <v>9722</v>
      </c>
      <c r="L2209" s="28" t="s">
        <v>9636</v>
      </c>
      <c r="M2209" s="28" t="s">
        <v>12456</v>
      </c>
      <c r="N2209" s="28" t="s">
        <v>9638</v>
      </c>
      <c r="O2209" s="28" t="s">
        <v>9639</v>
      </c>
      <c r="P2209" s="28" t="s">
        <v>12457</v>
      </c>
    </row>
    <row r="2210" spans="1:16" x14ac:dyDescent="0.25">
      <c r="A2210" s="28" t="s">
        <v>12458</v>
      </c>
      <c r="B2210" s="28" t="s">
        <v>12459</v>
      </c>
      <c r="C2210" s="28" t="s">
        <v>132</v>
      </c>
      <c r="D2210" s="28" t="s">
        <v>1204</v>
      </c>
      <c r="E2210" s="28" t="s">
        <v>12460</v>
      </c>
      <c r="F2210" s="28" t="s">
        <v>21</v>
      </c>
      <c r="G2210" s="28" t="s">
        <v>149</v>
      </c>
      <c r="H2210" s="28" t="s">
        <v>9633</v>
      </c>
      <c r="I2210" s="28" t="s">
        <v>12461</v>
      </c>
      <c r="J2210" s="28" t="s">
        <v>149</v>
      </c>
      <c r="K2210" s="28" t="s">
        <v>9722</v>
      </c>
      <c r="L2210" s="28" t="s">
        <v>9636</v>
      </c>
      <c r="M2210" s="28" t="s">
        <v>12462</v>
      </c>
      <c r="N2210" s="28" t="s">
        <v>9638</v>
      </c>
      <c r="O2210" s="28" t="s">
        <v>9639</v>
      </c>
      <c r="P2210" s="28" t="s">
        <v>12463</v>
      </c>
    </row>
    <row r="2211" spans="1:16" x14ac:dyDescent="0.25">
      <c r="A2211" s="28" t="s">
        <v>12464</v>
      </c>
      <c r="B2211" s="28" t="s">
        <v>12465</v>
      </c>
      <c r="C2211" s="28" t="s">
        <v>132</v>
      </c>
      <c r="D2211" s="28" t="s">
        <v>1204</v>
      </c>
      <c r="E2211" s="28" t="s">
        <v>12466</v>
      </c>
      <c r="F2211" s="28" t="s">
        <v>21</v>
      </c>
      <c r="G2211" s="28" t="s">
        <v>149</v>
      </c>
      <c r="H2211" s="28" t="s">
        <v>9633</v>
      </c>
      <c r="I2211" s="28" t="s">
        <v>12467</v>
      </c>
      <c r="J2211" s="28" t="s">
        <v>149</v>
      </c>
      <c r="K2211" s="28" t="s">
        <v>9722</v>
      </c>
      <c r="L2211" s="28" t="s">
        <v>9636</v>
      </c>
      <c r="M2211" s="28" t="s">
        <v>12468</v>
      </c>
      <c r="N2211" s="28" t="s">
        <v>9638</v>
      </c>
      <c r="O2211" s="28" t="s">
        <v>9639</v>
      </c>
      <c r="P2211" s="28" t="s">
        <v>12469</v>
      </c>
    </row>
    <row r="2212" spans="1:16" x14ac:dyDescent="0.25">
      <c r="A2212" s="28" t="s">
        <v>12470</v>
      </c>
      <c r="B2212" s="28" t="s">
        <v>12471</v>
      </c>
      <c r="C2212" s="28" t="s">
        <v>132</v>
      </c>
      <c r="D2212" s="28" t="s">
        <v>1204</v>
      </c>
      <c r="E2212" s="28" t="s">
        <v>12472</v>
      </c>
      <c r="F2212" s="28" t="s">
        <v>21</v>
      </c>
      <c r="G2212" s="28" t="s">
        <v>207</v>
      </c>
      <c r="H2212" s="28" t="s">
        <v>9633</v>
      </c>
      <c r="I2212" s="28" t="s">
        <v>12473</v>
      </c>
      <c r="J2212" s="28" t="s">
        <v>207</v>
      </c>
      <c r="K2212" s="28" t="s">
        <v>9635</v>
      </c>
      <c r="L2212" s="28" t="s">
        <v>9636</v>
      </c>
      <c r="M2212" s="28" t="s">
        <v>12474</v>
      </c>
      <c r="N2212" s="28" t="s">
        <v>9638</v>
      </c>
      <c r="O2212" s="28" t="s">
        <v>9639</v>
      </c>
      <c r="P2212" s="28" t="s">
        <v>12475</v>
      </c>
    </row>
    <row r="2213" spans="1:16" x14ac:dyDescent="0.25">
      <c r="A2213" s="28" t="s">
        <v>12476</v>
      </c>
      <c r="B2213" s="28" t="s">
        <v>12477</v>
      </c>
      <c r="C2213" s="28" t="s">
        <v>132</v>
      </c>
      <c r="D2213" s="28" t="s">
        <v>1204</v>
      </c>
      <c r="E2213" s="28" t="s">
        <v>12478</v>
      </c>
      <c r="F2213" s="28" t="s">
        <v>21</v>
      </c>
      <c r="G2213" s="28" t="s">
        <v>149</v>
      </c>
      <c r="H2213" s="28" t="s">
        <v>9633</v>
      </c>
      <c r="I2213" s="28" t="s">
        <v>12479</v>
      </c>
      <c r="J2213" s="28" t="s">
        <v>149</v>
      </c>
      <c r="K2213" s="28" t="s">
        <v>9722</v>
      </c>
      <c r="L2213" s="28" t="s">
        <v>9636</v>
      </c>
      <c r="M2213" s="28" t="s">
        <v>12480</v>
      </c>
      <c r="N2213" s="28" t="s">
        <v>9638</v>
      </c>
      <c r="O2213" s="28" t="s">
        <v>9639</v>
      </c>
      <c r="P2213" s="28" t="s">
        <v>12481</v>
      </c>
    </row>
    <row r="2214" spans="1:16" x14ac:dyDescent="0.25">
      <c r="A2214" s="28" t="s">
        <v>12482</v>
      </c>
      <c r="B2214" s="28" t="s">
        <v>12483</v>
      </c>
      <c r="C2214" s="28" t="s">
        <v>132</v>
      </c>
      <c r="D2214" s="28" t="s">
        <v>1204</v>
      </c>
      <c r="E2214" s="28" t="s">
        <v>12484</v>
      </c>
      <c r="F2214" s="28" t="s">
        <v>21</v>
      </c>
      <c r="G2214" s="28" t="s">
        <v>149</v>
      </c>
      <c r="H2214" s="28" t="s">
        <v>9633</v>
      </c>
      <c r="I2214" s="28" t="s">
        <v>12485</v>
      </c>
      <c r="J2214" s="28" t="s">
        <v>149</v>
      </c>
      <c r="K2214" s="28" t="s">
        <v>9722</v>
      </c>
      <c r="L2214" s="28" t="s">
        <v>9636</v>
      </c>
      <c r="M2214" s="28" t="s">
        <v>12486</v>
      </c>
      <c r="N2214" s="28" t="s">
        <v>9638</v>
      </c>
      <c r="O2214" s="28" t="s">
        <v>9639</v>
      </c>
      <c r="P2214" s="28" t="s">
        <v>12487</v>
      </c>
    </row>
    <row r="2215" spans="1:16" x14ac:dyDescent="0.25">
      <c r="A2215" s="28" t="s">
        <v>12488</v>
      </c>
      <c r="B2215" s="28" t="s">
        <v>12489</v>
      </c>
      <c r="C2215" s="28" t="s">
        <v>132</v>
      </c>
      <c r="D2215" s="28" t="s">
        <v>1204</v>
      </c>
      <c r="E2215" s="28" t="s">
        <v>12490</v>
      </c>
      <c r="F2215" s="28" t="s">
        <v>21</v>
      </c>
      <c r="G2215" s="28" t="s">
        <v>149</v>
      </c>
      <c r="H2215" s="28" t="s">
        <v>9633</v>
      </c>
      <c r="I2215" s="28" t="s">
        <v>12491</v>
      </c>
      <c r="J2215" s="28" t="s">
        <v>149</v>
      </c>
      <c r="K2215" s="28" t="s">
        <v>9722</v>
      </c>
      <c r="L2215" s="28" t="s">
        <v>9636</v>
      </c>
      <c r="M2215" s="28" t="s">
        <v>12492</v>
      </c>
      <c r="N2215" s="28" t="s">
        <v>9638</v>
      </c>
      <c r="O2215" s="28" t="s">
        <v>9639</v>
      </c>
      <c r="P2215" s="28" t="s">
        <v>12493</v>
      </c>
    </row>
    <row r="2216" spans="1:16" x14ac:dyDescent="0.25">
      <c r="A2216" s="28" t="s">
        <v>12494</v>
      </c>
      <c r="B2216" s="28" t="s">
        <v>12495</v>
      </c>
      <c r="C2216" s="28" t="s">
        <v>132</v>
      </c>
      <c r="D2216" s="28" t="s">
        <v>1204</v>
      </c>
      <c r="E2216" s="28" t="s">
        <v>12496</v>
      </c>
      <c r="F2216" s="28" t="s">
        <v>21</v>
      </c>
      <c r="G2216" s="28" t="s">
        <v>149</v>
      </c>
      <c r="H2216" s="28" t="s">
        <v>9633</v>
      </c>
      <c r="I2216" s="28" t="s">
        <v>12497</v>
      </c>
      <c r="J2216" s="28" t="s">
        <v>149</v>
      </c>
      <c r="K2216" s="28" t="s">
        <v>9722</v>
      </c>
      <c r="L2216" s="28" t="s">
        <v>9636</v>
      </c>
      <c r="M2216" s="28" t="s">
        <v>12498</v>
      </c>
      <c r="N2216" s="28" t="s">
        <v>9638</v>
      </c>
      <c r="O2216" s="28" t="s">
        <v>9639</v>
      </c>
      <c r="P2216" s="28" t="s">
        <v>12499</v>
      </c>
    </row>
    <row r="2217" spans="1:16" x14ac:dyDescent="0.25">
      <c r="A2217" s="28" t="s">
        <v>12500</v>
      </c>
      <c r="B2217" s="28" t="s">
        <v>12501</v>
      </c>
      <c r="C2217" s="28" t="s">
        <v>132</v>
      </c>
      <c r="D2217" s="28" t="s">
        <v>1204</v>
      </c>
      <c r="E2217" s="28" t="s">
        <v>12502</v>
      </c>
      <c r="F2217" s="28" t="s">
        <v>21</v>
      </c>
      <c r="G2217" s="28" t="s">
        <v>149</v>
      </c>
      <c r="H2217" s="28" t="s">
        <v>9633</v>
      </c>
      <c r="I2217" s="28" t="s">
        <v>12503</v>
      </c>
      <c r="J2217" s="28" t="s">
        <v>149</v>
      </c>
      <c r="K2217" s="28" t="s">
        <v>9722</v>
      </c>
      <c r="L2217" s="28" t="s">
        <v>9636</v>
      </c>
      <c r="M2217" s="28" t="s">
        <v>12504</v>
      </c>
      <c r="N2217" s="28" t="s">
        <v>9638</v>
      </c>
      <c r="O2217" s="28" t="s">
        <v>9639</v>
      </c>
      <c r="P2217" s="28" t="s">
        <v>12505</v>
      </c>
    </row>
    <row r="2218" spans="1:16" x14ac:dyDescent="0.25">
      <c r="A2218" s="28" t="s">
        <v>12506</v>
      </c>
      <c r="B2218" s="28" t="s">
        <v>12507</v>
      </c>
      <c r="C2218" s="28" t="s">
        <v>132</v>
      </c>
      <c r="D2218" s="28" t="s">
        <v>1204</v>
      </c>
      <c r="E2218" s="28" t="s">
        <v>12508</v>
      </c>
      <c r="F2218" s="28" t="s">
        <v>21</v>
      </c>
      <c r="G2218" s="28" t="s">
        <v>149</v>
      </c>
      <c r="H2218" s="28" t="s">
        <v>9633</v>
      </c>
      <c r="I2218" s="28" t="s">
        <v>12509</v>
      </c>
      <c r="J2218" s="28" t="s">
        <v>149</v>
      </c>
      <c r="K2218" s="28" t="s">
        <v>9722</v>
      </c>
      <c r="L2218" s="28" t="s">
        <v>9636</v>
      </c>
      <c r="M2218" s="28" t="s">
        <v>12510</v>
      </c>
      <c r="N2218" s="28" t="s">
        <v>9638</v>
      </c>
      <c r="O2218" s="28" t="s">
        <v>9639</v>
      </c>
      <c r="P2218" s="28" t="s">
        <v>12511</v>
      </c>
    </row>
    <row r="2219" spans="1:16" x14ac:dyDescent="0.25">
      <c r="A2219" s="28" t="s">
        <v>12512</v>
      </c>
      <c r="B2219" s="28" t="s">
        <v>12513</v>
      </c>
      <c r="C2219" s="28" t="s">
        <v>132</v>
      </c>
      <c r="D2219" s="28" t="s">
        <v>1204</v>
      </c>
      <c r="E2219" s="28" t="s">
        <v>12514</v>
      </c>
      <c r="F2219" s="28" t="s">
        <v>21</v>
      </c>
      <c r="G2219" s="28" t="s">
        <v>149</v>
      </c>
      <c r="H2219" s="28" t="s">
        <v>9633</v>
      </c>
      <c r="I2219" s="28" t="s">
        <v>12515</v>
      </c>
      <c r="J2219" s="28" t="s">
        <v>149</v>
      </c>
      <c r="K2219" s="28" t="s">
        <v>9722</v>
      </c>
      <c r="L2219" s="28" t="s">
        <v>9636</v>
      </c>
      <c r="M2219" s="28" t="s">
        <v>12516</v>
      </c>
      <c r="N2219" s="28" t="s">
        <v>9638</v>
      </c>
      <c r="O2219" s="28" t="s">
        <v>9639</v>
      </c>
      <c r="P2219" s="28" t="s">
        <v>12517</v>
      </c>
    </row>
    <row r="2220" spans="1:16" x14ac:dyDescent="0.25">
      <c r="A2220" s="28" t="s">
        <v>12518</v>
      </c>
      <c r="B2220" s="28" t="s">
        <v>12519</v>
      </c>
      <c r="C2220" s="28" t="s">
        <v>132</v>
      </c>
      <c r="D2220" s="28" t="s">
        <v>1204</v>
      </c>
      <c r="E2220" s="28" t="s">
        <v>12520</v>
      </c>
      <c r="F2220" s="28" t="s">
        <v>21</v>
      </c>
      <c r="G2220" s="28" t="s">
        <v>207</v>
      </c>
      <c r="H2220" s="28" t="s">
        <v>9633</v>
      </c>
      <c r="I2220" s="28" t="s">
        <v>12521</v>
      </c>
      <c r="J2220" s="28" t="s">
        <v>207</v>
      </c>
      <c r="K2220" s="28" t="s">
        <v>9635</v>
      </c>
      <c r="L2220" s="28" t="s">
        <v>9636</v>
      </c>
      <c r="M2220" s="28" t="s">
        <v>12522</v>
      </c>
      <c r="N2220" s="28" t="s">
        <v>9638</v>
      </c>
      <c r="O2220" s="28" t="s">
        <v>9639</v>
      </c>
      <c r="P2220" s="28" t="s">
        <v>12523</v>
      </c>
    </row>
    <row r="2221" spans="1:16" x14ac:dyDescent="0.25">
      <c r="A2221" s="28" t="s">
        <v>12524</v>
      </c>
      <c r="B2221" s="28" t="s">
        <v>12525</v>
      </c>
      <c r="C2221" s="28" t="s">
        <v>132</v>
      </c>
      <c r="D2221" s="28" t="s">
        <v>1204</v>
      </c>
      <c r="E2221" s="28" t="s">
        <v>12526</v>
      </c>
      <c r="F2221" s="28" t="s">
        <v>21</v>
      </c>
      <c r="G2221" s="28" t="s">
        <v>207</v>
      </c>
      <c r="H2221" s="28" t="s">
        <v>9633</v>
      </c>
      <c r="I2221" s="28" t="s">
        <v>12527</v>
      </c>
      <c r="J2221" s="28" t="s">
        <v>207</v>
      </c>
      <c r="K2221" s="28" t="s">
        <v>9635</v>
      </c>
      <c r="L2221" s="28" t="s">
        <v>9636</v>
      </c>
      <c r="M2221" s="28" t="s">
        <v>12528</v>
      </c>
      <c r="N2221" s="28" t="s">
        <v>9638</v>
      </c>
      <c r="O2221" s="28" t="s">
        <v>9639</v>
      </c>
      <c r="P2221" s="28" t="s">
        <v>12529</v>
      </c>
    </row>
    <row r="2222" spans="1:16" x14ac:dyDescent="0.25">
      <c r="A2222" s="28" t="s">
        <v>12530</v>
      </c>
      <c r="B2222" s="28" t="s">
        <v>12531</v>
      </c>
      <c r="C2222" s="28" t="s">
        <v>132</v>
      </c>
      <c r="D2222" s="28" t="s">
        <v>1204</v>
      </c>
      <c r="E2222" s="28" t="s">
        <v>12532</v>
      </c>
      <c r="F2222" s="28" t="s">
        <v>21</v>
      </c>
      <c r="G2222" s="28" t="s">
        <v>149</v>
      </c>
      <c r="H2222" s="28" t="s">
        <v>9633</v>
      </c>
      <c r="I2222" s="28" t="s">
        <v>12533</v>
      </c>
      <c r="J2222" s="28" t="s">
        <v>149</v>
      </c>
      <c r="K2222" s="28" t="s">
        <v>9722</v>
      </c>
      <c r="L2222" s="28" t="s">
        <v>9636</v>
      </c>
      <c r="M2222" s="28" t="s">
        <v>12534</v>
      </c>
      <c r="N2222" s="28" t="s">
        <v>9638</v>
      </c>
      <c r="O2222" s="28" t="s">
        <v>9639</v>
      </c>
      <c r="P2222" s="28" t="s">
        <v>12535</v>
      </c>
    </row>
    <row r="2223" spans="1:16" x14ac:dyDescent="0.25">
      <c r="A2223" s="28" t="s">
        <v>12536</v>
      </c>
      <c r="B2223" s="28" t="s">
        <v>12537</v>
      </c>
      <c r="C2223" s="28" t="s">
        <v>132</v>
      </c>
      <c r="D2223" s="28" t="s">
        <v>1204</v>
      </c>
      <c r="E2223" s="28" t="s">
        <v>12538</v>
      </c>
      <c r="F2223" s="28" t="s">
        <v>21</v>
      </c>
      <c r="G2223" s="28" t="s">
        <v>149</v>
      </c>
      <c r="H2223" s="28" t="s">
        <v>9633</v>
      </c>
      <c r="I2223" s="28" t="s">
        <v>12539</v>
      </c>
      <c r="J2223" s="28" t="s">
        <v>149</v>
      </c>
      <c r="K2223" s="28" t="s">
        <v>9722</v>
      </c>
      <c r="L2223" s="28" t="s">
        <v>9636</v>
      </c>
      <c r="M2223" s="28" t="s">
        <v>12540</v>
      </c>
      <c r="N2223" s="28" t="s">
        <v>9638</v>
      </c>
      <c r="O2223" s="28" t="s">
        <v>9639</v>
      </c>
      <c r="P2223" s="28" t="s">
        <v>12541</v>
      </c>
    </row>
    <row r="2224" spans="1:16" x14ac:dyDescent="0.25">
      <c r="A2224" s="28" t="s">
        <v>12542</v>
      </c>
      <c r="B2224" s="28" t="s">
        <v>12543</v>
      </c>
      <c r="C2224" s="28" t="s">
        <v>132</v>
      </c>
      <c r="D2224" s="28" t="s">
        <v>1204</v>
      </c>
      <c r="E2224" s="28" t="s">
        <v>12544</v>
      </c>
      <c r="F2224" s="28" t="s">
        <v>21</v>
      </c>
      <c r="G2224" s="28" t="s">
        <v>149</v>
      </c>
      <c r="H2224" s="28" t="s">
        <v>9633</v>
      </c>
      <c r="I2224" s="28" t="s">
        <v>12545</v>
      </c>
      <c r="J2224" s="28" t="s">
        <v>149</v>
      </c>
      <c r="K2224" s="28" t="s">
        <v>9722</v>
      </c>
      <c r="L2224" s="28" t="s">
        <v>9636</v>
      </c>
      <c r="M2224" s="28" t="s">
        <v>12546</v>
      </c>
      <c r="N2224" s="28" t="s">
        <v>9638</v>
      </c>
      <c r="O2224" s="28" t="s">
        <v>9639</v>
      </c>
      <c r="P2224" s="28" t="s">
        <v>12547</v>
      </c>
    </row>
    <row r="2225" spans="1:16" x14ac:dyDescent="0.25">
      <c r="A2225" s="28" t="s">
        <v>12548</v>
      </c>
      <c r="B2225" s="28" t="s">
        <v>12549</v>
      </c>
      <c r="C2225" s="28" t="s">
        <v>132</v>
      </c>
      <c r="D2225" s="28" t="s">
        <v>1204</v>
      </c>
      <c r="E2225" s="28" t="s">
        <v>1205</v>
      </c>
      <c r="F2225" s="28" t="s">
        <v>21</v>
      </c>
      <c r="G2225" s="28" t="s">
        <v>149</v>
      </c>
      <c r="H2225" s="28" t="s">
        <v>9633</v>
      </c>
      <c r="I2225" s="28" t="s">
        <v>12550</v>
      </c>
      <c r="J2225" s="28" t="s">
        <v>149</v>
      </c>
      <c r="K2225" s="28" t="s">
        <v>9722</v>
      </c>
      <c r="L2225" s="28" t="s">
        <v>9636</v>
      </c>
      <c r="M2225" s="28" t="s">
        <v>12551</v>
      </c>
      <c r="N2225" s="28" t="s">
        <v>9638</v>
      </c>
      <c r="O2225" s="28" t="s">
        <v>9639</v>
      </c>
      <c r="P2225" s="28" t="s">
        <v>12552</v>
      </c>
    </row>
    <row r="2226" spans="1:16" x14ac:dyDescent="0.25">
      <c r="A2226" s="28" t="s">
        <v>12553</v>
      </c>
      <c r="B2226" s="28" t="s">
        <v>12554</v>
      </c>
      <c r="C2226" s="28" t="s">
        <v>132</v>
      </c>
      <c r="D2226" s="28" t="s">
        <v>1204</v>
      </c>
      <c r="E2226" s="28" t="s">
        <v>12555</v>
      </c>
      <c r="F2226" s="28" t="s">
        <v>21</v>
      </c>
      <c r="G2226" s="28" t="s">
        <v>207</v>
      </c>
      <c r="H2226" s="28" t="s">
        <v>9633</v>
      </c>
      <c r="I2226" s="28" t="s">
        <v>12556</v>
      </c>
      <c r="J2226" s="28" t="s">
        <v>207</v>
      </c>
      <c r="K2226" s="28" t="s">
        <v>9635</v>
      </c>
      <c r="L2226" s="28" t="s">
        <v>9636</v>
      </c>
      <c r="M2226" s="28" t="s">
        <v>12557</v>
      </c>
      <c r="N2226" s="28" t="s">
        <v>9638</v>
      </c>
      <c r="O2226" s="28" t="s">
        <v>9639</v>
      </c>
      <c r="P2226" s="28" t="s">
        <v>12558</v>
      </c>
    </row>
    <row r="2227" spans="1:16" x14ac:dyDescent="0.25">
      <c r="A2227" s="28" t="s">
        <v>12559</v>
      </c>
      <c r="B2227" s="28" t="s">
        <v>12560</v>
      </c>
      <c r="C2227" s="28" t="s">
        <v>132</v>
      </c>
      <c r="D2227" s="28" t="s">
        <v>1204</v>
      </c>
      <c r="E2227" s="28" t="s">
        <v>12561</v>
      </c>
      <c r="F2227" s="28" t="s">
        <v>21</v>
      </c>
      <c r="G2227" s="28" t="s">
        <v>149</v>
      </c>
      <c r="H2227" s="28" t="s">
        <v>9633</v>
      </c>
      <c r="I2227" s="28" t="s">
        <v>12562</v>
      </c>
      <c r="J2227" s="28" t="s">
        <v>149</v>
      </c>
      <c r="K2227" s="28" t="s">
        <v>9722</v>
      </c>
      <c r="L2227" s="28" t="s">
        <v>9636</v>
      </c>
      <c r="M2227" s="28" t="s">
        <v>12563</v>
      </c>
      <c r="N2227" s="28" t="s">
        <v>9638</v>
      </c>
      <c r="O2227" s="28" t="s">
        <v>9639</v>
      </c>
      <c r="P2227" s="28" t="s">
        <v>12564</v>
      </c>
    </row>
    <row r="2228" spans="1:16" x14ac:dyDescent="0.25">
      <c r="A2228" s="28" t="s">
        <v>12565</v>
      </c>
      <c r="B2228" s="28" t="s">
        <v>12566</v>
      </c>
      <c r="C2228" s="28" t="s">
        <v>132</v>
      </c>
      <c r="D2228" s="28" t="s">
        <v>1204</v>
      </c>
      <c r="E2228" s="28" t="s">
        <v>12567</v>
      </c>
      <c r="F2228" s="28" t="s">
        <v>21</v>
      </c>
      <c r="G2228" s="28" t="s">
        <v>149</v>
      </c>
      <c r="H2228" s="28" t="s">
        <v>9633</v>
      </c>
      <c r="I2228" s="28" t="s">
        <v>12568</v>
      </c>
      <c r="J2228" s="28" t="s">
        <v>149</v>
      </c>
      <c r="K2228" s="28" t="s">
        <v>9722</v>
      </c>
      <c r="L2228" s="28" t="s">
        <v>9636</v>
      </c>
      <c r="M2228" s="28" t="s">
        <v>12569</v>
      </c>
      <c r="N2228" s="28" t="s">
        <v>9638</v>
      </c>
      <c r="O2228" s="28" t="s">
        <v>9639</v>
      </c>
      <c r="P2228" s="28" t="s">
        <v>12570</v>
      </c>
    </row>
    <row r="2229" spans="1:16" x14ac:dyDescent="0.25">
      <c r="A2229" s="28" t="s">
        <v>12571</v>
      </c>
      <c r="B2229" s="28" t="s">
        <v>12572</v>
      </c>
      <c r="C2229" s="28" t="s">
        <v>132</v>
      </c>
      <c r="D2229" s="28" t="s">
        <v>1204</v>
      </c>
      <c r="E2229" s="28" t="s">
        <v>12573</v>
      </c>
      <c r="F2229" s="28" t="s">
        <v>21</v>
      </c>
      <c r="G2229" s="28" t="s">
        <v>149</v>
      </c>
      <c r="H2229" s="28" t="s">
        <v>9633</v>
      </c>
      <c r="I2229" s="28" t="s">
        <v>12574</v>
      </c>
      <c r="J2229" s="28" t="s">
        <v>149</v>
      </c>
      <c r="K2229" s="28" t="s">
        <v>9722</v>
      </c>
      <c r="L2229" s="28" t="s">
        <v>9636</v>
      </c>
      <c r="M2229" s="28" t="s">
        <v>12575</v>
      </c>
      <c r="N2229" s="28" t="s">
        <v>9638</v>
      </c>
      <c r="O2229" s="28" t="s">
        <v>9639</v>
      </c>
      <c r="P2229" s="28" t="s">
        <v>12576</v>
      </c>
    </row>
    <row r="2230" spans="1:16" x14ac:dyDescent="0.25">
      <c r="A2230" s="28" t="s">
        <v>12577</v>
      </c>
      <c r="B2230" s="28" t="s">
        <v>12578</v>
      </c>
      <c r="C2230" s="28" t="s">
        <v>132</v>
      </c>
      <c r="D2230" s="28" t="s">
        <v>1204</v>
      </c>
      <c r="E2230" s="28" t="s">
        <v>12579</v>
      </c>
      <c r="F2230" s="28" t="s">
        <v>21</v>
      </c>
      <c r="G2230" s="28" t="s">
        <v>149</v>
      </c>
      <c r="H2230" s="28" t="s">
        <v>9633</v>
      </c>
      <c r="I2230" s="28" t="s">
        <v>12580</v>
      </c>
      <c r="J2230" s="28" t="s">
        <v>149</v>
      </c>
      <c r="K2230" s="28" t="s">
        <v>9722</v>
      </c>
      <c r="L2230" s="28" t="s">
        <v>9636</v>
      </c>
      <c r="M2230" s="28" t="s">
        <v>12581</v>
      </c>
      <c r="N2230" s="28" t="s">
        <v>9638</v>
      </c>
      <c r="O2230" s="28" t="s">
        <v>9639</v>
      </c>
      <c r="P2230" s="28" t="s">
        <v>12582</v>
      </c>
    </row>
    <row r="2231" spans="1:16" x14ac:dyDescent="0.25">
      <c r="A2231" s="28" t="s">
        <v>12583</v>
      </c>
      <c r="B2231" s="28" t="s">
        <v>12584</v>
      </c>
      <c r="C2231" s="28" t="s">
        <v>132</v>
      </c>
      <c r="D2231" s="28" t="s">
        <v>1204</v>
      </c>
      <c r="E2231" s="28" t="s">
        <v>12585</v>
      </c>
      <c r="F2231" s="28" t="s">
        <v>21</v>
      </c>
      <c r="G2231" s="28" t="s">
        <v>207</v>
      </c>
      <c r="H2231" s="28" t="s">
        <v>9633</v>
      </c>
      <c r="I2231" s="28" t="s">
        <v>12586</v>
      </c>
      <c r="J2231" s="28" t="s">
        <v>207</v>
      </c>
      <c r="K2231" s="28" t="s">
        <v>9635</v>
      </c>
      <c r="L2231" s="28" t="s">
        <v>9636</v>
      </c>
      <c r="M2231" s="28" t="s">
        <v>12587</v>
      </c>
      <c r="N2231" s="28" t="s">
        <v>9638</v>
      </c>
      <c r="O2231" s="28" t="s">
        <v>9639</v>
      </c>
      <c r="P2231" s="28" t="s">
        <v>12588</v>
      </c>
    </row>
    <row r="2232" spans="1:16" x14ac:dyDescent="0.25">
      <c r="A2232" s="28" t="s">
        <v>12589</v>
      </c>
      <c r="B2232" s="28" t="s">
        <v>12590</v>
      </c>
      <c r="C2232" s="28" t="s">
        <v>132</v>
      </c>
      <c r="D2232" s="28" t="s">
        <v>1204</v>
      </c>
      <c r="E2232" s="28" t="s">
        <v>12591</v>
      </c>
      <c r="F2232" s="28" t="s">
        <v>21</v>
      </c>
      <c r="G2232" s="28" t="s">
        <v>207</v>
      </c>
      <c r="H2232" s="28" t="s">
        <v>9633</v>
      </c>
      <c r="I2232" s="28" t="s">
        <v>12592</v>
      </c>
      <c r="J2232" s="28" t="s">
        <v>207</v>
      </c>
      <c r="K2232" s="28" t="s">
        <v>9635</v>
      </c>
      <c r="L2232" s="28" t="s">
        <v>9636</v>
      </c>
      <c r="M2232" s="28" t="s">
        <v>12593</v>
      </c>
      <c r="N2232" s="28" t="s">
        <v>9638</v>
      </c>
      <c r="O2232" s="28" t="s">
        <v>9639</v>
      </c>
      <c r="P2232" s="28" t="s">
        <v>12594</v>
      </c>
    </row>
    <row r="2233" spans="1:16" x14ac:dyDescent="0.25">
      <c r="A2233" s="28" t="s">
        <v>12595</v>
      </c>
      <c r="B2233" s="28" t="s">
        <v>12596</v>
      </c>
      <c r="C2233" s="28" t="s">
        <v>132</v>
      </c>
      <c r="D2233" s="28" t="s">
        <v>1204</v>
      </c>
      <c r="E2233" s="28" t="s">
        <v>12597</v>
      </c>
      <c r="F2233" s="28" t="s">
        <v>21</v>
      </c>
      <c r="G2233" s="28" t="s">
        <v>207</v>
      </c>
      <c r="H2233" s="28" t="s">
        <v>9633</v>
      </c>
      <c r="I2233" s="28" t="s">
        <v>12598</v>
      </c>
      <c r="J2233" s="28" t="s">
        <v>207</v>
      </c>
      <c r="K2233" s="28" t="s">
        <v>9635</v>
      </c>
      <c r="L2233" s="28" t="s">
        <v>9636</v>
      </c>
      <c r="M2233" s="28" t="s">
        <v>12599</v>
      </c>
      <c r="N2233" s="28" t="s">
        <v>9638</v>
      </c>
      <c r="O2233" s="28" t="s">
        <v>9639</v>
      </c>
      <c r="P2233" s="28" t="s">
        <v>12600</v>
      </c>
    </row>
    <row r="2234" spans="1:16" x14ac:dyDescent="0.25">
      <c r="A2234" s="28" t="s">
        <v>12601</v>
      </c>
      <c r="B2234" s="28" t="s">
        <v>12602</v>
      </c>
      <c r="C2234" s="28" t="s">
        <v>132</v>
      </c>
      <c r="D2234" s="28" t="s">
        <v>1204</v>
      </c>
      <c r="E2234" s="28" t="s">
        <v>12603</v>
      </c>
      <c r="F2234" s="28" t="s">
        <v>21</v>
      </c>
      <c r="G2234" s="28" t="s">
        <v>207</v>
      </c>
      <c r="H2234" s="28" t="s">
        <v>9633</v>
      </c>
      <c r="I2234" s="28" t="s">
        <v>12604</v>
      </c>
      <c r="J2234" s="28" t="s">
        <v>207</v>
      </c>
      <c r="K2234" s="28" t="s">
        <v>9635</v>
      </c>
      <c r="L2234" s="28" t="s">
        <v>9636</v>
      </c>
      <c r="M2234" s="28" t="s">
        <v>12605</v>
      </c>
      <c r="N2234" s="28" t="s">
        <v>9638</v>
      </c>
      <c r="O2234" s="28" t="s">
        <v>9639</v>
      </c>
      <c r="P2234" s="28" t="s">
        <v>12606</v>
      </c>
    </row>
    <row r="2235" spans="1:16" x14ac:dyDescent="0.25">
      <c r="A2235" s="28" t="s">
        <v>12607</v>
      </c>
      <c r="B2235" s="28" t="s">
        <v>12608</v>
      </c>
      <c r="C2235" s="28" t="s">
        <v>132</v>
      </c>
      <c r="D2235" s="28" t="s">
        <v>1204</v>
      </c>
      <c r="E2235" s="28" t="s">
        <v>12609</v>
      </c>
      <c r="F2235" s="28" t="s">
        <v>21</v>
      </c>
      <c r="G2235" s="28" t="s">
        <v>207</v>
      </c>
      <c r="H2235" s="28" t="s">
        <v>9633</v>
      </c>
      <c r="I2235" s="28" t="s">
        <v>12610</v>
      </c>
      <c r="J2235" s="28" t="s">
        <v>207</v>
      </c>
      <c r="K2235" s="28" t="s">
        <v>9635</v>
      </c>
      <c r="L2235" s="28" t="s">
        <v>9636</v>
      </c>
      <c r="M2235" s="28" t="s">
        <v>12611</v>
      </c>
      <c r="N2235" s="28" t="s">
        <v>9638</v>
      </c>
      <c r="O2235" s="28" t="s">
        <v>9639</v>
      </c>
      <c r="P2235" s="28" t="s">
        <v>12612</v>
      </c>
    </row>
    <row r="2236" spans="1:16" x14ac:dyDescent="0.25">
      <c r="A2236" s="28" t="s">
        <v>12613</v>
      </c>
      <c r="B2236" s="28" t="s">
        <v>12614</v>
      </c>
      <c r="C2236" s="28" t="s">
        <v>132</v>
      </c>
      <c r="D2236" s="28" t="s">
        <v>1204</v>
      </c>
      <c r="E2236" s="28" t="s">
        <v>12615</v>
      </c>
      <c r="F2236" s="28" t="s">
        <v>21</v>
      </c>
      <c r="G2236" s="28" t="s">
        <v>207</v>
      </c>
      <c r="H2236" s="28" t="s">
        <v>9633</v>
      </c>
      <c r="I2236" s="28" t="s">
        <v>12616</v>
      </c>
      <c r="J2236" s="28" t="s">
        <v>207</v>
      </c>
      <c r="K2236" s="28" t="s">
        <v>9635</v>
      </c>
      <c r="L2236" s="28" t="s">
        <v>9636</v>
      </c>
      <c r="M2236" s="28" t="s">
        <v>12617</v>
      </c>
      <c r="N2236" s="28" t="s">
        <v>9638</v>
      </c>
      <c r="O2236" s="28" t="s">
        <v>9639</v>
      </c>
      <c r="P2236" s="28" t="s">
        <v>12618</v>
      </c>
    </row>
    <row r="2237" spans="1:16" x14ac:dyDescent="0.25">
      <c r="A2237" s="28" t="s">
        <v>12619</v>
      </c>
      <c r="B2237" s="28" t="s">
        <v>12620</v>
      </c>
      <c r="C2237" s="28" t="s">
        <v>132</v>
      </c>
      <c r="D2237" s="28" t="s">
        <v>1204</v>
      </c>
      <c r="E2237" s="28" t="s">
        <v>12621</v>
      </c>
      <c r="F2237" s="28" t="s">
        <v>21</v>
      </c>
      <c r="G2237" s="28" t="s">
        <v>207</v>
      </c>
      <c r="H2237" s="28" t="s">
        <v>9633</v>
      </c>
      <c r="I2237" s="28" t="s">
        <v>12622</v>
      </c>
      <c r="J2237" s="28" t="s">
        <v>207</v>
      </c>
      <c r="K2237" s="28" t="s">
        <v>9635</v>
      </c>
      <c r="L2237" s="28" t="s">
        <v>9636</v>
      </c>
      <c r="M2237" s="28" t="s">
        <v>12623</v>
      </c>
      <c r="N2237" s="28" t="s">
        <v>9638</v>
      </c>
      <c r="O2237" s="28" t="s">
        <v>9639</v>
      </c>
      <c r="P2237" s="28" t="s">
        <v>12624</v>
      </c>
    </row>
    <row r="2238" spans="1:16" x14ac:dyDescent="0.25">
      <c r="A2238" s="28" t="s">
        <v>12625</v>
      </c>
      <c r="B2238" s="28" t="s">
        <v>12626</v>
      </c>
      <c r="C2238" s="28" t="s">
        <v>132</v>
      </c>
      <c r="D2238" s="28" t="s">
        <v>1204</v>
      </c>
      <c r="E2238" s="28" t="s">
        <v>12627</v>
      </c>
      <c r="F2238" s="28" t="s">
        <v>21</v>
      </c>
      <c r="G2238" s="28" t="s">
        <v>207</v>
      </c>
      <c r="H2238" s="28" t="s">
        <v>9633</v>
      </c>
      <c r="I2238" s="28" t="s">
        <v>12628</v>
      </c>
      <c r="J2238" s="28" t="s">
        <v>207</v>
      </c>
      <c r="K2238" s="28" t="s">
        <v>9635</v>
      </c>
      <c r="L2238" s="28" t="s">
        <v>9636</v>
      </c>
      <c r="M2238" s="28" t="s">
        <v>12629</v>
      </c>
      <c r="N2238" s="28" t="s">
        <v>9638</v>
      </c>
      <c r="O2238" s="28" t="s">
        <v>9639</v>
      </c>
      <c r="P2238" s="28" t="s">
        <v>12630</v>
      </c>
    </row>
    <row r="2239" spans="1:16" x14ac:dyDescent="0.25">
      <c r="A2239" s="28" t="s">
        <v>12631</v>
      </c>
      <c r="B2239" s="28" t="s">
        <v>12632</v>
      </c>
      <c r="C2239" s="28" t="s">
        <v>132</v>
      </c>
      <c r="D2239" s="28" t="s">
        <v>1204</v>
      </c>
      <c r="E2239" s="28" t="s">
        <v>12633</v>
      </c>
      <c r="F2239" s="28" t="s">
        <v>21</v>
      </c>
      <c r="G2239" s="28" t="s">
        <v>149</v>
      </c>
      <c r="H2239" s="28" t="s">
        <v>9633</v>
      </c>
      <c r="I2239" s="28" t="s">
        <v>12634</v>
      </c>
      <c r="J2239" s="28" t="s">
        <v>149</v>
      </c>
      <c r="K2239" s="28" t="s">
        <v>9722</v>
      </c>
      <c r="L2239" s="28" t="s">
        <v>9636</v>
      </c>
      <c r="M2239" s="28" t="s">
        <v>12635</v>
      </c>
      <c r="N2239" s="28" t="s">
        <v>9638</v>
      </c>
      <c r="O2239" s="28" t="s">
        <v>9639</v>
      </c>
      <c r="P2239" s="28" t="s">
        <v>12636</v>
      </c>
    </row>
    <row r="2240" spans="1:16" x14ac:dyDescent="0.25">
      <c r="A2240" s="28" t="s">
        <v>12637</v>
      </c>
      <c r="B2240" s="28" t="s">
        <v>12638</v>
      </c>
      <c r="C2240" s="28" t="s">
        <v>132</v>
      </c>
      <c r="D2240" s="28" t="s">
        <v>1204</v>
      </c>
      <c r="E2240" s="28" t="s">
        <v>12639</v>
      </c>
      <c r="F2240" s="28" t="s">
        <v>21</v>
      </c>
      <c r="G2240" s="28" t="s">
        <v>207</v>
      </c>
      <c r="H2240" s="28" t="s">
        <v>9633</v>
      </c>
      <c r="I2240" s="28" t="s">
        <v>12640</v>
      </c>
      <c r="J2240" s="28" t="s">
        <v>207</v>
      </c>
      <c r="K2240" s="28" t="s">
        <v>9635</v>
      </c>
      <c r="L2240" s="28" t="s">
        <v>9636</v>
      </c>
      <c r="M2240" s="28" t="s">
        <v>12641</v>
      </c>
      <c r="N2240" s="28" t="s">
        <v>9638</v>
      </c>
      <c r="O2240" s="28" t="s">
        <v>9639</v>
      </c>
      <c r="P2240" s="28" t="s">
        <v>12642</v>
      </c>
    </row>
    <row r="2241" spans="1:16" x14ac:dyDescent="0.25">
      <c r="A2241" s="28" t="s">
        <v>12643</v>
      </c>
      <c r="B2241" s="28" t="s">
        <v>12644</v>
      </c>
      <c r="C2241" s="28" t="s">
        <v>132</v>
      </c>
      <c r="D2241" s="28" t="s">
        <v>1204</v>
      </c>
      <c r="E2241" s="28" t="s">
        <v>12645</v>
      </c>
      <c r="F2241" s="28" t="s">
        <v>21</v>
      </c>
      <c r="G2241" s="28" t="s">
        <v>207</v>
      </c>
      <c r="H2241" s="28" t="s">
        <v>9633</v>
      </c>
      <c r="I2241" s="28" t="s">
        <v>12646</v>
      </c>
      <c r="J2241" s="28" t="s">
        <v>207</v>
      </c>
      <c r="K2241" s="28" t="s">
        <v>9635</v>
      </c>
      <c r="L2241" s="28" t="s">
        <v>9636</v>
      </c>
      <c r="M2241" s="28" t="s">
        <v>12647</v>
      </c>
      <c r="N2241" s="28" t="s">
        <v>9638</v>
      </c>
      <c r="O2241" s="28" t="s">
        <v>9639</v>
      </c>
      <c r="P2241" s="28" t="s">
        <v>12648</v>
      </c>
    </row>
    <row r="2242" spans="1:16" x14ac:dyDescent="0.25">
      <c r="A2242" s="28" t="s">
        <v>12649</v>
      </c>
      <c r="B2242" s="28" t="s">
        <v>12650</v>
      </c>
      <c r="C2242" s="28" t="s">
        <v>132</v>
      </c>
      <c r="D2242" s="28" t="s">
        <v>1204</v>
      </c>
      <c r="E2242" s="28" t="s">
        <v>12651</v>
      </c>
      <c r="F2242" s="28" t="s">
        <v>21</v>
      </c>
      <c r="G2242" s="28" t="s">
        <v>149</v>
      </c>
      <c r="H2242" s="28" t="s">
        <v>9633</v>
      </c>
      <c r="I2242" s="28" t="s">
        <v>12652</v>
      </c>
      <c r="J2242" s="28" t="s">
        <v>149</v>
      </c>
      <c r="K2242" s="28" t="s">
        <v>9722</v>
      </c>
      <c r="L2242" s="28" t="s">
        <v>9636</v>
      </c>
      <c r="M2242" s="28" t="s">
        <v>12653</v>
      </c>
      <c r="N2242" s="28" t="s">
        <v>9638</v>
      </c>
      <c r="O2242" s="28" t="s">
        <v>9639</v>
      </c>
      <c r="P2242" s="28" t="s">
        <v>12654</v>
      </c>
    </row>
    <row r="2243" spans="1:16" x14ac:dyDescent="0.25">
      <c r="A2243" s="28" t="s">
        <v>12655</v>
      </c>
      <c r="B2243" s="28" t="s">
        <v>12656</v>
      </c>
      <c r="C2243" s="28" t="s">
        <v>132</v>
      </c>
      <c r="D2243" s="28" t="s">
        <v>1204</v>
      </c>
      <c r="E2243" s="28" t="s">
        <v>12657</v>
      </c>
      <c r="F2243" s="28" t="s">
        <v>21</v>
      </c>
      <c r="G2243" s="28" t="s">
        <v>149</v>
      </c>
      <c r="H2243" s="28" t="s">
        <v>9633</v>
      </c>
      <c r="I2243" s="28" t="s">
        <v>12658</v>
      </c>
      <c r="J2243" s="28" t="s">
        <v>149</v>
      </c>
      <c r="K2243" s="28" t="s">
        <v>9722</v>
      </c>
      <c r="L2243" s="28" t="s">
        <v>9636</v>
      </c>
      <c r="M2243" s="28" t="s">
        <v>12659</v>
      </c>
      <c r="N2243" s="28" t="s">
        <v>9638</v>
      </c>
      <c r="O2243" s="28" t="s">
        <v>9639</v>
      </c>
      <c r="P2243" s="28" t="s">
        <v>12660</v>
      </c>
    </row>
    <row r="2244" spans="1:16" x14ac:dyDescent="0.25">
      <c r="A2244" s="28" t="s">
        <v>12661</v>
      </c>
      <c r="B2244" s="28" t="s">
        <v>12662</v>
      </c>
      <c r="C2244" s="28" t="s">
        <v>132</v>
      </c>
      <c r="D2244" s="28" t="s">
        <v>1204</v>
      </c>
      <c r="E2244" s="28" t="s">
        <v>12663</v>
      </c>
      <c r="F2244" s="28" t="s">
        <v>21</v>
      </c>
      <c r="G2244" s="28" t="s">
        <v>149</v>
      </c>
      <c r="H2244" s="28" t="s">
        <v>9633</v>
      </c>
      <c r="I2244" s="28" t="s">
        <v>12664</v>
      </c>
      <c r="J2244" s="28" t="s">
        <v>149</v>
      </c>
      <c r="K2244" s="28" t="s">
        <v>9722</v>
      </c>
      <c r="L2244" s="28" t="s">
        <v>9636</v>
      </c>
      <c r="M2244" s="28" t="s">
        <v>12665</v>
      </c>
      <c r="N2244" s="28" t="s">
        <v>9638</v>
      </c>
      <c r="O2244" s="28" t="s">
        <v>9639</v>
      </c>
      <c r="P2244" s="28" t="s">
        <v>12666</v>
      </c>
    </row>
    <row r="2245" spans="1:16" x14ac:dyDescent="0.25">
      <c r="A2245" s="28" t="s">
        <v>12667</v>
      </c>
      <c r="B2245" s="28" t="s">
        <v>12668</v>
      </c>
      <c r="C2245" s="28" t="s">
        <v>132</v>
      </c>
      <c r="D2245" s="28" t="s">
        <v>1204</v>
      </c>
      <c r="E2245" s="28" t="s">
        <v>12669</v>
      </c>
      <c r="F2245" s="28" t="s">
        <v>21</v>
      </c>
      <c r="G2245" s="28" t="s">
        <v>149</v>
      </c>
      <c r="H2245" s="28" t="s">
        <v>9633</v>
      </c>
      <c r="I2245" s="28" t="s">
        <v>12670</v>
      </c>
      <c r="J2245" s="28" t="s">
        <v>149</v>
      </c>
      <c r="K2245" s="28" t="s">
        <v>9722</v>
      </c>
      <c r="L2245" s="28" t="s">
        <v>9636</v>
      </c>
      <c r="M2245" s="28" t="s">
        <v>12671</v>
      </c>
      <c r="N2245" s="28" t="s">
        <v>9638</v>
      </c>
      <c r="O2245" s="28" t="s">
        <v>9639</v>
      </c>
      <c r="P2245" s="28" t="s">
        <v>12672</v>
      </c>
    </row>
    <row r="2246" spans="1:16" x14ac:dyDescent="0.25">
      <c r="A2246" s="28" t="s">
        <v>12673</v>
      </c>
      <c r="B2246" s="28" t="s">
        <v>12674</v>
      </c>
      <c r="C2246" s="28" t="s">
        <v>132</v>
      </c>
      <c r="D2246" s="28" t="s">
        <v>1204</v>
      </c>
      <c r="E2246" s="28" t="s">
        <v>12675</v>
      </c>
      <c r="F2246" s="28" t="s">
        <v>21</v>
      </c>
      <c r="G2246" s="28" t="s">
        <v>149</v>
      </c>
      <c r="H2246" s="28" t="s">
        <v>9633</v>
      </c>
      <c r="I2246" s="28" t="s">
        <v>12676</v>
      </c>
      <c r="J2246" s="28" t="s">
        <v>149</v>
      </c>
      <c r="K2246" s="28" t="s">
        <v>9722</v>
      </c>
      <c r="L2246" s="28" t="s">
        <v>9636</v>
      </c>
      <c r="M2246" s="28" t="s">
        <v>12677</v>
      </c>
      <c r="N2246" s="28" t="s">
        <v>9638</v>
      </c>
      <c r="O2246" s="28" t="s">
        <v>9639</v>
      </c>
      <c r="P2246" s="28" t="s">
        <v>12678</v>
      </c>
    </row>
    <row r="2247" spans="1:16" x14ac:dyDescent="0.25">
      <c r="A2247" s="28" t="s">
        <v>12679</v>
      </c>
      <c r="B2247" s="28" t="s">
        <v>12680</v>
      </c>
      <c r="C2247" s="28" t="s">
        <v>132</v>
      </c>
      <c r="D2247" s="28" t="s">
        <v>1204</v>
      </c>
      <c r="E2247" s="28" t="s">
        <v>12681</v>
      </c>
      <c r="F2247" s="28" t="s">
        <v>21</v>
      </c>
      <c r="G2247" s="28" t="s">
        <v>149</v>
      </c>
      <c r="H2247" s="28" t="s">
        <v>9633</v>
      </c>
      <c r="I2247" s="28" t="s">
        <v>12682</v>
      </c>
      <c r="J2247" s="28" t="s">
        <v>149</v>
      </c>
      <c r="K2247" s="28" t="s">
        <v>9722</v>
      </c>
      <c r="L2247" s="28" t="s">
        <v>9636</v>
      </c>
      <c r="M2247" s="28" t="s">
        <v>12683</v>
      </c>
      <c r="N2247" s="28" t="s">
        <v>9638</v>
      </c>
      <c r="O2247" s="28" t="s">
        <v>9639</v>
      </c>
      <c r="P2247" s="28" t="s">
        <v>12684</v>
      </c>
    </row>
    <row r="2248" spans="1:16" x14ac:dyDescent="0.25">
      <c r="A2248" s="28" t="s">
        <v>12685</v>
      </c>
      <c r="B2248" s="28" t="s">
        <v>12686</v>
      </c>
      <c r="C2248" s="28" t="s">
        <v>132</v>
      </c>
      <c r="D2248" s="28" t="s">
        <v>1204</v>
      </c>
      <c r="E2248" s="28" t="s">
        <v>12687</v>
      </c>
      <c r="F2248" s="28" t="s">
        <v>21</v>
      </c>
      <c r="G2248" s="28" t="s">
        <v>207</v>
      </c>
      <c r="H2248" s="28" t="s">
        <v>9633</v>
      </c>
      <c r="I2248" s="28" t="s">
        <v>12688</v>
      </c>
      <c r="J2248" s="28" t="s">
        <v>207</v>
      </c>
      <c r="K2248" s="28" t="s">
        <v>9635</v>
      </c>
      <c r="L2248" s="28" t="s">
        <v>9636</v>
      </c>
      <c r="M2248" s="28" t="s">
        <v>12689</v>
      </c>
      <c r="N2248" s="28" t="s">
        <v>9638</v>
      </c>
      <c r="O2248" s="28" t="s">
        <v>9639</v>
      </c>
      <c r="P2248" s="28" t="s">
        <v>12690</v>
      </c>
    </row>
    <row r="2249" spans="1:16" x14ac:dyDescent="0.25">
      <c r="A2249" s="28" t="s">
        <v>12691</v>
      </c>
      <c r="B2249" s="28" t="s">
        <v>12692</v>
      </c>
      <c r="C2249" s="28" t="s">
        <v>132</v>
      </c>
      <c r="D2249" s="28" t="s">
        <v>1204</v>
      </c>
      <c r="E2249" s="28" t="s">
        <v>12693</v>
      </c>
      <c r="F2249" s="28" t="s">
        <v>21</v>
      </c>
      <c r="G2249" s="28" t="s">
        <v>207</v>
      </c>
      <c r="H2249" s="28" t="s">
        <v>9633</v>
      </c>
      <c r="I2249" s="28" t="s">
        <v>12694</v>
      </c>
      <c r="J2249" s="28" t="s">
        <v>207</v>
      </c>
      <c r="K2249" s="28" t="s">
        <v>9635</v>
      </c>
      <c r="L2249" s="28" t="s">
        <v>9636</v>
      </c>
      <c r="M2249" s="28" t="s">
        <v>12695</v>
      </c>
      <c r="N2249" s="28" t="s">
        <v>9638</v>
      </c>
      <c r="O2249" s="28" t="s">
        <v>9639</v>
      </c>
      <c r="P2249" s="28" t="s">
        <v>12696</v>
      </c>
    </row>
    <row r="2250" spans="1:16" x14ac:dyDescent="0.25">
      <c r="A2250" s="28" t="s">
        <v>12697</v>
      </c>
      <c r="B2250" s="28" t="s">
        <v>12698</v>
      </c>
      <c r="C2250" s="28" t="s">
        <v>132</v>
      </c>
      <c r="D2250" s="28" t="s">
        <v>1204</v>
      </c>
      <c r="E2250" s="28" t="s">
        <v>12699</v>
      </c>
      <c r="F2250" s="28" t="s">
        <v>21</v>
      </c>
      <c r="G2250" s="28" t="s">
        <v>207</v>
      </c>
      <c r="H2250" s="28" t="s">
        <v>9633</v>
      </c>
      <c r="I2250" s="28" t="s">
        <v>12700</v>
      </c>
      <c r="J2250" s="28" t="s">
        <v>207</v>
      </c>
      <c r="K2250" s="28" t="s">
        <v>9635</v>
      </c>
      <c r="L2250" s="28" t="s">
        <v>9636</v>
      </c>
      <c r="M2250" s="28" t="s">
        <v>12701</v>
      </c>
      <c r="N2250" s="28" t="s">
        <v>9638</v>
      </c>
      <c r="O2250" s="28" t="s">
        <v>9639</v>
      </c>
      <c r="P2250" s="28" t="s">
        <v>12702</v>
      </c>
    </row>
    <row r="2251" spans="1:16" x14ac:dyDescent="0.25">
      <c r="A2251" s="28" t="s">
        <v>12703</v>
      </c>
      <c r="B2251" s="28" t="s">
        <v>12704</v>
      </c>
      <c r="C2251" s="28" t="s">
        <v>132</v>
      </c>
      <c r="D2251" s="28" t="s">
        <v>1204</v>
      </c>
      <c r="E2251" s="28" t="s">
        <v>12705</v>
      </c>
      <c r="F2251" s="28" t="s">
        <v>21</v>
      </c>
      <c r="G2251" s="28" t="s">
        <v>207</v>
      </c>
      <c r="H2251" s="28" t="s">
        <v>9633</v>
      </c>
      <c r="I2251" s="28" t="s">
        <v>12706</v>
      </c>
      <c r="J2251" s="28" t="s">
        <v>207</v>
      </c>
      <c r="K2251" s="28" t="s">
        <v>9635</v>
      </c>
      <c r="L2251" s="28" t="s">
        <v>9636</v>
      </c>
      <c r="M2251" s="28" t="s">
        <v>12707</v>
      </c>
      <c r="N2251" s="28" t="s">
        <v>9638</v>
      </c>
      <c r="O2251" s="28" t="s">
        <v>9639</v>
      </c>
      <c r="P2251" s="28" t="s">
        <v>12708</v>
      </c>
    </row>
    <row r="2252" spans="1:16" x14ac:dyDescent="0.25">
      <c r="A2252" s="28" t="s">
        <v>12709</v>
      </c>
      <c r="B2252" s="28" t="s">
        <v>12710</v>
      </c>
      <c r="C2252" s="28" t="s">
        <v>132</v>
      </c>
      <c r="D2252" s="28" t="s">
        <v>1204</v>
      </c>
      <c r="E2252" s="28" t="s">
        <v>12711</v>
      </c>
      <c r="F2252" s="28" t="s">
        <v>21</v>
      </c>
      <c r="G2252" s="28" t="s">
        <v>207</v>
      </c>
      <c r="H2252" s="28" t="s">
        <v>9633</v>
      </c>
      <c r="I2252" s="28" t="s">
        <v>12712</v>
      </c>
      <c r="J2252" s="28" t="s">
        <v>207</v>
      </c>
      <c r="K2252" s="28" t="s">
        <v>9635</v>
      </c>
      <c r="L2252" s="28" t="s">
        <v>9636</v>
      </c>
      <c r="M2252" s="28" t="s">
        <v>12713</v>
      </c>
      <c r="N2252" s="28" t="s">
        <v>9638</v>
      </c>
      <c r="O2252" s="28" t="s">
        <v>9639</v>
      </c>
      <c r="P2252" s="28" t="s">
        <v>12714</v>
      </c>
    </row>
    <row r="2253" spans="1:16" x14ac:dyDescent="0.25">
      <c r="A2253" s="28" t="s">
        <v>12715</v>
      </c>
      <c r="B2253" s="28" t="s">
        <v>12716</v>
      </c>
      <c r="C2253" s="28" t="s">
        <v>132</v>
      </c>
      <c r="D2253" s="28" t="s">
        <v>1204</v>
      </c>
      <c r="E2253" s="28" t="s">
        <v>12717</v>
      </c>
      <c r="F2253" s="28" t="s">
        <v>21</v>
      </c>
      <c r="G2253" s="28" t="s">
        <v>207</v>
      </c>
      <c r="H2253" s="28" t="s">
        <v>9633</v>
      </c>
      <c r="I2253" s="28" t="s">
        <v>12718</v>
      </c>
      <c r="J2253" s="28" t="s">
        <v>207</v>
      </c>
      <c r="K2253" s="28" t="s">
        <v>9635</v>
      </c>
      <c r="L2253" s="28" t="s">
        <v>9636</v>
      </c>
      <c r="M2253" s="28" t="s">
        <v>12719</v>
      </c>
      <c r="N2253" s="28" t="s">
        <v>9638</v>
      </c>
      <c r="O2253" s="28" t="s">
        <v>9639</v>
      </c>
      <c r="P2253" s="28" t="s">
        <v>12720</v>
      </c>
    </row>
    <row r="2254" spans="1:16" x14ac:dyDescent="0.25">
      <c r="A2254" s="28" t="s">
        <v>12721</v>
      </c>
      <c r="B2254" s="28" t="s">
        <v>12722</v>
      </c>
      <c r="C2254" s="28" t="s">
        <v>132</v>
      </c>
      <c r="D2254" s="28" t="s">
        <v>1204</v>
      </c>
      <c r="E2254" s="28" t="s">
        <v>12723</v>
      </c>
      <c r="F2254" s="28" t="s">
        <v>21</v>
      </c>
      <c r="G2254" s="28" t="s">
        <v>135</v>
      </c>
      <c r="H2254" s="28" t="s">
        <v>10259</v>
      </c>
      <c r="I2254" s="28" t="s">
        <v>12724</v>
      </c>
      <c r="J2254" s="28" t="s">
        <v>135</v>
      </c>
      <c r="K2254" s="28" t="s">
        <v>10551</v>
      </c>
      <c r="L2254" s="28" t="s">
        <v>10262</v>
      </c>
      <c r="M2254" s="28" t="s">
        <v>12725</v>
      </c>
      <c r="N2254" s="28" t="s">
        <v>10264</v>
      </c>
      <c r="O2254" s="28" t="s">
        <v>10265</v>
      </c>
      <c r="P2254" s="28" t="s">
        <v>10266</v>
      </c>
    </row>
    <row r="2255" spans="1:16" x14ac:dyDescent="0.25">
      <c r="A2255" s="28" t="s">
        <v>12726</v>
      </c>
      <c r="B2255" s="28" t="s">
        <v>12727</v>
      </c>
      <c r="C2255" s="28" t="s">
        <v>132</v>
      </c>
      <c r="D2255" s="28" t="s">
        <v>1204</v>
      </c>
      <c r="E2255" s="28" t="s">
        <v>12728</v>
      </c>
      <c r="F2255" s="28" t="s">
        <v>21</v>
      </c>
      <c r="G2255" s="28" t="s">
        <v>207</v>
      </c>
      <c r="H2255" s="28" t="s">
        <v>9633</v>
      </c>
      <c r="I2255" s="28" t="s">
        <v>12729</v>
      </c>
      <c r="J2255" s="28" t="s">
        <v>207</v>
      </c>
      <c r="K2255" s="28" t="s">
        <v>9635</v>
      </c>
      <c r="L2255" s="28" t="s">
        <v>9636</v>
      </c>
      <c r="M2255" s="28" t="s">
        <v>12730</v>
      </c>
      <c r="N2255" s="28" t="s">
        <v>9638</v>
      </c>
      <c r="O2255" s="28" t="s">
        <v>9639</v>
      </c>
      <c r="P2255" s="28" t="s">
        <v>12731</v>
      </c>
    </row>
    <row r="2256" spans="1:16" x14ac:dyDescent="0.25">
      <c r="A2256" s="28" t="s">
        <v>12732</v>
      </c>
      <c r="B2256" s="28" t="s">
        <v>12733</v>
      </c>
      <c r="C2256" s="28" t="s">
        <v>132</v>
      </c>
      <c r="D2256" s="28" t="s">
        <v>1204</v>
      </c>
      <c r="E2256" s="28" t="s">
        <v>12734</v>
      </c>
      <c r="F2256" s="28" t="s">
        <v>21</v>
      </c>
      <c r="G2256" s="28" t="s">
        <v>207</v>
      </c>
      <c r="H2256" s="28" t="s">
        <v>9633</v>
      </c>
      <c r="I2256" s="28" t="s">
        <v>12735</v>
      </c>
      <c r="J2256" s="28" t="s">
        <v>207</v>
      </c>
      <c r="K2256" s="28" t="s">
        <v>9635</v>
      </c>
      <c r="L2256" s="28" t="s">
        <v>9636</v>
      </c>
      <c r="M2256" s="28" t="s">
        <v>12736</v>
      </c>
      <c r="N2256" s="28" t="s">
        <v>9638</v>
      </c>
      <c r="O2256" s="28" t="s">
        <v>9639</v>
      </c>
      <c r="P2256" s="28" t="s">
        <v>12737</v>
      </c>
    </row>
    <row r="2257" spans="1:16" x14ac:dyDescent="0.25">
      <c r="A2257" s="28" t="s">
        <v>12738</v>
      </c>
      <c r="B2257" s="28" t="s">
        <v>12739</v>
      </c>
      <c r="C2257" s="28" t="s">
        <v>132</v>
      </c>
      <c r="D2257" s="28" t="s">
        <v>1204</v>
      </c>
      <c r="E2257" s="28" t="s">
        <v>12740</v>
      </c>
      <c r="F2257" s="28" t="s">
        <v>21</v>
      </c>
      <c r="G2257" s="28" t="s">
        <v>149</v>
      </c>
      <c r="H2257" s="28" t="s">
        <v>9633</v>
      </c>
      <c r="I2257" s="28" t="s">
        <v>12741</v>
      </c>
      <c r="J2257" s="28" t="s">
        <v>149</v>
      </c>
      <c r="K2257" s="28" t="s">
        <v>9722</v>
      </c>
      <c r="L2257" s="28" t="s">
        <v>9636</v>
      </c>
      <c r="M2257" s="28" t="s">
        <v>12742</v>
      </c>
      <c r="N2257" s="28" t="s">
        <v>9638</v>
      </c>
      <c r="O2257" s="28" t="s">
        <v>9639</v>
      </c>
      <c r="P2257" s="28" t="s">
        <v>12743</v>
      </c>
    </row>
    <row r="2258" spans="1:16" x14ac:dyDescent="0.25">
      <c r="A2258" s="28" t="s">
        <v>12744</v>
      </c>
      <c r="B2258" s="28" t="s">
        <v>12745</v>
      </c>
      <c r="C2258" s="28" t="s">
        <v>132</v>
      </c>
      <c r="D2258" s="28" t="s">
        <v>1204</v>
      </c>
      <c r="E2258" s="28" t="s">
        <v>12746</v>
      </c>
      <c r="F2258" s="28" t="s">
        <v>21</v>
      </c>
      <c r="G2258" s="28" t="s">
        <v>149</v>
      </c>
      <c r="H2258" s="28" t="s">
        <v>9633</v>
      </c>
      <c r="I2258" s="28" t="s">
        <v>12747</v>
      </c>
      <c r="J2258" s="28" t="s">
        <v>149</v>
      </c>
      <c r="K2258" s="28" t="s">
        <v>9722</v>
      </c>
      <c r="L2258" s="28" t="s">
        <v>9636</v>
      </c>
      <c r="M2258" s="28" t="s">
        <v>12748</v>
      </c>
      <c r="N2258" s="28" t="s">
        <v>9638</v>
      </c>
      <c r="O2258" s="28" t="s">
        <v>9639</v>
      </c>
      <c r="P2258" s="28" t="s">
        <v>12749</v>
      </c>
    </row>
    <row r="2259" spans="1:16" x14ac:dyDescent="0.25">
      <c r="A2259" s="28" t="s">
        <v>12750</v>
      </c>
      <c r="B2259" s="28" t="s">
        <v>12751</v>
      </c>
      <c r="C2259" s="28" t="s">
        <v>132</v>
      </c>
      <c r="D2259" s="28" t="s">
        <v>1204</v>
      </c>
      <c r="E2259" s="28" t="s">
        <v>12752</v>
      </c>
      <c r="F2259" s="28" t="s">
        <v>21</v>
      </c>
      <c r="G2259" s="28" t="s">
        <v>149</v>
      </c>
      <c r="H2259" s="28" t="s">
        <v>9633</v>
      </c>
      <c r="I2259" s="28" t="s">
        <v>12753</v>
      </c>
      <c r="J2259" s="28" t="s">
        <v>149</v>
      </c>
      <c r="K2259" s="28" t="s">
        <v>9722</v>
      </c>
      <c r="L2259" s="28" t="s">
        <v>9636</v>
      </c>
      <c r="M2259" s="28" t="s">
        <v>12754</v>
      </c>
      <c r="N2259" s="28" t="s">
        <v>9638</v>
      </c>
      <c r="O2259" s="28" t="s">
        <v>9639</v>
      </c>
      <c r="P2259" s="28" t="s">
        <v>12755</v>
      </c>
    </row>
    <row r="2260" spans="1:16" x14ac:dyDescent="0.25">
      <c r="A2260" s="28" t="s">
        <v>12756</v>
      </c>
      <c r="B2260" s="28" t="s">
        <v>12757</v>
      </c>
      <c r="C2260" s="28" t="s">
        <v>132</v>
      </c>
      <c r="D2260" s="28" t="s">
        <v>1204</v>
      </c>
      <c r="E2260" s="28" t="s">
        <v>12758</v>
      </c>
      <c r="F2260" s="28" t="s">
        <v>21</v>
      </c>
      <c r="G2260" s="28" t="s">
        <v>149</v>
      </c>
      <c r="H2260" s="28" t="s">
        <v>9633</v>
      </c>
      <c r="I2260" s="28" t="s">
        <v>12759</v>
      </c>
      <c r="J2260" s="28" t="s">
        <v>149</v>
      </c>
      <c r="K2260" s="28" t="s">
        <v>9722</v>
      </c>
      <c r="L2260" s="28" t="s">
        <v>9636</v>
      </c>
      <c r="M2260" s="28" t="s">
        <v>12760</v>
      </c>
      <c r="N2260" s="28" t="s">
        <v>9638</v>
      </c>
      <c r="O2260" s="28" t="s">
        <v>9639</v>
      </c>
      <c r="P2260" s="28" t="s">
        <v>12761</v>
      </c>
    </row>
    <row r="2261" spans="1:16" x14ac:dyDescent="0.25">
      <c r="A2261" s="28" t="s">
        <v>12762</v>
      </c>
      <c r="B2261" s="28" t="s">
        <v>12763</v>
      </c>
      <c r="C2261" s="28" t="s">
        <v>132</v>
      </c>
      <c r="D2261" s="28" t="s">
        <v>1204</v>
      </c>
      <c r="E2261" s="28" t="s">
        <v>12764</v>
      </c>
      <c r="F2261" s="28" t="s">
        <v>21</v>
      </c>
      <c r="G2261" s="28" t="s">
        <v>149</v>
      </c>
      <c r="H2261" s="28" t="s">
        <v>9633</v>
      </c>
      <c r="I2261" s="28" t="s">
        <v>12765</v>
      </c>
      <c r="J2261" s="28" t="s">
        <v>149</v>
      </c>
      <c r="K2261" s="28" t="s">
        <v>9722</v>
      </c>
      <c r="L2261" s="28" t="s">
        <v>9636</v>
      </c>
      <c r="M2261" s="28" t="s">
        <v>12766</v>
      </c>
      <c r="N2261" s="28" t="s">
        <v>9638</v>
      </c>
      <c r="O2261" s="28" t="s">
        <v>9639</v>
      </c>
      <c r="P2261" s="28" t="s">
        <v>12767</v>
      </c>
    </row>
    <row r="2262" spans="1:16" x14ac:dyDescent="0.25">
      <c r="A2262" s="28" t="s">
        <v>12768</v>
      </c>
      <c r="B2262" s="28" t="s">
        <v>12769</v>
      </c>
      <c r="C2262" s="28" t="s">
        <v>132</v>
      </c>
      <c r="D2262" s="28" t="s">
        <v>1204</v>
      </c>
      <c r="E2262" s="28" t="s">
        <v>12770</v>
      </c>
      <c r="F2262" s="28" t="s">
        <v>21</v>
      </c>
      <c r="G2262" s="28" t="s">
        <v>149</v>
      </c>
      <c r="H2262" s="28" t="s">
        <v>9633</v>
      </c>
      <c r="I2262" s="28" t="s">
        <v>12771</v>
      </c>
      <c r="J2262" s="28" t="s">
        <v>149</v>
      </c>
      <c r="K2262" s="28" t="s">
        <v>9722</v>
      </c>
      <c r="L2262" s="28" t="s">
        <v>9636</v>
      </c>
      <c r="M2262" s="28" t="s">
        <v>12772</v>
      </c>
      <c r="N2262" s="28" t="s">
        <v>9638</v>
      </c>
      <c r="O2262" s="28" t="s">
        <v>9639</v>
      </c>
      <c r="P2262" s="28" t="s">
        <v>12773</v>
      </c>
    </row>
    <row r="2263" spans="1:16" x14ac:dyDescent="0.25">
      <c r="A2263" s="28" t="s">
        <v>12774</v>
      </c>
      <c r="B2263" s="28" t="s">
        <v>12775</v>
      </c>
      <c r="C2263" s="28" t="s">
        <v>132</v>
      </c>
      <c r="D2263" s="28" t="s">
        <v>1204</v>
      </c>
      <c r="E2263" s="28" t="s">
        <v>12776</v>
      </c>
      <c r="F2263" s="28" t="s">
        <v>21</v>
      </c>
      <c r="G2263" s="28" t="s">
        <v>149</v>
      </c>
      <c r="H2263" s="28" t="s">
        <v>9633</v>
      </c>
      <c r="I2263" s="28" t="s">
        <v>12777</v>
      </c>
      <c r="J2263" s="28" t="s">
        <v>149</v>
      </c>
      <c r="K2263" s="28" t="s">
        <v>9722</v>
      </c>
      <c r="L2263" s="28" t="s">
        <v>9636</v>
      </c>
      <c r="M2263" s="28" t="s">
        <v>12778</v>
      </c>
      <c r="N2263" s="28" t="s">
        <v>9638</v>
      </c>
      <c r="O2263" s="28" t="s">
        <v>9639</v>
      </c>
      <c r="P2263" s="28" t="s">
        <v>12779</v>
      </c>
    </row>
    <row r="2264" spans="1:16" x14ac:dyDescent="0.25">
      <c r="A2264" s="28" t="s">
        <v>12780</v>
      </c>
      <c r="B2264" s="28" t="s">
        <v>12781</v>
      </c>
      <c r="C2264" s="28" t="s">
        <v>132</v>
      </c>
      <c r="D2264" s="28" t="s">
        <v>1204</v>
      </c>
      <c r="E2264" s="28" t="s">
        <v>12782</v>
      </c>
      <c r="F2264" s="28" t="s">
        <v>21</v>
      </c>
      <c r="G2264" s="28" t="s">
        <v>149</v>
      </c>
      <c r="H2264" s="28" t="s">
        <v>9633</v>
      </c>
      <c r="I2264" s="28" t="s">
        <v>12783</v>
      </c>
      <c r="J2264" s="28" t="s">
        <v>149</v>
      </c>
      <c r="K2264" s="28" t="s">
        <v>9722</v>
      </c>
      <c r="L2264" s="28" t="s">
        <v>9636</v>
      </c>
      <c r="M2264" s="28" t="s">
        <v>12784</v>
      </c>
      <c r="N2264" s="28" t="s">
        <v>9638</v>
      </c>
      <c r="O2264" s="28" t="s">
        <v>9639</v>
      </c>
      <c r="P2264" s="28" t="s">
        <v>12785</v>
      </c>
    </row>
    <row r="2265" spans="1:16" x14ac:dyDescent="0.25">
      <c r="A2265" s="28" t="s">
        <v>12786</v>
      </c>
      <c r="B2265" s="28" t="s">
        <v>12787</v>
      </c>
      <c r="C2265" s="28" t="s">
        <v>132</v>
      </c>
      <c r="D2265" s="28" t="s">
        <v>1204</v>
      </c>
      <c r="E2265" s="28" t="s">
        <v>12788</v>
      </c>
      <c r="F2265" s="28" t="s">
        <v>21</v>
      </c>
      <c r="G2265" s="28" t="s">
        <v>149</v>
      </c>
      <c r="H2265" s="28" t="s">
        <v>9633</v>
      </c>
      <c r="I2265" s="28" t="s">
        <v>12789</v>
      </c>
      <c r="J2265" s="28" t="s">
        <v>149</v>
      </c>
      <c r="K2265" s="28" t="s">
        <v>9722</v>
      </c>
      <c r="L2265" s="28" t="s">
        <v>9636</v>
      </c>
      <c r="M2265" s="28" t="s">
        <v>12790</v>
      </c>
      <c r="N2265" s="28" t="s">
        <v>9638</v>
      </c>
      <c r="O2265" s="28" t="s">
        <v>9639</v>
      </c>
      <c r="P2265" s="28" t="s">
        <v>12791</v>
      </c>
    </row>
    <row r="2266" spans="1:16" x14ac:dyDescent="0.25">
      <c r="A2266" s="28" t="s">
        <v>12792</v>
      </c>
      <c r="B2266" s="28" t="s">
        <v>12793</v>
      </c>
      <c r="C2266" s="28" t="s">
        <v>132</v>
      </c>
      <c r="D2266" s="28" t="s">
        <v>1204</v>
      </c>
      <c r="E2266" s="28" t="s">
        <v>12794</v>
      </c>
      <c r="F2266" s="28" t="s">
        <v>21</v>
      </c>
      <c r="G2266" s="28" t="s">
        <v>149</v>
      </c>
      <c r="H2266" s="28" t="s">
        <v>9633</v>
      </c>
      <c r="I2266" s="28" t="s">
        <v>12795</v>
      </c>
      <c r="J2266" s="28" t="s">
        <v>149</v>
      </c>
      <c r="K2266" s="28" t="s">
        <v>9722</v>
      </c>
      <c r="L2266" s="28" t="s">
        <v>9636</v>
      </c>
      <c r="M2266" s="28" t="s">
        <v>12796</v>
      </c>
      <c r="N2266" s="28" t="s">
        <v>9638</v>
      </c>
      <c r="O2266" s="28" t="s">
        <v>9639</v>
      </c>
      <c r="P2266" s="28" t="s">
        <v>12797</v>
      </c>
    </row>
    <row r="2267" spans="1:16" x14ac:dyDescent="0.25">
      <c r="A2267" s="28" t="s">
        <v>12798</v>
      </c>
      <c r="B2267" s="28" t="s">
        <v>12799</v>
      </c>
      <c r="C2267" s="28" t="s">
        <v>132</v>
      </c>
      <c r="D2267" s="28" t="s">
        <v>1204</v>
      </c>
      <c r="E2267" s="28" t="s">
        <v>12800</v>
      </c>
      <c r="F2267" s="28" t="s">
        <v>21</v>
      </c>
      <c r="G2267" s="28" t="s">
        <v>149</v>
      </c>
      <c r="H2267" s="28" t="s">
        <v>9633</v>
      </c>
      <c r="I2267" s="28" t="s">
        <v>12801</v>
      </c>
      <c r="J2267" s="28" t="s">
        <v>149</v>
      </c>
      <c r="K2267" s="28" t="s">
        <v>9722</v>
      </c>
      <c r="L2267" s="28" t="s">
        <v>9636</v>
      </c>
      <c r="M2267" s="28" t="s">
        <v>12802</v>
      </c>
      <c r="N2267" s="28" t="s">
        <v>9638</v>
      </c>
      <c r="O2267" s="28" t="s">
        <v>9639</v>
      </c>
      <c r="P2267" s="28" t="s">
        <v>12803</v>
      </c>
    </row>
    <row r="2268" spans="1:16" x14ac:dyDescent="0.25">
      <c r="A2268" s="28" t="s">
        <v>12804</v>
      </c>
      <c r="B2268" s="28" t="s">
        <v>12805</v>
      </c>
      <c r="C2268" s="28" t="s">
        <v>132</v>
      </c>
      <c r="D2268" s="28" t="s">
        <v>1204</v>
      </c>
      <c r="E2268" s="28" t="s">
        <v>12806</v>
      </c>
      <c r="F2268" s="28" t="s">
        <v>21</v>
      </c>
      <c r="G2268" s="28" t="s">
        <v>207</v>
      </c>
      <c r="H2268" s="28" t="s">
        <v>9633</v>
      </c>
      <c r="I2268" s="28" t="s">
        <v>12807</v>
      </c>
      <c r="J2268" s="28" t="s">
        <v>207</v>
      </c>
      <c r="K2268" s="28" t="s">
        <v>9635</v>
      </c>
      <c r="L2268" s="28" t="s">
        <v>9636</v>
      </c>
      <c r="M2268" s="28" t="s">
        <v>12808</v>
      </c>
      <c r="N2268" s="28" t="s">
        <v>9638</v>
      </c>
      <c r="O2268" s="28" t="s">
        <v>9639</v>
      </c>
      <c r="P2268" s="28" t="s">
        <v>12809</v>
      </c>
    </row>
    <row r="2269" spans="1:16" x14ac:dyDescent="0.25">
      <c r="A2269" s="28" t="s">
        <v>12810</v>
      </c>
      <c r="B2269" s="28" t="s">
        <v>12811</v>
      </c>
      <c r="C2269" s="28" t="s">
        <v>132</v>
      </c>
      <c r="D2269" s="28" t="s">
        <v>1204</v>
      </c>
      <c r="E2269" s="28" t="s">
        <v>12812</v>
      </c>
      <c r="F2269" s="28" t="s">
        <v>21</v>
      </c>
      <c r="G2269" s="28" t="s">
        <v>207</v>
      </c>
      <c r="H2269" s="28" t="s">
        <v>9633</v>
      </c>
      <c r="I2269" s="28" t="s">
        <v>12813</v>
      </c>
      <c r="J2269" s="28" t="s">
        <v>207</v>
      </c>
      <c r="K2269" s="28" t="s">
        <v>9635</v>
      </c>
      <c r="L2269" s="28" t="s">
        <v>9636</v>
      </c>
      <c r="M2269" s="28" t="s">
        <v>12814</v>
      </c>
      <c r="N2269" s="28" t="s">
        <v>9638</v>
      </c>
      <c r="O2269" s="28" t="s">
        <v>9639</v>
      </c>
      <c r="P2269" s="28" t="s">
        <v>12815</v>
      </c>
    </row>
    <row r="2270" spans="1:16" x14ac:dyDescent="0.25">
      <c r="A2270" s="28" t="s">
        <v>12816</v>
      </c>
      <c r="B2270" s="28" t="s">
        <v>12817</v>
      </c>
      <c r="C2270" s="28" t="s">
        <v>132</v>
      </c>
      <c r="D2270" s="28" t="s">
        <v>1204</v>
      </c>
      <c r="E2270" s="28" t="s">
        <v>12818</v>
      </c>
      <c r="F2270" s="28" t="s">
        <v>21</v>
      </c>
      <c r="G2270" s="28" t="s">
        <v>135</v>
      </c>
      <c r="H2270" s="28" t="s">
        <v>10259</v>
      </c>
      <c r="I2270" s="28" t="s">
        <v>12819</v>
      </c>
      <c r="J2270" s="28" t="s">
        <v>135</v>
      </c>
      <c r="K2270" s="28" t="s">
        <v>10551</v>
      </c>
      <c r="L2270" s="28" t="s">
        <v>10262</v>
      </c>
      <c r="M2270" s="28" t="s">
        <v>12820</v>
      </c>
      <c r="N2270" s="28" t="s">
        <v>10264</v>
      </c>
      <c r="O2270" s="28" t="s">
        <v>10265</v>
      </c>
      <c r="P2270" s="28" t="s">
        <v>10266</v>
      </c>
    </row>
    <row r="2271" spans="1:16" x14ac:dyDescent="0.25">
      <c r="A2271" s="28" t="s">
        <v>12821</v>
      </c>
      <c r="B2271" s="28" t="s">
        <v>12822</v>
      </c>
      <c r="C2271" s="28" t="s">
        <v>132</v>
      </c>
      <c r="D2271" s="28" t="s">
        <v>1204</v>
      </c>
      <c r="E2271" s="28" t="s">
        <v>12823</v>
      </c>
      <c r="F2271" s="28" t="s">
        <v>21</v>
      </c>
      <c r="G2271" s="28" t="s">
        <v>135</v>
      </c>
      <c r="H2271" s="28" t="s">
        <v>10259</v>
      </c>
      <c r="I2271" s="28" t="s">
        <v>12824</v>
      </c>
      <c r="J2271" s="28" t="s">
        <v>135</v>
      </c>
      <c r="K2271" s="28" t="s">
        <v>10551</v>
      </c>
      <c r="L2271" s="28" t="s">
        <v>10262</v>
      </c>
      <c r="M2271" s="28" t="s">
        <v>12825</v>
      </c>
      <c r="N2271" s="28" t="s">
        <v>10264</v>
      </c>
      <c r="O2271" s="28" t="s">
        <v>10265</v>
      </c>
      <c r="P2271" s="28" t="s">
        <v>10266</v>
      </c>
    </row>
    <row r="2272" spans="1:16" x14ac:dyDescent="0.25">
      <c r="A2272" s="28" t="s">
        <v>12826</v>
      </c>
      <c r="B2272" s="28" t="s">
        <v>12827</v>
      </c>
      <c r="C2272" s="28" t="s">
        <v>132</v>
      </c>
      <c r="D2272" s="28" t="s">
        <v>1204</v>
      </c>
      <c r="E2272" s="28" t="s">
        <v>12828</v>
      </c>
      <c r="F2272" s="28" t="s">
        <v>21</v>
      </c>
      <c r="G2272" s="28" t="s">
        <v>207</v>
      </c>
      <c r="H2272" s="28" t="s">
        <v>9633</v>
      </c>
      <c r="I2272" s="28" t="s">
        <v>12829</v>
      </c>
      <c r="J2272" s="28" t="s">
        <v>207</v>
      </c>
      <c r="K2272" s="28" t="s">
        <v>9635</v>
      </c>
      <c r="L2272" s="28" t="s">
        <v>9636</v>
      </c>
      <c r="M2272" s="28" t="s">
        <v>12830</v>
      </c>
      <c r="N2272" s="28" t="s">
        <v>9638</v>
      </c>
      <c r="O2272" s="28" t="s">
        <v>9639</v>
      </c>
      <c r="P2272" s="28" t="s">
        <v>12831</v>
      </c>
    </row>
    <row r="2273" spans="1:16" x14ac:dyDescent="0.25">
      <c r="A2273" s="28" t="s">
        <v>12832</v>
      </c>
      <c r="B2273" s="28" t="s">
        <v>12833</v>
      </c>
      <c r="C2273" s="28" t="s">
        <v>132</v>
      </c>
      <c r="D2273" s="28" t="s">
        <v>1204</v>
      </c>
      <c r="E2273" s="28" t="s">
        <v>12834</v>
      </c>
      <c r="F2273" s="28" t="s">
        <v>21</v>
      </c>
      <c r="G2273" s="28" t="s">
        <v>207</v>
      </c>
      <c r="H2273" s="28" t="s">
        <v>9633</v>
      </c>
      <c r="I2273" s="28" t="s">
        <v>12835</v>
      </c>
      <c r="J2273" s="28" t="s">
        <v>207</v>
      </c>
      <c r="K2273" s="28" t="s">
        <v>9635</v>
      </c>
      <c r="L2273" s="28" t="s">
        <v>9636</v>
      </c>
      <c r="M2273" s="28" t="s">
        <v>12836</v>
      </c>
      <c r="N2273" s="28" t="s">
        <v>9638</v>
      </c>
      <c r="O2273" s="28" t="s">
        <v>9639</v>
      </c>
      <c r="P2273" s="28" t="s">
        <v>12837</v>
      </c>
    </row>
    <row r="2274" spans="1:16" x14ac:dyDescent="0.25">
      <c r="A2274" s="28" t="s">
        <v>12838</v>
      </c>
      <c r="B2274" s="28" t="s">
        <v>12839</v>
      </c>
      <c r="C2274" s="28" t="s">
        <v>132</v>
      </c>
      <c r="D2274" s="28" t="s">
        <v>1204</v>
      </c>
      <c r="E2274" s="28" t="s">
        <v>12840</v>
      </c>
      <c r="F2274" s="28" t="s">
        <v>21</v>
      </c>
      <c r="G2274" s="28" t="s">
        <v>207</v>
      </c>
      <c r="H2274" s="28" t="s">
        <v>9633</v>
      </c>
      <c r="I2274" s="28" t="s">
        <v>12841</v>
      </c>
      <c r="J2274" s="28" t="s">
        <v>207</v>
      </c>
      <c r="K2274" s="28" t="s">
        <v>9635</v>
      </c>
      <c r="L2274" s="28" t="s">
        <v>9636</v>
      </c>
      <c r="M2274" s="28" t="s">
        <v>12842</v>
      </c>
      <c r="N2274" s="28" t="s">
        <v>9638</v>
      </c>
      <c r="O2274" s="28" t="s">
        <v>9639</v>
      </c>
      <c r="P2274" s="28" t="s">
        <v>12843</v>
      </c>
    </row>
    <row r="2275" spans="1:16" x14ac:dyDescent="0.25">
      <c r="A2275" s="28" t="s">
        <v>12844</v>
      </c>
      <c r="B2275" s="28" t="s">
        <v>12845</v>
      </c>
      <c r="C2275" s="28" t="s">
        <v>132</v>
      </c>
      <c r="D2275" s="28" t="s">
        <v>1204</v>
      </c>
      <c r="E2275" s="28" t="s">
        <v>12846</v>
      </c>
      <c r="F2275" s="28" t="s">
        <v>21</v>
      </c>
      <c r="G2275" s="28" t="s">
        <v>207</v>
      </c>
      <c r="H2275" s="28" t="s">
        <v>9633</v>
      </c>
      <c r="I2275" s="28" t="s">
        <v>12847</v>
      </c>
      <c r="J2275" s="28" t="s">
        <v>207</v>
      </c>
      <c r="K2275" s="28" t="s">
        <v>9635</v>
      </c>
      <c r="L2275" s="28" t="s">
        <v>9636</v>
      </c>
      <c r="M2275" s="28" t="s">
        <v>12848</v>
      </c>
      <c r="N2275" s="28" t="s">
        <v>9638</v>
      </c>
      <c r="O2275" s="28" t="s">
        <v>9639</v>
      </c>
      <c r="P2275" s="28" t="s">
        <v>12849</v>
      </c>
    </row>
    <row r="2276" spans="1:16" x14ac:dyDescent="0.25">
      <c r="A2276" s="28" t="s">
        <v>12850</v>
      </c>
      <c r="B2276" s="28" t="s">
        <v>12851</v>
      </c>
      <c r="C2276" s="28" t="s">
        <v>132</v>
      </c>
      <c r="D2276" s="28" t="s">
        <v>1204</v>
      </c>
      <c r="E2276" s="28" t="s">
        <v>12852</v>
      </c>
      <c r="F2276" s="28" t="s">
        <v>21</v>
      </c>
      <c r="G2276" s="28" t="s">
        <v>207</v>
      </c>
      <c r="H2276" s="28" t="s">
        <v>9633</v>
      </c>
      <c r="I2276" s="28" t="s">
        <v>12853</v>
      </c>
      <c r="J2276" s="28" t="s">
        <v>207</v>
      </c>
      <c r="K2276" s="28" t="s">
        <v>9635</v>
      </c>
      <c r="L2276" s="28" t="s">
        <v>9636</v>
      </c>
      <c r="M2276" s="28" t="s">
        <v>12854</v>
      </c>
      <c r="N2276" s="28" t="s">
        <v>9638</v>
      </c>
      <c r="O2276" s="28" t="s">
        <v>9639</v>
      </c>
      <c r="P2276" s="28" t="s">
        <v>12855</v>
      </c>
    </row>
    <row r="2277" spans="1:16" x14ac:dyDescent="0.25">
      <c r="A2277" s="28" t="s">
        <v>12856</v>
      </c>
      <c r="B2277" s="28" t="s">
        <v>12857</v>
      </c>
      <c r="C2277" s="28" t="s">
        <v>132</v>
      </c>
      <c r="D2277" s="28" t="s">
        <v>1204</v>
      </c>
      <c r="E2277" s="28" t="s">
        <v>12858</v>
      </c>
      <c r="F2277" s="28" t="s">
        <v>21</v>
      </c>
      <c r="G2277" s="28" t="s">
        <v>207</v>
      </c>
      <c r="H2277" s="28" t="s">
        <v>9633</v>
      </c>
      <c r="I2277" s="28" t="s">
        <v>12859</v>
      </c>
      <c r="J2277" s="28" t="s">
        <v>207</v>
      </c>
      <c r="K2277" s="28" t="s">
        <v>9635</v>
      </c>
      <c r="L2277" s="28" t="s">
        <v>9636</v>
      </c>
      <c r="M2277" s="28" t="s">
        <v>12860</v>
      </c>
      <c r="N2277" s="28" t="s">
        <v>9638</v>
      </c>
      <c r="O2277" s="28" t="s">
        <v>9639</v>
      </c>
      <c r="P2277" s="28" t="s">
        <v>12861</v>
      </c>
    </row>
    <row r="2278" spans="1:16" x14ac:dyDescent="0.25">
      <c r="A2278" s="28" t="s">
        <v>12862</v>
      </c>
      <c r="B2278" s="28" t="s">
        <v>12863</v>
      </c>
      <c r="C2278" s="28" t="s">
        <v>132</v>
      </c>
      <c r="D2278" s="28" t="s">
        <v>1204</v>
      </c>
      <c r="E2278" s="28" t="s">
        <v>12864</v>
      </c>
      <c r="F2278" s="28" t="s">
        <v>21</v>
      </c>
      <c r="G2278" s="28" t="s">
        <v>207</v>
      </c>
      <c r="H2278" s="28" t="s">
        <v>9633</v>
      </c>
      <c r="I2278" s="28" t="s">
        <v>12865</v>
      </c>
      <c r="J2278" s="28" t="s">
        <v>207</v>
      </c>
      <c r="K2278" s="28" t="s">
        <v>9635</v>
      </c>
      <c r="L2278" s="28" t="s">
        <v>9636</v>
      </c>
      <c r="M2278" s="28" t="s">
        <v>12866</v>
      </c>
      <c r="N2278" s="28" t="s">
        <v>9638</v>
      </c>
      <c r="O2278" s="28" t="s">
        <v>9639</v>
      </c>
      <c r="P2278" s="28" t="s">
        <v>12867</v>
      </c>
    </row>
    <row r="2279" spans="1:16" x14ac:dyDescent="0.25">
      <c r="A2279" s="28" t="s">
        <v>12868</v>
      </c>
      <c r="B2279" s="28" t="s">
        <v>12869</v>
      </c>
      <c r="C2279" s="28" t="s">
        <v>132</v>
      </c>
      <c r="D2279" s="28" t="s">
        <v>1204</v>
      </c>
      <c r="E2279" s="28" t="s">
        <v>12870</v>
      </c>
      <c r="F2279" s="28" t="s">
        <v>21</v>
      </c>
      <c r="G2279" s="28" t="s">
        <v>149</v>
      </c>
      <c r="H2279" s="28" t="s">
        <v>9633</v>
      </c>
      <c r="I2279" s="28" t="s">
        <v>12871</v>
      </c>
      <c r="J2279" s="28" t="s">
        <v>149</v>
      </c>
      <c r="K2279" s="28" t="s">
        <v>9722</v>
      </c>
      <c r="L2279" s="28" t="s">
        <v>9636</v>
      </c>
      <c r="M2279" s="28" t="s">
        <v>12872</v>
      </c>
      <c r="N2279" s="28" t="s">
        <v>9638</v>
      </c>
      <c r="O2279" s="28" t="s">
        <v>9639</v>
      </c>
      <c r="P2279" s="28" t="s">
        <v>12873</v>
      </c>
    </row>
    <row r="2280" spans="1:16" x14ac:dyDescent="0.25">
      <c r="A2280" s="28" t="s">
        <v>12874</v>
      </c>
      <c r="B2280" s="28" t="s">
        <v>12875</v>
      </c>
      <c r="C2280" s="28" t="s">
        <v>132</v>
      </c>
      <c r="D2280" s="28" t="s">
        <v>1204</v>
      </c>
      <c r="E2280" s="28" t="s">
        <v>12876</v>
      </c>
      <c r="F2280" s="28" t="s">
        <v>21</v>
      </c>
      <c r="G2280" s="28" t="s">
        <v>207</v>
      </c>
      <c r="H2280" s="28" t="s">
        <v>9633</v>
      </c>
      <c r="I2280" s="28" t="s">
        <v>12877</v>
      </c>
      <c r="J2280" s="28" t="s">
        <v>207</v>
      </c>
      <c r="K2280" s="28" t="s">
        <v>9635</v>
      </c>
      <c r="L2280" s="28" t="s">
        <v>9636</v>
      </c>
      <c r="M2280" s="28" t="s">
        <v>12878</v>
      </c>
      <c r="N2280" s="28" t="s">
        <v>9638</v>
      </c>
      <c r="O2280" s="28" t="s">
        <v>9639</v>
      </c>
      <c r="P2280" s="28" t="s">
        <v>12879</v>
      </c>
    </row>
    <row r="2281" spans="1:16" x14ac:dyDescent="0.25">
      <c r="A2281" s="28" t="s">
        <v>12880</v>
      </c>
      <c r="B2281" s="28" t="s">
        <v>12881</v>
      </c>
      <c r="C2281" s="28" t="s">
        <v>132</v>
      </c>
      <c r="D2281" s="28" t="s">
        <v>1204</v>
      </c>
      <c r="E2281" s="28" t="s">
        <v>12882</v>
      </c>
      <c r="F2281" s="28" t="s">
        <v>21</v>
      </c>
      <c r="G2281" s="28" t="s">
        <v>207</v>
      </c>
      <c r="H2281" s="28" t="s">
        <v>9633</v>
      </c>
      <c r="I2281" s="28" t="s">
        <v>12883</v>
      </c>
      <c r="J2281" s="28" t="s">
        <v>207</v>
      </c>
      <c r="K2281" s="28" t="s">
        <v>9635</v>
      </c>
      <c r="L2281" s="28" t="s">
        <v>9636</v>
      </c>
      <c r="M2281" s="28" t="s">
        <v>12884</v>
      </c>
      <c r="N2281" s="28" t="s">
        <v>9638</v>
      </c>
      <c r="O2281" s="28" t="s">
        <v>9639</v>
      </c>
      <c r="P2281" s="28" t="s">
        <v>12885</v>
      </c>
    </row>
    <row r="2282" spans="1:16" x14ac:dyDescent="0.25">
      <c r="A2282" s="28" t="s">
        <v>12886</v>
      </c>
      <c r="B2282" s="28" t="s">
        <v>12887</v>
      </c>
      <c r="C2282" s="28" t="s">
        <v>132</v>
      </c>
      <c r="D2282" s="28" t="s">
        <v>1204</v>
      </c>
      <c r="E2282" s="28" t="s">
        <v>12888</v>
      </c>
      <c r="F2282" s="28" t="s">
        <v>21</v>
      </c>
      <c r="G2282" s="28" t="s">
        <v>207</v>
      </c>
      <c r="H2282" s="28" t="s">
        <v>9633</v>
      </c>
      <c r="I2282" s="28" t="s">
        <v>12889</v>
      </c>
      <c r="J2282" s="28" t="s">
        <v>207</v>
      </c>
      <c r="K2282" s="28" t="s">
        <v>9635</v>
      </c>
      <c r="L2282" s="28" t="s">
        <v>9636</v>
      </c>
      <c r="M2282" s="28" t="s">
        <v>12890</v>
      </c>
      <c r="N2282" s="28" t="s">
        <v>9638</v>
      </c>
      <c r="O2282" s="28" t="s">
        <v>9639</v>
      </c>
      <c r="P2282" s="28" t="s">
        <v>12891</v>
      </c>
    </row>
    <row r="2283" spans="1:16" x14ac:dyDescent="0.25">
      <c r="A2283" s="28" t="s">
        <v>12892</v>
      </c>
      <c r="B2283" s="28" t="s">
        <v>12893</v>
      </c>
      <c r="C2283" s="28" t="s">
        <v>132</v>
      </c>
      <c r="D2283" s="28" t="s">
        <v>1204</v>
      </c>
      <c r="E2283" s="28" t="s">
        <v>12894</v>
      </c>
      <c r="F2283" s="28" t="s">
        <v>21</v>
      </c>
      <c r="G2283" s="28" t="s">
        <v>207</v>
      </c>
      <c r="H2283" s="28" t="s">
        <v>9633</v>
      </c>
      <c r="I2283" s="28" t="s">
        <v>12895</v>
      </c>
      <c r="J2283" s="28" t="s">
        <v>207</v>
      </c>
      <c r="K2283" s="28" t="s">
        <v>9635</v>
      </c>
      <c r="L2283" s="28" t="s">
        <v>9636</v>
      </c>
      <c r="M2283" s="28" t="s">
        <v>12896</v>
      </c>
      <c r="N2283" s="28" t="s">
        <v>9638</v>
      </c>
      <c r="O2283" s="28" t="s">
        <v>9639</v>
      </c>
      <c r="P2283" s="28" t="s">
        <v>12897</v>
      </c>
    </row>
    <row r="2284" spans="1:16" x14ac:dyDescent="0.25">
      <c r="A2284" s="28" t="s">
        <v>12898</v>
      </c>
      <c r="B2284" s="28" t="s">
        <v>12899</v>
      </c>
      <c r="C2284" s="28" t="s">
        <v>132</v>
      </c>
      <c r="D2284" s="28" t="s">
        <v>1204</v>
      </c>
      <c r="E2284" s="28" t="s">
        <v>12900</v>
      </c>
      <c r="F2284" s="28" t="s">
        <v>21</v>
      </c>
      <c r="G2284" s="28" t="s">
        <v>149</v>
      </c>
      <c r="H2284" s="28" t="s">
        <v>9633</v>
      </c>
      <c r="I2284" s="28" t="s">
        <v>12901</v>
      </c>
      <c r="J2284" s="28" t="s">
        <v>149</v>
      </c>
      <c r="K2284" s="28" t="s">
        <v>9722</v>
      </c>
      <c r="L2284" s="28" t="s">
        <v>9636</v>
      </c>
      <c r="M2284" s="28" t="s">
        <v>12902</v>
      </c>
      <c r="N2284" s="28" t="s">
        <v>9638</v>
      </c>
      <c r="O2284" s="28" t="s">
        <v>9639</v>
      </c>
      <c r="P2284" s="28" t="s">
        <v>12903</v>
      </c>
    </row>
    <row r="2285" spans="1:16" x14ac:dyDescent="0.25">
      <c r="A2285" s="28" t="s">
        <v>12904</v>
      </c>
      <c r="B2285" s="28" t="s">
        <v>12905</v>
      </c>
      <c r="C2285" s="28" t="s">
        <v>132</v>
      </c>
      <c r="D2285" s="28" t="s">
        <v>1204</v>
      </c>
      <c r="E2285" s="28" t="s">
        <v>12906</v>
      </c>
      <c r="F2285" s="28" t="s">
        <v>21</v>
      </c>
      <c r="G2285" s="28" t="s">
        <v>149</v>
      </c>
      <c r="H2285" s="28" t="s">
        <v>9633</v>
      </c>
      <c r="I2285" s="28" t="s">
        <v>12907</v>
      </c>
      <c r="J2285" s="28" t="s">
        <v>149</v>
      </c>
      <c r="K2285" s="28" t="s">
        <v>9722</v>
      </c>
      <c r="L2285" s="28" t="s">
        <v>9636</v>
      </c>
      <c r="M2285" s="28" t="s">
        <v>12908</v>
      </c>
      <c r="N2285" s="28" t="s">
        <v>9638</v>
      </c>
      <c r="O2285" s="28" t="s">
        <v>9639</v>
      </c>
      <c r="P2285" s="28" t="s">
        <v>12909</v>
      </c>
    </row>
    <row r="2286" spans="1:16" x14ac:dyDescent="0.25">
      <c r="A2286" s="28" t="s">
        <v>12910</v>
      </c>
      <c r="B2286" s="28" t="s">
        <v>12911</v>
      </c>
      <c r="C2286" s="28" t="s">
        <v>132</v>
      </c>
      <c r="D2286" s="28" t="s">
        <v>1204</v>
      </c>
      <c r="E2286" s="28" t="s">
        <v>12912</v>
      </c>
      <c r="F2286" s="28" t="s">
        <v>21</v>
      </c>
      <c r="G2286" s="28" t="s">
        <v>149</v>
      </c>
      <c r="H2286" s="28" t="s">
        <v>9633</v>
      </c>
      <c r="I2286" s="28" t="s">
        <v>12913</v>
      </c>
      <c r="J2286" s="28" t="s">
        <v>149</v>
      </c>
      <c r="K2286" s="28" t="s">
        <v>9722</v>
      </c>
      <c r="L2286" s="28" t="s">
        <v>9636</v>
      </c>
      <c r="M2286" s="28" t="s">
        <v>12914</v>
      </c>
      <c r="N2286" s="28" t="s">
        <v>9638</v>
      </c>
      <c r="O2286" s="28" t="s">
        <v>9639</v>
      </c>
      <c r="P2286" s="28" t="s">
        <v>12915</v>
      </c>
    </row>
    <row r="2287" spans="1:16" x14ac:dyDescent="0.25">
      <c r="A2287" s="28" t="s">
        <v>12916</v>
      </c>
      <c r="B2287" s="28" t="s">
        <v>12917</v>
      </c>
      <c r="C2287" s="28" t="s">
        <v>132</v>
      </c>
      <c r="D2287" s="28" t="s">
        <v>1204</v>
      </c>
      <c r="E2287" s="28" t="s">
        <v>12918</v>
      </c>
      <c r="F2287" s="28" t="s">
        <v>21</v>
      </c>
      <c r="G2287" s="28" t="s">
        <v>149</v>
      </c>
      <c r="H2287" s="28" t="s">
        <v>9633</v>
      </c>
      <c r="I2287" s="28" t="s">
        <v>12919</v>
      </c>
      <c r="J2287" s="28" t="s">
        <v>149</v>
      </c>
      <c r="K2287" s="28" t="s">
        <v>9722</v>
      </c>
      <c r="L2287" s="28" t="s">
        <v>9636</v>
      </c>
      <c r="M2287" s="28" t="s">
        <v>12920</v>
      </c>
      <c r="N2287" s="28" t="s">
        <v>9638</v>
      </c>
      <c r="O2287" s="28" t="s">
        <v>9639</v>
      </c>
      <c r="P2287" s="28" t="s">
        <v>12921</v>
      </c>
    </row>
    <row r="2288" spans="1:16" x14ac:dyDescent="0.25">
      <c r="A2288" s="28" t="s">
        <v>12922</v>
      </c>
      <c r="B2288" s="28" t="s">
        <v>12923</v>
      </c>
      <c r="C2288" s="28" t="s">
        <v>132</v>
      </c>
      <c r="D2288" s="28" t="s">
        <v>1204</v>
      </c>
      <c r="E2288" s="28" t="s">
        <v>12924</v>
      </c>
      <c r="F2288" s="28" t="s">
        <v>21</v>
      </c>
      <c r="G2288" s="28" t="s">
        <v>207</v>
      </c>
      <c r="H2288" s="28" t="s">
        <v>9633</v>
      </c>
      <c r="I2288" s="28" t="s">
        <v>12925</v>
      </c>
      <c r="J2288" s="28" t="s">
        <v>207</v>
      </c>
      <c r="K2288" s="28" t="s">
        <v>9635</v>
      </c>
      <c r="L2288" s="28" t="s">
        <v>9636</v>
      </c>
      <c r="M2288" s="28" t="s">
        <v>12926</v>
      </c>
      <c r="N2288" s="28" t="s">
        <v>9638</v>
      </c>
      <c r="O2288" s="28" t="s">
        <v>9639</v>
      </c>
      <c r="P2288" s="28" t="s">
        <v>12927</v>
      </c>
    </row>
    <row r="2289" spans="1:16" x14ac:dyDescent="0.25">
      <c r="A2289" s="28" t="s">
        <v>12928</v>
      </c>
      <c r="B2289" s="28" t="s">
        <v>12929</v>
      </c>
      <c r="C2289" s="28" t="s">
        <v>132</v>
      </c>
      <c r="D2289" s="28" t="s">
        <v>1204</v>
      </c>
      <c r="E2289" s="28" t="s">
        <v>12930</v>
      </c>
      <c r="F2289" s="28" t="s">
        <v>21</v>
      </c>
      <c r="G2289" s="28" t="s">
        <v>207</v>
      </c>
      <c r="H2289" s="28" t="s">
        <v>9633</v>
      </c>
      <c r="I2289" s="28" t="s">
        <v>12931</v>
      </c>
      <c r="J2289" s="28" t="s">
        <v>207</v>
      </c>
      <c r="K2289" s="28" t="s">
        <v>9635</v>
      </c>
      <c r="L2289" s="28" t="s">
        <v>9636</v>
      </c>
      <c r="M2289" s="28" t="s">
        <v>12932</v>
      </c>
      <c r="N2289" s="28" t="s">
        <v>9638</v>
      </c>
      <c r="O2289" s="28" t="s">
        <v>9639</v>
      </c>
      <c r="P2289" s="28" t="s">
        <v>12933</v>
      </c>
    </row>
    <row r="2290" spans="1:16" x14ac:dyDescent="0.25">
      <c r="A2290" s="28" t="s">
        <v>12934</v>
      </c>
      <c r="B2290" s="28" t="s">
        <v>12935</v>
      </c>
      <c r="C2290" s="28" t="s">
        <v>132</v>
      </c>
      <c r="D2290" s="28" t="s">
        <v>1204</v>
      </c>
      <c r="E2290" s="28" t="s">
        <v>12936</v>
      </c>
      <c r="F2290" s="28" t="s">
        <v>21</v>
      </c>
      <c r="G2290" s="28" t="s">
        <v>207</v>
      </c>
      <c r="H2290" s="28" t="s">
        <v>9633</v>
      </c>
      <c r="I2290" s="28" t="s">
        <v>12937</v>
      </c>
      <c r="J2290" s="28" t="s">
        <v>207</v>
      </c>
      <c r="K2290" s="28" t="s">
        <v>9635</v>
      </c>
      <c r="L2290" s="28" t="s">
        <v>9636</v>
      </c>
      <c r="M2290" s="28" t="s">
        <v>12938</v>
      </c>
      <c r="N2290" s="28" t="s">
        <v>9638</v>
      </c>
      <c r="O2290" s="28" t="s">
        <v>9639</v>
      </c>
      <c r="P2290" s="28" t="s">
        <v>12939</v>
      </c>
    </row>
    <row r="2291" spans="1:16" x14ac:dyDescent="0.25">
      <c r="A2291" s="28" t="s">
        <v>12940</v>
      </c>
      <c r="B2291" s="28" t="s">
        <v>12941</v>
      </c>
      <c r="C2291" s="28" t="s">
        <v>132</v>
      </c>
      <c r="D2291" s="28" t="s">
        <v>1204</v>
      </c>
      <c r="E2291" s="28" t="s">
        <v>12942</v>
      </c>
      <c r="F2291" s="28" t="s">
        <v>21</v>
      </c>
      <c r="G2291" s="28" t="s">
        <v>207</v>
      </c>
      <c r="H2291" s="28" t="s">
        <v>9633</v>
      </c>
      <c r="I2291" s="28" t="s">
        <v>12943</v>
      </c>
      <c r="J2291" s="28" t="s">
        <v>207</v>
      </c>
      <c r="K2291" s="28" t="s">
        <v>9635</v>
      </c>
      <c r="L2291" s="28" t="s">
        <v>9636</v>
      </c>
      <c r="M2291" s="28" t="s">
        <v>12944</v>
      </c>
      <c r="N2291" s="28" t="s">
        <v>9638</v>
      </c>
      <c r="O2291" s="28" t="s">
        <v>9639</v>
      </c>
      <c r="P2291" s="28" t="s">
        <v>12945</v>
      </c>
    </row>
    <row r="2292" spans="1:16" x14ac:dyDescent="0.25">
      <c r="A2292" s="28" t="s">
        <v>12946</v>
      </c>
      <c r="B2292" s="28" t="s">
        <v>12947</v>
      </c>
      <c r="C2292" s="28" t="s">
        <v>132</v>
      </c>
      <c r="D2292" s="28" t="s">
        <v>1204</v>
      </c>
      <c r="E2292" s="28" t="s">
        <v>12948</v>
      </c>
      <c r="F2292" s="28" t="s">
        <v>21</v>
      </c>
      <c r="G2292" s="28" t="s">
        <v>207</v>
      </c>
      <c r="H2292" s="28" t="s">
        <v>9633</v>
      </c>
      <c r="I2292" s="28" t="s">
        <v>12949</v>
      </c>
      <c r="J2292" s="28" t="s">
        <v>207</v>
      </c>
      <c r="K2292" s="28" t="s">
        <v>9635</v>
      </c>
      <c r="L2292" s="28" t="s">
        <v>9636</v>
      </c>
      <c r="M2292" s="28" t="s">
        <v>12950</v>
      </c>
      <c r="N2292" s="28" t="s">
        <v>9638</v>
      </c>
      <c r="O2292" s="28" t="s">
        <v>9639</v>
      </c>
      <c r="P2292" s="28" t="s">
        <v>12951</v>
      </c>
    </row>
    <row r="2293" spans="1:16" x14ac:dyDescent="0.25">
      <c r="A2293" s="28" t="s">
        <v>12952</v>
      </c>
      <c r="B2293" s="28" t="s">
        <v>12953</v>
      </c>
      <c r="C2293" s="28" t="s">
        <v>132</v>
      </c>
      <c r="D2293" s="28" t="s">
        <v>1204</v>
      </c>
      <c r="E2293" s="28" t="s">
        <v>12954</v>
      </c>
      <c r="F2293" s="28" t="s">
        <v>21</v>
      </c>
      <c r="G2293" s="28" t="s">
        <v>207</v>
      </c>
      <c r="H2293" s="28" t="s">
        <v>9633</v>
      </c>
      <c r="I2293" s="28" t="s">
        <v>12955</v>
      </c>
      <c r="J2293" s="28" t="s">
        <v>207</v>
      </c>
      <c r="K2293" s="28" t="s">
        <v>9635</v>
      </c>
      <c r="L2293" s="28" t="s">
        <v>9636</v>
      </c>
      <c r="M2293" s="28" t="s">
        <v>12956</v>
      </c>
      <c r="N2293" s="28" t="s">
        <v>9638</v>
      </c>
      <c r="O2293" s="28" t="s">
        <v>9639</v>
      </c>
      <c r="P2293" s="28" t="s">
        <v>12957</v>
      </c>
    </row>
    <row r="2294" spans="1:16" x14ac:dyDescent="0.25">
      <c r="A2294" s="28" t="s">
        <v>12958</v>
      </c>
      <c r="B2294" s="28" t="s">
        <v>12959</v>
      </c>
      <c r="C2294" s="28" t="s">
        <v>132</v>
      </c>
      <c r="D2294" s="28" t="s">
        <v>1204</v>
      </c>
      <c r="E2294" s="28" t="s">
        <v>12960</v>
      </c>
      <c r="F2294" s="28" t="s">
        <v>21</v>
      </c>
      <c r="G2294" s="28" t="s">
        <v>207</v>
      </c>
      <c r="H2294" s="28" t="s">
        <v>9633</v>
      </c>
      <c r="I2294" s="28" t="s">
        <v>12961</v>
      </c>
      <c r="J2294" s="28" t="s">
        <v>207</v>
      </c>
      <c r="K2294" s="28" t="s">
        <v>9635</v>
      </c>
      <c r="L2294" s="28" t="s">
        <v>9636</v>
      </c>
      <c r="M2294" s="28" t="s">
        <v>12962</v>
      </c>
      <c r="N2294" s="28" t="s">
        <v>9638</v>
      </c>
      <c r="O2294" s="28" t="s">
        <v>9639</v>
      </c>
      <c r="P2294" s="28" t="s">
        <v>12963</v>
      </c>
    </row>
    <row r="2295" spans="1:16" x14ac:dyDescent="0.25">
      <c r="A2295" s="28" t="s">
        <v>12964</v>
      </c>
      <c r="B2295" s="28" t="s">
        <v>12965</v>
      </c>
      <c r="C2295" s="28" t="s">
        <v>132</v>
      </c>
      <c r="D2295" s="28" t="s">
        <v>1204</v>
      </c>
      <c r="E2295" s="28" t="s">
        <v>12966</v>
      </c>
      <c r="F2295" s="28" t="s">
        <v>21</v>
      </c>
      <c r="G2295" s="28" t="s">
        <v>207</v>
      </c>
      <c r="H2295" s="28" t="s">
        <v>9633</v>
      </c>
      <c r="I2295" s="28" t="s">
        <v>12967</v>
      </c>
      <c r="J2295" s="28" t="s">
        <v>207</v>
      </c>
      <c r="K2295" s="28" t="s">
        <v>9635</v>
      </c>
      <c r="L2295" s="28" t="s">
        <v>9636</v>
      </c>
      <c r="M2295" s="28" t="s">
        <v>12968</v>
      </c>
      <c r="N2295" s="28" t="s">
        <v>9638</v>
      </c>
      <c r="O2295" s="28" t="s">
        <v>9639</v>
      </c>
      <c r="P2295" s="28" t="s">
        <v>12969</v>
      </c>
    </row>
    <row r="2296" spans="1:16" x14ac:dyDescent="0.25">
      <c r="A2296" s="28" t="s">
        <v>12970</v>
      </c>
      <c r="B2296" s="28" t="s">
        <v>12971</v>
      </c>
      <c r="C2296" s="28" t="s">
        <v>132</v>
      </c>
      <c r="D2296" s="28" t="s">
        <v>1204</v>
      </c>
      <c r="E2296" s="28" t="s">
        <v>12972</v>
      </c>
      <c r="F2296" s="28" t="s">
        <v>21</v>
      </c>
      <c r="G2296" s="28" t="s">
        <v>207</v>
      </c>
      <c r="H2296" s="28" t="s">
        <v>9633</v>
      </c>
      <c r="I2296" s="28" t="s">
        <v>12973</v>
      </c>
      <c r="J2296" s="28" t="s">
        <v>207</v>
      </c>
      <c r="K2296" s="28" t="s">
        <v>9635</v>
      </c>
      <c r="L2296" s="28" t="s">
        <v>9636</v>
      </c>
      <c r="M2296" s="28" t="s">
        <v>12974</v>
      </c>
      <c r="N2296" s="28" t="s">
        <v>9638</v>
      </c>
      <c r="O2296" s="28" t="s">
        <v>9639</v>
      </c>
      <c r="P2296" s="28" t="s">
        <v>12975</v>
      </c>
    </row>
    <row r="2297" spans="1:16" x14ac:dyDescent="0.25">
      <c r="A2297" s="28" t="s">
        <v>12976</v>
      </c>
      <c r="B2297" s="28" t="s">
        <v>12977</v>
      </c>
      <c r="C2297" s="28" t="s">
        <v>132</v>
      </c>
      <c r="D2297" s="28" t="s">
        <v>1204</v>
      </c>
      <c r="E2297" s="28" t="s">
        <v>12978</v>
      </c>
      <c r="F2297" s="28" t="s">
        <v>21</v>
      </c>
      <c r="G2297" s="28" t="s">
        <v>207</v>
      </c>
      <c r="H2297" s="28" t="s">
        <v>9633</v>
      </c>
      <c r="I2297" s="28" t="s">
        <v>12979</v>
      </c>
      <c r="J2297" s="28" t="s">
        <v>207</v>
      </c>
      <c r="K2297" s="28" t="s">
        <v>9635</v>
      </c>
      <c r="L2297" s="28" t="s">
        <v>9636</v>
      </c>
      <c r="M2297" s="28" t="s">
        <v>12980</v>
      </c>
      <c r="N2297" s="28" t="s">
        <v>9638</v>
      </c>
      <c r="O2297" s="28" t="s">
        <v>9639</v>
      </c>
      <c r="P2297" s="28" t="s">
        <v>12981</v>
      </c>
    </row>
    <row r="2298" spans="1:16" x14ac:dyDescent="0.25">
      <c r="A2298" s="28" t="s">
        <v>12982</v>
      </c>
      <c r="B2298" s="28" t="s">
        <v>12983</v>
      </c>
      <c r="C2298" s="28" t="s">
        <v>132</v>
      </c>
      <c r="D2298" s="28" t="s">
        <v>1204</v>
      </c>
      <c r="E2298" s="28" t="s">
        <v>12984</v>
      </c>
      <c r="F2298" s="28" t="s">
        <v>21</v>
      </c>
      <c r="G2298" s="28" t="s">
        <v>207</v>
      </c>
      <c r="H2298" s="28" t="s">
        <v>9633</v>
      </c>
      <c r="I2298" s="28" t="s">
        <v>12985</v>
      </c>
      <c r="J2298" s="28" t="s">
        <v>207</v>
      </c>
      <c r="K2298" s="28" t="s">
        <v>9635</v>
      </c>
      <c r="L2298" s="28" t="s">
        <v>9636</v>
      </c>
      <c r="M2298" s="28" t="s">
        <v>12986</v>
      </c>
      <c r="N2298" s="28" t="s">
        <v>9638</v>
      </c>
      <c r="O2298" s="28" t="s">
        <v>9639</v>
      </c>
      <c r="P2298" s="28" t="s">
        <v>12987</v>
      </c>
    </row>
    <row r="2299" spans="1:16" x14ac:dyDescent="0.25">
      <c r="A2299" s="28" t="s">
        <v>12988</v>
      </c>
      <c r="B2299" s="28" t="s">
        <v>12989</v>
      </c>
      <c r="C2299" s="28" t="s">
        <v>132</v>
      </c>
      <c r="D2299" s="28" t="s">
        <v>1204</v>
      </c>
      <c r="E2299" s="28" t="s">
        <v>12990</v>
      </c>
      <c r="F2299" s="28" t="s">
        <v>21</v>
      </c>
      <c r="G2299" s="28" t="s">
        <v>207</v>
      </c>
      <c r="H2299" s="28" t="s">
        <v>9633</v>
      </c>
      <c r="I2299" s="28" t="s">
        <v>12991</v>
      </c>
      <c r="J2299" s="28" t="s">
        <v>207</v>
      </c>
      <c r="K2299" s="28" t="s">
        <v>9635</v>
      </c>
      <c r="L2299" s="28" t="s">
        <v>9636</v>
      </c>
      <c r="M2299" s="28" t="s">
        <v>12992</v>
      </c>
      <c r="N2299" s="28" t="s">
        <v>9638</v>
      </c>
      <c r="O2299" s="28" t="s">
        <v>9639</v>
      </c>
      <c r="P2299" s="28" t="s">
        <v>12993</v>
      </c>
    </row>
    <row r="2300" spans="1:16" x14ac:dyDescent="0.25">
      <c r="A2300" s="28" t="s">
        <v>12994</v>
      </c>
      <c r="B2300" s="28" t="s">
        <v>12995</v>
      </c>
      <c r="C2300" s="28" t="s">
        <v>132</v>
      </c>
      <c r="D2300" s="28" t="s">
        <v>1204</v>
      </c>
      <c r="E2300" s="28" t="s">
        <v>12996</v>
      </c>
      <c r="F2300" s="28" t="s">
        <v>21</v>
      </c>
      <c r="G2300" s="28" t="s">
        <v>207</v>
      </c>
      <c r="H2300" s="28" t="s">
        <v>9633</v>
      </c>
      <c r="I2300" s="28" t="s">
        <v>12997</v>
      </c>
      <c r="J2300" s="28" t="s">
        <v>207</v>
      </c>
      <c r="K2300" s="28" t="s">
        <v>9635</v>
      </c>
      <c r="L2300" s="28" t="s">
        <v>9636</v>
      </c>
      <c r="M2300" s="28" t="s">
        <v>12998</v>
      </c>
      <c r="N2300" s="28" t="s">
        <v>9638</v>
      </c>
      <c r="O2300" s="28" t="s">
        <v>9639</v>
      </c>
      <c r="P2300" s="28" t="s">
        <v>12999</v>
      </c>
    </row>
    <row r="2301" spans="1:16" x14ac:dyDescent="0.25">
      <c r="A2301" s="28" t="s">
        <v>13000</v>
      </c>
      <c r="B2301" s="28" t="s">
        <v>13001</v>
      </c>
      <c r="C2301" s="28" t="s">
        <v>132</v>
      </c>
      <c r="D2301" s="28" t="s">
        <v>1204</v>
      </c>
      <c r="E2301" s="28" t="s">
        <v>13002</v>
      </c>
      <c r="F2301" s="28" t="s">
        <v>21</v>
      </c>
      <c r="G2301" s="28" t="s">
        <v>207</v>
      </c>
      <c r="H2301" s="28" t="s">
        <v>9633</v>
      </c>
      <c r="I2301" s="28" t="s">
        <v>13003</v>
      </c>
      <c r="J2301" s="28" t="s">
        <v>207</v>
      </c>
      <c r="K2301" s="28" t="s">
        <v>9635</v>
      </c>
      <c r="L2301" s="28" t="s">
        <v>9636</v>
      </c>
      <c r="M2301" s="28" t="s">
        <v>13004</v>
      </c>
      <c r="N2301" s="28" t="s">
        <v>9638</v>
      </c>
      <c r="O2301" s="28" t="s">
        <v>9639</v>
      </c>
      <c r="P2301" s="28" t="s">
        <v>13005</v>
      </c>
    </row>
    <row r="2302" spans="1:16" x14ac:dyDescent="0.25">
      <c r="A2302" s="28" t="s">
        <v>13006</v>
      </c>
      <c r="B2302" s="28" t="s">
        <v>13007</v>
      </c>
      <c r="C2302" s="28" t="s">
        <v>132</v>
      </c>
      <c r="D2302" s="28" t="s">
        <v>1204</v>
      </c>
      <c r="E2302" s="28" t="s">
        <v>13008</v>
      </c>
      <c r="F2302" s="28" t="s">
        <v>21</v>
      </c>
      <c r="G2302" s="28" t="s">
        <v>207</v>
      </c>
      <c r="H2302" s="28" t="s">
        <v>9633</v>
      </c>
      <c r="I2302" s="28" t="s">
        <v>13009</v>
      </c>
      <c r="J2302" s="28" t="s">
        <v>207</v>
      </c>
      <c r="K2302" s="28" t="s">
        <v>9635</v>
      </c>
      <c r="L2302" s="28" t="s">
        <v>9636</v>
      </c>
      <c r="M2302" s="28" t="s">
        <v>13010</v>
      </c>
      <c r="N2302" s="28" t="s">
        <v>9638</v>
      </c>
      <c r="O2302" s="28" t="s">
        <v>9639</v>
      </c>
      <c r="P2302" s="28" t="s">
        <v>13011</v>
      </c>
    </row>
    <row r="2303" spans="1:16" x14ac:dyDescent="0.25">
      <c r="A2303" s="28" t="s">
        <v>13012</v>
      </c>
      <c r="B2303" s="28" t="s">
        <v>13013</v>
      </c>
      <c r="C2303" s="28" t="s">
        <v>132</v>
      </c>
      <c r="D2303" s="28" t="s">
        <v>1204</v>
      </c>
      <c r="E2303" s="28" t="s">
        <v>13014</v>
      </c>
      <c r="F2303" s="28" t="s">
        <v>21</v>
      </c>
      <c r="G2303" s="28" t="s">
        <v>149</v>
      </c>
      <c r="H2303" s="28" t="s">
        <v>9633</v>
      </c>
      <c r="I2303" s="28" t="s">
        <v>13015</v>
      </c>
      <c r="J2303" s="28" t="s">
        <v>149</v>
      </c>
      <c r="K2303" s="28" t="s">
        <v>9722</v>
      </c>
      <c r="L2303" s="28" t="s">
        <v>9636</v>
      </c>
      <c r="M2303" s="28" t="s">
        <v>13016</v>
      </c>
      <c r="N2303" s="28" t="s">
        <v>9638</v>
      </c>
      <c r="O2303" s="28" t="s">
        <v>9639</v>
      </c>
      <c r="P2303" s="28" t="s">
        <v>13017</v>
      </c>
    </row>
    <row r="2304" spans="1:16" x14ac:dyDescent="0.25">
      <c r="A2304" s="28" t="s">
        <v>13018</v>
      </c>
      <c r="B2304" s="28" t="s">
        <v>13019</v>
      </c>
      <c r="C2304" s="28" t="s">
        <v>132</v>
      </c>
      <c r="D2304" s="28" t="s">
        <v>1204</v>
      </c>
      <c r="E2304" s="28" t="s">
        <v>13020</v>
      </c>
      <c r="F2304" s="28" t="s">
        <v>21</v>
      </c>
      <c r="G2304" s="28" t="s">
        <v>207</v>
      </c>
      <c r="H2304" s="28" t="s">
        <v>9633</v>
      </c>
      <c r="I2304" s="28" t="s">
        <v>13021</v>
      </c>
      <c r="J2304" s="28" t="s">
        <v>207</v>
      </c>
      <c r="K2304" s="28" t="s">
        <v>9635</v>
      </c>
      <c r="L2304" s="28" t="s">
        <v>9636</v>
      </c>
      <c r="M2304" s="28" t="s">
        <v>13022</v>
      </c>
      <c r="N2304" s="28" t="s">
        <v>9638</v>
      </c>
      <c r="O2304" s="28" t="s">
        <v>9639</v>
      </c>
      <c r="P2304" s="28" t="s">
        <v>13023</v>
      </c>
    </row>
    <row r="2305" spans="1:16" x14ac:dyDescent="0.25">
      <c r="A2305" s="28" t="s">
        <v>13024</v>
      </c>
      <c r="B2305" s="28" t="s">
        <v>13025</v>
      </c>
      <c r="C2305" s="28" t="s">
        <v>132</v>
      </c>
      <c r="D2305" s="28" t="s">
        <v>1204</v>
      </c>
      <c r="E2305" s="28" t="s">
        <v>13026</v>
      </c>
      <c r="F2305" s="28" t="s">
        <v>21</v>
      </c>
      <c r="G2305" s="28" t="s">
        <v>207</v>
      </c>
      <c r="H2305" s="28" t="s">
        <v>9633</v>
      </c>
      <c r="I2305" s="28" t="s">
        <v>13027</v>
      </c>
      <c r="J2305" s="28" t="s">
        <v>207</v>
      </c>
      <c r="K2305" s="28" t="s">
        <v>9635</v>
      </c>
      <c r="L2305" s="28" t="s">
        <v>9636</v>
      </c>
      <c r="M2305" s="28" t="s">
        <v>13028</v>
      </c>
      <c r="N2305" s="28" t="s">
        <v>9638</v>
      </c>
      <c r="O2305" s="28" t="s">
        <v>9639</v>
      </c>
      <c r="P2305" s="28" t="s">
        <v>13029</v>
      </c>
    </row>
    <row r="2306" spans="1:16" x14ac:dyDescent="0.25">
      <c r="A2306" s="28" t="s">
        <v>13030</v>
      </c>
      <c r="B2306" s="28" t="s">
        <v>13031</v>
      </c>
      <c r="C2306" s="28" t="s">
        <v>132</v>
      </c>
      <c r="D2306" s="28" t="s">
        <v>1204</v>
      </c>
      <c r="E2306" s="28" t="s">
        <v>13032</v>
      </c>
      <c r="F2306" s="28" t="s">
        <v>21</v>
      </c>
      <c r="G2306" s="28" t="s">
        <v>207</v>
      </c>
      <c r="H2306" s="28" t="s">
        <v>9633</v>
      </c>
      <c r="I2306" s="28" t="s">
        <v>13033</v>
      </c>
      <c r="J2306" s="28" t="s">
        <v>207</v>
      </c>
      <c r="K2306" s="28" t="s">
        <v>9635</v>
      </c>
      <c r="L2306" s="28" t="s">
        <v>9636</v>
      </c>
      <c r="M2306" s="28" t="s">
        <v>13034</v>
      </c>
      <c r="N2306" s="28" t="s">
        <v>9638</v>
      </c>
      <c r="O2306" s="28" t="s">
        <v>9639</v>
      </c>
      <c r="P2306" s="28" t="s">
        <v>13035</v>
      </c>
    </row>
    <row r="2307" spans="1:16" x14ac:dyDescent="0.25">
      <c r="A2307" s="28" t="s">
        <v>13036</v>
      </c>
      <c r="B2307" s="28" t="s">
        <v>13037</v>
      </c>
      <c r="C2307" s="28" t="s">
        <v>132</v>
      </c>
      <c r="D2307" s="28" t="s">
        <v>1204</v>
      </c>
      <c r="E2307" s="28" t="s">
        <v>13038</v>
      </c>
      <c r="F2307" s="28" t="s">
        <v>21</v>
      </c>
      <c r="G2307" s="28" t="s">
        <v>207</v>
      </c>
      <c r="H2307" s="28" t="s">
        <v>9633</v>
      </c>
      <c r="I2307" s="28" t="s">
        <v>13039</v>
      </c>
      <c r="J2307" s="28" t="s">
        <v>207</v>
      </c>
      <c r="K2307" s="28" t="s">
        <v>9635</v>
      </c>
      <c r="L2307" s="28" t="s">
        <v>9636</v>
      </c>
      <c r="M2307" s="28" t="s">
        <v>13040</v>
      </c>
      <c r="N2307" s="28" t="s">
        <v>9638</v>
      </c>
      <c r="O2307" s="28" t="s">
        <v>9639</v>
      </c>
      <c r="P2307" s="28" t="s">
        <v>13041</v>
      </c>
    </row>
    <row r="2308" spans="1:16" x14ac:dyDescent="0.25">
      <c r="A2308" s="28" t="s">
        <v>13042</v>
      </c>
      <c r="B2308" s="28" t="s">
        <v>13043</v>
      </c>
      <c r="C2308" s="28" t="s">
        <v>132</v>
      </c>
      <c r="D2308" s="28" t="s">
        <v>1204</v>
      </c>
      <c r="E2308" s="28" t="s">
        <v>13044</v>
      </c>
      <c r="F2308" s="28" t="s">
        <v>21</v>
      </c>
      <c r="G2308" s="28" t="s">
        <v>207</v>
      </c>
      <c r="H2308" s="28" t="s">
        <v>9633</v>
      </c>
      <c r="I2308" s="28" t="s">
        <v>13045</v>
      </c>
      <c r="J2308" s="28" t="s">
        <v>207</v>
      </c>
      <c r="K2308" s="28" t="s">
        <v>9635</v>
      </c>
      <c r="L2308" s="28" t="s">
        <v>9636</v>
      </c>
      <c r="M2308" s="28" t="s">
        <v>13046</v>
      </c>
      <c r="N2308" s="28" t="s">
        <v>9638</v>
      </c>
      <c r="O2308" s="28" t="s">
        <v>9639</v>
      </c>
      <c r="P2308" s="28" t="s">
        <v>13047</v>
      </c>
    </row>
    <row r="2309" spans="1:16" x14ac:dyDescent="0.25">
      <c r="A2309" s="28" t="s">
        <v>13048</v>
      </c>
      <c r="B2309" s="28" t="s">
        <v>13049</v>
      </c>
      <c r="C2309" s="28" t="s">
        <v>132</v>
      </c>
      <c r="D2309" s="28" t="s">
        <v>1204</v>
      </c>
      <c r="E2309" s="28" t="s">
        <v>13050</v>
      </c>
      <c r="F2309" s="28" t="s">
        <v>21</v>
      </c>
      <c r="G2309" s="28" t="s">
        <v>207</v>
      </c>
      <c r="H2309" s="28" t="s">
        <v>9633</v>
      </c>
      <c r="I2309" s="28" t="s">
        <v>13051</v>
      </c>
      <c r="J2309" s="28" t="s">
        <v>207</v>
      </c>
      <c r="K2309" s="28" t="s">
        <v>9635</v>
      </c>
      <c r="L2309" s="28" t="s">
        <v>9636</v>
      </c>
      <c r="M2309" s="28" t="s">
        <v>13052</v>
      </c>
      <c r="N2309" s="28" t="s">
        <v>9638</v>
      </c>
      <c r="O2309" s="28" t="s">
        <v>9639</v>
      </c>
      <c r="P2309" s="28" t="s">
        <v>13053</v>
      </c>
    </row>
    <row r="2310" spans="1:16" x14ac:dyDescent="0.25">
      <c r="A2310" s="28" t="s">
        <v>13054</v>
      </c>
      <c r="B2310" s="28" t="s">
        <v>13055</v>
      </c>
      <c r="C2310" s="28" t="s">
        <v>132</v>
      </c>
      <c r="D2310" s="28" t="s">
        <v>1204</v>
      </c>
      <c r="E2310" s="28" t="s">
        <v>13056</v>
      </c>
      <c r="F2310" s="28" t="s">
        <v>21</v>
      </c>
      <c r="G2310" s="28" t="s">
        <v>207</v>
      </c>
      <c r="H2310" s="28" t="s">
        <v>9633</v>
      </c>
      <c r="I2310" s="28" t="s">
        <v>13057</v>
      </c>
      <c r="J2310" s="28" t="s">
        <v>207</v>
      </c>
      <c r="K2310" s="28" t="s">
        <v>9635</v>
      </c>
      <c r="L2310" s="28" t="s">
        <v>9636</v>
      </c>
      <c r="M2310" s="28" t="s">
        <v>13058</v>
      </c>
      <c r="N2310" s="28" t="s">
        <v>9638</v>
      </c>
      <c r="O2310" s="28" t="s">
        <v>9639</v>
      </c>
      <c r="P2310" s="28" t="s">
        <v>13059</v>
      </c>
    </row>
    <row r="2311" spans="1:16" x14ac:dyDescent="0.25">
      <c r="A2311" s="28" t="s">
        <v>13060</v>
      </c>
      <c r="B2311" s="28" t="s">
        <v>13061</v>
      </c>
      <c r="C2311" s="28" t="s">
        <v>132</v>
      </c>
      <c r="D2311" s="28" t="s">
        <v>1204</v>
      </c>
      <c r="E2311" s="28" t="s">
        <v>13062</v>
      </c>
      <c r="F2311" s="28" t="s">
        <v>21</v>
      </c>
      <c r="G2311" s="28" t="s">
        <v>207</v>
      </c>
      <c r="H2311" s="28" t="s">
        <v>9633</v>
      </c>
      <c r="I2311" s="28" t="s">
        <v>13063</v>
      </c>
      <c r="J2311" s="28" t="s">
        <v>207</v>
      </c>
      <c r="K2311" s="28" t="s">
        <v>9635</v>
      </c>
      <c r="L2311" s="28" t="s">
        <v>9636</v>
      </c>
      <c r="M2311" s="28" t="s">
        <v>13064</v>
      </c>
      <c r="N2311" s="28" t="s">
        <v>9638</v>
      </c>
      <c r="O2311" s="28" t="s">
        <v>9639</v>
      </c>
      <c r="P2311" s="28" t="s">
        <v>13065</v>
      </c>
    </row>
    <row r="2312" spans="1:16" x14ac:dyDescent="0.25">
      <c r="A2312" s="28" t="s">
        <v>13066</v>
      </c>
      <c r="B2312" s="28" t="s">
        <v>13067</v>
      </c>
      <c r="C2312" s="28" t="s">
        <v>132</v>
      </c>
      <c r="D2312" s="28" t="s">
        <v>1204</v>
      </c>
      <c r="E2312" s="28" t="s">
        <v>13068</v>
      </c>
      <c r="F2312" s="28" t="s">
        <v>21</v>
      </c>
      <c r="G2312" s="28" t="s">
        <v>207</v>
      </c>
      <c r="H2312" s="28" t="s">
        <v>9633</v>
      </c>
      <c r="I2312" s="28" t="s">
        <v>13069</v>
      </c>
      <c r="J2312" s="28" t="s">
        <v>207</v>
      </c>
      <c r="K2312" s="28" t="s">
        <v>9635</v>
      </c>
      <c r="L2312" s="28" t="s">
        <v>9636</v>
      </c>
      <c r="M2312" s="28" t="s">
        <v>13070</v>
      </c>
      <c r="N2312" s="28" t="s">
        <v>9638</v>
      </c>
      <c r="O2312" s="28" t="s">
        <v>9639</v>
      </c>
      <c r="P2312" s="28" t="s">
        <v>13071</v>
      </c>
    </row>
    <row r="2313" spans="1:16" x14ac:dyDescent="0.25">
      <c r="A2313" s="28" t="s">
        <v>13072</v>
      </c>
      <c r="B2313" s="28" t="s">
        <v>13073</v>
      </c>
      <c r="C2313" s="28" t="s">
        <v>132</v>
      </c>
      <c r="D2313" s="28" t="s">
        <v>1204</v>
      </c>
      <c r="E2313" s="28" t="s">
        <v>13074</v>
      </c>
      <c r="F2313" s="28" t="s">
        <v>21</v>
      </c>
      <c r="G2313" s="28" t="s">
        <v>207</v>
      </c>
      <c r="H2313" s="28" t="s">
        <v>9633</v>
      </c>
      <c r="I2313" s="28" t="s">
        <v>13075</v>
      </c>
      <c r="J2313" s="28" t="s">
        <v>207</v>
      </c>
      <c r="K2313" s="28" t="s">
        <v>9635</v>
      </c>
      <c r="L2313" s="28" t="s">
        <v>9636</v>
      </c>
      <c r="M2313" s="28" t="s">
        <v>13076</v>
      </c>
      <c r="N2313" s="28" t="s">
        <v>9638</v>
      </c>
      <c r="O2313" s="28" t="s">
        <v>9639</v>
      </c>
      <c r="P2313" s="28" t="s">
        <v>13077</v>
      </c>
    </row>
    <row r="2314" spans="1:16" x14ac:dyDescent="0.25">
      <c r="A2314" s="28" t="s">
        <v>13078</v>
      </c>
      <c r="B2314" s="28" t="s">
        <v>13079</v>
      </c>
      <c r="C2314" s="28" t="s">
        <v>132</v>
      </c>
      <c r="D2314" s="28" t="s">
        <v>1204</v>
      </c>
      <c r="E2314" s="28" t="s">
        <v>13080</v>
      </c>
      <c r="F2314" s="28" t="s">
        <v>21</v>
      </c>
      <c r="G2314" s="28" t="s">
        <v>207</v>
      </c>
      <c r="H2314" s="28" t="s">
        <v>9633</v>
      </c>
      <c r="I2314" s="28" t="s">
        <v>13081</v>
      </c>
      <c r="J2314" s="28" t="s">
        <v>207</v>
      </c>
      <c r="K2314" s="28" t="s">
        <v>9635</v>
      </c>
      <c r="L2314" s="28" t="s">
        <v>9636</v>
      </c>
      <c r="M2314" s="28" t="s">
        <v>13082</v>
      </c>
      <c r="N2314" s="28" t="s">
        <v>9638</v>
      </c>
      <c r="O2314" s="28" t="s">
        <v>9639</v>
      </c>
      <c r="P2314" s="28" t="s">
        <v>13083</v>
      </c>
    </row>
    <row r="2315" spans="1:16" x14ac:dyDescent="0.25">
      <c r="A2315" s="28" t="s">
        <v>13084</v>
      </c>
      <c r="B2315" s="28" t="s">
        <v>13085</v>
      </c>
      <c r="C2315" s="28" t="s">
        <v>132</v>
      </c>
      <c r="D2315" s="28" t="s">
        <v>1204</v>
      </c>
      <c r="E2315" s="28" t="s">
        <v>13086</v>
      </c>
      <c r="F2315" s="28" t="s">
        <v>21</v>
      </c>
      <c r="G2315" s="28" t="s">
        <v>207</v>
      </c>
      <c r="H2315" s="28" t="s">
        <v>9633</v>
      </c>
      <c r="I2315" s="28" t="s">
        <v>13087</v>
      </c>
      <c r="J2315" s="28" t="s">
        <v>207</v>
      </c>
      <c r="K2315" s="28" t="s">
        <v>9635</v>
      </c>
      <c r="L2315" s="28" t="s">
        <v>9636</v>
      </c>
      <c r="M2315" s="28" t="s">
        <v>13088</v>
      </c>
      <c r="N2315" s="28" t="s">
        <v>9638</v>
      </c>
      <c r="O2315" s="28" t="s">
        <v>9639</v>
      </c>
      <c r="P2315" s="28" t="s">
        <v>13089</v>
      </c>
    </row>
    <row r="2316" spans="1:16" x14ac:dyDescent="0.25">
      <c r="A2316" s="28" t="s">
        <v>13090</v>
      </c>
      <c r="B2316" s="28" t="s">
        <v>13091</v>
      </c>
      <c r="C2316" s="28" t="s">
        <v>132</v>
      </c>
      <c r="D2316" s="28" t="s">
        <v>1204</v>
      </c>
      <c r="E2316" s="28" t="s">
        <v>13092</v>
      </c>
      <c r="F2316" s="28" t="s">
        <v>21</v>
      </c>
      <c r="G2316" s="28" t="s">
        <v>207</v>
      </c>
      <c r="H2316" s="28" t="s">
        <v>9633</v>
      </c>
      <c r="I2316" s="28" t="s">
        <v>13093</v>
      </c>
      <c r="J2316" s="28" t="s">
        <v>207</v>
      </c>
      <c r="K2316" s="28" t="s">
        <v>9635</v>
      </c>
      <c r="L2316" s="28" t="s">
        <v>9636</v>
      </c>
      <c r="M2316" s="28" t="s">
        <v>13094</v>
      </c>
      <c r="N2316" s="28" t="s">
        <v>9638</v>
      </c>
      <c r="O2316" s="28" t="s">
        <v>9639</v>
      </c>
      <c r="P2316" s="28" t="s">
        <v>13095</v>
      </c>
    </row>
    <row r="2317" spans="1:16" x14ac:dyDescent="0.25">
      <c r="A2317" s="28" t="s">
        <v>13096</v>
      </c>
      <c r="B2317" s="28" t="s">
        <v>13097</v>
      </c>
      <c r="C2317" s="28" t="s">
        <v>132</v>
      </c>
      <c r="D2317" s="28" t="s">
        <v>1204</v>
      </c>
      <c r="E2317" s="28" t="s">
        <v>13098</v>
      </c>
      <c r="F2317" s="28" t="s">
        <v>21</v>
      </c>
      <c r="G2317" s="28" t="s">
        <v>207</v>
      </c>
      <c r="H2317" s="28" t="s">
        <v>9633</v>
      </c>
      <c r="I2317" s="28" t="s">
        <v>13099</v>
      </c>
      <c r="J2317" s="28" t="s">
        <v>207</v>
      </c>
      <c r="K2317" s="28" t="s">
        <v>9635</v>
      </c>
      <c r="L2317" s="28" t="s">
        <v>9636</v>
      </c>
      <c r="M2317" s="28" t="s">
        <v>13100</v>
      </c>
      <c r="N2317" s="28" t="s">
        <v>9638</v>
      </c>
      <c r="O2317" s="28" t="s">
        <v>9639</v>
      </c>
      <c r="P2317" s="28" t="s">
        <v>13101</v>
      </c>
    </row>
    <row r="2318" spans="1:16" x14ac:dyDescent="0.25">
      <c r="A2318" s="28" t="s">
        <v>13102</v>
      </c>
      <c r="B2318" s="28" t="s">
        <v>13103</v>
      </c>
      <c r="C2318" s="28" t="s">
        <v>132</v>
      </c>
      <c r="D2318" s="28" t="s">
        <v>1204</v>
      </c>
      <c r="E2318" s="28" t="s">
        <v>13104</v>
      </c>
      <c r="F2318" s="28" t="s">
        <v>21</v>
      </c>
      <c r="G2318" s="28" t="s">
        <v>207</v>
      </c>
      <c r="H2318" s="28" t="s">
        <v>9633</v>
      </c>
      <c r="I2318" s="28" t="s">
        <v>13105</v>
      </c>
      <c r="J2318" s="28" t="s">
        <v>207</v>
      </c>
      <c r="K2318" s="28" t="s">
        <v>9635</v>
      </c>
      <c r="L2318" s="28" t="s">
        <v>9636</v>
      </c>
      <c r="M2318" s="28" t="s">
        <v>13106</v>
      </c>
      <c r="N2318" s="28" t="s">
        <v>9638</v>
      </c>
      <c r="O2318" s="28" t="s">
        <v>9639</v>
      </c>
      <c r="P2318" s="28" t="s">
        <v>13107</v>
      </c>
    </row>
    <row r="2319" spans="1:16" x14ac:dyDescent="0.25">
      <c r="A2319" s="28" t="s">
        <v>13108</v>
      </c>
      <c r="B2319" s="28" t="s">
        <v>13109</v>
      </c>
      <c r="C2319" s="28" t="s">
        <v>132</v>
      </c>
      <c r="D2319" s="28" t="s">
        <v>1204</v>
      </c>
      <c r="E2319" s="28" t="s">
        <v>13110</v>
      </c>
      <c r="F2319" s="28" t="s">
        <v>21</v>
      </c>
      <c r="G2319" s="28" t="s">
        <v>207</v>
      </c>
      <c r="H2319" s="28" t="s">
        <v>9633</v>
      </c>
      <c r="I2319" s="28" t="s">
        <v>13111</v>
      </c>
      <c r="J2319" s="28" t="s">
        <v>207</v>
      </c>
      <c r="K2319" s="28" t="s">
        <v>9635</v>
      </c>
      <c r="L2319" s="28" t="s">
        <v>9636</v>
      </c>
      <c r="M2319" s="28" t="s">
        <v>13112</v>
      </c>
      <c r="N2319" s="28" t="s">
        <v>9638</v>
      </c>
      <c r="O2319" s="28" t="s">
        <v>9639</v>
      </c>
      <c r="P2319" s="28" t="s">
        <v>13113</v>
      </c>
    </row>
    <row r="2320" spans="1:16" x14ac:dyDescent="0.25">
      <c r="A2320" s="28" t="s">
        <v>13114</v>
      </c>
      <c r="B2320" s="28" t="s">
        <v>13115</v>
      </c>
      <c r="C2320" s="28" t="s">
        <v>132</v>
      </c>
      <c r="D2320" s="28" t="s">
        <v>1204</v>
      </c>
      <c r="E2320" s="28" t="s">
        <v>13116</v>
      </c>
      <c r="F2320" s="28" t="s">
        <v>21</v>
      </c>
      <c r="G2320" s="28" t="s">
        <v>207</v>
      </c>
      <c r="H2320" s="28" t="s">
        <v>9633</v>
      </c>
      <c r="I2320" s="28" t="s">
        <v>13117</v>
      </c>
      <c r="J2320" s="28" t="s">
        <v>207</v>
      </c>
      <c r="K2320" s="28" t="s">
        <v>9635</v>
      </c>
      <c r="L2320" s="28" t="s">
        <v>9636</v>
      </c>
      <c r="M2320" s="28" t="s">
        <v>13118</v>
      </c>
      <c r="N2320" s="28" t="s">
        <v>9638</v>
      </c>
      <c r="O2320" s="28" t="s">
        <v>9639</v>
      </c>
      <c r="P2320" s="28" t="s">
        <v>13119</v>
      </c>
    </row>
    <row r="2321" spans="1:16" x14ac:dyDescent="0.25">
      <c r="A2321" s="28" t="s">
        <v>13120</v>
      </c>
      <c r="B2321" s="28" t="s">
        <v>13121</v>
      </c>
      <c r="C2321" s="28" t="s">
        <v>132</v>
      </c>
      <c r="D2321" s="28" t="s">
        <v>1204</v>
      </c>
      <c r="E2321" s="28" t="s">
        <v>13122</v>
      </c>
      <c r="F2321" s="28" t="s">
        <v>21</v>
      </c>
      <c r="G2321" s="28" t="s">
        <v>207</v>
      </c>
      <c r="H2321" s="28" t="s">
        <v>9633</v>
      </c>
      <c r="I2321" s="28" t="s">
        <v>13123</v>
      </c>
      <c r="J2321" s="28" t="s">
        <v>207</v>
      </c>
      <c r="K2321" s="28" t="s">
        <v>9635</v>
      </c>
      <c r="L2321" s="28" t="s">
        <v>9636</v>
      </c>
      <c r="M2321" s="28" t="s">
        <v>13124</v>
      </c>
      <c r="N2321" s="28" t="s">
        <v>9638</v>
      </c>
      <c r="O2321" s="28" t="s">
        <v>9639</v>
      </c>
      <c r="P2321" s="28" t="s">
        <v>13125</v>
      </c>
    </row>
    <row r="2322" spans="1:16" x14ac:dyDescent="0.25">
      <c r="A2322" s="28" t="s">
        <v>13126</v>
      </c>
      <c r="B2322" s="28" t="s">
        <v>13127</v>
      </c>
      <c r="C2322" s="28" t="s">
        <v>132</v>
      </c>
      <c r="D2322" s="28" t="s">
        <v>1204</v>
      </c>
      <c r="E2322" s="28" t="s">
        <v>13128</v>
      </c>
      <c r="F2322" s="28" t="s">
        <v>21</v>
      </c>
      <c r="G2322" s="28" t="s">
        <v>207</v>
      </c>
      <c r="H2322" s="28" t="s">
        <v>9633</v>
      </c>
      <c r="I2322" s="28" t="s">
        <v>13129</v>
      </c>
      <c r="J2322" s="28" t="s">
        <v>207</v>
      </c>
      <c r="K2322" s="28" t="s">
        <v>9635</v>
      </c>
      <c r="L2322" s="28" t="s">
        <v>9636</v>
      </c>
      <c r="M2322" s="28" t="s">
        <v>13130</v>
      </c>
      <c r="N2322" s="28" t="s">
        <v>9638</v>
      </c>
      <c r="O2322" s="28" t="s">
        <v>9639</v>
      </c>
      <c r="P2322" s="28" t="s">
        <v>13131</v>
      </c>
    </row>
    <row r="2323" spans="1:16" x14ac:dyDescent="0.25">
      <c r="A2323" s="28" t="s">
        <v>13132</v>
      </c>
      <c r="B2323" s="28" t="s">
        <v>13133</v>
      </c>
      <c r="C2323" s="28" t="s">
        <v>132</v>
      </c>
      <c r="D2323" s="28" t="s">
        <v>1204</v>
      </c>
      <c r="E2323" s="28" t="s">
        <v>13134</v>
      </c>
      <c r="F2323" s="28" t="s">
        <v>21</v>
      </c>
      <c r="G2323" s="28" t="s">
        <v>207</v>
      </c>
      <c r="H2323" s="28" t="s">
        <v>9633</v>
      </c>
      <c r="I2323" s="28" t="s">
        <v>13135</v>
      </c>
      <c r="J2323" s="28" t="s">
        <v>207</v>
      </c>
      <c r="K2323" s="28" t="s">
        <v>9635</v>
      </c>
      <c r="L2323" s="28" t="s">
        <v>9636</v>
      </c>
      <c r="M2323" s="28" t="s">
        <v>13136</v>
      </c>
      <c r="N2323" s="28" t="s">
        <v>9638</v>
      </c>
      <c r="O2323" s="28" t="s">
        <v>9639</v>
      </c>
      <c r="P2323" s="28" t="s">
        <v>13137</v>
      </c>
    </row>
    <row r="2324" spans="1:16" x14ac:dyDescent="0.25">
      <c r="A2324" s="28" t="s">
        <v>13138</v>
      </c>
      <c r="B2324" s="28" t="s">
        <v>13139</v>
      </c>
      <c r="C2324" s="28" t="s">
        <v>132</v>
      </c>
      <c r="D2324" s="28" t="s">
        <v>1204</v>
      </c>
      <c r="E2324" s="28" t="s">
        <v>13140</v>
      </c>
      <c r="F2324" s="28" t="s">
        <v>21</v>
      </c>
      <c r="G2324" s="28" t="s">
        <v>207</v>
      </c>
      <c r="H2324" s="28" t="s">
        <v>9633</v>
      </c>
      <c r="I2324" s="28" t="s">
        <v>13141</v>
      </c>
      <c r="J2324" s="28" t="s">
        <v>207</v>
      </c>
      <c r="K2324" s="28" t="s">
        <v>9635</v>
      </c>
      <c r="L2324" s="28" t="s">
        <v>9636</v>
      </c>
      <c r="M2324" s="28" t="s">
        <v>13142</v>
      </c>
      <c r="N2324" s="28" t="s">
        <v>9638</v>
      </c>
      <c r="O2324" s="28" t="s">
        <v>9639</v>
      </c>
      <c r="P2324" s="28" t="s">
        <v>13143</v>
      </c>
    </row>
    <row r="2325" spans="1:16" x14ac:dyDescent="0.25">
      <c r="A2325" s="28" t="s">
        <v>13144</v>
      </c>
      <c r="B2325" s="28" t="s">
        <v>13145</v>
      </c>
      <c r="C2325" s="28" t="s">
        <v>132</v>
      </c>
      <c r="D2325" s="28" t="s">
        <v>1204</v>
      </c>
      <c r="E2325" s="28" t="s">
        <v>13146</v>
      </c>
      <c r="F2325" s="28" t="s">
        <v>21</v>
      </c>
      <c r="G2325" s="28" t="s">
        <v>207</v>
      </c>
      <c r="H2325" s="28" t="s">
        <v>9633</v>
      </c>
      <c r="I2325" s="28" t="s">
        <v>13147</v>
      </c>
      <c r="J2325" s="28" t="s">
        <v>207</v>
      </c>
      <c r="K2325" s="28" t="s">
        <v>9635</v>
      </c>
      <c r="L2325" s="28" t="s">
        <v>9636</v>
      </c>
      <c r="M2325" s="28" t="s">
        <v>13148</v>
      </c>
      <c r="N2325" s="28" t="s">
        <v>9638</v>
      </c>
      <c r="O2325" s="28" t="s">
        <v>9639</v>
      </c>
      <c r="P2325" s="28" t="s">
        <v>13149</v>
      </c>
    </row>
    <row r="2326" spans="1:16" x14ac:dyDescent="0.25">
      <c r="A2326" s="28" t="s">
        <v>13150</v>
      </c>
      <c r="B2326" s="28" t="s">
        <v>13151</v>
      </c>
      <c r="C2326" s="28" t="s">
        <v>132</v>
      </c>
      <c r="D2326" s="28" t="s">
        <v>1204</v>
      </c>
      <c r="E2326" s="28" t="s">
        <v>13152</v>
      </c>
      <c r="F2326" s="28" t="s">
        <v>21</v>
      </c>
      <c r="G2326" s="28" t="s">
        <v>207</v>
      </c>
      <c r="H2326" s="28" t="s">
        <v>9633</v>
      </c>
      <c r="I2326" s="28" t="s">
        <v>13153</v>
      </c>
      <c r="J2326" s="28" t="s">
        <v>207</v>
      </c>
      <c r="K2326" s="28" t="s">
        <v>9635</v>
      </c>
      <c r="L2326" s="28" t="s">
        <v>9636</v>
      </c>
      <c r="M2326" s="28" t="s">
        <v>13154</v>
      </c>
      <c r="N2326" s="28" t="s">
        <v>9638</v>
      </c>
      <c r="O2326" s="28" t="s">
        <v>9639</v>
      </c>
      <c r="P2326" s="28" t="s">
        <v>13155</v>
      </c>
    </row>
    <row r="2327" spans="1:16" x14ac:dyDescent="0.25">
      <c r="A2327" s="28" t="s">
        <v>13156</v>
      </c>
      <c r="B2327" s="28" t="s">
        <v>13157</v>
      </c>
      <c r="C2327" s="28" t="s">
        <v>132</v>
      </c>
      <c r="D2327" s="28" t="s">
        <v>1204</v>
      </c>
      <c r="E2327" s="28" t="s">
        <v>13158</v>
      </c>
      <c r="F2327" s="28" t="s">
        <v>21</v>
      </c>
      <c r="G2327" s="28" t="s">
        <v>207</v>
      </c>
      <c r="H2327" s="28" t="s">
        <v>9633</v>
      </c>
      <c r="I2327" s="28" t="s">
        <v>13159</v>
      </c>
      <c r="J2327" s="28" t="s">
        <v>207</v>
      </c>
      <c r="K2327" s="28" t="s">
        <v>9635</v>
      </c>
      <c r="L2327" s="28" t="s">
        <v>9636</v>
      </c>
      <c r="M2327" s="28" t="s">
        <v>13160</v>
      </c>
      <c r="N2327" s="28" t="s">
        <v>9638</v>
      </c>
      <c r="O2327" s="28" t="s">
        <v>9639</v>
      </c>
      <c r="P2327" s="28" t="s">
        <v>13161</v>
      </c>
    </row>
    <row r="2328" spans="1:16" x14ac:dyDescent="0.25">
      <c r="A2328" s="28" t="s">
        <v>13162</v>
      </c>
      <c r="B2328" s="28" t="s">
        <v>13163</v>
      </c>
      <c r="C2328" s="28" t="s">
        <v>132</v>
      </c>
      <c r="D2328" s="28" t="s">
        <v>1204</v>
      </c>
      <c r="E2328" s="28" t="s">
        <v>13164</v>
      </c>
      <c r="F2328" s="28" t="s">
        <v>21</v>
      </c>
      <c r="G2328" s="28" t="s">
        <v>135</v>
      </c>
      <c r="H2328" s="28" t="s">
        <v>10259</v>
      </c>
      <c r="I2328" s="28" t="s">
        <v>13165</v>
      </c>
      <c r="J2328" s="28" t="s">
        <v>135</v>
      </c>
      <c r="K2328" s="28" t="s">
        <v>10551</v>
      </c>
      <c r="L2328" s="28" t="s">
        <v>10262</v>
      </c>
      <c r="M2328" s="28" t="s">
        <v>13166</v>
      </c>
      <c r="N2328" s="28" t="s">
        <v>10264</v>
      </c>
      <c r="O2328" s="28" t="s">
        <v>10265</v>
      </c>
      <c r="P2328" s="28" t="s">
        <v>10266</v>
      </c>
    </row>
    <row r="2329" spans="1:16" x14ac:dyDescent="0.25">
      <c r="A2329" s="28" t="s">
        <v>13167</v>
      </c>
      <c r="B2329" s="28" t="s">
        <v>13168</v>
      </c>
      <c r="C2329" s="28" t="s">
        <v>132</v>
      </c>
      <c r="D2329" s="28" t="s">
        <v>1204</v>
      </c>
      <c r="E2329" s="28" t="s">
        <v>13169</v>
      </c>
      <c r="F2329" s="28" t="s">
        <v>21</v>
      </c>
      <c r="G2329" s="28" t="s">
        <v>207</v>
      </c>
      <c r="H2329" s="28" t="s">
        <v>9633</v>
      </c>
      <c r="I2329" s="28" t="s">
        <v>13170</v>
      </c>
      <c r="J2329" s="28" t="s">
        <v>207</v>
      </c>
      <c r="K2329" s="28" t="s">
        <v>9635</v>
      </c>
      <c r="L2329" s="28" t="s">
        <v>9636</v>
      </c>
      <c r="M2329" s="28" t="s">
        <v>13171</v>
      </c>
      <c r="N2329" s="28" t="s">
        <v>9638</v>
      </c>
      <c r="O2329" s="28" t="s">
        <v>9639</v>
      </c>
      <c r="P2329" s="28" t="s">
        <v>13172</v>
      </c>
    </row>
    <row r="2330" spans="1:16" x14ac:dyDescent="0.25">
      <c r="A2330" s="28" t="s">
        <v>13173</v>
      </c>
      <c r="B2330" s="28" t="s">
        <v>13174</v>
      </c>
      <c r="C2330" s="28" t="s">
        <v>132</v>
      </c>
      <c r="D2330" s="28" t="s">
        <v>1204</v>
      </c>
      <c r="E2330" s="28" t="s">
        <v>13175</v>
      </c>
      <c r="F2330" s="28" t="s">
        <v>21</v>
      </c>
      <c r="G2330" s="28" t="s">
        <v>149</v>
      </c>
      <c r="H2330" s="28" t="s">
        <v>9633</v>
      </c>
      <c r="I2330" s="28" t="s">
        <v>13176</v>
      </c>
      <c r="J2330" s="28" t="s">
        <v>149</v>
      </c>
      <c r="K2330" s="28" t="s">
        <v>9722</v>
      </c>
      <c r="L2330" s="28" t="s">
        <v>9636</v>
      </c>
      <c r="M2330" s="28" t="s">
        <v>13177</v>
      </c>
      <c r="N2330" s="28" t="s">
        <v>9638</v>
      </c>
      <c r="O2330" s="28" t="s">
        <v>9639</v>
      </c>
      <c r="P2330" s="28" t="s">
        <v>13178</v>
      </c>
    </row>
    <row r="2331" spans="1:16" x14ac:dyDescent="0.25">
      <c r="A2331" s="28" t="s">
        <v>13179</v>
      </c>
      <c r="B2331" s="28" t="s">
        <v>13180</v>
      </c>
      <c r="C2331" s="28" t="s">
        <v>132</v>
      </c>
      <c r="D2331" s="28" t="s">
        <v>1204</v>
      </c>
      <c r="E2331" s="28" t="s">
        <v>13181</v>
      </c>
      <c r="F2331" s="28" t="s">
        <v>21</v>
      </c>
      <c r="G2331" s="28" t="s">
        <v>149</v>
      </c>
      <c r="H2331" s="28" t="s">
        <v>9633</v>
      </c>
      <c r="I2331" s="28" t="s">
        <v>13182</v>
      </c>
      <c r="J2331" s="28" t="s">
        <v>149</v>
      </c>
      <c r="K2331" s="28" t="s">
        <v>9722</v>
      </c>
      <c r="L2331" s="28" t="s">
        <v>9636</v>
      </c>
      <c r="M2331" s="28" t="s">
        <v>13183</v>
      </c>
      <c r="N2331" s="28" t="s">
        <v>9638</v>
      </c>
      <c r="O2331" s="28" t="s">
        <v>9639</v>
      </c>
      <c r="P2331" s="28" t="s">
        <v>13184</v>
      </c>
    </row>
    <row r="2332" spans="1:16" x14ac:dyDescent="0.25">
      <c r="A2332" s="28" t="s">
        <v>13185</v>
      </c>
      <c r="B2332" s="28" t="s">
        <v>13186</v>
      </c>
      <c r="C2332" s="28" t="s">
        <v>132</v>
      </c>
      <c r="D2332" s="28" t="s">
        <v>1204</v>
      </c>
      <c r="E2332" s="28" t="s">
        <v>13187</v>
      </c>
      <c r="F2332" s="28" t="s">
        <v>21</v>
      </c>
      <c r="G2332" s="28" t="s">
        <v>135</v>
      </c>
      <c r="H2332" s="28" t="s">
        <v>10259</v>
      </c>
      <c r="I2332" s="28" t="s">
        <v>13188</v>
      </c>
      <c r="J2332" s="28" t="s">
        <v>135</v>
      </c>
      <c r="K2332" s="28" t="s">
        <v>10551</v>
      </c>
      <c r="L2332" s="28" t="s">
        <v>10262</v>
      </c>
      <c r="M2332" s="28" t="s">
        <v>13189</v>
      </c>
      <c r="N2332" s="28" t="s">
        <v>10264</v>
      </c>
      <c r="O2332" s="28" t="s">
        <v>10265</v>
      </c>
      <c r="P2332" s="28" t="s">
        <v>10266</v>
      </c>
    </row>
    <row r="2333" spans="1:16" x14ac:dyDescent="0.25">
      <c r="A2333" s="28" t="s">
        <v>13190</v>
      </c>
      <c r="B2333" s="28" t="s">
        <v>13191</v>
      </c>
      <c r="C2333" s="28" t="s">
        <v>132</v>
      </c>
      <c r="D2333" s="28" t="s">
        <v>1204</v>
      </c>
      <c r="E2333" s="28" t="s">
        <v>1231</v>
      </c>
      <c r="F2333" s="28" t="s">
        <v>21</v>
      </c>
      <c r="G2333" s="28" t="s">
        <v>207</v>
      </c>
      <c r="H2333" s="28" t="s">
        <v>9633</v>
      </c>
      <c r="I2333" s="28" t="s">
        <v>13192</v>
      </c>
      <c r="J2333" s="28" t="s">
        <v>207</v>
      </c>
      <c r="K2333" s="28" t="s">
        <v>9635</v>
      </c>
      <c r="L2333" s="28" t="s">
        <v>9636</v>
      </c>
      <c r="M2333" s="28" t="s">
        <v>13193</v>
      </c>
      <c r="N2333" s="28" t="s">
        <v>9638</v>
      </c>
      <c r="O2333" s="28" t="s">
        <v>9639</v>
      </c>
      <c r="P2333" s="28" t="s">
        <v>13194</v>
      </c>
    </row>
    <row r="2334" spans="1:16" x14ac:dyDescent="0.25">
      <c r="A2334" s="28" t="s">
        <v>13195</v>
      </c>
      <c r="B2334" s="28" t="s">
        <v>13196</v>
      </c>
      <c r="C2334" s="28" t="s">
        <v>132</v>
      </c>
      <c r="D2334" s="28" t="s">
        <v>1204</v>
      </c>
      <c r="E2334" s="28" t="s">
        <v>13197</v>
      </c>
      <c r="F2334" s="28" t="s">
        <v>21</v>
      </c>
      <c r="G2334" s="28" t="s">
        <v>207</v>
      </c>
      <c r="H2334" s="28" t="s">
        <v>9633</v>
      </c>
      <c r="I2334" s="28" t="s">
        <v>13198</v>
      </c>
      <c r="J2334" s="28" t="s">
        <v>207</v>
      </c>
      <c r="K2334" s="28" t="s">
        <v>9635</v>
      </c>
      <c r="L2334" s="28" t="s">
        <v>9636</v>
      </c>
      <c r="M2334" s="28" t="s">
        <v>13199</v>
      </c>
      <c r="N2334" s="28" t="s">
        <v>9638</v>
      </c>
      <c r="O2334" s="28" t="s">
        <v>9639</v>
      </c>
      <c r="P2334" s="28" t="s">
        <v>13200</v>
      </c>
    </row>
    <row r="2335" spans="1:16" x14ac:dyDescent="0.25">
      <c r="A2335" s="28" t="s">
        <v>13201</v>
      </c>
      <c r="B2335" s="28" t="s">
        <v>13202</v>
      </c>
      <c r="C2335" s="28" t="s">
        <v>132</v>
      </c>
      <c r="D2335" s="28" t="s">
        <v>1204</v>
      </c>
      <c r="E2335" s="28" t="s">
        <v>13203</v>
      </c>
      <c r="F2335" s="28" t="s">
        <v>21</v>
      </c>
      <c r="G2335" s="28" t="s">
        <v>135</v>
      </c>
      <c r="H2335" s="28" t="s">
        <v>10259</v>
      </c>
      <c r="I2335" s="28" t="s">
        <v>13204</v>
      </c>
      <c r="J2335" s="28" t="s">
        <v>135</v>
      </c>
      <c r="K2335" s="28" t="s">
        <v>10551</v>
      </c>
      <c r="L2335" s="28" t="s">
        <v>10262</v>
      </c>
      <c r="M2335" s="28" t="s">
        <v>13205</v>
      </c>
      <c r="N2335" s="28" t="s">
        <v>10264</v>
      </c>
      <c r="O2335" s="28" t="s">
        <v>10265</v>
      </c>
      <c r="P2335" s="28" t="s">
        <v>10266</v>
      </c>
    </row>
    <row r="2336" spans="1:16" x14ac:dyDescent="0.25">
      <c r="A2336" s="28" t="s">
        <v>13206</v>
      </c>
      <c r="B2336" s="28" t="s">
        <v>13207</v>
      </c>
      <c r="C2336" s="28" t="s">
        <v>132</v>
      </c>
      <c r="D2336" s="28" t="s">
        <v>1204</v>
      </c>
      <c r="E2336" s="28" t="s">
        <v>13208</v>
      </c>
      <c r="F2336" s="28" t="s">
        <v>21</v>
      </c>
      <c r="G2336" s="28" t="s">
        <v>149</v>
      </c>
      <c r="H2336" s="28" t="s">
        <v>9633</v>
      </c>
      <c r="I2336" s="28" t="s">
        <v>13209</v>
      </c>
      <c r="J2336" s="28" t="s">
        <v>149</v>
      </c>
      <c r="K2336" s="28" t="s">
        <v>9722</v>
      </c>
      <c r="L2336" s="28" t="s">
        <v>9636</v>
      </c>
      <c r="M2336" s="28" t="s">
        <v>13210</v>
      </c>
      <c r="N2336" s="28" t="s">
        <v>9638</v>
      </c>
      <c r="O2336" s="28" t="s">
        <v>9639</v>
      </c>
      <c r="P2336" s="28" t="s">
        <v>13211</v>
      </c>
    </row>
    <row r="2337" spans="1:16" x14ac:dyDescent="0.25">
      <c r="A2337" s="28" t="s">
        <v>13212</v>
      </c>
      <c r="B2337" s="28" t="s">
        <v>13213</v>
      </c>
      <c r="C2337" s="28" t="s">
        <v>132</v>
      </c>
      <c r="D2337" s="28" t="s">
        <v>1204</v>
      </c>
      <c r="E2337" s="28" t="s">
        <v>13208</v>
      </c>
      <c r="F2337" s="28" t="s">
        <v>21</v>
      </c>
      <c r="G2337" s="28" t="s">
        <v>149</v>
      </c>
      <c r="H2337" s="28" t="s">
        <v>9633</v>
      </c>
      <c r="I2337" s="28" t="s">
        <v>13214</v>
      </c>
      <c r="J2337" s="28" t="s">
        <v>149</v>
      </c>
      <c r="K2337" s="28" t="s">
        <v>9722</v>
      </c>
      <c r="L2337" s="28" t="s">
        <v>9636</v>
      </c>
      <c r="M2337" s="28" t="s">
        <v>13215</v>
      </c>
      <c r="N2337" s="28" t="s">
        <v>9638</v>
      </c>
      <c r="O2337" s="28" t="s">
        <v>9639</v>
      </c>
      <c r="P2337" s="28" t="s">
        <v>13211</v>
      </c>
    </row>
    <row r="2338" spans="1:16" x14ac:dyDescent="0.25">
      <c r="A2338" s="28" t="s">
        <v>13216</v>
      </c>
      <c r="B2338" s="28" t="s">
        <v>13217</v>
      </c>
      <c r="C2338" s="28" t="s">
        <v>132</v>
      </c>
      <c r="D2338" s="28" t="s">
        <v>1204</v>
      </c>
      <c r="E2338" s="28" t="s">
        <v>13218</v>
      </c>
      <c r="F2338" s="28" t="s">
        <v>21</v>
      </c>
      <c r="G2338" s="28" t="s">
        <v>149</v>
      </c>
      <c r="H2338" s="28" t="s">
        <v>9633</v>
      </c>
      <c r="I2338" s="28" t="s">
        <v>13219</v>
      </c>
      <c r="J2338" s="28" t="s">
        <v>149</v>
      </c>
      <c r="K2338" s="28" t="s">
        <v>9722</v>
      </c>
      <c r="L2338" s="28" t="s">
        <v>9636</v>
      </c>
      <c r="M2338" s="28" t="s">
        <v>13220</v>
      </c>
      <c r="N2338" s="28" t="s">
        <v>9638</v>
      </c>
      <c r="O2338" s="28" t="s">
        <v>9639</v>
      </c>
      <c r="P2338" s="28" t="s">
        <v>13221</v>
      </c>
    </row>
    <row r="2339" spans="1:16" x14ac:dyDescent="0.25">
      <c r="A2339" s="28" t="s">
        <v>13222</v>
      </c>
      <c r="B2339" s="28" t="s">
        <v>13223</v>
      </c>
      <c r="C2339" s="28" t="s">
        <v>132</v>
      </c>
      <c r="D2339" s="28" t="s">
        <v>1204</v>
      </c>
      <c r="E2339" s="28" t="s">
        <v>13224</v>
      </c>
      <c r="F2339" s="28" t="s">
        <v>21</v>
      </c>
      <c r="G2339" s="28" t="s">
        <v>149</v>
      </c>
      <c r="H2339" s="28" t="s">
        <v>9633</v>
      </c>
      <c r="I2339" s="28" t="s">
        <v>13225</v>
      </c>
      <c r="J2339" s="28" t="s">
        <v>149</v>
      </c>
      <c r="K2339" s="28" t="s">
        <v>9722</v>
      </c>
      <c r="L2339" s="28" t="s">
        <v>9636</v>
      </c>
      <c r="M2339" s="28" t="s">
        <v>13226</v>
      </c>
      <c r="N2339" s="28" t="s">
        <v>9638</v>
      </c>
      <c r="O2339" s="28" t="s">
        <v>9639</v>
      </c>
      <c r="P2339" s="28" t="s">
        <v>13227</v>
      </c>
    </row>
    <row r="2340" spans="1:16" x14ac:dyDescent="0.25">
      <c r="A2340" s="28" t="s">
        <v>13228</v>
      </c>
      <c r="B2340" s="28" t="s">
        <v>13229</v>
      </c>
      <c r="C2340" s="28" t="s">
        <v>132</v>
      </c>
      <c r="D2340" s="28" t="s">
        <v>1204</v>
      </c>
      <c r="E2340" s="28" t="s">
        <v>13230</v>
      </c>
      <c r="F2340" s="28" t="s">
        <v>21</v>
      </c>
      <c r="G2340" s="28" t="s">
        <v>149</v>
      </c>
      <c r="H2340" s="28" t="s">
        <v>9633</v>
      </c>
      <c r="I2340" s="28" t="s">
        <v>13231</v>
      </c>
      <c r="J2340" s="28" t="s">
        <v>149</v>
      </c>
      <c r="K2340" s="28" t="s">
        <v>9722</v>
      </c>
      <c r="L2340" s="28" t="s">
        <v>9636</v>
      </c>
      <c r="M2340" s="28" t="s">
        <v>13232</v>
      </c>
      <c r="N2340" s="28" t="s">
        <v>9638</v>
      </c>
      <c r="O2340" s="28" t="s">
        <v>9639</v>
      </c>
      <c r="P2340" s="28" t="s">
        <v>13233</v>
      </c>
    </row>
    <row r="2341" spans="1:16" x14ac:dyDescent="0.25">
      <c r="A2341" s="28" t="s">
        <v>13234</v>
      </c>
      <c r="B2341" s="28" t="s">
        <v>13235</v>
      </c>
      <c r="C2341" s="28" t="s">
        <v>132</v>
      </c>
      <c r="D2341" s="28" t="s">
        <v>1204</v>
      </c>
      <c r="E2341" s="28" t="s">
        <v>13236</v>
      </c>
      <c r="F2341" s="28" t="s">
        <v>21</v>
      </c>
      <c r="G2341" s="28" t="s">
        <v>149</v>
      </c>
      <c r="H2341" s="28" t="s">
        <v>9633</v>
      </c>
      <c r="I2341" s="28" t="s">
        <v>13237</v>
      </c>
      <c r="J2341" s="28" t="s">
        <v>149</v>
      </c>
      <c r="K2341" s="28" t="s">
        <v>9722</v>
      </c>
      <c r="L2341" s="28" t="s">
        <v>9636</v>
      </c>
      <c r="M2341" s="28" t="s">
        <v>13238</v>
      </c>
      <c r="N2341" s="28" t="s">
        <v>9638</v>
      </c>
      <c r="O2341" s="28" t="s">
        <v>9639</v>
      </c>
      <c r="P2341" s="28" t="s">
        <v>13239</v>
      </c>
    </row>
    <row r="2342" spans="1:16" x14ac:dyDescent="0.25">
      <c r="A2342" s="28" t="s">
        <v>13240</v>
      </c>
      <c r="B2342" s="28" t="s">
        <v>13241</v>
      </c>
      <c r="C2342" s="28" t="s">
        <v>132</v>
      </c>
      <c r="D2342" s="28" t="s">
        <v>1204</v>
      </c>
      <c r="E2342" s="28" t="s">
        <v>13236</v>
      </c>
      <c r="F2342" s="28" t="s">
        <v>21</v>
      </c>
      <c r="G2342" s="28" t="s">
        <v>149</v>
      </c>
      <c r="H2342" s="28" t="s">
        <v>9633</v>
      </c>
      <c r="I2342" s="28" t="s">
        <v>13242</v>
      </c>
      <c r="J2342" s="28" t="s">
        <v>149</v>
      </c>
      <c r="K2342" s="28" t="s">
        <v>9722</v>
      </c>
      <c r="L2342" s="28" t="s">
        <v>9636</v>
      </c>
      <c r="M2342" s="28" t="s">
        <v>13243</v>
      </c>
      <c r="N2342" s="28" t="s">
        <v>9638</v>
      </c>
      <c r="O2342" s="28" t="s">
        <v>9639</v>
      </c>
      <c r="P2342" s="28" t="s">
        <v>13239</v>
      </c>
    </row>
    <row r="2343" spans="1:16" x14ac:dyDescent="0.25">
      <c r="A2343" s="28" t="s">
        <v>13244</v>
      </c>
      <c r="B2343" s="28" t="s">
        <v>13245</v>
      </c>
      <c r="C2343" s="28" t="s">
        <v>132</v>
      </c>
      <c r="D2343" s="28" t="s">
        <v>1204</v>
      </c>
      <c r="E2343" s="28" t="s">
        <v>13236</v>
      </c>
      <c r="F2343" s="28" t="s">
        <v>21</v>
      </c>
      <c r="G2343" s="28" t="s">
        <v>149</v>
      </c>
      <c r="H2343" s="28" t="s">
        <v>9633</v>
      </c>
      <c r="I2343" s="28" t="s">
        <v>13246</v>
      </c>
      <c r="J2343" s="28" t="s">
        <v>149</v>
      </c>
      <c r="K2343" s="28" t="s">
        <v>9722</v>
      </c>
      <c r="L2343" s="28" t="s">
        <v>9636</v>
      </c>
      <c r="M2343" s="28" t="s">
        <v>13247</v>
      </c>
      <c r="N2343" s="28" t="s">
        <v>9638</v>
      </c>
      <c r="O2343" s="28" t="s">
        <v>9639</v>
      </c>
      <c r="P2343" s="28" t="s">
        <v>13239</v>
      </c>
    </row>
    <row r="2344" spans="1:16" x14ac:dyDescent="0.25">
      <c r="A2344" s="28" t="s">
        <v>13248</v>
      </c>
      <c r="B2344" s="28" t="s">
        <v>13249</v>
      </c>
      <c r="C2344" s="28" t="s">
        <v>132</v>
      </c>
      <c r="D2344" s="28" t="s">
        <v>1204</v>
      </c>
      <c r="E2344" s="28" t="s">
        <v>13236</v>
      </c>
      <c r="F2344" s="28" t="s">
        <v>21</v>
      </c>
      <c r="G2344" s="28" t="s">
        <v>149</v>
      </c>
      <c r="H2344" s="28" t="s">
        <v>9633</v>
      </c>
      <c r="I2344" s="28" t="s">
        <v>13250</v>
      </c>
      <c r="J2344" s="28" t="s">
        <v>149</v>
      </c>
      <c r="K2344" s="28" t="s">
        <v>9722</v>
      </c>
      <c r="L2344" s="28" t="s">
        <v>9636</v>
      </c>
      <c r="M2344" s="28" t="s">
        <v>13251</v>
      </c>
      <c r="N2344" s="28" t="s">
        <v>9638</v>
      </c>
      <c r="O2344" s="28" t="s">
        <v>9639</v>
      </c>
      <c r="P2344" s="28" t="s">
        <v>13239</v>
      </c>
    </row>
    <row r="2345" spans="1:16" x14ac:dyDescent="0.25">
      <c r="A2345" s="28" t="s">
        <v>13252</v>
      </c>
      <c r="B2345" s="28" t="s">
        <v>13253</v>
      </c>
      <c r="C2345" s="28" t="s">
        <v>132</v>
      </c>
      <c r="D2345" s="28" t="s">
        <v>1204</v>
      </c>
      <c r="E2345" s="28" t="s">
        <v>13254</v>
      </c>
      <c r="F2345" s="28" t="s">
        <v>21</v>
      </c>
      <c r="G2345" s="28" t="s">
        <v>149</v>
      </c>
      <c r="H2345" s="28" t="s">
        <v>9633</v>
      </c>
      <c r="I2345" s="28" t="s">
        <v>13255</v>
      </c>
      <c r="J2345" s="28" t="s">
        <v>149</v>
      </c>
      <c r="K2345" s="28" t="s">
        <v>9722</v>
      </c>
      <c r="L2345" s="28" t="s">
        <v>9636</v>
      </c>
      <c r="M2345" s="28" t="s">
        <v>13256</v>
      </c>
      <c r="N2345" s="28" t="s">
        <v>9638</v>
      </c>
      <c r="O2345" s="28" t="s">
        <v>9639</v>
      </c>
      <c r="P2345" s="28" t="s">
        <v>13257</v>
      </c>
    </row>
    <row r="2346" spans="1:16" x14ac:dyDescent="0.25">
      <c r="A2346" s="28" t="s">
        <v>13258</v>
      </c>
      <c r="B2346" s="28" t="s">
        <v>13259</v>
      </c>
      <c r="C2346" s="28" t="s">
        <v>132</v>
      </c>
      <c r="D2346" s="28" t="s">
        <v>1204</v>
      </c>
      <c r="E2346" s="28" t="s">
        <v>13260</v>
      </c>
      <c r="F2346" s="28" t="s">
        <v>21</v>
      </c>
      <c r="G2346" s="28" t="s">
        <v>135</v>
      </c>
      <c r="H2346" s="28" t="s">
        <v>10259</v>
      </c>
      <c r="I2346" s="28" t="s">
        <v>13261</v>
      </c>
      <c r="J2346" s="28" t="s">
        <v>135</v>
      </c>
      <c r="K2346" s="28" t="s">
        <v>10551</v>
      </c>
      <c r="L2346" s="28" t="s">
        <v>10262</v>
      </c>
      <c r="M2346" s="28" t="s">
        <v>13262</v>
      </c>
      <c r="N2346" s="28" t="s">
        <v>10264</v>
      </c>
      <c r="O2346" s="28" t="s">
        <v>10265</v>
      </c>
      <c r="P2346" s="28" t="s">
        <v>10266</v>
      </c>
    </row>
    <row r="2347" spans="1:16" x14ac:dyDescent="0.25">
      <c r="A2347" s="28" t="s">
        <v>13263</v>
      </c>
      <c r="B2347" s="28" t="s">
        <v>13264</v>
      </c>
      <c r="C2347" s="28" t="s">
        <v>132</v>
      </c>
      <c r="D2347" s="28" t="s">
        <v>1204</v>
      </c>
      <c r="E2347" s="28" t="s">
        <v>13265</v>
      </c>
      <c r="F2347" s="28" t="s">
        <v>21</v>
      </c>
      <c r="G2347" s="28" t="s">
        <v>135</v>
      </c>
      <c r="H2347" s="28" t="s">
        <v>10259</v>
      </c>
      <c r="I2347" s="28" t="s">
        <v>13266</v>
      </c>
      <c r="J2347" s="28" t="s">
        <v>135</v>
      </c>
      <c r="K2347" s="28" t="s">
        <v>10551</v>
      </c>
      <c r="L2347" s="28" t="s">
        <v>10262</v>
      </c>
      <c r="M2347" s="28" t="s">
        <v>13267</v>
      </c>
      <c r="N2347" s="28" t="s">
        <v>10264</v>
      </c>
      <c r="O2347" s="28" t="s">
        <v>10265</v>
      </c>
      <c r="P2347" s="28" t="s">
        <v>10266</v>
      </c>
    </row>
    <row r="2348" spans="1:16" x14ac:dyDescent="0.25">
      <c r="A2348" s="28" t="s">
        <v>13268</v>
      </c>
      <c r="B2348" s="28" t="s">
        <v>13269</v>
      </c>
      <c r="C2348" s="28" t="s">
        <v>132</v>
      </c>
      <c r="D2348" s="28" t="s">
        <v>1204</v>
      </c>
      <c r="E2348" s="28" t="s">
        <v>13270</v>
      </c>
      <c r="F2348" s="28" t="s">
        <v>21</v>
      </c>
      <c r="G2348" s="28" t="s">
        <v>135</v>
      </c>
      <c r="H2348" s="28" t="s">
        <v>10259</v>
      </c>
      <c r="I2348" s="28" t="s">
        <v>13271</v>
      </c>
      <c r="J2348" s="28" t="s">
        <v>135</v>
      </c>
      <c r="K2348" s="28" t="s">
        <v>10551</v>
      </c>
      <c r="L2348" s="28" t="s">
        <v>10262</v>
      </c>
      <c r="M2348" s="28" t="s">
        <v>13272</v>
      </c>
      <c r="N2348" s="28" t="s">
        <v>10264</v>
      </c>
      <c r="O2348" s="28" t="s">
        <v>10265</v>
      </c>
      <c r="P2348" s="28" t="s">
        <v>10266</v>
      </c>
    </row>
    <row r="2349" spans="1:16" x14ac:dyDescent="0.25">
      <c r="A2349" s="28" t="s">
        <v>13273</v>
      </c>
      <c r="B2349" s="28" t="s">
        <v>13274</v>
      </c>
      <c r="C2349" s="28" t="s">
        <v>132</v>
      </c>
      <c r="D2349" s="28" t="s">
        <v>1204</v>
      </c>
      <c r="E2349" s="28" t="s">
        <v>13275</v>
      </c>
      <c r="F2349" s="28" t="s">
        <v>21</v>
      </c>
      <c r="G2349" s="28" t="s">
        <v>135</v>
      </c>
      <c r="H2349" s="28" t="s">
        <v>10259</v>
      </c>
      <c r="I2349" s="28" t="s">
        <v>13276</v>
      </c>
      <c r="J2349" s="28" t="s">
        <v>135</v>
      </c>
      <c r="K2349" s="28" t="s">
        <v>10551</v>
      </c>
      <c r="L2349" s="28" t="s">
        <v>10262</v>
      </c>
      <c r="M2349" s="28" t="s">
        <v>13277</v>
      </c>
      <c r="N2349" s="28" t="s">
        <v>10264</v>
      </c>
      <c r="O2349" s="28" t="s">
        <v>10265</v>
      </c>
      <c r="P2349" s="28" t="s">
        <v>10266</v>
      </c>
    </row>
    <row r="2350" spans="1:16" x14ac:dyDescent="0.25">
      <c r="A2350" s="28" t="s">
        <v>13278</v>
      </c>
      <c r="B2350" s="28" t="s">
        <v>13279</v>
      </c>
      <c r="C2350" s="28" t="s">
        <v>132</v>
      </c>
      <c r="D2350" s="28" t="s">
        <v>1204</v>
      </c>
      <c r="E2350" s="28" t="s">
        <v>13280</v>
      </c>
      <c r="F2350" s="28" t="s">
        <v>21</v>
      </c>
      <c r="G2350" s="28" t="s">
        <v>135</v>
      </c>
      <c r="H2350" s="28" t="s">
        <v>10259</v>
      </c>
      <c r="I2350" s="28" t="s">
        <v>13281</v>
      </c>
      <c r="J2350" s="28" t="s">
        <v>135</v>
      </c>
      <c r="K2350" s="28" t="s">
        <v>10551</v>
      </c>
      <c r="L2350" s="28" t="s">
        <v>10262</v>
      </c>
      <c r="M2350" s="28" t="s">
        <v>13282</v>
      </c>
      <c r="N2350" s="28" t="s">
        <v>10264</v>
      </c>
      <c r="O2350" s="28" t="s">
        <v>10265</v>
      </c>
      <c r="P2350" s="28" t="s">
        <v>10266</v>
      </c>
    </row>
    <row r="2351" spans="1:16" x14ac:dyDescent="0.25">
      <c r="A2351" s="28" t="s">
        <v>13283</v>
      </c>
      <c r="B2351" s="28" t="s">
        <v>13284</v>
      </c>
      <c r="C2351" s="28" t="s">
        <v>132</v>
      </c>
      <c r="D2351" s="28" t="s">
        <v>1204</v>
      </c>
      <c r="E2351" s="28" t="s">
        <v>13285</v>
      </c>
      <c r="F2351" s="28" t="s">
        <v>21</v>
      </c>
      <c r="G2351" s="28" t="s">
        <v>207</v>
      </c>
      <c r="H2351" s="28" t="s">
        <v>9633</v>
      </c>
      <c r="I2351" s="28" t="s">
        <v>13286</v>
      </c>
      <c r="J2351" s="28" t="s">
        <v>207</v>
      </c>
      <c r="K2351" s="28" t="s">
        <v>9635</v>
      </c>
      <c r="L2351" s="28" t="s">
        <v>9636</v>
      </c>
      <c r="M2351" s="28" t="s">
        <v>13287</v>
      </c>
      <c r="N2351" s="28" t="s">
        <v>9638</v>
      </c>
      <c r="O2351" s="28" t="s">
        <v>9639</v>
      </c>
      <c r="P2351" s="28" t="s">
        <v>13288</v>
      </c>
    </row>
    <row r="2352" spans="1:16" x14ac:dyDescent="0.25">
      <c r="A2352" s="28" t="s">
        <v>13289</v>
      </c>
      <c r="B2352" s="28" t="s">
        <v>13290</v>
      </c>
      <c r="C2352" s="28" t="s">
        <v>132</v>
      </c>
      <c r="D2352" s="28" t="s">
        <v>1204</v>
      </c>
      <c r="E2352" s="28" t="s">
        <v>13291</v>
      </c>
      <c r="F2352" s="28" t="s">
        <v>21</v>
      </c>
      <c r="G2352" s="28" t="s">
        <v>207</v>
      </c>
      <c r="H2352" s="28" t="s">
        <v>9633</v>
      </c>
      <c r="I2352" s="28" t="s">
        <v>13292</v>
      </c>
      <c r="J2352" s="28" t="s">
        <v>207</v>
      </c>
      <c r="K2352" s="28" t="s">
        <v>9635</v>
      </c>
      <c r="L2352" s="28" t="s">
        <v>9636</v>
      </c>
      <c r="M2352" s="28" t="s">
        <v>13293</v>
      </c>
      <c r="N2352" s="28" t="s">
        <v>9638</v>
      </c>
      <c r="O2352" s="28" t="s">
        <v>9639</v>
      </c>
      <c r="P2352" s="28" t="s">
        <v>13294</v>
      </c>
    </row>
    <row r="2353" spans="1:16" x14ac:dyDescent="0.25">
      <c r="A2353" s="28" t="s">
        <v>13295</v>
      </c>
      <c r="B2353" s="28" t="s">
        <v>13296</v>
      </c>
      <c r="C2353" s="28" t="s">
        <v>132</v>
      </c>
      <c r="D2353" s="28" t="s">
        <v>1204</v>
      </c>
      <c r="E2353" s="28" t="s">
        <v>13297</v>
      </c>
      <c r="F2353" s="28" t="s">
        <v>21</v>
      </c>
      <c r="G2353" s="28" t="s">
        <v>207</v>
      </c>
      <c r="H2353" s="28" t="s">
        <v>9633</v>
      </c>
      <c r="I2353" s="28" t="s">
        <v>13298</v>
      </c>
      <c r="J2353" s="28" t="s">
        <v>207</v>
      </c>
      <c r="K2353" s="28" t="s">
        <v>9635</v>
      </c>
      <c r="L2353" s="28" t="s">
        <v>9636</v>
      </c>
      <c r="M2353" s="28" t="s">
        <v>13299</v>
      </c>
      <c r="N2353" s="28" t="s">
        <v>9638</v>
      </c>
      <c r="O2353" s="28" t="s">
        <v>9639</v>
      </c>
      <c r="P2353" s="28" t="s">
        <v>13300</v>
      </c>
    </row>
    <row r="2354" spans="1:16" x14ac:dyDescent="0.25">
      <c r="A2354" s="28" t="s">
        <v>13301</v>
      </c>
      <c r="B2354" s="28" t="s">
        <v>13302</v>
      </c>
      <c r="C2354" s="28" t="s">
        <v>132</v>
      </c>
      <c r="D2354" s="28" t="s">
        <v>1204</v>
      </c>
      <c r="E2354" s="28" t="s">
        <v>13303</v>
      </c>
      <c r="F2354" s="28" t="s">
        <v>21</v>
      </c>
      <c r="G2354" s="28" t="s">
        <v>207</v>
      </c>
      <c r="H2354" s="28" t="s">
        <v>9633</v>
      </c>
      <c r="I2354" s="28" t="s">
        <v>13304</v>
      </c>
      <c r="J2354" s="28" t="s">
        <v>207</v>
      </c>
      <c r="K2354" s="28" t="s">
        <v>9635</v>
      </c>
      <c r="L2354" s="28" t="s">
        <v>9636</v>
      </c>
      <c r="M2354" s="28" t="s">
        <v>13305</v>
      </c>
      <c r="N2354" s="28" t="s">
        <v>9638</v>
      </c>
      <c r="O2354" s="28" t="s">
        <v>9639</v>
      </c>
      <c r="P2354" s="28" t="s">
        <v>13306</v>
      </c>
    </row>
    <row r="2355" spans="1:16" x14ac:dyDescent="0.25">
      <c r="A2355" s="28" t="s">
        <v>13307</v>
      </c>
      <c r="B2355" s="28" t="s">
        <v>13308</v>
      </c>
      <c r="C2355" s="28" t="s">
        <v>132</v>
      </c>
      <c r="D2355" s="28" t="s">
        <v>1204</v>
      </c>
      <c r="E2355" s="28" t="s">
        <v>13309</v>
      </c>
      <c r="F2355" s="28" t="s">
        <v>21</v>
      </c>
      <c r="G2355" s="28" t="s">
        <v>207</v>
      </c>
      <c r="H2355" s="28" t="s">
        <v>9633</v>
      </c>
      <c r="I2355" s="28" t="s">
        <v>13310</v>
      </c>
      <c r="J2355" s="28" t="s">
        <v>207</v>
      </c>
      <c r="K2355" s="28" t="s">
        <v>9635</v>
      </c>
      <c r="L2355" s="28" t="s">
        <v>9636</v>
      </c>
      <c r="M2355" s="28" t="s">
        <v>13311</v>
      </c>
      <c r="N2355" s="28" t="s">
        <v>9638</v>
      </c>
      <c r="O2355" s="28" t="s">
        <v>9639</v>
      </c>
      <c r="P2355" s="28" t="s">
        <v>13312</v>
      </c>
    </row>
    <row r="2356" spans="1:16" x14ac:dyDescent="0.25">
      <c r="A2356" s="28" t="s">
        <v>13313</v>
      </c>
      <c r="B2356" s="28" t="s">
        <v>13314</v>
      </c>
      <c r="C2356" s="28" t="s">
        <v>132</v>
      </c>
      <c r="D2356" s="28" t="s">
        <v>1204</v>
      </c>
      <c r="E2356" s="28" t="s">
        <v>13315</v>
      </c>
      <c r="F2356" s="28" t="s">
        <v>21</v>
      </c>
      <c r="G2356" s="28" t="s">
        <v>207</v>
      </c>
      <c r="H2356" s="28" t="s">
        <v>9633</v>
      </c>
      <c r="I2356" s="28" t="s">
        <v>13316</v>
      </c>
      <c r="J2356" s="28" t="s">
        <v>207</v>
      </c>
      <c r="K2356" s="28" t="s">
        <v>9635</v>
      </c>
      <c r="L2356" s="28" t="s">
        <v>9636</v>
      </c>
      <c r="M2356" s="28" t="s">
        <v>13317</v>
      </c>
      <c r="N2356" s="28" t="s">
        <v>9638</v>
      </c>
      <c r="O2356" s="28" t="s">
        <v>9639</v>
      </c>
      <c r="P2356" s="28" t="s">
        <v>13318</v>
      </c>
    </row>
    <row r="2357" spans="1:16" x14ac:dyDescent="0.25">
      <c r="A2357" s="28" t="s">
        <v>13319</v>
      </c>
      <c r="B2357" s="28" t="s">
        <v>13320</v>
      </c>
      <c r="C2357" s="28" t="s">
        <v>132</v>
      </c>
      <c r="D2357" s="28" t="s">
        <v>1204</v>
      </c>
      <c r="E2357" s="28" t="s">
        <v>13321</v>
      </c>
      <c r="F2357" s="28" t="s">
        <v>21</v>
      </c>
      <c r="G2357" s="28" t="s">
        <v>207</v>
      </c>
      <c r="H2357" s="28" t="s">
        <v>9633</v>
      </c>
      <c r="I2357" s="28" t="s">
        <v>13322</v>
      </c>
      <c r="J2357" s="28" t="s">
        <v>207</v>
      </c>
      <c r="K2357" s="28" t="s">
        <v>9635</v>
      </c>
      <c r="L2357" s="28" t="s">
        <v>9636</v>
      </c>
      <c r="M2357" s="28" t="s">
        <v>13323</v>
      </c>
      <c r="N2357" s="28" t="s">
        <v>9638</v>
      </c>
      <c r="O2357" s="28" t="s">
        <v>9639</v>
      </c>
      <c r="P2357" s="28" t="s">
        <v>13324</v>
      </c>
    </row>
    <row r="2358" spans="1:16" x14ac:dyDescent="0.25">
      <c r="A2358" s="28" t="s">
        <v>13325</v>
      </c>
      <c r="B2358" s="28" t="s">
        <v>13326</v>
      </c>
      <c r="C2358" s="28" t="s">
        <v>132</v>
      </c>
      <c r="D2358" s="28" t="s">
        <v>1204</v>
      </c>
      <c r="E2358" s="28" t="s">
        <v>13327</v>
      </c>
      <c r="F2358" s="28" t="s">
        <v>21</v>
      </c>
      <c r="G2358" s="28" t="s">
        <v>207</v>
      </c>
      <c r="H2358" s="28" t="s">
        <v>9633</v>
      </c>
      <c r="I2358" s="28" t="s">
        <v>13328</v>
      </c>
      <c r="J2358" s="28" t="s">
        <v>207</v>
      </c>
      <c r="K2358" s="28" t="s">
        <v>9635</v>
      </c>
      <c r="L2358" s="28" t="s">
        <v>9636</v>
      </c>
      <c r="M2358" s="28" t="s">
        <v>13329</v>
      </c>
      <c r="N2358" s="28" t="s">
        <v>9638</v>
      </c>
      <c r="O2358" s="28" t="s">
        <v>9639</v>
      </c>
      <c r="P2358" s="28" t="s">
        <v>13330</v>
      </c>
    </row>
    <row r="2359" spans="1:16" x14ac:dyDescent="0.25">
      <c r="A2359" s="28" t="s">
        <v>13331</v>
      </c>
      <c r="B2359" s="28" t="s">
        <v>13332</v>
      </c>
      <c r="C2359" s="28" t="s">
        <v>132</v>
      </c>
      <c r="D2359" s="28" t="s">
        <v>1204</v>
      </c>
      <c r="E2359" s="28" t="s">
        <v>13333</v>
      </c>
      <c r="F2359" s="28" t="s">
        <v>21</v>
      </c>
      <c r="G2359" s="28" t="s">
        <v>207</v>
      </c>
      <c r="H2359" s="28" t="s">
        <v>9633</v>
      </c>
      <c r="I2359" s="28" t="s">
        <v>13334</v>
      </c>
      <c r="J2359" s="28" t="s">
        <v>207</v>
      </c>
      <c r="K2359" s="28" t="s">
        <v>9635</v>
      </c>
      <c r="L2359" s="28" t="s">
        <v>9636</v>
      </c>
      <c r="M2359" s="28" t="s">
        <v>13335</v>
      </c>
      <c r="N2359" s="28" t="s">
        <v>9638</v>
      </c>
      <c r="O2359" s="28" t="s">
        <v>9639</v>
      </c>
      <c r="P2359" s="28" t="s">
        <v>13336</v>
      </c>
    </row>
    <row r="2360" spans="1:16" x14ac:dyDescent="0.25">
      <c r="A2360" s="28" t="s">
        <v>13337</v>
      </c>
      <c r="B2360" s="28" t="s">
        <v>13338</v>
      </c>
      <c r="C2360" s="28" t="s">
        <v>132</v>
      </c>
      <c r="D2360" s="28" t="s">
        <v>1204</v>
      </c>
      <c r="E2360" s="28" t="s">
        <v>13339</v>
      </c>
      <c r="F2360" s="28" t="s">
        <v>21</v>
      </c>
      <c r="G2360" s="28" t="s">
        <v>207</v>
      </c>
      <c r="H2360" s="28" t="s">
        <v>9633</v>
      </c>
      <c r="I2360" s="28" t="s">
        <v>13340</v>
      </c>
      <c r="J2360" s="28" t="s">
        <v>207</v>
      </c>
      <c r="K2360" s="28" t="s">
        <v>9635</v>
      </c>
      <c r="L2360" s="28" t="s">
        <v>9636</v>
      </c>
      <c r="M2360" s="28" t="s">
        <v>13341</v>
      </c>
      <c r="N2360" s="28" t="s">
        <v>9638</v>
      </c>
      <c r="O2360" s="28" t="s">
        <v>9639</v>
      </c>
      <c r="P2360" s="28" t="s">
        <v>13342</v>
      </c>
    </row>
    <row r="2361" spans="1:16" x14ac:dyDescent="0.25">
      <c r="A2361" s="28" t="s">
        <v>13343</v>
      </c>
      <c r="B2361" s="28" t="s">
        <v>13344</v>
      </c>
      <c r="C2361" s="28" t="s">
        <v>132</v>
      </c>
      <c r="D2361" s="28" t="s">
        <v>1204</v>
      </c>
      <c r="E2361" s="28" t="s">
        <v>13345</v>
      </c>
      <c r="F2361" s="28" t="s">
        <v>21</v>
      </c>
      <c r="G2361" s="28" t="s">
        <v>207</v>
      </c>
      <c r="H2361" s="28" t="s">
        <v>9633</v>
      </c>
      <c r="I2361" s="28" t="s">
        <v>13346</v>
      </c>
      <c r="J2361" s="28" t="s">
        <v>207</v>
      </c>
      <c r="K2361" s="28" t="s">
        <v>9635</v>
      </c>
      <c r="L2361" s="28" t="s">
        <v>9636</v>
      </c>
      <c r="M2361" s="28" t="s">
        <v>13347</v>
      </c>
      <c r="N2361" s="28" t="s">
        <v>9638</v>
      </c>
      <c r="O2361" s="28" t="s">
        <v>9639</v>
      </c>
      <c r="P2361" s="28" t="s">
        <v>13348</v>
      </c>
    </row>
    <row r="2362" spans="1:16" x14ac:dyDescent="0.25">
      <c r="A2362" s="28" t="s">
        <v>13349</v>
      </c>
      <c r="B2362" s="28" t="s">
        <v>13350</v>
      </c>
      <c r="C2362" s="28" t="s">
        <v>132</v>
      </c>
      <c r="D2362" s="28" t="s">
        <v>1204</v>
      </c>
      <c r="E2362" s="28" t="s">
        <v>13351</v>
      </c>
      <c r="F2362" s="28" t="s">
        <v>21</v>
      </c>
      <c r="G2362" s="28" t="s">
        <v>207</v>
      </c>
      <c r="H2362" s="28" t="s">
        <v>9633</v>
      </c>
      <c r="I2362" s="28" t="s">
        <v>13352</v>
      </c>
      <c r="J2362" s="28" t="s">
        <v>207</v>
      </c>
      <c r="K2362" s="28" t="s">
        <v>9635</v>
      </c>
      <c r="L2362" s="28" t="s">
        <v>9636</v>
      </c>
      <c r="M2362" s="28" t="s">
        <v>13353</v>
      </c>
      <c r="N2362" s="28" t="s">
        <v>9638</v>
      </c>
      <c r="O2362" s="28" t="s">
        <v>9639</v>
      </c>
      <c r="P2362" s="28" t="s">
        <v>13354</v>
      </c>
    </row>
    <row r="2363" spans="1:16" x14ac:dyDescent="0.25">
      <c r="A2363" s="28" t="s">
        <v>13355</v>
      </c>
      <c r="B2363" s="28" t="s">
        <v>13356</v>
      </c>
      <c r="C2363" s="28" t="s">
        <v>132</v>
      </c>
      <c r="D2363" s="28" t="s">
        <v>1204</v>
      </c>
      <c r="E2363" s="28" t="s">
        <v>13357</v>
      </c>
      <c r="F2363" s="28" t="s">
        <v>21</v>
      </c>
      <c r="G2363" s="28" t="s">
        <v>135</v>
      </c>
      <c r="H2363" s="28" t="s">
        <v>10259</v>
      </c>
      <c r="I2363" s="28" t="s">
        <v>13358</v>
      </c>
      <c r="J2363" s="28" t="s">
        <v>135</v>
      </c>
      <c r="K2363" s="28" t="s">
        <v>10551</v>
      </c>
      <c r="L2363" s="28" t="s">
        <v>10262</v>
      </c>
      <c r="M2363" s="28" t="s">
        <v>13359</v>
      </c>
      <c r="N2363" s="28" t="s">
        <v>10264</v>
      </c>
      <c r="O2363" s="28" t="s">
        <v>10265</v>
      </c>
      <c r="P2363" s="28" t="s">
        <v>10266</v>
      </c>
    </row>
    <row r="2364" spans="1:16" x14ac:dyDescent="0.25">
      <c r="A2364" s="28" t="s">
        <v>13360</v>
      </c>
      <c r="B2364" s="28" t="s">
        <v>13361</v>
      </c>
      <c r="C2364" s="28" t="s">
        <v>132</v>
      </c>
      <c r="D2364" s="28" t="s">
        <v>1204</v>
      </c>
      <c r="E2364" s="28" t="s">
        <v>13362</v>
      </c>
      <c r="F2364" s="28" t="s">
        <v>21</v>
      </c>
      <c r="G2364" s="28" t="s">
        <v>135</v>
      </c>
      <c r="H2364" s="28" t="s">
        <v>10259</v>
      </c>
      <c r="I2364" s="28" t="s">
        <v>13363</v>
      </c>
      <c r="J2364" s="28" t="s">
        <v>135</v>
      </c>
      <c r="K2364" s="28" t="s">
        <v>10551</v>
      </c>
      <c r="L2364" s="28" t="s">
        <v>10262</v>
      </c>
      <c r="M2364" s="28" t="s">
        <v>13364</v>
      </c>
      <c r="N2364" s="28" t="s">
        <v>10264</v>
      </c>
      <c r="O2364" s="28" t="s">
        <v>10265</v>
      </c>
      <c r="P2364" s="28" t="s">
        <v>10266</v>
      </c>
    </row>
    <row r="2365" spans="1:16" x14ac:dyDescent="0.25">
      <c r="A2365" s="28" t="s">
        <v>13365</v>
      </c>
      <c r="B2365" s="28" t="s">
        <v>13366</v>
      </c>
      <c r="C2365" s="28" t="s">
        <v>132</v>
      </c>
      <c r="D2365" s="28" t="s">
        <v>1204</v>
      </c>
      <c r="E2365" s="28" t="s">
        <v>13367</v>
      </c>
      <c r="F2365" s="28" t="s">
        <v>21</v>
      </c>
      <c r="G2365" s="28" t="s">
        <v>135</v>
      </c>
      <c r="H2365" s="28" t="s">
        <v>10259</v>
      </c>
      <c r="I2365" s="28" t="s">
        <v>13368</v>
      </c>
      <c r="J2365" s="28" t="s">
        <v>135</v>
      </c>
      <c r="K2365" s="28" t="s">
        <v>10551</v>
      </c>
      <c r="L2365" s="28" t="s">
        <v>10262</v>
      </c>
      <c r="M2365" s="28" t="s">
        <v>13369</v>
      </c>
      <c r="N2365" s="28" t="s">
        <v>10264</v>
      </c>
      <c r="O2365" s="28" t="s">
        <v>10265</v>
      </c>
      <c r="P2365" s="28" t="s">
        <v>10266</v>
      </c>
    </row>
    <row r="2366" spans="1:16" x14ac:dyDescent="0.25">
      <c r="A2366" s="28" t="s">
        <v>13370</v>
      </c>
      <c r="B2366" s="28" t="s">
        <v>13371</v>
      </c>
      <c r="C2366" s="28" t="s">
        <v>132</v>
      </c>
      <c r="D2366" s="28" t="s">
        <v>1204</v>
      </c>
      <c r="E2366" s="28" t="s">
        <v>13372</v>
      </c>
      <c r="F2366" s="28" t="s">
        <v>21</v>
      </c>
      <c r="G2366" s="28" t="s">
        <v>135</v>
      </c>
      <c r="H2366" s="28" t="s">
        <v>10259</v>
      </c>
      <c r="I2366" s="28" t="s">
        <v>13373</v>
      </c>
      <c r="J2366" s="28" t="s">
        <v>135</v>
      </c>
      <c r="K2366" s="28" t="s">
        <v>10551</v>
      </c>
      <c r="L2366" s="28" t="s">
        <v>10262</v>
      </c>
      <c r="M2366" s="28" t="s">
        <v>13374</v>
      </c>
      <c r="N2366" s="28" t="s">
        <v>10264</v>
      </c>
      <c r="O2366" s="28" t="s">
        <v>10265</v>
      </c>
      <c r="P2366" s="28" t="s">
        <v>10266</v>
      </c>
    </row>
    <row r="2367" spans="1:16" x14ac:dyDescent="0.25">
      <c r="A2367" s="28" t="s">
        <v>13375</v>
      </c>
      <c r="B2367" s="28" t="s">
        <v>13376</v>
      </c>
      <c r="C2367" s="28" t="s">
        <v>132</v>
      </c>
      <c r="D2367" s="28" t="s">
        <v>1204</v>
      </c>
      <c r="E2367" s="28" t="s">
        <v>13377</v>
      </c>
      <c r="F2367" s="28" t="s">
        <v>21</v>
      </c>
      <c r="G2367" s="28" t="s">
        <v>135</v>
      </c>
      <c r="H2367" s="28" t="s">
        <v>10259</v>
      </c>
      <c r="I2367" s="28" t="s">
        <v>13378</v>
      </c>
      <c r="J2367" s="28" t="s">
        <v>135</v>
      </c>
      <c r="K2367" s="28" t="s">
        <v>10551</v>
      </c>
      <c r="L2367" s="28" t="s">
        <v>10262</v>
      </c>
      <c r="M2367" s="28" t="s">
        <v>13379</v>
      </c>
      <c r="N2367" s="28" t="s">
        <v>10264</v>
      </c>
      <c r="O2367" s="28" t="s">
        <v>10265</v>
      </c>
      <c r="P2367" s="28" t="s">
        <v>10266</v>
      </c>
    </row>
    <row r="2368" spans="1:16" x14ac:dyDescent="0.25">
      <c r="A2368" s="28" t="s">
        <v>13380</v>
      </c>
      <c r="B2368" s="28" t="s">
        <v>13381</v>
      </c>
      <c r="C2368" s="28" t="s">
        <v>132</v>
      </c>
      <c r="D2368" s="28" t="s">
        <v>1204</v>
      </c>
      <c r="E2368" s="28" t="s">
        <v>13382</v>
      </c>
      <c r="F2368" s="28" t="s">
        <v>21</v>
      </c>
      <c r="G2368" s="28" t="s">
        <v>207</v>
      </c>
      <c r="H2368" s="28" t="s">
        <v>9633</v>
      </c>
      <c r="I2368" s="28" t="s">
        <v>13383</v>
      </c>
      <c r="J2368" s="28" t="s">
        <v>207</v>
      </c>
      <c r="K2368" s="28" t="s">
        <v>9635</v>
      </c>
      <c r="L2368" s="28" t="s">
        <v>9636</v>
      </c>
      <c r="M2368" s="28" t="s">
        <v>13384</v>
      </c>
      <c r="N2368" s="28" t="s">
        <v>9638</v>
      </c>
      <c r="O2368" s="28" t="s">
        <v>9639</v>
      </c>
      <c r="P2368" s="28" t="s">
        <v>13385</v>
      </c>
    </row>
    <row r="2369" spans="1:16" x14ac:dyDescent="0.25">
      <c r="A2369" s="28" t="s">
        <v>13386</v>
      </c>
      <c r="B2369" s="28" t="s">
        <v>13387</v>
      </c>
      <c r="C2369" s="28" t="s">
        <v>132</v>
      </c>
      <c r="D2369" s="28" t="s">
        <v>1204</v>
      </c>
      <c r="E2369" s="28" t="s">
        <v>13388</v>
      </c>
      <c r="F2369" s="28" t="s">
        <v>21</v>
      </c>
      <c r="G2369" s="28" t="s">
        <v>207</v>
      </c>
      <c r="H2369" s="28" t="s">
        <v>9633</v>
      </c>
      <c r="I2369" s="28" t="s">
        <v>13389</v>
      </c>
      <c r="J2369" s="28" t="s">
        <v>207</v>
      </c>
      <c r="K2369" s="28" t="s">
        <v>9635</v>
      </c>
      <c r="L2369" s="28" t="s">
        <v>9636</v>
      </c>
      <c r="M2369" s="28" t="s">
        <v>13390</v>
      </c>
      <c r="N2369" s="28" t="s">
        <v>9638</v>
      </c>
      <c r="O2369" s="28" t="s">
        <v>9639</v>
      </c>
      <c r="P2369" s="28" t="s">
        <v>13391</v>
      </c>
    </row>
    <row r="2370" spans="1:16" x14ac:dyDescent="0.25">
      <c r="A2370" s="28" t="s">
        <v>13392</v>
      </c>
      <c r="B2370" s="28" t="s">
        <v>13393</v>
      </c>
      <c r="C2370" s="28" t="s">
        <v>132</v>
      </c>
      <c r="D2370" s="28" t="s">
        <v>1204</v>
      </c>
      <c r="E2370" s="28" t="s">
        <v>13394</v>
      </c>
      <c r="F2370" s="28" t="s">
        <v>21</v>
      </c>
      <c r="G2370" s="28" t="s">
        <v>149</v>
      </c>
      <c r="H2370" s="28" t="s">
        <v>9633</v>
      </c>
      <c r="I2370" s="28" t="s">
        <v>13395</v>
      </c>
      <c r="J2370" s="28" t="s">
        <v>149</v>
      </c>
      <c r="K2370" s="28" t="s">
        <v>9722</v>
      </c>
      <c r="L2370" s="28" t="s">
        <v>9636</v>
      </c>
      <c r="M2370" s="28" t="s">
        <v>13396</v>
      </c>
      <c r="N2370" s="28" t="s">
        <v>9638</v>
      </c>
      <c r="O2370" s="28" t="s">
        <v>9639</v>
      </c>
      <c r="P2370" s="28" t="s">
        <v>13397</v>
      </c>
    </row>
    <row r="2371" spans="1:16" x14ac:dyDescent="0.25">
      <c r="A2371" s="28" t="s">
        <v>13398</v>
      </c>
      <c r="B2371" s="28" t="s">
        <v>13399</v>
      </c>
      <c r="C2371" s="28" t="s">
        <v>132</v>
      </c>
      <c r="D2371" s="28" t="s">
        <v>1204</v>
      </c>
      <c r="E2371" s="28" t="s">
        <v>13400</v>
      </c>
      <c r="F2371" s="28" t="s">
        <v>21</v>
      </c>
      <c r="G2371" s="28" t="s">
        <v>149</v>
      </c>
      <c r="H2371" s="28" t="s">
        <v>9633</v>
      </c>
      <c r="I2371" s="28" t="s">
        <v>13401</v>
      </c>
      <c r="J2371" s="28" t="s">
        <v>149</v>
      </c>
      <c r="K2371" s="28" t="s">
        <v>9722</v>
      </c>
      <c r="L2371" s="28" t="s">
        <v>9636</v>
      </c>
      <c r="M2371" s="28" t="s">
        <v>13402</v>
      </c>
      <c r="N2371" s="28" t="s">
        <v>9638</v>
      </c>
      <c r="O2371" s="28" t="s">
        <v>9639</v>
      </c>
      <c r="P2371" s="28" t="s">
        <v>13403</v>
      </c>
    </row>
    <row r="2372" spans="1:16" x14ac:dyDescent="0.25">
      <c r="A2372" s="28" t="s">
        <v>13404</v>
      </c>
      <c r="B2372" s="28" t="s">
        <v>13405</v>
      </c>
      <c r="C2372" s="28" t="s">
        <v>132</v>
      </c>
      <c r="D2372" s="28" t="s">
        <v>1204</v>
      </c>
      <c r="E2372" s="28" t="s">
        <v>1254</v>
      </c>
      <c r="F2372" s="28" t="s">
        <v>21</v>
      </c>
      <c r="G2372" s="28" t="s">
        <v>207</v>
      </c>
      <c r="H2372" s="28" t="s">
        <v>9633</v>
      </c>
      <c r="I2372" s="28" t="s">
        <v>13406</v>
      </c>
      <c r="J2372" s="28" t="s">
        <v>207</v>
      </c>
      <c r="K2372" s="28" t="s">
        <v>9635</v>
      </c>
      <c r="L2372" s="28" t="s">
        <v>9636</v>
      </c>
      <c r="M2372" s="28" t="s">
        <v>13407</v>
      </c>
      <c r="N2372" s="28" t="s">
        <v>9638</v>
      </c>
      <c r="O2372" s="28" t="s">
        <v>9639</v>
      </c>
      <c r="P2372" s="28" t="s">
        <v>13408</v>
      </c>
    </row>
    <row r="2373" spans="1:16" x14ac:dyDescent="0.25">
      <c r="A2373" s="28" t="s">
        <v>13409</v>
      </c>
      <c r="B2373" s="28" t="s">
        <v>13410</v>
      </c>
      <c r="C2373" s="28" t="s">
        <v>132</v>
      </c>
      <c r="D2373" s="28" t="s">
        <v>1204</v>
      </c>
      <c r="E2373" s="28" t="s">
        <v>1254</v>
      </c>
      <c r="F2373" s="28" t="s">
        <v>21</v>
      </c>
      <c r="G2373" s="28" t="s">
        <v>207</v>
      </c>
      <c r="H2373" s="28" t="s">
        <v>9633</v>
      </c>
      <c r="I2373" s="28" t="s">
        <v>13411</v>
      </c>
      <c r="J2373" s="28" t="s">
        <v>207</v>
      </c>
      <c r="K2373" s="28" t="s">
        <v>9635</v>
      </c>
      <c r="L2373" s="28" t="s">
        <v>9636</v>
      </c>
      <c r="M2373" s="28" t="s">
        <v>13412</v>
      </c>
      <c r="N2373" s="28" t="s">
        <v>9638</v>
      </c>
      <c r="O2373" s="28" t="s">
        <v>9639</v>
      </c>
      <c r="P2373" s="28" t="s">
        <v>13408</v>
      </c>
    </row>
    <row r="2374" spans="1:16" x14ac:dyDescent="0.25">
      <c r="A2374" s="28" t="s">
        <v>13413</v>
      </c>
      <c r="B2374" s="28" t="s">
        <v>13414</v>
      </c>
      <c r="C2374" s="28" t="s">
        <v>132</v>
      </c>
      <c r="D2374" s="28" t="s">
        <v>1204</v>
      </c>
      <c r="E2374" s="28" t="s">
        <v>13415</v>
      </c>
      <c r="F2374" s="28" t="s">
        <v>21</v>
      </c>
      <c r="G2374" s="28" t="s">
        <v>207</v>
      </c>
      <c r="H2374" s="28" t="s">
        <v>9633</v>
      </c>
      <c r="I2374" s="28" t="s">
        <v>13416</v>
      </c>
      <c r="J2374" s="28" t="s">
        <v>207</v>
      </c>
      <c r="K2374" s="28" t="s">
        <v>9635</v>
      </c>
      <c r="L2374" s="28" t="s">
        <v>9636</v>
      </c>
      <c r="M2374" s="28" t="s">
        <v>13417</v>
      </c>
      <c r="N2374" s="28" t="s">
        <v>9638</v>
      </c>
      <c r="O2374" s="28" t="s">
        <v>9639</v>
      </c>
      <c r="P2374" s="28" t="s">
        <v>13418</v>
      </c>
    </row>
    <row r="2375" spans="1:16" x14ac:dyDescent="0.25">
      <c r="A2375" s="28" t="s">
        <v>13419</v>
      </c>
      <c r="B2375" s="28" t="s">
        <v>13420</v>
      </c>
      <c r="C2375" s="28" t="s">
        <v>132</v>
      </c>
      <c r="D2375" s="28" t="s">
        <v>1204</v>
      </c>
      <c r="E2375" s="28" t="s">
        <v>1260</v>
      </c>
      <c r="F2375" s="28" t="s">
        <v>21</v>
      </c>
      <c r="G2375" s="28" t="s">
        <v>207</v>
      </c>
      <c r="H2375" s="28" t="s">
        <v>9633</v>
      </c>
      <c r="I2375" s="28" t="s">
        <v>13421</v>
      </c>
      <c r="J2375" s="28" t="s">
        <v>207</v>
      </c>
      <c r="K2375" s="28" t="s">
        <v>9635</v>
      </c>
      <c r="L2375" s="28" t="s">
        <v>9636</v>
      </c>
      <c r="M2375" s="28" t="s">
        <v>13422</v>
      </c>
      <c r="N2375" s="28" t="s">
        <v>9638</v>
      </c>
      <c r="O2375" s="28" t="s">
        <v>9639</v>
      </c>
      <c r="P2375" s="28" t="s">
        <v>13423</v>
      </c>
    </row>
    <row r="2376" spans="1:16" x14ac:dyDescent="0.25">
      <c r="A2376" s="28" t="s">
        <v>13424</v>
      </c>
      <c r="B2376" s="28" t="s">
        <v>13425</v>
      </c>
      <c r="C2376" s="28" t="s">
        <v>132</v>
      </c>
      <c r="D2376" s="28" t="s">
        <v>1204</v>
      </c>
      <c r="E2376" s="28" t="s">
        <v>13426</v>
      </c>
      <c r="F2376" s="28" t="s">
        <v>21</v>
      </c>
      <c r="G2376" s="28" t="s">
        <v>207</v>
      </c>
      <c r="H2376" s="28" t="s">
        <v>9633</v>
      </c>
      <c r="I2376" s="28" t="s">
        <v>13427</v>
      </c>
      <c r="J2376" s="28" t="s">
        <v>207</v>
      </c>
      <c r="K2376" s="28" t="s">
        <v>9635</v>
      </c>
      <c r="L2376" s="28" t="s">
        <v>9636</v>
      </c>
      <c r="M2376" s="28" t="s">
        <v>13428</v>
      </c>
      <c r="N2376" s="28" t="s">
        <v>9638</v>
      </c>
      <c r="O2376" s="28" t="s">
        <v>9639</v>
      </c>
      <c r="P2376" s="28" t="s">
        <v>13429</v>
      </c>
    </row>
    <row r="2377" spans="1:16" x14ac:dyDescent="0.25">
      <c r="A2377" s="28" t="s">
        <v>13430</v>
      </c>
      <c r="B2377" s="28" t="s">
        <v>13431</v>
      </c>
      <c r="C2377" s="28" t="s">
        <v>132</v>
      </c>
      <c r="D2377" s="28" t="s">
        <v>1204</v>
      </c>
      <c r="E2377" s="28" t="s">
        <v>13432</v>
      </c>
      <c r="F2377" s="28" t="s">
        <v>21</v>
      </c>
      <c r="G2377" s="28" t="s">
        <v>149</v>
      </c>
      <c r="H2377" s="28" t="s">
        <v>9633</v>
      </c>
      <c r="I2377" s="28" t="s">
        <v>13433</v>
      </c>
      <c r="J2377" s="28" t="s">
        <v>149</v>
      </c>
      <c r="K2377" s="28" t="s">
        <v>9722</v>
      </c>
      <c r="L2377" s="28" t="s">
        <v>9636</v>
      </c>
      <c r="M2377" s="28" t="s">
        <v>13434</v>
      </c>
      <c r="N2377" s="28" t="s">
        <v>9638</v>
      </c>
      <c r="O2377" s="28" t="s">
        <v>9639</v>
      </c>
      <c r="P2377" s="28" t="s">
        <v>13435</v>
      </c>
    </row>
    <row r="2378" spans="1:16" x14ac:dyDescent="0.25">
      <c r="A2378" s="28" t="s">
        <v>13436</v>
      </c>
      <c r="B2378" s="28" t="s">
        <v>13437</v>
      </c>
      <c r="C2378" s="28" t="s">
        <v>132</v>
      </c>
      <c r="D2378" s="28" t="s">
        <v>1204</v>
      </c>
      <c r="E2378" s="28" t="s">
        <v>13432</v>
      </c>
      <c r="F2378" s="28" t="s">
        <v>21</v>
      </c>
      <c r="G2378" s="28" t="s">
        <v>149</v>
      </c>
      <c r="H2378" s="28" t="s">
        <v>9633</v>
      </c>
      <c r="I2378" s="28" t="s">
        <v>13438</v>
      </c>
      <c r="J2378" s="28" t="s">
        <v>149</v>
      </c>
      <c r="K2378" s="28" t="s">
        <v>9722</v>
      </c>
      <c r="L2378" s="28" t="s">
        <v>9636</v>
      </c>
      <c r="M2378" s="28" t="s">
        <v>13439</v>
      </c>
      <c r="N2378" s="28" t="s">
        <v>9638</v>
      </c>
      <c r="O2378" s="28" t="s">
        <v>9639</v>
      </c>
      <c r="P2378" s="28" t="s">
        <v>13435</v>
      </c>
    </row>
    <row r="2379" spans="1:16" x14ac:dyDescent="0.25">
      <c r="A2379" s="28" t="s">
        <v>13440</v>
      </c>
      <c r="B2379" s="28" t="s">
        <v>13441</v>
      </c>
      <c r="C2379" s="28" t="s">
        <v>132</v>
      </c>
      <c r="D2379" s="28" t="s">
        <v>1204</v>
      </c>
      <c r="E2379" s="28" t="s">
        <v>13442</v>
      </c>
      <c r="F2379" s="28" t="s">
        <v>21</v>
      </c>
      <c r="G2379" s="28" t="s">
        <v>149</v>
      </c>
      <c r="H2379" s="28" t="s">
        <v>9633</v>
      </c>
      <c r="I2379" s="28" t="s">
        <v>13443</v>
      </c>
      <c r="J2379" s="28" t="s">
        <v>149</v>
      </c>
      <c r="K2379" s="28" t="s">
        <v>9722</v>
      </c>
      <c r="L2379" s="28" t="s">
        <v>9636</v>
      </c>
      <c r="M2379" s="28" t="s">
        <v>13444</v>
      </c>
      <c r="N2379" s="28" t="s">
        <v>9638</v>
      </c>
      <c r="O2379" s="28" t="s">
        <v>9639</v>
      </c>
      <c r="P2379" s="28" t="s">
        <v>13445</v>
      </c>
    </row>
    <row r="2380" spans="1:16" x14ac:dyDescent="0.25">
      <c r="A2380" s="28" t="s">
        <v>13446</v>
      </c>
      <c r="B2380" s="28" t="s">
        <v>13447</v>
      </c>
      <c r="C2380" s="28" t="s">
        <v>132</v>
      </c>
      <c r="D2380" s="28" t="s">
        <v>1204</v>
      </c>
      <c r="E2380" s="28" t="s">
        <v>13448</v>
      </c>
      <c r="F2380" s="28" t="s">
        <v>21</v>
      </c>
      <c r="G2380" s="28" t="s">
        <v>149</v>
      </c>
      <c r="H2380" s="28" t="s">
        <v>9633</v>
      </c>
      <c r="I2380" s="28" t="s">
        <v>13449</v>
      </c>
      <c r="J2380" s="28" t="s">
        <v>149</v>
      </c>
      <c r="K2380" s="28" t="s">
        <v>9722</v>
      </c>
      <c r="L2380" s="28" t="s">
        <v>9636</v>
      </c>
      <c r="M2380" s="28" t="s">
        <v>13450</v>
      </c>
      <c r="N2380" s="28" t="s">
        <v>9638</v>
      </c>
      <c r="O2380" s="28" t="s">
        <v>9639</v>
      </c>
      <c r="P2380" s="28" t="s">
        <v>13451</v>
      </c>
    </row>
    <row r="2381" spans="1:16" x14ac:dyDescent="0.25">
      <c r="A2381" s="28" t="s">
        <v>13452</v>
      </c>
      <c r="B2381" s="28" t="s">
        <v>13453</v>
      </c>
      <c r="C2381" s="28" t="s">
        <v>132</v>
      </c>
      <c r="D2381" s="28" t="s">
        <v>1204</v>
      </c>
      <c r="E2381" s="28" t="s">
        <v>13454</v>
      </c>
      <c r="F2381" s="28" t="s">
        <v>21</v>
      </c>
      <c r="G2381" s="28" t="s">
        <v>149</v>
      </c>
      <c r="H2381" s="28" t="s">
        <v>9633</v>
      </c>
      <c r="I2381" s="28" t="s">
        <v>13455</v>
      </c>
      <c r="J2381" s="28" t="s">
        <v>149</v>
      </c>
      <c r="K2381" s="28" t="s">
        <v>9722</v>
      </c>
      <c r="L2381" s="28" t="s">
        <v>9636</v>
      </c>
      <c r="M2381" s="28" t="s">
        <v>13456</v>
      </c>
      <c r="N2381" s="28" t="s">
        <v>9638</v>
      </c>
      <c r="O2381" s="28" t="s">
        <v>9639</v>
      </c>
      <c r="P2381" s="28" t="s">
        <v>13457</v>
      </c>
    </row>
    <row r="2382" spans="1:16" x14ac:dyDescent="0.25">
      <c r="A2382" s="28" t="s">
        <v>13458</v>
      </c>
      <c r="B2382" s="28" t="s">
        <v>13459</v>
      </c>
      <c r="C2382" s="28" t="s">
        <v>132</v>
      </c>
      <c r="D2382" s="28" t="s">
        <v>1204</v>
      </c>
      <c r="E2382" s="28" t="s">
        <v>13460</v>
      </c>
      <c r="F2382" s="28" t="s">
        <v>21</v>
      </c>
      <c r="G2382" s="28" t="s">
        <v>149</v>
      </c>
      <c r="H2382" s="28" t="s">
        <v>9633</v>
      </c>
      <c r="I2382" s="28" t="s">
        <v>13461</v>
      </c>
      <c r="J2382" s="28" t="s">
        <v>149</v>
      </c>
      <c r="K2382" s="28" t="s">
        <v>9722</v>
      </c>
      <c r="L2382" s="28" t="s">
        <v>9636</v>
      </c>
      <c r="M2382" s="28" t="s">
        <v>13462</v>
      </c>
      <c r="N2382" s="28" t="s">
        <v>9638</v>
      </c>
      <c r="O2382" s="28" t="s">
        <v>9639</v>
      </c>
      <c r="P2382" s="28" t="s">
        <v>13463</v>
      </c>
    </row>
    <row r="2383" spans="1:16" x14ac:dyDescent="0.25">
      <c r="A2383" s="28" t="s">
        <v>13464</v>
      </c>
      <c r="B2383" s="28" t="s">
        <v>13465</v>
      </c>
      <c r="C2383" s="28" t="s">
        <v>132</v>
      </c>
      <c r="D2383" s="28" t="s">
        <v>1204</v>
      </c>
      <c r="E2383" s="28" t="s">
        <v>13460</v>
      </c>
      <c r="F2383" s="28" t="s">
        <v>21</v>
      </c>
      <c r="G2383" s="28" t="s">
        <v>149</v>
      </c>
      <c r="H2383" s="28" t="s">
        <v>9633</v>
      </c>
      <c r="I2383" s="28" t="s">
        <v>13466</v>
      </c>
      <c r="J2383" s="28" t="s">
        <v>149</v>
      </c>
      <c r="K2383" s="28" t="s">
        <v>9722</v>
      </c>
      <c r="L2383" s="28" t="s">
        <v>9636</v>
      </c>
      <c r="M2383" s="28" t="s">
        <v>13467</v>
      </c>
      <c r="N2383" s="28" t="s">
        <v>9638</v>
      </c>
      <c r="O2383" s="28" t="s">
        <v>9639</v>
      </c>
      <c r="P2383" s="28" t="s">
        <v>13463</v>
      </c>
    </row>
    <row r="2384" spans="1:16" x14ac:dyDescent="0.25">
      <c r="A2384" s="28" t="s">
        <v>13468</v>
      </c>
      <c r="B2384" s="28" t="s">
        <v>13469</v>
      </c>
      <c r="C2384" s="28" t="s">
        <v>132</v>
      </c>
      <c r="D2384" s="28" t="s">
        <v>1204</v>
      </c>
      <c r="E2384" s="28" t="s">
        <v>13460</v>
      </c>
      <c r="F2384" s="28" t="s">
        <v>21</v>
      </c>
      <c r="G2384" s="28" t="s">
        <v>149</v>
      </c>
      <c r="H2384" s="28" t="s">
        <v>9633</v>
      </c>
      <c r="I2384" s="28" t="s">
        <v>13470</v>
      </c>
      <c r="J2384" s="28" t="s">
        <v>149</v>
      </c>
      <c r="K2384" s="28" t="s">
        <v>9722</v>
      </c>
      <c r="L2384" s="28" t="s">
        <v>9636</v>
      </c>
      <c r="M2384" s="28" t="s">
        <v>13471</v>
      </c>
      <c r="N2384" s="28" t="s">
        <v>9638</v>
      </c>
      <c r="O2384" s="28" t="s">
        <v>9639</v>
      </c>
      <c r="P2384" s="28" t="s">
        <v>13463</v>
      </c>
    </row>
    <row r="2385" spans="1:16" x14ac:dyDescent="0.25">
      <c r="A2385" s="28" t="s">
        <v>13472</v>
      </c>
      <c r="B2385" s="28" t="s">
        <v>13473</v>
      </c>
      <c r="C2385" s="28" t="s">
        <v>132</v>
      </c>
      <c r="D2385" s="28" t="s">
        <v>1204</v>
      </c>
      <c r="E2385" s="28" t="s">
        <v>13460</v>
      </c>
      <c r="F2385" s="28" t="s">
        <v>21</v>
      </c>
      <c r="G2385" s="28" t="s">
        <v>149</v>
      </c>
      <c r="H2385" s="28" t="s">
        <v>9633</v>
      </c>
      <c r="I2385" s="28" t="s">
        <v>13474</v>
      </c>
      <c r="J2385" s="28" t="s">
        <v>149</v>
      </c>
      <c r="K2385" s="28" t="s">
        <v>9722</v>
      </c>
      <c r="L2385" s="28" t="s">
        <v>9636</v>
      </c>
      <c r="M2385" s="28" t="s">
        <v>13475</v>
      </c>
      <c r="N2385" s="28" t="s">
        <v>9638</v>
      </c>
      <c r="O2385" s="28" t="s">
        <v>9639</v>
      </c>
      <c r="P2385" s="28" t="s">
        <v>13463</v>
      </c>
    </row>
    <row r="2386" spans="1:16" x14ac:dyDescent="0.25">
      <c r="A2386" s="28" t="s">
        <v>13476</v>
      </c>
      <c r="B2386" s="28" t="s">
        <v>13477</v>
      </c>
      <c r="C2386" s="28" t="s">
        <v>132</v>
      </c>
      <c r="D2386" s="28" t="s">
        <v>1204</v>
      </c>
      <c r="E2386" s="28" t="s">
        <v>13478</v>
      </c>
      <c r="F2386" s="28" t="s">
        <v>21</v>
      </c>
      <c r="G2386" s="28" t="s">
        <v>149</v>
      </c>
      <c r="H2386" s="28" t="s">
        <v>9633</v>
      </c>
      <c r="I2386" s="28" t="s">
        <v>13479</v>
      </c>
      <c r="J2386" s="28" t="s">
        <v>149</v>
      </c>
      <c r="K2386" s="28" t="s">
        <v>9722</v>
      </c>
      <c r="L2386" s="28" t="s">
        <v>9636</v>
      </c>
      <c r="M2386" s="28" t="s">
        <v>13480</v>
      </c>
      <c r="N2386" s="28" t="s">
        <v>9638</v>
      </c>
      <c r="O2386" s="28" t="s">
        <v>9639</v>
      </c>
      <c r="P2386" s="28" t="s">
        <v>13481</v>
      </c>
    </row>
    <row r="2387" spans="1:16" x14ac:dyDescent="0.25">
      <c r="A2387" s="28" t="s">
        <v>13482</v>
      </c>
      <c r="B2387" s="28" t="s">
        <v>13483</v>
      </c>
      <c r="C2387" s="28" t="s">
        <v>132</v>
      </c>
      <c r="D2387" s="28" t="s">
        <v>1204</v>
      </c>
      <c r="E2387" s="28" t="s">
        <v>13484</v>
      </c>
      <c r="F2387" s="28" t="s">
        <v>21</v>
      </c>
      <c r="G2387" s="28" t="s">
        <v>149</v>
      </c>
      <c r="H2387" s="28" t="s">
        <v>9633</v>
      </c>
      <c r="I2387" s="28" t="s">
        <v>13485</v>
      </c>
      <c r="J2387" s="28" t="s">
        <v>149</v>
      </c>
      <c r="K2387" s="28" t="s">
        <v>9722</v>
      </c>
      <c r="L2387" s="28" t="s">
        <v>9636</v>
      </c>
      <c r="M2387" s="28" t="s">
        <v>13486</v>
      </c>
      <c r="N2387" s="28" t="s">
        <v>9638</v>
      </c>
      <c r="O2387" s="28" t="s">
        <v>9639</v>
      </c>
      <c r="P2387" s="28" t="s">
        <v>13487</v>
      </c>
    </row>
    <row r="2388" spans="1:16" x14ac:dyDescent="0.25">
      <c r="A2388" s="28" t="s">
        <v>13488</v>
      </c>
      <c r="B2388" s="28" t="s">
        <v>13489</v>
      </c>
      <c r="C2388" s="28" t="s">
        <v>132</v>
      </c>
      <c r="D2388" s="28" t="s">
        <v>1204</v>
      </c>
      <c r="E2388" s="28" t="s">
        <v>13490</v>
      </c>
      <c r="F2388" s="28" t="s">
        <v>21</v>
      </c>
      <c r="G2388" s="28" t="s">
        <v>207</v>
      </c>
      <c r="H2388" s="28" t="s">
        <v>9633</v>
      </c>
      <c r="I2388" s="28" t="s">
        <v>13491</v>
      </c>
      <c r="J2388" s="28" t="s">
        <v>207</v>
      </c>
      <c r="K2388" s="28" t="s">
        <v>9635</v>
      </c>
      <c r="L2388" s="28" t="s">
        <v>9636</v>
      </c>
      <c r="M2388" s="28" t="s">
        <v>13492</v>
      </c>
      <c r="N2388" s="28" t="s">
        <v>9638</v>
      </c>
      <c r="O2388" s="28" t="s">
        <v>9639</v>
      </c>
      <c r="P2388" s="28" t="s">
        <v>13493</v>
      </c>
    </row>
    <row r="2389" spans="1:16" x14ac:dyDescent="0.25">
      <c r="A2389" s="28" t="s">
        <v>13494</v>
      </c>
      <c r="B2389" s="28" t="s">
        <v>13495</v>
      </c>
      <c r="C2389" s="28" t="s">
        <v>132</v>
      </c>
      <c r="D2389" s="28" t="s">
        <v>1204</v>
      </c>
      <c r="E2389" s="28" t="s">
        <v>13496</v>
      </c>
      <c r="F2389" s="28" t="s">
        <v>21</v>
      </c>
      <c r="G2389" s="28" t="s">
        <v>207</v>
      </c>
      <c r="H2389" s="28" t="s">
        <v>9633</v>
      </c>
      <c r="I2389" s="28" t="s">
        <v>13497</v>
      </c>
      <c r="J2389" s="28" t="s">
        <v>207</v>
      </c>
      <c r="K2389" s="28" t="s">
        <v>9635</v>
      </c>
      <c r="L2389" s="28" t="s">
        <v>9636</v>
      </c>
      <c r="M2389" s="28" t="s">
        <v>13498</v>
      </c>
      <c r="N2389" s="28" t="s">
        <v>9638</v>
      </c>
      <c r="O2389" s="28" t="s">
        <v>9639</v>
      </c>
      <c r="P2389" s="28" t="s">
        <v>13499</v>
      </c>
    </row>
    <row r="2390" spans="1:16" x14ac:dyDescent="0.25">
      <c r="A2390" s="28" t="s">
        <v>13500</v>
      </c>
      <c r="B2390" s="28" t="s">
        <v>13501</v>
      </c>
      <c r="C2390" s="28" t="s">
        <v>132</v>
      </c>
      <c r="D2390" s="28" t="s">
        <v>1204</v>
      </c>
      <c r="E2390" s="28" t="s">
        <v>13502</v>
      </c>
      <c r="F2390" s="28" t="s">
        <v>21</v>
      </c>
      <c r="G2390" s="28" t="s">
        <v>207</v>
      </c>
      <c r="H2390" s="28" t="s">
        <v>9633</v>
      </c>
      <c r="I2390" s="28" t="s">
        <v>13503</v>
      </c>
      <c r="J2390" s="28" t="s">
        <v>207</v>
      </c>
      <c r="K2390" s="28" t="s">
        <v>9635</v>
      </c>
      <c r="L2390" s="28" t="s">
        <v>9636</v>
      </c>
      <c r="M2390" s="28" t="s">
        <v>13504</v>
      </c>
      <c r="N2390" s="28" t="s">
        <v>9638</v>
      </c>
      <c r="O2390" s="28" t="s">
        <v>9639</v>
      </c>
      <c r="P2390" s="28" t="s">
        <v>13505</v>
      </c>
    </row>
    <row r="2391" spans="1:16" x14ac:dyDescent="0.25">
      <c r="A2391" s="28" t="s">
        <v>13506</v>
      </c>
      <c r="B2391" s="28" t="s">
        <v>13507</v>
      </c>
      <c r="C2391" s="28" t="s">
        <v>132</v>
      </c>
      <c r="D2391" s="28" t="s">
        <v>1204</v>
      </c>
      <c r="E2391" s="28" t="s">
        <v>13508</v>
      </c>
      <c r="F2391" s="28" t="s">
        <v>21</v>
      </c>
      <c r="G2391" s="28" t="s">
        <v>207</v>
      </c>
      <c r="H2391" s="28" t="s">
        <v>9633</v>
      </c>
      <c r="I2391" s="28" t="s">
        <v>13509</v>
      </c>
      <c r="J2391" s="28" t="s">
        <v>207</v>
      </c>
      <c r="K2391" s="28" t="s">
        <v>9635</v>
      </c>
      <c r="L2391" s="28" t="s">
        <v>9636</v>
      </c>
      <c r="M2391" s="28" t="s">
        <v>13510</v>
      </c>
      <c r="N2391" s="28" t="s">
        <v>9638</v>
      </c>
      <c r="O2391" s="28" t="s">
        <v>9639</v>
      </c>
      <c r="P2391" s="28" t="s">
        <v>13511</v>
      </c>
    </row>
    <row r="2392" spans="1:16" x14ac:dyDescent="0.25">
      <c r="A2392" s="28" t="s">
        <v>13512</v>
      </c>
      <c r="B2392" s="28" t="s">
        <v>13513</v>
      </c>
      <c r="C2392" s="28" t="s">
        <v>132</v>
      </c>
      <c r="D2392" s="28" t="s">
        <v>1204</v>
      </c>
      <c r="E2392" s="28" t="s">
        <v>13514</v>
      </c>
      <c r="F2392" s="28" t="s">
        <v>21</v>
      </c>
      <c r="G2392" s="28" t="s">
        <v>207</v>
      </c>
      <c r="H2392" s="28" t="s">
        <v>9633</v>
      </c>
      <c r="I2392" s="28" t="s">
        <v>13515</v>
      </c>
      <c r="J2392" s="28" t="s">
        <v>207</v>
      </c>
      <c r="K2392" s="28" t="s">
        <v>9635</v>
      </c>
      <c r="L2392" s="28" t="s">
        <v>9636</v>
      </c>
      <c r="M2392" s="28" t="s">
        <v>13516</v>
      </c>
      <c r="N2392" s="28" t="s">
        <v>9638</v>
      </c>
      <c r="O2392" s="28" t="s">
        <v>9639</v>
      </c>
      <c r="P2392" s="28" t="s">
        <v>13517</v>
      </c>
    </row>
    <row r="2393" spans="1:16" x14ac:dyDescent="0.25">
      <c r="A2393" s="28" t="s">
        <v>13518</v>
      </c>
      <c r="B2393" s="28" t="s">
        <v>13519</v>
      </c>
      <c r="C2393" s="28" t="s">
        <v>132</v>
      </c>
      <c r="D2393" s="28" t="s">
        <v>1204</v>
      </c>
      <c r="E2393" s="28" t="s">
        <v>13520</v>
      </c>
      <c r="F2393" s="28" t="s">
        <v>21</v>
      </c>
      <c r="G2393" s="28" t="s">
        <v>207</v>
      </c>
      <c r="H2393" s="28" t="s">
        <v>9633</v>
      </c>
      <c r="I2393" s="28" t="s">
        <v>13521</v>
      </c>
      <c r="J2393" s="28" t="s">
        <v>207</v>
      </c>
      <c r="K2393" s="28" t="s">
        <v>9635</v>
      </c>
      <c r="L2393" s="28" t="s">
        <v>9636</v>
      </c>
      <c r="M2393" s="28" t="s">
        <v>13522</v>
      </c>
      <c r="N2393" s="28" t="s">
        <v>9638</v>
      </c>
      <c r="O2393" s="28" t="s">
        <v>9639</v>
      </c>
      <c r="P2393" s="28" t="s">
        <v>13523</v>
      </c>
    </row>
    <row r="2394" spans="1:16" x14ac:dyDescent="0.25">
      <c r="A2394" s="28" t="s">
        <v>13524</v>
      </c>
      <c r="B2394" s="28" t="s">
        <v>13525</v>
      </c>
      <c r="C2394" s="28" t="s">
        <v>132</v>
      </c>
      <c r="D2394" s="28" t="s">
        <v>1204</v>
      </c>
      <c r="E2394" s="28" t="s">
        <v>13526</v>
      </c>
      <c r="F2394" s="28" t="s">
        <v>21</v>
      </c>
      <c r="G2394" s="28" t="s">
        <v>207</v>
      </c>
      <c r="H2394" s="28" t="s">
        <v>9633</v>
      </c>
      <c r="I2394" s="28" t="s">
        <v>13527</v>
      </c>
      <c r="J2394" s="28" t="s">
        <v>207</v>
      </c>
      <c r="K2394" s="28" t="s">
        <v>9635</v>
      </c>
      <c r="L2394" s="28" t="s">
        <v>9636</v>
      </c>
      <c r="M2394" s="28" t="s">
        <v>13528</v>
      </c>
      <c r="N2394" s="28" t="s">
        <v>9638</v>
      </c>
      <c r="O2394" s="28" t="s">
        <v>9639</v>
      </c>
      <c r="P2394" s="28" t="s">
        <v>13529</v>
      </c>
    </row>
    <row r="2395" spans="1:16" x14ac:dyDescent="0.25">
      <c r="A2395" s="28" t="s">
        <v>13530</v>
      </c>
      <c r="B2395" s="28" t="s">
        <v>13531</v>
      </c>
      <c r="C2395" s="28" t="s">
        <v>132</v>
      </c>
      <c r="D2395" s="28" t="s">
        <v>1204</v>
      </c>
      <c r="E2395" s="28" t="s">
        <v>13532</v>
      </c>
      <c r="F2395" s="28" t="s">
        <v>21</v>
      </c>
      <c r="G2395" s="28" t="s">
        <v>207</v>
      </c>
      <c r="H2395" s="28" t="s">
        <v>9633</v>
      </c>
      <c r="I2395" s="28" t="s">
        <v>13533</v>
      </c>
      <c r="J2395" s="28" t="s">
        <v>207</v>
      </c>
      <c r="K2395" s="28" t="s">
        <v>9635</v>
      </c>
      <c r="L2395" s="28" t="s">
        <v>9636</v>
      </c>
      <c r="M2395" s="28" t="s">
        <v>13534</v>
      </c>
      <c r="N2395" s="28" t="s">
        <v>9638</v>
      </c>
      <c r="O2395" s="28" t="s">
        <v>9639</v>
      </c>
      <c r="P2395" s="28" t="s">
        <v>13535</v>
      </c>
    </row>
    <row r="2396" spans="1:16" x14ac:dyDescent="0.25">
      <c r="A2396" s="28" t="s">
        <v>13536</v>
      </c>
      <c r="B2396" s="28" t="s">
        <v>13537</v>
      </c>
      <c r="C2396" s="28" t="s">
        <v>132</v>
      </c>
      <c r="D2396" s="28" t="s">
        <v>1204</v>
      </c>
      <c r="E2396" s="28" t="s">
        <v>13538</v>
      </c>
      <c r="F2396" s="28" t="s">
        <v>21</v>
      </c>
      <c r="G2396" s="28" t="s">
        <v>207</v>
      </c>
      <c r="H2396" s="28" t="s">
        <v>9633</v>
      </c>
      <c r="I2396" s="28" t="s">
        <v>13539</v>
      </c>
      <c r="J2396" s="28" t="s">
        <v>207</v>
      </c>
      <c r="K2396" s="28" t="s">
        <v>9635</v>
      </c>
      <c r="L2396" s="28" t="s">
        <v>9636</v>
      </c>
      <c r="M2396" s="28" t="s">
        <v>13540</v>
      </c>
      <c r="N2396" s="28" t="s">
        <v>9638</v>
      </c>
      <c r="O2396" s="28" t="s">
        <v>9639</v>
      </c>
      <c r="P2396" s="28" t="s">
        <v>13541</v>
      </c>
    </row>
    <row r="2397" spans="1:16" x14ac:dyDescent="0.25">
      <c r="A2397" s="28" t="s">
        <v>13542</v>
      </c>
      <c r="B2397" s="28" t="s">
        <v>13543</v>
      </c>
      <c r="C2397" s="28" t="s">
        <v>132</v>
      </c>
      <c r="D2397" s="28" t="s">
        <v>1204</v>
      </c>
      <c r="E2397" s="28" t="s">
        <v>13544</v>
      </c>
      <c r="F2397" s="28" t="s">
        <v>21</v>
      </c>
      <c r="G2397" s="28" t="s">
        <v>207</v>
      </c>
      <c r="H2397" s="28" t="s">
        <v>9633</v>
      </c>
      <c r="I2397" s="28" t="s">
        <v>13545</v>
      </c>
      <c r="J2397" s="28" t="s">
        <v>207</v>
      </c>
      <c r="K2397" s="28" t="s">
        <v>9635</v>
      </c>
      <c r="L2397" s="28" t="s">
        <v>9636</v>
      </c>
      <c r="M2397" s="28" t="s">
        <v>13546</v>
      </c>
      <c r="N2397" s="28" t="s">
        <v>9638</v>
      </c>
      <c r="O2397" s="28" t="s">
        <v>9639</v>
      </c>
      <c r="P2397" s="28" t="s">
        <v>13547</v>
      </c>
    </row>
    <row r="2398" spans="1:16" x14ac:dyDescent="0.25">
      <c r="A2398" s="28" t="s">
        <v>13548</v>
      </c>
      <c r="B2398" s="28" t="s">
        <v>13549</v>
      </c>
      <c r="C2398" s="28" t="s">
        <v>132</v>
      </c>
      <c r="D2398" s="28" t="s">
        <v>1204</v>
      </c>
      <c r="E2398" s="28" t="s">
        <v>13550</v>
      </c>
      <c r="F2398" s="28" t="s">
        <v>21</v>
      </c>
      <c r="G2398" s="28" t="s">
        <v>207</v>
      </c>
      <c r="H2398" s="28" t="s">
        <v>9633</v>
      </c>
      <c r="I2398" s="28" t="s">
        <v>13551</v>
      </c>
      <c r="J2398" s="28" t="s">
        <v>207</v>
      </c>
      <c r="K2398" s="28" t="s">
        <v>9635</v>
      </c>
      <c r="L2398" s="28" t="s">
        <v>9636</v>
      </c>
      <c r="M2398" s="28" t="s">
        <v>13552</v>
      </c>
      <c r="N2398" s="28" t="s">
        <v>9638</v>
      </c>
      <c r="O2398" s="28" t="s">
        <v>9639</v>
      </c>
      <c r="P2398" s="28" t="s">
        <v>13553</v>
      </c>
    </row>
    <row r="2399" spans="1:16" x14ac:dyDescent="0.25">
      <c r="A2399" s="28" t="s">
        <v>13554</v>
      </c>
      <c r="B2399" s="28" t="s">
        <v>13555</v>
      </c>
      <c r="C2399" s="28" t="s">
        <v>132</v>
      </c>
      <c r="D2399" s="28" t="s">
        <v>1204</v>
      </c>
      <c r="E2399" s="28" t="s">
        <v>13556</v>
      </c>
      <c r="F2399" s="28" t="s">
        <v>21</v>
      </c>
      <c r="G2399" s="28" t="s">
        <v>207</v>
      </c>
      <c r="H2399" s="28" t="s">
        <v>9633</v>
      </c>
      <c r="I2399" s="28" t="s">
        <v>13557</v>
      </c>
      <c r="J2399" s="28" t="s">
        <v>207</v>
      </c>
      <c r="K2399" s="28" t="s">
        <v>9635</v>
      </c>
      <c r="L2399" s="28" t="s">
        <v>9636</v>
      </c>
      <c r="M2399" s="28" t="s">
        <v>13558</v>
      </c>
      <c r="N2399" s="28" t="s">
        <v>9638</v>
      </c>
      <c r="O2399" s="28" t="s">
        <v>9639</v>
      </c>
      <c r="P2399" s="28" t="s">
        <v>13559</v>
      </c>
    </row>
    <row r="2400" spans="1:16" x14ac:dyDescent="0.25">
      <c r="A2400" s="28" t="s">
        <v>13560</v>
      </c>
      <c r="B2400" s="28" t="s">
        <v>13561</v>
      </c>
      <c r="C2400" s="28" t="s">
        <v>132</v>
      </c>
      <c r="D2400" s="28" t="s">
        <v>1204</v>
      </c>
      <c r="E2400" s="28" t="s">
        <v>13562</v>
      </c>
      <c r="F2400" s="28" t="s">
        <v>21</v>
      </c>
      <c r="G2400" s="28" t="s">
        <v>207</v>
      </c>
      <c r="H2400" s="28" t="s">
        <v>9633</v>
      </c>
      <c r="I2400" s="28" t="s">
        <v>13563</v>
      </c>
      <c r="J2400" s="28" t="s">
        <v>207</v>
      </c>
      <c r="K2400" s="28" t="s">
        <v>9635</v>
      </c>
      <c r="L2400" s="28" t="s">
        <v>9636</v>
      </c>
      <c r="M2400" s="28" t="s">
        <v>13564</v>
      </c>
      <c r="N2400" s="28" t="s">
        <v>9638</v>
      </c>
      <c r="O2400" s="28" t="s">
        <v>9639</v>
      </c>
      <c r="P2400" s="28" t="s">
        <v>13565</v>
      </c>
    </row>
    <row r="2401" spans="1:16" x14ac:dyDescent="0.25">
      <c r="A2401" s="28" t="s">
        <v>13566</v>
      </c>
      <c r="B2401" s="28" t="s">
        <v>13567</v>
      </c>
      <c r="C2401" s="28" t="s">
        <v>132</v>
      </c>
      <c r="D2401" s="28" t="s">
        <v>1204</v>
      </c>
      <c r="E2401" s="28" t="s">
        <v>13568</v>
      </c>
      <c r="F2401" s="28" t="s">
        <v>21</v>
      </c>
      <c r="G2401" s="28" t="s">
        <v>135</v>
      </c>
      <c r="H2401" s="28" t="s">
        <v>10259</v>
      </c>
      <c r="I2401" s="28" t="s">
        <v>13569</v>
      </c>
      <c r="J2401" s="28" t="s">
        <v>135</v>
      </c>
      <c r="K2401" s="28" t="s">
        <v>10551</v>
      </c>
      <c r="L2401" s="28" t="s">
        <v>10262</v>
      </c>
      <c r="M2401" s="28" t="s">
        <v>13570</v>
      </c>
      <c r="N2401" s="28" t="s">
        <v>10264</v>
      </c>
      <c r="O2401" s="28" t="s">
        <v>10265</v>
      </c>
      <c r="P2401" s="28" t="s">
        <v>10266</v>
      </c>
    </row>
    <row r="2402" spans="1:16" x14ac:dyDescent="0.25">
      <c r="A2402" s="28" t="s">
        <v>13571</v>
      </c>
      <c r="B2402" s="28" t="s">
        <v>13572</v>
      </c>
      <c r="C2402" s="28" t="s">
        <v>132</v>
      </c>
      <c r="D2402" s="28" t="s">
        <v>1204</v>
      </c>
      <c r="E2402" s="28" t="s">
        <v>13573</v>
      </c>
      <c r="F2402" s="28" t="s">
        <v>21</v>
      </c>
      <c r="G2402" s="28" t="s">
        <v>149</v>
      </c>
      <c r="H2402" s="28" t="s">
        <v>9633</v>
      </c>
      <c r="I2402" s="28" t="s">
        <v>13574</v>
      </c>
      <c r="J2402" s="28" t="s">
        <v>149</v>
      </c>
      <c r="K2402" s="28" t="s">
        <v>9722</v>
      </c>
      <c r="L2402" s="28" t="s">
        <v>9636</v>
      </c>
      <c r="M2402" s="28" t="s">
        <v>13575</v>
      </c>
      <c r="N2402" s="28" t="s">
        <v>9638</v>
      </c>
      <c r="O2402" s="28" t="s">
        <v>9639</v>
      </c>
      <c r="P2402" s="28" t="s">
        <v>13576</v>
      </c>
    </row>
    <row r="2403" spans="1:16" x14ac:dyDescent="0.25">
      <c r="A2403" s="28" t="s">
        <v>13577</v>
      </c>
      <c r="B2403" s="28" t="s">
        <v>13578</v>
      </c>
      <c r="C2403" s="28" t="s">
        <v>132</v>
      </c>
      <c r="D2403" s="28" t="s">
        <v>1204</v>
      </c>
      <c r="E2403" s="28" t="s">
        <v>13579</v>
      </c>
      <c r="F2403" s="28" t="s">
        <v>21</v>
      </c>
      <c r="G2403" s="28" t="s">
        <v>149</v>
      </c>
      <c r="H2403" s="28" t="s">
        <v>9633</v>
      </c>
      <c r="I2403" s="28" t="s">
        <v>13580</v>
      </c>
      <c r="J2403" s="28" t="s">
        <v>149</v>
      </c>
      <c r="K2403" s="28" t="s">
        <v>9722</v>
      </c>
      <c r="L2403" s="28" t="s">
        <v>9636</v>
      </c>
      <c r="M2403" s="28" t="s">
        <v>13581</v>
      </c>
      <c r="N2403" s="28" t="s">
        <v>9638</v>
      </c>
      <c r="O2403" s="28" t="s">
        <v>9639</v>
      </c>
      <c r="P2403" s="28" t="s">
        <v>13582</v>
      </c>
    </row>
    <row r="2404" spans="1:16" x14ac:dyDescent="0.25">
      <c r="A2404" s="28" t="s">
        <v>13583</v>
      </c>
      <c r="B2404" s="28" t="s">
        <v>13584</v>
      </c>
      <c r="C2404" s="28" t="s">
        <v>132</v>
      </c>
      <c r="D2404" s="28" t="s">
        <v>1204</v>
      </c>
      <c r="E2404" s="28" t="s">
        <v>13585</v>
      </c>
      <c r="F2404" s="28" t="s">
        <v>21</v>
      </c>
      <c r="G2404" s="28" t="s">
        <v>149</v>
      </c>
      <c r="H2404" s="28" t="s">
        <v>9633</v>
      </c>
      <c r="I2404" s="28" t="s">
        <v>13586</v>
      </c>
      <c r="J2404" s="28" t="s">
        <v>149</v>
      </c>
      <c r="K2404" s="28" t="s">
        <v>9722</v>
      </c>
      <c r="L2404" s="28" t="s">
        <v>9636</v>
      </c>
      <c r="M2404" s="28" t="s">
        <v>13587</v>
      </c>
      <c r="N2404" s="28" t="s">
        <v>9638</v>
      </c>
      <c r="O2404" s="28" t="s">
        <v>9639</v>
      </c>
      <c r="P2404" s="28" t="s">
        <v>13588</v>
      </c>
    </row>
    <row r="2405" spans="1:16" x14ac:dyDescent="0.25">
      <c r="A2405" s="28" t="s">
        <v>13589</v>
      </c>
      <c r="B2405" s="28" t="s">
        <v>13590</v>
      </c>
      <c r="C2405" s="28" t="s">
        <v>132</v>
      </c>
      <c r="D2405" s="28" t="s">
        <v>1204</v>
      </c>
      <c r="E2405" s="28" t="s">
        <v>13591</v>
      </c>
      <c r="F2405" s="28" t="s">
        <v>21</v>
      </c>
      <c r="G2405" s="28" t="s">
        <v>149</v>
      </c>
      <c r="H2405" s="28" t="s">
        <v>9633</v>
      </c>
      <c r="I2405" s="28" t="s">
        <v>13592</v>
      </c>
      <c r="J2405" s="28" t="s">
        <v>149</v>
      </c>
      <c r="K2405" s="28" t="s">
        <v>9722</v>
      </c>
      <c r="L2405" s="28" t="s">
        <v>9636</v>
      </c>
      <c r="M2405" s="28" t="s">
        <v>13593</v>
      </c>
      <c r="N2405" s="28" t="s">
        <v>9638</v>
      </c>
      <c r="O2405" s="28" t="s">
        <v>9639</v>
      </c>
      <c r="P2405" s="28" t="s">
        <v>13594</v>
      </c>
    </row>
    <row r="2406" spans="1:16" x14ac:dyDescent="0.25">
      <c r="A2406" s="28" t="s">
        <v>13595</v>
      </c>
      <c r="B2406" s="28" t="s">
        <v>13596</v>
      </c>
      <c r="C2406" s="28" t="s">
        <v>132</v>
      </c>
      <c r="D2406" s="28" t="s">
        <v>1204</v>
      </c>
      <c r="E2406" s="28" t="s">
        <v>13597</v>
      </c>
      <c r="F2406" s="28" t="s">
        <v>21</v>
      </c>
      <c r="G2406" s="28" t="s">
        <v>149</v>
      </c>
      <c r="H2406" s="28" t="s">
        <v>9633</v>
      </c>
      <c r="I2406" s="28" t="s">
        <v>13598</v>
      </c>
      <c r="J2406" s="28" t="s">
        <v>149</v>
      </c>
      <c r="K2406" s="28" t="s">
        <v>9722</v>
      </c>
      <c r="L2406" s="28" t="s">
        <v>9636</v>
      </c>
      <c r="M2406" s="28" t="s">
        <v>13599</v>
      </c>
      <c r="N2406" s="28" t="s">
        <v>9638</v>
      </c>
      <c r="O2406" s="28" t="s">
        <v>9639</v>
      </c>
      <c r="P2406" s="28" t="s">
        <v>13600</v>
      </c>
    </row>
    <row r="2407" spans="1:16" x14ac:dyDescent="0.25">
      <c r="A2407" s="28" t="s">
        <v>13601</v>
      </c>
      <c r="B2407" s="28" t="s">
        <v>13602</v>
      </c>
      <c r="C2407" s="28" t="s">
        <v>132</v>
      </c>
      <c r="D2407" s="28" t="s">
        <v>1204</v>
      </c>
      <c r="E2407" s="28" t="s">
        <v>13603</v>
      </c>
      <c r="F2407" s="28" t="s">
        <v>21</v>
      </c>
      <c r="G2407" s="28" t="s">
        <v>149</v>
      </c>
      <c r="H2407" s="28" t="s">
        <v>9633</v>
      </c>
      <c r="I2407" s="28" t="s">
        <v>13604</v>
      </c>
      <c r="J2407" s="28" t="s">
        <v>149</v>
      </c>
      <c r="K2407" s="28" t="s">
        <v>9722</v>
      </c>
      <c r="L2407" s="28" t="s">
        <v>9636</v>
      </c>
      <c r="M2407" s="28" t="s">
        <v>13605</v>
      </c>
      <c r="N2407" s="28" t="s">
        <v>9638</v>
      </c>
      <c r="O2407" s="28" t="s">
        <v>9639</v>
      </c>
      <c r="P2407" s="28" t="s">
        <v>13606</v>
      </c>
    </row>
    <row r="2408" spans="1:16" x14ac:dyDescent="0.25">
      <c r="A2408" s="28" t="s">
        <v>13607</v>
      </c>
      <c r="B2408" s="28" t="s">
        <v>13608</v>
      </c>
      <c r="C2408" s="28" t="s">
        <v>132</v>
      </c>
      <c r="D2408" s="28" t="s">
        <v>1204</v>
      </c>
      <c r="E2408" s="28" t="s">
        <v>13603</v>
      </c>
      <c r="F2408" s="28" t="s">
        <v>21</v>
      </c>
      <c r="G2408" s="28" t="s">
        <v>149</v>
      </c>
      <c r="H2408" s="28" t="s">
        <v>9633</v>
      </c>
      <c r="I2408" s="28" t="s">
        <v>13609</v>
      </c>
      <c r="J2408" s="28" t="s">
        <v>149</v>
      </c>
      <c r="K2408" s="28" t="s">
        <v>9722</v>
      </c>
      <c r="L2408" s="28" t="s">
        <v>9636</v>
      </c>
      <c r="M2408" s="28" t="s">
        <v>13610</v>
      </c>
      <c r="N2408" s="28" t="s">
        <v>9638</v>
      </c>
      <c r="O2408" s="28" t="s">
        <v>9639</v>
      </c>
      <c r="P2408" s="28" t="s">
        <v>13606</v>
      </c>
    </row>
    <row r="2409" spans="1:16" x14ac:dyDescent="0.25">
      <c r="A2409" s="28" t="s">
        <v>13611</v>
      </c>
      <c r="B2409" s="28" t="s">
        <v>13612</v>
      </c>
      <c r="C2409" s="28" t="s">
        <v>132</v>
      </c>
      <c r="D2409" s="28" t="s">
        <v>1204</v>
      </c>
      <c r="E2409" s="28" t="s">
        <v>13603</v>
      </c>
      <c r="F2409" s="28" t="s">
        <v>21</v>
      </c>
      <c r="G2409" s="28" t="s">
        <v>149</v>
      </c>
      <c r="H2409" s="28" t="s">
        <v>9633</v>
      </c>
      <c r="I2409" s="28" t="s">
        <v>13613</v>
      </c>
      <c r="J2409" s="28" t="s">
        <v>149</v>
      </c>
      <c r="K2409" s="28" t="s">
        <v>9722</v>
      </c>
      <c r="L2409" s="28" t="s">
        <v>9636</v>
      </c>
      <c r="M2409" s="28" t="s">
        <v>13614</v>
      </c>
      <c r="N2409" s="28" t="s">
        <v>9638</v>
      </c>
      <c r="O2409" s="28" t="s">
        <v>9639</v>
      </c>
      <c r="P2409" s="28" t="s">
        <v>13606</v>
      </c>
    </row>
    <row r="2410" spans="1:16" x14ac:dyDescent="0.25">
      <c r="A2410" s="28" t="s">
        <v>13615</v>
      </c>
      <c r="B2410" s="28" t="s">
        <v>13616</v>
      </c>
      <c r="C2410" s="28" t="s">
        <v>132</v>
      </c>
      <c r="D2410" s="28" t="s">
        <v>1204</v>
      </c>
      <c r="E2410" s="28" t="s">
        <v>13603</v>
      </c>
      <c r="F2410" s="28" t="s">
        <v>21</v>
      </c>
      <c r="G2410" s="28" t="s">
        <v>149</v>
      </c>
      <c r="H2410" s="28" t="s">
        <v>9633</v>
      </c>
      <c r="I2410" s="28" t="s">
        <v>13617</v>
      </c>
      <c r="J2410" s="28" t="s">
        <v>149</v>
      </c>
      <c r="K2410" s="28" t="s">
        <v>9722</v>
      </c>
      <c r="L2410" s="28" t="s">
        <v>9636</v>
      </c>
      <c r="M2410" s="28" t="s">
        <v>13618</v>
      </c>
      <c r="N2410" s="28" t="s">
        <v>9638</v>
      </c>
      <c r="O2410" s="28" t="s">
        <v>9639</v>
      </c>
      <c r="P2410" s="28" t="s">
        <v>13606</v>
      </c>
    </row>
    <row r="2411" spans="1:16" x14ac:dyDescent="0.25">
      <c r="A2411" s="28" t="s">
        <v>13619</v>
      </c>
      <c r="B2411" s="28" t="s">
        <v>13620</v>
      </c>
      <c r="C2411" s="28" t="s">
        <v>132</v>
      </c>
      <c r="D2411" s="28" t="s">
        <v>1204</v>
      </c>
      <c r="E2411" s="28" t="s">
        <v>13603</v>
      </c>
      <c r="F2411" s="28" t="s">
        <v>21</v>
      </c>
      <c r="G2411" s="28" t="s">
        <v>149</v>
      </c>
      <c r="H2411" s="28" t="s">
        <v>9633</v>
      </c>
      <c r="I2411" s="28" t="s">
        <v>13621</v>
      </c>
      <c r="J2411" s="28" t="s">
        <v>149</v>
      </c>
      <c r="K2411" s="28" t="s">
        <v>9722</v>
      </c>
      <c r="L2411" s="28" t="s">
        <v>9636</v>
      </c>
      <c r="M2411" s="28" t="s">
        <v>13622</v>
      </c>
      <c r="N2411" s="28" t="s">
        <v>9638</v>
      </c>
      <c r="O2411" s="28" t="s">
        <v>9639</v>
      </c>
      <c r="P2411" s="28" t="s">
        <v>13606</v>
      </c>
    </row>
    <row r="2412" spans="1:16" x14ac:dyDescent="0.25">
      <c r="A2412" s="28" t="s">
        <v>13623</v>
      </c>
      <c r="B2412" s="28" t="s">
        <v>13624</v>
      </c>
      <c r="C2412" s="28" t="s">
        <v>132</v>
      </c>
      <c r="D2412" s="28" t="s">
        <v>1204</v>
      </c>
      <c r="E2412" s="28" t="s">
        <v>13625</v>
      </c>
      <c r="F2412" s="28" t="s">
        <v>21</v>
      </c>
      <c r="G2412" s="28" t="s">
        <v>149</v>
      </c>
      <c r="H2412" s="28" t="s">
        <v>9633</v>
      </c>
      <c r="I2412" s="28" t="s">
        <v>13626</v>
      </c>
      <c r="J2412" s="28" t="s">
        <v>149</v>
      </c>
      <c r="K2412" s="28" t="s">
        <v>9722</v>
      </c>
      <c r="L2412" s="28" t="s">
        <v>9636</v>
      </c>
      <c r="M2412" s="28" t="s">
        <v>13627</v>
      </c>
      <c r="N2412" s="28" t="s">
        <v>9638</v>
      </c>
      <c r="O2412" s="28" t="s">
        <v>9639</v>
      </c>
      <c r="P2412" s="28" t="s">
        <v>13628</v>
      </c>
    </row>
    <row r="2413" spans="1:16" x14ac:dyDescent="0.25">
      <c r="A2413" s="28" t="s">
        <v>13629</v>
      </c>
      <c r="B2413" s="28" t="s">
        <v>13630</v>
      </c>
      <c r="C2413" s="28" t="s">
        <v>132</v>
      </c>
      <c r="D2413" s="28" t="s">
        <v>1204</v>
      </c>
      <c r="E2413" s="28" t="s">
        <v>13631</v>
      </c>
      <c r="F2413" s="28" t="s">
        <v>21</v>
      </c>
      <c r="G2413" s="28" t="s">
        <v>149</v>
      </c>
      <c r="H2413" s="28" t="s">
        <v>9633</v>
      </c>
      <c r="I2413" s="28" t="s">
        <v>13632</v>
      </c>
      <c r="J2413" s="28" t="s">
        <v>149</v>
      </c>
      <c r="K2413" s="28" t="s">
        <v>9722</v>
      </c>
      <c r="L2413" s="28" t="s">
        <v>9636</v>
      </c>
      <c r="M2413" s="28" t="s">
        <v>13633</v>
      </c>
      <c r="N2413" s="28" t="s">
        <v>9638</v>
      </c>
      <c r="O2413" s="28" t="s">
        <v>9639</v>
      </c>
      <c r="P2413" s="28" t="s">
        <v>13634</v>
      </c>
    </row>
    <row r="2414" spans="1:16" x14ac:dyDescent="0.25">
      <c r="A2414" s="28" t="s">
        <v>13635</v>
      </c>
      <c r="B2414" s="28" t="s">
        <v>13636</v>
      </c>
      <c r="C2414" s="28" t="s">
        <v>132</v>
      </c>
      <c r="D2414" s="28" t="s">
        <v>1204</v>
      </c>
      <c r="E2414" s="28" t="s">
        <v>13637</v>
      </c>
      <c r="F2414" s="28" t="s">
        <v>21</v>
      </c>
      <c r="G2414" s="28" t="s">
        <v>149</v>
      </c>
      <c r="H2414" s="28" t="s">
        <v>9633</v>
      </c>
      <c r="I2414" s="28" t="s">
        <v>13638</v>
      </c>
      <c r="J2414" s="28" t="s">
        <v>149</v>
      </c>
      <c r="K2414" s="28" t="s">
        <v>9722</v>
      </c>
      <c r="L2414" s="28" t="s">
        <v>9636</v>
      </c>
      <c r="M2414" s="28" t="s">
        <v>13639</v>
      </c>
      <c r="N2414" s="28" t="s">
        <v>9638</v>
      </c>
      <c r="O2414" s="28" t="s">
        <v>9639</v>
      </c>
      <c r="P2414" s="28" t="s">
        <v>13640</v>
      </c>
    </row>
    <row r="2415" spans="1:16" x14ac:dyDescent="0.25">
      <c r="A2415" s="28" t="s">
        <v>13641</v>
      </c>
      <c r="B2415" s="28" t="s">
        <v>13642</v>
      </c>
      <c r="C2415" s="28" t="s">
        <v>132</v>
      </c>
      <c r="D2415" s="28" t="s">
        <v>1204</v>
      </c>
      <c r="E2415" s="28" t="s">
        <v>13643</v>
      </c>
      <c r="F2415" s="28" t="s">
        <v>21</v>
      </c>
      <c r="G2415" s="28" t="s">
        <v>149</v>
      </c>
      <c r="H2415" s="28" t="s">
        <v>9633</v>
      </c>
      <c r="I2415" s="28" t="s">
        <v>13644</v>
      </c>
      <c r="J2415" s="28" t="s">
        <v>149</v>
      </c>
      <c r="K2415" s="28" t="s">
        <v>9722</v>
      </c>
      <c r="L2415" s="28" t="s">
        <v>9636</v>
      </c>
      <c r="M2415" s="28" t="s">
        <v>13645</v>
      </c>
      <c r="N2415" s="28" t="s">
        <v>9638</v>
      </c>
      <c r="O2415" s="28" t="s">
        <v>9639</v>
      </c>
      <c r="P2415" s="28" t="s">
        <v>13646</v>
      </c>
    </row>
    <row r="2416" spans="1:16" x14ac:dyDescent="0.25">
      <c r="A2416" s="28" t="s">
        <v>13647</v>
      </c>
      <c r="B2416" s="28" t="s">
        <v>13648</v>
      </c>
      <c r="C2416" s="28" t="s">
        <v>132</v>
      </c>
      <c r="D2416" s="28" t="s">
        <v>1204</v>
      </c>
      <c r="E2416" s="28" t="s">
        <v>13649</v>
      </c>
      <c r="F2416" s="28" t="s">
        <v>21</v>
      </c>
      <c r="G2416" s="28" t="s">
        <v>149</v>
      </c>
      <c r="H2416" s="28" t="s">
        <v>9633</v>
      </c>
      <c r="I2416" s="28" t="s">
        <v>13650</v>
      </c>
      <c r="J2416" s="28" t="s">
        <v>149</v>
      </c>
      <c r="K2416" s="28" t="s">
        <v>9722</v>
      </c>
      <c r="L2416" s="28" t="s">
        <v>9636</v>
      </c>
      <c r="M2416" s="28" t="s">
        <v>13651</v>
      </c>
      <c r="N2416" s="28" t="s">
        <v>9638</v>
      </c>
      <c r="O2416" s="28" t="s">
        <v>9639</v>
      </c>
      <c r="P2416" s="28" t="s">
        <v>13652</v>
      </c>
    </row>
    <row r="2417" spans="1:16" x14ac:dyDescent="0.25">
      <c r="A2417" s="28" t="s">
        <v>13653</v>
      </c>
      <c r="B2417" s="28" t="s">
        <v>13654</v>
      </c>
      <c r="C2417" s="28" t="s">
        <v>132</v>
      </c>
      <c r="D2417" s="28" t="s">
        <v>1204</v>
      </c>
      <c r="E2417" s="28" t="s">
        <v>13655</v>
      </c>
      <c r="F2417" s="28" t="s">
        <v>21</v>
      </c>
      <c r="G2417" s="28" t="s">
        <v>149</v>
      </c>
      <c r="H2417" s="28" t="s">
        <v>9633</v>
      </c>
      <c r="I2417" s="28" t="s">
        <v>13656</v>
      </c>
      <c r="J2417" s="28" t="s">
        <v>149</v>
      </c>
      <c r="K2417" s="28" t="s">
        <v>9722</v>
      </c>
      <c r="L2417" s="28" t="s">
        <v>9636</v>
      </c>
      <c r="M2417" s="28" t="s">
        <v>13657</v>
      </c>
      <c r="N2417" s="28" t="s">
        <v>9638</v>
      </c>
      <c r="O2417" s="28" t="s">
        <v>9639</v>
      </c>
      <c r="P2417" s="28" t="s">
        <v>13658</v>
      </c>
    </row>
    <row r="2418" spans="1:16" x14ac:dyDescent="0.25">
      <c r="A2418" s="28" t="s">
        <v>13659</v>
      </c>
      <c r="B2418" s="28" t="s">
        <v>13660</v>
      </c>
      <c r="C2418" s="28" t="s">
        <v>132</v>
      </c>
      <c r="D2418" s="28" t="s">
        <v>1204</v>
      </c>
      <c r="E2418" s="28" t="s">
        <v>13661</v>
      </c>
      <c r="F2418" s="28" t="s">
        <v>21</v>
      </c>
      <c r="G2418" s="28" t="s">
        <v>135</v>
      </c>
      <c r="H2418" s="28" t="s">
        <v>10259</v>
      </c>
      <c r="I2418" s="28" t="s">
        <v>13662</v>
      </c>
      <c r="J2418" s="28" t="s">
        <v>135</v>
      </c>
      <c r="K2418" s="28" t="s">
        <v>10551</v>
      </c>
      <c r="L2418" s="28" t="s">
        <v>10262</v>
      </c>
      <c r="M2418" s="28" t="s">
        <v>13663</v>
      </c>
      <c r="N2418" s="28" t="s">
        <v>10264</v>
      </c>
      <c r="O2418" s="28" t="s">
        <v>10265</v>
      </c>
      <c r="P2418" s="28" t="s">
        <v>10266</v>
      </c>
    </row>
    <row r="2419" spans="1:16" x14ac:dyDescent="0.25">
      <c r="A2419" s="28" t="s">
        <v>13664</v>
      </c>
      <c r="B2419" s="28" t="s">
        <v>13665</v>
      </c>
      <c r="C2419" s="28" t="s">
        <v>132</v>
      </c>
      <c r="D2419" s="28" t="s">
        <v>1204</v>
      </c>
      <c r="E2419" s="28" t="s">
        <v>13666</v>
      </c>
      <c r="F2419" s="28" t="s">
        <v>21</v>
      </c>
      <c r="G2419" s="28" t="s">
        <v>135</v>
      </c>
      <c r="H2419" s="28" t="s">
        <v>10259</v>
      </c>
      <c r="I2419" s="28" t="s">
        <v>13667</v>
      </c>
      <c r="J2419" s="28" t="s">
        <v>135</v>
      </c>
      <c r="K2419" s="28" t="s">
        <v>10551</v>
      </c>
      <c r="L2419" s="28" t="s">
        <v>10262</v>
      </c>
      <c r="M2419" s="28" t="s">
        <v>13668</v>
      </c>
      <c r="N2419" s="28" t="s">
        <v>10264</v>
      </c>
      <c r="O2419" s="28" t="s">
        <v>10265</v>
      </c>
      <c r="P2419" s="28" t="s">
        <v>10266</v>
      </c>
    </row>
    <row r="2420" spans="1:16" x14ac:dyDescent="0.25">
      <c r="A2420" s="28" t="s">
        <v>13669</v>
      </c>
      <c r="B2420" s="28" t="s">
        <v>13670</v>
      </c>
      <c r="C2420" s="28" t="s">
        <v>132</v>
      </c>
      <c r="D2420" s="28" t="s">
        <v>1204</v>
      </c>
      <c r="E2420" s="28" t="s">
        <v>13671</v>
      </c>
      <c r="F2420" s="28" t="s">
        <v>21</v>
      </c>
      <c r="G2420" s="28" t="s">
        <v>149</v>
      </c>
      <c r="H2420" s="28" t="s">
        <v>9633</v>
      </c>
      <c r="I2420" s="28" t="s">
        <v>13672</v>
      </c>
      <c r="J2420" s="28" t="s">
        <v>149</v>
      </c>
      <c r="K2420" s="28" t="s">
        <v>9722</v>
      </c>
      <c r="L2420" s="28" t="s">
        <v>9636</v>
      </c>
      <c r="M2420" s="28" t="s">
        <v>13673</v>
      </c>
      <c r="N2420" s="28" t="s">
        <v>9638</v>
      </c>
      <c r="O2420" s="28" t="s">
        <v>9639</v>
      </c>
      <c r="P2420" s="28" t="s">
        <v>13674</v>
      </c>
    </row>
    <row r="2421" spans="1:16" x14ac:dyDescent="0.25">
      <c r="A2421" s="28" t="s">
        <v>13675</v>
      </c>
      <c r="B2421" s="28" t="s">
        <v>13676</v>
      </c>
      <c r="C2421" s="28" t="s">
        <v>132</v>
      </c>
      <c r="D2421" s="28" t="s">
        <v>69</v>
      </c>
      <c r="E2421" s="28" t="s">
        <v>1006</v>
      </c>
      <c r="F2421" s="28" t="s">
        <v>21</v>
      </c>
      <c r="G2421" s="28" t="s">
        <v>207</v>
      </c>
      <c r="H2421" s="28" t="s">
        <v>9633</v>
      </c>
      <c r="I2421" s="28" t="s">
        <v>13677</v>
      </c>
      <c r="J2421" s="28" t="s">
        <v>207</v>
      </c>
      <c r="K2421" s="28" t="s">
        <v>9635</v>
      </c>
      <c r="L2421" s="28" t="s">
        <v>9636</v>
      </c>
      <c r="M2421" s="28" t="s">
        <v>13678</v>
      </c>
      <c r="N2421" s="28" t="s">
        <v>9638</v>
      </c>
      <c r="O2421" s="28" t="s">
        <v>9639</v>
      </c>
      <c r="P2421" s="28" t="s">
        <v>13679</v>
      </c>
    </row>
    <row r="2422" spans="1:16" x14ac:dyDescent="0.25">
      <c r="A2422" s="28" t="s">
        <v>13680</v>
      </c>
      <c r="B2422" s="28" t="s">
        <v>13681</v>
      </c>
      <c r="C2422" s="28" t="s">
        <v>132</v>
      </c>
      <c r="D2422" s="28" t="s">
        <v>69</v>
      </c>
      <c r="E2422" s="28" t="s">
        <v>13682</v>
      </c>
      <c r="F2422" s="28" t="s">
        <v>21</v>
      </c>
      <c r="G2422" s="28" t="s">
        <v>207</v>
      </c>
      <c r="H2422" s="28" t="s">
        <v>9633</v>
      </c>
      <c r="I2422" s="28" t="s">
        <v>13683</v>
      </c>
      <c r="J2422" s="28" t="s">
        <v>207</v>
      </c>
      <c r="K2422" s="28" t="s">
        <v>9635</v>
      </c>
      <c r="L2422" s="28" t="s">
        <v>9636</v>
      </c>
      <c r="M2422" s="28" t="s">
        <v>13684</v>
      </c>
      <c r="N2422" s="28" t="s">
        <v>9638</v>
      </c>
      <c r="O2422" s="28" t="s">
        <v>9639</v>
      </c>
      <c r="P2422" s="28" t="s">
        <v>13685</v>
      </c>
    </row>
    <row r="2423" spans="1:16" x14ac:dyDescent="0.25">
      <c r="A2423" s="28" t="s">
        <v>13686</v>
      </c>
      <c r="B2423" s="28" t="s">
        <v>13687</v>
      </c>
      <c r="C2423" s="28" t="s">
        <v>132</v>
      </c>
      <c r="D2423" s="28" t="s">
        <v>69</v>
      </c>
      <c r="E2423" s="28" t="s">
        <v>13682</v>
      </c>
      <c r="F2423" s="28" t="s">
        <v>21</v>
      </c>
      <c r="G2423" s="28" t="s">
        <v>207</v>
      </c>
      <c r="H2423" s="28" t="s">
        <v>9633</v>
      </c>
      <c r="I2423" s="28" t="s">
        <v>13688</v>
      </c>
      <c r="J2423" s="28" t="s">
        <v>207</v>
      </c>
      <c r="K2423" s="28" t="s">
        <v>9635</v>
      </c>
      <c r="L2423" s="28" t="s">
        <v>9636</v>
      </c>
      <c r="M2423" s="28" t="s">
        <v>13689</v>
      </c>
      <c r="N2423" s="28" t="s">
        <v>9638</v>
      </c>
      <c r="O2423" s="28" t="s">
        <v>9639</v>
      </c>
      <c r="P2423" s="28" t="s">
        <v>13690</v>
      </c>
    </row>
    <row r="2424" spans="1:16" x14ac:dyDescent="0.25">
      <c r="A2424" s="28" t="s">
        <v>13691</v>
      </c>
      <c r="B2424" s="28" t="s">
        <v>13692</v>
      </c>
      <c r="C2424" s="28" t="s">
        <v>132</v>
      </c>
      <c r="D2424" s="28" t="s">
        <v>69</v>
      </c>
      <c r="E2424" s="28" t="s">
        <v>13693</v>
      </c>
      <c r="F2424" s="28" t="s">
        <v>21</v>
      </c>
      <c r="G2424" s="28" t="s">
        <v>135</v>
      </c>
      <c r="H2424" s="28" t="s">
        <v>10259</v>
      </c>
      <c r="I2424" s="28" t="s">
        <v>13694</v>
      </c>
      <c r="J2424" s="28" t="s">
        <v>135</v>
      </c>
      <c r="K2424" s="28" t="s">
        <v>10551</v>
      </c>
      <c r="L2424" s="28" t="s">
        <v>10262</v>
      </c>
      <c r="M2424" s="28" t="s">
        <v>13695</v>
      </c>
      <c r="N2424" s="28" t="s">
        <v>10264</v>
      </c>
      <c r="O2424" s="28" t="s">
        <v>10265</v>
      </c>
      <c r="P2424" s="28" t="s">
        <v>10266</v>
      </c>
    </row>
    <row r="2425" spans="1:16" x14ac:dyDescent="0.25">
      <c r="A2425" s="28" t="s">
        <v>13696</v>
      </c>
      <c r="B2425" s="28" t="s">
        <v>13697</v>
      </c>
      <c r="C2425" s="28" t="s">
        <v>132</v>
      </c>
      <c r="D2425" s="28" t="s">
        <v>69</v>
      </c>
      <c r="E2425" s="28" t="s">
        <v>1034</v>
      </c>
      <c r="F2425" s="28" t="s">
        <v>21</v>
      </c>
      <c r="G2425" s="28" t="s">
        <v>207</v>
      </c>
      <c r="H2425" s="28" t="s">
        <v>9633</v>
      </c>
      <c r="I2425" s="28" t="s">
        <v>13698</v>
      </c>
      <c r="J2425" s="28" t="s">
        <v>207</v>
      </c>
      <c r="K2425" s="28" t="s">
        <v>9635</v>
      </c>
      <c r="L2425" s="28" t="s">
        <v>9636</v>
      </c>
      <c r="M2425" s="28" t="s">
        <v>13699</v>
      </c>
      <c r="N2425" s="28" t="s">
        <v>9638</v>
      </c>
      <c r="O2425" s="28" t="s">
        <v>9639</v>
      </c>
      <c r="P2425" s="28" t="s">
        <v>13700</v>
      </c>
    </row>
    <row r="2426" spans="1:16" x14ac:dyDescent="0.25">
      <c r="A2426" s="28" t="s">
        <v>13701</v>
      </c>
      <c r="B2426" s="28" t="s">
        <v>13702</v>
      </c>
      <c r="C2426" s="28" t="s">
        <v>132</v>
      </c>
      <c r="D2426" s="28" t="s">
        <v>69</v>
      </c>
      <c r="E2426" s="28" t="s">
        <v>1034</v>
      </c>
      <c r="F2426" s="28" t="s">
        <v>21</v>
      </c>
      <c r="G2426" s="28" t="s">
        <v>207</v>
      </c>
      <c r="H2426" s="28" t="s">
        <v>9633</v>
      </c>
      <c r="I2426" s="28" t="s">
        <v>13703</v>
      </c>
      <c r="J2426" s="28" t="s">
        <v>207</v>
      </c>
      <c r="K2426" s="28" t="s">
        <v>9635</v>
      </c>
      <c r="L2426" s="28" t="s">
        <v>9636</v>
      </c>
      <c r="M2426" s="28" t="s">
        <v>13704</v>
      </c>
      <c r="N2426" s="28" t="s">
        <v>9638</v>
      </c>
      <c r="O2426" s="28" t="s">
        <v>9639</v>
      </c>
      <c r="P2426" s="28" t="s">
        <v>13705</v>
      </c>
    </row>
    <row r="2427" spans="1:16" x14ac:dyDescent="0.25">
      <c r="A2427" s="28" t="s">
        <v>13706</v>
      </c>
      <c r="B2427" s="28" t="s">
        <v>13707</v>
      </c>
      <c r="C2427" s="28" t="s">
        <v>132</v>
      </c>
      <c r="D2427" s="28" t="s">
        <v>69</v>
      </c>
      <c r="E2427" s="28" t="s">
        <v>13708</v>
      </c>
      <c r="F2427" s="28" t="s">
        <v>21</v>
      </c>
      <c r="G2427" s="28" t="s">
        <v>135</v>
      </c>
      <c r="H2427" s="28" t="s">
        <v>9633</v>
      </c>
      <c r="I2427" s="28" t="s">
        <v>13709</v>
      </c>
      <c r="J2427" s="28" t="s">
        <v>135</v>
      </c>
      <c r="K2427" s="28" t="s">
        <v>10125</v>
      </c>
      <c r="L2427" s="28" t="s">
        <v>9636</v>
      </c>
      <c r="M2427" s="28" t="s">
        <v>13710</v>
      </c>
      <c r="N2427" s="28" t="s">
        <v>9638</v>
      </c>
      <c r="O2427" s="28" t="s">
        <v>9639</v>
      </c>
      <c r="P2427" s="28" t="s">
        <v>13711</v>
      </c>
    </row>
    <row r="2428" spans="1:16" x14ac:dyDescent="0.25">
      <c r="A2428" s="28" t="s">
        <v>13712</v>
      </c>
      <c r="B2428" s="28" t="s">
        <v>13713</v>
      </c>
      <c r="C2428" s="28" t="s">
        <v>132</v>
      </c>
      <c r="D2428" s="28" t="s">
        <v>69</v>
      </c>
      <c r="E2428" s="28" t="s">
        <v>13708</v>
      </c>
      <c r="F2428" s="28" t="s">
        <v>21</v>
      </c>
      <c r="G2428" s="28" t="s">
        <v>135</v>
      </c>
      <c r="H2428" s="28" t="s">
        <v>9633</v>
      </c>
      <c r="I2428" s="28" t="s">
        <v>13714</v>
      </c>
      <c r="J2428" s="28" t="s">
        <v>135</v>
      </c>
      <c r="K2428" s="28" t="s">
        <v>10125</v>
      </c>
      <c r="L2428" s="28" t="s">
        <v>9636</v>
      </c>
      <c r="M2428" s="28" t="s">
        <v>13710</v>
      </c>
      <c r="N2428" s="28" t="s">
        <v>9638</v>
      </c>
      <c r="O2428" s="28" t="s">
        <v>9639</v>
      </c>
      <c r="P2428" s="28" t="s">
        <v>13715</v>
      </c>
    </row>
    <row r="2429" spans="1:16" x14ac:dyDescent="0.25">
      <c r="A2429" s="28" t="s">
        <v>13716</v>
      </c>
      <c r="B2429" s="28" t="s">
        <v>13717</v>
      </c>
      <c r="C2429" s="28" t="s">
        <v>132</v>
      </c>
      <c r="D2429" s="28" t="s">
        <v>69</v>
      </c>
      <c r="E2429" s="28" t="s">
        <v>13708</v>
      </c>
      <c r="F2429" s="28" t="s">
        <v>21</v>
      </c>
      <c r="G2429" s="28" t="s">
        <v>135</v>
      </c>
      <c r="H2429" s="28" t="s">
        <v>9633</v>
      </c>
      <c r="I2429" s="28" t="s">
        <v>13718</v>
      </c>
      <c r="J2429" s="28" t="s">
        <v>135</v>
      </c>
      <c r="K2429" s="28" t="s">
        <v>10125</v>
      </c>
      <c r="L2429" s="28" t="s">
        <v>9636</v>
      </c>
      <c r="M2429" s="28" t="s">
        <v>13710</v>
      </c>
      <c r="N2429" s="28" t="s">
        <v>9638</v>
      </c>
      <c r="O2429" s="28" t="s">
        <v>9639</v>
      </c>
      <c r="P2429" s="28" t="s">
        <v>13719</v>
      </c>
    </row>
    <row r="2430" spans="1:16" x14ac:dyDescent="0.25">
      <c r="A2430" s="28" t="s">
        <v>13720</v>
      </c>
      <c r="B2430" s="28" t="s">
        <v>13721</v>
      </c>
      <c r="C2430" s="28" t="s">
        <v>132</v>
      </c>
      <c r="D2430" s="28" t="s">
        <v>69</v>
      </c>
      <c r="E2430" s="28" t="s">
        <v>13722</v>
      </c>
      <c r="F2430" s="28" t="s">
        <v>21</v>
      </c>
      <c r="G2430" s="28" t="s">
        <v>135</v>
      </c>
      <c r="H2430" s="28" t="s">
        <v>9633</v>
      </c>
      <c r="I2430" s="28" t="s">
        <v>13723</v>
      </c>
      <c r="J2430" s="28" t="s">
        <v>135</v>
      </c>
      <c r="K2430" s="28" t="s">
        <v>10125</v>
      </c>
      <c r="L2430" s="28" t="s">
        <v>9636</v>
      </c>
      <c r="M2430" s="28" t="s">
        <v>13724</v>
      </c>
      <c r="N2430" s="28" t="s">
        <v>9638</v>
      </c>
      <c r="O2430" s="28" t="s">
        <v>9639</v>
      </c>
      <c r="P2430" s="28" t="s">
        <v>13725</v>
      </c>
    </row>
    <row r="2431" spans="1:16" x14ac:dyDescent="0.25">
      <c r="A2431" s="28" t="s">
        <v>13726</v>
      </c>
      <c r="B2431" s="28" t="s">
        <v>13727</v>
      </c>
      <c r="C2431" s="28" t="s">
        <v>132</v>
      </c>
      <c r="D2431" s="28" t="s">
        <v>69</v>
      </c>
      <c r="E2431" s="28" t="s">
        <v>13722</v>
      </c>
      <c r="F2431" s="28" t="s">
        <v>21</v>
      </c>
      <c r="G2431" s="28" t="s">
        <v>135</v>
      </c>
      <c r="H2431" s="28" t="s">
        <v>9633</v>
      </c>
      <c r="I2431" s="28" t="s">
        <v>13728</v>
      </c>
      <c r="J2431" s="28" t="s">
        <v>135</v>
      </c>
      <c r="K2431" s="28" t="s">
        <v>10125</v>
      </c>
      <c r="L2431" s="28" t="s">
        <v>9636</v>
      </c>
      <c r="M2431" s="28" t="s">
        <v>13724</v>
      </c>
      <c r="N2431" s="28" t="s">
        <v>9638</v>
      </c>
      <c r="O2431" s="28" t="s">
        <v>9639</v>
      </c>
      <c r="P2431" s="28" t="s">
        <v>13729</v>
      </c>
    </row>
    <row r="2432" spans="1:16" x14ac:dyDescent="0.25">
      <c r="A2432" s="28" t="s">
        <v>13730</v>
      </c>
      <c r="B2432" s="28" t="s">
        <v>13731</v>
      </c>
      <c r="C2432" s="28" t="s">
        <v>132</v>
      </c>
      <c r="D2432" s="28" t="s">
        <v>69</v>
      </c>
      <c r="E2432" s="28" t="s">
        <v>13722</v>
      </c>
      <c r="F2432" s="28" t="s">
        <v>21</v>
      </c>
      <c r="G2432" s="28" t="s">
        <v>135</v>
      </c>
      <c r="H2432" s="28" t="s">
        <v>9633</v>
      </c>
      <c r="I2432" s="28" t="s">
        <v>13732</v>
      </c>
      <c r="J2432" s="28" t="s">
        <v>135</v>
      </c>
      <c r="K2432" s="28" t="s">
        <v>10125</v>
      </c>
      <c r="L2432" s="28" t="s">
        <v>9636</v>
      </c>
      <c r="M2432" s="28" t="s">
        <v>13724</v>
      </c>
      <c r="N2432" s="28" t="s">
        <v>9638</v>
      </c>
      <c r="O2432" s="28" t="s">
        <v>9639</v>
      </c>
      <c r="P2432" s="28" t="s">
        <v>13733</v>
      </c>
    </row>
    <row r="2433" spans="1:16" x14ac:dyDescent="0.25">
      <c r="A2433" s="28" t="s">
        <v>13734</v>
      </c>
      <c r="B2433" s="28" t="s">
        <v>13735</v>
      </c>
      <c r="C2433" s="28" t="s">
        <v>132</v>
      </c>
      <c r="D2433" s="28" t="s">
        <v>69</v>
      </c>
      <c r="E2433" s="28" t="s">
        <v>13736</v>
      </c>
      <c r="F2433" s="28" t="s">
        <v>21</v>
      </c>
      <c r="G2433" s="28" t="s">
        <v>135</v>
      </c>
      <c r="H2433" s="28" t="s">
        <v>9633</v>
      </c>
      <c r="I2433" s="28" t="s">
        <v>13737</v>
      </c>
      <c r="J2433" s="28" t="s">
        <v>135</v>
      </c>
      <c r="K2433" s="28" t="s">
        <v>10125</v>
      </c>
      <c r="L2433" s="28" t="s">
        <v>9636</v>
      </c>
      <c r="M2433" s="28" t="s">
        <v>13738</v>
      </c>
      <c r="N2433" s="28" t="s">
        <v>9638</v>
      </c>
      <c r="O2433" s="28" t="s">
        <v>9639</v>
      </c>
      <c r="P2433" s="28" t="s">
        <v>13739</v>
      </c>
    </row>
    <row r="2434" spans="1:16" x14ac:dyDescent="0.25">
      <c r="A2434" s="28" t="s">
        <v>13740</v>
      </c>
      <c r="B2434" s="28" t="s">
        <v>13741</v>
      </c>
      <c r="C2434" s="28" t="s">
        <v>132</v>
      </c>
      <c r="D2434" s="28" t="s">
        <v>69</v>
      </c>
      <c r="E2434" s="28" t="s">
        <v>13736</v>
      </c>
      <c r="F2434" s="28" t="s">
        <v>21</v>
      </c>
      <c r="G2434" s="28" t="s">
        <v>135</v>
      </c>
      <c r="H2434" s="28" t="s">
        <v>9633</v>
      </c>
      <c r="I2434" s="28" t="s">
        <v>13742</v>
      </c>
      <c r="J2434" s="28" t="s">
        <v>135</v>
      </c>
      <c r="K2434" s="28" t="s">
        <v>10125</v>
      </c>
      <c r="L2434" s="28" t="s">
        <v>9636</v>
      </c>
      <c r="M2434" s="28" t="s">
        <v>13738</v>
      </c>
      <c r="N2434" s="28" t="s">
        <v>9638</v>
      </c>
      <c r="O2434" s="28" t="s">
        <v>9639</v>
      </c>
      <c r="P2434" s="28" t="s">
        <v>13743</v>
      </c>
    </row>
    <row r="2435" spans="1:16" x14ac:dyDescent="0.25">
      <c r="A2435" s="28" t="s">
        <v>13744</v>
      </c>
      <c r="B2435" s="28" t="s">
        <v>13745</v>
      </c>
      <c r="C2435" s="28" t="s">
        <v>132</v>
      </c>
      <c r="D2435" s="28" t="s">
        <v>69</v>
      </c>
      <c r="E2435" s="28" t="s">
        <v>13736</v>
      </c>
      <c r="F2435" s="28" t="s">
        <v>21</v>
      </c>
      <c r="G2435" s="28" t="s">
        <v>135</v>
      </c>
      <c r="H2435" s="28" t="s">
        <v>9633</v>
      </c>
      <c r="I2435" s="28" t="s">
        <v>13746</v>
      </c>
      <c r="J2435" s="28" t="s">
        <v>135</v>
      </c>
      <c r="K2435" s="28" t="s">
        <v>10125</v>
      </c>
      <c r="L2435" s="28" t="s">
        <v>9636</v>
      </c>
      <c r="M2435" s="28" t="s">
        <v>13738</v>
      </c>
      <c r="N2435" s="28" t="s">
        <v>9638</v>
      </c>
      <c r="O2435" s="28" t="s">
        <v>9639</v>
      </c>
      <c r="P2435" s="28" t="s">
        <v>13747</v>
      </c>
    </row>
    <row r="2436" spans="1:16" x14ac:dyDescent="0.25">
      <c r="A2436" s="28" t="s">
        <v>13748</v>
      </c>
      <c r="B2436" s="28" t="s">
        <v>13749</v>
      </c>
      <c r="C2436" s="28" t="s">
        <v>132</v>
      </c>
      <c r="D2436" s="28" t="s">
        <v>69</v>
      </c>
      <c r="E2436" s="28" t="s">
        <v>13750</v>
      </c>
      <c r="F2436" s="28" t="s">
        <v>21</v>
      </c>
      <c r="G2436" s="28" t="s">
        <v>135</v>
      </c>
      <c r="H2436" s="28" t="s">
        <v>9633</v>
      </c>
      <c r="I2436" s="28" t="s">
        <v>13751</v>
      </c>
      <c r="J2436" s="28" t="s">
        <v>135</v>
      </c>
      <c r="K2436" s="28" t="s">
        <v>10125</v>
      </c>
      <c r="L2436" s="28" t="s">
        <v>9636</v>
      </c>
      <c r="M2436" s="28" t="s">
        <v>13752</v>
      </c>
      <c r="N2436" s="28" t="s">
        <v>9638</v>
      </c>
      <c r="O2436" s="28" t="s">
        <v>9639</v>
      </c>
      <c r="P2436" s="28" t="s">
        <v>13753</v>
      </c>
    </row>
    <row r="2437" spans="1:16" x14ac:dyDescent="0.25">
      <c r="A2437" s="28" t="s">
        <v>13754</v>
      </c>
      <c r="B2437" s="28" t="s">
        <v>13755</v>
      </c>
      <c r="C2437" s="28" t="s">
        <v>132</v>
      </c>
      <c r="D2437" s="28" t="s">
        <v>69</v>
      </c>
      <c r="E2437" s="28" t="s">
        <v>13750</v>
      </c>
      <c r="F2437" s="28" t="s">
        <v>21</v>
      </c>
      <c r="G2437" s="28" t="s">
        <v>135</v>
      </c>
      <c r="H2437" s="28" t="s">
        <v>9633</v>
      </c>
      <c r="I2437" s="28" t="s">
        <v>13756</v>
      </c>
      <c r="J2437" s="28" t="s">
        <v>135</v>
      </c>
      <c r="K2437" s="28" t="s">
        <v>10125</v>
      </c>
      <c r="L2437" s="28" t="s">
        <v>9636</v>
      </c>
      <c r="M2437" s="28" t="s">
        <v>13752</v>
      </c>
      <c r="N2437" s="28" t="s">
        <v>9638</v>
      </c>
      <c r="O2437" s="28" t="s">
        <v>9639</v>
      </c>
      <c r="P2437" s="28" t="s">
        <v>13757</v>
      </c>
    </row>
    <row r="2438" spans="1:16" x14ac:dyDescent="0.25">
      <c r="A2438" s="28" t="s">
        <v>13758</v>
      </c>
      <c r="B2438" s="28" t="s">
        <v>13759</v>
      </c>
      <c r="C2438" s="28" t="s">
        <v>132</v>
      </c>
      <c r="D2438" s="28" t="s">
        <v>69</v>
      </c>
      <c r="E2438" s="28" t="s">
        <v>13750</v>
      </c>
      <c r="F2438" s="28" t="s">
        <v>21</v>
      </c>
      <c r="G2438" s="28" t="s">
        <v>135</v>
      </c>
      <c r="H2438" s="28" t="s">
        <v>9633</v>
      </c>
      <c r="I2438" s="28" t="s">
        <v>13760</v>
      </c>
      <c r="J2438" s="28" t="s">
        <v>135</v>
      </c>
      <c r="K2438" s="28" t="s">
        <v>10125</v>
      </c>
      <c r="L2438" s="28" t="s">
        <v>9636</v>
      </c>
      <c r="M2438" s="28" t="s">
        <v>13752</v>
      </c>
      <c r="N2438" s="28" t="s">
        <v>9638</v>
      </c>
      <c r="O2438" s="28" t="s">
        <v>9639</v>
      </c>
      <c r="P2438" s="28" t="s">
        <v>13761</v>
      </c>
    </row>
    <row r="2439" spans="1:16" x14ac:dyDescent="0.25">
      <c r="A2439" s="28" t="s">
        <v>13762</v>
      </c>
      <c r="B2439" s="28" t="s">
        <v>13763</v>
      </c>
      <c r="C2439" s="28" t="s">
        <v>132</v>
      </c>
      <c r="D2439" s="28" t="s">
        <v>69</v>
      </c>
      <c r="E2439" s="28" t="s">
        <v>13764</v>
      </c>
      <c r="F2439" s="28" t="s">
        <v>21</v>
      </c>
      <c r="G2439" s="28" t="s">
        <v>135</v>
      </c>
      <c r="H2439" s="28" t="s">
        <v>9633</v>
      </c>
      <c r="I2439" s="28" t="s">
        <v>13765</v>
      </c>
      <c r="J2439" s="28" t="s">
        <v>135</v>
      </c>
      <c r="K2439" s="28" t="s">
        <v>10125</v>
      </c>
      <c r="L2439" s="28" t="s">
        <v>9636</v>
      </c>
      <c r="M2439" s="28" t="s">
        <v>13766</v>
      </c>
      <c r="N2439" s="28" t="s">
        <v>9638</v>
      </c>
      <c r="O2439" s="28" t="s">
        <v>9639</v>
      </c>
      <c r="P2439" s="28" t="s">
        <v>13767</v>
      </c>
    </row>
    <row r="2440" spans="1:16" x14ac:dyDescent="0.25">
      <c r="A2440" s="28" t="s">
        <v>13768</v>
      </c>
      <c r="B2440" s="28" t="s">
        <v>13769</v>
      </c>
      <c r="C2440" s="28" t="s">
        <v>132</v>
      </c>
      <c r="D2440" s="28" t="s">
        <v>69</v>
      </c>
      <c r="E2440" s="28" t="s">
        <v>13764</v>
      </c>
      <c r="F2440" s="28" t="s">
        <v>21</v>
      </c>
      <c r="G2440" s="28" t="s">
        <v>135</v>
      </c>
      <c r="H2440" s="28" t="s">
        <v>9633</v>
      </c>
      <c r="I2440" s="28" t="s">
        <v>13770</v>
      </c>
      <c r="J2440" s="28" t="s">
        <v>135</v>
      </c>
      <c r="K2440" s="28" t="s">
        <v>10125</v>
      </c>
      <c r="L2440" s="28" t="s">
        <v>9636</v>
      </c>
      <c r="M2440" s="28" t="s">
        <v>13766</v>
      </c>
      <c r="N2440" s="28" t="s">
        <v>9638</v>
      </c>
      <c r="O2440" s="28" t="s">
        <v>9639</v>
      </c>
      <c r="P2440" s="28" t="s">
        <v>13771</v>
      </c>
    </row>
    <row r="2441" spans="1:16" x14ac:dyDescent="0.25">
      <c r="A2441" s="28" t="s">
        <v>13772</v>
      </c>
      <c r="B2441" s="28" t="s">
        <v>13773</v>
      </c>
      <c r="C2441" s="28" t="s">
        <v>132</v>
      </c>
      <c r="D2441" s="28" t="s">
        <v>69</v>
      </c>
      <c r="E2441" s="28" t="s">
        <v>13764</v>
      </c>
      <c r="F2441" s="28" t="s">
        <v>21</v>
      </c>
      <c r="G2441" s="28" t="s">
        <v>135</v>
      </c>
      <c r="H2441" s="28" t="s">
        <v>9633</v>
      </c>
      <c r="I2441" s="28" t="s">
        <v>13774</v>
      </c>
      <c r="J2441" s="28" t="s">
        <v>135</v>
      </c>
      <c r="K2441" s="28" t="s">
        <v>10125</v>
      </c>
      <c r="L2441" s="28" t="s">
        <v>9636</v>
      </c>
      <c r="M2441" s="28" t="s">
        <v>13766</v>
      </c>
      <c r="N2441" s="28" t="s">
        <v>9638</v>
      </c>
      <c r="O2441" s="28" t="s">
        <v>9639</v>
      </c>
      <c r="P2441" s="28" t="s">
        <v>13775</v>
      </c>
    </row>
    <row r="2442" spans="1:16" x14ac:dyDescent="0.25">
      <c r="A2442" s="28" t="s">
        <v>13776</v>
      </c>
      <c r="B2442" s="28" t="s">
        <v>13777</v>
      </c>
      <c r="C2442" s="28" t="s">
        <v>132</v>
      </c>
      <c r="D2442" s="28" t="s">
        <v>69</v>
      </c>
      <c r="E2442" s="28" t="s">
        <v>13778</v>
      </c>
      <c r="F2442" s="28" t="s">
        <v>21</v>
      </c>
      <c r="G2442" s="28" t="s">
        <v>207</v>
      </c>
      <c r="H2442" s="28" t="s">
        <v>9633</v>
      </c>
      <c r="I2442" s="28" t="s">
        <v>13779</v>
      </c>
      <c r="J2442" s="28" t="s">
        <v>207</v>
      </c>
      <c r="K2442" s="28" t="s">
        <v>9635</v>
      </c>
      <c r="L2442" s="28" t="s">
        <v>9636</v>
      </c>
      <c r="M2442" s="28" t="s">
        <v>13780</v>
      </c>
      <c r="N2442" s="28" t="s">
        <v>9638</v>
      </c>
      <c r="O2442" s="28" t="s">
        <v>9639</v>
      </c>
      <c r="P2442" s="28" t="s">
        <v>13781</v>
      </c>
    </row>
    <row r="2443" spans="1:16" x14ac:dyDescent="0.25">
      <c r="A2443" s="28" t="s">
        <v>13782</v>
      </c>
      <c r="B2443" s="28" t="s">
        <v>13783</v>
      </c>
      <c r="C2443" s="28" t="s">
        <v>132</v>
      </c>
      <c r="D2443" s="28" t="s">
        <v>69</v>
      </c>
      <c r="E2443" s="28" t="s">
        <v>13784</v>
      </c>
      <c r="F2443" s="28" t="s">
        <v>21</v>
      </c>
      <c r="G2443" s="28" t="s">
        <v>207</v>
      </c>
      <c r="H2443" s="28" t="s">
        <v>9633</v>
      </c>
      <c r="I2443" s="28" t="s">
        <v>13785</v>
      </c>
      <c r="J2443" s="28" t="s">
        <v>207</v>
      </c>
      <c r="K2443" s="28" t="s">
        <v>9635</v>
      </c>
      <c r="L2443" s="28" t="s">
        <v>9636</v>
      </c>
      <c r="M2443" s="28" t="s">
        <v>13786</v>
      </c>
      <c r="N2443" s="28" t="s">
        <v>9638</v>
      </c>
      <c r="O2443" s="28" t="s">
        <v>9639</v>
      </c>
      <c r="P2443" s="28" t="s">
        <v>13787</v>
      </c>
    </row>
    <row r="2444" spans="1:16" x14ac:dyDescent="0.25">
      <c r="A2444" s="28" t="s">
        <v>13788</v>
      </c>
      <c r="B2444" s="28" t="s">
        <v>13789</v>
      </c>
      <c r="C2444" s="28" t="s">
        <v>132</v>
      </c>
      <c r="D2444" s="28" t="s">
        <v>69</v>
      </c>
      <c r="E2444" s="28" t="s">
        <v>13790</v>
      </c>
      <c r="F2444" s="28" t="s">
        <v>21</v>
      </c>
      <c r="G2444" s="28" t="s">
        <v>207</v>
      </c>
      <c r="H2444" s="28" t="s">
        <v>9633</v>
      </c>
      <c r="I2444" s="28" t="s">
        <v>13791</v>
      </c>
      <c r="J2444" s="28" t="s">
        <v>207</v>
      </c>
      <c r="K2444" s="28" t="s">
        <v>9635</v>
      </c>
      <c r="L2444" s="28" t="s">
        <v>9636</v>
      </c>
      <c r="M2444" s="28" t="s">
        <v>13792</v>
      </c>
      <c r="N2444" s="28" t="s">
        <v>9638</v>
      </c>
      <c r="O2444" s="28" t="s">
        <v>9639</v>
      </c>
      <c r="P2444" s="28" t="s">
        <v>13793</v>
      </c>
    </row>
    <row r="2445" spans="1:16" x14ac:dyDescent="0.25">
      <c r="A2445" s="28" t="s">
        <v>13794</v>
      </c>
      <c r="B2445" s="28" t="s">
        <v>13795</v>
      </c>
      <c r="C2445" s="28" t="s">
        <v>132</v>
      </c>
      <c r="D2445" s="28" t="s">
        <v>69</v>
      </c>
      <c r="E2445" s="28" t="s">
        <v>13790</v>
      </c>
      <c r="F2445" s="28" t="s">
        <v>21</v>
      </c>
      <c r="G2445" s="28" t="s">
        <v>207</v>
      </c>
      <c r="H2445" s="28" t="s">
        <v>9633</v>
      </c>
      <c r="I2445" s="28" t="s">
        <v>13796</v>
      </c>
      <c r="J2445" s="28" t="s">
        <v>207</v>
      </c>
      <c r="K2445" s="28" t="s">
        <v>9635</v>
      </c>
      <c r="L2445" s="28" t="s">
        <v>9636</v>
      </c>
      <c r="M2445" s="28" t="s">
        <v>13797</v>
      </c>
      <c r="N2445" s="28" t="s">
        <v>9638</v>
      </c>
      <c r="O2445" s="28" t="s">
        <v>9639</v>
      </c>
      <c r="P2445" s="28" t="s">
        <v>13793</v>
      </c>
    </row>
    <row r="2446" spans="1:16" x14ac:dyDescent="0.25">
      <c r="A2446" s="28" t="s">
        <v>13798</v>
      </c>
      <c r="B2446" s="28" t="s">
        <v>13799</v>
      </c>
      <c r="C2446" s="28" t="s">
        <v>132</v>
      </c>
      <c r="D2446" s="28" t="s">
        <v>69</v>
      </c>
      <c r="E2446" s="28" t="s">
        <v>13790</v>
      </c>
      <c r="F2446" s="28" t="s">
        <v>21</v>
      </c>
      <c r="G2446" s="28" t="s">
        <v>207</v>
      </c>
      <c r="H2446" s="28" t="s">
        <v>9633</v>
      </c>
      <c r="I2446" s="28" t="s">
        <v>13800</v>
      </c>
      <c r="J2446" s="28" t="s">
        <v>207</v>
      </c>
      <c r="K2446" s="28" t="s">
        <v>9635</v>
      </c>
      <c r="L2446" s="28" t="s">
        <v>9636</v>
      </c>
      <c r="M2446" s="28" t="s">
        <v>13801</v>
      </c>
      <c r="N2446" s="28" t="s">
        <v>9638</v>
      </c>
      <c r="O2446" s="28" t="s">
        <v>9639</v>
      </c>
      <c r="P2446" s="28" t="s">
        <v>13793</v>
      </c>
    </row>
    <row r="2447" spans="1:16" x14ac:dyDescent="0.25">
      <c r="A2447" s="28" t="s">
        <v>13802</v>
      </c>
      <c r="B2447" s="28" t="s">
        <v>13803</v>
      </c>
      <c r="C2447" s="28" t="s">
        <v>132</v>
      </c>
      <c r="D2447" s="28" t="s">
        <v>69</v>
      </c>
      <c r="E2447" s="28" t="s">
        <v>13790</v>
      </c>
      <c r="F2447" s="28" t="s">
        <v>21</v>
      </c>
      <c r="G2447" s="28" t="s">
        <v>207</v>
      </c>
      <c r="H2447" s="28" t="s">
        <v>9633</v>
      </c>
      <c r="I2447" s="28" t="s">
        <v>13804</v>
      </c>
      <c r="J2447" s="28" t="s">
        <v>207</v>
      </c>
      <c r="K2447" s="28" t="s">
        <v>9635</v>
      </c>
      <c r="L2447" s="28" t="s">
        <v>9636</v>
      </c>
      <c r="M2447" s="28" t="s">
        <v>13805</v>
      </c>
      <c r="N2447" s="28" t="s">
        <v>9638</v>
      </c>
      <c r="O2447" s="28" t="s">
        <v>9639</v>
      </c>
      <c r="P2447" s="28" t="s">
        <v>13793</v>
      </c>
    </row>
    <row r="2448" spans="1:16" x14ac:dyDescent="0.25">
      <c r="A2448" s="28" t="s">
        <v>13806</v>
      </c>
      <c r="B2448" s="28" t="s">
        <v>13807</v>
      </c>
      <c r="C2448" s="28" t="s">
        <v>132</v>
      </c>
      <c r="D2448" s="28" t="s">
        <v>69</v>
      </c>
      <c r="E2448" s="28" t="s">
        <v>13790</v>
      </c>
      <c r="F2448" s="28" t="s">
        <v>21</v>
      </c>
      <c r="G2448" s="28" t="s">
        <v>207</v>
      </c>
      <c r="H2448" s="28" t="s">
        <v>9633</v>
      </c>
      <c r="I2448" s="28" t="s">
        <v>13808</v>
      </c>
      <c r="J2448" s="28" t="s">
        <v>207</v>
      </c>
      <c r="K2448" s="28" t="s">
        <v>9635</v>
      </c>
      <c r="L2448" s="28" t="s">
        <v>9636</v>
      </c>
      <c r="M2448" s="28" t="s">
        <v>13809</v>
      </c>
      <c r="N2448" s="28" t="s">
        <v>9638</v>
      </c>
      <c r="O2448" s="28" t="s">
        <v>9639</v>
      </c>
      <c r="P2448" s="28" t="s">
        <v>13793</v>
      </c>
    </row>
    <row r="2449" spans="1:16" x14ac:dyDescent="0.25">
      <c r="A2449" s="28" t="s">
        <v>13810</v>
      </c>
      <c r="B2449" s="28" t="s">
        <v>13811</v>
      </c>
      <c r="C2449" s="28" t="s">
        <v>132</v>
      </c>
      <c r="D2449" s="28" t="s">
        <v>69</v>
      </c>
      <c r="E2449" s="28" t="s">
        <v>13790</v>
      </c>
      <c r="F2449" s="28" t="s">
        <v>21</v>
      </c>
      <c r="G2449" s="28" t="s">
        <v>207</v>
      </c>
      <c r="H2449" s="28" t="s">
        <v>9633</v>
      </c>
      <c r="I2449" s="28" t="s">
        <v>13812</v>
      </c>
      <c r="J2449" s="28" t="s">
        <v>207</v>
      </c>
      <c r="K2449" s="28" t="s">
        <v>9635</v>
      </c>
      <c r="L2449" s="28" t="s">
        <v>9636</v>
      </c>
      <c r="M2449" s="28" t="s">
        <v>13813</v>
      </c>
      <c r="N2449" s="28" t="s">
        <v>9638</v>
      </c>
      <c r="O2449" s="28" t="s">
        <v>9639</v>
      </c>
      <c r="P2449" s="28" t="s">
        <v>13793</v>
      </c>
    </row>
    <row r="2450" spans="1:16" x14ac:dyDescent="0.25">
      <c r="A2450" s="28" t="s">
        <v>13814</v>
      </c>
      <c r="B2450" s="28" t="s">
        <v>13815</v>
      </c>
      <c r="C2450" s="28" t="s">
        <v>132</v>
      </c>
      <c r="D2450" s="28" t="s">
        <v>69</v>
      </c>
      <c r="E2450" s="28" t="s">
        <v>13790</v>
      </c>
      <c r="F2450" s="28" t="s">
        <v>21</v>
      </c>
      <c r="G2450" s="28" t="s">
        <v>207</v>
      </c>
      <c r="H2450" s="28" t="s">
        <v>9633</v>
      </c>
      <c r="I2450" s="28" t="s">
        <v>13816</v>
      </c>
      <c r="J2450" s="28" t="s">
        <v>207</v>
      </c>
      <c r="K2450" s="28" t="s">
        <v>9635</v>
      </c>
      <c r="L2450" s="28" t="s">
        <v>9636</v>
      </c>
      <c r="M2450" s="28" t="s">
        <v>13817</v>
      </c>
      <c r="N2450" s="28" t="s">
        <v>9638</v>
      </c>
      <c r="O2450" s="28" t="s">
        <v>9639</v>
      </c>
      <c r="P2450" s="28" t="s">
        <v>13793</v>
      </c>
    </row>
    <row r="2451" spans="1:16" x14ac:dyDescent="0.25">
      <c r="A2451" s="28" t="s">
        <v>13818</v>
      </c>
      <c r="B2451" s="28" t="s">
        <v>13819</v>
      </c>
      <c r="C2451" s="28" t="s">
        <v>132</v>
      </c>
      <c r="D2451" s="28" t="s">
        <v>69</v>
      </c>
      <c r="E2451" s="28" t="s">
        <v>1046</v>
      </c>
      <c r="F2451" s="28" t="s">
        <v>21</v>
      </c>
      <c r="G2451" s="28" t="s">
        <v>39</v>
      </c>
      <c r="H2451" s="28" t="s">
        <v>9711</v>
      </c>
      <c r="I2451" s="28" t="s">
        <v>13820</v>
      </c>
      <c r="J2451" s="28" t="s">
        <v>39</v>
      </c>
      <c r="K2451" s="28" t="s">
        <v>10506</v>
      </c>
      <c r="L2451" s="28" t="s">
        <v>9714</v>
      </c>
      <c r="M2451" s="28" t="s">
        <v>13821</v>
      </c>
      <c r="N2451" s="28" t="s">
        <v>9716</v>
      </c>
      <c r="O2451" s="28" t="s">
        <v>9717</v>
      </c>
      <c r="P2451" s="28" t="s">
        <v>13822</v>
      </c>
    </row>
    <row r="2452" spans="1:16" x14ac:dyDescent="0.25">
      <c r="A2452" s="28" t="s">
        <v>13823</v>
      </c>
      <c r="B2452" s="28" t="s">
        <v>13824</v>
      </c>
      <c r="C2452" s="28" t="s">
        <v>132</v>
      </c>
      <c r="D2452" s="28" t="s">
        <v>69</v>
      </c>
      <c r="E2452" s="28" t="s">
        <v>1046</v>
      </c>
      <c r="F2452" s="28" t="s">
        <v>21</v>
      </c>
      <c r="G2452" s="28" t="s">
        <v>39</v>
      </c>
      <c r="H2452" s="28" t="s">
        <v>9711</v>
      </c>
      <c r="I2452" s="28" t="s">
        <v>13825</v>
      </c>
      <c r="J2452" s="28" t="s">
        <v>39</v>
      </c>
      <c r="K2452" s="28" t="s">
        <v>10506</v>
      </c>
      <c r="L2452" s="28" t="s">
        <v>9714</v>
      </c>
      <c r="M2452" s="28" t="s">
        <v>13826</v>
      </c>
      <c r="N2452" s="28" t="s">
        <v>9716</v>
      </c>
      <c r="O2452" s="28" t="s">
        <v>9717</v>
      </c>
      <c r="P2452" s="28" t="s">
        <v>13827</v>
      </c>
    </row>
    <row r="2453" spans="1:16" x14ac:dyDescent="0.25">
      <c r="A2453" s="28" t="s">
        <v>13828</v>
      </c>
      <c r="B2453" s="28" t="s">
        <v>13829</v>
      </c>
      <c r="C2453" s="28" t="s">
        <v>132</v>
      </c>
      <c r="D2453" s="28" t="s">
        <v>69</v>
      </c>
      <c r="E2453" s="28" t="s">
        <v>1046</v>
      </c>
      <c r="F2453" s="28" t="s">
        <v>21</v>
      </c>
      <c r="G2453" s="28" t="s">
        <v>39</v>
      </c>
      <c r="H2453" s="28" t="s">
        <v>9711</v>
      </c>
      <c r="I2453" s="28" t="s">
        <v>13830</v>
      </c>
      <c r="J2453" s="28" t="s">
        <v>39</v>
      </c>
      <c r="K2453" s="28" t="s">
        <v>10506</v>
      </c>
      <c r="L2453" s="28" t="s">
        <v>9714</v>
      </c>
      <c r="M2453" s="28" t="s">
        <v>13831</v>
      </c>
      <c r="N2453" s="28" t="s">
        <v>9716</v>
      </c>
      <c r="O2453" s="28" t="s">
        <v>9717</v>
      </c>
      <c r="P2453" s="28" t="s">
        <v>13832</v>
      </c>
    </row>
    <row r="2454" spans="1:16" x14ac:dyDescent="0.25">
      <c r="A2454" s="28" t="s">
        <v>13833</v>
      </c>
      <c r="B2454" s="28" t="s">
        <v>13834</v>
      </c>
      <c r="C2454" s="28" t="s">
        <v>132</v>
      </c>
      <c r="D2454" s="28" t="s">
        <v>69</v>
      </c>
      <c r="E2454" s="28" t="s">
        <v>1061</v>
      </c>
      <c r="F2454" s="28" t="s">
        <v>21</v>
      </c>
      <c r="G2454" s="28" t="s">
        <v>207</v>
      </c>
      <c r="H2454" s="28" t="s">
        <v>9633</v>
      </c>
      <c r="I2454" s="28" t="s">
        <v>13835</v>
      </c>
      <c r="J2454" s="28" t="s">
        <v>207</v>
      </c>
      <c r="K2454" s="28" t="s">
        <v>9635</v>
      </c>
      <c r="L2454" s="28" t="s">
        <v>9636</v>
      </c>
      <c r="M2454" s="28" t="s">
        <v>13836</v>
      </c>
      <c r="N2454" s="28" t="s">
        <v>9638</v>
      </c>
      <c r="O2454" s="28" t="s">
        <v>9639</v>
      </c>
      <c r="P2454" s="28" t="s">
        <v>13837</v>
      </c>
    </row>
    <row r="2455" spans="1:16" x14ac:dyDescent="0.25">
      <c r="A2455" s="28" t="s">
        <v>13838</v>
      </c>
      <c r="B2455" s="28" t="s">
        <v>13839</v>
      </c>
      <c r="C2455" s="28" t="s">
        <v>132</v>
      </c>
      <c r="D2455" s="28" t="s">
        <v>69</v>
      </c>
      <c r="E2455" s="28" t="s">
        <v>1066</v>
      </c>
      <c r="F2455" s="28" t="s">
        <v>21</v>
      </c>
      <c r="G2455" s="28" t="s">
        <v>135</v>
      </c>
      <c r="H2455" s="28" t="s">
        <v>9711</v>
      </c>
      <c r="I2455" s="28" t="s">
        <v>13840</v>
      </c>
      <c r="J2455" s="28" t="s">
        <v>135</v>
      </c>
      <c r="K2455" s="28" t="s">
        <v>9713</v>
      </c>
      <c r="L2455" s="28" t="s">
        <v>9714</v>
      </c>
      <c r="M2455" s="28" t="s">
        <v>13841</v>
      </c>
      <c r="N2455" s="28" t="s">
        <v>9716</v>
      </c>
      <c r="O2455" s="28" t="s">
        <v>9717</v>
      </c>
      <c r="P2455" s="28" t="s">
        <v>13842</v>
      </c>
    </row>
    <row r="2456" spans="1:16" x14ac:dyDescent="0.25">
      <c r="A2456" s="28" t="s">
        <v>13843</v>
      </c>
      <c r="B2456" s="28" t="s">
        <v>13844</v>
      </c>
      <c r="C2456" s="28" t="s">
        <v>132</v>
      </c>
      <c r="D2456" s="28" t="s">
        <v>69</v>
      </c>
      <c r="E2456" s="28" t="s">
        <v>1066</v>
      </c>
      <c r="F2456" s="28" t="s">
        <v>21</v>
      </c>
      <c r="G2456" s="28" t="s">
        <v>207</v>
      </c>
      <c r="H2456" s="28" t="s">
        <v>9633</v>
      </c>
      <c r="I2456" s="28" t="s">
        <v>13845</v>
      </c>
      <c r="J2456" s="28" t="s">
        <v>207</v>
      </c>
      <c r="K2456" s="28" t="s">
        <v>9635</v>
      </c>
      <c r="L2456" s="28" t="s">
        <v>9636</v>
      </c>
      <c r="M2456" s="28" t="s">
        <v>13846</v>
      </c>
      <c r="N2456" s="28" t="s">
        <v>9638</v>
      </c>
      <c r="O2456" s="28" t="s">
        <v>9639</v>
      </c>
      <c r="P2456" s="28" t="s">
        <v>13847</v>
      </c>
    </row>
    <row r="2457" spans="1:16" x14ac:dyDescent="0.25">
      <c r="A2457" s="28" t="s">
        <v>13848</v>
      </c>
      <c r="B2457" s="28" t="s">
        <v>13849</v>
      </c>
      <c r="C2457" s="28" t="s">
        <v>132</v>
      </c>
      <c r="D2457" s="28" t="s">
        <v>69</v>
      </c>
      <c r="E2457" s="28" t="s">
        <v>13850</v>
      </c>
      <c r="F2457" s="28" t="s">
        <v>21</v>
      </c>
      <c r="G2457" s="28" t="s">
        <v>207</v>
      </c>
      <c r="H2457" s="28" t="s">
        <v>9633</v>
      </c>
      <c r="I2457" s="28" t="s">
        <v>13851</v>
      </c>
      <c r="J2457" s="28" t="s">
        <v>207</v>
      </c>
      <c r="K2457" s="28" t="s">
        <v>9635</v>
      </c>
      <c r="L2457" s="28" t="s">
        <v>9636</v>
      </c>
      <c r="M2457" s="28" t="s">
        <v>13852</v>
      </c>
      <c r="N2457" s="28" t="s">
        <v>9638</v>
      </c>
      <c r="O2457" s="28" t="s">
        <v>9639</v>
      </c>
      <c r="P2457" s="28" t="s">
        <v>13853</v>
      </c>
    </row>
    <row r="2458" spans="1:16" x14ac:dyDescent="0.25">
      <c r="A2458" s="28" t="s">
        <v>13854</v>
      </c>
      <c r="B2458" s="28" t="s">
        <v>13855</v>
      </c>
      <c r="C2458" s="28" t="s">
        <v>132</v>
      </c>
      <c r="D2458" s="28" t="s">
        <v>69</v>
      </c>
      <c r="E2458" s="28" t="s">
        <v>13850</v>
      </c>
      <c r="F2458" s="28" t="s">
        <v>21</v>
      </c>
      <c r="G2458" s="28" t="s">
        <v>207</v>
      </c>
      <c r="H2458" s="28" t="s">
        <v>9633</v>
      </c>
      <c r="I2458" s="28" t="s">
        <v>13856</v>
      </c>
      <c r="J2458" s="28" t="s">
        <v>207</v>
      </c>
      <c r="K2458" s="28" t="s">
        <v>9635</v>
      </c>
      <c r="L2458" s="28" t="s">
        <v>9636</v>
      </c>
      <c r="M2458" s="28" t="s">
        <v>13857</v>
      </c>
      <c r="N2458" s="28" t="s">
        <v>9638</v>
      </c>
      <c r="O2458" s="28" t="s">
        <v>9639</v>
      </c>
      <c r="P2458" s="28" t="s">
        <v>13853</v>
      </c>
    </row>
    <row r="2459" spans="1:16" x14ac:dyDescent="0.25">
      <c r="A2459" s="28" t="s">
        <v>13858</v>
      </c>
      <c r="B2459" s="28" t="s">
        <v>13859</v>
      </c>
      <c r="C2459" s="28" t="s">
        <v>132</v>
      </c>
      <c r="D2459" s="28" t="s">
        <v>69</v>
      </c>
      <c r="E2459" s="28" t="s">
        <v>13850</v>
      </c>
      <c r="F2459" s="28" t="s">
        <v>21</v>
      </c>
      <c r="G2459" s="28" t="s">
        <v>207</v>
      </c>
      <c r="H2459" s="28" t="s">
        <v>9633</v>
      </c>
      <c r="I2459" s="28" t="s">
        <v>13860</v>
      </c>
      <c r="J2459" s="28" t="s">
        <v>207</v>
      </c>
      <c r="K2459" s="28" t="s">
        <v>9635</v>
      </c>
      <c r="L2459" s="28" t="s">
        <v>9636</v>
      </c>
      <c r="M2459" s="28" t="s">
        <v>13861</v>
      </c>
      <c r="N2459" s="28" t="s">
        <v>9638</v>
      </c>
      <c r="O2459" s="28" t="s">
        <v>9639</v>
      </c>
      <c r="P2459" s="28" t="s">
        <v>13853</v>
      </c>
    </row>
    <row r="2460" spans="1:16" x14ac:dyDescent="0.25">
      <c r="A2460" s="28" t="s">
        <v>13862</v>
      </c>
      <c r="B2460" s="28" t="s">
        <v>13863</v>
      </c>
      <c r="C2460" s="28" t="s">
        <v>132</v>
      </c>
      <c r="D2460" s="28" t="s">
        <v>69</v>
      </c>
      <c r="E2460" s="28" t="s">
        <v>13850</v>
      </c>
      <c r="F2460" s="28" t="s">
        <v>21</v>
      </c>
      <c r="G2460" s="28" t="s">
        <v>207</v>
      </c>
      <c r="H2460" s="28" t="s">
        <v>9633</v>
      </c>
      <c r="I2460" s="28" t="s">
        <v>13864</v>
      </c>
      <c r="J2460" s="28" t="s">
        <v>207</v>
      </c>
      <c r="K2460" s="28" t="s">
        <v>9635</v>
      </c>
      <c r="L2460" s="28" t="s">
        <v>9636</v>
      </c>
      <c r="M2460" s="28" t="s">
        <v>13865</v>
      </c>
      <c r="N2460" s="28" t="s">
        <v>9638</v>
      </c>
      <c r="O2460" s="28" t="s">
        <v>9639</v>
      </c>
      <c r="P2460" s="28" t="s">
        <v>13853</v>
      </c>
    </row>
    <row r="2461" spans="1:16" x14ac:dyDescent="0.25">
      <c r="A2461" s="28" t="s">
        <v>13866</v>
      </c>
      <c r="B2461" s="28" t="s">
        <v>13867</v>
      </c>
      <c r="C2461" s="28" t="s">
        <v>132</v>
      </c>
      <c r="D2461" s="28" t="s">
        <v>69</v>
      </c>
      <c r="E2461" s="28" t="s">
        <v>13850</v>
      </c>
      <c r="F2461" s="28" t="s">
        <v>21</v>
      </c>
      <c r="G2461" s="28" t="s">
        <v>207</v>
      </c>
      <c r="H2461" s="28" t="s">
        <v>9633</v>
      </c>
      <c r="I2461" s="28" t="s">
        <v>13868</v>
      </c>
      <c r="J2461" s="28" t="s">
        <v>207</v>
      </c>
      <c r="K2461" s="28" t="s">
        <v>9635</v>
      </c>
      <c r="L2461" s="28" t="s">
        <v>9636</v>
      </c>
      <c r="M2461" s="28" t="s">
        <v>13869</v>
      </c>
      <c r="N2461" s="28" t="s">
        <v>9638</v>
      </c>
      <c r="O2461" s="28" t="s">
        <v>9639</v>
      </c>
      <c r="P2461" s="28" t="s">
        <v>13853</v>
      </c>
    </row>
    <row r="2462" spans="1:16" x14ac:dyDescent="0.25">
      <c r="A2462" s="28" t="s">
        <v>13870</v>
      </c>
      <c r="B2462" s="28" t="s">
        <v>13871</v>
      </c>
      <c r="C2462" s="28" t="s">
        <v>132</v>
      </c>
      <c r="D2462" s="28" t="s">
        <v>69</v>
      </c>
      <c r="E2462" s="28" t="s">
        <v>13850</v>
      </c>
      <c r="F2462" s="28" t="s">
        <v>21</v>
      </c>
      <c r="G2462" s="28" t="s">
        <v>207</v>
      </c>
      <c r="H2462" s="28" t="s">
        <v>9633</v>
      </c>
      <c r="I2462" s="28" t="s">
        <v>13872</v>
      </c>
      <c r="J2462" s="28" t="s">
        <v>207</v>
      </c>
      <c r="K2462" s="28" t="s">
        <v>9635</v>
      </c>
      <c r="L2462" s="28" t="s">
        <v>9636</v>
      </c>
      <c r="M2462" s="28" t="s">
        <v>13873</v>
      </c>
      <c r="N2462" s="28" t="s">
        <v>9638</v>
      </c>
      <c r="O2462" s="28" t="s">
        <v>9639</v>
      </c>
      <c r="P2462" s="28" t="s">
        <v>13853</v>
      </c>
    </row>
    <row r="2463" spans="1:16" x14ac:dyDescent="0.25">
      <c r="A2463" s="28" t="s">
        <v>13874</v>
      </c>
      <c r="B2463" s="28" t="s">
        <v>13875</v>
      </c>
      <c r="C2463" s="28" t="s">
        <v>132</v>
      </c>
      <c r="D2463" s="28" t="s">
        <v>69</v>
      </c>
      <c r="E2463" s="28" t="s">
        <v>13850</v>
      </c>
      <c r="F2463" s="28" t="s">
        <v>21</v>
      </c>
      <c r="G2463" s="28" t="s">
        <v>207</v>
      </c>
      <c r="H2463" s="28" t="s">
        <v>9633</v>
      </c>
      <c r="I2463" s="28" t="s">
        <v>13876</v>
      </c>
      <c r="J2463" s="28" t="s">
        <v>207</v>
      </c>
      <c r="K2463" s="28" t="s">
        <v>9635</v>
      </c>
      <c r="L2463" s="28" t="s">
        <v>9636</v>
      </c>
      <c r="M2463" s="28" t="s">
        <v>13877</v>
      </c>
      <c r="N2463" s="28" t="s">
        <v>9638</v>
      </c>
      <c r="O2463" s="28" t="s">
        <v>9639</v>
      </c>
      <c r="P2463" s="28" t="s">
        <v>13853</v>
      </c>
    </row>
    <row r="2464" spans="1:16" x14ac:dyDescent="0.25">
      <c r="A2464" s="28" t="s">
        <v>13878</v>
      </c>
      <c r="B2464" s="28" t="s">
        <v>13879</v>
      </c>
      <c r="C2464" s="28" t="s">
        <v>132</v>
      </c>
      <c r="D2464" s="28" t="s">
        <v>69</v>
      </c>
      <c r="E2464" s="28" t="s">
        <v>13850</v>
      </c>
      <c r="F2464" s="28" t="s">
        <v>21</v>
      </c>
      <c r="G2464" s="28" t="s">
        <v>207</v>
      </c>
      <c r="H2464" s="28" t="s">
        <v>9633</v>
      </c>
      <c r="I2464" s="28" t="s">
        <v>13880</v>
      </c>
      <c r="J2464" s="28" t="s">
        <v>207</v>
      </c>
      <c r="K2464" s="28" t="s">
        <v>9635</v>
      </c>
      <c r="L2464" s="28" t="s">
        <v>9636</v>
      </c>
      <c r="M2464" s="28" t="s">
        <v>13881</v>
      </c>
      <c r="N2464" s="28" t="s">
        <v>9638</v>
      </c>
      <c r="O2464" s="28" t="s">
        <v>9639</v>
      </c>
      <c r="P2464" s="28" t="s">
        <v>13853</v>
      </c>
    </row>
    <row r="2465" spans="1:16" x14ac:dyDescent="0.25">
      <c r="A2465" s="28" t="s">
        <v>13882</v>
      </c>
      <c r="B2465" s="28" t="s">
        <v>13883</v>
      </c>
      <c r="C2465" s="28" t="s">
        <v>132</v>
      </c>
      <c r="D2465" s="28" t="s">
        <v>69</v>
      </c>
      <c r="E2465" s="28" t="s">
        <v>13850</v>
      </c>
      <c r="F2465" s="28" t="s">
        <v>21</v>
      </c>
      <c r="G2465" s="28" t="s">
        <v>207</v>
      </c>
      <c r="H2465" s="28" t="s">
        <v>9633</v>
      </c>
      <c r="I2465" s="28" t="s">
        <v>13884</v>
      </c>
      <c r="J2465" s="28" t="s">
        <v>207</v>
      </c>
      <c r="K2465" s="28" t="s">
        <v>9635</v>
      </c>
      <c r="L2465" s="28" t="s">
        <v>9636</v>
      </c>
      <c r="M2465" s="28" t="s">
        <v>13885</v>
      </c>
      <c r="N2465" s="28" t="s">
        <v>9638</v>
      </c>
      <c r="O2465" s="28" t="s">
        <v>9639</v>
      </c>
      <c r="P2465" s="28" t="s">
        <v>13853</v>
      </c>
    </row>
    <row r="2466" spans="1:16" x14ac:dyDescent="0.25">
      <c r="A2466" s="28" t="s">
        <v>13886</v>
      </c>
      <c r="B2466" s="28" t="s">
        <v>13887</v>
      </c>
      <c r="C2466" s="28" t="s">
        <v>132</v>
      </c>
      <c r="D2466" s="28" t="s">
        <v>69</v>
      </c>
      <c r="E2466" s="28" t="s">
        <v>1072</v>
      </c>
      <c r="F2466" s="28" t="s">
        <v>21</v>
      </c>
      <c r="G2466" s="28" t="s">
        <v>135</v>
      </c>
      <c r="H2466" s="28" t="s">
        <v>9711</v>
      </c>
      <c r="I2466" s="28" t="s">
        <v>13888</v>
      </c>
      <c r="J2466" s="28" t="s">
        <v>135</v>
      </c>
      <c r="K2466" s="28" t="s">
        <v>9713</v>
      </c>
      <c r="L2466" s="28" t="s">
        <v>9714</v>
      </c>
      <c r="M2466" s="28" t="s">
        <v>13889</v>
      </c>
      <c r="N2466" s="28" t="s">
        <v>9716</v>
      </c>
      <c r="O2466" s="28" t="s">
        <v>9717</v>
      </c>
      <c r="P2466" s="28" t="s">
        <v>13890</v>
      </c>
    </row>
    <row r="2467" spans="1:16" x14ac:dyDescent="0.25">
      <c r="A2467" s="28" t="s">
        <v>13891</v>
      </c>
      <c r="B2467" s="28" t="s">
        <v>13892</v>
      </c>
      <c r="C2467" s="28" t="s">
        <v>132</v>
      </c>
      <c r="D2467" s="28" t="s">
        <v>69</v>
      </c>
      <c r="E2467" s="28" t="s">
        <v>13893</v>
      </c>
      <c r="F2467" s="28" t="s">
        <v>21</v>
      </c>
      <c r="G2467" s="28" t="s">
        <v>207</v>
      </c>
      <c r="H2467" s="28" t="s">
        <v>9633</v>
      </c>
      <c r="I2467" s="28" t="s">
        <v>13894</v>
      </c>
      <c r="J2467" s="28" t="s">
        <v>207</v>
      </c>
      <c r="K2467" s="28" t="s">
        <v>9635</v>
      </c>
      <c r="L2467" s="28" t="s">
        <v>9636</v>
      </c>
      <c r="M2467" s="28" t="s">
        <v>13895</v>
      </c>
      <c r="N2467" s="28" t="s">
        <v>9638</v>
      </c>
      <c r="O2467" s="28" t="s">
        <v>9639</v>
      </c>
      <c r="P2467" s="28" t="s">
        <v>13896</v>
      </c>
    </row>
    <row r="2468" spans="1:16" x14ac:dyDescent="0.25">
      <c r="A2468" s="28" t="s">
        <v>13897</v>
      </c>
      <c r="B2468" s="28" t="s">
        <v>13898</v>
      </c>
      <c r="C2468" s="28" t="s">
        <v>132</v>
      </c>
      <c r="D2468" s="28" t="s">
        <v>2541</v>
      </c>
      <c r="E2468" s="28" t="s">
        <v>13899</v>
      </c>
      <c r="F2468" s="28" t="s">
        <v>21</v>
      </c>
      <c r="G2468" s="28" t="s">
        <v>149</v>
      </c>
      <c r="H2468" s="28" t="s">
        <v>9633</v>
      </c>
      <c r="I2468" s="28" t="s">
        <v>13900</v>
      </c>
      <c r="J2468" s="28" t="s">
        <v>149</v>
      </c>
      <c r="K2468" s="28" t="s">
        <v>9722</v>
      </c>
      <c r="L2468" s="28" t="s">
        <v>9636</v>
      </c>
      <c r="M2468" s="28" t="s">
        <v>13901</v>
      </c>
      <c r="N2468" s="28" t="s">
        <v>9638</v>
      </c>
      <c r="O2468" s="28" t="s">
        <v>9639</v>
      </c>
      <c r="P2468" s="28" t="s">
        <v>13902</v>
      </c>
    </row>
    <row r="2469" spans="1:16" x14ac:dyDescent="0.25">
      <c r="A2469" s="28" t="s">
        <v>13903</v>
      </c>
      <c r="B2469" s="28" t="s">
        <v>13904</v>
      </c>
      <c r="C2469" s="28" t="s">
        <v>132</v>
      </c>
      <c r="D2469" s="28" t="s">
        <v>1271</v>
      </c>
      <c r="E2469" s="28" t="s">
        <v>13905</v>
      </c>
      <c r="F2469" s="28" t="s">
        <v>21</v>
      </c>
      <c r="G2469" s="28" t="s">
        <v>149</v>
      </c>
      <c r="H2469" s="28" t="s">
        <v>9633</v>
      </c>
      <c r="I2469" s="28" t="s">
        <v>13906</v>
      </c>
      <c r="J2469" s="28" t="s">
        <v>149</v>
      </c>
      <c r="K2469" s="28" t="s">
        <v>9722</v>
      </c>
      <c r="L2469" s="28" t="s">
        <v>9636</v>
      </c>
      <c r="M2469" s="28" t="s">
        <v>13907</v>
      </c>
      <c r="N2469" s="28" t="s">
        <v>9638</v>
      </c>
      <c r="O2469" s="28" t="s">
        <v>9639</v>
      </c>
      <c r="P2469" s="28" t="s">
        <v>13908</v>
      </c>
    </row>
    <row r="2470" spans="1:16" x14ac:dyDescent="0.25">
      <c r="A2470" s="28" t="s">
        <v>13909</v>
      </c>
      <c r="B2470" s="28" t="s">
        <v>13910</v>
      </c>
      <c r="C2470" s="28" t="s">
        <v>132</v>
      </c>
      <c r="D2470" s="28" t="s">
        <v>1271</v>
      </c>
      <c r="E2470" s="28" t="s">
        <v>13911</v>
      </c>
      <c r="F2470" s="28" t="s">
        <v>21</v>
      </c>
      <c r="G2470" s="28" t="s">
        <v>207</v>
      </c>
      <c r="H2470" s="28" t="s">
        <v>9633</v>
      </c>
      <c r="I2470" s="28" t="s">
        <v>13912</v>
      </c>
      <c r="J2470" s="28" t="s">
        <v>207</v>
      </c>
      <c r="K2470" s="28" t="s">
        <v>9635</v>
      </c>
      <c r="L2470" s="28" t="s">
        <v>9636</v>
      </c>
      <c r="M2470" s="28" t="s">
        <v>13913</v>
      </c>
      <c r="N2470" s="28" t="s">
        <v>9638</v>
      </c>
      <c r="O2470" s="28" t="s">
        <v>9639</v>
      </c>
      <c r="P2470" s="28" t="s">
        <v>13914</v>
      </c>
    </row>
    <row r="2471" spans="1:16" x14ac:dyDescent="0.25">
      <c r="A2471" s="28" t="s">
        <v>13915</v>
      </c>
      <c r="B2471" s="28" t="s">
        <v>13916</v>
      </c>
      <c r="C2471" s="28" t="s">
        <v>132</v>
      </c>
      <c r="D2471" s="28" t="s">
        <v>1271</v>
      </c>
      <c r="E2471" s="28" t="s">
        <v>13911</v>
      </c>
      <c r="F2471" s="28" t="s">
        <v>21</v>
      </c>
      <c r="G2471" s="28" t="s">
        <v>207</v>
      </c>
      <c r="H2471" s="28" t="s">
        <v>9633</v>
      </c>
      <c r="I2471" s="28" t="s">
        <v>13917</v>
      </c>
      <c r="J2471" s="28" t="s">
        <v>207</v>
      </c>
      <c r="K2471" s="28" t="s">
        <v>9635</v>
      </c>
      <c r="L2471" s="28" t="s">
        <v>9636</v>
      </c>
      <c r="M2471" s="28" t="s">
        <v>13918</v>
      </c>
      <c r="N2471" s="28" t="s">
        <v>9638</v>
      </c>
      <c r="O2471" s="28" t="s">
        <v>9639</v>
      </c>
      <c r="P2471" s="28" t="s">
        <v>13914</v>
      </c>
    </row>
    <row r="2472" spans="1:16" x14ac:dyDescent="0.25">
      <c r="A2472" s="28" t="s">
        <v>13919</v>
      </c>
      <c r="B2472" s="28" t="s">
        <v>13920</v>
      </c>
      <c r="C2472" s="28" t="s">
        <v>132</v>
      </c>
      <c r="D2472" s="28" t="s">
        <v>1271</v>
      </c>
      <c r="E2472" s="28" t="s">
        <v>13911</v>
      </c>
      <c r="F2472" s="28" t="s">
        <v>21</v>
      </c>
      <c r="G2472" s="28" t="s">
        <v>207</v>
      </c>
      <c r="H2472" s="28" t="s">
        <v>9633</v>
      </c>
      <c r="I2472" s="28" t="s">
        <v>13921</v>
      </c>
      <c r="J2472" s="28" t="s">
        <v>207</v>
      </c>
      <c r="K2472" s="28" t="s">
        <v>9635</v>
      </c>
      <c r="L2472" s="28" t="s">
        <v>9636</v>
      </c>
      <c r="M2472" s="28" t="s">
        <v>13922</v>
      </c>
      <c r="N2472" s="28" t="s">
        <v>9638</v>
      </c>
      <c r="O2472" s="28" t="s">
        <v>9639</v>
      </c>
      <c r="P2472" s="28" t="s">
        <v>13914</v>
      </c>
    </row>
    <row r="2473" spans="1:16" x14ac:dyDescent="0.25">
      <c r="A2473" s="28" t="s">
        <v>13923</v>
      </c>
      <c r="B2473" s="28" t="s">
        <v>13924</v>
      </c>
      <c r="C2473" s="28" t="s">
        <v>132</v>
      </c>
      <c r="D2473" s="28" t="s">
        <v>1271</v>
      </c>
      <c r="E2473" s="28" t="s">
        <v>13925</v>
      </c>
      <c r="F2473" s="28" t="s">
        <v>21</v>
      </c>
      <c r="G2473" s="28" t="s">
        <v>207</v>
      </c>
      <c r="H2473" s="28" t="s">
        <v>9633</v>
      </c>
      <c r="I2473" s="28" t="s">
        <v>13926</v>
      </c>
      <c r="J2473" s="28" t="s">
        <v>207</v>
      </c>
      <c r="K2473" s="28" t="s">
        <v>9635</v>
      </c>
      <c r="L2473" s="28" t="s">
        <v>9636</v>
      </c>
      <c r="M2473" s="28" t="s">
        <v>13927</v>
      </c>
      <c r="N2473" s="28" t="s">
        <v>9638</v>
      </c>
      <c r="O2473" s="28" t="s">
        <v>9639</v>
      </c>
      <c r="P2473" s="28" t="s">
        <v>13928</v>
      </c>
    </row>
    <row r="2474" spans="1:16" x14ac:dyDescent="0.25">
      <c r="A2474" s="28" t="s">
        <v>13929</v>
      </c>
      <c r="B2474" s="28" t="s">
        <v>13930</v>
      </c>
      <c r="C2474" s="28" t="s">
        <v>132</v>
      </c>
      <c r="D2474" s="28" t="s">
        <v>1271</v>
      </c>
      <c r="E2474" s="28" t="s">
        <v>13925</v>
      </c>
      <c r="F2474" s="28" t="s">
        <v>21</v>
      </c>
      <c r="G2474" s="28" t="s">
        <v>207</v>
      </c>
      <c r="H2474" s="28" t="s">
        <v>9633</v>
      </c>
      <c r="I2474" s="28" t="s">
        <v>13931</v>
      </c>
      <c r="J2474" s="28" t="s">
        <v>207</v>
      </c>
      <c r="K2474" s="28" t="s">
        <v>9635</v>
      </c>
      <c r="L2474" s="28" t="s">
        <v>9636</v>
      </c>
      <c r="M2474" s="28" t="s">
        <v>13932</v>
      </c>
      <c r="N2474" s="28" t="s">
        <v>9638</v>
      </c>
      <c r="O2474" s="28" t="s">
        <v>9639</v>
      </c>
      <c r="P2474" s="28" t="s">
        <v>13928</v>
      </c>
    </row>
    <row r="2475" spans="1:16" x14ac:dyDescent="0.25">
      <c r="A2475" s="28" t="s">
        <v>13933</v>
      </c>
      <c r="B2475" s="28" t="s">
        <v>13934</v>
      </c>
      <c r="C2475" s="28" t="s">
        <v>132</v>
      </c>
      <c r="D2475" s="28" t="s">
        <v>1271</v>
      </c>
      <c r="E2475" s="28" t="s">
        <v>13935</v>
      </c>
      <c r="F2475" s="28" t="s">
        <v>21</v>
      </c>
      <c r="G2475" s="28" t="s">
        <v>207</v>
      </c>
      <c r="H2475" s="28" t="s">
        <v>9633</v>
      </c>
      <c r="I2475" s="28" t="s">
        <v>13936</v>
      </c>
      <c r="J2475" s="28" t="s">
        <v>207</v>
      </c>
      <c r="K2475" s="28" t="s">
        <v>9635</v>
      </c>
      <c r="L2475" s="28" t="s">
        <v>9636</v>
      </c>
      <c r="M2475" s="28" t="s">
        <v>13937</v>
      </c>
      <c r="N2475" s="28" t="s">
        <v>9638</v>
      </c>
      <c r="O2475" s="28" t="s">
        <v>9639</v>
      </c>
      <c r="P2475" s="28" t="s">
        <v>13938</v>
      </c>
    </row>
    <row r="2476" spans="1:16" x14ac:dyDescent="0.25">
      <c r="A2476" s="28" t="s">
        <v>13939</v>
      </c>
      <c r="B2476" s="28" t="s">
        <v>13940</v>
      </c>
      <c r="C2476" s="28" t="s">
        <v>132</v>
      </c>
      <c r="D2476" s="28" t="s">
        <v>1271</v>
      </c>
      <c r="E2476" s="28" t="s">
        <v>13935</v>
      </c>
      <c r="F2476" s="28" t="s">
        <v>21</v>
      </c>
      <c r="G2476" s="28" t="s">
        <v>207</v>
      </c>
      <c r="H2476" s="28" t="s">
        <v>9633</v>
      </c>
      <c r="I2476" s="28" t="s">
        <v>13941</v>
      </c>
      <c r="J2476" s="28" t="s">
        <v>207</v>
      </c>
      <c r="K2476" s="28" t="s">
        <v>9635</v>
      </c>
      <c r="L2476" s="28" t="s">
        <v>9636</v>
      </c>
      <c r="M2476" s="28" t="s">
        <v>13942</v>
      </c>
      <c r="N2476" s="28" t="s">
        <v>9638</v>
      </c>
      <c r="O2476" s="28" t="s">
        <v>9639</v>
      </c>
      <c r="P2476" s="28" t="s">
        <v>13938</v>
      </c>
    </row>
    <row r="2477" spans="1:16" x14ac:dyDescent="0.25">
      <c r="A2477" s="28" t="s">
        <v>13943</v>
      </c>
      <c r="B2477" s="28" t="s">
        <v>13944</v>
      </c>
      <c r="C2477" s="28" t="s">
        <v>132</v>
      </c>
      <c r="D2477" s="28" t="s">
        <v>1271</v>
      </c>
      <c r="E2477" s="28" t="s">
        <v>13935</v>
      </c>
      <c r="F2477" s="28" t="s">
        <v>21</v>
      </c>
      <c r="G2477" s="28" t="s">
        <v>207</v>
      </c>
      <c r="H2477" s="28" t="s">
        <v>9633</v>
      </c>
      <c r="I2477" s="28" t="s">
        <v>13945</v>
      </c>
      <c r="J2477" s="28" t="s">
        <v>207</v>
      </c>
      <c r="K2477" s="28" t="s">
        <v>9635</v>
      </c>
      <c r="L2477" s="28" t="s">
        <v>9636</v>
      </c>
      <c r="M2477" s="28" t="s">
        <v>13946</v>
      </c>
      <c r="N2477" s="28" t="s">
        <v>9638</v>
      </c>
      <c r="O2477" s="28" t="s">
        <v>9639</v>
      </c>
      <c r="P2477" s="28" t="s">
        <v>13938</v>
      </c>
    </row>
    <row r="2478" spans="1:16" x14ac:dyDescent="0.25">
      <c r="A2478" s="28" t="s">
        <v>13947</v>
      </c>
      <c r="B2478" s="28" t="s">
        <v>13948</v>
      </c>
      <c r="C2478" s="28" t="s">
        <v>132</v>
      </c>
      <c r="D2478" s="28" t="s">
        <v>1271</v>
      </c>
      <c r="E2478" s="28" t="s">
        <v>13949</v>
      </c>
      <c r="F2478" s="28" t="s">
        <v>21</v>
      </c>
      <c r="G2478" s="28" t="s">
        <v>207</v>
      </c>
      <c r="H2478" s="28" t="s">
        <v>9633</v>
      </c>
      <c r="I2478" s="28" t="s">
        <v>13950</v>
      </c>
      <c r="J2478" s="28" t="s">
        <v>207</v>
      </c>
      <c r="K2478" s="28" t="s">
        <v>9635</v>
      </c>
      <c r="L2478" s="28" t="s">
        <v>9636</v>
      </c>
      <c r="M2478" s="28" t="s">
        <v>13951</v>
      </c>
      <c r="N2478" s="28" t="s">
        <v>9638</v>
      </c>
      <c r="O2478" s="28" t="s">
        <v>9639</v>
      </c>
      <c r="P2478" s="28" t="s">
        <v>13952</v>
      </c>
    </row>
    <row r="2479" spans="1:16" x14ac:dyDescent="0.25">
      <c r="A2479" s="28" t="s">
        <v>13953</v>
      </c>
      <c r="B2479" s="28" t="s">
        <v>13954</v>
      </c>
      <c r="C2479" s="28" t="s">
        <v>132</v>
      </c>
      <c r="D2479" s="28" t="s">
        <v>1271</v>
      </c>
      <c r="E2479" s="28" t="s">
        <v>13949</v>
      </c>
      <c r="F2479" s="28" t="s">
        <v>21</v>
      </c>
      <c r="G2479" s="28" t="s">
        <v>207</v>
      </c>
      <c r="H2479" s="28" t="s">
        <v>9633</v>
      </c>
      <c r="I2479" s="28" t="s">
        <v>13955</v>
      </c>
      <c r="J2479" s="28" t="s">
        <v>207</v>
      </c>
      <c r="K2479" s="28" t="s">
        <v>9635</v>
      </c>
      <c r="L2479" s="28" t="s">
        <v>9636</v>
      </c>
      <c r="M2479" s="28" t="s">
        <v>13956</v>
      </c>
      <c r="N2479" s="28" t="s">
        <v>9638</v>
      </c>
      <c r="O2479" s="28" t="s">
        <v>9639</v>
      </c>
      <c r="P2479" s="28" t="s">
        <v>13952</v>
      </c>
    </row>
    <row r="2480" spans="1:16" x14ac:dyDescent="0.25">
      <c r="A2480" s="28" t="s">
        <v>13957</v>
      </c>
      <c r="B2480" s="28" t="s">
        <v>13958</v>
      </c>
      <c r="C2480" s="28" t="s">
        <v>132</v>
      </c>
      <c r="D2480" s="28" t="s">
        <v>1271</v>
      </c>
      <c r="E2480" s="28" t="s">
        <v>13949</v>
      </c>
      <c r="F2480" s="28" t="s">
        <v>21</v>
      </c>
      <c r="G2480" s="28" t="s">
        <v>207</v>
      </c>
      <c r="H2480" s="28" t="s">
        <v>9633</v>
      </c>
      <c r="I2480" s="28" t="s">
        <v>13959</v>
      </c>
      <c r="J2480" s="28" t="s">
        <v>207</v>
      </c>
      <c r="K2480" s="28" t="s">
        <v>9635</v>
      </c>
      <c r="L2480" s="28" t="s">
        <v>9636</v>
      </c>
      <c r="M2480" s="28" t="s">
        <v>13960</v>
      </c>
      <c r="N2480" s="28" t="s">
        <v>9638</v>
      </c>
      <c r="O2480" s="28" t="s">
        <v>9639</v>
      </c>
      <c r="P2480" s="28" t="s">
        <v>13952</v>
      </c>
    </row>
    <row r="2481" spans="1:16" x14ac:dyDescent="0.25">
      <c r="A2481" s="28" t="s">
        <v>13961</v>
      </c>
      <c r="B2481" s="28" t="s">
        <v>13962</v>
      </c>
      <c r="C2481" s="28" t="s">
        <v>132</v>
      </c>
      <c r="D2481" s="28" t="s">
        <v>1271</v>
      </c>
      <c r="E2481" s="28" t="s">
        <v>13963</v>
      </c>
      <c r="F2481" s="28" t="s">
        <v>21</v>
      </c>
      <c r="G2481" s="28" t="s">
        <v>207</v>
      </c>
      <c r="H2481" s="28" t="s">
        <v>9633</v>
      </c>
      <c r="I2481" s="28" t="s">
        <v>13964</v>
      </c>
      <c r="J2481" s="28" t="s">
        <v>207</v>
      </c>
      <c r="K2481" s="28" t="s">
        <v>9635</v>
      </c>
      <c r="L2481" s="28" t="s">
        <v>9636</v>
      </c>
      <c r="M2481" s="28" t="s">
        <v>13965</v>
      </c>
      <c r="N2481" s="28" t="s">
        <v>9638</v>
      </c>
      <c r="O2481" s="28" t="s">
        <v>9639</v>
      </c>
      <c r="P2481" s="28" t="s">
        <v>13966</v>
      </c>
    </row>
    <row r="2482" spans="1:16" x14ac:dyDescent="0.25">
      <c r="A2482" s="28" t="s">
        <v>13967</v>
      </c>
      <c r="B2482" s="28" t="s">
        <v>13968</v>
      </c>
      <c r="C2482" s="28" t="s">
        <v>132</v>
      </c>
      <c r="D2482" s="28" t="s">
        <v>1271</v>
      </c>
      <c r="E2482" s="28" t="s">
        <v>13963</v>
      </c>
      <c r="F2482" s="28" t="s">
        <v>21</v>
      </c>
      <c r="G2482" s="28" t="s">
        <v>207</v>
      </c>
      <c r="H2482" s="28" t="s">
        <v>9633</v>
      </c>
      <c r="I2482" s="28" t="s">
        <v>13969</v>
      </c>
      <c r="J2482" s="28" t="s">
        <v>207</v>
      </c>
      <c r="K2482" s="28" t="s">
        <v>9635</v>
      </c>
      <c r="L2482" s="28" t="s">
        <v>9636</v>
      </c>
      <c r="M2482" s="28" t="s">
        <v>13970</v>
      </c>
      <c r="N2482" s="28" t="s">
        <v>9638</v>
      </c>
      <c r="O2482" s="28" t="s">
        <v>9639</v>
      </c>
      <c r="P2482" s="28" t="s">
        <v>13966</v>
      </c>
    </row>
    <row r="2483" spans="1:16" x14ac:dyDescent="0.25">
      <c r="A2483" s="28" t="s">
        <v>13971</v>
      </c>
      <c r="B2483" s="28" t="s">
        <v>13972</v>
      </c>
      <c r="C2483" s="28" t="s">
        <v>132</v>
      </c>
      <c r="D2483" s="28" t="s">
        <v>1271</v>
      </c>
      <c r="E2483" s="28" t="s">
        <v>13963</v>
      </c>
      <c r="F2483" s="28" t="s">
        <v>21</v>
      </c>
      <c r="G2483" s="28" t="s">
        <v>207</v>
      </c>
      <c r="H2483" s="28" t="s">
        <v>9633</v>
      </c>
      <c r="I2483" s="28" t="s">
        <v>13973</v>
      </c>
      <c r="J2483" s="28" t="s">
        <v>207</v>
      </c>
      <c r="K2483" s="28" t="s">
        <v>9635</v>
      </c>
      <c r="L2483" s="28" t="s">
        <v>9636</v>
      </c>
      <c r="M2483" s="28" t="s">
        <v>13974</v>
      </c>
      <c r="N2483" s="28" t="s">
        <v>9638</v>
      </c>
      <c r="O2483" s="28" t="s">
        <v>9639</v>
      </c>
      <c r="P2483" s="28" t="s">
        <v>13966</v>
      </c>
    </row>
    <row r="2484" spans="1:16" x14ac:dyDescent="0.25">
      <c r="A2484" s="28" t="s">
        <v>13975</v>
      </c>
      <c r="B2484" s="28" t="s">
        <v>13976</v>
      </c>
      <c r="C2484" s="28" t="s">
        <v>132</v>
      </c>
      <c r="D2484" s="28" t="s">
        <v>1271</v>
      </c>
      <c r="E2484" s="28" t="s">
        <v>13977</v>
      </c>
      <c r="F2484" s="28" t="s">
        <v>21</v>
      </c>
      <c r="G2484" s="28" t="s">
        <v>207</v>
      </c>
      <c r="H2484" s="28" t="s">
        <v>9633</v>
      </c>
      <c r="I2484" s="28" t="s">
        <v>13978</v>
      </c>
      <c r="J2484" s="28" t="s">
        <v>207</v>
      </c>
      <c r="K2484" s="28" t="s">
        <v>9635</v>
      </c>
      <c r="L2484" s="28" t="s">
        <v>9636</v>
      </c>
      <c r="M2484" s="28" t="s">
        <v>13979</v>
      </c>
      <c r="N2484" s="28" t="s">
        <v>9638</v>
      </c>
      <c r="O2484" s="28" t="s">
        <v>9639</v>
      </c>
      <c r="P2484" s="28" t="s">
        <v>13980</v>
      </c>
    </row>
    <row r="2485" spans="1:16" x14ac:dyDescent="0.25">
      <c r="A2485" s="28" t="s">
        <v>13981</v>
      </c>
      <c r="B2485" s="28" t="s">
        <v>13982</v>
      </c>
      <c r="C2485" s="28" t="s">
        <v>132</v>
      </c>
      <c r="D2485" s="28" t="s">
        <v>1271</v>
      </c>
      <c r="E2485" s="28" t="s">
        <v>13977</v>
      </c>
      <c r="F2485" s="28" t="s">
        <v>21</v>
      </c>
      <c r="G2485" s="28" t="s">
        <v>207</v>
      </c>
      <c r="H2485" s="28" t="s">
        <v>9633</v>
      </c>
      <c r="I2485" s="28" t="s">
        <v>13983</v>
      </c>
      <c r="J2485" s="28" t="s">
        <v>207</v>
      </c>
      <c r="K2485" s="28" t="s">
        <v>9635</v>
      </c>
      <c r="L2485" s="28" t="s">
        <v>9636</v>
      </c>
      <c r="M2485" s="28" t="s">
        <v>13984</v>
      </c>
      <c r="N2485" s="28" t="s">
        <v>9638</v>
      </c>
      <c r="O2485" s="28" t="s">
        <v>9639</v>
      </c>
      <c r="P2485" s="28" t="s">
        <v>13980</v>
      </c>
    </row>
    <row r="2486" spans="1:16" x14ac:dyDescent="0.25">
      <c r="A2486" s="28" t="s">
        <v>13985</v>
      </c>
      <c r="B2486" s="28" t="s">
        <v>13986</v>
      </c>
      <c r="C2486" s="28" t="s">
        <v>132</v>
      </c>
      <c r="D2486" s="28" t="s">
        <v>1271</v>
      </c>
      <c r="E2486" s="28" t="s">
        <v>13977</v>
      </c>
      <c r="F2486" s="28" t="s">
        <v>21</v>
      </c>
      <c r="G2486" s="28" t="s">
        <v>207</v>
      </c>
      <c r="H2486" s="28" t="s">
        <v>9633</v>
      </c>
      <c r="I2486" s="28" t="s">
        <v>13987</v>
      </c>
      <c r="J2486" s="28" t="s">
        <v>207</v>
      </c>
      <c r="K2486" s="28" t="s">
        <v>9635</v>
      </c>
      <c r="L2486" s="28" t="s">
        <v>9636</v>
      </c>
      <c r="M2486" s="28" t="s">
        <v>13988</v>
      </c>
      <c r="N2486" s="28" t="s">
        <v>9638</v>
      </c>
      <c r="O2486" s="28" t="s">
        <v>9639</v>
      </c>
      <c r="P2486" s="28" t="s">
        <v>13980</v>
      </c>
    </row>
    <row r="2487" spans="1:16" x14ac:dyDescent="0.25">
      <c r="A2487" s="28" t="s">
        <v>13989</v>
      </c>
      <c r="B2487" s="28" t="s">
        <v>13990</v>
      </c>
      <c r="C2487" s="28" t="s">
        <v>132</v>
      </c>
      <c r="D2487" s="28" t="s">
        <v>1271</v>
      </c>
      <c r="E2487" s="28" t="s">
        <v>13991</v>
      </c>
      <c r="F2487" s="28" t="s">
        <v>21</v>
      </c>
      <c r="G2487" s="28" t="s">
        <v>207</v>
      </c>
      <c r="H2487" s="28" t="s">
        <v>9633</v>
      </c>
      <c r="I2487" s="28" t="s">
        <v>13992</v>
      </c>
      <c r="J2487" s="28" t="s">
        <v>207</v>
      </c>
      <c r="K2487" s="28" t="s">
        <v>9635</v>
      </c>
      <c r="L2487" s="28" t="s">
        <v>9636</v>
      </c>
      <c r="M2487" s="28" t="s">
        <v>13993</v>
      </c>
      <c r="N2487" s="28" t="s">
        <v>9638</v>
      </c>
      <c r="O2487" s="28" t="s">
        <v>9639</v>
      </c>
      <c r="P2487" s="28" t="s">
        <v>13994</v>
      </c>
    </row>
    <row r="2488" spans="1:16" x14ac:dyDescent="0.25">
      <c r="A2488" s="28" t="s">
        <v>13995</v>
      </c>
      <c r="B2488" s="28" t="s">
        <v>13996</v>
      </c>
      <c r="C2488" s="28" t="s">
        <v>132</v>
      </c>
      <c r="D2488" s="28" t="s">
        <v>1271</v>
      </c>
      <c r="E2488" s="28" t="s">
        <v>13991</v>
      </c>
      <c r="F2488" s="28" t="s">
        <v>21</v>
      </c>
      <c r="G2488" s="28" t="s">
        <v>207</v>
      </c>
      <c r="H2488" s="28" t="s">
        <v>9633</v>
      </c>
      <c r="I2488" s="28" t="s">
        <v>13997</v>
      </c>
      <c r="J2488" s="28" t="s">
        <v>207</v>
      </c>
      <c r="K2488" s="28" t="s">
        <v>9635</v>
      </c>
      <c r="L2488" s="28" t="s">
        <v>9636</v>
      </c>
      <c r="M2488" s="28" t="s">
        <v>13998</v>
      </c>
      <c r="N2488" s="28" t="s">
        <v>9638</v>
      </c>
      <c r="O2488" s="28" t="s">
        <v>9639</v>
      </c>
      <c r="P2488" s="28" t="s">
        <v>13994</v>
      </c>
    </row>
    <row r="2489" spans="1:16" x14ac:dyDescent="0.25">
      <c r="A2489" s="28" t="s">
        <v>13999</v>
      </c>
      <c r="B2489" s="28" t="s">
        <v>14000</v>
      </c>
      <c r="C2489" s="28" t="s">
        <v>132</v>
      </c>
      <c r="D2489" s="28" t="s">
        <v>1271</v>
      </c>
      <c r="E2489" s="28" t="s">
        <v>14001</v>
      </c>
      <c r="F2489" s="28" t="s">
        <v>21</v>
      </c>
      <c r="G2489" s="28" t="s">
        <v>207</v>
      </c>
      <c r="H2489" s="28" t="s">
        <v>9633</v>
      </c>
      <c r="I2489" s="28" t="s">
        <v>14002</v>
      </c>
      <c r="J2489" s="28" t="s">
        <v>207</v>
      </c>
      <c r="K2489" s="28" t="s">
        <v>9635</v>
      </c>
      <c r="L2489" s="28" t="s">
        <v>9636</v>
      </c>
      <c r="M2489" s="28" t="s">
        <v>14003</v>
      </c>
      <c r="N2489" s="28" t="s">
        <v>9638</v>
      </c>
      <c r="O2489" s="28" t="s">
        <v>9639</v>
      </c>
      <c r="P2489" s="28" t="s">
        <v>14004</v>
      </c>
    </row>
    <row r="2490" spans="1:16" x14ac:dyDescent="0.25">
      <c r="A2490" s="28" t="s">
        <v>14005</v>
      </c>
      <c r="B2490" s="28" t="s">
        <v>14006</v>
      </c>
      <c r="C2490" s="28" t="s">
        <v>132</v>
      </c>
      <c r="D2490" s="28" t="s">
        <v>1271</v>
      </c>
      <c r="E2490" s="28" t="s">
        <v>14001</v>
      </c>
      <c r="F2490" s="28" t="s">
        <v>21</v>
      </c>
      <c r="G2490" s="28" t="s">
        <v>207</v>
      </c>
      <c r="H2490" s="28" t="s">
        <v>9633</v>
      </c>
      <c r="I2490" s="28" t="s">
        <v>14007</v>
      </c>
      <c r="J2490" s="28" t="s">
        <v>207</v>
      </c>
      <c r="K2490" s="28" t="s">
        <v>9635</v>
      </c>
      <c r="L2490" s="28" t="s">
        <v>9636</v>
      </c>
      <c r="M2490" s="28" t="s">
        <v>14008</v>
      </c>
      <c r="N2490" s="28" t="s">
        <v>9638</v>
      </c>
      <c r="O2490" s="28" t="s">
        <v>9639</v>
      </c>
      <c r="P2490" s="28" t="s">
        <v>14004</v>
      </c>
    </row>
    <row r="2491" spans="1:16" x14ac:dyDescent="0.25">
      <c r="A2491" s="28" t="s">
        <v>14009</v>
      </c>
      <c r="B2491" s="28" t="s">
        <v>14010</v>
      </c>
      <c r="C2491" s="28" t="s">
        <v>132</v>
      </c>
      <c r="D2491" s="28" t="s">
        <v>1271</v>
      </c>
      <c r="E2491" s="28" t="s">
        <v>14001</v>
      </c>
      <c r="F2491" s="28" t="s">
        <v>21</v>
      </c>
      <c r="G2491" s="28" t="s">
        <v>207</v>
      </c>
      <c r="H2491" s="28" t="s">
        <v>9633</v>
      </c>
      <c r="I2491" s="28" t="s">
        <v>14011</v>
      </c>
      <c r="J2491" s="28" t="s">
        <v>207</v>
      </c>
      <c r="K2491" s="28" t="s">
        <v>9635</v>
      </c>
      <c r="L2491" s="28" t="s">
        <v>9636</v>
      </c>
      <c r="M2491" s="28" t="s">
        <v>14012</v>
      </c>
      <c r="N2491" s="28" t="s">
        <v>9638</v>
      </c>
      <c r="O2491" s="28" t="s">
        <v>9639</v>
      </c>
      <c r="P2491" s="28" t="s">
        <v>14004</v>
      </c>
    </row>
    <row r="2492" spans="1:16" x14ac:dyDescent="0.25">
      <c r="A2492" s="28" t="s">
        <v>14013</v>
      </c>
      <c r="B2492" s="28" t="s">
        <v>14014</v>
      </c>
      <c r="C2492" s="28" t="s">
        <v>132</v>
      </c>
      <c r="D2492" s="28" t="s">
        <v>1271</v>
      </c>
      <c r="E2492" s="28" t="s">
        <v>2574</v>
      </c>
      <c r="F2492" s="28" t="s">
        <v>21</v>
      </c>
      <c r="G2492" s="28" t="s">
        <v>135</v>
      </c>
      <c r="H2492" s="28" t="s">
        <v>10259</v>
      </c>
      <c r="I2492" s="28" t="s">
        <v>14015</v>
      </c>
      <c r="J2492" s="28" t="s">
        <v>135</v>
      </c>
      <c r="K2492" s="28" t="s">
        <v>10551</v>
      </c>
      <c r="L2492" s="28" t="s">
        <v>10262</v>
      </c>
      <c r="M2492" s="28" t="s">
        <v>14016</v>
      </c>
      <c r="N2492" s="28" t="s">
        <v>10264</v>
      </c>
      <c r="O2492" s="28" t="s">
        <v>10265</v>
      </c>
      <c r="P2492" s="28" t="s">
        <v>10266</v>
      </c>
    </row>
    <row r="2493" spans="1:16" x14ac:dyDescent="0.25">
      <c r="A2493" s="28" t="s">
        <v>14017</v>
      </c>
      <c r="B2493" s="28" t="s">
        <v>14018</v>
      </c>
      <c r="C2493" s="28" t="s">
        <v>132</v>
      </c>
      <c r="D2493" s="28" t="s">
        <v>1271</v>
      </c>
      <c r="E2493" s="28" t="s">
        <v>14019</v>
      </c>
      <c r="F2493" s="28" t="s">
        <v>21</v>
      </c>
      <c r="G2493" s="28" t="s">
        <v>135</v>
      </c>
      <c r="H2493" s="28" t="s">
        <v>10259</v>
      </c>
      <c r="I2493" s="28" t="s">
        <v>14020</v>
      </c>
      <c r="J2493" s="28" t="s">
        <v>135</v>
      </c>
      <c r="K2493" s="28" t="s">
        <v>10551</v>
      </c>
      <c r="L2493" s="28" t="s">
        <v>10262</v>
      </c>
      <c r="M2493" s="28" t="s">
        <v>14021</v>
      </c>
      <c r="N2493" s="28" t="s">
        <v>10264</v>
      </c>
      <c r="O2493" s="28" t="s">
        <v>10265</v>
      </c>
      <c r="P2493" s="28" t="s">
        <v>10266</v>
      </c>
    </row>
    <row r="2494" spans="1:16" x14ac:dyDescent="0.25">
      <c r="A2494" s="28" t="s">
        <v>14022</v>
      </c>
      <c r="B2494" s="28" t="s">
        <v>14023</v>
      </c>
      <c r="C2494" s="28" t="s">
        <v>132</v>
      </c>
      <c r="D2494" s="28" t="s">
        <v>1271</v>
      </c>
      <c r="E2494" s="28" t="s">
        <v>14024</v>
      </c>
      <c r="F2494" s="28" t="s">
        <v>21</v>
      </c>
      <c r="G2494" s="28" t="s">
        <v>135</v>
      </c>
      <c r="H2494" s="28" t="s">
        <v>10259</v>
      </c>
      <c r="I2494" s="28" t="s">
        <v>14025</v>
      </c>
      <c r="J2494" s="28" t="s">
        <v>135</v>
      </c>
      <c r="K2494" s="28" t="s">
        <v>10551</v>
      </c>
      <c r="L2494" s="28" t="s">
        <v>10262</v>
      </c>
      <c r="M2494" s="28" t="s">
        <v>14026</v>
      </c>
      <c r="N2494" s="28" t="s">
        <v>10264</v>
      </c>
      <c r="O2494" s="28" t="s">
        <v>10265</v>
      </c>
      <c r="P2494" s="28" t="s">
        <v>10266</v>
      </c>
    </row>
    <row r="2495" spans="1:16" x14ac:dyDescent="0.25">
      <c r="A2495" s="28" t="s">
        <v>14027</v>
      </c>
      <c r="B2495" s="28" t="s">
        <v>14028</v>
      </c>
      <c r="C2495" s="28" t="s">
        <v>132</v>
      </c>
      <c r="D2495" s="28" t="s">
        <v>1271</v>
      </c>
      <c r="E2495" s="28" t="s">
        <v>14029</v>
      </c>
      <c r="F2495" s="28" t="s">
        <v>21</v>
      </c>
      <c r="G2495" s="28" t="s">
        <v>135</v>
      </c>
      <c r="H2495" s="28" t="s">
        <v>10259</v>
      </c>
      <c r="I2495" s="28" t="s">
        <v>14030</v>
      </c>
      <c r="J2495" s="28" t="s">
        <v>135</v>
      </c>
      <c r="K2495" s="28" t="s">
        <v>10551</v>
      </c>
      <c r="L2495" s="28" t="s">
        <v>10262</v>
      </c>
      <c r="M2495" s="28" t="s">
        <v>14031</v>
      </c>
      <c r="N2495" s="28" t="s">
        <v>10264</v>
      </c>
      <c r="O2495" s="28" t="s">
        <v>10265</v>
      </c>
      <c r="P2495" s="28" t="s">
        <v>10266</v>
      </c>
    </row>
    <row r="2496" spans="1:16" x14ac:dyDescent="0.25">
      <c r="A2496" s="28" t="s">
        <v>14032</v>
      </c>
      <c r="B2496" s="28" t="s">
        <v>14033</v>
      </c>
      <c r="C2496" s="28" t="s">
        <v>132</v>
      </c>
      <c r="D2496" s="28" t="s">
        <v>1271</v>
      </c>
      <c r="E2496" s="28" t="s">
        <v>14029</v>
      </c>
      <c r="F2496" s="28" t="s">
        <v>21</v>
      </c>
      <c r="G2496" s="28" t="s">
        <v>135</v>
      </c>
      <c r="H2496" s="28" t="s">
        <v>10259</v>
      </c>
      <c r="I2496" s="28" t="s">
        <v>14034</v>
      </c>
      <c r="J2496" s="28" t="s">
        <v>135</v>
      </c>
      <c r="K2496" s="28" t="s">
        <v>10551</v>
      </c>
      <c r="L2496" s="28" t="s">
        <v>10262</v>
      </c>
      <c r="M2496" s="28" t="s">
        <v>14035</v>
      </c>
      <c r="N2496" s="28" t="s">
        <v>10264</v>
      </c>
      <c r="O2496" s="28" t="s">
        <v>10265</v>
      </c>
      <c r="P2496" s="28" t="s">
        <v>10266</v>
      </c>
    </row>
    <row r="2497" spans="1:16" x14ac:dyDescent="0.25">
      <c r="A2497" s="28" t="s">
        <v>14036</v>
      </c>
      <c r="B2497" s="28" t="s">
        <v>14037</v>
      </c>
      <c r="C2497" s="28" t="s">
        <v>132</v>
      </c>
      <c r="D2497" s="28" t="s">
        <v>1271</v>
      </c>
      <c r="E2497" s="28" t="s">
        <v>14038</v>
      </c>
      <c r="F2497" s="28" t="s">
        <v>21</v>
      </c>
      <c r="G2497" s="28" t="s">
        <v>207</v>
      </c>
      <c r="H2497" s="28" t="s">
        <v>9633</v>
      </c>
      <c r="I2497" s="28" t="s">
        <v>14039</v>
      </c>
      <c r="J2497" s="28" t="s">
        <v>207</v>
      </c>
      <c r="K2497" s="28" t="s">
        <v>9635</v>
      </c>
      <c r="L2497" s="28" t="s">
        <v>9636</v>
      </c>
      <c r="M2497" s="28" t="s">
        <v>14040</v>
      </c>
      <c r="N2497" s="28" t="s">
        <v>9638</v>
      </c>
      <c r="O2497" s="28" t="s">
        <v>9639</v>
      </c>
      <c r="P2497" s="28" t="s">
        <v>14041</v>
      </c>
    </row>
    <row r="2498" spans="1:16" x14ac:dyDescent="0.25">
      <c r="A2498" s="28" t="s">
        <v>14042</v>
      </c>
      <c r="B2498" s="28" t="s">
        <v>14043</v>
      </c>
      <c r="C2498" s="28" t="s">
        <v>132</v>
      </c>
      <c r="D2498" s="28" t="s">
        <v>1271</v>
      </c>
      <c r="E2498" s="28" t="s">
        <v>14038</v>
      </c>
      <c r="F2498" s="28" t="s">
        <v>21</v>
      </c>
      <c r="G2498" s="28" t="s">
        <v>207</v>
      </c>
      <c r="H2498" s="28" t="s">
        <v>9633</v>
      </c>
      <c r="I2498" s="28" t="s">
        <v>14044</v>
      </c>
      <c r="J2498" s="28" t="s">
        <v>207</v>
      </c>
      <c r="K2498" s="28" t="s">
        <v>9635</v>
      </c>
      <c r="L2498" s="28" t="s">
        <v>9636</v>
      </c>
      <c r="M2498" s="28" t="s">
        <v>14045</v>
      </c>
      <c r="N2498" s="28" t="s">
        <v>9638</v>
      </c>
      <c r="O2498" s="28" t="s">
        <v>9639</v>
      </c>
      <c r="P2498" s="28" t="s">
        <v>14041</v>
      </c>
    </row>
    <row r="2499" spans="1:16" x14ac:dyDescent="0.25">
      <c r="A2499" s="28" t="s">
        <v>14046</v>
      </c>
      <c r="B2499" s="28" t="s">
        <v>14047</v>
      </c>
      <c r="C2499" s="28" t="s">
        <v>132</v>
      </c>
      <c r="D2499" s="28" t="s">
        <v>1271</v>
      </c>
      <c r="E2499" s="28" t="s">
        <v>14038</v>
      </c>
      <c r="F2499" s="28" t="s">
        <v>21</v>
      </c>
      <c r="G2499" s="28" t="s">
        <v>207</v>
      </c>
      <c r="H2499" s="28" t="s">
        <v>9633</v>
      </c>
      <c r="I2499" s="28" t="s">
        <v>14048</v>
      </c>
      <c r="J2499" s="28" t="s">
        <v>207</v>
      </c>
      <c r="K2499" s="28" t="s">
        <v>9635</v>
      </c>
      <c r="L2499" s="28" t="s">
        <v>9636</v>
      </c>
      <c r="M2499" s="28" t="s">
        <v>14049</v>
      </c>
      <c r="N2499" s="28" t="s">
        <v>9638</v>
      </c>
      <c r="O2499" s="28" t="s">
        <v>9639</v>
      </c>
      <c r="P2499" s="28" t="s">
        <v>14041</v>
      </c>
    </row>
    <row r="2500" spans="1:16" x14ac:dyDescent="0.25">
      <c r="A2500" s="28" t="s">
        <v>14050</v>
      </c>
      <c r="B2500" s="28" t="s">
        <v>14051</v>
      </c>
      <c r="C2500" s="28" t="s">
        <v>132</v>
      </c>
      <c r="D2500" s="28" t="s">
        <v>1271</v>
      </c>
      <c r="E2500" s="28" t="s">
        <v>14052</v>
      </c>
      <c r="F2500" s="28" t="s">
        <v>21</v>
      </c>
      <c r="G2500" s="28" t="s">
        <v>207</v>
      </c>
      <c r="H2500" s="28" t="s">
        <v>9633</v>
      </c>
      <c r="I2500" s="28" t="s">
        <v>14053</v>
      </c>
      <c r="J2500" s="28" t="s">
        <v>207</v>
      </c>
      <c r="K2500" s="28" t="s">
        <v>9635</v>
      </c>
      <c r="L2500" s="28" t="s">
        <v>9636</v>
      </c>
      <c r="M2500" s="28" t="s">
        <v>14054</v>
      </c>
      <c r="N2500" s="28" t="s">
        <v>9638</v>
      </c>
      <c r="O2500" s="28" t="s">
        <v>9639</v>
      </c>
      <c r="P2500" s="28" t="s">
        <v>14055</v>
      </c>
    </row>
    <row r="2501" spans="1:16" x14ac:dyDescent="0.25">
      <c r="A2501" s="28" t="s">
        <v>14056</v>
      </c>
      <c r="B2501" s="28" t="s">
        <v>14057</v>
      </c>
      <c r="C2501" s="28" t="s">
        <v>132</v>
      </c>
      <c r="D2501" s="28" t="s">
        <v>1271</v>
      </c>
      <c r="E2501" s="28" t="s">
        <v>14052</v>
      </c>
      <c r="F2501" s="28" t="s">
        <v>21</v>
      </c>
      <c r="G2501" s="28" t="s">
        <v>207</v>
      </c>
      <c r="H2501" s="28" t="s">
        <v>9633</v>
      </c>
      <c r="I2501" s="28" t="s">
        <v>14058</v>
      </c>
      <c r="J2501" s="28" t="s">
        <v>207</v>
      </c>
      <c r="K2501" s="28" t="s">
        <v>9635</v>
      </c>
      <c r="L2501" s="28" t="s">
        <v>9636</v>
      </c>
      <c r="M2501" s="28" t="s">
        <v>14059</v>
      </c>
      <c r="N2501" s="28" t="s">
        <v>9638</v>
      </c>
      <c r="O2501" s="28" t="s">
        <v>9639</v>
      </c>
      <c r="P2501" s="28" t="s">
        <v>14055</v>
      </c>
    </row>
    <row r="2502" spans="1:16" x14ac:dyDescent="0.25">
      <c r="A2502" s="28" t="s">
        <v>14060</v>
      </c>
      <c r="B2502" s="28" t="s">
        <v>14061</v>
      </c>
      <c r="C2502" s="28" t="s">
        <v>132</v>
      </c>
      <c r="D2502" s="28" t="s">
        <v>1271</v>
      </c>
      <c r="E2502" s="28" t="s">
        <v>14052</v>
      </c>
      <c r="F2502" s="28" t="s">
        <v>21</v>
      </c>
      <c r="G2502" s="28" t="s">
        <v>207</v>
      </c>
      <c r="H2502" s="28" t="s">
        <v>9633</v>
      </c>
      <c r="I2502" s="28" t="s">
        <v>14062</v>
      </c>
      <c r="J2502" s="28" t="s">
        <v>207</v>
      </c>
      <c r="K2502" s="28" t="s">
        <v>9635</v>
      </c>
      <c r="L2502" s="28" t="s">
        <v>9636</v>
      </c>
      <c r="M2502" s="28" t="s">
        <v>14063</v>
      </c>
      <c r="N2502" s="28" t="s">
        <v>9638</v>
      </c>
      <c r="O2502" s="28" t="s">
        <v>9639</v>
      </c>
      <c r="P2502" s="28" t="s">
        <v>14055</v>
      </c>
    </row>
    <row r="2503" spans="1:16" x14ac:dyDescent="0.25">
      <c r="A2503" s="28" t="s">
        <v>14064</v>
      </c>
      <c r="B2503" s="28" t="s">
        <v>14065</v>
      </c>
      <c r="C2503" s="28" t="s">
        <v>132</v>
      </c>
      <c r="D2503" s="28" t="s">
        <v>1271</v>
      </c>
      <c r="E2503" s="28" t="s">
        <v>14066</v>
      </c>
      <c r="F2503" s="28" t="s">
        <v>21</v>
      </c>
      <c r="G2503" s="28" t="s">
        <v>207</v>
      </c>
      <c r="H2503" s="28" t="s">
        <v>9633</v>
      </c>
      <c r="I2503" s="28" t="s">
        <v>14067</v>
      </c>
      <c r="J2503" s="28" t="s">
        <v>207</v>
      </c>
      <c r="K2503" s="28" t="s">
        <v>9635</v>
      </c>
      <c r="L2503" s="28" t="s">
        <v>9636</v>
      </c>
      <c r="M2503" s="28" t="s">
        <v>14068</v>
      </c>
      <c r="N2503" s="28" t="s">
        <v>9638</v>
      </c>
      <c r="O2503" s="28" t="s">
        <v>9639</v>
      </c>
      <c r="P2503" s="28" t="s">
        <v>14069</v>
      </c>
    </row>
    <row r="2504" spans="1:16" x14ac:dyDescent="0.25">
      <c r="A2504" s="28" t="s">
        <v>14070</v>
      </c>
      <c r="B2504" s="28" t="s">
        <v>14071</v>
      </c>
      <c r="C2504" s="28" t="s">
        <v>132</v>
      </c>
      <c r="D2504" s="28" t="s">
        <v>1271</v>
      </c>
      <c r="E2504" s="28" t="s">
        <v>14066</v>
      </c>
      <c r="F2504" s="28" t="s">
        <v>21</v>
      </c>
      <c r="G2504" s="28" t="s">
        <v>207</v>
      </c>
      <c r="H2504" s="28" t="s">
        <v>9633</v>
      </c>
      <c r="I2504" s="28" t="s">
        <v>14072</v>
      </c>
      <c r="J2504" s="28" t="s">
        <v>207</v>
      </c>
      <c r="K2504" s="28" t="s">
        <v>9635</v>
      </c>
      <c r="L2504" s="28" t="s">
        <v>9636</v>
      </c>
      <c r="M2504" s="28" t="s">
        <v>14073</v>
      </c>
      <c r="N2504" s="28" t="s">
        <v>9638</v>
      </c>
      <c r="O2504" s="28" t="s">
        <v>9639</v>
      </c>
      <c r="P2504" s="28" t="s">
        <v>14069</v>
      </c>
    </row>
    <row r="2505" spans="1:16" x14ac:dyDescent="0.25">
      <c r="A2505" s="28" t="s">
        <v>14074</v>
      </c>
      <c r="B2505" s="28" t="s">
        <v>14075</v>
      </c>
      <c r="C2505" s="28" t="s">
        <v>132</v>
      </c>
      <c r="D2505" s="28" t="s">
        <v>1271</v>
      </c>
      <c r="E2505" s="28" t="s">
        <v>14066</v>
      </c>
      <c r="F2505" s="28" t="s">
        <v>21</v>
      </c>
      <c r="G2505" s="28" t="s">
        <v>207</v>
      </c>
      <c r="H2505" s="28" t="s">
        <v>9633</v>
      </c>
      <c r="I2505" s="28" t="s">
        <v>14076</v>
      </c>
      <c r="J2505" s="28" t="s">
        <v>207</v>
      </c>
      <c r="K2505" s="28" t="s">
        <v>9635</v>
      </c>
      <c r="L2505" s="28" t="s">
        <v>9636</v>
      </c>
      <c r="M2505" s="28" t="s">
        <v>14077</v>
      </c>
      <c r="N2505" s="28" t="s">
        <v>9638</v>
      </c>
      <c r="O2505" s="28" t="s">
        <v>9639</v>
      </c>
      <c r="P2505" s="28" t="s">
        <v>14069</v>
      </c>
    </row>
    <row r="2506" spans="1:16" x14ac:dyDescent="0.25">
      <c r="A2506" s="28" t="s">
        <v>14078</v>
      </c>
      <c r="B2506" s="28" t="s">
        <v>14079</v>
      </c>
      <c r="C2506" s="28" t="s">
        <v>132</v>
      </c>
      <c r="D2506" s="28" t="s">
        <v>1271</v>
      </c>
      <c r="E2506" s="28" t="s">
        <v>14080</v>
      </c>
      <c r="F2506" s="28" t="s">
        <v>21</v>
      </c>
      <c r="G2506" s="28" t="s">
        <v>207</v>
      </c>
      <c r="H2506" s="28" t="s">
        <v>9633</v>
      </c>
      <c r="I2506" s="28" t="s">
        <v>14081</v>
      </c>
      <c r="J2506" s="28" t="s">
        <v>207</v>
      </c>
      <c r="K2506" s="28" t="s">
        <v>9635</v>
      </c>
      <c r="L2506" s="28" t="s">
        <v>9636</v>
      </c>
      <c r="M2506" s="28" t="s">
        <v>14082</v>
      </c>
      <c r="N2506" s="28" t="s">
        <v>9638</v>
      </c>
      <c r="O2506" s="28" t="s">
        <v>9639</v>
      </c>
      <c r="P2506" s="28" t="s">
        <v>14083</v>
      </c>
    </row>
    <row r="2507" spans="1:16" x14ac:dyDescent="0.25">
      <c r="A2507" s="28" t="s">
        <v>14084</v>
      </c>
      <c r="B2507" s="28" t="s">
        <v>14085</v>
      </c>
      <c r="C2507" s="28" t="s">
        <v>132</v>
      </c>
      <c r="D2507" s="28" t="s">
        <v>1271</v>
      </c>
      <c r="E2507" s="28" t="s">
        <v>14080</v>
      </c>
      <c r="F2507" s="28" t="s">
        <v>21</v>
      </c>
      <c r="G2507" s="28" t="s">
        <v>207</v>
      </c>
      <c r="H2507" s="28" t="s">
        <v>9633</v>
      </c>
      <c r="I2507" s="28" t="s">
        <v>14086</v>
      </c>
      <c r="J2507" s="28" t="s">
        <v>207</v>
      </c>
      <c r="K2507" s="28" t="s">
        <v>9635</v>
      </c>
      <c r="L2507" s="28" t="s">
        <v>9636</v>
      </c>
      <c r="M2507" s="28" t="s">
        <v>14087</v>
      </c>
      <c r="N2507" s="28" t="s">
        <v>9638</v>
      </c>
      <c r="O2507" s="28" t="s">
        <v>9639</v>
      </c>
      <c r="P2507" s="28" t="s">
        <v>14083</v>
      </c>
    </row>
    <row r="2508" spans="1:16" x14ac:dyDescent="0.25">
      <c r="A2508" s="28" t="s">
        <v>14088</v>
      </c>
      <c r="B2508" s="28" t="s">
        <v>14089</v>
      </c>
      <c r="C2508" s="28" t="s">
        <v>132</v>
      </c>
      <c r="D2508" s="28" t="s">
        <v>1271</v>
      </c>
      <c r="E2508" s="28" t="s">
        <v>14090</v>
      </c>
      <c r="F2508" s="28" t="s">
        <v>21</v>
      </c>
      <c r="G2508" s="28" t="s">
        <v>207</v>
      </c>
      <c r="H2508" s="28" t="s">
        <v>9633</v>
      </c>
      <c r="I2508" s="28" t="s">
        <v>14091</v>
      </c>
      <c r="J2508" s="28" t="s">
        <v>207</v>
      </c>
      <c r="K2508" s="28" t="s">
        <v>9635</v>
      </c>
      <c r="L2508" s="28" t="s">
        <v>9636</v>
      </c>
      <c r="M2508" s="28" t="s">
        <v>14092</v>
      </c>
      <c r="N2508" s="28" t="s">
        <v>9638</v>
      </c>
      <c r="O2508" s="28" t="s">
        <v>9639</v>
      </c>
      <c r="P2508" s="28" t="s">
        <v>14093</v>
      </c>
    </row>
    <row r="2509" spans="1:16" x14ac:dyDescent="0.25">
      <c r="A2509" s="28" t="s">
        <v>14094</v>
      </c>
      <c r="B2509" s="28" t="s">
        <v>14095</v>
      </c>
      <c r="C2509" s="28" t="s">
        <v>132</v>
      </c>
      <c r="D2509" s="28" t="s">
        <v>1271</v>
      </c>
      <c r="E2509" s="28" t="s">
        <v>14090</v>
      </c>
      <c r="F2509" s="28" t="s">
        <v>21</v>
      </c>
      <c r="G2509" s="28" t="s">
        <v>207</v>
      </c>
      <c r="H2509" s="28" t="s">
        <v>9633</v>
      </c>
      <c r="I2509" s="28" t="s">
        <v>14096</v>
      </c>
      <c r="J2509" s="28" t="s">
        <v>207</v>
      </c>
      <c r="K2509" s="28" t="s">
        <v>9635</v>
      </c>
      <c r="L2509" s="28" t="s">
        <v>9636</v>
      </c>
      <c r="M2509" s="28" t="s">
        <v>14097</v>
      </c>
      <c r="N2509" s="28" t="s">
        <v>9638</v>
      </c>
      <c r="O2509" s="28" t="s">
        <v>9639</v>
      </c>
      <c r="P2509" s="28" t="s">
        <v>14093</v>
      </c>
    </row>
    <row r="2510" spans="1:16" x14ac:dyDescent="0.25">
      <c r="A2510" s="28" t="s">
        <v>14098</v>
      </c>
      <c r="B2510" s="28" t="s">
        <v>14099</v>
      </c>
      <c r="C2510" s="28" t="s">
        <v>132</v>
      </c>
      <c r="D2510" s="28" t="s">
        <v>1271</v>
      </c>
      <c r="E2510" s="28" t="s">
        <v>14090</v>
      </c>
      <c r="F2510" s="28" t="s">
        <v>21</v>
      </c>
      <c r="G2510" s="28" t="s">
        <v>207</v>
      </c>
      <c r="H2510" s="28" t="s">
        <v>9633</v>
      </c>
      <c r="I2510" s="28" t="s">
        <v>14100</v>
      </c>
      <c r="J2510" s="28" t="s">
        <v>207</v>
      </c>
      <c r="K2510" s="28" t="s">
        <v>9635</v>
      </c>
      <c r="L2510" s="28" t="s">
        <v>9636</v>
      </c>
      <c r="M2510" s="28" t="s">
        <v>14101</v>
      </c>
      <c r="N2510" s="28" t="s">
        <v>9638</v>
      </c>
      <c r="O2510" s="28" t="s">
        <v>9639</v>
      </c>
      <c r="P2510" s="28" t="s">
        <v>14093</v>
      </c>
    </row>
    <row r="2511" spans="1:16" x14ac:dyDescent="0.25">
      <c r="A2511" s="28" t="s">
        <v>14102</v>
      </c>
      <c r="B2511" s="28" t="s">
        <v>14103</v>
      </c>
      <c r="C2511" s="28" t="s">
        <v>132</v>
      </c>
      <c r="D2511" s="28" t="s">
        <v>1271</v>
      </c>
      <c r="E2511" s="28" t="s">
        <v>14104</v>
      </c>
      <c r="F2511" s="28" t="s">
        <v>21</v>
      </c>
      <c r="G2511" s="28" t="s">
        <v>207</v>
      </c>
      <c r="H2511" s="28" t="s">
        <v>9633</v>
      </c>
      <c r="I2511" s="28" t="s">
        <v>14105</v>
      </c>
      <c r="J2511" s="28" t="s">
        <v>207</v>
      </c>
      <c r="K2511" s="28" t="s">
        <v>9635</v>
      </c>
      <c r="L2511" s="28" t="s">
        <v>9636</v>
      </c>
      <c r="M2511" s="28" t="s">
        <v>14106</v>
      </c>
      <c r="N2511" s="28" t="s">
        <v>9638</v>
      </c>
      <c r="O2511" s="28" t="s">
        <v>9639</v>
      </c>
      <c r="P2511" s="28" t="s">
        <v>14107</v>
      </c>
    </row>
    <row r="2512" spans="1:16" x14ac:dyDescent="0.25">
      <c r="A2512" s="28" t="s">
        <v>14108</v>
      </c>
      <c r="B2512" s="28" t="s">
        <v>14109</v>
      </c>
      <c r="C2512" s="28" t="s">
        <v>132</v>
      </c>
      <c r="D2512" s="28" t="s">
        <v>1271</v>
      </c>
      <c r="E2512" s="28" t="s">
        <v>14104</v>
      </c>
      <c r="F2512" s="28" t="s">
        <v>21</v>
      </c>
      <c r="G2512" s="28" t="s">
        <v>207</v>
      </c>
      <c r="H2512" s="28" t="s">
        <v>9633</v>
      </c>
      <c r="I2512" s="28" t="s">
        <v>14110</v>
      </c>
      <c r="J2512" s="28" t="s">
        <v>207</v>
      </c>
      <c r="K2512" s="28" t="s">
        <v>9635</v>
      </c>
      <c r="L2512" s="28" t="s">
        <v>9636</v>
      </c>
      <c r="M2512" s="28" t="s">
        <v>14111</v>
      </c>
      <c r="N2512" s="28" t="s">
        <v>9638</v>
      </c>
      <c r="O2512" s="28" t="s">
        <v>9639</v>
      </c>
      <c r="P2512" s="28" t="s">
        <v>14107</v>
      </c>
    </row>
    <row r="2513" spans="1:16" x14ac:dyDescent="0.25">
      <c r="A2513" s="28" t="s">
        <v>14112</v>
      </c>
      <c r="B2513" s="28" t="s">
        <v>14113</v>
      </c>
      <c r="C2513" s="28" t="s">
        <v>132</v>
      </c>
      <c r="D2513" s="28" t="s">
        <v>1271</v>
      </c>
      <c r="E2513" s="28" t="s">
        <v>14104</v>
      </c>
      <c r="F2513" s="28" t="s">
        <v>21</v>
      </c>
      <c r="G2513" s="28" t="s">
        <v>207</v>
      </c>
      <c r="H2513" s="28" t="s">
        <v>9633</v>
      </c>
      <c r="I2513" s="28" t="s">
        <v>14114</v>
      </c>
      <c r="J2513" s="28" t="s">
        <v>207</v>
      </c>
      <c r="K2513" s="28" t="s">
        <v>9635</v>
      </c>
      <c r="L2513" s="28" t="s">
        <v>9636</v>
      </c>
      <c r="M2513" s="28" t="s">
        <v>14115</v>
      </c>
      <c r="N2513" s="28" t="s">
        <v>9638</v>
      </c>
      <c r="O2513" s="28" t="s">
        <v>9639</v>
      </c>
      <c r="P2513" s="28" t="s">
        <v>14107</v>
      </c>
    </row>
    <row r="2514" spans="1:16" x14ac:dyDescent="0.25">
      <c r="A2514" s="28" t="s">
        <v>14116</v>
      </c>
      <c r="B2514" s="28" t="s">
        <v>14117</v>
      </c>
      <c r="C2514" s="28" t="s">
        <v>132</v>
      </c>
      <c r="D2514" s="28" t="s">
        <v>1271</v>
      </c>
      <c r="E2514" s="28" t="s">
        <v>14118</v>
      </c>
      <c r="F2514" s="28" t="s">
        <v>21</v>
      </c>
      <c r="G2514" s="28" t="s">
        <v>207</v>
      </c>
      <c r="H2514" s="28" t="s">
        <v>9633</v>
      </c>
      <c r="I2514" s="28" t="s">
        <v>14119</v>
      </c>
      <c r="J2514" s="28" t="s">
        <v>207</v>
      </c>
      <c r="K2514" s="28" t="s">
        <v>9635</v>
      </c>
      <c r="L2514" s="28" t="s">
        <v>9636</v>
      </c>
      <c r="M2514" s="28" t="s">
        <v>14120</v>
      </c>
      <c r="N2514" s="28" t="s">
        <v>9638</v>
      </c>
      <c r="O2514" s="28" t="s">
        <v>9639</v>
      </c>
      <c r="P2514" s="28" t="s">
        <v>14121</v>
      </c>
    </row>
    <row r="2515" spans="1:16" x14ac:dyDescent="0.25">
      <c r="A2515" s="28" t="s">
        <v>14122</v>
      </c>
      <c r="B2515" s="28" t="s">
        <v>14123</v>
      </c>
      <c r="C2515" s="28" t="s">
        <v>132</v>
      </c>
      <c r="D2515" s="28" t="s">
        <v>1271</v>
      </c>
      <c r="E2515" s="28" t="s">
        <v>14118</v>
      </c>
      <c r="F2515" s="28" t="s">
        <v>21</v>
      </c>
      <c r="G2515" s="28" t="s">
        <v>207</v>
      </c>
      <c r="H2515" s="28" t="s">
        <v>9633</v>
      </c>
      <c r="I2515" s="28" t="s">
        <v>14124</v>
      </c>
      <c r="J2515" s="28" t="s">
        <v>207</v>
      </c>
      <c r="K2515" s="28" t="s">
        <v>9635</v>
      </c>
      <c r="L2515" s="28" t="s">
        <v>9636</v>
      </c>
      <c r="M2515" s="28" t="s">
        <v>14125</v>
      </c>
      <c r="N2515" s="28" t="s">
        <v>9638</v>
      </c>
      <c r="O2515" s="28" t="s">
        <v>9639</v>
      </c>
      <c r="P2515" s="28" t="s">
        <v>14121</v>
      </c>
    </row>
    <row r="2516" spans="1:16" x14ac:dyDescent="0.25">
      <c r="A2516" s="28" t="s">
        <v>14126</v>
      </c>
      <c r="B2516" s="28" t="s">
        <v>14127</v>
      </c>
      <c r="C2516" s="28" t="s">
        <v>132</v>
      </c>
      <c r="D2516" s="28" t="s">
        <v>1271</v>
      </c>
      <c r="E2516" s="28" t="s">
        <v>14118</v>
      </c>
      <c r="F2516" s="28" t="s">
        <v>21</v>
      </c>
      <c r="G2516" s="28" t="s">
        <v>207</v>
      </c>
      <c r="H2516" s="28" t="s">
        <v>9633</v>
      </c>
      <c r="I2516" s="28" t="s">
        <v>14128</v>
      </c>
      <c r="J2516" s="28" t="s">
        <v>207</v>
      </c>
      <c r="K2516" s="28" t="s">
        <v>9635</v>
      </c>
      <c r="L2516" s="28" t="s">
        <v>9636</v>
      </c>
      <c r="M2516" s="28" t="s">
        <v>14129</v>
      </c>
      <c r="N2516" s="28" t="s">
        <v>9638</v>
      </c>
      <c r="O2516" s="28" t="s">
        <v>9639</v>
      </c>
      <c r="P2516" s="28" t="s">
        <v>14121</v>
      </c>
    </row>
    <row r="2517" spans="1:16" x14ac:dyDescent="0.25">
      <c r="A2517" s="28" t="s">
        <v>14130</v>
      </c>
      <c r="B2517" s="28" t="s">
        <v>14131</v>
      </c>
      <c r="C2517" s="28" t="s">
        <v>132</v>
      </c>
      <c r="D2517" s="28" t="s">
        <v>1271</v>
      </c>
      <c r="E2517" s="28" t="s">
        <v>14132</v>
      </c>
      <c r="F2517" s="28" t="s">
        <v>21</v>
      </c>
      <c r="G2517" s="28" t="s">
        <v>207</v>
      </c>
      <c r="H2517" s="28" t="s">
        <v>9633</v>
      </c>
      <c r="I2517" s="28" t="s">
        <v>14133</v>
      </c>
      <c r="J2517" s="28" t="s">
        <v>207</v>
      </c>
      <c r="K2517" s="28" t="s">
        <v>9635</v>
      </c>
      <c r="L2517" s="28" t="s">
        <v>9636</v>
      </c>
      <c r="M2517" s="28" t="s">
        <v>14134</v>
      </c>
      <c r="N2517" s="28" t="s">
        <v>9638</v>
      </c>
      <c r="O2517" s="28" t="s">
        <v>9639</v>
      </c>
      <c r="P2517" s="28" t="s">
        <v>14135</v>
      </c>
    </row>
    <row r="2518" spans="1:16" x14ac:dyDescent="0.25">
      <c r="A2518" s="28" t="s">
        <v>14136</v>
      </c>
      <c r="B2518" s="28" t="s">
        <v>14137</v>
      </c>
      <c r="C2518" s="28" t="s">
        <v>132</v>
      </c>
      <c r="D2518" s="28" t="s">
        <v>1271</v>
      </c>
      <c r="E2518" s="28" t="s">
        <v>14132</v>
      </c>
      <c r="F2518" s="28" t="s">
        <v>21</v>
      </c>
      <c r="G2518" s="28" t="s">
        <v>207</v>
      </c>
      <c r="H2518" s="28" t="s">
        <v>9633</v>
      </c>
      <c r="I2518" s="28" t="s">
        <v>14138</v>
      </c>
      <c r="J2518" s="28" t="s">
        <v>207</v>
      </c>
      <c r="K2518" s="28" t="s">
        <v>9635</v>
      </c>
      <c r="L2518" s="28" t="s">
        <v>9636</v>
      </c>
      <c r="M2518" s="28" t="s">
        <v>14139</v>
      </c>
      <c r="N2518" s="28" t="s">
        <v>9638</v>
      </c>
      <c r="O2518" s="28" t="s">
        <v>9639</v>
      </c>
      <c r="P2518" s="28" t="s">
        <v>14135</v>
      </c>
    </row>
    <row r="2519" spans="1:16" x14ac:dyDescent="0.25">
      <c r="A2519" s="28" t="s">
        <v>14140</v>
      </c>
      <c r="B2519" s="28" t="s">
        <v>14141</v>
      </c>
      <c r="C2519" s="28" t="s">
        <v>132</v>
      </c>
      <c r="D2519" s="28" t="s">
        <v>1271</v>
      </c>
      <c r="E2519" s="28" t="s">
        <v>14132</v>
      </c>
      <c r="F2519" s="28" t="s">
        <v>21</v>
      </c>
      <c r="G2519" s="28" t="s">
        <v>207</v>
      </c>
      <c r="H2519" s="28" t="s">
        <v>9633</v>
      </c>
      <c r="I2519" s="28" t="s">
        <v>14142</v>
      </c>
      <c r="J2519" s="28" t="s">
        <v>207</v>
      </c>
      <c r="K2519" s="28" t="s">
        <v>9635</v>
      </c>
      <c r="L2519" s="28" t="s">
        <v>9636</v>
      </c>
      <c r="M2519" s="28" t="s">
        <v>14143</v>
      </c>
      <c r="N2519" s="28" t="s">
        <v>9638</v>
      </c>
      <c r="O2519" s="28" t="s">
        <v>9639</v>
      </c>
      <c r="P2519" s="28" t="s">
        <v>14135</v>
      </c>
    </row>
    <row r="2520" spans="1:16" x14ac:dyDescent="0.25">
      <c r="A2520" s="28" t="s">
        <v>14144</v>
      </c>
      <c r="B2520" s="28" t="s">
        <v>14145</v>
      </c>
      <c r="C2520" s="28" t="s">
        <v>132</v>
      </c>
      <c r="D2520" s="28" t="s">
        <v>1271</v>
      </c>
      <c r="E2520" s="28" t="s">
        <v>14146</v>
      </c>
      <c r="F2520" s="28" t="s">
        <v>21</v>
      </c>
      <c r="G2520" s="28" t="s">
        <v>207</v>
      </c>
      <c r="H2520" s="28" t="s">
        <v>9633</v>
      </c>
      <c r="I2520" s="28" t="s">
        <v>14147</v>
      </c>
      <c r="J2520" s="28" t="s">
        <v>207</v>
      </c>
      <c r="K2520" s="28" t="s">
        <v>9635</v>
      </c>
      <c r="L2520" s="28" t="s">
        <v>9636</v>
      </c>
      <c r="M2520" s="28" t="s">
        <v>14148</v>
      </c>
      <c r="N2520" s="28" t="s">
        <v>9638</v>
      </c>
      <c r="O2520" s="28" t="s">
        <v>9639</v>
      </c>
      <c r="P2520" s="28" t="s">
        <v>14149</v>
      </c>
    </row>
    <row r="2521" spans="1:16" x14ac:dyDescent="0.25">
      <c r="A2521" s="28" t="s">
        <v>14150</v>
      </c>
      <c r="B2521" s="28" t="s">
        <v>14151</v>
      </c>
      <c r="C2521" s="28" t="s">
        <v>132</v>
      </c>
      <c r="D2521" s="28" t="s">
        <v>1271</v>
      </c>
      <c r="E2521" s="28" t="s">
        <v>14146</v>
      </c>
      <c r="F2521" s="28" t="s">
        <v>21</v>
      </c>
      <c r="G2521" s="28" t="s">
        <v>207</v>
      </c>
      <c r="H2521" s="28" t="s">
        <v>9633</v>
      </c>
      <c r="I2521" s="28" t="s">
        <v>14152</v>
      </c>
      <c r="J2521" s="28" t="s">
        <v>207</v>
      </c>
      <c r="K2521" s="28" t="s">
        <v>9635</v>
      </c>
      <c r="L2521" s="28" t="s">
        <v>9636</v>
      </c>
      <c r="M2521" s="28" t="s">
        <v>14153</v>
      </c>
      <c r="N2521" s="28" t="s">
        <v>9638</v>
      </c>
      <c r="O2521" s="28" t="s">
        <v>9639</v>
      </c>
      <c r="P2521" s="28" t="s">
        <v>14149</v>
      </c>
    </row>
    <row r="2522" spans="1:16" x14ac:dyDescent="0.25">
      <c r="A2522" s="28" t="s">
        <v>14154</v>
      </c>
      <c r="B2522" s="28" t="s">
        <v>14155</v>
      </c>
      <c r="C2522" s="28" t="s">
        <v>132</v>
      </c>
      <c r="D2522" s="28" t="s">
        <v>1271</v>
      </c>
      <c r="E2522" s="28" t="s">
        <v>14146</v>
      </c>
      <c r="F2522" s="28" t="s">
        <v>21</v>
      </c>
      <c r="G2522" s="28" t="s">
        <v>207</v>
      </c>
      <c r="H2522" s="28" t="s">
        <v>9633</v>
      </c>
      <c r="I2522" s="28" t="s">
        <v>14156</v>
      </c>
      <c r="J2522" s="28" t="s">
        <v>207</v>
      </c>
      <c r="K2522" s="28" t="s">
        <v>9635</v>
      </c>
      <c r="L2522" s="28" t="s">
        <v>9636</v>
      </c>
      <c r="M2522" s="28" t="s">
        <v>14157</v>
      </c>
      <c r="N2522" s="28" t="s">
        <v>9638</v>
      </c>
      <c r="O2522" s="28" t="s">
        <v>9639</v>
      </c>
      <c r="P2522" s="28" t="s">
        <v>14149</v>
      </c>
    </row>
    <row r="2523" spans="1:16" x14ac:dyDescent="0.25">
      <c r="A2523" s="28" t="s">
        <v>14158</v>
      </c>
      <c r="B2523" s="28" t="s">
        <v>14159</v>
      </c>
      <c r="C2523" s="28" t="s">
        <v>132</v>
      </c>
      <c r="D2523" s="28" t="s">
        <v>1271</v>
      </c>
      <c r="E2523" s="28" t="s">
        <v>14160</v>
      </c>
      <c r="F2523" s="28" t="s">
        <v>21</v>
      </c>
      <c r="G2523" s="28" t="s">
        <v>207</v>
      </c>
      <c r="H2523" s="28" t="s">
        <v>9633</v>
      </c>
      <c r="I2523" s="28" t="s">
        <v>14161</v>
      </c>
      <c r="J2523" s="28" t="s">
        <v>207</v>
      </c>
      <c r="K2523" s="28" t="s">
        <v>9635</v>
      </c>
      <c r="L2523" s="28" t="s">
        <v>9636</v>
      </c>
      <c r="M2523" s="28" t="s">
        <v>14162</v>
      </c>
      <c r="N2523" s="28" t="s">
        <v>9638</v>
      </c>
      <c r="O2523" s="28" t="s">
        <v>9639</v>
      </c>
      <c r="P2523" s="28" t="s">
        <v>14163</v>
      </c>
    </row>
    <row r="2524" spans="1:16" x14ac:dyDescent="0.25">
      <c r="A2524" s="28" t="s">
        <v>14164</v>
      </c>
      <c r="B2524" s="28" t="s">
        <v>14165</v>
      </c>
      <c r="C2524" s="28" t="s">
        <v>132</v>
      </c>
      <c r="D2524" s="28" t="s">
        <v>1271</v>
      </c>
      <c r="E2524" s="28" t="s">
        <v>14160</v>
      </c>
      <c r="F2524" s="28" t="s">
        <v>21</v>
      </c>
      <c r="G2524" s="28" t="s">
        <v>207</v>
      </c>
      <c r="H2524" s="28" t="s">
        <v>9633</v>
      </c>
      <c r="I2524" s="28" t="s">
        <v>14166</v>
      </c>
      <c r="J2524" s="28" t="s">
        <v>207</v>
      </c>
      <c r="K2524" s="28" t="s">
        <v>9635</v>
      </c>
      <c r="L2524" s="28" t="s">
        <v>9636</v>
      </c>
      <c r="M2524" s="28" t="s">
        <v>14167</v>
      </c>
      <c r="N2524" s="28" t="s">
        <v>9638</v>
      </c>
      <c r="O2524" s="28" t="s">
        <v>9639</v>
      </c>
      <c r="P2524" s="28" t="s">
        <v>14163</v>
      </c>
    </row>
    <row r="2525" spans="1:16" x14ac:dyDescent="0.25">
      <c r="A2525" s="28" t="s">
        <v>14168</v>
      </c>
      <c r="B2525" s="28" t="s">
        <v>14169</v>
      </c>
      <c r="C2525" s="28" t="s">
        <v>132</v>
      </c>
      <c r="D2525" s="28" t="s">
        <v>1271</v>
      </c>
      <c r="E2525" s="28" t="s">
        <v>14160</v>
      </c>
      <c r="F2525" s="28" t="s">
        <v>21</v>
      </c>
      <c r="G2525" s="28" t="s">
        <v>207</v>
      </c>
      <c r="H2525" s="28" t="s">
        <v>9633</v>
      </c>
      <c r="I2525" s="28" t="s">
        <v>14170</v>
      </c>
      <c r="J2525" s="28" t="s">
        <v>207</v>
      </c>
      <c r="K2525" s="28" t="s">
        <v>9635</v>
      </c>
      <c r="L2525" s="28" t="s">
        <v>9636</v>
      </c>
      <c r="M2525" s="28" t="s">
        <v>14171</v>
      </c>
      <c r="N2525" s="28" t="s">
        <v>9638</v>
      </c>
      <c r="O2525" s="28" t="s">
        <v>9639</v>
      </c>
      <c r="P2525" s="28" t="s">
        <v>14163</v>
      </c>
    </row>
    <row r="2526" spans="1:16" x14ac:dyDescent="0.25">
      <c r="A2526" s="28" t="s">
        <v>14172</v>
      </c>
      <c r="B2526" s="28" t="s">
        <v>14173</v>
      </c>
      <c r="C2526" s="28" t="s">
        <v>132</v>
      </c>
      <c r="D2526" s="28" t="s">
        <v>1271</v>
      </c>
      <c r="E2526" s="28" t="s">
        <v>14174</v>
      </c>
      <c r="F2526" s="28" t="s">
        <v>21</v>
      </c>
      <c r="G2526" s="28" t="s">
        <v>207</v>
      </c>
      <c r="H2526" s="28" t="s">
        <v>9633</v>
      </c>
      <c r="I2526" s="28" t="s">
        <v>14175</v>
      </c>
      <c r="J2526" s="28" t="s">
        <v>207</v>
      </c>
      <c r="K2526" s="28" t="s">
        <v>9635</v>
      </c>
      <c r="L2526" s="28" t="s">
        <v>9636</v>
      </c>
      <c r="M2526" s="28" t="s">
        <v>14176</v>
      </c>
      <c r="N2526" s="28" t="s">
        <v>9638</v>
      </c>
      <c r="O2526" s="28" t="s">
        <v>9639</v>
      </c>
      <c r="P2526" s="28" t="s">
        <v>14177</v>
      </c>
    </row>
    <row r="2527" spans="1:16" x14ac:dyDescent="0.25">
      <c r="A2527" s="28" t="s">
        <v>14178</v>
      </c>
      <c r="B2527" s="28" t="s">
        <v>14179</v>
      </c>
      <c r="C2527" s="28" t="s">
        <v>132</v>
      </c>
      <c r="D2527" s="28" t="s">
        <v>1271</v>
      </c>
      <c r="E2527" s="28" t="s">
        <v>14174</v>
      </c>
      <c r="F2527" s="28" t="s">
        <v>21</v>
      </c>
      <c r="G2527" s="28" t="s">
        <v>207</v>
      </c>
      <c r="H2527" s="28" t="s">
        <v>9633</v>
      </c>
      <c r="I2527" s="28" t="s">
        <v>14180</v>
      </c>
      <c r="J2527" s="28" t="s">
        <v>207</v>
      </c>
      <c r="K2527" s="28" t="s">
        <v>9635</v>
      </c>
      <c r="L2527" s="28" t="s">
        <v>9636</v>
      </c>
      <c r="M2527" s="28" t="s">
        <v>14181</v>
      </c>
      <c r="N2527" s="28" t="s">
        <v>9638</v>
      </c>
      <c r="O2527" s="28" t="s">
        <v>9639</v>
      </c>
      <c r="P2527" s="28" t="s">
        <v>14177</v>
      </c>
    </row>
    <row r="2528" spans="1:16" x14ac:dyDescent="0.25">
      <c r="A2528" s="28" t="s">
        <v>14182</v>
      </c>
      <c r="B2528" s="28" t="s">
        <v>14183</v>
      </c>
      <c r="C2528" s="28" t="s">
        <v>132</v>
      </c>
      <c r="D2528" s="28" t="s">
        <v>1271</v>
      </c>
      <c r="E2528" s="28" t="s">
        <v>14174</v>
      </c>
      <c r="F2528" s="28" t="s">
        <v>21</v>
      </c>
      <c r="G2528" s="28" t="s">
        <v>207</v>
      </c>
      <c r="H2528" s="28" t="s">
        <v>9633</v>
      </c>
      <c r="I2528" s="28" t="s">
        <v>14184</v>
      </c>
      <c r="J2528" s="28" t="s">
        <v>207</v>
      </c>
      <c r="K2528" s="28" t="s">
        <v>9635</v>
      </c>
      <c r="L2528" s="28" t="s">
        <v>9636</v>
      </c>
      <c r="M2528" s="28" t="s">
        <v>14185</v>
      </c>
      <c r="N2528" s="28" t="s">
        <v>9638</v>
      </c>
      <c r="O2528" s="28" t="s">
        <v>9639</v>
      </c>
      <c r="P2528" s="28" t="s">
        <v>14177</v>
      </c>
    </row>
    <row r="2529" spans="1:16" x14ac:dyDescent="0.25">
      <c r="A2529" s="28" t="s">
        <v>14186</v>
      </c>
      <c r="B2529" s="28" t="s">
        <v>14187</v>
      </c>
      <c r="C2529" s="28" t="s">
        <v>132</v>
      </c>
      <c r="D2529" s="28" t="s">
        <v>1271</v>
      </c>
      <c r="E2529" s="28" t="s">
        <v>14188</v>
      </c>
      <c r="F2529" s="28" t="s">
        <v>21</v>
      </c>
      <c r="G2529" s="28" t="s">
        <v>207</v>
      </c>
      <c r="H2529" s="28" t="s">
        <v>9633</v>
      </c>
      <c r="I2529" s="28" t="s">
        <v>14189</v>
      </c>
      <c r="J2529" s="28" t="s">
        <v>207</v>
      </c>
      <c r="K2529" s="28" t="s">
        <v>9635</v>
      </c>
      <c r="L2529" s="28" t="s">
        <v>9636</v>
      </c>
      <c r="M2529" s="28" t="s">
        <v>14190</v>
      </c>
      <c r="N2529" s="28" t="s">
        <v>9638</v>
      </c>
      <c r="O2529" s="28" t="s">
        <v>9639</v>
      </c>
      <c r="P2529" s="28" t="s">
        <v>14191</v>
      </c>
    </row>
    <row r="2530" spans="1:16" x14ac:dyDescent="0.25">
      <c r="A2530" s="28" t="s">
        <v>14192</v>
      </c>
      <c r="B2530" s="28" t="s">
        <v>14193</v>
      </c>
      <c r="C2530" s="28" t="s">
        <v>132</v>
      </c>
      <c r="D2530" s="28" t="s">
        <v>1271</v>
      </c>
      <c r="E2530" s="28" t="s">
        <v>14188</v>
      </c>
      <c r="F2530" s="28" t="s">
        <v>21</v>
      </c>
      <c r="G2530" s="28" t="s">
        <v>207</v>
      </c>
      <c r="H2530" s="28" t="s">
        <v>9633</v>
      </c>
      <c r="I2530" s="28" t="s">
        <v>14194</v>
      </c>
      <c r="J2530" s="28" t="s">
        <v>207</v>
      </c>
      <c r="K2530" s="28" t="s">
        <v>9635</v>
      </c>
      <c r="L2530" s="28" t="s">
        <v>9636</v>
      </c>
      <c r="M2530" s="28" t="s">
        <v>14195</v>
      </c>
      <c r="N2530" s="28" t="s">
        <v>9638</v>
      </c>
      <c r="O2530" s="28" t="s">
        <v>9639</v>
      </c>
      <c r="P2530" s="28" t="s">
        <v>14191</v>
      </c>
    </row>
    <row r="2531" spans="1:16" x14ac:dyDescent="0.25">
      <c r="A2531" s="28" t="s">
        <v>14196</v>
      </c>
      <c r="B2531" s="28" t="s">
        <v>14197</v>
      </c>
      <c r="C2531" s="28" t="s">
        <v>132</v>
      </c>
      <c r="D2531" s="28" t="s">
        <v>1271</v>
      </c>
      <c r="E2531" s="28" t="s">
        <v>14188</v>
      </c>
      <c r="F2531" s="28" t="s">
        <v>21</v>
      </c>
      <c r="G2531" s="28" t="s">
        <v>207</v>
      </c>
      <c r="H2531" s="28" t="s">
        <v>9633</v>
      </c>
      <c r="I2531" s="28" t="s">
        <v>14198</v>
      </c>
      <c r="J2531" s="28" t="s">
        <v>207</v>
      </c>
      <c r="K2531" s="28" t="s">
        <v>9635</v>
      </c>
      <c r="L2531" s="28" t="s">
        <v>9636</v>
      </c>
      <c r="M2531" s="28" t="s">
        <v>14199</v>
      </c>
      <c r="N2531" s="28" t="s">
        <v>9638</v>
      </c>
      <c r="O2531" s="28" t="s">
        <v>9639</v>
      </c>
      <c r="P2531" s="28" t="s">
        <v>14191</v>
      </c>
    </row>
    <row r="2532" spans="1:16" x14ac:dyDescent="0.25">
      <c r="A2532" s="28" t="s">
        <v>14200</v>
      </c>
      <c r="B2532" s="28" t="s">
        <v>14201</v>
      </c>
      <c r="C2532" s="28" t="s">
        <v>132</v>
      </c>
      <c r="D2532" s="28" t="s">
        <v>1271</v>
      </c>
      <c r="E2532" s="28" t="s">
        <v>14202</v>
      </c>
      <c r="F2532" s="28" t="s">
        <v>21</v>
      </c>
      <c r="G2532" s="28" t="s">
        <v>207</v>
      </c>
      <c r="H2532" s="28" t="s">
        <v>9633</v>
      </c>
      <c r="I2532" s="28" t="s">
        <v>14203</v>
      </c>
      <c r="J2532" s="28" t="s">
        <v>207</v>
      </c>
      <c r="K2532" s="28" t="s">
        <v>9635</v>
      </c>
      <c r="L2532" s="28" t="s">
        <v>9636</v>
      </c>
      <c r="M2532" s="28" t="s">
        <v>14204</v>
      </c>
      <c r="N2532" s="28" t="s">
        <v>9638</v>
      </c>
      <c r="O2532" s="28" t="s">
        <v>9639</v>
      </c>
      <c r="P2532" s="28" t="s">
        <v>14205</v>
      </c>
    </row>
    <row r="2533" spans="1:16" x14ac:dyDescent="0.25">
      <c r="A2533" s="28" t="s">
        <v>14206</v>
      </c>
      <c r="B2533" s="28" t="s">
        <v>14207</v>
      </c>
      <c r="C2533" s="28" t="s">
        <v>132</v>
      </c>
      <c r="D2533" s="28" t="s">
        <v>1271</v>
      </c>
      <c r="E2533" s="28" t="s">
        <v>14202</v>
      </c>
      <c r="F2533" s="28" t="s">
        <v>21</v>
      </c>
      <c r="G2533" s="28" t="s">
        <v>207</v>
      </c>
      <c r="H2533" s="28" t="s">
        <v>9633</v>
      </c>
      <c r="I2533" s="28" t="s">
        <v>14208</v>
      </c>
      <c r="J2533" s="28" t="s">
        <v>207</v>
      </c>
      <c r="K2533" s="28" t="s">
        <v>9635</v>
      </c>
      <c r="L2533" s="28" t="s">
        <v>9636</v>
      </c>
      <c r="M2533" s="28" t="s">
        <v>14209</v>
      </c>
      <c r="N2533" s="28" t="s">
        <v>9638</v>
      </c>
      <c r="O2533" s="28" t="s">
        <v>9639</v>
      </c>
      <c r="P2533" s="28" t="s">
        <v>14205</v>
      </c>
    </row>
    <row r="2534" spans="1:16" x14ac:dyDescent="0.25">
      <c r="A2534" s="28" t="s">
        <v>14210</v>
      </c>
      <c r="B2534" s="28" t="s">
        <v>14211</v>
      </c>
      <c r="C2534" s="28" t="s">
        <v>132</v>
      </c>
      <c r="D2534" s="28" t="s">
        <v>1271</v>
      </c>
      <c r="E2534" s="28" t="s">
        <v>14202</v>
      </c>
      <c r="F2534" s="28" t="s">
        <v>21</v>
      </c>
      <c r="G2534" s="28" t="s">
        <v>207</v>
      </c>
      <c r="H2534" s="28" t="s">
        <v>9633</v>
      </c>
      <c r="I2534" s="28" t="s">
        <v>14212</v>
      </c>
      <c r="J2534" s="28" t="s">
        <v>207</v>
      </c>
      <c r="K2534" s="28" t="s">
        <v>9635</v>
      </c>
      <c r="L2534" s="28" t="s">
        <v>9636</v>
      </c>
      <c r="M2534" s="28" t="s">
        <v>14213</v>
      </c>
      <c r="N2534" s="28" t="s">
        <v>9638</v>
      </c>
      <c r="O2534" s="28" t="s">
        <v>9639</v>
      </c>
      <c r="P2534" s="28" t="s">
        <v>14205</v>
      </c>
    </row>
    <row r="2535" spans="1:16" x14ac:dyDescent="0.25">
      <c r="A2535" s="28" t="s">
        <v>14214</v>
      </c>
      <c r="B2535" s="28" t="s">
        <v>14215</v>
      </c>
      <c r="C2535" s="28" t="s">
        <v>132</v>
      </c>
      <c r="D2535" s="28" t="s">
        <v>1271</v>
      </c>
      <c r="E2535" s="28" t="s">
        <v>14216</v>
      </c>
      <c r="F2535" s="28" t="s">
        <v>21</v>
      </c>
      <c r="G2535" s="28" t="s">
        <v>207</v>
      </c>
      <c r="H2535" s="28" t="s">
        <v>9633</v>
      </c>
      <c r="I2535" s="28" t="s">
        <v>14217</v>
      </c>
      <c r="J2535" s="28" t="s">
        <v>207</v>
      </c>
      <c r="K2535" s="28" t="s">
        <v>9635</v>
      </c>
      <c r="L2535" s="28" t="s">
        <v>9636</v>
      </c>
      <c r="M2535" s="28" t="s">
        <v>14218</v>
      </c>
      <c r="N2535" s="28" t="s">
        <v>9638</v>
      </c>
      <c r="O2535" s="28" t="s">
        <v>9639</v>
      </c>
      <c r="P2535" s="28" t="s">
        <v>14219</v>
      </c>
    </row>
    <row r="2536" spans="1:16" x14ac:dyDescent="0.25">
      <c r="A2536" s="28" t="s">
        <v>14220</v>
      </c>
      <c r="B2536" s="28" t="s">
        <v>14221</v>
      </c>
      <c r="C2536" s="28" t="s">
        <v>132</v>
      </c>
      <c r="D2536" s="28" t="s">
        <v>1271</v>
      </c>
      <c r="E2536" s="28" t="s">
        <v>14216</v>
      </c>
      <c r="F2536" s="28" t="s">
        <v>21</v>
      </c>
      <c r="G2536" s="28" t="s">
        <v>207</v>
      </c>
      <c r="H2536" s="28" t="s">
        <v>9633</v>
      </c>
      <c r="I2536" s="28" t="s">
        <v>14222</v>
      </c>
      <c r="J2536" s="28" t="s">
        <v>207</v>
      </c>
      <c r="K2536" s="28" t="s">
        <v>9635</v>
      </c>
      <c r="L2536" s="28" t="s">
        <v>9636</v>
      </c>
      <c r="M2536" s="28" t="s">
        <v>14223</v>
      </c>
      <c r="N2536" s="28" t="s">
        <v>9638</v>
      </c>
      <c r="O2536" s="28" t="s">
        <v>9639</v>
      </c>
      <c r="P2536" s="28" t="s">
        <v>14219</v>
      </c>
    </row>
    <row r="2537" spans="1:16" x14ac:dyDescent="0.25">
      <c r="A2537" s="28" t="s">
        <v>14224</v>
      </c>
      <c r="B2537" s="28" t="s">
        <v>14225</v>
      </c>
      <c r="C2537" s="28" t="s">
        <v>132</v>
      </c>
      <c r="D2537" s="28" t="s">
        <v>1271</v>
      </c>
      <c r="E2537" s="28" t="s">
        <v>14226</v>
      </c>
      <c r="F2537" s="28" t="s">
        <v>21</v>
      </c>
      <c r="G2537" s="28" t="s">
        <v>207</v>
      </c>
      <c r="H2537" s="28" t="s">
        <v>9633</v>
      </c>
      <c r="I2537" s="28" t="s">
        <v>14227</v>
      </c>
      <c r="J2537" s="28" t="s">
        <v>207</v>
      </c>
      <c r="K2537" s="28" t="s">
        <v>9635</v>
      </c>
      <c r="L2537" s="28" t="s">
        <v>9636</v>
      </c>
      <c r="M2537" s="28" t="s">
        <v>14228</v>
      </c>
      <c r="N2537" s="28" t="s">
        <v>9638</v>
      </c>
      <c r="O2537" s="28" t="s">
        <v>9639</v>
      </c>
      <c r="P2537" s="28" t="s">
        <v>14229</v>
      </c>
    </row>
    <row r="2538" spans="1:16" x14ac:dyDescent="0.25">
      <c r="A2538" s="28" t="s">
        <v>14230</v>
      </c>
      <c r="B2538" s="28" t="s">
        <v>14231</v>
      </c>
      <c r="C2538" s="28" t="s">
        <v>132</v>
      </c>
      <c r="D2538" s="28" t="s">
        <v>1271</v>
      </c>
      <c r="E2538" s="28" t="s">
        <v>14226</v>
      </c>
      <c r="F2538" s="28" t="s">
        <v>21</v>
      </c>
      <c r="G2538" s="28" t="s">
        <v>207</v>
      </c>
      <c r="H2538" s="28" t="s">
        <v>9633</v>
      </c>
      <c r="I2538" s="28" t="s">
        <v>14232</v>
      </c>
      <c r="J2538" s="28" t="s">
        <v>207</v>
      </c>
      <c r="K2538" s="28" t="s">
        <v>9635</v>
      </c>
      <c r="L2538" s="28" t="s">
        <v>9636</v>
      </c>
      <c r="M2538" s="28" t="s">
        <v>14233</v>
      </c>
      <c r="N2538" s="28" t="s">
        <v>9638</v>
      </c>
      <c r="O2538" s="28" t="s">
        <v>9639</v>
      </c>
      <c r="P2538" s="28" t="s">
        <v>14229</v>
      </c>
    </row>
    <row r="2539" spans="1:16" x14ac:dyDescent="0.25">
      <c r="A2539" s="28" t="s">
        <v>14234</v>
      </c>
      <c r="B2539" s="28" t="s">
        <v>14235</v>
      </c>
      <c r="C2539" s="28" t="s">
        <v>132</v>
      </c>
      <c r="D2539" s="28" t="s">
        <v>1271</v>
      </c>
      <c r="E2539" s="28" t="s">
        <v>14226</v>
      </c>
      <c r="F2539" s="28" t="s">
        <v>21</v>
      </c>
      <c r="G2539" s="28" t="s">
        <v>207</v>
      </c>
      <c r="H2539" s="28" t="s">
        <v>9633</v>
      </c>
      <c r="I2539" s="28" t="s">
        <v>14236</v>
      </c>
      <c r="J2539" s="28" t="s">
        <v>207</v>
      </c>
      <c r="K2539" s="28" t="s">
        <v>9635</v>
      </c>
      <c r="L2539" s="28" t="s">
        <v>9636</v>
      </c>
      <c r="M2539" s="28" t="s">
        <v>14237</v>
      </c>
      <c r="N2539" s="28" t="s">
        <v>9638</v>
      </c>
      <c r="O2539" s="28" t="s">
        <v>9639</v>
      </c>
      <c r="P2539" s="28" t="s">
        <v>14229</v>
      </c>
    </row>
    <row r="2540" spans="1:16" x14ac:dyDescent="0.25">
      <c r="A2540" s="28" t="s">
        <v>14238</v>
      </c>
      <c r="B2540" s="28" t="s">
        <v>14239</v>
      </c>
      <c r="C2540" s="28" t="s">
        <v>132</v>
      </c>
      <c r="D2540" s="28" t="s">
        <v>1271</v>
      </c>
      <c r="E2540" s="28" t="s">
        <v>14240</v>
      </c>
      <c r="F2540" s="28" t="s">
        <v>21</v>
      </c>
      <c r="G2540" s="28" t="s">
        <v>207</v>
      </c>
      <c r="H2540" s="28" t="s">
        <v>9633</v>
      </c>
      <c r="I2540" s="28" t="s">
        <v>14241</v>
      </c>
      <c r="J2540" s="28" t="s">
        <v>207</v>
      </c>
      <c r="K2540" s="28" t="s">
        <v>9635</v>
      </c>
      <c r="L2540" s="28" t="s">
        <v>9636</v>
      </c>
      <c r="M2540" s="28" t="s">
        <v>14242</v>
      </c>
      <c r="N2540" s="28" t="s">
        <v>9638</v>
      </c>
      <c r="O2540" s="28" t="s">
        <v>9639</v>
      </c>
      <c r="P2540" s="28" t="s">
        <v>14243</v>
      </c>
    </row>
    <row r="2541" spans="1:16" x14ac:dyDescent="0.25">
      <c r="A2541" s="28" t="s">
        <v>14244</v>
      </c>
      <c r="B2541" s="28" t="s">
        <v>14245</v>
      </c>
      <c r="C2541" s="28" t="s">
        <v>132</v>
      </c>
      <c r="D2541" s="28" t="s">
        <v>1271</v>
      </c>
      <c r="E2541" s="28" t="s">
        <v>14240</v>
      </c>
      <c r="F2541" s="28" t="s">
        <v>21</v>
      </c>
      <c r="G2541" s="28" t="s">
        <v>135</v>
      </c>
      <c r="H2541" s="28" t="s">
        <v>10259</v>
      </c>
      <c r="I2541" s="28" t="s">
        <v>14246</v>
      </c>
      <c r="J2541" s="28" t="s">
        <v>135</v>
      </c>
      <c r="K2541" s="28" t="s">
        <v>10551</v>
      </c>
      <c r="L2541" s="28" t="s">
        <v>10262</v>
      </c>
      <c r="M2541" s="28" t="s">
        <v>14247</v>
      </c>
      <c r="N2541" s="28" t="s">
        <v>10264</v>
      </c>
      <c r="O2541" s="28" t="s">
        <v>10265</v>
      </c>
      <c r="P2541" s="28" t="s">
        <v>10266</v>
      </c>
    </row>
    <row r="2542" spans="1:16" x14ac:dyDescent="0.25">
      <c r="A2542" s="28" t="s">
        <v>14248</v>
      </c>
      <c r="B2542" s="28" t="s">
        <v>14249</v>
      </c>
      <c r="C2542" s="28" t="s">
        <v>132</v>
      </c>
      <c r="D2542" s="28" t="s">
        <v>1271</v>
      </c>
      <c r="E2542" s="28" t="s">
        <v>14240</v>
      </c>
      <c r="F2542" s="28" t="s">
        <v>21</v>
      </c>
      <c r="G2542" s="28" t="s">
        <v>135</v>
      </c>
      <c r="H2542" s="28" t="s">
        <v>10259</v>
      </c>
      <c r="I2542" s="28" t="s">
        <v>14250</v>
      </c>
      <c r="J2542" s="28" t="s">
        <v>135</v>
      </c>
      <c r="K2542" s="28" t="s">
        <v>10551</v>
      </c>
      <c r="L2542" s="28" t="s">
        <v>10262</v>
      </c>
      <c r="M2542" s="28" t="s">
        <v>14251</v>
      </c>
      <c r="N2542" s="28" t="s">
        <v>10264</v>
      </c>
      <c r="O2542" s="28" t="s">
        <v>10265</v>
      </c>
      <c r="P2542" s="28" t="s">
        <v>10266</v>
      </c>
    </row>
    <row r="2543" spans="1:16" x14ac:dyDescent="0.25">
      <c r="A2543" s="28" t="s">
        <v>14252</v>
      </c>
      <c r="B2543" s="28" t="s">
        <v>14253</v>
      </c>
      <c r="C2543" s="28" t="s">
        <v>132</v>
      </c>
      <c r="D2543" s="28" t="s">
        <v>1271</v>
      </c>
      <c r="E2543" s="28" t="s">
        <v>14254</v>
      </c>
      <c r="F2543" s="28" t="s">
        <v>21</v>
      </c>
      <c r="G2543" s="28" t="s">
        <v>207</v>
      </c>
      <c r="H2543" s="28" t="s">
        <v>9633</v>
      </c>
      <c r="I2543" s="28" t="s">
        <v>14255</v>
      </c>
      <c r="J2543" s="28" t="s">
        <v>207</v>
      </c>
      <c r="K2543" s="28" t="s">
        <v>9635</v>
      </c>
      <c r="L2543" s="28" t="s">
        <v>9636</v>
      </c>
      <c r="M2543" s="28" t="s">
        <v>14256</v>
      </c>
      <c r="N2543" s="28" t="s">
        <v>9638</v>
      </c>
      <c r="O2543" s="28" t="s">
        <v>9639</v>
      </c>
      <c r="P2543" s="28" t="s">
        <v>14257</v>
      </c>
    </row>
    <row r="2544" spans="1:16" x14ac:dyDescent="0.25">
      <c r="A2544" s="28" t="s">
        <v>14258</v>
      </c>
      <c r="B2544" s="28" t="s">
        <v>14259</v>
      </c>
      <c r="C2544" s="28" t="s">
        <v>132</v>
      </c>
      <c r="D2544" s="28" t="s">
        <v>1271</v>
      </c>
      <c r="E2544" s="28" t="s">
        <v>14254</v>
      </c>
      <c r="F2544" s="28" t="s">
        <v>21</v>
      </c>
      <c r="G2544" s="28" t="s">
        <v>207</v>
      </c>
      <c r="H2544" s="28" t="s">
        <v>9633</v>
      </c>
      <c r="I2544" s="28" t="s">
        <v>14260</v>
      </c>
      <c r="J2544" s="28" t="s">
        <v>207</v>
      </c>
      <c r="K2544" s="28" t="s">
        <v>9635</v>
      </c>
      <c r="L2544" s="28" t="s">
        <v>9636</v>
      </c>
      <c r="M2544" s="28" t="s">
        <v>14261</v>
      </c>
      <c r="N2544" s="28" t="s">
        <v>9638</v>
      </c>
      <c r="O2544" s="28" t="s">
        <v>9639</v>
      </c>
      <c r="P2544" s="28" t="s">
        <v>14257</v>
      </c>
    </row>
    <row r="2545" spans="1:16" x14ac:dyDescent="0.25">
      <c r="A2545" s="28" t="s">
        <v>14262</v>
      </c>
      <c r="B2545" s="28" t="s">
        <v>14263</v>
      </c>
      <c r="C2545" s="28" t="s">
        <v>132</v>
      </c>
      <c r="D2545" s="28" t="s">
        <v>1271</v>
      </c>
      <c r="E2545" s="28" t="s">
        <v>14264</v>
      </c>
      <c r="F2545" s="28" t="s">
        <v>21</v>
      </c>
      <c r="G2545" s="28" t="s">
        <v>207</v>
      </c>
      <c r="H2545" s="28" t="s">
        <v>9633</v>
      </c>
      <c r="I2545" s="28" t="s">
        <v>14265</v>
      </c>
      <c r="J2545" s="28" t="s">
        <v>207</v>
      </c>
      <c r="K2545" s="28" t="s">
        <v>9635</v>
      </c>
      <c r="L2545" s="28" t="s">
        <v>9636</v>
      </c>
      <c r="M2545" s="28" t="s">
        <v>14266</v>
      </c>
      <c r="N2545" s="28" t="s">
        <v>9638</v>
      </c>
      <c r="O2545" s="28" t="s">
        <v>9639</v>
      </c>
      <c r="P2545" s="28" t="s">
        <v>14267</v>
      </c>
    </row>
    <row r="2546" spans="1:16" x14ac:dyDescent="0.25">
      <c r="A2546" s="28" t="s">
        <v>14268</v>
      </c>
      <c r="B2546" s="28" t="s">
        <v>14269</v>
      </c>
      <c r="C2546" s="28" t="s">
        <v>132</v>
      </c>
      <c r="D2546" s="28" t="s">
        <v>1271</v>
      </c>
      <c r="E2546" s="28" t="s">
        <v>14264</v>
      </c>
      <c r="F2546" s="28" t="s">
        <v>21</v>
      </c>
      <c r="G2546" s="28" t="s">
        <v>207</v>
      </c>
      <c r="H2546" s="28" t="s">
        <v>9633</v>
      </c>
      <c r="I2546" s="28" t="s">
        <v>14270</v>
      </c>
      <c r="J2546" s="28" t="s">
        <v>207</v>
      </c>
      <c r="K2546" s="28" t="s">
        <v>9635</v>
      </c>
      <c r="L2546" s="28" t="s">
        <v>9636</v>
      </c>
      <c r="M2546" s="28" t="s">
        <v>14271</v>
      </c>
      <c r="N2546" s="28" t="s">
        <v>9638</v>
      </c>
      <c r="O2546" s="28" t="s">
        <v>9639</v>
      </c>
      <c r="P2546" s="28" t="s">
        <v>14267</v>
      </c>
    </row>
    <row r="2547" spans="1:16" x14ac:dyDescent="0.25">
      <c r="A2547" s="28" t="s">
        <v>14272</v>
      </c>
      <c r="B2547" s="28" t="s">
        <v>14273</v>
      </c>
      <c r="C2547" s="28" t="s">
        <v>132</v>
      </c>
      <c r="D2547" s="28" t="s">
        <v>1271</v>
      </c>
      <c r="E2547" s="28" t="s">
        <v>14274</v>
      </c>
      <c r="F2547" s="28" t="s">
        <v>21</v>
      </c>
      <c r="G2547" s="28" t="s">
        <v>207</v>
      </c>
      <c r="H2547" s="28" t="s">
        <v>9633</v>
      </c>
      <c r="I2547" s="28" t="s">
        <v>14275</v>
      </c>
      <c r="J2547" s="28" t="s">
        <v>207</v>
      </c>
      <c r="K2547" s="28" t="s">
        <v>9635</v>
      </c>
      <c r="L2547" s="28" t="s">
        <v>9636</v>
      </c>
      <c r="M2547" s="28" t="s">
        <v>14276</v>
      </c>
      <c r="N2547" s="28" t="s">
        <v>9638</v>
      </c>
      <c r="O2547" s="28" t="s">
        <v>9639</v>
      </c>
      <c r="P2547" s="28" t="s">
        <v>14277</v>
      </c>
    </row>
    <row r="2548" spans="1:16" x14ac:dyDescent="0.25">
      <c r="A2548" s="28" t="s">
        <v>14278</v>
      </c>
      <c r="B2548" s="28" t="s">
        <v>14279</v>
      </c>
      <c r="C2548" s="28" t="s">
        <v>132</v>
      </c>
      <c r="D2548" s="28" t="s">
        <v>1271</v>
      </c>
      <c r="E2548" s="28" t="s">
        <v>14274</v>
      </c>
      <c r="F2548" s="28" t="s">
        <v>21</v>
      </c>
      <c r="G2548" s="28" t="s">
        <v>207</v>
      </c>
      <c r="H2548" s="28" t="s">
        <v>9633</v>
      </c>
      <c r="I2548" s="28" t="s">
        <v>14280</v>
      </c>
      <c r="J2548" s="28" t="s">
        <v>207</v>
      </c>
      <c r="K2548" s="28" t="s">
        <v>9635</v>
      </c>
      <c r="L2548" s="28" t="s">
        <v>9636</v>
      </c>
      <c r="M2548" s="28" t="s">
        <v>14281</v>
      </c>
      <c r="N2548" s="28" t="s">
        <v>9638</v>
      </c>
      <c r="O2548" s="28" t="s">
        <v>9639</v>
      </c>
      <c r="P2548" s="28" t="s">
        <v>14277</v>
      </c>
    </row>
    <row r="2549" spans="1:16" x14ac:dyDescent="0.25">
      <c r="A2549" s="28" t="s">
        <v>14282</v>
      </c>
      <c r="B2549" s="28" t="s">
        <v>14283</v>
      </c>
      <c r="C2549" s="28" t="s">
        <v>132</v>
      </c>
      <c r="D2549" s="28" t="s">
        <v>1271</v>
      </c>
      <c r="E2549" s="28" t="s">
        <v>14284</v>
      </c>
      <c r="F2549" s="28" t="s">
        <v>21</v>
      </c>
      <c r="G2549" s="28" t="s">
        <v>207</v>
      </c>
      <c r="H2549" s="28" t="s">
        <v>9633</v>
      </c>
      <c r="I2549" s="28" t="s">
        <v>14285</v>
      </c>
      <c r="J2549" s="28" t="s">
        <v>207</v>
      </c>
      <c r="K2549" s="28" t="s">
        <v>9635</v>
      </c>
      <c r="L2549" s="28" t="s">
        <v>9636</v>
      </c>
      <c r="M2549" s="28" t="s">
        <v>14286</v>
      </c>
      <c r="N2549" s="28" t="s">
        <v>9638</v>
      </c>
      <c r="O2549" s="28" t="s">
        <v>9639</v>
      </c>
      <c r="P2549" s="28" t="s">
        <v>14287</v>
      </c>
    </row>
    <row r="2550" spans="1:16" x14ac:dyDescent="0.25">
      <c r="A2550" s="28" t="s">
        <v>14288</v>
      </c>
      <c r="B2550" s="28" t="s">
        <v>14289</v>
      </c>
      <c r="C2550" s="28" t="s">
        <v>132</v>
      </c>
      <c r="D2550" s="28" t="s">
        <v>1271</v>
      </c>
      <c r="E2550" s="28" t="s">
        <v>14284</v>
      </c>
      <c r="F2550" s="28" t="s">
        <v>21</v>
      </c>
      <c r="G2550" s="28" t="s">
        <v>207</v>
      </c>
      <c r="H2550" s="28" t="s">
        <v>9633</v>
      </c>
      <c r="I2550" s="28" t="s">
        <v>14290</v>
      </c>
      <c r="J2550" s="28" t="s">
        <v>207</v>
      </c>
      <c r="K2550" s="28" t="s">
        <v>9635</v>
      </c>
      <c r="L2550" s="28" t="s">
        <v>9636</v>
      </c>
      <c r="M2550" s="28" t="s">
        <v>14291</v>
      </c>
      <c r="N2550" s="28" t="s">
        <v>9638</v>
      </c>
      <c r="O2550" s="28" t="s">
        <v>9639</v>
      </c>
      <c r="P2550" s="28" t="s">
        <v>14287</v>
      </c>
    </row>
    <row r="2551" spans="1:16" x14ac:dyDescent="0.25">
      <c r="A2551" s="28" t="s">
        <v>14292</v>
      </c>
      <c r="B2551" s="28" t="s">
        <v>14293</v>
      </c>
      <c r="C2551" s="28" t="s">
        <v>132</v>
      </c>
      <c r="D2551" s="28" t="s">
        <v>1271</v>
      </c>
      <c r="E2551" s="28" t="s">
        <v>14294</v>
      </c>
      <c r="F2551" s="28" t="s">
        <v>21</v>
      </c>
      <c r="G2551" s="28" t="s">
        <v>207</v>
      </c>
      <c r="H2551" s="28" t="s">
        <v>9633</v>
      </c>
      <c r="I2551" s="28" t="s">
        <v>14295</v>
      </c>
      <c r="J2551" s="28" t="s">
        <v>207</v>
      </c>
      <c r="K2551" s="28" t="s">
        <v>9635</v>
      </c>
      <c r="L2551" s="28" t="s">
        <v>9636</v>
      </c>
      <c r="M2551" s="28" t="s">
        <v>14296</v>
      </c>
      <c r="N2551" s="28" t="s">
        <v>9638</v>
      </c>
      <c r="O2551" s="28" t="s">
        <v>9639</v>
      </c>
      <c r="P2551" s="28" t="s">
        <v>14297</v>
      </c>
    </row>
    <row r="2552" spans="1:16" x14ac:dyDescent="0.25">
      <c r="A2552" s="28" t="s">
        <v>14298</v>
      </c>
      <c r="B2552" s="28" t="s">
        <v>14299</v>
      </c>
      <c r="C2552" s="28" t="s">
        <v>132</v>
      </c>
      <c r="D2552" s="28" t="s">
        <v>1271</v>
      </c>
      <c r="E2552" s="28" t="s">
        <v>14294</v>
      </c>
      <c r="F2552" s="28" t="s">
        <v>21</v>
      </c>
      <c r="G2552" s="28" t="s">
        <v>207</v>
      </c>
      <c r="H2552" s="28" t="s">
        <v>9633</v>
      </c>
      <c r="I2552" s="28" t="s">
        <v>14300</v>
      </c>
      <c r="J2552" s="28" t="s">
        <v>207</v>
      </c>
      <c r="K2552" s="28" t="s">
        <v>9635</v>
      </c>
      <c r="L2552" s="28" t="s">
        <v>9636</v>
      </c>
      <c r="M2552" s="28" t="s">
        <v>14301</v>
      </c>
      <c r="N2552" s="28" t="s">
        <v>9638</v>
      </c>
      <c r="O2552" s="28" t="s">
        <v>9639</v>
      </c>
      <c r="P2552" s="28" t="s">
        <v>14297</v>
      </c>
    </row>
    <row r="2553" spans="1:16" x14ac:dyDescent="0.25">
      <c r="A2553" s="28" t="s">
        <v>14302</v>
      </c>
      <c r="B2553" s="28" t="s">
        <v>14303</v>
      </c>
      <c r="C2553" s="28" t="s">
        <v>132</v>
      </c>
      <c r="D2553" s="28" t="s">
        <v>1271</v>
      </c>
      <c r="E2553" s="28" t="s">
        <v>14304</v>
      </c>
      <c r="F2553" s="28" t="s">
        <v>21</v>
      </c>
      <c r="G2553" s="28" t="s">
        <v>207</v>
      </c>
      <c r="H2553" s="28" t="s">
        <v>9633</v>
      </c>
      <c r="I2553" s="28" t="s">
        <v>14305</v>
      </c>
      <c r="J2553" s="28" t="s">
        <v>207</v>
      </c>
      <c r="K2553" s="28" t="s">
        <v>9635</v>
      </c>
      <c r="L2553" s="28" t="s">
        <v>9636</v>
      </c>
      <c r="M2553" s="28" t="s">
        <v>14306</v>
      </c>
      <c r="N2553" s="28" t="s">
        <v>9638</v>
      </c>
      <c r="O2553" s="28" t="s">
        <v>9639</v>
      </c>
      <c r="P2553" s="28" t="s">
        <v>14307</v>
      </c>
    </row>
    <row r="2554" spans="1:16" x14ac:dyDescent="0.25">
      <c r="A2554" s="28" t="s">
        <v>14308</v>
      </c>
      <c r="B2554" s="28" t="s">
        <v>14309</v>
      </c>
      <c r="C2554" s="28" t="s">
        <v>132</v>
      </c>
      <c r="D2554" s="28" t="s">
        <v>1271</v>
      </c>
      <c r="E2554" s="28" t="s">
        <v>14304</v>
      </c>
      <c r="F2554" s="28" t="s">
        <v>21</v>
      </c>
      <c r="G2554" s="28" t="s">
        <v>207</v>
      </c>
      <c r="H2554" s="28" t="s">
        <v>9633</v>
      </c>
      <c r="I2554" s="28" t="s">
        <v>14310</v>
      </c>
      <c r="J2554" s="28" t="s">
        <v>207</v>
      </c>
      <c r="K2554" s="28" t="s">
        <v>9635</v>
      </c>
      <c r="L2554" s="28" t="s">
        <v>9636</v>
      </c>
      <c r="M2554" s="28" t="s">
        <v>14311</v>
      </c>
      <c r="N2554" s="28" t="s">
        <v>9638</v>
      </c>
      <c r="O2554" s="28" t="s">
        <v>9639</v>
      </c>
      <c r="P2554" s="28" t="s">
        <v>14307</v>
      </c>
    </row>
    <row r="2555" spans="1:16" x14ac:dyDescent="0.25">
      <c r="A2555" s="28" t="s">
        <v>14312</v>
      </c>
      <c r="B2555" s="28" t="s">
        <v>14313</v>
      </c>
      <c r="C2555" s="28" t="s">
        <v>132</v>
      </c>
      <c r="D2555" s="28" t="s">
        <v>1271</v>
      </c>
      <c r="E2555" s="28" t="s">
        <v>14314</v>
      </c>
      <c r="F2555" s="28" t="s">
        <v>21</v>
      </c>
      <c r="G2555" s="28" t="s">
        <v>207</v>
      </c>
      <c r="H2555" s="28" t="s">
        <v>9633</v>
      </c>
      <c r="I2555" s="28" t="s">
        <v>14315</v>
      </c>
      <c r="J2555" s="28" t="s">
        <v>207</v>
      </c>
      <c r="K2555" s="28" t="s">
        <v>9635</v>
      </c>
      <c r="L2555" s="28" t="s">
        <v>9636</v>
      </c>
      <c r="M2555" s="28" t="s">
        <v>14316</v>
      </c>
      <c r="N2555" s="28" t="s">
        <v>9638</v>
      </c>
      <c r="O2555" s="28" t="s">
        <v>9639</v>
      </c>
      <c r="P2555" s="28" t="s">
        <v>14317</v>
      </c>
    </row>
    <row r="2556" spans="1:16" x14ac:dyDescent="0.25">
      <c r="A2556" s="28" t="s">
        <v>14318</v>
      </c>
      <c r="B2556" s="28" t="s">
        <v>14319</v>
      </c>
      <c r="C2556" s="28" t="s">
        <v>132</v>
      </c>
      <c r="D2556" s="28" t="s">
        <v>1271</v>
      </c>
      <c r="E2556" s="28" t="s">
        <v>14314</v>
      </c>
      <c r="F2556" s="28" t="s">
        <v>21</v>
      </c>
      <c r="G2556" s="28" t="s">
        <v>207</v>
      </c>
      <c r="H2556" s="28" t="s">
        <v>9633</v>
      </c>
      <c r="I2556" s="28" t="s">
        <v>14320</v>
      </c>
      <c r="J2556" s="28" t="s">
        <v>207</v>
      </c>
      <c r="K2556" s="28" t="s">
        <v>9635</v>
      </c>
      <c r="L2556" s="28" t="s">
        <v>9636</v>
      </c>
      <c r="M2556" s="28" t="s">
        <v>14321</v>
      </c>
      <c r="N2556" s="28" t="s">
        <v>9638</v>
      </c>
      <c r="O2556" s="28" t="s">
        <v>9639</v>
      </c>
      <c r="P2556" s="28" t="s">
        <v>14317</v>
      </c>
    </row>
    <row r="2557" spans="1:16" x14ac:dyDescent="0.25">
      <c r="A2557" s="28" t="s">
        <v>14322</v>
      </c>
      <c r="B2557" s="28" t="s">
        <v>14323</v>
      </c>
      <c r="C2557" s="28" t="s">
        <v>132</v>
      </c>
      <c r="D2557" s="28" t="s">
        <v>1271</v>
      </c>
      <c r="E2557" s="28" t="s">
        <v>14324</v>
      </c>
      <c r="F2557" s="28" t="s">
        <v>21</v>
      </c>
      <c r="G2557" s="28" t="s">
        <v>207</v>
      </c>
      <c r="H2557" s="28" t="s">
        <v>9633</v>
      </c>
      <c r="I2557" s="28" t="s">
        <v>14325</v>
      </c>
      <c r="J2557" s="28" t="s">
        <v>207</v>
      </c>
      <c r="K2557" s="28" t="s">
        <v>9635</v>
      </c>
      <c r="L2557" s="28" t="s">
        <v>9636</v>
      </c>
      <c r="M2557" s="28" t="s">
        <v>14326</v>
      </c>
      <c r="N2557" s="28" t="s">
        <v>9638</v>
      </c>
      <c r="O2557" s="28" t="s">
        <v>9639</v>
      </c>
      <c r="P2557" s="28" t="s">
        <v>14327</v>
      </c>
    </row>
    <row r="2558" spans="1:16" x14ac:dyDescent="0.25">
      <c r="A2558" s="28" t="s">
        <v>14328</v>
      </c>
      <c r="B2558" s="28" t="s">
        <v>14329</v>
      </c>
      <c r="C2558" s="28" t="s">
        <v>132</v>
      </c>
      <c r="D2558" s="28" t="s">
        <v>1271</v>
      </c>
      <c r="E2558" s="28" t="s">
        <v>14324</v>
      </c>
      <c r="F2558" s="28" t="s">
        <v>21</v>
      </c>
      <c r="G2558" s="28" t="s">
        <v>207</v>
      </c>
      <c r="H2558" s="28" t="s">
        <v>9633</v>
      </c>
      <c r="I2558" s="28" t="s">
        <v>14330</v>
      </c>
      <c r="J2558" s="28" t="s">
        <v>207</v>
      </c>
      <c r="K2558" s="28" t="s">
        <v>9635</v>
      </c>
      <c r="L2558" s="28" t="s">
        <v>9636</v>
      </c>
      <c r="M2558" s="28" t="s">
        <v>14331</v>
      </c>
      <c r="N2558" s="28" t="s">
        <v>9638</v>
      </c>
      <c r="O2558" s="28" t="s">
        <v>9639</v>
      </c>
      <c r="P2558" s="28" t="s">
        <v>14327</v>
      </c>
    </row>
    <row r="2559" spans="1:16" x14ac:dyDescent="0.25">
      <c r="A2559" s="28" t="s">
        <v>14332</v>
      </c>
      <c r="B2559" s="28" t="s">
        <v>14333</v>
      </c>
      <c r="C2559" s="28" t="s">
        <v>132</v>
      </c>
      <c r="D2559" s="28" t="s">
        <v>1271</v>
      </c>
      <c r="E2559" s="28" t="s">
        <v>14334</v>
      </c>
      <c r="F2559" s="28" t="s">
        <v>21</v>
      </c>
      <c r="G2559" s="28" t="s">
        <v>207</v>
      </c>
      <c r="H2559" s="28" t="s">
        <v>9633</v>
      </c>
      <c r="I2559" s="28" t="s">
        <v>14335</v>
      </c>
      <c r="J2559" s="28" t="s">
        <v>207</v>
      </c>
      <c r="K2559" s="28" t="s">
        <v>9635</v>
      </c>
      <c r="L2559" s="28" t="s">
        <v>9636</v>
      </c>
      <c r="M2559" s="28" t="s">
        <v>14336</v>
      </c>
      <c r="N2559" s="28" t="s">
        <v>9638</v>
      </c>
      <c r="O2559" s="28" t="s">
        <v>9639</v>
      </c>
      <c r="P2559" s="28" t="s">
        <v>14337</v>
      </c>
    </row>
    <row r="2560" spans="1:16" x14ac:dyDescent="0.25">
      <c r="A2560" s="28" t="s">
        <v>14338</v>
      </c>
      <c r="B2560" s="28" t="s">
        <v>14339</v>
      </c>
      <c r="C2560" s="28" t="s">
        <v>132</v>
      </c>
      <c r="D2560" s="28" t="s">
        <v>1271</v>
      </c>
      <c r="E2560" s="28" t="s">
        <v>14334</v>
      </c>
      <c r="F2560" s="28" t="s">
        <v>21</v>
      </c>
      <c r="G2560" s="28" t="s">
        <v>207</v>
      </c>
      <c r="H2560" s="28" t="s">
        <v>9633</v>
      </c>
      <c r="I2560" s="28" t="s">
        <v>14340</v>
      </c>
      <c r="J2560" s="28" t="s">
        <v>207</v>
      </c>
      <c r="K2560" s="28" t="s">
        <v>9635</v>
      </c>
      <c r="L2560" s="28" t="s">
        <v>9636</v>
      </c>
      <c r="M2560" s="28" t="s">
        <v>14341</v>
      </c>
      <c r="N2560" s="28" t="s">
        <v>9638</v>
      </c>
      <c r="O2560" s="28" t="s">
        <v>9639</v>
      </c>
      <c r="P2560" s="28" t="s">
        <v>14337</v>
      </c>
    </row>
    <row r="2561" spans="1:16" x14ac:dyDescent="0.25">
      <c r="A2561" s="28" t="s">
        <v>14342</v>
      </c>
      <c r="B2561" s="28" t="s">
        <v>14343</v>
      </c>
      <c r="C2561" s="28" t="s">
        <v>132</v>
      </c>
      <c r="D2561" s="28" t="s">
        <v>1271</v>
      </c>
      <c r="E2561" s="28" t="s">
        <v>14344</v>
      </c>
      <c r="F2561" s="28" t="s">
        <v>21</v>
      </c>
      <c r="G2561" s="28" t="s">
        <v>207</v>
      </c>
      <c r="H2561" s="28" t="s">
        <v>9633</v>
      </c>
      <c r="I2561" s="28" t="s">
        <v>14345</v>
      </c>
      <c r="J2561" s="28" t="s">
        <v>207</v>
      </c>
      <c r="K2561" s="28" t="s">
        <v>9635</v>
      </c>
      <c r="L2561" s="28" t="s">
        <v>9636</v>
      </c>
      <c r="M2561" s="28" t="s">
        <v>14346</v>
      </c>
      <c r="N2561" s="28" t="s">
        <v>9638</v>
      </c>
      <c r="O2561" s="28" t="s">
        <v>9639</v>
      </c>
      <c r="P2561" s="28" t="s">
        <v>14347</v>
      </c>
    </row>
    <row r="2562" spans="1:16" x14ac:dyDescent="0.25">
      <c r="A2562" s="28" t="s">
        <v>14348</v>
      </c>
      <c r="B2562" s="28" t="s">
        <v>14349</v>
      </c>
      <c r="C2562" s="28" t="s">
        <v>132</v>
      </c>
      <c r="D2562" s="28" t="s">
        <v>1271</v>
      </c>
      <c r="E2562" s="28" t="s">
        <v>14344</v>
      </c>
      <c r="F2562" s="28" t="s">
        <v>21</v>
      </c>
      <c r="G2562" s="28" t="s">
        <v>207</v>
      </c>
      <c r="H2562" s="28" t="s">
        <v>9633</v>
      </c>
      <c r="I2562" s="28" t="s">
        <v>14350</v>
      </c>
      <c r="J2562" s="28" t="s">
        <v>207</v>
      </c>
      <c r="K2562" s="28" t="s">
        <v>9635</v>
      </c>
      <c r="L2562" s="28" t="s">
        <v>9636</v>
      </c>
      <c r="M2562" s="28" t="s">
        <v>14351</v>
      </c>
      <c r="N2562" s="28" t="s">
        <v>9638</v>
      </c>
      <c r="O2562" s="28" t="s">
        <v>9639</v>
      </c>
      <c r="P2562" s="28" t="s">
        <v>14352</v>
      </c>
    </row>
    <row r="2563" spans="1:16" x14ac:dyDescent="0.25">
      <c r="A2563" s="28" t="s">
        <v>14353</v>
      </c>
      <c r="B2563" s="28" t="s">
        <v>14354</v>
      </c>
      <c r="C2563" s="28" t="s">
        <v>132</v>
      </c>
      <c r="D2563" s="28" t="s">
        <v>1271</v>
      </c>
      <c r="E2563" s="28" t="s">
        <v>14344</v>
      </c>
      <c r="F2563" s="28" t="s">
        <v>21</v>
      </c>
      <c r="G2563" s="28" t="s">
        <v>207</v>
      </c>
      <c r="H2563" s="28" t="s">
        <v>9633</v>
      </c>
      <c r="I2563" s="28" t="s">
        <v>14355</v>
      </c>
      <c r="J2563" s="28" t="s">
        <v>207</v>
      </c>
      <c r="K2563" s="28" t="s">
        <v>9635</v>
      </c>
      <c r="L2563" s="28" t="s">
        <v>9636</v>
      </c>
      <c r="M2563" s="28" t="s">
        <v>14356</v>
      </c>
      <c r="N2563" s="28" t="s">
        <v>9638</v>
      </c>
      <c r="O2563" s="28" t="s">
        <v>9639</v>
      </c>
      <c r="P2563" s="28" t="s">
        <v>14347</v>
      </c>
    </row>
    <row r="2564" spans="1:16" x14ac:dyDescent="0.25">
      <c r="A2564" s="28" t="s">
        <v>14357</v>
      </c>
      <c r="B2564" s="28" t="s">
        <v>14358</v>
      </c>
      <c r="C2564" s="28" t="s">
        <v>132</v>
      </c>
      <c r="D2564" s="28" t="s">
        <v>1271</v>
      </c>
      <c r="E2564" s="28" t="s">
        <v>14359</v>
      </c>
      <c r="F2564" s="28" t="s">
        <v>21</v>
      </c>
      <c r="G2564" s="28" t="s">
        <v>207</v>
      </c>
      <c r="H2564" s="28" t="s">
        <v>9633</v>
      </c>
      <c r="I2564" s="28" t="s">
        <v>14360</v>
      </c>
      <c r="J2564" s="28" t="s">
        <v>207</v>
      </c>
      <c r="K2564" s="28" t="s">
        <v>9635</v>
      </c>
      <c r="L2564" s="28" t="s">
        <v>9636</v>
      </c>
      <c r="M2564" s="28" t="s">
        <v>14361</v>
      </c>
      <c r="N2564" s="28" t="s">
        <v>9638</v>
      </c>
      <c r="O2564" s="28" t="s">
        <v>9639</v>
      </c>
      <c r="P2564" s="28" t="s">
        <v>14362</v>
      </c>
    </row>
    <row r="2565" spans="1:16" x14ac:dyDescent="0.25">
      <c r="A2565" s="28" t="s">
        <v>14363</v>
      </c>
      <c r="B2565" s="28" t="s">
        <v>14364</v>
      </c>
      <c r="C2565" s="28" t="s">
        <v>132</v>
      </c>
      <c r="D2565" s="28" t="s">
        <v>1271</v>
      </c>
      <c r="E2565" s="28" t="s">
        <v>14359</v>
      </c>
      <c r="F2565" s="28" t="s">
        <v>21</v>
      </c>
      <c r="G2565" s="28" t="s">
        <v>207</v>
      </c>
      <c r="H2565" s="28" t="s">
        <v>9633</v>
      </c>
      <c r="I2565" s="28" t="s">
        <v>14365</v>
      </c>
      <c r="J2565" s="28" t="s">
        <v>207</v>
      </c>
      <c r="K2565" s="28" t="s">
        <v>9635</v>
      </c>
      <c r="L2565" s="28" t="s">
        <v>9636</v>
      </c>
      <c r="M2565" s="28" t="s">
        <v>14366</v>
      </c>
      <c r="N2565" s="28" t="s">
        <v>9638</v>
      </c>
      <c r="O2565" s="28" t="s">
        <v>9639</v>
      </c>
      <c r="P2565" s="28" t="s">
        <v>14362</v>
      </c>
    </row>
    <row r="2566" spans="1:16" x14ac:dyDescent="0.25">
      <c r="A2566" s="28" t="s">
        <v>14367</v>
      </c>
      <c r="B2566" s="28" t="s">
        <v>14368</v>
      </c>
      <c r="C2566" s="28" t="s">
        <v>132</v>
      </c>
      <c r="D2566" s="28" t="s">
        <v>1271</v>
      </c>
      <c r="E2566" s="28" t="s">
        <v>14369</v>
      </c>
      <c r="F2566" s="28" t="s">
        <v>21</v>
      </c>
      <c r="G2566" s="28" t="s">
        <v>207</v>
      </c>
      <c r="H2566" s="28" t="s">
        <v>9633</v>
      </c>
      <c r="I2566" s="28" t="s">
        <v>14370</v>
      </c>
      <c r="J2566" s="28" t="s">
        <v>207</v>
      </c>
      <c r="K2566" s="28" t="s">
        <v>9635</v>
      </c>
      <c r="L2566" s="28" t="s">
        <v>9636</v>
      </c>
      <c r="M2566" s="28" t="s">
        <v>14371</v>
      </c>
      <c r="N2566" s="28" t="s">
        <v>9638</v>
      </c>
      <c r="O2566" s="28" t="s">
        <v>9639</v>
      </c>
      <c r="P2566" s="28" t="s">
        <v>14372</v>
      </c>
    </row>
    <row r="2567" spans="1:16" x14ac:dyDescent="0.25">
      <c r="A2567" s="28" t="s">
        <v>14373</v>
      </c>
      <c r="B2567" s="28" t="s">
        <v>14374</v>
      </c>
      <c r="C2567" s="28" t="s">
        <v>132</v>
      </c>
      <c r="D2567" s="28" t="s">
        <v>1271</v>
      </c>
      <c r="E2567" s="28" t="s">
        <v>14369</v>
      </c>
      <c r="F2567" s="28" t="s">
        <v>21</v>
      </c>
      <c r="G2567" s="28" t="s">
        <v>207</v>
      </c>
      <c r="H2567" s="28" t="s">
        <v>9633</v>
      </c>
      <c r="I2567" s="28" t="s">
        <v>14375</v>
      </c>
      <c r="J2567" s="28" t="s">
        <v>207</v>
      </c>
      <c r="K2567" s="28" t="s">
        <v>9635</v>
      </c>
      <c r="L2567" s="28" t="s">
        <v>9636</v>
      </c>
      <c r="M2567" s="28" t="s">
        <v>14376</v>
      </c>
      <c r="N2567" s="28" t="s">
        <v>9638</v>
      </c>
      <c r="O2567" s="28" t="s">
        <v>9639</v>
      </c>
      <c r="P2567" s="28" t="s">
        <v>14372</v>
      </c>
    </row>
    <row r="2568" spans="1:16" x14ac:dyDescent="0.25">
      <c r="A2568" s="28" t="s">
        <v>14377</v>
      </c>
      <c r="B2568" s="28" t="s">
        <v>14378</v>
      </c>
      <c r="C2568" s="28" t="s">
        <v>132</v>
      </c>
      <c r="D2568" s="28" t="s">
        <v>1271</v>
      </c>
      <c r="E2568" s="28" t="s">
        <v>14369</v>
      </c>
      <c r="F2568" s="28" t="s">
        <v>21</v>
      </c>
      <c r="G2568" s="28" t="s">
        <v>207</v>
      </c>
      <c r="H2568" s="28" t="s">
        <v>9633</v>
      </c>
      <c r="I2568" s="28" t="s">
        <v>14379</v>
      </c>
      <c r="J2568" s="28" t="s">
        <v>207</v>
      </c>
      <c r="K2568" s="28" t="s">
        <v>9635</v>
      </c>
      <c r="L2568" s="28" t="s">
        <v>9636</v>
      </c>
      <c r="M2568" s="28" t="s">
        <v>14380</v>
      </c>
      <c r="N2568" s="28" t="s">
        <v>9638</v>
      </c>
      <c r="O2568" s="28" t="s">
        <v>9639</v>
      </c>
      <c r="P2568" s="28" t="s">
        <v>14381</v>
      </c>
    </row>
    <row r="2569" spans="1:16" x14ac:dyDescent="0.25">
      <c r="A2569" s="28" t="s">
        <v>14382</v>
      </c>
      <c r="B2569" s="28" t="s">
        <v>14383</v>
      </c>
      <c r="C2569" s="28" t="s">
        <v>132</v>
      </c>
      <c r="D2569" s="28" t="s">
        <v>1271</v>
      </c>
      <c r="E2569" s="28" t="s">
        <v>14369</v>
      </c>
      <c r="F2569" s="28" t="s">
        <v>21</v>
      </c>
      <c r="G2569" s="28" t="s">
        <v>207</v>
      </c>
      <c r="H2569" s="28" t="s">
        <v>9633</v>
      </c>
      <c r="I2569" s="28" t="s">
        <v>14384</v>
      </c>
      <c r="J2569" s="28" t="s">
        <v>207</v>
      </c>
      <c r="K2569" s="28" t="s">
        <v>9635</v>
      </c>
      <c r="L2569" s="28" t="s">
        <v>9636</v>
      </c>
      <c r="M2569" s="28" t="s">
        <v>14385</v>
      </c>
      <c r="N2569" s="28" t="s">
        <v>9638</v>
      </c>
      <c r="O2569" s="28" t="s">
        <v>9639</v>
      </c>
      <c r="P2569" s="28" t="s">
        <v>14372</v>
      </c>
    </row>
    <row r="2570" spans="1:16" x14ac:dyDescent="0.25">
      <c r="A2570" s="28" t="s">
        <v>14386</v>
      </c>
      <c r="B2570" s="28" t="s">
        <v>14387</v>
      </c>
      <c r="C2570" s="28" t="s">
        <v>132</v>
      </c>
      <c r="D2570" s="28" t="s">
        <v>1271</v>
      </c>
      <c r="E2570" s="28" t="s">
        <v>14369</v>
      </c>
      <c r="F2570" s="28" t="s">
        <v>21</v>
      </c>
      <c r="G2570" s="28" t="s">
        <v>207</v>
      </c>
      <c r="H2570" s="28" t="s">
        <v>9633</v>
      </c>
      <c r="I2570" s="28" t="s">
        <v>14388</v>
      </c>
      <c r="J2570" s="28" t="s">
        <v>207</v>
      </c>
      <c r="K2570" s="28" t="s">
        <v>9635</v>
      </c>
      <c r="L2570" s="28" t="s">
        <v>9636</v>
      </c>
      <c r="M2570" s="28" t="s">
        <v>14389</v>
      </c>
      <c r="N2570" s="28" t="s">
        <v>9638</v>
      </c>
      <c r="O2570" s="28" t="s">
        <v>9639</v>
      </c>
      <c r="P2570" s="28" t="s">
        <v>14372</v>
      </c>
    </row>
    <row r="2571" spans="1:16" x14ac:dyDescent="0.25">
      <c r="A2571" s="28" t="s">
        <v>14390</v>
      </c>
      <c r="B2571" s="28" t="s">
        <v>14391</v>
      </c>
      <c r="C2571" s="28" t="s">
        <v>132</v>
      </c>
      <c r="D2571" s="28" t="s">
        <v>1271</v>
      </c>
      <c r="E2571" s="28" t="s">
        <v>14392</v>
      </c>
      <c r="F2571" s="28" t="s">
        <v>21</v>
      </c>
      <c r="G2571" s="28" t="s">
        <v>207</v>
      </c>
      <c r="H2571" s="28" t="s">
        <v>9633</v>
      </c>
      <c r="I2571" s="28" t="s">
        <v>14393</v>
      </c>
      <c r="J2571" s="28" t="s">
        <v>207</v>
      </c>
      <c r="K2571" s="28" t="s">
        <v>9635</v>
      </c>
      <c r="L2571" s="28" t="s">
        <v>9636</v>
      </c>
      <c r="M2571" s="28" t="s">
        <v>14394</v>
      </c>
      <c r="N2571" s="28" t="s">
        <v>9638</v>
      </c>
      <c r="O2571" s="28" t="s">
        <v>9639</v>
      </c>
      <c r="P2571" s="28" t="s">
        <v>14395</v>
      </c>
    </row>
    <row r="2572" spans="1:16" x14ac:dyDescent="0.25">
      <c r="A2572" s="28" t="s">
        <v>14396</v>
      </c>
      <c r="B2572" s="28" t="s">
        <v>14397</v>
      </c>
      <c r="C2572" s="28" t="s">
        <v>132</v>
      </c>
      <c r="D2572" s="28" t="s">
        <v>1271</v>
      </c>
      <c r="E2572" s="28" t="s">
        <v>14392</v>
      </c>
      <c r="F2572" s="28" t="s">
        <v>21</v>
      </c>
      <c r="G2572" s="28" t="s">
        <v>207</v>
      </c>
      <c r="H2572" s="28" t="s">
        <v>9633</v>
      </c>
      <c r="I2572" s="28" t="s">
        <v>14398</v>
      </c>
      <c r="J2572" s="28" t="s">
        <v>207</v>
      </c>
      <c r="K2572" s="28" t="s">
        <v>9635</v>
      </c>
      <c r="L2572" s="28" t="s">
        <v>9636</v>
      </c>
      <c r="M2572" s="28" t="s">
        <v>14399</v>
      </c>
      <c r="N2572" s="28" t="s">
        <v>9638</v>
      </c>
      <c r="O2572" s="28" t="s">
        <v>9639</v>
      </c>
      <c r="P2572" s="28" t="s">
        <v>14395</v>
      </c>
    </row>
    <row r="2573" spans="1:16" x14ac:dyDescent="0.25">
      <c r="A2573" s="28" t="s">
        <v>14400</v>
      </c>
      <c r="B2573" s="28" t="s">
        <v>14401</v>
      </c>
      <c r="C2573" s="28" t="s">
        <v>132</v>
      </c>
      <c r="D2573" s="28" t="s">
        <v>1271</v>
      </c>
      <c r="E2573" s="28" t="s">
        <v>14402</v>
      </c>
      <c r="F2573" s="28" t="s">
        <v>21</v>
      </c>
      <c r="G2573" s="28" t="s">
        <v>207</v>
      </c>
      <c r="H2573" s="28" t="s">
        <v>9633</v>
      </c>
      <c r="I2573" s="28" t="s">
        <v>14403</v>
      </c>
      <c r="J2573" s="28" t="s">
        <v>207</v>
      </c>
      <c r="K2573" s="28" t="s">
        <v>9635</v>
      </c>
      <c r="L2573" s="28" t="s">
        <v>9636</v>
      </c>
      <c r="M2573" s="28" t="s">
        <v>14404</v>
      </c>
      <c r="N2573" s="28" t="s">
        <v>9638</v>
      </c>
      <c r="O2573" s="28" t="s">
        <v>9639</v>
      </c>
      <c r="P2573" s="28" t="s">
        <v>14405</v>
      </c>
    </row>
    <row r="2574" spans="1:16" x14ac:dyDescent="0.25">
      <c r="A2574" s="28" t="s">
        <v>14406</v>
      </c>
      <c r="B2574" s="28" t="s">
        <v>14407</v>
      </c>
      <c r="C2574" s="28" t="s">
        <v>132</v>
      </c>
      <c r="D2574" s="28" t="s">
        <v>1271</v>
      </c>
      <c r="E2574" s="28" t="s">
        <v>14402</v>
      </c>
      <c r="F2574" s="28" t="s">
        <v>21</v>
      </c>
      <c r="G2574" s="28" t="s">
        <v>207</v>
      </c>
      <c r="H2574" s="28" t="s">
        <v>9633</v>
      </c>
      <c r="I2574" s="28" t="s">
        <v>14408</v>
      </c>
      <c r="J2574" s="28" t="s">
        <v>207</v>
      </c>
      <c r="K2574" s="28" t="s">
        <v>9635</v>
      </c>
      <c r="L2574" s="28" t="s">
        <v>9636</v>
      </c>
      <c r="M2574" s="28" t="s">
        <v>14409</v>
      </c>
      <c r="N2574" s="28" t="s">
        <v>9638</v>
      </c>
      <c r="O2574" s="28" t="s">
        <v>9639</v>
      </c>
      <c r="P2574" s="28" t="s">
        <v>14405</v>
      </c>
    </row>
    <row r="2575" spans="1:16" x14ac:dyDescent="0.25">
      <c r="A2575" s="28" t="s">
        <v>14410</v>
      </c>
      <c r="B2575" s="28" t="s">
        <v>14411</v>
      </c>
      <c r="C2575" s="28" t="s">
        <v>132</v>
      </c>
      <c r="D2575" s="28" t="s">
        <v>1271</v>
      </c>
      <c r="E2575" s="28" t="s">
        <v>14402</v>
      </c>
      <c r="F2575" s="28" t="s">
        <v>21</v>
      </c>
      <c r="G2575" s="28" t="s">
        <v>207</v>
      </c>
      <c r="H2575" s="28" t="s">
        <v>9633</v>
      </c>
      <c r="I2575" s="28" t="s">
        <v>14412</v>
      </c>
      <c r="J2575" s="28" t="s">
        <v>207</v>
      </c>
      <c r="K2575" s="28" t="s">
        <v>9635</v>
      </c>
      <c r="L2575" s="28" t="s">
        <v>9636</v>
      </c>
      <c r="M2575" s="28" t="s">
        <v>14413</v>
      </c>
      <c r="N2575" s="28" t="s">
        <v>9638</v>
      </c>
      <c r="O2575" s="28" t="s">
        <v>9639</v>
      </c>
      <c r="P2575" s="28" t="s">
        <v>14405</v>
      </c>
    </row>
    <row r="2576" spans="1:16" x14ac:dyDescent="0.25">
      <c r="A2576" s="28" t="s">
        <v>14414</v>
      </c>
      <c r="B2576" s="28" t="s">
        <v>14415</v>
      </c>
      <c r="C2576" s="28" t="s">
        <v>132</v>
      </c>
      <c r="D2576" s="28" t="s">
        <v>1271</v>
      </c>
      <c r="E2576" s="28" t="s">
        <v>14416</v>
      </c>
      <c r="F2576" s="28" t="s">
        <v>21</v>
      </c>
      <c r="G2576" s="28" t="s">
        <v>207</v>
      </c>
      <c r="H2576" s="28" t="s">
        <v>9633</v>
      </c>
      <c r="I2576" s="28" t="s">
        <v>14417</v>
      </c>
      <c r="J2576" s="28" t="s">
        <v>207</v>
      </c>
      <c r="K2576" s="28" t="s">
        <v>9635</v>
      </c>
      <c r="L2576" s="28" t="s">
        <v>9636</v>
      </c>
      <c r="M2576" s="28" t="s">
        <v>14418</v>
      </c>
      <c r="N2576" s="28" t="s">
        <v>9638</v>
      </c>
      <c r="O2576" s="28" t="s">
        <v>9639</v>
      </c>
      <c r="P2576" s="28" t="s">
        <v>14419</v>
      </c>
    </row>
    <row r="2577" spans="1:16" x14ac:dyDescent="0.25">
      <c r="A2577" s="28" t="s">
        <v>14420</v>
      </c>
      <c r="B2577" s="28" t="s">
        <v>14421</v>
      </c>
      <c r="C2577" s="28" t="s">
        <v>132</v>
      </c>
      <c r="D2577" s="28" t="s">
        <v>1271</v>
      </c>
      <c r="E2577" s="28" t="s">
        <v>14416</v>
      </c>
      <c r="F2577" s="28" t="s">
        <v>21</v>
      </c>
      <c r="G2577" s="28" t="s">
        <v>207</v>
      </c>
      <c r="H2577" s="28" t="s">
        <v>9633</v>
      </c>
      <c r="I2577" s="28" t="s">
        <v>14422</v>
      </c>
      <c r="J2577" s="28" t="s">
        <v>207</v>
      </c>
      <c r="K2577" s="28" t="s">
        <v>9635</v>
      </c>
      <c r="L2577" s="28" t="s">
        <v>9636</v>
      </c>
      <c r="M2577" s="28" t="s">
        <v>14423</v>
      </c>
      <c r="N2577" s="28" t="s">
        <v>9638</v>
      </c>
      <c r="O2577" s="28" t="s">
        <v>9639</v>
      </c>
      <c r="P2577" s="28" t="s">
        <v>14419</v>
      </c>
    </row>
    <row r="2578" spans="1:16" x14ac:dyDescent="0.25">
      <c r="A2578" s="28" t="s">
        <v>14424</v>
      </c>
      <c r="B2578" s="28" t="s">
        <v>14425</v>
      </c>
      <c r="C2578" s="28" t="s">
        <v>132</v>
      </c>
      <c r="D2578" s="28" t="s">
        <v>1271</v>
      </c>
      <c r="E2578" s="28" t="s">
        <v>14426</v>
      </c>
      <c r="F2578" s="28" t="s">
        <v>21</v>
      </c>
      <c r="G2578" s="28" t="s">
        <v>207</v>
      </c>
      <c r="H2578" s="28" t="s">
        <v>9633</v>
      </c>
      <c r="I2578" s="28" t="s">
        <v>14427</v>
      </c>
      <c r="J2578" s="28" t="s">
        <v>207</v>
      </c>
      <c r="K2578" s="28" t="s">
        <v>9635</v>
      </c>
      <c r="L2578" s="28" t="s">
        <v>9636</v>
      </c>
      <c r="M2578" s="28" t="s">
        <v>14428</v>
      </c>
      <c r="N2578" s="28" t="s">
        <v>9638</v>
      </c>
      <c r="O2578" s="28" t="s">
        <v>9639</v>
      </c>
      <c r="P2578" s="28" t="s">
        <v>14429</v>
      </c>
    </row>
    <row r="2579" spans="1:16" x14ac:dyDescent="0.25">
      <c r="A2579" s="28" t="s">
        <v>14430</v>
      </c>
      <c r="B2579" s="28" t="s">
        <v>14431</v>
      </c>
      <c r="C2579" s="28" t="s">
        <v>132</v>
      </c>
      <c r="D2579" s="28" t="s">
        <v>1271</v>
      </c>
      <c r="E2579" s="28" t="s">
        <v>14426</v>
      </c>
      <c r="F2579" s="28" t="s">
        <v>21</v>
      </c>
      <c r="G2579" s="28" t="s">
        <v>207</v>
      </c>
      <c r="H2579" s="28" t="s">
        <v>9633</v>
      </c>
      <c r="I2579" s="28" t="s">
        <v>14432</v>
      </c>
      <c r="J2579" s="28" t="s">
        <v>207</v>
      </c>
      <c r="K2579" s="28" t="s">
        <v>9635</v>
      </c>
      <c r="L2579" s="28" t="s">
        <v>9636</v>
      </c>
      <c r="M2579" s="28" t="s">
        <v>14433</v>
      </c>
      <c r="N2579" s="28" t="s">
        <v>9638</v>
      </c>
      <c r="O2579" s="28" t="s">
        <v>9639</v>
      </c>
      <c r="P2579" s="28" t="s">
        <v>14429</v>
      </c>
    </row>
    <row r="2580" spans="1:16" x14ac:dyDescent="0.25">
      <c r="A2580" s="28" t="s">
        <v>14434</v>
      </c>
      <c r="B2580" s="28" t="s">
        <v>14435</v>
      </c>
      <c r="C2580" s="28" t="s">
        <v>132</v>
      </c>
      <c r="D2580" s="28" t="s">
        <v>1271</v>
      </c>
      <c r="E2580" s="28" t="s">
        <v>14436</v>
      </c>
      <c r="F2580" s="28" t="s">
        <v>21</v>
      </c>
      <c r="G2580" s="28" t="s">
        <v>207</v>
      </c>
      <c r="H2580" s="28" t="s">
        <v>9633</v>
      </c>
      <c r="I2580" s="28" t="s">
        <v>14437</v>
      </c>
      <c r="J2580" s="28" t="s">
        <v>207</v>
      </c>
      <c r="K2580" s="28" t="s">
        <v>9635</v>
      </c>
      <c r="L2580" s="28" t="s">
        <v>9636</v>
      </c>
      <c r="M2580" s="28" t="s">
        <v>14438</v>
      </c>
      <c r="N2580" s="28" t="s">
        <v>9638</v>
      </c>
      <c r="O2580" s="28" t="s">
        <v>9639</v>
      </c>
      <c r="P2580" s="28" t="s">
        <v>14439</v>
      </c>
    </row>
    <row r="2581" spans="1:16" x14ac:dyDescent="0.25">
      <c r="A2581" s="28" t="s">
        <v>14440</v>
      </c>
      <c r="B2581" s="28" t="s">
        <v>14441</v>
      </c>
      <c r="C2581" s="28" t="s">
        <v>132</v>
      </c>
      <c r="D2581" s="28" t="s">
        <v>1271</v>
      </c>
      <c r="E2581" s="28" t="s">
        <v>14436</v>
      </c>
      <c r="F2581" s="28" t="s">
        <v>21</v>
      </c>
      <c r="G2581" s="28" t="s">
        <v>207</v>
      </c>
      <c r="H2581" s="28" t="s">
        <v>9633</v>
      </c>
      <c r="I2581" s="28" t="s">
        <v>14442</v>
      </c>
      <c r="J2581" s="28" t="s">
        <v>207</v>
      </c>
      <c r="K2581" s="28" t="s">
        <v>9635</v>
      </c>
      <c r="L2581" s="28" t="s">
        <v>9636</v>
      </c>
      <c r="M2581" s="28" t="s">
        <v>14443</v>
      </c>
      <c r="N2581" s="28" t="s">
        <v>9638</v>
      </c>
      <c r="O2581" s="28" t="s">
        <v>9639</v>
      </c>
      <c r="P2581" s="28" t="s">
        <v>14439</v>
      </c>
    </row>
    <row r="2582" spans="1:16" x14ac:dyDescent="0.25">
      <c r="A2582" s="28" t="s">
        <v>14444</v>
      </c>
      <c r="B2582" s="28" t="s">
        <v>14445</v>
      </c>
      <c r="C2582" s="28" t="s">
        <v>132</v>
      </c>
      <c r="D2582" s="28" t="s">
        <v>1271</v>
      </c>
      <c r="E2582" s="28" t="s">
        <v>14446</v>
      </c>
      <c r="F2582" s="28" t="s">
        <v>21</v>
      </c>
      <c r="G2582" s="28" t="s">
        <v>207</v>
      </c>
      <c r="H2582" s="28" t="s">
        <v>9633</v>
      </c>
      <c r="I2582" s="28" t="s">
        <v>14447</v>
      </c>
      <c r="J2582" s="28" t="s">
        <v>207</v>
      </c>
      <c r="K2582" s="28" t="s">
        <v>9635</v>
      </c>
      <c r="L2582" s="28" t="s">
        <v>9636</v>
      </c>
      <c r="M2582" s="28" t="s">
        <v>14448</v>
      </c>
      <c r="N2582" s="28" t="s">
        <v>9638</v>
      </c>
      <c r="O2582" s="28" t="s">
        <v>9639</v>
      </c>
      <c r="P2582" s="28" t="s">
        <v>14449</v>
      </c>
    </row>
    <row r="2583" spans="1:16" x14ac:dyDescent="0.25">
      <c r="A2583" s="28" t="s">
        <v>14450</v>
      </c>
      <c r="B2583" s="28" t="s">
        <v>14451</v>
      </c>
      <c r="C2583" s="28" t="s">
        <v>132</v>
      </c>
      <c r="D2583" s="28" t="s">
        <v>1271</v>
      </c>
      <c r="E2583" s="28" t="s">
        <v>14446</v>
      </c>
      <c r="F2583" s="28" t="s">
        <v>21</v>
      </c>
      <c r="G2583" s="28" t="s">
        <v>207</v>
      </c>
      <c r="H2583" s="28" t="s">
        <v>9633</v>
      </c>
      <c r="I2583" s="28" t="s">
        <v>14452</v>
      </c>
      <c r="J2583" s="28" t="s">
        <v>207</v>
      </c>
      <c r="K2583" s="28" t="s">
        <v>9635</v>
      </c>
      <c r="L2583" s="28" t="s">
        <v>9636</v>
      </c>
      <c r="M2583" s="28" t="s">
        <v>14453</v>
      </c>
      <c r="N2583" s="28" t="s">
        <v>9638</v>
      </c>
      <c r="O2583" s="28" t="s">
        <v>9639</v>
      </c>
      <c r="P2583" s="28" t="s">
        <v>14449</v>
      </c>
    </row>
    <row r="2584" spans="1:16" x14ac:dyDescent="0.25">
      <c r="A2584" s="28" t="s">
        <v>14454</v>
      </c>
      <c r="B2584" s="28" t="s">
        <v>14455</v>
      </c>
      <c r="C2584" s="28" t="s">
        <v>132</v>
      </c>
      <c r="D2584" s="28" t="s">
        <v>1271</v>
      </c>
      <c r="E2584" s="28" t="s">
        <v>14456</v>
      </c>
      <c r="F2584" s="28" t="s">
        <v>21</v>
      </c>
      <c r="G2584" s="28" t="s">
        <v>207</v>
      </c>
      <c r="H2584" s="28" t="s">
        <v>9633</v>
      </c>
      <c r="I2584" s="28" t="s">
        <v>14457</v>
      </c>
      <c r="J2584" s="28" t="s">
        <v>207</v>
      </c>
      <c r="K2584" s="28" t="s">
        <v>9635</v>
      </c>
      <c r="L2584" s="28" t="s">
        <v>9636</v>
      </c>
      <c r="M2584" s="28" t="s">
        <v>14458</v>
      </c>
      <c r="N2584" s="28" t="s">
        <v>9638</v>
      </c>
      <c r="O2584" s="28" t="s">
        <v>9639</v>
      </c>
      <c r="P2584" s="28" t="s">
        <v>14459</v>
      </c>
    </row>
    <row r="2585" spans="1:16" x14ac:dyDescent="0.25">
      <c r="A2585" s="28" t="s">
        <v>14460</v>
      </c>
      <c r="B2585" s="28" t="s">
        <v>14461</v>
      </c>
      <c r="C2585" s="28" t="s">
        <v>132</v>
      </c>
      <c r="D2585" s="28" t="s">
        <v>1271</v>
      </c>
      <c r="E2585" s="28" t="s">
        <v>14456</v>
      </c>
      <c r="F2585" s="28" t="s">
        <v>21</v>
      </c>
      <c r="G2585" s="28" t="s">
        <v>207</v>
      </c>
      <c r="H2585" s="28" t="s">
        <v>9633</v>
      </c>
      <c r="I2585" s="28" t="s">
        <v>14462</v>
      </c>
      <c r="J2585" s="28" t="s">
        <v>207</v>
      </c>
      <c r="K2585" s="28" t="s">
        <v>9635</v>
      </c>
      <c r="L2585" s="28" t="s">
        <v>9636</v>
      </c>
      <c r="M2585" s="28" t="s">
        <v>14463</v>
      </c>
      <c r="N2585" s="28" t="s">
        <v>9638</v>
      </c>
      <c r="O2585" s="28" t="s">
        <v>9639</v>
      </c>
      <c r="P2585" s="28" t="s">
        <v>14459</v>
      </c>
    </row>
    <row r="2586" spans="1:16" x14ac:dyDescent="0.25">
      <c r="A2586" s="28" t="s">
        <v>14464</v>
      </c>
      <c r="B2586" s="28" t="s">
        <v>14465</v>
      </c>
      <c r="C2586" s="28" t="s">
        <v>132</v>
      </c>
      <c r="D2586" s="28" t="s">
        <v>1271</v>
      </c>
      <c r="E2586" s="28" t="s">
        <v>14456</v>
      </c>
      <c r="F2586" s="28" t="s">
        <v>21</v>
      </c>
      <c r="G2586" s="28" t="s">
        <v>207</v>
      </c>
      <c r="H2586" s="28" t="s">
        <v>9633</v>
      </c>
      <c r="I2586" s="28" t="s">
        <v>14466</v>
      </c>
      <c r="J2586" s="28" t="s">
        <v>207</v>
      </c>
      <c r="K2586" s="28" t="s">
        <v>9635</v>
      </c>
      <c r="L2586" s="28" t="s">
        <v>9636</v>
      </c>
      <c r="M2586" s="28" t="s">
        <v>14467</v>
      </c>
      <c r="N2586" s="28" t="s">
        <v>9638</v>
      </c>
      <c r="O2586" s="28" t="s">
        <v>9639</v>
      </c>
      <c r="P2586" s="28" t="s">
        <v>14459</v>
      </c>
    </row>
    <row r="2587" spans="1:16" x14ac:dyDescent="0.25">
      <c r="A2587" s="28" t="s">
        <v>14468</v>
      </c>
      <c r="B2587" s="28" t="s">
        <v>14469</v>
      </c>
      <c r="C2587" s="28" t="s">
        <v>132</v>
      </c>
      <c r="D2587" s="28" t="s">
        <v>1271</v>
      </c>
      <c r="E2587" s="28" t="s">
        <v>14470</v>
      </c>
      <c r="F2587" s="28" t="s">
        <v>21</v>
      </c>
      <c r="G2587" s="28" t="s">
        <v>207</v>
      </c>
      <c r="H2587" s="28" t="s">
        <v>9633</v>
      </c>
      <c r="I2587" s="28" t="s">
        <v>14471</v>
      </c>
      <c r="J2587" s="28" t="s">
        <v>207</v>
      </c>
      <c r="K2587" s="28" t="s">
        <v>9635</v>
      </c>
      <c r="L2587" s="28" t="s">
        <v>9636</v>
      </c>
      <c r="M2587" s="28" t="s">
        <v>14472</v>
      </c>
      <c r="N2587" s="28" t="s">
        <v>9638</v>
      </c>
      <c r="O2587" s="28" t="s">
        <v>9639</v>
      </c>
      <c r="P2587" s="28" t="s">
        <v>14473</v>
      </c>
    </row>
    <row r="2588" spans="1:16" x14ac:dyDescent="0.25">
      <c r="A2588" s="28" t="s">
        <v>14474</v>
      </c>
      <c r="B2588" s="28" t="s">
        <v>14475</v>
      </c>
      <c r="C2588" s="28" t="s">
        <v>132</v>
      </c>
      <c r="D2588" s="28" t="s">
        <v>1271</v>
      </c>
      <c r="E2588" s="28" t="s">
        <v>14470</v>
      </c>
      <c r="F2588" s="28" t="s">
        <v>21</v>
      </c>
      <c r="G2588" s="28" t="s">
        <v>207</v>
      </c>
      <c r="H2588" s="28" t="s">
        <v>9633</v>
      </c>
      <c r="I2588" s="28" t="s">
        <v>14476</v>
      </c>
      <c r="J2588" s="28" t="s">
        <v>207</v>
      </c>
      <c r="K2588" s="28" t="s">
        <v>9635</v>
      </c>
      <c r="L2588" s="28" t="s">
        <v>9636</v>
      </c>
      <c r="M2588" s="28" t="s">
        <v>14477</v>
      </c>
      <c r="N2588" s="28" t="s">
        <v>9638</v>
      </c>
      <c r="O2588" s="28" t="s">
        <v>9639</v>
      </c>
      <c r="P2588" s="28" t="s">
        <v>14473</v>
      </c>
    </row>
    <row r="2589" spans="1:16" x14ac:dyDescent="0.25">
      <c r="A2589" s="28" t="s">
        <v>14478</v>
      </c>
      <c r="B2589" s="28" t="s">
        <v>14479</v>
      </c>
      <c r="C2589" s="28" t="s">
        <v>132</v>
      </c>
      <c r="D2589" s="28" t="s">
        <v>1271</v>
      </c>
      <c r="E2589" s="28" t="s">
        <v>14480</v>
      </c>
      <c r="F2589" s="28" t="s">
        <v>21</v>
      </c>
      <c r="G2589" s="28" t="s">
        <v>207</v>
      </c>
      <c r="H2589" s="28" t="s">
        <v>9633</v>
      </c>
      <c r="I2589" s="28" t="s">
        <v>14481</v>
      </c>
      <c r="J2589" s="28" t="s">
        <v>207</v>
      </c>
      <c r="K2589" s="28" t="s">
        <v>9635</v>
      </c>
      <c r="L2589" s="28" t="s">
        <v>9636</v>
      </c>
      <c r="M2589" s="28" t="s">
        <v>14482</v>
      </c>
      <c r="N2589" s="28" t="s">
        <v>9638</v>
      </c>
      <c r="O2589" s="28" t="s">
        <v>9639</v>
      </c>
      <c r="P2589" s="28" t="s">
        <v>14483</v>
      </c>
    </row>
    <row r="2590" spans="1:16" x14ac:dyDescent="0.25">
      <c r="A2590" s="28" t="s">
        <v>14484</v>
      </c>
      <c r="B2590" s="28" t="s">
        <v>14485</v>
      </c>
      <c r="C2590" s="28" t="s">
        <v>132</v>
      </c>
      <c r="D2590" s="28" t="s">
        <v>1271</v>
      </c>
      <c r="E2590" s="28" t="s">
        <v>14480</v>
      </c>
      <c r="F2590" s="28" t="s">
        <v>21</v>
      </c>
      <c r="G2590" s="28" t="s">
        <v>207</v>
      </c>
      <c r="H2590" s="28" t="s">
        <v>9633</v>
      </c>
      <c r="I2590" s="28" t="s">
        <v>14486</v>
      </c>
      <c r="J2590" s="28" t="s">
        <v>207</v>
      </c>
      <c r="K2590" s="28" t="s">
        <v>9635</v>
      </c>
      <c r="L2590" s="28" t="s">
        <v>9636</v>
      </c>
      <c r="M2590" s="28" t="s">
        <v>14487</v>
      </c>
      <c r="N2590" s="28" t="s">
        <v>9638</v>
      </c>
      <c r="O2590" s="28" t="s">
        <v>9639</v>
      </c>
      <c r="P2590" s="28" t="s">
        <v>14483</v>
      </c>
    </row>
    <row r="2591" spans="1:16" x14ac:dyDescent="0.25">
      <c r="A2591" s="28" t="s">
        <v>14488</v>
      </c>
      <c r="B2591" s="28" t="s">
        <v>14489</v>
      </c>
      <c r="C2591" s="28" t="s">
        <v>132</v>
      </c>
      <c r="D2591" s="28" t="s">
        <v>1271</v>
      </c>
      <c r="E2591" s="28" t="s">
        <v>14490</v>
      </c>
      <c r="F2591" s="28" t="s">
        <v>21</v>
      </c>
      <c r="G2591" s="28" t="s">
        <v>207</v>
      </c>
      <c r="H2591" s="28" t="s">
        <v>9633</v>
      </c>
      <c r="I2591" s="28" t="s">
        <v>14491</v>
      </c>
      <c r="J2591" s="28" t="s">
        <v>207</v>
      </c>
      <c r="K2591" s="28" t="s">
        <v>9635</v>
      </c>
      <c r="L2591" s="28" t="s">
        <v>9636</v>
      </c>
      <c r="M2591" s="28" t="s">
        <v>14492</v>
      </c>
      <c r="N2591" s="28" t="s">
        <v>9638</v>
      </c>
      <c r="O2591" s="28" t="s">
        <v>9639</v>
      </c>
      <c r="P2591" s="28" t="s">
        <v>14493</v>
      </c>
    </row>
    <row r="2592" spans="1:16" x14ac:dyDescent="0.25">
      <c r="A2592" s="28" t="s">
        <v>14494</v>
      </c>
      <c r="B2592" s="28" t="s">
        <v>14495</v>
      </c>
      <c r="C2592" s="28" t="s">
        <v>132</v>
      </c>
      <c r="D2592" s="28" t="s">
        <v>1271</v>
      </c>
      <c r="E2592" s="28" t="s">
        <v>14490</v>
      </c>
      <c r="F2592" s="28" t="s">
        <v>21</v>
      </c>
      <c r="G2592" s="28" t="s">
        <v>207</v>
      </c>
      <c r="H2592" s="28" t="s">
        <v>9633</v>
      </c>
      <c r="I2592" s="28" t="s">
        <v>14496</v>
      </c>
      <c r="J2592" s="28" t="s">
        <v>207</v>
      </c>
      <c r="K2592" s="28" t="s">
        <v>9635</v>
      </c>
      <c r="L2592" s="28" t="s">
        <v>9636</v>
      </c>
      <c r="M2592" s="28" t="s">
        <v>14497</v>
      </c>
      <c r="N2592" s="28" t="s">
        <v>9638</v>
      </c>
      <c r="O2592" s="28" t="s">
        <v>9639</v>
      </c>
      <c r="P2592" s="28" t="s">
        <v>14493</v>
      </c>
    </row>
    <row r="2593" spans="1:16" x14ac:dyDescent="0.25">
      <c r="A2593" s="28" t="s">
        <v>14498</v>
      </c>
      <c r="B2593" s="28" t="s">
        <v>14499</v>
      </c>
      <c r="C2593" s="28" t="s">
        <v>132</v>
      </c>
      <c r="D2593" s="28" t="s">
        <v>1271</v>
      </c>
      <c r="E2593" s="28" t="s">
        <v>14500</v>
      </c>
      <c r="F2593" s="28" t="s">
        <v>21</v>
      </c>
      <c r="G2593" s="28" t="s">
        <v>207</v>
      </c>
      <c r="H2593" s="28" t="s">
        <v>9633</v>
      </c>
      <c r="I2593" s="28" t="s">
        <v>14501</v>
      </c>
      <c r="J2593" s="28" t="s">
        <v>207</v>
      </c>
      <c r="K2593" s="28" t="s">
        <v>9635</v>
      </c>
      <c r="L2593" s="28" t="s">
        <v>9636</v>
      </c>
      <c r="M2593" s="28" t="s">
        <v>14502</v>
      </c>
      <c r="N2593" s="28" t="s">
        <v>9638</v>
      </c>
      <c r="O2593" s="28" t="s">
        <v>9639</v>
      </c>
      <c r="P2593" s="28" t="s">
        <v>14503</v>
      </c>
    </row>
    <row r="2594" spans="1:16" x14ac:dyDescent="0.25">
      <c r="A2594" s="28" t="s">
        <v>14504</v>
      </c>
      <c r="B2594" s="28" t="s">
        <v>14505</v>
      </c>
      <c r="C2594" s="28" t="s">
        <v>132</v>
      </c>
      <c r="D2594" s="28" t="s">
        <v>1271</v>
      </c>
      <c r="E2594" s="28" t="s">
        <v>14500</v>
      </c>
      <c r="F2594" s="28" t="s">
        <v>21</v>
      </c>
      <c r="G2594" s="28" t="s">
        <v>207</v>
      </c>
      <c r="H2594" s="28" t="s">
        <v>9633</v>
      </c>
      <c r="I2594" s="28" t="s">
        <v>14506</v>
      </c>
      <c r="J2594" s="28" t="s">
        <v>207</v>
      </c>
      <c r="K2594" s="28" t="s">
        <v>9635</v>
      </c>
      <c r="L2594" s="28" t="s">
        <v>9636</v>
      </c>
      <c r="M2594" s="28" t="s">
        <v>14507</v>
      </c>
      <c r="N2594" s="28" t="s">
        <v>9638</v>
      </c>
      <c r="O2594" s="28" t="s">
        <v>9639</v>
      </c>
      <c r="P2594" s="28" t="s">
        <v>14503</v>
      </c>
    </row>
    <row r="2595" spans="1:16" x14ac:dyDescent="0.25">
      <c r="A2595" s="28" t="s">
        <v>14508</v>
      </c>
      <c r="B2595" s="28" t="s">
        <v>14509</v>
      </c>
      <c r="C2595" s="28" t="s">
        <v>132</v>
      </c>
      <c r="D2595" s="28" t="s">
        <v>1271</v>
      </c>
      <c r="E2595" s="28" t="s">
        <v>14500</v>
      </c>
      <c r="F2595" s="28" t="s">
        <v>21</v>
      </c>
      <c r="G2595" s="28" t="s">
        <v>207</v>
      </c>
      <c r="H2595" s="28" t="s">
        <v>9633</v>
      </c>
      <c r="I2595" s="28" t="s">
        <v>14510</v>
      </c>
      <c r="J2595" s="28" t="s">
        <v>207</v>
      </c>
      <c r="K2595" s="28" t="s">
        <v>9635</v>
      </c>
      <c r="L2595" s="28" t="s">
        <v>9636</v>
      </c>
      <c r="M2595" s="28" t="s">
        <v>14511</v>
      </c>
      <c r="N2595" s="28" t="s">
        <v>9638</v>
      </c>
      <c r="O2595" s="28" t="s">
        <v>9639</v>
      </c>
      <c r="P2595" s="28" t="s">
        <v>14503</v>
      </c>
    </row>
    <row r="2596" spans="1:16" x14ac:dyDescent="0.25">
      <c r="A2596" s="28" t="s">
        <v>14512</v>
      </c>
      <c r="B2596" s="28" t="s">
        <v>14513</v>
      </c>
      <c r="C2596" s="28" t="s">
        <v>132</v>
      </c>
      <c r="D2596" s="28" t="s">
        <v>1271</v>
      </c>
      <c r="E2596" s="28" t="s">
        <v>14514</v>
      </c>
      <c r="F2596" s="28" t="s">
        <v>21</v>
      </c>
      <c r="G2596" s="28" t="s">
        <v>207</v>
      </c>
      <c r="H2596" s="28" t="s">
        <v>9633</v>
      </c>
      <c r="I2596" s="28" t="s">
        <v>14515</v>
      </c>
      <c r="J2596" s="28" t="s">
        <v>207</v>
      </c>
      <c r="K2596" s="28" t="s">
        <v>9635</v>
      </c>
      <c r="L2596" s="28" t="s">
        <v>9636</v>
      </c>
      <c r="M2596" s="28" t="s">
        <v>14516</v>
      </c>
      <c r="N2596" s="28" t="s">
        <v>9638</v>
      </c>
      <c r="O2596" s="28" t="s">
        <v>9639</v>
      </c>
      <c r="P2596" s="28" t="s">
        <v>14517</v>
      </c>
    </row>
    <row r="2597" spans="1:16" x14ac:dyDescent="0.25">
      <c r="A2597" s="28" t="s">
        <v>14518</v>
      </c>
      <c r="B2597" s="28" t="s">
        <v>14519</v>
      </c>
      <c r="C2597" s="28" t="s">
        <v>132</v>
      </c>
      <c r="D2597" s="28" t="s">
        <v>1271</v>
      </c>
      <c r="E2597" s="28" t="s">
        <v>14514</v>
      </c>
      <c r="F2597" s="28" t="s">
        <v>21</v>
      </c>
      <c r="G2597" s="28" t="s">
        <v>207</v>
      </c>
      <c r="H2597" s="28" t="s">
        <v>9633</v>
      </c>
      <c r="I2597" s="28" t="s">
        <v>14520</v>
      </c>
      <c r="J2597" s="28" t="s">
        <v>207</v>
      </c>
      <c r="K2597" s="28" t="s">
        <v>9635</v>
      </c>
      <c r="L2597" s="28" t="s">
        <v>9636</v>
      </c>
      <c r="M2597" s="28" t="s">
        <v>14521</v>
      </c>
      <c r="N2597" s="28" t="s">
        <v>9638</v>
      </c>
      <c r="O2597" s="28" t="s">
        <v>9639</v>
      </c>
      <c r="P2597" s="28" t="s">
        <v>14517</v>
      </c>
    </row>
    <row r="2598" spans="1:16" x14ac:dyDescent="0.25">
      <c r="A2598" s="28" t="s">
        <v>14522</v>
      </c>
      <c r="B2598" s="28" t="s">
        <v>14523</v>
      </c>
      <c r="C2598" s="28" t="s">
        <v>132</v>
      </c>
      <c r="D2598" s="28" t="s">
        <v>1271</v>
      </c>
      <c r="E2598" s="28" t="s">
        <v>14514</v>
      </c>
      <c r="F2598" s="28" t="s">
        <v>21</v>
      </c>
      <c r="G2598" s="28" t="s">
        <v>207</v>
      </c>
      <c r="H2598" s="28" t="s">
        <v>9633</v>
      </c>
      <c r="I2598" s="28" t="s">
        <v>14524</v>
      </c>
      <c r="J2598" s="28" t="s">
        <v>207</v>
      </c>
      <c r="K2598" s="28" t="s">
        <v>9635</v>
      </c>
      <c r="L2598" s="28" t="s">
        <v>9636</v>
      </c>
      <c r="M2598" s="28" t="s">
        <v>14525</v>
      </c>
      <c r="N2598" s="28" t="s">
        <v>9638</v>
      </c>
      <c r="O2598" s="28" t="s">
        <v>9639</v>
      </c>
      <c r="P2598" s="28" t="s">
        <v>14517</v>
      </c>
    </row>
    <row r="2599" spans="1:16" x14ac:dyDescent="0.25">
      <c r="A2599" s="28" t="s">
        <v>14526</v>
      </c>
      <c r="B2599" s="28" t="s">
        <v>14527</v>
      </c>
      <c r="C2599" s="28" t="s">
        <v>132</v>
      </c>
      <c r="D2599" s="28" t="s">
        <v>1271</v>
      </c>
      <c r="E2599" s="28" t="s">
        <v>14528</v>
      </c>
      <c r="F2599" s="28" t="s">
        <v>21</v>
      </c>
      <c r="G2599" s="28" t="s">
        <v>207</v>
      </c>
      <c r="H2599" s="28" t="s">
        <v>9633</v>
      </c>
      <c r="I2599" s="28" t="s">
        <v>14529</v>
      </c>
      <c r="J2599" s="28" t="s">
        <v>207</v>
      </c>
      <c r="K2599" s="28" t="s">
        <v>9635</v>
      </c>
      <c r="L2599" s="28" t="s">
        <v>9636</v>
      </c>
      <c r="M2599" s="28" t="s">
        <v>14530</v>
      </c>
      <c r="N2599" s="28" t="s">
        <v>9638</v>
      </c>
      <c r="O2599" s="28" t="s">
        <v>9639</v>
      </c>
      <c r="P2599" s="28" t="s">
        <v>14531</v>
      </c>
    </row>
    <row r="2600" spans="1:16" x14ac:dyDescent="0.25">
      <c r="A2600" s="28" t="s">
        <v>14532</v>
      </c>
      <c r="B2600" s="28" t="s">
        <v>14533</v>
      </c>
      <c r="C2600" s="28" t="s">
        <v>132</v>
      </c>
      <c r="D2600" s="28" t="s">
        <v>1271</v>
      </c>
      <c r="E2600" s="28" t="s">
        <v>14528</v>
      </c>
      <c r="F2600" s="28" t="s">
        <v>21</v>
      </c>
      <c r="G2600" s="28" t="s">
        <v>207</v>
      </c>
      <c r="H2600" s="28" t="s">
        <v>9633</v>
      </c>
      <c r="I2600" s="28" t="s">
        <v>14534</v>
      </c>
      <c r="J2600" s="28" t="s">
        <v>207</v>
      </c>
      <c r="K2600" s="28" t="s">
        <v>9635</v>
      </c>
      <c r="L2600" s="28" t="s">
        <v>9636</v>
      </c>
      <c r="M2600" s="28" t="s">
        <v>14535</v>
      </c>
      <c r="N2600" s="28" t="s">
        <v>9638</v>
      </c>
      <c r="O2600" s="28" t="s">
        <v>9639</v>
      </c>
      <c r="P2600" s="28" t="s">
        <v>14531</v>
      </c>
    </row>
    <row r="2601" spans="1:16" x14ac:dyDescent="0.25">
      <c r="A2601" s="28" t="s">
        <v>14536</v>
      </c>
      <c r="B2601" s="28" t="s">
        <v>14537</v>
      </c>
      <c r="C2601" s="28" t="s">
        <v>132</v>
      </c>
      <c r="D2601" s="28" t="s">
        <v>1271</v>
      </c>
      <c r="E2601" s="28" t="s">
        <v>14538</v>
      </c>
      <c r="F2601" s="28" t="s">
        <v>21</v>
      </c>
      <c r="G2601" s="28" t="s">
        <v>207</v>
      </c>
      <c r="H2601" s="28" t="s">
        <v>9633</v>
      </c>
      <c r="I2601" s="28" t="s">
        <v>14539</v>
      </c>
      <c r="J2601" s="28" t="s">
        <v>207</v>
      </c>
      <c r="K2601" s="28" t="s">
        <v>9635</v>
      </c>
      <c r="L2601" s="28" t="s">
        <v>9636</v>
      </c>
      <c r="M2601" s="28" t="s">
        <v>14540</v>
      </c>
      <c r="N2601" s="28" t="s">
        <v>9638</v>
      </c>
      <c r="O2601" s="28" t="s">
        <v>9639</v>
      </c>
      <c r="P2601" s="28" t="s">
        <v>14541</v>
      </c>
    </row>
    <row r="2602" spans="1:16" x14ac:dyDescent="0.25">
      <c r="A2602" s="28" t="s">
        <v>14542</v>
      </c>
      <c r="B2602" s="28" t="s">
        <v>14543</v>
      </c>
      <c r="C2602" s="28" t="s">
        <v>132</v>
      </c>
      <c r="D2602" s="28" t="s">
        <v>1271</v>
      </c>
      <c r="E2602" s="28" t="s">
        <v>14538</v>
      </c>
      <c r="F2602" s="28" t="s">
        <v>21</v>
      </c>
      <c r="G2602" s="28" t="s">
        <v>207</v>
      </c>
      <c r="H2602" s="28" t="s">
        <v>9633</v>
      </c>
      <c r="I2602" s="28" t="s">
        <v>14544</v>
      </c>
      <c r="J2602" s="28" t="s">
        <v>207</v>
      </c>
      <c r="K2602" s="28" t="s">
        <v>9635</v>
      </c>
      <c r="L2602" s="28" t="s">
        <v>9636</v>
      </c>
      <c r="M2602" s="28" t="s">
        <v>14545</v>
      </c>
      <c r="N2602" s="28" t="s">
        <v>9638</v>
      </c>
      <c r="O2602" s="28" t="s">
        <v>9639</v>
      </c>
      <c r="P2602" s="28" t="s">
        <v>14541</v>
      </c>
    </row>
    <row r="2603" spans="1:16" x14ac:dyDescent="0.25">
      <c r="A2603" s="28" t="s">
        <v>14546</v>
      </c>
      <c r="B2603" s="28" t="s">
        <v>14547</v>
      </c>
      <c r="C2603" s="28" t="s">
        <v>132</v>
      </c>
      <c r="D2603" s="28" t="s">
        <v>1271</v>
      </c>
      <c r="E2603" s="28" t="s">
        <v>14538</v>
      </c>
      <c r="F2603" s="28" t="s">
        <v>21</v>
      </c>
      <c r="G2603" s="28" t="s">
        <v>207</v>
      </c>
      <c r="H2603" s="28" t="s">
        <v>9633</v>
      </c>
      <c r="I2603" s="28" t="s">
        <v>14548</v>
      </c>
      <c r="J2603" s="28" t="s">
        <v>207</v>
      </c>
      <c r="K2603" s="28" t="s">
        <v>9635</v>
      </c>
      <c r="L2603" s="28" t="s">
        <v>9636</v>
      </c>
      <c r="M2603" s="28" t="s">
        <v>14549</v>
      </c>
      <c r="N2603" s="28" t="s">
        <v>9638</v>
      </c>
      <c r="O2603" s="28" t="s">
        <v>9639</v>
      </c>
      <c r="P2603" s="28" t="s">
        <v>14541</v>
      </c>
    </row>
    <row r="2604" spans="1:16" x14ac:dyDescent="0.25">
      <c r="A2604" s="28" t="s">
        <v>14550</v>
      </c>
      <c r="B2604" s="28" t="s">
        <v>14551</v>
      </c>
      <c r="C2604" s="28" t="s">
        <v>132</v>
      </c>
      <c r="D2604" s="28" t="s">
        <v>1271</v>
      </c>
      <c r="E2604" s="28" t="s">
        <v>14552</v>
      </c>
      <c r="F2604" s="28" t="s">
        <v>21</v>
      </c>
      <c r="G2604" s="28" t="s">
        <v>207</v>
      </c>
      <c r="H2604" s="28" t="s">
        <v>9633</v>
      </c>
      <c r="I2604" s="28" t="s">
        <v>14553</v>
      </c>
      <c r="J2604" s="28" t="s">
        <v>207</v>
      </c>
      <c r="K2604" s="28" t="s">
        <v>9635</v>
      </c>
      <c r="L2604" s="28" t="s">
        <v>9636</v>
      </c>
      <c r="M2604" s="28" t="s">
        <v>14554</v>
      </c>
      <c r="N2604" s="28" t="s">
        <v>9638</v>
      </c>
      <c r="O2604" s="28" t="s">
        <v>9639</v>
      </c>
      <c r="P2604" s="28" t="s">
        <v>14555</v>
      </c>
    </row>
    <row r="2605" spans="1:16" x14ac:dyDescent="0.25">
      <c r="A2605" s="28" t="s">
        <v>14556</v>
      </c>
      <c r="B2605" s="28" t="s">
        <v>14557</v>
      </c>
      <c r="C2605" s="28" t="s">
        <v>132</v>
      </c>
      <c r="D2605" s="28" t="s">
        <v>1271</v>
      </c>
      <c r="E2605" s="28" t="s">
        <v>14552</v>
      </c>
      <c r="F2605" s="28" t="s">
        <v>21</v>
      </c>
      <c r="G2605" s="28" t="s">
        <v>207</v>
      </c>
      <c r="H2605" s="28" t="s">
        <v>9633</v>
      </c>
      <c r="I2605" s="28" t="s">
        <v>14558</v>
      </c>
      <c r="J2605" s="28" t="s">
        <v>207</v>
      </c>
      <c r="K2605" s="28" t="s">
        <v>9635</v>
      </c>
      <c r="L2605" s="28" t="s">
        <v>9636</v>
      </c>
      <c r="M2605" s="28" t="s">
        <v>14559</v>
      </c>
      <c r="N2605" s="28" t="s">
        <v>9638</v>
      </c>
      <c r="O2605" s="28" t="s">
        <v>9639</v>
      </c>
      <c r="P2605" s="28" t="s">
        <v>14555</v>
      </c>
    </row>
    <row r="2606" spans="1:16" x14ac:dyDescent="0.25">
      <c r="A2606" s="28" t="s">
        <v>14560</v>
      </c>
      <c r="B2606" s="28" t="s">
        <v>14561</v>
      </c>
      <c r="C2606" s="28" t="s">
        <v>132</v>
      </c>
      <c r="D2606" s="28" t="s">
        <v>1271</v>
      </c>
      <c r="E2606" s="28" t="s">
        <v>14552</v>
      </c>
      <c r="F2606" s="28" t="s">
        <v>21</v>
      </c>
      <c r="G2606" s="28" t="s">
        <v>207</v>
      </c>
      <c r="H2606" s="28" t="s">
        <v>9633</v>
      </c>
      <c r="I2606" s="28" t="s">
        <v>14562</v>
      </c>
      <c r="J2606" s="28" t="s">
        <v>207</v>
      </c>
      <c r="K2606" s="28" t="s">
        <v>9635</v>
      </c>
      <c r="L2606" s="28" t="s">
        <v>9636</v>
      </c>
      <c r="M2606" s="28" t="s">
        <v>14563</v>
      </c>
      <c r="N2606" s="28" t="s">
        <v>9638</v>
      </c>
      <c r="O2606" s="28" t="s">
        <v>9639</v>
      </c>
      <c r="P2606" s="28" t="s">
        <v>14555</v>
      </c>
    </row>
    <row r="2607" spans="1:16" x14ac:dyDescent="0.25">
      <c r="A2607" s="28" t="s">
        <v>14564</v>
      </c>
      <c r="B2607" s="28" t="s">
        <v>14565</v>
      </c>
      <c r="C2607" s="28" t="s">
        <v>132</v>
      </c>
      <c r="D2607" s="28" t="s">
        <v>1271</v>
      </c>
      <c r="E2607" s="28" t="s">
        <v>14566</v>
      </c>
      <c r="F2607" s="28" t="s">
        <v>21</v>
      </c>
      <c r="G2607" s="28" t="s">
        <v>207</v>
      </c>
      <c r="H2607" s="28" t="s">
        <v>9633</v>
      </c>
      <c r="I2607" s="28" t="s">
        <v>14567</v>
      </c>
      <c r="J2607" s="28" t="s">
        <v>207</v>
      </c>
      <c r="K2607" s="28" t="s">
        <v>9635</v>
      </c>
      <c r="L2607" s="28" t="s">
        <v>9636</v>
      </c>
      <c r="M2607" s="28" t="s">
        <v>14568</v>
      </c>
      <c r="N2607" s="28" t="s">
        <v>9638</v>
      </c>
      <c r="O2607" s="28" t="s">
        <v>9639</v>
      </c>
      <c r="P2607" s="28" t="s">
        <v>14569</v>
      </c>
    </row>
    <row r="2608" spans="1:16" x14ac:dyDescent="0.25">
      <c r="A2608" s="28" t="s">
        <v>14570</v>
      </c>
      <c r="B2608" s="28" t="s">
        <v>14571</v>
      </c>
      <c r="C2608" s="28" t="s">
        <v>132</v>
      </c>
      <c r="D2608" s="28" t="s">
        <v>1271</v>
      </c>
      <c r="E2608" s="28" t="s">
        <v>14566</v>
      </c>
      <c r="F2608" s="28" t="s">
        <v>21</v>
      </c>
      <c r="G2608" s="28" t="s">
        <v>207</v>
      </c>
      <c r="H2608" s="28" t="s">
        <v>9633</v>
      </c>
      <c r="I2608" s="28" t="s">
        <v>14572</v>
      </c>
      <c r="J2608" s="28" t="s">
        <v>207</v>
      </c>
      <c r="K2608" s="28" t="s">
        <v>9635</v>
      </c>
      <c r="L2608" s="28" t="s">
        <v>9636</v>
      </c>
      <c r="M2608" s="28" t="s">
        <v>14573</v>
      </c>
      <c r="N2608" s="28" t="s">
        <v>9638</v>
      </c>
      <c r="O2608" s="28" t="s">
        <v>9639</v>
      </c>
      <c r="P2608" s="28" t="s">
        <v>14569</v>
      </c>
    </row>
    <row r="2609" spans="1:16" x14ac:dyDescent="0.25">
      <c r="A2609" s="28" t="s">
        <v>14574</v>
      </c>
      <c r="B2609" s="28" t="s">
        <v>14575</v>
      </c>
      <c r="C2609" s="28" t="s">
        <v>132</v>
      </c>
      <c r="D2609" s="28" t="s">
        <v>1271</v>
      </c>
      <c r="E2609" s="28" t="s">
        <v>14576</v>
      </c>
      <c r="F2609" s="28" t="s">
        <v>21</v>
      </c>
      <c r="G2609" s="28" t="s">
        <v>207</v>
      </c>
      <c r="H2609" s="28" t="s">
        <v>9633</v>
      </c>
      <c r="I2609" s="28" t="s">
        <v>14577</v>
      </c>
      <c r="J2609" s="28" t="s">
        <v>207</v>
      </c>
      <c r="K2609" s="28" t="s">
        <v>9635</v>
      </c>
      <c r="L2609" s="28" t="s">
        <v>9636</v>
      </c>
      <c r="M2609" s="28" t="s">
        <v>14578</v>
      </c>
      <c r="N2609" s="28" t="s">
        <v>9638</v>
      </c>
      <c r="O2609" s="28" t="s">
        <v>9639</v>
      </c>
      <c r="P2609" s="28" t="s">
        <v>14579</v>
      </c>
    </row>
    <row r="2610" spans="1:16" x14ac:dyDescent="0.25">
      <c r="A2610" s="28" t="s">
        <v>14580</v>
      </c>
      <c r="B2610" s="28" t="s">
        <v>14581</v>
      </c>
      <c r="C2610" s="28" t="s">
        <v>132</v>
      </c>
      <c r="D2610" s="28" t="s">
        <v>1271</v>
      </c>
      <c r="E2610" s="28" t="s">
        <v>14576</v>
      </c>
      <c r="F2610" s="28" t="s">
        <v>21</v>
      </c>
      <c r="G2610" s="28" t="s">
        <v>207</v>
      </c>
      <c r="H2610" s="28" t="s">
        <v>9633</v>
      </c>
      <c r="I2610" s="28" t="s">
        <v>14582</v>
      </c>
      <c r="J2610" s="28" t="s">
        <v>207</v>
      </c>
      <c r="K2610" s="28" t="s">
        <v>9635</v>
      </c>
      <c r="L2610" s="28" t="s">
        <v>9636</v>
      </c>
      <c r="M2610" s="28" t="s">
        <v>14583</v>
      </c>
      <c r="N2610" s="28" t="s">
        <v>9638</v>
      </c>
      <c r="O2610" s="28" t="s">
        <v>9639</v>
      </c>
      <c r="P2610" s="28" t="s">
        <v>14579</v>
      </c>
    </row>
    <row r="2611" spans="1:16" x14ac:dyDescent="0.25">
      <c r="A2611" s="28" t="s">
        <v>14584</v>
      </c>
      <c r="B2611" s="28" t="s">
        <v>14585</v>
      </c>
      <c r="C2611" s="28" t="s">
        <v>132</v>
      </c>
      <c r="D2611" s="28" t="s">
        <v>1271</v>
      </c>
      <c r="E2611" s="28" t="s">
        <v>14586</v>
      </c>
      <c r="F2611" s="28" t="s">
        <v>21</v>
      </c>
      <c r="G2611" s="28" t="s">
        <v>207</v>
      </c>
      <c r="H2611" s="28" t="s">
        <v>9633</v>
      </c>
      <c r="I2611" s="28" t="s">
        <v>14587</v>
      </c>
      <c r="J2611" s="28" t="s">
        <v>207</v>
      </c>
      <c r="K2611" s="28" t="s">
        <v>9635</v>
      </c>
      <c r="L2611" s="28" t="s">
        <v>9636</v>
      </c>
      <c r="M2611" s="28" t="s">
        <v>14588</v>
      </c>
      <c r="N2611" s="28" t="s">
        <v>9638</v>
      </c>
      <c r="O2611" s="28" t="s">
        <v>9639</v>
      </c>
      <c r="P2611" s="28" t="s">
        <v>14589</v>
      </c>
    </row>
    <row r="2612" spans="1:16" x14ac:dyDescent="0.25">
      <c r="A2612" s="28" t="s">
        <v>14590</v>
      </c>
      <c r="B2612" s="28" t="s">
        <v>14591</v>
      </c>
      <c r="C2612" s="28" t="s">
        <v>132</v>
      </c>
      <c r="D2612" s="28" t="s">
        <v>1271</v>
      </c>
      <c r="E2612" s="28" t="s">
        <v>14586</v>
      </c>
      <c r="F2612" s="28" t="s">
        <v>21</v>
      </c>
      <c r="G2612" s="28" t="s">
        <v>207</v>
      </c>
      <c r="H2612" s="28" t="s">
        <v>9633</v>
      </c>
      <c r="I2612" s="28" t="s">
        <v>14592</v>
      </c>
      <c r="J2612" s="28" t="s">
        <v>207</v>
      </c>
      <c r="K2612" s="28" t="s">
        <v>9635</v>
      </c>
      <c r="L2612" s="28" t="s">
        <v>9636</v>
      </c>
      <c r="M2612" s="28" t="s">
        <v>14593</v>
      </c>
      <c r="N2612" s="28" t="s">
        <v>9638</v>
      </c>
      <c r="O2612" s="28" t="s">
        <v>9639</v>
      </c>
      <c r="P2612" s="28" t="s">
        <v>14589</v>
      </c>
    </row>
    <row r="2613" spans="1:16" x14ac:dyDescent="0.25">
      <c r="A2613" s="28" t="s">
        <v>14594</v>
      </c>
      <c r="B2613" s="28" t="s">
        <v>14595</v>
      </c>
      <c r="C2613" s="28" t="s">
        <v>132</v>
      </c>
      <c r="D2613" s="28" t="s">
        <v>1271</v>
      </c>
      <c r="E2613" s="28" t="s">
        <v>14596</v>
      </c>
      <c r="F2613" s="28" t="s">
        <v>21</v>
      </c>
      <c r="G2613" s="28" t="s">
        <v>207</v>
      </c>
      <c r="H2613" s="28" t="s">
        <v>9633</v>
      </c>
      <c r="I2613" s="28" t="s">
        <v>14597</v>
      </c>
      <c r="J2613" s="28" t="s">
        <v>207</v>
      </c>
      <c r="K2613" s="28" t="s">
        <v>9635</v>
      </c>
      <c r="L2613" s="28" t="s">
        <v>9636</v>
      </c>
      <c r="M2613" s="28" t="s">
        <v>14598</v>
      </c>
      <c r="N2613" s="28" t="s">
        <v>9638</v>
      </c>
      <c r="O2613" s="28" t="s">
        <v>9639</v>
      </c>
      <c r="P2613" s="28" t="s">
        <v>14599</v>
      </c>
    </row>
    <row r="2614" spans="1:16" x14ac:dyDescent="0.25">
      <c r="A2614" s="28" t="s">
        <v>14600</v>
      </c>
      <c r="B2614" s="28" t="s">
        <v>14601</v>
      </c>
      <c r="C2614" s="28" t="s">
        <v>132</v>
      </c>
      <c r="D2614" s="28" t="s">
        <v>1271</v>
      </c>
      <c r="E2614" s="28" t="s">
        <v>14596</v>
      </c>
      <c r="F2614" s="28" t="s">
        <v>21</v>
      </c>
      <c r="G2614" s="28" t="s">
        <v>207</v>
      </c>
      <c r="H2614" s="28" t="s">
        <v>9633</v>
      </c>
      <c r="I2614" s="28" t="s">
        <v>14602</v>
      </c>
      <c r="J2614" s="28" t="s">
        <v>207</v>
      </c>
      <c r="K2614" s="28" t="s">
        <v>9635</v>
      </c>
      <c r="L2614" s="28" t="s">
        <v>9636</v>
      </c>
      <c r="M2614" s="28" t="s">
        <v>14603</v>
      </c>
      <c r="N2614" s="28" t="s">
        <v>9638</v>
      </c>
      <c r="O2614" s="28" t="s">
        <v>9639</v>
      </c>
      <c r="P2614" s="28" t="s">
        <v>14599</v>
      </c>
    </row>
    <row r="2615" spans="1:16" x14ac:dyDescent="0.25">
      <c r="A2615" s="28" t="s">
        <v>14604</v>
      </c>
      <c r="B2615" s="28" t="s">
        <v>14605</v>
      </c>
      <c r="C2615" s="28" t="s">
        <v>132</v>
      </c>
      <c r="D2615" s="28" t="s">
        <v>1271</v>
      </c>
      <c r="E2615" s="28" t="s">
        <v>14606</v>
      </c>
      <c r="F2615" s="28" t="s">
        <v>21</v>
      </c>
      <c r="G2615" s="28" t="s">
        <v>207</v>
      </c>
      <c r="H2615" s="28" t="s">
        <v>9633</v>
      </c>
      <c r="I2615" s="28" t="s">
        <v>14607</v>
      </c>
      <c r="J2615" s="28" t="s">
        <v>207</v>
      </c>
      <c r="K2615" s="28" t="s">
        <v>9635</v>
      </c>
      <c r="L2615" s="28" t="s">
        <v>9636</v>
      </c>
      <c r="M2615" s="28" t="s">
        <v>14608</v>
      </c>
      <c r="N2615" s="28" t="s">
        <v>9638</v>
      </c>
      <c r="O2615" s="28" t="s">
        <v>9639</v>
      </c>
      <c r="P2615" s="28" t="s">
        <v>14609</v>
      </c>
    </row>
    <row r="2616" spans="1:16" x14ac:dyDescent="0.25">
      <c r="A2616" s="28" t="s">
        <v>14610</v>
      </c>
      <c r="B2616" s="28" t="s">
        <v>14611</v>
      </c>
      <c r="C2616" s="28" t="s">
        <v>132</v>
      </c>
      <c r="D2616" s="28" t="s">
        <v>1271</v>
      </c>
      <c r="E2616" s="28" t="s">
        <v>14606</v>
      </c>
      <c r="F2616" s="28" t="s">
        <v>21</v>
      </c>
      <c r="G2616" s="28" t="s">
        <v>207</v>
      </c>
      <c r="H2616" s="28" t="s">
        <v>9633</v>
      </c>
      <c r="I2616" s="28" t="s">
        <v>14612</v>
      </c>
      <c r="J2616" s="28" t="s">
        <v>207</v>
      </c>
      <c r="K2616" s="28" t="s">
        <v>9635</v>
      </c>
      <c r="L2616" s="28" t="s">
        <v>9636</v>
      </c>
      <c r="M2616" s="28" t="s">
        <v>14613</v>
      </c>
      <c r="N2616" s="28" t="s">
        <v>9638</v>
      </c>
      <c r="O2616" s="28" t="s">
        <v>9639</v>
      </c>
      <c r="P2616" s="28" t="s">
        <v>14609</v>
      </c>
    </row>
    <row r="2617" spans="1:16" x14ac:dyDescent="0.25">
      <c r="A2617" s="28" t="s">
        <v>14614</v>
      </c>
      <c r="B2617" s="28" t="s">
        <v>14615</v>
      </c>
      <c r="C2617" s="28" t="s">
        <v>132</v>
      </c>
      <c r="D2617" s="28" t="s">
        <v>1271</v>
      </c>
      <c r="E2617" s="28" t="s">
        <v>14616</v>
      </c>
      <c r="F2617" s="28" t="s">
        <v>21</v>
      </c>
      <c r="G2617" s="28" t="s">
        <v>207</v>
      </c>
      <c r="H2617" s="28" t="s">
        <v>9633</v>
      </c>
      <c r="I2617" s="28" t="s">
        <v>14617</v>
      </c>
      <c r="J2617" s="28" t="s">
        <v>207</v>
      </c>
      <c r="K2617" s="28" t="s">
        <v>9635</v>
      </c>
      <c r="L2617" s="28" t="s">
        <v>9636</v>
      </c>
      <c r="M2617" s="28" t="s">
        <v>14618</v>
      </c>
      <c r="N2617" s="28" t="s">
        <v>9638</v>
      </c>
      <c r="O2617" s="28" t="s">
        <v>9639</v>
      </c>
      <c r="P2617" s="28" t="s">
        <v>14619</v>
      </c>
    </row>
    <row r="2618" spans="1:16" x14ac:dyDescent="0.25">
      <c r="A2618" s="28" t="s">
        <v>14620</v>
      </c>
      <c r="B2618" s="28" t="s">
        <v>14621</v>
      </c>
      <c r="C2618" s="28" t="s">
        <v>132</v>
      </c>
      <c r="D2618" s="28" t="s">
        <v>1271</v>
      </c>
      <c r="E2618" s="28" t="s">
        <v>14616</v>
      </c>
      <c r="F2618" s="28" t="s">
        <v>21</v>
      </c>
      <c r="G2618" s="28" t="s">
        <v>207</v>
      </c>
      <c r="H2618" s="28" t="s">
        <v>9633</v>
      </c>
      <c r="I2618" s="28" t="s">
        <v>14622</v>
      </c>
      <c r="J2618" s="28" t="s">
        <v>207</v>
      </c>
      <c r="K2618" s="28" t="s">
        <v>9635</v>
      </c>
      <c r="L2618" s="28" t="s">
        <v>9636</v>
      </c>
      <c r="M2618" s="28" t="s">
        <v>14623</v>
      </c>
      <c r="N2618" s="28" t="s">
        <v>9638</v>
      </c>
      <c r="O2618" s="28" t="s">
        <v>9639</v>
      </c>
      <c r="P2618" s="28" t="s">
        <v>14619</v>
      </c>
    </row>
    <row r="2619" spans="1:16" x14ac:dyDescent="0.25">
      <c r="A2619" s="28" t="s">
        <v>14624</v>
      </c>
      <c r="B2619" s="28" t="s">
        <v>14625</v>
      </c>
      <c r="C2619" s="28" t="s">
        <v>132</v>
      </c>
      <c r="D2619" s="28" t="s">
        <v>1271</v>
      </c>
      <c r="E2619" s="28" t="s">
        <v>14626</v>
      </c>
      <c r="F2619" s="28" t="s">
        <v>21</v>
      </c>
      <c r="G2619" s="28" t="s">
        <v>207</v>
      </c>
      <c r="H2619" s="28" t="s">
        <v>9633</v>
      </c>
      <c r="I2619" s="28" t="s">
        <v>14627</v>
      </c>
      <c r="J2619" s="28" t="s">
        <v>207</v>
      </c>
      <c r="K2619" s="28" t="s">
        <v>9635</v>
      </c>
      <c r="L2619" s="28" t="s">
        <v>9636</v>
      </c>
      <c r="M2619" s="28" t="s">
        <v>14628</v>
      </c>
      <c r="N2619" s="28" t="s">
        <v>9638</v>
      </c>
      <c r="O2619" s="28" t="s">
        <v>9639</v>
      </c>
      <c r="P2619" s="28" t="s">
        <v>14629</v>
      </c>
    </row>
    <row r="2620" spans="1:16" x14ac:dyDescent="0.25">
      <c r="A2620" s="28" t="s">
        <v>14630</v>
      </c>
      <c r="B2620" s="28" t="s">
        <v>14631</v>
      </c>
      <c r="C2620" s="28" t="s">
        <v>132</v>
      </c>
      <c r="D2620" s="28" t="s">
        <v>1271</v>
      </c>
      <c r="E2620" s="28" t="s">
        <v>14626</v>
      </c>
      <c r="F2620" s="28" t="s">
        <v>21</v>
      </c>
      <c r="G2620" s="28" t="s">
        <v>207</v>
      </c>
      <c r="H2620" s="28" t="s">
        <v>9633</v>
      </c>
      <c r="I2620" s="28" t="s">
        <v>14632</v>
      </c>
      <c r="J2620" s="28" t="s">
        <v>207</v>
      </c>
      <c r="K2620" s="28" t="s">
        <v>9635</v>
      </c>
      <c r="L2620" s="28" t="s">
        <v>9636</v>
      </c>
      <c r="M2620" s="28" t="s">
        <v>14633</v>
      </c>
      <c r="N2620" s="28" t="s">
        <v>9638</v>
      </c>
      <c r="O2620" s="28" t="s">
        <v>9639</v>
      </c>
      <c r="P2620" s="28" t="s">
        <v>14629</v>
      </c>
    </row>
    <row r="2621" spans="1:16" x14ac:dyDescent="0.25">
      <c r="A2621" s="28" t="s">
        <v>14634</v>
      </c>
      <c r="B2621" s="28" t="s">
        <v>14635</v>
      </c>
      <c r="C2621" s="28" t="s">
        <v>132</v>
      </c>
      <c r="D2621" s="28" t="s">
        <v>1271</v>
      </c>
      <c r="E2621" s="28" t="s">
        <v>14626</v>
      </c>
      <c r="F2621" s="28" t="s">
        <v>21</v>
      </c>
      <c r="G2621" s="28" t="s">
        <v>207</v>
      </c>
      <c r="H2621" s="28" t="s">
        <v>9633</v>
      </c>
      <c r="I2621" s="28" t="s">
        <v>14636</v>
      </c>
      <c r="J2621" s="28" t="s">
        <v>207</v>
      </c>
      <c r="K2621" s="28" t="s">
        <v>9635</v>
      </c>
      <c r="L2621" s="28" t="s">
        <v>9636</v>
      </c>
      <c r="M2621" s="28" t="s">
        <v>14637</v>
      </c>
      <c r="N2621" s="28" t="s">
        <v>9638</v>
      </c>
      <c r="O2621" s="28" t="s">
        <v>9639</v>
      </c>
      <c r="P2621" s="28" t="s">
        <v>14629</v>
      </c>
    </row>
    <row r="2622" spans="1:16" x14ac:dyDescent="0.25">
      <c r="A2622" s="28" t="s">
        <v>14638</v>
      </c>
      <c r="B2622" s="28" t="s">
        <v>14639</v>
      </c>
      <c r="C2622" s="28" t="s">
        <v>132</v>
      </c>
      <c r="D2622" s="28" t="s">
        <v>1271</v>
      </c>
      <c r="E2622" s="28" t="s">
        <v>14640</v>
      </c>
      <c r="F2622" s="28" t="s">
        <v>21</v>
      </c>
      <c r="G2622" s="28" t="s">
        <v>207</v>
      </c>
      <c r="H2622" s="28" t="s">
        <v>9633</v>
      </c>
      <c r="I2622" s="28" t="s">
        <v>14641</v>
      </c>
      <c r="J2622" s="28" t="s">
        <v>207</v>
      </c>
      <c r="K2622" s="28" t="s">
        <v>9635</v>
      </c>
      <c r="L2622" s="28" t="s">
        <v>9636</v>
      </c>
      <c r="M2622" s="28" t="s">
        <v>14642</v>
      </c>
      <c r="N2622" s="28" t="s">
        <v>9638</v>
      </c>
      <c r="O2622" s="28" t="s">
        <v>9639</v>
      </c>
      <c r="P2622" s="28" t="s">
        <v>14643</v>
      </c>
    </row>
    <row r="2623" spans="1:16" x14ac:dyDescent="0.25">
      <c r="A2623" s="28" t="s">
        <v>14644</v>
      </c>
      <c r="B2623" s="28" t="s">
        <v>14645</v>
      </c>
      <c r="C2623" s="28" t="s">
        <v>132</v>
      </c>
      <c r="D2623" s="28" t="s">
        <v>1271</v>
      </c>
      <c r="E2623" s="28" t="s">
        <v>14640</v>
      </c>
      <c r="F2623" s="28" t="s">
        <v>21</v>
      </c>
      <c r="G2623" s="28" t="s">
        <v>207</v>
      </c>
      <c r="H2623" s="28" t="s">
        <v>9633</v>
      </c>
      <c r="I2623" s="28" t="s">
        <v>14646</v>
      </c>
      <c r="J2623" s="28" t="s">
        <v>207</v>
      </c>
      <c r="K2623" s="28" t="s">
        <v>9635</v>
      </c>
      <c r="L2623" s="28" t="s">
        <v>9636</v>
      </c>
      <c r="M2623" s="28" t="s">
        <v>14647</v>
      </c>
      <c r="N2623" s="28" t="s">
        <v>9638</v>
      </c>
      <c r="O2623" s="28" t="s">
        <v>9639</v>
      </c>
      <c r="P2623" s="28" t="s">
        <v>14643</v>
      </c>
    </row>
    <row r="2624" spans="1:16" x14ac:dyDescent="0.25">
      <c r="A2624" s="28" t="s">
        <v>14648</v>
      </c>
      <c r="B2624" s="28" t="s">
        <v>14649</v>
      </c>
      <c r="C2624" s="28" t="s">
        <v>132</v>
      </c>
      <c r="D2624" s="28" t="s">
        <v>1271</v>
      </c>
      <c r="E2624" s="28" t="s">
        <v>14640</v>
      </c>
      <c r="F2624" s="28" t="s">
        <v>21</v>
      </c>
      <c r="G2624" s="28" t="s">
        <v>207</v>
      </c>
      <c r="H2624" s="28" t="s">
        <v>9633</v>
      </c>
      <c r="I2624" s="28" t="s">
        <v>14650</v>
      </c>
      <c r="J2624" s="28" t="s">
        <v>207</v>
      </c>
      <c r="K2624" s="28" t="s">
        <v>9635</v>
      </c>
      <c r="L2624" s="28" t="s">
        <v>9636</v>
      </c>
      <c r="M2624" s="28" t="s">
        <v>14651</v>
      </c>
      <c r="N2624" s="28" t="s">
        <v>9638</v>
      </c>
      <c r="O2624" s="28" t="s">
        <v>9639</v>
      </c>
      <c r="P2624" s="28" t="s">
        <v>14643</v>
      </c>
    </row>
    <row r="2625" spans="1:16" x14ac:dyDescent="0.25">
      <c r="A2625" s="28" t="s">
        <v>14652</v>
      </c>
      <c r="B2625" s="28" t="s">
        <v>14653</v>
      </c>
      <c r="C2625" s="28" t="s">
        <v>132</v>
      </c>
      <c r="D2625" s="28" t="s">
        <v>1271</v>
      </c>
      <c r="E2625" s="28" t="s">
        <v>1272</v>
      </c>
      <c r="F2625" s="28" t="s">
        <v>21</v>
      </c>
      <c r="G2625" s="28" t="s">
        <v>39</v>
      </c>
      <c r="H2625" s="28" t="s">
        <v>9711</v>
      </c>
      <c r="I2625" s="28" t="s">
        <v>14654</v>
      </c>
      <c r="J2625" s="28" t="s">
        <v>39</v>
      </c>
      <c r="K2625" s="28" t="s">
        <v>10506</v>
      </c>
      <c r="L2625" s="28" t="s">
        <v>9714</v>
      </c>
      <c r="M2625" s="28" t="s">
        <v>14655</v>
      </c>
      <c r="N2625" s="28" t="s">
        <v>9716</v>
      </c>
      <c r="O2625" s="28" t="s">
        <v>9717</v>
      </c>
      <c r="P2625" s="28" t="s">
        <v>14656</v>
      </c>
    </row>
    <row r="2626" spans="1:16" x14ac:dyDescent="0.25">
      <c r="A2626" s="28" t="s">
        <v>14657</v>
      </c>
      <c r="B2626" s="28" t="s">
        <v>14658</v>
      </c>
      <c r="C2626" s="28" t="s">
        <v>132</v>
      </c>
      <c r="D2626" s="28" t="s">
        <v>1271</v>
      </c>
      <c r="E2626" s="28" t="s">
        <v>1272</v>
      </c>
      <c r="F2626" s="28" t="s">
        <v>21</v>
      </c>
      <c r="G2626" s="28" t="s">
        <v>39</v>
      </c>
      <c r="H2626" s="28" t="s">
        <v>9711</v>
      </c>
      <c r="I2626" s="28" t="s">
        <v>14659</v>
      </c>
      <c r="J2626" s="28" t="s">
        <v>39</v>
      </c>
      <c r="K2626" s="28" t="s">
        <v>10506</v>
      </c>
      <c r="L2626" s="28" t="s">
        <v>9714</v>
      </c>
      <c r="M2626" s="28" t="s">
        <v>14660</v>
      </c>
      <c r="N2626" s="28" t="s">
        <v>9716</v>
      </c>
      <c r="O2626" s="28" t="s">
        <v>9717</v>
      </c>
      <c r="P2626" s="28" t="s">
        <v>14661</v>
      </c>
    </row>
    <row r="2627" spans="1:16" x14ac:dyDescent="0.25">
      <c r="A2627" s="28" t="s">
        <v>14662</v>
      </c>
      <c r="B2627" s="28" t="s">
        <v>14663</v>
      </c>
      <c r="C2627" s="28" t="s">
        <v>132</v>
      </c>
      <c r="D2627" s="28" t="s">
        <v>1271</v>
      </c>
      <c r="E2627" s="28" t="s">
        <v>1272</v>
      </c>
      <c r="F2627" s="28" t="s">
        <v>21</v>
      </c>
      <c r="G2627" s="28" t="s">
        <v>39</v>
      </c>
      <c r="H2627" s="28" t="s">
        <v>9711</v>
      </c>
      <c r="I2627" s="28" t="s">
        <v>14664</v>
      </c>
      <c r="J2627" s="28" t="s">
        <v>39</v>
      </c>
      <c r="K2627" s="28" t="s">
        <v>10506</v>
      </c>
      <c r="L2627" s="28" t="s">
        <v>9714</v>
      </c>
      <c r="M2627" s="28" t="s">
        <v>14665</v>
      </c>
      <c r="N2627" s="28" t="s">
        <v>9716</v>
      </c>
      <c r="O2627" s="28" t="s">
        <v>9717</v>
      </c>
      <c r="P2627" s="28" t="s">
        <v>14666</v>
      </c>
    </row>
    <row r="2628" spans="1:16" x14ac:dyDescent="0.25">
      <c r="A2628" s="28" t="s">
        <v>14667</v>
      </c>
      <c r="B2628" s="28" t="s">
        <v>14668</v>
      </c>
      <c r="C2628" s="28" t="s">
        <v>132</v>
      </c>
      <c r="D2628" s="28" t="s">
        <v>1271</v>
      </c>
      <c r="E2628" s="28" t="s">
        <v>14669</v>
      </c>
      <c r="F2628" s="28" t="s">
        <v>21</v>
      </c>
      <c r="G2628" s="28" t="s">
        <v>149</v>
      </c>
      <c r="H2628" s="28" t="s">
        <v>9633</v>
      </c>
      <c r="I2628" s="28" t="s">
        <v>14670</v>
      </c>
      <c r="J2628" s="28" t="s">
        <v>149</v>
      </c>
      <c r="K2628" s="28" t="s">
        <v>9722</v>
      </c>
      <c r="L2628" s="28" t="s">
        <v>9636</v>
      </c>
      <c r="M2628" s="28" t="s">
        <v>14671</v>
      </c>
      <c r="N2628" s="28" t="s">
        <v>9638</v>
      </c>
      <c r="O2628" s="28" t="s">
        <v>9639</v>
      </c>
      <c r="P2628" s="28" t="s">
        <v>14672</v>
      </c>
    </row>
    <row r="2629" spans="1:16" x14ac:dyDescent="0.25">
      <c r="A2629" s="28" t="s">
        <v>14673</v>
      </c>
      <c r="B2629" s="28" t="s">
        <v>14674</v>
      </c>
      <c r="C2629" s="28" t="s">
        <v>132</v>
      </c>
      <c r="D2629" s="28" t="s">
        <v>1271</v>
      </c>
      <c r="E2629" s="28" t="s">
        <v>14675</v>
      </c>
      <c r="F2629" s="28" t="s">
        <v>21</v>
      </c>
      <c r="G2629" s="28" t="s">
        <v>207</v>
      </c>
      <c r="H2629" s="28" t="s">
        <v>9633</v>
      </c>
      <c r="I2629" s="28" t="s">
        <v>14676</v>
      </c>
      <c r="J2629" s="28" t="s">
        <v>207</v>
      </c>
      <c r="K2629" s="28" t="s">
        <v>9635</v>
      </c>
      <c r="L2629" s="28" t="s">
        <v>9636</v>
      </c>
      <c r="M2629" s="28" t="s">
        <v>14677</v>
      </c>
      <c r="N2629" s="28" t="s">
        <v>9638</v>
      </c>
      <c r="O2629" s="28" t="s">
        <v>9639</v>
      </c>
      <c r="P2629" s="28" t="s">
        <v>14678</v>
      </c>
    </row>
    <row r="2630" spans="1:16" x14ac:dyDescent="0.25">
      <c r="A2630" s="28" t="s">
        <v>14679</v>
      </c>
      <c r="B2630" s="28" t="s">
        <v>14680</v>
      </c>
      <c r="C2630" s="28" t="s">
        <v>132</v>
      </c>
      <c r="D2630" s="28" t="s">
        <v>1271</v>
      </c>
      <c r="E2630" s="28" t="s">
        <v>14675</v>
      </c>
      <c r="F2630" s="28" t="s">
        <v>21</v>
      </c>
      <c r="G2630" s="28" t="s">
        <v>207</v>
      </c>
      <c r="H2630" s="28" t="s">
        <v>9633</v>
      </c>
      <c r="I2630" s="28" t="s">
        <v>14681</v>
      </c>
      <c r="J2630" s="28" t="s">
        <v>207</v>
      </c>
      <c r="K2630" s="28" t="s">
        <v>9635</v>
      </c>
      <c r="L2630" s="28" t="s">
        <v>9636</v>
      </c>
      <c r="M2630" s="28" t="s">
        <v>14682</v>
      </c>
      <c r="N2630" s="28" t="s">
        <v>9638</v>
      </c>
      <c r="O2630" s="28" t="s">
        <v>9639</v>
      </c>
      <c r="P2630" s="28" t="s">
        <v>14683</v>
      </c>
    </row>
    <row r="2631" spans="1:16" x14ac:dyDescent="0.25">
      <c r="A2631" s="28" t="s">
        <v>14684</v>
      </c>
      <c r="B2631" s="28" t="s">
        <v>14685</v>
      </c>
      <c r="C2631" s="28" t="s">
        <v>132</v>
      </c>
      <c r="D2631" s="28" t="s">
        <v>1271</v>
      </c>
      <c r="E2631" s="28" t="s">
        <v>14686</v>
      </c>
      <c r="F2631" s="28" t="s">
        <v>21</v>
      </c>
      <c r="G2631" s="28" t="s">
        <v>207</v>
      </c>
      <c r="H2631" s="28" t="s">
        <v>9633</v>
      </c>
      <c r="I2631" s="28" t="s">
        <v>14687</v>
      </c>
      <c r="J2631" s="28" t="s">
        <v>207</v>
      </c>
      <c r="K2631" s="28" t="s">
        <v>9635</v>
      </c>
      <c r="L2631" s="28" t="s">
        <v>9636</v>
      </c>
      <c r="M2631" s="28" t="s">
        <v>14688</v>
      </c>
      <c r="N2631" s="28" t="s">
        <v>9638</v>
      </c>
      <c r="O2631" s="28" t="s">
        <v>9639</v>
      </c>
      <c r="P2631" s="28" t="s">
        <v>14689</v>
      </c>
    </row>
    <row r="2632" spans="1:16" x14ac:dyDescent="0.25">
      <c r="A2632" s="28" t="s">
        <v>14690</v>
      </c>
      <c r="B2632" s="28" t="s">
        <v>14691</v>
      </c>
      <c r="C2632" s="28" t="s">
        <v>132</v>
      </c>
      <c r="D2632" s="28" t="s">
        <v>1271</v>
      </c>
      <c r="E2632" s="28" t="s">
        <v>14692</v>
      </c>
      <c r="F2632" s="28" t="s">
        <v>21</v>
      </c>
      <c r="G2632" s="28" t="s">
        <v>207</v>
      </c>
      <c r="H2632" s="28" t="s">
        <v>9633</v>
      </c>
      <c r="I2632" s="28" t="s">
        <v>14693</v>
      </c>
      <c r="J2632" s="28" t="s">
        <v>207</v>
      </c>
      <c r="K2632" s="28" t="s">
        <v>9635</v>
      </c>
      <c r="L2632" s="28" t="s">
        <v>9636</v>
      </c>
      <c r="M2632" s="28" t="s">
        <v>14694</v>
      </c>
      <c r="N2632" s="28" t="s">
        <v>9638</v>
      </c>
      <c r="O2632" s="28" t="s">
        <v>9639</v>
      </c>
      <c r="P2632" s="28" t="s">
        <v>14695</v>
      </c>
    </row>
    <row r="2633" spans="1:16" x14ac:dyDescent="0.25">
      <c r="A2633" s="28" t="s">
        <v>14696</v>
      </c>
      <c r="B2633" s="28" t="s">
        <v>14697</v>
      </c>
      <c r="C2633" s="28" t="s">
        <v>132</v>
      </c>
      <c r="D2633" s="28" t="s">
        <v>1271</v>
      </c>
      <c r="E2633" s="28" t="s">
        <v>14698</v>
      </c>
      <c r="F2633" s="28" t="s">
        <v>21</v>
      </c>
      <c r="G2633" s="28" t="s">
        <v>149</v>
      </c>
      <c r="H2633" s="28" t="s">
        <v>9633</v>
      </c>
      <c r="I2633" s="28" t="s">
        <v>14699</v>
      </c>
      <c r="J2633" s="28" t="s">
        <v>149</v>
      </c>
      <c r="K2633" s="28" t="s">
        <v>9722</v>
      </c>
      <c r="L2633" s="28" t="s">
        <v>9636</v>
      </c>
      <c r="M2633" s="28" t="s">
        <v>14700</v>
      </c>
      <c r="N2633" s="28" t="s">
        <v>9638</v>
      </c>
      <c r="O2633" s="28" t="s">
        <v>9639</v>
      </c>
      <c r="P2633" s="28" t="s">
        <v>14701</v>
      </c>
    </row>
    <row r="2634" spans="1:16" x14ac:dyDescent="0.25">
      <c r="A2634" s="28" t="s">
        <v>14702</v>
      </c>
      <c r="B2634" s="28" t="s">
        <v>14703</v>
      </c>
      <c r="C2634" s="28" t="s">
        <v>132</v>
      </c>
      <c r="D2634" s="28" t="s">
        <v>1271</v>
      </c>
      <c r="E2634" s="28" t="s">
        <v>14704</v>
      </c>
      <c r="F2634" s="28" t="s">
        <v>21</v>
      </c>
      <c r="G2634" s="28" t="s">
        <v>207</v>
      </c>
      <c r="H2634" s="28" t="s">
        <v>9633</v>
      </c>
      <c r="I2634" s="28" t="s">
        <v>14705</v>
      </c>
      <c r="J2634" s="28" t="s">
        <v>207</v>
      </c>
      <c r="K2634" s="28" t="s">
        <v>9635</v>
      </c>
      <c r="L2634" s="28" t="s">
        <v>9636</v>
      </c>
      <c r="M2634" s="28" t="s">
        <v>14706</v>
      </c>
      <c r="N2634" s="28" t="s">
        <v>9638</v>
      </c>
      <c r="O2634" s="28" t="s">
        <v>9639</v>
      </c>
      <c r="P2634" s="28" t="s">
        <v>14707</v>
      </c>
    </row>
    <row r="2635" spans="1:16" x14ac:dyDescent="0.25">
      <c r="A2635" s="28" t="s">
        <v>14708</v>
      </c>
      <c r="B2635" s="28" t="s">
        <v>14709</v>
      </c>
      <c r="C2635" s="28" t="s">
        <v>132</v>
      </c>
      <c r="D2635" s="28" t="s">
        <v>1271</v>
      </c>
      <c r="E2635" s="28" t="s">
        <v>14710</v>
      </c>
      <c r="F2635" s="28" t="s">
        <v>21</v>
      </c>
      <c r="G2635" s="28" t="s">
        <v>207</v>
      </c>
      <c r="H2635" s="28" t="s">
        <v>9633</v>
      </c>
      <c r="I2635" s="28" t="s">
        <v>14711</v>
      </c>
      <c r="J2635" s="28" t="s">
        <v>207</v>
      </c>
      <c r="K2635" s="28" t="s">
        <v>9635</v>
      </c>
      <c r="L2635" s="28" t="s">
        <v>9636</v>
      </c>
      <c r="M2635" s="28" t="s">
        <v>14712</v>
      </c>
      <c r="N2635" s="28" t="s">
        <v>9638</v>
      </c>
      <c r="O2635" s="28" t="s">
        <v>9639</v>
      </c>
      <c r="P2635" s="28" t="s">
        <v>14713</v>
      </c>
    </row>
    <row r="2636" spans="1:16" x14ac:dyDescent="0.25">
      <c r="A2636" s="28" t="s">
        <v>14714</v>
      </c>
      <c r="B2636" s="28" t="s">
        <v>14715</v>
      </c>
      <c r="C2636" s="28" t="s">
        <v>132</v>
      </c>
      <c r="D2636" s="28" t="s">
        <v>1271</v>
      </c>
      <c r="E2636" s="28" t="s">
        <v>14716</v>
      </c>
      <c r="F2636" s="28" t="s">
        <v>21</v>
      </c>
      <c r="G2636" s="28" t="s">
        <v>135</v>
      </c>
      <c r="H2636" s="28" t="s">
        <v>10259</v>
      </c>
      <c r="I2636" s="28" t="s">
        <v>14717</v>
      </c>
      <c r="J2636" s="28" t="s">
        <v>135</v>
      </c>
      <c r="K2636" s="28" t="s">
        <v>10551</v>
      </c>
      <c r="L2636" s="28" t="s">
        <v>10262</v>
      </c>
      <c r="M2636" s="28" t="s">
        <v>14718</v>
      </c>
      <c r="N2636" s="28" t="s">
        <v>10264</v>
      </c>
      <c r="O2636" s="28" t="s">
        <v>10265</v>
      </c>
      <c r="P2636" s="28" t="s">
        <v>10266</v>
      </c>
    </row>
    <row r="2637" spans="1:16" x14ac:dyDescent="0.25">
      <c r="A2637" s="28" t="s">
        <v>14719</v>
      </c>
      <c r="B2637" s="28" t="s">
        <v>14720</v>
      </c>
      <c r="C2637" s="28" t="s">
        <v>132</v>
      </c>
      <c r="D2637" s="28" t="s">
        <v>1271</v>
      </c>
      <c r="E2637" s="28" t="s">
        <v>14716</v>
      </c>
      <c r="F2637" s="28" t="s">
        <v>21</v>
      </c>
      <c r="G2637" s="28" t="s">
        <v>207</v>
      </c>
      <c r="H2637" s="28" t="s">
        <v>9633</v>
      </c>
      <c r="I2637" s="28" t="s">
        <v>14721</v>
      </c>
      <c r="J2637" s="28" t="s">
        <v>207</v>
      </c>
      <c r="K2637" s="28" t="s">
        <v>9635</v>
      </c>
      <c r="L2637" s="28" t="s">
        <v>9636</v>
      </c>
      <c r="M2637" s="28" t="s">
        <v>14722</v>
      </c>
      <c r="N2637" s="28" t="s">
        <v>9638</v>
      </c>
      <c r="O2637" s="28" t="s">
        <v>9639</v>
      </c>
      <c r="P2637" s="28" t="s">
        <v>14723</v>
      </c>
    </row>
    <row r="2638" spans="1:16" x14ac:dyDescent="0.25">
      <c r="A2638" s="28" t="s">
        <v>14724</v>
      </c>
      <c r="B2638" s="28" t="s">
        <v>14725</v>
      </c>
      <c r="C2638" s="28" t="s">
        <v>132</v>
      </c>
      <c r="D2638" s="28" t="s">
        <v>1271</v>
      </c>
      <c r="E2638" s="28" t="s">
        <v>1289</v>
      </c>
      <c r="F2638" s="28" t="s">
        <v>21</v>
      </c>
      <c r="G2638" s="28" t="s">
        <v>149</v>
      </c>
      <c r="H2638" s="28" t="s">
        <v>9633</v>
      </c>
      <c r="I2638" s="28" t="s">
        <v>14726</v>
      </c>
      <c r="J2638" s="28" t="s">
        <v>149</v>
      </c>
      <c r="K2638" s="28" t="s">
        <v>9722</v>
      </c>
      <c r="L2638" s="28" t="s">
        <v>9636</v>
      </c>
      <c r="M2638" s="28" t="s">
        <v>14727</v>
      </c>
      <c r="N2638" s="28" t="s">
        <v>9638</v>
      </c>
      <c r="O2638" s="28" t="s">
        <v>9639</v>
      </c>
      <c r="P2638" s="28" t="s">
        <v>14728</v>
      </c>
    </row>
    <row r="2639" spans="1:16" x14ac:dyDescent="0.25">
      <c r="A2639" s="28" t="s">
        <v>14729</v>
      </c>
      <c r="B2639" s="28" t="s">
        <v>14730</v>
      </c>
      <c r="C2639" s="28" t="s">
        <v>132</v>
      </c>
      <c r="D2639" s="28" t="s">
        <v>1271</v>
      </c>
      <c r="E2639" s="28" t="s">
        <v>1295</v>
      </c>
      <c r="F2639" s="28" t="s">
        <v>21</v>
      </c>
      <c r="G2639" s="28" t="s">
        <v>149</v>
      </c>
      <c r="H2639" s="28" t="s">
        <v>9633</v>
      </c>
      <c r="I2639" s="28" t="s">
        <v>14731</v>
      </c>
      <c r="J2639" s="28" t="s">
        <v>149</v>
      </c>
      <c r="K2639" s="28" t="s">
        <v>9722</v>
      </c>
      <c r="L2639" s="28" t="s">
        <v>9636</v>
      </c>
      <c r="M2639" s="28" t="s">
        <v>14732</v>
      </c>
      <c r="N2639" s="28" t="s">
        <v>9638</v>
      </c>
      <c r="O2639" s="28" t="s">
        <v>9639</v>
      </c>
      <c r="P2639" s="28" t="s">
        <v>14733</v>
      </c>
    </row>
    <row r="2640" spans="1:16" x14ac:dyDescent="0.25">
      <c r="A2640" s="28" t="s">
        <v>14734</v>
      </c>
      <c r="B2640" s="28" t="s">
        <v>14735</v>
      </c>
      <c r="C2640" s="28" t="s">
        <v>132</v>
      </c>
      <c r="D2640" s="28" t="s">
        <v>1271</v>
      </c>
      <c r="E2640" s="28" t="s">
        <v>14736</v>
      </c>
      <c r="F2640" s="28" t="s">
        <v>21</v>
      </c>
      <c r="G2640" s="28" t="s">
        <v>207</v>
      </c>
      <c r="H2640" s="28" t="s">
        <v>9633</v>
      </c>
      <c r="I2640" s="28" t="s">
        <v>14737</v>
      </c>
      <c r="J2640" s="28" t="s">
        <v>207</v>
      </c>
      <c r="K2640" s="28" t="s">
        <v>9635</v>
      </c>
      <c r="L2640" s="28" t="s">
        <v>9636</v>
      </c>
      <c r="M2640" s="28" t="s">
        <v>14738</v>
      </c>
      <c r="N2640" s="28" t="s">
        <v>9638</v>
      </c>
      <c r="O2640" s="28" t="s">
        <v>9639</v>
      </c>
      <c r="P2640" s="28" t="s">
        <v>14739</v>
      </c>
    </row>
    <row r="2641" spans="1:16" x14ac:dyDescent="0.25">
      <c r="A2641" s="28" t="s">
        <v>14740</v>
      </c>
      <c r="B2641" s="28" t="s">
        <v>14741</v>
      </c>
      <c r="C2641" s="28" t="s">
        <v>132</v>
      </c>
      <c r="D2641" s="28" t="s">
        <v>1271</v>
      </c>
      <c r="E2641" s="28" t="s">
        <v>14736</v>
      </c>
      <c r="F2641" s="28" t="s">
        <v>21</v>
      </c>
      <c r="G2641" s="28" t="s">
        <v>207</v>
      </c>
      <c r="H2641" s="28" t="s">
        <v>9633</v>
      </c>
      <c r="I2641" s="28" t="s">
        <v>14742</v>
      </c>
      <c r="J2641" s="28" t="s">
        <v>207</v>
      </c>
      <c r="K2641" s="28" t="s">
        <v>9635</v>
      </c>
      <c r="L2641" s="28" t="s">
        <v>9636</v>
      </c>
      <c r="M2641" s="28" t="s">
        <v>14743</v>
      </c>
      <c r="N2641" s="28" t="s">
        <v>9638</v>
      </c>
      <c r="O2641" s="28" t="s">
        <v>9639</v>
      </c>
      <c r="P2641" s="28" t="s">
        <v>14739</v>
      </c>
    </row>
    <row r="2642" spans="1:16" x14ac:dyDescent="0.25">
      <c r="A2642" s="28" t="s">
        <v>14744</v>
      </c>
      <c r="B2642" s="28" t="s">
        <v>14745</v>
      </c>
      <c r="C2642" s="28" t="s">
        <v>132</v>
      </c>
      <c r="D2642" s="28" t="s">
        <v>1271</v>
      </c>
      <c r="E2642" s="28" t="s">
        <v>14736</v>
      </c>
      <c r="F2642" s="28" t="s">
        <v>21</v>
      </c>
      <c r="G2642" s="28" t="s">
        <v>207</v>
      </c>
      <c r="H2642" s="28" t="s">
        <v>9633</v>
      </c>
      <c r="I2642" s="28" t="s">
        <v>14746</v>
      </c>
      <c r="J2642" s="28" t="s">
        <v>207</v>
      </c>
      <c r="K2642" s="28" t="s">
        <v>9635</v>
      </c>
      <c r="L2642" s="28" t="s">
        <v>9636</v>
      </c>
      <c r="M2642" s="28" t="s">
        <v>14747</v>
      </c>
      <c r="N2642" s="28" t="s">
        <v>9638</v>
      </c>
      <c r="O2642" s="28" t="s">
        <v>9639</v>
      </c>
      <c r="P2642" s="28" t="s">
        <v>14739</v>
      </c>
    </row>
    <row r="2643" spans="1:16" x14ac:dyDescent="0.25">
      <c r="A2643" s="28" t="s">
        <v>14748</v>
      </c>
      <c r="B2643" s="28" t="s">
        <v>14749</v>
      </c>
      <c r="C2643" s="28" t="s">
        <v>132</v>
      </c>
      <c r="D2643" s="28" t="s">
        <v>1271</v>
      </c>
      <c r="E2643" s="28" t="s">
        <v>14736</v>
      </c>
      <c r="F2643" s="28" t="s">
        <v>21</v>
      </c>
      <c r="G2643" s="28" t="s">
        <v>207</v>
      </c>
      <c r="H2643" s="28" t="s">
        <v>9633</v>
      </c>
      <c r="I2643" s="28" t="s">
        <v>14750</v>
      </c>
      <c r="J2643" s="28" t="s">
        <v>207</v>
      </c>
      <c r="K2643" s="28" t="s">
        <v>9635</v>
      </c>
      <c r="L2643" s="28" t="s">
        <v>9636</v>
      </c>
      <c r="M2643" s="28" t="s">
        <v>14751</v>
      </c>
      <c r="N2643" s="28" t="s">
        <v>9638</v>
      </c>
      <c r="O2643" s="28" t="s">
        <v>9639</v>
      </c>
      <c r="P2643" s="28" t="s">
        <v>14739</v>
      </c>
    </row>
    <row r="2644" spans="1:16" x14ac:dyDescent="0.25">
      <c r="A2644" s="28" t="s">
        <v>14752</v>
      </c>
      <c r="B2644" s="28" t="s">
        <v>14753</v>
      </c>
      <c r="C2644" s="28" t="s">
        <v>132</v>
      </c>
      <c r="D2644" s="28" t="s">
        <v>1271</v>
      </c>
      <c r="E2644" s="28" t="s">
        <v>14736</v>
      </c>
      <c r="F2644" s="28" t="s">
        <v>21</v>
      </c>
      <c r="G2644" s="28" t="s">
        <v>207</v>
      </c>
      <c r="H2644" s="28" t="s">
        <v>9633</v>
      </c>
      <c r="I2644" s="28" t="s">
        <v>14754</v>
      </c>
      <c r="J2644" s="28" t="s">
        <v>207</v>
      </c>
      <c r="K2644" s="28" t="s">
        <v>9635</v>
      </c>
      <c r="L2644" s="28" t="s">
        <v>9636</v>
      </c>
      <c r="M2644" s="28" t="s">
        <v>14755</v>
      </c>
      <c r="N2644" s="28" t="s">
        <v>9638</v>
      </c>
      <c r="O2644" s="28" t="s">
        <v>9639</v>
      </c>
      <c r="P2644" s="28" t="s">
        <v>14739</v>
      </c>
    </row>
    <row r="2645" spans="1:16" x14ac:dyDescent="0.25">
      <c r="A2645" s="28" t="s">
        <v>14756</v>
      </c>
      <c r="B2645" s="28" t="s">
        <v>14757</v>
      </c>
      <c r="C2645" s="28" t="s">
        <v>132</v>
      </c>
      <c r="D2645" s="28" t="s">
        <v>1271</v>
      </c>
      <c r="E2645" s="28" t="s">
        <v>14758</v>
      </c>
      <c r="F2645" s="28" t="s">
        <v>21</v>
      </c>
      <c r="G2645" s="28" t="s">
        <v>207</v>
      </c>
      <c r="H2645" s="28" t="s">
        <v>9633</v>
      </c>
      <c r="I2645" s="28" t="s">
        <v>14759</v>
      </c>
      <c r="J2645" s="28" t="s">
        <v>207</v>
      </c>
      <c r="K2645" s="28" t="s">
        <v>9635</v>
      </c>
      <c r="L2645" s="28" t="s">
        <v>9636</v>
      </c>
      <c r="M2645" s="28" t="s">
        <v>14760</v>
      </c>
      <c r="N2645" s="28" t="s">
        <v>9638</v>
      </c>
      <c r="O2645" s="28" t="s">
        <v>9639</v>
      </c>
      <c r="P2645" s="28" t="s">
        <v>14761</v>
      </c>
    </row>
    <row r="2646" spans="1:16" x14ac:dyDescent="0.25">
      <c r="A2646" s="28" t="s">
        <v>14762</v>
      </c>
      <c r="B2646" s="28" t="s">
        <v>14763</v>
      </c>
      <c r="C2646" s="28" t="s">
        <v>132</v>
      </c>
      <c r="D2646" s="28" t="s">
        <v>1271</v>
      </c>
      <c r="E2646" s="28" t="s">
        <v>14764</v>
      </c>
      <c r="F2646" s="28" t="s">
        <v>21</v>
      </c>
      <c r="G2646" s="28" t="s">
        <v>207</v>
      </c>
      <c r="H2646" s="28" t="s">
        <v>9633</v>
      </c>
      <c r="I2646" s="28" t="s">
        <v>14765</v>
      </c>
      <c r="J2646" s="28" t="s">
        <v>207</v>
      </c>
      <c r="K2646" s="28" t="s">
        <v>9635</v>
      </c>
      <c r="L2646" s="28" t="s">
        <v>9636</v>
      </c>
      <c r="M2646" s="28" t="s">
        <v>14766</v>
      </c>
      <c r="N2646" s="28" t="s">
        <v>9638</v>
      </c>
      <c r="O2646" s="28" t="s">
        <v>9639</v>
      </c>
      <c r="P2646" s="28" t="s">
        <v>14767</v>
      </c>
    </row>
    <row r="2647" spans="1:16" x14ac:dyDescent="0.25">
      <c r="A2647" s="28" t="s">
        <v>14768</v>
      </c>
      <c r="B2647" s="28" t="s">
        <v>14769</v>
      </c>
      <c r="C2647" s="28" t="s">
        <v>132</v>
      </c>
      <c r="D2647" s="28" t="s">
        <v>1271</v>
      </c>
      <c r="E2647" s="28" t="s">
        <v>14764</v>
      </c>
      <c r="F2647" s="28" t="s">
        <v>21</v>
      </c>
      <c r="G2647" s="28" t="s">
        <v>207</v>
      </c>
      <c r="H2647" s="28" t="s">
        <v>9633</v>
      </c>
      <c r="I2647" s="28" t="s">
        <v>14770</v>
      </c>
      <c r="J2647" s="28" t="s">
        <v>207</v>
      </c>
      <c r="K2647" s="28" t="s">
        <v>9635</v>
      </c>
      <c r="L2647" s="28" t="s">
        <v>9636</v>
      </c>
      <c r="M2647" s="28" t="s">
        <v>14771</v>
      </c>
      <c r="N2647" s="28" t="s">
        <v>9638</v>
      </c>
      <c r="O2647" s="28" t="s">
        <v>9639</v>
      </c>
      <c r="P2647" s="28" t="s">
        <v>14767</v>
      </c>
    </row>
    <row r="2648" spans="1:16" x14ac:dyDescent="0.25">
      <c r="A2648" s="28" t="s">
        <v>14772</v>
      </c>
      <c r="B2648" s="28" t="s">
        <v>14773</v>
      </c>
      <c r="C2648" s="28" t="s">
        <v>132</v>
      </c>
      <c r="D2648" s="28" t="s">
        <v>1271</v>
      </c>
      <c r="E2648" s="28" t="s">
        <v>14774</v>
      </c>
      <c r="F2648" s="28" t="s">
        <v>21</v>
      </c>
      <c r="G2648" s="28" t="s">
        <v>207</v>
      </c>
      <c r="H2648" s="28" t="s">
        <v>9633</v>
      </c>
      <c r="I2648" s="28" t="s">
        <v>14775</v>
      </c>
      <c r="J2648" s="28" t="s">
        <v>207</v>
      </c>
      <c r="K2648" s="28" t="s">
        <v>9635</v>
      </c>
      <c r="L2648" s="28" t="s">
        <v>9636</v>
      </c>
      <c r="M2648" s="28" t="s">
        <v>14776</v>
      </c>
      <c r="N2648" s="28" t="s">
        <v>9638</v>
      </c>
      <c r="O2648" s="28" t="s">
        <v>9639</v>
      </c>
      <c r="P2648" s="28" t="s">
        <v>14777</v>
      </c>
    </row>
    <row r="2649" spans="1:16" x14ac:dyDescent="0.25">
      <c r="A2649" s="28" t="s">
        <v>14778</v>
      </c>
      <c r="B2649" s="28" t="s">
        <v>14779</v>
      </c>
      <c r="C2649" s="28" t="s">
        <v>132</v>
      </c>
      <c r="D2649" s="28" t="s">
        <v>1271</v>
      </c>
      <c r="E2649" s="28" t="s">
        <v>14774</v>
      </c>
      <c r="F2649" s="28" t="s">
        <v>21</v>
      </c>
      <c r="G2649" s="28" t="s">
        <v>207</v>
      </c>
      <c r="H2649" s="28" t="s">
        <v>9633</v>
      </c>
      <c r="I2649" s="28" t="s">
        <v>14780</v>
      </c>
      <c r="J2649" s="28" t="s">
        <v>207</v>
      </c>
      <c r="K2649" s="28" t="s">
        <v>9635</v>
      </c>
      <c r="L2649" s="28" t="s">
        <v>9636</v>
      </c>
      <c r="M2649" s="28" t="s">
        <v>14781</v>
      </c>
      <c r="N2649" s="28" t="s">
        <v>9638</v>
      </c>
      <c r="O2649" s="28" t="s">
        <v>9639</v>
      </c>
      <c r="P2649" s="28" t="s">
        <v>14777</v>
      </c>
    </row>
    <row r="2650" spans="1:16" x14ac:dyDescent="0.25">
      <c r="A2650" s="28" t="s">
        <v>14782</v>
      </c>
      <c r="B2650" s="28" t="s">
        <v>14783</v>
      </c>
      <c r="C2650" s="28" t="s">
        <v>132</v>
      </c>
      <c r="D2650" s="28" t="s">
        <v>1271</v>
      </c>
      <c r="E2650" s="28" t="s">
        <v>14784</v>
      </c>
      <c r="F2650" s="28" t="s">
        <v>21</v>
      </c>
      <c r="G2650" s="28" t="s">
        <v>207</v>
      </c>
      <c r="H2650" s="28" t="s">
        <v>9633</v>
      </c>
      <c r="I2650" s="28" t="s">
        <v>14785</v>
      </c>
      <c r="J2650" s="28" t="s">
        <v>207</v>
      </c>
      <c r="K2650" s="28" t="s">
        <v>9635</v>
      </c>
      <c r="L2650" s="28" t="s">
        <v>9636</v>
      </c>
      <c r="M2650" s="28" t="s">
        <v>14786</v>
      </c>
      <c r="N2650" s="28" t="s">
        <v>9638</v>
      </c>
      <c r="O2650" s="28" t="s">
        <v>9639</v>
      </c>
      <c r="P2650" s="28" t="s">
        <v>14787</v>
      </c>
    </row>
    <row r="2651" spans="1:16" x14ac:dyDescent="0.25">
      <c r="A2651" s="28" t="s">
        <v>14788</v>
      </c>
      <c r="B2651" s="28" t="s">
        <v>14789</v>
      </c>
      <c r="C2651" s="28" t="s">
        <v>132</v>
      </c>
      <c r="D2651" s="28" t="s">
        <v>1271</v>
      </c>
      <c r="E2651" s="28" t="s">
        <v>14784</v>
      </c>
      <c r="F2651" s="28" t="s">
        <v>21</v>
      </c>
      <c r="G2651" s="28" t="s">
        <v>207</v>
      </c>
      <c r="H2651" s="28" t="s">
        <v>9633</v>
      </c>
      <c r="I2651" s="28" t="s">
        <v>14790</v>
      </c>
      <c r="J2651" s="28" t="s">
        <v>207</v>
      </c>
      <c r="K2651" s="28" t="s">
        <v>9635</v>
      </c>
      <c r="L2651" s="28" t="s">
        <v>9636</v>
      </c>
      <c r="M2651" s="28" t="s">
        <v>14791</v>
      </c>
      <c r="N2651" s="28" t="s">
        <v>9638</v>
      </c>
      <c r="O2651" s="28" t="s">
        <v>9639</v>
      </c>
      <c r="P2651" s="28" t="s">
        <v>14792</v>
      </c>
    </row>
    <row r="2652" spans="1:16" x14ac:dyDescent="0.25">
      <c r="A2652" s="28" t="s">
        <v>14793</v>
      </c>
      <c r="B2652" s="28" t="s">
        <v>14794</v>
      </c>
      <c r="C2652" s="28" t="s">
        <v>132</v>
      </c>
      <c r="D2652" s="28" t="s">
        <v>1271</v>
      </c>
      <c r="E2652" s="28" t="s">
        <v>14784</v>
      </c>
      <c r="F2652" s="28" t="s">
        <v>21</v>
      </c>
      <c r="G2652" s="28" t="s">
        <v>207</v>
      </c>
      <c r="H2652" s="28" t="s">
        <v>9633</v>
      </c>
      <c r="I2652" s="28" t="s">
        <v>14795</v>
      </c>
      <c r="J2652" s="28" t="s">
        <v>207</v>
      </c>
      <c r="K2652" s="28" t="s">
        <v>9635</v>
      </c>
      <c r="L2652" s="28" t="s">
        <v>9636</v>
      </c>
      <c r="M2652" s="28" t="s">
        <v>14796</v>
      </c>
      <c r="N2652" s="28" t="s">
        <v>9638</v>
      </c>
      <c r="O2652" s="28" t="s">
        <v>9639</v>
      </c>
      <c r="P2652" s="28" t="s">
        <v>14787</v>
      </c>
    </row>
    <row r="2653" spans="1:16" x14ac:dyDescent="0.25">
      <c r="A2653" s="28" t="s">
        <v>14797</v>
      </c>
      <c r="B2653" s="28" t="s">
        <v>14798</v>
      </c>
      <c r="C2653" s="28" t="s">
        <v>132</v>
      </c>
      <c r="D2653" s="28" t="s">
        <v>1271</v>
      </c>
      <c r="E2653" s="28" t="s">
        <v>14799</v>
      </c>
      <c r="F2653" s="28" t="s">
        <v>21</v>
      </c>
      <c r="G2653" s="28" t="s">
        <v>207</v>
      </c>
      <c r="H2653" s="28" t="s">
        <v>9633</v>
      </c>
      <c r="I2653" s="28" t="s">
        <v>14800</v>
      </c>
      <c r="J2653" s="28" t="s">
        <v>207</v>
      </c>
      <c r="K2653" s="28" t="s">
        <v>9635</v>
      </c>
      <c r="L2653" s="28" t="s">
        <v>9636</v>
      </c>
      <c r="M2653" s="28" t="s">
        <v>14801</v>
      </c>
      <c r="N2653" s="28" t="s">
        <v>9638</v>
      </c>
      <c r="O2653" s="28" t="s">
        <v>9639</v>
      </c>
      <c r="P2653" s="28" t="s">
        <v>14802</v>
      </c>
    </row>
    <row r="2654" spans="1:16" x14ac:dyDescent="0.25">
      <c r="A2654" s="28" t="s">
        <v>14803</v>
      </c>
      <c r="B2654" s="28" t="s">
        <v>14804</v>
      </c>
      <c r="C2654" s="28" t="s">
        <v>132</v>
      </c>
      <c r="D2654" s="28" t="s">
        <v>1271</v>
      </c>
      <c r="E2654" s="28" t="s">
        <v>14799</v>
      </c>
      <c r="F2654" s="28" t="s">
        <v>21</v>
      </c>
      <c r="G2654" s="28" t="s">
        <v>207</v>
      </c>
      <c r="H2654" s="28" t="s">
        <v>9633</v>
      </c>
      <c r="I2654" s="28" t="s">
        <v>14805</v>
      </c>
      <c r="J2654" s="28" t="s">
        <v>207</v>
      </c>
      <c r="K2654" s="28" t="s">
        <v>9635</v>
      </c>
      <c r="L2654" s="28" t="s">
        <v>9636</v>
      </c>
      <c r="M2654" s="28" t="s">
        <v>14806</v>
      </c>
      <c r="N2654" s="28" t="s">
        <v>9638</v>
      </c>
      <c r="O2654" s="28" t="s">
        <v>9639</v>
      </c>
      <c r="P2654" s="28" t="s">
        <v>14807</v>
      </c>
    </row>
    <row r="2655" spans="1:16" x14ac:dyDescent="0.25">
      <c r="A2655" s="28" t="s">
        <v>14808</v>
      </c>
      <c r="B2655" s="28" t="s">
        <v>14809</v>
      </c>
      <c r="C2655" s="28" t="s">
        <v>132</v>
      </c>
      <c r="D2655" s="28" t="s">
        <v>1271</v>
      </c>
      <c r="E2655" s="28" t="s">
        <v>14810</v>
      </c>
      <c r="F2655" s="28" t="s">
        <v>21</v>
      </c>
      <c r="G2655" s="28" t="s">
        <v>207</v>
      </c>
      <c r="H2655" s="28" t="s">
        <v>9633</v>
      </c>
      <c r="I2655" s="28" t="s">
        <v>14811</v>
      </c>
      <c r="J2655" s="28" t="s">
        <v>207</v>
      </c>
      <c r="K2655" s="28" t="s">
        <v>9635</v>
      </c>
      <c r="L2655" s="28" t="s">
        <v>9636</v>
      </c>
      <c r="M2655" s="28" t="s">
        <v>14812</v>
      </c>
      <c r="N2655" s="28" t="s">
        <v>9638</v>
      </c>
      <c r="O2655" s="28" t="s">
        <v>9639</v>
      </c>
      <c r="P2655" s="28" t="s">
        <v>14813</v>
      </c>
    </row>
    <row r="2656" spans="1:16" x14ac:dyDescent="0.25">
      <c r="A2656" s="28" t="s">
        <v>14814</v>
      </c>
      <c r="B2656" s="28" t="s">
        <v>14815</v>
      </c>
      <c r="C2656" s="28" t="s">
        <v>132</v>
      </c>
      <c r="D2656" s="28" t="s">
        <v>1271</v>
      </c>
      <c r="E2656" s="28" t="s">
        <v>14816</v>
      </c>
      <c r="F2656" s="28" t="s">
        <v>21</v>
      </c>
      <c r="G2656" s="28" t="s">
        <v>207</v>
      </c>
      <c r="H2656" s="28" t="s">
        <v>9633</v>
      </c>
      <c r="I2656" s="28" t="s">
        <v>14817</v>
      </c>
      <c r="J2656" s="28" t="s">
        <v>207</v>
      </c>
      <c r="K2656" s="28" t="s">
        <v>9635</v>
      </c>
      <c r="L2656" s="28" t="s">
        <v>9636</v>
      </c>
      <c r="M2656" s="28" t="s">
        <v>14818</v>
      </c>
      <c r="N2656" s="28" t="s">
        <v>9638</v>
      </c>
      <c r="O2656" s="28" t="s">
        <v>9639</v>
      </c>
      <c r="P2656" s="28" t="s">
        <v>14819</v>
      </c>
    </row>
    <row r="2657" spans="1:16" x14ac:dyDescent="0.25">
      <c r="A2657" s="28" t="s">
        <v>14820</v>
      </c>
      <c r="B2657" s="28" t="s">
        <v>14821</v>
      </c>
      <c r="C2657" s="28" t="s">
        <v>132</v>
      </c>
      <c r="D2657" s="28" t="s">
        <v>1271</v>
      </c>
      <c r="E2657" s="28" t="s">
        <v>14816</v>
      </c>
      <c r="F2657" s="28" t="s">
        <v>21</v>
      </c>
      <c r="G2657" s="28" t="s">
        <v>207</v>
      </c>
      <c r="H2657" s="28" t="s">
        <v>9633</v>
      </c>
      <c r="I2657" s="28" t="s">
        <v>14822</v>
      </c>
      <c r="J2657" s="28" t="s">
        <v>207</v>
      </c>
      <c r="K2657" s="28" t="s">
        <v>9635</v>
      </c>
      <c r="L2657" s="28" t="s">
        <v>9636</v>
      </c>
      <c r="M2657" s="28" t="s">
        <v>14823</v>
      </c>
      <c r="N2657" s="28" t="s">
        <v>9638</v>
      </c>
      <c r="O2657" s="28" t="s">
        <v>9639</v>
      </c>
      <c r="P2657" s="28" t="s">
        <v>14819</v>
      </c>
    </row>
    <row r="2658" spans="1:16" x14ac:dyDescent="0.25">
      <c r="A2658" s="28" t="s">
        <v>14824</v>
      </c>
      <c r="B2658" s="28" t="s">
        <v>14825</v>
      </c>
      <c r="C2658" s="28" t="s">
        <v>132</v>
      </c>
      <c r="D2658" s="28" t="s">
        <v>1271</v>
      </c>
      <c r="E2658" s="28" t="s">
        <v>14826</v>
      </c>
      <c r="F2658" s="28" t="s">
        <v>21</v>
      </c>
      <c r="G2658" s="28" t="s">
        <v>207</v>
      </c>
      <c r="H2658" s="28" t="s">
        <v>9633</v>
      </c>
      <c r="I2658" s="28" t="s">
        <v>14827</v>
      </c>
      <c r="J2658" s="28" t="s">
        <v>207</v>
      </c>
      <c r="K2658" s="28" t="s">
        <v>9635</v>
      </c>
      <c r="L2658" s="28" t="s">
        <v>9636</v>
      </c>
      <c r="M2658" s="28" t="s">
        <v>14828</v>
      </c>
      <c r="N2658" s="28" t="s">
        <v>9638</v>
      </c>
      <c r="O2658" s="28" t="s">
        <v>9639</v>
      </c>
      <c r="P2658" s="28" t="s">
        <v>14829</v>
      </c>
    </row>
    <row r="2659" spans="1:16" x14ac:dyDescent="0.25">
      <c r="A2659" s="28" t="s">
        <v>14830</v>
      </c>
      <c r="B2659" s="28" t="s">
        <v>14831</v>
      </c>
      <c r="C2659" s="28" t="s">
        <v>132</v>
      </c>
      <c r="D2659" s="28" t="s">
        <v>1271</v>
      </c>
      <c r="E2659" s="28" t="s">
        <v>14826</v>
      </c>
      <c r="F2659" s="28" t="s">
        <v>21</v>
      </c>
      <c r="G2659" s="28" t="s">
        <v>207</v>
      </c>
      <c r="H2659" s="28" t="s">
        <v>9633</v>
      </c>
      <c r="I2659" s="28" t="s">
        <v>14832</v>
      </c>
      <c r="J2659" s="28" t="s">
        <v>207</v>
      </c>
      <c r="K2659" s="28" t="s">
        <v>9635</v>
      </c>
      <c r="L2659" s="28" t="s">
        <v>9636</v>
      </c>
      <c r="M2659" s="28" t="s">
        <v>14833</v>
      </c>
      <c r="N2659" s="28" t="s">
        <v>9638</v>
      </c>
      <c r="O2659" s="28" t="s">
        <v>9639</v>
      </c>
      <c r="P2659" s="28" t="s">
        <v>14829</v>
      </c>
    </row>
    <row r="2660" spans="1:16" x14ac:dyDescent="0.25">
      <c r="A2660" s="28" t="s">
        <v>14834</v>
      </c>
      <c r="B2660" s="28" t="s">
        <v>14835</v>
      </c>
      <c r="C2660" s="28" t="s">
        <v>132</v>
      </c>
      <c r="D2660" s="28" t="s">
        <v>1271</v>
      </c>
      <c r="E2660" s="28" t="s">
        <v>14836</v>
      </c>
      <c r="F2660" s="28" t="s">
        <v>21</v>
      </c>
      <c r="G2660" s="28" t="s">
        <v>207</v>
      </c>
      <c r="H2660" s="28" t="s">
        <v>9633</v>
      </c>
      <c r="I2660" s="28" t="s">
        <v>14837</v>
      </c>
      <c r="J2660" s="28" t="s">
        <v>207</v>
      </c>
      <c r="K2660" s="28" t="s">
        <v>9635</v>
      </c>
      <c r="L2660" s="28" t="s">
        <v>9636</v>
      </c>
      <c r="M2660" s="28" t="s">
        <v>14838</v>
      </c>
      <c r="N2660" s="28" t="s">
        <v>9638</v>
      </c>
      <c r="O2660" s="28" t="s">
        <v>9639</v>
      </c>
      <c r="P2660" s="28" t="s">
        <v>14839</v>
      </c>
    </row>
    <row r="2661" spans="1:16" x14ac:dyDescent="0.25">
      <c r="A2661" s="28" t="s">
        <v>14840</v>
      </c>
      <c r="B2661" s="28" t="s">
        <v>14841</v>
      </c>
      <c r="C2661" s="28" t="s">
        <v>132</v>
      </c>
      <c r="D2661" s="28" t="s">
        <v>1271</v>
      </c>
      <c r="E2661" s="28" t="s">
        <v>14836</v>
      </c>
      <c r="F2661" s="28" t="s">
        <v>21</v>
      </c>
      <c r="G2661" s="28" t="s">
        <v>207</v>
      </c>
      <c r="H2661" s="28" t="s">
        <v>9633</v>
      </c>
      <c r="I2661" s="28" t="s">
        <v>14842</v>
      </c>
      <c r="J2661" s="28" t="s">
        <v>207</v>
      </c>
      <c r="K2661" s="28" t="s">
        <v>9635</v>
      </c>
      <c r="L2661" s="28" t="s">
        <v>9636</v>
      </c>
      <c r="M2661" s="28" t="s">
        <v>14843</v>
      </c>
      <c r="N2661" s="28" t="s">
        <v>9638</v>
      </c>
      <c r="O2661" s="28" t="s">
        <v>9639</v>
      </c>
      <c r="P2661" s="28" t="s">
        <v>14839</v>
      </c>
    </row>
    <row r="2662" spans="1:16" x14ac:dyDescent="0.25">
      <c r="A2662" s="28" t="s">
        <v>14844</v>
      </c>
      <c r="B2662" s="28" t="s">
        <v>14845</v>
      </c>
      <c r="C2662" s="28" t="s">
        <v>132</v>
      </c>
      <c r="D2662" s="28" t="s">
        <v>1271</v>
      </c>
      <c r="E2662" s="28" t="s">
        <v>14846</v>
      </c>
      <c r="F2662" s="28" t="s">
        <v>21</v>
      </c>
      <c r="G2662" s="28" t="s">
        <v>207</v>
      </c>
      <c r="H2662" s="28" t="s">
        <v>9633</v>
      </c>
      <c r="I2662" s="28" t="s">
        <v>14847</v>
      </c>
      <c r="J2662" s="28" t="s">
        <v>207</v>
      </c>
      <c r="K2662" s="28" t="s">
        <v>9635</v>
      </c>
      <c r="L2662" s="28" t="s">
        <v>9636</v>
      </c>
      <c r="M2662" s="28" t="s">
        <v>14848</v>
      </c>
      <c r="N2662" s="28" t="s">
        <v>9638</v>
      </c>
      <c r="O2662" s="28" t="s">
        <v>9639</v>
      </c>
      <c r="P2662" s="28" t="s">
        <v>14849</v>
      </c>
    </row>
    <row r="2663" spans="1:16" x14ac:dyDescent="0.25">
      <c r="A2663" s="28" t="s">
        <v>14850</v>
      </c>
      <c r="B2663" s="28" t="s">
        <v>14851</v>
      </c>
      <c r="C2663" s="28" t="s">
        <v>132</v>
      </c>
      <c r="D2663" s="28" t="s">
        <v>1271</v>
      </c>
      <c r="E2663" s="28" t="s">
        <v>14846</v>
      </c>
      <c r="F2663" s="28" t="s">
        <v>21</v>
      </c>
      <c r="G2663" s="28" t="s">
        <v>207</v>
      </c>
      <c r="H2663" s="28" t="s">
        <v>9633</v>
      </c>
      <c r="I2663" s="28" t="s">
        <v>14852</v>
      </c>
      <c r="J2663" s="28" t="s">
        <v>207</v>
      </c>
      <c r="K2663" s="28" t="s">
        <v>9635</v>
      </c>
      <c r="L2663" s="28" t="s">
        <v>9636</v>
      </c>
      <c r="M2663" s="28" t="s">
        <v>14853</v>
      </c>
      <c r="N2663" s="28" t="s">
        <v>9638</v>
      </c>
      <c r="O2663" s="28" t="s">
        <v>9639</v>
      </c>
      <c r="P2663" s="28" t="s">
        <v>14849</v>
      </c>
    </row>
    <row r="2664" spans="1:16" x14ac:dyDescent="0.25">
      <c r="A2664" s="28" t="s">
        <v>14854</v>
      </c>
      <c r="B2664" s="28" t="s">
        <v>14855</v>
      </c>
      <c r="C2664" s="28" t="s">
        <v>132</v>
      </c>
      <c r="D2664" s="28" t="s">
        <v>1271</v>
      </c>
      <c r="E2664" s="28" t="s">
        <v>1306</v>
      </c>
      <c r="F2664" s="28" t="s">
        <v>21</v>
      </c>
      <c r="G2664" s="28" t="s">
        <v>135</v>
      </c>
      <c r="H2664" s="28" t="s">
        <v>9711</v>
      </c>
      <c r="I2664" s="28" t="s">
        <v>14856</v>
      </c>
      <c r="J2664" s="28" t="s">
        <v>135</v>
      </c>
      <c r="K2664" s="28" t="s">
        <v>9713</v>
      </c>
      <c r="L2664" s="28" t="s">
        <v>9714</v>
      </c>
      <c r="M2664" s="28" t="s">
        <v>14857</v>
      </c>
      <c r="N2664" s="28" t="s">
        <v>9716</v>
      </c>
      <c r="O2664" s="28" t="s">
        <v>9717</v>
      </c>
      <c r="P2664" s="28" t="s">
        <v>14858</v>
      </c>
    </row>
    <row r="2665" spans="1:16" x14ac:dyDescent="0.25">
      <c r="A2665" s="28" t="s">
        <v>14859</v>
      </c>
      <c r="B2665" s="28" t="s">
        <v>14860</v>
      </c>
      <c r="C2665" s="28" t="s">
        <v>132</v>
      </c>
      <c r="D2665" s="28" t="s">
        <v>1271</v>
      </c>
      <c r="E2665" s="28" t="s">
        <v>1306</v>
      </c>
      <c r="F2665" s="28" t="s">
        <v>21</v>
      </c>
      <c r="G2665" s="28" t="s">
        <v>207</v>
      </c>
      <c r="H2665" s="28" t="s">
        <v>9633</v>
      </c>
      <c r="I2665" s="28" t="s">
        <v>14861</v>
      </c>
      <c r="J2665" s="28" t="s">
        <v>207</v>
      </c>
      <c r="K2665" s="28" t="s">
        <v>9635</v>
      </c>
      <c r="L2665" s="28" t="s">
        <v>9636</v>
      </c>
      <c r="M2665" s="28" t="s">
        <v>14862</v>
      </c>
      <c r="N2665" s="28" t="s">
        <v>9638</v>
      </c>
      <c r="O2665" s="28" t="s">
        <v>9639</v>
      </c>
      <c r="P2665" s="28" t="s">
        <v>14863</v>
      </c>
    </row>
    <row r="2666" spans="1:16" x14ac:dyDescent="0.25">
      <c r="A2666" s="28" t="s">
        <v>14864</v>
      </c>
      <c r="B2666" s="28" t="s">
        <v>14865</v>
      </c>
      <c r="C2666" s="28" t="s">
        <v>132</v>
      </c>
      <c r="D2666" s="28" t="s">
        <v>1271</v>
      </c>
      <c r="E2666" s="28" t="s">
        <v>14866</v>
      </c>
      <c r="F2666" s="28" t="s">
        <v>21</v>
      </c>
      <c r="G2666" s="28" t="s">
        <v>207</v>
      </c>
      <c r="H2666" s="28" t="s">
        <v>9633</v>
      </c>
      <c r="I2666" s="28" t="s">
        <v>14867</v>
      </c>
      <c r="J2666" s="28" t="s">
        <v>207</v>
      </c>
      <c r="K2666" s="28" t="s">
        <v>9635</v>
      </c>
      <c r="L2666" s="28" t="s">
        <v>9636</v>
      </c>
      <c r="M2666" s="28" t="s">
        <v>14868</v>
      </c>
      <c r="N2666" s="28" t="s">
        <v>9638</v>
      </c>
      <c r="O2666" s="28" t="s">
        <v>9639</v>
      </c>
      <c r="P2666" s="28" t="s">
        <v>14869</v>
      </c>
    </row>
    <row r="2667" spans="1:16" x14ac:dyDescent="0.25">
      <c r="A2667" s="28" t="s">
        <v>14870</v>
      </c>
      <c r="B2667" s="28" t="s">
        <v>14871</v>
      </c>
      <c r="C2667" s="28" t="s">
        <v>132</v>
      </c>
      <c r="D2667" s="28" t="s">
        <v>1271</v>
      </c>
      <c r="E2667" s="28" t="s">
        <v>14866</v>
      </c>
      <c r="F2667" s="28" t="s">
        <v>21</v>
      </c>
      <c r="G2667" s="28" t="s">
        <v>207</v>
      </c>
      <c r="H2667" s="28" t="s">
        <v>9633</v>
      </c>
      <c r="I2667" s="28" t="s">
        <v>14872</v>
      </c>
      <c r="J2667" s="28" t="s">
        <v>207</v>
      </c>
      <c r="K2667" s="28" t="s">
        <v>9635</v>
      </c>
      <c r="L2667" s="28" t="s">
        <v>9636</v>
      </c>
      <c r="M2667" s="28" t="s">
        <v>14873</v>
      </c>
      <c r="N2667" s="28" t="s">
        <v>9638</v>
      </c>
      <c r="O2667" s="28" t="s">
        <v>9639</v>
      </c>
      <c r="P2667" s="28" t="s">
        <v>14869</v>
      </c>
    </row>
    <row r="2668" spans="1:16" x14ac:dyDescent="0.25">
      <c r="A2668" s="28" t="s">
        <v>14874</v>
      </c>
      <c r="B2668" s="28" t="s">
        <v>14875</v>
      </c>
      <c r="C2668" s="28" t="s">
        <v>132</v>
      </c>
      <c r="D2668" s="28" t="s">
        <v>1271</v>
      </c>
      <c r="E2668" s="28" t="s">
        <v>14876</v>
      </c>
      <c r="F2668" s="28" t="s">
        <v>21</v>
      </c>
      <c r="G2668" s="28" t="s">
        <v>207</v>
      </c>
      <c r="H2668" s="28" t="s">
        <v>9633</v>
      </c>
      <c r="I2668" s="28" t="s">
        <v>14877</v>
      </c>
      <c r="J2668" s="28" t="s">
        <v>207</v>
      </c>
      <c r="K2668" s="28" t="s">
        <v>9635</v>
      </c>
      <c r="L2668" s="28" t="s">
        <v>9636</v>
      </c>
      <c r="M2668" s="28" t="s">
        <v>14878</v>
      </c>
      <c r="N2668" s="28" t="s">
        <v>9638</v>
      </c>
      <c r="O2668" s="28" t="s">
        <v>9639</v>
      </c>
      <c r="P2668" s="28" t="s">
        <v>14879</v>
      </c>
    </row>
    <row r="2669" spans="1:16" x14ac:dyDescent="0.25">
      <c r="A2669" s="28" t="s">
        <v>14880</v>
      </c>
      <c r="B2669" s="28" t="s">
        <v>14881</v>
      </c>
      <c r="C2669" s="28" t="s">
        <v>132</v>
      </c>
      <c r="D2669" s="28" t="s">
        <v>1271</v>
      </c>
      <c r="E2669" s="28" t="s">
        <v>14876</v>
      </c>
      <c r="F2669" s="28" t="s">
        <v>21</v>
      </c>
      <c r="G2669" s="28" t="s">
        <v>207</v>
      </c>
      <c r="H2669" s="28" t="s">
        <v>9633</v>
      </c>
      <c r="I2669" s="28" t="s">
        <v>14882</v>
      </c>
      <c r="J2669" s="28" t="s">
        <v>207</v>
      </c>
      <c r="K2669" s="28" t="s">
        <v>9635</v>
      </c>
      <c r="L2669" s="28" t="s">
        <v>9636</v>
      </c>
      <c r="M2669" s="28" t="s">
        <v>14883</v>
      </c>
      <c r="N2669" s="28" t="s">
        <v>9638</v>
      </c>
      <c r="O2669" s="28" t="s">
        <v>9639</v>
      </c>
      <c r="P2669" s="28" t="s">
        <v>14879</v>
      </c>
    </row>
    <row r="2670" spans="1:16" x14ac:dyDescent="0.25">
      <c r="A2670" s="28" t="s">
        <v>14884</v>
      </c>
      <c r="B2670" s="28" t="s">
        <v>14885</v>
      </c>
      <c r="C2670" s="28" t="s">
        <v>132</v>
      </c>
      <c r="D2670" s="28" t="s">
        <v>1271</v>
      </c>
      <c r="E2670" s="28" t="s">
        <v>14886</v>
      </c>
      <c r="F2670" s="28" t="s">
        <v>21</v>
      </c>
      <c r="G2670" s="28" t="s">
        <v>207</v>
      </c>
      <c r="H2670" s="28" t="s">
        <v>9633</v>
      </c>
      <c r="I2670" s="28" t="s">
        <v>14887</v>
      </c>
      <c r="J2670" s="28" t="s">
        <v>207</v>
      </c>
      <c r="K2670" s="28" t="s">
        <v>9635</v>
      </c>
      <c r="L2670" s="28" t="s">
        <v>9636</v>
      </c>
      <c r="M2670" s="28" t="s">
        <v>14888</v>
      </c>
      <c r="N2670" s="28" t="s">
        <v>9638</v>
      </c>
      <c r="O2670" s="28" t="s">
        <v>9639</v>
      </c>
      <c r="P2670" s="28" t="s">
        <v>14889</v>
      </c>
    </row>
    <row r="2671" spans="1:16" x14ac:dyDescent="0.25">
      <c r="A2671" s="28" t="s">
        <v>14890</v>
      </c>
      <c r="B2671" s="28" t="s">
        <v>14891</v>
      </c>
      <c r="C2671" s="28" t="s">
        <v>132</v>
      </c>
      <c r="D2671" s="28" t="s">
        <v>1271</v>
      </c>
      <c r="E2671" s="28" t="s">
        <v>14886</v>
      </c>
      <c r="F2671" s="28" t="s">
        <v>21</v>
      </c>
      <c r="G2671" s="28" t="s">
        <v>207</v>
      </c>
      <c r="H2671" s="28" t="s">
        <v>9633</v>
      </c>
      <c r="I2671" s="28" t="s">
        <v>14892</v>
      </c>
      <c r="J2671" s="28" t="s">
        <v>207</v>
      </c>
      <c r="K2671" s="28" t="s">
        <v>9635</v>
      </c>
      <c r="L2671" s="28" t="s">
        <v>9636</v>
      </c>
      <c r="M2671" s="28" t="s">
        <v>14893</v>
      </c>
      <c r="N2671" s="28" t="s">
        <v>9638</v>
      </c>
      <c r="O2671" s="28" t="s">
        <v>9639</v>
      </c>
      <c r="P2671" s="28" t="s">
        <v>14894</v>
      </c>
    </row>
    <row r="2672" spans="1:16" x14ac:dyDescent="0.25">
      <c r="A2672" s="28" t="s">
        <v>14895</v>
      </c>
      <c r="B2672" s="28" t="s">
        <v>14896</v>
      </c>
      <c r="C2672" s="28" t="s">
        <v>132</v>
      </c>
      <c r="D2672" s="28" t="s">
        <v>1271</v>
      </c>
      <c r="E2672" s="28" t="s">
        <v>14886</v>
      </c>
      <c r="F2672" s="28" t="s">
        <v>21</v>
      </c>
      <c r="G2672" s="28" t="s">
        <v>207</v>
      </c>
      <c r="H2672" s="28" t="s">
        <v>9633</v>
      </c>
      <c r="I2672" s="28" t="s">
        <v>14897</v>
      </c>
      <c r="J2672" s="28" t="s">
        <v>207</v>
      </c>
      <c r="K2672" s="28" t="s">
        <v>9635</v>
      </c>
      <c r="L2672" s="28" t="s">
        <v>9636</v>
      </c>
      <c r="M2672" s="28" t="s">
        <v>14898</v>
      </c>
      <c r="N2672" s="28" t="s">
        <v>9638</v>
      </c>
      <c r="O2672" s="28" t="s">
        <v>9639</v>
      </c>
      <c r="P2672" s="28" t="s">
        <v>14889</v>
      </c>
    </row>
    <row r="2673" spans="1:16" x14ac:dyDescent="0.25">
      <c r="A2673" s="28" t="s">
        <v>14899</v>
      </c>
      <c r="B2673" s="28" t="s">
        <v>14900</v>
      </c>
      <c r="C2673" s="28" t="s">
        <v>132</v>
      </c>
      <c r="D2673" s="28" t="s">
        <v>1271</v>
      </c>
      <c r="E2673" s="28" t="s">
        <v>1312</v>
      </c>
      <c r="F2673" s="28" t="s">
        <v>21</v>
      </c>
      <c r="G2673" s="28" t="s">
        <v>135</v>
      </c>
      <c r="H2673" s="28" t="s">
        <v>9711</v>
      </c>
      <c r="I2673" s="28" t="s">
        <v>14901</v>
      </c>
      <c r="J2673" s="28" t="s">
        <v>135</v>
      </c>
      <c r="K2673" s="28" t="s">
        <v>9713</v>
      </c>
      <c r="L2673" s="28" t="s">
        <v>9714</v>
      </c>
      <c r="M2673" s="28" t="s">
        <v>14902</v>
      </c>
      <c r="N2673" s="28" t="s">
        <v>9716</v>
      </c>
      <c r="O2673" s="28" t="s">
        <v>9717</v>
      </c>
      <c r="P2673" s="28" t="s">
        <v>14903</v>
      </c>
    </row>
    <row r="2674" spans="1:16" x14ac:dyDescent="0.25">
      <c r="A2674" s="28" t="s">
        <v>14904</v>
      </c>
      <c r="B2674" s="28" t="s">
        <v>14905</v>
      </c>
      <c r="C2674" s="28" t="s">
        <v>132</v>
      </c>
      <c r="D2674" s="28" t="s">
        <v>1271</v>
      </c>
      <c r="E2674" s="28" t="s">
        <v>1312</v>
      </c>
      <c r="F2674" s="28" t="s">
        <v>21</v>
      </c>
      <c r="G2674" s="28" t="s">
        <v>207</v>
      </c>
      <c r="H2674" s="28" t="s">
        <v>9633</v>
      </c>
      <c r="I2674" s="28" t="s">
        <v>14906</v>
      </c>
      <c r="J2674" s="28" t="s">
        <v>207</v>
      </c>
      <c r="K2674" s="28" t="s">
        <v>9635</v>
      </c>
      <c r="L2674" s="28" t="s">
        <v>9636</v>
      </c>
      <c r="M2674" s="28" t="s">
        <v>14907</v>
      </c>
      <c r="N2674" s="28" t="s">
        <v>9638</v>
      </c>
      <c r="O2674" s="28" t="s">
        <v>9639</v>
      </c>
      <c r="P2674" s="28" t="s">
        <v>14908</v>
      </c>
    </row>
    <row r="2675" spans="1:16" x14ac:dyDescent="0.25">
      <c r="A2675" s="28" t="s">
        <v>14909</v>
      </c>
      <c r="B2675" s="28" t="s">
        <v>14910</v>
      </c>
      <c r="C2675" s="28" t="s">
        <v>132</v>
      </c>
      <c r="D2675" s="28" t="s">
        <v>1271</v>
      </c>
      <c r="E2675" s="28" t="s">
        <v>14911</v>
      </c>
      <c r="F2675" s="28" t="s">
        <v>21</v>
      </c>
      <c r="G2675" s="28" t="s">
        <v>207</v>
      </c>
      <c r="H2675" s="28" t="s">
        <v>9633</v>
      </c>
      <c r="I2675" s="28" t="s">
        <v>14912</v>
      </c>
      <c r="J2675" s="28" t="s">
        <v>207</v>
      </c>
      <c r="K2675" s="28" t="s">
        <v>9635</v>
      </c>
      <c r="L2675" s="28" t="s">
        <v>9636</v>
      </c>
      <c r="M2675" s="28" t="s">
        <v>14913</v>
      </c>
      <c r="N2675" s="28" t="s">
        <v>9638</v>
      </c>
      <c r="O2675" s="28" t="s">
        <v>9639</v>
      </c>
      <c r="P2675" s="28" t="s">
        <v>14914</v>
      </c>
    </row>
    <row r="2676" spans="1:16" x14ac:dyDescent="0.25">
      <c r="A2676" s="28" t="s">
        <v>14915</v>
      </c>
      <c r="B2676" s="28" t="s">
        <v>14916</v>
      </c>
      <c r="C2676" s="28" t="s">
        <v>132</v>
      </c>
      <c r="D2676" s="28" t="s">
        <v>1271</v>
      </c>
      <c r="E2676" s="28" t="s">
        <v>14911</v>
      </c>
      <c r="F2676" s="28" t="s">
        <v>21</v>
      </c>
      <c r="G2676" s="28" t="s">
        <v>207</v>
      </c>
      <c r="H2676" s="28" t="s">
        <v>9633</v>
      </c>
      <c r="I2676" s="28" t="s">
        <v>14917</v>
      </c>
      <c r="J2676" s="28" t="s">
        <v>207</v>
      </c>
      <c r="K2676" s="28" t="s">
        <v>9635</v>
      </c>
      <c r="L2676" s="28" t="s">
        <v>9636</v>
      </c>
      <c r="M2676" s="28" t="s">
        <v>14918</v>
      </c>
      <c r="N2676" s="28" t="s">
        <v>9638</v>
      </c>
      <c r="O2676" s="28" t="s">
        <v>9639</v>
      </c>
      <c r="P2676" s="28" t="s">
        <v>14919</v>
      </c>
    </row>
    <row r="2677" spans="1:16" x14ac:dyDescent="0.25">
      <c r="A2677" s="28" t="s">
        <v>14920</v>
      </c>
      <c r="B2677" s="28" t="s">
        <v>14921</v>
      </c>
      <c r="C2677" s="28" t="s">
        <v>132</v>
      </c>
      <c r="D2677" s="28" t="s">
        <v>1271</v>
      </c>
      <c r="E2677" s="28" t="s">
        <v>14911</v>
      </c>
      <c r="F2677" s="28" t="s">
        <v>21</v>
      </c>
      <c r="G2677" s="28" t="s">
        <v>207</v>
      </c>
      <c r="H2677" s="28" t="s">
        <v>9633</v>
      </c>
      <c r="I2677" s="28" t="s">
        <v>14922</v>
      </c>
      <c r="J2677" s="28" t="s">
        <v>207</v>
      </c>
      <c r="K2677" s="28" t="s">
        <v>9635</v>
      </c>
      <c r="L2677" s="28" t="s">
        <v>9636</v>
      </c>
      <c r="M2677" s="28" t="s">
        <v>14923</v>
      </c>
      <c r="N2677" s="28" t="s">
        <v>9638</v>
      </c>
      <c r="O2677" s="28" t="s">
        <v>9639</v>
      </c>
      <c r="P2677" s="28" t="s">
        <v>14924</v>
      </c>
    </row>
    <row r="2678" spans="1:16" x14ac:dyDescent="0.25">
      <c r="A2678" s="28" t="s">
        <v>14925</v>
      </c>
      <c r="B2678" s="28" t="s">
        <v>14926</v>
      </c>
      <c r="C2678" s="28" t="s">
        <v>132</v>
      </c>
      <c r="D2678" s="28" t="s">
        <v>2583</v>
      </c>
      <c r="E2678" s="28" t="s">
        <v>14927</v>
      </c>
      <c r="F2678" s="28" t="s">
        <v>21</v>
      </c>
      <c r="G2678" s="28" t="s">
        <v>135</v>
      </c>
      <c r="H2678" s="28" t="s">
        <v>10259</v>
      </c>
      <c r="I2678" s="28" t="s">
        <v>14928</v>
      </c>
      <c r="J2678" s="28" t="s">
        <v>135</v>
      </c>
      <c r="K2678" s="28" t="s">
        <v>10551</v>
      </c>
      <c r="L2678" s="28" t="s">
        <v>10262</v>
      </c>
      <c r="M2678" s="28" t="s">
        <v>14929</v>
      </c>
      <c r="N2678" s="28" t="s">
        <v>10264</v>
      </c>
      <c r="O2678" s="28" t="s">
        <v>10265</v>
      </c>
      <c r="P2678" s="28" t="s">
        <v>10266</v>
      </c>
    </row>
    <row r="2679" spans="1:16" x14ac:dyDescent="0.25">
      <c r="A2679" s="28" t="s">
        <v>14930</v>
      </c>
      <c r="B2679" s="28" t="s">
        <v>14931</v>
      </c>
      <c r="C2679" s="28" t="s">
        <v>132</v>
      </c>
      <c r="D2679" s="28" t="s">
        <v>2583</v>
      </c>
      <c r="E2679" s="28" t="s">
        <v>14932</v>
      </c>
      <c r="F2679" s="28" t="s">
        <v>21</v>
      </c>
      <c r="G2679" s="28" t="s">
        <v>149</v>
      </c>
      <c r="H2679" s="28" t="s">
        <v>9633</v>
      </c>
      <c r="I2679" s="28" t="s">
        <v>14933</v>
      </c>
      <c r="J2679" s="28" t="s">
        <v>149</v>
      </c>
      <c r="K2679" s="28" t="s">
        <v>9722</v>
      </c>
      <c r="L2679" s="28" t="s">
        <v>9636</v>
      </c>
      <c r="M2679" s="28" t="s">
        <v>14934</v>
      </c>
      <c r="N2679" s="28" t="s">
        <v>9638</v>
      </c>
      <c r="O2679" s="28" t="s">
        <v>9639</v>
      </c>
      <c r="P2679" s="28" t="s">
        <v>14935</v>
      </c>
    </row>
    <row r="2680" spans="1:16" x14ac:dyDescent="0.25">
      <c r="A2680" s="28" t="s">
        <v>14936</v>
      </c>
      <c r="B2680" s="28" t="s">
        <v>14937</v>
      </c>
      <c r="C2680" s="28" t="s">
        <v>132</v>
      </c>
      <c r="D2680" s="28" t="s">
        <v>2583</v>
      </c>
      <c r="E2680" s="28" t="s">
        <v>14938</v>
      </c>
      <c r="F2680" s="28" t="s">
        <v>21</v>
      </c>
      <c r="G2680" s="28" t="s">
        <v>135</v>
      </c>
      <c r="H2680" s="28" t="s">
        <v>10259</v>
      </c>
      <c r="I2680" s="28" t="s">
        <v>14939</v>
      </c>
      <c r="J2680" s="28" t="s">
        <v>135</v>
      </c>
      <c r="K2680" s="28" t="s">
        <v>10551</v>
      </c>
      <c r="L2680" s="28" t="s">
        <v>10262</v>
      </c>
      <c r="M2680" s="28" t="s">
        <v>14940</v>
      </c>
      <c r="N2680" s="28" t="s">
        <v>10264</v>
      </c>
      <c r="O2680" s="28" t="s">
        <v>10265</v>
      </c>
      <c r="P2680" s="28" t="s">
        <v>10266</v>
      </c>
    </row>
    <row r="2681" spans="1:16" x14ac:dyDescent="0.25">
      <c r="A2681" s="28" t="s">
        <v>14941</v>
      </c>
      <c r="B2681" s="28" t="s">
        <v>14942</v>
      </c>
      <c r="C2681" s="28" t="s">
        <v>132</v>
      </c>
      <c r="D2681" s="28" t="s">
        <v>82</v>
      </c>
      <c r="E2681" s="28" t="s">
        <v>14943</v>
      </c>
      <c r="F2681" s="28" t="s">
        <v>21</v>
      </c>
      <c r="G2681" s="28" t="s">
        <v>149</v>
      </c>
      <c r="H2681" s="28" t="s">
        <v>9633</v>
      </c>
      <c r="I2681" s="28" t="s">
        <v>14944</v>
      </c>
      <c r="J2681" s="28" t="s">
        <v>149</v>
      </c>
      <c r="K2681" s="28" t="s">
        <v>9722</v>
      </c>
      <c r="L2681" s="28" t="s">
        <v>9636</v>
      </c>
      <c r="M2681" s="28" t="s">
        <v>14945</v>
      </c>
      <c r="N2681" s="28" t="s">
        <v>9638</v>
      </c>
      <c r="O2681" s="28" t="s">
        <v>9639</v>
      </c>
      <c r="P2681" s="28" t="s">
        <v>14946</v>
      </c>
    </row>
    <row r="2682" spans="1:16" x14ac:dyDescent="0.25">
      <c r="A2682" s="28" t="s">
        <v>14947</v>
      </c>
      <c r="B2682" s="28" t="s">
        <v>14948</v>
      </c>
      <c r="C2682" s="28" t="s">
        <v>132</v>
      </c>
      <c r="D2682" s="28" t="s">
        <v>82</v>
      </c>
      <c r="E2682" s="28" t="s">
        <v>14949</v>
      </c>
      <c r="F2682" s="28" t="s">
        <v>21</v>
      </c>
      <c r="G2682" s="28" t="s">
        <v>135</v>
      </c>
      <c r="H2682" s="28" t="s">
        <v>10259</v>
      </c>
      <c r="I2682" s="28" t="s">
        <v>14950</v>
      </c>
      <c r="J2682" s="28" t="s">
        <v>135</v>
      </c>
      <c r="K2682" s="28" t="s">
        <v>10551</v>
      </c>
      <c r="L2682" s="28" t="s">
        <v>10262</v>
      </c>
      <c r="M2682" s="28" t="s">
        <v>14951</v>
      </c>
      <c r="N2682" s="28" t="s">
        <v>10264</v>
      </c>
      <c r="O2682" s="28" t="s">
        <v>10265</v>
      </c>
      <c r="P2682" s="28" t="s">
        <v>10266</v>
      </c>
    </row>
    <row r="2683" spans="1:16" x14ac:dyDescent="0.25">
      <c r="A2683" s="28" t="s">
        <v>14952</v>
      </c>
      <c r="B2683" s="28" t="s">
        <v>14953</v>
      </c>
      <c r="C2683" s="28" t="s">
        <v>132</v>
      </c>
      <c r="D2683" s="28" t="s">
        <v>82</v>
      </c>
      <c r="E2683" s="28" t="s">
        <v>14954</v>
      </c>
      <c r="F2683" s="28" t="s">
        <v>21</v>
      </c>
      <c r="G2683" s="28" t="s">
        <v>135</v>
      </c>
      <c r="H2683" s="28" t="s">
        <v>10259</v>
      </c>
      <c r="I2683" s="28" t="s">
        <v>14955</v>
      </c>
      <c r="J2683" s="28" t="s">
        <v>135</v>
      </c>
      <c r="K2683" s="28" t="s">
        <v>10551</v>
      </c>
      <c r="L2683" s="28" t="s">
        <v>10262</v>
      </c>
      <c r="M2683" s="28" t="s">
        <v>14956</v>
      </c>
      <c r="N2683" s="28" t="s">
        <v>10264</v>
      </c>
      <c r="O2683" s="28" t="s">
        <v>10265</v>
      </c>
      <c r="P2683" s="28" t="s">
        <v>10266</v>
      </c>
    </row>
    <row r="2684" spans="1:16" x14ac:dyDescent="0.25">
      <c r="A2684" s="28" t="s">
        <v>14957</v>
      </c>
      <c r="B2684" s="28" t="s">
        <v>14958</v>
      </c>
      <c r="C2684" s="28" t="s">
        <v>132</v>
      </c>
      <c r="D2684" s="28" t="s">
        <v>82</v>
      </c>
      <c r="E2684" s="28" t="s">
        <v>14959</v>
      </c>
      <c r="F2684" s="28" t="s">
        <v>21</v>
      </c>
      <c r="G2684" s="28" t="s">
        <v>149</v>
      </c>
      <c r="H2684" s="28" t="s">
        <v>9633</v>
      </c>
      <c r="I2684" s="28" t="s">
        <v>14960</v>
      </c>
      <c r="J2684" s="28" t="s">
        <v>149</v>
      </c>
      <c r="K2684" s="28" t="s">
        <v>9722</v>
      </c>
      <c r="L2684" s="28" t="s">
        <v>9636</v>
      </c>
      <c r="M2684" s="28" t="s">
        <v>14961</v>
      </c>
      <c r="N2684" s="28" t="s">
        <v>9638</v>
      </c>
      <c r="O2684" s="28" t="s">
        <v>9639</v>
      </c>
      <c r="P2684" s="28" t="s">
        <v>14962</v>
      </c>
    </row>
    <row r="2685" spans="1:16" x14ac:dyDescent="0.25">
      <c r="A2685" s="28" t="s">
        <v>14963</v>
      </c>
      <c r="B2685" s="28" t="s">
        <v>14964</v>
      </c>
      <c r="C2685" s="28" t="s">
        <v>132</v>
      </c>
      <c r="D2685" s="28" t="s">
        <v>82</v>
      </c>
      <c r="E2685" s="28" t="s">
        <v>943</v>
      </c>
      <c r="F2685" s="28" t="s">
        <v>21</v>
      </c>
      <c r="G2685" s="28" t="s">
        <v>39</v>
      </c>
      <c r="H2685" s="28" t="s">
        <v>9711</v>
      </c>
      <c r="I2685" s="28" t="s">
        <v>14965</v>
      </c>
      <c r="J2685" s="28" t="s">
        <v>39</v>
      </c>
      <c r="K2685" s="28" t="s">
        <v>10506</v>
      </c>
      <c r="L2685" s="28" t="s">
        <v>9714</v>
      </c>
      <c r="M2685" s="28" t="s">
        <v>14966</v>
      </c>
      <c r="N2685" s="28" t="s">
        <v>9716</v>
      </c>
      <c r="O2685" s="28" t="s">
        <v>9717</v>
      </c>
      <c r="P2685" s="28" t="s">
        <v>14967</v>
      </c>
    </row>
    <row r="2686" spans="1:16" x14ac:dyDescent="0.25">
      <c r="A2686" s="28" t="s">
        <v>14968</v>
      </c>
      <c r="B2686" s="28" t="s">
        <v>14969</v>
      </c>
      <c r="C2686" s="28" t="s">
        <v>132</v>
      </c>
      <c r="D2686" s="28" t="s">
        <v>82</v>
      </c>
      <c r="E2686" s="28" t="s">
        <v>943</v>
      </c>
      <c r="F2686" s="28" t="s">
        <v>21</v>
      </c>
      <c r="G2686" s="28" t="s">
        <v>39</v>
      </c>
      <c r="H2686" s="28" t="s">
        <v>9711</v>
      </c>
      <c r="I2686" s="28" t="s">
        <v>14970</v>
      </c>
      <c r="J2686" s="28" t="s">
        <v>39</v>
      </c>
      <c r="K2686" s="28" t="s">
        <v>10506</v>
      </c>
      <c r="L2686" s="28" t="s">
        <v>9714</v>
      </c>
      <c r="M2686" s="28" t="s">
        <v>14971</v>
      </c>
      <c r="N2686" s="28" t="s">
        <v>9716</v>
      </c>
      <c r="O2686" s="28" t="s">
        <v>9717</v>
      </c>
      <c r="P2686" s="28" t="s">
        <v>14972</v>
      </c>
    </row>
    <row r="2687" spans="1:16" x14ac:dyDescent="0.25">
      <c r="A2687" s="28" t="s">
        <v>14973</v>
      </c>
      <c r="B2687" s="28" t="s">
        <v>14974</v>
      </c>
      <c r="C2687" s="28" t="s">
        <v>132</v>
      </c>
      <c r="D2687" s="28" t="s">
        <v>82</v>
      </c>
      <c r="E2687" s="28" t="s">
        <v>943</v>
      </c>
      <c r="F2687" s="28" t="s">
        <v>21</v>
      </c>
      <c r="G2687" s="28" t="s">
        <v>39</v>
      </c>
      <c r="H2687" s="28" t="s">
        <v>9711</v>
      </c>
      <c r="I2687" s="28" t="s">
        <v>14975</v>
      </c>
      <c r="J2687" s="28" t="s">
        <v>39</v>
      </c>
      <c r="K2687" s="28" t="s">
        <v>10506</v>
      </c>
      <c r="L2687" s="28" t="s">
        <v>9714</v>
      </c>
      <c r="M2687" s="28" t="s">
        <v>14976</v>
      </c>
      <c r="N2687" s="28" t="s">
        <v>9716</v>
      </c>
      <c r="O2687" s="28" t="s">
        <v>9717</v>
      </c>
      <c r="P2687" s="28" t="s">
        <v>14977</v>
      </c>
    </row>
    <row r="2688" spans="1:16" x14ac:dyDescent="0.25">
      <c r="A2688" s="28" t="s">
        <v>14978</v>
      </c>
      <c r="B2688" s="28" t="s">
        <v>14979</v>
      </c>
      <c r="C2688" s="28" t="s">
        <v>132</v>
      </c>
      <c r="D2688" s="28" t="s">
        <v>82</v>
      </c>
      <c r="E2688" s="28" t="s">
        <v>14980</v>
      </c>
      <c r="F2688" s="28" t="s">
        <v>21</v>
      </c>
      <c r="G2688" s="28" t="s">
        <v>207</v>
      </c>
      <c r="H2688" s="28" t="s">
        <v>9633</v>
      </c>
      <c r="I2688" s="28" t="s">
        <v>14981</v>
      </c>
      <c r="J2688" s="28" t="s">
        <v>207</v>
      </c>
      <c r="K2688" s="28" t="s">
        <v>9635</v>
      </c>
      <c r="L2688" s="28" t="s">
        <v>9636</v>
      </c>
      <c r="M2688" s="28" t="s">
        <v>14982</v>
      </c>
      <c r="N2688" s="28" t="s">
        <v>9638</v>
      </c>
      <c r="O2688" s="28" t="s">
        <v>9639</v>
      </c>
      <c r="P2688" s="28" t="s">
        <v>14983</v>
      </c>
    </row>
    <row r="2689" spans="1:16" x14ac:dyDescent="0.25">
      <c r="A2689" s="28" t="s">
        <v>14984</v>
      </c>
      <c r="B2689" s="28" t="s">
        <v>14985</v>
      </c>
      <c r="C2689" s="28" t="s">
        <v>132</v>
      </c>
      <c r="D2689" s="28" t="s">
        <v>82</v>
      </c>
      <c r="E2689" s="28" t="s">
        <v>14986</v>
      </c>
      <c r="F2689" s="28" t="s">
        <v>21</v>
      </c>
      <c r="G2689" s="28" t="s">
        <v>207</v>
      </c>
      <c r="H2689" s="28" t="s">
        <v>9633</v>
      </c>
      <c r="I2689" s="28" t="s">
        <v>14987</v>
      </c>
      <c r="J2689" s="28" t="s">
        <v>207</v>
      </c>
      <c r="K2689" s="28" t="s">
        <v>9635</v>
      </c>
      <c r="L2689" s="28" t="s">
        <v>9636</v>
      </c>
      <c r="M2689" s="28" t="s">
        <v>14988</v>
      </c>
      <c r="N2689" s="28" t="s">
        <v>9638</v>
      </c>
      <c r="O2689" s="28" t="s">
        <v>9639</v>
      </c>
      <c r="P2689" s="28" t="s">
        <v>14989</v>
      </c>
    </row>
    <row r="2690" spans="1:16" x14ac:dyDescent="0.25">
      <c r="A2690" s="28" t="s">
        <v>14990</v>
      </c>
      <c r="B2690" s="28" t="s">
        <v>14991</v>
      </c>
      <c r="C2690" s="28" t="s">
        <v>132</v>
      </c>
      <c r="D2690" s="28" t="s">
        <v>82</v>
      </c>
      <c r="E2690" s="28" t="s">
        <v>14992</v>
      </c>
      <c r="F2690" s="28" t="s">
        <v>21</v>
      </c>
      <c r="G2690" s="28" t="s">
        <v>207</v>
      </c>
      <c r="H2690" s="28" t="s">
        <v>9633</v>
      </c>
      <c r="I2690" s="28" t="s">
        <v>14993</v>
      </c>
      <c r="J2690" s="28" t="s">
        <v>207</v>
      </c>
      <c r="K2690" s="28" t="s">
        <v>9635</v>
      </c>
      <c r="L2690" s="28" t="s">
        <v>9636</v>
      </c>
      <c r="M2690" s="28" t="s">
        <v>14994</v>
      </c>
      <c r="N2690" s="28" t="s">
        <v>9638</v>
      </c>
      <c r="O2690" s="28" t="s">
        <v>9639</v>
      </c>
      <c r="P2690" s="28" t="s">
        <v>14995</v>
      </c>
    </row>
    <row r="2691" spans="1:16" x14ac:dyDescent="0.25">
      <c r="A2691" s="28" t="s">
        <v>14996</v>
      </c>
      <c r="B2691" s="28" t="s">
        <v>14997</v>
      </c>
      <c r="C2691" s="28" t="s">
        <v>132</v>
      </c>
      <c r="D2691" s="28" t="s">
        <v>82</v>
      </c>
      <c r="E2691" s="28" t="s">
        <v>14998</v>
      </c>
      <c r="F2691" s="28" t="s">
        <v>21</v>
      </c>
      <c r="G2691" s="28" t="s">
        <v>207</v>
      </c>
      <c r="H2691" s="28" t="s">
        <v>9633</v>
      </c>
      <c r="I2691" s="28" t="s">
        <v>14999</v>
      </c>
      <c r="J2691" s="28" t="s">
        <v>207</v>
      </c>
      <c r="K2691" s="28" t="s">
        <v>9635</v>
      </c>
      <c r="L2691" s="28" t="s">
        <v>9636</v>
      </c>
      <c r="M2691" s="28" t="s">
        <v>15000</v>
      </c>
      <c r="N2691" s="28" t="s">
        <v>9638</v>
      </c>
      <c r="O2691" s="28" t="s">
        <v>9639</v>
      </c>
      <c r="P2691" s="28" t="s">
        <v>15001</v>
      </c>
    </row>
    <row r="2692" spans="1:16" x14ac:dyDescent="0.25">
      <c r="A2692" s="28" t="s">
        <v>15002</v>
      </c>
      <c r="B2692" s="28" t="s">
        <v>15003</v>
      </c>
      <c r="C2692" s="28" t="s">
        <v>132</v>
      </c>
      <c r="D2692" s="28" t="s">
        <v>82</v>
      </c>
      <c r="E2692" s="28" t="s">
        <v>15004</v>
      </c>
      <c r="F2692" s="28" t="s">
        <v>21</v>
      </c>
      <c r="G2692" s="28" t="s">
        <v>135</v>
      </c>
      <c r="H2692" s="28" t="s">
        <v>10259</v>
      </c>
      <c r="I2692" s="28" t="s">
        <v>15005</v>
      </c>
      <c r="J2692" s="28" t="s">
        <v>135</v>
      </c>
      <c r="K2692" s="28" t="s">
        <v>10551</v>
      </c>
      <c r="L2692" s="28" t="s">
        <v>10262</v>
      </c>
      <c r="M2692" s="28" t="s">
        <v>15006</v>
      </c>
      <c r="N2692" s="28" t="s">
        <v>10264</v>
      </c>
      <c r="O2692" s="28" t="s">
        <v>10265</v>
      </c>
      <c r="P2692" s="28" t="s">
        <v>10266</v>
      </c>
    </row>
    <row r="2693" spans="1:16" x14ac:dyDescent="0.25">
      <c r="A2693" s="28" t="s">
        <v>15007</v>
      </c>
      <c r="B2693" s="28" t="s">
        <v>15008</v>
      </c>
      <c r="C2693" s="28" t="s">
        <v>132</v>
      </c>
      <c r="D2693" s="28" t="s">
        <v>82</v>
      </c>
      <c r="E2693" s="28" t="s">
        <v>15009</v>
      </c>
      <c r="F2693" s="28" t="s">
        <v>21</v>
      </c>
      <c r="G2693" s="28" t="s">
        <v>149</v>
      </c>
      <c r="H2693" s="28" t="s">
        <v>9633</v>
      </c>
      <c r="I2693" s="28" t="s">
        <v>15010</v>
      </c>
      <c r="J2693" s="28" t="s">
        <v>149</v>
      </c>
      <c r="K2693" s="28" t="s">
        <v>9722</v>
      </c>
      <c r="L2693" s="28" t="s">
        <v>9636</v>
      </c>
      <c r="M2693" s="28" t="s">
        <v>15011</v>
      </c>
      <c r="N2693" s="28" t="s">
        <v>9638</v>
      </c>
      <c r="O2693" s="28" t="s">
        <v>9639</v>
      </c>
      <c r="P2693" s="28" t="s">
        <v>15012</v>
      </c>
    </row>
    <row r="2694" spans="1:16" x14ac:dyDescent="0.25">
      <c r="A2694" s="28" t="s">
        <v>15013</v>
      </c>
      <c r="B2694" s="28" t="s">
        <v>15014</v>
      </c>
      <c r="C2694" s="28" t="s">
        <v>132</v>
      </c>
      <c r="D2694" s="28" t="s">
        <v>82</v>
      </c>
      <c r="E2694" s="28" t="s">
        <v>15015</v>
      </c>
      <c r="F2694" s="28" t="s">
        <v>21</v>
      </c>
      <c r="G2694" s="28" t="s">
        <v>149</v>
      </c>
      <c r="H2694" s="28" t="s">
        <v>9633</v>
      </c>
      <c r="I2694" s="28" t="s">
        <v>15016</v>
      </c>
      <c r="J2694" s="28" t="s">
        <v>149</v>
      </c>
      <c r="K2694" s="28" t="s">
        <v>9722</v>
      </c>
      <c r="L2694" s="28" t="s">
        <v>9636</v>
      </c>
      <c r="M2694" s="28" t="s">
        <v>15017</v>
      </c>
      <c r="N2694" s="28" t="s">
        <v>9638</v>
      </c>
      <c r="O2694" s="28" t="s">
        <v>9639</v>
      </c>
      <c r="P2694" s="28" t="s">
        <v>15018</v>
      </c>
    </row>
    <row r="2695" spans="1:16" x14ac:dyDescent="0.25">
      <c r="A2695" s="28" t="s">
        <v>15019</v>
      </c>
      <c r="B2695" s="28" t="s">
        <v>15020</v>
      </c>
      <c r="C2695" s="28" t="s">
        <v>132</v>
      </c>
      <c r="D2695" s="28" t="s">
        <v>82</v>
      </c>
      <c r="E2695" s="28" t="s">
        <v>15021</v>
      </c>
      <c r="F2695" s="28" t="s">
        <v>21</v>
      </c>
      <c r="G2695" s="28" t="s">
        <v>149</v>
      </c>
      <c r="H2695" s="28" t="s">
        <v>9633</v>
      </c>
      <c r="I2695" s="28" t="s">
        <v>15022</v>
      </c>
      <c r="J2695" s="28" t="s">
        <v>149</v>
      </c>
      <c r="K2695" s="28" t="s">
        <v>9722</v>
      </c>
      <c r="L2695" s="28" t="s">
        <v>9636</v>
      </c>
      <c r="M2695" s="28" t="s">
        <v>15023</v>
      </c>
      <c r="N2695" s="28" t="s">
        <v>9638</v>
      </c>
      <c r="O2695" s="28" t="s">
        <v>9639</v>
      </c>
      <c r="P2695" s="28" t="s">
        <v>15024</v>
      </c>
    </row>
    <row r="2696" spans="1:16" x14ac:dyDescent="0.25">
      <c r="A2696" s="28" t="s">
        <v>15025</v>
      </c>
      <c r="B2696" s="28" t="s">
        <v>15026</v>
      </c>
      <c r="C2696" s="28" t="s">
        <v>132</v>
      </c>
      <c r="D2696" s="28" t="s">
        <v>82</v>
      </c>
      <c r="E2696" s="28" t="s">
        <v>15027</v>
      </c>
      <c r="F2696" s="28" t="s">
        <v>21</v>
      </c>
      <c r="G2696" s="28" t="s">
        <v>207</v>
      </c>
      <c r="H2696" s="28" t="s">
        <v>9633</v>
      </c>
      <c r="I2696" s="28" t="s">
        <v>15028</v>
      </c>
      <c r="J2696" s="28" t="s">
        <v>207</v>
      </c>
      <c r="K2696" s="28" t="s">
        <v>9635</v>
      </c>
      <c r="L2696" s="28" t="s">
        <v>9636</v>
      </c>
      <c r="M2696" s="28" t="s">
        <v>15029</v>
      </c>
      <c r="N2696" s="28" t="s">
        <v>9638</v>
      </c>
      <c r="O2696" s="28" t="s">
        <v>9639</v>
      </c>
      <c r="P2696" s="28" t="s">
        <v>15030</v>
      </c>
    </row>
    <row r="2697" spans="1:16" x14ac:dyDescent="0.25">
      <c r="A2697" s="28" t="s">
        <v>15031</v>
      </c>
      <c r="B2697" s="28" t="s">
        <v>15032</v>
      </c>
      <c r="C2697" s="28" t="s">
        <v>132</v>
      </c>
      <c r="D2697" s="28" t="s">
        <v>82</v>
      </c>
      <c r="E2697" s="28" t="s">
        <v>15033</v>
      </c>
      <c r="F2697" s="28" t="s">
        <v>21</v>
      </c>
      <c r="G2697" s="28" t="s">
        <v>207</v>
      </c>
      <c r="H2697" s="28" t="s">
        <v>9633</v>
      </c>
      <c r="I2697" s="28" t="s">
        <v>15034</v>
      </c>
      <c r="J2697" s="28" t="s">
        <v>207</v>
      </c>
      <c r="K2697" s="28" t="s">
        <v>9635</v>
      </c>
      <c r="L2697" s="28" t="s">
        <v>9636</v>
      </c>
      <c r="M2697" s="28" t="s">
        <v>15035</v>
      </c>
      <c r="N2697" s="28" t="s">
        <v>9638</v>
      </c>
      <c r="O2697" s="28" t="s">
        <v>9639</v>
      </c>
      <c r="P2697" s="28" t="s">
        <v>15036</v>
      </c>
    </row>
    <row r="2698" spans="1:16" x14ac:dyDescent="0.25">
      <c r="A2698" s="28" t="s">
        <v>15037</v>
      </c>
      <c r="B2698" s="28" t="s">
        <v>15038</v>
      </c>
      <c r="C2698" s="28" t="s">
        <v>132</v>
      </c>
      <c r="D2698" s="28" t="s">
        <v>82</v>
      </c>
      <c r="E2698" s="28" t="s">
        <v>15039</v>
      </c>
      <c r="F2698" s="28" t="s">
        <v>21</v>
      </c>
      <c r="G2698" s="28" t="s">
        <v>207</v>
      </c>
      <c r="H2698" s="28" t="s">
        <v>9633</v>
      </c>
      <c r="I2698" s="28" t="s">
        <v>15040</v>
      </c>
      <c r="J2698" s="28" t="s">
        <v>207</v>
      </c>
      <c r="K2698" s="28" t="s">
        <v>9635</v>
      </c>
      <c r="L2698" s="28" t="s">
        <v>9636</v>
      </c>
      <c r="M2698" s="28" t="s">
        <v>15041</v>
      </c>
      <c r="N2698" s="28" t="s">
        <v>9638</v>
      </c>
      <c r="O2698" s="28" t="s">
        <v>9639</v>
      </c>
      <c r="P2698" s="28" t="s">
        <v>15042</v>
      </c>
    </row>
    <row r="2699" spans="1:16" x14ac:dyDescent="0.25">
      <c r="A2699" s="28" t="s">
        <v>15043</v>
      </c>
      <c r="B2699" s="28" t="s">
        <v>15044</v>
      </c>
      <c r="C2699" s="28" t="s">
        <v>132</v>
      </c>
      <c r="D2699" s="28" t="s">
        <v>82</v>
      </c>
      <c r="E2699" s="28" t="s">
        <v>15045</v>
      </c>
      <c r="F2699" s="28" t="s">
        <v>21</v>
      </c>
      <c r="G2699" s="28" t="s">
        <v>207</v>
      </c>
      <c r="H2699" s="28" t="s">
        <v>9633</v>
      </c>
      <c r="I2699" s="28" t="s">
        <v>15046</v>
      </c>
      <c r="J2699" s="28" t="s">
        <v>207</v>
      </c>
      <c r="K2699" s="28" t="s">
        <v>9635</v>
      </c>
      <c r="L2699" s="28" t="s">
        <v>9636</v>
      </c>
      <c r="M2699" s="28" t="s">
        <v>15047</v>
      </c>
      <c r="N2699" s="28" t="s">
        <v>9638</v>
      </c>
      <c r="O2699" s="28" t="s">
        <v>9639</v>
      </c>
      <c r="P2699" s="28" t="s">
        <v>15048</v>
      </c>
    </row>
    <row r="2700" spans="1:16" x14ac:dyDescent="0.25">
      <c r="A2700" s="28" t="s">
        <v>15049</v>
      </c>
      <c r="B2700" s="28" t="s">
        <v>15050</v>
      </c>
      <c r="C2700" s="28" t="s">
        <v>132</v>
      </c>
      <c r="D2700" s="28" t="s">
        <v>82</v>
      </c>
      <c r="E2700" s="28" t="s">
        <v>15051</v>
      </c>
      <c r="F2700" s="28" t="s">
        <v>21</v>
      </c>
      <c r="G2700" s="28" t="s">
        <v>149</v>
      </c>
      <c r="H2700" s="28" t="s">
        <v>9633</v>
      </c>
      <c r="I2700" s="28" t="s">
        <v>15052</v>
      </c>
      <c r="J2700" s="28" t="s">
        <v>149</v>
      </c>
      <c r="K2700" s="28" t="s">
        <v>9722</v>
      </c>
      <c r="L2700" s="28" t="s">
        <v>9636</v>
      </c>
      <c r="M2700" s="28" t="s">
        <v>15053</v>
      </c>
      <c r="N2700" s="28" t="s">
        <v>9638</v>
      </c>
      <c r="O2700" s="28" t="s">
        <v>9639</v>
      </c>
      <c r="P2700" s="28" t="s">
        <v>15054</v>
      </c>
    </row>
    <row r="2701" spans="1:16" x14ac:dyDescent="0.25">
      <c r="A2701" s="28" t="s">
        <v>15055</v>
      </c>
      <c r="B2701" s="28" t="s">
        <v>15056</v>
      </c>
      <c r="C2701" s="28" t="s">
        <v>132</v>
      </c>
      <c r="D2701" s="28" t="s">
        <v>82</v>
      </c>
      <c r="E2701" s="28" t="s">
        <v>15057</v>
      </c>
      <c r="F2701" s="28" t="s">
        <v>21</v>
      </c>
      <c r="G2701" s="28" t="s">
        <v>149</v>
      </c>
      <c r="H2701" s="28" t="s">
        <v>9633</v>
      </c>
      <c r="I2701" s="28" t="s">
        <v>15058</v>
      </c>
      <c r="J2701" s="28" t="s">
        <v>149</v>
      </c>
      <c r="K2701" s="28" t="s">
        <v>9722</v>
      </c>
      <c r="L2701" s="28" t="s">
        <v>9636</v>
      </c>
      <c r="M2701" s="28" t="s">
        <v>15059</v>
      </c>
      <c r="N2701" s="28" t="s">
        <v>9638</v>
      </c>
      <c r="O2701" s="28" t="s">
        <v>9639</v>
      </c>
      <c r="P2701" s="28" t="s">
        <v>15060</v>
      </c>
    </row>
    <row r="2702" spans="1:16" x14ac:dyDescent="0.25">
      <c r="A2702" s="28" t="s">
        <v>15061</v>
      </c>
      <c r="B2702" s="28" t="s">
        <v>15062</v>
      </c>
      <c r="C2702" s="28" t="s">
        <v>132</v>
      </c>
      <c r="D2702" s="28" t="s">
        <v>82</v>
      </c>
      <c r="E2702" s="28" t="s">
        <v>15063</v>
      </c>
      <c r="F2702" s="28" t="s">
        <v>21</v>
      </c>
      <c r="G2702" s="28" t="s">
        <v>207</v>
      </c>
      <c r="H2702" s="28" t="s">
        <v>9633</v>
      </c>
      <c r="I2702" s="28" t="s">
        <v>15064</v>
      </c>
      <c r="J2702" s="28" t="s">
        <v>207</v>
      </c>
      <c r="K2702" s="28" t="s">
        <v>9635</v>
      </c>
      <c r="L2702" s="28" t="s">
        <v>9636</v>
      </c>
      <c r="M2702" s="28" t="s">
        <v>15065</v>
      </c>
      <c r="N2702" s="28" t="s">
        <v>9638</v>
      </c>
      <c r="O2702" s="28" t="s">
        <v>9639</v>
      </c>
      <c r="P2702" s="28" t="s">
        <v>15066</v>
      </c>
    </row>
    <row r="2703" spans="1:16" x14ac:dyDescent="0.25">
      <c r="A2703" s="28" t="s">
        <v>15067</v>
      </c>
      <c r="B2703" s="28" t="s">
        <v>15068</v>
      </c>
      <c r="C2703" s="28" t="s">
        <v>132</v>
      </c>
      <c r="D2703" s="28" t="s">
        <v>1628</v>
      </c>
      <c r="E2703" s="28" t="s">
        <v>15069</v>
      </c>
      <c r="F2703" s="28" t="s">
        <v>21</v>
      </c>
      <c r="G2703" s="28" t="s">
        <v>207</v>
      </c>
      <c r="H2703" s="28" t="s">
        <v>9633</v>
      </c>
      <c r="I2703" s="28" t="s">
        <v>15070</v>
      </c>
      <c r="J2703" s="28" t="s">
        <v>207</v>
      </c>
      <c r="K2703" s="28" t="s">
        <v>9635</v>
      </c>
      <c r="L2703" s="28" t="s">
        <v>9636</v>
      </c>
      <c r="M2703" s="28" t="s">
        <v>15071</v>
      </c>
      <c r="N2703" s="28" t="s">
        <v>9638</v>
      </c>
      <c r="O2703" s="28" t="s">
        <v>9639</v>
      </c>
      <c r="P2703" s="28" t="s">
        <v>15072</v>
      </c>
    </row>
    <row r="2704" spans="1:16" x14ac:dyDescent="0.25">
      <c r="A2704" s="28" t="s">
        <v>15073</v>
      </c>
      <c r="B2704" s="28" t="s">
        <v>15074</v>
      </c>
      <c r="C2704" s="28" t="s">
        <v>132</v>
      </c>
      <c r="D2704" s="28" t="s">
        <v>1628</v>
      </c>
      <c r="E2704" s="28" t="s">
        <v>15075</v>
      </c>
      <c r="F2704" s="28" t="s">
        <v>21</v>
      </c>
      <c r="G2704" s="28" t="s">
        <v>207</v>
      </c>
      <c r="H2704" s="28" t="s">
        <v>9633</v>
      </c>
      <c r="I2704" s="28" t="s">
        <v>15076</v>
      </c>
      <c r="J2704" s="28" t="s">
        <v>207</v>
      </c>
      <c r="K2704" s="28" t="s">
        <v>9635</v>
      </c>
      <c r="L2704" s="28" t="s">
        <v>9636</v>
      </c>
      <c r="M2704" s="28" t="s">
        <v>15077</v>
      </c>
      <c r="N2704" s="28" t="s">
        <v>9638</v>
      </c>
      <c r="O2704" s="28" t="s">
        <v>9639</v>
      </c>
      <c r="P2704" s="28" t="s">
        <v>15078</v>
      </c>
    </row>
    <row r="2705" spans="1:16" x14ac:dyDescent="0.25">
      <c r="A2705" s="28" t="s">
        <v>15079</v>
      </c>
      <c r="B2705" s="28" t="s">
        <v>15080</v>
      </c>
      <c r="C2705" s="28" t="s">
        <v>132</v>
      </c>
      <c r="D2705" s="28" t="s">
        <v>1628</v>
      </c>
      <c r="E2705" s="28" t="s">
        <v>15081</v>
      </c>
      <c r="F2705" s="28" t="s">
        <v>21</v>
      </c>
      <c r="G2705" s="28" t="s">
        <v>207</v>
      </c>
      <c r="H2705" s="28" t="s">
        <v>9633</v>
      </c>
      <c r="I2705" s="28" t="s">
        <v>15082</v>
      </c>
      <c r="J2705" s="28" t="s">
        <v>207</v>
      </c>
      <c r="K2705" s="28" t="s">
        <v>9635</v>
      </c>
      <c r="L2705" s="28" t="s">
        <v>9636</v>
      </c>
      <c r="M2705" s="28" t="s">
        <v>15083</v>
      </c>
      <c r="N2705" s="28" t="s">
        <v>9638</v>
      </c>
      <c r="O2705" s="28" t="s">
        <v>9639</v>
      </c>
      <c r="P2705" s="28" t="s">
        <v>15084</v>
      </c>
    </row>
    <row r="2706" spans="1:16" x14ac:dyDescent="0.25">
      <c r="A2706" s="28" t="s">
        <v>15085</v>
      </c>
      <c r="B2706" s="28" t="s">
        <v>15086</v>
      </c>
      <c r="C2706" s="28" t="s">
        <v>132</v>
      </c>
      <c r="D2706" s="28" t="s">
        <v>1628</v>
      </c>
      <c r="E2706" s="28" t="s">
        <v>15087</v>
      </c>
      <c r="F2706" s="28" t="s">
        <v>21</v>
      </c>
      <c r="G2706" s="28" t="s">
        <v>207</v>
      </c>
      <c r="H2706" s="28" t="s">
        <v>9633</v>
      </c>
      <c r="I2706" s="28" t="s">
        <v>15088</v>
      </c>
      <c r="J2706" s="28" t="s">
        <v>207</v>
      </c>
      <c r="K2706" s="28" t="s">
        <v>9635</v>
      </c>
      <c r="L2706" s="28" t="s">
        <v>9636</v>
      </c>
      <c r="M2706" s="28" t="s">
        <v>15089</v>
      </c>
      <c r="N2706" s="28" t="s">
        <v>9638</v>
      </c>
      <c r="O2706" s="28" t="s">
        <v>9639</v>
      </c>
      <c r="P2706" s="28" t="s">
        <v>15090</v>
      </c>
    </row>
    <row r="2707" spans="1:16" x14ac:dyDescent="0.25">
      <c r="A2707" s="28" t="s">
        <v>15091</v>
      </c>
      <c r="B2707" s="28" t="s">
        <v>15092</v>
      </c>
      <c r="C2707" s="28" t="s">
        <v>132</v>
      </c>
      <c r="D2707" s="28" t="s">
        <v>1628</v>
      </c>
      <c r="E2707" s="28" t="s">
        <v>15093</v>
      </c>
      <c r="F2707" s="28" t="s">
        <v>21</v>
      </c>
      <c r="G2707" s="28" t="s">
        <v>207</v>
      </c>
      <c r="H2707" s="28" t="s">
        <v>9633</v>
      </c>
      <c r="I2707" s="28" t="s">
        <v>15094</v>
      </c>
      <c r="J2707" s="28" t="s">
        <v>207</v>
      </c>
      <c r="K2707" s="28" t="s">
        <v>9635</v>
      </c>
      <c r="L2707" s="28" t="s">
        <v>9636</v>
      </c>
      <c r="M2707" s="28" t="s">
        <v>15095</v>
      </c>
      <c r="N2707" s="28" t="s">
        <v>9638</v>
      </c>
      <c r="O2707" s="28" t="s">
        <v>9639</v>
      </c>
      <c r="P2707" s="28" t="s">
        <v>15096</v>
      </c>
    </row>
    <row r="2708" spans="1:16" x14ac:dyDescent="0.25">
      <c r="A2708" s="28" t="s">
        <v>15097</v>
      </c>
      <c r="B2708" s="28" t="s">
        <v>15098</v>
      </c>
      <c r="C2708" s="28" t="s">
        <v>132</v>
      </c>
      <c r="D2708" s="28" t="s">
        <v>1628</v>
      </c>
      <c r="E2708" s="28" t="s">
        <v>15099</v>
      </c>
      <c r="F2708" s="28" t="s">
        <v>21</v>
      </c>
      <c r="G2708" s="28" t="s">
        <v>207</v>
      </c>
      <c r="H2708" s="28" t="s">
        <v>9633</v>
      </c>
      <c r="I2708" s="28" t="s">
        <v>15100</v>
      </c>
      <c r="J2708" s="28" t="s">
        <v>207</v>
      </c>
      <c r="K2708" s="28" t="s">
        <v>9635</v>
      </c>
      <c r="L2708" s="28" t="s">
        <v>9636</v>
      </c>
      <c r="M2708" s="28" t="s">
        <v>15101</v>
      </c>
      <c r="N2708" s="28" t="s">
        <v>9638</v>
      </c>
      <c r="O2708" s="28" t="s">
        <v>9639</v>
      </c>
      <c r="P2708" s="28" t="s">
        <v>15102</v>
      </c>
    </row>
    <row r="2709" spans="1:16" x14ac:dyDescent="0.25">
      <c r="A2709" s="28" t="s">
        <v>15103</v>
      </c>
      <c r="B2709" s="28" t="s">
        <v>15104</v>
      </c>
      <c r="C2709" s="28" t="s">
        <v>132</v>
      </c>
      <c r="D2709" s="28" t="s">
        <v>1628</v>
      </c>
      <c r="E2709" s="28" t="s">
        <v>15105</v>
      </c>
      <c r="F2709" s="28" t="s">
        <v>21</v>
      </c>
      <c r="G2709" s="28" t="s">
        <v>207</v>
      </c>
      <c r="H2709" s="28" t="s">
        <v>9633</v>
      </c>
      <c r="I2709" s="28" t="s">
        <v>15106</v>
      </c>
      <c r="J2709" s="28" t="s">
        <v>207</v>
      </c>
      <c r="K2709" s="28" t="s">
        <v>9635</v>
      </c>
      <c r="L2709" s="28" t="s">
        <v>9636</v>
      </c>
      <c r="M2709" s="28" t="s">
        <v>15107</v>
      </c>
      <c r="N2709" s="28" t="s">
        <v>9638</v>
      </c>
      <c r="O2709" s="28" t="s">
        <v>9639</v>
      </c>
      <c r="P2709" s="28" t="s">
        <v>15108</v>
      </c>
    </row>
    <row r="2710" spans="1:16" x14ac:dyDescent="0.25">
      <c r="A2710" s="28" t="s">
        <v>15109</v>
      </c>
      <c r="B2710" s="28" t="s">
        <v>15110</v>
      </c>
      <c r="C2710" s="28" t="s">
        <v>132</v>
      </c>
      <c r="D2710" s="28" t="s">
        <v>1628</v>
      </c>
      <c r="E2710" s="28" t="s">
        <v>15111</v>
      </c>
      <c r="F2710" s="28" t="s">
        <v>21</v>
      </c>
      <c r="G2710" s="28" t="s">
        <v>207</v>
      </c>
      <c r="H2710" s="28" t="s">
        <v>9633</v>
      </c>
      <c r="I2710" s="28" t="s">
        <v>15112</v>
      </c>
      <c r="J2710" s="28" t="s">
        <v>207</v>
      </c>
      <c r="K2710" s="28" t="s">
        <v>9635</v>
      </c>
      <c r="L2710" s="28" t="s">
        <v>9636</v>
      </c>
      <c r="M2710" s="28" t="s">
        <v>15113</v>
      </c>
      <c r="N2710" s="28" t="s">
        <v>9638</v>
      </c>
      <c r="O2710" s="28" t="s">
        <v>9639</v>
      </c>
      <c r="P2710" s="28" t="s">
        <v>15114</v>
      </c>
    </row>
    <row r="2711" spans="1:16" x14ac:dyDescent="0.25">
      <c r="A2711" s="28" t="s">
        <v>15115</v>
      </c>
      <c r="B2711" s="28" t="s">
        <v>15116</v>
      </c>
      <c r="C2711" s="28" t="s">
        <v>132</v>
      </c>
      <c r="D2711" s="28" t="s">
        <v>1628</v>
      </c>
      <c r="E2711" s="28" t="s">
        <v>15117</v>
      </c>
      <c r="F2711" s="28" t="s">
        <v>21</v>
      </c>
      <c r="G2711" s="28" t="s">
        <v>207</v>
      </c>
      <c r="H2711" s="28" t="s">
        <v>9633</v>
      </c>
      <c r="I2711" s="28" t="s">
        <v>15118</v>
      </c>
      <c r="J2711" s="28" t="s">
        <v>207</v>
      </c>
      <c r="K2711" s="28" t="s">
        <v>9635</v>
      </c>
      <c r="L2711" s="28" t="s">
        <v>9636</v>
      </c>
      <c r="M2711" s="28" t="s">
        <v>15119</v>
      </c>
      <c r="N2711" s="28" t="s">
        <v>9638</v>
      </c>
      <c r="O2711" s="28" t="s">
        <v>9639</v>
      </c>
      <c r="P2711" s="28" t="s">
        <v>15120</v>
      </c>
    </row>
    <row r="2712" spans="1:16" x14ac:dyDescent="0.25">
      <c r="A2712" s="28" t="s">
        <v>15121</v>
      </c>
      <c r="B2712" s="28" t="s">
        <v>15122</v>
      </c>
      <c r="C2712" s="28" t="s">
        <v>132</v>
      </c>
      <c r="D2712" s="28" t="s">
        <v>1628</v>
      </c>
      <c r="E2712" s="28" t="s">
        <v>15123</v>
      </c>
      <c r="F2712" s="28" t="s">
        <v>21</v>
      </c>
      <c r="G2712" s="28" t="s">
        <v>207</v>
      </c>
      <c r="H2712" s="28" t="s">
        <v>9633</v>
      </c>
      <c r="I2712" s="28" t="s">
        <v>15124</v>
      </c>
      <c r="J2712" s="28" t="s">
        <v>207</v>
      </c>
      <c r="K2712" s="28" t="s">
        <v>9635</v>
      </c>
      <c r="L2712" s="28" t="s">
        <v>9636</v>
      </c>
      <c r="M2712" s="28" t="s">
        <v>15125</v>
      </c>
      <c r="N2712" s="28" t="s">
        <v>9638</v>
      </c>
      <c r="O2712" s="28" t="s">
        <v>9639</v>
      </c>
      <c r="P2712" s="28" t="s">
        <v>15126</v>
      </c>
    </row>
    <row r="2713" spans="1:16" x14ac:dyDescent="0.25">
      <c r="A2713" s="28" t="s">
        <v>15127</v>
      </c>
      <c r="B2713" s="28" t="s">
        <v>15128</v>
      </c>
      <c r="C2713" s="28" t="s">
        <v>132</v>
      </c>
      <c r="D2713" s="28" t="s">
        <v>1628</v>
      </c>
      <c r="E2713" s="28" t="s">
        <v>15129</v>
      </c>
      <c r="F2713" s="28" t="s">
        <v>21</v>
      </c>
      <c r="G2713" s="28" t="s">
        <v>207</v>
      </c>
      <c r="H2713" s="28" t="s">
        <v>9633</v>
      </c>
      <c r="I2713" s="28" t="s">
        <v>15130</v>
      </c>
      <c r="J2713" s="28" t="s">
        <v>207</v>
      </c>
      <c r="K2713" s="28" t="s">
        <v>9635</v>
      </c>
      <c r="L2713" s="28" t="s">
        <v>9636</v>
      </c>
      <c r="M2713" s="28" t="s">
        <v>15131</v>
      </c>
      <c r="N2713" s="28" t="s">
        <v>9638</v>
      </c>
      <c r="O2713" s="28" t="s">
        <v>9639</v>
      </c>
      <c r="P2713" s="28" t="s">
        <v>15132</v>
      </c>
    </row>
    <row r="2714" spans="1:16" x14ac:dyDescent="0.25">
      <c r="A2714" s="28" t="s">
        <v>15133</v>
      </c>
      <c r="B2714" s="28" t="s">
        <v>15134</v>
      </c>
      <c r="C2714" s="28" t="s">
        <v>132</v>
      </c>
      <c r="D2714" s="28" t="s">
        <v>1628</v>
      </c>
      <c r="E2714" s="28" t="s">
        <v>15135</v>
      </c>
      <c r="F2714" s="28" t="s">
        <v>21</v>
      </c>
      <c r="G2714" s="28" t="s">
        <v>207</v>
      </c>
      <c r="H2714" s="28" t="s">
        <v>9633</v>
      </c>
      <c r="I2714" s="28" t="s">
        <v>15136</v>
      </c>
      <c r="J2714" s="28" t="s">
        <v>207</v>
      </c>
      <c r="K2714" s="28" t="s">
        <v>9635</v>
      </c>
      <c r="L2714" s="28" t="s">
        <v>9636</v>
      </c>
      <c r="M2714" s="28" t="s">
        <v>15137</v>
      </c>
      <c r="N2714" s="28" t="s">
        <v>9638</v>
      </c>
      <c r="O2714" s="28" t="s">
        <v>9639</v>
      </c>
      <c r="P2714" s="28" t="s">
        <v>15138</v>
      </c>
    </row>
    <row r="2715" spans="1:16" x14ac:dyDescent="0.25">
      <c r="A2715" s="28" t="s">
        <v>15139</v>
      </c>
      <c r="B2715" s="28" t="s">
        <v>15140</v>
      </c>
      <c r="C2715" s="28" t="s">
        <v>132</v>
      </c>
      <c r="D2715" s="28" t="s">
        <v>1628</v>
      </c>
      <c r="E2715" s="28" t="s">
        <v>15141</v>
      </c>
      <c r="F2715" s="28" t="s">
        <v>21</v>
      </c>
      <c r="G2715" s="28" t="s">
        <v>207</v>
      </c>
      <c r="H2715" s="28" t="s">
        <v>9633</v>
      </c>
      <c r="I2715" s="28" t="s">
        <v>15142</v>
      </c>
      <c r="J2715" s="28" t="s">
        <v>207</v>
      </c>
      <c r="K2715" s="28" t="s">
        <v>9635</v>
      </c>
      <c r="L2715" s="28" t="s">
        <v>9636</v>
      </c>
      <c r="M2715" s="28" t="s">
        <v>15143</v>
      </c>
      <c r="N2715" s="28" t="s">
        <v>9638</v>
      </c>
      <c r="O2715" s="28" t="s">
        <v>9639</v>
      </c>
      <c r="P2715" s="28" t="s">
        <v>15144</v>
      </c>
    </row>
    <row r="2716" spans="1:16" x14ac:dyDescent="0.25">
      <c r="A2716" s="28" t="s">
        <v>15145</v>
      </c>
      <c r="B2716" s="28" t="s">
        <v>15146</v>
      </c>
      <c r="C2716" s="28" t="s">
        <v>132</v>
      </c>
      <c r="D2716" s="28" t="s">
        <v>1628</v>
      </c>
      <c r="E2716" s="28" t="s">
        <v>15147</v>
      </c>
      <c r="F2716" s="28" t="s">
        <v>21</v>
      </c>
      <c r="G2716" s="28" t="s">
        <v>207</v>
      </c>
      <c r="H2716" s="28" t="s">
        <v>9633</v>
      </c>
      <c r="I2716" s="28" t="s">
        <v>15148</v>
      </c>
      <c r="J2716" s="28" t="s">
        <v>207</v>
      </c>
      <c r="K2716" s="28" t="s">
        <v>9635</v>
      </c>
      <c r="L2716" s="28" t="s">
        <v>9636</v>
      </c>
      <c r="M2716" s="28" t="s">
        <v>15149</v>
      </c>
      <c r="N2716" s="28" t="s">
        <v>9638</v>
      </c>
      <c r="O2716" s="28" t="s">
        <v>9639</v>
      </c>
      <c r="P2716" s="28" t="s">
        <v>15150</v>
      </c>
    </row>
    <row r="2717" spans="1:16" x14ac:dyDescent="0.25">
      <c r="A2717" s="28" t="s">
        <v>15151</v>
      </c>
      <c r="B2717" s="28" t="s">
        <v>15152</v>
      </c>
      <c r="C2717" s="28" t="s">
        <v>132</v>
      </c>
      <c r="D2717" s="28" t="s">
        <v>2710</v>
      </c>
      <c r="E2717" s="28" t="s">
        <v>15153</v>
      </c>
      <c r="F2717" s="28" t="s">
        <v>21</v>
      </c>
      <c r="G2717" s="28" t="s">
        <v>149</v>
      </c>
      <c r="H2717" s="28" t="s">
        <v>9633</v>
      </c>
      <c r="I2717" s="28" t="s">
        <v>15154</v>
      </c>
      <c r="J2717" s="28" t="s">
        <v>149</v>
      </c>
      <c r="K2717" s="28" t="s">
        <v>9722</v>
      </c>
      <c r="L2717" s="28" t="s">
        <v>9636</v>
      </c>
      <c r="M2717" s="28" t="s">
        <v>15155</v>
      </c>
      <c r="N2717" s="28" t="s">
        <v>9638</v>
      </c>
      <c r="O2717" s="28" t="s">
        <v>9639</v>
      </c>
      <c r="P2717" s="28" t="s">
        <v>15156</v>
      </c>
    </row>
    <row r="2718" spans="1:16" x14ac:dyDescent="0.25">
      <c r="A2718" s="28" t="s">
        <v>15157</v>
      </c>
      <c r="B2718" s="28" t="s">
        <v>15158</v>
      </c>
      <c r="C2718" s="28" t="s">
        <v>132</v>
      </c>
      <c r="D2718" s="28" t="s">
        <v>9294</v>
      </c>
      <c r="E2718" s="28" t="s">
        <v>15159</v>
      </c>
      <c r="F2718" s="28" t="s">
        <v>21</v>
      </c>
      <c r="G2718" s="28" t="s">
        <v>135</v>
      </c>
      <c r="H2718" s="28" t="s">
        <v>10259</v>
      </c>
      <c r="I2718" s="28" t="s">
        <v>15160</v>
      </c>
      <c r="J2718" s="28" t="s">
        <v>135</v>
      </c>
      <c r="K2718" s="28" t="s">
        <v>10551</v>
      </c>
      <c r="L2718" s="28" t="s">
        <v>10262</v>
      </c>
      <c r="M2718" s="28" t="s">
        <v>15161</v>
      </c>
      <c r="N2718" s="28" t="s">
        <v>10264</v>
      </c>
      <c r="O2718" s="28" t="s">
        <v>10265</v>
      </c>
      <c r="P2718" s="28" t="s">
        <v>10266</v>
      </c>
    </row>
    <row r="2719" spans="1:16" x14ac:dyDescent="0.25">
      <c r="A2719" s="28" t="s">
        <v>15162</v>
      </c>
      <c r="B2719" s="28" t="s">
        <v>15163</v>
      </c>
      <c r="C2719" s="28" t="s">
        <v>132</v>
      </c>
      <c r="D2719" s="28" t="s">
        <v>1643</v>
      </c>
      <c r="E2719" s="28" t="s">
        <v>1644</v>
      </c>
      <c r="F2719" s="28" t="s">
        <v>21</v>
      </c>
      <c r="G2719" s="28" t="s">
        <v>39</v>
      </c>
      <c r="H2719" s="28" t="s">
        <v>10259</v>
      </c>
      <c r="I2719" s="28" t="s">
        <v>15164</v>
      </c>
      <c r="J2719" s="28" t="s">
        <v>39</v>
      </c>
      <c r="K2719" s="28" t="s">
        <v>10261</v>
      </c>
      <c r="L2719" s="28" t="s">
        <v>10262</v>
      </c>
      <c r="M2719" s="28" t="s">
        <v>15165</v>
      </c>
      <c r="N2719" s="28" t="s">
        <v>10264</v>
      </c>
      <c r="O2719" s="28" t="s">
        <v>10265</v>
      </c>
      <c r="P2719" s="28" t="s">
        <v>10266</v>
      </c>
    </row>
    <row r="2720" spans="1:16" x14ac:dyDescent="0.25">
      <c r="A2720" s="28" t="s">
        <v>15166</v>
      </c>
      <c r="B2720" s="28" t="s">
        <v>15167</v>
      </c>
      <c r="C2720" s="28" t="s">
        <v>132</v>
      </c>
      <c r="D2720" s="28" t="s">
        <v>1643</v>
      </c>
      <c r="E2720" s="28" t="s">
        <v>1652</v>
      </c>
      <c r="F2720" s="28" t="s">
        <v>21</v>
      </c>
      <c r="G2720" s="28" t="s">
        <v>39</v>
      </c>
      <c r="H2720" s="28" t="s">
        <v>10259</v>
      </c>
      <c r="I2720" s="28" t="s">
        <v>15168</v>
      </c>
      <c r="J2720" s="28" t="s">
        <v>39</v>
      </c>
      <c r="K2720" s="28" t="s">
        <v>10261</v>
      </c>
      <c r="L2720" s="28" t="s">
        <v>10262</v>
      </c>
      <c r="M2720" s="28" t="s">
        <v>15169</v>
      </c>
      <c r="N2720" s="28" t="s">
        <v>10264</v>
      </c>
      <c r="O2720" s="28" t="s">
        <v>10265</v>
      </c>
      <c r="P2720" s="28" t="s">
        <v>10266</v>
      </c>
    </row>
    <row r="2721" spans="1:16" x14ac:dyDescent="0.25">
      <c r="A2721" s="28" t="s">
        <v>15170</v>
      </c>
      <c r="B2721" s="28" t="s">
        <v>15171</v>
      </c>
      <c r="C2721" s="28" t="s">
        <v>132</v>
      </c>
      <c r="D2721" s="28" t="s">
        <v>1643</v>
      </c>
      <c r="E2721" s="28" t="s">
        <v>15172</v>
      </c>
      <c r="F2721" s="28" t="s">
        <v>21</v>
      </c>
      <c r="G2721" s="28" t="s">
        <v>207</v>
      </c>
      <c r="H2721" s="28" t="s">
        <v>9633</v>
      </c>
      <c r="I2721" s="28" t="s">
        <v>15173</v>
      </c>
      <c r="J2721" s="28" t="s">
        <v>207</v>
      </c>
      <c r="K2721" s="28" t="s">
        <v>9635</v>
      </c>
      <c r="L2721" s="28" t="s">
        <v>9636</v>
      </c>
      <c r="M2721" s="28" t="s">
        <v>15174</v>
      </c>
      <c r="N2721" s="28" t="s">
        <v>9638</v>
      </c>
      <c r="O2721" s="28" t="s">
        <v>9639</v>
      </c>
      <c r="P2721" s="28" t="s">
        <v>15175</v>
      </c>
    </row>
    <row r="2722" spans="1:16" x14ac:dyDescent="0.25">
      <c r="A2722" s="28" t="s">
        <v>15176</v>
      </c>
      <c r="B2722" s="28" t="s">
        <v>15177</v>
      </c>
      <c r="C2722" s="28" t="s">
        <v>132</v>
      </c>
      <c r="D2722" s="28" t="s">
        <v>1643</v>
      </c>
      <c r="E2722" s="28" t="s">
        <v>15178</v>
      </c>
      <c r="F2722" s="28" t="s">
        <v>21</v>
      </c>
      <c r="G2722" s="28" t="s">
        <v>207</v>
      </c>
      <c r="H2722" s="28" t="s">
        <v>9633</v>
      </c>
      <c r="I2722" s="28" t="s">
        <v>15179</v>
      </c>
      <c r="J2722" s="28" t="s">
        <v>207</v>
      </c>
      <c r="K2722" s="28" t="s">
        <v>9635</v>
      </c>
      <c r="L2722" s="28" t="s">
        <v>9636</v>
      </c>
      <c r="M2722" s="28" t="s">
        <v>15180</v>
      </c>
      <c r="N2722" s="28" t="s">
        <v>9638</v>
      </c>
      <c r="O2722" s="28" t="s">
        <v>9639</v>
      </c>
      <c r="P2722" s="28" t="s">
        <v>15181</v>
      </c>
    </row>
    <row r="2723" spans="1:16" x14ac:dyDescent="0.25">
      <c r="A2723" s="28" t="s">
        <v>15182</v>
      </c>
      <c r="B2723" s="28" t="s">
        <v>15183</v>
      </c>
      <c r="C2723" s="28" t="s">
        <v>132</v>
      </c>
      <c r="D2723" s="28" t="s">
        <v>2729</v>
      </c>
      <c r="E2723" s="28" t="s">
        <v>15184</v>
      </c>
      <c r="F2723" s="28" t="s">
        <v>21</v>
      </c>
      <c r="G2723" s="28" t="s">
        <v>149</v>
      </c>
      <c r="H2723" s="28" t="s">
        <v>9633</v>
      </c>
      <c r="I2723" s="28" t="s">
        <v>15185</v>
      </c>
      <c r="J2723" s="28" t="s">
        <v>149</v>
      </c>
      <c r="K2723" s="28" t="s">
        <v>9722</v>
      </c>
      <c r="L2723" s="28" t="s">
        <v>9636</v>
      </c>
      <c r="M2723" s="28" t="s">
        <v>15186</v>
      </c>
      <c r="N2723" s="28" t="s">
        <v>9638</v>
      </c>
      <c r="O2723" s="28" t="s">
        <v>9639</v>
      </c>
      <c r="P2723" s="28" t="s">
        <v>15187</v>
      </c>
    </row>
    <row r="2724" spans="1:16" x14ac:dyDescent="0.25">
      <c r="A2724" s="28" t="s">
        <v>15188</v>
      </c>
      <c r="B2724" s="28" t="s">
        <v>15189</v>
      </c>
      <c r="C2724" s="28" t="s">
        <v>132</v>
      </c>
      <c r="D2724" s="28" t="s">
        <v>2729</v>
      </c>
      <c r="E2724" s="28" t="s">
        <v>15190</v>
      </c>
      <c r="F2724" s="28" t="s">
        <v>21</v>
      </c>
      <c r="G2724" s="28" t="s">
        <v>207</v>
      </c>
      <c r="H2724" s="28" t="s">
        <v>9633</v>
      </c>
      <c r="I2724" s="28" t="s">
        <v>15191</v>
      </c>
      <c r="J2724" s="28" t="s">
        <v>207</v>
      </c>
      <c r="K2724" s="28" t="s">
        <v>9635</v>
      </c>
      <c r="L2724" s="28" t="s">
        <v>9636</v>
      </c>
      <c r="M2724" s="28" t="s">
        <v>15192</v>
      </c>
      <c r="N2724" s="28" t="s">
        <v>9638</v>
      </c>
      <c r="O2724" s="28" t="s">
        <v>9639</v>
      </c>
      <c r="P2724" s="28" t="s">
        <v>15193</v>
      </c>
    </row>
    <row r="2725" spans="1:16" x14ac:dyDescent="0.25">
      <c r="A2725" s="28" t="s">
        <v>15194</v>
      </c>
      <c r="B2725" s="28" t="s">
        <v>15195</v>
      </c>
      <c r="C2725" s="28" t="s">
        <v>132</v>
      </c>
      <c r="D2725" s="28" t="s">
        <v>9279</v>
      </c>
      <c r="E2725" s="28" t="s">
        <v>15196</v>
      </c>
      <c r="F2725" s="28" t="s">
        <v>21</v>
      </c>
      <c r="G2725" s="28" t="s">
        <v>135</v>
      </c>
      <c r="H2725" s="28" t="s">
        <v>10259</v>
      </c>
      <c r="I2725" s="28" t="s">
        <v>15197</v>
      </c>
      <c r="J2725" s="28" t="s">
        <v>135</v>
      </c>
      <c r="K2725" s="28" t="s">
        <v>10551</v>
      </c>
      <c r="L2725" s="28" t="s">
        <v>10262</v>
      </c>
      <c r="M2725" s="28" t="s">
        <v>15198</v>
      </c>
      <c r="N2725" s="28" t="s">
        <v>10264</v>
      </c>
      <c r="O2725" s="28" t="s">
        <v>10265</v>
      </c>
      <c r="P2725" s="28" t="s">
        <v>10266</v>
      </c>
    </row>
    <row r="2726" spans="1:16" x14ac:dyDescent="0.25">
      <c r="A2726" s="28" t="s">
        <v>15199</v>
      </c>
      <c r="B2726" s="28" t="s">
        <v>15200</v>
      </c>
      <c r="C2726" s="28" t="s">
        <v>132</v>
      </c>
      <c r="D2726" s="28" t="s">
        <v>9279</v>
      </c>
      <c r="E2726" s="28" t="s">
        <v>15201</v>
      </c>
      <c r="F2726" s="28" t="s">
        <v>21</v>
      </c>
      <c r="G2726" s="28" t="s">
        <v>135</v>
      </c>
      <c r="H2726" s="28" t="s">
        <v>10259</v>
      </c>
      <c r="I2726" s="28" t="s">
        <v>15202</v>
      </c>
      <c r="J2726" s="28" t="s">
        <v>135</v>
      </c>
      <c r="K2726" s="28" t="s">
        <v>10551</v>
      </c>
      <c r="L2726" s="28" t="s">
        <v>10262</v>
      </c>
      <c r="M2726" s="28" t="s">
        <v>15203</v>
      </c>
      <c r="N2726" s="28" t="s">
        <v>10264</v>
      </c>
      <c r="O2726" s="28" t="s">
        <v>10265</v>
      </c>
      <c r="P2726" s="28" t="s">
        <v>10266</v>
      </c>
    </row>
    <row r="2727" spans="1:16" x14ac:dyDescent="0.25">
      <c r="A2727" s="28" t="s">
        <v>15204</v>
      </c>
      <c r="B2727" s="28" t="s">
        <v>15205</v>
      </c>
      <c r="C2727" s="28" t="s">
        <v>132</v>
      </c>
      <c r="D2727" s="28" t="s">
        <v>9287</v>
      </c>
      <c r="E2727" s="28" t="s">
        <v>15206</v>
      </c>
      <c r="F2727" s="28" t="s">
        <v>21</v>
      </c>
      <c r="G2727" s="28" t="s">
        <v>135</v>
      </c>
      <c r="H2727" s="28" t="s">
        <v>10259</v>
      </c>
      <c r="I2727" s="28" t="s">
        <v>15207</v>
      </c>
      <c r="J2727" s="28" t="s">
        <v>135</v>
      </c>
      <c r="K2727" s="28" t="s">
        <v>10551</v>
      </c>
      <c r="L2727" s="28" t="s">
        <v>10262</v>
      </c>
      <c r="M2727" s="28" t="s">
        <v>15208</v>
      </c>
      <c r="N2727" s="28" t="s">
        <v>10264</v>
      </c>
      <c r="O2727" s="28" t="s">
        <v>10265</v>
      </c>
      <c r="P2727" s="28" t="s">
        <v>10266</v>
      </c>
    </row>
    <row r="2728" spans="1:16" x14ac:dyDescent="0.25">
      <c r="A2728" s="28" t="s">
        <v>15209</v>
      </c>
      <c r="B2728" s="28" t="s">
        <v>15210</v>
      </c>
      <c r="C2728" s="28" t="s">
        <v>132</v>
      </c>
      <c r="D2728" s="28" t="s">
        <v>2788</v>
      </c>
      <c r="E2728" s="28" t="s">
        <v>2789</v>
      </c>
      <c r="F2728" s="28" t="s">
        <v>21</v>
      </c>
      <c r="G2728" s="28" t="s">
        <v>135</v>
      </c>
      <c r="H2728" s="28" t="s">
        <v>10259</v>
      </c>
      <c r="I2728" s="28" t="s">
        <v>15211</v>
      </c>
      <c r="J2728" s="28" t="s">
        <v>135</v>
      </c>
      <c r="K2728" s="28" t="s">
        <v>10551</v>
      </c>
      <c r="L2728" s="28" t="s">
        <v>10262</v>
      </c>
      <c r="M2728" s="28" t="s">
        <v>15212</v>
      </c>
      <c r="N2728" s="28" t="s">
        <v>10264</v>
      </c>
      <c r="O2728" s="28" t="s">
        <v>10265</v>
      </c>
      <c r="P2728" s="28" t="s">
        <v>10266</v>
      </c>
    </row>
    <row r="2729" spans="1:16" x14ac:dyDescent="0.25">
      <c r="A2729" s="28" t="s">
        <v>15213</v>
      </c>
      <c r="B2729" s="28" t="s">
        <v>15214</v>
      </c>
      <c r="C2729" s="28" t="s">
        <v>132</v>
      </c>
      <c r="D2729" s="28" t="s">
        <v>2788</v>
      </c>
      <c r="E2729" s="28" t="s">
        <v>15215</v>
      </c>
      <c r="F2729" s="28" t="s">
        <v>21</v>
      </c>
      <c r="G2729" s="28" t="s">
        <v>135</v>
      </c>
      <c r="H2729" s="28" t="s">
        <v>10259</v>
      </c>
      <c r="I2729" s="28" t="s">
        <v>15216</v>
      </c>
      <c r="J2729" s="28" t="s">
        <v>135</v>
      </c>
      <c r="K2729" s="28" t="s">
        <v>10551</v>
      </c>
      <c r="L2729" s="28" t="s">
        <v>10262</v>
      </c>
      <c r="M2729" s="28" t="s">
        <v>15217</v>
      </c>
      <c r="N2729" s="28" t="s">
        <v>10264</v>
      </c>
      <c r="O2729" s="28" t="s">
        <v>10265</v>
      </c>
      <c r="P2729" s="28" t="s">
        <v>10266</v>
      </c>
    </row>
    <row r="2730" spans="1:16" x14ac:dyDescent="0.25">
      <c r="A2730" s="28" t="s">
        <v>15218</v>
      </c>
      <c r="B2730" s="28" t="s">
        <v>15219</v>
      </c>
      <c r="C2730" s="28" t="s">
        <v>132</v>
      </c>
      <c r="D2730" s="28" t="s">
        <v>2821</v>
      </c>
      <c r="E2730" s="28" t="s">
        <v>15220</v>
      </c>
      <c r="F2730" s="28" t="s">
        <v>21</v>
      </c>
      <c r="G2730" s="28" t="s">
        <v>149</v>
      </c>
      <c r="H2730" s="28" t="s">
        <v>9633</v>
      </c>
      <c r="I2730" s="28" t="s">
        <v>15221</v>
      </c>
      <c r="J2730" s="28" t="s">
        <v>149</v>
      </c>
      <c r="K2730" s="28" t="s">
        <v>9722</v>
      </c>
      <c r="L2730" s="28" t="s">
        <v>9636</v>
      </c>
      <c r="M2730" s="28" t="s">
        <v>15222</v>
      </c>
      <c r="N2730" s="28" t="s">
        <v>9638</v>
      </c>
      <c r="O2730" s="28" t="s">
        <v>9639</v>
      </c>
      <c r="P2730" s="28" t="s">
        <v>15223</v>
      </c>
    </row>
    <row r="2731" spans="1:16" x14ac:dyDescent="0.25">
      <c r="A2731" s="28" t="s">
        <v>15224</v>
      </c>
      <c r="B2731" s="28" t="s">
        <v>15225</v>
      </c>
      <c r="C2731" s="28" t="s">
        <v>132</v>
      </c>
      <c r="D2731" s="28" t="s">
        <v>2843</v>
      </c>
      <c r="E2731" s="28" t="s">
        <v>15226</v>
      </c>
      <c r="F2731" s="28" t="s">
        <v>21</v>
      </c>
      <c r="G2731" s="28" t="s">
        <v>207</v>
      </c>
      <c r="H2731" s="28" t="s">
        <v>9633</v>
      </c>
      <c r="I2731" s="28" t="s">
        <v>15227</v>
      </c>
      <c r="J2731" s="28" t="s">
        <v>207</v>
      </c>
      <c r="K2731" s="28" t="s">
        <v>9635</v>
      </c>
      <c r="L2731" s="28" t="s">
        <v>9636</v>
      </c>
      <c r="M2731" s="28" t="s">
        <v>15228</v>
      </c>
      <c r="N2731" s="28" t="s">
        <v>9638</v>
      </c>
      <c r="O2731" s="28" t="s">
        <v>9639</v>
      </c>
      <c r="P2731" s="28" t="s">
        <v>15229</v>
      </c>
    </row>
    <row r="2732" spans="1:16" x14ac:dyDescent="0.25">
      <c r="A2732" s="28" t="s">
        <v>15230</v>
      </c>
      <c r="B2732" s="28" t="s">
        <v>15231</v>
      </c>
      <c r="C2732" s="28" t="s">
        <v>132</v>
      </c>
      <c r="D2732" s="28" t="s">
        <v>2879</v>
      </c>
      <c r="E2732" s="28" t="s">
        <v>15232</v>
      </c>
      <c r="F2732" s="28" t="s">
        <v>21</v>
      </c>
      <c r="G2732" s="28" t="s">
        <v>149</v>
      </c>
      <c r="H2732" s="28" t="s">
        <v>9633</v>
      </c>
      <c r="I2732" s="28" t="s">
        <v>15233</v>
      </c>
      <c r="J2732" s="28" t="s">
        <v>149</v>
      </c>
      <c r="K2732" s="28" t="s">
        <v>9722</v>
      </c>
      <c r="L2732" s="28" t="s">
        <v>9636</v>
      </c>
      <c r="M2732" s="28" t="s">
        <v>15234</v>
      </c>
      <c r="N2732" s="28" t="s">
        <v>9638</v>
      </c>
      <c r="O2732" s="28" t="s">
        <v>9639</v>
      </c>
      <c r="P2732" s="28" t="s">
        <v>15235</v>
      </c>
    </row>
    <row r="2733" spans="1:16" x14ac:dyDescent="0.25">
      <c r="A2733" s="28" t="s">
        <v>15236</v>
      </c>
      <c r="B2733" s="28" t="s">
        <v>15237</v>
      </c>
      <c r="C2733" s="28" t="s">
        <v>132</v>
      </c>
      <c r="D2733" s="28" t="s">
        <v>15238</v>
      </c>
      <c r="E2733" s="28" t="s">
        <v>15239</v>
      </c>
      <c r="F2733" s="28" t="s">
        <v>21</v>
      </c>
      <c r="G2733" s="28" t="s">
        <v>149</v>
      </c>
      <c r="H2733" s="28" t="s">
        <v>9633</v>
      </c>
      <c r="I2733" s="28" t="s">
        <v>15240</v>
      </c>
      <c r="J2733" s="28" t="s">
        <v>149</v>
      </c>
      <c r="K2733" s="28" t="s">
        <v>9722</v>
      </c>
      <c r="L2733" s="28" t="s">
        <v>9636</v>
      </c>
      <c r="M2733" s="28" t="s">
        <v>15241</v>
      </c>
      <c r="N2733" s="28" t="s">
        <v>9638</v>
      </c>
      <c r="O2733" s="28" t="s">
        <v>9639</v>
      </c>
      <c r="P2733" s="28" t="s">
        <v>15242</v>
      </c>
    </row>
    <row r="2734" spans="1:16" x14ac:dyDescent="0.25">
      <c r="A2734" s="28" t="s">
        <v>15243</v>
      </c>
      <c r="B2734" s="28" t="s">
        <v>15244</v>
      </c>
      <c r="C2734" s="28" t="s">
        <v>132</v>
      </c>
      <c r="D2734" s="28" t="s">
        <v>15238</v>
      </c>
      <c r="E2734" s="28" t="s">
        <v>15245</v>
      </c>
      <c r="F2734" s="28" t="s">
        <v>21</v>
      </c>
      <c r="G2734" s="28" t="s">
        <v>135</v>
      </c>
      <c r="H2734" s="28" t="s">
        <v>10259</v>
      </c>
      <c r="I2734" s="28" t="s">
        <v>15246</v>
      </c>
      <c r="J2734" s="28" t="s">
        <v>135</v>
      </c>
      <c r="K2734" s="28" t="s">
        <v>10551</v>
      </c>
      <c r="L2734" s="28" t="s">
        <v>10262</v>
      </c>
      <c r="M2734" s="28" t="s">
        <v>15247</v>
      </c>
      <c r="N2734" s="28" t="s">
        <v>10264</v>
      </c>
      <c r="O2734" s="28" t="s">
        <v>10265</v>
      </c>
      <c r="P2734" s="28" t="s">
        <v>10266</v>
      </c>
    </row>
    <row r="2735" spans="1:16" x14ac:dyDescent="0.25">
      <c r="A2735" s="28" t="s">
        <v>15248</v>
      </c>
      <c r="B2735" s="28" t="s">
        <v>15249</v>
      </c>
      <c r="C2735" s="28" t="s">
        <v>132</v>
      </c>
      <c r="D2735" s="28" t="s">
        <v>2895</v>
      </c>
      <c r="E2735" s="28" t="s">
        <v>5355</v>
      </c>
      <c r="F2735" s="28" t="s">
        <v>21</v>
      </c>
      <c r="G2735" s="28" t="s">
        <v>135</v>
      </c>
      <c r="H2735" s="28" t="s">
        <v>10259</v>
      </c>
      <c r="I2735" s="28" t="s">
        <v>15250</v>
      </c>
      <c r="J2735" s="28" t="s">
        <v>135</v>
      </c>
      <c r="K2735" s="28" t="s">
        <v>10551</v>
      </c>
      <c r="L2735" s="28" t="s">
        <v>10262</v>
      </c>
      <c r="M2735" s="28" t="s">
        <v>15251</v>
      </c>
      <c r="N2735" s="28" t="s">
        <v>10264</v>
      </c>
      <c r="O2735" s="28" t="s">
        <v>10265</v>
      </c>
      <c r="P2735" s="28" t="s">
        <v>10266</v>
      </c>
    </row>
    <row r="2736" spans="1:16" x14ac:dyDescent="0.25">
      <c r="A2736" s="28" t="s">
        <v>15252</v>
      </c>
      <c r="B2736" s="28" t="s">
        <v>15253</v>
      </c>
      <c r="C2736" s="28" t="s">
        <v>132</v>
      </c>
      <c r="D2736" s="28" t="s">
        <v>15254</v>
      </c>
      <c r="E2736" s="28" t="s">
        <v>15255</v>
      </c>
      <c r="F2736" s="28" t="s">
        <v>21</v>
      </c>
      <c r="G2736" s="28" t="s">
        <v>135</v>
      </c>
      <c r="H2736" s="28" t="s">
        <v>10259</v>
      </c>
      <c r="I2736" s="28" t="s">
        <v>15256</v>
      </c>
      <c r="J2736" s="28" t="s">
        <v>135</v>
      </c>
      <c r="K2736" s="28" t="s">
        <v>10551</v>
      </c>
      <c r="L2736" s="28" t="s">
        <v>10262</v>
      </c>
      <c r="M2736" s="28" t="s">
        <v>15257</v>
      </c>
      <c r="N2736" s="28" t="s">
        <v>10264</v>
      </c>
      <c r="O2736" s="28" t="s">
        <v>10265</v>
      </c>
      <c r="P2736" s="28" t="s">
        <v>10266</v>
      </c>
    </row>
    <row r="2737" spans="1:16" x14ac:dyDescent="0.25">
      <c r="A2737" s="28" t="s">
        <v>15258</v>
      </c>
      <c r="B2737" s="28" t="s">
        <v>15259</v>
      </c>
      <c r="C2737" s="28" t="s">
        <v>132</v>
      </c>
      <c r="D2737" s="28" t="s">
        <v>9275</v>
      </c>
      <c r="E2737" s="28" t="s">
        <v>15260</v>
      </c>
      <c r="F2737" s="28" t="s">
        <v>21</v>
      </c>
      <c r="G2737" s="28" t="s">
        <v>135</v>
      </c>
      <c r="H2737" s="28" t="s">
        <v>10259</v>
      </c>
      <c r="I2737" s="28" t="s">
        <v>15261</v>
      </c>
      <c r="J2737" s="28" t="s">
        <v>135</v>
      </c>
      <c r="K2737" s="28" t="s">
        <v>10551</v>
      </c>
      <c r="L2737" s="28" t="s">
        <v>10262</v>
      </c>
      <c r="M2737" s="28" t="s">
        <v>15262</v>
      </c>
      <c r="N2737" s="28" t="s">
        <v>10264</v>
      </c>
      <c r="O2737" s="28" t="s">
        <v>10265</v>
      </c>
      <c r="P2737" s="28" t="s">
        <v>10266</v>
      </c>
    </row>
    <row r="2738" spans="1:16" x14ac:dyDescent="0.25">
      <c r="A2738" s="28" t="s">
        <v>15263</v>
      </c>
      <c r="B2738" s="28" t="s">
        <v>15264</v>
      </c>
      <c r="C2738" s="28" t="s">
        <v>132</v>
      </c>
      <c r="D2738" s="28" t="s">
        <v>15265</v>
      </c>
      <c r="E2738" s="28" t="s">
        <v>15266</v>
      </c>
      <c r="F2738" s="28" t="s">
        <v>21</v>
      </c>
      <c r="G2738" s="28" t="s">
        <v>207</v>
      </c>
      <c r="H2738" s="28" t="s">
        <v>9633</v>
      </c>
      <c r="I2738" s="28" t="s">
        <v>15267</v>
      </c>
      <c r="J2738" s="28" t="s">
        <v>207</v>
      </c>
      <c r="K2738" s="28" t="s">
        <v>9635</v>
      </c>
      <c r="L2738" s="28" t="s">
        <v>9636</v>
      </c>
      <c r="M2738" s="28" t="s">
        <v>15268</v>
      </c>
      <c r="N2738" s="28" t="s">
        <v>9638</v>
      </c>
      <c r="O2738" s="28" t="s">
        <v>9639</v>
      </c>
      <c r="P2738" s="28" t="s">
        <v>15269</v>
      </c>
    </row>
    <row r="2739" spans="1:16" x14ac:dyDescent="0.25">
      <c r="A2739" s="28" t="s">
        <v>15270</v>
      </c>
      <c r="B2739" s="28" t="s">
        <v>15271</v>
      </c>
      <c r="C2739" s="28" t="s">
        <v>132</v>
      </c>
      <c r="D2739" s="28" t="s">
        <v>1657</v>
      </c>
      <c r="E2739" s="28" t="s">
        <v>15272</v>
      </c>
      <c r="F2739" s="28" t="s">
        <v>21</v>
      </c>
      <c r="G2739" s="28" t="s">
        <v>149</v>
      </c>
      <c r="H2739" s="28" t="s">
        <v>9633</v>
      </c>
      <c r="I2739" s="28" t="s">
        <v>15273</v>
      </c>
      <c r="J2739" s="28" t="s">
        <v>149</v>
      </c>
      <c r="K2739" s="28" t="s">
        <v>9722</v>
      </c>
      <c r="L2739" s="28" t="s">
        <v>9636</v>
      </c>
      <c r="M2739" s="28" t="s">
        <v>15274</v>
      </c>
      <c r="N2739" s="28" t="s">
        <v>9638</v>
      </c>
      <c r="O2739" s="28" t="s">
        <v>9639</v>
      </c>
      <c r="P2739" s="28" t="s">
        <v>15275</v>
      </c>
    </row>
    <row r="2740" spans="1:16" x14ac:dyDescent="0.25">
      <c r="A2740" s="28" t="s">
        <v>15276</v>
      </c>
      <c r="B2740" s="28" t="s">
        <v>15277</v>
      </c>
      <c r="C2740" s="28" t="s">
        <v>132</v>
      </c>
      <c r="D2740" s="28" t="s">
        <v>1657</v>
      </c>
      <c r="E2740" s="28" t="s">
        <v>15278</v>
      </c>
      <c r="F2740" s="28" t="s">
        <v>21</v>
      </c>
      <c r="G2740" s="28" t="s">
        <v>149</v>
      </c>
      <c r="H2740" s="28" t="s">
        <v>9633</v>
      </c>
      <c r="I2740" s="28" t="s">
        <v>15279</v>
      </c>
      <c r="J2740" s="28" t="s">
        <v>149</v>
      </c>
      <c r="K2740" s="28" t="s">
        <v>9722</v>
      </c>
      <c r="L2740" s="28" t="s">
        <v>9636</v>
      </c>
      <c r="M2740" s="28" t="s">
        <v>15280</v>
      </c>
      <c r="N2740" s="28" t="s">
        <v>9638</v>
      </c>
      <c r="O2740" s="28" t="s">
        <v>9639</v>
      </c>
      <c r="P2740" s="28" t="s">
        <v>15281</v>
      </c>
    </row>
    <row r="2741" spans="1:16" x14ac:dyDescent="0.25">
      <c r="A2741" s="28" t="s">
        <v>15282</v>
      </c>
      <c r="B2741" s="28" t="s">
        <v>15283</v>
      </c>
      <c r="C2741" s="28" t="s">
        <v>132</v>
      </c>
      <c r="D2741" s="28" t="s">
        <v>1318</v>
      </c>
      <c r="E2741" s="28" t="s">
        <v>15284</v>
      </c>
      <c r="F2741" s="28" t="s">
        <v>21</v>
      </c>
      <c r="G2741" s="28" t="s">
        <v>207</v>
      </c>
      <c r="H2741" s="28" t="s">
        <v>9633</v>
      </c>
      <c r="I2741" s="28" t="s">
        <v>15285</v>
      </c>
      <c r="J2741" s="28" t="s">
        <v>207</v>
      </c>
      <c r="K2741" s="28" t="s">
        <v>9635</v>
      </c>
      <c r="L2741" s="28" t="s">
        <v>9636</v>
      </c>
      <c r="M2741" s="28" t="s">
        <v>15286</v>
      </c>
      <c r="N2741" s="28" t="s">
        <v>9638</v>
      </c>
      <c r="O2741" s="28" t="s">
        <v>9639</v>
      </c>
      <c r="P2741" s="28" t="s">
        <v>15287</v>
      </c>
    </row>
    <row r="2742" spans="1:16" x14ac:dyDescent="0.25">
      <c r="A2742" s="28" t="s">
        <v>15288</v>
      </c>
      <c r="B2742" s="28" t="s">
        <v>15289</v>
      </c>
      <c r="C2742" s="28" t="s">
        <v>132</v>
      </c>
      <c r="D2742" s="28" t="s">
        <v>1318</v>
      </c>
      <c r="E2742" s="28" t="s">
        <v>1333</v>
      </c>
      <c r="F2742" s="28" t="s">
        <v>21</v>
      </c>
      <c r="G2742" s="28" t="s">
        <v>39</v>
      </c>
      <c r="H2742" s="28" t="s">
        <v>9711</v>
      </c>
      <c r="I2742" s="28" t="s">
        <v>15290</v>
      </c>
      <c r="J2742" s="28" t="s">
        <v>39</v>
      </c>
      <c r="K2742" s="28" t="s">
        <v>10506</v>
      </c>
      <c r="L2742" s="28" t="s">
        <v>9714</v>
      </c>
      <c r="M2742" s="28" t="s">
        <v>15291</v>
      </c>
      <c r="N2742" s="28" t="s">
        <v>9716</v>
      </c>
      <c r="O2742" s="28" t="s">
        <v>9717</v>
      </c>
      <c r="P2742" s="28" t="s">
        <v>15292</v>
      </c>
    </row>
    <row r="2743" spans="1:16" x14ac:dyDescent="0.25">
      <c r="A2743" s="28" t="s">
        <v>15293</v>
      </c>
      <c r="B2743" s="28" t="s">
        <v>15294</v>
      </c>
      <c r="C2743" s="28" t="s">
        <v>132</v>
      </c>
      <c r="D2743" s="28" t="s">
        <v>1318</v>
      </c>
      <c r="E2743" s="28" t="s">
        <v>1333</v>
      </c>
      <c r="F2743" s="28" t="s">
        <v>21</v>
      </c>
      <c r="G2743" s="28" t="s">
        <v>39</v>
      </c>
      <c r="H2743" s="28" t="s">
        <v>9711</v>
      </c>
      <c r="I2743" s="28" t="s">
        <v>15295</v>
      </c>
      <c r="J2743" s="28" t="s">
        <v>39</v>
      </c>
      <c r="K2743" s="28" t="s">
        <v>10506</v>
      </c>
      <c r="L2743" s="28" t="s">
        <v>9714</v>
      </c>
      <c r="M2743" s="28" t="s">
        <v>15296</v>
      </c>
      <c r="N2743" s="28" t="s">
        <v>9716</v>
      </c>
      <c r="O2743" s="28" t="s">
        <v>9717</v>
      </c>
      <c r="P2743" s="28" t="s">
        <v>15297</v>
      </c>
    </row>
    <row r="2744" spans="1:16" x14ac:dyDescent="0.25">
      <c r="A2744" s="28" t="s">
        <v>15298</v>
      </c>
      <c r="B2744" s="28" t="s">
        <v>15299</v>
      </c>
      <c r="C2744" s="28" t="s">
        <v>132</v>
      </c>
      <c r="D2744" s="28" t="s">
        <v>1318</v>
      </c>
      <c r="E2744" s="28" t="s">
        <v>1333</v>
      </c>
      <c r="F2744" s="28" t="s">
        <v>21</v>
      </c>
      <c r="G2744" s="28" t="s">
        <v>39</v>
      </c>
      <c r="H2744" s="28" t="s">
        <v>9711</v>
      </c>
      <c r="I2744" s="28" t="s">
        <v>15300</v>
      </c>
      <c r="J2744" s="28" t="s">
        <v>39</v>
      </c>
      <c r="K2744" s="28" t="s">
        <v>10506</v>
      </c>
      <c r="L2744" s="28" t="s">
        <v>9714</v>
      </c>
      <c r="M2744" s="28" t="s">
        <v>15301</v>
      </c>
      <c r="N2744" s="28" t="s">
        <v>9716</v>
      </c>
      <c r="O2744" s="28" t="s">
        <v>9717</v>
      </c>
      <c r="P2744" s="28" t="s">
        <v>15302</v>
      </c>
    </row>
    <row r="2745" spans="1:16" x14ac:dyDescent="0.25">
      <c r="A2745" s="28" t="s">
        <v>15303</v>
      </c>
      <c r="B2745" s="28" t="s">
        <v>15304</v>
      </c>
      <c r="C2745" s="28" t="s">
        <v>132</v>
      </c>
      <c r="D2745" s="28" t="s">
        <v>1318</v>
      </c>
      <c r="E2745" s="28" t="s">
        <v>15305</v>
      </c>
      <c r="F2745" s="28" t="s">
        <v>21</v>
      </c>
      <c r="G2745" s="28" t="s">
        <v>207</v>
      </c>
      <c r="H2745" s="28" t="s">
        <v>9633</v>
      </c>
      <c r="I2745" s="28" t="s">
        <v>15306</v>
      </c>
      <c r="J2745" s="28" t="s">
        <v>207</v>
      </c>
      <c r="K2745" s="28" t="s">
        <v>9635</v>
      </c>
      <c r="L2745" s="28" t="s">
        <v>9636</v>
      </c>
      <c r="M2745" s="28" t="s">
        <v>15307</v>
      </c>
      <c r="N2745" s="28" t="s">
        <v>9638</v>
      </c>
      <c r="O2745" s="28" t="s">
        <v>9639</v>
      </c>
      <c r="P2745" s="28" t="s">
        <v>15308</v>
      </c>
    </row>
    <row r="2746" spans="1:16" x14ac:dyDescent="0.25">
      <c r="A2746" s="28" t="s">
        <v>15309</v>
      </c>
      <c r="B2746" s="28" t="s">
        <v>15310</v>
      </c>
      <c r="C2746" s="28" t="s">
        <v>132</v>
      </c>
      <c r="D2746" s="28" t="s">
        <v>1318</v>
      </c>
      <c r="E2746" s="28" t="s">
        <v>15311</v>
      </c>
      <c r="F2746" s="28" t="s">
        <v>21</v>
      </c>
      <c r="G2746" s="28" t="s">
        <v>207</v>
      </c>
      <c r="H2746" s="28" t="s">
        <v>9633</v>
      </c>
      <c r="I2746" s="28" t="s">
        <v>15312</v>
      </c>
      <c r="J2746" s="28" t="s">
        <v>207</v>
      </c>
      <c r="K2746" s="28" t="s">
        <v>9635</v>
      </c>
      <c r="L2746" s="28" t="s">
        <v>9636</v>
      </c>
      <c r="M2746" s="28" t="s">
        <v>15313</v>
      </c>
      <c r="N2746" s="28" t="s">
        <v>9638</v>
      </c>
      <c r="O2746" s="28" t="s">
        <v>9639</v>
      </c>
      <c r="P2746" s="28" t="s">
        <v>15314</v>
      </c>
    </row>
    <row r="2747" spans="1:16" x14ac:dyDescent="0.25">
      <c r="A2747" s="28" t="s">
        <v>15315</v>
      </c>
      <c r="B2747" s="28" t="s">
        <v>15316</v>
      </c>
      <c r="C2747" s="28" t="s">
        <v>132</v>
      </c>
      <c r="D2747" s="28" t="s">
        <v>1318</v>
      </c>
      <c r="E2747" s="28" t="s">
        <v>1349</v>
      </c>
      <c r="F2747" s="28" t="s">
        <v>21</v>
      </c>
      <c r="G2747" s="28" t="s">
        <v>39</v>
      </c>
      <c r="H2747" s="28" t="s">
        <v>9711</v>
      </c>
      <c r="I2747" s="28" t="s">
        <v>15317</v>
      </c>
      <c r="J2747" s="28" t="s">
        <v>39</v>
      </c>
      <c r="K2747" s="28" t="s">
        <v>10506</v>
      </c>
      <c r="L2747" s="28" t="s">
        <v>9714</v>
      </c>
      <c r="M2747" s="28" t="s">
        <v>15318</v>
      </c>
      <c r="N2747" s="28" t="s">
        <v>9716</v>
      </c>
      <c r="O2747" s="28" t="s">
        <v>9717</v>
      </c>
      <c r="P2747" s="28" t="s">
        <v>15319</v>
      </c>
    </row>
    <row r="2748" spans="1:16" x14ac:dyDescent="0.25">
      <c r="A2748" s="28" t="s">
        <v>15320</v>
      </c>
      <c r="B2748" s="28" t="s">
        <v>15321</v>
      </c>
      <c r="C2748" s="28" t="s">
        <v>132</v>
      </c>
      <c r="D2748" s="28" t="s">
        <v>1318</v>
      </c>
      <c r="E2748" s="28" t="s">
        <v>1349</v>
      </c>
      <c r="F2748" s="28" t="s">
        <v>21</v>
      </c>
      <c r="G2748" s="28" t="s">
        <v>39</v>
      </c>
      <c r="H2748" s="28" t="s">
        <v>9711</v>
      </c>
      <c r="I2748" s="28" t="s">
        <v>15322</v>
      </c>
      <c r="J2748" s="28" t="s">
        <v>39</v>
      </c>
      <c r="K2748" s="28" t="s">
        <v>10506</v>
      </c>
      <c r="L2748" s="28" t="s">
        <v>9714</v>
      </c>
      <c r="M2748" s="28" t="s">
        <v>15323</v>
      </c>
      <c r="N2748" s="28" t="s">
        <v>9716</v>
      </c>
      <c r="O2748" s="28" t="s">
        <v>9717</v>
      </c>
      <c r="P2748" s="28" t="s">
        <v>15324</v>
      </c>
    </row>
    <row r="2749" spans="1:16" x14ac:dyDescent="0.25">
      <c r="A2749" s="28" t="s">
        <v>15325</v>
      </c>
      <c r="B2749" s="28" t="s">
        <v>15326</v>
      </c>
      <c r="C2749" s="28" t="s">
        <v>132</v>
      </c>
      <c r="D2749" s="28" t="s">
        <v>1318</v>
      </c>
      <c r="E2749" s="28" t="s">
        <v>1349</v>
      </c>
      <c r="F2749" s="28" t="s">
        <v>21</v>
      </c>
      <c r="G2749" s="28" t="s">
        <v>39</v>
      </c>
      <c r="H2749" s="28" t="s">
        <v>9711</v>
      </c>
      <c r="I2749" s="28" t="s">
        <v>15327</v>
      </c>
      <c r="J2749" s="28" t="s">
        <v>39</v>
      </c>
      <c r="K2749" s="28" t="s">
        <v>10506</v>
      </c>
      <c r="L2749" s="28" t="s">
        <v>9714</v>
      </c>
      <c r="M2749" s="28" t="s">
        <v>15328</v>
      </c>
      <c r="N2749" s="28" t="s">
        <v>9716</v>
      </c>
      <c r="O2749" s="28" t="s">
        <v>9717</v>
      </c>
      <c r="P2749" s="28" t="s">
        <v>15329</v>
      </c>
    </row>
    <row r="2750" spans="1:16" x14ac:dyDescent="0.25">
      <c r="A2750" s="28" t="s">
        <v>15330</v>
      </c>
      <c r="B2750" s="28" t="s">
        <v>15331</v>
      </c>
      <c r="C2750" s="28" t="s">
        <v>132</v>
      </c>
      <c r="D2750" s="28" t="s">
        <v>3068</v>
      </c>
      <c r="E2750" s="28" t="s">
        <v>15332</v>
      </c>
      <c r="F2750" s="28" t="s">
        <v>21</v>
      </c>
      <c r="G2750" s="28" t="s">
        <v>207</v>
      </c>
      <c r="H2750" s="28" t="s">
        <v>9633</v>
      </c>
      <c r="I2750" s="28" t="s">
        <v>15333</v>
      </c>
      <c r="J2750" s="28" t="s">
        <v>207</v>
      </c>
      <c r="K2750" s="28" t="s">
        <v>9635</v>
      </c>
      <c r="L2750" s="28" t="s">
        <v>9636</v>
      </c>
      <c r="M2750" s="28" t="s">
        <v>15334</v>
      </c>
      <c r="N2750" s="28" t="s">
        <v>9638</v>
      </c>
      <c r="O2750" s="28" t="s">
        <v>9639</v>
      </c>
      <c r="P2750" s="28" t="s">
        <v>15335</v>
      </c>
    </row>
    <row r="2751" spans="1:16" x14ac:dyDescent="0.25">
      <c r="A2751" s="28" t="s">
        <v>15336</v>
      </c>
      <c r="B2751" s="28" t="s">
        <v>15337</v>
      </c>
      <c r="C2751" s="28" t="s">
        <v>132</v>
      </c>
      <c r="D2751" s="28" t="s">
        <v>3068</v>
      </c>
      <c r="E2751" s="28" t="s">
        <v>15338</v>
      </c>
      <c r="F2751" s="28" t="s">
        <v>21</v>
      </c>
      <c r="G2751" s="28" t="s">
        <v>207</v>
      </c>
      <c r="H2751" s="28" t="s">
        <v>9633</v>
      </c>
      <c r="I2751" s="28" t="s">
        <v>15339</v>
      </c>
      <c r="J2751" s="28" t="s">
        <v>207</v>
      </c>
      <c r="K2751" s="28" t="s">
        <v>9635</v>
      </c>
      <c r="L2751" s="28" t="s">
        <v>9636</v>
      </c>
      <c r="M2751" s="28" t="s">
        <v>15340</v>
      </c>
      <c r="N2751" s="28" t="s">
        <v>9638</v>
      </c>
      <c r="O2751" s="28" t="s">
        <v>9639</v>
      </c>
      <c r="P2751" s="28" t="s">
        <v>15341</v>
      </c>
    </row>
    <row r="2752" spans="1:16" x14ac:dyDescent="0.25">
      <c r="A2752" s="28" t="s">
        <v>15342</v>
      </c>
      <c r="B2752" s="28" t="s">
        <v>15343</v>
      </c>
      <c r="C2752" s="28" t="s">
        <v>132</v>
      </c>
      <c r="D2752" s="28" t="s">
        <v>3068</v>
      </c>
      <c r="E2752" s="28" t="s">
        <v>15344</v>
      </c>
      <c r="F2752" s="28" t="s">
        <v>21</v>
      </c>
      <c r="G2752" s="28" t="s">
        <v>207</v>
      </c>
      <c r="H2752" s="28" t="s">
        <v>9633</v>
      </c>
      <c r="I2752" s="28" t="s">
        <v>15345</v>
      </c>
      <c r="J2752" s="28" t="s">
        <v>207</v>
      </c>
      <c r="K2752" s="28" t="s">
        <v>9635</v>
      </c>
      <c r="L2752" s="28" t="s">
        <v>9636</v>
      </c>
      <c r="M2752" s="28" t="s">
        <v>15346</v>
      </c>
      <c r="N2752" s="28" t="s">
        <v>9638</v>
      </c>
      <c r="O2752" s="28" t="s">
        <v>9639</v>
      </c>
      <c r="P2752" s="28" t="s">
        <v>15347</v>
      </c>
    </row>
    <row r="2753" spans="1:16" x14ac:dyDescent="0.25">
      <c r="A2753" s="28" t="s">
        <v>15348</v>
      </c>
      <c r="B2753" s="28" t="s">
        <v>15349</v>
      </c>
      <c r="C2753" s="28" t="s">
        <v>132</v>
      </c>
      <c r="D2753" s="28" t="s">
        <v>3068</v>
      </c>
      <c r="E2753" s="28" t="s">
        <v>15350</v>
      </c>
      <c r="F2753" s="28" t="s">
        <v>21</v>
      </c>
      <c r="G2753" s="28" t="s">
        <v>207</v>
      </c>
      <c r="H2753" s="28" t="s">
        <v>9633</v>
      </c>
      <c r="I2753" s="28" t="s">
        <v>15351</v>
      </c>
      <c r="J2753" s="28" t="s">
        <v>207</v>
      </c>
      <c r="K2753" s="28" t="s">
        <v>9635</v>
      </c>
      <c r="L2753" s="28" t="s">
        <v>9636</v>
      </c>
      <c r="M2753" s="28" t="s">
        <v>15352</v>
      </c>
      <c r="N2753" s="28" t="s">
        <v>9638</v>
      </c>
      <c r="O2753" s="28" t="s">
        <v>9639</v>
      </c>
      <c r="P2753" s="28" t="s">
        <v>15353</v>
      </c>
    </row>
    <row r="2754" spans="1:16" x14ac:dyDescent="0.25">
      <c r="A2754" s="28" t="s">
        <v>15354</v>
      </c>
      <c r="B2754" s="28" t="s">
        <v>15355</v>
      </c>
      <c r="C2754" s="28" t="s">
        <v>132</v>
      </c>
      <c r="D2754" s="28" t="s">
        <v>3424</v>
      </c>
      <c r="E2754" s="28" t="s">
        <v>3482</v>
      </c>
      <c r="F2754" s="28" t="s">
        <v>21</v>
      </c>
      <c r="G2754" s="28" t="s">
        <v>149</v>
      </c>
      <c r="H2754" s="28" t="s">
        <v>9633</v>
      </c>
      <c r="I2754" s="28" t="s">
        <v>15356</v>
      </c>
      <c r="J2754" s="28" t="s">
        <v>149</v>
      </c>
      <c r="K2754" s="28" t="s">
        <v>9722</v>
      </c>
      <c r="L2754" s="28" t="s">
        <v>9636</v>
      </c>
      <c r="M2754" s="28" t="s">
        <v>15357</v>
      </c>
      <c r="N2754" s="28" t="s">
        <v>9638</v>
      </c>
      <c r="O2754" s="28" t="s">
        <v>9639</v>
      </c>
      <c r="P2754" s="28" t="s">
        <v>15358</v>
      </c>
    </row>
    <row r="2755" spans="1:16" x14ac:dyDescent="0.25">
      <c r="A2755" s="28" t="s">
        <v>15359</v>
      </c>
      <c r="B2755" s="28" t="s">
        <v>15360</v>
      </c>
      <c r="C2755" s="28" t="s">
        <v>132</v>
      </c>
      <c r="D2755" s="28" t="s">
        <v>3424</v>
      </c>
      <c r="E2755" s="28" t="s">
        <v>3491</v>
      </c>
      <c r="F2755" s="28" t="s">
        <v>21</v>
      </c>
      <c r="G2755" s="28" t="s">
        <v>149</v>
      </c>
      <c r="H2755" s="28" t="s">
        <v>9633</v>
      </c>
      <c r="I2755" s="28" t="s">
        <v>15361</v>
      </c>
      <c r="J2755" s="28" t="s">
        <v>149</v>
      </c>
      <c r="K2755" s="28" t="s">
        <v>9722</v>
      </c>
      <c r="L2755" s="28" t="s">
        <v>9636</v>
      </c>
      <c r="M2755" s="28" t="s">
        <v>15362</v>
      </c>
      <c r="N2755" s="28" t="s">
        <v>9638</v>
      </c>
      <c r="O2755" s="28" t="s">
        <v>9639</v>
      </c>
      <c r="P2755" s="28" t="s">
        <v>15363</v>
      </c>
    </row>
    <row r="2756" spans="1:16" x14ac:dyDescent="0.25">
      <c r="A2756" s="28" t="s">
        <v>15364</v>
      </c>
      <c r="B2756" s="28" t="s">
        <v>15365</v>
      </c>
      <c r="C2756" s="28" t="s">
        <v>132</v>
      </c>
      <c r="D2756" s="28" t="s">
        <v>3424</v>
      </c>
      <c r="E2756" s="28" t="s">
        <v>15366</v>
      </c>
      <c r="F2756" s="28" t="s">
        <v>21</v>
      </c>
      <c r="G2756" s="28" t="s">
        <v>149</v>
      </c>
      <c r="H2756" s="28" t="s">
        <v>9633</v>
      </c>
      <c r="I2756" s="28" t="s">
        <v>15367</v>
      </c>
      <c r="J2756" s="28" t="s">
        <v>149</v>
      </c>
      <c r="K2756" s="28" t="s">
        <v>9722</v>
      </c>
      <c r="L2756" s="28" t="s">
        <v>9636</v>
      </c>
      <c r="M2756" s="28" t="s">
        <v>15368</v>
      </c>
      <c r="N2756" s="28" t="s">
        <v>9638</v>
      </c>
      <c r="O2756" s="28" t="s">
        <v>9639</v>
      </c>
      <c r="P2756" s="28" t="s">
        <v>15369</v>
      </c>
    </row>
    <row r="2757" spans="1:16" x14ac:dyDescent="0.25">
      <c r="A2757" s="28" t="s">
        <v>15370</v>
      </c>
      <c r="B2757" s="28" t="s">
        <v>15371</v>
      </c>
      <c r="C2757" s="28" t="s">
        <v>132</v>
      </c>
      <c r="D2757" s="28" t="s">
        <v>3424</v>
      </c>
      <c r="E2757" s="28" t="s">
        <v>15372</v>
      </c>
      <c r="F2757" s="28" t="s">
        <v>21</v>
      </c>
      <c r="G2757" s="28" t="s">
        <v>149</v>
      </c>
      <c r="H2757" s="28" t="s">
        <v>9633</v>
      </c>
      <c r="I2757" s="28" t="s">
        <v>15373</v>
      </c>
      <c r="J2757" s="28" t="s">
        <v>149</v>
      </c>
      <c r="K2757" s="28" t="s">
        <v>9722</v>
      </c>
      <c r="L2757" s="28" t="s">
        <v>9636</v>
      </c>
      <c r="M2757" s="28" t="s">
        <v>15374</v>
      </c>
      <c r="N2757" s="28" t="s">
        <v>9638</v>
      </c>
      <c r="O2757" s="28" t="s">
        <v>9639</v>
      </c>
      <c r="P2757" s="28" t="s">
        <v>15375</v>
      </c>
    </row>
    <row r="2758" spans="1:16" x14ac:dyDescent="0.25">
      <c r="A2758" s="28" t="s">
        <v>15376</v>
      </c>
      <c r="B2758" s="28" t="s">
        <v>15377</v>
      </c>
      <c r="C2758" s="28" t="s">
        <v>132</v>
      </c>
      <c r="D2758" s="28" t="s">
        <v>15378</v>
      </c>
      <c r="E2758" s="28" t="s">
        <v>15379</v>
      </c>
      <c r="F2758" s="28" t="s">
        <v>21</v>
      </c>
      <c r="G2758" s="28" t="s">
        <v>149</v>
      </c>
      <c r="H2758" s="28" t="s">
        <v>9633</v>
      </c>
      <c r="I2758" s="28" t="s">
        <v>15380</v>
      </c>
      <c r="J2758" s="28" t="s">
        <v>149</v>
      </c>
      <c r="K2758" s="28" t="s">
        <v>9722</v>
      </c>
      <c r="L2758" s="28" t="s">
        <v>9636</v>
      </c>
      <c r="M2758" s="28" t="s">
        <v>15381</v>
      </c>
      <c r="N2758" s="28" t="s">
        <v>9638</v>
      </c>
      <c r="O2758" s="28" t="s">
        <v>9639</v>
      </c>
      <c r="P2758" s="28" t="s">
        <v>15382</v>
      </c>
    </row>
    <row r="2759" spans="1:16" x14ac:dyDescent="0.25">
      <c r="A2759" s="28" t="s">
        <v>15383</v>
      </c>
      <c r="B2759" s="28" t="s">
        <v>15384</v>
      </c>
      <c r="C2759" s="28" t="s">
        <v>132</v>
      </c>
      <c r="D2759" s="28" t="s">
        <v>3625</v>
      </c>
      <c r="E2759" s="28" t="s">
        <v>15385</v>
      </c>
      <c r="F2759" s="28" t="s">
        <v>21</v>
      </c>
      <c r="G2759" s="28" t="s">
        <v>149</v>
      </c>
      <c r="H2759" s="28" t="s">
        <v>9633</v>
      </c>
      <c r="I2759" s="28" t="s">
        <v>15386</v>
      </c>
      <c r="J2759" s="28" t="s">
        <v>149</v>
      </c>
      <c r="K2759" s="28" t="s">
        <v>9722</v>
      </c>
      <c r="L2759" s="28" t="s">
        <v>9636</v>
      </c>
      <c r="M2759" s="28" t="s">
        <v>15387</v>
      </c>
      <c r="N2759" s="28" t="s">
        <v>9638</v>
      </c>
      <c r="O2759" s="28" t="s">
        <v>9639</v>
      </c>
      <c r="P2759" s="28" t="s">
        <v>15388</v>
      </c>
    </row>
    <row r="2760" spans="1:16" x14ac:dyDescent="0.25">
      <c r="A2760" s="28" t="s">
        <v>15389</v>
      </c>
      <c r="B2760" s="28" t="s">
        <v>15390</v>
      </c>
      <c r="C2760" s="28" t="s">
        <v>132</v>
      </c>
      <c r="D2760" s="28" t="s">
        <v>3625</v>
      </c>
      <c r="E2760" s="28" t="s">
        <v>3642</v>
      </c>
      <c r="F2760" s="28" t="s">
        <v>21</v>
      </c>
      <c r="G2760" s="28" t="s">
        <v>149</v>
      </c>
      <c r="H2760" s="28" t="s">
        <v>9633</v>
      </c>
      <c r="I2760" s="28" t="s">
        <v>15391</v>
      </c>
      <c r="J2760" s="28" t="s">
        <v>149</v>
      </c>
      <c r="K2760" s="28" t="s">
        <v>9722</v>
      </c>
      <c r="L2760" s="28" t="s">
        <v>9636</v>
      </c>
      <c r="M2760" s="28" t="s">
        <v>15392</v>
      </c>
      <c r="N2760" s="28" t="s">
        <v>9638</v>
      </c>
      <c r="O2760" s="28" t="s">
        <v>9639</v>
      </c>
      <c r="P2760" s="28" t="s">
        <v>15393</v>
      </c>
    </row>
    <row r="2761" spans="1:16" x14ac:dyDescent="0.25">
      <c r="A2761" s="28" t="s">
        <v>15394</v>
      </c>
      <c r="B2761" s="28" t="s">
        <v>15395</v>
      </c>
      <c r="C2761" s="28" t="s">
        <v>132</v>
      </c>
      <c r="D2761" s="28" t="s">
        <v>3625</v>
      </c>
      <c r="E2761" s="28" t="s">
        <v>15396</v>
      </c>
      <c r="F2761" s="28" t="s">
        <v>21</v>
      </c>
      <c r="G2761" s="28" t="s">
        <v>149</v>
      </c>
      <c r="H2761" s="28" t="s">
        <v>9633</v>
      </c>
      <c r="I2761" s="28" t="s">
        <v>15397</v>
      </c>
      <c r="J2761" s="28" t="s">
        <v>149</v>
      </c>
      <c r="K2761" s="28" t="s">
        <v>9722</v>
      </c>
      <c r="L2761" s="28" t="s">
        <v>9636</v>
      </c>
      <c r="M2761" s="28" t="s">
        <v>15398</v>
      </c>
      <c r="N2761" s="28" t="s">
        <v>9638</v>
      </c>
      <c r="O2761" s="28" t="s">
        <v>9639</v>
      </c>
      <c r="P2761" s="28" t="s">
        <v>15399</v>
      </c>
    </row>
    <row r="2762" spans="1:16" x14ac:dyDescent="0.25">
      <c r="A2762" s="28" t="s">
        <v>15400</v>
      </c>
      <c r="B2762" s="28" t="s">
        <v>15401</v>
      </c>
      <c r="C2762" s="28" t="s">
        <v>132</v>
      </c>
      <c r="D2762" s="28" t="s">
        <v>15402</v>
      </c>
      <c r="E2762" s="28" t="s">
        <v>15403</v>
      </c>
      <c r="F2762" s="28" t="s">
        <v>21</v>
      </c>
      <c r="G2762" s="28" t="s">
        <v>135</v>
      </c>
      <c r="H2762" s="28" t="s">
        <v>10259</v>
      </c>
      <c r="I2762" s="28" t="s">
        <v>15404</v>
      </c>
      <c r="J2762" s="28" t="s">
        <v>135</v>
      </c>
      <c r="K2762" s="28" t="s">
        <v>10551</v>
      </c>
      <c r="L2762" s="28" t="s">
        <v>10262</v>
      </c>
      <c r="M2762" s="28" t="s">
        <v>15405</v>
      </c>
      <c r="N2762" s="28" t="s">
        <v>10264</v>
      </c>
      <c r="O2762" s="28" t="s">
        <v>10265</v>
      </c>
      <c r="P2762" s="28" t="s">
        <v>10266</v>
      </c>
    </row>
    <row r="2763" spans="1:16" x14ac:dyDescent="0.25">
      <c r="A2763" s="28" t="s">
        <v>15406</v>
      </c>
      <c r="B2763" s="28" t="s">
        <v>15407</v>
      </c>
      <c r="C2763" s="28" t="s">
        <v>132</v>
      </c>
      <c r="D2763" s="28" t="s">
        <v>15408</v>
      </c>
      <c r="E2763" s="28" t="s">
        <v>15409</v>
      </c>
      <c r="F2763" s="28" t="s">
        <v>21</v>
      </c>
      <c r="G2763" s="28" t="s">
        <v>135</v>
      </c>
      <c r="H2763" s="28" t="s">
        <v>10259</v>
      </c>
      <c r="I2763" s="28" t="s">
        <v>15410</v>
      </c>
      <c r="J2763" s="28" t="s">
        <v>135</v>
      </c>
      <c r="K2763" s="28" t="s">
        <v>10551</v>
      </c>
      <c r="L2763" s="28" t="s">
        <v>10262</v>
      </c>
      <c r="M2763" s="28" t="s">
        <v>15411</v>
      </c>
      <c r="N2763" s="28" t="s">
        <v>10264</v>
      </c>
      <c r="O2763" s="28" t="s">
        <v>10265</v>
      </c>
      <c r="P2763" s="28" t="s">
        <v>10266</v>
      </c>
    </row>
    <row r="2764" spans="1:16" x14ac:dyDescent="0.25">
      <c r="A2764" s="28" t="s">
        <v>15412</v>
      </c>
      <c r="B2764" s="28" t="s">
        <v>15413</v>
      </c>
      <c r="C2764" s="28" t="s">
        <v>132</v>
      </c>
      <c r="D2764" s="28" t="s">
        <v>15414</v>
      </c>
      <c r="E2764" s="28" t="s">
        <v>15415</v>
      </c>
      <c r="F2764" s="28" t="s">
        <v>21</v>
      </c>
      <c r="G2764" s="28" t="s">
        <v>135</v>
      </c>
      <c r="H2764" s="28" t="s">
        <v>10259</v>
      </c>
      <c r="I2764" s="28" t="s">
        <v>15416</v>
      </c>
      <c r="J2764" s="28" t="s">
        <v>135</v>
      </c>
      <c r="K2764" s="28" t="s">
        <v>10551</v>
      </c>
      <c r="L2764" s="28" t="s">
        <v>10262</v>
      </c>
      <c r="M2764" s="28" t="s">
        <v>15417</v>
      </c>
      <c r="N2764" s="28" t="s">
        <v>10264</v>
      </c>
      <c r="O2764" s="28" t="s">
        <v>10265</v>
      </c>
      <c r="P2764" s="28" t="s">
        <v>10266</v>
      </c>
    </row>
    <row r="2765" spans="1:16" x14ac:dyDescent="0.25">
      <c r="A2765" s="28" t="s">
        <v>15418</v>
      </c>
      <c r="B2765" s="28" t="s">
        <v>15419</v>
      </c>
      <c r="C2765" s="28" t="s">
        <v>132</v>
      </c>
      <c r="D2765" s="28" t="s">
        <v>4049</v>
      </c>
      <c r="E2765" s="28" t="s">
        <v>15420</v>
      </c>
      <c r="F2765" s="28" t="s">
        <v>21</v>
      </c>
      <c r="G2765" s="28" t="s">
        <v>135</v>
      </c>
      <c r="H2765" s="28" t="s">
        <v>10259</v>
      </c>
      <c r="I2765" s="28" t="s">
        <v>15421</v>
      </c>
      <c r="J2765" s="28" t="s">
        <v>135</v>
      </c>
      <c r="K2765" s="28" t="s">
        <v>10551</v>
      </c>
      <c r="L2765" s="28" t="s">
        <v>10262</v>
      </c>
      <c r="M2765" s="28" t="s">
        <v>15422</v>
      </c>
      <c r="N2765" s="28" t="s">
        <v>10264</v>
      </c>
      <c r="O2765" s="28" t="s">
        <v>10265</v>
      </c>
      <c r="P2765" s="28" t="s">
        <v>10266</v>
      </c>
    </row>
    <row r="2766" spans="1:16" x14ac:dyDescent="0.25">
      <c r="A2766" s="28" t="s">
        <v>15423</v>
      </c>
      <c r="B2766" s="28" t="s">
        <v>15424</v>
      </c>
      <c r="C2766" s="28" t="s">
        <v>132</v>
      </c>
      <c r="D2766" s="28" t="s">
        <v>1666</v>
      </c>
      <c r="E2766" s="28" t="s">
        <v>15425</v>
      </c>
      <c r="F2766" s="28" t="s">
        <v>21</v>
      </c>
      <c r="G2766" s="28" t="s">
        <v>149</v>
      </c>
      <c r="H2766" s="28" t="s">
        <v>9633</v>
      </c>
      <c r="I2766" s="28" t="s">
        <v>15426</v>
      </c>
      <c r="J2766" s="28" t="s">
        <v>149</v>
      </c>
      <c r="K2766" s="28" t="s">
        <v>9722</v>
      </c>
      <c r="L2766" s="28" t="s">
        <v>9636</v>
      </c>
      <c r="M2766" s="28" t="s">
        <v>15427</v>
      </c>
      <c r="N2766" s="28" t="s">
        <v>9638</v>
      </c>
      <c r="O2766" s="28" t="s">
        <v>9639</v>
      </c>
      <c r="P2766" s="28" t="s">
        <v>15428</v>
      </c>
    </row>
    <row r="2767" spans="1:16" x14ac:dyDescent="0.25">
      <c r="A2767" s="28" t="s">
        <v>15429</v>
      </c>
      <c r="B2767" s="28" t="s">
        <v>15430</v>
      </c>
      <c r="C2767" s="28" t="s">
        <v>132</v>
      </c>
      <c r="D2767" s="28" t="s">
        <v>1666</v>
      </c>
      <c r="E2767" s="28" t="s">
        <v>1667</v>
      </c>
      <c r="F2767" s="28" t="s">
        <v>21</v>
      </c>
      <c r="G2767" s="28" t="s">
        <v>135</v>
      </c>
      <c r="H2767" s="28" t="s">
        <v>10259</v>
      </c>
      <c r="I2767" s="28" t="s">
        <v>15431</v>
      </c>
      <c r="J2767" s="28" t="s">
        <v>135</v>
      </c>
      <c r="K2767" s="28" t="s">
        <v>10551</v>
      </c>
      <c r="L2767" s="28" t="s">
        <v>10262</v>
      </c>
      <c r="M2767" s="28" t="s">
        <v>15432</v>
      </c>
      <c r="N2767" s="28" t="s">
        <v>10264</v>
      </c>
      <c r="O2767" s="28" t="s">
        <v>10265</v>
      </c>
      <c r="P2767" s="28" t="s">
        <v>10266</v>
      </c>
    </row>
    <row r="2768" spans="1:16" x14ac:dyDescent="0.25">
      <c r="A2768" s="28" t="s">
        <v>15433</v>
      </c>
      <c r="B2768" s="28" t="s">
        <v>15434</v>
      </c>
      <c r="C2768" s="28" t="s">
        <v>132</v>
      </c>
      <c r="D2768" s="28" t="s">
        <v>89</v>
      </c>
      <c r="E2768" s="28" t="s">
        <v>15435</v>
      </c>
      <c r="F2768" s="28" t="s">
        <v>21</v>
      </c>
      <c r="G2768" s="28" t="s">
        <v>135</v>
      </c>
      <c r="H2768" s="28" t="s">
        <v>9633</v>
      </c>
      <c r="I2768" s="28" t="s">
        <v>15436</v>
      </c>
      <c r="J2768" s="28" t="s">
        <v>135</v>
      </c>
      <c r="K2768" s="28" t="s">
        <v>10125</v>
      </c>
      <c r="L2768" s="28" t="s">
        <v>9636</v>
      </c>
      <c r="M2768" s="28" t="s">
        <v>15437</v>
      </c>
      <c r="N2768" s="28" t="s">
        <v>9638</v>
      </c>
      <c r="O2768" s="28" t="s">
        <v>9639</v>
      </c>
      <c r="P2768" s="28" t="s">
        <v>15438</v>
      </c>
    </row>
    <row r="2769" spans="1:16" x14ac:dyDescent="0.25">
      <c r="A2769" s="28" t="s">
        <v>15439</v>
      </c>
      <c r="B2769" s="28" t="s">
        <v>15440</v>
      </c>
      <c r="C2769" s="28" t="s">
        <v>132</v>
      </c>
      <c r="D2769" s="28" t="s">
        <v>89</v>
      </c>
      <c r="E2769" s="28" t="s">
        <v>15435</v>
      </c>
      <c r="F2769" s="28" t="s">
        <v>21</v>
      </c>
      <c r="G2769" s="28" t="s">
        <v>135</v>
      </c>
      <c r="H2769" s="28" t="s">
        <v>9633</v>
      </c>
      <c r="I2769" s="28" t="s">
        <v>15441</v>
      </c>
      <c r="J2769" s="28" t="s">
        <v>135</v>
      </c>
      <c r="K2769" s="28" t="s">
        <v>10125</v>
      </c>
      <c r="L2769" s="28" t="s">
        <v>9636</v>
      </c>
      <c r="M2769" s="28" t="s">
        <v>15437</v>
      </c>
      <c r="N2769" s="28" t="s">
        <v>9638</v>
      </c>
      <c r="O2769" s="28" t="s">
        <v>9639</v>
      </c>
      <c r="P2769" s="28" t="s">
        <v>15442</v>
      </c>
    </row>
    <row r="2770" spans="1:16" x14ac:dyDescent="0.25">
      <c r="A2770" s="28" t="s">
        <v>15443</v>
      </c>
      <c r="B2770" s="28" t="s">
        <v>15444</v>
      </c>
      <c r="C2770" s="28" t="s">
        <v>132</v>
      </c>
      <c r="D2770" s="28" t="s">
        <v>89</v>
      </c>
      <c r="E2770" s="28" t="s">
        <v>15435</v>
      </c>
      <c r="F2770" s="28" t="s">
        <v>21</v>
      </c>
      <c r="G2770" s="28" t="s">
        <v>135</v>
      </c>
      <c r="H2770" s="28" t="s">
        <v>9633</v>
      </c>
      <c r="I2770" s="28" t="s">
        <v>15445</v>
      </c>
      <c r="J2770" s="28" t="s">
        <v>135</v>
      </c>
      <c r="K2770" s="28" t="s">
        <v>10125</v>
      </c>
      <c r="L2770" s="28" t="s">
        <v>9636</v>
      </c>
      <c r="M2770" s="28" t="s">
        <v>15437</v>
      </c>
      <c r="N2770" s="28" t="s">
        <v>9638</v>
      </c>
      <c r="O2770" s="28" t="s">
        <v>9639</v>
      </c>
      <c r="P2770" s="28" t="s">
        <v>15446</v>
      </c>
    </row>
    <row r="2771" spans="1:16" x14ac:dyDescent="0.25">
      <c r="A2771" s="28" t="s">
        <v>15447</v>
      </c>
      <c r="B2771" s="28" t="s">
        <v>15448</v>
      </c>
      <c r="C2771" s="28" t="s">
        <v>132</v>
      </c>
      <c r="D2771" s="28" t="s">
        <v>89</v>
      </c>
      <c r="E2771" s="28" t="s">
        <v>15449</v>
      </c>
      <c r="F2771" s="28" t="s">
        <v>21</v>
      </c>
      <c r="G2771" s="28" t="s">
        <v>135</v>
      </c>
      <c r="H2771" s="28" t="s">
        <v>9633</v>
      </c>
      <c r="I2771" s="28" t="s">
        <v>15450</v>
      </c>
      <c r="J2771" s="28" t="s">
        <v>135</v>
      </c>
      <c r="K2771" s="28" t="s">
        <v>10125</v>
      </c>
      <c r="L2771" s="28" t="s">
        <v>9636</v>
      </c>
      <c r="M2771" s="28" t="s">
        <v>15451</v>
      </c>
      <c r="N2771" s="28" t="s">
        <v>9638</v>
      </c>
      <c r="O2771" s="28" t="s">
        <v>9639</v>
      </c>
      <c r="P2771" s="28" t="s">
        <v>15452</v>
      </c>
    </row>
    <row r="2772" spans="1:16" x14ac:dyDescent="0.25">
      <c r="A2772" s="28" t="s">
        <v>15453</v>
      </c>
      <c r="B2772" s="28" t="s">
        <v>15454</v>
      </c>
      <c r="C2772" s="28" t="s">
        <v>132</v>
      </c>
      <c r="D2772" s="28" t="s">
        <v>89</v>
      </c>
      <c r="E2772" s="28" t="s">
        <v>15449</v>
      </c>
      <c r="F2772" s="28" t="s">
        <v>21</v>
      </c>
      <c r="G2772" s="28" t="s">
        <v>135</v>
      </c>
      <c r="H2772" s="28" t="s">
        <v>9633</v>
      </c>
      <c r="I2772" s="28" t="s">
        <v>15455</v>
      </c>
      <c r="J2772" s="28" t="s">
        <v>135</v>
      </c>
      <c r="K2772" s="28" t="s">
        <v>10125</v>
      </c>
      <c r="L2772" s="28" t="s">
        <v>9636</v>
      </c>
      <c r="M2772" s="28" t="s">
        <v>15451</v>
      </c>
      <c r="N2772" s="28" t="s">
        <v>9638</v>
      </c>
      <c r="O2772" s="28" t="s">
        <v>9639</v>
      </c>
      <c r="P2772" s="28" t="s">
        <v>15456</v>
      </c>
    </row>
    <row r="2773" spans="1:16" x14ac:dyDescent="0.25">
      <c r="A2773" s="28" t="s">
        <v>15457</v>
      </c>
      <c r="B2773" s="28" t="s">
        <v>15458</v>
      </c>
      <c r="C2773" s="28" t="s">
        <v>132</v>
      </c>
      <c r="D2773" s="28" t="s">
        <v>89</v>
      </c>
      <c r="E2773" s="28" t="s">
        <v>15449</v>
      </c>
      <c r="F2773" s="28" t="s">
        <v>21</v>
      </c>
      <c r="G2773" s="28" t="s">
        <v>135</v>
      </c>
      <c r="H2773" s="28" t="s">
        <v>9633</v>
      </c>
      <c r="I2773" s="28" t="s">
        <v>15459</v>
      </c>
      <c r="J2773" s="28" t="s">
        <v>135</v>
      </c>
      <c r="K2773" s="28" t="s">
        <v>10125</v>
      </c>
      <c r="L2773" s="28" t="s">
        <v>9636</v>
      </c>
      <c r="M2773" s="28" t="s">
        <v>15451</v>
      </c>
      <c r="N2773" s="28" t="s">
        <v>9638</v>
      </c>
      <c r="O2773" s="28" t="s">
        <v>9639</v>
      </c>
      <c r="P2773" s="28" t="s">
        <v>15460</v>
      </c>
    </row>
    <row r="2774" spans="1:16" x14ac:dyDescent="0.25">
      <c r="A2774" s="28" t="s">
        <v>15461</v>
      </c>
      <c r="B2774" s="28" t="s">
        <v>15462</v>
      </c>
      <c r="C2774" s="28" t="s">
        <v>132</v>
      </c>
      <c r="D2774" s="28" t="s">
        <v>89</v>
      </c>
      <c r="E2774" s="28" t="s">
        <v>15463</v>
      </c>
      <c r="F2774" s="28" t="s">
        <v>21</v>
      </c>
      <c r="G2774" s="28" t="s">
        <v>135</v>
      </c>
      <c r="H2774" s="28" t="s">
        <v>9633</v>
      </c>
      <c r="I2774" s="28" t="s">
        <v>15464</v>
      </c>
      <c r="J2774" s="28" t="s">
        <v>135</v>
      </c>
      <c r="K2774" s="28" t="s">
        <v>10125</v>
      </c>
      <c r="L2774" s="28" t="s">
        <v>9636</v>
      </c>
      <c r="M2774" s="28" t="s">
        <v>15465</v>
      </c>
      <c r="N2774" s="28" t="s">
        <v>9638</v>
      </c>
      <c r="O2774" s="28" t="s">
        <v>9639</v>
      </c>
      <c r="P2774" s="28" t="s">
        <v>15466</v>
      </c>
    </row>
    <row r="2775" spans="1:16" x14ac:dyDescent="0.25">
      <c r="A2775" s="28" t="s">
        <v>15467</v>
      </c>
      <c r="B2775" s="28" t="s">
        <v>15468</v>
      </c>
      <c r="C2775" s="28" t="s">
        <v>132</v>
      </c>
      <c r="D2775" s="28" t="s">
        <v>89</v>
      </c>
      <c r="E2775" s="28" t="s">
        <v>15463</v>
      </c>
      <c r="F2775" s="28" t="s">
        <v>21</v>
      </c>
      <c r="G2775" s="28" t="s">
        <v>135</v>
      </c>
      <c r="H2775" s="28" t="s">
        <v>9633</v>
      </c>
      <c r="I2775" s="28" t="s">
        <v>15469</v>
      </c>
      <c r="J2775" s="28" t="s">
        <v>135</v>
      </c>
      <c r="K2775" s="28" t="s">
        <v>10125</v>
      </c>
      <c r="L2775" s="28" t="s">
        <v>9636</v>
      </c>
      <c r="M2775" s="28" t="s">
        <v>15465</v>
      </c>
      <c r="N2775" s="28" t="s">
        <v>9638</v>
      </c>
      <c r="O2775" s="28" t="s">
        <v>9639</v>
      </c>
      <c r="P2775" s="28" t="s">
        <v>15470</v>
      </c>
    </row>
    <row r="2776" spans="1:16" x14ac:dyDescent="0.25">
      <c r="A2776" s="28" t="s">
        <v>15471</v>
      </c>
      <c r="B2776" s="28" t="s">
        <v>15472</v>
      </c>
      <c r="C2776" s="28" t="s">
        <v>132</v>
      </c>
      <c r="D2776" s="28" t="s">
        <v>89</v>
      </c>
      <c r="E2776" s="28" t="s">
        <v>15463</v>
      </c>
      <c r="F2776" s="28" t="s">
        <v>21</v>
      </c>
      <c r="G2776" s="28" t="s">
        <v>135</v>
      </c>
      <c r="H2776" s="28" t="s">
        <v>9633</v>
      </c>
      <c r="I2776" s="28" t="s">
        <v>15473</v>
      </c>
      <c r="J2776" s="28" t="s">
        <v>135</v>
      </c>
      <c r="K2776" s="28" t="s">
        <v>10125</v>
      </c>
      <c r="L2776" s="28" t="s">
        <v>9636</v>
      </c>
      <c r="M2776" s="28" t="s">
        <v>15465</v>
      </c>
      <c r="N2776" s="28" t="s">
        <v>9638</v>
      </c>
      <c r="O2776" s="28" t="s">
        <v>9639</v>
      </c>
      <c r="P2776" s="28" t="s">
        <v>15474</v>
      </c>
    </row>
    <row r="2777" spans="1:16" x14ac:dyDescent="0.25">
      <c r="A2777" s="28" t="s">
        <v>15475</v>
      </c>
      <c r="B2777" s="28" t="s">
        <v>15476</v>
      </c>
      <c r="C2777" s="28" t="s">
        <v>132</v>
      </c>
      <c r="D2777" s="28" t="s">
        <v>89</v>
      </c>
      <c r="E2777" s="28" t="s">
        <v>15477</v>
      </c>
      <c r="F2777" s="28" t="s">
        <v>21</v>
      </c>
      <c r="G2777" s="28" t="s">
        <v>135</v>
      </c>
      <c r="H2777" s="28" t="s">
        <v>9633</v>
      </c>
      <c r="I2777" s="28" t="s">
        <v>15478</v>
      </c>
      <c r="J2777" s="28" t="s">
        <v>135</v>
      </c>
      <c r="K2777" s="28" t="s">
        <v>10125</v>
      </c>
      <c r="L2777" s="28" t="s">
        <v>9636</v>
      </c>
      <c r="M2777" s="28" t="s">
        <v>15479</v>
      </c>
      <c r="N2777" s="28" t="s">
        <v>9638</v>
      </c>
      <c r="O2777" s="28" t="s">
        <v>9639</v>
      </c>
      <c r="P2777" s="28" t="s">
        <v>15480</v>
      </c>
    </row>
    <row r="2778" spans="1:16" x14ac:dyDescent="0.25">
      <c r="A2778" s="28" t="s">
        <v>15481</v>
      </c>
      <c r="B2778" s="28" t="s">
        <v>15482</v>
      </c>
      <c r="C2778" s="28" t="s">
        <v>132</v>
      </c>
      <c r="D2778" s="28" t="s">
        <v>89</v>
      </c>
      <c r="E2778" s="28" t="s">
        <v>15477</v>
      </c>
      <c r="F2778" s="28" t="s">
        <v>21</v>
      </c>
      <c r="G2778" s="28" t="s">
        <v>135</v>
      </c>
      <c r="H2778" s="28" t="s">
        <v>9633</v>
      </c>
      <c r="I2778" s="28" t="s">
        <v>15483</v>
      </c>
      <c r="J2778" s="28" t="s">
        <v>135</v>
      </c>
      <c r="K2778" s="28" t="s">
        <v>10125</v>
      </c>
      <c r="L2778" s="28" t="s">
        <v>9636</v>
      </c>
      <c r="M2778" s="28" t="s">
        <v>15479</v>
      </c>
      <c r="N2778" s="28" t="s">
        <v>9638</v>
      </c>
      <c r="O2778" s="28" t="s">
        <v>9639</v>
      </c>
      <c r="P2778" s="28" t="s">
        <v>15484</v>
      </c>
    </row>
    <row r="2779" spans="1:16" x14ac:dyDescent="0.25">
      <c r="A2779" s="28" t="s">
        <v>15485</v>
      </c>
      <c r="B2779" s="28" t="s">
        <v>15486</v>
      </c>
      <c r="C2779" s="28" t="s">
        <v>132</v>
      </c>
      <c r="D2779" s="28" t="s">
        <v>89</v>
      </c>
      <c r="E2779" s="28" t="s">
        <v>15477</v>
      </c>
      <c r="F2779" s="28" t="s">
        <v>21</v>
      </c>
      <c r="G2779" s="28" t="s">
        <v>135</v>
      </c>
      <c r="H2779" s="28" t="s">
        <v>9633</v>
      </c>
      <c r="I2779" s="28" t="s">
        <v>15487</v>
      </c>
      <c r="J2779" s="28" t="s">
        <v>135</v>
      </c>
      <c r="K2779" s="28" t="s">
        <v>10125</v>
      </c>
      <c r="L2779" s="28" t="s">
        <v>9636</v>
      </c>
      <c r="M2779" s="28" t="s">
        <v>15479</v>
      </c>
      <c r="N2779" s="28" t="s">
        <v>9638</v>
      </c>
      <c r="O2779" s="28" t="s">
        <v>9639</v>
      </c>
      <c r="P2779" s="28" t="s">
        <v>15488</v>
      </c>
    </row>
    <row r="2780" spans="1:16" x14ac:dyDescent="0.25">
      <c r="A2780" s="28" t="s">
        <v>15489</v>
      </c>
      <c r="B2780" s="28" t="s">
        <v>15490</v>
      </c>
      <c r="C2780" s="28" t="s">
        <v>132</v>
      </c>
      <c r="D2780" s="28" t="s">
        <v>89</v>
      </c>
      <c r="E2780" s="28" t="s">
        <v>15491</v>
      </c>
      <c r="F2780" s="28" t="s">
        <v>21</v>
      </c>
      <c r="G2780" s="28" t="s">
        <v>135</v>
      </c>
      <c r="H2780" s="28" t="s">
        <v>9633</v>
      </c>
      <c r="I2780" s="28" t="s">
        <v>15492</v>
      </c>
      <c r="J2780" s="28" t="s">
        <v>135</v>
      </c>
      <c r="K2780" s="28" t="s">
        <v>10125</v>
      </c>
      <c r="L2780" s="28" t="s">
        <v>9636</v>
      </c>
      <c r="M2780" s="28" t="s">
        <v>15493</v>
      </c>
      <c r="N2780" s="28" t="s">
        <v>9638</v>
      </c>
      <c r="O2780" s="28" t="s">
        <v>9639</v>
      </c>
      <c r="P2780" s="28" t="s">
        <v>15494</v>
      </c>
    </row>
    <row r="2781" spans="1:16" x14ac:dyDescent="0.25">
      <c r="A2781" s="28" t="s">
        <v>15495</v>
      </c>
      <c r="B2781" s="28" t="s">
        <v>15496</v>
      </c>
      <c r="C2781" s="28" t="s">
        <v>132</v>
      </c>
      <c r="D2781" s="28" t="s">
        <v>89</v>
      </c>
      <c r="E2781" s="28" t="s">
        <v>15491</v>
      </c>
      <c r="F2781" s="28" t="s">
        <v>21</v>
      </c>
      <c r="G2781" s="28" t="s">
        <v>135</v>
      </c>
      <c r="H2781" s="28" t="s">
        <v>9633</v>
      </c>
      <c r="I2781" s="28" t="s">
        <v>15497</v>
      </c>
      <c r="J2781" s="28" t="s">
        <v>135</v>
      </c>
      <c r="K2781" s="28" t="s">
        <v>10125</v>
      </c>
      <c r="L2781" s="28" t="s">
        <v>9636</v>
      </c>
      <c r="M2781" s="28" t="s">
        <v>15493</v>
      </c>
      <c r="N2781" s="28" t="s">
        <v>9638</v>
      </c>
      <c r="O2781" s="28" t="s">
        <v>9639</v>
      </c>
      <c r="P2781" s="28" t="s">
        <v>15498</v>
      </c>
    </row>
    <row r="2782" spans="1:16" x14ac:dyDescent="0.25">
      <c r="A2782" s="28" t="s">
        <v>15499</v>
      </c>
      <c r="B2782" s="28" t="s">
        <v>15500</v>
      </c>
      <c r="C2782" s="28" t="s">
        <v>132</v>
      </c>
      <c r="D2782" s="28" t="s">
        <v>89</v>
      </c>
      <c r="E2782" s="28" t="s">
        <v>15491</v>
      </c>
      <c r="F2782" s="28" t="s">
        <v>21</v>
      </c>
      <c r="G2782" s="28" t="s">
        <v>135</v>
      </c>
      <c r="H2782" s="28" t="s">
        <v>9633</v>
      </c>
      <c r="I2782" s="28" t="s">
        <v>15501</v>
      </c>
      <c r="J2782" s="28" t="s">
        <v>135</v>
      </c>
      <c r="K2782" s="28" t="s">
        <v>10125</v>
      </c>
      <c r="L2782" s="28" t="s">
        <v>9636</v>
      </c>
      <c r="M2782" s="28" t="s">
        <v>15493</v>
      </c>
      <c r="N2782" s="28" t="s">
        <v>9638</v>
      </c>
      <c r="O2782" s="28" t="s">
        <v>9639</v>
      </c>
      <c r="P2782" s="28" t="s">
        <v>15502</v>
      </c>
    </row>
    <row r="2783" spans="1:16" x14ac:dyDescent="0.25">
      <c r="A2783" s="28" t="s">
        <v>15503</v>
      </c>
      <c r="B2783" s="28" t="s">
        <v>15504</v>
      </c>
      <c r="C2783" s="28" t="s">
        <v>132</v>
      </c>
      <c r="D2783" s="28" t="s">
        <v>89</v>
      </c>
      <c r="E2783" s="28" t="s">
        <v>15505</v>
      </c>
      <c r="F2783" s="28" t="s">
        <v>21</v>
      </c>
      <c r="G2783" s="28" t="s">
        <v>135</v>
      </c>
      <c r="H2783" s="28" t="s">
        <v>9633</v>
      </c>
      <c r="I2783" s="28" t="s">
        <v>15506</v>
      </c>
      <c r="J2783" s="28" t="s">
        <v>135</v>
      </c>
      <c r="K2783" s="28" t="s">
        <v>10125</v>
      </c>
      <c r="L2783" s="28" t="s">
        <v>9636</v>
      </c>
      <c r="M2783" s="28" t="s">
        <v>15507</v>
      </c>
      <c r="N2783" s="28" t="s">
        <v>9638</v>
      </c>
      <c r="O2783" s="28" t="s">
        <v>9639</v>
      </c>
      <c r="P2783" s="28" t="s">
        <v>15508</v>
      </c>
    </row>
    <row r="2784" spans="1:16" x14ac:dyDescent="0.25">
      <c r="A2784" s="28" t="s">
        <v>15509</v>
      </c>
      <c r="B2784" s="28" t="s">
        <v>15510</v>
      </c>
      <c r="C2784" s="28" t="s">
        <v>132</v>
      </c>
      <c r="D2784" s="28" t="s">
        <v>89</v>
      </c>
      <c r="E2784" s="28" t="s">
        <v>15505</v>
      </c>
      <c r="F2784" s="28" t="s">
        <v>21</v>
      </c>
      <c r="G2784" s="28" t="s">
        <v>135</v>
      </c>
      <c r="H2784" s="28" t="s">
        <v>9633</v>
      </c>
      <c r="I2784" s="28" t="s">
        <v>15511</v>
      </c>
      <c r="J2784" s="28" t="s">
        <v>135</v>
      </c>
      <c r="K2784" s="28" t="s">
        <v>10125</v>
      </c>
      <c r="L2784" s="28" t="s">
        <v>9636</v>
      </c>
      <c r="M2784" s="28" t="s">
        <v>15507</v>
      </c>
      <c r="N2784" s="28" t="s">
        <v>9638</v>
      </c>
      <c r="O2784" s="28" t="s">
        <v>9639</v>
      </c>
      <c r="P2784" s="28" t="s">
        <v>15512</v>
      </c>
    </row>
    <row r="2785" spans="1:16" x14ac:dyDescent="0.25">
      <c r="A2785" s="28" t="s">
        <v>15513</v>
      </c>
      <c r="B2785" s="28" t="s">
        <v>15514</v>
      </c>
      <c r="C2785" s="28" t="s">
        <v>132</v>
      </c>
      <c r="D2785" s="28" t="s">
        <v>89</v>
      </c>
      <c r="E2785" s="28" t="s">
        <v>15505</v>
      </c>
      <c r="F2785" s="28" t="s">
        <v>21</v>
      </c>
      <c r="G2785" s="28" t="s">
        <v>135</v>
      </c>
      <c r="H2785" s="28" t="s">
        <v>9633</v>
      </c>
      <c r="I2785" s="28" t="s">
        <v>15515</v>
      </c>
      <c r="J2785" s="28" t="s">
        <v>135</v>
      </c>
      <c r="K2785" s="28" t="s">
        <v>10125</v>
      </c>
      <c r="L2785" s="28" t="s">
        <v>9636</v>
      </c>
      <c r="M2785" s="28" t="s">
        <v>15507</v>
      </c>
      <c r="N2785" s="28" t="s">
        <v>9638</v>
      </c>
      <c r="O2785" s="28" t="s">
        <v>9639</v>
      </c>
      <c r="P2785" s="28" t="s">
        <v>15516</v>
      </c>
    </row>
    <row r="2786" spans="1:16" x14ac:dyDescent="0.25">
      <c r="A2786" s="28" t="s">
        <v>15517</v>
      </c>
      <c r="B2786" s="28" t="s">
        <v>15518</v>
      </c>
      <c r="C2786" s="28" t="s">
        <v>132</v>
      </c>
      <c r="D2786" s="28" t="s">
        <v>4101</v>
      </c>
      <c r="E2786" s="28" t="s">
        <v>15519</v>
      </c>
      <c r="F2786" s="28" t="s">
        <v>21</v>
      </c>
      <c r="G2786" s="28" t="s">
        <v>135</v>
      </c>
      <c r="H2786" s="28" t="s">
        <v>9633</v>
      </c>
      <c r="I2786" s="28" t="s">
        <v>15520</v>
      </c>
      <c r="J2786" s="28" t="s">
        <v>135</v>
      </c>
      <c r="K2786" s="28" t="s">
        <v>10125</v>
      </c>
      <c r="L2786" s="28" t="s">
        <v>9636</v>
      </c>
      <c r="M2786" s="28" t="s">
        <v>15521</v>
      </c>
      <c r="N2786" s="28" t="s">
        <v>9638</v>
      </c>
      <c r="O2786" s="28" t="s">
        <v>9639</v>
      </c>
      <c r="P2786" s="28" t="s">
        <v>15522</v>
      </c>
    </row>
    <row r="2787" spans="1:16" x14ac:dyDescent="0.25">
      <c r="A2787" s="28" t="s">
        <v>15523</v>
      </c>
      <c r="B2787" s="28" t="s">
        <v>15524</v>
      </c>
      <c r="C2787" s="28" t="s">
        <v>132</v>
      </c>
      <c r="D2787" s="28" t="s">
        <v>4101</v>
      </c>
      <c r="E2787" s="28" t="s">
        <v>15525</v>
      </c>
      <c r="F2787" s="28" t="s">
        <v>21</v>
      </c>
      <c r="G2787" s="28" t="s">
        <v>135</v>
      </c>
      <c r="H2787" s="28" t="s">
        <v>9633</v>
      </c>
      <c r="I2787" s="28" t="s">
        <v>15526</v>
      </c>
      <c r="J2787" s="28" t="s">
        <v>135</v>
      </c>
      <c r="K2787" s="28" t="s">
        <v>10125</v>
      </c>
      <c r="L2787" s="28" t="s">
        <v>9636</v>
      </c>
      <c r="M2787" s="28" t="s">
        <v>15527</v>
      </c>
      <c r="N2787" s="28" t="s">
        <v>9638</v>
      </c>
      <c r="O2787" s="28" t="s">
        <v>9639</v>
      </c>
      <c r="P2787" s="28" t="s">
        <v>15528</v>
      </c>
    </row>
    <row r="2788" spans="1:16" x14ac:dyDescent="0.25">
      <c r="A2788" s="28" t="s">
        <v>15529</v>
      </c>
      <c r="B2788" s="28" t="s">
        <v>15530</v>
      </c>
      <c r="C2788" s="28" t="s">
        <v>132</v>
      </c>
      <c r="D2788" s="28" t="s">
        <v>4101</v>
      </c>
      <c r="E2788" s="28" t="s">
        <v>15525</v>
      </c>
      <c r="F2788" s="28" t="s">
        <v>21</v>
      </c>
      <c r="G2788" s="28" t="s">
        <v>135</v>
      </c>
      <c r="H2788" s="28" t="s">
        <v>9633</v>
      </c>
      <c r="I2788" s="28" t="s">
        <v>15531</v>
      </c>
      <c r="J2788" s="28" t="s">
        <v>135</v>
      </c>
      <c r="K2788" s="28" t="s">
        <v>10125</v>
      </c>
      <c r="L2788" s="28" t="s">
        <v>9636</v>
      </c>
      <c r="M2788" s="28" t="s">
        <v>15527</v>
      </c>
      <c r="N2788" s="28" t="s">
        <v>9638</v>
      </c>
      <c r="O2788" s="28" t="s">
        <v>9639</v>
      </c>
      <c r="P2788" s="28" t="s">
        <v>15532</v>
      </c>
    </row>
    <row r="2789" spans="1:16" x14ac:dyDescent="0.25">
      <c r="A2789" s="28" t="s">
        <v>15533</v>
      </c>
      <c r="B2789" s="28" t="s">
        <v>15534</v>
      </c>
      <c r="C2789" s="28" t="s">
        <v>132</v>
      </c>
      <c r="D2789" s="28" t="s">
        <v>4101</v>
      </c>
      <c r="E2789" s="28" t="s">
        <v>15525</v>
      </c>
      <c r="F2789" s="28" t="s">
        <v>21</v>
      </c>
      <c r="G2789" s="28" t="s">
        <v>135</v>
      </c>
      <c r="H2789" s="28" t="s">
        <v>9633</v>
      </c>
      <c r="I2789" s="28" t="s">
        <v>15535</v>
      </c>
      <c r="J2789" s="28" t="s">
        <v>135</v>
      </c>
      <c r="K2789" s="28" t="s">
        <v>10125</v>
      </c>
      <c r="L2789" s="28" t="s">
        <v>9636</v>
      </c>
      <c r="M2789" s="28" t="s">
        <v>15527</v>
      </c>
      <c r="N2789" s="28" t="s">
        <v>9638</v>
      </c>
      <c r="O2789" s="28" t="s">
        <v>9639</v>
      </c>
      <c r="P2789" s="28" t="s">
        <v>15536</v>
      </c>
    </row>
    <row r="2790" spans="1:16" x14ac:dyDescent="0.25">
      <c r="A2790" s="28" t="s">
        <v>15537</v>
      </c>
      <c r="B2790" s="28" t="s">
        <v>15538</v>
      </c>
      <c r="C2790" s="28" t="s">
        <v>132</v>
      </c>
      <c r="D2790" s="28" t="s">
        <v>101</v>
      </c>
      <c r="E2790" s="28" t="s">
        <v>871</v>
      </c>
      <c r="F2790" s="28" t="s">
        <v>21</v>
      </c>
      <c r="G2790" s="28" t="s">
        <v>135</v>
      </c>
      <c r="H2790" s="28" t="s">
        <v>9633</v>
      </c>
      <c r="I2790" s="28" t="s">
        <v>15539</v>
      </c>
      <c r="J2790" s="28" t="s">
        <v>135</v>
      </c>
      <c r="K2790" s="28" t="s">
        <v>10125</v>
      </c>
      <c r="L2790" s="28" t="s">
        <v>9636</v>
      </c>
      <c r="M2790" s="28" t="s">
        <v>15540</v>
      </c>
      <c r="N2790" s="28" t="s">
        <v>9638</v>
      </c>
      <c r="O2790" s="28" t="s">
        <v>9639</v>
      </c>
      <c r="P2790" s="28" t="s">
        <v>15541</v>
      </c>
    </row>
    <row r="2791" spans="1:16" x14ac:dyDescent="0.25">
      <c r="A2791" s="28" t="s">
        <v>15542</v>
      </c>
      <c r="B2791" s="28" t="s">
        <v>15543</v>
      </c>
      <c r="C2791" s="28" t="s">
        <v>132</v>
      </c>
      <c r="D2791" s="28" t="s">
        <v>101</v>
      </c>
      <c r="E2791" s="28" t="s">
        <v>871</v>
      </c>
      <c r="F2791" s="28" t="s">
        <v>21</v>
      </c>
      <c r="G2791" s="28" t="s">
        <v>135</v>
      </c>
      <c r="H2791" s="28" t="s">
        <v>9633</v>
      </c>
      <c r="I2791" s="28" t="s">
        <v>15544</v>
      </c>
      <c r="J2791" s="28" t="s">
        <v>135</v>
      </c>
      <c r="K2791" s="28" t="s">
        <v>10125</v>
      </c>
      <c r="L2791" s="28" t="s">
        <v>9636</v>
      </c>
      <c r="M2791" s="28" t="s">
        <v>15540</v>
      </c>
      <c r="N2791" s="28" t="s">
        <v>9638</v>
      </c>
      <c r="O2791" s="28" t="s">
        <v>9639</v>
      </c>
      <c r="P2791" s="28" t="s">
        <v>15545</v>
      </c>
    </row>
    <row r="2792" spans="1:16" x14ac:dyDescent="0.25">
      <c r="A2792" s="28" t="s">
        <v>15546</v>
      </c>
      <c r="B2792" s="28" t="s">
        <v>15547</v>
      </c>
      <c r="C2792" s="28" t="s">
        <v>132</v>
      </c>
      <c r="D2792" s="28" t="s">
        <v>101</v>
      </c>
      <c r="E2792" s="28" t="s">
        <v>871</v>
      </c>
      <c r="F2792" s="28" t="s">
        <v>21</v>
      </c>
      <c r="G2792" s="28" t="s">
        <v>39</v>
      </c>
      <c r="H2792" s="28" t="s">
        <v>10259</v>
      </c>
      <c r="I2792" s="28" t="s">
        <v>15548</v>
      </c>
      <c r="J2792" s="28" t="s">
        <v>39</v>
      </c>
      <c r="K2792" s="28" t="s">
        <v>10261</v>
      </c>
      <c r="L2792" s="28" t="s">
        <v>10262</v>
      </c>
      <c r="M2792" s="28" t="s">
        <v>15549</v>
      </c>
      <c r="N2792" s="28" t="s">
        <v>10264</v>
      </c>
      <c r="O2792" s="28" t="s">
        <v>10265</v>
      </c>
      <c r="P2792" s="28" t="s">
        <v>10266</v>
      </c>
    </row>
    <row r="2793" spans="1:16" x14ac:dyDescent="0.25">
      <c r="A2793" s="28" t="s">
        <v>15550</v>
      </c>
      <c r="B2793" s="28" t="s">
        <v>15551</v>
      </c>
      <c r="C2793" s="28" t="s">
        <v>132</v>
      </c>
      <c r="D2793" s="28" t="s">
        <v>101</v>
      </c>
      <c r="E2793" s="28" t="s">
        <v>893</v>
      </c>
      <c r="F2793" s="28" t="s">
        <v>21</v>
      </c>
      <c r="G2793" s="28" t="s">
        <v>135</v>
      </c>
      <c r="H2793" s="28" t="s">
        <v>9633</v>
      </c>
      <c r="I2793" s="28" t="s">
        <v>15552</v>
      </c>
      <c r="J2793" s="28" t="s">
        <v>135</v>
      </c>
      <c r="K2793" s="28" t="s">
        <v>10125</v>
      </c>
      <c r="L2793" s="28" t="s">
        <v>9636</v>
      </c>
      <c r="M2793" s="28" t="s">
        <v>15553</v>
      </c>
      <c r="N2793" s="28" t="s">
        <v>9638</v>
      </c>
      <c r="O2793" s="28" t="s">
        <v>9639</v>
      </c>
      <c r="P2793" s="28" t="s">
        <v>15554</v>
      </c>
    </row>
    <row r="2794" spans="1:16" x14ac:dyDescent="0.25">
      <c r="A2794" s="28" t="s">
        <v>15555</v>
      </c>
      <c r="B2794" s="28" t="s">
        <v>15556</v>
      </c>
      <c r="C2794" s="28" t="s">
        <v>132</v>
      </c>
      <c r="D2794" s="28" t="s">
        <v>101</v>
      </c>
      <c r="E2794" s="28" t="s">
        <v>893</v>
      </c>
      <c r="F2794" s="28" t="s">
        <v>21</v>
      </c>
      <c r="G2794" s="28" t="s">
        <v>135</v>
      </c>
      <c r="H2794" s="28" t="s">
        <v>9633</v>
      </c>
      <c r="I2794" s="28" t="s">
        <v>15557</v>
      </c>
      <c r="J2794" s="28" t="s">
        <v>135</v>
      </c>
      <c r="K2794" s="28" t="s">
        <v>10125</v>
      </c>
      <c r="L2794" s="28" t="s">
        <v>9636</v>
      </c>
      <c r="M2794" s="28" t="s">
        <v>15553</v>
      </c>
      <c r="N2794" s="28" t="s">
        <v>9638</v>
      </c>
      <c r="O2794" s="28" t="s">
        <v>9639</v>
      </c>
      <c r="P2794" s="28" t="s">
        <v>15558</v>
      </c>
    </row>
    <row r="2795" spans="1:16" x14ac:dyDescent="0.25">
      <c r="A2795" s="28" t="s">
        <v>15559</v>
      </c>
      <c r="B2795" s="28" t="s">
        <v>15560</v>
      </c>
      <c r="C2795" s="28" t="s">
        <v>132</v>
      </c>
      <c r="D2795" s="28" t="s">
        <v>101</v>
      </c>
      <c r="E2795" s="28" t="s">
        <v>893</v>
      </c>
      <c r="F2795" s="28" t="s">
        <v>21</v>
      </c>
      <c r="G2795" s="28" t="s">
        <v>39</v>
      </c>
      <c r="H2795" s="28" t="s">
        <v>10259</v>
      </c>
      <c r="I2795" s="28" t="s">
        <v>15561</v>
      </c>
      <c r="J2795" s="28" t="s">
        <v>39</v>
      </c>
      <c r="K2795" s="28" t="s">
        <v>10261</v>
      </c>
      <c r="L2795" s="28" t="s">
        <v>10262</v>
      </c>
      <c r="M2795" s="28" t="s">
        <v>15562</v>
      </c>
      <c r="N2795" s="28" t="s">
        <v>10264</v>
      </c>
      <c r="O2795" s="28" t="s">
        <v>10265</v>
      </c>
      <c r="P2795" s="28" t="s">
        <v>10266</v>
      </c>
    </row>
    <row r="2796" spans="1:16" x14ac:dyDescent="0.25">
      <c r="A2796" s="28" t="s">
        <v>15563</v>
      </c>
      <c r="B2796" s="28" t="s">
        <v>15564</v>
      </c>
      <c r="C2796" s="28" t="s">
        <v>132</v>
      </c>
      <c r="D2796" s="28" t="s">
        <v>101</v>
      </c>
      <c r="E2796" s="28" t="s">
        <v>893</v>
      </c>
      <c r="F2796" s="28" t="s">
        <v>21</v>
      </c>
      <c r="G2796" s="28" t="s">
        <v>135</v>
      </c>
      <c r="H2796" s="28" t="s">
        <v>9633</v>
      </c>
      <c r="I2796" s="28" t="s">
        <v>15565</v>
      </c>
      <c r="J2796" s="28" t="s">
        <v>135</v>
      </c>
      <c r="K2796" s="28" t="s">
        <v>10125</v>
      </c>
      <c r="L2796" s="28" t="s">
        <v>9636</v>
      </c>
      <c r="M2796" s="28" t="s">
        <v>15566</v>
      </c>
      <c r="N2796" s="28" t="s">
        <v>9638</v>
      </c>
      <c r="O2796" s="28" t="s">
        <v>9639</v>
      </c>
      <c r="P2796" s="28" t="s">
        <v>15567</v>
      </c>
    </row>
    <row r="2797" spans="1:16" x14ac:dyDescent="0.25">
      <c r="A2797" s="28" t="s">
        <v>15568</v>
      </c>
      <c r="B2797" s="28" t="s">
        <v>15569</v>
      </c>
      <c r="C2797" s="28" t="s">
        <v>132</v>
      </c>
      <c r="D2797" s="28" t="s">
        <v>101</v>
      </c>
      <c r="E2797" s="28" t="s">
        <v>893</v>
      </c>
      <c r="F2797" s="28" t="s">
        <v>21</v>
      </c>
      <c r="G2797" s="28" t="s">
        <v>135</v>
      </c>
      <c r="H2797" s="28" t="s">
        <v>9633</v>
      </c>
      <c r="I2797" s="28" t="s">
        <v>15570</v>
      </c>
      <c r="J2797" s="28" t="s">
        <v>135</v>
      </c>
      <c r="K2797" s="28" t="s">
        <v>10125</v>
      </c>
      <c r="L2797" s="28" t="s">
        <v>9636</v>
      </c>
      <c r="M2797" s="28" t="s">
        <v>15571</v>
      </c>
      <c r="N2797" s="28" t="s">
        <v>9638</v>
      </c>
      <c r="O2797" s="28" t="s">
        <v>9639</v>
      </c>
      <c r="P2797" s="28" t="s">
        <v>15572</v>
      </c>
    </row>
    <row r="2798" spans="1:16" x14ac:dyDescent="0.25">
      <c r="A2798" s="28" t="s">
        <v>15573</v>
      </c>
      <c r="B2798" s="28" t="s">
        <v>15574</v>
      </c>
      <c r="C2798" s="28" t="s">
        <v>132</v>
      </c>
      <c r="D2798" s="28" t="s">
        <v>101</v>
      </c>
      <c r="E2798" s="28" t="s">
        <v>893</v>
      </c>
      <c r="F2798" s="28" t="s">
        <v>21</v>
      </c>
      <c r="G2798" s="28" t="s">
        <v>135</v>
      </c>
      <c r="H2798" s="28" t="s">
        <v>9633</v>
      </c>
      <c r="I2798" s="28" t="s">
        <v>15575</v>
      </c>
      <c r="J2798" s="28" t="s">
        <v>135</v>
      </c>
      <c r="K2798" s="28" t="s">
        <v>10125</v>
      </c>
      <c r="L2798" s="28" t="s">
        <v>9636</v>
      </c>
      <c r="M2798" s="28" t="s">
        <v>15571</v>
      </c>
      <c r="N2798" s="28" t="s">
        <v>9638</v>
      </c>
      <c r="O2798" s="28" t="s">
        <v>9639</v>
      </c>
      <c r="P2798" s="28" t="s">
        <v>15576</v>
      </c>
    </row>
    <row r="2799" spans="1:16" x14ac:dyDescent="0.25">
      <c r="A2799" s="28" t="s">
        <v>15577</v>
      </c>
      <c r="B2799" s="28" t="s">
        <v>15578</v>
      </c>
      <c r="C2799" s="28" t="s">
        <v>132</v>
      </c>
      <c r="D2799" s="28" t="s">
        <v>101</v>
      </c>
      <c r="E2799" s="28" t="s">
        <v>893</v>
      </c>
      <c r="F2799" s="28" t="s">
        <v>21</v>
      </c>
      <c r="G2799" s="28" t="s">
        <v>39</v>
      </c>
      <c r="H2799" s="28" t="s">
        <v>10259</v>
      </c>
      <c r="I2799" s="28" t="s">
        <v>15579</v>
      </c>
      <c r="J2799" s="28" t="s">
        <v>39</v>
      </c>
      <c r="K2799" s="28" t="s">
        <v>10261</v>
      </c>
      <c r="L2799" s="28" t="s">
        <v>10262</v>
      </c>
      <c r="M2799" s="28" t="s">
        <v>15580</v>
      </c>
      <c r="N2799" s="28" t="s">
        <v>10264</v>
      </c>
      <c r="O2799" s="28" t="s">
        <v>10265</v>
      </c>
      <c r="P2799" s="28" t="s">
        <v>10266</v>
      </c>
    </row>
    <row r="2800" spans="1:16" x14ac:dyDescent="0.25">
      <c r="A2800" s="28" t="s">
        <v>15581</v>
      </c>
      <c r="B2800" s="28" t="s">
        <v>15582</v>
      </c>
      <c r="C2800" s="28" t="s">
        <v>132</v>
      </c>
      <c r="D2800" s="28" t="s">
        <v>101</v>
      </c>
      <c r="E2800" s="28" t="s">
        <v>7519</v>
      </c>
      <c r="F2800" s="28" t="s">
        <v>21</v>
      </c>
      <c r="G2800" s="28" t="s">
        <v>135</v>
      </c>
      <c r="H2800" s="28" t="s">
        <v>9633</v>
      </c>
      <c r="I2800" s="28" t="s">
        <v>15583</v>
      </c>
      <c r="J2800" s="28" t="s">
        <v>135</v>
      </c>
      <c r="K2800" s="28" t="s">
        <v>10125</v>
      </c>
      <c r="L2800" s="28" t="s">
        <v>9636</v>
      </c>
      <c r="M2800" s="28" t="s">
        <v>15584</v>
      </c>
      <c r="N2800" s="28" t="s">
        <v>9638</v>
      </c>
      <c r="O2800" s="28" t="s">
        <v>9639</v>
      </c>
      <c r="P2800" s="28" t="s">
        <v>15585</v>
      </c>
    </row>
    <row r="2801" spans="1:16" x14ac:dyDescent="0.25">
      <c r="A2801" s="28" t="s">
        <v>15586</v>
      </c>
      <c r="B2801" s="28" t="s">
        <v>15587</v>
      </c>
      <c r="C2801" s="28" t="s">
        <v>132</v>
      </c>
      <c r="D2801" s="28" t="s">
        <v>101</v>
      </c>
      <c r="E2801" s="28" t="s">
        <v>7519</v>
      </c>
      <c r="F2801" s="28" t="s">
        <v>21</v>
      </c>
      <c r="G2801" s="28" t="s">
        <v>135</v>
      </c>
      <c r="H2801" s="28" t="s">
        <v>9633</v>
      </c>
      <c r="I2801" s="28" t="s">
        <v>15588</v>
      </c>
      <c r="J2801" s="28" t="s">
        <v>135</v>
      </c>
      <c r="K2801" s="28" t="s">
        <v>10125</v>
      </c>
      <c r="L2801" s="28" t="s">
        <v>9636</v>
      </c>
      <c r="M2801" s="28" t="s">
        <v>15584</v>
      </c>
      <c r="N2801" s="28" t="s">
        <v>9638</v>
      </c>
      <c r="O2801" s="28" t="s">
        <v>9639</v>
      </c>
      <c r="P2801" s="28" t="s">
        <v>15589</v>
      </c>
    </row>
    <row r="2802" spans="1:16" x14ac:dyDescent="0.25">
      <c r="A2802" s="28" t="s">
        <v>15590</v>
      </c>
      <c r="B2802" s="28" t="s">
        <v>15591</v>
      </c>
      <c r="C2802" s="28" t="s">
        <v>132</v>
      </c>
      <c r="D2802" s="28" t="s">
        <v>101</v>
      </c>
      <c r="E2802" s="28" t="s">
        <v>7519</v>
      </c>
      <c r="F2802" s="28" t="s">
        <v>21</v>
      </c>
      <c r="G2802" s="28" t="s">
        <v>135</v>
      </c>
      <c r="H2802" s="28" t="s">
        <v>9633</v>
      </c>
      <c r="I2802" s="28" t="s">
        <v>15592</v>
      </c>
      <c r="J2802" s="28" t="s">
        <v>135</v>
      </c>
      <c r="K2802" s="28" t="s">
        <v>10125</v>
      </c>
      <c r="L2802" s="28" t="s">
        <v>9636</v>
      </c>
      <c r="M2802" s="28" t="s">
        <v>15584</v>
      </c>
      <c r="N2802" s="28" t="s">
        <v>9638</v>
      </c>
      <c r="O2802" s="28" t="s">
        <v>9639</v>
      </c>
      <c r="P2802" s="28" t="s">
        <v>15593</v>
      </c>
    </row>
    <row r="2803" spans="1:16" x14ac:dyDescent="0.25">
      <c r="A2803" s="28" t="s">
        <v>15594</v>
      </c>
      <c r="B2803" s="28" t="s">
        <v>15595</v>
      </c>
      <c r="C2803" s="28" t="s">
        <v>132</v>
      </c>
      <c r="D2803" s="28" t="s">
        <v>101</v>
      </c>
      <c r="E2803" s="28" t="s">
        <v>5745</v>
      </c>
      <c r="F2803" s="28" t="s">
        <v>21</v>
      </c>
      <c r="G2803" s="28" t="s">
        <v>135</v>
      </c>
      <c r="H2803" s="28" t="s">
        <v>9633</v>
      </c>
      <c r="I2803" s="28" t="s">
        <v>15596</v>
      </c>
      <c r="J2803" s="28" t="s">
        <v>135</v>
      </c>
      <c r="K2803" s="28" t="s">
        <v>10125</v>
      </c>
      <c r="L2803" s="28" t="s">
        <v>9636</v>
      </c>
      <c r="M2803" s="28" t="s">
        <v>15597</v>
      </c>
      <c r="N2803" s="28" t="s">
        <v>9638</v>
      </c>
      <c r="O2803" s="28" t="s">
        <v>9639</v>
      </c>
      <c r="P2803" s="28" t="s">
        <v>15598</v>
      </c>
    </row>
    <row r="2804" spans="1:16" x14ac:dyDescent="0.25">
      <c r="A2804" s="28" t="s">
        <v>15599</v>
      </c>
      <c r="B2804" s="28" t="s">
        <v>15600</v>
      </c>
      <c r="C2804" s="28" t="s">
        <v>132</v>
      </c>
      <c r="D2804" s="28" t="s">
        <v>101</v>
      </c>
      <c r="E2804" s="28" t="s">
        <v>5745</v>
      </c>
      <c r="F2804" s="28" t="s">
        <v>21</v>
      </c>
      <c r="G2804" s="28" t="s">
        <v>135</v>
      </c>
      <c r="H2804" s="28" t="s">
        <v>9633</v>
      </c>
      <c r="I2804" s="28" t="s">
        <v>15601</v>
      </c>
      <c r="J2804" s="28" t="s">
        <v>135</v>
      </c>
      <c r="K2804" s="28" t="s">
        <v>10125</v>
      </c>
      <c r="L2804" s="28" t="s">
        <v>9636</v>
      </c>
      <c r="M2804" s="28" t="s">
        <v>15597</v>
      </c>
      <c r="N2804" s="28" t="s">
        <v>9638</v>
      </c>
      <c r="O2804" s="28" t="s">
        <v>9639</v>
      </c>
      <c r="P2804" s="28" t="s">
        <v>15602</v>
      </c>
    </row>
    <row r="2805" spans="1:16" x14ac:dyDescent="0.25">
      <c r="A2805" s="28" t="s">
        <v>15603</v>
      </c>
      <c r="B2805" s="28" t="s">
        <v>15604</v>
      </c>
      <c r="C2805" s="28" t="s">
        <v>132</v>
      </c>
      <c r="D2805" s="28" t="s">
        <v>101</v>
      </c>
      <c r="E2805" s="28" t="s">
        <v>5745</v>
      </c>
      <c r="F2805" s="28" t="s">
        <v>21</v>
      </c>
      <c r="G2805" s="28" t="s">
        <v>135</v>
      </c>
      <c r="H2805" s="28" t="s">
        <v>9633</v>
      </c>
      <c r="I2805" s="28" t="s">
        <v>15605</v>
      </c>
      <c r="J2805" s="28" t="s">
        <v>135</v>
      </c>
      <c r="K2805" s="28" t="s">
        <v>10125</v>
      </c>
      <c r="L2805" s="28" t="s">
        <v>9636</v>
      </c>
      <c r="M2805" s="28" t="s">
        <v>15597</v>
      </c>
      <c r="N2805" s="28" t="s">
        <v>9638</v>
      </c>
      <c r="O2805" s="28" t="s">
        <v>9639</v>
      </c>
      <c r="P2805" s="28" t="s">
        <v>15606</v>
      </c>
    </row>
    <row r="2806" spans="1:16" x14ac:dyDescent="0.25">
      <c r="A2806" s="28" t="s">
        <v>15607</v>
      </c>
      <c r="B2806" s="28" t="s">
        <v>15608</v>
      </c>
      <c r="C2806" s="28" t="s">
        <v>132</v>
      </c>
      <c r="D2806" s="28" t="s">
        <v>101</v>
      </c>
      <c r="E2806" s="28" t="s">
        <v>881</v>
      </c>
      <c r="F2806" s="28" t="s">
        <v>21</v>
      </c>
      <c r="G2806" s="28" t="s">
        <v>135</v>
      </c>
      <c r="H2806" s="28" t="s">
        <v>9633</v>
      </c>
      <c r="I2806" s="28" t="s">
        <v>15609</v>
      </c>
      <c r="J2806" s="28" t="s">
        <v>135</v>
      </c>
      <c r="K2806" s="28" t="s">
        <v>10125</v>
      </c>
      <c r="L2806" s="28" t="s">
        <v>9636</v>
      </c>
      <c r="M2806" s="28" t="s">
        <v>15610</v>
      </c>
      <c r="N2806" s="28" t="s">
        <v>9638</v>
      </c>
      <c r="O2806" s="28" t="s">
        <v>9639</v>
      </c>
      <c r="P2806" s="28" t="s">
        <v>15611</v>
      </c>
    </row>
    <row r="2807" spans="1:16" x14ac:dyDescent="0.25">
      <c r="A2807" s="28" t="s">
        <v>15612</v>
      </c>
      <c r="B2807" s="28" t="s">
        <v>15613</v>
      </c>
      <c r="C2807" s="28" t="s">
        <v>132</v>
      </c>
      <c r="D2807" s="28" t="s">
        <v>101</v>
      </c>
      <c r="E2807" s="28" t="s">
        <v>881</v>
      </c>
      <c r="F2807" s="28" t="s">
        <v>21</v>
      </c>
      <c r="G2807" s="28" t="s">
        <v>135</v>
      </c>
      <c r="H2807" s="28" t="s">
        <v>9633</v>
      </c>
      <c r="I2807" s="28" t="s">
        <v>15614</v>
      </c>
      <c r="J2807" s="28" t="s">
        <v>135</v>
      </c>
      <c r="K2807" s="28" t="s">
        <v>10125</v>
      </c>
      <c r="L2807" s="28" t="s">
        <v>9636</v>
      </c>
      <c r="M2807" s="28" t="s">
        <v>15610</v>
      </c>
      <c r="N2807" s="28" t="s">
        <v>9638</v>
      </c>
      <c r="O2807" s="28" t="s">
        <v>9639</v>
      </c>
      <c r="P2807" s="28" t="s">
        <v>15615</v>
      </c>
    </row>
    <row r="2808" spans="1:16" x14ac:dyDescent="0.25">
      <c r="A2808" s="28" t="s">
        <v>15616</v>
      </c>
      <c r="B2808" s="28" t="s">
        <v>15617</v>
      </c>
      <c r="C2808" s="28" t="s">
        <v>132</v>
      </c>
      <c r="D2808" s="28" t="s">
        <v>101</v>
      </c>
      <c r="E2808" s="28" t="s">
        <v>881</v>
      </c>
      <c r="F2808" s="28" t="s">
        <v>21</v>
      </c>
      <c r="G2808" s="28" t="s">
        <v>39</v>
      </c>
      <c r="H2808" s="28" t="s">
        <v>10259</v>
      </c>
      <c r="I2808" s="28" t="s">
        <v>15618</v>
      </c>
      <c r="J2808" s="28" t="s">
        <v>39</v>
      </c>
      <c r="K2808" s="28" t="s">
        <v>10261</v>
      </c>
      <c r="L2808" s="28" t="s">
        <v>10262</v>
      </c>
      <c r="M2808" s="28" t="s">
        <v>15619</v>
      </c>
      <c r="N2808" s="28" t="s">
        <v>10264</v>
      </c>
      <c r="O2808" s="28" t="s">
        <v>10265</v>
      </c>
      <c r="P2808" s="28" t="s">
        <v>10266</v>
      </c>
    </row>
    <row r="2809" spans="1:16" x14ac:dyDescent="0.25">
      <c r="A2809" s="28" t="s">
        <v>15620</v>
      </c>
      <c r="B2809" s="28" t="s">
        <v>15621</v>
      </c>
      <c r="C2809" s="28" t="s">
        <v>132</v>
      </c>
      <c r="D2809" s="28" t="s">
        <v>101</v>
      </c>
      <c r="E2809" s="28" t="s">
        <v>887</v>
      </c>
      <c r="F2809" s="28" t="s">
        <v>21</v>
      </c>
      <c r="G2809" s="28" t="s">
        <v>135</v>
      </c>
      <c r="H2809" s="28" t="s">
        <v>9633</v>
      </c>
      <c r="I2809" s="28" t="s">
        <v>15622</v>
      </c>
      <c r="J2809" s="28" t="s">
        <v>135</v>
      </c>
      <c r="K2809" s="28" t="s">
        <v>10125</v>
      </c>
      <c r="L2809" s="28" t="s">
        <v>9636</v>
      </c>
      <c r="M2809" s="28" t="s">
        <v>15623</v>
      </c>
      <c r="N2809" s="28" t="s">
        <v>9638</v>
      </c>
      <c r="O2809" s="28" t="s">
        <v>9639</v>
      </c>
      <c r="P2809" s="28" t="s">
        <v>15624</v>
      </c>
    </row>
    <row r="2810" spans="1:16" x14ac:dyDescent="0.25">
      <c r="A2810" s="28" t="s">
        <v>15625</v>
      </c>
      <c r="B2810" s="28" t="s">
        <v>15626</v>
      </c>
      <c r="C2810" s="28" t="s">
        <v>132</v>
      </c>
      <c r="D2810" s="28" t="s">
        <v>101</v>
      </c>
      <c r="E2810" s="28" t="s">
        <v>887</v>
      </c>
      <c r="F2810" s="28" t="s">
        <v>21</v>
      </c>
      <c r="G2810" s="28" t="s">
        <v>135</v>
      </c>
      <c r="H2810" s="28" t="s">
        <v>9633</v>
      </c>
      <c r="I2810" s="28" t="s">
        <v>15627</v>
      </c>
      <c r="J2810" s="28" t="s">
        <v>135</v>
      </c>
      <c r="K2810" s="28" t="s">
        <v>10125</v>
      </c>
      <c r="L2810" s="28" t="s">
        <v>9636</v>
      </c>
      <c r="M2810" s="28" t="s">
        <v>15623</v>
      </c>
      <c r="N2810" s="28" t="s">
        <v>9638</v>
      </c>
      <c r="O2810" s="28" t="s">
        <v>9639</v>
      </c>
      <c r="P2810" s="28" t="s">
        <v>15628</v>
      </c>
    </row>
    <row r="2811" spans="1:16" x14ac:dyDescent="0.25">
      <c r="A2811" s="28" t="s">
        <v>15629</v>
      </c>
      <c r="B2811" s="28" t="s">
        <v>15630</v>
      </c>
      <c r="C2811" s="28" t="s">
        <v>132</v>
      </c>
      <c r="D2811" s="28" t="s">
        <v>101</v>
      </c>
      <c r="E2811" s="28" t="s">
        <v>887</v>
      </c>
      <c r="F2811" s="28" t="s">
        <v>21</v>
      </c>
      <c r="G2811" s="28" t="s">
        <v>39</v>
      </c>
      <c r="H2811" s="28" t="s">
        <v>10259</v>
      </c>
      <c r="I2811" s="28" t="s">
        <v>15631</v>
      </c>
      <c r="J2811" s="28" t="s">
        <v>39</v>
      </c>
      <c r="K2811" s="28" t="s">
        <v>10261</v>
      </c>
      <c r="L2811" s="28" t="s">
        <v>10262</v>
      </c>
      <c r="M2811" s="28" t="s">
        <v>15632</v>
      </c>
      <c r="N2811" s="28" t="s">
        <v>10264</v>
      </c>
      <c r="O2811" s="28" t="s">
        <v>10265</v>
      </c>
      <c r="P2811" s="28" t="s">
        <v>10266</v>
      </c>
    </row>
    <row r="2812" spans="1:16" x14ac:dyDescent="0.25">
      <c r="A2812" s="28" t="s">
        <v>15633</v>
      </c>
      <c r="B2812" s="28" t="s">
        <v>15634</v>
      </c>
      <c r="C2812" s="28" t="s">
        <v>132</v>
      </c>
      <c r="D2812" s="28" t="s">
        <v>286</v>
      </c>
      <c r="E2812" s="28" t="s">
        <v>121</v>
      </c>
      <c r="F2812" s="28" t="s">
        <v>21</v>
      </c>
      <c r="G2812" s="28" t="s">
        <v>207</v>
      </c>
      <c r="H2812" s="28" t="s">
        <v>9633</v>
      </c>
      <c r="I2812" s="28" t="s">
        <v>15635</v>
      </c>
      <c r="J2812" s="28" t="s">
        <v>207</v>
      </c>
      <c r="K2812" s="28" t="s">
        <v>9635</v>
      </c>
      <c r="L2812" s="28" t="s">
        <v>9636</v>
      </c>
      <c r="M2812" s="28" t="s">
        <v>15636</v>
      </c>
      <c r="N2812" s="28" t="s">
        <v>9638</v>
      </c>
      <c r="O2812" s="28" t="s">
        <v>9639</v>
      </c>
      <c r="P2812" s="28" t="s">
        <v>15637</v>
      </c>
    </row>
    <row r="2813" spans="1:16" x14ac:dyDescent="0.25">
      <c r="A2813" s="28" t="s">
        <v>15638</v>
      </c>
      <c r="B2813" s="28" t="s">
        <v>15639</v>
      </c>
      <c r="C2813" s="28" t="s">
        <v>132</v>
      </c>
      <c r="D2813" s="28" t="s">
        <v>286</v>
      </c>
      <c r="E2813" s="28" t="s">
        <v>121</v>
      </c>
      <c r="F2813" s="28" t="s">
        <v>21</v>
      </c>
      <c r="G2813" s="28" t="s">
        <v>39</v>
      </c>
      <c r="H2813" s="28" t="s">
        <v>9711</v>
      </c>
      <c r="I2813" s="28" t="s">
        <v>15640</v>
      </c>
      <c r="J2813" s="28" t="s">
        <v>39</v>
      </c>
      <c r="K2813" s="28" t="s">
        <v>10506</v>
      </c>
      <c r="L2813" s="28" t="s">
        <v>9714</v>
      </c>
      <c r="M2813" s="28" t="s">
        <v>15641</v>
      </c>
      <c r="N2813" s="28" t="s">
        <v>9716</v>
      </c>
      <c r="O2813" s="28" t="s">
        <v>9717</v>
      </c>
      <c r="P2813" s="28" t="s">
        <v>15642</v>
      </c>
    </row>
    <row r="2814" spans="1:16" x14ac:dyDescent="0.25">
      <c r="A2814" s="28" t="s">
        <v>15643</v>
      </c>
      <c r="B2814" s="28" t="s">
        <v>15644</v>
      </c>
      <c r="C2814" s="28" t="s">
        <v>132</v>
      </c>
      <c r="D2814" s="28" t="s">
        <v>286</v>
      </c>
      <c r="E2814" s="28" t="s">
        <v>121</v>
      </c>
      <c r="F2814" s="28" t="s">
        <v>21</v>
      </c>
      <c r="G2814" s="28" t="s">
        <v>135</v>
      </c>
      <c r="H2814" s="28" t="s">
        <v>9633</v>
      </c>
      <c r="I2814" s="28" t="s">
        <v>15645</v>
      </c>
      <c r="J2814" s="28" t="s">
        <v>135</v>
      </c>
      <c r="K2814" s="28" t="s">
        <v>10125</v>
      </c>
      <c r="L2814" s="28" t="s">
        <v>9636</v>
      </c>
      <c r="M2814" s="28" t="s">
        <v>15646</v>
      </c>
      <c r="N2814" s="28" t="s">
        <v>9638</v>
      </c>
      <c r="O2814" s="28" t="s">
        <v>9639</v>
      </c>
      <c r="P2814" s="28" t="s">
        <v>15647</v>
      </c>
    </row>
    <row r="2815" spans="1:16" x14ac:dyDescent="0.25">
      <c r="A2815" s="28" t="s">
        <v>15648</v>
      </c>
      <c r="B2815" s="28" t="s">
        <v>15649</v>
      </c>
      <c r="C2815" s="28" t="s">
        <v>132</v>
      </c>
      <c r="D2815" s="28" t="s">
        <v>286</v>
      </c>
      <c r="E2815" s="28" t="s">
        <v>121</v>
      </c>
      <c r="F2815" s="28" t="s">
        <v>21</v>
      </c>
      <c r="G2815" s="28" t="s">
        <v>39</v>
      </c>
      <c r="H2815" s="28" t="s">
        <v>9711</v>
      </c>
      <c r="I2815" s="28" t="s">
        <v>15650</v>
      </c>
      <c r="J2815" s="28" t="s">
        <v>39</v>
      </c>
      <c r="K2815" s="28" t="s">
        <v>10506</v>
      </c>
      <c r="L2815" s="28" t="s">
        <v>9714</v>
      </c>
      <c r="M2815" s="28" t="s">
        <v>15651</v>
      </c>
      <c r="N2815" s="28" t="s">
        <v>9716</v>
      </c>
      <c r="O2815" s="28" t="s">
        <v>9717</v>
      </c>
      <c r="P2815" s="28" t="s">
        <v>15652</v>
      </c>
    </row>
    <row r="2816" spans="1:16" x14ac:dyDescent="0.25">
      <c r="A2816" s="28" t="s">
        <v>15653</v>
      </c>
      <c r="B2816" s="28" t="s">
        <v>15654</v>
      </c>
      <c r="C2816" s="28" t="s">
        <v>132</v>
      </c>
      <c r="D2816" s="28" t="s">
        <v>286</v>
      </c>
      <c r="E2816" s="28" t="s">
        <v>121</v>
      </c>
      <c r="F2816" s="28" t="s">
        <v>21</v>
      </c>
      <c r="G2816" s="28" t="s">
        <v>207</v>
      </c>
      <c r="H2816" s="28" t="s">
        <v>9633</v>
      </c>
      <c r="I2816" s="28" t="s">
        <v>15655</v>
      </c>
      <c r="J2816" s="28" t="s">
        <v>207</v>
      </c>
      <c r="K2816" s="28" t="s">
        <v>9635</v>
      </c>
      <c r="L2816" s="28" t="s">
        <v>9636</v>
      </c>
      <c r="M2816" s="28" t="s">
        <v>15656</v>
      </c>
      <c r="N2816" s="28" t="s">
        <v>9638</v>
      </c>
      <c r="O2816" s="28" t="s">
        <v>9639</v>
      </c>
      <c r="P2816" s="28" t="s">
        <v>15657</v>
      </c>
    </row>
    <row r="2817" spans="1:16" x14ac:dyDescent="0.25">
      <c r="A2817" s="28" t="s">
        <v>15658</v>
      </c>
      <c r="B2817" s="28" t="s">
        <v>15659</v>
      </c>
      <c r="C2817" s="28" t="s">
        <v>132</v>
      </c>
      <c r="D2817" s="28" t="s">
        <v>286</v>
      </c>
      <c r="E2817" s="28" t="s">
        <v>121</v>
      </c>
      <c r="F2817" s="28" t="s">
        <v>21</v>
      </c>
      <c r="G2817" s="28" t="s">
        <v>207</v>
      </c>
      <c r="H2817" s="28" t="s">
        <v>9633</v>
      </c>
      <c r="I2817" s="28" t="s">
        <v>15660</v>
      </c>
      <c r="J2817" s="28" t="s">
        <v>207</v>
      </c>
      <c r="K2817" s="28" t="s">
        <v>9635</v>
      </c>
      <c r="L2817" s="28" t="s">
        <v>9636</v>
      </c>
      <c r="M2817" s="28" t="s">
        <v>15661</v>
      </c>
      <c r="N2817" s="28" t="s">
        <v>9638</v>
      </c>
      <c r="O2817" s="28" t="s">
        <v>9639</v>
      </c>
      <c r="P2817" s="28" t="s">
        <v>15662</v>
      </c>
    </row>
    <row r="2818" spans="1:16" x14ac:dyDescent="0.25">
      <c r="A2818" s="28" t="s">
        <v>15663</v>
      </c>
      <c r="B2818" s="28" t="s">
        <v>15664</v>
      </c>
      <c r="C2818" s="28" t="s">
        <v>132</v>
      </c>
      <c r="D2818" s="28" t="s">
        <v>286</v>
      </c>
      <c r="E2818" s="28" t="s">
        <v>121</v>
      </c>
      <c r="F2818" s="28" t="s">
        <v>21</v>
      </c>
      <c r="G2818" s="28" t="s">
        <v>207</v>
      </c>
      <c r="H2818" s="28" t="s">
        <v>9633</v>
      </c>
      <c r="I2818" s="28" t="s">
        <v>15665</v>
      </c>
      <c r="J2818" s="28" t="s">
        <v>207</v>
      </c>
      <c r="K2818" s="28" t="s">
        <v>9635</v>
      </c>
      <c r="L2818" s="28" t="s">
        <v>9636</v>
      </c>
      <c r="M2818" s="28" t="s">
        <v>15666</v>
      </c>
      <c r="N2818" s="28" t="s">
        <v>9638</v>
      </c>
      <c r="O2818" s="28" t="s">
        <v>9639</v>
      </c>
      <c r="P2818" s="28" t="s">
        <v>15662</v>
      </c>
    </row>
    <row r="2819" spans="1:16" x14ac:dyDescent="0.25">
      <c r="A2819" s="28" t="s">
        <v>15667</v>
      </c>
      <c r="B2819" s="28" t="s">
        <v>15668</v>
      </c>
      <c r="C2819" s="28" t="s">
        <v>132</v>
      </c>
      <c r="D2819" s="28" t="s">
        <v>286</v>
      </c>
      <c r="E2819" s="28" t="s">
        <v>121</v>
      </c>
      <c r="F2819" s="28" t="s">
        <v>21</v>
      </c>
      <c r="G2819" s="28" t="s">
        <v>207</v>
      </c>
      <c r="H2819" s="28" t="s">
        <v>9633</v>
      </c>
      <c r="I2819" s="28" t="s">
        <v>15669</v>
      </c>
      <c r="J2819" s="28" t="s">
        <v>207</v>
      </c>
      <c r="K2819" s="28" t="s">
        <v>9635</v>
      </c>
      <c r="L2819" s="28" t="s">
        <v>9636</v>
      </c>
      <c r="M2819" s="28" t="s">
        <v>15670</v>
      </c>
      <c r="N2819" s="28" t="s">
        <v>9638</v>
      </c>
      <c r="O2819" s="28" t="s">
        <v>9639</v>
      </c>
      <c r="P2819" s="28" t="s">
        <v>15671</v>
      </c>
    </row>
    <row r="2820" spans="1:16" x14ac:dyDescent="0.25">
      <c r="A2820" s="28" t="s">
        <v>15672</v>
      </c>
      <c r="B2820" s="28" t="s">
        <v>15673</v>
      </c>
      <c r="C2820" s="28" t="s">
        <v>132</v>
      </c>
      <c r="D2820" s="28" t="s">
        <v>286</v>
      </c>
      <c r="E2820" s="28" t="s">
        <v>121</v>
      </c>
      <c r="F2820" s="28" t="s">
        <v>21</v>
      </c>
      <c r="G2820" s="28" t="s">
        <v>39</v>
      </c>
      <c r="H2820" s="28" t="s">
        <v>9711</v>
      </c>
      <c r="I2820" s="28" t="s">
        <v>15674</v>
      </c>
      <c r="J2820" s="28" t="s">
        <v>39</v>
      </c>
      <c r="K2820" s="28" t="s">
        <v>10506</v>
      </c>
      <c r="L2820" s="28" t="s">
        <v>9714</v>
      </c>
      <c r="M2820" s="28" t="s">
        <v>15675</v>
      </c>
      <c r="N2820" s="28" t="s">
        <v>9716</v>
      </c>
      <c r="O2820" s="28" t="s">
        <v>9717</v>
      </c>
      <c r="P2820" s="28" t="s">
        <v>15676</v>
      </c>
    </row>
    <row r="2821" spans="1:16" x14ac:dyDescent="0.25">
      <c r="A2821" s="28" t="s">
        <v>15677</v>
      </c>
      <c r="B2821" s="28" t="s">
        <v>15678</v>
      </c>
      <c r="C2821" s="28" t="s">
        <v>132</v>
      </c>
      <c r="D2821" s="28" t="s">
        <v>286</v>
      </c>
      <c r="E2821" s="28" t="s">
        <v>121</v>
      </c>
      <c r="F2821" s="28" t="s">
        <v>21</v>
      </c>
      <c r="G2821" s="28" t="s">
        <v>135</v>
      </c>
      <c r="H2821" s="28" t="s">
        <v>9633</v>
      </c>
      <c r="I2821" s="28" t="s">
        <v>15679</v>
      </c>
      <c r="J2821" s="28" t="s">
        <v>135</v>
      </c>
      <c r="K2821" s="28" t="s">
        <v>10125</v>
      </c>
      <c r="L2821" s="28" t="s">
        <v>9636</v>
      </c>
      <c r="M2821" s="28" t="s">
        <v>15680</v>
      </c>
      <c r="N2821" s="28" t="s">
        <v>9638</v>
      </c>
      <c r="O2821" s="28" t="s">
        <v>9639</v>
      </c>
      <c r="P2821" s="28" t="s">
        <v>15681</v>
      </c>
    </row>
    <row r="2822" spans="1:16" x14ac:dyDescent="0.25">
      <c r="A2822" s="28" t="s">
        <v>15682</v>
      </c>
      <c r="B2822" s="28" t="s">
        <v>15683</v>
      </c>
      <c r="C2822" s="28" t="s">
        <v>132</v>
      </c>
      <c r="D2822" s="28" t="s">
        <v>286</v>
      </c>
      <c r="E2822" s="28" t="s">
        <v>121</v>
      </c>
      <c r="F2822" s="28" t="s">
        <v>21</v>
      </c>
      <c r="G2822" s="28" t="s">
        <v>39</v>
      </c>
      <c r="H2822" s="28" t="s">
        <v>9711</v>
      </c>
      <c r="I2822" s="28" t="s">
        <v>15684</v>
      </c>
      <c r="J2822" s="28" t="s">
        <v>39</v>
      </c>
      <c r="K2822" s="28" t="s">
        <v>10506</v>
      </c>
      <c r="L2822" s="28" t="s">
        <v>9714</v>
      </c>
      <c r="M2822" s="28" t="s">
        <v>15685</v>
      </c>
      <c r="N2822" s="28" t="s">
        <v>9716</v>
      </c>
      <c r="O2822" s="28" t="s">
        <v>9717</v>
      </c>
      <c r="P2822" s="28" t="s">
        <v>15686</v>
      </c>
    </row>
    <row r="2823" spans="1:16" x14ac:dyDescent="0.25">
      <c r="A2823" s="28" t="s">
        <v>15687</v>
      </c>
      <c r="B2823" s="28" t="s">
        <v>15688</v>
      </c>
      <c r="C2823" s="28" t="s">
        <v>132</v>
      </c>
      <c r="D2823" s="28" t="s">
        <v>286</v>
      </c>
      <c r="E2823" s="28" t="s">
        <v>121</v>
      </c>
      <c r="F2823" s="28" t="s">
        <v>21</v>
      </c>
      <c r="G2823" s="28" t="s">
        <v>207</v>
      </c>
      <c r="H2823" s="28" t="s">
        <v>9633</v>
      </c>
      <c r="I2823" s="28" t="s">
        <v>15689</v>
      </c>
      <c r="J2823" s="28" t="s">
        <v>207</v>
      </c>
      <c r="K2823" s="28" t="s">
        <v>9635</v>
      </c>
      <c r="L2823" s="28" t="s">
        <v>9636</v>
      </c>
      <c r="M2823" s="28" t="s">
        <v>15690</v>
      </c>
      <c r="N2823" s="28" t="s">
        <v>9638</v>
      </c>
      <c r="O2823" s="28" t="s">
        <v>9639</v>
      </c>
      <c r="P2823" s="28" t="s">
        <v>15691</v>
      </c>
    </row>
    <row r="2824" spans="1:16" x14ac:dyDescent="0.25">
      <c r="A2824" s="28" t="s">
        <v>15692</v>
      </c>
      <c r="B2824" s="28" t="s">
        <v>15693</v>
      </c>
      <c r="C2824" s="28" t="s">
        <v>132</v>
      </c>
      <c r="D2824" s="28" t="s">
        <v>286</v>
      </c>
      <c r="E2824" s="28" t="s">
        <v>121</v>
      </c>
      <c r="F2824" s="28" t="s">
        <v>21</v>
      </c>
      <c r="G2824" s="28" t="s">
        <v>207</v>
      </c>
      <c r="H2824" s="28" t="s">
        <v>9633</v>
      </c>
      <c r="I2824" s="28" t="s">
        <v>15694</v>
      </c>
      <c r="J2824" s="28" t="s">
        <v>207</v>
      </c>
      <c r="K2824" s="28" t="s">
        <v>9635</v>
      </c>
      <c r="L2824" s="28" t="s">
        <v>9636</v>
      </c>
      <c r="M2824" s="28" t="s">
        <v>15690</v>
      </c>
      <c r="N2824" s="28" t="s">
        <v>9638</v>
      </c>
      <c r="O2824" s="28" t="s">
        <v>9639</v>
      </c>
      <c r="P2824" s="28" t="s">
        <v>15671</v>
      </c>
    </row>
    <row r="2825" spans="1:16" x14ac:dyDescent="0.25">
      <c r="A2825" s="28" t="s">
        <v>15695</v>
      </c>
      <c r="B2825" s="28" t="s">
        <v>15696</v>
      </c>
      <c r="C2825" s="28" t="s">
        <v>132</v>
      </c>
      <c r="D2825" s="28" t="s">
        <v>286</v>
      </c>
      <c r="E2825" s="28" t="s">
        <v>121</v>
      </c>
      <c r="F2825" s="28" t="s">
        <v>21</v>
      </c>
      <c r="G2825" s="28" t="s">
        <v>39</v>
      </c>
      <c r="H2825" s="28" t="s">
        <v>9711</v>
      </c>
      <c r="I2825" s="28" t="s">
        <v>15697</v>
      </c>
      <c r="J2825" s="28" t="s">
        <v>39</v>
      </c>
      <c r="K2825" s="28" t="s">
        <v>10506</v>
      </c>
      <c r="L2825" s="28" t="s">
        <v>9714</v>
      </c>
      <c r="M2825" s="28" t="s">
        <v>15698</v>
      </c>
      <c r="N2825" s="28" t="s">
        <v>9716</v>
      </c>
      <c r="O2825" s="28" t="s">
        <v>9717</v>
      </c>
      <c r="P2825" s="28" t="s">
        <v>15699</v>
      </c>
    </row>
    <row r="2826" spans="1:16" x14ac:dyDescent="0.25">
      <c r="A2826" s="28" t="s">
        <v>15700</v>
      </c>
      <c r="B2826" s="28" t="s">
        <v>15701</v>
      </c>
      <c r="C2826" s="28" t="s">
        <v>132</v>
      </c>
      <c r="D2826" s="28" t="s">
        <v>286</v>
      </c>
      <c r="E2826" s="28" t="s">
        <v>121</v>
      </c>
      <c r="F2826" s="28" t="s">
        <v>21</v>
      </c>
      <c r="G2826" s="28" t="s">
        <v>135</v>
      </c>
      <c r="H2826" s="28" t="s">
        <v>9633</v>
      </c>
      <c r="I2826" s="28" t="s">
        <v>15702</v>
      </c>
      <c r="J2826" s="28" t="s">
        <v>135</v>
      </c>
      <c r="K2826" s="28" t="s">
        <v>10125</v>
      </c>
      <c r="L2826" s="28" t="s">
        <v>9636</v>
      </c>
      <c r="M2826" s="28" t="s">
        <v>15703</v>
      </c>
      <c r="N2826" s="28" t="s">
        <v>9638</v>
      </c>
      <c r="O2826" s="28" t="s">
        <v>9639</v>
      </c>
      <c r="P2826" s="28" t="s">
        <v>15647</v>
      </c>
    </row>
    <row r="2827" spans="1:16" x14ac:dyDescent="0.25">
      <c r="A2827" s="28" t="s">
        <v>15704</v>
      </c>
      <c r="B2827" s="28" t="s">
        <v>15705</v>
      </c>
      <c r="C2827" s="28" t="s">
        <v>132</v>
      </c>
      <c r="D2827" s="28" t="s">
        <v>286</v>
      </c>
      <c r="E2827" s="28" t="s">
        <v>121</v>
      </c>
      <c r="F2827" s="28" t="s">
        <v>21</v>
      </c>
      <c r="G2827" s="28" t="s">
        <v>39</v>
      </c>
      <c r="H2827" s="28" t="s">
        <v>9711</v>
      </c>
      <c r="I2827" s="28" t="s">
        <v>15706</v>
      </c>
      <c r="J2827" s="28" t="s">
        <v>39</v>
      </c>
      <c r="K2827" s="28" t="s">
        <v>10506</v>
      </c>
      <c r="L2827" s="28" t="s">
        <v>9714</v>
      </c>
      <c r="M2827" s="28" t="s">
        <v>15707</v>
      </c>
      <c r="N2827" s="28" t="s">
        <v>9716</v>
      </c>
      <c r="O2827" s="28" t="s">
        <v>9717</v>
      </c>
      <c r="P2827" s="28" t="s">
        <v>15708</v>
      </c>
    </row>
    <row r="2828" spans="1:16" x14ac:dyDescent="0.25">
      <c r="A2828" s="28" t="s">
        <v>15709</v>
      </c>
      <c r="B2828" s="28" t="s">
        <v>15710</v>
      </c>
      <c r="C2828" s="28" t="s">
        <v>132</v>
      </c>
      <c r="D2828" s="28" t="s">
        <v>286</v>
      </c>
      <c r="E2828" s="28" t="s">
        <v>121</v>
      </c>
      <c r="F2828" s="28" t="s">
        <v>21</v>
      </c>
      <c r="G2828" s="28" t="s">
        <v>39</v>
      </c>
      <c r="H2828" s="28" t="s">
        <v>9711</v>
      </c>
      <c r="I2828" s="28" t="s">
        <v>15711</v>
      </c>
      <c r="J2828" s="28" t="s">
        <v>39</v>
      </c>
      <c r="K2828" s="28" t="s">
        <v>10506</v>
      </c>
      <c r="L2828" s="28" t="s">
        <v>9714</v>
      </c>
      <c r="M2828" s="28" t="s">
        <v>15712</v>
      </c>
      <c r="N2828" s="28" t="s">
        <v>9716</v>
      </c>
      <c r="O2828" s="28" t="s">
        <v>9717</v>
      </c>
      <c r="P2828" s="28" t="s">
        <v>15713</v>
      </c>
    </row>
    <row r="2829" spans="1:16" x14ac:dyDescent="0.25">
      <c r="A2829" s="28" t="s">
        <v>15714</v>
      </c>
      <c r="B2829" s="28" t="s">
        <v>15715</v>
      </c>
      <c r="C2829" s="28" t="s">
        <v>132</v>
      </c>
      <c r="D2829" s="28" t="s">
        <v>286</v>
      </c>
      <c r="E2829" s="28" t="s">
        <v>121</v>
      </c>
      <c r="F2829" s="28" t="s">
        <v>21</v>
      </c>
      <c r="G2829" s="28" t="s">
        <v>135</v>
      </c>
      <c r="H2829" s="28" t="s">
        <v>9633</v>
      </c>
      <c r="I2829" s="28" t="s">
        <v>15716</v>
      </c>
      <c r="J2829" s="28" t="s">
        <v>135</v>
      </c>
      <c r="K2829" s="28" t="s">
        <v>10125</v>
      </c>
      <c r="L2829" s="28" t="s">
        <v>9636</v>
      </c>
      <c r="M2829" s="28" t="s">
        <v>15717</v>
      </c>
      <c r="N2829" s="28" t="s">
        <v>9638</v>
      </c>
      <c r="O2829" s="28" t="s">
        <v>9639</v>
      </c>
      <c r="P2829" s="28" t="s">
        <v>15718</v>
      </c>
    </row>
    <row r="2830" spans="1:16" x14ac:dyDescent="0.25">
      <c r="A2830" s="28" t="s">
        <v>15719</v>
      </c>
      <c r="B2830" s="28" t="s">
        <v>15720</v>
      </c>
      <c r="C2830" s="28" t="s">
        <v>132</v>
      </c>
      <c r="D2830" s="28" t="s">
        <v>286</v>
      </c>
      <c r="E2830" s="28" t="s">
        <v>121</v>
      </c>
      <c r="F2830" s="28" t="s">
        <v>21</v>
      </c>
      <c r="G2830" s="28" t="s">
        <v>39</v>
      </c>
      <c r="H2830" s="28" t="s">
        <v>9711</v>
      </c>
      <c r="I2830" s="28" t="s">
        <v>15721</v>
      </c>
      <c r="J2830" s="28" t="s">
        <v>39</v>
      </c>
      <c r="K2830" s="28" t="s">
        <v>10506</v>
      </c>
      <c r="L2830" s="28" t="s">
        <v>9714</v>
      </c>
      <c r="M2830" s="28" t="s">
        <v>15722</v>
      </c>
      <c r="N2830" s="28" t="s">
        <v>9716</v>
      </c>
      <c r="O2830" s="28" t="s">
        <v>9717</v>
      </c>
      <c r="P2830" s="28" t="s">
        <v>15723</v>
      </c>
    </row>
    <row r="2831" spans="1:16" x14ac:dyDescent="0.25">
      <c r="A2831" s="28" t="s">
        <v>15724</v>
      </c>
      <c r="B2831" s="28" t="s">
        <v>15725</v>
      </c>
      <c r="C2831" s="28" t="s">
        <v>132</v>
      </c>
      <c r="D2831" s="28" t="s">
        <v>286</v>
      </c>
      <c r="E2831" s="28" t="s">
        <v>121</v>
      </c>
      <c r="F2831" s="28" t="s">
        <v>21</v>
      </c>
      <c r="G2831" s="28" t="s">
        <v>207</v>
      </c>
      <c r="H2831" s="28" t="s">
        <v>9633</v>
      </c>
      <c r="I2831" s="28" t="s">
        <v>15726</v>
      </c>
      <c r="J2831" s="28" t="s">
        <v>207</v>
      </c>
      <c r="K2831" s="28" t="s">
        <v>9635</v>
      </c>
      <c r="L2831" s="28" t="s">
        <v>9636</v>
      </c>
      <c r="M2831" s="28" t="s">
        <v>15727</v>
      </c>
      <c r="N2831" s="28" t="s">
        <v>9638</v>
      </c>
      <c r="O2831" s="28" t="s">
        <v>9639</v>
      </c>
      <c r="P2831" s="28" t="s">
        <v>15637</v>
      </c>
    </row>
    <row r="2832" spans="1:16" x14ac:dyDescent="0.25">
      <c r="A2832" s="28" t="s">
        <v>15728</v>
      </c>
      <c r="B2832" s="28" t="s">
        <v>15729</v>
      </c>
      <c r="C2832" s="28" t="s">
        <v>132</v>
      </c>
      <c r="D2832" s="28" t="s">
        <v>286</v>
      </c>
      <c r="E2832" s="28" t="s">
        <v>121</v>
      </c>
      <c r="F2832" s="28" t="s">
        <v>21</v>
      </c>
      <c r="G2832" s="28" t="s">
        <v>39</v>
      </c>
      <c r="H2832" s="28" t="s">
        <v>9711</v>
      </c>
      <c r="I2832" s="28" t="s">
        <v>15730</v>
      </c>
      <c r="J2832" s="28" t="s">
        <v>39</v>
      </c>
      <c r="K2832" s="28" t="s">
        <v>10164</v>
      </c>
      <c r="L2832" s="28" t="s">
        <v>9714</v>
      </c>
      <c r="M2832" s="28" t="s">
        <v>15731</v>
      </c>
      <c r="N2832" s="28" t="s">
        <v>9716</v>
      </c>
      <c r="O2832" s="28" t="s">
        <v>9717</v>
      </c>
      <c r="P2832" s="28" t="s">
        <v>15732</v>
      </c>
    </row>
    <row r="2833" spans="1:16" x14ac:dyDescent="0.25">
      <c r="A2833" s="28" t="s">
        <v>15733</v>
      </c>
      <c r="B2833" s="28" t="s">
        <v>15734</v>
      </c>
      <c r="C2833" s="28" t="s">
        <v>132</v>
      </c>
      <c r="D2833" s="28" t="s">
        <v>286</v>
      </c>
      <c r="E2833" s="28" t="s">
        <v>121</v>
      </c>
      <c r="F2833" s="28" t="s">
        <v>21</v>
      </c>
      <c r="G2833" s="28" t="s">
        <v>207</v>
      </c>
      <c r="H2833" s="28" t="s">
        <v>9633</v>
      </c>
      <c r="I2833" s="28" t="s">
        <v>15735</v>
      </c>
      <c r="J2833" s="28" t="s">
        <v>207</v>
      </c>
      <c r="K2833" s="28" t="s">
        <v>9635</v>
      </c>
      <c r="L2833" s="28" t="s">
        <v>9636</v>
      </c>
      <c r="M2833" s="28" t="s">
        <v>15736</v>
      </c>
      <c r="N2833" s="28" t="s">
        <v>9638</v>
      </c>
      <c r="O2833" s="28" t="s">
        <v>9639</v>
      </c>
      <c r="P2833" s="28" t="s">
        <v>15637</v>
      </c>
    </row>
    <row r="2834" spans="1:16" x14ac:dyDescent="0.25">
      <c r="A2834" s="28" t="s">
        <v>15737</v>
      </c>
      <c r="B2834" s="28" t="s">
        <v>15738</v>
      </c>
      <c r="C2834" s="28" t="s">
        <v>132</v>
      </c>
      <c r="D2834" s="28" t="s">
        <v>286</v>
      </c>
      <c r="E2834" s="28" t="s">
        <v>121</v>
      </c>
      <c r="F2834" s="28" t="s">
        <v>21</v>
      </c>
      <c r="G2834" s="28" t="s">
        <v>149</v>
      </c>
      <c r="H2834" s="28" t="s">
        <v>9633</v>
      </c>
      <c r="I2834" s="28" t="s">
        <v>15739</v>
      </c>
      <c r="J2834" s="28" t="s">
        <v>149</v>
      </c>
      <c r="K2834" s="28" t="s">
        <v>9722</v>
      </c>
      <c r="L2834" s="28" t="s">
        <v>9636</v>
      </c>
      <c r="M2834" s="28" t="s">
        <v>15740</v>
      </c>
      <c r="N2834" s="28" t="s">
        <v>9638</v>
      </c>
      <c r="O2834" s="28" t="s">
        <v>9639</v>
      </c>
      <c r="P2834" s="28" t="s">
        <v>15637</v>
      </c>
    </row>
    <row r="2835" spans="1:16" x14ac:dyDescent="0.25">
      <c r="A2835" s="28" t="s">
        <v>15741</v>
      </c>
      <c r="B2835" s="28" t="s">
        <v>15742</v>
      </c>
      <c r="C2835" s="28" t="s">
        <v>132</v>
      </c>
      <c r="D2835" s="28" t="s">
        <v>286</v>
      </c>
      <c r="E2835" s="28" t="s">
        <v>121</v>
      </c>
      <c r="F2835" s="28" t="s">
        <v>21</v>
      </c>
      <c r="G2835" s="28" t="s">
        <v>39</v>
      </c>
      <c r="H2835" s="28" t="s">
        <v>9711</v>
      </c>
      <c r="I2835" s="28" t="s">
        <v>15743</v>
      </c>
      <c r="J2835" s="28" t="s">
        <v>39</v>
      </c>
      <c r="K2835" s="28" t="s">
        <v>10506</v>
      </c>
      <c r="L2835" s="28" t="s">
        <v>9714</v>
      </c>
      <c r="M2835" s="28" t="s">
        <v>15744</v>
      </c>
      <c r="N2835" s="28" t="s">
        <v>9716</v>
      </c>
      <c r="O2835" s="28" t="s">
        <v>9717</v>
      </c>
      <c r="P2835" s="28" t="s">
        <v>15745</v>
      </c>
    </row>
    <row r="2836" spans="1:16" x14ac:dyDescent="0.25">
      <c r="A2836" s="28" t="s">
        <v>15746</v>
      </c>
      <c r="B2836" s="28" t="s">
        <v>15747</v>
      </c>
      <c r="C2836" s="28" t="s">
        <v>132</v>
      </c>
      <c r="D2836" s="28" t="s">
        <v>286</v>
      </c>
      <c r="E2836" s="28" t="s">
        <v>121</v>
      </c>
      <c r="F2836" s="28" t="s">
        <v>21</v>
      </c>
      <c r="G2836" s="28" t="s">
        <v>135</v>
      </c>
      <c r="H2836" s="28" t="s">
        <v>9633</v>
      </c>
      <c r="I2836" s="28" t="s">
        <v>15748</v>
      </c>
      <c r="J2836" s="28" t="s">
        <v>135</v>
      </c>
      <c r="K2836" s="28" t="s">
        <v>10125</v>
      </c>
      <c r="L2836" s="28" t="s">
        <v>9636</v>
      </c>
      <c r="M2836" s="28" t="s">
        <v>15749</v>
      </c>
      <c r="N2836" s="28" t="s">
        <v>9638</v>
      </c>
      <c r="O2836" s="28" t="s">
        <v>9639</v>
      </c>
      <c r="P2836" s="28" t="s">
        <v>15681</v>
      </c>
    </row>
    <row r="2837" spans="1:16" x14ac:dyDescent="0.25">
      <c r="A2837" s="28" t="s">
        <v>15750</v>
      </c>
      <c r="B2837" s="28" t="s">
        <v>15751</v>
      </c>
      <c r="C2837" s="28" t="s">
        <v>132</v>
      </c>
      <c r="D2837" s="28" t="s">
        <v>286</v>
      </c>
      <c r="E2837" s="28" t="s">
        <v>121</v>
      </c>
      <c r="F2837" s="28" t="s">
        <v>21</v>
      </c>
      <c r="G2837" s="28" t="s">
        <v>39</v>
      </c>
      <c r="H2837" s="28" t="s">
        <v>9711</v>
      </c>
      <c r="I2837" s="28" t="s">
        <v>15752</v>
      </c>
      <c r="J2837" s="28" t="s">
        <v>39</v>
      </c>
      <c r="K2837" s="28" t="s">
        <v>10506</v>
      </c>
      <c r="L2837" s="28" t="s">
        <v>9714</v>
      </c>
      <c r="M2837" s="28" t="s">
        <v>15753</v>
      </c>
      <c r="N2837" s="28" t="s">
        <v>9716</v>
      </c>
      <c r="O2837" s="28" t="s">
        <v>9717</v>
      </c>
      <c r="P2837" s="28" t="s">
        <v>15754</v>
      </c>
    </row>
    <row r="2838" spans="1:16" x14ac:dyDescent="0.25">
      <c r="A2838" s="28" t="s">
        <v>15755</v>
      </c>
      <c r="B2838" s="28" t="s">
        <v>15756</v>
      </c>
      <c r="C2838" s="28" t="s">
        <v>132</v>
      </c>
      <c r="D2838" s="28" t="s">
        <v>286</v>
      </c>
      <c r="E2838" s="28" t="s">
        <v>121</v>
      </c>
      <c r="F2838" s="28" t="s">
        <v>21</v>
      </c>
      <c r="G2838" s="28" t="s">
        <v>39</v>
      </c>
      <c r="H2838" s="28" t="s">
        <v>9711</v>
      </c>
      <c r="I2838" s="28" t="s">
        <v>15757</v>
      </c>
      <c r="J2838" s="28" t="s">
        <v>39</v>
      </c>
      <c r="K2838" s="28" t="s">
        <v>10164</v>
      </c>
      <c r="L2838" s="28" t="s">
        <v>9714</v>
      </c>
      <c r="M2838" s="28" t="s">
        <v>15758</v>
      </c>
      <c r="N2838" s="28" t="s">
        <v>9716</v>
      </c>
      <c r="O2838" s="28" t="s">
        <v>9717</v>
      </c>
      <c r="P2838" s="28" t="s">
        <v>15759</v>
      </c>
    </row>
    <row r="2839" spans="1:16" x14ac:dyDescent="0.25">
      <c r="A2839" s="28" t="s">
        <v>15760</v>
      </c>
      <c r="B2839" s="28" t="s">
        <v>15761</v>
      </c>
      <c r="C2839" s="28" t="s">
        <v>132</v>
      </c>
      <c r="D2839" s="28" t="s">
        <v>286</v>
      </c>
      <c r="E2839" s="28" t="s">
        <v>121</v>
      </c>
      <c r="F2839" s="28" t="s">
        <v>21</v>
      </c>
      <c r="G2839" s="28" t="s">
        <v>39</v>
      </c>
      <c r="H2839" s="28" t="s">
        <v>9711</v>
      </c>
      <c r="I2839" s="28" t="s">
        <v>15762</v>
      </c>
      <c r="J2839" s="28" t="s">
        <v>39</v>
      </c>
      <c r="K2839" s="28" t="s">
        <v>10506</v>
      </c>
      <c r="L2839" s="28" t="s">
        <v>9714</v>
      </c>
      <c r="M2839" s="28" t="s">
        <v>15763</v>
      </c>
      <c r="N2839" s="28" t="s">
        <v>9716</v>
      </c>
      <c r="O2839" s="28" t="s">
        <v>9717</v>
      </c>
      <c r="P2839" s="28" t="s">
        <v>15764</v>
      </c>
    </row>
    <row r="2840" spans="1:16" x14ac:dyDescent="0.25">
      <c r="A2840" s="28" t="s">
        <v>15765</v>
      </c>
      <c r="B2840" s="28" t="s">
        <v>15766</v>
      </c>
      <c r="C2840" s="28" t="s">
        <v>132</v>
      </c>
      <c r="D2840" s="28" t="s">
        <v>286</v>
      </c>
      <c r="E2840" s="28" t="s">
        <v>121</v>
      </c>
      <c r="F2840" s="28" t="s">
        <v>21</v>
      </c>
      <c r="G2840" s="28" t="s">
        <v>135</v>
      </c>
      <c r="H2840" s="28" t="s">
        <v>9633</v>
      </c>
      <c r="I2840" s="28" t="s">
        <v>15767</v>
      </c>
      <c r="J2840" s="28" t="s">
        <v>135</v>
      </c>
      <c r="K2840" s="28" t="s">
        <v>10125</v>
      </c>
      <c r="L2840" s="28" t="s">
        <v>9636</v>
      </c>
      <c r="M2840" s="28" t="s">
        <v>15768</v>
      </c>
      <c r="N2840" s="28" t="s">
        <v>9638</v>
      </c>
      <c r="O2840" s="28" t="s">
        <v>9639</v>
      </c>
      <c r="P2840" s="28" t="s">
        <v>15769</v>
      </c>
    </row>
    <row r="2841" spans="1:16" x14ac:dyDescent="0.25">
      <c r="A2841" s="28" t="s">
        <v>15770</v>
      </c>
      <c r="B2841" s="28" t="s">
        <v>15771</v>
      </c>
      <c r="C2841" s="28" t="s">
        <v>132</v>
      </c>
      <c r="D2841" s="28" t="s">
        <v>286</v>
      </c>
      <c r="E2841" s="28" t="s">
        <v>121</v>
      </c>
      <c r="F2841" s="28" t="s">
        <v>21</v>
      </c>
      <c r="G2841" s="28" t="s">
        <v>39</v>
      </c>
      <c r="H2841" s="28" t="s">
        <v>9711</v>
      </c>
      <c r="I2841" s="28" t="s">
        <v>15772</v>
      </c>
      <c r="J2841" s="28" t="s">
        <v>39</v>
      </c>
      <c r="K2841" s="28" t="s">
        <v>10506</v>
      </c>
      <c r="L2841" s="28" t="s">
        <v>9714</v>
      </c>
      <c r="M2841" s="28" t="s">
        <v>15773</v>
      </c>
      <c r="N2841" s="28" t="s">
        <v>9716</v>
      </c>
      <c r="O2841" s="28" t="s">
        <v>9717</v>
      </c>
      <c r="P2841" s="28" t="s">
        <v>15774</v>
      </c>
    </row>
    <row r="2842" spans="1:16" x14ac:dyDescent="0.25">
      <c r="A2842" s="28" t="s">
        <v>15775</v>
      </c>
      <c r="B2842" s="28" t="s">
        <v>15776</v>
      </c>
      <c r="C2842" s="28" t="s">
        <v>132</v>
      </c>
      <c r="D2842" s="28" t="s">
        <v>286</v>
      </c>
      <c r="E2842" s="28" t="s">
        <v>121</v>
      </c>
      <c r="F2842" s="28" t="s">
        <v>21</v>
      </c>
      <c r="G2842" s="28" t="s">
        <v>39</v>
      </c>
      <c r="H2842" s="28" t="s">
        <v>9711</v>
      </c>
      <c r="I2842" s="28" t="s">
        <v>15777</v>
      </c>
      <c r="J2842" s="28" t="s">
        <v>39</v>
      </c>
      <c r="K2842" s="28" t="s">
        <v>10506</v>
      </c>
      <c r="L2842" s="28" t="s">
        <v>9714</v>
      </c>
      <c r="M2842" s="28" t="s">
        <v>15778</v>
      </c>
      <c r="N2842" s="28" t="s">
        <v>9716</v>
      </c>
      <c r="O2842" s="28" t="s">
        <v>9717</v>
      </c>
      <c r="P2842" s="28" t="s">
        <v>15779</v>
      </c>
    </row>
    <row r="2843" spans="1:16" x14ac:dyDescent="0.25">
      <c r="A2843" s="28" t="s">
        <v>15780</v>
      </c>
      <c r="B2843" s="28" t="s">
        <v>15781</v>
      </c>
      <c r="C2843" s="28" t="s">
        <v>132</v>
      </c>
      <c r="D2843" s="28" t="s">
        <v>286</v>
      </c>
      <c r="E2843" s="28" t="s">
        <v>121</v>
      </c>
      <c r="F2843" s="28" t="s">
        <v>21</v>
      </c>
      <c r="G2843" s="28" t="s">
        <v>135</v>
      </c>
      <c r="H2843" s="28" t="s">
        <v>9633</v>
      </c>
      <c r="I2843" s="28" t="s">
        <v>15782</v>
      </c>
      <c r="J2843" s="28" t="s">
        <v>135</v>
      </c>
      <c r="K2843" s="28" t="s">
        <v>10125</v>
      </c>
      <c r="L2843" s="28" t="s">
        <v>9636</v>
      </c>
      <c r="M2843" s="28" t="s">
        <v>15783</v>
      </c>
      <c r="N2843" s="28" t="s">
        <v>9638</v>
      </c>
      <c r="O2843" s="28" t="s">
        <v>9639</v>
      </c>
      <c r="P2843" s="28" t="s">
        <v>15769</v>
      </c>
    </row>
    <row r="2844" spans="1:16" x14ac:dyDescent="0.25">
      <c r="A2844" s="28" t="s">
        <v>15784</v>
      </c>
      <c r="B2844" s="28" t="s">
        <v>15785</v>
      </c>
      <c r="C2844" s="28" t="s">
        <v>132</v>
      </c>
      <c r="D2844" s="28" t="s">
        <v>286</v>
      </c>
      <c r="E2844" s="28" t="s">
        <v>121</v>
      </c>
      <c r="F2844" s="28" t="s">
        <v>21</v>
      </c>
      <c r="G2844" s="28" t="s">
        <v>39</v>
      </c>
      <c r="H2844" s="28" t="s">
        <v>9711</v>
      </c>
      <c r="I2844" s="28" t="s">
        <v>15786</v>
      </c>
      <c r="J2844" s="28" t="s">
        <v>39</v>
      </c>
      <c r="K2844" s="28" t="s">
        <v>10506</v>
      </c>
      <c r="L2844" s="28" t="s">
        <v>9714</v>
      </c>
      <c r="M2844" s="28" t="s">
        <v>15787</v>
      </c>
      <c r="N2844" s="28" t="s">
        <v>9716</v>
      </c>
      <c r="O2844" s="28" t="s">
        <v>9717</v>
      </c>
      <c r="P2844" s="28" t="s">
        <v>15788</v>
      </c>
    </row>
    <row r="2845" spans="1:16" x14ac:dyDescent="0.25">
      <c r="A2845" s="28" t="s">
        <v>15789</v>
      </c>
      <c r="B2845" s="28" t="s">
        <v>15790</v>
      </c>
      <c r="C2845" s="28" t="s">
        <v>132</v>
      </c>
      <c r="D2845" s="28" t="s">
        <v>286</v>
      </c>
      <c r="E2845" s="28" t="s">
        <v>121</v>
      </c>
      <c r="F2845" s="28" t="s">
        <v>21</v>
      </c>
      <c r="G2845" s="28" t="s">
        <v>39</v>
      </c>
      <c r="H2845" s="28" t="s">
        <v>9711</v>
      </c>
      <c r="I2845" s="28" t="s">
        <v>15791</v>
      </c>
      <c r="J2845" s="28" t="s">
        <v>39</v>
      </c>
      <c r="K2845" s="28" t="s">
        <v>10506</v>
      </c>
      <c r="L2845" s="28" t="s">
        <v>9714</v>
      </c>
      <c r="M2845" s="28" t="s">
        <v>15792</v>
      </c>
      <c r="N2845" s="28" t="s">
        <v>9716</v>
      </c>
      <c r="O2845" s="28" t="s">
        <v>9717</v>
      </c>
      <c r="P2845" s="28" t="s">
        <v>15793</v>
      </c>
    </row>
    <row r="2846" spans="1:16" x14ac:dyDescent="0.25">
      <c r="A2846" s="28" t="s">
        <v>15794</v>
      </c>
      <c r="B2846" s="28" t="s">
        <v>15795</v>
      </c>
      <c r="C2846" s="28" t="s">
        <v>132</v>
      </c>
      <c r="D2846" s="28" t="s">
        <v>286</v>
      </c>
      <c r="E2846" s="28" t="s">
        <v>121</v>
      </c>
      <c r="F2846" s="28" t="s">
        <v>21</v>
      </c>
      <c r="G2846" s="28" t="s">
        <v>135</v>
      </c>
      <c r="H2846" s="28" t="s">
        <v>9633</v>
      </c>
      <c r="I2846" s="28" t="s">
        <v>15796</v>
      </c>
      <c r="J2846" s="28" t="s">
        <v>135</v>
      </c>
      <c r="K2846" s="28" t="s">
        <v>10125</v>
      </c>
      <c r="L2846" s="28" t="s">
        <v>9636</v>
      </c>
      <c r="M2846" s="28" t="s">
        <v>15797</v>
      </c>
      <c r="N2846" s="28" t="s">
        <v>9638</v>
      </c>
      <c r="O2846" s="28" t="s">
        <v>9639</v>
      </c>
      <c r="P2846" s="28" t="s">
        <v>15798</v>
      </c>
    </row>
    <row r="2847" spans="1:16" x14ac:dyDescent="0.25">
      <c r="A2847" s="28" t="s">
        <v>15799</v>
      </c>
      <c r="B2847" s="28" t="s">
        <v>15800</v>
      </c>
      <c r="C2847" s="28" t="s">
        <v>132</v>
      </c>
      <c r="D2847" s="28" t="s">
        <v>286</v>
      </c>
      <c r="E2847" s="28" t="s">
        <v>121</v>
      </c>
      <c r="F2847" s="28" t="s">
        <v>21</v>
      </c>
      <c r="G2847" s="28" t="s">
        <v>39</v>
      </c>
      <c r="H2847" s="28" t="s">
        <v>9711</v>
      </c>
      <c r="I2847" s="28" t="s">
        <v>15801</v>
      </c>
      <c r="J2847" s="28" t="s">
        <v>39</v>
      </c>
      <c r="K2847" s="28" t="s">
        <v>10506</v>
      </c>
      <c r="L2847" s="28" t="s">
        <v>9714</v>
      </c>
      <c r="M2847" s="28" t="s">
        <v>15802</v>
      </c>
      <c r="N2847" s="28" t="s">
        <v>9716</v>
      </c>
      <c r="O2847" s="28" t="s">
        <v>9717</v>
      </c>
      <c r="P2847" s="28" t="s">
        <v>15803</v>
      </c>
    </row>
    <row r="2848" spans="1:16" x14ac:dyDescent="0.25">
      <c r="A2848" s="28" t="s">
        <v>15804</v>
      </c>
      <c r="B2848" s="28" t="s">
        <v>15805</v>
      </c>
      <c r="C2848" s="28" t="s">
        <v>132</v>
      </c>
      <c r="D2848" s="28" t="s">
        <v>286</v>
      </c>
      <c r="E2848" s="28" t="s">
        <v>121</v>
      </c>
      <c r="F2848" s="28" t="s">
        <v>21</v>
      </c>
      <c r="G2848" s="28" t="s">
        <v>39</v>
      </c>
      <c r="H2848" s="28" t="s">
        <v>9711</v>
      </c>
      <c r="I2848" s="28" t="s">
        <v>15806</v>
      </c>
      <c r="J2848" s="28" t="s">
        <v>39</v>
      </c>
      <c r="K2848" s="28" t="s">
        <v>10506</v>
      </c>
      <c r="L2848" s="28" t="s">
        <v>9714</v>
      </c>
      <c r="M2848" s="28" t="s">
        <v>15807</v>
      </c>
      <c r="N2848" s="28" t="s">
        <v>9716</v>
      </c>
      <c r="O2848" s="28" t="s">
        <v>9717</v>
      </c>
      <c r="P2848" s="28" t="s">
        <v>15808</v>
      </c>
    </row>
    <row r="2849" spans="1:16" x14ac:dyDescent="0.25">
      <c r="A2849" s="28" t="s">
        <v>15809</v>
      </c>
      <c r="B2849" s="28" t="s">
        <v>15810</v>
      </c>
      <c r="C2849" s="28" t="s">
        <v>132</v>
      </c>
      <c r="D2849" s="28" t="s">
        <v>286</v>
      </c>
      <c r="E2849" s="28" t="s">
        <v>121</v>
      </c>
      <c r="F2849" s="28" t="s">
        <v>21</v>
      </c>
      <c r="G2849" s="28" t="s">
        <v>135</v>
      </c>
      <c r="H2849" s="28" t="s">
        <v>9633</v>
      </c>
      <c r="I2849" s="28" t="s">
        <v>15811</v>
      </c>
      <c r="J2849" s="28" t="s">
        <v>135</v>
      </c>
      <c r="K2849" s="28" t="s">
        <v>10125</v>
      </c>
      <c r="L2849" s="28" t="s">
        <v>9636</v>
      </c>
      <c r="M2849" s="28" t="s">
        <v>15812</v>
      </c>
      <c r="N2849" s="28" t="s">
        <v>9638</v>
      </c>
      <c r="O2849" s="28" t="s">
        <v>9639</v>
      </c>
      <c r="P2849" s="28" t="s">
        <v>15813</v>
      </c>
    </row>
    <row r="2850" spans="1:16" x14ac:dyDescent="0.25">
      <c r="A2850" s="28" t="s">
        <v>15814</v>
      </c>
      <c r="B2850" s="28" t="s">
        <v>15815</v>
      </c>
      <c r="C2850" s="28" t="s">
        <v>132</v>
      </c>
      <c r="D2850" s="28" t="s">
        <v>286</v>
      </c>
      <c r="E2850" s="28" t="s">
        <v>121</v>
      </c>
      <c r="F2850" s="28" t="s">
        <v>21</v>
      </c>
      <c r="G2850" s="28" t="s">
        <v>39</v>
      </c>
      <c r="H2850" s="28" t="s">
        <v>9711</v>
      </c>
      <c r="I2850" s="28" t="s">
        <v>15816</v>
      </c>
      <c r="J2850" s="28" t="s">
        <v>39</v>
      </c>
      <c r="K2850" s="28" t="s">
        <v>10506</v>
      </c>
      <c r="L2850" s="28" t="s">
        <v>9714</v>
      </c>
      <c r="M2850" s="28" t="s">
        <v>15817</v>
      </c>
      <c r="N2850" s="28" t="s">
        <v>9716</v>
      </c>
      <c r="O2850" s="28" t="s">
        <v>9717</v>
      </c>
      <c r="P2850" s="28" t="s">
        <v>15818</v>
      </c>
    </row>
    <row r="2851" spans="1:16" x14ac:dyDescent="0.25">
      <c r="A2851" s="28" t="s">
        <v>15819</v>
      </c>
      <c r="B2851" s="28" t="s">
        <v>15820</v>
      </c>
      <c r="C2851" s="28" t="s">
        <v>132</v>
      </c>
      <c r="D2851" s="28" t="s">
        <v>286</v>
      </c>
      <c r="E2851" s="28" t="s">
        <v>121</v>
      </c>
      <c r="F2851" s="28" t="s">
        <v>21</v>
      </c>
      <c r="G2851" s="28" t="s">
        <v>149</v>
      </c>
      <c r="H2851" s="28" t="s">
        <v>9633</v>
      </c>
      <c r="I2851" s="28" t="s">
        <v>15821</v>
      </c>
      <c r="J2851" s="28" t="s">
        <v>149</v>
      </c>
      <c r="K2851" s="28" t="s">
        <v>9722</v>
      </c>
      <c r="L2851" s="28" t="s">
        <v>9636</v>
      </c>
      <c r="M2851" s="28" t="s">
        <v>15822</v>
      </c>
      <c r="N2851" s="28" t="s">
        <v>9638</v>
      </c>
      <c r="O2851" s="28" t="s">
        <v>9639</v>
      </c>
      <c r="P2851" s="28" t="s">
        <v>15637</v>
      </c>
    </row>
    <row r="2852" spans="1:16" x14ac:dyDescent="0.25">
      <c r="A2852" s="28" t="s">
        <v>15823</v>
      </c>
      <c r="B2852" s="28" t="s">
        <v>15824</v>
      </c>
      <c r="C2852" s="28" t="s">
        <v>132</v>
      </c>
      <c r="D2852" s="28" t="s">
        <v>286</v>
      </c>
      <c r="E2852" s="28" t="s">
        <v>121</v>
      </c>
      <c r="F2852" s="28" t="s">
        <v>21</v>
      </c>
      <c r="G2852" s="28" t="s">
        <v>207</v>
      </c>
      <c r="H2852" s="28" t="s">
        <v>9633</v>
      </c>
      <c r="I2852" s="28" t="s">
        <v>15825</v>
      </c>
      <c r="J2852" s="28" t="s">
        <v>207</v>
      </c>
      <c r="K2852" s="28" t="s">
        <v>9635</v>
      </c>
      <c r="L2852" s="28" t="s">
        <v>9636</v>
      </c>
      <c r="M2852" s="28" t="s">
        <v>15826</v>
      </c>
      <c r="N2852" s="28" t="s">
        <v>9638</v>
      </c>
      <c r="O2852" s="28" t="s">
        <v>9639</v>
      </c>
      <c r="P2852" s="28" t="s">
        <v>15637</v>
      </c>
    </row>
    <row r="2853" spans="1:16" x14ac:dyDescent="0.25">
      <c r="A2853" s="28" t="s">
        <v>15827</v>
      </c>
      <c r="B2853" s="28" t="s">
        <v>15828</v>
      </c>
      <c r="C2853" s="28" t="s">
        <v>132</v>
      </c>
      <c r="D2853" s="28" t="s">
        <v>286</v>
      </c>
      <c r="E2853" s="28" t="s">
        <v>121</v>
      </c>
      <c r="F2853" s="28" t="s">
        <v>21</v>
      </c>
      <c r="G2853" s="28" t="s">
        <v>39</v>
      </c>
      <c r="H2853" s="28" t="s">
        <v>9711</v>
      </c>
      <c r="I2853" s="28" t="s">
        <v>15829</v>
      </c>
      <c r="J2853" s="28" t="s">
        <v>39</v>
      </c>
      <c r="K2853" s="28" t="s">
        <v>10506</v>
      </c>
      <c r="L2853" s="28" t="s">
        <v>9714</v>
      </c>
      <c r="M2853" s="28" t="s">
        <v>15830</v>
      </c>
      <c r="N2853" s="28" t="s">
        <v>9716</v>
      </c>
      <c r="O2853" s="28" t="s">
        <v>9717</v>
      </c>
      <c r="P2853" s="28" t="s">
        <v>15831</v>
      </c>
    </row>
    <row r="2854" spans="1:16" x14ac:dyDescent="0.25">
      <c r="A2854" s="28" t="s">
        <v>15832</v>
      </c>
      <c r="B2854" s="28" t="s">
        <v>15833</v>
      </c>
      <c r="C2854" s="28" t="s">
        <v>132</v>
      </c>
      <c r="D2854" s="28" t="s">
        <v>286</v>
      </c>
      <c r="E2854" s="28" t="s">
        <v>121</v>
      </c>
      <c r="F2854" s="28" t="s">
        <v>21</v>
      </c>
      <c r="G2854" s="28" t="s">
        <v>135</v>
      </c>
      <c r="H2854" s="28" t="s">
        <v>9633</v>
      </c>
      <c r="I2854" s="28" t="s">
        <v>15834</v>
      </c>
      <c r="J2854" s="28" t="s">
        <v>135</v>
      </c>
      <c r="K2854" s="28" t="s">
        <v>10125</v>
      </c>
      <c r="L2854" s="28" t="s">
        <v>9636</v>
      </c>
      <c r="M2854" s="28" t="s">
        <v>15835</v>
      </c>
      <c r="N2854" s="28" t="s">
        <v>9638</v>
      </c>
      <c r="O2854" s="28" t="s">
        <v>9639</v>
      </c>
      <c r="P2854" s="28" t="s">
        <v>15769</v>
      </c>
    </row>
    <row r="2855" spans="1:16" x14ac:dyDescent="0.25">
      <c r="A2855" s="28" t="s">
        <v>15836</v>
      </c>
      <c r="B2855" s="28" t="s">
        <v>15837</v>
      </c>
      <c r="C2855" s="28" t="s">
        <v>132</v>
      </c>
      <c r="D2855" s="28" t="s">
        <v>286</v>
      </c>
      <c r="E2855" s="28" t="s">
        <v>121</v>
      </c>
      <c r="F2855" s="28" t="s">
        <v>21</v>
      </c>
      <c r="G2855" s="28" t="s">
        <v>39</v>
      </c>
      <c r="H2855" s="28" t="s">
        <v>9711</v>
      </c>
      <c r="I2855" s="28" t="s">
        <v>15838</v>
      </c>
      <c r="J2855" s="28" t="s">
        <v>39</v>
      </c>
      <c r="K2855" s="28" t="s">
        <v>10506</v>
      </c>
      <c r="L2855" s="28" t="s">
        <v>9714</v>
      </c>
      <c r="M2855" s="28" t="s">
        <v>15839</v>
      </c>
      <c r="N2855" s="28" t="s">
        <v>9716</v>
      </c>
      <c r="O2855" s="28" t="s">
        <v>9717</v>
      </c>
      <c r="P2855" s="28" t="s">
        <v>15840</v>
      </c>
    </row>
    <row r="2856" spans="1:16" x14ac:dyDescent="0.25">
      <c r="A2856" s="28" t="s">
        <v>15841</v>
      </c>
      <c r="B2856" s="28" t="s">
        <v>15842</v>
      </c>
      <c r="C2856" s="28" t="s">
        <v>132</v>
      </c>
      <c r="D2856" s="28" t="s">
        <v>286</v>
      </c>
      <c r="E2856" s="28" t="s">
        <v>121</v>
      </c>
      <c r="F2856" s="28" t="s">
        <v>21</v>
      </c>
      <c r="G2856" s="28" t="s">
        <v>39</v>
      </c>
      <c r="H2856" s="28" t="s">
        <v>9711</v>
      </c>
      <c r="I2856" s="28" t="s">
        <v>15843</v>
      </c>
      <c r="J2856" s="28" t="s">
        <v>39</v>
      </c>
      <c r="K2856" s="28" t="s">
        <v>10506</v>
      </c>
      <c r="L2856" s="28" t="s">
        <v>9714</v>
      </c>
      <c r="M2856" s="28" t="s">
        <v>15844</v>
      </c>
      <c r="N2856" s="28" t="s">
        <v>9716</v>
      </c>
      <c r="O2856" s="28" t="s">
        <v>9717</v>
      </c>
      <c r="P2856" s="28" t="s">
        <v>15845</v>
      </c>
    </row>
    <row r="2857" spans="1:16" x14ac:dyDescent="0.25">
      <c r="A2857" s="28" t="s">
        <v>15846</v>
      </c>
      <c r="B2857" s="28" t="s">
        <v>15847</v>
      </c>
      <c r="C2857" s="28" t="s">
        <v>132</v>
      </c>
      <c r="D2857" s="28" t="s">
        <v>286</v>
      </c>
      <c r="E2857" s="28" t="s">
        <v>121</v>
      </c>
      <c r="F2857" s="28" t="s">
        <v>21</v>
      </c>
      <c r="G2857" s="28" t="s">
        <v>135</v>
      </c>
      <c r="H2857" s="28" t="s">
        <v>9633</v>
      </c>
      <c r="I2857" s="28" t="s">
        <v>15848</v>
      </c>
      <c r="J2857" s="28" t="s">
        <v>135</v>
      </c>
      <c r="K2857" s="28" t="s">
        <v>10125</v>
      </c>
      <c r="L2857" s="28" t="s">
        <v>9636</v>
      </c>
      <c r="M2857" s="28" t="s">
        <v>15849</v>
      </c>
      <c r="N2857" s="28" t="s">
        <v>9638</v>
      </c>
      <c r="O2857" s="28" t="s">
        <v>9639</v>
      </c>
      <c r="P2857" s="28" t="s">
        <v>15681</v>
      </c>
    </row>
    <row r="2858" spans="1:16" x14ac:dyDescent="0.25">
      <c r="A2858" s="28" t="s">
        <v>15850</v>
      </c>
      <c r="B2858" s="28" t="s">
        <v>15851</v>
      </c>
      <c r="C2858" s="28" t="s">
        <v>132</v>
      </c>
      <c r="D2858" s="28" t="s">
        <v>286</v>
      </c>
      <c r="E2858" s="28" t="s">
        <v>121</v>
      </c>
      <c r="F2858" s="28" t="s">
        <v>21</v>
      </c>
      <c r="G2858" s="28" t="s">
        <v>39</v>
      </c>
      <c r="H2858" s="28" t="s">
        <v>9711</v>
      </c>
      <c r="I2858" s="28" t="s">
        <v>15852</v>
      </c>
      <c r="J2858" s="28" t="s">
        <v>39</v>
      </c>
      <c r="K2858" s="28" t="s">
        <v>10506</v>
      </c>
      <c r="L2858" s="28" t="s">
        <v>9714</v>
      </c>
      <c r="M2858" s="28" t="s">
        <v>15853</v>
      </c>
      <c r="N2858" s="28" t="s">
        <v>9716</v>
      </c>
      <c r="O2858" s="28" t="s">
        <v>9717</v>
      </c>
      <c r="P2858" s="28" t="s">
        <v>15854</v>
      </c>
    </row>
    <row r="2859" spans="1:16" x14ac:dyDescent="0.25">
      <c r="A2859" s="28" t="s">
        <v>15855</v>
      </c>
      <c r="B2859" s="28" t="s">
        <v>15856</v>
      </c>
      <c r="C2859" s="28" t="s">
        <v>132</v>
      </c>
      <c r="D2859" s="28" t="s">
        <v>286</v>
      </c>
      <c r="E2859" s="28" t="s">
        <v>121</v>
      </c>
      <c r="F2859" s="28" t="s">
        <v>21</v>
      </c>
      <c r="G2859" s="28" t="s">
        <v>207</v>
      </c>
      <c r="H2859" s="28" t="s">
        <v>9633</v>
      </c>
      <c r="I2859" s="28" t="s">
        <v>15857</v>
      </c>
      <c r="J2859" s="28" t="s">
        <v>207</v>
      </c>
      <c r="K2859" s="28" t="s">
        <v>9635</v>
      </c>
      <c r="L2859" s="28" t="s">
        <v>9636</v>
      </c>
      <c r="M2859" s="28" t="s">
        <v>15858</v>
      </c>
      <c r="N2859" s="28" t="s">
        <v>9638</v>
      </c>
      <c r="O2859" s="28" t="s">
        <v>9639</v>
      </c>
      <c r="P2859" s="28" t="s">
        <v>15637</v>
      </c>
    </row>
    <row r="2860" spans="1:16" x14ac:dyDescent="0.25">
      <c r="A2860" s="28" t="s">
        <v>15859</v>
      </c>
      <c r="B2860" s="28" t="s">
        <v>15860</v>
      </c>
      <c r="C2860" s="28" t="s">
        <v>132</v>
      </c>
      <c r="D2860" s="28" t="s">
        <v>286</v>
      </c>
      <c r="E2860" s="28" t="s">
        <v>121</v>
      </c>
      <c r="F2860" s="28" t="s">
        <v>21</v>
      </c>
      <c r="G2860" s="28" t="s">
        <v>207</v>
      </c>
      <c r="H2860" s="28" t="s">
        <v>9633</v>
      </c>
      <c r="I2860" s="28" t="s">
        <v>15861</v>
      </c>
      <c r="J2860" s="28" t="s">
        <v>207</v>
      </c>
      <c r="K2860" s="28" t="s">
        <v>9635</v>
      </c>
      <c r="L2860" s="28" t="s">
        <v>9636</v>
      </c>
      <c r="M2860" s="28" t="s">
        <v>15862</v>
      </c>
      <c r="N2860" s="28" t="s">
        <v>9638</v>
      </c>
      <c r="O2860" s="28" t="s">
        <v>9639</v>
      </c>
      <c r="P2860" s="28" t="s">
        <v>15637</v>
      </c>
    </row>
    <row r="2861" spans="1:16" x14ac:dyDescent="0.25">
      <c r="A2861" s="28" t="s">
        <v>15863</v>
      </c>
      <c r="B2861" s="28" t="s">
        <v>15864</v>
      </c>
      <c r="C2861" s="28" t="s">
        <v>132</v>
      </c>
      <c r="D2861" s="28" t="s">
        <v>1673</v>
      </c>
      <c r="E2861" s="28" t="s">
        <v>1674</v>
      </c>
      <c r="F2861" s="28" t="s">
        <v>21</v>
      </c>
      <c r="G2861" s="28" t="s">
        <v>39</v>
      </c>
      <c r="H2861" s="28" t="s">
        <v>9711</v>
      </c>
      <c r="I2861" s="28" t="s">
        <v>15865</v>
      </c>
      <c r="J2861" s="28" t="s">
        <v>39</v>
      </c>
      <c r="K2861" s="28" t="s">
        <v>10506</v>
      </c>
      <c r="L2861" s="28" t="s">
        <v>9714</v>
      </c>
      <c r="M2861" s="28" t="s">
        <v>15866</v>
      </c>
      <c r="N2861" s="28" t="s">
        <v>9716</v>
      </c>
      <c r="O2861" s="28" t="s">
        <v>9717</v>
      </c>
      <c r="P2861" s="28" t="s">
        <v>15867</v>
      </c>
    </row>
    <row r="2862" spans="1:16" x14ac:dyDescent="0.25">
      <c r="A2862" s="28" t="s">
        <v>15868</v>
      </c>
      <c r="B2862" s="28" t="s">
        <v>15869</v>
      </c>
      <c r="C2862" s="28" t="s">
        <v>132</v>
      </c>
      <c r="D2862" s="28" t="s">
        <v>1673</v>
      </c>
      <c r="E2862" s="28" t="s">
        <v>1674</v>
      </c>
      <c r="F2862" s="28" t="s">
        <v>21</v>
      </c>
      <c r="G2862" s="28" t="s">
        <v>39</v>
      </c>
      <c r="H2862" s="28" t="s">
        <v>9711</v>
      </c>
      <c r="I2862" s="28" t="s">
        <v>15870</v>
      </c>
      <c r="J2862" s="28" t="s">
        <v>39</v>
      </c>
      <c r="K2862" s="28" t="s">
        <v>10506</v>
      </c>
      <c r="L2862" s="28" t="s">
        <v>9714</v>
      </c>
      <c r="M2862" s="28" t="s">
        <v>15871</v>
      </c>
      <c r="N2862" s="28" t="s">
        <v>9716</v>
      </c>
      <c r="O2862" s="28" t="s">
        <v>9717</v>
      </c>
      <c r="P2862" s="28" t="s">
        <v>15872</v>
      </c>
    </row>
    <row r="2863" spans="1:16" x14ac:dyDescent="0.25">
      <c r="A2863" s="28" t="s">
        <v>15873</v>
      </c>
      <c r="B2863" s="28" t="s">
        <v>15874</v>
      </c>
      <c r="C2863" s="28" t="s">
        <v>132</v>
      </c>
      <c r="D2863" s="28" t="s">
        <v>1673</v>
      </c>
      <c r="E2863" s="28" t="s">
        <v>1674</v>
      </c>
      <c r="F2863" s="28" t="s">
        <v>21</v>
      </c>
      <c r="G2863" s="28" t="s">
        <v>39</v>
      </c>
      <c r="H2863" s="28" t="s">
        <v>9711</v>
      </c>
      <c r="I2863" s="28" t="s">
        <v>15875</v>
      </c>
      <c r="J2863" s="28" t="s">
        <v>39</v>
      </c>
      <c r="K2863" s="28" t="s">
        <v>10506</v>
      </c>
      <c r="L2863" s="28" t="s">
        <v>9714</v>
      </c>
      <c r="M2863" s="28" t="s">
        <v>15876</v>
      </c>
      <c r="N2863" s="28" t="s">
        <v>9716</v>
      </c>
      <c r="O2863" s="28" t="s">
        <v>9717</v>
      </c>
      <c r="P2863" s="28" t="s">
        <v>15877</v>
      </c>
    </row>
    <row r="2864" spans="1:16" x14ac:dyDescent="0.25">
      <c r="A2864" s="28" t="s">
        <v>15878</v>
      </c>
      <c r="B2864" s="28" t="s">
        <v>15879</v>
      </c>
      <c r="C2864" s="28" t="s">
        <v>132</v>
      </c>
      <c r="D2864" s="28" t="s">
        <v>1673</v>
      </c>
      <c r="E2864" s="28" t="s">
        <v>15880</v>
      </c>
      <c r="F2864" s="28" t="s">
        <v>21</v>
      </c>
      <c r="G2864" s="28" t="s">
        <v>207</v>
      </c>
      <c r="H2864" s="28" t="s">
        <v>9633</v>
      </c>
      <c r="I2864" s="28" t="s">
        <v>15881</v>
      </c>
      <c r="J2864" s="28" t="s">
        <v>207</v>
      </c>
      <c r="K2864" s="28" t="s">
        <v>9635</v>
      </c>
      <c r="L2864" s="28" t="s">
        <v>9636</v>
      </c>
      <c r="M2864" s="28" t="s">
        <v>15882</v>
      </c>
      <c r="N2864" s="28" t="s">
        <v>9638</v>
      </c>
      <c r="O2864" s="28" t="s">
        <v>9639</v>
      </c>
      <c r="P2864" s="28" t="s">
        <v>15883</v>
      </c>
    </row>
    <row r="2865" spans="1:16" x14ac:dyDescent="0.25">
      <c r="A2865" s="28" t="s">
        <v>15884</v>
      </c>
      <c r="B2865" s="28" t="s">
        <v>15885</v>
      </c>
      <c r="C2865" s="28" t="s">
        <v>132</v>
      </c>
      <c r="D2865" s="28" t="s">
        <v>1145</v>
      </c>
      <c r="E2865" s="28" t="s">
        <v>1146</v>
      </c>
      <c r="F2865" s="28" t="s">
        <v>21</v>
      </c>
      <c r="G2865" s="28" t="s">
        <v>135</v>
      </c>
      <c r="H2865" s="28" t="s">
        <v>9633</v>
      </c>
      <c r="I2865" s="28" t="s">
        <v>15886</v>
      </c>
      <c r="J2865" s="28" t="s">
        <v>135</v>
      </c>
      <c r="K2865" s="28" t="s">
        <v>10125</v>
      </c>
      <c r="L2865" s="28" t="s">
        <v>9636</v>
      </c>
      <c r="M2865" s="28" t="s">
        <v>15887</v>
      </c>
      <c r="N2865" s="28" t="s">
        <v>9638</v>
      </c>
      <c r="O2865" s="28" t="s">
        <v>9639</v>
      </c>
      <c r="P2865" s="28" t="s">
        <v>15888</v>
      </c>
    </row>
    <row r="2866" spans="1:16" x14ac:dyDescent="0.25">
      <c r="A2866" s="28" t="s">
        <v>15889</v>
      </c>
      <c r="B2866" s="28" t="s">
        <v>15890</v>
      </c>
      <c r="C2866" s="28" t="s">
        <v>132</v>
      </c>
      <c r="D2866" s="28" t="s">
        <v>1145</v>
      </c>
      <c r="E2866" s="28" t="s">
        <v>1146</v>
      </c>
      <c r="F2866" s="28" t="s">
        <v>21</v>
      </c>
      <c r="G2866" s="28" t="s">
        <v>135</v>
      </c>
      <c r="H2866" s="28" t="s">
        <v>9633</v>
      </c>
      <c r="I2866" s="28" t="s">
        <v>15891</v>
      </c>
      <c r="J2866" s="28" t="s">
        <v>135</v>
      </c>
      <c r="K2866" s="28" t="s">
        <v>10125</v>
      </c>
      <c r="L2866" s="28" t="s">
        <v>9636</v>
      </c>
      <c r="M2866" s="28" t="s">
        <v>15887</v>
      </c>
      <c r="N2866" s="28" t="s">
        <v>9638</v>
      </c>
      <c r="O2866" s="28" t="s">
        <v>9639</v>
      </c>
      <c r="P2866" s="28" t="s">
        <v>15892</v>
      </c>
    </row>
    <row r="2867" spans="1:16" x14ac:dyDescent="0.25">
      <c r="A2867" s="28" t="s">
        <v>15893</v>
      </c>
      <c r="B2867" s="28" t="s">
        <v>15894</v>
      </c>
      <c r="C2867" s="28" t="s">
        <v>132</v>
      </c>
      <c r="D2867" s="28" t="s">
        <v>1145</v>
      </c>
      <c r="E2867" s="28" t="s">
        <v>1146</v>
      </c>
      <c r="F2867" s="28" t="s">
        <v>21</v>
      </c>
      <c r="G2867" s="28" t="s">
        <v>39</v>
      </c>
      <c r="H2867" s="28" t="s">
        <v>10259</v>
      </c>
      <c r="I2867" s="28" t="s">
        <v>15895</v>
      </c>
      <c r="J2867" s="28" t="s">
        <v>39</v>
      </c>
      <c r="K2867" s="28" t="s">
        <v>10261</v>
      </c>
      <c r="L2867" s="28" t="s">
        <v>10262</v>
      </c>
      <c r="M2867" s="28" t="s">
        <v>15896</v>
      </c>
      <c r="N2867" s="28" t="s">
        <v>10264</v>
      </c>
      <c r="O2867" s="28" t="s">
        <v>10265</v>
      </c>
      <c r="P2867" s="28" t="s">
        <v>10266</v>
      </c>
    </row>
    <row r="2868" spans="1:16" x14ac:dyDescent="0.25">
      <c r="A2868" s="28" t="s">
        <v>15897</v>
      </c>
      <c r="B2868" s="28" t="s">
        <v>15898</v>
      </c>
      <c r="C2868" s="28" t="s">
        <v>132</v>
      </c>
      <c r="D2868" s="28" t="s">
        <v>1145</v>
      </c>
      <c r="E2868" s="28" t="s">
        <v>1158</v>
      </c>
      <c r="F2868" s="28" t="s">
        <v>21</v>
      </c>
      <c r="G2868" s="28" t="s">
        <v>135</v>
      </c>
      <c r="H2868" s="28" t="s">
        <v>9633</v>
      </c>
      <c r="I2868" s="28" t="s">
        <v>15899</v>
      </c>
      <c r="J2868" s="28" t="s">
        <v>135</v>
      </c>
      <c r="K2868" s="28" t="s">
        <v>10125</v>
      </c>
      <c r="L2868" s="28" t="s">
        <v>9636</v>
      </c>
      <c r="M2868" s="28" t="s">
        <v>15900</v>
      </c>
      <c r="N2868" s="28" t="s">
        <v>9638</v>
      </c>
      <c r="O2868" s="28" t="s">
        <v>9639</v>
      </c>
      <c r="P2868" s="28" t="s">
        <v>15901</v>
      </c>
    </row>
    <row r="2869" spans="1:16" x14ac:dyDescent="0.25">
      <c r="A2869" s="28" t="s">
        <v>15902</v>
      </c>
      <c r="B2869" s="28" t="s">
        <v>15903</v>
      </c>
      <c r="C2869" s="28" t="s">
        <v>132</v>
      </c>
      <c r="D2869" s="28" t="s">
        <v>1145</v>
      </c>
      <c r="E2869" s="28" t="s">
        <v>1158</v>
      </c>
      <c r="F2869" s="28" t="s">
        <v>21</v>
      </c>
      <c r="G2869" s="28" t="s">
        <v>135</v>
      </c>
      <c r="H2869" s="28" t="s">
        <v>9633</v>
      </c>
      <c r="I2869" s="28" t="s">
        <v>15904</v>
      </c>
      <c r="J2869" s="28" t="s">
        <v>135</v>
      </c>
      <c r="K2869" s="28" t="s">
        <v>10125</v>
      </c>
      <c r="L2869" s="28" t="s">
        <v>9636</v>
      </c>
      <c r="M2869" s="28" t="s">
        <v>15900</v>
      </c>
      <c r="N2869" s="28" t="s">
        <v>9638</v>
      </c>
      <c r="O2869" s="28" t="s">
        <v>9639</v>
      </c>
      <c r="P2869" s="28" t="s">
        <v>15905</v>
      </c>
    </row>
    <row r="2870" spans="1:16" x14ac:dyDescent="0.25">
      <c r="A2870" s="28" t="s">
        <v>15906</v>
      </c>
      <c r="B2870" s="28" t="s">
        <v>15907</v>
      </c>
      <c r="C2870" s="28" t="s">
        <v>132</v>
      </c>
      <c r="D2870" s="28" t="s">
        <v>1145</v>
      </c>
      <c r="E2870" s="28" t="s">
        <v>1158</v>
      </c>
      <c r="F2870" s="28" t="s">
        <v>21</v>
      </c>
      <c r="G2870" s="28" t="s">
        <v>39</v>
      </c>
      <c r="H2870" s="28" t="s">
        <v>10259</v>
      </c>
      <c r="I2870" s="28" t="s">
        <v>15908</v>
      </c>
      <c r="J2870" s="28" t="s">
        <v>39</v>
      </c>
      <c r="K2870" s="28" t="s">
        <v>10261</v>
      </c>
      <c r="L2870" s="28" t="s">
        <v>10262</v>
      </c>
      <c r="M2870" s="28" t="s">
        <v>15909</v>
      </c>
      <c r="N2870" s="28" t="s">
        <v>10264</v>
      </c>
      <c r="O2870" s="28" t="s">
        <v>10265</v>
      </c>
      <c r="P2870" s="28" t="s">
        <v>10266</v>
      </c>
    </row>
    <row r="2871" spans="1:16" x14ac:dyDescent="0.25">
      <c r="A2871" s="28" t="s">
        <v>15910</v>
      </c>
      <c r="B2871" s="28" t="s">
        <v>15911</v>
      </c>
      <c r="C2871" s="28" t="s">
        <v>132</v>
      </c>
      <c r="D2871" s="28" t="s">
        <v>1145</v>
      </c>
      <c r="E2871" s="28" t="s">
        <v>1168</v>
      </c>
      <c r="F2871" s="28" t="s">
        <v>21</v>
      </c>
      <c r="G2871" s="28" t="s">
        <v>135</v>
      </c>
      <c r="H2871" s="28" t="s">
        <v>9633</v>
      </c>
      <c r="I2871" s="28" t="s">
        <v>15912</v>
      </c>
      <c r="J2871" s="28" t="s">
        <v>135</v>
      </c>
      <c r="K2871" s="28" t="s">
        <v>10125</v>
      </c>
      <c r="L2871" s="28" t="s">
        <v>9636</v>
      </c>
      <c r="M2871" s="28" t="s">
        <v>15913</v>
      </c>
      <c r="N2871" s="28" t="s">
        <v>9638</v>
      </c>
      <c r="O2871" s="28" t="s">
        <v>9639</v>
      </c>
      <c r="P2871" s="28" t="s">
        <v>15914</v>
      </c>
    </row>
    <row r="2872" spans="1:16" x14ac:dyDescent="0.25">
      <c r="A2872" s="28" t="s">
        <v>15915</v>
      </c>
      <c r="B2872" s="28" t="s">
        <v>15916</v>
      </c>
      <c r="C2872" s="28" t="s">
        <v>132</v>
      </c>
      <c r="D2872" s="28" t="s">
        <v>1145</v>
      </c>
      <c r="E2872" s="28" t="s">
        <v>1168</v>
      </c>
      <c r="F2872" s="28" t="s">
        <v>21</v>
      </c>
      <c r="G2872" s="28" t="s">
        <v>135</v>
      </c>
      <c r="H2872" s="28" t="s">
        <v>9633</v>
      </c>
      <c r="I2872" s="28" t="s">
        <v>15917</v>
      </c>
      <c r="J2872" s="28" t="s">
        <v>135</v>
      </c>
      <c r="K2872" s="28" t="s">
        <v>10125</v>
      </c>
      <c r="L2872" s="28" t="s">
        <v>9636</v>
      </c>
      <c r="M2872" s="28" t="s">
        <v>15913</v>
      </c>
      <c r="N2872" s="28" t="s">
        <v>9638</v>
      </c>
      <c r="O2872" s="28" t="s">
        <v>9639</v>
      </c>
      <c r="P2872" s="28" t="s">
        <v>15918</v>
      </c>
    </row>
    <row r="2873" spans="1:16" x14ac:dyDescent="0.25">
      <c r="A2873" s="28" t="s">
        <v>15919</v>
      </c>
      <c r="B2873" s="28" t="s">
        <v>15920</v>
      </c>
      <c r="C2873" s="28" t="s">
        <v>132</v>
      </c>
      <c r="D2873" s="28" t="s">
        <v>1145</v>
      </c>
      <c r="E2873" s="28" t="s">
        <v>1168</v>
      </c>
      <c r="F2873" s="28" t="s">
        <v>21</v>
      </c>
      <c r="G2873" s="28" t="s">
        <v>39</v>
      </c>
      <c r="H2873" s="28" t="s">
        <v>10259</v>
      </c>
      <c r="I2873" s="28" t="s">
        <v>15921</v>
      </c>
      <c r="J2873" s="28" t="s">
        <v>39</v>
      </c>
      <c r="K2873" s="28" t="s">
        <v>10261</v>
      </c>
      <c r="L2873" s="28" t="s">
        <v>10262</v>
      </c>
      <c r="M2873" s="28" t="s">
        <v>15922</v>
      </c>
      <c r="N2873" s="28" t="s">
        <v>10264</v>
      </c>
      <c r="O2873" s="28" t="s">
        <v>10265</v>
      </c>
      <c r="P2873" s="28" t="s">
        <v>10266</v>
      </c>
    </row>
    <row r="2874" spans="1:16" x14ac:dyDescent="0.25">
      <c r="A2874" s="28" t="s">
        <v>15923</v>
      </c>
      <c r="B2874" s="28" t="s">
        <v>15924</v>
      </c>
      <c r="C2874" s="28" t="s">
        <v>132</v>
      </c>
      <c r="D2874" s="28" t="s">
        <v>1145</v>
      </c>
      <c r="E2874" s="28" t="s">
        <v>1178</v>
      </c>
      <c r="F2874" s="28" t="s">
        <v>21</v>
      </c>
      <c r="G2874" s="28" t="s">
        <v>135</v>
      </c>
      <c r="H2874" s="28" t="s">
        <v>9633</v>
      </c>
      <c r="I2874" s="28" t="s">
        <v>15925</v>
      </c>
      <c r="J2874" s="28" t="s">
        <v>135</v>
      </c>
      <c r="K2874" s="28" t="s">
        <v>10125</v>
      </c>
      <c r="L2874" s="28" t="s">
        <v>9636</v>
      </c>
      <c r="M2874" s="28" t="s">
        <v>15926</v>
      </c>
      <c r="N2874" s="28" t="s">
        <v>9638</v>
      </c>
      <c r="O2874" s="28" t="s">
        <v>9639</v>
      </c>
      <c r="P2874" s="28" t="s">
        <v>15927</v>
      </c>
    </row>
    <row r="2875" spans="1:16" x14ac:dyDescent="0.25">
      <c r="A2875" s="28" t="s">
        <v>15928</v>
      </c>
      <c r="B2875" s="28" t="s">
        <v>15929</v>
      </c>
      <c r="C2875" s="28" t="s">
        <v>132</v>
      </c>
      <c r="D2875" s="28" t="s">
        <v>1145</v>
      </c>
      <c r="E2875" s="28" t="s">
        <v>1178</v>
      </c>
      <c r="F2875" s="28" t="s">
        <v>21</v>
      </c>
      <c r="G2875" s="28" t="s">
        <v>135</v>
      </c>
      <c r="H2875" s="28" t="s">
        <v>9633</v>
      </c>
      <c r="I2875" s="28" t="s">
        <v>15930</v>
      </c>
      <c r="J2875" s="28" t="s">
        <v>135</v>
      </c>
      <c r="K2875" s="28" t="s">
        <v>10125</v>
      </c>
      <c r="L2875" s="28" t="s">
        <v>9636</v>
      </c>
      <c r="M2875" s="28" t="s">
        <v>15926</v>
      </c>
      <c r="N2875" s="28" t="s">
        <v>9638</v>
      </c>
      <c r="O2875" s="28" t="s">
        <v>9639</v>
      </c>
      <c r="P2875" s="28" t="s">
        <v>15931</v>
      </c>
    </row>
    <row r="2876" spans="1:16" x14ac:dyDescent="0.25">
      <c r="A2876" s="28" t="s">
        <v>15932</v>
      </c>
      <c r="B2876" s="28" t="s">
        <v>15933</v>
      </c>
      <c r="C2876" s="28" t="s">
        <v>132</v>
      </c>
      <c r="D2876" s="28" t="s">
        <v>1145</v>
      </c>
      <c r="E2876" s="28" t="s">
        <v>1178</v>
      </c>
      <c r="F2876" s="28" t="s">
        <v>21</v>
      </c>
      <c r="G2876" s="28" t="s">
        <v>39</v>
      </c>
      <c r="H2876" s="28" t="s">
        <v>10259</v>
      </c>
      <c r="I2876" s="28" t="s">
        <v>15934</v>
      </c>
      <c r="J2876" s="28" t="s">
        <v>39</v>
      </c>
      <c r="K2876" s="28" t="s">
        <v>10261</v>
      </c>
      <c r="L2876" s="28" t="s">
        <v>10262</v>
      </c>
      <c r="M2876" s="28" t="s">
        <v>15935</v>
      </c>
      <c r="N2876" s="28" t="s">
        <v>10264</v>
      </c>
      <c r="O2876" s="28" t="s">
        <v>10265</v>
      </c>
      <c r="P2876" s="28" t="s">
        <v>10266</v>
      </c>
    </row>
    <row r="2877" spans="1:16" x14ac:dyDescent="0.25">
      <c r="A2877" s="28" t="s">
        <v>15936</v>
      </c>
      <c r="B2877" s="28" t="s">
        <v>15937</v>
      </c>
      <c r="C2877" s="28" t="s">
        <v>132</v>
      </c>
      <c r="D2877" s="28" t="s">
        <v>1145</v>
      </c>
      <c r="E2877" s="28" t="s">
        <v>1194</v>
      </c>
      <c r="F2877" s="28" t="s">
        <v>21</v>
      </c>
      <c r="G2877" s="28" t="s">
        <v>135</v>
      </c>
      <c r="H2877" s="28" t="s">
        <v>9633</v>
      </c>
      <c r="I2877" s="28" t="s">
        <v>15938</v>
      </c>
      <c r="J2877" s="28" t="s">
        <v>135</v>
      </c>
      <c r="K2877" s="28" t="s">
        <v>10125</v>
      </c>
      <c r="L2877" s="28" t="s">
        <v>9636</v>
      </c>
      <c r="M2877" s="28" t="s">
        <v>15939</v>
      </c>
      <c r="N2877" s="28" t="s">
        <v>9638</v>
      </c>
      <c r="O2877" s="28" t="s">
        <v>9639</v>
      </c>
      <c r="P2877" s="28" t="s">
        <v>15940</v>
      </c>
    </row>
    <row r="2878" spans="1:16" x14ac:dyDescent="0.25">
      <c r="A2878" s="28" t="s">
        <v>15941</v>
      </c>
      <c r="B2878" s="28" t="s">
        <v>15942</v>
      </c>
      <c r="C2878" s="28" t="s">
        <v>132</v>
      </c>
      <c r="D2878" s="28" t="s">
        <v>1145</v>
      </c>
      <c r="E2878" s="28" t="s">
        <v>1194</v>
      </c>
      <c r="F2878" s="28" t="s">
        <v>21</v>
      </c>
      <c r="G2878" s="28" t="s">
        <v>135</v>
      </c>
      <c r="H2878" s="28" t="s">
        <v>9633</v>
      </c>
      <c r="I2878" s="28" t="s">
        <v>15943</v>
      </c>
      <c r="J2878" s="28" t="s">
        <v>135</v>
      </c>
      <c r="K2878" s="28" t="s">
        <v>10125</v>
      </c>
      <c r="L2878" s="28" t="s">
        <v>9636</v>
      </c>
      <c r="M2878" s="28" t="s">
        <v>15939</v>
      </c>
      <c r="N2878" s="28" t="s">
        <v>9638</v>
      </c>
      <c r="O2878" s="28" t="s">
        <v>9639</v>
      </c>
      <c r="P2878" s="28" t="s">
        <v>15944</v>
      </c>
    </row>
    <row r="2879" spans="1:16" x14ac:dyDescent="0.25">
      <c r="A2879" s="28" t="s">
        <v>15945</v>
      </c>
      <c r="B2879" s="28" t="s">
        <v>15946</v>
      </c>
      <c r="C2879" s="28" t="s">
        <v>132</v>
      </c>
      <c r="D2879" s="28" t="s">
        <v>1145</v>
      </c>
      <c r="E2879" s="28" t="s">
        <v>1194</v>
      </c>
      <c r="F2879" s="28" t="s">
        <v>21</v>
      </c>
      <c r="G2879" s="28" t="s">
        <v>39</v>
      </c>
      <c r="H2879" s="28" t="s">
        <v>10259</v>
      </c>
      <c r="I2879" s="28" t="s">
        <v>15947</v>
      </c>
      <c r="J2879" s="28" t="s">
        <v>39</v>
      </c>
      <c r="K2879" s="28" t="s">
        <v>10261</v>
      </c>
      <c r="L2879" s="28" t="s">
        <v>10262</v>
      </c>
      <c r="M2879" s="28" t="s">
        <v>15948</v>
      </c>
      <c r="N2879" s="28" t="s">
        <v>10264</v>
      </c>
      <c r="O2879" s="28" t="s">
        <v>10265</v>
      </c>
      <c r="P2879" s="28" t="s">
        <v>10266</v>
      </c>
    </row>
    <row r="2880" spans="1:16" x14ac:dyDescent="0.25">
      <c r="A2880" s="28" t="s">
        <v>15949</v>
      </c>
      <c r="B2880" s="28" t="s">
        <v>15950</v>
      </c>
      <c r="C2880" s="28" t="s">
        <v>132</v>
      </c>
      <c r="D2880" s="28" t="s">
        <v>9241</v>
      </c>
      <c r="E2880" s="28" t="s">
        <v>5957</v>
      </c>
      <c r="F2880" s="28" t="s">
        <v>21</v>
      </c>
      <c r="G2880" s="28" t="s">
        <v>135</v>
      </c>
      <c r="H2880" s="28" t="s">
        <v>9633</v>
      </c>
      <c r="I2880" s="28" t="s">
        <v>15951</v>
      </c>
      <c r="J2880" s="28" t="s">
        <v>135</v>
      </c>
      <c r="K2880" s="28" t="s">
        <v>10125</v>
      </c>
      <c r="L2880" s="28" t="s">
        <v>9636</v>
      </c>
      <c r="M2880" s="28" t="s">
        <v>15952</v>
      </c>
      <c r="N2880" s="28" t="s">
        <v>9638</v>
      </c>
      <c r="O2880" s="28" t="s">
        <v>9639</v>
      </c>
      <c r="P2880" s="28" t="s">
        <v>15953</v>
      </c>
    </row>
    <row r="2881" spans="1:16" x14ac:dyDescent="0.25">
      <c r="A2881" s="28" t="s">
        <v>15954</v>
      </c>
      <c r="B2881" s="28" t="s">
        <v>15955</v>
      </c>
      <c r="C2881" s="28" t="s">
        <v>132</v>
      </c>
      <c r="D2881" s="28" t="s">
        <v>9241</v>
      </c>
      <c r="E2881" s="28" t="s">
        <v>5957</v>
      </c>
      <c r="F2881" s="28" t="s">
        <v>21</v>
      </c>
      <c r="G2881" s="28" t="s">
        <v>135</v>
      </c>
      <c r="H2881" s="28" t="s">
        <v>9633</v>
      </c>
      <c r="I2881" s="28" t="s">
        <v>15956</v>
      </c>
      <c r="J2881" s="28" t="s">
        <v>135</v>
      </c>
      <c r="K2881" s="28" t="s">
        <v>10125</v>
      </c>
      <c r="L2881" s="28" t="s">
        <v>9636</v>
      </c>
      <c r="M2881" s="28" t="s">
        <v>15952</v>
      </c>
      <c r="N2881" s="28" t="s">
        <v>9638</v>
      </c>
      <c r="O2881" s="28" t="s">
        <v>9639</v>
      </c>
      <c r="P2881" s="28" t="s">
        <v>15957</v>
      </c>
    </row>
    <row r="2882" spans="1:16" x14ac:dyDescent="0.25">
      <c r="A2882" s="28" t="s">
        <v>15958</v>
      </c>
      <c r="B2882" s="28" t="s">
        <v>15959</v>
      </c>
      <c r="C2882" s="28" t="s">
        <v>132</v>
      </c>
      <c r="D2882" s="28" t="s">
        <v>9241</v>
      </c>
      <c r="E2882" s="28" t="s">
        <v>5957</v>
      </c>
      <c r="F2882" s="28" t="s">
        <v>21</v>
      </c>
      <c r="G2882" s="28" t="s">
        <v>135</v>
      </c>
      <c r="H2882" s="28" t="s">
        <v>9633</v>
      </c>
      <c r="I2882" s="28" t="s">
        <v>15960</v>
      </c>
      <c r="J2882" s="28" t="s">
        <v>135</v>
      </c>
      <c r="K2882" s="28" t="s">
        <v>10125</v>
      </c>
      <c r="L2882" s="28" t="s">
        <v>9636</v>
      </c>
      <c r="M2882" s="28" t="s">
        <v>15952</v>
      </c>
      <c r="N2882" s="28" t="s">
        <v>9638</v>
      </c>
      <c r="O2882" s="28" t="s">
        <v>9639</v>
      </c>
      <c r="P2882" s="28" t="s">
        <v>15961</v>
      </c>
    </row>
    <row r="2883" spans="1:16" x14ac:dyDescent="0.25">
      <c r="A2883" s="28" t="s">
        <v>15962</v>
      </c>
      <c r="B2883" s="28" t="s">
        <v>15963</v>
      </c>
      <c r="C2883" s="28" t="s">
        <v>132</v>
      </c>
      <c r="D2883" s="28" t="s">
        <v>15964</v>
      </c>
      <c r="E2883" s="28" t="s">
        <v>15965</v>
      </c>
      <c r="F2883" s="28" t="s">
        <v>21</v>
      </c>
      <c r="G2883" s="28" t="s">
        <v>207</v>
      </c>
      <c r="H2883" s="28" t="s">
        <v>9633</v>
      </c>
      <c r="I2883" s="28" t="s">
        <v>15966</v>
      </c>
      <c r="J2883" s="28" t="s">
        <v>207</v>
      </c>
      <c r="K2883" s="28" t="s">
        <v>9635</v>
      </c>
      <c r="L2883" s="28" t="s">
        <v>9636</v>
      </c>
      <c r="M2883" s="28" t="s">
        <v>15967</v>
      </c>
      <c r="N2883" s="28" t="s">
        <v>9638</v>
      </c>
      <c r="O2883" s="28" t="s">
        <v>9639</v>
      </c>
      <c r="P2883" s="28" t="s">
        <v>15968</v>
      </c>
    </row>
    <row r="2884" spans="1:16" x14ac:dyDescent="0.25">
      <c r="A2884" s="28" t="s">
        <v>15969</v>
      </c>
      <c r="B2884" s="28" t="s">
        <v>15970</v>
      </c>
      <c r="C2884" s="28" t="s">
        <v>132</v>
      </c>
      <c r="D2884" s="28" t="s">
        <v>15964</v>
      </c>
      <c r="E2884" s="28" t="s">
        <v>15965</v>
      </c>
      <c r="F2884" s="28" t="s">
        <v>21</v>
      </c>
      <c r="G2884" s="28" t="s">
        <v>207</v>
      </c>
      <c r="H2884" s="28" t="s">
        <v>9633</v>
      </c>
      <c r="I2884" s="28" t="s">
        <v>15971</v>
      </c>
      <c r="J2884" s="28" t="s">
        <v>207</v>
      </c>
      <c r="K2884" s="28" t="s">
        <v>9635</v>
      </c>
      <c r="L2884" s="28" t="s">
        <v>9636</v>
      </c>
      <c r="M2884" s="28" t="s">
        <v>15972</v>
      </c>
      <c r="N2884" s="28" t="s">
        <v>9638</v>
      </c>
      <c r="O2884" s="28" t="s">
        <v>9639</v>
      </c>
      <c r="P2884" s="28" t="s">
        <v>15968</v>
      </c>
    </row>
    <row r="2885" spans="1:16" x14ac:dyDescent="0.25">
      <c r="A2885" s="28" t="s">
        <v>15973</v>
      </c>
      <c r="B2885" s="28" t="s">
        <v>15974</v>
      </c>
      <c r="C2885" s="28" t="s">
        <v>132</v>
      </c>
      <c r="D2885" s="28" t="s">
        <v>15964</v>
      </c>
      <c r="E2885" s="28" t="s">
        <v>15965</v>
      </c>
      <c r="F2885" s="28" t="s">
        <v>21</v>
      </c>
      <c r="G2885" s="28" t="s">
        <v>207</v>
      </c>
      <c r="H2885" s="28" t="s">
        <v>9633</v>
      </c>
      <c r="I2885" s="28" t="s">
        <v>15975</v>
      </c>
      <c r="J2885" s="28" t="s">
        <v>207</v>
      </c>
      <c r="K2885" s="28" t="s">
        <v>9635</v>
      </c>
      <c r="L2885" s="28" t="s">
        <v>9636</v>
      </c>
      <c r="M2885" s="28" t="s">
        <v>15976</v>
      </c>
      <c r="N2885" s="28" t="s">
        <v>9638</v>
      </c>
      <c r="O2885" s="28" t="s">
        <v>9639</v>
      </c>
      <c r="P2885" s="28" t="s">
        <v>15968</v>
      </c>
    </row>
    <row r="2886" spans="1:16" x14ac:dyDescent="0.25">
      <c r="A2886" s="28" t="s">
        <v>15977</v>
      </c>
      <c r="B2886" s="28" t="s">
        <v>15978</v>
      </c>
      <c r="C2886" s="28" t="s">
        <v>132</v>
      </c>
      <c r="D2886" s="28" t="s">
        <v>15964</v>
      </c>
      <c r="E2886" s="28" t="s">
        <v>15965</v>
      </c>
      <c r="F2886" s="28" t="s">
        <v>21</v>
      </c>
      <c r="G2886" s="28" t="s">
        <v>207</v>
      </c>
      <c r="H2886" s="28" t="s">
        <v>9633</v>
      </c>
      <c r="I2886" s="28" t="s">
        <v>15979</v>
      </c>
      <c r="J2886" s="28" t="s">
        <v>207</v>
      </c>
      <c r="K2886" s="28" t="s">
        <v>9635</v>
      </c>
      <c r="L2886" s="28" t="s">
        <v>9636</v>
      </c>
      <c r="M2886" s="28" t="s">
        <v>15980</v>
      </c>
      <c r="N2886" s="28" t="s">
        <v>9638</v>
      </c>
      <c r="O2886" s="28" t="s">
        <v>9639</v>
      </c>
      <c r="P2886" s="28" t="s">
        <v>15968</v>
      </c>
    </row>
    <row r="2887" spans="1:16" x14ac:dyDescent="0.25">
      <c r="A2887" s="28" t="s">
        <v>15981</v>
      </c>
      <c r="B2887" s="28" t="s">
        <v>15982</v>
      </c>
      <c r="C2887" s="28" t="s">
        <v>132</v>
      </c>
      <c r="D2887" s="28" t="s">
        <v>15964</v>
      </c>
      <c r="E2887" s="28" t="s">
        <v>15965</v>
      </c>
      <c r="F2887" s="28" t="s">
        <v>21</v>
      </c>
      <c r="G2887" s="28" t="s">
        <v>207</v>
      </c>
      <c r="H2887" s="28" t="s">
        <v>9633</v>
      </c>
      <c r="I2887" s="28" t="s">
        <v>15983</v>
      </c>
      <c r="J2887" s="28" t="s">
        <v>207</v>
      </c>
      <c r="K2887" s="28" t="s">
        <v>9635</v>
      </c>
      <c r="L2887" s="28" t="s">
        <v>9636</v>
      </c>
      <c r="M2887" s="28" t="s">
        <v>15984</v>
      </c>
      <c r="N2887" s="28" t="s">
        <v>9638</v>
      </c>
      <c r="O2887" s="28" t="s">
        <v>9639</v>
      </c>
      <c r="P2887" s="28" t="s">
        <v>15968</v>
      </c>
    </row>
    <row r="2888" spans="1:16" x14ac:dyDescent="0.25">
      <c r="A2888" s="28" t="s">
        <v>15985</v>
      </c>
      <c r="B2888" s="28" t="s">
        <v>15986</v>
      </c>
      <c r="C2888" s="28" t="s">
        <v>132</v>
      </c>
      <c r="D2888" s="28" t="s">
        <v>15964</v>
      </c>
      <c r="E2888" s="28" t="s">
        <v>15965</v>
      </c>
      <c r="F2888" s="28" t="s">
        <v>21</v>
      </c>
      <c r="G2888" s="28" t="s">
        <v>207</v>
      </c>
      <c r="H2888" s="28" t="s">
        <v>9633</v>
      </c>
      <c r="I2888" s="28" t="s">
        <v>15987</v>
      </c>
      <c r="J2888" s="28" t="s">
        <v>207</v>
      </c>
      <c r="K2888" s="28" t="s">
        <v>9635</v>
      </c>
      <c r="L2888" s="28" t="s">
        <v>9636</v>
      </c>
      <c r="M2888" s="28" t="s">
        <v>15988</v>
      </c>
      <c r="N2888" s="28" t="s">
        <v>9638</v>
      </c>
      <c r="O2888" s="28" t="s">
        <v>9639</v>
      </c>
      <c r="P2888" s="28" t="s">
        <v>15968</v>
      </c>
    </row>
    <row r="2889" spans="1:16" x14ac:dyDescent="0.25">
      <c r="A2889" s="28" t="s">
        <v>15989</v>
      </c>
      <c r="B2889" s="28" t="s">
        <v>15990</v>
      </c>
      <c r="C2889" s="28" t="s">
        <v>132</v>
      </c>
      <c r="D2889" s="28" t="s">
        <v>15991</v>
      </c>
      <c r="E2889" s="28" t="s">
        <v>15992</v>
      </c>
      <c r="F2889" s="28" t="s">
        <v>21</v>
      </c>
      <c r="G2889" s="28" t="s">
        <v>135</v>
      </c>
      <c r="H2889" s="28" t="s">
        <v>10259</v>
      </c>
      <c r="I2889" s="28" t="s">
        <v>15993</v>
      </c>
      <c r="J2889" s="28" t="s">
        <v>135</v>
      </c>
      <c r="K2889" s="28" t="s">
        <v>10551</v>
      </c>
      <c r="L2889" s="28" t="s">
        <v>10262</v>
      </c>
      <c r="M2889" s="28" t="s">
        <v>15994</v>
      </c>
      <c r="N2889" s="28" t="s">
        <v>10264</v>
      </c>
      <c r="O2889" s="28" t="s">
        <v>10265</v>
      </c>
      <c r="P2889" s="28" t="s">
        <v>10266</v>
      </c>
    </row>
    <row r="2890" spans="1:16" x14ac:dyDescent="0.25">
      <c r="A2890" s="28" t="s">
        <v>15995</v>
      </c>
      <c r="B2890" s="28" t="s">
        <v>15996</v>
      </c>
      <c r="C2890" s="28" t="s">
        <v>132</v>
      </c>
      <c r="D2890" s="28" t="s">
        <v>5979</v>
      </c>
      <c r="E2890" s="28" t="s">
        <v>9515</v>
      </c>
      <c r="F2890" s="28" t="s">
        <v>21</v>
      </c>
      <c r="G2890" s="28" t="s">
        <v>135</v>
      </c>
      <c r="H2890" s="28" t="s">
        <v>9633</v>
      </c>
      <c r="I2890" s="28" t="s">
        <v>15997</v>
      </c>
      <c r="J2890" s="28" t="s">
        <v>135</v>
      </c>
      <c r="K2890" s="28" t="s">
        <v>10125</v>
      </c>
      <c r="L2890" s="28" t="s">
        <v>9636</v>
      </c>
      <c r="M2890" s="28" t="s">
        <v>15998</v>
      </c>
      <c r="N2890" s="28" t="s">
        <v>9638</v>
      </c>
      <c r="O2890" s="28" t="s">
        <v>9639</v>
      </c>
      <c r="P2890" s="28" t="s">
        <v>15999</v>
      </c>
    </row>
    <row r="2891" spans="1:16" x14ac:dyDescent="0.25">
      <c r="A2891" s="28" t="s">
        <v>16000</v>
      </c>
      <c r="B2891" s="28" t="s">
        <v>16001</v>
      </c>
      <c r="C2891" s="28" t="s">
        <v>132</v>
      </c>
      <c r="D2891" s="28" t="s">
        <v>5979</v>
      </c>
      <c r="E2891" s="28" t="s">
        <v>9515</v>
      </c>
      <c r="F2891" s="28" t="s">
        <v>21</v>
      </c>
      <c r="G2891" s="28" t="s">
        <v>207</v>
      </c>
      <c r="H2891" s="28" t="s">
        <v>9633</v>
      </c>
      <c r="I2891" s="28" t="s">
        <v>16002</v>
      </c>
      <c r="J2891" s="28" t="s">
        <v>207</v>
      </c>
      <c r="K2891" s="28" t="s">
        <v>9635</v>
      </c>
      <c r="L2891" s="28" t="s">
        <v>9636</v>
      </c>
      <c r="M2891" s="28" t="s">
        <v>15998</v>
      </c>
      <c r="N2891" s="28" t="s">
        <v>9638</v>
      </c>
      <c r="O2891" s="28" t="s">
        <v>9639</v>
      </c>
      <c r="P2891" s="28" t="s">
        <v>16003</v>
      </c>
    </row>
    <row r="2892" spans="1:16" x14ac:dyDescent="0.25">
      <c r="A2892" s="28" t="s">
        <v>16004</v>
      </c>
      <c r="B2892" s="28" t="s">
        <v>16005</v>
      </c>
      <c r="C2892" s="28" t="s">
        <v>132</v>
      </c>
      <c r="D2892" s="28" t="s">
        <v>5979</v>
      </c>
      <c r="E2892" s="28" t="s">
        <v>9526</v>
      </c>
      <c r="F2892" s="28" t="s">
        <v>21</v>
      </c>
      <c r="G2892" s="28" t="s">
        <v>135</v>
      </c>
      <c r="H2892" s="28" t="s">
        <v>9633</v>
      </c>
      <c r="I2892" s="28" t="s">
        <v>16006</v>
      </c>
      <c r="J2892" s="28" t="s">
        <v>135</v>
      </c>
      <c r="K2892" s="28" t="s">
        <v>10125</v>
      </c>
      <c r="L2892" s="28" t="s">
        <v>9636</v>
      </c>
      <c r="M2892" s="28" t="s">
        <v>16007</v>
      </c>
      <c r="N2892" s="28" t="s">
        <v>9638</v>
      </c>
      <c r="O2892" s="28" t="s">
        <v>9639</v>
      </c>
      <c r="P2892" s="28" t="s">
        <v>16008</v>
      </c>
    </row>
    <row r="2893" spans="1:16" x14ac:dyDescent="0.25">
      <c r="A2893" s="28" t="s">
        <v>16009</v>
      </c>
      <c r="B2893" s="28" t="s">
        <v>16010</v>
      </c>
      <c r="C2893" s="28" t="s">
        <v>132</v>
      </c>
      <c r="D2893" s="28" t="s">
        <v>5979</v>
      </c>
      <c r="E2893" s="28" t="s">
        <v>9526</v>
      </c>
      <c r="F2893" s="28" t="s">
        <v>21</v>
      </c>
      <c r="G2893" s="28" t="s">
        <v>135</v>
      </c>
      <c r="H2893" s="28" t="s">
        <v>9633</v>
      </c>
      <c r="I2893" s="28" t="s">
        <v>16011</v>
      </c>
      <c r="J2893" s="28" t="s">
        <v>135</v>
      </c>
      <c r="K2893" s="28" t="s">
        <v>10125</v>
      </c>
      <c r="L2893" s="28" t="s">
        <v>9636</v>
      </c>
      <c r="M2893" s="28" t="s">
        <v>16007</v>
      </c>
      <c r="N2893" s="28" t="s">
        <v>9638</v>
      </c>
      <c r="O2893" s="28" t="s">
        <v>9639</v>
      </c>
      <c r="P2893" s="28" t="s">
        <v>16012</v>
      </c>
    </row>
    <row r="2894" spans="1:16" x14ac:dyDescent="0.25">
      <c r="A2894" s="28" t="s">
        <v>16013</v>
      </c>
      <c r="B2894" s="28" t="s">
        <v>16014</v>
      </c>
      <c r="C2894" s="28" t="s">
        <v>132</v>
      </c>
      <c r="D2894" s="28" t="s">
        <v>5979</v>
      </c>
      <c r="E2894" s="28" t="s">
        <v>9526</v>
      </c>
      <c r="F2894" s="28" t="s">
        <v>21</v>
      </c>
      <c r="G2894" s="28" t="s">
        <v>39</v>
      </c>
      <c r="H2894" s="28" t="s">
        <v>10259</v>
      </c>
      <c r="I2894" s="28" t="s">
        <v>16015</v>
      </c>
      <c r="J2894" s="28" t="s">
        <v>39</v>
      </c>
      <c r="K2894" s="28" t="s">
        <v>10261</v>
      </c>
      <c r="L2894" s="28" t="s">
        <v>10262</v>
      </c>
      <c r="M2894" s="28" t="s">
        <v>16016</v>
      </c>
      <c r="N2894" s="28" t="s">
        <v>10264</v>
      </c>
      <c r="O2894" s="28" t="s">
        <v>10265</v>
      </c>
      <c r="P2894" s="28" t="s">
        <v>10266</v>
      </c>
    </row>
    <row r="2895" spans="1:16" x14ac:dyDescent="0.25">
      <c r="A2895" s="28" t="s">
        <v>16017</v>
      </c>
      <c r="B2895" s="28" t="s">
        <v>16018</v>
      </c>
      <c r="C2895" s="28" t="s">
        <v>132</v>
      </c>
      <c r="D2895" s="28" t="s">
        <v>5979</v>
      </c>
      <c r="E2895" s="28" t="s">
        <v>9556</v>
      </c>
      <c r="F2895" s="28" t="s">
        <v>21</v>
      </c>
      <c r="G2895" s="28" t="s">
        <v>135</v>
      </c>
      <c r="H2895" s="28" t="s">
        <v>9633</v>
      </c>
      <c r="I2895" s="28" t="s">
        <v>16019</v>
      </c>
      <c r="J2895" s="28" t="s">
        <v>135</v>
      </c>
      <c r="K2895" s="28" t="s">
        <v>10125</v>
      </c>
      <c r="L2895" s="28" t="s">
        <v>9636</v>
      </c>
      <c r="M2895" s="28" t="s">
        <v>16020</v>
      </c>
      <c r="N2895" s="28" t="s">
        <v>9638</v>
      </c>
      <c r="O2895" s="28" t="s">
        <v>9639</v>
      </c>
      <c r="P2895" s="28" t="s">
        <v>16021</v>
      </c>
    </row>
    <row r="2896" spans="1:16" x14ac:dyDescent="0.25">
      <c r="A2896" s="28" t="s">
        <v>16022</v>
      </c>
      <c r="B2896" s="28" t="s">
        <v>16023</v>
      </c>
      <c r="C2896" s="28" t="s">
        <v>132</v>
      </c>
      <c r="D2896" s="28" t="s">
        <v>5979</v>
      </c>
      <c r="E2896" s="28" t="s">
        <v>9556</v>
      </c>
      <c r="F2896" s="28" t="s">
        <v>21</v>
      </c>
      <c r="G2896" s="28" t="s">
        <v>135</v>
      </c>
      <c r="H2896" s="28" t="s">
        <v>9633</v>
      </c>
      <c r="I2896" s="28" t="s">
        <v>16024</v>
      </c>
      <c r="J2896" s="28" t="s">
        <v>135</v>
      </c>
      <c r="K2896" s="28" t="s">
        <v>10125</v>
      </c>
      <c r="L2896" s="28" t="s">
        <v>9636</v>
      </c>
      <c r="M2896" s="28" t="s">
        <v>16020</v>
      </c>
      <c r="N2896" s="28" t="s">
        <v>9638</v>
      </c>
      <c r="O2896" s="28" t="s">
        <v>9639</v>
      </c>
      <c r="P2896" s="28" t="s">
        <v>16025</v>
      </c>
    </row>
    <row r="2897" spans="1:16" x14ac:dyDescent="0.25">
      <c r="A2897" s="28" t="s">
        <v>16026</v>
      </c>
      <c r="B2897" s="28" t="s">
        <v>16027</v>
      </c>
      <c r="C2897" s="28" t="s">
        <v>132</v>
      </c>
      <c r="D2897" s="28" t="s">
        <v>5979</v>
      </c>
      <c r="E2897" s="28" t="s">
        <v>9556</v>
      </c>
      <c r="F2897" s="28" t="s">
        <v>21</v>
      </c>
      <c r="G2897" s="28" t="s">
        <v>39</v>
      </c>
      <c r="H2897" s="28" t="s">
        <v>10259</v>
      </c>
      <c r="I2897" s="28" t="s">
        <v>16028</v>
      </c>
      <c r="J2897" s="28" t="s">
        <v>39</v>
      </c>
      <c r="K2897" s="28" t="s">
        <v>10261</v>
      </c>
      <c r="L2897" s="28" t="s">
        <v>10262</v>
      </c>
      <c r="M2897" s="28" t="s">
        <v>16029</v>
      </c>
      <c r="N2897" s="28" t="s">
        <v>10264</v>
      </c>
      <c r="O2897" s="28" t="s">
        <v>10265</v>
      </c>
      <c r="P2897" s="28" t="s">
        <v>10266</v>
      </c>
    </row>
    <row r="2898" spans="1:16" x14ac:dyDescent="0.25">
      <c r="A2898" s="28" t="s">
        <v>16030</v>
      </c>
      <c r="B2898" s="28" t="s">
        <v>16031</v>
      </c>
      <c r="C2898" s="28" t="s">
        <v>132</v>
      </c>
      <c r="D2898" s="28" t="s">
        <v>5979</v>
      </c>
      <c r="E2898" s="28" t="s">
        <v>6001</v>
      </c>
      <c r="F2898" s="28" t="s">
        <v>21</v>
      </c>
      <c r="G2898" s="28" t="s">
        <v>135</v>
      </c>
      <c r="H2898" s="28" t="s">
        <v>9633</v>
      </c>
      <c r="I2898" s="28" t="s">
        <v>16032</v>
      </c>
      <c r="J2898" s="28" t="s">
        <v>135</v>
      </c>
      <c r="K2898" s="28" t="s">
        <v>10125</v>
      </c>
      <c r="L2898" s="28" t="s">
        <v>9636</v>
      </c>
      <c r="M2898" s="28" t="s">
        <v>16033</v>
      </c>
      <c r="N2898" s="28" t="s">
        <v>9638</v>
      </c>
      <c r="O2898" s="28" t="s">
        <v>9639</v>
      </c>
      <c r="P2898" s="28" t="s">
        <v>16034</v>
      </c>
    </row>
    <row r="2899" spans="1:16" x14ac:dyDescent="0.25">
      <c r="A2899" s="28" t="s">
        <v>16035</v>
      </c>
      <c r="B2899" s="28" t="s">
        <v>16036</v>
      </c>
      <c r="C2899" s="28" t="s">
        <v>132</v>
      </c>
      <c r="D2899" s="28" t="s">
        <v>5979</v>
      </c>
      <c r="E2899" s="28" t="s">
        <v>6001</v>
      </c>
      <c r="F2899" s="28" t="s">
        <v>21</v>
      </c>
      <c r="G2899" s="28" t="s">
        <v>135</v>
      </c>
      <c r="H2899" s="28" t="s">
        <v>9633</v>
      </c>
      <c r="I2899" s="28" t="s">
        <v>16037</v>
      </c>
      <c r="J2899" s="28" t="s">
        <v>135</v>
      </c>
      <c r="K2899" s="28" t="s">
        <v>10125</v>
      </c>
      <c r="L2899" s="28" t="s">
        <v>9636</v>
      </c>
      <c r="M2899" s="28" t="s">
        <v>16033</v>
      </c>
      <c r="N2899" s="28" t="s">
        <v>9638</v>
      </c>
      <c r="O2899" s="28" t="s">
        <v>9639</v>
      </c>
      <c r="P2899" s="28" t="s">
        <v>16038</v>
      </c>
    </row>
    <row r="2900" spans="1:16" x14ac:dyDescent="0.25">
      <c r="A2900" s="28" t="s">
        <v>16039</v>
      </c>
      <c r="B2900" s="28" t="s">
        <v>16040</v>
      </c>
      <c r="C2900" s="28" t="s">
        <v>132</v>
      </c>
      <c r="D2900" s="28" t="s">
        <v>5979</v>
      </c>
      <c r="E2900" s="28" t="s">
        <v>6001</v>
      </c>
      <c r="F2900" s="28" t="s">
        <v>21</v>
      </c>
      <c r="G2900" s="28" t="s">
        <v>135</v>
      </c>
      <c r="H2900" s="28" t="s">
        <v>9633</v>
      </c>
      <c r="I2900" s="28" t="s">
        <v>16041</v>
      </c>
      <c r="J2900" s="28" t="s">
        <v>135</v>
      </c>
      <c r="K2900" s="28" t="s">
        <v>10125</v>
      </c>
      <c r="L2900" s="28" t="s">
        <v>9636</v>
      </c>
      <c r="M2900" s="28" t="s">
        <v>16033</v>
      </c>
      <c r="N2900" s="28" t="s">
        <v>9638</v>
      </c>
      <c r="O2900" s="28" t="s">
        <v>9639</v>
      </c>
      <c r="P2900" s="28" t="s">
        <v>16042</v>
      </c>
    </row>
    <row r="2901" spans="1:16" x14ac:dyDescent="0.25">
      <c r="A2901" s="28" t="s">
        <v>16043</v>
      </c>
      <c r="B2901" s="28" t="s">
        <v>16044</v>
      </c>
      <c r="C2901" s="28" t="s">
        <v>132</v>
      </c>
      <c r="D2901" s="28" t="s">
        <v>5979</v>
      </c>
      <c r="E2901" s="28" t="s">
        <v>9578</v>
      </c>
      <c r="F2901" s="28" t="s">
        <v>21</v>
      </c>
      <c r="G2901" s="28" t="s">
        <v>135</v>
      </c>
      <c r="H2901" s="28" t="s">
        <v>9633</v>
      </c>
      <c r="I2901" s="28" t="s">
        <v>16045</v>
      </c>
      <c r="J2901" s="28" t="s">
        <v>135</v>
      </c>
      <c r="K2901" s="28" t="s">
        <v>10125</v>
      </c>
      <c r="L2901" s="28" t="s">
        <v>9636</v>
      </c>
      <c r="M2901" s="28" t="s">
        <v>16046</v>
      </c>
      <c r="N2901" s="28" t="s">
        <v>9638</v>
      </c>
      <c r="O2901" s="28" t="s">
        <v>9639</v>
      </c>
      <c r="P2901" s="28" t="s">
        <v>16047</v>
      </c>
    </row>
    <row r="2902" spans="1:16" x14ac:dyDescent="0.25">
      <c r="A2902" s="28" t="s">
        <v>16048</v>
      </c>
      <c r="B2902" s="28" t="s">
        <v>16049</v>
      </c>
      <c r="C2902" s="28" t="s">
        <v>132</v>
      </c>
      <c r="D2902" s="28" t="s">
        <v>5979</v>
      </c>
      <c r="E2902" s="28" t="s">
        <v>9578</v>
      </c>
      <c r="F2902" s="28" t="s">
        <v>21</v>
      </c>
      <c r="G2902" s="28" t="s">
        <v>135</v>
      </c>
      <c r="H2902" s="28" t="s">
        <v>9633</v>
      </c>
      <c r="I2902" s="28" t="s">
        <v>16050</v>
      </c>
      <c r="J2902" s="28" t="s">
        <v>135</v>
      </c>
      <c r="K2902" s="28" t="s">
        <v>10125</v>
      </c>
      <c r="L2902" s="28" t="s">
        <v>9636</v>
      </c>
      <c r="M2902" s="28" t="s">
        <v>16046</v>
      </c>
      <c r="N2902" s="28" t="s">
        <v>9638</v>
      </c>
      <c r="O2902" s="28" t="s">
        <v>9639</v>
      </c>
      <c r="P2902" s="28" t="s">
        <v>16051</v>
      </c>
    </row>
    <row r="2903" spans="1:16" x14ac:dyDescent="0.25">
      <c r="A2903" s="28" t="s">
        <v>16052</v>
      </c>
      <c r="B2903" s="28" t="s">
        <v>16053</v>
      </c>
      <c r="C2903" s="28" t="s">
        <v>132</v>
      </c>
      <c r="D2903" s="28" t="s">
        <v>5979</v>
      </c>
      <c r="E2903" s="28" t="s">
        <v>9578</v>
      </c>
      <c r="F2903" s="28" t="s">
        <v>21</v>
      </c>
      <c r="G2903" s="28" t="s">
        <v>39</v>
      </c>
      <c r="H2903" s="28" t="s">
        <v>10259</v>
      </c>
      <c r="I2903" s="28" t="s">
        <v>16054</v>
      </c>
      <c r="J2903" s="28" t="s">
        <v>39</v>
      </c>
      <c r="K2903" s="28" t="s">
        <v>10261</v>
      </c>
      <c r="L2903" s="28" t="s">
        <v>10262</v>
      </c>
      <c r="M2903" s="28" t="s">
        <v>16055</v>
      </c>
      <c r="N2903" s="28" t="s">
        <v>10264</v>
      </c>
      <c r="O2903" s="28" t="s">
        <v>10265</v>
      </c>
      <c r="P2903" s="28" t="s">
        <v>10266</v>
      </c>
    </row>
    <row r="2904" spans="1:16" x14ac:dyDescent="0.25">
      <c r="A2904" s="28" t="s">
        <v>16056</v>
      </c>
      <c r="B2904" s="28" t="s">
        <v>16057</v>
      </c>
      <c r="C2904" s="28" t="s">
        <v>132</v>
      </c>
      <c r="D2904" s="28" t="s">
        <v>5979</v>
      </c>
      <c r="E2904" s="28" t="s">
        <v>16058</v>
      </c>
      <c r="F2904" s="28" t="s">
        <v>21</v>
      </c>
      <c r="G2904" s="28" t="s">
        <v>135</v>
      </c>
      <c r="H2904" s="28" t="s">
        <v>9633</v>
      </c>
      <c r="I2904" s="28" t="s">
        <v>16059</v>
      </c>
      <c r="J2904" s="28" t="s">
        <v>135</v>
      </c>
      <c r="K2904" s="28" t="s">
        <v>10125</v>
      </c>
      <c r="L2904" s="28" t="s">
        <v>9636</v>
      </c>
      <c r="M2904" s="28" t="s">
        <v>16060</v>
      </c>
      <c r="N2904" s="28" t="s">
        <v>9638</v>
      </c>
      <c r="O2904" s="28" t="s">
        <v>9639</v>
      </c>
      <c r="P2904" s="28" t="s">
        <v>16061</v>
      </c>
    </row>
    <row r="2905" spans="1:16" x14ac:dyDescent="0.25">
      <c r="A2905" s="28" t="s">
        <v>16062</v>
      </c>
      <c r="B2905" s="28" t="s">
        <v>16063</v>
      </c>
      <c r="C2905" s="28" t="s">
        <v>132</v>
      </c>
      <c r="D2905" s="28" t="s">
        <v>5979</v>
      </c>
      <c r="E2905" s="28" t="s">
        <v>16058</v>
      </c>
      <c r="F2905" s="28" t="s">
        <v>21</v>
      </c>
      <c r="G2905" s="28" t="s">
        <v>135</v>
      </c>
      <c r="H2905" s="28" t="s">
        <v>9633</v>
      </c>
      <c r="I2905" s="28" t="s">
        <v>16064</v>
      </c>
      <c r="J2905" s="28" t="s">
        <v>135</v>
      </c>
      <c r="K2905" s="28" t="s">
        <v>10125</v>
      </c>
      <c r="L2905" s="28" t="s">
        <v>9636</v>
      </c>
      <c r="M2905" s="28" t="s">
        <v>16060</v>
      </c>
      <c r="N2905" s="28" t="s">
        <v>9638</v>
      </c>
      <c r="O2905" s="28" t="s">
        <v>9639</v>
      </c>
      <c r="P2905" s="28" t="s">
        <v>16065</v>
      </c>
    </row>
    <row r="2906" spans="1:16" x14ac:dyDescent="0.25">
      <c r="A2906" s="28" t="s">
        <v>16066</v>
      </c>
      <c r="B2906" s="28" t="s">
        <v>16067</v>
      </c>
      <c r="C2906" s="28" t="s">
        <v>132</v>
      </c>
      <c r="D2906" s="28" t="s">
        <v>5979</v>
      </c>
      <c r="E2906" s="28" t="s">
        <v>16058</v>
      </c>
      <c r="F2906" s="28" t="s">
        <v>21</v>
      </c>
      <c r="G2906" s="28" t="s">
        <v>135</v>
      </c>
      <c r="H2906" s="28" t="s">
        <v>9633</v>
      </c>
      <c r="I2906" s="28" t="s">
        <v>16068</v>
      </c>
      <c r="J2906" s="28" t="s">
        <v>135</v>
      </c>
      <c r="K2906" s="28" t="s">
        <v>10125</v>
      </c>
      <c r="L2906" s="28" t="s">
        <v>9636</v>
      </c>
      <c r="M2906" s="28" t="s">
        <v>16060</v>
      </c>
      <c r="N2906" s="28" t="s">
        <v>9638</v>
      </c>
      <c r="O2906" s="28" t="s">
        <v>9639</v>
      </c>
      <c r="P2906" s="28" t="s">
        <v>16069</v>
      </c>
    </row>
    <row r="2907" spans="1:16" x14ac:dyDescent="0.25">
      <c r="A2907" s="28" t="s">
        <v>16070</v>
      </c>
      <c r="B2907" s="28" t="s">
        <v>16071</v>
      </c>
      <c r="C2907" s="28" t="s">
        <v>132</v>
      </c>
      <c r="D2907" s="28" t="s">
        <v>5979</v>
      </c>
      <c r="E2907" s="28" t="s">
        <v>16072</v>
      </c>
      <c r="F2907" s="28" t="s">
        <v>21</v>
      </c>
      <c r="G2907" s="28" t="s">
        <v>135</v>
      </c>
      <c r="H2907" s="28" t="s">
        <v>9633</v>
      </c>
      <c r="I2907" s="28" t="s">
        <v>16073</v>
      </c>
      <c r="J2907" s="28" t="s">
        <v>135</v>
      </c>
      <c r="K2907" s="28" t="s">
        <v>10125</v>
      </c>
      <c r="L2907" s="28" t="s">
        <v>9636</v>
      </c>
      <c r="M2907" s="28" t="s">
        <v>16074</v>
      </c>
      <c r="N2907" s="28" t="s">
        <v>9638</v>
      </c>
      <c r="O2907" s="28" t="s">
        <v>9639</v>
      </c>
      <c r="P2907" s="28" t="s">
        <v>16075</v>
      </c>
    </row>
    <row r="2908" spans="1:16" x14ac:dyDescent="0.25">
      <c r="A2908" s="28" t="s">
        <v>16076</v>
      </c>
      <c r="B2908" s="28" t="s">
        <v>16077</v>
      </c>
      <c r="C2908" s="28" t="s">
        <v>132</v>
      </c>
      <c r="D2908" s="28" t="s">
        <v>5979</v>
      </c>
      <c r="E2908" s="28" t="s">
        <v>16072</v>
      </c>
      <c r="F2908" s="28" t="s">
        <v>21</v>
      </c>
      <c r="G2908" s="28" t="s">
        <v>135</v>
      </c>
      <c r="H2908" s="28" t="s">
        <v>9633</v>
      </c>
      <c r="I2908" s="28" t="s">
        <v>16078</v>
      </c>
      <c r="J2908" s="28" t="s">
        <v>135</v>
      </c>
      <c r="K2908" s="28" t="s">
        <v>10125</v>
      </c>
      <c r="L2908" s="28" t="s">
        <v>9636</v>
      </c>
      <c r="M2908" s="28" t="s">
        <v>16074</v>
      </c>
      <c r="N2908" s="28" t="s">
        <v>9638</v>
      </c>
      <c r="O2908" s="28" t="s">
        <v>9639</v>
      </c>
      <c r="P2908" s="28" t="s">
        <v>16079</v>
      </c>
    </row>
    <row r="2909" spans="1:16" x14ac:dyDescent="0.25">
      <c r="A2909" s="28" t="s">
        <v>16080</v>
      </c>
      <c r="B2909" s="28" t="s">
        <v>16081</v>
      </c>
      <c r="C2909" s="28" t="s">
        <v>132</v>
      </c>
      <c r="D2909" s="28" t="s">
        <v>5979</v>
      </c>
      <c r="E2909" s="28" t="s">
        <v>16072</v>
      </c>
      <c r="F2909" s="28" t="s">
        <v>21</v>
      </c>
      <c r="G2909" s="28" t="s">
        <v>135</v>
      </c>
      <c r="H2909" s="28" t="s">
        <v>9633</v>
      </c>
      <c r="I2909" s="28" t="s">
        <v>16082</v>
      </c>
      <c r="J2909" s="28" t="s">
        <v>135</v>
      </c>
      <c r="K2909" s="28" t="s">
        <v>10125</v>
      </c>
      <c r="L2909" s="28" t="s">
        <v>9636</v>
      </c>
      <c r="M2909" s="28" t="s">
        <v>16074</v>
      </c>
      <c r="N2909" s="28" t="s">
        <v>9638</v>
      </c>
      <c r="O2909" s="28" t="s">
        <v>9639</v>
      </c>
      <c r="P2909" s="28" t="s">
        <v>16083</v>
      </c>
    </row>
    <row r="2910" spans="1:16" x14ac:dyDescent="0.25">
      <c r="A2910" s="28" t="s">
        <v>16084</v>
      </c>
      <c r="B2910" s="28" t="s">
        <v>16085</v>
      </c>
      <c r="C2910" s="28" t="s">
        <v>132</v>
      </c>
      <c r="D2910" s="28" t="s">
        <v>5979</v>
      </c>
      <c r="E2910" s="28" t="s">
        <v>6119</v>
      </c>
      <c r="F2910" s="28" t="s">
        <v>21</v>
      </c>
      <c r="G2910" s="28" t="s">
        <v>135</v>
      </c>
      <c r="H2910" s="28" t="s">
        <v>9633</v>
      </c>
      <c r="I2910" s="28" t="s">
        <v>16086</v>
      </c>
      <c r="J2910" s="28" t="s">
        <v>135</v>
      </c>
      <c r="K2910" s="28" t="s">
        <v>10125</v>
      </c>
      <c r="L2910" s="28" t="s">
        <v>9636</v>
      </c>
      <c r="M2910" s="28" t="s">
        <v>16087</v>
      </c>
      <c r="N2910" s="28" t="s">
        <v>9638</v>
      </c>
      <c r="O2910" s="28" t="s">
        <v>9639</v>
      </c>
      <c r="P2910" s="28" t="s">
        <v>16088</v>
      </c>
    </row>
    <row r="2911" spans="1:16" x14ac:dyDescent="0.25">
      <c r="A2911" s="28" t="s">
        <v>16089</v>
      </c>
      <c r="B2911" s="28" t="s">
        <v>16090</v>
      </c>
      <c r="C2911" s="28" t="s">
        <v>132</v>
      </c>
      <c r="D2911" s="28" t="s">
        <v>5979</v>
      </c>
      <c r="E2911" s="28" t="s">
        <v>6119</v>
      </c>
      <c r="F2911" s="28" t="s">
        <v>21</v>
      </c>
      <c r="G2911" s="28" t="s">
        <v>135</v>
      </c>
      <c r="H2911" s="28" t="s">
        <v>9633</v>
      </c>
      <c r="I2911" s="28" t="s">
        <v>16091</v>
      </c>
      <c r="J2911" s="28" t="s">
        <v>135</v>
      </c>
      <c r="K2911" s="28" t="s">
        <v>10125</v>
      </c>
      <c r="L2911" s="28" t="s">
        <v>9636</v>
      </c>
      <c r="M2911" s="28" t="s">
        <v>16087</v>
      </c>
      <c r="N2911" s="28" t="s">
        <v>9638</v>
      </c>
      <c r="O2911" s="28" t="s">
        <v>9639</v>
      </c>
      <c r="P2911" s="28" t="s">
        <v>16092</v>
      </c>
    </row>
    <row r="2912" spans="1:16" x14ac:dyDescent="0.25">
      <c r="A2912" s="28" t="s">
        <v>16093</v>
      </c>
      <c r="B2912" s="28" t="s">
        <v>16094</v>
      </c>
      <c r="C2912" s="28" t="s">
        <v>132</v>
      </c>
      <c r="D2912" s="28" t="s">
        <v>5979</v>
      </c>
      <c r="E2912" s="28" t="s">
        <v>6119</v>
      </c>
      <c r="F2912" s="28" t="s">
        <v>21</v>
      </c>
      <c r="G2912" s="28" t="s">
        <v>135</v>
      </c>
      <c r="H2912" s="28" t="s">
        <v>9633</v>
      </c>
      <c r="I2912" s="28" t="s">
        <v>16095</v>
      </c>
      <c r="J2912" s="28" t="s">
        <v>135</v>
      </c>
      <c r="K2912" s="28" t="s">
        <v>10125</v>
      </c>
      <c r="L2912" s="28" t="s">
        <v>9636</v>
      </c>
      <c r="M2912" s="28" t="s">
        <v>16087</v>
      </c>
      <c r="N2912" s="28" t="s">
        <v>9638</v>
      </c>
      <c r="O2912" s="28" t="s">
        <v>9639</v>
      </c>
      <c r="P2912" s="28" t="s">
        <v>16096</v>
      </c>
    </row>
    <row r="2913" spans="1:16" x14ac:dyDescent="0.25">
      <c r="A2913" s="28" t="s">
        <v>16097</v>
      </c>
      <c r="B2913" s="28" t="s">
        <v>16098</v>
      </c>
      <c r="C2913" s="28" t="s">
        <v>132</v>
      </c>
      <c r="D2913" s="28" t="s">
        <v>5979</v>
      </c>
      <c r="E2913" s="28" t="s">
        <v>16099</v>
      </c>
      <c r="F2913" s="28" t="s">
        <v>21</v>
      </c>
      <c r="G2913" s="28" t="s">
        <v>135</v>
      </c>
      <c r="H2913" s="28" t="s">
        <v>9633</v>
      </c>
      <c r="I2913" s="28" t="s">
        <v>16100</v>
      </c>
      <c r="J2913" s="28" t="s">
        <v>135</v>
      </c>
      <c r="K2913" s="28" t="s">
        <v>10125</v>
      </c>
      <c r="L2913" s="28" t="s">
        <v>9636</v>
      </c>
      <c r="M2913" s="28" t="s">
        <v>16101</v>
      </c>
      <c r="N2913" s="28" t="s">
        <v>9638</v>
      </c>
      <c r="O2913" s="28" t="s">
        <v>9639</v>
      </c>
      <c r="P2913" s="28" t="s">
        <v>16102</v>
      </c>
    </row>
    <row r="2914" spans="1:16" x14ac:dyDescent="0.25">
      <c r="A2914" s="28" t="s">
        <v>16103</v>
      </c>
      <c r="B2914" s="28" t="s">
        <v>16104</v>
      </c>
      <c r="C2914" s="28" t="s">
        <v>132</v>
      </c>
      <c r="D2914" s="28" t="s">
        <v>5979</v>
      </c>
      <c r="E2914" s="28" t="s">
        <v>16099</v>
      </c>
      <c r="F2914" s="28" t="s">
        <v>21</v>
      </c>
      <c r="G2914" s="28" t="s">
        <v>135</v>
      </c>
      <c r="H2914" s="28" t="s">
        <v>9633</v>
      </c>
      <c r="I2914" s="28" t="s">
        <v>16105</v>
      </c>
      <c r="J2914" s="28" t="s">
        <v>135</v>
      </c>
      <c r="K2914" s="28" t="s">
        <v>10125</v>
      </c>
      <c r="L2914" s="28" t="s">
        <v>9636</v>
      </c>
      <c r="M2914" s="28" t="s">
        <v>16101</v>
      </c>
      <c r="N2914" s="28" t="s">
        <v>9638</v>
      </c>
      <c r="O2914" s="28" t="s">
        <v>9639</v>
      </c>
      <c r="P2914" s="28" t="s">
        <v>16106</v>
      </c>
    </row>
    <row r="2915" spans="1:16" x14ac:dyDescent="0.25">
      <c r="A2915" s="28" t="s">
        <v>16107</v>
      </c>
      <c r="B2915" s="28" t="s">
        <v>16108</v>
      </c>
      <c r="C2915" s="28" t="s">
        <v>132</v>
      </c>
      <c r="D2915" s="28" t="s">
        <v>5979</v>
      </c>
      <c r="E2915" s="28" t="s">
        <v>16099</v>
      </c>
      <c r="F2915" s="28" t="s">
        <v>21</v>
      </c>
      <c r="G2915" s="28" t="s">
        <v>135</v>
      </c>
      <c r="H2915" s="28" t="s">
        <v>9633</v>
      </c>
      <c r="I2915" s="28" t="s">
        <v>16109</v>
      </c>
      <c r="J2915" s="28" t="s">
        <v>135</v>
      </c>
      <c r="K2915" s="28" t="s">
        <v>10125</v>
      </c>
      <c r="L2915" s="28" t="s">
        <v>9636</v>
      </c>
      <c r="M2915" s="28" t="s">
        <v>16101</v>
      </c>
      <c r="N2915" s="28" t="s">
        <v>9638</v>
      </c>
      <c r="O2915" s="28" t="s">
        <v>9639</v>
      </c>
      <c r="P2915" s="28" t="s">
        <v>16110</v>
      </c>
    </row>
    <row r="2916" spans="1:16" x14ac:dyDescent="0.25">
      <c r="A2916" s="28" t="s">
        <v>16111</v>
      </c>
      <c r="B2916" s="28" t="s">
        <v>16112</v>
      </c>
      <c r="C2916" s="28" t="s">
        <v>132</v>
      </c>
      <c r="D2916" s="28" t="s">
        <v>5979</v>
      </c>
      <c r="E2916" s="28" t="s">
        <v>9590</v>
      </c>
      <c r="F2916" s="28" t="s">
        <v>21</v>
      </c>
      <c r="G2916" s="28" t="s">
        <v>135</v>
      </c>
      <c r="H2916" s="28" t="s">
        <v>9633</v>
      </c>
      <c r="I2916" s="28" t="s">
        <v>16113</v>
      </c>
      <c r="J2916" s="28" t="s">
        <v>135</v>
      </c>
      <c r="K2916" s="28" t="s">
        <v>10125</v>
      </c>
      <c r="L2916" s="28" t="s">
        <v>9636</v>
      </c>
      <c r="M2916" s="28" t="s">
        <v>16114</v>
      </c>
      <c r="N2916" s="28" t="s">
        <v>9638</v>
      </c>
      <c r="O2916" s="28" t="s">
        <v>9639</v>
      </c>
      <c r="P2916" s="28" t="s">
        <v>16115</v>
      </c>
    </row>
    <row r="2917" spans="1:16" x14ac:dyDescent="0.25">
      <c r="A2917" s="28" t="s">
        <v>16116</v>
      </c>
      <c r="B2917" s="28" t="s">
        <v>16117</v>
      </c>
      <c r="C2917" s="28" t="s">
        <v>132</v>
      </c>
      <c r="D2917" s="28" t="s">
        <v>5979</v>
      </c>
      <c r="E2917" s="28" t="s">
        <v>9590</v>
      </c>
      <c r="F2917" s="28" t="s">
        <v>21</v>
      </c>
      <c r="G2917" s="28" t="s">
        <v>135</v>
      </c>
      <c r="H2917" s="28" t="s">
        <v>9633</v>
      </c>
      <c r="I2917" s="28" t="s">
        <v>16118</v>
      </c>
      <c r="J2917" s="28" t="s">
        <v>135</v>
      </c>
      <c r="K2917" s="28" t="s">
        <v>10125</v>
      </c>
      <c r="L2917" s="28" t="s">
        <v>9636</v>
      </c>
      <c r="M2917" s="28" t="s">
        <v>16114</v>
      </c>
      <c r="N2917" s="28" t="s">
        <v>9638</v>
      </c>
      <c r="O2917" s="28" t="s">
        <v>9639</v>
      </c>
      <c r="P2917" s="28" t="s">
        <v>16119</v>
      </c>
    </row>
    <row r="2918" spans="1:16" x14ac:dyDescent="0.25">
      <c r="A2918" s="28" t="s">
        <v>16120</v>
      </c>
      <c r="B2918" s="28" t="s">
        <v>16121</v>
      </c>
      <c r="C2918" s="28" t="s">
        <v>132</v>
      </c>
      <c r="D2918" s="28" t="s">
        <v>5979</v>
      </c>
      <c r="E2918" s="28" t="s">
        <v>9590</v>
      </c>
      <c r="F2918" s="28" t="s">
        <v>21</v>
      </c>
      <c r="G2918" s="28" t="s">
        <v>39</v>
      </c>
      <c r="H2918" s="28" t="s">
        <v>10259</v>
      </c>
      <c r="I2918" s="28" t="s">
        <v>16122</v>
      </c>
      <c r="J2918" s="28" t="s">
        <v>39</v>
      </c>
      <c r="K2918" s="28" t="s">
        <v>10261</v>
      </c>
      <c r="L2918" s="28" t="s">
        <v>10262</v>
      </c>
      <c r="M2918" s="28" t="s">
        <v>16123</v>
      </c>
      <c r="N2918" s="28" t="s">
        <v>10264</v>
      </c>
      <c r="O2918" s="28" t="s">
        <v>10265</v>
      </c>
      <c r="P2918" s="28" t="s">
        <v>10266</v>
      </c>
    </row>
    <row r="2919" spans="1:16" x14ac:dyDescent="0.25">
      <c r="A2919" s="28" t="s">
        <v>16124</v>
      </c>
      <c r="B2919" s="28" t="s">
        <v>16125</v>
      </c>
      <c r="C2919" s="28" t="s">
        <v>132</v>
      </c>
      <c r="D2919" s="28" t="s">
        <v>5979</v>
      </c>
      <c r="E2919" s="28" t="s">
        <v>9602</v>
      </c>
      <c r="F2919" s="28" t="s">
        <v>21</v>
      </c>
      <c r="G2919" s="28" t="s">
        <v>135</v>
      </c>
      <c r="H2919" s="28" t="s">
        <v>9633</v>
      </c>
      <c r="I2919" s="28" t="s">
        <v>16126</v>
      </c>
      <c r="J2919" s="28" t="s">
        <v>135</v>
      </c>
      <c r="K2919" s="28" t="s">
        <v>10125</v>
      </c>
      <c r="L2919" s="28" t="s">
        <v>9636</v>
      </c>
      <c r="M2919" s="28" t="s">
        <v>16127</v>
      </c>
      <c r="N2919" s="28" t="s">
        <v>9638</v>
      </c>
      <c r="O2919" s="28" t="s">
        <v>9639</v>
      </c>
      <c r="P2919" s="28" t="s">
        <v>16128</v>
      </c>
    </row>
    <row r="2920" spans="1:16" x14ac:dyDescent="0.25">
      <c r="A2920" s="28" t="s">
        <v>16129</v>
      </c>
      <c r="B2920" s="28" t="s">
        <v>16130</v>
      </c>
      <c r="C2920" s="28" t="s">
        <v>132</v>
      </c>
      <c r="D2920" s="28" t="s">
        <v>5979</v>
      </c>
      <c r="E2920" s="28" t="s">
        <v>9602</v>
      </c>
      <c r="F2920" s="28" t="s">
        <v>21</v>
      </c>
      <c r="G2920" s="28" t="s">
        <v>135</v>
      </c>
      <c r="H2920" s="28" t="s">
        <v>9633</v>
      </c>
      <c r="I2920" s="28" t="s">
        <v>16131</v>
      </c>
      <c r="J2920" s="28" t="s">
        <v>135</v>
      </c>
      <c r="K2920" s="28" t="s">
        <v>10125</v>
      </c>
      <c r="L2920" s="28" t="s">
        <v>9636</v>
      </c>
      <c r="M2920" s="28" t="s">
        <v>16127</v>
      </c>
      <c r="N2920" s="28" t="s">
        <v>9638</v>
      </c>
      <c r="O2920" s="28" t="s">
        <v>9639</v>
      </c>
      <c r="P2920" s="28" t="s">
        <v>16132</v>
      </c>
    </row>
    <row r="2921" spans="1:16" x14ac:dyDescent="0.25">
      <c r="A2921" s="28" t="s">
        <v>16133</v>
      </c>
      <c r="B2921" s="28" t="s">
        <v>16134</v>
      </c>
      <c r="C2921" s="28" t="s">
        <v>132</v>
      </c>
      <c r="D2921" s="28" t="s">
        <v>5979</v>
      </c>
      <c r="E2921" s="28" t="s">
        <v>9602</v>
      </c>
      <c r="F2921" s="28" t="s">
        <v>21</v>
      </c>
      <c r="G2921" s="28" t="s">
        <v>135</v>
      </c>
      <c r="H2921" s="28" t="s">
        <v>9633</v>
      </c>
      <c r="I2921" s="28" t="s">
        <v>16135</v>
      </c>
      <c r="J2921" s="28" t="s">
        <v>135</v>
      </c>
      <c r="K2921" s="28" t="s">
        <v>10125</v>
      </c>
      <c r="L2921" s="28" t="s">
        <v>9636</v>
      </c>
      <c r="M2921" s="28" t="s">
        <v>16127</v>
      </c>
      <c r="N2921" s="28" t="s">
        <v>9638</v>
      </c>
      <c r="O2921" s="28" t="s">
        <v>9639</v>
      </c>
      <c r="P2921" s="28" t="s">
        <v>16136</v>
      </c>
    </row>
    <row r="2922" spans="1:16" x14ac:dyDescent="0.25">
      <c r="A2922" s="28" t="s">
        <v>16137</v>
      </c>
      <c r="B2922" s="28" t="s">
        <v>16138</v>
      </c>
      <c r="C2922" s="28" t="s">
        <v>132</v>
      </c>
      <c r="D2922" s="28" t="s">
        <v>5979</v>
      </c>
      <c r="E2922" s="28" t="s">
        <v>9609</v>
      </c>
      <c r="F2922" s="28" t="s">
        <v>21</v>
      </c>
      <c r="G2922" s="28" t="s">
        <v>135</v>
      </c>
      <c r="H2922" s="28" t="s">
        <v>9633</v>
      </c>
      <c r="I2922" s="28" t="s">
        <v>16139</v>
      </c>
      <c r="J2922" s="28" t="s">
        <v>135</v>
      </c>
      <c r="K2922" s="28" t="s">
        <v>10125</v>
      </c>
      <c r="L2922" s="28" t="s">
        <v>9636</v>
      </c>
      <c r="M2922" s="28" t="s">
        <v>16140</v>
      </c>
      <c r="N2922" s="28" t="s">
        <v>9638</v>
      </c>
      <c r="O2922" s="28" t="s">
        <v>9639</v>
      </c>
      <c r="P2922" s="28" t="s">
        <v>16141</v>
      </c>
    </row>
    <row r="2923" spans="1:16" x14ac:dyDescent="0.25">
      <c r="A2923" s="28" t="s">
        <v>16142</v>
      </c>
      <c r="B2923" s="28" t="s">
        <v>16143</v>
      </c>
      <c r="C2923" s="28" t="s">
        <v>132</v>
      </c>
      <c r="D2923" s="28" t="s">
        <v>5979</v>
      </c>
      <c r="E2923" s="28" t="s">
        <v>9609</v>
      </c>
      <c r="F2923" s="28" t="s">
        <v>21</v>
      </c>
      <c r="G2923" s="28" t="s">
        <v>135</v>
      </c>
      <c r="H2923" s="28" t="s">
        <v>9633</v>
      </c>
      <c r="I2923" s="28" t="s">
        <v>16144</v>
      </c>
      <c r="J2923" s="28" t="s">
        <v>135</v>
      </c>
      <c r="K2923" s="28" t="s">
        <v>10125</v>
      </c>
      <c r="L2923" s="28" t="s">
        <v>9636</v>
      </c>
      <c r="M2923" s="28" t="s">
        <v>16140</v>
      </c>
      <c r="N2923" s="28" t="s">
        <v>9638</v>
      </c>
      <c r="O2923" s="28" t="s">
        <v>9639</v>
      </c>
      <c r="P2923" s="28" t="s">
        <v>16145</v>
      </c>
    </row>
    <row r="2924" spans="1:16" x14ac:dyDescent="0.25">
      <c r="A2924" s="28" t="s">
        <v>16146</v>
      </c>
      <c r="B2924" s="28" t="s">
        <v>16147</v>
      </c>
      <c r="C2924" s="28" t="s">
        <v>132</v>
      </c>
      <c r="D2924" s="28" t="s">
        <v>5979</v>
      </c>
      <c r="E2924" s="28" t="s">
        <v>9609</v>
      </c>
      <c r="F2924" s="28" t="s">
        <v>21</v>
      </c>
      <c r="G2924" s="28" t="s">
        <v>39</v>
      </c>
      <c r="H2924" s="28" t="s">
        <v>10259</v>
      </c>
      <c r="I2924" s="28" t="s">
        <v>16148</v>
      </c>
      <c r="J2924" s="28" t="s">
        <v>39</v>
      </c>
      <c r="K2924" s="28" t="s">
        <v>10261</v>
      </c>
      <c r="L2924" s="28" t="s">
        <v>10262</v>
      </c>
      <c r="M2924" s="28" t="s">
        <v>16149</v>
      </c>
      <c r="N2924" s="28" t="s">
        <v>10264</v>
      </c>
      <c r="O2924" s="28" t="s">
        <v>10265</v>
      </c>
      <c r="P2924" s="28" t="s">
        <v>10266</v>
      </c>
    </row>
    <row r="2925" spans="1:16" x14ac:dyDescent="0.25">
      <c r="A2925" s="28" t="s">
        <v>16150</v>
      </c>
      <c r="B2925" s="28" t="s">
        <v>16151</v>
      </c>
      <c r="C2925" s="28" t="s">
        <v>132</v>
      </c>
      <c r="D2925" s="28" t="s">
        <v>5979</v>
      </c>
      <c r="E2925" s="28" t="s">
        <v>9609</v>
      </c>
      <c r="F2925" s="28" t="s">
        <v>21</v>
      </c>
      <c r="G2925" s="28" t="s">
        <v>135</v>
      </c>
      <c r="H2925" s="28" t="s">
        <v>9633</v>
      </c>
      <c r="I2925" s="28" t="s">
        <v>16152</v>
      </c>
      <c r="J2925" s="28" t="s">
        <v>135</v>
      </c>
      <c r="K2925" s="28" t="s">
        <v>10125</v>
      </c>
      <c r="L2925" s="28" t="s">
        <v>9636</v>
      </c>
      <c r="M2925" s="28" t="s">
        <v>16153</v>
      </c>
      <c r="N2925" s="28" t="s">
        <v>9638</v>
      </c>
      <c r="O2925" s="28" t="s">
        <v>9639</v>
      </c>
      <c r="P2925" s="28" t="s">
        <v>16154</v>
      </c>
    </row>
    <row r="2926" spans="1:16" x14ac:dyDescent="0.25">
      <c r="A2926" s="28" t="s">
        <v>16155</v>
      </c>
      <c r="B2926" s="28" t="s">
        <v>16156</v>
      </c>
      <c r="C2926" s="28" t="s">
        <v>132</v>
      </c>
      <c r="D2926" s="28" t="s">
        <v>5979</v>
      </c>
      <c r="E2926" s="28" t="s">
        <v>9609</v>
      </c>
      <c r="F2926" s="28" t="s">
        <v>21</v>
      </c>
      <c r="G2926" s="28" t="s">
        <v>135</v>
      </c>
      <c r="H2926" s="28" t="s">
        <v>9633</v>
      </c>
      <c r="I2926" s="28" t="s">
        <v>16157</v>
      </c>
      <c r="J2926" s="28" t="s">
        <v>135</v>
      </c>
      <c r="K2926" s="28" t="s">
        <v>10125</v>
      </c>
      <c r="L2926" s="28" t="s">
        <v>9636</v>
      </c>
      <c r="M2926" s="28" t="s">
        <v>16153</v>
      </c>
      <c r="N2926" s="28" t="s">
        <v>9638</v>
      </c>
      <c r="O2926" s="28" t="s">
        <v>9639</v>
      </c>
      <c r="P2926" s="28" t="s">
        <v>16158</v>
      </c>
    </row>
    <row r="2927" spans="1:16" x14ac:dyDescent="0.25">
      <c r="A2927" s="28" t="s">
        <v>16159</v>
      </c>
      <c r="B2927" s="28" t="s">
        <v>16160</v>
      </c>
      <c r="C2927" s="28" t="s">
        <v>132</v>
      </c>
      <c r="D2927" s="28" t="s">
        <v>5979</v>
      </c>
      <c r="E2927" s="28" t="s">
        <v>9609</v>
      </c>
      <c r="F2927" s="28" t="s">
        <v>21</v>
      </c>
      <c r="G2927" s="28" t="s">
        <v>39</v>
      </c>
      <c r="H2927" s="28" t="s">
        <v>10259</v>
      </c>
      <c r="I2927" s="28" t="s">
        <v>16161</v>
      </c>
      <c r="J2927" s="28" t="s">
        <v>39</v>
      </c>
      <c r="K2927" s="28" t="s">
        <v>10261</v>
      </c>
      <c r="L2927" s="28" t="s">
        <v>10262</v>
      </c>
      <c r="M2927" s="28" t="s">
        <v>16162</v>
      </c>
      <c r="N2927" s="28" t="s">
        <v>10264</v>
      </c>
      <c r="O2927" s="28" t="s">
        <v>10265</v>
      </c>
      <c r="P2927" s="28" t="s">
        <v>10266</v>
      </c>
    </row>
    <row r="2928" spans="1:16" x14ac:dyDescent="0.25">
      <c r="A2928" s="28" t="s">
        <v>16163</v>
      </c>
      <c r="B2928" s="28" t="s">
        <v>16164</v>
      </c>
      <c r="C2928" s="28" t="s">
        <v>132</v>
      </c>
      <c r="D2928" s="28" t="s">
        <v>5979</v>
      </c>
      <c r="E2928" s="28" t="s">
        <v>16165</v>
      </c>
      <c r="F2928" s="28" t="s">
        <v>21</v>
      </c>
      <c r="G2928" s="28" t="s">
        <v>135</v>
      </c>
      <c r="H2928" s="28" t="s">
        <v>9633</v>
      </c>
      <c r="I2928" s="28" t="s">
        <v>16166</v>
      </c>
      <c r="J2928" s="28" t="s">
        <v>135</v>
      </c>
      <c r="K2928" s="28" t="s">
        <v>10125</v>
      </c>
      <c r="L2928" s="28" t="s">
        <v>9636</v>
      </c>
      <c r="M2928" s="28" t="s">
        <v>16167</v>
      </c>
      <c r="N2928" s="28" t="s">
        <v>9638</v>
      </c>
      <c r="O2928" s="28" t="s">
        <v>9639</v>
      </c>
      <c r="P2928" s="28" t="s">
        <v>16168</v>
      </c>
    </row>
    <row r="2929" spans="1:16" x14ac:dyDescent="0.25">
      <c r="A2929" s="28" t="s">
        <v>16169</v>
      </c>
      <c r="B2929" s="28" t="s">
        <v>16170</v>
      </c>
      <c r="C2929" s="28" t="s">
        <v>132</v>
      </c>
      <c r="D2929" s="28" t="s">
        <v>5979</v>
      </c>
      <c r="E2929" s="28" t="s">
        <v>16165</v>
      </c>
      <c r="F2929" s="28" t="s">
        <v>21</v>
      </c>
      <c r="G2929" s="28" t="s">
        <v>135</v>
      </c>
      <c r="H2929" s="28" t="s">
        <v>9633</v>
      </c>
      <c r="I2929" s="28" t="s">
        <v>16171</v>
      </c>
      <c r="J2929" s="28" t="s">
        <v>135</v>
      </c>
      <c r="K2929" s="28" t="s">
        <v>10125</v>
      </c>
      <c r="L2929" s="28" t="s">
        <v>9636</v>
      </c>
      <c r="M2929" s="28" t="s">
        <v>16167</v>
      </c>
      <c r="N2929" s="28" t="s">
        <v>9638</v>
      </c>
      <c r="O2929" s="28" t="s">
        <v>9639</v>
      </c>
      <c r="P2929" s="28" t="s">
        <v>16172</v>
      </c>
    </row>
    <row r="2930" spans="1:16" x14ac:dyDescent="0.25">
      <c r="A2930" s="28" t="s">
        <v>16173</v>
      </c>
      <c r="B2930" s="28" t="s">
        <v>16174</v>
      </c>
      <c r="C2930" s="28" t="s">
        <v>132</v>
      </c>
      <c r="D2930" s="28" t="s">
        <v>5979</v>
      </c>
      <c r="E2930" s="28" t="s">
        <v>16165</v>
      </c>
      <c r="F2930" s="28" t="s">
        <v>21</v>
      </c>
      <c r="G2930" s="28" t="s">
        <v>135</v>
      </c>
      <c r="H2930" s="28" t="s">
        <v>9633</v>
      </c>
      <c r="I2930" s="28" t="s">
        <v>16175</v>
      </c>
      <c r="J2930" s="28" t="s">
        <v>135</v>
      </c>
      <c r="K2930" s="28" t="s">
        <v>10125</v>
      </c>
      <c r="L2930" s="28" t="s">
        <v>9636</v>
      </c>
      <c r="M2930" s="28" t="s">
        <v>16167</v>
      </c>
      <c r="N2930" s="28" t="s">
        <v>9638</v>
      </c>
      <c r="O2930" s="28" t="s">
        <v>9639</v>
      </c>
      <c r="P2930" s="28" t="s">
        <v>16176</v>
      </c>
    </row>
    <row r="2931" spans="1:16" x14ac:dyDescent="0.25">
      <c r="A2931" s="28" t="s">
        <v>16177</v>
      </c>
      <c r="B2931" s="28" t="s">
        <v>16178</v>
      </c>
      <c r="C2931" s="28" t="s">
        <v>132</v>
      </c>
      <c r="D2931" s="28" t="s">
        <v>5979</v>
      </c>
      <c r="E2931" s="28" t="s">
        <v>16179</v>
      </c>
      <c r="F2931" s="28" t="s">
        <v>21</v>
      </c>
      <c r="G2931" s="28" t="s">
        <v>135</v>
      </c>
      <c r="H2931" s="28" t="s">
        <v>9633</v>
      </c>
      <c r="I2931" s="28" t="s">
        <v>16180</v>
      </c>
      <c r="J2931" s="28" t="s">
        <v>135</v>
      </c>
      <c r="K2931" s="28" t="s">
        <v>10125</v>
      </c>
      <c r="L2931" s="28" t="s">
        <v>9636</v>
      </c>
      <c r="M2931" s="28" t="s">
        <v>16181</v>
      </c>
      <c r="N2931" s="28" t="s">
        <v>9638</v>
      </c>
      <c r="O2931" s="28" t="s">
        <v>9639</v>
      </c>
      <c r="P2931" s="28" t="s">
        <v>16182</v>
      </c>
    </row>
    <row r="2932" spans="1:16" x14ac:dyDescent="0.25">
      <c r="A2932" s="28" t="s">
        <v>16183</v>
      </c>
      <c r="B2932" s="28" t="s">
        <v>16184</v>
      </c>
      <c r="C2932" s="28" t="s">
        <v>132</v>
      </c>
      <c r="D2932" s="28" t="s">
        <v>5979</v>
      </c>
      <c r="E2932" s="28" t="s">
        <v>16179</v>
      </c>
      <c r="F2932" s="28" t="s">
        <v>21</v>
      </c>
      <c r="G2932" s="28" t="s">
        <v>135</v>
      </c>
      <c r="H2932" s="28" t="s">
        <v>9633</v>
      </c>
      <c r="I2932" s="28" t="s">
        <v>16185</v>
      </c>
      <c r="J2932" s="28" t="s">
        <v>135</v>
      </c>
      <c r="K2932" s="28" t="s">
        <v>10125</v>
      </c>
      <c r="L2932" s="28" t="s">
        <v>9636</v>
      </c>
      <c r="M2932" s="28" t="s">
        <v>16181</v>
      </c>
      <c r="N2932" s="28" t="s">
        <v>9638</v>
      </c>
      <c r="O2932" s="28" t="s">
        <v>9639</v>
      </c>
      <c r="P2932" s="28" t="s">
        <v>16186</v>
      </c>
    </row>
    <row r="2933" spans="1:16" x14ac:dyDescent="0.25">
      <c r="A2933" s="28" t="s">
        <v>16187</v>
      </c>
      <c r="B2933" s="28" t="s">
        <v>16188</v>
      </c>
      <c r="C2933" s="28" t="s">
        <v>132</v>
      </c>
      <c r="D2933" s="28" t="s">
        <v>5979</v>
      </c>
      <c r="E2933" s="28" t="s">
        <v>16179</v>
      </c>
      <c r="F2933" s="28" t="s">
        <v>21</v>
      </c>
      <c r="G2933" s="28" t="s">
        <v>135</v>
      </c>
      <c r="H2933" s="28" t="s">
        <v>9633</v>
      </c>
      <c r="I2933" s="28" t="s">
        <v>16189</v>
      </c>
      <c r="J2933" s="28" t="s">
        <v>135</v>
      </c>
      <c r="K2933" s="28" t="s">
        <v>10125</v>
      </c>
      <c r="L2933" s="28" t="s">
        <v>9636</v>
      </c>
      <c r="M2933" s="28" t="s">
        <v>16181</v>
      </c>
      <c r="N2933" s="28" t="s">
        <v>9638</v>
      </c>
      <c r="O2933" s="28" t="s">
        <v>9639</v>
      </c>
      <c r="P2933" s="28" t="s">
        <v>16190</v>
      </c>
    </row>
    <row r="2934" spans="1:16" x14ac:dyDescent="0.25">
      <c r="A2934" s="28" t="s">
        <v>16191</v>
      </c>
      <c r="B2934" s="28" t="s">
        <v>16192</v>
      </c>
      <c r="C2934" s="28" t="s">
        <v>132</v>
      </c>
      <c r="D2934" s="28" t="s">
        <v>5979</v>
      </c>
      <c r="E2934" s="28" t="s">
        <v>16193</v>
      </c>
      <c r="F2934" s="28" t="s">
        <v>21</v>
      </c>
      <c r="G2934" s="28" t="s">
        <v>135</v>
      </c>
      <c r="H2934" s="28" t="s">
        <v>9633</v>
      </c>
      <c r="I2934" s="28" t="s">
        <v>16194</v>
      </c>
      <c r="J2934" s="28" t="s">
        <v>135</v>
      </c>
      <c r="K2934" s="28" t="s">
        <v>10125</v>
      </c>
      <c r="L2934" s="28" t="s">
        <v>9636</v>
      </c>
      <c r="M2934" s="28" t="s">
        <v>16195</v>
      </c>
      <c r="N2934" s="28" t="s">
        <v>9638</v>
      </c>
      <c r="O2934" s="28" t="s">
        <v>9639</v>
      </c>
      <c r="P2934" s="28" t="s">
        <v>16196</v>
      </c>
    </row>
    <row r="2935" spans="1:16" x14ac:dyDescent="0.25">
      <c r="A2935" s="28" t="s">
        <v>16197</v>
      </c>
      <c r="B2935" s="28" t="s">
        <v>16198</v>
      </c>
      <c r="C2935" s="28" t="s">
        <v>132</v>
      </c>
      <c r="D2935" s="28" t="s">
        <v>5979</v>
      </c>
      <c r="E2935" s="28" t="s">
        <v>16193</v>
      </c>
      <c r="F2935" s="28" t="s">
        <v>21</v>
      </c>
      <c r="G2935" s="28" t="s">
        <v>135</v>
      </c>
      <c r="H2935" s="28" t="s">
        <v>9633</v>
      </c>
      <c r="I2935" s="28" t="s">
        <v>16199</v>
      </c>
      <c r="J2935" s="28" t="s">
        <v>135</v>
      </c>
      <c r="K2935" s="28" t="s">
        <v>10125</v>
      </c>
      <c r="L2935" s="28" t="s">
        <v>9636</v>
      </c>
      <c r="M2935" s="28" t="s">
        <v>16195</v>
      </c>
      <c r="N2935" s="28" t="s">
        <v>9638</v>
      </c>
      <c r="O2935" s="28" t="s">
        <v>9639</v>
      </c>
      <c r="P2935" s="28" t="s">
        <v>16200</v>
      </c>
    </row>
    <row r="2936" spans="1:16" x14ac:dyDescent="0.25">
      <c r="A2936" s="28" t="s">
        <v>16201</v>
      </c>
      <c r="B2936" s="28" t="s">
        <v>16202</v>
      </c>
      <c r="C2936" s="28" t="s">
        <v>132</v>
      </c>
      <c r="D2936" s="28" t="s">
        <v>5979</v>
      </c>
      <c r="E2936" s="28" t="s">
        <v>16193</v>
      </c>
      <c r="F2936" s="28" t="s">
        <v>21</v>
      </c>
      <c r="G2936" s="28" t="s">
        <v>135</v>
      </c>
      <c r="H2936" s="28" t="s">
        <v>9633</v>
      </c>
      <c r="I2936" s="28" t="s">
        <v>16203</v>
      </c>
      <c r="J2936" s="28" t="s">
        <v>135</v>
      </c>
      <c r="K2936" s="28" t="s">
        <v>10125</v>
      </c>
      <c r="L2936" s="28" t="s">
        <v>9636</v>
      </c>
      <c r="M2936" s="28" t="s">
        <v>16195</v>
      </c>
      <c r="N2936" s="28" t="s">
        <v>9638</v>
      </c>
      <c r="O2936" s="28" t="s">
        <v>9639</v>
      </c>
      <c r="P2936" s="28" t="s">
        <v>16204</v>
      </c>
    </row>
    <row r="2937" spans="1:16" x14ac:dyDescent="0.25">
      <c r="A2937" s="28" t="s">
        <v>16205</v>
      </c>
      <c r="B2937" s="28" t="s">
        <v>16206</v>
      </c>
      <c r="C2937" s="28" t="s">
        <v>132</v>
      </c>
      <c r="D2937" s="28" t="s">
        <v>5979</v>
      </c>
      <c r="E2937" s="28" t="s">
        <v>6087</v>
      </c>
      <c r="F2937" s="28" t="s">
        <v>21</v>
      </c>
      <c r="G2937" s="28" t="s">
        <v>135</v>
      </c>
      <c r="H2937" s="28" t="s">
        <v>9633</v>
      </c>
      <c r="I2937" s="28" t="s">
        <v>16207</v>
      </c>
      <c r="J2937" s="28" t="s">
        <v>135</v>
      </c>
      <c r="K2937" s="28" t="s">
        <v>10125</v>
      </c>
      <c r="L2937" s="28" t="s">
        <v>9636</v>
      </c>
      <c r="M2937" s="28" t="s">
        <v>16208</v>
      </c>
      <c r="N2937" s="28" t="s">
        <v>9638</v>
      </c>
      <c r="O2937" s="28" t="s">
        <v>9639</v>
      </c>
      <c r="P2937" s="28" t="s">
        <v>16209</v>
      </c>
    </row>
    <row r="2938" spans="1:16" x14ac:dyDescent="0.25">
      <c r="A2938" s="28" t="s">
        <v>16210</v>
      </c>
      <c r="B2938" s="28" t="s">
        <v>16211</v>
      </c>
      <c r="C2938" s="28" t="s">
        <v>132</v>
      </c>
      <c r="D2938" s="28" t="s">
        <v>5979</v>
      </c>
      <c r="E2938" s="28" t="s">
        <v>6087</v>
      </c>
      <c r="F2938" s="28" t="s">
        <v>21</v>
      </c>
      <c r="G2938" s="28" t="s">
        <v>135</v>
      </c>
      <c r="H2938" s="28" t="s">
        <v>9633</v>
      </c>
      <c r="I2938" s="28" t="s">
        <v>16212</v>
      </c>
      <c r="J2938" s="28" t="s">
        <v>135</v>
      </c>
      <c r="K2938" s="28" t="s">
        <v>10125</v>
      </c>
      <c r="L2938" s="28" t="s">
        <v>9636</v>
      </c>
      <c r="M2938" s="28" t="s">
        <v>16208</v>
      </c>
      <c r="N2938" s="28" t="s">
        <v>9638</v>
      </c>
      <c r="O2938" s="28" t="s">
        <v>9639</v>
      </c>
      <c r="P2938" s="28" t="s">
        <v>16213</v>
      </c>
    </row>
    <row r="2939" spans="1:16" x14ac:dyDescent="0.25">
      <c r="A2939" s="28" t="s">
        <v>16214</v>
      </c>
      <c r="B2939" s="28" t="s">
        <v>16215</v>
      </c>
      <c r="C2939" s="28" t="s">
        <v>132</v>
      </c>
      <c r="D2939" s="28" t="s">
        <v>5979</v>
      </c>
      <c r="E2939" s="28" t="s">
        <v>6087</v>
      </c>
      <c r="F2939" s="28" t="s">
        <v>21</v>
      </c>
      <c r="G2939" s="28" t="s">
        <v>135</v>
      </c>
      <c r="H2939" s="28" t="s">
        <v>9633</v>
      </c>
      <c r="I2939" s="28" t="s">
        <v>16216</v>
      </c>
      <c r="J2939" s="28" t="s">
        <v>135</v>
      </c>
      <c r="K2939" s="28" t="s">
        <v>10125</v>
      </c>
      <c r="L2939" s="28" t="s">
        <v>9636</v>
      </c>
      <c r="M2939" s="28" t="s">
        <v>16208</v>
      </c>
      <c r="N2939" s="28" t="s">
        <v>9638</v>
      </c>
      <c r="O2939" s="28" t="s">
        <v>9639</v>
      </c>
      <c r="P2939" s="28" t="s">
        <v>16217</v>
      </c>
    </row>
    <row r="2940" spans="1:16" x14ac:dyDescent="0.25">
      <c r="A2940" s="28" t="s">
        <v>16218</v>
      </c>
      <c r="B2940" s="28" t="s">
        <v>16219</v>
      </c>
      <c r="C2940" s="28" t="s">
        <v>1684</v>
      </c>
      <c r="D2940" s="28" t="s">
        <v>7132</v>
      </c>
      <c r="E2940" s="28" t="s">
        <v>16220</v>
      </c>
      <c r="F2940" s="28" t="s">
        <v>21</v>
      </c>
      <c r="G2940" s="28" t="s">
        <v>39</v>
      </c>
      <c r="H2940" s="28" t="s">
        <v>16221</v>
      </c>
      <c r="I2940" s="28" t="s">
        <v>16222</v>
      </c>
      <c r="J2940" s="28" t="s">
        <v>39</v>
      </c>
      <c r="K2940" s="28" t="s">
        <v>16223</v>
      </c>
      <c r="L2940" s="28" t="s">
        <v>16224</v>
      </c>
      <c r="M2940" s="28" t="s">
        <v>16225</v>
      </c>
      <c r="N2940" s="28" t="s">
        <v>16226</v>
      </c>
      <c r="O2940" s="28" t="s">
        <v>16227</v>
      </c>
      <c r="P2940" s="28" t="s">
        <v>16228</v>
      </c>
    </row>
    <row r="2941" spans="1:16" x14ac:dyDescent="0.25">
      <c r="A2941" s="28" t="s">
        <v>16229</v>
      </c>
      <c r="B2941" s="28" t="s">
        <v>16230</v>
      </c>
      <c r="C2941" s="28" t="s">
        <v>1684</v>
      </c>
      <c r="D2941" s="28" t="s">
        <v>7132</v>
      </c>
      <c r="E2941" s="28" t="s">
        <v>16220</v>
      </c>
      <c r="F2941" s="28" t="s">
        <v>21</v>
      </c>
      <c r="G2941" s="28" t="s">
        <v>39</v>
      </c>
      <c r="H2941" s="28" t="s">
        <v>16221</v>
      </c>
      <c r="I2941" s="28" t="s">
        <v>16231</v>
      </c>
      <c r="J2941" s="28" t="s">
        <v>39</v>
      </c>
      <c r="K2941" s="28" t="s">
        <v>16223</v>
      </c>
      <c r="L2941" s="28" t="s">
        <v>16224</v>
      </c>
      <c r="M2941" s="28" t="s">
        <v>16232</v>
      </c>
      <c r="N2941" s="28" t="s">
        <v>16226</v>
      </c>
      <c r="O2941" s="28" t="s">
        <v>16227</v>
      </c>
      <c r="P2941" s="28" t="s">
        <v>16228</v>
      </c>
    </row>
    <row r="2942" spans="1:16" x14ac:dyDescent="0.25">
      <c r="A2942" s="28" t="s">
        <v>16233</v>
      </c>
      <c r="B2942" s="28" t="s">
        <v>16234</v>
      </c>
      <c r="C2942" s="28" t="s">
        <v>1684</v>
      </c>
      <c r="D2942" s="28" t="s">
        <v>7132</v>
      </c>
      <c r="E2942" s="28" t="s">
        <v>1427</v>
      </c>
      <c r="F2942" s="28" t="s">
        <v>21</v>
      </c>
      <c r="G2942" s="28" t="s">
        <v>39</v>
      </c>
      <c r="H2942" s="28" t="s">
        <v>16221</v>
      </c>
      <c r="I2942" s="28" t="s">
        <v>16235</v>
      </c>
      <c r="J2942" s="28" t="s">
        <v>39</v>
      </c>
      <c r="K2942" s="28" t="s">
        <v>16223</v>
      </c>
      <c r="L2942" s="28" t="s">
        <v>16224</v>
      </c>
      <c r="M2942" s="28" t="s">
        <v>16236</v>
      </c>
      <c r="N2942" s="28" t="s">
        <v>16226</v>
      </c>
      <c r="O2942" s="28" t="s">
        <v>16227</v>
      </c>
      <c r="P2942" s="28" t="s">
        <v>16237</v>
      </c>
    </row>
    <row r="2943" spans="1:16" x14ac:dyDescent="0.25">
      <c r="A2943" s="28" t="s">
        <v>16238</v>
      </c>
      <c r="B2943" s="28" t="s">
        <v>16239</v>
      </c>
      <c r="C2943" s="28" t="s">
        <v>1684</v>
      </c>
      <c r="D2943" s="28" t="s">
        <v>7132</v>
      </c>
      <c r="E2943" s="28" t="s">
        <v>1427</v>
      </c>
      <c r="F2943" s="28" t="s">
        <v>21</v>
      </c>
      <c r="G2943" s="28" t="s">
        <v>39</v>
      </c>
      <c r="H2943" s="28" t="s">
        <v>16221</v>
      </c>
      <c r="I2943" s="28" t="s">
        <v>16240</v>
      </c>
      <c r="J2943" s="28" t="s">
        <v>39</v>
      </c>
      <c r="K2943" s="28" t="s">
        <v>16223</v>
      </c>
      <c r="L2943" s="28" t="s">
        <v>16224</v>
      </c>
      <c r="M2943" s="28" t="s">
        <v>16241</v>
      </c>
      <c r="N2943" s="28" t="s">
        <v>16226</v>
      </c>
      <c r="O2943" s="28" t="s">
        <v>16227</v>
      </c>
      <c r="P2943" s="28" t="s">
        <v>16237</v>
      </c>
    </row>
    <row r="2944" spans="1:16" x14ac:dyDescent="0.25">
      <c r="A2944" s="28" t="s">
        <v>16242</v>
      </c>
      <c r="B2944" s="28" t="s">
        <v>16243</v>
      </c>
      <c r="C2944" s="28" t="s">
        <v>1684</v>
      </c>
      <c r="D2944" s="28" t="s">
        <v>7132</v>
      </c>
      <c r="E2944" s="28" t="s">
        <v>16244</v>
      </c>
      <c r="F2944" s="28" t="s">
        <v>21</v>
      </c>
      <c r="G2944" s="28" t="s">
        <v>39</v>
      </c>
      <c r="H2944" s="28" t="s">
        <v>16221</v>
      </c>
      <c r="I2944" s="28" t="s">
        <v>16245</v>
      </c>
      <c r="J2944" s="28" t="s">
        <v>39</v>
      </c>
      <c r="K2944" s="28" t="s">
        <v>16223</v>
      </c>
      <c r="L2944" s="28" t="s">
        <v>16224</v>
      </c>
      <c r="M2944" s="28" t="s">
        <v>16246</v>
      </c>
      <c r="N2944" s="28" t="s">
        <v>16226</v>
      </c>
      <c r="O2944" s="28" t="s">
        <v>16227</v>
      </c>
      <c r="P2944" s="28" t="s">
        <v>16247</v>
      </c>
    </row>
    <row r="2945" spans="1:16" x14ac:dyDescent="0.25">
      <c r="A2945" s="28" t="s">
        <v>16248</v>
      </c>
      <c r="B2945" s="28" t="s">
        <v>16249</v>
      </c>
      <c r="C2945" s="28" t="s">
        <v>1684</v>
      </c>
      <c r="D2945" s="28" t="s">
        <v>7132</v>
      </c>
      <c r="E2945" s="28" t="s">
        <v>16244</v>
      </c>
      <c r="F2945" s="28" t="s">
        <v>21</v>
      </c>
      <c r="G2945" s="28" t="s">
        <v>39</v>
      </c>
      <c r="H2945" s="28" t="s">
        <v>16221</v>
      </c>
      <c r="I2945" s="28" t="s">
        <v>16250</v>
      </c>
      <c r="J2945" s="28" t="s">
        <v>39</v>
      </c>
      <c r="K2945" s="28" t="s">
        <v>16223</v>
      </c>
      <c r="L2945" s="28" t="s">
        <v>16224</v>
      </c>
      <c r="M2945" s="28" t="s">
        <v>16251</v>
      </c>
      <c r="N2945" s="28" t="s">
        <v>16226</v>
      </c>
      <c r="O2945" s="28" t="s">
        <v>16227</v>
      </c>
      <c r="P2945" s="28" t="s">
        <v>16247</v>
      </c>
    </row>
    <row r="2946" spans="1:16" x14ac:dyDescent="0.25">
      <c r="A2946" s="28" t="s">
        <v>16252</v>
      </c>
      <c r="B2946" s="28" t="s">
        <v>16253</v>
      </c>
      <c r="C2946" s="28" t="s">
        <v>1684</v>
      </c>
      <c r="D2946" s="28" t="s">
        <v>7132</v>
      </c>
      <c r="E2946" s="28" t="s">
        <v>16254</v>
      </c>
      <c r="F2946" s="28" t="s">
        <v>21</v>
      </c>
      <c r="G2946" s="28" t="s">
        <v>39</v>
      </c>
      <c r="H2946" s="28" t="s">
        <v>16221</v>
      </c>
      <c r="I2946" s="28" t="s">
        <v>16255</v>
      </c>
      <c r="J2946" s="28" t="s">
        <v>39</v>
      </c>
      <c r="K2946" s="28" t="s">
        <v>16223</v>
      </c>
      <c r="L2946" s="28" t="s">
        <v>16224</v>
      </c>
      <c r="M2946" s="28" t="s">
        <v>16256</v>
      </c>
      <c r="N2946" s="28" t="s">
        <v>16226</v>
      </c>
      <c r="O2946" s="28" t="s">
        <v>16227</v>
      </c>
      <c r="P2946" s="28" t="s">
        <v>16257</v>
      </c>
    </row>
    <row r="2947" spans="1:16" x14ac:dyDescent="0.25">
      <c r="A2947" s="28" t="s">
        <v>16258</v>
      </c>
      <c r="B2947" s="28" t="s">
        <v>16259</v>
      </c>
      <c r="C2947" s="28" t="s">
        <v>1684</v>
      </c>
      <c r="D2947" s="28" t="s">
        <v>7132</v>
      </c>
      <c r="E2947" s="28" t="s">
        <v>16254</v>
      </c>
      <c r="F2947" s="28" t="s">
        <v>21</v>
      </c>
      <c r="G2947" s="28" t="s">
        <v>39</v>
      </c>
      <c r="H2947" s="28" t="s">
        <v>16221</v>
      </c>
      <c r="I2947" s="28" t="s">
        <v>16260</v>
      </c>
      <c r="J2947" s="28" t="s">
        <v>39</v>
      </c>
      <c r="K2947" s="28" t="s">
        <v>16223</v>
      </c>
      <c r="L2947" s="28" t="s">
        <v>16224</v>
      </c>
      <c r="M2947" s="28" t="s">
        <v>16261</v>
      </c>
      <c r="N2947" s="28" t="s">
        <v>16226</v>
      </c>
      <c r="O2947" s="28" t="s">
        <v>16227</v>
      </c>
      <c r="P2947" s="28" t="s">
        <v>16257</v>
      </c>
    </row>
    <row r="2948" spans="1:16" x14ac:dyDescent="0.25">
      <c r="A2948" s="28" t="s">
        <v>16262</v>
      </c>
      <c r="B2948" s="28" t="s">
        <v>16263</v>
      </c>
      <c r="C2948" s="28" t="s">
        <v>1684</v>
      </c>
      <c r="D2948" s="28" t="s">
        <v>1810</v>
      </c>
      <c r="E2948" s="28" t="s">
        <v>16264</v>
      </c>
      <c r="F2948" s="28" t="s">
        <v>21</v>
      </c>
      <c r="G2948" s="28" t="s">
        <v>39</v>
      </c>
      <c r="H2948" s="28" t="s">
        <v>16221</v>
      </c>
      <c r="I2948" s="28" t="s">
        <v>16265</v>
      </c>
      <c r="J2948" s="28" t="s">
        <v>39</v>
      </c>
      <c r="K2948" s="28" t="s">
        <v>16223</v>
      </c>
      <c r="L2948" s="28" t="s">
        <v>16224</v>
      </c>
      <c r="M2948" s="28" t="s">
        <v>16266</v>
      </c>
      <c r="N2948" s="28" t="s">
        <v>16226</v>
      </c>
      <c r="O2948" s="28" t="s">
        <v>16227</v>
      </c>
      <c r="P2948" s="28" t="s">
        <v>16267</v>
      </c>
    </row>
    <row r="2949" spans="1:16" x14ac:dyDescent="0.25">
      <c r="A2949" s="28" t="s">
        <v>16268</v>
      </c>
      <c r="B2949" s="28" t="s">
        <v>16269</v>
      </c>
      <c r="C2949" s="28" t="s">
        <v>1684</v>
      </c>
      <c r="D2949" s="28" t="s">
        <v>19</v>
      </c>
      <c r="E2949" s="28" t="s">
        <v>170</v>
      </c>
      <c r="F2949" s="28" t="s">
        <v>21</v>
      </c>
      <c r="G2949" s="28" t="s">
        <v>39</v>
      </c>
      <c r="H2949" s="28" t="s">
        <v>16221</v>
      </c>
      <c r="I2949" s="28" t="s">
        <v>16270</v>
      </c>
      <c r="J2949" s="28" t="s">
        <v>39</v>
      </c>
      <c r="K2949" s="28" t="s">
        <v>16223</v>
      </c>
      <c r="L2949" s="28" t="s">
        <v>16224</v>
      </c>
      <c r="M2949" s="28" t="s">
        <v>16271</v>
      </c>
      <c r="N2949" s="28" t="s">
        <v>16226</v>
      </c>
      <c r="O2949" s="28" t="s">
        <v>16227</v>
      </c>
      <c r="P2949" s="28" t="s">
        <v>16272</v>
      </c>
    </row>
    <row r="2950" spans="1:16" x14ac:dyDescent="0.25">
      <c r="A2950" s="28" t="s">
        <v>16273</v>
      </c>
      <c r="B2950" s="28" t="s">
        <v>16274</v>
      </c>
      <c r="C2950" s="28" t="s">
        <v>1684</v>
      </c>
      <c r="D2950" s="28" t="s">
        <v>19</v>
      </c>
      <c r="E2950" s="28" t="s">
        <v>4896</v>
      </c>
      <c r="F2950" s="28" t="s">
        <v>21</v>
      </c>
      <c r="G2950" s="28" t="s">
        <v>39</v>
      </c>
      <c r="H2950" s="28" t="s">
        <v>16221</v>
      </c>
      <c r="I2950" s="28" t="s">
        <v>16275</v>
      </c>
      <c r="J2950" s="28" t="s">
        <v>39</v>
      </c>
      <c r="K2950" s="28" t="s">
        <v>16223</v>
      </c>
      <c r="L2950" s="28" t="s">
        <v>16224</v>
      </c>
      <c r="M2950" s="28" t="s">
        <v>16276</v>
      </c>
      <c r="N2950" s="28" t="s">
        <v>16226</v>
      </c>
      <c r="O2950" s="28" t="s">
        <v>16227</v>
      </c>
      <c r="P2950" s="28" t="s">
        <v>16277</v>
      </c>
    </row>
    <row r="2951" spans="1:16" x14ac:dyDescent="0.25">
      <c r="A2951" s="28" t="s">
        <v>16278</v>
      </c>
      <c r="B2951" s="28" t="s">
        <v>16279</v>
      </c>
      <c r="C2951" s="28" t="s">
        <v>1684</v>
      </c>
      <c r="D2951" s="28" t="s">
        <v>19</v>
      </c>
      <c r="E2951" s="28" t="s">
        <v>4896</v>
      </c>
      <c r="F2951" s="28" t="s">
        <v>21</v>
      </c>
      <c r="G2951" s="28" t="s">
        <v>39</v>
      </c>
      <c r="H2951" s="28" t="s">
        <v>16221</v>
      </c>
      <c r="I2951" s="28" t="s">
        <v>16280</v>
      </c>
      <c r="J2951" s="28" t="s">
        <v>39</v>
      </c>
      <c r="K2951" s="28" t="s">
        <v>16223</v>
      </c>
      <c r="L2951" s="28" t="s">
        <v>16224</v>
      </c>
      <c r="M2951" s="28" t="s">
        <v>16281</v>
      </c>
      <c r="N2951" s="28" t="s">
        <v>16226</v>
      </c>
      <c r="O2951" s="28" t="s">
        <v>16227</v>
      </c>
      <c r="P2951" s="28" t="s">
        <v>16277</v>
      </c>
    </row>
    <row r="2952" spans="1:16" x14ac:dyDescent="0.25">
      <c r="A2952" s="28" t="s">
        <v>16282</v>
      </c>
      <c r="B2952" s="28" t="s">
        <v>16283</v>
      </c>
      <c r="C2952" s="28" t="s">
        <v>1684</v>
      </c>
      <c r="D2952" s="28" t="s">
        <v>19</v>
      </c>
      <c r="E2952" s="28" t="s">
        <v>4896</v>
      </c>
      <c r="F2952" s="28" t="s">
        <v>21</v>
      </c>
      <c r="G2952" s="28" t="s">
        <v>39</v>
      </c>
      <c r="H2952" s="28" t="s">
        <v>16221</v>
      </c>
      <c r="I2952" s="28" t="s">
        <v>16284</v>
      </c>
      <c r="J2952" s="28" t="s">
        <v>39</v>
      </c>
      <c r="K2952" s="28" t="s">
        <v>16223</v>
      </c>
      <c r="L2952" s="28" t="s">
        <v>16224</v>
      </c>
      <c r="M2952" s="28" t="s">
        <v>16285</v>
      </c>
      <c r="N2952" s="28" t="s">
        <v>16226</v>
      </c>
      <c r="O2952" s="28" t="s">
        <v>16227</v>
      </c>
      <c r="P2952" s="28" t="s">
        <v>16277</v>
      </c>
    </row>
    <row r="2953" spans="1:16" x14ac:dyDescent="0.25">
      <c r="A2953" s="28" t="s">
        <v>16286</v>
      </c>
      <c r="B2953" s="28" t="s">
        <v>16287</v>
      </c>
      <c r="C2953" s="28" t="s">
        <v>1684</v>
      </c>
      <c r="D2953" s="28" t="s">
        <v>19</v>
      </c>
      <c r="E2953" s="28" t="s">
        <v>4896</v>
      </c>
      <c r="F2953" s="28" t="s">
        <v>21</v>
      </c>
      <c r="G2953" s="28" t="s">
        <v>39</v>
      </c>
      <c r="H2953" s="28" t="s">
        <v>16221</v>
      </c>
      <c r="I2953" s="28" t="s">
        <v>16288</v>
      </c>
      <c r="J2953" s="28" t="s">
        <v>39</v>
      </c>
      <c r="K2953" s="28" t="s">
        <v>16223</v>
      </c>
      <c r="L2953" s="28" t="s">
        <v>16224</v>
      </c>
      <c r="M2953" s="28" t="s">
        <v>16289</v>
      </c>
      <c r="N2953" s="28" t="s">
        <v>16226</v>
      </c>
      <c r="O2953" s="28" t="s">
        <v>16227</v>
      </c>
      <c r="P2953" s="28" t="s">
        <v>16277</v>
      </c>
    </row>
    <row r="2954" spans="1:16" x14ac:dyDescent="0.25">
      <c r="A2954" s="28" t="s">
        <v>16290</v>
      </c>
      <c r="B2954" s="28" t="s">
        <v>16291</v>
      </c>
      <c r="C2954" s="28" t="s">
        <v>1684</v>
      </c>
      <c r="D2954" s="28" t="s">
        <v>19</v>
      </c>
      <c r="E2954" s="28" t="s">
        <v>144</v>
      </c>
      <c r="F2954" s="28" t="s">
        <v>21</v>
      </c>
      <c r="G2954" s="28" t="s">
        <v>39</v>
      </c>
      <c r="H2954" s="28" t="s">
        <v>16221</v>
      </c>
      <c r="I2954" s="28" t="s">
        <v>16292</v>
      </c>
      <c r="J2954" s="28" t="s">
        <v>39</v>
      </c>
      <c r="K2954" s="28" t="s">
        <v>16223</v>
      </c>
      <c r="L2954" s="28" t="s">
        <v>16224</v>
      </c>
      <c r="M2954" s="28" t="s">
        <v>16293</v>
      </c>
      <c r="N2954" s="28" t="s">
        <v>16226</v>
      </c>
      <c r="O2954" s="28" t="s">
        <v>16227</v>
      </c>
      <c r="P2954" s="28" t="s">
        <v>16294</v>
      </c>
    </row>
    <row r="2955" spans="1:16" x14ac:dyDescent="0.25">
      <c r="A2955" s="28" t="s">
        <v>16295</v>
      </c>
      <c r="B2955" s="28" t="s">
        <v>16296</v>
      </c>
      <c r="C2955" s="28" t="s">
        <v>1684</v>
      </c>
      <c r="D2955" s="28" t="s">
        <v>19</v>
      </c>
      <c r="E2955" s="28" t="s">
        <v>144</v>
      </c>
      <c r="F2955" s="28" t="s">
        <v>21</v>
      </c>
      <c r="G2955" s="28" t="s">
        <v>39</v>
      </c>
      <c r="H2955" s="28" t="s">
        <v>16221</v>
      </c>
      <c r="I2955" s="28" t="s">
        <v>16297</v>
      </c>
      <c r="J2955" s="28" t="s">
        <v>39</v>
      </c>
      <c r="K2955" s="28" t="s">
        <v>16223</v>
      </c>
      <c r="L2955" s="28" t="s">
        <v>16224</v>
      </c>
      <c r="M2955" s="28" t="s">
        <v>16298</v>
      </c>
      <c r="N2955" s="28" t="s">
        <v>16226</v>
      </c>
      <c r="O2955" s="28" t="s">
        <v>16227</v>
      </c>
      <c r="P2955" s="28" t="s">
        <v>16294</v>
      </c>
    </row>
    <row r="2956" spans="1:16" x14ac:dyDescent="0.25">
      <c r="A2956" s="28" t="s">
        <v>16299</v>
      </c>
      <c r="B2956" s="28" t="s">
        <v>16300</v>
      </c>
      <c r="C2956" s="28" t="s">
        <v>1684</v>
      </c>
      <c r="D2956" s="28" t="s">
        <v>19</v>
      </c>
      <c r="E2956" s="28" t="s">
        <v>183</v>
      </c>
      <c r="F2956" s="28" t="s">
        <v>21</v>
      </c>
      <c r="G2956" s="28" t="s">
        <v>39</v>
      </c>
      <c r="H2956" s="28" t="s">
        <v>16221</v>
      </c>
      <c r="I2956" s="28" t="s">
        <v>16301</v>
      </c>
      <c r="J2956" s="28" t="s">
        <v>39</v>
      </c>
      <c r="K2956" s="28" t="s">
        <v>16223</v>
      </c>
      <c r="L2956" s="28" t="s">
        <v>16224</v>
      </c>
      <c r="M2956" s="28" t="s">
        <v>16302</v>
      </c>
      <c r="N2956" s="28" t="s">
        <v>16226</v>
      </c>
      <c r="O2956" s="28" t="s">
        <v>16227</v>
      </c>
      <c r="P2956" s="28" t="s">
        <v>16303</v>
      </c>
    </row>
    <row r="2957" spans="1:16" x14ac:dyDescent="0.25">
      <c r="A2957" s="28" t="s">
        <v>16304</v>
      </c>
      <c r="B2957" s="28" t="s">
        <v>16305</v>
      </c>
      <c r="C2957" s="28" t="s">
        <v>1684</v>
      </c>
      <c r="D2957" s="28" t="s">
        <v>19</v>
      </c>
      <c r="E2957" s="28" t="s">
        <v>183</v>
      </c>
      <c r="F2957" s="28" t="s">
        <v>21</v>
      </c>
      <c r="G2957" s="28" t="s">
        <v>39</v>
      </c>
      <c r="H2957" s="28" t="s">
        <v>16221</v>
      </c>
      <c r="I2957" s="28" t="s">
        <v>16306</v>
      </c>
      <c r="J2957" s="28" t="s">
        <v>39</v>
      </c>
      <c r="K2957" s="28" t="s">
        <v>16223</v>
      </c>
      <c r="L2957" s="28" t="s">
        <v>16224</v>
      </c>
      <c r="M2957" s="28" t="s">
        <v>16307</v>
      </c>
      <c r="N2957" s="28" t="s">
        <v>16226</v>
      </c>
      <c r="O2957" s="28" t="s">
        <v>16227</v>
      </c>
      <c r="P2957" s="28" t="s">
        <v>16303</v>
      </c>
    </row>
    <row r="2958" spans="1:16" x14ac:dyDescent="0.25">
      <c r="A2958" s="28" t="s">
        <v>16308</v>
      </c>
      <c r="B2958" s="28" t="s">
        <v>16309</v>
      </c>
      <c r="C2958" s="28" t="s">
        <v>1684</v>
      </c>
      <c r="D2958" s="28" t="s">
        <v>19</v>
      </c>
      <c r="E2958" s="28" t="s">
        <v>10402</v>
      </c>
      <c r="F2958" s="28" t="s">
        <v>21</v>
      </c>
      <c r="G2958" s="28" t="s">
        <v>39</v>
      </c>
      <c r="H2958" s="28" t="s">
        <v>16221</v>
      </c>
      <c r="I2958" s="28" t="s">
        <v>16310</v>
      </c>
      <c r="J2958" s="28" t="s">
        <v>39</v>
      </c>
      <c r="K2958" s="28" t="s">
        <v>16223</v>
      </c>
      <c r="L2958" s="28" t="s">
        <v>16224</v>
      </c>
      <c r="M2958" s="28" t="s">
        <v>16311</v>
      </c>
      <c r="N2958" s="28" t="s">
        <v>16226</v>
      </c>
      <c r="O2958" s="28" t="s">
        <v>16227</v>
      </c>
      <c r="P2958" s="28" t="s">
        <v>16312</v>
      </c>
    </row>
    <row r="2959" spans="1:16" x14ac:dyDescent="0.25">
      <c r="A2959" s="28" t="s">
        <v>16313</v>
      </c>
      <c r="B2959" s="28" t="s">
        <v>16314</v>
      </c>
      <c r="C2959" s="28" t="s">
        <v>1684</v>
      </c>
      <c r="D2959" s="28" t="s">
        <v>19</v>
      </c>
      <c r="E2959" s="28" t="s">
        <v>10402</v>
      </c>
      <c r="F2959" s="28" t="s">
        <v>21</v>
      </c>
      <c r="G2959" s="28" t="s">
        <v>39</v>
      </c>
      <c r="H2959" s="28" t="s">
        <v>16221</v>
      </c>
      <c r="I2959" s="28" t="s">
        <v>16315</v>
      </c>
      <c r="J2959" s="28" t="s">
        <v>39</v>
      </c>
      <c r="K2959" s="28" t="s">
        <v>16223</v>
      </c>
      <c r="L2959" s="28" t="s">
        <v>16224</v>
      </c>
      <c r="M2959" s="28" t="s">
        <v>16316</v>
      </c>
      <c r="N2959" s="28" t="s">
        <v>16226</v>
      </c>
      <c r="O2959" s="28" t="s">
        <v>16227</v>
      </c>
      <c r="P2959" s="28" t="s">
        <v>16312</v>
      </c>
    </row>
    <row r="2960" spans="1:16" x14ac:dyDescent="0.25">
      <c r="A2960" s="28" t="s">
        <v>16317</v>
      </c>
      <c r="B2960" s="28" t="s">
        <v>16318</v>
      </c>
      <c r="C2960" s="28" t="s">
        <v>1684</v>
      </c>
      <c r="D2960" s="28" t="s">
        <v>19</v>
      </c>
      <c r="E2960" s="28" t="s">
        <v>10414</v>
      </c>
      <c r="F2960" s="28" t="s">
        <v>21</v>
      </c>
      <c r="G2960" s="28" t="s">
        <v>39</v>
      </c>
      <c r="H2960" s="28" t="s">
        <v>16221</v>
      </c>
      <c r="I2960" s="28" t="s">
        <v>16319</v>
      </c>
      <c r="J2960" s="28" t="s">
        <v>39</v>
      </c>
      <c r="K2960" s="28" t="s">
        <v>16223</v>
      </c>
      <c r="L2960" s="28" t="s">
        <v>16224</v>
      </c>
      <c r="M2960" s="28" t="s">
        <v>16320</v>
      </c>
      <c r="N2960" s="28" t="s">
        <v>16226</v>
      </c>
      <c r="O2960" s="28" t="s">
        <v>16227</v>
      </c>
      <c r="P2960" s="28" t="s">
        <v>16321</v>
      </c>
    </row>
    <row r="2961" spans="1:16" x14ac:dyDescent="0.25">
      <c r="A2961" s="28" t="s">
        <v>16322</v>
      </c>
      <c r="B2961" s="28" t="s">
        <v>16323</v>
      </c>
      <c r="C2961" s="28" t="s">
        <v>1684</v>
      </c>
      <c r="D2961" s="28" t="s">
        <v>19</v>
      </c>
      <c r="E2961" s="28" t="s">
        <v>10414</v>
      </c>
      <c r="F2961" s="28" t="s">
        <v>21</v>
      </c>
      <c r="G2961" s="28" t="s">
        <v>39</v>
      </c>
      <c r="H2961" s="28" t="s">
        <v>16221</v>
      </c>
      <c r="I2961" s="28" t="s">
        <v>16324</v>
      </c>
      <c r="J2961" s="28" t="s">
        <v>39</v>
      </c>
      <c r="K2961" s="28" t="s">
        <v>16223</v>
      </c>
      <c r="L2961" s="28" t="s">
        <v>16224</v>
      </c>
      <c r="M2961" s="28" t="s">
        <v>16325</v>
      </c>
      <c r="N2961" s="28" t="s">
        <v>16226</v>
      </c>
      <c r="O2961" s="28" t="s">
        <v>16227</v>
      </c>
      <c r="P2961" s="28" t="s">
        <v>16321</v>
      </c>
    </row>
    <row r="2962" spans="1:16" x14ac:dyDescent="0.25">
      <c r="A2962" s="28" t="s">
        <v>16326</v>
      </c>
      <c r="B2962" s="28" t="s">
        <v>16327</v>
      </c>
      <c r="C2962" s="28" t="s">
        <v>1684</v>
      </c>
      <c r="D2962" s="28" t="s">
        <v>19</v>
      </c>
      <c r="E2962" s="28" t="s">
        <v>191</v>
      </c>
      <c r="F2962" s="28" t="s">
        <v>21</v>
      </c>
      <c r="G2962" s="28" t="s">
        <v>39</v>
      </c>
      <c r="H2962" s="28" t="s">
        <v>16221</v>
      </c>
      <c r="I2962" s="28" t="s">
        <v>16328</v>
      </c>
      <c r="J2962" s="28" t="s">
        <v>39</v>
      </c>
      <c r="K2962" s="28" t="s">
        <v>16223</v>
      </c>
      <c r="L2962" s="28" t="s">
        <v>16224</v>
      </c>
      <c r="M2962" s="28" t="s">
        <v>16329</v>
      </c>
      <c r="N2962" s="28" t="s">
        <v>16226</v>
      </c>
      <c r="O2962" s="28" t="s">
        <v>16227</v>
      </c>
      <c r="P2962" s="28" t="s">
        <v>16330</v>
      </c>
    </row>
    <row r="2963" spans="1:16" x14ac:dyDescent="0.25">
      <c r="A2963" s="28" t="s">
        <v>16331</v>
      </c>
      <c r="B2963" s="28" t="s">
        <v>16332</v>
      </c>
      <c r="C2963" s="28" t="s">
        <v>1684</v>
      </c>
      <c r="D2963" s="28" t="s">
        <v>19</v>
      </c>
      <c r="E2963" s="28" t="s">
        <v>191</v>
      </c>
      <c r="F2963" s="28" t="s">
        <v>21</v>
      </c>
      <c r="G2963" s="28" t="s">
        <v>39</v>
      </c>
      <c r="H2963" s="28" t="s">
        <v>16221</v>
      </c>
      <c r="I2963" s="28" t="s">
        <v>16333</v>
      </c>
      <c r="J2963" s="28" t="s">
        <v>39</v>
      </c>
      <c r="K2963" s="28" t="s">
        <v>16223</v>
      </c>
      <c r="L2963" s="28" t="s">
        <v>16224</v>
      </c>
      <c r="M2963" s="28" t="s">
        <v>16334</v>
      </c>
      <c r="N2963" s="28" t="s">
        <v>16226</v>
      </c>
      <c r="O2963" s="28" t="s">
        <v>16227</v>
      </c>
      <c r="P2963" s="28" t="s">
        <v>16330</v>
      </c>
    </row>
    <row r="2964" spans="1:16" x14ac:dyDescent="0.25">
      <c r="A2964" s="28" t="s">
        <v>16335</v>
      </c>
      <c r="B2964" s="28" t="s">
        <v>16336</v>
      </c>
      <c r="C2964" s="28" t="s">
        <v>1684</v>
      </c>
      <c r="D2964" s="28" t="s">
        <v>19</v>
      </c>
      <c r="E2964" s="28" t="s">
        <v>10441</v>
      </c>
      <c r="F2964" s="28" t="s">
        <v>21</v>
      </c>
      <c r="G2964" s="28" t="s">
        <v>39</v>
      </c>
      <c r="H2964" s="28" t="s">
        <v>16221</v>
      </c>
      <c r="I2964" s="28" t="s">
        <v>16337</v>
      </c>
      <c r="J2964" s="28" t="s">
        <v>39</v>
      </c>
      <c r="K2964" s="28" t="s">
        <v>16223</v>
      </c>
      <c r="L2964" s="28" t="s">
        <v>16224</v>
      </c>
      <c r="M2964" s="28" t="s">
        <v>16338</v>
      </c>
      <c r="N2964" s="28" t="s">
        <v>16226</v>
      </c>
      <c r="O2964" s="28" t="s">
        <v>16227</v>
      </c>
      <c r="P2964" s="28" t="s">
        <v>16339</v>
      </c>
    </row>
    <row r="2965" spans="1:16" x14ac:dyDescent="0.25">
      <c r="A2965" s="28" t="s">
        <v>16340</v>
      </c>
      <c r="B2965" s="28" t="s">
        <v>16341</v>
      </c>
      <c r="C2965" s="28" t="s">
        <v>1684</v>
      </c>
      <c r="D2965" s="28" t="s">
        <v>19</v>
      </c>
      <c r="E2965" s="28" t="s">
        <v>10441</v>
      </c>
      <c r="F2965" s="28" t="s">
        <v>21</v>
      </c>
      <c r="G2965" s="28" t="s">
        <v>39</v>
      </c>
      <c r="H2965" s="28" t="s">
        <v>16221</v>
      </c>
      <c r="I2965" s="28" t="s">
        <v>16342</v>
      </c>
      <c r="J2965" s="28" t="s">
        <v>39</v>
      </c>
      <c r="K2965" s="28" t="s">
        <v>16223</v>
      </c>
      <c r="L2965" s="28" t="s">
        <v>16224</v>
      </c>
      <c r="M2965" s="28" t="s">
        <v>16343</v>
      </c>
      <c r="N2965" s="28" t="s">
        <v>16226</v>
      </c>
      <c r="O2965" s="28" t="s">
        <v>16227</v>
      </c>
      <c r="P2965" s="28" t="s">
        <v>16339</v>
      </c>
    </row>
    <row r="2966" spans="1:16" x14ac:dyDescent="0.25">
      <c r="A2966" s="28" t="s">
        <v>16344</v>
      </c>
      <c r="B2966" s="28" t="s">
        <v>16345</v>
      </c>
      <c r="C2966" s="28" t="s">
        <v>1684</v>
      </c>
      <c r="D2966" s="28" t="s">
        <v>19</v>
      </c>
      <c r="E2966" s="28" t="s">
        <v>10447</v>
      </c>
      <c r="F2966" s="28" t="s">
        <v>21</v>
      </c>
      <c r="G2966" s="28" t="s">
        <v>39</v>
      </c>
      <c r="H2966" s="28" t="s">
        <v>16221</v>
      </c>
      <c r="I2966" s="28" t="s">
        <v>16346</v>
      </c>
      <c r="J2966" s="28" t="s">
        <v>39</v>
      </c>
      <c r="K2966" s="28" t="s">
        <v>16223</v>
      </c>
      <c r="L2966" s="28" t="s">
        <v>16224</v>
      </c>
      <c r="M2966" s="28" t="s">
        <v>16347</v>
      </c>
      <c r="N2966" s="28" t="s">
        <v>16226</v>
      </c>
      <c r="O2966" s="28" t="s">
        <v>16227</v>
      </c>
      <c r="P2966" s="28" t="s">
        <v>16348</v>
      </c>
    </row>
    <row r="2967" spans="1:16" x14ac:dyDescent="0.25">
      <c r="A2967" s="28" t="s">
        <v>16349</v>
      </c>
      <c r="B2967" s="28" t="s">
        <v>16350</v>
      </c>
      <c r="C2967" s="28" t="s">
        <v>1684</v>
      </c>
      <c r="D2967" s="28" t="s">
        <v>19</v>
      </c>
      <c r="E2967" s="28" t="s">
        <v>10447</v>
      </c>
      <c r="F2967" s="28" t="s">
        <v>21</v>
      </c>
      <c r="G2967" s="28" t="s">
        <v>39</v>
      </c>
      <c r="H2967" s="28" t="s">
        <v>16221</v>
      </c>
      <c r="I2967" s="28" t="s">
        <v>16351</v>
      </c>
      <c r="J2967" s="28" t="s">
        <v>39</v>
      </c>
      <c r="K2967" s="28" t="s">
        <v>16223</v>
      </c>
      <c r="L2967" s="28" t="s">
        <v>16224</v>
      </c>
      <c r="M2967" s="28" t="s">
        <v>16352</v>
      </c>
      <c r="N2967" s="28" t="s">
        <v>16226</v>
      </c>
      <c r="O2967" s="28" t="s">
        <v>16227</v>
      </c>
      <c r="P2967" s="28" t="s">
        <v>16348</v>
      </c>
    </row>
    <row r="2968" spans="1:16" x14ac:dyDescent="0.25">
      <c r="A2968" s="28" t="s">
        <v>16353</v>
      </c>
      <c r="B2968" s="28" t="s">
        <v>16354</v>
      </c>
      <c r="C2968" s="28" t="s">
        <v>1684</v>
      </c>
      <c r="D2968" s="28" t="s">
        <v>2287</v>
      </c>
      <c r="E2968" s="28" t="s">
        <v>16355</v>
      </c>
      <c r="F2968" s="28" t="s">
        <v>21</v>
      </c>
      <c r="G2968" s="28" t="s">
        <v>39</v>
      </c>
      <c r="H2968" s="28" t="s">
        <v>16221</v>
      </c>
      <c r="I2968" s="28" t="s">
        <v>16356</v>
      </c>
      <c r="J2968" s="28" t="s">
        <v>39</v>
      </c>
      <c r="K2968" s="28" t="s">
        <v>16223</v>
      </c>
      <c r="L2968" s="28" t="s">
        <v>16224</v>
      </c>
      <c r="M2968" s="28" t="s">
        <v>16357</v>
      </c>
      <c r="N2968" s="28" t="s">
        <v>16226</v>
      </c>
      <c r="O2968" s="28" t="s">
        <v>16227</v>
      </c>
      <c r="P2968" s="28" t="s">
        <v>16358</v>
      </c>
    </row>
    <row r="2969" spans="1:16" x14ac:dyDescent="0.25">
      <c r="A2969" s="28" t="s">
        <v>16359</v>
      </c>
      <c r="B2969" s="28" t="s">
        <v>16360</v>
      </c>
      <c r="C2969" s="28" t="s">
        <v>1684</v>
      </c>
      <c r="D2969" s="28" t="s">
        <v>2287</v>
      </c>
      <c r="E2969" s="28" t="s">
        <v>16361</v>
      </c>
      <c r="F2969" s="28" t="s">
        <v>21</v>
      </c>
      <c r="G2969" s="28" t="s">
        <v>39</v>
      </c>
      <c r="H2969" s="28" t="s">
        <v>16221</v>
      </c>
      <c r="I2969" s="28" t="s">
        <v>16362</v>
      </c>
      <c r="J2969" s="28" t="s">
        <v>39</v>
      </c>
      <c r="K2969" s="28" t="s">
        <v>16223</v>
      </c>
      <c r="L2969" s="28" t="s">
        <v>16224</v>
      </c>
      <c r="M2969" s="28" t="s">
        <v>16363</v>
      </c>
      <c r="N2969" s="28" t="s">
        <v>16226</v>
      </c>
      <c r="O2969" s="28" t="s">
        <v>16227</v>
      </c>
      <c r="P2969" s="28" t="s">
        <v>16364</v>
      </c>
    </row>
    <row r="2970" spans="1:16" x14ac:dyDescent="0.25">
      <c r="A2970" s="28" t="s">
        <v>16365</v>
      </c>
      <c r="B2970" s="28" t="s">
        <v>16366</v>
      </c>
      <c r="C2970" s="28" t="s">
        <v>1684</v>
      </c>
      <c r="D2970" s="28" t="s">
        <v>2314</v>
      </c>
      <c r="E2970" s="28" t="s">
        <v>16367</v>
      </c>
      <c r="F2970" s="28" t="s">
        <v>21</v>
      </c>
      <c r="G2970" s="28" t="s">
        <v>39</v>
      </c>
      <c r="H2970" s="28" t="s">
        <v>16221</v>
      </c>
      <c r="I2970" s="28" t="s">
        <v>16368</v>
      </c>
      <c r="J2970" s="28" t="s">
        <v>39</v>
      </c>
      <c r="K2970" s="28" t="s">
        <v>16223</v>
      </c>
      <c r="L2970" s="28" t="s">
        <v>16224</v>
      </c>
      <c r="M2970" s="28" t="s">
        <v>16369</v>
      </c>
      <c r="N2970" s="28" t="s">
        <v>16226</v>
      </c>
      <c r="O2970" s="28" t="s">
        <v>16227</v>
      </c>
      <c r="P2970" s="28" t="s">
        <v>16370</v>
      </c>
    </row>
    <row r="2971" spans="1:16" x14ac:dyDescent="0.25">
      <c r="A2971" s="28" t="s">
        <v>16371</v>
      </c>
      <c r="B2971" s="28" t="s">
        <v>16372</v>
      </c>
      <c r="C2971" s="28" t="s">
        <v>1684</v>
      </c>
      <c r="D2971" s="28" t="s">
        <v>2314</v>
      </c>
      <c r="E2971" s="28" t="s">
        <v>16367</v>
      </c>
      <c r="F2971" s="28" t="s">
        <v>21</v>
      </c>
      <c r="G2971" s="28" t="s">
        <v>39</v>
      </c>
      <c r="H2971" s="28" t="s">
        <v>16221</v>
      </c>
      <c r="I2971" s="28" t="s">
        <v>16373</v>
      </c>
      <c r="J2971" s="28" t="s">
        <v>39</v>
      </c>
      <c r="K2971" s="28" t="s">
        <v>16223</v>
      </c>
      <c r="L2971" s="28" t="s">
        <v>16224</v>
      </c>
      <c r="M2971" s="28" t="s">
        <v>16374</v>
      </c>
      <c r="N2971" s="28" t="s">
        <v>16226</v>
      </c>
      <c r="O2971" s="28" t="s">
        <v>16227</v>
      </c>
      <c r="P2971" s="28" t="s">
        <v>16370</v>
      </c>
    </row>
    <row r="2972" spans="1:16" x14ac:dyDescent="0.25">
      <c r="A2972" s="28" t="s">
        <v>16375</v>
      </c>
      <c r="B2972" s="28" t="s">
        <v>16376</v>
      </c>
      <c r="C2972" s="28" t="s">
        <v>1684</v>
      </c>
      <c r="D2972" s="28" t="s">
        <v>69</v>
      </c>
      <c r="E2972" s="28" t="s">
        <v>13682</v>
      </c>
      <c r="F2972" s="28" t="s">
        <v>21</v>
      </c>
      <c r="G2972" s="28" t="s">
        <v>39</v>
      </c>
      <c r="H2972" s="28" t="s">
        <v>16221</v>
      </c>
      <c r="I2972" s="28" t="s">
        <v>16377</v>
      </c>
      <c r="J2972" s="28" t="s">
        <v>39</v>
      </c>
      <c r="K2972" s="28" t="s">
        <v>16223</v>
      </c>
      <c r="L2972" s="28" t="s">
        <v>16224</v>
      </c>
      <c r="M2972" s="28" t="s">
        <v>16378</v>
      </c>
      <c r="N2972" s="28" t="s">
        <v>16226</v>
      </c>
      <c r="O2972" s="28" t="s">
        <v>16227</v>
      </c>
      <c r="P2972" s="28" t="s">
        <v>16379</v>
      </c>
    </row>
    <row r="2973" spans="1:16" x14ac:dyDescent="0.25">
      <c r="A2973" s="28" t="s">
        <v>16380</v>
      </c>
      <c r="B2973" s="28" t="s">
        <v>16381</v>
      </c>
      <c r="C2973" s="28" t="s">
        <v>1684</v>
      </c>
      <c r="D2973" s="28" t="s">
        <v>69</v>
      </c>
      <c r="E2973" s="28" t="s">
        <v>1072</v>
      </c>
      <c r="F2973" s="28" t="s">
        <v>21</v>
      </c>
      <c r="G2973" s="28" t="s">
        <v>39</v>
      </c>
      <c r="H2973" s="28" t="s">
        <v>16221</v>
      </c>
      <c r="I2973" s="28" t="s">
        <v>16382</v>
      </c>
      <c r="J2973" s="28" t="s">
        <v>39</v>
      </c>
      <c r="K2973" s="28" t="s">
        <v>16223</v>
      </c>
      <c r="L2973" s="28" t="s">
        <v>16224</v>
      </c>
      <c r="M2973" s="28" t="s">
        <v>16383</v>
      </c>
      <c r="N2973" s="28" t="s">
        <v>16226</v>
      </c>
      <c r="O2973" s="28" t="s">
        <v>16227</v>
      </c>
      <c r="P2973" s="28" t="s">
        <v>16384</v>
      </c>
    </row>
    <row r="2974" spans="1:16" x14ac:dyDescent="0.25">
      <c r="A2974" s="28" t="s">
        <v>16385</v>
      </c>
      <c r="B2974" s="28" t="s">
        <v>16386</v>
      </c>
      <c r="C2974" s="28" t="s">
        <v>1684</v>
      </c>
      <c r="D2974" s="28" t="s">
        <v>1318</v>
      </c>
      <c r="E2974" s="28" t="s">
        <v>1319</v>
      </c>
      <c r="F2974" s="28" t="s">
        <v>21</v>
      </c>
      <c r="G2974" s="28" t="s">
        <v>39</v>
      </c>
      <c r="H2974" s="28" t="s">
        <v>16221</v>
      </c>
      <c r="I2974" s="28" t="s">
        <v>16387</v>
      </c>
      <c r="J2974" s="28" t="s">
        <v>39</v>
      </c>
      <c r="K2974" s="28" t="s">
        <v>16223</v>
      </c>
      <c r="L2974" s="28" t="s">
        <v>16224</v>
      </c>
      <c r="M2974" s="28" t="s">
        <v>16388</v>
      </c>
      <c r="N2974" s="28" t="s">
        <v>16226</v>
      </c>
      <c r="O2974" s="28" t="s">
        <v>16227</v>
      </c>
      <c r="P2974" s="28" t="s">
        <v>16389</v>
      </c>
    </row>
    <row r="2975" spans="1:16" x14ac:dyDescent="0.25">
      <c r="A2975" s="28" t="s">
        <v>16390</v>
      </c>
      <c r="B2975" s="28" t="s">
        <v>16391</v>
      </c>
      <c r="C2975" s="28" t="s">
        <v>1684</v>
      </c>
      <c r="D2975" s="28" t="s">
        <v>1318</v>
      </c>
      <c r="E2975" s="28" t="s">
        <v>1319</v>
      </c>
      <c r="F2975" s="28" t="s">
        <v>21</v>
      </c>
      <c r="G2975" s="28" t="s">
        <v>39</v>
      </c>
      <c r="H2975" s="28" t="s">
        <v>16221</v>
      </c>
      <c r="I2975" s="28" t="s">
        <v>16392</v>
      </c>
      <c r="J2975" s="28" t="s">
        <v>39</v>
      </c>
      <c r="K2975" s="28" t="s">
        <v>16223</v>
      </c>
      <c r="L2975" s="28" t="s">
        <v>16224</v>
      </c>
      <c r="M2975" s="28" t="s">
        <v>16393</v>
      </c>
      <c r="N2975" s="28" t="s">
        <v>16226</v>
      </c>
      <c r="O2975" s="28" t="s">
        <v>16227</v>
      </c>
      <c r="P2975" s="28" t="s">
        <v>16389</v>
      </c>
    </row>
    <row r="2976" spans="1:16" x14ac:dyDescent="0.25">
      <c r="A2976" s="28" t="s">
        <v>16394</v>
      </c>
      <c r="B2976" s="28" t="s">
        <v>16395</v>
      </c>
      <c r="C2976" s="28" t="s">
        <v>1684</v>
      </c>
      <c r="D2976" s="28" t="s">
        <v>1318</v>
      </c>
      <c r="E2976" s="28" t="s">
        <v>1319</v>
      </c>
      <c r="F2976" s="28" t="s">
        <v>21</v>
      </c>
      <c r="G2976" s="28" t="s">
        <v>39</v>
      </c>
      <c r="H2976" s="28" t="s">
        <v>16221</v>
      </c>
      <c r="I2976" s="28" t="s">
        <v>16396</v>
      </c>
      <c r="J2976" s="28" t="s">
        <v>39</v>
      </c>
      <c r="K2976" s="28" t="s">
        <v>16223</v>
      </c>
      <c r="L2976" s="28" t="s">
        <v>16224</v>
      </c>
      <c r="M2976" s="28" t="s">
        <v>16397</v>
      </c>
      <c r="N2976" s="28" t="s">
        <v>16226</v>
      </c>
      <c r="O2976" s="28" t="s">
        <v>16227</v>
      </c>
      <c r="P2976" s="28" t="s">
        <v>16389</v>
      </c>
    </row>
    <row r="2977" spans="1:16" x14ac:dyDescent="0.25">
      <c r="A2977" s="28" t="s">
        <v>16398</v>
      </c>
      <c r="B2977" s="28" t="s">
        <v>16399</v>
      </c>
      <c r="C2977" s="28" t="s">
        <v>1684</v>
      </c>
      <c r="D2977" s="28" t="s">
        <v>5372</v>
      </c>
      <c r="E2977" s="28" t="s">
        <v>3005</v>
      </c>
      <c r="F2977" s="28" t="s">
        <v>21</v>
      </c>
      <c r="G2977" s="28" t="s">
        <v>39</v>
      </c>
      <c r="H2977" s="28" t="s">
        <v>16221</v>
      </c>
      <c r="I2977" s="28" t="s">
        <v>16400</v>
      </c>
      <c r="J2977" s="28" t="s">
        <v>39</v>
      </c>
      <c r="K2977" s="28" t="s">
        <v>16223</v>
      </c>
      <c r="L2977" s="28" t="s">
        <v>16224</v>
      </c>
      <c r="M2977" s="28" t="s">
        <v>16401</v>
      </c>
      <c r="N2977" s="28" t="s">
        <v>16226</v>
      </c>
      <c r="O2977" s="28" t="s">
        <v>16227</v>
      </c>
      <c r="P2977" s="28" t="s">
        <v>16402</v>
      </c>
    </row>
    <row r="2978" spans="1:16" x14ac:dyDescent="0.25">
      <c r="A2978" s="28" t="s">
        <v>16403</v>
      </c>
      <c r="B2978" s="28" t="s">
        <v>16404</v>
      </c>
      <c r="C2978" s="28" t="s">
        <v>1684</v>
      </c>
      <c r="D2978" s="28" t="s">
        <v>5372</v>
      </c>
      <c r="E2978" s="28" t="s">
        <v>3005</v>
      </c>
      <c r="F2978" s="28" t="s">
        <v>21</v>
      </c>
      <c r="G2978" s="28" t="s">
        <v>39</v>
      </c>
      <c r="H2978" s="28" t="s">
        <v>16221</v>
      </c>
      <c r="I2978" s="28" t="s">
        <v>16405</v>
      </c>
      <c r="J2978" s="28" t="s">
        <v>39</v>
      </c>
      <c r="K2978" s="28" t="s">
        <v>16223</v>
      </c>
      <c r="L2978" s="28" t="s">
        <v>16224</v>
      </c>
      <c r="M2978" s="28" t="s">
        <v>16406</v>
      </c>
      <c r="N2978" s="28" t="s">
        <v>16226</v>
      </c>
      <c r="O2978" s="28" t="s">
        <v>16227</v>
      </c>
      <c r="P2978" s="28" t="s">
        <v>16402</v>
      </c>
    </row>
    <row r="2979" spans="1:16" x14ac:dyDescent="0.25">
      <c r="A2979" s="28" t="s">
        <v>16407</v>
      </c>
      <c r="B2979" s="28" t="s">
        <v>16408</v>
      </c>
      <c r="C2979" s="28" t="s">
        <v>1684</v>
      </c>
      <c r="D2979" s="28" t="s">
        <v>5372</v>
      </c>
      <c r="E2979" s="28" t="s">
        <v>3005</v>
      </c>
      <c r="F2979" s="28" t="s">
        <v>21</v>
      </c>
      <c r="G2979" s="28" t="s">
        <v>39</v>
      </c>
      <c r="H2979" s="28" t="s">
        <v>16221</v>
      </c>
      <c r="I2979" s="28" t="s">
        <v>16409</v>
      </c>
      <c r="J2979" s="28" t="s">
        <v>39</v>
      </c>
      <c r="K2979" s="28" t="s">
        <v>16223</v>
      </c>
      <c r="L2979" s="28" t="s">
        <v>16224</v>
      </c>
      <c r="M2979" s="28" t="s">
        <v>16410</v>
      </c>
      <c r="N2979" s="28" t="s">
        <v>16226</v>
      </c>
      <c r="O2979" s="28" t="s">
        <v>16227</v>
      </c>
      <c r="P2979" s="28" t="s">
        <v>16402</v>
      </c>
    </row>
    <row r="2980" spans="1:16" x14ac:dyDescent="0.25">
      <c r="A2980" s="28" t="s">
        <v>16411</v>
      </c>
      <c r="B2980" s="28" t="s">
        <v>16412</v>
      </c>
      <c r="C2980" s="28" t="s">
        <v>1684</v>
      </c>
      <c r="D2980" s="28" t="s">
        <v>1318</v>
      </c>
      <c r="E2980" s="28" t="s">
        <v>1333</v>
      </c>
      <c r="F2980" s="28" t="s">
        <v>21</v>
      </c>
      <c r="G2980" s="28" t="s">
        <v>39</v>
      </c>
      <c r="H2980" s="28" t="s">
        <v>16221</v>
      </c>
      <c r="I2980" s="28" t="s">
        <v>16413</v>
      </c>
      <c r="J2980" s="28" t="s">
        <v>39</v>
      </c>
      <c r="K2980" s="28" t="s">
        <v>16223</v>
      </c>
      <c r="L2980" s="28" t="s">
        <v>16224</v>
      </c>
      <c r="M2980" s="28" t="s">
        <v>16414</v>
      </c>
      <c r="N2980" s="28" t="s">
        <v>16226</v>
      </c>
      <c r="O2980" s="28" t="s">
        <v>16227</v>
      </c>
      <c r="P2980" s="28" t="s">
        <v>16415</v>
      </c>
    </row>
    <row r="2981" spans="1:16" x14ac:dyDescent="0.25">
      <c r="A2981" s="28" t="s">
        <v>16416</v>
      </c>
      <c r="B2981" s="28" t="s">
        <v>16417</v>
      </c>
      <c r="C2981" s="28" t="s">
        <v>1684</v>
      </c>
      <c r="D2981" s="28" t="s">
        <v>1318</v>
      </c>
      <c r="E2981" s="28" t="s">
        <v>1333</v>
      </c>
      <c r="F2981" s="28" t="s">
        <v>21</v>
      </c>
      <c r="G2981" s="28" t="s">
        <v>39</v>
      </c>
      <c r="H2981" s="28" t="s">
        <v>16221</v>
      </c>
      <c r="I2981" s="28" t="s">
        <v>16418</v>
      </c>
      <c r="J2981" s="28" t="s">
        <v>39</v>
      </c>
      <c r="K2981" s="28" t="s">
        <v>16223</v>
      </c>
      <c r="L2981" s="28" t="s">
        <v>16224</v>
      </c>
      <c r="M2981" s="28" t="s">
        <v>16419</v>
      </c>
      <c r="N2981" s="28" t="s">
        <v>16226</v>
      </c>
      <c r="O2981" s="28" t="s">
        <v>16227</v>
      </c>
      <c r="P2981" s="28" t="s">
        <v>16415</v>
      </c>
    </row>
    <row r="2982" spans="1:16" x14ac:dyDescent="0.25">
      <c r="A2982" s="28" t="s">
        <v>16420</v>
      </c>
      <c r="B2982" s="28" t="s">
        <v>16421</v>
      </c>
      <c r="C2982" s="28" t="s">
        <v>1684</v>
      </c>
      <c r="D2982" s="28" t="s">
        <v>1810</v>
      </c>
      <c r="E2982" s="28" t="s">
        <v>1343</v>
      </c>
      <c r="F2982" s="28" t="s">
        <v>21</v>
      </c>
      <c r="G2982" s="28" t="s">
        <v>39</v>
      </c>
      <c r="H2982" s="28" t="s">
        <v>16221</v>
      </c>
      <c r="I2982" s="28" t="s">
        <v>16422</v>
      </c>
      <c r="J2982" s="28" t="s">
        <v>39</v>
      </c>
      <c r="K2982" s="28" t="s">
        <v>16223</v>
      </c>
      <c r="L2982" s="28" t="s">
        <v>16224</v>
      </c>
      <c r="M2982" s="28" t="s">
        <v>16423</v>
      </c>
      <c r="N2982" s="28" t="s">
        <v>16226</v>
      </c>
      <c r="O2982" s="28" t="s">
        <v>16227</v>
      </c>
      <c r="P2982" s="28" t="s">
        <v>16424</v>
      </c>
    </row>
    <row r="2983" spans="1:16" x14ac:dyDescent="0.25">
      <c r="A2983" s="28" t="s">
        <v>16425</v>
      </c>
      <c r="B2983" s="28" t="s">
        <v>16426</v>
      </c>
      <c r="C2983" s="28" t="s">
        <v>1684</v>
      </c>
      <c r="D2983" s="28" t="s">
        <v>5372</v>
      </c>
      <c r="E2983" s="28" t="s">
        <v>15305</v>
      </c>
      <c r="F2983" s="28" t="s">
        <v>21</v>
      </c>
      <c r="G2983" s="28" t="s">
        <v>39</v>
      </c>
      <c r="H2983" s="28" t="s">
        <v>16221</v>
      </c>
      <c r="I2983" s="28" t="s">
        <v>16427</v>
      </c>
      <c r="J2983" s="28" t="s">
        <v>39</v>
      </c>
      <c r="K2983" s="28" t="s">
        <v>16223</v>
      </c>
      <c r="L2983" s="28" t="s">
        <v>16224</v>
      </c>
      <c r="M2983" s="28" t="s">
        <v>16428</v>
      </c>
      <c r="N2983" s="28" t="s">
        <v>16226</v>
      </c>
      <c r="O2983" s="28" t="s">
        <v>16227</v>
      </c>
      <c r="P2983" s="28" t="s">
        <v>16429</v>
      </c>
    </row>
    <row r="2984" spans="1:16" x14ac:dyDescent="0.25">
      <c r="A2984" s="28" t="s">
        <v>16430</v>
      </c>
      <c r="B2984" s="28" t="s">
        <v>16431</v>
      </c>
      <c r="C2984" s="28" t="s">
        <v>1684</v>
      </c>
      <c r="D2984" s="28" t="s">
        <v>3068</v>
      </c>
      <c r="E2984" s="28" t="s">
        <v>16432</v>
      </c>
      <c r="F2984" s="28" t="s">
        <v>21</v>
      </c>
      <c r="G2984" s="28" t="s">
        <v>39</v>
      </c>
      <c r="H2984" s="28" t="s">
        <v>16221</v>
      </c>
      <c r="I2984" s="28" t="s">
        <v>16433</v>
      </c>
      <c r="J2984" s="28" t="s">
        <v>39</v>
      </c>
      <c r="K2984" s="28" t="s">
        <v>16223</v>
      </c>
      <c r="L2984" s="28" t="s">
        <v>16224</v>
      </c>
      <c r="M2984" s="28" t="s">
        <v>16434</v>
      </c>
      <c r="N2984" s="28" t="s">
        <v>16226</v>
      </c>
      <c r="O2984" s="28" t="s">
        <v>16227</v>
      </c>
      <c r="P2984" s="28" t="s">
        <v>16435</v>
      </c>
    </row>
    <row r="2985" spans="1:16" x14ac:dyDescent="0.25">
      <c r="A2985" s="28" t="s">
        <v>16436</v>
      </c>
      <c r="B2985" s="28" t="s">
        <v>16437</v>
      </c>
      <c r="C2985" s="28" t="s">
        <v>1684</v>
      </c>
      <c r="D2985" s="28" t="s">
        <v>3068</v>
      </c>
      <c r="E2985" s="28" t="s">
        <v>16432</v>
      </c>
      <c r="F2985" s="28" t="s">
        <v>21</v>
      </c>
      <c r="G2985" s="28" t="s">
        <v>39</v>
      </c>
      <c r="H2985" s="28" t="s">
        <v>16221</v>
      </c>
      <c r="I2985" s="28" t="s">
        <v>16438</v>
      </c>
      <c r="J2985" s="28" t="s">
        <v>39</v>
      </c>
      <c r="K2985" s="28" t="s">
        <v>16223</v>
      </c>
      <c r="L2985" s="28" t="s">
        <v>16224</v>
      </c>
      <c r="M2985" s="28" t="s">
        <v>16439</v>
      </c>
      <c r="N2985" s="28" t="s">
        <v>16226</v>
      </c>
      <c r="O2985" s="28" t="s">
        <v>16227</v>
      </c>
      <c r="P2985" s="28" t="s">
        <v>16435</v>
      </c>
    </row>
    <row r="2986" spans="1:16" x14ac:dyDescent="0.25">
      <c r="A2986" s="28" t="s">
        <v>16440</v>
      </c>
      <c r="B2986" s="28" t="s">
        <v>16441</v>
      </c>
      <c r="C2986" s="28" t="s">
        <v>1684</v>
      </c>
      <c r="D2986" s="28" t="s">
        <v>3068</v>
      </c>
      <c r="E2986" s="28" t="s">
        <v>16442</v>
      </c>
      <c r="F2986" s="28" t="s">
        <v>21</v>
      </c>
      <c r="G2986" s="28" t="s">
        <v>39</v>
      </c>
      <c r="H2986" s="28" t="s">
        <v>16221</v>
      </c>
      <c r="I2986" s="28" t="s">
        <v>16443</v>
      </c>
      <c r="J2986" s="28" t="s">
        <v>39</v>
      </c>
      <c r="K2986" s="28" t="s">
        <v>16223</v>
      </c>
      <c r="L2986" s="28" t="s">
        <v>16224</v>
      </c>
      <c r="M2986" s="28" t="s">
        <v>16444</v>
      </c>
      <c r="N2986" s="28" t="s">
        <v>16226</v>
      </c>
      <c r="O2986" s="28" t="s">
        <v>16227</v>
      </c>
      <c r="P2986" s="28" t="s">
        <v>16445</v>
      </c>
    </row>
    <row r="2987" spans="1:16" x14ac:dyDescent="0.25">
      <c r="A2987" s="28" t="s">
        <v>16446</v>
      </c>
      <c r="B2987" s="28" t="s">
        <v>16447</v>
      </c>
      <c r="C2987" s="28" t="s">
        <v>1684</v>
      </c>
      <c r="D2987" s="28" t="s">
        <v>3068</v>
      </c>
      <c r="E2987" s="28" t="s">
        <v>16442</v>
      </c>
      <c r="F2987" s="28" t="s">
        <v>21</v>
      </c>
      <c r="G2987" s="28" t="s">
        <v>39</v>
      </c>
      <c r="H2987" s="28" t="s">
        <v>16221</v>
      </c>
      <c r="I2987" s="28" t="s">
        <v>16448</v>
      </c>
      <c r="J2987" s="28" t="s">
        <v>39</v>
      </c>
      <c r="K2987" s="28" t="s">
        <v>16223</v>
      </c>
      <c r="L2987" s="28" t="s">
        <v>16224</v>
      </c>
      <c r="M2987" s="28" t="s">
        <v>16449</v>
      </c>
      <c r="N2987" s="28" t="s">
        <v>16226</v>
      </c>
      <c r="O2987" s="28" t="s">
        <v>16227</v>
      </c>
      <c r="P2987" s="28" t="s">
        <v>16445</v>
      </c>
    </row>
    <row r="2988" spans="1:16" x14ac:dyDescent="0.25">
      <c r="A2988" s="28" t="s">
        <v>16450</v>
      </c>
      <c r="B2988" s="28" t="s">
        <v>16451</v>
      </c>
      <c r="C2988" s="28" t="s">
        <v>1684</v>
      </c>
      <c r="D2988" s="28" t="s">
        <v>3068</v>
      </c>
      <c r="E2988" s="28" t="s">
        <v>16452</v>
      </c>
      <c r="F2988" s="28" t="s">
        <v>21</v>
      </c>
      <c r="G2988" s="28" t="s">
        <v>39</v>
      </c>
      <c r="H2988" s="28" t="s">
        <v>16221</v>
      </c>
      <c r="I2988" s="28" t="s">
        <v>16453</v>
      </c>
      <c r="J2988" s="28" t="s">
        <v>39</v>
      </c>
      <c r="K2988" s="28" t="s">
        <v>16223</v>
      </c>
      <c r="L2988" s="28" t="s">
        <v>16224</v>
      </c>
      <c r="M2988" s="28" t="s">
        <v>16454</v>
      </c>
      <c r="N2988" s="28" t="s">
        <v>16226</v>
      </c>
      <c r="O2988" s="28" t="s">
        <v>16227</v>
      </c>
      <c r="P2988" s="28" t="s">
        <v>16455</v>
      </c>
    </row>
    <row r="2989" spans="1:16" x14ac:dyDescent="0.25">
      <c r="A2989" s="28" t="s">
        <v>16456</v>
      </c>
      <c r="B2989" s="28" t="s">
        <v>16457</v>
      </c>
      <c r="C2989" s="28" t="s">
        <v>1684</v>
      </c>
      <c r="D2989" s="28" t="s">
        <v>3068</v>
      </c>
      <c r="E2989" s="28" t="s">
        <v>16452</v>
      </c>
      <c r="F2989" s="28" t="s">
        <v>21</v>
      </c>
      <c r="G2989" s="28" t="s">
        <v>39</v>
      </c>
      <c r="H2989" s="28" t="s">
        <v>16221</v>
      </c>
      <c r="I2989" s="28" t="s">
        <v>16458</v>
      </c>
      <c r="J2989" s="28" t="s">
        <v>39</v>
      </c>
      <c r="K2989" s="28" t="s">
        <v>16223</v>
      </c>
      <c r="L2989" s="28" t="s">
        <v>16224</v>
      </c>
      <c r="M2989" s="28" t="s">
        <v>16459</v>
      </c>
      <c r="N2989" s="28" t="s">
        <v>16226</v>
      </c>
      <c r="O2989" s="28" t="s">
        <v>16227</v>
      </c>
      <c r="P2989" s="28" t="s">
        <v>16455</v>
      </c>
    </row>
    <row r="2990" spans="1:16" x14ac:dyDescent="0.25">
      <c r="A2990" s="28" t="s">
        <v>16460</v>
      </c>
      <c r="B2990" s="28" t="s">
        <v>16461</v>
      </c>
      <c r="C2990" s="28" t="s">
        <v>1684</v>
      </c>
      <c r="D2990" s="28" t="s">
        <v>3068</v>
      </c>
      <c r="E2990" s="28" t="s">
        <v>16462</v>
      </c>
      <c r="F2990" s="28" t="s">
        <v>21</v>
      </c>
      <c r="G2990" s="28" t="s">
        <v>39</v>
      </c>
      <c r="H2990" s="28" t="s">
        <v>16221</v>
      </c>
      <c r="I2990" s="28" t="s">
        <v>16463</v>
      </c>
      <c r="J2990" s="28" t="s">
        <v>39</v>
      </c>
      <c r="K2990" s="28" t="s">
        <v>16223</v>
      </c>
      <c r="L2990" s="28" t="s">
        <v>16224</v>
      </c>
      <c r="M2990" s="28" t="s">
        <v>16464</v>
      </c>
      <c r="N2990" s="28" t="s">
        <v>16226</v>
      </c>
      <c r="O2990" s="28" t="s">
        <v>16227</v>
      </c>
      <c r="P2990" s="28" t="s">
        <v>16465</v>
      </c>
    </row>
    <row r="2991" spans="1:16" x14ac:dyDescent="0.25">
      <c r="A2991" s="28" t="s">
        <v>16466</v>
      </c>
      <c r="B2991" s="28" t="s">
        <v>16467</v>
      </c>
      <c r="C2991" s="28" t="s">
        <v>1684</v>
      </c>
      <c r="D2991" s="28" t="s">
        <v>3068</v>
      </c>
      <c r="E2991" s="28" t="s">
        <v>16462</v>
      </c>
      <c r="F2991" s="28" t="s">
        <v>21</v>
      </c>
      <c r="G2991" s="28" t="s">
        <v>39</v>
      </c>
      <c r="H2991" s="28" t="s">
        <v>16221</v>
      </c>
      <c r="I2991" s="28" t="s">
        <v>16468</v>
      </c>
      <c r="J2991" s="28" t="s">
        <v>39</v>
      </c>
      <c r="K2991" s="28" t="s">
        <v>16223</v>
      </c>
      <c r="L2991" s="28" t="s">
        <v>16224</v>
      </c>
      <c r="M2991" s="28" t="s">
        <v>16469</v>
      </c>
      <c r="N2991" s="28" t="s">
        <v>16226</v>
      </c>
      <c r="O2991" s="28" t="s">
        <v>16227</v>
      </c>
      <c r="P2991" s="28" t="s">
        <v>16465</v>
      </c>
    </row>
    <row r="2992" spans="1:16" x14ac:dyDescent="0.25">
      <c r="A2992" s="28" t="s">
        <v>16470</v>
      </c>
      <c r="B2992" s="28" t="s">
        <v>16471</v>
      </c>
      <c r="C2992" s="28" t="s">
        <v>1684</v>
      </c>
      <c r="D2992" s="28" t="s">
        <v>5372</v>
      </c>
      <c r="E2992" s="28" t="s">
        <v>16472</v>
      </c>
      <c r="F2992" s="28" t="s">
        <v>21</v>
      </c>
      <c r="G2992" s="28" t="s">
        <v>39</v>
      </c>
      <c r="H2992" s="28" t="s">
        <v>16221</v>
      </c>
      <c r="I2992" s="28" t="s">
        <v>16473</v>
      </c>
      <c r="J2992" s="28" t="s">
        <v>39</v>
      </c>
      <c r="K2992" s="28" t="s">
        <v>16223</v>
      </c>
      <c r="L2992" s="28" t="s">
        <v>16224</v>
      </c>
      <c r="M2992" s="28" t="s">
        <v>16474</v>
      </c>
      <c r="N2992" s="28" t="s">
        <v>16226</v>
      </c>
      <c r="O2992" s="28" t="s">
        <v>16227</v>
      </c>
      <c r="P2992" s="28" t="s">
        <v>16475</v>
      </c>
    </row>
    <row r="2993" spans="1:16" x14ac:dyDescent="0.25">
      <c r="A2993" s="28" t="s">
        <v>16476</v>
      </c>
      <c r="B2993" s="28" t="s">
        <v>16477</v>
      </c>
      <c r="C2993" s="28" t="s">
        <v>1684</v>
      </c>
      <c r="D2993" s="28" t="s">
        <v>5372</v>
      </c>
      <c r="E2993" s="28" t="s">
        <v>16472</v>
      </c>
      <c r="F2993" s="28" t="s">
        <v>21</v>
      </c>
      <c r="G2993" s="28" t="s">
        <v>39</v>
      </c>
      <c r="H2993" s="28" t="s">
        <v>16221</v>
      </c>
      <c r="I2993" s="28" t="s">
        <v>16478</v>
      </c>
      <c r="J2993" s="28" t="s">
        <v>39</v>
      </c>
      <c r="K2993" s="28" t="s">
        <v>16223</v>
      </c>
      <c r="L2993" s="28" t="s">
        <v>16224</v>
      </c>
      <c r="M2993" s="28" t="s">
        <v>16479</v>
      </c>
      <c r="N2993" s="28" t="s">
        <v>16226</v>
      </c>
      <c r="O2993" s="28" t="s">
        <v>16227</v>
      </c>
      <c r="P2993" s="28" t="s">
        <v>16475</v>
      </c>
    </row>
    <row r="2994" spans="1:16" x14ac:dyDescent="0.25">
      <c r="A2994" s="28" t="s">
        <v>16480</v>
      </c>
      <c r="B2994" s="28" t="s">
        <v>16481</v>
      </c>
      <c r="C2994" s="28" t="s">
        <v>1684</v>
      </c>
      <c r="D2994" s="28" t="s">
        <v>5372</v>
      </c>
      <c r="E2994" s="28" t="s">
        <v>16482</v>
      </c>
      <c r="F2994" s="28" t="s">
        <v>21</v>
      </c>
      <c r="G2994" s="28" t="s">
        <v>39</v>
      </c>
      <c r="H2994" s="28" t="s">
        <v>16221</v>
      </c>
      <c r="I2994" s="28" t="s">
        <v>16483</v>
      </c>
      <c r="J2994" s="28" t="s">
        <v>39</v>
      </c>
      <c r="K2994" s="28" t="s">
        <v>16223</v>
      </c>
      <c r="L2994" s="28" t="s">
        <v>16224</v>
      </c>
      <c r="M2994" s="28" t="s">
        <v>16484</v>
      </c>
      <c r="N2994" s="28" t="s">
        <v>16226</v>
      </c>
      <c r="O2994" s="28" t="s">
        <v>16227</v>
      </c>
      <c r="P2994" s="28" t="s">
        <v>16485</v>
      </c>
    </row>
    <row r="2995" spans="1:16" x14ac:dyDescent="0.25">
      <c r="A2995" s="28" t="s">
        <v>16486</v>
      </c>
      <c r="B2995" s="28" t="s">
        <v>16487</v>
      </c>
      <c r="C2995" s="28" t="s">
        <v>1684</v>
      </c>
      <c r="D2995" s="28" t="s">
        <v>5372</v>
      </c>
      <c r="E2995" s="28" t="s">
        <v>16482</v>
      </c>
      <c r="F2995" s="28" t="s">
        <v>21</v>
      </c>
      <c r="G2995" s="28" t="s">
        <v>39</v>
      </c>
      <c r="H2995" s="28" t="s">
        <v>16221</v>
      </c>
      <c r="I2995" s="28" t="s">
        <v>16488</v>
      </c>
      <c r="J2995" s="28" t="s">
        <v>39</v>
      </c>
      <c r="K2995" s="28" t="s">
        <v>16223</v>
      </c>
      <c r="L2995" s="28" t="s">
        <v>16224</v>
      </c>
      <c r="M2995" s="28" t="s">
        <v>16489</v>
      </c>
      <c r="N2995" s="28" t="s">
        <v>16226</v>
      </c>
      <c r="O2995" s="28" t="s">
        <v>16227</v>
      </c>
      <c r="P2995" s="28" t="s">
        <v>16485</v>
      </c>
    </row>
    <row r="2996" spans="1:16" x14ac:dyDescent="0.25">
      <c r="A2996" s="28" t="s">
        <v>16490</v>
      </c>
      <c r="B2996" s="28" t="s">
        <v>16491</v>
      </c>
      <c r="C2996" s="28" t="s">
        <v>1684</v>
      </c>
      <c r="D2996" s="28" t="s">
        <v>5372</v>
      </c>
      <c r="E2996" s="28" t="s">
        <v>16492</v>
      </c>
      <c r="F2996" s="28" t="s">
        <v>21</v>
      </c>
      <c r="G2996" s="28" t="s">
        <v>39</v>
      </c>
      <c r="H2996" s="28" t="s">
        <v>16221</v>
      </c>
      <c r="I2996" s="28" t="s">
        <v>16493</v>
      </c>
      <c r="J2996" s="28" t="s">
        <v>39</v>
      </c>
      <c r="K2996" s="28" t="s">
        <v>16223</v>
      </c>
      <c r="L2996" s="28" t="s">
        <v>16224</v>
      </c>
      <c r="M2996" s="28" t="s">
        <v>16494</v>
      </c>
      <c r="N2996" s="28" t="s">
        <v>16226</v>
      </c>
      <c r="O2996" s="28" t="s">
        <v>16227</v>
      </c>
      <c r="P2996" s="28" t="s">
        <v>16495</v>
      </c>
    </row>
    <row r="2997" spans="1:16" x14ac:dyDescent="0.25">
      <c r="A2997" s="28" t="s">
        <v>16496</v>
      </c>
      <c r="B2997" s="28" t="s">
        <v>16497</v>
      </c>
      <c r="C2997" s="28" t="s">
        <v>1684</v>
      </c>
      <c r="D2997" s="28" t="s">
        <v>5372</v>
      </c>
      <c r="E2997" s="28" t="s">
        <v>16492</v>
      </c>
      <c r="F2997" s="28" t="s">
        <v>21</v>
      </c>
      <c r="G2997" s="28" t="s">
        <v>39</v>
      </c>
      <c r="H2997" s="28" t="s">
        <v>16221</v>
      </c>
      <c r="I2997" s="28" t="s">
        <v>16498</v>
      </c>
      <c r="J2997" s="28" t="s">
        <v>39</v>
      </c>
      <c r="K2997" s="28" t="s">
        <v>16223</v>
      </c>
      <c r="L2997" s="28" t="s">
        <v>16224</v>
      </c>
      <c r="M2997" s="28" t="s">
        <v>16499</v>
      </c>
      <c r="N2997" s="28" t="s">
        <v>16226</v>
      </c>
      <c r="O2997" s="28" t="s">
        <v>16227</v>
      </c>
      <c r="P2997" s="28" t="s">
        <v>16495</v>
      </c>
    </row>
    <row r="2998" spans="1:16" x14ac:dyDescent="0.25">
      <c r="A2998" s="28" t="s">
        <v>16500</v>
      </c>
      <c r="B2998" s="28" t="s">
        <v>16501</v>
      </c>
      <c r="C2998" s="28" t="s">
        <v>1684</v>
      </c>
      <c r="D2998" s="28" t="s">
        <v>5372</v>
      </c>
      <c r="E2998" s="28" t="s">
        <v>16502</v>
      </c>
      <c r="F2998" s="28" t="s">
        <v>21</v>
      </c>
      <c r="G2998" s="28" t="s">
        <v>39</v>
      </c>
      <c r="H2998" s="28" t="s">
        <v>16221</v>
      </c>
      <c r="I2998" s="28" t="s">
        <v>16503</v>
      </c>
      <c r="J2998" s="28" t="s">
        <v>39</v>
      </c>
      <c r="K2998" s="28" t="s">
        <v>16223</v>
      </c>
      <c r="L2998" s="28" t="s">
        <v>16224</v>
      </c>
      <c r="M2998" s="28" t="s">
        <v>16504</v>
      </c>
      <c r="N2998" s="28" t="s">
        <v>16226</v>
      </c>
      <c r="O2998" s="28" t="s">
        <v>16227</v>
      </c>
      <c r="P2998" s="28" t="s">
        <v>16505</v>
      </c>
    </row>
    <row r="2999" spans="1:16" x14ac:dyDescent="0.25">
      <c r="A2999" s="28" t="s">
        <v>16506</v>
      </c>
      <c r="B2999" s="28" t="s">
        <v>16507</v>
      </c>
      <c r="C2999" s="28" t="s">
        <v>1684</v>
      </c>
      <c r="D2999" s="28" t="s">
        <v>5372</v>
      </c>
      <c r="E2999" s="28" t="s">
        <v>16502</v>
      </c>
      <c r="F2999" s="28" t="s">
        <v>21</v>
      </c>
      <c r="G2999" s="28" t="s">
        <v>39</v>
      </c>
      <c r="H2999" s="28" t="s">
        <v>16221</v>
      </c>
      <c r="I2999" s="28" t="s">
        <v>16508</v>
      </c>
      <c r="J2999" s="28" t="s">
        <v>39</v>
      </c>
      <c r="K2999" s="28" t="s">
        <v>16223</v>
      </c>
      <c r="L2999" s="28" t="s">
        <v>16224</v>
      </c>
      <c r="M2999" s="28" t="s">
        <v>16509</v>
      </c>
      <c r="N2999" s="28" t="s">
        <v>16226</v>
      </c>
      <c r="O2999" s="28" t="s">
        <v>16227</v>
      </c>
      <c r="P2999" s="28" t="s">
        <v>16505</v>
      </c>
    </row>
    <row r="3000" spans="1:16" x14ac:dyDescent="0.25">
      <c r="A3000" s="28" t="s">
        <v>16510</v>
      </c>
      <c r="B3000" s="28" t="s">
        <v>16511</v>
      </c>
      <c r="C3000" s="28" t="s">
        <v>1684</v>
      </c>
      <c r="D3000" s="28" t="s">
        <v>101</v>
      </c>
      <c r="E3000" s="28" t="s">
        <v>5655</v>
      </c>
      <c r="F3000" s="28" t="s">
        <v>21</v>
      </c>
      <c r="G3000" s="28" t="s">
        <v>39</v>
      </c>
      <c r="H3000" s="28" t="s">
        <v>16221</v>
      </c>
      <c r="I3000" s="28" t="s">
        <v>16512</v>
      </c>
      <c r="J3000" s="28" t="s">
        <v>39</v>
      </c>
      <c r="K3000" s="28" t="s">
        <v>16223</v>
      </c>
      <c r="L3000" s="28" t="s">
        <v>16224</v>
      </c>
      <c r="M3000" s="28" t="s">
        <v>16513</v>
      </c>
      <c r="N3000" s="28" t="s">
        <v>16226</v>
      </c>
      <c r="O3000" s="28" t="s">
        <v>16227</v>
      </c>
      <c r="P3000" s="28" t="s">
        <v>16514</v>
      </c>
    </row>
    <row r="3001" spans="1:16" x14ac:dyDescent="0.25">
      <c r="A3001" s="28" t="s">
        <v>16515</v>
      </c>
      <c r="B3001" s="28" t="s">
        <v>16516</v>
      </c>
      <c r="C3001" s="28" t="s">
        <v>1684</v>
      </c>
      <c r="D3001" s="28" t="s">
        <v>120</v>
      </c>
      <c r="E3001" s="28" t="s">
        <v>121</v>
      </c>
      <c r="F3001" s="28" t="s">
        <v>21</v>
      </c>
      <c r="G3001" s="28" t="s">
        <v>39</v>
      </c>
      <c r="H3001" s="28" t="s">
        <v>16221</v>
      </c>
      <c r="I3001" s="28" t="s">
        <v>16517</v>
      </c>
      <c r="J3001" s="28" t="s">
        <v>39</v>
      </c>
      <c r="K3001" s="28" t="s">
        <v>16223</v>
      </c>
      <c r="L3001" s="28" t="s">
        <v>16224</v>
      </c>
      <c r="M3001" s="28" t="s">
        <v>16518</v>
      </c>
      <c r="N3001" s="28" t="s">
        <v>16226</v>
      </c>
      <c r="O3001" s="28" t="s">
        <v>16227</v>
      </c>
      <c r="P3001" s="28" t="s">
        <v>16519</v>
      </c>
    </row>
    <row r="3002" spans="1:16" x14ac:dyDescent="0.25">
      <c r="A3002" s="28" t="s">
        <v>16520</v>
      </c>
      <c r="B3002" s="28" t="s">
        <v>16521</v>
      </c>
      <c r="C3002" s="28" t="s">
        <v>1684</v>
      </c>
      <c r="D3002" s="28" t="s">
        <v>120</v>
      </c>
      <c r="E3002" s="28" t="s">
        <v>121</v>
      </c>
      <c r="F3002" s="28" t="s">
        <v>21</v>
      </c>
      <c r="G3002" s="28" t="s">
        <v>39</v>
      </c>
      <c r="H3002" s="28" t="s">
        <v>16221</v>
      </c>
      <c r="I3002" s="28" t="s">
        <v>16522</v>
      </c>
      <c r="J3002" s="28" t="s">
        <v>39</v>
      </c>
      <c r="K3002" s="28" t="s">
        <v>16223</v>
      </c>
      <c r="L3002" s="28" t="s">
        <v>16224</v>
      </c>
      <c r="M3002" s="28" t="s">
        <v>16523</v>
      </c>
      <c r="N3002" s="28" t="s">
        <v>16226</v>
      </c>
      <c r="O3002" s="28" t="s">
        <v>16227</v>
      </c>
      <c r="P3002" s="28" t="s">
        <v>16519</v>
      </c>
    </row>
    <row r="3003" spans="1:16" x14ac:dyDescent="0.25">
      <c r="A3003" s="28" t="s">
        <v>16524</v>
      </c>
      <c r="B3003" s="28" t="s">
        <v>16525</v>
      </c>
      <c r="C3003" s="28" t="s">
        <v>1684</v>
      </c>
      <c r="D3003" s="28" t="s">
        <v>120</v>
      </c>
      <c r="E3003" s="28" t="s">
        <v>4260</v>
      </c>
      <c r="F3003" s="28" t="s">
        <v>21</v>
      </c>
      <c r="G3003" s="28" t="s">
        <v>39</v>
      </c>
      <c r="H3003" s="28" t="s">
        <v>16221</v>
      </c>
      <c r="I3003" s="28" t="s">
        <v>16526</v>
      </c>
      <c r="J3003" s="28" t="s">
        <v>39</v>
      </c>
      <c r="K3003" s="28" t="s">
        <v>16223</v>
      </c>
      <c r="L3003" s="28" t="s">
        <v>16224</v>
      </c>
      <c r="M3003" s="28" t="s">
        <v>16527</v>
      </c>
      <c r="N3003" s="28" t="s">
        <v>16226</v>
      </c>
      <c r="O3003" s="28" t="s">
        <v>16227</v>
      </c>
      <c r="P3003" s="28" t="s">
        <v>16528</v>
      </c>
    </row>
    <row r="3004" spans="1:16" x14ac:dyDescent="0.25">
      <c r="A3004" s="28" t="s">
        <v>16529</v>
      </c>
      <c r="B3004" s="28" t="s">
        <v>16530</v>
      </c>
      <c r="C3004" s="28" t="s">
        <v>1684</v>
      </c>
      <c r="D3004" s="28" t="s">
        <v>120</v>
      </c>
      <c r="E3004" s="28" t="s">
        <v>4260</v>
      </c>
      <c r="F3004" s="28" t="s">
        <v>21</v>
      </c>
      <c r="G3004" s="28" t="s">
        <v>39</v>
      </c>
      <c r="H3004" s="28" t="s">
        <v>16221</v>
      </c>
      <c r="I3004" s="28" t="s">
        <v>16531</v>
      </c>
      <c r="J3004" s="28" t="s">
        <v>39</v>
      </c>
      <c r="K3004" s="28" t="s">
        <v>16223</v>
      </c>
      <c r="L3004" s="28" t="s">
        <v>16224</v>
      </c>
      <c r="M3004" s="28" t="s">
        <v>16532</v>
      </c>
      <c r="N3004" s="28" t="s">
        <v>16226</v>
      </c>
      <c r="O3004" s="28" t="s">
        <v>16227</v>
      </c>
      <c r="P3004" s="28" t="s">
        <v>16528</v>
      </c>
    </row>
    <row r="3005" spans="1:16" x14ac:dyDescent="0.25">
      <c r="A3005" s="28" t="s">
        <v>16533</v>
      </c>
      <c r="B3005" s="28" t="s">
        <v>16534</v>
      </c>
      <c r="C3005" s="28" t="s">
        <v>1684</v>
      </c>
      <c r="D3005" s="28" t="s">
        <v>62</v>
      </c>
      <c r="E3005" s="28" t="s">
        <v>5925</v>
      </c>
      <c r="F3005" s="28" t="s">
        <v>21</v>
      </c>
      <c r="G3005" s="28" t="s">
        <v>39</v>
      </c>
      <c r="H3005" s="28" t="s">
        <v>16221</v>
      </c>
      <c r="I3005" s="28" t="s">
        <v>16535</v>
      </c>
      <c r="J3005" s="28" t="s">
        <v>39</v>
      </c>
      <c r="K3005" s="28" t="s">
        <v>16223</v>
      </c>
      <c r="L3005" s="28" t="s">
        <v>16224</v>
      </c>
      <c r="M3005" s="28" t="s">
        <v>16536</v>
      </c>
      <c r="N3005" s="28" t="s">
        <v>16226</v>
      </c>
      <c r="O3005" s="28" t="s">
        <v>16227</v>
      </c>
      <c r="P3005" s="28" t="s">
        <v>16537</v>
      </c>
    </row>
    <row r="3006" spans="1:16" x14ac:dyDescent="0.25">
      <c r="A3006" s="28" t="s">
        <v>16538</v>
      </c>
      <c r="B3006" s="28" t="s">
        <v>16539</v>
      </c>
      <c r="C3006" s="28" t="s">
        <v>1684</v>
      </c>
      <c r="D3006" s="28" t="s">
        <v>5979</v>
      </c>
      <c r="E3006" s="28" t="s">
        <v>9526</v>
      </c>
      <c r="F3006" s="28" t="s">
        <v>21</v>
      </c>
      <c r="G3006" s="28" t="s">
        <v>39</v>
      </c>
      <c r="H3006" s="28" t="s">
        <v>16221</v>
      </c>
      <c r="I3006" s="28" t="s">
        <v>16540</v>
      </c>
      <c r="J3006" s="28" t="s">
        <v>39</v>
      </c>
      <c r="K3006" s="28" t="s">
        <v>16223</v>
      </c>
      <c r="L3006" s="28" t="s">
        <v>16224</v>
      </c>
      <c r="M3006" s="28" t="s">
        <v>16541</v>
      </c>
      <c r="N3006" s="28" t="s">
        <v>16226</v>
      </c>
      <c r="O3006" s="28" t="s">
        <v>16227</v>
      </c>
      <c r="P3006" s="28" t="s">
        <v>16542</v>
      </c>
    </row>
    <row r="3007" spans="1:16" x14ac:dyDescent="0.25">
      <c r="A3007" s="28" t="s">
        <v>16543</v>
      </c>
      <c r="B3007" s="28" t="s">
        <v>16544</v>
      </c>
      <c r="C3007" s="28" t="s">
        <v>1684</v>
      </c>
      <c r="D3007" s="28" t="s">
        <v>5979</v>
      </c>
      <c r="E3007" s="28" t="s">
        <v>6023</v>
      </c>
      <c r="F3007" s="28" t="s">
        <v>21</v>
      </c>
      <c r="G3007" s="28" t="s">
        <v>39</v>
      </c>
      <c r="H3007" s="28" t="s">
        <v>16221</v>
      </c>
      <c r="I3007" s="28" t="s">
        <v>16545</v>
      </c>
      <c r="J3007" s="28" t="s">
        <v>39</v>
      </c>
      <c r="K3007" s="28" t="s">
        <v>16223</v>
      </c>
      <c r="L3007" s="28" t="s">
        <v>16224</v>
      </c>
      <c r="M3007" s="28" t="s">
        <v>16546</v>
      </c>
      <c r="N3007" s="28" t="s">
        <v>16226</v>
      </c>
      <c r="O3007" s="28" t="s">
        <v>16227</v>
      </c>
      <c r="P3007" s="28" t="s">
        <v>16547</v>
      </c>
    </row>
    <row r="3008" spans="1:16" x14ac:dyDescent="0.25">
      <c r="A3008" s="28" t="s">
        <v>16548</v>
      </c>
      <c r="B3008" s="28" t="s">
        <v>16549</v>
      </c>
      <c r="C3008" s="28" t="s">
        <v>1684</v>
      </c>
      <c r="D3008" s="28" t="s">
        <v>5979</v>
      </c>
      <c r="E3008" s="28" t="s">
        <v>6023</v>
      </c>
      <c r="F3008" s="28" t="s">
        <v>21</v>
      </c>
      <c r="G3008" s="28" t="s">
        <v>39</v>
      </c>
      <c r="H3008" s="28" t="s">
        <v>16221</v>
      </c>
      <c r="I3008" s="28" t="s">
        <v>16550</v>
      </c>
      <c r="J3008" s="28" t="s">
        <v>39</v>
      </c>
      <c r="K3008" s="28" t="s">
        <v>16223</v>
      </c>
      <c r="L3008" s="28" t="s">
        <v>16224</v>
      </c>
      <c r="M3008" s="28" t="s">
        <v>16551</v>
      </c>
      <c r="N3008" s="28" t="s">
        <v>16226</v>
      </c>
      <c r="O3008" s="28" t="s">
        <v>16227</v>
      </c>
      <c r="P3008" s="28" t="s">
        <v>16547</v>
      </c>
    </row>
    <row r="3009" spans="1:16" x14ac:dyDescent="0.25">
      <c r="A3009" s="28" t="s">
        <v>16552</v>
      </c>
      <c r="B3009" s="28" t="s">
        <v>16553</v>
      </c>
      <c r="C3009" s="28" t="s">
        <v>1684</v>
      </c>
      <c r="D3009" s="28" t="s">
        <v>5979</v>
      </c>
      <c r="E3009" s="28" t="s">
        <v>6023</v>
      </c>
      <c r="F3009" s="28" t="s">
        <v>21</v>
      </c>
      <c r="G3009" s="28" t="s">
        <v>39</v>
      </c>
      <c r="H3009" s="28" t="s">
        <v>16221</v>
      </c>
      <c r="I3009" s="28" t="s">
        <v>16554</v>
      </c>
      <c r="J3009" s="28" t="s">
        <v>39</v>
      </c>
      <c r="K3009" s="28" t="s">
        <v>16223</v>
      </c>
      <c r="L3009" s="28" t="s">
        <v>16224</v>
      </c>
      <c r="M3009" s="28" t="s">
        <v>16555</v>
      </c>
      <c r="N3009" s="28" t="s">
        <v>16226</v>
      </c>
      <c r="O3009" s="28" t="s">
        <v>16227</v>
      </c>
      <c r="P3009" s="28" t="s">
        <v>16547</v>
      </c>
    </row>
    <row r="3010" spans="1:16" x14ac:dyDescent="0.25">
      <c r="A3010" s="28" t="s">
        <v>16556</v>
      </c>
      <c r="B3010" s="28" t="s">
        <v>16557</v>
      </c>
      <c r="C3010" s="28" t="s">
        <v>1684</v>
      </c>
      <c r="D3010" s="28" t="s">
        <v>5979</v>
      </c>
      <c r="E3010" s="28" t="s">
        <v>6023</v>
      </c>
      <c r="F3010" s="28" t="s">
        <v>21</v>
      </c>
      <c r="G3010" s="28" t="s">
        <v>39</v>
      </c>
      <c r="H3010" s="28" t="s">
        <v>16221</v>
      </c>
      <c r="I3010" s="28" t="s">
        <v>16558</v>
      </c>
      <c r="J3010" s="28" t="s">
        <v>39</v>
      </c>
      <c r="K3010" s="28" t="s">
        <v>16223</v>
      </c>
      <c r="L3010" s="28" t="s">
        <v>16224</v>
      </c>
      <c r="M3010" s="28" t="s">
        <v>16559</v>
      </c>
      <c r="N3010" s="28" t="s">
        <v>16226</v>
      </c>
      <c r="O3010" s="28" t="s">
        <v>16227</v>
      </c>
      <c r="P3010" s="28" t="s">
        <v>16547</v>
      </c>
    </row>
    <row r="3011" spans="1:16" x14ac:dyDescent="0.25">
      <c r="A3011" s="28" t="s">
        <v>16560</v>
      </c>
      <c r="B3011" s="28" t="s">
        <v>16561</v>
      </c>
      <c r="C3011" s="28" t="s">
        <v>1684</v>
      </c>
      <c r="D3011" s="28" t="s">
        <v>5979</v>
      </c>
      <c r="E3011" s="28" t="s">
        <v>6023</v>
      </c>
      <c r="F3011" s="28" t="s">
        <v>21</v>
      </c>
      <c r="G3011" s="28" t="s">
        <v>39</v>
      </c>
      <c r="H3011" s="28" t="s">
        <v>16221</v>
      </c>
      <c r="I3011" s="28" t="s">
        <v>16562</v>
      </c>
      <c r="J3011" s="28" t="s">
        <v>39</v>
      </c>
      <c r="K3011" s="28" t="s">
        <v>16223</v>
      </c>
      <c r="L3011" s="28" t="s">
        <v>16224</v>
      </c>
      <c r="M3011" s="28" t="s">
        <v>16563</v>
      </c>
      <c r="N3011" s="28" t="s">
        <v>16226</v>
      </c>
      <c r="O3011" s="28" t="s">
        <v>16227</v>
      </c>
      <c r="P3011" s="28" t="s">
        <v>16547</v>
      </c>
    </row>
    <row r="3012" spans="1:16" x14ac:dyDescent="0.25">
      <c r="A3012" s="28" t="s">
        <v>16564</v>
      </c>
      <c r="B3012" s="28" t="s">
        <v>16565</v>
      </c>
      <c r="C3012" s="28" t="s">
        <v>1684</v>
      </c>
      <c r="D3012" s="28" t="s">
        <v>5979</v>
      </c>
      <c r="E3012" s="28" t="s">
        <v>6023</v>
      </c>
      <c r="F3012" s="28" t="s">
        <v>21</v>
      </c>
      <c r="G3012" s="28" t="s">
        <v>39</v>
      </c>
      <c r="H3012" s="28" t="s">
        <v>16221</v>
      </c>
      <c r="I3012" s="28" t="s">
        <v>16566</v>
      </c>
      <c r="J3012" s="28" t="s">
        <v>39</v>
      </c>
      <c r="K3012" s="28" t="s">
        <v>16223</v>
      </c>
      <c r="L3012" s="28" t="s">
        <v>16224</v>
      </c>
      <c r="M3012" s="28" t="s">
        <v>16567</v>
      </c>
      <c r="N3012" s="28" t="s">
        <v>16226</v>
      </c>
      <c r="O3012" s="28" t="s">
        <v>16227</v>
      </c>
      <c r="P3012" s="28" t="s">
        <v>16547</v>
      </c>
    </row>
    <row r="3013" spans="1:16" x14ac:dyDescent="0.25">
      <c r="A3013" s="28" t="s">
        <v>16568</v>
      </c>
      <c r="B3013" s="28" t="s">
        <v>16569</v>
      </c>
      <c r="C3013" s="28" t="s">
        <v>1684</v>
      </c>
      <c r="D3013" s="28" t="s">
        <v>5979</v>
      </c>
      <c r="E3013" s="28" t="s">
        <v>6023</v>
      </c>
      <c r="F3013" s="28" t="s">
        <v>21</v>
      </c>
      <c r="G3013" s="28" t="s">
        <v>39</v>
      </c>
      <c r="H3013" s="28" t="s">
        <v>16221</v>
      </c>
      <c r="I3013" s="28" t="s">
        <v>16570</v>
      </c>
      <c r="J3013" s="28" t="s">
        <v>39</v>
      </c>
      <c r="K3013" s="28" t="s">
        <v>16223</v>
      </c>
      <c r="L3013" s="28" t="s">
        <v>16224</v>
      </c>
      <c r="M3013" s="28" t="s">
        <v>16571</v>
      </c>
      <c r="N3013" s="28" t="s">
        <v>16226</v>
      </c>
      <c r="O3013" s="28" t="s">
        <v>16227</v>
      </c>
      <c r="P3013" s="28" t="s">
        <v>16547</v>
      </c>
    </row>
    <row r="3014" spans="1:16" x14ac:dyDescent="0.25">
      <c r="A3014" s="28" t="s">
        <v>16572</v>
      </c>
      <c r="B3014" s="28" t="s">
        <v>16573</v>
      </c>
      <c r="C3014" s="28" t="s">
        <v>1684</v>
      </c>
      <c r="D3014" s="28" t="s">
        <v>120</v>
      </c>
      <c r="E3014" s="28" t="s">
        <v>7248</v>
      </c>
      <c r="F3014" s="28" t="s">
        <v>21</v>
      </c>
      <c r="G3014" s="28" t="s">
        <v>39</v>
      </c>
      <c r="H3014" s="28" t="s">
        <v>16221</v>
      </c>
      <c r="I3014" s="28" t="s">
        <v>16574</v>
      </c>
      <c r="J3014" s="28" t="s">
        <v>39</v>
      </c>
      <c r="K3014" s="28" t="s">
        <v>16223</v>
      </c>
      <c r="L3014" s="28" t="s">
        <v>16224</v>
      </c>
      <c r="M3014" s="28" t="s">
        <v>16575</v>
      </c>
      <c r="N3014" s="28" t="s">
        <v>16226</v>
      </c>
      <c r="O3014" s="28" t="s">
        <v>16227</v>
      </c>
      <c r="P3014" s="28" t="s">
        <v>16576</v>
      </c>
    </row>
    <row r="3015" spans="1:16" x14ac:dyDescent="0.25">
      <c r="A3015" s="28" t="s">
        <v>16577</v>
      </c>
      <c r="B3015" s="28" t="s">
        <v>16578</v>
      </c>
      <c r="C3015" s="28" t="s">
        <v>1684</v>
      </c>
      <c r="D3015" s="28" t="s">
        <v>120</v>
      </c>
      <c r="E3015" s="28" t="s">
        <v>7248</v>
      </c>
      <c r="F3015" s="28" t="s">
        <v>21</v>
      </c>
      <c r="G3015" s="28" t="s">
        <v>39</v>
      </c>
      <c r="H3015" s="28" t="s">
        <v>16221</v>
      </c>
      <c r="I3015" s="28" t="s">
        <v>16579</v>
      </c>
      <c r="J3015" s="28" t="s">
        <v>39</v>
      </c>
      <c r="K3015" s="28" t="s">
        <v>16223</v>
      </c>
      <c r="L3015" s="28" t="s">
        <v>16224</v>
      </c>
      <c r="M3015" s="28" t="s">
        <v>16580</v>
      </c>
      <c r="N3015" s="28" t="s">
        <v>16226</v>
      </c>
      <c r="O3015" s="28" t="s">
        <v>16227</v>
      </c>
      <c r="P3015" s="28" t="s">
        <v>16576</v>
      </c>
    </row>
    <row r="3016" spans="1:16" x14ac:dyDescent="0.25">
      <c r="A3016" s="28" t="s">
        <v>16581</v>
      </c>
      <c r="B3016" s="28" t="s">
        <v>16582</v>
      </c>
      <c r="C3016" s="28" t="s">
        <v>1684</v>
      </c>
      <c r="D3016" s="28" t="s">
        <v>6454</v>
      </c>
      <c r="E3016" s="28" t="s">
        <v>1941</v>
      </c>
      <c r="F3016" s="28" t="s">
        <v>21</v>
      </c>
      <c r="G3016" s="28" t="s">
        <v>39</v>
      </c>
      <c r="H3016" s="28" t="s">
        <v>16221</v>
      </c>
      <c r="I3016" s="28" t="s">
        <v>16583</v>
      </c>
      <c r="J3016" s="28" t="s">
        <v>39</v>
      </c>
      <c r="K3016" s="28" t="s">
        <v>16223</v>
      </c>
      <c r="L3016" s="28" t="s">
        <v>16224</v>
      </c>
      <c r="M3016" s="28" t="s">
        <v>16584</v>
      </c>
      <c r="N3016" s="28" t="s">
        <v>16226</v>
      </c>
      <c r="O3016" s="28" t="s">
        <v>16227</v>
      </c>
      <c r="P3016" s="28" t="s">
        <v>16585</v>
      </c>
    </row>
    <row r="3017" spans="1:16" x14ac:dyDescent="0.25">
      <c r="A3017" s="28" t="s">
        <v>16586</v>
      </c>
      <c r="B3017" s="28" t="s">
        <v>16587</v>
      </c>
      <c r="C3017" s="28" t="s">
        <v>1684</v>
      </c>
      <c r="D3017" s="28" t="s">
        <v>6454</v>
      </c>
      <c r="E3017" s="28" t="s">
        <v>1941</v>
      </c>
      <c r="F3017" s="28" t="s">
        <v>21</v>
      </c>
      <c r="G3017" s="28" t="s">
        <v>39</v>
      </c>
      <c r="H3017" s="28" t="s">
        <v>16221</v>
      </c>
      <c r="I3017" s="28" t="s">
        <v>16588</v>
      </c>
      <c r="J3017" s="28" t="s">
        <v>39</v>
      </c>
      <c r="K3017" s="28" t="s">
        <v>16223</v>
      </c>
      <c r="L3017" s="28" t="s">
        <v>16224</v>
      </c>
      <c r="M3017" s="28" t="s">
        <v>16589</v>
      </c>
      <c r="N3017" s="28" t="s">
        <v>16226</v>
      </c>
      <c r="O3017" s="28" t="s">
        <v>16227</v>
      </c>
      <c r="P3017" s="28" t="s">
        <v>16585</v>
      </c>
    </row>
    <row r="3018" spans="1:16" x14ac:dyDescent="0.25">
      <c r="A3018" s="28" t="s">
        <v>16590</v>
      </c>
      <c r="B3018" s="28" t="s">
        <v>16591</v>
      </c>
      <c r="C3018" s="28" t="s">
        <v>1684</v>
      </c>
      <c r="D3018" s="28" t="s">
        <v>1810</v>
      </c>
      <c r="E3018" s="28" t="s">
        <v>16264</v>
      </c>
      <c r="F3018" s="28" t="s">
        <v>21</v>
      </c>
      <c r="G3018" s="28" t="s">
        <v>39</v>
      </c>
      <c r="H3018" s="28" t="s">
        <v>16221</v>
      </c>
      <c r="I3018" s="28" t="s">
        <v>16592</v>
      </c>
      <c r="J3018" s="28" t="s">
        <v>39</v>
      </c>
      <c r="K3018" s="28" t="s">
        <v>16223</v>
      </c>
      <c r="L3018" s="28" t="s">
        <v>16224</v>
      </c>
      <c r="M3018" s="28" t="s">
        <v>16593</v>
      </c>
      <c r="N3018" s="28" t="s">
        <v>16226</v>
      </c>
      <c r="O3018" s="28" t="s">
        <v>16227</v>
      </c>
      <c r="P3018" s="28" t="s">
        <v>16267</v>
      </c>
    </row>
    <row r="3019" spans="1:16" x14ac:dyDescent="0.25">
      <c r="A3019" s="28" t="s">
        <v>16594</v>
      </c>
      <c r="B3019" s="28" t="s">
        <v>16595</v>
      </c>
      <c r="C3019" s="28" t="s">
        <v>1684</v>
      </c>
      <c r="D3019" s="28" t="s">
        <v>19</v>
      </c>
      <c r="E3019" s="28" t="s">
        <v>170</v>
      </c>
      <c r="F3019" s="28" t="s">
        <v>21</v>
      </c>
      <c r="G3019" s="28" t="s">
        <v>39</v>
      </c>
      <c r="H3019" s="28" t="s">
        <v>16221</v>
      </c>
      <c r="I3019" s="28" t="s">
        <v>16596</v>
      </c>
      <c r="J3019" s="28" t="s">
        <v>39</v>
      </c>
      <c r="K3019" s="28" t="s">
        <v>16223</v>
      </c>
      <c r="L3019" s="28" t="s">
        <v>16224</v>
      </c>
      <c r="M3019" s="28" t="s">
        <v>16597</v>
      </c>
      <c r="N3019" s="28" t="s">
        <v>16226</v>
      </c>
      <c r="O3019" s="28" t="s">
        <v>16227</v>
      </c>
      <c r="P3019" s="28" t="s">
        <v>16272</v>
      </c>
    </row>
    <row r="3020" spans="1:16" x14ac:dyDescent="0.25">
      <c r="A3020" s="28" t="s">
        <v>16598</v>
      </c>
      <c r="B3020" s="28" t="s">
        <v>16599</v>
      </c>
      <c r="C3020" s="28" t="s">
        <v>1684</v>
      </c>
      <c r="D3020" s="28" t="s">
        <v>19</v>
      </c>
      <c r="E3020" s="28" t="s">
        <v>4896</v>
      </c>
      <c r="F3020" s="28" t="s">
        <v>21</v>
      </c>
      <c r="G3020" s="28" t="s">
        <v>39</v>
      </c>
      <c r="H3020" s="28" t="s">
        <v>16221</v>
      </c>
      <c r="I3020" s="28" t="s">
        <v>16600</v>
      </c>
      <c r="J3020" s="28" t="s">
        <v>39</v>
      </c>
      <c r="K3020" s="28" t="s">
        <v>16223</v>
      </c>
      <c r="L3020" s="28" t="s">
        <v>16224</v>
      </c>
      <c r="M3020" s="28" t="s">
        <v>16601</v>
      </c>
      <c r="N3020" s="28" t="s">
        <v>16226</v>
      </c>
      <c r="O3020" s="28" t="s">
        <v>16227</v>
      </c>
      <c r="P3020" s="28" t="s">
        <v>16277</v>
      </c>
    </row>
    <row r="3021" spans="1:16" x14ac:dyDescent="0.25">
      <c r="A3021" s="28" t="s">
        <v>16602</v>
      </c>
      <c r="B3021" s="28" t="s">
        <v>16603</v>
      </c>
      <c r="C3021" s="28" t="s">
        <v>1684</v>
      </c>
      <c r="D3021" s="28" t="s">
        <v>19</v>
      </c>
      <c r="E3021" s="28" t="s">
        <v>4896</v>
      </c>
      <c r="F3021" s="28" t="s">
        <v>21</v>
      </c>
      <c r="G3021" s="28" t="s">
        <v>39</v>
      </c>
      <c r="H3021" s="28" t="s">
        <v>16221</v>
      </c>
      <c r="I3021" s="28" t="s">
        <v>16604</v>
      </c>
      <c r="J3021" s="28" t="s">
        <v>39</v>
      </c>
      <c r="K3021" s="28" t="s">
        <v>16223</v>
      </c>
      <c r="L3021" s="28" t="s">
        <v>16224</v>
      </c>
      <c r="M3021" s="28" t="s">
        <v>16605</v>
      </c>
      <c r="N3021" s="28" t="s">
        <v>16226</v>
      </c>
      <c r="O3021" s="28" t="s">
        <v>16227</v>
      </c>
      <c r="P3021" s="28" t="s">
        <v>16277</v>
      </c>
    </row>
    <row r="3022" spans="1:16" x14ac:dyDescent="0.25">
      <c r="A3022" s="28" t="s">
        <v>16606</v>
      </c>
      <c r="B3022" s="28" t="s">
        <v>16607</v>
      </c>
      <c r="C3022" s="28" t="s">
        <v>1684</v>
      </c>
      <c r="D3022" s="28" t="s">
        <v>19</v>
      </c>
      <c r="E3022" s="28" t="s">
        <v>144</v>
      </c>
      <c r="F3022" s="28" t="s">
        <v>21</v>
      </c>
      <c r="G3022" s="28" t="s">
        <v>39</v>
      </c>
      <c r="H3022" s="28" t="s">
        <v>16221</v>
      </c>
      <c r="I3022" s="28" t="s">
        <v>16608</v>
      </c>
      <c r="J3022" s="28" t="s">
        <v>39</v>
      </c>
      <c r="K3022" s="28" t="s">
        <v>16223</v>
      </c>
      <c r="L3022" s="28" t="s">
        <v>16224</v>
      </c>
      <c r="M3022" s="28" t="s">
        <v>16609</v>
      </c>
      <c r="N3022" s="28" t="s">
        <v>16226</v>
      </c>
      <c r="O3022" s="28" t="s">
        <v>16227</v>
      </c>
      <c r="P3022" s="28" t="s">
        <v>16294</v>
      </c>
    </row>
    <row r="3023" spans="1:16" x14ac:dyDescent="0.25">
      <c r="A3023" s="28" t="s">
        <v>16610</v>
      </c>
      <c r="B3023" s="28" t="s">
        <v>16611</v>
      </c>
      <c r="C3023" s="28" t="s">
        <v>1684</v>
      </c>
      <c r="D3023" s="28" t="s">
        <v>19</v>
      </c>
      <c r="E3023" s="28" t="s">
        <v>144</v>
      </c>
      <c r="F3023" s="28" t="s">
        <v>21</v>
      </c>
      <c r="G3023" s="28" t="s">
        <v>39</v>
      </c>
      <c r="H3023" s="28" t="s">
        <v>16221</v>
      </c>
      <c r="I3023" s="28" t="s">
        <v>16612</v>
      </c>
      <c r="J3023" s="28" t="s">
        <v>39</v>
      </c>
      <c r="K3023" s="28" t="s">
        <v>16223</v>
      </c>
      <c r="L3023" s="28" t="s">
        <v>16224</v>
      </c>
      <c r="M3023" s="28" t="s">
        <v>16613</v>
      </c>
      <c r="N3023" s="28" t="s">
        <v>16226</v>
      </c>
      <c r="O3023" s="28" t="s">
        <v>16227</v>
      </c>
      <c r="P3023" s="28" t="s">
        <v>16294</v>
      </c>
    </row>
    <row r="3024" spans="1:16" x14ac:dyDescent="0.25">
      <c r="A3024" s="28" t="s">
        <v>16614</v>
      </c>
      <c r="B3024" s="28" t="s">
        <v>16615</v>
      </c>
      <c r="C3024" s="28" t="s">
        <v>1684</v>
      </c>
      <c r="D3024" s="28" t="s">
        <v>19</v>
      </c>
      <c r="E3024" s="28" t="s">
        <v>183</v>
      </c>
      <c r="F3024" s="28" t="s">
        <v>21</v>
      </c>
      <c r="G3024" s="28" t="s">
        <v>39</v>
      </c>
      <c r="H3024" s="28" t="s">
        <v>16221</v>
      </c>
      <c r="I3024" s="28" t="s">
        <v>16616</v>
      </c>
      <c r="J3024" s="28" t="s">
        <v>39</v>
      </c>
      <c r="K3024" s="28" t="s">
        <v>16223</v>
      </c>
      <c r="L3024" s="28" t="s">
        <v>16224</v>
      </c>
      <c r="M3024" s="28" t="s">
        <v>16617</v>
      </c>
      <c r="N3024" s="28" t="s">
        <v>16226</v>
      </c>
      <c r="O3024" s="28" t="s">
        <v>16227</v>
      </c>
      <c r="P3024" s="28" t="s">
        <v>16303</v>
      </c>
    </row>
    <row r="3025" spans="1:16" x14ac:dyDescent="0.25">
      <c r="A3025" s="28" t="s">
        <v>16618</v>
      </c>
      <c r="B3025" s="28" t="s">
        <v>16619</v>
      </c>
      <c r="C3025" s="28" t="s">
        <v>1684</v>
      </c>
      <c r="D3025" s="28" t="s">
        <v>19</v>
      </c>
      <c r="E3025" s="28" t="s">
        <v>183</v>
      </c>
      <c r="F3025" s="28" t="s">
        <v>21</v>
      </c>
      <c r="G3025" s="28" t="s">
        <v>39</v>
      </c>
      <c r="H3025" s="28" t="s">
        <v>16221</v>
      </c>
      <c r="I3025" s="28" t="s">
        <v>16620</v>
      </c>
      <c r="J3025" s="28" t="s">
        <v>39</v>
      </c>
      <c r="K3025" s="28" t="s">
        <v>16223</v>
      </c>
      <c r="L3025" s="28" t="s">
        <v>16224</v>
      </c>
      <c r="M3025" s="28" t="s">
        <v>16621</v>
      </c>
      <c r="N3025" s="28" t="s">
        <v>16226</v>
      </c>
      <c r="O3025" s="28" t="s">
        <v>16227</v>
      </c>
      <c r="P3025" s="28" t="s">
        <v>16303</v>
      </c>
    </row>
    <row r="3026" spans="1:16" x14ac:dyDescent="0.25">
      <c r="A3026" s="28" t="s">
        <v>16622</v>
      </c>
      <c r="B3026" s="28" t="s">
        <v>16623</v>
      </c>
      <c r="C3026" s="28" t="s">
        <v>1684</v>
      </c>
      <c r="D3026" s="28" t="s">
        <v>19</v>
      </c>
      <c r="E3026" s="28" t="s">
        <v>10366</v>
      </c>
      <c r="F3026" s="28" t="s">
        <v>21</v>
      </c>
      <c r="G3026" s="28" t="s">
        <v>39</v>
      </c>
      <c r="H3026" s="28" t="s">
        <v>16221</v>
      </c>
      <c r="I3026" s="28" t="s">
        <v>16624</v>
      </c>
      <c r="J3026" s="28" t="s">
        <v>39</v>
      </c>
      <c r="K3026" s="28" t="s">
        <v>16223</v>
      </c>
      <c r="L3026" s="28" t="s">
        <v>16224</v>
      </c>
      <c r="M3026" s="28" t="s">
        <v>16625</v>
      </c>
      <c r="N3026" s="28" t="s">
        <v>16226</v>
      </c>
      <c r="O3026" s="28" t="s">
        <v>16227</v>
      </c>
      <c r="P3026" s="28" t="s">
        <v>16626</v>
      </c>
    </row>
    <row r="3027" spans="1:16" x14ac:dyDescent="0.25">
      <c r="A3027" s="28" t="s">
        <v>16627</v>
      </c>
      <c r="B3027" s="28" t="s">
        <v>16628</v>
      </c>
      <c r="C3027" s="28" t="s">
        <v>1684</v>
      </c>
      <c r="D3027" s="28" t="s">
        <v>19</v>
      </c>
      <c r="E3027" s="28" t="s">
        <v>10366</v>
      </c>
      <c r="F3027" s="28" t="s">
        <v>21</v>
      </c>
      <c r="G3027" s="28" t="s">
        <v>39</v>
      </c>
      <c r="H3027" s="28" t="s">
        <v>16221</v>
      </c>
      <c r="I3027" s="28" t="s">
        <v>16629</v>
      </c>
      <c r="J3027" s="28" t="s">
        <v>39</v>
      </c>
      <c r="K3027" s="28" t="s">
        <v>16223</v>
      </c>
      <c r="L3027" s="28" t="s">
        <v>16224</v>
      </c>
      <c r="M3027" s="28" t="s">
        <v>16630</v>
      </c>
      <c r="N3027" s="28" t="s">
        <v>16226</v>
      </c>
      <c r="O3027" s="28" t="s">
        <v>16227</v>
      </c>
      <c r="P3027" s="28" t="s">
        <v>16626</v>
      </c>
    </row>
    <row r="3028" spans="1:16" x14ac:dyDescent="0.25">
      <c r="A3028" s="28" t="s">
        <v>16631</v>
      </c>
      <c r="B3028" s="28" t="s">
        <v>16632</v>
      </c>
      <c r="C3028" s="28" t="s">
        <v>1684</v>
      </c>
      <c r="D3028" s="28" t="s">
        <v>19</v>
      </c>
      <c r="E3028" s="28" t="s">
        <v>10384</v>
      </c>
      <c r="F3028" s="28" t="s">
        <v>21</v>
      </c>
      <c r="G3028" s="28" t="s">
        <v>39</v>
      </c>
      <c r="H3028" s="28" t="s">
        <v>16221</v>
      </c>
      <c r="I3028" s="28" t="s">
        <v>16633</v>
      </c>
      <c r="J3028" s="28" t="s">
        <v>39</v>
      </c>
      <c r="K3028" s="28" t="s">
        <v>16223</v>
      </c>
      <c r="L3028" s="28" t="s">
        <v>16224</v>
      </c>
      <c r="M3028" s="28" t="s">
        <v>16634</v>
      </c>
      <c r="N3028" s="28" t="s">
        <v>16226</v>
      </c>
      <c r="O3028" s="28" t="s">
        <v>16227</v>
      </c>
      <c r="P3028" s="28" t="s">
        <v>16635</v>
      </c>
    </row>
    <row r="3029" spans="1:16" x14ac:dyDescent="0.25">
      <c r="A3029" s="28" t="s">
        <v>16636</v>
      </c>
      <c r="B3029" s="28" t="s">
        <v>16637</v>
      </c>
      <c r="C3029" s="28" t="s">
        <v>1684</v>
      </c>
      <c r="D3029" s="28" t="s">
        <v>19</v>
      </c>
      <c r="E3029" s="28" t="s">
        <v>10384</v>
      </c>
      <c r="F3029" s="28" t="s">
        <v>21</v>
      </c>
      <c r="G3029" s="28" t="s">
        <v>39</v>
      </c>
      <c r="H3029" s="28" t="s">
        <v>16221</v>
      </c>
      <c r="I3029" s="28" t="s">
        <v>16638</v>
      </c>
      <c r="J3029" s="28" t="s">
        <v>39</v>
      </c>
      <c r="K3029" s="28" t="s">
        <v>16223</v>
      </c>
      <c r="L3029" s="28" t="s">
        <v>16224</v>
      </c>
      <c r="M3029" s="28" t="s">
        <v>16639</v>
      </c>
      <c r="N3029" s="28" t="s">
        <v>16226</v>
      </c>
      <c r="O3029" s="28" t="s">
        <v>16227</v>
      </c>
      <c r="P3029" s="28" t="s">
        <v>16635</v>
      </c>
    </row>
    <row r="3030" spans="1:16" x14ac:dyDescent="0.25">
      <c r="A3030" s="28" t="s">
        <v>16640</v>
      </c>
      <c r="B3030" s="28" t="s">
        <v>16641</v>
      </c>
      <c r="C3030" s="28" t="s">
        <v>1684</v>
      </c>
      <c r="D3030" s="28" t="s">
        <v>19</v>
      </c>
      <c r="E3030" s="28" t="s">
        <v>10390</v>
      </c>
      <c r="F3030" s="28" t="s">
        <v>21</v>
      </c>
      <c r="G3030" s="28" t="s">
        <v>39</v>
      </c>
      <c r="H3030" s="28" t="s">
        <v>16221</v>
      </c>
      <c r="I3030" s="28" t="s">
        <v>16642</v>
      </c>
      <c r="J3030" s="28" t="s">
        <v>39</v>
      </c>
      <c r="K3030" s="28" t="s">
        <v>16223</v>
      </c>
      <c r="L3030" s="28" t="s">
        <v>16224</v>
      </c>
      <c r="M3030" s="28" t="s">
        <v>16643</v>
      </c>
      <c r="N3030" s="28" t="s">
        <v>16226</v>
      </c>
      <c r="O3030" s="28" t="s">
        <v>16227</v>
      </c>
      <c r="P3030" s="28" t="s">
        <v>16644</v>
      </c>
    </row>
    <row r="3031" spans="1:16" x14ac:dyDescent="0.25">
      <c r="A3031" s="28" t="s">
        <v>16645</v>
      </c>
      <c r="B3031" s="28" t="s">
        <v>16646</v>
      </c>
      <c r="C3031" s="28" t="s">
        <v>1684</v>
      </c>
      <c r="D3031" s="28" t="s">
        <v>19</v>
      </c>
      <c r="E3031" s="28" t="s">
        <v>10390</v>
      </c>
      <c r="F3031" s="28" t="s">
        <v>21</v>
      </c>
      <c r="G3031" s="28" t="s">
        <v>39</v>
      </c>
      <c r="H3031" s="28" t="s">
        <v>16221</v>
      </c>
      <c r="I3031" s="28" t="s">
        <v>16647</v>
      </c>
      <c r="J3031" s="28" t="s">
        <v>39</v>
      </c>
      <c r="K3031" s="28" t="s">
        <v>16223</v>
      </c>
      <c r="L3031" s="28" t="s">
        <v>16224</v>
      </c>
      <c r="M3031" s="28" t="s">
        <v>16648</v>
      </c>
      <c r="N3031" s="28" t="s">
        <v>16226</v>
      </c>
      <c r="O3031" s="28" t="s">
        <v>16227</v>
      </c>
      <c r="P3031" s="28" t="s">
        <v>16644</v>
      </c>
    </row>
    <row r="3032" spans="1:16" x14ac:dyDescent="0.25">
      <c r="A3032" s="28" t="s">
        <v>16649</v>
      </c>
      <c r="B3032" s="28" t="s">
        <v>16650</v>
      </c>
      <c r="C3032" s="28" t="s">
        <v>1684</v>
      </c>
      <c r="D3032" s="28" t="s">
        <v>19</v>
      </c>
      <c r="E3032" s="28" t="s">
        <v>10408</v>
      </c>
      <c r="F3032" s="28" t="s">
        <v>21</v>
      </c>
      <c r="G3032" s="28" t="s">
        <v>39</v>
      </c>
      <c r="H3032" s="28" t="s">
        <v>16221</v>
      </c>
      <c r="I3032" s="28" t="s">
        <v>16651</v>
      </c>
      <c r="J3032" s="28" t="s">
        <v>39</v>
      </c>
      <c r="K3032" s="28" t="s">
        <v>16223</v>
      </c>
      <c r="L3032" s="28" t="s">
        <v>16224</v>
      </c>
      <c r="M3032" s="28" t="s">
        <v>16652</v>
      </c>
      <c r="N3032" s="28" t="s">
        <v>16226</v>
      </c>
      <c r="O3032" s="28" t="s">
        <v>16227</v>
      </c>
      <c r="P3032" s="28" t="s">
        <v>16653</v>
      </c>
    </row>
    <row r="3033" spans="1:16" x14ac:dyDescent="0.25">
      <c r="A3033" s="28" t="s">
        <v>16654</v>
      </c>
      <c r="B3033" s="28" t="s">
        <v>16655</v>
      </c>
      <c r="C3033" s="28" t="s">
        <v>1684</v>
      </c>
      <c r="D3033" s="28" t="s">
        <v>19</v>
      </c>
      <c r="E3033" s="28" t="s">
        <v>10408</v>
      </c>
      <c r="F3033" s="28" t="s">
        <v>21</v>
      </c>
      <c r="G3033" s="28" t="s">
        <v>39</v>
      </c>
      <c r="H3033" s="28" t="s">
        <v>16221</v>
      </c>
      <c r="I3033" s="28" t="s">
        <v>16656</v>
      </c>
      <c r="J3033" s="28" t="s">
        <v>39</v>
      </c>
      <c r="K3033" s="28" t="s">
        <v>16223</v>
      </c>
      <c r="L3033" s="28" t="s">
        <v>16224</v>
      </c>
      <c r="M3033" s="28" t="s">
        <v>16657</v>
      </c>
      <c r="N3033" s="28" t="s">
        <v>16226</v>
      </c>
      <c r="O3033" s="28" t="s">
        <v>16227</v>
      </c>
      <c r="P3033" s="28" t="s">
        <v>16653</v>
      </c>
    </row>
    <row r="3034" spans="1:16" x14ac:dyDescent="0.25">
      <c r="A3034" s="28" t="s">
        <v>16658</v>
      </c>
      <c r="B3034" s="28" t="s">
        <v>16659</v>
      </c>
      <c r="C3034" s="28" t="s">
        <v>1684</v>
      </c>
      <c r="D3034" s="28" t="s">
        <v>19</v>
      </c>
      <c r="E3034" s="28" t="s">
        <v>10414</v>
      </c>
      <c r="F3034" s="28" t="s">
        <v>21</v>
      </c>
      <c r="G3034" s="28" t="s">
        <v>39</v>
      </c>
      <c r="H3034" s="28" t="s">
        <v>16221</v>
      </c>
      <c r="I3034" s="28" t="s">
        <v>16660</v>
      </c>
      <c r="J3034" s="28" t="s">
        <v>39</v>
      </c>
      <c r="K3034" s="28" t="s">
        <v>16223</v>
      </c>
      <c r="L3034" s="28" t="s">
        <v>16224</v>
      </c>
      <c r="M3034" s="28" t="s">
        <v>16661</v>
      </c>
      <c r="N3034" s="28" t="s">
        <v>16226</v>
      </c>
      <c r="O3034" s="28" t="s">
        <v>16227</v>
      </c>
      <c r="P3034" s="28" t="s">
        <v>16321</v>
      </c>
    </row>
    <row r="3035" spans="1:16" x14ac:dyDescent="0.25">
      <c r="A3035" s="28" t="s">
        <v>16662</v>
      </c>
      <c r="B3035" s="28" t="s">
        <v>16663</v>
      </c>
      <c r="C3035" s="28" t="s">
        <v>1684</v>
      </c>
      <c r="D3035" s="28" t="s">
        <v>19</v>
      </c>
      <c r="E3035" s="28" t="s">
        <v>10414</v>
      </c>
      <c r="F3035" s="28" t="s">
        <v>21</v>
      </c>
      <c r="G3035" s="28" t="s">
        <v>39</v>
      </c>
      <c r="H3035" s="28" t="s">
        <v>16221</v>
      </c>
      <c r="I3035" s="28" t="s">
        <v>16664</v>
      </c>
      <c r="J3035" s="28" t="s">
        <v>39</v>
      </c>
      <c r="K3035" s="28" t="s">
        <v>16223</v>
      </c>
      <c r="L3035" s="28" t="s">
        <v>16224</v>
      </c>
      <c r="M3035" s="28" t="s">
        <v>16665</v>
      </c>
      <c r="N3035" s="28" t="s">
        <v>16226</v>
      </c>
      <c r="O3035" s="28" t="s">
        <v>16227</v>
      </c>
      <c r="P3035" s="28" t="s">
        <v>16321</v>
      </c>
    </row>
    <row r="3036" spans="1:16" x14ac:dyDescent="0.25">
      <c r="A3036" s="28" t="s">
        <v>16666</v>
      </c>
      <c r="B3036" s="28" t="s">
        <v>16667</v>
      </c>
      <c r="C3036" s="28" t="s">
        <v>1684</v>
      </c>
      <c r="D3036" s="28" t="s">
        <v>19</v>
      </c>
      <c r="E3036" s="28" t="s">
        <v>191</v>
      </c>
      <c r="F3036" s="28" t="s">
        <v>21</v>
      </c>
      <c r="G3036" s="28" t="s">
        <v>39</v>
      </c>
      <c r="H3036" s="28" t="s">
        <v>16221</v>
      </c>
      <c r="I3036" s="28" t="s">
        <v>16668</v>
      </c>
      <c r="J3036" s="28" t="s">
        <v>39</v>
      </c>
      <c r="K3036" s="28" t="s">
        <v>16223</v>
      </c>
      <c r="L3036" s="28" t="s">
        <v>16224</v>
      </c>
      <c r="M3036" s="28" t="s">
        <v>16669</v>
      </c>
      <c r="N3036" s="28" t="s">
        <v>16226</v>
      </c>
      <c r="O3036" s="28" t="s">
        <v>16227</v>
      </c>
      <c r="P3036" s="28" t="s">
        <v>16330</v>
      </c>
    </row>
    <row r="3037" spans="1:16" x14ac:dyDescent="0.25">
      <c r="A3037" s="28" t="s">
        <v>16670</v>
      </c>
      <c r="B3037" s="28" t="s">
        <v>16671</v>
      </c>
      <c r="C3037" s="28" t="s">
        <v>1684</v>
      </c>
      <c r="D3037" s="28" t="s">
        <v>19</v>
      </c>
      <c r="E3037" s="28" t="s">
        <v>191</v>
      </c>
      <c r="F3037" s="28" t="s">
        <v>21</v>
      </c>
      <c r="G3037" s="28" t="s">
        <v>39</v>
      </c>
      <c r="H3037" s="28" t="s">
        <v>16221</v>
      </c>
      <c r="I3037" s="28" t="s">
        <v>16672</v>
      </c>
      <c r="J3037" s="28" t="s">
        <v>39</v>
      </c>
      <c r="K3037" s="28" t="s">
        <v>16223</v>
      </c>
      <c r="L3037" s="28" t="s">
        <v>16224</v>
      </c>
      <c r="M3037" s="28" t="s">
        <v>16673</v>
      </c>
      <c r="N3037" s="28" t="s">
        <v>16226</v>
      </c>
      <c r="O3037" s="28" t="s">
        <v>16227</v>
      </c>
      <c r="P3037" s="28" t="s">
        <v>16330</v>
      </c>
    </row>
    <row r="3038" spans="1:16" x14ac:dyDescent="0.25">
      <c r="A3038" s="28" t="s">
        <v>16674</v>
      </c>
      <c r="B3038" s="28" t="s">
        <v>16675</v>
      </c>
      <c r="C3038" s="28" t="s">
        <v>1684</v>
      </c>
      <c r="D3038" s="28" t="s">
        <v>19</v>
      </c>
      <c r="E3038" s="28" t="s">
        <v>10447</v>
      </c>
      <c r="F3038" s="28" t="s">
        <v>21</v>
      </c>
      <c r="G3038" s="28" t="s">
        <v>39</v>
      </c>
      <c r="H3038" s="28" t="s">
        <v>16221</v>
      </c>
      <c r="I3038" s="28" t="s">
        <v>16676</v>
      </c>
      <c r="J3038" s="28" t="s">
        <v>39</v>
      </c>
      <c r="K3038" s="28" t="s">
        <v>16223</v>
      </c>
      <c r="L3038" s="28" t="s">
        <v>16224</v>
      </c>
      <c r="M3038" s="28" t="s">
        <v>16677</v>
      </c>
      <c r="N3038" s="28" t="s">
        <v>16226</v>
      </c>
      <c r="O3038" s="28" t="s">
        <v>16227</v>
      </c>
      <c r="P3038" s="28" t="s">
        <v>16348</v>
      </c>
    </row>
    <row r="3039" spans="1:16" x14ac:dyDescent="0.25">
      <c r="A3039" s="28" t="s">
        <v>16678</v>
      </c>
      <c r="B3039" s="28" t="s">
        <v>16679</v>
      </c>
      <c r="C3039" s="28" t="s">
        <v>1684</v>
      </c>
      <c r="D3039" s="28" t="s">
        <v>19</v>
      </c>
      <c r="E3039" s="28" t="s">
        <v>10447</v>
      </c>
      <c r="F3039" s="28" t="s">
        <v>21</v>
      </c>
      <c r="G3039" s="28" t="s">
        <v>39</v>
      </c>
      <c r="H3039" s="28" t="s">
        <v>16221</v>
      </c>
      <c r="I3039" s="28" t="s">
        <v>16680</v>
      </c>
      <c r="J3039" s="28" t="s">
        <v>39</v>
      </c>
      <c r="K3039" s="28" t="s">
        <v>16223</v>
      </c>
      <c r="L3039" s="28" t="s">
        <v>16224</v>
      </c>
      <c r="M3039" s="28" t="s">
        <v>16681</v>
      </c>
      <c r="N3039" s="28" t="s">
        <v>16226</v>
      </c>
      <c r="O3039" s="28" t="s">
        <v>16227</v>
      </c>
      <c r="P3039" s="28" t="s">
        <v>16348</v>
      </c>
    </row>
    <row r="3040" spans="1:16" x14ac:dyDescent="0.25">
      <c r="A3040" s="28" t="s">
        <v>16682</v>
      </c>
      <c r="B3040" s="28" t="s">
        <v>16683</v>
      </c>
      <c r="C3040" s="28" t="s">
        <v>1684</v>
      </c>
      <c r="D3040" s="28" t="s">
        <v>19</v>
      </c>
      <c r="E3040" s="28" t="s">
        <v>10453</v>
      </c>
      <c r="F3040" s="28" t="s">
        <v>21</v>
      </c>
      <c r="G3040" s="28" t="s">
        <v>39</v>
      </c>
      <c r="H3040" s="28" t="s">
        <v>16221</v>
      </c>
      <c r="I3040" s="28" t="s">
        <v>16684</v>
      </c>
      <c r="J3040" s="28" t="s">
        <v>39</v>
      </c>
      <c r="K3040" s="28" t="s">
        <v>16223</v>
      </c>
      <c r="L3040" s="28" t="s">
        <v>16224</v>
      </c>
      <c r="M3040" s="28" t="s">
        <v>16685</v>
      </c>
      <c r="N3040" s="28" t="s">
        <v>16226</v>
      </c>
      <c r="O3040" s="28" t="s">
        <v>16227</v>
      </c>
      <c r="P3040" s="28" t="s">
        <v>16686</v>
      </c>
    </row>
    <row r="3041" spans="1:16" x14ac:dyDescent="0.25">
      <c r="A3041" s="28" t="s">
        <v>16687</v>
      </c>
      <c r="B3041" s="28" t="s">
        <v>16688</v>
      </c>
      <c r="C3041" s="28" t="s">
        <v>1684</v>
      </c>
      <c r="D3041" s="28" t="s">
        <v>19</v>
      </c>
      <c r="E3041" s="28" t="s">
        <v>10453</v>
      </c>
      <c r="F3041" s="28" t="s">
        <v>21</v>
      </c>
      <c r="G3041" s="28" t="s">
        <v>39</v>
      </c>
      <c r="H3041" s="28" t="s">
        <v>16221</v>
      </c>
      <c r="I3041" s="28" t="s">
        <v>16689</v>
      </c>
      <c r="J3041" s="28" t="s">
        <v>39</v>
      </c>
      <c r="K3041" s="28" t="s">
        <v>16223</v>
      </c>
      <c r="L3041" s="28" t="s">
        <v>16224</v>
      </c>
      <c r="M3041" s="28" t="s">
        <v>16690</v>
      </c>
      <c r="N3041" s="28" t="s">
        <v>16226</v>
      </c>
      <c r="O3041" s="28" t="s">
        <v>16227</v>
      </c>
      <c r="P3041" s="28" t="s">
        <v>16686</v>
      </c>
    </row>
    <row r="3042" spans="1:16" x14ac:dyDescent="0.25">
      <c r="A3042" s="28" t="s">
        <v>16691</v>
      </c>
      <c r="B3042" s="28" t="s">
        <v>16692</v>
      </c>
      <c r="C3042" s="28" t="s">
        <v>1684</v>
      </c>
      <c r="D3042" s="28" t="s">
        <v>19</v>
      </c>
      <c r="E3042" s="28" t="s">
        <v>226</v>
      </c>
      <c r="F3042" s="28" t="s">
        <v>21</v>
      </c>
      <c r="G3042" s="28" t="s">
        <v>39</v>
      </c>
      <c r="H3042" s="28" t="s">
        <v>16221</v>
      </c>
      <c r="I3042" s="28" t="s">
        <v>16693</v>
      </c>
      <c r="J3042" s="28" t="s">
        <v>39</v>
      </c>
      <c r="K3042" s="28" t="s">
        <v>16223</v>
      </c>
      <c r="L3042" s="28" t="s">
        <v>16224</v>
      </c>
      <c r="M3042" s="28" t="s">
        <v>16694</v>
      </c>
      <c r="N3042" s="28" t="s">
        <v>16226</v>
      </c>
      <c r="O3042" s="28" t="s">
        <v>16227</v>
      </c>
      <c r="P3042" s="28" t="s">
        <v>16695</v>
      </c>
    </row>
    <row r="3043" spans="1:16" x14ac:dyDescent="0.25">
      <c r="A3043" s="28" t="s">
        <v>16696</v>
      </c>
      <c r="B3043" s="28" t="s">
        <v>16697</v>
      </c>
      <c r="C3043" s="28" t="s">
        <v>1684</v>
      </c>
      <c r="D3043" s="28" t="s">
        <v>10730</v>
      </c>
      <c r="E3043" s="28" t="s">
        <v>16698</v>
      </c>
      <c r="F3043" s="28" t="s">
        <v>21</v>
      </c>
      <c r="G3043" s="28" t="s">
        <v>39</v>
      </c>
      <c r="H3043" s="28" t="s">
        <v>16221</v>
      </c>
      <c r="I3043" s="28" t="s">
        <v>16699</v>
      </c>
      <c r="J3043" s="28" t="s">
        <v>39</v>
      </c>
      <c r="K3043" s="28" t="s">
        <v>16223</v>
      </c>
      <c r="L3043" s="28" t="s">
        <v>16224</v>
      </c>
      <c r="M3043" s="28" t="s">
        <v>16700</v>
      </c>
      <c r="N3043" s="28" t="s">
        <v>16226</v>
      </c>
      <c r="O3043" s="28" t="s">
        <v>16227</v>
      </c>
      <c r="P3043" s="28" t="s">
        <v>16701</v>
      </c>
    </row>
    <row r="3044" spans="1:16" x14ac:dyDescent="0.25">
      <c r="A3044" s="28" t="s">
        <v>16702</v>
      </c>
      <c r="B3044" s="28" t="s">
        <v>16703</v>
      </c>
      <c r="C3044" s="28" t="s">
        <v>1684</v>
      </c>
      <c r="D3044" s="28" t="s">
        <v>10730</v>
      </c>
      <c r="E3044" s="28" t="s">
        <v>16698</v>
      </c>
      <c r="F3044" s="28" t="s">
        <v>21</v>
      </c>
      <c r="G3044" s="28" t="s">
        <v>39</v>
      </c>
      <c r="H3044" s="28" t="s">
        <v>16221</v>
      </c>
      <c r="I3044" s="28" t="s">
        <v>16704</v>
      </c>
      <c r="J3044" s="28" t="s">
        <v>39</v>
      </c>
      <c r="K3044" s="28" t="s">
        <v>16223</v>
      </c>
      <c r="L3044" s="28" t="s">
        <v>16224</v>
      </c>
      <c r="M3044" s="28" t="s">
        <v>16705</v>
      </c>
      <c r="N3044" s="28" t="s">
        <v>16226</v>
      </c>
      <c r="O3044" s="28" t="s">
        <v>16227</v>
      </c>
      <c r="P3044" s="28" t="s">
        <v>16701</v>
      </c>
    </row>
    <row r="3045" spans="1:16" x14ac:dyDescent="0.25">
      <c r="A3045" s="28" t="s">
        <v>16706</v>
      </c>
      <c r="B3045" s="28" t="s">
        <v>16707</v>
      </c>
      <c r="C3045" s="28" t="s">
        <v>1684</v>
      </c>
      <c r="D3045" s="28" t="s">
        <v>10730</v>
      </c>
      <c r="E3045" s="28" t="s">
        <v>16698</v>
      </c>
      <c r="F3045" s="28" t="s">
        <v>21</v>
      </c>
      <c r="G3045" s="28" t="s">
        <v>39</v>
      </c>
      <c r="H3045" s="28" t="s">
        <v>16221</v>
      </c>
      <c r="I3045" s="28" t="s">
        <v>16708</v>
      </c>
      <c r="J3045" s="28" t="s">
        <v>39</v>
      </c>
      <c r="K3045" s="28" t="s">
        <v>16223</v>
      </c>
      <c r="L3045" s="28" t="s">
        <v>16224</v>
      </c>
      <c r="M3045" s="28" t="s">
        <v>16709</v>
      </c>
      <c r="N3045" s="28" t="s">
        <v>16226</v>
      </c>
      <c r="O3045" s="28" t="s">
        <v>16227</v>
      </c>
      <c r="P3045" s="28" t="s">
        <v>16701</v>
      </c>
    </row>
    <row r="3046" spans="1:16" x14ac:dyDescent="0.25">
      <c r="A3046" s="28" t="s">
        <v>16710</v>
      </c>
      <c r="B3046" s="28" t="s">
        <v>16711</v>
      </c>
      <c r="C3046" s="28" t="s">
        <v>1684</v>
      </c>
      <c r="D3046" s="28" t="s">
        <v>10730</v>
      </c>
      <c r="E3046" s="28" t="s">
        <v>16698</v>
      </c>
      <c r="F3046" s="28" t="s">
        <v>21</v>
      </c>
      <c r="G3046" s="28" t="s">
        <v>39</v>
      </c>
      <c r="H3046" s="28" t="s">
        <v>16221</v>
      </c>
      <c r="I3046" s="28" t="s">
        <v>16712</v>
      </c>
      <c r="J3046" s="28" t="s">
        <v>39</v>
      </c>
      <c r="K3046" s="28" t="s">
        <v>16223</v>
      </c>
      <c r="L3046" s="28" t="s">
        <v>16224</v>
      </c>
      <c r="M3046" s="28" t="s">
        <v>16713</v>
      </c>
      <c r="N3046" s="28" t="s">
        <v>16226</v>
      </c>
      <c r="O3046" s="28" t="s">
        <v>16227</v>
      </c>
      <c r="P3046" s="28" t="s">
        <v>16701</v>
      </c>
    </row>
    <row r="3047" spans="1:16" x14ac:dyDescent="0.25">
      <c r="A3047" s="28" t="s">
        <v>16714</v>
      </c>
      <c r="B3047" s="28" t="s">
        <v>16715</v>
      </c>
      <c r="C3047" s="28" t="s">
        <v>1684</v>
      </c>
      <c r="D3047" s="28" t="s">
        <v>10730</v>
      </c>
      <c r="E3047" s="28" t="s">
        <v>16716</v>
      </c>
      <c r="F3047" s="28" t="s">
        <v>21</v>
      </c>
      <c r="G3047" s="28" t="s">
        <v>39</v>
      </c>
      <c r="H3047" s="28" t="s">
        <v>16221</v>
      </c>
      <c r="I3047" s="28" t="s">
        <v>16717</v>
      </c>
      <c r="J3047" s="28" t="s">
        <v>39</v>
      </c>
      <c r="K3047" s="28" t="s">
        <v>16223</v>
      </c>
      <c r="L3047" s="28" t="s">
        <v>16224</v>
      </c>
      <c r="M3047" s="28" t="s">
        <v>16718</v>
      </c>
      <c r="N3047" s="28" t="s">
        <v>16226</v>
      </c>
      <c r="O3047" s="28" t="s">
        <v>16227</v>
      </c>
      <c r="P3047" s="28" t="s">
        <v>16719</v>
      </c>
    </row>
    <row r="3048" spans="1:16" x14ac:dyDescent="0.25">
      <c r="A3048" s="28" t="s">
        <v>16720</v>
      </c>
      <c r="B3048" s="28" t="s">
        <v>16721</v>
      </c>
      <c r="C3048" s="28" t="s">
        <v>1684</v>
      </c>
      <c r="D3048" s="28" t="s">
        <v>10730</v>
      </c>
      <c r="E3048" s="28" t="s">
        <v>16716</v>
      </c>
      <c r="F3048" s="28" t="s">
        <v>21</v>
      </c>
      <c r="G3048" s="28" t="s">
        <v>39</v>
      </c>
      <c r="H3048" s="28" t="s">
        <v>16221</v>
      </c>
      <c r="I3048" s="28" t="s">
        <v>16722</v>
      </c>
      <c r="J3048" s="28" t="s">
        <v>39</v>
      </c>
      <c r="K3048" s="28" t="s">
        <v>16223</v>
      </c>
      <c r="L3048" s="28" t="s">
        <v>16224</v>
      </c>
      <c r="M3048" s="28" t="s">
        <v>16723</v>
      </c>
      <c r="N3048" s="28" t="s">
        <v>16226</v>
      </c>
      <c r="O3048" s="28" t="s">
        <v>16227</v>
      </c>
      <c r="P3048" s="28" t="s">
        <v>16719</v>
      </c>
    </row>
    <row r="3049" spans="1:16" x14ac:dyDescent="0.25">
      <c r="A3049" s="28" t="s">
        <v>16724</v>
      </c>
      <c r="B3049" s="28" t="s">
        <v>16725</v>
      </c>
      <c r="C3049" s="28" t="s">
        <v>1684</v>
      </c>
      <c r="D3049" s="28" t="s">
        <v>69</v>
      </c>
      <c r="E3049" s="28" t="s">
        <v>16726</v>
      </c>
      <c r="F3049" s="28" t="s">
        <v>21</v>
      </c>
      <c r="G3049" s="28" t="s">
        <v>39</v>
      </c>
      <c r="H3049" s="28" t="s">
        <v>16221</v>
      </c>
      <c r="I3049" s="28" t="s">
        <v>16727</v>
      </c>
      <c r="J3049" s="28" t="s">
        <v>39</v>
      </c>
      <c r="K3049" s="28" t="s">
        <v>16223</v>
      </c>
      <c r="L3049" s="28" t="s">
        <v>16224</v>
      </c>
      <c r="M3049" s="28" t="s">
        <v>16728</v>
      </c>
      <c r="N3049" s="28" t="s">
        <v>16226</v>
      </c>
      <c r="O3049" s="28" t="s">
        <v>16227</v>
      </c>
      <c r="P3049" s="28" t="s">
        <v>16729</v>
      </c>
    </row>
    <row r="3050" spans="1:16" x14ac:dyDescent="0.25">
      <c r="A3050" s="28" t="s">
        <v>16730</v>
      </c>
      <c r="B3050" s="28" t="s">
        <v>16731</v>
      </c>
      <c r="C3050" s="28" t="s">
        <v>1684</v>
      </c>
      <c r="D3050" s="28" t="s">
        <v>69</v>
      </c>
      <c r="E3050" s="28" t="s">
        <v>16726</v>
      </c>
      <c r="F3050" s="28" t="s">
        <v>21</v>
      </c>
      <c r="G3050" s="28" t="s">
        <v>39</v>
      </c>
      <c r="H3050" s="28" t="s">
        <v>16221</v>
      </c>
      <c r="I3050" s="28" t="s">
        <v>16732</v>
      </c>
      <c r="J3050" s="28" t="s">
        <v>39</v>
      </c>
      <c r="K3050" s="28" t="s">
        <v>16223</v>
      </c>
      <c r="L3050" s="28" t="s">
        <v>16224</v>
      </c>
      <c r="M3050" s="28" t="s">
        <v>16733</v>
      </c>
      <c r="N3050" s="28" t="s">
        <v>16226</v>
      </c>
      <c r="O3050" s="28" t="s">
        <v>16227</v>
      </c>
      <c r="P3050" s="28" t="s">
        <v>16729</v>
      </c>
    </row>
    <row r="3051" spans="1:16" x14ac:dyDescent="0.25">
      <c r="A3051" s="28" t="s">
        <v>16734</v>
      </c>
      <c r="B3051" s="28" t="s">
        <v>16735</v>
      </c>
      <c r="C3051" s="28" t="s">
        <v>1684</v>
      </c>
      <c r="D3051" s="28" t="s">
        <v>69</v>
      </c>
      <c r="E3051" s="28" t="s">
        <v>16726</v>
      </c>
      <c r="F3051" s="28" t="s">
        <v>21</v>
      </c>
      <c r="G3051" s="28" t="s">
        <v>39</v>
      </c>
      <c r="H3051" s="28" t="s">
        <v>16221</v>
      </c>
      <c r="I3051" s="28" t="s">
        <v>16736</v>
      </c>
      <c r="J3051" s="28" t="s">
        <v>39</v>
      </c>
      <c r="K3051" s="28" t="s">
        <v>16223</v>
      </c>
      <c r="L3051" s="28" t="s">
        <v>16224</v>
      </c>
      <c r="M3051" s="28" t="s">
        <v>16737</v>
      </c>
      <c r="N3051" s="28" t="s">
        <v>16226</v>
      </c>
      <c r="O3051" s="28" t="s">
        <v>16227</v>
      </c>
      <c r="P3051" s="28" t="s">
        <v>16729</v>
      </c>
    </row>
    <row r="3052" spans="1:16" x14ac:dyDescent="0.25">
      <c r="A3052" s="28" t="s">
        <v>16738</v>
      </c>
      <c r="B3052" s="28" t="s">
        <v>16739</v>
      </c>
      <c r="C3052" s="28" t="s">
        <v>1684</v>
      </c>
      <c r="D3052" s="28" t="s">
        <v>69</v>
      </c>
      <c r="E3052" s="28" t="s">
        <v>16726</v>
      </c>
      <c r="F3052" s="28" t="s">
        <v>21</v>
      </c>
      <c r="G3052" s="28" t="s">
        <v>39</v>
      </c>
      <c r="H3052" s="28" t="s">
        <v>16221</v>
      </c>
      <c r="I3052" s="28" t="s">
        <v>16740</v>
      </c>
      <c r="J3052" s="28" t="s">
        <v>39</v>
      </c>
      <c r="K3052" s="28" t="s">
        <v>16223</v>
      </c>
      <c r="L3052" s="28" t="s">
        <v>16224</v>
      </c>
      <c r="M3052" s="28" t="s">
        <v>16741</v>
      </c>
      <c r="N3052" s="28" t="s">
        <v>16226</v>
      </c>
      <c r="O3052" s="28" t="s">
        <v>16227</v>
      </c>
      <c r="P3052" s="28" t="s">
        <v>16729</v>
      </c>
    </row>
    <row r="3053" spans="1:16" x14ac:dyDescent="0.25">
      <c r="A3053" s="28" t="s">
        <v>16742</v>
      </c>
      <c r="B3053" s="28" t="s">
        <v>16743</v>
      </c>
      <c r="C3053" s="28" t="s">
        <v>1684</v>
      </c>
      <c r="D3053" s="28" t="s">
        <v>69</v>
      </c>
      <c r="E3053" s="28" t="s">
        <v>16726</v>
      </c>
      <c r="F3053" s="28" t="s">
        <v>21</v>
      </c>
      <c r="G3053" s="28" t="s">
        <v>39</v>
      </c>
      <c r="H3053" s="28" t="s">
        <v>16221</v>
      </c>
      <c r="I3053" s="28" t="s">
        <v>16744</v>
      </c>
      <c r="J3053" s="28" t="s">
        <v>39</v>
      </c>
      <c r="K3053" s="28" t="s">
        <v>16223</v>
      </c>
      <c r="L3053" s="28" t="s">
        <v>16224</v>
      </c>
      <c r="M3053" s="28" t="s">
        <v>16745</v>
      </c>
      <c r="N3053" s="28" t="s">
        <v>16226</v>
      </c>
      <c r="O3053" s="28" t="s">
        <v>16227</v>
      </c>
      <c r="P3053" s="28" t="s">
        <v>16729</v>
      </c>
    </row>
    <row r="3054" spans="1:16" x14ac:dyDescent="0.25">
      <c r="A3054" s="28" t="s">
        <v>16746</v>
      </c>
      <c r="B3054" s="28" t="s">
        <v>16747</v>
      </c>
      <c r="C3054" s="28" t="s">
        <v>1684</v>
      </c>
      <c r="D3054" s="28" t="s">
        <v>69</v>
      </c>
      <c r="E3054" s="28" t="s">
        <v>16726</v>
      </c>
      <c r="F3054" s="28" t="s">
        <v>21</v>
      </c>
      <c r="G3054" s="28" t="s">
        <v>39</v>
      </c>
      <c r="H3054" s="28" t="s">
        <v>16221</v>
      </c>
      <c r="I3054" s="28" t="s">
        <v>16748</v>
      </c>
      <c r="J3054" s="28" t="s">
        <v>39</v>
      </c>
      <c r="K3054" s="28" t="s">
        <v>16223</v>
      </c>
      <c r="L3054" s="28" t="s">
        <v>16224</v>
      </c>
      <c r="M3054" s="28" t="s">
        <v>16749</v>
      </c>
      <c r="N3054" s="28" t="s">
        <v>16226</v>
      </c>
      <c r="O3054" s="28" t="s">
        <v>16227</v>
      </c>
      <c r="P3054" s="28" t="s">
        <v>16729</v>
      </c>
    </row>
    <row r="3055" spans="1:16" x14ac:dyDescent="0.25">
      <c r="A3055" s="28" t="s">
        <v>16750</v>
      </c>
      <c r="B3055" s="28" t="s">
        <v>16751</v>
      </c>
      <c r="C3055" s="28" t="s">
        <v>1684</v>
      </c>
      <c r="D3055" s="28" t="s">
        <v>69</v>
      </c>
      <c r="E3055" s="28" t="s">
        <v>16726</v>
      </c>
      <c r="F3055" s="28" t="s">
        <v>21</v>
      </c>
      <c r="G3055" s="28" t="s">
        <v>39</v>
      </c>
      <c r="H3055" s="28" t="s">
        <v>16221</v>
      </c>
      <c r="I3055" s="28" t="s">
        <v>16752</v>
      </c>
      <c r="J3055" s="28" t="s">
        <v>39</v>
      </c>
      <c r="K3055" s="28" t="s">
        <v>16223</v>
      </c>
      <c r="L3055" s="28" t="s">
        <v>16224</v>
      </c>
      <c r="M3055" s="28" t="s">
        <v>16753</v>
      </c>
      <c r="N3055" s="28" t="s">
        <v>16226</v>
      </c>
      <c r="O3055" s="28" t="s">
        <v>16227</v>
      </c>
      <c r="P3055" s="28" t="s">
        <v>16729</v>
      </c>
    </row>
    <row r="3056" spans="1:16" x14ac:dyDescent="0.25">
      <c r="A3056" s="28" t="s">
        <v>16754</v>
      </c>
      <c r="B3056" s="28" t="s">
        <v>16755</v>
      </c>
      <c r="C3056" s="28" t="s">
        <v>1684</v>
      </c>
      <c r="D3056" s="28" t="s">
        <v>69</v>
      </c>
      <c r="E3056" s="28" t="s">
        <v>16726</v>
      </c>
      <c r="F3056" s="28" t="s">
        <v>21</v>
      </c>
      <c r="G3056" s="28" t="s">
        <v>39</v>
      </c>
      <c r="H3056" s="28" t="s">
        <v>16221</v>
      </c>
      <c r="I3056" s="28" t="s">
        <v>16756</v>
      </c>
      <c r="J3056" s="28" t="s">
        <v>39</v>
      </c>
      <c r="K3056" s="28" t="s">
        <v>16223</v>
      </c>
      <c r="L3056" s="28" t="s">
        <v>16224</v>
      </c>
      <c r="M3056" s="28" t="s">
        <v>16757</v>
      </c>
      <c r="N3056" s="28" t="s">
        <v>16226</v>
      </c>
      <c r="O3056" s="28" t="s">
        <v>16227</v>
      </c>
      <c r="P3056" s="28" t="s">
        <v>16729</v>
      </c>
    </row>
    <row r="3057" spans="1:16" x14ac:dyDescent="0.25">
      <c r="A3057" s="28" t="s">
        <v>16758</v>
      </c>
      <c r="B3057" s="28" t="s">
        <v>16759</v>
      </c>
      <c r="C3057" s="28" t="s">
        <v>1684</v>
      </c>
      <c r="D3057" s="28" t="s">
        <v>69</v>
      </c>
      <c r="E3057" s="28" t="s">
        <v>16726</v>
      </c>
      <c r="F3057" s="28" t="s">
        <v>21</v>
      </c>
      <c r="G3057" s="28" t="s">
        <v>39</v>
      </c>
      <c r="H3057" s="28" t="s">
        <v>16221</v>
      </c>
      <c r="I3057" s="28" t="s">
        <v>16760</v>
      </c>
      <c r="J3057" s="28" t="s">
        <v>39</v>
      </c>
      <c r="K3057" s="28" t="s">
        <v>16223</v>
      </c>
      <c r="L3057" s="28" t="s">
        <v>16224</v>
      </c>
      <c r="M3057" s="28" t="s">
        <v>16761</v>
      </c>
      <c r="N3057" s="28" t="s">
        <v>16226</v>
      </c>
      <c r="O3057" s="28" t="s">
        <v>16227</v>
      </c>
      <c r="P3057" s="28" t="s">
        <v>16729</v>
      </c>
    </row>
    <row r="3058" spans="1:16" x14ac:dyDescent="0.25">
      <c r="A3058" s="28" t="s">
        <v>16762</v>
      </c>
      <c r="B3058" s="28" t="s">
        <v>16763</v>
      </c>
      <c r="C3058" s="28" t="s">
        <v>1684</v>
      </c>
      <c r="D3058" s="28" t="s">
        <v>69</v>
      </c>
      <c r="E3058" s="28" t="s">
        <v>16726</v>
      </c>
      <c r="F3058" s="28" t="s">
        <v>21</v>
      </c>
      <c r="G3058" s="28" t="s">
        <v>39</v>
      </c>
      <c r="H3058" s="28" t="s">
        <v>16221</v>
      </c>
      <c r="I3058" s="28" t="s">
        <v>16764</v>
      </c>
      <c r="J3058" s="28" t="s">
        <v>39</v>
      </c>
      <c r="K3058" s="28" t="s">
        <v>16223</v>
      </c>
      <c r="L3058" s="28" t="s">
        <v>16224</v>
      </c>
      <c r="M3058" s="28" t="s">
        <v>16765</v>
      </c>
      <c r="N3058" s="28" t="s">
        <v>16226</v>
      </c>
      <c r="O3058" s="28" t="s">
        <v>16227</v>
      </c>
      <c r="P3058" s="28" t="s">
        <v>16729</v>
      </c>
    </row>
    <row r="3059" spans="1:16" x14ac:dyDescent="0.25">
      <c r="A3059" s="28" t="s">
        <v>16766</v>
      </c>
      <c r="B3059" s="28" t="s">
        <v>16767</v>
      </c>
      <c r="C3059" s="28" t="s">
        <v>1684</v>
      </c>
      <c r="D3059" s="28" t="s">
        <v>69</v>
      </c>
      <c r="E3059" s="28" t="s">
        <v>16726</v>
      </c>
      <c r="F3059" s="28" t="s">
        <v>21</v>
      </c>
      <c r="G3059" s="28" t="s">
        <v>39</v>
      </c>
      <c r="H3059" s="28" t="s">
        <v>16221</v>
      </c>
      <c r="I3059" s="28" t="s">
        <v>16768</v>
      </c>
      <c r="J3059" s="28" t="s">
        <v>39</v>
      </c>
      <c r="K3059" s="28" t="s">
        <v>16223</v>
      </c>
      <c r="L3059" s="28" t="s">
        <v>16224</v>
      </c>
      <c r="M3059" s="28" t="s">
        <v>16769</v>
      </c>
      <c r="N3059" s="28" t="s">
        <v>16226</v>
      </c>
      <c r="O3059" s="28" t="s">
        <v>16227</v>
      </c>
      <c r="P3059" s="28" t="s">
        <v>16729</v>
      </c>
    </row>
    <row r="3060" spans="1:16" x14ac:dyDescent="0.25">
      <c r="A3060" s="28" t="s">
        <v>16770</v>
      </c>
      <c r="B3060" s="28" t="s">
        <v>16771</v>
      </c>
      <c r="C3060" s="28" t="s">
        <v>1684</v>
      </c>
      <c r="D3060" s="28" t="s">
        <v>69</v>
      </c>
      <c r="E3060" s="28" t="s">
        <v>16726</v>
      </c>
      <c r="F3060" s="28" t="s">
        <v>21</v>
      </c>
      <c r="G3060" s="28" t="s">
        <v>39</v>
      </c>
      <c r="H3060" s="28" t="s">
        <v>16221</v>
      </c>
      <c r="I3060" s="28" t="s">
        <v>16772</v>
      </c>
      <c r="J3060" s="28" t="s">
        <v>39</v>
      </c>
      <c r="K3060" s="28" t="s">
        <v>16223</v>
      </c>
      <c r="L3060" s="28" t="s">
        <v>16224</v>
      </c>
      <c r="M3060" s="28" t="s">
        <v>16773</v>
      </c>
      <c r="N3060" s="28" t="s">
        <v>16226</v>
      </c>
      <c r="O3060" s="28" t="s">
        <v>16227</v>
      </c>
      <c r="P3060" s="28" t="s">
        <v>16729</v>
      </c>
    </row>
    <row r="3061" spans="1:16" x14ac:dyDescent="0.25">
      <c r="A3061" s="28" t="s">
        <v>16774</v>
      </c>
      <c r="B3061" s="28" t="s">
        <v>16775</v>
      </c>
      <c r="C3061" s="28" t="s">
        <v>1684</v>
      </c>
      <c r="D3061" s="28" t="s">
        <v>69</v>
      </c>
      <c r="E3061" s="28" t="s">
        <v>1028</v>
      </c>
      <c r="F3061" s="28" t="s">
        <v>21</v>
      </c>
      <c r="G3061" s="28" t="s">
        <v>39</v>
      </c>
      <c r="H3061" s="28" t="s">
        <v>16221</v>
      </c>
      <c r="I3061" s="28" t="s">
        <v>16776</v>
      </c>
      <c r="J3061" s="28" t="s">
        <v>39</v>
      </c>
      <c r="K3061" s="28" t="s">
        <v>16223</v>
      </c>
      <c r="L3061" s="28" t="s">
        <v>16224</v>
      </c>
      <c r="M3061" s="28" t="s">
        <v>16777</v>
      </c>
      <c r="N3061" s="28" t="s">
        <v>16226</v>
      </c>
      <c r="O3061" s="28" t="s">
        <v>16227</v>
      </c>
      <c r="P3061" s="28" t="s">
        <v>16778</v>
      </c>
    </row>
    <row r="3062" spans="1:16" x14ac:dyDescent="0.25">
      <c r="A3062" s="28" t="s">
        <v>16779</v>
      </c>
      <c r="B3062" s="28" t="s">
        <v>16780</v>
      </c>
      <c r="C3062" s="28" t="s">
        <v>1684</v>
      </c>
      <c r="D3062" s="28" t="s">
        <v>69</v>
      </c>
      <c r="E3062" s="28" t="s">
        <v>16781</v>
      </c>
      <c r="F3062" s="28" t="s">
        <v>21</v>
      </c>
      <c r="G3062" s="28" t="s">
        <v>39</v>
      </c>
      <c r="H3062" s="28" t="s">
        <v>16221</v>
      </c>
      <c r="I3062" s="28" t="s">
        <v>16782</v>
      </c>
      <c r="J3062" s="28" t="s">
        <v>39</v>
      </c>
      <c r="K3062" s="28" t="s">
        <v>16223</v>
      </c>
      <c r="L3062" s="28" t="s">
        <v>16224</v>
      </c>
      <c r="M3062" s="28" t="s">
        <v>16783</v>
      </c>
      <c r="N3062" s="28" t="s">
        <v>16226</v>
      </c>
      <c r="O3062" s="28" t="s">
        <v>16227</v>
      </c>
      <c r="P3062" s="28" t="s">
        <v>16784</v>
      </c>
    </row>
    <row r="3063" spans="1:16" x14ac:dyDescent="0.25">
      <c r="A3063" s="28" t="s">
        <v>16785</v>
      </c>
      <c r="B3063" s="28" t="s">
        <v>16786</v>
      </c>
      <c r="C3063" s="28" t="s">
        <v>1684</v>
      </c>
      <c r="D3063" s="28" t="s">
        <v>69</v>
      </c>
      <c r="E3063" s="28" t="s">
        <v>2529</v>
      </c>
      <c r="F3063" s="28" t="s">
        <v>21</v>
      </c>
      <c r="G3063" s="28" t="s">
        <v>39</v>
      </c>
      <c r="H3063" s="28" t="s">
        <v>16221</v>
      </c>
      <c r="I3063" s="28" t="s">
        <v>16787</v>
      </c>
      <c r="J3063" s="28" t="s">
        <v>39</v>
      </c>
      <c r="K3063" s="28" t="s">
        <v>16223</v>
      </c>
      <c r="L3063" s="28" t="s">
        <v>16224</v>
      </c>
      <c r="M3063" s="28" t="s">
        <v>16788</v>
      </c>
      <c r="N3063" s="28" t="s">
        <v>16226</v>
      </c>
      <c r="O3063" s="28" t="s">
        <v>16227</v>
      </c>
      <c r="P3063" s="28" t="s">
        <v>16789</v>
      </c>
    </row>
    <row r="3064" spans="1:16" x14ac:dyDescent="0.25">
      <c r="A3064" s="28" t="s">
        <v>16790</v>
      </c>
      <c r="B3064" s="28" t="s">
        <v>16791</v>
      </c>
      <c r="C3064" s="28" t="s">
        <v>1684</v>
      </c>
      <c r="D3064" s="28" t="s">
        <v>69</v>
      </c>
      <c r="E3064" s="28" t="s">
        <v>16792</v>
      </c>
      <c r="F3064" s="28" t="s">
        <v>21</v>
      </c>
      <c r="G3064" s="28" t="s">
        <v>39</v>
      </c>
      <c r="H3064" s="28" t="s">
        <v>16221</v>
      </c>
      <c r="I3064" s="28" t="s">
        <v>16793</v>
      </c>
      <c r="J3064" s="28" t="s">
        <v>39</v>
      </c>
      <c r="K3064" s="28" t="s">
        <v>16223</v>
      </c>
      <c r="L3064" s="28" t="s">
        <v>16224</v>
      </c>
      <c r="M3064" s="28" t="s">
        <v>16794</v>
      </c>
      <c r="N3064" s="28" t="s">
        <v>16226</v>
      </c>
      <c r="O3064" s="28" t="s">
        <v>16227</v>
      </c>
      <c r="P3064" s="28" t="s">
        <v>16795</v>
      </c>
    </row>
    <row r="3065" spans="1:16" x14ac:dyDescent="0.25">
      <c r="A3065" s="28" t="s">
        <v>16796</v>
      </c>
      <c r="B3065" s="28" t="s">
        <v>16797</v>
      </c>
      <c r="C3065" s="28" t="s">
        <v>1684</v>
      </c>
      <c r="D3065" s="28" t="s">
        <v>69</v>
      </c>
      <c r="E3065" s="28" t="s">
        <v>16792</v>
      </c>
      <c r="F3065" s="28" t="s">
        <v>21</v>
      </c>
      <c r="G3065" s="28" t="s">
        <v>39</v>
      </c>
      <c r="H3065" s="28" t="s">
        <v>16221</v>
      </c>
      <c r="I3065" s="28" t="s">
        <v>16798</v>
      </c>
      <c r="J3065" s="28" t="s">
        <v>39</v>
      </c>
      <c r="K3065" s="28" t="s">
        <v>16223</v>
      </c>
      <c r="L3065" s="28" t="s">
        <v>16224</v>
      </c>
      <c r="M3065" s="28" t="s">
        <v>16799</v>
      </c>
      <c r="N3065" s="28" t="s">
        <v>16226</v>
      </c>
      <c r="O3065" s="28" t="s">
        <v>16227</v>
      </c>
      <c r="P3065" s="28" t="s">
        <v>16795</v>
      </c>
    </row>
    <row r="3066" spans="1:16" x14ac:dyDescent="0.25">
      <c r="A3066" s="28" t="s">
        <v>16800</v>
      </c>
      <c r="B3066" s="28" t="s">
        <v>16801</v>
      </c>
      <c r="C3066" s="28" t="s">
        <v>1684</v>
      </c>
      <c r="D3066" s="28" t="s">
        <v>69</v>
      </c>
      <c r="E3066" s="28" t="s">
        <v>16802</v>
      </c>
      <c r="F3066" s="28" t="s">
        <v>21</v>
      </c>
      <c r="G3066" s="28" t="s">
        <v>39</v>
      </c>
      <c r="H3066" s="28" t="s">
        <v>16221</v>
      </c>
      <c r="I3066" s="28" t="s">
        <v>16803</v>
      </c>
      <c r="J3066" s="28" t="s">
        <v>39</v>
      </c>
      <c r="K3066" s="28" t="s">
        <v>16223</v>
      </c>
      <c r="L3066" s="28" t="s">
        <v>16224</v>
      </c>
      <c r="M3066" s="28" t="s">
        <v>16804</v>
      </c>
      <c r="N3066" s="28" t="s">
        <v>16226</v>
      </c>
      <c r="O3066" s="28" t="s">
        <v>16227</v>
      </c>
      <c r="P3066" s="28" t="s">
        <v>16805</v>
      </c>
    </row>
    <row r="3067" spans="1:16" x14ac:dyDescent="0.25">
      <c r="A3067" s="28" t="s">
        <v>16806</v>
      </c>
      <c r="B3067" s="28" t="s">
        <v>16807</v>
      </c>
      <c r="C3067" s="28" t="s">
        <v>1684</v>
      </c>
      <c r="D3067" s="28" t="s">
        <v>69</v>
      </c>
      <c r="E3067" s="28" t="s">
        <v>16808</v>
      </c>
      <c r="F3067" s="28" t="s">
        <v>21</v>
      </c>
      <c r="G3067" s="28" t="s">
        <v>39</v>
      </c>
      <c r="H3067" s="28" t="s">
        <v>16221</v>
      </c>
      <c r="I3067" s="28" t="s">
        <v>16809</v>
      </c>
      <c r="J3067" s="28" t="s">
        <v>39</v>
      </c>
      <c r="K3067" s="28" t="s">
        <v>16223</v>
      </c>
      <c r="L3067" s="28" t="s">
        <v>16224</v>
      </c>
      <c r="M3067" s="28" t="s">
        <v>16810</v>
      </c>
      <c r="N3067" s="28" t="s">
        <v>16226</v>
      </c>
      <c r="O3067" s="28" t="s">
        <v>16227</v>
      </c>
      <c r="P3067" s="28" t="s">
        <v>16811</v>
      </c>
    </row>
    <row r="3068" spans="1:16" x14ac:dyDescent="0.25">
      <c r="A3068" s="28" t="s">
        <v>16812</v>
      </c>
      <c r="B3068" s="28" t="s">
        <v>16813</v>
      </c>
      <c r="C3068" s="28" t="s">
        <v>1684</v>
      </c>
      <c r="D3068" s="28" t="s">
        <v>69</v>
      </c>
      <c r="E3068" s="28" t="s">
        <v>16814</v>
      </c>
      <c r="F3068" s="28" t="s">
        <v>21</v>
      </c>
      <c r="G3068" s="28" t="s">
        <v>39</v>
      </c>
      <c r="H3068" s="28" t="s">
        <v>16221</v>
      </c>
      <c r="I3068" s="28" t="s">
        <v>16815</v>
      </c>
      <c r="J3068" s="28" t="s">
        <v>39</v>
      </c>
      <c r="K3068" s="28" t="s">
        <v>16223</v>
      </c>
      <c r="L3068" s="28" t="s">
        <v>16224</v>
      </c>
      <c r="M3068" s="28" t="s">
        <v>16816</v>
      </c>
      <c r="N3068" s="28" t="s">
        <v>16226</v>
      </c>
      <c r="O3068" s="28" t="s">
        <v>16227</v>
      </c>
      <c r="P3068" s="28" t="s">
        <v>16817</v>
      </c>
    </row>
    <row r="3069" spans="1:16" x14ac:dyDescent="0.25">
      <c r="A3069" s="28" t="s">
        <v>16818</v>
      </c>
      <c r="B3069" s="28" t="s">
        <v>16819</v>
      </c>
      <c r="C3069" s="28" t="s">
        <v>1684</v>
      </c>
      <c r="D3069" s="28" t="s">
        <v>1271</v>
      </c>
      <c r="E3069" s="28" t="s">
        <v>16820</v>
      </c>
      <c r="F3069" s="28" t="s">
        <v>21</v>
      </c>
      <c r="G3069" s="28" t="s">
        <v>39</v>
      </c>
      <c r="H3069" s="28" t="s">
        <v>16221</v>
      </c>
      <c r="I3069" s="28" t="s">
        <v>16821</v>
      </c>
      <c r="J3069" s="28" t="s">
        <v>39</v>
      </c>
      <c r="K3069" s="28" t="s">
        <v>16223</v>
      </c>
      <c r="L3069" s="28" t="s">
        <v>16224</v>
      </c>
      <c r="M3069" s="28" t="s">
        <v>16822</v>
      </c>
      <c r="N3069" s="28" t="s">
        <v>16226</v>
      </c>
      <c r="O3069" s="28" t="s">
        <v>16227</v>
      </c>
      <c r="P3069" s="28" t="s">
        <v>16823</v>
      </c>
    </row>
    <row r="3070" spans="1:16" x14ac:dyDescent="0.25">
      <c r="A3070" s="28" t="s">
        <v>16824</v>
      </c>
      <c r="B3070" s="28" t="s">
        <v>16825</v>
      </c>
      <c r="C3070" s="28" t="s">
        <v>1684</v>
      </c>
      <c r="D3070" s="28" t="s">
        <v>1271</v>
      </c>
      <c r="E3070" s="28" t="s">
        <v>16820</v>
      </c>
      <c r="F3070" s="28" t="s">
        <v>21</v>
      </c>
      <c r="G3070" s="28" t="s">
        <v>39</v>
      </c>
      <c r="H3070" s="28" t="s">
        <v>16221</v>
      </c>
      <c r="I3070" s="28" t="s">
        <v>16826</v>
      </c>
      <c r="J3070" s="28" t="s">
        <v>39</v>
      </c>
      <c r="K3070" s="28" t="s">
        <v>16223</v>
      </c>
      <c r="L3070" s="28" t="s">
        <v>16224</v>
      </c>
      <c r="M3070" s="28" t="s">
        <v>16827</v>
      </c>
      <c r="N3070" s="28" t="s">
        <v>16226</v>
      </c>
      <c r="O3070" s="28" t="s">
        <v>16227</v>
      </c>
      <c r="P3070" s="28" t="s">
        <v>16823</v>
      </c>
    </row>
    <row r="3071" spans="1:16" x14ac:dyDescent="0.25">
      <c r="A3071" s="28" t="s">
        <v>16828</v>
      </c>
      <c r="B3071" s="28" t="s">
        <v>16829</v>
      </c>
      <c r="C3071" s="28" t="s">
        <v>1684</v>
      </c>
      <c r="D3071" s="28" t="s">
        <v>1271</v>
      </c>
      <c r="E3071" s="28" t="s">
        <v>14104</v>
      </c>
      <c r="F3071" s="28" t="s">
        <v>21</v>
      </c>
      <c r="G3071" s="28" t="s">
        <v>39</v>
      </c>
      <c r="H3071" s="28" t="s">
        <v>16221</v>
      </c>
      <c r="I3071" s="28" t="s">
        <v>16830</v>
      </c>
      <c r="J3071" s="28" t="s">
        <v>39</v>
      </c>
      <c r="K3071" s="28" t="s">
        <v>16223</v>
      </c>
      <c r="L3071" s="28" t="s">
        <v>16224</v>
      </c>
      <c r="M3071" s="28" t="s">
        <v>16831</v>
      </c>
      <c r="N3071" s="28" t="s">
        <v>16226</v>
      </c>
      <c r="O3071" s="28" t="s">
        <v>16227</v>
      </c>
      <c r="P3071" s="28" t="s">
        <v>16832</v>
      </c>
    </row>
    <row r="3072" spans="1:16" x14ac:dyDescent="0.25">
      <c r="A3072" s="28" t="s">
        <v>16833</v>
      </c>
      <c r="B3072" s="28" t="s">
        <v>16834</v>
      </c>
      <c r="C3072" s="28" t="s">
        <v>1684</v>
      </c>
      <c r="D3072" s="28" t="s">
        <v>1271</v>
      </c>
      <c r="E3072" s="28" t="s">
        <v>16835</v>
      </c>
      <c r="F3072" s="28" t="s">
        <v>21</v>
      </c>
      <c r="G3072" s="28" t="s">
        <v>39</v>
      </c>
      <c r="H3072" s="28" t="s">
        <v>16221</v>
      </c>
      <c r="I3072" s="28" t="s">
        <v>16836</v>
      </c>
      <c r="J3072" s="28" t="s">
        <v>39</v>
      </c>
      <c r="K3072" s="28" t="s">
        <v>16223</v>
      </c>
      <c r="L3072" s="28" t="s">
        <v>16224</v>
      </c>
      <c r="M3072" s="28" t="s">
        <v>16837</v>
      </c>
      <c r="N3072" s="28" t="s">
        <v>16226</v>
      </c>
      <c r="O3072" s="28" t="s">
        <v>16227</v>
      </c>
      <c r="P3072" s="28" t="s">
        <v>16838</v>
      </c>
    </row>
    <row r="3073" spans="1:16" x14ac:dyDescent="0.25">
      <c r="A3073" s="28" t="s">
        <v>16839</v>
      </c>
      <c r="B3073" s="28" t="s">
        <v>16840</v>
      </c>
      <c r="C3073" s="28" t="s">
        <v>1684</v>
      </c>
      <c r="D3073" s="28" t="s">
        <v>1271</v>
      </c>
      <c r="E3073" s="28" t="s">
        <v>16835</v>
      </c>
      <c r="F3073" s="28" t="s">
        <v>21</v>
      </c>
      <c r="G3073" s="28" t="s">
        <v>39</v>
      </c>
      <c r="H3073" s="28" t="s">
        <v>16221</v>
      </c>
      <c r="I3073" s="28" t="s">
        <v>16841</v>
      </c>
      <c r="J3073" s="28" t="s">
        <v>39</v>
      </c>
      <c r="K3073" s="28" t="s">
        <v>16223</v>
      </c>
      <c r="L3073" s="28" t="s">
        <v>16224</v>
      </c>
      <c r="M3073" s="28" t="s">
        <v>16842</v>
      </c>
      <c r="N3073" s="28" t="s">
        <v>16226</v>
      </c>
      <c r="O3073" s="28" t="s">
        <v>16227</v>
      </c>
      <c r="P3073" s="28" t="s">
        <v>16838</v>
      </c>
    </row>
    <row r="3074" spans="1:16" x14ac:dyDescent="0.25">
      <c r="A3074" s="28" t="s">
        <v>16843</v>
      </c>
      <c r="B3074" s="28" t="s">
        <v>16844</v>
      </c>
      <c r="C3074" s="28" t="s">
        <v>1684</v>
      </c>
      <c r="D3074" s="28" t="s">
        <v>1271</v>
      </c>
      <c r="E3074" s="28" t="s">
        <v>14764</v>
      </c>
      <c r="F3074" s="28" t="s">
        <v>21</v>
      </c>
      <c r="G3074" s="28" t="s">
        <v>39</v>
      </c>
      <c r="H3074" s="28" t="s">
        <v>16221</v>
      </c>
      <c r="I3074" s="28" t="s">
        <v>16845</v>
      </c>
      <c r="J3074" s="28" t="s">
        <v>39</v>
      </c>
      <c r="K3074" s="28" t="s">
        <v>16223</v>
      </c>
      <c r="L3074" s="28" t="s">
        <v>16224</v>
      </c>
      <c r="M3074" s="28" t="s">
        <v>16846</v>
      </c>
      <c r="N3074" s="28" t="s">
        <v>16226</v>
      </c>
      <c r="O3074" s="28" t="s">
        <v>16227</v>
      </c>
      <c r="P3074" s="28" t="s">
        <v>16847</v>
      </c>
    </row>
    <row r="3075" spans="1:16" x14ac:dyDescent="0.25">
      <c r="A3075" s="28" t="s">
        <v>16848</v>
      </c>
      <c r="B3075" s="28" t="s">
        <v>16849</v>
      </c>
      <c r="C3075" s="28" t="s">
        <v>1684</v>
      </c>
      <c r="D3075" s="28" t="s">
        <v>2602</v>
      </c>
      <c r="E3075" s="28" t="s">
        <v>16850</v>
      </c>
      <c r="F3075" s="28" t="s">
        <v>21</v>
      </c>
      <c r="G3075" s="28" t="s">
        <v>39</v>
      </c>
      <c r="H3075" s="28" t="s">
        <v>16221</v>
      </c>
      <c r="I3075" s="28" t="s">
        <v>16851</v>
      </c>
      <c r="J3075" s="28" t="s">
        <v>39</v>
      </c>
      <c r="K3075" s="28" t="s">
        <v>16223</v>
      </c>
      <c r="L3075" s="28" t="s">
        <v>16224</v>
      </c>
      <c r="M3075" s="28" t="s">
        <v>16852</v>
      </c>
      <c r="N3075" s="28" t="s">
        <v>16226</v>
      </c>
      <c r="O3075" s="28" t="s">
        <v>16227</v>
      </c>
      <c r="P3075" s="28" t="s">
        <v>16853</v>
      </c>
    </row>
    <row r="3076" spans="1:16" x14ac:dyDescent="0.25">
      <c r="A3076" s="28" t="s">
        <v>16854</v>
      </c>
      <c r="B3076" s="28" t="s">
        <v>16855</v>
      </c>
      <c r="C3076" s="28" t="s">
        <v>1684</v>
      </c>
      <c r="D3076" s="28" t="s">
        <v>2602</v>
      </c>
      <c r="E3076" s="28" t="s">
        <v>16850</v>
      </c>
      <c r="F3076" s="28" t="s">
        <v>21</v>
      </c>
      <c r="G3076" s="28" t="s">
        <v>39</v>
      </c>
      <c r="H3076" s="28" t="s">
        <v>16221</v>
      </c>
      <c r="I3076" s="28" t="s">
        <v>16856</v>
      </c>
      <c r="J3076" s="28" t="s">
        <v>39</v>
      </c>
      <c r="K3076" s="28" t="s">
        <v>16223</v>
      </c>
      <c r="L3076" s="28" t="s">
        <v>16224</v>
      </c>
      <c r="M3076" s="28" t="s">
        <v>16857</v>
      </c>
      <c r="N3076" s="28" t="s">
        <v>16226</v>
      </c>
      <c r="O3076" s="28" t="s">
        <v>16227</v>
      </c>
      <c r="P3076" s="28" t="s">
        <v>16853</v>
      </c>
    </row>
    <row r="3077" spans="1:16" x14ac:dyDescent="0.25">
      <c r="A3077" s="28" t="s">
        <v>16858</v>
      </c>
      <c r="B3077" s="28" t="s">
        <v>16859</v>
      </c>
      <c r="C3077" s="28" t="s">
        <v>1684</v>
      </c>
      <c r="D3077" s="28" t="s">
        <v>5328</v>
      </c>
      <c r="E3077" s="28" t="s">
        <v>15172</v>
      </c>
      <c r="F3077" s="28" t="s">
        <v>21</v>
      </c>
      <c r="G3077" s="28" t="s">
        <v>39</v>
      </c>
      <c r="H3077" s="28" t="s">
        <v>16221</v>
      </c>
      <c r="I3077" s="28" t="s">
        <v>16860</v>
      </c>
      <c r="J3077" s="28" t="s">
        <v>39</v>
      </c>
      <c r="K3077" s="28" t="s">
        <v>16223</v>
      </c>
      <c r="L3077" s="28" t="s">
        <v>16224</v>
      </c>
      <c r="M3077" s="28" t="s">
        <v>16861</v>
      </c>
      <c r="N3077" s="28" t="s">
        <v>16226</v>
      </c>
      <c r="O3077" s="28" t="s">
        <v>16227</v>
      </c>
      <c r="P3077" s="28" t="s">
        <v>16862</v>
      </c>
    </row>
    <row r="3078" spans="1:16" x14ac:dyDescent="0.25">
      <c r="A3078" s="28" t="s">
        <v>16863</v>
      </c>
      <c r="B3078" s="28" t="s">
        <v>16864</v>
      </c>
      <c r="C3078" s="28" t="s">
        <v>1684</v>
      </c>
      <c r="D3078" s="28" t="s">
        <v>5328</v>
      </c>
      <c r="E3078" s="28" t="s">
        <v>15172</v>
      </c>
      <c r="F3078" s="28" t="s">
        <v>21</v>
      </c>
      <c r="G3078" s="28" t="s">
        <v>39</v>
      </c>
      <c r="H3078" s="28" t="s">
        <v>16221</v>
      </c>
      <c r="I3078" s="28" t="s">
        <v>16865</v>
      </c>
      <c r="J3078" s="28" t="s">
        <v>39</v>
      </c>
      <c r="K3078" s="28" t="s">
        <v>16223</v>
      </c>
      <c r="L3078" s="28" t="s">
        <v>16224</v>
      </c>
      <c r="M3078" s="28" t="s">
        <v>16866</v>
      </c>
      <c r="N3078" s="28" t="s">
        <v>16226</v>
      </c>
      <c r="O3078" s="28" t="s">
        <v>16227</v>
      </c>
      <c r="P3078" s="28" t="s">
        <v>16862</v>
      </c>
    </row>
    <row r="3079" spans="1:16" x14ac:dyDescent="0.25">
      <c r="A3079" s="28" t="s">
        <v>16867</v>
      </c>
      <c r="B3079" s="28" t="s">
        <v>16868</v>
      </c>
      <c r="C3079" s="28" t="s">
        <v>1684</v>
      </c>
      <c r="D3079" s="28" t="s">
        <v>5328</v>
      </c>
      <c r="E3079" s="28" t="s">
        <v>16869</v>
      </c>
      <c r="F3079" s="28" t="s">
        <v>21</v>
      </c>
      <c r="G3079" s="28" t="s">
        <v>39</v>
      </c>
      <c r="H3079" s="28" t="s">
        <v>16221</v>
      </c>
      <c r="I3079" s="28" t="s">
        <v>16870</v>
      </c>
      <c r="J3079" s="28" t="s">
        <v>39</v>
      </c>
      <c r="K3079" s="28" t="s">
        <v>16223</v>
      </c>
      <c r="L3079" s="28" t="s">
        <v>16224</v>
      </c>
      <c r="M3079" s="28" t="s">
        <v>16871</v>
      </c>
      <c r="N3079" s="28" t="s">
        <v>16226</v>
      </c>
      <c r="O3079" s="28" t="s">
        <v>16227</v>
      </c>
      <c r="P3079" s="28" t="s">
        <v>16872</v>
      </c>
    </row>
    <row r="3080" spans="1:16" x14ac:dyDescent="0.25">
      <c r="A3080" s="28" t="s">
        <v>16873</v>
      </c>
      <c r="B3080" s="28" t="s">
        <v>16874</v>
      </c>
      <c r="C3080" s="28" t="s">
        <v>1684</v>
      </c>
      <c r="D3080" s="28" t="s">
        <v>5328</v>
      </c>
      <c r="E3080" s="28" t="s">
        <v>2922</v>
      </c>
      <c r="F3080" s="28" t="s">
        <v>21</v>
      </c>
      <c r="G3080" s="28" t="s">
        <v>39</v>
      </c>
      <c r="H3080" s="28" t="s">
        <v>16221</v>
      </c>
      <c r="I3080" s="28" t="s">
        <v>16875</v>
      </c>
      <c r="J3080" s="28" t="s">
        <v>39</v>
      </c>
      <c r="K3080" s="28" t="s">
        <v>16223</v>
      </c>
      <c r="L3080" s="28" t="s">
        <v>16224</v>
      </c>
      <c r="M3080" s="28" t="s">
        <v>16876</v>
      </c>
      <c r="N3080" s="28" t="s">
        <v>16226</v>
      </c>
      <c r="O3080" s="28" t="s">
        <v>16227</v>
      </c>
      <c r="P3080" s="28" t="s">
        <v>16877</v>
      </c>
    </row>
    <row r="3081" spans="1:16" x14ac:dyDescent="0.25">
      <c r="A3081" s="28" t="s">
        <v>16878</v>
      </c>
      <c r="B3081" s="28" t="s">
        <v>16879</v>
      </c>
      <c r="C3081" s="28" t="s">
        <v>1684</v>
      </c>
      <c r="D3081" s="28" t="s">
        <v>1318</v>
      </c>
      <c r="E3081" s="28" t="s">
        <v>1319</v>
      </c>
      <c r="F3081" s="28" t="s">
        <v>21</v>
      </c>
      <c r="G3081" s="28" t="s">
        <v>39</v>
      </c>
      <c r="H3081" s="28" t="s">
        <v>16221</v>
      </c>
      <c r="I3081" s="28" t="s">
        <v>16880</v>
      </c>
      <c r="J3081" s="28" t="s">
        <v>39</v>
      </c>
      <c r="K3081" s="28" t="s">
        <v>16223</v>
      </c>
      <c r="L3081" s="28" t="s">
        <v>16224</v>
      </c>
      <c r="M3081" s="28" t="s">
        <v>16881</v>
      </c>
      <c r="N3081" s="28" t="s">
        <v>16226</v>
      </c>
      <c r="O3081" s="28" t="s">
        <v>16227</v>
      </c>
      <c r="P3081" s="28" t="s">
        <v>16389</v>
      </c>
    </row>
    <row r="3082" spans="1:16" x14ac:dyDescent="0.25">
      <c r="A3082" s="28" t="s">
        <v>16882</v>
      </c>
      <c r="B3082" s="28" t="s">
        <v>16883</v>
      </c>
      <c r="C3082" s="28" t="s">
        <v>1684</v>
      </c>
      <c r="D3082" s="28" t="s">
        <v>1318</v>
      </c>
      <c r="E3082" s="28" t="s">
        <v>1319</v>
      </c>
      <c r="F3082" s="28" t="s">
        <v>21</v>
      </c>
      <c r="G3082" s="28" t="s">
        <v>39</v>
      </c>
      <c r="H3082" s="28" t="s">
        <v>16221</v>
      </c>
      <c r="I3082" s="28" t="s">
        <v>16884</v>
      </c>
      <c r="J3082" s="28" t="s">
        <v>39</v>
      </c>
      <c r="K3082" s="28" t="s">
        <v>16223</v>
      </c>
      <c r="L3082" s="28" t="s">
        <v>16224</v>
      </c>
      <c r="M3082" s="28" t="s">
        <v>16885</v>
      </c>
      <c r="N3082" s="28" t="s">
        <v>16226</v>
      </c>
      <c r="O3082" s="28" t="s">
        <v>16227</v>
      </c>
      <c r="P3082" s="28" t="s">
        <v>16389</v>
      </c>
    </row>
    <row r="3083" spans="1:16" x14ac:dyDescent="0.25">
      <c r="A3083" s="28" t="s">
        <v>16886</v>
      </c>
      <c r="B3083" s="28" t="s">
        <v>16887</v>
      </c>
      <c r="C3083" s="28" t="s">
        <v>1684</v>
      </c>
      <c r="D3083" s="28" t="s">
        <v>1318</v>
      </c>
      <c r="E3083" s="28" t="s">
        <v>1319</v>
      </c>
      <c r="F3083" s="28" t="s">
        <v>21</v>
      </c>
      <c r="G3083" s="28" t="s">
        <v>39</v>
      </c>
      <c r="H3083" s="28" t="s">
        <v>16221</v>
      </c>
      <c r="I3083" s="28" t="s">
        <v>16888</v>
      </c>
      <c r="J3083" s="28" t="s">
        <v>39</v>
      </c>
      <c r="K3083" s="28" t="s">
        <v>16223</v>
      </c>
      <c r="L3083" s="28" t="s">
        <v>16224</v>
      </c>
      <c r="M3083" s="28" t="s">
        <v>16889</v>
      </c>
      <c r="N3083" s="28" t="s">
        <v>16226</v>
      </c>
      <c r="O3083" s="28" t="s">
        <v>16227</v>
      </c>
      <c r="P3083" s="28" t="s">
        <v>16389</v>
      </c>
    </row>
    <row r="3084" spans="1:16" x14ac:dyDescent="0.25">
      <c r="A3084" s="28" t="s">
        <v>16890</v>
      </c>
      <c r="B3084" s="28" t="s">
        <v>16891</v>
      </c>
      <c r="C3084" s="28" t="s">
        <v>1684</v>
      </c>
      <c r="D3084" s="28" t="s">
        <v>1318</v>
      </c>
      <c r="E3084" s="28" t="s">
        <v>15284</v>
      </c>
      <c r="F3084" s="28" t="s">
        <v>21</v>
      </c>
      <c r="G3084" s="28" t="s">
        <v>39</v>
      </c>
      <c r="H3084" s="28" t="s">
        <v>16221</v>
      </c>
      <c r="I3084" s="28" t="s">
        <v>16892</v>
      </c>
      <c r="J3084" s="28" t="s">
        <v>39</v>
      </c>
      <c r="K3084" s="28" t="s">
        <v>16223</v>
      </c>
      <c r="L3084" s="28" t="s">
        <v>16224</v>
      </c>
      <c r="M3084" s="28" t="s">
        <v>16893</v>
      </c>
      <c r="N3084" s="28" t="s">
        <v>16226</v>
      </c>
      <c r="O3084" s="28" t="s">
        <v>16227</v>
      </c>
      <c r="P3084" s="28" t="s">
        <v>16894</v>
      </c>
    </row>
    <row r="3085" spans="1:16" x14ac:dyDescent="0.25">
      <c r="A3085" s="28" t="s">
        <v>16895</v>
      </c>
      <c r="B3085" s="28" t="s">
        <v>16896</v>
      </c>
      <c r="C3085" s="28" t="s">
        <v>1684</v>
      </c>
      <c r="D3085" s="28" t="s">
        <v>3068</v>
      </c>
      <c r="E3085" s="28" t="s">
        <v>16897</v>
      </c>
      <c r="F3085" s="28" t="s">
        <v>21</v>
      </c>
      <c r="G3085" s="28" t="s">
        <v>39</v>
      </c>
      <c r="H3085" s="28" t="s">
        <v>16221</v>
      </c>
      <c r="I3085" s="28" t="s">
        <v>16898</v>
      </c>
      <c r="J3085" s="28" t="s">
        <v>39</v>
      </c>
      <c r="K3085" s="28" t="s">
        <v>16223</v>
      </c>
      <c r="L3085" s="28" t="s">
        <v>16224</v>
      </c>
      <c r="M3085" s="28" t="s">
        <v>16899</v>
      </c>
      <c r="N3085" s="28" t="s">
        <v>16226</v>
      </c>
      <c r="O3085" s="28" t="s">
        <v>16227</v>
      </c>
      <c r="P3085" s="28" t="s">
        <v>16900</v>
      </c>
    </row>
    <row r="3086" spans="1:16" x14ac:dyDescent="0.25">
      <c r="A3086" s="28" t="s">
        <v>16901</v>
      </c>
      <c r="B3086" s="28" t="s">
        <v>16902</v>
      </c>
      <c r="C3086" s="28" t="s">
        <v>1684</v>
      </c>
      <c r="D3086" s="28" t="s">
        <v>3068</v>
      </c>
      <c r="E3086" s="28" t="s">
        <v>16903</v>
      </c>
      <c r="F3086" s="28" t="s">
        <v>21</v>
      </c>
      <c r="G3086" s="28" t="s">
        <v>39</v>
      </c>
      <c r="H3086" s="28" t="s">
        <v>16221</v>
      </c>
      <c r="I3086" s="28" t="s">
        <v>16904</v>
      </c>
      <c r="J3086" s="28" t="s">
        <v>39</v>
      </c>
      <c r="K3086" s="28" t="s">
        <v>16223</v>
      </c>
      <c r="L3086" s="28" t="s">
        <v>16224</v>
      </c>
      <c r="M3086" s="28" t="s">
        <v>16905</v>
      </c>
      <c r="N3086" s="28" t="s">
        <v>16226</v>
      </c>
      <c r="O3086" s="28" t="s">
        <v>16227</v>
      </c>
      <c r="P3086" s="28" t="s">
        <v>16906</v>
      </c>
    </row>
    <row r="3087" spans="1:16" x14ac:dyDescent="0.25">
      <c r="A3087" s="28" t="s">
        <v>16907</v>
      </c>
      <c r="B3087" s="28" t="s">
        <v>16908</v>
      </c>
      <c r="C3087" s="28" t="s">
        <v>1684</v>
      </c>
      <c r="D3087" s="28" t="s">
        <v>3068</v>
      </c>
      <c r="E3087" s="28" t="s">
        <v>16909</v>
      </c>
      <c r="F3087" s="28" t="s">
        <v>21</v>
      </c>
      <c r="G3087" s="28" t="s">
        <v>39</v>
      </c>
      <c r="H3087" s="28" t="s">
        <v>16221</v>
      </c>
      <c r="I3087" s="28" t="s">
        <v>16910</v>
      </c>
      <c r="J3087" s="28" t="s">
        <v>39</v>
      </c>
      <c r="K3087" s="28" t="s">
        <v>16223</v>
      </c>
      <c r="L3087" s="28" t="s">
        <v>16224</v>
      </c>
      <c r="M3087" s="28" t="s">
        <v>16911</v>
      </c>
      <c r="N3087" s="28" t="s">
        <v>16226</v>
      </c>
      <c r="O3087" s="28" t="s">
        <v>16227</v>
      </c>
      <c r="P3087" s="28" t="s">
        <v>16912</v>
      </c>
    </row>
    <row r="3088" spans="1:16" x14ac:dyDescent="0.25">
      <c r="A3088" s="28" t="s">
        <v>16913</v>
      </c>
      <c r="B3088" s="28" t="s">
        <v>16914</v>
      </c>
      <c r="C3088" s="28" t="s">
        <v>1684</v>
      </c>
      <c r="D3088" s="28" t="s">
        <v>3068</v>
      </c>
      <c r="E3088" s="28" t="s">
        <v>16915</v>
      </c>
      <c r="F3088" s="28" t="s">
        <v>21</v>
      </c>
      <c r="G3088" s="28" t="s">
        <v>39</v>
      </c>
      <c r="H3088" s="28" t="s">
        <v>16221</v>
      </c>
      <c r="I3088" s="28" t="s">
        <v>16916</v>
      </c>
      <c r="J3088" s="28" t="s">
        <v>39</v>
      </c>
      <c r="K3088" s="28" t="s">
        <v>16223</v>
      </c>
      <c r="L3088" s="28" t="s">
        <v>16224</v>
      </c>
      <c r="M3088" s="28" t="s">
        <v>16917</v>
      </c>
      <c r="N3088" s="28" t="s">
        <v>16226</v>
      </c>
      <c r="O3088" s="28" t="s">
        <v>16227</v>
      </c>
      <c r="P3088" s="28" t="s">
        <v>16918</v>
      </c>
    </row>
    <row r="3089" spans="1:16" x14ac:dyDescent="0.25">
      <c r="A3089" s="28" t="s">
        <v>16919</v>
      </c>
      <c r="B3089" s="28" t="s">
        <v>16920</v>
      </c>
      <c r="C3089" s="28" t="s">
        <v>1684</v>
      </c>
      <c r="D3089" s="28" t="s">
        <v>3068</v>
      </c>
      <c r="E3089" s="28" t="s">
        <v>16921</v>
      </c>
      <c r="F3089" s="28" t="s">
        <v>21</v>
      </c>
      <c r="G3089" s="28" t="s">
        <v>39</v>
      </c>
      <c r="H3089" s="28" t="s">
        <v>16221</v>
      </c>
      <c r="I3089" s="28" t="s">
        <v>16922</v>
      </c>
      <c r="J3089" s="28" t="s">
        <v>39</v>
      </c>
      <c r="K3089" s="28" t="s">
        <v>16223</v>
      </c>
      <c r="L3089" s="28" t="s">
        <v>16224</v>
      </c>
      <c r="M3089" s="28" t="s">
        <v>16923</v>
      </c>
      <c r="N3089" s="28" t="s">
        <v>16226</v>
      </c>
      <c r="O3089" s="28" t="s">
        <v>16227</v>
      </c>
      <c r="P3089" s="28" t="s">
        <v>16924</v>
      </c>
    </row>
    <row r="3090" spans="1:16" x14ac:dyDescent="0.25">
      <c r="A3090" s="28" t="s">
        <v>16925</v>
      </c>
      <c r="B3090" s="28" t="s">
        <v>16926</v>
      </c>
      <c r="C3090" s="28" t="s">
        <v>1684</v>
      </c>
      <c r="D3090" s="28" t="s">
        <v>3068</v>
      </c>
      <c r="E3090" s="28" t="s">
        <v>16927</v>
      </c>
      <c r="F3090" s="28" t="s">
        <v>21</v>
      </c>
      <c r="G3090" s="28" t="s">
        <v>39</v>
      </c>
      <c r="H3090" s="28" t="s">
        <v>16221</v>
      </c>
      <c r="I3090" s="28" t="s">
        <v>16928</v>
      </c>
      <c r="J3090" s="28" t="s">
        <v>39</v>
      </c>
      <c r="K3090" s="28" t="s">
        <v>16223</v>
      </c>
      <c r="L3090" s="28" t="s">
        <v>16224</v>
      </c>
      <c r="M3090" s="28" t="s">
        <v>16929</v>
      </c>
      <c r="N3090" s="28" t="s">
        <v>16226</v>
      </c>
      <c r="O3090" s="28" t="s">
        <v>16227</v>
      </c>
      <c r="P3090" s="28" t="s">
        <v>16930</v>
      </c>
    </row>
    <row r="3091" spans="1:16" x14ac:dyDescent="0.25">
      <c r="A3091" s="28" t="s">
        <v>16931</v>
      </c>
      <c r="B3091" s="28" t="s">
        <v>16932</v>
      </c>
      <c r="C3091" s="28" t="s">
        <v>1684</v>
      </c>
      <c r="D3091" s="28" t="s">
        <v>3068</v>
      </c>
      <c r="E3091" s="28" t="s">
        <v>3069</v>
      </c>
      <c r="F3091" s="28" t="s">
        <v>21</v>
      </c>
      <c r="G3091" s="28" t="s">
        <v>39</v>
      </c>
      <c r="H3091" s="28" t="s">
        <v>16221</v>
      </c>
      <c r="I3091" s="28" t="s">
        <v>16933</v>
      </c>
      <c r="J3091" s="28" t="s">
        <v>39</v>
      </c>
      <c r="K3091" s="28" t="s">
        <v>16223</v>
      </c>
      <c r="L3091" s="28" t="s">
        <v>16224</v>
      </c>
      <c r="M3091" s="28" t="s">
        <v>16934</v>
      </c>
      <c r="N3091" s="28" t="s">
        <v>16226</v>
      </c>
      <c r="O3091" s="28" t="s">
        <v>16227</v>
      </c>
      <c r="P3091" s="28" t="s">
        <v>16935</v>
      </c>
    </row>
    <row r="3092" spans="1:16" x14ac:dyDescent="0.25">
      <c r="A3092" s="28" t="s">
        <v>16936</v>
      </c>
      <c r="B3092" s="28" t="s">
        <v>16937</v>
      </c>
      <c r="C3092" s="28" t="s">
        <v>1684</v>
      </c>
      <c r="D3092" s="28" t="s">
        <v>3068</v>
      </c>
      <c r="E3092" s="28" t="s">
        <v>3078</v>
      </c>
      <c r="F3092" s="28" t="s">
        <v>21</v>
      </c>
      <c r="G3092" s="28" t="s">
        <v>39</v>
      </c>
      <c r="H3092" s="28" t="s">
        <v>16221</v>
      </c>
      <c r="I3092" s="28" t="s">
        <v>16938</v>
      </c>
      <c r="J3092" s="28" t="s">
        <v>39</v>
      </c>
      <c r="K3092" s="28" t="s">
        <v>16223</v>
      </c>
      <c r="L3092" s="28" t="s">
        <v>16224</v>
      </c>
      <c r="M3092" s="28" t="s">
        <v>16939</v>
      </c>
      <c r="N3092" s="28" t="s">
        <v>16226</v>
      </c>
      <c r="O3092" s="28" t="s">
        <v>16227</v>
      </c>
      <c r="P3092" s="28" t="s">
        <v>16940</v>
      </c>
    </row>
    <row r="3093" spans="1:16" x14ac:dyDescent="0.25">
      <c r="A3093" s="28" t="s">
        <v>16941</v>
      </c>
      <c r="B3093" s="28" t="s">
        <v>16942</v>
      </c>
      <c r="C3093" s="28" t="s">
        <v>1684</v>
      </c>
      <c r="D3093" s="28" t="s">
        <v>3068</v>
      </c>
      <c r="E3093" s="28" t="s">
        <v>3084</v>
      </c>
      <c r="F3093" s="28" t="s">
        <v>21</v>
      </c>
      <c r="G3093" s="28" t="s">
        <v>39</v>
      </c>
      <c r="H3093" s="28" t="s">
        <v>16221</v>
      </c>
      <c r="I3093" s="28" t="s">
        <v>16943</v>
      </c>
      <c r="J3093" s="28" t="s">
        <v>39</v>
      </c>
      <c r="K3093" s="28" t="s">
        <v>16223</v>
      </c>
      <c r="L3093" s="28" t="s">
        <v>16224</v>
      </c>
      <c r="M3093" s="28" t="s">
        <v>16944</v>
      </c>
      <c r="N3093" s="28" t="s">
        <v>16226</v>
      </c>
      <c r="O3093" s="28" t="s">
        <v>16227</v>
      </c>
      <c r="P3093" s="28" t="s">
        <v>16945</v>
      </c>
    </row>
    <row r="3094" spans="1:16" x14ac:dyDescent="0.25">
      <c r="A3094" s="28" t="s">
        <v>16946</v>
      </c>
      <c r="B3094" s="28" t="s">
        <v>16947</v>
      </c>
      <c r="C3094" s="28" t="s">
        <v>1684</v>
      </c>
      <c r="D3094" s="28" t="s">
        <v>3068</v>
      </c>
      <c r="E3094" s="28" t="s">
        <v>3090</v>
      </c>
      <c r="F3094" s="28" t="s">
        <v>21</v>
      </c>
      <c r="G3094" s="28" t="s">
        <v>39</v>
      </c>
      <c r="H3094" s="28" t="s">
        <v>16221</v>
      </c>
      <c r="I3094" s="28" t="s">
        <v>16948</v>
      </c>
      <c r="J3094" s="28" t="s">
        <v>39</v>
      </c>
      <c r="K3094" s="28" t="s">
        <v>16223</v>
      </c>
      <c r="L3094" s="28" t="s">
        <v>16224</v>
      </c>
      <c r="M3094" s="28" t="s">
        <v>16949</v>
      </c>
      <c r="N3094" s="28" t="s">
        <v>16226</v>
      </c>
      <c r="O3094" s="28" t="s">
        <v>16227</v>
      </c>
      <c r="P3094" s="28" t="s">
        <v>16950</v>
      </c>
    </row>
    <row r="3095" spans="1:16" x14ac:dyDescent="0.25">
      <c r="A3095" s="28" t="s">
        <v>16951</v>
      </c>
      <c r="B3095" s="28" t="s">
        <v>16952</v>
      </c>
      <c r="C3095" s="28" t="s">
        <v>1684</v>
      </c>
      <c r="D3095" s="28" t="s">
        <v>3068</v>
      </c>
      <c r="E3095" s="28" t="s">
        <v>3096</v>
      </c>
      <c r="F3095" s="28" t="s">
        <v>21</v>
      </c>
      <c r="G3095" s="28" t="s">
        <v>39</v>
      </c>
      <c r="H3095" s="28" t="s">
        <v>16221</v>
      </c>
      <c r="I3095" s="28" t="s">
        <v>16953</v>
      </c>
      <c r="J3095" s="28" t="s">
        <v>39</v>
      </c>
      <c r="K3095" s="28" t="s">
        <v>16223</v>
      </c>
      <c r="L3095" s="28" t="s">
        <v>16224</v>
      </c>
      <c r="M3095" s="28" t="s">
        <v>16954</v>
      </c>
      <c r="N3095" s="28" t="s">
        <v>16226</v>
      </c>
      <c r="O3095" s="28" t="s">
        <v>16227</v>
      </c>
      <c r="P3095" s="28" t="s">
        <v>16955</v>
      </c>
    </row>
    <row r="3096" spans="1:16" x14ac:dyDescent="0.25">
      <c r="A3096" s="28" t="s">
        <v>16956</v>
      </c>
      <c r="B3096" s="28" t="s">
        <v>16957</v>
      </c>
      <c r="C3096" s="28" t="s">
        <v>1684</v>
      </c>
      <c r="D3096" s="28" t="s">
        <v>3068</v>
      </c>
      <c r="E3096" s="28" t="s">
        <v>3102</v>
      </c>
      <c r="F3096" s="28" t="s">
        <v>21</v>
      </c>
      <c r="G3096" s="28" t="s">
        <v>39</v>
      </c>
      <c r="H3096" s="28" t="s">
        <v>16221</v>
      </c>
      <c r="I3096" s="28" t="s">
        <v>16958</v>
      </c>
      <c r="J3096" s="28" t="s">
        <v>39</v>
      </c>
      <c r="K3096" s="28" t="s">
        <v>16223</v>
      </c>
      <c r="L3096" s="28" t="s">
        <v>16224</v>
      </c>
      <c r="M3096" s="28" t="s">
        <v>16959</v>
      </c>
      <c r="N3096" s="28" t="s">
        <v>16226</v>
      </c>
      <c r="O3096" s="28" t="s">
        <v>16227</v>
      </c>
      <c r="P3096" s="28" t="s">
        <v>16960</v>
      </c>
    </row>
    <row r="3097" spans="1:16" x14ac:dyDescent="0.25">
      <c r="A3097" s="28" t="s">
        <v>16961</v>
      </c>
      <c r="B3097" s="28" t="s">
        <v>16962</v>
      </c>
      <c r="C3097" s="28" t="s">
        <v>1684</v>
      </c>
      <c r="D3097" s="28" t="s">
        <v>3068</v>
      </c>
      <c r="E3097" s="28" t="s">
        <v>3108</v>
      </c>
      <c r="F3097" s="28" t="s">
        <v>21</v>
      </c>
      <c r="G3097" s="28" t="s">
        <v>39</v>
      </c>
      <c r="H3097" s="28" t="s">
        <v>16221</v>
      </c>
      <c r="I3097" s="28" t="s">
        <v>16963</v>
      </c>
      <c r="J3097" s="28" t="s">
        <v>39</v>
      </c>
      <c r="K3097" s="28" t="s">
        <v>16223</v>
      </c>
      <c r="L3097" s="28" t="s">
        <v>16224</v>
      </c>
      <c r="M3097" s="28" t="s">
        <v>16964</v>
      </c>
      <c r="N3097" s="28" t="s">
        <v>16226</v>
      </c>
      <c r="O3097" s="28" t="s">
        <v>16227</v>
      </c>
      <c r="P3097" s="28" t="s">
        <v>16965</v>
      </c>
    </row>
    <row r="3098" spans="1:16" x14ac:dyDescent="0.25">
      <c r="A3098" s="28" t="s">
        <v>16966</v>
      </c>
      <c r="B3098" s="28" t="s">
        <v>16967</v>
      </c>
      <c r="C3098" s="28" t="s">
        <v>1684</v>
      </c>
      <c r="D3098" s="28" t="s">
        <v>3068</v>
      </c>
      <c r="E3098" s="28" t="s">
        <v>3114</v>
      </c>
      <c r="F3098" s="28" t="s">
        <v>21</v>
      </c>
      <c r="G3098" s="28" t="s">
        <v>39</v>
      </c>
      <c r="H3098" s="28" t="s">
        <v>16221</v>
      </c>
      <c r="I3098" s="28" t="s">
        <v>16968</v>
      </c>
      <c r="J3098" s="28" t="s">
        <v>39</v>
      </c>
      <c r="K3098" s="28" t="s">
        <v>16223</v>
      </c>
      <c r="L3098" s="28" t="s">
        <v>16224</v>
      </c>
      <c r="M3098" s="28" t="s">
        <v>16969</v>
      </c>
      <c r="N3098" s="28" t="s">
        <v>16226</v>
      </c>
      <c r="O3098" s="28" t="s">
        <v>16227</v>
      </c>
      <c r="P3098" s="28" t="s">
        <v>16970</v>
      </c>
    </row>
    <row r="3099" spans="1:16" x14ac:dyDescent="0.25">
      <c r="A3099" s="28" t="s">
        <v>16971</v>
      </c>
      <c r="B3099" s="28" t="s">
        <v>16972</v>
      </c>
      <c r="C3099" s="28" t="s">
        <v>1684</v>
      </c>
      <c r="D3099" s="28" t="s">
        <v>3068</v>
      </c>
      <c r="E3099" s="28" t="s">
        <v>3120</v>
      </c>
      <c r="F3099" s="28" t="s">
        <v>21</v>
      </c>
      <c r="G3099" s="28" t="s">
        <v>39</v>
      </c>
      <c r="H3099" s="28" t="s">
        <v>16221</v>
      </c>
      <c r="I3099" s="28" t="s">
        <v>16973</v>
      </c>
      <c r="J3099" s="28" t="s">
        <v>39</v>
      </c>
      <c r="K3099" s="28" t="s">
        <v>16223</v>
      </c>
      <c r="L3099" s="28" t="s">
        <v>16224</v>
      </c>
      <c r="M3099" s="28" t="s">
        <v>16974</v>
      </c>
      <c r="N3099" s="28" t="s">
        <v>16226</v>
      </c>
      <c r="O3099" s="28" t="s">
        <v>16227</v>
      </c>
      <c r="P3099" s="28" t="s">
        <v>16975</v>
      </c>
    </row>
    <row r="3100" spans="1:16" x14ac:dyDescent="0.25">
      <c r="A3100" s="28" t="s">
        <v>16976</v>
      </c>
      <c r="B3100" s="28" t="s">
        <v>16977</v>
      </c>
      <c r="C3100" s="28" t="s">
        <v>1684</v>
      </c>
      <c r="D3100" s="28" t="s">
        <v>3068</v>
      </c>
      <c r="E3100" s="28" t="s">
        <v>3126</v>
      </c>
      <c r="F3100" s="28" t="s">
        <v>21</v>
      </c>
      <c r="G3100" s="28" t="s">
        <v>39</v>
      </c>
      <c r="H3100" s="28" t="s">
        <v>16221</v>
      </c>
      <c r="I3100" s="28" t="s">
        <v>16978</v>
      </c>
      <c r="J3100" s="28" t="s">
        <v>39</v>
      </c>
      <c r="K3100" s="28" t="s">
        <v>16223</v>
      </c>
      <c r="L3100" s="28" t="s">
        <v>16224</v>
      </c>
      <c r="M3100" s="28" t="s">
        <v>16979</v>
      </c>
      <c r="N3100" s="28" t="s">
        <v>16226</v>
      </c>
      <c r="O3100" s="28" t="s">
        <v>16227</v>
      </c>
      <c r="P3100" s="28" t="s">
        <v>16980</v>
      </c>
    </row>
    <row r="3101" spans="1:16" x14ac:dyDescent="0.25">
      <c r="A3101" s="28" t="s">
        <v>16981</v>
      </c>
      <c r="B3101" s="28" t="s">
        <v>16982</v>
      </c>
      <c r="C3101" s="28" t="s">
        <v>1684</v>
      </c>
      <c r="D3101" s="28" t="s">
        <v>3068</v>
      </c>
      <c r="E3101" s="28" t="s">
        <v>3137</v>
      </c>
      <c r="F3101" s="28" t="s">
        <v>21</v>
      </c>
      <c r="G3101" s="28" t="s">
        <v>39</v>
      </c>
      <c r="H3101" s="28" t="s">
        <v>16221</v>
      </c>
      <c r="I3101" s="28" t="s">
        <v>16983</v>
      </c>
      <c r="J3101" s="28" t="s">
        <v>39</v>
      </c>
      <c r="K3101" s="28" t="s">
        <v>16223</v>
      </c>
      <c r="L3101" s="28" t="s">
        <v>16224</v>
      </c>
      <c r="M3101" s="28" t="s">
        <v>16984</v>
      </c>
      <c r="N3101" s="28" t="s">
        <v>16226</v>
      </c>
      <c r="O3101" s="28" t="s">
        <v>16227</v>
      </c>
      <c r="P3101" s="28" t="s">
        <v>16985</v>
      </c>
    </row>
    <row r="3102" spans="1:16" x14ac:dyDescent="0.25">
      <c r="A3102" s="28" t="s">
        <v>16986</v>
      </c>
      <c r="B3102" s="28" t="s">
        <v>16987</v>
      </c>
      <c r="C3102" s="28" t="s">
        <v>1684</v>
      </c>
      <c r="D3102" s="28" t="s">
        <v>3068</v>
      </c>
      <c r="E3102" s="28" t="s">
        <v>3143</v>
      </c>
      <c r="F3102" s="28" t="s">
        <v>21</v>
      </c>
      <c r="G3102" s="28" t="s">
        <v>39</v>
      </c>
      <c r="H3102" s="28" t="s">
        <v>16221</v>
      </c>
      <c r="I3102" s="28" t="s">
        <v>16988</v>
      </c>
      <c r="J3102" s="28" t="s">
        <v>39</v>
      </c>
      <c r="K3102" s="28" t="s">
        <v>16223</v>
      </c>
      <c r="L3102" s="28" t="s">
        <v>16224</v>
      </c>
      <c r="M3102" s="28" t="s">
        <v>16989</v>
      </c>
      <c r="N3102" s="28" t="s">
        <v>16226</v>
      </c>
      <c r="O3102" s="28" t="s">
        <v>16227</v>
      </c>
      <c r="P3102" s="28" t="s">
        <v>16990</v>
      </c>
    </row>
    <row r="3103" spans="1:16" x14ac:dyDescent="0.25">
      <c r="A3103" s="28" t="s">
        <v>16991</v>
      </c>
      <c r="B3103" s="28" t="s">
        <v>16992</v>
      </c>
      <c r="C3103" s="28" t="s">
        <v>1684</v>
      </c>
      <c r="D3103" s="28" t="s">
        <v>3068</v>
      </c>
      <c r="E3103" s="28" t="s">
        <v>3166</v>
      </c>
      <c r="F3103" s="28" t="s">
        <v>21</v>
      </c>
      <c r="G3103" s="28" t="s">
        <v>39</v>
      </c>
      <c r="H3103" s="28" t="s">
        <v>16221</v>
      </c>
      <c r="I3103" s="28" t="s">
        <v>16993</v>
      </c>
      <c r="J3103" s="28" t="s">
        <v>39</v>
      </c>
      <c r="K3103" s="28" t="s">
        <v>16223</v>
      </c>
      <c r="L3103" s="28" t="s">
        <v>16224</v>
      </c>
      <c r="M3103" s="28" t="s">
        <v>16994</v>
      </c>
      <c r="N3103" s="28" t="s">
        <v>16226</v>
      </c>
      <c r="O3103" s="28" t="s">
        <v>16227</v>
      </c>
      <c r="P3103" s="28" t="s">
        <v>16995</v>
      </c>
    </row>
    <row r="3104" spans="1:16" x14ac:dyDescent="0.25">
      <c r="A3104" s="28" t="s">
        <v>16996</v>
      </c>
      <c r="B3104" s="28" t="s">
        <v>16997</v>
      </c>
      <c r="C3104" s="28" t="s">
        <v>1684</v>
      </c>
      <c r="D3104" s="28" t="s">
        <v>3068</v>
      </c>
      <c r="E3104" s="28" t="s">
        <v>16432</v>
      </c>
      <c r="F3104" s="28" t="s">
        <v>21</v>
      </c>
      <c r="G3104" s="28" t="s">
        <v>39</v>
      </c>
      <c r="H3104" s="28" t="s">
        <v>16221</v>
      </c>
      <c r="I3104" s="28" t="s">
        <v>16998</v>
      </c>
      <c r="J3104" s="28" t="s">
        <v>39</v>
      </c>
      <c r="K3104" s="28" t="s">
        <v>16223</v>
      </c>
      <c r="L3104" s="28" t="s">
        <v>16224</v>
      </c>
      <c r="M3104" s="28" t="s">
        <v>16999</v>
      </c>
      <c r="N3104" s="28" t="s">
        <v>16226</v>
      </c>
      <c r="O3104" s="28" t="s">
        <v>16227</v>
      </c>
      <c r="P3104" s="28" t="s">
        <v>16435</v>
      </c>
    </row>
    <row r="3105" spans="1:16" x14ac:dyDescent="0.25">
      <c r="A3105" s="28" t="s">
        <v>17000</v>
      </c>
      <c r="B3105" s="28" t="s">
        <v>17001</v>
      </c>
      <c r="C3105" s="28" t="s">
        <v>1684</v>
      </c>
      <c r="D3105" s="28" t="s">
        <v>3068</v>
      </c>
      <c r="E3105" s="28" t="s">
        <v>16442</v>
      </c>
      <c r="F3105" s="28" t="s">
        <v>21</v>
      </c>
      <c r="G3105" s="28" t="s">
        <v>39</v>
      </c>
      <c r="H3105" s="28" t="s">
        <v>16221</v>
      </c>
      <c r="I3105" s="28" t="s">
        <v>17002</v>
      </c>
      <c r="J3105" s="28" t="s">
        <v>39</v>
      </c>
      <c r="K3105" s="28" t="s">
        <v>16223</v>
      </c>
      <c r="L3105" s="28" t="s">
        <v>16224</v>
      </c>
      <c r="M3105" s="28" t="s">
        <v>17003</v>
      </c>
      <c r="N3105" s="28" t="s">
        <v>16226</v>
      </c>
      <c r="O3105" s="28" t="s">
        <v>16227</v>
      </c>
      <c r="P3105" s="28" t="s">
        <v>16445</v>
      </c>
    </row>
    <row r="3106" spans="1:16" x14ac:dyDescent="0.25">
      <c r="A3106" s="28" t="s">
        <v>17004</v>
      </c>
      <c r="B3106" s="28" t="s">
        <v>17005</v>
      </c>
      <c r="C3106" s="28" t="s">
        <v>1684</v>
      </c>
      <c r="D3106" s="28" t="s">
        <v>3068</v>
      </c>
      <c r="E3106" s="28" t="s">
        <v>16452</v>
      </c>
      <c r="F3106" s="28" t="s">
        <v>21</v>
      </c>
      <c r="G3106" s="28" t="s">
        <v>39</v>
      </c>
      <c r="H3106" s="28" t="s">
        <v>16221</v>
      </c>
      <c r="I3106" s="28" t="s">
        <v>17006</v>
      </c>
      <c r="J3106" s="28" t="s">
        <v>39</v>
      </c>
      <c r="K3106" s="28" t="s">
        <v>16223</v>
      </c>
      <c r="L3106" s="28" t="s">
        <v>16224</v>
      </c>
      <c r="M3106" s="28" t="s">
        <v>17007</v>
      </c>
      <c r="N3106" s="28" t="s">
        <v>16226</v>
      </c>
      <c r="O3106" s="28" t="s">
        <v>16227</v>
      </c>
      <c r="P3106" s="28" t="s">
        <v>16455</v>
      </c>
    </row>
    <row r="3107" spans="1:16" x14ac:dyDescent="0.25">
      <c r="A3107" s="28" t="s">
        <v>17008</v>
      </c>
      <c r="B3107" s="28" t="s">
        <v>17009</v>
      </c>
      <c r="C3107" s="28" t="s">
        <v>1684</v>
      </c>
      <c r="D3107" s="28" t="s">
        <v>3068</v>
      </c>
      <c r="E3107" s="28" t="s">
        <v>16462</v>
      </c>
      <c r="F3107" s="28" t="s">
        <v>21</v>
      </c>
      <c r="G3107" s="28" t="s">
        <v>39</v>
      </c>
      <c r="H3107" s="28" t="s">
        <v>16221</v>
      </c>
      <c r="I3107" s="28" t="s">
        <v>17010</v>
      </c>
      <c r="J3107" s="28" t="s">
        <v>39</v>
      </c>
      <c r="K3107" s="28" t="s">
        <v>16223</v>
      </c>
      <c r="L3107" s="28" t="s">
        <v>16224</v>
      </c>
      <c r="M3107" s="28" t="s">
        <v>17011</v>
      </c>
      <c r="N3107" s="28" t="s">
        <v>16226</v>
      </c>
      <c r="O3107" s="28" t="s">
        <v>16227</v>
      </c>
      <c r="P3107" s="28" t="s">
        <v>16465</v>
      </c>
    </row>
    <row r="3108" spans="1:16" x14ac:dyDescent="0.25">
      <c r="A3108" s="28" t="s">
        <v>17012</v>
      </c>
      <c r="B3108" s="28" t="s">
        <v>17013</v>
      </c>
      <c r="C3108" s="28" t="s">
        <v>1684</v>
      </c>
      <c r="D3108" s="28" t="s">
        <v>3068</v>
      </c>
      <c r="E3108" s="28" t="s">
        <v>17014</v>
      </c>
      <c r="F3108" s="28" t="s">
        <v>21</v>
      </c>
      <c r="G3108" s="28" t="s">
        <v>39</v>
      </c>
      <c r="H3108" s="28" t="s">
        <v>16221</v>
      </c>
      <c r="I3108" s="28" t="s">
        <v>17015</v>
      </c>
      <c r="J3108" s="28" t="s">
        <v>39</v>
      </c>
      <c r="K3108" s="28" t="s">
        <v>16223</v>
      </c>
      <c r="L3108" s="28" t="s">
        <v>16224</v>
      </c>
      <c r="M3108" s="28" t="s">
        <v>17016</v>
      </c>
      <c r="N3108" s="28" t="s">
        <v>16226</v>
      </c>
      <c r="O3108" s="28" t="s">
        <v>16227</v>
      </c>
      <c r="P3108" s="28" t="s">
        <v>17017</v>
      </c>
    </row>
    <row r="3109" spans="1:16" x14ac:dyDescent="0.25">
      <c r="A3109" s="28" t="s">
        <v>17018</v>
      </c>
      <c r="B3109" s="28" t="s">
        <v>17019</v>
      </c>
      <c r="C3109" s="28" t="s">
        <v>1684</v>
      </c>
      <c r="D3109" s="28" t="s">
        <v>3068</v>
      </c>
      <c r="E3109" s="28" t="s">
        <v>15338</v>
      </c>
      <c r="F3109" s="28" t="s">
        <v>21</v>
      </c>
      <c r="G3109" s="28" t="s">
        <v>39</v>
      </c>
      <c r="H3109" s="28" t="s">
        <v>16221</v>
      </c>
      <c r="I3109" s="28" t="s">
        <v>17020</v>
      </c>
      <c r="J3109" s="28" t="s">
        <v>39</v>
      </c>
      <c r="K3109" s="28" t="s">
        <v>16223</v>
      </c>
      <c r="L3109" s="28" t="s">
        <v>16224</v>
      </c>
      <c r="M3109" s="28" t="s">
        <v>17021</v>
      </c>
      <c r="N3109" s="28" t="s">
        <v>16226</v>
      </c>
      <c r="O3109" s="28" t="s">
        <v>16227</v>
      </c>
      <c r="P3109" s="28" t="s">
        <v>17022</v>
      </c>
    </row>
    <row r="3110" spans="1:16" x14ac:dyDescent="0.25">
      <c r="A3110" s="28" t="s">
        <v>17023</v>
      </c>
      <c r="B3110" s="28" t="s">
        <v>17024</v>
      </c>
      <c r="C3110" s="28" t="s">
        <v>1684</v>
      </c>
      <c r="D3110" s="28" t="s">
        <v>3068</v>
      </c>
      <c r="E3110" s="28" t="s">
        <v>17025</v>
      </c>
      <c r="F3110" s="28" t="s">
        <v>21</v>
      </c>
      <c r="G3110" s="28" t="s">
        <v>39</v>
      </c>
      <c r="H3110" s="28" t="s">
        <v>16221</v>
      </c>
      <c r="I3110" s="28" t="s">
        <v>17026</v>
      </c>
      <c r="J3110" s="28" t="s">
        <v>39</v>
      </c>
      <c r="K3110" s="28" t="s">
        <v>16223</v>
      </c>
      <c r="L3110" s="28" t="s">
        <v>16224</v>
      </c>
      <c r="M3110" s="28" t="s">
        <v>17027</v>
      </c>
      <c r="N3110" s="28" t="s">
        <v>16226</v>
      </c>
      <c r="O3110" s="28" t="s">
        <v>16227</v>
      </c>
      <c r="P3110" s="28" t="s">
        <v>17028</v>
      </c>
    </row>
    <row r="3111" spans="1:16" x14ac:dyDescent="0.25">
      <c r="A3111" s="28" t="s">
        <v>17029</v>
      </c>
      <c r="B3111" s="28" t="s">
        <v>17030</v>
      </c>
      <c r="C3111" s="28" t="s">
        <v>1684</v>
      </c>
      <c r="D3111" s="28" t="s">
        <v>3068</v>
      </c>
      <c r="E3111" s="28" t="s">
        <v>17031</v>
      </c>
      <c r="F3111" s="28" t="s">
        <v>21</v>
      </c>
      <c r="G3111" s="28" t="s">
        <v>39</v>
      </c>
      <c r="H3111" s="28" t="s">
        <v>16221</v>
      </c>
      <c r="I3111" s="28" t="s">
        <v>17032</v>
      </c>
      <c r="J3111" s="28" t="s">
        <v>39</v>
      </c>
      <c r="K3111" s="28" t="s">
        <v>16223</v>
      </c>
      <c r="L3111" s="28" t="s">
        <v>16224</v>
      </c>
      <c r="M3111" s="28" t="s">
        <v>17033</v>
      </c>
      <c r="N3111" s="28" t="s">
        <v>16226</v>
      </c>
      <c r="O3111" s="28" t="s">
        <v>16227</v>
      </c>
      <c r="P3111" s="28" t="s">
        <v>17034</v>
      </c>
    </row>
    <row r="3112" spans="1:16" x14ac:dyDescent="0.25">
      <c r="A3112" s="28" t="s">
        <v>17035</v>
      </c>
      <c r="B3112" s="28" t="s">
        <v>17036</v>
      </c>
      <c r="C3112" s="28" t="s">
        <v>1684</v>
      </c>
      <c r="D3112" s="28" t="s">
        <v>3068</v>
      </c>
      <c r="E3112" s="28" t="s">
        <v>17037</v>
      </c>
      <c r="F3112" s="28" t="s">
        <v>21</v>
      </c>
      <c r="G3112" s="28" t="s">
        <v>39</v>
      </c>
      <c r="H3112" s="28" t="s">
        <v>16221</v>
      </c>
      <c r="I3112" s="28" t="s">
        <v>17038</v>
      </c>
      <c r="J3112" s="28" t="s">
        <v>39</v>
      </c>
      <c r="K3112" s="28" t="s">
        <v>16223</v>
      </c>
      <c r="L3112" s="28" t="s">
        <v>16224</v>
      </c>
      <c r="M3112" s="28" t="s">
        <v>17039</v>
      </c>
      <c r="N3112" s="28" t="s">
        <v>16226</v>
      </c>
      <c r="O3112" s="28" t="s">
        <v>16227</v>
      </c>
      <c r="P3112" s="28" t="s">
        <v>17040</v>
      </c>
    </row>
    <row r="3113" spans="1:16" x14ac:dyDescent="0.25">
      <c r="A3113" s="28" t="s">
        <v>17041</v>
      </c>
      <c r="B3113" s="28" t="s">
        <v>17042</v>
      </c>
      <c r="C3113" s="28" t="s">
        <v>1684</v>
      </c>
      <c r="D3113" s="28" t="s">
        <v>3068</v>
      </c>
      <c r="E3113" s="28" t="s">
        <v>17043</v>
      </c>
      <c r="F3113" s="28" t="s">
        <v>21</v>
      </c>
      <c r="G3113" s="28" t="s">
        <v>39</v>
      </c>
      <c r="H3113" s="28" t="s">
        <v>16221</v>
      </c>
      <c r="I3113" s="28" t="s">
        <v>17044</v>
      </c>
      <c r="J3113" s="28" t="s">
        <v>39</v>
      </c>
      <c r="K3113" s="28" t="s">
        <v>16223</v>
      </c>
      <c r="L3113" s="28" t="s">
        <v>16224</v>
      </c>
      <c r="M3113" s="28" t="s">
        <v>17045</v>
      </c>
      <c r="N3113" s="28" t="s">
        <v>16226</v>
      </c>
      <c r="O3113" s="28" t="s">
        <v>16227</v>
      </c>
      <c r="P3113" s="28" t="s">
        <v>17046</v>
      </c>
    </row>
    <row r="3114" spans="1:16" x14ac:dyDescent="0.25">
      <c r="A3114" s="28" t="s">
        <v>17047</v>
      </c>
      <c r="B3114" s="28" t="s">
        <v>17048</v>
      </c>
      <c r="C3114" s="28" t="s">
        <v>1684</v>
      </c>
      <c r="D3114" s="28" t="s">
        <v>5372</v>
      </c>
      <c r="E3114" s="28" t="s">
        <v>15344</v>
      </c>
      <c r="F3114" s="28" t="s">
        <v>21</v>
      </c>
      <c r="G3114" s="28" t="s">
        <v>39</v>
      </c>
      <c r="H3114" s="28" t="s">
        <v>16221</v>
      </c>
      <c r="I3114" s="28" t="s">
        <v>17049</v>
      </c>
      <c r="J3114" s="28" t="s">
        <v>39</v>
      </c>
      <c r="K3114" s="28" t="s">
        <v>16223</v>
      </c>
      <c r="L3114" s="28" t="s">
        <v>16224</v>
      </c>
      <c r="M3114" s="28" t="s">
        <v>17050</v>
      </c>
      <c r="N3114" s="28" t="s">
        <v>16226</v>
      </c>
      <c r="O3114" s="28" t="s">
        <v>16227</v>
      </c>
      <c r="P3114" s="28" t="s">
        <v>17051</v>
      </c>
    </row>
    <row r="3115" spans="1:16" x14ac:dyDescent="0.25">
      <c r="A3115" s="28" t="s">
        <v>17052</v>
      </c>
      <c r="B3115" s="28" t="s">
        <v>17053</v>
      </c>
      <c r="C3115" s="28" t="s">
        <v>1684</v>
      </c>
      <c r="D3115" s="28" t="s">
        <v>5372</v>
      </c>
      <c r="E3115" s="28" t="s">
        <v>15350</v>
      </c>
      <c r="F3115" s="28" t="s">
        <v>21</v>
      </c>
      <c r="G3115" s="28" t="s">
        <v>39</v>
      </c>
      <c r="H3115" s="28" t="s">
        <v>16221</v>
      </c>
      <c r="I3115" s="28" t="s">
        <v>17054</v>
      </c>
      <c r="J3115" s="28" t="s">
        <v>39</v>
      </c>
      <c r="K3115" s="28" t="s">
        <v>16223</v>
      </c>
      <c r="L3115" s="28" t="s">
        <v>16224</v>
      </c>
      <c r="M3115" s="28" t="s">
        <v>17055</v>
      </c>
      <c r="N3115" s="28" t="s">
        <v>16226</v>
      </c>
      <c r="O3115" s="28" t="s">
        <v>16227</v>
      </c>
      <c r="P3115" s="28" t="s">
        <v>17056</v>
      </c>
    </row>
    <row r="3116" spans="1:16" x14ac:dyDescent="0.25">
      <c r="A3116" s="28" t="s">
        <v>17057</v>
      </c>
      <c r="B3116" s="28" t="s">
        <v>17058</v>
      </c>
      <c r="C3116" s="28" t="s">
        <v>1684</v>
      </c>
      <c r="D3116" s="28" t="s">
        <v>5372</v>
      </c>
      <c r="E3116" s="28" t="s">
        <v>17059</v>
      </c>
      <c r="F3116" s="28" t="s">
        <v>21</v>
      </c>
      <c r="G3116" s="28" t="s">
        <v>39</v>
      </c>
      <c r="H3116" s="28" t="s">
        <v>16221</v>
      </c>
      <c r="I3116" s="28" t="s">
        <v>17060</v>
      </c>
      <c r="J3116" s="28" t="s">
        <v>39</v>
      </c>
      <c r="K3116" s="28" t="s">
        <v>16223</v>
      </c>
      <c r="L3116" s="28" t="s">
        <v>16224</v>
      </c>
      <c r="M3116" s="28" t="s">
        <v>17061</v>
      </c>
      <c r="N3116" s="28" t="s">
        <v>16226</v>
      </c>
      <c r="O3116" s="28" t="s">
        <v>16227</v>
      </c>
      <c r="P3116" s="28" t="s">
        <v>17062</v>
      </c>
    </row>
    <row r="3117" spans="1:16" x14ac:dyDescent="0.25">
      <c r="A3117" s="28" t="s">
        <v>17063</v>
      </c>
      <c r="B3117" s="28" t="s">
        <v>17064</v>
      </c>
      <c r="C3117" s="28" t="s">
        <v>1684</v>
      </c>
      <c r="D3117" s="28" t="s">
        <v>5372</v>
      </c>
      <c r="E3117" s="28" t="s">
        <v>17065</v>
      </c>
      <c r="F3117" s="28" t="s">
        <v>21</v>
      </c>
      <c r="G3117" s="28" t="s">
        <v>39</v>
      </c>
      <c r="H3117" s="28" t="s">
        <v>16221</v>
      </c>
      <c r="I3117" s="28" t="s">
        <v>17066</v>
      </c>
      <c r="J3117" s="28" t="s">
        <v>39</v>
      </c>
      <c r="K3117" s="28" t="s">
        <v>16223</v>
      </c>
      <c r="L3117" s="28" t="s">
        <v>16224</v>
      </c>
      <c r="M3117" s="28" t="s">
        <v>17067</v>
      </c>
      <c r="N3117" s="28" t="s">
        <v>16226</v>
      </c>
      <c r="O3117" s="28" t="s">
        <v>16227</v>
      </c>
      <c r="P3117" s="28" t="s">
        <v>17068</v>
      </c>
    </row>
    <row r="3118" spans="1:16" x14ac:dyDescent="0.25">
      <c r="A3118" s="28" t="s">
        <v>17069</v>
      </c>
      <c r="B3118" s="28" t="s">
        <v>17070</v>
      </c>
      <c r="C3118" s="28" t="s">
        <v>1684</v>
      </c>
      <c r="D3118" s="28" t="s">
        <v>5372</v>
      </c>
      <c r="E3118" s="28" t="s">
        <v>16492</v>
      </c>
      <c r="F3118" s="28" t="s">
        <v>21</v>
      </c>
      <c r="G3118" s="28" t="s">
        <v>39</v>
      </c>
      <c r="H3118" s="28" t="s">
        <v>16221</v>
      </c>
      <c r="I3118" s="28" t="s">
        <v>17071</v>
      </c>
      <c r="J3118" s="28" t="s">
        <v>39</v>
      </c>
      <c r="K3118" s="28" t="s">
        <v>16223</v>
      </c>
      <c r="L3118" s="28" t="s">
        <v>16224</v>
      </c>
      <c r="M3118" s="28" t="s">
        <v>17072</v>
      </c>
      <c r="N3118" s="28" t="s">
        <v>16226</v>
      </c>
      <c r="O3118" s="28" t="s">
        <v>16227</v>
      </c>
      <c r="P3118" s="28" t="s">
        <v>16495</v>
      </c>
    </row>
    <row r="3119" spans="1:16" x14ac:dyDescent="0.25">
      <c r="A3119" s="28" t="s">
        <v>17073</v>
      </c>
      <c r="B3119" s="28" t="s">
        <v>17074</v>
      </c>
      <c r="C3119" s="28" t="s">
        <v>1684</v>
      </c>
      <c r="D3119" s="28" t="s">
        <v>5372</v>
      </c>
      <c r="E3119" s="28" t="s">
        <v>16492</v>
      </c>
      <c r="F3119" s="28" t="s">
        <v>21</v>
      </c>
      <c r="G3119" s="28" t="s">
        <v>39</v>
      </c>
      <c r="H3119" s="28" t="s">
        <v>16221</v>
      </c>
      <c r="I3119" s="28" t="s">
        <v>17075</v>
      </c>
      <c r="J3119" s="28" t="s">
        <v>39</v>
      </c>
      <c r="K3119" s="28" t="s">
        <v>16223</v>
      </c>
      <c r="L3119" s="28" t="s">
        <v>16224</v>
      </c>
      <c r="M3119" s="28" t="s">
        <v>17076</v>
      </c>
      <c r="N3119" s="28" t="s">
        <v>16226</v>
      </c>
      <c r="O3119" s="28" t="s">
        <v>16227</v>
      </c>
      <c r="P3119" s="28" t="s">
        <v>16495</v>
      </c>
    </row>
    <row r="3120" spans="1:16" x14ac:dyDescent="0.25">
      <c r="A3120" s="28" t="s">
        <v>17077</v>
      </c>
      <c r="B3120" s="28" t="s">
        <v>17078</v>
      </c>
      <c r="C3120" s="28" t="s">
        <v>1684</v>
      </c>
      <c r="D3120" s="28" t="s">
        <v>5372</v>
      </c>
      <c r="E3120" s="28" t="s">
        <v>16502</v>
      </c>
      <c r="F3120" s="28" t="s">
        <v>21</v>
      </c>
      <c r="G3120" s="28" t="s">
        <v>39</v>
      </c>
      <c r="H3120" s="28" t="s">
        <v>16221</v>
      </c>
      <c r="I3120" s="28" t="s">
        <v>17079</v>
      </c>
      <c r="J3120" s="28" t="s">
        <v>39</v>
      </c>
      <c r="K3120" s="28" t="s">
        <v>16223</v>
      </c>
      <c r="L3120" s="28" t="s">
        <v>16224</v>
      </c>
      <c r="M3120" s="28" t="s">
        <v>17080</v>
      </c>
      <c r="N3120" s="28" t="s">
        <v>16226</v>
      </c>
      <c r="O3120" s="28" t="s">
        <v>16227</v>
      </c>
      <c r="P3120" s="28" t="s">
        <v>16505</v>
      </c>
    </row>
    <row r="3121" spans="1:16" x14ac:dyDescent="0.25">
      <c r="A3121" s="28" t="s">
        <v>17081</v>
      </c>
      <c r="B3121" s="28" t="s">
        <v>17082</v>
      </c>
      <c r="C3121" s="28" t="s">
        <v>1684</v>
      </c>
      <c r="D3121" s="28" t="s">
        <v>3524</v>
      </c>
      <c r="E3121" s="28" t="s">
        <v>17083</v>
      </c>
      <c r="F3121" s="28" t="s">
        <v>21</v>
      </c>
      <c r="G3121" s="28" t="s">
        <v>39</v>
      </c>
      <c r="H3121" s="28" t="s">
        <v>16221</v>
      </c>
      <c r="I3121" s="28" t="s">
        <v>17084</v>
      </c>
      <c r="J3121" s="28" t="s">
        <v>39</v>
      </c>
      <c r="K3121" s="28" t="s">
        <v>16223</v>
      </c>
      <c r="L3121" s="28" t="s">
        <v>16224</v>
      </c>
      <c r="M3121" s="28" t="s">
        <v>17085</v>
      </c>
      <c r="N3121" s="28" t="s">
        <v>16226</v>
      </c>
      <c r="O3121" s="28" t="s">
        <v>16227</v>
      </c>
      <c r="P3121" s="28" t="s">
        <v>17086</v>
      </c>
    </row>
    <row r="3122" spans="1:16" x14ac:dyDescent="0.25">
      <c r="A3122" s="28" t="s">
        <v>17087</v>
      </c>
      <c r="B3122" s="28" t="s">
        <v>17088</v>
      </c>
      <c r="C3122" s="28" t="s">
        <v>1684</v>
      </c>
      <c r="D3122" s="28" t="s">
        <v>17089</v>
      </c>
      <c r="E3122" s="28" t="s">
        <v>17090</v>
      </c>
      <c r="F3122" s="28" t="s">
        <v>21</v>
      </c>
      <c r="G3122" s="28" t="s">
        <v>39</v>
      </c>
      <c r="H3122" s="28" t="s">
        <v>16221</v>
      </c>
      <c r="I3122" s="28" t="s">
        <v>17091</v>
      </c>
      <c r="J3122" s="28" t="s">
        <v>39</v>
      </c>
      <c r="K3122" s="28" t="s">
        <v>16223</v>
      </c>
      <c r="L3122" s="28" t="s">
        <v>16224</v>
      </c>
      <c r="M3122" s="28" t="s">
        <v>17092</v>
      </c>
      <c r="N3122" s="28" t="s">
        <v>16226</v>
      </c>
      <c r="O3122" s="28" t="s">
        <v>16227</v>
      </c>
      <c r="P3122" s="28" t="s">
        <v>17093</v>
      </c>
    </row>
    <row r="3123" spans="1:16" x14ac:dyDescent="0.25">
      <c r="A3123" s="28" t="s">
        <v>17094</v>
      </c>
      <c r="B3123" s="28" t="s">
        <v>17095</v>
      </c>
      <c r="C3123" s="28" t="s">
        <v>1684</v>
      </c>
      <c r="D3123" s="28" t="s">
        <v>17096</v>
      </c>
      <c r="E3123" s="28" t="s">
        <v>17097</v>
      </c>
      <c r="F3123" s="28" t="s">
        <v>21</v>
      </c>
      <c r="G3123" s="28" t="s">
        <v>39</v>
      </c>
      <c r="H3123" s="28" t="s">
        <v>16221</v>
      </c>
      <c r="I3123" s="28" t="s">
        <v>17098</v>
      </c>
      <c r="J3123" s="28" t="s">
        <v>39</v>
      </c>
      <c r="K3123" s="28" t="s">
        <v>16223</v>
      </c>
      <c r="L3123" s="28" t="s">
        <v>16224</v>
      </c>
      <c r="M3123" s="28" t="s">
        <v>17099</v>
      </c>
      <c r="N3123" s="28" t="s">
        <v>16226</v>
      </c>
      <c r="O3123" s="28" t="s">
        <v>16227</v>
      </c>
      <c r="P3123" s="28" t="s">
        <v>17100</v>
      </c>
    </row>
    <row r="3124" spans="1:16" x14ac:dyDescent="0.25">
      <c r="A3124" s="28" t="s">
        <v>17101</v>
      </c>
      <c r="B3124" s="28" t="s">
        <v>17102</v>
      </c>
      <c r="C3124" s="28" t="s">
        <v>1684</v>
      </c>
      <c r="D3124" s="28" t="s">
        <v>4018</v>
      </c>
      <c r="E3124" s="28" t="s">
        <v>17103</v>
      </c>
      <c r="F3124" s="28" t="s">
        <v>21</v>
      </c>
      <c r="G3124" s="28" t="s">
        <v>39</v>
      </c>
      <c r="H3124" s="28" t="s">
        <v>16221</v>
      </c>
      <c r="I3124" s="28" t="s">
        <v>17104</v>
      </c>
      <c r="J3124" s="28" t="s">
        <v>39</v>
      </c>
      <c r="K3124" s="28" t="s">
        <v>16223</v>
      </c>
      <c r="L3124" s="28" t="s">
        <v>16224</v>
      </c>
      <c r="M3124" s="28" t="s">
        <v>17105</v>
      </c>
      <c r="N3124" s="28" t="s">
        <v>16226</v>
      </c>
      <c r="O3124" s="28" t="s">
        <v>16227</v>
      </c>
      <c r="P3124" s="28" t="s">
        <v>17106</v>
      </c>
    </row>
    <row r="3125" spans="1:16" x14ac:dyDescent="0.25">
      <c r="A3125" s="28" t="s">
        <v>17107</v>
      </c>
      <c r="B3125" s="28" t="s">
        <v>17108</v>
      </c>
      <c r="C3125" s="28" t="s">
        <v>1684</v>
      </c>
      <c r="D3125" s="28" t="s">
        <v>4018</v>
      </c>
      <c r="E3125" s="28" t="s">
        <v>17109</v>
      </c>
      <c r="F3125" s="28" t="s">
        <v>21</v>
      </c>
      <c r="G3125" s="28" t="s">
        <v>39</v>
      </c>
      <c r="H3125" s="28" t="s">
        <v>16221</v>
      </c>
      <c r="I3125" s="28" t="s">
        <v>17110</v>
      </c>
      <c r="J3125" s="28" t="s">
        <v>39</v>
      </c>
      <c r="K3125" s="28" t="s">
        <v>16223</v>
      </c>
      <c r="L3125" s="28" t="s">
        <v>16224</v>
      </c>
      <c r="M3125" s="28" t="s">
        <v>17111</v>
      </c>
      <c r="N3125" s="28" t="s">
        <v>16226</v>
      </c>
      <c r="O3125" s="28" t="s">
        <v>16227</v>
      </c>
      <c r="P3125" s="28" t="s">
        <v>17112</v>
      </c>
    </row>
    <row r="3126" spans="1:16" x14ac:dyDescent="0.25">
      <c r="A3126" s="28" t="s">
        <v>17113</v>
      </c>
      <c r="B3126" s="28" t="s">
        <v>17114</v>
      </c>
      <c r="C3126" s="28" t="s">
        <v>1684</v>
      </c>
      <c r="D3126" s="28" t="s">
        <v>15408</v>
      </c>
      <c r="E3126" s="28" t="s">
        <v>17115</v>
      </c>
      <c r="F3126" s="28" t="s">
        <v>21</v>
      </c>
      <c r="G3126" s="28" t="s">
        <v>39</v>
      </c>
      <c r="H3126" s="28" t="s">
        <v>16221</v>
      </c>
      <c r="I3126" s="28" t="s">
        <v>17116</v>
      </c>
      <c r="J3126" s="28" t="s">
        <v>39</v>
      </c>
      <c r="K3126" s="28" t="s">
        <v>16223</v>
      </c>
      <c r="L3126" s="28" t="s">
        <v>16224</v>
      </c>
      <c r="M3126" s="28" t="s">
        <v>17117</v>
      </c>
      <c r="N3126" s="28" t="s">
        <v>16226</v>
      </c>
      <c r="O3126" s="28" t="s">
        <v>16227</v>
      </c>
      <c r="P3126" s="28" t="s">
        <v>17118</v>
      </c>
    </row>
    <row r="3127" spans="1:16" x14ac:dyDescent="0.25">
      <c r="A3127" s="28" t="s">
        <v>17119</v>
      </c>
      <c r="B3127" s="28" t="s">
        <v>17120</v>
      </c>
      <c r="C3127" s="28" t="s">
        <v>1684</v>
      </c>
      <c r="D3127" s="28" t="s">
        <v>15408</v>
      </c>
      <c r="E3127" s="28" t="s">
        <v>17121</v>
      </c>
      <c r="F3127" s="28" t="s">
        <v>21</v>
      </c>
      <c r="G3127" s="28" t="s">
        <v>39</v>
      </c>
      <c r="H3127" s="28" t="s">
        <v>16221</v>
      </c>
      <c r="I3127" s="28" t="s">
        <v>17122</v>
      </c>
      <c r="J3127" s="28" t="s">
        <v>39</v>
      </c>
      <c r="K3127" s="28" t="s">
        <v>16223</v>
      </c>
      <c r="L3127" s="28" t="s">
        <v>16224</v>
      </c>
      <c r="M3127" s="28" t="s">
        <v>17123</v>
      </c>
      <c r="N3127" s="28" t="s">
        <v>16226</v>
      </c>
      <c r="O3127" s="28" t="s">
        <v>16227</v>
      </c>
      <c r="P3127" s="28" t="s">
        <v>17124</v>
      </c>
    </row>
    <row r="3128" spans="1:16" x14ac:dyDescent="0.25">
      <c r="A3128" s="28" t="s">
        <v>17125</v>
      </c>
      <c r="B3128" s="28" t="s">
        <v>17126</v>
      </c>
      <c r="C3128" s="28" t="s">
        <v>1684</v>
      </c>
      <c r="D3128" s="28" t="s">
        <v>17127</v>
      </c>
      <c r="E3128" s="28" t="s">
        <v>17128</v>
      </c>
      <c r="F3128" s="28" t="s">
        <v>21</v>
      </c>
      <c r="G3128" s="28" t="s">
        <v>39</v>
      </c>
      <c r="H3128" s="28" t="s">
        <v>16221</v>
      </c>
      <c r="I3128" s="28" t="s">
        <v>17129</v>
      </c>
      <c r="J3128" s="28" t="s">
        <v>39</v>
      </c>
      <c r="K3128" s="28" t="s">
        <v>16223</v>
      </c>
      <c r="L3128" s="28" t="s">
        <v>16224</v>
      </c>
      <c r="M3128" s="28" t="s">
        <v>17130</v>
      </c>
      <c r="N3128" s="28" t="s">
        <v>16226</v>
      </c>
      <c r="O3128" s="28" t="s">
        <v>16227</v>
      </c>
      <c r="P3128" s="28" t="s">
        <v>17131</v>
      </c>
    </row>
    <row r="3129" spans="1:16" x14ac:dyDescent="0.25">
      <c r="A3129" s="28" t="s">
        <v>17132</v>
      </c>
      <c r="B3129" s="28" t="s">
        <v>17133</v>
      </c>
      <c r="C3129" s="28" t="s">
        <v>1684</v>
      </c>
      <c r="D3129" s="28" t="s">
        <v>15414</v>
      </c>
      <c r="E3129" s="28" t="s">
        <v>17134</v>
      </c>
      <c r="F3129" s="28" t="s">
        <v>21</v>
      </c>
      <c r="G3129" s="28" t="s">
        <v>39</v>
      </c>
      <c r="H3129" s="28" t="s">
        <v>16221</v>
      </c>
      <c r="I3129" s="28" t="s">
        <v>17135</v>
      </c>
      <c r="J3129" s="28" t="s">
        <v>39</v>
      </c>
      <c r="K3129" s="28" t="s">
        <v>16223</v>
      </c>
      <c r="L3129" s="28" t="s">
        <v>16224</v>
      </c>
      <c r="M3129" s="28" t="s">
        <v>17136</v>
      </c>
      <c r="N3129" s="28" t="s">
        <v>16226</v>
      </c>
      <c r="O3129" s="28" t="s">
        <v>16227</v>
      </c>
      <c r="P3129" s="28" t="s">
        <v>17137</v>
      </c>
    </row>
    <row r="3130" spans="1:16" x14ac:dyDescent="0.25">
      <c r="A3130" s="28" t="s">
        <v>17138</v>
      </c>
      <c r="B3130" s="28" t="s">
        <v>17139</v>
      </c>
      <c r="C3130" s="28" t="s">
        <v>1684</v>
      </c>
      <c r="D3130" s="28" t="s">
        <v>17140</v>
      </c>
      <c r="E3130" s="28" t="s">
        <v>17141</v>
      </c>
      <c r="F3130" s="28" t="s">
        <v>21</v>
      </c>
      <c r="G3130" s="28" t="s">
        <v>39</v>
      </c>
      <c r="H3130" s="28" t="s">
        <v>16221</v>
      </c>
      <c r="I3130" s="28" t="s">
        <v>17142</v>
      </c>
      <c r="J3130" s="28" t="s">
        <v>39</v>
      </c>
      <c r="K3130" s="28" t="s">
        <v>16223</v>
      </c>
      <c r="L3130" s="28" t="s">
        <v>16224</v>
      </c>
      <c r="M3130" s="28" t="s">
        <v>17143</v>
      </c>
      <c r="N3130" s="28" t="s">
        <v>16226</v>
      </c>
      <c r="O3130" s="28" t="s">
        <v>16227</v>
      </c>
      <c r="P3130" s="28" t="s">
        <v>17144</v>
      </c>
    </row>
    <row r="3131" spans="1:16" x14ac:dyDescent="0.25">
      <c r="A3131" s="28" t="s">
        <v>17145</v>
      </c>
      <c r="B3131" s="28" t="s">
        <v>17146</v>
      </c>
      <c r="C3131" s="28" t="s">
        <v>1684</v>
      </c>
      <c r="D3131" s="28" t="s">
        <v>4057</v>
      </c>
      <c r="E3131" s="28" t="s">
        <v>17147</v>
      </c>
      <c r="F3131" s="28" t="s">
        <v>21</v>
      </c>
      <c r="G3131" s="28" t="s">
        <v>39</v>
      </c>
      <c r="H3131" s="28" t="s">
        <v>16221</v>
      </c>
      <c r="I3131" s="28" t="s">
        <v>17148</v>
      </c>
      <c r="J3131" s="28" t="s">
        <v>39</v>
      </c>
      <c r="K3131" s="28" t="s">
        <v>16223</v>
      </c>
      <c r="L3131" s="28" t="s">
        <v>16224</v>
      </c>
      <c r="M3131" s="28" t="s">
        <v>17149</v>
      </c>
      <c r="N3131" s="28" t="s">
        <v>16226</v>
      </c>
      <c r="O3131" s="28" t="s">
        <v>16227</v>
      </c>
      <c r="P3131" s="28" t="s">
        <v>17150</v>
      </c>
    </row>
    <row r="3132" spans="1:16" x14ac:dyDescent="0.25">
      <c r="A3132" s="28" t="s">
        <v>17151</v>
      </c>
      <c r="B3132" s="28" t="s">
        <v>17152</v>
      </c>
      <c r="C3132" s="28" t="s">
        <v>1684</v>
      </c>
      <c r="D3132" s="28" t="s">
        <v>120</v>
      </c>
      <c r="E3132" s="28" t="s">
        <v>121</v>
      </c>
      <c r="F3132" s="28" t="s">
        <v>21</v>
      </c>
      <c r="G3132" s="28" t="s">
        <v>39</v>
      </c>
      <c r="H3132" s="28" t="s">
        <v>16221</v>
      </c>
      <c r="I3132" s="28" t="s">
        <v>17153</v>
      </c>
      <c r="J3132" s="28" t="s">
        <v>39</v>
      </c>
      <c r="K3132" s="28" t="s">
        <v>16223</v>
      </c>
      <c r="L3132" s="28" t="s">
        <v>16224</v>
      </c>
      <c r="M3132" s="28" t="s">
        <v>17154</v>
      </c>
      <c r="N3132" s="28" t="s">
        <v>16226</v>
      </c>
      <c r="O3132" s="28" t="s">
        <v>16227</v>
      </c>
      <c r="P3132" s="28" t="s">
        <v>16519</v>
      </c>
    </row>
    <row r="3133" spans="1:16" x14ac:dyDescent="0.25">
      <c r="A3133" s="28" t="s">
        <v>17155</v>
      </c>
      <c r="B3133" s="28" t="s">
        <v>17156</v>
      </c>
      <c r="C3133" s="28" t="s">
        <v>1684</v>
      </c>
      <c r="D3133" s="28" t="s">
        <v>120</v>
      </c>
      <c r="E3133" s="28" t="s">
        <v>121</v>
      </c>
      <c r="F3133" s="28" t="s">
        <v>21</v>
      </c>
      <c r="G3133" s="28" t="s">
        <v>39</v>
      </c>
      <c r="H3133" s="28" t="s">
        <v>16221</v>
      </c>
      <c r="I3133" s="28" t="s">
        <v>17157</v>
      </c>
      <c r="J3133" s="28" t="s">
        <v>39</v>
      </c>
      <c r="K3133" s="28" t="s">
        <v>16223</v>
      </c>
      <c r="L3133" s="28" t="s">
        <v>16224</v>
      </c>
      <c r="M3133" s="28" t="s">
        <v>17158</v>
      </c>
      <c r="N3133" s="28" t="s">
        <v>16226</v>
      </c>
      <c r="O3133" s="28" t="s">
        <v>16227</v>
      </c>
      <c r="P3133" s="28" t="s">
        <v>16519</v>
      </c>
    </row>
    <row r="3134" spans="1:16" x14ac:dyDescent="0.25">
      <c r="A3134" s="28" t="s">
        <v>17159</v>
      </c>
      <c r="B3134" s="28" t="s">
        <v>17160</v>
      </c>
      <c r="C3134" s="28" t="s">
        <v>1684</v>
      </c>
      <c r="D3134" s="28" t="s">
        <v>120</v>
      </c>
      <c r="E3134" s="28" t="s">
        <v>121</v>
      </c>
      <c r="F3134" s="28" t="s">
        <v>21</v>
      </c>
      <c r="G3134" s="28" t="s">
        <v>39</v>
      </c>
      <c r="H3134" s="28" t="s">
        <v>16221</v>
      </c>
      <c r="I3134" s="28" t="s">
        <v>17161</v>
      </c>
      <c r="J3134" s="28" t="s">
        <v>39</v>
      </c>
      <c r="K3134" s="28" t="s">
        <v>16223</v>
      </c>
      <c r="L3134" s="28" t="s">
        <v>16224</v>
      </c>
      <c r="M3134" s="28" t="s">
        <v>17162</v>
      </c>
      <c r="N3134" s="28" t="s">
        <v>16226</v>
      </c>
      <c r="O3134" s="28" t="s">
        <v>16227</v>
      </c>
      <c r="P3134" s="28" t="s">
        <v>16519</v>
      </c>
    </row>
    <row r="3135" spans="1:16" x14ac:dyDescent="0.25">
      <c r="A3135" s="28" t="s">
        <v>17163</v>
      </c>
      <c r="B3135" s="28" t="s">
        <v>17164</v>
      </c>
      <c r="C3135" s="28" t="s">
        <v>1684</v>
      </c>
      <c r="D3135" s="28" t="s">
        <v>120</v>
      </c>
      <c r="E3135" s="28" t="s">
        <v>121</v>
      </c>
      <c r="F3135" s="28" t="s">
        <v>21</v>
      </c>
      <c r="G3135" s="28" t="s">
        <v>39</v>
      </c>
      <c r="H3135" s="28" t="s">
        <v>16221</v>
      </c>
      <c r="I3135" s="28" t="s">
        <v>17165</v>
      </c>
      <c r="J3135" s="28" t="s">
        <v>39</v>
      </c>
      <c r="K3135" s="28" t="s">
        <v>16223</v>
      </c>
      <c r="L3135" s="28" t="s">
        <v>16224</v>
      </c>
      <c r="M3135" s="28" t="s">
        <v>17166</v>
      </c>
      <c r="N3135" s="28" t="s">
        <v>16226</v>
      </c>
      <c r="O3135" s="28" t="s">
        <v>16227</v>
      </c>
      <c r="P3135" s="28" t="s">
        <v>16519</v>
      </c>
    </row>
    <row r="3136" spans="1:16" x14ac:dyDescent="0.25">
      <c r="A3136" s="28" t="s">
        <v>17167</v>
      </c>
      <c r="B3136" s="28" t="s">
        <v>17168</v>
      </c>
      <c r="C3136" s="28" t="s">
        <v>1684</v>
      </c>
      <c r="D3136" s="28" t="s">
        <v>5979</v>
      </c>
      <c r="E3136" s="28" t="s">
        <v>9526</v>
      </c>
      <c r="F3136" s="28" t="s">
        <v>21</v>
      </c>
      <c r="G3136" s="28" t="s">
        <v>39</v>
      </c>
      <c r="H3136" s="28" t="s">
        <v>16221</v>
      </c>
      <c r="I3136" s="28" t="s">
        <v>17169</v>
      </c>
      <c r="J3136" s="28" t="s">
        <v>39</v>
      </c>
      <c r="K3136" s="28" t="s">
        <v>16223</v>
      </c>
      <c r="L3136" s="28" t="s">
        <v>16224</v>
      </c>
      <c r="M3136" s="28" t="s">
        <v>17170</v>
      </c>
      <c r="N3136" s="28" t="s">
        <v>16226</v>
      </c>
      <c r="O3136" s="28" t="s">
        <v>16227</v>
      </c>
      <c r="P3136" s="28" t="s">
        <v>16542</v>
      </c>
    </row>
    <row r="3137" spans="1:16" x14ac:dyDescent="0.25">
      <c r="A3137" s="28" t="s">
        <v>17171</v>
      </c>
      <c r="B3137" s="28" t="s">
        <v>17172</v>
      </c>
      <c r="C3137" s="28" t="s">
        <v>1684</v>
      </c>
      <c r="D3137" s="28" t="s">
        <v>5979</v>
      </c>
      <c r="E3137" s="28" t="s">
        <v>6023</v>
      </c>
      <c r="F3137" s="28" t="s">
        <v>21</v>
      </c>
      <c r="G3137" s="28" t="s">
        <v>39</v>
      </c>
      <c r="H3137" s="28" t="s">
        <v>16221</v>
      </c>
      <c r="I3137" s="28" t="s">
        <v>17173</v>
      </c>
      <c r="J3137" s="28" t="s">
        <v>39</v>
      </c>
      <c r="K3137" s="28" t="s">
        <v>16223</v>
      </c>
      <c r="L3137" s="28" t="s">
        <v>16224</v>
      </c>
      <c r="M3137" s="28" t="s">
        <v>17174</v>
      </c>
      <c r="N3137" s="28" t="s">
        <v>16226</v>
      </c>
      <c r="O3137" s="28" t="s">
        <v>16227</v>
      </c>
      <c r="P3137" s="28" t="s">
        <v>16547</v>
      </c>
    </row>
    <row r="3138" spans="1:16" x14ac:dyDescent="0.25">
      <c r="A3138" s="28" t="s">
        <v>17175</v>
      </c>
      <c r="B3138" s="28" t="s">
        <v>17176</v>
      </c>
      <c r="C3138" s="28" t="s">
        <v>1684</v>
      </c>
      <c r="D3138" s="28" t="s">
        <v>5979</v>
      </c>
      <c r="E3138" s="28" t="s">
        <v>6023</v>
      </c>
      <c r="F3138" s="28" t="s">
        <v>21</v>
      </c>
      <c r="G3138" s="28" t="s">
        <v>39</v>
      </c>
      <c r="H3138" s="28" t="s">
        <v>16221</v>
      </c>
      <c r="I3138" s="28" t="s">
        <v>17177</v>
      </c>
      <c r="J3138" s="28" t="s">
        <v>39</v>
      </c>
      <c r="K3138" s="28" t="s">
        <v>16223</v>
      </c>
      <c r="L3138" s="28" t="s">
        <v>16224</v>
      </c>
      <c r="M3138" s="28" t="s">
        <v>17178</v>
      </c>
      <c r="N3138" s="28" t="s">
        <v>16226</v>
      </c>
      <c r="O3138" s="28" t="s">
        <v>16227</v>
      </c>
      <c r="P3138" s="28" t="s">
        <v>16547</v>
      </c>
    </row>
    <row r="3139" spans="1:16" x14ac:dyDescent="0.25">
      <c r="A3139" s="28" t="s">
        <v>17179</v>
      </c>
      <c r="B3139" s="28" t="s">
        <v>17180</v>
      </c>
      <c r="C3139" s="28" t="s">
        <v>1684</v>
      </c>
      <c r="D3139" s="28" t="s">
        <v>5979</v>
      </c>
      <c r="E3139" s="28" t="s">
        <v>6023</v>
      </c>
      <c r="F3139" s="28" t="s">
        <v>21</v>
      </c>
      <c r="G3139" s="28" t="s">
        <v>39</v>
      </c>
      <c r="H3139" s="28" t="s">
        <v>16221</v>
      </c>
      <c r="I3139" s="28" t="s">
        <v>17181</v>
      </c>
      <c r="J3139" s="28" t="s">
        <v>39</v>
      </c>
      <c r="K3139" s="28" t="s">
        <v>16223</v>
      </c>
      <c r="L3139" s="28" t="s">
        <v>16224</v>
      </c>
      <c r="M3139" s="28" t="s">
        <v>17182</v>
      </c>
      <c r="N3139" s="28" t="s">
        <v>16226</v>
      </c>
      <c r="O3139" s="28" t="s">
        <v>16227</v>
      </c>
      <c r="P3139" s="28" t="s">
        <v>16547</v>
      </c>
    </row>
    <row r="3140" spans="1:16" x14ac:dyDescent="0.25">
      <c r="A3140" s="28" t="s">
        <v>17183</v>
      </c>
      <c r="B3140" s="28" t="s">
        <v>17184</v>
      </c>
      <c r="C3140" s="28" t="s">
        <v>1684</v>
      </c>
      <c r="D3140" s="28" t="s">
        <v>7132</v>
      </c>
      <c r="E3140" s="28" t="s">
        <v>7133</v>
      </c>
      <c r="F3140" s="28" t="s">
        <v>21</v>
      </c>
      <c r="G3140" s="28" t="s">
        <v>39</v>
      </c>
      <c r="H3140" s="28" t="s">
        <v>16221</v>
      </c>
      <c r="I3140" s="28" t="s">
        <v>17185</v>
      </c>
      <c r="J3140" s="28" t="s">
        <v>39</v>
      </c>
      <c r="K3140" s="28" t="s">
        <v>16223</v>
      </c>
      <c r="L3140" s="28" t="s">
        <v>16224</v>
      </c>
      <c r="M3140" s="28" t="s">
        <v>17186</v>
      </c>
      <c r="N3140" s="28" t="s">
        <v>16226</v>
      </c>
      <c r="O3140" s="28" t="s">
        <v>16227</v>
      </c>
      <c r="P3140" s="28" t="s">
        <v>17187</v>
      </c>
    </row>
    <row r="3141" spans="1:16" x14ac:dyDescent="0.25">
      <c r="A3141" s="28" t="s">
        <v>17188</v>
      </c>
      <c r="B3141" s="28" t="s">
        <v>17189</v>
      </c>
      <c r="C3141" s="28" t="s">
        <v>1684</v>
      </c>
      <c r="D3141" s="28" t="s">
        <v>1478</v>
      </c>
      <c r="E3141" s="28" t="s">
        <v>5057</v>
      </c>
      <c r="F3141" s="28" t="s">
        <v>21</v>
      </c>
      <c r="G3141" s="28" t="s">
        <v>39</v>
      </c>
      <c r="H3141" s="28" t="s">
        <v>16221</v>
      </c>
      <c r="I3141" s="28" t="s">
        <v>17190</v>
      </c>
      <c r="J3141" s="28" t="s">
        <v>39</v>
      </c>
      <c r="K3141" s="28" t="s">
        <v>16223</v>
      </c>
      <c r="L3141" s="28" t="s">
        <v>16224</v>
      </c>
      <c r="M3141" s="28" t="s">
        <v>17191</v>
      </c>
      <c r="N3141" s="28" t="s">
        <v>16226</v>
      </c>
      <c r="O3141" s="28" t="s">
        <v>16227</v>
      </c>
      <c r="P3141" s="28" t="s">
        <v>17192</v>
      </c>
    </row>
    <row r="3142" spans="1:16" x14ac:dyDescent="0.25">
      <c r="A3142" s="28" t="s">
        <v>17193</v>
      </c>
      <c r="B3142" s="28" t="s">
        <v>17194</v>
      </c>
      <c r="C3142" s="28" t="s">
        <v>1684</v>
      </c>
      <c r="D3142" s="28" t="s">
        <v>19</v>
      </c>
      <c r="E3142" s="28" t="s">
        <v>4896</v>
      </c>
      <c r="F3142" s="28" t="s">
        <v>21</v>
      </c>
      <c r="G3142" s="28" t="s">
        <v>39</v>
      </c>
      <c r="H3142" s="28" t="s">
        <v>16221</v>
      </c>
      <c r="I3142" s="28" t="s">
        <v>17195</v>
      </c>
      <c r="J3142" s="28" t="s">
        <v>39</v>
      </c>
      <c r="K3142" s="28" t="s">
        <v>16223</v>
      </c>
      <c r="L3142" s="28" t="s">
        <v>16224</v>
      </c>
      <c r="M3142" s="28" t="s">
        <v>17196</v>
      </c>
      <c r="N3142" s="28" t="s">
        <v>16226</v>
      </c>
      <c r="O3142" s="28" t="s">
        <v>16227</v>
      </c>
      <c r="P3142" s="28" t="s">
        <v>16277</v>
      </c>
    </row>
    <row r="3143" spans="1:16" x14ac:dyDescent="0.25">
      <c r="A3143" s="28" t="s">
        <v>17197</v>
      </c>
      <c r="B3143" s="28" t="s">
        <v>17198</v>
      </c>
      <c r="C3143" s="28" t="s">
        <v>1684</v>
      </c>
      <c r="D3143" s="28" t="s">
        <v>62</v>
      </c>
      <c r="E3143" s="28" t="s">
        <v>17199</v>
      </c>
      <c r="F3143" s="28" t="s">
        <v>21</v>
      </c>
      <c r="G3143" s="28" t="s">
        <v>149</v>
      </c>
      <c r="H3143" s="28" t="s">
        <v>16221</v>
      </c>
      <c r="I3143" s="28" t="s">
        <v>17200</v>
      </c>
      <c r="J3143" s="28" t="s">
        <v>149</v>
      </c>
      <c r="K3143" s="28" t="s">
        <v>17201</v>
      </c>
      <c r="L3143" s="28" t="s">
        <v>16224</v>
      </c>
      <c r="M3143" s="28" t="s">
        <v>17202</v>
      </c>
      <c r="N3143" s="28" t="s">
        <v>16226</v>
      </c>
      <c r="O3143" s="28" t="s">
        <v>16227</v>
      </c>
      <c r="P3143" s="28" t="s">
        <v>17203</v>
      </c>
    </row>
    <row r="3144" spans="1:16" x14ac:dyDescent="0.25">
      <c r="A3144" s="28" t="s">
        <v>17204</v>
      </c>
      <c r="B3144" s="28" t="s">
        <v>17205</v>
      </c>
      <c r="C3144" s="28" t="s">
        <v>1684</v>
      </c>
      <c r="D3144" s="28" t="s">
        <v>4101</v>
      </c>
      <c r="E3144" s="28" t="s">
        <v>17206</v>
      </c>
      <c r="F3144" s="28" t="s">
        <v>21</v>
      </c>
      <c r="G3144" s="28" t="s">
        <v>39</v>
      </c>
      <c r="H3144" s="28" t="s">
        <v>16221</v>
      </c>
      <c r="I3144" s="28" t="s">
        <v>17207</v>
      </c>
      <c r="J3144" s="28" t="s">
        <v>39</v>
      </c>
      <c r="K3144" s="28" t="s">
        <v>16223</v>
      </c>
      <c r="L3144" s="28" t="s">
        <v>16224</v>
      </c>
      <c r="M3144" s="28" t="s">
        <v>17208</v>
      </c>
      <c r="N3144" s="28" t="s">
        <v>16226</v>
      </c>
      <c r="O3144" s="28" t="s">
        <v>16227</v>
      </c>
      <c r="P3144" s="28" t="s">
        <v>17209</v>
      </c>
    </row>
    <row r="3145" spans="1:16" x14ac:dyDescent="0.25">
      <c r="A3145" s="28" t="s">
        <v>17210</v>
      </c>
      <c r="B3145" s="28" t="s">
        <v>17211</v>
      </c>
      <c r="C3145" s="28" t="s">
        <v>1684</v>
      </c>
      <c r="D3145" s="28" t="s">
        <v>101</v>
      </c>
      <c r="E3145" s="28" t="s">
        <v>17212</v>
      </c>
      <c r="F3145" s="28" t="s">
        <v>21</v>
      </c>
      <c r="G3145" s="28" t="s">
        <v>39</v>
      </c>
      <c r="H3145" s="28" t="s">
        <v>16221</v>
      </c>
      <c r="I3145" s="28" t="s">
        <v>17213</v>
      </c>
      <c r="J3145" s="28" t="s">
        <v>39</v>
      </c>
      <c r="K3145" s="28" t="s">
        <v>16223</v>
      </c>
      <c r="L3145" s="28" t="s">
        <v>16224</v>
      </c>
      <c r="M3145" s="28" t="s">
        <v>17214</v>
      </c>
      <c r="N3145" s="28" t="s">
        <v>16226</v>
      </c>
      <c r="O3145" s="28" t="s">
        <v>16227</v>
      </c>
      <c r="P3145" s="28" t="s">
        <v>17215</v>
      </c>
    </row>
    <row r="3146" spans="1:16" x14ac:dyDescent="0.25">
      <c r="A3146" s="28" t="s">
        <v>17216</v>
      </c>
      <c r="B3146" s="28" t="s">
        <v>17217</v>
      </c>
      <c r="C3146" s="28" t="s">
        <v>1684</v>
      </c>
      <c r="D3146" s="28" t="s">
        <v>101</v>
      </c>
      <c r="E3146" s="28" t="s">
        <v>5581</v>
      </c>
      <c r="F3146" s="28" t="s">
        <v>21</v>
      </c>
      <c r="G3146" s="28" t="s">
        <v>39</v>
      </c>
      <c r="H3146" s="28" t="s">
        <v>16221</v>
      </c>
      <c r="I3146" s="28" t="s">
        <v>17218</v>
      </c>
      <c r="J3146" s="28" t="s">
        <v>39</v>
      </c>
      <c r="K3146" s="28" t="s">
        <v>16223</v>
      </c>
      <c r="L3146" s="28" t="s">
        <v>16224</v>
      </c>
      <c r="M3146" s="28" t="s">
        <v>17219</v>
      </c>
      <c r="N3146" s="28" t="s">
        <v>16226</v>
      </c>
      <c r="O3146" s="28" t="s">
        <v>16227</v>
      </c>
      <c r="P3146" s="28" t="s">
        <v>17220</v>
      </c>
    </row>
    <row r="3147" spans="1:16" x14ac:dyDescent="0.25">
      <c r="A3147" s="28" t="s">
        <v>17221</v>
      </c>
      <c r="B3147" s="28" t="s">
        <v>17222</v>
      </c>
      <c r="C3147" s="28" t="s">
        <v>1684</v>
      </c>
      <c r="D3147" s="28" t="s">
        <v>120</v>
      </c>
      <c r="E3147" s="28" t="s">
        <v>121</v>
      </c>
      <c r="F3147" s="28" t="s">
        <v>21</v>
      </c>
      <c r="G3147" s="28" t="s">
        <v>39</v>
      </c>
      <c r="H3147" s="28" t="s">
        <v>16221</v>
      </c>
      <c r="I3147" s="28" t="s">
        <v>17223</v>
      </c>
      <c r="J3147" s="28" t="s">
        <v>39</v>
      </c>
      <c r="K3147" s="28" t="s">
        <v>16223</v>
      </c>
      <c r="L3147" s="28" t="s">
        <v>16224</v>
      </c>
      <c r="M3147" s="28" t="s">
        <v>17224</v>
      </c>
      <c r="N3147" s="28" t="s">
        <v>16226</v>
      </c>
      <c r="O3147" s="28" t="s">
        <v>16227</v>
      </c>
      <c r="P3147" s="28" t="s">
        <v>16519</v>
      </c>
    </row>
    <row r="3148" spans="1:16" x14ac:dyDescent="0.25">
      <c r="A3148" s="28" t="s">
        <v>17225</v>
      </c>
      <c r="B3148" s="28" t="s">
        <v>17226</v>
      </c>
      <c r="C3148" s="28" t="s">
        <v>1684</v>
      </c>
      <c r="D3148" s="28" t="s">
        <v>5945</v>
      </c>
      <c r="E3148" s="28" t="s">
        <v>5946</v>
      </c>
      <c r="F3148" s="28" t="s">
        <v>21</v>
      </c>
      <c r="G3148" s="28" t="s">
        <v>39</v>
      </c>
      <c r="H3148" s="28" t="s">
        <v>16221</v>
      </c>
      <c r="I3148" s="28" t="s">
        <v>17227</v>
      </c>
      <c r="J3148" s="28" t="s">
        <v>39</v>
      </c>
      <c r="K3148" s="28" t="s">
        <v>16223</v>
      </c>
      <c r="L3148" s="28" t="s">
        <v>16224</v>
      </c>
      <c r="M3148" s="28" t="s">
        <v>17228</v>
      </c>
      <c r="N3148" s="28" t="s">
        <v>16226</v>
      </c>
      <c r="O3148" s="28" t="s">
        <v>16227</v>
      </c>
      <c r="P3148" s="28" t="s">
        <v>17229</v>
      </c>
    </row>
    <row r="3149" spans="1:16" x14ac:dyDescent="0.25">
      <c r="A3149" s="28" t="s">
        <v>17230</v>
      </c>
      <c r="B3149" s="28" t="s">
        <v>17231</v>
      </c>
      <c r="C3149" s="28" t="s">
        <v>1684</v>
      </c>
      <c r="D3149" s="28" t="s">
        <v>5956</v>
      </c>
      <c r="E3149" s="28" t="s">
        <v>5957</v>
      </c>
      <c r="F3149" s="28" t="s">
        <v>21</v>
      </c>
      <c r="G3149" s="28" t="s">
        <v>39</v>
      </c>
      <c r="H3149" s="28" t="s">
        <v>16221</v>
      </c>
      <c r="I3149" s="28" t="s">
        <v>17232</v>
      </c>
      <c r="J3149" s="28" t="s">
        <v>39</v>
      </c>
      <c r="K3149" s="28" t="s">
        <v>16223</v>
      </c>
      <c r="L3149" s="28" t="s">
        <v>16224</v>
      </c>
      <c r="M3149" s="28" t="s">
        <v>17233</v>
      </c>
      <c r="N3149" s="28" t="s">
        <v>16226</v>
      </c>
      <c r="O3149" s="28" t="s">
        <v>16227</v>
      </c>
      <c r="P3149" s="28" t="s">
        <v>17234</v>
      </c>
    </row>
    <row r="3150" spans="1:16" x14ac:dyDescent="0.25">
      <c r="A3150" s="28" t="s">
        <v>17235</v>
      </c>
      <c r="B3150" s="28" t="s">
        <v>17236</v>
      </c>
      <c r="C3150" s="28" t="s">
        <v>1684</v>
      </c>
      <c r="D3150" s="28" t="s">
        <v>5990</v>
      </c>
      <c r="E3150" s="28" t="s">
        <v>5991</v>
      </c>
      <c r="F3150" s="28" t="s">
        <v>21</v>
      </c>
      <c r="G3150" s="28" t="s">
        <v>39</v>
      </c>
      <c r="H3150" s="28" t="s">
        <v>16221</v>
      </c>
      <c r="I3150" s="28" t="s">
        <v>17237</v>
      </c>
      <c r="J3150" s="28" t="s">
        <v>39</v>
      </c>
      <c r="K3150" s="28" t="s">
        <v>16223</v>
      </c>
      <c r="L3150" s="28" t="s">
        <v>16224</v>
      </c>
      <c r="M3150" s="28" t="s">
        <v>17238</v>
      </c>
      <c r="N3150" s="28" t="s">
        <v>16226</v>
      </c>
      <c r="O3150" s="28" t="s">
        <v>16227</v>
      </c>
      <c r="P3150" s="28" t="s">
        <v>17239</v>
      </c>
    </row>
    <row r="3151" spans="1:16" x14ac:dyDescent="0.25">
      <c r="A3151" s="28" t="s">
        <v>17240</v>
      </c>
      <c r="B3151" s="28" t="s">
        <v>17241</v>
      </c>
      <c r="C3151" s="28" t="s">
        <v>1684</v>
      </c>
      <c r="D3151" s="28" t="s">
        <v>5990</v>
      </c>
      <c r="E3151" s="28" t="s">
        <v>5991</v>
      </c>
      <c r="F3151" s="28" t="s">
        <v>21</v>
      </c>
      <c r="G3151" s="28" t="s">
        <v>39</v>
      </c>
      <c r="H3151" s="28" t="s">
        <v>16221</v>
      </c>
      <c r="I3151" s="28" t="s">
        <v>17242</v>
      </c>
      <c r="J3151" s="28" t="s">
        <v>39</v>
      </c>
      <c r="K3151" s="28" t="s">
        <v>16223</v>
      </c>
      <c r="L3151" s="28" t="s">
        <v>16224</v>
      </c>
      <c r="M3151" s="28" t="s">
        <v>17243</v>
      </c>
      <c r="N3151" s="28" t="s">
        <v>16226</v>
      </c>
      <c r="O3151" s="28" t="s">
        <v>16227</v>
      </c>
      <c r="P3151" s="28" t="s">
        <v>17239</v>
      </c>
    </row>
    <row r="3152" spans="1:16" x14ac:dyDescent="0.25">
      <c r="A3152" s="28" t="s">
        <v>17244</v>
      </c>
      <c r="B3152" s="28" t="s">
        <v>17245</v>
      </c>
      <c r="C3152" s="28" t="s">
        <v>1684</v>
      </c>
      <c r="D3152" s="28" t="s">
        <v>5990</v>
      </c>
      <c r="E3152" s="28" t="s">
        <v>5991</v>
      </c>
      <c r="F3152" s="28" t="s">
        <v>21</v>
      </c>
      <c r="G3152" s="28" t="s">
        <v>39</v>
      </c>
      <c r="H3152" s="28" t="s">
        <v>16221</v>
      </c>
      <c r="I3152" s="28" t="s">
        <v>17246</v>
      </c>
      <c r="J3152" s="28" t="s">
        <v>39</v>
      </c>
      <c r="K3152" s="28" t="s">
        <v>16223</v>
      </c>
      <c r="L3152" s="28" t="s">
        <v>16224</v>
      </c>
      <c r="M3152" s="28" t="s">
        <v>17247</v>
      </c>
      <c r="N3152" s="28" t="s">
        <v>16226</v>
      </c>
      <c r="O3152" s="28" t="s">
        <v>16227</v>
      </c>
      <c r="P3152" s="28" t="s">
        <v>17239</v>
      </c>
    </row>
    <row r="3153" spans="1:16" x14ac:dyDescent="0.25">
      <c r="A3153" s="28" t="s">
        <v>17248</v>
      </c>
      <c r="B3153" s="28" t="s">
        <v>17249</v>
      </c>
      <c r="C3153" s="28" t="s">
        <v>1684</v>
      </c>
      <c r="D3153" s="28" t="s">
        <v>5990</v>
      </c>
      <c r="E3153" s="28" t="s">
        <v>5991</v>
      </c>
      <c r="F3153" s="28" t="s">
        <v>21</v>
      </c>
      <c r="G3153" s="28" t="s">
        <v>39</v>
      </c>
      <c r="H3153" s="28" t="s">
        <v>16221</v>
      </c>
      <c r="I3153" s="28" t="s">
        <v>17250</v>
      </c>
      <c r="J3153" s="28" t="s">
        <v>39</v>
      </c>
      <c r="K3153" s="28" t="s">
        <v>16223</v>
      </c>
      <c r="L3153" s="28" t="s">
        <v>16224</v>
      </c>
      <c r="M3153" s="28" t="s">
        <v>17251</v>
      </c>
      <c r="N3153" s="28" t="s">
        <v>16226</v>
      </c>
      <c r="O3153" s="28" t="s">
        <v>16227</v>
      </c>
      <c r="P3153" s="28" t="s">
        <v>17239</v>
      </c>
    </row>
    <row r="3154" spans="1:16" x14ac:dyDescent="0.25">
      <c r="A3154" s="28" t="s">
        <v>17252</v>
      </c>
      <c r="B3154" s="28" t="s">
        <v>17253</v>
      </c>
      <c r="C3154" s="28" t="s">
        <v>1684</v>
      </c>
      <c r="D3154" s="28" t="s">
        <v>5979</v>
      </c>
      <c r="E3154" s="28" t="s">
        <v>6087</v>
      </c>
      <c r="F3154" s="28" t="s">
        <v>21</v>
      </c>
      <c r="G3154" s="28" t="s">
        <v>39</v>
      </c>
      <c r="H3154" s="28" t="s">
        <v>16221</v>
      </c>
      <c r="I3154" s="28" t="s">
        <v>17254</v>
      </c>
      <c r="J3154" s="28" t="s">
        <v>39</v>
      </c>
      <c r="K3154" s="28" t="s">
        <v>16223</v>
      </c>
      <c r="L3154" s="28" t="s">
        <v>16224</v>
      </c>
      <c r="M3154" s="28" t="s">
        <v>17255</v>
      </c>
      <c r="N3154" s="28" t="s">
        <v>16226</v>
      </c>
      <c r="O3154" s="28" t="s">
        <v>16227</v>
      </c>
      <c r="P3154" s="28" t="s">
        <v>17256</v>
      </c>
    </row>
    <row r="3155" spans="1:16" x14ac:dyDescent="0.25">
      <c r="A3155" s="28" t="s">
        <v>17257</v>
      </c>
      <c r="B3155" s="28" t="s">
        <v>17258</v>
      </c>
      <c r="C3155" s="28" t="s">
        <v>1684</v>
      </c>
      <c r="D3155" s="28" t="s">
        <v>5979</v>
      </c>
      <c r="E3155" s="28" t="s">
        <v>6087</v>
      </c>
      <c r="F3155" s="28" t="s">
        <v>21</v>
      </c>
      <c r="G3155" s="28" t="s">
        <v>39</v>
      </c>
      <c r="H3155" s="28" t="s">
        <v>16221</v>
      </c>
      <c r="I3155" s="28" t="s">
        <v>17259</v>
      </c>
      <c r="J3155" s="28" t="s">
        <v>39</v>
      </c>
      <c r="K3155" s="28" t="s">
        <v>16223</v>
      </c>
      <c r="L3155" s="28" t="s">
        <v>16224</v>
      </c>
      <c r="M3155" s="28" t="s">
        <v>17260</v>
      </c>
      <c r="N3155" s="28" t="s">
        <v>16226</v>
      </c>
      <c r="O3155" s="28" t="s">
        <v>16227</v>
      </c>
      <c r="P3155" s="28" t="s">
        <v>17256</v>
      </c>
    </row>
    <row r="3156" spans="1:16" x14ac:dyDescent="0.25">
      <c r="A3156" s="28" t="s">
        <v>17261</v>
      </c>
      <c r="B3156" s="28" t="s">
        <v>17262</v>
      </c>
      <c r="C3156" s="28" t="s">
        <v>1684</v>
      </c>
      <c r="D3156" s="28" t="s">
        <v>5979</v>
      </c>
      <c r="E3156" s="28" t="s">
        <v>6087</v>
      </c>
      <c r="F3156" s="28" t="s">
        <v>21</v>
      </c>
      <c r="G3156" s="28" t="s">
        <v>39</v>
      </c>
      <c r="H3156" s="28" t="s">
        <v>16221</v>
      </c>
      <c r="I3156" s="28" t="s">
        <v>17263</v>
      </c>
      <c r="J3156" s="28" t="s">
        <v>39</v>
      </c>
      <c r="K3156" s="28" t="s">
        <v>16223</v>
      </c>
      <c r="L3156" s="28" t="s">
        <v>16224</v>
      </c>
      <c r="M3156" s="28" t="s">
        <v>17264</v>
      </c>
      <c r="N3156" s="28" t="s">
        <v>16226</v>
      </c>
      <c r="O3156" s="28" t="s">
        <v>16227</v>
      </c>
      <c r="P3156" s="28" t="s">
        <v>17256</v>
      </c>
    </row>
    <row r="3157" spans="1:16" x14ac:dyDescent="0.25">
      <c r="A3157" s="28" t="s">
        <v>17265</v>
      </c>
      <c r="B3157" s="28" t="s">
        <v>17266</v>
      </c>
      <c r="C3157" s="28" t="s">
        <v>1684</v>
      </c>
      <c r="D3157" s="28" t="s">
        <v>5979</v>
      </c>
      <c r="E3157" s="28" t="s">
        <v>6087</v>
      </c>
      <c r="F3157" s="28" t="s">
        <v>21</v>
      </c>
      <c r="G3157" s="28" t="s">
        <v>39</v>
      </c>
      <c r="H3157" s="28" t="s">
        <v>16221</v>
      </c>
      <c r="I3157" s="28" t="s">
        <v>17267</v>
      </c>
      <c r="J3157" s="28" t="s">
        <v>39</v>
      </c>
      <c r="K3157" s="28" t="s">
        <v>16223</v>
      </c>
      <c r="L3157" s="28" t="s">
        <v>16224</v>
      </c>
      <c r="M3157" s="28" t="s">
        <v>17268</v>
      </c>
      <c r="N3157" s="28" t="s">
        <v>16226</v>
      </c>
      <c r="O3157" s="28" t="s">
        <v>16227</v>
      </c>
      <c r="P3157" s="28" t="s">
        <v>17256</v>
      </c>
    </row>
    <row r="3158" spans="1:16" x14ac:dyDescent="0.25">
      <c r="A3158" s="28" t="s">
        <v>17269</v>
      </c>
      <c r="B3158" s="28" t="s">
        <v>17270</v>
      </c>
      <c r="C3158" s="28" t="s">
        <v>1684</v>
      </c>
      <c r="D3158" s="28" t="s">
        <v>5979</v>
      </c>
      <c r="E3158" s="28" t="s">
        <v>17271</v>
      </c>
      <c r="F3158" s="28" t="s">
        <v>21</v>
      </c>
      <c r="G3158" s="28" t="s">
        <v>39</v>
      </c>
      <c r="H3158" s="28" t="s">
        <v>16221</v>
      </c>
      <c r="I3158" s="28" t="s">
        <v>17272</v>
      </c>
      <c r="J3158" s="28" t="s">
        <v>39</v>
      </c>
      <c r="K3158" s="28" t="s">
        <v>16223</v>
      </c>
      <c r="L3158" s="28" t="s">
        <v>16224</v>
      </c>
      <c r="M3158" s="28" t="s">
        <v>17273</v>
      </c>
      <c r="N3158" s="28" t="s">
        <v>16226</v>
      </c>
      <c r="O3158" s="28" t="s">
        <v>16227</v>
      </c>
      <c r="P3158" s="28" t="s">
        <v>17274</v>
      </c>
    </row>
    <row r="3159" spans="1:16" x14ac:dyDescent="0.25">
      <c r="A3159" s="28" t="s">
        <v>17275</v>
      </c>
      <c r="B3159" s="28" t="s">
        <v>17276</v>
      </c>
      <c r="C3159" s="28" t="s">
        <v>1684</v>
      </c>
      <c r="D3159" s="28" t="s">
        <v>19</v>
      </c>
      <c r="E3159" s="28" t="s">
        <v>4896</v>
      </c>
      <c r="F3159" s="28" t="s">
        <v>21</v>
      </c>
      <c r="G3159" s="28" t="s">
        <v>39</v>
      </c>
      <c r="H3159" s="28" t="s">
        <v>16221</v>
      </c>
      <c r="I3159" s="28" t="s">
        <v>17277</v>
      </c>
      <c r="J3159" s="28" t="s">
        <v>39</v>
      </c>
      <c r="K3159" s="28" t="s">
        <v>16223</v>
      </c>
      <c r="L3159" s="28" t="s">
        <v>16224</v>
      </c>
      <c r="M3159" s="28" t="s">
        <v>17278</v>
      </c>
      <c r="N3159" s="28" t="s">
        <v>16226</v>
      </c>
      <c r="O3159" s="28" t="s">
        <v>16227</v>
      </c>
      <c r="P3159" s="28" t="s">
        <v>16277</v>
      </c>
    </row>
    <row r="3160" spans="1:16" x14ac:dyDescent="0.25">
      <c r="A3160" s="28" t="s">
        <v>17279</v>
      </c>
      <c r="B3160" s="28" t="s">
        <v>17280</v>
      </c>
      <c r="C3160" s="28" t="s">
        <v>1684</v>
      </c>
      <c r="D3160" s="28" t="s">
        <v>1604</v>
      </c>
      <c r="E3160" s="28" t="s">
        <v>1605</v>
      </c>
      <c r="F3160" s="28" t="s">
        <v>21</v>
      </c>
      <c r="G3160" s="28" t="s">
        <v>39</v>
      </c>
      <c r="H3160" s="28" t="s">
        <v>16221</v>
      </c>
      <c r="I3160" s="28" t="s">
        <v>17281</v>
      </c>
      <c r="J3160" s="28" t="s">
        <v>39</v>
      </c>
      <c r="K3160" s="28" t="s">
        <v>16223</v>
      </c>
      <c r="L3160" s="28" t="s">
        <v>16224</v>
      </c>
      <c r="M3160" s="28" t="s">
        <v>17282</v>
      </c>
      <c r="N3160" s="28" t="s">
        <v>16226</v>
      </c>
      <c r="O3160" s="28" t="s">
        <v>16227</v>
      </c>
      <c r="P3160" s="28" t="s">
        <v>17283</v>
      </c>
    </row>
    <row r="3161" spans="1:16" x14ac:dyDescent="0.25">
      <c r="A3161" s="28" t="s">
        <v>17284</v>
      </c>
      <c r="B3161" s="28" t="s">
        <v>17285</v>
      </c>
      <c r="C3161" s="28" t="s">
        <v>1684</v>
      </c>
      <c r="D3161" s="28" t="s">
        <v>1604</v>
      </c>
      <c r="E3161" s="28" t="s">
        <v>1605</v>
      </c>
      <c r="F3161" s="28" t="s">
        <v>21</v>
      </c>
      <c r="G3161" s="28" t="s">
        <v>39</v>
      </c>
      <c r="H3161" s="28" t="s">
        <v>16221</v>
      </c>
      <c r="I3161" s="28" t="s">
        <v>17286</v>
      </c>
      <c r="J3161" s="28" t="s">
        <v>39</v>
      </c>
      <c r="K3161" s="28" t="s">
        <v>16223</v>
      </c>
      <c r="L3161" s="28" t="s">
        <v>16224</v>
      </c>
      <c r="M3161" s="28" t="s">
        <v>17287</v>
      </c>
      <c r="N3161" s="28" t="s">
        <v>16226</v>
      </c>
      <c r="O3161" s="28" t="s">
        <v>16227</v>
      </c>
      <c r="P3161" s="28" t="s">
        <v>17283</v>
      </c>
    </row>
    <row r="3162" spans="1:16" x14ac:dyDescent="0.25">
      <c r="A3162" s="28" t="s">
        <v>17288</v>
      </c>
      <c r="B3162" s="28" t="s">
        <v>17289</v>
      </c>
      <c r="C3162" s="28" t="s">
        <v>1684</v>
      </c>
      <c r="D3162" s="28" t="s">
        <v>1604</v>
      </c>
      <c r="E3162" s="28" t="s">
        <v>1605</v>
      </c>
      <c r="F3162" s="28" t="s">
        <v>21</v>
      </c>
      <c r="G3162" s="28" t="s">
        <v>39</v>
      </c>
      <c r="H3162" s="28" t="s">
        <v>16221</v>
      </c>
      <c r="I3162" s="28" t="s">
        <v>17290</v>
      </c>
      <c r="J3162" s="28" t="s">
        <v>39</v>
      </c>
      <c r="K3162" s="28" t="s">
        <v>16223</v>
      </c>
      <c r="L3162" s="28" t="s">
        <v>16224</v>
      </c>
      <c r="M3162" s="28" t="s">
        <v>17291</v>
      </c>
      <c r="N3162" s="28" t="s">
        <v>16226</v>
      </c>
      <c r="O3162" s="28" t="s">
        <v>16227</v>
      </c>
      <c r="P3162" s="28" t="s">
        <v>17283</v>
      </c>
    </row>
    <row r="3163" spans="1:16" x14ac:dyDescent="0.25">
      <c r="A3163" s="28" t="s">
        <v>17292</v>
      </c>
      <c r="B3163" s="28" t="s">
        <v>17293</v>
      </c>
      <c r="C3163" s="28" t="s">
        <v>1684</v>
      </c>
      <c r="D3163" s="28" t="s">
        <v>1604</v>
      </c>
      <c r="E3163" s="28" t="s">
        <v>1605</v>
      </c>
      <c r="F3163" s="28" t="s">
        <v>21</v>
      </c>
      <c r="G3163" s="28" t="s">
        <v>39</v>
      </c>
      <c r="H3163" s="28" t="s">
        <v>16221</v>
      </c>
      <c r="I3163" s="28" t="s">
        <v>17294</v>
      </c>
      <c r="J3163" s="28" t="s">
        <v>39</v>
      </c>
      <c r="K3163" s="28" t="s">
        <v>16223</v>
      </c>
      <c r="L3163" s="28" t="s">
        <v>16224</v>
      </c>
      <c r="M3163" s="28" t="s">
        <v>17295</v>
      </c>
      <c r="N3163" s="28" t="s">
        <v>16226</v>
      </c>
      <c r="O3163" s="28" t="s">
        <v>16227</v>
      </c>
      <c r="P3163" s="28" t="s">
        <v>17283</v>
      </c>
    </row>
    <row r="3164" spans="1:16" x14ac:dyDescent="0.25">
      <c r="A3164" s="28" t="s">
        <v>17296</v>
      </c>
      <c r="B3164" s="28" t="s">
        <v>17297</v>
      </c>
      <c r="C3164" s="28" t="s">
        <v>1684</v>
      </c>
      <c r="D3164" s="28" t="s">
        <v>5372</v>
      </c>
      <c r="E3164" s="28" t="s">
        <v>3005</v>
      </c>
      <c r="F3164" s="28" t="s">
        <v>21</v>
      </c>
      <c r="G3164" s="28" t="s">
        <v>39</v>
      </c>
      <c r="H3164" s="28" t="s">
        <v>16221</v>
      </c>
      <c r="I3164" s="28" t="s">
        <v>17298</v>
      </c>
      <c r="J3164" s="28" t="s">
        <v>39</v>
      </c>
      <c r="K3164" s="28" t="s">
        <v>16223</v>
      </c>
      <c r="L3164" s="28" t="s">
        <v>16224</v>
      </c>
      <c r="M3164" s="28" t="s">
        <v>17299</v>
      </c>
      <c r="N3164" s="28" t="s">
        <v>16226</v>
      </c>
      <c r="O3164" s="28" t="s">
        <v>16227</v>
      </c>
      <c r="P3164" s="28" t="s">
        <v>16402</v>
      </c>
    </row>
    <row r="3165" spans="1:16" x14ac:dyDescent="0.25">
      <c r="A3165" s="28" t="s">
        <v>17300</v>
      </c>
      <c r="B3165" s="28" t="s">
        <v>17301</v>
      </c>
      <c r="C3165" s="28" t="s">
        <v>1684</v>
      </c>
      <c r="D3165" s="28" t="s">
        <v>5956</v>
      </c>
      <c r="E3165" s="28" t="s">
        <v>5957</v>
      </c>
      <c r="F3165" s="28" t="s">
        <v>21</v>
      </c>
      <c r="G3165" s="28" t="s">
        <v>39</v>
      </c>
      <c r="H3165" s="28" t="s">
        <v>16221</v>
      </c>
      <c r="I3165" s="28" t="s">
        <v>17302</v>
      </c>
      <c r="J3165" s="28" t="s">
        <v>39</v>
      </c>
      <c r="K3165" s="28" t="s">
        <v>16223</v>
      </c>
      <c r="L3165" s="28" t="s">
        <v>16224</v>
      </c>
      <c r="M3165" s="28" t="s">
        <v>17303</v>
      </c>
      <c r="N3165" s="28" t="s">
        <v>16226</v>
      </c>
      <c r="O3165" s="28" t="s">
        <v>16227</v>
      </c>
      <c r="P3165" s="28" t="s">
        <v>17234</v>
      </c>
    </row>
    <row r="3166" spans="1:16" x14ac:dyDescent="0.25">
      <c r="A3166" s="28" t="s">
        <v>17304</v>
      </c>
      <c r="B3166" s="28" t="s">
        <v>17305</v>
      </c>
      <c r="C3166" s="28" t="s">
        <v>1684</v>
      </c>
      <c r="D3166" s="28" t="s">
        <v>5990</v>
      </c>
      <c r="E3166" s="28" t="s">
        <v>5991</v>
      </c>
      <c r="F3166" s="28" t="s">
        <v>21</v>
      </c>
      <c r="G3166" s="28" t="s">
        <v>39</v>
      </c>
      <c r="H3166" s="28" t="s">
        <v>16221</v>
      </c>
      <c r="I3166" s="28" t="s">
        <v>17306</v>
      </c>
      <c r="J3166" s="28" t="s">
        <v>39</v>
      </c>
      <c r="K3166" s="28" t="s">
        <v>16223</v>
      </c>
      <c r="L3166" s="28" t="s">
        <v>16224</v>
      </c>
      <c r="M3166" s="28" t="s">
        <v>17307</v>
      </c>
      <c r="N3166" s="28" t="s">
        <v>16226</v>
      </c>
      <c r="O3166" s="28" t="s">
        <v>16227</v>
      </c>
      <c r="P3166" s="28" t="s">
        <v>17239</v>
      </c>
    </row>
    <row r="3167" spans="1:16" x14ac:dyDescent="0.25">
      <c r="A3167" s="28" t="s">
        <v>17308</v>
      </c>
      <c r="B3167" s="28" t="s">
        <v>17309</v>
      </c>
      <c r="C3167" s="28" t="s">
        <v>1684</v>
      </c>
      <c r="D3167" s="28" t="s">
        <v>5990</v>
      </c>
      <c r="E3167" s="28" t="s">
        <v>5991</v>
      </c>
      <c r="F3167" s="28" t="s">
        <v>21</v>
      </c>
      <c r="G3167" s="28" t="s">
        <v>39</v>
      </c>
      <c r="H3167" s="28" t="s">
        <v>16221</v>
      </c>
      <c r="I3167" s="28" t="s">
        <v>17310</v>
      </c>
      <c r="J3167" s="28" t="s">
        <v>39</v>
      </c>
      <c r="K3167" s="28" t="s">
        <v>16223</v>
      </c>
      <c r="L3167" s="28" t="s">
        <v>16224</v>
      </c>
      <c r="M3167" s="28" t="s">
        <v>17311</v>
      </c>
      <c r="N3167" s="28" t="s">
        <v>16226</v>
      </c>
      <c r="O3167" s="28" t="s">
        <v>16227</v>
      </c>
      <c r="P3167" s="28" t="s">
        <v>17239</v>
      </c>
    </row>
    <row r="3168" spans="1:16" x14ac:dyDescent="0.25">
      <c r="A3168" s="28" t="s">
        <v>17312</v>
      </c>
      <c r="B3168" s="28" t="s">
        <v>17313</v>
      </c>
      <c r="C3168" s="28" t="s">
        <v>1684</v>
      </c>
      <c r="D3168" s="28" t="s">
        <v>5990</v>
      </c>
      <c r="E3168" s="28" t="s">
        <v>5991</v>
      </c>
      <c r="F3168" s="28" t="s">
        <v>21</v>
      </c>
      <c r="G3168" s="28" t="s">
        <v>39</v>
      </c>
      <c r="H3168" s="28" t="s">
        <v>16221</v>
      </c>
      <c r="I3168" s="28" t="s">
        <v>17314</v>
      </c>
      <c r="J3168" s="28" t="s">
        <v>39</v>
      </c>
      <c r="K3168" s="28" t="s">
        <v>16223</v>
      </c>
      <c r="L3168" s="28" t="s">
        <v>16224</v>
      </c>
      <c r="M3168" s="28" t="s">
        <v>17315</v>
      </c>
      <c r="N3168" s="28" t="s">
        <v>16226</v>
      </c>
      <c r="O3168" s="28" t="s">
        <v>16227</v>
      </c>
      <c r="P3168" s="28" t="s">
        <v>17239</v>
      </c>
    </row>
    <row r="3169" spans="1:16" x14ac:dyDescent="0.25">
      <c r="A3169" s="28" t="s">
        <v>17316</v>
      </c>
      <c r="B3169" s="28" t="s">
        <v>17317</v>
      </c>
      <c r="C3169" s="28" t="s">
        <v>1684</v>
      </c>
      <c r="D3169" s="28" t="s">
        <v>5990</v>
      </c>
      <c r="E3169" s="28" t="s">
        <v>5991</v>
      </c>
      <c r="F3169" s="28" t="s">
        <v>21</v>
      </c>
      <c r="G3169" s="28" t="s">
        <v>39</v>
      </c>
      <c r="H3169" s="28" t="s">
        <v>16221</v>
      </c>
      <c r="I3169" s="28" t="s">
        <v>17318</v>
      </c>
      <c r="J3169" s="28" t="s">
        <v>39</v>
      </c>
      <c r="K3169" s="28" t="s">
        <v>16223</v>
      </c>
      <c r="L3169" s="28" t="s">
        <v>16224</v>
      </c>
      <c r="M3169" s="28" t="s">
        <v>17319</v>
      </c>
      <c r="N3169" s="28" t="s">
        <v>16226</v>
      </c>
      <c r="O3169" s="28" t="s">
        <v>16227</v>
      </c>
      <c r="P3169" s="28" t="s">
        <v>17239</v>
      </c>
    </row>
    <row r="3170" spans="1:16" x14ac:dyDescent="0.25">
      <c r="A3170" s="28" t="s">
        <v>17320</v>
      </c>
      <c r="B3170" s="28" t="s">
        <v>17321</v>
      </c>
      <c r="C3170" s="28" t="s">
        <v>1684</v>
      </c>
      <c r="D3170" s="28" t="s">
        <v>5979</v>
      </c>
      <c r="E3170" s="28" t="s">
        <v>9526</v>
      </c>
      <c r="F3170" s="28" t="s">
        <v>21</v>
      </c>
      <c r="G3170" s="28" t="s">
        <v>39</v>
      </c>
      <c r="H3170" s="28" t="s">
        <v>16221</v>
      </c>
      <c r="I3170" s="28" t="s">
        <v>17322</v>
      </c>
      <c r="J3170" s="28" t="s">
        <v>39</v>
      </c>
      <c r="K3170" s="28" t="s">
        <v>16223</v>
      </c>
      <c r="L3170" s="28" t="s">
        <v>16224</v>
      </c>
      <c r="M3170" s="28" t="s">
        <v>17323</v>
      </c>
      <c r="N3170" s="28" t="s">
        <v>16226</v>
      </c>
      <c r="O3170" s="28" t="s">
        <v>16227</v>
      </c>
      <c r="P3170" s="28" t="s">
        <v>16542</v>
      </c>
    </row>
    <row r="3171" spans="1:16" x14ac:dyDescent="0.25">
      <c r="A3171" s="28" t="s">
        <v>17324</v>
      </c>
      <c r="B3171" s="28" t="s">
        <v>17325</v>
      </c>
      <c r="C3171" s="28" t="s">
        <v>1684</v>
      </c>
      <c r="D3171" s="28" t="s">
        <v>5979</v>
      </c>
      <c r="E3171" s="28" t="s">
        <v>6023</v>
      </c>
      <c r="F3171" s="28" t="s">
        <v>21</v>
      </c>
      <c r="G3171" s="28" t="s">
        <v>39</v>
      </c>
      <c r="H3171" s="28" t="s">
        <v>16221</v>
      </c>
      <c r="I3171" s="28" t="s">
        <v>17326</v>
      </c>
      <c r="J3171" s="28" t="s">
        <v>39</v>
      </c>
      <c r="K3171" s="28" t="s">
        <v>16223</v>
      </c>
      <c r="L3171" s="28" t="s">
        <v>16224</v>
      </c>
      <c r="M3171" s="28" t="s">
        <v>17327</v>
      </c>
      <c r="N3171" s="28" t="s">
        <v>16226</v>
      </c>
      <c r="O3171" s="28" t="s">
        <v>16227</v>
      </c>
      <c r="P3171" s="28" t="s">
        <v>16547</v>
      </c>
    </row>
    <row r="3172" spans="1:16" x14ac:dyDescent="0.25">
      <c r="A3172" s="28" t="s">
        <v>17328</v>
      </c>
      <c r="B3172" s="28" t="s">
        <v>17329</v>
      </c>
      <c r="C3172" s="28" t="s">
        <v>1684</v>
      </c>
      <c r="D3172" s="28" t="s">
        <v>7132</v>
      </c>
      <c r="E3172" s="28" t="s">
        <v>17330</v>
      </c>
      <c r="F3172" s="28" t="s">
        <v>21</v>
      </c>
      <c r="G3172" s="28" t="s">
        <v>39</v>
      </c>
      <c r="H3172" s="28" t="s">
        <v>16221</v>
      </c>
      <c r="I3172" s="28" t="s">
        <v>17331</v>
      </c>
      <c r="J3172" s="28" t="s">
        <v>39</v>
      </c>
      <c r="K3172" s="28" t="s">
        <v>16223</v>
      </c>
      <c r="L3172" s="28" t="s">
        <v>16224</v>
      </c>
      <c r="M3172" s="28" t="s">
        <v>17332</v>
      </c>
      <c r="N3172" s="28" t="s">
        <v>16226</v>
      </c>
      <c r="O3172" s="28" t="s">
        <v>16227</v>
      </c>
      <c r="P3172" s="28" t="s">
        <v>17333</v>
      </c>
    </row>
    <row r="3173" spans="1:16" x14ac:dyDescent="0.25">
      <c r="A3173" s="28" t="s">
        <v>17334</v>
      </c>
      <c r="B3173" s="28" t="s">
        <v>17335</v>
      </c>
      <c r="C3173" s="28" t="s">
        <v>1684</v>
      </c>
      <c r="D3173" s="28" t="s">
        <v>7132</v>
      </c>
      <c r="E3173" s="28" t="s">
        <v>17330</v>
      </c>
      <c r="F3173" s="28" t="s">
        <v>21</v>
      </c>
      <c r="G3173" s="28" t="s">
        <v>39</v>
      </c>
      <c r="H3173" s="28" t="s">
        <v>16221</v>
      </c>
      <c r="I3173" s="28" t="s">
        <v>17336</v>
      </c>
      <c r="J3173" s="28" t="s">
        <v>39</v>
      </c>
      <c r="K3173" s="28" t="s">
        <v>16223</v>
      </c>
      <c r="L3173" s="28" t="s">
        <v>16224</v>
      </c>
      <c r="M3173" s="28" t="s">
        <v>17337</v>
      </c>
      <c r="N3173" s="28" t="s">
        <v>16226</v>
      </c>
      <c r="O3173" s="28" t="s">
        <v>16227</v>
      </c>
      <c r="P3173" s="28" t="s">
        <v>17333</v>
      </c>
    </row>
    <row r="3174" spans="1:16" x14ac:dyDescent="0.25">
      <c r="A3174" s="28" t="s">
        <v>17338</v>
      </c>
      <c r="B3174" s="28" t="s">
        <v>17339</v>
      </c>
      <c r="C3174" s="28" t="s">
        <v>1684</v>
      </c>
      <c r="D3174" s="28" t="s">
        <v>7132</v>
      </c>
      <c r="E3174" s="28" t="s">
        <v>17340</v>
      </c>
      <c r="F3174" s="28" t="s">
        <v>21</v>
      </c>
      <c r="G3174" s="28" t="s">
        <v>39</v>
      </c>
      <c r="H3174" s="28" t="s">
        <v>16221</v>
      </c>
      <c r="I3174" s="28" t="s">
        <v>17341</v>
      </c>
      <c r="J3174" s="28" t="s">
        <v>39</v>
      </c>
      <c r="K3174" s="28" t="s">
        <v>16223</v>
      </c>
      <c r="L3174" s="28" t="s">
        <v>16224</v>
      </c>
      <c r="M3174" s="28" t="s">
        <v>17342</v>
      </c>
      <c r="N3174" s="28" t="s">
        <v>16226</v>
      </c>
      <c r="O3174" s="28" t="s">
        <v>16227</v>
      </c>
      <c r="P3174" s="28" t="s">
        <v>17343</v>
      </c>
    </row>
    <row r="3175" spans="1:16" x14ac:dyDescent="0.25">
      <c r="A3175" s="28" t="s">
        <v>17344</v>
      </c>
      <c r="B3175" s="28" t="s">
        <v>17345</v>
      </c>
      <c r="C3175" s="28" t="s">
        <v>1684</v>
      </c>
      <c r="D3175" s="28" t="s">
        <v>7132</v>
      </c>
      <c r="E3175" s="28" t="s">
        <v>17346</v>
      </c>
      <c r="F3175" s="28" t="s">
        <v>21</v>
      </c>
      <c r="G3175" s="28" t="s">
        <v>39</v>
      </c>
      <c r="H3175" s="28" t="s">
        <v>16221</v>
      </c>
      <c r="I3175" s="28" t="s">
        <v>17347</v>
      </c>
      <c r="J3175" s="28" t="s">
        <v>39</v>
      </c>
      <c r="K3175" s="28" t="s">
        <v>16223</v>
      </c>
      <c r="L3175" s="28" t="s">
        <v>16224</v>
      </c>
      <c r="M3175" s="28" t="s">
        <v>17348</v>
      </c>
      <c r="N3175" s="28" t="s">
        <v>16226</v>
      </c>
      <c r="O3175" s="28" t="s">
        <v>16227</v>
      </c>
      <c r="P3175" s="28" t="s">
        <v>17349</v>
      </c>
    </row>
    <row r="3176" spans="1:16" x14ac:dyDescent="0.25">
      <c r="A3176" s="28" t="s">
        <v>17350</v>
      </c>
      <c r="B3176" s="28" t="s">
        <v>17351</v>
      </c>
      <c r="C3176" s="28" t="s">
        <v>1684</v>
      </c>
      <c r="D3176" s="28" t="s">
        <v>7132</v>
      </c>
      <c r="E3176" s="28" t="s">
        <v>17352</v>
      </c>
      <c r="F3176" s="28" t="s">
        <v>21</v>
      </c>
      <c r="G3176" s="28" t="s">
        <v>39</v>
      </c>
      <c r="H3176" s="28" t="s">
        <v>16221</v>
      </c>
      <c r="I3176" s="28" t="s">
        <v>17353</v>
      </c>
      <c r="J3176" s="28" t="s">
        <v>39</v>
      </c>
      <c r="K3176" s="28" t="s">
        <v>16223</v>
      </c>
      <c r="L3176" s="28" t="s">
        <v>16224</v>
      </c>
      <c r="M3176" s="28" t="s">
        <v>17354</v>
      </c>
      <c r="N3176" s="28" t="s">
        <v>16226</v>
      </c>
      <c r="O3176" s="28" t="s">
        <v>16227</v>
      </c>
      <c r="P3176" s="28" t="s">
        <v>17355</v>
      </c>
    </row>
    <row r="3177" spans="1:16" x14ac:dyDescent="0.25">
      <c r="A3177" s="28" t="s">
        <v>17356</v>
      </c>
      <c r="B3177" s="28" t="s">
        <v>17357</v>
      </c>
      <c r="C3177" s="28" t="s">
        <v>1684</v>
      </c>
      <c r="D3177" s="28" t="s">
        <v>7132</v>
      </c>
      <c r="E3177" s="28" t="s">
        <v>17358</v>
      </c>
      <c r="F3177" s="28" t="s">
        <v>21</v>
      </c>
      <c r="G3177" s="28" t="s">
        <v>39</v>
      </c>
      <c r="H3177" s="28" t="s">
        <v>16221</v>
      </c>
      <c r="I3177" s="28" t="s">
        <v>17359</v>
      </c>
      <c r="J3177" s="28" t="s">
        <v>39</v>
      </c>
      <c r="K3177" s="28" t="s">
        <v>16223</v>
      </c>
      <c r="L3177" s="28" t="s">
        <v>16224</v>
      </c>
      <c r="M3177" s="28" t="s">
        <v>17360</v>
      </c>
      <c r="N3177" s="28" t="s">
        <v>16226</v>
      </c>
      <c r="O3177" s="28" t="s">
        <v>16227</v>
      </c>
      <c r="P3177" s="28" t="s">
        <v>17361</v>
      </c>
    </row>
    <row r="3178" spans="1:16" x14ac:dyDescent="0.25">
      <c r="A3178" s="28" t="s">
        <v>17362</v>
      </c>
      <c r="B3178" s="28" t="s">
        <v>17363</v>
      </c>
      <c r="C3178" s="28" t="s">
        <v>1684</v>
      </c>
      <c r="D3178" s="28" t="s">
        <v>7132</v>
      </c>
      <c r="E3178" s="28" t="s">
        <v>17364</v>
      </c>
      <c r="F3178" s="28" t="s">
        <v>21</v>
      </c>
      <c r="G3178" s="28" t="s">
        <v>39</v>
      </c>
      <c r="H3178" s="28" t="s">
        <v>16221</v>
      </c>
      <c r="I3178" s="28" t="s">
        <v>17365</v>
      </c>
      <c r="J3178" s="28" t="s">
        <v>39</v>
      </c>
      <c r="K3178" s="28" t="s">
        <v>16223</v>
      </c>
      <c r="L3178" s="28" t="s">
        <v>16224</v>
      </c>
      <c r="M3178" s="28" t="s">
        <v>17366</v>
      </c>
      <c r="N3178" s="28" t="s">
        <v>16226</v>
      </c>
      <c r="O3178" s="28" t="s">
        <v>16227</v>
      </c>
      <c r="P3178" s="28" t="s">
        <v>17367</v>
      </c>
    </row>
    <row r="3179" spans="1:16" x14ac:dyDescent="0.25">
      <c r="A3179" s="28" t="s">
        <v>17368</v>
      </c>
      <c r="B3179" s="28" t="s">
        <v>17369</v>
      </c>
      <c r="C3179" s="28" t="s">
        <v>1684</v>
      </c>
      <c r="D3179" s="28" t="s">
        <v>7132</v>
      </c>
      <c r="E3179" s="28" t="s">
        <v>17370</v>
      </c>
      <c r="F3179" s="28" t="s">
        <v>21</v>
      </c>
      <c r="G3179" s="28" t="s">
        <v>39</v>
      </c>
      <c r="H3179" s="28" t="s">
        <v>16221</v>
      </c>
      <c r="I3179" s="28" t="s">
        <v>17371</v>
      </c>
      <c r="J3179" s="28" t="s">
        <v>39</v>
      </c>
      <c r="K3179" s="28" t="s">
        <v>16223</v>
      </c>
      <c r="L3179" s="28" t="s">
        <v>16224</v>
      </c>
      <c r="M3179" s="28" t="s">
        <v>17372</v>
      </c>
      <c r="N3179" s="28" t="s">
        <v>16226</v>
      </c>
      <c r="O3179" s="28" t="s">
        <v>16227</v>
      </c>
      <c r="P3179" s="28" t="s">
        <v>17373</v>
      </c>
    </row>
    <row r="3180" spans="1:16" x14ac:dyDescent="0.25">
      <c r="A3180" s="28" t="s">
        <v>17374</v>
      </c>
      <c r="B3180" s="28" t="s">
        <v>17375</v>
      </c>
      <c r="C3180" s="28" t="s">
        <v>1684</v>
      </c>
      <c r="D3180" s="28" t="s">
        <v>7132</v>
      </c>
      <c r="E3180" s="28" t="s">
        <v>17376</v>
      </c>
      <c r="F3180" s="28" t="s">
        <v>21</v>
      </c>
      <c r="G3180" s="28" t="s">
        <v>39</v>
      </c>
      <c r="H3180" s="28" t="s">
        <v>16221</v>
      </c>
      <c r="I3180" s="28" t="s">
        <v>17377</v>
      </c>
      <c r="J3180" s="28" t="s">
        <v>39</v>
      </c>
      <c r="K3180" s="28" t="s">
        <v>16223</v>
      </c>
      <c r="L3180" s="28" t="s">
        <v>16224</v>
      </c>
      <c r="M3180" s="28" t="s">
        <v>17378</v>
      </c>
      <c r="N3180" s="28" t="s">
        <v>16226</v>
      </c>
      <c r="O3180" s="28" t="s">
        <v>16227</v>
      </c>
      <c r="P3180" s="28" t="s">
        <v>17379</v>
      </c>
    </row>
    <row r="3181" spans="1:16" x14ac:dyDescent="0.25">
      <c r="A3181" s="28" t="s">
        <v>17380</v>
      </c>
      <c r="B3181" s="28" t="s">
        <v>17381</v>
      </c>
      <c r="C3181" s="28" t="s">
        <v>1684</v>
      </c>
      <c r="D3181" s="28" t="s">
        <v>7132</v>
      </c>
      <c r="E3181" s="28" t="s">
        <v>17382</v>
      </c>
      <c r="F3181" s="28" t="s">
        <v>21</v>
      </c>
      <c r="G3181" s="28" t="s">
        <v>39</v>
      </c>
      <c r="H3181" s="28" t="s">
        <v>16221</v>
      </c>
      <c r="I3181" s="28" t="s">
        <v>17383</v>
      </c>
      <c r="J3181" s="28" t="s">
        <v>39</v>
      </c>
      <c r="K3181" s="28" t="s">
        <v>16223</v>
      </c>
      <c r="L3181" s="28" t="s">
        <v>16224</v>
      </c>
      <c r="M3181" s="28" t="s">
        <v>17384</v>
      </c>
      <c r="N3181" s="28" t="s">
        <v>16226</v>
      </c>
      <c r="O3181" s="28" t="s">
        <v>16227</v>
      </c>
      <c r="P3181" s="28" t="s">
        <v>17385</v>
      </c>
    </row>
    <row r="3182" spans="1:16" x14ac:dyDescent="0.25">
      <c r="A3182" s="28" t="s">
        <v>17386</v>
      </c>
      <c r="B3182" s="28" t="s">
        <v>17387</v>
      </c>
      <c r="C3182" s="28" t="s">
        <v>1684</v>
      </c>
      <c r="D3182" s="28" t="s">
        <v>7132</v>
      </c>
      <c r="E3182" s="28" t="s">
        <v>17388</v>
      </c>
      <c r="F3182" s="28" t="s">
        <v>21</v>
      </c>
      <c r="G3182" s="28" t="s">
        <v>39</v>
      </c>
      <c r="H3182" s="28" t="s">
        <v>16221</v>
      </c>
      <c r="I3182" s="28" t="s">
        <v>17389</v>
      </c>
      <c r="J3182" s="28" t="s">
        <v>39</v>
      </c>
      <c r="K3182" s="28" t="s">
        <v>16223</v>
      </c>
      <c r="L3182" s="28" t="s">
        <v>16224</v>
      </c>
      <c r="M3182" s="28" t="s">
        <v>17390</v>
      </c>
      <c r="N3182" s="28" t="s">
        <v>16226</v>
      </c>
      <c r="O3182" s="28" t="s">
        <v>16227</v>
      </c>
      <c r="P3182" s="28" t="s">
        <v>17391</v>
      </c>
    </row>
    <row r="3183" spans="1:16" x14ac:dyDescent="0.25">
      <c r="A3183" s="28" t="s">
        <v>17392</v>
      </c>
      <c r="B3183" s="28" t="s">
        <v>17393</v>
      </c>
      <c r="C3183" s="28" t="s">
        <v>1684</v>
      </c>
      <c r="D3183" s="28" t="s">
        <v>6454</v>
      </c>
      <c r="E3183" s="28" t="s">
        <v>17394</v>
      </c>
      <c r="F3183" s="28" t="s">
        <v>21</v>
      </c>
      <c r="G3183" s="28" t="s">
        <v>39</v>
      </c>
      <c r="H3183" s="28" t="s">
        <v>16221</v>
      </c>
      <c r="I3183" s="28" t="s">
        <v>17395</v>
      </c>
      <c r="J3183" s="28" t="s">
        <v>39</v>
      </c>
      <c r="K3183" s="28" t="s">
        <v>16223</v>
      </c>
      <c r="L3183" s="28" t="s">
        <v>16224</v>
      </c>
      <c r="M3183" s="28" t="s">
        <v>17396</v>
      </c>
      <c r="N3183" s="28" t="s">
        <v>16226</v>
      </c>
      <c r="O3183" s="28" t="s">
        <v>16227</v>
      </c>
      <c r="P3183" s="28" t="s">
        <v>17397</v>
      </c>
    </row>
    <row r="3184" spans="1:16" x14ac:dyDescent="0.25">
      <c r="A3184" s="28" t="s">
        <v>17398</v>
      </c>
      <c r="B3184" s="28" t="s">
        <v>17399</v>
      </c>
      <c r="C3184" s="28" t="s">
        <v>1684</v>
      </c>
      <c r="D3184" s="28" t="s">
        <v>6454</v>
      </c>
      <c r="E3184" s="28" t="s">
        <v>17400</v>
      </c>
      <c r="F3184" s="28" t="s">
        <v>21</v>
      </c>
      <c r="G3184" s="28" t="s">
        <v>39</v>
      </c>
      <c r="H3184" s="28" t="s">
        <v>16221</v>
      </c>
      <c r="I3184" s="28" t="s">
        <v>17401</v>
      </c>
      <c r="J3184" s="28" t="s">
        <v>39</v>
      </c>
      <c r="K3184" s="28" t="s">
        <v>16223</v>
      </c>
      <c r="L3184" s="28" t="s">
        <v>16224</v>
      </c>
      <c r="M3184" s="28" t="s">
        <v>17402</v>
      </c>
      <c r="N3184" s="28" t="s">
        <v>16226</v>
      </c>
      <c r="O3184" s="28" t="s">
        <v>16227</v>
      </c>
      <c r="P3184" s="28" t="s">
        <v>17403</v>
      </c>
    </row>
    <row r="3185" spans="1:16" x14ac:dyDescent="0.25">
      <c r="A3185" s="28" t="s">
        <v>17404</v>
      </c>
      <c r="B3185" s="28" t="s">
        <v>17405</v>
      </c>
      <c r="C3185" s="28" t="s">
        <v>1684</v>
      </c>
      <c r="D3185" s="28" t="s">
        <v>6454</v>
      </c>
      <c r="E3185" s="28" t="s">
        <v>17406</v>
      </c>
      <c r="F3185" s="28" t="s">
        <v>21</v>
      </c>
      <c r="G3185" s="28" t="s">
        <v>39</v>
      </c>
      <c r="H3185" s="28" t="s">
        <v>16221</v>
      </c>
      <c r="I3185" s="28" t="s">
        <v>17407</v>
      </c>
      <c r="J3185" s="28" t="s">
        <v>39</v>
      </c>
      <c r="K3185" s="28" t="s">
        <v>16223</v>
      </c>
      <c r="L3185" s="28" t="s">
        <v>16224</v>
      </c>
      <c r="M3185" s="28" t="s">
        <v>17408</v>
      </c>
      <c r="N3185" s="28" t="s">
        <v>16226</v>
      </c>
      <c r="O3185" s="28" t="s">
        <v>16227</v>
      </c>
      <c r="P3185" s="28" t="s">
        <v>17409</v>
      </c>
    </row>
    <row r="3186" spans="1:16" x14ac:dyDescent="0.25">
      <c r="A3186" s="28" t="s">
        <v>17410</v>
      </c>
      <c r="B3186" s="28" t="s">
        <v>17411</v>
      </c>
      <c r="C3186" s="28" t="s">
        <v>1684</v>
      </c>
      <c r="D3186" s="28" t="s">
        <v>6454</v>
      </c>
      <c r="E3186" s="28" t="s">
        <v>17412</v>
      </c>
      <c r="F3186" s="28" t="s">
        <v>21</v>
      </c>
      <c r="G3186" s="28" t="s">
        <v>39</v>
      </c>
      <c r="H3186" s="28" t="s">
        <v>16221</v>
      </c>
      <c r="I3186" s="28" t="s">
        <v>17413</v>
      </c>
      <c r="J3186" s="28" t="s">
        <v>39</v>
      </c>
      <c r="K3186" s="28" t="s">
        <v>16223</v>
      </c>
      <c r="L3186" s="28" t="s">
        <v>16224</v>
      </c>
      <c r="M3186" s="28" t="s">
        <v>17414</v>
      </c>
      <c r="N3186" s="28" t="s">
        <v>16226</v>
      </c>
      <c r="O3186" s="28" t="s">
        <v>16227</v>
      </c>
      <c r="P3186" s="28" t="s">
        <v>17415</v>
      </c>
    </row>
    <row r="3187" spans="1:16" x14ac:dyDescent="0.25">
      <c r="A3187" s="28" t="s">
        <v>17416</v>
      </c>
      <c r="B3187" s="28" t="s">
        <v>17417</v>
      </c>
      <c r="C3187" s="28" t="s">
        <v>1684</v>
      </c>
      <c r="D3187" s="28" t="s">
        <v>6454</v>
      </c>
      <c r="E3187" s="28" t="s">
        <v>17418</v>
      </c>
      <c r="F3187" s="28" t="s">
        <v>21</v>
      </c>
      <c r="G3187" s="28" t="s">
        <v>39</v>
      </c>
      <c r="H3187" s="28" t="s">
        <v>16221</v>
      </c>
      <c r="I3187" s="28" t="s">
        <v>17419</v>
      </c>
      <c r="J3187" s="28" t="s">
        <v>39</v>
      </c>
      <c r="K3187" s="28" t="s">
        <v>16223</v>
      </c>
      <c r="L3187" s="28" t="s">
        <v>16224</v>
      </c>
      <c r="M3187" s="28" t="s">
        <v>17420</v>
      </c>
      <c r="N3187" s="28" t="s">
        <v>16226</v>
      </c>
      <c r="O3187" s="28" t="s">
        <v>16227</v>
      </c>
      <c r="P3187" s="28" t="s">
        <v>17421</v>
      </c>
    </row>
    <row r="3188" spans="1:16" x14ac:dyDescent="0.25">
      <c r="A3188" s="28" t="s">
        <v>17422</v>
      </c>
      <c r="B3188" s="28" t="s">
        <v>17423</v>
      </c>
      <c r="C3188" s="28" t="s">
        <v>1684</v>
      </c>
      <c r="D3188" s="28" t="s">
        <v>6454</v>
      </c>
      <c r="E3188" s="28" t="s">
        <v>17424</v>
      </c>
      <c r="F3188" s="28" t="s">
        <v>21</v>
      </c>
      <c r="G3188" s="28" t="s">
        <v>39</v>
      </c>
      <c r="H3188" s="28" t="s">
        <v>16221</v>
      </c>
      <c r="I3188" s="28" t="s">
        <v>17425</v>
      </c>
      <c r="J3188" s="28" t="s">
        <v>39</v>
      </c>
      <c r="K3188" s="28" t="s">
        <v>16223</v>
      </c>
      <c r="L3188" s="28" t="s">
        <v>16224</v>
      </c>
      <c r="M3188" s="28" t="s">
        <v>17426</v>
      </c>
      <c r="N3188" s="28" t="s">
        <v>16226</v>
      </c>
      <c r="O3188" s="28" t="s">
        <v>16227</v>
      </c>
      <c r="P3188" s="28" t="s">
        <v>17427</v>
      </c>
    </row>
    <row r="3189" spans="1:16" x14ac:dyDescent="0.25">
      <c r="A3189" s="28" t="s">
        <v>17428</v>
      </c>
      <c r="B3189" s="28" t="s">
        <v>17429</v>
      </c>
      <c r="C3189" s="28" t="s">
        <v>1684</v>
      </c>
      <c r="D3189" s="28" t="s">
        <v>6454</v>
      </c>
      <c r="E3189" s="28" t="s">
        <v>17430</v>
      </c>
      <c r="F3189" s="28" t="s">
        <v>21</v>
      </c>
      <c r="G3189" s="28" t="s">
        <v>39</v>
      </c>
      <c r="H3189" s="28" t="s">
        <v>16221</v>
      </c>
      <c r="I3189" s="28" t="s">
        <v>17431</v>
      </c>
      <c r="J3189" s="28" t="s">
        <v>39</v>
      </c>
      <c r="K3189" s="28" t="s">
        <v>16223</v>
      </c>
      <c r="L3189" s="28" t="s">
        <v>16224</v>
      </c>
      <c r="M3189" s="28" t="s">
        <v>17432</v>
      </c>
      <c r="N3189" s="28" t="s">
        <v>16226</v>
      </c>
      <c r="O3189" s="28" t="s">
        <v>16227</v>
      </c>
      <c r="P3189" s="28" t="s">
        <v>17433</v>
      </c>
    </row>
    <row r="3190" spans="1:16" x14ac:dyDescent="0.25">
      <c r="A3190" s="28" t="s">
        <v>17434</v>
      </c>
      <c r="B3190" s="28" t="s">
        <v>17435</v>
      </c>
      <c r="C3190" s="28" t="s">
        <v>1684</v>
      </c>
      <c r="D3190" s="28" t="s">
        <v>6454</v>
      </c>
      <c r="E3190" s="28" t="s">
        <v>17436</v>
      </c>
      <c r="F3190" s="28" t="s">
        <v>21</v>
      </c>
      <c r="G3190" s="28" t="s">
        <v>39</v>
      </c>
      <c r="H3190" s="28" t="s">
        <v>16221</v>
      </c>
      <c r="I3190" s="28" t="s">
        <v>17437</v>
      </c>
      <c r="J3190" s="28" t="s">
        <v>39</v>
      </c>
      <c r="K3190" s="28" t="s">
        <v>16223</v>
      </c>
      <c r="L3190" s="28" t="s">
        <v>16224</v>
      </c>
      <c r="M3190" s="28" t="s">
        <v>17438</v>
      </c>
      <c r="N3190" s="28" t="s">
        <v>16226</v>
      </c>
      <c r="O3190" s="28" t="s">
        <v>16227</v>
      </c>
      <c r="P3190" s="28" t="s">
        <v>17439</v>
      </c>
    </row>
    <row r="3191" spans="1:16" x14ac:dyDescent="0.25">
      <c r="A3191" s="28" t="s">
        <v>17440</v>
      </c>
      <c r="B3191" s="28" t="s">
        <v>17441</v>
      </c>
      <c r="C3191" s="28" t="s">
        <v>1684</v>
      </c>
      <c r="D3191" s="28" t="s">
        <v>6454</v>
      </c>
      <c r="E3191" s="28" t="s">
        <v>17442</v>
      </c>
      <c r="F3191" s="28" t="s">
        <v>21</v>
      </c>
      <c r="G3191" s="28" t="s">
        <v>39</v>
      </c>
      <c r="H3191" s="28" t="s">
        <v>16221</v>
      </c>
      <c r="I3191" s="28" t="s">
        <v>17443</v>
      </c>
      <c r="J3191" s="28" t="s">
        <v>39</v>
      </c>
      <c r="K3191" s="28" t="s">
        <v>16223</v>
      </c>
      <c r="L3191" s="28" t="s">
        <v>16224</v>
      </c>
      <c r="M3191" s="28" t="s">
        <v>17444</v>
      </c>
      <c r="N3191" s="28" t="s">
        <v>16226</v>
      </c>
      <c r="O3191" s="28" t="s">
        <v>16227</v>
      </c>
      <c r="P3191" s="28" t="s">
        <v>17445</v>
      </c>
    </row>
    <row r="3192" spans="1:16" x14ac:dyDescent="0.25">
      <c r="A3192" s="28" t="s">
        <v>17446</v>
      </c>
      <c r="B3192" s="28" t="s">
        <v>17447</v>
      </c>
      <c r="C3192" s="28" t="s">
        <v>1684</v>
      </c>
      <c r="D3192" s="28" t="s">
        <v>6454</v>
      </c>
      <c r="E3192" s="28" t="s">
        <v>17448</v>
      </c>
      <c r="F3192" s="28" t="s">
        <v>21</v>
      </c>
      <c r="G3192" s="28" t="s">
        <v>39</v>
      </c>
      <c r="H3192" s="28" t="s">
        <v>16221</v>
      </c>
      <c r="I3192" s="28" t="s">
        <v>17449</v>
      </c>
      <c r="J3192" s="28" t="s">
        <v>39</v>
      </c>
      <c r="K3192" s="28" t="s">
        <v>16223</v>
      </c>
      <c r="L3192" s="28" t="s">
        <v>16224</v>
      </c>
      <c r="M3192" s="28" t="s">
        <v>17450</v>
      </c>
      <c r="N3192" s="28" t="s">
        <v>16226</v>
      </c>
      <c r="O3192" s="28" t="s">
        <v>16227</v>
      </c>
      <c r="P3192" s="28" t="s">
        <v>17451</v>
      </c>
    </row>
    <row r="3193" spans="1:16" x14ac:dyDescent="0.25">
      <c r="A3193" s="28" t="s">
        <v>17452</v>
      </c>
      <c r="B3193" s="28" t="s">
        <v>17453</v>
      </c>
      <c r="C3193" s="28" t="s">
        <v>1684</v>
      </c>
      <c r="D3193" s="28" t="s">
        <v>6454</v>
      </c>
      <c r="E3193" s="28" t="s">
        <v>17454</v>
      </c>
      <c r="F3193" s="28" t="s">
        <v>21</v>
      </c>
      <c r="G3193" s="28" t="s">
        <v>39</v>
      </c>
      <c r="H3193" s="28" t="s">
        <v>16221</v>
      </c>
      <c r="I3193" s="28" t="s">
        <v>17455</v>
      </c>
      <c r="J3193" s="28" t="s">
        <v>39</v>
      </c>
      <c r="K3193" s="28" t="s">
        <v>16223</v>
      </c>
      <c r="L3193" s="28" t="s">
        <v>16224</v>
      </c>
      <c r="M3193" s="28" t="s">
        <v>17456</v>
      </c>
      <c r="N3193" s="28" t="s">
        <v>16226</v>
      </c>
      <c r="O3193" s="28" t="s">
        <v>16227</v>
      </c>
      <c r="P3193" s="28" t="s">
        <v>17457</v>
      </c>
    </row>
    <row r="3194" spans="1:16" x14ac:dyDescent="0.25">
      <c r="A3194" s="28" t="s">
        <v>17458</v>
      </c>
      <c r="B3194" s="28" t="s">
        <v>17459</v>
      </c>
      <c r="C3194" s="28" t="s">
        <v>1684</v>
      </c>
      <c r="D3194" s="28" t="s">
        <v>6454</v>
      </c>
      <c r="E3194" s="28" t="s">
        <v>17460</v>
      </c>
      <c r="F3194" s="28" t="s">
        <v>21</v>
      </c>
      <c r="G3194" s="28" t="s">
        <v>39</v>
      </c>
      <c r="H3194" s="28" t="s">
        <v>16221</v>
      </c>
      <c r="I3194" s="28" t="s">
        <v>17461</v>
      </c>
      <c r="J3194" s="28" t="s">
        <v>39</v>
      </c>
      <c r="K3194" s="28" t="s">
        <v>16223</v>
      </c>
      <c r="L3194" s="28" t="s">
        <v>16224</v>
      </c>
      <c r="M3194" s="28" t="s">
        <v>17462</v>
      </c>
      <c r="N3194" s="28" t="s">
        <v>16226</v>
      </c>
      <c r="O3194" s="28" t="s">
        <v>16227</v>
      </c>
      <c r="P3194" s="28" t="s">
        <v>17463</v>
      </c>
    </row>
    <row r="3195" spans="1:16" x14ac:dyDescent="0.25">
      <c r="A3195" s="28" t="s">
        <v>17464</v>
      </c>
      <c r="B3195" s="28" t="s">
        <v>17465</v>
      </c>
      <c r="C3195" s="28" t="s">
        <v>1684</v>
      </c>
      <c r="D3195" s="28" t="s">
        <v>6454</v>
      </c>
      <c r="E3195" s="28" t="s">
        <v>17466</v>
      </c>
      <c r="F3195" s="28" t="s">
        <v>21</v>
      </c>
      <c r="G3195" s="28" t="s">
        <v>39</v>
      </c>
      <c r="H3195" s="28" t="s">
        <v>16221</v>
      </c>
      <c r="I3195" s="28" t="s">
        <v>17467</v>
      </c>
      <c r="J3195" s="28" t="s">
        <v>39</v>
      </c>
      <c r="K3195" s="28" t="s">
        <v>16223</v>
      </c>
      <c r="L3195" s="28" t="s">
        <v>16224</v>
      </c>
      <c r="M3195" s="28" t="s">
        <v>17468</v>
      </c>
      <c r="N3195" s="28" t="s">
        <v>16226</v>
      </c>
      <c r="O3195" s="28" t="s">
        <v>16227</v>
      </c>
      <c r="P3195" s="28" t="s">
        <v>17469</v>
      </c>
    </row>
    <row r="3196" spans="1:16" x14ac:dyDescent="0.25">
      <c r="A3196" s="28" t="s">
        <v>17470</v>
      </c>
      <c r="B3196" s="28" t="s">
        <v>17471</v>
      </c>
      <c r="C3196" s="28" t="s">
        <v>1684</v>
      </c>
      <c r="D3196" s="28" t="s">
        <v>6454</v>
      </c>
      <c r="E3196" s="28" t="s">
        <v>17472</v>
      </c>
      <c r="F3196" s="28" t="s">
        <v>21</v>
      </c>
      <c r="G3196" s="28" t="s">
        <v>39</v>
      </c>
      <c r="H3196" s="28" t="s">
        <v>16221</v>
      </c>
      <c r="I3196" s="28" t="s">
        <v>17473</v>
      </c>
      <c r="J3196" s="28" t="s">
        <v>39</v>
      </c>
      <c r="K3196" s="28" t="s">
        <v>16223</v>
      </c>
      <c r="L3196" s="28" t="s">
        <v>16224</v>
      </c>
      <c r="M3196" s="28" t="s">
        <v>17474</v>
      </c>
      <c r="N3196" s="28" t="s">
        <v>16226</v>
      </c>
      <c r="O3196" s="28" t="s">
        <v>16227</v>
      </c>
      <c r="P3196" s="28" t="s">
        <v>17475</v>
      </c>
    </row>
    <row r="3197" spans="1:16" x14ac:dyDescent="0.25">
      <c r="A3197" s="28" t="s">
        <v>17476</v>
      </c>
      <c r="B3197" s="28" t="s">
        <v>17477</v>
      </c>
      <c r="C3197" s="28" t="s">
        <v>1684</v>
      </c>
      <c r="D3197" s="28" t="s">
        <v>6454</v>
      </c>
      <c r="E3197" s="28" t="s">
        <v>17478</v>
      </c>
      <c r="F3197" s="28" t="s">
        <v>21</v>
      </c>
      <c r="G3197" s="28" t="s">
        <v>39</v>
      </c>
      <c r="H3197" s="28" t="s">
        <v>16221</v>
      </c>
      <c r="I3197" s="28" t="s">
        <v>17479</v>
      </c>
      <c r="J3197" s="28" t="s">
        <v>39</v>
      </c>
      <c r="K3197" s="28" t="s">
        <v>16223</v>
      </c>
      <c r="L3197" s="28" t="s">
        <v>16224</v>
      </c>
      <c r="M3197" s="28" t="s">
        <v>17480</v>
      </c>
      <c r="N3197" s="28" t="s">
        <v>16226</v>
      </c>
      <c r="O3197" s="28" t="s">
        <v>16227</v>
      </c>
      <c r="P3197" s="28" t="s">
        <v>17481</v>
      </c>
    </row>
    <row r="3198" spans="1:16" x14ac:dyDescent="0.25">
      <c r="A3198" s="28" t="s">
        <v>17482</v>
      </c>
      <c r="B3198" s="28" t="s">
        <v>17483</v>
      </c>
      <c r="C3198" s="28" t="s">
        <v>1684</v>
      </c>
      <c r="D3198" s="28" t="s">
        <v>6454</v>
      </c>
      <c r="E3198" s="28" t="s">
        <v>17484</v>
      </c>
      <c r="F3198" s="28" t="s">
        <v>21</v>
      </c>
      <c r="G3198" s="28" t="s">
        <v>39</v>
      </c>
      <c r="H3198" s="28" t="s">
        <v>16221</v>
      </c>
      <c r="I3198" s="28" t="s">
        <v>17485</v>
      </c>
      <c r="J3198" s="28" t="s">
        <v>39</v>
      </c>
      <c r="K3198" s="28" t="s">
        <v>16223</v>
      </c>
      <c r="L3198" s="28" t="s">
        <v>16224</v>
      </c>
      <c r="M3198" s="28" t="s">
        <v>17486</v>
      </c>
      <c r="N3198" s="28" t="s">
        <v>16226</v>
      </c>
      <c r="O3198" s="28" t="s">
        <v>16227</v>
      </c>
      <c r="P3198" s="28" t="s">
        <v>17487</v>
      </c>
    </row>
    <row r="3199" spans="1:16" x14ac:dyDescent="0.25">
      <c r="A3199" s="28" t="s">
        <v>17488</v>
      </c>
      <c r="B3199" s="28" t="s">
        <v>17489</v>
      </c>
      <c r="C3199" s="28" t="s">
        <v>1684</v>
      </c>
      <c r="D3199" s="28" t="s">
        <v>6454</v>
      </c>
      <c r="E3199" s="28" t="s">
        <v>17490</v>
      </c>
      <c r="F3199" s="28" t="s">
        <v>21</v>
      </c>
      <c r="G3199" s="28" t="s">
        <v>39</v>
      </c>
      <c r="H3199" s="28" t="s">
        <v>16221</v>
      </c>
      <c r="I3199" s="28" t="s">
        <v>17491</v>
      </c>
      <c r="J3199" s="28" t="s">
        <v>39</v>
      </c>
      <c r="K3199" s="28" t="s">
        <v>16223</v>
      </c>
      <c r="L3199" s="28" t="s">
        <v>16224</v>
      </c>
      <c r="M3199" s="28" t="s">
        <v>17492</v>
      </c>
      <c r="N3199" s="28" t="s">
        <v>16226</v>
      </c>
      <c r="O3199" s="28" t="s">
        <v>16227</v>
      </c>
      <c r="P3199" s="28" t="s">
        <v>17493</v>
      </c>
    </row>
    <row r="3200" spans="1:16" x14ac:dyDescent="0.25">
      <c r="A3200" s="28" t="s">
        <v>17494</v>
      </c>
      <c r="B3200" s="28" t="s">
        <v>17495</v>
      </c>
      <c r="C3200" s="28" t="s">
        <v>1684</v>
      </c>
      <c r="D3200" s="28" t="s">
        <v>7132</v>
      </c>
      <c r="E3200" s="28" t="s">
        <v>17496</v>
      </c>
      <c r="F3200" s="28" t="s">
        <v>21</v>
      </c>
      <c r="G3200" s="28" t="s">
        <v>39</v>
      </c>
      <c r="H3200" s="28" t="s">
        <v>16221</v>
      </c>
      <c r="I3200" s="28" t="s">
        <v>17497</v>
      </c>
      <c r="J3200" s="28" t="s">
        <v>39</v>
      </c>
      <c r="K3200" s="28" t="s">
        <v>16223</v>
      </c>
      <c r="L3200" s="28" t="s">
        <v>16224</v>
      </c>
      <c r="M3200" s="28" t="s">
        <v>17498</v>
      </c>
      <c r="N3200" s="28" t="s">
        <v>16226</v>
      </c>
      <c r="O3200" s="28" t="s">
        <v>16227</v>
      </c>
      <c r="P3200" s="28" t="s">
        <v>17499</v>
      </c>
    </row>
    <row r="3201" spans="1:16" x14ac:dyDescent="0.25">
      <c r="A3201" s="28" t="s">
        <v>17500</v>
      </c>
      <c r="B3201" s="28" t="s">
        <v>17501</v>
      </c>
      <c r="C3201" s="28" t="s">
        <v>1684</v>
      </c>
      <c r="D3201" s="28" t="s">
        <v>6454</v>
      </c>
      <c r="E3201" s="28" t="s">
        <v>17502</v>
      </c>
      <c r="F3201" s="28" t="s">
        <v>21</v>
      </c>
      <c r="G3201" s="28" t="s">
        <v>39</v>
      </c>
      <c r="H3201" s="28" t="s">
        <v>16221</v>
      </c>
      <c r="I3201" s="28" t="s">
        <v>17503</v>
      </c>
      <c r="J3201" s="28" t="s">
        <v>39</v>
      </c>
      <c r="K3201" s="28" t="s">
        <v>16223</v>
      </c>
      <c r="L3201" s="28" t="s">
        <v>16224</v>
      </c>
      <c r="M3201" s="28" t="s">
        <v>17504</v>
      </c>
      <c r="N3201" s="28" t="s">
        <v>16226</v>
      </c>
      <c r="O3201" s="28" t="s">
        <v>16227</v>
      </c>
      <c r="P3201" s="28" t="s">
        <v>17505</v>
      </c>
    </row>
    <row r="3202" spans="1:16" x14ac:dyDescent="0.25">
      <c r="A3202" s="28" t="s">
        <v>17506</v>
      </c>
      <c r="B3202" s="28" t="s">
        <v>17507</v>
      </c>
      <c r="C3202" s="28" t="s">
        <v>1684</v>
      </c>
      <c r="D3202" s="28" t="s">
        <v>6454</v>
      </c>
      <c r="E3202" s="28" t="s">
        <v>17508</v>
      </c>
      <c r="F3202" s="28" t="s">
        <v>21</v>
      </c>
      <c r="G3202" s="28" t="s">
        <v>39</v>
      </c>
      <c r="H3202" s="28" t="s">
        <v>16221</v>
      </c>
      <c r="I3202" s="28" t="s">
        <v>17509</v>
      </c>
      <c r="J3202" s="28" t="s">
        <v>39</v>
      </c>
      <c r="K3202" s="28" t="s">
        <v>16223</v>
      </c>
      <c r="L3202" s="28" t="s">
        <v>16224</v>
      </c>
      <c r="M3202" s="28" t="s">
        <v>17510</v>
      </c>
      <c r="N3202" s="28" t="s">
        <v>16226</v>
      </c>
      <c r="O3202" s="28" t="s">
        <v>16227</v>
      </c>
      <c r="P3202" s="28" t="s">
        <v>17511</v>
      </c>
    </row>
    <row r="3203" spans="1:16" x14ac:dyDescent="0.25">
      <c r="A3203" s="28" t="s">
        <v>17512</v>
      </c>
      <c r="B3203" s="28" t="s">
        <v>17513</v>
      </c>
      <c r="C3203" s="28" t="s">
        <v>1684</v>
      </c>
      <c r="D3203" s="28" t="s">
        <v>6454</v>
      </c>
      <c r="E3203" s="28" t="s">
        <v>17514</v>
      </c>
      <c r="F3203" s="28" t="s">
        <v>21</v>
      </c>
      <c r="G3203" s="28" t="s">
        <v>39</v>
      </c>
      <c r="H3203" s="28" t="s">
        <v>16221</v>
      </c>
      <c r="I3203" s="28" t="s">
        <v>17515</v>
      </c>
      <c r="J3203" s="28" t="s">
        <v>39</v>
      </c>
      <c r="K3203" s="28" t="s">
        <v>16223</v>
      </c>
      <c r="L3203" s="28" t="s">
        <v>16224</v>
      </c>
      <c r="M3203" s="28" t="s">
        <v>17516</v>
      </c>
      <c r="N3203" s="28" t="s">
        <v>16226</v>
      </c>
      <c r="O3203" s="28" t="s">
        <v>16227</v>
      </c>
      <c r="P3203" s="28" t="s">
        <v>17517</v>
      </c>
    </row>
    <row r="3204" spans="1:16" x14ac:dyDescent="0.25">
      <c r="A3204" s="28" t="s">
        <v>17518</v>
      </c>
      <c r="B3204" s="28" t="s">
        <v>17519</v>
      </c>
      <c r="C3204" s="28" t="s">
        <v>1684</v>
      </c>
      <c r="D3204" s="28" t="s">
        <v>6454</v>
      </c>
      <c r="E3204" s="28" t="s">
        <v>17520</v>
      </c>
      <c r="F3204" s="28" t="s">
        <v>21</v>
      </c>
      <c r="G3204" s="28" t="s">
        <v>39</v>
      </c>
      <c r="H3204" s="28" t="s">
        <v>16221</v>
      </c>
      <c r="I3204" s="28" t="s">
        <v>17521</v>
      </c>
      <c r="J3204" s="28" t="s">
        <v>39</v>
      </c>
      <c r="K3204" s="28" t="s">
        <v>16223</v>
      </c>
      <c r="L3204" s="28" t="s">
        <v>16224</v>
      </c>
      <c r="M3204" s="28" t="s">
        <v>17522</v>
      </c>
      <c r="N3204" s="28" t="s">
        <v>16226</v>
      </c>
      <c r="O3204" s="28" t="s">
        <v>16227</v>
      </c>
      <c r="P3204" s="28" t="s">
        <v>17523</v>
      </c>
    </row>
    <row r="3205" spans="1:16" x14ac:dyDescent="0.25">
      <c r="A3205" s="28" t="s">
        <v>17524</v>
      </c>
      <c r="B3205" s="28" t="s">
        <v>17525</v>
      </c>
      <c r="C3205" s="28" t="s">
        <v>1684</v>
      </c>
      <c r="D3205" s="28" t="s">
        <v>6454</v>
      </c>
      <c r="E3205" s="28" t="s">
        <v>17526</v>
      </c>
      <c r="F3205" s="28" t="s">
        <v>21</v>
      </c>
      <c r="G3205" s="28" t="s">
        <v>39</v>
      </c>
      <c r="H3205" s="28" t="s">
        <v>16221</v>
      </c>
      <c r="I3205" s="28" t="s">
        <v>17527</v>
      </c>
      <c r="J3205" s="28" t="s">
        <v>39</v>
      </c>
      <c r="K3205" s="28" t="s">
        <v>16223</v>
      </c>
      <c r="L3205" s="28" t="s">
        <v>16224</v>
      </c>
      <c r="M3205" s="28" t="s">
        <v>17528</v>
      </c>
      <c r="N3205" s="28" t="s">
        <v>16226</v>
      </c>
      <c r="O3205" s="28" t="s">
        <v>16227</v>
      </c>
      <c r="P3205" s="28" t="s">
        <v>17529</v>
      </c>
    </row>
    <row r="3206" spans="1:16" x14ac:dyDescent="0.25">
      <c r="A3206" s="28" t="s">
        <v>17530</v>
      </c>
      <c r="B3206" s="28" t="s">
        <v>17531</v>
      </c>
      <c r="C3206" s="28" t="s">
        <v>1684</v>
      </c>
      <c r="D3206" s="28" t="s">
        <v>6454</v>
      </c>
      <c r="E3206" s="28" t="s">
        <v>17532</v>
      </c>
      <c r="F3206" s="28" t="s">
        <v>21</v>
      </c>
      <c r="G3206" s="28" t="s">
        <v>39</v>
      </c>
      <c r="H3206" s="28" t="s">
        <v>16221</v>
      </c>
      <c r="I3206" s="28" t="s">
        <v>17533</v>
      </c>
      <c r="J3206" s="28" t="s">
        <v>39</v>
      </c>
      <c r="K3206" s="28" t="s">
        <v>16223</v>
      </c>
      <c r="L3206" s="28" t="s">
        <v>16224</v>
      </c>
      <c r="M3206" s="28" t="s">
        <v>17534</v>
      </c>
      <c r="N3206" s="28" t="s">
        <v>16226</v>
      </c>
      <c r="O3206" s="28" t="s">
        <v>16227</v>
      </c>
      <c r="P3206" s="28" t="s">
        <v>17535</v>
      </c>
    </row>
    <row r="3207" spans="1:16" x14ac:dyDescent="0.25">
      <c r="A3207" s="28" t="s">
        <v>17536</v>
      </c>
      <c r="B3207" s="28" t="s">
        <v>17537</v>
      </c>
      <c r="C3207" s="28" t="s">
        <v>1684</v>
      </c>
      <c r="D3207" s="28" t="s">
        <v>6454</v>
      </c>
      <c r="E3207" s="28" t="s">
        <v>17538</v>
      </c>
      <c r="F3207" s="28" t="s">
        <v>21</v>
      </c>
      <c r="G3207" s="28" t="s">
        <v>39</v>
      </c>
      <c r="H3207" s="28" t="s">
        <v>16221</v>
      </c>
      <c r="I3207" s="28" t="s">
        <v>17539</v>
      </c>
      <c r="J3207" s="28" t="s">
        <v>39</v>
      </c>
      <c r="K3207" s="28" t="s">
        <v>16223</v>
      </c>
      <c r="L3207" s="28" t="s">
        <v>16224</v>
      </c>
      <c r="M3207" s="28" t="s">
        <v>17540</v>
      </c>
      <c r="N3207" s="28" t="s">
        <v>16226</v>
      </c>
      <c r="O3207" s="28" t="s">
        <v>16227</v>
      </c>
      <c r="P3207" s="28" t="s">
        <v>17541</v>
      </c>
    </row>
    <row r="3208" spans="1:16" x14ac:dyDescent="0.25">
      <c r="A3208" s="28" t="s">
        <v>17542</v>
      </c>
      <c r="B3208" s="28" t="s">
        <v>17543</v>
      </c>
      <c r="C3208" s="28" t="s">
        <v>1684</v>
      </c>
      <c r="D3208" s="28" t="s">
        <v>6467</v>
      </c>
      <c r="E3208" s="28" t="s">
        <v>17544</v>
      </c>
      <c r="F3208" s="28" t="s">
        <v>21</v>
      </c>
      <c r="G3208" s="28" t="s">
        <v>39</v>
      </c>
      <c r="H3208" s="28" t="s">
        <v>16221</v>
      </c>
      <c r="I3208" s="28" t="s">
        <v>17545</v>
      </c>
      <c r="J3208" s="28" t="s">
        <v>39</v>
      </c>
      <c r="K3208" s="28" t="s">
        <v>16223</v>
      </c>
      <c r="L3208" s="28" t="s">
        <v>16224</v>
      </c>
      <c r="M3208" s="28" t="s">
        <v>17546</v>
      </c>
      <c r="N3208" s="28" t="s">
        <v>16226</v>
      </c>
      <c r="O3208" s="28" t="s">
        <v>16227</v>
      </c>
      <c r="P3208" s="28" t="s">
        <v>17547</v>
      </c>
    </row>
    <row r="3209" spans="1:16" x14ac:dyDescent="0.25">
      <c r="A3209" s="28" t="s">
        <v>17548</v>
      </c>
      <c r="B3209" s="28" t="s">
        <v>17549</v>
      </c>
      <c r="C3209" s="28" t="s">
        <v>1684</v>
      </c>
      <c r="D3209" s="28" t="s">
        <v>6467</v>
      </c>
      <c r="E3209" s="28" t="s">
        <v>17544</v>
      </c>
      <c r="F3209" s="28" t="s">
        <v>21</v>
      </c>
      <c r="G3209" s="28" t="s">
        <v>39</v>
      </c>
      <c r="H3209" s="28" t="s">
        <v>16221</v>
      </c>
      <c r="I3209" s="28" t="s">
        <v>17550</v>
      </c>
      <c r="J3209" s="28" t="s">
        <v>39</v>
      </c>
      <c r="K3209" s="28" t="s">
        <v>16223</v>
      </c>
      <c r="L3209" s="28" t="s">
        <v>16224</v>
      </c>
      <c r="M3209" s="28" t="s">
        <v>17551</v>
      </c>
      <c r="N3209" s="28" t="s">
        <v>16226</v>
      </c>
      <c r="O3209" s="28" t="s">
        <v>16227</v>
      </c>
      <c r="P3209" s="28" t="s">
        <v>17547</v>
      </c>
    </row>
    <row r="3210" spans="1:16" x14ac:dyDescent="0.25">
      <c r="A3210" s="28" t="s">
        <v>17552</v>
      </c>
      <c r="B3210" s="28" t="s">
        <v>17553</v>
      </c>
      <c r="C3210" s="28" t="s">
        <v>1684</v>
      </c>
      <c r="D3210" s="28" t="s">
        <v>6467</v>
      </c>
      <c r="E3210" s="28" t="s">
        <v>17554</v>
      </c>
      <c r="F3210" s="28" t="s">
        <v>21</v>
      </c>
      <c r="G3210" s="28" t="s">
        <v>39</v>
      </c>
      <c r="H3210" s="28" t="s">
        <v>16221</v>
      </c>
      <c r="I3210" s="28" t="s">
        <v>17555</v>
      </c>
      <c r="J3210" s="28" t="s">
        <v>39</v>
      </c>
      <c r="K3210" s="28" t="s">
        <v>16223</v>
      </c>
      <c r="L3210" s="28" t="s">
        <v>16224</v>
      </c>
      <c r="M3210" s="28" t="s">
        <v>17556</v>
      </c>
      <c r="N3210" s="28" t="s">
        <v>16226</v>
      </c>
      <c r="O3210" s="28" t="s">
        <v>16227</v>
      </c>
      <c r="P3210" s="28" t="s">
        <v>17557</v>
      </c>
    </row>
    <row r="3211" spans="1:16" x14ac:dyDescent="0.25">
      <c r="A3211" s="28" t="s">
        <v>17558</v>
      </c>
      <c r="B3211" s="28" t="s">
        <v>17559</v>
      </c>
      <c r="C3211" s="28" t="s">
        <v>1684</v>
      </c>
      <c r="D3211" s="28" t="s">
        <v>6467</v>
      </c>
      <c r="E3211" s="28" t="s">
        <v>17560</v>
      </c>
      <c r="F3211" s="28" t="s">
        <v>21</v>
      </c>
      <c r="G3211" s="28" t="s">
        <v>39</v>
      </c>
      <c r="H3211" s="28" t="s">
        <v>16221</v>
      </c>
      <c r="I3211" s="28" t="s">
        <v>17561</v>
      </c>
      <c r="J3211" s="28" t="s">
        <v>39</v>
      </c>
      <c r="K3211" s="28" t="s">
        <v>16223</v>
      </c>
      <c r="L3211" s="28" t="s">
        <v>16224</v>
      </c>
      <c r="M3211" s="28" t="s">
        <v>17562</v>
      </c>
      <c r="N3211" s="28" t="s">
        <v>16226</v>
      </c>
      <c r="O3211" s="28" t="s">
        <v>16227</v>
      </c>
      <c r="P3211" s="28" t="s">
        <v>17563</v>
      </c>
    </row>
    <row r="3212" spans="1:16" x14ac:dyDescent="0.25">
      <c r="A3212" s="28" t="s">
        <v>17564</v>
      </c>
      <c r="B3212" s="28" t="s">
        <v>17565</v>
      </c>
      <c r="C3212" s="28" t="s">
        <v>1684</v>
      </c>
      <c r="D3212" s="28" t="s">
        <v>5990</v>
      </c>
      <c r="E3212" s="28" t="s">
        <v>17566</v>
      </c>
      <c r="F3212" s="28" t="s">
        <v>21</v>
      </c>
      <c r="G3212" s="28" t="s">
        <v>39</v>
      </c>
      <c r="H3212" s="28" t="s">
        <v>16221</v>
      </c>
      <c r="I3212" s="28" t="s">
        <v>17567</v>
      </c>
      <c r="J3212" s="28" t="s">
        <v>39</v>
      </c>
      <c r="K3212" s="28" t="s">
        <v>16223</v>
      </c>
      <c r="L3212" s="28" t="s">
        <v>16224</v>
      </c>
      <c r="M3212" s="28" t="s">
        <v>17568</v>
      </c>
      <c r="N3212" s="28" t="s">
        <v>16226</v>
      </c>
      <c r="O3212" s="28" t="s">
        <v>16227</v>
      </c>
      <c r="P3212" s="28" t="s">
        <v>17569</v>
      </c>
    </row>
    <row r="3213" spans="1:16" x14ac:dyDescent="0.25">
      <c r="A3213" s="28" t="s">
        <v>17570</v>
      </c>
      <c r="B3213" s="28" t="s">
        <v>17571</v>
      </c>
      <c r="C3213" s="28" t="s">
        <v>1684</v>
      </c>
      <c r="D3213" s="28" t="s">
        <v>6467</v>
      </c>
      <c r="E3213" s="28" t="s">
        <v>17572</v>
      </c>
      <c r="F3213" s="28" t="s">
        <v>21</v>
      </c>
      <c r="G3213" s="28" t="s">
        <v>39</v>
      </c>
      <c r="H3213" s="28" t="s">
        <v>16221</v>
      </c>
      <c r="I3213" s="28" t="s">
        <v>17573</v>
      </c>
      <c r="J3213" s="28" t="s">
        <v>39</v>
      </c>
      <c r="K3213" s="28" t="s">
        <v>16223</v>
      </c>
      <c r="L3213" s="28" t="s">
        <v>16224</v>
      </c>
      <c r="M3213" s="28" t="s">
        <v>17574</v>
      </c>
      <c r="N3213" s="28" t="s">
        <v>16226</v>
      </c>
      <c r="O3213" s="28" t="s">
        <v>16227</v>
      </c>
      <c r="P3213" s="28" t="s">
        <v>17575</v>
      </c>
    </row>
    <row r="3214" spans="1:16" x14ac:dyDescent="0.25">
      <c r="A3214" s="28" t="s">
        <v>17576</v>
      </c>
      <c r="B3214" s="28" t="s">
        <v>17577</v>
      </c>
      <c r="C3214" s="28" t="s">
        <v>1684</v>
      </c>
      <c r="D3214" s="28" t="s">
        <v>6467</v>
      </c>
      <c r="E3214" s="28" t="s">
        <v>17578</v>
      </c>
      <c r="F3214" s="28" t="s">
        <v>21</v>
      </c>
      <c r="G3214" s="28" t="s">
        <v>39</v>
      </c>
      <c r="H3214" s="28" t="s">
        <v>16221</v>
      </c>
      <c r="I3214" s="28" t="s">
        <v>17579</v>
      </c>
      <c r="J3214" s="28" t="s">
        <v>39</v>
      </c>
      <c r="K3214" s="28" t="s">
        <v>16223</v>
      </c>
      <c r="L3214" s="28" t="s">
        <v>16224</v>
      </c>
      <c r="M3214" s="28" t="s">
        <v>17580</v>
      </c>
      <c r="N3214" s="28" t="s">
        <v>16226</v>
      </c>
      <c r="O3214" s="28" t="s">
        <v>16227</v>
      </c>
      <c r="P3214" s="28" t="s">
        <v>17581</v>
      </c>
    </row>
    <row r="3215" spans="1:16" x14ac:dyDescent="0.25">
      <c r="A3215" s="28" t="s">
        <v>17582</v>
      </c>
      <c r="B3215" s="28" t="s">
        <v>17583</v>
      </c>
      <c r="C3215" s="28" t="s">
        <v>1684</v>
      </c>
      <c r="D3215" s="28" t="s">
        <v>6467</v>
      </c>
      <c r="E3215" s="28" t="s">
        <v>17584</v>
      </c>
      <c r="F3215" s="28" t="s">
        <v>21</v>
      </c>
      <c r="G3215" s="28" t="s">
        <v>39</v>
      </c>
      <c r="H3215" s="28" t="s">
        <v>16221</v>
      </c>
      <c r="I3215" s="28" t="s">
        <v>17585</v>
      </c>
      <c r="J3215" s="28" t="s">
        <v>39</v>
      </c>
      <c r="K3215" s="28" t="s">
        <v>16223</v>
      </c>
      <c r="L3215" s="28" t="s">
        <v>16224</v>
      </c>
      <c r="M3215" s="28" t="s">
        <v>17586</v>
      </c>
      <c r="N3215" s="28" t="s">
        <v>16226</v>
      </c>
      <c r="O3215" s="28" t="s">
        <v>16227</v>
      </c>
      <c r="P3215" s="28" t="s">
        <v>17587</v>
      </c>
    </row>
    <row r="3216" spans="1:16" x14ac:dyDescent="0.25">
      <c r="A3216" s="28" t="s">
        <v>17588</v>
      </c>
      <c r="B3216" s="28" t="s">
        <v>17589</v>
      </c>
      <c r="C3216" s="28" t="s">
        <v>1684</v>
      </c>
      <c r="D3216" s="28" t="s">
        <v>6467</v>
      </c>
      <c r="E3216" s="28" t="s">
        <v>17590</v>
      </c>
      <c r="F3216" s="28" t="s">
        <v>21</v>
      </c>
      <c r="G3216" s="28" t="s">
        <v>39</v>
      </c>
      <c r="H3216" s="28" t="s">
        <v>16221</v>
      </c>
      <c r="I3216" s="28" t="s">
        <v>17591</v>
      </c>
      <c r="J3216" s="28" t="s">
        <v>39</v>
      </c>
      <c r="K3216" s="28" t="s">
        <v>16223</v>
      </c>
      <c r="L3216" s="28" t="s">
        <v>16224</v>
      </c>
      <c r="M3216" s="28" t="s">
        <v>17592</v>
      </c>
      <c r="N3216" s="28" t="s">
        <v>16226</v>
      </c>
      <c r="O3216" s="28" t="s">
        <v>16227</v>
      </c>
      <c r="P3216" s="28" t="s">
        <v>17593</v>
      </c>
    </row>
    <row r="3217" spans="1:16" x14ac:dyDescent="0.25">
      <c r="A3217" s="28" t="s">
        <v>17594</v>
      </c>
      <c r="B3217" s="28" t="s">
        <v>17595</v>
      </c>
      <c r="C3217" s="28" t="s">
        <v>1684</v>
      </c>
      <c r="D3217" s="28" t="s">
        <v>6467</v>
      </c>
      <c r="E3217" s="28" t="s">
        <v>17596</v>
      </c>
      <c r="F3217" s="28" t="s">
        <v>21</v>
      </c>
      <c r="G3217" s="28" t="s">
        <v>39</v>
      </c>
      <c r="H3217" s="28" t="s">
        <v>16221</v>
      </c>
      <c r="I3217" s="28" t="s">
        <v>17597</v>
      </c>
      <c r="J3217" s="28" t="s">
        <v>39</v>
      </c>
      <c r="K3217" s="28" t="s">
        <v>16223</v>
      </c>
      <c r="L3217" s="28" t="s">
        <v>16224</v>
      </c>
      <c r="M3217" s="28" t="s">
        <v>17598</v>
      </c>
      <c r="N3217" s="28" t="s">
        <v>16226</v>
      </c>
      <c r="O3217" s="28" t="s">
        <v>16227</v>
      </c>
      <c r="P3217" s="28" t="s">
        <v>17599</v>
      </c>
    </row>
    <row r="3218" spans="1:16" x14ac:dyDescent="0.25">
      <c r="A3218" s="28" t="s">
        <v>17600</v>
      </c>
      <c r="B3218" s="28" t="s">
        <v>17601</v>
      </c>
      <c r="C3218" s="28" t="s">
        <v>1684</v>
      </c>
      <c r="D3218" s="28" t="s">
        <v>6467</v>
      </c>
      <c r="E3218" s="28" t="s">
        <v>17602</v>
      </c>
      <c r="F3218" s="28" t="s">
        <v>21</v>
      </c>
      <c r="G3218" s="28" t="s">
        <v>39</v>
      </c>
      <c r="H3218" s="28" t="s">
        <v>16221</v>
      </c>
      <c r="I3218" s="28" t="s">
        <v>17603</v>
      </c>
      <c r="J3218" s="28" t="s">
        <v>39</v>
      </c>
      <c r="K3218" s="28" t="s">
        <v>16223</v>
      </c>
      <c r="L3218" s="28" t="s">
        <v>16224</v>
      </c>
      <c r="M3218" s="28" t="s">
        <v>17604</v>
      </c>
      <c r="N3218" s="28" t="s">
        <v>16226</v>
      </c>
      <c r="O3218" s="28" t="s">
        <v>16227</v>
      </c>
      <c r="P3218" s="28" t="s">
        <v>17605</v>
      </c>
    </row>
    <row r="3219" spans="1:16" x14ac:dyDescent="0.25">
      <c r="A3219" s="28" t="s">
        <v>17606</v>
      </c>
      <c r="B3219" s="28" t="s">
        <v>17607</v>
      </c>
      <c r="C3219" s="28" t="s">
        <v>1684</v>
      </c>
      <c r="D3219" s="28" t="s">
        <v>6467</v>
      </c>
      <c r="E3219" s="28" t="s">
        <v>17608</v>
      </c>
      <c r="F3219" s="28" t="s">
        <v>21</v>
      </c>
      <c r="G3219" s="28" t="s">
        <v>39</v>
      </c>
      <c r="H3219" s="28" t="s">
        <v>16221</v>
      </c>
      <c r="I3219" s="28" t="s">
        <v>17609</v>
      </c>
      <c r="J3219" s="28" t="s">
        <v>39</v>
      </c>
      <c r="K3219" s="28" t="s">
        <v>16223</v>
      </c>
      <c r="L3219" s="28" t="s">
        <v>16224</v>
      </c>
      <c r="M3219" s="28" t="s">
        <v>17610</v>
      </c>
      <c r="N3219" s="28" t="s">
        <v>16226</v>
      </c>
      <c r="O3219" s="28" t="s">
        <v>16227</v>
      </c>
      <c r="P3219" s="28" t="s">
        <v>17611</v>
      </c>
    </row>
    <row r="3220" spans="1:16" x14ac:dyDescent="0.25">
      <c r="A3220" s="28" t="s">
        <v>17612</v>
      </c>
      <c r="B3220" s="28" t="s">
        <v>17613</v>
      </c>
      <c r="C3220" s="28" t="s">
        <v>1684</v>
      </c>
      <c r="D3220" s="28" t="s">
        <v>6467</v>
      </c>
      <c r="E3220" s="28" t="s">
        <v>17614</v>
      </c>
      <c r="F3220" s="28" t="s">
        <v>21</v>
      </c>
      <c r="G3220" s="28" t="s">
        <v>39</v>
      </c>
      <c r="H3220" s="28" t="s">
        <v>16221</v>
      </c>
      <c r="I3220" s="28" t="s">
        <v>17615</v>
      </c>
      <c r="J3220" s="28" t="s">
        <v>39</v>
      </c>
      <c r="K3220" s="28" t="s">
        <v>16223</v>
      </c>
      <c r="L3220" s="28" t="s">
        <v>16224</v>
      </c>
      <c r="M3220" s="28" t="s">
        <v>17616</v>
      </c>
      <c r="N3220" s="28" t="s">
        <v>16226</v>
      </c>
      <c r="O3220" s="28" t="s">
        <v>16227</v>
      </c>
      <c r="P3220" s="28" t="s">
        <v>17617</v>
      </c>
    </row>
    <row r="3221" spans="1:16" x14ac:dyDescent="0.25">
      <c r="A3221" s="28" t="s">
        <v>17618</v>
      </c>
      <c r="B3221" s="28" t="s">
        <v>17619</v>
      </c>
      <c r="C3221" s="28" t="s">
        <v>1684</v>
      </c>
      <c r="D3221" s="28" t="s">
        <v>6467</v>
      </c>
      <c r="E3221" s="28" t="s">
        <v>17620</v>
      </c>
      <c r="F3221" s="28" t="s">
        <v>21</v>
      </c>
      <c r="G3221" s="28" t="s">
        <v>39</v>
      </c>
      <c r="H3221" s="28" t="s">
        <v>16221</v>
      </c>
      <c r="I3221" s="28" t="s">
        <v>17621</v>
      </c>
      <c r="J3221" s="28" t="s">
        <v>39</v>
      </c>
      <c r="K3221" s="28" t="s">
        <v>16223</v>
      </c>
      <c r="L3221" s="28" t="s">
        <v>16224</v>
      </c>
      <c r="M3221" s="28" t="s">
        <v>17622</v>
      </c>
      <c r="N3221" s="28" t="s">
        <v>16226</v>
      </c>
      <c r="O3221" s="28" t="s">
        <v>16227</v>
      </c>
      <c r="P3221" s="28" t="s">
        <v>17623</v>
      </c>
    </row>
    <row r="3222" spans="1:16" x14ac:dyDescent="0.25">
      <c r="A3222" s="28" t="s">
        <v>17624</v>
      </c>
      <c r="B3222" s="28" t="s">
        <v>17625</v>
      </c>
      <c r="C3222" s="28" t="s">
        <v>1684</v>
      </c>
      <c r="D3222" s="28" t="s">
        <v>6467</v>
      </c>
      <c r="E3222" s="28" t="s">
        <v>17626</v>
      </c>
      <c r="F3222" s="28" t="s">
        <v>21</v>
      </c>
      <c r="G3222" s="28" t="s">
        <v>39</v>
      </c>
      <c r="H3222" s="28" t="s">
        <v>16221</v>
      </c>
      <c r="I3222" s="28" t="s">
        <v>17627</v>
      </c>
      <c r="J3222" s="28" t="s">
        <v>39</v>
      </c>
      <c r="K3222" s="28" t="s">
        <v>16223</v>
      </c>
      <c r="L3222" s="28" t="s">
        <v>16224</v>
      </c>
      <c r="M3222" s="28" t="s">
        <v>17628</v>
      </c>
      <c r="N3222" s="28" t="s">
        <v>16226</v>
      </c>
      <c r="O3222" s="28" t="s">
        <v>16227</v>
      </c>
      <c r="P3222" s="28" t="s">
        <v>17629</v>
      </c>
    </row>
    <row r="3223" spans="1:16" x14ac:dyDescent="0.25">
      <c r="A3223" s="28" t="s">
        <v>17630</v>
      </c>
      <c r="B3223" s="28" t="s">
        <v>17631</v>
      </c>
      <c r="C3223" s="28" t="s">
        <v>1684</v>
      </c>
      <c r="D3223" s="28" t="s">
        <v>6467</v>
      </c>
      <c r="E3223" s="28" t="s">
        <v>17632</v>
      </c>
      <c r="F3223" s="28" t="s">
        <v>21</v>
      </c>
      <c r="G3223" s="28" t="s">
        <v>39</v>
      </c>
      <c r="H3223" s="28" t="s">
        <v>16221</v>
      </c>
      <c r="I3223" s="28" t="s">
        <v>17633</v>
      </c>
      <c r="J3223" s="28" t="s">
        <v>39</v>
      </c>
      <c r="K3223" s="28" t="s">
        <v>16223</v>
      </c>
      <c r="L3223" s="28" t="s">
        <v>16224</v>
      </c>
      <c r="M3223" s="28" t="s">
        <v>17634</v>
      </c>
      <c r="N3223" s="28" t="s">
        <v>16226</v>
      </c>
      <c r="O3223" s="28" t="s">
        <v>16227</v>
      </c>
      <c r="P3223" s="28" t="s">
        <v>17635</v>
      </c>
    </row>
    <row r="3224" spans="1:16" x14ac:dyDescent="0.25">
      <c r="A3224" s="28" t="s">
        <v>17636</v>
      </c>
      <c r="B3224" s="28" t="s">
        <v>17637</v>
      </c>
      <c r="C3224" s="28" t="s">
        <v>1684</v>
      </c>
      <c r="D3224" s="28" t="s">
        <v>6467</v>
      </c>
      <c r="E3224" s="28" t="s">
        <v>17638</v>
      </c>
      <c r="F3224" s="28" t="s">
        <v>21</v>
      </c>
      <c r="G3224" s="28" t="s">
        <v>39</v>
      </c>
      <c r="H3224" s="28" t="s">
        <v>16221</v>
      </c>
      <c r="I3224" s="28" t="s">
        <v>17639</v>
      </c>
      <c r="J3224" s="28" t="s">
        <v>39</v>
      </c>
      <c r="K3224" s="28" t="s">
        <v>16223</v>
      </c>
      <c r="L3224" s="28" t="s">
        <v>16224</v>
      </c>
      <c r="M3224" s="28" t="s">
        <v>17640</v>
      </c>
      <c r="N3224" s="28" t="s">
        <v>16226</v>
      </c>
      <c r="O3224" s="28" t="s">
        <v>16227</v>
      </c>
      <c r="P3224" s="28" t="s">
        <v>17641</v>
      </c>
    </row>
    <row r="3225" spans="1:16" x14ac:dyDescent="0.25">
      <c r="A3225" s="28" t="s">
        <v>17642</v>
      </c>
      <c r="B3225" s="28" t="s">
        <v>17643</v>
      </c>
      <c r="C3225" s="28" t="s">
        <v>1684</v>
      </c>
      <c r="D3225" s="28" t="s">
        <v>6467</v>
      </c>
      <c r="E3225" s="28" t="s">
        <v>17644</v>
      </c>
      <c r="F3225" s="28" t="s">
        <v>21</v>
      </c>
      <c r="G3225" s="28" t="s">
        <v>39</v>
      </c>
      <c r="H3225" s="28" t="s">
        <v>16221</v>
      </c>
      <c r="I3225" s="28" t="s">
        <v>17645</v>
      </c>
      <c r="J3225" s="28" t="s">
        <v>39</v>
      </c>
      <c r="K3225" s="28" t="s">
        <v>16223</v>
      </c>
      <c r="L3225" s="28" t="s">
        <v>16224</v>
      </c>
      <c r="M3225" s="28" t="s">
        <v>17646</v>
      </c>
      <c r="N3225" s="28" t="s">
        <v>16226</v>
      </c>
      <c r="O3225" s="28" t="s">
        <v>16227</v>
      </c>
      <c r="P3225" s="28" t="s">
        <v>17647</v>
      </c>
    </row>
    <row r="3226" spans="1:16" x14ac:dyDescent="0.25">
      <c r="A3226" s="28" t="s">
        <v>17648</v>
      </c>
      <c r="B3226" s="28" t="s">
        <v>17649</v>
      </c>
      <c r="C3226" s="28" t="s">
        <v>1684</v>
      </c>
      <c r="D3226" s="28" t="s">
        <v>6467</v>
      </c>
      <c r="E3226" s="28" t="s">
        <v>17650</v>
      </c>
      <c r="F3226" s="28" t="s">
        <v>21</v>
      </c>
      <c r="G3226" s="28" t="s">
        <v>39</v>
      </c>
      <c r="H3226" s="28" t="s">
        <v>16221</v>
      </c>
      <c r="I3226" s="28" t="s">
        <v>17651</v>
      </c>
      <c r="J3226" s="28" t="s">
        <v>39</v>
      </c>
      <c r="K3226" s="28" t="s">
        <v>16223</v>
      </c>
      <c r="L3226" s="28" t="s">
        <v>16224</v>
      </c>
      <c r="M3226" s="28" t="s">
        <v>17652</v>
      </c>
      <c r="N3226" s="28" t="s">
        <v>16226</v>
      </c>
      <c r="O3226" s="28" t="s">
        <v>16227</v>
      </c>
      <c r="P3226" s="28" t="s">
        <v>17653</v>
      </c>
    </row>
    <row r="3227" spans="1:16" x14ac:dyDescent="0.25">
      <c r="A3227" s="28" t="s">
        <v>17654</v>
      </c>
      <c r="B3227" s="28" t="s">
        <v>17655</v>
      </c>
      <c r="C3227" s="28" t="s">
        <v>1684</v>
      </c>
      <c r="D3227" s="28" t="s">
        <v>6467</v>
      </c>
      <c r="E3227" s="28" t="s">
        <v>17656</v>
      </c>
      <c r="F3227" s="28" t="s">
        <v>21</v>
      </c>
      <c r="G3227" s="28" t="s">
        <v>39</v>
      </c>
      <c r="H3227" s="28" t="s">
        <v>16221</v>
      </c>
      <c r="I3227" s="28" t="s">
        <v>17657</v>
      </c>
      <c r="J3227" s="28" t="s">
        <v>39</v>
      </c>
      <c r="K3227" s="28" t="s">
        <v>16223</v>
      </c>
      <c r="L3227" s="28" t="s">
        <v>16224</v>
      </c>
      <c r="M3227" s="28" t="s">
        <v>17658</v>
      </c>
      <c r="N3227" s="28" t="s">
        <v>16226</v>
      </c>
      <c r="O3227" s="28" t="s">
        <v>16227</v>
      </c>
      <c r="P3227" s="28" t="s">
        <v>17659</v>
      </c>
    </row>
    <row r="3228" spans="1:16" x14ac:dyDescent="0.25">
      <c r="A3228" s="28" t="s">
        <v>17660</v>
      </c>
      <c r="B3228" s="28" t="s">
        <v>17661</v>
      </c>
      <c r="C3228" s="28" t="s">
        <v>1684</v>
      </c>
      <c r="D3228" s="28" t="s">
        <v>6467</v>
      </c>
      <c r="E3228" s="28" t="s">
        <v>17662</v>
      </c>
      <c r="F3228" s="28" t="s">
        <v>21</v>
      </c>
      <c r="G3228" s="28" t="s">
        <v>39</v>
      </c>
      <c r="H3228" s="28" t="s">
        <v>16221</v>
      </c>
      <c r="I3228" s="28" t="s">
        <v>17663</v>
      </c>
      <c r="J3228" s="28" t="s">
        <v>39</v>
      </c>
      <c r="K3228" s="28" t="s">
        <v>16223</v>
      </c>
      <c r="L3228" s="28" t="s">
        <v>16224</v>
      </c>
      <c r="M3228" s="28" t="s">
        <v>17664</v>
      </c>
      <c r="N3228" s="28" t="s">
        <v>16226</v>
      </c>
      <c r="O3228" s="28" t="s">
        <v>16227</v>
      </c>
      <c r="P3228" s="28" t="s">
        <v>17665</v>
      </c>
    </row>
    <row r="3229" spans="1:16" x14ac:dyDescent="0.25">
      <c r="A3229" s="28" t="s">
        <v>17666</v>
      </c>
      <c r="B3229" s="28" t="s">
        <v>17667</v>
      </c>
      <c r="C3229" s="28" t="s">
        <v>1684</v>
      </c>
      <c r="D3229" s="28" t="s">
        <v>6467</v>
      </c>
      <c r="E3229" s="28" t="s">
        <v>17668</v>
      </c>
      <c r="F3229" s="28" t="s">
        <v>21</v>
      </c>
      <c r="G3229" s="28" t="s">
        <v>39</v>
      </c>
      <c r="H3229" s="28" t="s">
        <v>16221</v>
      </c>
      <c r="I3229" s="28" t="s">
        <v>17669</v>
      </c>
      <c r="J3229" s="28" t="s">
        <v>39</v>
      </c>
      <c r="K3229" s="28" t="s">
        <v>16223</v>
      </c>
      <c r="L3229" s="28" t="s">
        <v>16224</v>
      </c>
      <c r="M3229" s="28" t="s">
        <v>17670</v>
      </c>
      <c r="N3229" s="28" t="s">
        <v>16226</v>
      </c>
      <c r="O3229" s="28" t="s">
        <v>16227</v>
      </c>
      <c r="P3229" s="28" t="s">
        <v>17671</v>
      </c>
    </row>
    <row r="3230" spans="1:16" x14ac:dyDescent="0.25">
      <c r="A3230" s="28" t="s">
        <v>17672</v>
      </c>
      <c r="B3230" s="28" t="s">
        <v>17673</v>
      </c>
      <c r="C3230" s="28" t="s">
        <v>1684</v>
      </c>
      <c r="D3230" s="28" t="s">
        <v>5990</v>
      </c>
      <c r="E3230" s="28" t="s">
        <v>17674</v>
      </c>
      <c r="F3230" s="28" t="s">
        <v>21</v>
      </c>
      <c r="G3230" s="28" t="s">
        <v>39</v>
      </c>
      <c r="H3230" s="28" t="s">
        <v>16221</v>
      </c>
      <c r="I3230" s="28" t="s">
        <v>17675</v>
      </c>
      <c r="J3230" s="28" t="s">
        <v>39</v>
      </c>
      <c r="K3230" s="28" t="s">
        <v>16223</v>
      </c>
      <c r="L3230" s="28" t="s">
        <v>16224</v>
      </c>
      <c r="M3230" s="28" t="s">
        <v>17676</v>
      </c>
      <c r="N3230" s="28" t="s">
        <v>16226</v>
      </c>
      <c r="O3230" s="28" t="s">
        <v>16227</v>
      </c>
      <c r="P3230" s="28" t="s">
        <v>17677</v>
      </c>
    </row>
    <row r="3231" spans="1:16" x14ac:dyDescent="0.25">
      <c r="A3231" s="28" t="s">
        <v>17678</v>
      </c>
      <c r="B3231" s="28" t="s">
        <v>17679</v>
      </c>
      <c r="C3231" s="28" t="s">
        <v>1684</v>
      </c>
      <c r="D3231" s="28" t="s">
        <v>5990</v>
      </c>
      <c r="E3231" s="28" t="s">
        <v>17674</v>
      </c>
      <c r="F3231" s="28" t="s">
        <v>21</v>
      </c>
      <c r="G3231" s="28" t="s">
        <v>39</v>
      </c>
      <c r="H3231" s="28" t="s">
        <v>16221</v>
      </c>
      <c r="I3231" s="28" t="s">
        <v>17680</v>
      </c>
      <c r="J3231" s="28" t="s">
        <v>39</v>
      </c>
      <c r="K3231" s="28" t="s">
        <v>16223</v>
      </c>
      <c r="L3231" s="28" t="s">
        <v>16224</v>
      </c>
      <c r="M3231" s="28" t="s">
        <v>17681</v>
      </c>
      <c r="N3231" s="28" t="s">
        <v>16226</v>
      </c>
      <c r="O3231" s="28" t="s">
        <v>16227</v>
      </c>
      <c r="P3231" s="28" t="s">
        <v>17677</v>
      </c>
    </row>
    <row r="3232" spans="1:16" x14ac:dyDescent="0.25">
      <c r="A3232" s="28" t="s">
        <v>17682</v>
      </c>
      <c r="B3232" s="28" t="s">
        <v>17683</v>
      </c>
      <c r="C3232" s="28" t="s">
        <v>1684</v>
      </c>
      <c r="D3232" s="28" t="s">
        <v>5990</v>
      </c>
      <c r="E3232" s="28" t="s">
        <v>17684</v>
      </c>
      <c r="F3232" s="28" t="s">
        <v>21</v>
      </c>
      <c r="G3232" s="28" t="s">
        <v>39</v>
      </c>
      <c r="H3232" s="28" t="s">
        <v>16221</v>
      </c>
      <c r="I3232" s="28" t="s">
        <v>17685</v>
      </c>
      <c r="J3232" s="28" t="s">
        <v>39</v>
      </c>
      <c r="K3232" s="28" t="s">
        <v>16223</v>
      </c>
      <c r="L3232" s="28" t="s">
        <v>16224</v>
      </c>
      <c r="M3232" s="28" t="s">
        <v>17686</v>
      </c>
      <c r="N3232" s="28" t="s">
        <v>16226</v>
      </c>
      <c r="O3232" s="28" t="s">
        <v>16227</v>
      </c>
      <c r="P3232" s="28" t="s">
        <v>17687</v>
      </c>
    </row>
    <row r="3233" spans="1:16" x14ac:dyDescent="0.25">
      <c r="A3233" s="28" t="s">
        <v>17688</v>
      </c>
      <c r="B3233" s="28" t="s">
        <v>17689</v>
      </c>
      <c r="C3233" s="28" t="s">
        <v>1684</v>
      </c>
      <c r="D3233" s="28" t="s">
        <v>5990</v>
      </c>
      <c r="E3233" s="28" t="s">
        <v>17684</v>
      </c>
      <c r="F3233" s="28" t="s">
        <v>21</v>
      </c>
      <c r="G3233" s="28" t="s">
        <v>39</v>
      </c>
      <c r="H3233" s="28" t="s">
        <v>16221</v>
      </c>
      <c r="I3233" s="28" t="s">
        <v>17690</v>
      </c>
      <c r="J3233" s="28" t="s">
        <v>39</v>
      </c>
      <c r="K3233" s="28" t="s">
        <v>16223</v>
      </c>
      <c r="L3233" s="28" t="s">
        <v>16224</v>
      </c>
      <c r="M3233" s="28" t="s">
        <v>17691</v>
      </c>
      <c r="N3233" s="28" t="s">
        <v>16226</v>
      </c>
      <c r="O3233" s="28" t="s">
        <v>16227</v>
      </c>
      <c r="P3233" s="28" t="s">
        <v>17687</v>
      </c>
    </row>
    <row r="3234" spans="1:16" x14ac:dyDescent="0.25">
      <c r="A3234" s="28" t="s">
        <v>17692</v>
      </c>
      <c r="B3234" s="28" t="s">
        <v>17693</v>
      </c>
      <c r="C3234" s="28" t="s">
        <v>1684</v>
      </c>
      <c r="D3234" s="28" t="s">
        <v>5990</v>
      </c>
      <c r="E3234" s="28" t="s">
        <v>17694</v>
      </c>
      <c r="F3234" s="28" t="s">
        <v>21</v>
      </c>
      <c r="G3234" s="28" t="s">
        <v>39</v>
      </c>
      <c r="H3234" s="28" t="s">
        <v>16221</v>
      </c>
      <c r="I3234" s="28" t="s">
        <v>17695</v>
      </c>
      <c r="J3234" s="28" t="s">
        <v>39</v>
      </c>
      <c r="K3234" s="28" t="s">
        <v>16223</v>
      </c>
      <c r="L3234" s="28" t="s">
        <v>16224</v>
      </c>
      <c r="M3234" s="28" t="s">
        <v>17696</v>
      </c>
      <c r="N3234" s="28" t="s">
        <v>16226</v>
      </c>
      <c r="O3234" s="28" t="s">
        <v>16227</v>
      </c>
      <c r="P3234" s="28" t="s">
        <v>17697</v>
      </c>
    </row>
    <row r="3235" spans="1:16" x14ac:dyDescent="0.25">
      <c r="A3235" s="28" t="s">
        <v>17698</v>
      </c>
      <c r="B3235" s="28" t="s">
        <v>17699</v>
      </c>
      <c r="C3235" s="28" t="s">
        <v>1684</v>
      </c>
      <c r="D3235" s="28" t="s">
        <v>5990</v>
      </c>
      <c r="E3235" s="28" t="s">
        <v>17700</v>
      </c>
      <c r="F3235" s="28" t="s">
        <v>21</v>
      </c>
      <c r="G3235" s="28" t="s">
        <v>39</v>
      </c>
      <c r="H3235" s="28" t="s">
        <v>16221</v>
      </c>
      <c r="I3235" s="28" t="s">
        <v>17701</v>
      </c>
      <c r="J3235" s="28" t="s">
        <v>39</v>
      </c>
      <c r="K3235" s="28" t="s">
        <v>16223</v>
      </c>
      <c r="L3235" s="28" t="s">
        <v>16224</v>
      </c>
      <c r="M3235" s="28" t="s">
        <v>17702</v>
      </c>
      <c r="N3235" s="28" t="s">
        <v>16226</v>
      </c>
      <c r="O3235" s="28" t="s">
        <v>16227</v>
      </c>
      <c r="P3235" s="28" t="s">
        <v>17703</v>
      </c>
    </row>
    <row r="3236" spans="1:16" x14ac:dyDescent="0.25">
      <c r="A3236" s="28" t="s">
        <v>17704</v>
      </c>
      <c r="B3236" s="28" t="s">
        <v>17705</v>
      </c>
      <c r="C3236" s="28" t="s">
        <v>1684</v>
      </c>
      <c r="D3236" s="28" t="s">
        <v>5990</v>
      </c>
      <c r="E3236" s="28" t="s">
        <v>17706</v>
      </c>
      <c r="F3236" s="28" t="s">
        <v>21</v>
      </c>
      <c r="G3236" s="28" t="s">
        <v>39</v>
      </c>
      <c r="H3236" s="28" t="s">
        <v>16221</v>
      </c>
      <c r="I3236" s="28" t="s">
        <v>17707</v>
      </c>
      <c r="J3236" s="28" t="s">
        <v>39</v>
      </c>
      <c r="K3236" s="28" t="s">
        <v>16223</v>
      </c>
      <c r="L3236" s="28" t="s">
        <v>16224</v>
      </c>
      <c r="M3236" s="28" t="s">
        <v>17708</v>
      </c>
      <c r="N3236" s="28" t="s">
        <v>16226</v>
      </c>
      <c r="O3236" s="28" t="s">
        <v>16227</v>
      </c>
      <c r="P3236" s="28" t="s">
        <v>17709</v>
      </c>
    </row>
    <row r="3237" spans="1:16" x14ac:dyDescent="0.25">
      <c r="A3237" s="28" t="s">
        <v>17710</v>
      </c>
      <c r="B3237" s="28" t="s">
        <v>17711</v>
      </c>
      <c r="C3237" s="28" t="s">
        <v>1684</v>
      </c>
      <c r="D3237" s="28" t="s">
        <v>5990</v>
      </c>
      <c r="E3237" s="28" t="s">
        <v>17706</v>
      </c>
      <c r="F3237" s="28" t="s">
        <v>21</v>
      </c>
      <c r="G3237" s="28" t="s">
        <v>39</v>
      </c>
      <c r="H3237" s="28" t="s">
        <v>16221</v>
      </c>
      <c r="I3237" s="28" t="s">
        <v>17712</v>
      </c>
      <c r="J3237" s="28" t="s">
        <v>39</v>
      </c>
      <c r="K3237" s="28" t="s">
        <v>16223</v>
      </c>
      <c r="L3237" s="28" t="s">
        <v>16224</v>
      </c>
      <c r="M3237" s="28" t="s">
        <v>17713</v>
      </c>
      <c r="N3237" s="28" t="s">
        <v>16226</v>
      </c>
      <c r="O3237" s="28" t="s">
        <v>16227</v>
      </c>
      <c r="P3237" s="28" t="s">
        <v>17709</v>
      </c>
    </row>
    <row r="3238" spans="1:16" x14ac:dyDescent="0.25">
      <c r="A3238" s="28" t="s">
        <v>17714</v>
      </c>
      <c r="B3238" s="28" t="s">
        <v>17715</v>
      </c>
      <c r="C3238" s="28" t="s">
        <v>1684</v>
      </c>
      <c r="D3238" s="28" t="s">
        <v>19</v>
      </c>
      <c r="E3238" s="28" t="s">
        <v>206</v>
      </c>
      <c r="F3238" s="28" t="s">
        <v>21</v>
      </c>
      <c r="G3238" s="28" t="s">
        <v>39</v>
      </c>
      <c r="H3238" s="28" t="s">
        <v>16221</v>
      </c>
      <c r="I3238" s="28" t="s">
        <v>17716</v>
      </c>
      <c r="J3238" s="28" t="s">
        <v>39</v>
      </c>
      <c r="K3238" s="28" t="s">
        <v>16223</v>
      </c>
      <c r="L3238" s="28" t="s">
        <v>16224</v>
      </c>
      <c r="M3238" s="28" t="s">
        <v>17717</v>
      </c>
      <c r="N3238" s="28" t="s">
        <v>16226</v>
      </c>
      <c r="O3238" s="28" t="s">
        <v>16227</v>
      </c>
      <c r="P3238" s="28" t="s">
        <v>17718</v>
      </c>
    </row>
    <row r="3239" spans="1:16" x14ac:dyDescent="0.25">
      <c r="A3239" s="28" t="s">
        <v>17719</v>
      </c>
      <c r="B3239" s="28" t="s">
        <v>17720</v>
      </c>
      <c r="C3239" s="28" t="s">
        <v>1684</v>
      </c>
      <c r="D3239" s="28" t="s">
        <v>45</v>
      </c>
      <c r="E3239" s="28" t="s">
        <v>17721</v>
      </c>
      <c r="F3239" s="28" t="s">
        <v>21</v>
      </c>
      <c r="G3239" s="28" t="s">
        <v>39</v>
      </c>
      <c r="H3239" s="28" t="s">
        <v>16221</v>
      </c>
      <c r="I3239" s="28" t="s">
        <v>17722</v>
      </c>
      <c r="J3239" s="28" t="s">
        <v>39</v>
      </c>
      <c r="K3239" s="28" t="s">
        <v>16223</v>
      </c>
      <c r="L3239" s="28" t="s">
        <v>16224</v>
      </c>
      <c r="M3239" s="28" t="s">
        <v>17723</v>
      </c>
      <c r="N3239" s="28" t="s">
        <v>16226</v>
      </c>
      <c r="O3239" s="28" t="s">
        <v>16227</v>
      </c>
      <c r="P3239" s="28" t="s">
        <v>17724</v>
      </c>
    </row>
    <row r="3240" spans="1:16" x14ac:dyDescent="0.25">
      <c r="A3240" s="28" t="s">
        <v>17725</v>
      </c>
      <c r="B3240" s="28" t="s">
        <v>17726</v>
      </c>
      <c r="C3240" s="28" t="s">
        <v>1684</v>
      </c>
      <c r="D3240" s="28" t="s">
        <v>45</v>
      </c>
      <c r="E3240" s="28" t="s">
        <v>17727</v>
      </c>
      <c r="F3240" s="28" t="s">
        <v>21</v>
      </c>
      <c r="G3240" s="28" t="s">
        <v>39</v>
      </c>
      <c r="H3240" s="28" t="s">
        <v>16221</v>
      </c>
      <c r="I3240" s="28" t="s">
        <v>17728</v>
      </c>
      <c r="J3240" s="28" t="s">
        <v>39</v>
      </c>
      <c r="K3240" s="28" t="s">
        <v>16223</v>
      </c>
      <c r="L3240" s="28" t="s">
        <v>16224</v>
      </c>
      <c r="M3240" s="28" t="s">
        <v>17729</v>
      </c>
      <c r="N3240" s="28" t="s">
        <v>16226</v>
      </c>
      <c r="O3240" s="28" t="s">
        <v>16227</v>
      </c>
      <c r="P3240" s="28" t="s">
        <v>17730</v>
      </c>
    </row>
    <row r="3241" spans="1:16" x14ac:dyDescent="0.25">
      <c r="A3241" s="28" t="s">
        <v>17731</v>
      </c>
      <c r="B3241" s="28" t="s">
        <v>17732</v>
      </c>
      <c r="C3241" s="28" t="s">
        <v>1684</v>
      </c>
      <c r="D3241" s="28" t="s">
        <v>45</v>
      </c>
      <c r="E3241" s="28" t="s">
        <v>17733</v>
      </c>
      <c r="F3241" s="28" t="s">
        <v>21</v>
      </c>
      <c r="G3241" s="28" t="s">
        <v>39</v>
      </c>
      <c r="H3241" s="28" t="s">
        <v>16221</v>
      </c>
      <c r="I3241" s="28" t="s">
        <v>17734</v>
      </c>
      <c r="J3241" s="28" t="s">
        <v>39</v>
      </c>
      <c r="K3241" s="28" t="s">
        <v>16223</v>
      </c>
      <c r="L3241" s="28" t="s">
        <v>16224</v>
      </c>
      <c r="M3241" s="28" t="s">
        <v>17735</v>
      </c>
      <c r="N3241" s="28" t="s">
        <v>16226</v>
      </c>
      <c r="O3241" s="28" t="s">
        <v>16227</v>
      </c>
      <c r="P3241" s="28" t="s">
        <v>17736</v>
      </c>
    </row>
    <row r="3242" spans="1:16" x14ac:dyDescent="0.25">
      <c r="A3242" s="28" t="s">
        <v>17737</v>
      </c>
      <c r="B3242" s="28" t="s">
        <v>17738</v>
      </c>
      <c r="C3242" s="28" t="s">
        <v>1684</v>
      </c>
      <c r="D3242" s="28" t="s">
        <v>45</v>
      </c>
      <c r="E3242" s="28" t="s">
        <v>17739</v>
      </c>
      <c r="F3242" s="28" t="s">
        <v>21</v>
      </c>
      <c r="G3242" s="28" t="s">
        <v>39</v>
      </c>
      <c r="H3242" s="28" t="s">
        <v>16221</v>
      </c>
      <c r="I3242" s="28" t="s">
        <v>17740</v>
      </c>
      <c r="J3242" s="28" t="s">
        <v>39</v>
      </c>
      <c r="K3242" s="28" t="s">
        <v>16223</v>
      </c>
      <c r="L3242" s="28" t="s">
        <v>16224</v>
      </c>
      <c r="M3242" s="28" t="s">
        <v>17741</v>
      </c>
      <c r="N3242" s="28" t="s">
        <v>16226</v>
      </c>
      <c r="O3242" s="28" t="s">
        <v>16227</v>
      </c>
      <c r="P3242" s="28" t="s">
        <v>17742</v>
      </c>
    </row>
    <row r="3243" spans="1:16" x14ac:dyDescent="0.25">
      <c r="A3243" s="28" t="s">
        <v>17743</v>
      </c>
      <c r="B3243" s="28" t="s">
        <v>17744</v>
      </c>
      <c r="C3243" s="28" t="s">
        <v>1684</v>
      </c>
      <c r="D3243" s="28" t="s">
        <v>45</v>
      </c>
      <c r="E3243" s="28" t="s">
        <v>17745</v>
      </c>
      <c r="F3243" s="28" t="s">
        <v>21</v>
      </c>
      <c r="G3243" s="28" t="s">
        <v>39</v>
      </c>
      <c r="H3243" s="28" t="s">
        <v>16221</v>
      </c>
      <c r="I3243" s="28" t="s">
        <v>17746</v>
      </c>
      <c r="J3243" s="28" t="s">
        <v>39</v>
      </c>
      <c r="K3243" s="28" t="s">
        <v>16223</v>
      </c>
      <c r="L3243" s="28" t="s">
        <v>16224</v>
      </c>
      <c r="M3243" s="28" t="s">
        <v>17747</v>
      </c>
      <c r="N3243" s="28" t="s">
        <v>16226</v>
      </c>
      <c r="O3243" s="28" t="s">
        <v>16227</v>
      </c>
      <c r="P3243" s="28" t="s">
        <v>17748</v>
      </c>
    </row>
    <row r="3244" spans="1:16" x14ac:dyDescent="0.25">
      <c r="A3244" s="28" t="s">
        <v>17749</v>
      </c>
      <c r="B3244" s="28" t="s">
        <v>17750</v>
      </c>
      <c r="C3244" s="28" t="s">
        <v>1684</v>
      </c>
      <c r="D3244" s="28" t="s">
        <v>45</v>
      </c>
      <c r="E3244" s="28" t="s">
        <v>17751</v>
      </c>
      <c r="F3244" s="28" t="s">
        <v>21</v>
      </c>
      <c r="G3244" s="28" t="s">
        <v>39</v>
      </c>
      <c r="H3244" s="28" t="s">
        <v>16221</v>
      </c>
      <c r="I3244" s="28" t="s">
        <v>17752</v>
      </c>
      <c r="J3244" s="28" t="s">
        <v>39</v>
      </c>
      <c r="K3244" s="28" t="s">
        <v>16223</v>
      </c>
      <c r="L3244" s="28" t="s">
        <v>16224</v>
      </c>
      <c r="M3244" s="28" t="s">
        <v>17753</v>
      </c>
      <c r="N3244" s="28" t="s">
        <v>16226</v>
      </c>
      <c r="O3244" s="28" t="s">
        <v>16227</v>
      </c>
      <c r="P3244" s="28" t="s">
        <v>17754</v>
      </c>
    </row>
    <row r="3245" spans="1:16" x14ac:dyDescent="0.25">
      <c r="A3245" s="28" t="s">
        <v>17755</v>
      </c>
      <c r="B3245" s="28" t="s">
        <v>17756</v>
      </c>
      <c r="C3245" s="28" t="s">
        <v>1684</v>
      </c>
      <c r="D3245" s="28" t="s">
        <v>45</v>
      </c>
      <c r="E3245" s="28" t="s">
        <v>17757</v>
      </c>
      <c r="F3245" s="28" t="s">
        <v>21</v>
      </c>
      <c r="G3245" s="28" t="s">
        <v>39</v>
      </c>
      <c r="H3245" s="28" t="s">
        <v>16221</v>
      </c>
      <c r="I3245" s="28" t="s">
        <v>17758</v>
      </c>
      <c r="J3245" s="28" t="s">
        <v>39</v>
      </c>
      <c r="K3245" s="28" t="s">
        <v>16223</v>
      </c>
      <c r="L3245" s="28" t="s">
        <v>16224</v>
      </c>
      <c r="M3245" s="28" t="s">
        <v>17759</v>
      </c>
      <c r="N3245" s="28" t="s">
        <v>16226</v>
      </c>
      <c r="O3245" s="28" t="s">
        <v>16227</v>
      </c>
      <c r="P3245" s="28" t="s">
        <v>17760</v>
      </c>
    </row>
    <row r="3246" spans="1:16" x14ac:dyDescent="0.25">
      <c r="A3246" s="28" t="s">
        <v>17761</v>
      </c>
      <c r="B3246" s="28" t="s">
        <v>17762</v>
      </c>
      <c r="C3246" s="28" t="s">
        <v>1684</v>
      </c>
      <c r="D3246" s="28" t="s">
        <v>45</v>
      </c>
      <c r="E3246" s="28" t="s">
        <v>17763</v>
      </c>
      <c r="F3246" s="28" t="s">
        <v>21</v>
      </c>
      <c r="G3246" s="28" t="s">
        <v>39</v>
      </c>
      <c r="H3246" s="28" t="s">
        <v>16221</v>
      </c>
      <c r="I3246" s="28" t="s">
        <v>17764</v>
      </c>
      <c r="J3246" s="28" t="s">
        <v>39</v>
      </c>
      <c r="K3246" s="28" t="s">
        <v>16223</v>
      </c>
      <c r="L3246" s="28" t="s">
        <v>16224</v>
      </c>
      <c r="M3246" s="28" t="s">
        <v>17765</v>
      </c>
      <c r="N3246" s="28" t="s">
        <v>16226</v>
      </c>
      <c r="O3246" s="28" t="s">
        <v>16227</v>
      </c>
      <c r="P3246" s="28" t="s">
        <v>17766</v>
      </c>
    </row>
    <row r="3247" spans="1:16" x14ac:dyDescent="0.25">
      <c r="A3247" s="28" t="s">
        <v>17767</v>
      </c>
      <c r="B3247" s="28" t="s">
        <v>17768</v>
      </c>
      <c r="C3247" s="28" t="s">
        <v>1684</v>
      </c>
      <c r="D3247" s="28" t="s">
        <v>45</v>
      </c>
      <c r="E3247" s="28" t="s">
        <v>17769</v>
      </c>
      <c r="F3247" s="28" t="s">
        <v>21</v>
      </c>
      <c r="G3247" s="28" t="s">
        <v>39</v>
      </c>
      <c r="H3247" s="28" t="s">
        <v>16221</v>
      </c>
      <c r="I3247" s="28" t="s">
        <v>17770</v>
      </c>
      <c r="J3247" s="28" t="s">
        <v>39</v>
      </c>
      <c r="K3247" s="28" t="s">
        <v>16223</v>
      </c>
      <c r="L3247" s="28" t="s">
        <v>16224</v>
      </c>
      <c r="M3247" s="28" t="s">
        <v>17771</v>
      </c>
      <c r="N3247" s="28" t="s">
        <v>16226</v>
      </c>
      <c r="O3247" s="28" t="s">
        <v>16227</v>
      </c>
      <c r="P3247" s="28" t="s">
        <v>17772</v>
      </c>
    </row>
    <row r="3248" spans="1:16" x14ac:dyDescent="0.25">
      <c r="A3248" s="28" t="s">
        <v>17773</v>
      </c>
      <c r="B3248" s="28" t="s">
        <v>17774</v>
      </c>
      <c r="C3248" s="28" t="s">
        <v>1684</v>
      </c>
      <c r="D3248" s="28" t="s">
        <v>45</v>
      </c>
      <c r="E3248" s="28" t="s">
        <v>17775</v>
      </c>
      <c r="F3248" s="28" t="s">
        <v>21</v>
      </c>
      <c r="G3248" s="28" t="s">
        <v>39</v>
      </c>
      <c r="H3248" s="28" t="s">
        <v>16221</v>
      </c>
      <c r="I3248" s="28" t="s">
        <v>17776</v>
      </c>
      <c r="J3248" s="28" t="s">
        <v>39</v>
      </c>
      <c r="K3248" s="28" t="s">
        <v>16223</v>
      </c>
      <c r="L3248" s="28" t="s">
        <v>16224</v>
      </c>
      <c r="M3248" s="28" t="s">
        <v>17777</v>
      </c>
      <c r="N3248" s="28" t="s">
        <v>16226</v>
      </c>
      <c r="O3248" s="28" t="s">
        <v>16227</v>
      </c>
      <c r="P3248" s="28" t="s">
        <v>17778</v>
      </c>
    </row>
    <row r="3249" spans="1:16" x14ac:dyDescent="0.25">
      <c r="A3249" s="28" t="s">
        <v>17779</v>
      </c>
      <c r="B3249" s="28" t="s">
        <v>17780</v>
      </c>
      <c r="C3249" s="28" t="s">
        <v>1684</v>
      </c>
      <c r="D3249" s="28" t="s">
        <v>45</v>
      </c>
      <c r="E3249" s="28" t="s">
        <v>17781</v>
      </c>
      <c r="F3249" s="28" t="s">
        <v>21</v>
      </c>
      <c r="G3249" s="28" t="s">
        <v>39</v>
      </c>
      <c r="H3249" s="28" t="s">
        <v>16221</v>
      </c>
      <c r="I3249" s="28" t="s">
        <v>17782</v>
      </c>
      <c r="J3249" s="28" t="s">
        <v>39</v>
      </c>
      <c r="K3249" s="28" t="s">
        <v>16223</v>
      </c>
      <c r="L3249" s="28" t="s">
        <v>16224</v>
      </c>
      <c r="M3249" s="28" t="s">
        <v>17783</v>
      </c>
      <c r="N3249" s="28" t="s">
        <v>16226</v>
      </c>
      <c r="O3249" s="28" t="s">
        <v>16227</v>
      </c>
      <c r="P3249" s="28" t="s">
        <v>17784</v>
      </c>
    </row>
    <row r="3250" spans="1:16" x14ac:dyDescent="0.25">
      <c r="A3250" s="28" t="s">
        <v>17785</v>
      </c>
      <c r="B3250" s="28" t="s">
        <v>17786</v>
      </c>
      <c r="C3250" s="28" t="s">
        <v>1684</v>
      </c>
      <c r="D3250" s="28" t="s">
        <v>45</v>
      </c>
      <c r="E3250" s="28" t="s">
        <v>2255</v>
      </c>
      <c r="F3250" s="28" t="s">
        <v>21</v>
      </c>
      <c r="G3250" s="28" t="s">
        <v>39</v>
      </c>
      <c r="H3250" s="28" t="s">
        <v>16221</v>
      </c>
      <c r="I3250" s="28" t="s">
        <v>17787</v>
      </c>
      <c r="J3250" s="28" t="s">
        <v>39</v>
      </c>
      <c r="K3250" s="28" t="s">
        <v>16223</v>
      </c>
      <c r="L3250" s="28" t="s">
        <v>16224</v>
      </c>
      <c r="M3250" s="28" t="s">
        <v>17788</v>
      </c>
      <c r="N3250" s="28" t="s">
        <v>16226</v>
      </c>
      <c r="O3250" s="28" t="s">
        <v>16227</v>
      </c>
      <c r="P3250" s="28" t="s">
        <v>17789</v>
      </c>
    </row>
    <row r="3251" spans="1:16" x14ac:dyDescent="0.25">
      <c r="A3251" s="28" t="s">
        <v>17790</v>
      </c>
      <c r="B3251" s="28" t="s">
        <v>17791</v>
      </c>
      <c r="C3251" s="28" t="s">
        <v>1684</v>
      </c>
      <c r="D3251" s="28" t="s">
        <v>45</v>
      </c>
      <c r="E3251" s="28" t="s">
        <v>10710</v>
      </c>
      <c r="F3251" s="28" t="s">
        <v>21</v>
      </c>
      <c r="G3251" s="28" t="s">
        <v>39</v>
      </c>
      <c r="H3251" s="28" t="s">
        <v>16221</v>
      </c>
      <c r="I3251" s="28" t="s">
        <v>17792</v>
      </c>
      <c r="J3251" s="28" t="s">
        <v>39</v>
      </c>
      <c r="K3251" s="28" t="s">
        <v>16223</v>
      </c>
      <c r="L3251" s="28" t="s">
        <v>16224</v>
      </c>
      <c r="M3251" s="28" t="s">
        <v>17793</v>
      </c>
      <c r="N3251" s="28" t="s">
        <v>16226</v>
      </c>
      <c r="O3251" s="28" t="s">
        <v>16227</v>
      </c>
      <c r="P3251" s="28" t="s">
        <v>17794</v>
      </c>
    </row>
    <row r="3252" spans="1:16" x14ac:dyDescent="0.25">
      <c r="A3252" s="28" t="s">
        <v>17795</v>
      </c>
      <c r="B3252" s="28" t="s">
        <v>17796</v>
      </c>
      <c r="C3252" s="28" t="s">
        <v>1684</v>
      </c>
      <c r="D3252" s="28" t="s">
        <v>45</v>
      </c>
      <c r="E3252" s="28" t="s">
        <v>17797</v>
      </c>
      <c r="F3252" s="28" t="s">
        <v>21</v>
      </c>
      <c r="G3252" s="28" t="s">
        <v>39</v>
      </c>
      <c r="H3252" s="28" t="s">
        <v>16221</v>
      </c>
      <c r="I3252" s="28" t="s">
        <v>17798</v>
      </c>
      <c r="J3252" s="28" t="s">
        <v>39</v>
      </c>
      <c r="K3252" s="28" t="s">
        <v>16223</v>
      </c>
      <c r="L3252" s="28" t="s">
        <v>16224</v>
      </c>
      <c r="M3252" s="28" t="s">
        <v>17799</v>
      </c>
      <c r="N3252" s="28" t="s">
        <v>16226</v>
      </c>
      <c r="O3252" s="28" t="s">
        <v>16227</v>
      </c>
      <c r="P3252" s="28" t="s">
        <v>17800</v>
      </c>
    </row>
    <row r="3253" spans="1:16" x14ac:dyDescent="0.25">
      <c r="A3253" s="28" t="s">
        <v>17801</v>
      </c>
      <c r="B3253" s="28" t="s">
        <v>17802</v>
      </c>
      <c r="C3253" s="28" t="s">
        <v>1684</v>
      </c>
      <c r="D3253" s="28" t="s">
        <v>45</v>
      </c>
      <c r="E3253" s="28" t="s">
        <v>17803</v>
      </c>
      <c r="F3253" s="28" t="s">
        <v>21</v>
      </c>
      <c r="G3253" s="28" t="s">
        <v>39</v>
      </c>
      <c r="H3253" s="28" t="s">
        <v>16221</v>
      </c>
      <c r="I3253" s="28" t="s">
        <v>17804</v>
      </c>
      <c r="J3253" s="28" t="s">
        <v>39</v>
      </c>
      <c r="K3253" s="28" t="s">
        <v>16223</v>
      </c>
      <c r="L3253" s="28" t="s">
        <v>16224</v>
      </c>
      <c r="M3253" s="28" t="s">
        <v>17805</v>
      </c>
      <c r="N3253" s="28" t="s">
        <v>16226</v>
      </c>
      <c r="O3253" s="28" t="s">
        <v>16227</v>
      </c>
      <c r="P3253" s="28" t="s">
        <v>17806</v>
      </c>
    </row>
    <row r="3254" spans="1:16" x14ac:dyDescent="0.25">
      <c r="A3254" s="28" t="s">
        <v>17807</v>
      </c>
      <c r="B3254" s="28" t="s">
        <v>17808</v>
      </c>
      <c r="C3254" s="28" t="s">
        <v>1684</v>
      </c>
      <c r="D3254" s="28" t="s">
        <v>45</v>
      </c>
      <c r="E3254" s="28" t="s">
        <v>17809</v>
      </c>
      <c r="F3254" s="28" t="s">
        <v>21</v>
      </c>
      <c r="G3254" s="28" t="s">
        <v>39</v>
      </c>
      <c r="H3254" s="28" t="s">
        <v>16221</v>
      </c>
      <c r="I3254" s="28" t="s">
        <v>17810</v>
      </c>
      <c r="J3254" s="28" t="s">
        <v>39</v>
      </c>
      <c r="K3254" s="28" t="s">
        <v>16223</v>
      </c>
      <c r="L3254" s="28" t="s">
        <v>16224</v>
      </c>
      <c r="M3254" s="28" t="s">
        <v>17811</v>
      </c>
      <c r="N3254" s="28" t="s">
        <v>16226</v>
      </c>
      <c r="O3254" s="28" t="s">
        <v>16227</v>
      </c>
      <c r="P3254" s="28" t="s">
        <v>17812</v>
      </c>
    </row>
    <row r="3255" spans="1:16" x14ac:dyDescent="0.25">
      <c r="A3255" s="28" t="s">
        <v>17813</v>
      </c>
      <c r="B3255" s="28" t="s">
        <v>17814</v>
      </c>
      <c r="C3255" s="28" t="s">
        <v>1684</v>
      </c>
      <c r="D3255" s="28" t="s">
        <v>45</v>
      </c>
      <c r="E3255" s="28" t="s">
        <v>17815</v>
      </c>
      <c r="F3255" s="28" t="s">
        <v>21</v>
      </c>
      <c r="G3255" s="28" t="s">
        <v>39</v>
      </c>
      <c r="H3255" s="28" t="s">
        <v>16221</v>
      </c>
      <c r="I3255" s="28" t="s">
        <v>17816</v>
      </c>
      <c r="J3255" s="28" t="s">
        <v>39</v>
      </c>
      <c r="K3255" s="28" t="s">
        <v>16223</v>
      </c>
      <c r="L3255" s="28" t="s">
        <v>16224</v>
      </c>
      <c r="M3255" s="28" t="s">
        <v>17817</v>
      </c>
      <c r="N3255" s="28" t="s">
        <v>16226</v>
      </c>
      <c r="O3255" s="28" t="s">
        <v>16227</v>
      </c>
      <c r="P3255" s="28" t="s">
        <v>17818</v>
      </c>
    </row>
    <row r="3256" spans="1:16" x14ac:dyDescent="0.25">
      <c r="A3256" s="28" t="s">
        <v>17819</v>
      </c>
      <c r="B3256" s="28" t="s">
        <v>17820</v>
      </c>
      <c r="C3256" s="28" t="s">
        <v>1684</v>
      </c>
      <c r="D3256" s="28" t="s">
        <v>1586</v>
      </c>
      <c r="E3256" s="28" t="s">
        <v>17821</v>
      </c>
      <c r="F3256" s="28" t="s">
        <v>21</v>
      </c>
      <c r="G3256" s="28" t="s">
        <v>39</v>
      </c>
      <c r="H3256" s="28" t="s">
        <v>16221</v>
      </c>
      <c r="I3256" s="28" t="s">
        <v>17822</v>
      </c>
      <c r="J3256" s="28" t="s">
        <v>39</v>
      </c>
      <c r="K3256" s="28" t="s">
        <v>16223</v>
      </c>
      <c r="L3256" s="28" t="s">
        <v>16224</v>
      </c>
      <c r="M3256" s="28" t="s">
        <v>17823</v>
      </c>
      <c r="N3256" s="28" t="s">
        <v>16226</v>
      </c>
      <c r="O3256" s="28" t="s">
        <v>16227</v>
      </c>
      <c r="P3256" s="28" t="s">
        <v>17824</v>
      </c>
    </row>
    <row r="3257" spans="1:16" x14ac:dyDescent="0.25">
      <c r="A3257" s="28" t="s">
        <v>17825</v>
      </c>
      <c r="B3257" s="28" t="s">
        <v>17826</v>
      </c>
      <c r="C3257" s="28" t="s">
        <v>1684</v>
      </c>
      <c r="D3257" s="28" t="s">
        <v>62</v>
      </c>
      <c r="E3257" s="28" t="s">
        <v>17827</v>
      </c>
      <c r="F3257" s="28" t="s">
        <v>21</v>
      </c>
      <c r="G3257" s="28" t="s">
        <v>39</v>
      </c>
      <c r="H3257" s="28" t="s">
        <v>16221</v>
      </c>
      <c r="I3257" s="28" t="s">
        <v>17828</v>
      </c>
      <c r="J3257" s="28" t="s">
        <v>39</v>
      </c>
      <c r="K3257" s="28" t="s">
        <v>16223</v>
      </c>
      <c r="L3257" s="28" t="s">
        <v>16224</v>
      </c>
      <c r="M3257" s="28" t="s">
        <v>17829</v>
      </c>
      <c r="N3257" s="28" t="s">
        <v>16226</v>
      </c>
      <c r="O3257" s="28" t="s">
        <v>16227</v>
      </c>
      <c r="P3257" s="28" t="s">
        <v>17830</v>
      </c>
    </row>
    <row r="3258" spans="1:16" x14ac:dyDescent="0.25">
      <c r="A3258" s="28" t="s">
        <v>17831</v>
      </c>
      <c r="B3258" s="28" t="s">
        <v>17832</v>
      </c>
      <c r="C3258" s="28" t="s">
        <v>1684</v>
      </c>
      <c r="D3258" s="28" t="s">
        <v>62</v>
      </c>
      <c r="E3258" s="28" t="s">
        <v>17827</v>
      </c>
      <c r="F3258" s="28" t="s">
        <v>21</v>
      </c>
      <c r="G3258" s="28" t="s">
        <v>39</v>
      </c>
      <c r="H3258" s="28" t="s">
        <v>16221</v>
      </c>
      <c r="I3258" s="28" t="s">
        <v>17833</v>
      </c>
      <c r="J3258" s="28" t="s">
        <v>39</v>
      </c>
      <c r="K3258" s="28" t="s">
        <v>16223</v>
      </c>
      <c r="L3258" s="28" t="s">
        <v>16224</v>
      </c>
      <c r="M3258" s="28" t="s">
        <v>17834</v>
      </c>
      <c r="N3258" s="28" t="s">
        <v>16226</v>
      </c>
      <c r="O3258" s="28" t="s">
        <v>16227</v>
      </c>
      <c r="P3258" s="28" t="s">
        <v>17830</v>
      </c>
    </row>
    <row r="3259" spans="1:16" x14ac:dyDescent="0.25">
      <c r="A3259" s="28" t="s">
        <v>17835</v>
      </c>
      <c r="B3259" s="28" t="s">
        <v>17836</v>
      </c>
      <c r="C3259" s="28" t="s">
        <v>1684</v>
      </c>
      <c r="D3259" s="28" t="s">
        <v>62</v>
      </c>
      <c r="E3259" s="28" t="s">
        <v>17827</v>
      </c>
      <c r="F3259" s="28" t="s">
        <v>21</v>
      </c>
      <c r="G3259" s="28" t="s">
        <v>39</v>
      </c>
      <c r="H3259" s="28" t="s">
        <v>16221</v>
      </c>
      <c r="I3259" s="28" t="s">
        <v>17837</v>
      </c>
      <c r="J3259" s="28" t="s">
        <v>39</v>
      </c>
      <c r="K3259" s="28" t="s">
        <v>16223</v>
      </c>
      <c r="L3259" s="28" t="s">
        <v>16224</v>
      </c>
      <c r="M3259" s="28" t="s">
        <v>17838</v>
      </c>
      <c r="N3259" s="28" t="s">
        <v>16226</v>
      </c>
      <c r="O3259" s="28" t="s">
        <v>16227</v>
      </c>
      <c r="P3259" s="28" t="s">
        <v>17830</v>
      </c>
    </row>
    <row r="3260" spans="1:16" x14ac:dyDescent="0.25">
      <c r="A3260" s="28" t="s">
        <v>17839</v>
      </c>
      <c r="B3260" s="28" t="s">
        <v>17840</v>
      </c>
      <c r="C3260" s="28" t="s">
        <v>1684</v>
      </c>
      <c r="D3260" s="28" t="s">
        <v>62</v>
      </c>
      <c r="E3260" s="28" t="s">
        <v>17827</v>
      </c>
      <c r="F3260" s="28" t="s">
        <v>21</v>
      </c>
      <c r="G3260" s="28" t="s">
        <v>39</v>
      </c>
      <c r="H3260" s="28" t="s">
        <v>16221</v>
      </c>
      <c r="I3260" s="28" t="s">
        <v>17841</v>
      </c>
      <c r="J3260" s="28" t="s">
        <v>39</v>
      </c>
      <c r="K3260" s="28" t="s">
        <v>16223</v>
      </c>
      <c r="L3260" s="28" t="s">
        <v>16224</v>
      </c>
      <c r="M3260" s="28" t="s">
        <v>17842</v>
      </c>
      <c r="N3260" s="28" t="s">
        <v>16226</v>
      </c>
      <c r="O3260" s="28" t="s">
        <v>16227</v>
      </c>
      <c r="P3260" s="28" t="s">
        <v>17830</v>
      </c>
    </row>
    <row r="3261" spans="1:16" x14ac:dyDescent="0.25">
      <c r="A3261" s="28" t="s">
        <v>17843</v>
      </c>
      <c r="B3261" s="28" t="s">
        <v>17844</v>
      </c>
      <c r="C3261" s="28" t="s">
        <v>1684</v>
      </c>
      <c r="D3261" s="28" t="s">
        <v>62</v>
      </c>
      <c r="E3261" s="28" t="s">
        <v>17827</v>
      </c>
      <c r="F3261" s="28" t="s">
        <v>21</v>
      </c>
      <c r="G3261" s="28" t="s">
        <v>39</v>
      </c>
      <c r="H3261" s="28" t="s">
        <v>16221</v>
      </c>
      <c r="I3261" s="28" t="s">
        <v>17845</v>
      </c>
      <c r="J3261" s="28" t="s">
        <v>39</v>
      </c>
      <c r="K3261" s="28" t="s">
        <v>16223</v>
      </c>
      <c r="L3261" s="28" t="s">
        <v>16224</v>
      </c>
      <c r="M3261" s="28" t="s">
        <v>17846</v>
      </c>
      <c r="N3261" s="28" t="s">
        <v>16226</v>
      </c>
      <c r="O3261" s="28" t="s">
        <v>16227</v>
      </c>
      <c r="P3261" s="28" t="s">
        <v>17830</v>
      </c>
    </row>
    <row r="3262" spans="1:16" x14ac:dyDescent="0.25">
      <c r="A3262" s="28" t="s">
        <v>17847</v>
      </c>
      <c r="B3262" s="28" t="s">
        <v>17848</v>
      </c>
      <c r="C3262" s="28" t="s">
        <v>1684</v>
      </c>
      <c r="D3262" s="28" t="s">
        <v>62</v>
      </c>
      <c r="E3262" s="28" t="s">
        <v>17827</v>
      </c>
      <c r="F3262" s="28" t="s">
        <v>21</v>
      </c>
      <c r="G3262" s="28" t="s">
        <v>39</v>
      </c>
      <c r="H3262" s="28" t="s">
        <v>16221</v>
      </c>
      <c r="I3262" s="28" t="s">
        <v>17849</v>
      </c>
      <c r="J3262" s="28" t="s">
        <v>39</v>
      </c>
      <c r="K3262" s="28" t="s">
        <v>16223</v>
      </c>
      <c r="L3262" s="28" t="s">
        <v>16224</v>
      </c>
      <c r="M3262" s="28" t="s">
        <v>17850</v>
      </c>
      <c r="N3262" s="28" t="s">
        <v>16226</v>
      </c>
      <c r="O3262" s="28" t="s">
        <v>16227</v>
      </c>
      <c r="P3262" s="28" t="s">
        <v>17830</v>
      </c>
    </row>
    <row r="3263" spans="1:16" x14ac:dyDescent="0.25">
      <c r="A3263" s="28" t="s">
        <v>17851</v>
      </c>
      <c r="B3263" s="28" t="s">
        <v>17852</v>
      </c>
      <c r="C3263" s="28" t="s">
        <v>1684</v>
      </c>
      <c r="D3263" s="28" t="s">
        <v>62</v>
      </c>
      <c r="E3263" s="28" t="s">
        <v>17827</v>
      </c>
      <c r="F3263" s="28" t="s">
        <v>21</v>
      </c>
      <c r="G3263" s="28" t="s">
        <v>39</v>
      </c>
      <c r="H3263" s="28" t="s">
        <v>16221</v>
      </c>
      <c r="I3263" s="28" t="s">
        <v>17853</v>
      </c>
      <c r="J3263" s="28" t="s">
        <v>39</v>
      </c>
      <c r="K3263" s="28" t="s">
        <v>16223</v>
      </c>
      <c r="L3263" s="28" t="s">
        <v>16224</v>
      </c>
      <c r="M3263" s="28" t="s">
        <v>17854</v>
      </c>
      <c r="N3263" s="28" t="s">
        <v>16226</v>
      </c>
      <c r="O3263" s="28" t="s">
        <v>16227</v>
      </c>
      <c r="P3263" s="28" t="s">
        <v>17830</v>
      </c>
    </row>
    <row r="3264" spans="1:16" x14ac:dyDescent="0.25">
      <c r="A3264" s="28" t="s">
        <v>17855</v>
      </c>
      <c r="B3264" s="28" t="s">
        <v>17856</v>
      </c>
      <c r="C3264" s="28" t="s">
        <v>1684</v>
      </c>
      <c r="D3264" s="28" t="s">
        <v>62</v>
      </c>
      <c r="E3264" s="28" t="s">
        <v>17827</v>
      </c>
      <c r="F3264" s="28" t="s">
        <v>21</v>
      </c>
      <c r="G3264" s="28" t="s">
        <v>39</v>
      </c>
      <c r="H3264" s="28" t="s">
        <v>16221</v>
      </c>
      <c r="I3264" s="28" t="s">
        <v>17857</v>
      </c>
      <c r="J3264" s="28" t="s">
        <v>39</v>
      </c>
      <c r="K3264" s="28" t="s">
        <v>16223</v>
      </c>
      <c r="L3264" s="28" t="s">
        <v>16224</v>
      </c>
      <c r="M3264" s="28" t="s">
        <v>17858</v>
      </c>
      <c r="N3264" s="28" t="s">
        <v>16226</v>
      </c>
      <c r="O3264" s="28" t="s">
        <v>16227</v>
      </c>
      <c r="P3264" s="28" t="s">
        <v>17830</v>
      </c>
    </row>
    <row r="3265" spans="1:16" x14ac:dyDescent="0.25">
      <c r="A3265" s="28" t="s">
        <v>17859</v>
      </c>
      <c r="B3265" s="28" t="s">
        <v>17860</v>
      </c>
      <c r="C3265" s="28" t="s">
        <v>1684</v>
      </c>
      <c r="D3265" s="28" t="s">
        <v>62</v>
      </c>
      <c r="E3265" s="28" t="s">
        <v>17827</v>
      </c>
      <c r="F3265" s="28" t="s">
        <v>21</v>
      </c>
      <c r="G3265" s="28" t="s">
        <v>39</v>
      </c>
      <c r="H3265" s="28" t="s">
        <v>16221</v>
      </c>
      <c r="I3265" s="28" t="s">
        <v>17861</v>
      </c>
      <c r="J3265" s="28" t="s">
        <v>39</v>
      </c>
      <c r="K3265" s="28" t="s">
        <v>16223</v>
      </c>
      <c r="L3265" s="28" t="s">
        <v>16224</v>
      </c>
      <c r="M3265" s="28" t="s">
        <v>17862</v>
      </c>
      <c r="N3265" s="28" t="s">
        <v>16226</v>
      </c>
      <c r="O3265" s="28" t="s">
        <v>16227</v>
      </c>
      <c r="P3265" s="28" t="s">
        <v>17830</v>
      </c>
    </row>
    <row r="3266" spans="1:16" x14ac:dyDescent="0.25">
      <c r="A3266" s="28" t="s">
        <v>17863</v>
      </c>
      <c r="B3266" s="28" t="s">
        <v>17864</v>
      </c>
      <c r="C3266" s="28" t="s">
        <v>1684</v>
      </c>
      <c r="D3266" s="28" t="s">
        <v>62</v>
      </c>
      <c r="E3266" s="28" t="s">
        <v>17827</v>
      </c>
      <c r="F3266" s="28" t="s">
        <v>21</v>
      </c>
      <c r="G3266" s="28" t="s">
        <v>39</v>
      </c>
      <c r="H3266" s="28" t="s">
        <v>16221</v>
      </c>
      <c r="I3266" s="28" t="s">
        <v>17865</v>
      </c>
      <c r="J3266" s="28" t="s">
        <v>39</v>
      </c>
      <c r="K3266" s="28" t="s">
        <v>16223</v>
      </c>
      <c r="L3266" s="28" t="s">
        <v>16224</v>
      </c>
      <c r="M3266" s="28" t="s">
        <v>17866</v>
      </c>
      <c r="N3266" s="28" t="s">
        <v>16226</v>
      </c>
      <c r="O3266" s="28" t="s">
        <v>16227</v>
      </c>
      <c r="P3266" s="28" t="s">
        <v>17830</v>
      </c>
    </row>
    <row r="3267" spans="1:16" x14ac:dyDescent="0.25">
      <c r="A3267" s="28" t="s">
        <v>17867</v>
      </c>
      <c r="B3267" s="28" t="s">
        <v>17868</v>
      </c>
      <c r="C3267" s="28" t="s">
        <v>1684</v>
      </c>
      <c r="D3267" s="28" t="s">
        <v>62</v>
      </c>
      <c r="E3267" s="28" t="s">
        <v>17827</v>
      </c>
      <c r="F3267" s="28" t="s">
        <v>21</v>
      </c>
      <c r="G3267" s="28" t="s">
        <v>39</v>
      </c>
      <c r="H3267" s="28" t="s">
        <v>16221</v>
      </c>
      <c r="I3267" s="28" t="s">
        <v>17869</v>
      </c>
      <c r="J3267" s="28" t="s">
        <v>39</v>
      </c>
      <c r="K3267" s="28" t="s">
        <v>16223</v>
      </c>
      <c r="L3267" s="28" t="s">
        <v>16224</v>
      </c>
      <c r="M3267" s="28" t="s">
        <v>17870</v>
      </c>
      <c r="N3267" s="28" t="s">
        <v>16226</v>
      </c>
      <c r="O3267" s="28" t="s">
        <v>16227</v>
      </c>
      <c r="P3267" s="28" t="s">
        <v>17830</v>
      </c>
    </row>
    <row r="3268" spans="1:16" x14ac:dyDescent="0.25">
      <c r="A3268" s="28" t="s">
        <v>17871</v>
      </c>
      <c r="B3268" s="28" t="s">
        <v>17872</v>
      </c>
      <c r="C3268" s="28" t="s">
        <v>1684</v>
      </c>
      <c r="D3268" s="28" t="s">
        <v>62</v>
      </c>
      <c r="E3268" s="28" t="s">
        <v>17827</v>
      </c>
      <c r="F3268" s="28" t="s">
        <v>21</v>
      </c>
      <c r="G3268" s="28" t="s">
        <v>39</v>
      </c>
      <c r="H3268" s="28" t="s">
        <v>16221</v>
      </c>
      <c r="I3268" s="28" t="s">
        <v>17873</v>
      </c>
      <c r="J3268" s="28" t="s">
        <v>39</v>
      </c>
      <c r="K3268" s="28" t="s">
        <v>16223</v>
      </c>
      <c r="L3268" s="28" t="s">
        <v>16224</v>
      </c>
      <c r="M3268" s="28" t="s">
        <v>17874</v>
      </c>
      <c r="N3268" s="28" t="s">
        <v>16226</v>
      </c>
      <c r="O3268" s="28" t="s">
        <v>16227</v>
      </c>
      <c r="P3268" s="28" t="s">
        <v>17830</v>
      </c>
    </row>
    <row r="3269" spans="1:16" x14ac:dyDescent="0.25">
      <c r="A3269" s="28" t="s">
        <v>17875</v>
      </c>
      <c r="B3269" s="28" t="s">
        <v>17876</v>
      </c>
      <c r="C3269" s="28" t="s">
        <v>1684</v>
      </c>
      <c r="D3269" s="28" t="s">
        <v>62</v>
      </c>
      <c r="E3269" s="28" t="s">
        <v>17827</v>
      </c>
      <c r="F3269" s="28" t="s">
        <v>21</v>
      </c>
      <c r="G3269" s="28" t="s">
        <v>39</v>
      </c>
      <c r="H3269" s="28" t="s">
        <v>16221</v>
      </c>
      <c r="I3269" s="28" t="s">
        <v>17877</v>
      </c>
      <c r="J3269" s="28" t="s">
        <v>39</v>
      </c>
      <c r="K3269" s="28" t="s">
        <v>16223</v>
      </c>
      <c r="L3269" s="28" t="s">
        <v>16224</v>
      </c>
      <c r="M3269" s="28" t="s">
        <v>17878</v>
      </c>
      <c r="N3269" s="28" t="s">
        <v>16226</v>
      </c>
      <c r="O3269" s="28" t="s">
        <v>16227</v>
      </c>
      <c r="P3269" s="28" t="s">
        <v>17830</v>
      </c>
    </row>
    <row r="3270" spans="1:16" x14ac:dyDescent="0.25">
      <c r="A3270" s="28" t="s">
        <v>17879</v>
      </c>
      <c r="B3270" s="28" t="s">
        <v>17880</v>
      </c>
      <c r="C3270" s="28" t="s">
        <v>1684</v>
      </c>
      <c r="D3270" s="28" t="s">
        <v>62</v>
      </c>
      <c r="E3270" s="28" t="s">
        <v>17827</v>
      </c>
      <c r="F3270" s="28" t="s">
        <v>21</v>
      </c>
      <c r="G3270" s="28" t="s">
        <v>39</v>
      </c>
      <c r="H3270" s="28" t="s">
        <v>16221</v>
      </c>
      <c r="I3270" s="28" t="s">
        <v>17881</v>
      </c>
      <c r="J3270" s="28" t="s">
        <v>39</v>
      </c>
      <c r="K3270" s="28" t="s">
        <v>16223</v>
      </c>
      <c r="L3270" s="28" t="s">
        <v>16224</v>
      </c>
      <c r="M3270" s="28" t="s">
        <v>17882</v>
      </c>
      <c r="N3270" s="28" t="s">
        <v>16226</v>
      </c>
      <c r="O3270" s="28" t="s">
        <v>16227</v>
      </c>
      <c r="P3270" s="28" t="s">
        <v>17830</v>
      </c>
    </row>
    <row r="3271" spans="1:16" x14ac:dyDescent="0.25">
      <c r="A3271" s="28" t="s">
        <v>17883</v>
      </c>
      <c r="B3271" s="28" t="s">
        <v>17884</v>
      </c>
      <c r="C3271" s="28" t="s">
        <v>1684</v>
      </c>
      <c r="D3271" s="28" t="s">
        <v>62</v>
      </c>
      <c r="E3271" s="28" t="s">
        <v>17827</v>
      </c>
      <c r="F3271" s="28" t="s">
        <v>21</v>
      </c>
      <c r="G3271" s="28" t="s">
        <v>39</v>
      </c>
      <c r="H3271" s="28" t="s">
        <v>16221</v>
      </c>
      <c r="I3271" s="28" t="s">
        <v>17885</v>
      </c>
      <c r="J3271" s="28" t="s">
        <v>39</v>
      </c>
      <c r="K3271" s="28" t="s">
        <v>16223</v>
      </c>
      <c r="L3271" s="28" t="s">
        <v>16224</v>
      </c>
      <c r="M3271" s="28" t="s">
        <v>17886</v>
      </c>
      <c r="N3271" s="28" t="s">
        <v>16226</v>
      </c>
      <c r="O3271" s="28" t="s">
        <v>16227</v>
      </c>
      <c r="P3271" s="28" t="s">
        <v>17830</v>
      </c>
    </row>
    <row r="3272" spans="1:16" x14ac:dyDescent="0.25">
      <c r="A3272" s="28" t="s">
        <v>17887</v>
      </c>
      <c r="B3272" s="28" t="s">
        <v>17888</v>
      </c>
      <c r="C3272" s="28" t="s">
        <v>1684</v>
      </c>
      <c r="D3272" s="28" t="s">
        <v>62</v>
      </c>
      <c r="E3272" s="28" t="s">
        <v>17827</v>
      </c>
      <c r="F3272" s="28" t="s">
        <v>21</v>
      </c>
      <c r="G3272" s="28" t="s">
        <v>39</v>
      </c>
      <c r="H3272" s="28" t="s">
        <v>16221</v>
      </c>
      <c r="I3272" s="28" t="s">
        <v>17889</v>
      </c>
      <c r="J3272" s="28" t="s">
        <v>39</v>
      </c>
      <c r="K3272" s="28" t="s">
        <v>16223</v>
      </c>
      <c r="L3272" s="28" t="s">
        <v>16224</v>
      </c>
      <c r="M3272" s="28" t="s">
        <v>17890</v>
      </c>
      <c r="N3272" s="28" t="s">
        <v>16226</v>
      </c>
      <c r="O3272" s="28" t="s">
        <v>16227</v>
      </c>
      <c r="P3272" s="28" t="s">
        <v>17830</v>
      </c>
    </row>
    <row r="3273" spans="1:16" x14ac:dyDescent="0.25">
      <c r="A3273" s="28" t="s">
        <v>17891</v>
      </c>
      <c r="B3273" s="28" t="s">
        <v>17892</v>
      </c>
      <c r="C3273" s="28" t="s">
        <v>1684</v>
      </c>
      <c r="D3273" s="28" t="s">
        <v>62</v>
      </c>
      <c r="E3273" s="28" t="s">
        <v>17827</v>
      </c>
      <c r="F3273" s="28" t="s">
        <v>21</v>
      </c>
      <c r="G3273" s="28" t="s">
        <v>39</v>
      </c>
      <c r="H3273" s="28" t="s">
        <v>16221</v>
      </c>
      <c r="I3273" s="28" t="s">
        <v>17893</v>
      </c>
      <c r="J3273" s="28" t="s">
        <v>39</v>
      </c>
      <c r="K3273" s="28" t="s">
        <v>16223</v>
      </c>
      <c r="L3273" s="28" t="s">
        <v>16224</v>
      </c>
      <c r="M3273" s="28" t="s">
        <v>17894</v>
      </c>
      <c r="N3273" s="28" t="s">
        <v>16226</v>
      </c>
      <c r="O3273" s="28" t="s">
        <v>16227</v>
      </c>
      <c r="P3273" s="28" t="s">
        <v>17830</v>
      </c>
    </row>
    <row r="3274" spans="1:16" x14ac:dyDescent="0.25">
      <c r="A3274" s="28" t="s">
        <v>17895</v>
      </c>
      <c r="B3274" s="28" t="s">
        <v>17896</v>
      </c>
      <c r="C3274" s="28" t="s">
        <v>1684</v>
      </c>
      <c r="D3274" s="28" t="s">
        <v>62</v>
      </c>
      <c r="E3274" s="28" t="s">
        <v>17827</v>
      </c>
      <c r="F3274" s="28" t="s">
        <v>21</v>
      </c>
      <c r="G3274" s="28" t="s">
        <v>39</v>
      </c>
      <c r="H3274" s="28" t="s">
        <v>16221</v>
      </c>
      <c r="I3274" s="28" t="s">
        <v>17897</v>
      </c>
      <c r="J3274" s="28" t="s">
        <v>39</v>
      </c>
      <c r="K3274" s="28" t="s">
        <v>16223</v>
      </c>
      <c r="L3274" s="28" t="s">
        <v>16224</v>
      </c>
      <c r="M3274" s="28" t="s">
        <v>17898</v>
      </c>
      <c r="N3274" s="28" t="s">
        <v>16226</v>
      </c>
      <c r="O3274" s="28" t="s">
        <v>16227</v>
      </c>
      <c r="P3274" s="28" t="s">
        <v>17830</v>
      </c>
    </row>
    <row r="3275" spans="1:16" x14ac:dyDescent="0.25">
      <c r="A3275" s="28" t="s">
        <v>17899</v>
      </c>
      <c r="B3275" s="28" t="s">
        <v>17900</v>
      </c>
      <c r="C3275" s="28" t="s">
        <v>1684</v>
      </c>
      <c r="D3275" s="28" t="s">
        <v>62</v>
      </c>
      <c r="E3275" s="28" t="s">
        <v>17827</v>
      </c>
      <c r="F3275" s="28" t="s">
        <v>21</v>
      </c>
      <c r="G3275" s="28" t="s">
        <v>39</v>
      </c>
      <c r="H3275" s="28" t="s">
        <v>16221</v>
      </c>
      <c r="I3275" s="28" t="s">
        <v>17901</v>
      </c>
      <c r="J3275" s="28" t="s">
        <v>39</v>
      </c>
      <c r="K3275" s="28" t="s">
        <v>16223</v>
      </c>
      <c r="L3275" s="28" t="s">
        <v>16224</v>
      </c>
      <c r="M3275" s="28" t="s">
        <v>17902</v>
      </c>
      <c r="N3275" s="28" t="s">
        <v>16226</v>
      </c>
      <c r="O3275" s="28" t="s">
        <v>16227</v>
      </c>
      <c r="P3275" s="28" t="s">
        <v>17830</v>
      </c>
    </row>
    <row r="3276" spans="1:16" x14ac:dyDescent="0.25">
      <c r="A3276" s="28" t="s">
        <v>17903</v>
      </c>
      <c r="B3276" s="28" t="s">
        <v>17904</v>
      </c>
      <c r="C3276" s="28" t="s">
        <v>1684</v>
      </c>
      <c r="D3276" s="28" t="s">
        <v>62</v>
      </c>
      <c r="E3276" s="28" t="s">
        <v>17827</v>
      </c>
      <c r="F3276" s="28" t="s">
        <v>21</v>
      </c>
      <c r="G3276" s="28" t="s">
        <v>39</v>
      </c>
      <c r="H3276" s="28" t="s">
        <v>16221</v>
      </c>
      <c r="I3276" s="28" t="s">
        <v>17905</v>
      </c>
      <c r="J3276" s="28" t="s">
        <v>39</v>
      </c>
      <c r="K3276" s="28" t="s">
        <v>16223</v>
      </c>
      <c r="L3276" s="28" t="s">
        <v>16224</v>
      </c>
      <c r="M3276" s="28" t="s">
        <v>17906</v>
      </c>
      <c r="N3276" s="28" t="s">
        <v>16226</v>
      </c>
      <c r="O3276" s="28" t="s">
        <v>16227</v>
      </c>
      <c r="P3276" s="28" t="s">
        <v>17830</v>
      </c>
    </row>
    <row r="3277" spans="1:16" x14ac:dyDescent="0.25">
      <c r="A3277" s="28" t="s">
        <v>17907</v>
      </c>
      <c r="B3277" s="28" t="s">
        <v>17908</v>
      </c>
      <c r="C3277" s="28" t="s">
        <v>1684</v>
      </c>
      <c r="D3277" s="28" t="s">
        <v>62</v>
      </c>
      <c r="E3277" s="28" t="s">
        <v>17827</v>
      </c>
      <c r="F3277" s="28" t="s">
        <v>21</v>
      </c>
      <c r="G3277" s="28" t="s">
        <v>39</v>
      </c>
      <c r="H3277" s="28" t="s">
        <v>16221</v>
      </c>
      <c r="I3277" s="28" t="s">
        <v>17909</v>
      </c>
      <c r="J3277" s="28" t="s">
        <v>39</v>
      </c>
      <c r="K3277" s="28" t="s">
        <v>16223</v>
      </c>
      <c r="L3277" s="28" t="s">
        <v>16224</v>
      </c>
      <c r="M3277" s="28" t="s">
        <v>17910</v>
      </c>
      <c r="N3277" s="28" t="s">
        <v>16226</v>
      </c>
      <c r="O3277" s="28" t="s">
        <v>16227</v>
      </c>
      <c r="P3277" s="28" t="s">
        <v>17830</v>
      </c>
    </row>
    <row r="3278" spans="1:16" x14ac:dyDescent="0.25">
      <c r="A3278" s="28" t="s">
        <v>17911</v>
      </c>
      <c r="B3278" s="28" t="s">
        <v>17912</v>
      </c>
      <c r="C3278" s="28" t="s">
        <v>1684</v>
      </c>
      <c r="D3278" s="28" t="s">
        <v>62</v>
      </c>
      <c r="E3278" s="28" t="s">
        <v>17827</v>
      </c>
      <c r="F3278" s="28" t="s">
        <v>21</v>
      </c>
      <c r="G3278" s="28" t="s">
        <v>39</v>
      </c>
      <c r="H3278" s="28" t="s">
        <v>16221</v>
      </c>
      <c r="I3278" s="28" t="s">
        <v>17913</v>
      </c>
      <c r="J3278" s="28" t="s">
        <v>39</v>
      </c>
      <c r="K3278" s="28" t="s">
        <v>16223</v>
      </c>
      <c r="L3278" s="28" t="s">
        <v>16224</v>
      </c>
      <c r="M3278" s="28" t="s">
        <v>17914</v>
      </c>
      <c r="N3278" s="28" t="s">
        <v>16226</v>
      </c>
      <c r="O3278" s="28" t="s">
        <v>16227</v>
      </c>
      <c r="P3278" s="28" t="s">
        <v>17830</v>
      </c>
    </row>
    <row r="3279" spans="1:16" x14ac:dyDescent="0.25">
      <c r="A3279" s="28" t="s">
        <v>17915</v>
      </c>
      <c r="B3279" s="28" t="s">
        <v>17916</v>
      </c>
      <c r="C3279" s="28" t="s">
        <v>1684</v>
      </c>
      <c r="D3279" s="28" t="s">
        <v>2287</v>
      </c>
      <c r="E3279" s="28" t="s">
        <v>2308</v>
      </c>
      <c r="F3279" s="28" t="s">
        <v>21</v>
      </c>
      <c r="G3279" s="28" t="s">
        <v>39</v>
      </c>
      <c r="H3279" s="28" t="s">
        <v>16221</v>
      </c>
      <c r="I3279" s="28" t="s">
        <v>17917</v>
      </c>
      <c r="J3279" s="28" t="s">
        <v>39</v>
      </c>
      <c r="K3279" s="28" t="s">
        <v>16223</v>
      </c>
      <c r="L3279" s="28" t="s">
        <v>16224</v>
      </c>
      <c r="M3279" s="28" t="s">
        <v>17918</v>
      </c>
      <c r="N3279" s="28" t="s">
        <v>16226</v>
      </c>
      <c r="O3279" s="28" t="s">
        <v>16227</v>
      </c>
      <c r="P3279" s="28" t="s">
        <v>17919</v>
      </c>
    </row>
    <row r="3280" spans="1:16" x14ac:dyDescent="0.25">
      <c r="A3280" s="28" t="s">
        <v>17920</v>
      </c>
      <c r="B3280" s="28" t="s">
        <v>17921</v>
      </c>
      <c r="C3280" s="28" t="s">
        <v>1684</v>
      </c>
      <c r="D3280" s="28" t="s">
        <v>2347</v>
      </c>
      <c r="E3280" s="28" t="s">
        <v>11832</v>
      </c>
      <c r="F3280" s="28" t="s">
        <v>21</v>
      </c>
      <c r="G3280" s="28" t="s">
        <v>39</v>
      </c>
      <c r="H3280" s="28" t="s">
        <v>16221</v>
      </c>
      <c r="I3280" s="28" t="s">
        <v>17922</v>
      </c>
      <c r="J3280" s="28" t="s">
        <v>39</v>
      </c>
      <c r="K3280" s="28" t="s">
        <v>16223</v>
      </c>
      <c r="L3280" s="28" t="s">
        <v>16224</v>
      </c>
      <c r="M3280" s="28" t="s">
        <v>17923</v>
      </c>
      <c r="N3280" s="28" t="s">
        <v>16226</v>
      </c>
      <c r="O3280" s="28" t="s">
        <v>16227</v>
      </c>
      <c r="P3280" s="28" t="s">
        <v>17924</v>
      </c>
    </row>
    <row r="3281" spans="1:16" x14ac:dyDescent="0.25">
      <c r="A3281" s="28" t="s">
        <v>17925</v>
      </c>
      <c r="B3281" s="28" t="s">
        <v>17926</v>
      </c>
      <c r="C3281" s="28" t="s">
        <v>1684</v>
      </c>
      <c r="D3281" s="28" t="s">
        <v>2347</v>
      </c>
      <c r="E3281" s="28" t="s">
        <v>11842</v>
      </c>
      <c r="F3281" s="28" t="s">
        <v>21</v>
      </c>
      <c r="G3281" s="28" t="s">
        <v>39</v>
      </c>
      <c r="H3281" s="28" t="s">
        <v>16221</v>
      </c>
      <c r="I3281" s="28" t="s">
        <v>17927</v>
      </c>
      <c r="J3281" s="28" t="s">
        <v>39</v>
      </c>
      <c r="K3281" s="28" t="s">
        <v>16223</v>
      </c>
      <c r="L3281" s="28" t="s">
        <v>16224</v>
      </c>
      <c r="M3281" s="28" t="s">
        <v>17928</v>
      </c>
      <c r="N3281" s="28" t="s">
        <v>16226</v>
      </c>
      <c r="O3281" s="28" t="s">
        <v>16227</v>
      </c>
      <c r="P3281" s="28" t="s">
        <v>17929</v>
      </c>
    </row>
    <row r="3282" spans="1:16" x14ac:dyDescent="0.25">
      <c r="A3282" s="28" t="s">
        <v>17930</v>
      </c>
      <c r="B3282" s="28" t="s">
        <v>17931</v>
      </c>
      <c r="C3282" s="28" t="s">
        <v>1684</v>
      </c>
      <c r="D3282" s="28" t="s">
        <v>2347</v>
      </c>
      <c r="E3282" s="28" t="s">
        <v>11852</v>
      </c>
      <c r="F3282" s="28" t="s">
        <v>21</v>
      </c>
      <c r="G3282" s="28" t="s">
        <v>39</v>
      </c>
      <c r="H3282" s="28" t="s">
        <v>16221</v>
      </c>
      <c r="I3282" s="28" t="s">
        <v>17932</v>
      </c>
      <c r="J3282" s="28" t="s">
        <v>39</v>
      </c>
      <c r="K3282" s="28" t="s">
        <v>16223</v>
      </c>
      <c r="L3282" s="28" t="s">
        <v>16224</v>
      </c>
      <c r="M3282" s="28" t="s">
        <v>17933</v>
      </c>
      <c r="N3282" s="28" t="s">
        <v>16226</v>
      </c>
      <c r="O3282" s="28" t="s">
        <v>16227</v>
      </c>
      <c r="P3282" s="28" t="s">
        <v>17934</v>
      </c>
    </row>
    <row r="3283" spans="1:16" x14ac:dyDescent="0.25">
      <c r="A3283" s="28" t="s">
        <v>17935</v>
      </c>
      <c r="B3283" s="28" t="s">
        <v>17936</v>
      </c>
      <c r="C3283" s="28" t="s">
        <v>1684</v>
      </c>
      <c r="D3283" s="28" t="s">
        <v>2347</v>
      </c>
      <c r="E3283" s="28" t="s">
        <v>11862</v>
      </c>
      <c r="F3283" s="28" t="s">
        <v>21</v>
      </c>
      <c r="G3283" s="28" t="s">
        <v>39</v>
      </c>
      <c r="H3283" s="28" t="s">
        <v>16221</v>
      </c>
      <c r="I3283" s="28" t="s">
        <v>17937</v>
      </c>
      <c r="J3283" s="28" t="s">
        <v>39</v>
      </c>
      <c r="K3283" s="28" t="s">
        <v>16223</v>
      </c>
      <c r="L3283" s="28" t="s">
        <v>16224</v>
      </c>
      <c r="M3283" s="28" t="s">
        <v>17938</v>
      </c>
      <c r="N3283" s="28" t="s">
        <v>16226</v>
      </c>
      <c r="O3283" s="28" t="s">
        <v>16227</v>
      </c>
      <c r="P3283" s="28" t="s">
        <v>17939</v>
      </c>
    </row>
    <row r="3284" spans="1:16" x14ac:dyDescent="0.25">
      <c r="A3284" s="28" t="s">
        <v>17940</v>
      </c>
      <c r="B3284" s="28" t="s">
        <v>17941</v>
      </c>
      <c r="C3284" s="28" t="s">
        <v>1684</v>
      </c>
      <c r="D3284" s="28" t="s">
        <v>2347</v>
      </c>
      <c r="E3284" s="28" t="s">
        <v>11872</v>
      </c>
      <c r="F3284" s="28" t="s">
        <v>21</v>
      </c>
      <c r="G3284" s="28" t="s">
        <v>39</v>
      </c>
      <c r="H3284" s="28" t="s">
        <v>16221</v>
      </c>
      <c r="I3284" s="28" t="s">
        <v>17942</v>
      </c>
      <c r="J3284" s="28" t="s">
        <v>39</v>
      </c>
      <c r="K3284" s="28" t="s">
        <v>16223</v>
      </c>
      <c r="L3284" s="28" t="s">
        <v>16224</v>
      </c>
      <c r="M3284" s="28" t="s">
        <v>17943</v>
      </c>
      <c r="N3284" s="28" t="s">
        <v>16226</v>
      </c>
      <c r="O3284" s="28" t="s">
        <v>16227</v>
      </c>
      <c r="P3284" s="28" t="s">
        <v>17944</v>
      </c>
    </row>
    <row r="3285" spans="1:16" x14ac:dyDescent="0.25">
      <c r="A3285" s="28" t="s">
        <v>17945</v>
      </c>
      <c r="B3285" s="28" t="s">
        <v>17946</v>
      </c>
      <c r="C3285" s="28" t="s">
        <v>1684</v>
      </c>
      <c r="D3285" s="28" t="s">
        <v>2347</v>
      </c>
      <c r="E3285" s="28" t="s">
        <v>11882</v>
      </c>
      <c r="F3285" s="28" t="s">
        <v>21</v>
      </c>
      <c r="G3285" s="28" t="s">
        <v>39</v>
      </c>
      <c r="H3285" s="28" t="s">
        <v>16221</v>
      </c>
      <c r="I3285" s="28" t="s">
        <v>17947</v>
      </c>
      <c r="J3285" s="28" t="s">
        <v>39</v>
      </c>
      <c r="K3285" s="28" t="s">
        <v>16223</v>
      </c>
      <c r="L3285" s="28" t="s">
        <v>16224</v>
      </c>
      <c r="M3285" s="28" t="s">
        <v>17948</v>
      </c>
      <c r="N3285" s="28" t="s">
        <v>16226</v>
      </c>
      <c r="O3285" s="28" t="s">
        <v>16227</v>
      </c>
      <c r="P3285" s="28" t="s">
        <v>17949</v>
      </c>
    </row>
    <row r="3286" spans="1:16" x14ac:dyDescent="0.25">
      <c r="A3286" s="28" t="s">
        <v>17950</v>
      </c>
      <c r="B3286" s="28" t="s">
        <v>17951</v>
      </c>
      <c r="C3286" s="28" t="s">
        <v>1684</v>
      </c>
      <c r="D3286" s="28" t="s">
        <v>2347</v>
      </c>
      <c r="E3286" s="28" t="s">
        <v>17952</v>
      </c>
      <c r="F3286" s="28" t="s">
        <v>21</v>
      </c>
      <c r="G3286" s="28" t="s">
        <v>39</v>
      </c>
      <c r="H3286" s="28" t="s">
        <v>16221</v>
      </c>
      <c r="I3286" s="28" t="s">
        <v>17953</v>
      </c>
      <c r="J3286" s="28" t="s">
        <v>39</v>
      </c>
      <c r="K3286" s="28" t="s">
        <v>16223</v>
      </c>
      <c r="L3286" s="28" t="s">
        <v>16224</v>
      </c>
      <c r="M3286" s="28" t="s">
        <v>17954</v>
      </c>
      <c r="N3286" s="28" t="s">
        <v>16226</v>
      </c>
      <c r="O3286" s="28" t="s">
        <v>16227</v>
      </c>
      <c r="P3286" s="28" t="s">
        <v>17955</v>
      </c>
    </row>
    <row r="3287" spans="1:16" x14ac:dyDescent="0.25">
      <c r="A3287" s="28" t="s">
        <v>17956</v>
      </c>
      <c r="B3287" s="28" t="s">
        <v>17957</v>
      </c>
      <c r="C3287" s="28" t="s">
        <v>1684</v>
      </c>
      <c r="D3287" s="28" t="s">
        <v>2347</v>
      </c>
      <c r="E3287" s="28" t="s">
        <v>17958</v>
      </c>
      <c r="F3287" s="28" t="s">
        <v>21</v>
      </c>
      <c r="G3287" s="28" t="s">
        <v>39</v>
      </c>
      <c r="H3287" s="28" t="s">
        <v>16221</v>
      </c>
      <c r="I3287" s="28" t="s">
        <v>17959</v>
      </c>
      <c r="J3287" s="28" t="s">
        <v>39</v>
      </c>
      <c r="K3287" s="28" t="s">
        <v>16223</v>
      </c>
      <c r="L3287" s="28" t="s">
        <v>16224</v>
      </c>
      <c r="M3287" s="28" t="s">
        <v>17960</v>
      </c>
      <c r="N3287" s="28" t="s">
        <v>16226</v>
      </c>
      <c r="O3287" s="28" t="s">
        <v>16227</v>
      </c>
      <c r="P3287" s="28" t="s">
        <v>17961</v>
      </c>
    </row>
    <row r="3288" spans="1:16" x14ac:dyDescent="0.25">
      <c r="A3288" s="28" t="s">
        <v>17962</v>
      </c>
      <c r="B3288" s="28" t="s">
        <v>17963</v>
      </c>
      <c r="C3288" s="28" t="s">
        <v>1684</v>
      </c>
      <c r="D3288" s="28" t="s">
        <v>2347</v>
      </c>
      <c r="E3288" s="28" t="s">
        <v>17964</v>
      </c>
      <c r="F3288" s="28" t="s">
        <v>21</v>
      </c>
      <c r="G3288" s="28" t="s">
        <v>39</v>
      </c>
      <c r="H3288" s="28" t="s">
        <v>16221</v>
      </c>
      <c r="I3288" s="28" t="s">
        <v>17965</v>
      </c>
      <c r="J3288" s="28" t="s">
        <v>39</v>
      </c>
      <c r="K3288" s="28" t="s">
        <v>16223</v>
      </c>
      <c r="L3288" s="28" t="s">
        <v>16224</v>
      </c>
      <c r="M3288" s="28" t="s">
        <v>17966</v>
      </c>
      <c r="N3288" s="28" t="s">
        <v>16226</v>
      </c>
      <c r="O3288" s="28" t="s">
        <v>16227</v>
      </c>
      <c r="P3288" s="28" t="s">
        <v>17967</v>
      </c>
    </row>
    <row r="3289" spans="1:16" x14ac:dyDescent="0.25">
      <c r="A3289" s="28" t="s">
        <v>17968</v>
      </c>
      <c r="B3289" s="28" t="s">
        <v>17969</v>
      </c>
      <c r="C3289" s="28" t="s">
        <v>1684</v>
      </c>
      <c r="D3289" s="28" t="s">
        <v>2347</v>
      </c>
      <c r="E3289" s="28" t="s">
        <v>17970</v>
      </c>
      <c r="F3289" s="28" t="s">
        <v>21</v>
      </c>
      <c r="G3289" s="28" t="s">
        <v>39</v>
      </c>
      <c r="H3289" s="28" t="s">
        <v>16221</v>
      </c>
      <c r="I3289" s="28" t="s">
        <v>17971</v>
      </c>
      <c r="J3289" s="28" t="s">
        <v>39</v>
      </c>
      <c r="K3289" s="28" t="s">
        <v>16223</v>
      </c>
      <c r="L3289" s="28" t="s">
        <v>16224</v>
      </c>
      <c r="M3289" s="28" t="s">
        <v>17972</v>
      </c>
      <c r="N3289" s="28" t="s">
        <v>16226</v>
      </c>
      <c r="O3289" s="28" t="s">
        <v>16227</v>
      </c>
      <c r="P3289" s="28" t="s">
        <v>17973</v>
      </c>
    </row>
    <row r="3290" spans="1:16" x14ac:dyDescent="0.25">
      <c r="A3290" s="28" t="s">
        <v>17974</v>
      </c>
      <c r="B3290" s="28" t="s">
        <v>17975</v>
      </c>
      <c r="C3290" s="28" t="s">
        <v>1684</v>
      </c>
      <c r="D3290" s="28" t="s">
        <v>2347</v>
      </c>
      <c r="E3290" s="28" t="s">
        <v>17976</v>
      </c>
      <c r="F3290" s="28" t="s">
        <v>21</v>
      </c>
      <c r="G3290" s="28" t="s">
        <v>39</v>
      </c>
      <c r="H3290" s="28" t="s">
        <v>16221</v>
      </c>
      <c r="I3290" s="28" t="s">
        <v>17977</v>
      </c>
      <c r="J3290" s="28" t="s">
        <v>39</v>
      </c>
      <c r="K3290" s="28" t="s">
        <v>16223</v>
      </c>
      <c r="L3290" s="28" t="s">
        <v>16224</v>
      </c>
      <c r="M3290" s="28" t="s">
        <v>17978</v>
      </c>
      <c r="N3290" s="28" t="s">
        <v>16226</v>
      </c>
      <c r="O3290" s="28" t="s">
        <v>16227</v>
      </c>
      <c r="P3290" s="28" t="s">
        <v>17979</v>
      </c>
    </row>
    <row r="3291" spans="1:16" x14ac:dyDescent="0.25">
      <c r="A3291" s="28" t="s">
        <v>17980</v>
      </c>
      <c r="B3291" s="28" t="s">
        <v>17981</v>
      </c>
      <c r="C3291" s="28" t="s">
        <v>1684</v>
      </c>
      <c r="D3291" s="28" t="s">
        <v>2347</v>
      </c>
      <c r="E3291" s="28" t="s">
        <v>17982</v>
      </c>
      <c r="F3291" s="28" t="s">
        <v>21</v>
      </c>
      <c r="G3291" s="28" t="s">
        <v>39</v>
      </c>
      <c r="H3291" s="28" t="s">
        <v>16221</v>
      </c>
      <c r="I3291" s="28" t="s">
        <v>17983</v>
      </c>
      <c r="J3291" s="28" t="s">
        <v>39</v>
      </c>
      <c r="K3291" s="28" t="s">
        <v>16223</v>
      </c>
      <c r="L3291" s="28" t="s">
        <v>16224</v>
      </c>
      <c r="M3291" s="28" t="s">
        <v>17984</v>
      </c>
      <c r="N3291" s="28" t="s">
        <v>16226</v>
      </c>
      <c r="O3291" s="28" t="s">
        <v>16227</v>
      </c>
      <c r="P3291" s="28" t="s">
        <v>17985</v>
      </c>
    </row>
    <row r="3292" spans="1:16" x14ac:dyDescent="0.25">
      <c r="A3292" s="28" t="s">
        <v>17986</v>
      </c>
      <c r="B3292" s="28" t="s">
        <v>17987</v>
      </c>
      <c r="C3292" s="28" t="s">
        <v>1684</v>
      </c>
      <c r="D3292" s="28" t="s">
        <v>2347</v>
      </c>
      <c r="E3292" s="28" t="s">
        <v>11978</v>
      </c>
      <c r="F3292" s="28" t="s">
        <v>21</v>
      </c>
      <c r="G3292" s="28" t="s">
        <v>39</v>
      </c>
      <c r="H3292" s="28" t="s">
        <v>16221</v>
      </c>
      <c r="I3292" s="28" t="s">
        <v>17988</v>
      </c>
      <c r="J3292" s="28" t="s">
        <v>39</v>
      </c>
      <c r="K3292" s="28" t="s">
        <v>16223</v>
      </c>
      <c r="L3292" s="28" t="s">
        <v>16224</v>
      </c>
      <c r="M3292" s="28" t="s">
        <v>17989</v>
      </c>
      <c r="N3292" s="28" t="s">
        <v>16226</v>
      </c>
      <c r="O3292" s="28" t="s">
        <v>16227</v>
      </c>
      <c r="P3292" s="28" t="s">
        <v>17990</v>
      </c>
    </row>
    <row r="3293" spans="1:16" x14ac:dyDescent="0.25">
      <c r="A3293" s="28" t="s">
        <v>17991</v>
      </c>
      <c r="B3293" s="28" t="s">
        <v>17992</v>
      </c>
      <c r="C3293" s="28" t="s">
        <v>1684</v>
      </c>
      <c r="D3293" s="28" t="s">
        <v>2347</v>
      </c>
      <c r="E3293" s="28" t="s">
        <v>11988</v>
      </c>
      <c r="F3293" s="28" t="s">
        <v>21</v>
      </c>
      <c r="G3293" s="28" t="s">
        <v>39</v>
      </c>
      <c r="H3293" s="28" t="s">
        <v>16221</v>
      </c>
      <c r="I3293" s="28" t="s">
        <v>17993</v>
      </c>
      <c r="J3293" s="28" t="s">
        <v>39</v>
      </c>
      <c r="K3293" s="28" t="s">
        <v>16223</v>
      </c>
      <c r="L3293" s="28" t="s">
        <v>16224</v>
      </c>
      <c r="M3293" s="28" t="s">
        <v>17994</v>
      </c>
      <c r="N3293" s="28" t="s">
        <v>16226</v>
      </c>
      <c r="O3293" s="28" t="s">
        <v>16227</v>
      </c>
      <c r="P3293" s="28" t="s">
        <v>17995</v>
      </c>
    </row>
    <row r="3294" spans="1:16" x14ac:dyDescent="0.25">
      <c r="A3294" s="28" t="s">
        <v>17996</v>
      </c>
      <c r="B3294" s="28" t="s">
        <v>17997</v>
      </c>
      <c r="C3294" s="28" t="s">
        <v>1684</v>
      </c>
      <c r="D3294" s="28" t="s">
        <v>62</v>
      </c>
      <c r="E3294" s="28" t="s">
        <v>2363</v>
      </c>
      <c r="F3294" s="28" t="s">
        <v>21</v>
      </c>
      <c r="G3294" s="28" t="s">
        <v>39</v>
      </c>
      <c r="H3294" s="28" t="s">
        <v>16221</v>
      </c>
      <c r="I3294" s="28" t="s">
        <v>17998</v>
      </c>
      <c r="J3294" s="28" t="s">
        <v>39</v>
      </c>
      <c r="K3294" s="28" t="s">
        <v>16223</v>
      </c>
      <c r="L3294" s="28" t="s">
        <v>16224</v>
      </c>
      <c r="M3294" s="28" t="s">
        <v>17999</v>
      </c>
      <c r="N3294" s="28" t="s">
        <v>16226</v>
      </c>
      <c r="O3294" s="28" t="s">
        <v>16227</v>
      </c>
      <c r="P3294" s="28" t="s">
        <v>18000</v>
      </c>
    </row>
    <row r="3295" spans="1:16" x14ac:dyDescent="0.25">
      <c r="A3295" s="28" t="s">
        <v>18001</v>
      </c>
      <c r="B3295" s="28" t="s">
        <v>18002</v>
      </c>
      <c r="C3295" s="28" t="s">
        <v>1684</v>
      </c>
      <c r="D3295" s="28" t="s">
        <v>62</v>
      </c>
      <c r="E3295" s="28" t="s">
        <v>18003</v>
      </c>
      <c r="F3295" s="28" t="s">
        <v>21</v>
      </c>
      <c r="G3295" s="28" t="s">
        <v>39</v>
      </c>
      <c r="H3295" s="28" t="s">
        <v>16221</v>
      </c>
      <c r="I3295" s="28" t="s">
        <v>18004</v>
      </c>
      <c r="J3295" s="28" t="s">
        <v>39</v>
      </c>
      <c r="K3295" s="28" t="s">
        <v>16223</v>
      </c>
      <c r="L3295" s="28" t="s">
        <v>16224</v>
      </c>
      <c r="M3295" s="28" t="s">
        <v>18005</v>
      </c>
      <c r="N3295" s="28" t="s">
        <v>16226</v>
      </c>
      <c r="O3295" s="28" t="s">
        <v>16227</v>
      </c>
      <c r="P3295" s="28" t="s">
        <v>18006</v>
      </c>
    </row>
    <row r="3296" spans="1:16" x14ac:dyDescent="0.25">
      <c r="A3296" s="28" t="s">
        <v>18007</v>
      </c>
      <c r="B3296" s="28" t="s">
        <v>18008</v>
      </c>
      <c r="C3296" s="28" t="s">
        <v>1684</v>
      </c>
      <c r="D3296" s="28" t="s">
        <v>62</v>
      </c>
      <c r="E3296" s="28" t="s">
        <v>18009</v>
      </c>
      <c r="F3296" s="28" t="s">
        <v>21</v>
      </c>
      <c r="G3296" s="28" t="s">
        <v>39</v>
      </c>
      <c r="H3296" s="28" t="s">
        <v>16221</v>
      </c>
      <c r="I3296" s="28" t="s">
        <v>18010</v>
      </c>
      <c r="J3296" s="28" t="s">
        <v>39</v>
      </c>
      <c r="K3296" s="28" t="s">
        <v>16223</v>
      </c>
      <c r="L3296" s="28" t="s">
        <v>16224</v>
      </c>
      <c r="M3296" s="28" t="s">
        <v>18011</v>
      </c>
      <c r="N3296" s="28" t="s">
        <v>16226</v>
      </c>
      <c r="O3296" s="28" t="s">
        <v>16227</v>
      </c>
      <c r="P3296" s="28" t="s">
        <v>18012</v>
      </c>
    </row>
    <row r="3297" spans="1:16" x14ac:dyDescent="0.25">
      <c r="A3297" s="28" t="s">
        <v>18013</v>
      </c>
      <c r="B3297" s="28" t="s">
        <v>18014</v>
      </c>
      <c r="C3297" s="28" t="s">
        <v>1684</v>
      </c>
      <c r="D3297" s="28" t="s">
        <v>1204</v>
      </c>
      <c r="E3297" s="28" t="s">
        <v>12818</v>
      </c>
      <c r="F3297" s="28" t="s">
        <v>21</v>
      </c>
      <c r="G3297" s="28" t="s">
        <v>39</v>
      </c>
      <c r="H3297" s="28" t="s">
        <v>16221</v>
      </c>
      <c r="I3297" s="28" t="s">
        <v>18015</v>
      </c>
      <c r="J3297" s="28" t="s">
        <v>39</v>
      </c>
      <c r="K3297" s="28" t="s">
        <v>16223</v>
      </c>
      <c r="L3297" s="28" t="s">
        <v>16224</v>
      </c>
      <c r="M3297" s="28" t="s">
        <v>18016</v>
      </c>
      <c r="N3297" s="28" t="s">
        <v>16226</v>
      </c>
      <c r="O3297" s="28" t="s">
        <v>16227</v>
      </c>
      <c r="P3297" s="28" t="s">
        <v>18017</v>
      </c>
    </row>
    <row r="3298" spans="1:16" x14ac:dyDescent="0.25">
      <c r="A3298" s="28" t="s">
        <v>18018</v>
      </c>
      <c r="B3298" s="28" t="s">
        <v>18019</v>
      </c>
      <c r="C3298" s="28" t="s">
        <v>1684</v>
      </c>
      <c r="D3298" s="28" t="s">
        <v>1204</v>
      </c>
      <c r="E3298" s="28" t="s">
        <v>18020</v>
      </c>
      <c r="F3298" s="28" t="s">
        <v>21</v>
      </c>
      <c r="G3298" s="28" t="s">
        <v>39</v>
      </c>
      <c r="H3298" s="28" t="s">
        <v>16221</v>
      </c>
      <c r="I3298" s="28" t="s">
        <v>18021</v>
      </c>
      <c r="J3298" s="28" t="s">
        <v>39</v>
      </c>
      <c r="K3298" s="28" t="s">
        <v>16223</v>
      </c>
      <c r="L3298" s="28" t="s">
        <v>16224</v>
      </c>
      <c r="M3298" s="28" t="s">
        <v>18022</v>
      </c>
      <c r="N3298" s="28" t="s">
        <v>16226</v>
      </c>
      <c r="O3298" s="28" t="s">
        <v>16227</v>
      </c>
      <c r="P3298" s="28" t="s">
        <v>18023</v>
      </c>
    </row>
    <row r="3299" spans="1:16" x14ac:dyDescent="0.25">
      <c r="A3299" s="28" t="s">
        <v>18024</v>
      </c>
      <c r="B3299" s="28" t="s">
        <v>18025</v>
      </c>
      <c r="C3299" s="28" t="s">
        <v>1684</v>
      </c>
      <c r="D3299" s="28" t="s">
        <v>1204</v>
      </c>
      <c r="E3299" s="28" t="s">
        <v>18026</v>
      </c>
      <c r="F3299" s="28" t="s">
        <v>21</v>
      </c>
      <c r="G3299" s="28" t="s">
        <v>39</v>
      </c>
      <c r="H3299" s="28" t="s">
        <v>16221</v>
      </c>
      <c r="I3299" s="28" t="s">
        <v>18027</v>
      </c>
      <c r="J3299" s="28" t="s">
        <v>39</v>
      </c>
      <c r="K3299" s="28" t="s">
        <v>16223</v>
      </c>
      <c r="L3299" s="28" t="s">
        <v>16224</v>
      </c>
      <c r="M3299" s="28" t="s">
        <v>18028</v>
      </c>
      <c r="N3299" s="28" t="s">
        <v>16226</v>
      </c>
      <c r="O3299" s="28" t="s">
        <v>16227</v>
      </c>
      <c r="P3299" s="28" t="s">
        <v>18029</v>
      </c>
    </row>
    <row r="3300" spans="1:16" x14ac:dyDescent="0.25">
      <c r="A3300" s="28" t="s">
        <v>18030</v>
      </c>
      <c r="B3300" s="28" t="s">
        <v>18031</v>
      </c>
      <c r="C3300" s="28" t="s">
        <v>1684</v>
      </c>
      <c r="D3300" s="28" t="s">
        <v>1204</v>
      </c>
      <c r="E3300" s="28" t="s">
        <v>13484</v>
      </c>
      <c r="F3300" s="28" t="s">
        <v>21</v>
      </c>
      <c r="G3300" s="28" t="s">
        <v>39</v>
      </c>
      <c r="H3300" s="28" t="s">
        <v>16221</v>
      </c>
      <c r="I3300" s="28" t="s">
        <v>18032</v>
      </c>
      <c r="J3300" s="28" t="s">
        <v>39</v>
      </c>
      <c r="K3300" s="28" t="s">
        <v>16223</v>
      </c>
      <c r="L3300" s="28" t="s">
        <v>16224</v>
      </c>
      <c r="M3300" s="28" t="s">
        <v>18033</v>
      </c>
      <c r="N3300" s="28" t="s">
        <v>16226</v>
      </c>
      <c r="O3300" s="28" t="s">
        <v>16227</v>
      </c>
      <c r="P3300" s="28" t="s">
        <v>18034</v>
      </c>
    </row>
    <row r="3301" spans="1:16" x14ac:dyDescent="0.25">
      <c r="A3301" s="28" t="s">
        <v>18035</v>
      </c>
      <c r="B3301" s="28" t="s">
        <v>18036</v>
      </c>
      <c r="C3301" s="28" t="s">
        <v>1684</v>
      </c>
      <c r="D3301" s="28" t="s">
        <v>1204</v>
      </c>
      <c r="E3301" s="28" t="s">
        <v>18037</v>
      </c>
      <c r="F3301" s="28" t="s">
        <v>21</v>
      </c>
      <c r="G3301" s="28" t="s">
        <v>39</v>
      </c>
      <c r="H3301" s="28" t="s">
        <v>16221</v>
      </c>
      <c r="I3301" s="28" t="s">
        <v>18038</v>
      </c>
      <c r="J3301" s="28" t="s">
        <v>39</v>
      </c>
      <c r="K3301" s="28" t="s">
        <v>16223</v>
      </c>
      <c r="L3301" s="28" t="s">
        <v>16224</v>
      </c>
      <c r="M3301" s="28" t="s">
        <v>18039</v>
      </c>
      <c r="N3301" s="28" t="s">
        <v>16226</v>
      </c>
      <c r="O3301" s="28" t="s">
        <v>16227</v>
      </c>
      <c r="P3301" s="28" t="s">
        <v>18040</v>
      </c>
    </row>
    <row r="3302" spans="1:16" x14ac:dyDescent="0.25">
      <c r="A3302" s="28" t="s">
        <v>18041</v>
      </c>
      <c r="B3302" s="28" t="s">
        <v>18042</v>
      </c>
      <c r="C3302" s="28" t="s">
        <v>1684</v>
      </c>
      <c r="D3302" s="28" t="s">
        <v>69</v>
      </c>
      <c r="E3302" s="28" t="s">
        <v>18043</v>
      </c>
      <c r="F3302" s="28" t="s">
        <v>21</v>
      </c>
      <c r="G3302" s="28" t="s">
        <v>39</v>
      </c>
      <c r="H3302" s="28" t="s">
        <v>16221</v>
      </c>
      <c r="I3302" s="28" t="s">
        <v>18044</v>
      </c>
      <c r="J3302" s="28" t="s">
        <v>39</v>
      </c>
      <c r="K3302" s="28" t="s">
        <v>16223</v>
      </c>
      <c r="L3302" s="28" t="s">
        <v>16224</v>
      </c>
      <c r="M3302" s="28" t="s">
        <v>18045</v>
      </c>
      <c r="N3302" s="28" t="s">
        <v>16226</v>
      </c>
      <c r="O3302" s="28" t="s">
        <v>16227</v>
      </c>
      <c r="P3302" s="28" t="s">
        <v>18046</v>
      </c>
    </row>
    <row r="3303" spans="1:16" x14ac:dyDescent="0.25">
      <c r="A3303" s="28" t="s">
        <v>18047</v>
      </c>
      <c r="B3303" s="28" t="s">
        <v>18048</v>
      </c>
      <c r="C3303" s="28" t="s">
        <v>1684</v>
      </c>
      <c r="D3303" s="28" t="s">
        <v>69</v>
      </c>
      <c r="E3303" s="28" t="s">
        <v>18049</v>
      </c>
      <c r="F3303" s="28" t="s">
        <v>21</v>
      </c>
      <c r="G3303" s="28" t="s">
        <v>39</v>
      </c>
      <c r="H3303" s="28" t="s">
        <v>16221</v>
      </c>
      <c r="I3303" s="28" t="s">
        <v>18050</v>
      </c>
      <c r="J3303" s="28" t="s">
        <v>39</v>
      </c>
      <c r="K3303" s="28" t="s">
        <v>16223</v>
      </c>
      <c r="L3303" s="28" t="s">
        <v>16224</v>
      </c>
      <c r="M3303" s="28" t="s">
        <v>18051</v>
      </c>
      <c r="N3303" s="28" t="s">
        <v>16226</v>
      </c>
      <c r="O3303" s="28" t="s">
        <v>16227</v>
      </c>
      <c r="P3303" s="28" t="s">
        <v>18052</v>
      </c>
    </row>
    <row r="3304" spans="1:16" x14ac:dyDescent="0.25">
      <c r="A3304" s="28" t="s">
        <v>18053</v>
      </c>
      <c r="B3304" s="28" t="s">
        <v>18054</v>
      </c>
      <c r="C3304" s="28" t="s">
        <v>1684</v>
      </c>
      <c r="D3304" s="28" t="s">
        <v>69</v>
      </c>
      <c r="E3304" s="28" t="s">
        <v>18055</v>
      </c>
      <c r="F3304" s="28" t="s">
        <v>21</v>
      </c>
      <c r="G3304" s="28" t="s">
        <v>39</v>
      </c>
      <c r="H3304" s="28" t="s">
        <v>16221</v>
      </c>
      <c r="I3304" s="28" t="s">
        <v>18056</v>
      </c>
      <c r="J3304" s="28" t="s">
        <v>39</v>
      </c>
      <c r="K3304" s="28" t="s">
        <v>16223</v>
      </c>
      <c r="L3304" s="28" t="s">
        <v>16224</v>
      </c>
      <c r="M3304" s="28" t="s">
        <v>18057</v>
      </c>
      <c r="N3304" s="28" t="s">
        <v>16226</v>
      </c>
      <c r="O3304" s="28" t="s">
        <v>16227</v>
      </c>
      <c r="P3304" s="28" t="s">
        <v>18058</v>
      </c>
    </row>
    <row r="3305" spans="1:16" x14ac:dyDescent="0.25">
      <c r="A3305" s="28" t="s">
        <v>18059</v>
      </c>
      <c r="B3305" s="28" t="s">
        <v>18060</v>
      </c>
      <c r="C3305" s="28" t="s">
        <v>1684</v>
      </c>
      <c r="D3305" s="28" t="s">
        <v>69</v>
      </c>
      <c r="E3305" s="28" t="s">
        <v>18061</v>
      </c>
      <c r="F3305" s="28" t="s">
        <v>21</v>
      </c>
      <c r="G3305" s="28" t="s">
        <v>39</v>
      </c>
      <c r="H3305" s="28" t="s">
        <v>16221</v>
      </c>
      <c r="I3305" s="28" t="s">
        <v>18062</v>
      </c>
      <c r="J3305" s="28" t="s">
        <v>39</v>
      </c>
      <c r="K3305" s="28" t="s">
        <v>16223</v>
      </c>
      <c r="L3305" s="28" t="s">
        <v>16224</v>
      </c>
      <c r="M3305" s="28" t="s">
        <v>18063</v>
      </c>
      <c r="N3305" s="28" t="s">
        <v>16226</v>
      </c>
      <c r="O3305" s="28" t="s">
        <v>16227</v>
      </c>
      <c r="P3305" s="28" t="s">
        <v>18064</v>
      </c>
    </row>
    <row r="3306" spans="1:16" x14ac:dyDescent="0.25">
      <c r="A3306" s="28" t="s">
        <v>18065</v>
      </c>
      <c r="B3306" s="28" t="s">
        <v>18066</v>
      </c>
      <c r="C3306" s="28" t="s">
        <v>1684</v>
      </c>
      <c r="D3306" s="28" t="s">
        <v>69</v>
      </c>
      <c r="E3306" s="28" t="s">
        <v>18067</v>
      </c>
      <c r="F3306" s="28" t="s">
        <v>21</v>
      </c>
      <c r="G3306" s="28" t="s">
        <v>39</v>
      </c>
      <c r="H3306" s="28" t="s">
        <v>16221</v>
      </c>
      <c r="I3306" s="28" t="s">
        <v>18068</v>
      </c>
      <c r="J3306" s="28" t="s">
        <v>39</v>
      </c>
      <c r="K3306" s="28" t="s">
        <v>16223</v>
      </c>
      <c r="L3306" s="28" t="s">
        <v>16224</v>
      </c>
      <c r="M3306" s="28" t="s">
        <v>18069</v>
      </c>
      <c r="N3306" s="28" t="s">
        <v>16226</v>
      </c>
      <c r="O3306" s="28" t="s">
        <v>16227</v>
      </c>
      <c r="P3306" s="28" t="s">
        <v>18070</v>
      </c>
    </row>
    <row r="3307" spans="1:16" x14ac:dyDescent="0.25">
      <c r="A3307" s="28" t="s">
        <v>18071</v>
      </c>
      <c r="B3307" s="28" t="s">
        <v>18072</v>
      </c>
      <c r="C3307" s="28" t="s">
        <v>1684</v>
      </c>
      <c r="D3307" s="28" t="s">
        <v>69</v>
      </c>
      <c r="E3307" s="28" t="s">
        <v>18073</v>
      </c>
      <c r="F3307" s="28" t="s">
        <v>21</v>
      </c>
      <c r="G3307" s="28" t="s">
        <v>39</v>
      </c>
      <c r="H3307" s="28" t="s">
        <v>16221</v>
      </c>
      <c r="I3307" s="28" t="s">
        <v>18074</v>
      </c>
      <c r="J3307" s="28" t="s">
        <v>39</v>
      </c>
      <c r="K3307" s="28" t="s">
        <v>16223</v>
      </c>
      <c r="L3307" s="28" t="s">
        <v>16224</v>
      </c>
      <c r="M3307" s="28" t="s">
        <v>18075</v>
      </c>
      <c r="N3307" s="28" t="s">
        <v>16226</v>
      </c>
      <c r="O3307" s="28" t="s">
        <v>16227</v>
      </c>
      <c r="P3307" s="28" t="s">
        <v>18076</v>
      </c>
    </row>
    <row r="3308" spans="1:16" x14ac:dyDescent="0.25">
      <c r="A3308" s="28" t="s">
        <v>18077</v>
      </c>
      <c r="B3308" s="28" t="s">
        <v>18078</v>
      </c>
      <c r="C3308" s="28" t="s">
        <v>1684</v>
      </c>
      <c r="D3308" s="28" t="s">
        <v>69</v>
      </c>
      <c r="E3308" s="28" t="s">
        <v>18079</v>
      </c>
      <c r="F3308" s="28" t="s">
        <v>21</v>
      </c>
      <c r="G3308" s="28" t="s">
        <v>39</v>
      </c>
      <c r="H3308" s="28" t="s">
        <v>16221</v>
      </c>
      <c r="I3308" s="28" t="s">
        <v>18080</v>
      </c>
      <c r="J3308" s="28" t="s">
        <v>39</v>
      </c>
      <c r="K3308" s="28" t="s">
        <v>16223</v>
      </c>
      <c r="L3308" s="28" t="s">
        <v>16224</v>
      </c>
      <c r="M3308" s="28" t="s">
        <v>18081</v>
      </c>
      <c r="N3308" s="28" t="s">
        <v>16226</v>
      </c>
      <c r="O3308" s="28" t="s">
        <v>16227</v>
      </c>
      <c r="P3308" s="28" t="s">
        <v>18082</v>
      </c>
    </row>
    <row r="3309" spans="1:16" x14ac:dyDescent="0.25">
      <c r="A3309" s="28" t="s">
        <v>18083</v>
      </c>
      <c r="B3309" s="28" t="s">
        <v>18084</v>
      </c>
      <c r="C3309" s="28" t="s">
        <v>1684</v>
      </c>
      <c r="D3309" s="28" t="s">
        <v>69</v>
      </c>
      <c r="E3309" s="28" t="s">
        <v>18085</v>
      </c>
      <c r="F3309" s="28" t="s">
        <v>21</v>
      </c>
      <c r="G3309" s="28" t="s">
        <v>39</v>
      </c>
      <c r="H3309" s="28" t="s">
        <v>16221</v>
      </c>
      <c r="I3309" s="28" t="s">
        <v>18086</v>
      </c>
      <c r="J3309" s="28" t="s">
        <v>39</v>
      </c>
      <c r="K3309" s="28" t="s">
        <v>16223</v>
      </c>
      <c r="L3309" s="28" t="s">
        <v>16224</v>
      </c>
      <c r="M3309" s="28" t="s">
        <v>18087</v>
      </c>
      <c r="N3309" s="28" t="s">
        <v>16226</v>
      </c>
      <c r="O3309" s="28" t="s">
        <v>16227</v>
      </c>
      <c r="P3309" s="28" t="s">
        <v>18088</v>
      </c>
    </row>
    <row r="3310" spans="1:16" x14ac:dyDescent="0.25">
      <c r="A3310" s="28" t="s">
        <v>18089</v>
      </c>
      <c r="B3310" s="28" t="s">
        <v>18090</v>
      </c>
      <c r="C3310" s="28" t="s">
        <v>1684</v>
      </c>
      <c r="D3310" s="28" t="s">
        <v>69</v>
      </c>
      <c r="E3310" s="28" t="s">
        <v>18091</v>
      </c>
      <c r="F3310" s="28" t="s">
        <v>21</v>
      </c>
      <c r="G3310" s="28" t="s">
        <v>39</v>
      </c>
      <c r="H3310" s="28" t="s">
        <v>16221</v>
      </c>
      <c r="I3310" s="28" t="s">
        <v>18092</v>
      </c>
      <c r="J3310" s="28" t="s">
        <v>39</v>
      </c>
      <c r="K3310" s="28" t="s">
        <v>16223</v>
      </c>
      <c r="L3310" s="28" t="s">
        <v>16224</v>
      </c>
      <c r="M3310" s="28" t="s">
        <v>18093</v>
      </c>
      <c r="N3310" s="28" t="s">
        <v>16226</v>
      </c>
      <c r="O3310" s="28" t="s">
        <v>16227</v>
      </c>
      <c r="P3310" s="28" t="s">
        <v>18094</v>
      </c>
    </row>
    <row r="3311" spans="1:16" x14ac:dyDescent="0.25">
      <c r="A3311" s="28" t="s">
        <v>18095</v>
      </c>
      <c r="B3311" s="28" t="s">
        <v>18096</v>
      </c>
      <c r="C3311" s="28" t="s">
        <v>1684</v>
      </c>
      <c r="D3311" s="28" t="s">
        <v>1271</v>
      </c>
      <c r="E3311" s="28" t="s">
        <v>14019</v>
      </c>
      <c r="F3311" s="28" t="s">
        <v>21</v>
      </c>
      <c r="G3311" s="28" t="s">
        <v>39</v>
      </c>
      <c r="H3311" s="28" t="s">
        <v>16221</v>
      </c>
      <c r="I3311" s="28" t="s">
        <v>18097</v>
      </c>
      <c r="J3311" s="28" t="s">
        <v>39</v>
      </c>
      <c r="K3311" s="28" t="s">
        <v>16223</v>
      </c>
      <c r="L3311" s="28" t="s">
        <v>16224</v>
      </c>
      <c r="M3311" s="28" t="s">
        <v>18098</v>
      </c>
      <c r="N3311" s="28" t="s">
        <v>16226</v>
      </c>
      <c r="O3311" s="28" t="s">
        <v>16227</v>
      </c>
      <c r="P3311" s="28" t="s">
        <v>18099</v>
      </c>
    </row>
    <row r="3312" spans="1:16" x14ac:dyDescent="0.25">
      <c r="A3312" s="28" t="s">
        <v>18100</v>
      </c>
      <c r="B3312" s="28" t="s">
        <v>18101</v>
      </c>
      <c r="C3312" s="28" t="s">
        <v>1684</v>
      </c>
      <c r="D3312" s="28" t="s">
        <v>1271</v>
      </c>
      <c r="E3312" s="28" t="s">
        <v>14024</v>
      </c>
      <c r="F3312" s="28" t="s">
        <v>21</v>
      </c>
      <c r="G3312" s="28" t="s">
        <v>39</v>
      </c>
      <c r="H3312" s="28" t="s">
        <v>16221</v>
      </c>
      <c r="I3312" s="28" t="s">
        <v>18102</v>
      </c>
      <c r="J3312" s="28" t="s">
        <v>39</v>
      </c>
      <c r="K3312" s="28" t="s">
        <v>16223</v>
      </c>
      <c r="L3312" s="28" t="s">
        <v>16224</v>
      </c>
      <c r="M3312" s="28" t="s">
        <v>18103</v>
      </c>
      <c r="N3312" s="28" t="s">
        <v>16226</v>
      </c>
      <c r="O3312" s="28" t="s">
        <v>16227</v>
      </c>
      <c r="P3312" s="28" t="s">
        <v>18104</v>
      </c>
    </row>
    <row r="3313" spans="1:16" x14ac:dyDescent="0.25">
      <c r="A3313" s="28" t="s">
        <v>18105</v>
      </c>
      <c r="B3313" s="28" t="s">
        <v>18106</v>
      </c>
      <c r="C3313" s="28" t="s">
        <v>1684</v>
      </c>
      <c r="D3313" s="28" t="s">
        <v>1271</v>
      </c>
      <c r="E3313" s="28" t="s">
        <v>14029</v>
      </c>
      <c r="F3313" s="28" t="s">
        <v>21</v>
      </c>
      <c r="G3313" s="28" t="s">
        <v>39</v>
      </c>
      <c r="H3313" s="28" t="s">
        <v>16221</v>
      </c>
      <c r="I3313" s="28" t="s">
        <v>18107</v>
      </c>
      <c r="J3313" s="28" t="s">
        <v>39</v>
      </c>
      <c r="K3313" s="28" t="s">
        <v>16223</v>
      </c>
      <c r="L3313" s="28" t="s">
        <v>16224</v>
      </c>
      <c r="M3313" s="28" t="s">
        <v>18108</v>
      </c>
      <c r="N3313" s="28" t="s">
        <v>16226</v>
      </c>
      <c r="O3313" s="28" t="s">
        <v>16227</v>
      </c>
      <c r="P3313" s="28" t="s">
        <v>18109</v>
      </c>
    </row>
    <row r="3314" spans="1:16" x14ac:dyDescent="0.25">
      <c r="A3314" s="28" t="s">
        <v>18110</v>
      </c>
      <c r="B3314" s="28" t="s">
        <v>18111</v>
      </c>
      <c r="C3314" s="28" t="s">
        <v>1684</v>
      </c>
      <c r="D3314" s="28" t="s">
        <v>1271</v>
      </c>
      <c r="E3314" s="28" t="s">
        <v>14029</v>
      </c>
      <c r="F3314" s="28" t="s">
        <v>21</v>
      </c>
      <c r="G3314" s="28" t="s">
        <v>39</v>
      </c>
      <c r="H3314" s="28" t="s">
        <v>16221</v>
      </c>
      <c r="I3314" s="28" t="s">
        <v>18112</v>
      </c>
      <c r="J3314" s="28" t="s">
        <v>39</v>
      </c>
      <c r="K3314" s="28" t="s">
        <v>16223</v>
      </c>
      <c r="L3314" s="28" t="s">
        <v>16224</v>
      </c>
      <c r="M3314" s="28" t="s">
        <v>18113</v>
      </c>
      <c r="N3314" s="28" t="s">
        <v>16226</v>
      </c>
      <c r="O3314" s="28" t="s">
        <v>16227</v>
      </c>
      <c r="P3314" s="28" t="s">
        <v>18109</v>
      </c>
    </row>
    <row r="3315" spans="1:16" x14ac:dyDescent="0.25">
      <c r="A3315" s="28" t="s">
        <v>18114</v>
      </c>
      <c r="B3315" s="28" t="s">
        <v>18115</v>
      </c>
      <c r="C3315" s="28" t="s">
        <v>1684</v>
      </c>
      <c r="D3315" s="28" t="s">
        <v>1271</v>
      </c>
      <c r="E3315" s="28" t="s">
        <v>14254</v>
      </c>
      <c r="F3315" s="28" t="s">
        <v>21</v>
      </c>
      <c r="G3315" s="28" t="s">
        <v>39</v>
      </c>
      <c r="H3315" s="28" t="s">
        <v>16221</v>
      </c>
      <c r="I3315" s="28" t="s">
        <v>18116</v>
      </c>
      <c r="J3315" s="28" t="s">
        <v>39</v>
      </c>
      <c r="K3315" s="28" t="s">
        <v>16223</v>
      </c>
      <c r="L3315" s="28" t="s">
        <v>16224</v>
      </c>
      <c r="M3315" s="28" t="s">
        <v>18117</v>
      </c>
      <c r="N3315" s="28" t="s">
        <v>16226</v>
      </c>
      <c r="O3315" s="28" t="s">
        <v>16227</v>
      </c>
      <c r="P3315" s="28" t="s">
        <v>18118</v>
      </c>
    </row>
    <row r="3316" spans="1:16" x14ac:dyDescent="0.25">
      <c r="A3316" s="28" t="s">
        <v>18119</v>
      </c>
      <c r="B3316" s="28" t="s">
        <v>18120</v>
      </c>
      <c r="C3316" s="28" t="s">
        <v>1684</v>
      </c>
      <c r="D3316" s="28" t="s">
        <v>1271</v>
      </c>
      <c r="E3316" s="28" t="s">
        <v>18121</v>
      </c>
      <c r="F3316" s="28" t="s">
        <v>21</v>
      </c>
      <c r="G3316" s="28" t="s">
        <v>39</v>
      </c>
      <c r="H3316" s="28" t="s">
        <v>16221</v>
      </c>
      <c r="I3316" s="28" t="s">
        <v>18122</v>
      </c>
      <c r="J3316" s="28" t="s">
        <v>39</v>
      </c>
      <c r="K3316" s="28" t="s">
        <v>16223</v>
      </c>
      <c r="L3316" s="28" t="s">
        <v>16224</v>
      </c>
      <c r="M3316" s="28" t="s">
        <v>18123</v>
      </c>
      <c r="N3316" s="28" t="s">
        <v>16226</v>
      </c>
      <c r="O3316" s="28" t="s">
        <v>16227</v>
      </c>
      <c r="P3316" s="28" t="s">
        <v>18124</v>
      </c>
    </row>
    <row r="3317" spans="1:16" x14ac:dyDescent="0.25">
      <c r="A3317" s="28" t="s">
        <v>18125</v>
      </c>
      <c r="B3317" s="28" t="s">
        <v>18126</v>
      </c>
      <c r="C3317" s="28" t="s">
        <v>1684</v>
      </c>
      <c r="D3317" s="28" t="s">
        <v>1271</v>
      </c>
      <c r="E3317" s="28" t="s">
        <v>1300</v>
      </c>
      <c r="F3317" s="28" t="s">
        <v>21</v>
      </c>
      <c r="G3317" s="28" t="s">
        <v>39</v>
      </c>
      <c r="H3317" s="28" t="s">
        <v>16221</v>
      </c>
      <c r="I3317" s="28" t="s">
        <v>18127</v>
      </c>
      <c r="J3317" s="28" t="s">
        <v>39</v>
      </c>
      <c r="K3317" s="28" t="s">
        <v>16223</v>
      </c>
      <c r="L3317" s="28" t="s">
        <v>16224</v>
      </c>
      <c r="M3317" s="28" t="s">
        <v>18128</v>
      </c>
      <c r="N3317" s="28" t="s">
        <v>16226</v>
      </c>
      <c r="O3317" s="28" t="s">
        <v>16227</v>
      </c>
      <c r="P3317" s="28" t="s">
        <v>18129</v>
      </c>
    </row>
    <row r="3318" spans="1:16" x14ac:dyDescent="0.25">
      <c r="A3318" s="28" t="s">
        <v>18130</v>
      </c>
      <c r="B3318" s="28" t="s">
        <v>18131</v>
      </c>
      <c r="C3318" s="28" t="s">
        <v>1684</v>
      </c>
      <c r="D3318" s="28" t="s">
        <v>2583</v>
      </c>
      <c r="E3318" s="28" t="s">
        <v>14932</v>
      </c>
      <c r="F3318" s="28" t="s">
        <v>21</v>
      </c>
      <c r="G3318" s="28" t="s">
        <v>39</v>
      </c>
      <c r="H3318" s="28" t="s">
        <v>16221</v>
      </c>
      <c r="I3318" s="28" t="s">
        <v>18132</v>
      </c>
      <c r="J3318" s="28" t="s">
        <v>39</v>
      </c>
      <c r="K3318" s="28" t="s">
        <v>16223</v>
      </c>
      <c r="L3318" s="28" t="s">
        <v>16224</v>
      </c>
      <c r="M3318" s="28" t="s">
        <v>18133</v>
      </c>
      <c r="N3318" s="28" t="s">
        <v>16226</v>
      </c>
      <c r="O3318" s="28" t="s">
        <v>16227</v>
      </c>
      <c r="P3318" s="28" t="s">
        <v>18134</v>
      </c>
    </row>
    <row r="3319" spans="1:16" x14ac:dyDescent="0.25">
      <c r="A3319" s="28" t="s">
        <v>18135</v>
      </c>
      <c r="B3319" s="28" t="s">
        <v>18136</v>
      </c>
      <c r="C3319" s="28" t="s">
        <v>1684</v>
      </c>
      <c r="D3319" s="28" t="s">
        <v>2583</v>
      </c>
      <c r="E3319" s="28" t="s">
        <v>18137</v>
      </c>
      <c r="F3319" s="28" t="s">
        <v>21</v>
      </c>
      <c r="G3319" s="28" t="s">
        <v>39</v>
      </c>
      <c r="H3319" s="28" t="s">
        <v>16221</v>
      </c>
      <c r="I3319" s="28" t="s">
        <v>18138</v>
      </c>
      <c r="J3319" s="28" t="s">
        <v>39</v>
      </c>
      <c r="K3319" s="28" t="s">
        <v>16223</v>
      </c>
      <c r="L3319" s="28" t="s">
        <v>16224</v>
      </c>
      <c r="M3319" s="28" t="s">
        <v>18139</v>
      </c>
      <c r="N3319" s="28" t="s">
        <v>16226</v>
      </c>
      <c r="O3319" s="28" t="s">
        <v>16227</v>
      </c>
      <c r="P3319" s="28" t="s">
        <v>18140</v>
      </c>
    </row>
    <row r="3320" spans="1:16" x14ac:dyDescent="0.25">
      <c r="A3320" s="28" t="s">
        <v>18141</v>
      </c>
      <c r="B3320" s="28" t="s">
        <v>18142</v>
      </c>
      <c r="C3320" s="28" t="s">
        <v>1684</v>
      </c>
      <c r="D3320" s="28" t="s">
        <v>2583</v>
      </c>
      <c r="E3320" s="28" t="s">
        <v>14938</v>
      </c>
      <c r="F3320" s="28" t="s">
        <v>21</v>
      </c>
      <c r="G3320" s="28" t="s">
        <v>39</v>
      </c>
      <c r="H3320" s="28" t="s">
        <v>16221</v>
      </c>
      <c r="I3320" s="28" t="s">
        <v>18143</v>
      </c>
      <c r="J3320" s="28" t="s">
        <v>39</v>
      </c>
      <c r="K3320" s="28" t="s">
        <v>16223</v>
      </c>
      <c r="L3320" s="28" t="s">
        <v>16224</v>
      </c>
      <c r="M3320" s="28" t="s">
        <v>18144</v>
      </c>
      <c r="N3320" s="28" t="s">
        <v>16226</v>
      </c>
      <c r="O3320" s="28" t="s">
        <v>16227</v>
      </c>
      <c r="P3320" s="28" t="s">
        <v>18145</v>
      </c>
    </row>
    <row r="3321" spans="1:16" x14ac:dyDescent="0.25">
      <c r="A3321" s="28" t="s">
        <v>18146</v>
      </c>
      <c r="B3321" s="28" t="s">
        <v>18147</v>
      </c>
      <c r="C3321" s="28" t="s">
        <v>1684</v>
      </c>
      <c r="D3321" s="28" t="s">
        <v>82</v>
      </c>
      <c r="E3321" s="28" t="s">
        <v>14954</v>
      </c>
      <c r="F3321" s="28" t="s">
        <v>21</v>
      </c>
      <c r="G3321" s="28" t="s">
        <v>39</v>
      </c>
      <c r="H3321" s="28" t="s">
        <v>16221</v>
      </c>
      <c r="I3321" s="28" t="s">
        <v>18148</v>
      </c>
      <c r="J3321" s="28" t="s">
        <v>39</v>
      </c>
      <c r="K3321" s="28" t="s">
        <v>16223</v>
      </c>
      <c r="L3321" s="28" t="s">
        <v>16224</v>
      </c>
      <c r="M3321" s="28" t="s">
        <v>18149</v>
      </c>
      <c r="N3321" s="28" t="s">
        <v>16226</v>
      </c>
      <c r="O3321" s="28" t="s">
        <v>16227</v>
      </c>
      <c r="P3321" s="28" t="s">
        <v>18150</v>
      </c>
    </row>
    <row r="3322" spans="1:16" x14ac:dyDescent="0.25">
      <c r="A3322" s="28" t="s">
        <v>18151</v>
      </c>
      <c r="B3322" s="28" t="s">
        <v>18152</v>
      </c>
      <c r="C3322" s="28" t="s">
        <v>1684</v>
      </c>
      <c r="D3322" s="28" t="s">
        <v>82</v>
      </c>
      <c r="E3322" s="28" t="s">
        <v>18153</v>
      </c>
      <c r="F3322" s="28" t="s">
        <v>21</v>
      </c>
      <c r="G3322" s="28" t="s">
        <v>39</v>
      </c>
      <c r="H3322" s="28" t="s">
        <v>16221</v>
      </c>
      <c r="I3322" s="28" t="s">
        <v>18154</v>
      </c>
      <c r="J3322" s="28" t="s">
        <v>39</v>
      </c>
      <c r="K3322" s="28" t="s">
        <v>16223</v>
      </c>
      <c r="L3322" s="28" t="s">
        <v>16224</v>
      </c>
      <c r="M3322" s="28" t="s">
        <v>18155</v>
      </c>
      <c r="N3322" s="28" t="s">
        <v>16226</v>
      </c>
      <c r="O3322" s="28" t="s">
        <v>16227</v>
      </c>
      <c r="P3322" s="28" t="s">
        <v>18156</v>
      </c>
    </row>
    <row r="3323" spans="1:16" x14ac:dyDescent="0.25">
      <c r="A3323" s="28" t="s">
        <v>18157</v>
      </c>
      <c r="B3323" s="28" t="s">
        <v>18158</v>
      </c>
      <c r="C3323" s="28" t="s">
        <v>1684</v>
      </c>
      <c r="D3323" s="28" t="s">
        <v>5328</v>
      </c>
      <c r="E3323" s="28" t="s">
        <v>18159</v>
      </c>
      <c r="F3323" s="28" t="s">
        <v>21</v>
      </c>
      <c r="G3323" s="28" t="s">
        <v>39</v>
      </c>
      <c r="H3323" s="28" t="s">
        <v>16221</v>
      </c>
      <c r="I3323" s="28" t="s">
        <v>18160</v>
      </c>
      <c r="J3323" s="28" t="s">
        <v>39</v>
      </c>
      <c r="K3323" s="28" t="s">
        <v>16223</v>
      </c>
      <c r="L3323" s="28" t="s">
        <v>16224</v>
      </c>
      <c r="M3323" s="28" t="s">
        <v>18161</v>
      </c>
      <c r="N3323" s="28" t="s">
        <v>16226</v>
      </c>
      <c r="O3323" s="28" t="s">
        <v>16227</v>
      </c>
      <c r="P3323" s="28" t="s">
        <v>18162</v>
      </c>
    </row>
    <row r="3324" spans="1:16" x14ac:dyDescent="0.25">
      <c r="A3324" s="28" t="s">
        <v>18163</v>
      </c>
      <c r="B3324" s="28" t="s">
        <v>18164</v>
      </c>
      <c r="C3324" s="28" t="s">
        <v>1684</v>
      </c>
      <c r="D3324" s="28" t="s">
        <v>5328</v>
      </c>
      <c r="E3324" s="28" t="s">
        <v>18165</v>
      </c>
      <c r="F3324" s="28" t="s">
        <v>21</v>
      </c>
      <c r="G3324" s="28" t="s">
        <v>39</v>
      </c>
      <c r="H3324" s="28" t="s">
        <v>16221</v>
      </c>
      <c r="I3324" s="28" t="s">
        <v>18166</v>
      </c>
      <c r="J3324" s="28" t="s">
        <v>39</v>
      </c>
      <c r="K3324" s="28" t="s">
        <v>16223</v>
      </c>
      <c r="L3324" s="28" t="s">
        <v>16224</v>
      </c>
      <c r="M3324" s="28" t="s">
        <v>18167</v>
      </c>
      <c r="N3324" s="28" t="s">
        <v>16226</v>
      </c>
      <c r="O3324" s="28" t="s">
        <v>16227</v>
      </c>
      <c r="P3324" s="28" t="s">
        <v>18168</v>
      </c>
    </row>
    <row r="3325" spans="1:16" x14ac:dyDescent="0.25">
      <c r="A3325" s="28" t="s">
        <v>18169</v>
      </c>
      <c r="B3325" s="28" t="s">
        <v>18170</v>
      </c>
      <c r="C3325" s="28" t="s">
        <v>1684</v>
      </c>
      <c r="D3325" s="28" t="s">
        <v>5328</v>
      </c>
      <c r="E3325" s="28" t="s">
        <v>2789</v>
      </c>
      <c r="F3325" s="28" t="s">
        <v>21</v>
      </c>
      <c r="G3325" s="28" t="s">
        <v>39</v>
      </c>
      <c r="H3325" s="28" t="s">
        <v>16221</v>
      </c>
      <c r="I3325" s="28" t="s">
        <v>18171</v>
      </c>
      <c r="J3325" s="28" t="s">
        <v>39</v>
      </c>
      <c r="K3325" s="28" t="s">
        <v>16223</v>
      </c>
      <c r="L3325" s="28" t="s">
        <v>16224</v>
      </c>
      <c r="M3325" s="28" t="s">
        <v>18172</v>
      </c>
      <c r="N3325" s="28" t="s">
        <v>16226</v>
      </c>
      <c r="O3325" s="28" t="s">
        <v>16227</v>
      </c>
      <c r="P3325" s="28" t="s">
        <v>18173</v>
      </c>
    </row>
    <row r="3326" spans="1:16" x14ac:dyDescent="0.25">
      <c r="A3326" s="28" t="s">
        <v>18174</v>
      </c>
      <c r="B3326" s="28" t="s">
        <v>18175</v>
      </c>
      <c r="C3326" s="28" t="s">
        <v>1684</v>
      </c>
      <c r="D3326" s="28" t="s">
        <v>5328</v>
      </c>
      <c r="E3326" s="28" t="s">
        <v>2789</v>
      </c>
      <c r="F3326" s="28" t="s">
        <v>21</v>
      </c>
      <c r="G3326" s="28" t="s">
        <v>39</v>
      </c>
      <c r="H3326" s="28" t="s">
        <v>16221</v>
      </c>
      <c r="I3326" s="28" t="s">
        <v>18176</v>
      </c>
      <c r="J3326" s="28" t="s">
        <v>39</v>
      </c>
      <c r="K3326" s="28" t="s">
        <v>16223</v>
      </c>
      <c r="L3326" s="28" t="s">
        <v>16224</v>
      </c>
      <c r="M3326" s="28" t="s">
        <v>18177</v>
      </c>
      <c r="N3326" s="28" t="s">
        <v>16226</v>
      </c>
      <c r="O3326" s="28" t="s">
        <v>16227</v>
      </c>
      <c r="P3326" s="28" t="s">
        <v>18173</v>
      </c>
    </row>
    <row r="3327" spans="1:16" x14ac:dyDescent="0.25">
      <c r="A3327" s="28" t="s">
        <v>18178</v>
      </c>
      <c r="B3327" s="28" t="s">
        <v>18179</v>
      </c>
      <c r="C3327" s="28" t="s">
        <v>1684</v>
      </c>
      <c r="D3327" s="28" t="s">
        <v>5328</v>
      </c>
      <c r="E3327" s="28" t="s">
        <v>2789</v>
      </c>
      <c r="F3327" s="28" t="s">
        <v>21</v>
      </c>
      <c r="G3327" s="28" t="s">
        <v>39</v>
      </c>
      <c r="H3327" s="28" t="s">
        <v>16221</v>
      </c>
      <c r="I3327" s="28" t="s">
        <v>18180</v>
      </c>
      <c r="J3327" s="28" t="s">
        <v>39</v>
      </c>
      <c r="K3327" s="28" t="s">
        <v>16223</v>
      </c>
      <c r="L3327" s="28" t="s">
        <v>16224</v>
      </c>
      <c r="M3327" s="28" t="s">
        <v>18181</v>
      </c>
      <c r="N3327" s="28" t="s">
        <v>16226</v>
      </c>
      <c r="O3327" s="28" t="s">
        <v>16227</v>
      </c>
      <c r="P3327" s="28" t="s">
        <v>18173</v>
      </c>
    </row>
    <row r="3328" spans="1:16" x14ac:dyDescent="0.25">
      <c r="A3328" s="28" t="s">
        <v>18182</v>
      </c>
      <c r="B3328" s="28" t="s">
        <v>18183</v>
      </c>
      <c r="C3328" s="28" t="s">
        <v>1684</v>
      </c>
      <c r="D3328" s="28" t="s">
        <v>5328</v>
      </c>
      <c r="E3328" s="28" t="s">
        <v>2789</v>
      </c>
      <c r="F3328" s="28" t="s">
        <v>21</v>
      </c>
      <c r="G3328" s="28" t="s">
        <v>39</v>
      </c>
      <c r="H3328" s="28" t="s">
        <v>16221</v>
      </c>
      <c r="I3328" s="28" t="s">
        <v>18184</v>
      </c>
      <c r="J3328" s="28" t="s">
        <v>39</v>
      </c>
      <c r="K3328" s="28" t="s">
        <v>16223</v>
      </c>
      <c r="L3328" s="28" t="s">
        <v>16224</v>
      </c>
      <c r="M3328" s="28" t="s">
        <v>18185</v>
      </c>
      <c r="N3328" s="28" t="s">
        <v>16226</v>
      </c>
      <c r="O3328" s="28" t="s">
        <v>16227</v>
      </c>
      <c r="P3328" s="28" t="s">
        <v>18173</v>
      </c>
    </row>
    <row r="3329" spans="1:16" x14ac:dyDescent="0.25">
      <c r="A3329" s="28" t="s">
        <v>18186</v>
      </c>
      <c r="B3329" s="28" t="s">
        <v>18187</v>
      </c>
      <c r="C3329" s="28" t="s">
        <v>1684</v>
      </c>
      <c r="D3329" s="28" t="s">
        <v>5328</v>
      </c>
      <c r="E3329" s="28" t="s">
        <v>2789</v>
      </c>
      <c r="F3329" s="28" t="s">
        <v>21</v>
      </c>
      <c r="G3329" s="28" t="s">
        <v>39</v>
      </c>
      <c r="H3329" s="28" t="s">
        <v>16221</v>
      </c>
      <c r="I3329" s="28" t="s">
        <v>18188</v>
      </c>
      <c r="J3329" s="28" t="s">
        <v>39</v>
      </c>
      <c r="K3329" s="28" t="s">
        <v>16223</v>
      </c>
      <c r="L3329" s="28" t="s">
        <v>16224</v>
      </c>
      <c r="M3329" s="28" t="s">
        <v>18189</v>
      </c>
      <c r="N3329" s="28" t="s">
        <v>16226</v>
      </c>
      <c r="O3329" s="28" t="s">
        <v>16227</v>
      </c>
      <c r="P3329" s="28" t="s">
        <v>18173</v>
      </c>
    </row>
    <row r="3330" spans="1:16" x14ac:dyDescent="0.25">
      <c r="A3330" s="28" t="s">
        <v>18190</v>
      </c>
      <c r="B3330" s="28" t="s">
        <v>18191</v>
      </c>
      <c r="C3330" s="28" t="s">
        <v>1684</v>
      </c>
      <c r="D3330" s="28" t="s">
        <v>5328</v>
      </c>
      <c r="E3330" s="28" t="s">
        <v>2789</v>
      </c>
      <c r="F3330" s="28" t="s">
        <v>21</v>
      </c>
      <c r="G3330" s="28" t="s">
        <v>39</v>
      </c>
      <c r="H3330" s="28" t="s">
        <v>16221</v>
      </c>
      <c r="I3330" s="28" t="s">
        <v>18192</v>
      </c>
      <c r="J3330" s="28" t="s">
        <v>39</v>
      </c>
      <c r="K3330" s="28" t="s">
        <v>16223</v>
      </c>
      <c r="L3330" s="28" t="s">
        <v>16224</v>
      </c>
      <c r="M3330" s="28" t="s">
        <v>18193</v>
      </c>
      <c r="N3330" s="28" t="s">
        <v>16226</v>
      </c>
      <c r="O3330" s="28" t="s">
        <v>16227</v>
      </c>
      <c r="P3330" s="28" t="s">
        <v>18173</v>
      </c>
    </row>
    <row r="3331" spans="1:16" x14ac:dyDescent="0.25">
      <c r="A3331" s="28" t="s">
        <v>18194</v>
      </c>
      <c r="B3331" s="28" t="s">
        <v>18195</v>
      </c>
      <c r="C3331" s="28" t="s">
        <v>1684</v>
      </c>
      <c r="D3331" s="28" t="s">
        <v>5328</v>
      </c>
      <c r="E3331" s="28" t="s">
        <v>18196</v>
      </c>
      <c r="F3331" s="28" t="s">
        <v>21</v>
      </c>
      <c r="G3331" s="28" t="s">
        <v>39</v>
      </c>
      <c r="H3331" s="28" t="s">
        <v>16221</v>
      </c>
      <c r="I3331" s="28" t="s">
        <v>18197</v>
      </c>
      <c r="J3331" s="28" t="s">
        <v>39</v>
      </c>
      <c r="K3331" s="28" t="s">
        <v>16223</v>
      </c>
      <c r="L3331" s="28" t="s">
        <v>16224</v>
      </c>
      <c r="M3331" s="28" t="s">
        <v>18198</v>
      </c>
      <c r="N3331" s="28" t="s">
        <v>16226</v>
      </c>
      <c r="O3331" s="28" t="s">
        <v>16227</v>
      </c>
      <c r="P3331" s="28" t="s">
        <v>18199</v>
      </c>
    </row>
    <row r="3332" spans="1:16" x14ac:dyDescent="0.25">
      <c r="A3332" s="28" t="s">
        <v>18200</v>
      </c>
      <c r="B3332" s="28" t="s">
        <v>18201</v>
      </c>
      <c r="C3332" s="28" t="s">
        <v>1684</v>
      </c>
      <c r="D3332" s="28" t="s">
        <v>3068</v>
      </c>
      <c r="E3332" s="28" t="s">
        <v>16909</v>
      </c>
      <c r="F3332" s="28" t="s">
        <v>21</v>
      </c>
      <c r="G3332" s="28" t="s">
        <v>39</v>
      </c>
      <c r="H3332" s="28" t="s">
        <v>16221</v>
      </c>
      <c r="I3332" s="28" t="s">
        <v>18202</v>
      </c>
      <c r="J3332" s="28" t="s">
        <v>39</v>
      </c>
      <c r="K3332" s="28" t="s">
        <v>16223</v>
      </c>
      <c r="L3332" s="28" t="s">
        <v>16224</v>
      </c>
      <c r="M3332" s="28" t="s">
        <v>18203</v>
      </c>
      <c r="N3332" s="28" t="s">
        <v>16226</v>
      </c>
      <c r="O3332" s="28" t="s">
        <v>16227</v>
      </c>
      <c r="P3332" s="28" t="s">
        <v>16912</v>
      </c>
    </row>
    <row r="3333" spans="1:16" x14ac:dyDescent="0.25">
      <c r="A3333" s="28" t="s">
        <v>18204</v>
      </c>
      <c r="B3333" s="28" t="s">
        <v>18205</v>
      </c>
      <c r="C3333" s="28" t="s">
        <v>1684</v>
      </c>
      <c r="D3333" s="28" t="s">
        <v>5372</v>
      </c>
      <c r="E3333" s="28" t="s">
        <v>18206</v>
      </c>
      <c r="F3333" s="28" t="s">
        <v>21</v>
      </c>
      <c r="G3333" s="28" t="s">
        <v>39</v>
      </c>
      <c r="H3333" s="28" t="s">
        <v>16221</v>
      </c>
      <c r="I3333" s="28" t="s">
        <v>18207</v>
      </c>
      <c r="J3333" s="28" t="s">
        <v>39</v>
      </c>
      <c r="K3333" s="28" t="s">
        <v>16223</v>
      </c>
      <c r="L3333" s="28" t="s">
        <v>16224</v>
      </c>
      <c r="M3333" s="28" t="s">
        <v>18208</v>
      </c>
      <c r="N3333" s="28" t="s">
        <v>16226</v>
      </c>
      <c r="O3333" s="28" t="s">
        <v>16227</v>
      </c>
      <c r="P3333" s="28" t="s">
        <v>18209</v>
      </c>
    </row>
    <row r="3334" spans="1:16" x14ac:dyDescent="0.25">
      <c r="A3334" s="28" t="s">
        <v>18210</v>
      </c>
      <c r="B3334" s="28" t="s">
        <v>18211</v>
      </c>
      <c r="C3334" s="28" t="s">
        <v>1684</v>
      </c>
      <c r="D3334" s="28" t="s">
        <v>3299</v>
      </c>
      <c r="E3334" s="28" t="s">
        <v>18212</v>
      </c>
      <c r="F3334" s="28" t="s">
        <v>21</v>
      </c>
      <c r="G3334" s="28" t="s">
        <v>39</v>
      </c>
      <c r="H3334" s="28" t="s">
        <v>16221</v>
      </c>
      <c r="I3334" s="28" t="s">
        <v>18213</v>
      </c>
      <c r="J3334" s="28" t="s">
        <v>39</v>
      </c>
      <c r="K3334" s="28" t="s">
        <v>16223</v>
      </c>
      <c r="L3334" s="28" t="s">
        <v>16224</v>
      </c>
      <c r="M3334" s="28" t="s">
        <v>18214</v>
      </c>
      <c r="N3334" s="28" t="s">
        <v>16226</v>
      </c>
      <c r="O3334" s="28" t="s">
        <v>16227</v>
      </c>
      <c r="P3334" s="28" t="s">
        <v>18215</v>
      </c>
    </row>
    <row r="3335" spans="1:16" x14ac:dyDescent="0.25">
      <c r="A3335" s="28" t="s">
        <v>18216</v>
      </c>
      <c r="B3335" s="28" t="s">
        <v>18217</v>
      </c>
      <c r="C3335" s="28" t="s">
        <v>1684</v>
      </c>
      <c r="D3335" s="28" t="s">
        <v>3838</v>
      </c>
      <c r="E3335" s="28" t="s">
        <v>18218</v>
      </c>
      <c r="F3335" s="28" t="s">
        <v>21</v>
      </c>
      <c r="G3335" s="28" t="s">
        <v>39</v>
      </c>
      <c r="H3335" s="28" t="s">
        <v>16221</v>
      </c>
      <c r="I3335" s="28" t="s">
        <v>18219</v>
      </c>
      <c r="J3335" s="28" t="s">
        <v>39</v>
      </c>
      <c r="K3335" s="28" t="s">
        <v>16223</v>
      </c>
      <c r="L3335" s="28" t="s">
        <v>16224</v>
      </c>
      <c r="M3335" s="28" t="s">
        <v>18220</v>
      </c>
      <c r="N3335" s="28" t="s">
        <v>16226</v>
      </c>
      <c r="O3335" s="28" t="s">
        <v>16227</v>
      </c>
      <c r="P3335" s="28" t="s">
        <v>18221</v>
      </c>
    </row>
    <row r="3336" spans="1:16" x14ac:dyDescent="0.25">
      <c r="A3336" s="28" t="s">
        <v>18222</v>
      </c>
      <c r="B3336" s="28" t="s">
        <v>18223</v>
      </c>
      <c r="C3336" s="28" t="s">
        <v>1684</v>
      </c>
      <c r="D3336" s="28" t="s">
        <v>18224</v>
      </c>
      <c r="E3336" s="28" t="s">
        <v>18225</v>
      </c>
      <c r="F3336" s="28" t="s">
        <v>21</v>
      </c>
      <c r="G3336" s="28" t="s">
        <v>39</v>
      </c>
      <c r="H3336" s="28" t="s">
        <v>16221</v>
      </c>
      <c r="I3336" s="28" t="s">
        <v>18226</v>
      </c>
      <c r="J3336" s="28" t="s">
        <v>39</v>
      </c>
      <c r="K3336" s="28" t="s">
        <v>16223</v>
      </c>
      <c r="L3336" s="28" t="s">
        <v>16224</v>
      </c>
      <c r="M3336" s="28" t="s">
        <v>18227</v>
      </c>
      <c r="N3336" s="28" t="s">
        <v>16226</v>
      </c>
      <c r="O3336" s="28" t="s">
        <v>16227</v>
      </c>
      <c r="P3336" s="28" t="s">
        <v>18228</v>
      </c>
    </row>
    <row r="3337" spans="1:16" x14ac:dyDescent="0.25">
      <c r="A3337" s="28" t="s">
        <v>18229</v>
      </c>
      <c r="B3337" s="28" t="s">
        <v>18230</v>
      </c>
      <c r="C3337" s="28" t="s">
        <v>1684</v>
      </c>
      <c r="D3337" s="28" t="s">
        <v>9268</v>
      </c>
      <c r="E3337" s="28" t="s">
        <v>18231</v>
      </c>
      <c r="F3337" s="28" t="s">
        <v>21</v>
      </c>
      <c r="G3337" s="28" t="s">
        <v>39</v>
      </c>
      <c r="H3337" s="28" t="s">
        <v>16221</v>
      </c>
      <c r="I3337" s="28" t="s">
        <v>18232</v>
      </c>
      <c r="J3337" s="28" t="s">
        <v>39</v>
      </c>
      <c r="K3337" s="28" t="s">
        <v>16223</v>
      </c>
      <c r="L3337" s="28" t="s">
        <v>16224</v>
      </c>
      <c r="M3337" s="28" t="s">
        <v>18233</v>
      </c>
      <c r="N3337" s="28" t="s">
        <v>16226</v>
      </c>
      <c r="O3337" s="28" t="s">
        <v>16227</v>
      </c>
      <c r="P3337" s="28" t="s">
        <v>18234</v>
      </c>
    </row>
    <row r="3338" spans="1:16" x14ac:dyDescent="0.25">
      <c r="A3338" s="28" t="s">
        <v>18235</v>
      </c>
      <c r="B3338" s="28" t="s">
        <v>18236</v>
      </c>
      <c r="C3338" s="28" t="s">
        <v>1684</v>
      </c>
      <c r="D3338" s="28" t="s">
        <v>9261</v>
      </c>
      <c r="E3338" s="28" t="s">
        <v>18237</v>
      </c>
      <c r="F3338" s="28" t="s">
        <v>21</v>
      </c>
      <c r="G3338" s="28" t="s">
        <v>39</v>
      </c>
      <c r="H3338" s="28" t="s">
        <v>16221</v>
      </c>
      <c r="I3338" s="28" t="s">
        <v>18238</v>
      </c>
      <c r="J3338" s="28" t="s">
        <v>39</v>
      </c>
      <c r="K3338" s="28" t="s">
        <v>16223</v>
      </c>
      <c r="L3338" s="28" t="s">
        <v>16224</v>
      </c>
      <c r="M3338" s="28" t="s">
        <v>18239</v>
      </c>
      <c r="N3338" s="28" t="s">
        <v>16226</v>
      </c>
      <c r="O3338" s="28" t="s">
        <v>16227</v>
      </c>
      <c r="P3338" s="28" t="s">
        <v>18240</v>
      </c>
    </row>
    <row r="3339" spans="1:16" x14ac:dyDescent="0.25">
      <c r="A3339" s="28" t="s">
        <v>18241</v>
      </c>
      <c r="B3339" s="28" t="s">
        <v>18242</v>
      </c>
      <c r="C3339" s="28" t="s">
        <v>1684</v>
      </c>
      <c r="D3339" s="28" t="s">
        <v>17127</v>
      </c>
      <c r="E3339" s="28" t="s">
        <v>18243</v>
      </c>
      <c r="F3339" s="28" t="s">
        <v>21</v>
      </c>
      <c r="G3339" s="28" t="s">
        <v>39</v>
      </c>
      <c r="H3339" s="28" t="s">
        <v>16221</v>
      </c>
      <c r="I3339" s="28" t="s">
        <v>18244</v>
      </c>
      <c r="J3339" s="28" t="s">
        <v>39</v>
      </c>
      <c r="K3339" s="28" t="s">
        <v>16223</v>
      </c>
      <c r="L3339" s="28" t="s">
        <v>16224</v>
      </c>
      <c r="M3339" s="28" t="s">
        <v>18245</v>
      </c>
      <c r="N3339" s="28" t="s">
        <v>16226</v>
      </c>
      <c r="O3339" s="28" t="s">
        <v>16227</v>
      </c>
      <c r="P3339" s="28" t="s">
        <v>18246</v>
      </c>
    </row>
    <row r="3340" spans="1:16" x14ac:dyDescent="0.25">
      <c r="A3340" s="28" t="s">
        <v>18247</v>
      </c>
      <c r="B3340" s="28" t="s">
        <v>18248</v>
      </c>
      <c r="C3340" s="28" t="s">
        <v>1684</v>
      </c>
      <c r="D3340" s="28" t="s">
        <v>18249</v>
      </c>
      <c r="E3340" s="28" t="s">
        <v>18250</v>
      </c>
      <c r="F3340" s="28" t="s">
        <v>21</v>
      </c>
      <c r="G3340" s="28" t="s">
        <v>39</v>
      </c>
      <c r="H3340" s="28" t="s">
        <v>16221</v>
      </c>
      <c r="I3340" s="28" t="s">
        <v>18251</v>
      </c>
      <c r="J3340" s="28" t="s">
        <v>39</v>
      </c>
      <c r="K3340" s="28" t="s">
        <v>16223</v>
      </c>
      <c r="L3340" s="28" t="s">
        <v>16224</v>
      </c>
      <c r="M3340" s="28" t="s">
        <v>18252</v>
      </c>
      <c r="N3340" s="28" t="s">
        <v>16226</v>
      </c>
      <c r="O3340" s="28" t="s">
        <v>16227</v>
      </c>
      <c r="P3340" s="28" t="s">
        <v>18253</v>
      </c>
    </row>
    <row r="3341" spans="1:16" x14ac:dyDescent="0.25">
      <c r="A3341" s="28" t="s">
        <v>18254</v>
      </c>
      <c r="B3341" s="28" t="s">
        <v>18255</v>
      </c>
      <c r="C3341" s="28" t="s">
        <v>1684</v>
      </c>
      <c r="D3341" s="28" t="s">
        <v>15414</v>
      </c>
      <c r="E3341" s="28" t="s">
        <v>15415</v>
      </c>
      <c r="F3341" s="28" t="s">
        <v>21</v>
      </c>
      <c r="G3341" s="28" t="s">
        <v>39</v>
      </c>
      <c r="H3341" s="28" t="s">
        <v>16221</v>
      </c>
      <c r="I3341" s="28" t="s">
        <v>18256</v>
      </c>
      <c r="J3341" s="28" t="s">
        <v>39</v>
      </c>
      <c r="K3341" s="28" t="s">
        <v>16223</v>
      </c>
      <c r="L3341" s="28" t="s">
        <v>16224</v>
      </c>
      <c r="M3341" s="28" t="s">
        <v>18257</v>
      </c>
      <c r="N3341" s="28" t="s">
        <v>16226</v>
      </c>
      <c r="O3341" s="28" t="s">
        <v>16227</v>
      </c>
      <c r="P3341" s="28" t="s">
        <v>18258</v>
      </c>
    </row>
    <row r="3342" spans="1:16" x14ac:dyDescent="0.25">
      <c r="A3342" s="28" t="s">
        <v>18259</v>
      </c>
      <c r="B3342" s="28" t="s">
        <v>18260</v>
      </c>
      <c r="C3342" s="28" t="s">
        <v>1684</v>
      </c>
      <c r="D3342" s="28" t="s">
        <v>1666</v>
      </c>
      <c r="E3342" s="28" t="s">
        <v>18261</v>
      </c>
      <c r="F3342" s="28" t="s">
        <v>21</v>
      </c>
      <c r="G3342" s="28" t="s">
        <v>39</v>
      </c>
      <c r="H3342" s="28" t="s">
        <v>16221</v>
      </c>
      <c r="I3342" s="28" t="s">
        <v>18262</v>
      </c>
      <c r="J3342" s="28" t="s">
        <v>39</v>
      </c>
      <c r="K3342" s="28" t="s">
        <v>16223</v>
      </c>
      <c r="L3342" s="28" t="s">
        <v>16224</v>
      </c>
      <c r="M3342" s="28" t="s">
        <v>18263</v>
      </c>
      <c r="N3342" s="28" t="s">
        <v>16226</v>
      </c>
      <c r="O3342" s="28" t="s">
        <v>16227</v>
      </c>
      <c r="P3342" s="28" t="s">
        <v>18264</v>
      </c>
    </row>
    <row r="3343" spans="1:16" x14ac:dyDescent="0.25">
      <c r="A3343" s="28" t="s">
        <v>18265</v>
      </c>
      <c r="B3343" s="28" t="s">
        <v>18266</v>
      </c>
      <c r="C3343" s="28" t="s">
        <v>1684</v>
      </c>
      <c r="D3343" s="28" t="s">
        <v>4101</v>
      </c>
      <c r="E3343" s="28" t="s">
        <v>18267</v>
      </c>
      <c r="F3343" s="28" t="s">
        <v>21</v>
      </c>
      <c r="G3343" s="28" t="s">
        <v>39</v>
      </c>
      <c r="H3343" s="28" t="s">
        <v>16221</v>
      </c>
      <c r="I3343" s="28" t="s">
        <v>18268</v>
      </c>
      <c r="J3343" s="28" t="s">
        <v>39</v>
      </c>
      <c r="K3343" s="28" t="s">
        <v>16223</v>
      </c>
      <c r="L3343" s="28" t="s">
        <v>16224</v>
      </c>
      <c r="M3343" s="28" t="s">
        <v>18269</v>
      </c>
      <c r="N3343" s="28" t="s">
        <v>16226</v>
      </c>
      <c r="O3343" s="28" t="s">
        <v>16227</v>
      </c>
      <c r="P3343" s="28" t="s">
        <v>18270</v>
      </c>
    </row>
    <row r="3344" spans="1:16" x14ac:dyDescent="0.25">
      <c r="A3344" s="28" t="s">
        <v>18271</v>
      </c>
      <c r="B3344" s="28" t="s">
        <v>18272</v>
      </c>
      <c r="C3344" s="28" t="s">
        <v>1684</v>
      </c>
      <c r="D3344" s="28" t="s">
        <v>4101</v>
      </c>
      <c r="E3344" s="28" t="s">
        <v>18273</v>
      </c>
      <c r="F3344" s="28" t="s">
        <v>21</v>
      </c>
      <c r="G3344" s="28" t="s">
        <v>39</v>
      </c>
      <c r="H3344" s="28" t="s">
        <v>16221</v>
      </c>
      <c r="I3344" s="28" t="s">
        <v>18274</v>
      </c>
      <c r="J3344" s="28" t="s">
        <v>39</v>
      </c>
      <c r="K3344" s="28" t="s">
        <v>16223</v>
      </c>
      <c r="L3344" s="28" t="s">
        <v>16224</v>
      </c>
      <c r="M3344" s="28" t="s">
        <v>18275</v>
      </c>
      <c r="N3344" s="28" t="s">
        <v>16226</v>
      </c>
      <c r="O3344" s="28" t="s">
        <v>16227</v>
      </c>
      <c r="P3344" s="28" t="s">
        <v>18276</v>
      </c>
    </row>
    <row r="3345" spans="1:16" x14ac:dyDescent="0.25">
      <c r="A3345" s="28" t="s">
        <v>18277</v>
      </c>
      <c r="B3345" s="28" t="s">
        <v>18278</v>
      </c>
      <c r="C3345" s="28" t="s">
        <v>1684</v>
      </c>
      <c r="D3345" s="28" t="s">
        <v>4101</v>
      </c>
      <c r="E3345" s="28" t="s">
        <v>18279</v>
      </c>
      <c r="F3345" s="28" t="s">
        <v>21</v>
      </c>
      <c r="G3345" s="28" t="s">
        <v>39</v>
      </c>
      <c r="H3345" s="28" t="s">
        <v>16221</v>
      </c>
      <c r="I3345" s="28" t="s">
        <v>18280</v>
      </c>
      <c r="J3345" s="28" t="s">
        <v>39</v>
      </c>
      <c r="K3345" s="28" t="s">
        <v>16223</v>
      </c>
      <c r="L3345" s="28" t="s">
        <v>16224</v>
      </c>
      <c r="M3345" s="28" t="s">
        <v>18281</v>
      </c>
      <c r="N3345" s="28" t="s">
        <v>16226</v>
      </c>
      <c r="O3345" s="28" t="s">
        <v>16227</v>
      </c>
      <c r="P3345" s="28" t="s">
        <v>18282</v>
      </c>
    </row>
    <row r="3346" spans="1:16" x14ac:dyDescent="0.25">
      <c r="A3346" s="28" t="s">
        <v>18283</v>
      </c>
      <c r="B3346" s="28" t="s">
        <v>18284</v>
      </c>
      <c r="C3346" s="28" t="s">
        <v>1684</v>
      </c>
      <c r="D3346" s="28" t="s">
        <v>4101</v>
      </c>
      <c r="E3346" s="28" t="s">
        <v>18279</v>
      </c>
      <c r="F3346" s="28" t="s">
        <v>21</v>
      </c>
      <c r="G3346" s="28" t="s">
        <v>39</v>
      </c>
      <c r="H3346" s="28" t="s">
        <v>16221</v>
      </c>
      <c r="I3346" s="28" t="s">
        <v>18285</v>
      </c>
      <c r="J3346" s="28" t="s">
        <v>39</v>
      </c>
      <c r="K3346" s="28" t="s">
        <v>16223</v>
      </c>
      <c r="L3346" s="28" t="s">
        <v>16224</v>
      </c>
      <c r="M3346" s="28" t="s">
        <v>18286</v>
      </c>
      <c r="N3346" s="28" t="s">
        <v>16226</v>
      </c>
      <c r="O3346" s="28" t="s">
        <v>16227</v>
      </c>
      <c r="P3346" s="28" t="s">
        <v>18282</v>
      </c>
    </row>
    <row r="3347" spans="1:16" x14ac:dyDescent="0.25">
      <c r="A3347" s="28" t="s">
        <v>18287</v>
      </c>
      <c r="B3347" s="28" t="s">
        <v>18288</v>
      </c>
      <c r="C3347" s="28" t="s">
        <v>1684</v>
      </c>
      <c r="D3347" s="28" t="s">
        <v>4101</v>
      </c>
      <c r="E3347" s="28" t="s">
        <v>18289</v>
      </c>
      <c r="F3347" s="28" t="s">
        <v>21</v>
      </c>
      <c r="G3347" s="28" t="s">
        <v>39</v>
      </c>
      <c r="H3347" s="28" t="s">
        <v>16221</v>
      </c>
      <c r="I3347" s="28" t="s">
        <v>18290</v>
      </c>
      <c r="J3347" s="28" t="s">
        <v>39</v>
      </c>
      <c r="K3347" s="28" t="s">
        <v>16223</v>
      </c>
      <c r="L3347" s="28" t="s">
        <v>16224</v>
      </c>
      <c r="M3347" s="28" t="s">
        <v>18291</v>
      </c>
      <c r="N3347" s="28" t="s">
        <v>16226</v>
      </c>
      <c r="O3347" s="28" t="s">
        <v>16227</v>
      </c>
      <c r="P3347" s="28" t="s">
        <v>18292</v>
      </c>
    </row>
    <row r="3348" spans="1:16" x14ac:dyDescent="0.25">
      <c r="A3348" s="28" t="s">
        <v>18293</v>
      </c>
      <c r="B3348" s="28" t="s">
        <v>18294</v>
      </c>
      <c r="C3348" s="28" t="s">
        <v>1684</v>
      </c>
      <c r="D3348" s="28" t="s">
        <v>4101</v>
      </c>
      <c r="E3348" s="28" t="s">
        <v>18295</v>
      </c>
      <c r="F3348" s="28" t="s">
        <v>21</v>
      </c>
      <c r="G3348" s="28" t="s">
        <v>39</v>
      </c>
      <c r="H3348" s="28" t="s">
        <v>16221</v>
      </c>
      <c r="I3348" s="28" t="s">
        <v>18296</v>
      </c>
      <c r="J3348" s="28" t="s">
        <v>39</v>
      </c>
      <c r="K3348" s="28" t="s">
        <v>16223</v>
      </c>
      <c r="L3348" s="28" t="s">
        <v>16224</v>
      </c>
      <c r="M3348" s="28" t="s">
        <v>18297</v>
      </c>
      <c r="N3348" s="28" t="s">
        <v>16226</v>
      </c>
      <c r="O3348" s="28" t="s">
        <v>16227</v>
      </c>
      <c r="P3348" s="28" t="s">
        <v>18298</v>
      </c>
    </row>
    <row r="3349" spans="1:16" x14ac:dyDescent="0.25">
      <c r="A3349" s="28" t="s">
        <v>18299</v>
      </c>
      <c r="B3349" s="28" t="s">
        <v>18300</v>
      </c>
      <c r="C3349" s="28" t="s">
        <v>1684</v>
      </c>
      <c r="D3349" s="28" t="s">
        <v>4101</v>
      </c>
      <c r="E3349" s="28" t="s">
        <v>18295</v>
      </c>
      <c r="F3349" s="28" t="s">
        <v>21</v>
      </c>
      <c r="G3349" s="28" t="s">
        <v>39</v>
      </c>
      <c r="H3349" s="28" t="s">
        <v>16221</v>
      </c>
      <c r="I3349" s="28" t="s">
        <v>18301</v>
      </c>
      <c r="J3349" s="28" t="s">
        <v>39</v>
      </c>
      <c r="K3349" s="28" t="s">
        <v>16223</v>
      </c>
      <c r="L3349" s="28" t="s">
        <v>16224</v>
      </c>
      <c r="M3349" s="28" t="s">
        <v>18302</v>
      </c>
      <c r="N3349" s="28" t="s">
        <v>16226</v>
      </c>
      <c r="O3349" s="28" t="s">
        <v>16227</v>
      </c>
      <c r="P3349" s="28" t="s">
        <v>18298</v>
      </c>
    </row>
    <row r="3350" spans="1:16" x14ac:dyDescent="0.25">
      <c r="A3350" s="28" t="s">
        <v>18303</v>
      </c>
      <c r="B3350" s="28" t="s">
        <v>18304</v>
      </c>
      <c r="C3350" s="28" t="s">
        <v>1684</v>
      </c>
      <c r="D3350" s="28" t="s">
        <v>4101</v>
      </c>
      <c r="E3350" s="28" t="s">
        <v>18305</v>
      </c>
      <c r="F3350" s="28" t="s">
        <v>21</v>
      </c>
      <c r="G3350" s="28" t="s">
        <v>39</v>
      </c>
      <c r="H3350" s="28" t="s">
        <v>16221</v>
      </c>
      <c r="I3350" s="28" t="s">
        <v>18306</v>
      </c>
      <c r="J3350" s="28" t="s">
        <v>39</v>
      </c>
      <c r="K3350" s="28" t="s">
        <v>16223</v>
      </c>
      <c r="L3350" s="28" t="s">
        <v>16224</v>
      </c>
      <c r="M3350" s="28" t="s">
        <v>18307</v>
      </c>
      <c r="N3350" s="28" t="s">
        <v>16226</v>
      </c>
      <c r="O3350" s="28" t="s">
        <v>16227</v>
      </c>
      <c r="P3350" s="28" t="s">
        <v>18308</v>
      </c>
    </row>
    <row r="3351" spans="1:16" x14ac:dyDescent="0.25">
      <c r="A3351" s="28" t="s">
        <v>18309</v>
      </c>
      <c r="B3351" s="28" t="s">
        <v>18310</v>
      </c>
      <c r="C3351" s="28" t="s">
        <v>1684</v>
      </c>
      <c r="D3351" s="28" t="s">
        <v>4101</v>
      </c>
      <c r="E3351" s="28" t="s">
        <v>18311</v>
      </c>
      <c r="F3351" s="28" t="s">
        <v>21</v>
      </c>
      <c r="G3351" s="28" t="s">
        <v>39</v>
      </c>
      <c r="H3351" s="28" t="s">
        <v>16221</v>
      </c>
      <c r="I3351" s="28" t="s">
        <v>18312</v>
      </c>
      <c r="J3351" s="28" t="s">
        <v>39</v>
      </c>
      <c r="K3351" s="28" t="s">
        <v>16223</v>
      </c>
      <c r="L3351" s="28" t="s">
        <v>16224</v>
      </c>
      <c r="M3351" s="28" t="s">
        <v>18313</v>
      </c>
      <c r="N3351" s="28" t="s">
        <v>16226</v>
      </c>
      <c r="O3351" s="28" t="s">
        <v>16227</v>
      </c>
      <c r="P3351" s="28" t="s">
        <v>18314</v>
      </c>
    </row>
    <row r="3352" spans="1:16" x14ac:dyDescent="0.25">
      <c r="A3352" s="28" t="s">
        <v>18315</v>
      </c>
      <c r="B3352" s="28" t="s">
        <v>18316</v>
      </c>
      <c r="C3352" s="28" t="s">
        <v>1684</v>
      </c>
      <c r="D3352" s="28" t="s">
        <v>4101</v>
      </c>
      <c r="E3352" s="28" t="s">
        <v>18317</v>
      </c>
      <c r="F3352" s="28" t="s">
        <v>21</v>
      </c>
      <c r="G3352" s="28" t="s">
        <v>39</v>
      </c>
      <c r="H3352" s="28" t="s">
        <v>16221</v>
      </c>
      <c r="I3352" s="28" t="s">
        <v>18318</v>
      </c>
      <c r="J3352" s="28" t="s">
        <v>39</v>
      </c>
      <c r="K3352" s="28" t="s">
        <v>16223</v>
      </c>
      <c r="L3352" s="28" t="s">
        <v>16224</v>
      </c>
      <c r="M3352" s="28" t="s">
        <v>18319</v>
      </c>
      <c r="N3352" s="28" t="s">
        <v>16226</v>
      </c>
      <c r="O3352" s="28" t="s">
        <v>16227</v>
      </c>
      <c r="P3352" s="28" t="s">
        <v>18320</v>
      </c>
    </row>
    <row r="3353" spans="1:16" x14ac:dyDescent="0.25">
      <c r="A3353" s="28" t="s">
        <v>18321</v>
      </c>
      <c r="B3353" s="28" t="s">
        <v>18322</v>
      </c>
      <c r="C3353" s="28" t="s">
        <v>1684</v>
      </c>
      <c r="D3353" s="28" t="s">
        <v>4101</v>
      </c>
      <c r="E3353" s="28" t="s">
        <v>18323</v>
      </c>
      <c r="F3353" s="28" t="s">
        <v>21</v>
      </c>
      <c r="G3353" s="28" t="s">
        <v>39</v>
      </c>
      <c r="H3353" s="28" t="s">
        <v>16221</v>
      </c>
      <c r="I3353" s="28" t="s">
        <v>18324</v>
      </c>
      <c r="J3353" s="28" t="s">
        <v>39</v>
      </c>
      <c r="K3353" s="28" t="s">
        <v>16223</v>
      </c>
      <c r="L3353" s="28" t="s">
        <v>16224</v>
      </c>
      <c r="M3353" s="28" t="s">
        <v>18325</v>
      </c>
      <c r="N3353" s="28" t="s">
        <v>16226</v>
      </c>
      <c r="O3353" s="28" t="s">
        <v>16227</v>
      </c>
      <c r="P3353" s="28" t="s">
        <v>18326</v>
      </c>
    </row>
    <row r="3354" spans="1:16" x14ac:dyDescent="0.25">
      <c r="A3354" s="28" t="s">
        <v>18327</v>
      </c>
      <c r="B3354" s="28" t="s">
        <v>18328</v>
      </c>
      <c r="C3354" s="28" t="s">
        <v>1684</v>
      </c>
      <c r="D3354" s="28" t="s">
        <v>5471</v>
      </c>
      <c r="E3354" s="28" t="s">
        <v>18329</v>
      </c>
      <c r="F3354" s="28" t="s">
        <v>21</v>
      </c>
      <c r="G3354" s="28" t="s">
        <v>39</v>
      </c>
      <c r="H3354" s="28" t="s">
        <v>16221</v>
      </c>
      <c r="I3354" s="28" t="s">
        <v>18330</v>
      </c>
      <c r="J3354" s="28" t="s">
        <v>39</v>
      </c>
      <c r="K3354" s="28" t="s">
        <v>16223</v>
      </c>
      <c r="L3354" s="28" t="s">
        <v>16224</v>
      </c>
      <c r="M3354" s="28" t="s">
        <v>18331</v>
      </c>
      <c r="N3354" s="28" t="s">
        <v>16226</v>
      </c>
      <c r="O3354" s="28" t="s">
        <v>16227</v>
      </c>
      <c r="P3354" s="28" t="s">
        <v>18332</v>
      </c>
    </row>
    <row r="3355" spans="1:16" x14ac:dyDescent="0.25">
      <c r="A3355" s="28" t="s">
        <v>18333</v>
      </c>
      <c r="B3355" s="28" t="s">
        <v>18334</v>
      </c>
      <c r="C3355" s="28" t="s">
        <v>1684</v>
      </c>
      <c r="D3355" s="28" t="s">
        <v>5471</v>
      </c>
      <c r="E3355" s="28" t="s">
        <v>18335</v>
      </c>
      <c r="F3355" s="28" t="s">
        <v>21</v>
      </c>
      <c r="G3355" s="28" t="s">
        <v>39</v>
      </c>
      <c r="H3355" s="28" t="s">
        <v>16221</v>
      </c>
      <c r="I3355" s="28" t="s">
        <v>18336</v>
      </c>
      <c r="J3355" s="28" t="s">
        <v>39</v>
      </c>
      <c r="K3355" s="28" t="s">
        <v>16223</v>
      </c>
      <c r="L3355" s="28" t="s">
        <v>16224</v>
      </c>
      <c r="M3355" s="28" t="s">
        <v>18337</v>
      </c>
      <c r="N3355" s="28" t="s">
        <v>16226</v>
      </c>
      <c r="O3355" s="28" t="s">
        <v>16227</v>
      </c>
      <c r="P3355" s="28" t="s">
        <v>18338</v>
      </c>
    </row>
    <row r="3356" spans="1:16" x14ac:dyDescent="0.25">
      <c r="A3356" s="28" t="s">
        <v>18339</v>
      </c>
      <c r="B3356" s="28" t="s">
        <v>18340</v>
      </c>
      <c r="C3356" s="28" t="s">
        <v>1684</v>
      </c>
      <c r="D3356" s="28" t="s">
        <v>5471</v>
      </c>
      <c r="E3356" s="28" t="s">
        <v>18341</v>
      </c>
      <c r="F3356" s="28" t="s">
        <v>21</v>
      </c>
      <c r="G3356" s="28" t="s">
        <v>39</v>
      </c>
      <c r="H3356" s="28" t="s">
        <v>16221</v>
      </c>
      <c r="I3356" s="28" t="s">
        <v>18342</v>
      </c>
      <c r="J3356" s="28" t="s">
        <v>39</v>
      </c>
      <c r="K3356" s="28" t="s">
        <v>16223</v>
      </c>
      <c r="L3356" s="28" t="s">
        <v>16224</v>
      </c>
      <c r="M3356" s="28" t="s">
        <v>18343</v>
      </c>
      <c r="N3356" s="28" t="s">
        <v>16226</v>
      </c>
      <c r="O3356" s="28" t="s">
        <v>16227</v>
      </c>
      <c r="P3356" s="28" t="s">
        <v>18344</v>
      </c>
    </row>
    <row r="3357" spans="1:16" x14ac:dyDescent="0.25">
      <c r="A3357" s="28" t="s">
        <v>18345</v>
      </c>
      <c r="B3357" s="28" t="s">
        <v>18346</v>
      </c>
      <c r="C3357" s="28" t="s">
        <v>1684</v>
      </c>
      <c r="D3357" s="28" t="s">
        <v>5471</v>
      </c>
      <c r="E3357" s="28" t="s">
        <v>18347</v>
      </c>
      <c r="F3357" s="28" t="s">
        <v>21</v>
      </c>
      <c r="G3357" s="28" t="s">
        <v>39</v>
      </c>
      <c r="H3357" s="28" t="s">
        <v>16221</v>
      </c>
      <c r="I3357" s="28" t="s">
        <v>18348</v>
      </c>
      <c r="J3357" s="28" t="s">
        <v>39</v>
      </c>
      <c r="K3357" s="28" t="s">
        <v>16223</v>
      </c>
      <c r="L3357" s="28" t="s">
        <v>16224</v>
      </c>
      <c r="M3357" s="28" t="s">
        <v>18349</v>
      </c>
      <c r="N3357" s="28" t="s">
        <v>16226</v>
      </c>
      <c r="O3357" s="28" t="s">
        <v>16227</v>
      </c>
      <c r="P3357" s="28" t="s">
        <v>18350</v>
      </c>
    </row>
    <row r="3358" spans="1:16" x14ac:dyDescent="0.25">
      <c r="A3358" s="28" t="s">
        <v>18351</v>
      </c>
      <c r="B3358" s="28" t="s">
        <v>18352</v>
      </c>
      <c r="C3358" s="28" t="s">
        <v>1684</v>
      </c>
      <c r="D3358" s="28" t="s">
        <v>5471</v>
      </c>
      <c r="E3358" s="28" t="s">
        <v>18353</v>
      </c>
      <c r="F3358" s="28" t="s">
        <v>21</v>
      </c>
      <c r="G3358" s="28" t="s">
        <v>39</v>
      </c>
      <c r="H3358" s="28" t="s">
        <v>16221</v>
      </c>
      <c r="I3358" s="28" t="s">
        <v>18354</v>
      </c>
      <c r="J3358" s="28" t="s">
        <v>39</v>
      </c>
      <c r="K3358" s="28" t="s">
        <v>16223</v>
      </c>
      <c r="L3358" s="28" t="s">
        <v>16224</v>
      </c>
      <c r="M3358" s="28" t="s">
        <v>18355</v>
      </c>
      <c r="N3358" s="28" t="s">
        <v>16226</v>
      </c>
      <c r="O3358" s="28" t="s">
        <v>16227</v>
      </c>
      <c r="P3358" s="28" t="s">
        <v>18356</v>
      </c>
    </row>
    <row r="3359" spans="1:16" x14ac:dyDescent="0.25">
      <c r="A3359" s="28" t="s">
        <v>18357</v>
      </c>
      <c r="B3359" s="28" t="s">
        <v>18358</v>
      </c>
      <c r="C3359" s="28" t="s">
        <v>1684</v>
      </c>
      <c r="D3359" s="28" t="s">
        <v>62</v>
      </c>
      <c r="E3359" s="28" t="s">
        <v>18359</v>
      </c>
      <c r="F3359" s="28" t="s">
        <v>21</v>
      </c>
      <c r="G3359" s="28" t="s">
        <v>39</v>
      </c>
      <c r="H3359" s="28" t="s">
        <v>16221</v>
      </c>
      <c r="I3359" s="28" t="s">
        <v>18360</v>
      </c>
      <c r="J3359" s="28" t="s">
        <v>39</v>
      </c>
      <c r="K3359" s="28" t="s">
        <v>16223</v>
      </c>
      <c r="L3359" s="28" t="s">
        <v>16224</v>
      </c>
      <c r="M3359" s="28" t="s">
        <v>18361</v>
      </c>
      <c r="N3359" s="28" t="s">
        <v>16226</v>
      </c>
      <c r="O3359" s="28" t="s">
        <v>16227</v>
      </c>
      <c r="P3359" s="28" t="s">
        <v>18362</v>
      </c>
    </row>
    <row r="3360" spans="1:16" x14ac:dyDescent="0.25">
      <c r="A3360" s="28" t="s">
        <v>18363</v>
      </c>
      <c r="B3360" s="28" t="s">
        <v>18364</v>
      </c>
      <c r="C3360" s="28" t="s">
        <v>1684</v>
      </c>
      <c r="D3360" s="28" t="s">
        <v>5471</v>
      </c>
      <c r="E3360" s="28" t="s">
        <v>18365</v>
      </c>
      <c r="F3360" s="28" t="s">
        <v>21</v>
      </c>
      <c r="G3360" s="28" t="s">
        <v>39</v>
      </c>
      <c r="H3360" s="28" t="s">
        <v>16221</v>
      </c>
      <c r="I3360" s="28" t="s">
        <v>18366</v>
      </c>
      <c r="J3360" s="28" t="s">
        <v>39</v>
      </c>
      <c r="K3360" s="28" t="s">
        <v>16223</v>
      </c>
      <c r="L3360" s="28" t="s">
        <v>16224</v>
      </c>
      <c r="M3360" s="28" t="s">
        <v>18367</v>
      </c>
      <c r="N3360" s="28" t="s">
        <v>16226</v>
      </c>
      <c r="O3360" s="28" t="s">
        <v>16227</v>
      </c>
      <c r="P3360" s="28" t="s">
        <v>18368</v>
      </c>
    </row>
    <row r="3361" spans="1:16" x14ac:dyDescent="0.25">
      <c r="A3361" s="28" t="s">
        <v>18369</v>
      </c>
      <c r="B3361" s="28" t="s">
        <v>18370</v>
      </c>
      <c r="C3361" s="28" t="s">
        <v>1684</v>
      </c>
      <c r="D3361" s="28" t="s">
        <v>5471</v>
      </c>
      <c r="E3361" s="28" t="s">
        <v>18365</v>
      </c>
      <c r="F3361" s="28" t="s">
        <v>21</v>
      </c>
      <c r="G3361" s="28" t="s">
        <v>39</v>
      </c>
      <c r="H3361" s="28" t="s">
        <v>16221</v>
      </c>
      <c r="I3361" s="28" t="s">
        <v>18371</v>
      </c>
      <c r="J3361" s="28" t="s">
        <v>39</v>
      </c>
      <c r="K3361" s="28" t="s">
        <v>16223</v>
      </c>
      <c r="L3361" s="28" t="s">
        <v>16224</v>
      </c>
      <c r="M3361" s="28" t="s">
        <v>18372</v>
      </c>
      <c r="N3361" s="28" t="s">
        <v>16226</v>
      </c>
      <c r="O3361" s="28" t="s">
        <v>16227</v>
      </c>
      <c r="P3361" s="28" t="s">
        <v>18368</v>
      </c>
    </row>
    <row r="3362" spans="1:16" x14ac:dyDescent="0.25">
      <c r="A3362" s="28" t="s">
        <v>18373</v>
      </c>
      <c r="B3362" s="28" t="s">
        <v>18374</v>
      </c>
      <c r="C3362" s="28" t="s">
        <v>1684</v>
      </c>
      <c r="D3362" s="28" t="s">
        <v>5372</v>
      </c>
      <c r="E3362" s="28" t="s">
        <v>18375</v>
      </c>
      <c r="F3362" s="28" t="s">
        <v>21</v>
      </c>
      <c r="G3362" s="28" t="s">
        <v>39</v>
      </c>
      <c r="H3362" s="28" t="s">
        <v>16221</v>
      </c>
      <c r="I3362" s="28" t="s">
        <v>18376</v>
      </c>
      <c r="J3362" s="28" t="s">
        <v>39</v>
      </c>
      <c r="K3362" s="28" t="s">
        <v>16223</v>
      </c>
      <c r="L3362" s="28" t="s">
        <v>16224</v>
      </c>
      <c r="M3362" s="28" t="s">
        <v>18377</v>
      </c>
      <c r="N3362" s="28" t="s">
        <v>16226</v>
      </c>
      <c r="O3362" s="28" t="s">
        <v>16227</v>
      </c>
      <c r="P3362" s="28" t="s">
        <v>18378</v>
      </c>
    </row>
    <row r="3363" spans="1:16" x14ac:dyDescent="0.25">
      <c r="A3363" s="28" t="s">
        <v>18379</v>
      </c>
      <c r="B3363" s="28" t="s">
        <v>18380</v>
      </c>
      <c r="C3363" s="28" t="s">
        <v>1684</v>
      </c>
      <c r="D3363" s="28" t="s">
        <v>5471</v>
      </c>
      <c r="E3363" s="28" t="s">
        <v>18381</v>
      </c>
      <c r="F3363" s="28" t="s">
        <v>21</v>
      </c>
      <c r="G3363" s="28" t="s">
        <v>39</v>
      </c>
      <c r="H3363" s="28" t="s">
        <v>16221</v>
      </c>
      <c r="I3363" s="28" t="s">
        <v>18382</v>
      </c>
      <c r="J3363" s="28" t="s">
        <v>39</v>
      </c>
      <c r="K3363" s="28" t="s">
        <v>16223</v>
      </c>
      <c r="L3363" s="28" t="s">
        <v>16224</v>
      </c>
      <c r="M3363" s="28" t="s">
        <v>18383</v>
      </c>
      <c r="N3363" s="28" t="s">
        <v>16226</v>
      </c>
      <c r="O3363" s="28" t="s">
        <v>16227</v>
      </c>
      <c r="P3363" s="28" t="s">
        <v>18384</v>
      </c>
    </row>
    <row r="3364" spans="1:16" x14ac:dyDescent="0.25">
      <c r="A3364" s="28" t="s">
        <v>18385</v>
      </c>
      <c r="B3364" s="28" t="s">
        <v>18386</v>
      </c>
      <c r="C3364" s="28" t="s">
        <v>1684</v>
      </c>
      <c r="D3364" s="28" t="s">
        <v>5471</v>
      </c>
      <c r="E3364" s="28" t="s">
        <v>18387</v>
      </c>
      <c r="F3364" s="28" t="s">
        <v>21</v>
      </c>
      <c r="G3364" s="28" t="s">
        <v>39</v>
      </c>
      <c r="H3364" s="28" t="s">
        <v>16221</v>
      </c>
      <c r="I3364" s="28" t="s">
        <v>18388</v>
      </c>
      <c r="J3364" s="28" t="s">
        <v>39</v>
      </c>
      <c r="K3364" s="28" t="s">
        <v>16223</v>
      </c>
      <c r="L3364" s="28" t="s">
        <v>16224</v>
      </c>
      <c r="M3364" s="28" t="s">
        <v>18389</v>
      </c>
      <c r="N3364" s="28" t="s">
        <v>16226</v>
      </c>
      <c r="O3364" s="28" t="s">
        <v>16227</v>
      </c>
      <c r="P3364" s="28" t="s">
        <v>18390</v>
      </c>
    </row>
    <row r="3365" spans="1:16" x14ac:dyDescent="0.25">
      <c r="A3365" s="28" t="s">
        <v>18391</v>
      </c>
      <c r="B3365" s="28" t="s">
        <v>18392</v>
      </c>
      <c r="C3365" s="28" t="s">
        <v>1684</v>
      </c>
      <c r="D3365" s="28" t="s">
        <v>5471</v>
      </c>
      <c r="E3365" s="28" t="s">
        <v>18393</v>
      </c>
      <c r="F3365" s="28" t="s">
        <v>21</v>
      </c>
      <c r="G3365" s="28" t="s">
        <v>39</v>
      </c>
      <c r="H3365" s="28" t="s">
        <v>16221</v>
      </c>
      <c r="I3365" s="28" t="s">
        <v>18394</v>
      </c>
      <c r="J3365" s="28" t="s">
        <v>39</v>
      </c>
      <c r="K3365" s="28" t="s">
        <v>16223</v>
      </c>
      <c r="L3365" s="28" t="s">
        <v>16224</v>
      </c>
      <c r="M3365" s="28" t="s">
        <v>18395</v>
      </c>
      <c r="N3365" s="28" t="s">
        <v>16226</v>
      </c>
      <c r="O3365" s="28" t="s">
        <v>16227</v>
      </c>
      <c r="P3365" s="28" t="s">
        <v>18396</v>
      </c>
    </row>
    <row r="3366" spans="1:16" x14ac:dyDescent="0.25">
      <c r="A3366" s="28" t="s">
        <v>18397</v>
      </c>
      <c r="B3366" s="28" t="s">
        <v>18398</v>
      </c>
      <c r="C3366" s="28" t="s">
        <v>1684</v>
      </c>
      <c r="D3366" s="28" t="s">
        <v>5471</v>
      </c>
      <c r="E3366" s="28" t="s">
        <v>18399</v>
      </c>
      <c r="F3366" s="28" t="s">
        <v>21</v>
      </c>
      <c r="G3366" s="28" t="s">
        <v>39</v>
      </c>
      <c r="H3366" s="28" t="s">
        <v>16221</v>
      </c>
      <c r="I3366" s="28" t="s">
        <v>18400</v>
      </c>
      <c r="J3366" s="28" t="s">
        <v>39</v>
      </c>
      <c r="K3366" s="28" t="s">
        <v>16223</v>
      </c>
      <c r="L3366" s="28" t="s">
        <v>16224</v>
      </c>
      <c r="M3366" s="28" t="s">
        <v>18401</v>
      </c>
      <c r="N3366" s="28" t="s">
        <v>16226</v>
      </c>
      <c r="O3366" s="28" t="s">
        <v>16227</v>
      </c>
      <c r="P3366" s="28" t="s">
        <v>18402</v>
      </c>
    </row>
    <row r="3367" spans="1:16" x14ac:dyDescent="0.25">
      <c r="A3367" s="28" t="s">
        <v>18403</v>
      </c>
      <c r="B3367" s="28" t="s">
        <v>18404</v>
      </c>
      <c r="C3367" s="28" t="s">
        <v>1684</v>
      </c>
      <c r="D3367" s="28" t="s">
        <v>5471</v>
      </c>
      <c r="E3367" s="28" t="s">
        <v>18405</v>
      </c>
      <c r="F3367" s="28" t="s">
        <v>21</v>
      </c>
      <c r="G3367" s="28" t="s">
        <v>39</v>
      </c>
      <c r="H3367" s="28" t="s">
        <v>16221</v>
      </c>
      <c r="I3367" s="28" t="s">
        <v>18406</v>
      </c>
      <c r="J3367" s="28" t="s">
        <v>39</v>
      </c>
      <c r="K3367" s="28" t="s">
        <v>16223</v>
      </c>
      <c r="L3367" s="28" t="s">
        <v>16224</v>
      </c>
      <c r="M3367" s="28" t="s">
        <v>18407</v>
      </c>
      <c r="N3367" s="28" t="s">
        <v>16226</v>
      </c>
      <c r="O3367" s="28" t="s">
        <v>16227</v>
      </c>
      <c r="P3367" s="28" t="s">
        <v>18408</v>
      </c>
    </row>
    <row r="3368" spans="1:16" x14ac:dyDescent="0.25">
      <c r="A3368" s="28" t="s">
        <v>18409</v>
      </c>
      <c r="B3368" s="28" t="s">
        <v>18410</v>
      </c>
      <c r="C3368" s="28" t="s">
        <v>1684</v>
      </c>
      <c r="D3368" s="28" t="s">
        <v>5471</v>
      </c>
      <c r="E3368" s="28" t="s">
        <v>18411</v>
      </c>
      <c r="F3368" s="28" t="s">
        <v>21</v>
      </c>
      <c r="G3368" s="28" t="s">
        <v>39</v>
      </c>
      <c r="H3368" s="28" t="s">
        <v>16221</v>
      </c>
      <c r="I3368" s="28" t="s">
        <v>18412</v>
      </c>
      <c r="J3368" s="28" t="s">
        <v>39</v>
      </c>
      <c r="K3368" s="28" t="s">
        <v>16223</v>
      </c>
      <c r="L3368" s="28" t="s">
        <v>16224</v>
      </c>
      <c r="M3368" s="28" t="s">
        <v>18413</v>
      </c>
      <c r="N3368" s="28" t="s">
        <v>16226</v>
      </c>
      <c r="O3368" s="28" t="s">
        <v>16227</v>
      </c>
      <c r="P3368" s="28" t="s">
        <v>18414</v>
      </c>
    </row>
    <row r="3369" spans="1:16" x14ac:dyDescent="0.25">
      <c r="A3369" s="28" t="s">
        <v>18415</v>
      </c>
      <c r="B3369" s="28" t="s">
        <v>18416</v>
      </c>
      <c r="C3369" s="28" t="s">
        <v>1684</v>
      </c>
      <c r="D3369" s="28" t="s">
        <v>5471</v>
      </c>
      <c r="E3369" s="28" t="s">
        <v>18417</v>
      </c>
      <c r="F3369" s="28" t="s">
        <v>21</v>
      </c>
      <c r="G3369" s="28" t="s">
        <v>39</v>
      </c>
      <c r="H3369" s="28" t="s">
        <v>16221</v>
      </c>
      <c r="I3369" s="28" t="s">
        <v>18418</v>
      </c>
      <c r="J3369" s="28" t="s">
        <v>39</v>
      </c>
      <c r="K3369" s="28" t="s">
        <v>16223</v>
      </c>
      <c r="L3369" s="28" t="s">
        <v>16224</v>
      </c>
      <c r="M3369" s="28" t="s">
        <v>18419</v>
      </c>
      <c r="N3369" s="28" t="s">
        <v>16226</v>
      </c>
      <c r="O3369" s="28" t="s">
        <v>16227</v>
      </c>
      <c r="P3369" s="28" t="s">
        <v>18420</v>
      </c>
    </row>
    <row r="3370" spans="1:16" x14ac:dyDescent="0.25">
      <c r="A3370" s="28" t="s">
        <v>18421</v>
      </c>
      <c r="B3370" s="28" t="s">
        <v>18422</v>
      </c>
      <c r="C3370" s="28" t="s">
        <v>1684</v>
      </c>
      <c r="D3370" s="28" t="s">
        <v>5471</v>
      </c>
      <c r="E3370" s="28" t="s">
        <v>18423</v>
      </c>
      <c r="F3370" s="28" t="s">
        <v>21</v>
      </c>
      <c r="G3370" s="28" t="s">
        <v>39</v>
      </c>
      <c r="H3370" s="28" t="s">
        <v>16221</v>
      </c>
      <c r="I3370" s="28" t="s">
        <v>18424</v>
      </c>
      <c r="J3370" s="28" t="s">
        <v>39</v>
      </c>
      <c r="K3370" s="28" t="s">
        <v>16223</v>
      </c>
      <c r="L3370" s="28" t="s">
        <v>16224</v>
      </c>
      <c r="M3370" s="28" t="s">
        <v>18425</v>
      </c>
      <c r="N3370" s="28" t="s">
        <v>16226</v>
      </c>
      <c r="O3370" s="28" t="s">
        <v>16227</v>
      </c>
      <c r="P3370" s="28" t="s">
        <v>18426</v>
      </c>
    </row>
    <row r="3371" spans="1:16" x14ac:dyDescent="0.25">
      <c r="A3371" s="28" t="s">
        <v>18427</v>
      </c>
      <c r="B3371" s="28" t="s">
        <v>18428</v>
      </c>
      <c r="C3371" s="28" t="s">
        <v>1684</v>
      </c>
      <c r="D3371" s="28" t="s">
        <v>5471</v>
      </c>
      <c r="E3371" s="28" t="s">
        <v>18429</v>
      </c>
      <c r="F3371" s="28" t="s">
        <v>21</v>
      </c>
      <c r="G3371" s="28" t="s">
        <v>39</v>
      </c>
      <c r="H3371" s="28" t="s">
        <v>16221</v>
      </c>
      <c r="I3371" s="28" t="s">
        <v>18430</v>
      </c>
      <c r="J3371" s="28" t="s">
        <v>39</v>
      </c>
      <c r="K3371" s="28" t="s">
        <v>16223</v>
      </c>
      <c r="L3371" s="28" t="s">
        <v>16224</v>
      </c>
      <c r="M3371" s="28" t="s">
        <v>18431</v>
      </c>
      <c r="N3371" s="28" t="s">
        <v>16226</v>
      </c>
      <c r="O3371" s="28" t="s">
        <v>16227</v>
      </c>
      <c r="P3371" s="28" t="s">
        <v>18432</v>
      </c>
    </row>
    <row r="3372" spans="1:16" x14ac:dyDescent="0.25">
      <c r="A3372" s="28" t="s">
        <v>18433</v>
      </c>
      <c r="B3372" s="28" t="s">
        <v>18434</v>
      </c>
      <c r="C3372" s="28" t="s">
        <v>1684</v>
      </c>
      <c r="D3372" s="28" t="s">
        <v>5471</v>
      </c>
      <c r="E3372" s="28" t="s">
        <v>18435</v>
      </c>
      <c r="F3372" s="28" t="s">
        <v>21</v>
      </c>
      <c r="G3372" s="28" t="s">
        <v>39</v>
      </c>
      <c r="H3372" s="28" t="s">
        <v>16221</v>
      </c>
      <c r="I3372" s="28" t="s">
        <v>18436</v>
      </c>
      <c r="J3372" s="28" t="s">
        <v>39</v>
      </c>
      <c r="K3372" s="28" t="s">
        <v>16223</v>
      </c>
      <c r="L3372" s="28" t="s">
        <v>16224</v>
      </c>
      <c r="M3372" s="28" t="s">
        <v>18437</v>
      </c>
      <c r="N3372" s="28" t="s">
        <v>16226</v>
      </c>
      <c r="O3372" s="28" t="s">
        <v>16227</v>
      </c>
      <c r="P3372" s="28" t="s">
        <v>18438</v>
      </c>
    </row>
    <row r="3373" spans="1:16" x14ac:dyDescent="0.25">
      <c r="A3373" s="28" t="s">
        <v>18439</v>
      </c>
      <c r="B3373" s="28" t="s">
        <v>18440</v>
      </c>
      <c r="C3373" s="28" t="s">
        <v>1684</v>
      </c>
      <c r="D3373" s="28" t="s">
        <v>5482</v>
      </c>
      <c r="E3373" s="28" t="s">
        <v>18441</v>
      </c>
      <c r="F3373" s="28" t="s">
        <v>21</v>
      </c>
      <c r="G3373" s="28" t="s">
        <v>39</v>
      </c>
      <c r="H3373" s="28" t="s">
        <v>16221</v>
      </c>
      <c r="I3373" s="28" t="s">
        <v>18442</v>
      </c>
      <c r="J3373" s="28" t="s">
        <v>39</v>
      </c>
      <c r="K3373" s="28" t="s">
        <v>16223</v>
      </c>
      <c r="L3373" s="28" t="s">
        <v>16224</v>
      </c>
      <c r="M3373" s="28" t="s">
        <v>18443</v>
      </c>
      <c r="N3373" s="28" t="s">
        <v>16226</v>
      </c>
      <c r="O3373" s="28" t="s">
        <v>16227</v>
      </c>
      <c r="P3373" s="28" t="s">
        <v>18444</v>
      </c>
    </row>
    <row r="3374" spans="1:16" x14ac:dyDescent="0.25">
      <c r="A3374" s="28" t="s">
        <v>18445</v>
      </c>
      <c r="B3374" s="28" t="s">
        <v>18446</v>
      </c>
      <c r="C3374" s="28" t="s">
        <v>1684</v>
      </c>
      <c r="D3374" s="28" t="s">
        <v>5482</v>
      </c>
      <c r="E3374" s="28" t="s">
        <v>18441</v>
      </c>
      <c r="F3374" s="28" t="s">
        <v>21</v>
      </c>
      <c r="G3374" s="28" t="s">
        <v>39</v>
      </c>
      <c r="H3374" s="28" t="s">
        <v>16221</v>
      </c>
      <c r="I3374" s="28" t="s">
        <v>18447</v>
      </c>
      <c r="J3374" s="28" t="s">
        <v>39</v>
      </c>
      <c r="K3374" s="28" t="s">
        <v>16223</v>
      </c>
      <c r="L3374" s="28" t="s">
        <v>16224</v>
      </c>
      <c r="M3374" s="28" t="s">
        <v>18448</v>
      </c>
      <c r="N3374" s="28" t="s">
        <v>16226</v>
      </c>
      <c r="O3374" s="28" t="s">
        <v>16227</v>
      </c>
      <c r="P3374" s="28" t="s">
        <v>18444</v>
      </c>
    </row>
    <row r="3375" spans="1:16" x14ac:dyDescent="0.25">
      <c r="A3375" s="28" t="s">
        <v>18449</v>
      </c>
      <c r="B3375" s="28" t="s">
        <v>18450</v>
      </c>
      <c r="C3375" s="28" t="s">
        <v>1684</v>
      </c>
      <c r="D3375" s="28" t="s">
        <v>5482</v>
      </c>
      <c r="E3375" s="28" t="s">
        <v>18451</v>
      </c>
      <c r="F3375" s="28" t="s">
        <v>21</v>
      </c>
      <c r="G3375" s="28" t="s">
        <v>39</v>
      </c>
      <c r="H3375" s="28" t="s">
        <v>16221</v>
      </c>
      <c r="I3375" s="28" t="s">
        <v>18452</v>
      </c>
      <c r="J3375" s="28" t="s">
        <v>39</v>
      </c>
      <c r="K3375" s="28" t="s">
        <v>16223</v>
      </c>
      <c r="L3375" s="28" t="s">
        <v>16224</v>
      </c>
      <c r="M3375" s="28" t="s">
        <v>18453</v>
      </c>
      <c r="N3375" s="28" t="s">
        <v>16226</v>
      </c>
      <c r="O3375" s="28" t="s">
        <v>16227</v>
      </c>
      <c r="P3375" s="28" t="s">
        <v>18454</v>
      </c>
    </row>
    <row r="3376" spans="1:16" x14ac:dyDescent="0.25">
      <c r="A3376" s="28" t="s">
        <v>18455</v>
      </c>
      <c r="B3376" s="28" t="s">
        <v>18456</v>
      </c>
      <c r="C3376" s="28" t="s">
        <v>1684</v>
      </c>
      <c r="D3376" s="28" t="s">
        <v>5482</v>
      </c>
      <c r="E3376" s="28" t="s">
        <v>18457</v>
      </c>
      <c r="F3376" s="28" t="s">
        <v>21</v>
      </c>
      <c r="G3376" s="28" t="s">
        <v>39</v>
      </c>
      <c r="H3376" s="28" t="s">
        <v>16221</v>
      </c>
      <c r="I3376" s="28" t="s">
        <v>18458</v>
      </c>
      <c r="J3376" s="28" t="s">
        <v>39</v>
      </c>
      <c r="K3376" s="28" t="s">
        <v>16223</v>
      </c>
      <c r="L3376" s="28" t="s">
        <v>16224</v>
      </c>
      <c r="M3376" s="28" t="s">
        <v>18459</v>
      </c>
      <c r="N3376" s="28" t="s">
        <v>16226</v>
      </c>
      <c r="O3376" s="28" t="s">
        <v>16227</v>
      </c>
      <c r="P3376" s="28" t="s">
        <v>18460</v>
      </c>
    </row>
    <row r="3377" spans="1:16" x14ac:dyDescent="0.25">
      <c r="A3377" s="28" t="s">
        <v>18461</v>
      </c>
      <c r="B3377" s="28" t="s">
        <v>18462</v>
      </c>
      <c r="C3377" s="28" t="s">
        <v>1684</v>
      </c>
      <c r="D3377" s="28" t="s">
        <v>101</v>
      </c>
      <c r="E3377" s="28" t="s">
        <v>18463</v>
      </c>
      <c r="F3377" s="28" t="s">
        <v>21</v>
      </c>
      <c r="G3377" s="28" t="s">
        <v>39</v>
      </c>
      <c r="H3377" s="28" t="s">
        <v>16221</v>
      </c>
      <c r="I3377" s="28" t="s">
        <v>18464</v>
      </c>
      <c r="J3377" s="28" t="s">
        <v>39</v>
      </c>
      <c r="K3377" s="28" t="s">
        <v>16223</v>
      </c>
      <c r="L3377" s="28" t="s">
        <v>16224</v>
      </c>
      <c r="M3377" s="28" t="s">
        <v>18465</v>
      </c>
      <c r="N3377" s="28" t="s">
        <v>16226</v>
      </c>
      <c r="O3377" s="28" t="s">
        <v>16227</v>
      </c>
      <c r="P3377" s="28" t="s">
        <v>18466</v>
      </c>
    </row>
    <row r="3378" spans="1:16" x14ac:dyDescent="0.25">
      <c r="A3378" s="28" t="s">
        <v>18467</v>
      </c>
      <c r="B3378" s="28" t="s">
        <v>18468</v>
      </c>
      <c r="C3378" s="28" t="s">
        <v>1684</v>
      </c>
      <c r="D3378" s="28" t="s">
        <v>4270</v>
      </c>
      <c r="E3378" s="28" t="s">
        <v>18469</v>
      </c>
      <c r="F3378" s="28" t="s">
        <v>21</v>
      </c>
      <c r="G3378" s="28" t="s">
        <v>39</v>
      </c>
      <c r="H3378" s="28" t="s">
        <v>16221</v>
      </c>
      <c r="I3378" s="28" t="s">
        <v>18470</v>
      </c>
      <c r="J3378" s="28" t="s">
        <v>39</v>
      </c>
      <c r="K3378" s="28" t="s">
        <v>16223</v>
      </c>
      <c r="L3378" s="28" t="s">
        <v>16224</v>
      </c>
      <c r="M3378" s="28" t="s">
        <v>18471</v>
      </c>
      <c r="N3378" s="28" t="s">
        <v>16226</v>
      </c>
      <c r="O3378" s="28" t="s">
        <v>16227</v>
      </c>
      <c r="P3378" s="28" t="s">
        <v>18472</v>
      </c>
    </row>
    <row r="3379" spans="1:16" x14ac:dyDescent="0.25">
      <c r="A3379" s="28" t="s">
        <v>18473</v>
      </c>
      <c r="B3379" s="28" t="s">
        <v>18474</v>
      </c>
      <c r="C3379" s="28" t="s">
        <v>1684</v>
      </c>
      <c r="D3379" s="28" t="s">
        <v>4270</v>
      </c>
      <c r="E3379" s="28" t="s">
        <v>18469</v>
      </c>
      <c r="F3379" s="28" t="s">
        <v>21</v>
      </c>
      <c r="G3379" s="28" t="s">
        <v>39</v>
      </c>
      <c r="H3379" s="28" t="s">
        <v>16221</v>
      </c>
      <c r="I3379" s="28" t="s">
        <v>18475</v>
      </c>
      <c r="J3379" s="28" t="s">
        <v>39</v>
      </c>
      <c r="K3379" s="28" t="s">
        <v>16223</v>
      </c>
      <c r="L3379" s="28" t="s">
        <v>16224</v>
      </c>
      <c r="M3379" s="28" t="s">
        <v>18476</v>
      </c>
      <c r="N3379" s="28" t="s">
        <v>16226</v>
      </c>
      <c r="O3379" s="28" t="s">
        <v>16227</v>
      </c>
      <c r="P3379" s="28" t="s">
        <v>18472</v>
      </c>
    </row>
    <row r="3380" spans="1:16" x14ac:dyDescent="0.25">
      <c r="A3380" s="28" t="s">
        <v>18477</v>
      </c>
      <c r="B3380" s="28" t="s">
        <v>18478</v>
      </c>
      <c r="C3380" s="28" t="s">
        <v>1684</v>
      </c>
      <c r="D3380" s="28" t="s">
        <v>4270</v>
      </c>
      <c r="E3380" s="28" t="s">
        <v>18469</v>
      </c>
      <c r="F3380" s="28" t="s">
        <v>21</v>
      </c>
      <c r="G3380" s="28" t="s">
        <v>39</v>
      </c>
      <c r="H3380" s="28" t="s">
        <v>16221</v>
      </c>
      <c r="I3380" s="28" t="s">
        <v>18479</v>
      </c>
      <c r="J3380" s="28" t="s">
        <v>39</v>
      </c>
      <c r="K3380" s="28" t="s">
        <v>16223</v>
      </c>
      <c r="L3380" s="28" t="s">
        <v>16224</v>
      </c>
      <c r="M3380" s="28" t="s">
        <v>18480</v>
      </c>
      <c r="N3380" s="28" t="s">
        <v>16226</v>
      </c>
      <c r="O3380" s="28" t="s">
        <v>16227</v>
      </c>
      <c r="P3380" s="28" t="s">
        <v>18472</v>
      </c>
    </row>
    <row r="3381" spans="1:16" x14ac:dyDescent="0.25">
      <c r="A3381" s="28" t="s">
        <v>18481</v>
      </c>
      <c r="B3381" s="28" t="s">
        <v>18482</v>
      </c>
      <c r="C3381" s="28" t="s">
        <v>1684</v>
      </c>
      <c r="D3381" s="28" t="s">
        <v>4270</v>
      </c>
      <c r="E3381" s="28" t="s">
        <v>18469</v>
      </c>
      <c r="F3381" s="28" t="s">
        <v>21</v>
      </c>
      <c r="G3381" s="28" t="s">
        <v>39</v>
      </c>
      <c r="H3381" s="28" t="s">
        <v>16221</v>
      </c>
      <c r="I3381" s="28" t="s">
        <v>18483</v>
      </c>
      <c r="J3381" s="28" t="s">
        <v>39</v>
      </c>
      <c r="K3381" s="28" t="s">
        <v>16223</v>
      </c>
      <c r="L3381" s="28" t="s">
        <v>16224</v>
      </c>
      <c r="M3381" s="28" t="s">
        <v>18484</v>
      </c>
      <c r="N3381" s="28" t="s">
        <v>16226</v>
      </c>
      <c r="O3381" s="28" t="s">
        <v>16227</v>
      </c>
      <c r="P3381" s="28" t="s">
        <v>18472</v>
      </c>
    </row>
    <row r="3382" spans="1:16" x14ac:dyDescent="0.25">
      <c r="A3382" s="28" t="s">
        <v>18485</v>
      </c>
      <c r="B3382" s="28" t="s">
        <v>18486</v>
      </c>
      <c r="C3382" s="28" t="s">
        <v>1684</v>
      </c>
      <c r="D3382" s="28" t="s">
        <v>4270</v>
      </c>
      <c r="E3382" s="28" t="s">
        <v>18469</v>
      </c>
      <c r="F3382" s="28" t="s">
        <v>21</v>
      </c>
      <c r="G3382" s="28" t="s">
        <v>39</v>
      </c>
      <c r="H3382" s="28" t="s">
        <v>16221</v>
      </c>
      <c r="I3382" s="28" t="s">
        <v>18487</v>
      </c>
      <c r="J3382" s="28" t="s">
        <v>39</v>
      </c>
      <c r="K3382" s="28" t="s">
        <v>16223</v>
      </c>
      <c r="L3382" s="28" t="s">
        <v>16224</v>
      </c>
      <c r="M3382" s="28" t="s">
        <v>18488</v>
      </c>
      <c r="N3382" s="28" t="s">
        <v>16226</v>
      </c>
      <c r="O3382" s="28" t="s">
        <v>16227</v>
      </c>
      <c r="P3382" s="28" t="s">
        <v>18472</v>
      </c>
    </row>
    <row r="3383" spans="1:16" x14ac:dyDescent="0.25">
      <c r="A3383" s="28" t="s">
        <v>18489</v>
      </c>
      <c r="B3383" s="28" t="s">
        <v>18490</v>
      </c>
      <c r="C3383" s="28" t="s">
        <v>1684</v>
      </c>
      <c r="D3383" s="28" t="s">
        <v>4270</v>
      </c>
      <c r="E3383" s="28" t="s">
        <v>18491</v>
      </c>
      <c r="F3383" s="28" t="s">
        <v>21</v>
      </c>
      <c r="G3383" s="28" t="s">
        <v>39</v>
      </c>
      <c r="H3383" s="28" t="s">
        <v>16221</v>
      </c>
      <c r="I3383" s="28" t="s">
        <v>18492</v>
      </c>
      <c r="J3383" s="28" t="s">
        <v>39</v>
      </c>
      <c r="K3383" s="28" t="s">
        <v>16223</v>
      </c>
      <c r="L3383" s="28" t="s">
        <v>16224</v>
      </c>
      <c r="M3383" s="28" t="s">
        <v>18493</v>
      </c>
      <c r="N3383" s="28" t="s">
        <v>16226</v>
      </c>
      <c r="O3383" s="28" t="s">
        <v>16227</v>
      </c>
      <c r="P3383" s="28" t="s">
        <v>18494</v>
      </c>
    </row>
    <row r="3384" spans="1:16" x14ac:dyDescent="0.25">
      <c r="A3384" s="28" t="s">
        <v>18495</v>
      </c>
      <c r="B3384" s="28" t="s">
        <v>18496</v>
      </c>
      <c r="C3384" s="28" t="s">
        <v>1684</v>
      </c>
      <c r="D3384" s="28" t="s">
        <v>5945</v>
      </c>
      <c r="E3384" s="28" t="s">
        <v>18497</v>
      </c>
      <c r="F3384" s="28" t="s">
        <v>21</v>
      </c>
      <c r="G3384" s="28" t="s">
        <v>39</v>
      </c>
      <c r="H3384" s="28" t="s">
        <v>16221</v>
      </c>
      <c r="I3384" s="28" t="s">
        <v>18498</v>
      </c>
      <c r="J3384" s="28" t="s">
        <v>39</v>
      </c>
      <c r="K3384" s="28" t="s">
        <v>16223</v>
      </c>
      <c r="L3384" s="28" t="s">
        <v>16224</v>
      </c>
      <c r="M3384" s="28" t="s">
        <v>18499</v>
      </c>
      <c r="N3384" s="28" t="s">
        <v>16226</v>
      </c>
      <c r="O3384" s="28" t="s">
        <v>16227</v>
      </c>
      <c r="P3384" s="28" t="s">
        <v>18500</v>
      </c>
    </row>
    <row r="3385" spans="1:16" x14ac:dyDescent="0.25">
      <c r="A3385" s="28" t="s">
        <v>18501</v>
      </c>
      <c r="B3385" s="28" t="s">
        <v>18502</v>
      </c>
      <c r="C3385" s="28" t="s">
        <v>1684</v>
      </c>
      <c r="D3385" s="28" t="s">
        <v>5956</v>
      </c>
      <c r="E3385" s="28" t="s">
        <v>18503</v>
      </c>
      <c r="F3385" s="28" t="s">
        <v>21</v>
      </c>
      <c r="G3385" s="28" t="s">
        <v>39</v>
      </c>
      <c r="H3385" s="28" t="s">
        <v>16221</v>
      </c>
      <c r="I3385" s="28" t="s">
        <v>18504</v>
      </c>
      <c r="J3385" s="28" t="s">
        <v>39</v>
      </c>
      <c r="K3385" s="28" t="s">
        <v>16223</v>
      </c>
      <c r="L3385" s="28" t="s">
        <v>16224</v>
      </c>
      <c r="M3385" s="28" t="s">
        <v>18505</v>
      </c>
      <c r="N3385" s="28" t="s">
        <v>16226</v>
      </c>
      <c r="O3385" s="28" t="s">
        <v>16227</v>
      </c>
      <c r="P3385" s="28" t="s">
        <v>18506</v>
      </c>
    </row>
    <row r="3386" spans="1:16" x14ac:dyDescent="0.25">
      <c r="A3386" s="28" t="s">
        <v>18507</v>
      </c>
      <c r="B3386" s="28" t="s">
        <v>18508</v>
      </c>
      <c r="C3386" s="28" t="s">
        <v>1684</v>
      </c>
      <c r="D3386" s="28" t="s">
        <v>5956</v>
      </c>
      <c r="E3386" s="28" t="s">
        <v>18509</v>
      </c>
      <c r="F3386" s="28" t="s">
        <v>21</v>
      </c>
      <c r="G3386" s="28" t="s">
        <v>39</v>
      </c>
      <c r="H3386" s="28" t="s">
        <v>16221</v>
      </c>
      <c r="I3386" s="28" t="s">
        <v>18510</v>
      </c>
      <c r="J3386" s="28" t="s">
        <v>39</v>
      </c>
      <c r="K3386" s="28" t="s">
        <v>16223</v>
      </c>
      <c r="L3386" s="28" t="s">
        <v>16224</v>
      </c>
      <c r="M3386" s="28" t="s">
        <v>18511</v>
      </c>
      <c r="N3386" s="28" t="s">
        <v>16226</v>
      </c>
      <c r="O3386" s="28" t="s">
        <v>16227</v>
      </c>
      <c r="P3386" s="28" t="s">
        <v>18512</v>
      </c>
    </row>
    <row r="3387" spans="1:16" x14ac:dyDescent="0.25">
      <c r="A3387" s="28" t="s">
        <v>18513</v>
      </c>
      <c r="B3387" s="28" t="s">
        <v>18514</v>
      </c>
      <c r="C3387" s="28" t="s">
        <v>1684</v>
      </c>
      <c r="D3387" s="28" t="s">
        <v>4341</v>
      </c>
      <c r="E3387" s="28" t="s">
        <v>18515</v>
      </c>
      <c r="F3387" s="28" t="s">
        <v>21</v>
      </c>
      <c r="G3387" s="28" t="s">
        <v>39</v>
      </c>
      <c r="H3387" s="28" t="s">
        <v>16221</v>
      </c>
      <c r="I3387" s="28" t="s">
        <v>18516</v>
      </c>
      <c r="J3387" s="28" t="s">
        <v>39</v>
      </c>
      <c r="K3387" s="28" t="s">
        <v>16223</v>
      </c>
      <c r="L3387" s="28" t="s">
        <v>16224</v>
      </c>
      <c r="M3387" s="28" t="s">
        <v>18517</v>
      </c>
      <c r="N3387" s="28" t="s">
        <v>16226</v>
      </c>
      <c r="O3387" s="28" t="s">
        <v>16227</v>
      </c>
      <c r="P3387" s="28" t="s">
        <v>18518</v>
      </c>
    </row>
    <row r="3388" spans="1:16" x14ac:dyDescent="0.25">
      <c r="A3388" s="28" t="s">
        <v>18519</v>
      </c>
      <c r="B3388" s="28" t="s">
        <v>18520</v>
      </c>
      <c r="C3388" s="28" t="s">
        <v>1684</v>
      </c>
      <c r="D3388" s="28" t="s">
        <v>15991</v>
      </c>
      <c r="E3388" s="28" t="s">
        <v>15992</v>
      </c>
      <c r="F3388" s="28" t="s">
        <v>21</v>
      </c>
      <c r="G3388" s="28" t="s">
        <v>39</v>
      </c>
      <c r="H3388" s="28" t="s">
        <v>16221</v>
      </c>
      <c r="I3388" s="28" t="s">
        <v>18521</v>
      </c>
      <c r="J3388" s="28" t="s">
        <v>39</v>
      </c>
      <c r="K3388" s="28" t="s">
        <v>16223</v>
      </c>
      <c r="L3388" s="28" t="s">
        <v>16224</v>
      </c>
      <c r="M3388" s="28" t="s">
        <v>18522</v>
      </c>
      <c r="N3388" s="28" t="s">
        <v>16226</v>
      </c>
      <c r="O3388" s="28" t="s">
        <v>16227</v>
      </c>
      <c r="P3388" s="28" t="s">
        <v>18523</v>
      </c>
    </row>
    <row r="3389" spans="1:16" x14ac:dyDescent="0.25">
      <c r="A3389" s="28" t="s">
        <v>18524</v>
      </c>
      <c r="B3389" s="28" t="s">
        <v>18525</v>
      </c>
      <c r="C3389" s="28" t="s">
        <v>1684</v>
      </c>
      <c r="D3389" s="28" t="s">
        <v>5979</v>
      </c>
      <c r="E3389" s="28" t="s">
        <v>18526</v>
      </c>
      <c r="F3389" s="28" t="s">
        <v>21</v>
      </c>
      <c r="G3389" s="28" t="s">
        <v>39</v>
      </c>
      <c r="H3389" s="28" t="s">
        <v>16221</v>
      </c>
      <c r="I3389" s="28" t="s">
        <v>18527</v>
      </c>
      <c r="J3389" s="28" t="s">
        <v>39</v>
      </c>
      <c r="K3389" s="28" t="s">
        <v>16223</v>
      </c>
      <c r="L3389" s="28" t="s">
        <v>16224</v>
      </c>
      <c r="M3389" s="28" t="s">
        <v>18528</v>
      </c>
      <c r="N3389" s="28" t="s">
        <v>16226</v>
      </c>
      <c r="O3389" s="28" t="s">
        <v>16227</v>
      </c>
      <c r="P3389" s="28" t="s">
        <v>18529</v>
      </c>
    </row>
    <row r="3390" spans="1:16" x14ac:dyDescent="0.25">
      <c r="A3390" s="28" t="s">
        <v>18530</v>
      </c>
      <c r="B3390" s="28" t="s">
        <v>18531</v>
      </c>
      <c r="C3390" s="28" t="s">
        <v>1684</v>
      </c>
      <c r="D3390" s="28" t="s">
        <v>5979</v>
      </c>
      <c r="E3390" s="28" t="s">
        <v>18532</v>
      </c>
      <c r="F3390" s="28" t="s">
        <v>21</v>
      </c>
      <c r="G3390" s="28" t="s">
        <v>39</v>
      </c>
      <c r="H3390" s="28" t="s">
        <v>16221</v>
      </c>
      <c r="I3390" s="28" t="s">
        <v>18533</v>
      </c>
      <c r="J3390" s="28" t="s">
        <v>39</v>
      </c>
      <c r="K3390" s="28" t="s">
        <v>16223</v>
      </c>
      <c r="L3390" s="28" t="s">
        <v>16224</v>
      </c>
      <c r="M3390" s="28" t="s">
        <v>18534</v>
      </c>
      <c r="N3390" s="28" t="s">
        <v>16226</v>
      </c>
      <c r="O3390" s="28" t="s">
        <v>16227</v>
      </c>
      <c r="P3390" s="28" t="s">
        <v>18535</v>
      </c>
    </row>
    <row r="3391" spans="1:16" x14ac:dyDescent="0.25">
      <c r="A3391" s="28" t="s">
        <v>18536</v>
      </c>
      <c r="B3391" s="28" t="s">
        <v>18537</v>
      </c>
      <c r="C3391" s="28" t="s">
        <v>1684</v>
      </c>
      <c r="D3391" s="28" t="s">
        <v>5979</v>
      </c>
      <c r="E3391" s="28" t="s">
        <v>18538</v>
      </c>
      <c r="F3391" s="28" t="s">
        <v>21</v>
      </c>
      <c r="G3391" s="28" t="s">
        <v>39</v>
      </c>
      <c r="H3391" s="28" t="s">
        <v>16221</v>
      </c>
      <c r="I3391" s="28" t="s">
        <v>18539</v>
      </c>
      <c r="J3391" s="28" t="s">
        <v>39</v>
      </c>
      <c r="K3391" s="28" t="s">
        <v>16223</v>
      </c>
      <c r="L3391" s="28" t="s">
        <v>16224</v>
      </c>
      <c r="M3391" s="28" t="s">
        <v>18540</v>
      </c>
      <c r="N3391" s="28" t="s">
        <v>16226</v>
      </c>
      <c r="O3391" s="28" t="s">
        <v>16227</v>
      </c>
      <c r="P3391" s="28" t="s">
        <v>18541</v>
      </c>
    </row>
    <row r="3392" spans="1:16" x14ac:dyDescent="0.25">
      <c r="A3392" s="28" t="s">
        <v>18542</v>
      </c>
      <c r="B3392" s="28" t="s">
        <v>18543</v>
      </c>
      <c r="C3392" s="28" t="s">
        <v>1684</v>
      </c>
      <c r="D3392" s="28" t="s">
        <v>7132</v>
      </c>
      <c r="E3392" s="28" t="s">
        <v>18544</v>
      </c>
      <c r="F3392" s="28" t="s">
        <v>21</v>
      </c>
      <c r="G3392" s="28" t="s">
        <v>149</v>
      </c>
      <c r="H3392" s="28" t="s">
        <v>16221</v>
      </c>
      <c r="I3392" s="28" t="s">
        <v>18545</v>
      </c>
      <c r="J3392" s="28" t="s">
        <v>149</v>
      </c>
      <c r="K3392" s="28" t="s">
        <v>17201</v>
      </c>
      <c r="L3392" s="28" t="s">
        <v>16224</v>
      </c>
      <c r="M3392" s="28" t="s">
        <v>18546</v>
      </c>
      <c r="N3392" s="28" t="s">
        <v>16226</v>
      </c>
      <c r="O3392" s="28" t="s">
        <v>16227</v>
      </c>
      <c r="P3392" s="28" t="s">
        <v>18547</v>
      </c>
    </row>
    <row r="3393" spans="1:16" x14ac:dyDescent="0.25">
      <c r="A3393" s="28" t="s">
        <v>18548</v>
      </c>
      <c r="B3393" s="28" t="s">
        <v>18549</v>
      </c>
      <c r="C3393" s="28" t="s">
        <v>1684</v>
      </c>
      <c r="D3393" s="28" t="s">
        <v>7132</v>
      </c>
      <c r="E3393" s="28" t="s">
        <v>18544</v>
      </c>
      <c r="F3393" s="28" t="s">
        <v>21</v>
      </c>
      <c r="G3393" s="28" t="s">
        <v>39</v>
      </c>
      <c r="H3393" s="28" t="s">
        <v>16221</v>
      </c>
      <c r="I3393" s="28" t="s">
        <v>18550</v>
      </c>
      <c r="J3393" s="28" t="s">
        <v>39</v>
      </c>
      <c r="K3393" s="28" t="s">
        <v>16223</v>
      </c>
      <c r="L3393" s="28" t="s">
        <v>16224</v>
      </c>
      <c r="M3393" s="28" t="s">
        <v>18551</v>
      </c>
      <c r="N3393" s="28" t="s">
        <v>16226</v>
      </c>
      <c r="O3393" s="28" t="s">
        <v>16227</v>
      </c>
      <c r="P3393" s="28" t="s">
        <v>18547</v>
      </c>
    </row>
    <row r="3394" spans="1:16" x14ac:dyDescent="0.25">
      <c r="A3394" s="28" t="s">
        <v>18552</v>
      </c>
      <c r="B3394" s="28" t="s">
        <v>18553</v>
      </c>
      <c r="C3394" s="28" t="s">
        <v>1684</v>
      </c>
      <c r="D3394" s="28" t="s">
        <v>7132</v>
      </c>
      <c r="E3394" s="28" t="s">
        <v>16244</v>
      </c>
      <c r="F3394" s="28" t="s">
        <v>21</v>
      </c>
      <c r="G3394" s="28" t="s">
        <v>39</v>
      </c>
      <c r="H3394" s="28" t="s">
        <v>16221</v>
      </c>
      <c r="I3394" s="28" t="s">
        <v>18554</v>
      </c>
      <c r="J3394" s="28" t="s">
        <v>39</v>
      </c>
      <c r="K3394" s="28" t="s">
        <v>16223</v>
      </c>
      <c r="L3394" s="28" t="s">
        <v>16224</v>
      </c>
      <c r="M3394" s="28" t="s">
        <v>18555</v>
      </c>
      <c r="N3394" s="28" t="s">
        <v>16226</v>
      </c>
      <c r="O3394" s="28" t="s">
        <v>16227</v>
      </c>
      <c r="P3394" s="28" t="s">
        <v>16247</v>
      </c>
    </row>
    <row r="3395" spans="1:16" x14ac:dyDescent="0.25">
      <c r="A3395" s="28" t="s">
        <v>18556</v>
      </c>
      <c r="B3395" s="28" t="s">
        <v>18557</v>
      </c>
      <c r="C3395" s="28" t="s">
        <v>1684</v>
      </c>
      <c r="D3395" s="28" t="s">
        <v>7132</v>
      </c>
      <c r="E3395" s="28" t="s">
        <v>16244</v>
      </c>
      <c r="F3395" s="28" t="s">
        <v>21</v>
      </c>
      <c r="G3395" s="28" t="s">
        <v>39</v>
      </c>
      <c r="H3395" s="28" t="s">
        <v>16221</v>
      </c>
      <c r="I3395" s="28" t="s">
        <v>18558</v>
      </c>
      <c r="J3395" s="28" t="s">
        <v>39</v>
      </c>
      <c r="K3395" s="28" t="s">
        <v>16223</v>
      </c>
      <c r="L3395" s="28" t="s">
        <v>16224</v>
      </c>
      <c r="M3395" s="28" t="s">
        <v>18559</v>
      </c>
      <c r="N3395" s="28" t="s">
        <v>16226</v>
      </c>
      <c r="O3395" s="28" t="s">
        <v>16227</v>
      </c>
      <c r="P3395" s="28" t="s">
        <v>16247</v>
      </c>
    </row>
    <row r="3396" spans="1:16" x14ac:dyDescent="0.25">
      <c r="A3396" s="28" t="s">
        <v>18560</v>
      </c>
      <c r="B3396" s="28" t="s">
        <v>18561</v>
      </c>
      <c r="C3396" s="28" t="s">
        <v>1684</v>
      </c>
      <c r="D3396" s="28" t="s">
        <v>7132</v>
      </c>
      <c r="E3396" s="28" t="s">
        <v>16244</v>
      </c>
      <c r="F3396" s="28" t="s">
        <v>21</v>
      </c>
      <c r="G3396" s="28" t="s">
        <v>39</v>
      </c>
      <c r="H3396" s="28" t="s">
        <v>16221</v>
      </c>
      <c r="I3396" s="28" t="s">
        <v>18562</v>
      </c>
      <c r="J3396" s="28" t="s">
        <v>39</v>
      </c>
      <c r="K3396" s="28" t="s">
        <v>16223</v>
      </c>
      <c r="L3396" s="28" t="s">
        <v>16224</v>
      </c>
      <c r="M3396" s="28" t="s">
        <v>18563</v>
      </c>
      <c r="N3396" s="28" t="s">
        <v>16226</v>
      </c>
      <c r="O3396" s="28" t="s">
        <v>16227</v>
      </c>
      <c r="P3396" s="28" t="s">
        <v>16247</v>
      </c>
    </row>
    <row r="3397" spans="1:16" x14ac:dyDescent="0.25">
      <c r="A3397" s="28" t="s">
        <v>18564</v>
      </c>
      <c r="B3397" s="28" t="s">
        <v>18565</v>
      </c>
      <c r="C3397" s="28" t="s">
        <v>1684</v>
      </c>
      <c r="D3397" s="28" t="s">
        <v>19</v>
      </c>
      <c r="E3397" s="28" t="s">
        <v>18566</v>
      </c>
      <c r="F3397" s="28" t="s">
        <v>21</v>
      </c>
      <c r="G3397" s="28" t="s">
        <v>39</v>
      </c>
      <c r="H3397" s="28" t="s">
        <v>16221</v>
      </c>
      <c r="I3397" s="28" t="s">
        <v>18567</v>
      </c>
      <c r="J3397" s="28" t="s">
        <v>39</v>
      </c>
      <c r="K3397" s="28" t="s">
        <v>16223</v>
      </c>
      <c r="L3397" s="28" t="s">
        <v>16224</v>
      </c>
      <c r="M3397" s="28" t="s">
        <v>18568</v>
      </c>
      <c r="N3397" s="28" t="s">
        <v>16226</v>
      </c>
      <c r="O3397" s="28" t="s">
        <v>16227</v>
      </c>
      <c r="P3397" s="28" t="s">
        <v>18569</v>
      </c>
    </row>
    <row r="3398" spans="1:16" x14ac:dyDescent="0.25">
      <c r="A3398" s="28" t="s">
        <v>18570</v>
      </c>
      <c r="B3398" s="28" t="s">
        <v>18571</v>
      </c>
      <c r="C3398" s="28" t="s">
        <v>1684</v>
      </c>
      <c r="D3398" s="28" t="s">
        <v>19</v>
      </c>
      <c r="E3398" s="28" t="s">
        <v>18566</v>
      </c>
      <c r="F3398" s="28" t="s">
        <v>21</v>
      </c>
      <c r="G3398" s="28" t="s">
        <v>39</v>
      </c>
      <c r="H3398" s="28" t="s">
        <v>16221</v>
      </c>
      <c r="I3398" s="28" t="s">
        <v>18572</v>
      </c>
      <c r="J3398" s="28" t="s">
        <v>39</v>
      </c>
      <c r="K3398" s="28" t="s">
        <v>16223</v>
      </c>
      <c r="L3398" s="28" t="s">
        <v>16224</v>
      </c>
      <c r="M3398" s="28" t="s">
        <v>18573</v>
      </c>
      <c r="N3398" s="28" t="s">
        <v>16226</v>
      </c>
      <c r="O3398" s="28" t="s">
        <v>16227</v>
      </c>
      <c r="P3398" s="28" t="s">
        <v>18569</v>
      </c>
    </row>
    <row r="3399" spans="1:16" x14ac:dyDescent="0.25">
      <c r="A3399" s="28" t="s">
        <v>18574</v>
      </c>
      <c r="B3399" s="28" t="s">
        <v>18575</v>
      </c>
      <c r="C3399" s="28" t="s">
        <v>1684</v>
      </c>
      <c r="D3399" s="28" t="s">
        <v>19</v>
      </c>
      <c r="E3399" s="28" t="s">
        <v>18566</v>
      </c>
      <c r="F3399" s="28" t="s">
        <v>21</v>
      </c>
      <c r="G3399" s="28" t="s">
        <v>39</v>
      </c>
      <c r="H3399" s="28" t="s">
        <v>16221</v>
      </c>
      <c r="I3399" s="28" t="s">
        <v>18576</v>
      </c>
      <c r="J3399" s="28" t="s">
        <v>39</v>
      </c>
      <c r="K3399" s="28" t="s">
        <v>16223</v>
      </c>
      <c r="L3399" s="28" t="s">
        <v>16224</v>
      </c>
      <c r="M3399" s="28" t="s">
        <v>18577</v>
      </c>
      <c r="N3399" s="28" t="s">
        <v>16226</v>
      </c>
      <c r="O3399" s="28" t="s">
        <v>16227</v>
      </c>
      <c r="P3399" s="28" t="s">
        <v>18569</v>
      </c>
    </row>
    <row r="3400" spans="1:16" x14ac:dyDescent="0.25">
      <c r="A3400" s="28" t="s">
        <v>18578</v>
      </c>
      <c r="B3400" s="28" t="s">
        <v>18579</v>
      </c>
      <c r="C3400" s="28" t="s">
        <v>1684</v>
      </c>
      <c r="D3400" s="28" t="s">
        <v>19</v>
      </c>
      <c r="E3400" s="28" t="s">
        <v>18566</v>
      </c>
      <c r="F3400" s="28" t="s">
        <v>21</v>
      </c>
      <c r="G3400" s="28" t="s">
        <v>39</v>
      </c>
      <c r="H3400" s="28" t="s">
        <v>16221</v>
      </c>
      <c r="I3400" s="28" t="s">
        <v>18580</v>
      </c>
      <c r="J3400" s="28" t="s">
        <v>39</v>
      </c>
      <c r="K3400" s="28" t="s">
        <v>16223</v>
      </c>
      <c r="L3400" s="28" t="s">
        <v>16224</v>
      </c>
      <c r="M3400" s="28" t="s">
        <v>18581</v>
      </c>
      <c r="N3400" s="28" t="s">
        <v>16226</v>
      </c>
      <c r="O3400" s="28" t="s">
        <v>16227</v>
      </c>
      <c r="P3400" s="28" t="s">
        <v>18569</v>
      </c>
    </row>
    <row r="3401" spans="1:16" x14ac:dyDescent="0.25">
      <c r="A3401" s="28" t="s">
        <v>18582</v>
      </c>
      <c r="B3401" s="28" t="s">
        <v>18583</v>
      </c>
      <c r="C3401" s="28" t="s">
        <v>1684</v>
      </c>
      <c r="D3401" s="28" t="s">
        <v>120</v>
      </c>
      <c r="E3401" s="28" t="s">
        <v>121</v>
      </c>
      <c r="F3401" s="28" t="s">
        <v>21</v>
      </c>
      <c r="G3401" s="28" t="s">
        <v>39</v>
      </c>
      <c r="H3401" s="28" t="s">
        <v>16221</v>
      </c>
      <c r="I3401" s="28" t="s">
        <v>18584</v>
      </c>
      <c r="J3401" s="28" t="s">
        <v>39</v>
      </c>
      <c r="K3401" s="28" t="s">
        <v>16223</v>
      </c>
      <c r="L3401" s="28" t="s">
        <v>16224</v>
      </c>
      <c r="M3401" s="28" t="s">
        <v>18585</v>
      </c>
      <c r="N3401" s="28" t="s">
        <v>16226</v>
      </c>
      <c r="O3401" s="28" t="s">
        <v>16227</v>
      </c>
      <c r="P3401" s="28" t="s">
        <v>16519</v>
      </c>
    </row>
    <row r="3402" spans="1:16" x14ac:dyDescent="0.25">
      <c r="A3402" s="28" t="s">
        <v>18586</v>
      </c>
      <c r="B3402" s="28" t="s">
        <v>18587</v>
      </c>
      <c r="C3402" s="28" t="s">
        <v>1684</v>
      </c>
      <c r="D3402" s="28" t="s">
        <v>120</v>
      </c>
      <c r="E3402" s="28" t="s">
        <v>121</v>
      </c>
      <c r="F3402" s="28" t="s">
        <v>21</v>
      </c>
      <c r="G3402" s="28" t="s">
        <v>39</v>
      </c>
      <c r="H3402" s="28" t="s">
        <v>16221</v>
      </c>
      <c r="I3402" s="28" t="s">
        <v>18588</v>
      </c>
      <c r="J3402" s="28" t="s">
        <v>39</v>
      </c>
      <c r="K3402" s="28" t="s">
        <v>16223</v>
      </c>
      <c r="L3402" s="28" t="s">
        <v>16224</v>
      </c>
      <c r="M3402" s="28" t="s">
        <v>18589</v>
      </c>
      <c r="N3402" s="28" t="s">
        <v>16226</v>
      </c>
      <c r="O3402" s="28" t="s">
        <v>16227</v>
      </c>
      <c r="P3402" s="28" t="s">
        <v>16519</v>
      </c>
    </row>
    <row r="3403" spans="1:16" x14ac:dyDescent="0.25">
      <c r="A3403" s="28" t="s">
        <v>18590</v>
      </c>
      <c r="B3403" s="28" t="s">
        <v>18591</v>
      </c>
      <c r="C3403" s="28" t="s">
        <v>1684</v>
      </c>
      <c r="D3403" s="28" t="s">
        <v>120</v>
      </c>
      <c r="E3403" s="28" t="s">
        <v>121</v>
      </c>
      <c r="F3403" s="28" t="s">
        <v>21</v>
      </c>
      <c r="G3403" s="28" t="s">
        <v>39</v>
      </c>
      <c r="H3403" s="28" t="s">
        <v>16221</v>
      </c>
      <c r="I3403" s="28" t="s">
        <v>18592</v>
      </c>
      <c r="J3403" s="28" t="s">
        <v>39</v>
      </c>
      <c r="K3403" s="28" t="s">
        <v>16223</v>
      </c>
      <c r="L3403" s="28" t="s">
        <v>16224</v>
      </c>
      <c r="M3403" s="28" t="s">
        <v>18593</v>
      </c>
      <c r="N3403" s="28" t="s">
        <v>16226</v>
      </c>
      <c r="O3403" s="28" t="s">
        <v>16227</v>
      </c>
      <c r="P3403" s="28" t="s">
        <v>16519</v>
      </c>
    </row>
    <row r="3404" spans="1:16" x14ac:dyDescent="0.25">
      <c r="A3404" s="28" t="s">
        <v>18594</v>
      </c>
      <c r="B3404" s="28" t="s">
        <v>18595</v>
      </c>
      <c r="C3404" s="28" t="s">
        <v>1684</v>
      </c>
      <c r="D3404" s="28" t="s">
        <v>120</v>
      </c>
      <c r="E3404" s="28" t="s">
        <v>121</v>
      </c>
      <c r="F3404" s="28" t="s">
        <v>21</v>
      </c>
      <c r="G3404" s="28" t="s">
        <v>39</v>
      </c>
      <c r="H3404" s="28" t="s">
        <v>16221</v>
      </c>
      <c r="I3404" s="28" t="s">
        <v>18596</v>
      </c>
      <c r="J3404" s="28" t="s">
        <v>39</v>
      </c>
      <c r="K3404" s="28" t="s">
        <v>16223</v>
      </c>
      <c r="L3404" s="28" t="s">
        <v>16224</v>
      </c>
      <c r="M3404" s="28" t="s">
        <v>18597</v>
      </c>
      <c r="N3404" s="28" t="s">
        <v>16226</v>
      </c>
      <c r="O3404" s="28" t="s">
        <v>16227</v>
      </c>
      <c r="P3404" s="28" t="s">
        <v>16519</v>
      </c>
    </row>
    <row r="3405" spans="1:16" x14ac:dyDescent="0.25">
      <c r="A3405" s="28" t="s">
        <v>18598</v>
      </c>
      <c r="B3405" s="28" t="s">
        <v>18599</v>
      </c>
      <c r="C3405" s="28" t="s">
        <v>1684</v>
      </c>
      <c r="D3405" s="28" t="s">
        <v>120</v>
      </c>
      <c r="E3405" s="28" t="s">
        <v>18600</v>
      </c>
      <c r="F3405" s="28" t="s">
        <v>21</v>
      </c>
      <c r="G3405" s="28" t="s">
        <v>39</v>
      </c>
      <c r="H3405" s="28" t="s">
        <v>16221</v>
      </c>
      <c r="I3405" s="28" t="s">
        <v>18601</v>
      </c>
      <c r="J3405" s="28" t="s">
        <v>39</v>
      </c>
      <c r="K3405" s="28" t="s">
        <v>16223</v>
      </c>
      <c r="L3405" s="28" t="s">
        <v>16224</v>
      </c>
      <c r="M3405" s="28" t="s">
        <v>18602</v>
      </c>
      <c r="N3405" s="28" t="s">
        <v>16226</v>
      </c>
      <c r="O3405" s="28" t="s">
        <v>16227</v>
      </c>
      <c r="P3405" s="28" t="s">
        <v>18603</v>
      </c>
    </row>
    <row r="3406" spans="1:16" x14ac:dyDescent="0.25">
      <c r="A3406" s="28" t="s">
        <v>18604</v>
      </c>
      <c r="B3406" s="28" t="s">
        <v>18605</v>
      </c>
      <c r="C3406" s="28" t="s">
        <v>1684</v>
      </c>
      <c r="D3406" s="28" t="s">
        <v>120</v>
      </c>
      <c r="E3406" s="28" t="s">
        <v>18600</v>
      </c>
      <c r="F3406" s="28" t="s">
        <v>21</v>
      </c>
      <c r="G3406" s="28" t="s">
        <v>39</v>
      </c>
      <c r="H3406" s="28" t="s">
        <v>16221</v>
      </c>
      <c r="I3406" s="28" t="s">
        <v>18606</v>
      </c>
      <c r="J3406" s="28" t="s">
        <v>39</v>
      </c>
      <c r="K3406" s="28" t="s">
        <v>16223</v>
      </c>
      <c r="L3406" s="28" t="s">
        <v>16224</v>
      </c>
      <c r="M3406" s="28" t="s">
        <v>18607</v>
      </c>
      <c r="N3406" s="28" t="s">
        <v>16226</v>
      </c>
      <c r="O3406" s="28" t="s">
        <v>16227</v>
      </c>
      <c r="P3406" s="28" t="s">
        <v>18603</v>
      </c>
    </row>
    <row r="3407" spans="1:16" x14ac:dyDescent="0.25">
      <c r="A3407" s="28" t="s">
        <v>18608</v>
      </c>
      <c r="B3407" s="28" t="s">
        <v>18609</v>
      </c>
      <c r="C3407" s="28" t="s">
        <v>1684</v>
      </c>
      <c r="D3407" s="28" t="s">
        <v>120</v>
      </c>
      <c r="E3407" s="28" t="s">
        <v>18610</v>
      </c>
      <c r="F3407" s="28" t="s">
        <v>21</v>
      </c>
      <c r="G3407" s="28" t="s">
        <v>39</v>
      </c>
      <c r="H3407" s="28" t="s">
        <v>16221</v>
      </c>
      <c r="I3407" s="28" t="s">
        <v>18611</v>
      </c>
      <c r="J3407" s="28" t="s">
        <v>39</v>
      </c>
      <c r="K3407" s="28" t="s">
        <v>16223</v>
      </c>
      <c r="L3407" s="28" t="s">
        <v>16224</v>
      </c>
      <c r="M3407" s="28" t="s">
        <v>18612</v>
      </c>
      <c r="N3407" s="28" t="s">
        <v>16226</v>
      </c>
      <c r="O3407" s="28" t="s">
        <v>16227</v>
      </c>
      <c r="P3407" s="28" t="s">
        <v>18613</v>
      </c>
    </row>
    <row r="3408" spans="1:16" x14ac:dyDescent="0.25">
      <c r="A3408" s="28" t="s">
        <v>18614</v>
      </c>
      <c r="B3408" s="28" t="s">
        <v>18615</v>
      </c>
      <c r="C3408" s="28" t="s">
        <v>1684</v>
      </c>
      <c r="D3408" s="28" t="s">
        <v>120</v>
      </c>
      <c r="E3408" s="28" t="s">
        <v>18610</v>
      </c>
      <c r="F3408" s="28" t="s">
        <v>21</v>
      </c>
      <c r="G3408" s="28" t="s">
        <v>39</v>
      </c>
      <c r="H3408" s="28" t="s">
        <v>16221</v>
      </c>
      <c r="I3408" s="28" t="s">
        <v>18616</v>
      </c>
      <c r="J3408" s="28" t="s">
        <v>39</v>
      </c>
      <c r="K3408" s="28" t="s">
        <v>16223</v>
      </c>
      <c r="L3408" s="28" t="s">
        <v>16224</v>
      </c>
      <c r="M3408" s="28" t="s">
        <v>18617</v>
      </c>
      <c r="N3408" s="28" t="s">
        <v>16226</v>
      </c>
      <c r="O3408" s="28" t="s">
        <v>16227</v>
      </c>
      <c r="P3408" s="28" t="s">
        <v>18613</v>
      </c>
    </row>
    <row r="3409" spans="1:16" x14ac:dyDescent="0.25">
      <c r="A3409" s="28" t="s">
        <v>18618</v>
      </c>
      <c r="B3409" s="28" t="s">
        <v>18619</v>
      </c>
      <c r="C3409" s="28" t="s">
        <v>1684</v>
      </c>
      <c r="D3409" s="28" t="s">
        <v>120</v>
      </c>
      <c r="E3409" s="28" t="s">
        <v>18610</v>
      </c>
      <c r="F3409" s="28" t="s">
        <v>21</v>
      </c>
      <c r="G3409" s="28" t="s">
        <v>39</v>
      </c>
      <c r="H3409" s="28" t="s">
        <v>16221</v>
      </c>
      <c r="I3409" s="28" t="s">
        <v>18620</v>
      </c>
      <c r="J3409" s="28" t="s">
        <v>39</v>
      </c>
      <c r="K3409" s="28" t="s">
        <v>16223</v>
      </c>
      <c r="L3409" s="28" t="s">
        <v>16224</v>
      </c>
      <c r="M3409" s="28" t="s">
        <v>18621</v>
      </c>
      <c r="N3409" s="28" t="s">
        <v>16226</v>
      </c>
      <c r="O3409" s="28" t="s">
        <v>16227</v>
      </c>
      <c r="P3409" s="28" t="s">
        <v>18613</v>
      </c>
    </row>
    <row r="3410" spans="1:16" x14ac:dyDescent="0.25">
      <c r="A3410" s="28" t="s">
        <v>18622</v>
      </c>
      <c r="B3410" s="28" t="s">
        <v>18623</v>
      </c>
      <c r="C3410" s="28" t="s">
        <v>1684</v>
      </c>
      <c r="D3410" s="28" t="s">
        <v>120</v>
      </c>
      <c r="E3410" s="28" t="s">
        <v>18624</v>
      </c>
      <c r="F3410" s="28" t="s">
        <v>21</v>
      </c>
      <c r="G3410" s="28" t="s">
        <v>39</v>
      </c>
      <c r="H3410" s="28" t="s">
        <v>16221</v>
      </c>
      <c r="I3410" s="28" t="s">
        <v>18625</v>
      </c>
      <c r="J3410" s="28" t="s">
        <v>39</v>
      </c>
      <c r="K3410" s="28" t="s">
        <v>16223</v>
      </c>
      <c r="L3410" s="28" t="s">
        <v>16224</v>
      </c>
      <c r="M3410" s="28" t="s">
        <v>18626</v>
      </c>
      <c r="N3410" s="28" t="s">
        <v>16226</v>
      </c>
      <c r="O3410" s="28" t="s">
        <v>16227</v>
      </c>
      <c r="P3410" s="28" t="s">
        <v>18627</v>
      </c>
    </row>
    <row r="3411" spans="1:16" x14ac:dyDescent="0.25">
      <c r="A3411" s="28" t="s">
        <v>18628</v>
      </c>
      <c r="B3411" s="28" t="s">
        <v>18629</v>
      </c>
      <c r="C3411" s="28" t="s">
        <v>1684</v>
      </c>
      <c r="D3411" s="28" t="s">
        <v>120</v>
      </c>
      <c r="E3411" s="28" t="s">
        <v>18624</v>
      </c>
      <c r="F3411" s="28" t="s">
        <v>21</v>
      </c>
      <c r="G3411" s="28" t="s">
        <v>39</v>
      </c>
      <c r="H3411" s="28" t="s">
        <v>16221</v>
      </c>
      <c r="I3411" s="28" t="s">
        <v>18630</v>
      </c>
      <c r="J3411" s="28" t="s">
        <v>39</v>
      </c>
      <c r="K3411" s="28" t="s">
        <v>16223</v>
      </c>
      <c r="L3411" s="28" t="s">
        <v>16224</v>
      </c>
      <c r="M3411" s="28" t="s">
        <v>18631</v>
      </c>
      <c r="N3411" s="28" t="s">
        <v>16226</v>
      </c>
      <c r="O3411" s="28" t="s">
        <v>16227</v>
      </c>
      <c r="P3411" s="28" t="s">
        <v>18627</v>
      </c>
    </row>
    <row r="3412" spans="1:16" x14ac:dyDescent="0.25">
      <c r="A3412" s="28" t="s">
        <v>18632</v>
      </c>
      <c r="B3412" s="28" t="s">
        <v>18633</v>
      </c>
      <c r="C3412" s="28" t="s">
        <v>1684</v>
      </c>
      <c r="D3412" s="28" t="s">
        <v>120</v>
      </c>
      <c r="E3412" s="28" t="s">
        <v>18634</v>
      </c>
      <c r="F3412" s="28" t="s">
        <v>21</v>
      </c>
      <c r="G3412" s="28" t="s">
        <v>39</v>
      </c>
      <c r="H3412" s="28" t="s">
        <v>16221</v>
      </c>
      <c r="I3412" s="28" t="s">
        <v>18635</v>
      </c>
      <c r="J3412" s="28" t="s">
        <v>39</v>
      </c>
      <c r="K3412" s="28" t="s">
        <v>16223</v>
      </c>
      <c r="L3412" s="28" t="s">
        <v>16224</v>
      </c>
      <c r="M3412" s="28" t="s">
        <v>18636</v>
      </c>
      <c r="N3412" s="28" t="s">
        <v>16226</v>
      </c>
      <c r="O3412" s="28" t="s">
        <v>16227</v>
      </c>
      <c r="P3412" s="28" t="s">
        <v>18637</v>
      </c>
    </row>
    <row r="3413" spans="1:16" x14ac:dyDescent="0.25">
      <c r="A3413" s="28" t="s">
        <v>18638</v>
      </c>
      <c r="B3413" s="28" t="s">
        <v>18639</v>
      </c>
      <c r="C3413" s="28" t="s">
        <v>1684</v>
      </c>
      <c r="D3413" s="28" t="s">
        <v>120</v>
      </c>
      <c r="E3413" s="28" t="s">
        <v>18634</v>
      </c>
      <c r="F3413" s="28" t="s">
        <v>21</v>
      </c>
      <c r="G3413" s="28" t="s">
        <v>39</v>
      </c>
      <c r="H3413" s="28" t="s">
        <v>16221</v>
      </c>
      <c r="I3413" s="28" t="s">
        <v>18640</v>
      </c>
      <c r="J3413" s="28" t="s">
        <v>39</v>
      </c>
      <c r="K3413" s="28" t="s">
        <v>16223</v>
      </c>
      <c r="L3413" s="28" t="s">
        <v>16224</v>
      </c>
      <c r="M3413" s="28" t="s">
        <v>18641</v>
      </c>
      <c r="N3413" s="28" t="s">
        <v>16226</v>
      </c>
      <c r="O3413" s="28" t="s">
        <v>16227</v>
      </c>
      <c r="P3413" s="28" t="s">
        <v>18637</v>
      </c>
    </row>
    <row r="3414" spans="1:16" x14ac:dyDescent="0.25">
      <c r="A3414" s="28" t="s">
        <v>18642</v>
      </c>
      <c r="B3414" s="28" t="s">
        <v>18643</v>
      </c>
      <c r="C3414" s="28" t="s">
        <v>1684</v>
      </c>
      <c r="D3414" s="28" t="s">
        <v>120</v>
      </c>
      <c r="E3414" s="28" t="s">
        <v>18634</v>
      </c>
      <c r="F3414" s="28" t="s">
        <v>21</v>
      </c>
      <c r="G3414" s="28" t="s">
        <v>39</v>
      </c>
      <c r="H3414" s="28" t="s">
        <v>16221</v>
      </c>
      <c r="I3414" s="28" t="s">
        <v>18644</v>
      </c>
      <c r="J3414" s="28" t="s">
        <v>39</v>
      </c>
      <c r="K3414" s="28" t="s">
        <v>16223</v>
      </c>
      <c r="L3414" s="28" t="s">
        <v>16224</v>
      </c>
      <c r="M3414" s="28" t="s">
        <v>18645</v>
      </c>
      <c r="N3414" s="28" t="s">
        <v>16226</v>
      </c>
      <c r="O3414" s="28" t="s">
        <v>16227</v>
      </c>
      <c r="P3414" s="28" t="s">
        <v>18637</v>
      </c>
    </row>
    <row r="3415" spans="1:16" x14ac:dyDescent="0.25">
      <c r="A3415" s="28" t="s">
        <v>18646</v>
      </c>
      <c r="B3415" s="28" t="s">
        <v>18647</v>
      </c>
      <c r="C3415" s="28" t="s">
        <v>1684</v>
      </c>
      <c r="D3415" s="28" t="s">
        <v>120</v>
      </c>
      <c r="E3415" s="28" t="s">
        <v>18634</v>
      </c>
      <c r="F3415" s="28" t="s">
        <v>21</v>
      </c>
      <c r="G3415" s="28" t="s">
        <v>39</v>
      </c>
      <c r="H3415" s="28" t="s">
        <v>16221</v>
      </c>
      <c r="I3415" s="28" t="s">
        <v>18648</v>
      </c>
      <c r="J3415" s="28" t="s">
        <v>39</v>
      </c>
      <c r="K3415" s="28" t="s">
        <v>16223</v>
      </c>
      <c r="L3415" s="28" t="s">
        <v>16224</v>
      </c>
      <c r="M3415" s="28" t="s">
        <v>18649</v>
      </c>
      <c r="N3415" s="28" t="s">
        <v>16226</v>
      </c>
      <c r="O3415" s="28" t="s">
        <v>16227</v>
      </c>
      <c r="P3415" s="28" t="s">
        <v>18637</v>
      </c>
    </row>
    <row r="3416" spans="1:16" x14ac:dyDescent="0.25">
      <c r="A3416" s="28" t="s">
        <v>18650</v>
      </c>
      <c r="B3416" s="28" t="s">
        <v>18651</v>
      </c>
      <c r="C3416" s="28" t="s">
        <v>1684</v>
      </c>
      <c r="D3416" s="28" t="s">
        <v>120</v>
      </c>
      <c r="E3416" s="28" t="s">
        <v>18652</v>
      </c>
      <c r="F3416" s="28" t="s">
        <v>21</v>
      </c>
      <c r="G3416" s="28" t="s">
        <v>39</v>
      </c>
      <c r="H3416" s="28" t="s">
        <v>16221</v>
      </c>
      <c r="I3416" s="28" t="s">
        <v>18653</v>
      </c>
      <c r="J3416" s="28" t="s">
        <v>39</v>
      </c>
      <c r="K3416" s="28" t="s">
        <v>16223</v>
      </c>
      <c r="L3416" s="28" t="s">
        <v>16224</v>
      </c>
      <c r="M3416" s="28" t="s">
        <v>18654</v>
      </c>
      <c r="N3416" s="28" t="s">
        <v>16226</v>
      </c>
      <c r="O3416" s="28" t="s">
        <v>16227</v>
      </c>
      <c r="P3416" s="28" t="s">
        <v>18655</v>
      </c>
    </row>
    <row r="3417" spans="1:16" x14ac:dyDescent="0.25">
      <c r="A3417" s="28" t="s">
        <v>18656</v>
      </c>
      <c r="B3417" s="28" t="s">
        <v>18657</v>
      </c>
      <c r="C3417" s="28" t="s">
        <v>1684</v>
      </c>
      <c r="D3417" s="28" t="s">
        <v>120</v>
      </c>
      <c r="E3417" s="28" t="s">
        <v>18652</v>
      </c>
      <c r="F3417" s="28" t="s">
        <v>21</v>
      </c>
      <c r="G3417" s="28" t="s">
        <v>39</v>
      </c>
      <c r="H3417" s="28" t="s">
        <v>16221</v>
      </c>
      <c r="I3417" s="28" t="s">
        <v>18658</v>
      </c>
      <c r="J3417" s="28" t="s">
        <v>39</v>
      </c>
      <c r="K3417" s="28" t="s">
        <v>16223</v>
      </c>
      <c r="L3417" s="28" t="s">
        <v>16224</v>
      </c>
      <c r="M3417" s="28" t="s">
        <v>18659</v>
      </c>
      <c r="N3417" s="28" t="s">
        <v>16226</v>
      </c>
      <c r="O3417" s="28" t="s">
        <v>16227</v>
      </c>
      <c r="P3417" s="28" t="s">
        <v>18655</v>
      </c>
    </row>
    <row r="3418" spans="1:16" x14ac:dyDescent="0.25">
      <c r="A3418" s="28" t="s">
        <v>18660</v>
      </c>
      <c r="B3418" s="28" t="s">
        <v>18661</v>
      </c>
      <c r="C3418" s="28" t="s">
        <v>1684</v>
      </c>
      <c r="D3418" s="28" t="s">
        <v>120</v>
      </c>
      <c r="E3418" s="28" t="s">
        <v>18662</v>
      </c>
      <c r="F3418" s="28" t="s">
        <v>21</v>
      </c>
      <c r="G3418" s="28" t="s">
        <v>39</v>
      </c>
      <c r="H3418" s="28" t="s">
        <v>16221</v>
      </c>
      <c r="I3418" s="28" t="s">
        <v>18663</v>
      </c>
      <c r="J3418" s="28" t="s">
        <v>39</v>
      </c>
      <c r="K3418" s="28" t="s">
        <v>16223</v>
      </c>
      <c r="L3418" s="28" t="s">
        <v>16224</v>
      </c>
      <c r="M3418" s="28" t="s">
        <v>18664</v>
      </c>
      <c r="N3418" s="28" t="s">
        <v>16226</v>
      </c>
      <c r="O3418" s="28" t="s">
        <v>16227</v>
      </c>
      <c r="P3418" s="28" t="s">
        <v>18665</v>
      </c>
    </row>
    <row r="3419" spans="1:16" x14ac:dyDescent="0.25">
      <c r="A3419" s="28" t="s">
        <v>18666</v>
      </c>
      <c r="B3419" s="28" t="s">
        <v>18667</v>
      </c>
      <c r="C3419" s="28" t="s">
        <v>1684</v>
      </c>
      <c r="D3419" s="28" t="s">
        <v>120</v>
      </c>
      <c r="E3419" s="28" t="s">
        <v>18662</v>
      </c>
      <c r="F3419" s="28" t="s">
        <v>21</v>
      </c>
      <c r="G3419" s="28" t="s">
        <v>39</v>
      </c>
      <c r="H3419" s="28" t="s">
        <v>16221</v>
      </c>
      <c r="I3419" s="28" t="s">
        <v>18668</v>
      </c>
      <c r="J3419" s="28" t="s">
        <v>39</v>
      </c>
      <c r="K3419" s="28" t="s">
        <v>16223</v>
      </c>
      <c r="L3419" s="28" t="s">
        <v>16224</v>
      </c>
      <c r="M3419" s="28" t="s">
        <v>18669</v>
      </c>
      <c r="N3419" s="28" t="s">
        <v>16226</v>
      </c>
      <c r="O3419" s="28" t="s">
        <v>16227</v>
      </c>
      <c r="P3419" s="28" t="s">
        <v>18665</v>
      </c>
    </row>
    <row r="3420" spans="1:16" x14ac:dyDescent="0.25">
      <c r="A3420" s="28" t="s">
        <v>18670</v>
      </c>
      <c r="B3420" s="28" t="s">
        <v>18671</v>
      </c>
      <c r="C3420" s="28" t="s">
        <v>1684</v>
      </c>
      <c r="D3420" s="28" t="s">
        <v>120</v>
      </c>
      <c r="E3420" s="28" t="s">
        <v>18672</v>
      </c>
      <c r="F3420" s="28" t="s">
        <v>21</v>
      </c>
      <c r="G3420" s="28" t="s">
        <v>39</v>
      </c>
      <c r="H3420" s="28" t="s">
        <v>16221</v>
      </c>
      <c r="I3420" s="28" t="s">
        <v>18673</v>
      </c>
      <c r="J3420" s="28" t="s">
        <v>39</v>
      </c>
      <c r="K3420" s="28" t="s">
        <v>16223</v>
      </c>
      <c r="L3420" s="28" t="s">
        <v>16224</v>
      </c>
      <c r="M3420" s="28" t="s">
        <v>18674</v>
      </c>
      <c r="N3420" s="28" t="s">
        <v>16226</v>
      </c>
      <c r="O3420" s="28" t="s">
        <v>16227</v>
      </c>
      <c r="P3420" s="28" t="s">
        <v>18675</v>
      </c>
    </row>
    <row r="3421" spans="1:16" x14ac:dyDescent="0.25">
      <c r="A3421" s="28" t="s">
        <v>18676</v>
      </c>
      <c r="B3421" s="28" t="s">
        <v>18677</v>
      </c>
      <c r="C3421" s="28" t="s">
        <v>1684</v>
      </c>
      <c r="D3421" s="28" t="s">
        <v>120</v>
      </c>
      <c r="E3421" s="28" t="s">
        <v>18672</v>
      </c>
      <c r="F3421" s="28" t="s">
        <v>21</v>
      </c>
      <c r="G3421" s="28" t="s">
        <v>39</v>
      </c>
      <c r="H3421" s="28" t="s">
        <v>16221</v>
      </c>
      <c r="I3421" s="28" t="s">
        <v>18678</v>
      </c>
      <c r="J3421" s="28" t="s">
        <v>39</v>
      </c>
      <c r="K3421" s="28" t="s">
        <v>16223</v>
      </c>
      <c r="L3421" s="28" t="s">
        <v>16224</v>
      </c>
      <c r="M3421" s="28" t="s">
        <v>18679</v>
      </c>
      <c r="N3421" s="28" t="s">
        <v>16226</v>
      </c>
      <c r="O3421" s="28" t="s">
        <v>16227</v>
      </c>
      <c r="P3421" s="28" t="s">
        <v>18675</v>
      </c>
    </row>
    <row r="3422" spans="1:16" x14ac:dyDescent="0.25">
      <c r="A3422" s="28" t="s">
        <v>18680</v>
      </c>
      <c r="B3422" s="28" t="s">
        <v>18681</v>
      </c>
      <c r="C3422" s="28" t="s">
        <v>1684</v>
      </c>
      <c r="D3422" s="28" t="s">
        <v>120</v>
      </c>
      <c r="E3422" s="28" t="s">
        <v>18682</v>
      </c>
      <c r="F3422" s="28" t="s">
        <v>21</v>
      </c>
      <c r="G3422" s="28" t="s">
        <v>39</v>
      </c>
      <c r="H3422" s="28" t="s">
        <v>16221</v>
      </c>
      <c r="I3422" s="28" t="s">
        <v>18683</v>
      </c>
      <c r="J3422" s="28" t="s">
        <v>39</v>
      </c>
      <c r="K3422" s="28" t="s">
        <v>16223</v>
      </c>
      <c r="L3422" s="28" t="s">
        <v>16224</v>
      </c>
      <c r="M3422" s="28" t="s">
        <v>18684</v>
      </c>
      <c r="N3422" s="28" t="s">
        <v>16226</v>
      </c>
      <c r="O3422" s="28" t="s">
        <v>16227</v>
      </c>
      <c r="P3422" s="28" t="s">
        <v>18685</v>
      </c>
    </row>
    <row r="3423" spans="1:16" x14ac:dyDescent="0.25">
      <c r="A3423" s="28" t="s">
        <v>18686</v>
      </c>
      <c r="B3423" s="28" t="s">
        <v>18687</v>
      </c>
      <c r="C3423" s="28" t="s">
        <v>1684</v>
      </c>
      <c r="D3423" s="28" t="s">
        <v>120</v>
      </c>
      <c r="E3423" s="28" t="s">
        <v>18682</v>
      </c>
      <c r="F3423" s="28" t="s">
        <v>21</v>
      </c>
      <c r="G3423" s="28" t="s">
        <v>39</v>
      </c>
      <c r="H3423" s="28" t="s">
        <v>16221</v>
      </c>
      <c r="I3423" s="28" t="s">
        <v>18688</v>
      </c>
      <c r="J3423" s="28" t="s">
        <v>39</v>
      </c>
      <c r="K3423" s="28" t="s">
        <v>16223</v>
      </c>
      <c r="L3423" s="28" t="s">
        <v>16224</v>
      </c>
      <c r="M3423" s="28" t="s">
        <v>18689</v>
      </c>
      <c r="N3423" s="28" t="s">
        <v>16226</v>
      </c>
      <c r="O3423" s="28" t="s">
        <v>16227</v>
      </c>
      <c r="P3423" s="28" t="s">
        <v>18685</v>
      </c>
    </row>
    <row r="3424" spans="1:16" x14ac:dyDescent="0.25">
      <c r="A3424" s="28" t="s">
        <v>18690</v>
      </c>
      <c r="B3424" s="28" t="s">
        <v>18691</v>
      </c>
      <c r="C3424" s="28" t="s">
        <v>1684</v>
      </c>
      <c r="D3424" s="28" t="s">
        <v>120</v>
      </c>
      <c r="E3424" s="28" t="s">
        <v>18692</v>
      </c>
      <c r="F3424" s="28" t="s">
        <v>21</v>
      </c>
      <c r="G3424" s="28" t="s">
        <v>39</v>
      </c>
      <c r="H3424" s="28" t="s">
        <v>16221</v>
      </c>
      <c r="I3424" s="28" t="s">
        <v>18693</v>
      </c>
      <c r="J3424" s="28" t="s">
        <v>39</v>
      </c>
      <c r="K3424" s="28" t="s">
        <v>16223</v>
      </c>
      <c r="L3424" s="28" t="s">
        <v>16224</v>
      </c>
      <c r="M3424" s="28" t="s">
        <v>18694</v>
      </c>
      <c r="N3424" s="28" t="s">
        <v>16226</v>
      </c>
      <c r="O3424" s="28" t="s">
        <v>16227</v>
      </c>
      <c r="P3424" s="28" t="s">
        <v>18695</v>
      </c>
    </row>
    <row r="3425" spans="1:16" x14ac:dyDescent="0.25">
      <c r="A3425" s="28" t="s">
        <v>18696</v>
      </c>
      <c r="B3425" s="28" t="s">
        <v>18697</v>
      </c>
      <c r="C3425" s="28" t="s">
        <v>1684</v>
      </c>
      <c r="D3425" s="28" t="s">
        <v>120</v>
      </c>
      <c r="E3425" s="28" t="s">
        <v>18692</v>
      </c>
      <c r="F3425" s="28" t="s">
        <v>21</v>
      </c>
      <c r="G3425" s="28" t="s">
        <v>39</v>
      </c>
      <c r="H3425" s="28" t="s">
        <v>16221</v>
      </c>
      <c r="I3425" s="28" t="s">
        <v>18698</v>
      </c>
      <c r="J3425" s="28" t="s">
        <v>39</v>
      </c>
      <c r="K3425" s="28" t="s">
        <v>16223</v>
      </c>
      <c r="L3425" s="28" t="s">
        <v>16224</v>
      </c>
      <c r="M3425" s="28" t="s">
        <v>18699</v>
      </c>
      <c r="N3425" s="28" t="s">
        <v>16226</v>
      </c>
      <c r="O3425" s="28" t="s">
        <v>16227</v>
      </c>
      <c r="P3425" s="28" t="s">
        <v>18695</v>
      </c>
    </row>
    <row r="3426" spans="1:16" x14ac:dyDescent="0.25">
      <c r="A3426" s="28" t="s">
        <v>18700</v>
      </c>
      <c r="B3426" s="28" t="s">
        <v>18701</v>
      </c>
      <c r="C3426" s="28" t="s">
        <v>1684</v>
      </c>
      <c r="D3426" s="28" t="s">
        <v>120</v>
      </c>
      <c r="E3426" s="28" t="s">
        <v>18702</v>
      </c>
      <c r="F3426" s="28" t="s">
        <v>21</v>
      </c>
      <c r="G3426" s="28" t="s">
        <v>39</v>
      </c>
      <c r="H3426" s="28" t="s">
        <v>16221</v>
      </c>
      <c r="I3426" s="28" t="s">
        <v>18703</v>
      </c>
      <c r="J3426" s="28" t="s">
        <v>39</v>
      </c>
      <c r="K3426" s="28" t="s">
        <v>16223</v>
      </c>
      <c r="L3426" s="28" t="s">
        <v>16224</v>
      </c>
      <c r="M3426" s="28" t="s">
        <v>18704</v>
      </c>
      <c r="N3426" s="28" t="s">
        <v>16226</v>
      </c>
      <c r="O3426" s="28" t="s">
        <v>16227</v>
      </c>
      <c r="P3426" s="28" t="s">
        <v>18705</v>
      </c>
    </row>
    <row r="3427" spans="1:16" x14ac:dyDescent="0.25">
      <c r="A3427" s="28" t="s">
        <v>18706</v>
      </c>
      <c r="B3427" s="28" t="s">
        <v>18707</v>
      </c>
      <c r="C3427" s="28" t="s">
        <v>1684</v>
      </c>
      <c r="D3427" s="28" t="s">
        <v>120</v>
      </c>
      <c r="E3427" s="28" t="s">
        <v>18702</v>
      </c>
      <c r="F3427" s="28" t="s">
        <v>21</v>
      </c>
      <c r="G3427" s="28" t="s">
        <v>39</v>
      </c>
      <c r="H3427" s="28" t="s">
        <v>16221</v>
      </c>
      <c r="I3427" s="28" t="s">
        <v>18708</v>
      </c>
      <c r="J3427" s="28" t="s">
        <v>39</v>
      </c>
      <c r="K3427" s="28" t="s">
        <v>16223</v>
      </c>
      <c r="L3427" s="28" t="s">
        <v>16224</v>
      </c>
      <c r="M3427" s="28" t="s">
        <v>18709</v>
      </c>
      <c r="N3427" s="28" t="s">
        <v>16226</v>
      </c>
      <c r="O3427" s="28" t="s">
        <v>16227</v>
      </c>
      <c r="P3427" s="28" t="s">
        <v>18705</v>
      </c>
    </row>
    <row r="3428" spans="1:16" x14ac:dyDescent="0.25">
      <c r="A3428" s="28" t="s">
        <v>18710</v>
      </c>
      <c r="B3428" s="28" t="s">
        <v>18711</v>
      </c>
      <c r="C3428" s="28" t="s">
        <v>1684</v>
      </c>
      <c r="D3428" s="28" t="s">
        <v>120</v>
      </c>
      <c r="E3428" s="28" t="s">
        <v>18712</v>
      </c>
      <c r="F3428" s="28" t="s">
        <v>21</v>
      </c>
      <c r="G3428" s="28" t="s">
        <v>39</v>
      </c>
      <c r="H3428" s="28" t="s">
        <v>16221</v>
      </c>
      <c r="I3428" s="28" t="s">
        <v>18713</v>
      </c>
      <c r="J3428" s="28" t="s">
        <v>39</v>
      </c>
      <c r="K3428" s="28" t="s">
        <v>16223</v>
      </c>
      <c r="L3428" s="28" t="s">
        <v>16224</v>
      </c>
      <c r="M3428" s="28" t="s">
        <v>18714</v>
      </c>
      <c r="N3428" s="28" t="s">
        <v>16226</v>
      </c>
      <c r="O3428" s="28" t="s">
        <v>16227</v>
      </c>
      <c r="P3428" s="28" t="s">
        <v>18715</v>
      </c>
    </row>
    <row r="3429" spans="1:16" x14ac:dyDescent="0.25">
      <c r="A3429" s="28" t="s">
        <v>18716</v>
      </c>
      <c r="B3429" s="28" t="s">
        <v>18717</v>
      </c>
      <c r="C3429" s="28" t="s">
        <v>1684</v>
      </c>
      <c r="D3429" s="28" t="s">
        <v>120</v>
      </c>
      <c r="E3429" s="28" t="s">
        <v>18712</v>
      </c>
      <c r="F3429" s="28" t="s">
        <v>21</v>
      </c>
      <c r="G3429" s="28" t="s">
        <v>39</v>
      </c>
      <c r="H3429" s="28" t="s">
        <v>16221</v>
      </c>
      <c r="I3429" s="28" t="s">
        <v>18718</v>
      </c>
      <c r="J3429" s="28" t="s">
        <v>39</v>
      </c>
      <c r="K3429" s="28" t="s">
        <v>16223</v>
      </c>
      <c r="L3429" s="28" t="s">
        <v>16224</v>
      </c>
      <c r="M3429" s="28" t="s">
        <v>18719</v>
      </c>
      <c r="N3429" s="28" t="s">
        <v>16226</v>
      </c>
      <c r="O3429" s="28" t="s">
        <v>16227</v>
      </c>
      <c r="P3429" s="28" t="s">
        <v>18715</v>
      </c>
    </row>
    <row r="3430" spans="1:16" x14ac:dyDescent="0.25">
      <c r="A3430" s="28" t="s">
        <v>18720</v>
      </c>
      <c r="B3430" s="28" t="s">
        <v>18721</v>
      </c>
      <c r="C3430" s="28" t="s">
        <v>1684</v>
      </c>
      <c r="D3430" s="28" t="s">
        <v>120</v>
      </c>
      <c r="E3430" s="28" t="s">
        <v>4260</v>
      </c>
      <c r="F3430" s="28" t="s">
        <v>21</v>
      </c>
      <c r="G3430" s="28" t="s">
        <v>39</v>
      </c>
      <c r="H3430" s="28" t="s">
        <v>16221</v>
      </c>
      <c r="I3430" s="28" t="s">
        <v>18722</v>
      </c>
      <c r="J3430" s="28" t="s">
        <v>39</v>
      </c>
      <c r="K3430" s="28" t="s">
        <v>16223</v>
      </c>
      <c r="L3430" s="28" t="s">
        <v>16224</v>
      </c>
      <c r="M3430" s="28" t="s">
        <v>18723</v>
      </c>
      <c r="N3430" s="28" t="s">
        <v>16226</v>
      </c>
      <c r="O3430" s="28" t="s">
        <v>16227</v>
      </c>
      <c r="P3430" s="28" t="s">
        <v>16528</v>
      </c>
    </row>
    <row r="3431" spans="1:16" x14ac:dyDescent="0.25">
      <c r="A3431" s="28" t="s">
        <v>18724</v>
      </c>
      <c r="B3431" s="28" t="s">
        <v>18725</v>
      </c>
      <c r="C3431" s="28" t="s">
        <v>1684</v>
      </c>
      <c r="D3431" s="28" t="s">
        <v>120</v>
      </c>
      <c r="E3431" s="28" t="s">
        <v>4260</v>
      </c>
      <c r="F3431" s="28" t="s">
        <v>21</v>
      </c>
      <c r="G3431" s="28" t="s">
        <v>39</v>
      </c>
      <c r="H3431" s="28" t="s">
        <v>16221</v>
      </c>
      <c r="I3431" s="28" t="s">
        <v>18726</v>
      </c>
      <c r="J3431" s="28" t="s">
        <v>39</v>
      </c>
      <c r="K3431" s="28" t="s">
        <v>16223</v>
      </c>
      <c r="L3431" s="28" t="s">
        <v>16224</v>
      </c>
      <c r="M3431" s="28" t="s">
        <v>18727</v>
      </c>
      <c r="N3431" s="28" t="s">
        <v>16226</v>
      </c>
      <c r="O3431" s="28" t="s">
        <v>16227</v>
      </c>
      <c r="P3431" s="28" t="s">
        <v>16528</v>
      </c>
    </row>
    <row r="3432" spans="1:16" x14ac:dyDescent="0.25">
      <c r="A3432" s="28" t="s">
        <v>18728</v>
      </c>
      <c r="B3432" s="28" t="s">
        <v>18729</v>
      </c>
      <c r="C3432" s="28" t="s">
        <v>1684</v>
      </c>
      <c r="D3432" s="28" t="s">
        <v>62</v>
      </c>
      <c r="E3432" s="28" t="s">
        <v>5925</v>
      </c>
      <c r="F3432" s="28" t="s">
        <v>21</v>
      </c>
      <c r="G3432" s="28" t="s">
        <v>39</v>
      </c>
      <c r="H3432" s="28" t="s">
        <v>16221</v>
      </c>
      <c r="I3432" s="28" t="s">
        <v>18730</v>
      </c>
      <c r="J3432" s="28" t="s">
        <v>39</v>
      </c>
      <c r="K3432" s="28" t="s">
        <v>16223</v>
      </c>
      <c r="L3432" s="28" t="s">
        <v>16224</v>
      </c>
      <c r="M3432" s="28" t="s">
        <v>18731</v>
      </c>
      <c r="N3432" s="28" t="s">
        <v>16226</v>
      </c>
      <c r="O3432" s="28" t="s">
        <v>16227</v>
      </c>
      <c r="P3432" s="28" t="s">
        <v>16537</v>
      </c>
    </row>
    <row r="3433" spans="1:16" x14ac:dyDescent="0.25">
      <c r="A3433" s="28" t="s">
        <v>18732</v>
      </c>
      <c r="B3433" s="28" t="s">
        <v>18733</v>
      </c>
      <c r="C3433" s="28" t="s">
        <v>1684</v>
      </c>
      <c r="D3433" s="28" t="s">
        <v>62</v>
      </c>
      <c r="E3433" s="28" t="s">
        <v>5925</v>
      </c>
      <c r="F3433" s="28" t="s">
        <v>21</v>
      </c>
      <c r="G3433" s="28" t="s">
        <v>39</v>
      </c>
      <c r="H3433" s="28" t="s">
        <v>16221</v>
      </c>
      <c r="I3433" s="28" t="s">
        <v>18734</v>
      </c>
      <c r="J3433" s="28" t="s">
        <v>39</v>
      </c>
      <c r="K3433" s="28" t="s">
        <v>16223</v>
      </c>
      <c r="L3433" s="28" t="s">
        <v>16224</v>
      </c>
      <c r="M3433" s="28" t="s">
        <v>18735</v>
      </c>
      <c r="N3433" s="28" t="s">
        <v>16226</v>
      </c>
      <c r="O3433" s="28" t="s">
        <v>16227</v>
      </c>
      <c r="P3433" s="28" t="s">
        <v>16537</v>
      </c>
    </row>
    <row r="3434" spans="1:16" x14ac:dyDescent="0.25">
      <c r="A3434" s="28" t="s">
        <v>18736</v>
      </c>
      <c r="B3434" s="28" t="s">
        <v>18737</v>
      </c>
      <c r="C3434" s="28" t="s">
        <v>1684</v>
      </c>
      <c r="D3434" s="28" t="s">
        <v>62</v>
      </c>
      <c r="E3434" s="28" t="s">
        <v>5925</v>
      </c>
      <c r="F3434" s="28" t="s">
        <v>21</v>
      </c>
      <c r="G3434" s="28" t="s">
        <v>39</v>
      </c>
      <c r="H3434" s="28" t="s">
        <v>16221</v>
      </c>
      <c r="I3434" s="28" t="s">
        <v>18738</v>
      </c>
      <c r="J3434" s="28" t="s">
        <v>39</v>
      </c>
      <c r="K3434" s="28" t="s">
        <v>16223</v>
      </c>
      <c r="L3434" s="28" t="s">
        <v>16224</v>
      </c>
      <c r="M3434" s="28" t="s">
        <v>18739</v>
      </c>
      <c r="N3434" s="28" t="s">
        <v>16226</v>
      </c>
      <c r="O3434" s="28" t="s">
        <v>16227</v>
      </c>
      <c r="P3434" s="28" t="s">
        <v>16537</v>
      </c>
    </row>
    <row r="3435" spans="1:16" x14ac:dyDescent="0.25">
      <c r="A3435" s="28" t="s">
        <v>18740</v>
      </c>
      <c r="B3435" s="28" t="s">
        <v>18741</v>
      </c>
      <c r="C3435" s="28" t="s">
        <v>1684</v>
      </c>
      <c r="D3435" s="28" t="s">
        <v>120</v>
      </c>
      <c r="E3435" s="28" t="s">
        <v>18742</v>
      </c>
      <c r="F3435" s="28" t="s">
        <v>21</v>
      </c>
      <c r="G3435" s="28" t="s">
        <v>39</v>
      </c>
      <c r="H3435" s="28" t="s">
        <v>16221</v>
      </c>
      <c r="I3435" s="28" t="s">
        <v>18743</v>
      </c>
      <c r="J3435" s="28" t="s">
        <v>39</v>
      </c>
      <c r="K3435" s="28" t="s">
        <v>16223</v>
      </c>
      <c r="L3435" s="28" t="s">
        <v>16224</v>
      </c>
      <c r="M3435" s="28" t="s">
        <v>18744</v>
      </c>
      <c r="N3435" s="28" t="s">
        <v>16226</v>
      </c>
      <c r="O3435" s="28" t="s">
        <v>16227</v>
      </c>
      <c r="P3435" s="28" t="s">
        <v>18745</v>
      </c>
    </row>
    <row r="3436" spans="1:16" x14ac:dyDescent="0.25">
      <c r="A3436" s="28" t="s">
        <v>18746</v>
      </c>
      <c r="B3436" s="28" t="s">
        <v>18747</v>
      </c>
      <c r="C3436" s="28" t="s">
        <v>1684</v>
      </c>
      <c r="D3436" s="28" t="s">
        <v>120</v>
      </c>
      <c r="E3436" s="28" t="s">
        <v>18742</v>
      </c>
      <c r="F3436" s="28" t="s">
        <v>21</v>
      </c>
      <c r="G3436" s="28" t="s">
        <v>39</v>
      </c>
      <c r="H3436" s="28" t="s">
        <v>16221</v>
      </c>
      <c r="I3436" s="28" t="s">
        <v>18748</v>
      </c>
      <c r="J3436" s="28" t="s">
        <v>39</v>
      </c>
      <c r="K3436" s="28" t="s">
        <v>16223</v>
      </c>
      <c r="L3436" s="28" t="s">
        <v>16224</v>
      </c>
      <c r="M3436" s="28" t="s">
        <v>18749</v>
      </c>
      <c r="N3436" s="28" t="s">
        <v>16226</v>
      </c>
      <c r="O3436" s="28" t="s">
        <v>16227</v>
      </c>
      <c r="P3436" s="28" t="s">
        <v>18745</v>
      </c>
    </row>
    <row r="3437" spans="1:16" x14ac:dyDescent="0.25">
      <c r="A3437" s="28" t="s">
        <v>18750</v>
      </c>
      <c r="B3437" s="28" t="s">
        <v>18751</v>
      </c>
      <c r="C3437" s="28" t="s">
        <v>1684</v>
      </c>
      <c r="D3437" s="28" t="s">
        <v>120</v>
      </c>
      <c r="E3437" s="28" t="s">
        <v>18742</v>
      </c>
      <c r="F3437" s="28" t="s">
        <v>21</v>
      </c>
      <c r="G3437" s="28" t="s">
        <v>39</v>
      </c>
      <c r="H3437" s="28" t="s">
        <v>16221</v>
      </c>
      <c r="I3437" s="28" t="s">
        <v>18752</v>
      </c>
      <c r="J3437" s="28" t="s">
        <v>39</v>
      </c>
      <c r="K3437" s="28" t="s">
        <v>16223</v>
      </c>
      <c r="L3437" s="28" t="s">
        <v>16224</v>
      </c>
      <c r="M3437" s="28" t="s">
        <v>18753</v>
      </c>
      <c r="N3437" s="28" t="s">
        <v>16226</v>
      </c>
      <c r="O3437" s="28" t="s">
        <v>16227</v>
      </c>
      <c r="P3437" s="28" t="s">
        <v>18745</v>
      </c>
    </row>
    <row r="3438" spans="1:16" x14ac:dyDescent="0.25">
      <c r="A3438" s="28" t="s">
        <v>18754</v>
      </c>
      <c r="B3438" s="28" t="s">
        <v>18755</v>
      </c>
      <c r="C3438" s="28" t="s">
        <v>1684</v>
      </c>
      <c r="D3438" s="28" t="s">
        <v>120</v>
      </c>
      <c r="E3438" s="28" t="s">
        <v>18756</v>
      </c>
      <c r="F3438" s="28" t="s">
        <v>21</v>
      </c>
      <c r="G3438" s="28" t="s">
        <v>39</v>
      </c>
      <c r="H3438" s="28" t="s">
        <v>16221</v>
      </c>
      <c r="I3438" s="28" t="s">
        <v>18757</v>
      </c>
      <c r="J3438" s="28" t="s">
        <v>39</v>
      </c>
      <c r="K3438" s="28" t="s">
        <v>16223</v>
      </c>
      <c r="L3438" s="28" t="s">
        <v>16224</v>
      </c>
      <c r="M3438" s="28" t="s">
        <v>18758</v>
      </c>
      <c r="N3438" s="28" t="s">
        <v>16226</v>
      </c>
      <c r="O3438" s="28" t="s">
        <v>16227</v>
      </c>
      <c r="P3438" s="28" t="s">
        <v>18759</v>
      </c>
    </row>
    <row r="3439" spans="1:16" x14ac:dyDescent="0.25">
      <c r="A3439" s="28" t="s">
        <v>18760</v>
      </c>
      <c r="B3439" s="28" t="s">
        <v>18761</v>
      </c>
      <c r="C3439" s="28" t="s">
        <v>1684</v>
      </c>
      <c r="D3439" s="28" t="s">
        <v>120</v>
      </c>
      <c r="E3439" s="28" t="s">
        <v>18756</v>
      </c>
      <c r="F3439" s="28" t="s">
        <v>21</v>
      </c>
      <c r="G3439" s="28" t="s">
        <v>39</v>
      </c>
      <c r="H3439" s="28" t="s">
        <v>16221</v>
      </c>
      <c r="I3439" s="28" t="s">
        <v>18762</v>
      </c>
      <c r="J3439" s="28" t="s">
        <v>39</v>
      </c>
      <c r="K3439" s="28" t="s">
        <v>16223</v>
      </c>
      <c r="L3439" s="28" t="s">
        <v>16224</v>
      </c>
      <c r="M3439" s="28" t="s">
        <v>18763</v>
      </c>
      <c r="N3439" s="28" t="s">
        <v>16226</v>
      </c>
      <c r="O3439" s="28" t="s">
        <v>16227</v>
      </c>
      <c r="P3439" s="28" t="s">
        <v>18759</v>
      </c>
    </row>
    <row r="3440" spans="1:16" x14ac:dyDescent="0.25">
      <c r="A3440" s="28" t="s">
        <v>18764</v>
      </c>
      <c r="B3440" s="28" t="s">
        <v>18765</v>
      </c>
      <c r="C3440" s="28" t="s">
        <v>1684</v>
      </c>
      <c r="D3440" s="28" t="s">
        <v>120</v>
      </c>
      <c r="E3440" s="28" t="s">
        <v>18766</v>
      </c>
      <c r="F3440" s="28" t="s">
        <v>21</v>
      </c>
      <c r="G3440" s="28" t="s">
        <v>39</v>
      </c>
      <c r="H3440" s="28" t="s">
        <v>16221</v>
      </c>
      <c r="I3440" s="28" t="s">
        <v>18767</v>
      </c>
      <c r="J3440" s="28" t="s">
        <v>39</v>
      </c>
      <c r="K3440" s="28" t="s">
        <v>16223</v>
      </c>
      <c r="L3440" s="28" t="s">
        <v>16224</v>
      </c>
      <c r="M3440" s="28" t="s">
        <v>18768</v>
      </c>
      <c r="N3440" s="28" t="s">
        <v>16226</v>
      </c>
      <c r="O3440" s="28" t="s">
        <v>16227</v>
      </c>
      <c r="P3440" s="28" t="s">
        <v>18769</v>
      </c>
    </row>
    <row r="3441" spans="1:16" x14ac:dyDescent="0.25">
      <c r="A3441" s="28" t="s">
        <v>18770</v>
      </c>
      <c r="B3441" s="28" t="s">
        <v>18771</v>
      </c>
      <c r="C3441" s="28" t="s">
        <v>1684</v>
      </c>
      <c r="D3441" s="28" t="s">
        <v>120</v>
      </c>
      <c r="E3441" s="28" t="s">
        <v>18766</v>
      </c>
      <c r="F3441" s="28" t="s">
        <v>21</v>
      </c>
      <c r="G3441" s="28" t="s">
        <v>39</v>
      </c>
      <c r="H3441" s="28" t="s">
        <v>16221</v>
      </c>
      <c r="I3441" s="28" t="s">
        <v>18772</v>
      </c>
      <c r="J3441" s="28" t="s">
        <v>39</v>
      </c>
      <c r="K3441" s="28" t="s">
        <v>16223</v>
      </c>
      <c r="L3441" s="28" t="s">
        <v>16224</v>
      </c>
      <c r="M3441" s="28" t="s">
        <v>18773</v>
      </c>
      <c r="N3441" s="28" t="s">
        <v>16226</v>
      </c>
      <c r="O3441" s="28" t="s">
        <v>16227</v>
      </c>
      <c r="P3441" s="28" t="s">
        <v>18769</v>
      </c>
    </row>
    <row r="3442" spans="1:16" x14ac:dyDescent="0.25">
      <c r="A3442" s="28" t="s">
        <v>18774</v>
      </c>
      <c r="B3442" s="28" t="s">
        <v>18775</v>
      </c>
      <c r="C3442" s="28" t="s">
        <v>1684</v>
      </c>
      <c r="D3442" s="28" t="s">
        <v>120</v>
      </c>
      <c r="E3442" s="28" t="s">
        <v>18776</v>
      </c>
      <c r="F3442" s="28" t="s">
        <v>21</v>
      </c>
      <c r="G3442" s="28" t="s">
        <v>39</v>
      </c>
      <c r="H3442" s="28" t="s">
        <v>16221</v>
      </c>
      <c r="I3442" s="28" t="s">
        <v>18777</v>
      </c>
      <c r="J3442" s="28" t="s">
        <v>39</v>
      </c>
      <c r="K3442" s="28" t="s">
        <v>16223</v>
      </c>
      <c r="L3442" s="28" t="s">
        <v>16224</v>
      </c>
      <c r="M3442" s="28" t="s">
        <v>18778</v>
      </c>
      <c r="N3442" s="28" t="s">
        <v>16226</v>
      </c>
      <c r="O3442" s="28" t="s">
        <v>16227</v>
      </c>
      <c r="P3442" s="28" t="s">
        <v>18779</v>
      </c>
    </row>
    <row r="3443" spans="1:16" x14ac:dyDescent="0.25">
      <c r="A3443" s="28" t="s">
        <v>18780</v>
      </c>
      <c r="B3443" s="28" t="s">
        <v>18781</v>
      </c>
      <c r="C3443" s="28" t="s">
        <v>1684</v>
      </c>
      <c r="D3443" s="28" t="s">
        <v>120</v>
      </c>
      <c r="E3443" s="28" t="s">
        <v>18776</v>
      </c>
      <c r="F3443" s="28" t="s">
        <v>21</v>
      </c>
      <c r="G3443" s="28" t="s">
        <v>39</v>
      </c>
      <c r="H3443" s="28" t="s">
        <v>16221</v>
      </c>
      <c r="I3443" s="28" t="s">
        <v>18782</v>
      </c>
      <c r="J3443" s="28" t="s">
        <v>39</v>
      </c>
      <c r="K3443" s="28" t="s">
        <v>16223</v>
      </c>
      <c r="L3443" s="28" t="s">
        <v>16224</v>
      </c>
      <c r="M3443" s="28" t="s">
        <v>18783</v>
      </c>
      <c r="N3443" s="28" t="s">
        <v>16226</v>
      </c>
      <c r="O3443" s="28" t="s">
        <v>16227</v>
      </c>
      <c r="P3443" s="28" t="s">
        <v>18779</v>
      </c>
    </row>
    <row r="3444" spans="1:16" x14ac:dyDescent="0.25">
      <c r="A3444" s="28" t="s">
        <v>18784</v>
      </c>
      <c r="B3444" s="28" t="s">
        <v>18785</v>
      </c>
      <c r="C3444" s="28" t="s">
        <v>1684</v>
      </c>
      <c r="D3444" s="28" t="s">
        <v>120</v>
      </c>
      <c r="E3444" s="28" t="s">
        <v>18776</v>
      </c>
      <c r="F3444" s="28" t="s">
        <v>21</v>
      </c>
      <c r="G3444" s="28" t="s">
        <v>39</v>
      </c>
      <c r="H3444" s="28" t="s">
        <v>16221</v>
      </c>
      <c r="I3444" s="28" t="s">
        <v>18786</v>
      </c>
      <c r="J3444" s="28" t="s">
        <v>39</v>
      </c>
      <c r="K3444" s="28" t="s">
        <v>16223</v>
      </c>
      <c r="L3444" s="28" t="s">
        <v>16224</v>
      </c>
      <c r="M3444" s="28" t="s">
        <v>18787</v>
      </c>
      <c r="N3444" s="28" t="s">
        <v>16226</v>
      </c>
      <c r="O3444" s="28" t="s">
        <v>16227</v>
      </c>
      <c r="P3444" s="28" t="s">
        <v>18779</v>
      </c>
    </row>
    <row r="3445" spans="1:16" x14ac:dyDescent="0.25">
      <c r="A3445" s="28" t="s">
        <v>18788</v>
      </c>
      <c r="B3445" s="28" t="s">
        <v>18789</v>
      </c>
      <c r="C3445" s="28" t="s">
        <v>1684</v>
      </c>
      <c r="D3445" s="28" t="s">
        <v>120</v>
      </c>
      <c r="E3445" s="28" t="s">
        <v>18790</v>
      </c>
      <c r="F3445" s="28" t="s">
        <v>21</v>
      </c>
      <c r="G3445" s="28" t="s">
        <v>39</v>
      </c>
      <c r="H3445" s="28" t="s">
        <v>16221</v>
      </c>
      <c r="I3445" s="28" t="s">
        <v>18791</v>
      </c>
      <c r="J3445" s="28" t="s">
        <v>39</v>
      </c>
      <c r="K3445" s="28" t="s">
        <v>16223</v>
      </c>
      <c r="L3445" s="28" t="s">
        <v>16224</v>
      </c>
      <c r="M3445" s="28" t="s">
        <v>18792</v>
      </c>
      <c r="N3445" s="28" t="s">
        <v>16226</v>
      </c>
      <c r="O3445" s="28" t="s">
        <v>16227</v>
      </c>
      <c r="P3445" s="28" t="s">
        <v>18793</v>
      </c>
    </row>
    <row r="3446" spans="1:16" x14ac:dyDescent="0.25">
      <c r="A3446" s="28" t="s">
        <v>18794</v>
      </c>
      <c r="B3446" s="28" t="s">
        <v>18795</v>
      </c>
      <c r="C3446" s="28" t="s">
        <v>1684</v>
      </c>
      <c r="D3446" s="28" t="s">
        <v>120</v>
      </c>
      <c r="E3446" s="28" t="s">
        <v>18790</v>
      </c>
      <c r="F3446" s="28" t="s">
        <v>21</v>
      </c>
      <c r="G3446" s="28" t="s">
        <v>39</v>
      </c>
      <c r="H3446" s="28" t="s">
        <v>16221</v>
      </c>
      <c r="I3446" s="28" t="s">
        <v>18796</v>
      </c>
      <c r="J3446" s="28" t="s">
        <v>39</v>
      </c>
      <c r="K3446" s="28" t="s">
        <v>16223</v>
      </c>
      <c r="L3446" s="28" t="s">
        <v>16224</v>
      </c>
      <c r="M3446" s="28" t="s">
        <v>18797</v>
      </c>
      <c r="N3446" s="28" t="s">
        <v>16226</v>
      </c>
      <c r="O3446" s="28" t="s">
        <v>16227</v>
      </c>
      <c r="P3446" s="28" t="s">
        <v>18793</v>
      </c>
    </row>
    <row r="3447" spans="1:16" x14ac:dyDescent="0.25">
      <c r="A3447" s="28" t="s">
        <v>18798</v>
      </c>
      <c r="B3447" s="28" t="s">
        <v>18799</v>
      </c>
      <c r="C3447" s="28" t="s">
        <v>1684</v>
      </c>
      <c r="D3447" s="28" t="s">
        <v>120</v>
      </c>
      <c r="E3447" s="28" t="s">
        <v>18800</v>
      </c>
      <c r="F3447" s="28" t="s">
        <v>21</v>
      </c>
      <c r="G3447" s="28" t="s">
        <v>39</v>
      </c>
      <c r="H3447" s="28" t="s">
        <v>16221</v>
      </c>
      <c r="I3447" s="28" t="s">
        <v>18801</v>
      </c>
      <c r="J3447" s="28" t="s">
        <v>39</v>
      </c>
      <c r="K3447" s="28" t="s">
        <v>16223</v>
      </c>
      <c r="L3447" s="28" t="s">
        <v>16224</v>
      </c>
      <c r="M3447" s="28" t="s">
        <v>18802</v>
      </c>
      <c r="N3447" s="28" t="s">
        <v>16226</v>
      </c>
      <c r="O3447" s="28" t="s">
        <v>16227</v>
      </c>
      <c r="P3447" s="28" t="s">
        <v>18803</v>
      </c>
    </row>
    <row r="3448" spans="1:16" x14ac:dyDescent="0.25">
      <c r="A3448" s="28" t="s">
        <v>18804</v>
      </c>
      <c r="B3448" s="28" t="s">
        <v>18805</v>
      </c>
      <c r="C3448" s="28" t="s">
        <v>1684</v>
      </c>
      <c r="D3448" s="28" t="s">
        <v>120</v>
      </c>
      <c r="E3448" s="28" t="s">
        <v>18800</v>
      </c>
      <c r="F3448" s="28" t="s">
        <v>21</v>
      </c>
      <c r="G3448" s="28" t="s">
        <v>39</v>
      </c>
      <c r="H3448" s="28" t="s">
        <v>16221</v>
      </c>
      <c r="I3448" s="28" t="s">
        <v>18806</v>
      </c>
      <c r="J3448" s="28" t="s">
        <v>39</v>
      </c>
      <c r="K3448" s="28" t="s">
        <v>16223</v>
      </c>
      <c r="L3448" s="28" t="s">
        <v>16224</v>
      </c>
      <c r="M3448" s="28" t="s">
        <v>18807</v>
      </c>
      <c r="N3448" s="28" t="s">
        <v>16226</v>
      </c>
      <c r="O3448" s="28" t="s">
        <v>16227</v>
      </c>
      <c r="P3448" s="28" t="s">
        <v>18803</v>
      </c>
    </row>
    <row r="3449" spans="1:16" x14ac:dyDescent="0.25">
      <c r="A3449" s="28" t="s">
        <v>18808</v>
      </c>
      <c r="B3449" s="28" t="s">
        <v>18809</v>
      </c>
      <c r="C3449" s="28" t="s">
        <v>1684</v>
      </c>
      <c r="D3449" s="28" t="s">
        <v>120</v>
      </c>
      <c r="E3449" s="28" t="s">
        <v>18810</v>
      </c>
      <c r="F3449" s="28" t="s">
        <v>21</v>
      </c>
      <c r="G3449" s="28" t="s">
        <v>39</v>
      </c>
      <c r="H3449" s="28" t="s">
        <v>16221</v>
      </c>
      <c r="I3449" s="28" t="s">
        <v>18811</v>
      </c>
      <c r="J3449" s="28" t="s">
        <v>39</v>
      </c>
      <c r="K3449" s="28" t="s">
        <v>16223</v>
      </c>
      <c r="L3449" s="28" t="s">
        <v>16224</v>
      </c>
      <c r="M3449" s="28" t="s">
        <v>18812</v>
      </c>
      <c r="N3449" s="28" t="s">
        <v>16226</v>
      </c>
      <c r="O3449" s="28" t="s">
        <v>16227</v>
      </c>
      <c r="P3449" s="28" t="s">
        <v>18813</v>
      </c>
    </row>
    <row r="3450" spans="1:16" x14ac:dyDescent="0.25">
      <c r="A3450" s="28" t="s">
        <v>18814</v>
      </c>
      <c r="B3450" s="28" t="s">
        <v>18815</v>
      </c>
      <c r="C3450" s="28" t="s">
        <v>1684</v>
      </c>
      <c r="D3450" s="28" t="s">
        <v>120</v>
      </c>
      <c r="E3450" s="28" t="s">
        <v>18810</v>
      </c>
      <c r="F3450" s="28" t="s">
        <v>21</v>
      </c>
      <c r="G3450" s="28" t="s">
        <v>39</v>
      </c>
      <c r="H3450" s="28" t="s">
        <v>16221</v>
      </c>
      <c r="I3450" s="28" t="s">
        <v>18816</v>
      </c>
      <c r="J3450" s="28" t="s">
        <v>39</v>
      </c>
      <c r="K3450" s="28" t="s">
        <v>16223</v>
      </c>
      <c r="L3450" s="28" t="s">
        <v>16224</v>
      </c>
      <c r="M3450" s="28" t="s">
        <v>18817</v>
      </c>
      <c r="N3450" s="28" t="s">
        <v>16226</v>
      </c>
      <c r="O3450" s="28" t="s">
        <v>16227</v>
      </c>
      <c r="P3450" s="28" t="s">
        <v>18813</v>
      </c>
    </row>
    <row r="3451" spans="1:16" x14ac:dyDescent="0.25">
      <c r="A3451" s="28" t="s">
        <v>18818</v>
      </c>
      <c r="B3451" s="28" t="s">
        <v>18819</v>
      </c>
      <c r="C3451" s="28" t="s">
        <v>1684</v>
      </c>
      <c r="D3451" s="28" t="s">
        <v>120</v>
      </c>
      <c r="E3451" s="28" t="s">
        <v>18820</v>
      </c>
      <c r="F3451" s="28" t="s">
        <v>21</v>
      </c>
      <c r="G3451" s="28" t="s">
        <v>39</v>
      </c>
      <c r="H3451" s="28" t="s">
        <v>16221</v>
      </c>
      <c r="I3451" s="28" t="s">
        <v>18821</v>
      </c>
      <c r="J3451" s="28" t="s">
        <v>39</v>
      </c>
      <c r="K3451" s="28" t="s">
        <v>16223</v>
      </c>
      <c r="L3451" s="28" t="s">
        <v>16224</v>
      </c>
      <c r="M3451" s="28" t="s">
        <v>18822</v>
      </c>
      <c r="N3451" s="28" t="s">
        <v>16226</v>
      </c>
      <c r="O3451" s="28" t="s">
        <v>16227</v>
      </c>
      <c r="P3451" s="28" t="s">
        <v>18823</v>
      </c>
    </row>
    <row r="3452" spans="1:16" x14ac:dyDescent="0.25">
      <c r="A3452" s="28" t="s">
        <v>18824</v>
      </c>
      <c r="B3452" s="28" t="s">
        <v>18825</v>
      </c>
      <c r="C3452" s="28" t="s">
        <v>1684</v>
      </c>
      <c r="D3452" s="28" t="s">
        <v>120</v>
      </c>
      <c r="E3452" s="28" t="s">
        <v>18820</v>
      </c>
      <c r="F3452" s="28" t="s">
        <v>21</v>
      </c>
      <c r="G3452" s="28" t="s">
        <v>39</v>
      </c>
      <c r="H3452" s="28" t="s">
        <v>16221</v>
      </c>
      <c r="I3452" s="28" t="s">
        <v>18826</v>
      </c>
      <c r="J3452" s="28" t="s">
        <v>39</v>
      </c>
      <c r="K3452" s="28" t="s">
        <v>16223</v>
      </c>
      <c r="L3452" s="28" t="s">
        <v>16224</v>
      </c>
      <c r="M3452" s="28" t="s">
        <v>18827</v>
      </c>
      <c r="N3452" s="28" t="s">
        <v>16226</v>
      </c>
      <c r="O3452" s="28" t="s">
        <v>16227</v>
      </c>
      <c r="P3452" s="28" t="s">
        <v>18823</v>
      </c>
    </row>
    <row r="3453" spans="1:16" x14ac:dyDescent="0.25">
      <c r="A3453" s="28" t="s">
        <v>18828</v>
      </c>
      <c r="B3453" s="28" t="s">
        <v>18829</v>
      </c>
      <c r="C3453" s="28" t="s">
        <v>1684</v>
      </c>
      <c r="D3453" s="28" t="s">
        <v>120</v>
      </c>
      <c r="E3453" s="28" t="s">
        <v>18820</v>
      </c>
      <c r="F3453" s="28" t="s">
        <v>21</v>
      </c>
      <c r="G3453" s="28" t="s">
        <v>39</v>
      </c>
      <c r="H3453" s="28" t="s">
        <v>16221</v>
      </c>
      <c r="I3453" s="28" t="s">
        <v>18830</v>
      </c>
      <c r="J3453" s="28" t="s">
        <v>39</v>
      </c>
      <c r="K3453" s="28" t="s">
        <v>16223</v>
      </c>
      <c r="L3453" s="28" t="s">
        <v>16224</v>
      </c>
      <c r="M3453" s="28" t="s">
        <v>18831</v>
      </c>
      <c r="N3453" s="28" t="s">
        <v>16226</v>
      </c>
      <c r="O3453" s="28" t="s">
        <v>16227</v>
      </c>
      <c r="P3453" s="28" t="s">
        <v>18823</v>
      </c>
    </row>
    <row r="3454" spans="1:16" x14ac:dyDescent="0.25">
      <c r="A3454" s="28" t="s">
        <v>18832</v>
      </c>
      <c r="B3454" s="28" t="s">
        <v>18833</v>
      </c>
      <c r="C3454" s="28" t="s">
        <v>1684</v>
      </c>
      <c r="D3454" s="28" t="s">
        <v>120</v>
      </c>
      <c r="E3454" s="28" t="s">
        <v>18834</v>
      </c>
      <c r="F3454" s="28" t="s">
        <v>21</v>
      </c>
      <c r="G3454" s="28" t="s">
        <v>39</v>
      </c>
      <c r="H3454" s="28" t="s">
        <v>16221</v>
      </c>
      <c r="I3454" s="28" t="s">
        <v>18835</v>
      </c>
      <c r="J3454" s="28" t="s">
        <v>39</v>
      </c>
      <c r="K3454" s="28" t="s">
        <v>16223</v>
      </c>
      <c r="L3454" s="28" t="s">
        <v>16224</v>
      </c>
      <c r="M3454" s="28" t="s">
        <v>18836</v>
      </c>
      <c r="N3454" s="28" t="s">
        <v>16226</v>
      </c>
      <c r="O3454" s="28" t="s">
        <v>16227</v>
      </c>
      <c r="P3454" s="28" t="s">
        <v>18837</v>
      </c>
    </row>
    <row r="3455" spans="1:16" x14ac:dyDescent="0.25">
      <c r="A3455" s="28" t="s">
        <v>18838</v>
      </c>
      <c r="B3455" s="28" t="s">
        <v>18839</v>
      </c>
      <c r="C3455" s="28" t="s">
        <v>1684</v>
      </c>
      <c r="D3455" s="28" t="s">
        <v>120</v>
      </c>
      <c r="E3455" s="28" t="s">
        <v>18834</v>
      </c>
      <c r="F3455" s="28" t="s">
        <v>21</v>
      </c>
      <c r="G3455" s="28" t="s">
        <v>39</v>
      </c>
      <c r="H3455" s="28" t="s">
        <v>16221</v>
      </c>
      <c r="I3455" s="28" t="s">
        <v>18840</v>
      </c>
      <c r="J3455" s="28" t="s">
        <v>39</v>
      </c>
      <c r="K3455" s="28" t="s">
        <v>16223</v>
      </c>
      <c r="L3455" s="28" t="s">
        <v>16224</v>
      </c>
      <c r="M3455" s="28" t="s">
        <v>18841</v>
      </c>
      <c r="N3455" s="28" t="s">
        <v>16226</v>
      </c>
      <c r="O3455" s="28" t="s">
        <v>16227</v>
      </c>
      <c r="P3455" s="28" t="s">
        <v>18837</v>
      </c>
    </row>
    <row r="3456" spans="1:16" x14ac:dyDescent="0.25">
      <c r="A3456" s="28" t="s">
        <v>18842</v>
      </c>
      <c r="B3456" s="28" t="s">
        <v>18843</v>
      </c>
      <c r="C3456" s="28" t="s">
        <v>1684</v>
      </c>
      <c r="D3456" s="28" t="s">
        <v>120</v>
      </c>
      <c r="E3456" s="28" t="s">
        <v>18834</v>
      </c>
      <c r="F3456" s="28" t="s">
        <v>21</v>
      </c>
      <c r="G3456" s="28" t="s">
        <v>39</v>
      </c>
      <c r="H3456" s="28" t="s">
        <v>16221</v>
      </c>
      <c r="I3456" s="28" t="s">
        <v>18844</v>
      </c>
      <c r="J3456" s="28" t="s">
        <v>39</v>
      </c>
      <c r="K3456" s="28" t="s">
        <v>16223</v>
      </c>
      <c r="L3456" s="28" t="s">
        <v>16224</v>
      </c>
      <c r="M3456" s="28" t="s">
        <v>18845</v>
      </c>
      <c r="N3456" s="28" t="s">
        <v>16226</v>
      </c>
      <c r="O3456" s="28" t="s">
        <v>16227</v>
      </c>
      <c r="P3456" s="28" t="s">
        <v>18837</v>
      </c>
    </row>
    <row r="3457" spans="1:16" x14ac:dyDescent="0.25">
      <c r="A3457" s="28" t="s">
        <v>18846</v>
      </c>
      <c r="B3457" s="28" t="s">
        <v>18847</v>
      </c>
      <c r="C3457" s="28" t="s">
        <v>1684</v>
      </c>
      <c r="D3457" s="28" t="s">
        <v>120</v>
      </c>
      <c r="E3457" s="28" t="s">
        <v>18848</v>
      </c>
      <c r="F3457" s="28" t="s">
        <v>21</v>
      </c>
      <c r="G3457" s="28" t="s">
        <v>39</v>
      </c>
      <c r="H3457" s="28" t="s">
        <v>16221</v>
      </c>
      <c r="I3457" s="28" t="s">
        <v>18849</v>
      </c>
      <c r="J3457" s="28" t="s">
        <v>39</v>
      </c>
      <c r="K3457" s="28" t="s">
        <v>16223</v>
      </c>
      <c r="L3457" s="28" t="s">
        <v>16224</v>
      </c>
      <c r="M3457" s="28" t="s">
        <v>18850</v>
      </c>
      <c r="N3457" s="28" t="s">
        <v>16226</v>
      </c>
      <c r="O3457" s="28" t="s">
        <v>16227</v>
      </c>
      <c r="P3457" s="28" t="s">
        <v>18851</v>
      </c>
    </row>
    <row r="3458" spans="1:16" x14ac:dyDescent="0.25">
      <c r="A3458" s="28" t="s">
        <v>18852</v>
      </c>
      <c r="B3458" s="28" t="s">
        <v>18853</v>
      </c>
      <c r="C3458" s="28" t="s">
        <v>1684</v>
      </c>
      <c r="D3458" s="28" t="s">
        <v>120</v>
      </c>
      <c r="E3458" s="28" t="s">
        <v>18848</v>
      </c>
      <c r="F3458" s="28" t="s">
        <v>21</v>
      </c>
      <c r="G3458" s="28" t="s">
        <v>39</v>
      </c>
      <c r="H3458" s="28" t="s">
        <v>16221</v>
      </c>
      <c r="I3458" s="28" t="s">
        <v>18854</v>
      </c>
      <c r="J3458" s="28" t="s">
        <v>39</v>
      </c>
      <c r="K3458" s="28" t="s">
        <v>16223</v>
      </c>
      <c r="L3458" s="28" t="s">
        <v>16224</v>
      </c>
      <c r="M3458" s="28" t="s">
        <v>18855</v>
      </c>
      <c r="N3458" s="28" t="s">
        <v>16226</v>
      </c>
      <c r="O3458" s="28" t="s">
        <v>16227</v>
      </c>
      <c r="P3458" s="28" t="s">
        <v>18851</v>
      </c>
    </row>
    <row r="3459" spans="1:16" x14ac:dyDescent="0.25">
      <c r="A3459" s="28" t="s">
        <v>18856</v>
      </c>
      <c r="B3459" s="28" t="s">
        <v>18857</v>
      </c>
      <c r="C3459" s="28" t="s">
        <v>1684</v>
      </c>
      <c r="D3459" s="28" t="s">
        <v>120</v>
      </c>
      <c r="E3459" s="28" t="s">
        <v>18848</v>
      </c>
      <c r="F3459" s="28" t="s">
        <v>21</v>
      </c>
      <c r="G3459" s="28" t="s">
        <v>39</v>
      </c>
      <c r="H3459" s="28" t="s">
        <v>16221</v>
      </c>
      <c r="I3459" s="28" t="s">
        <v>18858</v>
      </c>
      <c r="J3459" s="28" t="s">
        <v>39</v>
      </c>
      <c r="K3459" s="28" t="s">
        <v>16223</v>
      </c>
      <c r="L3459" s="28" t="s">
        <v>16224</v>
      </c>
      <c r="M3459" s="28" t="s">
        <v>18859</v>
      </c>
      <c r="N3459" s="28" t="s">
        <v>16226</v>
      </c>
      <c r="O3459" s="28" t="s">
        <v>16227</v>
      </c>
      <c r="P3459" s="28" t="s">
        <v>18851</v>
      </c>
    </row>
    <row r="3460" spans="1:16" x14ac:dyDescent="0.25">
      <c r="A3460" s="28" t="s">
        <v>18860</v>
      </c>
      <c r="B3460" s="28" t="s">
        <v>18861</v>
      </c>
      <c r="C3460" s="28" t="s">
        <v>1684</v>
      </c>
      <c r="D3460" s="28" t="s">
        <v>120</v>
      </c>
      <c r="E3460" s="28" t="s">
        <v>18862</v>
      </c>
      <c r="F3460" s="28" t="s">
        <v>21</v>
      </c>
      <c r="G3460" s="28" t="s">
        <v>39</v>
      </c>
      <c r="H3460" s="28" t="s">
        <v>16221</v>
      </c>
      <c r="I3460" s="28" t="s">
        <v>18863</v>
      </c>
      <c r="J3460" s="28" t="s">
        <v>39</v>
      </c>
      <c r="K3460" s="28" t="s">
        <v>16223</v>
      </c>
      <c r="L3460" s="28" t="s">
        <v>16224</v>
      </c>
      <c r="M3460" s="28" t="s">
        <v>18864</v>
      </c>
      <c r="N3460" s="28" t="s">
        <v>16226</v>
      </c>
      <c r="O3460" s="28" t="s">
        <v>16227</v>
      </c>
      <c r="P3460" s="28" t="s">
        <v>18865</v>
      </c>
    </row>
    <row r="3461" spans="1:16" x14ac:dyDescent="0.25">
      <c r="A3461" s="28" t="s">
        <v>18866</v>
      </c>
      <c r="B3461" s="28" t="s">
        <v>18867</v>
      </c>
      <c r="C3461" s="28" t="s">
        <v>1684</v>
      </c>
      <c r="D3461" s="28" t="s">
        <v>120</v>
      </c>
      <c r="E3461" s="28" t="s">
        <v>18862</v>
      </c>
      <c r="F3461" s="28" t="s">
        <v>21</v>
      </c>
      <c r="G3461" s="28" t="s">
        <v>39</v>
      </c>
      <c r="H3461" s="28" t="s">
        <v>16221</v>
      </c>
      <c r="I3461" s="28" t="s">
        <v>18868</v>
      </c>
      <c r="J3461" s="28" t="s">
        <v>39</v>
      </c>
      <c r="K3461" s="28" t="s">
        <v>16223</v>
      </c>
      <c r="L3461" s="28" t="s">
        <v>16224</v>
      </c>
      <c r="M3461" s="28" t="s">
        <v>18869</v>
      </c>
      <c r="N3461" s="28" t="s">
        <v>16226</v>
      </c>
      <c r="O3461" s="28" t="s">
        <v>16227</v>
      </c>
      <c r="P3461" s="28" t="s">
        <v>18865</v>
      </c>
    </row>
    <row r="3462" spans="1:16" x14ac:dyDescent="0.25">
      <c r="A3462" s="28" t="s">
        <v>18870</v>
      </c>
      <c r="B3462" s="28" t="s">
        <v>18871</v>
      </c>
      <c r="C3462" s="28" t="s">
        <v>1684</v>
      </c>
      <c r="D3462" s="28" t="s">
        <v>120</v>
      </c>
      <c r="E3462" s="28" t="s">
        <v>18872</v>
      </c>
      <c r="F3462" s="28" t="s">
        <v>21</v>
      </c>
      <c r="G3462" s="28" t="s">
        <v>39</v>
      </c>
      <c r="H3462" s="28" t="s">
        <v>16221</v>
      </c>
      <c r="I3462" s="28" t="s">
        <v>18873</v>
      </c>
      <c r="J3462" s="28" t="s">
        <v>39</v>
      </c>
      <c r="K3462" s="28" t="s">
        <v>16223</v>
      </c>
      <c r="L3462" s="28" t="s">
        <v>16224</v>
      </c>
      <c r="M3462" s="28" t="s">
        <v>18874</v>
      </c>
      <c r="N3462" s="28" t="s">
        <v>16226</v>
      </c>
      <c r="O3462" s="28" t="s">
        <v>16227</v>
      </c>
      <c r="P3462" s="28" t="s">
        <v>18875</v>
      </c>
    </row>
    <row r="3463" spans="1:16" x14ac:dyDescent="0.25">
      <c r="A3463" s="28" t="s">
        <v>18876</v>
      </c>
      <c r="B3463" s="28" t="s">
        <v>18877</v>
      </c>
      <c r="C3463" s="28" t="s">
        <v>1684</v>
      </c>
      <c r="D3463" s="28" t="s">
        <v>120</v>
      </c>
      <c r="E3463" s="28" t="s">
        <v>18872</v>
      </c>
      <c r="F3463" s="28" t="s">
        <v>21</v>
      </c>
      <c r="G3463" s="28" t="s">
        <v>39</v>
      </c>
      <c r="H3463" s="28" t="s">
        <v>16221</v>
      </c>
      <c r="I3463" s="28" t="s">
        <v>18878</v>
      </c>
      <c r="J3463" s="28" t="s">
        <v>39</v>
      </c>
      <c r="K3463" s="28" t="s">
        <v>16223</v>
      </c>
      <c r="L3463" s="28" t="s">
        <v>16224</v>
      </c>
      <c r="M3463" s="28" t="s">
        <v>18879</v>
      </c>
      <c r="N3463" s="28" t="s">
        <v>16226</v>
      </c>
      <c r="O3463" s="28" t="s">
        <v>16227</v>
      </c>
      <c r="P3463" s="28" t="s">
        <v>18875</v>
      </c>
    </row>
    <row r="3464" spans="1:16" x14ac:dyDescent="0.25">
      <c r="A3464" s="28" t="s">
        <v>18880</v>
      </c>
      <c r="B3464" s="28" t="s">
        <v>18881</v>
      </c>
      <c r="C3464" s="28" t="s">
        <v>1684</v>
      </c>
      <c r="D3464" s="28" t="s">
        <v>120</v>
      </c>
      <c r="E3464" s="28" t="s">
        <v>18882</v>
      </c>
      <c r="F3464" s="28" t="s">
        <v>21</v>
      </c>
      <c r="G3464" s="28" t="s">
        <v>39</v>
      </c>
      <c r="H3464" s="28" t="s">
        <v>16221</v>
      </c>
      <c r="I3464" s="28" t="s">
        <v>18883</v>
      </c>
      <c r="J3464" s="28" t="s">
        <v>39</v>
      </c>
      <c r="K3464" s="28" t="s">
        <v>16223</v>
      </c>
      <c r="L3464" s="28" t="s">
        <v>16224</v>
      </c>
      <c r="M3464" s="28" t="s">
        <v>18884</v>
      </c>
      <c r="N3464" s="28" t="s">
        <v>16226</v>
      </c>
      <c r="O3464" s="28" t="s">
        <v>16227</v>
      </c>
      <c r="P3464" s="28" t="s">
        <v>18885</v>
      </c>
    </row>
    <row r="3465" spans="1:16" x14ac:dyDescent="0.25">
      <c r="A3465" s="28" t="s">
        <v>18886</v>
      </c>
      <c r="B3465" s="28" t="s">
        <v>18887</v>
      </c>
      <c r="C3465" s="28" t="s">
        <v>1684</v>
      </c>
      <c r="D3465" s="28" t="s">
        <v>120</v>
      </c>
      <c r="E3465" s="28" t="s">
        <v>18882</v>
      </c>
      <c r="F3465" s="28" t="s">
        <v>21</v>
      </c>
      <c r="G3465" s="28" t="s">
        <v>39</v>
      </c>
      <c r="H3465" s="28" t="s">
        <v>16221</v>
      </c>
      <c r="I3465" s="28" t="s">
        <v>18888</v>
      </c>
      <c r="J3465" s="28" t="s">
        <v>39</v>
      </c>
      <c r="K3465" s="28" t="s">
        <v>16223</v>
      </c>
      <c r="L3465" s="28" t="s">
        <v>16224</v>
      </c>
      <c r="M3465" s="28" t="s">
        <v>18889</v>
      </c>
      <c r="N3465" s="28" t="s">
        <v>16226</v>
      </c>
      <c r="O3465" s="28" t="s">
        <v>16227</v>
      </c>
      <c r="P3465" s="28" t="s">
        <v>18885</v>
      </c>
    </row>
    <row r="3466" spans="1:16" x14ac:dyDescent="0.25">
      <c r="A3466" s="28" t="s">
        <v>18890</v>
      </c>
      <c r="B3466" s="28" t="s">
        <v>18891</v>
      </c>
      <c r="C3466" s="28" t="s">
        <v>1684</v>
      </c>
      <c r="D3466" s="28" t="s">
        <v>120</v>
      </c>
      <c r="E3466" s="28" t="s">
        <v>18882</v>
      </c>
      <c r="F3466" s="28" t="s">
        <v>21</v>
      </c>
      <c r="G3466" s="28" t="s">
        <v>39</v>
      </c>
      <c r="H3466" s="28" t="s">
        <v>16221</v>
      </c>
      <c r="I3466" s="28" t="s">
        <v>18892</v>
      </c>
      <c r="J3466" s="28" t="s">
        <v>39</v>
      </c>
      <c r="K3466" s="28" t="s">
        <v>16223</v>
      </c>
      <c r="L3466" s="28" t="s">
        <v>16224</v>
      </c>
      <c r="M3466" s="28" t="s">
        <v>18893</v>
      </c>
      <c r="N3466" s="28" t="s">
        <v>16226</v>
      </c>
      <c r="O3466" s="28" t="s">
        <v>16227</v>
      </c>
      <c r="P3466" s="28" t="s">
        <v>18885</v>
      </c>
    </row>
    <row r="3467" spans="1:16" x14ac:dyDescent="0.25">
      <c r="A3467" s="28" t="s">
        <v>18894</v>
      </c>
      <c r="B3467" s="28" t="s">
        <v>18895</v>
      </c>
      <c r="C3467" s="28" t="s">
        <v>1684</v>
      </c>
      <c r="D3467" s="28" t="s">
        <v>120</v>
      </c>
      <c r="E3467" s="28" t="s">
        <v>18896</v>
      </c>
      <c r="F3467" s="28" t="s">
        <v>21</v>
      </c>
      <c r="G3467" s="28" t="s">
        <v>39</v>
      </c>
      <c r="H3467" s="28" t="s">
        <v>16221</v>
      </c>
      <c r="I3467" s="28" t="s">
        <v>18897</v>
      </c>
      <c r="J3467" s="28" t="s">
        <v>39</v>
      </c>
      <c r="K3467" s="28" t="s">
        <v>16223</v>
      </c>
      <c r="L3467" s="28" t="s">
        <v>16224</v>
      </c>
      <c r="M3467" s="28" t="s">
        <v>18898</v>
      </c>
      <c r="N3467" s="28" t="s">
        <v>16226</v>
      </c>
      <c r="O3467" s="28" t="s">
        <v>16227</v>
      </c>
      <c r="P3467" s="28" t="s">
        <v>18899</v>
      </c>
    </row>
    <row r="3468" spans="1:16" x14ac:dyDescent="0.25">
      <c r="A3468" s="28" t="s">
        <v>18900</v>
      </c>
      <c r="B3468" s="28" t="s">
        <v>18901</v>
      </c>
      <c r="C3468" s="28" t="s">
        <v>1684</v>
      </c>
      <c r="D3468" s="28" t="s">
        <v>120</v>
      </c>
      <c r="E3468" s="28" t="s">
        <v>18896</v>
      </c>
      <c r="F3468" s="28" t="s">
        <v>21</v>
      </c>
      <c r="G3468" s="28" t="s">
        <v>39</v>
      </c>
      <c r="H3468" s="28" t="s">
        <v>16221</v>
      </c>
      <c r="I3468" s="28" t="s">
        <v>18902</v>
      </c>
      <c r="J3468" s="28" t="s">
        <v>39</v>
      </c>
      <c r="K3468" s="28" t="s">
        <v>16223</v>
      </c>
      <c r="L3468" s="28" t="s">
        <v>16224</v>
      </c>
      <c r="M3468" s="28" t="s">
        <v>18903</v>
      </c>
      <c r="N3468" s="28" t="s">
        <v>16226</v>
      </c>
      <c r="O3468" s="28" t="s">
        <v>16227</v>
      </c>
      <c r="P3468" s="28" t="s">
        <v>18899</v>
      </c>
    </row>
    <row r="3469" spans="1:16" x14ac:dyDescent="0.25">
      <c r="A3469" s="28" t="s">
        <v>18904</v>
      </c>
      <c r="B3469" s="28" t="s">
        <v>18905</v>
      </c>
      <c r="C3469" s="28" t="s">
        <v>1684</v>
      </c>
      <c r="D3469" s="28" t="s">
        <v>62</v>
      </c>
      <c r="E3469" s="28" t="s">
        <v>18906</v>
      </c>
      <c r="F3469" s="28" t="s">
        <v>21</v>
      </c>
      <c r="G3469" s="28" t="s">
        <v>39</v>
      </c>
      <c r="H3469" s="28" t="s">
        <v>16221</v>
      </c>
      <c r="I3469" s="28" t="s">
        <v>18907</v>
      </c>
      <c r="J3469" s="28" t="s">
        <v>39</v>
      </c>
      <c r="K3469" s="28" t="s">
        <v>16223</v>
      </c>
      <c r="L3469" s="28" t="s">
        <v>16224</v>
      </c>
      <c r="M3469" s="28" t="s">
        <v>18908</v>
      </c>
      <c r="N3469" s="28" t="s">
        <v>16226</v>
      </c>
      <c r="O3469" s="28" t="s">
        <v>16227</v>
      </c>
      <c r="P3469" s="28" t="s">
        <v>18909</v>
      </c>
    </row>
    <row r="3470" spans="1:16" x14ac:dyDescent="0.25">
      <c r="A3470" s="28" t="s">
        <v>18910</v>
      </c>
      <c r="B3470" s="28" t="s">
        <v>18911</v>
      </c>
      <c r="C3470" s="28" t="s">
        <v>1684</v>
      </c>
      <c r="D3470" s="28" t="s">
        <v>62</v>
      </c>
      <c r="E3470" s="28" t="s">
        <v>18906</v>
      </c>
      <c r="F3470" s="28" t="s">
        <v>21</v>
      </c>
      <c r="G3470" s="28" t="s">
        <v>39</v>
      </c>
      <c r="H3470" s="28" t="s">
        <v>16221</v>
      </c>
      <c r="I3470" s="28" t="s">
        <v>18912</v>
      </c>
      <c r="J3470" s="28" t="s">
        <v>39</v>
      </c>
      <c r="K3470" s="28" t="s">
        <v>16223</v>
      </c>
      <c r="L3470" s="28" t="s">
        <v>16224</v>
      </c>
      <c r="M3470" s="28" t="s">
        <v>18913</v>
      </c>
      <c r="N3470" s="28" t="s">
        <v>16226</v>
      </c>
      <c r="O3470" s="28" t="s">
        <v>16227</v>
      </c>
      <c r="P3470" s="28" t="s">
        <v>18909</v>
      </c>
    </row>
    <row r="3471" spans="1:16" x14ac:dyDescent="0.25">
      <c r="A3471" s="28" t="s">
        <v>18914</v>
      </c>
      <c r="B3471" s="28" t="s">
        <v>18915</v>
      </c>
      <c r="C3471" s="28" t="s">
        <v>1684</v>
      </c>
      <c r="D3471" s="28" t="s">
        <v>62</v>
      </c>
      <c r="E3471" s="28" t="s">
        <v>18906</v>
      </c>
      <c r="F3471" s="28" t="s">
        <v>21</v>
      </c>
      <c r="G3471" s="28" t="s">
        <v>39</v>
      </c>
      <c r="H3471" s="28" t="s">
        <v>16221</v>
      </c>
      <c r="I3471" s="28" t="s">
        <v>18916</v>
      </c>
      <c r="J3471" s="28" t="s">
        <v>39</v>
      </c>
      <c r="K3471" s="28" t="s">
        <v>16223</v>
      </c>
      <c r="L3471" s="28" t="s">
        <v>16224</v>
      </c>
      <c r="M3471" s="28" t="s">
        <v>18917</v>
      </c>
      <c r="N3471" s="28" t="s">
        <v>16226</v>
      </c>
      <c r="O3471" s="28" t="s">
        <v>16227</v>
      </c>
      <c r="P3471" s="28" t="s">
        <v>18909</v>
      </c>
    </row>
    <row r="3472" spans="1:16" x14ac:dyDescent="0.25">
      <c r="A3472" s="28" t="s">
        <v>18918</v>
      </c>
      <c r="B3472" s="28" t="s">
        <v>18919</v>
      </c>
      <c r="C3472" s="28" t="s">
        <v>1684</v>
      </c>
      <c r="D3472" s="28" t="s">
        <v>120</v>
      </c>
      <c r="E3472" s="28" t="s">
        <v>18920</v>
      </c>
      <c r="F3472" s="28" t="s">
        <v>21</v>
      </c>
      <c r="G3472" s="28" t="s">
        <v>39</v>
      </c>
      <c r="H3472" s="28" t="s">
        <v>16221</v>
      </c>
      <c r="I3472" s="28" t="s">
        <v>18921</v>
      </c>
      <c r="J3472" s="28" t="s">
        <v>39</v>
      </c>
      <c r="K3472" s="28" t="s">
        <v>16223</v>
      </c>
      <c r="L3472" s="28" t="s">
        <v>16224</v>
      </c>
      <c r="M3472" s="28" t="s">
        <v>18922</v>
      </c>
      <c r="N3472" s="28" t="s">
        <v>16226</v>
      </c>
      <c r="O3472" s="28" t="s">
        <v>16227</v>
      </c>
      <c r="P3472" s="28" t="s">
        <v>18923</v>
      </c>
    </row>
    <row r="3473" spans="1:16" x14ac:dyDescent="0.25">
      <c r="A3473" s="28" t="s">
        <v>18924</v>
      </c>
      <c r="B3473" s="28" t="s">
        <v>18925</v>
      </c>
      <c r="C3473" s="28" t="s">
        <v>1684</v>
      </c>
      <c r="D3473" s="28" t="s">
        <v>120</v>
      </c>
      <c r="E3473" s="28" t="s">
        <v>18920</v>
      </c>
      <c r="F3473" s="28" t="s">
        <v>21</v>
      </c>
      <c r="G3473" s="28" t="s">
        <v>39</v>
      </c>
      <c r="H3473" s="28" t="s">
        <v>16221</v>
      </c>
      <c r="I3473" s="28" t="s">
        <v>18926</v>
      </c>
      <c r="J3473" s="28" t="s">
        <v>39</v>
      </c>
      <c r="K3473" s="28" t="s">
        <v>16223</v>
      </c>
      <c r="L3473" s="28" t="s">
        <v>16224</v>
      </c>
      <c r="M3473" s="28" t="s">
        <v>18927</v>
      </c>
      <c r="N3473" s="28" t="s">
        <v>16226</v>
      </c>
      <c r="O3473" s="28" t="s">
        <v>16227</v>
      </c>
      <c r="P3473" s="28" t="s">
        <v>18923</v>
      </c>
    </row>
    <row r="3474" spans="1:16" x14ac:dyDescent="0.25">
      <c r="A3474" s="28" t="s">
        <v>18928</v>
      </c>
      <c r="B3474" s="28" t="s">
        <v>18929</v>
      </c>
      <c r="C3474" s="28" t="s">
        <v>1684</v>
      </c>
      <c r="D3474" s="28" t="s">
        <v>120</v>
      </c>
      <c r="E3474" s="28" t="s">
        <v>18920</v>
      </c>
      <c r="F3474" s="28" t="s">
        <v>21</v>
      </c>
      <c r="G3474" s="28" t="s">
        <v>39</v>
      </c>
      <c r="H3474" s="28" t="s">
        <v>16221</v>
      </c>
      <c r="I3474" s="28" t="s">
        <v>18930</v>
      </c>
      <c r="J3474" s="28" t="s">
        <v>39</v>
      </c>
      <c r="K3474" s="28" t="s">
        <v>16223</v>
      </c>
      <c r="L3474" s="28" t="s">
        <v>16224</v>
      </c>
      <c r="M3474" s="28" t="s">
        <v>18931</v>
      </c>
      <c r="N3474" s="28" t="s">
        <v>16226</v>
      </c>
      <c r="O3474" s="28" t="s">
        <v>16227</v>
      </c>
      <c r="P3474" s="28" t="s">
        <v>18923</v>
      </c>
    </row>
    <row r="3475" spans="1:16" x14ac:dyDescent="0.25">
      <c r="A3475" s="28" t="s">
        <v>18932</v>
      </c>
      <c r="B3475" s="28" t="s">
        <v>18933</v>
      </c>
      <c r="C3475" s="28" t="s">
        <v>1684</v>
      </c>
      <c r="D3475" s="28" t="s">
        <v>120</v>
      </c>
      <c r="E3475" s="28" t="s">
        <v>18934</v>
      </c>
      <c r="F3475" s="28" t="s">
        <v>21</v>
      </c>
      <c r="G3475" s="28" t="s">
        <v>39</v>
      </c>
      <c r="H3475" s="28" t="s">
        <v>16221</v>
      </c>
      <c r="I3475" s="28" t="s">
        <v>18935</v>
      </c>
      <c r="J3475" s="28" t="s">
        <v>39</v>
      </c>
      <c r="K3475" s="28" t="s">
        <v>16223</v>
      </c>
      <c r="L3475" s="28" t="s">
        <v>16224</v>
      </c>
      <c r="M3475" s="28" t="s">
        <v>18936</v>
      </c>
      <c r="N3475" s="28" t="s">
        <v>16226</v>
      </c>
      <c r="O3475" s="28" t="s">
        <v>16227</v>
      </c>
      <c r="P3475" s="28" t="s">
        <v>18937</v>
      </c>
    </row>
    <row r="3476" spans="1:16" x14ac:dyDescent="0.25">
      <c r="A3476" s="28" t="s">
        <v>18938</v>
      </c>
      <c r="B3476" s="28" t="s">
        <v>18939</v>
      </c>
      <c r="C3476" s="28" t="s">
        <v>1684</v>
      </c>
      <c r="D3476" s="28" t="s">
        <v>120</v>
      </c>
      <c r="E3476" s="28" t="s">
        <v>18934</v>
      </c>
      <c r="F3476" s="28" t="s">
        <v>21</v>
      </c>
      <c r="G3476" s="28" t="s">
        <v>39</v>
      </c>
      <c r="H3476" s="28" t="s">
        <v>16221</v>
      </c>
      <c r="I3476" s="28" t="s">
        <v>18940</v>
      </c>
      <c r="J3476" s="28" t="s">
        <v>39</v>
      </c>
      <c r="K3476" s="28" t="s">
        <v>16223</v>
      </c>
      <c r="L3476" s="28" t="s">
        <v>16224</v>
      </c>
      <c r="M3476" s="28" t="s">
        <v>18941</v>
      </c>
      <c r="N3476" s="28" t="s">
        <v>16226</v>
      </c>
      <c r="O3476" s="28" t="s">
        <v>16227</v>
      </c>
      <c r="P3476" s="28" t="s">
        <v>18937</v>
      </c>
    </row>
    <row r="3477" spans="1:16" x14ac:dyDescent="0.25">
      <c r="A3477" s="28" t="s">
        <v>18942</v>
      </c>
      <c r="B3477" s="28" t="s">
        <v>18943</v>
      </c>
      <c r="C3477" s="28" t="s">
        <v>1684</v>
      </c>
      <c r="D3477" s="28" t="s">
        <v>7132</v>
      </c>
      <c r="E3477" s="28" t="s">
        <v>17330</v>
      </c>
      <c r="F3477" s="28" t="s">
        <v>21</v>
      </c>
      <c r="G3477" s="28" t="s">
        <v>39</v>
      </c>
      <c r="H3477" s="28" t="s">
        <v>16221</v>
      </c>
      <c r="I3477" s="28" t="s">
        <v>18944</v>
      </c>
      <c r="J3477" s="28" t="s">
        <v>39</v>
      </c>
      <c r="K3477" s="28" t="s">
        <v>16223</v>
      </c>
      <c r="L3477" s="28" t="s">
        <v>16224</v>
      </c>
      <c r="M3477" s="28" t="s">
        <v>18945</v>
      </c>
      <c r="N3477" s="28" t="s">
        <v>16226</v>
      </c>
      <c r="O3477" s="28" t="s">
        <v>16227</v>
      </c>
      <c r="P3477" s="28" t="s">
        <v>17333</v>
      </c>
    </row>
    <row r="3478" spans="1:16" x14ac:dyDescent="0.25">
      <c r="A3478" s="28" t="s">
        <v>18946</v>
      </c>
      <c r="B3478" s="28" t="s">
        <v>18947</v>
      </c>
      <c r="C3478" s="28" t="s">
        <v>1684</v>
      </c>
      <c r="D3478" s="28" t="s">
        <v>7132</v>
      </c>
      <c r="E3478" s="28" t="s">
        <v>17330</v>
      </c>
      <c r="F3478" s="28" t="s">
        <v>21</v>
      </c>
      <c r="G3478" s="28" t="s">
        <v>39</v>
      </c>
      <c r="H3478" s="28" t="s">
        <v>16221</v>
      </c>
      <c r="I3478" s="28" t="s">
        <v>18948</v>
      </c>
      <c r="J3478" s="28" t="s">
        <v>39</v>
      </c>
      <c r="K3478" s="28" t="s">
        <v>16223</v>
      </c>
      <c r="L3478" s="28" t="s">
        <v>16224</v>
      </c>
      <c r="M3478" s="28" t="s">
        <v>18949</v>
      </c>
      <c r="N3478" s="28" t="s">
        <v>16226</v>
      </c>
      <c r="O3478" s="28" t="s">
        <v>16227</v>
      </c>
      <c r="P3478" s="28" t="s">
        <v>17333</v>
      </c>
    </row>
    <row r="3479" spans="1:16" x14ac:dyDescent="0.25">
      <c r="A3479" s="28" t="s">
        <v>18950</v>
      </c>
      <c r="B3479" s="28" t="s">
        <v>18951</v>
      </c>
      <c r="C3479" s="28" t="s">
        <v>1684</v>
      </c>
      <c r="D3479" s="28" t="s">
        <v>7132</v>
      </c>
      <c r="E3479" s="28" t="s">
        <v>17330</v>
      </c>
      <c r="F3479" s="28" t="s">
        <v>21</v>
      </c>
      <c r="G3479" s="28" t="s">
        <v>39</v>
      </c>
      <c r="H3479" s="28" t="s">
        <v>16221</v>
      </c>
      <c r="I3479" s="28" t="s">
        <v>18952</v>
      </c>
      <c r="J3479" s="28" t="s">
        <v>39</v>
      </c>
      <c r="K3479" s="28" t="s">
        <v>16223</v>
      </c>
      <c r="L3479" s="28" t="s">
        <v>16224</v>
      </c>
      <c r="M3479" s="28" t="s">
        <v>18953</v>
      </c>
      <c r="N3479" s="28" t="s">
        <v>16226</v>
      </c>
      <c r="O3479" s="28" t="s">
        <v>16227</v>
      </c>
      <c r="P3479" s="28" t="s">
        <v>17333</v>
      </c>
    </row>
    <row r="3480" spans="1:16" x14ac:dyDescent="0.25">
      <c r="A3480" s="28" t="s">
        <v>18954</v>
      </c>
      <c r="B3480" s="28" t="s">
        <v>18955</v>
      </c>
      <c r="C3480" s="28" t="s">
        <v>1684</v>
      </c>
      <c r="D3480" s="28" t="s">
        <v>7132</v>
      </c>
      <c r="E3480" s="28" t="s">
        <v>17330</v>
      </c>
      <c r="F3480" s="28" t="s">
        <v>21</v>
      </c>
      <c r="G3480" s="28" t="s">
        <v>39</v>
      </c>
      <c r="H3480" s="28" t="s">
        <v>16221</v>
      </c>
      <c r="I3480" s="28" t="s">
        <v>18956</v>
      </c>
      <c r="J3480" s="28" t="s">
        <v>39</v>
      </c>
      <c r="K3480" s="28" t="s">
        <v>16223</v>
      </c>
      <c r="L3480" s="28" t="s">
        <v>16224</v>
      </c>
      <c r="M3480" s="28" t="s">
        <v>18957</v>
      </c>
      <c r="N3480" s="28" t="s">
        <v>16226</v>
      </c>
      <c r="O3480" s="28" t="s">
        <v>16227</v>
      </c>
      <c r="P3480" s="28" t="s">
        <v>17333</v>
      </c>
    </row>
    <row r="3481" spans="1:16" x14ac:dyDescent="0.25">
      <c r="A3481" s="28" t="s">
        <v>18958</v>
      </c>
      <c r="B3481" s="28" t="s">
        <v>18959</v>
      </c>
      <c r="C3481" s="28" t="s">
        <v>1684</v>
      </c>
      <c r="D3481" s="28" t="s">
        <v>7132</v>
      </c>
      <c r="E3481" s="28" t="s">
        <v>17340</v>
      </c>
      <c r="F3481" s="28" t="s">
        <v>21</v>
      </c>
      <c r="G3481" s="28" t="s">
        <v>39</v>
      </c>
      <c r="H3481" s="28" t="s">
        <v>16221</v>
      </c>
      <c r="I3481" s="28" t="s">
        <v>18960</v>
      </c>
      <c r="J3481" s="28" t="s">
        <v>39</v>
      </c>
      <c r="K3481" s="28" t="s">
        <v>16223</v>
      </c>
      <c r="L3481" s="28" t="s">
        <v>16224</v>
      </c>
      <c r="M3481" s="28" t="s">
        <v>18961</v>
      </c>
      <c r="N3481" s="28" t="s">
        <v>16226</v>
      </c>
      <c r="O3481" s="28" t="s">
        <v>16227</v>
      </c>
      <c r="P3481" s="28" t="s">
        <v>17343</v>
      </c>
    </row>
    <row r="3482" spans="1:16" x14ac:dyDescent="0.25">
      <c r="A3482" s="28" t="s">
        <v>18962</v>
      </c>
      <c r="B3482" s="28" t="s">
        <v>18963</v>
      </c>
      <c r="C3482" s="28" t="s">
        <v>1684</v>
      </c>
      <c r="D3482" s="28" t="s">
        <v>7132</v>
      </c>
      <c r="E3482" s="28" t="s">
        <v>17340</v>
      </c>
      <c r="F3482" s="28" t="s">
        <v>21</v>
      </c>
      <c r="G3482" s="28" t="s">
        <v>39</v>
      </c>
      <c r="H3482" s="28" t="s">
        <v>16221</v>
      </c>
      <c r="I3482" s="28" t="s">
        <v>18964</v>
      </c>
      <c r="J3482" s="28" t="s">
        <v>39</v>
      </c>
      <c r="K3482" s="28" t="s">
        <v>16223</v>
      </c>
      <c r="L3482" s="28" t="s">
        <v>16224</v>
      </c>
      <c r="M3482" s="28" t="s">
        <v>18965</v>
      </c>
      <c r="N3482" s="28" t="s">
        <v>16226</v>
      </c>
      <c r="O3482" s="28" t="s">
        <v>16227</v>
      </c>
      <c r="P3482" s="28" t="s">
        <v>17343</v>
      </c>
    </row>
    <row r="3483" spans="1:16" x14ac:dyDescent="0.25">
      <c r="A3483" s="28" t="s">
        <v>18966</v>
      </c>
      <c r="B3483" s="28" t="s">
        <v>18967</v>
      </c>
      <c r="C3483" s="28" t="s">
        <v>1684</v>
      </c>
      <c r="D3483" s="28" t="s">
        <v>7132</v>
      </c>
      <c r="E3483" s="28" t="s">
        <v>17346</v>
      </c>
      <c r="F3483" s="28" t="s">
        <v>21</v>
      </c>
      <c r="G3483" s="28" t="s">
        <v>39</v>
      </c>
      <c r="H3483" s="28" t="s">
        <v>16221</v>
      </c>
      <c r="I3483" s="28" t="s">
        <v>18968</v>
      </c>
      <c r="J3483" s="28" t="s">
        <v>39</v>
      </c>
      <c r="K3483" s="28" t="s">
        <v>16223</v>
      </c>
      <c r="L3483" s="28" t="s">
        <v>16224</v>
      </c>
      <c r="M3483" s="28" t="s">
        <v>18969</v>
      </c>
      <c r="N3483" s="28" t="s">
        <v>16226</v>
      </c>
      <c r="O3483" s="28" t="s">
        <v>16227</v>
      </c>
      <c r="P3483" s="28" t="s">
        <v>17349</v>
      </c>
    </row>
    <row r="3484" spans="1:16" x14ac:dyDescent="0.25">
      <c r="A3484" s="28" t="s">
        <v>18970</v>
      </c>
      <c r="B3484" s="28" t="s">
        <v>18971</v>
      </c>
      <c r="C3484" s="28" t="s">
        <v>1684</v>
      </c>
      <c r="D3484" s="28" t="s">
        <v>7132</v>
      </c>
      <c r="E3484" s="28" t="s">
        <v>17346</v>
      </c>
      <c r="F3484" s="28" t="s">
        <v>21</v>
      </c>
      <c r="G3484" s="28" t="s">
        <v>39</v>
      </c>
      <c r="H3484" s="28" t="s">
        <v>16221</v>
      </c>
      <c r="I3484" s="28" t="s">
        <v>18972</v>
      </c>
      <c r="J3484" s="28" t="s">
        <v>39</v>
      </c>
      <c r="K3484" s="28" t="s">
        <v>16223</v>
      </c>
      <c r="L3484" s="28" t="s">
        <v>16224</v>
      </c>
      <c r="M3484" s="28" t="s">
        <v>18973</v>
      </c>
      <c r="N3484" s="28" t="s">
        <v>16226</v>
      </c>
      <c r="O3484" s="28" t="s">
        <v>16227</v>
      </c>
      <c r="P3484" s="28" t="s">
        <v>17349</v>
      </c>
    </row>
    <row r="3485" spans="1:16" x14ac:dyDescent="0.25">
      <c r="A3485" s="28" t="s">
        <v>18974</v>
      </c>
      <c r="B3485" s="28" t="s">
        <v>18975</v>
      </c>
      <c r="C3485" s="28" t="s">
        <v>1684</v>
      </c>
      <c r="D3485" s="28" t="s">
        <v>7132</v>
      </c>
      <c r="E3485" s="28" t="s">
        <v>17352</v>
      </c>
      <c r="F3485" s="28" t="s">
        <v>21</v>
      </c>
      <c r="G3485" s="28" t="s">
        <v>39</v>
      </c>
      <c r="H3485" s="28" t="s">
        <v>16221</v>
      </c>
      <c r="I3485" s="28" t="s">
        <v>18976</v>
      </c>
      <c r="J3485" s="28" t="s">
        <v>39</v>
      </c>
      <c r="K3485" s="28" t="s">
        <v>16223</v>
      </c>
      <c r="L3485" s="28" t="s">
        <v>16224</v>
      </c>
      <c r="M3485" s="28" t="s">
        <v>18977</v>
      </c>
      <c r="N3485" s="28" t="s">
        <v>16226</v>
      </c>
      <c r="O3485" s="28" t="s">
        <v>16227</v>
      </c>
      <c r="P3485" s="28" t="s">
        <v>17355</v>
      </c>
    </row>
    <row r="3486" spans="1:16" x14ac:dyDescent="0.25">
      <c r="A3486" s="28" t="s">
        <v>18978</v>
      </c>
      <c r="B3486" s="28" t="s">
        <v>18979</v>
      </c>
      <c r="C3486" s="28" t="s">
        <v>1684</v>
      </c>
      <c r="D3486" s="28" t="s">
        <v>7132</v>
      </c>
      <c r="E3486" s="28" t="s">
        <v>17352</v>
      </c>
      <c r="F3486" s="28" t="s">
        <v>21</v>
      </c>
      <c r="G3486" s="28" t="s">
        <v>39</v>
      </c>
      <c r="H3486" s="28" t="s">
        <v>16221</v>
      </c>
      <c r="I3486" s="28" t="s">
        <v>18980</v>
      </c>
      <c r="J3486" s="28" t="s">
        <v>39</v>
      </c>
      <c r="K3486" s="28" t="s">
        <v>16223</v>
      </c>
      <c r="L3486" s="28" t="s">
        <v>16224</v>
      </c>
      <c r="M3486" s="28" t="s">
        <v>18981</v>
      </c>
      <c r="N3486" s="28" t="s">
        <v>16226</v>
      </c>
      <c r="O3486" s="28" t="s">
        <v>16227</v>
      </c>
      <c r="P3486" s="28" t="s">
        <v>17355</v>
      </c>
    </row>
    <row r="3487" spans="1:16" x14ac:dyDescent="0.25">
      <c r="A3487" s="28" t="s">
        <v>18982</v>
      </c>
      <c r="B3487" s="28" t="s">
        <v>18983</v>
      </c>
      <c r="C3487" s="28" t="s">
        <v>1684</v>
      </c>
      <c r="D3487" s="28" t="s">
        <v>7132</v>
      </c>
      <c r="E3487" s="28" t="s">
        <v>17358</v>
      </c>
      <c r="F3487" s="28" t="s">
        <v>21</v>
      </c>
      <c r="G3487" s="28" t="s">
        <v>39</v>
      </c>
      <c r="H3487" s="28" t="s">
        <v>16221</v>
      </c>
      <c r="I3487" s="28" t="s">
        <v>18984</v>
      </c>
      <c r="J3487" s="28" t="s">
        <v>39</v>
      </c>
      <c r="K3487" s="28" t="s">
        <v>16223</v>
      </c>
      <c r="L3487" s="28" t="s">
        <v>16224</v>
      </c>
      <c r="M3487" s="28" t="s">
        <v>18985</v>
      </c>
      <c r="N3487" s="28" t="s">
        <v>16226</v>
      </c>
      <c r="O3487" s="28" t="s">
        <v>16227</v>
      </c>
      <c r="P3487" s="28" t="s">
        <v>17361</v>
      </c>
    </row>
    <row r="3488" spans="1:16" x14ac:dyDescent="0.25">
      <c r="A3488" s="28" t="s">
        <v>18986</v>
      </c>
      <c r="B3488" s="28" t="s">
        <v>18987</v>
      </c>
      <c r="C3488" s="28" t="s">
        <v>1684</v>
      </c>
      <c r="D3488" s="28" t="s">
        <v>7132</v>
      </c>
      <c r="E3488" s="28" t="s">
        <v>17358</v>
      </c>
      <c r="F3488" s="28" t="s">
        <v>21</v>
      </c>
      <c r="G3488" s="28" t="s">
        <v>39</v>
      </c>
      <c r="H3488" s="28" t="s">
        <v>16221</v>
      </c>
      <c r="I3488" s="28" t="s">
        <v>18988</v>
      </c>
      <c r="J3488" s="28" t="s">
        <v>39</v>
      </c>
      <c r="K3488" s="28" t="s">
        <v>16223</v>
      </c>
      <c r="L3488" s="28" t="s">
        <v>16224</v>
      </c>
      <c r="M3488" s="28" t="s">
        <v>18989</v>
      </c>
      <c r="N3488" s="28" t="s">
        <v>16226</v>
      </c>
      <c r="O3488" s="28" t="s">
        <v>16227</v>
      </c>
      <c r="P3488" s="28" t="s">
        <v>17361</v>
      </c>
    </row>
    <row r="3489" spans="1:16" x14ac:dyDescent="0.25">
      <c r="A3489" s="28" t="s">
        <v>18990</v>
      </c>
      <c r="B3489" s="28" t="s">
        <v>18991</v>
      </c>
      <c r="C3489" s="28" t="s">
        <v>1684</v>
      </c>
      <c r="D3489" s="28" t="s">
        <v>7132</v>
      </c>
      <c r="E3489" s="28" t="s">
        <v>17364</v>
      </c>
      <c r="F3489" s="28" t="s">
        <v>21</v>
      </c>
      <c r="G3489" s="28" t="s">
        <v>39</v>
      </c>
      <c r="H3489" s="28" t="s">
        <v>16221</v>
      </c>
      <c r="I3489" s="28" t="s">
        <v>18992</v>
      </c>
      <c r="J3489" s="28" t="s">
        <v>39</v>
      </c>
      <c r="K3489" s="28" t="s">
        <v>16223</v>
      </c>
      <c r="L3489" s="28" t="s">
        <v>16224</v>
      </c>
      <c r="M3489" s="28" t="s">
        <v>18993</v>
      </c>
      <c r="N3489" s="28" t="s">
        <v>16226</v>
      </c>
      <c r="O3489" s="28" t="s">
        <v>16227</v>
      </c>
      <c r="P3489" s="28" t="s">
        <v>17367</v>
      </c>
    </row>
    <row r="3490" spans="1:16" x14ac:dyDescent="0.25">
      <c r="A3490" s="28" t="s">
        <v>18994</v>
      </c>
      <c r="B3490" s="28" t="s">
        <v>18995</v>
      </c>
      <c r="C3490" s="28" t="s">
        <v>1684</v>
      </c>
      <c r="D3490" s="28" t="s">
        <v>7132</v>
      </c>
      <c r="E3490" s="28" t="s">
        <v>17364</v>
      </c>
      <c r="F3490" s="28" t="s">
        <v>21</v>
      </c>
      <c r="G3490" s="28" t="s">
        <v>39</v>
      </c>
      <c r="H3490" s="28" t="s">
        <v>16221</v>
      </c>
      <c r="I3490" s="28" t="s">
        <v>18996</v>
      </c>
      <c r="J3490" s="28" t="s">
        <v>39</v>
      </c>
      <c r="K3490" s="28" t="s">
        <v>16223</v>
      </c>
      <c r="L3490" s="28" t="s">
        <v>16224</v>
      </c>
      <c r="M3490" s="28" t="s">
        <v>18997</v>
      </c>
      <c r="N3490" s="28" t="s">
        <v>16226</v>
      </c>
      <c r="O3490" s="28" t="s">
        <v>16227</v>
      </c>
      <c r="P3490" s="28" t="s">
        <v>17367</v>
      </c>
    </row>
    <row r="3491" spans="1:16" x14ac:dyDescent="0.25">
      <c r="A3491" s="28" t="s">
        <v>18998</v>
      </c>
      <c r="B3491" s="28" t="s">
        <v>18999</v>
      </c>
      <c r="C3491" s="28" t="s">
        <v>1684</v>
      </c>
      <c r="D3491" s="28" t="s">
        <v>7132</v>
      </c>
      <c r="E3491" s="28" t="s">
        <v>17370</v>
      </c>
      <c r="F3491" s="28" t="s">
        <v>21</v>
      </c>
      <c r="G3491" s="28" t="s">
        <v>39</v>
      </c>
      <c r="H3491" s="28" t="s">
        <v>16221</v>
      </c>
      <c r="I3491" s="28" t="s">
        <v>19000</v>
      </c>
      <c r="J3491" s="28" t="s">
        <v>39</v>
      </c>
      <c r="K3491" s="28" t="s">
        <v>16223</v>
      </c>
      <c r="L3491" s="28" t="s">
        <v>16224</v>
      </c>
      <c r="M3491" s="28" t="s">
        <v>19001</v>
      </c>
      <c r="N3491" s="28" t="s">
        <v>16226</v>
      </c>
      <c r="O3491" s="28" t="s">
        <v>16227</v>
      </c>
      <c r="P3491" s="28" t="s">
        <v>17373</v>
      </c>
    </row>
    <row r="3492" spans="1:16" x14ac:dyDescent="0.25">
      <c r="A3492" s="28" t="s">
        <v>19002</v>
      </c>
      <c r="B3492" s="28" t="s">
        <v>19003</v>
      </c>
      <c r="C3492" s="28" t="s">
        <v>1684</v>
      </c>
      <c r="D3492" s="28" t="s">
        <v>7132</v>
      </c>
      <c r="E3492" s="28" t="s">
        <v>17370</v>
      </c>
      <c r="F3492" s="28" t="s">
        <v>21</v>
      </c>
      <c r="G3492" s="28" t="s">
        <v>39</v>
      </c>
      <c r="H3492" s="28" t="s">
        <v>16221</v>
      </c>
      <c r="I3492" s="28" t="s">
        <v>19004</v>
      </c>
      <c r="J3492" s="28" t="s">
        <v>39</v>
      </c>
      <c r="K3492" s="28" t="s">
        <v>16223</v>
      </c>
      <c r="L3492" s="28" t="s">
        <v>16224</v>
      </c>
      <c r="M3492" s="28" t="s">
        <v>19005</v>
      </c>
      <c r="N3492" s="28" t="s">
        <v>16226</v>
      </c>
      <c r="O3492" s="28" t="s">
        <v>16227</v>
      </c>
      <c r="P3492" s="28" t="s">
        <v>17373</v>
      </c>
    </row>
    <row r="3493" spans="1:16" x14ac:dyDescent="0.25">
      <c r="A3493" s="28" t="s">
        <v>19006</v>
      </c>
      <c r="B3493" s="28" t="s">
        <v>19007</v>
      </c>
      <c r="C3493" s="28" t="s">
        <v>1684</v>
      </c>
      <c r="D3493" s="28" t="s">
        <v>7132</v>
      </c>
      <c r="E3493" s="28" t="s">
        <v>17376</v>
      </c>
      <c r="F3493" s="28" t="s">
        <v>21</v>
      </c>
      <c r="G3493" s="28" t="s">
        <v>39</v>
      </c>
      <c r="H3493" s="28" t="s">
        <v>16221</v>
      </c>
      <c r="I3493" s="28" t="s">
        <v>19008</v>
      </c>
      <c r="J3493" s="28" t="s">
        <v>39</v>
      </c>
      <c r="K3493" s="28" t="s">
        <v>16223</v>
      </c>
      <c r="L3493" s="28" t="s">
        <v>16224</v>
      </c>
      <c r="M3493" s="28" t="s">
        <v>19009</v>
      </c>
      <c r="N3493" s="28" t="s">
        <v>16226</v>
      </c>
      <c r="O3493" s="28" t="s">
        <v>16227</v>
      </c>
      <c r="P3493" s="28" t="s">
        <v>17379</v>
      </c>
    </row>
    <row r="3494" spans="1:16" x14ac:dyDescent="0.25">
      <c r="A3494" s="28" t="s">
        <v>19010</v>
      </c>
      <c r="B3494" s="28" t="s">
        <v>19011</v>
      </c>
      <c r="C3494" s="28" t="s">
        <v>1684</v>
      </c>
      <c r="D3494" s="28" t="s">
        <v>7132</v>
      </c>
      <c r="E3494" s="28" t="s">
        <v>17376</v>
      </c>
      <c r="F3494" s="28" t="s">
        <v>21</v>
      </c>
      <c r="G3494" s="28" t="s">
        <v>39</v>
      </c>
      <c r="H3494" s="28" t="s">
        <v>16221</v>
      </c>
      <c r="I3494" s="28" t="s">
        <v>19012</v>
      </c>
      <c r="J3494" s="28" t="s">
        <v>39</v>
      </c>
      <c r="K3494" s="28" t="s">
        <v>16223</v>
      </c>
      <c r="L3494" s="28" t="s">
        <v>16224</v>
      </c>
      <c r="M3494" s="28" t="s">
        <v>19013</v>
      </c>
      <c r="N3494" s="28" t="s">
        <v>16226</v>
      </c>
      <c r="O3494" s="28" t="s">
        <v>16227</v>
      </c>
      <c r="P3494" s="28" t="s">
        <v>17379</v>
      </c>
    </row>
    <row r="3495" spans="1:16" x14ac:dyDescent="0.25">
      <c r="A3495" s="28" t="s">
        <v>19014</v>
      </c>
      <c r="B3495" s="28" t="s">
        <v>19015</v>
      </c>
      <c r="C3495" s="28" t="s">
        <v>1684</v>
      </c>
      <c r="D3495" s="28" t="s">
        <v>7132</v>
      </c>
      <c r="E3495" s="28" t="s">
        <v>17376</v>
      </c>
      <c r="F3495" s="28" t="s">
        <v>21</v>
      </c>
      <c r="G3495" s="28" t="s">
        <v>39</v>
      </c>
      <c r="H3495" s="28" t="s">
        <v>16221</v>
      </c>
      <c r="I3495" s="28" t="s">
        <v>19016</v>
      </c>
      <c r="J3495" s="28" t="s">
        <v>39</v>
      </c>
      <c r="K3495" s="28" t="s">
        <v>16223</v>
      </c>
      <c r="L3495" s="28" t="s">
        <v>16224</v>
      </c>
      <c r="M3495" s="28" t="s">
        <v>19017</v>
      </c>
      <c r="N3495" s="28" t="s">
        <v>16226</v>
      </c>
      <c r="O3495" s="28" t="s">
        <v>16227</v>
      </c>
      <c r="P3495" s="28" t="s">
        <v>17379</v>
      </c>
    </row>
    <row r="3496" spans="1:16" x14ac:dyDescent="0.25">
      <c r="A3496" s="28" t="s">
        <v>19018</v>
      </c>
      <c r="B3496" s="28" t="s">
        <v>19019</v>
      </c>
      <c r="C3496" s="28" t="s">
        <v>1684</v>
      </c>
      <c r="D3496" s="28" t="s">
        <v>7132</v>
      </c>
      <c r="E3496" s="28" t="s">
        <v>17376</v>
      </c>
      <c r="F3496" s="28" t="s">
        <v>21</v>
      </c>
      <c r="G3496" s="28" t="s">
        <v>39</v>
      </c>
      <c r="H3496" s="28" t="s">
        <v>16221</v>
      </c>
      <c r="I3496" s="28" t="s">
        <v>19020</v>
      </c>
      <c r="J3496" s="28" t="s">
        <v>39</v>
      </c>
      <c r="K3496" s="28" t="s">
        <v>16223</v>
      </c>
      <c r="L3496" s="28" t="s">
        <v>16224</v>
      </c>
      <c r="M3496" s="28" t="s">
        <v>19021</v>
      </c>
      <c r="N3496" s="28" t="s">
        <v>16226</v>
      </c>
      <c r="O3496" s="28" t="s">
        <v>16227</v>
      </c>
      <c r="P3496" s="28" t="s">
        <v>17379</v>
      </c>
    </row>
    <row r="3497" spans="1:16" x14ac:dyDescent="0.25">
      <c r="A3497" s="28" t="s">
        <v>19022</v>
      </c>
      <c r="B3497" s="28" t="s">
        <v>19023</v>
      </c>
      <c r="C3497" s="28" t="s">
        <v>1684</v>
      </c>
      <c r="D3497" s="28" t="s">
        <v>7132</v>
      </c>
      <c r="E3497" s="28" t="s">
        <v>17382</v>
      </c>
      <c r="F3497" s="28" t="s">
        <v>21</v>
      </c>
      <c r="G3497" s="28" t="s">
        <v>39</v>
      </c>
      <c r="H3497" s="28" t="s">
        <v>16221</v>
      </c>
      <c r="I3497" s="28" t="s">
        <v>19024</v>
      </c>
      <c r="J3497" s="28" t="s">
        <v>39</v>
      </c>
      <c r="K3497" s="28" t="s">
        <v>16223</v>
      </c>
      <c r="L3497" s="28" t="s">
        <v>16224</v>
      </c>
      <c r="M3497" s="28" t="s">
        <v>19025</v>
      </c>
      <c r="N3497" s="28" t="s">
        <v>16226</v>
      </c>
      <c r="O3497" s="28" t="s">
        <v>16227</v>
      </c>
      <c r="P3497" s="28" t="s">
        <v>17385</v>
      </c>
    </row>
    <row r="3498" spans="1:16" x14ac:dyDescent="0.25">
      <c r="A3498" s="28" t="s">
        <v>19026</v>
      </c>
      <c r="B3498" s="28" t="s">
        <v>19027</v>
      </c>
      <c r="C3498" s="28" t="s">
        <v>1684</v>
      </c>
      <c r="D3498" s="28" t="s">
        <v>7132</v>
      </c>
      <c r="E3498" s="28" t="s">
        <v>17382</v>
      </c>
      <c r="F3498" s="28" t="s">
        <v>21</v>
      </c>
      <c r="G3498" s="28" t="s">
        <v>39</v>
      </c>
      <c r="H3498" s="28" t="s">
        <v>16221</v>
      </c>
      <c r="I3498" s="28" t="s">
        <v>19028</v>
      </c>
      <c r="J3498" s="28" t="s">
        <v>39</v>
      </c>
      <c r="K3498" s="28" t="s">
        <v>16223</v>
      </c>
      <c r="L3498" s="28" t="s">
        <v>16224</v>
      </c>
      <c r="M3498" s="28" t="s">
        <v>19029</v>
      </c>
      <c r="N3498" s="28" t="s">
        <v>16226</v>
      </c>
      <c r="O3498" s="28" t="s">
        <v>16227</v>
      </c>
      <c r="P3498" s="28" t="s">
        <v>17385</v>
      </c>
    </row>
    <row r="3499" spans="1:16" x14ac:dyDescent="0.25">
      <c r="A3499" s="28" t="s">
        <v>19030</v>
      </c>
      <c r="B3499" s="28" t="s">
        <v>19031</v>
      </c>
      <c r="C3499" s="28" t="s">
        <v>1684</v>
      </c>
      <c r="D3499" s="28" t="s">
        <v>6454</v>
      </c>
      <c r="E3499" s="28" t="s">
        <v>19032</v>
      </c>
      <c r="F3499" s="28" t="s">
        <v>21</v>
      </c>
      <c r="G3499" s="28" t="s">
        <v>39</v>
      </c>
      <c r="H3499" s="28" t="s">
        <v>16221</v>
      </c>
      <c r="I3499" s="28" t="s">
        <v>19033</v>
      </c>
      <c r="J3499" s="28" t="s">
        <v>39</v>
      </c>
      <c r="K3499" s="28" t="s">
        <v>16223</v>
      </c>
      <c r="L3499" s="28" t="s">
        <v>16224</v>
      </c>
      <c r="M3499" s="28" t="s">
        <v>19034</v>
      </c>
      <c r="N3499" s="28" t="s">
        <v>16226</v>
      </c>
      <c r="O3499" s="28" t="s">
        <v>16227</v>
      </c>
      <c r="P3499" s="28" t="s">
        <v>19035</v>
      </c>
    </row>
    <row r="3500" spans="1:16" x14ac:dyDescent="0.25">
      <c r="A3500" s="28" t="s">
        <v>19036</v>
      </c>
      <c r="B3500" s="28" t="s">
        <v>19037</v>
      </c>
      <c r="C3500" s="28" t="s">
        <v>1684</v>
      </c>
      <c r="D3500" s="28" t="s">
        <v>7132</v>
      </c>
      <c r="E3500" s="28" t="s">
        <v>17388</v>
      </c>
      <c r="F3500" s="28" t="s">
        <v>21</v>
      </c>
      <c r="G3500" s="28" t="s">
        <v>39</v>
      </c>
      <c r="H3500" s="28" t="s">
        <v>16221</v>
      </c>
      <c r="I3500" s="28" t="s">
        <v>19038</v>
      </c>
      <c r="J3500" s="28" t="s">
        <v>39</v>
      </c>
      <c r="K3500" s="28" t="s">
        <v>16223</v>
      </c>
      <c r="L3500" s="28" t="s">
        <v>16224</v>
      </c>
      <c r="M3500" s="28" t="s">
        <v>19039</v>
      </c>
      <c r="N3500" s="28" t="s">
        <v>16226</v>
      </c>
      <c r="O3500" s="28" t="s">
        <v>16227</v>
      </c>
      <c r="P3500" s="28" t="s">
        <v>17391</v>
      </c>
    </row>
    <row r="3501" spans="1:16" x14ac:dyDescent="0.25">
      <c r="A3501" s="28" t="s">
        <v>19040</v>
      </c>
      <c r="B3501" s="28" t="s">
        <v>19041</v>
      </c>
      <c r="C3501" s="28" t="s">
        <v>1684</v>
      </c>
      <c r="D3501" s="28" t="s">
        <v>7132</v>
      </c>
      <c r="E3501" s="28" t="s">
        <v>17388</v>
      </c>
      <c r="F3501" s="28" t="s">
        <v>21</v>
      </c>
      <c r="G3501" s="28" t="s">
        <v>39</v>
      </c>
      <c r="H3501" s="28" t="s">
        <v>16221</v>
      </c>
      <c r="I3501" s="28" t="s">
        <v>19042</v>
      </c>
      <c r="J3501" s="28" t="s">
        <v>39</v>
      </c>
      <c r="K3501" s="28" t="s">
        <v>16223</v>
      </c>
      <c r="L3501" s="28" t="s">
        <v>16224</v>
      </c>
      <c r="M3501" s="28" t="s">
        <v>19043</v>
      </c>
      <c r="N3501" s="28" t="s">
        <v>16226</v>
      </c>
      <c r="O3501" s="28" t="s">
        <v>16227</v>
      </c>
      <c r="P3501" s="28" t="s">
        <v>17391</v>
      </c>
    </row>
    <row r="3502" spans="1:16" x14ac:dyDescent="0.25">
      <c r="A3502" s="28" t="s">
        <v>19044</v>
      </c>
      <c r="B3502" s="28" t="s">
        <v>19045</v>
      </c>
      <c r="C3502" s="28" t="s">
        <v>1684</v>
      </c>
      <c r="D3502" s="28" t="s">
        <v>7132</v>
      </c>
      <c r="E3502" s="28" t="s">
        <v>17388</v>
      </c>
      <c r="F3502" s="28" t="s">
        <v>21</v>
      </c>
      <c r="G3502" s="28" t="s">
        <v>39</v>
      </c>
      <c r="H3502" s="28" t="s">
        <v>16221</v>
      </c>
      <c r="I3502" s="28" t="s">
        <v>19046</v>
      </c>
      <c r="J3502" s="28" t="s">
        <v>39</v>
      </c>
      <c r="K3502" s="28" t="s">
        <v>16223</v>
      </c>
      <c r="L3502" s="28" t="s">
        <v>16224</v>
      </c>
      <c r="M3502" s="28" t="s">
        <v>19047</v>
      </c>
      <c r="N3502" s="28" t="s">
        <v>16226</v>
      </c>
      <c r="O3502" s="28" t="s">
        <v>16227</v>
      </c>
      <c r="P3502" s="28" t="s">
        <v>17391</v>
      </c>
    </row>
    <row r="3503" spans="1:16" x14ac:dyDescent="0.25">
      <c r="A3503" s="28" t="s">
        <v>19048</v>
      </c>
      <c r="B3503" s="28" t="s">
        <v>19049</v>
      </c>
      <c r="C3503" s="28" t="s">
        <v>1684</v>
      </c>
      <c r="D3503" s="28" t="s">
        <v>7132</v>
      </c>
      <c r="E3503" s="28" t="s">
        <v>17388</v>
      </c>
      <c r="F3503" s="28" t="s">
        <v>21</v>
      </c>
      <c r="G3503" s="28" t="s">
        <v>39</v>
      </c>
      <c r="H3503" s="28" t="s">
        <v>16221</v>
      </c>
      <c r="I3503" s="28" t="s">
        <v>19050</v>
      </c>
      <c r="J3503" s="28" t="s">
        <v>39</v>
      </c>
      <c r="K3503" s="28" t="s">
        <v>16223</v>
      </c>
      <c r="L3503" s="28" t="s">
        <v>16224</v>
      </c>
      <c r="M3503" s="28" t="s">
        <v>19051</v>
      </c>
      <c r="N3503" s="28" t="s">
        <v>16226</v>
      </c>
      <c r="O3503" s="28" t="s">
        <v>16227</v>
      </c>
      <c r="P3503" s="28" t="s">
        <v>17391</v>
      </c>
    </row>
    <row r="3504" spans="1:16" x14ac:dyDescent="0.25">
      <c r="A3504" s="28" t="s">
        <v>19052</v>
      </c>
      <c r="B3504" s="28" t="s">
        <v>19053</v>
      </c>
      <c r="C3504" s="28" t="s">
        <v>1684</v>
      </c>
      <c r="D3504" s="28" t="s">
        <v>7132</v>
      </c>
      <c r="E3504" s="28" t="s">
        <v>17388</v>
      </c>
      <c r="F3504" s="28" t="s">
        <v>21</v>
      </c>
      <c r="G3504" s="28" t="s">
        <v>39</v>
      </c>
      <c r="H3504" s="28" t="s">
        <v>16221</v>
      </c>
      <c r="I3504" s="28" t="s">
        <v>19054</v>
      </c>
      <c r="J3504" s="28" t="s">
        <v>39</v>
      </c>
      <c r="K3504" s="28" t="s">
        <v>16223</v>
      </c>
      <c r="L3504" s="28" t="s">
        <v>16224</v>
      </c>
      <c r="M3504" s="28" t="s">
        <v>19055</v>
      </c>
      <c r="N3504" s="28" t="s">
        <v>16226</v>
      </c>
      <c r="O3504" s="28" t="s">
        <v>16227</v>
      </c>
      <c r="P3504" s="28" t="s">
        <v>17391</v>
      </c>
    </row>
    <row r="3505" spans="1:16" x14ac:dyDescent="0.25">
      <c r="A3505" s="28" t="s">
        <v>19056</v>
      </c>
      <c r="B3505" s="28" t="s">
        <v>19057</v>
      </c>
      <c r="C3505" s="28" t="s">
        <v>1684</v>
      </c>
      <c r="D3505" s="28" t="s">
        <v>7132</v>
      </c>
      <c r="E3505" s="28" t="s">
        <v>17388</v>
      </c>
      <c r="F3505" s="28" t="s">
        <v>21</v>
      </c>
      <c r="G3505" s="28" t="s">
        <v>39</v>
      </c>
      <c r="H3505" s="28" t="s">
        <v>16221</v>
      </c>
      <c r="I3505" s="28" t="s">
        <v>19058</v>
      </c>
      <c r="J3505" s="28" t="s">
        <v>39</v>
      </c>
      <c r="K3505" s="28" t="s">
        <v>16223</v>
      </c>
      <c r="L3505" s="28" t="s">
        <v>16224</v>
      </c>
      <c r="M3505" s="28" t="s">
        <v>19059</v>
      </c>
      <c r="N3505" s="28" t="s">
        <v>16226</v>
      </c>
      <c r="O3505" s="28" t="s">
        <v>16227</v>
      </c>
      <c r="P3505" s="28" t="s">
        <v>17391</v>
      </c>
    </row>
    <row r="3506" spans="1:16" x14ac:dyDescent="0.25">
      <c r="A3506" s="28" t="s">
        <v>19060</v>
      </c>
      <c r="B3506" s="28" t="s">
        <v>19061</v>
      </c>
      <c r="C3506" s="28" t="s">
        <v>1684</v>
      </c>
      <c r="D3506" s="28" t="s">
        <v>7132</v>
      </c>
      <c r="E3506" s="28" t="s">
        <v>17388</v>
      </c>
      <c r="F3506" s="28" t="s">
        <v>21</v>
      </c>
      <c r="G3506" s="28" t="s">
        <v>39</v>
      </c>
      <c r="H3506" s="28" t="s">
        <v>16221</v>
      </c>
      <c r="I3506" s="28" t="s">
        <v>19062</v>
      </c>
      <c r="J3506" s="28" t="s">
        <v>39</v>
      </c>
      <c r="K3506" s="28" t="s">
        <v>16223</v>
      </c>
      <c r="L3506" s="28" t="s">
        <v>16224</v>
      </c>
      <c r="M3506" s="28" t="s">
        <v>19063</v>
      </c>
      <c r="N3506" s="28" t="s">
        <v>16226</v>
      </c>
      <c r="O3506" s="28" t="s">
        <v>16227</v>
      </c>
      <c r="P3506" s="28" t="s">
        <v>17391</v>
      </c>
    </row>
    <row r="3507" spans="1:16" x14ac:dyDescent="0.25">
      <c r="A3507" s="28" t="s">
        <v>19064</v>
      </c>
      <c r="B3507" s="28" t="s">
        <v>19065</v>
      </c>
      <c r="C3507" s="28" t="s">
        <v>1684</v>
      </c>
      <c r="D3507" s="28" t="s">
        <v>7132</v>
      </c>
      <c r="E3507" s="28" t="s">
        <v>17388</v>
      </c>
      <c r="F3507" s="28" t="s">
        <v>21</v>
      </c>
      <c r="G3507" s="28" t="s">
        <v>39</v>
      </c>
      <c r="H3507" s="28" t="s">
        <v>16221</v>
      </c>
      <c r="I3507" s="28" t="s">
        <v>19066</v>
      </c>
      <c r="J3507" s="28" t="s">
        <v>39</v>
      </c>
      <c r="K3507" s="28" t="s">
        <v>16223</v>
      </c>
      <c r="L3507" s="28" t="s">
        <v>16224</v>
      </c>
      <c r="M3507" s="28" t="s">
        <v>19067</v>
      </c>
      <c r="N3507" s="28" t="s">
        <v>16226</v>
      </c>
      <c r="O3507" s="28" t="s">
        <v>16227</v>
      </c>
      <c r="P3507" s="28" t="s">
        <v>17391</v>
      </c>
    </row>
    <row r="3508" spans="1:16" x14ac:dyDescent="0.25">
      <c r="A3508" s="28" t="s">
        <v>19068</v>
      </c>
      <c r="B3508" s="28" t="s">
        <v>19069</v>
      </c>
      <c r="C3508" s="28" t="s">
        <v>1684</v>
      </c>
      <c r="D3508" s="28" t="s">
        <v>7132</v>
      </c>
      <c r="E3508" s="28" t="s">
        <v>17388</v>
      </c>
      <c r="F3508" s="28" t="s">
        <v>21</v>
      </c>
      <c r="G3508" s="28" t="s">
        <v>39</v>
      </c>
      <c r="H3508" s="28" t="s">
        <v>16221</v>
      </c>
      <c r="I3508" s="28" t="s">
        <v>19070</v>
      </c>
      <c r="J3508" s="28" t="s">
        <v>39</v>
      </c>
      <c r="K3508" s="28" t="s">
        <v>16223</v>
      </c>
      <c r="L3508" s="28" t="s">
        <v>16224</v>
      </c>
      <c r="M3508" s="28" t="s">
        <v>19071</v>
      </c>
      <c r="N3508" s="28" t="s">
        <v>16226</v>
      </c>
      <c r="O3508" s="28" t="s">
        <v>16227</v>
      </c>
      <c r="P3508" s="28" t="s">
        <v>17391</v>
      </c>
    </row>
    <row r="3509" spans="1:16" x14ac:dyDescent="0.25">
      <c r="A3509" s="28" t="s">
        <v>19072</v>
      </c>
      <c r="B3509" s="28" t="s">
        <v>19073</v>
      </c>
      <c r="C3509" s="28" t="s">
        <v>1684</v>
      </c>
      <c r="D3509" s="28" t="s">
        <v>7132</v>
      </c>
      <c r="E3509" s="28" t="s">
        <v>17388</v>
      </c>
      <c r="F3509" s="28" t="s">
        <v>21</v>
      </c>
      <c r="G3509" s="28" t="s">
        <v>39</v>
      </c>
      <c r="H3509" s="28" t="s">
        <v>16221</v>
      </c>
      <c r="I3509" s="28" t="s">
        <v>19074</v>
      </c>
      <c r="J3509" s="28" t="s">
        <v>39</v>
      </c>
      <c r="K3509" s="28" t="s">
        <v>16223</v>
      </c>
      <c r="L3509" s="28" t="s">
        <v>16224</v>
      </c>
      <c r="M3509" s="28" t="s">
        <v>19075</v>
      </c>
      <c r="N3509" s="28" t="s">
        <v>16226</v>
      </c>
      <c r="O3509" s="28" t="s">
        <v>16227</v>
      </c>
      <c r="P3509" s="28" t="s">
        <v>17391</v>
      </c>
    </row>
    <row r="3510" spans="1:16" x14ac:dyDescent="0.25">
      <c r="A3510" s="28" t="s">
        <v>19076</v>
      </c>
      <c r="B3510" s="28" t="s">
        <v>19077</v>
      </c>
      <c r="C3510" s="28" t="s">
        <v>1684</v>
      </c>
      <c r="D3510" s="28" t="s">
        <v>7132</v>
      </c>
      <c r="E3510" s="28" t="s">
        <v>17388</v>
      </c>
      <c r="F3510" s="28" t="s">
        <v>21</v>
      </c>
      <c r="G3510" s="28" t="s">
        <v>39</v>
      </c>
      <c r="H3510" s="28" t="s">
        <v>16221</v>
      </c>
      <c r="I3510" s="28" t="s">
        <v>19078</v>
      </c>
      <c r="J3510" s="28" t="s">
        <v>39</v>
      </c>
      <c r="K3510" s="28" t="s">
        <v>16223</v>
      </c>
      <c r="L3510" s="28" t="s">
        <v>16224</v>
      </c>
      <c r="M3510" s="28" t="s">
        <v>19079</v>
      </c>
      <c r="N3510" s="28" t="s">
        <v>16226</v>
      </c>
      <c r="O3510" s="28" t="s">
        <v>16227</v>
      </c>
      <c r="P3510" s="28" t="s">
        <v>17391</v>
      </c>
    </row>
    <row r="3511" spans="1:16" x14ac:dyDescent="0.25">
      <c r="A3511" s="28" t="s">
        <v>19080</v>
      </c>
      <c r="B3511" s="28" t="s">
        <v>19081</v>
      </c>
      <c r="C3511" s="28" t="s">
        <v>1684</v>
      </c>
      <c r="D3511" s="28" t="s">
        <v>7132</v>
      </c>
      <c r="E3511" s="28" t="s">
        <v>17388</v>
      </c>
      <c r="F3511" s="28" t="s">
        <v>21</v>
      </c>
      <c r="G3511" s="28" t="s">
        <v>39</v>
      </c>
      <c r="H3511" s="28" t="s">
        <v>16221</v>
      </c>
      <c r="I3511" s="28" t="s">
        <v>19082</v>
      </c>
      <c r="J3511" s="28" t="s">
        <v>39</v>
      </c>
      <c r="K3511" s="28" t="s">
        <v>16223</v>
      </c>
      <c r="L3511" s="28" t="s">
        <v>16224</v>
      </c>
      <c r="M3511" s="28" t="s">
        <v>19083</v>
      </c>
      <c r="N3511" s="28" t="s">
        <v>16226</v>
      </c>
      <c r="O3511" s="28" t="s">
        <v>16227</v>
      </c>
      <c r="P3511" s="28" t="s">
        <v>17391</v>
      </c>
    </row>
    <row r="3512" spans="1:16" x14ac:dyDescent="0.25">
      <c r="A3512" s="28" t="s">
        <v>19084</v>
      </c>
      <c r="B3512" s="28" t="s">
        <v>19085</v>
      </c>
      <c r="C3512" s="28" t="s">
        <v>1684</v>
      </c>
      <c r="D3512" s="28" t="s">
        <v>7132</v>
      </c>
      <c r="E3512" s="28" t="s">
        <v>17388</v>
      </c>
      <c r="F3512" s="28" t="s">
        <v>21</v>
      </c>
      <c r="G3512" s="28" t="s">
        <v>39</v>
      </c>
      <c r="H3512" s="28" t="s">
        <v>16221</v>
      </c>
      <c r="I3512" s="28" t="s">
        <v>19086</v>
      </c>
      <c r="J3512" s="28" t="s">
        <v>39</v>
      </c>
      <c r="K3512" s="28" t="s">
        <v>16223</v>
      </c>
      <c r="L3512" s="28" t="s">
        <v>16224</v>
      </c>
      <c r="M3512" s="28" t="s">
        <v>19087</v>
      </c>
      <c r="N3512" s="28" t="s">
        <v>16226</v>
      </c>
      <c r="O3512" s="28" t="s">
        <v>16227</v>
      </c>
      <c r="P3512" s="28" t="s">
        <v>17391</v>
      </c>
    </row>
    <row r="3513" spans="1:16" x14ac:dyDescent="0.25">
      <c r="A3513" s="28" t="s">
        <v>19088</v>
      </c>
      <c r="B3513" s="28" t="s">
        <v>19089</v>
      </c>
      <c r="C3513" s="28" t="s">
        <v>1684</v>
      </c>
      <c r="D3513" s="28" t="s">
        <v>7132</v>
      </c>
      <c r="E3513" s="28" t="s">
        <v>17388</v>
      </c>
      <c r="F3513" s="28" t="s">
        <v>21</v>
      </c>
      <c r="G3513" s="28" t="s">
        <v>39</v>
      </c>
      <c r="H3513" s="28" t="s">
        <v>16221</v>
      </c>
      <c r="I3513" s="28" t="s">
        <v>19090</v>
      </c>
      <c r="J3513" s="28" t="s">
        <v>39</v>
      </c>
      <c r="K3513" s="28" t="s">
        <v>16223</v>
      </c>
      <c r="L3513" s="28" t="s">
        <v>16224</v>
      </c>
      <c r="M3513" s="28" t="s">
        <v>19091</v>
      </c>
      <c r="N3513" s="28" t="s">
        <v>16226</v>
      </c>
      <c r="O3513" s="28" t="s">
        <v>16227</v>
      </c>
      <c r="P3513" s="28" t="s">
        <v>17391</v>
      </c>
    </row>
    <row r="3514" spans="1:16" x14ac:dyDescent="0.25">
      <c r="A3514" s="28" t="s">
        <v>19092</v>
      </c>
      <c r="B3514" s="28" t="s">
        <v>19093</v>
      </c>
      <c r="C3514" s="28" t="s">
        <v>1684</v>
      </c>
      <c r="D3514" s="28" t="s">
        <v>7132</v>
      </c>
      <c r="E3514" s="28" t="s">
        <v>17388</v>
      </c>
      <c r="F3514" s="28" t="s">
        <v>21</v>
      </c>
      <c r="G3514" s="28" t="s">
        <v>39</v>
      </c>
      <c r="H3514" s="28" t="s">
        <v>16221</v>
      </c>
      <c r="I3514" s="28" t="s">
        <v>19094</v>
      </c>
      <c r="J3514" s="28" t="s">
        <v>39</v>
      </c>
      <c r="K3514" s="28" t="s">
        <v>16223</v>
      </c>
      <c r="L3514" s="28" t="s">
        <v>16224</v>
      </c>
      <c r="M3514" s="28" t="s">
        <v>19095</v>
      </c>
      <c r="N3514" s="28" t="s">
        <v>16226</v>
      </c>
      <c r="O3514" s="28" t="s">
        <v>16227</v>
      </c>
      <c r="P3514" s="28" t="s">
        <v>17391</v>
      </c>
    </row>
    <row r="3515" spans="1:16" x14ac:dyDescent="0.25">
      <c r="A3515" s="28" t="s">
        <v>19096</v>
      </c>
      <c r="B3515" s="28" t="s">
        <v>19097</v>
      </c>
      <c r="C3515" s="28" t="s">
        <v>1684</v>
      </c>
      <c r="D3515" s="28" t="s">
        <v>7132</v>
      </c>
      <c r="E3515" s="28" t="s">
        <v>17388</v>
      </c>
      <c r="F3515" s="28" t="s">
        <v>21</v>
      </c>
      <c r="G3515" s="28" t="s">
        <v>39</v>
      </c>
      <c r="H3515" s="28" t="s">
        <v>16221</v>
      </c>
      <c r="I3515" s="28" t="s">
        <v>19098</v>
      </c>
      <c r="J3515" s="28" t="s">
        <v>39</v>
      </c>
      <c r="K3515" s="28" t="s">
        <v>16223</v>
      </c>
      <c r="L3515" s="28" t="s">
        <v>16224</v>
      </c>
      <c r="M3515" s="28" t="s">
        <v>19099</v>
      </c>
      <c r="N3515" s="28" t="s">
        <v>16226</v>
      </c>
      <c r="O3515" s="28" t="s">
        <v>16227</v>
      </c>
      <c r="P3515" s="28" t="s">
        <v>17391</v>
      </c>
    </row>
    <row r="3516" spans="1:16" x14ac:dyDescent="0.25">
      <c r="A3516" s="28" t="s">
        <v>19100</v>
      </c>
      <c r="B3516" s="28" t="s">
        <v>19101</v>
      </c>
      <c r="C3516" s="28" t="s">
        <v>1684</v>
      </c>
      <c r="D3516" s="28" t="s">
        <v>7132</v>
      </c>
      <c r="E3516" s="28" t="s">
        <v>17388</v>
      </c>
      <c r="F3516" s="28" t="s">
        <v>21</v>
      </c>
      <c r="G3516" s="28" t="s">
        <v>39</v>
      </c>
      <c r="H3516" s="28" t="s">
        <v>16221</v>
      </c>
      <c r="I3516" s="28" t="s">
        <v>19102</v>
      </c>
      <c r="J3516" s="28" t="s">
        <v>39</v>
      </c>
      <c r="K3516" s="28" t="s">
        <v>16223</v>
      </c>
      <c r="L3516" s="28" t="s">
        <v>16224</v>
      </c>
      <c r="M3516" s="28" t="s">
        <v>19103</v>
      </c>
      <c r="N3516" s="28" t="s">
        <v>16226</v>
      </c>
      <c r="O3516" s="28" t="s">
        <v>16227</v>
      </c>
      <c r="P3516" s="28" t="s">
        <v>17391</v>
      </c>
    </row>
    <row r="3517" spans="1:16" x14ac:dyDescent="0.25">
      <c r="A3517" s="28" t="s">
        <v>19104</v>
      </c>
      <c r="B3517" s="28" t="s">
        <v>19105</v>
      </c>
      <c r="C3517" s="28" t="s">
        <v>1684</v>
      </c>
      <c r="D3517" s="28" t="s">
        <v>7132</v>
      </c>
      <c r="E3517" s="28" t="s">
        <v>17388</v>
      </c>
      <c r="F3517" s="28" t="s">
        <v>21</v>
      </c>
      <c r="G3517" s="28" t="s">
        <v>39</v>
      </c>
      <c r="H3517" s="28" t="s">
        <v>16221</v>
      </c>
      <c r="I3517" s="28" t="s">
        <v>19106</v>
      </c>
      <c r="J3517" s="28" t="s">
        <v>39</v>
      </c>
      <c r="K3517" s="28" t="s">
        <v>16223</v>
      </c>
      <c r="L3517" s="28" t="s">
        <v>16224</v>
      </c>
      <c r="M3517" s="28" t="s">
        <v>19107</v>
      </c>
      <c r="N3517" s="28" t="s">
        <v>16226</v>
      </c>
      <c r="O3517" s="28" t="s">
        <v>16227</v>
      </c>
      <c r="P3517" s="28" t="s">
        <v>17391</v>
      </c>
    </row>
    <row r="3518" spans="1:16" x14ac:dyDescent="0.25">
      <c r="A3518" s="28" t="s">
        <v>19108</v>
      </c>
      <c r="B3518" s="28" t="s">
        <v>19109</v>
      </c>
      <c r="C3518" s="28" t="s">
        <v>1684</v>
      </c>
      <c r="D3518" s="28" t="s">
        <v>7132</v>
      </c>
      <c r="E3518" s="28" t="s">
        <v>17388</v>
      </c>
      <c r="F3518" s="28" t="s">
        <v>21</v>
      </c>
      <c r="G3518" s="28" t="s">
        <v>39</v>
      </c>
      <c r="H3518" s="28" t="s">
        <v>16221</v>
      </c>
      <c r="I3518" s="28" t="s">
        <v>19110</v>
      </c>
      <c r="J3518" s="28" t="s">
        <v>39</v>
      </c>
      <c r="K3518" s="28" t="s">
        <v>16223</v>
      </c>
      <c r="L3518" s="28" t="s">
        <v>16224</v>
      </c>
      <c r="M3518" s="28" t="s">
        <v>19111</v>
      </c>
      <c r="N3518" s="28" t="s">
        <v>16226</v>
      </c>
      <c r="O3518" s="28" t="s">
        <v>16227</v>
      </c>
      <c r="P3518" s="28" t="s">
        <v>17391</v>
      </c>
    </row>
    <row r="3519" spans="1:16" x14ac:dyDescent="0.25">
      <c r="A3519" s="28" t="s">
        <v>19112</v>
      </c>
      <c r="B3519" s="28" t="s">
        <v>19113</v>
      </c>
      <c r="C3519" s="28" t="s">
        <v>1684</v>
      </c>
      <c r="D3519" s="28" t="s">
        <v>7132</v>
      </c>
      <c r="E3519" s="28" t="s">
        <v>17388</v>
      </c>
      <c r="F3519" s="28" t="s">
        <v>21</v>
      </c>
      <c r="G3519" s="28" t="s">
        <v>39</v>
      </c>
      <c r="H3519" s="28" t="s">
        <v>16221</v>
      </c>
      <c r="I3519" s="28" t="s">
        <v>19114</v>
      </c>
      <c r="J3519" s="28" t="s">
        <v>39</v>
      </c>
      <c r="K3519" s="28" t="s">
        <v>16223</v>
      </c>
      <c r="L3519" s="28" t="s">
        <v>16224</v>
      </c>
      <c r="M3519" s="28" t="s">
        <v>19115</v>
      </c>
      <c r="N3519" s="28" t="s">
        <v>16226</v>
      </c>
      <c r="O3519" s="28" t="s">
        <v>16227</v>
      </c>
      <c r="P3519" s="28" t="s">
        <v>17391</v>
      </c>
    </row>
    <row r="3520" spans="1:16" x14ac:dyDescent="0.25">
      <c r="A3520" s="28" t="s">
        <v>19116</v>
      </c>
      <c r="B3520" s="28" t="s">
        <v>19117</v>
      </c>
      <c r="C3520" s="28" t="s">
        <v>1684</v>
      </c>
      <c r="D3520" s="28" t="s">
        <v>7132</v>
      </c>
      <c r="E3520" s="28" t="s">
        <v>17388</v>
      </c>
      <c r="F3520" s="28" t="s">
        <v>21</v>
      </c>
      <c r="G3520" s="28" t="s">
        <v>39</v>
      </c>
      <c r="H3520" s="28" t="s">
        <v>16221</v>
      </c>
      <c r="I3520" s="28" t="s">
        <v>19118</v>
      </c>
      <c r="J3520" s="28" t="s">
        <v>39</v>
      </c>
      <c r="K3520" s="28" t="s">
        <v>16223</v>
      </c>
      <c r="L3520" s="28" t="s">
        <v>16224</v>
      </c>
      <c r="M3520" s="28" t="s">
        <v>19119</v>
      </c>
      <c r="N3520" s="28" t="s">
        <v>16226</v>
      </c>
      <c r="O3520" s="28" t="s">
        <v>16227</v>
      </c>
      <c r="P3520" s="28" t="s">
        <v>17391</v>
      </c>
    </row>
    <row r="3521" spans="1:16" x14ac:dyDescent="0.25">
      <c r="A3521" s="28" t="s">
        <v>19120</v>
      </c>
      <c r="B3521" s="28" t="s">
        <v>19121</v>
      </c>
      <c r="C3521" s="28" t="s">
        <v>1684</v>
      </c>
      <c r="D3521" s="28" t="s">
        <v>7132</v>
      </c>
      <c r="E3521" s="28" t="s">
        <v>17388</v>
      </c>
      <c r="F3521" s="28" t="s">
        <v>21</v>
      </c>
      <c r="G3521" s="28" t="s">
        <v>39</v>
      </c>
      <c r="H3521" s="28" t="s">
        <v>16221</v>
      </c>
      <c r="I3521" s="28" t="s">
        <v>19122</v>
      </c>
      <c r="J3521" s="28" t="s">
        <v>39</v>
      </c>
      <c r="K3521" s="28" t="s">
        <v>16223</v>
      </c>
      <c r="L3521" s="28" t="s">
        <v>16224</v>
      </c>
      <c r="M3521" s="28" t="s">
        <v>19123</v>
      </c>
      <c r="N3521" s="28" t="s">
        <v>16226</v>
      </c>
      <c r="O3521" s="28" t="s">
        <v>16227</v>
      </c>
      <c r="P3521" s="28" t="s">
        <v>17391</v>
      </c>
    </row>
    <row r="3522" spans="1:16" x14ac:dyDescent="0.25">
      <c r="A3522" s="28" t="s">
        <v>19124</v>
      </c>
      <c r="B3522" s="28" t="s">
        <v>19125</v>
      </c>
      <c r="C3522" s="28" t="s">
        <v>1684</v>
      </c>
      <c r="D3522" s="28" t="s">
        <v>7132</v>
      </c>
      <c r="E3522" s="28" t="s">
        <v>17388</v>
      </c>
      <c r="F3522" s="28" t="s">
        <v>21</v>
      </c>
      <c r="G3522" s="28" t="s">
        <v>39</v>
      </c>
      <c r="H3522" s="28" t="s">
        <v>16221</v>
      </c>
      <c r="I3522" s="28" t="s">
        <v>19126</v>
      </c>
      <c r="J3522" s="28" t="s">
        <v>39</v>
      </c>
      <c r="K3522" s="28" t="s">
        <v>16223</v>
      </c>
      <c r="L3522" s="28" t="s">
        <v>16224</v>
      </c>
      <c r="M3522" s="28" t="s">
        <v>19127</v>
      </c>
      <c r="N3522" s="28" t="s">
        <v>16226</v>
      </c>
      <c r="O3522" s="28" t="s">
        <v>16227</v>
      </c>
      <c r="P3522" s="28" t="s">
        <v>17391</v>
      </c>
    </row>
    <row r="3523" spans="1:16" x14ac:dyDescent="0.25">
      <c r="A3523" s="28" t="s">
        <v>19128</v>
      </c>
      <c r="B3523" s="28" t="s">
        <v>19129</v>
      </c>
      <c r="C3523" s="28" t="s">
        <v>1684</v>
      </c>
      <c r="D3523" s="28" t="s">
        <v>7132</v>
      </c>
      <c r="E3523" s="28" t="s">
        <v>17388</v>
      </c>
      <c r="F3523" s="28" t="s">
        <v>21</v>
      </c>
      <c r="G3523" s="28" t="s">
        <v>39</v>
      </c>
      <c r="H3523" s="28" t="s">
        <v>16221</v>
      </c>
      <c r="I3523" s="28" t="s">
        <v>19130</v>
      </c>
      <c r="J3523" s="28" t="s">
        <v>39</v>
      </c>
      <c r="K3523" s="28" t="s">
        <v>16223</v>
      </c>
      <c r="L3523" s="28" t="s">
        <v>16224</v>
      </c>
      <c r="M3523" s="28" t="s">
        <v>19131</v>
      </c>
      <c r="N3523" s="28" t="s">
        <v>16226</v>
      </c>
      <c r="O3523" s="28" t="s">
        <v>16227</v>
      </c>
      <c r="P3523" s="28" t="s">
        <v>17391</v>
      </c>
    </row>
    <row r="3524" spans="1:16" x14ac:dyDescent="0.25">
      <c r="A3524" s="28" t="s">
        <v>19132</v>
      </c>
      <c r="B3524" s="28" t="s">
        <v>19133</v>
      </c>
      <c r="C3524" s="28" t="s">
        <v>1684</v>
      </c>
      <c r="D3524" s="28" t="s">
        <v>7132</v>
      </c>
      <c r="E3524" s="28" t="s">
        <v>17388</v>
      </c>
      <c r="F3524" s="28" t="s">
        <v>21</v>
      </c>
      <c r="G3524" s="28" t="s">
        <v>39</v>
      </c>
      <c r="H3524" s="28" t="s">
        <v>16221</v>
      </c>
      <c r="I3524" s="28" t="s">
        <v>19134</v>
      </c>
      <c r="J3524" s="28" t="s">
        <v>39</v>
      </c>
      <c r="K3524" s="28" t="s">
        <v>16223</v>
      </c>
      <c r="L3524" s="28" t="s">
        <v>16224</v>
      </c>
      <c r="M3524" s="28" t="s">
        <v>19135</v>
      </c>
      <c r="N3524" s="28" t="s">
        <v>16226</v>
      </c>
      <c r="O3524" s="28" t="s">
        <v>16227</v>
      </c>
      <c r="P3524" s="28" t="s">
        <v>17391</v>
      </c>
    </row>
    <row r="3525" spans="1:16" x14ac:dyDescent="0.25">
      <c r="A3525" s="28" t="s">
        <v>19136</v>
      </c>
      <c r="B3525" s="28" t="s">
        <v>19137</v>
      </c>
      <c r="C3525" s="28" t="s">
        <v>1684</v>
      </c>
      <c r="D3525" s="28" t="s">
        <v>7132</v>
      </c>
      <c r="E3525" s="28" t="s">
        <v>17388</v>
      </c>
      <c r="F3525" s="28" t="s">
        <v>21</v>
      </c>
      <c r="G3525" s="28" t="s">
        <v>39</v>
      </c>
      <c r="H3525" s="28" t="s">
        <v>16221</v>
      </c>
      <c r="I3525" s="28" t="s">
        <v>19138</v>
      </c>
      <c r="J3525" s="28" t="s">
        <v>39</v>
      </c>
      <c r="K3525" s="28" t="s">
        <v>16223</v>
      </c>
      <c r="L3525" s="28" t="s">
        <v>16224</v>
      </c>
      <c r="M3525" s="28" t="s">
        <v>19139</v>
      </c>
      <c r="N3525" s="28" t="s">
        <v>16226</v>
      </c>
      <c r="O3525" s="28" t="s">
        <v>16227</v>
      </c>
      <c r="P3525" s="28" t="s">
        <v>17391</v>
      </c>
    </row>
    <row r="3526" spans="1:16" x14ac:dyDescent="0.25">
      <c r="A3526" s="28" t="s">
        <v>19140</v>
      </c>
      <c r="B3526" s="28" t="s">
        <v>19141</v>
      </c>
      <c r="C3526" s="28" t="s">
        <v>1684</v>
      </c>
      <c r="D3526" s="28" t="s">
        <v>7132</v>
      </c>
      <c r="E3526" s="28" t="s">
        <v>17388</v>
      </c>
      <c r="F3526" s="28" t="s">
        <v>21</v>
      </c>
      <c r="G3526" s="28" t="s">
        <v>39</v>
      </c>
      <c r="H3526" s="28" t="s">
        <v>16221</v>
      </c>
      <c r="I3526" s="28" t="s">
        <v>19142</v>
      </c>
      <c r="J3526" s="28" t="s">
        <v>39</v>
      </c>
      <c r="K3526" s="28" t="s">
        <v>16223</v>
      </c>
      <c r="L3526" s="28" t="s">
        <v>16224</v>
      </c>
      <c r="M3526" s="28" t="s">
        <v>19143</v>
      </c>
      <c r="N3526" s="28" t="s">
        <v>16226</v>
      </c>
      <c r="O3526" s="28" t="s">
        <v>16227</v>
      </c>
      <c r="P3526" s="28" t="s">
        <v>17391</v>
      </c>
    </row>
    <row r="3527" spans="1:16" x14ac:dyDescent="0.25">
      <c r="A3527" s="28" t="s">
        <v>19144</v>
      </c>
      <c r="B3527" s="28" t="s">
        <v>19145</v>
      </c>
      <c r="C3527" s="28" t="s">
        <v>1684</v>
      </c>
      <c r="D3527" s="28" t="s">
        <v>7132</v>
      </c>
      <c r="E3527" s="28" t="s">
        <v>17388</v>
      </c>
      <c r="F3527" s="28" t="s">
        <v>21</v>
      </c>
      <c r="G3527" s="28" t="s">
        <v>39</v>
      </c>
      <c r="H3527" s="28" t="s">
        <v>16221</v>
      </c>
      <c r="I3527" s="28" t="s">
        <v>19146</v>
      </c>
      <c r="J3527" s="28" t="s">
        <v>39</v>
      </c>
      <c r="K3527" s="28" t="s">
        <v>16223</v>
      </c>
      <c r="L3527" s="28" t="s">
        <v>16224</v>
      </c>
      <c r="M3527" s="28" t="s">
        <v>19147</v>
      </c>
      <c r="N3527" s="28" t="s">
        <v>16226</v>
      </c>
      <c r="O3527" s="28" t="s">
        <v>16227</v>
      </c>
      <c r="P3527" s="28" t="s">
        <v>17391</v>
      </c>
    </row>
    <row r="3528" spans="1:16" x14ac:dyDescent="0.25">
      <c r="A3528" s="28" t="s">
        <v>19148</v>
      </c>
      <c r="B3528" s="28" t="s">
        <v>19149</v>
      </c>
      <c r="C3528" s="28" t="s">
        <v>1684</v>
      </c>
      <c r="D3528" s="28" t="s">
        <v>7132</v>
      </c>
      <c r="E3528" s="28" t="s">
        <v>17388</v>
      </c>
      <c r="F3528" s="28" t="s">
        <v>21</v>
      </c>
      <c r="G3528" s="28" t="s">
        <v>39</v>
      </c>
      <c r="H3528" s="28" t="s">
        <v>16221</v>
      </c>
      <c r="I3528" s="28" t="s">
        <v>19150</v>
      </c>
      <c r="J3528" s="28" t="s">
        <v>39</v>
      </c>
      <c r="K3528" s="28" t="s">
        <v>16223</v>
      </c>
      <c r="L3528" s="28" t="s">
        <v>16224</v>
      </c>
      <c r="M3528" s="28" t="s">
        <v>19151</v>
      </c>
      <c r="N3528" s="28" t="s">
        <v>16226</v>
      </c>
      <c r="O3528" s="28" t="s">
        <v>16227</v>
      </c>
      <c r="P3528" s="28" t="s">
        <v>17391</v>
      </c>
    </row>
    <row r="3529" spans="1:16" x14ac:dyDescent="0.25">
      <c r="A3529" s="28" t="s">
        <v>19152</v>
      </c>
      <c r="B3529" s="28" t="s">
        <v>19153</v>
      </c>
      <c r="C3529" s="28" t="s">
        <v>1684</v>
      </c>
      <c r="D3529" s="28" t="s">
        <v>7132</v>
      </c>
      <c r="E3529" s="28" t="s">
        <v>17388</v>
      </c>
      <c r="F3529" s="28" t="s">
        <v>21</v>
      </c>
      <c r="G3529" s="28" t="s">
        <v>39</v>
      </c>
      <c r="H3529" s="28" t="s">
        <v>16221</v>
      </c>
      <c r="I3529" s="28" t="s">
        <v>19154</v>
      </c>
      <c r="J3529" s="28" t="s">
        <v>39</v>
      </c>
      <c r="K3529" s="28" t="s">
        <v>16223</v>
      </c>
      <c r="L3529" s="28" t="s">
        <v>16224</v>
      </c>
      <c r="M3529" s="28" t="s">
        <v>19155</v>
      </c>
      <c r="N3529" s="28" t="s">
        <v>16226</v>
      </c>
      <c r="O3529" s="28" t="s">
        <v>16227</v>
      </c>
      <c r="P3529" s="28" t="s">
        <v>17391</v>
      </c>
    </row>
    <row r="3530" spans="1:16" x14ac:dyDescent="0.25">
      <c r="A3530" s="28" t="s">
        <v>19156</v>
      </c>
      <c r="B3530" s="28" t="s">
        <v>19157</v>
      </c>
      <c r="C3530" s="28" t="s">
        <v>1684</v>
      </c>
      <c r="D3530" s="28" t="s">
        <v>7132</v>
      </c>
      <c r="E3530" s="28" t="s">
        <v>17388</v>
      </c>
      <c r="F3530" s="28" t="s">
        <v>21</v>
      </c>
      <c r="G3530" s="28" t="s">
        <v>39</v>
      </c>
      <c r="H3530" s="28" t="s">
        <v>16221</v>
      </c>
      <c r="I3530" s="28" t="s">
        <v>19158</v>
      </c>
      <c r="J3530" s="28" t="s">
        <v>39</v>
      </c>
      <c r="K3530" s="28" t="s">
        <v>16223</v>
      </c>
      <c r="L3530" s="28" t="s">
        <v>16224</v>
      </c>
      <c r="M3530" s="28" t="s">
        <v>19159</v>
      </c>
      <c r="N3530" s="28" t="s">
        <v>16226</v>
      </c>
      <c r="O3530" s="28" t="s">
        <v>16227</v>
      </c>
      <c r="P3530" s="28" t="s">
        <v>17391</v>
      </c>
    </row>
    <row r="3531" spans="1:16" x14ac:dyDescent="0.25">
      <c r="A3531" s="28" t="s">
        <v>19160</v>
      </c>
      <c r="B3531" s="28" t="s">
        <v>19161</v>
      </c>
      <c r="C3531" s="28" t="s">
        <v>1684</v>
      </c>
      <c r="D3531" s="28" t="s">
        <v>6454</v>
      </c>
      <c r="E3531" s="28" t="s">
        <v>17394</v>
      </c>
      <c r="F3531" s="28" t="s">
        <v>21</v>
      </c>
      <c r="G3531" s="28" t="s">
        <v>39</v>
      </c>
      <c r="H3531" s="28" t="s">
        <v>16221</v>
      </c>
      <c r="I3531" s="28" t="s">
        <v>19162</v>
      </c>
      <c r="J3531" s="28" t="s">
        <v>39</v>
      </c>
      <c r="K3531" s="28" t="s">
        <v>16223</v>
      </c>
      <c r="L3531" s="28" t="s">
        <v>16224</v>
      </c>
      <c r="M3531" s="28" t="s">
        <v>19163</v>
      </c>
      <c r="N3531" s="28" t="s">
        <v>16226</v>
      </c>
      <c r="O3531" s="28" t="s">
        <v>16227</v>
      </c>
      <c r="P3531" s="28" t="s">
        <v>17397</v>
      </c>
    </row>
    <row r="3532" spans="1:16" x14ac:dyDescent="0.25">
      <c r="A3532" s="28" t="s">
        <v>19164</v>
      </c>
      <c r="B3532" s="28" t="s">
        <v>19165</v>
      </c>
      <c r="C3532" s="28" t="s">
        <v>1684</v>
      </c>
      <c r="D3532" s="28" t="s">
        <v>6454</v>
      </c>
      <c r="E3532" s="28" t="s">
        <v>17394</v>
      </c>
      <c r="F3532" s="28" t="s">
        <v>21</v>
      </c>
      <c r="G3532" s="28" t="s">
        <v>39</v>
      </c>
      <c r="H3532" s="28" t="s">
        <v>16221</v>
      </c>
      <c r="I3532" s="28" t="s">
        <v>19166</v>
      </c>
      <c r="J3532" s="28" t="s">
        <v>39</v>
      </c>
      <c r="K3532" s="28" t="s">
        <v>16223</v>
      </c>
      <c r="L3532" s="28" t="s">
        <v>16224</v>
      </c>
      <c r="M3532" s="28" t="s">
        <v>19167</v>
      </c>
      <c r="N3532" s="28" t="s">
        <v>16226</v>
      </c>
      <c r="O3532" s="28" t="s">
        <v>16227</v>
      </c>
      <c r="P3532" s="28" t="s">
        <v>17397</v>
      </c>
    </row>
    <row r="3533" spans="1:16" x14ac:dyDescent="0.25">
      <c r="A3533" s="28" t="s">
        <v>19168</v>
      </c>
      <c r="B3533" s="28" t="s">
        <v>19169</v>
      </c>
      <c r="C3533" s="28" t="s">
        <v>1684</v>
      </c>
      <c r="D3533" s="28" t="s">
        <v>6454</v>
      </c>
      <c r="E3533" s="28" t="s">
        <v>17394</v>
      </c>
      <c r="F3533" s="28" t="s">
        <v>21</v>
      </c>
      <c r="G3533" s="28" t="s">
        <v>39</v>
      </c>
      <c r="H3533" s="28" t="s">
        <v>16221</v>
      </c>
      <c r="I3533" s="28" t="s">
        <v>19170</v>
      </c>
      <c r="J3533" s="28" t="s">
        <v>39</v>
      </c>
      <c r="K3533" s="28" t="s">
        <v>16223</v>
      </c>
      <c r="L3533" s="28" t="s">
        <v>16224</v>
      </c>
      <c r="M3533" s="28" t="s">
        <v>19171</v>
      </c>
      <c r="N3533" s="28" t="s">
        <v>16226</v>
      </c>
      <c r="O3533" s="28" t="s">
        <v>16227</v>
      </c>
      <c r="P3533" s="28" t="s">
        <v>17397</v>
      </c>
    </row>
    <row r="3534" spans="1:16" x14ac:dyDescent="0.25">
      <c r="A3534" s="28" t="s">
        <v>19172</v>
      </c>
      <c r="B3534" s="28" t="s">
        <v>19173</v>
      </c>
      <c r="C3534" s="28" t="s">
        <v>1684</v>
      </c>
      <c r="D3534" s="28" t="s">
        <v>6454</v>
      </c>
      <c r="E3534" s="28" t="s">
        <v>17400</v>
      </c>
      <c r="F3534" s="28" t="s">
        <v>21</v>
      </c>
      <c r="G3534" s="28" t="s">
        <v>39</v>
      </c>
      <c r="H3534" s="28" t="s">
        <v>16221</v>
      </c>
      <c r="I3534" s="28" t="s">
        <v>19174</v>
      </c>
      <c r="J3534" s="28" t="s">
        <v>39</v>
      </c>
      <c r="K3534" s="28" t="s">
        <v>16223</v>
      </c>
      <c r="L3534" s="28" t="s">
        <v>16224</v>
      </c>
      <c r="M3534" s="28" t="s">
        <v>19175</v>
      </c>
      <c r="N3534" s="28" t="s">
        <v>16226</v>
      </c>
      <c r="O3534" s="28" t="s">
        <v>16227</v>
      </c>
      <c r="P3534" s="28" t="s">
        <v>17403</v>
      </c>
    </row>
    <row r="3535" spans="1:16" x14ac:dyDescent="0.25">
      <c r="A3535" s="28" t="s">
        <v>19176</v>
      </c>
      <c r="B3535" s="28" t="s">
        <v>19177</v>
      </c>
      <c r="C3535" s="28" t="s">
        <v>1684</v>
      </c>
      <c r="D3535" s="28" t="s">
        <v>6454</v>
      </c>
      <c r="E3535" s="28" t="s">
        <v>17400</v>
      </c>
      <c r="F3535" s="28" t="s">
        <v>21</v>
      </c>
      <c r="G3535" s="28" t="s">
        <v>39</v>
      </c>
      <c r="H3535" s="28" t="s">
        <v>16221</v>
      </c>
      <c r="I3535" s="28" t="s">
        <v>19178</v>
      </c>
      <c r="J3535" s="28" t="s">
        <v>39</v>
      </c>
      <c r="K3535" s="28" t="s">
        <v>16223</v>
      </c>
      <c r="L3535" s="28" t="s">
        <v>16224</v>
      </c>
      <c r="M3535" s="28" t="s">
        <v>19179</v>
      </c>
      <c r="N3535" s="28" t="s">
        <v>16226</v>
      </c>
      <c r="O3535" s="28" t="s">
        <v>16227</v>
      </c>
      <c r="P3535" s="28" t="s">
        <v>17403</v>
      </c>
    </row>
    <row r="3536" spans="1:16" x14ac:dyDescent="0.25">
      <c r="A3536" s="28" t="s">
        <v>19180</v>
      </c>
      <c r="B3536" s="28" t="s">
        <v>19181</v>
      </c>
      <c r="C3536" s="28" t="s">
        <v>1684</v>
      </c>
      <c r="D3536" s="28" t="s">
        <v>6454</v>
      </c>
      <c r="E3536" s="28" t="s">
        <v>17400</v>
      </c>
      <c r="F3536" s="28" t="s">
        <v>21</v>
      </c>
      <c r="G3536" s="28" t="s">
        <v>39</v>
      </c>
      <c r="H3536" s="28" t="s">
        <v>16221</v>
      </c>
      <c r="I3536" s="28" t="s">
        <v>19182</v>
      </c>
      <c r="J3536" s="28" t="s">
        <v>39</v>
      </c>
      <c r="K3536" s="28" t="s">
        <v>16223</v>
      </c>
      <c r="L3536" s="28" t="s">
        <v>16224</v>
      </c>
      <c r="M3536" s="28" t="s">
        <v>19183</v>
      </c>
      <c r="N3536" s="28" t="s">
        <v>16226</v>
      </c>
      <c r="O3536" s="28" t="s">
        <v>16227</v>
      </c>
      <c r="P3536" s="28" t="s">
        <v>17403</v>
      </c>
    </row>
    <row r="3537" spans="1:16" x14ac:dyDescent="0.25">
      <c r="A3537" s="28" t="s">
        <v>19184</v>
      </c>
      <c r="B3537" s="28" t="s">
        <v>19185</v>
      </c>
      <c r="C3537" s="28" t="s">
        <v>1684</v>
      </c>
      <c r="D3537" s="28" t="s">
        <v>6454</v>
      </c>
      <c r="E3537" s="28" t="s">
        <v>17406</v>
      </c>
      <c r="F3537" s="28" t="s">
        <v>21</v>
      </c>
      <c r="G3537" s="28" t="s">
        <v>39</v>
      </c>
      <c r="H3537" s="28" t="s">
        <v>16221</v>
      </c>
      <c r="I3537" s="28" t="s">
        <v>19186</v>
      </c>
      <c r="J3537" s="28" t="s">
        <v>39</v>
      </c>
      <c r="K3537" s="28" t="s">
        <v>16223</v>
      </c>
      <c r="L3537" s="28" t="s">
        <v>16224</v>
      </c>
      <c r="M3537" s="28" t="s">
        <v>19187</v>
      </c>
      <c r="N3537" s="28" t="s">
        <v>16226</v>
      </c>
      <c r="O3537" s="28" t="s">
        <v>16227</v>
      </c>
      <c r="P3537" s="28" t="s">
        <v>17409</v>
      </c>
    </row>
    <row r="3538" spans="1:16" x14ac:dyDescent="0.25">
      <c r="A3538" s="28" t="s">
        <v>19188</v>
      </c>
      <c r="B3538" s="28" t="s">
        <v>19189</v>
      </c>
      <c r="C3538" s="28" t="s">
        <v>1684</v>
      </c>
      <c r="D3538" s="28" t="s">
        <v>6454</v>
      </c>
      <c r="E3538" s="28" t="s">
        <v>17406</v>
      </c>
      <c r="F3538" s="28" t="s">
        <v>21</v>
      </c>
      <c r="G3538" s="28" t="s">
        <v>39</v>
      </c>
      <c r="H3538" s="28" t="s">
        <v>16221</v>
      </c>
      <c r="I3538" s="28" t="s">
        <v>19190</v>
      </c>
      <c r="J3538" s="28" t="s">
        <v>39</v>
      </c>
      <c r="K3538" s="28" t="s">
        <v>16223</v>
      </c>
      <c r="L3538" s="28" t="s">
        <v>16224</v>
      </c>
      <c r="M3538" s="28" t="s">
        <v>19191</v>
      </c>
      <c r="N3538" s="28" t="s">
        <v>16226</v>
      </c>
      <c r="O3538" s="28" t="s">
        <v>16227</v>
      </c>
      <c r="P3538" s="28" t="s">
        <v>17409</v>
      </c>
    </row>
    <row r="3539" spans="1:16" x14ac:dyDescent="0.25">
      <c r="A3539" s="28" t="s">
        <v>19192</v>
      </c>
      <c r="B3539" s="28" t="s">
        <v>19193</v>
      </c>
      <c r="C3539" s="28" t="s">
        <v>1684</v>
      </c>
      <c r="D3539" s="28" t="s">
        <v>6454</v>
      </c>
      <c r="E3539" s="28" t="s">
        <v>17406</v>
      </c>
      <c r="F3539" s="28" t="s">
        <v>21</v>
      </c>
      <c r="G3539" s="28" t="s">
        <v>39</v>
      </c>
      <c r="H3539" s="28" t="s">
        <v>16221</v>
      </c>
      <c r="I3539" s="28" t="s">
        <v>19194</v>
      </c>
      <c r="J3539" s="28" t="s">
        <v>39</v>
      </c>
      <c r="K3539" s="28" t="s">
        <v>16223</v>
      </c>
      <c r="L3539" s="28" t="s">
        <v>16224</v>
      </c>
      <c r="M3539" s="28" t="s">
        <v>19195</v>
      </c>
      <c r="N3539" s="28" t="s">
        <v>16226</v>
      </c>
      <c r="O3539" s="28" t="s">
        <v>16227</v>
      </c>
      <c r="P3539" s="28" t="s">
        <v>17409</v>
      </c>
    </row>
    <row r="3540" spans="1:16" x14ac:dyDescent="0.25">
      <c r="A3540" s="28" t="s">
        <v>19196</v>
      </c>
      <c r="B3540" s="28" t="s">
        <v>19197</v>
      </c>
      <c r="C3540" s="28" t="s">
        <v>1684</v>
      </c>
      <c r="D3540" s="28" t="s">
        <v>6454</v>
      </c>
      <c r="E3540" s="28" t="s">
        <v>17412</v>
      </c>
      <c r="F3540" s="28" t="s">
        <v>21</v>
      </c>
      <c r="G3540" s="28" t="s">
        <v>39</v>
      </c>
      <c r="H3540" s="28" t="s">
        <v>16221</v>
      </c>
      <c r="I3540" s="28" t="s">
        <v>19198</v>
      </c>
      <c r="J3540" s="28" t="s">
        <v>39</v>
      </c>
      <c r="K3540" s="28" t="s">
        <v>16223</v>
      </c>
      <c r="L3540" s="28" t="s">
        <v>16224</v>
      </c>
      <c r="M3540" s="28" t="s">
        <v>19199</v>
      </c>
      <c r="N3540" s="28" t="s">
        <v>16226</v>
      </c>
      <c r="O3540" s="28" t="s">
        <v>16227</v>
      </c>
      <c r="P3540" s="28" t="s">
        <v>17415</v>
      </c>
    </row>
    <row r="3541" spans="1:16" x14ac:dyDescent="0.25">
      <c r="A3541" s="28" t="s">
        <v>19200</v>
      </c>
      <c r="B3541" s="28" t="s">
        <v>19201</v>
      </c>
      <c r="C3541" s="28" t="s">
        <v>1684</v>
      </c>
      <c r="D3541" s="28" t="s">
        <v>6454</v>
      </c>
      <c r="E3541" s="28" t="s">
        <v>17412</v>
      </c>
      <c r="F3541" s="28" t="s">
        <v>21</v>
      </c>
      <c r="G3541" s="28" t="s">
        <v>39</v>
      </c>
      <c r="H3541" s="28" t="s">
        <v>16221</v>
      </c>
      <c r="I3541" s="28" t="s">
        <v>19202</v>
      </c>
      <c r="J3541" s="28" t="s">
        <v>39</v>
      </c>
      <c r="K3541" s="28" t="s">
        <v>16223</v>
      </c>
      <c r="L3541" s="28" t="s">
        <v>16224</v>
      </c>
      <c r="M3541" s="28" t="s">
        <v>19203</v>
      </c>
      <c r="N3541" s="28" t="s">
        <v>16226</v>
      </c>
      <c r="O3541" s="28" t="s">
        <v>16227</v>
      </c>
      <c r="P3541" s="28" t="s">
        <v>17415</v>
      </c>
    </row>
    <row r="3542" spans="1:16" x14ac:dyDescent="0.25">
      <c r="A3542" s="28" t="s">
        <v>19204</v>
      </c>
      <c r="B3542" s="28" t="s">
        <v>19205</v>
      </c>
      <c r="C3542" s="28" t="s">
        <v>1684</v>
      </c>
      <c r="D3542" s="28" t="s">
        <v>6454</v>
      </c>
      <c r="E3542" s="28" t="s">
        <v>17412</v>
      </c>
      <c r="F3542" s="28" t="s">
        <v>21</v>
      </c>
      <c r="G3542" s="28" t="s">
        <v>39</v>
      </c>
      <c r="H3542" s="28" t="s">
        <v>16221</v>
      </c>
      <c r="I3542" s="28" t="s">
        <v>19206</v>
      </c>
      <c r="J3542" s="28" t="s">
        <v>39</v>
      </c>
      <c r="K3542" s="28" t="s">
        <v>16223</v>
      </c>
      <c r="L3542" s="28" t="s">
        <v>16224</v>
      </c>
      <c r="M3542" s="28" t="s">
        <v>19207</v>
      </c>
      <c r="N3542" s="28" t="s">
        <v>16226</v>
      </c>
      <c r="O3542" s="28" t="s">
        <v>16227</v>
      </c>
      <c r="P3542" s="28" t="s">
        <v>17415</v>
      </c>
    </row>
    <row r="3543" spans="1:16" x14ac:dyDescent="0.25">
      <c r="A3543" s="28" t="s">
        <v>19208</v>
      </c>
      <c r="B3543" s="28" t="s">
        <v>19209</v>
      </c>
      <c r="C3543" s="28" t="s">
        <v>1684</v>
      </c>
      <c r="D3543" s="28" t="s">
        <v>6454</v>
      </c>
      <c r="E3543" s="28" t="s">
        <v>17418</v>
      </c>
      <c r="F3543" s="28" t="s">
        <v>21</v>
      </c>
      <c r="G3543" s="28" t="s">
        <v>39</v>
      </c>
      <c r="H3543" s="28" t="s">
        <v>16221</v>
      </c>
      <c r="I3543" s="28" t="s">
        <v>19210</v>
      </c>
      <c r="J3543" s="28" t="s">
        <v>39</v>
      </c>
      <c r="K3543" s="28" t="s">
        <v>16223</v>
      </c>
      <c r="L3543" s="28" t="s">
        <v>16224</v>
      </c>
      <c r="M3543" s="28" t="s">
        <v>19211</v>
      </c>
      <c r="N3543" s="28" t="s">
        <v>16226</v>
      </c>
      <c r="O3543" s="28" t="s">
        <v>16227</v>
      </c>
      <c r="P3543" s="28" t="s">
        <v>17421</v>
      </c>
    </row>
    <row r="3544" spans="1:16" x14ac:dyDescent="0.25">
      <c r="A3544" s="28" t="s">
        <v>19212</v>
      </c>
      <c r="B3544" s="28" t="s">
        <v>19213</v>
      </c>
      <c r="C3544" s="28" t="s">
        <v>1684</v>
      </c>
      <c r="D3544" s="28" t="s">
        <v>6454</v>
      </c>
      <c r="E3544" s="28" t="s">
        <v>17418</v>
      </c>
      <c r="F3544" s="28" t="s">
        <v>21</v>
      </c>
      <c r="G3544" s="28" t="s">
        <v>39</v>
      </c>
      <c r="H3544" s="28" t="s">
        <v>16221</v>
      </c>
      <c r="I3544" s="28" t="s">
        <v>19214</v>
      </c>
      <c r="J3544" s="28" t="s">
        <v>39</v>
      </c>
      <c r="K3544" s="28" t="s">
        <v>16223</v>
      </c>
      <c r="L3544" s="28" t="s">
        <v>16224</v>
      </c>
      <c r="M3544" s="28" t="s">
        <v>19215</v>
      </c>
      <c r="N3544" s="28" t="s">
        <v>16226</v>
      </c>
      <c r="O3544" s="28" t="s">
        <v>16227</v>
      </c>
      <c r="P3544" s="28" t="s">
        <v>17421</v>
      </c>
    </row>
    <row r="3545" spans="1:16" x14ac:dyDescent="0.25">
      <c r="A3545" s="28" t="s">
        <v>19216</v>
      </c>
      <c r="B3545" s="28" t="s">
        <v>19217</v>
      </c>
      <c r="C3545" s="28" t="s">
        <v>1684</v>
      </c>
      <c r="D3545" s="28" t="s">
        <v>6454</v>
      </c>
      <c r="E3545" s="28" t="s">
        <v>17418</v>
      </c>
      <c r="F3545" s="28" t="s">
        <v>21</v>
      </c>
      <c r="G3545" s="28" t="s">
        <v>39</v>
      </c>
      <c r="H3545" s="28" t="s">
        <v>16221</v>
      </c>
      <c r="I3545" s="28" t="s">
        <v>19218</v>
      </c>
      <c r="J3545" s="28" t="s">
        <v>39</v>
      </c>
      <c r="K3545" s="28" t="s">
        <v>16223</v>
      </c>
      <c r="L3545" s="28" t="s">
        <v>16224</v>
      </c>
      <c r="M3545" s="28" t="s">
        <v>19219</v>
      </c>
      <c r="N3545" s="28" t="s">
        <v>16226</v>
      </c>
      <c r="O3545" s="28" t="s">
        <v>16227</v>
      </c>
      <c r="P3545" s="28" t="s">
        <v>17421</v>
      </c>
    </row>
    <row r="3546" spans="1:16" x14ac:dyDescent="0.25">
      <c r="A3546" s="28" t="s">
        <v>19220</v>
      </c>
      <c r="B3546" s="28" t="s">
        <v>19221</v>
      </c>
      <c r="C3546" s="28" t="s">
        <v>1684</v>
      </c>
      <c r="D3546" s="28" t="s">
        <v>6454</v>
      </c>
      <c r="E3546" s="28" t="s">
        <v>17424</v>
      </c>
      <c r="F3546" s="28" t="s">
        <v>21</v>
      </c>
      <c r="G3546" s="28" t="s">
        <v>39</v>
      </c>
      <c r="H3546" s="28" t="s">
        <v>16221</v>
      </c>
      <c r="I3546" s="28" t="s">
        <v>19222</v>
      </c>
      <c r="J3546" s="28" t="s">
        <v>39</v>
      </c>
      <c r="K3546" s="28" t="s">
        <v>16223</v>
      </c>
      <c r="L3546" s="28" t="s">
        <v>16224</v>
      </c>
      <c r="M3546" s="28" t="s">
        <v>19223</v>
      </c>
      <c r="N3546" s="28" t="s">
        <v>16226</v>
      </c>
      <c r="O3546" s="28" t="s">
        <v>16227</v>
      </c>
      <c r="P3546" s="28" t="s">
        <v>17427</v>
      </c>
    </row>
    <row r="3547" spans="1:16" x14ac:dyDescent="0.25">
      <c r="A3547" s="28" t="s">
        <v>19224</v>
      </c>
      <c r="B3547" s="28" t="s">
        <v>19225</v>
      </c>
      <c r="C3547" s="28" t="s">
        <v>1684</v>
      </c>
      <c r="D3547" s="28" t="s">
        <v>6454</v>
      </c>
      <c r="E3547" s="28" t="s">
        <v>17424</v>
      </c>
      <c r="F3547" s="28" t="s">
        <v>21</v>
      </c>
      <c r="G3547" s="28" t="s">
        <v>39</v>
      </c>
      <c r="H3547" s="28" t="s">
        <v>16221</v>
      </c>
      <c r="I3547" s="28" t="s">
        <v>19226</v>
      </c>
      <c r="J3547" s="28" t="s">
        <v>39</v>
      </c>
      <c r="K3547" s="28" t="s">
        <v>16223</v>
      </c>
      <c r="L3547" s="28" t="s">
        <v>16224</v>
      </c>
      <c r="M3547" s="28" t="s">
        <v>19227</v>
      </c>
      <c r="N3547" s="28" t="s">
        <v>16226</v>
      </c>
      <c r="O3547" s="28" t="s">
        <v>16227</v>
      </c>
      <c r="P3547" s="28" t="s">
        <v>17427</v>
      </c>
    </row>
    <row r="3548" spans="1:16" x14ac:dyDescent="0.25">
      <c r="A3548" s="28" t="s">
        <v>19228</v>
      </c>
      <c r="B3548" s="28" t="s">
        <v>19229</v>
      </c>
      <c r="C3548" s="28" t="s">
        <v>1684</v>
      </c>
      <c r="D3548" s="28" t="s">
        <v>6454</v>
      </c>
      <c r="E3548" s="28" t="s">
        <v>17424</v>
      </c>
      <c r="F3548" s="28" t="s">
        <v>21</v>
      </c>
      <c r="G3548" s="28" t="s">
        <v>39</v>
      </c>
      <c r="H3548" s="28" t="s">
        <v>16221</v>
      </c>
      <c r="I3548" s="28" t="s">
        <v>19230</v>
      </c>
      <c r="J3548" s="28" t="s">
        <v>39</v>
      </c>
      <c r="K3548" s="28" t="s">
        <v>16223</v>
      </c>
      <c r="L3548" s="28" t="s">
        <v>16224</v>
      </c>
      <c r="M3548" s="28" t="s">
        <v>19231</v>
      </c>
      <c r="N3548" s="28" t="s">
        <v>16226</v>
      </c>
      <c r="O3548" s="28" t="s">
        <v>16227</v>
      </c>
      <c r="P3548" s="28" t="s">
        <v>17427</v>
      </c>
    </row>
    <row r="3549" spans="1:16" x14ac:dyDescent="0.25">
      <c r="A3549" s="28" t="s">
        <v>19232</v>
      </c>
      <c r="B3549" s="28" t="s">
        <v>19233</v>
      </c>
      <c r="C3549" s="28" t="s">
        <v>1684</v>
      </c>
      <c r="D3549" s="28" t="s">
        <v>6454</v>
      </c>
      <c r="E3549" s="28" t="s">
        <v>17430</v>
      </c>
      <c r="F3549" s="28" t="s">
        <v>21</v>
      </c>
      <c r="G3549" s="28" t="s">
        <v>39</v>
      </c>
      <c r="H3549" s="28" t="s">
        <v>16221</v>
      </c>
      <c r="I3549" s="28" t="s">
        <v>19234</v>
      </c>
      <c r="J3549" s="28" t="s">
        <v>39</v>
      </c>
      <c r="K3549" s="28" t="s">
        <v>16223</v>
      </c>
      <c r="L3549" s="28" t="s">
        <v>16224</v>
      </c>
      <c r="M3549" s="28" t="s">
        <v>19235</v>
      </c>
      <c r="N3549" s="28" t="s">
        <v>16226</v>
      </c>
      <c r="O3549" s="28" t="s">
        <v>16227</v>
      </c>
      <c r="P3549" s="28" t="s">
        <v>17433</v>
      </c>
    </row>
    <row r="3550" spans="1:16" x14ac:dyDescent="0.25">
      <c r="A3550" s="28" t="s">
        <v>19236</v>
      </c>
      <c r="B3550" s="28" t="s">
        <v>19237</v>
      </c>
      <c r="C3550" s="28" t="s">
        <v>1684</v>
      </c>
      <c r="D3550" s="28" t="s">
        <v>6454</v>
      </c>
      <c r="E3550" s="28" t="s">
        <v>17430</v>
      </c>
      <c r="F3550" s="28" t="s">
        <v>21</v>
      </c>
      <c r="G3550" s="28" t="s">
        <v>39</v>
      </c>
      <c r="H3550" s="28" t="s">
        <v>16221</v>
      </c>
      <c r="I3550" s="28" t="s">
        <v>19238</v>
      </c>
      <c r="J3550" s="28" t="s">
        <v>39</v>
      </c>
      <c r="K3550" s="28" t="s">
        <v>16223</v>
      </c>
      <c r="L3550" s="28" t="s">
        <v>16224</v>
      </c>
      <c r="M3550" s="28" t="s">
        <v>19239</v>
      </c>
      <c r="N3550" s="28" t="s">
        <v>16226</v>
      </c>
      <c r="O3550" s="28" t="s">
        <v>16227</v>
      </c>
      <c r="P3550" s="28" t="s">
        <v>17433</v>
      </c>
    </row>
    <row r="3551" spans="1:16" x14ac:dyDescent="0.25">
      <c r="A3551" s="28" t="s">
        <v>19240</v>
      </c>
      <c r="B3551" s="28" t="s">
        <v>19241</v>
      </c>
      <c r="C3551" s="28" t="s">
        <v>1684</v>
      </c>
      <c r="D3551" s="28" t="s">
        <v>6454</v>
      </c>
      <c r="E3551" s="28" t="s">
        <v>17430</v>
      </c>
      <c r="F3551" s="28" t="s">
        <v>21</v>
      </c>
      <c r="G3551" s="28" t="s">
        <v>39</v>
      </c>
      <c r="H3551" s="28" t="s">
        <v>16221</v>
      </c>
      <c r="I3551" s="28" t="s">
        <v>19242</v>
      </c>
      <c r="J3551" s="28" t="s">
        <v>39</v>
      </c>
      <c r="K3551" s="28" t="s">
        <v>16223</v>
      </c>
      <c r="L3551" s="28" t="s">
        <v>16224</v>
      </c>
      <c r="M3551" s="28" t="s">
        <v>19243</v>
      </c>
      <c r="N3551" s="28" t="s">
        <v>16226</v>
      </c>
      <c r="O3551" s="28" t="s">
        <v>16227</v>
      </c>
      <c r="P3551" s="28" t="s">
        <v>17433</v>
      </c>
    </row>
    <row r="3552" spans="1:16" x14ac:dyDescent="0.25">
      <c r="A3552" s="28" t="s">
        <v>19244</v>
      </c>
      <c r="B3552" s="28" t="s">
        <v>19245</v>
      </c>
      <c r="C3552" s="28" t="s">
        <v>1684</v>
      </c>
      <c r="D3552" s="28" t="s">
        <v>6454</v>
      </c>
      <c r="E3552" s="28" t="s">
        <v>17436</v>
      </c>
      <c r="F3552" s="28" t="s">
        <v>21</v>
      </c>
      <c r="G3552" s="28" t="s">
        <v>39</v>
      </c>
      <c r="H3552" s="28" t="s">
        <v>16221</v>
      </c>
      <c r="I3552" s="28" t="s">
        <v>19246</v>
      </c>
      <c r="J3552" s="28" t="s">
        <v>39</v>
      </c>
      <c r="K3552" s="28" t="s">
        <v>16223</v>
      </c>
      <c r="L3552" s="28" t="s">
        <v>16224</v>
      </c>
      <c r="M3552" s="28" t="s">
        <v>19247</v>
      </c>
      <c r="N3552" s="28" t="s">
        <v>16226</v>
      </c>
      <c r="O3552" s="28" t="s">
        <v>16227</v>
      </c>
      <c r="P3552" s="28" t="s">
        <v>17439</v>
      </c>
    </row>
    <row r="3553" spans="1:16" x14ac:dyDescent="0.25">
      <c r="A3553" s="28" t="s">
        <v>19248</v>
      </c>
      <c r="B3553" s="28" t="s">
        <v>19249</v>
      </c>
      <c r="C3553" s="28" t="s">
        <v>1684</v>
      </c>
      <c r="D3553" s="28" t="s">
        <v>6454</v>
      </c>
      <c r="E3553" s="28" t="s">
        <v>17436</v>
      </c>
      <c r="F3553" s="28" t="s">
        <v>21</v>
      </c>
      <c r="G3553" s="28" t="s">
        <v>39</v>
      </c>
      <c r="H3553" s="28" t="s">
        <v>16221</v>
      </c>
      <c r="I3553" s="28" t="s">
        <v>19250</v>
      </c>
      <c r="J3553" s="28" t="s">
        <v>39</v>
      </c>
      <c r="K3553" s="28" t="s">
        <v>16223</v>
      </c>
      <c r="L3553" s="28" t="s">
        <v>16224</v>
      </c>
      <c r="M3553" s="28" t="s">
        <v>19251</v>
      </c>
      <c r="N3553" s="28" t="s">
        <v>16226</v>
      </c>
      <c r="O3553" s="28" t="s">
        <v>16227</v>
      </c>
      <c r="P3553" s="28" t="s">
        <v>17439</v>
      </c>
    </row>
    <row r="3554" spans="1:16" x14ac:dyDescent="0.25">
      <c r="A3554" s="28" t="s">
        <v>19252</v>
      </c>
      <c r="B3554" s="28" t="s">
        <v>19253</v>
      </c>
      <c r="C3554" s="28" t="s">
        <v>1684</v>
      </c>
      <c r="D3554" s="28" t="s">
        <v>6454</v>
      </c>
      <c r="E3554" s="28" t="s">
        <v>17436</v>
      </c>
      <c r="F3554" s="28" t="s">
        <v>21</v>
      </c>
      <c r="G3554" s="28" t="s">
        <v>39</v>
      </c>
      <c r="H3554" s="28" t="s">
        <v>16221</v>
      </c>
      <c r="I3554" s="28" t="s">
        <v>19254</v>
      </c>
      <c r="J3554" s="28" t="s">
        <v>39</v>
      </c>
      <c r="K3554" s="28" t="s">
        <v>16223</v>
      </c>
      <c r="L3554" s="28" t="s">
        <v>16224</v>
      </c>
      <c r="M3554" s="28" t="s">
        <v>19255</v>
      </c>
      <c r="N3554" s="28" t="s">
        <v>16226</v>
      </c>
      <c r="O3554" s="28" t="s">
        <v>16227</v>
      </c>
      <c r="P3554" s="28" t="s">
        <v>17439</v>
      </c>
    </row>
    <row r="3555" spans="1:16" x14ac:dyDescent="0.25">
      <c r="A3555" s="28" t="s">
        <v>19256</v>
      </c>
      <c r="B3555" s="28" t="s">
        <v>19257</v>
      </c>
      <c r="C3555" s="28" t="s">
        <v>1684</v>
      </c>
      <c r="D3555" s="28" t="s">
        <v>6454</v>
      </c>
      <c r="E3555" s="28" t="s">
        <v>17442</v>
      </c>
      <c r="F3555" s="28" t="s">
        <v>21</v>
      </c>
      <c r="G3555" s="28" t="s">
        <v>39</v>
      </c>
      <c r="H3555" s="28" t="s">
        <v>16221</v>
      </c>
      <c r="I3555" s="28" t="s">
        <v>19258</v>
      </c>
      <c r="J3555" s="28" t="s">
        <v>39</v>
      </c>
      <c r="K3555" s="28" t="s">
        <v>16223</v>
      </c>
      <c r="L3555" s="28" t="s">
        <v>16224</v>
      </c>
      <c r="M3555" s="28" t="s">
        <v>19259</v>
      </c>
      <c r="N3555" s="28" t="s">
        <v>16226</v>
      </c>
      <c r="O3555" s="28" t="s">
        <v>16227</v>
      </c>
      <c r="P3555" s="28" t="s">
        <v>17445</v>
      </c>
    </row>
    <row r="3556" spans="1:16" x14ac:dyDescent="0.25">
      <c r="A3556" s="28" t="s">
        <v>19260</v>
      </c>
      <c r="B3556" s="28" t="s">
        <v>19261</v>
      </c>
      <c r="C3556" s="28" t="s">
        <v>1684</v>
      </c>
      <c r="D3556" s="28" t="s">
        <v>6454</v>
      </c>
      <c r="E3556" s="28" t="s">
        <v>17442</v>
      </c>
      <c r="F3556" s="28" t="s">
        <v>21</v>
      </c>
      <c r="G3556" s="28" t="s">
        <v>39</v>
      </c>
      <c r="H3556" s="28" t="s">
        <v>16221</v>
      </c>
      <c r="I3556" s="28" t="s">
        <v>19262</v>
      </c>
      <c r="J3556" s="28" t="s">
        <v>39</v>
      </c>
      <c r="K3556" s="28" t="s">
        <v>16223</v>
      </c>
      <c r="L3556" s="28" t="s">
        <v>16224</v>
      </c>
      <c r="M3556" s="28" t="s">
        <v>19263</v>
      </c>
      <c r="N3556" s="28" t="s">
        <v>16226</v>
      </c>
      <c r="O3556" s="28" t="s">
        <v>16227</v>
      </c>
      <c r="P3556" s="28" t="s">
        <v>17445</v>
      </c>
    </row>
    <row r="3557" spans="1:16" x14ac:dyDescent="0.25">
      <c r="A3557" s="28" t="s">
        <v>19264</v>
      </c>
      <c r="B3557" s="28" t="s">
        <v>19265</v>
      </c>
      <c r="C3557" s="28" t="s">
        <v>1684</v>
      </c>
      <c r="D3557" s="28" t="s">
        <v>6454</v>
      </c>
      <c r="E3557" s="28" t="s">
        <v>17442</v>
      </c>
      <c r="F3557" s="28" t="s">
        <v>21</v>
      </c>
      <c r="G3557" s="28" t="s">
        <v>39</v>
      </c>
      <c r="H3557" s="28" t="s">
        <v>16221</v>
      </c>
      <c r="I3557" s="28" t="s">
        <v>19266</v>
      </c>
      <c r="J3557" s="28" t="s">
        <v>39</v>
      </c>
      <c r="K3557" s="28" t="s">
        <v>16223</v>
      </c>
      <c r="L3557" s="28" t="s">
        <v>16224</v>
      </c>
      <c r="M3557" s="28" t="s">
        <v>19267</v>
      </c>
      <c r="N3557" s="28" t="s">
        <v>16226</v>
      </c>
      <c r="O3557" s="28" t="s">
        <v>16227</v>
      </c>
      <c r="P3557" s="28" t="s">
        <v>17445</v>
      </c>
    </row>
    <row r="3558" spans="1:16" x14ac:dyDescent="0.25">
      <c r="A3558" s="28" t="s">
        <v>19268</v>
      </c>
      <c r="B3558" s="28" t="s">
        <v>19269</v>
      </c>
      <c r="C3558" s="28" t="s">
        <v>1684</v>
      </c>
      <c r="D3558" s="28" t="s">
        <v>6454</v>
      </c>
      <c r="E3558" s="28" t="s">
        <v>17448</v>
      </c>
      <c r="F3558" s="28" t="s">
        <v>21</v>
      </c>
      <c r="G3558" s="28" t="s">
        <v>39</v>
      </c>
      <c r="H3558" s="28" t="s">
        <v>16221</v>
      </c>
      <c r="I3558" s="28" t="s">
        <v>19270</v>
      </c>
      <c r="J3558" s="28" t="s">
        <v>39</v>
      </c>
      <c r="K3558" s="28" t="s">
        <v>16223</v>
      </c>
      <c r="L3558" s="28" t="s">
        <v>16224</v>
      </c>
      <c r="M3558" s="28" t="s">
        <v>19271</v>
      </c>
      <c r="N3558" s="28" t="s">
        <v>16226</v>
      </c>
      <c r="O3558" s="28" t="s">
        <v>16227</v>
      </c>
      <c r="P3558" s="28" t="s">
        <v>17451</v>
      </c>
    </row>
    <row r="3559" spans="1:16" x14ac:dyDescent="0.25">
      <c r="A3559" s="28" t="s">
        <v>19272</v>
      </c>
      <c r="B3559" s="28" t="s">
        <v>19273</v>
      </c>
      <c r="C3559" s="28" t="s">
        <v>1684</v>
      </c>
      <c r="D3559" s="28" t="s">
        <v>6454</v>
      </c>
      <c r="E3559" s="28" t="s">
        <v>17448</v>
      </c>
      <c r="F3559" s="28" t="s">
        <v>21</v>
      </c>
      <c r="G3559" s="28" t="s">
        <v>39</v>
      </c>
      <c r="H3559" s="28" t="s">
        <v>16221</v>
      </c>
      <c r="I3559" s="28" t="s">
        <v>19274</v>
      </c>
      <c r="J3559" s="28" t="s">
        <v>39</v>
      </c>
      <c r="K3559" s="28" t="s">
        <v>16223</v>
      </c>
      <c r="L3559" s="28" t="s">
        <v>16224</v>
      </c>
      <c r="M3559" s="28" t="s">
        <v>19275</v>
      </c>
      <c r="N3559" s="28" t="s">
        <v>16226</v>
      </c>
      <c r="O3559" s="28" t="s">
        <v>16227</v>
      </c>
      <c r="P3559" s="28" t="s">
        <v>17451</v>
      </c>
    </row>
    <row r="3560" spans="1:16" x14ac:dyDescent="0.25">
      <c r="A3560" s="28" t="s">
        <v>19276</v>
      </c>
      <c r="B3560" s="28" t="s">
        <v>19277</v>
      </c>
      <c r="C3560" s="28" t="s">
        <v>1684</v>
      </c>
      <c r="D3560" s="28" t="s">
        <v>6454</v>
      </c>
      <c r="E3560" s="28" t="s">
        <v>17448</v>
      </c>
      <c r="F3560" s="28" t="s">
        <v>21</v>
      </c>
      <c r="G3560" s="28" t="s">
        <v>39</v>
      </c>
      <c r="H3560" s="28" t="s">
        <v>16221</v>
      </c>
      <c r="I3560" s="28" t="s">
        <v>19278</v>
      </c>
      <c r="J3560" s="28" t="s">
        <v>39</v>
      </c>
      <c r="K3560" s="28" t="s">
        <v>16223</v>
      </c>
      <c r="L3560" s="28" t="s">
        <v>16224</v>
      </c>
      <c r="M3560" s="28" t="s">
        <v>19279</v>
      </c>
      <c r="N3560" s="28" t="s">
        <v>16226</v>
      </c>
      <c r="O3560" s="28" t="s">
        <v>16227</v>
      </c>
      <c r="P3560" s="28" t="s">
        <v>17451</v>
      </c>
    </row>
    <row r="3561" spans="1:16" x14ac:dyDescent="0.25">
      <c r="A3561" s="28" t="s">
        <v>19280</v>
      </c>
      <c r="B3561" s="28" t="s">
        <v>19281</v>
      </c>
      <c r="C3561" s="28" t="s">
        <v>1684</v>
      </c>
      <c r="D3561" s="28" t="s">
        <v>6454</v>
      </c>
      <c r="E3561" s="28" t="s">
        <v>17454</v>
      </c>
      <c r="F3561" s="28" t="s">
        <v>21</v>
      </c>
      <c r="G3561" s="28" t="s">
        <v>39</v>
      </c>
      <c r="H3561" s="28" t="s">
        <v>16221</v>
      </c>
      <c r="I3561" s="28" t="s">
        <v>19282</v>
      </c>
      <c r="J3561" s="28" t="s">
        <v>39</v>
      </c>
      <c r="K3561" s="28" t="s">
        <v>16223</v>
      </c>
      <c r="L3561" s="28" t="s">
        <v>16224</v>
      </c>
      <c r="M3561" s="28" t="s">
        <v>19283</v>
      </c>
      <c r="N3561" s="28" t="s">
        <v>16226</v>
      </c>
      <c r="O3561" s="28" t="s">
        <v>16227</v>
      </c>
      <c r="P3561" s="28" t="s">
        <v>17457</v>
      </c>
    </row>
    <row r="3562" spans="1:16" x14ac:dyDescent="0.25">
      <c r="A3562" s="28" t="s">
        <v>19284</v>
      </c>
      <c r="B3562" s="28" t="s">
        <v>19285</v>
      </c>
      <c r="C3562" s="28" t="s">
        <v>1684</v>
      </c>
      <c r="D3562" s="28" t="s">
        <v>6454</v>
      </c>
      <c r="E3562" s="28" t="s">
        <v>17454</v>
      </c>
      <c r="F3562" s="28" t="s">
        <v>21</v>
      </c>
      <c r="G3562" s="28" t="s">
        <v>39</v>
      </c>
      <c r="H3562" s="28" t="s">
        <v>16221</v>
      </c>
      <c r="I3562" s="28" t="s">
        <v>19286</v>
      </c>
      <c r="J3562" s="28" t="s">
        <v>39</v>
      </c>
      <c r="K3562" s="28" t="s">
        <v>16223</v>
      </c>
      <c r="L3562" s="28" t="s">
        <v>16224</v>
      </c>
      <c r="M3562" s="28" t="s">
        <v>19287</v>
      </c>
      <c r="N3562" s="28" t="s">
        <v>16226</v>
      </c>
      <c r="O3562" s="28" t="s">
        <v>16227</v>
      </c>
      <c r="P3562" s="28" t="s">
        <v>17457</v>
      </c>
    </row>
    <row r="3563" spans="1:16" x14ac:dyDescent="0.25">
      <c r="A3563" s="28" t="s">
        <v>19288</v>
      </c>
      <c r="B3563" s="28" t="s">
        <v>19289</v>
      </c>
      <c r="C3563" s="28" t="s">
        <v>1684</v>
      </c>
      <c r="D3563" s="28" t="s">
        <v>6454</v>
      </c>
      <c r="E3563" s="28" t="s">
        <v>17454</v>
      </c>
      <c r="F3563" s="28" t="s">
        <v>21</v>
      </c>
      <c r="G3563" s="28" t="s">
        <v>39</v>
      </c>
      <c r="H3563" s="28" t="s">
        <v>16221</v>
      </c>
      <c r="I3563" s="28" t="s">
        <v>19290</v>
      </c>
      <c r="J3563" s="28" t="s">
        <v>39</v>
      </c>
      <c r="K3563" s="28" t="s">
        <v>16223</v>
      </c>
      <c r="L3563" s="28" t="s">
        <v>16224</v>
      </c>
      <c r="M3563" s="28" t="s">
        <v>19291</v>
      </c>
      <c r="N3563" s="28" t="s">
        <v>16226</v>
      </c>
      <c r="O3563" s="28" t="s">
        <v>16227</v>
      </c>
      <c r="P3563" s="28" t="s">
        <v>17457</v>
      </c>
    </row>
    <row r="3564" spans="1:16" x14ac:dyDescent="0.25">
      <c r="A3564" s="28" t="s">
        <v>19292</v>
      </c>
      <c r="B3564" s="28" t="s">
        <v>19293</v>
      </c>
      <c r="C3564" s="28" t="s">
        <v>1684</v>
      </c>
      <c r="D3564" s="28" t="s">
        <v>6454</v>
      </c>
      <c r="E3564" s="28" t="s">
        <v>17460</v>
      </c>
      <c r="F3564" s="28" t="s">
        <v>21</v>
      </c>
      <c r="G3564" s="28" t="s">
        <v>39</v>
      </c>
      <c r="H3564" s="28" t="s">
        <v>16221</v>
      </c>
      <c r="I3564" s="28" t="s">
        <v>19294</v>
      </c>
      <c r="J3564" s="28" t="s">
        <v>39</v>
      </c>
      <c r="K3564" s="28" t="s">
        <v>16223</v>
      </c>
      <c r="L3564" s="28" t="s">
        <v>16224</v>
      </c>
      <c r="M3564" s="28" t="s">
        <v>19295</v>
      </c>
      <c r="N3564" s="28" t="s">
        <v>16226</v>
      </c>
      <c r="O3564" s="28" t="s">
        <v>16227</v>
      </c>
      <c r="P3564" s="28" t="s">
        <v>17463</v>
      </c>
    </row>
    <row r="3565" spans="1:16" x14ac:dyDescent="0.25">
      <c r="A3565" s="28" t="s">
        <v>19296</v>
      </c>
      <c r="B3565" s="28" t="s">
        <v>19297</v>
      </c>
      <c r="C3565" s="28" t="s">
        <v>1684</v>
      </c>
      <c r="D3565" s="28" t="s">
        <v>6454</v>
      </c>
      <c r="E3565" s="28" t="s">
        <v>17460</v>
      </c>
      <c r="F3565" s="28" t="s">
        <v>21</v>
      </c>
      <c r="G3565" s="28" t="s">
        <v>39</v>
      </c>
      <c r="H3565" s="28" t="s">
        <v>16221</v>
      </c>
      <c r="I3565" s="28" t="s">
        <v>19298</v>
      </c>
      <c r="J3565" s="28" t="s">
        <v>39</v>
      </c>
      <c r="K3565" s="28" t="s">
        <v>16223</v>
      </c>
      <c r="L3565" s="28" t="s">
        <v>16224</v>
      </c>
      <c r="M3565" s="28" t="s">
        <v>19299</v>
      </c>
      <c r="N3565" s="28" t="s">
        <v>16226</v>
      </c>
      <c r="O3565" s="28" t="s">
        <v>16227</v>
      </c>
      <c r="P3565" s="28" t="s">
        <v>17463</v>
      </c>
    </row>
    <row r="3566" spans="1:16" x14ac:dyDescent="0.25">
      <c r="A3566" s="28" t="s">
        <v>19300</v>
      </c>
      <c r="B3566" s="28" t="s">
        <v>19301</v>
      </c>
      <c r="C3566" s="28" t="s">
        <v>1684</v>
      </c>
      <c r="D3566" s="28" t="s">
        <v>6454</v>
      </c>
      <c r="E3566" s="28" t="s">
        <v>17460</v>
      </c>
      <c r="F3566" s="28" t="s">
        <v>21</v>
      </c>
      <c r="G3566" s="28" t="s">
        <v>39</v>
      </c>
      <c r="H3566" s="28" t="s">
        <v>16221</v>
      </c>
      <c r="I3566" s="28" t="s">
        <v>19302</v>
      </c>
      <c r="J3566" s="28" t="s">
        <v>39</v>
      </c>
      <c r="K3566" s="28" t="s">
        <v>16223</v>
      </c>
      <c r="L3566" s="28" t="s">
        <v>16224</v>
      </c>
      <c r="M3566" s="28" t="s">
        <v>19303</v>
      </c>
      <c r="N3566" s="28" t="s">
        <v>16226</v>
      </c>
      <c r="O3566" s="28" t="s">
        <v>16227</v>
      </c>
      <c r="P3566" s="28" t="s">
        <v>17463</v>
      </c>
    </row>
    <row r="3567" spans="1:16" x14ac:dyDescent="0.25">
      <c r="A3567" s="28" t="s">
        <v>19304</v>
      </c>
      <c r="B3567" s="28" t="s">
        <v>19305</v>
      </c>
      <c r="C3567" s="28" t="s">
        <v>1684</v>
      </c>
      <c r="D3567" s="28" t="s">
        <v>6454</v>
      </c>
      <c r="E3567" s="28" t="s">
        <v>17466</v>
      </c>
      <c r="F3567" s="28" t="s">
        <v>21</v>
      </c>
      <c r="G3567" s="28" t="s">
        <v>39</v>
      </c>
      <c r="H3567" s="28" t="s">
        <v>16221</v>
      </c>
      <c r="I3567" s="28" t="s">
        <v>19306</v>
      </c>
      <c r="J3567" s="28" t="s">
        <v>39</v>
      </c>
      <c r="K3567" s="28" t="s">
        <v>16223</v>
      </c>
      <c r="L3567" s="28" t="s">
        <v>16224</v>
      </c>
      <c r="M3567" s="28" t="s">
        <v>19307</v>
      </c>
      <c r="N3567" s="28" t="s">
        <v>16226</v>
      </c>
      <c r="O3567" s="28" t="s">
        <v>16227</v>
      </c>
      <c r="P3567" s="28" t="s">
        <v>17469</v>
      </c>
    </row>
    <row r="3568" spans="1:16" x14ac:dyDescent="0.25">
      <c r="A3568" s="28" t="s">
        <v>19308</v>
      </c>
      <c r="B3568" s="28" t="s">
        <v>19309</v>
      </c>
      <c r="C3568" s="28" t="s">
        <v>1684</v>
      </c>
      <c r="D3568" s="28" t="s">
        <v>6454</v>
      </c>
      <c r="E3568" s="28" t="s">
        <v>17466</v>
      </c>
      <c r="F3568" s="28" t="s">
        <v>21</v>
      </c>
      <c r="G3568" s="28" t="s">
        <v>39</v>
      </c>
      <c r="H3568" s="28" t="s">
        <v>16221</v>
      </c>
      <c r="I3568" s="28" t="s">
        <v>19310</v>
      </c>
      <c r="J3568" s="28" t="s">
        <v>39</v>
      </c>
      <c r="K3568" s="28" t="s">
        <v>16223</v>
      </c>
      <c r="L3568" s="28" t="s">
        <v>16224</v>
      </c>
      <c r="M3568" s="28" t="s">
        <v>19311</v>
      </c>
      <c r="N3568" s="28" t="s">
        <v>16226</v>
      </c>
      <c r="O3568" s="28" t="s">
        <v>16227</v>
      </c>
      <c r="P3568" s="28" t="s">
        <v>17469</v>
      </c>
    </row>
    <row r="3569" spans="1:16" x14ac:dyDescent="0.25">
      <c r="A3569" s="28" t="s">
        <v>19312</v>
      </c>
      <c r="B3569" s="28" t="s">
        <v>19313</v>
      </c>
      <c r="C3569" s="28" t="s">
        <v>1684</v>
      </c>
      <c r="D3569" s="28" t="s">
        <v>6454</v>
      </c>
      <c r="E3569" s="28" t="s">
        <v>17466</v>
      </c>
      <c r="F3569" s="28" t="s">
        <v>21</v>
      </c>
      <c r="G3569" s="28" t="s">
        <v>39</v>
      </c>
      <c r="H3569" s="28" t="s">
        <v>16221</v>
      </c>
      <c r="I3569" s="28" t="s">
        <v>19314</v>
      </c>
      <c r="J3569" s="28" t="s">
        <v>39</v>
      </c>
      <c r="K3569" s="28" t="s">
        <v>16223</v>
      </c>
      <c r="L3569" s="28" t="s">
        <v>16224</v>
      </c>
      <c r="M3569" s="28" t="s">
        <v>19315</v>
      </c>
      <c r="N3569" s="28" t="s">
        <v>16226</v>
      </c>
      <c r="O3569" s="28" t="s">
        <v>16227</v>
      </c>
      <c r="P3569" s="28" t="s">
        <v>17469</v>
      </c>
    </row>
    <row r="3570" spans="1:16" x14ac:dyDescent="0.25">
      <c r="A3570" s="28" t="s">
        <v>19316</v>
      </c>
      <c r="B3570" s="28" t="s">
        <v>19317</v>
      </c>
      <c r="C3570" s="28" t="s">
        <v>1684</v>
      </c>
      <c r="D3570" s="28" t="s">
        <v>6454</v>
      </c>
      <c r="E3570" s="28" t="s">
        <v>17472</v>
      </c>
      <c r="F3570" s="28" t="s">
        <v>21</v>
      </c>
      <c r="G3570" s="28" t="s">
        <v>39</v>
      </c>
      <c r="H3570" s="28" t="s">
        <v>16221</v>
      </c>
      <c r="I3570" s="28" t="s">
        <v>19318</v>
      </c>
      <c r="J3570" s="28" t="s">
        <v>39</v>
      </c>
      <c r="K3570" s="28" t="s">
        <v>16223</v>
      </c>
      <c r="L3570" s="28" t="s">
        <v>16224</v>
      </c>
      <c r="M3570" s="28" t="s">
        <v>19319</v>
      </c>
      <c r="N3570" s="28" t="s">
        <v>16226</v>
      </c>
      <c r="O3570" s="28" t="s">
        <v>16227</v>
      </c>
      <c r="P3570" s="28" t="s">
        <v>17475</v>
      </c>
    </row>
    <row r="3571" spans="1:16" x14ac:dyDescent="0.25">
      <c r="A3571" s="28" t="s">
        <v>19320</v>
      </c>
      <c r="B3571" s="28" t="s">
        <v>19321</v>
      </c>
      <c r="C3571" s="28" t="s">
        <v>1684</v>
      </c>
      <c r="D3571" s="28" t="s">
        <v>6454</v>
      </c>
      <c r="E3571" s="28" t="s">
        <v>17472</v>
      </c>
      <c r="F3571" s="28" t="s">
        <v>21</v>
      </c>
      <c r="G3571" s="28" t="s">
        <v>39</v>
      </c>
      <c r="H3571" s="28" t="s">
        <v>16221</v>
      </c>
      <c r="I3571" s="28" t="s">
        <v>19322</v>
      </c>
      <c r="J3571" s="28" t="s">
        <v>39</v>
      </c>
      <c r="K3571" s="28" t="s">
        <v>16223</v>
      </c>
      <c r="L3571" s="28" t="s">
        <v>16224</v>
      </c>
      <c r="M3571" s="28" t="s">
        <v>19323</v>
      </c>
      <c r="N3571" s="28" t="s">
        <v>16226</v>
      </c>
      <c r="O3571" s="28" t="s">
        <v>16227</v>
      </c>
      <c r="P3571" s="28" t="s">
        <v>17475</v>
      </c>
    </row>
    <row r="3572" spans="1:16" x14ac:dyDescent="0.25">
      <c r="A3572" s="28" t="s">
        <v>19324</v>
      </c>
      <c r="B3572" s="28" t="s">
        <v>19325</v>
      </c>
      <c r="C3572" s="28" t="s">
        <v>1684</v>
      </c>
      <c r="D3572" s="28" t="s">
        <v>6454</v>
      </c>
      <c r="E3572" s="28" t="s">
        <v>17472</v>
      </c>
      <c r="F3572" s="28" t="s">
        <v>21</v>
      </c>
      <c r="G3572" s="28" t="s">
        <v>39</v>
      </c>
      <c r="H3572" s="28" t="s">
        <v>16221</v>
      </c>
      <c r="I3572" s="28" t="s">
        <v>19326</v>
      </c>
      <c r="J3572" s="28" t="s">
        <v>39</v>
      </c>
      <c r="K3572" s="28" t="s">
        <v>16223</v>
      </c>
      <c r="L3572" s="28" t="s">
        <v>16224</v>
      </c>
      <c r="M3572" s="28" t="s">
        <v>19327</v>
      </c>
      <c r="N3572" s="28" t="s">
        <v>16226</v>
      </c>
      <c r="O3572" s="28" t="s">
        <v>16227</v>
      </c>
      <c r="P3572" s="28" t="s">
        <v>17475</v>
      </c>
    </row>
    <row r="3573" spans="1:16" x14ac:dyDescent="0.25">
      <c r="A3573" s="28" t="s">
        <v>19328</v>
      </c>
      <c r="B3573" s="28" t="s">
        <v>19329</v>
      </c>
      <c r="C3573" s="28" t="s">
        <v>1684</v>
      </c>
      <c r="D3573" s="28" t="s">
        <v>6454</v>
      </c>
      <c r="E3573" s="28" t="s">
        <v>17478</v>
      </c>
      <c r="F3573" s="28" t="s">
        <v>21</v>
      </c>
      <c r="G3573" s="28" t="s">
        <v>39</v>
      </c>
      <c r="H3573" s="28" t="s">
        <v>16221</v>
      </c>
      <c r="I3573" s="28" t="s">
        <v>19330</v>
      </c>
      <c r="J3573" s="28" t="s">
        <v>39</v>
      </c>
      <c r="K3573" s="28" t="s">
        <v>16223</v>
      </c>
      <c r="L3573" s="28" t="s">
        <v>16224</v>
      </c>
      <c r="M3573" s="28" t="s">
        <v>19331</v>
      </c>
      <c r="N3573" s="28" t="s">
        <v>16226</v>
      </c>
      <c r="O3573" s="28" t="s">
        <v>16227</v>
      </c>
      <c r="P3573" s="28" t="s">
        <v>17481</v>
      </c>
    </row>
    <row r="3574" spans="1:16" x14ac:dyDescent="0.25">
      <c r="A3574" s="28" t="s">
        <v>19332</v>
      </c>
      <c r="B3574" s="28" t="s">
        <v>19333</v>
      </c>
      <c r="C3574" s="28" t="s">
        <v>1684</v>
      </c>
      <c r="D3574" s="28" t="s">
        <v>6454</v>
      </c>
      <c r="E3574" s="28" t="s">
        <v>17478</v>
      </c>
      <c r="F3574" s="28" t="s">
        <v>21</v>
      </c>
      <c r="G3574" s="28" t="s">
        <v>39</v>
      </c>
      <c r="H3574" s="28" t="s">
        <v>16221</v>
      </c>
      <c r="I3574" s="28" t="s">
        <v>19334</v>
      </c>
      <c r="J3574" s="28" t="s">
        <v>39</v>
      </c>
      <c r="K3574" s="28" t="s">
        <v>16223</v>
      </c>
      <c r="L3574" s="28" t="s">
        <v>16224</v>
      </c>
      <c r="M3574" s="28" t="s">
        <v>19335</v>
      </c>
      <c r="N3574" s="28" t="s">
        <v>16226</v>
      </c>
      <c r="O3574" s="28" t="s">
        <v>16227</v>
      </c>
      <c r="P3574" s="28" t="s">
        <v>17481</v>
      </c>
    </row>
    <row r="3575" spans="1:16" x14ac:dyDescent="0.25">
      <c r="A3575" s="28" t="s">
        <v>19336</v>
      </c>
      <c r="B3575" s="28" t="s">
        <v>19337</v>
      </c>
      <c r="C3575" s="28" t="s">
        <v>1684</v>
      </c>
      <c r="D3575" s="28" t="s">
        <v>6454</v>
      </c>
      <c r="E3575" s="28" t="s">
        <v>17478</v>
      </c>
      <c r="F3575" s="28" t="s">
        <v>21</v>
      </c>
      <c r="G3575" s="28" t="s">
        <v>39</v>
      </c>
      <c r="H3575" s="28" t="s">
        <v>16221</v>
      </c>
      <c r="I3575" s="28" t="s">
        <v>19338</v>
      </c>
      <c r="J3575" s="28" t="s">
        <v>39</v>
      </c>
      <c r="K3575" s="28" t="s">
        <v>16223</v>
      </c>
      <c r="L3575" s="28" t="s">
        <v>16224</v>
      </c>
      <c r="M3575" s="28" t="s">
        <v>19339</v>
      </c>
      <c r="N3575" s="28" t="s">
        <v>16226</v>
      </c>
      <c r="O3575" s="28" t="s">
        <v>16227</v>
      </c>
      <c r="P3575" s="28" t="s">
        <v>17481</v>
      </c>
    </row>
    <row r="3576" spans="1:16" x14ac:dyDescent="0.25">
      <c r="A3576" s="28" t="s">
        <v>19340</v>
      </c>
      <c r="B3576" s="28" t="s">
        <v>19341</v>
      </c>
      <c r="C3576" s="28" t="s">
        <v>1684</v>
      </c>
      <c r="D3576" s="28" t="s">
        <v>6454</v>
      </c>
      <c r="E3576" s="28" t="s">
        <v>17484</v>
      </c>
      <c r="F3576" s="28" t="s">
        <v>21</v>
      </c>
      <c r="G3576" s="28" t="s">
        <v>39</v>
      </c>
      <c r="H3576" s="28" t="s">
        <v>16221</v>
      </c>
      <c r="I3576" s="28" t="s">
        <v>19342</v>
      </c>
      <c r="J3576" s="28" t="s">
        <v>39</v>
      </c>
      <c r="K3576" s="28" t="s">
        <v>16223</v>
      </c>
      <c r="L3576" s="28" t="s">
        <v>16224</v>
      </c>
      <c r="M3576" s="28" t="s">
        <v>19343</v>
      </c>
      <c r="N3576" s="28" t="s">
        <v>16226</v>
      </c>
      <c r="O3576" s="28" t="s">
        <v>16227</v>
      </c>
      <c r="P3576" s="28" t="s">
        <v>17487</v>
      </c>
    </row>
    <row r="3577" spans="1:16" x14ac:dyDescent="0.25">
      <c r="A3577" s="28" t="s">
        <v>19344</v>
      </c>
      <c r="B3577" s="28" t="s">
        <v>19345</v>
      </c>
      <c r="C3577" s="28" t="s">
        <v>1684</v>
      </c>
      <c r="D3577" s="28" t="s">
        <v>6454</v>
      </c>
      <c r="E3577" s="28" t="s">
        <v>17484</v>
      </c>
      <c r="F3577" s="28" t="s">
        <v>21</v>
      </c>
      <c r="G3577" s="28" t="s">
        <v>39</v>
      </c>
      <c r="H3577" s="28" t="s">
        <v>16221</v>
      </c>
      <c r="I3577" s="28" t="s">
        <v>19346</v>
      </c>
      <c r="J3577" s="28" t="s">
        <v>39</v>
      </c>
      <c r="K3577" s="28" t="s">
        <v>16223</v>
      </c>
      <c r="L3577" s="28" t="s">
        <v>16224</v>
      </c>
      <c r="M3577" s="28" t="s">
        <v>19347</v>
      </c>
      <c r="N3577" s="28" t="s">
        <v>16226</v>
      </c>
      <c r="O3577" s="28" t="s">
        <v>16227</v>
      </c>
      <c r="P3577" s="28" t="s">
        <v>17487</v>
      </c>
    </row>
    <row r="3578" spans="1:16" x14ac:dyDescent="0.25">
      <c r="A3578" s="28" t="s">
        <v>19348</v>
      </c>
      <c r="B3578" s="28" t="s">
        <v>19349</v>
      </c>
      <c r="C3578" s="28" t="s">
        <v>1684</v>
      </c>
      <c r="D3578" s="28" t="s">
        <v>6454</v>
      </c>
      <c r="E3578" s="28" t="s">
        <v>17484</v>
      </c>
      <c r="F3578" s="28" t="s">
        <v>21</v>
      </c>
      <c r="G3578" s="28" t="s">
        <v>39</v>
      </c>
      <c r="H3578" s="28" t="s">
        <v>16221</v>
      </c>
      <c r="I3578" s="28" t="s">
        <v>19350</v>
      </c>
      <c r="J3578" s="28" t="s">
        <v>39</v>
      </c>
      <c r="K3578" s="28" t="s">
        <v>16223</v>
      </c>
      <c r="L3578" s="28" t="s">
        <v>16224</v>
      </c>
      <c r="M3578" s="28" t="s">
        <v>19351</v>
      </c>
      <c r="N3578" s="28" t="s">
        <v>16226</v>
      </c>
      <c r="O3578" s="28" t="s">
        <v>16227</v>
      </c>
      <c r="P3578" s="28" t="s">
        <v>17487</v>
      </c>
    </row>
    <row r="3579" spans="1:16" x14ac:dyDescent="0.25">
      <c r="A3579" s="28" t="s">
        <v>19352</v>
      </c>
      <c r="B3579" s="28" t="s">
        <v>19353</v>
      </c>
      <c r="C3579" s="28" t="s">
        <v>1684</v>
      </c>
      <c r="D3579" s="28" t="s">
        <v>6454</v>
      </c>
      <c r="E3579" s="28" t="s">
        <v>17490</v>
      </c>
      <c r="F3579" s="28" t="s">
        <v>21</v>
      </c>
      <c r="G3579" s="28" t="s">
        <v>39</v>
      </c>
      <c r="H3579" s="28" t="s">
        <v>16221</v>
      </c>
      <c r="I3579" s="28" t="s">
        <v>19354</v>
      </c>
      <c r="J3579" s="28" t="s">
        <v>39</v>
      </c>
      <c r="K3579" s="28" t="s">
        <v>16223</v>
      </c>
      <c r="L3579" s="28" t="s">
        <v>16224</v>
      </c>
      <c r="M3579" s="28" t="s">
        <v>19355</v>
      </c>
      <c r="N3579" s="28" t="s">
        <v>16226</v>
      </c>
      <c r="O3579" s="28" t="s">
        <v>16227</v>
      </c>
      <c r="P3579" s="28" t="s">
        <v>17493</v>
      </c>
    </row>
    <row r="3580" spans="1:16" x14ac:dyDescent="0.25">
      <c r="A3580" s="28" t="s">
        <v>19356</v>
      </c>
      <c r="B3580" s="28" t="s">
        <v>19357</v>
      </c>
      <c r="C3580" s="28" t="s">
        <v>1684</v>
      </c>
      <c r="D3580" s="28" t="s">
        <v>6454</v>
      </c>
      <c r="E3580" s="28" t="s">
        <v>17490</v>
      </c>
      <c r="F3580" s="28" t="s">
        <v>21</v>
      </c>
      <c r="G3580" s="28" t="s">
        <v>39</v>
      </c>
      <c r="H3580" s="28" t="s">
        <v>16221</v>
      </c>
      <c r="I3580" s="28" t="s">
        <v>19358</v>
      </c>
      <c r="J3580" s="28" t="s">
        <v>39</v>
      </c>
      <c r="K3580" s="28" t="s">
        <v>16223</v>
      </c>
      <c r="L3580" s="28" t="s">
        <v>16224</v>
      </c>
      <c r="M3580" s="28" t="s">
        <v>19359</v>
      </c>
      <c r="N3580" s="28" t="s">
        <v>16226</v>
      </c>
      <c r="O3580" s="28" t="s">
        <v>16227</v>
      </c>
      <c r="P3580" s="28" t="s">
        <v>17493</v>
      </c>
    </row>
    <row r="3581" spans="1:16" x14ac:dyDescent="0.25">
      <c r="A3581" s="28" t="s">
        <v>19360</v>
      </c>
      <c r="B3581" s="28" t="s">
        <v>19361</v>
      </c>
      <c r="C3581" s="28" t="s">
        <v>1684</v>
      </c>
      <c r="D3581" s="28" t="s">
        <v>6454</v>
      </c>
      <c r="E3581" s="28" t="s">
        <v>17490</v>
      </c>
      <c r="F3581" s="28" t="s">
        <v>21</v>
      </c>
      <c r="G3581" s="28" t="s">
        <v>39</v>
      </c>
      <c r="H3581" s="28" t="s">
        <v>16221</v>
      </c>
      <c r="I3581" s="28" t="s">
        <v>19362</v>
      </c>
      <c r="J3581" s="28" t="s">
        <v>39</v>
      </c>
      <c r="K3581" s="28" t="s">
        <v>16223</v>
      </c>
      <c r="L3581" s="28" t="s">
        <v>16224</v>
      </c>
      <c r="M3581" s="28" t="s">
        <v>19363</v>
      </c>
      <c r="N3581" s="28" t="s">
        <v>16226</v>
      </c>
      <c r="O3581" s="28" t="s">
        <v>16227</v>
      </c>
      <c r="P3581" s="28" t="s">
        <v>17493</v>
      </c>
    </row>
    <row r="3582" spans="1:16" x14ac:dyDescent="0.25">
      <c r="A3582" s="28" t="s">
        <v>19364</v>
      </c>
      <c r="B3582" s="28" t="s">
        <v>19365</v>
      </c>
      <c r="C3582" s="28" t="s">
        <v>1684</v>
      </c>
      <c r="D3582" s="28" t="s">
        <v>7132</v>
      </c>
      <c r="E3582" s="28" t="s">
        <v>17496</v>
      </c>
      <c r="F3582" s="28" t="s">
        <v>21</v>
      </c>
      <c r="G3582" s="28" t="s">
        <v>39</v>
      </c>
      <c r="H3582" s="28" t="s">
        <v>16221</v>
      </c>
      <c r="I3582" s="28" t="s">
        <v>19366</v>
      </c>
      <c r="J3582" s="28" t="s">
        <v>39</v>
      </c>
      <c r="K3582" s="28" t="s">
        <v>16223</v>
      </c>
      <c r="L3582" s="28" t="s">
        <v>16224</v>
      </c>
      <c r="M3582" s="28" t="s">
        <v>19367</v>
      </c>
      <c r="N3582" s="28" t="s">
        <v>16226</v>
      </c>
      <c r="O3582" s="28" t="s">
        <v>16227</v>
      </c>
      <c r="P3582" s="28" t="s">
        <v>17499</v>
      </c>
    </row>
    <row r="3583" spans="1:16" x14ac:dyDescent="0.25">
      <c r="A3583" s="28" t="s">
        <v>19368</v>
      </c>
      <c r="B3583" s="28" t="s">
        <v>19369</v>
      </c>
      <c r="C3583" s="28" t="s">
        <v>1684</v>
      </c>
      <c r="D3583" s="28" t="s">
        <v>7132</v>
      </c>
      <c r="E3583" s="28" t="s">
        <v>17496</v>
      </c>
      <c r="F3583" s="28" t="s">
        <v>21</v>
      </c>
      <c r="G3583" s="28" t="s">
        <v>39</v>
      </c>
      <c r="H3583" s="28" t="s">
        <v>16221</v>
      </c>
      <c r="I3583" s="28" t="s">
        <v>19370</v>
      </c>
      <c r="J3583" s="28" t="s">
        <v>39</v>
      </c>
      <c r="K3583" s="28" t="s">
        <v>16223</v>
      </c>
      <c r="L3583" s="28" t="s">
        <v>16224</v>
      </c>
      <c r="M3583" s="28" t="s">
        <v>19371</v>
      </c>
      <c r="N3583" s="28" t="s">
        <v>16226</v>
      </c>
      <c r="O3583" s="28" t="s">
        <v>16227</v>
      </c>
      <c r="P3583" s="28" t="s">
        <v>17499</v>
      </c>
    </row>
    <row r="3584" spans="1:16" x14ac:dyDescent="0.25">
      <c r="A3584" s="28" t="s">
        <v>19372</v>
      </c>
      <c r="B3584" s="28" t="s">
        <v>19373</v>
      </c>
      <c r="C3584" s="28" t="s">
        <v>1684</v>
      </c>
      <c r="D3584" s="28" t="s">
        <v>7132</v>
      </c>
      <c r="E3584" s="28" t="s">
        <v>17496</v>
      </c>
      <c r="F3584" s="28" t="s">
        <v>21</v>
      </c>
      <c r="G3584" s="28" t="s">
        <v>39</v>
      </c>
      <c r="H3584" s="28" t="s">
        <v>16221</v>
      </c>
      <c r="I3584" s="28" t="s">
        <v>19374</v>
      </c>
      <c r="J3584" s="28" t="s">
        <v>39</v>
      </c>
      <c r="K3584" s="28" t="s">
        <v>16223</v>
      </c>
      <c r="L3584" s="28" t="s">
        <v>16224</v>
      </c>
      <c r="M3584" s="28" t="s">
        <v>19375</v>
      </c>
      <c r="N3584" s="28" t="s">
        <v>16226</v>
      </c>
      <c r="O3584" s="28" t="s">
        <v>16227</v>
      </c>
      <c r="P3584" s="28" t="s">
        <v>17499</v>
      </c>
    </row>
    <row r="3585" spans="1:16" x14ac:dyDescent="0.25">
      <c r="A3585" s="28" t="s">
        <v>19376</v>
      </c>
      <c r="B3585" s="28" t="s">
        <v>19377</v>
      </c>
      <c r="C3585" s="28" t="s">
        <v>1684</v>
      </c>
      <c r="D3585" s="28" t="s">
        <v>6454</v>
      </c>
      <c r="E3585" s="28" t="s">
        <v>17502</v>
      </c>
      <c r="F3585" s="28" t="s">
        <v>21</v>
      </c>
      <c r="G3585" s="28" t="s">
        <v>39</v>
      </c>
      <c r="H3585" s="28" t="s">
        <v>16221</v>
      </c>
      <c r="I3585" s="28" t="s">
        <v>19378</v>
      </c>
      <c r="J3585" s="28" t="s">
        <v>39</v>
      </c>
      <c r="K3585" s="28" t="s">
        <v>16223</v>
      </c>
      <c r="L3585" s="28" t="s">
        <v>16224</v>
      </c>
      <c r="M3585" s="28" t="s">
        <v>19379</v>
      </c>
      <c r="N3585" s="28" t="s">
        <v>16226</v>
      </c>
      <c r="O3585" s="28" t="s">
        <v>16227</v>
      </c>
      <c r="P3585" s="28" t="s">
        <v>17505</v>
      </c>
    </row>
    <row r="3586" spans="1:16" x14ac:dyDescent="0.25">
      <c r="A3586" s="28" t="s">
        <v>19380</v>
      </c>
      <c r="B3586" s="28" t="s">
        <v>19381</v>
      </c>
      <c r="C3586" s="28" t="s">
        <v>1684</v>
      </c>
      <c r="D3586" s="28" t="s">
        <v>6454</v>
      </c>
      <c r="E3586" s="28" t="s">
        <v>17502</v>
      </c>
      <c r="F3586" s="28" t="s">
        <v>21</v>
      </c>
      <c r="G3586" s="28" t="s">
        <v>39</v>
      </c>
      <c r="H3586" s="28" t="s">
        <v>16221</v>
      </c>
      <c r="I3586" s="28" t="s">
        <v>19382</v>
      </c>
      <c r="J3586" s="28" t="s">
        <v>39</v>
      </c>
      <c r="K3586" s="28" t="s">
        <v>16223</v>
      </c>
      <c r="L3586" s="28" t="s">
        <v>16224</v>
      </c>
      <c r="M3586" s="28" t="s">
        <v>19383</v>
      </c>
      <c r="N3586" s="28" t="s">
        <v>16226</v>
      </c>
      <c r="O3586" s="28" t="s">
        <v>16227</v>
      </c>
      <c r="P3586" s="28" t="s">
        <v>17505</v>
      </c>
    </row>
    <row r="3587" spans="1:16" x14ac:dyDescent="0.25">
      <c r="A3587" s="28" t="s">
        <v>19384</v>
      </c>
      <c r="B3587" s="28" t="s">
        <v>19385</v>
      </c>
      <c r="C3587" s="28" t="s">
        <v>1684</v>
      </c>
      <c r="D3587" s="28" t="s">
        <v>6454</v>
      </c>
      <c r="E3587" s="28" t="s">
        <v>17502</v>
      </c>
      <c r="F3587" s="28" t="s">
        <v>21</v>
      </c>
      <c r="G3587" s="28" t="s">
        <v>39</v>
      </c>
      <c r="H3587" s="28" t="s">
        <v>16221</v>
      </c>
      <c r="I3587" s="28" t="s">
        <v>19386</v>
      </c>
      <c r="J3587" s="28" t="s">
        <v>39</v>
      </c>
      <c r="K3587" s="28" t="s">
        <v>16223</v>
      </c>
      <c r="L3587" s="28" t="s">
        <v>16224</v>
      </c>
      <c r="M3587" s="28" t="s">
        <v>19387</v>
      </c>
      <c r="N3587" s="28" t="s">
        <v>16226</v>
      </c>
      <c r="O3587" s="28" t="s">
        <v>16227</v>
      </c>
      <c r="P3587" s="28" t="s">
        <v>17505</v>
      </c>
    </row>
    <row r="3588" spans="1:16" x14ac:dyDescent="0.25">
      <c r="A3588" s="28" t="s">
        <v>19388</v>
      </c>
      <c r="B3588" s="28" t="s">
        <v>19389</v>
      </c>
      <c r="C3588" s="28" t="s">
        <v>1684</v>
      </c>
      <c r="D3588" s="28" t="s">
        <v>6454</v>
      </c>
      <c r="E3588" s="28" t="s">
        <v>17508</v>
      </c>
      <c r="F3588" s="28" t="s">
        <v>21</v>
      </c>
      <c r="G3588" s="28" t="s">
        <v>39</v>
      </c>
      <c r="H3588" s="28" t="s">
        <v>16221</v>
      </c>
      <c r="I3588" s="28" t="s">
        <v>19390</v>
      </c>
      <c r="J3588" s="28" t="s">
        <v>39</v>
      </c>
      <c r="K3588" s="28" t="s">
        <v>16223</v>
      </c>
      <c r="L3588" s="28" t="s">
        <v>16224</v>
      </c>
      <c r="M3588" s="28" t="s">
        <v>19391</v>
      </c>
      <c r="N3588" s="28" t="s">
        <v>16226</v>
      </c>
      <c r="O3588" s="28" t="s">
        <v>16227</v>
      </c>
      <c r="P3588" s="28" t="s">
        <v>17511</v>
      </c>
    </row>
    <row r="3589" spans="1:16" x14ac:dyDescent="0.25">
      <c r="A3589" s="28" t="s">
        <v>19392</v>
      </c>
      <c r="B3589" s="28" t="s">
        <v>19393</v>
      </c>
      <c r="C3589" s="28" t="s">
        <v>1684</v>
      </c>
      <c r="D3589" s="28" t="s">
        <v>6454</v>
      </c>
      <c r="E3589" s="28" t="s">
        <v>17508</v>
      </c>
      <c r="F3589" s="28" t="s">
        <v>21</v>
      </c>
      <c r="G3589" s="28" t="s">
        <v>39</v>
      </c>
      <c r="H3589" s="28" t="s">
        <v>16221</v>
      </c>
      <c r="I3589" s="28" t="s">
        <v>19394</v>
      </c>
      <c r="J3589" s="28" t="s">
        <v>39</v>
      </c>
      <c r="K3589" s="28" t="s">
        <v>16223</v>
      </c>
      <c r="L3589" s="28" t="s">
        <v>16224</v>
      </c>
      <c r="M3589" s="28" t="s">
        <v>19395</v>
      </c>
      <c r="N3589" s="28" t="s">
        <v>16226</v>
      </c>
      <c r="O3589" s="28" t="s">
        <v>16227</v>
      </c>
      <c r="P3589" s="28" t="s">
        <v>17511</v>
      </c>
    </row>
    <row r="3590" spans="1:16" x14ac:dyDescent="0.25">
      <c r="A3590" s="28" t="s">
        <v>19396</v>
      </c>
      <c r="B3590" s="28" t="s">
        <v>19397</v>
      </c>
      <c r="C3590" s="28" t="s">
        <v>1684</v>
      </c>
      <c r="D3590" s="28" t="s">
        <v>6454</v>
      </c>
      <c r="E3590" s="28" t="s">
        <v>17508</v>
      </c>
      <c r="F3590" s="28" t="s">
        <v>21</v>
      </c>
      <c r="G3590" s="28" t="s">
        <v>39</v>
      </c>
      <c r="H3590" s="28" t="s">
        <v>16221</v>
      </c>
      <c r="I3590" s="28" t="s">
        <v>19398</v>
      </c>
      <c r="J3590" s="28" t="s">
        <v>39</v>
      </c>
      <c r="K3590" s="28" t="s">
        <v>16223</v>
      </c>
      <c r="L3590" s="28" t="s">
        <v>16224</v>
      </c>
      <c r="M3590" s="28" t="s">
        <v>19399</v>
      </c>
      <c r="N3590" s="28" t="s">
        <v>16226</v>
      </c>
      <c r="O3590" s="28" t="s">
        <v>16227</v>
      </c>
      <c r="P3590" s="28" t="s">
        <v>17511</v>
      </c>
    </row>
    <row r="3591" spans="1:16" x14ac:dyDescent="0.25">
      <c r="A3591" s="28" t="s">
        <v>19400</v>
      </c>
      <c r="B3591" s="28" t="s">
        <v>19401</v>
      </c>
      <c r="C3591" s="28" t="s">
        <v>1684</v>
      </c>
      <c r="D3591" s="28" t="s">
        <v>6454</v>
      </c>
      <c r="E3591" s="28" t="s">
        <v>17514</v>
      </c>
      <c r="F3591" s="28" t="s">
        <v>21</v>
      </c>
      <c r="G3591" s="28" t="s">
        <v>39</v>
      </c>
      <c r="H3591" s="28" t="s">
        <v>16221</v>
      </c>
      <c r="I3591" s="28" t="s">
        <v>19402</v>
      </c>
      <c r="J3591" s="28" t="s">
        <v>39</v>
      </c>
      <c r="K3591" s="28" t="s">
        <v>16223</v>
      </c>
      <c r="L3591" s="28" t="s">
        <v>16224</v>
      </c>
      <c r="M3591" s="28" t="s">
        <v>19403</v>
      </c>
      <c r="N3591" s="28" t="s">
        <v>16226</v>
      </c>
      <c r="O3591" s="28" t="s">
        <v>16227</v>
      </c>
      <c r="P3591" s="28" t="s">
        <v>17517</v>
      </c>
    </row>
    <row r="3592" spans="1:16" x14ac:dyDescent="0.25">
      <c r="A3592" s="28" t="s">
        <v>19404</v>
      </c>
      <c r="B3592" s="28" t="s">
        <v>19405</v>
      </c>
      <c r="C3592" s="28" t="s">
        <v>1684</v>
      </c>
      <c r="D3592" s="28" t="s">
        <v>6454</v>
      </c>
      <c r="E3592" s="28" t="s">
        <v>17514</v>
      </c>
      <c r="F3592" s="28" t="s">
        <v>21</v>
      </c>
      <c r="G3592" s="28" t="s">
        <v>39</v>
      </c>
      <c r="H3592" s="28" t="s">
        <v>16221</v>
      </c>
      <c r="I3592" s="28" t="s">
        <v>19406</v>
      </c>
      <c r="J3592" s="28" t="s">
        <v>39</v>
      </c>
      <c r="K3592" s="28" t="s">
        <v>16223</v>
      </c>
      <c r="L3592" s="28" t="s">
        <v>16224</v>
      </c>
      <c r="M3592" s="28" t="s">
        <v>19407</v>
      </c>
      <c r="N3592" s="28" t="s">
        <v>16226</v>
      </c>
      <c r="O3592" s="28" t="s">
        <v>16227</v>
      </c>
      <c r="P3592" s="28" t="s">
        <v>17517</v>
      </c>
    </row>
    <row r="3593" spans="1:16" x14ac:dyDescent="0.25">
      <c r="A3593" s="28" t="s">
        <v>19408</v>
      </c>
      <c r="B3593" s="28" t="s">
        <v>19409</v>
      </c>
      <c r="C3593" s="28" t="s">
        <v>1684</v>
      </c>
      <c r="D3593" s="28" t="s">
        <v>6454</v>
      </c>
      <c r="E3593" s="28" t="s">
        <v>17514</v>
      </c>
      <c r="F3593" s="28" t="s">
        <v>21</v>
      </c>
      <c r="G3593" s="28" t="s">
        <v>39</v>
      </c>
      <c r="H3593" s="28" t="s">
        <v>16221</v>
      </c>
      <c r="I3593" s="28" t="s">
        <v>19410</v>
      </c>
      <c r="J3593" s="28" t="s">
        <v>39</v>
      </c>
      <c r="K3593" s="28" t="s">
        <v>16223</v>
      </c>
      <c r="L3593" s="28" t="s">
        <v>16224</v>
      </c>
      <c r="M3593" s="28" t="s">
        <v>19411</v>
      </c>
      <c r="N3593" s="28" t="s">
        <v>16226</v>
      </c>
      <c r="O3593" s="28" t="s">
        <v>16227</v>
      </c>
      <c r="P3593" s="28" t="s">
        <v>17517</v>
      </c>
    </row>
    <row r="3594" spans="1:16" x14ac:dyDescent="0.25">
      <c r="A3594" s="28" t="s">
        <v>19412</v>
      </c>
      <c r="B3594" s="28" t="s">
        <v>19413</v>
      </c>
      <c r="C3594" s="28" t="s">
        <v>1684</v>
      </c>
      <c r="D3594" s="28" t="s">
        <v>6454</v>
      </c>
      <c r="E3594" s="28" t="s">
        <v>17520</v>
      </c>
      <c r="F3594" s="28" t="s">
        <v>21</v>
      </c>
      <c r="G3594" s="28" t="s">
        <v>39</v>
      </c>
      <c r="H3594" s="28" t="s">
        <v>16221</v>
      </c>
      <c r="I3594" s="28" t="s">
        <v>19414</v>
      </c>
      <c r="J3594" s="28" t="s">
        <v>39</v>
      </c>
      <c r="K3594" s="28" t="s">
        <v>16223</v>
      </c>
      <c r="L3594" s="28" t="s">
        <v>16224</v>
      </c>
      <c r="M3594" s="28" t="s">
        <v>19415</v>
      </c>
      <c r="N3594" s="28" t="s">
        <v>16226</v>
      </c>
      <c r="O3594" s="28" t="s">
        <v>16227</v>
      </c>
      <c r="P3594" s="28" t="s">
        <v>17523</v>
      </c>
    </row>
    <row r="3595" spans="1:16" x14ac:dyDescent="0.25">
      <c r="A3595" s="28" t="s">
        <v>19416</v>
      </c>
      <c r="B3595" s="28" t="s">
        <v>19417</v>
      </c>
      <c r="C3595" s="28" t="s">
        <v>1684</v>
      </c>
      <c r="D3595" s="28" t="s">
        <v>6454</v>
      </c>
      <c r="E3595" s="28" t="s">
        <v>17520</v>
      </c>
      <c r="F3595" s="28" t="s">
        <v>21</v>
      </c>
      <c r="G3595" s="28" t="s">
        <v>39</v>
      </c>
      <c r="H3595" s="28" t="s">
        <v>16221</v>
      </c>
      <c r="I3595" s="28" t="s">
        <v>19418</v>
      </c>
      <c r="J3595" s="28" t="s">
        <v>39</v>
      </c>
      <c r="K3595" s="28" t="s">
        <v>16223</v>
      </c>
      <c r="L3595" s="28" t="s">
        <v>16224</v>
      </c>
      <c r="M3595" s="28" t="s">
        <v>19419</v>
      </c>
      <c r="N3595" s="28" t="s">
        <v>16226</v>
      </c>
      <c r="O3595" s="28" t="s">
        <v>16227</v>
      </c>
      <c r="P3595" s="28" t="s">
        <v>17523</v>
      </c>
    </row>
    <row r="3596" spans="1:16" x14ac:dyDescent="0.25">
      <c r="A3596" s="28" t="s">
        <v>19420</v>
      </c>
      <c r="B3596" s="28" t="s">
        <v>19421</v>
      </c>
      <c r="C3596" s="28" t="s">
        <v>1684</v>
      </c>
      <c r="D3596" s="28" t="s">
        <v>6454</v>
      </c>
      <c r="E3596" s="28" t="s">
        <v>17520</v>
      </c>
      <c r="F3596" s="28" t="s">
        <v>21</v>
      </c>
      <c r="G3596" s="28" t="s">
        <v>39</v>
      </c>
      <c r="H3596" s="28" t="s">
        <v>16221</v>
      </c>
      <c r="I3596" s="28" t="s">
        <v>19422</v>
      </c>
      <c r="J3596" s="28" t="s">
        <v>39</v>
      </c>
      <c r="K3596" s="28" t="s">
        <v>16223</v>
      </c>
      <c r="L3596" s="28" t="s">
        <v>16224</v>
      </c>
      <c r="M3596" s="28" t="s">
        <v>19423</v>
      </c>
      <c r="N3596" s="28" t="s">
        <v>16226</v>
      </c>
      <c r="O3596" s="28" t="s">
        <v>16227</v>
      </c>
      <c r="P3596" s="28" t="s">
        <v>17523</v>
      </c>
    </row>
    <row r="3597" spans="1:16" x14ac:dyDescent="0.25">
      <c r="A3597" s="28" t="s">
        <v>19424</v>
      </c>
      <c r="B3597" s="28" t="s">
        <v>19425</v>
      </c>
      <c r="C3597" s="28" t="s">
        <v>1684</v>
      </c>
      <c r="D3597" s="28" t="s">
        <v>6454</v>
      </c>
      <c r="E3597" s="28" t="s">
        <v>17526</v>
      </c>
      <c r="F3597" s="28" t="s">
        <v>21</v>
      </c>
      <c r="G3597" s="28" t="s">
        <v>39</v>
      </c>
      <c r="H3597" s="28" t="s">
        <v>16221</v>
      </c>
      <c r="I3597" s="28" t="s">
        <v>19426</v>
      </c>
      <c r="J3597" s="28" t="s">
        <v>39</v>
      </c>
      <c r="K3597" s="28" t="s">
        <v>16223</v>
      </c>
      <c r="L3597" s="28" t="s">
        <v>16224</v>
      </c>
      <c r="M3597" s="28" t="s">
        <v>19427</v>
      </c>
      <c r="N3597" s="28" t="s">
        <v>16226</v>
      </c>
      <c r="O3597" s="28" t="s">
        <v>16227</v>
      </c>
      <c r="P3597" s="28" t="s">
        <v>17529</v>
      </c>
    </row>
    <row r="3598" spans="1:16" x14ac:dyDescent="0.25">
      <c r="A3598" s="28" t="s">
        <v>19428</v>
      </c>
      <c r="B3598" s="28" t="s">
        <v>19429</v>
      </c>
      <c r="C3598" s="28" t="s">
        <v>1684</v>
      </c>
      <c r="D3598" s="28" t="s">
        <v>6454</v>
      </c>
      <c r="E3598" s="28" t="s">
        <v>17526</v>
      </c>
      <c r="F3598" s="28" t="s">
        <v>21</v>
      </c>
      <c r="G3598" s="28" t="s">
        <v>39</v>
      </c>
      <c r="H3598" s="28" t="s">
        <v>16221</v>
      </c>
      <c r="I3598" s="28" t="s">
        <v>19430</v>
      </c>
      <c r="J3598" s="28" t="s">
        <v>39</v>
      </c>
      <c r="K3598" s="28" t="s">
        <v>16223</v>
      </c>
      <c r="L3598" s="28" t="s">
        <v>16224</v>
      </c>
      <c r="M3598" s="28" t="s">
        <v>19431</v>
      </c>
      <c r="N3598" s="28" t="s">
        <v>16226</v>
      </c>
      <c r="O3598" s="28" t="s">
        <v>16227</v>
      </c>
      <c r="P3598" s="28" t="s">
        <v>17529</v>
      </c>
    </row>
    <row r="3599" spans="1:16" x14ac:dyDescent="0.25">
      <c r="A3599" s="28" t="s">
        <v>19432</v>
      </c>
      <c r="B3599" s="28" t="s">
        <v>19433</v>
      </c>
      <c r="C3599" s="28" t="s">
        <v>1684</v>
      </c>
      <c r="D3599" s="28" t="s">
        <v>6454</v>
      </c>
      <c r="E3599" s="28" t="s">
        <v>17526</v>
      </c>
      <c r="F3599" s="28" t="s">
        <v>21</v>
      </c>
      <c r="G3599" s="28" t="s">
        <v>39</v>
      </c>
      <c r="H3599" s="28" t="s">
        <v>16221</v>
      </c>
      <c r="I3599" s="28" t="s">
        <v>19434</v>
      </c>
      <c r="J3599" s="28" t="s">
        <v>39</v>
      </c>
      <c r="K3599" s="28" t="s">
        <v>16223</v>
      </c>
      <c r="L3599" s="28" t="s">
        <v>16224</v>
      </c>
      <c r="M3599" s="28" t="s">
        <v>19435</v>
      </c>
      <c r="N3599" s="28" t="s">
        <v>16226</v>
      </c>
      <c r="O3599" s="28" t="s">
        <v>16227</v>
      </c>
      <c r="P3599" s="28" t="s">
        <v>17529</v>
      </c>
    </row>
    <row r="3600" spans="1:16" x14ac:dyDescent="0.25">
      <c r="A3600" s="28" t="s">
        <v>19436</v>
      </c>
      <c r="B3600" s="28" t="s">
        <v>19437</v>
      </c>
      <c r="C3600" s="28" t="s">
        <v>1684</v>
      </c>
      <c r="D3600" s="28" t="s">
        <v>6454</v>
      </c>
      <c r="E3600" s="28" t="s">
        <v>17532</v>
      </c>
      <c r="F3600" s="28" t="s">
        <v>21</v>
      </c>
      <c r="G3600" s="28" t="s">
        <v>39</v>
      </c>
      <c r="H3600" s="28" t="s">
        <v>16221</v>
      </c>
      <c r="I3600" s="28" t="s">
        <v>19438</v>
      </c>
      <c r="J3600" s="28" t="s">
        <v>39</v>
      </c>
      <c r="K3600" s="28" t="s">
        <v>16223</v>
      </c>
      <c r="L3600" s="28" t="s">
        <v>16224</v>
      </c>
      <c r="M3600" s="28" t="s">
        <v>19439</v>
      </c>
      <c r="N3600" s="28" t="s">
        <v>16226</v>
      </c>
      <c r="O3600" s="28" t="s">
        <v>16227</v>
      </c>
      <c r="P3600" s="28" t="s">
        <v>17535</v>
      </c>
    </row>
    <row r="3601" spans="1:16" x14ac:dyDescent="0.25">
      <c r="A3601" s="28" t="s">
        <v>19440</v>
      </c>
      <c r="B3601" s="28" t="s">
        <v>19441</v>
      </c>
      <c r="C3601" s="28" t="s">
        <v>1684</v>
      </c>
      <c r="D3601" s="28" t="s">
        <v>6454</v>
      </c>
      <c r="E3601" s="28" t="s">
        <v>17532</v>
      </c>
      <c r="F3601" s="28" t="s">
        <v>21</v>
      </c>
      <c r="G3601" s="28" t="s">
        <v>39</v>
      </c>
      <c r="H3601" s="28" t="s">
        <v>16221</v>
      </c>
      <c r="I3601" s="28" t="s">
        <v>19442</v>
      </c>
      <c r="J3601" s="28" t="s">
        <v>39</v>
      </c>
      <c r="K3601" s="28" t="s">
        <v>16223</v>
      </c>
      <c r="L3601" s="28" t="s">
        <v>16224</v>
      </c>
      <c r="M3601" s="28" t="s">
        <v>19443</v>
      </c>
      <c r="N3601" s="28" t="s">
        <v>16226</v>
      </c>
      <c r="O3601" s="28" t="s">
        <v>16227</v>
      </c>
      <c r="P3601" s="28" t="s">
        <v>17535</v>
      </c>
    </row>
    <row r="3602" spans="1:16" x14ac:dyDescent="0.25">
      <c r="A3602" s="28" t="s">
        <v>19444</v>
      </c>
      <c r="B3602" s="28" t="s">
        <v>19445</v>
      </c>
      <c r="C3602" s="28" t="s">
        <v>1684</v>
      </c>
      <c r="D3602" s="28" t="s">
        <v>6454</v>
      </c>
      <c r="E3602" s="28" t="s">
        <v>17532</v>
      </c>
      <c r="F3602" s="28" t="s">
        <v>21</v>
      </c>
      <c r="G3602" s="28" t="s">
        <v>39</v>
      </c>
      <c r="H3602" s="28" t="s">
        <v>16221</v>
      </c>
      <c r="I3602" s="28" t="s">
        <v>19446</v>
      </c>
      <c r="J3602" s="28" t="s">
        <v>39</v>
      </c>
      <c r="K3602" s="28" t="s">
        <v>16223</v>
      </c>
      <c r="L3602" s="28" t="s">
        <v>16224</v>
      </c>
      <c r="M3602" s="28" t="s">
        <v>19447</v>
      </c>
      <c r="N3602" s="28" t="s">
        <v>16226</v>
      </c>
      <c r="O3602" s="28" t="s">
        <v>16227</v>
      </c>
      <c r="P3602" s="28" t="s">
        <v>17535</v>
      </c>
    </row>
    <row r="3603" spans="1:16" x14ac:dyDescent="0.25">
      <c r="A3603" s="28" t="s">
        <v>19448</v>
      </c>
      <c r="B3603" s="28" t="s">
        <v>19449</v>
      </c>
      <c r="C3603" s="28" t="s">
        <v>1684</v>
      </c>
      <c r="D3603" s="28" t="s">
        <v>6454</v>
      </c>
      <c r="E3603" s="28" t="s">
        <v>17538</v>
      </c>
      <c r="F3603" s="28" t="s">
        <v>21</v>
      </c>
      <c r="G3603" s="28" t="s">
        <v>39</v>
      </c>
      <c r="H3603" s="28" t="s">
        <v>16221</v>
      </c>
      <c r="I3603" s="28" t="s">
        <v>19450</v>
      </c>
      <c r="J3603" s="28" t="s">
        <v>39</v>
      </c>
      <c r="K3603" s="28" t="s">
        <v>16223</v>
      </c>
      <c r="L3603" s="28" t="s">
        <v>16224</v>
      </c>
      <c r="M3603" s="28" t="s">
        <v>19451</v>
      </c>
      <c r="N3603" s="28" t="s">
        <v>16226</v>
      </c>
      <c r="O3603" s="28" t="s">
        <v>16227</v>
      </c>
      <c r="P3603" s="28" t="s">
        <v>17541</v>
      </c>
    </row>
    <row r="3604" spans="1:16" x14ac:dyDescent="0.25">
      <c r="A3604" s="28" t="s">
        <v>19452</v>
      </c>
      <c r="B3604" s="28" t="s">
        <v>19453</v>
      </c>
      <c r="C3604" s="28" t="s">
        <v>1684</v>
      </c>
      <c r="D3604" s="28" t="s">
        <v>6454</v>
      </c>
      <c r="E3604" s="28" t="s">
        <v>17538</v>
      </c>
      <c r="F3604" s="28" t="s">
        <v>21</v>
      </c>
      <c r="G3604" s="28" t="s">
        <v>39</v>
      </c>
      <c r="H3604" s="28" t="s">
        <v>16221</v>
      </c>
      <c r="I3604" s="28" t="s">
        <v>19454</v>
      </c>
      <c r="J3604" s="28" t="s">
        <v>39</v>
      </c>
      <c r="K3604" s="28" t="s">
        <v>16223</v>
      </c>
      <c r="L3604" s="28" t="s">
        <v>16224</v>
      </c>
      <c r="M3604" s="28" t="s">
        <v>19455</v>
      </c>
      <c r="N3604" s="28" t="s">
        <v>16226</v>
      </c>
      <c r="O3604" s="28" t="s">
        <v>16227</v>
      </c>
      <c r="P3604" s="28" t="s">
        <v>17541</v>
      </c>
    </row>
    <row r="3605" spans="1:16" x14ac:dyDescent="0.25">
      <c r="A3605" s="28" t="s">
        <v>19456</v>
      </c>
      <c r="B3605" s="28" t="s">
        <v>19457</v>
      </c>
      <c r="C3605" s="28" t="s">
        <v>1684</v>
      </c>
      <c r="D3605" s="28" t="s">
        <v>6454</v>
      </c>
      <c r="E3605" s="28" t="s">
        <v>17538</v>
      </c>
      <c r="F3605" s="28" t="s">
        <v>21</v>
      </c>
      <c r="G3605" s="28" t="s">
        <v>39</v>
      </c>
      <c r="H3605" s="28" t="s">
        <v>16221</v>
      </c>
      <c r="I3605" s="28" t="s">
        <v>19458</v>
      </c>
      <c r="J3605" s="28" t="s">
        <v>39</v>
      </c>
      <c r="K3605" s="28" t="s">
        <v>16223</v>
      </c>
      <c r="L3605" s="28" t="s">
        <v>16224</v>
      </c>
      <c r="M3605" s="28" t="s">
        <v>19459</v>
      </c>
      <c r="N3605" s="28" t="s">
        <v>16226</v>
      </c>
      <c r="O3605" s="28" t="s">
        <v>16227</v>
      </c>
      <c r="P3605" s="28" t="s">
        <v>17541</v>
      </c>
    </row>
    <row r="3606" spans="1:16" x14ac:dyDescent="0.25">
      <c r="A3606" s="28" t="s">
        <v>19460</v>
      </c>
      <c r="B3606" s="28" t="s">
        <v>19461</v>
      </c>
      <c r="C3606" s="28" t="s">
        <v>1684</v>
      </c>
      <c r="D3606" s="28" t="s">
        <v>6467</v>
      </c>
      <c r="E3606" s="28" t="s">
        <v>17544</v>
      </c>
      <c r="F3606" s="28" t="s">
        <v>21</v>
      </c>
      <c r="G3606" s="28" t="s">
        <v>39</v>
      </c>
      <c r="H3606" s="28" t="s">
        <v>16221</v>
      </c>
      <c r="I3606" s="28" t="s">
        <v>19462</v>
      </c>
      <c r="J3606" s="28" t="s">
        <v>39</v>
      </c>
      <c r="K3606" s="28" t="s">
        <v>16223</v>
      </c>
      <c r="L3606" s="28" t="s">
        <v>16224</v>
      </c>
      <c r="M3606" s="28" t="s">
        <v>19463</v>
      </c>
      <c r="N3606" s="28" t="s">
        <v>16226</v>
      </c>
      <c r="O3606" s="28" t="s">
        <v>16227</v>
      </c>
      <c r="P3606" s="28" t="s">
        <v>17547</v>
      </c>
    </row>
    <row r="3607" spans="1:16" x14ac:dyDescent="0.25">
      <c r="A3607" s="28" t="s">
        <v>19464</v>
      </c>
      <c r="B3607" s="28" t="s">
        <v>19465</v>
      </c>
      <c r="C3607" s="28" t="s">
        <v>1684</v>
      </c>
      <c r="D3607" s="28" t="s">
        <v>6467</v>
      </c>
      <c r="E3607" s="28" t="s">
        <v>17544</v>
      </c>
      <c r="F3607" s="28" t="s">
        <v>21</v>
      </c>
      <c r="G3607" s="28" t="s">
        <v>39</v>
      </c>
      <c r="H3607" s="28" t="s">
        <v>16221</v>
      </c>
      <c r="I3607" s="28" t="s">
        <v>19466</v>
      </c>
      <c r="J3607" s="28" t="s">
        <v>39</v>
      </c>
      <c r="K3607" s="28" t="s">
        <v>16223</v>
      </c>
      <c r="L3607" s="28" t="s">
        <v>16224</v>
      </c>
      <c r="M3607" s="28" t="s">
        <v>19467</v>
      </c>
      <c r="N3607" s="28" t="s">
        <v>16226</v>
      </c>
      <c r="O3607" s="28" t="s">
        <v>16227</v>
      </c>
      <c r="P3607" s="28" t="s">
        <v>17547</v>
      </c>
    </row>
    <row r="3608" spans="1:16" x14ac:dyDescent="0.25">
      <c r="A3608" s="28" t="s">
        <v>19468</v>
      </c>
      <c r="B3608" s="28" t="s">
        <v>19469</v>
      </c>
      <c r="C3608" s="28" t="s">
        <v>1684</v>
      </c>
      <c r="D3608" s="28" t="s">
        <v>6467</v>
      </c>
      <c r="E3608" s="28" t="s">
        <v>17544</v>
      </c>
      <c r="F3608" s="28" t="s">
        <v>21</v>
      </c>
      <c r="G3608" s="28" t="s">
        <v>39</v>
      </c>
      <c r="H3608" s="28" t="s">
        <v>16221</v>
      </c>
      <c r="I3608" s="28" t="s">
        <v>19470</v>
      </c>
      <c r="J3608" s="28" t="s">
        <v>39</v>
      </c>
      <c r="K3608" s="28" t="s">
        <v>16223</v>
      </c>
      <c r="L3608" s="28" t="s">
        <v>16224</v>
      </c>
      <c r="M3608" s="28" t="s">
        <v>19471</v>
      </c>
      <c r="N3608" s="28" t="s">
        <v>16226</v>
      </c>
      <c r="O3608" s="28" t="s">
        <v>16227</v>
      </c>
      <c r="P3608" s="28" t="s">
        <v>17547</v>
      </c>
    </row>
    <row r="3609" spans="1:16" x14ac:dyDescent="0.25">
      <c r="A3609" s="28" t="s">
        <v>19472</v>
      </c>
      <c r="B3609" s="28" t="s">
        <v>19473</v>
      </c>
      <c r="C3609" s="28" t="s">
        <v>1684</v>
      </c>
      <c r="D3609" s="28" t="s">
        <v>6467</v>
      </c>
      <c r="E3609" s="28" t="s">
        <v>17544</v>
      </c>
      <c r="F3609" s="28" t="s">
        <v>21</v>
      </c>
      <c r="G3609" s="28" t="s">
        <v>39</v>
      </c>
      <c r="H3609" s="28" t="s">
        <v>16221</v>
      </c>
      <c r="I3609" s="28" t="s">
        <v>19474</v>
      </c>
      <c r="J3609" s="28" t="s">
        <v>39</v>
      </c>
      <c r="K3609" s="28" t="s">
        <v>16223</v>
      </c>
      <c r="L3609" s="28" t="s">
        <v>16224</v>
      </c>
      <c r="M3609" s="28" t="s">
        <v>19475</v>
      </c>
      <c r="N3609" s="28" t="s">
        <v>16226</v>
      </c>
      <c r="O3609" s="28" t="s">
        <v>16227</v>
      </c>
      <c r="P3609" s="28" t="s">
        <v>17547</v>
      </c>
    </row>
    <row r="3610" spans="1:16" x14ac:dyDescent="0.25">
      <c r="A3610" s="28" t="s">
        <v>19476</v>
      </c>
      <c r="B3610" s="28" t="s">
        <v>19477</v>
      </c>
      <c r="C3610" s="28" t="s">
        <v>1684</v>
      </c>
      <c r="D3610" s="28" t="s">
        <v>6467</v>
      </c>
      <c r="E3610" s="28" t="s">
        <v>17544</v>
      </c>
      <c r="F3610" s="28" t="s">
        <v>21</v>
      </c>
      <c r="G3610" s="28" t="s">
        <v>39</v>
      </c>
      <c r="H3610" s="28" t="s">
        <v>16221</v>
      </c>
      <c r="I3610" s="28" t="s">
        <v>19478</v>
      </c>
      <c r="J3610" s="28" t="s">
        <v>39</v>
      </c>
      <c r="K3610" s="28" t="s">
        <v>16223</v>
      </c>
      <c r="L3610" s="28" t="s">
        <v>16224</v>
      </c>
      <c r="M3610" s="28" t="s">
        <v>19479</v>
      </c>
      <c r="N3610" s="28" t="s">
        <v>16226</v>
      </c>
      <c r="O3610" s="28" t="s">
        <v>16227</v>
      </c>
      <c r="P3610" s="28" t="s">
        <v>17547</v>
      </c>
    </row>
    <row r="3611" spans="1:16" x14ac:dyDescent="0.25">
      <c r="A3611" s="28" t="s">
        <v>19480</v>
      </c>
      <c r="B3611" s="28" t="s">
        <v>19481</v>
      </c>
      <c r="C3611" s="28" t="s">
        <v>1684</v>
      </c>
      <c r="D3611" s="28" t="s">
        <v>6467</v>
      </c>
      <c r="E3611" s="28" t="s">
        <v>17544</v>
      </c>
      <c r="F3611" s="28" t="s">
        <v>21</v>
      </c>
      <c r="G3611" s="28" t="s">
        <v>39</v>
      </c>
      <c r="H3611" s="28" t="s">
        <v>16221</v>
      </c>
      <c r="I3611" s="28" t="s">
        <v>19482</v>
      </c>
      <c r="J3611" s="28" t="s">
        <v>39</v>
      </c>
      <c r="K3611" s="28" t="s">
        <v>16223</v>
      </c>
      <c r="L3611" s="28" t="s">
        <v>16224</v>
      </c>
      <c r="M3611" s="28" t="s">
        <v>19483</v>
      </c>
      <c r="N3611" s="28" t="s">
        <v>16226</v>
      </c>
      <c r="O3611" s="28" t="s">
        <v>16227</v>
      </c>
      <c r="P3611" s="28" t="s">
        <v>17547</v>
      </c>
    </row>
    <row r="3612" spans="1:16" x14ac:dyDescent="0.25">
      <c r="A3612" s="28" t="s">
        <v>19484</v>
      </c>
      <c r="B3612" s="28" t="s">
        <v>19485</v>
      </c>
      <c r="C3612" s="28" t="s">
        <v>1684</v>
      </c>
      <c r="D3612" s="28" t="s">
        <v>6467</v>
      </c>
      <c r="E3612" s="28" t="s">
        <v>17544</v>
      </c>
      <c r="F3612" s="28" t="s">
        <v>21</v>
      </c>
      <c r="G3612" s="28" t="s">
        <v>39</v>
      </c>
      <c r="H3612" s="28" t="s">
        <v>16221</v>
      </c>
      <c r="I3612" s="28" t="s">
        <v>19486</v>
      </c>
      <c r="J3612" s="28" t="s">
        <v>39</v>
      </c>
      <c r="K3612" s="28" t="s">
        <v>16223</v>
      </c>
      <c r="L3612" s="28" t="s">
        <v>16224</v>
      </c>
      <c r="M3612" s="28" t="s">
        <v>19487</v>
      </c>
      <c r="N3612" s="28" t="s">
        <v>16226</v>
      </c>
      <c r="O3612" s="28" t="s">
        <v>16227</v>
      </c>
      <c r="P3612" s="28" t="s">
        <v>17547</v>
      </c>
    </row>
    <row r="3613" spans="1:16" x14ac:dyDescent="0.25">
      <c r="A3613" s="28" t="s">
        <v>19488</v>
      </c>
      <c r="B3613" s="28" t="s">
        <v>19489</v>
      </c>
      <c r="C3613" s="28" t="s">
        <v>1684</v>
      </c>
      <c r="D3613" s="28" t="s">
        <v>6467</v>
      </c>
      <c r="E3613" s="28" t="s">
        <v>17544</v>
      </c>
      <c r="F3613" s="28" t="s">
        <v>21</v>
      </c>
      <c r="G3613" s="28" t="s">
        <v>39</v>
      </c>
      <c r="H3613" s="28" t="s">
        <v>16221</v>
      </c>
      <c r="I3613" s="28" t="s">
        <v>19490</v>
      </c>
      <c r="J3613" s="28" t="s">
        <v>39</v>
      </c>
      <c r="K3613" s="28" t="s">
        <v>16223</v>
      </c>
      <c r="L3613" s="28" t="s">
        <v>16224</v>
      </c>
      <c r="M3613" s="28" t="s">
        <v>19491</v>
      </c>
      <c r="N3613" s="28" t="s">
        <v>16226</v>
      </c>
      <c r="O3613" s="28" t="s">
        <v>16227</v>
      </c>
      <c r="P3613" s="28" t="s">
        <v>17547</v>
      </c>
    </row>
    <row r="3614" spans="1:16" x14ac:dyDescent="0.25">
      <c r="A3614" s="28" t="s">
        <v>19492</v>
      </c>
      <c r="B3614" s="28" t="s">
        <v>19493</v>
      </c>
      <c r="C3614" s="28" t="s">
        <v>1684</v>
      </c>
      <c r="D3614" s="28" t="s">
        <v>6467</v>
      </c>
      <c r="E3614" s="28" t="s">
        <v>17544</v>
      </c>
      <c r="F3614" s="28" t="s">
        <v>21</v>
      </c>
      <c r="G3614" s="28" t="s">
        <v>39</v>
      </c>
      <c r="H3614" s="28" t="s">
        <v>16221</v>
      </c>
      <c r="I3614" s="28" t="s">
        <v>19494</v>
      </c>
      <c r="J3614" s="28" t="s">
        <v>39</v>
      </c>
      <c r="K3614" s="28" t="s">
        <v>16223</v>
      </c>
      <c r="L3614" s="28" t="s">
        <v>16224</v>
      </c>
      <c r="M3614" s="28" t="s">
        <v>19495</v>
      </c>
      <c r="N3614" s="28" t="s">
        <v>16226</v>
      </c>
      <c r="O3614" s="28" t="s">
        <v>16227</v>
      </c>
      <c r="P3614" s="28" t="s">
        <v>17547</v>
      </c>
    </row>
    <row r="3615" spans="1:16" x14ac:dyDescent="0.25">
      <c r="A3615" s="28" t="s">
        <v>19496</v>
      </c>
      <c r="B3615" s="28" t="s">
        <v>19497</v>
      </c>
      <c r="C3615" s="28" t="s">
        <v>1684</v>
      </c>
      <c r="D3615" s="28" t="s">
        <v>6467</v>
      </c>
      <c r="E3615" s="28" t="s">
        <v>17544</v>
      </c>
      <c r="F3615" s="28" t="s">
        <v>21</v>
      </c>
      <c r="G3615" s="28" t="s">
        <v>39</v>
      </c>
      <c r="H3615" s="28" t="s">
        <v>16221</v>
      </c>
      <c r="I3615" s="28" t="s">
        <v>19498</v>
      </c>
      <c r="J3615" s="28" t="s">
        <v>39</v>
      </c>
      <c r="K3615" s="28" t="s">
        <v>16223</v>
      </c>
      <c r="L3615" s="28" t="s">
        <v>16224</v>
      </c>
      <c r="M3615" s="28" t="s">
        <v>19499</v>
      </c>
      <c r="N3615" s="28" t="s">
        <v>16226</v>
      </c>
      <c r="O3615" s="28" t="s">
        <v>16227</v>
      </c>
      <c r="P3615" s="28" t="s">
        <v>17547</v>
      </c>
    </row>
    <row r="3616" spans="1:16" x14ac:dyDescent="0.25">
      <c r="A3616" s="28" t="s">
        <v>19500</v>
      </c>
      <c r="B3616" s="28" t="s">
        <v>19501</v>
      </c>
      <c r="C3616" s="28" t="s">
        <v>1684</v>
      </c>
      <c r="D3616" s="28" t="s">
        <v>6467</v>
      </c>
      <c r="E3616" s="28" t="s">
        <v>17544</v>
      </c>
      <c r="F3616" s="28" t="s">
        <v>21</v>
      </c>
      <c r="G3616" s="28" t="s">
        <v>39</v>
      </c>
      <c r="H3616" s="28" t="s">
        <v>16221</v>
      </c>
      <c r="I3616" s="28" t="s">
        <v>19502</v>
      </c>
      <c r="J3616" s="28" t="s">
        <v>39</v>
      </c>
      <c r="K3616" s="28" t="s">
        <v>16223</v>
      </c>
      <c r="L3616" s="28" t="s">
        <v>16224</v>
      </c>
      <c r="M3616" s="28" t="s">
        <v>19503</v>
      </c>
      <c r="N3616" s="28" t="s">
        <v>16226</v>
      </c>
      <c r="O3616" s="28" t="s">
        <v>16227</v>
      </c>
      <c r="P3616" s="28" t="s">
        <v>17547</v>
      </c>
    </row>
    <row r="3617" spans="1:16" x14ac:dyDescent="0.25">
      <c r="A3617" s="28" t="s">
        <v>19504</v>
      </c>
      <c r="B3617" s="28" t="s">
        <v>19505</v>
      </c>
      <c r="C3617" s="28" t="s">
        <v>1684</v>
      </c>
      <c r="D3617" s="28" t="s">
        <v>6467</v>
      </c>
      <c r="E3617" s="28" t="s">
        <v>17544</v>
      </c>
      <c r="F3617" s="28" t="s">
        <v>21</v>
      </c>
      <c r="G3617" s="28" t="s">
        <v>39</v>
      </c>
      <c r="H3617" s="28" t="s">
        <v>16221</v>
      </c>
      <c r="I3617" s="28" t="s">
        <v>19506</v>
      </c>
      <c r="J3617" s="28" t="s">
        <v>39</v>
      </c>
      <c r="K3617" s="28" t="s">
        <v>16223</v>
      </c>
      <c r="L3617" s="28" t="s">
        <v>16224</v>
      </c>
      <c r="M3617" s="28" t="s">
        <v>19507</v>
      </c>
      <c r="N3617" s="28" t="s">
        <v>16226</v>
      </c>
      <c r="O3617" s="28" t="s">
        <v>16227</v>
      </c>
      <c r="P3617" s="28" t="s">
        <v>17547</v>
      </c>
    </row>
    <row r="3618" spans="1:16" x14ac:dyDescent="0.25">
      <c r="A3618" s="28" t="s">
        <v>19508</v>
      </c>
      <c r="B3618" s="28" t="s">
        <v>19509</v>
      </c>
      <c r="C3618" s="28" t="s">
        <v>1684</v>
      </c>
      <c r="D3618" s="28" t="s">
        <v>6467</v>
      </c>
      <c r="E3618" s="28" t="s">
        <v>17544</v>
      </c>
      <c r="F3618" s="28" t="s">
        <v>21</v>
      </c>
      <c r="G3618" s="28" t="s">
        <v>39</v>
      </c>
      <c r="H3618" s="28" t="s">
        <v>16221</v>
      </c>
      <c r="I3618" s="28" t="s">
        <v>19510</v>
      </c>
      <c r="J3618" s="28" t="s">
        <v>39</v>
      </c>
      <c r="K3618" s="28" t="s">
        <v>16223</v>
      </c>
      <c r="L3618" s="28" t="s">
        <v>16224</v>
      </c>
      <c r="M3618" s="28" t="s">
        <v>19511</v>
      </c>
      <c r="N3618" s="28" t="s">
        <v>16226</v>
      </c>
      <c r="O3618" s="28" t="s">
        <v>16227</v>
      </c>
      <c r="P3618" s="28" t="s">
        <v>17547</v>
      </c>
    </row>
    <row r="3619" spans="1:16" x14ac:dyDescent="0.25">
      <c r="A3619" s="28" t="s">
        <v>19512</v>
      </c>
      <c r="B3619" s="28" t="s">
        <v>19513</v>
      </c>
      <c r="C3619" s="28" t="s">
        <v>1684</v>
      </c>
      <c r="D3619" s="28" t="s">
        <v>6467</v>
      </c>
      <c r="E3619" s="28" t="s">
        <v>17544</v>
      </c>
      <c r="F3619" s="28" t="s">
        <v>21</v>
      </c>
      <c r="G3619" s="28" t="s">
        <v>39</v>
      </c>
      <c r="H3619" s="28" t="s">
        <v>16221</v>
      </c>
      <c r="I3619" s="28" t="s">
        <v>19514</v>
      </c>
      <c r="J3619" s="28" t="s">
        <v>39</v>
      </c>
      <c r="K3619" s="28" t="s">
        <v>16223</v>
      </c>
      <c r="L3619" s="28" t="s">
        <v>16224</v>
      </c>
      <c r="M3619" s="28" t="s">
        <v>19515</v>
      </c>
      <c r="N3619" s="28" t="s">
        <v>16226</v>
      </c>
      <c r="O3619" s="28" t="s">
        <v>16227</v>
      </c>
      <c r="P3619" s="28" t="s">
        <v>17547</v>
      </c>
    </row>
    <row r="3620" spans="1:16" x14ac:dyDescent="0.25">
      <c r="A3620" s="28" t="s">
        <v>19516</v>
      </c>
      <c r="B3620" s="28" t="s">
        <v>19517</v>
      </c>
      <c r="C3620" s="28" t="s">
        <v>1684</v>
      </c>
      <c r="D3620" s="28" t="s">
        <v>6467</v>
      </c>
      <c r="E3620" s="28" t="s">
        <v>17544</v>
      </c>
      <c r="F3620" s="28" t="s">
        <v>21</v>
      </c>
      <c r="G3620" s="28" t="s">
        <v>39</v>
      </c>
      <c r="H3620" s="28" t="s">
        <v>16221</v>
      </c>
      <c r="I3620" s="28" t="s">
        <v>19518</v>
      </c>
      <c r="J3620" s="28" t="s">
        <v>39</v>
      </c>
      <c r="K3620" s="28" t="s">
        <v>16223</v>
      </c>
      <c r="L3620" s="28" t="s">
        <v>16224</v>
      </c>
      <c r="M3620" s="28" t="s">
        <v>19519</v>
      </c>
      <c r="N3620" s="28" t="s">
        <v>16226</v>
      </c>
      <c r="O3620" s="28" t="s">
        <v>16227</v>
      </c>
      <c r="P3620" s="28" t="s">
        <v>17547</v>
      </c>
    </row>
    <row r="3621" spans="1:16" x14ac:dyDescent="0.25">
      <c r="A3621" s="28" t="s">
        <v>19520</v>
      </c>
      <c r="B3621" s="28" t="s">
        <v>19521</v>
      </c>
      <c r="C3621" s="28" t="s">
        <v>1684</v>
      </c>
      <c r="D3621" s="28" t="s">
        <v>6467</v>
      </c>
      <c r="E3621" s="28" t="s">
        <v>17544</v>
      </c>
      <c r="F3621" s="28" t="s">
        <v>21</v>
      </c>
      <c r="G3621" s="28" t="s">
        <v>39</v>
      </c>
      <c r="H3621" s="28" t="s">
        <v>16221</v>
      </c>
      <c r="I3621" s="28" t="s">
        <v>19522</v>
      </c>
      <c r="J3621" s="28" t="s">
        <v>39</v>
      </c>
      <c r="K3621" s="28" t="s">
        <v>16223</v>
      </c>
      <c r="L3621" s="28" t="s">
        <v>16224</v>
      </c>
      <c r="M3621" s="28" t="s">
        <v>19523</v>
      </c>
      <c r="N3621" s="28" t="s">
        <v>16226</v>
      </c>
      <c r="O3621" s="28" t="s">
        <v>16227</v>
      </c>
      <c r="P3621" s="28" t="s">
        <v>17547</v>
      </c>
    </row>
    <row r="3622" spans="1:16" x14ac:dyDescent="0.25">
      <c r="A3622" s="28" t="s">
        <v>19524</v>
      </c>
      <c r="B3622" s="28" t="s">
        <v>19525</v>
      </c>
      <c r="C3622" s="28" t="s">
        <v>1684</v>
      </c>
      <c r="D3622" s="28" t="s">
        <v>6467</v>
      </c>
      <c r="E3622" s="28" t="s">
        <v>17544</v>
      </c>
      <c r="F3622" s="28" t="s">
        <v>21</v>
      </c>
      <c r="G3622" s="28" t="s">
        <v>39</v>
      </c>
      <c r="H3622" s="28" t="s">
        <v>16221</v>
      </c>
      <c r="I3622" s="28" t="s">
        <v>19526</v>
      </c>
      <c r="J3622" s="28" t="s">
        <v>39</v>
      </c>
      <c r="K3622" s="28" t="s">
        <v>16223</v>
      </c>
      <c r="L3622" s="28" t="s">
        <v>16224</v>
      </c>
      <c r="M3622" s="28" t="s">
        <v>19527</v>
      </c>
      <c r="N3622" s="28" t="s">
        <v>16226</v>
      </c>
      <c r="O3622" s="28" t="s">
        <v>16227</v>
      </c>
      <c r="P3622" s="28" t="s">
        <v>17547</v>
      </c>
    </row>
    <row r="3623" spans="1:16" x14ac:dyDescent="0.25">
      <c r="A3623" s="28" t="s">
        <v>19528</v>
      </c>
      <c r="B3623" s="28" t="s">
        <v>19529</v>
      </c>
      <c r="C3623" s="28" t="s">
        <v>1684</v>
      </c>
      <c r="D3623" s="28" t="s">
        <v>6467</v>
      </c>
      <c r="E3623" s="28" t="s">
        <v>17544</v>
      </c>
      <c r="F3623" s="28" t="s">
        <v>21</v>
      </c>
      <c r="G3623" s="28" t="s">
        <v>39</v>
      </c>
      <c r="H3623" s="28" t="s">
        <v>16221</v>
      </c>
      <c r="I3623" s="28" t="s">
        <v>19530</v>
      </c>
      <c r="J3623" s="28" t="s">
        <v>39</v>
      </c>
      <c r="K3623" s="28" t="s">
        <v>16223</v>
      </c>
      <c r="L3623" s="28" t="s">
        <v>16224</v>
      </c>
      <c r="M3623" s="28" t="s">
        <v>19531</v>
      </c>
      <c r="N3623" s="28" t="s">
        <v>16226</v>
      </c>
      <c r="O3623" s="28" t="s">
        <v>16227</v>
      </c>
      <c r="P3623" s="28" t="s">
        <v>17547</v>
      </c>
    </row>
    <row r="3624" spans="1:16" x14ac:dyDescent="0.25">
      <c r="A3624" s="28" t="s">
        <v>19532</v>
      </c>
      <c r="B3624" s="28" t="s">
        <v>19533</v>
      </c>
      <c r="C3624" s="28" t="s">
        <v>1684</v>
      </c>
      <c r="D3624" s="28" t="s">
        <v>6467</v>
      </c>
      <c r="E3624" s="28" t="s">
        <v>17544</v>
      </c>
      <c r="F3624" s="28" t="s">
        <v>21</v>
      </c>
      <c r="G3624" s="28" t="s">
        <v>39</v>
      </c>
      <c r="H3624" s="28" t="s">
        <v>16221</v>
      </c>
      <c r="I3624" s="28" t="s">
        <v>19534</v>
      </c>
      <c r="J3624" s="28" t="s">
        <v>39</v>
      </c>
      <c r="K3624" s="28" t="s">
        <v>16223</v>
      </c>
      <c r="L3624" s="28" t="s">
        <v>16224</v>
      </c>
      <c r="M3624" s="28" t="s">
        <v>19535</v>
      </c>
      <c r="N3624" s="28" t="s">
        <v>16226</v>
      </c>
      <c r="O3624" s="28" t="s">
        <v>16227</v>
      </c>
      <c r="P3624" s="28" t="s">
        <v>17547</v>
      </c>
    </row>
    <row r="3625" spans="1:16" x14ac:dyDescent="0.25">
      <c r="A3625" s="28" t="s">
        <v>19536</v>
      </c>
      <c r="B3625" s="28" t="s">
        <v>19537</v>
      </c>
      <c r="C3625" s="28" t="s">
        <v>1684</v>
      </c>
      <c r="D3625" s="28" t="s">
        <v>6467</v>
      </c>
      <c r="E3625" s="28" t="s">
        <v>17544</v>
      </c>
      <c r="F3625" s="28" t="s">
        <v>21</v>
      </c>
      <c r="G3625" s="28" t="s">
        <v>39</v>
      </c>
      <c r="H3625" s="28" t="s">
        <v>16221</v>
      </c>
      <c r="I3625" s="28" t="s">
        <v>19538</v>
      </c>
      <c r="J3625" s="28" t="s">
        <v>39</v>
      </c>
      <c r="K3625" s="28" t="s">
        <v>16223</v>
      </c>
      <c r="L3625" s="28" t="s">
        <v>16224</v>
      </c>
      <c r="M3625" s="28" t="s">
        <v>19539</v>
      </c>
      <c r="N3625" s="28" t="s">
        <v>16226</v>
      </c>
      <c r="O3625" s="28" t="s">
        <v>16227</v>
      </c>
      <c r="P3625" s="28" t="s">
        <v>17547</v>
      </c>
    </row>
    <row r="3626" spans="1:16" x14ac:dyDescent="0.25">
      <c r="A3626" s="28" t="s">
        <v>19540</v>
      </c>
      <c r="B3626" s="28" t="s">
        <v>19541</v>
      </c>
      <c r="C3626" s="28" t="s">
        <v>1684</v>
      </c>
      <c r="D3626" s="28" t="s">
        <v>6467</v>
      </c>
      <c r="E3626" s="28" t="s">
        <v>17544</v>
      </c>
      <c r="F3626" s="28" t="s">
        <v>21</v>
      </c>
      <c r="G3626" s="28" t="s">
        <v>39</v>
      </c>
      <c r="H3626" s="28" t="s">
        <v>16221</v>
      </c>
      <c r="I3626" s="28" t="s">
        <v>19542</v>
      </c>
      <c r="J3626" s="28" t="s">
        <v>39</v>
      </c>
      <c r="K3626" s="28" t="s">
        <v>16223</v>
      </c>
      <c r="L3626" s="28" t="s">
        <v>16224</v>
      </c>
      <c r="M3626" s="28" t="s">
        <v>19543</v>
      </c>
      <c r="N3626" s="28" t="s">
        <v>16226</v>
      </c>
      <c r="O3626" s="28" t="s">
        <v>16227</v>
      </c>
      <c r="P3626" s="28" t="s">
        <v>17547</v>
      </c>
    </row>
    <row r="3627" spans="1:16" x14ac:dyDescent="0.25">
      <c r="A3627" s="28" t="s">
        <v>19544</v>
      </c>
      <c r="B3627" s="28" t="s">
        <v>19545</v>
      </c>
      <c r="C3627" s="28" t="s">
        <v>1684</v>
      </c>
      <c r="D3627" s="28" t="s">
        <v>6467</v>
      </c>
      <c r="E3627" s="28" t="s">
        <v>17544</v>
      </c>
      <c r="F3627" s="28" t="s">
        <v>21</v>
      </c>
      <c r="G3627" s="28" t="s">
        <v>39</v>
      </c>
      <c r="H3627" s="28" t="s">
        <v>16221</v>
      </c>
      <c r="I3627" s="28" t="s">
        <v>19546</v>
      </c>
      <c r="J3627" s="28" t="s">
        <v>39</v>
      </c>
      <c r="K3627" s="28" t="s">
        <v>16223</v>
      </c>
      <c r="L3627" s="28" t="s">
        <v>16224</v>
      </c>
      <c r="M3627" s="28" t="s">
        <v>19547</v>
      </c>
      <c r="N3627" s="28" t="s">
        <v>16226</v>
      </c>
      <c r="O3627" s="28" t="s">
        <v>16227</v>
      </c>
      <c r="P3627" s="28" t="s">
        <v>17547</v>
      </c>
    </row>
    <row r="3628" spans="1:16" x14ac:dyDescent="0.25">
      <c r="A3628" s="28" t="s">
        <v>19548</v>
      </c>
      <c r="B3628" s="28" t="s">
        <v>19549</v>
      </c>
      <c r="C3628" s="28" t="s">
        <v>1684</v>
      </c>
      <c r="D3628" s="28" t="s">
        <v>6467</v>
      </c>
      <c r="E3628" s="28" t="s">
        <v>17544</v>
      </c>
      <c r="F3628" s="28" t="s">
        <v>21</v>
      </c>
      <c r="G3628" s="28" t="s">
        <v>39</v>
      </c>
      <c r="H3628" s="28" t="s">
        <v>16221</v>
      </c>
      <c r="I3628" s="28" t="s">
        <v>19550</v>
      </c>
      <c r="J3628" s="28" t="s">
        <v>39</v>
      </c>
      <c r="K3628" s="28" t="s">
        <v>16223</v>
      </c>
      <c r="L3628" s="28" t="s">
        <v>16224</v>
      </c>
      <c r="M3628" s="28" t="s">
        <v>19551</v>
      </c>
      <c r="N3628" s="28" t="s">
        <v>16226</v>
      </c>
      <c r="O3628" s="28" t="s">
        <v>16227</v>
      </c>
      <c r="P3628" s="28" t="s">
        <v>17547</v>
      </c>
    </row>
    <row r="3629" spans="1:16" x14ac:dyDescent="0.25">
      <c r="A3629" s="28" t="s">
        <v>19552</v>
      </c>
      <c r="B3629" s="28" t="s">
        <v>19553</v>
      </c>
      <c r="C3629" s="28" t="s">
        <v>1684</v>
      </c>
      <c r="D3629" s="28" t="s">
        <v>6467</v>
      </c>
      <c r="E3629" s="28" t="s">
        <v>17544</v>
      </c>
      <c r="F3629" s="28" t="s">
        <v>21</v>
      </c>
      <c r="G3629" s="28" t="s">
        <v>39</v>
      </c>
      <c r="H3629" s="28" t="s">
        <v>16221</v>
      </c>
      <c r="I3629" s="28" t="s">
        <v>19554</v>
      </c>
      <c r="J3629" s="28" t="s">
        <v>39</v>
      </c>
      <c r="K3629" s="28" t="s">
        <v>16223</v>
      </c>
      <c r="L3629" s="28" t="s">
        <v>16224</v>
      </c>
      <c r="M3629" s="28" t="s">
        <v>19555</v>
      </c>
      <c r="N3629" s="28" t="s">
        <v>16226</v>
      </c>
      <c r="O3629" s="28" t="s">
        <v>16227</v>
      </c>
      <c r="P3629" s="28" t="s">
        <v>17547</v>
      </c>
    </row>
    <row r="3630" spans="1:16" x14ac:dyDescent="0.25">
      <c r="A3630" s="28" t="s">
        <v>19556</v>
      </c>
      <c r="B3630" s="28" t="s">
        <v>19557</v>
      </c>
      <c r="C3630" s="28" t="s">
        <v>1684</v>
      </c>
      <c r="D3630" s="28" t="s">
        <v>6467</v>
      </c>
      <c r="E3630" s="28" t="s">
        <v>17544</v>
      </c>
      <c r="F3630" s="28" t="s">
        <v>21</v>
      </c>
      <c r="G3630" s="28" t="s">
        <v>39</v>
      </c>
      <c r="H3630" s="28" t="s">
        <v>16221</v>
      </c>
      <c r="I3630" s="28" t="s">
        <v>19558</v>
      </c>
      <c r="J3630" s="28" t="s">
        <v>39</v>
      </c>
      <c r="K3630" s="28" t="s">
        <v>16223</v>
      </c>
      <c r="L3630" s="28" t="s">
        <v>16224</v>
      </c>
      <c r="M3630" s="28" t="s">
        <v>19559</v>
      </c>
      <c r="N3630" s="28" t="s">
        <v>16226</v>
      </c>
      <c r="O3630" s="28" t="s">
        <v>16227</v>
      </c>
      <c r="P3630" s="28" t="s">
        <v>17547</v>
      </c>
    </row>
    <row r="3631" spans="1:16" x14ac:dyDescent="0.25">
      <c r="A3631" s="28" t="s">
        <v>19560</v>
      </c>
      <c r="B3631" s="28" t="s">
        <v>19561</v>
      </c>
      <c r="C3631" s="28" t="s">
        <v>1684</v>
      </c>
      <c r="D3631" s="28" t="s">
        <v>6467</v>
      </c>
      <c r="E3631" s="28" t="s">
        <v>17544</v>
      </c>
      <c r="F3631" s="28" t="s">
        <v>21</v>
      </c>
      <c r="G3631" s="28" t="s">
        <v>39</v>
      </c>
      <c r="H3631" s="28" t="s">
        <v>16221</v>
      </c>
      <c r="I3631" s="28" t="s">
        <v>19562</v>
      </c>
      <c r="J3631" s="28" t="s">
        <v>39</v>
      </c>
      <c r="K3631" s="28" t="s">
        <v>16223</v>
      </c>
      <c r="L3631" s="28" t="s">
        <v>16224</v>
      </c>
      <c r="M3631" s="28" t="s">
        <v>19563</v>
      </c>
      <c r="N3631" s="28" t="s">
        <v>16226</v>
      </c>
      <c r="O3631" s="28" t="s">
        <v>16227</v>
      </c>
      <c r="P3631" s="28" t="s">
        <v>17547</v>
      </c>
    </row>
    <row r="3632" spans="1:16" x14ac:dyDescent="0.25">
      <c r="A3632" s="28" t="s">
        <v>19564</v>
      </c>
      <c r="B3632" s="28" t="s">
        <v>19565</v>
      </c>
      <c r="C3632" s="28" t="s">
        <v>1684</v>
      </c>
      <c r="D3632" s="28" t="s">
        <v>6467</v>
      </c>
      <c r="E3632" s="28" t="s">
        <v>17544</v>
      </c>
      <c r="F3632" s="28" t="s">
        <v>21</v>
      </c>
      <c r="G3632" s="28" t="s">
        <v>39</v>
      </c>
      <c r="H3632" s="28" t="s">
        <v>16221</v>
      </c>
      <c r="I3632" s="28" t="s">
        <v>19566</v>
      </c>
      <c r="J3632" s="28" t="s">
        <v>39</v>
      </c>
      <c r="K3632" s="28" t="s">
        <v>16223</v>
      </c>
      <c r="L3632" s="28" t="s">
        <v>16224</v>
      </c>
      <c r="M3632" s="28" t="s">
        <v>19567</v>
      </c>
      <c r="N3632" s="28" t="s">
        <v>16226</v>
      </c>
      <c r="O3632" s="28" t="s">
        <v>16227</v>
      </c>
      <c r="P3632" s="28" t="s">
        <v>17547</v>
      </c>
    </row>
    <row r="3633" spans="1:16" x14ac:dyDescent="0.25">
      <c r="A3633" s="28" t="s">
        <v>19568</v>
      </c>
      <c r="B3633" s="28" t="s">
        <v>19569</v>
      </c>
      <c r="C3633" s="28" t="s">
        <v>1684</v>
      </c>
      <c r="D3633" s="28" t="s">
        <v>6467</v>
      </c>
      <c r="E3633" s="28" t="s">
        <v>17544</v>
      </c>
      <c r="F3633" s="28" t="s">
        <v>21</v>
      </c>
      <c r="G3633" s="28" t="s">
        <v>39</v>
      </c>
      <c r="H3633" s="28" t="s">
        <v>16221</v>
      </c>
      <c r="I3633" s="28" t="s">
        <v>19570</v>
      </c>
      <c r="J3633" s="28" t="s">
        <v>39</v>
      </c>
      <c r="K3633" s="28" t="s">
        <v>16223</v>
      </c>
      <c r="L3633" s="28" t="s">
        <v>16224</v>
      </c>
      <c r="M3633" s="28" t="s">
        <v>19571</v>
      </c>
      <c r="N3633" s="28" t="s">
        <v>16226</v>
      </c>
      <c r="O3633" s="28" t="s">
        <v>16227</v>
      </c>
      <c r="P3633" s="28" t="s">
        <v>17547</v>
      </c>
    </row>
    <row r="3634" spans="1:16" x14ac:dyDescent="0.25">
      <c r="A3634" s="28" t="s">
        <v>19572</v>
      </c>
      <c r="B3634" s="28" t="s">
        <v>19573</v>
      </c>
      <c r="C3634" s="28" t="s">
        <v>1684</v>
      </c>
      <c r="D3634" s="28" t="s">
        <v>6467</v>
      </c>
      <c r="E3634" s="28" t="s">
        <v>17544</v>
      </c>
      <c r="F3634" s="28" t="s">
        <v>21</v>
      </c>
      <c r="G3634" s="28" t="s">
        <v>39</v>
      </c>
      <c r="H3634" s="28" t="s">
        <v>16221</v>
      </c>
      <c r="I3634" s="28" t="s">
        <v>19574</v>
      </c>
      <c r="J3634" s="28" t="s">
        <v>39</v>
      </c>
      <c r="K3634" s="28" t="s">
        <v>16223</v>
      </c>
      <c r="L3634" s="28" t="s">
        <v>16224</v>
      </c>
      <c r="M3634" s="28" t="s">
        <v>19575</v>
      </c>
      <c r="N3634" s="28" t="s">
        <v>16226</v>
      </c>
      <c r="O3634" s="28" t="s">
        <v>16227</v>
      </c>
      <c r="P3634" s="28" t="s">
        <v>17547</v>
      </c>
    </row>
    <row r="3635" spans="1:16" x14ac:dyDescent="0.25">
      <c r="A3635" s="28" t="s">
        <v>19576</v>
      </c>
      <c r="B3635" s="28" t="s">
        <v>19577</v>
      </c>
      <c r="C3635" s="28" t="s">
        <v>1684</v>
      </c>
      <c r="D3635" s="28" t="s">
        <v>6467</v>
      </c>
      <c r="E3635" s="28" t="s">
        <v>17544</v>
      </c>
      <c r="F3635" s="28" t="s">
        <v>21</v>
      </c>
      <c r="G3635" s="28" t="s">
        <v>39</v>
      </c>
      <c r="H3635" s="28" t="s">
        <v>16221</v>
      </c>
      <c r="I3635" s="28" t="s">
        <v>19578</v>
      </c>
      <c r="J3635" s="28" t="s">
        <v>39</v>
      </c>
      <c r="K3635" s="28" t="s">
        <v>16223</v>
      </c>
      <c r="L3635" s="28" t="s">
        <v>16224</v>
      </c>
      <c r="M3635" s="28" t="s">
        <v>19579</v>
      </c>
      <c r="N3635" s="28" t="s">
        <v>16226</v>
      </c>
      <c r="O3635" s="28" t="s">
        <v>16227</v>
      </c>
      <c r="P3635" s="28" t="s">
        <v>17547</v>
      </c>
    </row>
    <row r="3636" spans="1:16" x14ac:dyDescent="0.25">
      <c r="A3636" s="28" t="s">
        <v>19580</v>
      </c>
      <c r="B3636" s="28" t="s">
        <v>19581</v>
      </c>
      <c r="C3636" s="28" t="s">
        <v>1684</v>
      </c>
      <c r="D3636" s="28" t="s">
        <v>6467</v>
      </c>
      <c r="E3636" s="28" t="s">
        <v>17544</v>
      </c>
      <c r="F3636" s="28" t="s">
        <v>21</v>
      </c>
      <c r="G3636" s="28" t="s">
        <v>39</v>
      </c>
      <c r="H3636" s="28" t="s">
        <v>16221</v>
      </c>
      <c r="I3636" s="28" t="s">
        <v>19582</v>
      </c>
      <c r="J3636" s="28" t="s">
        <v>39</v>
      </c>
      <c r="K3636" s="28" t="s">
        <v>16223</v>
      </c>
      <c r="L3636" s="28" t="s">
        <v>16224</v>
      </c>
      <c r="M3636" s="28" t="s">
        <v>19583</v>
      </c>
      <c r="N3636" s="28" t="s">
        <v>16226</v>
      </c>
      <c r="O3636" s="28" t="s">
        <v>16227</v>
      </c>
      <c r="P3636" s="28" t="s">
        <v>17547</v>
      </c>
    </row>
    <row r="3637" spans="1:16" x14ac:dyDescent="0.25">
      <c r="A3637" s="28" t="s">
        <v>19584</v>
      </c>
      <c r="B3637" s="28" t="s">
        <v>19585</v>
      </c>
      <c r="C3637" s="28" t="s">
        <v>1684</v>
      </c>
      <c r="D3637" s="28" t="s">
        <v>6467</v>
      </c>
      <c r="E3637" s="28" t="s">
        <v>17544</v>
      </c>
      <c r="F3637" s="28" t="s">
        <v>21</v>
      </c>
      <c r="G3637" s="28" t="s">
        <v>39</v>
      </c>
      <c r="H3637" s="28" t="s">
        <v>16221</v>
      </c>
      <c r="I3637" s="28" t="s">
        <v>19586</v>
      </c>
      <c r="J3637" s="28" t="s">
        <v>39</v>
      </c>
      <c r="K3637" s="28" t="s">
        <v>16223</v>
      </c>
      <c r="L3637" s="28" t="s">
        <v>16224</v>
      </c>
      <c r="M3637" s="28" t="s">
        <v>19587</v>
      </c>
      <c r="N3637" s="28" t="s">
        <v>16226</v>
      </c>
      <c r="O3637" s="28" t="s">
        <v>16227</v>
      </c>
      <c r="P3637" s="28" t="s">
        <v>17547</v>
      </c>
    </row>
    <row r="3638" spans="1:16" x14ac:dyDescent="0.25">
      <c r="A3638" s="28" t="s">
        <v>19588</v>
      </c>
      <c r="B3638" s="28" t="s">
        <v>19589</v>
      </c>
      <c r="C3638" s="28" t="s">
        <v>1684</v>
      </c>
      <c r="D3638" s="28" t="s">
        <v>6467</v>
      </c>
      <c r="E3638" s="28" t="s">
        <v>17544</v>
      </c>
      <c r="F3638" s="28" t="s">
        <v>21</v>
      </c>
      <c r="G3638" s="28" t="s">
        <v>39</v>
      </c>
      <c r="H3638" s="28" t="s">
        <v>16221</v>
      </c>
      <c r="I3638" s="28" t="s">
        <v>19590</v>
      </c>
      <c r="J3638" s="28" t="s">
        <v>39</v>
      </c>
      <c r="K3638" s="28" t="s">
        <v>16223</v>
      </c>
      <c r="L3638" s="28" t="s">
        <v>16224</v>
      </c>
      <c r="M3638" s="28" t="s">
        <v>19591</v>
      </c>
      <c r="N3638" s="28" t="s">
        <v>16226</v>
      </c>
      <c r="O3638" s="28" t="s">
        <v>16227</v>
      </c>
      <c r="P3638" s="28" t="s">
        <v>17547</v>
      </c>
    </row>
    <row r="3639" spans="1:16" x14ac:dyDescent="0.25">
      <c r="A3639" s="28" t="s">
        <v>19592</v>
      </c>
      <c r="B3639" s="28" t="s">
        <v>19593</v>
      </c>
      <c r="C3639" s="28" t="s">
        <v>1684</v>
      </c>
      <c r="D3639" s="28" t="s">
        <v>6467</v>
      </c>
      <c r="E3639" s="28" t="s">
        <v>17544</v>
      </c>
      <c r="F3639" s="28" t="s">
        <v>21</v>
      </c>
      <c r="G3639" s="28" t="s">
        <v>39</v>
      </c>
      <c r="H3639" s="28" t="s">
        <v>16221</v>
      </c>
      <c r="I3639" s="28" t="s">
        <v>19594</v>
      </c>
      <c r="J3639" s="28" t="s">
        <v>39</v>
      </c>
      <c r="K3639" s="28" t="s">
        <v>16223</v>
      </c>
      <c r="L3639" s="28" t="s">
        <v>16224</v>
      </c>
      <c r="M3639" s="28" t="s">
        <v>19595</v>
      </c>
      <c r="N3639" s="28" t="s">
        <v>16226</v>
      </c>
      <c r="O3639" s="28" t="s">
        <v>16227</v>
      </c>
      <c r="P3639" s="28" t="s">
        <v>17547</v>
      </c>
    </row>
    <row r="3640" spans="1:16" x14ac:dyDescent="0.25">
      <c r="A3640" s="28" t="s">
        <v>19596</v>
      </c>
      <c r="B3640" s="28" t="s">
        <v>19597</v>
      </c>
      <c r="C3640" s="28" t="s">
        <v>1684</v>
      </c>
      <c r="D3640" s="28" t="s">
        <v>6467</v>
      </c>
      <c r="E3640" s="28" t="s">
        <v>17544</v>
      </c>
      <c r="F3640" s="28" t="s">
        <v>21</v>
      </c>
      <c r="G3640" s="28" t="s">
        <v>39</v>
      </c>
      <c r="H3640" s="28" t="s">
        <v>16221</v>
      </c>
      <c r="I3640" s="28" t="s">
        <v>19598</v>
      </c>
      <c r="J3640" s="28" t="s">
        <v>39</v>
      </c>
      <c r="K3640" s="28" t="s">
        <v>16223</v>
      </c>
      <c r="L3640" s="28" t="s">
        <v>16224</v>
      </c>
      <c r="M3640" s="28" t="s">
        <v>19599</v>
      </c>
      <c r="N3640" s="28" t="s">
        <v>16226</v>
      </c>
      <c r="O3640" s="28" t="s">
        <v>16227</v>
      </c>
      <c r="P3640" s="28" t="s">
        <v>17547</v>
      </c>
    </row>
    <row r="3641" spans="1:16" x14ac:dyDescent="0.25">
      <c r="A3641" s="28" t="s">
        <v>19600</v>
      </c>
      <c r="B3641" s="28" t="s">
        <v>19601</v>
      </c>
      <c r="C3641" s="28" t="s">
        <v>1684</v>
      </c>
      <c r="D3641" s="28" t="s">
        <v>6467</v>
      </c>
      <c r="E3641" s="28" t="s">
        <v>17544</v>
      </c>
      <c r="F3641" s="28" t="s">
        <v>21</v>
      </c>
      <c r="G3641" s="28" t="s">
        <v>39</v>
      </c>
      <c r="H3641" s="28" t="s">
        <v>16221</v>
      </c>
      <c r="I3641" s="28" t="s">
        <v>19602</v>
      </c>
      <c r="J3641" s="28" t="s">
        <v>39</v>
      </c>
      <c r="K3641" s="28" t="s">
        <v>16223</v>
      </c>
      <c r="L3641" s="28" t="s">
        <v>16224</v>
      </c>
      <c r="M3641" s="28" t="s">
        <v>19603</v>
      </c>
      <c r="N3641" s="28" t="s">
        <v>16226</v>
      </c>
      <c r="O3641" s="28" t="s">
        <v>16227</v>
      </c>
      <c r="P3641" s="28" t="s">
        <v>17547</v>
      </c>
    </row>
    <row r="3642" spans="1:16" x14ac:dyDescent="0.25">
      <c r="A3642" s="28" t="s">
        <v>19604</v>
      </c>
      <c r="B3642" s="28" t="s">
        <v>19605</v>
      </c>
      <c r="C3642" s="28" t="s">
        <v>1684</v>
      </c>
      <c r="D3642" s="28" t="s">
        <v>6467</v>
      </c>
      <c r="E3642" s="28" t="s">
        <v>17544</v>
      </c>
      <c r="F3642" s="28" t="s">
        <v>21</v>
      </c>
      <c r="G3642" s="28" t="s">
        <v>39</v>
      </c>
      <c r="H3642" s="28" t="s">
        <v>16221</v>
      </c>
      <c r="I3642" s="28" t="s">
        <v>19606</v>
      </c>
      <c r="J3642" s="28" t="s">
        <v>39</v>
      </c>
      <c r="K3642" s="28" t="s">
        <v>16223</v>
      </c>
      <c r="L3642" s="28" t="s">
        <v>16224</v>
      </c>
      <c r="M3642" s="28" t="s">
        <v>19607</v>
      </c>
      <c r="N3642" s="28" t="s">
        <v>16226</v>
      </c>
      <c r="O3642" s="28" t="s">
        <v>16227</v>
      </c>
      <c r="P3642" s="28" t="s">
        <v>17547</v>
      </c>
    </row>
    <row r="3643" spans="1:16" x14ac:dyDescent="0.25">
      <c r="A3643" s="28" t="s">
        <v>19608</v>
      </c>
      <c r="B3643" s="28" t="s">
        <v>19609</v>
      </c>
      <c r="C3643" s="28" t="s">
        <v>1684</v>
      </c>
      <c r="D3643" s="28" t="s">
        <v>6467</v>
      </c>
      <c r="E3643" s="28" t="s">
        <v>17544</v>
      </c>
      <c r="F3643" s="28" t="s">
        <v>21</v>
      </c>
      <c r="G3643" s="28" t="s">
        <v>39</v>
      </c>
      <c r="H3643" s="28" t="s">
        <v>16221</v>
      </c>
      <c r="I3643" s="28" t="s">
        <v>19610</v>
      </c>
      <c r="J3643" s="28" t="s">
        <v>39</v>
      </c>
      <c r="K3643" s="28" t="s">
        <v>16223</v>
      </c>
      <c r="L3643" s="28" t="s">
        <v>16224</v>
      </c>
      <c r="M3643" s="28" t="s">
        <v>19611</v>
      </c>
      <c r="N3643" s="28" t="s">
        <v>16226</v>
      </c>
      <c r="O3643" s="28" t="s">
        <v>16227</v>
      </c>
      <c r="P3643" s="28" t="s">
        <v>17547</v>
      </c>
    </row>
    <row r="3644" spans="1:16" x14ac:dyDescent="0.25">
      <c r="A3644" s="28" t="s">
        <v>19612</v>
      </c>
      <c r="B3644" s="28" t="s">
        <v>19613</v>
      </c>
      <c r="C3644" s="28" t="s">
        <v>1684</v>
      </c>
      <c r="D3644" s="28" t="s">
        <v>6467</v>
      </c>
      <c r="E3644" s="28" t="s">
        <v>17544</v>
      </c>
      <c r="F3644" s="28" t="s">
        <v>21</v>
      </c>
      <c r="G3644" s="28" t="s">
        <v>39</v>
      </c>
      <c r="H3644" s="28" t="s">
        <v>16221</v>
      </c>
      <c r="I3644" s="28" t="s">
        <v>19614</v>
      </c>
      <c r="J3644" s="28" t="s">
        <v>39</v>
      </c>
      <c r="K3644" s="28" t="s">
        <v>16223</v>
      </c>
      <c r="L3644" s="28" t="s">
        <v>16224</v>
      </c>
      <c r="M3644" s="28" t="s">
        <v>19615</v>
      </c>
      <c r="N3644" s="28" t="s">
        <v>16226</v>
      </c>
      <c r="O3644" s="28" t="s">
        <v>16227</v>
      </c>
      <c r="P3644" s="28" t="s">
        <v>17547</v>
      </c>
    </row>
    <row r="3645" spans="1:16" x14ac:dyDescent="0.25">
      <c r="A3645" s="28" t="s">
        <v>19616</v>
      </c>
      <c r="B3645" s="28" t="s">
        <v>19617</v>
      </c>
      <c r="C3645" s="28" t="s">
        <v>1684</v>
      </c>
      <c r="D3645" s="28" t="s">
        <v>6467</v>
      </c>
      <c r="E3645" s="28" t="s">
        <v>17544</v>
      </c>
      <c r="F3645" s="28" t="s">
        <v>21</v>
      </c>
      <c r="G3645" s="28" t="s">
        <v>39</v>
      </c>
      <c r="H3645" s="28" t="s">
        <v>16221</v>
      </c>
      <c r="I3645" s="28" t="s">
        <v>19618</v>
      </c>
      <c r="J3645" s="28" t="s">
        <v>39</v>
      </c>
      <c r="K3645" s="28" t="s">
        <v>16223</v>
      </c>
      <c r="L3645" s="28" t="s">
        <v>16224</v>
      </c>
      <c r="M3645" s="28" t="s">
        <v>19619</v>
      </c>
      <c r="N3645" s="28" t="s">
        <v>16226</v>
      </c>
      <c r="O3645" s="28" t="s">
        <v>16227</v>
      </c>
      <c r="P3645" s="28" t="s">
        <v>17547</v>
      </c>
    </row>
    <row r="3646" spans="1:16" x14ac:dyDescent="0.25">
      <c r="A3646" s="28" t="s">
        <v>19620</v>
      </c>
      <c r="B3646" s="28" t="s">
        <v>19621</v>
      </c>
      <c r="C3646" s="28" t="s">
        <v>1684</v>
      </c>
      <c r="D3646" s="28" t="s">
        <v>6467</v>
      </c>
      <c r="E3646" s="28" t="s">
        <v>17544</v>
      </c>
      <c r="F3646" s="28" t="s">
        <v>21</v>
      </c>
      <c r="G3646" s="28" t="s">
        <v>39</v>
      </c>
      <c r="H3646" s="28" t="s">
        <v>16221</v>
      </c>
      <c r="I3646" s="28" t="s">
        <v>19622</v>
      </c>
      <c r="J3646" s="28" t="s">
        <v>39</v>
      </c>
      <c r="K3646" s="28" t="s">
        <v>16223</v>
      </c>
      <c r="L3646" s="28" t="s">
        <v>16224</v>
      </c>
      <c r="M3646" s="28" t="s">
        <v>19623</v>
      </c>
      <c r="N3646" s="28" t="s">
        <v>16226</v>
      </c>
      <c r="O3646" s="28" t="s">
        <v>16227</v>
      </c>
      <c r="P3646" s="28" t="s">
        <v>17547</v>
      </c>
    </row>
    <row r="3647" spans="1:16" x14ac:dyDescent="0.25">
      <c r="A3647" s="28" t="s">
        <v>19624</v>
      </c>
      <c r="B3647" s="28" t="s">
        <v>19625</v>
      </c>
      <c r="C3647" s="28" t="s">
        <v>1684</v>
      </c>
      <c r="D3647" s="28" t="s">
        <v>6467</v>
      </c>
      <c r="E3647" s="28" t="s">
        <v>17544</v>
      </c>
      <c r="F3647" s="28" t="s">
        <v>21</v>
      </c>
      <c r="G3647" s="28" t="s">
        <v>39</v>
      </c>
      <c r="H3647" s="28" t="s">
        <v>16221</v>
      </c>
      <c r="I3647" s="28" t="s">
        <v>19626</v>
      </c>
      <c r="J3647" s="28" t="s">
        <v>39</v>
      </c>
      <c r="K3647" s="28" t="s">
        <v>16223</v>
      </c>
      <c r="L3647" s="28" t="s">
        <v>16224</v>
      </c>
      <c r="M3647" s="28" t="s">
        <v>19627</v>
      </c>
      <c r="N3647" s="28" t="s">
        <v>16226</v>
      </c>
      <c r="O3647" s="28" t="s">
        <v>16227</v>
      </c>
      <c r="P3647" s="28" t="s">
        <v>17547</v>
      </c>
    </row>
    <row r="3648" spans="1:16" x14ac:dyDescent="0.25">
      <c r="A3648" s="28" t="s">
        <v>19628</v>
      </c>
      <c r="B3648" s="28" t="s">
        <v>19629</v>
      </c>
      <c r="C3648" s="28" t="s">
        <v>1684</v>
      </c>
      <c r="D3648" s="28" t="s">
        <v>6467</v>
      </c>
      <c r="E3648" s="28" t="s">
        <v>17544</v>
      </c>
      <c r="F3648" s="28" t="s">
        <v>21</v>
      </c>
      <c r="G3648" s="28" t="s">
        <v>39</v>
      </c>
      <c r="H3648" s="28" t="s">
        <v>16221</v>
      </c>
      <c r="I3648" s="28" t="s">
        <v>19630</v>
      </c>
      <c r="J3648" s="28" t="s">
        <v>39</v>
      </c>
      <c r="K3648" s="28" t="s">
        <v>16223</v>
      </c>
      <c r="L3648" s="28" t="s">
        <v>16224</v>
      </c>
      <c r="M3648" s="28" t="s">
        <v>19631</v>
      </c>
      <c r="N3648" s="28" t="s">
        <v>16226</v>
      </c>
      <c r="O3648" s="28" t="s">
        <v>16227</v>
      </c>
      <c r="P3648" s="28" t="s">
        <v>17547</v>
      </c>
    </row>
    <row r="3649" spans="1:16" x14ac:dyDescent="0.25">
      <c r="A3649" s="28" t="s">
        <v>19632</v>
      </c>
      <c r="B3649" s="28" t="s">
        <v>19633</v>
      </c>
      <c r="C3649" s="28" t="s">
        <v>1684</v>
      </c>
      <c r="D3649" s="28" t="s">
        <v>6467</v>
      </c>
      <c r="E3649" s="28" t="s">
        <v>17544</v>
      </c>
      <c r="F3649" s="28" t="s">
        <v>21</v>
      </c>
      <c r="G3649" s="28" t="s">
        <v>39</v>
      </c>
      <c r="H3649" s="28" t="s">
        <v>16221</v>
      </c>
      <c r="I3649" s="28" t="s">
        <v>19634</v>
      </c>
      <c r="J3649" s="28" t="s">
        <v>39</v>
      </c>
      <c r="K3649" s="28" t="s">
        <v>16223</v>
      </c>
      <c r="L3649" s="28" t="s">
        <v>16224</v>
      </c>
      <c r="M3649" s="28" t="s">
        <v>19635</v>
      </c>
      <c r="N3649" s="28" t="s">
        <v>16226</v>
      </c>
      <c r="O3649" s="28" t="s">
        <v>16227</v>
      </c>
      <c r="P3649" s="28" t="s">
        <v>17547</v>
      </c>
    </row>
    <row r="3650" spans="1:16" x14ac:dyDescent="0.25">
      <c r="A3650" s="28" t="s">
        <v>19636</v>
      </c>
      <c r="B3650" s="28" t="s">
        <v>19637</v>
      </c>
      <c r="C3650" s="28" t="s">
        <v>1684</v>
      </c>
      <c r="D3650" s="28" t="s">
        <v>6467</v>
      </c>
      <c r="E3650" s="28" t="s">
        <v>17544</v>
      </c>
      <c r="F3650" s="28" t="s">
        <v>21</v>
      </c>
      <c r="G3650" s="28" t="s">
        <v>39</v>
      </c>
      <c r="H3650" s="28" t="s">
        <v>16221</v>
      </c>
      <c r="I3650" s="28" t="s">
        <v>19638</v>
      </c>
      <c r="J3650" s="28" t="s">
        <v>39</v>
      </c>
      <c r="K3650" s="28" t="s">
        <v>16223</v>
      </c>
      <c r="L3650" s="28" t="s">
        <v>16224</v>
      </c>
      <c r="M3650" s="28" t="s">
        <v>19639</v>
      </c>
      <c r="N3650" s="28" t="s">
        <v>16226</v>
      </c>
      <c r="O3650" s="28" t="s">
        <v>16227</v>
      </c>
      <c r="P3650" s="28" t="s">
        <v>17547</v>
      </c>
    </row>
    <row r="3651" spans="1:16" x14ac:dyDescent="0.25">
      <c r="A3651" s="28" t="s">
        <v>19640</v>
      </c>
      <c r="B3651" s="28" t="s">
        <v>19641</v>
      </c>
      <c r="C3651" s="28" t="s">
        <v>1684</v>
      </c>
      <c r="D3651" s="28" t="s">
        <v>6467</v>
      </c>
      <c r="E3651" s="28" t="s">
        <v>17544</v>
      </c>
      <c r="F3651" s="28" t="s">
        <v>21</v>
      </c>
      <c r="G3651" s="28" t="s">
        <v>39</v>
      </c>
      <c r="H3651" s="28" t="s">
        <v>16221</v>
      </c>
      <c r="I3651" s="28" t="s">
        <v>19642</v>
      </c>
      <c r="J3651" s="28" t="s">
        <v>39</v>
      </c>
      <c r="K3651" s="28" t="s">
        <v>16223</v>
      </c>
      <c r="L3651" s="28" t="s">
        <v>16224</v>
      </c>
      <c r="M3651" s="28" t="s">
        <v>19643</v>
      </c>
      <c r="N3651" s="28" t="s">
        <v>16226</v>
      </c>
      <c r="O3651" s="28" t="s">
        <v>16227</v>
      </c>
      <c r="P3651" s="28" t="s">
        <v>17547</v>
      </c>
    </row>
    <row r="3652" spans="1:16" x14ac:dyDescent="0.25">
      <c r="A3652" s="28" t="s">
        <v>19644</v>
      </c>
      <c r="B3652" s="28" t="s">
        <v>19645</v>
      </c>
      <c r="C3652" s="28" t="s">
        <v>1684</v>
      </c>
      <c r="D3652" s="28" t="s">
        <v>6467</v>
      </c>
      <c r="E3652" s="28" t="s">
        <v>17544</v>
      </c>
      <c r="F3652" s="28" t="s">
        <v>21</v>
      </c>
      <c r="G3652" s="28" t="s">
        <v>39</v>
      </c>
      <c r="H3652" s="28" t="s">
        <v>16221</v>
      </c>
      <c r="I3652" s="28" t="s">
        <v>19646</v>
      </c>
      <c r="J3652" s="28" t="s">
        <v>39</v>
      </c>
      <c r="K3652" s="28" t="s">
        <v>16223</v>
      </c>
      <c r="L3652" s="28" t="s">
        <v>16224</v>
      </c>
      <c r="M3652" s="28" t="s">
        <v>19647</v>
      </c>
      <c r="N3652" s="28" t="s">
        <v>16226</v>
      </c>
      <c r="O3652" s="28" t="s">
        <v>16227</v>
      </c>
      <c r="P3652" s="28" t="s">
        <v>17547</v>
      </c>
    </row>
    <row r="3653" spans="1:16" x14ac:dyDescent="0.25">
      <c r="A3653" s="28" t="s">
        <v>19648</v>
      </c>
      <c r="B3653" s="28" t="s">
        <v>19649</v>
      </c>
      <c r="C3653" s="28" t="s">
        <v>1684</v>
      </c>
      <c r="D3653" s="28" t="s">
        <v>6467</v>
      </c>
      <c r="E3653" s="28" t="s">
        <v>17544</v>
      </c>
      <c r="F3653" s="28" t="s">
        <v>21</v>
      </c>
      <c r="G3653" s="28" t="s">
        <v>39</v>
      </c>
      <c r="H3653" s="28" t="s">
        <v>16221</v>
      </c>
      <c r="I3653" s="28" t="s">
        <v>19650</v>
      </c>
      <c r="J3653" s="28" t="s">
        <v>39</v>
      </c>
      <c r="K3653" s="28" t="s">
        <v>16223</v>
      </c>
      <c r="L3653" s="28" t="s">
        <v>16224</v>
      </c>
      <c r="M3653" s="28" t="s">
        <v>19651</v>
      </c>
      <c r="N3653" s="28" t="s">
        <v>16226</v>
      </c>
      <c r="O3653" s="28" t="s">
        <v>16227</v>
      </c>
      <c r="P3653" s="28" t="s">
        <v>17547</v>
      </c>
    </row>
    <row r="3654" spans="1:16" x14ac:dyDescent="0.25">
      <c r="A3654" s="28" t="s">
        <v>19652</v>
      </c>
      <c r="B3654" s="28" t="s">
        <v>19653</v>
      </c>
      <c r="C3654" s="28" t="s">
        <v>1684</v>
      </c>
      <c r="D3654" s="28" t="s">
        <v>6467</v>
      </c>
      <c r="E3654" s="28" t="s">
        <v>17544</v>
      </c>
      <c r="F3654" s="28" t="s">
        <v>21</v>
      </c>
      <c r="G3654" s="28" t="s">
        <v>39</v>
      </c>
      <c r="H3654" s="28" t="s">
        <v>16221</v>
      </c>
      <c r="I3654" s="28" t="s">
        <v>19654</v>
      </c>
      <c r="J3654" s="28" t="s">
        <v>39</v>
      </c>
      <c r="K3654" s="28" t="s">
        <v>16223</v>
      </c>
      <c r="L3654" s="28" t="s">
        <v>16224</v>
      </c>
      <c r="M3654" s="28" t="s">
        <v>19655</v>
      </c>
      <c r="N3654" s="28" t="s">
        <v>16226</v>
      </c>
      <c r="O3654" s="28" t="s">
        <v>16227</v>
      </c>
      <c r="P3654" s="28" t="s">
        <v>17547</v>
      </c>
    </row>
    <row r="3655" spans="1:16" x14ac:dyDescent="0.25">
      <c r="A3655" s="28" t="s">
        <v>19656</v>
      </c>
      <c r="B3655" s="28" t="s">
        <v>19657</v>
      </c>
      <c r="C3655" s="28" t="s">
        <v>1684</v>
      </c>
      <c r="D3655" s="28" t="s">
        <v>6467</v>
      </c>
      <c r="E3655" s="28" t="s">
        <v>17544</v>
      </c>
      <c r="F3655" s="28" t="s">
        <v>21</v>
      </c>
      <c r="G3655" s="28" t="s">
        <v>39</v>
      </c>
      <c r="H3655" s="28" t="s">
        <v>16221</v>
      </c>
      <c r="I3655" s="28" t="s">
        <v>19658</v>
      </c>
      <c r="J3655" s="28" t="s">
        <v>39</v>
      </c>
      <c r="K3655" s="28" t="s">
        <v>16223</v>
      </c>
      <c r="L3655" s="28" t="s">
        <v>16224</v>
      </c>
      <c r="M3655" s="28" t="s">
        <v>19659</v>
      </c>
      <c r="N3655" s="28" t="s">
        <v>16226</v>
      </c>
      <c r="O3655" s="28" t="s">
        <v>16227</v>
      </c>
      <c r="P3655" s="28" t="s">
        <v>17547</v>
      </c>
    </row>
    <row r="3656" spans="1:16" x14ac:dyDescent="0.25">
      <c r="A3656" s="28" t="s">
        <v>19660</v>
      </c>
      <c r="B3656" s="28" t="s">
        <v>19661</v>
      </c>
      <c r="C3656" s="28" t="s">
        <v>1684</v>
      </c>
      <c r="D3656" s="28" t="s">
        <v>6467</v>
      </c>
      <c r="E3656" s="28" t="s">
        <v>17544</v>
      </c>
      <c r="F3656" s="28" t="s">
        <v>21</v>
      </c>
      <c r="G3656" s="28" t="s">
        <v>39</v>
      </c>
      <c r="H3656" s="28" t="s">
        <v>16221</v>
      </c>
      <c r="I3656" s="28" t="s">
        <v>19662</v>
      </c>
      <c r="J3656" s="28" t="s">
        <v>39</v>
      </c>
      <c r="K3656" s="28" t="s">
        <v>16223</v>
      </c>
      <c r="L3656" s="28" t="s">
        <v>16224</v>
      </c>
      <c r="M3656" s="28" t="s">
        <v>19663</v>
      </c>
      <c r="N3656" s="28" t="s">
        <v>16226</v>
      </c>
      <c r="O3656" s="28" t="s">
        <v>16227</v>
      </c>
      <c r="P3656" s="28" t="s">
        <v>17547</v>
      </c>
    </row>
    <row r="3657" spans="1:16" x14ac:dyDescent="0.25">
      <c r="A3657" s="28" t="s">
        <v>19664</v>
      </c>
      <c r="B3657" s="28" t="s">
        <v>19665</v>
      </c>
      <c r="C3657" s="28" t="s">
        <v>1684</v>
      </c>
      <c r="D3657" s="28" t="s">
        <v>6467</v>
      </c>
      <c r="E3657" s="28" t="s">
        <v>17544</v>
      </c>
      <c r="F3657" s="28" t="s">
        <v>21</v>
      </c>
      <c r="G3657" s="28" t="s">
        <v>39</v>
      </c>
      <c r="H3657" s="28" t="s">
        <v>16221</v>
      </c>
      <c r="I3657" s="28" t="s">
        <v>19666</v>
      </c>
      <c r="J3657" s="28" t="s">
        <v>39</v>
      </c>
      <c r="K3657" s="28" t="s">
        <v>16223</v>
      </c>
      <c r="L3657" s="28" t="s">
        <v>16224</v>
      </c>
      <c r="M3657" s="28" t="s">
        <v>19667</v>
      </c>
      <c r="N3657" s="28" t="s">
        <v>16226</v>
      </c>
      <c r="O3657" s="28" t="s">
        <v>16227</v>
      </c>
      <c r="P3657" s="28" t="s">
        <v>17547</v>
      </c>
    </row>
    <row r="3658" spans="1:16" x14ac:dyDescent="0.25">
      <c r="A3658" s="28" t="s">
        <v>19668</v>
      </c>
      <c r="B3658" s="28" t="s">
        <v>19669</v>
      </c>
      <c r="C3658" s="28" t="s">
        <v>1684</v>
      </c>
      <c r="D3658" s="28" t="s">
        <v>6467</v>
      </c>
      <c r="E3658" s="28" t="s">
        <v>17544</v>
      </c>
      <c r="F3658" s="28" t="s">
        <v>21</v>
      </c>
      <c r="G3658" s="28" t="s">
        <v>39</v>
      </c>
      <c r="H3658" s="28" t="s">
        <v>16221</v>
      </c>
      <c r="I3658" s="28" t="s">
        <v>19670</v>
      </c>
      <c r="J3658" s="28" t="s">
        <v>39</v>
      </c>
      <c r="K3658" s="28" t="s">
        <v>16223</v>
      </c>
      <c r="L3658" s="28" t="s">
        <v>16224</v>
      </c>
      <c r="M3658" s="28" t="s">
        <v>19671</v>
      </c>
      <c r="N3658" s="28" t="s">
        <v>16226</v>
      </c>
      <c r="O3658" s="28" t="s">
        <v>16227</v>
      </c>
      <c r="P3658" s="28" t="s">
        <v>17547</v>
      </c>
    </row>
    <row r="3659" spans="1:16" x14ac:dyDescent="0.25">
      <c r="A3659" s="28" t="s">
        <v>19672</v>
      </c>
      <c r="B3659" s="28" t="s">
        <v>19673</v>
      </c>
      <c r="C3659" s="28" t="s">
        <v>1684</v>
      </c>
      <c r="D3659" s="28" t="s">
        <v>6467</v>
      </c>
      <c r="E3659" s="28" t="s">
        <v>17544</v>
      </c>
      <c r="F3659" s="28" t="s">
        <v>21</v>
      </c>
      <c r="G3659" s="28" t="s">
        <v>39</v>
      </c>
      <c r="H3659" s="28" t="s">
        <v>16221</v>
      </c>
      <c r="I3659" s="28" t="s">
        <v>19674</v>
      </c>
      <c r="J3659" s="28" t="s">
        <v>39</v>
      </c>
      <c r="K3659" s="28" t="s">
        <v>16223</v>
      </c>
      <c r="L3659" s="28" t="s">
        <v>16224</v>
      </c>
      <c r="M3659" s="28" t="s">
        <v>19675</v>
      </c>
      <c r="N3659" s="28" t="s">
        <v>16226</v>
      </c>
      <c r="O3659" s="28" t="s">
        <v>16227</v>
      </c>
      <c r="P3659" s="28" t="s">
        <v>17547</v>
      </c>
    </row>
    <row r="3660" spans="1:16" x14ac:dyDescent="0.25">
      <c r="A3660" s="28" t="s">
        <v>19676</v>
      </c>
      <c r="B3660" s="28" t="s">
        <v>19677</v>
      </c>
      <c r="C3660" s="28" t="s">
        <v>1684</v>
      </c>
      <c r="D3660" s="28" t="s">
        <v>6467</v>
      </c>
      <c r="E3660" s="28" t="s">
        <v>17544</v>
      </c>
      <c r="F3660" s="28" t="s">
        <v>21</v>
      </c>
      <c r="G3660" s="28" t="s">
        <v>39</v>
      </c>
      <c r="H3660" s="28" t="s">
        <v>16221</v>
      </c>
      <c r="I3660" s="28" t="s">
        <v>19678</v>
      </c>
      <c r="J3660" s="28" t="s">
        <v>39</v>
      </c>
      <c r="K3660" s="28" t="s">
        <v>16223</v>
      </c>
      <c r="L3660" s="28" t="s">
        <v>16224</v>
      </c>
      <c r="M3660" s="28" t="s">
        <v>19679</v>
      </c>
      <c r="N3660" s="28" t="s">
        <v>16226</v>
      </c>
      <c r="O3660" s="28" t="s">
        <v>16227</v>
      </c>
      <c r="P3660" s="28" t="s">
        <v>17547</v>
      </c>
    </row>
    <row r="3661" spans="1:16" x14ac:dyDescent="0.25">
      <c r="A3661" s="28" t="s">
        <v>19680</v>
      </c>
      <c r="B3661" s="28" t="s">
        <v>19681</v>
      </c>
      <c r="C3661" s="28" t="s">
        <v>1684</v>
      </c>
      <c r="D3661" s="28" t="s">
        <v>6467</v>
      </c>
      <c r="E3661" s="28" t="s">
        <v>17544</v>
      </c>
      <c r="F3661" s="28" t="s">
        <v>21</v>
      </c>
      <c r="G3661" s="28" t="s">
        <v>39</v>
      </c>
      <c r="H3661" s="28" t="s">
        <v>16221</v>
      </c>
      <c r="I3661" s="28" t="s">
        <v>19682</v>
      </c>
      <c r="J3661" s="28" t="s">
        <v>39</v>
      </c>
      <c r="K3661" s="28" t="s">
        <v>16223</v>
      </c>
      <c r="L3661" s="28" t="s">
        <v>16224</v>
      </c>
      <c r="M3661" s="28" t="s">
        <v>19683</v>
      </c>
      <c r="N3661" s="28" t="s">
        <v>16226</v>
      </c>
      <c r="O3661" s="28" t="s">
        <v>16227</v>
      </c>
      <c r="P3661" s="28" t="s">
        <v>17547</v>
      </c>
    </row>
    <row r="3662" spans="1:16" x14ac:dyDescent="0.25">
      <c r="A3662" s="28" t="s">
        <v>19684</v>
      </c>
      <c r="B3662" s="28" t="s">
        <v>19685</v>
      </c>
      <c r="C3662" s="28" t="s">
        <v>1684</v>
      </c>
      <c r="D3662" s="28" t="s">
        <v>6467</v>
      </c>
      <c r="E3662" s="28" t="s">
        <v>17544</v>
      </c>
      <c r="F3662" s="28" t="s">
        <v>21</v>
      </c>
      <c r="G3662" s="28" t="s">
        <v>39</v>
      </c>
      <c r="H3662" s="28" t="s">
        <v>16221</v>
      </c>
      <c r="I3662" s="28" t="s">
        <v>19686</v>
      </c>
      <c r="J3662" s="28" t="s">
        <v>39</v>
      </c>
      <c r="K3662" s="28" t="s">
        <v>16223</v>
      </c>
      <c r="L3662" s="28" t="s">
        <v>16224</v>
      </c>
      <c r="M3662" s="28" t="s">
        <v>19687</v>
      </c>
      <c r="N3662" s="28" t="s">
        <v>16226</v>
      </c>
      <c r="O3662" s="28" t="s">
        <v>16227</v>
      </c>
      <c r="P3662" s="28" t="s">
        <v>17547</v>
      </c>
    </row>
    <row r="3663" spans="1:16" x14ac:dyDescent="0.25">
      <c r="A3663" s="28" t="s">
        <v>19688</v>
      </c>
      <c r="B3663" s="28" t="s">
        <v>19689</v>
      </c>
      <c r="C3663" s="28" t="s">
        <v>1684</v>
      </c>
      <c r="D3663" s="28" t="s">
        <v>6467</v>
      </c>
      <c r="E3663" s="28" t="s">
        <v>17544</v>
      </c>
      <c r="F3663" s="28" t="s">
        <v>21</v>
      </c>
      <c r="G3663" s="28" t="s">
        <v>39</v>
      </c>
      <c r="H3663" s="28" t="s">
        <v>16221</v>
      </c>
      <c r="I3663" s="28" t="s">
        <v>19690</v>
      </c>
      <c r="J3663" s="28" t="s">
        <v>39</v>
      </c>
      <c r="K3663" s="28" t="s">
        <v>16223</v>
      </c>
      <c r="L3663" s="28" t="s">
        <v>16224</v>
      </c>
      <c r="M3663" s="28" t="s">
        <v>19691</v>
      </c>
      <c r="N3663" s="28" t="s">
        <v>16226</v>
      </c>
      <c r="O3663" s="28" t="s">
        <v>16227</v>
      </c>
      <c r="P3663" s="28" t="s">
        <v>17547</v>
      </c>
    </row>
    <row r="3664" spans="1:16" x14ac:dyDescent="0.25">
      <c r="A3664" s="28" t="s">
        <v>19692</v>
      </c>
      <c r="B3664" s="28" t="s">
        <v>19693</v>
      </c>
      <c r="C3664" s="28" t="s">
        <v>1684</v>
      </c>
      <c r="D3664" s="28" t="s">
        <v>6467</v>
      </c>
      <c r="E3664" s="28" t="s">
        <v>17544</v>
      </c>
      <c r="F3664" s="28" t="s">
        <v>21</v>
      </c>
      <c r="G3664" s="28" t="s">
        <v>39</v>
      </c>
      <c r="H3664" s="28" t="s">
        <v>16221</v>
      </c>
      <c r="I3664" s="28" t="s">
        <v>19694</v>
      </c>
      <c r="J3664" s="28" t="s">
        <v>39</v>
      </c>
      <c r="K3664" s="28" t="s">
        <v>16223</v>
      </c>
      <c r="L3664" s="28" t="s">
        <v>16224</v>
      </c>
      <c r="M3664" s="28" t="s">
        <v>19695</v>
      </c>
      <c r="N3664" s="28" t="s">
        <v>16226</v>
      </c>
      <c r="O3664" s="28" t="s">
        <v>16227</v>
      </c>
      <c r="P3664" s="28" t="s">
        <v>17547</v>
      </c>
    </row>
    <row r="3665" spans="1:16" x14ac:dyDescent="0.25">
      <c r="A3665" s="28" t="s">
        <v>19696</v>
      </c>
      <c r="B3665" s="28" t="s">
        <v>19697</v>
      </c>
      <c r="C3665" s="28" t="s">
        <v>1684</v>
      </c>
      <c r="D3665" s="28" t="s">
        <v>6467</v>
      </c>
      <c r="E3665" s="28" t="s">
        <v>17544</v>
      </c>
      <c r="F3665" s="28" t="s">
        <v>21</v>
      </c>
      <c r="G3665" s="28" t="s">
        <v>39</v>
      </c>
      <c r="H3665" s="28" t="s">
        <v>16221</v>
      </c>
      <c r="I3665" s="28" t="s">
        <v>19698</v>
      </c>
      <c r="J3665" s="28" t="s">
        <v>39</v>
      </c>
      <c r="K3665" s="28" t="s">
        <v>16223</v>
      </c>
      <c r="L3665" s="28" t="s">
        <v>16224</v>
      </c>
      <c r="M3665" s="28" t="s">
        <v>19699</v>
      </c>
      <c r="N3665" s="28" t="s">
        <v>16226</v>
      </c>
      <c r="O3665" s="28" t="s">
        <v>16227</v>
      </c>
      <c r="P3665" s="28" t="s">
        <v>17547</v>
      </c>
    </row>
    <row r="3666" spans="1:16" x14ac:dyDescent="0.25">
      <c r="A3666" s="28" t="s">
        <v>19700</v>
      </c>
      <c r="B3666" s="28" t="s">
        <v>19701</v>
      </c>
      <c r="C3666" s="28" t="s">
        <v>1684</v>
      </c>
      <c r="D3666" s="28" t="s">
        <v>6467</v>
      </c>
      <c r="E3666" s="28" t="s">
        <v>17544</v>
      </c>
      <c r="F3666" s="28" t="s">
        <v>21</v>
      </c>
      <c r="G3666" s="28" t="s">
        <v>39</v>
      </c>
      <c r="H3666" s="28" t="s">
        <v>16221</v>
      </c>
      <c r="I3666" s="28" t="s">
        <v>19702</v>
      </c>
      <c r="J3666" s="28" t="s">
        <v>39</v>
      </c>
      <c r="K3666" s="28" t="s">
        <v>16223</v>
      </c>
      <c r="L3666" s="28" t="s">
        <v>16224</v>
      </c>
      <c r="M3666" s="28" t="s">
        <v>19703</v>
      </c>
      <c r="N3666" s="28" t="s">
        <v>16226</v>
      </c>
      <c r="O3666" s="28" t="s">
        <v>16227</v>
      </c>
      <c r="P3666" s="28" t="s">
        <v>17547</v>
      </c>
    </row>
    <row r="3667" spans="1:16" x14ac:dyDescent="0.25">
      <c r="A3667" s="28" t="s">
        <v>19704</v>
      </c>
      <c r="B3667" s="28" t="s">
        <v>19705</v>
      </c>
      <c r="C3667" s="28" t="s">
        <v>1684</v>
      </c>
      <c r="D3667" s="28" t="s">
        <v>6467</v>
      </c>
      <c r="E3667" s="28" t="s">
        <v>17544</v>
      </c>
      <c r="F3667" s="28" t="s">
        <v>21</v>
      </c>
      <c r="G3667" s="28" t="s">
        <v>39</v>
      </c>
      <c r="H3667" s="28" t="s">
        <v>16221</v>
      </c>
      <c r="I3667" s="28" t="s">
        <v>19706</v>
      </c>
      <c r="J3667" s="28" t="s">
        <v>39</v>
      </c>
      <c r="K3667" s="28" t="s">
        <v>16223</v>
      </c>
      <c r="L3667" s="28" t="s">
        <v>16224</v>
      </c>
      <c r="M3667" s="28" t="s">
        <v>19707</v>
      </c>
      <c r="N3667" s="28" t="s">
        <v>16226</v>
      </c>
      <c r="O3667" s="28" t="s">
        <v>16227</v>
      </c>
      <c r="P3667" s="28" t="s">
        <v>17547</v>
      </c>
    </row>
    <row r="3668" spans="1:16" x14ac:dyDescent="0.25">
      <c r="A3668" s="28" t="s">
        <v>19708</v>
      </c>
      <c r="B3668" s="28" t="s">
        <v>19709</v>
      </c>
      <c r="C3668" s="28" t="s">
        <v>1684</v>
      </c>
      <c r="D3668" s="28" t="s">
        <v>6467</v>
      </c>
      <c r="E3668" s="28" t="s">
        <v>17544</v>
      </c>
      <c r="F3668" s="28" t="s">
        <v>21</v>
      </c>
      <c r="G3668" s="28" t="s">
        <v>39</v>
      </c>
      <c r="H3668" s="28" t="s">
        <v>16221</v>
      </c>
      <c r="I3668" s="28" t="s">
        <v>19710</v>
      </c>
      <c r="J3668" s="28" t="s">
        <v>39</v>
      </c>
      <c r="K3668" s="28" t="s">
        <v>16223</v>
      </c>
      <c r="L3668" s="28" t="s">
        <v>16224</v>
      </c>
      <c r="M3668" s="28" t="s">
        <v>19711</v>
      </c>
      <c r="N3668" s="28" t="s">
        <v>16226</v>
      </c>
      <c r="O3668" s="28" t="s">
        <v>16227</v>
      </c>
      <c r="P3668" s="28" t="s">
        <v>17547</v>
      </c>
    </row>
    <row r="3669" spans="1:16" x14ac:dyDescent="0.25">
      <c r="A3669" s="28" t="s">
        <v>19712</v>
      </c>
      <c r="B3669" s="28" t="s">
        <v>19713</v>
      </c>
      <c r="C3669" s="28" t="s">
        <v>1684</v>
      </c>
      <c r="D3669" s="28" t="s">
        <v>6467</v>
      </c>
      <c r="E3669" s="28" t="s">
        <v>17544</v>
      </c>
      <c r="F3669" s="28" t="s">
        <v>21</v>
      </c>
      <c r="G3669" s="28" t="s">
        <v>39</v>
      </c>
      <c r="H3669" s="28" t="s">
        <v>16221</v>
      </c>
      <c r="I3669" s="28" t="s">
        <v>19714</v>
      </c>
      <c r="J3669" s="28" t="s">
        <v>39</v>
      </c>
      <c r="K3669" s="28" t="s">
        <v>16223</v>
      </c>
      <c r="L3669" s="28" t="s">
        <v>16224</v>
      </c>
      <c r="M3669" s="28" t="s">
        <v>19715</v>
      </c>
      <c r="N3669" s="28" t="s">
        <v>16226</v>
      </c>
      <c r="O3669" s="28" t="s">
        <v>16227</v>
      </c>
      <c r="P3669" s="28" t="s">
        <v>17547</v>
      </c>
    </row>
    <row r="3670" spans="1:16" x14ac:dyDescent="0.25">
      <c r="A3670" s="28" t="s">
        <v>19716</v>
      </c>
      <c r="B3670" s="28" t="s">
        <v>19717</v>
      </c>
      <c r="C3670" s="28" t="s">
        <v>1684</v>
      </c>
      <c r="D3670" s="28" t="s">
        <v>6467</v>
      </c>
      <c r="E3670" s="28" t="s">
        <v>17544</v>
      </c>
      <c r="F3670" s="28" t="s">
        <v>21</v>
      </c>
      <c r="G3670" s="28" t="s">
        <v>39</v>
      </c>
      <c r="H3670" s="28" t="s">
        <v>16221</v>
      </c>
      <c r="I3670" s="28" t="s">
        <v>19718</v>
      </c>
      <c r="J3670" s="28" t="s">
        <v>39</v>
      </c>
      <c r="K3670" s="28" t="s">
        <v>16223</v>
      </c>
      <c r="L3670" s="28" t="s">
        <v>16224</v>
      </c>
      <c r="M3670" s="28" t="s">
        <v>19719</v>
      </c>
      <c r="N3670" s="28" t="s">
        <v>16226</v>
      </c>
      <c r="O3670" s="28" t="s">
        <v>16227</v>
      </c>
      <c r="P3670" s="28" t="s">
        <v>17547</v>
      </c>
    </row>
    <row r="3671" spans="1:16" x14ac:dyDescent="0.25">
      <c r="A3671" s="28" t="s">
        <v>19720</v>
      </c>
      <c r="B3671" s="28" t="s">
        <v>19721</v>
      </c>
      <c r="C3671" s="28" t="s">
        <v>1684</v>
      </c>
      <c r="D3671" s="28" t="s">
        <v>6467</v>
      </c>
      <c r="E3671" s="28" t="s">
        <v>17544</v>
      </c>
      <c r="F3671" s="28" t="s">
        <v>21</v>
      </c>
      <c r="G3671" s="28" t="s">
        <v>39</v>
      </c>
      <c r="H3671" s="28" t="s">
        <v>16221</v>
      </c>
      <c r="I3671" s="28" t="s">
        <v>19722</v>
      </c>
      <c r="J3671" s="28" t="s">
        <v>39</v>
      </c>
      <c r="K3671" s="28" t="s">
        <v>16223</v>
      </c>
      <c r="L3671" s="28" t="s">
        <v>16224</v>
      </c>
      <c r="M3671" s="28" t="s">
        <v>19723</v>
      </c>
      <c r="N3671" s="28" t="s">
        <v>16226</v>
      </c>
      <c r="O3671" s="28" t="s">
        <v>16227</v>
      </c>
      <c r="P3671" s="28" t="s">
        <v>17547</v>
      </c>
    </row>
    <row r="3672" spans="1:16" x14ac:dyDescent="0.25">
      <c r="A3672" s="28" t="s">
        <v>19724</v>
      </c>
      <c r="B3672" s="28" t="s">
        <v>19725</v>
      </c>
      <c r="C3672" s="28" t="s">
        <v>1684</v>
      </c>
      <c r="D3672" s="28" t="s">
        <v>6467</v>
      </c>
      <c r="E3672" s="28" t="s">
        <v>17544</v>
      </c>
      <c r="F3672" s="28" t="s">
        <v>21</v>
      </c>
      <c r="G3672" s="28" t="s">
        <v>39</v>
      </c>
      <c r="H3672" s="28" t="s">
        <v>16221</v>
      </c>
      <c r="I3672" s="28" t="s">
        <v>19726</v>
      </c>
      <c r="J3672" s="28" t="s">
        <v>39</v>
      </c>
      <c r="K3672" s="28" t="s">
        <v>16223</v>
      </c>
      <c r="L3672" s="28" t="s">
        <v>16224</v>
      </c>
      <c r="M3672" s="28" t="s">
        <v>19727</v>
      </c>
      <c r="N3672" s="28" t="s">
        <v>16226</v>
      </c>
      <c r="O3672" s="28" t="s">
        <v>16227</v>
      </c>
      <c r="P3672" s="28" t="s">
        <v>17547</v>
      </c>
    </row>
    <row r="3673" spans="1:16" x14ac:dyDescent="0.25">
      <c r="A3673" s="28" t="s">
        <v>19728</v>
      </c>
      <c r="B3673" s="28" t="s">
        <v>19729</v>
      </c>
      <c r="C3673" s="28" t="s">
        <v>1684</v>
      </c>
      <c r="D3673" s="28" t="s">
        <v>6467</v>
      </c>
      <c r="E3673" s="28" t="s">
        <v>17544</v>
      </c>
      <c r="F3673" s="28" t="s">
        <v>21</v>
      </c>
      <c r="G3673" s="28" t="s">
        <v>39</v>
      </c>
      <c r="H3673" s="28" t="s">
        <v>16221</v>
      </c>
      <c r="I3673" s="28" t="s">
        <v>19730</v>
      </c>
      <c r="J3673" s="28" t="s">
        <v>39</v>
      </c>
      <c r="K3673" s="28" t="s">
        <v>16223</v>
      </c>
      <c r="L3673" s="28" t="s">
        <v>16224</v>
      </c>
      <c r="M3673" s="28" t="s">
        <v>19731</v>
      </c>
      <c r="N3673" s="28" t="s">
        <v>16226</v>
      </c>
      <c r="O3673" s="28" t="s">
        <v>16227</v>
      </c>
      <c r="P3673" s="28" t="s">
        <v>17547</v>
      </c>
    </row>
    <row r="3674" spans="1:16" x14ac:dyDescent="0.25">
      <c r="A3674" s="28" t="s">
        <v>19732</v>
      </c>
      <c r="B3674" s="28" t="s">
        <v>19733</v>
      </c>
      <c r="C3674" s="28" t="s">
        <v>1684</v>
      </c>
      <c r="D3674" s="28" t="s">
        <v>6467</v>
      </c>
      <c r="E3674" s="28" t="s">
        <v>17544</v>
      </c>
      <c r="F3674" s="28" t="s">
        <v>21</v>
      </c>
      <c r="G3674" s="28" t="s">
        <v>39</v>
      </c>
      <c r="H3674" s="28" t="s">
        <v>16221</v>
      </c>
      <c r="I3674" s="28" t="s">
        <v>19734</v>
      </c>
      <c r="J3674" s="28" t="s">
        <v>39</v>
      </c>
      <c r="K3674" s="28" t="s">
        <v>16223</v>
      </c>
      <c r="L3674" s="28" t="s">
        <v>16224</v>
      </c>
      <c r="M3674" s="28" t="s">
        <v>19735</v>
      </c>
      <c r="N3674" s="28" t="s">
        <v>16226</v>
      </c>
      <c r="O3674" s="28" t="s">
        <v>16227</v>
      </c>
      <c r="P3674" s="28" t="s">
        <v>17547</v>
      </c>
    </row>
    <row r="3675" spans="1:16" x14ac:dyDescent="0.25">
      <c r="A3675" s="28" t="s">
        <v>19736</v>
      </c>
      <c r="B3675" s="28" t="s">
        <v>19737</v>
      </c>
      <c r="C3675" s="28" t="s">
        <v>1684</v>
      </c>
      <c r="D3675" s="28" t="s">
        <v>6467</v>
      </c>
      <c r="E3675" s="28" t="s">
        <v>17544</v>
      </c>
      <c r="F3675" s="28" t="s">
        <v>21</v>
      </c>
      <c r="G3675" s="28" t="s">
        <v>39</v>
      </c>
      <c r="H3675" s="28" t="s">
        <v>16221</v>
      </c>
      <c r="I3675" s="28" t="s">
        <v>19738</v>
      </c>
      <c r="J3675" s="28" t="s">
        <v>39</v>
      </c>
      <c r="K3675" s="28" t="s">
        <v>16223</v>
      </c>
      <c r="L3675" s="28" t="s">
        <v>16224</v>
      </c>
      <c r="M3675" s="28" t="s">
        <v>19739</v>
      </c>
      <c r="N3675" s="28" t="s">
        <v>16226</v>
      </c>
      <c r="O3675" s="28" t="s">
        <v>16227</v>
      </c>
      <c r="P3675" s="28" t="s">
        <v>17547</v>
      </c>
    </row>
    <row r="3676" spans="1:16" x14ac:dyDescent="0.25">
      <c r="A3676" s="28" t="s">
        <v>19740</v>
      </c>
      <c r="B3676" s="28" t="s">
        <v>19741</v>
      </c>
      <c r="C3676" s="28" t="s">
        <v>1684</v>
      </c>
      <c r="D3676" s="28" t="s">
        <v>6467</v>
      </c>
      <c r="E3676" s="28" t="s">
        <v>17544</v>
      </c>
      <c r="F3676" s="28" t="s">
        <v>21</v>
      </c>
      <c r="G3676" s="28" t="s">
        <v>39</v>
      </c>
      <c r="H3676" s="28" t="s">
        <v>16221</v>
      </c>
      <c r="I3676" s="28" t="s">
        <v>19742</v>
      </c>
      <c r="J3676" s="28" t="s">
        <v>39</v>
      </c>
      <c r="K3676" s="28" t="s">
        <v>16223</v>
      </c>
      <c r="L3676" s="28" t="s">
        <v>16224</v>
      </c>
      <c r="M3676" s="28" t="s">
        <v>19743</v>
      </c>
      <c r="N3676" s="28" t="s">
        <v>16226</v>
      </c>
      <c r="O3676" s="28" t="s">
        <v>16227</v>
      </c>
      <c r="P3676" s="28" t="s">
        <v>17547</v>
      </c>
    </row>
    <row r="3677" spans="1:16" x14ac:dyDescent="0.25">
      <c r="A3677" s="28" t="s">
        <v>19744</v>
      </c>
      <c r="B3677" s="28" t="s">
        <v>19745</v>
      </c>
      <c r="C3677" s="28" t="s">
        <v>1684</v>
      </c>
      <c r="D3677" s="28" t="s">
        <v>6467</v>
      </c>
      <c r="E3677" s="28" t="s">
        <v>17544</v>
      </c>
      <c r="F3677" s="28" t="s">
        <v>21</v>
      </c>
      <c r="G3677" s="28" t="s">
        <v>39</v>
      </c>
      <c r="H3677" s="28" t="s">
        <v>16221</v>
      </c>
      <c r="I3677" s="28" t="s">
        <v>19746</v>
      </c>
      <c r="J3677" s="28" t="s">
        <v>39</v>
      </c>
      <c r="K3677" s="28" t="s">
        <v>16223</v>
      </c>
      <c r="L3677" s="28" t="s">
        <v>16224</v>
      </c>
      <c r="M3677" s="28" t="s">
        <v>19747</v>
      </c>
      <c r="N3677" s="28" t="s">
        <v>16226</v>
      </c>
      <c r="O3677" s="28" t="s">
        <v>16227</v>
      </c>
      <c r="P3677" s="28" t="s">
        <v>17547</v>
      </c>
    </row>
    <row r="3678" spans="1:16" x14ac:dyDescent="0.25">
      <c r="A3678" s="28" t="s">
        <v>19748</v>
      </c>
      <c r="B3678" s="28" t="s">
        <v>19749</v>
      </c>
      <c r="C3678" s="28" t="s">
        <v>1684</v>
      </c>
      <c r="D3678" s="28" t="s">
        <v>6467</v>
      </c>
      <c r="E3678" s="28" t="s">
        <v>17544</v>
      </c>
      <c r="F3678" s="28" t="s">
        <v>21</v>
      </c>
      <c r="G3678" s="28" t="s">
        <v>39</v>
      </c>
      <c r="H3678" s="28" t="s">
        <v>16221</v>
      </c>
      <c r="I3678" s="28" t="s">
        <v>19750</v>
      </c>
      <c r="J3678" s="28" t="s">
        <v>39</v>
      </c>
      <c r="K3678" s="28" t="s">
        <v>16223</v>
      </c>
      <c r="L3678" s="28" t="s">
        <v>16224</v>
      </c>
      <c r="M3678" s="28" t="s">
        <v>19751</v>
      </c>
      <c r="N3678" s="28" t="s">
        <v>16226</v>
      </c>
      <c r="O3678" s="28" t="s">
        <v>16227</v>
      </c>
      <c r="P3678" s="28" t="s">
        <v>17547</v>
      </c>
    </row>
    <row r="3679" spans="1:16" x14ac:dyDescent="0.25">
      <c r="A3679" s="28" t="s">
        <v>19752</v>
      </c>
      <c r="B3679" s="28" t="s">
        <v>19753</v>
      </c>
      <c r="C3679" s="28" t="s">
        <v>1684</v>
      </c>
      <c r="D3679" s="28" t="s">
        <v>6467</v>
      </c>
      <c r="E3679" s="28" t="s">
        <v>17544</v>
      </c>
      <c r="F3679" s="28" t="s">
        <v>21</v>
      </c>
      <c r="G3679" s="28" t="s">
        <v>39</v>
      </c>
      <c r="H3679" s="28" t="s">
        <v>16221</v>
      </c>
      <c r="I3679" s="28" t="s">
        <v>19754</v>
      </c>
      <c r="J3679" s="28" t="s">
        <v>39</v>
      </c>
      <c r="K3679" s="28" t="s">
        <v>16223</v>
      </c>
      <c r="L3679" s="28" t="s">
        <v>16224</v>
      </c>
      <c r="M3679" s="28" t="s">
        <v>19755</v>
      </c>
      <c r="N3679" s="28" t="s">
        <v>16226</v>
      </c>
      <c r="O3679" s="28" t="s">
        <v>16227</v>
      </c>
      <c r="P3679" s="28" t="s">
        <v>17547</v>
      </c>
    </row>
    <row r="3680" spans="1:16" x14ac:dyDescent="0.25">
      <c r="A3680" s="28" t="s">
        <v>19756</v>
      </c>
      <c r="B3680" s="28" t="s">
        <v>19757</v>
      </c>
      <c r="C3680" s="28" t="s">
        <v>1684</v>
      </c>
      <c r="D3680" s="28" t="s">
        <v>6467</v>
      </c>
      <c r="E3680" s="28" t="s">
        <v>17544</v>
      </c>
      <c r="F3680" s="28" t="s">
        <v>21</v>
      </c>
      <c r="G3680" s="28" t="s">
        <v>39</v>
      </c>
      <c r="H3680" s="28" t="s">
        <v>16221</v>
      </c>
      <c r="I3680" s="28" t="s">
        <v>19758</v>
      </c>
      <c r="J3680" s="28" t="s">
        <v>39</v>
      </c>
      <c r="K3680" s="28" t="s">
        <v>16223</v>
      </c>
      <c r="L3680" s="28" t="s">
        <v>16224</v>
      </c>
      <c r="M3680" s="28" t="s">
        <v>19759</v>
      </c>
      <c r="N3680" s="28" t="s">
        <v>16226</v>
      </c>
      <c r="O3680" s="28" t="s">
        <v>16227</v>
      </c>
      <c r="P3680" s="28" t="s">
        <v>17547</v>
      </c>
    </row>
    <row r="3681" spans="1:16" x14ac:dyDescent="0.25">
      <c r="A3681" s="28" t="s">
        <v>19760</v>
      </c>
      <c r="B3681" s="28" t="s">
        <v>19761</v>
      </c>
      <c r="C3681" s="28" t="s">
        <v>1684</v>
      </c>
      <c r="D3681" s="28" t="s">
        <v>6467</v>
      </c>
      <c r="E3681" s="28" t="s">
        <v>17544</v>
      </c>
      <c r="F3681" s="28" t="s">
        <v>21</v>
      </c>
      <c r="G3681" s="28" t="s">
        <v>39</v>
      </c>
      <c r="H3681" s="28" t="s">
        <v>16221</v>
      </c>
      <c r="I3681" s="28" t="s">
        <v>19762</v>
      </c>
      <c r="J3681" s="28" t="s">
        <v>39</v>
      </c>
      <c r="K3681" s="28" t="s">
        <v>16223</v>
      </c>
      <c r="L3681" s="28" t="s">
        <v>16224</v>
      </c>
      <c r="M3681" s="28" t="s">
        <v>19763</v>
      </c>
      <c r="N3681" s="28" t="s">
        <v>16226</v>
      </c>
      <c r="O3681" s="28" t="s">
        <v>16227</v>
      </c>
      <c r="P3681" s="28" t="s">
        <v>17547</v>
      </c>
    </row>
    <row r="3682" spans="1:16" x14ac:dyDescent="0.25">
      <c r="A3682" s="28" t="s">
        <v>19764</v>
      </c>
      <c r="B3682" s="28" t="s">
        <v>19765</v>
      </c>
      <c r="C3682" s="28" t="s">
        <v>1684</v>
      </c>
      <c r="D3682" s="28" t="s">
        <v>6467</v>
      </c>
      <c r="E3682" s="28" t="s">
        <v>17544</v>
      </c>
      <c r="F3682" s="28" t="s">
        <v>21</v>
      </c>
      <c r="G3682" s="28" t="s">
        <v>39</v>
      </c>
      <c r="H3682" s="28" t="s">
        <v>16221</v>
      </c>
      <c r="I3682" s="28" t="s">
        <v>19766</v>
      </c>
      <c r="J3682" s="28" t="s">
        <v>39</v>
      </c>
      <c r="K3682" s="28" t="s">
        <v>16223</v>
      </c>
      <c r="L3682" s="28" t="s">
        <v>16224</v>
      </c>
      <c r="M3682" s="28" t="s">
        <v>19767</v>
      </c>
      <c r="N3682" s="28" t="s">
        <v>16226</v>
      </c>
      <c r="O3682" s="28" t="s">
        <v>16227</v>
      </c>
      <c r="P3682" s="28" t="s">
        <v>17547</v>
      </c>
    </row>
    <row r="3683" spans="1:16" x14ac:dyDescent="0.25">
      <c r="A3683" s="28" t="s">
        <v>19768</v>
      </c>
      <c r="B3683" s="28" t="s">
        <v>19769</v>
      </c>
      <c r="C3683" s="28" t="s">
        <v>1684</v>
      </c>
      <c r="D3683" s="28" t="s">
        <v>6467</v>
      </c>
      <c r="E3683" s="28" t="s">
        <v>17544</v>
      </c>
      <c r="F3683" s="28" t="s">
        <v>21</v>
      </c>
      <c r="G3683" s="28" t="s">
        <v>39</v>
      </c>
      <c r="H3683" s="28" t="s">
        <v>16221</v>
      </c>
      <c r="I3683" s="28" t="s">
        <v>19770</v>
      </c>
      <c r="J3683" s="28" t="s">
        <v>39</v>
      </c>
      <c r="K3683" s="28" t="s">
        <v>16223</v>
      </c>
      <c r="L3683" s="28" t="s">
        <v>16224</v>
      </c>
      <c r="M3683" s="28" t="s">
        <v>19771</v>
      </c>
      <c r="N3683" s="28" t="s">
        <v>16226</v>
      </c>
      <c r="O3683" s="28" t="s">
        <v>16227</v>
      </c>
      <c r="P3683" s="28" t="s">
        <v>17547</v>
      </c>
    </row>
    <row r="3684" spans="1:16" x14ac:dyDescent="0.25">
      <c r="A3684" s="28" t="s">
        <v>19772</v>
      </c>
      <c r="B3684" s="28" t="s">
        <v>19773</v>
      </c>
      <c r="C3684" s="28" t="s">
        <v>1684</v>
      </c>
      <c r="D3684" s="28" t="s">
        <v>6467</v>
      </c>
      <c r="E3684" s="28" t="s">
        <v>17544</v>
      </c>
      <c r="F3684" s="28" t="s">
        <v>21</v>
      </c>
      <c r="G3684" s="28" t="s">
        <v>39</v>
      </c>
      <c r="H3684" s="28" t="s">
        <v>16221</v>
      </c>
      <c r="I3684" s="28" t="s">
        <v>19774</v>
      </c>
      <c r="J3684" s="28" t="s">
        <v>39</v>
      </c>
      <c r="K3684" s="28" t="s">
        <v>16223</v>
      </c>
      <c r="L3684" s="28" t="s">
        <v>16224</v>
      </c>
      <c r="M3684" s="28" t="s">
        <v>19775</v>
      </c>
      <c r="N3684" s="28" t="s">
        <v>16226</v>
      </c>
      <c r="O3684" s="28" t="s">
        <v>16227</v>
      </c>
      <c r="P3684" s="28" t="s">
        <v>17547</v>
      </c>
    </row>
    <row r="3685" spans="1:16" x14ac:dyDescent="0.25">
      <c r="A3685" s="28" t="s">
        <v>19776</v>
      </c>
      <c r="B3685" s="28" t="s">
        <v>19777</v>
      </c>
      <c r="C3685" s="28" t="s">
        <v>1684</v>
      </c>
      <c r="D3685" s="28" t="s">
        <v>6467</v>
      </c>
      <c r="E3685" s="28" t="s">
        <v>17544</v>
      </c>
      <c r="F3685" s="28" t="s">
        <v>21</v>
      </c>
      <c r="G3685" s="28" t="s">
        <v>39</v>
      </c>
      <c r="H3685" s="28" t="s">
        <v>16221</v>
      </c>
      <c r="I3685" s="28" t="s">
        <v>19778</v>
      </c>
      <c r="J3685" s="28" t="s">
        <v>39</v>
      </c>
      <c r="K3685" s="28" t="s">
        <v>16223</v>
      </c>
      <c r="L3685" s="28" t="s">
        <v>16224</v>
      </c>
      <c r="M3685" s="28" t="s">
        <v>19779</v>
      </c>
      <c r="N3685" s="28" t="s">
        <v>16226</v>
      </c>
      <c r="O3685" s="28" t="s">
        <v>16227</v>
      </c>
      <c r="P3685" s="28" t="s">
        <v>17547</v>
      </c>
    </row>
    <row r="3686" spans="1:16" x14ac:dyDescent="0.25">
      <c r="A3686" s="28" t="s">
        <v>19780</v>
      </c>
      <c r="B3686" s="28" t="s">
        <v>19781</v>
      </c>
      <c r="C3686" s="28" t="s">
        <v>1684</v>
      </c>
      <c r="D3686" s="28" t="s">
        <v>6467</v>
      </c>
      <c r="E3686" s="28" t="s">
        <v>17544</v>
      </c>
      <c r="F3686" s="28" t="s">
        <v>21</v>
      </c>
      <c r="G3686" s="28" t="s">
        <v>39</v>
      </c>
      <c r="H3686" s="28" t="s">
        <v>16221</v>
      </c>
      <c r="I3686" s="28" t="s">
        <v>19782</v>
      </c>
      <c r="J3686" s="28" t="s">
        <v>39</v>
      </c>
      <c r="K3686" s="28" t="s">
        <v>16223</v>
      </c>
      <c r="L3686" s="28" t="s">
        <v>16224</v>
      </c>
      <c r="M3686" s="28" t="s">
        <v>19783</v>
      </c>
      <c r="N3686" s="28" t="s">
        <v>16226</v>
      </c>
      <c r="O3686" s="28" t="s">
        <v>16227</v>
      </c>
      <c r="P3686" s="28" t="s">
        <v>17547</v>
      </c>
    </row>
    <row r="3687" spans="1:16" x14ac:dyDescent="0.25">
      <c r="A3687" s="28" t="s">
        <v>19784</v>
      </c>
      <c r="B3687" s="28" t="s">
        <v>19785</v>
      </c>
      <c r="C3687" s="28" t="s">
        <v>1684</v>
      </c>
      <c r="D3687" s="28" t="s">
        <v>6467</v>
      </c>
      <c r="E3687" s="28" t="s">
        <v>17544</v>
      </c>
      <c r="F3687" s="28" t="s">
        <v>21</v>
      </c>
      <c r="G3687" s="28" t="s">
        <v>39</v>
      </c>
      <c r="H3687" s="28" t="s">
        <v>16221</v>
      </c>
      <c r="I3687" s="28" t="s">
        <v>19786</v>
      </c>
      <c r="J3687" s="28" t="s">
        <v>39</v>
      </c>
      <c r="K3687" s="28" t="s">
        <v>16223</v>
      </c>
      <c r="L3687" s="28" t="s">
        <v>16224</v>
      </c>
      <c r="M3687" s="28" t="s">
        <v>19787</v>
      </c>
      <c r="N3687" s="28" t="s">
        <v>16226</v>
      </c>
      <c r="O3687" s="28" t="s">
        <v>16227</v>
      </c>
      <c r="P3687" s="28" t="s">
        <v>17547</v>
      </c>
    </row>
    <row r="3688" spans="1:16" x14ac:dyDescent="0.25">
      <c r="A3688" s="28" t="s">
        <v>19788</v>
      </c>
      <c r="B3688" s="28" t="s">
        <v>19789</v>
      </c>
      <c r="C3688" s="28" t="s">
        <v>1684</v>
      </c>
      <c r="D3688" s="28" t="s">
        <v>6467</v>
      </c>
      <c r="E3688" s="28" t="s">
        <v>17544</v>
      </c>
      <c r="F3688" s="28" t="s">
        <v>21</v>
      </c>
      <c r="G3688" s="28" t="s">
        <v>39</v>
      </c>
      <c r="H3688" s="28" t="s">
        <v>16221</v>
      </c>
      <c r="I3688" s="28" t="s">
        <v>19790</v>
      </c>
      <c r="J3688" s="28" t="s">
        <v>39</v>
      </c>
      <c r="K3688" s="28" t="s">
        <v>16223</v>
      </c>
      <c r="L3688" s="28" t="s">
        <v>16224</v>
      </c>
      <c r="M3688" s="28" t="s">
        <v>19791</v>
      </c>
      <c r="N3688" s="28" t="s">
        <v>16226</v>
      </c>
      <c r="O3688" s="28" t="s">
        <v>16227</v>
      </c>
      <c r="P3688" s="28" t="s">
        <v>17547</v>
      </c>
    </row>
    <row r="3689" spans="1:16" x14ac:dyDescent="0.25">
      <c r="A3689" s="28" t="s">
        <v>19792</v>
      </c>
      <c r="B3689" s="28" t="s">
        <v>19793</v>
      </c>
      <c r="C3689" s="28" t="s">
        <v>1684</v>
      </c>
      <c r="D3689" s="28" t="s">
        <v>6467</v>
      </c>
      <c r="E3689" s="28" t="s">
        <v>17544</v>
      </c>
      <c r="F3689" s="28" t="s">
        <v>21</v>
      </c>
      <c r="G3689" s="28" t="s">
        <v>39</v>
      </c>
      <c r="H3689" s="28" t="s">
        <v>16221</v>
      </c>
      <c r="I3689" s="28" t="s">
        <v>19794</v>
      </c>
      <c r="J3689" s="28" t="s">
        <v>39</v>
      </c>
      <c r="K3689" s="28" t="s">
        <v>16223</v>
      </c>
      <c r="L3689" s="28" t="s">
        <v>16224</v>
      </c>
      <c r="M3689" s="28" t="s">
        <v>19795</v>
      </c>
      <c r="N3689" s="28" t="s">
        <v>16226</v>
      </c>
      <c r="O3689" s="28" t="s">
        <v>16227</v>
      </c>
      <c r="P3689" s="28" t="s">
        <v>17547</v>
      </c>
    </row>
    <row r="3690" spans="1:16" x14ac:dyDescent="0.25">
      <c r="A3690" s="28" t="s">
        <v>19796</v>
      </c>
      <c r="B3690" s="28" t="s">
        <v>19797</v>
      </c>
      <c r="C3690" s="28" t="s">
        <v>1684</v>
      </c>
      <c r="D3690" s="28" t="s">
        <v>6467</v>
      </c>
      <c r="E3690" s="28" t="s">
        <v>17544</v>
      </c>
      <c r="F3690" s="28" t="s">
        <v>21</v>
      </c>
      <c r="G3690" s="28" t="s">
        <v>39</v>
      </c>
      <c r="H3690" s="28" t="s">
        <v>16221</v>
      </c>
      <c r="I3690" s="28" t="s">
        <v>19798</v>
      </c>
      <c r="J3690" s="28" t="s">
        <v>39</v>
      </c>
      <c r="K3690" s="28" t="s">
        <v>16223</v>
      </c>
      <c r="L3690" s="28" t="s">
        <v>16224</v>
      </c>
      <c r="M3690" s="28" t="s">
        <v>19799</v>
      </c>
      <c r="N3690" s="28" t="s">
        <v>16226</v>
      </c>
      <c r="O3690" s="28" t="s">
        <v>16227</v>
      </c>
      <c r="P3690" s="28" t="s">
        <v>17547</v>
      </c>
    </row>
    <row r="3691" spans="1:16" x14ac:dyDescent="0.25">
      <c r="A3691" s="28" t="s">
        <v>19800</v>
      </c>
      <c r="B3691" s="28" t="s">
        <v>19801</v>
      </c>
      <c r="C3691" s="28" t="s">
        <v>1684</v>
      </c>
      <c r="D3691" s="28" t="s">
        <v>6467</v>
      </c>
      <c r="E3691" s="28" t="s">
        <v>17544</v>
      </c>
      <c r="F3691" s="28" t="s">
        <v>21</v>
      </c>
      <c r="G3691" s="28" t="s">
        <v>39</v>
      </c>
      <c r="H3691" s="28" t="s">
        <v>16221</v>
      </c>
      <c r="I3691" s="28" t="s">
        <v>19802</v>
      </c>
      <c r="J3691" s="28" t="s">
        <v>39</v>
      </c>
      <c r="K3691" s="28" t="s">
        <v>16223</v>
      </c>
      <c r="L3691" s="28" t="s">
        <v>16224</v>
      </c>
      <c r="M3691" s="28" t="s">
        <v>19803</v>
      </c>
      <c r="N3691" s="28" t="s">
        <v>16226</v>
      </c>
      <c r="O3691" s="28" t="s">
        <v>16227</v>
      </c>
      <c r="P3691" s="28" t="s">
        <v>17547</v>
      </c>
    </row>
    <row r="3692" spans="1:16" x14ac:dyDescent="0.25">
      <c r="A3692" s="28" t="s">
        <v>19804</v>
      </c>
      <c r="B3692" s="28" t="s">
        <v>19805</v>
      </c>
      <c r="C3692" s="28" t="s">
        <v>1684</v>
      </c>
      <c r="D3692" s="28" t="s">
        <v>6467</v>
      </c>
      <c r="E3692" s="28" t="s">
        <v>17544</v>
      </c>
      <c r="F3692" s="28" t="s">
        <v>21</v>
      </c>
      <c r="G3692" s="28" t="s">
        <v>39</v>
      </c>
      <c r="H3692" s="28" t="s">
        <v>16221</v>
      </c>
      <c r="I3692" s="28" t="s">
        <v>19806</v>
      </c>
      <c r="J3692" s="28" t="s">
        <v>39</v>
      </c>
      <c r="K3692" s="28" t="s">
        <v>16223</v>
      </c>
      <c r="L3692" s="28" t="s">
        <v>16224</v>
      </c>
      <c r="M3692" s="28" t="s">
        <v>19807</v>
      </c>
      <c r="N3692" s="28" t="s">
        <v>16226</v>
      </c>
      <c r="O3692" s="28" t="s">
        <v>16227</v>
      </c>
      <c r="P3692" s="28" t="s">
        <v>17547</v>
      </c>
    </row>
    <row r="3693" spans="1:16" x14ac:dyDescent="0.25">
      <c r="A3693" s="28" t="s">
        <v>19808</v>
      </c>
      <c r="B3693" s="28" t="s">
        <v>19809</v>
      </c>
      <c r="C3693" s="28" t="s">
        <v>1684</v>
      </c>
      <c r="D3693" s="28" t="s">
        <v>6467</v>
      </c>
      <c r="E3693" s="28" t="s">
        <v>17544</v>
      </c>
      <c r="F3693" s="28" t="s">
        <v>21</v>
      </c>
      <c r="G3693" s="28" t="s">
        <v>39</v>
      </c>
      <c r="H3693" s="28" t="s">
        <v>16221</v>
      </c>
      <c r="I3693" s="28" t="s">
        <v>19810</v>
      </c>
      <c r="J3693" s="28" t="s">
        <v>39</v>
      </c>
      <c r="K3693" s="28" t="s">
        <v>16223</v>
      </c>
      <c r="L3693" s="28" t="s">
        <v>16224</v>
      </c>
      <c r="M3693" s="28" t="s">
        <v>19811</v>
      </c>
      <c r="N3693" s="28" t="s">
        <v>16226</v>
      </c>
      <c r="O3693" s="28" t="s">
        <v>16227</v>
      </c>
      <c r="P3693" s="28" t="s">
        <v>17547</v>
      </c>
    </row>
    <row r="3694" spans="1:16" x14ac:dyDescent="0.25">
      <c r="A3694" s="28" t="s">
        <v>19812</v>
      </c>
      <c r="B3694" s="28" t="s">
        <v>19813</v>
      </c>
      <c r="C3694" s="28" t="s">
        <v>1684</v>
      </c>
      <c r="D3694" s="28" t="s">
        <v>6467</v>
      </c>
      <c r="E3694" s="28" t="s">
        <v>17544</v>
      </c>
      <c r="F3694" s="28" t="s">
        <v>21</v>
      </c>
      <c r="G3694" s="28" t="s">
        <v>39</v>
      </c>
      <c r="H3694" s="28" t="s">
        <v>16221</v>
      </c>
      <c r="I3694" s="28" t="s">
        <v>19814</v>
      </c>
      <c r="J3694" s="28" t="s">
        <v>39</v>
      </c>
      <c r="K3694" s="28" t="s">
        <v>16223</v>
      </c>
      <c r="L3694" s="28" t="s">
        <v>16224</v>
      </c>
      <c r="M3694" s="28" t="s">
        <v>19815</v>
      </c>
      <c r="N3694" s="28" t="s">
        <v>16226</v>
      </c>
      <c r="O3694" s="28" t="s">
        <v>16227</v>
      </c>
      <c r="P3694" s="28" t="s">
        <v>17547</v>
      </c>
    </row>
    <row r="3695" spans="1:16" x14ac:dyDescent="0.25">
      <c r="A3695" s="28" t="s">
        <v>19816</v>
      </c>
      <c r="B3695" s="28" t="s">
        <v>19817</v>
      </c>
      <c r="C3695" s="28" t="s">
        <v>1684</v>
      </c>
      <c r="D3695" s="28" t="s">
        <v>6467</v>
      </c>
      <c r="E3695" s="28" t="s">
        <v>17544</v>
      </c>
      <c r="F3695" s="28" t="s">
        <v>21</v>
      </c>
      <c r="G3695" s="28" t="s">
        <v>39</v>
      </c>
      <c r="H3695" s="28" t="s">
        <v>16221</v>
      </c>
      <c r="I3695" s="28" t="s">
        <v>19818</v>
      </c>
      <c r="J3695" s="28" t="s">
        <v>39</v>
      </c>
      <c r="K3695" s="28" t="s">
        <v>16223</v>
      </c>
      <c r="L3695" s="28" t="s">
        <v>16224</v>
      </c>
      <c r="M3695" s="28" t="s">
        <v>19819</v>
      </c>
      <c r="N3695" s="28" t="s">
        <v>16226</v>
      </c>
      <c r="O3695" s="28" t="s">
        <v>16227</v>
      </c>
      <c r="P3695" s="28" t="s">
        <v>17547</v>
      </c>
    </row>
    <row r="3696" spans="1:16" x14ac:dyDescent="0.25">
      <c r="A3696" s="28" t="s">
        <v>19820</v>
      </c>
      <c r="B3696" s="28" t="s">
        <v>19821</v>
      </c>
      <c r="C3696" s="28" t="s">
        <v>1684</v>
      </c>
      <c r="D3696" s="28" t="s">
        <v>6467</v>
      </c>
      <c r="E3696" s="28" t="s">
        <v>17544</v>
      </c>
      <c r="F3696" s="28" t="s">
        <v>21</v>
      </c>
      <c r="G3696" s="28" t="s">
        <v>39</v>
      </c>
      <c r="H3696" s="28" t="s">
        <v>16221</v>
      </c>
      <c r="I3696" s="28" t="s">
        <v>19822</v>
      </c>
      <c r="J3696" s="28" t="s">
        <v>39</v>
      </c>
      <c r="K3696" s="28" t="s">
        <v>16223</v>
      </c>
      <c r="L3696" s="28" t="s">
        <v>16224</v>
      </c>
      <c r="M3696" s="28" t="s">
        <v>19823</v>
      </c>
      <c r="N3696" s="28" t="s">
        <v>16226</v>
      </c>
      <c r="O3696" s="28" t="s">
        <v>16227</v>
      </c>
      <c r="P3696" s="28" t="s">
        <v>17547</v>
      </c>
    </row>
    <row r="3697" spans="1:16" x14ac:dyDescent="0.25">
      <c r="A3697" s="28" t="s">
        <v>19824</v>
      </c>
      <c r="B3697" s="28" t="s">
        <v>19825</v>
      </c>
      <c r="C3697" s="28" t="s">
        <v>1684</v>
      </c>
      <c r="D3697" s="28" t="s">
        <v>6467</v>
      </c>
      <c r="E3697" s="28" t="s">
        <v>17554</v>
      </c>
      <c r="F3697" s="28" t="s">
        <v>21</v>
      </c>
      <c r="G3697" s="28" t="s">
        <v>39</v>
      </c>
      <c r="H3697" s="28" t="s">
        <v>16221</v>
      </c>
      <c r="I3697" s="28" t="s">
        <v>19826</v>
      </c>
      <c r="J3697" s="28" t="s">
        <v>39</v>
      </c>
      <c r="K3697" s="28" t="s">
        <v>16223</v>
      </c>
      <c r="L3697" s="28" t="s">
        <v>16224</v>
      </c>
      <c r="M3697" s="28" t="s">
        <v>19827</v>
      </c>
      <c r="N3697" s="28" t="s">
        <v>16226</v>
      </c>
      <c r="O3697" s="28" t="s">
        <v>16227</v>
      </c>
      <c r="P3697" s="28" t="s">
        <v>17557</v>
      </c>
    </row>
    <row r="3698" spans="1:16" x14ac:dyDescent="0.25">
      <c r="A3698" s="28" t="s">
        <v>19828</v>
      </c>
      <c r="B3698" s="28" t="s">
        <v>19829</v>
      </c>
      <c r="C3698" s="28" t="s">
        <v>1684</v>
      </c>
      <c r="D3698" s="28" t="s">
        <v>6467</v>
      </c>
      <c r="E3698" s="28" t="s">
        <v>17554</v>
      </c>
      <c r="F3698" s="28" t="s">
        <v>21</v>
      </c>
      <c r="G3698" s="28" t="s">
        <v>39</v>
      </c>
      <c r="H3698" s="28" t="s">
        <v>16221</v>
      </c>
      <c r="I3698" s="28" t="s">
        <v>19830</v>
      </c>
      <c r="J3698" s="28" t="s">
        <v>39</v>
      </c>
      <c r="K3698" s="28" t="s">
        <v>16223</v>
      </c>
      <c r="L3698" s="28" t="s">
        <v>16224</v>
      </c>
      <c r="M3698" s="28" t="s">
        <v>19831</v>
      </c>
      <c r="N3698" s="28" t="s">
        <v>16226</v>
      </c>
      <c r="O3698" s="28" t="s">
        <v>16227</v>
      </c>
      <c r="P3698" s="28" t="s">
        <v>17557</v>
      </c>
    </row>
    <row r="3699" spans="1:16" x14ac:dyDescent="0.25">
      <c r="A3699" s="28" t="s">
        <v>19832</v>
      </c>
      <c r="B3699" s="28" t="s">
        <v>19833</v>
      </c>
      <c r="C3699" s="28" t="s">
        <v>1684</v>
      </c>
      <c r="D3699" s="28" t="s">
        <v>6467</v>
      </c>
      <c r="E3699" s="28" t="s">
        <v>17560</v>
      </c>
      <c r="F3699" s="28" t="s">
        <v>21</v>
      </c>
      <c r="G3699" s="28" t="s">
        <v>39</v>
      </c>
      <c r="H3699" s="28" t="s">
        <v>16221</v>
      </c>
      <c r="I3699" s="28" t="s">
        <v>19834</v>
      </c>
      <c r="J3699" s="28" t="s">
        <v>39</v>
      </c>
      <c r="K3699" s="28" t="s">
        <v>16223</v>
      </c>
      <c r="L3699" s="28" t="s">
        <v>16224</v>
      </c>
      <c r="M3699" s="28" t="s">
        <v>19835</v>
      </c>
      <c r="N3699" s="28" t="s">
        <v>16226</v>
      </c>
      <c r="O3699" s="28" t="s">
        <v>16227</v>
      </c>
      <c r="P3699" s="28" t="s">
        <v>17563</v>
      </c>
    </row>
    <row r="3700" spans="1:16" x14ac:dyDescent="0.25">
      <c r="A3700" s="28" t="s">
        <v>19836</v>
      </c>
      <c r="B3700" s="28" t="s">
        <v>19837</v>
      </c>
      <c r="C3700" s="28" t="s">
        <v>1684</v>
      </c>
      <c r="D3700" s="28" t="s">
        <v>6467</v>
      </c>
      <c r="E3700" s="28" t="s">
        <v>17560</v>
      </c>
      <c r="F3700" s="28" t="s">
        <v>21</v>
      </c>
      <c r="G3700" s="28" t="s">
        <v>39</v>
      </c>
      <c r="H3700" s="28" t="s">
        <v>16221</v>
      </c>
      <c r="I3700" s="28" t="s">
        <v>19838</v>
      </c>
      <c r="J3700" s="28" t="s">
        <v>39</v>
      </c>
      <c r="K3700" s="28" t="s">
        <v>16223</v>
      </c>
      <c r="L3700" s="28" t="s">
        <v>16224</v>
      </c>
      <c r="M3700" s="28" t="s">
        <v>19839</v>
      </c>
      <c r="N3700" s="28" t="s">
        <v>16226</v>
      </c>
      <c r="O3700" s="28" t="s">
        <v>16227</v>
      </c>
      <c r="P3700" s="28" t="s">
        <v>17563</v>
      </c>
    </row>
    <row r="3701" spans="1:16" x14ac:dyDescent="0.25">
      <c r="A3701" s="28" t="s">
        <v>19840</v>
      </c>
      <c r="B3701" s="28" t="s">
        <v>19841</v>
      </c>
      <c r="C3701" s="28" t="s">
        <v>1684</v>
      </c>
      <c r="D3701" s="28" t="s">
        <v>5990</v>
      </c>
      <c r="E3701" s="28" t="s">
        <v>17566</v>
      </c>
      <c r="F3701" s="28" t="s">
        <v>21</v>
      </c>
      <c r="G3701" s="28" t="s">
        <v>39</v>
      </c>
      <c r="H3701" s="28" t="s">
        <v>16221</v>
      </c>
      <c r="I3701" s="28" t="s">
        <v>19842</v>
      </c>
      <c r="J3701" s="28" t="s">
        <v>39</v>
      </c>
      <c r="K3701" s="28" t="s">
        <v>16223</v>
      </c>
      <c r="L3701" s="28" t="s">
        <v>16224</v>
      </c>
      <c r="M3701" s="28" t="s">
        <v>19843</v>
      </c>
      <c r="N3701" s="28" t="s">
        <v>16226</v>
      </c>
      <c r="O3701" s="28" t="s">
        <v>16227</v>
      </c>
      <c r="P3701" s="28" t="s">
        <v>17569</v>
      </c>
    </row>
    <row r="3702" spans="1:16" x14ac:dyDescent="0.25">
      <c r="A3702" s="28" t="s">
        <v>19844</v>
      </c>
      <c r="B3702" s="28" t="s">
        <v>19845</v>
      </c>
      <c r="C3702" s="28" t="s">
        <v>1684</v>
      </c>
      <c r="D3702" s="28" t="s">
        <v>5990</v>
      </c>
      <c r="E3702" s="28" t="s">
        <v>17566</v>
      </c>
      <c r="F3702" s="28" t="s">
        <v>21</v>
      </c>
      <c r="G3702" s="28" t="s">
        <v>39</v>
      </c>
      <c r="H3702" s="28" t="s">
        <v>16221</v>
      </c>
      <c r="I3702" s="28" t="s">
        <v>19846</v>
      </c>
      <c r="J3702" s="28" t="s">
        <v>39</v>
      </c>
      <c r="K3702" s="28" t="s">
        <v>16223</v>
      </c>
      <c r="L3702" s="28" t="s">
        <v>16224</v>
      </c>
      <c r="M3702" s="28" t="s">
        <v>19847</v>
      </c>
      <c r="N3702" s="28" t="s">
        <v>16226</v>
      </c>
      <c r="O3702" s="28" t="s">
        <v>16227</v>
      </c>
      <c r="P3702" s="28" t="s">
        <v>17569</v>
      </c>
    </row>
    <row r="3703" spans="1:16" x14ac:dyDescent="0.25">
      <c r="A3703" s="28" t="s">
        <v>19848</v>
      </c>
      <c r="B3703" s="28" t="s">
        <v>19849</v>
      </c>
      <c r="C3703" s="28" t="s">
        <v>1684</v>
      </c>
      <c r="D3703" s="28" t="s">
        <v>6467</v>
      </c>
      <c r="E3703" s="28" t="s">
        <v>17572</v>
      </c>
      <c r="F3703" s="28" t="s">
        <v>21</v>
      </c>
      <c r="G3703" s="28" t="s">
        <v>39</v>
      </c>
      <c r="H3703" s="28" t="s">
        <v>16221</v>
      </c>
      <c r="I3703" s="28" t="s">
        <v>19850</v>
      </c>
      <c r="J3703" s="28" t="s">
        <v>39</v>
      </c>
      <c r="K3703" s="28" t="s">
        <v>16223</v>
      </c>
      <c r="L3703" s="28" t="s">
        <v>16224</v>
      </c>
      <c r="M3703" s="28" t="s">
        <v>19851</v>
      </c>
      <c r="N3703" s="28" t="s">
        <v>16226</v>
      </c>
      <c r="O3703" s="28" t="s">
        <v>16227</v>
      </c>
      <c r="P3703" s="28" t="s">
        <v>17575</v>
      </c>
    </row>
    <row r="3704" spans="1:16" x14ac:dyDescent="0.25">
      <c r="A3704" s="28" t="s">
        <v>19852</v>
      </c>
      <c r="B3704" s="28" t="s">
        <v>19853</v>
      </c>
      <c r="C3704" s="28" t="s">
        <v>1684</v>
      </c>
      <c r="D3704" s="28" t="s">
        <v>6467</v>
      </c>
      <c r="E3704" s="28" t="s">
        <v>17572</v>
      </c>
      <c r="F3704" s="28" t="s">
        <v>21</v>
      </c>
      <c r="G3704" s="28" t="s">
        <v>39</v>
      </c>
      <c r="H3704" s="28" t="s">
        <v>16221</v>
      </c>
      <c r="I3704" s="28" t="s">
        <v>19854</v>
      </c>
      <c r="J3704" s="28" t="s">
        <v>39</v>
      </c>
      <c r="K3704" s="28" t="s">
        <v>16223</v>
      </c>
      <c r="L3704" s="28" t="s">
        <v>16224</v>
      </c>
      <c r="M3704" s="28" t="s">
        <v>19855</v>
      </c>
      <c r="N3704" s="28" t="s">
        <v>16226</v>
      </c>
      <c r="O3704" s="28" t="s">
        <v>16227</v>
      </c>
      <c r="P3704" s="28" t="s">
        <v>17575</v>
      </c>
    </row>
    <row r="3705" spans="1:16" x14ac:dyDescent="0.25">
      <c r="A3705" s="28" t="s">
        <v>19856</v>
      </c>
      <c r="B3705" s="28" t="s">
        <v>19857</v>
      </c>
      <c r="C3705" s="28" t="s">
        <v>1684</v>
      </c>
      <c r="D3705" s="28" t="s">
        <v>6467</v>
      </c>
      <c r="E3705" s="28" t="s">
        <v>17578</v>
      </c>
      <c r="F3705" s="28" t="s">
        <v>21</v>
      </c>
      <c r="G3705" s="28" t="s">
        <v>39</v>
      </c>
      <c r="H3705" s="28" t="s">
        <v>16221</v>
      </c>
      <c r="I3705" s="28" t="s">
        <v>19858</v>
      </c>
      <c r="J3705" s="28" t="s">
        <v>39</v>
      </c>
      <c r="K3705" s="28" t="s">
        <v>16223</v>
      </c>
      <c r="L3705" s="28" t="s">
        <v>16224</v>
      </c>
      <c r="M3705" s="28" t="s">
        <v>19859</v>
      </c>
      <c r="N3705" s="28" t="s">
        <v>16226</v>
      </c>
      <c r="O3705" s="28" t="s">
        <v>16227</v>
      </c>
      <c r="P3705" s="28" t="s">
        <v>17581</v>
      </c>
    </row>
    <row r="3706" spans="1:16" x14ac:dyDescent="0.25">
      <c r="A3706" s="28" t="s">
        <v>19860</v>
      </c>
      <c r="B3706" s="28" t="s">
        <v>19861</v>
      </c>
      <c r="C3706" s="28" t="s">
        <v>1684</v>
      </c>
      <c r="D3706" s="28" t="s">
        <v>6467</v>
      </c>
      <c r="E3706" s="28" t="s">
        <v>17578</v>
      </c>
      <c r="F3706" s="28" t="s">
        <v>21</v>
      </c>
      <c r="G3706" s="28" t="s">
        <v>39</v>
      </c>
      <c r="H3706" s="28" t="s">
        <v>16221</v>
      </c>
      <c r="I3706" s="28" t="s">
        <v>19862</v>
      </c>
      <c r="J3706" s="28" t="s">
        <v>39</v>
      </c>
      <c r="K3706" s="28" t="s">
        <v>16223</v>
      </c>
      <c r="L3706" s="28" t="s">
        <v>16224</v>
      </c>
      <c r="M3706" s="28" t="s">
        <v>19863</v>
      </c>
      <c r="N3706" s="28" t="s">
        <v>16226</v>
      </c>
      <c r="O3706" s="28" t="s">
        <v>16227</v>
      </c>
      <c r="P3706" s="28" t="s">
        <v>17581</v>
      </c>
    </row>
    <row r="3707" spans="1:16" x14ac:dyDescent="0.25">
      <c r="A3707" s="28" t="s">
        <v>19864</v>
      </c>
      <c r="B3707" s="28" t="s">
        <v>19865</v>
      </c>
      <c r="C3707" s="28" t="s">
        <v>1684</v>
      </c>
      <c r="D3707" s="28" t="s">
        <v>6467</v>
      </c>
      <c r="E3707" s="28" t="s">
        <v>17584</v>
      </c>
      <c r="F3707" s="28" t="s">
        <v>21</v>
      </c>
      <c r="G3707" s="28" t="s">
        <v>39</v>
      </c>
      <c r="H3707" s="28" t="s">
        <v>16221</v>
      </c>
      <c r="I3707" s="28" t="s">
        <v>19866</v>
      </c>
      <c r="J3707" s="28" t="s">
        <v>39</v>
      </c>
      <c r="K3707" s="28" t="s">
        <v>16223</v>
      </c>
      <c r="L3707" s="28" t="s">
        <v>16224</v>
      </c>
      <c r="M3707" s="28" t="s">
        <v>19867</v>
      </c>
      <c r="N3707" s="28" t="s">
        <v>16226</v>
      </c>
      <c r="O3707" s="28" t="s">
        <v>16227</v>
      </c>
      <c r="P3707" s="28" t="s">
        <v>17587</v>
      </c>
    </row>
    <row r="3708" spans="1:16" x14ac:dyDescent="0.25">
      <c r="A3708" s="28" t="s">
        <v>19868</v>
      </c>
      <c r="B3708" s="28" t="s">
        <v>19869</v>
      </c>
      <c r="C3708" s="28" t="s">
        <v>1684</v>
      </c>
      <c r="D3708" s="28" t="s">
        <v>6467</v>
      </c>
      <c r="E3708" s="28" t="s">
        <v>17584</v>
      </c>
      <c r="F3708" s="28" t="s">
        <v>21</v>
      </c>
      <c r="G3708" s="28" t="s">
        <v>39</v>
      </c>
      <c r="H3708" s="28" t="s">
        <v>16221</v>
      </c>
      <c r="I3708" s="28" t="s">
        <v>19870</v>
      </c>
      <c r="J3708" s="28" t="s">
        <v>39</v>
      </c>
      <c r="K3708" s="28" t="s">
        <v>16223</v>
      </c>
      <c r="L3708" s="28" t="s">
        <v>16224</v>
      </c>
      <c r="M3708" s="28" t="s">
        <v>19871</v>
      </c>
      <c r="N3708" s="28" t="s">
        <v>16226</v>
      </c>
      <c r="O3708" s="28" t="s">
        <v>16227</v>
      </c>
      <c r="P3708" s="28" t="s">
        <v>17587</v>
      </c>
    </row>
    <row r="3709" spans="1:16" x14ac:dyDescent="0.25">
      <c r="A3709" s="28" t="s">
        <v>19872</v>
      </c>
      <c r="B3709" s="28" t="s">
        <v>19873</v>
      </c>
      <c r="C3709" s="28" t="s">
        <v>1684</v>
      </c>
      <c r="D3709" s="28" t="s">
        <v>6467</v>
      </c>
      <c r="E3709" s="28" t="s">
        <v>17590</v>
      </c>
      <c r="F3709" s="28" t="s">
        <v>21</v>
      </c>
      <c r="G3709" s="28" t="s">
        <v>39</v>
      </c>
      <c r="H3709" s="28" t="s">
        <v>16221</v>
      </c>
      <c r="I3709" s="28" t="s">
        <v>19874</v>
      </c>
      <c r="J3709" s="28" t="s">
        <v>39</v>
      </c>
      <c r="K3709" s="28" t="s">
        <v>16223</v>
      </c>
      <c r="L3709" s="28" t="s">
        <v>16224</v>
      </c>
      <c r="M3709" s="28" t="s">
        <v>19875</v>
      </c>
      <c r="N3709" s="28" t="s">
        <v>16226</v>
      </c>
      <c r="O3709" s="28" t="s">
        <v>16227</v>
      </c>
      <c r="P3709" s="28" t="s">
        <v>17593</v>
      </c>
    </row>
    <row r="3710" spans="1:16" x14ac:dyDescent="0.25">
      <c r="A3710" s="28" t="s">
        <v>19876</v>
      </c>
      <c r="B3710" s="28" t="s">
        <v>19877</v>
      </c>
      <c r="C3710" s="28" t="s">
        <v>1684</v>
      </c>
      <c r="D3710" s="28" t="s">
        <v>6467</v>
      </c>
      <c r="E3710" s="28" t="s">
        <v>17590</v>
      </c>
      <c r="F3710" s="28" t="s">
        <v>21</v>
      </c>
      <c r="G3710" s="28" t="s">
        <v>39</v>
      </c>
      <c r="H3710" s="28" t="s">
        <v>16221</v>
      </c>
      <c r="I3710" s="28" t="s">
        <v>19878</v>
      </c>
      <c r="J3710" s="28" t="s">
        <v>39</v>
      </c>
      <c r="K3710" s="28" t="s">
        <v>16223</v>
      </c>
      <c r="L3710" s="28" t="s">
        <v>16224</v>
      </c>
      <c r="M3710" s="28" t="s">
        <v>19879</v>
      </c>
      <c r="N3710" s="28" t="s">
        <v>16226</v>
      </c>
      <c r="O3710" s="28" t="s">
        <v>16227</v>
      </c>
      <c r="P3710" s="28" t="s">
        <v>17593</v>
      </c>
    </row>
    <row r="3711" spans="1:16" x14ac:dyDescent="0.25">
      <c r="A3711" s="28" t="s">
        <v>19880</v>
      </c>
      <c r="B3711" s="28" t="s">
        <v>19881</v>
      </c>
      <c r="C3711" s="28" t="s">
        <v>1684</v>
      </c>
      <c r="D3711" s="28" t="s">
        <v>6467</v>
      </c>
      <c r="E3711" s="28" t="s">
        <v>17596</v>
      </c>
      <c r="F3711" s="28" t="s">
        <v>21</v>
      </c>
      <c r="G3711" s="28" t="s">
        <v>39</v>
      </c>
      <c r="H3711" s="28" t="s">
        <v>16221</v>
      </c>
      <c r="I3711" s="28" t="s">
        <v>19882</v>
      </c>
      <c r="J3711" s="28" t="s">
        <v>39</v>
      </c>
      <c r="K3711" s="28" t="s">
        <v>16223</v>
      </c>
      <c r="L3711" s="28" t="s">
        <v>16224</v>
      </c>
      <c r="M3711" s="28" t="s">
        <v>19883</v>
      </c>
      <c r="N3711" s="28" t="s">
        <v>16226</v>
      </c>
      <c r="O3711" s="28" t="s">
        <v>16227</v>
      </c>
      <c r="P3711" s="28" t="s">
        <v>17599</v>
      </c>
    </row>
    <row r="3712" spans="1:16" x14ac:dyDescent="0.25">
      <c r="A3712" s="28" t="s">
        <v>19884</v>
      </c>
      <c r="B3712" s="28" t="s">
        <v>19885</v>
      </c>
      <c r="C3712" s="28" t="s">
        <v>1684</v>
      </c>
      <c r="D3712" s="28" t="s">
        <v>6467</v>
      </c>
      <c r="E3712" s="28" t="s">
        <v>17596</v>
      </c>
      <c r="F3712" s="28" t="s">
        <v>21</v>
      </c>
      <c r="G3712" s="28" t="s">
        <v>39</v>
      </c>
      <c r="H3712" s="28" t="s">
        <v>16221</v>
      </c>
      <c r="I3712" s="28" t="s">
        <v>19886</v>
      </c>
      <c r="J3712" s="28" t="s">
        <v>39</v>
      </c>
      <c r="K3712" s="28" t="s">
        <v>16223</v>
      </c>
      <c r="L3712" s="28" t="s">
        <v>16224</v>
      </c>
      <c r="M3712" s="28" t="s">
        <v>19887</v>
      </c>
      <c r="N3712" s="28" t="s">
        <v>16226</v>
      </c>
      <c r="O3712" s="28" t="s">
        <v>16227</v>
      </c>
      <c r="P3712" s="28" t="s">
        <v>17599</v>
      </c>
    </row>
    <row r="3713" spans="1:16" x14ac:dyDescent="0.25">
      <c r="A3713" s="28" t="s">
        <v>19888</v>
      </c>
      <c r="B3713" s="28" t="s">
        <v>19889</v>
      </c>
      <c r="C3713" s="28" t="s">
        <v>1684</v>
      </c>
      <c r="D3713" s="28" t="s">
        <v>6467</v>
      </c>
      <c r="E3713" s="28" t="s">
        <v>17602</v>
      </c>
      <c r="F3713" s="28" t="s">
        <v>21</v>
      </c>
      <c r="G3713" s="28" t="s">
        <v>39</v>
      </c>
      <c r="H3713" s="28" t="s">
        <v>16221</v>
      </c>
      <c r="I3713" s="28" t="s">
        <v>19890</v>
      </c>
      <c r="J3713" s="28" t="s">
        <v>39</v>
      </c>
      <c r="K3713" s="28" t="s">
        <v>16223</v>
      </c>
      <c r="L3713" s="28" t="s">
        <v>16224</v>
      </c>
      <c r="M3713" s="28" t="s">
        <v>19891</v>
      </c>
      <c r="N3713" s="28" t="s">
        <v>16226</v>
      </c>
      <c r="O3713" s="28" t="s">
        <v>16227</v>
      </c>
      <c r="P3713" s="28" t="s">
        <v>17605</v>
      </c>
    </row>
    <row r="3714" spans="1:16" x14ac:dyDescent="0.25">
      <c r="A3714" s="28" t="s">
        <v>19892</v>
      </c>
      <c r="B3714" s="28" t="s">
        <v>19893</v>
      </c>
      <c r="C3714" s="28" t="s">
        <v>1684</v>
      </c>
      <c r="D3714" s="28" t="s">
        <v>6467</v>
      </c>
      <c r="E3714" s="28" t="s">
        <v>17602</v>
      </c>
      <c r="F3714" s="28" t="s">
        <v>21</v>
      </c>
      <c r="G3714" s="28" t="s">
        <v>39</v>
      </c>
      <c r="H3714" s="28" t="s">
        <v>16221</v>
      </c>
      <c r="I3714" s="28" t="s">
        <v>19894</v>
      </c>
      <c r="J3714" s="28" t="s">
        <v>39</v>
      </c>
      <c r="K3714" s="28" t="s">
        <v>16223</v>
      </c>
      <c r="L3714" s="28" t="s">
        <v>16224</v>
      </c>
      <c r="M3714" s="28" t="s">
        <v>19895</v>
      </c>
      <c r="N3714" s="28" t="s">
        <v>16226</v>
      </c>
      <c r="O3714" s="28" t="s">
        <v>16227</v>
      </c>
      <c r="P3714" s="28" t="s">
        <v>17605</v>
      </c>
    </row>
    <row r="3715" spans="1:16" x14ac:dyDescent="0.25">
      <c r="A3715" s="28" t="s">
        <v>19896</v>
      </c>
      <c r="B3715" s="28" t="s">
        <v>19897</v>
      </c>
      <c r="C3715" s="28" t="s">
        <v>1684</v>
      </c>
      <c r="D3715" s="28" t="s">
        <v>6467</v>
      </c>
      <c r="E3715" s="28" t="s">
        <v>17608</v>
      </c>
      <c r="F3715" s="28" t="s">
        <v>21</v>
      </c>
      <c r="G3715" s="28" t="s">
        <v>39</v>
      </c>
      <c r="H3715" s="28" t="s">
        <v>16221</v>
      </c>
      <c r="I3715" s="28" t="s">
        <v>19898</v>
      </c>
      <c r="J3715" s="28" t="s">
        <v>39</v>
      </c>
      <c r="K3715" s="28" t="s">
        <v>16223</v>
      </c>
      <c r="L3715" s="28" t="s">
        <v>16224</v>
      </c>
      <c r="M3715" s="28" t="s">
        <v>19899</v>
      </c>
      <c r="N3715" s="28" t="s">
        <v>16226</v>
      </c>
      <c r="O3715" s="28" t="s">
        <v>16227</v>
      </c>
      <c r="P3715" s="28" t="s">
        <v>17611</v>
      </c>
    </row>
    <row r="3716" spans="1:16" x14ac:dyDescent="0.25">
      <c r="A3716" s="28" t="s">
        <v>19900</v>
      </c>
      <c r="B3716" s="28" t="s">
        <v>19901</v>
      </c>
      <c r="C3716" s="28" t="s">
        <v>1684</v>
      </c>
      <c r="D3716" s="28" t="s">
        <v>6467</v>
      </c>
      <c r="E3716" s="28" t="s">
        <v>17608</v>
      </c>
      <c r="F3716" s="28" t="s">
        <v>21</v>
      </c>
      <c r="G3716" s="28" t="s">
        <v>39</v>
      </c>
      <c r="H3716" s="28" t="s">
        <v>16221</v>
      </c>
      <c r="I3716" s="28" t="s">
        <v>19902</v>
      </c>
      <c r="J3716" s="28" t="s">
        <v>39</v>
      </c>
      <c r="K3716" s="28" t="s">
        <v>16223</v>
      </c>
      <c r="L3716" s="28" t="s">
        <v>16224</v>
      </c>
      <c r="M3716" s="28" t="s">
        <v>19903</v>
      </c>
      <c r="N3716" s="28" t="s">
        <v>16226</v>
      </c>
      <c r="O3716" s="28" t="s">
        <v>16227</v>
      </c>
      <c r="P3716" s="28" t="s">
        <v>17611</v>
      </c>
    </row>
    <row r="3717" spans="1:16" x14ac:dyDescent="0.25">
      <c r="A3717" s="28" t="s">
        <v>19904</v>
      </c>
      <c r="B3717" s="28" t="s">
        <v>19905</v>
      </c>
      <c r="C3717" s="28" t="s">
        <v>1684</v>
      </c>
      <c r="D3717" s="28" t="s">
        <v>6467</v>
      </c>
      <c r="E3717" s="28" t="s">
        <v>17614</v>
      </c>
      <c r="F3717" s="28" t="s">
        <v>21</v>
      </c>
      <c r="G3717" s="28" t="s">
        <v>39</v>
      </c>
      <c r="H3717" s="28" t="s">
        <v>16221</v>
      </c>
      <c r="I3717" s="28" t="s">
        <v>19906</v>
      </c>
      <c r="J3717" s="28" t="s">
        <v>39</v>
      </c>
      <c r="K3717" s="28" t="s">
        <v>16223</v>
      </c>
      <c r="L3717" s="28" t="s">
        <v>16224</v>
      </c>
      <c r="M3717" s="28" t="s">
        <v>19907</v>
      </c>
      <c r="N3717" s="28" t="s">
        <v>16226</v>
      </c>
      <c r="O3717" s="28" t="s">
        <v>16227</v>
      </c>
      <c r="P3717" s="28" t="s">
        <v>17617</v>
      </c>
    </row>
    <row r="3718" spans="1:16" x14ac:dyDescent="0.25">
      <c r="A3718" s="28" t="s">
        <v>19908</v>
      </c>
      <c r="B3718" s="28" t="s">
        <v>19909</v>
      </c>
      <c r="C3718" s="28" t="s">
        <v>1684</v>
      </c>
      <c r="D3718" s="28" t="s">
        <v>6467</v>
      </c>
      <c r="E3718" s="28" t="s">
        <v>17614</v>
      </c>
      <c r="F3718" s="28" t="s">
        <v>21</v>
      </c>
      <c r="G3718" s="28" t="s">
        <v>39</v>
      </c>
      <c r="H3718" s="28" t="s">
        <v>16221</v>
      </c>
      <c r="I3718" s="28" t="s">
        <v>19910</v>
      </c>
      <c r="J3718" s="28" t="s">
        <v>39</v>
      </c>
      <c r="K3718" s="28" t="s">
        <v>16223</v>
      </c>
      <c r="L3718" s="28" t="s">
        <v>16224</v>
      </c>
      <c r="M3718" s="28" t="s">
        <v>19911</v>
      </c>
      <c r="N3718" s="28" t="s">
        <v>16226</v>
      </c>
      <c r="O3718" s="28" t="s">
        <v>16227</v>
      </c>
      <c r="P3718" s="28" t="s">
        <v>17617</v>
      </c>
    </row>
    <row r="3719" spans="1:16" x14ac:dyDescent="0.25">
      <c r="A3719" s="28" t="s">
        <v>19912</v>
      </c>
      <c r="B3719" s="28" t="s">
        <v>19913</v>
      </c>
      <c r="C3719" s="28" t="s">
        <v>1684</v>
      </c>
      <c r="D3719" s="28" t="s">
        <v>6467</v>
      </c>
      <c r="E3719" s="28" t="s">
        <v>17620</v>
      </c>
      <c r="F3719" s="28" t="s">
        <v>21</v>
      </c>
      <c r="G3719" s="28" t="s">
        <v>39</v>
      </c>
      <c r="H3719" s="28" t="s">
        <v>16221</v>
      </c>
      <c r="I3719" s="28" t="s">
        <v>19914</v>
      </c>
      <c r="J3719" s="28" t="s">
        <v>39</v>
      </c>
      <c r="K3719" s="28" t="s">
        <v>16223</v>
      </c>
      <c r="L3719" s="28" t="s">
        <v>16224</v>
      </c>
      <c r="M3719" s="28" t="s">
        <v>19915</v>
      </c>
      <c r="N3719" s="28" t="s">
        <v>16226</v>
      </c>
      <c r="O3719" s="28" t="s">
        <v>16227</v>
      </c>
      <c r="P3719" s="28" t="s">
        <v>17623</v>
      </c>
    </row>
    <row r="3720" spans="1:16" x14ac:dyDescent="0.25">
      <c r="A3720" s="28" t="s">
        <v>19916</v>
      </c>
      <c r="B3720" s="28" t="s">
        <v>19917</v>
      </c>
      <c r="C3720" s="28" t="s">
        <v>1684</v>
      </c>
      <c r="D3720" s="28" t="s">
        <v>6467</v>
      </c>
      <c r="E3720" s="28" t="s">
        <v>17620</v>
      </c>
      <c r="F3720" s="28" t="s">
        <v>21</v>
      </c>
      <c r="G3720" s="28" t="s">
        <v>39</v>
      </c>
      <c r="H3720" s="28" t="s">
        <v>16221</v>
      </c>
      <c r="I3720" s="28" t="s">
        <v>19918</v>
      </c>
      <c r="J3720" s="28" t="s">
        <v>39</v>
      </c>
      <c r="K3720" s="28" t="s">
        <v>16223</v>
      </c>
      <c r="L3720" s="28" t="s">
        <v>16224</v>
      </c>
      <c r="M3720" s="28" t="s">
        <v>19919</v>
      </c>
      <c r="N3720" s="28" t="s">
        <v>16226</v>
      </c>
      <c r="O3720" s="28" t="s">
        <v>16227</v>
      </c>
      <c r="P3720" s="28" t="s">
        <v>17623</v>
      </c>
    </row>
    <row r="3721" spans="1:16" x14ac:dyDescent="0.25">
      <c r="A3721" s="28" t="s">
        <v>19920</v>
      </c>
      <c r="B3721" s="28" t="s">
        <v>19921</v>
      </c>
      <c r="C3721" s="28" t="s">
        <v>1684</v>
      </c>
      <c r="D3721" s="28" t="s">
        <v>6467</v>
      </c>
      <c r="E3721" s="28" t="s">
        <v>17626</v>
      </c>
      <c r="F3721" s="28" t="s">
        <v>21</v>
      </c>
      <c r="G3721" s="28" t="s">
        <v>39</v>
      </c>
      <c r="H3721" s="28" t="s">
        <v>16221</v>
      </c>
      <c r="I3721" s="28" t="s">
        <v>19922</v>
      </c>
      <c r="J3721" s="28" t="s">
        <v>39</v>
      </c>
      <c r="K3721" s="28" t="s">
        <v>16223</v>
      </c>
      <c r="L3721" s="28" t="s">
        <v>16224</v>
      </c>
      <c r="M3721" s="28" t="s">
        <v>19923</v>
      </c>
      <c r="N3721" s="28" t="s">
        <v>16226</v>
      </c>
      <c r="O3721" s="28" t="s">
        <v>16227</v>
      </c>
      <c r="P3721" s="28" t="s">
        <v>17629</v>
      </c>
    </row>
    <row r="3722" spans="1:16" x14ac:dyDescent="0.25">
      <c r="A3722" s="28" t="s">
        <v>19924</v>
      </c>
      <c r="B3722" s="28" t="s">
        <v>19925</v>
      </c>
      <c r="C3722" s="28" t="s">
        <v>1684</v>
      </c>
      <c r="D3722" s="28" t="s">
        <v>6467</v>
      </c>
      <c r="E3722" s="28" t="s">
        <v>17626</v>
      </c>
      <c r="F3722" s="28" t="s">
        <v>21</v>
      </c>
      <c r="G3722" s="28" t="s">
        <v>39</v>
      </c>
      <c r="H3722" s="28" t="s">
        <v>16221</v>
      </c>
      <c r="I3722" s="28" t="s">
        <v>19926</v>
      </c>
      <c r="J3722" s="28" t="s">
        <v>39</v>
      </c>
      <c r="K3722" s="28" t="s">
        <v>16223</v>
      </c>
      <c r="L3722" s="28" t="s">
        <v>16224</v>
      </c>
      <c r="M3722" s="28" t="s">
        <v>19927</v>
      </c>
      <c r="N3722" s="28" t="s">
        <v>16226</v>
      </c>
      <c r="O3722" s="28" t="s">
        <v>16227</v>
      </c>
      <c r="P3722" s="28" t="s">
        <v>17629</v>
      </c>
    </row>
    <row r="3723" spans="1:16" x14ac:dyDescent="0.25">
      <c r="A3723" s="28" t="s">
        <v>19928</v>
      </c>
      <c r="B3723" s="28" t="s">
        <v>19929</v>
      </c>
      <c r="C3723" s="28" t="s">
        <v>1684</v>
      </c>
      <c r="D3723" s="28" t="s">
        <v>6467</v>
      </c>
      <c r="E3723" s="28" t="s">
        <v>17632</v>
      </c>
      <c r="F3723" s="28" t="s">
        <v>21</v>
      </c>
      <c r="G3723" s="28" t="s">
        <v>39</v>
      </c>
      <c r="H3723" s="28" t="s">
        <v>16221</v>
      </c>
      <c r="I3723" s="28" t="s">
        <v>19930</v>
      </c>
      <c r="J3723" s="28" t="s">
        <v>39</v>
      </c>
      <c r="K3723" s="28" t="s">
        <v>16223</v>
      </c>
      <c r="L3723" s="28" t="s">
        <v>16224</v>
      </c>
      <c r="M3723" s="28" t="s">
        <v>19931</v>
      </c>
      <c r="N3723" s="28" t="s">
        <v>16226</v>
      </c>
      <c r="O3723" s="28" t="s">
        <v>16227</v>
      </c>
      <c r="P3723" s="28" t="s">
        <v>17635</v>
      </c>
    </row>
    <row r="3724" spans="1:16" x14ac:dyDescent="0.25">
      <c r="A3724" s="28" t="s">
        <v>19932</v>
      </c>
      <c r="B3724" s="28" t="s">
        <v>19933</v>
      </c>
      <c r="C3724" s="28" t="s">
        <v>1684</v>
      </c>
      <c r="D3724" s="28" t="s">
        <v>6467</v>
      </c>
      <c r="E3724" s="28" t="s">
        <v>17632</v>
      </c>
      <c r="F3724" s="28" t="s">
        <v>21</v>
      </c>
      <c r="G3724" s="28" t="s">
        <v>39</v>
      </c>
      <c r="H3724" s="28" t="s">
        <v>16221</v>
      </c>
      <c r="I3724" s="28" t="s">
        <v>19934</v>
      </c>
      <c r="J3724" s="28" t="s">
        <v>39</v>
      </c>
      <c r="K3724" s="28" t="s">
        <v>16223</v>
      </c>
      <c r="L3724" s="28" t="s">
        <v>16224</v>
      </c>
      <c r="M3724" s="28" t="s">
        <v>19935</v>
      </c>
      <c r="N3724" s="28" t="s">
        <v>16226</v>
      </c>
      <c r="O3724" s="28" t="s">
        <v>16227</v>
      </c>
      <c r="P3724" s="28" t="s">
        <v>17635</v>
      </c>
    </row>
    <row r="3725" spans="1:16" x14ac:dyDescent="0.25">
      <c r="A3725" s="28" t="s">
        <v>19936</v>
      </c>
      <c r="B3725" s="28" t="s">
        <v>19937</v>
      </c>
      <c r="C3725" s="28" t="s">
        <v>1684</v>
      </c>
      <c r="D3725" s="28" t="s">
        <v>6467</v>
      </c>
      <c r="E3725" s="28" t="s">
        <v>17638</v>
      </c>
      <c r="F3725" s="28" t="s">
        <v>21</v>
      </c>
      <c r="G3725" s="28" t="s">
        <v>39</v>
      </c>
      <c r="H3725" s="28" t="s">
        <v>16221</v>
      </c>
      <c r="I3725" s="28" t="s">
        <v>19938</v>
      </c>
      <c r="J3725" s="28" t="s">
        <v>39</v>
      </c>
      <c r="K3725" s="28" t="s">
        <v>16223</v>
      </c>
      <c r="L3725" s="28" t="s">
        <v>16224</v>
      </c>
      <c r="M3725" s="28" t="s">
        <v>19939</v>
      </c>
      <c r="N3725" s="28" t="s">
        <v>16226</v>
      </c>
      <c r="O3725" s="28" t="s">
        <v>16227</v>
      </c>
      <c r="P3725" s="28" t="s">
        <v>17641</v>
      </c>
    </row>
    <row r="3726" spans="1:16" x14ac:dyDescent="0.25">
      <c r="A3726" s="28" t="s">
        <v>19940</v>
      </c>
      <c r="B3726" s="28" t="s">
        <v>19941</v>
      </c>
      <c r="C3726" s="28" t="s">
        <v>1684</v>
      </c>
      <c r="D3726" s="28" t="s">
        <v>6467</v>
      </c>
      <c r="E3726" s="28" t="s">
        <v>17638</v>
      </c>
      <c r="F3726" s="28" t="s">
        <v>21</v>
      </c>
      <c r="G3726" s="28" t="s">
        <v>39</v>
      </c>
      <c r="H3726" s="28" t="s">
        <v>16221</v>
      </c>
      <c r="I3726" s="28" t="s">
        <v>19942</v>
      </c>
      <c r="J3726" s="28" t="s">
        <v>39</v>
      </c>
      <c r="K3726" s="28" t="s">
        <v>16223</v>
      </c>
      <c r="L3726" s="28" t="s">
        <v>16224</v>
      </c>
      <c r="M3726" s="28" t="s">
        <v>19943</v>
      </c>
      <c r="N3726" s="28" t="s">
        <v>16226</v>
      </c>
      <c r="O3726" s="28" t="s">
        <v>16227</v>
      </c>
      <c r="P3726" s="28" t="s">
        <v>17641</v>
      </c>
    </row>
    <row r="3727" spans="1:16" x14ac:dyDescent="0.25">
      <c r="A3727" s="28" t="s">
        <v>19944</v>
      </c>
      <c r="B3727" s="28" t="s">
        <v>19945</v>
      </c>
      <c r="C3727" s="28" t="s">
        <v>1684</v>
      </c>
      <c r="D3727" s="28" t="s">
        <v>6467</v>
      </c>
      <c r="E3727" s="28" t="s">
        <v>17644</v>
      </c>
      <c r="F3727" s="28" t="s">
        <v>21</v>
      </c>
      <c r="G3727" s="28" t="s">
        <v>39</v>
      </c>
      <c r="H3727" s="28" t="s">
        <v>16221</v>
      </c>
      <c r="I3727" s="28" t="s">
        <v>19946</v>
      </c>
      <c r="J3727" s="28" t="s">
        <v>39</v>
      </c>
      <c r="K3727" s="28" t="s">
        <v>16223</v>
      </c>
      <c r="L3727" s="28" t="s">
        <v>16224</v>
      </c>
      <c r="M3727" s="28" t="s">
        <v>19947</v>
      </c>
      <c r="N3727" s="28" t="s">
        <v>16226</v>
      </c>
      <c r="O3727" s="28" t="s">
        <v>16227</v>
      </c>
      <c r="P3727" s="28" t="s">
        <v>17647</v>
      </c>
    </row>
    <row r="3728" spans="1:16" x14ac:dyDescent="0.25">
      <c r="A3728" s="28" t="s">
        <v>19948</v>
      </c>
      <c r="B3728" s="28" t="s">
        <v>19949</v>
      </c>
      <c r="C3728" s="28" t="s">
        <v>1684</v>
      </c>
      <c r="D3728" s="28" t="s">
        <v>6467</v>
      </c>
      <c r="E3728" s="28" t="s">
        <v>17644</v>
      </c>
      <c r="F3728" s="28" t="s">
        <v>21</v>
      </c>
      <c r="G3728" s="28" t="s">
        <v>39</v>
      </c>
      <c r="H3728" s="28" t="s">
        <v>16221</v>
      </c>
      <c r="I3728" s="28" t="s">
        <v>19950</v>
      </c>
      <c r="J3728" s="28" t="s">
        <v>39</v>
      </c>
      <c r="K3728" s="28" t="s">
        <v>16223</v>
      </c>
      <c r="L3728" s="28" t="s">
        <v>16224</v>
      </c>
      <c r="M3728" s="28" t="s">
        <v>19951</v>
      </c>
      <c r="N3728" s="28" t="s">
        <v>16226</v>
      </c>
      <c r="O3728" s="28" t="s">
        <v>16227</v>
      </c>
      <c r="P3728" s="28" t="s">
        <v>17647</v>
      </c>
    </row>
    <row r="3729" spans="1:16" x14ac:dyDescent="0.25">
      <c r="A3729" s="28" t="s">
        <v>19952</v>
      </c>
      <c r="B3729" s="28" t="s">
        <v>19953</v>
      </c>
      <c r="C3729" s="28" t="s">
        <v>1684</v>
      </c>
      <c r="D3729" s="28" t="s">
        <v>6467</v>
      </c>
      <c r="E3729" s="28" t="s">
        <v>17650</v>
      </c>
      <c r="F3729" s="28" t="s">
        <v>21</v>
      </c>
      <c r="G3729" s="28" t="s">
        <v>39</v>
      </c>
      <c r="H3729" s="28" t="s">
        <v>16221</v>
      </c>
      <c r="I3729" s="28" t="s">
        <v>19954</v>
      </c>
      <c r="J3729" s="28" t="s">
        <v>39</v>
      </c>
      <c r="K3729" s="28" t="s">
        <v>16223</v>
      </c>
      <c r="L3729" s="28" t="s">
        <v>16224</v>
      </c>
      <c r="M3729" s="28" t="s">
        <v>19955</v>
      </c>
      <c r="N3729" s="28" t="s">
        <v>16226</v>
      </c>
      <c r="O3729" s="28" t="s">
        <v>16227</v>
      </c>
      <c r="P3729" s="28" t="s">
        <v>17653</v>
      </c>
    </row>
    <row r="3730" spans="1:16" x14ac:dyDescent="0.25">
      <c r="A3730" s="28" t="s">
        <v>19956</v>
      </c>
      <c r="B3730" s="28" t="s">
        <v>19957</v>
      </c>
      <c r="C3730" s="28" t="s">
        <v>1684</v>
      </c>
      <c r="D3730" s="28" t="s">
        <v>6467</v>
      </c>
      <c r="E3730" s="28" t="s">
        <v>17650</v>
      </c>
      <c r="F3730" s="28" t="s">
        <v>21</v>
      </c>
      <c r="G3730" s="28" t="s">
        <v>39</v>
      </c>
      <c r="H3730" s="28" t="s">
        <v>16221</v>
      </c>
      <c r="I3730" s="28" t="s">
        <v>19958</v>
      </c>
      <c r="J3730" s="28" t="s">
        <v>39</v>
      </c>
      <c r="K3730" s="28" t="s">
        <v>16223</v>
      </c>
      <c r="L3730" s="28" t="s">
        <v>16224</v>
      </c>
      <c r="M3730" s="28" t="s">
        <v>19959</v>
      </c>
      <c r="N3730" s="28" t="s">
        <v>16226</v>
      </c>
      <c r="O3730" s="28" t="s">
        <v>16227</v>
      </c>
      <c r="P3730" s="28" t="s">
        <v>17653</v>
      </c>
    </row>
    <row r="3731" spans="1:16" x14ac:dyDescent="0.25">
      <c r="A3731" s="28" t="s">
        <v>19960</v>
      </c>
      <c r="B3731" s="28" t="s">
        <v>19961</v>
      </c>
      <c r="C3731" s="28" t="s">
        <v>1684</v>
      </c>
      <c r="D3731" s="28" t="s">
        <v>6467</v>
      </c>
      <c r="E3731" s="28" t="s">
        <v>17656</v>
      </c>
      <c r="F3731" s="28" t="s">
        <v>21</v>
      </c>
      <c r="G3731" s="28" t="s">
        <v>39</v>
      </c>
      <c r="H3731" s="28" t="s">
        <v>16221</v>
      </c>
      <c r="I3731" s="28" t="s">
        <v>19962</v>
      </c>
      <c r="J3731" s="28" t="s">
        <v>39</v>
      </c>
      <c r="K3731" s="28" t="s">
        <v>16223</v>
      </c>
      <c r="L3731" s="28" t="s">
        <v>16224</v>
      </c>
      <c r="M3731" s="28" t="s">
        <v>19963</v>
      </c>
      <c r="N3731" s="28" t="s">
        <v>16226</v>
      </c>
      <c r="O3731" s="28" t="s">
        <v>16227</v>
      </c>
      <c r="P3731" s="28" t="s">
        <v>17659</v>
      </c>
    </row>
    <row r="3732" spans="1:16" x14ac:dyDescent="0.25">
      <c r="A3732" s="28" t="s">
        <v>19964</v>
      </c>
      <c r="B3732" s="28" t="s">
        <v>19965</v>
      </c>
      <c r="C3732" s="28" t="s">
        <v>1684</v>
      </c>
      <c r="D3732" s="28" t="s">
        <v>6467</v>
      </c>
      <c r="E3732" s="28" t="s">
        <v>17656</v>
      </c>
      <c r="F3732" s="28" t="s">
        <v>21</v>
      </c>
      <c r="G3732" s="28" t="s">
        <v>39</v>
      </c>
      <c r="H3732" s="28" t="s">
        <v>16221</v>
      </c>
      <c r="I3732" s="28" t="s">
        <v>19966</v>
      </c>
      <c r="J3732" s="28" t="s">
        <v>39</v>
      </c>
      <c r="K3732" s="28" t="s">
        <v>16223</v>
      </c>
      <c r="L3732" s="28" t="s">
        <v>16224</v>
      </c>
      <c r="M3732" s="28" t="s">
        <v>19967</v>
      </c>
      <c r="N3732" s="28" t="s">
        <v>16226</v>
      </c>
      <c r="O3732" s="28" t="s">
        <v>16227</v>
      </c>
      <c r="P3732" s="28" t="s">
        <v>17659</v>
      </c>
    </row>
    <row r="3733" spans="1:16" x14ac:dyDescent="0.25">
      <c r="A3733" s="28" t="s">
        <v>19968</v>
      </c>
      <c r="B3733" s="28" t="s">
        <v>19969</v>
      </c>
      <c r="C3733" s="28" t="s">
        <v>1684</v>
      </c>
      <c r="D3733" s="28" t="s">
        <v>6467</v>
      </c>
      <c r="E3733" s="28" t="s">
        <v>17662</v>
      </c>
      <c r="F3733" s="28" t="s">
        <v>21</v>
      </c>
      <c r="G3733" s="28" t="s">
        <v>39</v>
      </c>
      <c r="H3733" s="28" t="s">
        <v>16221</v>
      </c>
      <c r="I3733" s="28" t="s">
        <v>19970</v>
      </c>
      <c r="J3733" s="28" t="s">
        <v>39</v>
      </c>
      <c r="K3733" s="28" t="s">
        <v>16223</v>
      </c>
      <c r="L3733" s="28" t="s">
        <v>16224</v>
      </c>
      <c r="M3733" s="28" t="s">
        <v>19971</v>
      </c>
      <c r="N3733" s="28" t="s">
        <v>16226</v>
      </c>
      <c r="O3733" s="28" t="s">
        <v>16227</v>
      </c>
      <c r="P3733" s="28" t="s">
        <v>17665</v>
      </c>
    </row>
    <row r="3734" spans="1:16" x14ac:dyDescent="0.25">
      <c r="A3734" s="28" t="s">
        <v>19972</v>
      </c>
      <c r="B3734" s="28" t="s">
        <v>19973</v>
      </c>
      <c r="C3734" s="28" t="s">
        <v>1684</v>
      </c>
      <c r="D3734" s="28" t="s">
        <v>6467</v>
      </c>
      <c r="E3734" s="28" t="s">
        <v>17662</v>
      </c>
      <c r="F3734" s="28" t="s">
        <v>21</v>
      </c>
      <c r="G3734" s="28" t="s">
        <v>39</v>
      </c>
      <c r="H3734" s="28" t="s">
        <v>16221</v>
      </c>
      <c r="I3734" s="28" t="s">
        <v>19974</v>
      </c>
      <c r="J3734" s="28" t="s">
        <v>39</v>
      </c>
      <c r="K3734" s="28" t="s">
        <v>16223</v>
      </c>
      <c r="L3734" s="28" t="s">
        <v>16224</v>
      </c>
      <c r="M3734" s="28" t="s">
        <v>19975</v>
      </c>
      <c r="N3734" s="28" t="s">
        <v>16226</v>
      </c>
      <c r="O3734" s="28" t="s">
        <v>16227</v>
      </c>
      <c r="P3734" s="28" t="s">
        <v>17665</v>
      </c>
    </row>
    <row r="3735" spans="1:16" x14ac:dyDescent="0.25">
      <c r="A3735" s="28" t="s">
        <v>19976</v>
      </c>
      <c r="B3735" s="28" t="s">
        <v>19977</v>
      </c>
      <c r="C3735" s="28" t="s">
        <v>1684</v>
      </c>
      <c r="D3735" s="28" t="s">
        <v>6467</v>
      </c>
      <c r="E3735" s="28" t="s">
        <v>17668</v>
      </c>
      <c r="F3735" s="28" t="s">
        <v>21</v>
      </c>
      <c r="G3735" s="28" t="s">
        <v>39</v>
      </c>
      <c r="H3735" s="28" t="s">
        <v>16221</v>
      </c>
      <c r="I3735" s="28" t="s">
        <v>19978</v>
      </c>
      <c r="J3735" s="28" t="s">
        <v>39</v>
      </c>
      <c r="K3735" s="28" t="s">
        <v>16223</v>
      </c>
      <c r="L3735" s="28" t="s">
        <v>16224</v>
      </c>
      <c r="M3735" s="28" t="s">
        <v>19979</v>
      </c>
      <c r="N3735" s="28" t="s">
        <v>16226</v>
      </c>
      <c r="O3735" s="28" t="s">
        <v>16227</v>
      </c>
      <c r="P3735" s="28" t="s">
        <v>17671</v>
      </c>
    </row>
    <row r="3736" spans="1:16" x14ac:dyDescent="0.25">
      <c r="A3736" s="28" t="s">
        <v>19980</v>
      </c>
      <c r="B3736" s="28" t="s">
        <v>19981</v>
      </c>
      <c r="C3736" s="28" t="s">
        <v>1684</v>
      </c>
      <c r="D3736" s="28" t="s">
        <v>6467</v>
      </c>
      <c r="E3736" s="28" t="s">
        <v>17668</v>
      </c>
      <c r="F3736" s="28" t="s">
        <v>21</v>
      </c>
      <c r="G3736" s="28" t="s">
        <v>39</v>
      </c>
      <c r="H3736" s="28" t="s">
        <v>16221</v>
      </c>
      <c r="I3736" s="28" t="s">
        <v>19982</v>
      </c>
      <c r="J3736" s="28" t="s">
        <v>39</v>
      </c>
      <c r="K3736" s="28" t="s">
        <v>16223</v>
      </c>
      <c r="L3736" s="28" t="s">
        <v>16224</v>
      </c>
      <c r="M3736" s="28" t="s">
        <v>19983</v>
      </c>
      <c r="N3736" s="28" t="s">
        <v>16226</v>
      </c>
      <c r="O3736" s="28" t="s">
        <v>16227</v>
      </c>
      <c r="P3736" s="28" t="s">
        <v>17671</v>
      </c>
    </row>
    <row r="3737" spans="1:16" x14ac:dyDescent="0.25">
      <c r="A3737" s="28" t="s">
        <v>19984</v>
      </c>
      <c r="B3737" s="28" t="s">
        <v>19985</v>
      </c>
      <c r="C3737" s="28" t="s">
        <v>1684</v>
      </c>
      <c r="D3737" s="28" t="s">
        <v>5990</v>
      </c>
      <c r="E3737" s="28" t="s">
        <v>19986</v>
      </c>
      <c r="F3737" s="28" t="s">
        <v>21</v>
      </c>
      <c r="G3737" s="28" t="s">
        <v>39</v>
      </c>
      <c r="H3737" s="28" t="s">
        <v>16221</v>
      </c>
      <c r="I3737" s="28" t="s">
        <v>19987</v>
      </c>
      <c r="J3737" s="28" t="s">
        <v>39</v>
      </c>
      <c r="K3737" s="28" t="s">
        <v>16223</v>
      </c>
      <c r="L3737" s="28" t="s">
        <v>16224</v>
      </c>
      <c r="M3737" s="28" t="s">
        <v>19988</v>
      </c>
      <c r="N3737" s="28" t="s">
        <v>16226</v>
      </c>
      <c r="O3737" s="28" t="s">
        <v>16227</v>
      </c>
      <c r="P3737" s="28" t="s">
        <v>19989</v>
      </c>
    </row>
    <row r="3738" spans="1:16" x14ac:dyDescent="0.25">
      <c r="A3738" s="28" t="s">
        <v>19990</v>
      </c>
      <c r="B3738" s="28" t="s">
        <v>19991</v>
      </c>
      <c r="C3738" s="28" t="s">
        <v>1684</v>
      </c>
      <c r="D3738" s="28" t="s">
        <v>5990</v>
      </c>
      <c r="E3738" s="28" t="s">
        <v>19992</v>
      </c>
      <c r="F3738" s="28" t="s">
        <v>21</v>
      </c>
      <c r="G3738" s="28" t="s">
        <v>39</v>
      </c>
      <c r="H3738" s="28" t="s">
        <v>16221</v>
      </c>
      <c r="I3738" s="28" t="s">
        <v>19993</v>
      </c>
      <c r="J3738" s="28" t="s">
        <v>39</v>
      </c>
      <c r="K3738" s="28" t="s">
        <v>16223</v>
      </c>
      <c r="L3738" s="28" t="s">
        <v>16224</v>
      </c>
      <c r="M3738" s="28" t="s">
        <v>19994</v>
      </c>
      <c r="N3738" s="28" t="s">
        <v>16226</v>
      </c>
      <c r="O3738" s="28" t="s">
        <v>16227</v>
      </c>
      <c r="P3738" s="28" t="s">
        <v>19995</v>
      </c>
    </row>
    <row r="3739" spans="1:16" x14ac:dyDescent="0.25">
      <c r="A3739" s="28" t="s">
        <v>19996</v>
      </c>
      <c r="B3739" s="28" t="s">
        <v>19997</v>
      </c>
      <c r="C3739" s="28" t="s">
        <v>1684</v>
      </c>
      <c r="D3739" s="28" t="s">
        <v>5990</v>
      </c>
      <c r="E3739" s="28" t="s">
        <v>19992</v>
      </c>
      <c r="F3739" s="28" t="s">
        <v>21</v>
      </c>
      <c r="G3739" s="28" t="s">
        <v>39</v>
      </c>
      <c r="H3739" s="28" t="s">
        <v>16221</v>
      </c>
      <c r="I3739" s="28" t="s">
        <v>19998</v>
      </c>
      <c r="J3739" s="28" t="s">
        <v>39</v>
      </c>
      <c r="K3739" s="28" t="s">
        <v>16223</v>
      </c>
      <c r="L3739" s="28" t="s">
        <v>16224</v>
      </c>
      <c r="M3739" s="28" t="s">
        <v>19999</v>
      </c>
      <c r="N3739" s="28" t="s">
        <v>16226</v>
      </c>
      <c r="O3739" s="28" t="s">
        <v>16227</v>
      </c>
      <c r="P3739" s="28" t="s">
        <v>19995</v>
      </c>
    </row>
    <row r="3740" spans="1:16" x14ac:dyDescent="0.25">
      <c r="A3740" s="28" t="s">
        <v>20000</v>
      </c>
      <c r="B3740" s="28" t="s">
        <v>20001</v>
      </c>
      <c r="C3740" s="28" t="s">
        <v>1684</v>
      </c>
      <c r="D3740" s="28" t="s">
        <v>5990</v>
      </c>
      <c r="E3740" s="28" t="s">
        <v>19992</v>
      </c>
      <c r="F3740" s="28" t="s">
        <v>21</v>
      </c>
      <c r="G3740" s="28" t="s">
        <v>39</v>
      </c>
      <c r="H3740" s="28" t="s">
        <v>16221</v>
      </c>
      <c r="I3740" s="28" t="s">
        <v>20002</v>
      </c>
      <c r="J3740" s="28" t="s">
        <v>39</v>
      </c>
      <c r="K3740" s="28" t="s">
        <v>16223</v>
      </c>
      <c r="L3740" s="28" t="s">
        <v>16224</v>
      </c>
      <c r="M3740" s="28" t="s">
        <v>20003</v>
      </c>
      <c r="N3740" s="28" t="s">
        <v>16226</v>
      </c>
      <c r="O3740" s="28" t="s">
        <v>16227</v>
      </c>
      <c r="P3740" s="28" t="s">
        <v>19995</v>
      </c>
    </row>
    <row r="3741" spans="1:16" x14ac:dyDescent="0.25">
      <c r="A3741" s="28" t="s">
        <v>20004</v>
      </c>
      <c r="B3741" s="28" t="s">
        <v>20005</v>
      </c>
      <c r="C3741" s="28" t="s">
        <v>1684</v>
      </c>
      <c r="D3741" s="28" t="s">
        <v>5990</v>
      </c>
      <c r="E3741" s="28" t="s">
        <v>17700</v>
      </c>
      <c r="F3741" s="28" t="s">
        <v>21</v>
      </c>
      <c r="G3741" s="28" t="s">
        <v>39</v>
      </c>
      <c r="H3741" s="28" t="s">
        <v>16221</v>
      </c>
      <c r="I3741" s="28" t="s">
        <v>20006</v>
      </c>
      <c r="J3741" s="28" t="s">
        <v>39</v>
      </c>
      <c r="K3741" s="28" t="s">
        <v>16223</v>
      </c>
      <c r="L3741" s="28" t="s">
        <v>16224</v>
      </c>
      <c r="M3741" s="28" t="s">
        <v>20007</v>
      </c>
      <c r="N3741" s="28" t="s">
        <v>16226</v>
      </c>
      <c r="O3741" s="28" t="s">
        <v>16227</v>
      </c>
      <c r="P3741" s="28" t="s">
        <v>17703</v>
      </c>
    </row>
    <row r="3742" spans="1:16" x14ac:dyDescent="0.25">
      <c r="A3742" s="28" t="s">
        <v>20008</v>
      </c>
      <c r="B3742" s="28" t="s">
        <v>20009</v>
      </c>
      <c r="C3742" s="28" t="s">
        <v>1684</v>
      </c>
      <c r="D3742" s="28" t="s">
        <v>19</v>
      </c>
      <c r="E3742" s="28" t="s">
        <v>20010</v>
      </c>
      <c r="F3742" s="28" t="s">
        <v>21</v>
      </c>
      <c r="G3742" s="28" t="s">
        <v>39</v>
      </c>
      <c r="H3742" s="28" t="s">
        <v>16221</v>
      </c>
      <c r="I3742" s="28" t="s">
        <v>20011</v>
      </c>
      <c r="J3742" s="28" t="s">
        <v>39</v>
      </c>
      <c r="K3742" s="28" t="s">
        <v>16223</v>
      </c>
      <c r="L3742" s="28" t="s">
        <v>16224</v>
      </c>
      <c r="M3742" s="28" t="s">
        <v>20012</v>
      </c>
      <c r="N3742" s="28" t="s">
        <v>16226</v>
      </c>
      <c r="O3742" s="28" t="s">
        <v>16227</v>
      </c>
      <c r="P3742" s="28" t="s">
        <v>20013</v>
      </c>
    </row>
    <row r="3743" spans="1:16" x14ac:dyDescent="0.25">
      <c r="A3743" s="28" t="s">
        <v>20014</v>
      </c>
      <c r="B3743" s="28" t="s">
        <v>20015</v>
      </c>
      <c r="C3743" s="28" t="s">
        <v>1684</v>
      </c>
      <c r="D3743" s="28" t="s">
        <v>19</v>
      </c>
      <c r="E3743" s="28" t="s">
        <v>20010</v>
      </c>
      <c r="F3743" s="28" t="s">
        <v>21</v>
      </c>
      <c r="G3743" s="28" t="s">
        <v>39</v>
      </c>
      <c r="H3743" s="28" t="s">
        <v>16221</v>
      </c>
      <c r="I3743" s="28" t="s">
        <v>20016</v>
      </c>
      <c r="J3743" s="28" t="s">
        <v>39</v>
      </c>
      <c r="K3743" s="28" t="s">
        <v>16223</v>
      </c>
      <c r="L3743" s="28" t="s">
        <v>16224</v>
      </c>
      <c r="M3743" s="28" t="s">
        <v>20017</v>
      </c>
      <c r="N3743" s="28" t="s">
        <v>16226</v>
      </c>
      <c r="O3743" s="28" t="s">
        <v>16227</v>
      </c>
      <c r="P3743" s="28" t="s">
        <v>20013</v>
      </c>
    </row>
    <row r="3744" spans="1:16" x14ac:dyDescent="0.25">
      <c r="A3744" s="28" t="s">
        <v>20018</v>
      </c>
      <c r="B3744" s="28" t="s">
        <v>20019</v>
      </c>
      <c r="C3744" s="28" t="s">
        <v>1684</v>
      </c>
      <c r="D3744" s="28" t="s">
        <v>19</v>
      </c>
      <c r="E3744" s="28" t="s">
        <v>206</v>
      </c>
      <c r="F3744" s="28" t="s">
        <v>21</v>
      </c>
      <c r="G3744" s="28" t="s">
        <v>39</v>
      </c>
      <c r="H3744" s="28" t="s">
        <v>16221</v>
      </c>
      <c r="I3744" s="28" t="s">
        <v>20020</v>
      </c>
      <c r="J3744" s="28" t="s">
        <v>39</v>
      </c>
      <c r="K3744" s="28" t="s">
        <v>16223</v>
      </c>
      <c r="L3744" s="28" t="s">
        <v>16224</v>
      </c>
      <c r="M3744" s="28" t="s">
        <v>20021</v>
      </c>
      <c r="N3744" s="28" t="s">
        <v>16226</v>
      </c>
      <c r="O3744" s="28" t="s">
        <v>16227</v>
      </c>
      <c r="P3744" s="28" t="s">
        <v>17718</v>
      </c>
    </row>
    <row r="3745" spans="1:16" x14ac:dyDescent="0.25">
      <c r="A3745" s="28" t="s">
        <v>20022</v>
      </c>
      <c r="B3745" s="28" t="s">
        <v>20023</v>
      </c>
      <c r="C3745" s="28" t="s">
        <v>1684</v>
      </c>
      <c r="D3745" s="28" t="s">
        <v>19</v>
      </c>
      <c r="E3745" s="28" t="s">
        <v>206</v>
      </c>
      <c r="F3745" s="28" t="s">
        <v>21</v>
      </c>
      <c r="G3745" s="28" t="s">
        <v>39</v>
      </c>
      <c r="H3745" s="28" t="s">
        <v>16221</v>
      </c>
      <c r="I3745" s="28" t="s">
        <v>20024</v>
      </c>
      <c r="J3745" s="28" t="s">
        <v>39</v>
      </c>
      <c r="K3745" s="28" t="s">
        <v>16223</v>
      </c>
      <c r="L3745" s="28" t="s">
        <v>16224</v>
      </c>
      <c r="M3745" s="28" t="s">
        <v>20025</v>
      </c>
      <c r="N3745" s="28" t="s">
        <v>16226</v>
      </c>
      <c r="O3745" s="28" t="s">
        <v>16227</v>
      </c>
      <c r="P3745" s="28" t="s">
        <v>17718</v>
      </c>
    </row>
    <row r="3746" spans="1:16" x14ac:dyDescent="0.25">
      <c r="A3746" s="28" t="s">
        <v>20026</v>
      </c>
      <c r="B3746" s="28" t="s">
        <v>20027</v>
      </c>
      <c r="C3746" s="28" t="s">
        <v>1684</v>
      </c>
      <c r="D3746" s="28" t="s">
        <v>19</v>
      </c>
      <c r="E3746" s="28" t="s">
        <v>206</v>
      </c>
      <c r="F3746" s="28" t="s">
        <v>21</v>
      </c>
      <c r="G3746" s="28" t="s">
        <v>39</v>
      </c>
      <c r="H3746" s="28" t="s">
        <v>16221</v>
      </c>
      <c r="I3746" s="28" t="s">
        <v>20028</v>
      </c>
      <c r="J3746" s="28" t="s">
        <v>39</v>
      </c>
      <c r="K3746" s="28" t="s">
        <v>16223</v>
      </c>
      <c r="L3746" s="28" t="s">
        <v>16224</v>
      </c>
      <c r="M3746" s="28" t="s">
        <v>20029</v>
      </c>
      <c r="N3746" s="28" t="s">
        <v>16226</v>
      </c>
      <c r="O3746" s="28" t="s">
        <v>16227</v>
      </c>
      <c r="P3746" s="28" t="s">
        <v>17718</v>
      </c>
    </row>
    <row r="3747" spans="1:16" x14ac:dyDescent="0.25">
      <c r="A3747" s="28" t="s">
        <v>20030</v>
      </c>
      <c r="B3747" s="28" t="s">
        <v>20031</v>
      </c>
      <c r="C3747" s="28" t="s">
        <v>1684</v>
      </c>
      <c r="D3747" s="28" t="s">
        <v>19</v>
      </c>
      <c r="E3747" s="28" t="s">
        <v>20032</v>
      </c>
      <c r="F3747" s="28" t="s">
        <v>21</v>
      </c>
      <c r="G3747" s="28" t="s">
        <v>39</v>
      </c>
      <c r="H3747" s="28" t="s">
        <v>16221</v>
      </c>
      <c r="I3747" s="28" t="s">
        <v>20033</v>
      </c>
      <c r="J3747" s="28" t="s">
        <v>39</v>
      </c>
      <c r="K3747" s="28" t="s">
        <v>16223</v>
      </c>
      <c r="L3747" s="28" t="s">
        <v>16224</v>
      </c>
      <c r="M3747" s="28" t="s">
        <v>20034</v>
      </c>
      <c r="N3747" s="28" t="s">
        <v>16226</v>
      </c>
      <c r="O3747" s="28" t="s">
        <v>16227</v>
      </c>
      <c r="P3747" s="28" t="s">
        <v>20035</v>
      </c>
    </row>
    <row r="3748" spans="1:16" x14ac:dyDescent="0.25">
      <c r="A3748" s="28" t="s">
        <v>20036</v>
      </c>
      <c r="B3748" s="28" t="s">
        <v>20037</v>
      </c>
      <c r="C3748" s="28" t="s">
        <v>1684</v>
      </c>
      <c r="D3748" s="28" t="s">
        <v>19</v>
      </c>
      <c r="E3748" s="28" t="s">
        <v>20038</v>
      </c>
      <c r="F3748" s="28" t="s">
        <v>21</v>
      </c>
      <c r="G3748" s="28" t="s">
        <v>39</v>
      </c>
      <c r="H3748" s="28" t="s">
        <v>16221</v>
      </c>
      <c r="I3748" s="28" t="s">
        <v>20039</v>
      </c>
      <c r="J3748" s="28" t="s">
        <v>39</v>
      </c>
      <c r="K3748" s="28" t="s">
        <v>16223</v>
      </c>
      <c r="L3748" s="28" t="s">
        <v>16224</v>
      </c>
      <c r="M3748" s="28" t="s">
        <v>20040</v>
      </c>
      <c r="N3748" s="28" t="s">
        <v>16226</v>
      </c>
      <c r="O3748" s="28" t="s">
        <v>16227</v>
      </c>
      <c r="P3748" s="28" t="s">
        <v>20041</v>
      </c>
    </row>
    <row r="3749" spans="1:16" x14ac:dyDescent="0.25">
      <c r="A3749" s="28" t="s">
        <v>20042</v>
      </c>
      <c r="B3749" s="28" t="s">
        <v>20043</v>
      </c>
      <c r="C3749" s="28" t="s">
        <v>1684</v>
      </c>
      <c r="D3749" s="28" t="s">
        <v>19</v>
      </c>
      <c r="E3749" s="28" t="s">
        <v>20044</v>
      </c>
      <c r="F3749" s="28" t="s">
        <v>21</v>
      </c>
      <c r="G3749" s="28" t="s">
        <v>39</v>
      </c>
      <c r="H3749" s="28" t="s">
        <v>16221</v>
      </c>
      <c r="I3749" s="28" t="s">
        <v>20045</v>
      </c>
      <c r="J3749" s="28" t="s">
        <v>39</v>
      </c>
      <c r="K3749" s="28" t="s">
        <v>16223</v>
      </c>
      <c r="L3749" s="28" t="s">
        <v>16224</v>
      </c>
      <c r="M3749" s="28" t="s">
        <v>20046</v>
      </c>
      <c r="N3749" s="28" t="s">
        <v>16226</v>
      </c>
      <c r="O3749" s="28" t="s">
        <v>16227</v>
      </c>
      <c r="P3749" s="28" t="s">
        <v>20047</v>
      </c>
    </row>
    <row r="3750" spans="1:16" x14ac:dyDescent="0.25">
      <c r="A3750" s="28" t="s">
        <v>20048</v>
      </c>
      <c r="B3750" s="28" t="s">
        <v>20049</v>
      </c>
      <c r="C3750" s="28" t="s">
        <v>1684</v>
      </c>
      <c r="D3750" s="28" t="s">
        <v>19</v>
      </c>
      <c r="E3750" s="28" t="s">
        <v>20050</v>
      </c>
      <c r="F3750" s="28" t="s">
        <v>21</v>
      </c>
      <c r="G3750" s="28" t="s">
        <v>39</v>
      </c>
      <c r="H3750" s="28" t="s">
        <v>16221</v>
      </c>
      <c r="I3750" s="28" t="s">
        <v>20051</v>
      </c>
      <c r="J3750" s="28" t="s">
        <v>39</v>
      </c>
      <c r="K3750" s="28" t="s">
        <v>16223</v>
      </c>
      <c r="L3750" s="28" t="s">
        <v>16224</v>
      </c>
      <c r="M3750" s="28" t="s">
        <v>20052</v>
      </c>
      <c r="N3750" s="28" t="s">
        <v>16226</v>
      </c>
      <c r="O3750" s="28" t="s">
        <v>16227</v>
      </c>
      <c r="P3750" s="28" t="s">
        <v>20053</v>
      </c>
    </row>
    <row r="3751" spans="1:16" x14ac:dyDescent="0.25">
      <c r="A3751" s="28" t="s">
        <v>20054</v>
      </c>
      <c r="B3751" s="28" t="s">
        <v>20055</v>
      </c>
      <c r="C3751" s="28" t="s">
        <v>1684</v>
      </c>
      <c r="D3751" s="28" t="s">
        <v>19</v>
      </c>
      <c r="E3751" s="28" t="s">
        <v>20050</v>
      </c>
      <c r="F3751" s="28" t="s">
        <v>21</v>
      </c>
      <c r="G3751" s="28" t="s">
        <v>39</v>
      </c>
      <c r="H3751" s="28" t="s">
        <v>16221</v>
      </c>
      <c r="I3751" s="28" t="s">
        <v>20056</v>
      </c>
      <c r="J3751" s="28" t="s">
        <v>39</v>
      </c>
      <c r="K3751" s="28" t="s">
        <v>16223</v>
      </c>
      <c r="L3751" s="28" t="s">
        <v>16224</v>
      </c>
      <c r="M3751" s="28" t="s">
        <v>20057</v>
      </c>
      <c r="N3751" s="28" t="s">
        <v>16226</v>
      </c>
      <c r="O3751" s="28" t="s">
        <v>16227</v>
      </c>
      <c r="P3751" s="28" t="s">
        <v>20053</v>
      </c>
    </row>
    <row r="3752" spans="1:16" x14ac:dyDescent="0.25">
      <c r="A3752" s="28" t="s">
        <v>20058</v>
      </c>
      <c r="B3752" s="28" t="s">
        <v>20059</v>
      </c>
      <c r="C3752" s="28" t="s">
        <v>1684</v>
      </c>
      <c r="D3752" s="28" t="s">
        <v>19</v>
      </c>
      <c r="E3752" s="28" t="s">
        <v>20060</v>
      </c>
      <c r="F3752" s="28" t="s">
        <v>21</v>
      </c>
      <c r="G3752" s="28" t="s">
        <v>39</v>
      </c>
      <c r="H3752" s="28" t="s">
        <v>16221</v>
      </c>
      <c r="I3752" s="28" t="s">
        <v>20061</v>
      </c>
      <c r="J3752" s="28" t="s">
        <v>39</v>
      </c>
      <c r="K3752" s="28" t="s">
        <v>16223</v>
      </c>
      <c r="L3752" s="28" t="s">
        <v>16224</v>
      </c>
      <c r="M3752" s="28" t="s">
        <v>20062</v>
      </c>
      <c r="N3752" s="28" t="s">
        <v>16226</v>
      </c>
      <c r="O3752" s="28" t="s">
        <v>16227</v>
      </c>
      <c r="P3752" s="28" t="s">
        <v>20063</v>
      </c>
    </row>
    <row r="3753" spans="1:16" x14ac:dyDescent="0.25">
      <c r="A3753" s="28" t="s">
        <v>20064</v>
      </c>
      <c r="B3753" s="28" t="s">
        <v>20065</v>
      </c>
      <c r="C3753" s="28" t="s">
        <v>1684</v>
      </c>
      <c r="D3753" s="28" t="s">
        <v>19</v>
      </c>
      <c r="E3753" s="28" t="s">
        <v>20066</v>
      </c>
      <c r="F3753" s="28" t="s">
        <v>21</v>
      </c>
      <c r="G3753" s="28" t="s">
        <v>39</v>
      </c>
      <c r="H3753" s="28" t="s">
        <v>16221</v>
      </c>
      <c r="I3753" s="28" t="s">
        <v>20067</v>
      </c>
      <c r="J3753" s="28" t="s">
        <v>39</v>
      </c>
      <c r="K3753" s="28" t="s">
        <v>16223</v>
      </c>
      <c r="L3753" s="28" t="s">
        <v>16224</v>
      </c>
      <c r="M3753" s="28" t="s">
        <v>20068</v>
      </c>
      <c r="N3753" s="28" t="s">
        <v>16226</v>
      </c>
      <c r="O3753" s="28" t="s">
        <v>16227</v>
      </c>
      <c r="P3753" s="28" t="s">
        <v>20069</v>
      </c>
    </row>
    <row r="3754" spans="1:16" x14ac:dyDescent="0.25">
      <c r="A3754" s="28" t="s">
        <v>20070</v>
      </c>
      <c r="B3754" s="28" t="s">
        <v>20071</v>
      </c>
      <c r="C3754" s="28" t="s">
        <v>1684</v>
      </c>
      <c r="D3754" s="28" t="s">
        <v>45</v>
      </c>
      <c r="E3754" s="28" t="s">
        <v>17721</v>
      </c>
      <c r="F3754" s="28" t="s">
        <v>21</v>
      </c>
      <c r="G3754" s="28" t="s">
        <v>39</v>
      </c>
      <c r="H3754" s="28" t="s">
        <v>16221</v>
      </c>
      <c r="I3754" s="28" t="s">
        <v>20072</v>
      </c>
      <c r="J3754" s="28" t="s">
        <v>39</v>
      </c>
      <c r="K3754" s="28" t="s">
        <v>16223</v>
      </c>
      <c r="L3754" s="28" t="s">
        <v>16224</v>
      </c>
      <c r="M3754" s="28" t="s">
        <v>20073</v>
      </c>
      <c r="N3754" s="28" t="s">
        <v>16226</v>
      </c>
      <c r="O3754" s="28" t="s">
        <v>16227</v>
      </c>
      <c r="P3754" s="28" t="s">
        <v>17724</v>
      </c>
    </row>
    <row r="3755" spans="1:16" x14ac:dyDescent="0.25">
      <c r="A3755" s="28" t="s">
        <v>20074</v>
      </c>
      <c r="B3755" s="28" t="s">
        <v>20075</v>
      </c>
      <c r="C3755" s="28" t="s">
        <v>1684</v>
      </c>
      <c r="D3755" s="28" t="s">
        <v>45</v>
      </c>
      <c r="E3755" s="28" t="s">
        <v>17727</v>
      </c>
      <c r="F3755" s="28" t="s">
        <v>21</v>
      </c>
      <c r="G3755" s="28" t="s">
        <v>39</v>
      </c>
      <c r="H3755" s="28" t="s">
        <v>16221</v>
      </c>
      <c r="I3755" s="28" t="s">
        <v>20076</v>
      </c>
      <c r="J3755" s="28" t="s">
        <v>39</v>
      </c>
      <c r="K3755" s="28" t="s">
        <v>16223</v>
      </c>
      <c r="L3755" s="28" t="s">
        <v>16224</v>
      </c>
      <c r="M3755" s="28" t="s">
        <v>20077</v>
      </c>
      <c r="N3755" s="28" t="s">
        <v>16226</v>
      </c>
      <c r="O3755" s="28" t="s">
        <v>16227</v>
      </c>
      <c r="P3755" s="28" t="s">
        <v>17730</v>
      </c>
    </row>
    <row r="3756" spans="1:16" x14ac:dyDescent="0.25">
      <c r="A3756" s="28" t="s">
        <v>20078</v>
      </c>
      <c r="B3756" s="28" t="s">
        <v>20079</v>
      </c>
      <c r="C3756" s="28" t="s">
        <v>1684</v>
      </c>
      <c r="D3756" s="28" t="s">
        <v>45</v>
      </c>
      <c r="E3756" s="28" t="s">
        <v>17733</v>
      </c>
      <c r="F3756" s="28" t="s">
        <v>21</v>
      </c>
      <c r="G3756" s="28" t="s">
        <v>39</v>
      </c>
      <c r="H3756" s="28" t="s">
        <v>16221</v>
      </c>
      <c r="I3756" s="28" t="s">
        <v>20080</v>
      </c>
      <c r="J3756" s="28" t="s">
        <v>39</v>
      </c>
      <c r="K3756" s="28" t="s">
        <v>16223</v>
      </c>
      <c r="L3756" s="28" t="s">
        <v>16224</v>
      </c>
      <c r="M3756" s="28" t="s">
        <v>20081</v>
      </c>
      <c r="N3756" s="28" t="s">
        <v>16226</v>
      </c>
      <c r="O3756" s="28" t="s">
        <v>16227</v>
      </c>
      <c r="P3756" s="28" t="s">
        <v>17736</v>
      </c>
    </row>
    <row r="3757" spans="1:16" x14ac:dyDescent="0.25">
      <c r="A3757" s="28" t="s">
        <v>20082</v>
      </c>
      <c r="B3757" s="28" t="s">
        <v>20083</v>
      </c>
      <c r="C3757" s="28" t="s">
        <v>1684</v>
      </c>
      <c r="D3757" s="28" t="s">
        <v>45</v>
      </c>
      <c r="E3757" s="28" t="s">
        <v>17739</v>
      </c>
      <c r="F3757" s="28" t="s">
        <v>21</v>
      </c>
      <c r="G3757" s="28" t="s">
        <v>39</v>
      </c>
      <c r="H3757" s="28" t="s">
        <v>16221</v>
      </c>
      <c r="I3757" s="28" t="s">
        <v>20084</v>
      </c>
      <c r="J3757" s="28" t="s">
        <v>39</v>
      </c>
      <c r="K3757" s="28" t="s">
        <v>16223</v>
      </c>
      <c r="L3757" s="28" t="s">
        <v>16224</v>
      </c>
      <c r="M3757" s="28" t="s">
        <v>20085</v>
      </c>
      <c r="N3757" s="28" t="s">
        <v>16226</v>
      </c>
      <c r="O3757" s="28" t="s">
        <v>16227</v>
      </c>
      <c r="P3757" s="28" t="s">
        <v>17742</v>
      </c>
    </row>
    <row r="3758" spans="1:16" x14ac:dyDescent="0.25">
      <c r="A3758" s="28" t="s">
        <v>20086</v>
      </c>
      <c r="B3758" s="28" t="s">
        <v>20087</v>
      </c>
      <c r="C3758" s="28" t="s">
        <v>1684</v>
      </c>
      <c r="D3758" s="28" t="s">
        <v>45</v>
      </c>
      <c r="E3758" s="28" t="s">
        <v>17745</v>
      </c>
      <c r="F3758" s="28" t="s">
        <v>21</v>
      </c>
      <c r="G3758" s="28" t="s">
        <v>39</v>
      </c>
      <c r="H3758" s="28" t="s">
        <v>16221</v>
      </c>
      <c r="I3758" s="28" t="s">
        <v>20088</v>
      </c>
      <c r="J3758" s="28" t="s">
        <v>39</v>
      </c>
      <c r="K3758" s="28" t="s">
        <v>16223</v>
      </c>
      <c r="L3758" s="28" t="s">
        <v>16224</v>
      </c>
      <c r="M3758" s="28" t="s">
        <v>20089</v>
      </c>
      <c r="N3758" s="28" t="s">
        <v>16226</v>
      </c>
      <c r="O3758" s="28" t="s">
        <v>16227</v>
      </c>
      <c r="P3758" s="28" t="s">
        <v>17748</v>
      </c>
    </row>
    <row r="3759" spans="1:16" x14ac:dyDescent="0.25">
      <c r="A3759" s="28" t="s">
        <v>20090</v>
      </c>
      <c r="B3759" s="28" t="s">
        <v>20091</v>
      </c>
      <c r="C3759" s="28" t="s">
        <v>1684</v>
      </c>
      <c r="D3759" s="28" t="s">
        <v>45</v>
      </c>
      <c r="E3759" s="28" t="s">
        <v>17751</v>
      </c>
      <c r="F3759" s="28" t="s">
        <v>21</v>
      </c>
      <c r="G3759" s="28" t="s">
        <v>39</v>
      </c>
      <c r="H3759" s="28" t="s">
        <v>16221</v>
      </c>
      <c r="I3759" s="28" t="s">
        <v>20092</v>
      </c>
      <c r="J3759" s="28" t="s">
        <v>39</v>
      </c>
      <c r="K3759" s="28" t="s">
        <v>16223</v>
      </c>
      <c r="L3759" s="28" t="s">
        <v>16224</v>
      </c>
      <c r="M3759" s="28" t="s">
        <v>20093</v>
      </c>
      <c r="N3759" s="28" t="s">
        <v>16226</v>
      </c>
      <c r="O3759" s="28" t="s">
        <v>16227</v>
      </c>
      <c r="P3759" s="28" t="s">
        <v>17754</v>
      </c>
    </row>
    <row r="3760" spans="1:16" x14ac:dyDescent="0.25">
      <c r="A3760" s="28" t="s">
        <v>20094</v>
      </c>
      <c r="B3760" s="28" t="s">
        <v>20095</v>
      </c>
      <c r="C3760" s="28" t="s">
        <v>1684</v>
      </c>
      <c r="D3760" s="28" t="s">
        <v>45</v>
      </c>
      <c r="E3760" s="28" t="s">
        <v>17757</v>
      </c>
      <c r="F3760" s="28" t="s">
        <v>21</v>
      </c>
      <c r="G3760" s="28" t="s">
        <v>39</v>
      </c>
      <c r="H3760" s="28" t="s">
        <v>16221</v>
      </c>
      <c r="I3760" s="28" t="s">
        <v>20096</v>
      </c>
      <c r="J3760" s="28" t="s">
        <v>39</v>
      </c>
      <c r="K3760" s="28" t="s">
        <v>16223</v>
      </c>
      <c r="L3760" s="28" t="s">
        <v>16224</v>
      </c>
      <c r="M3760" s="28" t="s">
        <v>20097</v>
      </c>
      <c r="N3760" s="28" t="s">
        <v>16226</v>
      </c>
      <c r="O3760" s="28" t="s">
        <v>16227</v>
      </c>
      <c r="P3760" s="28" t="s">
        <v>17760</v>
      </c>
    </row>
    <row r="3761" spans="1:16" x14ac:dyDescent="0.25">
      <c r="A3761" s="28" t="s">
        <v>20098</v>
      </c>
      <c r="B3761" s="28" t="s">
        <v>20099</v>
      </c>
      <c r="C3761" s="28" t="s">
        <v>1684</v>
      </c>
      <c r="D3761" s="28" t="s">
        <v>45</v>
      </c>
      <c r="E3761" s="28" t="s">
        <v>17763</v>
      </c>
      <c r="F3761" s="28" t="s">
        <v>21</v>
      </c>
      <c r="G3761" s="28" t="s">
        <v>39</v>
      </c>
      <c r="H3761" s="28" t="s">
        <v>16221</v>
      </c>
      <c r="I3761" s="28" t="s">
        <v>20100</v>
      </c>
      <c r="J3761" s="28" t="s">
        <v>39</v>
      </c>
      <c r="K3761" s="28" t="s">
        <v>16223</v>
      </c>
      <c r="L3761" s="28" t="s">
        <v>16224</v>
      </c>
      <c r="M3761" s="28" t="s">
        <v>20101</v>
      </c>
      <c r="N3761" s="28" t="s">
        <v>16226</v>
      </c>
      <c r="O3761" s="28" t="s">
        <v>16227</v>
      </c>
      <c r="P3761" s="28" t="s">
        <v>17766</v>
      </c>
    </row>
    <row r="3762" spans="1:16" x14ac:dyDescent="0.25">
      <c r="A3762" s="28" t="s">
        <v>20102</v>
      </c>
      <c r="B3762" s="28" t="s">
        <v>20103</v>
      </c>
      <c r="C3762" s="28" t="s">
        <v>1684</v>
      </c>
      <c r="D3762" s="28" t="s">
        <v>45</v>
      </c>
      <c r="E3762" s="28" t="s">
        <v>17769</v>
      </c>
      <c r="F3762" s="28" t="s">
        <v>21</v>
      </c>
      <c r="G3762" s="28" t="s">
        <v>39</v>
      </c>
      <c r="H3762" s="28" t="s">
        <v>16221</v>
      </c>
      <c r="I3762" s="28" t="s">
        <v>20104</v>
      </c>
      <c r="J3762" s="28" t="s">
        <v>39</v>
      </c>
      <c r="K3762" s="28" t="s">
        <v>16223</v>
      </c>
      <c r="L3762" s="28" t="s">
        <v>16224</v>
      </c>
      <c r="M3762" s="28" t="s">
        <v>20105</v>
      </c>
      <c r="N3762" s="28" t="s">
        <v>16226</v>
      </c>
      <c r="O3762" s="28" t="s">
        <v>16227</v>
      </c>
      <c r="P3762" s="28" t="s">
        <v>17772</v>
      </c>
    </row>
    <row r="3763" spans="1:16" x14ac:dyDescent="0.25">
      <c r="A3763" s="28" t="s">
        <v>20106</v>
      </c>
      <c r="B3763" s="28" t="s">
        <v>20107</v>
      </c>
      <c r="C3763" s="28" t="s">
        <v>1684</v>
      </c>
      <c r="D3763" s="28" t="s">
        <v>45</v>
      </c>
      <c r="E3763" s="28" t="s">
        <v>17775</v>
      </c>
      <c r="F3763" s="28" t="s">
        <v>21</v>
      </c>
      <c r="G3763" s="28" t="s">
        <v>39</v>
      </c>
      <c r="H3763" s="28" t="s">
        <v>16221</v>
      </c>
      <c r="I3763" s="28" t="s">
        <v>20108</v>
      </c>
      <c r="J3763" s="28" t="s">
        <v>39</v>
      </c>
      <c r="K3763" s="28" t="s">
        <v>16223</v>
      </c>
      <c r="L3763" s="28" t="s">
        <v>16224</v>
      </c>
      <c r="M3763" s="28" t="s">
        <v>20109</v>
      </c>
      <c r="N3763" s="28" t="s">
        <v>16226</v>
      </c>
      <c r="O3763" s="28" t="s">
        <v>16227</v>
      </c>
      <c r="P3763" s="28" t="s">
        <v>17778</v>
      </c>
    </row>
    <row r="3764" spans="1:16" x14ac:dyDescent="0.25">
      <c r="A3764" s="28" t="s">
        <v>20110</v>
      </c>
      <c r="B3764" s="28" t="s">
        <v>20111</v>
      </c>
      <c r="C3764" s="28" t="s">
        <v>1684</v>
      </c>
      <c r="D3764" s="28" t="s">
        <v>45</v>
      </c>
      <c r="E3764" s="28" t="s">
        <v>17781</v>
      </c>
      <c r="F3764" s="28" t="s">
        <v>21</v>
      </c>
      <c r="G3764" s="28" t="s">
        <v>39</v>
      </c>
      <c r="H3764" s="28" t="s">
        <v>16221</v>
      </c>
      <c r="I3764" s="28" t="s">
        <v>20112</v>
      </c>
      <c r="J3764" s="28" t="s">
        <v>39</v>
      </c>
      <c r="K3764" s="28" t="s">
        <v>16223</v>
      </c>
      <c r="L3764" s="28" t="s">
        <v>16224</v>
      </c>
      <c r="M3764" s="28" t="s">
        <v>20113</v>
      </c>
      <c r="N3764" s="28" t="s">
        <v>16226</v>
      </c>
      <c r="O3764" s="28" t="s">
        <v>16227</v>
      </c>
      <c r="P3764" s="28" t="s">
        <v>17784</v>
      </c>
    </row>
    <row r="3765" spans="1:16" x14ac:dyDescent="0.25">
      <c r="A3765" s="28" t="s">
        <v>20114</v>
      </c>
      <c r="B3765" s="28" t="s">
        <v>20115</v>
      </c>
      <c r="C3765" s="28" t="s">
        <v>1684</v>
      </c>
      <c r="D3765" s="28" t="s">
        <v>45</v>
      </c>
      <c r="E3765" s="28" t="s">
        <v>2255</v>
      </c>
      <c r="F3765" s="28" t="s">
        <v>21</v>
      </c>
      <c r="G3765" s="28" t="s">
        <v>39</v>
      </c>
      <c r="H3765" s="28" t="s">
        <v>16221</v>
      </c>
      <c r="I3765" s="28" t="s">
        <v>20116</v>
      </c>
      <c r="J3765" s="28" t="s">
        <v>39</v>
      </c>
      <c r="K3765" s="28" t="s">
        <v>16223</v>
      </c>
      <c r="L3765" s="28" t="s">
        <v>16224</v>
      </c>
      <c r="M3765" s="28" t="s">
        <v>20117</v>
      </c>
      <c r="N3765" s="28" t="s">
        <v>16226</v>
      </c>
      <c r="O3765" s="28" t="s">
        <v>16227</v>
      </c>
      <c r="P3765" s="28" t="s">
        <v>17789</v>
      </c>
    </row>
    <row r="3766" spans="1:16" x14ac:dyDescent="0.25">
      <c r="A3766" s="28" t="s">
        <v>20118</v>
      </c>
      <c r="B3766" s="28" t="s">
        <v>20119</v>
      </c>
      <c r="C3766" s="28" t="s">
        <v>1684</v>
      </c>
      <c r="D3766" s="28" t="s">
        <v>45</v>
      </c>
      <c r="E3766" s="28" t="s">
        <v>2255</v>
      </c>
      <c r="F3766" s="28" t="s">
        <v>21</v>
      </c>
      <c r="G3766" s="28" t="s">
        <v>39</v>
      </c>
      <c r="H3766" s="28" t="s">
        <v>16221</v>
      </c>
      <c r="I3766" s="28" t="s">
        <v>20120</v>
      </c>
      <c r="J3766" s="28" t="s">
        <v>39</v>
      </c>
      <c r="K3766" s="28" t="s">
        <v>16223</v>
      </c>
      <c r="L3766" s="28" t="s">
        <v>16224</v>
      </c>
      <c r="M3766" s="28" t="s">
        <v>20121</v>
      </c>
      <c r="N3766" s="28" t="s">
        <v>16226</v>
      </c>
      <c r="O3766" s="28" t="s">
        <v>16227</v>
      </c>
      <c r="P3766" s="28" t="s">
        <v>17789</v>
      </c>
    </row>
    <row r="3767" spans="1:16" x14ac:dyDescent="0.25">
      <c r="A3767" s="28" t="s">
        <v>20122</v>
      </c>
      <c r="B3767" s="28" t="s">
        <v>20123</v>
      </c>
      <c r="C3767" s="28" t="s">
        <v>1684</v>
      </c>
      <c r="D3767" s="28" t="s">
        <v>45</v>
      </c>
      <c r="E3767" s="28" t="s">
        <v>10710</v>
      </c>
      <c r="F3767" s="28" t="s">
        <v>21</v>
      </c>
      <c r="G3767" s="28" t="s">
        <v>39</v>
      </c>
      <c r="H3767" s="28" t="s">
        <v>16221</v>
      </c>
      <c r="I3767" s="28" t="s">
        <v>20124</v>
      </c>
      <c r="J3767" s="28" t="s">
        <v>39</v>
      </c>
      <c r="K3767" s="28" t="s">
        <v>16223</v>
      </c>
      <c r="L3767" s="28" t="s">
        <v>16224</v>
      </c>
      <c r="M3767" s="28" t="s">
        <v>20125</v>
      </c>
      <c r="N3767" s="28" t="s">
        <v>16226</v>
      </c>
      <c r="O3767" s="28" t="s">
        <v>16227</v>
      </c>
      <c r="P3767" s="28" t="s">
        <v>17794</v>
      </c>
    </row>
    <row r="3768" spans="1:16" x14ac:dyDescent="0.25">
      <c r="A3768" s="28" t="s">
        <v>20126</v>
      </c>
      <c r="B3768" s="28" t="s">
        <v>20127</v>
      </c>
      <c r="C3768" s="28" t="s">
        <v>1684</v>
      </c>
      <c r="D3768" s="28" t="s">
        <v>45</v>
      </c>
      <c r="E3768" s="28" t="s">
        <v>10710</v>
      </c>
      <c r="F3768" s="28" t="s">
        <v>21</v>
      </c>
      <c r="G3768" s="28" t="s">
        <v>39</v>
      </c>
      <c r="H3768" s="28" t="s">
        <v>16221</v>
      </c>
      <c r="I3768" s="28" t="s">
        <v>20128</v>
      </c>
      <c r="J3768" s="28" t="s">
        <v>39</v>
      </c>
      <c r="K3768" s="28" t="s">
        <v>16223</v>
      </c>
      <c r="L3768" s="28" t="s">
        <v>16224</v>
      </c>
      <c r="M3768" s="28" t="s">
        <v>20129</v>
      </c>
      <c r="N3768" s="28" t="s">
        <v>16226</v>
      </c>
      <c r="O3768" s="28" t="s">
        <v>16227</v>
      </c>
      <c r="P3768" s="28" t="s">
        <v>17794</v>
      </c>
    </row>
    <row r="3769" spans="1:16" x14ac:dyDescent="0.25">
      <c r="A3769" s="28" t="s">
        <v>20130</v>
      </c>
      <c r="B3769" s="28" t="s">
        <v>20131</v>
      </c>
      <c r="C3769" s="28" t="s">
        <v>1684</v>
      </c>
      <c r="D3769" s="28" t="s">
        <v>45</v>
      </c>
      <c r="E3769" s="28" t="s">
        <v>17803</v>
      </c>
      <c r="F3769" s="28" t="s">
        <v>21</v>
      </c>
      <c r="G3769" s="28" t="s">
        <v>39</v>
      </c>
      <c r="H3769" s="28" t="s">
        <v>16221</v>
      </c>
      <c r="I3769" s="28" t="s">
        <v>20132</v>
      </c>
      <c r="J3769" s="28" t="s">
        <v>39</v>
      </c>
      <c r="K3769" s="28" t="s">
        <v>16223</v>
      </c>
      <c r="L3769" s="28" t="s">
        <v>16224</v>
      </c>
      <c r="M3769" s="28" t="s">
        <v>20133</v>
      </c>
      <c r="N3769" s="28" t="s">
        <v>16226</v>
      </c>
      <c r="O3769" s="28" t="s">
        <v>16227</v>
      </c>
      <c r="P3769" s="28" t="s">
        <v>17806</v>
      </c>
    </row>
    <row r="3770" spans="1:16" x14ac:dyDescent="0.25">
      <c r="A3770" s="28" t="s">
        <v>20134</v>
      </c>
      <c r="B3770" s="28" t="s">
        <v>20135</v>
      </c>
      <c r="C3770" s="28" t="s">
        <v>1684</v>
      </c>
      <c r="D3770" s="28" t="s">
        <v>45</v>
      </c>
      <c r="E3770" s="28" t="s">
        <v>20136</v>
      </c>
      <c r="F3770" s="28" t="s">
        <v>21</v>
      </c>
      <c r="G3770" s="28" t="s">
        <v>39</v>
      </c>
      <c r="H3770" s="28" t="s">
        <v>16221</v>
      </c>
      <c r="I3770" s="28" t="s">
        <v>20137</v>
      </c>
      <c r="J3770" s="28" t="s">
        <v>39</v>
      </c>
      <c r="K3770" s="28" t="s">
        <v>16223</v>
      </c>
      <c r="L3770" s="28" t="s">
        <v>16224</v>
      </c>
      <c r="M3770" s="28" t="s">
        <v>20138</v>
      </c>
      <c r="N3770" s="28" t="s">
        <v>16226</v>
      </c>
      <c r="O3770" s="28" t="s">
        <v>16227</v>
      </c>
      <c r="P3770" s="28" t="s">
        <v>20139</v>
      </c>
    </row>
    <row r="3771" spans="1:16" x14ac:dyDescent="0.25">
      <c r="A3771" s="28" t="s">
        <v>20140</v>
      </c>
      <c r="B3771" s="28" t="s">
        <v>20141</v>
      </c>
      <c r="C3771" s="28" t="s">
        <v>1684</v>
      </c>
      <c r="D3771" s="28" t="s">
        <v>45</v>
      </c>
      <c r="E3771" s="28" t="s">
        <v>17809</v>
      </c>
      <c r="F3771" s="28" t="s">
        <v>21</v>
      </c>
      <c r="G3771" s="28" t="s">
        <v>39</v>
      </c>
      <c r="H3771" s="28" t="s">
        <v>16221</v>
      </c>
      <c r="I3771" s="28" t="s">
        <v>20142</v>
      </c>
      <c r="J3771" s="28" t="s">
        <v>39</v>
      </c>
      <c r="K3771" s="28" t="s">
        <v>16223</v>
      </c>
      <c r="L3771" s="28" t="s">
        <v>16224</v>
      </c>
      <c r="M3771" s="28" t="s">
        <v>20143</v>
      </c>
      <c r="N3771" s="28" t="s">
        <v>16226</v>
      </c>
      <c r="O3771" s="28" t="s">
        <v>16227</v>
      </c>
      <c r="P3771" s="28" t="s">
        <v>17812</v>
      </c>
    </row>
    <row r="3772" spans="1:16" x14ac:dyDescent="0.25">
      <c r="A3772" s="28" t="s">
        <v>20144</v>
      </c>
      <c r="B3772" s="28" t="s">
        <v>20145</v>
      </c>
      <c r="C3772" s="28" t="s">
        <v>1684</v>
      </c>
      <c r="D3772" s="28" t="s">
        <v>45</v>
      </c>
      <c r="E3772" s="28" t="s">
        <v>20146</v>
      </c>
      <c r="F3772" s="28" t="s">
        <v>21</v>
      </c>
      <c r="G3772" s="28" t="s">
        <v>39</v>
      </c>
      <c r="H3772" s="28" t="s">
        <v>16221</v>
      </c>
      <c r="I3772" s="28" t="s">
        <v>20147</v>
      </c>
      <c r="J3772" s="28" t="s">
        <v>39</v>
      </c>
      <c r="K3772" s="28" t="s">
        <v>16223</v>
      </c>
      <c r="L3772" s="28" t="s">
        <v>16224</v>
      </c>
      <c r="M3772" s="28" t="s">
        <v>20148</v>
      </c>
      <c r="N3772" s="28" t="s">
        <v>16226</v>
      </c>
      <c r="O3772" s="28" t="s">
        <v>16227</v>
      </c>
      <c r="P3772" s="28" t="s">
        <v>20149</v>
      </c>
    </row>
    <row r="3773" spans="1:16" x14ac:dyDescent="0.25">
      <c r="A3773" s="28" t="s">
        <v>20150</v>
      </c>
      <c r="B3773" s="28" t="s">
        <v>20151</v>
      </c>
      <c r="C3773" s="28" t="s">
        <v>1684</v>
      </c>
      <c r="D3773" s="28" t="s">
        <v>45</v>
      </c>
      <c r="E3773" s="28" t="s">
        <v>17815</v>
      </c>
      <c r="F3773" s="28" t="s">
        <v>21</v>
      </c>
      <c r="G3773" s="28" t="s">
        <v>39</v>
      </c>
      <c r="H3773" s="28" t="s">
        <v>16221</v>
      </c>
      <c r="I3773" s="28" t="s">
        <v>20152</v>
      </c>
      <c r="J3773" s="28" t="s">
        <v>39</v>
      </c>
      <c r="K3773" s="28" t="s">
        <v>16223</v>
      </c>
      <c r="L3773" s="28" t="s">
        <v>16224</v>
      </c>
      <c r="M3773" s="28" t="s">
        <v>20153</v>
      </c>
      <c r="N3773" s="28" t="s">
        <v>16226</v>
      </c>
      <c r="O3773" s="28" t="s">
        <v>16227</v>
      </c>
      <c r="P3773" s="28" t="s">
        <v>17818</v>
      </c>
    </row>
    <row r="3774" spans="1:16" x14ac:dyDescent="0.25">
      <c r="A3774" s="28" t="s">
        <v>20154</v>
      </c>
      <c r="B3774" s="28" t="s">
        <v>20155</v>
      </c>
      <c r="C3774" s="28" t="s">
        <v>1684</v>
      </c>
      <c r="D3774" s="28" t="s">
        <v>1586</v>
      </c>
      <c r="E3774" s="28" t="s">
        <v>17821</v>
      </c>
      <c r="F3774" s="28" t="s">
        <v>21</v>
      </c>
      <c r="G3774" s="28" t="s">
        <v>39</v>
      </c>
      <c r="H3774" s="28" t="s">
        <v>16221</v>
      </c>
      <c r="I3774" s="28" t="s">
        <v>20156</v>
      </c>
      <c r="J3774" s="28" t="s">
        <v>39</v>
      </c>
      <c r="K3774" s="28" t="s">
        <v>16223</v>
      </c>
      <c r="L3774" s="28" t="s">
        <v>16224</v>
      </c>
      <c r="M3774" s="28" t="s">
        <v>20157</v>
      </c>
      <c r="N3774" s="28" t="s">
        <v>16226</v>
      </c>
      <c r="O3774" s="28" t="s">
        <v>16227</v>
      </c>
      <c r="P3774" s="28" t="s">
        <v>17824</v>
      </c>
    </row>
    <row r="3775" spans="1:16" x14ac:dyDescent="0.25">
      <c r="A3775" s="28" t="s">
        <v>20158</v>
      </c>
      <c r="B3775" s="28" t="s">
        <v>20159</v>
      </c>
      <c r="C3775" s="28" t="s">
        <v>1684</v>
      </c>
      <c r="D3775" s="28" t="s">
        <v>1586</v>
      </c>
      <c r="E3775" s="28" t="s">
        <v>17821</v>
      </c>
      <c r="F3775" s="28" t="s">
        <v>21</v>
      </c>
      <c r="G3775" s="28" t="s">
        <v>39</v>
      </c>
      <c r="H3775" s="28" t="s">
        <v>16221</v>
      </c>
      <c r="I3775" s="28" t="s">
        <v>20160</v>
      </c>
      <c r="J3775" s="28" t="s">
        <v>39</v>
      </c>
      <c r="K3775" s="28" t="s">
        <v>16223</v>
      </c>
      <c r="L3775" s="28" t="s">
        <v>16224</v>
      </c>
      <c r="M3775" s="28" t="s">
        <v>20161</v>
      </c>
      <c r="N3775" s="28" t="s">
        <v>16226</v>
      </c>
      <c r="O3775" s="28" t="s">
        <v>16227</v>
      </c>
      <c r="P3775" s="28" t="s">
        <v>17824</v>
      </c>
    </row>
    <row r="3776" spans="1:16" x14ac:dyDescent="0.25">
      <c r="A3776" s="28" t="s">
        <v>20162</v>
      </c>
      <c r="B3776" s="28" t="s">
        <v>20163</v>
      </c>
      <c r="C3776" s="28" t="s">
        <v>1684</v>
      </c>
      <c r="D3776" s="28" t="s">
        <v>2287</v>
      </c>
      <c r="E3776" s="28" t="s">
        <v>2308</v>
      </c>
      <c r="F3776" s="28" t="s">
        <v>21</v>
      </c>
      <c r="G3776" s="28" t="s">
        <v>39</v>
      </c>
      <c r="H3776" s="28" t="s">
        <v>16221</v>
      </c>
      <c r="I3776" s="28" t="s">
        <v>20164</v>
      </c>
      <c r="J3776" s="28" t="s">
        <v>39</v>
      </c>
      <c r="K3776" s="28" t="s">
        <v>16223</v>
      </c>
      <c r="L3776" s="28" t="s">
        <v>16224</v>
      </c>
      <c r="M3776" s="28" t="s">
        <v>20165</v>
      </c>
      <c r="N3776" s="28" t="s">
        <v>16226</v>
      </c>
      <c r="O3776" s="28" t="s">
        <v>16227</v>
      </c>
      <c r="P3776" s="28" t="s">
        <v>17919</v>
      </c>
    </row>
    <row r="3777" spans="1:16" x14ac:dyDescent="0.25">
      <c r="A3777" s="28" t="s">
        <v>20166</v>
      </c>
      <c r="B3777" s="28" t="s">
        <v>20167</v>
      </c>
      <c r="C3777" s="28" t="s">
        <v>1684</v>
      </c>
      <c r="D3777" s="28" t="s">
        <v>2347</v>
      </c>
      <c r="E3777" s="28" t="s">
        <v>20168</v>
      </c>
      <c r="F3777" s="28" t="s">
        <v>21</v>
      </c>
      <c r="G3777" s="28" t="s">
        <v>39</v>
      </c>
      <c r="H3777" s="28" t="s">
        <v>16221</v>
      </c>
      <c r="I3777" s="28" t="s">
        <v>20169</v>
      </c>
      <c r="J3777" s="28" t="s">
        <v>39</v>
      </c>
      <c r="K3777" s="28" t="s">
        <v>16223</v>
      </c>
      <c r="L3777" s="28" t="s">
        <v>16224</v>
      </c>
      <c r="M3777" s="28" t="s">
        <v>20170</v>
      </c>
      <c r="N3777" s="28" t="s">
        <v>16226</v>
      </c>
      <c r="O3777" s="28" t="s">
        <v>16227</v>
      </c>
      <c r="P3777" s="28" t="s">
        <v>20171</v>
      </c>
    </row>
    <row r="3778" spans="1:16" x14ac:dyDescent="0.25">
      <c r="A3778" s="28" t="s">
        <v>20172</v>
      </c>
      <c r="B3778" s="28" t="s">
        <v>20173</v>
      </c>
      <c r="C3778" s="28" t="s">
        <v>1684</v>
      </c>
      <c r="D3778" s="28" t="s">
        <v>2347</v>
      </c>
      <c r="E3778" s="28" t="s">
        <v>20174</v>
      </c>
      <c r="F3778" s="28" t="s">
        <v>21</v>
      </c>
      <c r="G3778" s="28" t="s">
        <v>39</v>
      </c>
      <c r="H3778" s="28" t="s">
        <v>16221</v>
      </c>
      <c r="I3778" s="28" t="s">
        <v>20175</v>
      </c>
      <c r="J3778" s="28" t="s">
        <v>39</v>
      </c>
      <c r="K3778" s="28" t="s">
        <v>16223</v>
      </c>
      <c r="L3778" s="28" t="s">
        <v>16224</v>
      </c>
      <c r="M3778" s="28" t="s">
        <v>20176</v>
      </c>
      <c r="N3778" s="28" t="s">
        <v>16226</v>
      </c>
      <c r="O3778" s="28" t="s">
        <v>16227</v>
      </c>
      <c r="P3778" s="28" t="s">
        <v>20177</v>
      </c>
    </row>
    <row r="3779" spans="1:16" x14ac:dyDescent="0.25">
      <c r="A3779" s="28" t="s">
        <v>20178</v>
      </c>
      <c r="B3779" s="28" t="s">
        <v>20179</v>
      </c>
      <c r="C3779" s="28" t="s">
        <v>1684</v>
      </c>
      <c r="D3779" s="28" t="s">
        <v>2347</v>
      </c>
      <c r="E3779" s="28" t="s">
        <v>20180</v>
      </c>
      <c r="F3779" s="28" t="s">
        <v>21</v>
      </c>
      <c r="G3779" s="28" t="s">
        <v>39</v>
      </c>
      <c r="H3779" s="28" t="s">
        <v>16221</v>
      </c>
      <c r="I3779" s="28" t="s">
        <v>20181</v>
      </c>
      <c r="J3779" s="28" t="s">
        <v>39</v>
      </c>
      <c r="K3779" s="28" t="s">
        <v>16223</v>
      </c>
      <c r="L3779" s="28" t="s">
        <v>16224</v>
      </c>
      <c r="M3779" s="28" t="s">
        <v>20182</v>
      </c>
      <c r="N3779" s="28" t="s">
        <v>16226</v>
      </c>
      <c r="O3779" s="28" t="s">
        <v>16227</v>
      </c>
      <c r="P3779" s="28" t="s">
        <v>20183</v>
      </c>
    </row>
    <row r="3780" spans="1:16" x14ac:dyDescent="0.25">
      <c r="A3780" s="28" t="s">
        <v>20184</v>
      </c>
      <c r="B3780" s="28" t="s">
        <v>20185</v>
      </c>
      <c r="C3780" s="28" t="s">
        <v>1684</v>
      </c>
      <c r="D3780" s="28" t="s">
        <v>2347</v>
      </c>
      <c r="E3780" s="28" t="s">
        <v>11832</v>
      </c>
      <c r="F3780" s="28" t="s">
        <v>21</v>
      </c>
      <c r="G3780" s="28" t="s">
        <v>39</v>
      </c>
      <c r="H3780" s="28" t="s">
        <v>16221</v>
      </c>
      <c r="I3780" s="28" t="s">
        <v>20186</v>
      </c>
      <c r="J3780" s="28" t="s">
        <v>39</v>
      </c>
      <c r="K3780" s="28" t="s">
        <v>16223</v>
      </c>
      <c r="L3780" s="28" t="s">
        <v>16224</v>
      </c>
      <c r="M3780" s="28" t="s">
        <v>20187</v>
      </c>
      <c r="N3780" s="28" t="s">
        <v>16226</v>
      </c>
      <c r="O3780" s="28" t="s">
        <v>16227</v>
      </c>
      <c r="P3780" s="28" t="s">
        <v>17924</v>
      </c>
    </row>
    <row r="3781" spans="1:16" x14ac:dyDescent="0.25">
      <c r="A3781" s="28" t="s">
        <v>20188</v>
      </c>
      <c r="B3781" s="28" t="s">
        <v>20189</v>
      </c>
      <c r="C3781" s="28" t="s">
        <v>1684</v>
      </c>
      <c r="D3781" s="28" t="s">
        <v>2347</v>
      </c>
      <c r="E3781" s="28" t="s">
        <v>11842</v>
      </c>
      <c r="F3781" s="28" t="s">
        <v>21</v>
      </c>
      <c r="G3781" s="28" t="s">
        <v>39</v>
      </c>
      <c r="H3781" s="28" t="s">
        <v>16221</v>
      </c>
      <c r="I3781" s="28" t="s">
        <v>20190</v>
      </c>
      <c r="J3781" s="28" t="s">
        <v>39</v>
      </c>
      <c r="K3781" s="28" t="s">
        <v>16223</v>
      </c>
      <c r="L3781" s="28" t="s">
        <v>16224</v>
      </c>
      <c r="M3781" s="28" t="s">
        <v>20191</v>
      </c>
      <c r="N3781" s="28" t="s">
        <v>16226</v>
      </c>
      <c r="O3781" s="28" t="s">
        <v>16227</v>
      </c>
      <c r="P3781" s="28" t="s">
        <v>17929</v>
      </c>
    </row>
    <row r="3782" spans="1:16" x14ac:dyDescent="0.25">
      <c r="A3782" s="28" t="s">
        <v>20192</v>
      </c>
      <c r="B3782" s="28" t="s">
        <v>20193</v>
      </c>
      <c r="C3782" s="28" t="s">
        <v>1684</v>
      </c>
      <c r="D3782" s="28" t="s">
        <v>2347</v>
      </c>
      <c r="E3782" s="28" t="s">
        <v>11852</v>
      </c>
      <c r="F3782" s="28" t="s">
        <v>21</v>
      </c>
      <c r="G3782" s="28" t="s">
        <v>39</v>
      </c>
      <c r="H3782" s="28" t="s">
        <v>16221</v>
      </c>
      <c r="I3782" s="28" t="s">
        <v>20194</v>
      </c>
      <c r="J3782" s="28" t="s">
        <v>39</v>
      </c>
      <c r="K3782" s="28" t="s">
        <v>16223</v>
      </c>
      <c r="L3782" s="28" t="s">
        <v>16224</v>
      </c>
      <c r="M3782" s="28" t="s">
        <v>20195</v>
      </c>
      <c r="N3782" s="28" t="s">
        <v>16226</v>
      </c>
      <c r="O3782" s="28" t="s">
        <v>16227</v>
      </c>
      <c r="P3782" s="28" t="s">
        <v>17934</v>
      </c>
    </row>
    <row r="3783" spans="1:16" x14ac:dyDescent="0.25">
      <c r="A3783" s="28" t="s">
        <v>20196</v>
      </c>
      <c r="B3783" s="28" t="s">
        <v>20197</v>
      </c>
      <c r="C3783" s="28" t="s">
        <v>1684</v>
      </c>
      <c r="D3783" s="28" t="s">
        <v>2347</v>
      </c>
      <c r="E3783" s="28" t="s">
        <v>11862</v>
      </c>
      <c r="F3783" s="28" t="s">
        <v>21</v>
      </c>
      <c r="G3783" s="28" t="s">
        <v>39</v>
      </c>
      <c r="H3783" s="28" t="s">
        <v>16221</v>
      </c>
      <c r="I3783" s="28" t="s">
        <v>20198</v>
      </c>
      <c r="J3783" s="28" t="s">
        <v>39</v>
      </c>
      <c r="K3783" s="28" t="s">
        <v>16223</v>
      </c>
      <c r="L3783" s="28" t="s">
        <v>16224</v>
      </c>
      <c r="M3783" s="28" t="s">
        <v>20199</v>
      </c>
      <c r="N3783" s="28" t="s">
        <v>16226</v>
      </c>
      <c r="O3783" s="28" t="s">
        <v>16227</v>
      </c>
      <c r="P3783" s="28" t="s">
        <v>17939</v>
      </c>
    </row>
    <row r="3784" spans="1:16" x14ac:dyDescent="0.25">
      <c r="A3784" s="28" t="s">
        <v>20200</v>
      </c>
      <c r="B3784" s="28" t="s">
        <v>20201</v>
      </c>
      <c r="C3784" s="28" t="s">
        <v>1684</v>
      </c>
      <c r="D3784" s="28" t="s">
        <v>2347</v>
      </c>
      <c r="E3784" s="28" t="s">
        <v>11872</v>
      </c>
      <c r="F3784" s="28" t="s">
        <v>21</v>
      </c>
      <c r="G3784" s="28" t="s">
        <v>39</v>
      </c>
      <c r="H3784" s="28" t="s">
        <v>16221</v>
      </c>
      <c r="I3784" s="28" t="s">
        <v>20202</v>
      </c>
      <c r="J3784" s="28" t="s">
        <v>39</v>
      </c>
      <c r="K3784" s="28" t="s">
        <v>16223</v>
      </c>
      <c r="L3784" s="28" t="s">
        <v>16224</v>
      </c>
      <c r="M3784" s="28" t="s">
        <v>20203</v>
      </c>
      <c r="N3784" s="28" t="s">
        <v>16226</v>
      </c>
      <c r="O3784" s="28" t="s">
        <v>16227</v>
      </c>
      <c r="P3784" s="28" t="s">
        <v>17944</v>
      </c>
    </row>
    <row r="3785" spans="1:16" x14ac:dyDescent="0.25">
      <c r="A3785" s="28" t="s">
        <v>20204</v>
      </c>
      <c r="B3785" s="28" t="s">
        <v>20205</v>
      </c>
      <c r="C3785" s="28" t="s">
        <v>1684</v>
      </c>
      <c r="D3785" s="28" t="s">
        <v>2347</v>
      </c>
      <c r="E3785" s="28" t="s">
        <v>11882</v>
      </c>
      <c r="F3785" s="28" t="s">
        <v>21</v>
      </c>
      <c r="G3785" s="28" t="s">
        <v>39</v>
      </c>
      <c r="H3785" s="28" t="s">
        <v>16221</v>
      </c>
      <c r="I3785" s="28" t="s">
        <v>20206</v>
      </c>
      <c r="J3785" s="28" t="s">
        <v>39</v>
      </c>
      <c r="K3785" s="28" t="s">
        <v>16223</v>
      </c>
      <c r="L3785" s="28" t="s">
        <v>16224</v>
      </c>
      <c r="M3785" s="28" t="s">
        <v>20207</v>
      </c>
      <c r="N3785" s="28" t="s">
        <v>16226</v>
      </c>
      <c r="O3785" s="28" t="s">
        <v>16227</v>
      </c>
      <c r="P3785" s="28" t="s">
        <v>17949</v>
      </c>
    </row>
    <row r="3786" spans="1:16" x14ac:dyDescent="0.25">
      <c r="A3786" s="28" t="s">
        <v>20208</v>
      </c>
      <c r="B3786" s="28" t="s">
        <v>20209</v>
      </c>
      <c r="C3786" s="28" t="s">
        <v>1684</v>
      </c>
      <c r="D3786" s="28" t="s">
        <v>2347</v>
      </c>
      <c r="E3786" s="28" t="s">
        <v>11978</v>
      </c>
      <c r="F3786" s="28" t="s">
        <v>21</v>
      </c>
      <c r="G3786" s="28" t="s">
        <v>39</v>
      </c>
      <c r="H3786" s="28" t="s">
        <v>16221</v>
      </c>
      <c r="I3786" s="28" t="s">
        <v>20210</v>
      </c>
      <c r="J3786" s="28" t="s">
        <v>39</v>
      </c>
      <c r="K3786" s="28" t="s">
        <v>16223</v>
      </c>
      <c r="L3786" s="28" t="s">
        <v>16224</v>
      </c>
      <c r="M3786" s="28" t="s">
        <v>20211</v>
      </c>
      <c r="N3786" s="28" t="s">
        <v>16226</v>
      </c>
      <c r="O3786" s="28" t="s">
        <v>16227</v>
      </c>
      <c r="P3786" s="28" t="s">
        <v>17990</v>
      </c>
    </row>
    <row r="3787" spans="1:16" x14ac:dyDescent="0.25">
      <c r="A3787" s="28" t="s">
        <v>20212</v>
      </c>
      <c r="B3787" s="28" t="s">
        <v>20213</v>
      </c>
      <c r="C3787" s="28" t="s">
        <v>1684</v>
      </c>
      <c r="D3787" s="28" t="s">
        <v>2347</v>
      </c>
      <c r="E3787" s="28" t="s">
        <v>11988</v>
      </c>
      <c r="F3787" s="28" t="s">
        <v>21</v>
      </c>
      <c r="G3787" s="28" t="s">
        <v>39</v>
      </c>
      <c r="H3787" s="28" t="s">
        <v>16221</v>
      </c>
      <c r="I3787" s="28" t="s">
        <v>20214</v>
      </c>
      <c r="J3787" s="28" t="s">
        <v>39</v>
      </c>
      <c r="K3787" s="28" t="s">
        <v>16223</v>
      </c>
      <c r="L3787" s="28" t="s">
        <v>16224</v>
      </c>
      <c r="M3787" s="28" t="s">
        <v>20215</v>
      </c>
      <c r="N3787" s="28" t="s">
        <v>16226</v>
      </c>
      <c r="O3787" s="28" t="s">
        <v>16227</v>
      </c>
      <c r="P3787" s="28" t="s">
        <v>17995</v>
      </c>
    </row>
    <row r="3788" spans="1:16" x14ac:dyDescent="0.25">
      <c r="A3788" s="28" t="s">
        <v>20216</v>
      </c>
      <c r="B3788" s="28" t="s">
        <v>20217</v>
      </c>
      <c r="C3788" s="28" t="s">
        <v>1684</v>
      </c>
      <c r="D3788" s="28" t="s">
        <v>62</v>
      </c>
      <c r="E3788" s="28" t="s">
        <v>2363</v>
      </c>
      <c r="F3788" s="28" t="s">
        <v>21</v>
      </c>
      <c r="G3788" s="28" t="s">
        <v>39</v>
      </c>
      <c r="H3788" s="28" t="s">
        <v>16221</v>
      </c>
      <c r="I3788" s="28" t="s">
        <v>20218</v>
      </c>
      <c r="J3788" s="28" t="s">
        <v>39</v>
      </c>
      <c r="K3788" s="28" t="s">
        <v>16223</v>
      </c>
      <c r="L3788" s="28" t="s">
        <v>16224</v>
      </c>
      <c r="M3788" s="28" t="s">
        <v>20219</v>
      </c>
      <c r="N3788" s="28" t="s">
        <v>16226</v>
      </c>
      <c r="O3788" s="28" t="s">
        <v>16227</v>
      </c>
      <c r="P3788" s="28" t="s">
        <v>18000</v>
      </c>
    </row>
    <row r="3789" spans="1:16" x14ac:dyDescent="0.25">
      <c r="A3789" s="28" t="s">
        <v>20220</v>
      </c>
      <c r="B3789" s="28" t="s">
        <v>20221</v>
      </c>
      <c r="C3789" s="28" t="s">
        <v>1684</v>
      </c>
      <c r="D3789" s="28" t="s">
        <v>62</v>
      </c>
      <c r="E3789" s="28" t="s">
        <v>2363</v>
      </c>
      <c r="F3789" s="28" t="s">
        <v>21</v>
      </c>
      <c r="G3789" s="28" t="s">
        <v>149</v>
      </c>
      <c r="H3789" s="28" t="s">
        <v>16221</v>
      </c>
      <c r="I3789" s="28" t="s">
        <v>20222</v>
      </c>
      <c r="J3789" s="28" t="s">
        <v>149</v>
      </c>
      <c r="K3789" s="28" t="s">
        <v>17201</v>
      </c>
      <c r="L3789" s="28" t="s">
        <v>16224</v>
      </c>
      <c r="M3789" s="28" t="s">
        <v>20223</v>
      </c>
      <c r="N3789" s="28" t="s">
        <v>16226</v>
      </c>
      <c r="O3789" s="28" t="s">
        <v>16227</v>
      </c>
      <c r="P3789" s="28" t="s">
        <v>18000</v>
      </c>
    </row>
    <row r="3790" spans="1:16" x14ac:dyDescent="0.25">
      <c r="A3790" s="28" t="s">
        <v>20224</v>
      </c>
      <c r="B3790" s="28" t="s">
        <v>20225</v>
      </c>
      <c r="C3790" s="28" t="s">
        <v>1684</v>
      </c>
      <c r="D3790" s="28" t="s">
        <v>62</v>
      </c>
      <c r="E3790" s="28" t="s">
        <v>2363</v>
      </c>
      <c r="F3790" s="28" t="s">
        <v>21</v>
      </c>
      <c r="G3790" s="28" t="s">
        <v>39</v>
      </c>
      <c r="H3790" s="28" t="s">
        <v>16221</v>
      </c>
      <c r="I3790" s="28" t="s">
        <v>20226</v>
      </c>
      <c r="J3790" s="28" t="s">
        <v>39</v>
      </c>
      <c r="K3790" s="28" t="s">
        <v>16223</v>
      </c>
      <c r="L3790" s="28" t="s">
        <v>16224</v>
      </c>
      <c r="M3790" s="28" t="s">
        <v>20227</v>
      </c>
      <c r="N3790" s="28" t="s">
        <v>16226</v>
      </c>
      <c r="O3790" s="28" t="s">
        <v>16227</v>
      </c>
      <c r="P3790" s="28" t="s">
        <v>18000</v>
      </c>
    </row>
    <row r="3791" spans="1:16" x14ac:dyDescent="0.25">
      <c r="A3791" s="28" t="s">
        <v>20228</v>
      </c>
      <c r="B3791" s="28" t="s">
        <v>20229</v>
      </c>
      <c r="C3791" s="28" t="s">
        <v>1684</v>
      </c>
      <c r="D3791" s="28" t="s">
        <v>62</v>
      </c>
      <c r="E3791" s="28" t="s">
        <v>2363</v>
      </c>
      <c r="F3791" s="28" t="s">
        <v>21</v>
      </c>
      <c r="G3791" s="28" t="s">
        <v>39</v>
      </c>
      <c r="H3791" s="28" t="s">
        <v>16221</v>
      </c>
      <c r="I3791" s="28" t="s">
        <v>20230</v>
      </c>
      <c r="J3791" s="28" t="s">
        <v>39</v>
      </c>
      <c r="K3791" s="28" t="s">
        <v>16223</v>
      </c>
      <c r="L3791" s="28" t="s">
        <v>16224</v>
      </c>
      <c r="M3791" s="28" t="s">
        <v>20231</v>
      </c>
      <c r="N3791" s="28" t="s">
        <v>16226</v>
      </c>
      <c r="O3791" s="28" t="s">
        <v>16227</v>
      </c>
      <c r="P3791" s="28" t="s">
        <v>18000</v>
      </c>
    </row>
    <row r="3792" spans="1:16" x14ac:dyDescent="0.25">
      <c r="A3792" s="28" t="s">
        <v>20232</v>
      </c>
      <c r="B3792" s="28" t="s">
        <v>20233</v>
      </c>
      <c r="C3792" s="28" t="s">
        <v>1684</v>
      </c>
      <c r="D3792" s="28" t="s">
        <v>62</v>
      </c>
      <c r="E3792" s="28" t="s">
        <v>2363</v>
      </c>
      <c r="F3792" s="28" t="s">
        <v>21</v>
      </c>
      <c r="G3792" s="28" t="s">
        <v>39</v>
      </c>
      <c r="H3792" s="28" t="s">
        <v>16221</v>
      </c>
      <c r="I3792" s="28" t="s">
        <v>20234</v>
      </c>
      <c r="J3792" s="28" t="s">
        <v>39</v>
      </c>
      <c r="K3792" s="28" t="s">
        <v>16223</v>
      </c>
      <c r="L3792" s="28" t="s">
        <v>16224</v>
      </c>
      <c r="M3792" s="28" t="s">
        <v>20235</v>
      </c>
      <c r="N3792" s="28" t="s">
        <v>16226</v>
      </c>
      <c r="O3792" s="28" t="s">
        <v>16227</v>
      </c>
      <c r="P3792" s="28" t="s">
        <v>18000</v>
      </c>
    </row>
    <row r="3793" spans="1:16" x14ac:dyDescent="0.25">
      <c r="A3793" s="28" t="s">
        <v>20236</v>
      </c>
      <c r="B3793" s="28" t="s">
        <v>20237</v>
      </c>
      <c r="C3793" s="28" t="s">
        <v>1684</v>
      </c>
      <c r="D3793" s="28" t="s">
        <v>62</v>
      </c>
      <c r="E3793" s="28" t="s">
        <v>20238</v>
      </c>
      <c r="F3793" s="28" t="s">
        <v>21</v>
      </c>
      <c r="G3793" s="28" t="s">
        <v>39</v>
      </c>
      <c r="H3793" s="28" t="s">
        <v>16221</v>
      </c>
      <c r="I3793" s="28" t="s">
        <v>20239</v>
      </c>
      <c r="J3793" s="28" t="s">
        <v>39</v>
      </c>
      <c r="K3793" s="28" t="s">
        <v>16223</v>
      </c>
      <c r="L3793" s="28" t="s">
        <v>16224</v>
      </c>
      <c r="M3793" s="28" t="s">
        <v>20240</v>
      </c>
      <c r="N3793" s="28" t="s">
        <v>16226</v>
      </c>
      <c r="O3793" s="28" t="s">
        <v>16227</v>
      </c>
      <c r="P3793" s="28" t="s">
        <v>20241</v>
      </c>
    </row>
    <row r="3794" spans="1:16" x14ac:dyDescent="0.25">
      <c r="A3794" s="28" t="s">
        <v>20242</v>
      </c>
      <c r="B3794" s="28" t="s">
        <v>20243</v>
      </c>
      <c r="C3794" s="28" t="s">
        <v>1684</v>
      </c>
      <c r="D3794" s="28" t="s">
        <v>62</v>
      </c>
      <c r="E3794" s="28" t="s">
        <v>20244</v>
      </c>
      <c r="F3794" s="28" t="s">
        <v>21</v>
      </c>
      <c r="G3794" s="28" t="s">
        <v>39</v>
      </c>
      <c r="H3794" s="28" t="s">
        <v>16221</v>
      </c>
      <c r="I3794" s="28" t="s">
        <v>20245</v>
      </c>
      <c r="J3794" s="28" t="s">
        <v>39</v>
      </c>
      <c r="K3794" s="28" t="s">
        <v>16223</v>
      </c>
      <c r="L3794" s="28" t="s">
        <v>16224</v>
      </c>
      <c r="M3794" s="28" t="s">
        <v>20246</v>
      </c>
      <c r="N3794" s="28" t="s">
        <v>16226</v>
      </c>
      <c r="O3794" s="28" t="s">
        <v>16227</v>
      </c>
      <c r="P3794" s="28" t="s">
        <v>20247</v>
      </c>
    </row>
    <row r="3795" spans="1:16" x14ac:dyDescent="0.25">
      <c r="A3795" s="28" t="s">
        <v>20248</v>
      </c>
      <c r="B3795" s="28" t="s">
        <v>20249</v>
      </c>
      <c r="C3795" s="28" t="s">
        <v>1684</v>
      </c>
      <c r="D3795" s="28" t="s">
        <v>1204</v>
      </c>
      <c r="E3795" s="28" t="s">
        <v>20250</v>
      </c>
      <c r="F3795" s="28" t="s">
        <v>21</v>
      </c>
      <c r="G3795" s="28" t="s">
        <v>39</v>
      </c>
      <c r="H3795" s="28" t="s">
        <v>16221</v>
      </c>
      <c r="I3795" s="28" t="s">
        <v>20251</v>
      </c>
      <c r="J3795" s="28" t="s">
        <v>39</v>
      </c>
      <c r="K3795" s="28" t="s">
        <v>16223</v>
      </c>
      <c r="L3795" s="28" t="s">
        <v>16224</v>
      </c>
      <c r="M3795" s="28" t="s">
        <v>20252</v>
      </c>
      <c r="N3795" s="28" t="s">
        <v>16226</v>
      </c>
      <c r="O3795" s="28" t="s">
        <v>16227</v>
      </c>
      <c r="P3795" s="28" t="s">
        <v>20253</v>
      </c>
    </row>
    <row r="3796" spans="1:16" x14ac:dyDescent="0.25">
      <c r="A3796" s="28" t="s">
        <v>20254</v>
      </c>
      <c r="B3796" s="28" t="s">
        <v>20255</v>
      </c>
      <c r="C3796" s="28" t="s">
        <v>1684</v>
      </c>
      <c r="D3796" s="28" t="s">
        <v>1204</v>
      </c>
      <c r="E3796" s="28" t="s">
        <v>20250</v>
      </c>
      <c r="F3796" s="28" t="s">
        <v>21</v>
      </c>
      <c r="G3796" s="28" t="s">
        <v>39</v>
      </c>
      <c r="H3796" s="28" t="s">
        <v>16221</v>
      </c>
      <c r="I3796" s="28" t="s">
        <v>20256</v>
      </c>
      <c r="J3796" s="28" t="s">
        <v>39</v>
      </c>
      <c r="K3796" s="28" t="s">
        <v>16223</v>
      </c>
      <c r="L3796" s="28" t="s">
        <v>16224</v>
      </c>
      <c r="M3796" s="28" t="s">
        <v>20257</v>
      </c>
      <c r="N3796" s="28" t="s">
        <v>16226</v>
      </c>
      <c r="O3796" s="28" t="s">
        <v>16227</v>
      </c>
      <c r="P3796" s="28" t="s">
        <v>20253</v>
      </c>
    </row>
    <row r="3797" spans="1:16" x14ac:dyDescent="0.25">
      <c r="A3797" s="28" t="s">
        <v>20258</v>
      </c>
      <c r="B3797" s="28" t="s">
        <v>20259</v>
      </c>
      <c r="C3797" s="28" t="s">
        <v>1684</v>
      </c>
      <c r="D3797" s="28" t="s">
        <v>1204</v>
      </c>
      <c r="E3797" s="28" t="s">
        <v>12818</v>
      </c>
      <c r="F3797" s="28" t="s">
        <v>21</v>
      </c>
      <c r="G3797" s="28" t="s">
        <v>39</v>
      </c>
      <c r="H3797" s="28" t="s">
        <v>16221</v>
      </c>
      <c r="I3797" s="28" t="s">
        <v>20260</v>
      </c>
      <c r="J3797" s="28" t="s">
        <v>39</v>
      </c>
      <c r="K3797" s="28" t="s">
        <v>16223</v>
      </c>
      <c r="L3797" s="28" t="s">
        <v>16224</v>
      </c>
      <c r="M3797" s="28" t="s">
        <v>20261</v>
      </c>
      <c r="N3797" s="28" t="s">
        <v>16226</v>
      </c>
      <c r="O3797" s="28" t="s">
        <v>16227</v>
      </c>
      <c r="P3797" s="28" t="s">
        <v>18017</v>
      </c>
    </row>
    <row r="3798" spans="1:16" x14ac:dyDescent="0.25">
      <c r="A3798" s="28" t="s">
        <v>20262</v>
      </c>
      <c r="B3798" s="28" t="s">
        <v>20263</v>
      </c>
      <c r="C3798" s="28" t="s">
        <v>1684</v>
      </c>
      <c r="D3798" s="28" t="s">
        <v>1204</v>
      </c>
      <c r="E3798" s="28" t="s">
        <v>12818</v>
      </c>
      <c r="F3798" s="28" t="s">
        <v>21</v>
      </c>
      <c r="G3798" s="28" t="s">
        <v>39</v>
      </c>
      <c r="H3798" s="28" t="s">
        <v>16221</v>
      </c>
      <c r="I3798" s="28" t="s">
        <v>20264</v>
      </c>
      <c r="J3798" s="28" t="s">
        <v>39</v>
      </c>
      <c r="K3798" s="28" t="s">
        <v>16223</v>
      </c>
      <c r="L3798" s="28" t="s">
        <v>16224</v>
      </c>
      <c r="M3798" s="28" t="s">
        <v>20265</v>
      </c>
      <c r="N3798" s="28" t="s">
        <v>16226</v>
      </c>
      <c r="O3798" s="28" t="s">
        <v>16227</v>
      </c>
      <c r="P3798" s="28" t="s">
        <v>18017</v>
      </c>
    </row>
    <row r="3799" spans="1:16" x14ac:dyDescent="0.25">
      <c r="A3799" s="28" t="s">
        <v>20266</v>
      </c>
      <c r="B3799" s="28" t="s">
        <v>20267</v>
      </c>
      <c r="C3799" s="28" t="s">
        <v>1684</v>
      </c>
      <c r="D3799" s="28" t="s">
        <v>1204</v>
      </c>
      <c r="E3799" s="28" t="s">
        <v>12818</v>
      </c>
      <c r="F3799" s="28" t="s">
        <v>21</v>
      </c>
      <c r="G3799" s="28" t="s">
        <v>39</v>
      </c>
      <c r="H3799" s="28" t="s">
        <v>16221</v>
      </c>
      <c r="I3799" s="28" t="s">
        <v>20268</v>
      </c>
      <c r="J3799" s="28" t="s">
        <v>39</v>
      </c>
      <c r="K3799" s="28" t="s">
        <v>16223</v>
      </c>
      <c r="L3799" s="28" t="s">
        <v>16224</v>
      </c>
      <c r="M3799" s="28" t="s">
        <v>20269</v>
      </c>
      <c r="N3799" s="28" t="s">
        <v>16226</v>
      </c>
      <c r="O3799" s="28" t="s">
        <v>16227</v>
      </c>
      <c r="P3799" s="28" t="s">
        <v>18017</v>
      </c>
    </row>
    <row r="3800" spans="1:16" x14ac:dyDescent="0.25">
      <c r="A3800" s="28" t="s">
        <v>20270</v>
      </c>
      <c r="B3800" s="28" t="s">
        <v>20271</v>
      </c>
      <c r="C3800" s="28" t="s">
        <v>1684</v>
      </c>
      <c r="D3800" s="28" t="s">
        <v>1204</v>
      </c>
      <c r="E3800" s="28" t="s">
        <v>18020</v>
      </c>
      <c r="F3800" s="28" t="s">
        <v>21</v>
      </c>
      <c r="G3800" s="28" t="s">
        <v>39</v>
      </c>
      <c r="H3800" s="28" t="s">
        <v>16221</v>
      </c>
      <c r="I3800" s="28" t="s">
        <v>20272</v>
      </c>
      <c r="J3800" s="28" t="s">
        <v>39</v>
      </c>
      <c r="K3800" s="28" t="s">
        <v>16223</v>
      </c>
      <c r="L3800" s="28" t="s">
        <v>16224</v>
      </c>
      <c r="M3800" s="28" t="s">
        <v>20273</v>
      </c>
      <c r="N3800" s="28" t="s">
        <v>16226</v>
      </c>
      <c r="O3800" s="28" t="s">
        <v>16227</v>
      </c>
      <c r="P3800" s="28" t="s">
        <v>18023</v>
      </c>
    </row>
    <row r="3801" spans="1:16" x14ac:dyDescent="0.25">
      <c r="A3801" s="28" t="s">
        <v>20274</v>
      </c>
      <c r="B3801" s="28" t="s">
        <v>20275</v>
      </c>
      <c r="C3801" s="28" t="s">
        <v>1684</v>
      </c>
      <c r="D3801" s="28" t="s">
        <v>1204</v>
      </c>
      <c r="E3801" s="28" t="s">
        <v>18020</v>
      </c>
      <c r="F3801" s="28" t="s">
        <v>21</v>
      </c>
      <c r="G3801" s="28" t="s">
        <v>39</v>
      </c>
      <c r="H3801" s="28" t="s">
        <v>16221</v>
      </c>
      <c r="I3801" s="28" t="s">
        <v>20276</v>
      </c>
      <c r="J3801" s="28" t="s">
        <v>39</v>
      </c>
      <c r="K3801" s="28" t="s">
        <v>16223</v>
      </c>
      <c r="L3801" s="28" t="s">
        <v>16224</v>
      </c>
      <c r="M3801" s="28" t="s">
        <v>20277</v>
      </c>
      <c r="N3801" s="28" t="s">
        <v>16226</v>
      </c>
      <c r="O3801" s="28" t="s">
        <v>16227</v>
      </c>
      <c r="P3801" s="28" t="s">
        <v>18023</v>
      </c>
    </row>
    <row r="3802" spans="1:16" x14ac:dyDescent="0.25">
      <c r="A3802" s="28" t="s">
        <v>20278</v>
      </c>
      <c r="B3802" s="28" t="s">
        <v>20279</v>
      </c>
      <c r="C3802" s="28" t="s">
        <v>1684</v>
      </c>
      <c r="D3802" s="28" t="s">
        <v>1204</v>
      </c>
      <c r="E3802" s="28" t="s">
        <v>18020</v>
      </c>
      <c r="F3802" s="28" t="s">
        <v>21</v>
      </c>
      <c r="G3802" s="28" t="s">
        <v>39</v>
      </c>
      <c r="H3802" s="28" t="s">
        <v>16221</v>
      </c>
      <c r="I3802" s="28" t="s">
        <v>20280</v>
      </c>
      <c r="J3802" s="28" t="s">
        <v>39</v>
      </c>
      <c r="K3802" s="28" t="s">
        <v>16223</v>
      </c>
      <c r="L3802" s="28" t="s">
        <v>16224</v>
      </c>
      <c r="M3802" s="28" t="s">
        <v>20281</v>
      </c>
      <c r="N3802" s="28" t="s">
        <v>16226</v>
      </c>
      <c r="O3802" s="28" t="s">
        <v>16227</v>
      </c>
      <c r="P3802" s="28" t="s">
        <v>18023</v>
      </c>
    </row>
    <row r="3803" spans="1:16" x14ac:dyDescent="0.25">
      <c r="A3803" s="28" t="s">
        <v>20282</v>
      </c>
      <c r="B3803" s="28" t="s">
        <v>20283</v>
      </c>
      <c r="C3803" s="28" t="s">
        <v>1684</v>
      </c>
      <c r="D3803" s="28" t="s">
        <v>1204</v>
      </c>
      <c r="E3803" s="28" t="s">
        <v>18020</v>
      </c>
      <c r="F3803" s="28" t="s">
        <v>21</v>
      </c>
      <c r="G3803" s="28" t="s">
        <v>39</v>
      </c>
      <c r="H3803" s="28" t="s">
        <v>16221</v>
      </c>
      <c r="I3803" s="28" t="s">
        <v>20284</v>
      </c>
      <c r="J3803" s="28" t="s">
        <v>39</v>
      </c>
      <c r="K3803" s="28" t="s">
        <v>16223</v>
      </c>
      <c r="L3803" s="28" t="s">
        <v>16224</v>
      </c>
      <c r="M3803" s="28" t="s">
        <v>20285</v>
      </c>
      <c r="N3803" s="28" t="s">
        <v>16226</v>
      </c>
      <c r="O3803" s="28" t="s">
        <v>16227</v>
      </c>
      <c r="P3803" s="28" t="s">
        <v>18023</v>
      </c>
    </row>
    <row r="3804" spans="1:16" x14ac:dyDescent="0.25">
      <c r="A3804" s="28" t="s">
        <v>20286</v>
      </c>
      <c r="B3804" s="28" t="s">
        <v>20287</v>
      </c>
      <c r="C3804" s="28" t="s">
        <v>1684</v>
      </c>
      <c r="D3804" s="28" t="s">
        <v>1204</v>
      </c>
      <c r="E3804" s="28" t="s">
        <v>18020</v>
      </c>
      <c r="F3804" s="28" t="s">
        <v>21</v>
      </c>
      <c r="G3804" s="28" t="s">
        <v>39</v>
      </c>
      <c r="H3804" s="28" t="s">
        <v>16221</v>
      </c>
      <c r="I3804" s="28" t="s">
        <v>20288</v>
      </c>
      <c r="J3804" s="28" t="s">
        <v>39</v>
      </c>
      <c r="K3804" s="28" t="s">
        <v>16223</v>
      </c>
      <c r="L3804" s="28" t="s">
        <v>16224</v>
      </c>
      <c r="M3804" s="28" t="s">
        <v>20289</v>
      </c>
      <c r="N3804" s="28" t="s">
        <v>16226</v>
      </c>
      <c r="O3804" s="28" t="s">
        <v>16227</v>
      </c>
      <c r="P3804" s="28" t="s">
        <v>18023</v>
      </c>
    </row>
    <row r="3805" spans="1:16" x14ac:dyDescent="0.25">
      <c r="A3805" s="28" t="s">
        <v>20290</v>
      </c>
      <c r="B3805" s="28" t="s">
        <v>20291</v>
      </c>
      <c r="C3805" s="28" t="s">
        <v>1684</v>
      </c>
      <c r="D3805" s="28" t="s">
        <v>1204</v>
      </c>
      <c r="E3805" s="28" t="s">
        <v>18020</v>
      </c>
      <c r="F3805" s="28" t="s">
        <v>21</v>
      </c>
      <c r="G3805" s="28" t="s">
        <v>39</v>
      </c>
      <c r="H3805" s="28" t="s">
        <v>16221</v>
      </c>
      <c r="I3805" s="28" t="s">
        <v>20292</v>
      </c>
      <c r="J3805" s="28" t="s">
        <v>39</v>
      </c>
      <c r="K3805" s="28" t="s">
        <v>16223</v>
      </c>
      <c r="L3805" s="28" t="s">
        <v>16224</v>
      </c>
      <c r="M3805" s="28" t="s">
        <v>20293</v>
      </c>
      <c r="N3805" s="28" t="s">
        <v>16226</v>
      </c>
      <c r="O3805" s="28" t="s">
        <v>16227</v>
      </c>
      <c r="P3805" s="28" t="s">
        <v>18023</v>
      </c>
    </row>
    <row r="3806" spans="1:16" x14ac:dyDescent="0.25">
      <c r="A3806" s="28" t="s">
        <v>20294</v>
      </c>
      <c r="B3806" s="28" t="s">
        <v>20295</v>
      </c>
      <c r="C3806" s="28" t="s">
        <v>1684</v>
      </c>
      <c r="D3806" s="28" t="s">
        <v>1204</v>
      </c>
      <c r="E3806" s="28" t="s">
        <v>18020</v>
      </c>
      <c r="F3806" s="28" t="s">
        <v>21</v>
      </c>
      <c r="G3806" s="28" t="s">
        <v>39</v>
      </c>
      <c r="H3806" s="28" t="s">
        <v>16221</v>
      </c>
      <c r="I3806" s="28" t="s">
        <v>20296</v>
      </c>
      <c r="J3806" s="28" t="s">
        <v>39</v>
      </c>
      <c r="K3806" s="28" t="s">
        <v>16223</v>
      </c>
      <c r="L3806" s="28" t="s">
        <v>16224</v>
      </c>
      <c r="M3806" s="28" t="s">
        <v>20297</v>
      </c>
      <c r="N3806" s="28" t="s">
        <v>16226</v>
      </c>
      <c r="O3806" s="28" t="s">
        <v>16227</v>
      </c>
      <c r="P3806" s="28" t="s">
        <v>18023</v>
      </c>
    </row>
    <row r="3807" spans="1:16" x14ac:dyDescent="0.25">
      <c r="A3807" s="28" t="s">
        <v>20298</v>
      </c>
      <c r="B3807" s="28" t="s">
        <v>20299</v>
      </c>
      <c r="C3807" s="28" t="s">
        <v>1684</v>
      </c>
      <c r="D3807" s="28" t="s">
        <v>1204</v>
      </c>
      <c r="E3807" s="28" t="s">
        <v>18020</v>
      </c>
      <c r="F3807" s="28" t="s">
        <v>21</v>
      </c>
      <c r="G3807" s="28" t="s">
        <v>39</v>
      </c>
      <c r="H3807" s="28" t="s">
        <v>16221</v>
      </c>
      <c r="I3807" s="28" t="s">
        <v>20300</v>
      </c>
      <c r="J3807" s="28" t="s">
        <v>39</v>
      </c>
      <c r="K3807" s="28" t="s">
        <v>16223</v>
      </c>
      <c r="L3807" s="28" t="s">
        <v>16224</v>
      </c>
      <c r="M3807" s="28" t="s">
        <v>20301</v>
      </c>
      <c r="N3807" s="28" t="s">
        <v>16226</v>
      </c>
      <c r="O3807" s="28" t="s">
        <v>16227</v>
      </c>
      <c r="P3807" s="28" t="s">
        <v>18023</v>
      </c>
    </row>
    <row r="3808" spans="1:16" x14ac:dyDescent="0.25">
      <c r="A3808" s="28" t="s">
        <v>20302</v>
      </c>
      <c r="B3808" s="28" t="s">
        <v>20303</v>
      </c>
      <c r="C3808" s="28" t="s">
        <v>1684</v>
      </c>
      <c r="D3808" s="28" t="s">
        <v>1204</v>
      </c>
      <c r="E3808" s="28" t="s">
        <v>18020</v>
      </c>
      <c r="F3808" s="28" t="s">
        <v>21</v>
      </c>
      <c r="G3808" s="28" t="s">
        <v>39</v>
      </c>
      <c r="H3808" s="28" t="s">
        <v>16221</v>
      </c>
      <c r="I3808" s="28" t="s">
        <v>20304</v>
      </c>
      <c r="J3808" s="28" t="s">
        <v>39</v>
      </c>
      <c r="K3808" s="28" t="s">
        <v>16223</v>
      </c>
      <c r="L3808" s="28" t="s">
        <v>16224</v>
      </c>
      <c r="M3808" s="28" t="s">
        <v>20305</v>
      </c>
      <c r="N3808" s="28" t="s">
        <v>16226</v>
      </c>
      <c r="O3808" s="28" t="s">
        <v>16227</v>
      </c>
      <c r="P3808" s="28" t="s">
        <v>18023</v>
      </c>
    </row>
    <row r="3809" spans="1:16" x14ac:dyDescent="0.25">
      <c r="A3809" s="28" t="s">
        <v>20306</v>
      </c>
      <c r="B3809" s="28" t="s">
        <v>20307</v>
      </c>
      <c r="C3809" s="28" t="s">
        <v>1684</v>
      </c>
      <c r="D3809" s="28" t="s">
        <v>1204</v>
      </c>
      <c r="E3809" s="28" t="s">
        <v>18020</v>
      </c>
      <c r="F3809" s="28" t="s">
        <v>21</v>
      </c>
      <c r="G3809" s="28" t="s">
        <v>39</v>
      </c>
      <c r="H3809" s="28" t="s">
        <v>16221</v>
      </c>
      <c r="I3809" s="28" t="s">
        <v>20308</v>
      </c>
      <c r="J3809" s="28" t="s">
        <v>39</v>
      </c>
      <c r="K3809" s="28" t="s">
        <v>16223</v>
      </c>
      <c r="L3809" s="28" t="s">
        <v>16224</v>
      </c>
      <c r="M3809" s="28" t="s">
        <v>20309</v>
      </c>
      <c r="N3809" s="28" t="s">
        <v>16226</v>
      </c>
      <c r="O3809" s="28" t="s">
        <v>16227</v>
      </c>
      <c r="P3809" s="28" t="s">
        <v>18023</v>
      </c>
    </row>
    <row r="3810" spans="1:16" x14ac:dyDescent="0.25">
      <c r="A3810" s="28" t="s">
        <v>20310</v>
      </c>
      <c r="B3810" s="28" t="s">
        <v>20311</v>
      </c>
      <c r="C3810" s="28" t="s">
        <v>1684</v>
      </c>
      <c r="D3810" s="28" t="s">
        <v>1204</v>
      </c>
      <c r="E3810" s="28" t="s">
        <v>18020</v>
      </c>
      <c r="F3810" s="28" t="s">
        <v>21</v>
      </c>
      <c r="G3810" s="28" t="s">
        <v>39</v>
      </c>
      <c r="H3810" s="28" t="s">
        <v>16221</v>
      </c>
      <c r="I3810" s="28" t="s">
        <v>20312</v>
      </c>
      <c r="J3810" s="28" t="s">
        <v>39</v>
      </c>
      <c r="K3810" s="28" t="s">
        <v>16223</v>
      </c>
      <c r="L3810" s="28" t="s">
        <v>16224</v>
      </c>
      <c r="M3810" s="28" t="s">
        <v>20313</v>
      </c>
      <c r="N3810" s="28" t="s">
        <v>16226</v>
      </c>
      <c r="O3810" s="28" t="s">
        <v>16227</v>
      </c>
      <c r="P3810" s="28" t="s">
        <v>18023</v>
      </c>
    </row>
    <row r="3811" spans="1:16" x14ac:dyDescent="0.25">
      <c r="A3811" s="28" t="s">
        <v>20314</v>
      </c>
      <c r="B3811" s="28" t="s">
        <v>20315</v>
      </c>
      <c r="C3811" s="28" t="s">
        <v>1684</v>
      </c>
      <c r="D3811" s="28" t="s">
        <v>1204</v>
      </c>
      <c r="E3811" s="28" t="s">
        <v>13484</v>
      </c>
      <c r="F3811" s="28" t="s">
        <v>21</v>
      </c>
      <c r="G3811" s="28" t="s">
        <v>39</v>
      </c>
      <c r="H3811" s="28" t="s">
        <v>16221</v>
      </c>
      <c r="I3811" s="28" t="s">
        <v>20316</v>
      </c>
      <c r="J3811" s="28" t="s">
        <v>39</v>
      </c>
      <c r="K3811" s="28" t="s">
        <v>16223</v>
      </c>
      <c r="L3811" s="28" t="s">
        <v>16224</v>
      </c>
      <c r="M3811" s="28" t="s">
        <v>20317</v>
      </c>
      <c r="N3811" s="28" t="s">
        <v>16226</v>
      </c>
      <c r="O3811" s="28" t="s">
        <v>16227</v>
      </c>
      <c r="P3811" s="28" t="s">
        <v>18034</v>
      </c>
    </row>
    <row r="3812" spans="1:16" x14ac:dyDescent="0.25">
      <c r="A3812" s="28" t="s">
        <v>20318</v>
      </c>
      <c r="B3812" s="28" t="s">
        <v>20319</v>
      </c>
      <c r="C3812" s="28" t="s">
        <v>1684</v>
      </c>
      <c r="D3812" s="28" t="s">
        <v>1204</v>
      </c>
      <c r="E3812" s="28" t="s">
        <v>13484</v>
      </c>
      <c r="F3812" s="28" t="s">
        <v>21</v>
      </c>
      <c r="G3812" s="28" t="s">
        <v>39</v>
      </c>
      <c r="H3812" s="28" t="s">
        <v>16221</v>
      </c>
      <c r="I3812" s="28" t="s">
        <v>20320</v>
      </c>
      <c r="J3812" s="28" t="s">
        <v>39</v>
      </c>
      <c r="K3812" s="28" t="s">
        <v>16223</v>
      </c>
      <c r="L3812" s="28" t="s">
        <v>16224</v>
      </c>
      <c r="M3812" s="28" t="s">
        <v>20321</v>
      </c>
      <c r="N3812" s="28" t="s">
        <v>16226</v>
      </c>
      <c r="O3812" s="28" t="s">
        <v>16227</v>
      </c>
      <c r="P3812" s="28" t="s">
        <v>18034</v>
      </c>
    </row>
    <row r="3813" spans="1:16" x14ac:dyDescent="0.25">
      <c r="A3813" s="28" t="s">
        <v>20322</v>
      </c>
      <c r="B3813" s="28" t="s">
        <v>20323</v>
      </c>
      <c r="C3813" s="28" t="s">
        <v>1684</v>
      </c>
      <c r="D3813" s="28" t="s">
        <v>1204</v>
      </c>
      <c r="E3813" s="28" t="s">
        <v>20324</v>
      </c>
      <c r="F3813" s="28" t="s">
        <v>21</v>
      </c>
      <c r="G3813" s="28" t="s">
        <v>39</v>
      </c>
      <c r="H3813" s="28" t="s">
        <v>16221</v>
      </c>
      <c r="I3813" s="28" t="s">
        <v>20325</v>
      </c>
      <c r="J3813" s="28" t="s">
        <v>39</v>
      </c>
      <c r="K3813" s="28" t="s">
        <v>16223</v>
      </c>
      <c r="L3813" s="28" t="s">
        <v>16224</v>
      </c>
      <c r="M3813" s="28" t="s">
        <v>20326</v>
      </c>
      <c r="N3813" s="28" t="s">
        <v>16226</v>
      </c>
      <c r="O3813" s="28" t="s">
        <v>16227</v>
      </c>
      <c r="P3813" s="28" t="s">
        <v>20327</v>
      </c>
    </row>
    <row r="3814" spans="1:16" x14ac:dyDescent="0.25">
      <c r="A3814" s="28" t="s">
        <v>20328</v>
      </c>
      <c r="B3814" s="28" t="s">
        <v>20329</v>
      </c>
      <c r="C3814" s="28" t="s">
        <v>1684</v>
      </c>
      <c r="D3814" s="28" t="s">
        <v>1204</v>
      </c>
      <c r="E3814" s="28" t="s">
        <v>20324</v>
      </c>
      <c r="F3814" s="28" t="s">
        <v>21</v>
      </c>
      <c r="G3814" s="28" t="s">
        <v>39</v>
      </c>
      <c r="H3814" s="28" t="s">
        <v>16221</v>
      </c>
      <c r="I3814" s="28" t="s">
        <v>20330</v>
      </c>
      <c r="J3814" s="28" t="s">
        <v>39</v>
      </c>
      <c r="K3814" s="28" t="s">
        <v>16223</v>
      </c>
      <c r="L3814" s="28" t="s">
        <v>16224</v>
      </c>
      <c r="M3814" s="28" t="s">
        <v>20331</v>
      </c>
      <c r="N3814" s="28" t="s">
        <v>16226</v>
      </c>
      <c r="O3814" s="28" t="s">
        <v>16227</v>
      </c>
      <c r="P3814" s="28" t="s">
        <v>20327</v>
      </c>
    </row>
    <row r="3815" spans="1:16" x14ac:dyDescent="0.25">
      <c r="A3815" s="28" t="s">
        <v>20332</v>
      </c>
      <c r="B3815" s="28" t="s">
        <v>20333</v>
      </c>
      <c r="C3815" s="28" t="s">
        <v>1684</v>
      </c>
      <c r="D3815" s="28" t="s">
        <v>1204</v>
      </c>
      <c r="E3815" s="28" t="s">
        <v>20334</v>
      </c>
      <c r="F3815" s="28" t="s">
        <v>21</v>
      </c>
      <c r="G3815" s="28" t="s">
        <v>39</v>
      </c>
      <c r="H3815" s="28" t="s">
        <v>16221</v>
      </c>
      <c r="I3815" s="28" t="s">
        <v>20335</v>
      </c>
      <c r="J3815" s="28" t="s">
        <v>39</v>
      </c>
      <c r="K3815" s="28" t="s">
        <v>16223</v>
      </c>
      <c r="L3815" s="28" t="s">
        <v>16224</v>
      </c>
      <c r="M3815" s="28" t="s">
        <v>20336</v>
      </c>
      <c r="N3815" s="28" t="s">
        <v>16226</v>
      </c>
      <c r="O3815" s="28" t="s">
        <v>16227</v>
      </c>
      <c r="P3815" s="28" t="s">
        <v>20337</v>
      </c>
    </row>
    <row r="3816" spans="1:16" x14ac:dyDescent="0.25">
      <c r="A3816" s="28" t="s">
        <v>20338</v>
      </c>
      <c r="B3816" s="28" t="s">
        <v>20339</v>
      </c>
      <c r="C3816" s="28" t="s">
        <v>1684</v>
      </c>
      <c r="D3816" s="28" t="s">
        <v>1204</v>
      </c>
      <c r="E3816" s="28" t="s">
        <v>18037</v>
      </c>
      <c r="F3816" s="28" t="s">
        <v>21</v>
      </c>
      <c r="G3816" s="28" t="s">
        <v>39</v>
      </c>
      <c r="H3816" s="28" t="s">
        <v>16221</v>
      </c>
      <c r="I3816" s="28" t="s">
        <v>20340</v>
      </c>
      <c r="J3816" s="28" t="s">
        <v>39</v>
      </c>
      <c r="K3816" s="28" t="s">
        <v>16223</v>
      </c>
      <c r="L3816" s="28" t="s">
        <v>16224</v>
      </c>
      <c r="M3816" s="28" t="s">
        <v>20341</v>
      </c>
      <c r="N3816" s="28" t="s">
        <v>16226</v>
      </c>
      <c r="O3816" s="28" t="s">
        <v>16227</v>
      </c>
      <c r="P3816" s="28" t="s">
        <v>18040</v>
      </c>
    </row>
    <row r="3817" spans="1:16" x14ac:dyDescent="0.25">
      <c r="A3817" s="28" t="s">
        <v>20342</v>
      </c>
      <c r="B3817" s="28" t="s">
        <v>20343</v>
      </c>
      <c r="C3817" s="28" t="s">
        <v>1684</v>
      </c>
      <c r="D3817" s="28" t="s">
        <v>1204</v>
      </c>
      <c r="E3817" s="28" t="s">
        <v>18037</v>
      </c>
      <c r="F3817" s="28" t="s">
        <v>21</v>
      </c>
      <c r="G3817" s="28" t="s">
        <v>39</v>
      </c>
      <c r="H3817" s="28" t="s">
        <v>16221</v>
      </c>
      <c r="I3817" s="28" t="s">
        <v>20344</v>
      </c>
      <c r="J3817" s="28" t="s">
        <v>39</v>
      </c>
      <c r="K3817" s="28" t="s">
        <v>16223</v>
      </c>
      <c r="L3817" s="28" t="s">
        <v>16224</v>
      </c>
      <c r="M3817" s="28" t="s">
        <v>20345</v>
      </c>
      <c r="N3817" s="28" t="s">
        <v>16226</v>
      </c>
      <c r="O3817" s="28" t="s">
        <v>16227</v>
      </c>
      <c r="P3817" s="28" t="s">
        <v>18040</v>
      </c>
    </row>
    <row r="3818" spans="1:16" x14ac:dyDescent="0.25">
      <c r="A3818" s="28" t="s">
        <v>20346</v>
      </c>
      <c r="B3818" s="28" t="s">
        <v>20347</v>
      </c>
      <c r="C3818" s="28" t="s">
        <v>1684</v>
      </c>
      <c r="D3818" s="28" t="s">
        <v>1204</v>
      </c>
      <c r="E3818" s="28" t="s">
        <v>18037</v>
      </c>
      <c r="F3818" s="28" t="s">
        <v>21</v>
      </c>
      <c r="G3818" s="28" t="s">
        <v>39</v>
      </c>
      <c r="H3818" s="28" t="s">
        <v>16221</v>
      </c>
      <c r="I3818" s="28" t="s">
        <v>20348</v>
      </c>
      <c r="J3818" s="28" t="s">
        <v>39</v>
      </c>
      <c r="K3818" s="28" t="s">
        <v>16223</v>
      </c>
      <c r="L3818" s="28" t="s">
        <v>16224</v>
      </c>
      <c r="M3818" s="28" t="s">
        <v>20349</v>
      </c>
      <c r="N3818" s="28" t="s">
        <v>16226</v>
      </c>
      <c r="O3818" s="28" t="s">
        <v>16227</v>
      </c>
      <c r="P3818" s="28" t="s">
        <v>18040</v>
      </c>
    </row>
    <row r="3819" spans="1:16" x14ac:dyDescent="0.25">
      <c r="A3819" s="28" t="s">
        <v>20350</v>
      </c>
      <c r="B3819" s="28" t="s">
        <v>20351</v>
      </c>
      <c r="C3819" s="28" t="s">
        <v>1684</v>
      </c>
      <c r="D3819" s="28" t="s">
        <v>1204</v>
      </c>
      <c r="E3819" s="28" t="s">
        <v>18037</v>
      </c>
      <c r="F3819" s="28" t="s">
        <v>21</v>
      </c>
      <c r="G3819" s="28" t="s">
        <v>39</v>
      </c>
      <c r="H3819" s="28" t="s">
        <v>16221</v>
      </c>
      <c r="I3819" s="28" t="s">
        <v>20352</v>
      </c>
      <c r="J3819" s="28" t="s">
        <v>39</v>
      </c>
      <c r="K3819" s="28" t="s">
        <v>16223</v>
      </c>
      <c r="L3819" s="28" t="s">
        <v>16224</v>
      </c>
      <c r="M3819" s="28" t="s">
        <v>20353</v>
      </c>
      <c r="N3819" s="28" t="s">
        <v>16226</v>
      </c>
      <c r="O3819" s="28" t="s">
        <v>16227</v>
      </c>
      <c r="P3819" s="28" t="s">
        <v>18040</v>
      </c>
    </row>
    <row r="3820" spans="1:16" x14ac:dyDescent="0.25">
      <c r="A3820" s="28" t="s">
        <v>20354</v>
      </c>
      <c r="B3820" s="28" t="s">
        <v>20355</v>
      </c>
      <c r="C3820" s="28" t="s">
        <v>1684</v>
      </c>
      <c r="D3820" s="28" t="s">
        <v>1204</v>
      </c>
      <c r="E3820" s="28" t="s">
        <v>18037</v>
      </c>
      <c r="F3820" s="28" t="s">
        <v>21</v>
      </c>
      <c r="G3820" s="28" t="s">
        <v>39</v>
      </c>
      <c r="H3820" s="28" t="s">
        <v>16221</v>
      </c>
      <c r="I3820" s="28" t="s">
        <v>20356</v>
      </c>
      <c r="J3820" s="28" t="s">
        <v>39</v>
      </c>
      <c r="K3820" s="28" t="s">
        <v>16223</v>
      </c>
      <c r="L3820" s="28" t="s">
        <v>16224</v>
      </c>
      <c r="M3820" s="28" t="s">
        <v>20357</v>
      </c>
      <c r="N3820" s="28" t="s">
        <v>16226</v>
      </c>
      <c r="O3820" s="28" t="s">
        <v>16227</v>
      </c>
      <c r="P3820" s="28" t="s">
        <v>18040</v>
      </c>
    </row>
    <row r="3821" spans="1:16" x14ac:dyDescent="0.25">
      <c r="A3821" s="28" t="s">
        <v>20358</v>
      </c>
      <c r="B3821" s="28" t="s">
        <v>20359</v>
      </c>
      <c r="C3821" s="28" t="s">
        <v>1684</v>
      </c>
      <c r="D3821" s="28" t="s">
        <v>1204</v>
      </c>
      <c r="E3821" s="28" t="s">
        <v>18037</v>
      </c>
      <c r="F3821" s="28" t="s">
        <v>21</v>
      </c>
      <c r="G3821" s="28" t="s">
        <v>39</v>
      </c>
      <c r="H3821" s="28" t="s">
        <v>16221</v>
      </c>
      <c r="I3821" s="28" t="s">
        <v>20360</v>
      </c>
      <c r="J3821" s="28" t="s">
        <v>39</v>
      </c>
      <c r="K3821" s="28" t="s">
        <v>16223</v>
      </c>
      <c r="L3821" s="28" t="s">
        <v>16224</v>
      </c>
      <c r="M3821" s="28" t="s">
        <v>20361</v>
      </c>
      <c r="N3821" s="28" t="s">
        <v>16226</v>
      </c>
      <c r="O3821" s="28" t="s">
        <v>16227</v>
      </c>
      <c r="P3821" s="28" t="s">
        <v>18040</v>
      </c>
    </row>
    <row r="3822" spans="1:16" x14ac:dyDescent="0.25">
      <c r="A3822" s="28" t="s">
        <v>20362</v>
      </c>
      <c r="B3822" s="28" t="s">
        <v>20363</v>
      </c>
      <c r="C3822" s="28" t="s">
        <v>1684</v>
      </c>
      <c r="D3822" s="28" t="s">
        <v>1204</v>
      </c>
      <c r="E3822" s="28" t="s">
        <v>18037</v>
      </c>
      <c r="F3822" s="28" t="s">
        <v>21</v>
      </c>
      <c r="G3822" s="28" t="s">
        <v>39</v>
      </c>
      <c r="H3822" s="28" t="s">
        <v>16221</v>
      </c>
      <c r="I3822" s="28" t="s">
        <v>20364</v>
      </c>
      <c r="J3822" s="28" t="s">
        <v>39</v>
      </c>
      <c r="K3822" s="28" t="s">
        <v>16223</v>
      </c>
      <c r="L3822" s="28" t="s">
        <v>16224</v>
      </c>
      <c r="M3822" s="28" t="s">
        <v>20365</v>
      </c>
      <c r="N3822" s="28" t="s">
        <v>16226</v>
      </c>
      <c r="O3822" s="28" t="s">
        <v>16227</v>
      </c>
      <c r="P3822" s="28" t="s">
        <v>18040</v>
      </c>
    </row>
    <row r="3823" spans="1:16" x14ac:dyDescent="0.25">
      <c r="A3823" s="28" t="s">
        <v>20366</v>
      </c>
      <c r="B3823" s="28" t="s">
        <v>20367</v>
      </c>
      <c r="C3823" s="28" t="s">
        <v>1684</v>
      </c>
      <c r="D3823" s="28" t="s">
        <v>1204</v>
      </c>
      <c r="E3823" s="28" t="s">
        <v>18037</v>
      </c>
      <c r="F3823" s="28" t="s">
        <v>21</v>
      </c>
      <c r="G3823" s="28" t="s">
        <v>39</v>
      </c>
      <c r="H3823" s="28" t="s">
        <v>16221</v>
      </c>
      <c r="I3823" s="28" t="s">
        <v>20368</v>
      </c>
      <c r="J3823" s="28" t="s">
        <v>39</v>
      </c>
      <c r="K3823" s="28" t="s">
        <v>16223</v>
      </c>
      <c r="L3823" s="28" t="s">
        <v>16224</v>
      </c>
      <c r="M3823" s="28" t="s">
        <v>20369</v>
      </c>
      <c r="N3823" s="28" t="s">
        <v>16226</v>
      </c>
      <c r="O3823" s="28" t="s">
        <v>16227</v>
      </c>
      <c r="P3823" s="28" t="s">
        <v>18040</v>
      </c>
    </row>
    <row r="3824" spans="1:16" x14ac:dyDescent="0.25">
      <c r="A3824" s="28" t="s">
        <v>20370</v>
      </c>
      <c r="B3824" s="28" t="s">
        <v>20371</v>
      </c>
      <c r="C3824" s="28" t="s">
        <v>1684</v>
      </c>
      <c r="D3824" s="28" t="s">
        <v>1204</v>
      </c>
      <c r="E3824" s="28" t="s">
        <v>18037</v>
      </c>
      <c r="F3824" s="28" t="s">
        <v>21</v>
      </c>
      <c r="G3824" s="28" t="s">
        <v>39</v>
      </c>
      <c r="H3824" s="28" t="s">
        <v>16221</v>
      </c>
      <c r="I3824" s="28" t="s">
        <v>20372</v>
      </c>
      <c r="J3824" s="28" t="s">
        <v>39</v>
      </c>
      <c r="K3824" s="28" t="s">
        <v>16223</v>
      </c>
      <c r="L3824" s="28" t="s">
        <v>16224</v>
      </c>
      <c r="M3824" s="28" t="s">
        <v>20373</v>
      </c>
      <c r="N3824" s="28" t="s">
        <v>16226</v>
      </c>
      <c r="O3824" s="28" t="s">
        <v>16227</v>
      </c>
      <c r="P3824" s="28" t="s">
        <v>18040</v>
      </c>
    </row>
    <row r="3825" spans="1:16" x14ac:dyDescent="0.25">
      <c r="A3825" s="28" t="s">
        <v>20374</v>
      </c>
      <c r="B3825" s="28" t="s">
        <v>20375</v>
      </c>
      <c r="C3825" s="28" t="s">
        <v>1684</v>
      </c>
      <c r="D3825" s="28" t="s">
        <v>1204</v>
      </c>
      <c r="E3825" s="28" t="s">
        <v>18037</v>
      </c>
      <c r="F3825" s="28" t="s">
        <v>21</v>
      </c>
      <c r="G3825" s="28" t="s">
        <v>39</v>
      </c>
      <c r="H3825" s="28" t="s">
        <v>16221</v>
      </c>
      <c r="I3825" s="28" t="s">
        <v>20376</v>
      </c>
      <c r="J3825" s="28" t="s">
        <v>39</v>
      </c>
      <c r="K3825" s="28" t="s">
        <v>16223</v>
      </c>
      <c r="L3825" s="28" t="s">
        <v>16224</v>
      </c>
      <c r="M3825" s="28" t="s">
        <v>20377</v>
      </c>
      <c r="N3825" s="28" t="s">
        <v>16226</v>
      </c>
      <c r="O3825" s="28" t="s">
        <v>16227</v>
      </c>
      <c r="P3825" s="28" t="s">
        <v>18040</v>
      </c>
    </row>
    <row r="3826" spans="1:16" x14ac:dyDescent="0.25">
      <c r="A3826" s="28" t="s">
        <v>20378</v>
      </c>
      <c r="B3826" s="28" t="s">
        <v>20379</v>
      </c>
      <c r="C3826" s="28" t="s">
        <v>1684</v>
      </c>
      <c r="D3826" s="28" t="s">
        <v>1204</v>
      </c>
      <c r="E3826" s="28" t="s">
        <v>18037</v>
      </c>
      <c r="F3826" s="28" t="s">
        <v>21</v>
      </c>
      <c r="G3826" s="28" t="s">
        <v>39</v>
      </c>
      <c r="H3826" s="28" t="s">
        <v>16221</v>
      </c>
      <c r="I3826" s="28" t="s">
        <v>20380</v>
      </c>
      <c r="J3826" s="28" t="s">
        <v>39</v>
      </c>
      <c r="K3826" s="28" t="s">
        <v>16223</v>
      </c>
      <c r="L3826" s="28" t="s">
        <v>16224</v>
      </c>
      <c r="M3826" s="28" t="s">
        <v>20381</v>
      </c>
      <c r="N3826" s="28" t="s">
        <v>16226</v>
      </c>
      <c r="O3826" s="28" t="s">
        <v>16227</v>
      </c>
      <c r="P3826" s="28" t="s">
        <v>18040</v>
      </c>
    </row>
    <row r="3827" spans="1:16" x14ac:dyDescent="0.25">
      <c r="A3827" s="28" t="s">
        <v>20382</v>
      </c>
      <c r="B3827" s="28" t="s">
        <v>20383</v>
      </c>
      <c r="C3827" s="28" t="s">
        <v>1684</v>
      </c>
      <c r="D3827" s="28" t="s">
        <v>69</v>
      </c>
      <c r="E3827" s="28" t="s">
        <v>18043</v>
      </c>
      <c r="F3827" s="28" t="s">
        <v>21</v>
      </c>
      <c r="G3827" s="28" t="s">
        <v>39</v>
      </c>
      <c r="H3827" s="28" t="s">
        <v>16221</v>
      </c>
      <c r="I3827" s="28" t="s">
        <v>20384</v>
      </c>
      <c r="J3827" s="28" t="s">
        <v>39</v>
      </c>
      <c r="K3827" s="28" t="s">
        <v>16223</v>
      </c>
      <c r="L3827" s="28" t="s">
        <v>16224</v>
      </c>
      <c r="M3827" s="28" t="s">
        <v>20385</v>
      </c>
      <c r="N3827" s="28" t="s">
        <v>16226</v>
      </c>
      <c r="O3827" s="28" t="s">
        <v>16227</v>
      </c>
      <c r="P3827" s="28" t="s">
        <v>18046</v>
      </c>
    </row>
    <row r="3828" spans="1:16" x14ac:dyDescent="0.25">
      <c r="A3828" s="28" t="s">
        <v>20386</v>
      </c>
      <c r="B3828" s="28" t="s">
        <v>20387</v>
      </c>
      <c r="C3828" s="28" t="s">
        <v>1684</v>
      </c>
      <c r="D3828" s="28" t="s">
        <v>69</v>
      </c>
      <c r="E3828" s="28" t="s">
        <v>18049</v>
      </c>
      <c r="F3828" s="28" t="s">
        <v>21</v>
      </c>
      <c r="G3828" s="28" t="s">
        <v>39</v>
      </c>
      <c r="H3828" s="28" t="s">
        <v>16221</v>
      </c>
      <c r="I3828" s="28" t="s">
        <v>20388</v>
      </c>
      <c r="J3828" s="28" t="s">
        <v>39</v>
      </c>
      <c r="K3828" s="28" t="s">
        <v>16223</v>
      </c>
      <c r="L3828" s="28" t="s">
        <v>16224</v>
      </c>
      <c r="M3828" s="28" t="s">
        <v>20389</v>
      </c>
      <c r="N3828" s="28" t="s">
        <v>16226</v>
      </c>
      <c r="O3828" s="28" t="s">
        <v>16227</v>
      </c>
      <c r="P3828" s="28" t="s">
        <v>18052</v>
      </c>
    </row>
    <row r="3829" spans="1:16" x14ac:dyDescent="0.25">
      <c r="A3829" s="28" t="s">
        <v>20390</v>
      </c>
      <c r="B3829" s="28" t="s">
        <v>20391</v>
      </c>
      <c r="C3829" s="28" t="s">
        <v>1684</v>
      </c>
      <c r="D3829" s="28" t="s">
        <v>69</v>
      </c>
      <c r="E3829" s="28" t="s">
        <v>18055</v>
      </c>
      <c r="F3829" s="28" t="s">
        <v>21</v>
      </c>
      <c r="G3829" s="28" t="s">
        <v>39</v>
      </c>
      <c r="H3829" s="28" t="s">
        <v>16221</v>
      </c>
      <c r="I3829" s="28" t="s">
        <v>20392</v>
      </c>
      <c r="J3829" s="28" t="s">
        <v>39</v>
      </c>
      <c r="K3829" s="28" t="s">
        <v>16223</v>
      </c>
      <c r="L3829" s="28" t="s">
        <v>16224</v>
      </c>
      <c r="M3829" s="28" t="s">
        <v>20393</v>
      </c>
      <c r="N3829" s="28" t="s">
        <v>16226</v>
      </c>
      <c r="O3829" s="28" t="s">
        <v>16227</v>
      </c>
      <c r="P3829" s="28" t="s">
        <v>18058</v>
      </c>
    </row>
    <row r="3830" spans="1:16" x14ac:dyDescent="0.25">
      <c r="A3830" s="28" t="s">
        <v>20394</v>
      </c>
      <c r="B3830" s="28" t="s">
        <v>20395</v>
      </c>
      <c r="C3830" s="28" t="s">
        <v>1684</v>
      </c>
      <c r="D3830" s="28" t="s">
        <v>69</v>
      </c>
      <c r="E3830" s="28" t="s">
        <v>20396</v>
      </c>
      <c r="F3830" s="28" t="s">
        <v>21</v>
      </c>
      <c r="G3830" s="28" t="s">
        <v>39</v>
      </c>
      <c r="H3830" s="28" t="s">
        <v>16221</v>
      </c>
      <c r="I3830" s="28" t="s">
        <v>20397</v>
      </c>
      <c r="J3830" s="28" t="s">
        <v>39</v>
      </c>
      <c r="K3830" s="28" t="s">
        <v>16223</v>
      </c>
      <c r="L3830" s="28" t="s">
        <v>16224</v>
      </c>
      <c r="M3830" s="28" t="s">
        <v>20398</v>
      </c>
      <c r="N3830" s="28" t="s">
        <v>16226</v>
      </c>
      <c r="O3830" s="28" t="s">
        <v>16227</v>
      </c>
      <c r="P3830" s="28" t="s">
        <v>20399</v>
      </c>
    </row>
    <row r="3831" spans="1:16" x14ac:dyDescent="0.25">
      <c r="A3831" s="28" t="s">
        <v>20400</v>
      </c>
      <c r="B3831" s="28" t="s">
        <v>20401</v>
      </c>
      <c r="C3831" s="28" t="s">
        <v>1684</v>
      </c>
      <c r="D3831" s="28" t="s">
        <v>69</v>
      </c>
      <c r="E3831" s="28" t="s">
        <v>20396</v>
      </c>
      <c r="F3831" s="28" t="s">
        <v>21</v>
      </c>
      <c r="G3831" s="28" t="s">
        <v>39</v>
      </c>
      <c r="H3831" s="28" t="s">
        <v>16221</v>
      </c>
      <c r="I3831" s="28" t="s">
        <v>20402</v>
      </c>
      <c r="J3831" s="28" t="s">
        <v>39</v>
      </c>
      <c r="K3831" s="28" t="s">
        <v>16223</v>
      </c>
      <c r="L3831" s="28" t="s">
        <v>16224</v>
      </c>
      <c r="M3831" s="28" t="s">
        <v>20403</v>
      </c>
      <c r="N3831" s="28" t="s">
        <v>16226</v>
      </c>
      <c r="O3831" s="28" t="s">
        <v>16227</v>
      </c>
      <c r="P3831" s="28" t="s">
        <v>20399</v>
      </c>
    </row>
    <row r="3832" spans="1:16" x14ac:dyDescent="0.25">
      <c r="A3832" s="28" t="s">
        <v>20404</v>
      </c>
      <c r="B3832" s="28" t="s">
        <v>20405</v>
      </c>
      <c r="C3832" s="28" t="s">
        <v>1684</v>
      </c>
      <c r="D3832" s="28" t="s">
        <v>69</v>
      </c>
      <c r="E3832" s="28" t="s">
        <v>20396</v>
      </c>
      <c r="F3832" s="28" t="s">
        <v>21</v>
      </c>
      <c r="G3832" s="28" t="s">
        <v>39</v>
      </c>
      <c r="H3832" s="28" t="s">
        <v>16221</v>
      </c>
      <c r="I3832" s="28" t="s">
        <v>20406</v>
      </c>
      <c r="J3832" s="28" t="s">
        <v>39</v>
      </c>
      <c r="K3832" s="28" t="s">
        <v>16223</v>
      </c>
      <c r="L3832" s="28" t="s">
        <v>16224</v>
      </c>
      <c r="M3832" s="28" t="s">
        <v>20407</v>
      </c>
      <c r="N3832" s="28" t="s">
        <v>16226</v>
      </c>
      <c r="O3832" s="28" t="s">
        <v>16227</v>
      </c>
      <c r="P3832" s="28" t="s">
        <v>20399</v>
      </c>
    </row>
    <row r="3833" spans="1:16" x14ac:dyDescent="0.25">
      <c r="A3833" s="28" t="s">
        <v>20408</v>
      </c>
      <c r="B3833" s="28" t="s">
        <v>20409</v>
      </c>
      <c r="C3833" s="28" t="s">
        <v>1684</v>
      </c>
      <c r="D3833" s="28" t="s">
        <v>69</v>
      </c>
      <c r="E3833" s="28" t="s">
        <v>20396</v>
      </c>
      <c r="F3833" s="28" t="s">
        <v>21</v>
      </c>
      <c r="G3833" s="28" t="s">
        <v>39</v>
      </c>
      <c r="H3833" s="28" t="s">
        <v>16221</v>
      </c>
      <c r="I3833" s="28" t="s">
        <v>20410</v>
      </c>
      <c r="J3833" s="28" t="s">
        <v>39</v>
      </c>
      <c r="K3833" s="28" t="s">
        <v>16223</v>
      </c>
      <c r="L3833" s="28" t="s">
        <v>16224</v>
      </c>
      <c r="M3833" s="28" t="s">
        <v>20411</v>
      </c>
      <c r="N3833" s="28" t="s">
        <v>16226</v>
      </c>
      <c r="O3833" s="28" t="s">
        <v>16227</v>
      </c>
      <c r="P3833" s="28" t="s">
        <v>20399</v>
      </c>
    </row>
    <row r="3834" spans="1:16" x14ac:dyDescent="0.25">
      <c r="A3834" s="28" t="s">
        <v>20412</v>
      </c>
      <c r="B3834" s="28" t="s">
        <v>20413</v>
      </c>
      <c r="C3834" s="28" t="s">
        <v>1684</v>
      </c>
      <c r="D3834" s="28" t="s">
        <v>69</v>
      </c>
      <c r="E3834" s="28" t="s">
        <v>20414</v>
      </c>
      <c r="F3834" s="28" t="s">
        <v>21</v>
      </c>
      <c r="G3834" s="28" t="s">
        <v>39</v>
      </c>
      <c r="H3834" s="28" t="s">
        <v>16221</v>
      </c>
      <c r="I3834" s="28" t="s">
        <v>20415</v>
      </c>
      <c r="J3834" s="28" t="s">
        <v>39</v>
      </c>
      <c r="K3834" s="28" t="s">
        <v>16223</v>
      </c>
      <c r="L3834" s="28" t="s">
        <v>16224</v>
      </c>
      <c r="M3834" s="28" t="s">
        <v>20416</v>
      </c>
      <c r="N3834" s="28" t="s">
        <v>16226</v>
      </c>
      <c r="O3834" s="28" t="s">
        <v>16227</v>
      </c>
      <c r="P3834" s="28" t="s">
        <v>20417</v>
      </c>
    </row>
    <row r="3835" spans="1:16" x14ac:dyDescent="0.25">
      <c r="A3835" s="28" t="s">
        <v>20418</v>
      </c>
      <c r="B3835" s="28" t="s">
        <v>20419</v>
      </c>
      <c r="C3835" s="28" t="s">
        <v>1684</v>
      </c>
      <c r="D3835" s="28" t="s">
        <v>69</v>
      </c>
      <c r="E3835" s="28" t="s">
        <v>20414</v>
      </c>
      <c r="F3835" s="28" t="s">
        <v>21</v>
      </c>
      <c r="G3835" s="28" t="s">
        <v>39</v>
      </c>
      <c r="H3835" s="28" t="s">
        <v>16221</v>
      </c>
      <c r="I3835" s="28" t="s">
        <v>20420</v>
      </c>
      <c r="J3835" s="28" t="s">
        <v>39</v>
      </c>
      <c r="K3835" s="28" t="s">
        <v>16223</v>
      </c>
      <c r="L3835" s="28" t="s">
        <v>16224</v>
      </c>
      <c r="M3835" s="28" t="s">
        <v>20421</v>
      </c>
      <c r="N3835" s="28" t="s">
        <v>16226</v>
      </c>
      <c r="O3835" s="28" t="s">
        <v>16227</v>
      </c>
      <c r="P3835" s="28" t="s">
        <v>20417</v>
      </c>
    </row>
    <row r="3836" spans="1:16" x14ac:dyDescent="0.25">
      <c r="A3836" s="28" t="s">
        <v>20422</v>
      </c>
      <c r="B3836" s="28" t="s">
        <v>20423</v>
      </c>
      <c r="C3836" s="28" t="s">
        <v>1684</v>
      </c>
      <c r="D3836" s="28" t="s">
        <v>69</v>
      </c>
      <c r="E3836" s="28" t="s">
        <v>20414</v>
      </c>
      <c r="F3836" s="28" t="s">
        <v>21</v>
      </c>
      <c r="G3836" s="28" t="s">
        <v>39</v>
      </c>
      <c r="H3836" s="28" t="s">
        <v>16221</v>
      </c>
      <c r="I3836" s="28" t="s">
        <v>20424</v>
      </c>
      <c r="J3836" s="28" t="s">
        <v>39</v>
      </c>
      <c r="K3836" s="28" t="s">
        <v>16223</v>
      </c>
      <c r="L3836" s="28" t="s">
        <v>16224</v>
      </c>
      <c r="M3836" s="28" t="s">
        <v>20425</v>
      </c>
      <c r="N3836" s="28" t="s">
        <v>16226</v>
      </c>
      <c r="O3836" s="28" t="s">
        <v>16227</v>
      </c>
      <c r="P3836" s="28" t="s">
        <v>20417</v>
      </c>
    </row>
    <row r="3837" spans="1:16" x14ac:dyDescent="0.25">
      <c r="A3837" s="28" t="s">
        <v>20426</v>
      </c>
      <c r="B3837" s="28" t="s">
        <v>20427</v>
      </c>
      <c r="C3837" s="28" t="s">
        <v>1684</v>
      </c>
      <c r="D3837" s="28" t="s">
        <v>69</v>
      </c>
      <c r="E3837" s="28" t="s">
        <v>20414</v>
      </c>
      <c r="F3837" s="28" t="s">
        <v>21</v>
      </c>
      <c r="G3837" s="28" t="s">
        <v>39</v>
      </c>
      <c r="H3837" s="28" t="s">
        <v>16221</v>
      </c>
      <c r="I3837" s="28" t="s">
        <v>20428</v>
      </c>
      <c r="J3837" s="28" t="s">
        <v>39</v>
      </c>
      <c r="K3837" s="28" t="s">
        <v>16223</v>
      </c>
      <c r="L3837" s="28" t="s">
        <v>16224</v>
      </c>
      <c r="M3837" s="28" t="s">
        <v>20429</v>
      </c>
      <c r="N3837" s="28" t="s">
        <v>16226</v>
      </c>
      <c r="O3837" s="28" t="s">
        <v>16227</v>
      </c>
      <c r="P3837" s="28" t="s">
        <v>20417</v>
      </c>
    </row>
    <row r="3838" spans="1:16" x14ac:dyDescent="0.25">
      <c r="A3838" s="28" t="s">
        <v>20430</v>
      </c>
      <c r="B3838" s="28" t="s">
        <v>20431</v>
      </c>
      <c r="C3838" s="28" t="s">
        <v>1684</v>
      </c>
      <c r="D3838" s="28" t="s">
        <v>69</v>
      </c>
      <c r="E3838" s="28" t="s">
        <v>20414</v>
      </c>
      <c r="F3838" s="28" t="s">
        <v>21</v>
      </c>
      <c r="G3838" s="28" t="s">
        <v>39</v>
      </c>
      <c r="H3838" s="28" t="s">
        <v>16221</v>
      </c>
      <c r="I3838" s="28" t="s">
        <v>20432</v>
      </c>
      <c r="J3838" s="28" t="s">
        <v>39</v>
      </c>
      <c r="K3838" s="28" t="s">
        <v>16223</v>
      </c>
      <c r="L3838" s="28" t="s">
        <v>16224</v>
      </c>
      <c r="M3838" s="28" t="s">
        <v>20433</v>
      </c>
      <c r="N3838" s="28" t="s">
        <v>16226</v>
      </c>
      <c r="O3838" s="28" t="s">
        <v>16227</v>
      </c>
      <c r="P3838" s="28" t="s">
        <v>20417</v>
      </c>
    </row>
    <row r="3839" spans="1:16" x14ac:dyDescent="0.25">
      <c r="A3839" s="28" t="s">
        <v>20434</v>
      </c>
      <c r="B3839" s="28" t="s">
        <v>20435</v>
      </c>
      <c r="C3839" s="28" t="s">
        <v>1684</v>
      </c>
      <c r="D3839" s="28" t="s">
        <v>69</v>
      </c>
      <c r="E3839" s="28" t="s">
        <v>20414</v>
      </c>
      <c r="F3839" s="28" t="s">
        <v>21</v>
      </c>
      <c r="G3839" s="28" t="s">
        <v>39</v>
      </c>
      <c r="H3839" s="28" t="s">
        <v>16221</v>
      </c>
      <c r="I3839" s="28" t="s">
        <v>20436</v>
      </c>
      <c r="J3839" s="28" t="s">
        <v>39</v>
      </c>
      <c r="K3839" s="28" t="s">
        <v>16223</v>
      </c>
      <c r="L3839" s="28" t="s">
        <v>16224</v>
      </c>
      <c r="M3839" s="28" t="s">
        <v>20437</v>
      </c>
      <c r="N3839" s="28" t="s">
        <v>16226</v>
      </c>
      <c r="O3839" s="28" t="s">
        <v>16227</v>
      </c>
      <c r="P3839" s="28" t="s">
        <v>20417</v>
      </c>
    </row>
    <row r="3840" spans="1:16" x14ac:dyDescent="0.25">
      <c r="A3840" s="28" t="s">
        <v>20438</v>
      </c>
      <c r="B3840" s="28" t="s">
        <v>20439</v>
      </c>
      <c r="C3840" s="28" t="s">
        <v>1684</v>
      </c>
      <c r="D3840" s="28" t="s">
        <v>69</v>
      </c>
      <c r="E3840" s="28" t="s">
        <v>20414</v>
      </c>
      <c r="F3840" s="28" t="s">
        <v>21</v>
      </c>
      <c r="G3840" s="28" t="s">
        <v>39</v>
      </c>
      <c r="H3840" s="28" t="s">
        <v>16221</v>
      </c>
      <c r="I3840" s="28" t="s">
        <v>20440</v>
      </c>
      <c r="J3840" s="28" t="s">
        <v>39</v>
      </c>
      <c r="K3840" s="28" t="s">
        <v>16223</v>
      </c>
      <c r="L3840" s="28" t="s">
        <v>16224</v>
      </c>
      <c r="M3840" s="28" t="s">
        <v>20441</v>
      </c>
      <c r="N3840" s="28" t="s">
        <v>16226</v>
      </c>
      <c r="O3840" s="28" t="s">
        <v>16227</v>
      </c>
      <c r="P3840" s="28" t="s">
        <v>20417</v>
      </c>
    </row>
    <row r="3841" spans="1:16" x14ac:dyDescent="0.25">
      <c r="A3841" s="28" t="s">
        <v>20442</v>
      </c>
      <c r="B3841" s="28" t="s">
        <v>20443</v>
      </c>
      <c r="C3841" s="28" t="s">
        <v>1684</v>
      </c>
      <c r="D3841" s="28" t="s">
        <v>69</v>
      </c>
      <c r="E3841" s="28" t="s">
        <v>20414</v>
      </c>
      <c r="F3841" s="28" t="s">
        <v>21</v>
      </c>
      <c r="G3841" s="28" t="s">
        <v>39</v>
      </c>
      <c r="H3841" s="28" t="s">
        <v>16221</v>
      </c>
      <c r="I3841" s="28" t="s">
        <v>20444</v>
      </c>
      <c r="J3841" s="28" t="s">
        <v>39</v>
      </c>
      <c r="K3841" s="28" t="s">
        <v>16223</v>
      </c>
      <c r="L3841" s="28" t="s">
        <v>16224</v>
      </c>
      <c r="M3841" s="28" t="s">
        <v>20445</v>
      </c>
      <c r="N3841" s="28" t="s">
        <v>16226</v>
      </c>
      <c r="O3841" s="28" t="s">
        <v>16227</v>
      </c>
      <c r="P3841" s="28" t="s">
        <v>20417</v>
      </c>
    </row>
    <row r="3842" spans="1:16" x14ac:dyDescent="0.25">
      <c r="A3842" s="28" t="s">
        <v>20446</v>
      </c>
      <c r="B3842" s="28" t="s">
        <v>20447</v>
      </c>
      <c r="C3842" s="28" t="s">
        <v>1684</v>
      </c>
      <c r="D3842" s="28" t="s">
        <v>69</v>
      </c>
      <c r="E3842" s="28" t="s">
        <v>20414</v>
      </c>
      <c r="F3842" s="28" t="s">
        <v>21</v>
      </c>
      <c r="G3842" s="28" t="s">
        <v>39</v>
      </c>
      <c r="H3842" s="28" t="s">
        <v>16221</v>
      </c>
      <c r="I3842" s="28" t="s">
        <v>20448</v>
      </c>
      <c r="J3842" s="28" t="s">
        <v>39</v>
      </c>
      <c r="K3842" s="28" t="s">
        <v>16223</v>
      </c>
      <c r="L3842" s="28" t="s">
        <v>16224</v>
      </c>
      <c r="M3842" s="28" t="s">
        <v>20449</v>
      </c>
      <c r="N3842" s="28" t="s">
        <v>16226</v>
      </c>
      <c r="O3842" s="28" t="s">
        <v>16227</v>
      </c>
      <c r="P3842" s="28" t="s">
        <v>20417</v>
      </c>
    </row>
    <row r="3843" spans="1:16" x14ac:dyDescent="0.25">
      <c r="A3843" s="28" t="s">
        <v>20450</v>
      </c>
      <c r="B3843" s="28" t="s">
        <v>20451</v>
      </c>
      <c r="C3843" s="28" t="s">
        <v>1684</v>
      </c>
      <c r="D3843" s="28" t="s">
        <v>69</v>
      </c>
      <c r="E3843" s="28" t="s">
        <v>20414</v>
      </c>
      <c r="F3843" s="28" t="s">
        <v>21</v>
      </c>
      <c r="G3843" s="28" t="s">
        <v>39</v>
      </c>
      <c r="H3843" s="28" t="s">
        <v>16221</v>
      </c>
      <c r="I3843" s="28" t="s">
        <v>20452</v>
      </c>
      <c r="J3843" s="28" t="s">
        <v>39</v>
      </c>
      <c r="K3843" s="28" t="s">
        <v>16223</v>
      </c>
      <c r="L3843" s="28" t="s">
        <v>16224</v>
      </c>
      <c r="M3843" s="28" t="s">
        <v>20453</v>
      </c>
      <c r="N3843" s="28" t="s">
        <v>16226</v>
      </c>
      <c r="O3843" s="28" t="s">
        <v>16227</v>
      </c>
      <c r="P3843" s="28" t="s">
        <v>20417</v>
      </c>
    </row>
    <row r="3844" spans="1:16" x14ac:dyDescent="0.25">
      <c r="A3844" s="28" t="s">
        <v>20454</v>
      </c>
      <c r="B3844" s="28" t="s">
        <v>20455</v>
      </c>
      <c r="C3844" s="28" t="s">
        <v>1684</v>
      </c>
      <c r="D3844" s="28" t="s">
        <v>69</v>
      </c>
      <c r="E3844" s="28" t="s">
        <v>20414</v>
      </c>
      <c r="F3844" s="28" t="s">
        <v>21</v>
      </c>
      <c r="G3844" s="28" t="s">
        <v>39</v>
      </c>
      <c r="H3844" s="28" t="s">
        <v>16221</v>
      </c>
      <c r="I3844" s="28" t="s">
        <v>20456</v>
      </c>
      <c r="J3844" s="28" t="s">
        <v>39</v>
      </c>
      <c r="K3844" s="28" t="s">
        <v>16223</v>
      </c>
      <c r="L3844" s="28" t="s">
        <v>16224</v>
      </c>
      <c r="M3844" s="28" t="s">
        <v>20457</v>
      </c>
      <c r="N3844" s="28" t="s">
        <v>16226</v>
      </c>
      <c r="O3844" s="28" t="s">
        <v>16227</v>
      </c>
      <c r="P3844" s="28" t="s">
        <v>20417</v>
      </c>
    </row>
    <row r="3845" spans="1:16" x14ac:dyDescent="0.25">
      <c r="A3845" s="28" t="s">
        <v>20458</v>
      </c>
      <c r="B3845" s="28" t="s">
        <v>20459</v>
      </c>
      <c r="C3845" s="28" t="s">
        <v>1684</v>
      </c>
      <c r="D3845" s="28" t="s">
        <v>69</v>
      </c>
      <c r="E3845" s="28" t="s">
        <v>20414</v>
      </c>
      <c r="F3845" s="28" t="s">
        <v>21</v>
      </c>
      <c r="G3845" s="28" t="s">
        <v>39</v>
      </c>
      <c r="H3845" s="28" t="s">
        <v>16221</v>
      </c>
      <c r="I3845" s="28" t="s">
        <v>20460</v>
      </c>
      <c r="J3845" s="28" t="s">
        <v>39</v>
      </c>
      <c r="K3845" s="28" t="s">
        <v>16223</v>
      </c>
      <c r="L3845" s="28" t="s">
        <v>16224</v>
      </c>
      <c r="M3845" s="28" t="s">
        <v>20461</v>
      </c>
      <c r="N3845" s="28" t="s">
        <v>16226</v>
      </c>
      <c r="O3845" s="28" t="s">
        <v>16227</v>
      </c>
      <c r="P3845" s="28" t="s">
        <v>20417</v>
      </c>
    </row>
    <row r="3846" spans="1:16" x14ac:dyDescent="0.25">
      <c r="A3846" s="28" t="s">
        <v>20462</v>
      </c>
      <c r="B3846" s="28" t="s">
        <v>20463</v>
      </c>
      <c r="C3846" s="28" t="s">
        <v>1684</v>
      </c>
      <c r="D3846" s="28" t="s">
        <v>69</v>
      </c>
      <c r="E3846" s="28" t="s">
        <v>20414</v>
      </c>
      <c r="F3846" s="28" t="s">
        <v>21</v>
      </c>
      <c r="G3846" s="28" t="s">
        <v>39</v>
      </c>
      <c r="H3846" s="28" t="s">
        <v>16221</v>
      </c>
      <c r="I3846" s="28" t="s">
        <v>20464</v>
      </c>
      <c r="J3846" s="28" t="s">
        <v>39</v>
      </c>
      <c r="K3846" s="28" t="s">
        <v>16223</v>
      </c>
      <c r="L3846" s="28" t="s">
        <v>16224</v>
      </c>
      <c r="M3846" s="28" t="s">
        <v>20465</v>
      </c>
      <c r="N3846" s="28" t="s">
        <v>16226</v>
      </c>
      <c r="O3846" s="28" t="s">
        <v>16227</v>
      </c>
      <c r="P3846" s="28" t="s">
        <v>20417</v>
      </c>
    </row>
    <row r="3847" spans="1:16" x14ac:dyDescent="0.25">
      <c r="A3847" s="28" t="s">
        <v>20466</v>
      </c>
      <c r="B3847" s="28" t="s">
        <v>20467</v>
      </c>
      <c r="C3847" s="28" t="s">
        <v>1684</v>
      </c>
      <c r="D3847" s="28" t="s">
        <v>69</v>
      </c>
      <c r="E3847" s="28" t="s">
        <v>20414</v>
      </c>
      <c r="F3847" s="28" t="s">
        <v>21</v>
      </c>
      <c r="G3847" s="28" t="s">
        <v>39</v>
      </c>
      <c r="H3847" s="28" t="s">
        <v>16221</v>
      </c>
      <c r="I3847" s="28" t="s">
        <v>20468</v>
      </c>
      <c r="J3847" s="28" t="s">
        <v>39</v>
      </c>
      <c r="K3847" s="28" t="s">
        <v>16223</v>
      </c>
      <c r="L3847" s="28" t="s">
        <v>16224</v>
      </c>
      <c r="M3847" s="28" t="s">
        <v>20469</v>
      </c>
      <c r="N3847" s="28" t="s">
        <v>16226</v>
      </c>
      <c r="O3847" s="28" t="s">
        <v>16227</v>
      </c>
      <c r="P3847" s="28" t="s">
        <v>20417</v>
      </c>
    </row>
    <row r="3848" spans="1:16" x14ac:dyDescent="0.25">
      <c r="A3848" s="28" t="s">
        <v>20470</v>
      </c>
      <c r="B3848" s="28" t="s">
        <v>20471</v>
      </c>
      <c r="C3848" s="28" t="s">
        <v>1684</v>
      </c>
      <c r="D3848" s="28" t="s">
        <v>69</v>
      </c>
      <c r="E3848" s="28" t="s">
        <v>20414</v>
      </c>
      <c r="F3848" s="28" t="s">
        <v>21</v>
      </c>
      <c r="G3848" s="28" t="s">
        <v>39</v>
      </c>
      <c r="H3848" s="28" t="s">
        <v>16221</v>
      </c>
      <c r="I3848" s="28" t="s">
        <v>20472</v>
      </c>
      <c r="J3848" s="28" t="s">
        <v>39</v>
      </c>
      <c r="K3848" s="28" t="s">
        <v>16223</v>
      </c>
      <c r="L3848" s="28" t="s">
        <v>16224</v>
      </c>
      <c r="M3848" s="28" t="s">
        <v>20473</v>
      </c>
      <c r="N3848" s="28" t="s">
        <v>16226</v>
      </c>
      <c r="O3848" s="28" t="s">
        <v>16227</v>
      </c>
      <c r="P3848" s="28" t="s">
        <v>20417</v>
      </c>
    </row>
    <row r="3849" spans="1:16" x14ac:dyDescent="0.25">
      <c r="A3849" s="28" t="s">
        <v>20474</v>
      </c>
      <c r="B3849" s="28" t="s">
        <v>20475</v>
      </c>
      <c r="C3849" s="28" t="s">
        <v>1684</v>
      </c>
      <c r="D3849" s="28" t="s">
        <v>69</v>
      </c>
      <c r="E3849" s="28" t="s">
        <v>20414</v>
      </c>
      <c r="F3849" s="28" t="s">
        <v>21</v>
      </c>
      <c r="G3849" s="28" t="s">
        <v>39</v>
      </c>
      <c r="H3849" s="28" t="s">
        <v>16221</v>
      </c>
      <c r="I3849" s="28" t="s">
        <v>20476</v>
      </c>
      <c r="J3849" s="28" t="s">
        <v>39</v>
      </c>
      <c r="K3849" s="28" t="s">
        <v>16223</v>
      </c>
      <c r="L3849" s="28" t="s">
        <v>16224</v>
      </c>
      <c r="M3849" s="28" t="s">
        <v>20477</v>
      </c>
      <c r="N3849" s="28" t="s">
        <v>16226</v>
      </c>
      <c r="O3849" s="28" t="s">
        <v>16227</v>
      </c>
      <c r="P3849" s="28" t="s">
        <v>20417</v>
      </c>
    </row>
    <row r="3850" spans="1:16" x14ac:dyDescent="0.25">
      <c r="A3850" s="28" t="s">
        <v>20478</v>
      </c>
      <c r="B3850" s="28" t="s">
        <v>20479</v>
      </c>
      <c r="C3850" s="28" t="s">
        <v>1684</v>
      </c>
      <c r="D3850" s="28" t="s">
        <v>69</v>
      </c>
      <c r="E3850" s="28" t="s">
        <v>20414</v>
      </c>
      <c r="F3850" s="28" t="s">
        <v>21</v>
      </c>
      <c r="G3850" s="28" t="s">
        <v>39</v>
      </c>
      <c r="H3850" s="28" t="s">
        <v>16221</v>
      </c>
      <c r="I3850" s="28" t="s">
        <v>20480</v>
      </c>
      <c r="J3850" s="28" t="s">
        <v>39</v>
      </c>
      <c r="K3850" s="28" t="s">
        <v>16223</v>
      </c>
      <c r="L3850" s="28" t="s">
        <v>16224</v>
      </c>
      <c r="M3850" s="28" t="s">
        <v>20481</v>
      </c>
      <c r="N3850" s="28" t="s">
        <v>16226</v>
      </c>
      <c r="O3850" s="28" t="s">
        <v>16227</v>
      </c>
      <c r="P3850" s="28" t="s">
        <v>20417</v>
      </c>
    </row>
    <row r="3851" spans="1:16" x14ac:dyDescent="0.25">
      <c r="A3851" s="28" t="s">
        <v>20482</v>
      </c>
      <c r="B3851" s="28" t="s">
        <v>20483</v>
      </c>
      <c r="C3851" s="28" t="s">
        <v>1684</v>
      </c>
      <c r="D3851" s="28" t="s">
        <v>69</v>
      </c>
      <c r="E3851" s="28" t="s">
        <v>20414</v>
      </c>
      <c r="F3851" s="28" t="s">
        <v>21</v>
      </c>
      <c r="G3851" s="28" t="s">
        <v>39</v>
      </c>
      <c r="H3851" s="28" t="s">
        <v>16221</v>
      </c>
      <c r="I3851" s="28" t="s">
        <v>20484</v>
      </c>
      <c r="J3851" s="28" t="s">
        <v>39</v>
      </c>
      <c r="K3851" s="28" t="s">
        <v>16223</v>
      </c>
      <c r="L3851" s="28" t="s">
        <v>16224</v>
      </c>
      <c r="M3851" s="28" t="s">
        <v>20485</v>
      </c>
      <c r="N3851" s="28" t="s">
        <v>16226</v>
      </c>
      <c r="O3851" s="28" t="s">
        <v>16227</v>
      </c>
      <c r="P3851" s="28" t="s">
        <v>20417</v>
      </c>
    </row>
    <row r="3852" spans="1:16" x14ac:dyDescent="0.25">
      <c r="A3852" s="28" t="s">
        <v>20486</v>
      </c>
      <c r="B3852" s="28" t="s">
        <v>20487</v>
      </c>
      <c r="C3852" s="28" t="s">
        <v>1684</v>
      </c>
      <c r="D3852" s="28" t="s">
        <v>69</v>
      </c>
      <c r="E3852" s="28" t="s">
        <v>20414</v>
      </c>
      <c r="F3852" s="28" t="s">
        <v>21</v>
      </c>
      <c r="G3852" s="28" t="s">
        <v>39</v>
      </c>
      <c r="H3852" s="28" t="s">
        <v>16221</v>
      </c>
      <c r="I3852" s="28" t="s">
        <v>20488</v>
      </c>
      <c r="J3852" s="28" t="s">
        <v>39</v>
      </c>
      <c r="K3852" s="28" t="s">
        <v>16223</v>
      </c>
      <c r="L3852" s="28" t="s">
        <v>16224</v>
      </c>
      <c r="M3852" s="28" t="s">
        <v>20489</v>
      </c>
      <c r="N3852" s="28" t="s">
        <v>16226</v>
      </c>
      <c r="O3852" s="28" t="s">
        <v>16227</v>
      </c>
      <c r="P3852" s="28" t="s">
        <v>20417</v>
      </c>
    </row>
    <row r="3853" spans="1:16" x14ac:dyDescent="0.25">
      <c r="A3853" s="28" t="s">
        <v>20490</v>
      </c>
      <c r="B3853" s="28" t="s">
        <v>20491</v>
      </c>
      <c r="C3853" s="28" t="s">
        <v>1684</v>
      </c>
      <c r="D3853" s="28" t="s">
        <v>69</v>
      </c>
      <c r="E3853" s="28" t="s">
        <v>20414</v>
      </c>
      <c r="F3853" s="28" t="s">
        <v>21</v>
      </c>
      <c r="G3853" s="28" t="s">
        <v>39</v>
      </c>
      <c r="H3853" s="28" t="s">
        <v>16221</v>
      </c>
      <c r="I3853" s="28" t="s">
        <v>20492</v>
      </c>
      <c r="J3853" s="28" t="s">
        <v>39</v>
      </c>
      <c r="K3853" s="28" t="s">
        <v>16223</v>
      </c>
      <c r="L3853" s="28" t="s">
        <v>16224</v>
      </c>
      <c r="M3853" s="28" t="s">
        <v>20493</v>
      </c>
      <c r="N3853" s="28" t="s">
        <v>16226</v>
      </c>
      <c r="O3853" s="28" t="s">
        <v>16227</v>
      </c>
      <c r="P3853" s="28" t="s">
        <v>20417</v>
      </c>
    </row>
    <row r="3854" spans="1:16" x14ac:dyDescent="0.25">
      <c r="A3854" s="28" t="s">
        <v>20494</v>
      </c>
      <c r="B3854" s="28" t="s">
        <v>20495</v>
      </c>
      <c r="C3854" s="28" t="s">
        <v>1684</v>
      </c>
      <c r="D3854" s="28" t="s">
        <v>69</v>
      </c>
      <c r="E3854" s="28" t="s">
        <v>20414</v>
      </c>
      <c r="F3854" s="28" t="s">
        <v>21</v>
      </c>
      <c r="G3854" s="28" t="s">
        <v>39</v>
      </c>
      <c r="H3854" s="28" t="s">
        <v>16221</v>
      </c>
      <c r="I3854" s="28" t="s">
        <v>20496</v>
      </c>
      <c r="J3854" s="28" t="s">
        <v>39</v>
      </c>
      <c r="K3854" s="28" t="s">
        <v>16223</v>
      </c>
      <c r="L3854" s="28" t="s">
        <v>16224</v>
      </c>
      <c r="M3854" s="28" t="s">
        <v>20497</v>
      </c>
      <c r="N3854" s="28" t="s">
        <v>16226</v>
      </c>
      <c r="O3854" s="28" t="s">
        <v>16227</v>
      </c>
      <c r="P3854" s="28" t="s">
        <v>20417</v>
      </c>
    </row>
    <row r="3855" spans="1:16" x14ac:dyDescent="0.25">
      <c r="A3855" s="28" t="s">
        <v>20498</v>
      </c>
      <c r="B3855" s="28" t="s">
        <v>20499</v>
      </c>
      <c r="C3855" s="28" t="s">
        <v>1684</v>
      </c>
      <c r="D3855" s="28" t="s">
        <v>69</v>
      </c>
      <c r="E3855" s="28" t="s">
        <v>20414</v>
      </c>
      <c r="F3855" s="28" t="s">
        <v>21</v>
      </c>
      <c r="G3855" s="28" t="s">
        <v>39</v>
      </c>
      <c r="H3855" s="28" t="s">
        <v>16221</v>
      </c>
      <c r="I3855" s="28" t="s">
        <v>20500</v>
      </c>
      <c r="J3855" s="28" t="s">
        <v>39</v>
      </c>
      <c r="K3855" s="28" t="s">
        <v>16223</v>
      </c>
      <c r="L3855" s="28" t="s">
        <v>16224</v>
      </c>
      <c r="M3855" s="28" t="s">
        <v>20501</v>
      </c>
      <c r="N3855" s="28" t="s">
        <v>16226</v>
      </c>
      <c r="O3855" s="28" t="s">
        <v>16227</v>
      </c>
      <c r="P3855" s="28" t="s">
        <v>20417</v>
      </c>
    </row>
    <row r="3856" spans="1:16" x14ac:dyDescent="0.25">
      <c r="A3856" s="28" t="s">
        <v>20502</v>
      </c>
      <c r="B3856" s="28" t="s">
        <v>20503</v>
      </c>
      <c r="C3856" s="28" t="s">
        <v>1684</v>
      </c>
      <c r="D3856" s="28" t="s">
        <v>69</v>
      </c>
      <c r="E3856" s="28" t="s">
        <v>18061</v>
      </c>
      <c r="F3856" s="28" t="s">
        <v>21</v>
      </c>
      <c r="G3856" s="28" t="s">
        <v>39</v>
      </c>
      <c r="H3856" s="28" t="s">
        <v>16221</v>
      </c>
      <c r="I3856" s="28" t="s">
        <v>20504</v>
      </c>
      <c r="J3856" s="28" t="s">
        <v>39</v>
      </c>
      <c r="K3856" s="28" t="s">
        <v>16223</v>
      </c>
      <c r="L3856" s="28" t="s">
        <v>16224</v>
      </c>
      <c r="M3856" s="28" t="s">
        <v>20505</v>
      </c>
      <c r="N3856" s="28" t="s">
        <v>16226</v>
      </c>
      <c r="O3856" s="28" t="s">
        <v>16227</v>
      </c>
      <c r="P3856" s="28" t="s">
        <v>18064</v>
      </c>
    </row>
    <row r="3857" spans="1:16" x14ac:dyDescent="0.25">
      <c r="A3857" s="28" t="s">
        <v>20506</v>
      </c>
      <c r="B3857" s="28" t="s">
        <v>20507</v>
      </c>
      <c r="C3857" s="28" t="s">
        <v>1684</v>
      </c>
      <c r="D3857" s="28" t="s">
        <v>69</v>
      </c>
      <c r="E3857" s="28" t="s">
        <v>20508</v>
      </c>
      <c r="F3857" s="28" t="s">
        <v>21</v>
      </c>
      <c r="G3857" s="28" t="s">
        <v>39</v>
      </c>
      <c r="H3857" s="28" t="s">
        <v>16221</v>
      </c>
      <c r="I3857" s="28" t="s">
        <v>20509</v>
      </c>
      <c r="J3857" s="28" t="s">
        <v>39</v>
      </c>
      <c r="K3857" s="28" t="s">
        <v>16223</v>
      </c>
      <c r="L3857" s="28" t="s">
        <v>16224</v>
      </c>
      <c r="M3857" s="28" t="s">
        <v>20510</v>
      </c>
      <c r="N3857" s="28" t="s">
        <v>16226</v>
      </c>
      <c r="O3857" s="28" t="s">
        <v>16227</v>
      </c>
      <c r="P3857" s="28" t="s">
        <v>20511</v>
      </c>
    </row>
    <row r="3858" spans="1:16" x14ac:dyDescent="0.25">
      <c r="A3858" s="28" t="s">
        <v>20512</v>
      </c>
      <c r="B3858" s="28" t="s">
        <v>20513</v>
      </c>
      <c r="C3858" s="28" t="s">
        <v>1684</v>
      </c>
      <c r="D3858" s="28" t="s">
        <v>69</v>
      </c>
      <c r="E3858" s="28" t="s">
        <v>20514</v>
      </c>
      <c r="F3858" s="28" t="s">
        <v>21</v>
      </c>
      <c r="G3858" s="28" t="s">
        <v>39</v>
      </c>
      <c r="H3858" s="28" t="s">
        <v>16221</v>
      </c>
      <c r="I3858" s="28" t="s">
        <v>20515</v>
      </c>
      <c r="J3858" s="28" t="s">
        <v>39</v>
      </c>
      <c r="K3858" s="28" t="s">
        <v>16223</v>
      </c>
      <c r="L3858" s="28" t="s">
        <v>16224</v>
      </c>
      <c r="M3858" s="28" t="s">
        <v>20516</v>
      </c>
      <c r="N3858" s="28" t="s">
        <v>16226</v>
      </c>
      <c r="O3858" s="28" t="s">
        <v>16227</v>
      </c>
      <c r="P3858" s="28" t="s">
        <v>20517</v>
      </c>
    </row>
    <row r="3859" spans="1:16" x14ac:dyDescent="0.25">
      <c r="A3859" s="28" t="s">
        <v>20518</v>
      </c>
      <c r="B3859" s="28" t="s">
        <v>20519</v>
      </c>
      <c r="C3859" s="28" t="s">
        <v>1684</v>
      </c>
      <c r="D3859" s="28" t="s">
        <v>69</v>
      </c>
      <c r="E3859" s="28" t="s">
        <v>20514</v>
      </c>
      <c r="F3859" s="28" t="s">
        <v>21</v>
      </c>
      <c r="G3859" s="28" t="s">
        <v>39</v>
      </c>
      <c r="H3859" s="28" t="s">
        <v>16221</v>
      </c>
      <c r="I3859" s="28" t="s">
        <v>20520</v>
      </c>
      <c r="J3859" s="28" t="s">
        <v>39</v>
      </c>
      <c r="K3859" s="28" t="s">
        <v>16223</v>
      </c>
      <c r="L3859" s="28" t="s">
        <v>16224</v>
      </c>
      <c r="M3859" s="28" t="s">
        <v>20521</v>
      </c>
      <c r="N3859" s="28" t="s">
        <v>16226</v>
      </c>
      <c r="O3859" s="28" t="s">
        <v>16227</v>
      </c>
      <c r="P3859" s="28" t="s">
        <v>20517</v>
      </c>
    </row>
    <row r="3860" spans="1:16" x14ac:dyDescent="0.25">
      <c r="A3860" s="28" t="s">
        <v>20522</v>
      </c>
      <c r="B3860" s="28" t="s">
        <v>20523</v>
      </c>
      <c r="C3860" s="28" t="s">
        <v>1684</v>
      </c>
      <c r="D3860" s="28" t="s">
        <v>69</v>
      </c>
      <c r="E3860" s="28" t="s">
        <v>5287</v>
      </c>
      <c r="F3860" s="28" t="s">
        <v>21</v>
      </c>
      <c r="G3860" s="28" t="s">
        <v>149</v>
      </c>
      <c r="H3860" s="28" t="s">
        <v>16221</v>
      </c>
      <c r="I3860" s="28" t="s">
        <v>20524</v>
      </c>
      <c r="J3860" s="28" t="s">
        <v>149</v>
      </c>
      <c r="K3860" s="28" t="s">
        <v>17201</v>
      </c>
      <c r="L3860" s="28" t="s">
        <v>16224</v>
      </c>
      <c r="M3860" s="28" t="s">
        <v>20525</v>
      </c>
      <c r="N3860" s="28" t="s">
        <v>16226</v>
      </c>
      <c r="O3860" s="28" t="s">
        <v>16227</v>
      </c>
      <c r="P3860" s="28" t="s">
        <v>20526</v>
      </c>
    </row>
    <row r="3861" spans="1:16" x14ac:dyDescent="0.25">
      <c r="A3861" s="28" t="s">
        <v>20527</v>
      </c>
      <c r="B3861" s="28" t="s">
        <v>20528</v>
      </c>
      <c r="C3861" s="28" t="s">
        <v>1684</v>
      </c>
      <c r="D3861" s="28" t="s">
        <v>69</v>
      </c>
      <c r="E3861" s="28" t="s">
        <v>18079</v>
      </c>
      <c r="F3861" s="28" t="s">
        <v>21</v>
      </c>
      <c r="G3861" s="28" t="s">
        <v>39</v>
      </c>
      <c r="H3861" s="28" t="s">
        <v>16221</v>
      </c>
      <c r="I3861" s="28" t="s">
        <v>20529</v>
      </c>
      <c r="J3861" s="28" t="s">
        <v>39</v>
      </c>
      <c r="K3861" s="28" t="s">
        <v>16223</v>
      </c>
      <c r="L3861" s="28" t="s">
        <v>16224</v>
      </c>
      <c r="M3861" s="28" t="s">
        <v>20530</v>
      </c>
      <c r="N3861" s="28" t="s">
        <v>16226</v>
      </c>
      <c r="O3861" s="28" t="s">
        <v>16227</v>
      </c>
      <c r="P3861" s="28" t="s">
        <v>18082</v>
      </c>
    </row>
    <row r="3862" spans="1:16" x14ac:dyDescent="0.25">
      <c r="A3862" s="28" t="s">
        <v>20531</v>
      </c>
      <c r="B3862" s="28" t="s">
        <v>20532</v>
      </c>
      <c r="C3862" s="28" t="s">
        <v>1684</v>
      </c>
      <c r="D3862" s="28" t="s">
        <v>2541</v>
      </c>
      <c r="E3862" s="28" t="s">
        <v>20533</v>
      </c>
      <c r="F3862" s="28" t="s">
        <v>21</v>
      </c>
      <c r="G3862" s="28" t="s">
        <v>39</v>
      </c>
      <c r="H3862" s="28" t="s">
        <v>16221</v>
      </c>
      <c r="I3862" s="28" t="s">
        <v>20534</v>
      </c>
      <c r="J3862" s="28" t="s">
        <v>39</v>
      </c>
      <c r="K3862" s="28" t="s">
        <v>16223</v>
      </c>
      <c r="L3862" s="28" t="s">
        <v>16224</v>
      </c>
      <c r="M3862" s="28" t="s">
        <v>20535</v>
      </c>
      <c r="N3862" s="28" t="s">
        <v>16226</v>
      </c>
      <c r="O3862" s="28" t="s">
        <v>16227</v>
      </c>
      <c r="P3862" s="28" t="s">
        <v>20536</v>
      </c>
    </row>
    <row r="3863" spans="1:16" x14ac:dyDescent="0.25">
      <c r="A3863" s="28" t="s">
        <v>20537</v>
      </c>
      <c r="B3863" s="28" t="s">
        <v>20538</v>
      </c>
      <c r="C3863" s="28" t="s">
        <v>1684</v>
      </c>
      <c r="D3863" s="28" t="s">
        <v>2541</v>
      </c>
      <c r="E3863" s="28" t="s">
        <v>20533</v>
      </c>
      <c r="F3863" s="28" t="s">
        <v>21</v>
      </c>
      <c r="G3863" s="28" t="s">
        <v>39</v>
      </c>
      <c r="H3863" s="28" t="s">
        <v>16221</v>
      </c>
      <c r="I3863" s="28" t="s">
        <v>20539</v>
      </c>
      <c r="J3863" s="28" t="s">
        <v>39</v>
      </c>
      <c r="K3863" s="28" t="s">
        <v>16223</v>
      </c>
      <c r="L3863" s="28" t="s">
        <v>16224</v>
      </c>
      <c r="M3863" s="28" t="s">
        <v>20540</v>
      </c>
      <c r="N3863" s="28" t="s">
        <v>16226</v>
      </c>
      <c r="O3863" s="28" t="s">
        <v>16227</v>
      </c>
      <c r="P3863" s="28" t="s">
        <v>20536</v>
      </c>
    </row>
    <row r="3864" spans="1:16" x14ac:dyDescent="0.25">
      <c r="A3864" s="28" t="s">
        <v>20541</v>
      </c>
      <c r="B3864" s="28" t="s">
        <v>20542</v>
      </c>
      <c r="C3864" s="28" t="s">
        <v>1684</v>
      </c>
      <c r="D3864" s="28" t="s">
        <v>1271</v>
      </c>
      <c r="E3864" s="28" t="s">
        <v>20543</v>
      </c>
      <c r="F3864" s="28" t="s">
        <v>21</v>
      </c>
      <c r="G3864" s="28" t="s">
        <v>39</v>
      </c>
      <c r="H3864" s="28" t="s">
        <v>16221</v>
      </c>
      <c r="I3864" s="28" t="s">
        <v>20544</v>
      </c>
      <c r="J3864" s="28" t="s">
        <v>39</v>
      </c>
      <c r="K3864" s="28" t="s">
        <v>16223</v>
      </c>
      <c r="L3864" s="28" t="s">
        <v>16224</v>
      </c>
      <c r="M3864" s="28" t="s">
        <v>20545</v>
      </c>
      <c r="N3864" s="28" t="s">
        <v>16226</v>
      </c>
      <c r="O3864" s="28" t="s">
        <v>16227</v>
      </c>
      <c r="P3864" s="28" t="s">
        <v>20546</v>
      </c>
    </row>
    <row r="3865" spans="1:16" x14ac:dyDescent="0.25">
      <c r="A3865" s="28" t="s">
        <v>20547</v>
      </c>
      <c r="B3865" s="28" t="s">
        <v>20548</v>
      </c>
      <c r="C3865" s="28" t="s">
        <v>1684</v>
      </c>
      <c r="D3865" s="28" t="s">
        <v>1271</v>
      </c>
      <c r="E3865" s="28" t="s">
        <v>20549</v>
      </c>
      <c r="F3865" s="28" t="s">
        <v>21</v>
      </c>
      <c r="G3865" s="28" t="s">
        <v>39</v>
      </c>
      <c r="H3865" s="28" t="s">
        <v>16221</v>
      </c>
      <c r="I3865" s="28" t="s">
        <v>20550</v>
      </c>
      <c r="J3865" s="28" t="s">
        <v>39</v>
      </c>
      <c r="K3865" s="28" t="s">
        <v>16223</v>
      </c>
      <c r="L3865" s="28" t="s">
        <v>16224</v>
      </c>
      <c r="M3865" s="28" t="s">
        <v>20551</v>
      </c>
      <c r="N3865" s="28" t="s">
        <v>16226</v>
      </c>
      <c r="O3865" s="28" t="s">
        <v>16227</v>
      </c>
      <c r="P3865" s="28" t="s">
        <v>20552</v>
      </c>
    </row>
    <row r="3866" spans="1:16" x14ac:dyDescent="0.25">
      <c r="A3866" s="28" t="s">
        <v>20553</v>
      </c>
      <c r="B3866" s="28" t="s">
        <v>20554</v>
      </c>
      <c r="C3866" s="28" t="s">
        <v>1684</v>
      </c>
      <c r="D3866" s="28" t="s">
        <v>1271</v>
      </c>
      <c r="E3866" s="28" t="s">
        <v>14019</v>
      </c>
      <c r="F3866" s="28" t="s">
        <v>21</v>
      </c>
      <c r="G3866" s="28" t="s">
        <v>39</v>
      </c>
      <c r="H3866" s="28" t="s">
        <v>16221</v>
      </c>
      <c r="I3866" s="28" t="s">
        <v>20555</v>
      </c>
      <c r="J3866" s="28" t="s">
        <v>39</v>
      </c>
      <c r="K3866" s="28" t="s">
        <v>16223</v>
      </c>
      <c r="L3866" s="28" t="s">
        <v>16224</v>
      </c>
      <c r="M3866" s="28" t="s">
        <v>20556</v>
      </c>
      <c r="N3866" s="28" t="s">
        <v>16226</v>
      </c>
      <c r="O3866" s="28" t="s">
        <v>16227</v>
      </c>
      <c r="P3866" s="28" t="s">
        <v>18099</v>
      </c>
    </row>
    <row r="3867" spans="1:16" x14ac:dyDescent="0.25">
      <c r="A3867" s="28" t="s">
        <v>20557</v>
      </c>
      <c r="B3867" s="28" t="s">
        <v>20558</v>
      </c>
      <c r="C3867" s="28" t="s">
        <v>1684</v>
      </c>
      <c r="D3867" s="28" t="s">
        <v>1271</v>
      </c>
      <c r="E3867" s="28" t="s">
        <v>14024</v>
      </c>
      <c r="F3867" s="28" t="s">
        <v>21</v>
      </c>
      <c r="G3867" s="28" t="s">
        <v>39</v>
      </c>
      <c r="H3867" s="28" t="s">
        <v>16221</v>
      </c>
      <c r="I3867" s="28" t="s">
        <v>20559</v>
      </c>
      <c r="J3867" s="28" t="s">
        <v>39</v>
      </c>
      <c r="K3867" s="28" t="s">
        <v>16223</v>
      </c>
      <c r="L3867" s="28" t="s">
        <v>16224</v>
      </c>
      <c r="M3867" s="28" t="s">
        <v>20560</v>
      </c>
      <c r="N3867" s="28" t="s">
        <v>16226</v>
      </c>
      <c r="O3867" s="28" t="s">
        <v>16227</v>
      </c>
      <c r="P3867" s="28" t="s">
        <v>18104</v>
      </c>
    </row>
    <row r="3868" spans="1:16" x14ac:dyDescent="0.25">
      <c r="A3868" s="28" t="s">
        <v>20561</v>
      </c>
      <c r="B3868" s="28" t="s">
        <v>20562</v>
      </c>
      <c r="C3868" s="28" t="s">
        <v>1684</v>
      </c>
      <c r="D3868" s="28" t="s">
        <v>1271</v>
      </c>
      <c r="E3868" s="28" t="s">
        <v>14029</v>
      </c>
      <c r="F3868" s="28" t="s">
        <v>21</v>
      </c>
      <c r="G3868" s="28" t="s">
        <v>39</v>
      </c>
      <c r="H3868" s="28" t="s">
        <v>16221</v>
      </c>
      <c r="I3868" s="28" t="s">
        <v>20563</v>
      </c>
      <c r="J3868" s="28" t="s">
        <v>39</v>
      </c>
      <c r="K3868" s="28" t="s">
        <v>16223</v>
      </c>
      <c r="L3868" s="28" t="s">
        <v>16224</v>
      </c>
      <c r="M3868" s="28" t="s">
        <v>20564</v>
      </c>
      <c r="N3868" s="28" t="s">
        <v>16226</v>
      </c>
      <c r="O3868" s="28" t="s">
        <v>16227</v>
      </c>
      <c r="P3868" s="28" t="s">
        <v>18109</v>
      </c>
    </row>
    <row r="3869" spans="1:16" x14ac:dyDescent="0.25">
      <c r="A3869" s="28" t="s">
        <v>20565</v>
      </c>
      <c r="B3869" s="28" t="s">
        <v>20566</v>
      </c>
      <c r="C3869" s="28" t="s">
        <v>1684</v>
      </c>
      <c r="D3869" s="28" t="s">
        <v>1271</v>
      </c>
      <c r="E3869" s="28" t="s">
        <v>14029</v>
      </c>
      <c r="F3869" s="28" t="s">
        <v>21</v>
      </c>
      <c r="G3869" s="28" t="s">
        <v>39</v>
      </c>
      <c r="H3869" s="28" t="s">
        <v>16221</v>
      </c>
      <c r="I3869" s="28" t="s">
        <v>20567</v>
      </c>
      <c r="J3869" s="28" t="s">
        <v>39</v>
      </c>
      <c r="K3869" s="28" t="s">
        <v>16223</v>
      </c>
      <c r="L3869" s="28" t="s">
        <v>16224</v>
      </c>
      <c r="M3869" s="28" t="s">
        <v>20568</v>
      </c>
      <c r="N3869" s="28" t="s">
        <v>16226</v>
      </c>
      <c r="O3869" s="28" t="s">
        <v>16227</v>
      </c>
      <c r="P3869" s="28" t="s">
        <v>18109</v>
      </c>
    </row>
    <row r="3870" spans="1:16" x14ac:dyDescent="0.25">
      <c r="A3870" s="28" t="s">
        <v>20569</v>
      </c>
      <c r="B3870" s="28" t="s">
        <v>20570</v>
      </c>
      <c r="C3870" s="28" t="s">
        <v>1684</v>
      </c>
      <c r="D3870" s="28" t="s">
        <v>1271</v>
      </c>
      <c r="E3870" s="28" t="s">
        <v>14254</v>
      </c>
      <c r="F3870" s="28" t="s">
        <v>21</v>
      </c>
      <c r="G3870" s="28" t="s">
        <v>39</v>
      </c>
      <c r="H3870" s="28" t="s">
        <v>16221</v>
      </c>
      <c r="I3870" s="28" t="s">
        <v>20571</v>
      </c>
      <c r="J3870" s="28" t="s">
        <v>39</v>
      </c>
      <c r="K3870" s="28" t="s">
        <v>16223</v>
      </c>
      <c r="L3870" s="28" t="s">
        <v>16224</v>
      </c>
      <c r="M3870" s="28" t="s">
        <v>20572</v>
      </c>
      <c r="N3870" s="28" t="s">
        <v>16226</v>
      </c>
      <c r="O3870" s="28" t="s">
        <v>16227</v>
      </c>
      <c r="P3870" s="28" t="s">
        <v>18118</v>
      </c>
    </row>
    <row r="3871" spans="1:16" x14ac:dyDescent="0.25">
      <c r="A3871" s="28" t="s">
        <v>20573</v>
      </c>
      <c r="B3871" s="28" t="s">
        <v>20574</v>
      </c>
      <c r="C3871" s="28" t="s">
        <v>1684</v>
      </c>
      <c r="D3871" s="28" t="s">
        <v>1271</v>
      </c>
      <c r="E3871" s="28" t="s">
        <v>14758</v>
      </c>
      <c r="F3871" s="28" t="s">
        <v>21</v>
      </c>
      <c r="G3871" s="28" t="s">
        <v>39</v>
      </c>
      <c r="H3871" s="28" t="s">
        <v>16221</v>
      </c>
      <c r="I3871" s="28" t="s">
        <v>20575</v>
      </c>
      <c r="J3871" s="28" t="s">
        <v>39</v>
      </c>
      <c r="K3871" s="28" t="s">
        <v>16223</v>
      </c>
      <c r="L3871" s="28" t="s">
        <v>16224</v>
      </c>
      <c r="M3871" s="28" t="s">
        <v>20576</v>
      </c>
      <c r="N3871" s="28" t="s">
        <v>16226</v>
      </c>
      <c r="O3871" s="28" t="s">
        <v>16227</v>
      </c>
      <c r="P3871" s="28" t="s">
        <v>20577</v>
      </c>
    </row>
    <row r="3872" spans="1:16" x14ac:dyDescent="0.25">
      <c r="A3872" s="28" t="s">
        <v>20578</v>
      </c>
      <c r="B3872" s="28" t="s">
        <v>20579</v>
      </c>
      <c r="C3872" s="28" t="s">
        <v>1684</v>
      </c>
      <c r="D3872" s="28" t="s">
        <v>1271</v>
      </c>
      <c r="E3872" s="28" t="s">
        <v>18121</v>
      </c>
      <c r="F3872" s="28" t="s">
        <v>21</v>
      </c>
      <c r="G3872" s="28" t="s">
        <v>39</v>
      </c>
      <c r="H3872" s="28" t="s">
        <v>16221</v>
      </c>
      <c r="I3872" s="28" t="s">
        <v>20580</v>
      </c>
      <c r="J3872" s="28" t="s">
        <v>39</v>
      </c>
      <c r="K3872" s="28" t="s">
        <v>16223</v>
      </c>
      <c r="L3872" s="28" t="s">
        <v>16224</v>
      </c>
      <c r="M3872" s="28" t="s">
        <v>20581</v>
      </c>
      <c r="N3872" s="28" t="s">
        <v>16226</v>
      </c>
      <c r="O3872" s="28" t="s">
        <v>16227</v>
      </c>
      <c r="P3872" s="28" t="s">
        <v>18124</v>
      </c>
    </row>
    <row r="3873" spans="1:16" x14ac:dyDescent="0.25">
      <c r="A3873" s="28" t="s">
        <v>20582</v>
      </c>
      <c r="B3873" s="28" t="s">
        <v>20583</v>
      </c>
      <c r="C3873" s="28" t="s">
        <v>1684</v>
      </c>
      <c r="D3873" s="28" t="s">
        <v>1271</v>
      </c>
      <c r="E3873" s="28" t="s">
        <v>18121</v>
      </c>
      <c r="F3873" s="28" t="s">
        <v>21</v>
      </c>
      <c r="G3873" s="28" t="s">
        <v>39</v>
      </c>
      <c r="H3873" s="28" t="s">
        <v>16221</v>
      </c>
      <c r="I3873" s="28" t="s">
        <v>20584</v>
      </c>
      <c r="J3873" s="28" t="s">
        <v>39</v>
      </c>
      <c r="K3873" s="28" t="s">
        <v>16223</v>
      </c>
      <c r="L3873" s="28" t="s">
        <v>16224</v>
      </c>
      <c r="M3873" s="28" t="s">
        <v>20585</v>
      </c>
      <c r="N3873" s="28" t="s">
        <v>16226</v>
      </c>
      <c r="O3873" s="28" t="s">
        <v>16227</v>
      </c>
      <c r="P3873" s="28" t="s">
        <v>18124</v>
      </c>
    </row>
    <row r="3874" spans="1:16" x14ac:dyDescent="0.25">
      <c r="A3874" s="28" t="s">
        <v>20586</v>
      </c>
      <c r="B3874" s="28" t="s">
        <v>20587</v>
      </c>
      <c r="C3874" s="28" t="s">
        <v>1684</v>
      </c>
      <c r="D3874" s="28" t="s">
        <v>1271</v>
      </c>
      <c r="E3874" s="28" t="s">
        <v>20588</v>
      </c>
      <c r="F3874" s="28" t="s">
        <v>21</v>
      </c>
      <c r="G3874" s="28" t="s">
        <v>39</v>
      </c>
      <c r="H3874" s="28" t="s">
        <v>16221</v>
      </c>
      <c r="I3874" s="28" t="s">
        <v>20589</v>
      </c>
      <c r="J3874" s="28" t="s">
        <v>39</v>
      </c>
      <c r="K3874" s="28" t="s">
        <v>16223</v>
      </c>
      <c r="L3874" s="28" t="s">
        <v>16224</v>
      </c>
      <c r="M3874" s="28" t="s">
        <v>20590</v>
      </c>
      <c r="N3874" s="28" t="s">
        <v>16226</v>
      </c>
      <c r="O3874" s="28" t="s">
        <v>16227</v>
      </c>
      <c r="P3874" s="28" t="s">
        <v>20591</v>
      </c>
    </row>
    <row r="3875" spans="1:16" x14ac:dyDescent="0.25">
      <c r="A3875" s="28" t="s">
        <v>20592</v>
      </c>
      <c r="B3875" s="28" t="s">
        <v>20593</v>
      </c>
      <c r="C3875" s="28" t="s">
        <v>1684</v>
      </c>
      <c r="D3875" s="28" t="s">
        <v>1271</v>
      </c>
      <c r="E3875" s="28" t="s">
        <v>20594</v>
      </c>
      <c r="F3875" s="28" t="s">
        <v>21</v>
      </c>
      <c r="G3875" s="28" t="s">
        <v>39</v>
      </c>
      <c r="H3875" s="28" t="s">
        <v>16221</v>
      </c>
      <c r="I3875" s="28" t="s">
        <v>20595</v>
      </c>
      <c r="J3875" s="28" t="s">
        <v>39</v>
      </c>
      <c r="K3875" s="28" t="s">
        <v>16223</v>
      </c>
      <c r="L3875" s="28" t="s">
        <v>16224</v>
      </c>
      <c r="M3875" s="28" t="s">
        <v>20596</v>
      </c>
      <c r="N3875" s="28" t="s">
        <v>16226</v>
      </c>
      <c r="O3875" s="28" t="s">
        <v>16227</v>
      </c>
      <c r="P3875" s="28" t="s">
        <v>20597</v>
      </c>
    </row>
    <row r="3876" spans="1:16" x14ac:dyDescent="0.25">
      <c r="A3876" s="28" t="s">
        <v>20598</v>
      </c>
      <c r="B3876" s="28" t="s">
        <v>20599</v>
      </c>
      <c r="C3876" s="28" t="s">
        <v>1684</v>
      </c>
      <c r="D3876" s="28" t="s">
        <v>1271</v>
      </c>
      <c r="E3876" s="28" t="s">
        <v>20600</v>
      </c>
      <c r="F3876" s="28" t="s">
        <v>21</v>
      </c>
      <c r="G3876" s="28" t="s">
        <v>39</v>
      </c>
      <c r="H3876" s="28" t="s">
        <v>16221</v>
      </c>
      <c r="I3876" s="28" t="s">
        <v>20601</v>
      </c>
      <c r="J3876" s="28" t="s">
        <v>39</v>
      </c>
      <c r="K3876" s="28" t="s">
        <v>16223</v>
      </c>
      <c r="L3876" s="28" t="s">
        <v>16224</v>
      </c>
      <c r="M3876" s="28" t="s">
        <v>20602</v>
      </c>
      <c r="N3876" s="28" t="s">
        <v>16226</v>
      </c>
      <c r="O3876" s="28" t="s">
        <v>16227</v>
      </c>
      <c r="P3876" s="28" t="s">
        <v>20603</v>
      </c>
    </row>
    <row r="3877" spans="1:16" x14ac:dyDescent="0.25">
      <c r="A3877" s="28" t="s">
        <v>20604</v>
      </c>
      <c r="B3877" s="28" t="s">
        <v>20605</v>
      </c>
      <c r="C3877" s="28" t="s">
        <v>1684</v>
      </c>
      <c r="D3877" s="28" t="s">
        <v>1271</v>
      </c>
      <c r="E3877" s="28" t="s">
        <v>20606</v>
      </c>
      <c r="F3877" s="28" t="s">
        <v>21</v>
      </c>
      <c r="G3877" s="28" t="s">
        <v>39</v>
      </c>
      <c r="H3877" s="28" t="s">
        <v>16221</v>
      </c>
      <c r="I3877" s="28" t="s">
        <v>20607</v>
      </c>
      <c r="J3877" s="28" t="s">
        <v>39</v>
      </c>
      <c r="K3877" s="28" t="s">
        <v>16223</v>
      </c>
      <c r="L3877" s="28" t="s">
        <v>16224</v>
      </c>
      <c r="M3877" s="28" t="s">
        <v>20608</v>
      </c>
      <c r="N3877" s="28" t="s">
        <v>16226</v>
      </c>
      <c r="O3877" s="28" t="s">
        <v>16227</v>
      </c>
      <c r="P3877" s="28" t="s">
        <v>20609</v>
      </c>
    </row>
    <row r="3878" spans="1:16" x14ac:dyDescent="0.25">
      <c r="A3878" s="28" t="s">
        <v>20610</v>
      </c>
      <c r="B3878" s="28" t="s">
        <v>20611</v>
      </c>
      <c r="C3878" s="28" t="s">
        <v>1684</v>
      </c>
      <c r="D3878" s="28" t="s">
        <v>1271</v>
      </c>
      <c r="E3878" s="28" t="s">
        <v>20612</v>
      </c>
      <c r="F3878" s="28" t="s">
        <v>21</v>
      </c>
      <c r="G3878" s="28" t="s">
        <v>39</v>
      </c>
      <c r="H3878" s="28" t="s">
        <v>16221</v>
      </c>
      <c r="I3878" s="28" t="s">
        <v>20613</v>
      </c>
      <c r="J3878" s="28" t="s">
        <v>39</v>
      </c>
      <c r="K3878" s="28" t="s">
        <v>16223</v>
      </c>
      <c r="L3878" s="28" t="s">
        <v>16224</v>
      </c>
      <c r="M3878" s="28" t="s">
        <v>20614</v>
      </c>
      <c r="N3878" s="28" t="s">
        <v>16226</v>
      </c>
      <c r="O3878" s="28" t="s">
        <v>16227</v>
      </c>
      <c r="P3878" s="28" t="s">
        <v>20615</v>
      </c>
    </row>
    <row r="3879" spans="1:16" x14ac:dyDescent="0.25">
      <c r="A3879" s="28" t="s">
        <v>20616</v>
      </c>
      <c r="B3879" s="28" t="s">
        <v>20617</v>
      </c>
      <c r="C3879" s="28" t="s">
        <v>1684</v>
      </c>
      <c r="D3879" s="28" t="s">
        <v>1271</v>
      </c>
      <c r="E3879" s="28" t="s">
        <v>20618</v>
      </c>
      <c r="F3879" s="28" t="s">
        <v>21</v>
      </c>
      <c r="G3879" s="28" t="s">
        <v>39</v>
      </c>
      <c r="H3879" s="28" t="s">
        <v>16221</v>
      </c>
      <c r="I3879" s="28" t="s">
        <v>20619</v>
      </c>
      <c r="J3879" s="28" t="s">
        <v>39</v>
      </c>
      <c r="K3879" s="28" t="s">
        <v>16223</v>
      </c>
      <c r="L3879" s="28" t="s">
        <v>16224</v>
      </c>
      <c r="M3879" s="28" t="s">
        <v>20620</v>
      </c>
      <c r="N3879" s="28" t="s">
        <v>16226</v>
      </c>
      <c r="O3879" s="28" t="s">
        <v>16227</v>
      </c>
      <c r="P3879" s="28" t="s">
        <v>20621</v>
      </c>
    </row>
    <row r="3880" spans="1:16" x14ac:dyDescent="0.25">
      <c r="A3880" s="28" t="s">
        <v>20622</v>
      </c>
      <c r="B3880" s="28" t="s">
        <v>20623</v>
      </c>
      <c r="C3880" s="28" t="s">
        <v>1684</v>
      </c>
      <c r="D3880" s="28" t="s">
        <v>1271</v>
      </c>
      <c r="E3880" s="28" t="s">
        <v>20624</v>
      </c>
      <c r="F3880" s="28" t="s">
        <v>21</v>
      </c>
      <c r="G3880" s="28" t="s">
        <v>39</v>
      </c>
      <c r="H3880" s="28" t="s">
        <v>16221</v>
      </c>
      <c r="I3880" s="28" t="s">
        <v>20625</v>
      </c>
      <c r="J3880" s="28" t="s">
        <v>39</v>
      </c>
      <c r="K3880" s="28" t="s">
        <v>16223</v>
      </c>
      <c r="L3880" s="28" t="s">
        <v>16224</v>
      </c>
      <c r="M3880" s="28" t="s">
        <v>20626</v>
      </c>
      <c r="N3880" s="28" t="s">
        <v>16226</v>
      </c>
      <c r="O3880" s="28" t="s">
        <v>16227</v>
      </c>
      <c r="P3880" s="28" t="s">
        <v>20627</v>
      </c>
    </row>
    <row r="3881" spans="1:16" x14ac:dyDescent="0.25">
      <c r="A3881" s="28" t="s">
        <v>20628</v>
      </c>
      <c r="B3881" s="28" t="s">
        <v>20629</v>
      </c>
      <c r="C3881" s="28" t="s">
        <v>1684</v>
      </c>
      <c r="D3881" s="28" t="s">
        <v>1271</v>
      </c>
      <c r="E3881" s="28" t="s">
        <v>20630</v>
      </c>
      <c r="F3881" s="28" t="s">
        <v>21</v>
      </c>
      <c r="G3881" s="28" t="s">
        <v>39</v>
      </c>
      <c r="H3881" s="28" t="s">
        <v>16221</v>
      </c>
      <c r="I3881" s="28" t="s">
        <v>20631</v>
      </c>
      <c r="J3881" s="28" t="s">
        <v>39</v>
      </c>
      <c r="K3881" s="28" t="s">
        <v>16223</v>
      </c>
      <c r="L3881" s="28" t="s">
        <v>16224</v>
      </c>
      <c r="M3881" s="28" t="s">
        <v>20632</v>
      </c>
      <c r="N3881" s="28" t="s">
        <v>16226</v>
      </c>
      <c r="O3881" s="28" t="s">
        <v>16227</v>
      </c>
      <c r="P3881" s="28" t="s">
        <v>20633</v>
      </c>
    </row>
    <row r="3882" spans="1:16" x14ac:dyDescent="0.25">
      <c r="A3882" s="28" t="s">
        <v>20634</v>
      </c>
      <c r="B3882" s="28" t="s">
        <v>20635</v>
      </c>
      <c r="C3882" s="28" t="s">
        <v>1684</v>
      </c>
      <c r="D3882" s="28" t="s">
        <v>1271</v>
      </c>
      <c r="E3882" s="28" t="s">
        <v>1300</v>
      </c>
      <c r="F3882" s="28" t="s">
        <v>21</v>
      </c>
      <c r="G3882" s="28" t="s">
        <v>39</v>
      </c>
      <c r="H3882" s="28" t="s">
        <v>16221</v>
      </c>
      <c r="I3882" s="28" t="s">
        <v>20636</v>
      </c>
      <c r="J3882" s="28" t="s">
        <v>39</v>
      </c>
      <c r="K3882" s="28" t="s">
        <v>16223</v>
      </c>
      <c r="L3882" s="28" t="s">
        <v>16224</v>
      </c>
      <c r="M3882" s="28" t="s">
        <v>20637</v>
      </c>
      <c r="N3882" s="28" t="s">
        <v>16226</v>
      </c>
      <c r="O3882" s="28" t="s">
        <v>16227</v>
      </c>
      <c r="P3882" s="28" t="s">
        <v>18129</v>
      </c>
    </row>
    <row r="3883" spans="1:16" x14ac:dyDescent="0.25">
      <c r="A3883" s="28" t="s">
        <v>20638</v>
      </c>
      <c r="B3883" s="28" t="s">
        <v>20639</v>
      </c>
      <c r="C3883" s="28" t="s">
        <v>1684</v>
      </c>
      <c r="D3883" s="28" t="s">
        <v>1271</v>
      </c>
      <c r="E3883" s="28" t="s">
        <v>14836</v>
      </c>
      <c r="F3883" s="28" t="s">
        <v>21</v>
      </c>
      <c r="G3883" s="28" t="s">
        <v>39</v>
      </c>
      <c r="H3883" s="28" t="s">
        <v>16221</v>
      </c>
      <c r="I3883" s="28" t="s">
        <v>20640</v>
      </c>
      <c r="J3883" s="28" t="s">
        <v>39</v>
      </c>
      <c r="K3883" s="28" t="s">
        <v>16223</v>
      </c>
      <c r="L3883" s="28" t="s">
        <v>16224</v>
      </c>
      <c r="M3883" s="28" t="s">
        <v>20641</v>
      </c>
      <c r="N3883" s="28" t="s">
        <v>16226</v>
      </c>
      <c r="O3883" s="28" t="s">
        <v>16227</v>
      </c>
      <c r="P3883" s="28" t="s">
        <v>20642</v>
      </c>
    </row>
    <row r="3884" spans="1:16" x14ac:dyDescent="0.25">
      <c r="A3884" s="28" t="s">
        <v>20643</v>
      </c>
      <c r="B3884" s="28" t="s">
        <v>20644</v>
      </c>
      <c r="C3884" s="28" t="s">
        <v>1684</v>
      </c>
      <c r="D3884" s="28" t="s">
        <v>2583</v>
      </c>
      <c r="E3884" s="28" t="s">
        <v>14932</v>
      </c>
      <c r="F3884" s="28" t="s">
        <v>21</v>
      </c>
      <c r="G3884" s="28" t="s">
        <v>39</v>
      </c>
      <c r="H3884" s="28" t="s">
        <v>16221</v>
      </c>
      <c r="I3884" s="28" t="s">
        <v>20645</v>
      </c>
      <c r="J3884" s="28" t="s">
        <v>39</v>
      </c>
      <c r="K3884" s="28" t="s">
        <v>16223</v>
      </c>
      <c r="L3884" s="28" t="s">
        <v>16224</v>
      </c>
      <c r="M3884" s="28" t="s">
        <v>20646</v>
      </c>
      <c r="N3884" s="28" t="s">
        <v>16226</v>
      </c>
      <c r="O3884" s="28" t="s">
        <v>16227</v>
      </c>
      <c r="P3884" s="28" t="s">
        <v>18134</v>
      </c>
    </row>
    <row r="3885" spans="1:16" x14ac:dyDescent="0.25">
      <c r="A3885" s="28" t="s">
        <v>20647</v>
      </c>
      <c r="B3885" s="28" t="s">
        <v>20648</v>
      </c>
      <c r="C3885" s="28" t="s">
        <v>1684</v>
      </c>
      <c r="D3885" s="28" t="s">
        <v>2583</v>
      </c>
      <c r="E3885" s="28" t="s">
        <v>14932</v>
      </c>
      <c r="F3885" s="28" t="s">
        <v>21</v>
      </c>
      <c r="G3885" s="28" t="s">
        <v>39</v>
      </c>
      <c r="H3885" s="28" t="s">
        <v>16221</v>
      </c>
      <c r="I3885" s="28" t="s">
        <v>20649</v>
      </c>
      <c r="J3885" s="28" t="s">
        <v>39</v>
      </c>
      <c r="K3885" s="28" t="s">
        <v>16223</v>
      </c>
      <c r="L3885" s="28" t="s">
        <v>16224</v>
      </c>
      <c r="M3885" s="28" t="s">
        <v>20650</v>
      </c>
      <c r="N3885" s="28" t="s">
        <v>16226</v>
      </c>
      <c r="O3885" s="28" t="s">
        <v>16227</v>
      </c>
      <c r="P3885" s="28" t="s">
        <v>18134</v>
      </c>
    </row>
    <row r="3886" spans="1:16" x14ac:dyDescent="0.25">
      <c r="A3886" s="28" t="s">
        <v>20651</v>
      </c>
      <c r="B3886" s="28" t="s">
        <v>20652</v>
      </c>
      <c r="C3886" s="28" t="s">
        <v>1684</v>
      </c>
      <c r="D3886" s="28" t="s">
        <v>2583</v>
      </c>
      <c r="E3886" s="28" t="s">
        <v>14932</v>
      </c>
      <c r="F3886" s="28" t="s">
        <v>21</v>
      </c>
      <c r="G3886" s="28" t="s">
        <v>39</v>
      </c>
      <c r="H3886" s="28" t="s">
        <v>16221</v>
      </c>
      <c r="I3886" s="28" t="s">
        <v>20653</v>
      </c>
      <c r="J3886" s="28" t="s">
        <v>39</v>
      </c>
      <c r="K3886" s="28" t="s">
        <v>16223</v>
      </c>
      <c r="L3886" s="28" t="s">
        <v>16224</v>
      </c>
      <c r="M3886" s="28" t="s">
        <v>20654</v>
      </c>
      <c r="N3886" s="28" t="s">
        <v>16226</v>
      </c>
      <c r="O3886" s="28" t="s">
        <v>16227</v>
      </c>
      <c r="P3886" s="28" t="s">
        <v>18134</v>
      </c>
    </row>
    <row r="3887" spans="1:16" x14ac:dyDescent="0.25">
      <c r="A3887" s="28" t="s">
        <v>20655</v>
      </c>
      <c r="B3887" s="28" t="s">
        <v>20656</v>
      </c>
      <c r="C3887" s="28" t="s">
        <v>1684</v>
      </c>
      <c r="D3887" s="28" t="s">
        <v>2583</v>
      </c>
      <c r="E3887" s="28" t="s">
        <v>18137</v>
      </c>
      <c r="F3887" s="28" t="s">
        <v>21</v>
      </c>
      <c r="G3887" s="28" t="s">
        <v>39</v>
      </c>
      <c r="H3887" s="28" t="s">
        <v>16221</v>
      </c>
      <c r="I3887" s="28" t="s">
        <v>20657</v>
      </c>
      <c r="J3887" s="28" t="s">
        <v>39</v>
      </c>
      <c r="K3887" s="28" t="s">
        <v>16223</v>
      </c>
      <c r="L3887" s="28" t="s">
        <v>16224</v>
      </c>
      <c r="M3887" s="28" t="s">
        <v>20658</v>
      </c>
      <c r="N3887" s="28" t="s">
        <v>16226</v>
      </c>
      <c r="O3887" s="28" t="s">
        <v>16227</v>
      </c>
      <c r="P3887" s="28" t="s">
        <v>18140</v>
      </c>
    </row>
    <row r="3888" spans="1:16" x14ac:dyDescent="0.25">
      <c r="A3888" s="28" t="s">
        <v>20659</v>
      </c>
      <c r="B3888" s="28" t="s">
        <v>20660</v>
      </c>
      <c r="C3888" s="28" t="s">
        <v>1684</v>
      </c>
      <c r="D3888" s="28" t="s">
        <v>2583</v>
      </c>
      <c r="E3888" s="28" t="s">
        <v>14938</v>
      </c>
      <c r="F3888" s="28" t="s">
        <v>21</v>
      </c>
      <c r="G3888" s="28" t="s">
        <v>39</v>
      </c>
      <c r="H3888" s="28" t="s">
        <v>16221</v>
      </c>
      <c r="I3888" s="28" t="s">
        <v>20661</v>
      </c>
      <c r="J3888" s="28" t="s">
        <v>39</v>
      </c>
      <c r="K3888" s="28" t="s">
        <v>16223</v>
      </c>
      <c r="L3888" s="28" t="s">
        <v>16224</v>
      </c>
      <c r="M3888" s="28" t="s">
        <v>20662</v>
      </c>
      <c r="N3888" s="28" t="s">
        <v>16226</v>
      </c>
      <c r="O3888" s="28" t="s">
        <v>16227</v>
      </c>
      <c r="P3888" s="28" t="s">
        <v>18145</v>
      </c>
    </row>
    <row r="3889" spans="1:16" x14ac:dyDescent="0.25">
      <c r="A3889" s="28" t="s">
        <v>20663</v>
      </c>
      <c r="B3889" s="28" t="s">
        <v>20664</v>
      </c>
      <c r="C3889" s="28" t="s">
        <v>1684</v>
      </c>
      <c r="D3889" s="28" t="s">
        <v>82</v>
      </c>
      <c r="E3889" s="28" t="s">
        <v>20665</v>
      </c>
      <c r="F3889" s="28" t="s">
        <v>21</v>
      </c>
      <c r="G3889" s="28" t="s">
        <v>39</v>
      </c>
      <c r="H3889" s="28" t="s">
        <v>16221</v>
      </c>
      <c r="I3889" s="28" t="s">
        <v>20666</v>
      </c>
      <c r="J3889" s="28" t="s">
        <v>39</v>
      </c>
      <c r="K3889" s="28" t="s">
        <v>16223</v>
      </c>
      <c r="L3889" s="28" t="s">
        <v>16224</v>
      </c>
      <c r="M3889" s="28" t="s">
        <v>20667</v>
      </c>
      <c r="N3889" s="28" t="s">
        <v>16226</v>
      </c>
      <c r="O3889" s="28" t="s">
        <v>16227</v>
      </c>
      <c r="P3889" s="28" t="s">
        <v>20668</v>
      </c>
    </row>
    <row r="3890" spans="1:16" x14ac:dyDescent="0.25">
      <c r="A3890" s="28" t="s">
        <v>20669</v>
      </c>
      <c r="B3890" s="28" t="s">
        <v>20670</v>
      </c>
      <c r="C3890" s="28" t="s">
        <v>1684</v>
      </c>
      <c r="D3890" s="28" t="s">
        <v>82</v>
      </c>
      <c r="E3890" s="28" t="s">
        <v>20671</v>
      </c>
      <c r="F3890" s="28" t="s">
        <v>21</v>
      </c>
      <c r="G3890" s="28" t="s">
        <v>39</v>
      </c>
      <c r="H3890" s="28" t="s">
        <v>16221</v>
      </c>
      <c r="I3890" s="28" t="s">
        <v>20672</v>
      </c>
      <c r="J3890" s="28" t="s">
        <v>39</v>
      </c>
      <c r="K3890" s="28" t="s">
        <v>16223</v>
      </c>
      <c r="L3890" s="28" t="s">
        <v>16224</v>
      </c>
      <c r="M3890" s="28" t="s">
        <v>20673</v>
      </c>
      <c r="N3890" s="28" t="s">
        <v>16226</v>
      </c>
      <c r="O3890" s="28" t="s">
        <v>16227</v>
      </c>
      <c r="P3890" s="28" t="s">
        <v>20674</v>
      </c>
    </row>
    <row r="3891" spans="1:16" x14ac:dyDescent="0.25">
      <c r="A3891" s="28" t="s">
        <v>20675</v>
      </c>
      <c r="B3891" s="28" t="s">
        <v>20676</v>
      </c>
      <c r="C3891" s="28" t="s">
        <v>1684</v>
      </c>
      <c r="D3891" s="28" t="s">
        <v>82</v>
      </c>
      <c r="E3891" s="28" t="s">
        <v>14954</v>
      </c>
      <c r="F3891" s="28" t="s">
        <v>21</v>
      </c>
      <c r="G3891" s="28" t="s">
        <v>39</v>
      </c>
      <c r="H3891" s="28" t="s">
        <v>16221</v>
      </c>
      <c r="I3891" s="28" t="s">
        <v>20677</v>
      </c>
      <c r="J3891" s="28" t="s">
        <v>39</v>
      </c>
      <c r="K3891" s="28" t="s">
        <v>16223</v>
      </c>
      <c r="L3891" s="28" t="s">
        <v>16224</v>
      </c>
      <c r="M3891" s="28" t="s">
        <v>20678</v>
      </c>
      <c r="N3891" s="28" t="s">
        <v>16226</v>
      </c>
      <c r="O3891" s="28" t="s">
        <v>16227</v>
      </c>
      <c r="P3891" s="28" t="s">
        <v>18150</v>
      </c>
    </row>
    <row r="3892" spans="1:16" x14ac:dyDescent="0.25">
      <c r="A3892" s="28" t="s">
        <v>20679</v>
      </c>
      <c r="B3892" s="28" t="s">
        <v>20680</v>
      </c>
      <c r="C3892" s="28" t="s">
        <v>1684</v>
      </c>
      <c r="D3892" s="28" t="s">
        <v>82</v>
      </c>
      <c r="E3892" s="28" t="s">
        <v>14986</v>
      </c>
      <c r="F3892" s="28" t="s">
        <v>21</v>
      </c>
      <c r="G3892" s="28" t="s">
        <v>39</v>
      </c>
      <c r="H3892" s="28" t="s">
        <v>16221</v>
      </c>
      <c r="I3892" s="28" t="s">
        <v>20681</v>
      </c>
      <c r="J3892" s="28" t="s">
        <v>39</v>
      </c>
      <c r="K3892" s="28" t="s">
        <v>16223</v>
      </c>
      <c r="L3892" s="28" t="s">
        <v>16224</v>
      </c>
      <c r="M3892" s="28" t="s">
        <v>20682</v>
      </c>
      <c r="N3892" s="28" t="s">
        <v>16226</v>
      </c>
      <c r="O3892" s="28" t="s">
        <v>16227</v>
      </c>
      <c r="P3892" s="28" t="s">
        <v>20683</v>
      </c>
    </row>
    <row r="3893" spans="1:16" x14ac:dyDescent="0.25">
      <c r="A3893" s="28" t="s">
        <v>20684</v>
      </c>
      <c r="B3893" s="28" t="s">
        <v>20685</v>
      </c>
      <c r="C3893" s="28" t="s">
        <v>1684</v>
      </c>
      <c r="D3893" s="28" t="s">
        <v>82</v>
      </c>
      <c r="E3893" s="28" t="s">
        <v>20686</v>
      </c>
      <c r="F3893" s="28" t="s">
        <v>21</v>
      </c>
      <c r="G3893" s="28" t="s">
        <v>39</v>
      </c>
      <c r="H3893" s="28" t="s">
        <v>16221</v>
      </c>
      <c r="I3893" s="28" t="s">
        <v>20687</v>
      </c>
      <c r="J3893" s="28" t="s">
        <v>39</v>
      </c>
      <c r="K3893" s="28" t="s">
        <v>16223</v>
      </c>
      <c r="L3893" s="28" t="s">
        <v>16224</v>
      </c>
      <c r="M3893" s="28" t="s">
        <v>20688</v>
      </c>
      <c r="N3893" s="28" t="s">
        <v>16226</v>
      </c>
      <c r="O3893" s="28" t="s">
        <v>16227</v>
      </c>
      <c r="P3893" s="28" t="s">
        <v>20689</v>
      </c>
    </row>
    <row r="3894" spans="1:16" x14ac:dyDescent="0.25">
      <c r="A3894" s="28" t="s">
        <v>20690</v>
      </c>
      <c r="B3894" s="28" t="s">
        <v>20691</v>
      </c>
      <c r="C3894" s="28" t="s">
        <v>1684</v>
      </c>
      <c r="D3894" s="28" t="s">
        <v>82</v>
      </c>
      <c r="E3894" s="28" t="s">
        <v>20686</v>
      </c>
      <c r="F3894" s="28" t="s">
        <v>21</v>
      </c>
      <c r="G3894" s="28" t="s">
        <v>39</v>
      </c>
      <c r="H3894" s="28" t="s">
        <v>16221</v>
      </c>
      <c r="I3894" s="28" t="s">
        <v>20692</v>
      </c>
      <c r="J3894" s="28" t="s">
        <v>39</v>
      </c>
      <c r="K3894" s="28" t="s">
        <v>16223</v>
      </c>
      <c r="L3894" s="28" t="s">
        <v>16224</v>
      </c>
      <c r="M3894" s="28" t="s">
        <v>20693</v>
      </c>
      <c r="N3894" s="28" t="s">
        <v>16226</v>
      </c>
      <c r="O3894" s="28" t="s">
        <v>16227</v>
      </c>
      <c r="P3894" s="28" t="s">
        <v>20689</v>
      </c>
    </row>
    <row r="3895" spans="1:16" x14ac:dyDescent="0.25">
      <c r="A3895" s="28" t="s">
        <v>20694</v>
      </c>
      <c r="B3895" s="28" t="s">
        <v>20695</v>
      </c>
      <c r="C3895" s="28" t="s">
        <v>1684</v>
      </c>
      <c r="D3895" s="28" t="s">
        <v>82</v>
      </c>
      <c r="E3895" s="28" t="s">
        <v>20686</v>
      </c>
      <c r="F3895" s="28" t="s">
        <v>21</v>
      </c>
      <c r="G3895" s="28" t="s">
        <v>39</v>
      </c>
      <c r="H3895" s="28" t="s">
        <v>16221</v>
      </c>
      <c r="I3895" s="28" t="s">
        <v>20696</v>
      </c>
      <c r="J3895" s="28" t="s">
        <v>39</v>
      </c>
      <c r="K3895" s="28" t="s">
        <v>16223</v>
      </c>
      <c r="L3895" s="28" t="s">
        <v>16224</v>
      </c>
      <c r="M3895" s="28" t="s">
        <v>20697</v>
      </c>
      <c r="N3895" s="28" t="s">
        <v>16226</v>
      </c>
      <c r="O3895" s="28" t="s">
        <v>16227</v>
      </c>
      <c r="P3895" s="28" t="s">
        <v>20689</v>
      </c>
    </row>
    <row r="3896" spans="1:16" x14ac:dyDescent="0.25">
      <c r="A3896" s="28" t="s">
        <v>20698</v>
      </c>
      <c r="B3896" s="28" t="s">
        <v>20699</v>
      </c>
      <c r="C3896" s="28" t="s">
        <v>1684</v>
      </c>
      <c r="D3896" s="28" t="s">
        <v>82</v>
      </c>
      <c r="E3896" s="28" t="s">
        <v>20686</v>
      </c>
      <c r="F3896" s="28" t="s">
        <v>21</v>
      </c>
      <c r="G3896" s="28" t="s">
        <v>39</v>
      </c>
      <c r="H3896" s="28" t="s">
        <v>16221</v>
      </c>
      <c r="I3896" s="28" t="s">
        <v>20700</v>
      </c>
      <c r="J3896" s="28" t="s">
        <v>39</v>
      </c>
      <c r="K3896" s="28" t="s">
        <v>16223</v>
      </c>
      <c r="L3896" s="28" t="s">
        <v>16224</v>
      </c>
      <c r="M3896" s="28" t="s">
        <v>20701</v>
      </c>
      <c r="N3896" s="28" t="s">
        <v>16226</v>
      </c>
      <c r="O3896" s="28" t="s">
        <v>16227</v>
      </c>
      <c r="P3896" s="28" t="s">
        <v>20689</v>
      </c>
    </row>
    <row r="3897" spans="1:16" x14ac:dyDescent="0.25">
      <c r="A3897" s="28" t="s">
        <v>20702</v>
      </c>
      <c r="B3897" s="28" t="s">
        <v>20703</v>
      </c>
      <c r="C3897" s="28" t="s">
        <v>1684</v>
      </c>
      <c r="D3897" s="28" t="s">
        <v>82</v>
      </c>
      <c r="E3897" s="28" t="s">
        <v>20686</v>
      </c>
      <c r="F3897" s="28" t="s">
        <v>21</v>
      </c>
      <c r="G3897" s="28" t="s">
        <v>39</v>
      </c>
      <c r="H3897" s="28" t="s">
        <v>16221</v>
      </c>
      <c r="I3897" s="28" t="s">
        <v>20704</v>
      </c>
      <c r="J3897" s="28" t="s">
        <v>39</v>
      </c>
      <c r="K3897" s="28" t="s">
        <v>16223</v>
      </c>
      <c r="L3897" s="28" t="s">
        <v>16224</v>
      </c>
      <c r="M3897" s="28" t="s">
        <v>20705</v>
      </c>
      <c r="N3897" s="28" t="s">
        <v>16226</v>
      </c>
      <c r="O3897" s="28" t="s">
        <v>16227</v>
      </c>
      <c r="P3897" s="28" t="s">
        <v>20689</v>
      </c>
    </row>
    <row r="3898" spans="1:16" x14ac:dyDescent="0.25">
      <c r="A3898" s="28" t="s">
        <v>20706</v>
      </c>
      <c r="B3898" s="28" t="s">
        <v>20707</v>
      </c>
      <c r="C3898" s="28" t="s">
        <v>1684</v>
      </c>
      <c r="D3898" s="28" t="s">
        <v>82</v>
      </c>
      <c r="E3898" s="28" t="s">
        <v>20686</v>
      </c>
      <c r="F3898" s="28" t="s">
        <v>21</v>
      </c>
      <c r="G3898" s="28" t="s">
        <v>39</v>
      </c>
      <c r="H3898" s="28" t="s">
        <v>16221</v>
      </c>
      <c r="I3898" s="28" t="s">
        <v>20708</v>
      </c>
      <c r="J3898" s="28" t="s">
        <v>39</v>
      </c>
      <c r="K3898" s="28" t="s">
        <v>16223</v>
      </c>
      <c r="L3898" s="28" t="s">
        <v>16224</v>
      </c>
      <c r="M3898" s="28" t="s">
        <v>20709</v>
      </c>
      <c r="N3898" s="28" t="s">
        <v>16226</v>
      </c>
      <c r="O3898" s="28" t="s">
        <v>16227</v>
      </c>
      <c r="P3898" s="28" t="s">
        <v>20689</v>
      </c>
    </row>
    <row r="3899" spans="1:16" x14ac:dyDescent="0.25">
      <c r="A3899" s="28" t="s">
        <v>20710</v>
      </c>
      <c r="B3899" s="28" t="s">
        <v>20711</v>
      </c>
      <c r="C3899" s="28" t="s">
        <v>1684</v>
      </c>
      <c r="D3899" s="28" t="s">
        <v>82</v>
      </c>
      <c r="E3899" s="28" t="s">
        <v>20686</v>
      </c>
      <c r="F3899" s="28" t="s">
        <v>21</v>
      </c>
      <c r="G3899" s="28" t="s">
        <v>39</v>
      </c>
      <c r="H3899" s="28" t="s">
        <v>16221</v>
      </c>
      <c r="I3899" s="28" t="s">
        <v>20712</v>
      </c>
      <c r="J3899" s="28" t="s">
        <v>39</v>
      </c>
      <c r="K3899" s="28" t="s">
        <v>16223</v>
      </c>
      <c r="L3899" s="28" t="s">
        <v>16224</v>
      </c>
      <c r="M3899" s="28" t="s">
        <v>20713</v>
      </c>
      <c r="N3899" s="28" t="s">
        <v>16226</v>
      </c>
      <c r="O3899" s="28" t="s">
        <v>16227</v>
      </c>
      <c r="P3899" s="28" t="s">
        <v>20689</v>
      </c>
    </row>
    <row r="3900" spans="1:16" x14ac:dyDescent="0.25">
      <c r="A3900" s="28" t="s">
        <v>20714</v>
      </c>
      <c r="B3900" s="28" t="s">
        <v>20715</v>
      </c>
      <c r="C3900" s="28" t="s">
        <v>1684</v>
      </c>
      <c r="D3900" s="28" t="s">
        <v>82</v>
      </c>
      <c r="E3900" s="28" t="s">
        <v>20686</v>
      </c>
      <c r="F3900" s="28" t="s">
        <v>21</v>
      </c>
      <c r="G3900" s="28" t="s">
        <v>39</v>
      </c>
      <c r="H3900" s="28" t="s">
        <v>16221</v>
      </c>
      <c r="I3900" s="28" t="s">
        <v>20716</v>
      </c>
      <c r="J3900" s="28" t="s">
        <v>39</v>
      </c>
      <c r="K3900" s="28" t="s">
        <v>16223</v>
      </c>
      <c r="L3900" s="28" t="s">
        <v>16224</v>
      </c>
      <c r="M3900" s="28" t="s">
        <v>20717</v>
      </c>
      <c r="N3900" s="28" t="s">
        <v>16226</v>
      </c>
      <c r="O3900" s="28" t="s">
        <v>16227</v>
      </c>
      <c r="P3900" s="28" t="s">
        <v>20689</v>
      </c>
    </row>
    <row r="3901" spans="1:16" x14ac:dyDescent="0.25">
      <c r="A3901" s="28" t="s">
        <v>20718</v>
      </c>
      <c r="B3901" s="28" t="s">
        <v>20719</v>
      </c>
      <c r="C3901" s="28" t="s">
        <v>1684</v>
      </c>
      <c r="D3901" s="28" t="s">
        <v>82</v>
      </c>
      <c r="E3901" s="28" t="s">
        <v>20686</v>
      </c>
      <c r="F3901" s="28" t="s">
        <v>21</v>
      </c>
      <c r="G3901" s="28" t="s">
        <v>39</v>
      </c>
      <c r="H3901" s="28" t="s">
        <v>16221</v>
      </c>
      <c r="I3901" s="28" t="s">
        <v>20720</v>
      </c>
      <c r="J3901" s="28" t="s">
        <v>39</v>
      </c>
      <c r="K3901" s="28" t="s">
        <v>16223</v>
      </c>
      <c r="L3901" s="28" t="s">
        <v>16224</v>
      </c>
      <c r="M3901" s="28" t="s">
        <v>20721</v>
      </c>
      <c r="N3901" s="28" t="s">
        <v>16226</v>
      </c>
      <c r="O3901" s="28" t="s">
        <v>16227</v>
      </c>
      <c r="P3901" s="28" t="s">
        <v>20689</v>
      </c>
    </row>
    <row r="3902" spans="1:16" x14ac:dyDescent="0.25">
      <c r="A3902" s="28" t="s">
        <v>20722</v>
      </c>
      <c r="B3902" s="28" t="s">
        <v>20723</v>
      </c>
      <c r="C3902" s="28" t="s">
        <v>1684</v>
      </c>
      <c r="D3902" s="28" t="s">
        <v>82</v>
      </c>
      <c r="E3902" s="28" t="s">
        <v>20686</v>
      </c>
      <c r="F3902" s="28" t="s">
        <v>21</v>
      </c>
      <c r="G3902" s="28" t="s">
        <v>39</v>
      </c>
      <c r="H3902" s="28" t="s">
        <v>16221</v>
      </c>
      <c r="I3902" s="28" t="s">
        <v>20724</v>
      </c>
      <c r="J3902" s="28" t="s">
        <v>39</v>
      </c>
      <c r="K3902" s="28" t="s">
        <v>16223</v>
      </c>
      <c r="L3902" s="28" t="s">
        <v>16224</v>
      </c>
      <c r="M3902" s="28" t="s">
        <v>20725</v>
      </c>
      <c r="N3902" s="28" t="s">
        <v>16226</v>
      </c>
      <c r="O3902" s="28" t="s">
        <v>16227</v>
      </c>
      <c r="P3902" s="28" t="s">
        <v>20689</v>
      </c>
    </row>
    <row r="3903" spans="1:16" x14ac:dyDescent="0.25">
      <c r="A3903" s="28" t="s">
        <v>20726</v>
      </c>
      <c r="B3903" s="28" t="s">
        <v>20727</v>
      </c>
      <c r="C3903" s="28" t="s">
        <v>1684</v>
      </c>
      <c r="D3903" s="28" t="s">
        <v>82</v>
      </c>
      <c r="E3903" s="28" t="s">
        <v>20686</v>
      </c>
      <c r="F3903" s="28" t="s">
        <v>21</v>
      </c>
      <c r="G3903" s="28" t="s">
        <v>39</v>
      </c>
      <c r="H3903" s="28" t="s">
        <v>16221</v>
      </c>
      <c r="I3903" s="28" t="s">
        <v>20728</v>
      </c>
      <c r="J3903" s="28" t="s">
        <v>39</v>
      </c>
      <c r="K3903" s="28" t="s">
        <v>16223</v>
      </c>
      <c r="L3903" s="28" t="s">
        <v>16224</v>
      </c>
      <c r="M3903" s="28" t="s">
        <v>20729</v>
      </c>
      <c r="N3903" s="28" t="s">
        <v>16226</v>
      </c>
      <c r="O3903" s="28" t="s">
        <v>16227</v>
      </c>
      <c r="P3903" s="28" t="s">
        <v>20689</v>
      </c>
    </row>
    <row r="3904" spans="1:16" x14ac:dyDescent="0.25">
      <c r="A3904" s="28" t="s">
        <v>20730</v>
      </c>
      <c r="B3904" s="28" t="s">
        <v>20731</v>
      </c>
      <c r="C3904" s="28" t="s">
        <v>1684</v>
      </c>
      <c r="D3904" s="28" t="s">
        <v>82</v>
      </c>
      <c r="E3904" s="28" t="s">
        <v>20686</v>
      </c>
      <c r="F3904" s="28" t="s">
        <v>21</v>
      </c>
      <c r="G3904" s="28" t="s">
        <v>39</v>
      </c>
      <c r="H3904" s="28" t="s">
        <v>16221</v>
      </c>
      <c r="I3904" s="28" t="s">
        <v>20732</v>
      </c>
      <c r="J3904" s="28" t="s">
        <v>39</v>
      </c>
      <c r="K3904" s="28" t="s">
        <v>16223</v>
      </c>
      <c r="L3904" s="28" t="s">
        <v>16224</v>
      </c>
      <c r="M3904" s="28" t="s">
        <v>20733</v>
      </c>
      <c r="N3904" s="28" t="s">
        <v>16226</v>
      </c>
      <c r="O3904" s="28" t="s">
        <v>16227</v>
      </c>
      <c r="P3904" s="28" t="s">
        <v>20689</v>
      </c>
    </row>
    <row r="3905" spans="1:16" x14ac:dyDescent="0.25">
      <c r="A3905" s="28" t="s">
        <v>20734</v>
      </c>
      <c r="B3905" s="28" t="s">
        <v>20735</v>
      </c>
      <c r="C3905" s="28" t="s">
        <v>1684</v>
      </c>
      <c r="D3905" s="28" t="s">
        <v>82</v>
      </c>
      <c r="E3905" s="28" t="s">
        <v>20686</v>
      </c>
      <c r="F3905" s="28" t="s">
        <v>21</v>
      </c>
      <c r="G3905" s="28" t="s">
        <v>39</v>
      </c>
      <c r="H3905" s="28" t="s">
        <v>16221</v>
      </c>
      <c r="I3905" s="28" t="s">
        <v>20736</v>
      </c>
      <c r="J3905" s="28" t="s">
        <v>39</v>
      </c>
      <c r="K3905" s="28" t="s">
        <v>16223</v>
      </c>
      <c r="L3905" s="28" t="s">
        <v>16224</v>
      </c>
      <c r="M3905" s="28" t="s">
        <v>20737</v>
      </c>
      <c r="N3905" s="28" t="s">
        <v>16226</v>
      </c>
      <c r="O3905" s="28" t="s">
        <v>16227</v>
      </c>
      <c r="P3905" s="28" t="s">
        <v>20689</v>
      </c>
    </row>
    <row r="3906" spans="1:16" x14ac:dyDescent="0.25">
      <c r="A3906" s="28" t="s">
        <v>20738</v>
      </c>
      <c r="B3906" s="28" t="s">
        <v>20739</v>
      </c>
      <c r="C3906" s="28" t="s">
        <v>1684</v>
      </c>
      <c r="D3906" s="28" t="s">
        <v>82</v>
      </c>
      <c r="E3906" s="28" t="s">
        <v>20686</v>
      </c>
      <c r="F3906" s="28" t="s">
        <v>21</v>
      </c>
      <c r="G3906" s="28" t="s">
        <v>39</v>
      </c>
      <c r="H3906" s="28" t="s">
        <v>16221</v>
      </c>
      <c r="I3906" s="28" t="s">
        <v>20740</v>
      </c>
      <c r="J3906" s="28" t="s">
        <v>39</v>
      </c>
      <c r="K3906" s="28" t="s">
        <v>16223</v>
      </c>
      <c r="L3906" s="28" t="s">
        <v>16224</v>
      </c>
      <c r="M3906" s="28" t="s">
        <v>20741</v>
      </c>
      <c r="N3906" s="28" t="s">
        <v>16226</v>
      </c>
      <c r="O3906" s="28" t="s">
        <v>16227</v>
      </c>
      <c r="P3906" s="28" t="s">
        <v>20689</v>
      </c>
    </row>
    <row r="3907" spans="1:16" x14ac:dyDescent="0.25">
      <c r="A3907" s="28" t="s">
        <v>20742</v>
      </c>
      <c r="B3907" s="28" t="s">
        <v>20743</v>
      </c>
      <c r="C3907" s="28" t="s">
        <v>1684</v>
      </c>
      <c r="D3907" s="28" t="s">
        <v>82</v>
      </c>
      <c r="E3907" s="28" t="s">
        <v>20686</v>
      </c>
      <c r="F3907" s="28" t="s">
        <v>21</v>
      </c>
      <c r="G3907" s="28" t="s">
        <v>39</v>
      </c>
      <c r="H3907" s="28" t="s">
        <v>16221</v>
      </c>
      <c r="I3907" s="28" t="s">
        <v>20744</v>
      </c>
      <c r="J3907" s="28" t="s">
        <v>39</v>
      </c>
      <c r="K3907" s="28" t="s">
        <v>16223</v>
      </c>
      <c r="L3907" s="28" t="s">
        <v>16224</v>
      </c>
      <c r="M3907" s="28" t="s">
        <v>20745</v>
      </c>
      <c r="N3907" s="28" t="s">
        <v>16226</v>
      </c>
      <c r="O3907" s="28" t="s">
        <v>16227</v>
      </c>
      <c r="P3907" s="28" t="s">
        <v>20689</v>
      </c>
    </row>
    <row r="3908" spans="1:16" x14ac:dyDescent="0.25">
      <c r="A3908" s="28" t="s">
        <v>20746</v>
      </c>
      <c r="B3908" s="28" t="s">
        <v>20747</v>
      </c>
      <c r="C3908" s="28" t="s">
        <v>1684</v>
      </c>
      <c r="D3908" s="28" t="s">
        <v>82</v>
      </c>
      <c r="E3908" s="28" t="s">
        <v>20686</v>
      </c>
      <c r="F3908" s="28" t="s">
        <v>21</v>
      </c>
      <c r="G3908" s="28" t="s">
        <v>39</v>
      </c>
      <c r="H3908" s="28" t="s">
        <v>16221</v>
      </c>
      <c r="I3908" s="28" t="s">
        <v>20748</v>
      </c>
      <c r="J3908" s="28" t="s">
        <v>39</v>
      </c>
      <c r="K3908" s="28" t="s">
        <v>16223</v>
      </c>
      <c r="L3908" s="28" t="s">
        <v>16224</v>
      </c>
      <c r="M3908" s="28" t="s">
        <v>20749</v>
      </c>
      <c r="N3908" s="28" t="s">
        <v>16226</v>
      </c>
      <c r="O3908" s="28" t="s">
        <v>16227</v>
      </c>
      <c r="P3908" s="28" t="s">
        <v>20689</v>
      </c>
    </row>
    <row r="3909" spans="1:16" x14ac:dyDescent="0.25">
      <c r="A3909" s="28" t="s">
        <v>20750</v>
      </c>
      <c r="B3909" s="28" t="s">
        <v>20751</v>
      </c>
      <c r="C3909" s="28" t="s">
        <v>1684</v>
      </c>
      <c r="D3909" s="28" t="s">
        <v>82</v>
      </c>
      <c r="E3909" s="28" t="s">
        <v>20686</v>
      </c>
      <c r="F3909" s="28" t="s">
        <v>21</v>
      </c>
      <c r="G3909" s="28" t="s">
        <v>39</v>
      </c>
      <c r="H3909" s="28" t="s">
        <v>16221</v>
      </c>
      <c r="I3909" s="28" t="s">
        <v>20752</v>
      </c>
      <c r="J3909" s="28" t="s">
        <v>39</v>
      </c>
      <c r="K3909" s="28" t="s">
        <v>16223</v>
      </c>
      <c r="L3909" s="28" t="s">
        <v>16224</v>
      </c>
      <c r="M3909" s="28" t="s">
        <v>20753</v>
      </c>
      <c r="N3909" s="28" t="s">
        <v>16226</v>
      </c>
      <c r="O3909" s="28" t="s">
        <v>16227</v>
      </c>
      <c r="P3909" s="28" t="s">
        <v>20689</v>
      </c>
    </row>
    <row r="3910" spans="1:16" x14ac:dyDescent="0.25">
      <c r="A3910" s="28" t="s">
        <v>20754</v>
      </c>
      <c r="B3910" s="28" t="s">
        <v>20755</v>
      </c>
      <c r="C3910" s="28" t="s">
        <v>1684</v>
      </c>
      <c r="D3910" s="28" t="s">
        <v>82</v>
      </c>
      <c r="E3910" s="28" t="s">
        <v>20686</v>
      </c>
      <c r="F3910" s="28" t="s">
        <v>21</v>
      </c>
      <c r="G3910" s="28" t="s">
        <v>39</v>
      </c>
      <c r="H3910" s="28" t="s">
        <v>16221</v>
      </c>
      <c r="I3910" s="28" t="s">
        <v>20756</v>
      </c>
      <c r="J3910" s="28" t="s">
        <v>39</v>
      </c>
      <c r="K3910" s="28" t="s">
        <v>16223</v>
      </c>
      <c r="L3910" s="28" t="s">
        <v>16224</v>
      </c>
      <c r="M3910" s="28" t="s">
        <v>20757</v>
      </c>
      <c r="N3910" s="28" t="s">
        <v>16226</v>
      </c>
      <c r="O3910" s="28" t="s">
        <v>16227</v>
      </c>
      <c r="P3910" s="28" t="s">
        <v>20689</v>
      </c>
    </row>
    <row r="3911" spans="1:16" x14ac:dyDescent="0.25">
      <c r="A3911" s="28" t="s">
        <v>20758</v>
      </c>
      <c r="B3911" s="28" t="s">
        <v>20759</v>
      </c>
      <c r="C3911" s="28" t="s">
        <v>1684</v>
      </c>
      <c r="D3911" s="28" t="s">
        <v>82</v>
      </c>
      <c r="E3911" s="28" t="s">
        <v>18153</v>
      </c>
      <c r="F3911" s="28" t="s">
        <v>21</v>
      </c>
      <c r="G3911" s="28" t="s">
        <v>39</v>
      </c>
      <c r="H3911" s="28" t="s">
        <v>16221</v>
      </c>
      <c r="I3911" s="28" t="s">
        <v>20760</v>
      </c>
      <c r="J3911" s="28" t="s">
        <v>39</v>
      </c>
      <c r="K3911" s="28" t="s">
        <v>16223</v>
      </c>
      <c r="L3911" s="28" t="s">
        <v>16224</v>
      </c>
      <c r="M3911" s="28" t="s">
        <v>20761</v>
      </c>
      <c r="N3911" s="28" t="s">
        <v>16226</v>
      </c>
      <c r="O3911" s="28" t="s">
        <v>16227</v>
      </c>
      <c r="P3911" s="28" t="s">
        <v>18156</v>
      </c>
    </row>
    <row r="3912" spans="1:16" x14ac:dyDescent="0.25">
      <c r="A3912" s="28" t="s">
        <v>20762</v>
      </c>
      <c r="B3912" s="28" t="s">
        <v>20763</v>
      </c>
      <c r="C3912" s="28" t="s">
        <v>1684</v>
      </c>
      <c r="D3912" s="28" t="s">
        <v>5328</v>
      </c>
      <c r="E3912" s="28" t="s">
        <v>20764</v>
      </c>
      <c r="F3912" s="28" t="s">
        <v>21</v>
      </c>
      <c r="G3912" s="28" t="s">
        <v>39</v>
      </c>
      <c r="H3912" s="28" t="s">
        <v>16221</v>
      </c>
      <c r="I3912" s="28" t="s">
        <v>20765</v>
      </c>
      <c r="J3912" s="28" t="s">
        <v>39</v>
      </c>
      <c r="K3912" s="28" t="s">
        <v>16223</v>
      </c>
      <c r="L3912" s="28" t="s">
        <v>16224</v>
      </c>
      <c r="M3912" s="28" t="s">
        <v>20766</v>
      </c>
      <c r="N3912" s="28" t="s">
        <v>16226</v>
      </c>
      <c r="O3912" s="28" t="s">
        <v>16227</v>
      </c>
      <c r="P3912" s="28" t="s">
        <v>20767</v>
      </c>
    </row>
    <row r="3913" spans="1:16" x14ac:dyDescent="0.25">
      <c r="A3913" s="28" t="s">
        <v>20768</v>
      </c>
      <c r="B3913" s="28" t="s">
        <v>20769</v>
      </c>
      <c r="C3913" s="28" t="s">
        <v>1684</v>
      </c>
      <c r="D3913" s="28" t="s">
        <v>5328</v>
      </c>
      <c r="E3913" s="28" t="s">
        <v>18159</v>
      </c>
      <c r="F3913" s="28" t="s">
        <v>21</v>
      </c>
      <c r="G3913" s="28" t="s">
        <v>39</v>
      </c>
      <c r="H3913" s="28" t="s">
        <v>16221</v>
      </c>
      <c r="I3913" s="28" t="s">
        <v>20770</v>
      </c>
      <c r="J3913" s="28" t="s">
        <v>39</v>
      </c>
      <c r="K3913" s="28" t="s">
        <v>16223</v>
      </c>
      <c r="L3913" s="28" t="s">
        <v>16224</v>
      </c>
      <c r="M3913" s="28" t="s">
        <v>20771</v>
      </c>
      <c r="N3913" s="28" t="s">
        <v>16226</v>
      </c>
      <c r="O3913" s="28" t="s">
        <v>16227</v>
      </c>
      <c r="P3913" s="28" t="s">
        <v>18162</v>
      </c>
    </row>
    <row r="3914" spans="1:16" x14ac:dyDescent="0.25">
      <c r="A3914" s="28" t="s">
        <v>20772</v>
      </c>
      <c r="B3914" s="28" t="s">
        <v>20773</v>
      </c>
      <c r="C3914" s="28" t="s">
        <v>1684</v>
      </c>
      <c r="D3914" s="28" t="s">
        <v>5328</v>
      </c>
      <c r="E3914" s="28" t="s">
        <v>18159</v>
      </c>
      <c r="F3914" s="28" t="s">
        <v>21</v>
      </c>
      <c r="G3914" s="28" t="s">
        <v>39</v>
      </c>
      <c r="H3914" s="28" t="s">
        <v>16221</v>
      </c>
      <c r="I3914" s="28" t="s">
        <v>20774</v>
      </c>
      <c r="J3914" s="28" t="s">
        <v>39</v>
      </c>
      <c r="K3914" s="28" t="s">
        <v>16223</v>
      </c>
      <c r="L3914" s="28" t="s">
        <v>16224</v>
      </c>
      <c r="M3914" s="28" t="s">
        <v>20775</v>
      </c>
      <c r="N3914" s="28" t="s">
        <v>16226</v>
      </c>
      <c r="O3914" s="28" t="s">
        <v>16227</v>
      </c>
      <c r="P3914" s="28" t="s">
        <v>18162</v>
      </c>
    </row>
    <row r="3915" spans="1:16" x14ac:dyDescent="0.25">
      <c r="A3915" s="28" t="s">
        <v>20776</v>
      </c>
      <c r="B3915" s="28" t="s">
        <v>20777</v>
      </c>
      <c r="C3915" s="28" t="s">
        <v>1684</v>
      </c>
      <c r="D3915" s="28" t="s">
        <v>5328</v>
      </c>
      <c r="E3915" s="28" t="s">
        <v>18159</v>
      </c>
      <c r="F3915" s="28" t="s">
        <v>21</v>
      </c>
      <c r="G3915" s="28" t="s">
        <v>39</v>
      </c>
      <c r="H3915" s="28" t="s">
        <v>16221</v>
      </c>
      <c r="I3915" s="28" t="s">
        <v>20778</v>
      </c>
      <c r="J3915" s="28" t="s">
        <v>39</v>
      </c>
      <c r="K3915" s="28" t="s">
        <v>16223</v>
      </c>
      <c r="L3915" s="28" t="s">
        <v>16224</v>
      </c>
      <c r="M3915" s="28" t="s">
        <v>20779</v>
      </c>
      <c r="N3915" s="28" t="s">
        <v>16226</v>
      </c>
      <c r="O3915" s="28" t="s">
        <v>16227</v>
      </c>
      <c r="P3915" s="28" t="s">
        <v>18162</v>
      </c>
    </row>
    <row r="3916" spans="1:16" x14ac:dyDescent="0.25">
      <c r="A3916" s="28" t="s">
        <v>20780</v>
      </c>
      <c r="B3916" s="28" t="s">
        <v>20781</v>
      </c>
      <c r="C3916" s="28" t="s">
        <v>1684</v>
      </c>
      <c r="D3916" s="28" t="s">
        <v>5328</v>
      </c>
      <c r="E3916" s="28" t="s">
        <v>18165</v>
      </c>
      <c r="F3916" s="28" t="s">
        <v>21</v>
      </c>
      <c r="G3916" s="28" t="s">
        <v>39</v>
      </c>
      <c r="H3916" s="28" t="s">
        <v>16221</v>
      </c>
      <c r="I3916" s="28" t="s">
        <v>20782</v>
      </c>
      <c r="J3916" s="28" t="s">
        <v>39</v>
      </c>
      <c r="K3916" s="28" t="s">
        <v>16223</v>
      </c>
      <c r="L3916" s="28" t="s">
        <v>16224</v>
      </c>
      <c r="M3916" s="28" t="s">
        <v>20783</v>
      </c>
      <c r="N3916" s="28" t="s">
        <v>16226</v>
      </c>
      <c r="O3916" s="28" t="s">
        <v>16227</v>
      </c>
      <c r="P3916" s="28" t="s">
        <v>18168</v>
      </c>
    </row>
    <row r="3917" spans="1:16" x14ac:dyDescent="0.25">
      <c r="A3917" s="28" t="s">
        <v>20784</v>
      </c>
      <c r="B3917" s="28" t="s">
        <v>20785</v>
      </c>
      <c r="C3917" s="28" t="s">
        <v>1684</v>
      </c>
      <c r="D3917" s="28" t="s">
        <v>5328</v>
      </c>
      <c r="E3917" s="28" t="s">
        <v>18165</v>
      </c>
      <c r="F3917" s="28" t="s">
        <v>21</v>
      </c>
      <c r="G3917" s="28" t="s">
        <v>39</v>
      </c>
      <c r="H3917" s="28" t="s">
        <v>16221</v>
      </c>
      <c r="I3917" s="28" t="s">
        <v>20786</v>
      </c>
      <c r="J3917" s="28" t="s">
        <v>39</v>
      </c>
      <c r="K3917" s="28" t="s">
        <v>16223</v>
      </c>
      <c r="L3917" s="28" t="s">
        <v>16224</v>
      </c>
      <c r="M3917" s="28" t="s">
        <v>20787</v>
      </c>
      <c r="N3917" s="28" t="s">
        <v>16226</v>
      </c>
      <c r="O3917" s="28" t="s">
        <v>16227</v>
      </c>
      <c r="P3917" s="28" t="s">
        <v>18168</v>
      </c>
    </row>
    <row r="3918" spans="1:16" x14ac:dyDescent="0.25">
      <c r="A3918" s="28" t="s">
        <v>20788</v>
      </c>
      <c r="B3918" s="28" t="s">
        <v>20789</v>
      </c>
      <c r="C3918" s="28" t="s">
        <v>1684</v>
      </c>
      <c r="D3918" s="28" t="s">
        <v>5328</v>
      </c>
      <c r="E3918" s="28" t="s">
        <v>20790</v>
      </c>
      <c r="F3918" s="28" t="s">
        <v>21</v>
      </c>
      <c r="G3918" s="28" t="s">
        <v>39</v>
      </c>
      <c r="H3918" s="28" t="s">
        <v>16221</v>
      </c>
      <c r="I3918" s="28" t="s">
        <v>20791</v>
      </c>
      <c r="J3918" s="28" t="s">
        <v>39</v>
      </c>
      <c r="K3918" s="28" t="s">
        <v>16223</v>
      </c>
      <c r="L3918" s="28" t="s">
        <v>16224</v>
      </c>
      <c r="M3918" s="28" t="s">
        <v>20792</v>
      </c>
      <c r="N3918" s="28" t="s">
        <v>16226</v>
      </c>
      <c r="O3918" s="28" t="s">
        <v>16227</v>
      </c>
      <c r="P3918" s="28" t="s">
        <v>20793</v>
      </c>
    </row>
    <row r="3919" spans="1:16" x14ac:dyDescent="0.25">
      <c r="A3919" s="28" t="s">
        <v>20794</v>
      </c>
      <c r="B3919" s="28" t="s">
        <v>20795</v>
      </c>
      <c r="C3919" s="28" t="s">
        <v>1684</v>
      </c>
      <c r="D3919" s="28" t="s">
        <v>5328</v>
      </c>
      <c r="E3919" s="28" t="s">
        <v>2789</v>
      </c>
      <c r="F3919" s="28" t="s">
        <v>21</v>
      </c>
      <c r="G3919" s="28" t="s">
        <v>39</v>
      </c>
      <c r="H3919" s="28" t="s">
        <v>16221</v>
      </c>
      <c r="I3919" s="28" t="s">
        <v>20796</v>
      </c>
      <c r="J3919" s="28" t="s">
        <v>39</v>
      </c>
      <c r="K3919" s="28" t="s">
        <v>16223</v>
      </c>
      <c r="L3919" s="28" t="s">
        <v>16224</v>
      </c>
      <c r="M3919" s="28" t="s">
        <v>20797</v>
      </c>
      <c r="N3919" s="28" t="s">
        <v>16226</v>
      </c>
      <c r="O3919" s="28" t="s">
        <v>16227</v>
      </c>
      <c r="P3919" s="28" t="s">
        <v>18173</v>
      </c>
    </row>
    <row r="3920" spans="1:16" x14ac:dyDescent="0.25">
      <c r="A3920" s="28" t="s">
        <v>20798</v>
      </c>
      <c r="B3920" s="28" t="s">
        <v>20799</v>
      </c>
      <c r="C3920" s="28" t="s">
        <v>1684</v>
      </c>
      <c r="D3920" s="28" t="s">
        <v>5328</v>
      </c>
      <c r="E3920" s="28" t="s">
        <v>2789</v>
      </c>
      <c r="F3920" s="28" t="s">
        <v>21</v>
      </c>
      <c r="G3920" s="28" t="s">
        <v>39</v>
      </c>
      <c r="H3920" s="28" t="s">
        <v>16221</v>
      </c>
      <c r="I3920" s="28" t="s">
        <v>20800</v>
      </c>
      <c r="J3920" s="28" t="s">
        <v>39</v>
      </c>
      <c r="K3920" s="28" t="s">
        <v>16223</v>
      </c>
      <c r="L3920" s="28" t="s">
        <v>16224</v>
      </c>
      <c r="M3920" s="28" t="s">
        <v>20801</v>
      </c>
      <c r="N3920" s="28" t="s">
        <v>16226</v>
      </c>
      <c r="O3920" s="28" t="s">
        <v>16227</v>
      </c>
      <c r="P3920" s="28" t="s">
        <v>18173</v>
      </c>
    </row>
    <row r="3921" spans="1:16" x14ac:dyDescent="0.25">
      <c r="A3921" s="28" t="s">
        <v>20802</v>
      </c>
      <c r="B3921" s="28" t="s">
        <v>20803</v>
      </c>
      <c r="C3921" s="28" t="s">
        <v>1684</v>
      </c>
      <c r="D3921" s="28" t="s">
        <v>5328</v>
      </c>
      <c r="E3921" s="28" t="s">
        <v>2789</v>
      </c>
      <c r="F3921" s="28" t="s">
        <v>21</v>
      </c>
      <c r="G3921" s="28" t="s">
        <v>39</v>
      </c>
      <c r="H3921" s="28" t="s">
        <v>16221</v>
      </c>
      <c r="I3921" s="28" t="s">
        <v>20804</v>
      </c>
      <c r="J3921" s="28" t="s">
        <v>39</v>
      </c>
      <c r="K3921" s="28" t="s">
        <v>16223</v>
      </c>
      <c r="L3921" s="28" t="s">
        <v>16224</v>
      </c>
      <c r="M3921" s="28" t="s">
        <v>20805</v>
      </c>
      <c r="N3921" s="28" t="s">
        <v>16226</v>
      </c>
      <c r="O3921" s="28" t="s">
        <v>16227</v>
      </c>
      <c r="P3921" s="28" t="s">
        <v>18173</v>
      </c>
    </row>
    <row r="3922" spans="1:16" x14ac:dyDescent="0.25">
      <c r="A3922" s="28" t="s">
        <v>20806</v>
      </c>
      <c r="B3922" s="28" t="s">
        <v>20807</v>
      </c>
      <c r="C3922" s="28" t="s">
        <v>1684</v>
      </c>
      <c r="D3922" s="28" t="s">
        <v>5328</v>
      </c>
      <c r="E3922" s="28" t="s">
        <v>2789</v>
      </c>
      <c r="F3922" s="28" t="s">
        <v>21</v>
      </c>
      <c r="G3922" s="28" t="s">
        <v>39</v>
      </c>
      <c r="H3922" s="28" t="s">
        <v>16221</v>
      </c>
      <c r="I3922" s="28" t="s">
        <v>20808</v>
      </c>
      <c r="J3922" s="28" t="s">
        <v>39</v>
      </c>
      <c r="K3922" s="28" t="s">
        <v>16223</v>
      </c>
      <c r="L3922" s="28" t="s">
        <v>16224</v>
      </c>
      <c r="M3922" s="28" t="s">
        <v>20809</v>
      </c>
      <c r="N3922" s="28" t="s">
        <v>16226</v>
      </c>
      <c r="O3922" s="28" t="s">
        <v>16227</v>
      </c>
      <c r="P3922" s="28" t="s">
        <v>18173</v>
      </c>
    </row>
    <row r="3923" spans="1:16" x14ac:dyDescent="0.25">
      <c r="A3923" s="28" t="s">
        <v>20810</v>
      </c>
      <c r="B3923" s="28" t="s">
        <v>20811</v>
      </c>
      <c r="C3923" s="28" t="s">
        <v>1684</v>
      </c>
      <c r="D3923" s="28" t="s">
        <v>5328</v>
      </c>
      <c r="E3923" s="28" t="s">
        <v>2789</v>
      </c>
      <c r="F3923" s="28" t="s">
        <v>21</v>
      </c>
      <c r="G3923" s="28" t="s">
        <v>39</v>
      </c>
      <c r="H3923" s="28" t="s">
        <v>16221</v>
      </c>
      <c r="I3923" s="28" t="s">
        <v>20812</v>
      </c>
      <c r="J3923" s="28" t="s">
        <v>39</v>
      </c>
      <c r="K3923" s="28" t="s">
        <v>16223</v>
      </c>
      <c r="L3923" s="28" t="s">
        <v>16224</v>
      </c>
      <c r="M3923" s="28" t="s">
        <v>20813</v>
      </c>
      <c r="N3923" s="28" t="s">
        <v>16226</v>
      </c>
      <c r="O3923" s="28" t="s">
        <v>16227</v>
      </c>
      <c r="P3923" s="28" t="s">
        <v>18173</v>
      </c>
    </row>
    <row r="3924" spans="1:16" x14ac:dyDescent="0.25">
      <c r="A3924" s="28" t="s">
        <v>20814</v>
      </c>
      <c r="B3924" s="28" t="s">
        <v>20815</v>
      </c>
      <c r="C3924" s="28" t="s">
        <v>1684</v>
      </c>
      <c r="D3924" s="28" t="s">
        <v>5328</v>
      </c>
      <c r="E3924" s="28" t="s">
        <v>2789</v>
      </c>
      <c r="F3924" s="28" t="s">
        <v>21</v>
      </c>
      <c r="G3924" s="28" t="s">
        <v>39</v>
      </c>
      <c r="H3924" s="28" t="s">
        <v>16221</v>
      </c>
      <c r="I3924" s="28" t="s">
        <v>20816</v>
      </c>
      <c r="J3924" s="28" t="s">
        <v>39</v>
      </c>
      <c r="K3924" s="28" t="s">
        <v>16223</v>
      </c>
      <c r="L3924" s="28" t="s">
        <v>16224</v>
      </c>
      <c r="M3924" s="28" t="s">
        <v>20817</v>
      </c>
      <c r="N3924" s="28" t="s">
        <v>16226</v>
      </c>
      <c r="O3924" s="28" t="s">
        <v>16227</v>
      </c>
      <c r="P3924" s="28" t="s">
        <v>18173</v>
      </c>
    </row>
    <row r="3925" spans="1:16" x14ac:dyDescent="0.25">
      <c r="A3925" s="28" t="s">
        <v>20818</v>
      </c>
      <c r="B3925" s="28" t="s">
        <v>20819</v>
      </c>
      <c r="C3925" s="28" t="s">
        <v>1684</v>
      </c>
      <c r="D3925" s="28" t="s">
        <v>5328</v>
      </c>
      <c r="E3925" s="28" t="s">
        <v>2789</v>
      </c>
      <c r="F3925" s="28" t="s">
        <v>21</v>
      </c>
      <c r="G3925" s="28" t="s">
        <v>39</v>
      </c>
      <c r="H3925" s="28" t="s">
        <v>16221</v>
      </c>
      <c r="I3925" s="28" t="s">
        <v>20820</v>
      </c>
      <c r="J3925" s="28" t="s">
        <v>39</v>
      </c>
      <c r="K3925" s="28" t="s">
        <v>16223</v>
      </c>
      <c r="L3925" s="28" t="s">
        <v>16224</v>
      </c>
      <c r="M3925" s="28" t="s">
        <v>20821</v>
      </c>
      <c r="N3925" s="28" t="s">
        <v>16226</v>
      </c>
      <c r="O3925" s="28" t="s">
        <v>16227</v>
      </c>
      <c r="P3925" s="28" t="s">
        <v>18173</v>
      </c>
    </row>
    <row r="3926" spans="1:16" x14ac:dyDescent="0.25">
      <c r="A3926" s="28" t="s">
        <v>20822</v>
      </c>
      <c r="B3926" s="28" t="s">
        <v>20823</v>
      </c>
      <c r="C3926" s="28" t="s">
        <v>1684</v>
      </c>
      <c r="D3926" s="28" t="s">
        <v>5328</v>
      </c>
      <c r="E3926" s="28" t="s">
        <v>2789</v>
      </c>
      <c r="F3926" s="28" t="s">
        <v>21</v>
      </c>
      <c r="G3926" s="28" t="s">
        <v>39</v>
      </c>
      <c r="H3926" s="28" t="s">
        <v>16221</v>
      </c>
      <c r="I3926" s="28" t="s">
        <v>20824</v>
      </c>
      <c r="J3926" s="28" t="s">
        <v>39</v>
      </c>
      <c r="K3926" s="28" t="s">
        <v>16223</v>
      </c>
      <c r="L3926" s="28" t="s">
        <v>16224</v>
      </c>
      <c r="M3926" s="28" t="s">
        <v>20825</v>
      </c>
      <c r="N3926" s="28" t="s">
        <v>16226</v>
      </c>
      <c r="O3926" s="28" t="s">
        <v>16227</v>
      </c>
      <c r="P3926" s="28" t="s">
        <v>18173</v>
      </c>
    </row>
    <row r="3927" spans="1:16" x14ac:dyDescent="0.25">
      <c r="A3927" s="28" t="s">
        <v>20826</v>
      </c>
      <c r="B3927" s="28" t="s">
        <v>20827</v>
      </c>
      <c r="C3927" s="28" t="s">
        <v>1684</v>
      </c>
      <c r="D3927" s="28" t="s">
        <v>5328</v>
      </c>
      <c r="E3927" s="28" t="s">
        <v>2789</v>
      </c>
      <c r="F3927" s="28" t="s">
        <v>21</v>
      </c>
      <c r="G3927" s="28" t="s">
        <v>39</v>
      </c>
      <c r="H3927" s="28" t="s">
        <v>16221</v>
      </c>
      <c r="I3927" s="28" t="s">
        <v>20828</v>
      </c>
      <c r="J3927" s="28" t="s">
        <v>39</v>
      </c>
      <c r="K3927" s="28" t="s">
        <v>16223</v>
      </c>
      <c r="L3927" s="28" t="s">
        <v>16224</v>
      </c>
      <c r="M3927" s="28" t="s">
        <v>20829</v>
      </c>
      <c r="N3927" s="28" t="s">
        <v>16226</v>
      </c>
      <c r="O3927" s="28" t="s">
        <v>16227</v>
      </c>
      <c r="P3927" s="28" t="s">
        <v>18173</v>
      </c>
    </row>
    <row r="3928" spans="1:16" x14ac:dyDescent="0.25">
      <c r="A3928" s="28" t="s">
        <v>20830</v>
      </c>
      <c r="B3928" s="28" t="s">
        <v>20831</v>
      </c>
      <c r="C3928" s="28" t="s">
        <v>1684</v>
      </c>
      <c r="D3928" s="28" t="s">
        <v>5328</v>
      </c>
      <c r="E3928" s="28" t="s">
        <v>2789</v>
      </c>
      <c r="F3928" s="28" t="s">
        <v>21</v>
      </c>
      <c r="G3928" s="28" t="s">
        <v>39</v>
      </c>
      <c r="H3928" s="28" t="s">
        <v>16221</v>
      </c>
      <c r="I3928" s="28" t="s">
        <v>20832</v>
      </c>
      <c r="J3928" s="28" t="s">
        <v>39</v>
      </c>
      <c r="K3928" s="28" t="s">
        <v>16223</v>
      </c>
      <c r="L3928" s="28" t="s">
        <v>16224</v>
      </c>
      <c r="M3928" s="28" t="s">
        <v>20833</v>
      </c>
      <c r="N3928" s="28" t="s">
        <v>16226</v>
      </c>
      <c r="O3928" s="28" t="s">
        <v>16227</v>
      </c>
      <c r="P3928" s="28" t="s">
        <v>18173</v>
      </c>
    </row>
    <row r="3929" spans="1:16" x14ac:dyDescent="0.25">
      <c r="A3929" s="28" t="s">
        <v>20834</v>
      </c>
      <c r="B3929" s="28" t="s">
        <v>20835</v>
      </c>
      <c r="C3929" s="28" t="s">
        <v>1684</v>
      </c>
      <c r="D3929" s="28" t="s">
        <v>5328</v>
      </c>
      <c r="E3929" s="28" t="s">
        <v>2789</v>
      </c>
      <c r="F3929" s="28" t="s">
        <v>21</v>
      </c>
      <c r="G3929" s="28" t="s">
        <v>39</v>
      </c>
      <c r="H3929" s="28" t="s">
        <v>16221</v>
      </c>
      <c r="I3929" s="28" t="s">
        <v>20836</v>
      </c>
      <c r="J3929" s="28" t="s">
        <v>39</v>
      </c>
      <c r="K3929" s="28" t="s">
        <v>16223</v>
      </c>
      <c r="L3929" s="28" t="s">
        <v>16224</v>
      </c>
      <c r="M3929" s="28" t="s">
        <v>20837</v>
      </c>
      <c r="N3929" s="28" t="s">
        <v>16226</v>
      </c>
      <c r="O3929" s="28" t="s">
        <v>16227</v>
      </c>
      <c r="P3929" s="28" t="s">
        <v>18173</v>
      </c>
    </row>
    <row r="3930" spans="1:16" x14ac:dyDescent="0.25">
      <c r="A3930" s="28" t="s">
        <v>20838</v>
      </c>
      <c r="B3930" s="28" t="s">
        <v>20839</v>
      </c>
      <c r="C3930" s="28" t="s">
        <v>1684</v>
      </c>
      <c r="D3930" s="28" t="s">
        <v>5328</v>
      </c>
      <c r="E3930" s="28" t="s">
        <v>18196</v>
      </c>
      <c r="F3930" s="28" t="s">
        <v>21</v>
      </c>
      <c r="G3930" s="28" t="s">
        <v>39</v>
      </c>
      <c r="H3930" s="28" t="s">
        <v>16221</v>
      </c>
      <c r="I3930" s="28" t="s">
        <v>20840</v>
      </c>
      <c r="J3930" s="28" t="s">
        <v>39</v>
      </c>
      <c r="K3930" s="28" t="s">
        <v>16223</v>
      </c>
      <c r="L3930" s="28" t="s">
        <v>16224</v>
      </c>
      <c r="M3930" s="28" t="s">
        <v>20841</v>
      </c>
      <c r="N3930" s="28" t="s">
        <v>16226</v>
      </c>
      <c r="O3930" s="28" t="s">
        <v>16227</v>
      </c>
      <c r="P3930" s="28" t="s">
        <v>18199</v>
      </c>
    </row>
    <row r="3931" spans="1:16" x14ac:dyDescent="0.25">
      <c r="A3931" s="28" t="s">
        <v>20842</v>
      </c>
      <c r="B3931" s="28" t="s">
        <v>20843</v>
      </c>
      <c r="C3931" s="28" t="s">
        <v>1684</v>
      </c>
      <c r="D3931" s="28" t="s">
        <v>5328</v>
      </c>
      <c r="E3931" s="28" t="s">
        <v>18196</v>
      </c>
      <c r="F3931" s="28" t="s">
        <v>21</v>
      </c>
      <c r="G3931" s="28" t="s">
        <v>39</v>
      </c>
      <c r="H3931" s="28" t="s">
        <v>16221</v>
      </c>
      <c r="I3931" s="28" t="s">
        <v>20844</v>
      </c>
      <c r="J3931" s="28" t="s">
        <v>39</v>
      </c>
      <c r="K3931" s="28" t="s">
        <v>16223</v>
      </c>
      <c r="L3931" s="28" t="s">
        <v>16224</v>
      </c>
      <c r="M3931" s="28" t="s">
        <v>20845</v>
      </c>
      <c r="N3931" s="28" t="s">
        <v>16226</v>
      </c>
      <c r="O3931" s="28" t="s">
        <v>16227</v>
      </c>
      <c r="P3931" s="28" t="s">
        <v>18199</v>
      </c>
    </row>
    <row r="3932" spans="1:16" x14ac:dyDescent="0.25">
      <c r="A3932" s="28" t="s">
        <v>20846</v>
      </c>
      <c r="B3932" s="28" t="s">
        <v>20847</v>
      </c>
      <c r="C3932" s="28" t="s">
        <v>1684</v>
      </c>
      <c r="D3932" s="28" t="s">
        <v>3068</v>
      </c>
      <c r="E3932" s="28" t="s">
        <v>16897</v>
      </c>
      <c r="F3932" s="28" t="s">
        <v>21</v>
      </c>
      <c r="G3932" s="28" t="s">
        <v>39</v>
      </c>
      <c r="H3932" s="28" t="s">
        <v>16221</v>
      </c>
      <c r="I3932" s="28" t="s">
        <v>20848</v>
      </c>
      <c r="J3932" s="28" t="s">
        <v>39</v>
      </c>
      <c r="K3932" s="28" t="s">
        <v>16223</v>
      </c>
      <c r="L3932" s="28" t="s">
        <v>16224</v>
      </c>
      <c r="M3932" s="28" t="s">
        <v>20849</v>
      </c>
      <c r="N3932" s="28" t="s">
        <v>16226</v>
      </c>
      <c r="O3932" s="28" t="s">
        <v>16227</v>
      </c>
      <c r="P3932" s="28" t="s">
        <v>16900</v>
      </c>
    </row>
    <row r="3933" spans="1:16" x14ac:dyDescent="0.25">
      <c r="A3933" s="28" t="s">
        <v>20850</v>
      </c>
      <c r="B3933" s="28" t="s">
        <v>20851</v>
      </c>
      <c r="C3933" s="28" t="s">
        <v>1684</v>
      </c>
      <c r="D3933" s="28" t="s">
        <v>3068</v>
      </c>
      <c r="E3933" s="28" t="s">
        <v>20852</v>
      </c>
      <c r="F3933" s="28" t="s">
        <v>21</v>
      </c>
      <c r="G3933" s="28" t="s">
        <v>39</v>
      </c>
      <c r="H3933" s="28" t="s">
        <v>16221</v>
      </c>
      <c r="I3933" s="28" t="s">
        <v>20853</v>
      </c>
      <c r="J3933" s="28" t="s">
        <v>39</v>
      </c>
      <c r="K3933" s="28" t="s">
        <v>16223</v>
      </c>
      <c r="L3933" s="28" t="s">
        <v>16224</v>
      </c>
      <c r="M3933" s="28" t="s">
        <v>20854</v>
      </c>
      <c r="N3933" s="28" t="s">
        <v>16226</v>
      </c>
      <c r="O3933" s="28" t="s">
        <v>16227</v>
      </c>
      <c r="P3933" s="28" t="s">
        <v>20855</v>
      </c>
    </row>
    <row r="3934" spans="1:16" x14ac:dyDescent="0.25">
      <c r="A3934" s="28" t="s">
        <v>20856</v>
      </c>
      <c r="B3934" s="28" t="s">
        <v>20857</v>
      </c>
      <c r="C3934" s="28" t="s">
        <v>1684</v>
      </c>
      <c r="D3934" s="28" t="s">
        <v>3068</v>
      </c>
      <c r="E3934" s="28" t="s">
        <v>16903</v>
      </c>
      <c r="F3934" s="28" t="s">
        <v>21</v>
      </c>
      <c r="G3934" s="28" t="s">
        <v>39</v>
      </c>
      <c r="H3934" s="28" t="s">
        <v>16221</v>
      </c>
      <c r="I3934" s="28" t="s">
        <v>20858</v>
      </c>
      <c r="J3934" s="28" t="s">
        <v>39</v>
      </c>
      <c r="K3934" s="28" t="s">
        <v>16223</v>
      </c>
      <c r="L3934" s="28" t="s">
        <v>16224</v>
      </c>
      <c r="M3934" s="28" t="s">
        <v>20859</v>
      </c>
      <c r="N3934" s="28" t="s">
        <v>16226</v>
      </c>
      <c r="O3934" s="28" t="s">
        <v>16227</v>
      </c>
      <c r="P3934" s="28" t="s">
        <v>16906</v>
      </c>
    </row>
    <row r="3935" spans="1:16" x14ac:dyDescent="0.25">
      <c r="A3935" s="28" t="s">
        <v>20860</v>
      </c>
      <c r="B3935" s="28" t="s">
        <v>20861</v>
      </c>
      <c r="C3935" s="28" t="s">
        <v>1684</v>
      </c>
      <c r="D3935" s="28" t="s">
        <v>3068</v>
      </c>
      <c r="E3935" s="28" t="s">
        <v>20862</v>
      </c>
      <c r="F3935" s="28" t="s">
        <v>21</v>
      </c>
      <c r="G3935" s="28" t="s">
        <v>39</v>
      </c>
      <c r="H3935" s="28" t="s">
        <v>16221</v>
      </c>
      <c r="I3935" s="28" t="s">
        <v>20863</v>
      </c>
      <c r="J3935" s="28" t="s">
        <v>39</v>
      </c>
      <c r="K3935" s="28" t="s">
        <v>16223</v>
      </c>
      <c r="L3935" s="28" t="s">
        <v>16224</v>
      </c>
      <c r="M3935" s="28" t="s">
        <v>20864</v>
      </c>
      <c r="N3935" s="28" t="s">
        <v>16226</v>
      </c>
      <c r="O3935" s="28" t="s">
        <v>16227</v>
      </c>
      <c r="P3935" s="28" t="s">
        <v>20865</v>
      </c>
    </row>
    <row r="3936" spans="1:16" x14ac:dyDescent="0.25">
      <c r="A3936" s="28" t="s">
        <v>20866</v>
      </c>
      <c r="B3936" s="28" t="s">
        <v>20867</v>
      </c>
      <c r="C3936" s="28" t="s">
        <v>1684</v>
      </c>
      <c r="D3936" s="28" t="s">
        <v>3068</v>
      </c>
      <c r="E3936" s="28" t="s">
        <v>16909</v>
      </c>
      <c r="F3936" s="28" t="s">
        <v>21</v>
      </c>
      <c r="G3936" s="28" t="s">
        <v>39</v>
      </c>
      <c r="H3936" s="28" t="s">
        <v>16221</v>
      </c>
      <c r="I3936" s="28" t="s">
        <v>20868</v>
      </c>
      <c r="J3936" s="28" t="s">
        <v>39</v>
      </c>
      <c r="K3936" s="28" t="s">
        <v>16223</v>
      </c>
      <c r="L3936" s="28" t="s">
        <v>16224</v>
      </c>
      <c r="M3936" s="28" t="s">
        <v>20869</v>
      </c>
      <c r="N3936" s="28" t="s">
        <v>16226</v>
      </c>
      <c r="O3936" s="28" t="s">
        <v>16227</v>
      </c>
      <c r="P3936" s="28" t="s">
        <v>16912</v>
      </c>
    </row>
    <row r="3937" spans="1:16" x14ac:dyDescent="0.25">
      <c r="A3937" s="28" t="s">
        <v>20870</v>
      </c>
      <c r="B3937" s="28" t="s">
        <v>20871</v>
      </c>
      <c r="C3937" s="28" t="s">
        <v>1684</v>
      </c>
      <c r="D3937" s="28" t="s">
        <v>3068</v>
      </c>
      <c r="E3937" s="28" t="s">
        <v>20872</v>
      </c>
      <c r="F3937" s="28" t="s">
        <v>21</v>
      </c>
      <c r="G3937" s="28" t="s">
        <v>39</v>
      </c>
      <c r="H3937" s="28" t="s">
        <v>16221</v>
      </c>
      <c r="I3937" s="28" t="s">
        <v>20873</v>
      </c>
      <c r="J3937" s="28" t="s">
        <v>39</v>
      </c>
      <c r="K3937" s="28" t="s">
        <v>16223</v>
      </c>
      <c r="L3937" s="28" t="s">
        <v>16224</v>
      </c>
      <c r="M3937" s="28" t="s">
        <v>20874</v>
      </c>
      <c r="N3937" s="28" t="s">
        <v>16226</v>
      </c>
      <c r="O3937" s="28" t="s">
        <v>16227</v>
      </c>
      <c r="P3937" s="28" t="s">
        <v>20875</v>
      </c>
    </row>
    <row r="3938" spans="1:16" x14ac:dyDescent="0.25">
      <c r="A3938" s="28" t="s">
        <v>20876</v>
      </c>
      <c r="B3938" s="28" t="s">
        <v>20877</v>
      </c>
      <c r="C3938" s="28" t="s">
        <v>1684</v>
      </c>
      <c r="D3938" s="28" t="s">
        <v>3068</v>
      </c>
      <c r="E3938" s="28" t="s">
        <v>20878</v>
      </c>
      <c r="F3938" s="28" t="s">
        <v>21</v>
      </c>
      <c r="G3938" s="28" t="s">
        <v>39</v>
      </c>
      <c r="H3938" s="28" t="s">
        <v>16221</v>
      </c>
      <c r="I3938" s="28" t="s">
        <v>20879</v>
      </c>
      <c r="J3938" s="28" t="s">
        <v>39</v>
      </c>
      <c r="K3938" s="28" t="s">
        <v>16223</v>
      </c>
      <c r="L3938" s="28" t="s">
        <v>16224</v>
      </c>
      <c r="M3938" s="28" t="s">
        <v>20880</v>
      </c>
      <c r="N3938" s="28" t="s">
        <v>16226</v>
      </c>
      <c r="O3938" s="28" t="s">
        <v>16227</v>
      </c>
      <c r="P3938" s="28" t="s">
        <v>20881</v>
      </c>
    </row>
    <row r="3939" spans="1:16" x14ac:dyDescent="0.25">
      <c r="A3939" s="28" t="s">
        <v>20882</v>
      </c>
      <c r="B3939" s="28" t="s">
        <v>20883</v>
      </c>
      <c r="C3939" s="28" t="s">
        <v>1684</v>
      </c>
      <c r="D3939" s="28" t="s">
        <v>3068</v>
      </c>
      <c r="E3939" s="28" t="s">
        <v>20884</v>
      </c>
      <c r="F3939" s="28" t="s">
        <v>21</v>
      </c>
      <c r="G3939" s="28" t="s">
        <v>39</v>
      </c>
      <c r="H3939" s="28" t="s">
        <v>16221</v>
      </c>
      <c r="I3939" s="28" t="s">
        <v>20885</v>
      </c>
      <c r="J3939" s="28" t="s">
        <v>39</v>
      </c>
      <c r="K3939" s="28" t="s">
        <v>16223</v>
      </c>
      <c r="L3939" s="28" t="s">
        <v>16224</v>
      </c>
      <c r="M3939" s="28" t="s">
        <v>20886</v>
      </c>
      <c r="N3939" s="28" t="s">
        <v>16226</v>
      </c>
      <c r="O3939" s="28" t="s">
        <v>16227</v>
      </c>
      <c r="P3939" s="28" t="s">
        <v>20887</v>
      </c>
    </row>
    <row r="3940" spans="1:16" x14ac:dyDescent="0.25">
      <c r="A3940" s="28" t="s">
        <v>20888</v>
      </c>
      <c r="B3940" s="28" t="s">
        <v>20889</v>
      </c>
      <c r="C3940" s="28" t="s">
        <v>1684</v>
      </c>
      <c r="D3940" s="28" t="s">
        <v>3068</v>
      </c>
      <c r="E3940" s="28" t="s">
        <v>20890</v>
      </c>
      <c r="F3940" s="28" t="s">
        <v>21</v>
      </c>
      <c r="G3940" s="28" t="s">
        <v>39</v>
      </c>
      <c r="H3940" s="28" t="s">
        <v>16221</v>
      </c>
      <c r="I3940" s="28" t="s">
        <v>20891</v>
      </c>
      <c r="J3940" s="28" t="s">
        <v>39</v>
      </c>
      <c r="K3940" s="28" t="s">
        <v>16223</v>
      </c>
      <c r="L3940" s="28" t="s">
        <v>16224</v>
      </c>
      <c r="M3940" s="28" t="s">
        <v>20892</v>
      </c>
      <c r="N3940" s="28" t="s">
        <v>16226</v>
      </c>
      <c r="O3940" s="28" t="s">
        <v>16227</v>
      </c>
      <c r="P3940" s="28" t="s">
        <v>20893</v>
      </c>
    </row>
    <row r="3941" spans="1:16" x14ac:dyDescent="0.25">
      <c r="A3941" s="28" t="s">
        <v>20894</v>
      </c>
      <c r="B3941" s="28" t="s">
        <v>20895</v>
      </c>
      <c r="C3941" s="28" t="s">
        <v>1684</v>
      </c>
      <c r="D3941" s="28" t="s">
        <v>3068</v>
      </c>
      <c r="E3941" s="28" t="s">
        <v>20896</v>
      </c>
      <c r="F3941" s="28" t="s">
        <v>21</v>
      </c>
      <c r="G3941" s="28" t="s">
        <v>39</v>
      </c>
      <c r="H3941" s="28" t="s">
        <v>16221</v>
      </c>
      <c r="I3941" s="28" t="s">
        <v>20897</v>
      </c>
      <c r="J3941" s="28" t="s">
        <v>39</v>
      </c>
      <c r="K3941" s="28" t="s">
        <v>16223</v>
      </c>
      <c r="L3941" s="28" t="s">
        <v>16224</v>
      </c>
      <c r="M3941" s="28" t="s">
        <v>20898</v>
      </c>
      <c r="N3941" s="28" t="s">
        <v>16226</v>
      </c>
      <c r="O3941" s="28" t="s">
        <v>16227</v>
      </c>
      <c r="P3941" s="28" t="s">
        <v>20899</v>
      </c>
    </row>
    <row r="3942" spans="1:16" x14ac:dyDescent="0.25">
      <c r="A3942" s="28" t="s">
        <v>20900</v>
      </c>
      <c r="B3942" s="28" t="s">
        <v>20901</v>
      </c>
      <c r="C3942" s="28" t="s">
        <v>1684</v>
      </c>
      <c r="D3942" s="28" t="s">
        <v>3068</v>
      </c>
      <c r="E3942" s="28" t="s">
        <v>20902</v>
      </c>
      <c r="F3942" s="28" t="s">
        <v>21</v>
      </c>
      <c r="G3942" s="28" t="s">
        <v>39</v>
      </c>
      <c r="H3942" s="28" t="s">
        <v>16221</v>
      </c>
      <c r="I3942" s="28" t="s">
        <v>20903</v>
      </c>
      <c r="J3942" s="28" t="s">
        <v>39</v>
      </c>
      <c r="K3942" s="28" t="s">
        <v>16223</v>
      </c>
      <c r="L3942" s="28" t="s">
        <v>16224</v>
      </c>
      <c r="M3942" s="28" t="s">
        <v>20904</v>
      </c>
      <c r="N3942" s="28" t="s">
        <v>16226</v>
      </c>
      <c r="O3942" s="28" t="s">
        <v>16227</v>
      </c>
      <c r="P3942" s="28" t="s">
        <v>20905</v>
      </c>
    </row>
    <row r="3943" spans="1:16" x14ac:dyDescent="0.25">
      <c r="A3943" s="28" t="s">
        <v>20906</v>
      </c>
      <c r="B3943" s="28" t="s">
        <v>20907</v>
      </c>
      <c r="C3943" s="28" t="s">
        <v>1684</v>
      </c>
      <c r="D3943" s="28" t="s">
        <v>3068</v>
      </c>
      <c r="E3943" s="28" t="s">
        <v>17043</v>
      </c>
      <c r="F3943" s="28" t="s">
        <v>21</v>
      </c>
      <c r="G3943" s="28" t="s">
        <v>39</v>
      </c>
      <c r="H3943" s="28" t="s">
        <v>16221</v>
      </c>
      <c r="I3943" s="28" t="s">
        <v>20908</v>
      </c>
      <c r="J3943" s="28" t="s">
        <v>39</v>
      </c>
      <c r="K3943" s="28" t="s">
        <v>16223</v>
      </c>
      <c r="L3943" s="28" t="s">
        <v>16224</v>
      </c>
      <c r="M3943" s="28" t="s">
        <v>20909</v>
      </c>
      <c r="N3943" s="28" t="s">
        <v>16226</v>
      </c>
      <c r="O3943" s="28" t="s">
        <v>16227</v>
      </c>
      <c r="P3943" s="28" t="s">
        <v>17046</v>
      </c>
    </row>
    <row r="3944" spans="1:16" x14ac:dyDescent="0.25">
      <c r="A3944" s="28" t="s">
        <v>20910</v>
      </c>
      <c r="B3944" s="28" t="s">
        <v>20911</v>
      </c>
      <c r="C3944" s="28" t="s">
        <v>1684</v>
      </c>
      <c r="D3944" s="28" t="s">
        <v>3068</v>
      </c>
      <c r="E3944" s="28" t="s">
        <v>20912</v>
      </c>
      <c r="F3944" s="28" t="s">
        <v>21</v>
      </c>
      <c r="G3944" s="28" t="s">
        <v>39</v>
      </c>
      <c r="H3944" s="28" t="s">
        <v>16221</v>
      </c>
      <c r="I3944" s="28" t="s">
        <v>20913</v>
      </c>
      <c r="J3944" s="28" t="s">
        <v>39</v>
      </c>
      <c r="K3944" s="28" t="s">
        <v>16223</v>
      </c>
      <c r="L3944" s="28" t="s">
        <v>16224</v>
      </c>
      <c r="M3944" s="28" t="s">
        <v>20914</v>
      </c>
      <c r="N3944" s="28" t="s">
        <v>16226</v>
      </c>
      <c r="O3944" s="28" t="s">
        <v>16227</v>
      </c>
      <c r="P3944" s="28" t="s">
        <v>20915</v>
      </c>
    </row>
    <row r="3945" spans="1:16" x14ac:dyDescent="0.25">
      <c r="A3945" s="28" t="s">
        <v>20916</v>
      </c>
      <c r="B3945" s="28" t="s">
        <v>20917</v>
      </c>
      <c r="C3945" s="28" t="s">
        <v>1684</v>
      </c>
      <c r="D3945" s="28" t="s">
        <v>3068</v>
      </c>
      <c r="E3945" s="28" t="s">
        <v>20912</v>
      </c>
      <c r="F3945" s="28" t="s">
        <v>21</v>
      </c>
      <c r="G3945" s="28" t="s">
        <v>39</v>
      </c>
      <c r="H3945" s="28" t="s">
        <v>16221</v>
      </c>
      <c r="I3945" s="28" t="s">
        <v>20918</v>
      </c>
      <c r="J3945" s="28" t="s">
        <v>39</v>
      </c>
      <c r="K3945" s="28" t="s">
        <v>16223</v>
      </c>
      <c r="L3945" s="28" t="s">
        <v>16224</v>
      </c>
      <c r="M3945" s="28" t="s">
        <v>20919</v>
      </c>
      <c r="N3945" s="28" t="s">
        <v>16226</v>
      </c>
      <c r="O3945" s="28" t="s">
        <v>16227</v>
      </c>
      <c r="P3945" s="28" t="s">
        <v>20915</v>
      </c>
    </row>
    <row r="3946" spans="1:16" x14ac:dyDescent="0.25">
      <c r="A3946" s="28" t="s">
        <v>20920</v>
      </c>
      <c r="B3946" s="28" t="s">
        <v>20921</v>
      </c>
      <c r="C3946" s="28" t="s">
        <v>1684</v>
      </c>
      <c r="D3946" s="28" t="s">
        <v>3068</v>
      </c>
      <c r="E3946" s="28" t="s">
        <v>20922</v>
      </c>
      <c r="F3946" s="28" t="s">
        <v>21</v>
      </c>
      <c r="G3946" s="28" t="s">
        <v>39</v>
      </c>
      <c r="H3946" s="28" t="s">
        <v>16221</v>
      </c>
      <c r="I3946" s="28" t="s">
        <v>20923</v>
      </c>
      <c r="J3946" s="28" t="s">
        <v>39</v>
      </c>
      <c r="K3946" s="28" t="s">
        <v>16223</v>
      </c>
      <c r="L3946" s="28" t="s">
        <v>16224</v>
      </c>
      <c r="M3946" s="28" t="s">
        <v>20924</v>
      </c>
      <c r="N3946" s="28" t="s">
        <v>16226</v>
      </c>
      <c r="O3946" s="28" t="s">
        <v>16227</v>
      </c>
      <c r="P3946" s="28" t="s">
        <v>20925</v>
      </c>
    </row>
    <row r="3947" spans="1:16" x14ac:dyDescent="0.25">
      <c r="A3947" s="28" t="s">
        <v>20926</v>
      </c>
      <c r="B3947" s="28" t="s">
        <v>20927</v>
      </c>
      <c r="C3947" s="28" t="s">
        <v>1684</v>
      </c>
      <c r="D3947" s="28" t="s">
        <v>3068</v>
      </c>
      <c r="E3947" s="28" t="s">
        <v>20922</v>
      </c>
      <c r="F3947" s="28" t="s">
        <v>21</v>
      </c>
      <c r="G3947" s="28" t="s">
        <v>39</v>
      </c>
      <c r="H3947" s="28" t="s">
        <v>16221</v>
      </c>
      <c r="I3947" s="28" t="s">
        <v>20928</v>
      </c>
      <c r="J3947" s="28" t="s">
        <v>39</v>
      </c>
      <c r="K3947" s="28" t="s">
        <v>16223</v>
      </c>
      <c r="L3947" s="28" t="s">
        <v>16224</v>
      </c>
      <c r="M3947" s="28" t="s">
        <v>20929</v>
      </c>
      <c r="N3947" s="28" t="s">
        <v>16226</v>
      </c>
      <c r="O3947" s="28" t="s">
        <v>16227</v>
      </c>
      <c r="P3947" s="28" t="s">
        <v>20925</v>
      </c>
    </row>
    <row r="3948" spans="1:16" x14ac:dyDescent="0.25">
      <c r="A3948" s="28" t="s">
        <v>20930</v>
      </c>
      <c r="B3948" s="28" t="s">
        <v>20931</v>
      </c>
      <c r="C3948" s="28" t="s">
        <v>1684</v>
      </c>
      <c r="D3948" s="28" t="s">
        <v>3068</v>
      </c>
      <c r="E3948" s="28" t="s">
        <v>20932</v>
      </c>
      <c r="F3948" s="28" t="s">
        <v>21</v>
      </c>
      <c r="G3948" s="28" t="s">
        <v>39</v>
      </c>
      <c r="H3948" s="28" t="s">
        <v>16221</v>
      </c>
      <c r="I3948" s="28" t="s">
        <v>20933</v>
      </c>
      <c r="J3948" s="28" t="s">
        <v>39</v>
      </c>
      <c r="K3948" s="28" t="s">
        <v>16223</v>
      </c>
      <c r="L3948" s="28" t="s">
        <v>16224</v>
      </c>
      <c r="M3948" s="28" t="s">
        <v>20934</v>
      </c>
      <c r="N3948" s="28" t="s">
        <v>16226</v>
      </c>
      <c r="O3948" s="28" t="s">
        <v>16227</v>
      </c>
      <c r="P3948" s="28" t="s">
        <v>20935</v>
      </c>
    </row>
    <row r="3949" spans="1:16" x14ac:dyDescent="0.25">
      <c r="A3949" s="28" t="s">
        <v>20936</v>
      </c>
      <c r="B3949" s="28" t="s">
        <v>20937</v>
      </c>
      <c r="C3949" s="28" t="s">
        <v>1684</v>
      </c>
      <c r="D3949" s="28" t="s">
        <v>3068</v>
      </c>
      <c r="E3949" s="28" t="s">
        <v>20932</v>
      </c>
      <c r="F3949" s="28" t="s">
        <v>21</v>
      </c>
      <c r="G3949" s="28" t="s">
        <v>39</v>
      </c>
      <c r="H3949" s="28" t="s">
        <v>16221</v>
      </c>
      <c r="I3949" s="28" t="s">
        <v>20938</v>
      </c>
      <c r="J3949" s="28" t="s">
        <v>39</v>
      </c>
      <c r="K3949" s="28" t="s">
        <v>16223</v>
      </c>
      <c r="L3949" s="28" t="s">
        <v>16224</v>
      </c>
      <c r="M3949" s="28" t="s">
        <v>20939</v>
      </c>
      <c r="N3949" s="28" t="s">
        <v>16226</v>
      </c>
      <c r="O3949" s="28" t="s">
        <v>16227</v>
      </c>
      <c r="P3949" s="28" t="s">
        <v>20935</v>
      </c>
    </row>
    <row r="3950" spans="1:16" x14ac:dyDescent="0.25">
      <c r="A3950" s="28" t="s">
        <v>20940</v>
      </c>
      <c r="B3950" s="28" t="s">
        <v>20941</v>
      </c>
      <c r="C3950" s="28" t="s">
        <v>1684</v>
      </c>
      <c r="D3950" s="28" t="s">
        <v>3068</v>
      </c>
      <c r="E3950" s="28" t="s">
        <v>20942</v>
      </c>
      <c r="F3950" s="28" t="s">
        <v>21</v>
      </c>
      <c r="G3950" s="28" t="s">
        <v>39</v>
      </c>
      <c r="H3950" s="28" t="s">
        <v>16221</v>
      </c>
      <c r="I3950" s="28" t="s">
        <v>20943</v>
      </c>
      <c r="J3950" s="28" t="s">
        <v>39</v>
      </c>
      <c r="K3950" s="28" t="s">
        <v>16223</v>
      </c>
      <c r="L3950" s="28" t="s">
        <v>16224</v>
      </c>
      <c r="M3950" s="28" t="s">
        <v>20944</v>
      </c>
      <c r="N3950" s="28" t="s">
        <v>16226</v>
      </c>
      <c r="O3950" s="28" t="s">
        <v>16227</v>
      </c>
      <c r="P3950" s="28" t="s">
        <v>20945</v>
      </c>
    </row>
    <row r="3951" spans="1:16" x14ac:dyDescent="0.25">
      <c r="A3951" s="28" t="s">
        <v>20946</v>
      </c>
      <c r="B3951" s="28" t="s">
        <v>20947</v>
      </c>
      <c r="C3951" s="28" t="s">
        <v>1684</v>
      </c>
      <c r="D3951" s="28" t="s">
        <v>3068</v>
      </c>
      <c r="E3951" s="28" t="s">
        <v>20942</v>
      </c>
      <c r="F3951" s="28" t="s">
        <v>21</v>
      </c>
      <c r="G3951" s="28" t="s">
        <v>39</v>
      </c>
      <c r="H3951" s="28" t="s">
        <v>16221</v>
      </c>
      <c r="I3951" s="28" t="s">
        <v>20948</v>
      </c>
      <c r="J3951" s="28" t="s">
        <v>39</v>
      </c>
      <c r="K3951" s="28" t="s">
        <v>16223</v>
      </c>
      <c r="L3951" s="28" t="s">
        <v>16224</v>
      </c>
      <c r="M3951" s="28" t="s">
        <v>20949</v>
      </c>
      <c r="N3951" s="28" t="s">
        <v>16226</v>
      </c>
      <c r="O3951" s="28" t="s">
        <v>16227</v>
      </c>
      <c r="P3951" s="28" t="s">
        <v>20945</v>
      </c>
    </row>
    <row r="3952" spans="1:16" x14ac:dyDescent="0.25">
      <c r="A3952" s="28" t="s">
        <v>20950</v>
      </c>
      <c r="B3952" s="28" t="s">
        <v>20951</v>
      </c>
      <c r="C3952" s="28" t="s">
        <v>1684</v>
      </c>
      <c r="D3952" s="28" t="s">
        <v>3068</v>
      </c>
      <c r="E3952" s="28" t="s">
        <v>20952</v>
      </c>
      <c r="F3952" s="28" t="s">
        <v>21</v>
      </c>
      <c r="G3952" s="28" t="s">
        <v>39</v>
      </c>
      <c r="H3952" s="28" t="s">
        <v>16221</v>
      </c>
      <c r="I3952" s="28" t="s">
        <v>20953</v>
      </c>
      <c r="J3952" s="28" t="s">
        <v>39</v>
      </c>
      <c r="K3952" s="28" t="s">
        <v>16223</v>
      </c>
      <c r="L3952" s="28" t="s">
        <v>16224</v>
      </c>
      <c r="M3952" s="28" t="s">
        <v>20954</v>
      </c>
      <c r="N3952" s="28" t="s">
        <v>16226</v>
      </c>
      <c r="O3952" s="28" t="s">
        <v>16227</v>
      </c>
      <c r="P3952" s="28" t="s">
        <v>20955</v>
      </c>
    </row>
    <row r="3953" spans="1:16" x14ac:dyDescent="0.25">
      <c r="A3953" s="28" t="s">
        <v>20956</v>
      </c>
      <c r="B3953" s="28" t="s">
        <v>20957</v>
      </c>
      <c r="C3953" s="28" t="s">
        <v>1684</v>
      </c>
      <c r="D3953" s="28" t="s">
        <v>3068</v>
      </c>
      <c r="E3953" s="28" t="s">
        <v>20952</v>
      </c>
      <c r="F3953" s="28" t="s">
        <v>21</v>
      </c>
      <c r="G3953" s="28" t="s">
        <v>39</v>
      </c>
      <c r="H3953" s="28" t="s">
        <v>16221</v>
      </c>
      <c r="I3953" s="28" t="s">
        <v>20958</v>
      </c>
      <c r="J3953" s="28" t="s">
        <v>39</v>
      </c>
      <c r="K3953" s="28" t="s">
        <v>16223</v>
      </c>
      <c r="L3953" s="28" t="s">
        <v>16224</v>
      </c>
      <c r="M3953" s="28" t="s">
        <v>20959</v>
      </c>
      <c r="N3953" s="28" t="s">
        <v>16226</v>
      </c>
      <c r="O3953" s="28" t="s">
        <v>16227</v>
      </c>
      <c r="P3953" s="28" t="s">
        <v>20955</v>
      </c>
    </row>
    <row r="3954" spans="1:16" x14ac:dyDescent="0.25">
      <c r="A3954" s="28" t="s">
        <v>20960</v>
      </c>
      <c r="B3954" s="28" t="s">
        <v>20961</v>
      </c>
      <c r="C3954" s="28" t="s">
        <v>1684</v>
      </c>
      <c r="D3954" s="28" t="s">
        <v>3068</v>
      </c>
      <c r="E3954" s="28" t="s">
        <v>20962</v>
      </c>
      <c r="F3954" s="28" t="s">
        <v>21</v>
      </c>
      <c r="G3954" s="28" t="s">
        <v>39</v>
      </c>
      <c r="H3954" s="28" t="s">
        <v>16221</v>
      </c>
      <c r="I3954" s="28" t="s">
        <v>20963</v>
      </c>
      <c r="J3954" s="28" t="s">
        <v>39</v>
      </c>
      <c r="K3954" s="28" t="s">
        <v>16223</v>
      </c>
      <c r="L3954" s="28" t="s">
        <v>16224</v>
      </c>
      <c r="M3954" s="28" t="s">
        <v>20964</v>
      </c>
      <c r="N3954" s="28" t="s">
        <v>16226</v>
      </c>
      <c r="O3954" s="28" t="s">
        <v>16227</v>
      </c>
      <c r="P3954" s="28" t="s">
        <v>20965</v>
      </c>
    </row>
    <row r="3955" spans="1:16" x14ac:dyDescent="0.25">
      <c r="A3955" s="28" t="s">
        <v>20966</v>
      </c>
      <c r="B3955" s="28" t="s">
        <v>20967</v>
      </c>
      <c r="C3955" s="28" t="s">
        <v>1684</v>
      </c>
      <c r="D3955" s="28" t="s">
        <v>3068</v>
      </c>
      <c r="E3955" s="28" t="s">
        <v>20962</v>
      </c>
      <c r="F3955" s="28" t="s">
        <v>21</v>
      </c>
      <c r="G3955" s="28" t="s">
        <v>39</v>
      </c>
      <c r="H3955" s="28" t="s">
        <v>16221</v>
      </c>
      <c r="I3955" s="28" t="s">
        <v>20968</v>
      </c>
      <c r="J3955" s="28" t="s">
        <v>39</v>
      </c>
      <c r="K3955" s="28" t="s">
        <v>16223</v>
      </c>
      <c r="L3955" s="28" t="s">
        <v>16224</v>
      </c>
      <c r="M3955" s="28" t="s">
        <v>20969</v>
      </c>
      <c r="N3955" s="28" t="s">
        <v>16226</v>
      </c>
      <c r="O3955" s="28" t="s">
        <v>16227</v>
      </c>
      <c r="P3955" s="28" t="s">
        <v>20965</v>
      </c>
    </row>
    <row r="3956" spans="1:16" x14ac:dyDescent="0.25">
      <c r="A3956" s="28" t="s">
        <v>20970</v>
      </c>
      <c r="B3956" s="28" t="s">
        <v>20971</v>
      </c>
      <c r="C3956" s="28" t="s">
        <v>1684</v>
      </c>
      <c r="D3956" s="28" t="s">
        <v>5372</v>
      </c>
      <c r="E3956" s="28" t="s">
        <v>20972</v>
      </c>
      <c r="F3956" s="28" t="s">
        <v>21</v>
      </c>
      <c r="G3956" s="28" t="s">
        <v>39</v>
      </c>
      <c r="H3956" s="28" t="s">
        <v>16221</v>
      </c>
      <c r="I3956" s="28" t="s">
        <v>20973</v>
      </c>
      <c r="J3956" s="28" t="s">
        <v>39</v>
      </c>
      <c r="K3956" s="28" t="s">
        <v>16223</v>
      </c>
      <c r="L3956" s="28" t="s">
        <v>16224</v>
      </c>
      <c r="M3956" s="28" t="s">
        <v>20974</v>
      </c>
      <c r="N3956" s="28" t="s">
        <v>16226</v>
      </c>
      <c r="O3956" s="28" t="s">
        <v>16227</v>
      </c>
      <c r="P3956" s="28" t="s">
        <v>20975</v>
      </c>
    </row>
    <row r="3957" spans="1:16" x14ac:dyDescent="0.25">
      <c r="A3957" s="28" t="s">
        <v>20976</v>
      </c>
      <c r="B3957" s="28" t="s">
        <v>20977</v>
      </c>
      <c r="C3957" s="28" t="s">
        <v>1684</v>
      </c>
      <c r="D3957" s="28" t="s">
        <v>5372</v>
      </c>
      <c r="E3957" s="28" t="s">
        <v>20978</v>
      </c>
      <c r="F3957" s="28" t="s">
        <v>21</v>
      </c>
      <c r="G3957" s="28" t="s">
        <v>39</v>
      </c>
      <c r="H3957" s="28" t="s">
        <v>16221</v>
      </c>
      <c r="I3957" s="28" t="s">
        <v>20979</v>
      </c>
      <c r="J3957" s="28" t="s">
        <v>39</v>
      </c>
      <c r="K3957" s="28" t="s">
        <v>16223</v>
      </c>
      <c r="L3957" s="28" t="s">
        <v>16224</v>
      </c>
      <c r="M3957" s="28" t="s">
        <v>20980</v>
      </c>
      <c r="N3957" s="28" t="s">
        <v>16226</v>
      </c>
      <c r="O3957" s="28" t="s">
        <v>16227</v>
      </c>
      <c r="P3957" s="28" t="s">
        <v>20981</v>
      </c>
    </row>
    <row r="3958" spans="1:16" x14ac:dyDescent="0.25">
      <c r="A3958" s="28" t="s">
        <v>20982</v>
      </c>
      <c r="B3958" s="28" t="s">
        <v>20983</v>
      </c>
      <c r="C3958" s="28" t="s">
        <v>1684</v>
      </c>
      <c r="D3958" s="28" t="s">
        <v>5372</v>
      </c>
      <c r="E3958" s="28" t="s">
        <v>20984</v>
      </c>
      <c r="F3958" s="28" t="s">
        <v>21</v>
      </c>
      <c r="G3958" s="28" t="s">
        <v>39</v>
      </c>
      <c r="H3958" s="28" t="s">
        <v>16221</v>
      </c>
      <c r="I3958" s="28" t="s">
        <v>20985</v>
      </c>
      <c r="J3958" s="28" t="s">
        <v>39</v>
      </c>
      <c r="K3958" s="28" t="s">
        <v>16223</v>
      </c>
      <c r="L3958" s="28" t="s">
        <v>16224</v>
      </c>
      <c r="M3958" s="28" t="s">
        <v>20986</v>
      </c>
      <c r="N3958" s="28" t="s">
        <v>16226</v>
      </c>
      <c r="O3958" s="28" t="s">
        <v>16227</v>
      </c>
      <c r="P3958" s="28" t="s">
        <v>20987</v>
      </c>
    </row>
    <row r="3959" spans="1:16" x14ac:dyDescent="0.25">
      <c r="A3959" s="28" t="s">
        <v>20988</v>
      </c>
      <c r="B3959" s="28" t="s">
        <v>20989</v>
      </c>
      <c r="C3959" s="28" t="s">
        <v>1684</v>
      </c>
      <c r="D3959" s="28" t="s">
        <v>5372</v>
      </c>
      <c r="E3959" s="28" t="s">
        <v>20990</v>
      </c>
      <c r="F3959" s="28" t="s">
        <v>21</v>
      </c>
      <c r="G3959" s="28" t="s">
        <v>39</v>
      </c>
      <c r="H3959" s="28" t="s">
        <v>16221</v>
      </c>
      <c r="I3959" s="28" t="s">
        <v>20991</v>
      </c>
      <c r="J3959" s="28" t="s">
        <v>39</v>
      </c>
      <c r="K3959" s="28" t="s">
        <v>16223</v>
      </c>
      <c r="L3959" s="28" t="s">
        <v>16224</v>
      </c>
      <c r="M3959" s="28" t="s">
        <v>20992</v>
      </c>
      <c r="N3959" s="28" t="s">
        <v>16226</v>
      </c>
      <c r="O3959" s="28" t="s">
        <v>16227</v>
      </c>
      <c r="P3959" s="28" t="s">
        <v>20993</v>
      </c>
    </row>
    <row r="3960" spans="1:16" x14ac:dyDescent="0.25">
      <c r="A3960" s="28" t="s">
        <v>20994</v>
      </c>
      <c r="B3960" s="28" t="s">
        <v>20995</v>
      </c>
      <c r="C3960" s="28" t="s">
        <v>1684</v>
      </c>
      <c r="D3960" s="28" t="s">
        <v>5372</v>
      </c>
      <c r="E3960" s="28" t="s">
        <v>20996</v>
      </c>
      <c r="F3960" s="28" t="s">
        <v>21</v>
      </c>
      <c r="G3960" s="28" t="s">
        <v>39</v>
      </c>
      <c r="H3960" s="28" t="s">
        <v>16221</v>
      </c>
      <c r="I3960" s="28" t="s">
        <v>20997</v>
      </c>
      <c r="J3960" s="28" t="s">
        <v>39</v>
      </c>
      <c r="K3960" s="28" t="s">
        <v>16223</v>
      </c>
      <c r="L3960" s="28" t="s">
        <v>16224</v>
      </c>
      <c r="M3960" s="28" t="s">
        <v>20998</v>
      </c>
      <c r="N3960" s="28" t="s">
        <v>16226</v>
      </c>
      <c r="O3960" s="28" t="s">
        <v>16227</v>
      </c>
      <c r="P3960" s="28" t="s">
        <v>20999</v>
      </c>
    </row>
    <row r="3961" spans="1:16" x14ac:dyDescent="0.25">
      <c r="A3961" s="28" t="s">
        <v>21000</v>
      </c>
      <c r="B3961" s="28" t="s">
        <v>21001</v>
      </c>
      <c r="C3961" s="28" t="s">
        <v>1684</v>
      </c>
      <c r="D3961" s="28" t="s">
        <v>5372</v>
      </c>
      <c r="E3961" s="28" t="s">
        <v>21002</v>
      </c>
      <c r="F3961" s="28" t="s">
        <v>21</v>
      </c>
      <c r="G3961" s="28" t="s">
        <v>39</v>
      </c>
      <c r="H3961" s="28" t="s">
        <v>16221</v>
      </c>
      <c r="I3961" s="28" t="s">
        <v>21003</v>
      </c>
      <c r="J3961" s="28" t="s">
        <v>39</v>
      </c>
      <c r="K3961" s="28" t="s">
        <v>16223</v>
      </c>
      <c r="L3961" s="28" t="s">
        <v>16224</v>
      </c>
      <c r="M3961" s="28" t="s">
        <v>21004</v>
      </c>
      <c r="N3961" s="28" t="s">
        <v>16226</v>
      </c>
      <c r="O3961" s="28" t="s">
        <v>16227</v>
      </c>
      <c r="P3961" s="28" t="s">
        <v>21005</v>
      </c>
    </row>
    <row r="3962" spans="1:16" x14ac:dyDescent="0.25">
      <c r="A3962" s="28" t="s">
        <v>21006</v>
      </c>
      <c r="B3962" s="28" t="s">
        <v>21007</v>
      </c>
      <c r="C3962" s="28" t="s">
        <v>1684</v>
      </c>
      <c r="D3962" s="28" t="s">
        <v>5372</v>
      </c>
      <c r="E3962" s="28" t="s">
        <v>21008</v>
      </c>
      <c r="F3962" s="28" t="s">
        <v>21</v>
      </c>
      <c r="G3962" s="28" t="s">
        <v>39</v>
      </c>
      <c r="H3962" s="28" t="s">
        <v>16221</v>
      </c>
      <c r="I3962" s="28" t="s">
        <v>21009</v>
      </c>
      <c r="J3962" s="28" t="s">
        <v>39</v>
      </c>
      <c r="K3962" s="28" t="s">
        <v>16223</v>
      </c>
      <c r="L3962" s="28" t="s">
        <v>16224</v>
      </c>
      <c r="M3962" s="28" t="s">
        <v>21010</v>
      </c>
      <c r="N3962" s="28" t="s">
        <v>16226</v>
      </c>
      <c r="O3962" s="28" t="s">
        <v>16227</v>
      </c>
      <c r="P3962" s="28" t="s">
        <v>21011</v>
      </c>
    </row>
    <row r="3963" spans="1:16" x14ac:dyDescent="0.25">
      <c r="A3963" s="28" t="s">
        <v>21012</v>
      </c>
      <c r="B3963" s="28" t="s">
        <v>21013</v>
      </c>
      <c r="C3963" s="28" t="s">
        <v>1684</v>
      </c>
      <c r="D3963" s="28" t="s">
        <v>5372</v>
      </c>
      <c r="E3963" s="28" t="s">
        <v>21014</v>
      </c>
      <c r="F3963" s="28" t="s">
        <v>21</v>
      </c>
      <c r="G3963" s="28" t="s">
        <v>39</v>
      </c>
      <c r="H3963" s="28" t="s">
        <v>16221</v>
      </c>
      <c r="I3963" s="28" t="s">
        <v>21015</v>
      </c>
      <c r="J3963" s="28" t="s">
        <v>39</v>
      </c>
      <c r="K3963" s="28" t="s">
        <v>16223</v>
      </c>
      <c r="L3963" s="28" t="s">
        <v>16224</v>
      </c>
      <c r="M3963" s="28" t="s">
        <v>21016</v>
      </c>
      <c r="N3963" s="28" t="s">
        <v>16226</v>
      </c>
      <c r="O3963" s="28" t="s">
        <v>16227</v>
      </c>
      <c r="P3963" s="28" t="s">
        <v>21017</v>
      </c>
    </row>
    <row r="3964" spans="1:16" x14ac:dyDescent="0.25">
      <c r="A3964" s="28" t="s">
        <v>21018</v>
      </c>
      <c r="B3964" s="28" t="s">
        <v>21019</v>
      </c>
      <c r="C3964" s="28" t="s">
        <v>1684</v>
      </c>
      <c r="D3964" s="28" t="s">
        <v>5372</v>
      </c>
      <c r="E3964" s="28" t="s">
        <v>17059</v>
      </c>
      <c r="F3964" s="28" t="s">
        <v>21</v>
      </c>
      <c r="G3964" s="28" t="s">
        <v>39</v>
      </c>
      <c r="H3964" s="28" t="s">
        <v>16221</v>
      </c>
      <c r="I3964" s="28" t="s">
        <v>21020</v>
      </c>
      <c r="J3964" s="28" t="s">
        <v>39</v>
      </c>
      <c r="K3964" s="28" t="s">
        <v>16223</v>
      </c>
      <c r="L3964" s="28" t="s">
        <v>16224</v>
      </c>
      <c r="M3964" s="28" t="s">
        <v>21021</v>
      </c>
      <c r="N3964" s="28" t="s">
        <v>16226</v>
      </c>
      <c r="O3964" s="28" t="s">
        <v>16227</v>
      </c>
      <c r="P3964" s="28" t="s">
        <v>17062</v>
      </c>
    </row>
    <row r="3965" spans="1:16" x14ac:dyDescent="0.25">
      <c r="A3965" s="28" t="s">
        <v>21022</v>
      </c>
      <c r="B3965" s="28" t="s">
        <v>21023</v>
      </c>
      <c r="C3965" s="28" t="s">
        <v>1684</v>
      </c>
      <c r="D3965" s="28" t="s">
        <v>5372</v>
      </c>
      <c r="E3965" s="28" t="s">
        <v>21024</v>
      </c>
      <c r="F3965" s="28" t="s">
        <v>21</v>
      </c>
      <c r="G3965" s="28" t="s">
        <v>39</v>
      </c>
      <c r="H3965" s="28" t="s">
        <v>16221</v>
      </c>
      <c r="I3965" s="28" t="s">
        <v>21025</v>
      </c>
      <c r="J3965" s="28" t="s">
        <v>39</v>
      </c>
      <c r="K3965" s="28" t="s">
        <v>16223</v>
      </c>
      <c r="L3965" s="28" t="s">
        <v>16224</v>
      </c>
      <c r="M3965" s="28" t="s">
        <v>21026</v>
      </c>
      <c r="N3965" s="28" t="s">
        <v>16226</v>
      </c>
      <c r="O3965" s="28" t="s">
        <v>16227</v>
      </c>
      <c r="P3965" s="28" t="s">
        <v>21027</v>
      </c>
    </row>
    <row r="3966" spans="1:16" x14ac:dyDescent="0.25">
      <c r="A3966" s="28" t="s">
        <v>21028</v>
      </c>
      <c r="B3966" s="28" t="s">
        <v>21029</v>
      </c>
      <c r="C3966" s="28" t="s">
        <v>1684</v>
      </c>
      <c r="D3966" s="28" t="s">
        <v>5372</v>
      </c>
      <c r="E3966" s="28" t="s">
        <v>21030</v>
      </c>
      <c r="F3966" s="28" t="s">
        <v>21</v>
      </c>
      <c r="G3966" s="28" t="s">
        <v>39</v>
      </c>
      <c r="H3966" s="28" t="s">
        <v>16221</v>
      </c>
      <c r="I3966" s="28" t="s">
        <v>21031</v>
      </c>
      <c r="J3966" s="28" t="s">
        <v>39</v>
      </c>
      <c r="K3966" s="28" t="s">
        <v>16223</v>
      </c>
      <c r="L3966" s="28" t="s">
        <v>16224</v>
      </c>
      <c r="M3966" s="28" t="s">
        <v>21032</v>
      </c>
      <c r="N3966" s="28" t="s">
        <v>16226</v>
      </c>
      <c r="O3966" s="28" t="s">
        <v>16227</v>
      </c>
      <c r="P3966" s="28" t="s">
        <v>21033</v>
      </c>
    </row>
    <row r="3967" spans="1:16" x14ac:dyDescent="0.25">
      <c r="A3967" s="28" t="s">
        <v>21034</v>
      </c>
      <c r="B3967" s="28" t="s">
        <v>21035</v>
      </c>
      <c r="C3967" s="28" t="s">
        <v>1684</v>
      </c>
      <c r="D3967" s="28" t="s">
        <v>5372</v>
      </c>
      <c r="E3967" s="28" t="s">
        <v>21036</v>
      </c>
      <c r="F3967" s="28" t="s">
        <v>21</v>
      </c>
      <c r="G3967" s="28" t="s">
        <v>39</v>
      </c>
      <c r="H3967" s="28" t="s">
        <v>16221</v>
      </c>
      <c r="I3967" s="28" t="s">
        <v>21037</v>
      </c>
      <c r="J3967" s="28" t="s">
        <v>39</v>
      </c>
      <c r="K3967" s="28" t="s">
        <v>16223</v>
      </c>
      <c r="L3967" s="28" t="s">
        <v>16224</v>
      </c>
      <c r="M3967" s="28" t="s">
        <v>21038</v>
      </c>
      <c r="N3967" s="28" t="s">
        <v>16226</v>
      </c>
      <c r="O3967" s="28" t="s">
        <v>16227</v>
      </c>
      <c r="P3967" s="28" t="s">
        <v>21039</v>
      </c>
    </row>
    <row r="3968" spans="1:16" x14ac:dyDescent="0.25">
      <c r="A3968" s="28" t="s">
        <v>21040</v>
      </c>
      <c r="B3968" s="28" t="s">
        <v>21041</v>
      </c>
      <c r="C3968" s="28" t="s">
        <v>1684</v>
      </c>
      <c r="D3968" s="28" t="s">
        <v>5372</v>
      </c>
      <c r="E3968" s="28" t="s">
        <v>21042</v>
      </c>
      <c r="F3968" s="28" t="s">
        <v>21</v>
      </c>
      <c r="G3968" s="28" t="s">
        <v>39</v>
      </c>
      <c r="H3968" s="28" t="s">
        <v>16221</v>
      </c>
      <c r="I3968" s="28" t="s">
        <v>21043</v>
      </c>
      <c r="J3968" s="28" t="s">
        <v>39</v>
      </c>
      <c r="K3968" s="28" t="s">
        <v>16223</v>
      </c>
      <c r="L3968" s="28" t="s">
        <v>16224</v>
      </c>
      <c r="M3968" s="28" t="s">
        <v>21044</v>
      </c>
      <c r="N3968" s="28" t="s">
        <v>16226</v>
      </c>
      <c r="O3968" s="28" t="s">
        <v>16227</v>
      </c>
      <c r="P3968" s="28" t="s">
        <v>21045</v>
      </c>
    </row>
    <row r="3969" spans="1:16" x14ac:dyDescent="0.25">
      <c r="A3969" s="28" t="s">
        <v>21046</v>
      </c>
      <c r="B3969" s="28" t="s">
        <v>21047</v>
      </c>
      <c r="C3969" s="28" t="s">
        <v>1684</v>
      </c>
      <c r="D3969" s="28" t="s">
        <v>5372</v>
      </c>
      <c r="E3969" s="28" t="s">
        <v>21048</v>
      </c>
      <c r="F3969" s="28" t="s">
        <v>21</v>
      </c>
      <c r="G3969" s="28" t="s">
        <v>39</v>
      </c>
      <c r="H3969" s="28" t="s">
        <v>16221</v>
      </c>
      <c r="I3969" s="28" t="s">
        <v>21049</v>
      </c>
      <c r="J3969" s="28" t="s">
        <v>39</v>
      </c>
      <c r="K3969" s="28" t="s">
        <v>16223</v>
      </c>
      <c r="L3969" s="28" t="s">
        <v>16224</v>
      </c>
      <c r="M3969" s="28" t="s">
        <v>21050</v>
      </c>
      <c r="N3969" s="28" t="s">
        <v>16226</v>
      </c>
      <c r="O3969" s="28" t="s">
        <v>16227</v>
      </c>
      <c r="P3969" s="28" t="s">
        <v>21051</v>
      </c>
    </row>
    <row r="3970" spans="1:16" x14ac:dyDescent="0.25">
      <c r="A3970" s="28" t="s">
        <v>21052</v>
      </c>
      <c r="B3970" s="28" t="s">
        <v>21053</v>
      </c>
      <c r="C3970" s="28" t="s">
        <v>1684</v>
      </c>
      <c r="D3970" s="28" t="s">
        <v>5372</v>
      </c>
      <c r="E3970" s="28" t="s">
        <v>21054</v>
      </c>
      <c r="F3970" s="28" t="s">
        <v>21</v>
      </c>
      <c r="G3970" s="28" t="s">
        <v>39</v>
      </c>
      <c r="H3970" s="28" t="s">
        <v>16221</v>
      </c>
      <c r="I3970" s="28" t="s">
        <v>21055</v>
      </c>
      <c r="J3970" s="28" t="s">
        <v>39</v>
      </c>
      <c r="K3970" s="28" t="s">
        <v>16223</v>
      </c>
      <c r="L3970" s="28" t="s">
        <v>16224</v>
      </c>
      <c r="M3970" s="28" t="s">
        <v>21056</v>
      </c>
      <c r="N3970" s="28" t="s">
        <v>16226</v>
      </c>
      <c r="O3970" s="28" t="s">
        <v>16227</v>
      </c>
      <c r="P3970" s="28" t="s">
        <v>21057</v>
      </c>
    </row>
    <row r="3971" spans="1:16" x14ac:dyDescent="0.25">
      <c r="A3971" s="28" t="s">
        <v>21058</v>
      </c>
      <c r="B3971" s="28" t="s">
        <v>21059</v>
      </c>
      <c r="C3971" s="28" t="s">
        <v>1684</v>
      </c>
      <c r="D3971" s="28" t="s">
        <v>5372</v>
      </c>
      <c r="E3971" s="28" t="s">
        <v>21060</v>
      </c>
      <c r="F3971" s="28" t="s">
        <v>21</v>
      </c>
      <c r="G3971" s="28" t="s">
        <v>39</v>
      </c>
      <c r="H3971" s="28" t="s">
        <v>16221</v>
      </c>
      <c r="I3971" s="28" t="s">
        <v>21061</v>
      </c>
      <c r="J3971" s="28" t="s">
        <v>39</v>
      </c>
      <c r="K3971" s="28" t="s">
        <v>16223</v>
      </c>
      <c r="L3971" s="28" t="s">
        <v>16224</v>
      </c>
      <c r="M3971" s="28" t="s">
        <v>21062</v>
      </c>
      <c r="N3971" s="28" t="s">
        <v>16226</v>
      </c>
      <c r="O3971" s="28" t="s">
        <v>16227</v>
      </c>
      <c r="P3971" s="28" t="s">
        <v>21063</v>
      </c>
    </row>
    <row r="3972" spans="1:16" x14ac:dyDescent="0.25">
      <c r="A3972" s="28" t="s">
        <v>21064</v>
      </c>
      <c r="B3972" s="28" t="s">
        <v>21065</v>
      </c>
      <c r="C3972" s="28" t="s">
        <v>1684</v>
      </c>
      <c r="D3972" s="28" t="s">
        <v>5372</v>
      </c>
      <c r="E3972" s="28" t="s">
        <v>21066</v>
      </c>
      <c r="F3972" s="28" t="s">
        <v>21</v>
      </c>
      <c r="G3972" s="28" t="s">
        <v>39</v>
      </c>
      <c r="H3972" s="28" t="s">
        <v>16221</v>
      </c>
      <c r="I3972" s="28" t="s">
        <v>21067</v>
      </c>
      <c r="J3972" s="28" t="s">
        <v>39</v>
      </c>
      <c r="K3972" s="28" t="s">
        <v>16223</v>
      </c>
      <c r="L3972" s="28" t="s">
        <v>16224</v>
      </c>
      <c r="M3972" s="28" t="s">
        <v>21068</v>
      </c>
      <c r="N3972" s="28" t="s">
        <v>16226</v>
      </c>
      <c r="O3972" s="28" t="s">
        <v>16227</v>
      </c>
      <c r="P3972" s="28" t="s">
        <v>21069</v>
      </c>
    </row>
    <row r="3973" spans="1:16" x14ac:dyDescent="0.25">
      <c r="A3973" s="28" t="s">
        <v>21070</v>
      </c>
      <c r="B3973" s="28" t="s">
        <v>21071</v>
      </c>
      <c r="C3973" s="28" t="s">
        <v>1684</v>
      </c>
      <c r="D3973" s="28" t="s">
        <v>5372</v>
      </c>
      <c r="E3973" s="28" t="s">
        <v>21072</v>
      </c>
      <c r="F3973" s="28" t="s">
        <v>21</v>
      </c>
      <c r="G3973" s="28" t="s">
        <v>39</v>
      </c>
      <c r="H3973" s="28" t="s">
        <v>16221</v>
      </c>
      <c r="I3973" s="28" t="s">
        <v>21073</v>
      </c>
      <c r="J3973" s="28" t="s">
        <v>39</v>
      </c>
      <c r="K3973" s="28" t="s">
        <v>16223</v>
      </c>
      <c r="L3973" s="28" t="s">
        <v>16224</v>
      </c>
      <c r="M3973" s="28" t="s">
        <v>21074</v>
      </c>
      <c r="N3973" s="28" t="s">
        <v>16226</v>
      </c>
      <c r="O3973" s="28" t="s">
        <v>16227</v>
      </c>
      <c r="P3973" s="28" t="s">
        <v>21075</v>
      </c>
    </row>
    <row r="3974" spans="1:16" x14ac:dyDescent="0.25">
      <c r="A3974" s="28" t="s">
        <v>21076</v>
      </c>
      <c r="B3974" s="28" t="s">
        <v>21077</v>
      </c>
      <c r="C3974" s="28" t="s">
        <v>1684</v>
      </c>
      <c r="D3974" s="28" t="s">
        <v>5372</v>
      </c>
      <c r="E3974" s="28" t="s">
        <v>21078</v>
      </c>
      <c r="F3974" s="28" t="s">
        <v>21</v>
      </c>
      <c r="G3974" s="28" t="s">
        <v>39</v>
      </c>
      <c r="H3974" s="28" t="s">
        <v>16221</v>
      </c>
      <c r="I3974" s="28" t="s">
        <v>21079</v>
      </c>
      <c r="J3974" s="28" t="s">
        <v>39</v>
      </c>
      <c r="K3974" s="28" t="s">
        <v>16223</v>
      </c>
      <c r="L3974" s="28" t="s">
        <v>16224</v>
      </c>
      <c r="M3974" s="28" t="s">
        <v>21080</v>
      </c>
      <c r="N3974" s="28" t="s">
        <v>16226</v>
      </c>
      <c r="O3974" s="28" t="s">
        <v>16227</v>
      </c>
      <c r="P3974" s="28" t="s">
        <v>21081</v>
      </c>
    </row>
    <row r="3975" spans="1:16" x14ac:dyDescent="0.25">
      <c r="A3975" s="28" t="s">
        <v>21082</v>
      </c>
      <c r="B3975" s="28" t="s">
        <v>21083</v>
      </c>
      <c r="C3975" s="28" t="s">
        <v>1684</v>
      </c>
      <c r="D3975" s="28" t="s">
        <v>5372</v>
      </c>
      <c r="E3975" s="28" t="s">
        <v>21084</v>
      </c>
      <c r="F3975" s="28" t="s">
        <v>21</v>
      </c>
      <c r="G3975" s="28" t="s">
        <v>39</v>
      </c>
      <c r="H3975" s="28" t="s">
        <v>16221</v>
      </c>
      <c r="I3975" s="28" t="s">
        <v>21085</v>
      </c>
      <c r="J3975" s="28" t="s">
        <v>39</v>
      </c>
      <c r="K3975" s="28" t="s">
        <v>16223</v>
      </c>
      <c r="L3975" s="28" t="s">
        <v>16224</v>
      </c>
      <c r="M3975" s="28" t="s">
        <v>21086</v>
      </c>
      <c r="N3975" s="28" t="s">
        <v>16226</v>
      </c>
      <c r="O3975" s="28" t="s">
        <v>16227</v>
      </c>
      <c r="P3975" s="28" t="s">
        <v>21087</v>
      </c>
    </row>
    <row r="3976" spans="1:16" x14ac:dyDescent="0.25">
      <c r="A3976" s="28" t="s">
        <v>21088</v>
      </c>
      <c r="B3976" s="28" t="s">
        <v>21089</v>
      </c>
      <c r="C3976" s="28" t="s">
        <v>1684</v>
      </c>
      <c r="D3976" s="28" t="s">
        <v>5372</v>
      </c>
      <c r="E3976" s="28" t="s">
        <v>18206</v>
      </c>
      <c r="F3976" s="28" t="s">
        <v>21</v>
      </c>
      <c r="G3976" s="28" t="s">
        <v>39</v>
      </c>
      <c r="H3976" s="28" t="s">
        <v>16221</v>
      </c>
      <c r="I3976" s="28" t="s">
        <v>21090</v>
      </c>
      <c r="J3976" s="28" t="s">
        <v>39</v>
      </c>
      <c r="K3976" s="28" t="s">
        <v>16223</v>
      </c>
      <c r="L3976" s="28" t="s">
        <v>16224</v>
      </c>
      <c r="M3976" s="28" t="s">
        <v>21091</v>
      </c>
      <c r="N3976" s="28" t="s">
        <v>16226</v>
      </c>
      <c r="O3976" s="28" t="s">
        <v>16227</v>
      </c>
      <c r="P3976" s="28" t="s">
        <v>18209</v>
      </c>
    </row>
    <row r="3977" spans="1:16" x14ac:dyDescent="0.25">
      <c r="A3977" s="28" t="s">
        <v>21092</v>
      </c>
      <c r="B3977" s="28" t="s">
        <v>21093</v>
      </c>
      <c r="C3977" s="28" t="s">
        <v>1684</v>
      </c>
      <c r="D3977" s="28" t="s">
        <v>5372</v>
      </c>
      <c r="E3977" s="28" t="s">
        <v>18206</v>
      </c>
      <c r="F3977" s="28" t="s">
        <v>21</v>
      </c>
      <c r="G3977" s="28" t="s">
        <v>39</v>
      </c>
      <c r="H3977" s="28" t="s">
        <v>16221</v>
      </c>
      <c r="I3977" s="28" t="s">
        <v>21094</v>
      </c>
      <c r="J3977" s="28" t="s">
        <v>39</v>
      </c>
      <c r="K3977" s="28" t="s">
        <v>16223</v>
      </c>
      <c r="L3977" s="28" t="s">
        <v>16224</v>
      </c>
      <c r="M3977" s="28" t="s">
        <v>21095</v>
      </c>
      <c r="N3977" s="28" t="s">
        <v>16226</v>
      </c>
      <c r="O3977" s="28" t="s">
        <v>16227</v>
      </c>
      <c r="P3977" s="28" t="s">
        <v>18209</v>
      </c>
    </row>
    <row r="3978" spans="1:16" x14ac:dyDescent="0.25">
      <c r="A3978" s="28" t="s">
        <v>21096</v>
      </c>
      <c r="B3978" s="28" t="s">
        <v>21097</v>
      </c>
      <c r="C3978" s="28" t="s">
        <v>1684</v>
      </c>
      <c r="D3978" s="28" t="s">
        <v>5372</v>
      </c>
      <c r="E3978" s="28" t="s">
        <v>21098</v>
      </c>
      <c r="F3978" s="28" t="s">
        <v>21</v>
      </c>
      <c r="G3978" s="28" t="s">
        <v>39</v>
      </c>
      <c r="H3978" s="28" t="s">
        <v>16221</v>
      </c>
      <c r="I3978" s="28" t="s">
        <v>21099</v>
      </c>
      <c r="J3978" s="28" t="s">
        <v>39</v>
      </c>
      <c r="K3978" s="28" t="s">
        <v>16223</v>
      </c>
      <c r="L3978" s="28" t="s">
        <v>16224</v>
      </c>
      <c r="M3978" s="28" t="s">
        <v>21100</v>
      </c>
      <c r="N3978" s="28" t="s">
        <v>16226</v>
      </c>
      <c r="O3978" s="28" t="s">
        <v>16227</v>
      </c>
      <c r="P3978" s="28" t="s">
        <v>21101</v>
      </c>
    </row>
    <row r="3979" spans="1:16" x14ac:dyDescent="0.25">
      <c r="A3979" s="28" t="s">
        <v>21102</v>
      </c>
      <c r="B3979" s="28" t="s">
        <v>21103</v>
      </c>
      <c r="C3979" s="28" t="s">
        <v>1684</v>
      </c>
      <c r="D3979" s="28" t="s">
        <v>3524</v>
      </c>
      <c r="E3979" s="28" t="s">
        <v>17083</v>
      </c>
      <c r="F3979" s="28" t="s">
        <v>21</v>
      </c>
      <c r="G3979" s="28" t="s">
        <v>39</v>
      </c>
      <c r="H3979" s="28" t="s">
        <v>16221</v>
      </c>
      <c r="I3979" s="28" t="s">
        <v>21104</v>
      </c>
      <c r="J3979" s="28" t="s">
        <v>39</v>
      </c>
      <c r="K3979" s="28" t="s">
        <v>16223</v>
      </c>
      <c r="L3979" s="28" t="s">
        <v>16224</v>
      </c>
      <c r="M3979" s="28" t="s">
        <v>21105</v>
      </c>
      <c r="N3979" s="28" t="s">
        <v>16226</v>
      </c>
      <c r="O3979" s="28" t="s">
        <v>16227</v>
      </c>
      <c r="P3979" s="28" t="s">
        <v>17086</v>
      </c>
    </row>
    <row r="3980" spans="1:16" x14ac:dyDescent="0.25">
      <c r="A3980" s="28" t="s">
        <v>21106</v>
      </c>
      <c r="B3980" s="28" t="s">
        <v>21107</v>
      </c>
      <c r="C3980" s="28" t="s">
        <v>1684</v>
      </c>
      <c r="D3980" s="28" t="s">
        <v>3838</v>
      </c>
      <c r="E3980" s="28" t="s">
        <v>21108</v>
      </c>
      <c r="F3980" s="28" t="s">
        <v>21</v>
      </c>
      <c r="G3980" s="28" t="s">
        <v>39</v>
      </c>
      <c r="H3980" s="28" t="s">
        <v>16221</v>
      </c>
      <c r="I3980" s="28" t="s">
        <v>21109</v>
      </c>
      <c r="J3980" s="28" t="s">
        <v>39</v>
      </c>
      <c r="K3980" s="28" t="s">
        <v>16223</v>
      </c>
      <c r="L3980" s="28" t="s">
        <v>16224</v>
      </c>
      <c r="M3980" s="28" t="s">
        <v>21110</v>
      </c>
      <c r="N3980" s="28" t="s">
        <v>16226</v>
      </c>
      <c r="O3980" s="28" t="s">
        <v>16227</v>
      </c>
      <c r="P3980" s="28" t="s">
        <v>21111</v>
      </c>
    </row>
    <row r="3981" spans="1:16" x14ac:dyDescent="0.25">
      <c r="A3981" s="28" t="s">
        <v>21112</v>
      </c>
      <c r="B3981" s="28" t="s">
        <v>21113</v>
      </c>
      <c r="C3981" s="28" t="s">
        <v>1684</v>
      </c>
      <c r="D3981" s="28" t="s">
        <v>3838</v>
      </c>
      <c r="E3981" s="28" t="s">
        <v>21114</v>
      </c>
      <c r="F3981" s="28" t="s">
        <v>21</v>
      </c>
      <c r="G3981" s="28" t="s">
        <v>39</v>
      </c>
      <c r="H3981" s="28" t="s">
        <v>16221</v>
      </c>
      <c r="I3981" s="28" t="s">
        <v>21115</v>
      </c>
      <c r="J3981" s="28" t="s">
        <v>39</v>
      </c>
      <c r="K3981" s="28" t="s">
        <v>16223</v>
      </c>
      <c r="L3981" s="28" t="s">
        <v>16224</v>
      </c>
      <c r="M3981" s="28" t="s">
        <v>21116</v>
      </c>
      <c r="N3981" s="28" t="s">
        <v>16226</v>
      </c>
      <c r="O3981" s="28" t="s">
        <v>16227</v>
      </c>
      <c r="P3981" s="28" t="s">
        <v>21117</v>
      </c>
    </row>
    <row r="3982" spans="1:16" x14ac:dyDescent="0.25">
      <c r="A3982" s="28" t="s">
        <v>21118</v>
      </c>
      <c r="B3982" s="28" t="s">
        <v>21119</v>
      </c>
      <c r="C3982" s="28" t="s">
        <v>1684</v>
      </c>
      <c r="D3982" s="28" t="s">
        <v>3838</v>
      </c>
      <c r="E3982" s="28" t="s">
        <v>21120</v>
      </c>
      <c r="F3982" s="28" t="s">
        <v>21</v>
      </c>
      <c r="G3982" s="28" t="s">
        <v>39</v>
      </c>
      <c r="H3982" s="28" t="s">
        <v>16221</v>
      </c>
      <c r="I3982" s="28" t="s">
        <v>21121</v>
      </c>
      <c r="J3982" s="28" t="s">
        <v>39</v>
      </c>
      <c r="K3982" s="28" t="s">
        <v>16223</v>
      </c>
      <c r="L3982" s="28" t="s">
        <v>16224</v>
      </c>
      <c r="M3982" s="28" t="s">
        <v>21122</v>
      </c>
      <c r="N3982" s="28" t="s">
        <v>16226</v>
      </c>
      <c r="O3982" s="28" t="s">
        <v>16227</v>
      </c>
      <c r="P3982" s="28" t="s">
        <v>21123</v>
      </c>
    </row>
    <row r="3983" spans="1:16" x14ac:dyDescent="0.25">
      <c r="A3983" s="28" t="s">
        <v>21124</v>
      </c>
      <c r="B3983" s="28" t="s">
        <v>21125</v>
      </c>
      <c r="C3983" s="28" t="s">
        <v>1684</v>
      </c>
      <c r="D3983" s="28" t="s">
        <v>17096</v>
      </c>
      <c r="E3983" s="28" t="s">
        <v>17097</v>
      </c>
      <c r="F3983" s="28" t="s">
        <v>21</v>
      </c>
      <c r="G3983" s="28" t="s">
        <v>39</v>
      </c>
      <c r="H3983" s="28" t="s">
        <v>16221</v>
      </c>
      <c r="I3983" s="28" t="s">
        <v>21126</v>
      </c>
      <c r="J3983" s="28" t="s">
        <v>39</v>
      </c>
      <c r="K3983" s="28" t="s">
        <v>16223</v>
      </c>
      <c r="L3983" s="28" t="s">
        <v>16224</v>
      </c>
      <c r="M3983" s="28" t="s">
        <v>21127</v>
      </c>
      <c r="N3983" s="28" t="s">
        <v>16226</v>
      </c>
      <c r="O3983" s="28" t="s">
        <v>16227</v>
      </c>
      <c r="P3983" s="28" t="s">
        <v>17100</v>
      </c>
    </row>
    <row r="3984" spans="1:16" x14ac:dyDescent="0.25">
      <c r="A3984" s="28" t="s">
        <v>21128</v>
      </c>
      <c r="B3984" s="28" t="s">
        <v>21129</v>
      </c>
      <c r="C3984" s="28" t="s">
        <v>1684</v>
      </c>
      <c r="D3984" s="28" t="s">
        <v>17096</v>
      </c>
      <c r="E3984" s="28" t="s">
        <v>17097</v>
      </c>
      <c r="F3984" s="28" t="s">
        <v>21</v>
      </c>
      <c r="G3984" s="28" t="s">
        <v>39</v>
      </c>
      <c r="H3984" s="28" t="s">
        <v>16221</v>
      </c>
      <c r="I3984" s="28" t="s">
        <v>21130</v>
      </c>
      <c r="J3984" s="28" t="s">
        <v>39</v>
      </c>
      <c r="K3984" s="28" t="s">
        <v>16223</v>
      </c>
      <c r="L3984" s="28" t="s">
        <v>16224</v>
      </c>
      <c r="M3984" s="28" t="s">
        <v>21131</v>
      </c>
      <c r="N3984" s="28" t="s">
        <v>16226</v>
      </c>
      <c r="O3984" s="28" t="s">
        <v>16227</v>
      </c>
      <c r="P3984" s="28" t="s">
        <v>17100</v>
      </c>
    </row>
    <row r="3985" spans="1:16" x14ac:dyDescent="0.25">
      <c r="A3985" s="28" t="s">
        <v>21132</v>
      </c>
      <c r="B3985" s="28" t="s">
        <v>21133</v>
      </c>
      <c r="C3985" s="28" t="s">
        <v>1684</v>
      </c>
      <c r="D3985" s="28" t="s">
        <v>17096</v>
      </c>
      <c r="E3985" s="28" t="s">
        <v>17097</v>
      </c>
      <c r="F3985" s="28" t="s">
        <v>21</v>
      </c>
      <c r="G3985" s="28" t="s">
        <v>39</v>
      </c>
      <c r="H3985" s="28" t="s">
        <v>16221</v>
      </c>
      <c r="I3985" s="28" t="s">
        <v>21134</v>
      </c>
      <c r="J3985" s="28" t="s">
        <v>39</v>
      </c>
      <c r="K3985" s="28" t="s">
        <v>16223</v>
      </c>
      <c r="L3985" s="28" t="s">
        <v>16224</v>
      </c>
      <c r="M3985" s="28" t="s">
        <v>21135</v>
      </c>
      <c r="N3985" s="28" t="s">
        <v>16226</v>
      </c>
      <c r="O3985" s="28" t="s">
        <v>16227</v>
      </c>
      <c r="P3985" s="28" t="s">
        <v>17100</v>
      </c>
    </row>
    <row r="3986" spans="1:16" x14ac:dyDescent="0.25">
      <c r="A3986" s="28" t="s">
        <v>21136</v>
      </c>
      <c r="B3986" s="28" t="s">
        <v>21137</v>
      </c>
      <c r="C3986" s="28" t="s">
        <v>1684</v>
      </c>
      <c r="D3986" s="28" t="s">
        <v>17096</v>
      </c>
      <c r="E3986" s="28" t="s">
        <v>17097</v>
      </c>
      <c r="F3986" s="28" t="s">
        <v>21</v>
      </c>
      <c r="G3986" s="28" t="s">
        <v>39</v>
      </c>
      <c r="H3986" s="28" t="s">
        <v>16221</v>
      </c>
      <c r="I3986" s="28" t="s">
        <v>21138</v>
      </c>
      <c r="J3986" s="28" t="s">
        <v>39</v>
      </c>
      <c r="K3986" s="28" t="s">
        <v>16223</v>
      </c>
      <c r="L3986" s="28" t="s">
        <v>16224</v>
      </c>
      <c r="M3986" s="28" t="s">
        <v>21139</v>
      </c>
      <c r="N3986" s="28" t="s">
        <v>16226</v>
      </c>
      <c r="O3986" s="28" t="s">
        <v>16227</v>
      </c>
      <c r="P3986" s="28" t="s">
        <v>17100</v>
      </c>
    </row>
    <row r="3987" spans="1:16" x14ac:dyDescent="0.25">
      <c r="A3987" s="28" t="s">
        <v>21140</v>
      </c>
      <c r="B3987" s="28" t="s">
        <v>21141</v>
      </c>
      <c r="C3987" s="28" t="s">
        <v>1684</v>
      </c>
      <c r="D3987" s="28" t="s">
        <v>17096</v>
      </c>
      <c r="E3987" s="28" t="s">
        <v>17097</v>
      </c>
      <c r="F3987" s="28" t="s">
        <v>21</v>
      </c>
      <c r="G3987" s="28" t="s">
        <v>39</v>
      </c>
      <c r="H3987" s="28" t="s">
        <v>16221</v>
      </c>
      <c r="I3987" s="28" t="s">
        <v>21142</v>
      </c>
      <c r="J3987" s="28" t="s">
        <v>39</v>
      </c>
      <c r="K3987" s="28" t="s">
        <v>16223</v>
      </c>
      <c r="L3987" s="28" t="s">
        <v>16224</v>
      </c>
      <c r="M3987" s="28" t="s">
        <v>21143</v>
      </c>
      <c r="N3987" s="28" t="s">
        <v>16226</v>
      </c>
      <c r="O3987" s="28" t="s">
        <v>16227</v>
      </c>
      <c r="P3987" s="28" t="s">
        <v>17100</v>
      </c>
    </row>
    <row r="3988" spans="1:16" x14ac:dyDescent="0.25">
      <c r="A3988" s="28" t="s">
        <v>21144</v>
      </c>
      <c r="B3988" s="28" t="s">
        <v>21145</v>
      </c>
      <c r="C3988" s="28" t="s">
        <v>1684</v>
      </c>
      <c r="D3988" s="28" t="s">
        <v>17096</v>
      </c>
      <c r="E3988" s="28" t="s">
        <v>17097</v>
      </c>
      <c r="F3988" s="28" t="s">
        <v>21</v>
      </c>
      <c r="G3988" s="28" t="s">
        <v>39</v>
      </c>
      <c r="H3988" s="28" t="s">
        <v>16221</v>
      </c>
      <c r="I3988" s="28" t="s">
        <v>21146</v>
      </c>
      <c r="J3988" s="28" t="s">
        <v>39</v>
      </c>
      <c r="K3988" s="28" t="s">
        <v>16223</v>
      </c>
      <c r="L3988" s="28" t="s">
        <v>16224</v>
      </c>
      <c r="M3988" s="28" t="s">
        <v>21147</v>
      </c>
      <c r="N3988" s="28" t="s">
        <v>16226</v>
      </c>
      <c r="O3988" s="28" t="s">
        <v>16227</v>
      </c>
      <c r="P3988" s="28" t="s">
        <v>17100</v>
      </c>
    </row>
    <row r="3989" spans="1:16" x14ac:dyDescent="0.25">
      <c r="A3989" s="28" t="s">
        <v>21148</v>
      </c>
      <c r="B3989" s="28" t="s">
        <v>21149</v>
      </c>
      <c r="C3989" s="28" t="s">
        <v>1684</v>
      </c>
      <c r="D3989" s="28" t="s">
        <v>21150</v>
      </c>
      <c r="E3989" s="28" t="s">
        <v>21151</v>
      </c>
      <c r="F3989" s="28" t="s">
        <v>21</v>
      </c>
      <c r="G3989" s="28" t="s">
        <v>39</v>
      </c>
      <c r="H3989" s="28" t="s">
        <v>16221</v>
      </c>
      <c r="I3989" s="28" t="s">
        <v>21152</v>
      </c>
      <c r="J3989" s="28" t="s">
        <v>39</v>
      </c>
      <c r="K3989" s="28" t="s">
        <v>16223</v>
      </c>
      <c r="L3989" s="28" t="s">
        <v>16224</v>
      </c>
      <c r="M3989" s="28" t="s">
        <v>21153</v>
      </c>
      <c r="N3989" s="28" t="s">
        <v>16226</v>
      </c>
      <c r="O3989" s="28" t="s">
        <v>16227</v>
      </c>
      <c r="P3989" s="28" t="s">
        <v>21154</v>
      </c>
    </row>
    <row r="3990" spans="1:16" x14ac:dyDescent="0.25">
      <c r="A3990" s="28" t="s">
        <v>21155</v>
      </c>
      <c r="B3990" s="28" t="s">
        <v>21156</v>
      </c>
      <c r="C3990" s="28" t="s">
        <v>1684</v>
      </c>
      <c r="D3990" s="28" t="s">
        <v>21150</v>
      </c>
      <c r="E3990" s="28" t="s">
        <v>21151</v>
      </c>
      <c r="F3990" s="28" t="s">
        <v>21</v>
      </c>
      <c r="G3990" s="28" t="s">
        <v>39</v>
      </c>
      <c r="H3990" s="28" t="s">
        <v>16221</v>
      </c>
      <c r="I3990" s="28" t="s">
        <v>21157</v>
      </c>
      <c r="J3990" s="28" t="s">
        <v>39</v>
      </c>
      <c r="K3990" s="28" t="s">
        <v>16223</v>
      </c>
      <c r="L3990" s="28" t="s">
        <v>16224</v>
      </c>
      <c r="M3990" s="28" t="s">
        <v>21158</v>
      </c>
      <c r="N3990" s="28" t="s">
        <v>16226</v>
      </c>
      <c r="O3990" s="28" t="s">
        <v>16227</v>
      </c>
      <c r="P3990" s="28" t="s">
        <v>21154</v>
      </c>
    </row>
    <row r="3991" spans="1:16" x14ac:dyDescent="0.25">
      <c r="A3991" s="28" t="s">
        <v>21159</v>
      </c>
      <c r="B3991" s="28" t="s">
        <v>21160</v>
      </c>
      <c r="C3991" s="28" t="s">
        <v>1684</v>
      </c>
      <c r="D3991" s="28" t="s">
        <v>21150</v>
      </c>
      <c r="E3991" s="28" t="s">
        <v>21151</v>
      </c>
      <c r="F3991" s="28" t="s">
        <v>21</v>
      </c>
      <c r="G3991" s="28" t="s">
        <v>39</v>
      </c>
      <c r="H3991" s="28" t="s">
        <v>16221</v>
      </c>
      <c r="I3991" s="28" t="s">
        <v>21161</v>
      </c>
      <c r="J3991" s="28" t="s">
        <v>39</v>
      </c>
      <c r="K3991" s="28" t="s">
        <v>16223</v>
      </c>
      <c r="L3991" s="28" t="s">
        <v>16224</v>
      </c>
      <c r="M3991" s="28" t="s">
        <v>21162</v>
      </c>
      <c r="N3991" s="28" t="s">
        <v>16226</v>
      </c>
      <c r="O3991" s="28" t="s">
        <v>16227</v>
      </c>
      <c r="P3991" s="28" t="s">
        <v>21154</v>
      </c>
    </row>
    <row r="3992" spans="1:16" x14ac:dyDescent="0.25">
      <c r="A3992" s="28" t="s">
        <v>21163</v>
      </c>
      <c r="B3992" s="28" t="s">
        <v>21164</v>
      </c>
      <c r="C3992" s="28" t="s">
        <v>1684</v>
      </c>
      <c r="D3992" s="28" t="s">
        <v>21150</v>
      </c>
      <c r="E3992" s="28" t="s">
        <v>21151</v>
      </c>
      <c r="F3992" s="28" t="s">
        <v>21</v>
      </c>
      <c r="G3992" s="28" t="s">
        <v>39</v>
      </c>
      <c r="H3992" s="28" t="s">
        <v>16221</v>
      </c>
      <c r="I3992" s="28" t="s">
        <v>21165</v>
      </c>
      <c r="J3992" s="28" t="s">
        <v>39</v>
      </c>
      <c r="K3992" s="28" t="s">
        <v>16223</v>
      </c>
      <c r="L3992" s="28" t="s">
        <v>16224</v>
      </c>
      <c r="M3992" s="28" t="s">
        <v>21166</v>
      </c>
      <c r="N3992" s="28" t="s">
        <v>16226</v>
      </c>
      <c r="O3992" s="28" t="s">
        <v>16227</v>
      </c>
      <c r="P3992" s="28" t="s">
        <v>21154</v>
      </c>
    </row>
    <row r="3993" spans="1:16" x14ac:dyDescent="0.25">
      <c r="A3993" s="28" t="s">
        <v>21167</v>
      </c>
      <c r="B3993" s="28" t="s">
        <v>21168</v>
      </c>
      <c r="C3993" s="28" t="s">
        <v>1684</v>
      </c>
      <c r="D3993" s="28" t="s">
        <v>21150</v>
      </c>
      <c r="E3993" s="28" t="s">
        <v>21151</v>
      </c>
      <c r="F3993" s="28" t="s">
        <v>21</v>
      </c>
      <c r="G3993" s="28" t="s">
        <v>39</v>
      </c>
      <c r="H3993" s="28" t="s">
        <v>16221</v>
      </c>
      <c r="I3993" s="28" t="s">
        <v>21169</v>
      </c>
      <c r="J3993" s="28" t="s">
        <v>39</v>
      </c>
      <c r="K3993" s="28" t="s">
        <v>16223</v>
      </c>
      <c r="L3993" s="28" t="s">
        <v>16224</v>
      </c>
      <c r="M3993" s="28" t="s">
        <v>21170</v>
      </c>
      <c r="N3993" s="28" t="s">
        <v>16226</v>
      </c>
      <c r="O3993" s="28" t="s">
        <v>16227</v>
      </c>
      <c r="P3993" s="28" t="s">
        <v>21154</v>
      </c>
    </row>
    <row r="3994" spans="1:16" x14ac:dyDescent="0.25">
      <c r="A3994" s="28" t="s">
        <v>21171</v>
      </c>
      <c r="B3994" s="28" t="s">
        <v>21172</v>
      </c>
      <c r="C3994" s="28" t="s">
        <v>1684</v>
      </c>
      <c r="D3994" s="28" t="s">
        <v>21173</v>
      </c>
      <c r="E3994" s="28" t="s">
        <v>21174</v>
      </c>
      <c r="F3994" s="28" t="s">
        <v>21</v>
      </c>
      <c r="G3994" s="28" t="s">
        <v>39</v>
      </c>
      <c r="H3994" s="28" t="s">
        <v>16221</v>
      </c>
      <c r="I3994" s="28" t="s">
        <v>21175</v>
      </c>
      <c r="J3994" s="28" t="s">
        <v>39</v>
      </c>
      <c r="K3994" s="28" t="s">
        <v>16223</v>
      </c>
      <c r="L3994" s="28" t="s">
        <v>16224</v>
      </c>
      <c r="M3994" s="28" t="s">
        <v>21176</v>
      </c>
      <c r="N3994" s="28" t="s">
        <v>16226</v>
      </c>
      <c r="O3994" s="28" t="s">
        <v>16227</v>
      </c>
      <c r="P3994" s="28" t="s">
        <v>21177</v>
      </c>
    </row>
    <row r="3995" spans="1:16" x14ac:dyDescent="0.25">
      <c r="A3995" s="28" t="s">
        <v>21178</v>
      </c>
      <c r="B3995" s="28" t="s">
        <v>21179</v>
      </c>
      <c r="C3995" s="28" t="s">
        <v>1684</v>
      </c>
      <c r="D3995" s="28" t="s">
        <v>18224</v>
      </c>
      <c r="E3995" s="28" t="s">
        <v>18225</v>
      </c>
      <c r="F3995" s="28" t="s">
        <v>21</v>
      </c>
      <c r="G3995" s="28" t="s">
        <v>39</v>
      </c>
      <c r="H3995" s="28" t="s">
        <v>16221</v>
      </c>
      <c r="I3995" s="28" t="s">
        <v>21180</v>
      </c>
      <c r="J3995" s="28" t="s">
        <v>39</v>
      </c>
      <c r="K3995" s="28" t="s">
        <v>16223</v>
      </c>
      <c r="L3995" s="28" t="s">
        <v>16224</v>
      </c>
      <c r="M3995" s="28" t="s">
        <v>21181</v>
      </c>
      <c r="N3995" s="28" t="s">
        <v>16226</v>
      </c>
      <c r="O3995" s="28" t="s">
        <v>16227</v>
      </c>
      <c r="P3995" s="28" t="s">
        <v>18228</v>
      </c>
    </row>
    <row r="3996" spans="1:16" x14ac:dyDescent="0.25">
      <c r="A3996" s="28" t="s">
        <v>21182</v>
      </c>
      <c r="B3996" s="28" t="s">
        <v>21183</v>
      </c>
      <c r="C3996" s="28" t="s">
        <v>1684</v>
      </c>
      <c r="D3996" s="28" t="s">
        <v>9268</v>
      </c>
      <c r="E3996" s="28" t="s">
        <v>21184</v>
      </c>
      <c r="F3996" s="28" t="s">
        <v>21</v>
      </c>
      <c r="G3996" s="28" t="s">
        <v>39</v>
      </c>
      <c r="H3996" s="28" t="s">
        <v>16221</v>
      </c>
      <c r="I3996" s="28" t="s">
        <v>21185</v>
      </c>
      <c r="J3996" s="28" t="s">
        <v>39</v>
      </c>
      <c r="K3996" s="28" t="s">
        <v>16223</v>
      </c>
      <c r="L3996" s="28" t="s">
        <v>16224</v>
      </c>
      <c r="M3996" s="28" t="s">
        <v>21186</v>
      </c>
      <c r="N3996" s="28" t="s">
        <v>16226</v>
      </c>
      <c r="O3996" s="28" t="s">
        <v>16227</v>
      </c>
      <c r="P3996" s="28" t="s">
        <v>21187</v>
      </c>
    </row>
    <row r="3997" spans="1:16" x14ac:dyDescent="0.25">
      <c r="A3997" s="28" t="s">
        <v>21188</v>
      </c>
      <c r="B3997" s="28" t="s">
        <v>21189</v>
      </c>
      <c r="C3997" s="28" t="s">
        <v>1684</v>
      </c>
      <c r="D3997" s="28" t="s">
        <v>21190</v>
      </c>
      <c r="E3997" s="28" t="s">
        <v>21191</v>
      </c>
      <c r="F3997" s="28" t="s">
        <v>21</v>
      </c>
      <c r="G3997" s="28" t="s">
        <v>39</v>
      </c>
      <c r="H3997" s="28" t="s">
        <v>16221</v>
      </c>
      <c r="I3997" s="28" t="s">
        <v>21192</v>
      </c>
      <c r="J3997" s="28" t="s">
        <v>39</v>
      </c>
      <c r="K3997" s="28" t="s">
        <v>16223</v>
      </c>
      <c r="L3997" s="28" t="s">
        <v>16224</v>
      </c>
      <c r="M3997" s="28" t="s">
        <v>21193</v>
      </c>
      <c r="N3997" s="28" t="s">
        <v>16226</v>
      </c>
      <c r="O3997" s="28" t="s">
        <v>16227</v>
      </c>
      <c r="P3997" s="28" t="s">
        <v>21194</v>
      </c>
    </row>
    <row r="3998" spans="1:16" x14ac:dyDescent="0.25">
      <c r="A3998" s="28" t="s">
        <v>21195</v>
      </c>
      <c r="B3998" s="28" t="s">
        <v>21196</v>
      </c>
      <c r="C3998" s="28" t="s">
        <v>1684</v>
      </c>
      <c r="D3998" s="28" t="s">
        <v>21190</v>
      </c>
      <c r="E3998" s="28" t="s">
        <v>21191</v>
      </c>
      <c r="F3998" s="28" t="s">
        <v>21</v>
      </c>
      <c r="G3998" s="28" t="s">
        <v>39</v>
      </c>
      <c r="H3998" s="28" t="s">
        <v>16221</v>
      </c>
      <c r="I3998" s="28" t="s">
        <v>21197</v>
      </c>
      <c r="J3998" s="28" t="s">
        <v>39</v>
      </c>
      <c r="K3998" s="28" t="s">
        <v>16223</v>
      </c>
      <c r="L3998" s="28" t="s">
        <v>16224</v>
      </c>
      <c r="M3998" s="28" t="s">
        <v>21198</v>
      </c>
      <c r="N3998" s="28" t="s">
        <v>16226</v>
      </c>
      <c r="O3998" s="28" t="s">
        <v>16227</v>
      </c>
      <c r="P3998" s="28" t="s">
        <v>21194</v>
      </c>
    </row>
    <row r="3999" spans="1:16" x14ac:dyDescent="0.25">
      <c r="A3999" s="28" t="s">
        <v>21199</v>
      </c>
      <c r="B3999" s="28" t="s">
        <v>21200</v>
      </c>
      <c r="C3999" s="28" t="s">
        <v>1684</v>
      </c>
      <c r="D3999" s="28" t="s">
        <v>21190</v>
      </c>
      <c r="E3999" s="28" t="s">
        <v>21191</v>
      </c>
      <c r="F3999" s="28" t="s">
        <v>21</v>
      </c>
      <c r="G3999" s="28" t="s">
        <v>39</v>
      </c>
      <c r="H3999" s="28" t="s">
        <v>16221</v>
      </c>
      <c r="I3999" s="28" t="s">
        <v>21201</v>
      </c>
      <c r="J3999" s="28" t="s">
        <v>39</v>
      </c>
      <c r="K3999" s="28" t="s">
        <v>16223</v>
      </c>
      <c r="L3999" s="28" t="s">
        <v>16224</v>
      </c>
      <c r="M3999" s="28" t="s">
        <v>21202</v>
      </c>
      <c r="N3999" s="28" t="s">
        <v>16226</v>
      </c>
      <c r="O3999" s="28" t="s">
        <v>16227</v>
      </c>
      <c r="P3999" s="28" t="s">
        <v>21194</v>
      </c>
    </row>
    <row r="4000" spans="1:16" x14ac:dyDescent="0.25">
      <c r="A4000" s="28" t="s">
        <v>21203</v>
      </c>
      <c r="B4000" s="28" t="s">
        <v>21204</v>
      </c>
      <c r="C4000" s="28" t="s">
        <v>1684</v>
      </c>
      <c r="D4000" s="28" t="s">
        <v>9261</v>
      </c>
      <c r="E4000" s="28" t="s">
        <v>18237</v>
      </c>
      <c r="F4000" s="28" t="s">
        <v>21</v>
      </c>
      <c r="G4000" s="28" t="s">
        <v>39</v>
      </c>
      <c r="H4000" s="28" t="s">
        <v>16221</v>
      </c>
      <c r="I4000" s="28" t="s">
        <v>21205</v>
      </c>
      <c r="J4000" s="28" t="s">
        <v>39</v>
      </c>
      <c r="K4000" s="28" t="s">
        <v>16223</v>
      </c>
      <c r="L4000" s="28" t="s">
        <v>16224</v>
      </c>
      <c r="M4000" s="28" t="s">
        <v>21206</v>
      </c>
      <c r="N4000" s="28" t="s">
        <v>16226</v>
      </c>
      <c r="O4000" s="28" t="s">
        <v>16227</v>
      </c>
      <c r="P4000" s="28" t="s">
        <v>18240</v>
      </c>
    </row>
    <row r="4001" spans="1:16" x14ac:dyDescent="0.25">
      <c r="A4001" s="28" t="s">
        <v>21207</v>
      </c>
      <c r="B4001" s="28" t="s">
        <v>21208</v>
      </c>
      <c r="C4001" s="28" t="s">
        <v>1684</v>
      </c>
      <c r="D4001" s="28" t="s">
        <v>9261</v>
      </c>
      <c r="E4001" s="28" t="s">
        <v>18237</v>
      </c>
      <c r="F4001" s="28" t="s">
        <v>21</v>
      </c>
      <c r="G4001" s="28" t="s">
        <v>39</v>
      </c>
      <c r="H4001" s="28" t="s">
        <v>16221</v>
      </c>
      <c r="I4001" s="28" t="s">
        <v>21209</v>
      </c>
      <c r="J4001" s="28" t="s">
        <v>39</v>
      </c>
      <c r="K4001" s="28" t="s">
        <v>16223</v>
      </c>
      <c r="L4001" s="28" t="s">
        <v>16224</v>
      </c>
      <c r="M4001" s="28" t="s">
        <v>21210</v>
      </c>
      <c r="N4001" s="28" t="s">
        <v>16226</v>
      </c>
      <c r="O4001" s="28" t="s">
        <v>16227</v>
      </c>
      <c r="P4001" s="28" t="s">
        <v>18240</v>
      </c>
    </row>
    <row r="4002" spans="1:16" x14ac:dyDescent="0.25">
      <c r="A4002" s="28" t="s">
        <v>21211</v>
      </c>
      <c r="B4002" s="28" t="s">
        <v>21212</v>
      </c>
      <c r="C4002" s="28" t="s">
        <v>1684</v>
      </c>
      <c r="D4002" s="28" t="s">
        <v>9261</v>
      </c>
      <c r="E4002" s="28" t="s">
        <v>18237</v>
      </c>
      <c r="F4002" s="28" t="s">
        <v>21</v>
      </c>
      <c r="G4002" s="28" t="s">
        <v>39</v>
      </c>
      <c r="H4002" s="28" t="s">
        <v>16221</v>
      </c>
      <c r="I4002" s="28" t="s">
        <v>21213</v>
      </c>
      <c r="J4002" s="28" t="s">
        <v>39</v>
      </c>
      <c r="K4002" s="28" t="s">
        <v>16223</v>
      </c>
      <c r="L4002" s="28" t="s">
        <v>16224</v>
      </c>
      <c r="M4002" s="28" t="s">
        <v>21214</v>
      </c>
      <c r="N4002" s="28" t="s">
        <v>16226</v>
      </c>
      <c r="O4002" s="28" t="s">
        <v>16227</v>
      </c>
      <c r="P4002" s="28" t="s">
        <v>18240</v>
      </c>
    </row>
    <row r="4003" spans="1:16" x14ac:dyDescent="0.25">
      <c r="A4003" s="28" t="s">
        <v>21215</v>
      </c>
      <c r="B4003" s="28" t="s">
        <v>21216</v>
      </c>
      <c r="C4003" s="28" t="s">
        <v>1684</v>
      </c>
      <c r="D4003" s="28" t="s">
        <v>9261</v>
      </c>
      <c r="E4003" s="28" t="s">
        <v>18237</v>
      </c>
      <c r="F4003" s="28" t="s">
        <v>21</v>
      </c>
      <c r="G4003" s="28" t="s">
        <v>39</v>
      </c>
      <c r="H4003" s="28" t="s">
        <v>16221</v>
      </c>
      <c r="I4003" s="28" t="s">
        <v>21217</v>
      </c>
      <c r="J4003" s="28" t="s">
        <v>39</v>
      </c>
      <c r="K4003" s="28" t="s">
        <v>16223</v>
      </c>
      <c r="L4003" s="28" t="s">
        <v>16224</v>
      </c>
      <c r="M4003" s="28" t="s">
        <v>21218</v>
      </c>
      <c r="N4003" s="28" t="s">
        <v>16226</v>
      </c>
      <c r="O4003" s="28" t="s">
        <v>16227</v>
      </c>
      <c r="P4003" s="28" t="s">
        <v>18240</v>
      </c>
    </row>
    <row r="4004" spans="1:16" x14ac:dyDescent="0.25">
      <c r="A4004" s="28" t="s">
        <v>21219</v>
      </c>
      <c r="B4004" s="28" t="s">
        <v>21220</v>
      </c>
      <c r="C4004" s="28" t="s">
        <v>1684</v>
      </c>
      <c r="D4004" s="28" t="s">
        <v>17127</v>
      </c>
      <c r="E4004" s="28" t="s">
        <v>18243</v>
      </c>
      <c r="F4004" s="28" t="s">
        <v>21</v>
      </c>
      <c r="G4004" s="28" t="s">
        <v>39</v>
      </c>
      <c r="H4004" s="28" t="s">
        <v>16221</v>
      </c>
      <c r="I4004" s="28" t="s">
        <v>21221</v>
      </c>
      <c r="J4004" s="28" t="s">
        <v>39</v>
      </c>
      <c r="K4004" s="28" t="s">
        <v>16223</v>
      </c>
      <c r="L4004" s="28" t="s">
        <v>16224</v>
      </c>
      <c r="M4004" s="28" t="s">
        <v>21222</v>
      </c>
      <c r="N4004" s="28" t="s">
        <v>16226</v>
      </c>
      <c r="O4004" s="28" t="s">
        <v>16227</v>
      </c>
      <c r="P4004" s="28" t="s">
        <v>18246</v>
      </c>
    </row>
    <row r="4005" spans="1:16" x14ac:dyDescent="0.25">
      <c r="A4005" s="28" t="s">
        <v>21223</v>
      </c>
      <c r="B4005" s="28" t="s">
        <v>21224</v>
      </c>
      <c r="C4005" s="28" t="s">
        <v>1684</v>
      </c>
      <c r="D4005" s="28" t="s">
        <v>18249</v>
      </c>
      <c r="E4005" s="28" t="s">
        <v>18250</v>
      </c>
      <c r="F4005" s="28" t="s">
        <v>21</v>
      </c>
      <c r="G4005" s="28" t="s">
        <v>39</v>
      </c>
      <c r="H4005" s="28" t="s">
        <v>16221</v>
      </c>
      <c r="I4005" s="28" t="s">
        <v>21225</v>
      </c>
      <c r="J4005" s="28" t="s">
        <v>39</v>
      </c>
      <c r="K4005" s="28" t="s">
        <v>16223</v>
      </c>
      <c r="L4005" s="28" t="s">
        <v>16224</v>
      </c>
      <c r="M4005" s="28" t="s">
        <v>21226</v>
      </c>
      <c r="N4005" s="28" t="s">
        <v>16226</v>
      </c>
      <c r="O4005" s="28" t="s">
        <v>16227</v>
      </c>
      <c r="P4005" s="28" t="s">
        <v>18253</v>
      </c>
    </row>
    <row r="4006" spans="1:16" x14ac:dyDescent="0.25">
      <c r="A4006" s="28" t="s">
        <v>21227</v>
      </c>
      <c r="B4006" s="28" t="s">
        <v>21228</v>
      </c>
      <c r="C4006" s="28" t="s">
        <v>1684</v>
      </c>
      <c r="D4006" s="28" t="s">
        <v>15414</v>
      </c>
      <c r="E4006" s="28" t="s">
        <v>15415</v>
      </c>
      <c r="F4006" s="28" t="s">
        <v>21</v>
      </c>
      <c r="G4006" s="28" t="s">
        <v>39</v>
      </c>
      <c r="H4006" s="28" t="s">
        <v>16221</v>
      </c>
      <c r="I4006" s="28" t="s">
        <v>21229</v>
      </c>
      <c r="J4006" s="28" t="s">
        <v>39</v>
      </c>
      <c r="K4006" s="28" t="s">
        <v>16223</v>
      </c>
      <c r="L4006" s="28" t="s">
        <v>16224</v>
      </c>
      <c r="M4006" s="28" t="s">
        <v>21230</v>
      </c>
      <c r="N4006" s="28" t="s">
        <v>16226</v>
      </c>
      <c r="O4006" s="28" t="s">
        <v>16227</v>
      </c>
      <c r="P4006" s="28" t="s">
        <v>18258</v>
      </c>
    </row>
    <row r="4007" spans="1:16" x14ac:dyDescent="0.25">
      <c r="A4007" s="28" t="s">
        <v>21231</v>
      </c>
      <c r="B4007" s="28" t="s">
        <v>21232</v>
      </c>
      <c r="C4007" s="28" t="s">
        <v>1684</v>
      </c>
      <c r="D4007" s="28" t="s">
        <v>21233</v>
      </c>
      <c r="E4007" s="28" t="s">
        <v>21234</v>
      </c>
      <c r="F4007" s="28" t="s">
        <v>21</v>
      </c>
      <c r="G4007" s="28" t="s">
        <v>39</v>
      </c>
      <c r="H4007" s="28" t="s">
        <v>16221</v>
      </c>
      <c r="I4007" s="28" t="s">
        <v>21235</v>
      </c>
      <c r="J4007" s="28" t="s">
        <v>39</v>
      </c>
      <c r="K4007" s="28" t="s">
        <v>16223</v>
      </c>
      <c r="L4007" s="28" t="s">
        <v>16224</v>
      </c>
      <c r="M4007" s="28" t="s">
        <v>21236</v>
      </c>
      <c r="N4007" s="28" t="s">
        <v>16226</v>
      </c>
      <c r="O4007" s="28" t="s">
        <v>16227</v>
      </c>
      <c r="P4007" s="28" t="s">
        <v>21237</v>
      </c>
    </row>
    <row r="4008" spans="1:16" x14ac:dyDescent="0.25">
      <c r="A4008" s="28" t="s">
        <v>21238</v>
      </c>
      <c r="B4008" s="28" t="s">
        <v>21239</v>
      </c>
      <c r="C4008" s="28" t="s">
        <v>1684</v>
      </c>
      <c r="D4008" s="28" t="s">
        <v>21233</v>
      </c>
      <c r="E4008" s="28" t="s">
        <v>21234</v>
      </c>
      <c r="F4008" s="28" t="s">
        <v>21</v>
      </c>
      <c r="G4008" s="28" t="s">
        <v>39</v>
      </c>
      <c r="H4008" s="28" t="s">
        <v>16221</v>
      </c>
      <c r="I4008" s="28" t="s">
        <v>21240</v>
      </c>
      <c r="J4008" s="28" t="s">
        <v>39</v>
      </c>
      <c r="K4008" s="28" t="s">
        <v>16223</v>
      </c>
      <c r="L4008" s="28" t="s">
        <v>16224</v>
      </c>
      <c r="M4008" s="28" t="s">
        <v>21241</v>
      </c>
      <c r="N4008" s="28" t="s">
        <v>16226</v>
      </c>
      <c r="O4008" s="28" t="s">
        <v>16227</v>
      </c>
      <c r="P4008" s="28" t="s">
        <v>21237</v>
      </c>
    </row>
    <row r="4009" spans="1:16" x14ac:dyDescent="0.25">
      <c r="A4009" s="28" t="s">
        <v>21242</v>
      </c>
      <c r="B4009" s="28" t="s">
        <v>21243</v>
      </c>
      <c r="C4009" s="28" t="s">
        <v>1684</v>
      </c>
      <c r="D4009" s="28" t="s">
        <v>21233</v>
      </c>
      <c r="E4009" s="28" t="s">
        <v>21234</v>
      </c>
      <c r="F4009" s="28" t="s">
        <v>21</v>
      </c>
      <c r="G4009" s="28" t="s">
        <v>39</v>
      </c>
      <c r="H4009" s="28" t="s">
        <v>16221</v>
      </c>
      <c r="I4009" s="28" t="s">
        <v>21244</v>
      </c>
      <c r="J4009" s="28" t="s">
        <v>39</v>
      </c>
      <c r="K4009" s="28" t="s">
        <v>16223</v>
      </c>
      <c r="L4009" s="28" t="s">
        <v>16224</v>
      </c>
      <c r="M4009" s="28" t="s">
        <v>21245</v>
      </c>
      <c r="N4009" s="28" t="s">
        <v>16226</v>
      </c>
      <c r="O4009" s="28" t="s">
        <v>16227</v>
      </c>
      <c r="P4009" s="28" t="s">
        <v>21237</v>
      </c>
    </row>
    <row r="4010" spans="1:16" x14ac:dyDescent="0.25">
      <c r="A4010" s="28" t="s">
        <v>21246</v>
      </c>
      <c r="B4010" s="28" t="s">
        <v>21247</v>
      </c>
      <c r="C4010" s="28" t="s">
        <v>1684</v>
      </c>
      <c r="D4010" s="28" t="s">
        <v>4101</v>
      </c>
      <c r="E4010" s="28" t="s">
        <v>18267</v>
      </c>
      <c r="F4010" s="28" t="s">
        <v>21</v>
      </c>
      <c r="G4010" s="28" t="s">
        <v>39</v>
      </c>
      <c r="H4010" s="28" t="s">
        <v>16221</v>
      </c>
      <c r="I4010" s="28" t="s">
        <v>21248</v>
      </c>
      <c r="J4010" s="28" t="s">
        <v>39</v>
      </c>
      <c r="K4010" s="28" t="s">
        <v>16223</v>
      </c>
      <c r="L4010" s="28" t="s">
        <v>16224</v>
      </c>
      <c r="M4010" s="28" t="s">
        <v>21249</v>
      </c>
      <c r="N4010" s="28" t="s">
        <v>16226</v>
      </c>
      <c r="O4010" s="28" t="s">
        <v>16227</v>
      </c>
      <c r="P4010" s="28" t="s">
        <v>18270</v>
      </c>
    </row>
    <row r="4011" spans="1:16" x14ac:dyDescent="0.25">
      <c r="A4011" s="28" t="s">
        <v>21250</v>
      </c>
      <c r="B4011" s="28" t="s">
        <v>21251</v>
      </c>
      <c r="C4011" s="28" t="s">
        <v>1684</v>
      </c>
      <c r="D4011" s="28" t="s">
        <v>4101</v>
      </c>
      <c r="E4011" s="28" t="s">
        <v>18267</v>
      </c>
      <c r="F4011" s="28" t="s">
        <v>21</v>
      </c>
      <c r="G4011" s="28" t="s">
        <v>39</v>
      </c>
      <c r="H4011" s="28" t="s">
        <v>16221</v>
      </c>
      <c r="I4011" s="28" t="s">
        <v>21252</v>
      </c>
      <c r="J4011" s="28" t="s">
        <v>39</v>
      </c>
      <c r="K4011" s="28" t="s">
        <v>16223</v>
      </c>
      <c r="L4011" s="28" t="s">
        <v>16224</v>
      </c>
      <c r="M4011" s="28" t="s">
        <v>21253</v>
      </c>
      <c r="N4011" s="28" t="s">
        <v>16226</v>
      </c>
      <c r="O4011" s="28" t="s">
        <v>16227</v>
      </c>
      <c r="P4011" s="28" t="s">
        <v>18270</v>
      </c>
    </row>
    <row r="4012" spans="1:16" x14ac:dyDescent="0.25">
      <c r="A4012" s="28" t="s">
        <v>21254</v>
      </c>
      <c r="B4012" s="28" t="s">
        <v>21255</v>
      </c>
      <c r="C4012" s="28" t="s">
        <v>1684</v>
      </c>
      <c r="D4012" s="28" t="s">
        <v>4101</v>
      </c>
      <c r="E4012" s="28" t="s">
        <v>18267</v>
      </c>
      <c r="F4012" s="28" t="s">
        <v>21</v>
      </c>
      <c r="G4012" s="28" t="s">
        <v>39</v>
      </c>
      <c r="H4012" s="28" t="s">
        <v>16221</v>
      </c>
      <c r="I4012" s="28" t="s">
        <v>21256</v>
      </c>
      <c r="J4012" s="28" t="s">
        <v>39</v>
      </c>
      <c r="K4012" s="28" t="s">
        <v>16223</v>
      </c>
      <c r="L4012" s="28" t="s">
        <v>16224</v>
      </c>
      <c r="M4012" s="28" t="s">
        <v>21257</v>
      </c>
      <c r="N4012" s="28" t="s">
        <v>16226</v>
      </c>
      <c r="O4012" s="28" t="s">
        <v>16227</v>
      </c>
      <c r="P4012" s="28" t="s">
        <v>18270</v>
      </c>
    </row>
    <row r="4013" spans="1:16" x14ac:dyDescent="0.25">
      <c r="A4013" s="28" t="s">
        <v>21258</v>
      </c>
      <c r="B4013" s="28" t="s">
        <v>21259</v>
      </c>
      <c r="C4013" s="28" t="s">
        <v>1684</v>
      </c>
      <c r="D4013" s="28" t="s">
        <v>4101</v>
      </c>
      <c r="E4013" s="28" t="s">
        <v>18267</v>
      </c>
      <c r="F4013" s="28" t="s">
        <v>21</v>
      </c>
      <c r="G4013" s="28" t="s">
        <v>39</v>
      </c>
      <c r="H4013" s="28" t="s">
        <v>16221</v>
      </c>
      <c r="I4013" s="28" t="s">
        <v>21260</v>
      </c>
      <c r="J4013" s="28" t="s">
        <v>39</v>
      </c>
      <c r="K4013" s="28" t="s">
        <v>16223</v>
      </c>
      <c r="L4013" s="28" t="s">
        <v>16224</v>
      </c>
      <c r="M4013" s="28" t="s">
        <v>21261</v>
      </c>
      <c r="N4013" s="28" t="s">
        <v>16226</v>
      </c>
      <c r="O4013" s="28" t="s">
        <v>16227</v>
      </c>
      <c r="P4013" s="28" t="s">
        <v>18270</v>
      </c>
    </row>
    <row r="4014" spans="1:16" x14ac:dyDescent="0.25">
      <c r="A4014" s="28" t="s">
        <v>21262</v>
      </c>
      <c r="B4014" s="28" t="s">
        <v>21263</v>
      </c>
      <c r="C4014" s="28" t="s">
        <v>1684</v>
      </c>
      <c r="D4014" s="28" t="s">
        <v>4101</v>
      </c>
      <c r="E4014" s="28" t="s">
        <v>18267</v>
      </c>
      <c r="F4014" s="28" t="s">
        <v>21</v>
      </c>
      <c r="G4014" s="28" t="s">
        <v>39</v>
      </c>
      <c r="H4014" s="28" t="s">
        <v>16221</v>
      </c>
      <c r="I4014" s="28" t="s">
        <v>21264</v>
      </c>
      <c r="J4014" s="28" t="s">
        <v>39</v>
      </c>
      <c r="K4014" s="28" t="s">
        <v>16223</v>
      </c>
      <c r="L4014" s="28" t="s">
        <v>16224</v>
      </c>
      <c r="M4014" s="28" t="s">
        <v>21265</v>
      </c>
      <c r="N4014" s="28" t="s">
        <v>16226</v>
      </c>
      <c r="O4014" s="28" t="s">
        <v>16227</v>
      </c>
      <c r="P4014" s="28" t="s">
        <v>18270</v>
      </c>
    </row>
    <row r="4015" spans="1:16" x14ac:dyDescent="0.25">
      <c r="A4015" s="28" t="s">
        <v>21266</v>
      </c>
      <c r="B4015" s="28" t="s">
        <v>21267</v>
      </c>
      <c r="C4015" s="28" t="s">
        <v>1684</v>
      </c>
      <c r="D4015" s="28" t="s">
        <v>4101</v>
      </c>
      <c r="E4015" s="28" t="s">
        <v>18267</v>
      </c>
      <c r="F4015" s="28" t="s">
        <v>21</v>
      </c>
      <c r="G4015" s="28" t="s">
        <v>39</v>
      </c>
      <c r="H4015" s="28" t="s">
        <v>16221</v>
      </c>
      <c r="I4015" s="28" t="s">
        <v>21268</v>
      </c>
      <c r="J4015" s="28" t="s">
        <v>39</v>
      </c>
      <c r="K4015" s="28" t="s">
        <v>16223</v>
      </c>
      <c r="L4015" s="28" t="s">
        <v>16224</v>
      </c>
      <c r="M4015" s="28" t="s">
        <v>21269</v>
      </c>
      <c r="N4015" s="28" t="s">
        <v>16226</v>
      </c>
      <c r="O4015" s="28" t="s">
        <v>16227</v>
      </c>
      <c r="P4015" s="28" t="s">
        <v>18270</v>
      </c>
    </row>
    <row r="4016" spans="1:16" x14ac:dyDescent="0.25">
      <c r="A4016" s="28" t="s">
        <v>21270</v>
      </c>
      <c r="B4016" s="28" t="s">
        <v>21271</v>
      </c>
      <c r="C4016" s="28" t="s">
        <v>1684</v>
      </c>
      <c r="D4016" s="28" t="s">
        <v>4101</v>
      </c>
      <c r="E4016" s="28" t="s">
        <v>18267</v>
      </c>
      <c r="F4016" s="28" t="s">
        <v>21</v>
      </c>
      <c r="G4016" s="28" t="s">
        <v>39</v>
      </c>
      <c r="H4016" s="28" t="s">
        <v>16221</v>
      </c>
      <c r="I4016" s="28" t="s">
        <v>21272</v>
      </c>
      <c r="J4016" s="28" t="s">
        <v>39</v>
      </c>
      <c r="K4016" s="28" t="s">
        <v>16223</v>
      </c>
      <c r="L4016" s="28" t="s">
        <v>16224</v>
      </c>
      <c r="M4016" s="28" t="s">
        <v>21273</v>
      </c>
      <c r="N4016" s="28" t="s">
        <v>16226</v>
      </c>
      <c r="O4016" s="28" t="s">
        <v>16227</v>
      </c>
      <c r="P4016" s="28" t="s">
        <v>18270</v>
      </c>
    </row>
    <row r="4017" spans="1:16" x14ac:dyDescent="0.25">
      <c r="A4017" s="28" t="s">
        <v>21274</v>
      </c>
      <c r="B4017" s="28" t="s">
        <v>21275</v>
      </c>
      <c r="C4017" s="28" t="s">
        <v>1684</v>
      </c>
      <c r="D4017" s="28" t="s">
        <v>4101</v>
      </c>
      <c r="E4017" s="28" t="s">
        <v>18267</v>
      </c>
      <c r="F4017" s="28" t="s">
        <v>21</v>
      </c>
      <c r="G4017" s="28" t="s">
        <v>39</v>
      </c>
      <c r="H4017" s="28" t="s">
        <v>16221</v>
      </c>
      <c r="I4017" s="28" t="s">
        <v>21276</v>
      </c>
      <c r="J4017" s="28" t="s">
        <v>39</v>
      </c>
      <c r="K4017" s="28" t="s">
        <v>16223</v>
      </c>
      <c r="L4017" s="28" t="s">
        <v>16224</v>
      </c>
      <c r="M4017" s="28" t="s">
        <v>21277</v>
      </c>
      <c r="N4017" s="28" t="s">
        <v>16226</v>
      </c>
      <c r="O4017" s="28" t="s">
        <v>16227</v>
      </c>
      <c r="P4017" s="28" t="s">
        <v>18270</v>
      </c>
    </row>
    <row r="4018" spans="1:16" x14ac:dyDescent="0.25">
      <c r="A4018" s="28" t="s">
        <v>21278</v>
      </c>
      <c r="B4018" s="28" t="s">
        <v>21279</v>
      </c>
      <c r="C4018" s="28" t="s">
        <v>1684</v>
      </c>
      <c r="D4018" s="28" t="s">
        <v>4101</v>
      </c>
      <c r="E4018" s="28" t="s">
        <v>18267</v>
      </c>
      <c r="F4018" s="28" t="s">
        <v>21</v>
      </c>
      <c r="G4018" s="28" t="s">
        <v>39</v>
      </c>
      <c r="H4018" s="28" t="s">
        <v>16221</v>
      </c>
      <c r="I4018" s="28" t="s">
        <v>21280</v>
      </c>
      <c r="J4018" s="28" t="s">
        <v>39</v>
      </c>
      <c r="K4018" s="28" t="s">
        <v>16223</v>
      </c>
      <c r="L4018" s="28" t="s">
        <v>16224</v>
      </c>
      <c r="M4018" s="28" t="s">
        <v>21281</v>
      </c>
      <c r="N4018" s="28" t="s">
        <v>16226</v>
      </c>
      <c r="O4018" s="28" t="s">
        <v>16227</v>
      </c>
      <c r="P4018" s="28" t="s">
        <v>18270</v>
      </c>
    </row>
    <row r="4019" spans="1:16" x14ac:dyDescent="0.25">
      <c r="A4019" s="28" t="s">
        <v>21282</v>
      </c>
      <c r="B4019" s="28" t="s">
        <v>21283</v>
      </c>
      <c r="C4019" s="28" t="s">
        <v>1684</v>
      </c>
      <c r="D4019" s="28" t="s">
        <v>4101</v>
      </c>
      <c r="E4019" s="28" t="s">
        <v>18267</v>
      </c>
      <c r="F4019" s="28" t="s">
        <v>21</v>
      </c>
      <c r="G4019" s="28" t="s">
        <v>39</v>
      </c>
      <c r="H4019" s="28" t="s">
        <v>16221</v>
      </c>
      <c r="I4019" s="28" t="s">
        <v>21284</v>
      </c>
      <c r="J4019" s="28" t="s">
        <v>39</v>
      </c>
      <c r="K4019" s="28" t="s">
        <v>16223</v>
      </c>
      <c r="L4019" s="28" t="s">
        <v>16224</v>
      </c>
      <c r="M4019" s="28" t="s">
        <v>21285</v>
      </c>
      <c r="N4019" s="28" t="s">
        <v>16226</v>
      </c>
      <c r="O4019" s="28" t="s">
        <v>16227</v>
      </c>
      <c r="P4019" s="28" t="s">
        <v>18270</v>
      </c>
    </row>
    <row r="4020" spans="1:16" x14ac:dyDescent="0.25">
      <c r="A4020" s="28" t="s">
        <v>21286</v>
      </c>
      <c r="B4020" s="28" t="s">
        <v>21287</v>
      </c>
      <c r="C4020" s="28" t="s">
        <v>1684</v>
      </c>
      <c r="D4020" s="28" t="s">
        <v>4101</v>
      </c>
      <c r="E4020" s="28" t="s">
        <v>18267</v>
      </c>
      <c r="F4020" s="28" t="s">
        <v>21</v>
      </c>
      <c r="G4020" s="28" t="s">
        <v>39</v>
      </c>
      <c r="H4020" s="28" t="s">
        <v>16221</v>
      </c>
      <c r="I4020" s="28" t="s">
        <v>21288</v>
      </c>
      <c r="J4020" s="28" t="s">
        <v>39</v>
      </c>
      <c r="K4020" s="28" t="s">
        <v>16223</v>
      </c>
      <c r="L4020" s="28" t="s">
        <v>16224</v>
      </c>
      <c r="M4020" s="28" t="s">
        <v>21289</v>
      </c>
      <c r="N4020" s="28" t="s">
        <v>16226</v>
      </c>
      <c r="O4020" s="28" t="s">
        <v>16227</v>
      </c>
      <c r="P4020" s="28" t="s">
        <v>18270</v>
      </c>
    </row>
    <row r="4021" spans="1:16" x14ac:dyDescent="0.25">
      <c r="A4021" s="28" t="s">
        <v>21290</v>
      </c>
      <c r="B4021" s="28" t="s">
        <v>21291</v>
      </c>
      <c r="C4021" s="28" t="s">
        <v>1684</v>
      </c>
      <c r="D4021" s="28" t="s">
        <v>4101</v>
      </c>
      <c r="E4021" s="28" t="s">
        <v>18267</v>
      </c>
      <c r="F4021" s="28" t="s">
        <v>21</v>
      </c>
      <c r="G4021" s="28" t="s">
        <v>39</v>
      </c>
      <c r="H4021" s="28" t="s">
        <v>16221</v>
      </c>
      <c r="I4021" s="28" t="s">
        <v>21292</v>
      </c>
      <c r="J4021" s="28" t="s">
        <v>39</v>
      </c>
      <c r="K4021" s="28" t="s">
        <v>16223</v>
      </c>
      <c r="L4021" s="28" t="s">
        <v>16224</v>
      </c>
      <c r="M4021" s="28" t="s">
        <v>21293</v>
      </c>
      <c r="N4021" s="28" t="s">
        <v>16226</v>
      </c>
      <c r="O4021" s="28" t="s">
        <v>16227</v>
      </c>
      <c r="P4021" s="28" t="s">
        <v>18270</v>
      </c>
    </row>
    <row r="4022" spans="1:16" x14ac:dyDescent="0.25">
      <c r="A4022" s="28" t="s">
        <v>21294</v>
      </c>
      <c r="B4022" s="28" t="s">
        <v>21295</v>
      </c>
      <c r="C4022" s="28" t="s">
        <v>1684</v>
      </c>
      <c r="D4022" s="28" t="s">
        <v>4101</v>
      </c>
      <c r="E4022" s="28" t="s">
        <v>18267</v>
      </c>
      <c r="F4022" s="28" t="s">
        <v>21</v>
      </c>
      <c r="G4022" s="28" t="s">
        <v>39</v>
      </c>
      <c r="H4022" s="28" t="s">
        <v>16221</v>
      </c>
      <c r="I4022" s="28" t="s">
        <v>21296</v>
      </c>
      <c r="J4022" s="28" t="s">
        <v>39</v>
      </c>
      <c r="K4022" s="28" t="s">
        <v>16223</v>
      </c>
      <c r="L4022" s="28" t="s">
        <v>16224</v>
      </c>
      <c r="M4022" s="28" t="s">
        <v>21297</v>
      </c>
      <c r="N4022" s="28" t="s">
        <v>16226</v>
      </c>
      <c r="O4022" s="28" t="s">
        <v>16227</v>
      </c>
      <c r="P4022" s="28" t="s">
        <v>18270</v>
      </c>
    </row>
    <row r="4023" spans="1:16" x14ac:dyDescent="0.25">
      <c r="A4023" s="28" t="s">
        <v>21298</v>
      </c>
      <c r="B4023" s="28" t="s">
        <v>21299</v>
      </c>
      <c r="C4023" s="28" t="s">
        <v>1684</v>
      </c>
      <c r="D4023" s="28" t="s">
        <v>4101</v>
      </c>
      <c r="E4023" s="28" t="s">
        <v>18267</v>
      </c>
      <c r="F4023" s="28" t="s">
        <v>21</v>
      </c>
      <c r="G4023" s="28" t="s">
        <v>39</v>
      </c>
      <c r="H4023" s="28" t="s">
        <v>16221</v>
      </c>
      <c r="I4023" s="28" t="s">
        <v>21300</v>
      </c>
      <c r="J4023" s="28" t="s">
        <v>39</v>
      </c>
      <c r="K4023" s="28" t="s">
        <v>16223</v>
      </c>
      <c r="L4023" s="28" t="s">
        <v>16224</v>
      </c>
      <c r="M4023" s="28" t="s">
        <v>21301</v>
      </c>
      <c r="N4023" s="28" t="s">
        <v>16226</v>
      </c>
      <c r="O4023" s="28" t="s">
        <v>16227</v>
      </c>
      <c r="P4023" s="28" t="s">
        <v>18270</v>
      </c>
    </row>
    <row r="4024" spans="1:16" x14ac:dyDescent="0.25">
      <c r="A4024" s="28" t="s">
        <v>21302</v>
      </c>
      <c r="B4024" s="28" t="s">
        <v>21303</v>
      </c>
      <c r="C4024" s="28" t="s">
        <v>1684</v>
      </c>
      <c r="D4024" s="28" t="s">
        <v>4101</v>
      </c>
      <c r="E4024" s="28" t="s">
        <v>18267</v>
      </c>
      <c r="F4024" s="28" t="s">
        <v>21</v>
      </c>
      <c r="G4024" s="28" t="s">
        <v>39</v>
      </c>
      <c r="H4024" s="28" t="s">
        <v>16221</v>
      </c>
      <c r="I4024" s="28" t="s">
        <v>21304</v>
      </c>
      <c r="J4024" s="28" t="s">
        <v>39</v>
      </c>
      <c r="K4024" s="28" t="s">
        <v>16223</v>
      </c>
      <c r="L4024" s="28" t="s">
        <v>16224</v>
      </c>
      <c r="M4024" s="28" t="s">
        <v>21305</v>
      </c>
      <c r="N4024" s="28" t="s">
        <v>16226</v>
      </c>
      <c r="O4024" s="28" t="s">
        <v>16227</v>
      </c>
      <c r="P4024" s="28" t="s">
        <v>18270</v>
      </c>
    </row>
    <row r="4025" spans="1:16" x14ac:dyDescent="0.25">
      <c r="A4025" s="28" t="s">
        <v>21306</v>
      </c>
      <c r="B4025" s="28" t="s">
        <v>21307</v>
      </c>
      <c r="C4025" s="28" t="s">
        <v>1684</v>
      </c>
      <c r="D4025" s="28" t="s">
        <v>4101</v>
      </c>
      <c r="E4025" s="28" t="s">
        <v>18267</v>
      </c>
      <c r="F4025" s="28" t="s">
        <v>21</v>
      </c>
      <c r="G4025" s="28" t="s">
        <v>39</v>
      </c>
      <c r="H4025" s="28" t="s">
        <v>16221</v>
      </c>
      <c r="I4025" s="28" t="s">
        <v>21308</v>
      </c>
      <c r="J4025" s="28" t="s">
        <v>39</v>
      </c>
      <c r="K4025" s="28" t="s">
        <v>16223</v>
      </c>
      <c r="L4025" s="28" t="s">
        <v>16224</v>
      </c>
      <c r="M4025" s="28" t="s">
        <v>21309</v>
      </c>
      <c r="N4025" s="28" t="s">
        <v>16226</v>
      </c>
      <c r="O4025" s="28" t="s">
        <v>16227</v>
      </c>
      <c r="P4025" s="28" t="s">
        <v>18270</v>
      </c>
    </row>
    <row r="4026" spans="1:16" x14ac:dyDescent="0.25">
      <c r="A4026" s="28" t="s">
        <v>21310</v>
      </c>
      <c r="B4026" s="28" t="s">
        <v>21311</v>
      </c>
      <c r="C4026" s="28" t="s">
        <v>1684</v>
      </c>
      <c r="D4026" s="28" t="s">
        <v>4101</v>
      </c>
      <c r="E4026" s="28" t="s">
        <v>21312</v>
      </c>
      <c r="F4026" s="28" t="s">
        <v>21</v>
      </c>
      <c r="G4026" s="28" t="s">
        <v>39</v>
      </c>
      <c r="H4026" s="28" t="s">
        <v>16221</v>
      </c>
      <c r="I4026" s="28" t="s">
        <v>21313</v>
      </c>
      <c r="J4026" s="28" t="s">
        <v>39</v>
      </c>
      <c r="K4026" s="28" t="s">
        <v>16223</v>
      </c>
      <c r="L4026" s="28" t="s">
        <v>16224</v>
      </c>
      <c r="M4026" s="28" t="s">
        <v>21314</v>
      </c>
      <c r="N4026" s="28" t="s">
        <v>16226</v>
      </c>
      <c r="O4026" s="28" t="s">
        <v>16227</v>
      </c>
      <c r="P4026" s="28" t="s">
        <v>21315</v>
      </c>
    </row>
    <row r="4027" spans="1:16" x14ac:dyDescent="0.25">
      <c r="A4027" s="28" t="s">
        <v>21316</v>
      </c>
      <c r="B4027" s="28" t="s">
        <v>21317</v>
      </c>
      <c r="C4027" s="28" t="s">
        <v>1684</v>
      </c>
      <c r="D4027" s="28" t="s">
        <v>4101</v>
      </c>
      <c r="E4027" s="28" t="s">
        <v>21318</v>
      </c>
      <c r="F4027" s="28" t="s">
        <v>21</v>
      </c>
      <c r="G4027" s="28" t="s">
        <v>39</v>
      </c>
      <c r="H4027" s="28" t="s">
        <v>16221</v>
      </c>
      <c r="I4027" s="28" t="s">
        <v>21319</v>
      </c>
      <c r="J4027" s="28" t="s">
        <v>39</v>
      </c>
      <c r="K4027" s="28" t="s">
        <v>16223</v>
      </c>
      <c r="L4027" s="28" t="s">
        <v>16224</v>
      </c>
      <c r="M4027" s="28" t="s">
        <v>21320</v>
      </c>
      <c r="N4027" s="28" t="s">
        <v>16226</v>
      </c>
      <c r="O4027" s="28" t="s">
        <v>16227</v>
      </c>
      <c r="P4027" s="28" t="s">
        <v>21321</v>
      </c>
    </row>
    <row r="4028" spans="1:16" x14ac:dyDescent="0.25">
      <c r="A4028" s="28" t="s">
        <v>21322</v>
      </c>
      <c r="B4028" s="28" t="s">
        <v>21323</v>
      </c>
      <c r="C4028" s="28" t="s">
        <v>1684</v>
      </c>
      <c r="D4028" s="28" t="s">
        <v>4101</v>
      </c>
      <c r="E4028" s="28" t="s">
        <v>18273</v>
      </c>
      <c r="F4028" s="28" t="s">
        <v>21</v>
      </c>
      <c r="G4028" s="28" t="s">
        <v>39</v>
      </c>
      <c r="H4028" s="28" t="s">
        <v>16221</v>
      </c>
      <c r="I4028" s="28" t="s">
        <v>21324</v>
      </c>
      <c r="J4028" s="28" t="s">
        <v>39</v>
      </c>
      <c r="K4028" s="28" t="s">
        <v>16223</v>
      </c>
      <c r="L4028" s="28" t="s">
        <v>16224</v>
      </c>
      <c r="M4028" s="28" t="s">
        <v>21325</v>
      </c>
      <c r="N4028" s="28" t="s">
        <v>16226</v>
      </c>
      <c r="O4028" s="28" t="s">
        <v>16227</v>
      </c>
      <c r="P4028" s="28" t="s">
        <v>18276</v>
      </c>
    </row>
    <row r="4029" spans="1:16" x14ac:dyDescent="0.25">
      <c r="A4029" s="28" t="s">
        <v>21326</v>
      </c>
      <c r="B4029" s="28" t="s">
        <v>21327</v>
      </c>
      <c r="C4029" s="28" t="s">
        <v>1684</v>
      </c>
      <c r="D4029" s="28" t="s">
        <v>4101</v>
      </c>
      <c r="E4029" s="28" t="s">
        <v>18273</v>
      </c>
      <c r="F4029" s="28" t="s">
        <v>21</v>
      </c>
      <c r="G4029" s="28" t="s">
        <v>39</v>
      </c>
      <c r="H4029" s="28" t="s">
        <v>16221</v>
      </c>
      <c r="I4029" s="28" t="s">
        <v>21328</v>
      </c>
      <c r="J4029" s="28" t="s">
        <v>39</v>
      </c>
      <c r="K4029" s="28" t="s">
        <v>16223</v>
      </c>
      <c r="L4029" s="28" t="s">
        <v>16224</v>
      </c>
      <c r="M4029" s="28" t="s">
        <v>21329</v>
      </c>
      <c r="N4029" s="28" t="s">
        <v>16226</v>
      </c>
      <c r="O4029" s="28" t="s">
        <v>16227</v>
      </c>
      <c r="P4029" s="28" t="s">
        <v>18276</v>
      </c>
    </row>
    <row r="4030" spans="1:16" x14ac:dyDescent="0.25">
      <c r="A4030" s="28" t="s">
        <v>21330</v>
      </c>
      <c r="B4030" s="28" t="s">
        <v>21331</v>
      </c>
      <c r="C4030" s="28" t="s">
        <v>1684</v>
      </c>
      <c r="D4030" s="28" t="s">
        <v>4101</v>
      </c>
      <c r="E4030" s="28" t="s">
        <v>18273</v>
      </c>
      <c r="F4030" s="28" t="s">
        <v>21</v>
      </c>
      <c r="G4030" s="28" t="s">
        <v>39</v>
      </c>
      <c r="H4030" s="28" t="s">
        <v>16221</v>
      </c>
      <c r="I4030" s="28" t="s">
        <v>21332</v>
      </c>
      <c r="J4030" s="28" t="s">
        <v>39</v>
      </c>
      <c r="K4030" s="28" t="s">
        <v>16223</v>
      </c>
      <c r="L4030" s="28" t="s">
        <v>16224</v>
      </c>
      <c r="M4030" s="28" t="s">
        <v>21333</v>
      </c>
      <c r="N4030" s="28" t="s">
        <v>16226</v>
      </c>
      <c r="O4030" s="28" t="s">
        <v>16227</v>
      </c>
      <c r="P4030" s="28" t="s">
        <v>18276</v>
      </c>
    </row>
    <row r="4031" spans="1:16" x14ac:dyDescent="0.25">
      <c r="A4031" s="28" t="s">
        <v>21334</v>
      </c>
      <c r="B4031" s="28" t="s">
        <v>21335</v>
      </c>
      <c r="C4031" s="28" t="s">
        <v>1684</v>
      </c>
      <c r="D4031" s="28" t="s">
        <v>4101</v>
      </c>
      <c r="E4031" s="28" t="s">
        <v>18273</v>
      </c>
      <c r="F4031" s="28" t="s">
        <v>21</v>
      </c>
      <c r="G4031" s="28" t="s">
        <v>39</v>
      </c>
      <c r="H4031" s="28" t="s">
        <v>16221</v>
      </c>
      <c r="I4031" s="28" t="s">
        <v>21336</v>
      </c>
      <c r="J4031" s="28" t="s">
        <v>39</v>
      </c>
      <c r="K4031" s="28" t="s">
        <v>16223</v>
      </c>
      <c r="L4031" s="28" t="s">
        <v>16224</v>
      </c>
      <c r="M4031" s="28" t="s">
        <v>21337</v>
      </c>
      <c r="N4031" s="28" t="s">
        <v>16226</v>
      </c>
      <c r="O4031" s="28" t="s">
        <v>16227</v>
      </c>
      <c r="P4031" s="28" t="s">
        <v>18276</v>
      </c>
    </row>
    <row r="4032" spans="1:16" x14ac:dyDescent="0.25">
      <c r="A4032" s="28" t="s">
        <v>21338</v>
      </c>
      <c r="B4032" s="28" t="s">
        <v>21339</v>
      </c>
      <c r="C4032" s="28" t="s">
        <v>1684</v>
      </c>
      <c r="D4032" s="28" t="s">
        <v>4101</v>
      </c>
      <c r="E4032" s="28" t="s">
        <v>18273</v>
      </c>
      <c r="F4032" s="28" t="s">
        <v>21</v>
      </c>
      <c r="G4032" s="28" t="s">
        <v>39</v>
      </c>
      <c r="H4032" s="28" t="s">
        <v>16221</v>
      </c>
      <c r="I4032" s="28" t="s">
        <v>21340</v>
      </c>
      <c r="J4032" s="28" t="s">
        <v>39</v>
      </c>
      <c r="K4032" s="28" t="s">
        <v>16223</v>
      </c>
      <c r="L4032" s="28" t="s">
        <v>16224</v>
      </c>
      <c r="M4032" s="28" t="s">
        <v>21341</v>
      </c>
      <c r="N4032" s="28" t="s">
        <v>16226</v>
      </c>
      <c r="O4032" s="28" t="s">
        <v>16227</v>
      </c>
      <c r="P4032" s="28" t="s">
        <v>18276</v>
      </c>
    </row>
    <row r="4033" spans="1:16" x14ac:dyDescent="0.25">
      <c r="A4033" s="28" t="s">
        <v>21342</v>
      </c>
      <c r="B4033" s="28" t="s">
        <v>21343</v>
      </c>
      <c r="C4033" s="28" t="s">
        <v>1684</v>
      </c>
      <c r="D4033" s="28" t="s">
        <v>4101</v>
      </c>
      <c r="E4033" s="28" t="s">
        <v>18279</v>
      </c>
      <c r="F4033" s="28" t="s">
        <v>21</v>
      </c>
      <c r="G4033" s="28" t="s">
        <v>39</v>
      </c>
      <c r="H4033" s="28" t="s">
        <v>16221</v>
      </c>
      <c r="I4033" s="28" t="s">
        <v>21344</v>
      </c>
      <c r="J4033" s="28" t="s">
        <v>39</v>
      </c>
      <c r="K4033" s="28" t="s">
        <v>16223</v>
      </c>
      <c r="L4033" s="28" t="s">
        <v>16224</v>
      </c>
      <c r="M4033" s="28" t="s">
        <v>21345</v>
      </c>
      <c r="N4033" s="28" t="s">
        <v>16226</v>
      </c>
      <c r="O4033" s="28" t="s">
        <v>16227</v>
      </c>
      <c r="P4033" s="28" t="s">
        <v>18282</v>
      </c>
    </row>
    <row r="4034" spans="1:16" x14ac:dyDescent="0.25">
      <c r="A4034" s="28" t="s">
        <v>21346</v>
      </c>
      <c r="B4034" s="28" t="s">
        <v>21347</v>
      </c>
      <c r="C4034" s="28" t="s">
        <v>1684</v>
      </c>
      <c r="D4034" s="28" t="s">
        <v>4101</v>
      </c>
      <c r="E4034" s="28" t="s">
        <v>18279</v>
      </c>
      <c r="F4034" s="28" t="s">
        <v>21</v>
      </c>
      <c r="G4034" s="28" t="s">
        <v>39</v>
      </c>
      <c r="H4034" s="28" t="s">
        <v>16221</v>
      </c>
      <c r="I4034" s="28" t="s">
        <v>21348</v>
      </c>
      <c r="J4034" s="28" t="s">
        <v>39</v>
      </c>
      <c r="K4034" s="28" t="s">
        <v>16223</v>
      </c>
      <c r="L4034" s="28" t="s">
        <v>16224</v>
      </c>
      <c r="M4034" s="28" t="s">
        <v>21349</v>
      </c>
      <c r="N4034" s="28" t="s">
        <v>16226</v>
      </c>
      <c r="O4034" s="28" t="s">
        <v>16227</v>
      </c>
      <c r="P4034" s="28" t="s">
        <v>18282</v>
      </c>
    </row>
    <row r="4035" spans="1:16" x14ac:dyDescent="0.25">
      <c r="A4035" s="28" t="s">
        <v>21350</v>
      </c>
      <c r="B4035" s="28" t="s">
        <v>21351</v>
      </c>
      <c r="C4035" s="28" t="s">
        <v>1684</v>
      </c>
      <c r="D4035" s="28" t="s">
        <v>4101</v>
      </c>
      <c r="E4035" s="28" t="s">
        <v>18279</v>
      </c>
      <c r="F4035" s="28" t="s">
        <v>21</v>
      </c>
      <c r="G4035" s="28" t="s">
        <v>39</v>
      </c>
      <c r="H4035" s="28" t="s">
        <v>16221</v>
      </c>
      <c r="I4035" s="28" t="s">
        <v>21352</v>
      </c>
      <c r="J4035" s="28" t="s">
        <v>39</v>
      </c>
      <c r="K4035" s="28" t="s">
        <v>16223</v>
      </c>
      <c r="L4035" s="28" t="s">
        <v>16224</v>
      </c>
      <c r="M4035" s="28" t="s">
        <v>21353</v>
      </c>
      <c r="N4035" s="28" t="s">
        <v>16226</v>
      </c>
      <c r="O4035" s="28" t="s">
        <v>16227</v>
      </c>
      <c r="P4035" s="28" t="s">
        <v>18282</v>
      </c>
    </row>
    <row r="4036" spans="1:16" x14ac:dyDescent="0.25">
      <c r="A4036" s="28" t="s">
        <v>21354</v>
      </c>
      <c r="B4036" s="28" t="s">
        <v>21355</v>
      </c>
      <c r="C4036" s="28" t="s">
        <v>1684</v>
      </c>
      <c r="D4036" s="28" t="s">
        <v>4101</v>
      </c>
      <c r="E4036" s="28" t="s">
        <v>18279</v>
      </c>
      <c r="F4036" s="28" t="s">
        <v>21</v>
      </c>
      <c r="G4036" s="28" t="s">
        <v>39</v>
      </c>
      <c r="H4036" s="28" t="s">
        <v>16221</v>
      </c>
      <c r="I4036" s="28" t="s">
        <v>21356</v>
      </c>
      <c r="J4036" s="28" t="s">
        <v>39</v>
      </c>
      <c r="K4036" s="28" t="s">
        <v>16223</v>
      </c>
      <c r="L4036" s="28" t="s">
        <v>16224</v>
      </c>
      <c r="M4036" s="28" t="s">
        <v>21357</v>
      </c>
      <c r="N4036" s="28" t="s">
        <v>16226</v>
      </c>
      <c r="O4036" s="28" t="s">
        <v>16227</v>
      </c>
      <c r="P4036" s="28" t="s">
        <v>18282</v>
      </c>
    </row>
    <row r="4037" spans="1:16" x14ac:dyDescent="0.25">
      <c r="A4037" s="28" t="s">
        <v>21358</v>
      </c>
      <c r="B4037" s="28" t="s">
        <v>21359</v>
      </c>
      <c r="C4037" s="28" t="s">
        <v>1684</v>
      </c>
      <c r="D4037" s="28" t="s">
        <v>4101</v>
      </c>
      <c r="E4037" s="28" t="s">
        <v>18289</v>
      </c>
      <c r="F4037" s="28" t="s">
        <v>21</v>
      </c>
      <c r="G4037" s="28" t="s">
        <v>39</v>
      </c>
      <c r="H4037" s="28" t="s">
        <v>16221</v>
      </c>
      <c r="I4037" s="28" t="s">
        <v>21360</v>
      </c>
      <c r="J4037" s="28" t="s">
        <v>39</v>
      </c>
      <c r="K4037" s="28" t="s">
        <v>16223</v>
      </c>
      <c r="L4037" s="28" t="s">
        <v>16224</v>
      </c>
      <c r="M4037" s="28" t="s">
        <v>21361</v>
      </c>
      <c r="N4037" s="28" t="s">
        <v>16226</v>
      </c>
      <c r="O4037" s="28" t="s">
        <v>16227</v>
      </c>
      <c r="P4037" s="28" t="s">
        <v>18292</v>
      </c>
    </row>
    <row r="4038" spans="1:16" x14ac:dyDescent="0.25">
      <c r="A4038" s="28" t="s">
        <v>21362</v>
      </c>
      <c r="B4038" s="28" t="s">
        <v>21363</v>
      </c>
      <c r="C4038" s="28" t="s">
        <v>1684</v>
      </c>
      <c r="D4038" s="28" t="s">
        <v>4101</v>
      </c>
      <c r="E4038" s="28" t="s">
        <v>18289</v>
      </c>
      <c r="F4038" s="28" t="s">
        <v>21</v>
      </c>
      <c r="G4038" s="28" t="s">
        <v>39</v>
      </c>
      <c r="H4038" s="28" t="s">
        <v>16221</v>
      </c>
      <c r="I4038" s="28" t="s">
        <v>21364</v>
      </c>
      <c r="J4038" s="28" t="s">
        <v>39</v>
      </c>
      <c r="K4038" s="28" t="s">
        <v>16223</v>
      </c>
      <c r="L4038" s="28" t="s">
        <v>16224</v>
      </c>
      <c r="M4038" s="28" t="s">
        <v>21365</v>
      </c>
      <c r="N4038" s="28" t="s">
        <v>16226</v>
      </c>
      <c r="O4038" s="28" t="s">
        <v>16227</v>
      </c>
      <c r="P4038" s="28" t="s">
        <v>18292</v>
      </c>
    </row>
    <row r="4039" spans="1:16" x14ac:dyDescent="0.25">
      <c r="A4039" s="28" t="s">
        <v>21366</v>
      </c>
      <c r="B4039" s="28" t="s">
        <v>21367</v>
      </c>
      <c r="C4039" s="28" t="s">
        <v>1684</v>
      </c>
      <c r="D4039" s="28" t="s">
        <v>4101</v>
      </c>
      <c r="E4039" s="28" t="s">
        <v>18289</v>
      </c>
      <c r="F4039" s="28" t="s">
        <v>21</v>
      </c>
      <c r="G4039" s="28" t="s">
        <v>39</v>
      </c>
      <c r="H4039" s="28" t="s">
        <v>16221</v>
      </c>
      <c r="I4039" s="28" t="s">
        <v>21368</v>
      </c>
      <c r="J4039" s="28" t="s">
        <v>39</v>
      </c>
      <c r="K4039" s="28" t="s">
        <v>16223</v>
      </c>
      <c r="L4039" s="28" t="s">
        <v>16224</v>
      </c>
      <c r="M4039" s="28" t="s">
        <v>21369</v>
      </c>
      <c r="N4039" s="28" t="s">
        <v>16226</v>
      </c>
      <c r="O4039" s="28" t="s">
        <v>16227</v>
      </c>
      <c r="P4039" s="28" t="s">
        <v>18292</v>
      </c>
    </row>
    <row r="4040" spans="1:16" x14ac:dyDescent="0.25">
      <c r="A4040" s="28" t="s">
        <v>21370</v>
      </c>
      <c r="B4040" s="28" t="s">
        <v>21371</v>
      </c>
      <c r="C4040" s="28" t="s">
        <v>1684</v>
      </c>
      <c r="D4040" s="28" t="s">
        <v>4101</v>
      </c>
      <c r="E4040" s="28" t="s">
        <v>18289</v>
      </c>
      <c r="F4040" s="28" t="s">
        <v>21</v>
      </c>
      <c r="G4040" s="28" t="s">
        <v>39</v>
      </c>
      <c r="H4040" s="28" t="s">
        <v>16221</v>
      </c>
      <c r="I4040" s="28" t="s">
        <v>21372</v>
      </c>
      <c r="J4040" s="28" t="s">
        <v>39</v>
      </c>
      <c r="K4040" s="28" t="s">
        <v>16223</v>
      </c>
      <c r="L4040" s="28" t="s">
        <v>16224</v>
      </c>
      <c r="M4040" s="28" t="s">
        <v>21373</v>
      </c>
      <c r="N4040" s="28" t="s">
        <v>16226</v>
      </c>
      <c r="O4040" s="28" t="s">
        <v>16227</v>
      </c>
      <c r="P4040" s="28" t="s">
        <v>18292</v>
      </c>
    </row>
    <row r="4041" spans="1:16" x14ac:dyDescent="0.25">
      <c r="A4041" s="28" t="s">
        <v>21374</v>
      </c>
      <c r="B4041" s="28" t="s">
        <v>21375</v>
      </c>
      <c r="C4041" s="28" t="s">
        <v>1684</v>
      </c>
      <c r="D4041" s="28" t="s">
        <v>4101</v>
      </c>
      <c r="E4041" s="28" t="s">
        <v>18289</v>
      </c>
      <c r="F4041" s="28" t="s">
        <v>21</v>
      </c>
      <c r="G4041" s="28" t="s">
        <v>39</v>
      </c>
      <c r="H4041" s="28" t="s">
        <v>16221</v>
      </c>
      <c r="I4041" s="28" t="s">
        <v>21376</v>
      </c>
      <c r="J4041" s="28" t="s">
        <v>39</v>
      </c>
      <c r="K4041" s="28" t="s">
        <v>16223</v>
      </c>
      <c r="L4041" s="28" t="s">
        <v>16224</v>
      </c>
      <c r="M4041" s="28" t="s">
        <v>21377</v>
      </c>
      <c r="N4041" s="28" t="s">
        <v>16226</v>
      </c>
      <c r="O4041" s="28" t="s">
        <v>16227</v>
      </c>
      <c r="P4041" s="28" t="s">
        <v>18292</v>
      </c>
    </row>
    <row r="4042" spans="1:16" x14ac:dyDescent="0.25">
      <c r="A4042" s="28" t="s">
        <v>21378</v>
      </c>
      <c r="B4042" s="28" t="s">
        <v>21379</v>
      </c>
      <c r="C4042" s="28" t="s">
        <v>1684</v>
      </c>
      <c r="D4042" s="28" t="s">
        <v>4101</v>
      </c>
      <c r="E4042" s="28" t="s">
        <v>18289</v>
      </c>
      <c r="F4042" s="28" t="s">
        <v>21</v>
      </c>
      <c r="G4042" s="28" t="s">
        <v>39</v>
      </c>
      <c r="H4042" s="28" t="s">
        <v>16221</v>
      </c>
      <c r="I4042" s="28" t="s">
        <v>21380</v>
      </c>
      <c r="J4042" s="28" t="s">
        <v>39</v>
      </c>
      <c r="K4042" s="28" t="s">
        <v>16223</v>
      </c>
      <c r="L4042" s="28" t="s">
        <v>16224</v>
      </c>
      <c r="M4042" s="28" t="s">
        <v>21381</v>
      </c>
      <c r="N4042" s="28" t="s">
        <v>16226</v>
      </c>
      <c r="O4042" s="28" t="s">
        <v>16227</v>
      </c>
      <c r="P4042" s="28" t="s">
        <v>18292</v>
      </c>
    </row>
    <row r="4043" spans="1:16" x14ac:dyDescent="0.25">
      <c r="A4043" s="28" t="s">
        <v>21382</v>
      </c>
      <c r="B4043" s="28" t="s">
        <v>21383</v>
      </c>
      <c r="C4043" s="28" t="s">
        <v>1684</v>
      </c>
      <c r="D4043" s="28" t="s">
        <v>4101</v>
      </c>
      <c r="E4043" s="28" t="s">
        <v>18289</v>
      </c>
      <c r="F4043" s="28" t="s">
        <v>21</v>
      </c>
      <c r="G4043" s="28" t="s">
        <v>39</v>
      </c>
      <c r="H4043" s="28" t="s">
        <v>16221</v>
      </c>
      <c r="I4043" s="28" t="s">
        <v>21384</v>
      </c>
      <c r="J4043" s="28" t="s">
        <v>39</v>
      </c>
      <c r="K4043" s="28" t="s">
        <v>16223</v>
      </c>
      <c r="L4043" s="28" t="s">
        <v>16224</v>
      </c>
      <c r="M4043" s="28" t="s">
        <v>21385</v>
      </c>
      <c r="N4043" s="28" t="s">
        <v>16226</v>
      </c>
      <c r="O4043" s="28" t="s">
        <v>16227</v>
      </c>
      <c r="P4043" s="28" t="s">
        <v>18292</v>
      </c>
    </row>
    <row r="4044" spans="1:16" x14ac:dyDescent="0.25">
      <c r="A4044" s="28" t="s">
        <v>21386</v>
      </c>
      <c r="B4044" s="28" t="s">
        <v>21387</v>
      </c>
      <c r="C4044" s="28" t="s">
        <v>1684</v>
      </c>
      <c r="D4044" s="28" t="s">
        <v>4101</v>
      </c>
      <c r="E4044" s="28" t="s">
        <v>18289</v>
      </c>
      <c r="F4044" s="28" t="s">
        <v>21</v>
      </c>
      <c r="G4044" s="28" t="s">
        <v>39</v>
      </c>
      <c r="H4044" s="28" t="s">
        <v>16221</v>
      </c>
      <c r="I4044" s="28" t="s">
        <v>21388</v>
      </c>
      <c r="J4044" s="28" t="s">
        <v>39</v>
      </c>
      <c r="K4044" s="28" t="s">
        <v>16223</v>
      </c>
      <c r="L4044" s="28" t="s">
        <v>16224</v>
      </c>
      <c r="M4044" s="28" t="s">
        <v>21389</v>
      </c>
      <c r="N4044" s="28" t="s">
        <v>16226</v>
      </c>
      <c r="O4044" s="28" t="s">
        <v>16227</v>
      </c>
      <c r="P4044" s="28" t="s">
        <v>18292</v>
      </c>
    </row>
    <row r="4045" spans="1:16" x14ac:dyDescent="0.25">
      <c r="A4045" s="28" t="s">
        <v>21390</v>
      </c>
      <c r="B4045" s="28" t="s">
        <v>21391</v>
      </c>
      <c r="C4045" s="28" t="s">
        <v>1684</v>
      </c>
      <c r="D4045" s="28" t="s">
        <v>4101</v>
      </c>
      <c r="E4045" s="28" t="s">
        <v>18295</v>
      </c>
      <c r="F4045" s="28" t="s">
        <v>21</v>
      </c>
      <c r="G4045" s="28" t="s">
        <v>39</v>
      </c>
      <c r="H4045" s="28" t="s">
        <v>16221</v>
      </c>
      <c r="I4045" s="28" t="s">
        <v>21392</v>
      </c>
      <c r="J4045" s="28" t="s">
        <v>39</v>
      </c>
      <c r="K4045" s="28" t="s">
        <v>16223</v>
      </c>
      <c r="L4045" s="28" t="s">
        <v>16224</v>
      </c>
      <c r="M4045" s="28" t="s">
        <v>21393</v>
      </c>
      <c r="N4045" s="28" t="s">
        <v>16226</v>
      </c>
      <c r="O4045" s="28" t="s">
        <v>16227</v>
      </c>
      <c r="P4045" s="28" t="s">
        <v>18298</v>
      </c>
    </row>
    <row r="4046" spans="1:16" x14ac:dyDescent="0.25">
      <c r="A4046" s="28" t="s">
        <v>21394</v>
      </c>
      <c r="B4046" s="28" t="s">
        <v>21395</v>
      </c>
      <c r="C4046" s="28" t="s">
        <v>1684</v>
      </c>
      <c r="D4046" s="28" t="s">
        <v>4101</v>
      </c>
      <c r="E4046" s="28" t="s">
        <v>18295</v>
      </c>
      <c r="F4046" s="28" t="s">
        <v>21</v>
      </c>
      <c r="G4046" s="28" t="s">
        <v>39</v>
      </c>
      <c r="H4046" s="28" t="s">
        <v>16221</v>
      </c>
      <c r="I4046" s="28" t="s">
        <v>21396</v>
      </c>
      <c r="J4046" s="28" t="s">
        <v>39</v>
      </c>
      <c r="K4046" s="28" t="s">
        <v>16223</v>
      </c>
      <c r="L4046" s="28" t="s">
        <v>16224</v>
      </c>
      <c r="M4046" s="28" t="s">
        <v>21397</v>
      </c>
      <c r="N4046" s="28" t="s">
        <v>16226</v>
      </c>
      <c r="O4046" s="28" t="s">
        <v>16227</v>
      </c>
      <c r="P4046" s="28" t="s">
        <v>18298</v>
      </c>
    </row>
    <row r="4047" spans="1:16" x14ac:dyDescent="0.25">
      <c r="A4047" s="28" t="s">
        <v>21398</v>
      </c>
      <c r="B4047" s="28" t="s">
        <v>21399</v>
      </c>
      <c r="C4047" s="28" t="s">
        <v>1684</v>
      </c>
      <c r="D4047" s="28" t="s">
        <v>4101</v>
      </c>
      <c r="E4047" s="28" t="s">
        <v>18295</v>
      </c>
      <c r="F4047" s="28" t="s">
        <v>21</v>
      </c>
      <c r="G4047" s="28" t="s">
        <v>39</v>
      </c>
      <c r="H4047" s="28" t="s">
        <v>16221</v>
      </c>
      <c r="I4047" s="28" t="s">
        <v>21400</v>
      </c>
      <c r="J4047" s="28" t="s">
        <v>39</v>
      </c>
      <c r="K4047" s="28" t="s">
        <v>16223</v>
      </c>
      <c r="L4047" s="28" t="s">
        <v>16224</v>
      </c>
      <c r="M4047" s="28" t="s">
        <v>21401</v>
      </c>
      <c r="N4047" s="28" t="s">
        <v>16226</v>
      </c>
      <c r="O4047" s="28" t="s">
        <v>16227</v>
      </c>
      <c r="P4047" s="28" t="s">
        <v>18298</v>
      </c>
    </row>
    <row r="4048" spans="1:16" x14ac:dyDescent="0.25">
      <c r="A4048" s="28" t="s">
        <v>21402</v>
      </c>
      <c r="B4048" s="28" t="s">
        <v>21403</v>
      </c>
      <c r="C4048" s="28" t="s">
        <v>1684</v>
      </c>
      <c r="D4048" s="28" t="s">
        <v>4101</v>
      </c>
      <c r="E4048" s="28" t="s">
        <v>18295</v>
      </c>
      <c r="F4048" s="28" t="s">
        <v>21</v>
      </c>
      <c r="G4048" s="28" t="s">
        <v>39</v>
      </c>
      <c r="H4048" s="28" t="s">
        <v>16221</v>
      </c>
      <c r="I4048" s="28" t="s">
        <v>21404</v>
      </c>
      <c r="J4048" s="28" t="s">
        <v>39</v>
      </c>
      <c r="K4048" s="28" t="s">
        <v>16223</v>
      </c>
      <c r="L4048" s="28" t="s">
        <v>16224</v>
      </c>
      <c r="M4048" s="28" t="s">
        <v>21405</v>
      </c>
      <c r="N4048" s="28" t="s">
        <v>16226</v>
      </c>
      <c r="O4048" s="28" t="s">
        <v>16227</v>
      </c>
      <c r="P4048" s="28" t="s">
        <v>18298</v>
      </c>
    </row>
    <row r="4049" spans="1:16" x14ac:dyDescent="0.25">
      <c r="A4049" s="28" t="s">
        <v>21406</v>
      </c>
      <c r="B4049" s="28" t="s">
        <v>21407</v>
      </c>
      <c r="C4049" s="28" t="s">
        <v>1684</v>
      </c>
      <c r="D4049" s="28" t="s">
        <v>4101</v>
      </c>
      <c r="E4049" s="28" t="s">
        <v>18295</v>
      </c>
      <c r="F4049" s="28" t="s">
        <v>21</v>
      </c>
      <c r="G4049" s="28" t="s">
        <v>39</v>
      </c>
      <c r="H4049" s="28" t="s">
        <v>16221</v>
      </c>
      <c r="I4049" s="28" t="s">
        <v>21408</v>
      </c>
      <c r="J4049" s="28" t="s">
        <v>39</v>
      </c>
      <c r="K4049" s="28" t="s">
        <v>16223</v>
      </c>
      <c r="L4049" s="28" t="s">
        <v>16224</v>
      </c>
      <c r="M4049" s="28" t="s">
        <v>21409</v>
      </c>
      <c r="N4049" s="28" t="s">
        <v>16226</v>
      </c>
      <c r="O4049" s="28" t="s">
        <v>16227</v>
      </c>
      <c r="P4049" s="28" t="s">
        <v>18298</v>
      </c>
    </row>
    <row r="4050" spans="1:16" x14ac:dyDescent="0.25">
      <c r="A4050" s="28" t="s">
        <v>21410</v>
      </c>
      <c r="B4050" s="28" t="s">
        <v>21411</v>
      </c>
      <c r="C4050" s="28" t="s">
        <v>1684</v>
      </c>
      <c r="D4050" s="28" t="s">
        <v>4101</v>
      </c>
      <c r="E4050" s="28" t="s">
        <v>18295</v>
      </c>
      <c r="F4050" s="28" t="s">
        <v>21</v>
      </c>
      <c r="G4050" s="28" t="s">
        <v>39</v>
      </c>
      <c r="H4050" s="28" t="s">
        <v>16221</v>
      </c>
      <c r="I4050" s="28" t="s">
        <v>21412</v>
      </c>
      <c r="J4050" s="28" t="s">
        <v>39</v>
      </c>
      <c r="K4050" s="28" t="s">
        <v>16223</v>
      </c>
      <c r="L4050" s="28" t="s">
        <v>16224</v>
      </c>
      <c r="M4050" s="28" t="s">
        <v>21413</v>
      </c>
      <c r="N4050" s="28" t="s">
        <v>16226</v>
      </c>
      <c r="O4050" s="28" t="s">
        <v>16227</v>
      </c>
      <c r="P4050" s="28" t="s">
        <v>18298</v>
      </c>
    </row>
    <row r="4051" spans="1:16" x14ac:dyDescent="0.25">
      <c r="A4051" s="28" t="s">
        <v>21414</v>
      </c>
      <c r="B4051" s="28" t="s">
        <v>21415</v>
      </c>
      <c r="C4051" s="28" t="s">
        <v>1684</v>
      </c>
      <c r="D4051" s="28" t="s">
        <v>4101</v>
      </c>
      <c r="E4051" s="28" t="s">
        <v>18305</v>
      </c>
      <c r="F4051" s="28" t="s">
        <v>21</v>
      </c>
      <c r="G4051" s="28" t="s">
        <v>39</v>
      </c>
      <c r="H4051" s="28" t="s">
        <v>16221</v>
      </c>
      <c r="I4051" s="28" t="s">
        <v>21416</v>
      </c>
      <c r="J4051" s="28" t="s">
        <v>39</v>
      </c>
      <c r="K4051" s="28" t="s">
        <v>16223</v>
      </c>
      <c r="L4051" s="28" t="s">
        <v>16224</v>
      </c>
      <c r="M4051" s="28" t="s">
        <v>21417</v>
      </c>
      <c r="N4051" s="28" t="s">
        <v>16226</v>
      </c>
      <c r="O4051" s="28" t="s">
        <v>16227</v>
      </c>
      <c r="P4051" s="28" t="s">
        <v>18308</v>
      </c>
    </row>
    <row r="4052" spans="1:16" x14ac:dyDescent="0.25">
      <c r="A4052" s="28" t="s">
        <v>21418</v>
      </c>
      <c r="B4052" s="28" t="s">
        <v>21419</v>
      </c>
      <c r="C4052" s="28" t="s">
        <v>1684</v>
      </c>
      <c r="D4052" s="28" t="s">
        <v>4101</v>
      </c>
      <c r="E4052" s="28" t="s">
        <v>18305</v>
      </c>
      <c r="F4052" s="28" t="s">
        <v>21</v>
      </c>
      <c r="G4052" s="28" t="s">
        <v>39</v>
      </c>
      <c r="H4052" s="28" t="s">
        <v>16221</v>
      </c>
      <c r="I4052" s="28" t="s">
        <v>21420</v>
      </c>
      <c r="J4052" s="28" t="s">
        <v>39</v>
      </c>
      <c r="K4052" s="28" t="s">
        <v>16223</v>
      </c>
      <c r="L4052" s="28" t="s">
        <v>16224</v>
      </c>
      <c r="M4052" s="28" t="s">
        <v>21421</v>
      </c>
      <c r="N4052" s="28" t="s">
        <v>16226</v>
      </c>
      <c r="O4052" s="28" t="s">
        <v>16227</v>
      </c>
      <c r="P4052" s="28" t="s">
        <v>18308</v>
      </c>
    </row>
    <row r="4053" spans="1:16" x14ac:dyDescent="0.25">
      <c r="A4053" s="28" t="s">
        <v>21422</v>
      </c>
      <c r="B4053" s="28" t="s">
        <v>21423</v>
      </c>
      <c r="C4053" s="28" t="s">
        <v>1684</v>
      </c>
      <c r="D4053" s="28" t="s">
        <v>4101</v>
      </c>
      <c r="E4053" s="28" t="s">
        <v>18311</v>
      </c>
      <c r="F4053" s="28" t="s">
        <v>21</v>
      </c>
      <c r="G4053" s="28" t="s">
        <v>39</v>
      </c>
      <c r="H4053" s="28" t="s">
        <v>16221</v>
      </c>
      <c r="I4053" s="28" t="s">
        <v>21424</v>
      </c>
      <c r="J4053" s="28" t="s">
        <v>39</v>
      </c>
      <c r="K4053" s="28" t="s">
        <v>16223</v>
      </c>
      <c r="L4053" s="28" t="s">
        <v>16224</v>
      </c>
      <c r="M4053" s="28" t="s">
        <v>21425</v>
      </c>
      <c r="N4053" s="28" t="s">
        <v>16226</v>
      </c>
      <c r="O4053" s="28" t="s">
        <v>16227</v>
      </c>
      <c r="P4053" s="28" t="s">
        <v>18314</v>
      </c>
    </row>
    <row r="4054" spans="1:16" x14ac:dyDescent="0.25">
      <c r="A4054" s="28" t="s">
        <v>21426</v>
      </c>
      <c r="B4054" s="28" t="s">
        <v>21427</v>
      </c>
      <c r="C4054" s="28" t="s">
        <v>1684</v>
      </c>
      <c r="D4054" s="28" t="s">
        <v>4101</v>
      </c>
      <c r="E4054" s="28" t="s">
        <v>18311</v>
      </c>
      <c r="F4054" s="28" t="s">
        <v>21</v>
      </c>
      <c r="G4054" s="28" t="s">
        <v>39</v>
      </c>
      <c r="H4054" s="28" t="s">
        <v>16221</v>
      </c>
      <c r="I4054" s="28" t="s">
        <v>21428</v>
      </c>
      <c r="J4054" s="28" t="s">
        <v>39</v>
      </c>
      <c r="K4054" s="28" t="s">
        <v>16223</v>
      </c>
      <c r="L4054" s="28" t="s">
        <v>16224</v>
      </c>
      <c r="M4054" s="28" t="s">
        <v>21429</v>
      </c>
      <c r="N4054" s="28" t="s">
        <v>16226</v>
      </c>
      <c r="O4054" s="28" t="s">
        <v>16227</v>
      </c>
      <c r="P4054" s="28" t="s">
        <v>18314</v>
      </c>
    </row>
    <row r="4055" spans="1:16" x14ac:dyDescent="0.25">
      <c r="A4055" s="28" t="s">
        <v>21430</v>
      </c>
      <c r="B4055" s="28" t="s">
        <v>21431</v>
      </c>
      <c r="C4055" s="28" t="s">
        <v>1684</v>
      </c>
      <c r="D4055" s="28" t="s">
        <v>4101</v>
      </c>
      <c r="E4055" s="28" t="s">
        <v>18317</v>
      </c>
      <c r="F4055" s="28" t="s">
        <v>21</v>
      </c>
      <c r="G4055" s="28" t="s">
        <v>39</v>
      </c>
      <c r="H4055" s="28" t="s">
        <v>16221</v>
      </c>
      <c r="I4055" s="28" t="s">
        <v>21432</v>
      </c>
      <c r="J4055" s="28" t="s">
        <v>39</v>
      </c>
      <c r="K4055" s="28" t="s">
        <v>16223</v>
      </c>
      <c r="L4055" s="28" t="s">
        <v>16224</v>
      </c>
      <c r="M4055" s="28" t="s">
        <v>21433</v>
      </c>
      <c r="N4055" s="28" t="s">
        <v>16226</v>
      </c>
      <c r="O4055" s="28" t="s">
        <v>16227</v>
      </c>
      <c r="P4055" s="28" t="s">
        <v>18320</v>
      </c>
    </row>
    <row r="4056" spans="1:16" x14ac:dyDescent="0.25">
      <c r="A4056" s="28" t="s">
        <v>21434</v>
      </c>
      <c r="B4056" s="28" t="s">
        <v>21435</v>
      </c>
      <c r="C4056" s="28" t="s">
        <v>1684</v>
      </c>
      <c r="D4056" s="28" t="s">
        <v>4101</v>
      </c>
      <c r="E4056" s="28" t="s">
        <v>18317</v>
      </c>
      <c r="F4056" s="28" t="s">
        <v>21</v>
      </c>
      <c r="G4056" s="28" t="s">
        <v>39</v>
      </c>
      <c r="H4056" s="28" t="s">
        <v>16221</v>
      </c>
      <c r="I4056" s="28" t="s">
        <v>21436</v>
      </c>
      <c r="J4056" s="28" t="s">
        <v>39</v>
      </c>
      <c r="K4056" s="28" t="s">
        <v>16223</v>
      </c>
      <c r="L4056" s="28" t="s">
        <v>16224</v>
      </c>
      <c r="M4056" s="28" t="s">
        <v>21437</v>
      </c>
      <c r="N4056" s="28" t="s">
        <v>16226</v>
      </c>
      <c r="O4056" s="28" t="s">
        <v>16227</v>
      </c>
      <c r="P4056" s="28" t="s">
        <v>18320</v>
      </c>
    </row>
    <row r="4057" spans="1:16" x14ac:dyDescent="0.25">
      <c r="A4057" s="28" t="s">
        <v>21438</v>
      </c>
      <c r="B4057" s="28" t="s">
        <v>21439</v>
      </c>
      <c r="C4057" s="28" t="s">
        <v>1684</v>
      </c>
      <c r="D4057" s="28" t="s">
        <v>4101</v>
      </c>
      <c r="E4057" s="28" t="s">
        <v>18317</v>
      </c>
      <c r="F4057" s="28" t="s">
        <v>21</v>
      </c>
      <c r="G4057" s="28" t="s">
        <v>39</v>
      </c>
      <c r="H4057" s="28" t="s">
        <v>16221</v>
      </c>
      <c r="I4057" s="28" t="s">
        <v>21440</v>
      </c>
      <c r="J4057" s="28" t="s">
        <v>39</v>
      </c>
      <c r="K4057" s="28" t="s">
        <v>16223</v>
      </c>
      <c r="L4057" s="28" t="s">
        <v>16224</v>
      </c>
      <c r="M4057" s="28" t="s">
        <v>21441</v>
      </c>
      <c r="N4057" s="28" t="s">
        <v>16226</v>
      </c>
      <c r="O4057" s="28" t="s">
        <v>16227</v>
      </c>
      <c r="P4057" s="28" t="s">
        <v>18320</v>
      </c>
    </row>
    <row r="4058" spans="1:16" x14ac:dyDescent="0.25">
      <c r="A4058" s="28" t="s">
        <v>21442</v>
      </c>
      <c r="B4058" s="28" t="s">
        <v>21443</v>
      </c>
      <c r="C4058" s="28" t="s">
        <v>1684</v>
      </c>
      <c r="D4058" s="28" t="s">
        <v>4101</v>
      </c>
      <c r="E4058" s="28" t="s">
        <v>18323</v>
      </c>
      <c r="F4058" s="28" t="s">
        <v>21</v>
      </c>
      <c r="G4058" s="28" t="s">
        <v>39</v>
      </c>
      <c r="H4058" s="28" t="s">
        <v>16221</v>
      </c>
      <c r="I4058" s="28" t="s">
        <v>21444</v>
      </c>
      <c r="J4058" s="28" t="s">
        <v>39</v>
      </c>
      <c r="K4058" s="28" t="s">
        <v>16223</v>
      </c>
      <c r="L4058" s="28" t="s">
        <v>16224</v>
      </c>
      <c r="M4058" s="28" t="s">
        <v>21445</v>
      </c>
      <c r="N4058" s="28" t="s">
        <v>16226</v>
      </c>
      <c r="O4058" s="28" t="s">
        <v>16227</v>
      </c>
      <c r="P4058" s="28" t="s">
        <v>18326</v>
      </c>
    </row>
    <row r="4059" spans="1:16" x14ac:dyDescent="0.25">
      <c r="A4059" s="28" t="s">
        <v>21446</v>
      </c>
      <c r="B4059" s="28" t="s">
        <v>21447</v>
      </c>
      <c r="C4059" s="28" t="s">
        <v>1684</v>
      </c>
      <c r="D4059" s="28" t="s">
        <v>4101</v>
      </c>
      <c r="E4059" s="28" t="s">
        <v>18323</v>
      </c>
      <c r="F4059" s="28" t="s">
        <v>21</v>
      </c>
      <c r="G4059" s="28" t="s">
        <v>39</v>
      </c>
      <c r="H4059" s="28" t="s">
        <v>16221</v>
      </c>
      <c r="I4059" s="28" t="s">
        <v>21448</v>
      </c>
      <c r="J4059" s="28" t="s">
        <v>39</v>
      </c>
      <c r="K4059" s="28" t="s">
        <v>16223</v>
      </c>
      <c r="L4059" s="28" t="s">
        <v>16224</v>
      </c>
      <c r="M4059" s="28" t="s">
        <v>21449</v>
      </c>
      <c r="N4059" s="28" t="s">
        <v>16226</v>
      </c>
      <c r="O4059" s="28" t="s">
        <v>16227</v>
      </c>
      <c r="P4059" s="28" t="s">
        <v>18326</v>
      </c>
    </row>
    <row r="4060" spans="1:16" x14ac:dyDescent="0.25">
      <c r="A4060" s="28" t="s">
        <v>21450</v>
      </c>
      <c r="B4060" s="28" t="s">
        <v>21451</v>
      </c>
      <c r="C4060" s="28" t="s">
        <v>1684</v>
      </c>
      <c r="D4060" s="28" t="s">
        <v>5471</v>
      </c>
      <c r="E4060" s="28" t="s">
        <v>18381</v>
      </c>
      <c r="F4060" s="28" t="s">
        <v>21</v>
      </c>
      <c r="G4060" s="28" t="s">
        <v>39</v>
      </c>
      <c r="H4060" s="28" t="s">
        <v>16221</v>
      </c>
      <c r="I4060" s="28" t="s">
        <v>21452</v>
      </c>
      <c r="J4060" s="28" t="s">
        <v>39</v>
      </c>
      <c r="K4060" s="28" t="s">
        <v>16223</v>
      </c>
      <c r="L4060" s="28" t="s">
        <v>16224</v>
      </c>
      <c r="M4060" s="28" t="s">
        <v>21453</v>
      </c>
      <c r="N4060" s="28" t="s">
        <v>16226</v>
      </c>
      <c r="O4060" s="28" t="s">
        <v>16227</v>
      </c>
      <c r="P4060" s="28" t="s">
        <v>18384</v>
      </c>
    </row>
    <row r="4061" spans="1:16" x14ac:dyDescent="0.25">
      <c r="A4061" s="28" t="s">
        <v>21454</v>
      </c>
      <c r="B4061" s="28" t="s">
        <v>21455</v>
      </c>
      <c r="C4061" s="28" t="s">
        <v>1684</v>
      </c>
      <c r="D4061" s="28" t="s">
        <v>5471</v>
      </c>
      <c r="E4061" s="28" t="s">
        <v>18387</v>
      </c>
      <c r="F4061" s="28" t="s">
        <v>21</v>
      </c>
      <c r="G4061" s="28" t="s">
        <v>39</v>
      </c>
      <c r="H4061" s="28" t="s">
        <v>16221</v>
      </c>
      <c r="I4061" s="28" t="s">
        <v>21456</v>
      </c>
      <c r="J4061" s="28" t="s">
        <v>39</v>
      </c>
      <c r="K4061" s="28" t="s">
        <v>16223</v>
      </c>
      <c r="L4061" s="28" t="s">
        <v>16224</v>
      </c>
      <c r="M4061" s="28" t="s">
        <v>21457</v>
      </c>
      <c r="N4061" s="28" t="s">
        <v>16226</v>
      </c>
      <c r="O4061" s="28" t="s">
        <v>16227</v>
      </c>
      <c r="P4061" s="28" t="s">
        <v>18390</v>
      </c>
    </row>
    <row r="4062" spans="1:16" x14ac:dyDescent="0.25">
      <c r="A4062" s="28" t="s">
        <v>21458</v>
      </c>
      <c r="B4062" s="28" t="s">
        <v>21459</v>
      </c>
      <c r="C4062" s="28" t="s">
        <v>1684</v>
      </c>
      <c r="D4062" s="28" t="s">
        <v>5471</v>
      </c>
      <c r="E4062" s="28" t="s">
        <v>18393</v>
      </c>
      <c r="F4062" s="28" t="s">
        <v>21</v>
      </c>
      <c r="G4062" s="28" t="s">
        <v>39</v>
      </c>
      <c r="H4062" s="28" t="s">
        <v>16221</v>
      </c>
      <c r="I4062" s="28" t="s">
        <v>21460</v>
      </c>
      <c r="J4062" s="28" t="s">
        <v>39</v>
      </c>
      <c r="K4062" s="28" t="s">
        <v>16223</v>
      </c>
      <c r="L4062" s="28" t="s">
        <v>16224</v>
      </c>
      <c r="M4062" s="28" t="s">
        <v>21461</v>
      </c>
      <c r="N4062" s="28" t="s">
        <v>16226</v>
      </c>
      <c r="O4062" s="28" t="s">
        <v>16227</v>
      </c>
      <c r="P4062" s="28" t="s">
        <v>18396</v>
      </c>
    </row>
    <row r="4063" spans="1:16" x14ac:dyDescent="0.25">
      <c r="A4063" s="28" t="s">
        <v>21462</v>
      </c>
      <c r="B4063" s="28" t="s">
        <v>21463</v>
      </c>
      <c r="C4063" s="28" t="s">
        <v>1684</v>
      </c>
      <c r="D4063" s="28" t="s">
        <v>5471</v>
      </c>
      <c r="E4063" s="28" t="s">
        <v>18393</v>
      </c>
      <c r="F4063" s="28" t="s">
        <v>21</v>
      </c>
      <c r="G4063" s="28" t="s">
        <v>39</v>
      </c>
      <c r="H4063" s="28" t="s">
        <v>16221</v>
      </c>
      <c r="I4063" s="28" t="s">
        <v>21464</v>
      </c>
      <c r="J4063" s="28" t="s">
        <v>39</v>
      </c>
      <c r="K4063" s="28" t="s">
        <v>16223</v>
      </c>
      <c r="L4063" s="28" t="s">
        <v>16224</v>
      </c>
      <c r="M4063" s="28" t="s">
        <v>21465</v>
      </c>
      <c r="N4063" s="28" t="s">
        <v>16226</v>
      </c>
      <c r="O4063" s="28" t="s">
        <v>16227</v>
      </c>
      <c r="P4063" s="28" t="s">
        <v>18396</v>
      </c>
    </row>
    <row r="4064" spans="1:16" x14ac:dyDescent="0.25">
      <c r="A4064" s="28" t="s">
        <v>21466</v>
      </c>
      <c r="B4064" s="28" t="s">
        <v>21467</v>
      </c>
      <c r="C4064" s="28" t="s">
        <v>1684</v>
      </c>
      <c r="D4064" s="28" t="s">
        <v>5471</v>
      </c>
      <c r="E4064" s="28" t="s">
        <v>18399</v>
      </c>
      <c r="F4064" s="28" t="s">
        <v>21</v>
      </c>
      <c r="G4064" s="28" t="s">
        <v>39</v>
      </c>
      <c r="H4064" s="28" t="s">
        <v>16221</v>
      </c>
      <c r="I4064" s="28" t="s">
        <v>21468</v>
      </c>
      <c r="J4064" s="28" t="s">
        <v>39</v>
      </c>
      <c r="K4064" s="28" t="s">
        <v>16223</v>
      </c>
      <c r="L4064" s="28" t="s">
        <v>16224</v>
      </c>
      <c r="M4064" s="28" t="s">
        <v>21469</v>
      </c>
      <c r="N4064" s="28" t="s">
        <v>16226</v>
      </c>
      <c r="O4064" s="28" t="s">
        <v>16227</v>
      </c>
      <c r="P4064" s="28" t="s">
        <v>18402</v>
      </c>
    </row>
    <row r="4065" spans="1:16" x14ac:dyDescent="0.25">
      <c r="A4065" s="28" t="s">
        <v>21470</v>
      </c>
      <c r="B4065" s="28" t="s">
        <v>21471</v>
      </c>
      <c r="C4065" s="28" t="s">
        <v>1684</v>
      </c>
      <c r="D4065" s="28" t="s">
        <v>5471</v>
      </c>
      <c r="E4065" s="28" t="s">
        <v>18399</v>
      </c>
      <c r="F4065" s="28" t="s">
        <v>21</v>
      </c>
      <c r="G4065" s="28" t="s">
        <v>39</v>
      </c>
      <c r="H4065" s="28" t="s">
        <v>16221</v>
      </c>
      <c r="I4065" s="28" t="s">
        <v>21472</v>
      </c>
      <c r="J4065" s="28" t="s">
        <v>39</v>
      </c>
      <c r="K4065" s="28" t="s">
        <v>16223</v>
      </c>
      <c r="L4065" s="28" t="s">
        <v>16224</v>
      </c>
      <c r="M4065" s="28" t="s">
        <v>21473</v>
      </c>
      <c r="N4065" s="28" t="s">
        <v>16226</v>
      </c>
      <c r="O4065" s="28" t="s">
        <v>16227</v>
      </c>
      <c r="P4065" s="28" t="s">
        <v>18402</v>
      </c>
    </row>
    <row r="4066" spans="1:16" x14ac:dyDescent="0.25">
      <c r="A4066" s="28" t="s">
        <v>21474</v>
      </c>
      <c r="B4066" s="28" t="s">
        <v>21475</v>
      </c>
      <c r="C4066" s="28" t="s">
        <v>1684</v>
      </c>
      <c r="D4066" s="28" t="s">
        <v>5471</v>
      </c>
      <c r="E4066" s="28" t="s">
        <v>18399</v>
      </c>
      <c r="F4066" s="28" t="s">
        <v>21</v>
      </c>
      <c r="G4066" s="28" t="s">
        <v>39</v>
      </c>
      <c r="H4066" s="28" t="s">
        <v>16221</v>
      </c>
      <c r="I4066" s="28" t="s">
        <v>21476</v>
      </c>
      <c r="J4066" s="28" t="s">
        <v>39</v>
      </c>
      <c r="K4066" s="28" t="s">
        <v>16223</v>
      </c>
      <c r="L4066" s="28" t="s">
        <v>16224</v>
      </c>
      <c r="M4066" s="28" t="s">
        <v>21477</v>
      </c>
      <c r="N4066" s="28" t="s">
        <v>16226</v>
      </c>
      <c r="O4066" s="28" t="s">
        <v>16227</v>
      </c>
      <c r="P4066" s="28" t="s">
        <v>18402</v>
      </c>
    </row>
    <row r="4067" spans="1:16" x14ac:dyDescent="0.25">
      <c r="A4067" s="28" t="s">
        <v>21478</v>
      </c>
      <c r="B4067" s="28" t="s">
        <v>21479</v>
      </c>
      <c r="C4067" s="28" t="s">
        <v>1684</v>
      </c>
      <c r="D4067" s="28" t="s">
        <v>5471</v>
      </c>
      <c r="E4067" s="28" t="s">
        <v>18405</v>
      </c>
      <c r="F4067" s="28" t="s">
        <v>21</v>
      </c>
      <c r="G4067" s="28" t="s">
        <v>39</v>
      </c>
      <c r="H4067" s="28" t="s">
        <v>16221</v>
      </c>
      <c r="I4067" s="28" t="s">
        <v>21480</v>
      </c>
      <c r="J4067" s="28" t="s">
        <v>39</v>
      </c>
      <c r="K4067" s="28" t="s">
        <v>16223</v>
      </c>
      <c r="L4067" s="28" t="s">
        <v>16224</v>
      </c>
      <c r="M4067" s="28" t="s">
        <v>21481</v>
      </c>
      <c r="N4067" s="28" t="s">
        <v>16226</v>
      </c>
      <c r="O4067" s="28" t="s">
        <v>16227</v>
      </c>
      <c r="P4067" s="28" t="s">
        <v>18408</v>
      </c>
    </row>
    <row r="4068" spans="1:16" x14ac:dyDescent="0.25">
      <c r="A4068" s="28" t="s">
        <v>21482</v>
      </c>
      <c r="B4068" s="28" t="s">
        <v>21483</v>
      </c>
      <c r="C4068" s="28" t="s">
        <v>1684</v>
      </c>
      <c r="D4068" s="28" t="s">
        <v>5471</v>
      </c>
      <c r="E4068" s="28" t="s">
        <v>18411</v>
      </c>
      <c r="F4068" s="28" t="s">
        <v>21</v>
      </c>
      <c r="G4068" s="28" t="s">
        <v>39</v>
      </c>
      <c r="H4068" s="28" t="s">
        <v>16221</v>
      </c>
      <c r="I4068" s="28" t="s">
        <v>21484</v>
      </c>
      <c r="J4068" s="28" t="s">
        <v>39</v>
      </c>
      <c r="K4068" s="28" t="s">
        <v>16223</v>
      </c>
      <c r="L4068" s="28" t="s">
        <v>16224</v>
      </c>
      <c r="M4068" s="28" t="s">
        <v>21485</v>
      </c>
      <c r="N4068" s="28" t="s">
        <v>16226</v>
      </c>
      <c r="O4068" s="28" t="s">
        <v>16227</v>
      </c>
      <c r="P4068" s="28" t="s">
        <v>18414</v>
      </c>
    </row>
    <row r="4069" spans="1:16" x14ac:dyDescent="0.25">
      <c r="A4069" s="28" t="s">
        <v>21486</v>
      </c>
      <c r="B4069" s="28" t="s">
        <v>21487</v>
      </c>
      <c r="C4069" s="28" t="s">
        <v>1684</v>
      </c>
      <c r="D4069" s="28" t="s">
        <v>5471</v>
      </c>
      <c r="E4069" s="28" t="s">
        <v>18411</v>
      </c>
      <c r="F4069" s="28" t="s">
        <v>21</v>
      </c>
      <c r="G4069" s="28" t="s">
        <v>39</v>
      </c>
      <c r="H4069" s="28" t="s">
        <v>16221</v>
      </c>
      <c r="I4069" s="28" t="s">
        <v>21488</v>
      </c>
      <c r="J4069" s="28" t="s">
        <v>39</v>
      </c>
      <c r="K4069" s="28" t="s">
        <v>16223</v>
      </c>
      <c r="L4069" s="28" t="s">
        <v>16224</v>
      </c>
      <c r="M4069" s="28" t="s">
        <v>21489</v>
      </c>
      <c r="N4069" s="28" t="s">
        <v>16226</v>
      </c>
      <c r="O4069" s="28" t="s">
        <v>16227</v>
      </c>
      <c r="P4069" s="28" t="s">
        <v>18414</v>
      </c>
    </row>
    <row r="4070" spans="1:16" x14ac:dyDescent="0.25">
      <c r="A4070" s="28" t="s">
        <v>21490</v>
      </c>
      <c r="B4070" s="28" t="s">
        <v>21491</v>
      </c>
      <c r="C4070" s="28" t="s">
        <v>1684</v>
      </c>
      <c r="D4070" s="28" t="s">
        <v>5471</v>
      </c>
      <c r="E4070" s="28" t="s">
        <v>18417</v>
      </c>
      <c r="F4070" s="28" t="s">
        <v>21</v>
      </c>
      <c r="G4070" s="28" t="s">
        <v>39</v>
      </c>
      <c r="H4070" s="28" t="s">
        <v>16221</v>
      </c>
      <c r="I4070" s="28" t="s">
        <v>21492</v>
      </c>
      <c r="J4070" s="28" t="s">
        <v>39</v>
      </c>
      <c r="K4070" s="28" t="s">
        <v>16223</v>
      </c>
      <c r="L4070" s="28" t="s">
        <v>16224</v>
      </c>
      <c r="M4070" s="28" t="s">
        <v>21493</v>
      </c>
      <c r="N4070" s="28" t="s">
        <v>16226</v>
      </c>
      <c r="O4070" s="28" t="s">
        <v>16227</v>
      </c>
      <c r="P4070" s="28" t="s">
        <v>18420</v>
      </c>
    </row>
    <row r="4071" spans="1:16" x14ac:dyDescent="0.25">
      <c r="A4071" s="28" t="s">
        <v>21494</v>
      </c>
      <c r="B4071" s="28" t="s">
        <v>21495</v>
      </c>
      <c r="C4071" s="28" t="s">
        <v>1684</v>
      </c>
      <c r="D4071" s="28" t="s">
        <v>5471</v>
      </c>
      <c r="E4071" s="28" t="s">
        <v>18417</v>
      </c>
      <c r="F4071" s="28" t="s">
        <v>21</v>
      </c>
      <c r="G4071" s="28" t="s">
        <v>39</v>
      </c>
      <c r="H4071" s="28" t="s">
        <v>16221</v>
      </c>
      <c r="I4071" s="28" t="s">
        <v>21496</v>
      </c>
      <c r="J4071" s="28" t="s">
        <v>39</v>
      </c>
      <c r="K4071" s="28" t="s">
        <v>16223</v>
      </c>
      <c r="L4071" s="28" t="s">
        <v>16224</v>
      </c>
      <c r="M4071" s="28" t="s">
        <v>21497</v>
      </c>
      <c r="N4071" s="28" t="s">
        <v>16226</v>
      </c>
      <c r="O4071" s="28" t="s">
        <v>16227</v>
      </c>
      <c r="P4071" s="28" t="s">
        <v>18420</v>
      </c>
    </row>
    <row r="4072" spans="1:16" x14ac:dyDescent="0.25">
      <c r="A4072" s="28" t="s">
        <v>21498</v>
      </c>
      <c r="B4072" s="28" t="s">
        <v>21499</v>
      </c>
      <c r="C4072" s="28" t="s">
        <v>1684</v>
      </c>
      <c r="D4072" s="28" t="s">
        <v>5471</v>
      </c>
      <c r="E4072" s="28" t="s">
        <v>18417</v>
      </c>
      <c r="F4072" s="28" t="s">
        <v>21</v>
      </c>
      <c r="G4072" s="28" t="s">
        <v>39</v>
      </c>
      <c r="H4072" s="28" t="s">
        <v>16221</v>
      </c>
      <c r="I4072" s="28" t="s">
        <v>21500</v>
      </c>
      <c r="J4072" s="28" t="s">
        <v>39</v>
      </c>
      <c r="K4072" s="28" t="s">
        <v>16223</v>
      </c>
      <c r="L4072" s="28" t="s">
        <v>16224</v>
      </c>
      <c r="M4072" s="28" t="s">
        <v>21501</v>
      </c>
      <c r="N4072" s="28" t="s">
        <v>16226</v>
      </c>
      <c r="O4072" s="28" t="s">
        <v>16227</v>
      </c>
      <c r="P4072" s="28" t="s">
        <v>18420</v>
      </c>
    </row>
    <row r="4073" spans="1:16" x14ac:dyDescent="0.25">
      <c r="A4073" s="28" t="s">
        <v>21502</v>
      </c>
      <c r="B4073" s="28" t="s">
        <v>21503</v>
      </c>
      <c r="C4073" s="28" t="s">
        <v>1684</v>
      </c>
      <c r="D4073" s="28" t="s">
        <v>5471</v>
      </c>
      <c r="E4073" s="28" t="s">
        <v>18417</v>
      </c>
      <c r="F4073" s="28" t="s">
        <v>21</v>
      </c>
      <c r="G4073" s="28" t="s">
        <v>39</v>
      </c>
      <c r="H4073" s="28" t="s">
        <v>16221</v>
      </c>
      <c r="I4073" s="28" t="s">
        <v>21504</v>
      </c>
      <c r="J4073" s="28" t="s">
        <v>39</v>
      </c>
      <c r="K4073" s="28" t="s">
        <v>16223</v>
      </c>
      <c r="L4073" s="28" t="s">
        <v>16224</v>
      </c>
      <c r="M4073" s="28" t="s">
        <v>21505</v>
      </c>
      <c r="N4073" s="28" t="s">
        <v>16226</v>
      </c>
      <c r="O4073" s="28" t="s">
        <v>16227</v>
      </c>
      <c r="P4073" s="28" t="s">
        <v>18420</v>
      </c>
    </row>
    <row r="4074" spans="1:16" x14ac:dyDescent="0.25">
      <c r="A4074" s="28" t="s">
        <v>21506</v>
      </c>
      <c r="B4074" s="28" t="s">
        <v>21507</v>
      </c>
      <c r="C4074" s="28" t="s">
        <v>1684</v>
      </c>
      <c r="D4074" s="28" t="s">
        <v>5471</v>
      </c>
      <c r="E4074" s="28" t="s">
        <v>18417</v>
      </c>
      <c r="F4074" s="28" t="s">
        <v>21</v>
      </c>
      <c r="G4074" s="28" t="s">
        <v>39</v>
      </c>
      <c r="H4074" s="28" t="s">
        <v>16221</v>
      </c>
      <c r="I4074" s="28" t="s">
        <v>21508</v>
      </c>
      <c r="J4074" s="28" t="s">
        <v>39</v>
      </c>
      <c r="K4074" s="28" t="s">
        <v>16223</v>
      </c>
      <c r="L4074" s="28" t="s">
        <v>16224</v>
      </c>
      <c r="M4074" s="28" t="s">
        <v>21509</v>
      </c>
      <c r="N4074" s="28" t="s">
        <v>16226</v>
      </c>
      <c r="O4074" s="28" t="s">
        <v>16227</v>
      </c>
      <c r="P4074" s="28" t="s">
        <v>18420</v>
      </c>
    </row>
    <row r="4075" spans="1:16" x14ac:dyDescent="0.25">
      <c r="A4075" s="28" t="s">
        <v>21510</v>
      </c>
      <c r="B4075" s="28" t="s">
        <v>21511</v>
      </c>
      <c r="C4075" s="28" t="s">
        <v>1684</v>
      </c>
      <c r="D4075" s="28" t="s">
        <v>5471</v>
      </c>
      <c r="E4075" s="28" t="s">
        <v>18423</v>
      </c>
      <c r="F4075" s="28" t="s">
        <v>21</v>
      </c>
      <c r="G4075" s="28" t="s">
        <v>39</v>
      </c>
      <c r="H4075" s="28" t="s">
        <v>16221</v>
      </c>
      <c r="I4075" s="28" t="s">
        <v>21512</v>
      </c>
      <c r="J4075" s="28" t="s">
        <v>39</v>
      </c>
      <c r="K4075" s="28" t="s">
        <v>16223</v>
      </c>
      <c r="L4075" s="28" t="s">
        <v>16224</v>
      </c>
      <c r="M4075" s="28" t="s">
        <v>21513</v>
      </c>
      <c r="N4075" s="28" t="s">
        <v>16226</v>
      </c>
      <c r="O4075" s="28" t="s">
        <v>16227</v>
      </c>
      <c r="P4075" s="28" t="s">
        <v>18426</v>
      </c>
    </row>
    <row r="4076" spans="1:16" x14ac:dyDescent="0.25">
      <c r="A4076" s="28" t="s">
        <v>21514</v>
      </c>
      <c r="B4076" s="28" t="s">
        <v>21515</v>
      </c>
      <c r="C4076" s="28" t="s">
        <v>1684</v>
      </c>
      <c r="D4076" s="28" t="s">
        <v>5471</v>
      </c>
      <c r="E4076" s="28" t="s">
        <v>18429</v>
      </c>
      <c r="F4076" s="28" t="s">
        <v>21</v>
      </c>
      <c r="G4076" s="28" t="s">
        <v>39</v>
      </c>
      <c r="H4076" s="28" t="s">
        <v>16221</v>
      </c>
      <c r="I4076" s="28" t="s">
        <v>21516</v>
      </c>
      <c r="J4076" s="28" t="s">
        <v>39</v>
      </c>
      <c r="K4076" s="28" t="s">
        <v>16223</v>
      </c>
      <c r="L4076" s="28" t="s">
        <v>16224</v>
      </c>
      <c r="M4076" s="28" t="s">
        <v>21517</v>
      </c>
      <c r="N4076" s="28" t="s">
        <v>16226</v>
      </c>
      <c r="O4076" s="28" t="s">
        <v>16227</v>
      </c>
      <c r="P4076" s="28" t="s">
        <v>18432</v>
      </c>
    </row>
    <row r="4077" spans="1:16" x14ac:dyDescent="0.25">
      <c r="A4077" s="28" t="s">
        <v>21518</v>
      </c>
      <c r="B4077" s="28" t="s">
        <v>21519</v>
      </c>
      <c r="C4077" s="28" t="s">
        <v>1684</v>
      </c>
      <c r="D4077" s="28" t="s">
        <v>5471</v>
      </c>
      <c r="E4077" s="28" t="s">
        <v>18429</v>
      </c>
      <c r="F4077" s="28" t="s">
        <v>21</v>
      </c>
      <c r="G4077" s="28" t="s">
        <v>39</v>
      </c>
      <c r="H4077" s="28" t="s">
        <v>16221</v>
      </c>
      <c r="I4077" s="28" t="s">
        <v>21520</v>
      </c>
      <c r="J4077" s="28" t="s">
        <v>39</v>
      </c>
      <c r="K4077" s="28" t="s">
        <v>16223</v>
      </c>
      <c r="L4077" s="28" t="s">
        <v>16224</v>
      </c>
      <c r="M4077" s="28" t="s">
        <v>21521</v>
      </c>
      <c r="N4077" s="28" t="s">
        <v>16226</v>
      </c>
      <c r="O4077" s="28" t="s">
        <v>16227</v>
      </c>
      <c r="P4077" s="28" t="s">
        <v>18432</v>
      </c>
    </row>
    <row r="4078" spans="1:16" x14ac:dyDescent="0.25">
      <c r="A4078" s="28" t="s">
        <v>21522</v>
      </c>
      <c r="B4078" s="28" t="s">
        <v>21523</v>
      </c>
      <c r="C4078" s="28" t="s">
        <v>1684</v>
      </c>
      <c r="D4078" s="28" t="s">
        <v>5471</v>
      </c>
      <c r="E4078" s="28" t="s">
        <v>21524</v>
      </c>
      <c r="F4078" s="28" t="s">
        <v>21</v>
      </c>
      <c r="G4078" s="28" t="s">
        <v>39</v>
      </c>
      <c r="H4078" s="28" t="s">
        <v>16221</v>
      </c>
      <c r="I4078" s="28" t="s">
        <v>21525</v>
      </c>
      <c r="J4078" s="28" t="s">
        <v>39</v>
      </c>
      <c r="K4078" s="28" t="s">
        <v>16223</v>
      </c>
      <c r="L4078" s="28" t="s">
        <v>16224</v>
      </c>
      <c r="M4078" s="28" t="s">
        <v>21526</v>
      </c>
      <c r="N4078" s="28" t="s">
        <v>16226</v>
      </c>
      <c r="O4078" s="28" t="s">
        <v>16227</v>
      </c>
      <c r="P4078" s="28" t="s">
        <v>21527</v>
      </c>
    </row>
    <row r="4079" spans="1:16" x14ac:dyDescent="0.25">
      <c r="A4079" s="28" t="s">
        <v>21528</v>
      </c>
      <c r="B4079" s="28" t="s">
        <v>21529</v>
      </c>
      <c r="C4079" s="28" t="s">
        <v>1684</v>
      </c>
      <c r="D4079" s="28" t="s">
        <v>5471</v>
      </c>
      <c r="E4079" s="28" t="s">
        <v>18435</v>
      </c>
      <c r="F4079" s="28" t="s">
        <v>21</v>
      </c>
      <c r="G4079" s="28" t="s">
        <v>39</v>
      </c>
      <c r="H4079" s="28" t="s">
        <v>16221</v>
      </c>
      <c r="I4079" s="28" t="s">
        <v>21530</v>
      </c>
      <c r="J4079" s="28" t="s">
        <v>39</v>
      </c>
      <c r="K4079" s="28" t="s">
        <v>16223</v>
      </c>
      <c r="L4079" s="28" t="s">
        <v>16224</v>
      </c>
      <c r="M4079" s="28" t="s">
        <v>21531</v>
      </c>
      <c r="N4079" s="28" t="s">
        <v>16226</v>
      </c>
      <c r="O4079" s="28" t="s">
        <v>16227</v>
      </c>
      <c r="P4079" s="28" t="s">
        <v>18438</v>
      </c>
    </row>
    <row r="4080" spans="1:16" x14ac:dyDescent="0.25">
      <c r="A4080" s="28" t="s">
        <v>21532</v>
      </c>
      <c r="B4080" s="28" t="s">
        <v>21533</v>
      </c>
      <c r="C4080" s="28" t="s">
        <v>1684</v>
      </c>
      <c r="D4080" s="28" t="s">
        <v>5471</v>
      </c>
      <c r="E4080" s="28" t="s">
        <v>21534</v>
      </c>
      <c r="F4080" s="28" t="s">
        <v>21</v>
      </c>
      <c r="G4080" s="28" t="s">
        <v>39</v>
      </c>
      <c r="H4080" s="28" t="s">
        <v>16221</v>
      </c>
      <c r="I4080" s="28" t="s">
        <v>21535</v>
      </c>
      <c r="J4080" s="28" t="s">
        <v>39</v>
      </c>
      <c r="K4080" s="28" t="s">
        <v>16223</v>
      </c>
      <c r="L4080" s="28" t="s">
        <v>16224</v>
      </c>
      <c r="M4080" s="28" t="s">
        <v>21536</v>
      </c>
      <c r="N4080" s="28" t="s">
        <v>16226</v>
      </c>
      <c r="O4080" s="28" t="s">
        <v>16227</v>
      </c>
      <c r="P4080" s="28" t="s">
        <v>21537</v>
      </c>
    </row>
    <row r="4081" spans="1:16" x14ac:dyDescent="0.25">
      <c r="A4081" s="28" t="s">
        <v>21538</v>
      </c>
      <c r="B4081" s="28" t="s">
        <v>21539</v>
      </c>
      <c r="C4081" s="28" t="s">
        <v>1684</v>
      </c>
      <c r="D4081" s="28" t="s">
        <v>5471</v>
      </c>
      <c r="E4081" s="28" t="s">
        <v>21534</v>
      </c>
      <c r="F4081" s="28" t="s">
        <v>21</v>
      </c>
      <c r="G4081" s="28" t="s">
        <v>39</v>
      </c>
      <c r="H4081" s="28" t="s">
        <v>16221</v>
      </c>
      <c r="I4081" s="28" t="s">
        <v>21540</v>
      </c>
      <c r="J4081" s="28" t="s">
        <v>39</v>
      </c>
      <c r="K4081" s="28" t="s">
        <v>16223</v>
      </c>
      <c r="L4081" s="28" t="s">
        <v>16224</v>
      </c>
      <c r="M4081" s="28" t="s">
        <v>21541</v>
      </c>
      <c r="N4081" s="28" t="s">
        <v>16226</v>
      </c>
      <c r="O4081" s="28" t="s">
        <v>16227</v>
      </c>
      <c r="P4081" s="28" t="s">
        <v>21537</v>
      </c>
    </row>
    <row r="4082" spans="1:16" x14ac:dyDescent="0.25">
      <c r="A4082" s="28" t="s">
        <v>21542</v>
      </c>
      <c r="B4082" s="28" t="s">
        <v>21543</v>
      </c>
      <c r="C4082" s="28" t="s">
        <v>1684</v>
      </c>
      <c r="D4082" s="28" t="s">
        <v>5482</v>
      </c>
      <c r="E4082" s="28" t="s">
        <v>18441</v>
      </c>
      <c r="F4082" s="28" t="s">
        <v>21</v>
      </c>
      <c r="G4082" s="28" t="s">
        <v>39</v>
      </c>
      <c r="H4082" s="28" t="s">
        <v>16221</v>
      </c>
      <c r="I4082" s="28" t="s">
        <v>21544</v>
      </c>
      <c r="J4082" s="28" t="s">
        <v>39</v>
      </c>
      <c r="K4082" s="28" t="s">
        <v>16223</v>
      </c>
      <c r="L4082" s="28" t="s">
        <v>16224</v>
      </c>
      <c r="M4082" s="28" t="s">
        <v>21545</v>
      </c>
      <c r="N4082" s="28" t="s">
        <v>16226</v>
      </c>
      <c r="O4082" s="28" t="s">
        <v>16227</v>
      </c>
      <c r="P4082" s="28" t="s">
        <v>18444</v>
      </c>
    </row>
    <row r="4083" spans="1:16" x14ac:dyDescent="0.25">
      <c r="A4083" s="28" t="s">
        <v>21546</v>
      </c>
      <c r="B4083" s="28" t="s">
        <v>21547</v>
      </c>
      <c r="C4083" s="28" t="s">
        <v>1684</v>
      </c>
      <c r="D4083" s="28" t="s">
        <v>5482</v>
      </c>
      <c r="E4083" s="28" t="s">
        <v>18441</v>
      </c>
      <c r="F4083" s="28" t="s">
        <v>21</v>
      </c>
      <c r="G4083" s="28" t="s">
        <v>39</v>
      </c>
      <c r="H4083" s="28" t="s">
        <v>16221</v>
      </c>
      <c r="I4083" s="28" t="s">
        <v>21548</v>
      </c>
      <c r="J4083" s="28" t="s">
        <v>39</v>
      </c>
      <c r="K4083" s="28" t="s">
        <v>16223</v>
      </c>
      <c r="L4083" s="28" t="s">
        <v>16224</v>
      </c>
      <c r="M4083" s="28" t="s">
        <v>21549</v>
      </c>
      <c r="N4083" s="28" t="s">
        <v>16226</v>
      </c>
      <c r="O4083" s="28" t="s">
        <v>16227</v>
      </c>
      <c r="P4083" s="28" t="s">
        <v>18444</v>
      </c>
    </row>
    <row r="4084" spans="1:16" x14ac:dyDescent="0.25">
      <c r="A4084" s="28" t="s">
        <v>21550</v>
      </c>
      <c r="B4084" s="28" t="s">
        <v>21551</v>
      </c>
      <c r="C4084" s="28" t="s">
        <v>1684</v>
      </c>
      <c r="D4084" s="28" t="s">
        <v>5482</v>
      </c>
      <c r="E4084" s="28" t="s">
        <v>18451</v>
      </c>
      <c r="F4084" s="28" t="s">
        <v>21</v>
      </c>
      <c r="G4084" s="28" t="s">
        <v>39</v>
      </c>
      <c r="H4084" s="28" t="s">
        <v>16221</v>
      </c>
      <c r="I4084" s="28" t="s">
        <v>21552</v>
      </c>
      <c r="J4084" s="28" t="s">
        <v>39</v>
      </c>
      <c r="K4084" s="28" t="s">
        <v>16223</v>
      </c>
      <c r="L4084" s="28" t="s">
        <v>16224</v>
      </c>
      <c r="M4084" s="28" t="s">
        <v>21553</v>
      </c>
      <c r="N4084" s="28" t="s">
        <v>16226</v>
      </c>
      <c r="O4084" s="28" t="s">
        <v>16227</v>
      </c>
      <c r="P4084" s="28" t="s">
        <v>18454</v>
      </c>
    </row>
    <row r="4085" spans="1:16" x14ac:dyDescent="0.25">
      <c r="A4085" s="28" t="s">
        <v>21554</v>
      </c>
      <c r="B4085" s="28" t="s">
        <v>21555</v>
      </c>
      <c r="C4085" s="28" t="s">
        <v>1684</v>
      </c>
      <c r="D4085" s="28" t="s">
        <v>5482</v>
      </c>
      <c r="E4085" s="28" t="s">
        <v>18457</v>
      </c>
      <c r="F4085" s="28" t="s">
        <v>21</v>
      </c>
      <c r="G4085" s="28" t="s">
        <v>39</v>
      </c>
      <c r="H4085" s="28" t="s">
        <v>16221</v>
      </c>
      <c r="I4085" s="28" t="s">
        <v>21556</v>
      </c>
      <c r="J4085" s="28" t="s">
        <v>39</v>
      </c>
      <c r="K4085" s="28" t="s">
        <v>16223</v>
      </c>
      <c r="L4085" s="28" t="s">
        <v>16224</v>
      </c>
      <c r="M4085" s="28" t="s">
        <v>21557</v>
      </c>
      <c r="N4085" s="28" t="s">
        <v>16226</v>
      </c>
      <c r="O4085" s="28" t="s">
        <v>16227</v>
      </c>
      <c r="P4085" s="28" t="s">
        <v>18460</v>
      </c>
    </row>
    <row r="4086" spans="1:16" x14ac:dyDescent="0.25">
      <c r="A4086" s="28" t="s">
        <v>21558</v>
      </c>
      <c r="B4086" s="28" t="s">
        <v>21559</v>
      </c>
      <c r="C4086" s="28" t="s">
        <v>1684</v>
      </c>
      <c r="D4086" s="28" t="s">
        <v>5482</v>
      </c>
      <c r="E4086" s="28" t="s">
        <v>18457</v>
      </c>
      <c r="F4086" s="28" t="s">
        <v>21</v>
      </c>
      <c r="G4086" s="28" t="s">
        <v>39</v>
      </c>
      <c r="H4086" s="28" t="s">
        <v>16221</v>
      </c>
      <c r="I4086" s="28" t="s">
        <v>21560</v>
      </c>
      <c r="J4086" s="28" t="s">
        <v>39</v>
      </c>
      <c r="K4086" s="28" t="s">
        <v>16223</v>
      </c>
      <c r="L4086" s="28" t="s">
        <v>16224</v>
      </c>
      <c r="M4086" s="28" t="s">
        <v>21561</v>
      </c>
      <c r="N4086" s="28" t="s">
        <v>16226</v>
      </c>
      <c r="O4086" s="28" t="s">
        <v>16227</v>
      </c>
      <c r="P4086" s="28" t="s">
        <v>18460</v>
      </c>
    </row>
    <row r="4087" spans="1:16" x14ac:dyDescent="0.25">
      <c r="A4087" s="28" t="s">
        <v>21562</v>
      </c>
      <c r="B4087" s="28" t="s">
        <v>21563</v>
      </c>
      <c r="C4087" s="28" t="s">
        <v>1684</v>
      </c>
      <c r="D4087" s="28" t="s">
        <v>101</v>
      </c>
      <c r="E4087" s="28" t="s">
        <v>18463</v>
      </c>
      <c r="F4087" s="28" t="s">
        <v>21</v>
      </c>
      <c r="G4087" s="28" t="s">
        <v>39</v>
      </c>
      <c r="H4087" s="28" t="s">
        <v>16221</v>
      </c>
      <c r="I4087" s="28" t="s">
        <v>21564</v>
      </c>
      <c r="J4087" s="28" t="s">
        <v>39</v>
      </c>
      <c r="K4087" s="28" t="s">
        <v>16223</v>
      </c>
      <c r="L4087" s="28" t="s">
        <v>16224</v>
      </c>
      <c r="M4087" s="28" t="s">
        <v>21565</v>
      </c>
      <c r="N4087" s="28" t="s">
        <v>16226</v>
      </c>
      <c r="O4087" s="28" t="s">
        <v>16227</v>
      </c>
      <c r="P4087" s="28" t="s">
        <v>18466</v>
      </c>
    </row>
    <row r="4088" spans="1:16" x14ac:dyDescent="0.25">
      <c r="A4088" s="28" t="s">
        <v>21566</v>
      </c>
      <c r="B4088" s="28" t="s">
        <v>21567</v>
      </c>
      <c r="C4088" s="28" t="s">
        <v>1684</v>
      </c>
      <c r="D4088" s="28" t="s">
        <v>120</v>
      </c>
      <c r="E4088" s="28" t="s">
        <v>18810</v>
      </c>
      <c r="F4088" s="28" t="s">
        <v>21</v>
      </c>
      <c r="G4088" s="28" t="s">
        <v>39</v>
      </c>
      <c r="H4088" s="28" t="s">
        <v>16221</v>
      </c>
      <c r="I4088" s="28" t="s">
        <v>21568</v>
      </c>
      <c r="J4088" s="28" t="s">
        <v>39</v>
      </c>
      <c r="K4088" s="28" t="s">
        <v>16223</v>
      </c>
      <c r="L4088" s="28" t="s">
        <v>16224</v>
      </c>
      <c r="M4088" s="28" t="s">
        <v>21569</v>
      </c>
      <c r="N4088" s="28" t="s">
        <v>16226</v>
      </c>
      <c r="O4088" s="28" t="s">
        <v>16227</v>
      </c>
      <c r="P4088" s="28" t="s">
        <v>18813</v>
      </c>
    </row>
    <row r="4089" spans="1:16" x14ac:dyDescent="0.25">
      <c r="A4089" s="28" t="s">
        <v>21570</v>
      </c>
      <c r="B4089" s="28" t="s">
        <v>21571</v>
      </c>
      <c r="C4089" s="28" t="s">
        <v>1684</v>
      </c>
      <c r="D4089" s="28" t="s">
        <v>120</v>
      </c>
      <c r="E4089" s="28" t="s">
        <v>18882</v>
      </c>
      <c r="F4089" s="28" t="s">
        <v>21</v>
      </c>
      <c r="G4089" s="28" t="s">
        <v>39</v>
      </c>
      <c r="H4089" s="28" t="s">
        <v>16221</v>
      </c>
      <c r="I4089" s="28" t="s">
        <v>21572</v>
      </c>
      <c r="J4089" s="28" t="s">
        <v>39</v>
      </c>
      <c r="K4089" s="28" t="s">
        <v>16223</v>
      </c>
      <c r="L4089" s="28" t="s">
        <v>16224</v>
      </c>
      <c r="M4089" s="28" t="s">
        <v>21573</v>
      </c>
      <c r="N4089" s="28" t="s">
        <v>16226</v>
      </c>
      <c r="O4089" s="28" t="s">
        <v>16227</v>
      </c>
      <c r="P4089" s="28" t="s">
        <v>18885</v>
      </c>
    </row>
    <row r="4090" spans="1:16" x14ac:dyDescent="0.25">
      <c r="A4090" s="28" t="s">
        <v>21574</v>
      </c>
      <c r="B4090" s="28" t="s">
        <v>21575</v>
      </c>
      <c r="C4090" s="28" t="s">
        <v>1684</v>
      </c>
      <c r="D4090" s="28" t="s">
        <v>120</v>
      </c>
      <c r="E4090" s="28" t="s">
        <v>18882</v>
      </c>
      <c r="F4090" s="28" t="s">
        <v>21</v>
      </c>
      <c r="G4090" s="28" t="s">
        <v>39</v>
      </c>
      <c r="H4090" s="28" t="s">
        <v>16221</v>
      </c>
      <c r="I4090" s="28" t="s">
        <v>21576</v>
      </c>
      <c r="J4090" s="28" t="s">
        <v>39</v>
      </c>
      <c r="K4090" s="28" t="s">
        <v>16223</v>
      </c>
      <c r="L4090" s="28" t="s">
        <v>16224</v>
      </c>
      <c r="M4090" s="28" t="s">
        <v>21577</v>
      </c>
      <c r="N4090" s="28" t="s">
        <v>16226</v>
      </c>
      <c r="O4090" s="28" t="s">
        <v>16227</v>
      </c>
      <c r="P4090" s="28" t="s">
        <v>18885</v>
      </c>
    </row>
    <row r="4091" spans="1:16" x14ac:dyDescent="0.25">
      <c r="A4091" s="28" t="s">
        <v>21578</v>
      </c>
      <c r="B4091" s="28" t="s">
        <v>21579</v>
      </c>
      <c r="C4091" s="28" t="s">
        <v>1684</v>
      </c>
      <c r="D4091" s="28" t="s">
        <v>120</v>
      </c>
      <c r="E4091" s="28" t="s">
        <v>18882</v>
      </c>
      <c r="F4091" s="28" t="s">
        <v>21</v>
      </c>
      <c r="G4091" s="28" t="s">
        <v>39</v>
      </c>
      <c r="H4091" s="28" t="s">
        <v>16221</v>
      </c>
      <c r="I4091" s="28" t="s">
        <v>21580</v>
      </c>
      <c r="J4091" s="28" t="s">
        <v>39</v>
      </c>
      <c r="K4091" s="28" t="s">
        <v>16223</v>
      </c>
      <c r="L4091" s="28" t="s">
        <v>16224</v>
      </c>
      <c r="M4091" s="28" t="s">
        <v>21581</v>
      </c>
      <c r="N4091" s="28" t="s">
        <v>16226</v>
      </c>
      <c r="O4091" s="28" t="s">
        <v>16227</v>
      </c>
      <c r="P4091" s="28" t="s">
        <v>18885</v>
      </c>
    </row>
    <row r="4092" spans="1:16" x14ac:dyDescent="0.25">
      <c r="A4092" s="28" t="s">
        <v>21582</v>
      </c>
      <c r="B4092" s="28" t="s">
        <v>21583</v>
      </c>
      <c r="C4092" s="28" t="s">
        <v>1684</v>
      </c>
      <c r="D4092" s="28" t="s">
        <v>4270</v>
      </c>
      <c r="E4092" s="28" t="s">
        <v>18491</v>
      </c>
      <c r="F4092" s="28" t="s">
        <v>21</v>
      </c>
      <c r="G4092" s="28" t="s">
        <v>39</v>
      </c>
      <c r="H4092" s="28" t="s">
        <v>16221</v>
      </c>
      <c r="I4092" s="28" t="s">
        <v>21584</v>
      </c>
      <c r="J4092" s="28" t="s">
        <v>39</v>
      </c>
      <c r="K4092" s="28" t="s">
        <v>16223</v>
      </c>
      <c r="L4092" s="28" t="s">
        <v>16224</v>
      </c>
      <c r="M4092" s="28" t="s">
        <v>21585</v>
      </c>
      <c r="N4092" s="28" t="s">
        <v>16226</v>
      </c>
      <c r="O4092" s="28" t="s">
        <v>16227</v>
      </c>
      <c r="P4092" s="28" t="s">
        <v>18494</v>
      </c>
    </row>
    <row r="4093" spans="1:16" x14ac:dyDescent="0.25">
      <c r="A4093" s="28" t="s">
        <v>21586</v>
      </c>
      <c r="B4093" s="28" t="s">
        <v>21587</v>
      </c>
      <c r="C4093" s="28" t="s">
        <v>1684</v>
      </c>
      <c r="D4093" s="28" t="s">
        <v>4270</v>
      </c>
      <c r="E4093" s="28" t="s">
        <v>18491</v>
      </c>
      <c r="F4093" s="28" t="s">
        <v>21</v>
      </c>
      <c r="G4093" s="28" t="s">
        <v>39</v>
      </c>
      <c r="H4093" s="28" t="s">
        <v>16221</v>
      </c>
      <c r="I4093" s="28" t="s">
        <v>21588</v>
      </c>
      <c r="J4093" s="28" t="s">
        <v>39</v>
      </c>
      <c r="K4093" s="28" t="s">
        <v>16223</v>
      </c>
      <c r="L4093" s="28" t="s">
        <v>16224</v>
      </c>
      <c r="M4093" s="28" t="s">
        <v>21589</v>
      </c>
      <c r="N4093" s="28" t="s">
        <v>16226</v>
      </c>
      <c r="O4093" s="28" t="s">
        <v>16227</v>
      </c>
      <c r="P4093" s="28" t="s">
        <v>18494</v>
      </c>
    </row>
    <row r="4094" spans="1:16" x14ac:dyDescent="0.25">
      <c r="A4094" s="28" t="s">
        <v>21590</v>
      </c>
      <c r="B4094" s="28" t="s">
        <v>21591</v>
      </c>
      <c r="C4094" s="28" t="s">
        <v>1684</v>
      </c>
      <c r="D4094" s="28" t="s">
        <v>4270</v>
      </c>
      <c r="E4094" s="28" t="s">
        <v>18491</v>
      </c>
      <c r="F4094" s="28" t="s">
        <v>21</v>
      </c>
      <c r="G4094" s="28" t="s">
        <v>39</v>
      </c>
      <c r="H4094" s="28" t="s">
        <v>16221</v>
      </c>
      <c r="I4094" s="28" t="s">
        <v>21592</v>
      </c>
      <c r="J4094" s="28" t="s">
        <v>39</v>
      </c>
      <c r="K4094" s="28" t="s">
        <v>16223</v>
      </c>
      <c r="L4094" s="28" t="s">
        <v>16224</v>
      </c>
      <c r="M4094" s="28" t="s">
        <v>21593</v>
      </c>
      <c r="N4094" s="28" t="s">
        <v>16226</v>
      </c>
      <c r="O4094" s="28" t="s">
        <v>16227</v>
      </c>
      <c r="P4094" s="28" t="s">
        <v>18494</v>
      </c>
    </row>
    <row r="4095" spans="1:16" x14ac:dyDescent="0.25">
      <c r="A4095" s="28" t="s">
        <v>21594</v>
      </c>
      <c r="B4095" s="28" t="s">
        <v>21595</v>
      </c>
      <c r="C4095" s="28" t="s">
        <v>1684</v>
      </c>
      <c r="D4095" s="28" t="s">
        <v>4270</v>
      </c>
      <c r="E4095" s="28" t="s">
        <v>18491</v>
      </c>
      <c r="F4095" s="28" t="s">
        <v>21</v>
      </c>
      <c r="G4095" s="28" t="s">
        <v>39</v>
      </c>
      <c r="H4095" s="28" t="s">
        <v>16221</v>
      </c>
      <c r="I4095" s="28" t="s">
        <v>21596</v>
      </c>
      <c r="J4095" s="28" t="s">
        <v>39</v>
      </c>
      <c r="K4095" s="28" t="s">
        <v>16223</v>
      </c>
      <c r="L4095" s="28" t="s">
        <v>16224</v>
      </c>
      <c r="M4095" s="28" t="s">
        <v>21597</v>
      </c>
      <c r="N4095" s="28" t="s">
        <v>16226</v>
      </c>
      <c r="O4095" s="28" t="s">
        <v>16227</v>
      </c>
      <c r="P4095" s="28" t="s">
        <v>18494</v>
      </c>
    </row>
    <row r="4096" spans="1:16" x14ac:dyDescent="0.25">
      <c r="A4096" s="28" t="s">
        <v>21598</v>
      </c>
      <c r="B4096" s="28" t="s">
        <v>21599</v>
      </c>
      <c r="C4096" s="28" t="s">
        <v>1684</v>
      </c>
      <c r="D4096" s="28" t="s">
        <v>4270</v>
      </c>
      <c r="E4096" s="28" t="s">
        <v>18491</v>
      </c>
      <c r="F4096" s="28" t="s">
        <v>21</v>
      </c>
      <c r="G4096" s="28" t="s">
        <v>39</v>
      </c>
      <c r="H4096" s="28" t="s">
        <v>16221</v>
      </c>
      <c r="I4096" s="28" t="s">
        <v>21600</v>
      </c>
      <c r="J4096" s="28" t="s">
        <v>39</v>
      </c>
      <c r="K4096" s="28" t="s">
        <v>16223</v>
      </c>
      <c r="L4096" s="28" t="s">
        <v>16224</v>
      </c>
      <c r="M4096" s="28" t="s">
        <v>21601</v>
      </c>
      <c r="N4096" s="28" t="s">
        <v>16226</v>
      </c>
      <c r="O4096" s="28" t="s">
        <v>16227</v>
      </c>
      <c r="P4096" s="28" t="s">
        <v>18494</v>
      </c>
    </row>
    <row r="4097" spans="1:16" x14ac:dyDescent="0.25">
      <c r="A4097" s="28" t="s">
        <v>21602</v>
      </c>
      <c r="B4097" s="28" t="s">
        <v>21603</v>
      </c>
      <c r="C4097" s="28" t="s">
        <v>1684</v>
      </c>
      <c r="D4097" s="28" t="s">
        <v>5945</v>
      </c>
      <c r="E4097" s="28" t="s">
        <v>21604</v>
      </c>
      <c r="F4097" s="28" t="s">
        <v>21</v>
      </c>
      <c r="G4097" s="28" t="s">
        <v>39</v>
      </c>
      <c r="H4097" s="28" t="s">
        <v>16221</v>
      </c>
      <c r="I4097" s="28" t="s">
        <v>21605</v>
      </c>
      <c r="J4097" s="28" t="s">
        <v>39</v>
      </c>
      <c r="K4097" s="28" t="s">
        <v>16223</v>
      </c>
      <c r="L4097" s="28" t="s">
        <v>16224</v>
      </c>
      <c r="M4097" s="28" t="s">
        <v>21606</v>
      </c>
      <c r="N4097" s="28" t="s">
        <v>16226</v>
      </c>
      <c r="O4097" s="28" t="s">
        <v>16227</v>
      </c>
      <c r="P4097" s="28" t="s">
        <v>21607</v>
      </c>
    </row>
    <row r="4098" spans="1:16" x14ac:dyDescent="0.25">
      <c r="A4098" s="28" t="s">
        <v>21608</v>
      </c>
      <c r="B4098" s="28" t="s">
        <v>21609</v>
      </c>
      <c r="C4098" s="28" t="s">
        <v>1684</v>
      </c>
      <c r="D4098" s="28" t="s">
        <v>5945</v>
      </c>
      <c r="E4098" s="28" t="s">
        <v>18497</v>
      </c>
      <c r="F4098" s="28" t="s">
        <v>21</v>
      </c>
      <c r="G4098" s="28" t="s">
        <v>39</v>
      </c>
      <c r="H4098" s="28" t="s">
        <v>16221</v>
      </c>
      <c r="I4098" s="28" t="s">
        <v>21610</v>
      </c>
      <c r="J4098" s="28" t="s">
        <v>39</v>
      </c>
      <c r="K4098" s="28" t="s">
        <v>16223</v>
      </c>
      <c r="L4098" s="28" t="s">
        <v>16224</v>
      </c>
      <c r="M4098" s="28" t="s">
        <v>21611</v>
      </c>
      <c r="N4098" s="28" t="s">
        <v>16226</v>
      </c>
      <c r="O4098" s="28" t="s">
        <v>16227</v>
      </c>
      <c r="P4098" s="28" t="s">
        <v>18500</v>
      </c>
    </row>
    <row r="4099" spans="1:16" x14ac:dyDescent="0.25">
      <c r="A4099" s="28" t="s">
        <v>21612</v>
      </c>
      <c r="B4099" s="28" t="s">
        <v>21613</v>
      </c>
      <c r="C4099" s="28" t="s">
        <v>1684</v>
      </c>
      <c r="D4099" s="28" t="s">
        <v>5945</v>
      </c>
      <c r="E4099" s="28" t="s">
        <v>18497</v>
      </c>
      <c r="F4099" s="28" t="s">
        <v>21</v>
      </c>
      <c r="G4099" s="28" t="s">
        <v>39</v>
      </c>
      <c r="H4099" s="28" t="s">
        <v>16221</v>
      </c>
      <c r="I4099" s="28" t="s">
        <v>21614</v>
      </c>
      <c r="J4099" s="28" t="s">
        <v>39</v>
      </c>
      <c r="K4099" s="28" t="s">
        <v>16223</v>
      </c>
      <c r="L4099" s="28" t="s">
        <v>16224</v>
      </c>
      <c r="M4099" s="28" t="s">
        <v>21615</v>
      </c>
      <c r="N4099" s="28" t="s">
        <v>16226</v>
      </c>
      <c r="O4099" s="28" t="s">
        <v>16227</v>
      </c>
      <c r="P4099" s="28" t="s">
        <v>18500</v>
      </c>
    </row>
    <row r="4100" spans="1:16" x14ac:dyDescent="0.25">
      <c r="A4100" s="28" t="s">
        <v>21616</v>
      </c>
      <c r="B4100" s="28" t="s">
        <v>21617</v>
      </c>
      <c r="C4100" s="28" t="s">
        <v>1684</v>
      </c>
      <c r="D4100" s="28" t="s">
        <v>5945</v>
      </c>
      <c r="E4100" s="28" t="s">
        <v>18497</v>
      </c>
      <c r="F4100" s="28" t="s">
        <v>21</v>
      </c>
      <c r="G4100" s="28" t="s">
        <v>39</v>
      </c>
      <c r="H4100" s="28" t="s">
        <v>16221</v>
      </c>
      <c r="I4100" s="28" t="s">
        <v>21618</v>
      </c>
      <c r="J4100" s="28" t="s">
        <v>39</v>
      </c>
      <c r="K4100" s="28" t="s">
        <v>16223</v>
      </c>
      <c r="L4100" s="28" t="s">
        <v>16224</v>
      </c>
      <c r="M4100" s="28" t="s">
        <v>21619</v>
      </c>
      <c r="N4100" s="28" t="s">
        <v>16226</v>
      </c>
      <c r="O4100" s="28" t="s">
        <v>16227</v>
      </c>
      <c r="P4100" s="28" t="s">
        <v>18500</v>
      </c>
    </row>
    <row r="4101" spans="1:16" x14ac:dyDescent="0.25">
      <c r="A4101" s="28" t="s">
        <v>21620</v>
      </c>
      <c r="B4101" s="28" t="s">
        <v>21621</v>
      </c>
      <c r="C4101" s="28" t="s">
        <v>1684</v>
      </c>
      <c r="D4101" s="28" t="s">
        <v>5945</v>
      </c>
      <c r="E4101" s="28" t="s">
        <v>18497</v>
      </c>
      <c r="F4101" s="28" t="s">
        <v>21</v>
      </c>
      <c r="G4101" s="28" t="s">
        <v>39</v>
      </c>
      <c r="H4101" s="28" t="s">
        <v>16221</v>
      </c>
      <c r="I4101" s="28" t="s">
        <v>21622</v>
      </c>
      <c r="J4101" s="28" t="s">
        <v>39</v>
      </c>
      <c r="K4101" s="28" t="s">
        <v>16223</v>
      </c>
      <c r="L4101" s="28" t="s">
        <v>16224</v>
      </c>
      <c r="M4101" s="28" t="s">
        <v>21623</v>
      </c>
      <c r="N4101" s="28" t="s">
        <v>16226</v>
      </c>
      <c r="O4101" s="28" t="s">
        <v>16227</v>
      </c>
      <c r="P4101" s="28" t="s">
        <v>18500</v>
      </c>
    </row>
    <row r="4102" spans="1:16" x14ac:dyDescent="0.25">
      <c r="A4102" s="28" t="s">
        <v>21624</v>
      </c>
      <c r="B4102" s="28" t="s">
        <v>21625</v>
      </c>
      <c r="C4102" s="28" t="s">
        <v>1684</v>
      </c>
      <c r="D4102" s="28" t="s">
        <v>5945</v>
      </c>
      <c r="E4102" s="28" t="s">
        <v>18497</v>
      </c>
      <c r="F4102" s="28" t="s">
        <v>21</v>
      </c>
      <c r="G4102" s="28" t="s">
        <v>39</v>
      </c>
      <c r="H4102" s="28" t="s">
        <v>16221</v>
      </c>
      <c r="I4102" s="28" t="s">
        <v>21626</v>
      </c>
      <c r="J4102" s="28" t="s">
        <v>39</v>
      </c>
      <c r="K4102" s="28" t="s">
        <v>16223</v>
      </c>
      <c r="L4102" s="28" t="s">
        <v>16224</v>
      </c>
      <c r="M4102" s="28" t="s">
        <v>21627</v>
      </c>
      <c r="N4102" s="28" t="s">
        <v>16226</v>
      </c>
      <c r="O4102" s="28" t="s">
        <v>16227</v>
      </c>
      <c r="P4102" s="28" t="s">
        <v>18500</v>
      </c>
    </row>
    <row r="4103" spans="1:16" x14ac:dyDescent="0.25">
      <c r="A4103" s="28" t="s">
        <v>21628</v>
      </c>
      <c r="B4103" s="28" t="s">
        <v>21629</v>
      </c>
      <c r="C4103" s="28" t="s">
        <v>1684</v>
      </c>
      <c r="D4103" s="28" t="s">
        <v>5945</v>
      </c>
      <c r="E4103" s="28" t="s">
        <v>18497</v>
      </c>
      <c r="F4103" s="28" t="s">
        <v>21</v>
      </c>
      <c r="G4103" s="28" t="s">
        <v>39</v>
      </c>
      <c r="H4103" s="28" t="s">
        <v>16221</v>
      </c>
      <c r="I4103" s="28" t="s">
        <v>21630</v>
      </c>
      <c r="J4103" s="28" t="s">
        <v>39</v>
      </c>
      <c r="K4103" s="28" t="s">
        <v>16223</v>
      </c>
      <c r="L4103" s="28" t="s">
        <v>16224</v>
      </c>
      <c r="M4103" s="28" t="s">
        <v>21631</v>
      </c>
      <c r="N4103" s="28" t="s">
        <v>16226</v>
      </c>
      <c r="O4103" s="28" t="s">
        <v>16227</v>
      </c>
      <c r="P4103" s="28" t="s">
        <v>18500</v>
      </c>
    </row>
    <row r="4104" spans="1:16" x14ac:dyDescent="0.25">
      <c r="A4104" s="28" t="s">
        <v>21632</v>
      </c>
      <c r="B4104" s="28" t="s">
        <v>21633</v>
      </c>
      <c r="C4104" s="28" t="s">
        <v>1684</v>
      </c>
      <c r="D4104" s="28" t="s">
        <v>5945</v>
      </c>
      <c r="E4104" s="28" t="s">
        <v>18497</v>
      </c>
      <c r="F4104" s="28" t="s">
        <v>21</v>
      </c>
      <c r="G4104" s="28" t="s">
        <v>39</v>
      </c>
      <c r="H4104" s="28" t="s">
        <v>16221</v>
      </c>
      <c r="I4104" s="28" t="s">
        <v>21634</v>
      </c>
      <c r="J4104" s="28" t="s">
        <v>39</v>
      </c>
      <c r="K4104" s="28" t="s">
        <v>16223</v>
      </c>
      <c r="L4104" s="28" t="s">
        <v>16224</v>
      </c>
      <c r="M4104" s="28" t="s">
        <v>21635</v>
      </c>
      <c r="N4104" s="28" t="s">
        <v>16226</v>
      </c>
      <c r="O4104" s="28" t="s">
        <v>16227</v>
      </c>
      <c r="P4104" s="28" t="s">
        <v>18500</v>
      </c>
    </row>
    <row r="4105" spans="1:16" x14ac:dyDescent="0.25">
      <c r="A4105" s="28" t="s">
        <v>21636</v>
      </c>
      <c r="B4105" s="28" t="s">
        <v>21637</v>
      </c>
      <c r="C4105" s="28" t="s">
        <v>1684</v>
      </c>
      <c r="D4105" s="28" t="s">
        <v>5945</v>
      </c>
      <c r="E4105" s="28" t="s">
        <v>18497</v>
      </c>
      <c r="F4105" s="28" t="s">
        <v>21</v>
      </c>
      <c r="G4105" s="28" t="s">
        <v>39</v>
      </c>
      <c r="H4105" s="28" t="s">
        <v>16221</v>
      </c>
      <c r="I4105" s="28" t="s">
        <v>21638</v>
      </c>
      <c r="J4105" s="28" t="s">
        <v>39</v>
      </c>
      <c r="K4105" s="28" t="s">
        <v>16223</v>
      </c>
      <c r="L4105" s="28" t="s">
        <v>16224</v>
      </c>
      <c r="M4105" s="28" t="s">
        <v>21639</v>
      </c>
      <c r="N4105" s="28" t="s">
        <v>16226</v>
      </c>
      <c r="O4105" s="28" t="s">
        <v>16227</v>
      </c>
      <c r="P4105" s="28" t="s">
        <v>18500</v>
      </c>
    </row>
    <row r="4106" spans="1:16" x14ac:dyDescent="0.25">
      <c r="A4106" s="28" t="s">
        <v>21640</v>
      </c>
      <c r="B4106" s="28" t="s">
        <v>21641</v>
      </c>
      <c r="C4106" s="28" t="s">
        <v>1684</v>
      </c>
      <c r="D4106" s="28" t="s">
        <v>5945</v>
      </c>
      <c r="E4106" s="28" t="s">
        <v>18497</v>
      </c>
      <c r="F4106" s="28" t="s">
        <v>21</v>
      </c>
      <c r="G4106" s="28" t="s">
        <v>39</v>
      </c>
      <c r="H4106" s="28" t="s">
        <v>16221</v>
      </c>
      <c r="I4106" s="28" t="s">
        <v>21642</v>
      </c>
      <c r="J4106" s="28" t="s">
        <v>39</v>
      </c>
      <c r="K4106" s="28" t="s">
        <v>16223</v>
      </c>
      <c r="L4106" s="28" t="s">
        <v>16224</v>
      </c>
      <c r="M4106" s="28" t="s">
        <v>21643</v>
      </c>
      <c r="N4106" s="28" t="s">
        <v>16226</v>
      </c>
      <c r="O4106" s="28" t="s">
        <v>16227</v>
      </c>
      <c r="P4106" s="28" t="s">
        <v>18500</v>
      </c>
    </row>
    <row r="4107" spans="1:16" x14ac:dyDescent="0.25">
      <c r="A4107" s="28" t="s">
        <v>21644</v>
      </c>
      <c r="B4107" s="28" t="s">
        <v>21645</v>
      </c>
      <c r="C4107" s="28" t="s">
        <v>1684</v>
      </c>
      <c r="D4107" s="28" t="s">
        <v>5945</v>
      </c>
      <c r="E4107" s="28" t="s">
        <v>18497</v>
      </c>
      <c r="F4107" s="28" t="s">
        <v>21</v>
      </c>
      <c r="G4107" s="28" t="s">
        <v>39</v>
      </c>
      <c r="H4107" s="28" t="s">
        <v>16221</v>
      </c>
      <c r="I4107" s="28" t="s">
        <v>21646</v>
      </c>
      <c r="J4107" s="28" t="s">
        <v>39</v>
      </c>
      <c r="K4107" s="28" t="s">
        <v>16223</v>
      </c>
      <c r="L4107" s="28" t="s">
        <v>16224</v>
      </c>
      <c r="M4107" s="28" t="s">
        <v>21647</v>
      </c>
      <c r="N4107" s="28" t="s">
        <v>16226</v>
      </c>
      <c r="O4107" s="28" t="s">
        <v>16227</v>
      </c>
      <c r="P4107" s="28" t="s">
        <v>18500</v>
      </c>
    </row>
    <row r="4108" spans="1:16" x14ac:dyDescent="0.25">
      <c r="A4108" s="28" t="s">
        <v>21648</v>
      </c>
      <c r="B4108" s="28" t="s">
        <v>21649</v>
      </c>
      <c r="C4108" s="28" t="s">
        <v>1684</v>
      </c>
      <c r="D4108" s="28" t="s">
        <v>5945</v>
      </c>
      <c r="E4108" s="28" t="s">
        <v>18497</v>
      </c>
      <c r="F4108" s="28" t="s">
        <v>21</v>
      </c>
      <c r="G4108" s="28" t="s">
        <v>39</v>
      </c>
      <c r="H4108" s="28" t="s">
        <v>16221</v>
      </c>
      <c r="I4108" s="28" t="s">
        <v>21650</v>
      </c>
      <c r="J4108" s="28" t="s">
        <v>39</v>
      </c>
      <c r="K4108" s="28" t="s">
        <v>16223</v>
      </c>
      <c r="L4108" s="28" t="s">
        <v>16224</v>
      </c>
      <c r="M4108" s="28" t="s">
        <v>21651</v>
      </c>
      <c r="N4108" s="28" t="s">
        <v>16226</v>
      </c>
      <c r="O4108" s="28" t="s">
        <v>16227</v>
      </c>
      <c r="P4108" s="28" t="s">
        <v>18500</v>
      </c>
    </row>
    <row r="4109" spans="1:16" x14ac:dyDescent="0.25">
      <c r="A4109" s="28" t="s">
        <v>21652</v>
      </c>
      <c r="B4109" s="28" t="s">
        <v>21653</v>
      </c>
      <c r="C4109" s="28" t="s">
        <v>1684</v>
      </c>
      <c r="D4109" s="28" t="s">
        <v>5945</v>
      </c>
      <c r="E4109" s="28" t="s">
        <v>18497</v>
      </c>
      <c r="F4109" s="28" t="s">
        <v>21</v>
      </c>
      <c r="G4109" s="28" t="s">
        <v>39</v>
      </c>
      <c r="H4109" s="28" t="s">
        <v>16221</v>
      </c>
      <c r="I4109" s="28" t="s">
        <v>21654</v>
      </c>
      <c r="J4109" s="28" t="s">
        <v>39</v>
      </c>
      <c r="K4109" s="28" t="s">
        <v>16223</v>
      </c>
      <c r="L4109" s="28" t="s">
        <v>16224</v>
      </c>
      <c r="M4109" s="28" t="s">
        <v>21655</v>
      </c>
      <c r="N4109" s="28" t="s">
        <v>16226</v>
      </c>
      <c r="O4109" s="28" t="s">
        <v>16227</v>
      </c>
      <c r="P4109" s="28" t="s">
        <v>18500</v>
      </c>
    </row>
    <row r="4110" spans="1:16" x14ac:dyDescent="0.25">
      <c r="A4110" s="28" t="s">
        <v>21656</v>
      </c>
      <c r="B4110" s="28" t="s">
        <v>21657</v>
      </c>
      <c r="C4110" s="28" t="s">
        <v>1684</v>
      </c>
      <c r="D4110" s="28" t="s">
        <v>5956</v>
      </c>
      <c r="E4110" s="28" t="s">
        <v>21658</v>
      </c>
      <c r="F4110" s="28" t="s">
        <v>21</v>
      </c>
      <c r="G4110" s="28" t="s">
        <v>39</v>
      </c>
      <c r="H4110" s="28" t="s">
        <v>16221</v>
      </c>
      <c r="I4110" s="28" t="s">
        <v>21659</v>
      </c>
      <c r="J4110" s="28" t="s">
        <v>39</v>
      </c>
      <c r="K4110" s="28" t="s">
        <v>16223</v>
      </c>
      <c r="L4110" s="28" t="s">
        <v>16224</v>
      </c>
      <c r="M4110" s="28" t="s">
        <v>21660</v>
      </c>
      <c r="N4110" s="28" t="s">
        <v>16226</v>
      </c>
      <c r="O4110" s="28" t="s">
        <v>16227</v>
      </c>
      <c r="P4110" s="28" t="s">
        <v>21661</v>
      </c>
    </row>
    <row r="4111" spans="1:16" x14ac:dyDescent="0.25">
      <c r="A4111" s="28" t="s">
        <v>21662</v>
      </c>
      <c r="B4111" s="28" t="s">
        <v>21663</v>
      </c>
      <c r="C4111" s="28" t="s">
        <v>1684</v>
      </c>
      <c r="D4111" s="28" t="s">
        <v>5956</v>
      </c>
      <c r="E4111" s="28" t="s">
        <v>21664</v>
      </c>
      <c r="F4111" s="28" t="s">
        <v>21</v>
      </c>
      <c r="G4111" s="28" t="s">
        <v>39</v>
      </c>
      <c r="H4111" s="28" t="s">
        <v>16221</v>
      </c>
      <c r="I4111" s="28" t="s">
        <v>21665</v>
      </c>
      <c r="J4111" s="28" t="s">
        <v>39</v>
      </c>
      <c r="K4111" s="28" t="s">
        <v>16223</v>
      </c>
      <c r="L4111" s="28" t="s">
        <v>16224</v>
      </c>
      <c r="M4111" s="28" t="s">
        <v>21666</v>
      </c>
      <c r="N4111" s="28" t="s">
        <v>16226</v>
      </c>
      <c r="O4111" s="28" t="s">
        <v>16227</v>
      </c>
      <c r="P4111" s="28" t="s">
        <v>21667</v>
      </c>
    </row>
    <row r="4112" spans="1:16" x14ac:dyDescent="0.25">
      <c r="A4112" s="28" t="s">
        <v>21668</v>
      </c>
      <c r="B4112" s="28" t="s">
        <v>21669</v>
      </c>
      <c r="C4112" s="28" t="s">
        <v>1684</v>
      </c>
      <c r="D4112" s="28" t="s">
        <v>5956</v>
      </c>
      <c r="E4112" s="28" t="s">
        <v>18503</v>
      </c>
      <c r="F4112" s="28" t="s">
        <v>21</v>
      </c>
      <c r="G4112" s="28" t="s">
        <v>39</v>
      </c>
      <c r="H4112" s="28" t="s">
        <v>16221</v>
      </c>
      <c r="I4112" s="28" t="s">
        <v>21670</v>
      </c>
      <c r="J4112" s="28" t="s">
        <v>39</v>
      </c>
      <c r="K4112" s="28" t="s">
        <v>16223</v>
      </c>
      <c r="L4112" s="28" t="s">
        <v>16224</v>
      </c>
      <c r="M4112" s="28" t="s">
        <v>21671</v>
      </c>
      <c r="N4112" s="28" t="s">
        <v>16226</v>
      </c>
      <c r="O4112" s="28" t="s">
        <v>16227</v>
      </c>
      <c r="P4112" s="28" t="s">
        <v>18506</v>
      </c>
    </row>
    <row r="4113" spans="1:16" x14ac:dyDescent="0.25">
      <c r="A4113" s="28" t="s">
        <v>21672</v>
      </c>
      <c r="B4113" s="28" t="s">
        <v>21673</v>
      </c>
      <c r="C4113" s="28" t="s">
        <v>1684</v>
      </c>
      <c r="D4113" s="28" t="s">
        <v>5956</v>
      </c>
      <c r="E4113" s="28" t="s">
        <v>18503</v>
      </c>
      <c r="F4113" s="28" t="s">
        <v>21</v>
      </c>
      <c r="G4113" s="28" t="s">
        <v>39</v>
      </c>
      <c r="H4113" s="28" t="s">
        <v>16221</v>
      </c>
      <c r="I4113" s="28" t="s">
        <v>21674</v>
      </c>
      <c r="J4113" s="28" t="s">
        <v>39</v>
      </c>
      <c r="K4113" s="28" t="s">
        <v>16223</v>
      </c>
      <c r="L4113" s="28" t="s">
        <v>16224</v>
      </c>
      <c r="M4113" s="28" t="s">
        <v>21675</v>
      </c>
      <c r="N4113" s="28" t="s">
        <v>16226</v>
      </c>
      <c r="O4113" s="28" t="s">
        <v>16227</v>
      </c>
      <c r="P4113" s="28" t="s">
        <v>18506</v>
      </c>
    </row>
    <row r="4114" spans="1:16" x14ac:dyDescent="0.25">
      <c r="A4114" s="28" t="s">
        <v>21676</v>
      </c>
      <c r="B4114" s="28" t="s">
        <v>21677</v>
      </c>
      <c r="C4114" s="28" t="s">
        <v>1684</v>
      </c>
      <c r="D4114" s="28" t="s">
        <v>5956</v>
      </c>
      <c r="E4114" s="28" t="s">
        <v>18503</v>
      </c>
      <c r="F4114" s="28" t="s">
        <v>21</v>
      </c>
      <c r="G4114" s="28" t="s">
        <v>39</v>
      </c>
      <c r="H4114" s="28" t="s">
        <v>16221</v>
      </c>
      <c r="I4114" s="28" t="s">
        <v>21678</v>
      </c>
      <c r="J4114" s="28" t="s">
        <v>39</v>
      </c>
      <c r="K4114" s="28" t="s">
        <v>16223</v>
      </c>
      <c r="L4114" s="28" t="s">
        <v>16224</v>
      </c>
      <c r="M4114" s="28" t="s">
        <v>21679</v>
      </c>
      <c r="N4114" s="28" t="s">
        <v>16226</v>
      </c>
      <c r="O4114" s="28" t="s">
        <v>16227</v>
      </c>
      <c r="P4114" s="28" t="s">
        <v>18506</v>
      </c>
    </row>
    <row r="4115" spans="1:16" x14ac:dyDescent="0.25">
      <c r="A4115" s="28" t="s">
        <v>21680</v>
      </c>
      <c r="B4115" s="28" t="s">
        <v>21681</v>
      </c>
      <c r="C4115" s="28" t="s">
        <v>1684</v>
      </c>
      <c r="D4115" s="28" t="s">
        <v>5956</v>
      </c>
      <c r="E4115" s="28" t="s">
        <v>18503</v>
      </c>
      <c r="F4115" s="28" t="s">
        <v>21</v>
      </c>
      <c r="G4115" s="28" t="s">
        <v>39</v>
      </c>
      <c r="H4115" s="28" t="s">
        <v>16221</v>
      </c>
      <c r="I4115" s="28" t="s">
        <v>21682</v>
      </c>
      <c r="J4115" s="28" t="s">
        <v>39</v>
      </c>
      <c r="K4115" s="28" t="s">
        <v>16223</v>
      </c>
      <c r="L4115" s="28" t="s">
        <v>16224</v>
      </c>
      <c r="M4115" s="28" t="s">
        <v>21683</v>
      </c>
      <c r="N4115" s="28" t="s">
        <v>16226</v>
      </c>
      <c r="O4115" s="28" t="s">
        <v>16227</v>
      </c>
      <c r="P4115" s="28" t="s">
        <v>18506</v>
      </c>
    </row>
    <row r="4116" spans="1:16" x14ac:dyDescent="0.25">
      <c r="A4116" s="28" t="s">
        <v>21684</v>
      </c>
      <c r="B4116" s="28" t="s">
        <v>21685</v>
      </c>
      <c r="C4116" s="28" t="s">
        <v>1684</v>
      </c>
      <c r="D4116" s="28" t="s">
        <v>5956</v>
      </c>
      <c r="E4116" s="28" t="s">
        <v>18509</v>
      </c>
      <c r="F4116" s="28" t="s">
        <v>21</v>
      </c>
      <c r="G4116" s="28" t="s">
        <v>39</v>
      </c>
      <c r="H4116" s="28" t="s">
        <v>16221</v>
      </c>
      <c r="I4116" s="28" t="s">
        <v>21686</v>
      </c>
      <c r="J4116" s="28" t="s">
        <v>39</v>
      </c>
      <c r="K4116" s="28" t="s">
        <v>16223</v>
      </c>
      <c r="L4116" s="28" t="s">
        <v>16224</v>
      </c>
      <c r="M4116" s="28" t="s">
        <v>21687</v>
      </c>
      <c r="N4116" s="28" t="s">
        <v>16226</v>
      </c>
      <c r="O4116" s="28" t="s">
        <v>16227</v>
      </c>
      <c r="P4116" s="28" t="s">
        <v>18512</v>
      </c>
    </row>
    <row r="4117" spans="1:16" x14ac:dyDescent="0.25">
      <c r="A4117" s="28" t="s">
        <v>21688</v>
      </c>
      <c r="B4117" s="28" t="s">
        <v>21689</v>
      </c>
      <c r="C4117" s="28" t="s">
        <v>1684</v>
      </c>
      <c r="D4117" s="28" t="s">
        <v>5956</v>
      </c>
      <c r="E4117" s="28" t="s">
        <v>18509</v>
      </c>
      <c r="F4117" s="28" t="s">
        <v>21</v>
      </c>
      <c r="G4117" s="28" t="s">
        <v>39</v>
      </c>
      <c r="H4117" s="28" t="s">
        <v>16221</v>
      </c>
      <c r="I4117" s="28" t="s">
        <v>21690</v>
      </c>
      <c r="J4117" s="28" t="s">
        <v>39</v>
      </c>
      <c r="K4117" s="28" t="s">
        <v>16223</v>
      </c>
      <c r="L4117" s="28" t="s">
        <v>16224</v>
      </c>
      <c r="M4117" s="28" t="s">
        <v>21691</v>
      </c>
      <c r="N4117" s="28" t="s">
        <v>16226</v>
      </c>
      <c r="O4117" s="28" t="s">
        <v>16227</v>
      </c>
      <c r="P4117" s="28" t="s">
        <v>18512</v>
      </c>
    </row>
    <row r="4118" spans="1:16" x14ac:dyDescent="0.25">
      <c r="A4118" s="28" t="s">
        <v>21692</v>
      </c>
      <c r="B4118" s="28" t="s">
        <v>21693</v>
      </c>
      <c r="C4118" s="28" t="s">
        <v>1684</v>
      </c>
      <c r="D4118" s="28" t="s">
        <v>4341</v>
      </c>
      <c r="E4118" s="28" t="s">
        <v>4342</v>
      </c>
      <c r="F4118" s="28" t="s">
        <v>21</v>
      </c>
      <c r="G4118" s="28" t="s">
        <v>39</v>
      </c>
      <c r="H4118" s="28" t="s">
        <v>16221</v>
      </c>
      <c r="I4118" s="28" t="s">
        <v>21694</v>
      </c>
      <c r="J4118" s="28" t="s">
        <v>39</v>
      </c>
      <c r="K4118" s="28" t="s">
        <v>16223</v>
      </c>
      <c r="L4118" s="28" t="s">
        <v>16224</v>
      </c>
      <c r="M4118" s="28" t="s">
        <v>21695</v>
      </c>
      <c r="N4118" s="28" t="s">
        <v>16226</v>
      </c>
      <c r="O4118" s="28" t="s">
        <v>16227</v>
      </c>
      <c r="P4118" s="28" t="s">
        <v>21696</v>
      </c>
    </row>
    <row r="4119" spans="1:16" x14ac:dyDescent="0.25">
      <c r="A4119" s="28" t="s">
        <v>21697</v>
      </c>
      <c r="B4119" s="28" t="s">
        <v>21698</v>
      </c>
      <c r="C4119" s="28" t="s">
        <v>1684</v>
      </c>
      <c r="D4119" s="28" t="s">
        <v>4341</v>
      </c>
      <c r="E4119" s="28" t="s">
        <v>4358</v>
      </c>
      <c r="F4119" s="28" t="s">
        <v>21</v>
      </c>
      <c r="G4119" s="28" t="s">
        <v>39</v>
      </c>
      <c r="H4119" s="28" t="s">
        <v>16221</v>
      </c>
      <c r="I4119" s="28" t="s">
        <v>21699</v>
      </c>
      <c r="J4119" s="28" t="s">
        <v>39</v>
      </c>
      <c r="K4119" s="28" t="s">
        <v>16223</v>
      </c>
      <c r="L4119" s="28" t="s">
        <v>16224</v>
      </c>
      <c r="M4119" s="28" t="s">
        <v>21700</v>
      </c>
      <c r="N4119" s="28" t="s">
        <v>16226</v>
      </c>
      <c r="O4119" s="28" t="s">
        <v>16227</v>
      </c>
      <c r="P4119" s="28" t="s">
        <v>21701</v>
      </c>
    </row>
    <row r="4120" spans="1:16" x14ac:dyDescent="0.25">
      <c r="A4120" s="28" t="s">
        <v>21702</v>
      </c>
      <c r="B4120" s="28" t="s">
        <v>21703</v>
      </c>
      <c r="C4120" s="28" t="s">
        <v>1684</v>
      </c>
      <c r="D4120" s="28" t="s">
        <v>4341</v>
      </c>
      <c r="E4120" s="28" t="s">
        <v>4371</v>
      </c>
      <c r="F4120" s="28" t="s">
        <v>21</v>
      </c>
      <c r="G4120" s="28" t="s">
        <v>39</v>
      </c>
      <c r="H4120" s="28" t="s">
        <v>16221</v>
      </c>
      <c r="I4120" s="28" t="s">
        <v>21704</v>
      </c>
      <c r="J4120" s="28" t="s">
        <v>39</v>
      </c>
      <c r="K4120" s="28" t="s">
        <v>16223</v>
      </c>
      <c r="L4120" s="28" t="s">
        <v>16224</v>
      </c>
      <c r="M4120" s="28" t="s">
        <v>21705</v>
      </c>
      <c r="N4120" s="28" t="s">
        <v>16226</v>
      </c>
      <c r="O4120" s="28" t="s">
        <v>16227</v>
      </c>
      <c r="P4120" s="28" t="s">
        <v>21706</v>
      </c>
    </row>
    <row r="4121" spans="1:16" x14ac:dyDescent="0.25">
      <c r="A4121" s="28" t="s">
        <v>21707</v>
      </c>
      <c r="B4121" s="28" t="s">
        <v>21708</v>
      </c>
      <c r="C4121" s="28" t="s">
        <v>1684</v>
      </c>
      <c r="D4121" s="28" t="s">
        <v>4341</v>
      </c>
      <c r="E4121" s="28" t="s">
        <v>4384</v>
      </c>
      <c r="F4121" s="28" t="s">
        <v>21</v>
      </c>
      <c r="G4121" s="28" t="s">
        <v>39</v>
      </c>
      <c r="H4121" s="28" t="s">
        <v>16221</v>
      </c>
      <c r="I4121" s="28" t="s">
        <v>21709</v>
      </c>
      <c r="J4121" s="28" t="s">
        <v>39</v>
      </c>
      <c r="K4121" s="28" t="s">
        <v>16223</v>
      </c>
      <c r="L4121" s="28" t="s">
        <v>16224</v>
      </c>
      <c r="M4121" s="28" t="s">
        <v>21710</v>
      </c>
      <c r="N4121" s="28" t="s">
        <v>16226</v>
      </c>
      <c r="O4121" s="28" t="s">
        <v>16227</v>
      </c>
      <c r="P4121" s="28" t="s">
        <v>21711</v>
      </c>
    </row>
    <row r="4122" spans="1:16" x14ac:dyDescent="0.25">
      <c r="A4122" s="28" t="s">
        <v>21712</v>
      </c>
      <c r="B4122" s="28" t="s">
        <v>21713</v>
      </c>
      <c r="C4122" s="28" t="s">
        <v>1684</v>
      </c>
      <c r="D4122" s="28" t="s">
        <v>4341</v>
      </c>
      <c r="E4122" s="28" t="s">
        <v>4397</v>
      </c>
      <c r="F4122" s="28" t="s">
        <v>21</v>
      </c>
      <c r="G4122" s="28" t="s">
        <v>39</v>
      </c>
      <c r="H4122" s="28" t="s">
        <v>16221</v>
      </c>
      <c r="I4122" s="28" t="s">
        <v>21714</v>
      </c>
      <c r="J4122" s="28" t="s">
        <v>39</v>
      </c>
      <c r="K4122" s="28" t="s">
        <v>16223</v>
      </c>
      <c r="L4122" s="28" t="s">
        <v>16224</v>
      </c>
      <c r="M4122" s="28" t="s">
        <v>21715</v>
      </c>
      <c r="N4122" s="28" t="s">
        <v>16226</v>
      </c>
      <c r="O4122" s="28" t="s">
        <v>16227</v>
      </c>
      <c r="P4122" s="28" t="s">
        <v>21716</v>
      </c>
    </row>
    <row r="4123" spans="1:16" x14ac:dyDescent="0.25">
      <c r="A4123" s="28" t="s">
        <v>21717</v>
      </c>
      <c r="B4123" s="28" t="s">
        <v>21718</v>
      </c>
      <c r="C4123" s="28" t="s">
        <v>4491</v>
      </c>
      <c r="D4123" s="28" t="s">
        <v>7132</v>
      </c>
      <c r="E4123" s="28" t="s">
        <v>17330</v>
      </c>
      <c r="F4123" s="28" t="s">
        <v>21</v>
      </c>
      <c r="G4123" s="28" t="s">
        <v>39</v>
      </c>
      <c r="H4123" s="28" t="s">
        <v>16221</v>
      </c>
      <c r="I4123" s="28" t="s">
        <v>21719</v>
      </c>
      <c r="J4123" s="28" t="s">
        <v>39</v>
      </c>
      <c r="K4123" s="28" t="s">
        <v>16223</v>
      </c>
      <c r="L4123" s="28" t="s">
        <v>16224</v>
      </c>
      <c r="M4123" s="28" t="s">
        <v>17332</v>
      </c>
      <c r="N4123" s="28" t="s">
        <v>16226</v>
      </c>
      <c r="O4123" s="28" t="s">
        <v>16227</v>
      </c>
      <c r="P4123" s="28" t="s">
        <v>21720</v>
      </c>
    </row>
    <row r="4124" spans="1:16" x14ac:dyDescent="0.25">
      <c r="A4124" s="28" t="s">
        <v>21721</v>
      </c>
      <c r="B4124" s="28" t="s">
        <v>21722</v>
      </c>
      <c r="C4124" s="28" t="s">
        <v>4491</v>
      </c>
      <c r="D4124" s="28" t="s">
        <v>7132</v>
      </c>
      <c r="E4124" s="28" t="s">
        <v>17330</v>
      </c>
      <c r="F4124" s="28" t="s">
        <v>21</v>
      </c>
      <c r="G4124" s="28" t="s">
        <v>39</v>
      </c>
      <c r="H4124" s="28" t="s">
        <v>16221</v>
      </c>
      <c r="I4124" s="28" t="s">
        <v>21723</v>
      </c>
      <c r="J4124" s="28" t="s">
        <v>39</v>
      </c>
      <c r="K4124" s="28" t="s">
        <v>16223</v>
      </c>
      <c r="L4124" s="28" t="s">
        <v>16224</v>
      </c>
      <c r="M4124" s="28" t="s">
        <v>17337</v>
      </c>
      <c r="N4124" s="28" t="s">
        <v>16226</v>
      </c>
      <c r="O4124" s="28" t="s">
        <v>16227</v>
      </c>
      <c r="P4124" s="28" t="s">
        <v>21720</v>
      </c>
    </row>
    <row r="4125" spans="1:16" hidden="1" x14ac:dyDescent="0.25">
      <c r="A4125" s="28" t="s">
        <v>21724</v>
      </c>
      <c r="B4125" s="28" t="s">
        <v>21725</v>
      </c>
      <c r="C4125" s="28" t="s">
        <v>4491</v>
      </c>
      <c r="D4125" s="28" t="s">
        <v>7132</v>
      </c>
      <c r="E4125" s="28" t="s">
        <v>17340</v>
      </c>
      <c r="F4125" s="28" t="s">
        <v>21</v>
      </c>
      <c r="G4125" s="28" t="s">
        <v>22</v>
      </c>
      <c r="H4125" s="28" t="s">
        <v>21726</v>
      </c>
      <c r="I4125" s="28" t="s">
        <v>21727</v>
      </c>
      <c r="J4125" s="28" t="s">
        <v>22</v>
      </c>
      <c r="K4125" s="28" t="s">
        <v>21728</v>
      </c>
      <c r="L4125" s="28" t="s">
        <v>21729</v>
      </c>
      <c r="M4125" s="28" t="s">
        <v>21730</v>
      </c>
      <c r="N4125" s="28" t="s">
        <v>21731</v>
      </c>
      <c r="O4125" s="28" t="s">
        <v>21732</v>
      </c>
      <c r="P4125" s="28" t="s">
        <v>21733</v>
      </c>
    </row>
    <row r="4126" spans="1:16" x14ac:dyDescent="0.25">
      <c r="A4126" s="28" t="s">
        <v>21734</v>
      </c>
      <c r="B4126" s="28" t="s">
        <v>21735</v>
      </c>
      <c r="C4126" s="28" t="s">
        <v>4491</v>
      </c>
      <c r="D4126" s="28" t="s">
        <v>7132</v>
      </c>
      <c r="E4126" s="28" t="s">
        <v>17346</v>
      </c>
      <c r="F4126" s="28" t="s">
        <v>21</v>
      </c>
      <c r="G4126" s="28" t="s">
        <v>39</v>
      </c>
      <c r="H4126" s="28" t="s">
        <v>16221</v>
      </c>
      <c r="I4126" s="28" t="s">
        <v>21736</v>
      </c>
      <c r="J4126" s="28" t="s">
        <v>39</v>
      </c>
      <c r="K4126" s="28" t="s">
        <v>16223</v>
      </c>
      <c r="L4126" s="28" t="s">
        <v>16224</v>
      </c>
      <c r="M4126" s="28" t="s">
        <v>17348</v>
      </c>
      <c r="N4126" s="28" t="s">
        <v>16226</v>
      </c>
      <c r="O4126" s="28" t="s">
        <v>16227</v>
      </c>
      <c r="P4126" s="28" t="s">
        <v>21737</v>
      </c>
    </row>
    <row r="4127" spans="1:16" x14ac:dyDescent="0.25">
      <c r="A4127" s="28" t="s">
        <v>21738</v>
      </c>
      <c r="B4127" s="28" t="s">
        <v>21739</v>
      </c>
      <c r="C4127" s="28" t="s">
        <v>4491</v>
      </c>
      <c r="D4127" s="28" t="s">
        <v>7132</v>
      </c>
      <c r="E4127" s="28" t="s">
        <v>17352</v>
      </c>
      <c r="F4127" s="28" t="s">
        <v>21</v>
      </c>
      <c r="G4127" s="28" t="s">
        <v>39</v>
      </c>
      <c r="H4127" s="28" t="s">
        <v>16221</v>
      </c>
      <c r="I4127" s="28" t="s">
        <v>21740</v>
      </c>
      <c r="J4127" s="28" t="s">
        <v>39</v>
      </c>
      <c r="K4127" s="28" t="s">
        <v>16223</v>
      </c>
      <c r="L4127" s="28" t="s">
        <v>16224</v>
      </c>
      <c r="M4127" s="28" t="s">
        <v>17354</v>
      </c>
      <c r="N4127" s="28" t="s">
        <v>16226</v>
      </c>
      <c r="O4127" s="28" t="s">
        <v>16227</v>
      </c>
      <c r="P4127" s="28" t="s">
        <v>21741</v>
      </c>
    </row>
    <row r="4128" spans="1:16" x14ac:dyDescent="0.25">
      <c r="A4128" s="28" t="s">
        <v>21742</v>
      </c>
      <c r="B4128" s="28" t="s">
        <v>21743</v>
      </c>
      <c r="C4128" s="28" t="s">
        <v>4491</v>
      </c>
      <c r="D4128" s="28" t="s">
        <v>7132</v>
      </c>
      <c r="E4128" s="28" t="s">
        <v>17358</v>
      </c>
      <c r="F4128" s="28" t="s">
        <v>21</v>
      </c>
      <c r="G4128" s="28" t="s">
        <v>39</v>
      </c>
      <c r="H4128" s="28" t="s">
        <v>16221</v>
      </c>
      <c r="I4128" s="28" t="s">
        <v>21744</v>
      </c>
      <c r="J4128" s="28" t="s">
        <v>39</v>
      </c>
      <c r="K4128" s="28" t="s">
        <v>16223</v>
      </c>
      <c r="L4128" s="28" t="s">
        <v>16224</v>
      </c>
      <c r="M4128" s="28" t="s">
        <v>17360</v>
      </c>
      <c r="N4128" s="28" t="s">
        <v>16226</v>
      </c>
      <c r="O4128" s="28" t="s">
        <v>16227</v>
      </c>
      <c r="P4128" s="28" t="s">
        <v>21745</v>
      </c>
    </row>
    <row r="4129" spans="1:16" x14ac:dyDescent="0.25">
      <c r="A4129" s="28" t="s">
        <v>21746</v>
      </c>
      <c r="B4129" s="28" t="s">
        <v>21747</v>
      </c>
      <c r="C4129" s="28" t="s">
        <v>4491</v>
      </c>
      <c r="D4129" s="28" t="s">
        <v>7132</v>
      </c>
      <c r="E4129" s="28" t="s">
        <v>17364</v>
      </c>
      <c r="F4129" s="28" t="s">
        <v>21</v>
      </c>
      <c r="G4129" s="28" t="s">
        <v>39</v>
      </c>
      <c r="H4129" s="28" t="s">
        <v>16221</v>
      </c>
      <c r="I4129" s="28" t="s">
        <v>21748</v>
      </c>
      <c r="J4129" s="28" t="s">
        <v>39</v>
      </c>
      <c r="K4129" s="28" t="s">
        <v>16223</v>
      </c>
      <c r="L4129" s="28" t="s">
        <v>16224</v>
      </c>
      <c r="M4129" s="28" t="s">
        <v>17366</v>
      </c>
      <c r="N4129" s="28" t="s">
        <v>16226</v>
      </c>
      <c r="O4129" s="28" t="s">
        <v>16227</v>
      </c>
      <c r="P4129" s="28" t="s">
        <v>21749</v>
      </c>
    </row>
    <row r="4130" spans="1:16" x14ac:dyDescent="0.25">
      <c r="A4130" s="28" t="s">
        <v>21750</v>
      </c>
      <c r="B4130" s="28" t="s">
        <v>21751</v>
      </c>
      <c r="C4130" s="28" t="s">
        <v>4491</v>
      </c>
      <c r="D4130" s="28" t="s">
        <v>7132</v>
      </c>
      <c r="E4130" s="28" t="s">
        <v>17370</v>
      </c>
      <c r="F4130" s="28" t="s">
        <v>21</v>
      </c>
      <c r="G4130" s="28" t="s">
        <v>39</v>
      </c>
      <c r="H4130" s="28" t="s">
        <v>16221</v>
      </c>
      <c r="I4130" s="28" t="s">
        <v>21752</v>
      </c>
      <c r="J4130" s="28" t="s">
        <v>39</v>
      </c>
      <c r="K4130" s="28" t="s">
        <v>16223</v>
      </c>
      <c r="L4130" s="28" t="s">
        <v>16224</v>
      </c>
      <c r="M4130" s="28" t="s">
        <v>17372</v>
      </c>
      <c r="N4130" s="28" t="s">
        <v>16226</v>
      </c>
      <c r="O4130" s="28" t="s">
        <v>16227</v>
      </c>
      <c r="P4130" s="28" t="s">
        <v>21753</v>
      </c>
    </row>
    <row r="4131" spans="1:16" hidden="1" x14ac:dyDescent="0.25">
      <c r="A4131" s="28" t="s">
        <v>21754</v>
      </c>
      <c r="B4131" s="28" t="s">
        <v>21755</v>
      </c>
      <c r="C4131" s="28" t="s">
        <v>4491</v>
      </c>
      <c r="D4131" s="28" t="s">
        <v>7132</v>
      </c>
      <c r="E4131" s="28" t="s">
        <v>17376</v>
      </c>
      <c r="F4131" s="28" t="s">
        <v>21</v>
      </c>
      <c r="G4131" s="28" t="s">
        <v>22</v>
      </c>
      <c r="H4131" s="28" t="s">
        <v>21726</v>
      </c>
      <c r="I4131" s="28" t="s">
        <v>21756</v>
      </c>
      <c r="J4131" s="28" t="s">
        <v>22</v>
      </c>
      <c r="K4131" s="28" t="s">
        <v>21728</v>
      </c>
      <c r="L4131" s="28" t="s">
        <v>21729</v>
      </c>
      <c r="M4131" s="28" t="s">
        <v>21757</v>
      </c>
      <c r="N4131" s="28" t="s">
        <v>21731</v>
      </c>
      <c r="O4131" s="28" t="s">
        <v>21732</v>
      </c>
      <c r="P4131" s="28" t="s">
        <v>21758</v>
      </c>
    </row>
    <row r="4132" spans="1:16" hidden="1" x14ac:dyDescent="0.25">
      <c r="A4132" s="28" t="s">
        <v>21759</v>
      </c>
      <c r="B4132" s="28" t="s">
        <v>21760</v>
      </c>
      <c r="C4132" s="28" t="s">
        <v>4491</v>
      </c>
      <c r="D4132" s="28" t="s">
        <v>7132</v>
      </c>
      <c r="E4132" s="28" t="s">
        <v>17382</v>
      </c>
      <c r="F4132" s="28" t="s">
        <v>21</v>
      </c>
      <c r="G4132" s="28" t="s">
        <v>22</v>
      </c>
      <c r="H4132" s="28" t="s">
        <v>21726</v>
      </c>
      <c r="I4132" s="28" t="s">
        <v>21761</v>
      </c>
      <c r="J4132" s="28" t="s">
        <v>22</v>
      </c>
      <c r="K4132" s="28" t="s">
        <v>21728</v>
      </c>
      <c r="L4132" s="28" t="s">
        <v>21729</v>
      </c>
      <c r="M4132" s="28" t="s">
        <v>21762</v>
      </c>
      <c r="N4132" s="28" t="s">
        <v>21731</v>
      </c>
      <c r="O4132" s="28" t="s">
        <v>21732</v>
      </c>
      <c r="P4132" s="28" t="s">
        <v>21763</v>
      </c>
    </row>
    <row r="4133" spans="1:16" x14ac:dyDescent="0.25">
      <c r="A4133" s="28" t="s">
        <v>21764</v>
      </c>
      <c r="B4133" s="28" t="s">
        <v>21765</v>
      </c>
      <c r="C4133" s="28" t="s">
        <v>4491</v>
      </c>
      <c r="D4133" s="28" t="s">
        <v>7132</v>
      </c>
      <c r="E4133" s="28" t="s">
        <v>17388</v>
      </c>
      <c r="F4133" s="28" t="s">
        <v>21</v>
      </c>
      <c r="G4133" s="28" t="s">
        <v>39</v>
      </c>
      <c r="H4133" s="28" t="s">
        <v>16221</v>
      </c>
      <c r="I4133" s="28" t="s">
        <v>21766</v>
      </c>
      <c r="J4133" s="28" t="s">
        <v>39</v>
      </c>
      <c r="K4133" s="28" t="s">
        <v>16223</v>
      </c>
      <c r="L4133" s="28" t="s">
        <v>16224</v>
      </c>
      <c r="M4133" s="28" t="s">
        <v>17390</v>
      </c>
      <c r="N4133" s="28" t="s">
        <v>16226</v>
      </c>
      <c r="O4133" s="28" t="s">
        <v>16227</v>
      </c>
      <c r="P4133" s="28" t="s">
        <v>21767</v>
      </c>
    </row>
    <row r="4134" spans="1:16" x14ac:dyDescent="0.25">
      <c r="A4134" s="28" t="s">
        <v>21768</v>
      </c>
      <c r="B4134" s="28" t="s">
        <v>21769</v>
      </c>
      <c r="C4134" s="28" t="s">
        <v>4491</v>
      </c>
      <c r="D4134" s="28" t="s">
        <v>6454</v>
      </c>
      <c r="E4134" s="28" t="s">
        <v>17394</v>
      </c>
      <c r="F4134" s="28" t="s">
        <v>21</v>
      </c>
      <c r="G4134" s="28" t="s">
        <v>39</v>
      </c>
      <c r="H4134" s="28" t="s">
        <v>16221</v>
      </c>
      <c r="I4134" s="28" t="s">
        <v>21770</v>
      </c>
      <c r="J4134" s="28" t="s">
        <v>39</v>
      </c>
      <c r="K4134" s="28" t="s">
        <v>16223</v>
      </c>
      <c r="L4134" s="28" t="s">
        <v>16224</v>
      </c>
      <c r="M4134" s="28" t="s">
        <v>17396</v>
      </c>
      <c r="N4134" s="28" t="s">
        <v>16226</v>
      </c>
      <c r="O4134" s="28" t="s">
        <v>16227</v>
      </c>
      <c r="P4134" s="28" t="s">
        <v>21771</v>
      </c>
    </row>
    <row r="4135" spans="1:16" x14ac:dyDescent="0.25">
      <c r="A4135" s="28" t="s">
        <v>21772</v>
      </c>
      <c r="B4135" s="28" t="s">
        <v>21773</v>
      </c>
      <c r="C4135" s="28" t="s">
        <v>4491</v>
      </c>
      <c r="D4135" s="28" t="s">
        <v>6454</v>
      </c>
      <c r="E4135" s="28" t="s">
        <v>17400</v>
      </c>
      <c r="F4135" s="28" t="s">
        <v>21</v>
      </c>
      <c r="G4135" s="28" t="s">
        <v>39</v>
      </c>
      <c r="H4135" s="28" t="s">
        <v>16221</v>
      </c>
      <c r="I4135" s="28" t="s">
        <v>21774</v>
      </c>
      <c r="J4135" s="28" t="s">
        <v>39</v>
      </c>
      <c r="K4135" s="28" t="s">
        <v>16223</v>
      </c>
      <c r="L4135" s="28" t="s">
        <v>16224</v>
      </c>
      <c r="M4135" s="28" t="s">
        <v>17402</v>
      </c>
      <c r="N4135" s="28" t="s">
        <v>16226</v>
      </c>
      <c r="O4135" s="28" t="s">
        <v>16227</v>
      </c>
      <c r="P4135" s="28" t="s">
        <v>21775</v>
      </c>
    </row>
    <row r="4136" spans="1:16" x14ac:dyDescent="0.25">
      <c r="A4136" s="28" t="s">
        <v>21776</v>
      </c>
      <c r="B4136" s="28" t="s">
        <v>21777</v>
      </c>
      <c r="C4136" s="28" t="s">
        <v>4491</v>
      </c>
      <c r="D4136" s="28" t="s">
        <v>6454</v>
      </c>
      <c r="E4136" s="28" t="s">
        <v>17406</v>
      </c>
      <c r="F4136" s="28" t="s">
        <v>21</v>
      </c>
      <c r="G4136" s="28" t="s">
        <v>39</v>
      </c>
      <c r="H4136" s="28" t="s">
        <v>16221</v>
      </c>
      <c r="I4136" s="28" t="s">
        <v>21778</v>
      </c>
      <c r="J4136" s="28" t="s">
        <v>39</v>
      </c>
      <c r="K4136" s="28" t="s">
        <v>16223</v>
      </c>
      <c r="L4136" s="28" t="s">
        <v>16224</v>
      </c>
      <c r="M4136" s="28" t="s">
        <v>17408</v>
      </c>
      <c r="N4136" s="28" t="s">
        <v>16226</v>
      </c>
      <c r="O4136" s="28" t="s">
        <v>16227</v>
      </c>
      <c r="P4136" s="28" t="s">
        <v>21779</v>
      </c>
    </row>
    <row r="4137" spans="1:16" x14ac:dyDescent="0.25">
      <c r="A4137" s="28" t="s">
        <v>21780</v>
      </c>
      <c r="B4137" s="28" t="s">
        <v>21781</v>
      </c>
      <c r="C4137" s="28" t="s">
        <v>4491</v>
      </c>
      <c r="D4137" s="28" t="s">
        <v>6454</v>
      </c>
      <c r="E4137" s="28" t="s">
        <v>17412</v>
      </c>
      <c r="F4137" s="28" t="s">
        <v>21</v>
      </c>
      <c r="G4137" s="28" t="s">
        <v>39</v>
      </c>
      <c r="H4137" s="28" t="s">
        <v>16221</v>
      </c>
      <c r="I4137" s="28" t="s">
        <v>21782</v>
      </c>
      <c r="J4137" s="28" t="s">
        <v>39</v>
      </c>
      <c r="K4137" s="28" t="s">
        <v>16223</v>
      </c>
      <c r="L4137" s="28" t="s">
        <v>16224</v>
      </c>
      <c r="M4137" s="28" t="s">
        <v>17414</v>
      </c>
      <c r="N4137" s="28" t="s">
        <v>16226</v>
      </c>
      <c r="O4137" s="28" t="s">
        <v>16227</v>
      </c>
      <c r="P4137" s="28" t="s">
        <v>21783</v>
      </c>
    </row>
    <row r="4138" spans="1:16" x14ac:dyDescent="0.25">
      <c r="A4138" s="28" t="s">
        <v>21784</v>
      </c>
      <c r="B4138" s="28" t="s">
        <v>21785</v>
      </c>
      <c r="C4138" s="28" t="s">
        <v>4491</v>
      </c>
      <c r="D4138" s="28" t="s">
        <v>6454</v>
      </c>
      <c r="E4138" s="28" t="s">
        <v>17418</v>
      </c>
      <c r="F4138" s="28" t="s">
        <v>21</v>
      </c>
      <c r="G4138" s="28" t="s">
        <v>39</v>
      </c>
      <c r="H4138" s="28" t="s">
        <v>16221</v>
      </c>
      <c r="I4138" s="28" t="s">
        <v>21786</v>
      </c>
      <c r="J4138" s="28" t="s">
        <v>39</v>
      </c>
      <c r="K4138" s="28" t="s">
        <v>16223</v>
      </c>
      <c r="L4138" s="28" t="s">
        <v>16224</v>
      </c>
      <c r="M4138" s="28" t="s">
        <v>17420</v>
      </c>
      <c r="N4138" s="28" t="s">
        <v>16226</v>
      </c>
      <c r="O4138" s="28" t="s">
        <v>16227</v>
      </c>
      <c r="P4138" s="28" t="s">
        <v>21787</v>
      </c>
    </row>
    <row r="4139" spans="1:16" x14ac:dyDescent="0.25">
      <c r="A4139" s="28" t="s">
        <v>21788</v>
      </c>
      <c r="B4139" s="28" t="s">
        <v>21789</v>
      </c>
      <c r="C4139" s="28" t="s">
        <v>4491</v>
      </c>
      <c r="D4139" s="28" t="s">
        <v>6454</v>
      </c>
      <c r="E4139" s="28" t="s">
        <v>17424</v>
      </c>
      <c r="F4139" s="28" t="s">
        <v>21</v>
      </c>
      <c r="G4139" s="28" t="s">
        <v>39</v>
      </c>
      <c r="H4139" s="28" t="s">
        <v>16221</v>
      </c>
      <c r="I4139" s="28" t="s">
        <v>21790</v>
      </c>
      <c r="J4139" s="28" t="s">
        <v>39</v>
      </c>
      <c r="K4139" s="28" t="s">
        <v>16223</v>
      </c>
      <c r="L4139" s="28" t="s">
        <v>16224</v>
      </c>
      <c r="M4139" s="28" t="s">
        <v>17426</v>
      </c>
      <c r="N4139" s="28" t="s">
        <v>16226</v>
      </c>
      <c r="O4139" s="28" t="s">
        <v>16227</v>
      </c>
      <c r="P4139" s="28" t="s">
        <v>21791</v>
      </c>
    </row>
    <row r="4140" spans="1:16" x14ac:dyDescent="0.25">
      <c r="A4140" s="28" t="s">
        <v>21792</v>
      </c>
      <c r="B4140" s="28" t="s">
        <v>21793</v>
      </c>
      <c r="C4140" s="28" t="s">
        <v>4491</v>
      </c>
      <c r="D4140" s="28" t="s">
        <v>6454</v>
      </c>
      <c r="E4140" s="28" t="s">
        <v>17430</v>
      </c>
      <c r="F4140" s="28" t="s">
        <v>21</v>
      </c>
      <c r="G4140" s="28" t="s">
        <v>39</v>
      </c>
      <c r="H4140" s="28" t="s">
        <v>16221</v>
      </c>
      <c r="I4140" s="28" t="s">
        <v>21794</v>
      </c>
      <c r="J4140" s="28" t="s">
        <v>39</v>
      </c>
      <c r="K4140" s="28" t="s">
        <v>16223</v>
      </c>
      <c r="L4140" s="28" t="s">
        <v>16224</v>
      </c>
      <c r="M4140" s="28" t="s">
        <v>17432</v>
      </c>
      <c r="N4140" s="28" t="s">
        <v>16226</v>
      </c>
      <c r="O4140" s="28" t="s">
        <v>16227</v>
      </c>
      <c r="P4140" s="28" t="s">
        <v>21795</v>
      </c>
    </row>
    <row r="4141" spans="1:16" x14ac:dyDescent="0.25">
      <c r="A4141" s="28" t="s">
        <v>21796</v>
      </c>
      <c r="B4141" s="28" t="s">
        <v>21797</v>
      </c>
      <c r="C4141" s="28" t="s">
        <v>4491</v>
      </c>
      <c r="D4141" s="28" t="s">
        <v>6454</v>
      </c>
      <c r="E4141" s="28" t="s">
        <v>17436</v>
      </c>
      <c r="F4141" s="28" t="s">
        <v>21</v>
      </c>
      <c r="G4141" s="28" t="s">
        <v>39</v>
      </c>
      <c r="H4141" s="28" t="s">
        <v>16221</v>
      </c>
      <c r="I4141" s="28" t="s">
        <v>21798</v>
      </c>
      <c r="J4141" s="28" t="s">
        <v>39</v>
      </c>
      <c r="K4141" s="28" t="s">
        <v>16223</v>
      </c>
      <c r="L4141" s="28" t="s">
        <v>16224</v>
      </c>
      <c r="M4141" s="28" t="s">
        <v>17438</v>
      </c>
      <c r="N4141" s="28" t="s">
        <v>16226</v>
      </c>
      <c r="O4141" s="28" t="s">
        <v>16227</v>
      </c>
      <c r="P4141" s="28" t="s">
        <v>21799</v>
      </c>
    </row>
    <row r="4142" spans="1:16" x14ac:dyDescent="0.25">
      <c r="A4142" s="28" t="s">
        <v>21800</v>
      </c>
      <c r="B4142" s="28" t="s">
        <v>21801</v>
      </c>
      <c r="C4142" s="28" t="s">
        <v>4491</v>
      </c>
      <c r="D4142" s="28" t="s">
        <v>6454</v>
      </c>
      <c r="E4142" s="28" t="s">
        <v>17442</v>
      </c>
      <c r="F4142" s="28" t="s">
        <v>21</v>
      </c>
      <c r="G4142" s="28" t="s">
        <v>39</v>
      </c>
      <c r="H4142" s="28" t="s">
        <v>16221</v>
      </c>
      <c r="I4142" s="28" t="s">
        <v>21802</v>
      </c>
      <c r="J4142" s="28" t="s">
        <v>39</v>
      </c>
      <c r="K4142" s="28" t="s">
        <v>16223</v>
      </c>
      <c r="L4142" s="28" t="s">
        <v>16224</v>
      </c>
      <c r="M4142" s="28" t="s">
        <v>17444</v>
      </c>
      <c r="N4142" s="28" t="s">
        <v>16226</v>
      </c>
      <c r="O4142" s="28" t="s">
        <v>16227</v>
      </c>
      <c r="P4142" s="28" t="s">
        <v>21803</v>
      </c>
    </row>
    <row r="4143" spans="1:16" x14ac:dyDescent="0.25">
      <c r="A4143" s="28" t="s">
        <v>21804</v>
      </c>
      <c r="B4143" s="28" t="s">
        <v>21805</v>
      </c>
      <c r="C4143" s="28" t="s">
        <v>4491</v>
      </c>
      <c r="D4143" s="28" t="s">
        <v>6454</v>
      </c>
      <c r="E4143" s="28" t="s">
        <v>17448</v>
      </c>
      <c r="F4143" s="28" t="s">
        <v>21</v>
      </c>
      <c r="G4143" s="28" t="s">
        <v>39</v>
      </c>
      <c r="H4143" s="28" t="s">
        <v>16221</v>
      </c>
      <c r="I4143" s="28" t="s">
        <v>21806</v>
      </c>
      <c r="J4143" s="28" t="s">
        <v>39</v>
      </c>
      <c r="K4143" s="28" t="s">
        <v>16223</v>
      </c>
      <c r="L4143" s="28" t="s">
        <v>16224</v>
      </c>
      <c r="M4143" s="28" t="s">
        <v>17450</v>
      </c>
      <c r="N4143" s="28" t="s">
        <v>16226</v>
      </c>
      <c r="O4143" s="28" t="s">
        <v>16227</v>
      </c>
      <c r="P4143" s="28" t="s">
        <v>21807</v>
      </c>
    </row>
    <row r="4144" spans="1:16" x14ac:dyDescent="0.25">
      <c r="A4144" s="28" t="s">
        <v>21808</v>
      </c>
      <c r="B4144" s="28" t="s">
        <v>21809</v>
      </c>
      <c r="C4144" s="28" t="s">
        <v>4491</v>
      </c>
      <c r="D4144" s="28" t="s">
        <v>6454</v>
      </c>
      <c r="E4144" s="28" t="s">
        <v>17454</v>
      </c>
      <c r="F4144" s="28" t="s">
        <v>21</v>
      </c>
      <c r="G4144" s="28" t="s">
        <v>39</v>
      </c>
      <c r="H4144" s="28" t="s">
        <v>16221</v>
      </c>
      <c r="I4144" s="28" t="s">
        <v>21810</v>
      </c>
      <c r="J4144" s="28" t="s">
        <v>39</v>
      </c>
      <c r="K4144" s="28" t="s">
        <v>16223</v>
      </c>
      <c r="L4144" s="28" t="s">
        <v>16224</v>
      </c>
      <c r="M4144" s="28" t="s">
        <v>17456</v>
      </c>
      <c r="N4144" s="28" t="s">
        <v>16226</v>
      </c>
      <c r="O4144" s="28" t="s">
        <v>16227</v>
      </c>
      <c r="P4144" s="28" t="s">
        <v>21811</v>
      </c>
    </row>
    <row r="4145" spans="1:16" x14ac:dyDescent="0.25">
      <c r="A4145" s="28" t="s">
        <v>21812</v>
      </c>
      <c r="B4145" s="28" t="s">
        <v>21813</v>
      </c>
      <c r="C4145" s="28" t="s">
        <v>4491</v>
      </c>
      <c r="D4145" s="28" t="s">
        <v>6454</v>
      </c>
      <c r="E4145" s="28" t="s">
        <v>17460</v>
      </c>
      <c r="F4145" s="28" t="s">
        <v>21</v>
      </c>
      <c r="G4145" s="28" t="s">
        <v>39</v>
      </c>
      <c r="H4145" s="28" t="s">
        <v>16221</v>
      </c>
      <c r="I4145" s="28" t="s">
        <v>21814</v>
      </c>
      <c r="J4145" s="28" t="s">
        <v>39</v>
      </c>
      <c r="K4145" s="28" t="s">
        <v>16223</v>
      </c>
      <c r="L4145" s="28" t="s">
        <v>16224</v>
      </c>
      <c r="M4145" s="28" t="s">
        <v>17462</v>
      </c>
      <c r="N4145" s="28" t="s">
        <v>16226</v>
      </c>
      <c r="O4145" s="28" t="s">
        <v>16227</v>
      </c>
      <c r="P4145" s="28" t="s">
        <v>21815</v>
      </c>
    </row>
    <row r="4146" spans="1:16" x14ac:dyDescent="0.25">
      <c r="A4146" s="28" t="s">
        <v>21816</v>
      </c>
      <c r="B4146" s="28" t="s">
        <v>21817</v>
      </c>
      <c r="C4146" s="28" t="s">
        <v>4491</v>
      </c>
      <c r="D4146" s="28" t="s">
        <v>6454</v>
      </c>
      <c r="E4146" s="28" t="s">
        <v>17466</v>
      </c>
      <c r="F4146" s="28" t="s">
        <v>21</v>
      </c>
      <c r="G4146" s="28" t="s">
        <v>39</v>
      </c>
      <c r="H4146" s="28" t="s">
        <v>16221</v>
      </c>
      <c r="I4146" s="28" t="s">
        <v>21818</v>
      </c>
      <c r="J4146" s="28" t="s">
        <v>39</v>
      </c>
      <c r="K4146" s="28" t="s">
        <v>16223</v>
      </c>
      <c r="L4146" s="28" t="s">
        <v>16224</v>
      </c>
      <c r="M4146" s="28" t="s">
        <v>17468</v>
      </c>
      <c r="N4146" s="28" t="s">
        <v>16226</v>
      </c>
      <c r="O4146" s="28" t="s">
        <v>16227</v>
      </c>
      <c r="P4146" s="28" t="s">
        <v>21819</v>
      </c>
    </row>
    <row r="4147" spans="1:16" x14ac:dyDescent="0.25">
      <c r="A4147" s="28" t="s">
        <v>21820</v>
      </c>
      <c r="B4147" s="28" t="s">
        <v>21821</v>
      </c>
      <c r="C4147" s="28" t="s">
        <v>4491</v>
      </c>
      <c r="D4147" s="28" t="s">
        <v>6454</v>
      </c>
      <c r="E4147" s="28" t="s">
        <v>17472</v>
      </c>
      <c r="F4147" s="28" t="s">
        <v>21</v>
      </c>
      <c r="G4147" s="28" t="s">
        <v>39</v>
      </c>
      <c r="H4147" s="28" t="s">
        <v>16221</v>
      </c>
      <c r="I4147" s="28" t="s">
        <v>21822</v>
      </c>
      <c r="J4147" s="28" t="s">
        <v>39</v>
      </c>
      <c r="K4147" s="28" t="s">
        <v>16223</v>
      </c>
      <c r="L4147" s="28" t="s">
        <v>16224</v>
      </c>
      <c r="M4147" s="28" t="s">
        <v>17474</v>
      </c>
      <c r="N4147" s="28" t="s">
        <v>16226</v>
      </c>
      <c r="O4147" s="28" t="s">
        <v>16227</v>
      </c>
      <c r="P4147" s="28" t="s">
        <v>21823</v>
      </c>
    </row>
    <row r="4148" spans="1:16" x14ac:dyDescent="0.25">
      <c r="A4148" s="28" t="s">
        <v>21824</v>
      </c>
      <c r="B4148" s="28" t="s">
        <v>21825</v>
      </c>
      <c r="C4148" s="28" t="s">
        <v>4491</v>
      </c>
      <c r="D4148" s="28" t="s">
        <v>6454</v>
      </c>
      <c r="E4148" s="28" t="s">
        <v>17478</v>
      </c>
      <c r="F4148" s="28" t="s">
        <v>21</v>
      </c>
      <c r="G4148" s="28" t="s">
        <v>39</v>
      </c>
      <c r="H4148" s="28" t="s">
        <v>16221</v>
      </c>
      <c r="I4148" s="28" t="s">
        <v>21826</v>
      </c>
      <c r="J4148" s="28" t="s">
        <v>39</v>
      </c>
      <c r="K4148" s="28" t="s">
        <v>16223</v>
      </c>
      <c r="L4148" s="28" t="s">
        <v>16224</v>
      </c>
      <c r="M4148" s="28" t="s">
        <v>17480</v>
      </c>
      <c r="N4148" s="28" t="s">
        <v>16226</v>
      </c>
      <c r="O4148" s="28" t="s">
        <v>16227</v>
      </c>
      <c r="P4148" s="28" t="s">
        <v>21827</v>
      </c>
    </row>
    <row r="4149" spans="1:16" x14ac:dyDescent="0.25">
      <c r="A4149" s="28" t="s">
        <v>21828</v>
      </c>
      <c r="B4149" s="28" t="s">
        <v>21829</v>
      </c>
      <c r="C4149" s="28" t="s">
        <v>4491</v>
      </c>
      <c r="D4149" s="28" t="s">
        <v>6454</v>
      </c>
      <c r="E4149" s="28" t="s">
        <v>17484</v>
      </c>
      <c r="F4149" s="28" t="s">
        <v>21</v>
      </c>
      <c r="G4149" s="28" t="s">
        <v>39</v>
      </c>
      <c r="H4149" s="28" t="s">
        <v>16221</v>
      </c>
      <c r="I4149" s="28" t="s">
        <v>21830</v>
      </c>
      <c r="J4149" s="28" t="s">
        <v>39</v>
      </c>
      <c r="K4149" s="28" t="s">
        <v>16223</v>
      </c>
      <c r="L4149" s="28" t="s">
        <v>16224</v>
      </c>
      <c r="M4149" s="28" t="s">
        <v>17486</v>
      </c>
      <c r="N4149" s="28" t="s">
        <v>16226</v>
      </c>
      <c r="O4149" s="28" t="s">
        <v>16227</v>
      </c>
      <c r="P4149" s="28" t="s">
        <v>21831</v>
      </c>
    </row>
    <row r="4150" spans="1:16" x14ac:dyDescent="0.25">
      <c r="A4150" s="28" t="s">
        <v>21832</v>
      </c>
      <c r="B4150" s="28" t="s">
        <v>21833</v>
      </c>
      <c r="C4150" s="28" t="s">
        <v>4491</v>
      </c>
      <c r="D4150" s="28" t="s">
        <v>6454</v>
      </c>
      <c r="E4150" s="28" t="s">
        <v>17490</v>
      </c>
      <c r="F4150" s="28" t="s">
        <v>21</v>
      </c>
      <c r="G4150" s="28" t="s">
        <v>39</v>
      </c>
      <c r="H4150" s="28" t="s">
        <v>16221</v>
      </c>
      <c r="I4150" s="28" t="s">
        <v>21834</v>
      </c>
      <c r="J4150" s="28" t="s">
        <v>39</v>
      </c>
      <c r="K4150" s="28" t="s">
        <v>16223</v>
      </c>
      <c r="L4150" s="28" t="s">
        <v>16224</v>
      </c>
      <c r="M4150" s="28" t="s">
        <v>17492</v>
      </c>
      <c r="N4150" s="28" t="s">
        <v>16226</v>
      </c>
      <c r="O4150" s="28" t="s">
        <v>16227</v>
      </c>
      <c r="P4150" s="28" t="s">
        <v>21835</v>
      </c>
    </row>
    <row r="4151" spans="1:16" x14ac:dyDescent="0.25">
      <c r="A4151" s="28" t="s">
        <v>21836</v>
      </c>
      <c r="B4151" s="28" t="s">
        <v>21837</v>
      </c>
      <c r="C4151" s="28" t="s">
        <v>4491</v>
      </c>
      <c r="D4151" s="28" t="s">
        <v>7132</v>
      </c>
      <c r="E4151" s="28" t="s">
        <v>17496</v>
      </c>
      <c r="F4151" s="28" t="s">
        <v>21</v>
      </c>
      <c r="G4151" s="28" t="s">
        <v>39</v>
      </c>
      <c r="H4151" s="28" t="s">
        <v>16221</v>
      </c>
      <c r="I4151" s="28" t="s">
        <v>21838</v>
      </c>
      <c r="J4151" s="28" t="s">
        <v>39</v>
      </c>
      <c r="K4151" s="28" t="s">
        <v>16223</v>
      </c>
      <c r="L4151" s="28" t="s">
        <v>16224</v>
      </c>
      <c r="M4151" s="28" t="s">
        <v>17498</v>
      </c>
      <c r="N4151" s="28" t="s">
        <v>16226</v>
      </c>
      <c r="O4151" s="28" t="s">
        <v>16227</v>
      </c>
      <c r="P4151" s="28" t="s">
        <v>21839</v>
      </c>
    </row>
    <row r="4152" spans="1:16" x14ac:dyDescent="0.25">
      <c r="A4152" s="28" t="s">
        <v>21840</v>
      </c>
      <c r="B4152" s="28" t="s">
        <v>21841</v>
      </c>
      <c r="C4152" s="28" t="s">
        <v>4491</v>
      </c>
      <c r="D4152" s="28" t="s">
        <v>6454</v>
      </c>
      <c r="E4152" s="28" t="s">
        <v>17502</v>
      </c>
      <c r="F4152" s="28" t="s">
        <v>21</v>
      </c>
      <c r="G4152" s="28" t="s">
        <v>39</v>
      </c>
      <c r="H4152" s="28" t="s">
        <v>16221</v>
      </c>
      <c r="I4152" s="28" t="s">
        <v>21842</v>
      </c>
      <c r="J4152" s="28" t="s">
        <v>39</v>
      </c>
      <c r="K4152" s="28" t="s">
        <v>16223</v>
      </c>
      <c r="L4152" s="28" t="s">
        <v>16224</v>
      </c>
      <c r="M4152" s="28" t="s">
        <v>17504</v>
      </c>
      <c r="N4152" s="28" t="s">
        <v>16226</v>
      </c>
      <c r="O4152" s="28" t="s">
        <v>16227</v>
      </c>
      <c r="P4152" s="28" t="s">
        <v>21843</v>
      </c>
    </row>
    <row r="4153" spans="1:16" x14ac:dyDescent="0.25">
      <c r="A4153" s="28" t="s">
        <v>21844</v>
      </c>
      <c r="B4153" s="28" t="s">
        <v>21845</v>
      </c>
      <c r="C4153" s="28" t="s">
        <v>4491</v>
      </c>
      <c r="D4153" s="28" t="s">
        <v>6454</v>
      </c>
      <c r="E4153" s="28" t="s">
        <v>17508</v>
      </c>
      <c r="F4153" s="28" t="s">
        <v>21</v>
      </c>
      <c r="G4153" s="28" t="s">
        <v>39</v>
      </c>
      <c r="H4153" s="28" t="s">
        <v>16221</v>
      </c>
      <c r="I4153" s="28" t="s">
        <v>21846</v>
      </c>
      <c r="J4153" s="28" t="s">
        <v>39</v>
      </c>
      <c r="K4153" s="28" t="s">
        <v>16223</v>
      </c>
      <c r="L4153" s="28" t="s">
        <v>16224</v>
      </c>
      <c r="M4153" s="28" t="s">
        <v>17510</v>
      </c>
      <c r="N4153" s="28" t="s">
        <v>16226</v>
      </c>
      <c r="O4153" s="28" t="s">
        <v>16227</v>
      </c>
      <c r="P4153" s="28" t="s">
        <v>21847</v>
      </c>
    </row>
    <row r="4154" spans="1:16" x14ac:dyDescent="0.25">
      <c r="A4154" s="28" t="s">
        <v>21848</v>
      </c>
      <c r="B4154" s="28" t="s">
        <v>21849</v>
      </c>
      <c r="C4154" s="28" t="s">
        <v>4491</v>
      </c>
      <c r="D4154" s="28" t="s">
        <v>6454</v>
      </c>
      <c r="E4154" s="28" t="s">
        <v>17514</v>
      </c>
      <c r="F4154" s="28" t="s">
        <v>21</v>
      </c>
      <c r="G4154" s="28" t="s">
        <v>39</v>
      </c>
      <c r="H4154" s="28" t="s">
        <v>16221</v>
      </c>
      <c r="I4154" s="28" t="s">
        <v>21850</v>
      </c>
      <c r="J4154" s="28" t="s">
        <v>39</v>
      </c>
      <c r="K4154" s="28" t="s">
        <v>16223</v>
      </c>
      <c r="L4154" s="28" t="s">
        <v>16224</v>
      </c>
      <c r="M4154" s="28" t="s">
        <v>17516</v>
      </c>
      <c r="N4154" s="28" t="s">
        <v>16226</v>
      </c>
      <c r="O4154" s="28" t="s">
        <v>16227</v>
      </c>
      <c r="P4154" s="28" t="s">
        <v>21851</v>
      </c>
    </row>
    <row r="4155" spans="1:16" x14ac:dyDescent="0.25">
      <c r="A4155" s="28" t="s">
        <v>21852</v>
      </c>
      <c r="B4155" s="28" t="s">
        <v>21853</v>
      </c>
      <c r="C4155" s="28" t="s">
        <v>4491</v>
      </c>
      <c r="D4155" s="28" t="s">
        <v>6454</v>
      </c>
      <c r="E4155" s="28" t="s">
        <v>17520</v>
      </c>
      <c r="F4155" s="28" t="s">
        <v>21</v>
      </c>
      <c r="G4155" s="28" t="s">
        <v>39</v>
      </c>
      <c r="H4155" s="28" t="s">
        <v>16221</v>
      </c>
      <c r="I4155" s="28" t="s">
        <v>21854</v>
      </c>
      <c r="J4155" s="28" t="s">
        <v>39</v>
      </c>
      <c r="K4155" s="28" t="s">
        <v>16223</v>
      </c>
      <c r="L4155" s="28" t="s">
        <v>16224</v>
      </c>
      <c r="M4155" s="28" t="s">
        <v>17522</v>
      </c>
      <c r="N4155" s="28" t="s">
        <v>16226</v>
      </c>
      <c r="O4155" s="28" t="s">
        <v>16227</v>
      </c>
      <c r="P4155" s="28" t="s">
        <v>21855</v>
      </c>
    </row>
    <row r="4156" spans="1:16" x14ac:dyDescent="0.25">
      <c r="A4156" s="28" t="s">
        <v>21856</v>
      </c>
      <c r="B4156" s="28" t="s">
        <v>21857</v>
      </c>
      <c r="C4156" s="28" t="s">
        <v>4491</v>
      </c>
      <c r="D4156" s="28" t="s">
        <v>6454</v>
      </c>
      <c r="E4156" s="28" t="s">
        <v>17526</v>
      </c>
      <c r="F4156" s="28" t="s">
        <v>21</v>
      </c>
      <c r="G4156" s="28" t="s">
        <v>39</v>
      </c>
      <c r="H4156" s="28" t="s">
        <v>16221</v>
      </c>
      <c r="I4156" s="28" t="s">
        <v>21858</v>
      </c>
      <c r="J4156" s="28" t="s">
        <v>39</v>
      </c>
      <c r="K4156" s="28" t="s">
        <v>16223</v>
      </c>
      <c r="L4156" s="28" t="s">
        <v>16224</v>
      </c>
      <c r="M4156" s="28" t="s">
        <v>17528</v>
      </c>
      <c r="N4156" s="28" t="s">
        <v>16226</v>
      </c>
      <c r="O4156" s="28" t="s">
        <v>16227</v>
      </c>
      <c r="P4156" s="28" t="s">
        <v>21859</v>
      </c>
    </row>
    <row r="4157" spans="1:16" x14ac:dyDescent="0.25">
      <c r="A4157" s="28" t="s">
        <v>21860</v>
      </c>
      <c r="B4157" s="28" t="s">
        <v>21861</v>
      </c>
      <c r="C4157" s="28" t="s">
        <v>4491</v>
      </c>
      <c r="D4157" s="28" t="s">
        <v>6454</v>
      </c>
      <c r="E4157" s="28" t="s">
        <v>17532</v>
      </c>
      <c r="F4157" s="28" t="s">
        <v>21</v>
      </c>
      <c r="G4157" s="28" t="s">
        <v>39</v>
      </c>
      <c r="H4157" s="28" t="s">
        <v>16221</v>
      </c>
      <c r="I4157" s="28" t="s">
        <v>21862</v>
      </c>
      <c r="J4157" s="28" t="s">
        <v>39</v>
      </c>
      <c r="K4157" s="28" t="s">
        <v>16223</v>
      </c>
      <c r="L4157" s="28" t="s">
        <v>16224</v>
      </c>
      <c r="M4157" s="28" t="s">
        <v>17534</v>
      </c>
      <c r="N4157" s="28" t="s">
        <v>16226</v>
      </c>
      <c r="O4157" s="28" t="s">
        <v>16227</v>
      </c>
      <c r="P4157" s="28" t="s">
        <v>21863</v>
      </c>
    </row>
    <row r="4158" spans="1:16" x14ac:dyDescent="0.25">
      <c r="A4158" s="28" t="s">
        <v>21864</v>
      </c>
      <c r="B4158" s="28" t="s">
        <v>21865</v>
      </c>
      <c r="C4158" s="28" t="s">
        <v>4491</v>
      </c>
      <c r="D4158" s="28" t="s">
        <v>6454</v>
      </c>
      <c r="E4158" s="28" t="s">
        <v>17538</v>
      </c>
      <c r="F4158" s="28" t="s">
        <v>21</v>
      </c>
      <c r="G4158" s="28" t="s">
        <v>39</v>
      </c>
      <c r="H4158" s="28" t="s">
        <v>16221</v>
      </c>
      <c r="I4158" s="28" t="s">
        <v>21866</v>
      </c>
      <c r="J4158" s="28" t="s">
        <v>39</v>
      </c>
      <c r="K4158" s="28" t="s">
        <v>16223</v>
      </c>
      <c r="L4158" s="28" t="s">
        <v>16224</v>
      </c>
      <c r="M4158" s="28" t="s">
        <v>17540</v>
      </c>
      <c r="N4158" s="28" t="s">
        <v>16226</v>
      </c>
      <c r="O4158" s="28" t="s">
        <v>16227</v>
      </c>
      <c r="P4158" s="28" t="s">
        <v>21867</v>
      </c>
    </row>
    <row r="4159" spans="1:16" x14ac:dyDescent="0.25">
      <c r="A4159" s="28" t="s">
        <v>21868</v>
      </c>
      <c r="B4159" s="28" t="s">
        <v>21869</v>
      </c>
      <c r="C4159" s="28" t="s">
        <v>4491</v>
      </c>
      <c r="D4159" s="28" t="s">
        <v>6467</v>
      </c>
      <c r="E4159" s="28" t="s">
        <v>17544</v>
      </c>
      <c r="F4159" s="28" t="s">
        <v>21</v>
      </c>
      <c r="G4159" s="28" t="s">
        <v>39</v>
      </c>
      <c r="H4159" s="28" t="s">
        <v>16221</v>
      </c>
      <c r="I4159" s="28" t="s">
        <v>21870</v>
      </c>
      <c r="J4159" s="28" t="s">
        <v>39</v>
      </c>
      <c r="K4159" s="28" t="s">
        <v>16223</v>
      </c>
      <c r="L4159" s="28" t="s">
        <v>16224</v>
      </c>
      <c r="M4159" s="28" t="s">
        <v>17546</v>
      </c>
      <c r="N4159" s="28" t="s">
        <v>16226</v>
      </c>
      <c r="O4159" s="28" t="s">
        <v>16227</v>
      </c>
      <c r="P4159" s="28" t="s">
        <v>21871</v>
      </c>
    </row>
    <row r="4160" spans="1:16" x14ac:dyDescent="0.25">
      <c r="A4160" s="28" t="s">
        <v>21872</v>
      </c>
      <c r="B4160" s="28" t="s">
        <v>21873</v>
      </c>
      <c r="C4160" s="28" t="s">
        <v>4491</v>
      </c>
      <c r="D4160" s="28" t="s">
        <v>6467</v>
      </c>
      <c r="E4160" s="28" t="s">
        <v>17544</v>
      </c>
      <c r="F4160" s="28" t="s">
        <v>21</v>
      </c>
      <c r="G4160" s="28" t="s">
        <v>39</v>
      </c>
      <c r="H4160" s="28" t="s">
        <v>16221</v>
      </c>
      <c r="I4160" s="28" t="s">
        <v>21874</v>
      </c>
      <c r="J4160" s="28" t="s">
        <v>39</v>
      </c>
      <c r="K4160" s="28" t="s">
        <v>16223</v>
      </c>
      <c r="L4160" s="28" t="s">
        <v>16224</v>
      </c>
      <c r="M4160" s="28" t="s">
        <v>17551</v>
      </c>
      <c r="N4160" s="28" t="s">
        <v>16226</v>
      </c>
      <c r="O4160" s="28" t="s">
        <v>16227</v>
      </c>
      <c r="P4160" s="28" t="s">
        <v>21871</v>
      </c>
    </row>
    <row r="4161" spans="1:16" x14ac:dyDescent="0.25">
      <c r="A4161" s="28" t="s">
        <v>21875</v>
      </c>
      <c r="B4161" s="28" t="s">
        <v>21876</v>
      </c>
      <c r="C4161" s="28" t="s">
        <v>4491</v>
      </c>
      <c r="D4161" s="28" t="s">
        <v>6467</v>
      </c>
      <c r="E4161" s="28" t="s">
        <v>17554</v>
      </c>
      <c r="F4161" s="28" t="s">
        <v>21</v>
      </c>
      <c r="G4161" s="28" t="s">
        <v>39</v>
      </c>
      <c r="H4161" s="28" t="s">
        <v>16221</v>
      </c>
      <c r="I4161" s="28" t="s">
        <v>21877</v>
      </c>
      <c r="J4161" s="28" t="s">
        <v>39</v>
      </c>
      <c r="K4161" s="28" t="s">
        <v>16223</v>
      </c>
      <c r="L4161" s="28" t="s">
        <v>16224</v>
      </c>
      <c r="M4161" s="28" t="s">
        <v>17556</v>
      </c>
      <c r="N4161" s="28" t="s">
        <v>16226</v>
      </c>
      <c r="O4161" s="28" t="s">
        <v>16227</v>
      </c>
      <c r="P4161" s="28" t="s">
        <v>21878</v>
      </c>
    </row>
    <row r="4162" spans="1:16" x14ac:dyDescent="0.25">
      <c r="A4162" s="28" t="s">
        <v>21879</v>
      </c>
      <c r="B4162" s="28" t="s">
        <v>21880</v>
      </c>
      <c r="C4162" s="28" t="s">
        <v>4491</v>
      </c>
      <c r="D4162" s="28" t="s">
        <v>6467</v>
      </c>
      <c r="E4162" s="28" t="s">
        <v>17560</v>
      </c>
      <c r="F4162" s="28" t="s">
        <v>21</v>
      </c>
      <c r="G4162" s="28" t="s">
        <v>39</v>
      </c>
      <c r="H4162" s="28" t="s">
        <v>16221</v>
      </c>
      <c r="I4162" s="28" t="s">
        <v>21881</v>
      </c>
      <c r="J4162" s="28" t="s">
        <v>39</v>
      </c>
      <c r="K4162" s="28" t="s">
        <v>16223</v>
      </c>
      <c r="L4162" s="28" t="s">
        <v>16224</v>
      </c>
      <c r="M4162" s="28" t="s">
        <v>17562</v>
      </c>
      <c r="N4162" s="28" t="s">
        <v>16226</v>
      </c>
      <c r="O4162" s="28" t="s">
        <v>16227</v>
      </c>
      <c r="P4162" s="28" t="s">
        <v>21882</v>
      </c>
    </row>
    <row r="4163" spans="1:16" x14ac:dyDescent="0.25">
      <c r="A4163" s="28" t="s">
        <v>21883</v>
      </c>
      <c r="B4163" s="28" t="s">
        <v>21884</v>
      </c>
      <c r="C4163" s="28" t="s">
        <v>4491</v>
      </c>
      <c r="D4163" s="28" t="s">
        <v>5990</v>
      </c>
      <c r="E4163" s="28" t="s">
        <v>17566</v>
      </c>
      <c r="F4163" s="28" t="s">
        <v>21</v>
      </c>
      <c r="G4163" s="28" t="s">
        <v>39</v>
      </c>
      <c r="H4163" s="28" t="s">
        <v>16221</v>
      </c>
      <c r="I4163" s="28" t="s">
        <v>21885</v>
      </c>
      <c r="J4163" s="28" t="s">
        <v>39</v>
      </c>
      <c r="K4163" s="28" t="s">
        <v>16223</v>
      </c>
      <c r="L4163" s="28" t="s">
        <v>16224</v>
      </c>
      <c r="M4163" s="28" t="s">
        <v>17568</v>
      </c>
      <c r="N4163" s="28" t="s">
        <v>16226</v>
      </c>
      <c r="O4163" s="28" t="s">
        <v>16227</v>
      </c>
      <c r="P4163" s="28" t="s">
        <v>21886</v>
      </c>
    </row>
    <row r="4164" spans="1:16" x14ac:dyDescent="0.25">
      <c r="A4164" s="28" t="s">
        <v>21887</v>
      </c>
      <c r="B4164" s="28" t="s">
        <v>21888</v>
      </c>
      <c r="C4164" s="28" t="s">
        <v>4491</v>
      </c>
      <c r="D4164" s="28" t="s">
        <v>6467</v>
      </c>
      <c r="E4164" s="28" t="s">
        <v>17572</v>
      </c>
      <c r="F4164" s="28" t="s">
        <v>21</v>
      </c>
      <c r="G4164" s="28" t="s">
        <v>39</v>
      </c>
      <c r="H4164" s="28" t="s">
        <v>16221</v>
      </c>
      <c r="I4164" s="28" t="s">
        <v>21889</v>
      </c>
      <c r="J4164" s="28" t="s">
        <v>39</v>
      </c>
      <c r="K4164" s="28" t="s">
        <v>16223</v>
      </c>
      <c r="L4164" s="28" t="s">
        <v>16224</v>
      </c>
      <c r="M4164" s="28" t="s">
        <v>17574</v>
      </c>
      <c r="N4164" s="28" t="s">
        <v>16226</v>
      </c>
      <c r="O4164" s="28" t="s">
        <v>16227</v>
      </c>
      <c r="P4164" s="28" t="s">
        <v>21890</v>
      </c>
    </row>
    <row r="4165" spans="1:16" x14ac:dyDescent="0.25">
      <c r="A4165" s="28" t="s">
        <v>21891</v>
      </c>
      <c r="B4165" s="28" t="s">
        <v>21892</v>
      </c>
      <c r="C4165" s="28" t="s">
        <v>4491</v>
      </c>
      <c r="D4165" s="28" t="s">
        <v>6467</v>
      </c>
      <c r="E4165" s="28" t="s">
        <v>17578</v>
      </c>
      <c r="F4165" s="28" t="s">
        <v>21</v>
      </c>
      <c r="G4165" s="28" t="s">
        <v>39</v>
      </c>
      <c r="H4165" s="28" t="s">
        <v>16221</v>
      </c>
      <c r="I4165" s="28" t="s">
        <v>21893</v>
      </c>
      <c r="J4165" s="28" t="s">
        <v>39</v>
      </c>
      <c r="K4165" s="28" t="s">
        <v>16223</v>
      </c>
      <c r="L4165" s="28" t="s">
        <v>16224</v>
      </c>
      <c r="M4165" s="28" t="s">
        <v>17580</v>
      </c>
      <c r="N4165" s="28" t="s">
        <v>16226</v>
      </c>
      <c r="O4165" s="28" t="s">
        <v>16227</v>
      </c>
      <c r="P4165" s="28" t="s">
        <v>21894</v>
      </c>
    </row>
    <row r="4166" spans="1:16" x14ac:dyDescent="0.25">
      <c r="A4166" s="28" t="s">
        <v>21895</v>
      </c>
      <c r="B4166" s="28" t="s">
        <v>21896</v>
      </c>
      <c r="C4166" s="28" t="s">
        <v>4491</v>
      </c>
      <c r="D4166" s="28" t="s">
        <v>6467</v>
      </c>
      <c r="E4166" s="28" t="s">
        <v>17584</v>
      </c>
      <c r="F4166" s="28" t="s">
        <v>21</v>
      </c>
      <c r="G4166" s="28" t="s">
        <v>39</v>
      </c>
      <c r="H4166" s="28" t="s">
        <v>16221</v>
      </c>
      <c r="I4166" s="28" t="s">
        <v>21897</v>
      </c>
      <c r="J4166" s="28" t="s">
        <v>39</v>
      </c>
      <c r="K4166" s="28" t="s">
        <v>16223</v>
      </c>
      <c r="L4166" s="28" t="s">
        <v>16224</v>
      </c>
      <c r="M4166" s="28" t="s">
        <v>17586</v>
      </c>
      <c r="N4166" s="28" t="s">
        <v>16226</v>
      </c>
      <c r="O4166" s="28" t="s">
        <v>16227</v>
      </c>
      <c r="P4166" s="28" t="s">
        <v>21898</v>
      </c>
    </row>
    <row r="4167" spans="1:16" x14ac:dyDescent="0.25">
      <c r="A4167" s="28" t="s">
        <v>21899</v>
      </c>
      <c r="B4167" s="28" t="s">
        <v>21900</v>
      </c>
      <c r="C4167" s="28" t="s">
        <v>4491</v>
      </c>
      <c r="D4167" s="28" t="s">
        <v>6467</v>
      </c>
      <c r="E4167" s="28" t="s">
        <v>17590</v>
      </c>
      <c r="F4167" s="28" t="s">
        <v>21</v>
      </c>
      <c r="G4167" s="28" t="s">
        <v>39</v>
      </c>
      <c r="H4167" s="28" t="s">
        <v>16221</v>
      </c>
      <c r="I4167" s="28" t="s">
        <v>21901</v>
      </c>
      <c r="J4167" s="28" t="s">
        <v>39</v>
      </c>
      <c r="K4167" s="28" t="s">
        <v>16223</v>
      </c>
      <c r="L4167" s="28" t="s">
        <v>16224</v>
      </c>
      <c r="M4167" s="28" t="s">
        <v>17592</v>
      </c>
      <c r="N4167" s="28" t="s">
        <v>16226</v>
      </c>
      <c r="O4167" s="28" t="s">
        <v>16227</v>
      </c>
      <c r="P4167" s="28" t="s">
        <v>21902</v>
      </c>
    </row>
    <row r="4168" spans="1:16" x14ac:dyDescent="0.25">
      <c r="A4168" s="28" t="s">
        <v>21903</v>
      </c>
      <c r="B4168" s="28" t="s">
        <v>21904</v>
      </c>
      <c r="C4168" s="28" t="s">
        <v>4491</v>
      </c>
      <c r="D4168" s="28" t="s">
        <v>6467</v>
      </c>
      <c r="E4168" s="28" t="s">
        <v>17596</v>
      </c>
      <c r="F4168" s="28" t="s">
        <v>21</v>
      </c>
      <c r="G4168" s="28" t="s">
        <v>39</v>
      </c>
      <c r="H4168" s="28" t="s">
        <v>16221</v>
      </c>
      <c r="I4168" s="28" t="s">
        <v>21905</v>
      </c>
      <c r="J4168" s="28" t="s">
        <v>39</v>
      </c>
      <c r="K4168" s="28" t="s">
        <v>16223</v>
      </c>
      <c r="L4168" s="28" t="s">
        <v>16224</v>
      </c>
      <c r="M4168" s="28" t="s">
        <v>17598</v>
      </c>
      <c r="N4168" s="28" t="s">
        <v>16226</v>
      </c>
      <c r="O4168" s="28" t="s">
        <v>16227</v>
      </c>
      <c r="P4168" s="28" t="s">
        <v>21906</v>
      </c>
    </row>
    <row r="4169" spans="1:16" x14ac:dyDescent="0.25">
      <c r="A4169" s="28" t="s">
        <v>21907</v>
      </c>
      <c r="B4169" s="28" t="s">
        <v>21908</v>
      </c>
      <c r="C4169" s="28" t="s">
        <v>4491</v>
      </c>
      <c r="D4169" s="28" t="s">
        <v>6467</v>
      </c>
      <c r="E4169" s="28" t="s">
        <v>17602</v>
      </c>
      <c r="F4169" s="28" t="s">
        <v>21</v>
      </c>
      <c r="G4169" s="28" t="s">
        <v>39</v>
      </c>
      <c r="H4169" s="28" t="s">
        <v>16221</v>
      </c>
      <c r="I4169" s="28" t="s">
        <v>21909</v>
      </c>
      <c r="J4169" s="28" t="s">
        <v>39</v>
      </c>
      <c r="K4169" s="28" t="s">
        <v>16223</v>
      </c>
      <c r="L4169" s="28" t="s">
        <v>16224</v>
      </c>
      <c r="M4169" s="28" t="s">
        <v>17604</v>
      </c>
      <c r="N4169" s="28" t="s">
        <v>16226</v>
      </c>
      <c r="O4169" s="28" t="s">
        <v>16227</v>
      </c>
      <c r="P4169" s="28" t="s">
        <v>21910</v>
      </c>
    </row>
    <row r="4170" spans="1:16" x14ac:dyDescent="0.25">
      <c r="A4170" s="28" t="s">
        <v>21911</v>
      </c>
      <c r="B4170" s="28" t="s">
        <v>21912</v>
      </c>
      <c r="C4170" s="28" t="s">
        <v>4491</v>
      </c>
      <c r="D4170" s="28" t="s">
        <v>6467</v>
      </c>
      <c r="E4170" s="28" t="s">
        <v>17608</v>
      </c>
      <c r="F4170" s="28" t="s">
        <v>21</v>
      </c>
      <c r="G4170" s="28" t="s">
        <v>39</v>
      </c>
      <c r="H4170" s="28" t="s">
        <v>16221</v>
      </c>
      <c r="I4170" s="28" t="s">
        <v>21913</v>
      </c>
      <c r="J4170" s="28" t="s">
        <v>39</v>
      </c>
      <c r="K4170" s="28" t="s">
        <v>16223</v>
      </c>
      <c r="L4170" s="28" t="s">
        <v>16224</v>
      </c>
      <c r="M4170" s="28" t="s">
        <v>17610</v>
      </c>
      <c r="N4170" s="28" t="s">
        <v>16226</v>
      </c>
      <c r="O4170" s="28" t="s">
        <v>16227</v>
      </c>
      <c r="P4170" s="28" t="s">
        <v>21914</v>
      </c>
    </row>
    <row r="4171" spans="1:16" x14ac:dyDescent="0.25">
      <c r="A4171" s="28" t="s">
        <v>21915</v>
      </c>
      <c r="B4171" s="28" t="s">
        <v>21916</v>
      </c>
      <c r="C4171" s="28" t="s">
        <v>4491</v>
      </c>
      <c r="D4171" s="28" t="s">
        <v>6467</v>
      </c>
      <c r="E4171" s="28" t="s">
        <v>17614</v>
      </c>
      <c r="F4171" s="28" t="s">
        <v>21</v>
      </c>
      <c r="G4171" s="28" t="s">
        <v>39</v>
      </c>
      <c r="H4171" s="28" t="s">
        <v>16221</v>
      </c>
      <c r="I4171" s="28" t="s">
        <v>21917</v>
      </c>
      <c r="J4171" s="28" t="s">
        <v>39</v>
      </c>
      <c r="K4171" s="28" t="s">
        <v>16223</v>
      </c>
      <c r="L4171" s="28" t="s">
        <v>16224</v>
      </c>
      <c r="M4171" s="28" t="s">
        <v>17616</v>
      </c>
      <c r="N4171" s="28" t="s">
        <v>16226</v>
      </c>
      <c r="O4171" s="28" t="s">
        <v>16227</v>
      </c>
      <c r="P4171" s="28" t="s">
        <v>21918</v>
      </c>
    </row>
    <row r="4172" spans="1:16" x14ac:dyDescent="0.25">
      <c r="A4172" s="28" t="s">
        <v>21919</v>
      </c>
      <c r="B4172" s="28" t="s">
        <v>21920</v>
      </c>
      <c r="C4172" s="28" t="s">
        <v>4491</v>
      </c>
      <c r="D4172" s="28" t="s">
        <v>6467</v>
      </c>
      <c r="E4172" s="28" t="s">
        <v>17620</v>
      </c>
      <c r="F4172" s="28" t="s">
        <v>21</v>
      </c>
      <c r="G4172" s="28" t="s">
        <v>39</v>
      </c>
      <c r="H4172" s="28" t="s">
        <v>16221</v>
      </c>
      <c r="I4172" s="28" t="s">
        <v>21921</v>
      </c>
      <c r="J4172" s="28" t="s">
        <v>39</v>
      </c>
      <c r="K4172" s="28" t="s">
        <v>16223</v>
      </c>
      <c r="L4172" s="28" t="s">
        <v>16224</v>
      </c>
      <c r="M4172" s="28" t="s">
        <v>17622</v>
      </c>
      <c r="N4172" s="28" t="s">
        <v>16226</v>
      </c>
      <c r="O4172" s="28" t="s">
        <v>16227</v>
      </c>
      <c r="P4172" s="28" t="s">
        <v>21922</v>
      </c>
    </row>
    <row r="4173" spans="1:16" x14ac:dyDescent="0.25">
      <c r="A4173" s="28" t="s">
        <v>21923</v>
      </c>
      <c r="B4173" s="28" t="s">
        <v>21924</v>
      </c>
      <c r="C4173" s="28" t="s">
        <v>4491</v>
      </c>
      <c r="D4173" s="28" t="s">
        <v>6467</v>
      </c>
      <c r="E4173" s="28" t="s">
        <v>17626</v>
      </c>
      <c r="F4173" s="28" t="s">
        <v>21</v>
      </c>
      <c r="G4173" s="28" t="s">
        <v>39</v>
      </c>
      <c r="H4173" s="28" t="s">
        <v>16221</v>
      </c>
      <c r="I4173" s="28" t="s">
        <v>21925</v>
      </c>
      <c r="J4173" s="28" t="s">
        <v>39</v>
      </c>
      <c r="K4173" s="28" t="s">
        <v>16223</v>
      </c>
      <c r="L4173" s="28" t="s">
        <v>16224</v>
      </c>
      <c r="M4173" s="28" t="s">
        <v>17628</v>
      </c>
      <c r="N4173" s="28" t="s">
        <v>16226</v>
      </c>
      <c r="O4173" s="28" t="s">
        <v>16227</v>
      </c>
      <c r="P4173" s="28" t="s">
        <v>21926</v>
      </c>
    </row>
    <row r="4174" spans="1:16" x14ac:dyDescent="0.25">
      <c r="A4174" s="28" t="s">
        <v>21927</v>
      </c>
      <c r="B4174" s="28" t="s">
        <v>21928</v>
      </c>
      <c r="C4174" s="28" t="s">
        <v>4491</v>
      </c>
      <c r="D4174" s="28" t="s">
        <v>6467</v>
      </c>
      <c r="E4174" s="28" t="s">
        <v>17632</v>
      </c>
      <c r="F4174" s="28" t="s">
        <v>21</v>
      </c>
      <c r="G4174" s="28" t="s">
        <v>39</v>
      </c>
      <c r="H4174" s="28" t="s">
        <v>16221</v>
      </c>
      <c r="I4174" s="28" t="s">
        <v>21929</v>
      </c>
      <c r="J4174" s="28" t="s">
        <v>39</v>
      </c>
      <c r="K4174" s="28" t="s">
        <v>16223</v>
      </c>
      <c r="L4174" s="28" t="s">
        <v>16224</v>
      </c>
      <c r="M4174" s="28" t="s">
        <v>17634</v>
      </c>
      <c r="N4174" s="28" t="s">
        <v>16226</v>
      </c>
      <c r="O4174" s="28" t="s">
        <v>16227</v>
      </c>
      <c r="P4174" s="28" t="s">
        <v>21930</v>
      </c>
    </row>
    <row r="4175" spans="1:16" x14ac:dyDescent="0.25">
      <c r="A4175" s="28" t="s">
        <v>21931</v>
      </c>
      <c r="B4175" s="28" t="s">
        <v>21932</v>
      </c>
      <c r="C4175" s="28" t="s">
        <v>4491</v>
      </c>
      <c r="D4175" s="28" t="s">
        <v>6467</v>
      </c>
      <c r="E4175" s="28" t="s">
        <v>17638</v>
      </c>
      <c r="F4175" s="28" t="s">
        <v>21</v>
      </c>
      <c r="G4175" s="28" t="s">
        <v>39</v>
      </c>
      <c r="H4175" s="28" t="s">
        <v>16221</v>
      </c>
      <c r="I4175" s="28" t="s">
        <v>21933</v>
      </c>
      <c r="J4175" s="28" t="s">
        <v>39</v>
      </c>
      <c r="K4175" s="28" t="s">
        <v>16223</v>
      </c>
      <c r="L4175" s="28" t="s">
        <v>16224</v>
      </c>
      <c r="M4175" s="28" t="s">
        <v>17640</v>
      </c>
      <c r="N4175" s="28" t="s">
        <v>16226</v>
      </c>
      <c r="O4175" s="28" t="s">
        <v>16227</v>
      </c>
      <c r="P4175" s="28" t="s">
        <v>21934</v>
      </c>
    </row>
    <row r="4176" spans="1:16" x14ac:dyDescent="0.25">
      <c r="A4176" s="28" t="s">
        <v>21935</v>
      </c>
      <c r="B4176" s="28" t="s">
        <v>21936</v>
      </c>
      <c r="C4176" s="28" t="s">
        <v>4491</v>
      </c>
      <c r="D4176" s="28" t="s">
        <v>6467</v>
      </c>
      <c r="E4176" s="28" t="s">
        <v>17644</v>
      </c>
      <c r="F4176" s="28" t="s">
        <v>21</v>
      </c>
      <c r="G4176" s="28" t="s">
        <v>39</v>
      </c>
      <c r="H4176" s="28" t="s">
        <v>16221</v>
      </c>
      <c r="I4176" s="28" t="s">
        <v>21937</v>
      </c>
      <c r="J4176" s="28" t="s">
        <v>39</v>
      </c>
      <c r="K4176" s="28" t="s">
        <v>16223</v>
      </c>
      <c r="L4176" s="28" t="s">
        <v>16224</v>
      </c>
      <c r="M4176" s="28" t="s">
        <v>17646</v>
      </c>
      <c r="N4176" s="28" t="s">
        <v>16226</v>
      </c>
      <c r="O4176" s="28" t="s">
        <v>16227</v>
      </c>
      <c r="P4176" s="28" t="s">
        <v>21938</v>
      </c>
    </row>
    <row r="4177" spans="1:16" x14ac:dyDescent="0.25">
      <c r="A4177" s="28" t="s">
        <v>21939</v>
      </c>
      <c r="B4177" s="28" t="s">
        <v>21940</v>
      </c>
      <c r="C4177" s="28" t="s">
        <v>4491</v>
      </c>
      <c r="D4177" s="28" t="s">
        <v>6467</v>
      </c>
      <c r="E4177" s="28" t="s">
        <v>17650</v>
      </c>
      <c r="F4177" s="28" t="s">
        <v>21</v>
      </c>
      <c r="G4177" s="28" t="s">
        <v>39</v>
      </c>
      <c r="H4177" s="28" t="s">
        <v>16221</v>
      </c>
      <c r="I4177" s="28" t="s">
        <v>21941</v>
      </c>
      <c r="J4177" s="28" t="s">
        <v>39</v>
      </c>
      <c r="K4177" s="28" t="s">
        <v>16223</v>
      </c>
      <c r="L4177" s="28" t="s">
        <v>16224</v>
      </c>
      <c r="M4177" s="28" t="s">
        <v>17652</v>
      </c>
      <c r="N4177" s="28" t="s">
        <v>16226</v>
      </c>
      <c r="O4177" s="28" t="s">
        <v>16227</v>
      </c>
      <c r="P4177" s="28" t="s">
        <v>21942</v>
      </c>
    </row>
    <row r="4178" spans="1:16" x14ac:dyDescent="0.25">
      <c r="A4178" s="28" t="s">
        <v>21943</v>
      </c>
      <c r="B4178" s="28" t="s">
        <v>21944</v>
      </c>
      <c r="C4178" s="28" t="s">
        <v>4491</v>
      </c>
      <c r="D4178" s="28" t="s">
        <v>6467</v>
      </c>
      <c r="E4178" s="28" t="s">
        <v>17656</v>
      </c>
      <c r="F4178" s="28" t="s">
        <v>21</v>
      </c>
      <c r="G4178" s="28" t="s">
        <v>39</v>
      </c>
      <c r="H4178" s="28" t="s">
        <v>16221</v>
      </c>
      <c r="I4178" s="28" t="s">
        <v>21945</v>
      </c>
      <c r="J4178" s="28" t="s">
        <v>39</v>
      </c>
      <c r="K4178" s="28" t="s">
        <v>16223</v>
      </c>
      <c r="L4178" s="28" t="s">
        <v>16224</v>
      </c>
      <c r="M4178" s="28" t="s">
        <v>17658</v>
      </c>
      <c r="N4178" s="28" t="s">
        <v>16226</v>
      </c>
      <c r="O4178" s="28" t="s">
        <v>16227</v>
      </c>
      <c r="P4178" s="28" t="s">
        <v>21946</v>
      </c>
    </row>
    <row r="4179" spans="1:16" x14ac:dyDescent="0.25">
      <c r="A4179" s="28" t="s">
        <v>21947</v>
      </c>
      <c r="B4179" s="28" t="s">
        <v>21948</v>
      </c>
      <c r="C4179" s="28" t="s">
        <v>4491</v>
      </c>
      <c r="D4179" s="28" t="s">
        <v>6467</v>
      </c>
      <c r="E4179" s="28" t="s">
        <v>17662</v>
      </c>
      <c r="F4179" s="28" t="s">
        <v>21</v>
      </c>
      <c r="G4179" s="28" t="s">
        <v>39</v>
      </c>
      <c r="H4179" s="28" t="s">
        <v>16221</v>
      </c>
      <c r="I4179" s="28" t="s">
        <v>21949</v>
      </c>
      <c r="J4179" s="28" t="s">
        <v>39</v>
      </c>
      <c r="K4179" s="28" t="s">
        <v>16223</v>
      </c>
      <c r="L4179" s="28" t="s">
        <v>16224</v>
      </c>
      <c r="M4179" s="28" t="s">
        <v>17664</v>
      </c>
      <c r="N4179" s="28" t="s">
        <v>16226</v>
      </c>
      <c r="O4179" s="28" t="s">
        <v>16227</v>
      </c>
      <c r="P4179" s="28" t="s">
        <v>21950</v>
      </c>
    </row>
    <row r="4180" spans="1:16" x14ac:dyDescent="0.25">
      <c r="A4180" s="28" t="s">
        <v>21951</v>
      </c>
      <c r="B4180" s="28" t="s">
        <v>21952</v>
      </c>
      <c r="C4180" s="28" t="s">
        <v>4491</v>
      </c>
      <c r="D4180" s="28" t="s">
        <v>6467</v>
      </c>
      <c r="E4180" s="28" t="s">
        <v>17668</v>
      </c>
      <c r="F4180" s="28" t="s">
        <v>21</v>
      </c>
      <c r="G4180" s="28" t="s">
        <v>39</v>
      </c>
      <c r="H4180" s="28" t="s">
        <v>16221</v>
      </c>
      <c r="I4180" s="28" t="s">
        <v>21953</v>
      </c>
      <c r="J4180" s="28" t="s">
        <v>39</v>
      </c>
      <c r="K4180" s="28" t="s">
        <v>16223</v>
      </c>
      <c r="L4180" s="28" t="s">
        <v>16224</v>
      </c>
      <c r="M4180" s="28" t="s">
        <v>17670</v>
      </c>
      <c r="N4180" s="28" t="s">
        <v>16226</v>
      </c>
      <c r="O4180" s="28" t="s">
        <v>16227</v>
      </c>
      <c r="P4180" s="28" t="s">
        <v>21954</v>
      </c>
    </row>
    <row r="4181" spans="1:16" x14ac:dyDescent="0.25">
      <c r="A4181" s="28" t="s">
        <v>21955</v>
      </c>
      <c r="B4181" s="28" t="s">
        <v>21956</v>
      </c>
      <c r="C4181" s="28" t="s">
        <v>4491</v>
      </c>
      <c r="D4181" s="28" t="s">
        <v>5990</v>
      </c>
      <c r="E4181" s="28" t="s">
        <v>17674</v>
      </c>
      <c r="F4181" s="28" t="s">
        <v>21</v>
      </c>
      <c r="G4181" s="28" t="s">
        <v>39</v>
      </c>
      <c r="H4181" s="28" t="s">
        <v>16221</v>
      </c>
      <c r="I4181" s="28" t="s">
        <v>21957</v>
      </c>
      <c r="J4181" s="28" t="s">
        <v>39</v>
      </c>
      <c r="K4181" s="28" t="s">
        <v>16223</v>
      </c>
      <c r="L4181" s="28" t="s">
        <v>16224</v>
      </c>
      <c r="M4181" s="28" t="s">
        <v>17676</v>
      </c>
      <c r="N4181" s="28" t="s">
        <v>16226</v>
      </c>
      <c r="O4181" s="28" t="s">
        <v>16227</v>
      </c>
      <c r="P4181" s="28" t="s">
        <v>21958</v>
      </c>
    </row>
    <row r="4182" spans="1:16" x14ac:dyDescent="0.25">
      <c r="A4182" s="28" t="s">
        <v>21959</v>
      </c>
      <c r="B4182" s="28" t="s">
        <v>21960</v>
      </c>
      <c r="C4182" s="28" t="s">
        <v>4491</v>
      </c>
      <c r="D4182" s="28" t="s">
        <v>5990</v>
      </c>
      <c r="E4182" s="28" t="s">
        <v>17674</v>
      </c>
      <c r="F4182" s="28" t="s">
        <v>21</v>
      </c>
      <c r="G4182" s="28" t="s">
        <v>39</v>
      </c>
      <c r="H4182" s="28" t="s">
        <v>16221</v>
      </c>
      <c r="I4182" s="28" t="s">
        <v>21961</v>
      </c>
      <c r="J4182" s="28" t="s">
        <v>39</v>
      </c>
      <c r="K4182" s="28" t="s">
        <v>16223</v>
      </c>
      <c r="L4182" s="28" t="s">
        <v>16224</v>
      </c>
      <c r="M4182" s="28" t="s">
        <v>17681</v>
      </c>
      <c r="N4182" s="28" t="s">
        <v>16226</v>
      </c>
      <c r="O4182" s="28" t="s">
        <v>16227</v>
      </c>
      <c r="P4182" s="28" t="s">
        <v>21958</v>
      </c>
    </row>
    <row r="4183" spans="1:16" x14ac:dyDescent="0.25">
      <c r="A4183" s="28" t="s">
        <v>21962</v>
      </c>
      <c r="B4183" s="28" t="s">
        <v>21963</v>
      </c>
      <c r="C4183" s="28" t="s">
        <v>4491</v>
      </c>
      <c r="D4183" s="28" t="s">
        <v>5990</v>
      </c>
      <c r="E4183" s="28" t="s">
        <v>17684</v>
      </c>
      <c r="F4183" s="28" t="s">
        <v>21</v>
      </c>
      <c r="G4183" s="28" t="s">
        <v>39</v>
      </c>
      <c r="H4183" s="28" t="s">
        <v>16221</v>
      </c>
      <c r="I4183" s="28" t="s">
        <v>21964</v>
      </c>
      <c r="J4183" s="28" t="s">
        <v>39</v>
      </c>
      <c r="K4183" s="28" t="s">
        <v>16223</v>
      </c>
      <c r="L4183" s="28" t="s">
        <v>16224</v>
      </c>
      <c r="M4183" s="28" t="s">
        <v>17686</v>
      </c>
      <c r="N4183" s="28" t="s">
        <v>16226</v>
      </c>
      <c r="O4183" s="28" t="s">
        <v>16227</v>
      </c>
      <c r="P4183" s="28" t="s">
        <v>21965</v>
      </c>
    </row>
    <row r="4184" spans="1:16" x14ac:dyDescent="0.25">
      <c r="A4184" s="28" t="s">
        <v>21966</v>
      </c>
      <c r="B4184" s="28" t="s">
        <v>21967</v>
      </c>
      <c r="C4184" s="28" t="s">
        <v>4491</v>
      </c>
      <c r="D4184" s="28" t="s">
        <v>5990</v>
      </c>
      <c r="E4184" s="28" t="s">
        <v>17684</v>
      </c>
      <c r="F4184" s="28" t="s">
        <v>21</v>
      </c>
      <c r="G4184" s="28" t="s">
        <v>39</v>
      </c>
      <c r="H4184" s="28" t="s">
        <v>16221</v>
      </c>
      <c r="I4184" s="28" t="s">
        <v>21968</v>
      </c>
      <c r="J4184" s="28" t="s">
        <v>39</v>
      </c>
      <c r="K4184" s="28" t="s">
        <v>16223</v>
      </c>
      <c r="L4184" s="28" t="s">
        <v>16224</v>
      </c>
      <c r="M4184" s="28" t="s">
        <v>17691</v>
      </c>
      <c r="N4184" s="28" t="s">
        <v>16226</v>
      </c>
      <c r="O4184" s="28" t="s">
        <v>16227</v>
      </c>
      <c r="P4184" s="28" t="s">
        <v>21965</v>
      </c>
    </row>
    <row r="4185" spans="1:16" hidden="1" x14ac:dyDescent="0.25">
      <c r="A4185" s="28" t="s">
        <v>21969</v>
      </c>
      <c r="B4185" s="28" t="s">
        <v>21970</v>
      </c>
      <c r="C4185" s="28" t="s">
        <v>4491</v>
      </c>
      <c r="D4185" s="28" t="s">
        <v>5990</v>
      </c>
      <c r="E4185" s="28" t="s">
        <v>17694</v>
      </c>
      <c r="F4185" s="28" t="s">
        <v>21</v>
      </c>
      <c r="G4185" s="28" t="s">
        <v>22</v>
      </c>
      <c r="H4185" s="28" t="s">
        <v>21726</v>
      </c>
      <c r="I4185" s="28" t="s">
        <v>21971</v>
      </c>
      <c r="J4185" s="28" t="s">
        <v>22</v>
      </c>
      <c r="K4185" s="28" t="s">
        <v>21728</v>
      </c>
      <c r="L4185" s="28" t="s">
        <v>21729</v>
      </c>
      <c r="M4185" s="28" t="s">
        <v>21972</v>
      </c>
      <c r="N4185" s="28" t="s">
        <v>21731</v>
      </c>
      <c r="O4185" s="28" t="s">
        <v>21732</v>
      </c>
      <c r="P4185" s="28" t="s">
        <v>21973</v>
      </c>
    </row>
    <row r="4186" spans="1:16" x14ac:dyDescent="0.25">
      <c r="A4186" s="28" t="s">
        <v>21974</v>
      </c>
      <c r="B4186" s="28" t="s">
        <v>21975</v>
      </c>
      <c r="C4186" s="28" t="s">
        <v>4491</v>
      </c>
      <c r="D4186" s="28" t="s">
        <v>5990</v>
      </c>
      <c r="E4186" s="28" t="s">
        <v>21976</v>
      </c>
      <c r="F4186" s="28" t="s">
        <v>21</v>
      </c>
      <c r="G4186" s="28" t="s">
        <v>135</v>
      </c>
      <c r="H4186" s="28" t="s">
        <v>21726</v>
      </c>
      <c r="I4186" s="28" t="s">
        <v>21977</v>
      </c>
      <c r="J4186" s="28" t="s">
        <v>135</v>
      </c>
      <c r="K4186" s="28" t="s">
        <v>21978</v>
      </c>
      <c r="L4186" s="28" t="s">
        <v>21729</v>
      </c>
      <c r="M4186" s="28" t="s">
        <v>21979</v>
      </c>
      <c r="N4186" s="28" t="s">
        <v>21731</v>
      </c>
      <c r="O4186" s="28" t="s">
        <v>21732</v>
      </c>
      <c r="P4186" s="28" t="s">
        <v>21980</v>
      </c>
    </row>
    <row r="4187" spans="1:16" x14ac:dyDescent="0.25">
      <c r="A4187" s="28" t="s">
        <v>21981</v>
      </c>
      <c r="B4187" s="28" t="s">
        <v>21982</v>
      </c>
      <c r="C4187" s="28" t="s">
        <v>4491</v>
      </c>
      <c r="D4187" s="28" t="s">
        <v>5990</v>
      </c>
      <c r="E4187" s="28" t="s">
        <v>21983</v>
      </c>
      <c r="F4187" s="28" t="s">
        <v>21</v>
      </c>
      <c r="G4187" s="28" t="s">
        <v>135</v>
      </c>
      <c r="H4187" s="28" t="s">
        <v>21726</v>
      </c>
      <c r="I4187" s="28" t="s">
        <v>21984</v>
      </c>
      <c r="J4187" s="28" t="s">
        <v>135</v>
      </c>
      <c r="K4187" s="28" t="s">
        <v>21978</v>
      </c>
      <c r="L4187" s="28" t="s">
        <v>21729</v>
      </c>
      <c r="M4187" s="28" t="s">
        <v>21985</v>
      </c>
      <c r="N4187" s="28" t="s">
        <v>21731</v>
      </c>
      <c r="O4187" s="28" t="s">
        <v>21732</v>
      </c>
      <c r="P4187" s="28" t="s">
        <v>21986</v>
      </c>
    </row>
    <row r="4188" spans="1:16" x14ac:dyDescent="0.25">
      <c r="A4188" s="28" t="s">
        <v>21987</v>
      </c>
      <c r="B4188" s="28" t="s">
        <v>21988</v>
      </c>
      <c r="C4188" s="28" t="s">
        <v>4491</v>
      </c>
      <c r="D4188" s="28" t="s">
        <v>5990</v>
      </c>
      <c r="E4188" s="28" t="s">
        <v>17700</v>
      </c>
      <c r="F4188" s="28" t="s">
        <v>21</v>
      </c>
      <c r="G4188" s="28" t="s">
        <v>39</v>
      </c>
      <c r="H4188" s="28" t="s">
        <v>16221</v>
      </c>
      <c r="I4188" s="28" t="s">
        <v>21989</v>
      </c>
      <c r="J4188" s="28" t="s">
        <v>39</v>
      </c>
      <c r="K4188" s="28" t="s">
        <v>16223</v>
      </c>
      <c r="L4188" s="28" t="s">
        <v>16224</v>
      </c>
      <c r="M4188" s="28" t="s">
        <v>17702</v>
      </c>
      <c r="N4188" s="28" t="s">
        <v>16226</v>
      </c>
      <c r="O4188" s="28" t="s">
        <v>16227</v>
      </c>
      <c r="P4188" s="28" t="s">
        <v>21990</v>
      </c>
    </row>
    <row r="4189" spans="1:16" x14ac:dyDescent="0.25">
      <c r="A4189" s="28" t="s">
        <v>21991</v>
      </c>
      <c r="B4189" s="28" t="s">
        <v>21992</v>
      </c>
      <c r="C4189" s="28" t="s">
        <v>4491</v>
      </c>
      <c r="D4189" s="28" t="s">
        <v>5990</v>
      </c>
      <c r="E4189" s="28" t="s">
        <v>17706</v>
      </c>
      <c r="F4189" s="28" t="s">
        <v>21</v>
      </c>
      <c r="G4189" s="28" t="s">
        <v>39</v>
      </c>
      <c r="H4189" s="28" t="s">
        <v>16221</v>
      </c>
      <c r="I4189" s="28" t="s">
        <v>21993</v>
      </c>
      <c r="J4189" s="28" t="s">
        <v>39</v>
      </c>
      <c r="K4189" s="28" t="s">
        <v>16223</v>
      </c>
      <c r="L4189" s="28" t="s">
        <v>16224</v>
      </c>
      <c r="M4189" s="28" t="s">
        <v>17708</v>
      </c>
      <c r="N4189" s="28" t="s">
        <v>16226</v>
      </c>
      <c r="O4189" s="28" t="s">
        <v>16227</v>
      </c>
      <c r="P4189" s="28" t="s">
        <v>21994</v>
      </c>
    </row>
    <row r="4190" spans="1:16" x14ac:dyDescent="0.25">
      <c r="A4190" s="28" t="s">
        <v>21995</v>
      </c>
      <c r="B4190" s="28" t="s">
        <v>21996</v>
      </c>
      <c r="C4190" s="28" t="s">
        <v>4491</v>
      </c>
      <c r="D4190" s="28" t="s">
        <v>5990</v>
      </c>
      <c r="E4190" s="28" t="s">
        <v>17706</v>
      </c>
      <c r="F4190" s="28" t="s">
        <v>21</v>
      </c>
      <c r="G4190" s="28" t="s">
        <v>39</v>
      </c>
      <c r="H4190" s="28" t="s">
        <v>16221</v>
      </c>
      <c r="I4190" s="28" t="s">
        <v>21997</v>
      </c>
      <c r="J4190" s="28" t="s">
        <v>39</v>
      </c>
      <c r="K4190" s="28" t="s">
        <v>16223</v>
      </c>
      <c r="L4190" s="28" t="s">
        <v>16224</v>
      </c>
      <c r="M4190" s="28" t="s">
        <v>17713</v>
      </c>
      <c r="N4190" s="28" t="s">
        <v>16226</v>
      </c>
      <c r="O4190" s="28" t="s">
        <v>16227</v>
      </c>
      <c r="P4190" s="28" t="s">
        <v>21994</v>
      </c>
    </row>
    <row r="4191" spans="1:16" x14ac:dyDescent="0.25">
      <c r="A4191" s="28" t="s">
        <v>21998</v>
      </c>
      <c r="B4191" s="28" t="s">
        <v>21999</v>
      </c>
      <c r="C4191" s="28" t="s">
        <v>4491</v>
      </c>
      <c r="D4191" s="28" t="s">
        <v>19</v>
      </c>
      <c r="E4191" s="28" t="s">
        <v>206</v>
      </c>
      <c r="F4191" s="28" t="s">
        <v>21</v>
      </c>
      <c r="G4191" s="28" t="s">
        <v>39</v>
      </c>
      <c r="H4191" s="28" t="s">
        <v>16221</v>
      </c>
      <c r="I4191" s="28" t="s">
        <v>22000</v>
      </c>
      <c r="J4191" s="28" t="s">
        <v>39</v>
      </c>
      <c r="K4191" s="28" t="s">
        <v>16223</v>
      </c>
      <c r="L4191" s="28" t="s">
        <v>16224</v>
      </c>
      <c r="M4191" s="28" t="s">
        <v>17717</v>
      </c>
      <c r="N4191" s="28" t="s">
        <v>16226</v>
      </c>
      <c r="O4191" s="28" t="s">
        <v>16227</v>
      </c>
      <c r="P4191" s="28" t="s">
        <v>22001</v>
      </c>
    </row>
    <row r="4192" spans="1:16" x14ac:dyDescent="0.25">
      <c r="A4192" s="28" t="s">
        <v>22002</v>
      </c>
      <c r="B4192" s="28" t="s">
        <v>22003</v>
      </c>
      <c r="C4192" s="28" t="s">
        <v>4491</v>
      </c>
      <c r="D4192" s="28" t="s">
        <v>45</v>
      </c>
      <c r="E4192" s="28" t="s">
        <v>17721</v>
      </c>
      <c r="F4192" s="28" t="s">
        <v>21</v>
      </c>
      <c r="G4192" s="28" t="s">
        <v>39</v>
      </c>
      <c r="H4192" s="28" t="s">
        <v>16221</v>
      </c>
      <c r="I4192" s="28" t="s">
        <v>22004</v>
      </c>
      <c r="J4192" s="28" t="s">
        <v>39</v>
      </c>
      <c r="K4192" s="28" t="s">
        <v>16223</v>
      </c>
      <c r="L4192" s="28" t="s">
        <v>16224</v>
      </c>
      <c r="M4192" s="28" t="s">
        <v>17723</v>
      </c>
      <c r="N4192" s="28" t="s">
        <v>16226</v>
      </c>
      <c r="O4192" s="28" t="s">
        <v>16227</v>
      </c>
      <c r="P4192" s="28" t="s">
        <v>22005</v>
      </c>
    </row>
    <row r="4193" spans="1:16" x14ac:dyDescent="0.25">
      <c r="A4193" s="28" t="s">
        <v>22006</v>
      </c>
      <c r="B4193" s="28" t="s">
        <v>22007</v>
      </c>
      <c r="C4193" s="28" t="s">
        <v>4491</v>
      </c>
      <c r="D4193" s="28" t="s">
        <v>45</v>
      </c>
      <c r="E4193" s="28" t="s">
        <v>17727</v>
      </c>
      <c r="F4193" s="28" t="s">
        <v>21</v>
      </c>
      <c r="G4193" s="28" t="s">
        <v>39</v>
      </c>
      <c r="H4193" s="28" t="s">
        <v>16221</v>
      </c>
      <c r="I4193" s="28" t="s">
        <v>22008</v>
      </c>
      <c r="J4193" s="28" t="s">
        <v>39</v>
      </c>
      <c r="K4193" s="28" t="s">
        <v>16223</v>
      </c>
      <c r="L4193" s="28" t="s">
        <v>16224</v>
      </c>
      <c r="M4193" s="28" t="s">
        <v>17729</v>
      </c>
      <c r="N4193" s="28" t="s">
        <v>16226</v>
      </c>
      <c r="O4193" s="28" t="s">
        <v>16227</v>
      </c>
      <c r="P4193" s="28" t="s">
        <v>22009</v>
      </c>
    </row>
    <row r="4194" spans="1:16" hidden="1" x14ac:dyDescent="0.25">
      <c r="A4194" s="28" t="s">
        <v>22010</v>
      </c>
      <c r="B4194" s="28" t="s">
        <v>22011</v>
      </c>
      <c r="C4194" s="28" t="s">
        <v>4491</v>
      </c>
      <c r="D4194" s="28" t="s">
        <v>45</v>
      </c>
      <c r="E4194" s="28" t="s">
        <v>17733</v>
      </c>
      <c r="F4194" s="28" t="s">
        <v>21</v>
      </c>
      <c r="G4194" s="28" t="s">
        <v>22</v>
      </c>
      <c r="H4194" s="28" t="s">
        <v>21726</v>
      </c>
      <c r="I4194" s="28" t="s">
        <v>22012</v>
      </c>
      <c r="J4194" s="28" t="s">
        <v>22</v>
      </c>
      <c r="K4194" s="28" t="s">
        <v>21728</v>
      </c>
      <c r="L4194" s="28" t="s">
        <v>21729</v>
      </c>
      <c r="M4194" s="28" t="s">
        <v>22013</v>
      </c>
      <c r="N4194" s="28" t="s">
        <v>21731</v>
      </c>
      <c r="O4194" s="28" t="s">
        <v>21732</v>
      </c>
      <c r="P4194" s="28" t="s">
        <v>22014</v>
      </c>
    </row>
    <row r="4195" spans="1:16" hidden="1" x14ac:dyDescent="0.25">
      <c r="A4195" s="28" t="s">
        <v>22015</v>
      </c>
      <c r="B4195" s="28" t="s">
        <v>22016</v>
      </c>
      <c r="C4195" s="28" t="s">
        <v>4491</v>
      </c>
      <c r="D4195" s="28" t="s">
        <v>45</v>
      </c>
      <c r="E4195" s="28" t="s">
        <v>17739</v>
      </c>
      <c r="F4195" s="28" t="s">
        <v>21</v>
      </c>
      <c r="G4195" s="28" t="s">
        <v>22</v>
      </c>
      <c r="H4195" s="28" t="s">
        <v>21726</v>
      </c>
      <c r="I4195" s="28" t="s">
        <v>22017</v>
      </c>
      <c r="J4195" s="28" t="s">
        <v>22</v>
      </c>
      <c r="K4195" s="28" t="s">
        <v>21728</v>
      </c>
      <c r="L4195" s="28" t="s">
        <v>21729</v>
      </c>
      <c r="M4195" s="28" t="s">
        <v>22018</v>
      </c>
      <c r="N4195" s="28" t="s">
        <v>21731</v>
      </c>
      <c r="O4195" s="28" t="s">
        <v>21732</v>
      </c>
      <c r="P4195" s="28" t="s">
        <v>22019</v>
      </c>
    </row>
    <row r="4196" spans="1:16" hidden="1" x14ac:dyDescent="0.25">
      <c r="A4196" s="28" t="s">
        <v>22020</v>
      </c>
      <c r="B4196" s="28" t="s">
        <v>22021</v>
      </c>
      <c r="C4196" s="28" t="s">
        <v>4491</v>
      </c>
      <c r="D4196" s="28" t="s">
        <v>45</v>
      </c>
      <c r="E4196" s="28" t="s">
        <v>17745</v>
      </c>
      <c r="F4196" s="28" t="s">
        <v>21</v>
      </c>
      <c r="G4196" s="28" t="s">
        <v>22</v>
      </c>
      <c r="H4196" s="28" t="s">
        <v>21726</v>
      </c>
      <c r="I4196" s="28" t="s">
        <v>22022</v>
      </c>
      <c r="J4196" s="28" t="s">
        <v>22</v>
      </c>
      <c r="K4196" s="28" t="s">
        <v>21728</v>
      </c>
      <c r="L4196" s="28" t="s">
        <v>21729</v>
      </c>
      <c r="M4196" s="28" t="s">
        <v>22023</v>
      </c>
      <c r="N4196" s="28" t="s">
        <v>21731</v>
      </c>
      <c r="O4196" s="28" t="s">
        <v>21732</v>
      </c>
      <c r="P4196" s="28" t="s">
        <v>22024</v>
      </c>
    </row>
    <row r="4197" spans="1:16" hidden="1" x14ac:dyDescent="0.25">
      <c r="A4197" s="28" t="s">
        <v>22025</v>
      </c>
      <c r="B4197" s="28" t="s">
        <v>22026</v>
      </c>
      <c r="C4197" s="28" t="s">
        <v>4491</v>
      </c>
      <c r="D4197" s="28" t="s">
        <v>45</v>
      </c>
      <c r="E4197" s="28" t="s">
        <v>17751</v>
      </c>
      <c r="F4197" s="28" t="s">
        <v>21</v>
      </c>
      <c r="G4197" s="28" t="s">
        <v>22</v>
      </c>
      <c r="H4197" s="28" t="s">
        <v>21726</v>
      </c>
      <c r="I4197" s="28" t="s">
        <v>22027</v>
      </c>
      <c r="J4197" s="28" t="s">
        <v>22</v>
      </c>
      <c r="K4197" s="28" t="s">
        <v>21728</v>
      </c>
      <c r="L4197" s="28" t="s">
        <v>21729</v>
      </c>
      <c r="M4197" s="28" t="s">
        <v>22028</v>
      </c>
      <c r="N4197" s="28" t="s">
        <v>21731</v>
      </c>
      <c r="O4197" s="28" t="s">
        <v>21732</v>
      </c>
      <c r="P4197" s="28" t="s">
        <v>22029</v>
      </c>
    </row>
    <row r="4198" spans="1:16" hidden="1" x14ac:dyDescent="0.25">
      <c r="A4198" s="28" t="s">
        <v>22030</v>
      </c>
      <c r="B4198" s="28" t="s">
        <v>22031</v>
      </c>
      <c r="C4198" s="28" t="s">
        <v>4491</v>
      </c>
      <c r="D4198" s="28" t="s">
        <v>45</v>
      </c>
      <c r="E4198" s="28" t="s">
        <v>17757</v>
      </c>
      <c r="F4198" s="28" t="s">
        <v>21</v>
      </c>
      <c r="G4198" s="28" t="s">
        <v>22</v>
      </c>
      <c r="H4198" s="28" t="s">
        <v>21726</v>
      </c>
      <c r="I4198" s="28" t="s">
        <v>22032</v>
      </c>
      <c r="J4198" s="28" t="s">
        <v>22</v>
      </c>
      <c r="K4198" s="28" t="s">
        <v>21728</v>
      </c>
      <c r="L4198" s="28" t="s">
        <v>21729</v>
      </c>
      <c r="M4198" s="28" t="s">
        <v>22033</v>
      </c>
      <c r="N4198" s="28" t="s">
        <v>21731</v>
      </c>
      <c r="O4198" s="28" t="s">
        <v>21732</v>
      </c>
      <c r="P4198" s="28" t="s">
        <v>22034</v>
      </c>
    </row>
    <row r="4199" spans="1:16" hidden="1" x14ac:dyDescent="0.25">
      <c r="A4199" s="28" t="s">
        <v>22035</v>
      </c>
      <c r="B4199" s="28" t="s">
        <v>22036</v>
      </c>
      <c r="C4199" s="28" t="s">
        <v>4491</v>
      </c>
      <c r="D4199" s="28" t="s">
        <v>45</v>
      </c>
      <c r="E4199" s="28" t="s">
        <v>17763</v>
      </c>
      <c r="F4199" s="28" t="s">
        <v>21</v>
      </c>
      <c r="G4199" s="28" t="s">
        <v>22</v>
      </c>
      <c r="H4199" s="28" t="s">
        <v>21726</v>
      </c>
      <c r="I4199" s="28" t="s">
        <v>22037</v>
      </c>
      <c r="J4199" s="28" t="s">
        <v>22</v>
      </c>
      <c r="K4199" s="28" t="s">
        <v>21728</v>
      </c>
      <c r="L4199" s="28" t="s">
        <v>21729</v>
      </c>
      <c r="M4199" s="28" t="s">
        <v>22038</v>
      </c>
      <c r="N4199" s="28" t="s">
        <v>21731</v>
      </c>
      <c r="O4199" s="28" t="s">
        <v>21732</v>
      </c>
      <c r="P4199" s="28" t="s">
        <v>22039</v>
      </c>
    </row>
    <row r="4200" spans="1:16" hidden="1" x14ac:dyDescent="0.25">
      <c r="A4200" s="28" t="s">
        <v>22040</v>
      </c>
      <c r="B4200" s="28" t="s">
        <v>22041</v>
      </c>
      <c r="C4200" s="28" t="s">
        <v>4491</v>
      </c>
      <c r="D4200" s="28" t="s">
        <v>45</v>
      </c>
      <c r="E4200" s="28" t="s">
        <v>17769</v>
      </c>
      <c r="F4200" s="28" t="s">
        <v>21</v>
      </c>
      <c r="G4200" s="28" t="s">
        <v>22</v>
      </c>
      <c r="H4200" s="28" t="s">
        <v>21726</v>
      </c>
      <c r="I4200" s="28" t="s">
        <v>22042</v>
      </c>
      <c r="J4200" s="28" t="s">
        <v>22</v>
      </c>
      <c r="K4200" s="28" t="s">
        <v>21728</v>
      </c>
      <c r="L4200" s="28" t="s">
        <v>21729</v>
      </c>
      <c r="M4200" s="28" t="s">
        <v>22043</v>
      </c>
      <c r="N4200" s="28" t="s">
        <v>21731</v>
      </c>
      <c r="O4200" s="28" t="s">
        <v>21732</v>
      </c>
      <c r="P4200" s="28" t="s">
        <v>22044</v>
      </c>
    </row>
    <row r="4201" spans="1:16" hidden="1" x14ac:dyDescent="0.25">
      <c r="A4201" s="28" t="s">
        <v>22045</v>
      </c>
      <c r="B4201" s="28" t="s">
        <v>22046</v>
      </c>
      <c r="C4201" s="28" t="s">
        <v>4491</v>
      </c>
      <c r="D4201" s="28" t="s">
        <v>45</v>
      </c>
      <c r="E4201" s="28" t="s">
        <v>17775</v>
      </c>
      <c r="F4201" s="28" t="s">
        <v>21</v>
      </c>
      <c r="G4201" s="28" t="s">
        <v>22</v>
      </c>
      <c r="H4201" s="28" t="s">
        <v>21726</v>
      </c>
      <c r="I4201" s="28" t="s">
        <v>22047</v>
      </c>
      <c r="J4201" s="28" t="s">
        <v>22</v>
      </c>
      <c r="K4201" s="28" t="s">
        <v>21728</v>
      </c>
      <c r="L4201" s="28" t="s">
        <v>21729</v>
      </c>
      <c r="M4201" s="28" t="s">
        <v>22048</v>
      </c>
      <c r="N4201" s="28" t="s">
        <v>21731</v>
      </c>
      <c r="O4201" s="28" t="s">
        <v>21732</v>
      </c>
      <c r="P4201" s="28" t="s">
        <v>22049</v>
      </c>
    </row>
    <row r="4202" spans="1:16" hidden="1" x14ac:dyDescent="0.25">
      <c r="A4202" s="28" t="s">
        <v>22050</v>
      </c>
      <c r="B4202" s="28" t="s">
        <v>22051</v>
      </c>
      <c r="C4202" s="28" t="s">
        <v>4491</v>
      </c>
      <c r="D4202" s="28" t="s">
        <v>45</v>
      </c>
      <c r="E4202" s="28" t="s">
        <v>17781</v>
      </c>
      <c r="F4202" s="28" t="s">
        <v>21</v>
      </c>
      <c r="G4202" s="28" t="s">
        <v>22</v>
      </c>
      <c r="H4202" s="28" t="s">
        <v>21726</v>
      </c>
      <c r="I4202" s="28" t="s">
        <v>22052</v>
      </c>
      <c r="J4202" s="28" t="s">
        <v>22</v>
      </c>
      <c r="K4202" s="28" t="s">
        <v>21728</v>
      </c>
      <c r="L4202" s="28" t="s">
        <v>21729</v>
      </c>
      <c r="M4202" s="28" t="s">
        <v>22053</v>
      </c>
      <c r="N4202" s="28" t="s">
        <v>21731</v>
      </c>
      <c r="O4202" s="28" t="s">
        <v>21732</v>
      </c>
      <c r="P4202" s="28" t="s">
        <v>22054</v>
      </c>
    </row>
    <row r="4203" spans="1:16" x14ac:dyDescent="0.25">
      <c r="A4203" s="28" t="s">
        <v>22055</v>
      </c>
      <c r="B4203" s="28" t="s">
        <v>22056</v>
      </c>
      <c r="C4203" s="28" t="s">
        <v>4491</v>
      </c>
      <c r="D4203" s="28" t="s">
        <v>45</v>
      </c>
      <c r="E4203" s="28" t="s">
        <v>2255</v>
      </c>
      <c r="F4203" s="28" t="s">
        <v>21</v>
      </c>
      <c r="G4203" s="28" t="s">
        <v>39</v>
      </c>
      <c r="H4203" s="28" t="s">
        <v>16221</v>
      </c>
      <c r="I4203" s="28" t="s">
        <v>22057</v>
      </c>
      <c r="J4203" s="28" t="s">
        <v>39</v>
      </c>
      <c r="K4203" s="28" t="s">
        <v>16223</v>
      </c>
      <c r="L4203" s="28" t="s">
        <v>16224</v>
      </c>
      <c r="M4203" s="28" t="s">
        <v>17788</v>
      </c>
      <c r="N4203" s="28" t="s">
        <v>16226</v>
      </c>
      <c r="O4203" s="28" t="s">
        <v>16227</v>
      </c>
      <c r="P4203" s="28" t="s">
        <v>22058</v>
      </c>
    </row>
    <row r="4204" spans="1:16" x14ac:dyDescent="0.25">
      <c r="A4204" s="28" t="s">
        <v>22059</v>
      </c>
      <c r="B4204" s="28" t="s">
        <v>22060</v>
      </c>
      <c r="C4204" s="28" t="s">
        <v>4491</v>
      </c>
      <c r="D4204" s="28" t="s">
        <v>45</v>
      </c>
      <c r="E4204" s="28" t="s">
        <v>10710</v>
      </c>
      <c r="F4204" s="28" t="s">
        <v>21</v>
      </c>
      <c r="G4204" s="28" t="s">
        <v>39</v>
      </c>
      <c r="H4204" s="28" t="s">
        <v>16221</v>
      </c>
      <c r="I4204" s="28" t="s">
        <v>22061</v>
      </c>
      <c r="J4204" s="28" t="s">
        <v>39</v>
      </c>
      <c r="K4204" s="28" t="s">
        <v>16223</v>
      </c>
      <c r="L4204" s="28" t="s">
        <v>16224</v>
      </c>
      <c r="M4204" s="28" t="s">
        <v>17793</v>
      </c>
      <c r="N4204" s="28" t="s">
        <v>16226</v>
      </c>
      <c r="O4204" s="28" t="s">
        <v>16227</v>
      </c>
      <c r="P4204" s="28" t="s">
        <v>22062</v>
      </c>
    </row>
    <row r="4205" spans="1:16" hidden="1" x14ac:dyDescent="0.25">
      <c r="A4205" s="28" t="s">
        <v>22063</v>
      </c>
      <c r="B4205" s="28" t="s">
        <v>22064</v>
      </c>
      <c r="C4205" s="28" t="s">
        <v>4491</v>
      </c>
      <c r="D4205" s="28" t="s">
        <v>45</v>
      </c>
      <c r="E4205" s="28" t="s">
        <v>17797</v>
      </c>
      <c r="F4205" s="28" t="s">
        <v>21</v>
      </c>
      <c r="G4205" s="28" t="s">
        <v>22</v>
      </c>
      <c r="H4205" s="28" t="s">
        <v>21726</v>
      </c>
      <c r="I4205" s="28" t="s">
        <v>22065</v>
      </c>
      <c r="J4205" s="28" t="s">
        <v>22</v>
      </c>
      <c r="K4205" s="28" t="s">
        <v>21728</v>
      </c>
      <c r="L4205" s="28" t="s">
        <v>21729</v>
      </c>
      <c r="M4205" s="28" t="s">
        <v>22066</v>
      </c>
      <c r="N4205" s="28" t="s">
        <v>21731</v>
      </c>
      <c r="O4205" s="28" t="s">
        <v>21732</v>
      </c>
      <c r="P4205" s="28" t="s">
        <v>22067</v>
      </c>
    </row>
    <row r="4206" spans="1:16" x14ac:dyDescent="0.25">
      <c r="A4206" s="28" t="s">
        <v>22068</v>
      </c>
      <c r="B4206" s="28" t="s">
        <v>22069</v>
      </c>
      <c r="C4206" s="28" t="s">
        <v>4491</v>
      </c>
      <c r="D4206" s="28" t="s">
        <v>45</v>
      </c>
      <c r="E4206" s="28" t="s">
        <v>17803</v>
      </c>
      <c r="F4206" s="28" t="s">
        <v>21</v>
      </c>
      <c r="G4206" s="28" t="s">
        <v>39</v>
      </c>
      <c r="H4206" s="28" t="s">
        <v>16221</v>
      </c>
      <c r="I4206" s="28" t="s">
        <v>22070</v>
      </c>
      <c r="J4206" s="28" t="s">
        <v>39</v>
      </c>
      <c r="K4206" s="28" t="s">
        <v>16223</v>
      </c>
      <c r="L4206" s="28" t="s">
        <v>16224</v>
      </c>
      <c r="M4206" s="28" t="s">
        <v>17805</v>
      </c>
      <c r="N4206" s="28" t="s">
        <v>16226</v>
      </c>
      <c r="O4206" s="28" t="s">
        <v>16227</v>
      </c>
      <c r="P4206" s="28" t="s">
        <v>22071</v>
      </c>
    </row>
    <row r="4207" spans="1:16" x14ac:dyDescent="0.25">
      <c r="A4207" s="28" t="s">
        <v>22072</v>
      </c>
      <c r="B4207" s="28" t="s">
        <v>22073</v>
      </c>
      <c r="C4207" s="28" t="s">
        <v>4491</v>
      </c>
      <c r="D4207" s="28" t="s">
        <v>45</v>
      </c>
      <c r="E4207" s="28" t="s">
        <v>17809</v>
      </c>
      <c r="F4207" s="28" t="s">
        <v>21</v>
      </c>
      <c r="G4207" s="28" t="s">
        <v>39</v>
      </c>
      <c r="H4207" s="28" t="s">
        <v>16221</v>
      </c>
      <c r="I4207" s="28" t="s">
        <v>22074</v>
      </c>
      <c r="J4207" s="28" t="s">
        <v>39</v>
      </c>
      <c r="K4207" s="28" t="s">
        <v>16223</v>
      </c>
      <c r="L4207" s="28" t="s">
        <v>16224</v>
      </c>
      <c r="M4207" s="28" t="s">
        <v>17811</v>
      </c>
      <c r="N4207" s="28" t="s">
        <v>16226</v>
      </c>
      <c r="O4207" s="28" t="s">
        <v>16227</v>
      </c>
      <c r="P4207" s="28" t="s">
        <v>22075</v>
      </c>
    </row>
    <row r="4208" spans="1:16" x14ac:dyDescent="0.25">
      <c r="A4208" s="28" t="s">
        <v>22076</v>
      </c>
      <c r="B4208" s="28" t="s">
        <v>22077</v>
      </c>
      <c r="C4208" s="28" t="s">
        <v>4491</v>
      </c>
      <c r="D4208" s="28" t="s">
        <v>45</v>
      </c>
      <c r="E4208" s="28" t="s">
        <v>17815</v>
      </c>
      <c r="F4208" s="28" t="s">
        <v>21</v>
      </c>
      <c r="G4208" s="28" t="s">
        <v>39</v>
      </c>
      <c r="H4208" s="28" t="s">
        <v>16221</v>
      </c>
      <c r="I4208" s="28" t="s">
        <v>22078</v>
      </c>
      <c r="J4208" s="28" t="s">
        <v>39</v>
      </c>
      <c r="K4208" s="28" t="s">
        <v>16223</v>
      </c>
      <c r="L4208" s="28" t="s">
        <v>16224</v>
      </c>
      <c r="M4208" s="28" t="s">
        <v>17817</v>
      </c>
      <c r="N4208" s="28" t="s">
        <v>16226</v>
      </c>
      <c r="O4208" s="28" t="s">
        <v>16227</v>
      </c>
      <c r="P4208" s="28" t="s">
        <v>22079</v>
      </c>
    </row>
    <row r="4209" spans="1:16" hidden="1" x14ac:dyDescent="0.25">
      <c r="A4209" s="28" t="s">
        <v>22080</v>
      </c>
      <c r="B4209" s="28" t="s">
        <v>22081</v>
      </c>
      <c r="C4209" s="28" t="s">
        <v>4491</v>
      </c>
      <c r="D4209" s="28" t="s">
        <v>45</v>
      </c>
      <c r="E4209" s="28" t="s">
        <v>22082</v>
      </c>
      <c r="F4209" s="28" t="s">
        <v>21</v>
      </c>
      <c r="G4209" s="28" t="s">
        <v>22</v>
      </c>
      <c r="H4209" s="28" t="s">
        <v>21726</v>
      </c>
      <c r="I4209" s="28" t="s">
        <v>22083</v>
      </c>
      <c r="J4209" s="28" t="s">
        <v>22</v>
      </c>
      <c r="K4209" s="28" t="s">
        <v>21728</v>
      </c>
      <c r="L4209" s="28" t="s">
        <v>21729</v>
      </c>
      <c r="M4209" s="28" t="s">
        <v>22084</v>
      </c>
      <c r="N4209" s="28" t="s">
        <v>21731</v>
      </c>
      <c r="O4209" s="28" t="s">
        <v>21732</v>
      </c>
      <c r="P4209" s="28" t="s">
        <v>22085</v>
      </c>
    </row>
    <row r="4210" spans="1:16" x14ac:dyDescent="0.25">
      <c r="A4210" s="28" t="s">
        <v>22086</v>
      </c>
      <c r="B4210" s="28" t="s">
        <v>22087</v>
      </c>
      <c r="C4210" s="28" t="s">
        <v>4491</v>
      </c>
      <c r="D4210" s="28" t="s">
        <v>1586</v>
      </c>
      <c r="E4210" s="28" t="s">
        <v>17821</v>
      </c>
      <c r="F4210" s="28" t="s">
        <v>21</v>
      </c>
      <c r="G4210" s="28" t="s">
        <v>39</v>
      </c>
      <c r="H4210" s="28" t="s">
        <v>16221</v>
      </c>
      <c r="I4210" s="28" t="s">
        <v>22088</v>
      </c>
      <c r="J4210" s="28" t="s">
        <v>39</v>
      </c>
      <c r="K4210" s="28" t="s">
        <v>16223</v>
      </c>
      <c r="L4210" s="28" t="s">
        <v>16224</v>
      </c>
      <c r="M4210" s="28" t="s">
        <v>17823</v>
      </c>
      <c r="N4210" s="28" t="s">
        <v>16226</v>
      </c>
      <c r="O4210" s="28" t="s">
        <v>16227</v>
      </c>
      <c r="P4210" s="28" t="s">
        <v>22089</v>
      </c>
    </row>
    <row r="4211" spans="1:16" hidden="1" x14ac:dyDescent="0.25">
      <c r="A4211" s="28" t="s">
        <v>22090</v>
      </c>
      <c r="B4211" s="28" t="s">
        <v>22091</v>
      </c>
      <c r="C4211" s="28" t="s">
        <v>4491</v>
      </c>
      <c r="D4211" s="28" t="s">
        <v>62</v>
      </c>
      <c r="E4211" s="28" t="s">
        <v>17827</v>
      </c>
      <c r="F4211" s="28" t="s">
        <v>21</v>
      </c>
      <c r="G4211" s="28" t="s">
        <v>22</v>
      </c>
      <c r="H4211" s="28" t="s">
        <v>21726</v>
      </c>
      <c r="I4211" s="28" t="s">
        <v>22092</v>
      </c>
      <c r="J4211" s="28" t="s">
        <v>22</v>
      </c>
      <c r="K4211" s="28" t="s">
        <v>21728</v>
      </c>
      <c r="L4211" s="28" t="s">
        <v>21729</v>
      </c>
      <c r="M4211" s="28" t="s">
        <v>22093</v>
      </c>
      <c r="N4211" s="28" t="s">
        <v>21731</v>
      </c>
      <c r="O4211" s="28" t="s">
        <v>21732</v>
      </c>
      <c r="P4211" s="28" t="s">
        <v>22094</v>
      </c>
    </row>
    <row r="4212" spans="1:16" hidden="1" x14ac:dyDescent="0.25">
      <c r="A4212" s="28" t="s">
        <v>22095</v>
      </c>
      <c r="B4212" s="28" t="s">
        <v>22096</v>
      </c>
      <c r="C4212" s="28" t="s">
        <v>4491</v>
      </c>
      <c r="D4212" s="28" t="s">
        <v>62</v>
      </c>
      <c r="E4212" s="28" t="s">
        <v>17827</v>
      </c>
      <c r="F4212" s="28" t="s">
        <v>21</v>
      </c>
      <c r="G4212" s="28" t="s">
        <v>22</v>
      </c>
      <c r="H4212" s="28" t="s">
        <v>21726</v>
      </c>
      <c r="I4212" s="28" t="s">
        <v>22097</v>
      </c>
      <c r="J4212" s="28" t="s">
        <v>22</v>
      </c>
      <c r="K4212" s="28" t="s">
        <v>21728</v>
      </c>
      <c r="L4212" s="28" t="s">
        <v>21729</v>
      </c>
      <c r="M4212" s="28" t="s">
        <v>22098</v>
      </c>
      <c r="N4212" s="28" t="s">
        <v>21731</v>
      </c>
      <c r="O4212" s="28" t="s">
        <v>21732</v>
      </c>
      <c r="P4212" s="28" t="s">
        <v>22099</v>
      </c>
    </row>
    <row r="4213" spans="1:16" hidden="1" x14ac:dyDescent="0.25">
      <c r="A4213" s="28" t="s">
        <v>22100</v>
      </c>
      <c r="B4213" s="28" t="s">
        <v>22101</v>
      </c>
      <c r="C4213" s="28" t="s">
        <v>4491</v>
      </c>
      <c r="D4213" s="28" t="s">
        <v>62</v>
      </c>
      <c r="E4213" s="28" t="s">
        <v>17827</v>
      </c>
      <c r="F4213" s="28" t="s">
        <v>21</v>
      </c>
      <c r="G4213" s="28" t="s">
        <v>22</v>
      </c>
      <c r="H4213" s="28" t="s">
        <v>21726</v>
      </c>
      <c r="I4213" s="28" t="s">
        <v>22102</v>
      </c>
      <c r="J4213" s="28" t="s">
        <v>22</v>
      </c>
      <c r="K4213" s="28" t="s">
        <v>21728</v>
      </c>
      <c r="L4213" s="28" t="s">
        <v>21729</v>
      </c>
      <c r="M4213" s="28" t="s">
        <v>22103</v>
      </c>
      <c r="N4213" s="28" t="s">
        <v>21731</v>
      </c>
      <c r="O4213" s="28" t="s">
        <v>21732</v>
      </c>
      <c r="P4213" s="28" t="s">
        <v>22104</v>
      </c>
    </row>
    <row r="4214" spans="1:16" hidden="1" x14ac:dyDescent="0.25">
      <c r="A4214" s="28" t="s">
        <v>22105</v>
      </c>
      <c r="B4214" s="28" t="s">
        <v>22106</v>
      </c>
      <c r="C4214" s="28" t="s">
        <v>4491</v>
      </c>
      <c r="D4214" s="28" t="s">
        <v>62</v>
      </c>
      <c r="E4214" s="28" t="s">
        <v>17827</v>
      </c>
      <c r="F4214" s="28" t="s">
        <v>21</v>
      </c>
      <c r="G4214" s="28" t="s">
        <v>22</v>
      </c>
      <c r="H4214" s="28" t="s">
        <v>21726</v>
      </c>
      <c r="I4214" s="28" t="s">
        <v>22107</v>
      </c>
      <c r="J4214" s="28" t="s">
        <v>22</v>
      </c>
      <c r="K4214" s="28" t="s">
        <v>21728</v>
      </c>
      <c r="L4214" s="28" t="s">
        <v>21729</v>
      </c>
      <c r="M4214" s="28" t="s">
        <v>22108</v>
      </c>
      <c r="N4214" s="28" t="s">
        <v>21731</v>
      </c>
      <c r="O4214" s="28" t="s">
        <v>21732</v>
      </c>
      <c r="P4214" s="28" t="s">
        <v>22109</v>
      </c>
    </row>
    <row r="4215" spans="1:16" hidden="1" x14ac:dyDescent="0.25">
      <c r="A4215" s="28" t="s">
        <v>22110</v>
      </c>
      <c r="B4215" s="28" t="s">
        <v>22111</v>
      </c>
      <c r="C4215" s="28" t="s">
        <v>4491</v>
      </c>
      <c r="D4215" s="28" t="s">
        <v>62</v>
      </c>
      <c r="E4215" s="28" t="s">
        <v>17827</v>
      </c>
      <c r="F4215" s="28" t="s">
        <v>21</v>
      </c>
      <c r="G4215" s="28" t="s">
        <v>22</v>
      </c>
      <c r="H4215" s="28" t="s">
        <v>21726</v>
      </c>
      <c r="I4215" s="28" t="s">
        <v>22112</v>
      </c>
      <c r="J4215" s="28" t="s">
        <v>22</v>
      </c>
      <c r="K4215" s="28" t="s">
        <v>21728</v>
      </c>
      <c r="L4215" s="28" t="s">
        <v>21729</v>
      </c>
      <c r="M4215" s="28" t="s">
        <v>22113</v>
      </c>
      <c r="N4215" s="28" t="s">
        <v>21731</v>
      </c>
      <c r="O4215" s="28" t="s">
        <v>21732</v>
      </c>
      <c r="P4215" s="28" t="s">
        <v>22114</v>
      </c>
    </row>
    <row r="4216" spans="1:16" hidden="1" x14ac:dyDescent="0.25">
      <c r="A4216" s="28" t="s">
        <v>22115</v>
      </c>
      <c r="B4216" s="28" t="s">
        <v>22116</v>
      </c>
      <c r="C4216" s="28" t="s">
        <v>4491</v>
      </c>
      <c r="D4216" s="28" t="s">
        <v>62</v>
      </c>
      <c r="E4216" s="28" t="s">
        <v>17827</v>
      </c>
      <c r="F4216" s="28" t="s">
        <v>21</v>
      </c>
      <c r="G4216" s="28" t="s">
        <v>22</v>
      </c>
      <c r="H4216" s="28" t="s">
        <v>21726</v>
      </c>
      <c r="I4216" s="28" t="s">
        <v>22117</v>
      </c>
      <c r="J4216" s="28" t="s">
        <v>22</v>
      </c>
      <c r="K4216" s="28" t="s">
        <v>21728</v>
      </c>
      <c r="L4216" s="28" t="s">
        <v>21729</v>
      </c>
      <c r="M4216" s="28" t="s">
        <v>22118</v>
      </c>
      <c r="N4216" s="28" t="s">
        <v>21731</v>
      </c>
      <c r="O4216" s="28" t="s">
        <v>21732</v>
      </c>
      <c r="P4216" s="28" t="s">
        <v>22119</v>
      </c>
    </row>
    <row r="4217" spans="1:16" hidden="1" x14ac:dyDescent="0.25">
      <c r="A4217" s="28" t="s">
        <v>22120</v>
      </c>
      <c r="B4217" s="28" t="s">
        <v>22121</v>
      </c>
      <c r="C4217" s="28" t="s">
        <v>4491</v>
      </c>
      <c r="D4217" s="28" t="s">
        <v>62</v>
      </c>
      <c r="E4217" s="28" t="s">
        <v>17827</v>
      </c>
      <c r="F4217" s="28" t="s">
        <v>21</v>
      </c>
      <c r="G4217" s="28" t="s">
        <v>22</v>
      </c>
      <c r="H4217" s="28" t="s">
        <v>21726</v>
      </c>
      <c r="I4217" s="28" t="s">
        <v>22122</v>
      </c>
      <c r="J4217" s="28" t="s">
        <v>22</v>
      </c>
      <c r="K4217" s="28" t="s">
        <v>21728</v>
      </c>
      <c r="L4217" s="28" t="s">
        <v>21729</v>
      </c>
      <c r="M4217" s="28" t="s">
        <v>22123</v>
      </c>
      <c r="N4217" s="28" t="s">
        <v>21731</v>
      </c>
      <c r="O4217" s="28" t="s">
        <v>21732</v>
      </c>
      <c r="P4217" s="28" t="s">
        <v>22124</v>
      </c>
    </row>
    <row r="4218" spans="1:16" hidden="1" x14ac:dyDescent="0.25">
      <c r="A4218" s="28" t="s">
        <v>22125</v>
      </c>
      <c r="B4218" s="28" t="s">
        <v>22126</v>
      </c>
      <c r="C4218" s="28" t="s">
        <v>4491</v>
      </c>
      <c r="D4218" s="28" t="s">
        <v>62</v>
      </c>
      <c r="E4218" s="28" t="s">
        <v>17827</v>
      </c>
      <c r="F4218" s="28" t="s">
        <v>21</v>
      </c>
      <c r="G4218" s="28" t="s">
        <v>22</v>
      </c>
      <c r="H4218" s="28" t="s">
        <v>21726</v>
      </c>
      <c r="I4218" s="28" t="s">
        <v>22127</v>
      </c>
      <c r="J4218" s="28" t="s">
        <v>22</v>
      </c>
      <c r="K4218" s="28" t="s">
        <v>21728</v>
      </c>
      <c r="L4218" s="28" t="s">
        <v>21729</v>
      </c>
      <c r="M4218" s="28" t="s">
        <v>22128</v>
      </c>
      <c r="N4218" s="28" t="s">
        <v>21731</v>
      </c>
      <c r="O4218" s="28" t="s">
        <v>21732</v>
      </c>
      <c r="P4218" s="28" t="s">
        <v>22129</v>
      </c>
    </row>
    <row r="4219" spans="1:16" hidden="1" x14ac:dyDescent="0.25">
      <c r="A4219" s="28" t="s">
        <v>22130</v>
      </c>
      <c r="B4219" s="28" t="s">
        <v>22131</v>
      </c>
      <c r="C4219" s="28" t="s">
        <v>4491</v>
      </c>
      <c r="D4219" s="28" t="s">
        <v>62</v>
      </c>
      <c r="E4219" s="28" t="s">
        <v>17827</v>
      </c>
      <c r="F4219" s="28" t="s">
        <v>21</v>
      </c>
      <c r="G4219" s="28" t="s">
        <v>22</v>
      </c>
      <c r="H4219" s="28" t="s">
        <v>21726</v>
      </c>
      <c r="I4219" s="28" t="s">
        <v>22132</v>
      </c>
      <c r="J4219" s="28" t="s">
        <v>22</v>
      </c>
      <c r="K4219" s="28" t="s">
        <v>21728</v>
      </c>
      <c r="L4219" s="28" t="s">
        <v>21729</v>
      </c>
      <c r="M4219" s="28" t="s">
        <v>22133</v>
      </c>
      <c r="N4219" s="28" t="s">
        <v>21731</v>
      </c>
      <c r="O4219" s="28" t="s">
        <v>21732</v>
      </c>
      <c r="P4219" s="28" t="s">
        <v>22134</v>
      </c>
    </row>
    <row r="4220" spans="1:16" hidden="1" x14ac:dyDescent="0.25">
      <c r="A4220" s="28" t="s">
        <v>22135</v>
      </c>
      <c r="B4220" s="28" t="s">
        <v>22136</v>
      </c>
      <c r="C4220" s="28" t="s">
        <v>4491</v>
      </c>
      <c r="D4220" s="28" t="s">
        <v>62</v>
      </c>
      <c r="E4220" s="28" t="s">
        <v>17827</v>
      </c>
      <c r="F4220" s="28" t="s">
        <v>21</v>
      </c>
      <c r="G4220" s="28" t="s">
        <v>22</v>
      </c>
      <c r="H4220" s="28" t="s">
        <v>21726</v>
      </c>
      <c r="I4220" s="28" t="s">
        <v>22137</v>
      </c>
      <c r="J4220" s="28" t="s">
        <v>22</v>
      </c>
      <c r="K4220" s="28" t="s">
        <v>21728</v>
      </c>
      <c r="L4220" s="28" t="s">
        <v>21729</v>
      </c>
      <c r="M4220" s="28" t="s">
        <v>22138</v>
      </c>
      <c r="N4220" s="28" t="s">
        <v>21731</v>
      </c>
      <c r="O4220" s="28" t="s">
        <v>21732</v>
      </c>
      <c r="P4220" s="28" t="s">
        <v>22139</v>
      </c>
    </row>
    <row r="4221" spans="1:16" hidden="1" x14ac:dyDescent="0.25">
      <c r="A4221" s="28" t="s">
        <v>22140</v>
      </c>
      <c r="B4221" s="28" t="s">
        <v>22141</v>
      </c>
      <c r="C4221" s="28" t="s">
        <v>4491</v>
      </c>
      <c r="D4221" s="28" t="s">
        <v>62</v>
      </c>
      <c r="E4221" s="28" t="s">
        <v>17827</v>
      </c>
      <c r="F4221" s="28" t="s">
        <v>21</v>
      </c>
      <c r="G4221" s="28" t="s">
        <v>22</v>
      </c>
      <c r="H4221" s="28" t="s">
        <v>21726</v>
      </c>
      <c r="I4221" s="28" t="s">
        <v>22142</v>
      </c>
      <c r="J4221" s="28" t="s">
        <v>22</v>
      </c>
      <c r="K4221" s="28" t="s">
        <v>21728</v>
      </c>
      <c r="L4221" s="28" t="s">
        <v>21729</v>
      </c>
      <c r="M4221" s="28" t="s">
        <v>22143</v>
      </c>
      <c r="N4221" s="28" t="s">
        <v>21731</v>
      </c>
      <c r="O4221" s="28" t="s">
        <v>21732</v>
      </c>
      <c r="P4221" s="28" t="s">
        <v>22144</v>
      </c>
    </row>
    <row r="4222" spans="1:16" hidden="1" x14ac:dyDescent="0.25">
      <c r="A4222" s="28" t="s">
        <v>22145</v>
      </c>
      <c r="B4222" s="28" t="s">
        <v>22146</v>
      </c>
      <c r="C4222" s="28" t="s">
        <v>4491</v>
      </c>
      <c r="D4222" s="28" t="s">
        <v>62</v>
      </c>
      <c r="E4222" s="28" t="s">
        <v>17827</v>
      </c>
      <c r="F4222" s="28" t="s">
        <v>21</v>
      </c>
      <c r="G4222" s="28" t="s">
        <v>22</v>
      </c>
      <c r="H4222" s="28" t="s">
        <v>21726</v>
      </c>
      <c r="I4222" s="28" t="s">
        <v>22147</v>
      </c>
      <c r="J4222" s="28" t="s">
        <v>22</v>
      </c>
      <c r="K4222" s="28" t="s">
        <v>21728</v>
      </c>
      <c r="L4222" s="28" t="s">
        <v>21729</v>
      </c>
      <c r="M4222" s="28" t="s">
        <v>22148</v>
      </c>
      <c r="N4222" s="28" t="s">
        <v>21731</v>
      </c>
      <c r="O4222" s="28" t="s">
        <v>21732</v>
      </c>
      <c r="P4222" s="28" t="s">
        <v>22149</v>
      </c>
    </row>
    <row r="4223" spans="1:16" hidden="1" x14ac:dyDescent="0.25">
      <c r="A4223" s="28" t="s">
        <v>22150</v>
      </c>
      <c r="B4223" s="28" t="s">
        <v>22151</v>
      </c>
      <c r="C4223" s="28" t="s">
        <v>4491</v>
      </c>
      <c r="D4223" s="28" t="s">
        <v>62</v>
      </c>
      <c r="E4223" s="28" t="s">
        <v>17827</v>
      </c>
      <c r="F4223" s="28" t="s">
        <v>21</v>
      </c>
      <c r="G4223" s="28" t="s">
        <v>22</v>
      </c>
      <c r="H4223" s="28" t="s">
        <v>21726</v>
      </c>
      <c r="I4223" s="28" t="s">
        <v>22152</v>
      </c>
      <c r="J4223" s="28" t="s">
        <v>22</v>
      </c>
      <c r="K4223" s="28" t="s">
        <v>21728</v>
      </c>
      <c r="L4223" s="28" t="s">
        <v>21729</v>
      </c>
      <c r="M4223" s="28" t="s">
        <v>22153</v>
      </c>
      <c r="N4223" s="28" t="s">
        <v>21731</v>
      </c>
      <c r="O4223" s="28" t="s">
        <v>21732</v>
      </c>
      <c r="P4223" s="28" t="s">
        <v>22154</v>
      </c>
    </row>
    <row r="4224" spans="1:16" hidden="1" x14ac:dyDescent="0.25">
      <c r="A4224" s="28" t="s">
        <v>22155</v>
      </c>
      <c r="B4224" s="28" t="s">
        <v>22156</v>
      </c>
      <c r="C4224" s="28" t="s">
        <v>4491</v>
      </c>
      <c r="D4224" s="28" t="s">
        <v>62</v>
      </c>
      <c r="E4224" s="28" t="s">
        <v>17827</v>
      </c>
      <c r="F4224" s="28" t="s">
        <v>21</v>
      </c>
      <c r="G4224" s="28" t="s">
        <v>22</v>
      </c>
      <c r="H4224" s="28" t="s">
        <v>21726</v>
      </c>
      <c r="I4224" s="28" t="s">
        <v>22157</v>
      </c>
      <c r="J4224" s="28" t="s">
        <v>22</v>
      </c>
      <c r="K4224" s="28" t="s">
        <v>21728</v>
      </c>
      <c r="L4224" s="28" t="s">
        <v>21729</v>
      </c>
      <c r="M4224" s="28" t="s">
        <v>22158</v>
      </c>
      <c r="N4224" s="28" t="s">
        <v>21731</v>
      </c>
      <c r="O4224" s="28" t="s">
        <v>21732</v>
      </c>
      <c r="P4224" s="28" t="s">
        <v>22159</v>
      </c>
    </row>
    <row r="4225" spans="1:16" hidden="1" x14ac:dyDescent="0.25">
      <c r="A4225" s="28" t="s">
        <v>22160</v>
      </c>
      <c r="B4225" s="28" t="s">
        <v>22161</v>
      </c>
      <c r="C4225" s="28" t="s">
        <v>4491</v>
      </c>
      <c r="D4225" s="28" t="s">
        <v>62</v>
      </c>
      <c r="E4225" s="28" t="s">
        <v>17827</v>
      </c>
      <c r="F4225" s="28" t="s">
        <v>21</v>
      </c>
      <c r="G4225" s="28" t="s">
        <v>22</v>
      </c>
      <c r="H4225" s="28" t="s">
        <v>21726</v>
      </c>
      <c r="I4225" s="28" t="s">
        <v>22162</v>
      </c>
      <c r="J4225" s="28" t="s">
        <v>22</v>
      </c>
      <c r="K4225" s="28" t="s">
        <v>21728</v>
      </c>
      <c r="L4225" s="28" t="s">
        <v>21729</v>
      </c>
      <c r="M4225" s="28" t="s">
        <v>22163</v>
      </c>
      <c r="N4225" s="28" t="s">
        <v>21731</v>
      </c>
      <c r="O4225" s="28" t="s">
        <v>21732</v>
      </c>
      <c r="P4225" s="28" t="s">
        <v>22164</v>
      </c>
    </row>
    <row r="4226" spans="1:16" hidden="1" x14ac:dyDescent="0.25">
      <c r="A4226" s="28" t="s">
        <v>22165</v>
      </c>
      <c r="B4226" s="28" t="s">
        <v>22166</v>
      </c>
      <c r="C4226" s="28" t="s">
        <v>4491</v>
      </c>
      <c r="D4226" s="28" t="s">
        <v>62</v>
      </c>
      <c r="E4226" s="28" t="s">
        <v>17827</v>
      </c>
      <c r="F4226" s="28" t="s">
        <v>21</v>
      </c>
      <c r="G4226" s="28" t="s">
        <v>22</v>
      </c>
      <c r="H4226" s="28" t="s">
        <v>21726</v>
      </c>
      <c r="I4226" s="28" t="s">
        <v>22167</v>
      </c>
      <c r="J4226" s="28" t="s">
        <v>22</v>
      </c>
      <c r="K4226" s="28" t="s">
        <v>21728</v>
      </c>
      <c r="L4226" s="28" t="s">
        <v>21729</v>
      </c>
      <c r="M4226" s="28" t="s">
        <v>22168</v>
      </c>
      <c r="N4226" s="28" t="s">
        <v>21731</v>
      </c>
      <c r="O4226" s="28" t="s">
        <v>21732</v>
      </c>
      <c r="P4226" s="28" t="s">
        <v>22169</v>
      </c>
    </row>
    <row r="4227" spans="1:16" hidden="1" x14ac:dyDescent="0.25">
      <c r="A4227" s="28" t="s">
        <v>22170</v>
      </c>
      <c r="B4227" s="28" t="s">
        <v>22171</v>
      </c>
      <c r="C4227" s="28" t="s">
        <v>4491</v>
      </c>
      <c r="D4227" s="28" t="s">
        <v>62</v>
      </c>
      <c r="E4227" s="28" t="s">
        <v>17827</v>
      </c>
      <c r="F4227" s="28" t="s">
        <v>21</v>
      </c>
      <c r="G4227" s="28" t="s">
        <v>22</v>
      </c>
      <c r="H4227" s="28" t="s">
        <v>21726</v>
      </c>
      <c r="I4227" s="28" t="s">
        <v>22172</v>
      </c>
      <c r="J4227" s="28" t="s">
        <v>22</v>
      </c>
      <c r="K4227" s="28" t="s">
        <v>21728</v>
      </c>
      <c r="L4227" s="28" t="s">
        <v>21729</v>
      </c>
      <c r="M4227" s="28" t="s">
        <v>22173</v>
      </c>
      <c r="N4227" s="28" t="s">
        <v>21731</v>
      </c>
      <c r="O4227" s="28" t="s">
        <v>21732</v>
      </c>
      <c r="P4227" s="28" t="s">
        <v>22174</v>
      </c>
    </row>
    <row r="4228" spans="1:16" hidden="1" x14ac:dyDescent="0.25">
      <c r="A4228" s="28" t="s">
        <v>22175</v>
      </c>
      <c r="B4228" s="28" t="s">
        <v>22176</v>
      </c>
      <c r="C4228" s="28" t="s">
        <v>4491</v>
      </c>
      <c r="D4228" s="28" t="s">
        <v>62</v>
      </c>
      <c r="E4228" s="28" t="s">
        <v>17827</v>
      </c>
      <c r="F4228" s="28" t="s">
        <v>21</v>
      </c>
      <c r="G4228" s="28" t="s">
        <v>22</v>
      </c>
      <c r="H4228" s="28" t="s">
        <v>21726</v>
      </c>
      <c r="I4228" s="28" t="s">
        <v>22177</v>
      </c>
      <c r="J4228" s="28" t="s">
        <v>22</v>
      </c>
      <c r="K4228" s="28" t="s">
        <v>21728</v>
      </c>
      <c r="L4228" s="28" t="s">
        <v>21729</v>
      </c>
      <c r="M4228" s="28" t="s">
        <v>22178</v>
      </c>
      <c r="N4228" s="28" t="s">
        <v>21731</v>
      </c>
      <c r="O4228" s="28" t="s">
        <v>21732</v>
      </c>
      <c r="P4228" s="28" t="s">
        <v>22179</v>
      </c>
    </row>
    <row r="4229" spans="1:16" hidden="1" x14ac:dyDescent="0.25">
      <c r="A4229" s="28" t="s">
        <v>22180</v>
      </c>
      <c r="B4229" s="28" t="s">
        <v>22181</v>
      </c>
      <c r="C4229" s="28" t="s">
        <v>4491</v>
      </c>
      <c r="D4229" s="28" t="s">
        <v>62</v>
      </c>
      <c r="E4229" s="28" t="s">
        <v>17827</v>
      </c>
      <c r="F4229" s="28" t="s">
        <v>21</v>
      </c>
      <c r="G4229" s="28" t="s">
        <v>22</v>
      </c>
      <c r="H4229" s="28" t="s">
        <v>21726</v>
      </c>
      <c r="I4229" s="28" t="s">
        <v>22182</v>
      </c>
      <c r="J4229" s="28" t="s">
        <v>22</v>
      </c>
      <c r="K4229" s="28" t="s">
        <v>21728</v>
      </c>
      <c r="L4229" s="28" t="s">
        <v>21729</v>
      </c>
      <c r="M4229" s="28" t="s">
        <v>22183</v>
      </c>
      <c r="N4229" s="28" t="s">
        <v>21731</v>
      </c>
      <c r="O4229" s="28" t="s">
        <v>21732</v>
      </c>
      <c r="P4229" s="28" t="s">
        <v>22184</v>
      </c>
    </row>
    <row r="4230" spans="1:16" hidden="1" x14ac:dyDescent="0.25">
      <c r="A4230" s="28" t="s">
        <v>22185</v>
      </c>
      <c r="B4230" s="28" t="s">
        <v>22186</v>
      </c>
      <c r="C4230" s="28" t="s">
        <v>4491</v>
      </c>
      <c r="D4230" s="28" t="s">
        <v>62</v>
      </c>
      <c r="E4230" s="28" t="s">
        <v>17827</v>
      </c>
      <c r="F4230" s="28" t="s">
        <v>21</v>
      </c>
      <c r="G4230" s="28" t="s">
        <v>22</v>
      </c>
      <c r="H4230" s="28" t="s">
        <v>21726</v>
      </c>
      <c r="I4230" s="28" t="s">
        <v>22187</v>
      </c>
      <c r="J4230" s="28" t="s">
        <v>22</v>
      </c>
      <c r="K4230" s="28" t="s">
        <v>21728</v>
      </c>
      <c r="L4230" s="28" t="s">
        <v>21729</v>
      </c>
      <c r="M4230" s="28" t="s">
        <v>22188</v>
      </c>
      <c r="N4230" s="28" t="s">
        <v>21731</v>
      </c>
      <c r="O4230" s="28" t="s">
        <v>21732</v>
      </c>
      <c r="P4230" s="28" t="s">
        <v>22189</v>
      </c>
    </row>
    <row r="4231" spans="1:16" hidden="1" x14ac:dyDescent="0.25">
      <c r="A4231" s="28" t="s">
        <v>22190</v>
      </c>
      <c r="B4231" s="28" t="s">
        <v>22191</v>
      </c>
      <c r="C4231" s="28" t="s">
        <v>4491</v>
      </c>
      <c r="D4231" s="28" t="s">
        <v>62</v>
      </c>
      <c r="E4231" s="28" t="s">
        <v>17827</v>
      </c>
      <c r="F4231" s="28" t="s">
        <v>21</v>
      </c>
      <c r="G4231" s="28" t="s">
        <v>22</v>
      </c>
      <c r="H4231" s="28" t="s">
        <v>21726</v>
      </c>
      <c r="I4231" s="28" t="s">
        <v>22192</v>
      </c>
      <c r="J4231" s="28" t="s">
        <v>22</v>
      </c>
      <c r="K4231" s="28" t="s">
        <v>21728</v>
      </c>
      <c r="L4231" s="28" t="s">
        <v>21729</v>
      </c>
      <c r="M4231" s="28" t="s">
        <v>22193</v>
      </c>
      <c r="N4231" s="28" t="s">
        <v>21731</v>
      </c>
      <c r="O4231" s="28" t="s">
        <v>21732</v>
      </c>
      <c r="P4231" s="28" t="s">
        <v>22194</v>
      </c>
    </row>
    <row r="4232" spans="1:16" hidden="1" x14ac:dyDescent="0.25">
      <c r="A4232" s="28" t="s">
        <v>22195</v>
      </c>
      <c r="B4232" s="28" t="s">
        <v>22196</v>
      </c>
      <c r="C4232" s="28" t="s">
        <v>4491</v>
      </c>
      <c r="D4232" s="28" t="s">
        <v>62</v>
      </c>
      <c r="E4232" s="28" t="s">
        <v>17827</v>
      </c>
      <c r="F4232" s="28" t="s">
        <v>21</v>
      </c>
      <c r="G4232" s="28" t="s">
        <v>22</v>
      </c>
      <c r="H4232" s="28" t="s">
        <v>21726</v>
      </c>
      <c r="I4232" s="28" t="s">
        <v>22197</v>
      </c>
      <c r="J4232" s="28" t="s">
        <v>22</v>
      </c>
      <c r="K4232" s="28" t="s">
        <v>21728</v>
      </c>
      <c r="L4232" s="28" t="s">
        <v>21729</v>
      </c>
      <c r="M4232" s="28" t="s">
        <v>22198</v>
      </c>
      <c r="N4232" s="28" t="s">
        <v>21731</v>
      </c>
      <c r="O4232" s="28" t="s">
        <v>21732</v>
      </c>
      <c r="P4232" s="28" t="s">
        <v>22199</v>
      </c>
    </row>
    <row r="4233" spans="1:16" x14ac:dyDescent="0.25">
      <c r="A4233" s="28" t="s">
        <v>22200</v>
      </c>
      <c r="B4233" s="28" t="s">
        <v>22201</v>
      </c>
      <c r="C4233" s="28" t="s">
        <v>4491</v>
      </c>
      <c r="D4233" s="28" t="s">
        <v>2287</v>
      </c>
      <c r="E4233" s="28" t="s">
        <v>2308</v>
      </c>
      <c r="F4233" s="28" t="s">
        <v>21</v>
      </c>
      <c r="G4233" s="28" t="s">
        <v>39</v>
      </c>
      <c r="H4233" s="28" t="s">
        <v>16221</v>
      </c>
      <c r="I4233" s="28" t="s">
        <v>22202</v>
      </c>
      <c r="J4233" s="28" t="s">
        <v>39</v>
      </c>
      <c r="K4233" s="28" t="s">
        <v>16223</v>
      </c>
      <c r="L4233" s="28" t="s">
        <v>16224</v>
      </c>
      <c r="M4233" s="28" t="s">
        <v>17918</v>
      </c>
      <c r="N4233" s="28" t="s">
        <v>16226</v>
      </c>
      <c r="O4233" s="28" t="s">
        <v>16227</v>
      </c>
      <c r="P4233" s="28" t="s">
        <v>22203</v>
      </c>
    </row>
    <row r="4234" spans="1:16" x14ac:dyDescent="0.25">
      <c r="A4234" s="28" t="s">
        <v>22204</v>
      </c>
      <c r="B4234" s="28" t="s">
        <v>22205</v>
      </c>
      <c r="C4234" s="28" t="s">
        <v>4491</v>
      </c>
      <c r="D4234" s="28" t="s">
        <v>2347</v>
      </c>
      <c r="E4234" s="28" t="s">
        <v>11832</v>
      </c>
      <c r="F4234" s="28" t="s">
        <v>21</v>
      </c>
      <c r="G4234" s="28" t="s">
        <v>39</v>
      </c>
      <c r="H4234" s="28" t="s">
        <v>16221</v>
      </c>
      <c r="I4234" s="28" t="s">
        <v>22206</v>
      </c>
      <c r="J4234" s="28" t="s">
        <v>39</v>
      </c>
      <c r="K4234" s="28" t="s">
        <v>16223</v>
      </c>
      <c r="L4234" s="28" t="s">
        <v>16224</v>
      </c>
      <c r="M4234" s="28" t="s">
        <v>17923</v>
      </c>
      <c r="N4234" s="28" t="s">
        <v>16226</v>
      </c>
      <c r="O4234" s="28" t="s">
        <v>16227</v>
      </c>
      <c r="P4234" s="28" t="s">
        <v>22207</v>
      </c>
    </row>
    <row r="4235" spans="1:16" x14ac:dyDescent="0.25">
      <c r="A4235" s="28" t="s">
        <v>22208</v>
      </c>
      <c r="B4235" s="28" t="s">
        <v>22209</v>
      </c>
      <c r="C4235" s="28" t="s">
        <v>4491</v>
      </c>
      <c r="D4235" s="28" t="s">
        <v>2347</v>
      </c>
      <c r="E4235" s="28" t="s">
        <v>11842</v>
      </c>
      <c r="F4235" s="28" t="s">
        <v>21</v>
      </c>
      <c r="G4235" s="28" t="s">
        <v>39</v>
      </c>
      <c r="H4235" s="28" t="s">
        <v>16221</v>
      </c>
      <c r="I4235" s="28" t="s">
        <v>22210</v>
      </c>
      <c r="J4235" s="28" t="s">
        <v>39</v>
      </c>
      <c r="K4235" s="28" t="s">
        <v>16223</v>
      </c>
      <c r="L4235" s="28" t="s">
        <v>16224</v>
      </c>
      <c r="M4235" s="28" t="s">
        <v>17928</v>
      </c>
      <c r="N4235" s="28" t="s">
        <v>16226</v>
      </c>
      <c r="O4235" s="28" t="s">
        <v>16227</v>
      </c>
      <c r="P4235" s="28" t="s">
        <v>22211</v>
      </c>
    </row>
    <row r="4236" spans="1:16" x14ac:dyDescent="0.25">
      <c r="A4236" s="28" t="s">
        <v>22212</v>
      </c>
      <c r="B4236" s="28" t="s">
        <v>22213</v>
      </c>
      <c r="C4236" s="28" t="s">
        <v>4491</v>
      </c>
      <c r="D4236" s="28" t="s">
        <v>2347</v>
      </c>
      <c r="E4236" s="28" t="s">
        <v>11852</v>
      </c>
      <c r="F4236" s="28" t="s">
        <v>21</v>
      </c>
      <c r="G4236" s="28" t="s">
        <v>39</v>
      </c>
      <c r="H4236" s="28" t="s">
        <v>16221</v>
      </c>
      <c r="I4236" s="28" t="s">
        <v>22214</v>
      </c>
      <c r="J4236" s="28" t="s">
        <v>39</v>
      </c>
      <c r="K4236" s="28" t="s">
        <v>16223</v>
      </c>
      <c r="L4236" s="28" t="s">
        <v>16224</v>
      </c>
      <c r="M4236" s="28" t="s">
        <v>17933</v>
      </c>
      <c r="N4236" s="28" t="s">
        <v>16226</v>
      </c>
      <c r="O4236" s="28" t="s">
        <v>16227</v>
      </c>
      <c r="P4236" s="28" t="s">
        <v>22215</v>
      </c>
    </row>
    <row r="4237" spans="1:16" x14ac:dyDescent="0.25">
      <c r="A4237" s="28" t="s">
        <v>22216</v>
      </c>
      <c r="B4237" s="28" t="s">
        <v>22217</v>
      </c>
      <c r="C4237" s="28" t="s">
        <v>4491</v>
      </c>
      <c r="D4237" s="28" t="s">
        <v>2347</v>
      </c>
      <c r="E4237" s="28" t="s">
        <v>11862</v>
      </c>
      <c r="F4237" s="28" t="s">
        <v>21</v>
      </c>
      <c r="G4237" s="28" t="s">
        <v>39</v>
      </c>
      <c r="H4237" s="28" t="s">
        <v>16221</v>
      </c>
      <c r="I4237" s="28" t="s">
        <v>22218</v>
      </c>
      <c r="J4237" s="28" t="s">
        <v>39</v>
      </c>
      <c r="K4237" s="28" t="s">
        <v>16223</v>
      </c>
      <c r="L4237" s="28" t="s">
        <v>16224</v>
      </c>
      <c r="M4237" s="28" t="s">
        <v>17938</v>
      </c>
      <c r="N4237" s="28" t="s">
        <v>16226</v>
      </c>
      <c r="O4237" s="28" t="s">
        <v>16227</v>
      </c>
      <c r="P4237" s="28" t="s">
        <v>22219</v>
      </c>
    </row>
    <row r="4238" spans="1:16" x14ac:dyDescent="0.25">
      <c r="A4238" s="28" t="s">
        <v>22220</v>
      </c>
      <c r="B4238" s="28" t="s">
        <v>22221</v>
      </c>
      <c r="C4238" s="28" t="s">
        <v>4491</v>
      </c>
      <c r="D4238" s="28" t="s">
        <v>2347</v>
      </c>
      <c r="E4238" s="28" t="s">
        <v>11872</v>
      </c>
      <c r="F4238" s="28" t="s">
        <v>21</v>
      </c>
      <c r="G4238" s="28" t="s">
        <v>39</v>
      </c>
      <c r="H4238" s="28" t="s">
        <v>16221</v>
      </c>
      <c r="I4238" s="28" t="s">
        <v>22222</v>
      </c>
      <c r="J4238" s="28" t="s">
        <v>39</v>
      </c>
      <c r="K4238" s="28" t="s">
        <v>16223</v>
      </c>
      <c r="L4238" s="28" t="s">
        <v>16224</v>
      </c>
      <c r="M4238" s="28" t="s">
        <v>17943</v>
      </c>
      <c r="N4238" s="28" t="s">
        <v>16226</v>
      </c>
      <c r="O4238" s="28" t="s">
        <v>16227</v>
      </c>
      <c r="P4238" s="28" t="s">
        <v>22223</v>
      </c>
    </row>
    <row r="4239" spans="1:16" x14ac:dyDescent="0.25">
      <c r="A4239" s="28" t="s">
        <v>22224</v>
      </c>
      <c r="B4239" s="28" t="s">
        <v>22225</v>
      </c>
      <c r="C4239" s="28" t="s">
        <v>4491</v>
      </c>
      <c r="D4239" s="28" t="s">
        <v>2347</v>
      </c>
      <c r="E4239" s="28" t="s">
        <v>11882</v>
      </c>
      <c r="F4239" s="28" t="s">
        <v>21</v>
      </c>
      <c r="G4239" s="28" t="s">
        <v>39</v>
      </c>
      <c r="H4239" s="28" t="s">
        <v>16221</v>
      </c>
      <c r="I4239" s="28" t="s">
        <v>22226</v>
      </c>
      <c r="J4239" s="28" t="s">
        <v>39</v>
      </c>
      <c r="K4239" s="28" t="s">
        <v>16223</v>
      </c>
      <c r="L4239" s="28" t="s">
        <v>16224</v>
      </c>
      <c r="M4239" s="28" t="s">
        <v>17948</v>
      </c>
      <c r="N4239" s="28" t="s">
        <v>16226</v>
      </c>
      <c r="O4239" s="28" t="s">
        <v>16227</v>
      </c>
      <c r="P4239" s="28" t="s">
        <v>22227</v>
      </c>
    </row>
    <row r="4240" spans="1:16" hidden="1" x14ac:dyDescent="0.25">
      <c r="A4240" s="28" t="s">
        <v>22228</v>
      </c>
      <c r="B4240" s="28" t="s">
        <v>22229</v>
      </c>
      <c r="C4240" s="28" t="s">
        <v>4491</v>
      </c>
      <c r="D4240" s="28" t="s">
        <v>2347</v>
      </c>
      <c r="E4240" s="28" t="s">
        <v>17952</v>
      </c>
      <c r="F4240" s="28" t="s">
        <v>21</v>
      </c>
      <c r="G4240" s="28" t="s">
        <v>22</v>
      </c>
      <c r="H4240" s="28" t="s">
        <v>21726</v>
      </c>
      <c r="I4240" s="28" t="s">
        <v>22230</v>
      </c>
      <c r="J4240" s="28" t="s">
        <v>22</v>
      </c>
      <c r="K4240" s="28" t="s">
        <v>21728</v>
      </c>
      <c r="L4240" s="28" t="s">
        <v>21729</v>
      </c>
      <c r="M4240" s="28" t="s">
        <v>22231</v>
      </c>
      <c r="N4240" s="28" t="s">
        <v>21731</v>
      </c>
      <c r="O4240" s="28" t="s">
        <v>21732</v>
      </c>
      <c r="P4240" s="28" t="s">
        <v>22232</v>
      </c>
    </row>
    <row r="4241" spans="1:16" hidden="1" x14ac:dyDescent="0.25">
      <c r="A4241" s="28" t="s">
        <v>22233</v>
      </c>
      <c r="B4241" s="28" t="s">
        <v>22234</v>
      </c>
      <c r="C4241" s="28" t="s">
        <v>4491</v>
      </c>
      <c r="D4241" s="28" t="s">
        <v>2347</v>
      </c>
      <c r="E4241" s="28" t="s">
        <v>17958</v>
      </c>
      <c r="F4241" s="28" t="s">
        <v>21</v>
      </c>
      <c r="G4241" s="28" t="s">
        <v>22</v>
      </c>
      <c r="H4241" s="28" t="s">
        <v>21726</v>
      </c>
      <c r="I4241" s="28" t="s">
        <v>22235</v>
      </c>
      <c r="J4241" s="28" t="s">
        <v>22</v>
      </c>
      <c r="K4241" s="28" t="s">
        <v>21728</v>
      </c>
      <c r="L4241" s="28" t="s">
        <v>21729</v>
      </c>
      <c r="M4241" s="28" t="s">
        <v>22236</v>
      </c>
      <c r="N4241" s="28" t="s">
        <v>21731</v>
      </c>
      <c r="O4241" s="28" t="s">
        <v>21732</v>
      </c>
      <c r="P4241" s="28" t="s">
        <v>22237</v>
      </c>
    </row>
    <row r="4242" spans="1:16" hidden="1" x14ac:dyDescent="0.25">
      <c r="A4242" s="28" t="s">
        <v>22238</v>
      </c>
      <c r="B4242" s="28" t="s">
        <v>22239</v>
      </c>
      <c r="C4242" s="28" t="s">
        <v>4491</v>
      </c>
      <c r="D4242" s="28" t="s">
        <v>2347</v>
      </c>
      <c r="E4242" s="28" t="s">
        <v>17964</v>
      </c>
      <c r="F4242" s="28" t="s">
        <v>21</v>
      </c>
      <c r="G4242" s="28" t="s">
        <v>22</v>
      </c>
      <c r="H4242" s="28" t="s">
        <v>21726</v>
      </c>
      <c r="I4242" s="28" t="s">
        <v>22240</v>
      </c>
      <c r="J4242" s="28" t="s">
        <v>22</v>
      </c>
      <c r="K4242" s="28" t="s">
        <v>21728</v>
      </c>
      <c r="L4242" s="28" t="s">
        <v>21729</v>
      </c>
      <c r="M4242" s="28" t="s">
        <v>22241</v>
      </c>
      <c r="N4242" s="28" t="s">
        <v>21731</v>
      </c>
      <c r="O4242" s="28" t="s">
        <v>21732</v>
      </c>
      <c r="P4242" s="28" t="s">
        <v>22242</v>
      </c>
    </row>
    <row r="4243" spans="1:16" hidden="1" x14ac:dyDescent="0.25">
      <c r="A4243" s="28" t="s">
        <v>22243</v>
      </c>
      <c r="B4243" s="28" t="s">
        <v>22244</v>
      </c>
      <c r="C4243" s="28" t="s">
        <v>4491</v>
      </c>
      <c r="D4243" s="28" t="s">
        <v>2347</v>
      </c>
      <c r="E4243" s="28" t="s">
        <v>17970</v>
      </c>
      <c r="F4243" s="28" t="s">
        <v>21</v>
      </c>
      <c r="G4243" s="28" t="s">
        <v>22</v>
      </c>
      <c r="H4243" s="28" t="s">
        <v>21726</v>
      </c>
      <c r="I4243" s="28" t="s">
        <v>22245</v>
      </c>
      <c r="J4243" s="28" t="s">
        <v>22</v>
      </c>
      <c r="K4243" s="28" t="s">
        <v>21728</v>
      </c>
      <c r="L4243" s="28" t="s">
        <v>21729</v>
      </c>
      <c r="M4243" s="28" t="s">
        <v>22246</v>
      </c>
      <c r="N4243" s="28" t="s">
        <v>21731</v>
      </c>
      <c r="O4243" s="28" t="s">
        <v>21732</v>
      </c>
      <c r="P4243" s="28" t="s">
        <v>22247</v>
      </c>
    </row>
    <row r="4244" spans="1:16" hidden="1" x14ac:dyDescent="0.25">
      <c r="A4244" s="28" t="s">
        <v>22248</v>
      </c>
      <c r="B4244" s="28" t="s">
        <v>22249</v>
      </c>
      <c r="C4244" s="28" t="s">
        <v>4491</v>
      </c>
      <c r="D4244" s="28" t="s">
        <v>2347</v>
      </c>
      <c r="E4244" s="28" t="s">
        <v>17976</v>
      </c>
      <c r="F4244" s="28" t="s">
        <v>21</v>
      </c>
      <c r="G4244" s="28" t="s">
        <v>22</v>
      </c>
      <c r="H4244" s="28" t="s">
        <v>21726</v>
      </c>
      <c r="I4244" s="28" t="s">
        <v>22250</v>
      </c>
      <c r="J4244" s="28" t="s">
        <v>22</v>
      </c>
      <c r="K4244" s="28" t="s">
        <v>21728</v>
      </c>
      <c r="L4244" s="28" t="s">
        <v>21729</v>
      </c>
      <c r="M4244" s="28" t="s">
        <v>22251</v>
      </c>
      <c r="N4244" s="28" t="s">
        <v>21731</v>
      </c>
      <c r="O4244" s="28" t="s">
        <v>21732</v>
      </c>
      <c r="P4244" s="28" t="s">
        <v>22252</v>
      </c>
    </row>
    <row r="4245" spans="1:16" hidden="1" x14ac:dyDescent="0.25">
      <c r="A4245" s="28" t="s">
        <v>22253</v>
      </c>
      <c r="B4245" s="28" t="s">
        <v>22254</v>
      </c>
      <c r="C4245" s="28" t="s">
        <v>4491</v>
      </c>
      <c r="D4245" s="28" t="s">
        <v>2347</v>
      </c>
      <c r="E4245" s="28" t="s">
        <v>17982</v>
      </c>
      <c r="F4245" s="28" t="s">
        <v>21</v>
      </c>
      <c r="G4245" s="28" t="s">
        <v>22</v>
      </c>
      <c r="H4245" s="28" t="s">
        <v>21726</v>
      </c>
      <c r="I4245" s="28" t="s">
        <v>22255</v>
      </c>
      <c r="J4245" s="28" t="s">
        <v>22</v>
      </c>
      <c r="K4245" s="28" t="s">
        <v>21728</v>
      </c>
      <c r="L4245" s="28" t="s">
        <v>21729</v>
      </c>
      <c r="M4245" s="28" t="s">
        <v>22256</v>
      </c>
      <c r="N4245" s="28" t="s">
        <v>21731</v>
      </c>
      <c r="O4245" s="28" t="s">
        <v>21732</v>
      </c>
      <c r="P4245" s="28" t="s">
        <v>22257</v>
      </c>
    </row>
    <row r="4246" spans="1:16" x14ac:dyDescent="0.25">
      <c r="A4246" s="28" t="s">
        <v>22258</v>
      </c>
      <c r="B4246" s="28" t="s">
        <v>22259</v>
      </c>
      <c r="C4246" s="28" t="s">
        <v>4491</v>
      </c>
      <c r="D4246" s="28" t="s">
        <v>2347</v>
      </c>
      <c r="E4246" s="28" t="s">
        <v>11978</v>
      </c>
      <c r="F4246" s="28" t="s">
        <v>21</v>
      </c>
      <c r="G4246" s="28" t="s">
        <v>39</v>
      </c>
      <c r="H4246" s="28" t="s">
        <v>16221</v>
      </c>
      <c r="I4246" s="28" t="s">
        <v>22260</v>
      </c>
      <c r="J4246" s="28" t="s">
        <v>39</v>
      </c>
      <c r="K4246" s="28" t="s">
        <v>16223</v>
      </c>
      <c r="L4246" s="28" t="s">
        <v>16224</v>
      </c>
      <c r="M4246" s="28" t="s">
        <v>17989</v>
      </c>
      <c r="N4246" s="28" t="s">
        <v>16226</v>
      </c>
      <c r="O4246" s="28" t="s">
        <v>16227</v>
      </c>
      <c r="P4246" s="28" t="s">
        <v>22261</v>
      </c>
    </row>
    <row r="4247" spans="1:16" x14ac:dyDescent="0.25">
      <c r="A4247" s="28" t="s">
        <v>22262</v>
      </c>
      <c r="B4247" s="28" t="s">
        <v>22263</v>
      </c>
      <c r="C4247" s="28" t="s">
        <v>4491</v>
      </c>
      <c r="D4247" s="28" t="s">
        <v>2347</v>
      </c>
      <c r="E4247" s="28" t="s">
        <v>11988</v>
      </c>
      <c r="F4247" s="28" t="s">
        <v>21</v>
      </c>
      <c r="G4247" s="28" t="s">
        <v>39</v>
      </c>
      <c r="H4247" s="28" t="s">
        <v>16221</v>
      </c>
      <c r="I4247" s="28" t="s">
        <v>22264</v>
      </c>
      <c r="J4247" s="28" t="s">
        <v>39</v>
      </c>
      <c r="K4247" s="28" t="s">
        <v>16223</v>
      </c>
      <c r="L4247" s="28" t="s">
        <v>16224</v>
      </c>
      <c r="M4247" s="28" t="s">
        <v>17994</v>
      </c>
      <c r="N4247" s="28" t="s">
        <v>16226</v>
      </c>
      <c r="O4247" s="28" t="s">
        <v>16227</v>
      </c>
      <c r="P4247" s="28" t="s">
        <v>22265</v>
      </c>
    </row>
    <row r="4248" spans="1:16" x14ac:dyDescent="0.25">
      <c r="A4248" s="28" t="s">
        <v>22266</v>
      </c>
      <c r="B4248" s="28" t="s">
        <v>22267</v>
      </c>
      <c r="C4248" s="28" t="s">
        <v>4491</v>
      </c>
      <c r="D4248" s="28" t="s">
        <v>62</v>
      </c>
      <c r="E4248" s="28" t="s">
        <v>2363</v>
      </c>
      <c r="F4248" s="28" t="s">
        <v>21</v>
      </c>
      <c r="G4248" s="28" t="s">
        <v>39</v>
      </c>
      <c r="H4248" s="28" t="s">
        <v>16221</v>
      </c>
      <c r="I4248" s="28" t="s">
        <v>22268</v>
      </c>
      <c r="J4248" s="28" t="s">
        <v>39</v>
      </c>
      <c r="K4248" s="28" t="s">
        <v>16223</v>
      </c>
      <c r="L4248" s="28" t="s">
        <v>16224</v>
      </c>
      <c r="M4248" s="28" t="s">
        <v>17999</v>
      </c>
      <c r="N4248" s="28" t="s">
        <v>16226</v>
      </c>
      <c r="O4248" s="28" t="s">
        <v>16227</v>
      </c>
      <c r="P4248" s="28" t="s">
        <v>22269</v>
      </c>
    </row>
    <row r="4249" spans="1:16" hidden="1" x14ac:dyDescent="0.25">
      <c r="A4249" s="28" t="s">
        <v>22270</v>
      </c>
      <c r="B4249" s="28" t="s">
        <v>22271</v>
      </c>
      <c r="C4249" s="28" t="s">
        <v>4491</v>
      </c>
      <c r="D4249" s="28" t="s">
        <v>62</v>
      </c>
      <c r="E4249" s="28" t="s">
        <v>18003</v>
      </c>
      <c r="F4249" s="28" t="s">
        <v>21</v>
      </c>
      <c r="G4249" s="28" t="s">
        <v>22</v>
      </c>
      <c r="H4249" s="28" t="s">
        <v>21726</v>
      </c>
      <c r="I4249" s="28" t="s">
        <v>22272</v>
      </c>
      <c r="J4249" s="28" t="s">
        <v>22</v>
      </c>
      <c r="K4249" s="28" t="s">
        <v>21728</v>
      </c>
      <c r="L4249" s="28" t="s">
        <v>21729</v>
      </c>
      <c r="M4249" s="28" t="s">
        <v>22273</v>
      </c>
      <c r="N4249" s="28" t="s">
        <v>21731</v>
      </c>
      <c r="O4249" s="28" t="s">
        <v>21732</v>
      </c>
      <c r="P4249" s="28" t="s">
        <v>22274</v>
      </c>
    </row>
    <row r="4250" spans="1:16" hidden="1" x14ac:dyDescent="0.25">
      <c r="A4250" s="28" t="s">
        <v>22275</v>
      </c>
      <c r="B4250" s="28" t="s">
        <v>22276</v>
      </c>
      <c r="C4250" s="28" t="s">
        <v>4491</v>
      </c>
      <c r="D4250" s="28" t="s">
        <v>62</v>
      </c>
      <c r="E4250" s="28" t="s">
        <v>18009</v>
      </c>
      <c r="F4250" s="28" t="s">
        <v>21</v>
      </c>
      <c r="G4250" s="28" t="s">
        <v>22</v>
      </c>
      <c r="H4250" s="28" t="s">
        <v>21726</v>
      </c>
      <c r="I4250" s="28" t="s">
        <v>22277</v>
      </c>
      <c r="J4250" s="28" t="s">
        <v>22</v>
      </c>
      <c r="K4250" s="28" t="s">
        <v>21728</v>
      </c>
      <c r="L4250" s="28" t="s">
        <v>21729</v>
      </c>
      <c r="M4250" s="28" t="s">
        <v>22278</v>
      </c>
      <c r="N4250" s="28" t="s">
        <v>21731</v>
      </c>
      <c r="O4250" s="28" t="s">
        <v>21732</v>
      </c>
      <c r="P4250" s="28" t="s">
        <v>22279</v>
      </c>
    </row>
    <row r="4251" spans="1:16" x14ac:dyDescent="0.25">
      <c r="A4251" s="28" t="s">
        <v>22280</v>
      </c>
      <c r="B4251" s="28" t="s">
        <v>22281</v>
      </c>
      <c r="C4251" s="28" t="s">
        <v>4491</v>
      </c>
      <c r="D4251" s="28" t="s">
        <v>1204</v>
      </c>
      <c r="E4251" s="28" t="s">
        <v>12818</v>
      </c>
      <c r="F4251" s="28" t="s">
        <v>21</v>
      </c>
      <c r="G4251" s="28" t="s">
        <v>39</v>
      </c>
      <c r="H4251" s="28" t="s">
        <v>16221</v>
      </c>
      <c r="I4251" s="28" t="s">
        <v>22282</v>
      </c>
      <c r="J4251" s="28" t="s">
        <v>39</v>
      </c>
      <c r="K4251" s="28" t="s">
        <v>16223</v>
      </c>
      <c r="L4251" s="28" t="s">
        <v>16224</v>
      </c>
      <c r="M4251" s="28" t="s">
        <v>18016</v>
      </c>
      <c r="N4251" s="28" t="s">
        <v>16226</v>
      </c>
      <c r="O4251" s="28" t="s">
        <v>16227</v>
      </c>
      <c r="P4251" s="28" t="s">
        <v>22283</v>
      </c>
    </row>
    <row r="4252" spans="1:16" hidden="1" x14ac:dyDescent="0.25">
      <c r="A4252" s="28" t="s">
        <v>22284</v>
      </c>
      <c r="B4252" s="28" t="s">
        <v>22285</v>
      </c>
      <c r="C4252" s="28" t="s">
        <v>4491</v>
      </c>
      <c r="D4252" s="28" t="s">
        <v>1204</v>
      </c>
      <c r="E4252" s="28" t="s">
        <v>18020</v>
      </c>
      <c r="F4252" s="28" t="s">
        <v>21</v>
      </c>
      <c r="G4252" s="28" t="s">
        <v>22</v>
      </c>
      <c r="H4252" s="28" t="s">
        <v>21726</v>
      </c>
      <c r="I4252" s="28" t="s">
        <v>22286</v>
      </c>
      <c r="J4252" s="28" t="s">
        <v>22</v>
      </c>
      <c r="K4252" s="28" t="s">
        <v>21728</v>
      </c>
      <c r="L4252" s="28" t="s">
        <v>21729</v>
      </c>
      <c r="M4252" s="28" t="s">
        <v>22287</v>
      </c>
      <c r="N4252" s="28" t="s">
        <v>21731</v>
      </c>
      <c r="O4252" s="28" t="s">
        <v>21732</v>
      </c>
      <c r="P4252" s="28" t="s">
        <v>22288</v>
      </c>
    </row>
    <row r="4253" spans="1:16" x14ac:dyDescent="0.25">
      <c r="A4253" s="28" t="s">
        <v>22289</v>
      </c>
      <c r="B4253" s="28" t="s">
        <v>22290</v>
      </c>
      <c r="C4253" s="28" t="s">
        <v>4491</v>
      </c>
      <c r="D4253" s="28" t="s">
        <v>1204</v>
      </c>
      <c r="E4253" s="28" t="s">
        <v>18026</v>
      </c>
      <c r="F4253" s="28" t="s">
        <v>21</v>
      </c>
      <c r="G4253" s="28" t="s">
        <v>39</v>
      </c>
      <c r="H4253" s="28" t="s">
        <v>16221</v>
      </c>
      <c r="I4253" s="28" t="s">
        <v>22291</v>
      </c>
      <c r="J4253" s="28" t="s">
        <v>39</v>
      </c>
      <c r="K4253" s="28" t="s">
        <v>16223</v>
      </c>
      <c r="L4253" s="28" t="s">
        <v>16224</v>
      </c>
      <c r="M4253" s="28" t="s">
        <v>18028</v>
      </c>
      <c r="N4253" s="28" t="s">
        <v>16226</v>
      </c>
      <c r="O4253" s="28" t="s">
        <v>16227</v>
      </c>
      <c r="P4253" s="28" t="s">
        <v>22292</v>
      </c>
    </row>
    <row r="4254" spans="1:16" hidden="1" x14ac:dyDescent="0.25">
      <c r="A4254" s="28" t="s">
        <v>22293</v>
      </c>
      <c r="B4254" s="28" t="s">
        <v>22294</v>
      </c>
      <c r="C4254" s="28" t="s">
        <v>4491</v>
      </c>
      <c r="D4254" s="28" t="s">
        <v>1204</v>
      </c>
      <c r="E4254" s="28" t="s">
        <v>13484</v>
      </c>
      <c r="F4254" s="28" t="s">
        <v>21</v>
      </c>
      <c r="G4254" s="28" t="s">
        <v>22</v>
      </c>
      <c r="H4254" s="28" t="s">
        <v>21726</v>
      </c>
      <c r="I4254" s="28" t="s">
        <v>22295</v>
      </c>
      <c r="J4254" s="28" t="s">
        <v>22</v>
      </c>
      <c r="K4254" s="28" t="s">
        <v>21728</v>
      </c>
      <c r="L4254" s="28" t="s">
        <v>21729</v>
      </c>
      <c r="M4254" s="28" t="s">
        <v>22296</v>
      </c>
      <c r="N4254" s="28" t="s">
        <v>21731</v>
      </c>
      <c r="O4254" s="28" t="s">
        <v>21732</v>
      </c>
      <c r="P4254" s="28" t="s">
        <v>22297</v>
      </c>
    </row>
    <row r="4255" spans="1:16" hidden="1" x14ac:dyDescent="0.25">
      <c r="A4255" s="28" t="s">
        <v>22298</v>
      </c>
      <c r="B4255" s="28" t="s">
        <v>22299</v>
      </c>
      <c r="C4255" s="28" t="s">
        <v>4491</v>
      </c>
      <c r="D4255" s="28" t="s">
        <v>1204</v>
      </c>
      <c r="E4255" s="28" t="s">
        <v>18037</v>
      </c>
      <c r="F4255" s="28" t="s">
        <v>21</v>
      </c>
      <c r="G4255" s="28" t="s">
        <v>22</v>
      </c>
      <c r="H4255" s="28" t="s">
        <v>21726</v>
      </c>
      <c r="I4255" s="28" t="s">
        <v>22300</v>
      </c>
      <c r="J4255" s="28" t="s">
        <v>22</v>
      </c>
      <c r="K4255" s="28" t="s">
        <v>21728</v>
      </c>
      <c r="L4255" s="28" t="s">
        <v>21729</v>
      </c>
      <c r="M4255" s="28" t="s">
        <v>22301</v>
      </c>
      <c r="N4255" s="28" t="s">
        <v>21731</v>
      </c>
      <c r="O4255" s="28" t="s">
        <v>21732</v>
      </c>
      <c r="P4255" s="28" t="s">
        <v>22302</v>
      </c>
    </row>
    <row r="4256" spans="1:16" x14ac:dyDescent="0.25">
      <c r="A4256" s="28" t="s">
        <v>22303</v>
      </c>
      <c r="B4256" s="28" t="s">
        <v>22304</v>
      </c>
      <c r="C4256" s="28" t="s">
        <v>4491</v>
      </c>
      <c r="D4256" s="28" t="s">
        <v>69</v>
      </c>
      <c r="E4256" s="28" t="s">
        <v>18043</v>
      </c>
      <c r="F4256" s="28" t="s">
        <v>21</v>
      </c>
      <c r="G4256" s="28" t="s">
        <v>39</v>
      </c>
      <c r="H4256" s="28" t="s">
        <v>16221</v>
      </c>
      <c r="I4256" s="28" t="s">
        <v>22305</v>
      </c>
      <c r="J4256" s="28" t="s">
        <v>39</v>
      </c>
      <c r="K4256" s="28" t="s">
        <v>16223</v>
      </c>
      <c r="L4256" s="28" t="s">
        <v>16224</v>
      </c>
      <c r="M4256" s="28" t="s">
        <v>18045</v>
      </c>
      <c r="N4256" s="28" t="s">
        <v>16226</v>
      </c>
      <c r="O4256" s="28" t="s">
        <v>16227</v>
      </c>
      <c r="P4256" s="28" t="s">
        <v>22306</v>
      </c>
    </row>
    <row r="4257" spans="1:16" x14ac:dyDescent="0.25">
      <c r="A4257" s="28" t="s">
        <v>22307</v>
      </c>
      <c r="B4257" s="28" t="s">
        <v>22308</v>
      </c>
      <c r="C4257" s="28" t="s">
        <v>4491</v>
      </c>
      <c r="D4257" s="28" t="s">
        <v>69</v>
      </c>
      <c r="E4257" s="28" t="s">
        <v>18049</v>
      </c>
      <c r="F4257" s="28" t="s">
        <v>21</v>
      </c>
      <c r="G4257" s="28" t="s">
        <v>39</v>
      </c>
      <c r="H4257" s="28" t="s">
        <v>16221</v>
      </c>
      <c r="I4257" s="28" t="s">
        <v>22309</v>
      </c>
      <c r="J4257" s="28" t="s">
        <v>39</v>
      </c>
      <c r="K4257" s="28" t="s">
        <v>16223</v>
      </c>
      <c r="L4257" s="28" t="s">
        <v>16224</v>
      </c>
      <c r="M4257" s="28" t="s">
        <v>18051</v>
      </c>
      <c r="N4257" s="28" t="s">
        <v>16226</v>
      </c>
      <c r="O4257" s="28" t="s">
        <v>16227</v>
      </c>
      <c r="P4257" s="28" t="s">
        <v>22310</v>
      </c>
    </row>
    <row r="4258" spans="1:16" x14ac:dyDescent="0.25">
      <c r="A4258" s="28" t="s">
        <v>22311</v>
      </c>
      <c r="B4258" s="28" t="s">
        <v>22312</v>
      </c>
      <c r="C4258" s="28" t="s">
        <v>4491</v>
      </c>
      <c r="D4258" s="28" t="s">
        <v>69</v>
      </c>
      <c r="E4258" s="28" t="s">
        <v>18055</v>
      </c>
      <c r="F4258" s="28" t="s">
        <v>21</v>
      </c>
      <c r="G4258" s="28" t="s">
        <v>39</v>
      </c>
      <c r="H4258" s="28" t="s">
        <v>16221</v>
      </c>
      <c r="I4258" s="28" t="s">
        <v>22313</v>
      </c>
      <c r="J4258" s="28" t="s">
        <v>39</v>
      </c>
      <c r="K4258" s="28" t="s">
        <v>16223</v>
      </c>
      <c r="L4258" s="28" t="s">
        <v>16224</v>
      </c>
      <c r="M4258" s="28" t="s">
        <v>18057</v>
      </c>
      <c r="N4258" s="28" t="s">
        <v>16226</v>
      </c>
      <c r="O4258" s="28" t="s">
        <v>16227</v>
      </c>
      <c r="P4258" s="28" t="s">
        <v>22314</v>
      </c>
    </row>
    <row r="4259" spans="1:16" hidden="1" x14ac:dyDescent="0.25">
      <c r="A4259" s="28" t="s">
        <v>22315</v>
      </c>
      <c r="B4259" s="28" t="s">
        <v>22316</v>
      </c>
      <c r="C4259" s="28" t="s">
        <v>4491</v>
      </c>
      <c r="D4259" s="28" t="s">
        <v>69</v>
      </c>
      <c r="E4259" s="28" t="s">
        <v>18061</v>
      </c>
      <c r="F4259" s="28" t="s">
        <v>21</v>
      </c>
      <c r="G4259" s="28" t="s">
        <v>22</v>
      </c>
      <c r="H4259" s="28" t="s">
        <v>21726</v>
      </c>
      <c r="I4259" s="28" t="s">
        <v>22317</v>
      </c>
      <c r="J4259" s="28" t="s">
        <v>22</v>
      </c>
      <c r="K4259" s="28" t="s">
        <v>21728</v>
      </c>
      <c r="L4259" s="28" t="s">
        <v>21729</v>
      </c>
      <c r="M4259" s="28" t="s">
        <v>22318</v>
      </c>
      <c r="N4259" s="28" t="s">
        <v>21731</v>
      </c>
      <c r="O4259" s="28" t="s">
        <v>21732</v>
      </c>
      <c r="P4259" s="28" t="s">
        <v>22319</v>
      </c>
    </row>
    <row r="4260" spans="1:16" hidden="1" x14ac:dyDescent="0.25">
      <c r="A4260" s="28" t="s">
        <v>22320</v>
      </c>
      <c r="B4260" s="28" t="s">
        <v>22321</v>
      </c>
      <c r="C4260" s="28" t="s">
        <v>4491</v>
      </c>
      <c r="D4260" s="28" t="s">
        <v>69</v>
      </c>
      <c r="E4260" s="28" t="s">
        <v>18067</v>
      </c>
      <c r="F4260" s="28" t="s">
        <v>21</v>
      </c>
      <c r="G4260" s="28" t="s">
        <v>22</v>
      </c>
      <c r="H4260" s="28" t="s">
        <v>21726</v>
      </c>
      <c r="I4260" s="28" t="s">
        <v>22322</v>
      </c>
      <c r="J4260" s="28" t="s">
        <v>22</v>
      </c>
      <c r="K4260" s="28" t="s">
        <v>21728</v>
      </c>
      <c r="L4260" s="28" t="s">
        <v>21729</v>
      </c>
      <c r="M4260" s="28" t="s">
        <v>22323</v>
      </c>
      <c r="N4260" s="28" t="s">
        <v>21731</v>
      </c>
      <c r="O4260" s="28" t="s">
        <v>21732</v>
      </c>
      <c r="P4260" s="28" t="s">
        <v>22324</v>
      </c>
    </row>
    <row r="4261" spans="1:16" hidden="1" x14ac:dyDescent="0.25">
      <c r="A4261" s="28" t="s">
        <v>22325</v>
      </c>
      <c r="B4261" s="28" t="s">
        <v>22326</v>
      </c>
      <c r="C4261" s="28" t="s">
        <v>4491</v>
      </c>
      <c r="D4261" s="28" t="s">
        <v>69</v>
      </c>
      <c r="E4261" s="28" t="s">
        <v>18073</v>
      </c>
      <c r="F4261" s="28" t="s">
        <v>21</v>
      </c>
      <c r="G4261" s="28" t="s">
        <v>22</v>
      </c>
      <c r="H4261" s="28" t="s">
        <v>21726</v>
      </c>
      <c r="I4261" s="28" t="s">
        <v>22327</v>
      </c>
      <c r="J4261" s="28" t="s">
        <v>22</v>
      </c>
      <c r="K4261" s="28" t="s">
        <v>21728</v>
      </c>
      <c r="L4261" s="28" t="s">
        <v>21729</v>
      </c>
      <c r="M4261" s="28" t="s">
        <v>22328</v>
      </c>
      <c r="N4261" s="28" t="s">
        <v>21731</v>
      </c>
      <c r="O4261" s="28" t="s">
        <v>21732</v>
      </c>
      <c r="P4261" s="28" t="s">
        <v>22329</v>
      </c>
    </row>
    <row r="4262" spans="1:16" hidden="1" x14ac:dyDescent="0.25">
      <c r="A4262" s="28" t="s">
        <v>22330</v>
      </c>
      <c r="B4262" s="28" t="s">
        <v>22331</v>
      </c>
      <c r="C4262" s="28" t="s">
        <v>4491</v>
      </c>
      <c r="D4262" s="28" t="s">
        <v>69</v>
      </c>
      <c r="E4262" s="28" t="s">
        <v>18079</v>
      </c>
      <c r="F4262" s="28" t="s">
        <v>21</v>
      </c>
      <c r="G4262" s="28" t="s">
        <v>22</v>
      </c>
      <c r="H4262" s="28" t="s">
        <v>21726</v>
      </c>
      <c r="I4262" s="28" t="s">
        <v>22332</v>
      </c>
      <c r="J4262" s="28" t="s">
        <v>22</v>
      </c>
      <c r="K4262" s="28" t="s">
        <v>21728</v>
      </c>
      <c r="L4262" s="28" t="s">
        <v>21729</v>
      </c>
      <c r="M4262" s="28" t="s">
        <v>22333</v>
      </c>
      <c r="N4262" s="28" t="s">
        <v>21731</v>
      </c>
      <c r="O4262" s="28" t="s">
        <v>21732</v>
      </c>
      <c r="P4262" s="28" t="s">
        <v>22334</v>
      </c>
    </row>
    <row r="4263" spans="1:16" hidden="1" x14ac:dyDescent="0.25">
      <c r="A4263" s="28" t="s">
        <v>22335</v>
      </c>
      <c r="B4263" s="28" t="s">
        <v>22336</v>
      </c>
      <c r="C4263" s="28" t="s">
        <v>4491</v>
      </c>
      <c r="D4263" s="28" t="s">
        <v>69</v>
      </c>
      <c r="E4263" s="28" t="s">
        <v>18085</v>
      </c>
      <c r="F4263" s="28" t="s">
        <v>21</v>
      </c>
      <c r="G4263" s="28" t="s">
        <v>22</v>
      </c>
      <c r="H4263" s="28" t="s">
        <v>21726</v>
      </c>
      <c r="I4263" s="28" t="s">
        <v>22337</v>
      </c>
      <c r="J4263" s="28" t="s">
        <v>22</v>
      </c>
      <c r="K4263" s="28" t="s">
        <v>21728</v>
      </c>
      <c r="L4263" s="28" t="s">
        <v>21729</v>
      </c>
      <c r="M4263" s="28" t="s">
        <v>22338</v>
      </c>
      <c r="N4263" s="28" t="s">
        <v>21731</v>
      </c>
      <c r="O4263" s="28" t="s">
        <v>21732</v>
      </c>
      <c r="P4263" s="28" t="s">
        <v>22339</v>
      </c>
    </row>
    <row r="4264" spans="1:16" hidden="1" x14ac:dyDescent="0.25">
      <c r="A4264" s="28" t="s">
        <v>22340</v>
      </c>
      <c r="B4264" s="28" t="s">
        <v>22341</v>
      </c>
      <c r="C4264" s="28" t="s">
        <v>4491</v>
      </c>
      <c r="D4264" s="28" t="s">
        <v>69</v>
      </c>
      <c r="E4264" s="28" t="s">
        <v>18091</v>
      </c>
      <c r="F4264" s="28" t="s">
        <v>21</v>
      </c>
      <c r="G4264" s="28" t="s">
        <v>22</v>
      </c>
      <c r="H4264" s="28" t="s">
        <v>21726</v>
      </c>
      <c r="I4264" s="28" t="s">
        <v>22342</v>
      </c>
      <c r="J4264" s="28" t="s">
        <v>22</v>
      </c>
      <c r="K4264" s="28" t="s">
        <v>21728</v>
      </c>
      <c r="L4264" s="28" t="s">
        <v>21729</v>
      </c>
      <c r="M4264" s="28" t="s">
        <v>22343</v>
      </c>
      <c r="N4264" s="28" t="s">
        <v>21731</v>
      </c>
      <c r="O4264" s="28" t="s">
        <v>21732</v>
      </c>
      <c r="P4264" s="28" t="s">
        <v>22344</v>
      </c>
    </row>
    <row r="4265" spans="1:16" x14ac:dyDescent="0.25">
      <c r="A4265" s="28" t="s">
        <v>22345</v>
      </c>
      <c r="B4265" s="28" t="s">
        <v>22346</v>
      </c>
      <c r="C4265" s="28" t="s">
        <v>4491</v>
      </c>
      <c r="D4265" s="28" t="s">
        <v>1271</v>
      </c>
      <c r="E4265" s="28" t="s">
        <v>14019</v>
      </c>
      <c r="F4265" s="28" t="s">
        <v>21</v>
      </c>
      <c r="G4265" s="28" t="s">
        <v>39</v>
      </c>
      <c r="H4265" s="28" t="s">
        <v>16221</v>
      </c>
      <c r="I4265" s="28" t="s">
        <v>22347</v>
      </c>
      <c r="J4265" s="28" t="s">
        <v>39</v>
      </c>
      <c r="K4265" s="28" t="s">
        <v>16223</v>
      </c>
      <c r="L4265" s="28" t="s">
        <v>16224</v>
      </c>
      <c r="M4265" s="28" t="s">
        <v>18098</v>
      </c>
      <c r="N4265" s="28" t="s">
        <v>16226</v>
      </c>
      <c r="O4265" s="28" t="s">
        <v>16227</v>
      </c>
      <c r="P4265" s="28" t="s">
        <v>22348</v>
      </c>
    </row>
    <row r="4266" spans="1:16" x14ac:dyDescent="0.25">
      <c r="A4266" s="28" t="s">
        <v>22349</v>
      </c>
      <c r="B4266" s="28" t="s">
        <v>22350</v>
      </c>
      <c r="C4266" s="28" t="s">
        <v>4491</v>
      </c>
      <c r="D4266" s="28" t="s">
        <v>1271</v>
      </c>
      <c r="E4266" s="28" t="s">
        <v>14024</v>
      </c>
      <c r="F4266" s="28" t="s">
        <v>21</v>
      </c>
      <c r="G4266" s="28" t="s">
        <v>39</v>
      </c>
      <c r="H4266" s="28" t="s">
        <v>16221</v>
      </c>
      <c r="I4266" s="28" t="s">
        <v>22351</v>
      </c>
      <c r="J4266" s="28" t="s">
        <v>39</v>
      </c>
      <c r="K4266" s="28" t="s">
        <v>16223</v>
      </c>
      <c r="L4266" s="28" t="s">
        <v>16224</v>
      </c>
      <c r="M4266" s="28" t="s">
        <v>18103</v>
      </c>
      <c r="N4266" s="28" t="s">
        <v>16226</v>
      </c>
      <c r="O4266" s="28" t="s">
        <v>16227</v>
      </c>
      <c r="P4266" s="28" t="s">
        <v>22352</v>
      </c>
    </row>
    <row r="4267" spans="1:16" x14ac:dyDescent="0.25">
      <c r="A4267" s="28" t="s">
        <v>22353</v>
      </c>
      <c r="B4267" s="28" t="s">
        <v>22354</v>
      </c>
      <c r="C4267" s="28" t="s">
        <v>4491</v>
      </c>
      <c r="D4267" s="28" t="s">
        <v>1271</v>
      </c>
      <c r="E4267" s="28" t="s">
        <v>14029</v>
      </c>
      <c r="F4267" s="28" t="s">
        <v>21</v>
      </c>
      <c r="G4267" s="28" t="s">
        <v>39</v>
      </c>
      <c r="H4267" s="28" t="s">
        <v>16221</v>
      </c>
      <c r="I4267" s="28" t="s">
        <v>22355</v>
      </c>
      <c r="J4267" s="28" t="s">
        <v>39</v>
      </c>
      <c r="K4267" s="28" t="s">
        <v>16223</v>
      </c>
      <c r="L4267" s="28" t="s">
        <v>16224</v>
      </c>
      <c r="M4267" s="28" t="s">
        <v>18108</v>
      </c>
      <c r="N4267" s="28" t="s">
        <v>16226</v>
      </c>
      <c r="O4267" s="28" t="s">
        <v>16227</v>
      </c>
      <c r="P4267" s="28" t="s">
        <v>22356</v>
      </c>
    </row>
    <row r="4268" spans="1:16" x14ac:dyDescent="0.25">
      <c r="A4268" s="28" t="s">
        <v>22357</v>
      </c>
      <c r="B4268" s="28" t="s">
        <v>22358</v>
      </c>
      <c r="C4268" s="28" t="s">
        <v>4491</v>
      </c>
      <c r="D4268" s="28" t="s">
        <v>1271</v>
      </c>
      <c r="E4268" s="28" t="s">
        <v>14029</v>
      </c>
      <c r="F4268" s="28" t="s">
        <v>21</v>
      </c>
      <c r="G4268" s="28" t="s">
        <v>39</v>
      </c>
      <c r="H4268" s="28" t="s">
        <v>16221</v>
      </c>
      <c r="I4268" s="28" t="s">
        <v>22359</v>
      </c>
      <c r="J4268" s="28" t="s">
        <v>39</v>
      </c>
      <c r="K4268" s="28" t="s">
        <v>16223</v>
      </c>
      <c r="L4268" s="28" t="s">
        <v>16224</v>
      </c>
      <c r="M4268" s="28" t="s">
        <v>18113</v>
      </c>
      <c r="N4268" s="28" t="s">
        <v>16226</v>
      </c>
      <c r="O4268" s="28" t="s">
        <v>16227</v>
      </c>
      <c r="P4268" s="28" t="s">
        <v>22356</v>
      </c>
    </row>
    <row r="4269" spans="1:16" x14ac:dyDescent="0.25">
      <c r="A4269" s="28" t="s">
        <v>22360</v>
      </c>
      <c r="B4269" s="28" t="s">
        <v>22361</v>
      </c>
      <c r="C4269" s="28" t="s">
        <v>4491</v>
      </c>
      <c r="D4269" s="28" t="s">
        <v>1271</v>
      </c>
      <c r="E4269" s="28" t="s">
        <v>14254</v>
      </c>
      <c r="F4269" s="28" t="s">
        <v>21</v>
      </c>
      <c r="G4269" s="28" t="s">
        <v>39</v>
      </c>
      <c r="H4269" s="28" t="s">
        <v>16221</v>
      </c>
      <c r="I4269" s="28" t="s">
        <v>22362</v>
      </c>
      <c r="J4269" s="28" t="s">
        <v>39</v>
      </c>
      <c r="K4269" s="28" t="s">
        <v>16223</v>
      </c>
      <c r="L4269" s="28" t="s">
        <v>16224</v>
      </c>
      <c r="M4269" s="28" t="s">
        <v>18117</v>
      </c>
      <c r="N4269" s="28" t="s">
        <v>16226</v>
      </c>
      <c r="O4269" s="28" t="s">
        <v>16227</v>
      </c>
      <c r="P4269" s="28" t="s">
        <v>22363</v>
      </c>
    </row>
    <row r="4270" spans="1:16" x14ac:dyDescent="0.25">
      <c r="A4270" s="28" t="s">
        <v>22364</v>
      </c>
      <c r="B4270" s="28" t="s">
        <v>22365</v>
      </c>
      <c r="C4270" s="28" t="s">
        <v>4491</v>
      </c>
      <c r="D4270" s="28" t="s">
        <v>1271</v>
      </c>
      <c r="E4270" s="28" t="s">
        <v>18121</v>
      </c>
      <c r="F4270" s="28" t="s">
        <v>21</v>
      </c>
      <c r="G4270" s="28" t="s">
        <v>39</v>
      </c>
      <c r="H4270" s="28" t="s">
        <v>16221</v>
      </c>
      <c r="I4270" s="28" t="s">
        <v>22366</v>
      </c>
      <c r="J4270" s="28" t="s">
        <v>39</v>
      </c>
      <c r="K4270" s="28" t="s">
        <v>16223</v>
      </c>
      <c r="L4270" s="28" t="s">
        <v>16224</v>
      </c>
      <c r="M4270" s="28" t="s">
        <v>18123</v>
      </c>
      <c r="N4270" s="28" t="s">
        <v>16226</v>
      </c>
      <c r="O4270" s="28" t="s">
        <v>16227</v>
      </c>
      <c r="P4270" s="28" t="s">
        <v>22367</v>
      </c>
    </row>
    <row r="4271" spans="1:16" x14ac:dyDescent="0.25">
      <c r="A4271" s="28" t="s">
        <v>22368</v>
      </c>
      <c r="B4271" s="28" t="s">
        <v>22369</v>
      </c>
      <c r="C4271" s="28" t="s">
        <v>4491</v>
      </c>
      <c r="D4271" s="28" t="s">
        <v>1271</v>
      </c>
      <c r="E4271" s="28" t="s">
        <v>1300</v>
      </c>
      <c r="F4271" s="28" t="s">
        <v>21</v>
      </c>
      <c r="G4271" s="28" t="s">
        <v>39</v>
      </c>
      <c r="H4271" s="28" t="s">
        <v>16221</v>
      </c>
      <c r="I4271" s="28" t="s">
        <v>22370</v>
      </c>
      <c r="J4271" s="28" t="s">
        <v>39</v>
      </c>
      <c r="K4271" s="28" t="s">
        <v>16223</v>
      </c>
      <c r="L4271" s="28" t="s">
        <v>16224</v>
      </c>
      <c r="M4271" s="28" t="s">
        <v>18128</v>
      </c>
      <c r="N4271" s="28" t="s">
        <v>16226</v>
      </c>
      <c r="O4271" s="28" t="s">
        <v>16227</v>
      </c>
      <c r="P4271" s="28" t="s">
        <v>22371</v>
      </c>
    </row>
    <row r="4272" spans="1:16" x14ac:dyDescent="0.25">
      <c r="A4272" s="28" t="s">
        <v>22372</v>
      </c>
      <c r="B4272" s="28" t="s">
        <v>22373</v>
      </c>
      <c r="C4272" s="28" t="s">
        <v>4491</v>
      </c>
      <c r="D4272" s="28" t="s">
        <v>2583</v>
      </c>
      <c r="E4272" s="28" t="s">
        <v>14932</v>
      </c>
      <c r="F4272" s="28" t="s">
        <v>21</v>
      </c>
      <c r="G4272" s="28" t="s">
        <v>39</v>
      </c>
      <c r="H4272" s="28" t="s">
        <v>16221</v>
      </c>
      <c r="I4272" s="28" t="s">
        <v>22374</v>
      </c>
      <c r="J4272" s="28" t="s">
        <v>39</v>
      </c>
      <c r="K4272" s="28" t="s">
        <v>16223</v>
      </c>
      <c r="L4272" s="28" t="s">
        <v>16224</v>
      </c>
      <c r="M4272" s="28" t="s">
        <v>18133</v>
      </c>
      <c r="N4272" s="28" t="s">
        <v>16226</v>
      </c>
      <c r="O4272" s="28" t="s">
        <v>16227</v>
      </c>
      <c r="P4272" s="28" t="s">
        <v>22375</v>
      </c>
    </row>
    <row r="4273" spans="1:16" x14ac:dyDescent="0.25">
      <c r="A4273" s="28" t="s">
        <v>22376</v>
      </c>
      <c r="B4273" s="28" t="s">
        <v>22377</v>
      </c>
      <c r="C4273" s="28" t="s">
        <v>4491</v>
      </c>
      <c r="D4273" s="28" t="s">
        <v>2583</v>
      </c>
      <c r="E4273" s="28" t="s">
        <v>18137</v>
      </c>
      <c r="F4273" s="28" t="s">
        <v>21</v>
      </c>
      <c r="G4273" s="28" t="s">
        <v>39</v>
      </c>
      <c r="H4273" s="28" t="s">
        <v>16221</v>
      </c>
      <c r="I4273" s="28" t="s">
        <v>22378</v>
      </c>
      <c r="J4273" s="28" t="s">
        <v>39</v>
      </c>
      <c r="K4273" s="28" t="s">
        <v>16223</v>
      </c>
      <c r="L4273" s="28" t="s">
        <v>16224</v>
      </c>
      <c r="M4273" s="28" t="s">
        <v>18139</v>
      </c>
      <c r="N4273" s="28" t="s">
        <v>16226</v>
      </c>
      <c r="O4273" s="28" t="s">
        <v>16227</v>
      </c>
      <c r="P4273" s="28" t="s">
        <v>22379</v>
      </c>
    </row>
    <row r="4274" spans="1:16" x14ac:dyDescent="0.25">
      <c r="A4274" s="28" t="s">
        <v>22380</v>
      </c>
      <c r="B4274" s="28" t="s">
        <v>22381</v>
      </c>
      <c r="C4274" s="28" t="s">
        <v>4491</v>
      </c>
      <c r="D4274" s="28" t="s">
        <v>2583</v>
      </c>
      <c r="E4274" s="28" t="s">
        <v>14938</v>
      </c>
      <c r="F4274" s="28" t="s">
        <v>21</v>
      </c>
      <c r="G4274" s="28" t="s">
        <v>39</v>
      </c>
      <c r="H4274" s="28" t="s">
        <v>16221</v>
      </c>
      <c r="I4274" s="28" t="s">
        <v>22382</v>
      </c>
      <c r="J4274" s="28" t="s">
        <v>39</v>
      </c>
      <c r="K4274" s="28" t="s">
        <v>16223</v>
      </c>
      <c r="L4274" s="28" t="s">
        <v>16224</v>
      </c>
      <c r="M4274" s="28" t="s">
        <v>18144</v>
      </c>
      <c r="N4274" s="28" t="s">
        <v>16226</v>
      </c>
      <c r="O4274" s="28" t="s">
        <v>16227</v>
      </c>
      <c r="P4274" s="28" t="s">
        <v>22383</v>
      </c>
    </row>
    <row r="4275" spans="1:16" x14ac:dyDescent="0.25">
      <c r="A4275" s="28" t="s">
        <v>22384</v>
      </c>
      <c r="B4275" s="28" t="s">
        <v>22385</v>
      </c>
      <c r="C4275" s="28" t="s">
        <v>4491</v>
      </c>
      <c r="D4275" s="28" t="s">
        <v>82</v>
      </c>
      <c r="E4275" s="28" t="s">
        <v>14954</v>
      </c>
      <c r="F4275" s="28" t="s">
        <v>21</v>
      </c>
      <c r="G4275" s="28" t="s">
        <v>39</v>
      </c>
      <c r="H4275" s="28" t="s">
        <v>16221</v>
      </c>
      <c r="I4275" s="28" t="s">
        <v>22386</v>
      </c>
      <c r="J4275" s="28" t="s">
        <v>39</v>
      </c>
      <c r="K4275" s="28" t="s">
        <v>16223</v>
      </c>
      <c r="L4275" s="28" t="s">
        <v>16224</v>
      </c>
      <c r="M4275" s="28" t="s">
        <v>18149</v>
      </c>
      <c r="N4275" s="28" t="s">
        <v>16226</v>
      </c>
      <c r="O4275" s="28" t="s">
        <v>16227</v>
      </c>
      <c r="P4275" s="28" t="s">
        <v>22387</v>
      </c>
    </row>
    <row r="4276" spans="1:16" x14ac:dyDescent="0.25">
      <c r="A4276" s="28" t="s">
        <v>22388</v>
      </c>
      <c r="B4276" s="28" t="s">
        <v>22389</v>
      </c>
      <c r="C4276" s="28" t="s">
        <v>4491</v>
      </c>
      <c r="D4276" s="28" t="s">
        <v>82</v>
      </c>
      <c r="E4276" s="28" t="s">
        <v>18153</v>
      </c>
      <c r="F4276" s="28" t="s">
        <v>21</v>
      </c>
      <c r="G4276" s="28" t="s">
        <v>39</v>
      </c>
      <c r="H4276" s="28" t="s">
        <v>16221</v>
      </c>
      <c r="I4276" s="28" t="s">
        <v>22390</v>
      </c>
      <c r="J4276" s="28" t="s">
        <v>39</v>
      </c>
      <c r="K4276" s="28" t="s">
        <v>16223</v>
      </c>
      <c r="L4276" s="28" t="s">
        <v>16224</v>
      </c>
      <c r="M4276" s="28" t="s">
        <v>18155</v>
      </c>
      <c r="N4276" s="28" t="s">
        <v>16226</v>
      </c>
      <c r="O4276" s="28" t="s">
        <v>16227</v>
      </c>
      <c r="P4276" s="28" t="s">
        <v>22391</v>
      </c>
    </row>
    <row r="4277" spans="1:16" x14ac:dyDescent="0.25">
      <c r="A4277" s="28" t="s">
        <v>22392</v>
      </c>
      <c r="B4277" s="28" t="s">
        <v>22393</v>
      </c>
      <c r="C4277" s="28" t="s">
        <v>4491</v>
      </c>
      <c r="D4277" s="28" t="s">
        <v>5328</v>
      </c>
      <c r="E4277" s="28" t="s">
        <v>18159</v>
      </c>
      <c r="F4277" s="28" t="s">
        <v>21</v>
      </c>
      <c r="G4277" s="28" t="s">
        <v>39</v>
      </c>
      <c r="H4277" s="28" t="s">
        <v>16221</v>
      </c>
      <c r="I4277" s="28" t="s">
        <v>22394</v>
      </c>
      <c r="J4277" s="28" t="s">
        <v>39</v>
      </c>
      <c r="K4277" s="28" t="s">
        <v>16223</v>
      </c>
      <c r="L4277" s="28" t="s">
        <v>16224</v>
      </c>
      <c r="M4277" s="28" t="s">
        <v>18161</v>
      </c>
      <c r="N4277" s="28" t="s">
        <v>16226</v>
      </c>
      <c r="O4277" s="28" t="s">
        <v>16227</v>
      </c>
      <c r="P4277" s="28" t="s">
        <v>22395</v>
      </c>
    </row>
    <row r="4278" spans="1:16" hidden="1" x14ac:dyDescent="0.25">
      <c r="A4278" s="28" t="s">
        <v>22396</v>
      </c>
      <c r="B4278" s="28" t="s">
        <v>22397</v>
      </c>
      <c r="C4278" s="28" t="s">
        <v>4491</v>
      </c>
      <c r="D4278" s="28" t="s">
        <v>5328</v>
      </c>
      <c r="E4278" s="28" t="s">
        <v>18165</v>
      </c>
      <c r="F4278" s="28" t="s">
        <v>21</v>
      </c>
      <c r="G4278" s="28" t="s">
        <v>22</v>
      </c>
      <c r="H4278" s="28" t="s">
        <v>21726</v>
      </c>
      <c r="I4278" s="28" t="s">
        <v>22398</v>
      </c>
      <c r="J4278" s="28" t="s">
        <v>22</v>
      </c>
      <c r="K4278" s="28" t="s">
        <v>21728</v>
      </c>
      <c r="L4278" s="28" t="s">
        <v>21729</v>
      </c>
      <c r="M4278" s="28" t="s">
        <v>22399</v>
      </c>
      <c r="N4278" s="28" t="s">
        <v>21731</v>
      </c>
      <c r="O4278" s="28" t="s">
        <v>21732</v>
      </c>
      <c r="P4278" s="28" t="s">
        <v>22400</v>
      </c>
    </row>
    <row r="4279" spans="1:16" x14ac:dyDescent="0.25">
      <c r="A4279" s="28" t="s">
        <v>22401</v>
      </c>
      <c r="B4279" s="28" t="s">
        <v>22402</v>
      </c>
      <c r="C4279" s="28" t="s">
        <v>4491</v>
      </c>
      <c r="D4279" s="28" t="s">
        <v>5328</v>
      </c>
      <c r="E4279" s="28" t="s">
        <v>2789</v>
      </c>
      <c r="F4279" s="28" t="s">
        <v>21</v>
      </c>
      <c r="G4279" s="28" t="s">
        <v>39</v>
      </c>
      <c r="H4279" s="28" t="s">
        <v>16221</v>
      </c>
      <c r="I4279" s="28" t="s">
        <v>22403</v>
      </c>
      <c r="J4279" s="28" t="s">
        <v>39</v>
      </c>
      <c r="K4279" s="28" t="s">
        <v>16223</v>
      </c>
      <c r="L4279" s="28" t="s">
        <v>16224</v>
      </c>
      <c r="M4279" s="28" t="s">
        <v>18172</v>
      </c>
      <c r="N4279" s="28" t="s">
        <v>16226</v>
      </c>
      <c r="O4279" s="28" t="s">
        <v>16227</v>
      </c>
      <c r="P4279" s="28" t="s">
        <v>22404</v>
      </c>
    </row>
    <row r="4280" spans="1:16" x14ac:dyDescent="0.25">
      <c r="A4280" s="28" t="s">
        <v>22405</v>
      </c>
      <c r="B4280" s="28" t="s">
        <v>22406</v>
      </c>
      <c r="C4280" s="28" t="s">
        <v>4491</v>
      </c>
      <c r="D4280" s="28" t="s">
        <v>5328</v>
      </c>
      <c r="E4280" s="28" t="s">
        <v>2789</v>
      </c>
      <c r="F4280" s="28" t="s">
        <v>21</v>
      </c>
      <c r="G4280" s="28" t="s">
        <v>39</v>
      </c>
      <c r="H4280" s="28" t="s">
        <v>16221</v>
      </c>
      <c r="I4280" s="28" t="s">
        <v>22407</v>
      </c>
      <c r="J4280" s="28" t="s">
        <v>39</v>
      </c>
      <c r="K4280" s="28" t="s">
        <v>16223</v>
      </c>
      <c r="L4280" s="28" t="s">
        <v>16224</v>
      </c>
      <c r="M4280" s="28" t="s">
        <v>18177</v>
      </c>
      <c r="N4280" s="28" t="s">
        <v>16226</v>
      </c>
      <c r="O4280" s="28" t="s">
        <v>16227</v>
      </c>
      <c r="P4280" s="28" t="s">
        <v>22404</v>
      </c>
    </row>
    <row r="4281" spans="1:16" x14ac:dyDescent="0.25">
      <c r="A4281" s="28" t="s">
        <v>22408</v>
      </c>
      <c r="B4281" s="28" t="s">
        <v>22409</v>
      </c>
      <c r="C4281" s="28" t="s">
        <v>4491</v>
      </c>
      <c r="D4281" s="28" t="s">
        <v>5328</v>
      </c>
      <c r="E4281" s="28" t="s">
        <v>2789</v>
      </c>
      <c r="F4281" s="28" t="s">
        <v>21</v>
      </c>
      <c r="G4281" s="28" t="s">
        <v>39</v>
      </c>
      <c r="H4281" s="28" t="s">
        <v>16221</v>
      </c>
      <c r="I4281" s="28" t="s">
        <v>22410</v>
      </c>
      <c r="J4281" s="28" t="s">
        <v>39</v>
      </c>
      <c r="K4281" s="28" t="s">
        <v>16223</v>
      </c>
      <c r="L4281" s="28" t="s">
        <v>16224</v>
      </c>
      <c r="M4281" s="28" t="s">
        <v>18181</v>
      </c>
      <c r="N4281" s="28" t="s">
        <v>16226</v>
      </c>
      <c r="O4281" s="28" t="s">
        <v>16227</v>
      </c>
      <c r="P4281" s="28" t="s">
        <v>22404</v>
      </c>
    </row>
    <row r="4282" spans="1:16" x14ac:dyDescent="0.25">
      <c r="A4282" s="28" t="s">
        <v>22411</v>
      </c>
      <c r="B4282" s="28" t="s">
        <v>22412</v>
      </c>
      <c r="C4282" s="28" t="s">
        <v>4491</v>
      </c>
      <c r="D4282" s="28" t="s">
        <v>5328</v>
      </c>
      <c r="E4282" s="28" t="s">
        <v>2789</v>
      </c>
      <c r="F4282" s="28" t="s">
        <v>21</v>
      </c>
      <c r="G4282" s="28" t="s">
        <v>39</v>
      </c>
      <c r="H4282" s="28" t="s">
        <v>16221</v>
      </c>
      <c r="I4282" s="28" t="s">
        <v>22413</v>
      </c>
      <c r="J4282" s="28" t="s">
        <v>39</v>
      </c>
      <c r="K4282" s="28" t="s">
        <v>16223</v>
      </c>
      <c r="L4282" s="28" t="s">
        <v>16224</v>
      </c>
      <c r="M4282" s="28" t="s">
        <v>18185</v>
      </c>
      <c r="N4282" s="28" t="s">
        <v>16226</v>
      </c>
      <c r="O4282" s="28" t="s">
        <v>16227</v>
      </c>
      <c r="P4282" s="28" t="s">
        <v>22404</v>
      </c>
    </row>
    <row r="4283" spans="1:16" x14ac:dyDescent="0.25">
      <c r="A4283" s="28" t="s">
        <v>22414</v>
      </c>
      <c r="B4283" s="28" t="s">
        <v>22415</v>
      </c>
      <c r="C4283" s="28" t="s">
        <v>4491</v>
      </c>
      <c r="D4283" s="28" t="s">
        <v>5328</v>
      </c>
      <c r="E4283" s="28" t="s">
        <v>2789</v>
      </c>
      <c r="F4283" s="28" t="s">
        <v>21</v>
      </c>
      <c r="G4283" s="28" t="s">
        <v>39</v>
      </c>
      <c r="H4283" s="28" t="s">
        <v>16221</v>
      </c>
      <c r="I4283" s="28" t="s">
        <v>22416</v>
      </c>
      <c r="J4283" s="28" t="s">
        <v>39</v>
      </c>
      <c r="K4283" s="28" t="s">
        <v>16223</v>
      </c>
      <c r="L4283" s="28" t="s">
        <v>16224</v>
      </c>
      <c r="M4283" s="28" t="s">
        <v>18189</v>
      </c>
      <c r="N4283" s="28" t="s">
        <v>16226</v>
      </c>
      <c r="O4283" s="28" t="s">
        <v>16227</v>
      </c>
      <c r="P4283" s="28" t="s">
        <v>22404</v>
      </c>
    </row>
    <row r="4284" spans="1:16" x14ac:dyDescent="0.25">
      <c r="A4284" s="28" t="s">
        <v>22417</v>
      </c>
      <c r="B4284" s="28" t="s">
        <v>22418</v>
      </c>
      <c r="C4284" s="28" t="s">
        <v>4491</v>
      </c>
      <c r="D4284" s="28" t="s">
        <v>5328</v>
      </c>
      <c r="E4284" s="28" t="s">
        <v>2789</v>
      </c>
      <c r="F4284" s="28" t="s">
        <v>21</v>
      </c>
      <c r="G4284" s="28" t="s">
        <v>39</v>
      </c>
      <c r="H4284" s="28" t="s">
        <v>16221</v>
      </c>
      <c r="I4284" s="28" t="s">
        <v>22419</v>
      </c>
      <c r="J4284" s="28" t="s">
        <v>39</v>
      </c>
      <c r="K4284" s="28" t="s">
        <v>16223</v>
      </c>
      <c r="L4284" s="28" t="s">
        <v>16224</v>
      </c>
      <c r="M4284" s="28" t="s">
        <v>18193</v>
      </c>
      <c r="N4284" s="28" t="s">
        <v>16226</v>
      </c>
      <c r="O4284" s="28" t="s">
        <v>16227</v>
      </c>
      <c r="P4284" s="28" t="s">
        <v>22404</v>
      </c>
    </row>
    <row r="4285" spans="1:16" hidden="1" x14ac:dyDescent="0.25">
      <c r="A4285" s="28" t="s">
        <v>22420</v>
      </c>
      <c r="B4285" s="28" t="s">
        <v>22421</v>
      </c>
      <c r="C4285" s="28" t="s">
        <v>4491</v>
      </c>
      <c r="D4285" s="28" t="s">
        <v>5328</v>
      </c>
      <c r="E4285" s="28" t="s">
        <v>18196</v>
      </c>
      <c r="F4285" s="28" t="s">
        <v>21</v>
      </c>
      <c r="G4285" s="28" t="s">
        <v>22</v>
      </c>
      <c r="H4285" s="28" t="s">
        <v>21726</v>
      </c>
      <c r="I4285" s="28" t="s">
        <v>22422</v>
      </c>
      <c r="J4285" s="28" t="s">
        <v>22</v>
      </c>
      <c r="K4285" s="28" t="s">
        <v>21728</v>
      </c>
      <c r="L4285" s="28" t="s">
        <v>21729</v>
      </c>
      <c r="M4285" s="28" t="s">
        <v>22423</v>
      </c>
      <c r="N4285" s="28" t="s">
        <v>21731</v>
      </c>
      <c r="O4285" s="28" t="s">
        <v>21732</v>
      </c>
      <c r="P4285" s="28" t="s">
        <v>22424</v>
      </c>
    </row>
    <row r="4286" spans="1:16" x14ac:dyDescent="0.25">
      <c r="A4286" s="28" t="s">
        <v>22425</v>
      </c>
      <c r="B4286" s="28" t="s">
        <v>22426</v>
      </c>
      <c r="C4286" s="28" t="s">
        <v>4491</v>
      </c>
      <c r="D4286" s="28" t="s">
        <v>3068</v>
      </c>
      <c r="E4286" s="28" t="s">
        <v>16909</v>
      </c>
      <c r="F4286" s="28" t="s">
        <v>21</v>
      </c>
      <c r="G4286" s="28" t="s">
        <v>39</v>
      </c>
      <c r="H4286" s="28" t="s">
        <v>16221</v>
      </c>
      <c r="I4286" s="28" t="s">
        <v>22427</v>
      </c>
      <c r="J4286" s="28" t="s">
        <v>39</v>
      </c>
      <c r="K4286" s="28" t="s">
        <v>16223</v>
      </c>
      <c r="L4286" s="28" t="s">
        <v>16224</v>
      </c>
      <c r="M4286" s="28" t="s">
        <v>18203</v>
      </c>
      <c r="N4286" s="28" t="s">
        <v>16226</v>
      </c>
      <c r="O4286" s="28" t="s">
        <v>16227</v>
      </c>
      <c r="P4286" s="28" t="s">
        <v>22428</v>
      </c>
    </row>
    <row r="4287" spans="1:16" x14ac:dyDescent="0.25">
      <c r="A4287" s="28" t="s">
        <v>22429</v>
      </c>
      <c r="B4287" s="28" t="s">
        <v>22430</v>
      </c>
      <c r="C4287" s="28" t="s">
        <v>4491</v>
      </c>
      <c r="D4287" s="28" t="s">
        <v>5372</v>
      </c>
      <c r="E4287" s="28" t="s">
        <v>18206</v>
      </c>
      <c r="F4287" s="28" t="s">
        <v>21</v>
      </c>
      <c r="G4287" s="28" t="s">
        <v>39</v>
      </c>
      <c r="H4287" s="28" t="s">
        <v>16221</v>
      </c>
      <c r="I4287" s="28" t="s">
        <v>22431</v>
      </c>
      <c r="J4287" s="28" t="s">
        <v>39</v>
      </c>
      <c r="K4287" s="28" t="s">
        <v>16223</v>
      </c>
      <c r="L4287" s="28" t="s">
        <v>16224</v>
      </c>
      <c r="M4287" s="28" t="s">
        <v>18208</v>
      </c>
      <c r="N4287" s="28" t="s">
        <v>16226</v>
      </c>
      <c r="O4287" s="28" t="s">
        <v>16227</v>
      </c>
      <c r="P4287" s="28" t="s">
        <v>22432</v>
      </c>
    </row>
    <row r="4288" spans="1:16" x14ac:dyDescent="0.25">
      <c r="A4288" s="28" t="s">
        <v>22433</v>
      </c>
      <c r="B4288" s="28" t="s">
        <v>22434</v>
      </c>
      <c r="C4288" s="28" t="s">
        <v>4491</v>
      </c>
      <c r="D4288" s="28" t="s">
        <v>3299</v>
      </c>
      <c r="E4288" s="28" t="s">
        <v>18212</v>
      </c>
      <c r="F4288" s="28" t="s">
        <v>21</v>
      </c>
      <c r="G4288" s="28" t="s">
        <v>39</v>
      </c>
      <c r="H4288" s="28" t="s">
        <v>16221</v>
      </c>
      <c r="I4288" s="28" t="s">
        <v>22435</v>
      </c>
      <c r="J4288" s="28" t="s">
        <v>39</v>
      </c>
      <c r="K4288" s="28" t="s">
        <v>16223</v>
      </c>
      <c r="L4288" s="28" t="s">
        <v>16224</v>
      </c>
      <c r="M4288" s="28" t="s">
        <v>18214</v>
      </c>
      <c r="N4288" s="28" t="s">
        <v>16226</v>
      </c>
      <c r="O4288" s="28" t="s">
        <v>16227</v>
      </c>
      <c r="P4288" s="28" t="s">
        <v>22436</v>
      </c>
    </row>
    <row r="4289" spans="1:16" x14ac:dyDescent="0.25">
      <c r="A4289" s="28" t="s">
        <v>22437</v>
      </c>
      <c r="B4289" s="28" t="s">
        <v>22438</v>
      </c>
      <c r="C4289" s="28" t="s">
        <v>4491</v>
      </c>
      <c r="D4289" s="28" t="s">
        <v>3838</v>
      </c>
      <c r="E4289" s="28" t="s">
        <v>18218</v>
      </c>
      <c r="F4289" s="28" t="s">
        <v>21</v>
      </c>
      <c r="G4289" s="28" t="s">
        <v>39</v>
      </c>
      <c r="H4289" s="28" t="s">
        <v>16221</v>
      </c>
      <c r="I4289" s="28" t="s">
        <v>22439</v>
      </c>
      <c r="J4289" s="28" t="s">
        <v>39</v>
      </c>
      <c r="K4289" s="28" t="s">
        <v>16223</v>
      </c>
      <c r="L4289" s="28" t="s">
        <v>16224</v>
      </c>
      <c r="M4289" s="28" t="s">
        <v>18220</v>
      </c>
      <c r="N4289" s="28" t="s">
        <v>16226</v>
      </c>
      <c r="O4289" s="28" t="s">
        <v>16227</v>
      </c>
      <c r="P4289" s="28" t="s">
        <v>22440</v>
      </c>
    </row>
    <row r="4290" spans="1:16" x14ac:dyDescent="0.25">
      <c r="A4290" s="28" t="s">
        <v>22441</v>
      </c>
      <c r="B4290" s="28" t="s">
        <v>22442</v>
      </c>
      <c r="C4290" s="28" t="s">
        <v>4491</v>
      </c>
      <c r="D4290" s="28" t="s">
        <v>18224</v>
      </c>
      <c r="E4290" s="28" t="s">
        <v>18225</v>
      </c>
      <c r="F4290" s="28" t="s">
        <v>21</v>
      </c>
      <c r="G4290" s="28" t="s">
        <v>39</v>
      </c>
      <c r="H4290" s="28" t="s">
        <v>16221</v>
      </c>
      <c r="I4290" s="28" t="s">
        <v>22443</v>
      </c>
      <c r="J4290" s="28" t="s">
        <v>39</v>
      </c>
      <c r="K4290" s="28" t="s">
        <v>16223</v>
      </c>
      <c r="L4290" s="28" t="s">
        <v>16224</v>
      </c>
      <c r="M4290" s="28" t="s">
        <v>18227</v>
      </c>
      <c r="N4290" s="28" t="s">
        <v>16226</v>
      </c>
      <c r="O4290" s="28" t="s">
        <v>16227</v>
      </c>
      <c r="P4290" s="28" t="s">
        <v>22444</v>
      </c>
    </row>
    <row r="4291" spans="1:16" x14ac:dyDescent="0.25">
      <c r="A4291" s="28" t="s">
        <v>22445</v>
      </c>
      <c r="B4291" s="28" t="s">
        <v>22446</v>
      </c>
      <c r="C4291" s="28" t="s">
        <v>4491</v>
      </c>
      <c r="D4291" s="28" t="s">
        <v>9268</v>
      </c>
      <c r="E4291" s="28" t="s">
        <v>18231</v>
      </c>
      <c r="F4291" s="28" t="s">
        <v>21</v>
      </c>
      <c r="G4291" s="28" t="s">
        <v>39</v>
      </c>
      <c r="H4291" s="28" t="s">
        <v>16221</v>
      </c>
      <c r="I4291" s="28" t="s">
        <v>22447</v>
      </c>
      <c r="J4291" s="28" t="s">
        <v>39</v>
      </c>
      <c r="K4291" s="28" t="s">
        <v>16223</v>
      </c>
      <c r="L4291" s="28" t="s">
        <v>16224</v>
      </c>
      <c r="M4291" s="28" t="s">
        <v>18233</v>
      </c>
      <c r="N4291" s="28" t="s">
        <v>16226</v>
      </c>
      <c r="O4291" s="28" t="s">
        <v>16227</v>
      </c>
      <c r="P4291" s="28" t="s">
        <v>22448</v>
      </c>
    </row>
    <row r="4292" spans="1:16" x14ac:dyDescent="0.25">
      <c r="A4292" s="28" t="s">
        <v>22449</v>
      </c>
      <c r="B4292" s="28" t="s">
        <v>22450</v>
      </c>
      <c r="C4292" s="28" t="s">
        <v>4491</v>
      </c>
      <c r="D4292" s="28" t="s">
        <v>9261</v>
      </c>
      <c r="E4292" s="28" t="s">
        <v>18237</v>
      </c>
      <c r="F4292" s="28" t="s">
        <v>21</v>
      </c>
      <c r="G4292" s="28" t="s">
        <v>39</v>
      </c>
      <c r="H4292" s="28" t="s">
        <v>16221</v>
      </c>
      <c r="I4292" s="28" t="s">
        <v>22451</v>
      </c>
      <c r="J4292" s="28" t="s">
        <v>39</v>
      </c>
      <c r="K4292" s="28" t="s">
        <v>16223</v>
      </c>
      <c r="L4292" s="28" t="s">
        <v>16224</v>
      </c>
      <c r="M4292" s="28" t="s">
        <v>18239</v>
      </c>
      <c r="N4292" s="28" t="s">
        <v>16226</v>
      </c>
      <c r="O4292" s="28" t="s">
        <v>16227</v>
      </c>
      <c r="P4292" s="28" t="s">
        <v>22452</v>
      </c>
    </row>
    <row r="4293" spans="1:16" x14ac:dyDescent="0.25">
      <c r="A4293" s="28" t="s">
        <v>22453</v>
      </c>
      <c r="B4293" s="28" t="s">
        <v>22454</v>
      </c>
      <c r="C4293" s="28" t="s">
        <v>4491</v>
      </c>
      <c r="D4293" s="28" t="s">
        <v>17127</v>
      </c>
      <c r="E4293" s="28" t="s">
        <v>18243</v>
      </c>
      <c r="F4293" s="28" t="s">
        <v>21</v>
      </c>
      <c r="G4293" s="28" t="s">
        <v>39</v>
      </c>
      <c r="H4293" s="28" t="s">
        <v>16221</v>
      </c>
      <c r="I4293" s="28" t="s">
        <v>22455</v>
      </c>
      <c r="J4293" s="28" t="s">
        <v>39</v>
      </c>
      <c r="K4293" s="28" t="s">
        <v>16223</v>
      </c>
      <c r="L4293" s="28" t="s">
        <v>16224</v>
      </c>
      <c r="M4293" s="28" t="s">
        <v>18245</v>
      </c>
      <c r="N4293" s="28" t="s">
        <v>16226</v>
      </c>
      <c r="O4293" s="28" t="s">
        <v>16227</v>
      </c>
      <c r="P4293" s="28" t="s">
        <v>22456</v>
      </c>
    </row>
    <row r="4294" spans="1:16" x14ac:dyDescent="0.25">
      <c r="A4294" s="28" t="s">
        <v>22457</v>
      </c>
      <c r="B4294" s="28" t="s">
        <v>22458</v>
      </c>
      <c r="C4294" s="28" t="s">
        <v>4491</v>
      </c>
      <c r="D4294" s="28" t="s">
        <v>18249</v>
      </c>
      <c r="E4294" s="28" t="s">
        <v>18250</v>
      </c>
      <c r="F4294" s="28" t="s">
        <v>21</v>
      </c>
      <c r="G4294" s="28" t="s">
        <v>39</v>
      </c>
      <c r="H4294" s="28" t="s">
        <v>16221</v>
      </c>
      <c r="I4294" s="28" t="s">
        <v>22459</v>
      </c>
      <c r="J4294" s="28" t="s">
        <v>39</v>
      </c>
      <c r="K4294" s="28" t="s">
        <v>16223</v>
      </c>
      <c r="L4294" s="28" t="s">
        <v>16224</v>
      </c>
      <c r="M4294" s="28" t="s">
        <v>18252</v>
      </c>
      <c r="N4294" s="28" t="s">
        <v>16226</v>
      </c>
      <c r="O4294" s="28" t="s">
        <v>16227</v>
      </c>
      <c r="P4294" s="28" t="s">
        <v>22460</v>
      </c>
    </row>
    <row r="4295" spans="1:16" x14ac:dyDescent="0.25">
      <c r="A4295" s="28" t="s">
        <v>22461</v>
      </c>
      <c r="B4295" s="28" t="s">
        <v>22462</v>
      </c>
      <c r="C4295" s="28" t="s">
        <v>4491</v>
      </c>
      <c r="D4295" s="28" t="s">
        <v>15414</v>
      </c>
      <c r="E4295" s="28" t="s">
        <v>15415</v>
      </c>
      <c r="F4295" s="28" t="s">
        <v>21</v>
      </c>
      <c r="G4295" s="28" t="s">
        <v>39</v>
      </c>
      <c r="H4295" s="28" t="s">
        <v>16221</v>
      </c>
      <c r="I4295" s="28" t="s">
        <v>22463</v>
      </c>
      <c r="J4295" s="28" t="s">
        <v>39</v>
      </c>
      <c r="K4295" s="28" t="s">
        <v>16223</v>
      </c>
      <c r="L4295" s="28" t="s">
        <v>16224</v>
      </c>
      <c r="M4295" s="28" t="s">
        <v>18257</v>
      </c>
      <c r="N4295" s="28" t="s">
        <v>16226</v>
      </c>
      <c r="O4295" s="28" t="s">
        <v>16227</v>
      </c>
      <c r="P4295" s="28" t="s">
        <v>22464</v>
      </c>
    </row>
    <row r="4296" spans="1:16" x14ac:dyDescent="0.25">
      <c r="A4296" s="28" t="s">
        <v>22465</v>
      </c>
      <c r="B4296" s="28" t="s">
        <v>22466</v>
      </c>
      <c r="C4296" s="28" t="s">
        <v>4491</v>
      </c>
      <c r="D4296" s="28" t="s">
        <v>1666</v>
      </c>
      <c r="E4296" s="28" t="s">
        <v>18261</v>
      </c>
      <c r="F4296" s="28" t="s">
        <v>21</v>
      </c>
      <c r="G4296" s="28" t="s">
        <v>39</v>
      </c>
      <c r="H4296" s="28" t="s">
        <v>16221</v>
      </c>
      <c r="I4296" s="28" t="s">
        <v>22467</v>
      </c>
      <c r="J4296" s="28" t="s">
        <v>39</v>
      </c>
      <c r="K4296" s="28" t="s">
        <v>16223</v>
      </c>
      <c r="L4296" s="28" t="s">
        <v>16224</v>
      </c>
      <c r="M4296" s="28" t="s">
        <v>18263</v>
      </c>
      <c r="N4296" s="28" t="s">
        <v>16226</v>
      </c>
      <c r="O4296" s="28" t="s">
        <v>16227</v>
      </c>
      <c r="P4296" s="28" t="s">
        <v>22468</v>
      </c>
    </row>
    <row r="4297" spans="1:16" x14ac:dyDescent="0.25">
      <c r="A4297" s="28" t="s">
        <v>22469</v>
      </c>
      <c r="B4297" s="28" t="s">
        <v>22470</v>
      </c>
      <c r="C4297" s="28" t="s">
        <v>4491</v>
      </c>
      <c r="D4297" s="28" t="s">
        <v>4101</v>
      </c>
      <c r="E4297" s="28" t="s">
        <v>18267</v>
      </c>
      <c r="F4297" s="28" t="s">
        <v>21</v>
      </c>
      <c r="G4297" s="28" t="s">
        <v>39</v>
      </c>
      <c r="H4297" s="28" t="s">
        <v>16221</v>
      </c>
      <c r="I4297" s="28" t="s">
        <v>22471</v>
      </c>
      <c r="J4297" s="28" t="s">
        <v>39</v>
      </c>
      <c r="K4297" s="28" t="s">
        <v>16223</v>
      </c>
      <c r="L4297" s="28" t="s">
        <v>16224</v>
      </c>
      <c r="M4297" s="28" t="s">
        <v>18269</v>
      </c>
      <c r="N4297" s="28" t="s">
        <v>16226</v>
      </c>
      <c r="O4297" s="28" t="s">
        <v>16227</v>
      </c>
      <c r="P4297" s="28" t="s">
        <v>22472</v>
      </c>
    </row>
    <row r="4298" spans="1:16" x14ac:dyDescent="0.25">
      <c r="A4298" s="28" t="s">
        <v>22473</v>
      </c>
      <c r="B4298" s="28" t="s">
        <v>22474</v>
      </c>
      <c r="C4298" s="28" t="s">
        <v>4491</v>
      </c>
      <c r="D4298" s="28" t="s">
        <v>4101</v>
      </c>
      <c r="E4298" s="28" t="s">
        <v>18273</v>
      </c>
      <c r="F4298" s="28" t="s">
        <v>21</v>
      </c>
      <c r="G4298" s="28" t="s">
        <v>39</v>
      </c>
      <c r="H4298" s="28" t="s">
        <v>16221</v>
      </c>
      <c r="I4298" s="28" t="s">
        <v>22475</v>
      </c>
      <c r="J4298" s="28" t="s">
        <v>39</v>
      </c>
      <c r="K4298" s="28" t="s">
        <v>16223</v>
      </c>
      <c r="L4298" s="28" t="s">
        <v>16224</v>
      </c>
      <c r="M4298" s="28" t="s">
        <v>18275</v>
      </c>
      <c r="N4298" s="28" t="s">
        <v>16226</v>
      </c>
      <c r="O4298" s="28" t="s">
        <v>16227</v>
      </c>
      <c r="P4298" s="28" t="s">
        <v>22476</v>
      </c>
    </row>
    <row r="4299" spans="1:16" hidden="1" x14ac:dyDescent="0.25">
      <c r="A4299" s="28" t="s">
        <v>22477</v>
      </c>
      <c r="B4299" s="28" t="s">
        <v>22478</v>
      </c>
      <c r="C4299" s="28" t="s">
        <v>4491</v>
      </c>
      <c r="D4299" s="28" t="s">
        <v>4101</v>
      </c>
      <c r="E4299" s="28" t="s">
        <v>22479</v>
      </c>
      <c r="F4299" s="28" t="s">
        <v>21</v>
      </c>
      <c r="G4299" s="28" t="s">
        <v>22</v>
      </c>
      <c r="H4299" s="28" t="s">
        <v>21726</v>
      </c>
      <c r="I4299" s="28" t="s">
        <v>22480</v>
      </c>
      <c r="J4299" s="28" t="s">
        <v>22</v>
      </c>
      <c r="K4299" s="28" t="s">
        <v>21728</v>
      </c>
      <c r="L4299" s="28" t="s">
        <v>21729</v>
      </c>
      <c r="M4299" s="28" t="s">
        <v>22481</v>
      </c>
      <c r="N4299" s="28" t="s">
        <v>21731</v>
      </c>
      <c r="O4299" s="28" t="s">
        <v>21732</v>
      </c>
      <c r="P4299" s="28" t="s">
        <v>22482</v>
      </c>
    </row>
    <row r="4300" spans="1:16" hidden="1" x14ac:dyDescent="0.25">
      <c r="A4300" s="28" t="s">
        <v>22483</v>
      </c>
      <c r="B4300" s="28" t="s">
        <v>22484</v>
      </c>
      <c r="C4300" s="28" t="s">
        <v>4491</v>
      </c>
      <c r="D4300" s="28" t="s">
        <v>4101</v>
      </c>
      <c r="E4300" s="28" t="s">
        <v>22485</v>
      </c>
      <c r="F4300" s="28" t="s">
        <v>21</v>
      </c>
      <c r="G4300" s="28" t="s">
        <v>22</v>
      </c>
      <c r="H4300" s="28" t="s">
        <v>21726</v>
      </c>
      <c r="I4300" s="28" t="s">
        <v>22486</v>
      </c>
      <c r="J4300" s="28" t="s">
        <v>22</v>
      </c>
      <c r="K4300" s="28" t="s">
        <v>21728</v>
      </c>
      <c r="L4300" s="28" t="s">
        <v>21729</v>
      </c>
      <c r="M4300" s="28" t="s">
        <v>22487</v>
      </c>
      <c r="N4300" s="28" t="s">
        <v>21731</v>
      </c>
      <c r="O4300" s="28" t="s">
        <v>21732</v>
      </c>
      <c r="P4300" s="28" t="s">
        <v>22488</v>
      </c>
    </row>
    <row r="4301" spans="1:16" hidden="1" x14ac:dyDescent="0.25">
      <c r="A4301" s="28" t="s">
        <v>22489</v>
      </c>
      <c r="B4301" s="28" t="s">
        <v>22490</v>
      </c>
      <c r="C4301" s="28" t="s">
        <v>4491</v>
      </c>
      <c r="D4301" s="28" t="s">
        <v>4101</v>
      </c>
      <c r="E4301" s="28" t="s">
        <v>22491</v>
      </c>
      <c r="F4301" s="28" t="s">
        <v>21</v>
      </c>
      <c r="G4301" s="28" t="s">
        <v>22</v>
      </c>
      <c r="H4301" s="28" t="s">
        <v>21726</v>
      </c>
      <c r="I4301" s="28" t="s">
        <v>22492</v>
      </c>
      <c r="J4301" s="28" t="s">
        <v>22</v>
      </c>
      <c r="K4301" s="28" t="s">
        <v>21728</v>
      </c>
      <c r="L4301" s="28" t="s">
        <v>21729</v>
      </c>
      <c r="M4301" s="28" t="s">
        <v>22493</v>
      </c>
      <c r="N4301" s="28" t="s">
        <v>21731</v>
      </c>
      <c r="O4301" s="28" t="s">
        <v>21732</v>
      </c>
      <c r="P4301" s="28" t="s">
        <v>22494</v>
      </c>
    </row>
    <row r="4302" spans="1:16" hidden="1" x14ac:dyDescent="0.25">
      <c r="A4302" s="28" t="s">
        <v>22495</v>
      </c>
      <c r="B4302" s="28" t="s">
        <v>22496</v>
      </c>
      <c r="C4302" s="28" t="s">
        <v>4491</v>
      </c>
      <c r="D4302" s="28" t="s">
        <v>4101</v>
      </c>
      <c r="E4302" s="28" t="s">
        <v>22497</v>
      </c>
      <c r="F4302" s="28" t="s">
        <v>21</v>
      </c>
      <c r="G4302" s="28" t="s">
        <v>22</v>
      </c>
      <c r="H4302" s="28" t="s">
        <v>21726</v>
      </c>
      <c r="I4302" s="28" t="s">
        <v>22498</v>
      </c>
      <c r="J4302" s="28" t="s">
        <v>22</v>
      </c>
      <c r="K4302" s="28" t="s">
        <v>21728</v>
      </c>
      <c r="L4302" s="28" t="s">
        <v>21729</v>
      </c>
      <c r="M4302" s="28" t="s">
        <v>22499</v>
      </c>
      <c r="N4302" s="28" t="s">
        <v>21731</v>
      </c>
      <c r="O4302" s="28" t="s">
        <v>21732</v>
      </c>
      <c r="P4302" s="28" t="s">
        <v>22500</v>
      </c>
    </row>
    <row r="4303" spans="1:16" x14ac:dyDescent="0.25">
      <c r="A4303" s="28" t="s">
        <v>22501</v>
      </c>
      <c r="B4303" s="28" t="s">
        <v>22502</v>
      </c>
      <c r="C4303" s="28" t="s">
        <v>4491</v>
      </c>
      <c r="D4303" s="28" t="s">
        <v>4101</v>
      </c>
      <c r="E4303" s="28" t="s">
        <v>18279</v>
      </c>
      <c r="F4303" s="28" t="s">
        <v>21</v>
      </c>
      <c r="G4303" s="28" t="s">
        <v>39</v>
      </c>
      <c r="H4303" s="28" t="s">
        <v>16221</v>
      </c>
      <c r="I4303" s="28" t="s">
        <v>22503</v>
      </c>
      <c r="J4303" s="28" t="s">
        <v>39</v>
      </c>
      <c r="K4303" s="28" t="s">
        <v>16223</v>
      </c>
      <c r="L4303" s="28" t="s">
        <v>16224</v>
      </c>
      <c r="M4303" s="28" t="s">
        <v>18281</v>
      </c>
      <c r="N4303" s="28" t="s">
        <v>16226</v>
      </c>
      <c r="O4303" s="28" t="s">
        <v>16227</v>
      </c>
      <c r="P4303" s="28" t="s">
        <v>22504</v>
      </c>
    </row>
    <row r="4304" spans="1:16" x14ac:dyDescent="0.25">
      <c r="A4304" s="28" t="s">
        <v>22505</v>
      </c>
      <c r="B4304" s="28" t="s">
        <v>22506</v>
      </c>
      <c r="C4304" s="28" t="s">
        <v>4491</v>
      </c>
      <c r="D4304" s="28" t="s">
        <v>4101</v>
      </c>
      <c r="E4304" s="28" t="s">
        <v>18279</v>
      </c>
      <c r="F4304" s="28" t="s">
        <v>21</v>
      </c>
      <c r="G4304" s="28" t="s">
        <v>39</v>
      </c>
      <c r="H4304" s="28" t="s">
        <v>16221</v>
      </c>
      <c r="I4304" s="28" t="s">
        <v>22507</v>
      </c>
      <c r="J4304" s="28" t="s">
        <v>39</v>
      </c>
      <c r="K4304" s="28" t="s">
        <v>16223</v>
      </c>
      <c r="L4304" s="28" t="s">
        <v>16224</v>
      </c>
      <c r="M4304" s="28" t="s">
        <v>18286</v>
      </c>
      <c r="N4304" s="28" t="s">
        <v>16226</v>
      </c>
      <c r="O4304" s="28" t="s">
        <v>16227</v>
      </c>
      <c r="P4304" s="28" t="s">
        <v>22504</v>
      </c>
    </row>
    <row r="4305" spans="1:16" x14ac:dyDescent="0.25">
      <c r="A4305" s="28" t="s">
        <v>22508</v>
      </c>
      <c r="B4305" s="28" t="s">
        <v>22509</v>
      </c>
      <c r="C4305" s="28" t="s">
        <v>4491</v>
      </c>
      <c r="D4305" s="28" t="s">
        <v>4101</v>
      </c>
      <c r="E4305" s="28" t="s">
        <v>18289</v>
      </c>
      <c r="F4305" s="28" t="s">
        <v>21</v>
      </c>
      <c r="G4305" s="28" t="s">
        <v>39</v>
      </c>
      <c r="H4305" s="28" t="s">
        <v>16221</v>
      </c>
      <c r="I4305" s="28" t="s">
        <v>22510</v>
      </c>
      <c r="J4305" s="28" t="s">
        <v>39</v>
      </c>
      <c r="K4305" s="28" t="s">
        <v>16223</v>
      </c>
      <c r="L4305" s="28" t="s">
        <v>16224</v>
      </c>
      <c r="M4305" s="28" t="s">
        <v>18291</v>
      </c>
      <c r="N4305" s="28" t="s">
        <v>16226</v>
      </c>
      <c r="O4305" s="28" t="s">
        <v>16227</v>
      </c>
      <c r="P4305" s="28" t="s">
        <v>22511</v>
      </c>
    </row>
    <row r="4306" spans="1:16" hidden="1" x14ac:dyDescent="0.25">
      <c r="A4306" s="28" t="s">
        <v>22512</v>
      </c>
      <c r="B4306" s="28" t="s">
        <v>22513</v>
      </c>
      <c r="C4306" s="28" t="s">
        <v>4491</v>
      </c>
      <c r="D4306" s="28" t="s">
        <v>4101</v>
      </c>
      <c r="E4306" s="28" t="s">
        <v>22514</v>
      </c>
      <c r="F4306" s="28" t="s">
        <v>21</v>
      </c>
      <c r="G4306" s="28" t="s">
        <v>22</v>
      </c>
      <c r="H4306" s="28" t="s">
        <v>21726</v>
      </c>
      <c r="I4306" s="28" t="s">
        <v>22515</v>
      </c>
      <c r="J4306" s="28" t="s">
        <v>22</v>
      </c>
      <c r="K4306" s="28" t="s">
        <v>21728</v>
      </c>
      <c r="L4306" s="28" t="s">
        <v>21729</v>
      </c>
      <c r="M4306" s="28" t="s">
        <v>22516</v>
      </c>
      <c r="N4306" s="28" t="s">
        <v>21731</v>
      </c>
      <c r="O4306" s="28" t="s">
        <v>21732</v>
      </c>
      <c r="P4306" s="28" t="s">
        <v>22517</v>
      </c>
    </row>
    <row r="4307" spans="1:16" x14ac:dyDescent="0.25">
      <c r="A4307" s="28" t="s">
        <v>22518</v>
      </c>
      <c r="B4307" s="28" t="s">
        <v>22519</v>
      </c>
      <c r="C4307" s="28" t="s">
        <v>4491</v>
      </c>
      <c r="D4307" s="28" t="s">
        <v>4101</v>
      </c>
      <c r="E4307" s="28" t="s">
        <v>18295</v>
      </c>
      <c r="F4307" s="28" t="s">
        <v>21</v>
      </c>
      <c r="G4307" s="28" t="s">
        <v>39</v>
      </c>
      <c r="H4307" s="28" t="s">
        <v>16221</v>
      </c>
      <c r="I4307" s="28" t="s">
        <v>22520</v>
      </c>
      <c r="J4307" s="28" t="s">
        <v>39</v>
      </c>
      <c r="K4307" s="28" t="s">
        <v>16223</v>
      </c>
      <c r="L4307" s="28" t="s">
        <v>16224</v>
      </c>
      <c r="M4307" s="28" t="s">
        <v>18297</v>
      </c>
      <c r="N4307" s="28" t="s">
        <v>16226</v>
      </c>
      <c r="O4307" s="28" t="s">
        <v>16227</v>
      </c>
      <c r="P4307" s="28" t="s">
        <v>22521</v>
      </c>
    </row>
    <row r="4308" spans="1:16" x14ac:dyDescent="0.25">
      <c r="A4308" s="28" t="s">
        <v>22522</v>
      </c>
      <c r="B4308" s="28" t="s">
        <v>22523</v>
      </c>
      <c r="C4308" s="28" t="s">
        <v>4491</v>
      </c>
      <c r="D4308" s="28" t="s">
        <v>4101</v>
      </c>
      <c r="E4308" s="28" t="s">
        <v>18295</v>
      </c>
      <c r="F4308" s="28" t="s">
        <v>21</v>
      </c>
      <c r="G4308" s="28" t="s">
        <v>39</v>
      </c>
      <c r="H4308" s="28" t="s">
        <v>16221</v>
      </c>
      <c r="I4308" s="28" t="s">
        <v>22524</v>
      </c>
      <c r="J4308" s="28" t="s">
        <v>39</v>
      </c>
      <c r="K4308" s="28" t="s">
        <v>16223</v>
      </c>
      <c r="L4308" s="28" t="s">
        <v>16224</v>
      </c>
      <c r="M4308" s="28" t="s">
        <v>18302</v>
      </c>
      <c r="N4308" s="28" t="s">
        <v>16226</v>
      </c>
      <c r="O4308" s="28" t="s">
        <v>16227</v>
      </c>
      <c r="P4308" s="28" t="s">
        <v>22521</v>
      </c>
    </row>
    <row r="4309" spans="1:16" x14ac:dyDescent="0.25">
      <c r="A4309" s="28" t="s">
        <v>22525</v>
      </c>
      <c r="B4309" s="28" t="s">
        <v>22526</v>
      </c>
      <c r="C4309" s="28" t="s">
        <v>4491</v>
      </c>
      <c r="D4309" s="28" t="s">
        <v>4101</v>
      </c>
      <c r="E4309" s="28" t="s">
        <v>18305</v>
      </c>
      <c r="F4309" s="28" t="s">
        <v>21</v>
      </c>
      <c r="G4309" s="28" t="s">
        <v>39</v>
      </c>
      <c r="H4309" s="28" t="s">
        <v>16221</v>
      </c>
      <c r="I4309" s="28" t="s">
        <v>22527</v>
      </c>
      <c r="J4309" s="28" t="s">
        <v>39</v>
      </c>
      <c r="K4309" s="28" t="s">
        <v>16223</v>
      </c>
      <c r="L4309" s="28" t="s">
        <v>16224</v>
      </c>
      <c r="M4309" s="28" t="s">
        <v>18307</v>
      </c>
      <c r="N4309" s="28" t="s">
        <v>16226</v>
      </c>
      <c r="O4309" s="28" t="s">
        <v>16227</v>
      </c>
      <c r="P4309" s="28" t="s">
        <v>22528</v>
      </c>
    </row>
    <row r="4310" spans="1:16" x14ac:dyDescent="0.25">
      <c r="A4310" s="28" t="s">
        <v>22529</v>
      </c>
      <c r="B4310" s="28" t="s">
        <v>22530</v>
      </c>
      <c r="C4310" s="28" t="s">
        <v>4491</v>
      </c>
      <c r="D4310" s="28" t="s">
        <v>4101</v>
      </c>
      <c r="E4310" s="28" t="s">
        <v>18311</v>
      </c>
      <c r="F4310" s="28" t="s">
        <v>21</v>
      </c>
      <c r="G4310" s="28" t="s">
        <v>39</v>
      </c>
      <c r="H4310" s="28" t="s">
        <v>16221</v>
      </c>
      <c r="I4310" s="28" t="s">
        <v>22531</v>
      </c>
      <c r="J4310" s="28" t="s">
        <v>39</v>
      </c>
      <c r="K4310" s="28" t="s">
        <v>16223</v>
      </c>
      <c r="L4310" s="28" t="s">
        <v>16224</v>
      </c>
      <c r="M4310" s="28" t="s">
        <v>18313</v>
      </c>
      <c r="N4310" s="28" t="s">
        <v>16226</v>
      </c>
      <c r="O4310" s="28" t="s">
        <v>16227</v>
      </c>
      <c r="P4310" s="28" t="s">
        <v>22532</v>
      </c>
    </row>
    <row r="4311" spans="1:16" hidden="1" x14ac:dyDescent="0.25">
      <c r="A4311" s="28" t="s">
        <v>22533</v>
      </c>
      <c r="B4311" s="28" t="s">
        <v>22534</v>
      </c>
      <c r="C4311" s="28" t="s">
        <v>4491</v>
      </c>
      <c r="D4311" s="28" t="s">
        <v>4101</v>
      </c>
      <c r="E4311" s="28" t="s">
        <v>22535</v>
      </c>
      <c r="F4311" s="28" t="s">
        <v>21</v>
      </c>
      <c r="G4311" s="28" t="s">
        <v>22</v>
      </c>
      <c r="H4311" s="28" t="s">
        <v>21726</v>
      </c>
      <c r="I4311" s="28" t="s">
        <v>22536</v>
      </c>
      <c r="J4311" s="28" t="s">
        <v>22</v>
      </c>
      <c r="K4311" s="28" t="s">
        <v>21728</v>
      </c>
      <c r="L4311" s="28" t="s">
        <v>21729</v>
      </c>
      <c r="M4311" s="28" t="s">
        <v>22537</v>
      </c>
      <c r="N4311" s="28" t="s">
        <v>21731</v>
      </c>
      <c r="O4311" s="28" t="s">
        <v>21732</v>
      </c>
      <c r="P4311" s="28" t="s">
        <v>22538</v>
      </c>
    </row>
    <row r="4312" spans="1:16" x14ac:dyDescent="0.25">
      <c r="A4312" s="28" t="s">
        <v>22539</v>
      </c>
      <c r="B4312" s="28" t="s">
        <v>22540</v>
      </c>
      <c r="C4312" s="28" t="s">
        <v>4491</v>
      </c>
      <c r="D4312" s="28" t="s">
        <v>4101</v>
      </c>
      <c r="E4312" s="28" t="s">
        <v>18317</v>
      </c>
      <c r="F4312" s="28" t="s">
        <v>21</v>
      </c>
      <c r="G4312" s="28" t="s">
        <v>39</v>
      </c>
      <c r="H4312" s="28" t="s">
        <v>16221</v>
      </c>
      <c r="I4312" s="28" t="s">
        <v>22541</v>
      </c>
      <c r="J4312" s="28" t="s">
        <v>39</v>
      </c>
      <c r="K4312" s="28" t="s">
        <v>16223</v>
      </c>
      <c r="L4312" s="28" t="s">
        <v>16224</v>
      </c>
      <c r="M4312" s="28" t="s">
        <v>18319</v>
      </c>
      <c r="N4312" s="28" t="s">
        <v>16226</v>
      </c>
      <c r="O4312" s="28" t="s">
        <v>16227</v>
      </c>
      <c r="P4312" s="28" t="s">
        <v>22542</v>
      </c>
    </row>
    <row r="4313" spans="1:16" hidden="1" x14ac:dyDescent="0.25">
      <c r="A4313" s="28" t="s">
        <v>22543</v>
      </c>
      <c r="B4313" s="28" t="s">
        <v>22544</v>
      </c>
      <c r="C4313" s="28" t="s">
        <v>4491</v>
      </c>
      <c r="D4313" s="28" t="s">
        <v>4101</v>
      </c>
      <c r="E4313" s="28" t="s">
        <v>18323</v>
      </c>
      <c r="F4313" s="28" t="s">
        <v>21</v>
      </c>
      <c r="G4313" s="28" t="s">
        <v>22</v>
      </c>
      <c r="H4313" s="28" t="s">
        <v>21726</v>
      </c>
      <c r="I4313" s="28" t="s">
        <v>22545</v>
      </c>
      <c r="J4313" s="28" t="s">
        <v>22</v>
      </c>
      <c r="K4313" s="28" t="s">
        <v>21728</v>
      </c>
      <c r="L4313" s="28" t="s">
        <v>21729</v>
      </c>
      <c r="M4313" s="28" t="s">
        <v>22546</v>
      </c>
      <c r="N4313" s="28" t="s">
        <v>21731</v>
      </c>
      <c r="O4313" s="28" t="s">
        <v>21732</v>
      </c>
      <c r="P4313" s="28" t="s">
        <v>22547</v>
      </c>
    </row>
    <row r="4314" spans="1:16" hidden="1" x14ac:dyDescent="0.25">
      <c r="A4314" s="28" t="s">
        <v>22548</v>
      </c>
      <c r="B4314" s="28" t="s">
        <v>22549</v>
      </c>
      <c r="C4314" s="28" t="s">
        <v>4491</v>
      </c>
      <c r="D4314" s="28" t="s">
        <v>5471</v>
      </c>
      <c r="E4314" s="28" t="s">
        <v>18329</v>
      </c>
      <c r="F4314" s="28" t="s">
        <v>21</v>
      </c>
      <c r="G4314" s="28" t="s">
        <v>22</v>
      </c>
      <c r="H4314" s="28" t="s">
        <v>21726</v>
      </c>
      <c r="I4314" s="28" t="s">
        <v>22550</v>
      </c>
      <c r="J4314" s="28" t="s">
        <v>22</v>
      </c>
      <c r="K4314" s="28" t="s">
        <v>21728</v>
      </c>
      <c r="L4314" s="28" t="s">
        <v>21729</v>
      </c>
      <c r="M4314" s="28" t="s">
        <v>22551</v>
      </c>
      <c r="N4314" s="28" t="s">
        <v>21731</v>
      </c>
      <c r="O4314" s="28" t="s">
        <v>21732</v>
      </c>
      <c r="P4314" s="28" t="s">
        <v>22552</v>
      </c>
    </row>
    <row r="4315" spans="1:16" hidden="1" x14ac:dyDescent="0.25">
      <c r="A4315" s="28" t="s">
        <v>22553</v>
      </c>
      <c r="B4315" s="28" t="s">
        <v>22554</v>
      </c>
      <c r="C4315" s="28" t="s">
        <v>4491</v>
      </c>
      <c r="D4315" s="28" t="s">
        <v>5471</v>
      </c>
      <c r="E4315" s="28" t="s">
        <v>18335</v>
      </c>
      <c r="F4315" s="28" t="s">
        <v>21</v>
      </c>
      <c r="G4315" s="28" t="s">
        <v>22</v>
      </c>
      <c r="H4315" s="28" t="s">
        <v>21726</v>
      </c>
      <c r="I4315" s="28" t="s">
        <v>22555</v>
      </c>
      <c r="J4315" s="28" t="s">
        <v>22</v>
      </c>
      <c r="K4315" s="28" t="s">
        <v>21728</v>
      </c>
      <c r="L4315" s="28" t="s">
        <v>21729</v>
      </c>
      <c r="M4315" s="28" t="s">
        <v>22556</v>
      </c>
      <c r="N4315" s="28" t="s">
        <v>21731</v>
      </c>
      <c r="O4315" s="28" t="s">
        <v>21732</v>
      </c>
      <c r="P4315" s="28" t="s">
        <v>22557</v>
      </c>
    </row>
    <row r="4316" spans="1:16" hidden="1" x14ac:dyDescent="0.25">
      <c r="A4316" s="28" t="s">
        <v>22558</v>
      </c>
      <c r="B4316" s="28" t="s">
        <v>22559</v>
      </c>
      <c r="C4316" s="28" t="s">
        <v>4491</v>
      </c>
      <c r="D4316" s="28" t="s">
        <v>5471</v>
      </c>
      <c r="E4316" s="28" t="s">
        <v>18341</v>
      </c>
      <c r="F4316" s="28" t="s">
        <v>21</v>
      </c>
      <c r="G4316" s="28" t="s">
        <v>22</v>
      </c>
      <c r="H4316" s="28" t="s">
        <v>21726</v>
      </c>
      <c r="I4316" s="28" t="s">
        <v>22560</v>
      </c>
      <c r="J4316" s="28" t="s">
        <v>22</v>
      </c>
      <c r="K4316" s="28" t="s">
        <v>21728</v>
      </c>
      <c r="L4316" s="28" t="s">
        <v>21729</v>
      </c>
      <c r="M4316" s="28" t="s">
        <v>22561</v>
      </c>
      <c r="N4316" s="28" t="s">
        <v>21731</v>
      </c>
      <c r="O4316" s="28" t="s">
        <v>21732</v>
      </c>
      <c r="P4316" s="28" t="s">
        <v>22562</v>
      </c>
    </row>
    <row r="4317" spans="1:16" x14ac:dyDescent="0.25">
      <c r="A4317" s="28" t="s">
        <v>22563</v>
      </c>
      <c r="B4317" s="28" t="s">
        <v>22564</v>
      </c>
      <c r="C4317" s="28" t="s">
        <v>4491</v>
      </c>
      <c r="D4317" s="28" t="s">
        <v>5471</v>
      </c>
      <c r="E4317" s="28" t="s">
        <v>18347</v>
      </c>
      <c r="F4317" s="28" t="s">
        <v>21</v>
      </c>
      <c r="G4317" s="28" t="s">
        <v>39</v>
      </c>
      <c r="H4317" s="28" t="s">
        <v>16221</v>
      </c>
      <c r="I4317" s="28" t="s">
        <v>22565</v>
      </c>
      <c r="J4317" s="28" t="s">
        <v>39</v>
      </c>
      <c r="K4317" s="28" t="s">
        <v>16223</v>
      </c>
      <c r="L4317" s="28" t="s">
        <v>16224</v>
      </c>
      <c r="M4317" s="28" t="s">
        <v>18349</v>
      </c>
      <c r="N4317" s="28" t="s">
        <v>16226</v>
      </c>
      <c r="O4317" s="28" t="s">
        <v>16227</v>
      </c>
      <c r="P4317" s="28" t="s">
        <v>22566</v>
      </c>
    </row>
    <row r="4318" spans="1:16" hidden="1" x14ac:dyDescent="0.25">
      <c r="A4318" s="28" t="s">
        <v>22567</v>
      </c>
      <c r="B4318" s="28" t="s">
        <v>22568</v>
      </c>
      <c r="C4318" s="28" t="s">
        <v>4491</v>
      </c>
      <c r="D4318" s="28" t="s">
        <v>5471</v>
      </c>
      <c r="E4318" s="28" t="s">
        <v>18353</v>
      </c>
      <c r="F4318" s="28" t="s">
        <v>21</v>
      </c>
      <c r="G4318" s="28" t="s">
        <v>22</v>
      </c>
      <c r="H4318" s="28" t="s">
        <v>21726</v>
      </c>
      <c r="I4318" s="28" t="s">
        <v>22569</v>
      </c>
      <c r="J4318" s="28" t="s">
        <v>22</v>
      </c>
      <c r="K4318" s="28" t="s">
        <v>21728</v>
      </c>
      <c r="L4318" s="28" t="s">
        <v>21729</v>
      </c>
      <c r="M4318" s="28" t="s">
        <v>22570</v>
      </c>
      <c r="N4318" s="28" t="s">
        <v>21731</v>
      </c>
      <c r="O4318" s="28" t="s">
        <v>21732</v>
      </c>
      <c r="P4318" s="28" t="s">
        <v>22571</v>
      </c>
    </row>
    <row r="4319" spans="1:16" x14ac:dyDescent="0.25">
      <c r="A4319" s="28" t="s">
        <v>22572</v>
      </c>
      <c r="B4319" s="28" t="s">
        <v>22573</v>
      </c>
      <c r="C4319" s="28" t="s">
        <v>4491</v>
      </c>
      <c r="D4319" s="28" t="s">
        <v>62</v>
      </c>
      <c r="E4319" s="28" t="s">
        <v>18359</v>
      </c>
      <c r="F4319" s="28" t="s">
        <v>21</v>
      </c>
      <c r="G4319" s="28" t="s">
        <v>39</v>
      </c>
      <c r="H4319" s="28" t="s">
        <v>16221</v>
      </c>
      <c r="I4319" s="28" t="s">
        <v>22574</v>
      </c>
      <c r="J4319" s="28" t="s">
        <v>39</v>
      </c>
      <c r="K4319" s="28" t="s">
        <v>16223</v>
      </c>
      <c r="L4319" s="28" t="s">
        <v>16224</v>
      </c>
      <c r="M4319" s="28" t="s">
        <v>18361</v>
      </c>
      <c r="N4319" s="28" t="s">
        <v>16226</v>
      </c>
      <c r="O4319" s="28" t="s">
        <v>16227</v>
      </c>
      <c r="P4319" s="28" t="s">
        <v>22575</v>
      </c>
    </row>
    <row r="4320" spans="1:16" hidden="1" x14ac:dyDescent="0.25">
      <c r="A4320" s="28" t="s">
        <v>22576</v>
      </c>
      <c r="B4320" s="28" t="s">
        <v>22577</v>
      </c>
      <c r="C4320" s="28" t="s">
        <v>4491</v>
      </c>
      <c r="D4320" s="28" t="s">
        <v>5471</v>
      </c>
      <c r="E4320" s="28" t="s">
        <v>18365</v>
      </c>
      <c r="F4320" s="28" t="s">
        <v>21</v>
      </c>
      <c r="G4320" s="28" t="s">
        <v>22</v>
      </c>
      <c r="H4320" s="28" t="s">
        <v>21726</v>
      </c>
      <c r="I4320" s="28" t="s">
        <v>22578</v>
      </c>
      <c r="J4320" s="28" t="s">
        <v>22</v>
      </c>
      <c r="K4320" s="28" t="s">
        <v>21728</v>
      </c>
      <c r="L4320" s="28" t="s">
        <v>21729</v>
      </c>
      <c r="M4320" s="28" t="s">
        <v>22579</v>
      </c>
      <c r="N4320" s="28" t="s">
        <v>21731</v>
      </c>
      <c r="O4320" s="28" t="s">
        <v>21732</v>
      </c>
      <c r="P4320" s="28" t="s">
        <v>22580</v>
      </c>
    </row>
    <row r="4321" spans="1:16" hidden="1" x14ac:dyDescent="0.25">
      <c r="A4321" s="28" t="s">
        <v>22581</v>
      </c>
      <c r="B4321" s="28" t="s">
        <v>22582</v>
      </c>
      <c r="C4321" s="28" t="s">
        <v>4491</v>
      </c>
      <c r="D4321" s="28" t="s">
        <v>5471</v>
      </c>
      <c r="E4321" s="28" t="s">
        <v>18365</v>
      </c>
      <c r="F4321" s="28" t="s">
        <v>21</v>
      </c>
      <c r="G4321" s="28" t="s">
        <v>22</v>
      </c>
      <c r="H4321" s="28" t="s">
        <v>21726</v>
      </c>
      <c r="I4321" s="28" t="s">
        <v>22583</v>
      </c>
      <c r="J4321" s="28" t="s">
        <v>22</v>
      </c>
      <c r="K4321" s="28" t="s">
        <v>21728</v>
      </c>
      <c r="L4321" s="28" t="s">
        <v>21729</v>
      </c>
      <c r="M4321" s="28" t="s">
        <v>22584</v>
      </c>
      <c r="N4321" s="28" t="s">
        <v>21731</v>
      </c>
      <c r="O4321" s="28" t="s">
        <v>21732</v>
      </c>
      <c r="P4321" s="28" t="s">
        <v>22585</v>
      </c>
    </row>
    <row r="4322" spans="1:16" hidden="1" x14ac:dyDescent="0.25">
      <c r="A4322" s="28" t="s">
        <v>22586</v>
      </c>
      <c r="B4322" s="28" t="s">
        <v>22587</v>
      </c>
      <c r="C4322" s="28" t="s">
        <v>4491</v>
      </c>
      <c r="D4322" s="28" t="s">
        <v>5471</v>
      </c>
      <c r="E4322" s="28" t="s">
        <v>22588</v>
      </c>
      <c r="F4322" s="28" t="s">
        <v>21</v>
      </c>
      <c r="G4322" s="28" t="s">
        <v>22</v>
      </c>
      <c r="H4322" s="28" t="s">
        <v>21726</v>
      </c>
      <c r="I4322" s="28" t="s">
        <v>22589</v>
      </c>
      <c r="J4322" s="28" t="s">
        <v>22</v>
      </c>
      <c r="K4322" s="28" t="s">
        <v>21728</v>
      </c>
      <c r="L4322" s="28" t="s">
        <v>21729</v>
      </c>
      <c r="M4322" s="28" t="s">
        <v>22590</v>
      </c>
      <c r="N4322" s="28" t="s">
        <v>21731</v>
      </c>
      <c r="O4322" s="28" t="s">
        <v>21732</v>
      </c>
      <c r="P4322" s="28" t="s">
        <v>22591</v>
      </c>
    </row>
    <row r="4323" spans="1:16" x14ac:dyDescent="0.25">
      <c r="A4323" s="28" t="s">
        <v>22592</v>
      </c>
      <c r="B4323" s="28" t="s">
        <v>22593</v>
      </c>
      <c r="C4323" s="28" t="s">
        <v>4491</v>
      </c>
      <c r="D4323" s="28" t="s">
        <v>5372</v>
      </c>
      <c r="E4323" s="28" t="s">
        <v>18375</v>
      </c>
      <c r="F4323" s="28" t="s">
        <v>21</v>
      </c>
      <c r="G4323" s="28" t="s">
        <v>39</v>
      </c>
      <c r="H4323" s="28" t="s">
        <v>16221</v>
      </c>
      <c r="I4323" s="28" t="s">
        <v>22594</v>
      </c>
      <c r="J4323" s="28" t="s">
        <v>39</v>
      </c>
      <c r="K4323" s="28" t="s">
        <v>16223</v>
      </c>
      <c r="L4323" s="28" t="s">
        <v>16224</v>
      </c>
      <c r="M4323" s="28" t="s">
        <v>18377</v>
      </c>
      <c r="N4323" s="28" t="s">
        <v>16226</v>
      </c>
      <c r="O4323" s="28" t="s">
        <v>16227</v>
      </c>
      <c r="P4323" s="28" t="s">
        <v>22595</v>
      </c>
    </row>
    <row r="4324" spans="1:16" x14ac:dyDescent="0.25">
      <c r="A4324" s="28" t="s">
        <v>22596</v>
      </c>
      <c r="B4324" s="28" t="s">
        <v>22597</v>
      </c>
      <c r="C4324" s="28" t="s">
        <v>4491</v>
      </c>
      <c r="D4324" s="28" t="s">
        <v>5471</v>
      </c>
      <c r="E4324" s="28" t="s">
        <v>18381</v>
      </c>
      <c r="F4324" s="28" t="s">
        <v>21</v>
      </c>
      <c r="G4324" s="28" t="s">
        <v>39</v>
      </c>
      <c r="H4324" s="28" t="s">
        <v>16221</v>
      </c>
      <c r="I4324" s="28" t="s">
        <v>22598</v>
      </c>
      <c r="J4324" s="28" t="s">
        <v>39</v>
      </c>
      <c r="K4324" s="28" t="s">
        <v>16223</v>
      </c>
      <c r="L4324" s="28" t="s">
        <v>16224</v>
      </c>
      <c r="M4324" s="28" t="s">
        <v>18383</v>
      </c>
      <c r="N4324" s="28" t="s">
        <v>16226</v>
      </c>
      <c r="O4324" s="28" t="s">
        <v>16227</v>
      </c>
      <c r="P4324" s="28" t="s">
        <v>22599</v>
      </c>
    </row>
    <row r="4325" spans="1:16" hidden="1" x14ac:dyDescent="0.25">
      <c r="A4325" s="28" t="s">
        <v>22600</v>
      </c>
      <c r="B4325" s="28" t="s">
        <v>22601</v>
      </c>
      <c r="C4325" s="28" t="s">
        <v>4491</v>
      </c>
      <c r="D4325" s="28" t="s">
        <v>5471</v>
      </c>
      <c r="E4325" s="28" t="s">
        <v>18387</v>
      </c>
      <c r="F4325" s="28" t="s">
        <v>21</v>
      </c>
      <c r="G4325" s="28" t="s">
        <v>22</v>
      </c>
      <c r="H4325" s="28" t="s">
        <v>21726</v>
      </c>
      <c r="I4325" s="28" t="s">
        <v>22602</v>
      </c>
      <c r="J4325" s="28" t="s">
        <v>22</v>
      </c>
      <c r="K4325" s="28" t="s">
        <v>21728</v>
      </c>
      <c r="L4325" s="28" t="s">
        <v>21729</v>
      </c>
      <c r="M4325" s="28" t="s">
        <v>22603</v>
      </c>
      <c r="N4325" s="28" t="s">
        <v>21731</v>
      </c>
      <c r="O4325" s="28" t="s">
        <v>21732</v>
      </c>
      <c r="P4325" s="28" t="s">
        <v>22604</v>
      </c>
    </row>
    <row r="4326" spans="1:16" hidden="1" x14ac:dyDescent="0.25">
      <c r="A4326" s="28" t="s">
        <v>22605</v>
      </c>
      <c r="B4326" s="28" t="s">
        <v>22606</v>
      </c>
      <c r="C4326" s="28" t="s">
        <v>4491</v>
      </c>
      <c r="D4326" s="28" t="s">
        <v>5471</v>
      </c>
      <c r="E4326" s="28" t="s">
        <v>18393</v>
      </c>
      <c r="F4326" s="28" t="s">
        <v>21</v>
      </c>
      <c r="G4326" s="28" t="s">
        <v>22</v>
      </c>
      <c r="H4326" s="28" t="s">
        <v>21726</v>
      </c>
      <c r="I4326" s="28" t="s">
        <v>22607</v>
      </c>
      <c r="J4326" s="28" t="s">
        <v>22</v>
      </c>
      <c r="K4326" s="28" t="s">
        <v>21728</v>
      </c>
      <c r="L4326" s="28" t="s">
        <v>21729</v>
      </c>
      <c r="M4326" s="28" t="s">
        <v>22608</v>
      </c>
      <c r="N4326" s="28" t="s">
        <v>21731</v>
      </c>
      <c r="O4326" s="28" t="s">
        <v>21732</v>
      </c>
      <c r="P4326" s="28" t="s">
        <v>22609</v>
      </c>
    </row>
    <row r="4327" spans="1:16" hidden="1" x14ac:dyDescent="0.25">
      <c r="A4327" s="28" t="s">
        <v>22610</v>
      </c>
      <c r="B4327" s="28" t="s">
        <v>22611</v>
      </c>
      <c r="C4327" s="28" t="s">
        <v>4491</v>
      </c>
      <c r="D4327" s="28" t="s">
        <v>5471</v>
      </c>
      <c r="E4327" s="28" t="s">
        <v>18399</v>
      </c>
      <c r="F4327" s="28" t="s">
        <v>21</v>
      </c>
      <c r="G4327" s="28" t="s">
        <v>22</v>
      </c>
      <c r="H4327" s="28" t="s">
        <v>21726</v>
      </c>
      <c r="I4327" s="28" t="s">
        <v>22612</v>
      </c>
      <c r="J4327" s="28" t="s">
        <v>22</v>
      </c>
      <c r="K4327" s="28" t="s">
        <v>21728</v>
      </c>
      <c r="L4327" s="28" t="s">
        <v>21729</v>
      </c>
      <c r="M4327" s="28" t="s">
        <v>22613</v>
      </c>
      <c r="N4327" s="28" t="s">
        <v>21731</v>
      </c>
      <c r="O4327" s="28" t="s">
        <v>21732</v>
      </c>
      <c r="P4327" s="28" t="s">
        <v>22614</v>
      </c>
    </row>
    <row r="4328" spans="1:16" hidden="1" x14ac:dyDescent="0.25">
      <c r="A4328" s="28" t="s">
        <v>22615</v>
      </c>
      <c r="B4328" s="28" t="s">
        <v>22616</v>
      </c>
      <c r="C4328" s="28" t="s">
        <v>4491</v>
      </c>
      <c r="D4328" s="28" t="s">
        <v>5471</v>
      </c>
      <c r="E4328" s="28" t="s">
        <v>18405</v>
      </c>
      <c r="F4328" s="28" t="s">
        <v>21</v>
      </c>
      <c r="G4328" s="28" t="s">
        <v>22</v>
      </c>
      <c r="H4328" s="28" t="s">
        <v>21726</v>
      </c>
      <c r="I4328" s="28" t="s">
        <v>22617</v>
      </c>
      <c r="J4328" s="28" t="s">
        <v>22</v>
      </c>
      <c r="K4328" s="28" t="s">
        <v>21728</v>
      </c>
      <c r="L4328" s="28" t="s">
        <v>21729</v>
      </c>
      <c r="M4328" s="28" t="s">
        <v>22618</v>
      </c>
      <c r="N4328" s="28" t="s">
        <v>21731</v>
      </c>
      <c r="O4328" s="28" t="s">
        <v>21732</v>
      </c>
      <c r="P4328" s="28" t="s">
        <v>22619</v>
      </c>
    </row>
    <row r="4329" spans="1:16" x14ac:dyDescent="0.25">
      <c r="A4329" s="28" t="s">
        <v>22620</v>
      </c>
      <c r="B4329" s="28" t="s">
        <v>22621</v>
      </c>
      <c r="C4329" s="28" t="s">
        <v>4491</v>
      </c>
      <c r="D4329" s="28" t="s">
        <v>5471</v>
      </c>
      <c r="E4329" s="28" t="s">
        <v>18411</v>
      </c>
      <c r="F4329" s="28" t="s">
        <v>21</v>
      </c>
      <c r="G4329" s="28" t="s">
        <v>39</v>
      </c>
      <c r="H4329" s="28" t="s">
        <v>16221</v>
      </c>
      <c r="I4329" s="28" t="s">
        <v>22622</v>
      </c>
      <c r="J4329" s="28" t="s">
        <v>39</v>
      </c>
      <c r="K4329" s="28" t="s">
        <v>16223</v>
      </c>
      <c r="L4329" s="28" t="s">
        <v>16224</v>
      </c>
      <c r="M4329" s="28" t="s">
        <v>18413</v>
      </c>
      <c r="N4329" s="28" t="s">
        <v>16226</v>
      </c>
      <c r="O4329" s="28" t="s">
        <v>16227</v>
      </c>
      <c r="P4329" s="28" t="s">
        <v>22623</v>
      </c>
    </row>
    <row r="4330" spans="1:16" hidden="1" x14ac:dyDescent="0.25">
      <c r="A4330" s="28" t="s">
        <v>22624</v>
      </c>
      <c r="B4330" s="28" t="s">
        <v>22625</v>
      </c>
      <c r="C4330" s="28" t="s">
        <v>4491</v>
      </c>
      <c r="D4330" s="28" t="s">
        <v>5471</v>
      </c>
      <c r="E4330" s="28" t="s">
        <v>18417</v>
      </c>
      <c r="F4330" s="28" t="s">
        <v>21</v>
      </c>
      <c r="G4330" s="28" t="s">
        <v>22</v>
      </c>
      <c r="H4330" s="28" t="s">
        <v>21726</v>
      </c>
      <c r="I4330" s="28" t="s">
        <v>22626</v>
      </c>
      <c r="J4330" s="28" t="s">
        <v>22</v>
      </c>
      <c r="K4330" s="28" t="s">
        <v>21728</v>
      </c>
      <c r="L4330" s="28" t="s">
        <v>21729</v>
      </c>
      <c r="M4330" s="28" t="s">
        <v>22627</v>
      </c>
      <c r="N4330" s="28" t="s">
        <v>21731</v>
      </c>
      <c r="O4330" s="28" t="s">
        <v>21732</v>
      </c>
      <c r="P4330" s="28" t="s">
        <v>22628</v>
      </c>
    </row>
    <row r="4331" spans="1:16" hidden="1" x14ac:dyDescent="0.25">
      <c r="A4331" s="28" t="s">
        <v>22629</v>
      </c>
      <c r="B4331" s="28" t="s">
        <v>22630</v>
      </c>
      <c r="C4331" s="28" t="s">
        <v>4491</v>
      </c>
      <c r="D4331" s="28" t="s">
        <v>5471</v>
      </c>
      <c r="E4331" s="28" t="s">
        <v>18423</v>
      </c>
      <c r="F4331" s="28" t="s">
        <v>21</v>
      </c>
      <c r="G4331" s="28" t="s">
        <v>22</v>
      </c>
      <c r="H4331" s="28" t="s">
        <v>21726</v>
      </c>
      <c r="I4331" s="28" t="s">
        <v>22631</v>
      </c>
      <c r="J4331" s="28" t="s">
        <v>22</v>
      </c>
      <c r="K4331" s="28" t="s">
        <v>21728</v>
      </c>
      <c r="L4331" s="28" t="s">
        <v>21729</v>
      </c>
      <c r="M4331" s="28" t="s">
        <v>22632</v>
      </c>
      <c r="N4331" s="28" t="s">
        <v>21731</v>
      </c>
      <c r="O4331" s="28" t="s">
        <v>21732</v>
      </c>
      <c r="P4331" s="28" t="s">
        <v>22633</v>
      </c>
    </row>
    <row r="4332" spans="1:16" hidden="1" x14ac:dyDescent="0.25">
      <c r="A4332" s="28" t="s">
        <v>22634</v>
      </c>
      <c r="B4332" s="28" t="s">
        <v>22635</v>
      </c>
      <c r="C4332" s="28" t="s">
        <v>4491</v>
      </c>
      <c r="D4332" s="28" t="s">
        <v>5471</v>
      </c>
      <c r="E4332" s="28" t="s">
        <v>18429</v>
      </c>
      <c r="F4332" s="28" t="s">
        <v>21</v>
      </c>
      <c r="G4332" s="28" t="s">
        <v>22</v>
      </c>
      <c r="H4332" s="28" t="s">
        <v>21726</v>
      </c>
      <c r="I4332" s="28" t="s">
        <v>22636</v>
      </c>
      <c r="J4332" s="28" t="s">
        <v>22</v>
      </c>
      <c r="K4332" s="28" t="s">
        <v>21728</v>
      </c>
      <c r="L4332" s="28" t="s">
        <v>21729</v>
      </c>
      <c r="M4332" s="28" t="s">
        <v>22637</v>
      </c>
      <c r="N4332" s="28" t="s">
        <v>21731</v>
      </c>
      <c r="O4332" s="28" t="s">
        <v>21732</v>
      </c>
      <c r="P4332" s="28" t="s">
        <v>22638</v>
      </c>
    </row>
    <row r="4333" spans="1:16" hidden="1" x14ac:dyDescent="0.25">
      <c r="A4333" s="28" t="s">
        <v>22639</v>
      </c>
      <c r="B4333" s="28" t="s">
        <v>22640</v>
      </c>
      <c r="C4333" s="28" t="s">
        <v>4491</v>
      </c>
      <c r="D4333" s="28" t="s">
        <v>5471</v>
      </c>
      <c r="E4333" s="28" t="s">
        <v>18435</v>
      </c>
      <c r="F4333" s="28" t="s">
        <v>21</v>
      </c>
      <c r="G4333" s="28" t="s">
        <v>22</v>
      </c>
      <c r="H4333" s="28" t="s">
        <v>21726</v>
      </c>
      <c r="I4333" s="28" t="s">
        <v>22641</v>
      </c>
      <c r="J4333" s="28" t="s">
        <v>22</v>
      </c>
      <c r="K4333" s="28" t="s">
        <v>21728</v>
      </c>
      <c r="L4333" s="28" t="s">
        <v>21729</v>
      </c>
      <c r="M4333" s="28" t="s">
        <v>22642</v>
      </c>
      <c r="N4333" s="28" t="s">
        <v>21731</v>
      </c>
      <c r="O4333" s="28" t="s">
        <v>21732</v>
      </c>
      <c r="P4333" s="28" t="s">
        <v>22643</v>
      </c>
    </row>
    <row r="4334" spans="1:16" hidden="1" x14ac:dyDescent="0.25">
      <c r="A4334" s="28" t="s">
        <v>22644</v>
      </c>
      <c r="B4334" s="28" t="s">
        <v>22645</v>
      </c>
      <c r="C4334" s="28" t="s">
        <v>4491</v>
      </c>
      <c r="D4334" s="28" t="s">
        <v>5482</v>
      </c>
      <c r="E4334" s="28" t="s">
        <v>22646</v>
      </c>
      <c r="F4334" s="28" t="s">
        <v>21</v>
      </c>
      <c r="G4334" s="28" t="s">
        <v>22</v>
      </c>
      <c r="H4334" s="28" t="s">
        <v>21726</v>
      </c>
      <c r="I4334" s="28" t="s">
        <v>22647</v>
      </c>
      <c r="J4334" s="28" t="s">
        <v>22</v>
      </c>
      <c r="K4334" s="28" t="s">
        <v>21728</v>
      </c>
      <c r="L4334" s="28" t="s">
        <v>21729</v>
      </c>
      <c r="M4334" s="28" t="s">
        <v>22648</v>
      </c>
      <c r="N4334" s="28" t="s">
        <v>21731</v>
      </c>
      <c r="O4334" s="28" t="s">
        <v>21732</v>
      </c>
      <c r="P4334" s="28" t="s">
        <v>22649</v>
      </c>
    </row>
    <row r="4335" spans="1:16" hidden="1" x14ac:dyDescent="0.25">
      <c r="A4335" s="28" t="s">
        <v>22650</v>
      </c>
      <c r="B4335" s="28" t="s">
        <v>22651</v>
      </c>
      <c r="C4335" s="28" t="s">
        <v>4491</v>
      </c>
      <c r="D4335" s="28" t="s">
        <v>5482</v>
      </c>
      <c r="E4335" s="28" t="s">
        <v>18441</v>
      </c>
      <c r="F4335" s="28" t="s">
        <v>21</v>
      </c>
      <c r="G4335" s="28" t="s">
        <v>22</v>
      </c>
      <c r="H4335" s="28" t="s">
        <v>21726</v>
      </c>
      <c r="I4335" s="28" t="s">
        <v>22652</v>
      </c>
      <c r="J4335" s="28" t="s">
        <v>22</v>
      </c>
      <c r="K4335" s="28" t="s">
        <v>21728</v>
      </c>
      <c r="L4335" s="28" t="s">
        <v>21729</v>
      </c>
      <c r="M4335" s="28" t="s">
        <v>22653</v>
      </c>
      <c r="N4335" s="28" t="s">
        <v>21731</v>
      </c>
      <c r="O4335" s="28" t="s">
        <v>21732</v>
      </c>
      <c r="P4335" s="28" t="s">
        <v>22654</v>
      </c>
    </row>
    <row r="4336" spans="1:16" hidden="1" x14ac:dyDescent="0.25">
      <c r="A4336" s="28" t="s">
        <v>22655</v>
      </c>
      <c r="B4336" s="28" t="s">
        <v>22656</v>
      </c>
      <c r="C4336" s="28" t="s">
        <v>4491</v>
      </c>
      <c r="D4336" s="28" t="s">
        <v>5482</v>
      </c>
      <c r="E4336" s="28" t="s">
        <v>18441</v>
      </c>
      <c r="F4336" s="28" t="s">
        <v>21</v>
      </c>
      <c r="G4336" s="28" t="s">
        <v>22</v>
      </c>
      <c r="H4336" s="28" t="s">
        <v>21726</v>
      </c>
      <c r="I4336" s="28" t="s">
        <v>22657</v>
      </c>
      <c r="J4336" s="28" t="s">
        <v>22</v>
      </c>
      <c r="K4336" s="28" t="s">
        <v>21728</v>
      </c>
      <c r="L4336" s="28" t="s">
        <v>21729</v>
      </c>
      <c r="M4336" s="28" t="s">
        <v>22658</v>
      </c>
      <c r="N4336" s="28" t="s">
        <v>21731</v>
      </c>
      <c r="O4336" s="28" t="s">
        <v>21732</v>
      </c>
      <c r="P4336" s="28" t="s">
        <v>22659</v>
      </c>
    </row>
    <row r="4337" spans="1:16" hidden="1" x14ac:dyDescent="0.25">
      <c r="A4337" s="28" t="s">
        <v>22660</v>
      </c>
      <c r="B4337" s="28" t="s">
        <v>22661</v>
      </c>
      <c r="C4337" s="28" t="s">
        <v>4491</v>
      </c>
      <c r="D4337" s="28" t="s">
        <v>5482</v>
      </c>
      <c r="E4337" s="28" t="s">
        <v>18451</v>
      </c>
      <c r="F4337" s="28" t="s">
        <v>21</v>
      </c>
      <c r="G4337" s="28" t="s">
        <v>22</v>
      </c>
      <c r="H4337" s="28" t="s">
        <v>21726</v>
      </c>
      <c r="I4337" s="28" t="s">
        <v>22662</v>
      </c>
      <c r="J4337" s="28" t="s">
        <v>22</v>
      </c>
      <c r="K4337" s="28" t="s">
        <v>21728</v>
      </c>
      <c r="L4337" s="28" t="s">
        <v>21729</v>
      </c>
      <c r="M4337" s="28" t="s">
        <v>22663</v>
      </c>
      <c r="N4337" s="28" t="s">
        <v>21731</v>
      </c>
      <c r="O4337" s="28" t="s">
        <v>21732</v>
      </c>
      <c r="P4337" s="28" t="s">
        <v>22664</v>
      </c>
    </row>
    <row r="4338" spans="1:16" hidden="1" x14ac:dyDescent="0.25">
      <c r="A4338" s="28" t="s">
        <v>22665</v>
      </c>
      <c r="B4338" s="28" t="s">
        <v>22666</v>
      </c>
      <c r="C4338" s="28" t="s">
        <v>4491</v>
      </c>
      <c r="D4338" s="28" t="s">
        <v>5482</v>
      </c>
      <c r="E4338" s="28" t="s">
        <v>18457</v>
      </c>
      <c r="F4338" s="28" t="s">
        <v>21</v>
      </c>
      <c r="G4338" s="28" t="s">
        <v>22</v>
      </c>
      <c r="H4338" s="28" t="s">
        <v>21726</v>
      </c>
      <c r="I4338" s="28" t="s">
        <v>22667</v>
      </c>
      <c r="J4338" s="28" t="s">
        <v>22</v>
      </c>
      <c r="K4338" s="28" t="s">
        <v>21728</v>
      </c>
      <c r="L4338" s="28" t="s">
        <v>21729</v>
      </c>
      <c r="M4338" s="28" t="s">
        <v>22668</v>
      </c>
      <c r="N4338" s="28" t="s">
        <v>21731</v>
      </c>
      <c r="O4338" s="28" t="s">
        <v>21732</v>
      </c>
      <c r="P4338" s="28" t="s">
        <v>22669</v>
      </c>
    </row>
    <row r="4339" spans="1:16" x14ac:dyDescent="0.25">
      <c r="A4339" s="28" t="s">
        <v>22670</v>
      </c>
      <c r="B4339" s="28" t="s">
        <v>22671</v>
      </c>
      <c r="C4339" s="28" t="s">
        <v>4491</v>
      </c>
      <c r="D4339" s="28" t="s">
        <v>101</v>
      </c>
      <c r="E4339" s="28" t="s">
        <v>18463</v>
      </c>
      <c r="F4339" s="28" t="s">
        <v>21</v>
      </c>
      <c r="G4339" s="28" t="s">
        <v>39</v>
      </c>
      <c r="H4339" s="28" t="s">
        <v>16221</v>
      </c>
      <c r="I4339" s="28" t="s">
        <v>22672</v>
      </c>
      <c r="J4339" s="28" t="s">
        <v>39</v>
      </c>
      <c r="K4339" s="28" t="s">
        <v>16223</v>
      </c>
      <c r="L4339" s="28" t="s">
        <v>16224</v>
      </c>
      <c r="M4339" s="28" t="s">
        <v>18465</v>
      </c>
      <c r="N4339" s="28" t="s">
        <v>16226</v>
      </c>
      <c r="O4339" s="28" t="s">
        <v>16227</v>
      </c>
      <c r="P4339" s="28" t="s">
        <v>22673</v>
      </c>
    </row>
    <row r="4340" spans="1:16" x14ac:dyDescent="0.25">
      <c r="A4340" s="28" t="s">
        <v>22674</v>
      </c>
      <c r="B4340" s="28" t="s">
        <v>22675</v>
      </c>
      <c r="C4340" s="28" t="s">
        <v>4491</v>
      </c>
      <c r="D4340" s="28" t="s">
        <v>4270</v>
      </c>
      <c r="E4340" s="28" t="s">
        <v>18469</v>
      </c>
      <c r="F4340" s="28" t="s">
        <v>21</v>
      </c>
      <c r="G4340" s="28" t="s">
        <v>39</v>
      </c>
      <c r="H4340" s="28" t="s">
        <v>16221</v>
      </c>
      <c r="I4340" s="28" t="s">
        <v>22676</v>
      </c>
      <c r="J4340" s="28" t="s">
        <v>39</v>
      </c>
      <c r="K4340" s="28" t="s">
        <v>16223</v>
      </c>
      <c r="L4340" s="28" t="s">
        <v>16224</v>
      </c>
      <c r="M4340" s="28" t="s">
        <v>18471</v>
      </c>
      <c r="N4340" s="28" t="s">
        <v>16226</v>
      </c>
      <c r="O4340" s="28" t="s">
        <v>16227</v>
      </c>
      <c r="P4340" s="28" t="s">
        <v>22677</v>
      </c>
    </row>
    <row r="4341" spans="1:16" x14ac:dyDescent="0.25">
      <c r="A4341" s="28" t="s">
        <v>22678</v>
      </c>
      <c r="B4341" s="28" t="s">
        <v>22679</v>
      </c>
      <c r="C4341" s="28" t="s">
        <v>4491</v>
      </c>
      <c r="D4341" s="28" t="s">
        <v>4270</v>
      </c>
      <c r="E4341" s="28" t="s">
        <v>18469</v>
      </c>
      <c r="F4341" s="28" t="s">
        <v>21</v>
      </c>
      <c r="G4341" s="28" t="s">
        <v>39</v>
      </c>
      <c r="H4341" s="28" t="s">
        <v>16221</v>
      </c>
      <c r="I4341" s="28" t="s">
        <v>22680</v>
      </c>
      <c r="J4341" s="28" t="s">
        <v>39</v>
      </c>
      <c r="K4341" s="28" t="s">
        <v>16223</v>
      </c>
      <c r="L4341" s="28" t="s">
        <v>16224</v>
      </c>
      <c r="M4341" s="28" t="s">
        <v>18476</v>
      </c>
      <c r="N4341" s="28" t="s">
        <v>16226</v>
      </c>
      <c r="O4341" s="28" t="s">
        <v>16227</v>
      </c>
      <c r="P4341" s="28" t="s">
        <v>22677</v>
      </c>
    </row>
    <row r="4342" spans="1:16" x14ac:dyDescent="0.25">
      <c r="A4342" s="28" t="s">
        <v>22681</v>
      </c>
      <c r="B4342" s="28" t="s">
        <v>22682</v>
      </c>
      <c r="C4342" s="28" t="s">
        <v>4491</v>
      </c>
      <c r="D4342" s="28" t="s">
        <v>4270</v>
      </c>
      <c r="E4342" s="28" t="s">
        <v>18469</v>
      </c>
      <c r="F4342" s="28" t="s">
        <v>21</v>
      </c>
      <c r="G4342" s="28" t="s">
        <v>39</v>
      </c>
      <c r="H4342" s="28" t="s">
        <v>16221</v>
      </c>
      <c r="I4342" s="28" t="s">
        <v>22683</v>
      </c>
      <c r="J4342" s="28" t="s">
        <v>39</v>
      </c>
      <c r="K4342" s="28" t="s">
        <v>16223</v>
      </c>
      <c r="L4342" s="28" t="s">
        <v>16224</v>
      </c>
      <c r="M4342" s="28" t="s">
        <v>18480</v>
      </c>
      <c r="N4342" s="28" t="s">
        <v>16226</v>
      </c>
      <c r="O4342" s="28" t="s">
        <v>16227</v>
      </c>
      <c r="P4342" s="28" t="s">
        <v>22677</v>
      </c>
    </row>
    <row r="4343" spans="1:16" x14ac:dyDescent="0.25">
      <c r="A4343" s="28" t="s">
        <v>22684</v>
      </c>
      <c r="B4343" s="28" t="s">
        <v>22685</v>
      </c>
      <c r="C4343" s="28" t="s">
        <v>4491</v>
      </c>
      <c r="D4343" s="28" t="s">
        <v>4270</v>
      </c>
      <c r="E4343" s="28" t="s">
        <v>18469</v>
      </c>
      <c r="F4343" s="28" t="s">
        <v>21</v>
      </c>
      <c r="G4343" s="28" t="s">
        <v>39</v>
      </c>
      <c r="H4343" s="28" t="s">
        <v>16221</v>
      </c>
      <c r="I4343" s="28" t="s">
        <v>22686</v>
      </c>
      <c r="J4343" s="28" t="s">
        <v>39</v>
      </c>
      <c r="K4343" s="28" t="s">
        <v>16223</v>
      </c>
      <c r="L4343" s="28" t="s">
        <v>16224</v>
      </c>
      <c r="M4343" s="28" t="s">
        <v>18484</v>
      </c>
      <c r="N4343" s="28" t="s">
        <v>16226</v>
      </c>
      <c r="O4343" s="28" t="s">
        <v>16227</v>
      </c>
      <c r="P4343" s="28" t="s">
        <v>22677</v>
      </c>
    </row>
    <row r="4344" spans="1:16" x14ac:dyDescent="0.25">
      <c r="A4344" s="28" t="s">
        <v>22687</v>
      </c>
      <c r="B4344" s="28" t="s">
        <v>22688</v>
      </c>
      <c r="C4344" s="28" t="s">
        <v>4491</v>
      </c>
      <c r="D4344" s="28" t="s">
        <v>4270</v>
      </c>
      <c r="E4344" s="28" t="s">
        <v>18469</v>
      </c>
      <c r="F4344" s="28" t="s">
        <v>21</v>
      </c>
      <c r="G4344" s="28" t="s">
        <v>39</v>
      </c>
      <c r="H4344" s="28" t="s">
        <v>16221</v>
      </c>
      <c r="I4344" s="28" t="s">
        <v>22689</v>
      </c>
      <c r="J4344" s="28" t="s">
        <v>39</v>
      </c>
      <c r="K4344" s="28" t="s">
        <v>16223</v>
      </c>
      <c r="L4344" s="28" t="s">
        <v>16224</v>
      </c>
      <c r="M4344" s="28" t="s">
        <v>18488</v>
      </c>
      <c r="N4344" s="28" t="s">
        <v>16226</v>
      </c>
      <c r="O4344" s="28" t="s">
        <v>16227</v>
      </c>
      <c r="P4344" s="28" t="s">
        <v>22677</v>
      </c>
    </row>
    <row r="4345" spans="1:16" x14ac:dyDescent="0.25">
      <c r="A4345" s="28" t="s">
        <v>22690</v>
      </c>
      <c r="B4345" s="28" t="s">
        <v>22691</v>
      </c>
      <c r="C4345" s="28" t="s">
        <v>4491</v>
      </c>
      <c r="D4345" s="28" t="s">
        <v>4270</v>
      </c>
      <c r="E4345" s="28" t="s">
        <v>18491</v>
      </c>
      <c r="F4345" s="28" t="s">
        <v>21</v>
      </c>
      <c r="G4345" s="28" t="s">
        <v>39</v>
      </c>
      <c r="H4345" s="28" t="s">
        <v>16221</v>
      </c>
      <c r="I4345" s="28" t="s">
        <v>22692</v>
      </c>
      <c r="J4345" s="28" t="s">
        <v>39</v>
      </c>
      <c r="K4345" s="28" t="s">
        <v>16223</v>
      </c>
      <c r="L4345" s="28" t="s">
        <v>16224</v>
      </c>
      <c r="M4345" s="28" t="s">
        <v>18493</v>
      </c>
      <c r="N4345" s="28" t="s">
        <v>16226</v>
      </c>
      <c r="O4345" s="28" t="s">
        <v>16227</v>
      </c>
      <c r="P4345" s="28" t="s">
        <v>22693</v>
      </c>
    </row>
    <row r="4346" spans="1:16" x14ac:dyDescent="0.25">
      <c r="A4346" s="28" t="s">
        <v>22694</v>
      </c>
      <c r="B4346" s="28" t="s">
        <v>22695</v>
      </c>
      <c r="C4346" s="28" t="s">
        <v>4491</v>
      </c>
      <c r="D4346" s="28" t="s">
        <v>5945</v>
      </c>
      <c r="E4346" s="28" t="s">
        <v>18497</v>
      </c>
      <c r="F4346" s="28" t="s">
        <v>21</v>
      </c>
      <c r="G4346" s="28" t="s">
        <v>39</v>
      </c>
      <c r="H4346" s="28" t="s">
        <v>16221</v>
      </c>
      <c r="I4346" s="28" t="s">
        <v>22696</v>
      </c>
      <c r="J4346" s="28" t="s">
        <v>39</v>
      </c>
      <c r="K4346" s="28" t="s">
        <v>16223</v>
      </c>
      <c r="L4346" s="28" t="s">
        <v>16224</v>
      </c>
      <c r="M4346" s="28" t="s">
        <v>18499</v>
      </c>
      <c r="N4346" s="28" t="s">
        <v>16226</v>
      </c>
      <c r="O4346" s="28" t="s">
        <v>16227</v>
      </c>
      <c r="P4346" s="28" t="s">
        <v>22697</v>
      </c>
    </row>
    <row r="4347" spans="1:16" x14ac:dyDescent="0.25">
      <c r="A4347" s="28" t="s">
        <v>22698</v>
      </c>
      <c r="B4347" s="28" t="s">
        <v>22699</v>
      </c>
      <c r="C4347" s="28" t="s">
        <v>4491</v>
      </c>
      <c r="D4347" s="28" t="s">
        <v>5956</v>
      </c>
      <c r="E4347" s="28" t="s">
        <v>18503</v>
      </c>
      <c r="F4347" s="28" t="s">
        <v>21</v>
      </c>
      <c r="G4347" s="28" t="s">
        <v>39</v>
      </c>
      <c r="H4347" s="28" t="s">
        <v>16221</v>
      </c>
      <c r="I4347" s="28" t="s">
        <v>22700</v>
      </c>
      <c r="J4347" s="28" t="s">
        <v>39</v>
      </c>
      <c r="K4347" s="28" t="s">
        <v>16223</v>
      </c>
      <c r="L4347" s="28" t="s">
        <v>16224</v>
      </c>
      <c r="M4347" s="28" t="s">
        <v>18505</v>
      </c>
      <c r="N4347" s="28" t="s">
        <v>16226</v>
      </c>
      <c r="O4347" s="28" t="s">
        <v>16227</v>
      </c>
      <c r="P4347" s="28" t="s">
        <v>22701</v>
      </c>
    </row>
    <row r="4348" spans="1:16" x14ac:dyDescent="0.25">
      <c r="A4348" s="28" t="s">
        <v>22702</v>
      </c>
      <c r="B4348" s="28" t="s">
        <v>22703</v>
      </c>
      <c r="C4348" s="28" t="s">
        <v>4491</v>
      </c>
      <c r="D4348" s="28" t="s">
        <v>5956</v>
      </c>
      <c r="E4348" s="28" t="s">
        <v>18509</v>
      </c>
      <c r="F4348" s="28" t="s">
        <v>21</v>
      </c>
      <c r="G4348" s="28" t="s">
        <v>39</v>
      </c>
      <c r="H4348" s="28" t="s">
        <v>16221</v>
      </c>
      <c r="I4348" s="28" t="s">
        <v>22704</v>
      </c>
      <c r="J4348" s="28" t="s">
        <v>39</v>
      </c>
      <c r="K4348" s="28" t="s">
        <v>16223</v>
      </c>
      <c r="L4348" s="28" t="s">
        <v>16224</v>
      </c>
      <c r="M4348" s="28" t="s">
        <v>18511</v>
      </c>
      <c r="N4348" s="28" t="s">
        <v>16226</v>
      </c>
      <c r="O4348" s="28" t="s">
        <v>16227</v>
      </c>
      <c r="P4348" s="28" t="s">
        <v>22705</v>
      </c>
    </row>
    <row r="4349" spans="1:16" hidden="1" x14ac:dyDescent="0.25">
      <c r="A4349" s="28" t="s">
        <v>22706</v>
      </c>
      <c r="B4349" s="28" t="s">
        <v>22707</v>
      </c>
      <c r="C4349" s="28" t="s">
        <v>4491</v>
      </c>
      <c r="D4349" s="28" t="s">
        <v>4341</v>
      </c>
      <c r="E4349" s="28" t="s">
        <v>18515</v>
      </c>
      <c r="F4349" s="28" t="s">
        <v>21</v>
      </c>
      <c r="G4349" s="28" t="s">
        <v>22</v>
      </c>
      <c r="H4349" s="28" t="s">
        <v>21726</v>
      </c>
      <c r="I4349" s="28" t="s">
        <v>22708</v>
      </c>
      <c r="J4349" s="28" t="s">
        <v>22</v>
      </c>
      <c r="K4349" s="28" t="s">
        <v>21728</v>
      </c>
      <c r="L4349" s="28" t="s">
        <v>21729</v>
      </c>
      <c r="M4349" s="28" t="s">
        <v>22709</v>
      </c>
      <c r="N4349" s="28" t="s">
        <v>21731</v>
      </c>
      <c r="O4349" s="28" t="s">
        <v>21732</v>
      </c>
      <c r="P4349" s="28" t="s">
        <v>22710</v>
      </c>
    </row>
    <row r="4350" spans="1:16" x14ac:dyDescent="0.25">
      <c r="A4350" s="28" t="s">
        <v>22711</v>
      </c>
      <c r="B4350" s="28" t="s">
        <v>22712</v>
      </c>
      <c r="C4350" s="28" t="s">
        <v>4491</v>
      </c>
      <c r="D4350" s="28" t="s">
        <v>15991</v>
      </c>
      <c r="E4350" s="28" t="s">
        <v>15992</v>
      </c>
      <c r="F4350" s="28" t="s">
        <v>21</v>
      </c>
      <c r="G4350" s="28" t="s">
        <v>39</v>
      </c>
      <c r="H4350" s="28" t="s">
        <v>16221</v>
      </c>
      <c r="I4350" s="28" t="s">
        <v>22713</v>
      </c>
      <c r="J4350" s="28" t="s">
        <v>39</v>
      </c>
      <c r="K4350" s="28" t="s">
        <v>16223</v>
      </c>
      <c r="L4350" s="28" t="s">
        <v>16224</v>
      </c>
      <c r="M4350" s="28" t="s">
        <v>18522</v>
      </c>
      <c r="N4350" s="28" t="s">
        <v>16226</v>
      </c>
      <c r="O4350" s="28" t="s">
        <v>16227</v>
      </c>
      <c r="P4350" s="28" t="s">
        <v>22714</v>
      </c>
    </row>
    <row r="4351" spans="1:16" x14ac:dyDescent="0.25">
      <c r="A4351" s="28" t="s">
        <v>22715</v>
      </c>
      <c r="B4351" s="28" t="s">
        <v>22716</v>
      </c>
      <c r="C4351" s="28" t="s">
        <v>4491</v>
      </c>
      <c r="D4351" s="28" t="s">
        <v>5979</v>
      </c>
      <c r="E4351" s="28" t="s">
        <v>22717</v>
      </c>
      <c r="F4351" s="28" t="s">
        <v>21</v>
      </c>
      <c r="G4351" s="28" t="s">
        <v>135</v>
      </c>
      <c r="H4351" s="28" t="s">
        <v>21726</v>
      </c>
      <c r="I4351" s="28" t="s">
        <v>22718</v>
      </c>
      <c r="J4351" s="28" t="s">
        <v>135</v>
      </c>
      <c r="K4351" s="28" t="s">
        <v>21978</v>
      </c>
      <c r="L4351" s="28" t="s">
        <v>21729</v>
      </c>
      <c r="M4351" s="28" t="s">
        <v>22719</v>
      </c>
      <c r="N4351" s="28" t="s">
        <v>21731</v>
      </c>
      <c r="O4351" s="28" t="s">
        <v>21732</v>
      </c>
      <c r="P4351" s="28" t="s">
        <v>22720</v>
      </c>
    </row>
    <row r="4352" spans="1:16" x14ac:dyDescent="0.25">
      <c r="A4352" s="28" t="s">
        <v>22721</v>
      </c>
      <c r="B4352" s="28" t="s">
        <v>22722</v>
      </c>
      <c r="C4352" s="28" t="s">
        <v>4491</v>
      </c>
      <c r="D4352" s="28" t="s">
        <v>5979</v>
      </c>
      <c r="E4352" s="28" t="s">
        <v>22723</v>
      </c>
      <c r="F4352" s="28" t="s">
        <v>21</v>
      </c>
      <c r="G4352" s="28" t="s">
        <v>135</v>
      </c>
      <c r="H4352" s="28" t="s">
        <v>21726</v>
      </c>
      <c r="I4352" s="28" t="s">
        <v>22724</v>
      </c>
      <c r="J4352" s="28" t="s">
        <v>135</v>
      </c>
      <c r="K4352" s="28" t="s">
        <v>21978</v>
      </c>
      <c r="L4352" s="28" t="s">
        <v>21729</v>
      </c>
      <c r="M4352" s="28" t="s">
        <v>22725</v>
      </c>
      <c r="N4352" s="28" t="s">
        <v>21731</v>
      </c>
      <c r="O4352" s="28" t="s">
        <v>21732</v>
      </c>
      <c r="P4352" s="28" t="s">
        <v>22726</v>
      </c>
    </row>
    <row r="4353" spans="1:16" x14ac:dyDescent="0.25">
      <c r="A4353" s="28" t="s">
        <v>22727</v>
      </c>
      <c r="B4353" s="28" t="s">
        <v>22728</v>
      </c>
      <c r="C4353" s="28" t="s">
        <v>4491</v>
      </c>
      <c r="D4353" s="28" t="s">
        <v>5979</v>
      </c>
      <c r="E4353" s="28" t="s">
        <v>18526</v>
      </c>
      <c r="F4353" s="28" t="s">
        <v>21</v>
      </c>
      <c r="G4353" s="28" t="s">
        <v>135</v>
      </c>
      <c r="H4353" s="28" t="s">
        <v>21726</v>
      </c>
      <c r="I4353" s="28" t="s">
        <v>22729</v>
      </c>
      <c r="J4353" s="28" t="s">
        <v>135</v>
      </c>
      <c r="K4353" s="28" t="s">
        <v>21978</v>
      </c>
      <c r="L4353" s="28" t="s">
        <v>21729</v>
      </c>
      <c r="M4353" s="28" t="s">
        <v>22730</v>
      </c>
      <c r="N4353" s="28" t="s">
        <v>21731</v>
      </c>
      <c r="O4353" s="28" t="s">
        <v>21732</v>
      </c>
      <c r="P4353" s="28" t="s">
        <v>22731</v>
      </c>
    </row>
    <row r="4354" spans="1:16" x14ac:dyDescent="0.25">
      <c r="A4354" s="28" t="s">
        <v>22732</v>
      </c>
      <c r="B4354" s="28" t="s">
        <v>22733</v>
      </c>
      <c r="C4354" s="28" t="s">
        <v>4491</v>
      </c>
      <c r="D4354" s="28" t="s">
        <v>5979</v>
      </c>
      <c r="E4354" s="28" t="s">
        <v>18532</v>
      </c>
      <c r="F4354" s="28" t="s">
        <v>21</v>
      </c>
      <c r="G4354" s="28" t="s">
        <v>135</v>
      </c>
      <c r="H4354" s="28" t="s">
        <v>21726</v>
      </c>
      <c r="I4354" s="28" t="s">
        <v>22734</v>
      </c>
      <c r="J4354" s="28" t="s">
        <v>135</v>
      </c>
      <c r="K4354" s="28" t="s">
        <v>21978</v>
      </c>
      <c r="L4354" s="28" t="s">
        <v>21729</v>
      </c>
      <c r="M4354" s="28" t="s">
        <v>22735</v>
      </c>
      <c r="N4354" s="28" t="s">
        <v>21731</v>
      </c>
      <c r="O4354" s="28" t="s">
        <v>21732</v>
      </c>
      <c r="P4354" s="28" t="s">
        <v>22736</v>
      </c>
    </row>
    <row r="4355" spans="1:16" x14ac:dyDescent="0.25">
      <c r="A4355" s="28" t="s">
        <v>22737</v>
      </c>
      <c r="B4355" s="28" t="s">
        <v>22738</v>
      </c>
      <c r="C4355" s="28" t="s">
        <v>4491</v>
      </c>
      <c r="D4355" s="28" t="s">
        <v>5979</v>
      </c>
      <c r="E4355" s="28" t="s">
        <v>18538</v>
      </c>
      <c r="F4355" s="28" t="s">
        <v>21</v>
      </c>
      <c r="G4355" s="28" t="s">
        <v>135</v>
      </c>
      <c r="H4355" s="28" t="s">
        <v>21726</v>
      </c>
      <c r="I4355" s="28" t="s">
        <v>22739</v>
      </c>
      <c r="J4355" s="28" t="s">
        <v>135</v>
      </c>
      <c r="K4355" s="28" t="s">
        <v>21978</v>
      </c>
      <c r="L4355" s="28" t="s">
        <v>21729</v>
      </c>
      <c r="M4355" s="28" t="s">
        <v>22740</v>
      </c>
      <c r="N4355" s="28" t="s">
        <v>21731</v>
      </c>
      <c r="O4355" s="28" t="s">
        <v>21732</v>
      </c>
      <c r="P4355" s="28" t="s">
        <v>22741</v>
      </c>
    </row>
    <row r="4356" spans="1:16" x14ac:dyDescent="0.25">
      <c r="A4356" s="28" t="s">
        <v>22742</v>
      </c>
      <c r="B4356" s="28" t="s">
        <v>22743</v>
      </c>
      <c r="C4356" s="28" t="s">
        <v>4491</v>
      </c>
      <c r="D4356" s="28" t="s">
        <v>7132</v>
      </c>
      <c r="E4356" s="28" t="s">
        <v>22744</v>
      </c>
      <c r="F4356" s="28" t="s">
        <v>21</v>
      </c>
      <c r="G4356" s="28" t="s">
        <v>149</v>
      </c>
      <c r="H4356" s="28" t="s">
        <v>21726</v>
      </c>
      <c r="I4356" s="28" t="s">
        <v>22745</v>
      </c>
      <c r="J4356" s="28" t="s">
        <v>149</v>
      </c>
      <c r="K4356" s="28" t="s">
        <v>22746</v>
      </c>
      <c r="L4356" s="28" t="s">
        <v>21729</v>
      </c>
      <c r="M4356" s="28" t="s">
        <v>22747</v>
      </c>
      <c r="N4356" s="28" t="s">
        <v>21731</v>
      </c>
      <c r="O4356" s="28" t="s">
        <v>21732</v>
      </c>
      <c r="P4356" s="28" t="s">
        <v>22748</v>
      </c>
    </row>
    <row r="4357" spans="1:16" x14ac:dyDescent="0.25">
      <c r="A4357" s="28" t="s">
        <v>22749</v>
      </c>
      <c r="B4357" s="28" t="s">
        <v>22750</v>
      </c>
      <c r="C4357" s="28" t="s">
        <v>4491</v>
      </c>
      <c r="D4357" s="28" t="s">
        <v>7132</v>
      </c>
      <c r="E4357" s="28" t="s">
        <v>22751</v>
      </c>
      <c r="F4357" s="28" t="s">
        <v>21</v>
      </c>
      <c r="G4357" s="28" t="s">
        <v>149</v>
      </c>
      <c r="H4357" s="28" t="s">
        <v>21726</v>
      </c>
      <c r="I4357" s="28" t="s">
        <v>22752</v>
      </c>
      <c r="J4357" s="28" t="s">
        <v>149</v>
      </c>
      <c r="K4357" s="28" t="s">
        <v>22746</v>
      </c>
      <c r="L4357" s="28" t="s">
        <v>21729</v>
      </c>
      <c r="M4357" s="28" t="s">
        <v>22753</v>
      </c>
      <c r="N4357" s="28" t="s">
        <v>21731</v>
      </c>
      <c r="O4357" s="28" t="s">
        <v>21732</v>
      </c>
      <c r="P4357" s="28" t="s">
        <v>22754</v>
      </c>
    </row>
    <row r="4358" spans="1:16" x14ac:dyDescent="0.25">
      <c r="A4358" s="28" t="s">
        <v>22755</v>
      </c>
      <c r="B4358" s="28" t="s">
        <v>22756</v>
      </c>
      <c r="C4358" s="28" t="s">
        <v>4491</v>
      </c>
      <c r="D4358" s="28" t="s">
        <v>7132</v>
      </c>
      <c r="E4358" s="28" t="s">
        <v>22757</v>
      </c>
      <c r="F4358" s="28" t="s">
        <v>21</v>
      </c>
      <c r="G4358" s="28" t="s">
        <v>149</v>
      </c>
      <c r="H4358" s="28" t="s">
        <v>21726</v>
      </c>
      <c r="I4358" s="28" t="s">
        <v>22758</v>
      </c>
      <c r="J4358" s="28" t="s">
        <v>149</v>
      </c>
      <c r="K4358" s="28" t="s">
        <v>22746</v>
      </c>
      <c r="L4358" s="28" t="s">
        <v>21729</v>
      </c>
      <c r="M4358" s="28" t="s">
        <v>22759</v>
      </c>
      <c r="N4358" s="28" t="s">
        <v>21731</v>
      </c>
      <c r="O4358" s="28" t="s">
        <v>21732</v>
      </c>
      <c r="P4358" s="28" t="s">
        <v>22760</v>
      </c>
    </row>
    <row r="4359" spans="1:16" x14ac:dyDescent="0.25">
      <c r="A4359" s="28" t="s">
        <v>22761</v>
      </c>
      <c r="B4359" s="28" t="s">
        <v>22762</v>
      </c>
      <c r="C4359" s="28" t="s">
        <v>4491</v>
      </c>
      <c r="D4359" s="28" t="s">
        <v>7132</v>
      </c>
      <c r="E4359" s="28" t="s">
        <v>17330</v>
      </c>
      <c r="F4359" s="28" t="s">
        <v>21</v>
      </c>
      <c r="G4359" s="28" t="s">
        <v>39</v>
      </c>
      <c r="H4359" s="28" t="s">
        <v>16221</v>
      </c>
      <c r="I4359" s="28" t="s">
        <v>22763</v>
      </c>
      <c r="J4359" s="28" t="s">
        <v>39</v>
      </c>
      <c r="K4359" s="28" t="s">
        <v>16223</v>
      </c>
      <c r="L4359" s="28" t="s">
        <v>16224</v>
      </c>
      <c r="M4359" s="28" t="s">
        <v>18945</v>
      </c>
      <c r="N4359" s="28" t="s">
        <v>16226</v>
      </c>
      <c r="O4359" s="28" t="s">
        <v>16227</v>
      </c>
      <c r="P4359" s="28" t="s">
        <v>21720</v>
      </c>
    </row>
    <row r="4360" spans="1:16" x14ac:dyDescent="0.25">
      <c r="A4360" s="28" t="s">
        <v>22764</v>
      </c>
      <c r="B4360" s="28" t="s">
        <v>22765</v>
      </c>
      <c r="C4360" s="28" t="s">
        <v>4491</v>
      </c>
      <c r="D4360" s="28" t="s">
        <v>7132</v>
      </c>
      <c r="E4360" s="28" t="s">
        <v>17330</v>
      </c>
      <c r="F4360" s="28" t="s">
        <v>21</v>
      </c>
      <c r="G4360" s="28" t="s">
        <v>39</v>
      </c>
      <c r="H4360" s="28" t="s">
        <v>16221</v>
      </c>
      <c r="I4360" s="28" t="s">
        <v>22766</v>
      </c>
      <c r="J4360" s="28" t="s">
        <v>39</v>
      </c>
      <c r="K4360" s="28" t="s">
        <v>16223</v>
      </c>
      <c r="L4360" s="28" t="s">
        <v>16224</v>
      </c>
      <c r="M4360" s="28" t="s">
        <v>18949</v>
      </c>
      <c r="N4360" s="28" t="s">
        <v>16226</v>
      </c>
      <c r="O4360" s="28" t="s">
        <v>16227</v>
      </c>
      <c r="P4360" s="28" t="s">
        <v>21720</v>
      </c>
    </row>
    <row r="4361" spans="1:16" x14ac:dyDescent="0.25">
      <c r="A4361" s="28" t="s">
        <v>22767</v>
      </c>
      <c r="B4361" s="28" t="s">
        <v>22768</v>
      </c>
      <c r="C4361" s="28" t="s">
        <v>4491</v>
      </c>
      <c r="D4361" s="28" t="s">
        <v>7132</v>
      </c>
      <c r="E4361" s="28" t="s">
        <v>17330</v>
      </c>
      <c r="F4361" s="28" t="s">
        <v>21</v>
      </c>
      <c r="G4361" s="28" t="s">
        <v>39</v>
      </c>
      <c r="H4361" s="28" t="s">
        <v>16221</v>
      </c>
      <c r="I4361" s="28" t="s">
        <v>22769</v>
      </c>
      <c r="J4361" s="28" t="s">
        <v>39</v>
      </c>
      <c r="K4361" s="28" t="s">
        <v>16223</v>
      </c>
      <c r="L4361" s="28" t="s">
        <v>16224</v>
      </c>
      <c r="M4361" s="28" t="s">
        <v>18953</v>
      </c>
      <c r="N4361" s="28" t="s">
        <v>16226</v>
      </c>
      <c r="O4361" s="28" t="s">
        <v>16227</v>
      </c>
      <c r="P4361" s="28" t="s">
        <v>21720</v>
      </c>
    </row>
    <row r="4362" spans="1:16" x14ac:dyDescent="0.25">
      <c r="A4362" s="28" t="s">
        <v>22770</v>
      </c>
      <c r="B4362" s="28" t="s">
        <v>22771</v>
      </c>
      <c r="C4362" s="28" t="s">
        <v>4491</v>
      </c>
      <c r="D4362" s="28" t="s">
        <v>7132</v>
      </c>
      <c r="E4362" s="28" t="s">
        <v>17330</v>
      </c>
      <c r="F4362" s="28" t="s">
        <v>21</v>
      </c>
      <c r="G4362" s="28" t="s">
        <v>39</v>
      </c>
      <c r="H4362" s="28" t="s">
        <v>16221</v>
      </c>
      <c r="I4362" s="28" t="s">
        <v>22772</v>
      </c>
      <c r="J4362" s="28" t="s">
        <v>39</v>
      </c>
      <c r="K4362" s="28" t="s">
        <v>16223</v>
      </c>
      <c r="L4362" s="28" t="s">
        <v>16224</v>
      </c>
      <c r="M4362" s="28" t="s">
        <v>18957</v>
      </c>
      <c r="N4362" s="28" t="s">
        <v>16226</v>
      </c>
      <c r="O4362" s="28" t="s">
        <v>16227</v>
      </c>
      <c r="P4362" s="28" t="s">
        <v>21720</v>
      </c>
    </row>
    <row r="4363" spans="1:16" x14ac:dyDescent="0.25">
      <c r="A4363" s="28" t="s">
        <v>22773</v>
      </c>
      <c r="B4363" s="28" t="s">
        <v>22774</v>
      </c>
      <c r="C4363" s="28" t="s">
        <v>4491</v>
      </c>
      <c r="D4363" s="28" t="s">
        <v>7132</v>
      </c>
      <c r="E4363" s="28" t="s">
        <v>17340</v>
      </c>
      <c r="F4363" s="28" t="s">
        <v>21</v>
      </c>
      <c r="G4363" s="28" t="s">
        <v>149</v>
      </c>
      <c r="H4363" s="28" t="s">
        <v>21726</v>
      </c>
      <c r="I4363" s="28" t="s">
        <v>22775</v>
      </c>
      <c r="J4363" s="28" t="s">
        <v>149</v>
      </c>
      <c r="K4363" s="28" t="s">
        <v>22746</v>
      </c>
      <c r="L4363" s="28" t="s">
        <v>21729</v>
      </c>
      <c r="M4363" s="28" t="s">
        <v>22776</v>
      </c>
      <c r="N4363" s="28" t="s">
        <v>21731</v>
      </c>
      <c r="O4363" s="28" t="s">
        <v>21732</v>
      </c>
      <c r="P4363" s="28" t="s">
        <v>22777</v>
      </c>
    </row>
    <row r="4364" spans="1:16" x14ac:dyDescent="0.25">
      <c r="A4364" s="28" t="s">
        <v>22778</v>
      </c>
      <c r="B4364" s="28" t="s">
        <v>22779</v>
      </c>
      <c r="C4364" s="28" t="s">
        <v>4491</v>
      </c>
      <c r="D4364" s="28" t="s">
        <v>7132</v>
      </c>
      <c r="E4364" s="28" t="s">
        <v>17340</v>
      </c>
      <c r="F4364" s="28" t="s">
        <v>21</v>
      </c>
      <c r="G4364" s="28" t="s">
        <v>149</v>
      </c>
      <c r="H4364" s="28" t="s">
        <v>21726</v>
      </c>
      <c r="I4364" s="28" t="s">
        <v>22780</v>
      </c>
      <c r="J4364" s="28" t="s">
        <v>149</v>
      </c>
      <c r="K4364" s="28" t="s">
        <v>22746</v>
      </c>
      <c r="L4364" s="28" t="s">
        <v>21729</v>
      </c>
      <c r="M4364" s="28" t="s">
        <v>22781</v>
      </c>
      <c r="N4364" s="28" t="s">
        <v>21731</v>
      </c>
      <c r="O4364" s="28" t="s">
        <v>21732</v>
      </c>
      <c r="P4364" s="28" t="s">
        <v>22782</v>
      </c>
    </row>
    <row r="4365" spans="1:16" x14ac:dyDescent="0.25">
      <c r="A4365" s="28" t="s">
        <v>22783</v>
      </c>
      <c r="B4365" s="28" t="s">
        <v>22784</v>
      </c>
      <c r="C4365" s="28" t="s">
        <v>4491</v>
      </c>
      <c r="D4365" s="28" t="s">
        <v>7132</v>
      </c>
      <c r="E4365" s="28" t="s">
        <v>17346</v>
      </c>
      <c r="F4365" s="28" t="s">
        <v>21</v>
      </c>
      <c r="G4365" s="28" t="s">
        <v>39</v>
      </c>
      <c r="H4365" s="28" t="s">
        <v>16221</v>
      </c>
      <c r="I4365" s="28" t="s">
        <v>22785</v>
      </c>
      <c r="J4365" s="28" t="s">
        <v>39</v>
      </c>
      <c r="K4365" s="28" t="s">
        <v>16223</v>
      </c>
      <c r="L4365" s="28" t="s">
        <v>16224</v>
      </c>
      <c r="M4365" s="28" t="s">
        <v>18969</v>
      </c>
      <c r="N4365" s="28" t="s">
        <v>16226</v>
      </c>
      <c r="O4365" s="28" t="s">
        <v>16227</v>
      </c>
      <c r="P4365" s="28" t="s">
        <v>21737</v>
      </c>
    </row>
    <row r="4366" spans="1:16" x14ac:dyDescent="0.25">
      <c r="A4366" s="28" t="s">
        <v>22786</v>
      </c>
      <c r="B4366" s="28" t="s">
        <v>22787</v>
      </c>
      <c r="C4366" s="28" t="s">
        <v>4491</v>
      </c>
      <c r="D4366" s="28" t="s">
        <v>7132</v>
      </c>
      <c r="E4366" s="28" t="s">
        <v>17346</v>
      </c>
      <c r="F4366" s="28" t="s">
        <v>21</v>
      </c>
      <c r="G4366" s="28" t="s">
        <v>39</v>
      </c>
      <c r="H4366" s="28" t="s">
        <v>16221</v>
      </c>
      <c r="I4366" s="28" t="s">
        <v>22788</v>
      </c>
      <c r="J4366" s="28" t="s">
        <v>39</v>
      </c>
      <c r="K4366" s="28" t="s">
        <v>16223</v>
      </c>
      <c r="L4366" s="28" t="s">
        <v>16224</v>
      </c>
      <c r="M4366" s="28" t="s">
        <v>18973</v>
      </c>
      <c r="N4366" s="28" t="s">
        <v>16226</v>
      </c>
      <c r="O4366" s="28" t="s">
        <v>16227</v>
      </c>
      <c r="P4366" s="28" t="s">
        <v>21737</v>
      </c>
    </row>
    <row r="4367" spans="1:16" x14ac:dyDescent="0.25">
      <c r="A4367" s="28" t="s">
        <v>22789</v>
      </c>
      <c r="B4367" s="28" t="s">
        <v>22790</v>
      </c>
      <c r="C4367" s="28" t="s">
        <v>4491</v>
      </c>
      <c r="D4367" s="28" t="s">
        <v>7132</v>
      </c>
      <c r="E4367" s="28" t="s">
        <v>17352</v>
      </c>
      <c r="F4367" s="28" t="s">
        <v>21</v>
      </c>
      <c r="G4367" s="28" t="s">
        <v>39</v>
      </c>
      <c r="H4367" s="28" t="s">
        <v>16221</v>
      </c>
      <c r="I4367" s="28" t="s">
        <v>22791</v>
      </c>
      <c r="J4367" s="28" t="s">
        <v>39</v>
      </c>
      <c r="K4367" s="28" t="s">
        <v>16223</v>
      </c>
      <c r="L4367" s="28" t="s">
        <v>16224</v>
      </c>
      <c r="M4367" s="28" t="s">
        <v>18977</v>
      </c>
      <c r="N4367" s="28" t="s">
        <v>16226</v>
      </c>
      <c r="O4367" s="28" t="s">
        <v>16227</v>
      </c>
      <c r="P4367" s="28" t="s">
        <v>21741</v>
      </c>
    </row>
    <row r="4368" spans="1:16" x14ac:dyDescent="0.25">
      <c r="A4368" s="28" t="s">
        <v>22792</v>
      </c>
      <c r="B4368" s="28" t="s">
        <v>22793</v>
      </c>
      <c r="C4368" s="28" t="s">
        <v>4491</v>
      </c>
      <c r="D4368" s="28" t="s">
        <v>7132</v>
      </c>
      <c r="E4368" s="28" t="s">
        <v>17352</v>
      </c>
      <c r="F4368" s="28" t="s">
        <v>21</v>
      </c>
      <c r="G4368" s="28" t="s">
        <v>39</v>
      </c>
      <c r="H4368" s="28" t="s">
        <v>16221</v>
      </c>
      <c r="I4368" s="28" t="s">
        <v>22794</v>
      </c>
      <c r="J4368" s="28" t="s">
        <v>39</v>
      </c>
      <c r="K4368" s="28" t="s">
        <v>16223</v>
      </c>
      <c r="L4368" s="28" t="s">
        <v>16224</v>
      </c>
      <c r="M4368" s="28" t="s">
        <v>18981</v>
      </c>
      <c r="N4368" s="28" t="s">
        <v>16226</v>
      </c>
      <c r="O4368" s="28" t="s">
        <v>16227</v>
      </c>
      <c r="P4368" s="28" t="s">
        <v>21741</v>
      </c>
    </row>
    <row r="4369" spans="1:16" x14ac:dyDescent="0.25">
      <c r="A4369" s="28" t="s">
        <v>22795</v>
      </c>
      <c r="B4369" s="28" t="s">
        <v>22796</v>
      </c>
      <c r="C4369" s="28" t="s">
        <v>4491</v>
      </c>
      <c r="D4369" s="28" t="s">
        <v>7132</v>
      </c>
      <c r="E4369" s="28" t="s">
        <v>17358</v>
      </c>
      <c r="F4369" s="28" t="s">
        <v>21</v>
      </c>
      <c r="G4369" s="28" t="s">
        <v>39</v>
      </c>
      <c r="H4369" s="28" t="s">
        <v>16221</v>
      </c>
      <c r="I4369" s="28" t="s">
        <v>22797</v>
      </c>
      <c r="J4369" s="28" t="s">
        <v>39</v>
      </c>
      <c r="K4369" s="28" t="s">
        <v>16223</v>
      </c>
      <c r="L4369" s="28" t="s">
        <v>16224</v>
      </c>
      <c r="M4369" s="28" t="s">
        <v>18985</v>
      </c>
      <c r="N4369" s="28" t="s">
        <v>16226</v>
      </c>
      <c r="O4369" s="28" t="s">
        <v>16227</v>
      </c>
      <c r="P4369" s="28" t="s">
        <v>21745</v>
      </c>
    </row>
    <row r="4370" spans="1:16" x14ac:dyDescent="0.25">
      <c r="A4370" s="28" t="s">
        <v>22798</v>
      </c>
      <c r="B4370" s="28" t="s">
        <v>22799</v>
      </c>
      <c r="C4370" s="28" t="s">
        <v>4491</v>
      </c>
      <c r="D4370" s="28" t="s">
        <v>7132</v>
      </c>
      <c r="E4370" s="28" t="s">
        <v>17358</v>
      </c>
      <c r="F4370" s="28" t="s">
        <v>21</v>
      </c>
      <c r="G4370" s="28" t="s">
        <v>39</v>
      </c>
      <c r="H4370" s="28" t="s">
        <v>16221</v>
      </c>
      <c r="I4370" s="28" t="s">
        <v>22800</v>
      </c>
      <c r="J4370" s="28" t="s">
        <v>39</v>
      </c>
      <c r="K4370" s="28" t="s">
        <v>16223</v>
      </c>
      <c r="L4370" s="28" t="s">
        <v>16224</v>
      </c>
      <c r="M4370" s="28" t="s">
        <v>18989</v>
      </c>
      <c r="N4370" s="28" t="s">
        <v>16226</v>
      </c>
      <c r="O4370" s="28" t="s">
        <v>16227</v>
      </c>
      <c r="P4370" s="28" t="s">
        <v>21745</v>
      </c>
    </row>
    <row r="4371" spans="1:16" x14ac:dyDescent="0.25">
      <c r="A4371" s="28" t="s">
        <v>22801</v>
      </c>
      <c r="B4371" s="28" t="s">
        <v>22802</v>
      </c>
      <c r="C4371" s="28" t="s">
        <v>4491</v>
      </c>
      <c r="D4371" s="28" t="s">
        <v>7132</v>
      </c>
      <c r="E4371" s="28" t="s">
        <v>17364</v>
      </c>
      <c r="F4371" s="28" t="s">
        <v>21</v>
      </c>
      <c r="G4371" s="28" t="s">
        <v>39</v>
      </c>
      <c r="H4371" s="28" t="s">
        <v>16221</v>
      </c>
      <c r="I4371" s="28" t="s">
        <v>22803</v>
      </c>
      <c r="J4371" s="28" t="s">
        <v>39</v>
      </c>
      <c r="K4371" s="28" t="s">
        <v>16223</v>
      </c>
      <c r="L4371" s="28" t="s">
        <v>16224</v>
      </c>
      <c r="M4371" s="28" t="s">
        <v>18993</v>
      </c>
      <c r="N4371" s="28" t="s">
        <v>16226</v>
      </c>
      <c r="O4371" s="28" t="s">
        <v>16227</v>
      </c>
      <c r="P4371" s="28" t="s">
        <v>21749</v>
      </c>
    </row>
    <row r="4372" spans="1:16" x14ac:dyDescent="0.25">
      <c r="A4372" s="28" t="s">
        <v>22804</v>
      </c>
      <c r="B4372" s="28" t="s">
        <v>22805</v>
      </c>
      <c r="C4372" s="28" t="s">
        <v>4491</v>
      </c>
      <c r="D4372" s="28" t="s">
        <v>7132</v>
      </c>
      <c r="E4372" s="28" t="s">
        <v>17364</v>
      </c>
      <c r="F4372" s="28" t="s">
        <v>21</v>
      </c>
      <c r="G4372" s="28" t="s">
        <v>39</v>
      </c>
      <c r="H4372" s="28" t="s">
        <v>16221</v>
      </c>
      <c r="I4372" s="28" t="s">
        <v>22806</v>
      </c>
      <c r="J4372" s="28" t="s">
        <v>39</v>
      </c>
      <c r="K4372" s="28" t="s">
        <v>16223</v>
      </c>
      <c r="L4372" s="28" t="s">
        <v>16224</v>
      </c>
      <c r="M4372" s="28" t="s">
        <v>18997</v>
      </c>
      <c r="N4372" s="28" t="s">
        <v>16226</v>
      </c>
      <c r="O4372" s="28" t="s">
        <v>16227</v>
      </c>
      <c r="P4372" s="28" t="s">
        <v>21749</v>
      </c>
    </row>
    <row r="4373" spans="1:16" x14ac:dyDescent="0.25">
      <c r="A4373" s="28" t="s">
        <v>22807</v>
      </c>
      <c r="B4373" s="28" t="s">
        <v>22808</v>
      </c>
      <c r="C4373" s="28" t="s">
        <v>4491</v>
      </c>
      <c r="D4373" s="28" t="s">
        <v>7132</v>
      </c>
      <c r="E4373" s="28" t="s">
        <v>17370</v>
      </c>
      <c r="F4373" s="28" t="s">
        <v>21</v>
      </c>
      <c r="G4373" s="28" t="s">
        <v>39</v>
      </c>
      <c r="H4373" s="28" t="s">
        <v>16221</v>
      </c>
      <c r="I4373" s="28" t="s">
        <v>22809</v>
      </c>
      <c r="J4373" s="28" t="s">
        <v>39</v>
      </c>
      <c r="K4373" s="28" t="s">
        <v>16223</v>
      </c>
      <c r="L4373" s="28" t="s">
        <v>16224</v>
      </c>
      <c r="M4373" s="28" t="s">
        <v>19001</v>
      </c>
      <c r="N4373" s="28" t="s">
        <v>16226</v>
      </c>
      <c r="O4373" s="28" t="s">
        <v>16227</v>
      </c>
      <c r="P4373" s="28" t="s">
        <v>21753</v>
      </c>
    </row>
    <row r="4374" spans="1:16" x14ac:dyDescent="0.25">
      <c r="A4374" s="28" t="s">
        <v>22810</v>
      </c>
      <c r="B4374" s="28" t="s">
        <v>22811</v>
      </c>
      <c r="C4374" s="28" t="s">
        <v>4491</v>
      </c>
      <c r="D4374" s="28" t="s">
        <v>7132</v>
      </c>
      <c r="E4374" s="28" t="s">
        <v>17370</v>
      </c>
      <c r="F4374" s="28" t="s">
        <v>21</v>
      </c>
      <c r="G4374" s="28" t="s">
        <v>39</v>
      </c>
      <c r="H4374" s="28" t="s">
        <v>16221</v>
      </c>
      <c r="I4374" s="28" t="s">
        <v>22812</v>
      </c>
      <c r="J4374" s="28" t="s">
        <v>39</v>
      </c>
      <c r="K4374" s="28" t="s">
        <v>16223</v>
      </c>
      <c r="L4374" s="28" t="s">
        <v>16224</v>
      </c>
      <c r="M4374" s="28" t="s">
        <v>19005</v>
      </c>
      <c r="N4374" s="28" t="s">
        <v>16226</v>
      </c>
      <c r="O4374" s="28" t="s">
        <v>16227</v>
      </c>
      <c r="P4374" s="28" t="s">
        <v>21753</v>
      </c>
    </row>
    <row r="4375" spans="1:16" x14ac:dyDescent="0.25">
      <c r="A4375" s="28" t="s">
        <v>22813</v>
      </c>
      <c r="B4375" s="28" t="s">
        <v>22814</v>
      </c>
      <c r="C4375" s="28" t="s">
        <v>4491</v>
      </c>
      <c r="D4375" s="28" t="s">
        <v>7132</v>
      </c>
      <c r="E4375" s="28" t="s">
        <v>17376</v>
      </c>
      <c r="F4375" s="28" t="s">
        <v>21</v>
      </c>
      <c r="G4375" s="28" t="s">
        <v>149</v>
      </c>
      <c r="H4375" s="28" t="s">
        <v>21726</v>
      </c>
      <c r="I4375" s="28" t="s">
        <v>22815</v>
      </c>
      <c r="J4375" s="28" t="s">
        <v>149</v>
      </c>
      <c r="K4375" s="28" t="s">
        <v>22746</v>
      </c>
      <c r="L4375" s="28" t="s">
        <v>21729</v>
      </c>
      <c r="M4375" s="28" t="s">
        <v>22816</v>
      </c>
      <c r="N4375" s="28" t="s">
        <v>21731</v>
      </c>
      <c r="O4375" s="28" t="s">
        <v>21732</v>
      </c>
      <c r="P4375" s="28" t="s">
        <v>22817</v>
      </c>
    </row>
    <row r="4376" spans="1:16" x14ac:dyDescent="0.25">
      <c r="A4376" s="28" t="s">
        <v>22818</v>
      </c>
      <c r="B4376" s="28" t="s">
        <v>22819</v>
      </c>
      <c r="C4376" s="28" t="s">
        <v>4491</v>
      </c>
      <c r="D4376" s="28" t="s">
        <v>7132</v>
      </c>
      <c r="E4376" s="28" t="s">
        <v>17376</v>
      </c>
      <c r="F4376" s="28" t="s">
        <v>21</v>
      </c>
      <c r="G4376" s="28" t="s">
        <v>149</v>
      </c>
      <c r="H4376" s="28" t="s">
        <v>21726</v>
      </c>
      <c r="I4376" s="28" t="s">
        <v>22820</v>
      </c>
      <c r="J4376" s="28" t="s">
        <v>149</v>
      </c>
      <c r="K4376" s="28" t="s">
        <v>22746</v>
      </c>
      <c r="L4376" s="28" t="s">
        <v>21729</v>
      </c>
      <c r="M4376" s="28" t="s">
        <v>22821</v>
      </c>
      <c r="N4376" s="28" t="s">
        <v>21731</v>
      </c>
      <c r="O4376" s="28" t="s">
        <v>21732</v>
      </c>
      <c r="P4376" s="28" t="s">
        <v>22822</v>
      </c>
    </row>
    <row r="4377" spans="1:16" x14ac:dyDescent="0.25">
      <c r="A4377" s="28" t="s">
        <v>22823</v>
      </c>
      <c r="B4377" s="28" t="s">
        <v>22824</v>
      </c>
      <c r="C4377" s="28" t="s">
        <v>4491</v>
      </c>
      <c r="D4377" s="28" t="s">
        <v>7132</v>
      </c>
      <c r="E4377" s="28" t="s">
        <v>17376</v>
      </c>
      <c r="F4377" s="28" t="s">
        <v>21</v>
      </c>
      <c r="G4377" s="28" t="s">
        <v>149</v>
      </c>
      <c r="H4377" s="28" t="s">
        <v>21726</v>
      </c>
      <c r="I4377" s="28" t="s">
        <v>22825</v>
      </c>
      <c r="J4377" s="28" t="s">
        <v>149</v>
      </c>
      <c r="K4377" s="28" t="s">
        <v>22746</v>
      </c>
      <c r="L4377" s="28" t="s">
        <v>21729</v>
      </c>
      <c r="M4377" s="28" t="s">
        <v>22826</v>
      </c>
      <c r="N4377" s="28" t="s">
        <v>21731</v>
      </c>
      <c r="O4377" s="28" t="s">
        <v>21732</v>
      </c>
      <c r="P4377" s="28" t="s">
        <v>22827</v>
      </c>
    </row>
    <row r="4378" spans="1:16" x14ac:dyDescent="0.25">
      <c r="A4378" s="28" t="s">
        <v>22828</v>
      </c>
      <c r="B4378" s="28" t="s">
        <v>22829</v>
      </c>
      <c r="C4378" s="28" t="s">
        <v>4491</v>
      </c>
      <c r="D4378" s="28" t="s">
        <v>7132</v>
      </c>
      <c r="E4378" s="28" t="s">
        <v>17376</v>
      </c>
      <c r="F4378" s="28" t="s">
        <v>21</v>
      </c>
      <c r="G4378" s="28" t="s">
        <v>149</v>
      </c>
      <c r="H4378" s="28" t="s">
        <v>21726</v>
      </c>
      <c r="I4378" s="28" t="s">
        <v>22830</v>
      </c>
      <c r="J4378" s="28" t="s">
        <v>149</v>
      </c>
      <c r="K4378" s="28" t="s">
        <v>22746</v>
      </c>
      <c r="L4378" s="28" t="s">
        <v>21729</v>
      </c>
      <c r="M4378" s="28" t="s">
        <v>22831</v>
      </c>
      <c r="N4378" s="28" t="s">
        <v>21731</v>
      </c>
      <c r="O4378" s="28" t="s">
        <v>21732</v>
      </c>
      <c r="P4378" s="28" t="s">
        <v>22832</v>
      </c>
    </row>
    <row r="4379" spans="1:16" x14ac:dyDescent="0.25">
      <c r="A4379" s="28" t="s">
        <v>22833</v>
      </c>
      <c r="B4379" s="28" t="s">
        <v>22834</v>
      </c>
      <c r="C4379" s="28" t="s">
        <v>4491</v>
      </c>
      <c r="D4379" s="28" t="s">
        <v>7132</v>
      </c>
      <c r="E4379" s="28" t="s">
        <v>17382</v>
      </c>
      <c r="F4379" s="28" t="s">
        <v>21</v>
      </c>
      <c r="G4379" s="28" t="s">
        <v>149</v>
      </c>
      <c r="H4379" s="28" t="s">
        <v>21726</v>
      </c>
      <c r="I4379" s="28" t="s">
        <v>22835</v>
      </c>
      <c r="J4379" s="28" t="s">
        <v>149</v>
      </c>
      <c r="K4379" s="28" t="s">
        <v>22746</v>
      </c>
      <c r="L4379" s="28" t="s">
        <v>21729</v>
      </c>
      <c r="M4379" s="28" t="s">
        <v>22836</v>
      </c>
      <c r="N4379" s="28" t="s">
        <v>21731</v>
      </c>
      <c r="O4379" s="28" t="s">
        <v>21732</v>
      </c>
      <c r="P4379" s="28" t="s">
        <v>22837</v>
      </c>
    </row>
    <row r="4380" spans="1:16" x14ac:dyDescent="0.25">
      <c r="A4380" s="28" t="s">
        <v>22838</v>
      </c>
      <c r="B4380" s="28" t="s">
        <v>22839</v>
      </c>
      <c r="C4380" s="28" t="s">
        <v>4491</v>
      </c>
      <c r="D4380" s="28" t="s">
        <v>7132</v>
      </c>
      <c r="E4380" s="28" t="s">
        <v>17382</v>
      </c>
      <c r="F4380" s="28" t="s">
        <v>21</v>
      </c>
      <c r="G4380" s="28" t="s">
        <v>149</v>
      </c>
      <c r="H4380" s="28" t="s">
        <v>21726</v>
      </c>
      <c r="I4380" s="28" t="s">
        <v>22840</v>
      </c>
      <c r="J4380" s="28" t="s">
        <v>149</v>
      </c>
      <c r="K4380" s="28" t="s">
        <v>22746</v>
      </c>
      <c r="L4380" s="28" t="s">
        <v>21729</v>
      </c>
      <c r="M4380" s="28" t="s">
        <v>22841</v>
      </c>
      <c r="N4380" s="28" t="s">
        <v>21731</v>
      </c>
      <c r="O4380" s="28" t="s">
        <v>21732</v>
      </c>
      <c r="P4380" s="28" t="s">
        <v>22842</v>
      </c>
    </row>
    <row r="4381" spans="1:16" x14ac:dyDescent="0.25">
      <c r="A4381" s="28" t="s">
        <v>22843</v>
      </c>
      <c r="B4381" s="28" t="s">
        <v>22844</v>
      </c>
      <c r="C4381" s="28" t="s">
        <v>4491</v>
      </c>
      <c r="D4381" s="28" t="s">
        <v>6454</v>
      </c>
      <c r="E4381" s="28" t="s">
        <v>19032</v>
      </c>
      <c r="F4381" s="28" t="s">
        <v>21</v>
      </c>
      <c r="G4381" s="28" t="s">
        <v>149</v>
      </c>
      <c r="H4381" s="28" t="s">
        <v>21726</v>
      </c>
      <c r="I4381" s="28" t="s">
        <v>22845</v>
      </c>
      <c r="J4381" s="28" t="s">
        <v>149</v>
      </c>
      <c r="K4381" s="28" t="s">
        <v>22746</v>
      </c>
      <c r="L4381" s="28" t="s">
        <v>21729</v>
      </c>
      <c r="M4381" s="28" t="s">
        <v>22846</v>
      </c>
      <c r="N4381" s="28" t="s">
        <v>21731</v>
      </c>
      <c r="O4381" s="28" t="s">
        <v>21732</v>
      </c>
      <c r="P4381" s="28" t="s">
        <v>22847</v>
      </c>
    </row>
    <row r="4382" spans="1:16" x14ac:dyDescent="0.25">
      <c r="A4382" s="28" t="s">
        <v>22848</v>
      </c>
      <c r="B4382" s="28" t="s">
        <v>22849</v>
      </c>
      <c r="C4382" s="28" t="s">
        <v>4491</v>
      </c>
      <c r="D4382" s="28" t="s">
        <v>7132</v>
      </c>
      <c r="E4382" s="28" t="s">
        <v>17388</v>
      </c>
      <c r="F4382" s="28" t="s">
        <v>21</v>
      </c>
      <c r="G4382" s="28" t="s">
        <v>39</v>
      </c>
      <c r="H4382" s="28" t="s">
        <v>16221</v>
      </c>
      <c r="I4382" s="28" t="s">
        <v>22850</v>
      </c>
      <c r="J4382" s="28" t="s">
        <v>39</v>
      </c>
      <c r="K4382" s="28" t="s">
        <v>16223</v>
      </c>
      <c r="L4382" s="28" t="s">
        <v>16224</v>
      </c>
      <c r="M4382" s="28" t="s">
        <v>19039</v>
      </c>
      <c r="N4382" s="28" t="s">
        <v>16226</v>
      </c>
      <c r="O4382" s="28" t="s">
        <v>16227</v>
      </c>
      <c r="P4382" s="28" t="s">
        <v>21767</v>
      </c>
    </row>
    <row r="4383" spans="1:16" x14ac:dyDescent="0.25">
      <c r="A4383" s="28" t="s">
        <v>22851</v>
      </c>
      <c r="B4383" s="28" t="s">
        <v>22852</v>
      </c>
      <c r="C4383" s="28" t="s">
        <v>4491</v>
      </c>
      <c r="D4383" s="28" t="s">
        <v>7132</v>
      </c>
      <c r="E4383" s="28" t="s">
        <v>17388</v>
      </c>
      <c r="F4383" s="28" t="s">
        <v>21</v>
      </c>
      <c r="G4383" s="28" t="s">
        <v>39</v>
      </c>
      <c r="H4383" s="28" t="s">
        <v>16221</v>
      </c>
      <c r="I4383" s="28" t="s">
        <v>22853</v>
      </c>
      <c r="J4383" s="28" t="s">
        <v>39</v>
      </c>
      <c r="K4383" s="28" t="s">
        <v>16223</v>
      </c>
      <c r="L4383" s="28" t="s">
        <v>16224</v>
      </c>
      <c r="M4383" s="28" t="s">
        <v>19043</v>
      </c>
      <c r="N4383" s="28" t="s">
        <v>16226</v>
      </c>
      <c r="O4383" s="28" t="s">
        <v>16227</v>
      </c>
      <c r="P4383" s="28" t="s">
        <v>21767</v>
      </c>
    </row>
    <row r="4384" spans="1:16" x14ac:dyDescent="0.25">
      <c r="A4384" s="28" t="s">
        <v>22854</v>
      </c>
      <c r="B4384" s="28" t="s">
        <v>22855</v>
      </c>
      <c r="C4384" s="28" t="s">
        <v>4491</v>
      </c>
      <c r="D4384" s="28" t="s">
        <v>7132</v>
      </c>
      <c r="E4384" s="28" t="s">
        <v>17388</v>
      </c>
      <c r="F4384" s="28" t="s">
        <v>21</v>
      </c>
      <c r="G4384" s="28" t="s">
        <v>39</v>
      </c>
      <c r="H4384" s="28" t="s">
        <v>16221</v>
      </c>
      <c r="I4384" s="28" t="s">
        <v>22856</v>
      </c>
      <c r="J4384" s="28" t="s">
        <v>39</v>
      </c>
      <c r="K4384" s="28" t="s">
        <v>16223</v>
      </c>
      <c r="L4384" s="28" t="s">
        <v>16224</v>
      </c>
      <c r="M4384" s="28" t="s">
        <v>19047</v>
      </c>
      <c r="N4384" s="28" t="s">
        <v>16226</v>
      </c>
      <c r="O4384" s="28" t="s">
        <v>16227</v>
      </c>
      <c r="P4384" s="28" t="s">
        <v>21767</v>
      </c>
    </row>
    <row r="4385" spans="1:16" x14ac:dyDescent="0.25">
      <c r="A4385" s="28" t="s">
        <v>22857</v>
      </c>
      <c r="B4385" s="28" t="s">
        <v>22858</v>
      </c>
      <c r="C4385" s="28" t="s">
        <v>4491</v>
      </c>
      <c r="D4385" s="28" t="s">
        <v>7132</v>
      </c>
      <c r="E4385" s="28" t="s">
        <v>17388</v>
      </c>
      <c r="F4385" s="28" t="s">
        <v>21</v>
      </c>
      <c r="G4385" s="28" t="s">
        <v>39</v>
      </c>
      <c r="H4385" s="28" t="s">
        <v>16221</v>
      </c>
      <c r="I4385" s="28" t="s">
        <v>22859</v>
      </c>
      <c r="J4385" s="28" t="s">
        <v>39</v>
      </c>
      <c r="K4385" s="28" t="s">
        <v>16223</v>
      </c>
      <c r="L4385" s="28" t="s">
        <v>16224</v>
      </c>
      <c r="M4385" s="28" t="s">
        <v>19051</v>
      </c>
      <c r="N4385" s="28" t="s">
        <v>16226</v>
      </c>
      <c r="O4385" s="28" t="s">
        <v>16227</v>
      </c>
      <c r="P4385" s="28" t="s">
        <v>21767</v>
      </c>
    </row>
    <row r="4386" spans="1:16" x14ac:dyDescent="0.25">
      <c r="A4386" s="28" t="s">
        <v>22860</v>
      </c>
      <c r="B4386" s="28" t="s">
        <v>22861</v>
      </c>
      <c r="C4386" s="28" t="s">
        <v>4491</v>
      </c>
      <c r="D4386" s="28" t="s">
        <v>7132</v>
      </c>
      <c r="E4386" s="28" t="s">
        <v>17388</v>
      </c>
      <c r="F4386" s="28" t="s">
        <v>21</v>
      </c>
      <c r="G4386" s="28" t="s">
        <v>39</v>
      </c>
      <c r="H4386" s="28" t="s">
        <v>16221</v>
      </c>
      <c r="I4386" s="28" t="s">
        <v>22862</v>
      </c>
      <c r="J4386" s="28" t="s">
        <v>39</v>
      </c>
      <c r="K4386" s="28" t="s">
        <v>16223</v>
      </c>
      <c r="L4386" s="28" t="s">
        <v>16224</v>
      </c>
      <c r="M4386" s="28" t="s">
        <v>19055</v>
      </c>
      <c r="N4386" s="28" t="s">
        <v>16226</v>
      </c>
      <c r="O4386" s="28" t="s">
        <v>16227</v>
      </c>
      <c r="P4386" s="28" t="s">
        <v>21767</v>
      </c>
    </row>
    <row r="4387" spans="1:16" x14ac:dyDescent="0.25">
      <c r="A4387" s="28" t="s">
        <v>22863</v>
      </c>
      <c r="B4387" s="28" t="s">
        <v>22864</v>
      </c>
      <c r="C4387" s="28" t="s">
        <v>4491</v>
      </c>
      <c r="D4387" s="28" t="s">
        <v>7132</v>
      </c>
      <c r="E4387" s="28" t="s">
        <v>17388</v>
      </c>
      <c r="F4387" s="28" t="s">
        <v>21</v>
      </c>
      <c r="G4387" s="28" t="s">
        <v>39</v>
      </c>
      <c r="H4387" s="28" t="s">
        <v>16221</v>
      </c>
      <c r="I4387" s="28" t="s">
        <v>22865</v>
      </c>
      <c r="J4387" s="28" t="s">
        <v>39</v>
      </c>
      <c r="K4387" s="28" t="s">
        <v>16223</v>
      </c>
      <c r="L4387" s="28" t="s">
        <v>16224</v>
      </c>
      <c r="M4387" s="28" t="s">
        <v>19059</v>
      </c>
      <c r="N4387" s="28" t="s">
        <v>16226</v>
      </c>
      <c r="O4387" s="28" t="s">
        <v>16227</v>
      </c>
      <c r="P4387" s="28" t="s">
        <v>21767</v>
      </c>
    </row>
    <row r="4388" spans="1:16" x14ac:dyDescent="0.25">
      <c r="A4388" s="28" t="s">
        <v>22866</v>
      </c>
      <c r="B4388" s="28" t="s">
        <v>22867</v>
      </c>
      <c r="C4388" s="28" t="s">
        <v>4491</v>
      </c>
      <c r="D4388" s="28" t="s">
        <v>7132</v>
      </c>
      <c r="E4388" s="28" t="s">
        <v>17388</v>
      </c>
      <c r="F4388" s="28" t="s">
        <v>21</v>
      </c>
      <c r="G4388" s="28" t="s">
        <v>39</v>
      </c>
      <c r="H4388" s="28" t="s">
        <v>16221</v>
      </c>
      <c r="I4388" s="28" t="s">
        <v>22868</v>
      </c>
      <c r="J4388" s="28" t="s">
        <v>39</v>
      </c>
      <c r="K4388" s="28" t="s">
        <v>16223</v>
      </c>
      <c r="L4388" s="28" t="s">
        <v>16224</v>
      </c>
      <c r="M4388" s="28" t="s">
        <v>19063</v>
      </c>
      <c r="N4388" s="28" t="s">
        <v>16226</v>
      </c>
      <c r="O4388" s="28" t="s">
        <v>16227</v>
      </c>
      <c r="P4388" s="28" t="s">
        <v>21767</v>
      </c>
    </row>
    <row r="4389" spans="1:16" x14ac:dyDescent="0.25">
      <c r="A4389" s="28" t="s">
        <v>22869</v>
      </c>
      <c r="B4389" s="28" t="s">
        <v>22870</v>
      </c>
      <c r="C4389" s="28" t="s">
        <v>4491</v>
      </c>
      <c r="D4389" s="28" t="s">
        <v>7132</v>
      </c>
      <c r="E4389" s="28" t="s">
        <v>17388</v>
      </c>
      <c r="F4389" s="28" t="s">
        <v>21</v>
      </c>
      <c r="G4389" s="28" t="s">
        <v>39</v>
      </c>
      <c r="H4389" s="28" t="s">
        <v>16221</v>
      </c>
      <c r="I4389" s="28" t="s">
        <v>22871</v>
      </c>
      <c r="J4389" s="28" t="s">
        <v>39</v>
      </c>
      <c r="K4389" s="28" t="s">
        <v>16223</v>
      </c>
      <c r="L4389" s="28" t="s">
        <v>16224</v>
      </c>
      <c r="M4389" s="28" t="s">
        <v>19067</v>
      </c>
      <c r="N4389" s="28" t="s">
        <v>16226</v>
      </c>
      <c r="O4389" s="28" t="s">
        <v>16227</v>
      </c>
      <c r="P4389" s="28" t="s">
        <v>21767</v>
      </c>
    </row>
    <row r="4390" spans="1:16" x14ac:dyDescent="0.25">
      <c r="A4390" s="28" t="s">
        <v>22872</v>
      </c>
      <c r="B4390" s="28" t="s">
        <v>22873</v>
      </c>
      <c r="C4390" s="28" t="s">
        <v>4491</v>
      </c>
      <c r="D4390" s="28" t="s">
        <v>7132</v>
      </c>
      <c r="E4390" s="28" t="s">
        <v>17388</v>
      </c>
      <c r="F4390" s="28" t="s">
        <v>21</v>
      </c>
      <c r="G4390" s="28" t="s">
        <v>39</v>
      </c>
      <c r="H4390" s="28" t="s">
        <v>16221</v>
      </c>
      <c r="I4390" s="28" t="s">
        <v>22874</v>
      </c>
      <c r="J4390" s="28" t="s">
        <v>39</v>
      </c>
      <c r="K4390" s="28" t="s">
        <v>16223</v>
      </c>
      <c r="L4390" s="28" t="s">
        <v>16224</v>
      </c>
      <c r="M4390" s="28" t="s">
        <v>19071</v>
      </c>
      <c r="N4390" s="28" t="s">
        <v>16226</v>
      </c>
      <c r="O4390" s="28" t="s">
        <v>16227</v>
      </c>
      <c r="P4390" s="28" t="s">
        <v>21767</v>
      </c>
    </row>
    <row r="4391" spans="1:16" x14ac:dyDescent="0.25">
      <c r="A4391" s="28" t="s">
        <v>22875</v>
      </c>
      <c r="B4391" s="28" t="s">
        <v>22876</v>
      </c>
      <c r="C4391" s="28" t="s">
        <v>4491</v>
      </c>
      <c r="D4391" s="28" t="s">
        <v>7132</v>
      </c>
      <c r="E4391" s="28" t="s">
        <v>17388</v>
      </c>
      <c r="F4391" s="28" t="s">
        <v>21</v>
      </c>
      <c r="G4391" s="28" t="s">
        <v>39</v>
      </c>
      <c r="H4391" s="28" t="s">
        <v>16221</v>
      </c>
      <c r="I4391" s="28" t="s">
        <v>22877</v>
      </c>
      <c r="J4391" s="28" t="s">
        <v>39</v>
      </c>
      <c r="K4391" s="28" t="s">
        <v>16223</v>
      </c>
      <c r="L4391" s="28" t="s">
        <v>16224</v>
      </c>
      <c r="M4391" s="28" t="s">
        <v>19075</v>
      </c>
      <c r="N4391" s="28" t="s">
        <v>16226</v>
      </c>
      <c r="O4391" s="28" t="s">
        <v>16227</v>
      </c>
      <c r="P4391" s="28" t="s">
        <v>21767</v>
      </c>
    </row>
    <row r="4392" spans="1:16" x14ac:dyDescent="0.25">
      <c r="A4392" s="28" t="s">
        <v>22878</v>
      </c>
      <c r="B4392" s="28" t="s">
        <v>22879</v>
      </c>
      <c r="C4392" s="28" t="s">
        <v>4491</v>
      </c>
      <c r="D4392" s="28" t="s">
        <v>7132</v>
      </c>
      <c r="E4392" s="28" t="s">
        <v>17388</v>
      </c>
      <c r="F4392" s="28" t="s">
        <v>21</v>
      </c>
      <c r="G4392" s="28" t="s">
        <v>39</v>
      </c>
      <c r="H4392" s="28" t="s">
        <v>16221</v>
      </c>
      <c r="I4392" s="28" t="s">
        <v>22880</v>
      </c>
      <c r="J4392" s="28" t="s">
        <v>39</v>
      </c>
      <c r="K4392" s="28" t="s">
        <v>16223</v>
      </c>
      <c r="L4392" s="28" t="s">
        <v>16224</v>
      </c>
      <c r="M4392" s="28" t="s">
        <v>19079</v>
      </c>
      <c r="N4392" s="28" t="s">
        <v>16226</v>
      </c>
      <c r="O4392" s="28" t="s">
        <v>16227</v>
      </c>
      <c r="P4392" s="28" t="s">
        <v>21767</v>
      </c>
    </row>
    <row r="4393" spans="1:16" x14ac:dyDescent="0.25">
      <c r="A4393" s="28" t="s">
        <v>22881</v>
      </c>
      <c r="B4393" s="28" t="s">
        <v>22882</v>
      </c>
      <c r="C4393" s="28" t="s">
        <v>4491</v>
      </c>
      <c r="D4393" s="28" t="s">
        <v>7132</v>
      </c>
      <c r="E4393" s="28" t="s">
        <v>17388</v>
      </c>
      <c r="F4393" s="28" t="s">
        <v>21</v>
      </c>
      <c r="G4393" s="28" t="s">
        <v>39</v>
      </c>
      <c r="H4393" s="28" t="s">
        <v>16221</v>
      </c>
      <c r="I4393" s="28" t="s">
        <v>22883</v>
      </c>
      <c r="J4393" s="28" t="s">
        <v>39</v>
      </c>
      <c r="K4393" s="28" t="s">
        <v>16223</v>
      </c>
      <c r="L4393" s="28" t="s">
        <v>16224</v>
      </c>
      <c r="M4393" s="28" t="s">
        <v>19083</v>
      </c>
      <c r="N4393" s="28" t="s">
        <v>16226</v>
      </c>
      <c r="O4393" s="28" t="s">
        <v>16227</v>
      </c>
      <c r="P4393" s="28" t="s">
        <v>21767</v>
      </c>
    </row>
    <row r="4394" spans="1:16" x14ac:dyDescent="0.25">
      <c r="A4394" s="28" t="s">
        <v>22884</v>
      </c>
      <c r="B4394" s="28" t="s">
        <v>22885</v>
      </c>
      <c r="C4394" s="28" t="s">
        <v>4491</v>
      </c>
      <c r="D4394" s="28" t="s">
        <v>7132</v>
      </c>
      <c r="E4394" s="28" t="s">
        <v>17388</v>
      </c>
      <c r="F4394" s="28" t="s">
        <v>21</v>
      </c>
      <c r="G4394" s="28" t="s">
        <v>39</v>
      </c>
      <c r="H4394" s="28" t="s">
        <v>16221</v>
      </c>
      <c r="I4394" s="28" t="s">
        <v>22886</v>
      </c>
      <c r="J4394" s="28" t="s">
        <v>39</v>
      </c>
      <c r="K4394" s="28" t="s">
        <v>16223</v>
      </c>
      <c r="L4394" s="28" t="s">
        <v>16224</v>
      </c>
      <c r="M4394" s="28" t="s">
        <v>19087</v>
      </c>
      <c r="N4394" s="28" t="s">
        <v>16226</v>
      </c>
      <c r="O4394" s="28" t="s">
        <v>16227</v>
      </c>
      <c r="P4394" s="28" t="s">
        <v>21767</v>
      </c>
    </row>
    <row r="4395" spans="1:16" x14ac:dyDescent="0.25">
      <c r="A4395" s="28" t="s">
        <v>22887</v>
      </c>
      <c r="B4395" s="28" t="s">
        <v>22888</v>
      </c>
      <c r="C4395" s="28" t="s">
        <v>4491</v>
      </c>
      <c r="D4395" s="28" t="s">
        <v>7132</v>
      </c>
      <c r="E4395" s="28" t="s">
        <v>17388</v>
      </c>
      <c r="F4395" s="28" t="s">
        <v>21</v>
      </c>
      <c r="G4395" s="28" t="s">
        <v>39</v>
      </c>
      <c r="H4395" s="28" t="s">
        <v>16221</v>
      </c>
      <c r="I4395" s="28" t="s">
        <v>22889</v>
      </c>
      <c r="J4395" s="28" t="s">
        <v>39</v>
      </c>
      <c r="K4395" s="28" t="s">
        <v>16223</v>
      </c>
      <c r="L4395" s="28" t="s">
        <v>16224</v>
      </c>
      <c r="M4395" s="28" t="s">
        <v>19091</v>
      </c>
      <c r="N4395" s="28" t="s">
        <v>16226</v>
      </c>
      <c r="O4395" s="28" t="s">
        <v>16227</v>
      </c>
      <c r="P4395" s="28" t="s">
        <v>21767</v>
      </c>
    </row>
    <row r="4396" spans="1:16" x14ac:dyDescent="0.25">
      <c r="A4396" s="28" t="s">
        <v>22890</v>
      </c>
      <c r="B4396" s="28" t="s">
        <v>22891</v>
      </c>
      <c r="C4396" s="28" t="s">
        <v>4491</v>
      </c>
      <c r="D4396" s="28" t="s">
        <v>7132</v>
      </c>
      <c r="E4396" s="28" t="s">
        <v>17388</v>
      </c>
      <c r="F4396" s="28" t="s">
        <v>21</v>
      </c>
      <c r="G4396" s="28" t="s">
        <v>39</v>
      </c>
      <c r="H4396" s="28" t="s">
        <v>16221</v>
      </c>
      <c r="I4396" s="28" t="s">
        <v>22892</v>
      </c>
      <c r="J4396" s="28" t="s">
        <v>39</v>
      </c>
      <c r="K4396" s="28" t="s">
        <v>16223</v>
      </c>
      <c r="L4396" s="28" t="s">
        <v>16224</v>
      </c>
      <c r="M4396" s="28" t="s">
        <v>19095</v>
      </c>
      <c r="N4396" s="28" t="s">
        <v>16226</v>
      </c>
      <c r="O4396" s="28" t="s">
        <v>16227</v>
      </c>
      <c r="P4396" s="28" t="s">
        <v>21767</v>
      </c>
    </row>
    <row r="4397" spans="1:16" x14ac:dyDescent="0.25">
      <c r="A4397" s="28" t="s">
        <v>22893</v>
      </c>
      <c r="B4397" s="28" t="s">
        <v>22894</v>
      </c>
      <c r="C4397" s="28" t="s">
        <v>4491</v>
      </c>
      <c r="D4397" s="28" t="s">
        <v>7132</v>
      </c>
      <c r="E4397" s="28" t="s">
        <v>17388</v>
      </c>
      <c r="F4397" s="28" t="s">
        <v>21</v>
      </c>
      <c r="G4397" s="28" t="s">
        <v>39</v>
      </c>
      <c r="H4397" s="28" t="s">
        <v>16221</v>
      </c>
      <c r="I4397" s="28" t="s">
        <v>22895</v>
      </c>
      <c r="J4397" s="28" t="s">
        <v>39</v>
      </c>
      <c r="K4397" s="28" t="s">
        <v>16223</v>
      </c>
      <c r="L4397" s="28" t="s">
        <v>16224</v>
      </c>
      <c r="M4397" s="28" t="s">
        <v>19099</v>
      </c>
      <c r="N4397" s="28" t="s">
        <v>16226</v>
      </c>
      <c r="O4397" s="28" t="s">
        <v>16227</v>
      </c>
      <c r="P4397" s="28" t="s">
        <v>21767</v>
      </c>
    </row>
    <row r="4398" spans="1:16" x14ac:dyDescent="0.25">
      <c r="A4398" s="28" t="s">
        <v>22896</v>
      </c>
      <c r="B4398" s="28" t="s">
        <v>22897</v>
      </c>
      <c r="C4398" s="28" t="s">
        <v>4491</v>
      </c>
      <c r="D4398" s="28" t="s">
        <v>7132</v>
      </c>
      <c r="E4398" s="28" t="s">
        <v>17388</v>
      </c>
      <c r="F4398" s="28" t="s">
        <v>21</v>
      </c>
      <c r="G4398" s="28" t="s">
        <v>39</v>
      </c>
      <c r="H4398" s="28" t="s">
        <v>16221</v>
      </c>
      <c r="I4398" s="28" t="s">
        <v>22898</v>
      </c>
      <c r="J4398" s="28" t="s">
        <v>39</v>
      </c>
      <c r="K4398" s="28" t="s">
        <v>16223</v>
      </c>
      <c r="L4398" s="28" t="s">
        <v>16224</v>
      </c>
      <c r="M4398" s="28" t="s">
        <v>19103</v>
      </c>
      <c r="N4398" s="28" t="s">
        <v>16226</v>
      </c>
      <c r="O4398" s="28" t="s">
        <v>16227</v>
      </c>
      <c r="P4398" s="28" t="s">
        <v>21767</v>
      </c>
    </row>
    <row r="4399" spans="1:16" x14ac:dyDescent="0.25">
      <c r="A4399" s="28" t="s">
        <v>22899</v>
      </c>
      <c r="B4399" s="28" t="s">
        <v>22900</v>
      </c>
      <c r="C4399" s="28" t="s">
        <v>4491</v>
      </c>
      <c r="D4399" s="28" t="s">
        <v>7132</v>
      </c>
      <c r="E4399" s="28" t="s">
        <v>17388</v>
      </c>
      <c r="F4399" s="28" t="s">
        <v>21</v>
      </c>
      <c r="G4399" s="28" t="s">
        <v>39</v>
      </c>
      <c r="H4399" s="28" t="s">
        <v>16221</v>
      </c>
      <c r="I4399" s="28" t="s">
        <v>22901</v>
      </c>
      <c r="J4399" s="28" t="s">
        <v>39</v>
      </c>
      <c r="K4399" s="28" t="s">
        <v>16223</v>
      </c>
      <c r="L4399" s="28" t="s">
        <v>16224</v>
      </c>
      <c r="M4399" s="28" t="s">
        <v>19107</v>
      </c>
      <c r="N4399" s="28" t="s">
        <v>16226</v>
      </c>
      <c r="O4399" s="28" t="s">
        <v>16227</v>
      </c>
      <c r="P4399" s="28" t="s">
        <v>21767</v>
      </c>
    </row>
    <row r="4400" spans="1:16" x14ac:dyDescent="0.25">
      <c r="A4400" s="28" t="s">
        <v>22902</v>
      </c>
      <c r="B4400" s="28" t="s">
        <v>22903</v>
      </c>
      <c r="C4400" s="28" t="s">
        <v>4491</v>
      </c>
      <c r="D4400" s="28" t="s">
        <v>7132</v>
      </c>
      <c r="E4400" s="28" t="s">
        <v>17388</v>
      </c>
      <c r="F4400" s="28" t="s">
        <v>21</v>
      </c>
      <c r="G4400" s="28" t="s">
        <v>39</v>
      </c>
      <c r="H4400" s="28" t="s">
        <v>16221</v>
      </c>
      <c r="I4400" s="28" t="s">
        <v>22904</v>
      </c>
      <c r="J4400" s="28" t="s">
        <v>39</v>
      </c>
      <c r="K4400" s="28" t="s">
        <v>16223</v>
      </c>
      <c r="L4400" s="28" t="s">
        <v>16224</v>
      </c>
      <c r="M4400" s="28" t="s">
        <v>19111</v>
      </c>
      <c r="N4400" s="28" t="s">
        <v>16226</v>
      </c>
      <c r="O4400" s="28" t="s">
        <v>16227</v>
      </c>
      <c r="P4400" s="28" t="s">
        <v>21767</v>
      </c>
    </row>
    <row r="4401" spans="1:16" x14ac:dyDescent="0.25">
      <c r="A4401" s="28" t="s">
        <v>22905</v>
      </c>
      <c r="B4401" s="28" t="s">
        <v>22906</v>
      </c>
      <c r="C4401" s="28" t="s">
        <v>4491</v>
      </c>
      <c r="D4401" s="28" t="s">
        <v>7132</v>
      </c>
      <c r="E4401" s="28" t="s">
        <v>17388</v>
      </c>
      <c r="F4401" s="28" t="s">
        <v>21</v>
      </c>
      <c r="G4401" s="28" t="s">
        <v>39</v>
      </c>
      <c r="H4401" s="28" t="s">
        <v>16221</v>
      </c>
      <c r="I4401" s="28" t="s">
        <v>22907</v>
      </c>
      <c r="J4401" s="28" t="s">
        <v>39</v>
      </c>
      <c r="K4401" s="28" t="s">
        <v>16223</v>
      </c>
      <c r="L4401" s="28" t="s">
        <v>16224</v>
      </c>
      <c r="M4401" s="28" t="s">
        <v>19115</v>
      </c>
      <c r="N4401" s="28" t="s">
        <v>16226</v>
      </c>
      <c r="O4401" s="28" t="s">
        <v>16227</v>
      </c>
      <c r="P4401" s="28" t="s">
        <v>21767</v>
      </c>
    </row>
    <row r="4402" spans="1:16" x14ac:dyDescent="0.25">
      <c r="A4402" s="28" t="s">
        <v>22908</v>
      </c>
      <c r="B4402" s="28" t="s">
        <v>22909</v>
      </c>
      <c r="C4402" s="28" t="s">
        <v>4491</v>
      </c>
      <c r="D4402" s="28" t="s">
        <v>7132</v>
      </c>
      <c r="E4402" s="28" t="s">
        <v>17388</v>
      </c>
      <c r="F4402" s="28" t="s">
        <v>21</v>
      </c>
      <c r="G4402" s="28" t="s">
        <v>39</v>
      </c>
      <c r="H4402" s="28" t="s">
        <v>16221</v>
      </c>
      <c r="I4402" s="28" t="s">
        <v>22910</v>
      </c>
      <c r="J4402" s="28" t="s">
        <v>39</v>
      </c>
      <c r="K4402" s="28" t="s">
        <v>16223</v>
      </c>
      <c r="L4402" s="28" t="s">
        <v>16224</v>
      </c>
      <c r="M4402" s="28" t="s">
        <v>19119</v>
      </c>
      <c r="N4402" s="28" t="s">
        <v>16226</v>
      </c>
      <c r="O4402" s="28" t="s">
        <v>16227</v>
      </c>
      <c r="P4402" s="28" t="s">
        <v>21767</v>
      </c>
    </row>
    <row r="4403" spans="1:16" x14ac:dyDescent="0.25">
      <c r="A4403" s="28" t="s">
        <v>22911</v>
      </c>
      <c r="B4403" s="28" t="s">
        <v>22912</v>
      </c>
      <c r="C4403" s="28" t="s">
        <v>4491</v>
      </c>
      <c r="D4403" s="28" t="s">
        <v>7132</v>
      </c>
      <c r="E4403" s="28" t="s">
        <v>17388</v>
      </c>
      <c r="F4403" s="28" t="s">
        <v>21</v>
      </c>
      <c r="G4403" s="28" t="s">
        <v>39</v>
      </c>
      <c r="H4403" s="28" t="s">
        <v>16221</v>
      </c>
      <c r="I4403" s="28" t="s">
        <v>22913</v>
      </c>
      <c r="J4403" s="28" t="s">
        <v>39</v>
      </c>
      <c r="K4403" s="28" t="s">
        <v>16223</v>
      </c>
      <c r="L4403" s="28" t="s">
        <v>16224</v>
      </c>
      <c r="M4403" s="28" t="s">
        <v>19123</v>
      </c>
      <c r="N4403" s="28" t="s">
        <v>16226</v>
      </c>
      <c r="O4403" s="28" t="s">
        <v>16227</v>
      </c>
      <c r="P4403" s="28" t="s">
        <v>21767</v>
      </c>
    </row>
    <row r="4404" spans="1:16" x14ac:dyDescent="0.25">
      <c r="A4404" s="28" t="s">
        <v>22914</v>
      </c>
      <c r="B4404" s="28" t="s">
        <v>22915</v>
      </c>
      <c r="C4404" s="28" t="s">
        <v>4491</v>
      </c>
      <c r="D4404" s="28" t="s">
        <v>7132</v>
      </c>
      <c r="E4404" s="28" t="s">
        <v>17388</v>
      </c>
      <c r="F4404" s="28" t="s">
        <v>21</v>
      </c>
      <c r="G4404" s="28" t="s">
        <v>39</v>
      </c>
      <c r="H4404" s="28" t="s">
        <v>16221</v>
      </c>
      <c r="I4404" s="28" t="s">
        <v>22916</v>
      </c>
      <c r="J4404" s="28" t="s">
        <v>39</v>
      </c>
      <c r="K4404" s="28" t="s">
        <v>16223</v>
      </c>
      <c r="L4404" s="28" t="s">
        <v>16224</v>
      </c>
      <c r="M4404" s="28" t="s">
        <v>19127</v>
      </c>
      <c r="N4404" s="28" t="s">
        <v>16226</v>
      </c>
      <c r="O4404" s="28" t="s">
        <v>16227</v>
      </c>
      <c r="P4404" s="28" t="s">
        <v>21767</v>
      </c>
    </row>
    <row r="4405" spans="1:16" x14ac:dyDescent="0.25">
      <c r="A4405" s="28" t="s">
        <v>22917</v>
      </c>
      <c r="B4405" s="28" t="s">
        <v>22918</v>
      </c>
      <c r="C4405" s="28" t="s">
        <v>4491</v>
      </c>
      <c r="D4405" s="28" t="s">
        <v>7132</v>
      </c>
      <c r="E4405" s="28" t="s">
        <v>17388</v>
      </c>
      <c r="F4405" s="28" t="s">
        <v>21</v>
      </c>
      <c r="G4405" s="28" t="s">
        <v>39</v>
      </c>
      <c r="H4405" s="28" t="s">
        <v>16221</v>
      </c>
      <c r="I4405" s="28" t="s">
        <v>22919</v>
      </c>
      <c r="J4405" s="28" t="s">
        <v>39</v>
      </c>
      <c r="K4405" s="28" t="s">
        <v>16223</v>
      </c>
      <c r="L4405" s="28" t="s">
        <v>16224</v>
      </c>
      <c r="M4405" s="28" t="s">
        <v>19131</v>
      </c>
      <c r="N4405" s="28" t="s">
        <v>16226</v>
      </c>
      <c r="O4405" s="28" t="s">
        <v>16227</v>
      </c>
      <c r="P4405" s="28" t="s">
        <v>21767</v>
      </c>
    </row>
    <row r="4406" spans="1:16" x14ac:dyDescent="0.25">
      <c r="A4406" s="28" t="s">
        <v>22920</v>
      </c>
      <c r="B4406" s="28" t="s">
        <v>22921</v>
      </c>
      <c r="C4406" s="28" t="s">
        <v>4491</v>
      </c>
      <c r="D4406" s="28" t="s">
        <v>7132</v>
      </c>
      <c r="E4406" s="28" t="s">
        <v>17388</v>
      </c>
      <c r="F4406" s="28" t="s">
        <v>21</v>
      </c>
      <c r="G4406" s="28" t="s">
        <v>39</v>
      </c>
      <c r="H4406" s="28" t="s">
        <v>16221</v>
      </c>
      <c r="I4406" s="28" t="s">
        <v>22922</v>
      </c>
      <c r="J4406" s="28" t="s">
        <v>39</v>
      </c>
      <c r="K4406" s="28" t="s">
        <v>16223</v>
      </c>
      <c r="L4406" s="28" t="s">
        <v>16224</v>
      </c>
      <c r="M4406" s="28" t="s">
        <v>19135</v>
      </c>
      <c r="N4406" s="28" t="s">
        <v>16226</v>
      </c>
      <c r="O4406" s="28" t="s">
        <v>16227</v>
      </c>
      <c r="P4406" s="28" t="s">
        <v>21767</v>
      </c>
    </row>
    <row r="4407" spans="1:16" x14ac:dyDescent="0.25">
      <c r="A4407" s="28" t="s">
        <v>22923</v>
      </c>
      <c r="B4407" s="28" t="s">
        <v>22924</v>
      </c>
      <c r="C4407" s="28" t="s">
        <v>4491</v>
      </c>
      <c r="D4407" s="28" t="s">
        <v>7132</v>
      </c>
      <c r="E4407" s="28" t="s">
        <v>17388</v>
      </c>
      <c r="F4407" s="28" t="s">
        <v>21</v>
      </c>
      <c r="G4407" s="28" t="s">
        <v>39</v>
      </c>
      <c r="H4407" s="28" t="s">
        <v>16221</v>
      </c>
      <c r="I4407" s="28" t="s">
        <v>22925</v>
      </c>
      <c r="J4407" s="28" t="s">
        <v>39</v>
      </c>
      <c r="K4407" s="28" t="s">
        <v>16223</v>
      </c>
      <c r="L4407" s="28" t="s">
        <v>16224</v>
      </c>
      <c r="M4407" s="28" t="s">
        <v>19139</v>
      </c>
      <c r="N4407" s="28" t="s">
        <v>16226</v>
      </c>
      <c r="O4407" s="28" t="s">
        <v>16227</v>
      </c>
      <c r="P4407" s="28" t="s">
        <v>21767</v>
      </c>
    </row>
    <row r="4408" spans="1:16" x14ac:dyDescent="0.25">
      <c r="A4408" s="28" t="s">
        <v>22926</v>
      </c>
      <c r="B4408" s="28" t="s">
        <v>22927</v>
      </c>
      <c r="C4408" s="28" t="s">
        <v>4491</v>
      </c>
      <c r="D4408" s="28" t="s">
        <v>7132</v>
      </c>
      <c r="E4408" s="28" t="s">
        <v>17388</v>
      </c>
      <c r="F4408" s="28" t="s">
        <v>21</v>
      </c>
      <c r="G4408" s="28" t="s">
        <v>39</v>
      </c>
      <c r="H4408" s="28" t="s">
        <v>16221</v>
      </c>
      <c r="I4408" s="28" t="s">
        <v>22928</v>
      </c>
      <c r="J4408" s="28" t="s">
        <v>39</v>
      </c>
      <c r="K4408" s="28" t="s">
        <v>16223</v>
      </c>
      <c r="L4408" s="28" t="s">
        <v>16224</v>
      </c>
      <c r="M4408" s="28" t="s">
        <v>19143</v>
      </c>
      <c r="N4408" s="28" t="s">
        <v>16226</v>
      </c>
      <c r="O4408" s="28" t="s">
        <v>16227</v>
      </c>
      <c r="P4408" s="28" t="s">
        <v>21767</v>
      </c>
    </row>
    <row r="4409" spans="1:16" x14ac:dyDescent="0.25">
      <c r="A4409" s="28" t="s">
        <v>22929</v>
      </c>
      <c r="B4409" s="28" t="s">
        <v>22930</v>
      </c>
      <c r="C4409" s="28" t="s">
        <v>4491</v>
      </c>
      <c r="D4409" s="28" t="s">
        <v>7132</v>
      </c>
      <c r="E4409" s="28" t="s">
        <v>17388</v>
      </c>
      <c r="F4409" s="28" t="s">
        <v>21</v>
      </c>
      <c r="G4409" s="28" t="s">
        <v>39</v>
      </c>
      <c r="H4409" s="28" t="s">
        <v>16221</v>
      </c>
      <c r="I4409" s="28" t="s">
        <v>22931</v>
      </c>
      <c r="J4409" s="28" t="s">
        <v>39</v>
      </c>
      <c r="K4409" s="28" t="s">
        <v>16223</v>
      </c>
      <c r="L4409" s="28" t="s">
        <v>16224</v>
      </c>
      <c r="M4409" s="28" t="s">
        <v>19147</v>
      </c>
      <c r="N4409" s="28" t="s">
        <v>16226</v>
      </c>
      <c r="O4409" s="28" t="s">
        <v>16227</v>
      </c>
      <c r="P4409" s="28" t="s">
        <v>21767</v>
      </c>
    </row>
    <row r="4410" spans="1:16" x14ac:dyDescent="0.25">
      <c r="A4410" s="28" t="s">
        <v>22932</v>
      </c>
      <c r="B4410" s="28" t="s">
        <v>22933</v>
      </c>
      <c r="C4410" s="28" t="s">
        <v>4491</v>
      </c>
      <c r="D4410" s="28" t="s">
        <v>7132</v>
      </c>
      <c r="E4410" s="28" t="s">
        <v>17388</v>
      </c>
      <c r="F4410" s="28" t="s">
        <v>21</v>
      </c>
      <c r="G4410" s="28" t="s">
        <v>39</v>
      </c>
      <c r="H4410" s="28" t="s">
        <v>16221</v>
      </c>
      <c r="I4410" s="28" t="s">
        <v>22934</v>
      </c>
      <c r="J4410" s="28" t="s">
        <v>39</v>
      </c>
      <c r="K4410" s="28" t="s">
        <v>16223</v>
      </c>
      <c r="L4410" s="28" t="s">
        <v>16224</v>
      </c>
      <c r="M4410" s="28" t="s">
        <v>19151</v>
      </c>
      <c r="N4410" s="28" t="s">
        <v>16226</v>
      </c>
      <c r="O4410" s="28" t="s">
        <v>16227</v>
      </c>
      <c r="P4410" s="28" t="s">
        <v>21767</v>
      </c>
    </row>
    <row r="4411" spans="1:16" x14ac:dyDescent="0.25">
      <c r="A4411" s="28" t="s">
        <v>22935</v>
      </c>
      <c r="B4411" s="28" t="s">
        <v>22936</v>
      </c>
      <c r="C4411" s="28" t="s">
        <v>4491</v>
      </c>
      <c r="D4411" s="28" t="s">
        <v>7132</v>
      </c>
      <c r="E4411" s="28" t="s">
        <v>17388</v>
      </c>
      <c r="F4411" s="28" t="s">
        <v>21</v>
      </c>
      <c r="G4411" s="28" t="s">
        <v>39</v>
      </c>
      <c r="H4411" s="28" t="s">
        <v>16221</v>
      </c>
      <c r="I4411" s="28" t="s">
        <v>22937</v>
      </c>
      <c r="J4411" s="28" t="s">
        <v>39</v>
      </c>
      <c r="K4411" s="28" t="s">
        <v>16223</v>
      </c>
      <c r="L4411" s="28" t="s">
        <v>16224</v>
      </c>
      <c r="M4411" s="28" t="s">
        <v>19155</v>
      </c>
      <c r="N4411" s="28" t="s">
        <v>16226</v>
      </c>
      <c r="O4411" s="28" t="s">
        <v>16227</v>
      </c>
      <c r="P4411" s="28" t="s">
        <v>21767</v>
      </c>
    </row>
    <row r="4412" spans="1:16" x14ac:dyDescent="0.25">
      <c r="A4412" s="28" t="s">
        <v>22938</v>
      </c>
      <c r="B4412" s="28" t="s">
        <v>22939</v>
      </c>
      <c r="C4412" s="28" t="s">
        <v>4491</v>
      </c>
      <c r="D4412" s="28" t="s">
        <v>7132</v>
      </c>
      <c r="E4412" s="28" t="s">
        <v>17388</v>
      </c>
      <c r="F4412" s="28" t="s">
        <v>21</v>
      </c>
      <c r="G4412" s="28" t="s">
        <v>39</v>
      </c>
      <c r="H4412" s="28" t="s">
        <v>16221</v>
      </c>
      <c r="I4412" s="28" t="s">
        <v>22940</v>
      </c>
      <c r="J4412" s="28" t="s">
        <v>39</v>
      </c>
      <c r="K4412" s="28" t="s">
        <v>16223</v>
      </c>
      <c r="L4412" s="28" t="s">
        <v>16224</v>
      </c>
      <c r="M4412" s="28" t="s">
        <v>19159</v>
      </c>
      <c r="N4412" s="28" t="s">
        <v>16226</v>
      </c>
      <c r="O4412" s="28" t="s">
        <v>16227</v>
      </c>
      <c r="P4412" s="28" t="s">
        <v>21767</v>
      </c>
    </row>
    <row r="4413" spans="1:16" x14ac:dyDescent="0.25">
      <c r="A4413" s="28" t="s">
        <v>22941</v>
      </c>
      <c r="B4413" s="28" t="s">
        <v>22942</v>
      </c>
      <c r="C4413" s="28" t="s">
        <v>4491</v>
      </c>
      <c r="D4413" s="28" t="s">
        <v>6454</v>
      </c>
      <c r="E4413" s="28" t="s">
        <v>17394</v>
      </c>
      <c r="F4413" s="28" t="s">
        <v>21</v>
      </c>
      <c r="G4413" s="28" t="s">
        <v>39</v>
      </c>
      <c r="H4413" s="28" t="s">
        <v>16221</v>
      </c>
      <c r="I4413" s="28" t="s">
        <v>22943</v>
      </c>
      <c r="J4413" s="28" t="s">
        <v>39</v>
      </c>
      <c r="K4413" s="28" t="s">
        <v>16223</v>
      </c>
      <c r="L4413" s="28" t="s">
        <v>16224</v>
      </c>
      <c r="M4413" s="28" t="s">
        <v>19163</v>
      </c>
      <c r="N4413" s="28" t="s">
        <v>16226</v>
      </c>
      <c r="O4413" s="28" t="s">
        <v>16227</v>
      </c>
      <c r="P4413" s="28" t="s">
        <v>21771</v>
      </c>
    </row>
    <row r="4414" spans="1:16" x14ac:dyDescent="0.25">
      <c r="A4414" s="28" t="s">
        <v>22944</v>
      </c>
      <c r="B4414" s="28" t="s">
        <v>22945</v>
      </c>
      <c r="C4414" s="28" t="s">
        <v>4491</v>
      </c>
      <c r="D4414" s="28" t="s">
        <v>6454</v>
      </c>
      <c r="E4414" s="28" t="s">
        <v>17394</v>
      </c>
      <c r="F4414" s="28" t="s">
        <v>21</v>
      </c>
      <c r="G4414" s="28" t="s">
        <v>39</v>
      </c>
      <c r="H4414" s="28" t="s">
        <v>16221</v>
      </c>
      <c r="I4414" s="28" t="s">
        <v>22946</v>
      </c>
      <c r="J4414" s="28" t="s">
        <v>39</v>
      </c>
      <c r="K4414" s="28" t="s">
        <v>16223</v>
      </c>
      <c r="L4414" s="28" t="s">
        <v>16224</v>
      </c>
      <c r="M4414" s="28" t="s">
        <v>19167</v>
      </c>
      <c r="N4414" s="28" t="s">
        <v>16226</v>
      </c>
      <c r="O4414" s="28" t="s">
        <v>16227</v>
      </c>
      <c r="P4414" s="28" t="s">
        <v>21771</v>
      </c>
    </row>
    <row r="4415" spans="1:16" x14ac:dyDescent="0.25">
      <c r="A4415" s="28" t="s">
        <v>22947</v>
      </c>
      <c r="B4415" s="28" t="s">
        <v>22948</v>
      </c>
      <c r="C4415" s="28" t="s">
        <v>4491</v>
      </c>
      <c r="D4415" s="28" t="s">
        <v>6454</v>
      </c>
      <c r="E4415" s="28" t="s">
        <v>17394</v>
      </c>
      <c r="F4415" s="28" t="s">
        <v>21</v>
      </c>
      <c r="G4415" s="28" t="s">
        <v>39</v>
      </c>
      <c r="H4415" s="28" t="s">
        <v>16221</v>
      </c>
      <c r="I4415" s="28" t="s">
        <v>22949</v>
      </c>
      <c r="J4415" s="28" t="s">
        <v>39</v>
      </c>
      <c r="K4415" s="28" t="s">
        <v>16223</v>
      </c>
      <c r="L4415" s="28" t="s">
        <v>16224</v>
      </c>
      <c r="M4415" s="28" t="s">
        <v>19171</v>
      </c>
      <c r="N4415" s="28" t="s">
        <v>16226</v>
      </c>
      <c r="O4415" s="28" t="s">
        <v>16227</v>
      </c>
      <c r="P4415" s="28" t="s">
        <v>21771</v>
      </c>
    </row>
    <row r="4416" spans="1:16" x14ac:dyDescent="0.25">
      <c r="A4416" s="28" t="s">
        <v>22950</v>
      </c>
      <c r="B4416" s="28" t="s">
        <v>22951</v>
      </c>
      <c r="C4416" s="28" t="s">
        <v>4491</v>
      </c>
      <c r="D4416" s="28" t="s">
        <v>6454</v>
      </c>
      <c r="E4416" s="28" t="s">
        <v>17400</v>
      </c>
      <c r="F4416" s="28" t="s">
        <v>21</v>
      </c>
      <c r="G4416" s="28" t="s">
        <v>39</v>
      </c>
      <c r="H4416" s="28" t="s">
        <v>16221</v>
      </c>
      <c r="I4416" s="28" t="s">
        <v>22952</v>
      </c>
      <c r="J4416" s="28" t="s">
        <v>39</v>
      </c>
      <c r="K4416" s="28" t="s">
        <v>16223</v>
      </c>
      <c r="L4416" s="28" t="s">
        <v>16224</v>
      </c>
      <c r="M4416" s="28" t="s">
        <v>19175</v>
      </c>
      <c r="N4416" s="28" t="s">
        <v>16226</v>
      </c>
      <c r="O4416" s="28" t="s">
        <v>16227</v>
      </c>
      <c r="P4416" s="28" t="s">
        <v>21775</v>
      </c>
    </row>
    <row r="4417" spans="1:16" x14ac:dyDescent="0.25">
      <c r="A4417" s="28" t="s">
        <v>22953</v>
      </c>
      <c r="B4417" s="28" t="s">
        <v>22954</v>
      </c>
      <c r="C4417" s="28" t="s">
        <v>4491</v>
      </c>
      <c r="D4417" s="28" t="s">
        <v>6454</v>
      </c>
      <c r="E4417" s="28" t="s">
        <v>17400</v>
      </c>
      <c r="F4417" s="28" t="s">
        <v>21</v>
      </c>
      <c r="G4417" s="28" t="s">
        <v>39</v>
      </c>
      <c r="H4417" s="28" t="s">
        <v>16221</v>
      </c>
      <c r="I4417" s="28" t="s">
        <v>22955</v>
      </c>
      <c r="J4417" s="28" t="s">
        <v>39</v>
      </c>
      <c r="K4417" s="28" t="s">
        <v>16223</v>
      </c>
      <c r="L4417" s="28" t="s">
        <v>16224</v>
      </c>
      <c r="M4417" s="28" t="s">
        <v>19179</v>
      </c>
      <c r="N4417" s="28" t="s">
        <v>16226</v>
      </c>
      <c r="O4417" s="28" t="s">
        <v>16227</v>
      </c>
      <c r="P4417" s="28" t="s">
        <v>21775</v>
      </c>
    </row>
    <row r="4418" spans="1:16" x14ac:dyDescent="0.25">
      <c r="A4418" s="28" t="s">
        <v>22956</v>
      </c>
      <c r="B4418" s="28" t="s">
        <v>22957</v>
      </c>
      <c r="C4418" s="28" t="s">
        <v>4491</v>
      </c>
      <c r="D4418" s="28" t="s">
        <v>6454</v>
      </c>
      <c r="E4418" s="28" t="s">
        <v>17400</v>
      </c>
      <c r="F4418" s="28" t="s">
        <v>21</v>
      </c>
      <c r="G4418" s="28" t="s">
        <v>39</v>
      </c>
      <c r="H4418" s="28" t="s">
        <v>16221</v>
      </c>
      <c r="I4418" s="28" t="s">
        <v>22958</v>
      </c>
      <c r="J4418" s="28" t="s">
        <v>39</v>
      </c>
      <c r="K4418" s="28" t="s">
        <v>16223</v>
      </c>
      <c r="L4418" s="28" t="s">
        <v>16224</v>
      </c>
      <c r="M4418" s="28" t="s">
        <v>19183</v>
      </c>
      <c r="N4418" s="28" t="s">
        <v>16226</v>
      </c>
      <c r="O4418" s="28" t="s">
        <v>16227</v>
      </c>
      <c r="P4418" s="28" t="s">
        <v>21775</v>
      </c>
    </row>
    <row r="4419" spans="1:16" x14ac:dyDescent="0.25">
      <c r="A4419" s="28" t="s">
        <v>22959</v>
      </c>
      <c r="B4419" s="28" t="s">
        <v>22960</v>
      </c>
      <c r="C4419" s="28" t="s">
        <v>4491</v>
      </c>
      <c r="D4419" s="28" t="s">
        <v>6454</v>
      </c>
      <c r="E4419" s="28" t="s">
        <v>17406</v>
      </c>
      <c r="F4419" s="28" t="s">
        <v>21</v>
      </c>
      <c r="G4419" s="28" t="s">
        <v>39</v>
      </c>
      <c r="H4419" s="28" t="s">
        <v>16221</v>
      </c>
      <c r="I4419" s="28" t="s">
        <v>22961</v>
      </c>
      <c r="J4419" s="28" t="s">
        <v>39</v>
      </c>
      <c r="K4419" s="28" t="s">
        <v>16223</v>
      </c>
      <c r="L4419" s="28" t="s">
        <v>16224</v>
      </c>
      <c r="M4419" s="28" t="s">
        <v>19187</v>
      </c>
      <c r="N4419" s="28" t="s">
        <v>16226</v>
      </c>
      <c r="O4419" s="28" t="s">
        <v>16227</v>
      </c>
      <c r="P4419" s="28" t="s">
        <v>21779</v>
      </c>
    </row>
    <row r="4420" spans="1:16" x14ac:dyDescent="0.25">
      <c r="A4420" s="28" t="s">
        <v>22962</v>
      </c>
      <c r="B4420" s="28" t="s">
        <v>22963</v>
      </c>
      <c r="C4420" s="28" t="s">
        <v>4491</v>
      </c>
      <c r="D4420" s="28" t="s">
        <v>6454</v>
      </c>
      <c r="E4420" s="28" t="s">
        <v>17406</v>
      </c>
      <c r="F4420" s="28" t="s">
        <v>21</v>
      </c>
      <c r="G4420" s="28" t="s">
        <v>39</v>
      </c>
      <c r="H4420" s="28" t="s">
        <v>16221</v>
      </c>
      <c r="I4420" s="28" t="s">
        <v>22964</v>
      </c>
      <c r="J4420" s="28" t="s">
        <v>39</v>
      </c>
      <c r="K4420" s="28" t="s">
        <v>16223</v>
      </c>
      <c r="L4420" s="28" t="s">
        <v>16224</v>
      </c>
      <c r="M4420" s="28" t="s">
        <v>19191</v>
      </c>
      <c r="N4420" s="28" t="s">
        <v>16226</v>
      </c>
      <c r="O4420" s="28" t="s">
        <v>16227</v>
      </c>
      <c r="P4420" s="28" t="s">
        <v>21779</v>
      </c>
    </row>
    <row r="4421" spans="1:16" x14ac:dyDescent="0.25">
      <c r="A4421" s="28" t="s">
        <v>22965</v>
      </c>
      <c r="B4421" s="28" t="s">
        <v>22966</v>
      </c>
      <c r="C4421" s="28" t="s">
        <v>4491</v>
      </c>
      <c r="D4421" s="28" t="s">
        <v>6454</v>
      </c>
      <c r="E4421" s="28" t="s">
        <v>17406</v>
      </c>
      <c r="F4421" s="28" t="s">
        <v>21</v>
      </c>
      <c r="G4421" s="28" t="s">
        <v>39</v>
      </c>
      <c r="H4421" s="28" t="s">
        <v>16221</v>
      </c>
      <c r="I4421" s="28" t="s">
        <v>22967</v>
      </c>
      <c r="J4421" s="28" t="s">
        <v>39</v>
      </c>
      <c r="K4421" s="28" t="s">
        <v>16223</v>
      </c>
      <c r="L4421" s="28" t="s">
        <v>16224</v>
      </c>
      <c r="M4421" s="28" t="s">
        <v>19195</v>
      </c>
      <c r="N4421" s="28" t="s">
        <v>16226</v>
      </c>
      <c r="O4421" s="28" t="s">
        <v>16227</v>
      </c>
      <c r="P4421" s="28" t="s">
        <v>21779</v>
      </c>
    </row>
    <row r="4422" spans="1:16" x14ac:dyDescent="0.25">
      <c r="A4422" s="28" t="s">
        <v>22968</v>
      </c>
      <c r="B4422" s="28" t="s">
        <v>22969</v>
      </c>
      <c r="C4422" s="28" t="s">
        <v>4491</v>
      </c>
      <c r="D4422" s="28" t="s">
        <v>6454</v>
      </c>
      <c r="E4422" s="28" t="s">
        <v>17412</v>
      </c>
      <c r="F4422" s="28" t="s">
        <v>21</v>
      </c>
      <c r="G4422" s="28" t="s">
        <v>39</v>
      </c>
      <c r="H4422" s="28" t="s">
        <v>16221</v>
      </c>
      <c r="I4422" s="28" t="s">
        <v>22970</v>
      </c>
      <c r="J4422" s="28" t="s">
        <v>39</v>
      </c>
      <c r="K4422" s="28" t="s">
        <v>16223</v>
      </c>
      <c r="L4422" s="28" t="s">
        <v>16224</v>
      </c>
      <c r="M4422" s="28" t="s">
        <v>19199</v>
      </c>
      <c r="N4422" s="28" t="s">
        <v>16226</v>
      </c>
      <c r="O4422" s="28" t="s">
        <v>16227</v>
      </c>
      <c r="P4422" s="28" t="s">
        <v>21783</v>
      </c>
    </row>
    <row r="4423" spans="1:16" x14ac:dyDescent="0.25">
      <c r="A4423" s="28" t="s">
        <v>22971</v>
      </c>
      <c r="B4423" s="28" t="s">
        <v>22972</v>
      </c>
      <c r="C4423" s="28" t="s">
        <v>4491</v>
      </c>
      <c r="D4423" s="28" t="s">
        <v>6454</v>
      </c>
      <c r="E4423" s="28" t="s">
        <v>17412</v>
      </c>
      <c r="F4423" s="28" t="s">
        <v>21</v>
      </c>
      <c r="G4423" s="28" t="s">
        <v>39</v>
      </c>
      <c r="H4423" s="28" t="s">
        <v>16221</v>
      </c>
      <c r="I4423" s="28" t="s">
        <v>22973</v>
      </c>
      <c r="J4423" s="28" t="s">
        <v>39</v>
      </c>
      <c r="K4423" s="28" t="s">
        <v>16223</v>
      </c>
      <c r="L4423" s="28" t="s">
        <v>16224</v>
      </c>
      <c r="M4423" s="28" t="s">
        <v>19203</v>
      </c>
      <c r="N4423" s="28" t="s">
        <v>16226</v>
      </c>
      <c r="O4423" s="28" t="s">
        <v>16227</v>
      </c>
      <c r="P4423" s="28" t="s">
        <v>21783</v>
      </c>
    </row>
    <row r="4424" spans="1:16" x14ac:dyDescent="0.25">
      <c r="A4424" s="28" t="s">
        <v>22974</v>
      </c>
      <c r="B4424" s="28" t="s">
        <v>22975</v>
      </c>
      <c r="C4424" s="28" t="s">
        <v>4491</v>
      </c>
      <c r="D4424" s="28" t="s">
        <v>6454</v>
      </c>
      <c r="E4424" s="28" t="s">
        <v>17412</v>
      </c>
      <c r="F4424" s="28" t="s">
        <v>21</v>
      </c>
      <c r="G4424" s="28" t="s">
        <v>39</v>
      </c>
      <c r="H4424" s="28" t="s">
        <v>16221</v>
      </c>
      <c r="I4424" s="28" t="s">
        <v>22976</v>
      </c>
      <c r="J4424" s="28" t="s">
        <v>39</v>
      </c>
      <c r="K4424" s="28" t="s">
        <v>16223</v>
      </c>
      <c r="L4424" s="28" t="s">
        <v>16224</v>
      </c>
      <c r="M4424" s="28" t="s">
        <v>19207</v>
      </c>
      <c r="N4424" s="28" t="s">
        <v>16226</v>
      </c>
      <c r="O4424" s="28" t="s">
        <v>16227</v>
      </c>
      <c r="P4424" s="28" t="s">
        <v>21783</v>
      </c>
    </row>
    <row r="4425" spans="1:16" x14ac:dyDescent="0.25">
      <c r="A4425" s="28" t="s">
        <v>22977</v>
      </c>
      <c r="B4425" s="28" t="s">
        <v>22978</v>
      </c>
      <c r="C4425" s="28" t="s">
        <v>4491</v>
      </c>
      <c r="D4425" s="28" t="s">
        <v>6454</v>
      </c>
      <c r="E4425" s="28" t="s">
        <v>17418</v>
      </c>
      <c r="F4425" s="28" t="s">
        <v>21</v>
      </c>
      <c r="G4425" s="28" t="s">
        <v>39</v>
      </c>
      <c r="H4425" s="28" t="s">
        <v>16221</v>
      </c>
      <c r="I4425" s="28" t="s">
        <v>22979</v>
      </c>
      <c r="J4425" s="28" t="s">
        <v>39</v>
      </c>
      <c r="K4425" s="28" t="s">
        <v>16223</v>
      </c>
      <c r="L4425" s="28" t="s">
        <v>16224</v>
      </c>
      <c r="M4425" s="28" t="s">
        <v>19211</v>
      </c>
      <c r="N4425" s="28" t="s">
        <v>16226</v>
      </c>
      <c r="O4425" s="28" t="s">
        <v>16227</v>
      </c>
      <c r="P4425" s="28" t="s">
        <v>21787</v>
      </c>
    </row>
    <row r="4426" spans="1:16" x14ac:dyDescent="0.25">
      <c r="A4426" s="28" t="s">
        <v>22980</v>
      </c>
      <c r="B4426" s="28" t="s">
        <v>22981</v>
      </c>
      <c r="C4426" s="28" t="s">
        <v>4491</v>
      </c>
      <c r="D4426" s="28" t="s">
        <v>6454</v>
      </c>
      <c r="E4426" s="28" t="s">
        <v>17418</v>
      </c>
      <c r="F4426" s="28" t="s">
        <v>21</v>
      </c>
      <c r="G4426" s="28" t="s">
        <v>39</v>
      </c>
      <c r="H4426" s="28" t="s">
        <v>16221</v>
      </c>
      <c r="I4426" s="28" t="s">
        <v>22982</v>
      </c>
      <c r="J4426" s="28" t="s">
        <v>39</v>
      </c>
      <c r="K4426" s="28" t="s">
        <v>16223</v>
      </c>
      <c r="L4426" s="28" t="s">
        <v>16224</v>
      </c>
      <c r="M4426" s="28" t="s">
        <v>19215</v>
      </c>
      <c r="N4426" s="28" t="s">
        <v>16226</v>
      </c>
      <c r="O4426" s="28" t="s">
        <v>16227</v>
      </c>
      <c r="P4426" s="28" t="s">
        <v>21787</v>
      </c>
    </row>
    <row r="4427" spans="1:16" x14ac:dyDescent="0.25">
      <c r="A4427" s="28" t="s">
        <v>22983</v>
      </c>
      <c r="B4427" s="28" t="s">
        <v>22984</v>
      </c>
      <c r="C4427" s="28" t="s">
        <v>4491</v>
      </c>
      <c r="D4427" s="28" t="s">
        <v>6454</v>
      </c>
      <c r="E4427" s="28" t="s">
        <v>17418</v>
      </c>
      <c r="F4427" s="28" t="s">
        <v>21</v>
      </c>
      <c r="G4427" s="28" t="s">
        <v>39</v>
      </c>
      <c r="H4427" s="28" t="s">
        <v>16221</v>
      </c>
      <c r="I4427" s="28" t="s">
        <v>22985</v>
      </c>
      <c r="J4427" s="28" t="s">
        <v>39</v>
      </c>
      <c r="K4427" s="28" t="s">
        <v>16223</v>
      </c>
      <c r="L4427" s="28" t="s">
        <v>16224</v>
      </c>
      <c r="M4427" s="28" t="s">
        <v>19219</v>
      </c>
      <c r="N4427" s="28" t="s">
        <v>16226</v>
      </c>
      <c r="O4427" s="28" t="s">
        <v>16227</v>
      </c>
      <c r="P4427" s="28" t="s">
        <v>21787</v>
      </c>
    </row>
    <row r="4428" spans="1:16" x14ac:dyDescent="0.25">
      <c r="A4428" s="28" t="s">
        <v>22986</v>
      </c>
      <c r="B4428" s="28" t="s">
        <v>22987</v>
      </c>
      <c r="C4428" s="28" t="s">
        <v>4491</v>
      </c>
      <c r="D4428" s="28" t="s">
        <v>6454</v>
      </c>
      <c r="E4428" s="28" t="s">
        <v>17424</v>
      </c>
      <c r="F4428" s="28" t="s">
        <v>21</v>
      </c>
      <c r="G4428" s="28" t="s">
        <v>39</v>
      </c>
      <c r="H4428" s="28" t="s">
        <v>16221</v>
      </c>
      <c r="I4428" s="28" t="s">
        <v>22988</v>
      </c>
      <c r="J4428" s="28" t="s">
        <v>39</v>
      </c>
      <c r="K4428" s="28" t="s">
        <v>16223</v>
      </c>
      <c r="L4428" s="28" t="s">
        <v>16224</v>
      </c>
      <c r="M4428" s="28" t="s">
        <v>19223</v>
      </c>
      <c r="N4428" s="28" t="s">
        <v>16226</v>
      </c>
      <c r="O4428" s="28" t="s">
        <v>16227</v>
      </c>
      <c r="P4428" s="28" t="s">
        <v>21791</v>
      </c>
    </row>
    <row r="4429" spans="1:16" x14ac:dyDescent="0.25">
      <c r="A4429" s="28" t="s">
        <v>22989</v>
      </c>
      <c r="B4429" s="28" t="s">
        <v>22990</v>
      </c>
      <c r="C4429" s="28" t="s">
        <v>4491</v>
      </c>
      <c r="D4429" s="28" t="s">
        <v>6454</v>
      </c>
      <c r="E4429" s="28" t="s">
        <v>17424</v>
      </c>
      <c r="F4429" s="28" t="s">
        <v>21</v>
      </c>
      <c r="G4429" s="28" t="s">
        <v>39</v>
      </c>
      <c r="H4429" s="28" t="s">
        <v>16221</v>
      </c>
      <c r="I4429" s="28" t="s">
        <v>22991</v>
      </c>
      <c r="J4429" s="28" t="s">
        <v>39</v>
      </c>
      <c r="K4429" s="28" t="s">
        <v>16223</v>
      </c>
      <c r="L4429" s="28" t="s">
        <v>16224</v>
      </c>
      <c r="M4429" s="28" t="s">
        <v>19227</v>
      </c>
      <c r="N4429" s="28" t="s">
        <v>16226</v>
      </c>
      <c r="O4429" s="28" t="s">
        <v>16227</v>
      </c>
      <c r="P4429" s="28" t="s">
        <v>21791</v>
      </c>
    </row>
    <row r="4430" spans="1:16" x14ac:dyDescent="0.25">
      <c r="A4430" s="28" t="s">
        <v>22992</v>
      </c>
      <c r="B4430" s="28" t="s">
        <v>22993</v>
      </c>
      <c r="C4430" s="28" t="s">
        <v>4491</v>
      </c>
      <c r="D4430" s="28" t="s">
        <v>6454</v>
      </c>
      <c r="E4430" s="28" t="s">
        <v>17424</v>
      </c>
      <c r="F4430" s="28" t="s">
        <v>21</v>
      </c>
      <c r="G4430" s="28" t="s">
        <v>39</v>
      </c>
      <c r="H4430" s="28" t="s">
        <v>16221</v>
      </c>
      <c r="I4430" s="28" t="s">
        <v>22994</v>
      </c>
      <c r="J4430" s="28" t="s">
        <v>39</v>
      </c>
      <c r="K4430" s="28" t="s">
        <v>16223</v>
      </c>
      <c r="L4430" s="28" t="s">
        <v>16224</v>
      </c>
      <c r="M4430" s="28" t="s">
        <v>19231</v>
      </c>
      <c r="N4430" s="28" t="s">
        <v>16226</v>
      </c>
      <c r="O4430" s="28" t="s">
        <v>16227</v>
      </c>
      <c r="P4430" s="28" t="s">
        <v>21791</v>
      </c>
    </row>
    <row r="4431" spans="1:16" x14ac:dyDescent="0.25">
      <c r="A4431" s="28" t="s">
        <v>22995</v>
      </c>
      <c r="B4431" s="28" t="s">
        <v>22996</v>
      </c>
      <c r="C4431" s="28" t="s">
        <v>4491</v>
      </c>
      <c r="D4431" s="28" t="s">
        <v>6454</v>
      </c>
      <c r="E4431" s="28" t="s">
        <v>17430</v>
      </c>
      <c r="F4431" s="28" t="s">
        <v>21</v>
      </c>
      <c r="G4431" s="28" t="s">
        <v>39</v>
      </c>
      <c r="H4431" s="28" t="s">
        <v>16221</v>
      </c>
      <c r="I4431" s="28" t="s">
        <v>22997</v>
      </c>
      <c r="J4431" s="28" t="s">
        <v>39</v>
      </c>
      <c r="K4431" s="28" t="s">
        <v>16223</v>
      </c>
      <c r="L4431" s="28" t="s">
        <v>16224</v>
      </c>
      <c r="M4431" s="28" t="s">
        <v>19235</v>
      </c>
      <c r="N4431" s="28" t="s">
        <v>16226</v>
      </c>
      <c r="O4431" s="28" t="s">
        <v>16227</v>
      </c>
      <c r="P4431" s="28" t="s">
        <v>21795</v>
      </c>
    </row>
    <row r="4432" spans="1:16" x14ac:dyDescent="0.25">
      <c r="A4432" s="28" t="s">
        <v>22998</v>
      </c>
      <c r="B4432" s="28" t="s">
        <v>22999</v>
      </c>
      <c r="C4432" s="28" t="s">
        <v>4491</v>
      </c>
      <c r="D4432" s="28" t="s">
        <v>6454</v>
      </c>
      <c r="E4432" s="28" t="s">
        <v>17430</v>
      </c>
      <c r="F4432" s="28" t="s">
        <v>21</v>
      </c>
      <c r="G4432" s="28" t="s">
        <v>39</v>
      </c>
      <c r="H4432" s="28" t="s">
        <v>16221</v>
      </c>
      <c r="I4432" s="28" t="s">
        <v>23000</v>
      </c>
      <c r="J4432" s="28" t="s">
        <v>39</v>
      </c>
      <c r="K4432" s="28" t="s">
        <v>16223</v>
      </c>
      <c r="L4432" s="28" t="s">
        <v>16224</v>
      </c>
      <c r="M4432" s="28" t="s">
        <v>19239</v>
      </c>
      <c r="N4432" s="28" t="s">
        <v>16226</v>
      </c>
      <c r="O4432" s="28" t="s">
        <v>16227</v>
      </c>
      <c r="P4432" s="28" t="s">
        <v>21795</v>
      </c>
    </row>
    <row r="4433" spans="1:16" x14ac:dyDescent="0.25">
      <c r="A4433" s="28" t="s">
        <v>23001</v>
      </c>
      <c r="B4433" s="28" t="s">
        <v>23002</v>
      </c>
      <c r="C4433" s="28" t="s">
        <v>4491</v>
      </c>
      <c r="D4433" s="28" t="s">
        <v>6454</v>
      </c>
      <c r="E4433" s="28" t="s">
        <v>17430</v>
      </c>
      <c r="F4433" s="28" t="s">
        <v>21</v>
      </c>
      <c r="G4433" s="28" t="s">
        <v>39</v>
      </c>
      <c r="H4433" s="28" t="s">
        <v>16221</v>
      </c>
      <c r="I4433" s="28" t="s">
        <v>23003</v>
      </c>
      <c r="J4433" s="28" t="s">
        <v>39</v>
      </c>
      <c r="K4433" s="28" t="s">
        <v>16223</v>
      </c>
      <c r="L4433" s="28" t="s">
        <v>16224</v>
      </c>
      <c r="M4433" s="28" t="s">
        <v>19243</v>
      </c>
      <c r="N4433" s="28" t="s">
        <v>16226</v>
      </c>
      <c r="O4433" s="28" t="s">
        <v>16227</v>
      </c>
      <c r="P4433" s="28" t="s">
        <v>21795</v>
      </c>
    </row>
    <row r="4434" spans="1:16" x14ac:dyDescent="0.25">
      <c r="A4434" s="28" t="s">
        <v>23004</v>
      </c>
      <c r="B4434" s="28" t="s">
        <v>23005</v>
      </c>
      <c r="C4434" s="28" t="s">
        <v>4491</v>
      </c>
      <c r="D4434" s="28" t="s">
        <v>6454</v>
      </c>
      <c r="E4434" s="28" t="s">
        <v>17436</v>
      </c>
      <c r="F4434" s="28" t="s">
        <v>21</v>
      </c>
      <c r="G4434" s="28" t="s">
        <v>39</v>
      </c>
      <c r="H4434" s="28" t="s">
        <v>16221</v>
      </c>
      <c r="I4434" s="28" t="s">
        <v>23006</v>
      </c>
      <c r="J4434" s="28" t="s">
        <v>39</v>
      </c>
      <c r="K4434" s="28" t="s">
        <v>16223</v>
      </c>
      <c r="L4434" s="28" t="s">
        <v>16224</v>
      </c>
      <c r="M4434" s="28" t="s">
        <v>19247</v>
      </c>
      <c r="N4434" s="28" t="s">
        <v>16226</v>
      </c>
      <c r="O4434" s="28" t="s">
        <v>16227</v>
      </c>
      <c r="P4434" s="28" t="s">
        <v>21799</v>
      </c>
    </row>
    <row r="4435" spans="1:16" x14ac:dyDescent="0.25">
      <c r="A4435" s="28" t="s">
        <v>23007</v>
      </c>
      <c r="B4435" s="28" t="s">
        <v>23008</v>
      </c>
      <c r="C4435" s="28" t="s">
        <v>4491</v>
      </c>
      <c r="D4435" s="28" t="s">
        <v>6454</v>
      </c>
      <c r="E4435" s="28" t="s">
        <v>17436</v>
      </c>
      <c r="F4435" s="28" t="s">
        <v>21</v>
      </c>
      <c r="G4435" s="28" t="s">
        <v>39</v>
      </c>
      <c r="H4435" s="28" t="s">
        <v>16221</v>
      </c>
      <c r="I4435" s="28" t="s">
        <v>23009</v>
      </c>
      <c r="J4435" s="28" t="s">
        <v>39</v>
      </c>
      <c r="K4435" s="28" t="s">
        <v>16223</v>
      </c>
      <c r="L4435" s="28" t="s">
        <v>16224</v>
      </c>
      <c r="M4435" s="28" t="s">
        <v>19251</v>
      </c>
      <c r="N4435" s="28" t="s">
        <v>16226</v>
      </c>
      <c r="O4435" s="28" t="s">
        <v>16227</v>
      </c>
      <c r="P4435" s="28" t="s">
        <v>21799</v>
      </c>
    </row>
    <row r="4436" spans="1:16" x14ac:dyDescent="0.25">
      <c r="A4436" s="28" t="s">
        <v>23010</v>
      </c>
      <c r="B4436" s="28" t="s">
        <v>23011</v>
      </c>
      <c r="C4436" s="28" t="s">
        <v>4491</v>
      </c>
      <c r="D4436" s="28" t="s">
        <v>6454</v>
      </c>
      <c r="E4436" s="28" t="s">
        <v>17436</v>
      </c>
      <c r="F4436" s="28" t="s">
        <v>21</v>
      </c>
      <c r="G4436" s="28" t="s">
        <v>39</v>
      </c>
      <c r="H4436" s="28" t="s">
        <v>16221</v>
      </c>
      <c r="I4436" s="28" t="s">
        <v>23012</v>
      </c>
      <c r="J4436" s="28" t="s">
        <v>39</v>
      </c>
      <c r="K4436" s="28" t="s">
        <v>16223</v>
      </c>
      <c r="L4436" s="28" t="s">
        <v>16224</v>
      </c>
      <c r="M4436" s="28" t="s">
        <v>19255</v>
      </c>
      <c r="N4436" s="28" t="s">
        <v>16226</v>
      </c>
      <c r="O4436" s="28" t="s">
        <v>16227</v>
      </c>
      <c r="P4436" s="28" t="s">
        <v>21799</v>
      </c>
    </row>
    <row r="4437" spans="1:16" x14ac:dyDescent="0.25">
      <c r="A4437" s="28" t="s">
        <v>23013</v>
      </c>
      <c r="B4437" s="28" t="s">
        <v>23014</v>
      </c>
      <c r="C4437" s="28" t="s">
        <v>4491</v>
      </c>
      <c r="D4437" s="28" t="s">
        <v>6454</v>
      </c>
      <c r="E4437" s="28" t="s">
        <v>17442</v>
      </c>
      <c r="F4437" s="28" t="s">
        <v>21</v>
      </c>
      <c r="G4437" s="28" t="s">
        <v>39</v>
      </c>
      <c r="H4437" s="28" t="s">
        <v>16221</v>
      </c>
      <c r="I4437" s="28" t="s">
        <v>23015</v>
      </c>
      <c r="J4437" s="28" t="s">
        <v>39</v>
      </c>
      <c r="K4437" s="28" t="s">
        <v>16223</v>
      </c>
      <c r="L4437" s="28" t="s">
        <v>16224</v>
      </c>
      <c r="M4437" s="28" t="s">
        <v>19259</v>
      </c>
      <c r="N4437" s="28" t="s">
        <v>16226</v>
      </c>
      <c r="O4437" s="28" t="s">
        <v>16227</v>
      </c>
      <c r="P4437" s="28" t="s">
        <v>21803</v>
      </c>
    </row>
    <row r="4438" spans="1:16" x14ac:dyDescent="0.25">
      <c r="A4438" s="28" t="s">
        <v>23016</v>
      </c>
      <c r="B4438" s="28" t="s">
        <v>23017</v>
      </c>
      <c r="C4438" s="28" t="s">
        <v>4491</v>
      </c>
      <c r="D4438" s="28" t="s">
        <v>6454</v>
      </c>
      <c r="E4438" s="28" t="s">
        <v>17442</v>
      </c>
      <c r="F4438" s="28" t="s">
        <v>21</v>
      </c>
      <c r="G4438" s="28" t="s">
        <v>39</v>
      </c>
      <c r="H4438" s="28" t="s">
        <v>16221</v>
      </c>
      <c r="I4438" s="28" t="s">
        <v>23018</v>
      </c>
      <c r="J4438" s="28" t="s">
        <v>39</v>
      </c>
      <c r="K4438" s="28" t="s">
        <v>16223</v>
      </c>
      <c r="L4438" s="28" t="s">
        <v>16224</v>
      </c>
      <c r="M4438" s="28" t="s">
        <v>19263</v>
      </c>
      <c r="N4438" s="28" t="s">
        <v>16226</v>
      </c>
      <c r="O4438" s="28" t="s">
        <v>16227</v>
      </c>
      <c r="P4438" s="28" t="s">
        <v>21803</v>
      </c>
    </row>
    <row r="4439" spans="1:16" x14ac:dyDescent="0.25">
      <c r="A4439" s="28" t="s">
        <v>23019</v>
      </c>
      <c r="B4439" s="28" t="s">
        <v>23020</v>
      </c>
      <c r="C4439" s="28" t="s">
        <v>4491</v>
      </c>
      <c r="D4439" s="28" t="s">
        <v>6454</v>
      </c>
      <c r="E4439" s="28" t="s">
        <v>17442</v>
      </c>
      <c r="F4439" s="28" t="s">
        <v>21</v>
      </c>
      <c r="G4439" s="28" t="s">
        <v>39</v>
      </c>
      <c r="H4439" s="28" t="s">
        <v>16221</v>
      </c>
      <c r="I4439" s="28" t="s">
        <v>23021</v>
      </c>
      <c r="J4439" s="28" t="s">
        <v>39</v>
      </c>
      <c r="K4439" s="28" t="s">
        <v>16223</v>
      </c>
      <c r="L4439" s="28" t="s">
        <v>16224</v>
      </c>
      <c r="M4439" s="28" t="s">
        <v>19267</v>
      </c>
      <c r="N4439" s="28" t="s">
        <v>16226</v>
      </c>
      <c r="O4439" s="28" t="s">
        <v>16227</v>
      </c>
      <c r="P4439" s="28" t="s">
        <v>21803</v>
      </c>
    </row>
    <row r="4440" spans="1:16" x14ac:dyDescent="0.25">
      <c r="A4440" s="28" t="s">
        <v>23022</v>
      </c>
      <c r="B4440" s="28" t="s">
        <v>23023</v>
      </c>
      <c r="C4440" s="28" t="s">
        <v>4491</v>
      </c>
      <c r="D4440" s="28" t="s">
        <v>6454</v>
      </c>
      <c r="E4440" s="28" t="s">
        <v>17448</v>
      </c>
      <c r="F4440" s="28" t="s">
        <v>21</v>
      </c>
      <c r="G4440" s="28" t="s">
        <v>39</v>
      </c>
      <c r="H4440" s="28" t="s">
        <v>16221</v>
      </c>
      <c r="I4440" s="28" t="s">
        <v>23024</v>
      </c>
      <c r="J4440" s="28" t="s">
        <v>39</v>
      </c>
      <c r="K4440" s="28" t="s">
        <v>16223</v>
      </c>
      <c r="L4440" s="28" t="s">
        <v>16224</v>
      </c>
      <c r="M4440" s="28" t="s">
        <v>19271</v>
      </c>
      <c r="N4440" s="28" t="s">
        <v>16226</v>
      </c>
      <c r="O4440" s="28" t="s">
        <v>16227</v>
      </c>
      <c r="P4440" s="28" t="s">
        <v>21807</v>
      </c>
    </row>
    <row r="4441" spans="1:16" x14ac:dyDescent="0.25">
      <c r="A4441" s="28" t="s">
        <v>23025</v>
      </c>
      <c r="B4441" s="28" t="s">
        <v>23026</v>
      </c>
      <c r="C4441" s="28" t="s">
        <v>4491</v>
      </c>
      <c r="D4441" s="28" t="s">
        <v>6454</v>
      </c>
      <c r="E4441" s="28" t="s">
        <v>17448</v>
      </c>
      <c r="F4441" s="28" t="s">
        <v>21</v>
      </c>
      <c r="G4441" s="28" t="s">
        <v>39</v>
      </c>
      <c r="H4441" s="28" t="s">
        <v>16221</v>
      </c>
      <c r="I4441" s="28" t="s">
        <v>23027</v>
      </c>
      <c r="J4441" s="28" t="s">
        <v>39</v>
      </c>
      <c r="K4441" s="28" t="s">
        <v>16223</v>
      </c>
      <c r="L4441" s="28" t="s">
        <v>16224</v>
      </c>
      <c r="M4441" s="28" t="s">
        <v>19275</v>
      </c>
      <c r="N4441" s="28" t="s">
        <v>16226</v>
      </c>
      <c r="O4441" s="28" t="s">
        <v>16227</v>
      </c>
      <c r="P4441" s="28" t="s">
        <v>21807</v>
      </c>
    </row>
    <row r="4442" spans="1:16" x14ac:dyDescent="0.25">
      <c r="A4442" s="28" t="s">
        <v>23028</v>
      </c>
      <c r="B4442" s="28" t="s">
        <v>23029</v>
      </c>
      <c r="C4442" s="28" t="s">
        <v>4491</v>
      </c>
      <c r="D4442" s="28" t="s">
        <v>6454</v>
      </c>
      <c r="E4442" s="28" t="s">
        <v>17448</v>
      </c>
      <c r="F4442" s="28" t="s">
        <v>21</v>
      </c>
      <c r="G4442" s="28" t="s">
        <v>39</v>
      </c>
      <c r="H4442" s="28" t="s">
        <v>16221</v>
      </c>
      <c r="I4442" s="28" t="s">
        <v>23030</v>
      </c>
      <c r="J4442" s="28" t="s">
        <v>39</v>
      </c>
      <c r="K4442" s="28" t="s">
        <v>16223</v>
      </c>
      <c r="L4442" s="28" t="s">
        <v>16224</v>
      </c>
      <c r="M4442" s="28" t="s">
        <v>19279</v>
      </c>
      <c r="N4442" s="28" t="s">
        <v>16226</v>
      </c>
      <c r="O4442" s="28" t="s">
        <v>16227</v>
      </c>
      <c r="P4442" s="28" t="s">
        <v>21807</v>
      </c>
    </row>
    <row r="4443" spans="1:16" x14ac:dyDescent="0.25">
      <c r="A4443" s="28" t="s">
        <v>23031</v>
      </c>
      <c r="B4443" s="28" t="s">
        <v>23032</v>
      </c>
      <c r="C4443" s="28" t="s">
        <v>4491</v>
      </c>
      <c r="D4443" s="28" t="s">
        <v>6454</v>
      </c>
      <c r="E4443" s="28" t="s">
        <v>17454</v>
      </c>
      <c r="F4443" s="28" t="s">
        <v>21</v>
      </c>
      <c r="G4443" s="28" t="s">
        <v>39</v>
      </c>
      <c r="H4443" s="28" t="s">
        <v>16221</v>
      </c>
      <c r="I4443" s="28" t="s">
        <v>23033</v>
      </c>
      <c r="J4443" s="28" t="s">
        <v>39</v>
      </c>
      <c r="K4443" s="28" t="s">
        <v>16223</v>
      </c>
      <c r="L4443" s="28" t="s">
        <v>16224</v>
      </c>
      <c r="M4443" s="28" t="s">
        <v>19283</v>
      </c>
      <c r="N4443" s="28" t="s">
        <v>16226</v>
      </c>
      <c r="O4443" s="28" t="s">
        <v>16227</v>
      </c>
      <c r="P4443" s="28" t="s">
        <v>21811</v>
      </c>
    </row>
    <row r="4444" spans="1:16" x14ac:dyDescent="0.25">
      <c r="A4444" s="28" t="s">
        <v>23034</v>
      </c>
      <c r="B4444" s="28" t="s">
        <v>23035</v>
      </c>
      <c r="C4444" s="28" t="s">
        <v>4491</v>
      </c>
      <c r="D4444" s="28" t="s">
        <v>6454</v>
      </c>
      <c r="E4444" s="28" t="s">
        <v>17454</v>
      </c>
      <c r="F4444" s="28" t="s">
        <v>21</v>
      </c>
      <c r="G4444" s="28" t="s">
        <v>39</v>
      </c>
      <c r="H4444" s="28" t="s">
        <v>16221</v>
      </c>
      <c r="I4444" s="28" t="s">
        <v>23036</v>
      </c>
      <c r="J4444" s="28" t="s">
        <v>39</v>
      </c>
      <c r="K4444" s="28" t="s">
        <v>16223</v>
      </c>
      <c r="L4444" s="28" t="s">
        <v>16224</v>
      </c>
      <c r="M4444" s="28" t="s">
        <v>19287</v>
      </c>
      <c r="N4444" s="28" t="s">
        <v>16226</v>
      </c>
      <c r="O4444" s="28" t="s">
        <v>16227</v>
      </c>
      <c r="P4444" s="28" t="s">
        <v>21811</v>
      </c>
    </row>
    <row r="4445" spans="1:16" x14ac:dyDescent="0.25">
      <c r="A4445" s="28" t="s">
        <v>23037</v>
      </c>
      <c r="B4445" s="28" t="s">
        <v>23038</v>
      </c>
      <c r="C4445" s="28" t="s">
        <v>4491</v>
      </c>
      <c r="D4445" s="28" t="s">
        <v>6454</v>
      </c>
      <c r="E4445" s="28" t="s">
        <v>17454</v>
      </c>
      <c r="F4445" s="28" t="s">
        <v>21</v>
      </c>
      <c r="G4445" s="28" t="s">
        <v>39</v>
      </c>
      <c r="H4445" s="28" t="s">
        <v>16221</v>
      </c>
      <c r="I4445" s="28" t="s">
        <v>23039</v>
      </c>
      <c r="J4445" s="28" t="s">
        <v>39</v>
      </c>
      <c r="K4445" s="28" t="s">
        <v>16223</v>
      </c>
      <c r="L4445" s="28" t="s">
        <v>16224</v>
      </c>
      <c r="M4445" s="28" t="s">
        <v>19291</v>
      </c>
      <c r="N4445" s="28" t="s">
        <v>16226</v>
      </c>
      <c r="O4445" s="28" t="s">
        <v>16227</v>
      </c>
      <c r="P4445" s="28" t="s">
        <v>21811</v>
      </c>
    </row>
    <row r="4446" spans="1:16" x14ac:dyDescent="0.25">
      <c r="A4446" s="28" t="s">
        <v>23040</v>
      </c>
      <c r="B4446" s="28" t="s">
        <v>23041</v>
      </c>
      <c r="C4446" s="28" t="s">
        <v>4491</v>
      </c>
      <c r="D4446" s="28" t="s">
        <v>6454</v>
      </c>
      <c r="E4446" s="28" t="s">
        <v>17460</v>
      </c>
      <c r="F4446" s="28" t="s">
        <v>21</v>
      </c>
      <c r="G4446" s="28" t="s">
        <v>39</v>
      </c>
      <c r="H4446" s="28" t="s">
        <v>16221</v>
      </c>
      <c r="I4446" s="28" t="s">
        <v>23042</v>
      </c>
      <c r="J4446" s="28" t="s">
        <v>39</v>
      </c>
      <c r="K4446" s="28" t="s">
        <v>16223</v>
      </c>
      <c r="L4446" s="28" t="s">
        <v>16224</v>
      </c>
      <c r="M4446" s="28" t="s">
        <v>19295</v>
      </c>
      <c r="N4446" s="28" t="s">
        <v>16226</v>
      </c>
      <c r="O4446" s="28" t="s">
        <v>16227</v>
      </c>
      <c r="P4446" s="28" t="s">
        <v>21815</v>
      </c>
    </row>
    <row r="4447" spans="1:16" x14ac:dyDescent="0.25">
      <c r="A4447" s="28" t="s">
        <v>23043</v>
      </c>
      <c r="B4447" s="28" t="s">
        <v>23044</v>
      </c>
      <c r="C4447" s="28" t="s">
        <v>4491</v>
      </c>
      <c r="D4447" s="28" t="s">
        <v>6454</v>
      </c>
      <c r="E4447" s="28" t="s">
        <v>17460</v>
      </c>
      <c r="F4447" s="28" t="s">
        <v>21</v>
      </c>
      <c r="G4447" s="28" t="s">
        <v>39</v>
      </c>
      <c r="H4447" s="28" t="s">
        <v>16221</v>
      </c>
      <c r="I4447" s="28" t="s">
        <v>23045</v>
      </c>
      <c r="J4447" s="28" t="s">
        <v>39</v>
      </c>
      <c r="K4447" s="28" t="s">
        <v>16223</v>
      </c>
      <c r="L4447" s="28" t="s">
        <v>16224</v>
      </c>
      <c r="M4447" s="28" t="s">
        <v>19299</v>
      </c>
      <c r="N4447" s="28" t="s">
        <v>16226</v>
      </c>
      <c r="O4447" s="28" t="s">
        <v>16227</v>
      </c>
      <c r="P4447" s="28" t="s">
        <v>21815</v>
      </c>
    </row>
    <row r="4448" spans="1:16" x14ac:dyDescent="0.25">
      <c r="A4448" s="28" t="s">
        <v>23046</v>
      </c>
      <c r="B4448" s="28" t="s">
        <v>23047</v>
      </c>
      <c r="C4448" s="28" t="s">
        <v>4491</v>
      </c>
      <c r="D4448" s="28" t="s">
        <v>6454</v>
      </c>
      <c r="E4448" s="28" t="s">
        <v>17460</v>
      </c>
      <c r="F4448" s="28" t="s">
        <v>21</v>
      </c>
      <c r="G4448" s="28" t="s">
        <v>39</v>
      </c>
      <c r="H4448" s="28" t="s">
        <v>16221</v>
      </c>
      <c r="I4448" s="28" t="s">
        <v>23048</v>
      </c>
      <c r="J4448" s="28" t="s">
        <v>39</v>
      </c>
      <c r="K4448" s="28" t="s">
        <v>16223</v>
      </c>
      <c r="L4448" s="28" t="s">
        <v>16224</v>
      </c>
      <c r="M4448" s="28" t="s">
        <v>19303</v>
      </c>
      <c r="N4448" s="28" t="s">
        <v>16226</v>
      </c>
      <c r="O4448" s="28" t="s">
        <v>16227</v>
      </c>
      <c r="P4448" s="28" t="s">
        <v>21815</v>
      </c>
    </row>
    <row r="4449" spans="1:16" x14ac:dyDescent="0.25">
      <c r="A4449" s="28" t="s">
        <v>23049</v>
      </c>
      <c r="B4449" s="28" t="s">
        <v>23050</v>
      </c>
      <c r="C4449" s="28" t="s">
        <v>4491</v>
      </c>
      <c r="D4449" s="28" t="s">
        <v>6454</v>
      </c>
      <c r="E4449" s="28" t="s">
        <v>17466</v>
      </c>
      <c r="F4449" s="28" t="s">
        <v>21</v>
      </c>
      <c r="G4449" s="28" t="s">
        <v>39</v>
      </c>
      <c r="H4449" s="28" t="s">
        <v>16221</v>
      </c>
      <c r="I4449" s="28" t="s">
        <v>23051</v>
      </c>
      <c r="J4449" s="28" t="s">
        <v>39</v>
      </c>
      <c r="K4449" s="28" t="s">
        <v>16223</v>
      </c>
      <c r="L4449" s="28" t="s">
        <v>16224</v>
      </c>
      <c r="M4449" s="28" t="s">
        <v>19307</v>
      </c>
      <c r="N4449" s="28" t="s">
        <v>16226</v>
      </c>
      <c r="O4449" s="28" t="s">
        <v>16227</v>
      </c>
      <c r="P4449" s="28" t="s">
        <v>21819</v>
      </c>
    </row>
    <row r="4450" spans="1:16" x14ac:dyDescent="0.25">
      <c r="A4450" s="28" t="s">
        <v>23052</v>
      </c>
      <c r="B4450" s="28" t="s">
        <v>23053</v>
      </c>
      <c r="C4450" s="28" t="s">
        <v>4491</v>
      </c>
      <c r="D4450" s="28" t="s">
        <v>6454</v>
      </c>
      <c r="E4450" s="28" t="s">
        <v>17466</v>
      </c>
      <c r="F4450" s="28" t="s">
        <v>21</v>
      </c>
      <c r="G4450" s="28" t="s">
        <v>39</v>
      </c>
      <c r="H4450" s="28" t="s">
        <v>16221</v>
      </c>
      <c r="I4450" s="28" t="s">
        <v>23054</v>
      </c>
      <c r="J4450" s="28" t="s">
        <v>39</v>
      </c>
      <c r="K4450" s="28" t="s">
        <v>16223</v>
      </c>
      <c r="L4450" s="28" t="s">
        <v>16224</v>
      </c>
      <c r="M4450" s="28" t="s">
        <v>19311</v>
      </c>
      <c r="N4450" s="28" t="s">
        <v>16226</v>
      </c>
      <c r="O4450" s="28" t="s">
        <v>16227</v>
      </c>
      <c r="P4450" s="28" t="s">
        <v>21819</v>
      </c>
    </row>
    <row r="4451" spans="1:16" x14ac:dyDescent="0.25">
      <c r="A4451" s="28" t="s">
        <v>23055</v>
      </c>
      <c r="B4451" s="28" t="s">
        <v>23056</v>
      </c>
      <c r="C4451" s="28" t="s">
        <v>4491</v>
      </c>
      <c r="D4451" s="28" t="s">
        <v>6454</v>
      </c>
      <c r="E4451" s="28" t="s">
        <v>17466</v>
      </c>
      <c r="F4451" s="28" t="s">
        <v>21</v>
      </c>
      <c r="G4451" s="28" t="s">
        <v>39</v>
      </c>
      <c r="H4451" s="28" t="s">
        <v>16221</v>
      </c>
      <c r="I4451" s="28" t="s">
        <v>23057</v>
      </c>
      <c r="J4451" s="28" t="s">
        <v>39</v>
      </c>
      <c r="K4451" s="28" t="s">
        <v>16223</v>
      </c>
      <c r="L4451" s="28" t="s">
        <v>16224</v>
      </c>
      <c r="M4451" s="28" t="s">
        <v>19315</v>
      </c>
      <c r="N4451" s="28" t="s">
        <v>16226</v>
      </c>
      <c r="O4451" s="28" t="s">
        <v>16227</v>
      </c>
      <c r="P4451" s="28" t="s">
        <v>21819</v>
      </c>
    </row>
    <row r="4452" spans="1:16" x14ac:dyDescent="0.25">
      <c r="A4452" s="28" t="s">
        <v>23058</v>
      </c>
      <c r="B4452" s="28" t="s">
        <v>23059</v>
      </c>
      <c r="C4452" s="28" t="s">
        <v>4491</v>
      </c>
      <c r="D4452" s="28" t="s">
        <v>6454</v>
      </c>
      <c r="E4452" s="28" t="s">
        <v>17472</v>
      </c>
      <c r="F4452" s="28" t="s">
        <v>21</v>
      </c>
      <c r="G4452" s="28" t="s">
        <v>39</v>
      </c>
      <c r="H4452" s="28" t="s">
        <v>16221</v>
      </c>
      <c r="I4452" s="28" t="s">
        <v>23060</v>
      </c>
      <c r="J4452" s="28" t="s">
        <v>39</v>
      </c>
      <c r="K4452" s="28" t="s">
        <v>16223</v>
      </c>
      <c r="L4452" s="28" t="s">
        <v>16224</v>
      </c>
      <c r="M4452" s="28" t="s">
        <v>19319</v>
      </c>
      <c r="N4452" s="28" t="s">
        <v>16226</v>
      </c>
      <c r="O4452" s="28" t="s">
        <v>16227</v>
      </c>
      <c r="P4452" s="28" t="s">
        <v>21823</v>
      </c>
    </row>
    <row r="4453" spans="1:16" x14ac:dyDescent="0.25">
      <c r="A4453" s="28" t="s">
        <v>23061</v>
      </c>
      <c r="B4453" s="28" t="s">
        <v>23062</v>
      </c>
      <c r="C4453" s="28" t="s">
        <v>4491</v>
      </c>
      <c r="D4453" s="28" t="s">
        <v>6454</v>
      </c>
      <c r="E4453" s="28" t="s">
        <v>17472</v>
      </c>
      <c r="F4453" s="28" t="s">
        <v>21</v>
      </c>
      <c r="G4453" s="28" t="s">
        <v>39</v>
      </c>
      <c r="H4453" s="28" t="s">
        <v>16221</v>
      </c>
      <c r="I4453" s="28" t="s">
        <v>23063</v>
      </c>
      <c r="J4453" s="28" t="s">
        <v>39</v>
      </c>
      <c r="K4453" s="28" t="s">
        <v>16223</v>
      </c>
      <c r="L4453" s="28" t="s">
        <v>16224</v>
      </c>
      <c r="M4453" s="28" t="s">
        <v>19323</v>
      </c>
      <c r="N4453" s="28" t="s">
        <v>16226</v>
      </c>
      <c r="O4453" s="28" t="s">
        <v>16227</v>
      </c>
      <c r="P4453" s="28" t="s">
        <v>21823</v>
      </c>
    </row>
    <row r="4454" spans="1:16" x14ac:dyDescent="0.25">
      <c r="A4454" s="28" t="s">
        <v>23064</v>
      </c>
      <c r="B4454" s="28" t="s">
        <v>23065</v>
      </c>
      <c r="C4454" s="28" t="s">
        <v>4491</v>
      </c>
      <c r="D4454" s="28" t="s">
        <v>6454</v>
      </c>
      <c r="E4454" s="28" t="s">
        <v>17472</v>
      </c>
      <c r="F4454" s="28" t="s">
        <v>21</v>
      </c>
      <c r="G4454" s="28" t="s">
        <v>39</v>
      </c>
      <c r="H4454" s="28" t="s">
        <v>16221</v>
      </c>
      <c r="I4454" s="28" t="s">
        <v>23066</v>
      </c>
      <c r="J4454" s="28" t="s">
        <v>39</v>
      </c>
      <c r="K4454" s="28" t="s">
        <v>16223</v>
      </c>
      <c r="L4454" s="28" t="s">
        <v>16224</v>
      </c>
      <c r="M4454" s="28" t="s">
        <v>19327</v>
      </c>
      <c r="N4454" s="28" t="s">
        <v>16226</v>
      </c>
      <c r="O4454" s="28" t="s">
        <v>16227</v>
      </c>
      <c r="P4454" s="28" t="s">
        <v>21823</v>
      </c>
    </row>
    <row r="4455" spans="1:16" x14ac:dyDescent="0.25">
      <c r="A4455" s="28" t="s">
        <v>23067</v>
      </c>
      <c r="B4455" s="28" t="s">
        <v>23068</v>
      </c>
      <c r="C4455" s="28" t="s">
        <v>4491</v>
      </c>
      <c r="D4455" s="28" t="s">
        <v>6454</v>
      </c>
      <c r="E4455" s="28" t="s">
        <v>17478</v>
      </c>
      <c r="F4455" s="28" t="s">
        <v>21</v>
      </c>
      <c r="G4455" s="28" t="s">
        <v>39</v>
      </c>
      <c r="H4455" s="28" t="s">
        <v>16221</v>
      </c>
      <c r="I4455" s="28" t="s">
        <v>23069</v>
      </c>
      <c r="J4455" s="28" t="s">
        <v>39</v>
      </c>
      <c r="K4455" s="28" t="s">
        <v>16223</v>
      </c>
      <c r="L4455" s="28" t="s">
        <v>16224</v>
      </c>
      <c r="M4455" s="28" t="s">
        <v>19331</v>
      </c>
      <c r="N4455" s="28" t="s">
        <v>16226</v>
      </c>
      <c r="O4455" s="28" t="s">
        <v>16227</v>
      </c>
      <c r="P4455" s="28" t="s">
        <v>21827</v>
      </c>
    </row>
    <row r="4456" spans="1:16" x14ac:dyDescent="0.25">
      <c r="A4456" s="28" t="s">
        <v>23070</v>
      </c>
      <c r="B4456" s="28" t="s">
        <v>23071</v>
      </c>
      <c r="C4456" s="28" t="s">
        <v>4491</v>
      </c>
      <c r="D4456" s="28" t="s">
        <v>6454</v>
      </c>
      <c r="E4456" s="28" t="s">
        <v>17478</v>
      </c>
      <c r="F4456" s="28" t="s">
        <v>21</v>
      </c>
      <c r="G4456" s="28" t="s">
        <v>39</v>
      </c>
      <c r="H4456" s="28" t="s">
        <v>16221</v>
      </c>
      <c r="I4456" s="28" t="s">
        <v>23072</v>
      </c>
      <c r="J4456" s="28" t="s">
        <v>39</v>
      </c>
      <c r="K4456" s="28" t="s">
        <v>16223</v>
      </c>
      <c r="L4456" s="28" t="s">
        <v>16224</v>
      </c>
      <c r="M4456" s="28" t="s">
        <v>19335</v>
      </c>
      <c r="N4456" s="28" t="s">
        <v>16226</v>
      </c>
      <c r="O4456" s="28" t="s">
        <v>16227</v>
      </c>
      <c r="P4456" s="28" t="s">
        <v>21827</v>
      </c>
    </row>
    <row r="4457" spans="1:16" x14ac:dyDescent="0.25">
      <c r="A4457" s="28" t="s">
        <v>23073</v>
      </c>
      <c r="B4457" s="28" t="s">
        <v>23074</v>
      </c>
      <c r="C4457" s="28" t="s">
        <v>4491</v>
      </c>
      <c r="D4457" s="28" t="s">
        <v>6454</v>
      </c>
      <c r="E4457" s="28" t="s">
        <v>17478</v>
      </c>
      <c r="F4457" s="28" t="s">
        <v>21</v>
      </c>
      <c r="G4457" s="28" t="s">
        <v>39</v>
      </c>
      <c r="H4457" s="28" t="s">
        <v>16221</v>
      </c>
      <c r="I4457" s="28" t="s">
        <v>23075</v>
      </c>
      <c r="J4457" s="28" t="s">
        <v>39</v>
      </c>
      <c r="K4457" s="28" t="s">
        <v>16223</v>
      </c>
      <c r="L4457" s="28" t="s">
        <v>16224</v>
      </c>
      <c r="M4457" s="28" t="s">
        <v>19339</v>
      </c>
      <c r="N4457" s="28" t="s">
        <v>16226</v>
      </c>
      <c r="O4457" s="28" t="s">
        <v>16227</v>
      </c>
      <c r="P4457" s="28" t="s">
        <v>21827</v>
      </c>
    </row>
    <row r="4458" spans="1:16" x14ac:dyDescent="0.25">
      <c r="A4458" s="28" t="s">
        <v>23076</v>
      </c>
      <c r="B4458" s="28" t="s">
        <v>23077</v>
      </c>
      <c r="C4458" s="28" t="s">
        <v>4491</v>
      </c>
      <c r="D4458" s="28" t="s">
        <v>6454</v>
      </c>
      <c r="E4458" s="28" t="s">
        <v>17484</v>
      </c>
      <c r="F4458" s="28" t="s">
        <v>21</v>
      </c>
      <c r="G4458" s="28" t="s">
        <v>39</v>
      </c>
      <c r="H4458" s="28" t="s">
        <v>16221</v>
      </c>
      <c r="I4458" s="28" t="s">
        <v>23078</v>
      </c>
      <c r="J4458" s="28" t="s">
        <v>39</v>
      </c>
      <c r="K4458" s="28" t="s">
        <v>16223</v>
      </c>
      <c r="L4458" s="28" t="s">
        <v>16224</v>
      </c>
      <c r="M4458" s="28" t="s">
        <v>19343</v>
      </c>
      <c r="N4458" s="28" t="s">
        <v>16226</v>
      </c>
      <c r="O4458" s="28" t="s">
        <v>16227</v>
      </c>
      <c r="P4458" s="28" t="s">
        <v>21831</v>
      </c>
    </row>
    <row r="4459" spans="1:16" x14ac:dyDescent="0.25">
      <c r="A4459" s="28" t="s">
        <v>23079</v>
      </c>
      <c r="B4459" s="28" t="s">
        <v>23080</v>
      </c>
      <c r="C4459" s="28" t="s">
        <v>4491</v>
      </c>
      <c r="D4459" s="28" t="s">
        <v>6454</v>
      </c>
      <c r="E4459" s="28" t="s">
        <v>17484</v>
      </c>
      <c r="F4459" s="28" t="s">
        <v>21</v>
      </c>
      <c r="G4459" s="28" t="s">
        <v>39</v>
      </c>
      <c r="H4459" s="28" t="s">
        <v>16221</v>
      </c>
      <c r="I4459" s="28" t="s">
        <v>23081</v>
      </c>
      <c r="J4459" s="28" t="s">
        <v>39</v>
      </c>
      <c r="K4459" s="28" t="s">
        <v>16223</v>
      </c>
      <c r="L4459" s="28" t="s">
        <v>16224</v>
      </c>
      <c r="M4459" s="28" t="s">
        <v>19347</v>
      </c>
      <c r="N4459" s="28" t="s">
        <v>16226</v>
      </c>
      <c r="O4459" s="28" t="s">
        <v>16227</v>
      </c>
      <c r="P4459" s="28" t="s">
        <v>21831</v>
      </c>
    </row>
    <row r="4460" spans="1:16" x14ac:dyDescent="0.25">
      <c r="A4460" s="28" t="s">
        <v>23082</v>
      </c>
      <c r="B4460" s="28" t="s">
        <v>23083</v>
      </c>
      <c r="C4460" s="28" t="s">
        <v>4491</v>
      </c>
      <c r="D4460" s="28" t="s">
        <v>6454</v>
      </c>
      <c r="E4460" s="28" t="s">
        <v>17484</v>
      </c>
      <c r="F4460" s="28" t="s">
        <v>21</v>
      </c>
      <c r="G4460" s="28" t="s">
        <v>39</v>
      </c>
      <c r="H4460" s="28" t="s">
        <v>16221</v>
      </c>
      <c r="I4460" s="28" t="s">
        <v>23084</v>
      </c>
      <c r="J4460" s="28" t="s">
        <v>39</v>
      </c>
      <c r="K4460" s="28" t="s">
        <v>16223</v>
      </c>
      <c r="L4460" s="28" t="s">
        <v>16224</v>
      </c>
      <c r="M4460" s="28" t="s">
        <v>19351</v>
      </c>
      <c r="N4460" s="28" t="s">
        <v>16226</v>
      </c>
      <c r="O4460" s="28" t="s">
        <v>16227</v>
      </c>
      <c r="P4460" s="28" t="s">
        <v>21831</v>
      </c>
    </row>
    <row r="4461" spans="1:16" x14ac:dyDescent="0.25">
      <c r="A4461" s="28" t="s">
        <v>23085</v>
      </c>
      <c r="B4461" s="28" t="s">
        <v>23086</v>
      </c>
      <c r="C4461" s="28" t="s">
        <v>4491</v>
      </c>
      <c r="D4461" s="28" t="s">
        <v>6454</v>
      </c>
      <c r="E4461" s="28" t="s">
        <v>17490</v>
      </c>
      <c r="F4461" s="28" t="s">
        <v>21</v>
      </c>
      <c r="G4461" s="28" t="s">
        <v>39</v>
      </c>
      <c r="H4461" s="28" t="s">
        <v>16221</v>
      </c>
      <c r="I4461" s="28" t="s">
        <v>23087</v>
      </c>
      <c r="J4461" s="28" t="s">
        <v>39</v>
      </c>
      <c r="K4461" s="28" t="s">
        <v>16223</v>
      </c>
      <c r="L4461" s="28" t="s">
        <v>16224</v>
      </c>
      <c r="M4461" s="28" t="s">
        <v>19355</v>
      </c>
      <c r="N4461" s="28" t="s">
        <v>16226</v>
      </c>
      <c r="O4461" s="28" t="s">
        <v>16227</v>
      </c>
      <c r="P4461" s="28" t="s">
        <v>21835</v>
      </c>
    </row>
    <row r="4462" spans="1:16" x14ac:dyDescent="0.25">
      <c r="A4462" s="28" t="s">
        <v>23088</v>
      </c>
      <c r="B4462" s="28" t="s">
        <v>23089</v>
      </c>
      <c r="C4462" s="28" t="s">
        <v>4491</v>
      </c>
      <c r="D4462" s="28" t="s">
        <v>6454</v>
      </c>
      <c r="E4462" s="28" t="s">
        <v>17490</v>
      </c>
      <c r="F4462" s="28" t="s">
        <v>21</v>
      </c>
      <c r="G4462" s="28" t="s">
        <v>39</v>
      </c>
      <c r="H4462" s="28" t="s">
        <v>16221</v>
      </c>
      <c r="I4462" s="28" t="s">
        <v>23090</v>
      </c>
      <c r="J4462" s="28" t="s">
        <v>39</v>
      </c>
      <c r="K4462" s="28" t="s">
        <v>16223</v>
      </c>
      <c r="L4462" s="28" t="s">
        <v>16224</v>
      </c>
      <c r="M4462" s="28" t="s">
        <v>19359</v>
      </c>
      <c r="N4462" s="28" t="s">
        <v>16226</v>
      </c>
      <c r="O4462" s="28" t="s">
        <v>16227</v>
      </c>
      <c r="P4462" s="28" t="s">
        <v>21835</v>
      </c>
    </row>
    <row r="4463" spans="1:16" x14ac:dyDescent="0.25">
      <c r="A4463" s="28" t="s">
        <v>23091</v>
      </c>
      <c r="B4463" s="28" t="s">
        <v>23092</v>
      </c>
      <c r="C4463" s="28" t="s">
        <v>4491</v>
      </c>
      <c r="D4463" s="28" t="s">
        <v>6454</v>
      </c>
      <c r="E4463" s="28" t="s">
        <v>17490</v>
      </c>
      <c r="F4463" s="28" t="s">
        <v>21</v>
      </c>
      <c r="G4463" s="28" t="s">
        <v>39</v>
      </c>
      <c r="H4463" s="28" t="s">
        <v>16221</v>
      </c>
      <c r="I4463" s="28" t="s">
        <v>23093</v>
      </c>
      <c r="J4463" s="28" t="s">
        <v>39</v>
      </c>
      <c r="K4463" s="28" t="s">
        <v>16223</v>
      </c>
      <c r="L4463" s="28" t="s">
        <v>16224</v>
      </c>
      <c r="M4463" s="28" t="s">
        <v>19363</v>
      </c>
      <c r="N4463" s="28" t="s">
        <v>16226</v>
      </c>
      <c r="O4463" s="28" t="s">
        <v>16227</v>
      </c>
      <c r="P4463" s="28" t="s">
        <v>21835</v>
      </c>
    </row>
    <row r="4464" spans="1:16" x14ac:dyDescent="0.25">
      <c r="A4464" s="28" t="s">
        <v>23094</v>
      </c>
      <c r="B4464" s="28" t="s">
        <v>23095</v>
      </c>
      <c r="C4464" s="28" t="s">
        <v>4491</v>
      </c>
      <c r="D4464" s="28" t="s">
        <v>7132</v>
      </c>
      <c r="E4464" s="28" t="s">
        <v>17496</v>
      </c>
      <c r="F4464" s="28" t="s">
        <v>21</v>
      </c>
      <c r="G4464" s="28" t="s">
        <v>39</v>
      </c>
      <c r="H4464" s="28" t="s">
        <v>16221</v>
      </c>
      <c r="I4464" s="28" t="s">
        <v>23096</v>
      </c>
      <c r="J4464" s="28" t="s">
        <v>39</v>
      </c>
      <c r="K4464" s="28" t="s">
        <v>16223</v>
      </c>
      <c r="L4464" s="28" t="s">
        <v>16224</v>
      </c>
      <c r="M4464" s="28" t="s">
        <v>19367</v>
      </c>
      <c r="N4464" s="28" t="s">
        <v>16226</v>
      </c>
      <c r="O4464" s="28" t="s">
        <v>16227</v>
      </c>
      <c r="P4464" s="28" t="s">
        <v>21839</v>
      </c>
    </row>
    <row r="4465" spans="1:16" x14ac:dyDescent="0.25">
      <c r="A4465" s="28" t="s">
        <v>23097</v>
      </c>
      <c r="B4465" s="28" t="s">
        <v>23098</v>
      </c>
      <c r="C4465" s="28" t="s">
        <v>4491</v>
      </c>
      <c r="D4465" s="28" t="s">
        <v>7132</v>
      </c>
      <c r="E4465" s="28" t="s">
        <v>17496</v>
      </c>
      <c r="F4465" s="28" t="s">
        <v>21</v>
      </c>
      <c r="G4465" s="28" t="s">
        <v>39</v>
      </c>
      <c r="H4465" s="28" t="s">
        <v>16221</v>
      </c>
      <c r="I4465" s="28" t="s">
        <v>23099</v>
      </c>
      <c r="J4465" s="28" t="s">
        <v>39</v>
      </c>
      <c r="K4465" s="28" t="s">
        <v>16223</v>
      </c>
      <c r="L4465" s="28" t="s">
        <v>16224</v>
      </c>
      <c r="M4465" s="28" t="s">
        <v>19371</v>
      </c>
      <c r="N4465" s="28" t="s">
        <v>16226</v>
      </c>
      <c r="O4465" s="28" t="s">
        <v>16227</v>
      </c>
      <c r="P4465" s="28" t="s">
        <v>21839</v>
      </c>
    </row>
    <row r="4466" spans="1:16" x14ac:dyDescent="0.25">
      <c r="A4466" s="28" t="s">
        <v>23100</v>
      </c>
      <c r="B4466" s="28" t="s">
        <v>23101</v>
      </c>
      <c r="C4466" s="28" t="s">
        <v>4491</v>
      </c>
      <c r="D4466" s="28" t="s">
        <v>7132</v>
      </c>
      <c r="E4466" s="28" t="s">
        <v>17496</v>
      </c>
      <c r="F4466" s="28" t="s">
        <v>21</v>
      </c>
      <c r="G4466" s="28" t="s">
        <v>39</v>
      </c>
      <c r="H4466" s="28" t="s">
        <v>16221</v>
      </c>
      <c r="I4466" s="28" t="s">
        <v>23102</v>
      </c>
      <c r="J4466" s="28" t="s">
        <v>39</v>
      </c>
      <c r="K4466" s="28" t="s">
        <v>16223</v>
      </c>
      <c r="L4466" s="28" t="s">
        <v>16224</v>
      </c>
      <c r="M4466" s="28" t="s">
        <v>19375</v>
      </c>
      <c r="N4466" s="28" t="s">
        <v>16226</v>
      </c>
      <c r="O4466" s="28" t="s">
        <v>16227</v>
      </c>
      <c r="P4466" s="28" t="s">
        <v>21839</v>
      </c>
    </row>
    <row r="4467" spans="1:16" x14ac:dyDescent="0.25">
      <c r="A4467" s="28" t="s">
        <v>23103</v>
      </c>
      <c r="B4467" s="28" t="s">
        <v>23104</v>
      </c>
      <c r="C4467" s="28" t="s">
        <v>4491</v>
      </c>
      <c r="D4467" s="28" t="s">
        <v>6454</v>
      </c>
      <c r="E4467" s="28" t="s">
        <v>17502</v>
      </c>
      <c r="F4467" s="28" t="s">
        <v>21</v>
      </c>
      <c r="G4467" s="28" t="s">
        <v>39</v>
      </c>
      <c r="H4467" s="28" t="s">
        <v>16221</v>
      </c>
      <c r="I4467" s="28" t="s">
        <v>23105</v>
      </c>
      <c r="J4467" s="28" t="s">
        <v>39</v>
      </c>
      <c r="K4467" s="28" t="s">
        <v>16223</v>
      </c>
      <c r="L4467" s="28" t="s">
        <v>16224</v>
      </c>
      <c r="M4467" s="28" t="s">
        <v>19379</v>
      </c>
      <c r="N4467" s="28" t="s">
        <v>16226</v>
      </c>
      <c r="O4467" s="28" t="s">
        <v>16227</v>
      </c>
      <c r="P4467" s="28" t="s">
        <v>21843</v>
      </c>
    </row>
    <row r="4468" spans="1:16" x14ac:dyDescent="0.25">
      <c r="A4468" s="28" t="s">
        <v>23106</v>
      </c>
      <c r="B4468" s="28" t="s">
        <v>23107</v>
      </c>
      <c r="C4468" s="28" t="s">
        <v>4491</v>
      </c>
      <c r="D4468" s="28" t="s">
        <v>6454</v>
      </c>
      <c r="E4468" s="28" t="s">
        <v>17502</v>
      </c>
      <c r="F4468" s="28" t="s">
        <v>21</v>
      </c>
      <c r="G4468" s="28" t="s">
        <v>39</v>
      </c>
      <c r="H4468" s="28" t="s">
        <v>16221</v>
      </c>
      <c r="I4468" s="28" t="s">
        <v>23108</v>
      </c>
      <c r="J4468" s="28" t="s">
        <v>39</v>
      </c>
      <c r="K4468" s="28" t="s">
        <v>16223</v>
      </c>
      <c r="L4468" s="28" t="s">
        <v>16224</v>
      </c>
      <c r="M4468" s="28" t="s">
        <v>19383</v>
      </c>
      <c r="N4468" s="28" t="s">
        <v>16226</v>
      </c>
      <c r="O4468" s="28" t="s">
        <v>16227</v>
      </c>
      <c r="P4468" s="28" t="s">
        <v>21843</v>
      </c>
    </row>
    <row r="4469" spans="1:16" x14ac:dyDescent="0.25">
      <c r="A4469" s="28" t="s">
        <v>23109</v>
      </c>
      <c r="B4469" s="28" t="s">
        <v>23110</v>
      </c>
      <c r="C4469" s="28" t="s">
        <v>4491</v>
      </c>
      <c r="D4469" s="28" t="s">
        <v>6454</v>
      </c>
      <c r="E4469" s="28" t="s">
        <v>17502</v>
      </c>
      <c r="F4469" s="28" t="s">
        <v>21</v>
      </c>
      <c r="G4469" s="28" t="s">
        <v>39</v>
      </c>
      <c r="H4469" s="28" t="s">
        <v>16221</v>
      </c>
      <c r="I4469" s="28" t="s">
        <v>23111</v>
      </c>
      <c r="J4469" s="28" t="s">
        <v>39</v>
      </c>
      <c r="K4469" s="28" t="s">
        <v>16223</v>
      </c>
      <c r="L4469" s="28" t="s">
        <v>16224</v>
      </c>
      <c r="M4469" s="28" t="s">
        <v>19387</v>
      </c>
      <c r="N4469" s="28" t="s">
        <v>16226</v>
      </c>
      <c r="O4469" s="28" t="s">
        <v>16227</v>
      </c>
      <c r="P4469" s="28" t="s">
        <v>21843</v>
      </c>
    </row>
    <row r="4470" spans="1:16" x14ac:dyDescent="0.25">
      <c r="A4470" s="28" t="s">
        <v>23112</v>
      </c>
      <c r="B4470" s="28" t="s">
        <v>23113</v>
      </c>
      <c r="C4470" s="28" t="s">
        <v>4491</v>
      </c>
      <c r="D4470" s="28" t="s">
        <v>6454</v>
      </c>
      <c r="E4470" s="28" t="s">
        <v>17508</v>
      </c>
      <c r="F4470" s="28" t="s">
        <v>21</v>
      </c>
      <c r="G4470" s="28" t="s">
        <v>39</v>
      </c>
      <c r="H4470" s="28" t="s">
        <v>16221</v>
      </c>
      <c r="I4470" s="28" t="s">
        <v>23114</v>
      </c>
      <c r="J4470" s="28" t="s">
        <v>39</v>
      </c>
      <c r="K4470" s="28" t="s">
        <v>16223</v>
      </c>
      <c r="L4470" s="28" t="s">
        <v>16224</v>
      </c>
      <c r="M4470" s="28" t="s">
        <v>19391</v>
      </c>
      <c r="N4470" s="28" t="s">
        <v>16226</v>
      </c>
      <c r="O4470" s="28" t="s">
        <v>16227</v>
      </c>
      <c r="P4470" s="28" t="s">
        <v>21847</v>
      </c>
    </row>
    <row r="4471" spans="1:16" x14ac:dyDescent="0.25">
      <c r="A4471" s="28" t="s">
        <v>23115</v>
      </c>
      <c r="B4471" s="28" t="s">
        <v>23116</v>
      </c>
      <c r="C4471" s="28" t="s">
        <v>4491</v>
      </c>
      <c r="D4471" s="28" t="s">
        <v>6454</v>
      </c>
      <c r="E4471" s="28" t="s">
        <v>17508</v>
      </c>
      <c r="F4471" s="28" t="s">
        <v>21</v>
      </c>
      <c r="G4471" s="28" t="s">
        <v>39</v>
      </c>
      <c r="H4471" s="28" t="s">
        <v>16221</v>
      </c>
      <c r="I4471" s="28" t="s">
        <v>23117</v>
      </c>
      <c r="J4471" s="28" t="s">
        <v>39</v>
      </c>
      <c r="K4471" s="28" t="s">
        <v>16223</v>
      </c>
      <c r="L4471" s="28" t="s">
        <v>16224</v>
      </c>
      <c r="M4471" s="28" t="s">
        <v>19395</v>
      </c>
      <c r="N4471" s="28" t="s">
        <v>16226</v>
      </c>
      <c r="O4471" s="28" t="s">
        <v>16227</v>
      </c>
      <c r="P4471" s="28" t="s">
        <v>21847</v>
      </c>
    </row>
    <row r="4472" spans="1:16" x14ac:dyDescent="0.25">
      <c r="A4472" s="28" t="s">
        <v>23118</v>
      </c>
      <c r="B4472" s="28" t="s">
        <v>23119</v>
      </c>
      <c r="C4472" s="28" t="s">
        <v>4491</v>
      </c>
      <c r="D4472" s="28" t="s">
        <v>6454</v>
      </c>
      <c r="E4472" s="28" t="s">
        <v>17508</v>
      </c>
      <c r="F4472" s="28" t="s">
        <v>21</v>
      </c>
      <c r="G4472" s="28" t="s">
        <v>39</v>
      </c>
      <c r="H4472" s="28" t="s">
        <v>16221</v>
      </c>
      <c r="I4472" s="28" t="s">
        <v>23120</v>
      </c>
      <c r="J4472" s="28" t="s">
        <v>39</v>
      </c>
      <c r="K4472" s="28" t="s">
        <v>16223</v>
      </c>
      <c r="L4472" s="28" t="s">
        <v>16224</v>
      </c>
      <c r="M4472" s="28" t="s">
        <v>19399</v>
      </c>
      <c r="N4472" s="28" t="s">
        <v>16226</v>
      </c>
      <c r="O4472" s="28" t="s">
        <v>16227</v>
      </c>
      <c r="P4472" s="28" t="s">
        <v>21847</v>
      </c>
    </row>
    <row r="4473" spans="1:16" x14ac:dyDescent="0.25">
      <c r="A4473" s="28" t="s">
        <v>23121</v>
      </c>
      <c r="B4473" s="28" t="s">
        <v>23122</v>
      </c>
      <c r="C4473" s="28" t="s">
        <v>4491</v>
      </c>
      <c r="D4473" s="28" t="s">
        <v>6454</v>
      </c>
      <c r="E4473" s="28" t="s">
        <v>17514</v>
      </c>
      <c r="F4473" s="28" t="s">
        <v>21</v>
      </c>
      <c r="G4473" s="28" t="s">
        <v>39</v>
      </c>
      <c r="H4473" s="28" t="s">
        <v>16221</v>
      </c>
      <c r="I4473" s="28" t="s">
        <v>23123</v>
      </c>
      <c r="J4473" s="28" t="s">
        <v>39</v>
      </c>
      <c r="K4473" s="28" t="s">
        <v>16223</v>
      </c>
      <c r="L4473" s="28" t="s">
        <v>16224</v>
      </c>
      <c r="M4473" s="28" t="s">
        <v>19403</v>
      </c>
      <c r="N4473" s="28" t="s">
        <v>16226</v>
      </c>
      <c r="O4473" s="28" t="s">
        <v>16227</v>
      </c>
      <c r="P4473" s="28" t="s">
        <v>21851</v>
      </c>
    </row>
    <row r="4474" spans="1:16" x14ac:dyDescent="0.25">
      <c r="A4474" s="28" t="s">
        <v>23124</v>
      </c>
      <c r="B4474" s="28" t="s">
        <v>23125</v>
      </c>
      <c r="C4474" s="28" t="s">
        <v>4491</v>
      </c>
      <c r="D4474" s="28" t="s">
        <v>6454</v>
      </c>
      <c r="E4474" s="28" t="s">
        <v>17514</v>
      </c>
      <c r="F4474" s="28" t="s">
        <v>21</v>
      </c>
      <c r="G4474" s="28" t="s">
        <v>39</v>
      </c>
      <c r="H4474" s="28" t="s">
        <v>16221</v>
      </c>
      <c r="I4474" s="28" t="s">
        <v>23126</v>
      </c>
      <c r="J4474" s="28" t="s">
        <v>39</v>
      </c>
      <c r="K4474" s="28" t="s">
        <v>16223</v>
      </c>
      <c r="L4474" s="28" t="s">
        <v>16224</v>
      </c>
      <c r="M4474" s="28" t="s">
        <v>19407</v>
      </c>
      <c r="N4474" s="28" t="s">
        <v>16226</v>
      </c>
      <c r="O4474" s="28" t="s">
        <v>16227</v>
      </c>
      <c r="P4474" s="28" t="s">
        <v>21851</v>
      </c>
    </row>
    <row r="4475" spans="1:16" x14ac:dyDescent="0.25">
      <c r="A4475" s="28" t="s">
        <v>23127</v>
      </c>
      <c r="B4475" s="28" t="s">
        <v>23128</v>
      </c>
      <c r="C4475" s="28" t="s">
        <v>4491</v>
      </c>
      <c r="D4475" s="28" t="s">
        <v>6454</v>
      </c>
      <c r="E4475" s="28" t="s">
        <v>17514</v>
      </c>
      <c r="F4475" s="28" t="s">
        <v>21</v>
      </c>
      <c r="G4475" s="28" t="s">
        <v>39</v>
      </c>
      <c r="H4475" s="28" t="s">
        <v>16221</v>
      </c>
      <c r="I4475" s="28" t="s">
        <v>23129</v>
      </c>
      <c r="J4475" s="28" t="s">
        <v>39</v>
      </c>
      <c r="K4475" s="28" t="s">
        <v>16223</v>
      </c>
      <c r="L4475" s="28" t="s">
        <v>16224</v>
      </c>
      <c r="M4475" s="28" t="s">
        <v>19411</v>
      </c>
      <c r="N4475" s="28" t="s">
        <v>16226</v>
      </c>
      <c r="O4475" s="28" t="s">
        <v>16227</v>
      </c>
      <c r="P4475" s="28" t="s">
        <v>21851</v>
      </c>
    </row>
    <row r="4476" spans="1:16" x14ac:dyDescent="0.25">
      <c r="A4476" s="28" t="s">
        <v>23130</v>
      </c>
      <c r="B4476" s="28" t="s">
        <v>23131</v>
      </c>
      <c r="C4476" s="28" t="s">
        <v>4491</v>
      </c>
      <c r="D4476" s="28" t="s">
        <v>6454</v>
      </c>
      <c r="E4476" s="28" t="s">
        <v>17520</v>
      </c>
      <c r="F4476" s="28" t="s">
        <v>21</v>
      </c>
      <c r="G4476" s="28" t="s">
        <v>39</v>
      </c>
      <c r="H4476" s="28" t="s">
        <v>16221</v>
      </c>
      <c r="I4476" s="28" t="s">
        <v>23132</v>
      </c>
      <c r="J4476" s="28" t="s">
        <v>39</v>
      </c>
      <c r="K4476" s="28" t="s">
        <v>16223</v>
      </c>
      <c r="L4476" s="28" t="s">
        <v>16224</v>
      </c>
      <c r="M4476" s="28" t="s">
        <v>19415</v>
      </c>
      <c r="N4476" s="28" t="s">
        <v>16226</v>
      </c>
      <c r="O4476" s="28" t="s">
        <v>16227</v>
      </c>
      <c r="P4476" s="28" t="s">
        <v>21855</v>
      </c>
    </row>
    <row r="4477" spans="1:16" x14ac:dyDescent="0.25">
      <c r="A4477" s="28" t="s">
        <v>23133</v>
      </c>
      <c r="B4477" s="28" t="s">
        <v>23134</v>
      </c>
      <c r="C4477" s="28" t="s">
        <v>4491</v>
      </c>
      <c r="D4477" s="28" t="s">
        <v>6454</v>
      </c>
      <c r="E4477" s="28" t="s">
        <v>17520</v>
      </c>
      <c r="F4477" s="28" t="s">
        <v>21</v>
      </c>
      <c r="G4477" s="28" t="s">
        <v>39</v>
      </c>
      <c r="H4477" s="28" t="s">
        <v>16221</v>
      </c>
      <c r="I4477" s="28" t="s">
        <v>23135</v>
      </c>
      <c r="J4477" s="28" t="s">
        <v>39</v>
      </c>
      <c r="K4477" s="28" t="s">
        <v>16223</v>
      </c>
      <c r="L4477" s="28" t="s">
        <v>16224</v>
      </c>
      <c r="M4477" s="28" t="s">
        <v>19419</v>
      </c>
      <c r="N4477" s="28" t="s">
        <v>16226</v>
      </c>
      <c r="O4477" s="28" t="s">
        <v>16227</v>
      </c>
      <c r="P4477" s="28" t="s">
        <v>21855</v>
      </c>
    </row>
    <row r="4478" spans="1:16" x14ac:dyDescent="0.25">
      <c r="A4478" s="28" t="s">
        <v>23136</v>
      </c>
      <c r="B4478" s="28" t="s">
        <v>23137</v>
      </c>
      <c r="C4478" s="28" t="s">
        <v>4491</v>
      </c>
      <c r="D4478" s="28" t="s">
        <v>6454</v>
      </c>
      <c r="E4478" s="28" t="s">
        <v>17520</v>
      </c>
      <c r="F4478" s="28" t="s">
        <v>21</v>
      </c>
      <c r="G4478" s="28" t="s">
        <v>39</v>
      </c>
      <c r="H4478" s="28" t="s">
        <v>16221</v>
      </c>
      <c r="I4478" s="28" t="s">
        <v>23138</v>
      </c>
      <c r="J4478" s="28" t="s">
        <v>39</v>
      </c>
      <c r="K4478" s="28" t="s">
        <v>16223</v>
      </c>
      <c r="L4478" s="28" t="s">
        <v>16224</v>
      </c>
      <c r="M4478" s="28" t="s">
        <v>19423</v>
      </c>
      <c r="N4478" s="28" t="s">
        <v>16226</v>
      </c>
      <c r="O4478" s="28" t="s">
        <v>16227</v>
      </c>
      <c r="P4478" s="28" t="s">
        <v>21855</v>
      </c>
    </row>
    <row r="4479" spans="1:16" x14ac:dyDescent="0.25">
      <c r="A4479" s="28" t="s">
        <v>23139</v>
      </c>
      <c r="B4479" s="28" t="s">
        <v>23140</v>
      </c>
      <c r="C4479" s="28" t="s">
        <v>4491</v>
      </c>
      <c r="D4479" s="28" t="s">
        <v>6454</v>
      </c>
      <c r="E4479" s="28" t="s">
        <v>17526</v>
      </c>
      <c r="F4479" s="28" t="s">
        <v>21</v>
      </c>
      <c r="G4479" s="28" t="s">
        <v>39</v>
      </c>
      <c r="H4479" s="28" t="s">
        <v>16221</v>
      </c>
      <c r="I4479" s="28" t="s">
        <v>23141</v>
      </c>
      <c r="J4479" s="28" t="s">
        <v>39</v>
      </c>
      <c r="K4479" s="28" t="s">
        <v>16223</v>
      </c>
      <c r="L4479" s="28" t="s">
        <v>16224</v>
      </c>
      <c r="M4479" s="28" t="s">
        <v>19427</v>
      </c>
      <c r="N4479" s="28" t="s">
        <v>16226</v>
      </c>
      <c r="O4479" s="28" t="s">
        <v>16227</v>
      </c>
      <c r="P4479" s="28" t="s">
        <v>21859</v>
      </c>
    </row>
    <row r="4480" spans="1:16" x14ac:dyDescent="0.25">
      <c r="A4480" s="28" t="s">
        <v>23142</v>
      </c>
      <c r="B4480" s="28" t="s">
        <v>23143</v>
      </c>
      <c r="C4480" s="28" t="s">
        <v>4491</v>
      </c>
      <c r="D4480" s="28" t="s">
        <v>6454</v>
      </c>
      <c r="E4480" s="28" t="s">
        <v>17526</v>
      </c>
      <c r="F4480" s="28" t="s">
        <v>21</v>
      </c>
      <c r="G4480" s="28" t="s">
        <v>39</v>
      </c>
      <c r="H4480" s="28" t="s">
        <v>16221</v>
      </c>
      <c r="I4480" s="28" t="s">
        <v>23144</v>
      </c>
      <c r="J4480" s="28" t="s">
        <v>39</v>
      </c>
      <c r="K4480" s="28" t="s">
        <v>16223</v>
      </c>
      <c r="L4480" s="28" t="s">
        <v>16224</v>
      </c>
      <c r="M4480" s="28" t="s">
        <v>19431</v>
      </c>
      <c r="N4480" s="28" t="s">
        <v>16226</v>
      </c>
      <c r="O4480" s="28" t="s">
        <v>16227</v>
      </c>
      <c r="P4480" s="28" t="s">
        <v>21859</v>
      </c>
    </row>
    <row r="4481" spans="1:16" x14ac:dyDescent="0.25">
      <c r="A4481" s="28" t="s">
        <v>23145</v>
      </c>
      <c r="B4481" s="28" t="s">
        <v>23146</v>
      </c>
      <c r="C4481" s="28" t="s">
        <v>4491</v>
      </c>
      <c r="D4481" s="28" t="s">
        <v>6454</v>
      </c>
      <c r="E4481" s="28" t="s">
        <v>17526</v>
      </c>
      <c r="F4481" s="28" t="s">
        <v>21</v>
      </c>
      <c r="G4481" s="28" t="s">
        <v>39</v>
      </c>
      <c r="H4481" s="28" t="s">
        <v>16221</v>
      </c>
      <c r="I4481" s="28" t="s">
        <v>23147</v>
      </c>
      <c r="J4481" s="28" t="s">
        <v>39</v>
      </c>
      <c r="K4481" s="28" t="s">
        <v>16223</v>
      </c>
      <c r="L4481" s="28" t="s">
        <v>16224</v>
      </c>
      <c r="M4481" s="28" t="s">
        <v>19435</v>
      </c>
      <c r="N4481" s="28" t="s">
        <v>16226</v>
      </c>
      <c r="O4481" s="28" t="s">
        <v>16227</v>
      </c>
      <c r="P4481" s="28" t="s">
        <v>21859</v>
      </c>
    </row>
    <row r="4482" spans="1:16" x14ac:dyDescent="0.25">
      <c r="A4482" s="28" t="s">
        <v>23148</v>
      </c>
      <c r="B4482" s="28" t="s">
        <v>23149</v>
      </c>
      <c r="C4482" s="28" t="s">
        <v>4491</v>
      </c>
      <c r="D4482" s="28" t="s">
        <v>6454</v>
      </c>
      <c r="E4482" s="28" t="s">
        <v>17532</v>
      </c>
      <c r="F4482" s="28" t="s">
        <v>21</v>
      </c>
      <c r="G4482" s="28" t="s">
        <v>39</v>
      </c>
      <c r="H4482" s="28" t="s">
        <v>16221</v>
      </c>
      <c r="I4482" s="28" t="s">
        <v>23150</v>
      </c>
      <c r="J4482" s="28" t="s">
        <v>39</v>
      </c>
      <c r="K4482" s="28" t="s">
        <v>16223</v>
      </c>
      <c r="L4482" s="28" t="s">
        <v>16224</v>
      </c>
      <c r="M4482" s="28" t="s">
        <v>19439</v>
      </c>
      <c r="N4482" s="28" t="s">
        <v>16226</v>
      </c>
      <c r="O4482" s="28" t="s">
        <v>16227</v>
      </c>
      <c r="P4482" s="28" t="s">
        <v>21863</v>
      </c>
    </row>
    <row r="4483" spans="1:16" x14ac:dyDescent="0.25">
      <c r="A4483" s="28" t="s">
        <v>23151</v>
      </c>
      <c r="B4483" s="28" t="s">
        <v>23152</v>
      </c>
      <c r="C4483" s="28" t="s">
        <v>4491</v>
      </c>
      <c r="D4483" s="28" t="s">
        <v>6454</v>
      </c>
      <c r="E4483" s="28" t="s">
        <v>17532</v>
      </c>
      <c r="F4483" s="28" t="s">
        <v>21</v>
      </c>
      <c r="G4483" s="28" t="s">
        <v>39</v>
      </c>
      <c r="H4483" s="28" t="s">
        <v>16221</v>
      </c>
      <c r="I4483" s="28" t="s">
        <v>23153</v>
      </c>
      <c r="J4483" s="28" t="s">
        <v>39</v>
      </c>
      <c r="K4483" s="28" t="s">
        <v>16223</v>
      </c>
      <c r="L4483" s="28" t="s">
        <v>16224</v>
      </c>
      <c r="M4483" s="28" t="s">
        <v>19443</v>
      </c>
      <c r="N4483" s="28" t="s">
        <v>16226</v>
      </c>
      <c r="O4483" s="28" t="s">
        <v>16227</v>
      </c>
      <c r="P4483" s="28" t="s">
        <v>21863</v>
      </c>
    </row>
    <row r="4484" spans="1:16" x14ac:dyDescent="0.25">
      <c r="A4484" s="28" t="s">
        <v>23154</v>
      </c>
      <c r="B4484" s="28" t="s">
        <v>23155</v>
      </c>
      <c r="C4484" s="28" t="s">
        <v>4491</v>
      </c>
      <c r="D4484" s="28" t="s">
        <v>6454</v>
      </c>
      <c r="E4484" s="28" t="s">
        <v>17532</v>
      </c>
      <c r="F4484" s="28" t="s">
        <v>21</v>
      </c>
      <c r="G4484" s="28" t="s">
        <v>39</v>
      </c>
      <c r="H4484" s="28" t="s">
        <v>16221</v>
      </c>
      <c r="I4484" s="28" t="s">
        <v>23156</v>
      </c>
      <c r="J4484" s="28" t="s">
        <v>39</v>
      </c>
      <c r="K4484" s="28" t="s">
        <v>16223</v>
      </c>
      <c r="L4484" s="28" t="s">
        <v>16224</v>
      </c>
      <c r="M4484" s="28" t="s">
        <v>19447</v>
      </c>
      <c r="N4484" s="28" t="s">
        <v>16226</v>
      </c>
      <c r="O4484" s="28" t="s">
        <v>16227</v>
      </c>
      <c r="P4484" s="28" t="s">
        <v>21863</v>
      </c>
    </row>
    <row r="4485" spans="1:16" x14ac:dyDescent="0.25">
      <c r="A4485" s="28" t="s">
        <v>23157</v>
      </c>
      <c r="B4485" s="28" t="s">
        <v>23158</v>
      </c>
      <c r="C4485" s="28" t="s">
        <v>4491</v>
      </c>
      <c r="D4485" s="28" t="s">
        <v>6454</v>
      </c>
      <c r="E4485" s="28" t="s">
        <v>17538</v>
      </c>
      <c r="F4485" s="28" t="s">
        <v>21</v>
      </c>
      <c r="G4485" s="28" t="s">
        <v>39</v>
      </c>
      <c r="H4485" s="28" t="s">
        <v>16221</v>
      </c>
      <c r="I4485" s="28" t="s">
        <v>23159</v>
      </c>
      <c r="J4485" s="28" t="s">
        <v>39</v>
      </c>
      <c r="K4485" s="28" t="s">
        <v>16223</v>
      </c>
      <c r="L4485" s="28" t="s">
        <v>16224</v>
      </c>
      <c r="M4485" s="28" t="s">
        <v>19451</v>
      </c>
      <c r="N4485" s="28" t="s">
        <v>16226</v>
      </c>
      <c r="O4485" s="28" t="s">
        <v>16227</v>
      </c>
      <c r="P4485" s="28" t="s">
        <v>21867</v>
      </c>
    </row>
    <row r="4486" spans="1:16" x14ac:dyDescent="0.25">
      <c r="A4486" s="28" t="s">
        <v>23160</v>
      </c>
      <c r="B4486" s="28" t="s">
        <v>23161</v>
      </c>
      <c r="C4486" s="28" t="s">
        <v>4491</v>
      </c>
      <c r="D4486" s="28" t="s">
        <v>6454</v>
      </c>
      <c r="E4486" s="28" t="s">
        <v>17538</v>
      </c>
      <c r="F4486" s="28" t="s">
        <v>21</v>
      </c>
      <c r="G4486" s="28" t="s">
        <v>39</v>
      </c>
      <c r="H4486" s="28" t="s">
        <v>16221</v>
      </c>
      <c r="I4486" s="28" t="s">
        <v>23162</v>
      </c>
      <c r="J4486" s="28" t="s">
        <v>39</v>
      </c>
      <c r="K4486" s="28" t="s">
        <v>16223</v>
      </c>
      <c r="L4486" s="28" t="s">
        <v>16224</v>
      </c>
      <c r="M4486" s="28" t="s">
        <v>19455</v>
      </c>
      <c r="N4486" s="28" t="s">
        <v>16226</v>
      </c>
      <c r="O4486" s="28" t="s">
        <v>16227</v>
      </c>
      <c r="P4486" s="28" t="s">
        <v>21867</v>
      </c>
    </row>
    <row r="4487" spans="1:16" x14ac:dyDescent="0.25">
      <c r="A4487" s="28" t="s">
        <v>23163</v>
      </c>
      <c r="B4487" s="28" t="s">
        <v>23164</v>
      </c>
      <c r="C4487" s="28" t="s">
        <v>4491</v>
      </c>
      <c r="D4487" s="28" t="s">
        <v>6454</v>
      </c>
      <c r="E4487" s="28" t="s">
        <v>17538</v>
      </c>
      <c r="F4487" s="28" t="s">
        <v>21</v>
      </c>
      <c r="G4487" s="28" t="s">
        <v>39</v>
      </c>
      <c r="H4487" s="28" t="s">
        <v>16221</v>
      </c>
      <c r="I4487" s="28" t="s">
        <v>23165</v>
      </c>
      <c r="J4487" s="28" t="s">
        <v>39</v>
      </c>
      <c r="K4487" s="28" t="s">
        <v>16223</v>
      </c>
      <c r="L4487" s="28" t="s">
        <v>16224</v>
      </c>
      <c r="M4487" s="28" t="s">
        <v>19459</v>
      </c>
      <c r="N4487" s="28" t="s">
        <v>16226</v>
      </c>
      <c r="O4487" s="28" t="s">
        <v>16227</v>
      </c>
      <c r="P4487" s="28" t="s">
        <v>21867</v>
      </c>
    </row>
    <row r="4488" spans="1:16" x14ac:dyDescent="0.25">
      <c r="A4488" s="28" t="s">
        <v>23166</v>
      </c>
      <c r="B4488" s="28" t="s">
        <v>23167</v>
      </c>
      <c r="C4488" s="28" t="s">
        <v>4491</v>
      </c>
      <c r="D4488" s="28" t="s">
        <v>6467</v>
      </c>
      <c r="E4488" s="28" t="s">
        <v>17544</v>
      </c>
      <c r="F4488" s="28" t="s">
        <v>21</v>
      </c>
      <c r="G4488" s="28" t="s">
        <v>39</v>
      </c>
      <c r="H4488" s="28" t="s">
        <v>16221</v>
      </c>
      <c r="I4488" s="28" t="s">
        <v>23168</v>
      </c>
      <c r="J4488" s="28" t="s">
        <v>39</v>
      </c>
      <c r="K4488" s="28" t="s">
        <v>16223</v>
      </c>
      <c r="L4488" s="28" t="s">
        <v>16224</v>
      </c>
      <c r="M4488" s="28" t="s">
        <v>19463</v>
      </c>
      <c r="N4488" s="28" t="s">
        <v>16226</v>
      </c>
      <c r="O4488" s="28" t="s">
        <v>16227</v>
      </c>
      <c r="P4488" s="28" t="s">
        <v>21871</v>
      </c>
    </row>
    <row r="4489" spans="1:16" x14ac:dyDescent="0.25">
      <c r="A4489" s="28" t="s">
        <v>23169</v>
      </c>
      <c r="B4489" s="28" t="s">
        <v>23170</v>
      </c>
      <c r="C4489" s="28" t="s">
        <v>4491</v>
      </c>
      <c r="D4489" s="28" t="s">
        <v>6467</v>
      </c>
      <c r="E4489" s="28" t="s">
        <v>17544</v>
      </c>
      <c r="F4489" s="28" t="s">
        <v>21</v>
      </c>
      <c r="G4489" s="28" t="s">
        <v>39</v>
      </c>
      <c r="H4489" s="28" t="s">
        <v>16221</v>
      </c>
      <c r="I4489" s="28" t="s">
        <v>23171</v>
      </c>
      <c r="J4489" s="28" t="s">
        <v>39</v>
      </c>
      <c r="K4489" s="28" t="s">
        <v>16223</v>
      </c>
      <c r="L4489" s="28" t="s">
        <v>16224</v>
      </c>
      <c r="M4489" s="28" t="s">
        <v>19467</v>
      </c>
      <c r="N4489" s="28" t="s">
        <v>16226</v>
      </c>
      <c r="O4489" s="28" t="s">
        <v>16227</v>
      </c>
      <c r="P4489" s="28" t="s">
        <v>21871</v>
      </c>
    </row>
    <row r="4490" spans="1:16" x14ac:dyDescent="0.25">
      <c r="A4490" s="28" t="s">
        <v>23172</v>
      </c>
      <c r="B4490" s="28" t="s">
        <v>23173</v>
      </c>
      <c r="C4490" s="28" t="s">
        <v>4491</v>
      </c>
      <c r="D4490" s="28" t="s">
        <v>6467</v>
      </c>
      <c r="E4490" s="28" t="s">
        <v>17544</v>
      </c>
      <c r="F4490" s="28" t="s">
        <v>21</v>
      </c>
      <c r="G4490" s="28" t="s">
        <v>39</v>
      </c>
      <c r="H4490" s="28" t="s">
        <v>16221</v>
      </c>
      <c r="I4490" s="28" t="s">
        <v>23174</v>
      </c>
      <c r="J4490" s="28" t="s">
        <v>39</v>
      </c>
      <c r="K4490" s="28" t="s">
        <v>16223</v>
      </c>
      <c r="L4490" s="28" t="s">
        <v>16224</v>
      </c>
      <c r="M4490" s="28" t="s">
        <v>19471</v>
      </c>
      <c r="N4490" s="28" t="s">
        <v>16226</v>
      </c>
      <c r="O4490" s="28" t="s">
        <v>16227</v>
      </c>
      <c r="P4490" s="28" t="s">
        <v>21871</v>
      </c>
    </row>
    <row r="4491" spans="1:16" x14ac:dyDescent="0.25">
      <c r="A4491" s="28" t="s">
        <v>23175</v>
      </c>
      <c r="B4491" s="28" t="s">
        <v>23176</v>
      </c>
      <c r="C4491" s="28" t="s">
        <v>4491</v>
      </c>
      <c r="D4491" s="28" t="s">
        <v>6467</v>
      </c>
      <c r="E4491" s="28" t="s">
        <v>17544</v>
      </c>
      <c r="F4491" s="28" t="s">
        <v>21</v>
      </c>
      <c r="G4491" s="28" t="s">
        <v>39</v>
      </c>
      <c r="H4491" s="28" t="s">
        <v>16221</v>
      </c>
      <c r="I4491" s="28" t="s">
        <v>23177</v>
      </c>
      <c r="J4491" s="28" t="s">
        <v>39</v>
      </c>
      <c r="K4491" s="28" t="s">
        <v>16223</v>
      </c>
      <c r="L4491" s="28" t="s">
        <v>16224</v>
      </c>
      <c r="M4491" s="28" t="s">
        <v>19475</v>
      </c>
      <c r="N4491" s="28" t="s">
        <v>16226</v>
      </c>
      <c r="O4491" s="28" t="s">
        <v>16227</v>
      </c>
      <c r="P4491" s="28" t="s">
        <v>21871</v>
      </c>
    </row>
    <row r="4492" spans="1:16" x14ac:dyDescent="0.25">
      <c r="A4492" s="28" t="s">
        <v>23178</v>
      </c>
      <c r="B4492" s="28" t="s">
        <v>23179</v>
      </c>
      <c r="C4492" s="28" t="s">
        <v>4491</v>
      </c>
      <c r="D4492" s="28" t="s">
        <v>6467</v>
      </c>
      <c r="E4492" s="28" t="s">
        <v>17544</v>
      </c>
      <c r="F4492" s="28" t="s">
        <v>21</v>
      </c>
      <c r="G4492" s="28" t="s">
        <v>39</v>
      </c>
      <c r="H4492" s="28" t="s">
        <v>16221</v>
      </c>
      <c r="I4492" s="28" t="s">
        <v>23180</v>
      </c>
      <c r="J4492" s="28" t="s">
        <v>39</v>
      </c>
      <c r="K4492" s="28" t="s">
        <v>16223</v>
      </c>
      <c r="L4492" s="28" t="s">
        <v>16224</v>
      </c>
      <c r="M4492" s="28" t="s">
        <v>19479</v>
      </c>
      <c r="N4492" s="28" t="s">
        <v>16226</v>
      </c>
      <c r="O4492" s="28" t="s">
        <v>16227</v>
      </c>
      <c r="P4492" s="28" t="s">
        <v>21871</v>
      </c>
    </row>
    <row r="4493" spans="1:16" x14ac:dyDescent="0.25">
      <c r="A4493" s="28" t="s">
        <v>23181</v>
      </c>
      <c r="B4493" s="28" t="s">
        <v>23182</v>
      </c>
      <c r="C4493" s="28" t="s">
        <v>4491</v>
      </c>
      <c r="D4493" s="28" t="s">
        <v>6467</v>
      </c>
      <c r="E4493" s="28" t="s">
        <v>17544</v>
      </c>
      <c r="F4493" s="28" t="s">
        <v>21</v>
      </c>
      <c r="G4493" s="28" t="s">
        <v>39</v>
      </c>
      <c r="H4493" s="28" t="s">
        <v>16221</v>
      </c>
      <c r="I4493" s="28" t="s">
        <v>23183</v>
      </c>
      <c r="J4493" s="28" t="s">
        <v>39</v>
      </c>
      <c r="K4493" s="28" t="s">
        <v>16223</v>
      </c>
      <c r="L4493" s="28" t="s">
        <v>16224</v>
      </c>
      <c r="M4493" s="28" t="s">
        <v>19483</v>
      </c>
      <c r="N4493" s="28" t="s">
        <v>16226</v>
      </c>
      <c r="O4493" s="28" t="s">
        <v>16227</v>
      </c>
      <c r="P4493" s="28" t="s">
        <v>21871</v>
      </c>
    </row>
    <row r="4494" spans="1:16" x14ac:dyDescent="0.25">
      <c r="A4494" s="28" t="s">
        <v>23184</v>
      </c>
      <c r="B4494" s="28" t="s">
        <v>23185</v>
      </c>
      <c r="C4494" s="28" t="s">
        <v>4491</v>
      </c>
      <c r="D4494" s="28" t="s">
        <v>6467</v>
      </c>
      <c r="E4494" s="28" t="s">
        <v>17544</v>
      </c>
      <c r="F4494" s="28" t="s">
        <v>21</v>
      </c>
      <c r="G4494" s="28" t="s">
        <v>39</v>
      </c>
      <c r="H4494" s="28" t="s">
        <v>16221</v>
      </c>
      <c r="I4494" s="28" t="s">
        <v>23186</v>
      </c>
      <c r="J4494" s="28" t="s">
        <v>39</v>
      </c>
      <c r="K4494" s="28" t="s">
        <v>16223</v>
      </c>
      <c r="L4494" s="28" t="s">
        <v>16224</v>
      </c>
      <c r="M4494" s="28" t="s">
        <v>19487</v>
      </c>
      <c r="N4494" s="28" t="s">
        <v>16226</v>
      </c>
      <c r="O4494" s="28" t="s">
        <v>16227</v>
      </c>
      <c r="P4494" s="28" t="s">
        <v>21871</v>
      </c>
    </row>
    <row r="4495" spans="1:16" x14ac:dyDescent="0.25">
      <c r="A4495" s="28" t="s">
        <v>23187</v>
      </c>
      <c r="B4495" s="28" t="s">
        <v>23188</v>
      </c>
      <c r="C4495" s="28" t="s">
        <v>4491</v>
      </c>
      <c r="D4495" s="28" t="s">
        <v>6467</v>
      </c>
      <c r="E4495" s="28" t="s">
        <v>17544</v>
      </c>
      <c r="F4495" s="28" t="s">
        <v>21</v>
      </c>
      <c r="G4495" s="28" t="s">
        <v>39</v>
      </c>
      <c r="H4495" s="28" t="s">
        <v>16221</v>
      </c>
      <c r="I4495" s="28" t="s">
        <v>23189</v>
      </c>
      <c r="J4495" s="28" t="s">
        <v>39</v>
      </c>
      <c r="K4495" s="28" t="s">
        <v>16223</v>
      </c>
      <c r="L4495" s="28" t="s">
        <v>16224</v>
      </c>
      <c r="M4495" s="28" t="s">
        <v>19491</v>
      </c>
      <c r="N4495" s="28" t="s">
        <v>16226</v>
      </c>
      <c r="O4495" s="28" t="s">
        <v>16227</v>
      </c>
      <c r="P4495" s="28" t="s">
        <v>21871</v>
      </c>
    </row>
    <row r="4496" spans="1:16" x14ac:dyDescent="0.25">
      <c r="A4496" s="28" t="s">
        <v>23190</v>
      </c>
      <c r="B4496" s="28" t="s">
        <v>23191</v>
      </c>
      <c r="C4496" s="28" t="s">
        <v>4491</v>
      </c>
      <c r="D4496" s="28" t="s">
        <v>6467</v>
      </c>
      <c r="E4496" s="28" t="s">
        <v>17544</v>
      </c>
      <c r="F4496" s="28" t="s">
        <v>21</v>
      </c>
      <c r="G4496" s="28" t="s">
        <v>39</v>
      </c>
      <c r="H4496" s="28" t="s">
        <v>16221</v>
      </c>
      <c r="I4496" s="28" t="s">
        <v>23192</v>
      </c>
      <c r="J4496" s="28" t="s">
        <v>39</v>
      </c>
      <c r="K4496" s="28" t="s">
        <v>16223</v>
      </c>
      <c r="L4496" s="28" t="s">
        <v>16224</v>
      </c>
      <c r="M4496" s="28" t="s">
        <v>19495</v>
      </c>
      <c r="N4496" s="28" t="s">
        <v>16226</v>
      </c>
      <c r="O4496" s="28" t="s">
        <v>16227</v>
      </c>
      <c r="P4496" s="28" t="s">
        <v>21871</v>
      </c>
    </row>
    <row r="4497" spans="1:16" x14ac:dyDescent="0.25">
      <c r="A4497" s="28" t="s">
        <v>23193</v>
      </c>
      <c r="B4497" s="28" t="s">
        <v>23194</v>
      </c>
      <c r="C4497" s="28" t="s">
        <v>4491</v>
      </c>
      <c r="D4497" s="28" t="s">
        <v>6467</v>
      </c>
      <c r="E4497" s="28" t="s">
        <v>17544</v>
      </c>
      <c r="F4497" s="28" t="s">
        <v>21</v>
      </c>
      <c r="G4497" s="28" t="s">
        <v>39</v>
      </c>
      <c r="H4497" s="28" t="s">
        <v>16221</v>
      </c>
      <c r="I4497" s="28" t="s">
        <v>23195</v>
      </c>
      <c r="J4497" s="28" t="s">
        <v>39</v>
      </c>
      <c r="K4497" s="28" t="s">
        <v>16223</v>
      </c>
      <c r="L4497" s="28" t="s">
        <v>16224</v>
      </c>
      <c r="M4497" s="28" t="s">
        <v>19499</v>
      </c>
      <c r="N4497" s="28" t="s">
        <v>16226</v>
      </c>
      <c r="O4497" s="28" t="s">
        <v>16227</v>
      </c>
      <c r="P4497" s="28" t="s">
        <v>21871</v>
      </c>
    </row>
    <row r="4498" spans="1:16" x14ac:dyDescent="0.25">
      <c r="A4498" s="28" t="s">
        <v>23196</v>
      </c>
      <c r="B4498" s="28" t="s">
        <v>23197</v>
      </c>
      <c r="C4498" s="28" t="s">
        <v>4491</v>
      </c>
      <c r="D4498" s="28" t="s">
        <v>6467</v>
      </c>
      <c r="E4498" s="28" t="s">
        <v>17544</v>
      </c>
      <c r="F4498" s="28" t="s">
        <v>21</v>
      </c>
      <c r="G4498" s="28" t="s">
        <v>39</v>
      </c>
      <c r="H4498" s="28" t="s">
        <v>16221</v>
      </c>
      <c r="I4498" s="28" t="s">
        <v>23198</v>
      </c>
      <c r="J4498" s="28" t="s">
        <v>39</v>
      </c>
      <c r="K4498" s="28" t="s">
        <v>16223</v>
      </c>
      <c r="L4498" s="28" t="s">
        <v>16224</v>
      </c>
      <c r="M4498" s="28" t="s">
        <v>19503</v>
      </c>
      <c r="N4498" s="28" t="s">
        <v>16226</v>
      </c>
      <c r="O4498" s="28" t="s">
        <v>16227</v>
      </c>
      <c r="P4498" s="28" t="s">
        <v>21871</v>
      </c>
    </row>
    <row r="4499" spans="1:16" x14ac:dyDescent="0.25">
      <c r="A4499" s="28" t="s">
        <v>23199</v>
      </c>
      <c r="B4499" s="28" t="s">
        <v>23200</v>
      </c>
      <c r="C4499" s="28" t="s">
        <v>4491</v>
      </c>
      <c r="D4499" s="28" t="s">
        <v>6467</v>
      </c>
      <c r="E4499" s="28" t="s">
        <v>17544</v>
      </c>
      <c r="F4499" s="28" t="s">
        <v>21</v>
      </c>
      <c r="G4499" s="28" t="s">
        <v>39</v>
      </c>
      <c r="H4499" s="28" t="s">
        <v>16221</v>
      </c>
      <c r="I4499" s="28" t="s">
        <v>23201</v>
      </c>
      <c r="J4499" s="28" t="s">
        <v>39</v>
      </c>
      <c r="K4499" s="28" t="s">
        <v>16223</v>
      </c>
      <c r="L4499" s="28" t="s">
        <v>16224</v>
      </c>
      <c r="M4499" s="28" t="s">
        <v>19507</v>
      </c>
      <c r="N4499" s="28" t="s">
        <v>16226</v>
      </c>
      <c r="O4499" s="28" t="s">
        <v>16227</v>
      </c>
      <c r="P4499" s="28" t="s">
        <v>21871</v>
      </c>
    </row>
    <row r="4500" spans="1:16" x14ac:dyDescent="0.25">
      <c r="A4500" s="28" t="s">
        <v>23202</v>
      </c>
      <c r="B4500" s="28" t="s">
        <v>23203</v>
      </c>
      <c r="C4500" s="28" t="s">
        <v>4491</v>
      </c>
      <c r="D4500" s="28" t="s">
        <v>6467</v>
      </c>
      <c r="E4500" s="28" t="s">
        <v>17544</v>
      </c>
      <c r="F4500" s="28" t="s">
        <v>21</v>
      </c>
      <c r="G4500" s="28" t="s">
        <v>39</v>
      </c>
      <c r="H4500" s="28" t="s">
        <v>16221</v>
      </c>
      <c r="I4500" s="28" t="s">
        <v>23204</v>
      </c>
      <c r="J4500" s="28" t="s">
        <v>39</v>
      </c>
      <c r="K4500" s="28" t="s">
        <v>16223</v>
      </c>
      <c r="L4500" s="28" t="s">
        <v>16224</v>
      </c>
      <c r="M4500" s="28" t="s">
        <v>19511</v>
      </c>
      <c r="N4500" s="28" t="s">
        <v>16226</v>
      </c>
      <c r="O4500" s="28" t="s">
        <v>16227</v>
      </c>
      <c r="P4500" s="28" t="s">
        <v>21871</v>
      </c>
    </row>
    <row r="4501" spans="1:16" x14ac:dyDescent="0.25">
      <c r="A4501" s="28" t="s">
        <v>23205</v>
      </c>
      <c r="B4501" s="28" t="s">
        <v>23206</v>
      </c>
      <c r="C4501" s="28" t="s">
        <v>4491</v>
      </c>
      <c r="D4501" s="28" t="s">
        <v>6467</v>
      </c>
      <c r="E4501" s="28" t="s">
        <v>17544</v>
      </c>
      <c r="F4501" s="28" t="s">
        <v>21</v>
      </c>
      <c r="G4501" s="28" t="s">
        <v>39</v>
      </c>
      <c r="H4501" s="28" t="s">
        <v>16221</v>
      </c>
      <c r="I4501" s="28" t="s">
        <v>23207</v>
      </c>
      <c r="J4501" s="28" t="s">
        <v>39</v>
      </c>
      <c r="K4501" s="28" t="s">
        <v>16223</v>
      </c>
      <c r="L4501" s="28" t="s">
        <v>16224</v>
      </c>
      <c r="M4501" s="28" t="s">
        <v>19515</v>
      </c>
      <c r="N4501" s="28" t="s">
        <v>16226</v>
      </c>
      <c r="O4501" s="28" t="s">
        <v>16227</v>
      </c>
      <c r="P4501" s="28" t="s">
        <v>21871</v>
      </c>
    </row>
    <row r="4502" spans="1:16" x14ac:dyDescent="0.25">
      <c r="A4502" s="28" t="s">
        <v>23208</v>
      </c>
      <c r="B4502" s="28" t="s">
        <v>23209</v>
      </c>
      <c r="C4502" s="28" t="s">
        <v>4491</v>
      </c>
      <c r="D4502" s="28" t="s">
        <v>6467</v>
      </c>
      <c r="E4502" s="28" t="s">
        <v>17544</v>
      </c>
      <c r="F4502" s="28" t="s">
        <v>21</v>
      </c>
      <c r="G4502" s="28" t="s">
        <v>39</v>
      </c>
      <c r="H4502" s="28" t="s">
        <v>16221</v>
      </c>
      <c r="I4502" s="28" t="s">
        <v>23210</v>
      </c>
      <c r="J4502" s="28" t="s">
        <v>39</v>
      </c>
      <c r="K4502" s="28" t="s">
        <v>16223</v>
      </c>
      <c r="L4502" s="28" t="s">
        <v>16224</v>
      </c>
      <c r="M4502" s="28" t="s">
        <v>19519</v>
      </c>
      <c r="N4502" s="28" t="s">
        <v>16226</v>
      </c>
      <c r="O4502" s="28" t="s">
        <v>16227</v>
      </c>
      <c r="P4502" s="28" t="s">
        <v>21871</v>
      </c>
    </row>
    <row r="4503" spans="1:16" x14ac:dyDescent="0.25">
      <c r="A4503" s="28" t="s">
        <v>23211</v>
      </c>
      <c r="B4503" s="28" t="s">
        <v>23212</v>
      </c>
      <c r="C4503" s="28" t="s">
        <v>4491</v>
      </c>
      <c r="D4503" s="28" t="s">
        <v>6467</v>
      </c>
      <c r="E4503" s="28" t="s">
        <v>17544</v>
      </c>
      <c r="F4503" s="28" t="s">
        <v>21</v>
      </c>
      <c r="G4503" s="28" t="s">
        <v>39</v>
      </c>
      <c r="H4503" s="28" t="s">
        <v>16221</v>
      </c>
      <c r="I4503" s="28" t="s">
        <v>23213</v>
      </c>
      <c r="J4503" s="28" t="s">
        <v>39</v>
      </c>
      <c r="K4503" s="28" t="s">
        <v>16223</v>
      </c>
      <c r="L4503" s="28" t="s">
        <v>16224</v>
      </c>
      <c r="M4503" s="28" t="s">
        <v>19523</v>
      </c>
      <c r="N4503" s="28" t="s">
        <v>16226</v>
      </c>
      <c r="O4503" s="28" t="s">
        <v>16227</v>
      </c>
      <c r="P4503" s="28" t="s">
        <v>21871</v>
      </c>
    </row>
    <row r="4504" spans="1:16" x14ac:dyDescent="0.25">
      <c r="A4504" s="28" t="s">
        <v>23214</v>
      </c>
      <c r="B4504" s="28" t="s">
        <v>23215</v>
      </c>
      <c r="C4504" s="28" t="s">
        <v>4491</v>
      </c>
      <c r="D4504" s="28" t="s">
        <v>6467</v>
      </c>
      <c r="E4504" s="28" t="s">
        <v>17544</v>
      </c>
      <c r="F4504" s="28" t="s">
        <v>21</v>
      </c>
      <c r="G4504" s="28" t="s">
        <v>39</v>
      </c>
      <c r="H4504" s="28" t="s">
        <v>16221</v>
      </c>
      <c r="I4504" s="28" t="s">
        <v>23216</v>
      </c>
      <c r="J4504" s="28" t="s">
        <v>39</v>
      </c>
      <c r="K4504" s="28" t="s">
        <v>16223</v>
      </c>
      <c r="L4504" s="28" t="s">
        <v>16224</v>
      </c>
      <c r="M4504" s="28" t="s">
        <v>19527</v>
      </c>
      <c r="N4504" s="28" t="s">
        <v>16226</v>
      </c>
      <c r="O4504" s="28" t="s">
        <v>16227</v>
      </c>
      <c r="P4504" s="28" t="s">
        <v>21871</v>
      </c>
    </row>
    <row r="4505" spans="1:16" x14ac:dyDescent="0.25">
      <c r="A4505" s="28" t="s">
        <v>23217</v>
      </c>
      <c r="B4505" s="28" t="s">
        <v>23218</v>
      </c>
      <c r="C4505" s="28" t="s">
        <v>4491</v>
      </c>
      <c r="D4505" s="28" t="s">
        <v>6467</v>
      </c>
      <c r="E4505" s="28" t="s">
        <v>17544</v>
      </c>
      <c r="F4505" s="28" t="s">
        <v>21</v>
      </c>
      <c r="G4505" s="28" t="s">
        <v>39</v>
      </c>
      <c r="H4505" s="28" t="s">
        <v>16221</v>
      </c>
      <c r="I4505" s="28" t="s">
        <v>23219</v>
      </c>
      <c r="J4505" s="28" t="s">
        <v>39</v>
      </c>
      <c r="K4505" s="28" t="s">
        <v>16223</v>
      </c>
      <c r="L4505" s="28" t="s">
        <v>16224</v>
      </c>
      <c r="M4505" s="28" t="s">
        <v>19531</v>
      </c>
      <c r="N4505" s="28" t="s">
        <v>16226</v>
      </c>
      <c r="O4505" s="28" t="s">
        <v>16227</v>
      </c>
      <c r="P4505" s="28" t="s">
        <v>21871</v>
      </c>
    </row>
    <row r="4506" spans="1:16" x14ac:dyDescent="0.25">
      <c r="A4506" s="28" t="s">
        <v>23220</v>
      </c>
      <c r="B4506" s="28" t="s">
        <v>23221</v>
      </c>
      <c r="C4506" s="28" t="s">
        <v>4491</v>
      </c>
      <c r="D4506" s="28" t="s">
        <v>6467</v>
      </c>
      <c r="E4506" s="28" t="s">
        <v>17544</v>
      </c>
      <c r="F4506" s="28" t="s">
        <v>21</v>
      </c>
      <c r="G4506" s="28" t="s">
        <v>39</v>
      </c>
      <c r="H4506" s="28" t="s">
        <v>16221</v>
      </c>
      <c r="I4506" s="28" t="s">
        <v>23222</v>
      </c>
      <c r="J4506" s="28" t="s">
        <v>39</v>
      </c>
      <c r="K4506" s="28" t="s">
        <v>16223</v>
      </c>
      <c r="L4506" s="28" t="s">
        <v>16224</v>
      </c>
      <c r="M4506" s="28" t="s">
        <v>19535</v>
      </c>
      <c r="N4506" s="28" t="s">
        <v>16226</v>
      </c>
      <c r="O4506" s="28" t="s">
        <v>16227</v>
      </c>
      <c r="P4506" s="28" t="s">
        <v>21871</v>
      </c>
    </row>
    <row r="4507" spans="1:16" x14ac:dyDescent="0.25">
      <c r="A4507" s="28" t="s">
        <v>23223</v>
      </c>
      <c r="B4507" s="28" t="s">
        <v>23224</v>
      </c>
      <c r="C4507" s="28" t="s">
        <v>4491</v>
      </c>
      <c r="D4507" s="28" t="s">
        <v>6467</v>
      </c>
      <c r="E4507" s="28" t="s">
        <v>17544</v>
      </c>
      <c r="F4507" s="28" t="s">
        <v>21</v>
      </c>
      <c r="G4507" s="28" t="s">
        <v>39</v>
      </c>
      <c r="H4507" s="28" t="s">
        <v>16221</v>
      </c>
      <c r="I4507" s="28" t="s">
        <v>23225</v>
      </c>
      <c r="J4507" s="28" t="s">
        <v>39</v>
      </c>
      <c r="K4507" s="28" t="s">
        <v>16223</v>
      </c>
      <c r="L4507" s="28" t="s">
        <v>16224</v>
      </c>
      <c r="M4507" s="28" t="s">
        <v>19539</v>
      </c>
      <c r="N4507" s="28" t="s">
        <v>16226</v>
      </c>
      <c r="O4507" s="28" t="s">
        <v>16227</v>
      </c>
      <c r="P4507" s="28" t="s">
        <v>21871</v>
      </c>
    </row>
    <row r="4508" spans="1:16" x14ac:dyDescent="0.25">
      <c r="A4508" s="28" t="s">
        <v>23226</v>
      </c>
      <c r="B4508" s="28" t="s">
        <v>23227</v>
      </c>
      <c r="C4508" s="28" t="s">
        <v>4491</v>
      </c>
      <c r="D4508" s="28" t="s">
        <v>6467</v>
      </c>
      <c r="E4508" s="28" t="s">
        <v>17544</v>
      </c>
      <c r="F4508" s="28" t="s">
        <v>21</v>
      </c>
      <c r="G4508" s="28" t="s">
        <v>39</v>
      </c>
      <c r="H4508" s="28" t="s">
        <v>16221</v>
      </c>
      <c r="I4508" s="28" t="s">
        <v>23228</v>
      </c>
      <c r="J4508" s="28" t="s">
        <v>39</v>
      </c>
      <c r="K4508" s="28" t="s">
        <v>16223</v>
      </c>
      <c r="L4508" s="28" t="s">
        <v>16224</v>
      </c>
      <c r="M4508" s="28" t="s">
        <v>19543</v>
      </c>
      <c r="N4508" s="28" t="s">
        <v>16226</v>
      </c>
      <c r="O4508" s="28" t="s">
        <v>16227</v>
      </c>
      <c r="P4508" s="28" t="s">
        <v>21871</v>
      </c>
    </row>
    <row r="4509" spans="1:16" x14ac:dyDescent="0.25">
      <c r="A4509" s="28" t="s">
        <v>23229</v>
      </c>
      <c r="B4509" s="28" t="s">
        <v>23230</v>
      </c>
      <c r="C4509" s="28" t="s">
        <v>4491</v>
      </c>
      <c r="D4509" s="28" t="s">
        <v>6467</v>
      </c>
      <c r="E4509" s="28" t="s">
        <v>17544</v>
      </c>
      <c r="F4509" s="28" t="s">
        <v>21</v>
      </c>
      <c r="G4509" s="28" t="s">
        <v>39</v>
      </c>
      <c r="H4509" s="28" t="s">
        <v>16221</v>
      </c>
      <c r="I4509" s="28" t="s">
        <v>23231</v>
      </c>
      <c r="J4509" s="28" t="s">
        <v>39</v>
      </c>
      <c r="K4509" s="28" t="s">
        <v>16223</v>
      </c>
      <c r="L4509" s="28" t="s">
        <v>16224</v>
      </c>
      <c r="M4509" s="28" t="s">
        <v>19547</v>
      </c>
      <c r="N4509" s="28" t="s">
        <v>16226</v>
      </c>
      <c r="O4509" s="28" t="s">
        <v>16227</v>
      </c>
      <c r="P4509" s="28" t="s">
        <v>21871</v>
      </c>
    </row>
    <row r="4510" spans="1:16" x14ac:dyDescent="0.25">
      <c r="A4510" s="28" t="s">
        <v>23232</v>
      </c>
      <c r="B4510" s="28" t="s">
        <v>23233</v>
      </c>
      <c r="C4510" s="28" t="s">
        <v>4491</v>
      </c>
      <c r="D4510" s="28" t="s">
        <v>6467</v>
      </c>
      <c r="E4510" s="28" t="s">
        <v>17544</v>
      </c>
      <c r="F4510" s="28" t="s">
        <v>21</v>
      </c>
      <c r="G4510" s="28" t="s">
        <v>39</v>
      </c>
      <c r="H4510" s="28" t="s">
        <v>16221</v>
      </c>
      <c r="I4510" s="28" t="s">
        <v>23234</v>
      </c>
      <c r="J4510" s="28" t="s">
        <v>39</v>
      </c>
      <c r="K4510" s="28" t="s">
        <v>16223</v>
      </c>
      <c r="L4510" s="28" t="s">
        <v>16224</v>
      </c>
      <c r="M4510" s="28" t="s">
        <v>19551</v>
      </c>
      <c r="N4510" s="28" t="s">
        <v>16226</v>
      </c>
      <c r="O4510" s="28" t="s">
        <v>16227</v>
      </c>
      <c r="P4510" s="28" t="s">
        <v>21871</v>
      </c>
    </row>
    <row r="4511" spans="1:16" x14ac:dyDescent="0.25">
      <c r="A4511" s="28" t="s">
        <v>23235</v>
      </c>
      <c r="B4511" s="28" t="s">
        <v>23236</v>
      </c>
      <c r="C4511" s="28" t="s">
        <v>4491</v>
      </c>
      <c r="D4511" s="28" t="s">
        <v>6467</v>
      </c>
      <c r="E4511" s="28" t="s">
        <v>17544</v>
      </c>
      <c r="F4511" s="28" t="s">
        <v>21</v>
      </c>
      <c r="G4511" s="28" t="s">
        <v>39</v>
      </c>
      <c r="H4511" s="28" t="s">
        <v>16221</v>
      </c>
      <c r="I4511" s="28" t="s">
        <v>23237</v>
      </c>
      <c r="J4511" s="28" t="s">
        <v>39</v>
      </c>
      <c r="K4511" s="28" t="s">
        <v>16223</v>
      </c>
      <c r="L4511" s="28" t="s">
        <v>16224</v>
      </c>
      <c r="M4511" s="28" t="s">
        <v>19555</v>
      </c>
      <c r="N4511" s="28" t="s">
        <v>16226</v>
      </c>
      <c r="O4511" s="28" t="s">
        <v>16227</v>
      </c>
      <c r="P4511" s="28" t="s">
        <v>21871</v>
      </c>
    </row>
    <row r="4512" spans="1:16" x14ac:dyDescent="0.25">
      <c r="A4512" s="28" t="s">
        <v>23238</v>
      </c>
      <c r="B4512" s="28" t="s">
        <v>23239</v>
      </c>
      <c r="C4512" s="28" t="s">
        <v>4491</v>
      </c>
      <c r="D4512" s="28" t="s">
        <v>6467</v>
      </c>
      <c r="E4512" s="28" t="s">
        <v>17544</v>
      </c>
      <c r="F4512" s="28" t="s">
        <v>21</v>
      </c>
      <c r="G4512" s="28" t="s">
        <v>39</v>
      </c>
      <c r="H4512" s="28" t="s">
        <v>16221</v>
      </c>
      <c r="I4512" s="28" t="s">
        <v>23240</v>
      </c>
      <c r="J4512" s="28" t="s">
        <v>39</v>
      </c>
      <c r="K4512" s="28" t="s">
        <v>16223</v>
      </c>
      <c r="L4512" s="28" t="s">
        <v>16224</v>
      </c>
      <c r="M4512" s="28" t="s">
        <v>19559</v>
      </c>
      <c r="N4512" s="28" t="s">
        <v>16226</v>
      </c>
      <c r="O4512" s="28" t="s">
        <v>16227</v>
      </c>
      <c r="P4512" s="28" t="s">
        <v>21871</v>
      </c>
    </row>
    <row r="4513" spans="1:16" x14ac:dyDescent="0.25">
      <c r="A4513" s="28" t="s">
        <v>23241</v>
      </c>
      <c r="B4513" s="28" t="s">
        <v>23242</v>
      </c>
      <c r="C4513" s="28" t="s">
        <v>4491</v>
      </c>
      <c r="D4513" s="28" t="s">
        <v>6467</v>
      </c>
      <c r="E4513" s="28" t="s">
        <v>17544</v>
      </c>
      <c r="F4513" s="28" t="s">
        <v>21</v>
      </c>
      <c r="G4513" s="28" t="s">
        <v>39</v>
      </c>
      <c r="H4513" s="28" t="s">
        <v>16221</v>
      </c>
      <c r="I4513" s="28" t="s">
        <v>23243</v>
      </c>
      <c r="J4513" s="28" t="s">
        <v>39</v>
      </c>
      <c r="K4513" s="28" t="s">
        <v>16223</v>
      </c>
      <c r="L4513" s="28" t="s">
        <v>16224</v>
      </c>
      <c r="M4513" s="28" t="s">
        <v>19563</v>
      </c>
      <c r="N4513" s="28" t="s">
        <v>16226</v>
      </c>
      <c r="O4513" s="28" t="s">
        <v>16227</v>
      </c>
      <c r="P4513" s="28" t="s">
        <v>21871</v>
      </c>
    </row>
    <row r="4514" spans="1:16" x14ac:dyDescent="0.25">
      <c r="A4514" s="28" t="s">
        <v>23244</v>
      </c>
      <c r="B4514" s="28" t="s">
        <v>23245</v>
      </c>
      <c r="C4514" s="28" t="s">
        <v>4491</v>
      </c>
      <c r="D4514" s="28" t="s">
        <v>6467</v>
      </c>
      <c r="E4514" s="28" t="s">
        <v>17544</v>
      </c>
      <c r="F4514" s="28" t="s">
        <v>21</v>
      </c>
      <c r="G4514" s="28" t="s">
        <v>39</v>
      </c>
      <c r="H4514" s="28" t="s">
        <v>16221</v>
      </c>
      <c r="I4514" s="28" t="s">
        <v>23246</v>
      </c>
      <c r="J4514" s="28" t="s">
        <v>39</v>
      </c>
      <c r="K4514" s="28" t="s">
        <v>16223</v>
      </c>
      <c r="L4514" s="28" t="s">
        <v>16224</v>
      </c>
      <c r="M4514" s="28" t="s">
        <v>19567</v>
      </c>
      <c r="N4514" s="28" t="s">
        <v>16226</v>
      </c>
      <c r="O4514" s="28" t="s">
        <v>16227</v>
      </c>
      <c r="P4514" s="28" t="s">
        <v>21871</v>
      </c>
    </row>
    <row r="4515" spans="1:16" x14ac:dyDescent="0.25">
      <c r="A4515" s="28" t="s">
        <v>23247</v>
      </c>
      <c r="B4515" s="28" t="s">
        <v>23248</v>
      </c>
      <c r="C4515" s="28" t="s">
        <v>4491</v>
      </c>
      <c r="D4515" s="28" t="s">
        <v>6467</v>
      </c>
      <c r="E4515" s="28" t="s">
        <v>17544</v>
      </c>
      <c r="F4515" s="28" t="s">
        <v>21</v>
      </c>
      <c r="G4515" s="28" t="s">
        <v>39</v>
      </c>
      <c r="H4515" s="28" t="s">
        <v>16221</v>
      </c>
      <c r="I4515" s="28" t="s">
        <v>23249</v>
      </c>
      <c r="J4515" s="28" t="s">
        <v>39</v>
      </c>
      <c r="K4515" s="28" t="s">
        <v>16223</v>
      </c>
      <c r="L4515" s="28" t="s">
        <v>16224</v>
      </c>
      <c r="M4515" s="28" t="s">
        <v>19571</v>
      </c>
      <c r="N4515" s="28" t="s">
        <v>16226</v>
      </c>
      <c r="O4515" s="28" t="s">
        <v>16227</v>
      </c>
      <c r="P4515" s="28" t="s">
        <v>21871</v>
      </c>
    </row>
    <row r="4516" spans="1:16" x14ac:dyDescent="0.25">
      <c r="A4516" s="28" t="s">
        <v>23250</v>
      </c>
      <c r="B4516" s="28" t="s">
        <v>23251</v>
      </c>
      <c r="C4516" s="28" t="s">
        <v>4491</v>
      </c>
      <c r="D4516" s="28" t="s">
        <v>6467</v>
      </c>
      <c r="E4516" s="28" t="s">
        <v>17544</v>
      </c>
      <c r="F4516" s="28" t="s">
        <v>21</v>
      </c>
      <c r="G4516" s="28" t="s">
        <v>39</v>
      </c>
      <c r="H4516" s="28" t="s">
        <v>16221</v>
      </c>
      <c r="I4516" s="28" t="s">
        <v>23252</v>
      </c>
      <c r="J4516" s="28" t="s">
        <v>39</v>
      </c>
      <c r="K4516" s="28" t="s">
        <v>16223</v>
      </c>
      <c r="L4516" s="28" t="s">
        <v>16224</v>
      </c>
      <c r="M4516" s="28" t="s">
        <v>19575</v>
      </c>
      <c r="N4516" s="28" t="s">
        <v>16226</v>
      </c>
      <c r="O4516" s="28" t="s">
        <v>16227</v>
      </c>
      <c r="P4516" s="28" t="s">
        <v>21871</v>
      </c>
    </row>
    <row r="4517" spans="1:16" x14ac:dyDescent="0.25">
      <c r="A4517" s="28" t="s">
        <v>23253</v>
      </c>
      <c r="B4517" s="28" t="s">
        <v>23254</v>
      </c>
      <c r="C4517" s="28" t="s">
        <v>4491</v>
      </c>
      <c r="D4517" s="28" t="s">
        <v>6467</v>
      </c>
      <c r="E4517" s="28" t="s">
        <v>17544</v>
      </c>
      <c r="F4517" s="28" t="s">
        <v>21</v>
      </c>
      <c r="G4517" s="28" t="s">
        <v>39</v>
      </c>
      <c r="H4517" s="28" t="s">
        <v>16221</v>
      </c>
      <c r="I4517" s="28" t="s">
        <v>23255</v>
      </c>
      <c r="J4517" s="28" t="s">
        <v>39</v>
      </c>
      <c r="K4517" s="28" t="s">
        <v>16223</v>
      </c>
      <c r="L4517" s="28" t="s">
        <v>16224</v>
      </c>
      <c r="M4517" s="28" t="s">
        <v>19579</v>
      </c>
      <c r="N4517" s="28" t="s">
        <v>16226</v>
      </c>
      <c r="O4517" s="28" t="s">
        <v>16227</v>
      </c>
      <c r="P4517" s="28" t="s">
        <v>21871</v>
      </c>
    </row>
    <row r="4518" spans="1:16" x14ac:dyDescent="0.25">
      <c r="A4518" s="28" t="s">
        <v>23256</v>
      </c>
      <c r="B4518" s="28" t="s">
        <v>23257</v>
      </c>
      <c r="C4518" s="28" t="s">
        <v>4491</v>
      </c>
      <c r="D4518" s="28" t="s">
        <v>6467</v>
      </c>
      <c r="E4518" s="28" t="s">
        <v>17544</v>
      </c>
      <c r="F4518" s="28" t="s">
        <v>21</v>
      </c>
      <c r="G4518" s="28" t="s">
        <v>39</v>
      </c>
      <c r="H4518" s="28" t="s">
        <v>16221</v>
      </c>
      <c r="I4518" s="28" t="s">
        <v>23258</v>
      </c>
      <c r="J4518" s="28" t="s">
        <v>39</v>
      </c>
      <c r="K4518" s="28" t="s">
        <v>16223</v>
      </c>
      <c r="L4518" s="28" t="s">
        <v>16224</v>
      </c>
      <c r="M4518" s="28" t="s">
        <v>19583</v>
      </c>
      <c r="N4518" s="28" t="s">
        <v>16226</v>
      </c>
      <c r="O4518" s="28" t="s">
        <v>16227</v>
      </c>
      <c r="P4518" s="28" t="s">
        <v>21871</v>
      </c>
    </row>
    <row r="4519" spans="1:16" x14ac:dyDescent="0.25">
      <c r="A4519" s="28" t="s">
        <v>23259</v>
      </c>
      <c r="B4519" s="28" t="s">
        <v>23260</v>
      </c>
      <c r="C4519" s="28" t="s">
        <v>4491</v>
      </c>
      <c r="D4519" s="28" t="s">
        <v>6467</v>
      </c>
      <c r="E4519" s="28" t="s">
        <v>17544</v>
      </c>
      <c r="F4519" s="28" t="s">
        <v>21</v>
      </c>
      <c r="G4519" s="28" t="s">
        <v>39</v>
      </c>
      <c r="H4519" s="28" t="s">
        <v>16221</v>
      </c>
      <c r="I4519" s="28" t="s">
        <v>23261</v>
      </c>
      <c r="J4519" s="28" t="s">
        <v>39</v>
      </c>
      <c r="K4519" s="28" t="s">
        <v>16223</v>
      </c>
      <c r="L4519" s="28" t="s">
        <v>16224</v>
      </c>
      <c r="M4519" s="28" t="s">
        <v>19587</v>
      </c>
      <c r="N4519" s="28" t="s">
        <v>16226</v>
      </c>
      <c r="O4519" s="28" t="s">
        <v>16227</v>
      </c>
      <c r="P4519" s="28" t="s">
        <v>21871</v>
      </c>
    </row>
    <row r="4520" spans="1:16" x14ac:dyDescent="0.25">
      <c r="A4520" s="28" t="s">
        <v>23262</v>
      </c>
      <c r="B4520" s="28" t="s">
        <v>23263</v>
      </c>
      <c r="C4520" s="28" t="s">
        <v>4491</v>
      </c>
      <c r="D4520" s="28" t="s">
        <v>6467</v>
      </c>
      <c r="E4520" s="28" t="s">
        <v>17544</v>
      </c>
      <c r="F4520" s="28" t="s">
        <v>21</v>
      </c>
      <c r="G4520" s="28" t="s">
        <v>39</v>
      </c>
      <c r="H4520" s="28" t="s">
        <v>16221</v>
      </c>
      <c r="I4520" s="28" t="s">
        <v>23264</v>
      </c>
      <c r="J4520" s="28" t="s">
        <v>39</v>
      </c>
      <c r="K4520" s="28" t="s">
        <v>16223</v>
      </c>
      <c r="L4520" s="28" t="s">
        <v>16224</v>
      </c>
      <c r="M4520" s="28" t="s">
        <v>19591</v>
      </c>
      <c r="N4520" s="28" t="s">
        <v>16226</v>
      </c>
      <c r="O4520" s="28" t="s">
        <v>16227</v>
      </c>
      <c r="P4520" s="28" t="s">
        <v>21871</v>
      </c>
    </row>
    <row r="4521" spans="1:16" x14ac:dyDescent="0.25">
      <c r="A4521" s="28" t="s">
        <v>23265</v>
      </c>
      <c r="B4521" s="28" t="s">
        <v>23266</v>
      </c>
      <c r="C4521" s="28" t="s">
        <v>4491</v>
      </c>
      <c r="D4521" s="28" t="s">
        <v>6467</v>
      </c>
      <c r="E4521" s="28" t="s">
        <v>17544</v>
      </c>
      <c r="F4521" s="28" t="s">
        <v>21</v>
      </c>
      <c r="G4521" s="28" t="s">
        <v>39</v>
      </c>
      <c r="H4521" s="28" t="s">
        <v>16221</v>
      </c>
      <c r="I4521" s="28" t="s">
        <v>23267</v>
      </c>
      <c r="J4521" s="28" t="s">
        <v>39</v>
      </c>
      <c r="K4521" s="28" t="s">
        <v>16223</v>
      </c>
      <c r="L4521" s="28" t="s">
        <v>16224</v>
      </c>
      <c r="M4521" s="28" t="s">
        <v>19595</v>
      </c>
      <c r="N4521" s="28" t="s">
        <v>16226</v>
      </c>
      <c r="O4521" s="28" t="s">
        <v>16227</v>
      </c>
      <c r="P4521" s="28" t="s">
        <v>21871</v>
      </c>
    </row>
    <row r="4522" spans="1:16" x14ac:dyDescent="0.25">
      <c r="A4522" s="28" t="s">
        <v>23268</v>
      </c>
      <c r="B4522" s="28" t="s">
        <v>23269</v>
      </c>
      <c r="C4522" s="28" t="s">
        <v>4491</v>
      </c>
      <c r="D4522" s="28" t="s">
        <v>6467</v>
      </c>
      <c r="E4522" s="28" t="s">
        <v>17544</v>
      </c>
      <c r="F4522" s="28" t="s">
        <v>21</v>
      </c>
      <c r="G4522" s="28" t="s">
        <v>39</v>
      </c>
      <c r="H4522" s="28" t="s">
        <v>16221</v>
      </c>
      <c r="I4522" s="28" t="s">
        <v>23270</v>
      </c>
      <c r="J4522" s="28" t="s">
        <v>39</v>
      </c>
      <c r="K4522" s="28" t="s">
        <v>16223</v>
      </c>
      <c r="L4522" s="28" t="s">
        <v>16224</v>
      </c>
      <c r="M4522" s="28" t="s">
        <v>19599</v>
      </c>
      <c r="N4522" s="28" t="s">
        <v>16226</v>
      </c>
      <c r="O4522" s="28" t="s">
        <v>16227</v>
      </c>
      <c r="P4522" s="28" t="s">
        <v>21871</v>
      </c>
    </row>
    <row r="4523" spans="1:16" x14ac:dyDescent="0.25">
      <c r="A4523" s="28" t="s">
        <v>23271</v>
      </c>
      <c r="B4523" s="28" t="s">
        <v>23272</v>
      </c>
      <c r="C4523" s="28" t="s">
        <v>4491</v>
      </c>
      <c r="D4523" s="28" t="s">
        <v>6467</v>
      </c>
      <c r="E4523" s="28" t="s">
        <v>17544</v>
      </c>
      <c r="F4523" s="28" t="s">
        <v>21</v>
      </c>
      <c r="G4523" s="28" t="s">
        <v>39</v>
      </c>
      <c r="H4523" s="28" t="s">
        <v>16221</v>
      </c>
      <c r="I4523" s="28" t="s">
        <v>23273</v>
      </c>
      <c r="J4523" s="28" t="s">
        <v>39</v>
      </c>
      <c r="K4523" s="28" t="s">
        <v>16223</v>
      </c>
      <c r="L4523" s="28" t="s">
        <v>16224</v>
      </c>
      <c r="M4523" s="28" t="s">
        <v>19603</v>
      </c>
      <c r="N4523" s="28" t="s">
        <v>16226</v>
      </c>
      <c r="O4523" s="28" t="s">
        <v>16227</v>
      </c>
      <c r="P4523" s="28" t="s">
        <v>21871</v>
      </c>
    </row>
    <row r="4524" spans="1:16" x14ac:dyDescent="0.25">
      <c r="A4524" s="28" t="s">
        <v>23274</v>
      </c>
      <c r="B4524" s="28" t="s">
        <v>23275</v>
      </c>
      <c r="C4524" s="28" t="s">
        <v>4491</v>
      </c>
      <c r="D4524" s="28" t="s">
        <v>6467</v>
      </c>
      <c r="E4524" s="28" t="s">
        <v>17544</v>
      </c>
      <c r="F4524" s="28" t="s">
        <v>21</v>
      </c>
      <c r="G4524" s="28" t="s">
        <v>39</v>
      </c>
      <c r="H4524" s="28" t="s">
        <v>16221</v>
      </c>
      <c r="I4524" s="28" t="s">
        <v>23276</v>
      </c>
      <c r="J4524" s="28" t="s">
        <v>39</v>
      </c>
      <c r="K4524" s="28" t="s">
        <v>16223</v>
      </c>
      <c r="L4524" s="28" t="s">
        <v>16224</v>
      </c>
      <c r="M4524" s="28" t="s">
        <v>19607</v>
      </c>
      <c r="N4524" s="28" t="s">
        <v>16226</v>
      </c>
      <c r="O4524" s="28" t="s">
        <v>16227</v>
      </c>
      <c r="P4524" s="28" t="s">
        <v>21871</v>
      </c>
    </row>
    <row r="4525" spans="1:16" x14ac:dyDescent="0.25">
      <c r="A4525" s="28" t="s">
        <v>23277</v>
      </c>
      <c r="B4525" s="28" t="s">
        <v>23278</v>
      </c>
      <c r="C4525" s="28" t="s">
        <v>4491</v>
      </c>
      <c r="D4525" s="28" t="s">
        <v>6467</v>
      </c>
      <c r="E4525" s="28" t="s">
        <v>17544</v>
      </c>
      <c r="F4525" s="28" t="s">
        <v>21</v>
      </c>
      <c r="G4525" s="28" t="s">
        <v>39</v>
      </c>
      <c r="H4525" s="28" t="s">
        <v>16221</v>
      </c>
      <c r="I4525" s="28" t="s">
        <v>23279</v>
      </c>
      <c r="J4525" s="28" t="s">
        <v>39</v>
      </c>
      <c r="K4525" s="28" t="s">
        <v>16223</v>
      </c>
      <c r="L4525" s="28" t="s">
        <v>16224</v>
      </c>
      <c r="M4525" s="28" t="s">
        <v>19611</v>
      </c>
      <c r="N4525" s="28" t="s">
        <v>16226</v>
      </c>
      <c r="O4525" s="28" t="s">
        <v>16227</v>
      </c>
      <c r="P4525" s="28" t="s">
        <v>21871</v>
      </c>
    </row>
    <row r="4526" spans="1:16" x14ac:dyDescent="0.25">
      <c r="A4526" s="28" t="s">
        <v>23280</v>
      </c>
      <c r="B4526" s="28" t="s">
        <v>23281</v>
      </c>
      <c r="C4526" s="28" t="s">
        <v>4491</v>
      </c>
      <c r="D4526" s="28" t="s">
        <v>6467</v>
      </c>
      <c r="E4526" s="28" t="s">
        <v>17544</v>
      </c>
      <c r="F4526" s="28" t="s">
        <v>21</v>
      </c>
      <c r="G4526" s="28" t="s">
        <v>39</v>
      </c>
      <c r="H4526" s="28" t="s">
        <v>16221</v>
      </c>
      <c r="I4526" s="28" t="s">
        <v>23282</v>
      </c>
      <c r="J4526" s="28" t="s">
        <v>39</v>
      </c>
      <c r="K4526" s="28" t="s">
        <v>16223</v>
      </c>
      <c r="L4526" s="28" t="s">
        <v>16224</v>
      </c>
      <c r="M4526" s="28" t="s">
        <v>19615</v>
      </c>
      <c r="N4526" s="28" t="s">
        <v>16226</v>
      </c>
      <c r="O4526" s="28" t="s">
        <v>16227</v>
      </c>
      <c r="P4526" s="28" t="s">
        <v>21871</v>
      </c>
    </row>
    <row r="4527" spans="1:16" x14ac:dyDescent="0.25">
      <c r="A4527" s="28" t="s">
        <v>23283</v>
      </c>
      <c r="B4527" s="28" t="s">
        <v>23284</v>
      </c>
      <c r="C4527" s="28" t="s">
        <v>4491</v>
      </c>
      <c r="D4527" s="28" t="s">
        <v>6467</v>
      </c>
      <c r="E4527" s="28" t="s">
        <v>17544</v>
      </c>
      <c r="F4527" s="28" t="s">
        <v>21</v>
      </c>
      <c r="G4527" s="28" t="s">
        <v>39</v>
      </c>
      <c r="H4527" s="28" t="s">
        <v>16221</v>
      </c>
      <c r="I4527" s="28" t="s">
        <v>23285</v>
      </c>
      <c r="J4527" s="28" t="s">
        <v>39</v>
      </c>
      <c r="K4527" s="28" t="s">
        <v>16223</v>
      </c>
      <c r="L4527" s="28" t="s">
        <v>16224</v>
      </c>
      <c r="M4527" s="28" t="s">
        <v>19619</v>
      </c>
      <c r="N4527" s="28" t="s">
        <v>16226</v>
      </c>
      <c r="O4527" s="28" t="s">
        <v>16227</v>
      </c>
      <c r="P4527" s="28" t="s">
        <v>21871</v>
      </c>
    </row>
    <row r="4528" spans="1:16" x14ac:dyDescent="0.25">
      <c r="A4528" s="28" t="s">
        <v>23286</v>
      </c>
      <c r="B4528" s="28" t="s">
        <v>23287</v>
      </c>
      <c r="C4528" s="28" t="s">
        <v>4491</v>
      </c>
      <c r="D4528" s="28" t="s">
        <v>6467</v>
      </c>
      <c r="E4528" s="28" t="s">
        <v>17544</v>
      </c>
      <c r="F4528" s="28" t="s">
        <v>21</v>
      </c>
      <c r="G4528" s="28" t="s">
        <v>39</v>
      </c>
      <c r="H4528" s="28" t="s">
        <v>16221</v>
      </c>
      <c r="I4528" s="28" t="s">
        <v>23288</v>
      </c>
      <c r="J4528" s="28" t="s">
        <v>39</v>
      </c>
      <c r="K4528" s="28" t="s">
        <v>16223</v>
      </c>
      <c r="L4528" s="28" t="s">
        <v>16224</v>
      </c>
      <c r="M4528" s="28" t="s">
        <v>19623</v>
      </c>
      <c r="N4528" s="28" t="s">
        <v>16226</v>
      </c>
      <c r="O4528" s="28" t="s">
        <v>16227</v>
      </c>
      <c r="P4528" s="28" t="s">
        <v>21871</v>
      </c>
    </row>
    <row r="4529" spans="1:16" x14ac:dyDescent="0.25">
      <c r="A4529" s="28" t="s">
        <v>23289</v>
      </c>
      <c r="B4529" s="28" t="s">
        <v>23290</v>
      </c>
      <c r="C4529" s="28" t="s">
        <v>4491</v>
      </c>
      <c r="D4529" s="28" t="s">
        <v>6467</v>
      </c>
      <c r="E4529" s="28" t="s">
        <v>17544</v>
      </c>
      <c r="F4529" s="28" t="s">
        <v>21</v>
      </c>
      <c r="G4529" s="28" t="s">
        <v>39</v>
      </c>
      <c r="H4529" s="28" t="s">
        <v>16221</v>
      </c>
      <c r="I4529" s="28" t="s">
        <v>23291</v>
      </c>
      <c r="J4529" s="28" t="s">
        <v>39</v>
      </c>
      <c r="K4529" s="28" t="s">
        <v>16223</v>
      </c>
      <c r="L4529" s="28" t="s">
        <v>16224</v>
      </c>
      <c r="M4529" s="28" t="s">
        <v>19627</v>
      </c>
      <c r="N4529" s="28" t="s">
        <v>16226</v>
      </c>
      <c r="O4529" s="28" t="s">
        <v>16227</v>
      </c>
      <c r="P4529" s="28" t="s">
        <v>21871</v>
      </c>
    </row>
    <row r="4530" spans="1:16" x14ac:dyDescent="0.25">
      <c r="A4530" s="28" t="s">
        <v>23292</v>
      </c>
      <c r="B4530" s="28" t="s">
        <v>23293</v>
      </c>
      <c r="C4530" s="28" t="s">
        <v>4491</v>
      </c>
      <c r="D4530" s="28" t="s">
        <v>6467</v>
      </c>
      <c r="E4530" s="28" t="s">
        <v>17544</v>
      </c>
      <c r="F4530" s="28" t="s">
        <v>21</v>
      </c>
      <c r="G4530" s="28" t="s">
        <v>39</v>
      </c>
      <c r="H4530" s="28" t="s">
        <v>16221</v>
      </c>
      <c r="I4530" s="28" t="s">
        <v>23294</v>
      </c>
      <c r="J4530" s="28" t="s">
        <v>39</v>
      </c>
      <c r="K4530" s="28" t="s">
        <v>16223</v>
      </c>
      <c r="L4530" s="28" t="s">
        <v>16224</v>
      </c>
      <c r="M4530" s="28" t="s">
        <v>19631</v>
      </c>
      <c r="N4530" s="28" t="s">
        <v>16226</v>
      </c>
      <c r="O4530" s="28" t="s">
        <v>16227</v>
      </c>
      <c r="P4530" s="28" t="s">
        <v>21871</v>
      </c>
    </row>
    <row r="4531" spans="1:16" x14ac:dyDescent="0.25">
      <c r="A4531" s="28" t="s">
        <v>23295</v>
      </c>
      <c r="B4531" s="28" t="s">
        <v>23296</v>
      </c>
      <c r="C4531" s="28" t="s">
        <v>4491</v>
      </c>
      <c r="D4531" s="28" t="s">
        <v>6467</v>
      </c>
      <c r="E4531" s="28" t="s">
        <v>17544</v>
      </c>
      <c r="F4531" s="28" t="s">
        <v>21</v>
      </c>
      <c r="G4531" s="28" t="s">
        <v>39</v>
      </c>
      <c r="H4531" s="28" t="s">
        <v>16221</v>
      </c>
      <c r="I4531" s="28" t="s">
        <v>23297</v>
      </c>
      <c r="J4531" s="28" t="s">
        <v>39</v>
      </c>
      <c r="K4531" s="28" t="s">
        <v>16223</v>
      </c>
      <c r="L4531" s="28" t="s">
        <v>16224</v>
      </c>
      <c r="M4531" s="28" t="s">
        <v>19635</v>
      </c>
      <c r="N4531" s="28" t="s">
        <v>16226</v>
      </c>
      <c r="O4531" s="28" t="s">
        <v>16227</v>
      </c>
      <c r="P4531" s="28" t="s">
        <v>21871</v>
      </c>
    </row>
    <row r="4532" spans="1:16" x14ac:dyDescent="0.25">
      <c r="A4532" s="28" t="s">
        <v>23298</v>
      </c>
      <c r="B4532" s="28" t="s">
        <v>23299</v>
      </c>
      <c r="C4532" s="28" t="s">
        <v>4491</v>
      </c>
      <c r="D4532" s="28" t="s">
        <v>6467</v>
      </c>
      <c r="E4532" s="28" t="s">
        <v>17544</v>
      </c>
      <c r="F4532" s="28" t="s">
        <v>21</v>
      </c>
      <c r="G4532" s="28" t="s">
        <v>39</v>
      </c>
      <c r="H4532" s="28" t="s">
        <v>16221</v>
      </c>
      <c r="I4532" s="28" t="s">
        <v>23300</v>
      </c>
      <c r="J4532" s="28" t="s">
        <v>39</v>
      </c>
      <c r="K4532" s="28" t="s">
        <v>16223</v>
      </c>
      <c r="L4532" s="28" t="s">
        <v>16224</v>
      </c>
      <c r="M4532" s="28" t="s">
        <v>19639</v>
      </c>
      <c r="N4532" s="28" t="s">
        <v>16226</v>
      </c>
      <c r="O4532" s="28" t="s">
        <v>16227</v>
      </c>
      <c r="P4532" s="28" t="s">
        <v>21871</v>
      </c>
    </row>
    <row r="4533" spans="1:16" x14ac:dyDescent="0.25">
      <c r="A4533" s="28" t="s">
        <v>23301</v>
      </c>
      <c r="B4533" s="28" t="s">
        <v>23302</v>
      </c>
      <c r="C4533" s="28" t="s">
        <v>4491</v>
      </c>
      <c r="D4533" s="28" t="s">
        <v>6467</v>
      </c>
      <c r="E4533" s="28" t="s">
        <v>17544</v>
      </c>
      <c r="F4533" s="28" t="s">
        <v>21</v>
      </c>
      <c r="G4533" s="28" t="s">
        <v>39</v>
      </c>
      <c r="H4533" s="28" t="s">
        <v>16221</v>
      </c>
      <c r="I4533" s="28" t="s">
        <v>23303</v>
      </c>
      <c r="J4533" s="28" t="s">
        <v>39</v>
      </c>
      <c r="K4533" s="28" t="s">
        <v>16223</v>
      </c>
      <c r="L4533" s="28" t="s">
        <v>16224</v>
      </c>
      <c r="M4533" s="28" t="s">
        <v>19643</v>
      </c>
      <c r="N4533" s="28" t="s">
        <v>16226</v>
      </c>
      <c r="O4533" s="28" t="s">
        <v>16227</v>
      </c>
      <c r="P4533" s="28" t="s">
        <v>21871</v>
      </c>
    </row>
    <row r="4534" spans="1:16" x14ac:dyDescent="0.25">
      <c r="A4534" s="28" t="s">
        <v>23304</v>
      </c>
      <c r="B4534" s="28" t="s">
        <v>23305</v>
      </c>
      <c r="C4534" s="28" t="s">
        <v>4491</v>
      </c>
      <c r="D4534" s="28" t="s">
        <v>6467</v>
      </c>
      <c r="E4534" s="28" t="s">
        <v>17544</v>
      </c>
      <c r="F4534" s="28" t="s">
        <v>21</v>
      </c>
      <c r="G4534" s="28" t="s">
        <v>39</v>
      </c>
      <c r="H4534" s="28" t="s">
        <v>16221</v>
      </c>
      <c r="I4534" s="28" t="s">
        <v>23306</v>
      </c>
      <c r="J4534" s="28" t="s">
        <v>39</v>
      </c>
      <c r="K4534" s="28" t="s">
        <v>16223</v>
      </c>
      <c r="L4534" s="28" t="s">
        <v>16224</v>
      </c>
      <c r="M4534" s="28" t="s">
        <v>19647</v>
      </c>
      <c r="N4534" s="28" t="s">
        <v>16226</v>
      </c>
      <c r="O4534" s="28" t="s">
        <v>16227</v>
      </c>
      <c r="P4534" s="28" t="s">
        <v>21871</v>
      </c>
    </row>
    <row r="4535" spans="1:16" x14ac:dyDescent="0.25">
      <c r="A4535" s="28" t="s">
        <v>23307</v>
      </c>
      <c r="B4535" s="28" t="s">
        <v>23308</v>
      </c>
      <c r="C4535" s="28" t="s">
        <v>4491</v>
      </c>
      <c r="D4535" s="28" t="s">
        <v>6467</v>
      </c>
      <c r="E4535" s="28" t="s">
        <v>17544</v>
      </c>
      <c r="F4535" s="28" t="s">
        <v>21</v>
      </c>
      <c r="G4535" s="28" t="s">
        <v>39</v>
      </c>
      <c r="H4535" s="28" t="s">
        <v>16221</v>
      </c>
      <c r="I4535" s="28" t="s">
        <v>23309</v>
      </c>
      <c r="J4535" s="28" t="s">
        <v>39</v>
      </c>
      <c r="K4535" s="28" t="s">
        <v>16223</v>
      </c>
      <c r="L4535" s="28" t="s">
        <v>16224</v>
      </c>
      <c r="M4535" s="28" t="s">
        <v>19651</v>
      </c>
      <c r="N4535" s="28" t="s">
        <v>16226</v>
      </c>
      <c r="O4535" s="28" t="s">
        <v>16227</v>
      </c>
      <c r="P4535" s="28" t="s">
        <v>21871</v>
      </c>
    </row>
    <row r="4536" spans="1:16" x14ac:dyDescent="0.25">
      <c r="A4536" s="28" t="s">
        <v>23310</v>
      </c>
      <c r="B4536" s="28" t="s">
        <v>23311</v>
      </c>
      <c r="C4536" s="28" t="s">
        <v>4491</v>
      </c>
      <c r="D4536" s="28" t="s">
        <v>6467</v>
      </c>
      <c r="E4536" s="28" t="s">
        <v>17544</v>
      </c>
      <c r="F4536" s="28" t="s">
        <v>21</v>
      </c>
      <c r="G4536" s="28" t="s">
        <v>39</v>
      </c>
      <c r="H4536" s="28" t="s">
        <v>16221</v>
      </c>
      <c r="I4536" s="28" t="s">
        <v>23312</v>
      </c>
      <c r="J4536" s="28" t="s">
        <v>39</v>
      </c>
      <c r="K4536" s="28" t="s">
        <v>16223</v>
      </c>
      <c r="L4536" s="28" t="s">
        <v>16224</v>
      </c>
      <c r="M4536" s="28" t="s">
        <v>19655</v>
      </c>
      <c r="N4536" s="28" t="s">
        <v>16226</v>
      </c>
      <c r="O4536" s="28" t="s">
        <v>16227</v>
      </c>
      <c r="P4536" s="28" t="s">
        <v>21871</v>
      </c>
    </row>
    <row r="4537" spans="1:16" x14ac:dyDescent="0.25">
      <c r="A4537" s="28" t="s">
        <v>23313</v>
      </c>
      <c r="B4537" s="28" t="s">
        <v>23314</v>
      </c>
      <c r="C4537" s="28" t="s">
        <v>4491</v>
      </c>
      <c r="D4537" s="28" t="s">
        <v>6467</v>
      </c>
      <c r="E4537" s="28" t="s">
        <v>17544</v>
      </c>
      <c r="F4537" s="28" t="s">
        <v>21</v>
      </c>
      <c r="G4537" s="28" t="s">
        <v>39</v>
      </c>
      <c r="H4537" s="28" t="s">
        <v>16221</v>
      </c>
      <c r="I4537" s="28" t="s">
        <v>23315</v>
      </c>
      <c r="J4537" s="28" t="s">
        <v>39</v>
      </c>
      <c r="K4537" s="28" t="s">
        <v>16223</v>
      </c>
      <c r="L4537" s="28" t="s">
        <v>16224</v>
      </c>
      <c r="M4537" s="28" t="s">
        <v>19659</v>
      </c>
      <c r="N4537" s="28" t="s">
        <v>16226</v>
      </c>
      <c r="O4537" s="28" t="s">
        <v>16227</v>
      </c>
      <c r="P4537" s="28" t="s">
        <v>21871</v>
      </c>
    </row>
    <row r="4538" spans="1:16" x14ac:dyDescent="0.25">
      <c r="A4538" s="28" t="s">
        <v>23316</v>
      </c>
      <c r="B4538" s="28" t="s">
        <v>23317</v>
      </c>
      <c r="C4538" s="28" t="s">
        <v>4491</v>
      </c>
      <c r="D4538" s="28" t="s">
        <v>6467</v>
      </c>
      <c r="E4538" s="28" t="s">
        <v>17544</v>
      </c>
      <c r="F4538" s="28" t="s">
        <v>21</v>
      </c>
      <c r="G4538" s="28" t="s">
        <v>39</v>
      </c>
      <c r="H4538" s="28" t="s">
        <v>16221</v>
      </c>
      <c r="I4538" s="28" t="s">
        <v>23318</v>
      </c>
      <c r="J4538" s="28" t="s">
        <v>39</v>
      </c>
      <c r="K4538" s="28" t="s">
        <v>16223</v>
      </c>
      <c r="L4538" s="28" t="s">
        <v>16224</v>
      </c>
      <c r="M4538" s="28" t="s">
        <v>19663</v>
      </c>
      <c r="N4538" s="28" t="s">
        <v>16226</v>
      </c>
      <c r="O4538" s="28" t="s">
        <v>16227</v>
      </c>
      <c r="P4538" s="28" t="s">
        <v>21871</v>
      </c>
    </row>
    <row r="4539" spans="1:16" x14ac:dyDescent="0.25">
      <c r="A4539" s="28" t="s">
        <v>23319</v>
      </c>
      <c r="B4539" s="28" t="s">
        <v>23320</v>
      </c>
      <c r="C4539" s="28" t="s">
        <v>4491</v>
      </c>
      <c r="D4539" s="28" t="s">
        <v>6467</v>
      </c>
      <c r="E4539" s="28" t="s">
        <v>17544</v>
      </c>
      <c r="F4539" s="28" t="s">
        <v>21</v>
      </c>
      <c r="G4539" s="28" t="s">
        <v>39</v>
      </c>
      <c r="H4539" s="28" t="s">
        <v>16221</v>
      </c>
      <c r="I4539" s="28" t="s">
        <v>23321</v>
      </c>
      <c r="J4539" s="28" t="s">
        <v>39</v>
      </c>
      <c r="K4539" s="28" t="s">
        <v>16223</v>
      </c>
      <c r="L4539" s="28" t="s">
        <v>16224</v>
      </c>
      <c r="M4539" s="28" t="s">
        <v>19667</v>
      </c>
      <c r="N4539" s="28" t="s">
        <v>16226</v>
      </c>
      <c r="O4539" s="28" t="s">
        <v>16227</v>
      </c>
      <c r="P4539" s="28" t="s">
        <v>21871</v>
      </c>
    </row>
    <row r="4540" spans="1:16" x14ac:dyDescent="0.25">
      <c r="A4540" s="28" t="s">
        <v>23322</v>
      </c>
      <c r="B4540" s="28" t="s">
        <v>23323</v>
      </c>
      <c r="C4540" s="28" t="s">
        <v>4491</v>
      </c>
      <c r="D4540" s="28" t="s">
        <v>6467</v>
      </c>
      <c r="E4540" s="28" t="s">
        <v>17544</v>
      </c>
      <c r="F4540" s="28" t="s">
        <v>21</v>
      </c>
      <c r="G4540" s="28" t="s">
        <v>39</v>
      </c>
      <c r="H4540" s="28" t="s">
        <v>16221</v>
      </c>
      <c r="I4540" s="28" t="s">
        <v>23324</v>
      </c>
      <c r="J4540" s="28" t="s">
        <v>39</v>
      </c>
      <c r="K4540" s="28" t="s">
        <v>16223</v>
      </c>
      <c r="L4540" s="28" t="s">
        <v>16224</v>
      </c>
      <c r="M4540" s="28" t="s">
        <v>19671</v>
      </c>
      <c r="N4540" s="28" t="s">
        <v>16226</v>
      </c>
      <c r="O4540" s="28" t="s">
        <v>16227</v>
      </c>
      <c r="P4540" s="28" t="s">
        <v>21871</v>
      </c>
    </row>
    <row r="4541" spans="1:16" x14ac:dyDescent="0.25">
      <c r="A4541" s="28" t="s">
        <v>23325</v>
      </c>
      <c r="B4541" s="28" t="s">
        <v>23326</v>
      </c>
      <c r="C4541" s="28" t="s">
        <v>4491</v>
      </c>
      <c r="D4541" s="28" t="s">
        <v>6467</v>
      </c>
      <c r="E4541" s="28" t="s">
        <v>17544</v>
      </c>
      <c r="F4541" s="28" t="s">
        <v>21</v>
      </c>
      <c r="G4541" s="28" t="s">
        <v>39</v>
      </c>
      <c r="H4541" s="28" t="s">
        <v>16221</v>
      </c>
      <c r="I4541" s="28" t="s">
        <v>23327</v>
      </c>
      <c r="J4541" s="28" t="s">
        <v>39</v>
      </c>
      <c r="K4541" s="28" t="s">
        <v>16223</v>
      </c>
      <c r="L4541" s="28" t="s">
        <v>16224</v>
      </c>
      <c r="M4541" s="28" t="s">
        <v>19675</v>
      </c>
      <c r="N4541" s="28" t="s">
        <v>16226</v>
      </c>
      <c r="O4541" s="28" t="s">
        <v>16227</v>
      </c>
      <c r="P4541" s="28" t="s">
        <v>21871</v>
      </c>
    </row>
    <row r="4542" spans="1:16" x14ac:dyDescent="0.25">
      <c r="A4542" s="28" t="s">
        <v>23328</v>
      </c>
      <c r="B4542" s="28" t="s">
        <v>23329</v>
      </c>
      <c r="C4542" s="28" t="s">
        <v>4491</v>
      </c>
      <c r="D4542" s="28" t="s">
        <v>6467</v>
      </c>
      <c r="E4542" s="28" t="s">
        <v>17544</v>
      </c>
      <c r="F4542" s="28" t="s">
        <v>21</v>
      </c>
      <c r="G4542" s="28" t="s">
        <v>39</v>
      </c>
      <c r="H4542" s="28" t="s">
        <v>16221</v>
      </c>
      <c r="I4542" s="28" t="s">
        <v>23330</v>
      </c>
      <c r="J4542" s="28" t="s">
        <v>39</v>
      </c>
      <c r="K4542" s="28" t="s">
        <v>16223</v>
      </c>
      <c r="L4542" s="28" t="s">
        <v>16224</v>
      </c>
      <c r="M4542" s="28" t="s">
        <v>19679</v>
      </c>
      <c r="N4542" s="28" t="s">
        <v>16226</v>
      </c>
      <c r="O4542" s="28" t="s">
        <v>16227</v>
      </c>
      <c r="P4542" s="28" t="s">
        <v>21871</v>
      </c>
    </row>
    <row r="4543" spans="1:16" x14ac:dyDescent="0.25">
      <c r="A4543" s="28" t="s">
        <v>23331</v>
      </c>
      <c r="B4543" s="28" t="s">
        <v>23332</v>
      </c>
      <c r="C4543" s="28" t="s">
        <v>4491</v>
      </c>
      <c r="D4543" s="28" t="s">
        <v>6467</v>
      </c>
      <c r="E4543" s="28" t="s">
        <v>17544</v>
      </c>
      <c r="F4543" s="28" t="s">
        <v>21</v>
      </c>
      <c r="G4543" s="28" t="s">
        <v>39</v>
      </c>
      <c r="H4543" s="28" t="s">
        <v>16221</v>
      </c>
      <c r="I4543" s="28" t="s">
        <v>23333</v>
      </c>
      <c r="J4543" s="28" t="s">
        <v>39</v>
      </c>
      <c r="K4543" s="28" t="s">
        <v>16223</v>
      </c>
      <c r="L4543" s="28" t="s">
        <v>16224</v>
      </c>
      <c r="M4543" s="28" t="s">
        <v>19683</v>
      </c>
      <c r="N4543" s="28" t="s">
        <v>16226</v>
      </c>
      <c r="O4543" s="28" t="s">
        <v>16227</v>
      </c>
      <c r="P4543" s="28" t="s">
        <v>21871</v>
      </c>
    </row>
    <row r="4544" spans="1:16" x14ac:dyDescent="0.25">
      <c r="A4544" s="28" t="s">
        <v>23334</v>
      </c>
      <c r="B4544" s="28" t="s">
        <v>23335</v>
      </c>
      <c r="C4544" s="28" t="s">
        <v>4491</v>
      </c>
      <c r="D4544" s="28" t="s">
        <v>6467</v>
      </c>
      <c r="E4544" s="28" t="s">
        <v>17544</v>
      </c>
      <c r="F4544" s="28" t="s">
        <v>21</v>
      </c>
      <c r="G4544" s="28" t="s">
        <v>39</v>
      </c>
      <c r="H4544" s="28" t="s">
        <v>16221</v>
      </c>
      <c r="I4544" s="28" t="s">
        <v>23336</v>
      </c>
      <c r="J4544" s="28" t="s">
        <v>39</v>
      </c>
      <c r="K4544" s="28" t="s">
        <v>16223</v>
      </c>
      <c r="L4544" s="28" t="s">
        <v>16224</v>
      </c>
      <c r="M4544" s="28" t="s">
        <v>19687</v>
      </c>
      <c r="N4544" s="28" t="s">
        <v>16226</v>
      </c>
      <c r="O4544" s="28" t="s">
        <v>16227</v>
      </c>
      <c r="P4544" s="28" t="s">
        <v>21871</v>
      </c>
    </row>
    <row r="4545" spans="1:16" x14ac:dyDescent="0.25">
      <c r="A4545" s="28" t="s">
        <v>23337</v>
      </c>
      <c r="B4545" s="28" t="s">
        <v>23338</v>
      </c>
      <c r="C4545" s="28" t="s">
        <v>4491</v>
      </c>
      <c r="D4545" s="28" t="s">
        <v>6467</v>
      </c>
      <c r="E4545" s="28" t="s">
        <v>17544</v>
      </c>
      <c r="F4545" s="28" t="s">
        <v>21</v>
      </c>
      <c r="G4545" s="28" t="s">
        <v>39</v>
      </c>
      <c r="H4545" s="28" t="s">
        <v>16221</v>
      </c>
      <c r="I4545" s="28" t="s">
        <v>23339</v>
      </c>
      <c r="J4545" s="28" t="s">
        <v>39</v>
      </c>
      <c r="K4545" s="28" t="s">
        <v>16223</v>
      </c>
      <c r="L4545" s="28" t="s">
        <v>16224</v>
      </c>
      <c r="M4545" s="28" t="s">
        <v>19691</v>
      </c>
      <c r="N4545" s="28" t="s">
        <v>16226</v>
      </c>
      <c r="O4545" s="28" t="s">
        <v>16227</v>
      </c>
      <c r="P4545" s="28" t="s">
        <v>21871</v>
      </c>
    </row>
    <row r="4546" spans="1:16" x14ac:dyDescent="0.25">
      <c r="A4546" s="28" t="s">
        <v>23340</v>
      </c>
      <c r="B4546" s="28" t="s">
        <v>23341</v>
      </c>
      <c r="C4546" s="28" t="s">
        <v>4491</v>
      </c>
      <c r="D4546" s="28" t="s">
        <v>6467</v>
      </c>
      <c r="E4546" s="28" t="s">
        <v>17544</v>
      </c>
      <c r="F4546" s="28" t="s">
        <v>21</v>
      </c>
      <c r="G4546" s="28" t="s">
        <v>39</v>
      </c>
      <c r="H4546" s="28" t="s">
        <v>16221</v>
      </c>
      <c r="I4546" s="28" t="s">
        <v>23342</v>
      </c>
      <c r="J4546" s="28" t="s">
        <v>39</v>
      </c>
      <c r="K4546" s="28" t="s">
        <v>16223</v>
      </c>
      <c r="L4546" s="28" t="s">
        <v>16224</v>
      </c>
      <c r="M4546" s="28" t="s">
        <v>19695</v>
      </c>
      <c r="N4546" s="28" t="s">
        <v>16226</v>
      </c>
      <c r="O4546" s="28" t="s">
        <v>16227</v>
      </c>
      <c r="P4546" s="28" t="s">
        <v>21871</v>
      </c>
    </row>
    <row r="4547" spans="1:16" x14ac:dyDescent="0.25">
      <c r="A4547" s="28" t="s">
        <v>23343</v>
      </c>
      <c r="B4547" s="28" t="s">
        <v>23344</v>
      </c>
      <c r="C4547" s="28" t="s">
        <v>4491</v>
      </c>
      <c r="D4547" s="28" t="s">
        <v>6467</v>
      </c>
      <c r="E4547" s="28" t="s">
        <v>17544</v>
      </c>
      <c r="F4547" s="28" t="s">
        <v>21</v>
      </c>
      <c r="G4547" s="28" t="s">
        <v>39</v>
      </c>
      <c r="H4547" s="28" t="s">
        <v>16221</v>
      </c>
      <c r="I4547" s="28" t="s">
        <v>23345</v>
      </c>
      <c r="J4547" s="28" t="s">
        <v>39</v>
      </c>
      <c r="K4547" s="28" t="s">
        <v>16223</v>
      </c>
      <c r="L4547" s="28" t="s">
        <v>16224</v>
      </c>
      <c r="M4547" s="28" t="s">
        <v>19699</v>
      </c>
      <c r="N4547" s="28" t="s">
        <v>16226</v>
      </c>
      <c r="O4547" s="28" t="s">
        <v>16227</v>
      </c>
      <c r="P4547" s="28" t="s">
        <v>21871</v>
      </c>
    </row>
    <row r="4548" spans="1:16" x14ac:dyDescent="0.25">
      <c r="A4548" s="28" t="s">
        <v>23346</v>
      </c>
      <c r="B4548" s="28" t="s">
        <v>23347</v>
      </c>
      <c r="C4548" s="28" t="s">
        <v>4491</v>
      </c>
      <c r="D4548" s="28" t="s">
        <v>6467</v>
      </c>
      <c r="E4548" s="28" t="s">
        <v>17544</v>
      </c>
      <c r="F4548" s="28" t="s">
        <v>21</v>
      </c>
      <c r="G4548" s="28" t="s">
        <v>39</v>
      </c>
      <c r="H4548" s="28" t="s">
        <v>16221</v>
      </c>
      <c r="I4548" s="28" t="s">
        <v>23348</v>
      </c>
      <c r="J4548" s="28" t="s">
        <v>39</v>
      </c>
      <c r="K4548" s="28" t="s">
        <v>16223</v>
      </c>
      <c r="L4548" s="28" t="s">
        <v>16224</v>
      </c>
      <c r="M4548" s="28" t="s">
        <v>19703</v>
      </c>
      <c r="N4548" s="28" t="s">
        <v>16226</v>
      </c>
      <c r="O4548" s="28" t="s">
        <v>16227</v>
      </c>
      <c r="P4548" s="28" t="s">
        <v>21871</v>
      </c>
    </row>
    <row r="4549" spans="1:16" x14ac:dyDescent="0.25">
      <c r="A4549" s="28" t="s">
        <v>23349</v>
      </c>
      <c r="B4549" s="28" t="s">
        <v>23350</v>
      </c>
      <c r="C4549" s="28" t="s">
        <v>4491</v>
      </c>
      <c r="D4549" s="28" t="s">
        <v>6467</v>
      </c>
      <c r="E4549" s="28" t="s">
        <v>17544</v>
      </c>
      <c r="F4549" s="28" t="s">
        <v>21</v>
      </c>
      <c r="G4549" s="28" t="s">
        <v>39</v>
      </c>
      <c r="H4549" s="28" t="s">
        <v>16221</v>
      </c>
      <c r="I4549" s="28" t="s">
        <v>23351</v>
      </c>
      <c r="J4549" s="28" t="s">
        <v>39</v>
      </c>
      <c r="K4549" s="28" t="s">
        <v>16223</v>
      </c>
      <c r="L4549" s="28" t="s">
        <v>16224</v>
      </c>
      <c r="M4549" s="28" t="s">
        <v>19707</v>
      </c>
      <c r="N4549" s="28" t="s">
        <v>16226</v>
      </c>
      <c r="O4549" s="28" t="s">
        <v>16227</v>
      </c>
      <c r="P4549" s="28" t="s">
        <v>21871</v>
      </c>
    </row>
    <row r="4550" spans="1:16" x14ac:dyDescent="0.25">
      <c r="A4550" s="28" t="s">
        <v>23352</v>
      </c>
      <c r="B4550" s="28" t="s">
        <v>23353</v>
      </c>
      <c r="C4550" s="28" t="s">
        <v>4491</v>
      </c>
      <c r="D4550" s="28" t="s">
        <v>6467</v>
      </c>
      <c r="E4550" s="28" t="s">
        <v>17544</v>
      </c>
      <c r="F4550" s="28" t="s">
        <v>21</v>
      </c>
      <c r="G4550" s="28" t="s">
        <v>39</v>
      </c>
      <c r="H4550" s="28" t="s">
        <v>16221</v>
      </c>
      <c r="I4550" s="28" t="s">
        <v>23354</v>
      </c>
      <c r="J4550" s="28" t="s">
        <v>39</v>
      </c>
      <c r="K4550" s="28" t="s">
        <v>16223</v>
      </c>
      <c r="L4550" s="28" t="s">
        <v>16224</v>
      </c>
      <c r="M4550" s="28" t="s">
        <v>19711</v>
      </c>
      <c r="N4550" s="28" t="s">
        <v>16226</v>
      </c>
      <c r="O4550" s="28" t="s">
        <v>16227</v>
      </c>
      <c r="P4550" s="28" t="s">
        <v>21871</v>
      </c>
    </row>
    <row r="4551" spans="1:16" x14ac:dyDescent="0.25">
      <c r="A4551" s="28" t="s">
        <v>23355</v>
      </c>
      <c r="B4551" s="28" t="s">
        <v>23356</v>
      </c>
      <c r="C4551" s="28" t="s">
        <v>4491</v>
      </c>
      <c r="D4551" s="28" t="s">
        <v>6467</v>
      </c>
      <c r="E4551" s="28" t="s">
        <v>17544</v>
      </c>
      <c r="F4551" s="28" t="s">
        <v>21</v>
      </c>
      <c r="G4551" s="28" t="s">
        <v>39</v>
      </c>
      <c r="H4551" s="28" t="s">
        <v>16221</v>
      </c>
      <c r="I4551" s="28" t="s">
        <v>23357</v>
      </c>
      <c r="J4551" s="28" t="s">
        <v>39</v>
      </c>
      <c r="K4551" s="28" t="s">
        <v>16223</v>
      </c>
      <c r="L4551" s="28" t="s">
        <v>16224</v>
      </c>
      <c r="M4551" s="28" t="s">
        <v>19715</v>
      </c>
      <c r="N4551" s="28" t="s">
        <v>16226</v>
      </c>
      <c r="O4551" s="28" t="s">
        <v>16227</v>
      </c>
      <c r="P4551" s="28" t="s">
        <v>21871</v>
      </c>
    </row>
    <row r="4552" spans="1:16" x14ac:dyDescent="0.25">
      <c r="A4552" s="28" t="s">
        <v>23358</v>
      </c>
      <c r="B4552" s="28" t="s">
        <v>23359</v>
      </c>
      <c r="C4552" s="28" t="s">
        <v>4491</v>
      </c>
      <c r="D4552" s="28" t="s">
        <v>6467</v>
      </c>
      <c r="E4552" s="28" t="s">
        <v>17544</v>
      </c>
      <c r="F4552" s="28" t="s">
        <v>21</v>
      </c>
      <c r="G4552" s="28" t="s">
        <v>39</v>
      </c>
      <c r="H4552" s="28" t="s">
        <v>16221</v>
      </c>
      <c r="I4552" s="28" t="s">
        <v>23360</v>
      </c>
      <c r="J4552" s="28" t="s">
        <v>39</v>
      </c>
      <c r="K4552" s="28" t="s">
        <v>16223</v>
      </c>
      <c r="L4552" s="28" t="s">
        <v>16224</v>
      </c>
      <c r="M4552" s="28" t="s">
        <v>19719</v>
      </c>
      <c r="N4552" s="28" t="s">
        <v>16226</v>
      </c>
      <c r="O4552" s="28" t="s">
        <v>16227</v>
      </c>
      <c r="P4552" s="28" t="s">
        <v>21871</v>
      </c>
    </row>
    <row r="4553" spans="1:16" x14ac:dyDescent="0.25">
      <c r="A4553" s="28" t="s">
        <v>23361</v>
      </c>
      <c r="B4553" s="28" t="s">
        <v>23362</v>
      </c>
      <c r="C4553" s="28" t="s">
        <v>4491</v>
      </c>
      <c r="D4553" s="28" t="s">
        <v>6467</v>
      </c>
      <c r="E4553" s="28" t="s">
        <v>17544</v>
      </c>
      <c r="F4553" s="28" t="s">
        <v>21</v>
      </c>
      <c r="G4553" s="28" t="s">
        <v>39</v>
      </c>
      <c r="H4553" s="28" t="s">
        <v>16221</v>
      </c>
      <c r="I4553" s="28" t="s">
        <v>23363</v>
      </c>
      <c r="J4553" s="28" t="s">
        <v>39</v>
      </c>
      <c r="K4553" s="28" t="s">
        <v>16223</v>
      </c>
      <c r="L4553" s="28" t="s">
        <v>16224</v>
      </c>
      <c r="M4553" s="28" t="s">
        <v>19723</v>
      </c>
      <c r="N4553" s="28" t="s">
        <v>16226</v>
      </c>
      <c r="O4553" s="28" t="s">
        <v>16227</v>
      </c>
      <c r="P4553" s="28" t="s">
        <v>21871</v>
      </c>
    </row>
    <row r="4554" spans="1:16" x14ac:dyDescent="0.25">
      <c r="A4554" s="28" t="s">
        <v>23364</v>
      </c>
      <c r="B4554" s="28" t="s">
        <v>23365</v>
      </c>
      <c r="C4554" s="28" t="s">
        <v>4491</v>
      </c>
      <c r="D4554" s="28" t="s">
        <v>6467</v>
      </c>
      <c r="E4554" s="28" t="s">
        <v>17544</v>
      </c>
      <c r="F4554" s="28" t="s">
        <v>21</v>
      </c>
      <c r="G4554" s="28" t="s">
        <v>39</v>
      </c>
      <c r="H4554" s="28" t="s">
        <v>16221</v>
      </c>
      <c r="I4554" s="28" t="s">
        <v>23366</v>
      </c>
      <c r="J4554" s="28" t="s">
        <v>39</v>
      </c>
      <c r="K4554" s="28" t="s">
        <v>16223</v>
      </c>
      <c r="L4554" s="28" t="s">
        <v>16224</v>
      </c>
      <c r="M4554" s="28" t="s">
        <v>19727</v>
      </c>
      <c r="N4554" s="28" t="s">
        <v>16226</v>
      </c>
      <c r="O4554" s="28" t="s">
        <v>16227</v>
      </c>
      <c r="P4554" s="28" t="s">
        <v>21871</v>
      </c>
    </row>
    <row r="4555" spans="1:16" x14ac:dyDescent="0.25">
      <c r="A4555" s="28" t="s">
        <v>23367</v>
      </c>
      <c r="B4555" s="28" t="s">
        <v>23368</v>
      </c>
      <c r="C4555" s="28" t="s">
        <v>4491</v>
      </c>
      <c r="D4555" s="28" t="s">
        <v>6467</v>
      </c>
      <c r="E4555" s="28" t="s">
        <v>17544</v>
      </c>
      <c r="F4555" s="28" t="s">
        <v>21</v>
      </c>
      <c r="G4555" s="28" t="s">
        <v>39</v>
      </c>
      <c r="H4555" s="28" t="s">
        <v>16221</v>
      </c>
      <c r="I4555" s="28" t="s">
        <v>23369</v>
      </c>
      <c r="J4555" s="28" t="s">
        <v>39</v>
      </c>
      <c r="K4555" s="28" t="s">
        <v>16223</v>
      </c>
      <c r="L4555" s="28" t="s">
        <v>16224</v>
      </c>
      <c r="M4555" s="28" t="s">
        <v>19731</v>
      </c>
      <c r="N4555" s="28" t="s">
        <v>16226</v>
      </c>
      <c r="O4555" s="28" t="s">
        <v>16227</v>
      </c>
      <c r="P4555" s="28" t="s">
        <v>21871</v>
      </c>
    </row>
    <row r="4556" spans="1:16" x14ac:dyDescent="0.25">
      <c r="A4556" s="28" t="s">
        <v>23370</v>
      </c>
      <c r="B4556" s="28" t="s">
        <v>23371</v>
      </c>
      <c r="C4556" s="28" t="s">
        <v>4491</v>
      </c>
      <c r="D4556" s="28" t="s">
        <v>6467</v>
      </c>
      <c r="E4556" s="28" t="s">
        <v>17544</v>
      </c>
      <c r="F4556" s="28" t="s">
        <v>21</v>
      </c>
      <c r="G4556" s="28" t="s">
        <v>39</v>
      </c>
      <c r="H4556" s="28" t="s">
        <v>16221</v>
      </c>
      <c r="I4556" s="28" t="s">
        <v>23372</v>
      </c>
      <c r="J4556" s="28" t="s">
        <v>39</v>
      </c>
      <c r="K4556" s="28" t="s">
        <v>16223</v>
      </c>
      <c r="L4556" s="28" t="s">
        <v>16224</v>
      </c>
      <c r="M4556" s="28" t="s">
        <v>19735</v>
      </c>
      <c r="N4556" s="28" t="s">
        <v>16226</v>
      </c>
      <c r="O4556" s="28" t="s">
        <v>16227</v>
      </c>
      <c r="P4556" s="28" t="s">
        <v>21871</v>
      </c>
    </row>
    <row r="4557" spans="1:16" x14ac:dyDescent="0.25">
      <c r="A4557" s="28" t="s">
        <v>23373</v>
      </c>
      <c r="B4557" s="28" t="s">
        <v>23374</v>
      </c>
      <c r="C4557" s="28" t="s">
        <v>4491</v>
      </c>
      <c r="D4557" s="28" t="s">
        <v>6467</v>
      </c>
      <c r="E4557" s="28" t="s">
        <v>17544</v>
      </c>
      <c r="F4557" s="28" t="s">
        <v>21</v>
      </c>
      <c r="G4557" s="28" t="s">
        <v>39</v>
      </c>
      <c r="H4557" s="28" t="s">
        <v>16221</v>
      </c>
      <c r="I4557" s="28" t="s">
        <v>23375</v>
      </c>
      <c r="J4557" s="28" t="s">
        <v>39</v>
      </c>
      <c r="K4557" s="28" t="s">
        <v>16223</v>
      </c>
      <c r="L4557" s="28" t="s">
        <v>16224</v>
      </c>
      <c r="M4557" s="28" t="s">
        <v>19739</v>
      </c>
      <c r="N4557" s="28" t="s">
        <v>16226</v>
      </c>
      <c r="O4557" s="28" t="s">
        <v>16227</v>
      </c>
      <c r="P4557" s="28" t="s">
        <v>21871</v>
      </c>
    </row>
    <row r="4558" spans="1:16" x14ac:dyDescent="0.25">
      <c r="A4558" s="28" t="s">
        <v>23376</v>
      </c>
      <c r="B4558" s="28" t="s">
        <v>23377</v>
      </c>
      <c r="C4558" s="28" t="s">
        <v>4491</v>
      </c>
      <c r="D4558" s="28" t="s">
        <v>6467</v>
      </c>
      <c r="E4558" s="28" t="s">
        <v>17544</v>
      </c>
      <c r="F4558" s="28" t="s">
        <v>21</v>
      </c>
      <c r="G4558" s="28" t="s">
        <v>39</v>
      </c>
      <c r="H4558" s="28" t="s">
        <v>16221</v>
      </c>
      <c r="I4558" s="28" t="s">
        <v>23378</v>
      </c>
      <c r="J4558" s="28" t="s">
        <v>39</v>
      </c>
      <c r="K4558" s="28" t="s">
        <v>16223</v>
      </c>
      <c r="L4558" s="28" t="s">
        <v>16224</v>
      </c>
      <c r="M4558" s="28" t="s">
        <v>19743</v>
      </c>
      <c r="N4558" s="28" t="s">
        <v>16226</v>
      </c>
      <c r="O4558" s="28" t="s">
        <v>16227</v>
      </c>
      <c r="P4558" s="28" t="s">
        <v>21871</v>
      </c>
    </row>
    <row r="4559" spans="1:16" x14ac:dyDescent="0.25">
      <c r="A4559" s="28" t="s">
        <v>23379</v>
      </c>
      <c r="B4559" s="28" t="s">
        <v>23380</v>
      </c>
      <c r="C4559" s="28" t="s">
        <v>4491</v>
      </c>
      <c r="D4559" s="28" t="s">
        <v>6467</v>
      </c>
      <c r="E4559" s="28" t="s">
        <v>17544</v>
      </c>
      <c r="F4559" s="28" t="s">
        <v>21</v>
      </c>
      <c r="G4559" s="28" t="s">
        <v>39</v>
      </c>
      <c r="H4559" s="28" t="s">
        <v>16221</v>
      </c>
      <c r="I4559" s="28" t="s">
        <v>23381</v>
      </c>
      <c r="J4559" s="28" t="s">
        <v>39</v>
      </c>
      <c r="K4559" s="28" t="s">
        <v>16223</v>
      </c>
      <c r="L4559" s="28" t="s">
        <v>16224</v>
      </c>
      <c r="M4559" s="28" t="s">
        <v>19747</v>
      </c>
      <c r="N4559" s="28" t="s">
        <v>16226</v>
      </c>
      <c r="O4559" s="28" t="s">
        <v>16227</v>
      </c>
      <c r="P4559" s="28" t="s">
        <v>21871</v>
      </c>
    </row>
    <row r="4560" spans="1:16" x14ac:dyDescent="0.25">
      <c r="A4560" s="28" t="s">
        <v>23382</v>
      </c>
      <c r="B4560" s="28" t="s">
        <v>23383</v>
      </c>
      <c r="C4560" s="28" t="s">
        <v>4491</v>
      </c>
      <c r="D4560" s="28" t="s">
        <v>6467</v>
      </c>
      <c r="E4560" s="28" t="s">
        <v>17544</v>
      </c>
      <c r="F4560" s="28" t="s">
        <v>21</v>
      </c>
      <c r="G4560" s="28" t="s">
        <v>39</v>
      </c>
      <c r="H4560" s="28" t="s">
        <v>16221</v>
      </c>
      <c r="I4560" s="28" t="s">
        <v>23384</v>
      </c>
      <c r="J4560" s="28" t="s">
        <v>39</v>
      </c>
      <c r="K4560" s="28" t="s">
        <v>16223</v>
      </c>
      <c r="L4560" s="28" t="s">
        <v>16224</v>
      </c>
      <c r="M4560" s="28" t="s">
        <v>19751</v>
      </c>
      <c r="N4560" s="28" t="s">
        <v>16226</v>
      </c>
      <c r="O4560" s="28" t="s">
        <v>16227</v>
      </c>
      <c r="P4560" s="28" t="s">
        <v>21871</v>
      </c>
    </row>
    <row r="4561" spans="1:16" x14ac:dyDescent="0.25">
      <c r="A4561" s="28" t="s">
        <v>23385</v>
      </c>
      <c r="B4561" s="28" t="s">
        <v>23386</v>
      </c>
      <c r="C4561" s="28" t="s">
        <v>4491</v>
      </c>
      <c r="D4561" s="28" t="s">
        <v>6467</v>
      </c>
      <c r="E4561" s="28" t="s">
        <v>17544</v>
      </c>
      <c r="F4561" s="28" t="s">
        <v>21</v>
      </c>
      <c r="G4561" s="28" t="s">
        <v>39</v>
      </c>
      <c r="H4561" s="28" t="s">
        <v>16221</v>
      </c>
      <c r="I4561" s="28" t="s">
        <v>23387</v>
      </c>
      <c r="J4561" s="28" t="s">
        <v>39</v>
      </c>
      <c r="K4561" s="28" t="s">
        <v>16223</v>
      </c>
      <c r="L4561" s="28" t="s">
        <v>16224</v>
      </c>
      <c r="M4561" s="28" t="s">
        <v>19755</v>
      </c>
      <c r="N4561" s="28" t="s">
        <v>16226</v>
      </c>
      <c r="O4561" s="28" t="s">
        <v>16227</v>
      </c>
      <c r="P4561" s="28" t="s">
        <v>21871</v>
      </c>
    </row>
    <row r="4562" spans="1:16" x14ac:dyDescent="0.25">
      <c r="A4562" s="28" t="s">
        <v>23388</v>
      </c>
      <c r="B4562" s="28" t="s">
        <v>23389</v>
      </c>
      <c r="C4562" s="28" t="s">
        <v>4491</v>
      </c>
      <c r="D4562" s="28" t="s">
        <v>6467</v>
      </c>
      <c r="E4562" s="28" t="s">
        <v>17544</v>
      </c>
      <c r="F4562" s="28" t="s">
        <v>21</v>
      </c>
      <c r="G4562" s="28" t="s">
        <v>39</v>
      </c>
      <c r="H4562" s="28" t="s">
        <v>16221</v>
      </c>
      <c r="I4562" s="28" t="s">
        <v>23390</v>
      </c>
      <c r="J4562" s="28" t="s">
        <v>39</v>
      </c>
      <c r="K4562" s="28" t="s">
        <v>16223</v>
      </c>
      <c r="L4562" s="28" t="s">
        <v>16224</v>
      </c>
      <c r="M4562" s="28" t="s">
        <v>19759</v>
      </c>
      <c r="N4562" s="28" t="s">
        <v>16226</v>
      </c>
      <c r="O4562" s="28" t="s">
        <v>16227</v>
      </c>
      <c r="P4562" s="28" t="s">
        <v>21871</v>
      </c>
    </row>
    <row r="4563" spans="1:16" x14ac:dyDescent="0.25">
      <c r="A4563" s="28" t="s">
        <v>23391</v>
      </c>
      <c r="B4563" s="28" t="s">
        <v>23392</v>
      </c>
      <c r="C4563" s="28" t="s">
        <v>4491</v>
      </c>
      <c r="D4563" s="28" t="s">
        <v>6467</v>
      </c>
      <c r="E4563" s="28" t="s">
        <v>17544</v>
      </c>
      <c r="F4563" s="28" t="s">
        <v>21</v>
      </c>
      <c r="G4563" s="28" t="s">
        <v>39</v>
      </c>
      <c r="H4563" s="28" t="s">
        <v>16221</v>
      </c>
      <c r="I4563" s="28" t="s">
        <v>23393</v>
      </c>
      <c r="J4563" s="28" t="s">
        <v>39</v>
      </c>
      <c r="K4563" s="28" t="s">
        <v>16223</v>
      </c>
      <c r="L4563" s="28" t="s">
        <v>16224</v>
      </c>
      <c r="M4563" s="28" t="s">
        <v>19763</v>
      </c>
      <c r="N4563" s="28" t="s">
        <v>16226</v>
      </c>
      <c r="O4563" s="28" t="s">
        <v>16227</v>
      </c>
      <c r="P4563" s="28" t="s">
        <v>21871</v>
      </c>
    </row>
    <row r="4564" spans="1:16" x14ac:dyDescent="0.25">
      <c r="A4564" s="28" t="s">
        <v>23394</v>
      </c>
      <c r="B4564" s="28" t="s">
        <v>23395</v>
      </c>
      <c r="C4564" s="28" t="s">
        <v>4491</v>
      </c>
      <c r="D4564" s="28" t="s">
        <v>6467</v>
      </c>
      <c r="E4564" s="28" t="s">
        <v>17544</v>
      </c>
      <c r="F4564" s="28" t="s">
        <v>21</v>
      </c>
      <c r="G4564" s="28" t="s">
        <v>39</v>
      </c>
      <c r="H4564" s="28" t="s">
        <v>16221</v>
      </c>
      <c r="I4564" s="28" t="s">
        <v>23396</v>
      </c>
      <c r="J4564" s="28" t="s">
        <v>39</v>
      </c>
      <c r="K4564" s="28" t="s">
        <v>16223</v>
      </c>
      <c r="L4564" s="28" t="s">
        <v>16224</v>
      </c>
      <c r="M4564" s="28" t="s">
        <v>19767</v>
      </c>
      <c r="N4564" s="28" t="s">
        <v>16226</v>
      </c>
      <c r="O4564" s="28" t="s">
        <v>16227</v>
      </c>
      <c r="P4564" s="28" t="s">
        <v>21871</v>
      </c>
    </row>
    <row r="4565" spans="1:16" x14ac:dyDescent="0.25">
      <c r="A4565" s="28" t="s">
        <v>23397</v>
      </c>
      <c r="B4565" s="28" t="s">
        <v>23398</v>
      </c>
      <c r="C4565" s="28" t="s">
        <v>4491</v>
      </c>
      <c r="D4565" s="28" t="s">
        <v>6467</v>
      </c>
      <c r="E4565" s="28" t="s">
        <v>17544</v>
      </c>
      <c r="F4565" s="28" t="s">
        <v>21</v>
      </c>
      <c r="G4565" s="28" t="s">
        <v>39</v>
      </c>
      <c r="H4565" s="28" t="s">
        <v>16221</v>
      </c>
      <c r="I4565" s="28" t="s">
        <v>23399</v>
      </c>
      <c r="J4565" s="28" t="s">
        <v>39</v>
      </c>
      <c r="K4565" s="28" t="s">
        <v>16223</v>
      </c>
      <c r="L4565" s="28" t="s">
        <v>16224</v>
      </c>
      <c r="M4565" s="28" t="s">
        <v>19771</v>
      </c>
      <c r="N4565" s="28" t="s">
        <v>16226</v>
      </c>
      <c r="O4565" s="28" t="s">
        <v>16227</v>
      </c>
      <c r="P4565" s="28" t="s">
        <v>21871</v>
      </c>
    </row>
    <row r="4566" spans="1:16" x14ac:dyDescent="0.25">
      <c r="A4566" s="28" t="s">
        <v>23400</v>
      </c>
      <c r="B4566" s="28" t="s">
        <v>23401</v>
      </c>
      <c r="C4566" s="28" t="s">
        <v>4491</v>
      </c>
      <c r="D4566" s="28" t="s">
        <v>6467</v>
      </c>
      <c r="E4566" s="28" t="s">
        <v>17544</v>
      </c>
      <c r="F4566" s="28" t="s">
        <v>21</v>
      </c>
      <c r="G4566" s="28" t="s">
        <v>39</v>
      </c>
      <c r="H4566" s="28" t="s">
        <v>16221</v>
      </c>
      <c r="I4566" s="28" t="s">
        <v>23402</v>
      </c>
      <c r="J4566" s="28" t="s">
        <v>39</v>
      </c>
      <c r="K4566" s="28" t="s">
        <v>16223</v>
      </c>
      <c r="L4566" s="28" t="s">
        <v>16224</v>
      </c>
      <c r="M4566" s="28" t="s">
        <v>19775</v>
      </c>
      <c r="N4566" s="28" t="s">
        <v>16226</v>
      </c>
      <c r="O4566" s="28" t="s">
        <v>16227</v>
      </c>
      <c r="P4566" s="28" t="s">
        <v>21871</v>
      </c>
    </row>
    <row r="4567" spans="1:16" x14ac:dyDescent="0.25">
      <c r="A4567" s="28" t="s">
        <v>23403</v>
      </c>
      <c r="B4567" s="28" t="s">
        <v>23404</v>
      </c>
      <c r="C4567" s="28" t="s">
        <v>4491</v>
      </c>
      <c r="D4567" s="28" t="s">
        <v>6467</v>
      </c>
      <c r="E4567" s="28" t="s">
        <v>17544</v>
      </c>
      <c r="F4567" s="28" t="s">
        <v>21</v>
      </c>
      <c r="G4567" s="28" t="s">
        <v>39</v>
      </c>
      <c r="H4567" s="28" t="s">
        <v>16221</v>
      </c>
      <c r="I4567" s="28" t="s">
        <v>23405</v>
      </c>
      <c r="J4567" s="28" t="s">
        <v>39</v>
      </c>
      <c r="K4567" s="28" t="s">
        <v>16223</v>
      </c>
      <c r="L4567" s="28" t="s">
        <v>16224</v>
      </c>
      <c r="M4567" s="28" t="s">
        <v>19779</v>
      </c>
      <c r="N4567" s="28" t="s">
        <v>16226</v>
      </c>
      <c r="O4567" s="28" t="s">
        <v>16227</v>
      </c>
      <c r="P4567" s="28" t="s">
        <v>21871</v>
      </c>
    </row>
    <row r="4568" spans="1:16" x14ac:dyDescent="0.25">
      <c r="A4568" s="28" t="s">
        <v>23406</v>
      </c>
      <c r="B4568" s="28" t="s">
        <v>23407</v>
      </c>
      <c r="C4568" s="28" t="s">
        <v>4491</v>
      </c>
      <c r="D4568" s="28" t="s">
        <v>6467</v>
      </c>
      <c r="E4568" s="28" t="s">
        <v>17544</v>
      </c>
      <c r="F4568" s="28" t="s">
        <v>21</v>
      </c>
      <c r="G4568" s="28" t="s">
        <v>39</v>
      </c>
      <c r="H4568" s="28" t="s">
        <v>16221</v>
      </c>
      <c r="I4568" s="28" t="s">
        <v>23408</v>
      </c>
      <c r="J4568" s="28" t="s">
        <v>39</v>
      </c>
      <c r="K4568" s="28" t="s">
        <v>16223</v>
      </c>
      <c r="L4568" s="28" t="s">
        <v>16224</v>
      </c>
      <c r="M4568" s="28" t="s">
        <v>19783</v>
      </c>
      <c r="N4568" s="28" t="s">
        <v>16226</v>
      </c>
      <c r="O4568" s="28" t="s">
        <v>16227</v>
      </c>
      <c r="P4568" s="28" t="s">
        <v>21871</v>
      </c>
    </row>
    <row r="4569" spans="1:16" x14ac:dyDescent="0.25">
      <c r="A4569" s="28" t="s">
        <v>23409</v>
      </c>
      <c r="B4569" s="28" t="s">
        <v>23410</v>
      </c>
      <c r="C4569" s="28" t="s">
        <v>4491</v>
      </c>
      <c r="D4569" s="28" t="s">
        <v>6467</v>
      </c>
      <c r="E4569" s="28" t="s">
        <v>17544</v>
      </c>
      <c r="F4569" s="28" t="s">
        <v>21</v>
      </c>
      <c r="G4569" s="28" t="s">
        <v>39</v>
      </c>
      <c r="H4569" s="28" t="s">
        <v>16221</v>
      </c>
      <c r="I4569" s="28" t="s">
        <v>23411</v>
      </c>
      <c r="J4569" s="28" t="s">
        <v>39</v>
      </c>
      <c r="K4569" s="28" t="s">
        <v>16223</v>
      </c>
      <c r="L4569" s="28" t="s">
        <v>16224</v>
      </c>
      <c r="M4569" s="28" t="s">
        <v>19787</v>
      </c>
      <c r="N4569" s="28" t="s">
        <v>16226</v>
      </c>
      <c r="O4569" s="28" t="s">
        <v>16227</v>
      </c>
      <c r="P4569" s="28" t="s">
        <v>21871</v>
      </c>
    </row>
    <row r="4570" spans="1:16" x14ac:dyDescent="0.25">
      <c r="A4570" s="28" t="s">
        <v>23412</v>
      </c>
      <c r="B4570" s="28" t="s">
        <v>23413</v>
      </c>
      <c r="C4570" s="28" t="s">
        <v>4491</v>
      </c>
      <c r="D4570" s="28" t="s">
        <v>6467</v>
      </c>
      <c r="E4570" s="28" t="s">
        <v>17544</v>
      </c>
      <c r="F4570" s="28" t="s">
        <v>21</v>
      </c>
      <c r="G4570" s="28" t="s">
        <v>39</v>
      </c>
      <c r="H4570" s="28" t="s">
        <v>16221</v>
      </c>
      <c r="I4570" s="28" t="s">
        <v>23414</v>
      </c>
      <c r="J4570" s="28" t="s">
        <v>39</v>
      </c>
      <c r="K4570" s="28" t="s">
        <v>16223</v>
      </c>
      <c r="L4570" s="28" t="s">
        <v>16224</v>
      </c>
      <c r="M4570" s="28" t="s">
        <v>19791</v>
      </c>
      <c r="N4570" s="28" t="s">
        <v>16226</v>
      </c>
      <c r="O4570" s="28" t="s">
        <v>16227</v>
      </c>
      <c r="P4570" s="28" t="s">
        <v>21871</v>
      </c>
    </row>
    <row r="4571" spans="1:16" x14ac:dyDescent="0.25">
      <c r="A4571" s="28" t="s">
        <v>23415</v>
      </c>
      <c r="B4571" s="28" t="s">
        <v>23416</v>
      </c>
      <c r="C4571" s="28" t="s">
        <v>4491</v>
      </c>
      <c r="D4571" s="28" t="s">
        <v>6467</v>
      </c>
      <c r="E4571" s="28" t="s">
        <v>17544</v>
      </c>
      <c r="F4571" s="28" t="s">
        <v>21</v>
      </c>
      <c r="G4571" s="28" t="s">
        <v>39</v>
      </c>
      <c r="H4571" s="28" t="s">
        <v>16221</v>
      </c>
      <c r="I4571" s="28" t="s">
        <v>23417</v>
      </c>
      <c r="J4571" s="28" t="s">
        <v>39</v>
      </c>
      <c r="K4571" s="28" t="s">
        <v>16223</v>
      </c>
      <c r="L4571" s="28" t="s">
        <v>16224</v>
      </c>
      <c r="M4571" s="28" t="s">
        <v>19795</v>
      </c>
      <c r="N4571" s="28" t="s">
        <v>16226</v>
      </c>
      <c r="O4571" s="28" t="s">
        <v>16227</v>
      </c>
      <c r="P4571" s="28" t="s">
        <v>21871</v>
      </c>
    </row>
    <row r="4572" spans="1:16" x14ac:dyDescent="0.25">
      <c r="A4572" s="28" t="s">
        <v>23418</v>
      </c>
      <c r="B4572" s="28" t="s">
        <v>23419</v>
      </c>
      <c r="C4572" s="28" t="s">
        <v>4491</v>
      </c>
      <c r="D4572" s="28" t="s">
        <v>6467</v>
      </c>
      <c r="E4572" s="28" t="s">
        <v>17544</v>
      </c>
      <c r="F4572" s="28" t="s">
        <v>21</v>
      </c>
      <c r="G4572" s="28" t="s">
        <v>39</v>
      </c>
      <c r="H4572" s="28" t="s">
        <v>16221</v>
      </c>
      <c r="I4572" s="28" t="s">
        <v>23420</v>
      </c>
      <c r="J4572" s="28" t="s">
        <v>39</v>
      </c>
      <c r="K4572" s="28" t="s">
        <v>16223</v>
      </c>
      <c r="L4572" s="28" t="s">
        <v>16224</v>
      </c>
      <c r="M4572" s="28" t="s">
        <v>19799</v>
      </c>
      <c r="N4572" s="28" t="s">
        <v>16226</v>
      </c>
      <c r="O4572" s="28" t="s">
        <v>16227</v>
      </c>
      <c r="P4572" s="28" t="s">
        <v>21871</v>
      </c>
    </row>
    <row r="4573" spans="1:16" x14ac:dyDescent="0.25">
      <c r="A4573" s="28" t="s">
        <v>23421</v>
      </c>
      <c r="B4573" s="28" t="s">
        <v>23422</v>
      </c>
      <c r="C4573" s="28" t="s">
        <v>4491</v>
      </c>
      <c r="D4573" s="28" t="s">
        <v>6467</v>
      </c>
      <c r="E4573" s="28" t="s">
        <v>17544</v>
      </c>
      <c r="F4573" s="28" t="s">
        <v>21</v>
      </c>
      <c r="G4573" s="28" t="s">
        <v>39</v>
      </c>
      <c r="H4573" s="28" t="s">
        <v>16221</v>
      </c>
      <c r="I4573" s="28" t="s">
        <v>23423</v>
      </c>
      <c r="J4573" s="28" t="s">
        <v>39</v>
      </c>
      <c r="K4573" s="28" t="s">
        <v>16223</v>
      </c>
      <c r="L4573" s="28" t="s">
        <v>16224</v>
      </c>
      <c r="M4573" s="28" t="s">
        <v>19803</v>
      </c>
      <c r="N4573" s="28" t="s">
        <v>16226</v>
      </c>
      <c r="O4573" s="28" t="s">
        <v>16227</v>
      </c>
      <c r="P4573" s="28" t="s">
        <v>21871</v>
      </c>
    </row>
    <row r="4574" spans="1:16" x14ac:dyDescent="0.25">
      <c r="A4574" s="28" t="s">
        <v>23424</v>
      </c>
      <c r="B4574" s="28" t="s">
        <v>23425</v>
      </c>
      <c r="C4574" s="28" t="s">
        <v>4491</v>
      </c>
      <c r="D4574" s="28" t="s">
        <v>6467</v>
      </c>
      <c r="E4574" s="28" t="s">
        <v>17544</v>
      </c>
      <c r="F4574" s="28" t="s">
        <v>21</v>
      </c>
      <c r="G4574" s="28" t="s">
        <v>39</v>
      </c>
      <c r="H4574" s="28" t="s">
        <v>16221</v>
      </c>
      <c r="I4574" s="28" t="s">
        <v>23426</v>
      </c>
      <c r="J4574" s="28" t="s">
        <v>39</v>
      </c>
      <c r="K4574" s="28" t="s">
        <v>16223</v>
      </c>
      <c r="L4574" s="28" t="s">
        <v>16224</v>
      </c>
      <c r="M4574" s="28" t="s">
        <v>19807</v>
      </c>
      <c r="N4574" s="28" t="s">
        <v>16226</v>
      </c>
      <c r="O4574" s="28" t="s">
        <v>16227</v>
      </c>
      <c r="P4574" s="28" t="s">
        <v>21871</v>
      </c>
    </row>
    <row r="4575" spans="1:16" x14ac:dyDescent="0.25">
      <c r="A4575" s="28" t="s">
        <v>23427</v>
      </c>
      <c r="B4575" s="28" t="s">
        <v>23428</v>
      </c>
      <c r="C4575" s="28" t="s">
        <v>4491</v>
      </c>
      <c r="D4575" s="28" t="s">
        <v>6467</v>
      </c>
      <c r="E4575" s="28" t="s">
        <v>17544</v>
      </c>
      <c r="F4575" s="28" t="s">
        <v>21</v>
      </c>
      <c r="G4575" s="28" t="s">
        <v>39</v>
      </c>
      <c r="H4575" s="28" t="s">
        <v>16221</v>
      </c>
      <c r="I4575" s="28" t="s">
        <v>23429</v>
      </c>
      <c r="J4575" s="28" t="s">
        <v>39</v>
      </c>
      <c r="K4575" s="28" t="s">
        <v>16223</v>
      </c>
      <c r="L4575" s="28" t="s">
        <v>16224</v>
      </c>
      <c r="M4575" s="28" t="s">
        <v>19811</v>
      </c>
      <c r="N4575" s="28" t="s">
        <v>16226</v>
      </c>
      <c r="O4575" s="28" t="s">
        <v>16227</v>
      </c>
      <c r="P4575" s="28" t="s">
        <v>21871</v>
      </c>
    </row>
    <row r="4576" spans="1:16" x14ac:dyDescent="0.25">
      <c r="A4576" s="28" t="s">
        <v>23430</v>
      </c>
      <c r="B4576" s="28" t="s">
        <v>23431</v>
      </c>
      <c r="C4576" s="28" t="s">
        <v>4491</v>
      </c>
      <c r="D4576" s="28" t="s">
        <v>6467</v>
      </c>
      <c r="E4576" s="28" t="s">
        <v>17544</v>
      </c>
      <c r="F4576" s="28" t="s">
        <v>21</v>
      </c>
      <c r="G4576" s="28" t="s">
        <v>39</v>
      </c>
      <c r="H4576" s="28" t="s">
        <v>16221</v>
      </c>
      <c r="I4576" s="28" t="s">
        <v>23432</v>
      </c>
      <c r="J4576" s="28" t="s">
        <v>39</v>
      </c>
      <c r="K4576" s="28" t="s">
        <v>16223</v>
      </c>
      <c r="L4576" s="28" t="s">
        <v>16224</v>
      </c>
      <c r="M4576" s="28" t="s">
        <v>19815</v>
      </c>
      <c r="N4576" s="28" t="s">
        <v>16226</v>
      </c>
      <c r="O4576" s="28" t="s">
        <v>16227</v>
      </c>
      <c r="P4576" s="28" t="s">
        <v>21871</v>
      </c>
    </row>
    <row r="4577" spans="1:16" x14ac:dyDescent="0.25">
      <c r="A4577" s="28" t="s">
        <v>23433</v>
      </c>
      <c r="B4577" s="28" t="s">
        <v>23434</v>
      </c>
      <c r="C4577" s="28" t="s">
        <v>4491</v>
      </c>
      <c r="D4577" s="28" t="s">
        <v>6467</v>
      </c>
      <c r="E4577" s="28" t="s">
        <v>17544</v>
      </c>
      <c r="F4577" s="28" t="s">
        <v>21</v>
      </c>
      <c r="G4577" s="28" t="s">
        <v>39</v>
      </c>
      <c r="H4577" s="28" t="s">
        <v>16221</v>
      </c>
      <c r="I4577" s="28" t="s">
        <v>23435</v>
      </c>
      <c r="J4577" s="28" t="s">
        <v>39</v>
      </c>
      <c r="K4577" s="28" t="s">
        <v>16223</v>
      </c>
      <c r="L4577" s="28" t="s">
        <v>16224</v>
      </c>
      <c r="M4577" s="28" t="s">
        <v>19819</v>
      </c>
      <c r="N4577" s="28" t="s">
        <v>16226</v>
      </c>
      <c r="O4577" s="28" t="s">
        <v>16227</v>
      </c>
      <c r="P4577" s="28" t="s">
        <v>21871</v>
      </c>
    </row>
    <row r="4578" spans="1:16" x14ac:dyDescent="0.25">
      <c r="A4578" s="28" t="s">
        <v>23436</v>
      </c>
      <c r="B4578" s="28" t="s">
        <v>23437</v>
      </c>
      <c r="C4578" s="28" t="s">
        <v>4491</v>
      </c>
      <c r="D4578" s="28" t="s">
        <v>6467</v>
      </c>
      <c r="E4578" s="28" t="s">
        <v>17544</v>
      </c>
      <c r="F4578" s="28" t="s">
        <v>21</v>
      </c>
      <c r="G4578" s="28" t="s">
        <v>39</v>
      </c>
      <c r="H4578" s="28" t="s">
        <v>16221</v>
      </c>
      <c r="I4578" s="28" t="s">
        <v>23438</v>
      </c>
      <c r="J4578" s="28" t="s">
        <v>39</v>
      </c>
      <c r="K4578" s="28" t="s">
        <v>16223</v>
      </c>
      <c r="L4578" s="28" t="s">
        <v>16224</v>
      </c>
      <c r="M4578" s="28" t="s">
        <v>19823</v>
      </c>
      <c r="N4578" s="28" t="s">
        <v>16226</v>
      </c>
      <c r="O4578" s="28" t="s">
        <v>16227</v>
      </c>
      <c r="P4578" s="28" t="s">
        <v>21871</v>
      </c>
    </row>
    <row r="4579" spans="1:16" x14ac:dyDescent="0.25">
      <c r="A4579" s="28" t="s">
        <v>23439</v>
      </c>
      <c r="B4579" s="28" t="s">
        <v>23440</v>
      </c>
      <c r="C4579" s="28" t="s">
        <v>4491</v>
      </c>
      <c r="D4579" s="28" t="s">
        <v>6467</v>
      </c>
      <c r="E4579" s="28" t="s">
        <v>17554</v>
      </c>
      <c r="F4579" s="28" t="s">
        <v>21</v>
      </c>
      <c r="G4579" s="28" t="s">
        <v>39</v>
      </c>
      <c r="H4579" s="28" t="s">
        <v>16221</v>
      </c>
      <c r="I4579" s="28" t="s">
        <v>23441</v>
      </c>
      <c r="J4579" s="28" t="s">
        <v>39</v>
      </c>
      <c r="K4579" s="28" t="s">
        <v>16223</v>
      </c>
      <c r="L4579" s="28" t="s">
        <v>16224</v>
      </c>
      <c r="M4579" s="28" t="s">
        <v>19827</v>
      </c>
      <c r="N4579" s="28" t="s">
        <v>16226</v>
      </c>
      <c r="O4579" s="28" t="s">
        <v>16227</v>
      </c>
      <c r="P4579" s="28" t="s">
        <v>21878</v>
      </c>
    </row>
    <row r="4580" spans="1:16" x14ac:dyDescent="0.25">
      <c r="A4580" s="28" t="s">
        <v>23442</v>
      </c>
      <c r="B4580" s="28" t="s">
        <v>23443</v>
      </c>
      <c r="C4580" s="28" t="s">
        <v>4491</v>
      </c>
      <c r="D4580" s="28" t="s">
        <v>6467</v>
      </c>
      <c r="E4580" s="28" t="s">
        <v>17554</v>
      </c>
      <c r="F4580" s="28" t="s">
        <v>21</v>
      </c>
      <c r="G4580" s="28" t="s">
        <v>39</v>
      </c>
      <c r="H4580" s="28" t="s">
        <v>16221</v>
      </c>
      <c r="I4580" s="28" t="s">
        <v>23444</v>
      </c>
      <c r="J4580" s="28" t="s">
        <v>39</v>
      </c>
      <c r="K4580" s="28" t="s">
        <v>16223</v>
      </c>
      <c r="L4580" s="28" t="s">
        <v>16224</v>
      </c>
      <c r="M4580" s="28" t="s">
        <v>19831</v>
      </c>
      <c r="N4580" s="28" t="s">
        <v>16226</v>
      </c>
      <c r="O4580" s="28" t="s">
        <v>16227</v>
      </c>
      <c r="P4580" s="28" t="s">
        <v>21878</v>
      </c>
    </row>
    <row r="4581" spans="1:16" x14ac:dyDescent="0.25">
      <c r="A4581" s="28" t="s">
        <v>23445</v>
      </c>
      <c r="B4581" s="28" t="s">
        <v>23446</v>
      </c>
      <c r="C4581" s="28" t="s">
        <v>4491</v>
      </c>
      <c r="D4581" s="28" t="s">
        <v>6467</v>
      </c>
      <c r="E4581" s="28" t="s">
        <v>17560</v>
      </c>
      <c r="F4581" s="28" t="s">
        <v>21</v>
      </c>
      <c r="G4581" s="28" t="s">
        <v>39</v>
      </c>
      <c r="H4581" s="28" t="s">
        <v>16221</v>
      </c>
      <c r="I4581" s="28" t="s">
        <v>23447</v>
      </c>
      <c r="J4581" s="28" t="s">
        <v>39</v>
      </c>
      <c r="K4581" s="28" t="s">
        <v>16223</v>
      </c>
      <c r="L4581" s="28" t="s">
        <v>16224</v>
      </c>
      <c r="M4581" s="28" t="s">
        <v>19835</v>
      </c>
      <c r="N4581" s="28" t="s">
        <v>16226</v>
      </c>
      <c r="O4581" s="28" t="s">
        <v>16227</v>
      </c>
      <c r="P4581" s="28" t="s">
        <v>21882</v>
      </c>
    </row>
    <row r="4582" spans="1:16" x14ac:dyDescent="0.25">
      <c r="A4582" s="28" t="s">
        <v>23448</v>
      </c>
      <c r="B4582" s="28" t="s">
        <v>23449</v>
      </c>
      <c r="C4582" s="28" t="s">
        <v>4491</v>
      </c>
      <c r="D4582" s="28" t="s">
        <v>6467</v>
      </c>
      <c r="E4582" s="28" t="s">
        <v>17560</v>
      </c>
      <c r="F4582" s="28" t="s">
        <v>21</v>
      </c>
      <c r="G4582" s="28" t="s">
        <v>39</v>
      </c>
      <c r="H4582" s="28" t="s">
        <v>16221</v>
      </c>
      <c r="I4582" s="28" t="s">
        <v>23450</v>
      </c>
      <c r="J4582" s="28" t="s">
        <v>39</v>
      </c>
      <c r="K4582" s="28" t="s">
        <v>16223</v>
      </c>
      <c r="L4582" s="28" t="s">
        <v>16224</v>
      </c>
      <c r="M4582" s="28" t="s">
        <v>19839</v>
      </c>
      <c r="N4582" s="28" t="s">
        <v>16226</v>
      </c>
      <c r="O4582" s="28" t="s">
        <v>16227</v>
      </c>
      <c r="P4582" s="28" t="s">
        <v>21882</v>
      </c>
    </row>
    <row r="4583" spans="1:16" x14ac:dyDescent="0.25">
      <c r="A4583" s="28" t="s">
        <v>23451</v>
      </c>
      <c r="B4583" s="28" t="s">
        <v>23452</v>
      </c>
      <c r="C4583" s="28" t="s">
        <v>4491</v>
      </c>
      <c r="D4583" s="28" t="s">
        <v>5990</v>
      </c>
      <c r="E4583" s="28" t="s">
        <v>17566</v>
      </c>
      <c r="F4583" s="28" t="s">
        <v>21</v>
      </c>
      <c r="G4583" s="28" t="s">
        <v>39</v>
      </c>
      <c r="H4583" s="28" t="s">
        <v>16221</v>
      </c>
      <c r="I4583" s="28" t="s">
        <v>23453</v>
      </c>
      <c r="J4583" s="28" t="s">
        <v>39</v>
      </c>
      <c r="K4583" s="28" t="s">
        <v>16223</v>
      </c>
      <c r="L4583" s="28" t="s">
        <v>16224</v>
      </c>
      <c r="M4583" s="28" t="s">
        <v>19843</v>
      </c>
      <c r="N4583" s="28" t="s">
        <v>16226</v>
      </c>
      <c r="O4583" s="28" t="s">
        <v>16227</v>
      </c>
      <c r="P4583" s="28" t="s">
        <v>21886</v>
      </c>
    </row>
    <row r="4584" spans="1:16" x14ac:dyDescent="0.25">
      <c r="A4584" s="28" t="s">
        <v>23454</v>
      </c>
      <c r="B4584" s="28" t="s">
        <v>23455</v>
      </c>
      <c r="C4584" s="28" t="s">
        <v>4491</v>
      </c>
      <c r="D4584" s="28" t="s">
        <v>5990</v>
      </c>
      <c r="E4584" s="28" t="s">
        <v>17566</v>
      </c>
      <c r="F4584" s="28" t="s">
        <v>21</v>
      </c>
      <c r="G4584" s="28" t="s">
        <v>39</v>
      </c>
      <c r="H4584" s="28" t="s">
        <v>16221</v>
      </c>
      <c r="I4584" s="28" t="s">
        <v>23456</v>
      </c>
      <c r="J4584" s="28" t="s">
        <v>39</v>
      </c>
      <c r="K4584" s="28" t="s">
        <v>16223</v>
      </c>
      <c r="L4584" s="28" t="s">
        <v>16224</v>
      </c>
      <c r="M4584" s="28" t="s">
        <v>19847</v>
      </c>
      <c r="N4584" s="28" t="s">
        <v>16226</v>
      </c>
      <c r="O4584" s="28" t="s">
        <v>16227</v>
      </c>
      <c r="P4584" s="28" t="s">
        <v>21886</v>
      </c>
    </row>
    <row r="4585" spans="1:16" x14ac:dyDescent="0.25">
      <c r="A4585" s="28" t="s">
        <v>23457</v>
      </c>
      <c r="B4585" s="28" t="s">
        <v>23458</v>
      </c>
      <c r="C4585" s="28" t="s">
        <v>4491</v>
      </c>
      <c r="D4585" s="28" t="s">
        <v>6467</v>
      </c>
      <c r="E4585" s="28" t="s">
        <v>17572</v>
      </c>
      <c r="F4585" s="28" t="s">
        <v>21</v>
      </c>
      <c r="G4585" s="28" t="s">
        <v>39</v>
      </c>
      <c r="H4585" s="28" t="s">
        <v>16221</v>
      </c>
      <c r="I4585" s="28" t="s">
        <v>23459</v>
      </c>
      <c r="J4585" s="28" t="s">
        <v>39</v>
      </c>
      <c r="K4585" s="28" t="s">
        <v>16223</v>
      </c>
      <c r="L4585" s="28" t="s">
        <v>16224</v>
      </c>
      <c r="M4585" s="28" t="s">
        <v>19851</v>
      </c>
      <c r="N4585" s="28" t="s">
        <v>16226</v>
      </c>
      <c r="O4585" s="28" t="s">
        <v>16227</v>
      </c>
      <c r="P4585" s="28" t="s">
        <v>21890</v>
      </c>
    </row>
    <row r="4586" spans="1:16" x14ac:dyDescent="0.25">
      <c r="A4586" s="28" t="s">
        <v>23460</v>
      </c>
      <c r="B4586" s="28" t="s">
        <v>23461</v>
      </c>
      <c r="C4586" s="28" t="s">
        <v>4491</v>
      </c>
      <c r="D4586" s="28" t="s">
        <v>6467</v>
      </c>
      <c r="E4586" s="28" t="s">
        <v>17572</v>
      </c>
      <c r="F4586" s="28" t="s">
        <v>21</v>
      </c>
      <c r="G4586" s="28" t="s">
        <v>39</v>
      </c>
      <c r="H4586" s="28" t="s">
        <v>16221</v>
      </c>
      <c r="I4586" s="28" t="s">
        <v>23462</v>
      </c>
      <c r="J4586" s="28" t="s">
        <v>39</v>
      </c>
      <c r="K4586" s="28" t="s">
        <v>16223</v>
      </c>
      <c r="L4586" s="28" t="s">
        <v>16224</v>
      </c>
      <c r="M4586" s="28" t="s">
        <v>19855</v>
      </c>
      <c r="N4586" s="28" t="s">
        <v>16226</v>
      </c>
      <c r="O4586" s="28" t="s">
        <v>16227</v>
      </c>
      <c r="P4586" s="28" t="s">
        <v>21890</v>
      </c>
    </row>
    <row r="4587" spans="1:16" x14ac:dyDescent="0.25">
      <c r="A4587" s="28" t="s">
        <v>23463</v>
      </c>
      <c r="B4587" s="28" t="s">
        <v>23464</v>
      </c>
      <c r="C4587" s="28" t="s">
        <v>4491</v>
      </c>
      <c r="D4587" s="28" t="s">
        <v>6467</v>
      </c>
      <c r="E4587" s="28" t="s">
        <v>17578</v>
      </c>
      <c r="F4587" s="28" t="s">
        <v>21</v>
      </c>
      <c r="G4587" s="28" t="s">
        <v>39</v>
      </c>
      <c r="H4587" s="28" t="s">
        <v>16221</v>
      </c>
      <c r="I4587" s="28" t="s">
        <v>23465</v>
      </c>
      <c r="J4587" s="28" t="s">
        <v>39</v>
      </c>
      <c r="K4587" s="28" t="s">
        <v>16223</v>
      </c>
      <c r="L4587" s="28" t="s">
        <v>16224</v>
      </c>
      <c r="M4587" s="28" t="s">
        <v>19859</v>
      </c>
      <c r="N4587" s="28" t="s">
        <v>16226</v>
      </c>
      <c r="O4587" s="28" t="s">
        <v>16227</v>
      </c>
      <c r="P4587" s="28" t="s">
        <v>21894</v>
      </c>
    </row>
    <row r="4588" spans="1:16" x14ac:dyDescent="0.25">
      <c r="A4588" s="28" t="s">
        <v>23466</v>
      </c>
      <c r="B4588" s="28" t="s">
        <v>23467</v>
      </c>
      <c r="C4588" s="28" t="s">
        <v>4491</v>
      </c>
      <c r="D4588" s="28" t="s">
        <v>6467</v>
      </c>
      <c r="E4588" s="28" t="s">
        <v>17578</v>
      </c>
      <c r="F4588" s="28" t="s">
        <v>21</v>
      </c>
      <c r="G4588" s="28" t="s">
        <v>39</v>
      </c>
      <c r="H4588" s="28" t="s">
        <v>16221</v>
      </c>
      <c r="I4588" s="28" t="s">
        <v>23468</v>
      </c>
      <c r="J4588" s="28" t="s">
        <v>39</v>
      </c>
      <c r="K4588" s="28" t="s">
        <v>16223</v>
      </c>
      <c r="L4588" s="28" t="s">
        <v>16224</v>
      </c>
      <c r="M4588" s="28" t="s">
        <v>19863</v>
      </c>
      <c r="N4588" s="28" t="s">
        <v>16226</v>
      </c>
      <c r="O4588" s="28" t="s">
        <v>16227</v>
      </c>
      <c r="P4588" s="28" t="s">
        <v>21894</v>
      </c>
    </row>
    <row r="4589" spans="1:16" x14ac:dyDescent="0.25">
      <c r="A4589" s="28" t="s">
        <v>23469</v>
      </c>
      <c r="B4589" s="28" t="s">
        <v>23470</v>
      </c>
      <c r="C4589" s="28" t="s">
        <v>4491</v>
      </c>
      <c r="D4589" s="28" t="s">
        <v>6467</v>
      </c>
      <c r="E4589" s="28" t="s">
        <v>17584</v>
      </c>
      <c r="F4589" s="28" t="s">
        <v>21</v>
      </c>
      <c r="G4589" s="28" t="s">
        <v>39</v>
      </c>
      <c r="H4589" s="28" t="s">
        <v>16221</v>
      </c>
      <c r="I4589" s="28" t="s">
        <v>23471</v>
      </c>
      <c r="J4589" s="28" t="s">
        <v>39</v>
      </c>
      <c r="K4589" s="28" t="s">
        <v>16223</v>
      </c>
      <c r="L4589" s="28" t="s">
        <v>16224</v>
      </c>
      <c r="M4589" s="28" t="s">
        <v>19867</v>
      </c>
      <c r="N4589" s="28" t="s">
        <v>16226</v>
      </c>
      <c r="O4589" s="28" t="s">
        <v>16227</v>
      </c>
      <c r="P4589" s="28" t="s">
        <v>21898</v>
      </c>
    </row>
    <row r="4590" spans="1:16" x14ac:dyDescent="0.25">
      <c r="A4590" s="28" t="s">
        <v>23472</v>
      </c>
      <c r="B4590" s="28" t="s">
        <v>23473</v>
      </c>
      <c r="C4590" s="28" t="s">
        <v>4491</v>
      </c>
      <c r="D4590" s="28" t="s">
        <v>6467</v>
      </c>
      <c r="E4590" s="28" t="s">
        <v>17584</v>
      </c>
      <c r="F4590" s="28" t="s">
        <v>21</v>
      </c>
      <c r="G4590" s="28" t="s">
        <v>39</v>
      </c>
      <c r="H4590" s="28" t="s">
        <v>16221</v>
      </c>
      <c r="I4590" s="28" t="s">
        <v>23474</v>
      </c>
      <c r="J4590" s="28" t="s">
        <v>39</v>
      </c>
      <c r="K4590" s="28" t="s">
        <v>16223</v>
      </c>
      <c r="L4590" s="28" t="s">
        <v>16224</v>
      </c>
      <c r="M4590" s="28" t="s">
        <v>19871</v>
      </c>
      <c r="N4590" s="28" t="s">
        <v>16226</v>
      </c>
      <c r="O4590" s="28" t="s">
        <v>16227</v>
      </c>
      <c r="P4590" s="28" t="s">
        <v>21898</v>
      </c>
    </row>
    <row r="4591" spans="1:16" x14ac:dyDescent="0.25">
      <c r="A4591" s="28" t="s">
        <v>23475</v>
      </c>
      <c r="B4591" s="28" t="s">
        <v>23476</v>
      </c>
      <c r="C4591" s="28" t="s">
        <v>4491</v>
      </c>
      <c r="D4591" s="28" t="s">
        <v>6467</v>
      </c>
      <c r="E4591" s="28" t="s">
        <v>17590</v>
      </c>
      <c r="F4591" s="28" t="s">
        <v>21</v>
      </c>
      <c r="G4591" s="28" t="s">
        <v>39</v>
      </c>
      <c r="H4591" s="28" t="s">
        <v>16221</v>
      </c>
      <c r="I4591" s="28" t="s">
        <v>23477</v>
      </c>
      <c r="J4591" s="28" t="s">
        <v>39</v>
      </c>
      <c r="K4591" s="28" t="s">
        <v>16223</v>
      </c>
      <c r="L4591" s="28" t="s">
        <v>16224</v>
      </c>
      <c r="M4591" s="28" t="s">
        <v>19875</v>
      </c>
      <c r="N4591" s="28" t="s">
        <v>16226</v>
      </c>
      <c r="O4591" s="28" t="s">
        <v>16227</v>
      </c>
      <c r="P4591" s="28" t="s">
        <v>21902</v>
      </c>
    </row>
    <row r="4592" spans="1:16" x14ac:dyDescent="0.25">
      <c r="A4592" s="28" t="s">
        <v>23478</v>
      </c>
      <c r="B4592" s="28" t="s">
        <v>23479</v>
      </c>
      <c r="C4592" s="28" t="s">
        <v>4491</v>
      </c>
      <c r="D4592" s="28" t="s">
        <v>6467</v>
      </c>
      <c r="E4592" s="28" t="s">
        <v>17590</v>
      </c>
      <c r="F4592" s="28" t="s">
        <v>21</v>
      </c>
      <c r="G4592" s="28" t="s">
        <v>39</v>
      </c>
      <c r="H4592" s="28" t="s">
        <v>16221</v>
      </c>
      <c r="I4592" s="28" t="s">
        <v>23480</v>
      </c>
      <c r="J4592" s="28" t="s">
        <v>39</v>
      </c>
      <c r="K4592" s="28" t="s">
        <v>16223</v>
      </c>
      <c r="L4592" s="28" t="s">
        <v>16224</v>
      </c>
      <c r="M4592" s="28" t="s">
        <v>19879</v>
      </c>
      <c r="N4592" s="28" t="s">
        <v>16226</v>
      </c>
      <c r="O4592" s="28" t="s">
        <v>16227</v>
      </c>
      <c r="P4592" s="28" t="s">
        <v>21902</v>
      </c>
    </row>
    <row r="4593" spans="1:16" x14ac:dyDescent="0.25">
      <c r="A4593" s="28" t="s">
        <v>23481</v>
      </c>
      <c r="B4593" s="28" t="s">
        <v>23482</v>
      </c>
      <c r="C4593" s="28" t="s">
        <v>4491</v>
      </c>
      <c r="D4593" s="28" t="s">
        <v>6467</v>
      </c>
      <c r="E4593" s="28" t="s">
        <v>17596</v>
      </c>
      <c r="F4593" s="28" t="s">
        <v>21</v>
      </c>
      <c r="G4593" s="28" t="s">
        <v>39</v>
      </c>
      <c r="H4593" s="28" t="s">
        <v>16221</v>
      </c>
      <c r="I4593" s="28" t="s">
        <v>23483</v>
      </c>
      <c r="J4593" s="28" t="s">
        <v>39</v>
      </c>
      <c r="K4593" s="28" t="s">
        <v>16223</v>
      </c>
      <c r="L4593" s="28" t="s">
        <v>16224</v>
      </c>
      <c r="M4593" s="28" t="s">
        <v>19883</v>
      </c>
      <c r="N4593" s="28" t="s">
        <v>16226</v>
      </c>
      <c r="O4593" s="28" t="s">
        <v>16227</v>
      </c>
      <c r="P4593" s="28" t="s">
        <v>21906</v>
      </c>
    </row>
    <row r="4594" spans="1:16" x14ac:dyDescent="0.25">
      <c r="A4594" s="28" t="s">
        <v>23484</v>
      </c>
      <c r="B4594" s="28" t="s">
        <v>23485</v>
      </c>
      <c r="C4594" s="28" t="s">
        <v>4491</v>
      </c>
      <c r="D4594" s="28" t="s">
        <v>6467</v>
      </c>
      <c r="E4594" s="28" t="s">
        <v>17596</v>
      </c>
      <c r="F4594" s="28" t="s">
        <v>21</v>
      </c>
      <c r="G4594" s="28" t="s">
        <v>39</v>
      </c>
      <c r="H4594" s="28" t="s">
        <v>16221</v>
      </c>
      <c r="I4594" s="28" t="s">
        <v>23486</v>
      </c>
      <c r="J4594" s="28" t="s">
        <v>39</v>
      </c>
      <c r="K4594" s="28" t="s">
        <v>16223</v>
      </c>
      <c r="L4594" s="28" t="s">
        <v>16224</v>
      </c>
      <c r="M4594" s="28" t="s">
        <v>19887</v>
      </c>
      <c r="N4594" s="28" t="s">
        <v>16226</v>
      </c>
      <c r="O4594" s="28" t="s">
        <v>16227</v>
      </c>
      <c r="P4594" s="28" t="s">
        <v>21906</v>
      </c>
    </row>
    <row r="4595" spans="1:16" x14ac:dyDescent="0.25">
      <c r="A4595" s="28" t="s">
        <v>23487</v>
      </c>
      <c r="B4595" s="28" t="s">
        <v>23488</v>
      </c>
      <c r="C4595" s="28" t="s">
        <v>4491</v>
      </c>
      <c r="D4595" s="28" t="s">
        <v>6467</v>
      </c>
      <c r="E4595" s="28" t="s">
        <v>17602</v>
      </c>
      <c r="F4595" s="28" t="s">
        <v>21</v>
      </c>
      <c r="G4595" s="28" t="s">
        <v>39</v>
      </c>
      <c r="H4595" s="28" t="s">
        <v>16221</v>
      </c>
      <c r="I4595" s="28" t="s">
        <v>23489</v>
      </c>
      <c r="J4595" s="28" t="s">
        <v>39</v>
      </c>
      <c r="K4595" s="28" t="s">
        <v>16223</v>
      </c>
      <c r="L4595" s="28" t="s">
        <v>16224</v>
      </c>
      <c r="M4595" s="28" t="s">
        <v>19891</v>
      </c>
      <c r="N4595" s="28" t="s">
        <v>16226</v>
      </c>
      <c r="O4595" s="28" t="s">
        <v>16227</v>
      </c>
      <c r="P4595" s="28" t="s">
        <v>21910</v>
      </c>
    </row>
    <row r="4596" spans="1:16" x14ac:dyDescent="0.25">
      <c r="A4596" s="28" t="s">
        <v>23490</v>
      </c>
      <c r="B4596" s="28" t="s">
        <v>23491</v>
      </c>
      <c r="C4596" s="28" t="s">
        <v>4491</v>
      </c>
      <c r="D4596" s="28" t="s">
        <v>6467</v>
      </c>
      <c r="E4596" s="28" t="s">
        <v>17602</v>
      </c>
      <c r="F4596" s="28" t="s">
        <v>21</v>
      </c>
      <c r="G4596" s="28" t="s">
        <v>39</v>
      </c>
      <c r="H4596" s="28" t="s">
        <v>16221</v>
      </c>
      <c r="I4596" s="28" t="s">
        <v>23492</v>
      </c>
      <c r="J4596" s="28" t="s">
        <v>39</v>
      </c>
      <c r="K4596" s="28" t="s">
        <v>16223</v>
      </c>
      <c r="L4596" s="28" t="s">
        <v>16224</v>
      </c>
      <c r="M4596" s="28" t="s">
        <v>19895</v>
      </c>
      <c r="N4596" s="28" t="s">
        <v>16226</v>
      </c>
      <c r="O4596" s="28" t="s">
        <v>16227</v>
      </c>
      <c r="P4596" s="28" t="s">
        <v>21910</v>
      </c>
    </row>
    <row r="4597" spans="1:16" x14ac:dyDescent="0.25">
      <c r="A4597" s="28" t="s">
        <v>23493</v>
      </c>
      <c r="B4597" s="28" t="s">
        <v>23494</v>
      </c>
      <c r="C4597" s="28" t="s">
        <v>4491</v>
      </c>
      <c r="D4597" s="28" t="s">
        <v>6467</v>
      </c>
      <c r="E4597" s="28" t="s">
        <v>17608</v>
      </c>
      <c r="F4597" s="28" t="s">
        <v>21</v>
      </c>
      <c r="G4597" s="28" t="s">
        <v>39</v>
      </c>
      <c r="H4597" s="28" t="s">
        <v>16221</v>
      </c>
      <c r="I4597" s="28" t="s">
        <v>23495</v>
      </c>
      <c r="J4597" s="28" t="s">
        <v>39</v>
      </c>
      <c r="K4597" s="28" t="s">
        <v>16223</v>
      </c>
      <c r="L4597" s="28" t="s">
        <v>16224</v>
      </c>
      <c r="M4597" s="28" t="s">
        <v>19899</v>
      </c>
      <c r="N4597" s="28" t="s">
        <v>16226</v>
      </c>
      <c r="O4597" s="28" t="s">
        <v>16227</v>
      </c>
      <c r="P4597" s="28" t="s">
        <v>21914</v>
      </c>
    </row>
    <row r="4598" spans="1:16" x14ac:dyDescent="0.25">
      <c r="A4598" s="28" t="s">
        <v>23496</v>
      </c>
      <c r="B4598" s="28" t="s">
        <v>23497</v>
      </c>
      <c r="C4598" s="28" t="s">
        <v>4491</v>
      </c>
      <c r="D4598" s="28" t="s">
        <v>6467</v>
      </c>
      <c r="E4598" s="28" t="s">
        <v>17608</v>
      </c>
      <c r="F4598" s="28" t="s">
        <v>21</v>
      </c>
      <c r="G4598" s="28" t="s">
        <v>39</v>
      </c>
      <c r="H4598" s="28" t="s">
        <v>16221</v>
      </c>
      <c r="I4598" s="28" t="s">
        <v>23498</v>
      </c>
      <c r="J4598" s="28" t="s">
        <v>39</v>
      </c>
      <c r="K4598" s="28" t="s">
        <v>16223</v>
      </c>
      <c r="L4598" s="28" t="s">
        <v>16224</v>
      </c>
      <c r="M4598" s="28" t="s">
        <v>19903</v>
      </c>
      <c r="N4598" s="28" t="s">
        <v>16226</v>
      </c>
      <c r="O4598" s="28" t="s">
        <v>16227</v>
      </c>
      <c r="P4598" s="28" t="s">
        <v>21914</v>
      </c>
    </row>
    <row r="4599" spans="1:16" x14ac:dyDescent="0.25">
      <c r="A4599" s="28" t="s">
        <v>23499</v>
      </c>
      <c r="B4599" s="28" t="s">
        <v>23500</v>
      </c>
      <c r="C4599" s="28" t="s">
        <v>4491</v>
      </c>
      <c r="D4599" s="28" t="s">
        <v>6467</v>
      </c>
      <c r="E4599" s="28" t="s">
        <v>17614</v>
      </c>
      <c r="F4599" s="28" t="s">
        <v>21</v>
      </c>
      <c r="G4599" s="28" t="s">
        <v>39</v>
      </c>
      <c r="H4599" s="28" t="s">
        <v>16221</v>
      </c>
      <c r="I4599" s="28" t="s">
        <v>23501</v>
      </c>
      <c r="J4599" s="28" t="s">
        <v>39</v>
      </c>
      <c r="K4599" s="28" t="s">
        <v>16223</v>
      </c>
      <c r="L4599" s="28" t="s">
        <v>16224</v>
      </c>
      <c r="M4599" s="28" t="s">
        <v>19907</v>
      </c>
      <c r="N4599" s="28" t="s">
        <v>16226</v>
      </c>
      <c r="O4599" s="28" t="s">
        <v>16227</v>
      </c>
      <c r="P4599" s="28" t="s">
        <v>21918</v>
      </c>
    </row>
    <row r="4600" spans="1:16" x14ac:dyDescent="0.25">
      <c r="A4600" s="28" t="s">
        <v>23502</v>
      </c>
      <c r="B4600" s="28" t="s">
        <v>23503</v>
      </c>
      <c r="C4600" s="28" t="s">
        <v>4491</v>
      </c>
      <c r="D4600" s="28" t="s">
        <v>6467</v>
      </c>
      <c r="E4600" s="28" t="s">
        <v>17614</v>
      </c>
      <c r="F4600" s="28" t="s">
        <v>21</v>
      </c>
      <c r="G4600" s="28" t="s">
        <v>39</v>
      </c>
      <c r="H4600" s="28" t="s">
        <v>16221</v>
      </c>
      <c r="I4600" s="28" t="s">
        <v>23504</v>
      </c>
      <c r="J4600" s="28" t="s">
        <v>39</v>
      </c>
      <c r="K4600" s="28" t="s">
        <v>16223</v>
      </c>
      <c r="L4600" s="28" t="s">
        <v>16224</v>
      </c>
      <c r="M4600" s="28" t="s">
        <v>19911</v>
      </c>
      <c r="N4600" s="28" t="s">
        <v>16226</v>
      </c>
      <c r="O4600" s="28" t="s">
        <v>16227</v>
      </c>
      <c r="P4600" s="28" t="s">
        <v>21918</v>
      </c>
    </row>
    <row r="4601" spans="1:16" x14ac:dyDescent="0.25">
      <c r="A4601" s="28" t="s">
        <v>23505</v>
      </c>
      <c r="B4601" s="28" t="s">
        <v>23506</v>
      </c>
      <c r="C4601" s="28" t="s">
        <v>4491</v>
      </c>
      <c r="D4601" s="28" t="s">
        <v>6467</v>
      </c>
      <c r="E4601" s="28" t="s">
        <v>17620</v>
      </c>
      <c r="F4601" s="28" t="s">
        <v>21</v>
      </c>
      <c r="G4601" s="28" t="s">
        <v>39</v>
      </c>
      <c r="H4601" s="28" t="s">
        <v>16221</v>
      </c>
      <c r="I4601" s="28" t="s">
        <v>23507</v>
      </c>
      <c r="J4601" s="28" t="s">
        <v>39</v>
      </c>
      <c r="K4601" s="28" t="s">
        <v>16223</v>
      </c>
      <c r="L4601" s="28" t="s">
        <v>16224</v>
      </c>
      <c r="M4601" s="28" t="s">
        <v>19915</v>
      </c>
      <c r="N4601" s="28" t="s">
        <v>16226</v>
      </c>
      <c r="O4601" s="28" t="s">
        <v>16227</v>
      </c>
      <c r="P4601" s="28" t="s">
        <v>21922</v>
      </c>
    </row>
    <row r="4602" spans="1:16" x14ac:dyDescent="0.25">
      <c r="A4602" s="28" t="s">
        <v>23508</v>
      </c>
      <c r="B4602" s="28" t="s">
        <v>23509</v>
      </c>
      <c r="C4602" s="28" t="s">
        <v>4491</v>
      </c>
      <c r="D4602" s="28" t="s">
        <v>6467</v>
      </c>
      <c r="E4602" s="28" t="s">
        <v>17620</v>
      </c>
      <c r="F4602" s="28" t="s">
        <v>21</v>
      </c>
      <c r="G4602" s="28" t="s">
        <v>39</v>
      </c>
      <c r="H4602" s="28" t="s">
        <v>16221</v>
      </c>
      <c r="I4602" s="28" t="s">
        <v>23510</v>
      </c>
      <c r="J4602" s="28" t="s">
        <v>39</v>
      </c>
      <c r="K4602" s="28" t="s">
        <v>16223</v>
      </c>
      <c r="L4602" s="28" t="s">
        <v>16224</v>
      </c>
      <c r="M4602" s="28" t="s">
        <v>19919</v>
      </c>
      <c r="N4602" s="28" t="s">
        <v>16226</v>
      </c>
      <c r="O4602" s="28" t="s">
        <v>16227</v>
      </c>
      <c r="P4602" s="28" t="s">
        <v>21922</v>
      </c>
    </row>
    <row r="4603" spans="1:16" x14ac:dyDescent="0.25">
      <c r="A4603" s="28" t="s">
        <v>23511</v>
      </c>
      <c r="B4603" s="28" t="s">
        <v>23512</v>
      </c>
      <c r="C4603" s="28" t="s">
        <v>4491</v>
      </c>
      <c r="D4603" s="28" t="s">
        <v>6467</v>
      </c>
      <c r="E4603" s="28" t="s">
        <v>17626</v>
      </c>
      <c r="F4603" s="28" t="s">
        <v>21</v>
      </c>
      <c r="G4603" s="28" t="s">
        <v>39</v>
      </c>
      <c r="H4603" s="28" t="s">
        <v>16221</v>
      </c>
      <c r="I4603" s="28" t="s">
        <v>23513</v>
      </c>
      <c r="J4603" s="28" t="s">
        <v>39</v>
      </c>
      <c r="K4603" s="28" t="s">
        <v>16223</v>
      </c>
      <c r="L4603" s="28" t="s">
        <v>16224</v>
      </c>
      <c r="M4603" s="28" t="s">
        <v>19923</v>
      </c>
      <c r="N4603" s="28" t="s">
        <v>16226</v>
      </c>
      <c r="O4603" s="28" t="s">
        <v>16227</v>
      </c>
      <c r="P4603" s="28" t="s">
        <v>21926</v>
      </c>
    </row>
    <row r="4604" spans="1:16" x14ac:dyDescent="0.25">
      <c r="A4604" s="28" t="s">
        <v>23514</v>
      </c>
      <c r="B4604" s="28" t="s">
        <v>23515</v>
      </c>
      <c r="C4604" s="28" t="s">
        <v>4491</v>
      </c>
      <c r="D4604" s="28" t="s">
        <v>6467</v>
      </c>
      <c r="E4604" s="28" t="s">
        <v>17626</v>
      </c>
      <c r="F4604" s="28" t="s">
        <v>21</v>
      </c>
      <c r="G4604" s="28" t="s">
        <v>39</v>
      </c>
      <c r="H4604" s="28" t="s">
        <v>16221</v>
      </c>
      <c r="I4604" s="28" t="s">
        <v>23516</v>
      </c>
      <c r="J4604" s="28" t="s">
        <v>39</v>
      </c>
      <c r="K4604" s="28" t="s">
        <v>16223</v>
      </c>
      <c r="L4604" s="28" t="s">
        <v>16224</v>
      </c>
      <c r="M4604" s="28" t="s">
        <v>19927</v>
      </c>
      <c r="N4604" s="28" t="s">
        <v>16226</v>
      </c>
      <c r="O4604" s="28" t="s">
        <v>16227</v>
      </c>
      <c r="P4604" s="28" t="s">
        <v>21926</v>
      </c>
    </row>
    <row r="4605" spans="1:16" x14ac:dyDescent="0.25">
      <c r="A4605" s="28" t="s">
        <v>23517</v>
      </c>
      <c r="B4605" s="28" t="s">
        <v>23518</v>
      </c>
      <c r="C4605" s="28" t="s">
        <v>4491</v>
      </c>
      <c r="D4605" s="28" t="s">
        <v>6467</v>
      </c>
      <c r="E4605" s="28" t="s">
        <v>17632</v>
      </c>
      <c r="F4605" s="28" t="s">
        <v>21</v>
      </c>
      <c r="G4605" s="28" t="s">
        <v>39</v>
      </c>
      <c r="H4605" s="28" t="s">
        <v>16221</v>
      </c>
      <c r="I4605" s="28" t="s">
        <v>23519</v>
      </c>
      <c r="J4605" s="28" t="s">
        <v>39</v>
      </c>
      <c r="K4605" s="28" t="s">
        <v>16223</v>
      </c>
      <c r="L4605" s="28" t="s">
        <v>16224</v>
      </c>
      <c r="M4605" s="28" t="s">
        <v>19931</v>
      </c>
      <c r="N4605" s="28" t="s">
        <v>16226</v>
      </c>
      <c r="O4605" s="28" t="s">
        <v>16227</v>
      </c>
      <c r="P4605" s="28" t="s">
        <v>21930</v>
      </c>
    </row>
    <row r="4606" spans="1:16" x14ac:dyDescent="0.25">
      <c r="A4606" s="28" t="s">
        <v>23520</v>
      </c>
      <c r="B4606" s="28" t="s">
        <v>23521</v>
      </c>
      <c r="C4606" s="28" t="s">
        <v>4491</v>
      </c>
      <c r="D4606" s="28" t="s">
        <v>6467</v>
      </c>
      <c r="E4606" s="28" t="s">
        <v>17632</v>
      </c>
      <c r="F4606" s="28" t="s">
        <v>21</v>
      </c>
      <c r="G4606" s="28" t="s">
        <v>39</v>
      </c>
      <c r="H4606" s="28" t="s">
        <v>16221</v>
      </c>
      <c r="I4606" s="28" t="s">
        <v>23522</v>
      </c>
      <c r="J4606" s="28" t="s">
        <v>39</v>
      </c>
      <c r="K4606" s="28" t="s">
        <v>16223</v>
      </c>
      <c r="L4606" s="28" t="s">
        <v>16224</v>
      </c>
      <c r="M4606" s="28" t="s">
        <v>19935</v>
      </c>
      <c r="N4606" s="28" t="s">
        <v>16226</v>
      </c>
      <c r="O4606" s="28" t="s">
        <v>16227</v>
      </c>
      <c r="P4606" s="28" t="s">
        <v>21930</v>
      </c>
    </row>
    <row r="4607" spans="1:16" x14ac:dyDescent="0.25">
      <c r="A4607" s="28" t="s">
        <v>23523</v>
      </c>
      <c r="B4607" s="28" t="s">
        <v>23524</v>
      </c>
      <c r="C4607" s="28" t="s">
        <v>4491</v>
      </c>
      <c r="D4607" s="28" t="s">
        <v>6467</v>
      </c>
      <c r="E4607" s="28" t="s">
        <v>17638</v>
      </c>
      <c r="F4607" s="28" t="s">
        <v>21</v>
      </c>
      <c r="G4607" s="28" t="s">
        <v>39</v>
      </c>
      <c r="H4607" s="28" t="s">
        <v>16221</v>
      </c>
      <c r="I4607" s="28" t="s">
        <v>23525</v>
      </c>
      <c r="J4607" s="28" t="s">
        <v>39</v>
      </c>
      <c r="K4607" s="28" t="s">
        <v>16223</v>
      </c>
      <c r="L4607" s="28" t="s">
        <v>16224</v>
      </c>
      <c r="M4607" s="28" t="s">
        <v>19939</v>
      </c>
      <c r="N4607" s="28" t="s">
        <v>16226</v>
      </c>
      <c r="O4607" s="28" t="s">
        <v>16227</v>
      </c>
      <c r="P4607" s="28" t="s">
        <v>21934</v>
      </c>
    </row>
    <row r="4608" spans="1:16" x14ac:dyDescent="0.25">
      <c r="A4608" s="28" t="s">
        <v>23526</v>
      </c>
      <c r="B4608" s="28" t="s">
        <v>23527</v>
      </c>
      <c r="C4608" s="28" t="s">
        <v>4491</v>
      </c>
      <c r="D4608" s="28" t="s">
        <v>6467</v>
      </c>
      <c r="E4608" s="28" t="s">
        <v>17638</v>
      </c>
      <c r="F4608" s="28" t="s">
        <v>21</v>
      </c>
      <c r="G4608" s="28" t="s">
        <v>39</v>
      </c>
      <c r="H4608" s="28" t="s">
        <v>16221</v>
      </c>
      <c r="I4608" s="28" t="s">
        <v>23528</v>
      </c>
      <c r="J4608" s="28" t="s">
        <v>39</v>
      </c>
      <c r="K4608" s="28" t="s">
        <v>16223</v>
      </c>
      <c r="L4608" s="28" t="s">
        <v>16224</v>
      </c>
      <c r="M4608" s="28" t="s">
        <v>19943</v>
      </c>
      <c r="N4608" s="28" t="s">
        <v>16226</v>
      </c>
      <c r="O4608" s="28" t="s">
        <v>16227</v>
      </c>
      <c r="P4608" s="28" t="s">
        <v>21934</v>
      </c>
    </row>
    <row r="4609" spans="1:16" x14ac:dyDescent="0.25">
      <c r="A4609" s="28" t="s">
        <v>23529</v>
      </c>
      <c r="B4609" s="28" t="s">
        <v>23530</v>
      </c>
      <c r="C4609" s="28" t="s">
        <v>4491</v>
      </c>
      <c r="D4609" s="28" t="s">
        <v>6467</v>
      </c>
      <c r="E4609" s="28" t="s">
        <v>17644</v>
      </c>
      <c r="F4609" s="28" t="s">
        <v>21</v>
      </c>
      <c r="G4609" s="28" t="s">
        <v>39</v>
      </c>
      <c r="H4609" s="28" t="s">
        <v>16221</v>
      </c>
      <c r="I4609" s="28" t="s">
        <v>23531</v>
      </c>
      <c r="J4609" s="28" t="s">
        <v>39</v>
      </c>
      <c r="K4609" s="28" t="s">
        <v>16223</v>
      </c>
      <c r="L4609" s="28" t="s">
        <v>16224</v>
      </c>
      <c r="M4609" s="28" t="s">
        <v>19947</v>
      </c>
      <c r="N4609" s="28" t="s">
        <v>16226</v>
      </c>
      <c r="O4609" s="28" t="s">
        <v>16227</v>
      </c>
      <c r="P4609" s="28" t="s">
        <v>21938</v>
      </c>
    </row>
    <row r="4610" spans="1:16" x14ac:dyDescent="0.25">
      <c r="A4610" s="28" t="s">
        <v>23532</v>
      </c>
      <c r="B4610" s="28" t="s">
        <v>23533</v>
      </c>
      <c r="C4610" s="28" t="s">
        <v>4491</v>
      </c>
      <c r="D4610" s="28" t="s">
        <v>6467</v>
      </c>
      <c r="E4610" s="28" t="s">
        <v>17644</v>
      </c>
      <c r="F4610" s="28" t="s">
        <v>21</v>
      </c>
      <c r="G4610" s="28" t="s">
        <v>39</v>
      </c>
      <c r="H4610" s="28" t="s">
        <v>16221</v>
      </c>
      <c r="I4610" s="28" t="s">
        <v>23534</v>
      </c>
      <c r="J4610" s="28" t="s">
        <v>39</v>
      </c>
      <c r="K4610" s="28" t="s">
        <v>16223</v>
      </c>
      <c r="L4610" s="28" t="s">
        <v>16224</v>
      </c>
      <c r="M4610" s="28" t="s">
        <v>19951</v>
      </c>
      <c r="N4610" s="28" t="s">
        <v>16226</v>
      </c>
      <c r="O4610" s="28" t="s">
        <v>16227</v>
      </c>
      <c r="P4610" s="28" t="s">
        <v>21938</v>
      </c>
    </row>
    <row r="4611" spans="1:16" x14ac:dyDescent="0.25">
      <c r="A4611" s="28" t="s">
        <v>23535</v>
      </c>
      <c r="B4611" s="28" t="s">
        <v>23536</v>
      </c>
      <c r="C4611" s="28" t="s">
        <v>4491</v>
      </c>
      <c r="D4611" s="28" t="s">
        <v>6467</v>
      </c>
      <c r="E4611" s="28" t="s">
        <v>17650</v>
      </c>
      <c r="F4611" s="28" t="s">
        <v>21</v>
      </c>
      <c r="G4611" s="28" t="s">
        <v>39</v>
      </c>
      <c r="H4611" s="28" t="s">
        <v>16221</v>
      </c>
      <c r="I4611" s="28" t="s">
        <v>23537</v>
      </c>
      <c r="J4611" s="28" t="s">
        <v>39</v>
      </c>
      <c r="K4611" s="28" t="s">
        <v>16223</v>
      </c>
      <c r="L4611" s="28" t="s">
        <v>16224</v>
      </c>
      <c r="M4611" s="28" t="s">
        <v>19955</v>
      </c>
      <c r="N4611" s="28" t="s">
        <v>16226</v>
      </c>
      <c r="O4611" s="28" t="s">
        <v>16227</v>
      </c>
      <c r="P4611" s="28" t="s">
        <v>21942</v>
      </c>
    </row>
    <row r="4612" spans="1:16" x14ac:dyDescent="0.25">
      <c r="A4612" s="28" t="s">
        <v>23538</v>
      </c>
      <c r="B4612" s="28" t="s">
        <v>23539</v>
      </c>
      <c r="C4612" s="28" t="s">
        <v>4491</v>
      </c>
      <c r="D4612" s="28" t="s">
        <v>6467</v>
      </c>
      <c r="E4612" s="28" t="s">
        <v>17650</v>
      </c>
      <c r="F4612" s="28" t="s">
        <v>21</v>
      </c>
      <c r="G4612" s="28" t="s">
        <v>39</v>
      </c>
      <c r="H4612" s="28" t="s">
        <v>16221</v>
      </c>
      <c r="I4612" s="28" t="s">
        <v>23540</v>
      </c>
      <c r="J4612" s="28" t="s">
        <v>39</v>
      </c>
      <c r="K4612" s="28" t="s">
        <v>16223</v>
      </c>
      <c r="L4612" s="28" t="s">
        <v>16224</v>
      </c>
      <c r="M4612" s="28" t="s">
        <v>19959</v>
      </c>
      <c r="N4612" s="28" t="s">
        <v>16226</v>
      </c>
      <c r="O4612" s="28" t="s">
        <v>16227</v>
      </c>
      <c r="P4612" s="28" t="s">
        <v>21942</v>
      </c>
    </row>
    <row r="4613" spans="1:16" x14ac:dyDescent="0.25">
      <c r="A4613" s="28" t="s">
        <v>23541</v>
      </c>
      <c r="B4613" s="28" t="s">
        <v>23542</v>
      </c>
      <c r="C4613" s="28" t="s">
        <v>4491</v>
      </c>
      <c r="D4613" s="28" t="s">
        <v>6467</v>
      </c>
      <c r="E4613" s="28" t="s">
        <v>17656</v>
      </c>
      <c r="F4613" s="28" t="s">
        <v>21</v>
      </c>
      <c r="G4613" s="28" t="s">
        <v>39</v>
      </c>
      <c r="H4613" s="28" t="s">
        <v>16221</v>
      </c>
      <c r="I4613" s="28" t="s">
        <v>23543</v>
      </c>
      <c r="J4613" s="28" t="s">
        <v>39</v>
      </c>
      <c r="K4613" s="28" t="s">
        <v>16223</v>
      </c>
      <c r="L4613" s="28" t="s">
        <v>16224</v>
      </c>
      <c r="M4613" s="28" t="s">
        <v>19963</v>
      </c>
      <c r="N4613" s="28" t="s">
        <v>16226</v>
      </c>
      <c r="O4613" s="28" t="s">
        <v>16227</v>
      </c>
      <c r="P4613" s="28" t="s">
        <v>21946</v>
      </c>
    </row>
    <row r="4614" spans="1:16" x14ac:dyDescent="0.25">
      <c r="A4614" s="28" t="s">
        <v>23544</v>
      </c>
      <c r="B4614" s="28" t="s">
        <v>23545</v>
      </c>
      <c r="C4614" s="28" t="s">
        <v>4491</v>
      </c>
      <c r="D4614" s="28" t="s">
        <v>6467</v>
      </c>
      <c r="E4614" s="28" t="s">
        <v>17656</v>
      </c>
      <c r="F4614" s="28" t="s">
        <v>21</v>
      </c>
      <c r="G4614" s="28" t="s">
        <v>39</v>
      </c>
      <c r="H4614" s="28" t="s">
        <v>16221</v>
      </c>
      <c r="I4614" s="28" t="s">
        <v>23546</v>
      </c>
      <c r="J4614" s="28" t="s">
        <v>39</v>
      </c>
      <c r="K4614" s="28" t="s">
        <v>16223</v>
      </c>
      <c r="L4614" s="28" t="s">
        <v>16224</v>
      </c>
      <c r="M4614" s="28" t="s">
        <v>19967</v>
      </c>
      <c r="N4614" s="28" t="s">
        <v>16226</v>
      </c>
      <c r="O4614" s="28" t="s">
        <v>16227</v>
      </c>
      <c r="P4614" s="28" t="s">
        <v>21946</v>
      </c>
    </row>
    <row r="4615" spans="1:16" x14ac:dyDescent="0.25">
      <c r="A4615" s="28" t="s">
        <v>23547</v>
      </c>
      <c r="B4615" s="28" t="s">
        <v>23548</v>
      </c>
      <c r="C4615" s="28" t="s">
        <v>4491</v>
      </c>
      <c r="D4615" s="28" t="s">
        <v>6467</v>
      </c>
      <c r="E4615" s="28" t="s">
        <v>17662</v>
      </c>
      <c r="F4615" s="28" t="s">
        <v>21</v>
      </c>
      <c r="G4615" s="28" t="s">
        <v>39</v>
      </c>
      <c r="H4615" s="28" t="s">
        <v>16221</v>
      </c>
      <c r="I4615" s="28" t="s">
        <v>23549</v>
      </c>
      <c r="J4615" s="28" t="s">
        <v>39</v>
      </c>
      <c r="K4615" s="28" t="s">
        <v>16223</v>
      </c>
      <c r="L4615" s="28" t="s">
        <v>16224</v>
      </c>
      <c r="M4615" s="28" t="s">
        <v>19971</v>
      </c>
      <c r="N4615" s="28" t="s">
        <v>16226</v>
      </c>
      <c r="O4615" s="28" t="s">
        <v>16227</v>
      </c>
      <c r="P4615" s="28" t="s">
        <v>21950</v>
      </c>
    </row>
    <row r="4616" spans="1:16" x14ac:dyDescent="0.25">
      <c r="A4616" s="28" t="s">
        <v>23550</v>
      </c>
      <c r="B4616" s="28" t="s">
        <v>23551</v>
      </c>
      <c r="C4616" s="28" t="s">
        <v>4491</v>
      </c>
      <c r="D4616" s="28" t="s">
        <v>6467</v>
      </c>
      <c r="E4616" s="28" t="s">
        <v>17662</v>
      </c>
      <c r="F4616" s="28" t="s">
        <v>21</v>
      </c>
      <c r="G4616" s="28" t="s">
        <v>39</v>
      </c>
      <c r="H4616" s="28" t="s">
        <v>16221</v>
      </c>
      <c r="I4616" s="28" t="s">
        <v>23552</v>
      </c>
      <c r="J4616" s="28" t="s">
        <v>39</v>
      </c>
      <c r="K4616" s="28" t="s">
        <v>16223</v>
      </c>
      <c r="L4616" s="28" t="s">
        <v>16224</v>
      </c>
      <c r="M4616" s="28" t="s">
        <v>19975</v>
      </c>
      <c r="N4616" s="28" t="s">
        <v>16226</v>
      </c>
      <c r="O4616" s="28" t="s">
        <v>16227</v>
      </c>
      <c r="P4616" s="28" t="s">
        <v>21950</v>
      </c>
    </row>
    <row r="4617" spans="1:16" x14ac:dyDescent="0.25">
      <c r="A4617" s="28" t="s">
        <v>23553</v>
      </c>
      <c r="B4617" s="28" t="s">
        <v>23554</v>
      </c>
      <c r="C4617" s="28" t="s">
        <v>4491</v>
      </c>
      <c r="D4617" s="28" t="s">
        <v>6467</v>
      </c>
      <c r="E4617" s="28" t="s">
        <v>17668</v>
      </c>
      <c r="F4617" s="28" t="s">
        <v>21</v>
      </c>
      <c r="G4617" s="28" t="s">
        <v>39</v>
      </c>
      <c r="H4617" s="28" t="s">
        <v>16221</v>
      </c>
      <c r="I4617" s="28" t="s">
        <v>23555</v>
      </c>
      <c r="J4617" s="28" t="s">
        <v>39</v>
      </c>
      <c r="K4617" s="28" t="s">
        <v>16223</v>
      </c>
      <c r="L4617" s="28" t="s">
        <v>16224</v>
      </c>
      <c r="M4617" s="28" t="s">
        <v>19979</v>
      </c>
      <c r="N4617" s="28" t="s">
        <v>16226</v>
      </c>
      <c r="O4617" s="28" t="s">
        <v>16227</v>
      </c>
      <c r="P4617" s="28" t="s">
        <v>21954</v>
      </c>
    </row>
    <row r="4618" spans="1:16" x14ac:dyDescent="0.25">
      <c r="A4618" s="28" t="s">
        <v>23556</v>
      </c>
      <c r="B4618" s="28" t="s">
        <v>23557</v>
      </c>
      <c r="C4618" s="28" t="s">
        <v>4491</v>
      </c>
      <c r="D4618" s="28" t="s">
        <v>6467</v>
      </c>
      <c r="E4618" s="28" t="s">
        <v>17668</v>
      </c>
      <c r="F4618" s="28" t="s">
        <v>21</v>
      </c>
      <c r="G4618" s="28" t="s">
        <v>39</v>
      </c>
      <c r="H4618" s="28" t="s">
        <v>16221</v>
      </c>
      <c r="I4618" s="28" t="s">
        <v>23558</v>
      </c>
      <c r="J4618" s="28" t="s">
        <v>39</v>
      </c>
      <c r="K4618" s="28" t="s">
        <v>16223</v>
      </c>
      <c r="L4618" s="28" t="s">
        <v>16224</v>
      </c>
      <c r="M4618" s="28" t="s">
        <v>19983</v>
      </c>
      <c r="N4618" s="28" t="s">
        <v>16226</v>
      </c>
      <c r="O4618" s="28" t="s">
        <v>16227</v>
      </c>
      <c r="P4618" s="28" t="s">
        <v>21954</v>
      </c>
    </row>
    <row r="4619" spans="1:16" x14ac:dyDescent="0.25">
      <c r="A4619" s="28" t="s">
        <v>23559</v>
      </c>
      <c r="B4619" s="28" t="s">
        <v>23560</v>
      </c>
      <c r="C4619" s="28" t="s">
        <v>4491</v>
      </c>
      <c r="D4619" s="28" t="s">
        <v>5990</v>
      </c>
      <c r="E4619" s="28" t="s">
        <v>23561</v>
      </c>
      <c r="F4619" s="28" t="s">
        <v>21</v>
      </c>
      <c r="G4619" s="28" t="s">
        <v>149</v>
      </c>
      <c r="H4619" s="28" t="s">
        <v>21726</v>
      </c>
      <c r="I4619" s="28" t="s">
        <v>23562</v>
      </c>
      <c r="J4619" s="28" t="s">
        <v>149</v>
      </c>
      <c r="K4619" s="28" t="s">
        <v>22746</v>
      </c>
      <c r="L4619" s="28" t="s">
        <v>21729</v>
      </c>
      <c r="M4619" s="28" t="s">
        <v>23563</v>
      </c>
      <c r="N4619" s="28" t="s">
        <v>21731</v>
      </c>
      <c r="O4619" s="28" t="s">
        <v>21732</v>
      </c>
      <c r="P4619" s="28" t="s">
        <v>23564</v>
      </c>
    </row>
    <row r="4620" spans="1:16" x14ac:dyDescent="0.25">
      <c r="A4620" s="28" t="s">
        <v>23565</v>
      </c>
      <c r="B4620" s="28" t="s">
        <v>23566</v>
      </c>
      <c r="C4620" s="28" t="s">
        <v>4491</v>
      </c>
      <c r="D4620" s="28" t="s">
        <v>5990</v>
      </c>
      <c r="E4620" s="28" t="s">
        <v>19986</v>
      </c>
      <c r="F4620" s="28" t="s">
        <v>21</v>
      </c>
      <c r="G4620" s="28" t="s">
        <v>149</v>
      </c>
      <c r="H4620" s="28" t="s">
        <v>21726</v>
      </c>
      <c r="I4620" s="28" t="s">
        <v>23567</v>
      </c>
      <c r="J4620" s="28" t="s">
        <v>149</v>
      </c>
      <c r="K4620" s="28" t="s">
        <v>22746</v>
      </c>
      <c r="L4620" s="28" t="s">
        <v>21729</v>
      </c>
      <c r="M4620" s="28" t="s">
        <v>23568</v>
      </c>
      <c r="N4620" s="28" t="s">
        <v>21731</v>
      </c>
      <c r="O4620" s="28" t="s">
        <v>21732</v>
      </c>
      <c r="P4620" s="28" t="s">
        <v>23569</v>
      </c>
    </row>
    <row r="4621" spans="1:16" x14ac:dyDescent="0.25">
      <c r="A4621" s="28" t="s">
        <v>23570</v>
      </c>
      <c r="B4621" s="28" t="s">
        <v>23571</v>
      </c>
      <c r="C4621" s="28" t="s">
        <v>4491</v>
      </c>
      <c r="D4621" s="28" t="s">
        <v>5990</v>
      </c>
      <c r="E4621" s="28" t="s">
        <v>19992</v>
      </c>
      <c r="F4621" s="28" t="s">
        <v>21</v>
      </c>
      <c r="G4621" s="28" t="s">
        <v>39</v>
      </c>
      <c r="H4621" s="28" t="s">
        <v>16221</v>
      </c>
      <c r="I4621" s="28" t="s">
        <v>23572</v>
      </c>
      <c r="J4621" s="28" t="s">
        <v>39</v>
      </c>
      <c r="K4621" s="28" t="s">
        <v>16223</v>
      </c>
      <c r="L4621" s="28" t="s">
        <v>16224</v>
      </c>
      <c r="M4621" s="28" t="s">
        <v>19994</v>
      </c>
      <c r="N4621" s="28" t="s">
        <v>16226</v>
      </c>
      <c r="O4621" s="28" t="s">
        <v>16227</v>
      </c>
      <c r="P4621" s="28" t="s">
        <v>23573</v>
      </c>
    </row>
    <row r="4622" spans="1:16" x14ac:dyDescent="0.25">
      <c r="A4622" s="28" t="s">
        <v>23574</v>
      </c>
      <c r="B4622" s="28" t="s">
        <v>23575</v>
      </c>
      <c r="C4622" s="28" t="s">
        <v>4491</v>
      </c>
      <c r="D4622" s="28" t="s">
        <v>5990</v>
      </c>
      <c r="E4622" s="28" t="s">
        <v>19992</v>
      </c>
      <c r="F4622" s="28" t="s">
        <v>21</v>
      </c>
      <c r="G4622" s="28" t="s">
        <v>39</v>
      </c>
      <c r="H4622" s="28" t="s">
        <v>16221</v>
      </c>
      <c r="I4622" s="28" t="s">
        <v>23576</v>
      </c>
      <c r="J4622" s="28" t="s">
        <v>39</v>
      </c>
      <c r="K4622" s="28" t="s">
        <v>16223</v>
      </c>
      <c r="L4622" s="28" t="s">
        <v>16224</v>
      </c>
      <c r="M4622" s="28" t="s">
        <v>19999</v>
      </c>
      <c r="N4622" s="28" t="s">
        <v>16226</v>
      </c>
      <c r="O4622" s="28" t="s">
        <v>16227</v>
      </c>
      <c r="P4622" s="28" t="s">
        <v>23573</v>
      </c>
    </row>
    <row r="4623" spans="1:16" x14ac:dyDescent="0.25">
      <c r="A4623" s="28" t="s">
        <v>23577</v>
      </c>
      <c r="B4623" s="28" t="s">
        <v>23578</v>
      </c>
      <c r="C4623" s="28" t="s">
        <v>4491</v>
      </c>
      <c r="D4623" s="28" t="s">
        <v>5990</v>
      </c>
      <c r="E4623" s="28" t="s">
        <v>19992</v>
      </c>
      <c r="F4623" s="28" t="s">
        <v>21</v>
      </c>
      <c r="G4623" s="28" t="s">
        <v>39</v>
      </c>
      <c r="H4623" s="28" t="s">
        <v>16221</v>
      </c>
      <c r="I4623" s="28" t="s">
        <v>23579</v>
      </c>
      <c r="J4623" s="28" t="s">
        <v>39</v>
      </c>
      <c r="K4623" s="28" t="s">
        <v>16223</v>
      </c>
      <c r="L4623" s="28" t="s">
        <v>16224</v>
      </c>
      <c r="M4623" s="28" t="s">
        <v>20003</v>
      </c>
      <c r="N4623" s="28" t="s">
        <v>16226</v>
      </c>
      <c r="O4623" s="28" t="s">
        <v>16227</v>
      </c>
      <c r="P4623" s="28" t="s">
        <v>23573</v>
      </c>
    </row>
    <row r="4624" spans="1:16" x14ac:dyDescent="0.25">
      <c r="A4624" s="28" t="s">
        <v>23580</v>
      </c>
      <c r="B4624" s="28" t="s">
        <v>23581</v>
      </c>
      <c r="C4624" s="28" t="s">
        <v>4491</v>
      </c>
      <c r="D4624" s="28" t="s">
        <v>5990</v>
      </c>
      <c r="E4624" s="28" t="s">
        <v>17700</v>
      </c>
      <c r="F4624" s="28" t="s">
        <v>21</v>
      </c>
      <c r="G4624" s="28" t="s">
        <v>39</v>
      </c>
      <c r="H4624" s="28" t="s">
        <v>16221</v>
      </c>
      <c r="I4624" s="28" t="s">
        <v>23582</v>
      </c>
      <c r="J4624" s="28" t="s">
        <v>39</v>
      </c>
      <c r="K4624" s="28" t="s">
        <v>16223</v>
      </c>
      <c r="L4624" s="28" t="s">
        <v>16224</v>
      </c>
      <c r="M4624" s="28" t="s">
        <v>20007</v>
      </c>
      <c r="N4624" s="28" t="s">
        <v>16226</v>
      </c>
      <c r="O4624" s="28" t="s">
        <v>16227</v>
      </c>
      <c r="P4624" s="28" t="s">
        <v>21990</v>
      </c>
    </row>
    <row r="4625" spans="1:16" x14ac:dyDescent="0.25">
      <c r="A4625" s="28" t="s">
        <v>23583</v>
      </c>
      <c r="B4625" s="28" t="s">
        <v>23584</v>
      </c>
      <c r="C4625" s="28" t="s">
        <v>4491</v>
      </c>
      <c r="D4625" s="28" t="s">
        <v>19</v>
      </c>
      <c r="E4625" s="28" t="s">
        <v>20010</v>
      </c>
      <c r="F4625" s="28" t="s">
        <v>21</v>
      </c>
      <c r="G4625" s="28" t="s">
        <v>39</v>
      </c>
      <c r="H4625" s="28" t="s">
        <v>16221</v>
      </c>
      <c r="I4625" s="28" t="s">
        <v>23585</v>
      </c>
      <c r="J4625" s="28" t="s">
        <v>39</v>
      </c>
      <c r="K4625" s="28" t="s">
        <v>16223</v>
      </c>
      <c r="L4625" s="28" t="s">
        <v>16224</v>
      </c>
      <c r="M4625" s="28" t="s">
        <v>20012</v>
      </c>
      <c r="N4625" s="28" t="s">
        <v>16226</v>
      </c>
      <c r="O4625" s="28" t="s">
        <v>16227</v>
      </c>
      <c r="P4625" s="28" t="s">
        <v>23586</v>
      </c>
    </row>
    <row r="4626" spans="1:16" x14ac:dyDescent="0.25">
      <c r="A4626" s="28" t="s">
        <v>23587</v>
      </c>
      <c r="B4626" s="28" t="s">
        <v>23588</v>
      </c>
      <c r="C4626" s="28" t="s">
        <v>4491</v>
      </c>
      <c r="D4626" s="28" t="s">
        <v>19</v>
      </c>
      <c r="E4626" s="28" t="s">
        <v>20010</v>
      </c>
      <c r="F4626" s="28" t="s">
        <v>21</v>
      </c>
      <c r="G4626" s="28" t="s">
        <v>39</v>
      </c>
      <c r="H4626" s="28" t="s">
        <v>16221</v>
      </c>
      <c r="I4626" s="28" t="s">
        <v>23589</v>
      </c>
      <c r="J4626" s="28" t="s">
        <v>39</v>
      </c>
      <c r="K4626" s="28" t="s">
        <v>16223</v>
      </c>
      <c r="L4626" s="28" t="s">
        <v>16224</v>
      </c>
      <c r="M4626" s="28" t="s">
        <v>20017</v>
      </c>
      <c r="N4626" s="28" t="s">
        <v>16226</v>
      </c>
      <c r="O4626" s="28" t="s">
        <v>16227</v>
      </c>
      <c r="P4626" s="28" t="s">
        <v>23586</v>
      </c>
    </row>
    <row r="4627" spans="1:16" x14ac:dyDescent="0.25">
      <c r="A4627" s="28" t="s">
        <v>23590</v>
      </c>
      <c r="B4627" s="28" t="s">
        <v>23591</v>
      </c>
      <c r="C4627" s="28" t="s">
        <v>4491</v>
      </c>
      <c r="D4627" s="28" t="s">
        <v>19</v>
      </c>
      <c r="E4627" s="28" t="s">
        <v>206</v>
      </c>
      <c r="F4627" s="28" t="s">
        <v>21</v>
      </c>
      <c r="G4627" s="28" t="s">
        <v>39</v>
      </c>
      <c r="H4627" s="28" t="s">
        <v>16221</v>
      </c>
      <c r="I4627" s="28" t="s">
        <v>23592</v>
      </c>
      <c r="J4627" s="28" t="s">
        <v>39</v>
      </c>
      <c r="K4627" s="28" t="s">
        <v>16223</v>
      </c>
      <c r="L4627" s="28" t="s">
        <v>16224</v>
      </c>
      <c r="M4627" s="28" t="s">
        <v>20021</v>
      </c>
      <c r="N4627" s="28" t="s">
        <v>16226</v>
      </c>
      <c r="O4627" s="28" t="s">
        <v>16227</v>
      </c>
      <c r="P4627" s="28" t="s">
        <v>22001</v>
      </c>
    </row>
    <row r="4628" spans="1:16" x14ac:dyDescent="0.25">
      <c r="A4628" s="28" t="s">
        <v>23593</v>
      </c>
      <c r="B4628" s="28" t="s">
        <v>23594</v>
      </c>
      <c r="C4628" s="28" t="s">
        <v>4491</v>
      </c>
      <c r="D4628" s="28" t="s">
        <v>19</v>
      </c>
      <c r="E4628" s="28" t="s">
        <v>206</v>
      </c>
      <c r="F4628" s="28" t="s">
        <v>21</v>
      </c>
      <c r="G4628" s="28" t="s">
        <v>39</v>
      </c>
      <c r="H4628" s="28" t="s">
        <v>16221</v>
      </c>
      <c r="I4628" s="28" t="s">
        <v>23595</v>
      </c>
      <c r="J4628" s="28" t="s">
        <v>39</v>
      </c>
      <c r="K4628" s="28" t="s">
        <v>16223</v>
      </c>
      <c r="L4628" s="28" t="s">
        <v>16224</v>
      </c>
      <c r="M4628" s="28" t="s">
        <v>20025</v>
      </c>
      <c r="N4628" s="28" t="s">
        <v>16226</v>
      </c>
      <c r="O4628" s="28" t="s">
        <v>16227</v>
      </c>
      <c r="P4628" s="28" t="s">
        <v>22001</v>
      </c>
    </row>
    <row r="4629" spans="1:16" x14ac:dyDescent="0.25">
      <c r="A4629" s="28" t="s">
        <v>23596</v>
      </c>
      <c r="B4629" s="28" t="s">
        <v>23597</v>
      </c>
      <c r="C4629" s="28" t="s">
        <v>4491</v>
      </c>
      <c r="D4629" s="28" t="s">
        <v>19</v>
      </c>
      <c r="E4629" s="28" t="s">
        <v>206</v>
      </c>
      <c r="F4629" s="28" t="s">
        <v>21</v>
      </c>
      <c r="G4629" s="28" t="s">
        <v>39</v>
      </c>
      <c r="H4629" s="28" t="s">
        <v>16221</v>
      </c>
      <c r="I4629" s="28" t="s">
        <v>23598</v>
      </c>
      <c r="J4629" s="28" t="s">
        <v>39</v>
      </c>
      <c r="K4629" s="28" t="s">
        <v>16223</v>
      </c>
      <c r="L4629" s="28" t="s">
        <v>16224</v>
      </c>
      <c r="M4629" s="28" t="s">
        <v>20029</v>
      </c>
      <c r="N4629" s="28" t="s">
        <v>16226</v>
      </c>
      <c r="O4629" s="28" t="s">
        <v>16227</v>
      </c>
      <c r="P4629" s="28" t="s">
        <v>22001</v>
      </c>
    </row>
    <row r="4630" spans="1:16" x14ac:dyDescent="0.25">
      <c r="A4630" s="28" t="s">
        <v>23599</v>
      </c>
      <c r="B4630" s="28" t="s">
        <v>23600</v>
      </c>
      <c r="C4630" s="28" t="s">
        <v>4491</v>
      </c>
      <c r="D4630" s="28" t="s">
        <v>19</v>
      </c>
      <c r="E4630" s="28" t="s">
        <v>20032</v>
      </c>
      <c r="F4630" s="28" t="s">
        <v>21</v>
      </c>
      <c r="G4630" s="28" t="s">
        <v>39</v>
      </c>
      <c r="H4630" s="28" t="s">
        <v>16221</v>
      </c>
      <c r="I4630" s="28" t="s">
        <v>23601</v>
      </c>
      <c r="J4630" s="28" t="s">
        <v>39</v>
      </c>
      <c r="K4630" s="28" t="s">
        <v>16223</v>
      </c>
      <c r="L4630" s="28" t="s">
        <v>16224</v>
      </c>
      <c r="M4630" s="28" t="s">
        <v>20034</v>
      </c>
      <c r="N4630" s="28" t="s">
        <v>16226</v>
      </c>
      <c r="O4630" s="28" t="s">
        <v>16227</v>
      </c>
      <c r="P4630" s="28" t="s">
        <v>23602</v>
      </c>
    </row>
    <row r="4631" spans="1:16" x14ac:dyDescent="0.25">
      <c r="A4631" s="28" t="s">
        <v>23603</v>
      </c>
      <c r="B4631" s="28" t="s">
        <v>23604</v>
      </c>
      <c r="C4631" s="28" t="s">
        <v>4491</v>
      </c>
      <c r="D4631" s="28" t="s">
        <v>19</v>
      </c>
      <c r="E4631" s="28" t="s">
        <v>20038</v>
      </c>
      <c r="F4631" s="28" t="s">
        <v>21</v>
      </c>
      <c r="G4631" s="28" t="s">
        <v>39</v>
      </c>
      <c r="H4631" s="28" t="s">
        <v>16221</v>
      </c>
      <c r="I4631" s="28" t="s">
        <v>23605</v>
      </c>
      <c r="J4631" s="28" t="s">
        <v>39</v>
      </c>
      <c r="K4631" s="28" t="s">
        <v>16223</v>
      </c>
      <c r="L4631" s="28" t="s">
        <v>16224</v>
      </c>
      <c r="M4631" s="28" t="s">
        <v>20040</v>
      </c>
      <c r="N4631" s="28" t="s">
        <v>16226</v>
      </c>
      <c r="O4631" s="28" t="s">
        <v>16227</v>
      </c>
      <c r="P4631" s="28" t="s">
        <v>23606</v>
      </c>
    </row>
    <row r="4632" spans="1:16" x14ac:dyDescent="0.25">
      <c r="A4632" s="28" t="s">
        <v>23607</v>
      </c>
      <c r="B4632" s="28" t="s">
        <v>23608</v>
      </c>
      <c r="C4632" s="28" t="s">
        <v>4491</v>
      </c>
      <c r="D4632" s="28" t="s">
        <v>19</v>
      </c>
      <c r="E4632" s="28" t="s">
        <v>20044</v>
      </c>
      <c r="F4632" s="28" t="s">
        <v>21</v>
      </c>
      <c r="G4632" s="28" t="s">
        <v>149</v>
      </c>
      <c r="H4632" s="28" t="s">
        <v>21726</v>
      </c>
      <c r="I4632" s="28" t="s">
        <v>23609</v>
      </c>
      <c r="J4632" s="28" t="s">
        <v>149</v>
      </c>
      <c r="K4632" s="28" t="s">
        <v>22746</v>
      </c>
      <c r="L4632" s="28" t="s">
        <v>21729</v>
      </c>
      <c r="M4632" s="28" t="s">
        <v>23610</v>
      </c>
      <c r="N4632" s="28" t="s">
        <v>21731</v>
      </c>
      <c r="O4632" s="28" t="s">
        <v>21732</v>
      </c>
      <c r="P4632" s="28" t="s">
        <v>23611</v>
      </c>
    </row>
    <row r="4633" spans="1:16" x14ac:dyDescent="0.25">
      <c r="A4633" s="28" t="s">
        <v>23612</v>
      </c>
      <c r="B4633" s="28" t="s">
        <v>23613</v>
      </c>
      <c r="C4633" s="28" t="s">
        <v>4491</v>
      </c>
      <c r="D4633" s="28" t="s">
        <v>19</v>
      </c>
      <c r="E4633" s="28" t="s">
        <v>20050</v>
      </c>
      <c r="F4633" s="28" t="s">
        <v>21</v>
      </c>
      <c r="G4633" s="28" t="s">
        <v>39</v>
      </c>
      <c r="H4633" s="28" t="s">
        <v>16221</v>
      </c>
      <c r="I4633" s="28" t="s">
        <v>23614</v>
      </c>
      <c r="J4633" s="28" t="s">
        <v>39</v>
      </c>
      <c r="K4633" s="28" t="s">
        <v>16223</v>
      </c>
      <c r="L4633" s="28" t="s">
        <v>16224</v>
      </c>
      <c r="M4633" s="28" t="s">
        <v>20052</v>
      </c>
      <c r="N4633" s="28" t="s">
        <v>16226</v>
      </c>
      <c r="O4633" s="28" t="s">
        <v>16227</v>
      </c>
      <c r="P4633" s="28" t="s">
        <v>23615</v>
      </c>
    </row>
    <row r="4634" spans="1:16" x14ac:dyDescent="0.25">
      <c r="A4634" s="28" t="s">
        <v>23616</v>
      </c>
      <c r="B4634" s="28" t="s">
        <v>23617</v>
      </c>
      <c r="C4634" s="28" t="s">
        <v>4491</v>
      </c>
      <c r="D4634" s="28" t="s">
        <v>19</v>
      </c>
      <c r="E4634" s="28" t="s">
        <v>20050</v>
      </c>
      <c r="F4634" s="28" t="s">
        <v>21</v>
      </c>
      <c r="G4634" s="28" t="s">
        <v>39</v>
      </c>
      <c r="H4634" s="28" t="s">
        <v>16221</v>
      </c>
      <c r="I4634" s="28" t="s">
        <v>23618</v>
      </c>
      <c r="J4634" s="28" t="s">
        <v>39</v>
      </c>
      <c r="K4634" s="28" t="s">
        <v>16223</v>
      </c>
      <c r="L4634" s="28" t="s">
        <v>16224</v>
      </c>
      <c r="M4634" s="28" t="s">
        <v>20057</v>
      </c>
      <c r="N4634" s="28" t="s">
        <v>16226</v>
      </c>
      <c r="O4634" s="28" t="s">
        <v>16227</v>
      </c>
      <c r="P4634" s="28" t="s">
        <v>23615</v>
      </c>
    </row>
    <row r="4635" spans="1:16" x14ac:dyDescent="0.25">
      <c r="A4635" s="28" t="s">
        <v>23619</v>
      </c>
      <c r="B4635" s="28" t="s">
        <v>23620</v>
      </c>
      <c r="C4635" s="28" t="s">
        <v>4491</v>
      </c>
      <c r="D4635" s="28" t="s">
        <v>19</v>
      </c>
      <c r="E4635" s="28" t="s">
        <v>20060</v>
      </c>
      <c r="F4635" s="28" t="s">
        <v>21</v>
      </c>
      <c r="G4635" s="28" t="s">
        <v>149</v>
      </c>
      <c r="H4635" s="28" t="s">
        <v>21726</v>
      </c>
      <c r="I4635" s="28" t="s">
        <v>23621</v>
      </c>
      <c r="J4635" s="28" t="s">
        <v>149</v>
      </c>
      <c r="K4635" s="28" t="s">
        <v>22746</v>
      </c>
      <c r="L4635" s="28" t="s">
        <v>21729</v>
      </c>
      <c r="M4635" s="28" t="s">
        <v>23622</v>
      </c>
      <c r="N4635" s="28" t="s">
        <v>21731</v>
      </c>
      <c r="O4635" s="28" t="s">
        <v>21732</v>
      </c>
      <c r="P4635" s="28" t="s">
        <v>23623</v>
      </c>
    </row>
    <row r="4636" spans="1:16" x14ac:dyDescent="0.25">
      <c r="A4636" s="28" t="s">
        <v>23624</v>
      </c>
      <c r="B4636" s="28" t="s">
        <v>23625</v>
      </c>
      <c r="C4636" s="28" t="s">
        <v>4491</v>
      </c>
      <c r="D4636" s="28" t="s">
        <v>19</v>
      </c>
      <c r="E4636" s="28" t="s">
        <v>20066</v>
      </c>
      <c r="F4636" s="28" t="s">
        <v>21</v>
      </c>
      <c r="G4636" s="28" t="s">
        <v>39</v>
      </c>
      <c r="H4636" s="28" t="s">
        <v>16221</v>
      </c>
      <c r="I4636" s="28" t="s">
        <v>23626</v>
      </c>
      <c r="J4636" s="28" t="s">
        <v>39</v>
      </c>
      <c r="K4636" s="28" t="s">
        <v>16223</v>
      </c>
      <c r="L4636" s="28" t="s">
        <v>16224</v>
      </c>
      <c r="M4636" s="28" t="s">
        <v>20068</v>
      </c>
      <c r="N4636" s="28" t="s">
        <v>16226</v>
      </c>
      <c r="O4636" s="28" t="s">
        <v>16227</v>
      </c>
      <c r="P4636" s="28" t="s">
        <v>23627</v>
      </c>
    </row>
    <row r="4637" spans="1:16" x14ac:dyDescent="0.25">
      <c r="A4637" s="28" t="s">
        <v>23628</v>
      </c>
      <c r="B4637" s="28" t="s">
        <v>23629</v>
      </c>
      <c r="C4637" s="28" t="s">
        <v>4491</v>
      </c>
      <c r="D4637" s="28" t="s">
        <v>45</v>
      </c>
      <c r="E4637" s="28" t="s">
        <v>17721</v>
      </c>
      <c r="F4637" s="28" t="s">
        <v>21</v>
      </c>
      <c r="G4637" s="28" t="s">
        <v>39</v>
      </c>
      <c r="H4637" s="28" t="s">
        <v>16221</v>
      </c>
      <c r="I4637" s="28" t="s">
        <v>23630</v>
      </c>
      <c r="J4637" s="28" t="s">
        <v>39</v>
      </c>
      <c r="K4637" s="28" t="s">
        <v>16223</v>
      </c>
      <c r="L4637" s="28" t="s">
        <v>16224</v>
      </c>
      <c r="M4637" s="28" t="s">
        <v>20073</v>
      </c>
      <c r="N4637" s="28" t="s">
        <v>16226</v>
      </c>
      <c r="O4637" s="28" t="s">
        <v>16227</v>
      </c>
      <c r="P4637" s="28" t="s">
        <v>22005</v>
      </c>
    </row>
    <row r="4638" spans="1:16" x14ac:dyDescent="0.25">
      <c r="A4638" s="28" t="s">
        <v>23631</v>
      </c>
      <c r="B4638" s="28" t="s">
        <v>23632</v>
      </c>
      <c r="C4638" s="28" t="s">
        <v>4491</v>
      </c>
      <c r="D4638" s="28" t="s">
        <v>45</v>
      </c>
      <c r="E4638" s="28" t="s">
        <v>17727</v>
      </c>
      <c r="F4638" s="28" t="s">
        <v>21</v>
      </c>
      <c r="G4638" s="28" t="s">
        <v>39</v>
      </c>
      <c r="H4638" s="28" t="s">
        <v>16221</v>
      </c>
      <c r="I4638" s="28" t="s">
        <v>23633</v>
      </c>
      <c r="J4638" s="28" t="s">
        <v>39</v>
      </c>
      <c r="K4638" s="28" t="s">
        <v>16223</v>
      </c>
      <c r="L4638" s="28" t="s">
        <v>16224</v>
      </c>
      <c r="M4638" s="28" t="s">
        <v>20077</v>
      </c>
      <c r="N4638" s="28" t="s">
        <v>16226</v>
      </c>
      <c r="O4638" s="28" t="s">
        <v>16227</v>
      </c>
      <c r="P4638" s="28" t="s">
        <v>22009</v>
      </c>
    </row>
    <row r="4639" spans="1:16" x14ac:dyDescent="0.25">
      <c r="A4639" s="28" t="s">
        <v>23634</v>
      </c>
      <c r="B4639" s="28" t="s">
        <v>23635</v>
      </c>
      <c r="C4639" s="28" t="s">
        <v>4491</v>
      </c>
      <c r="D4639" s="28" t="s">
        <v>45</v>
      </c>
      <c r="E4639" s="28" t="s">
        <v>17733</v>
      </c>
      <c r="F4639" s="28" t="s">
        <v>21</v>
      </c>
      <c r="G4639" s="28" t="s">
        <v>149</v>
      </c>
      <c r="H4639" s="28" t="s">
        <v>21726</v>
      </c>
      <c r="I4639" s="28" t="s">
        <v>23636</v>
      </c>
      <c r="J4639" s="28" t="s">
        <v>149</v>
      </c>
      <c r="K4639" s="28" t="s">
        <v>22746</v>
      </c>
      <c r="L4639" s="28" t="s">
        <v>21729</v>
      </c>
      <c r="M4639" s="28" t="s">
        <v>23637</v>
      </c>
      <c r="N4639" s="28" t="s">
        <v>21731</v>
      </c>
      <c r="O4639" s="28" t="s">
        <v>21732</v>
      </c>
      <c r="P4639" s="28" t="s">
        <v>23638</v>
      </c>
    </row>
    <row r="4640" spans="1:16" x14ac:dyDescent="0.25">
      <c r="A4640" s="28" t="s">
        <v>23639</v>
      </c>
      <c r="B4640" s="28" t="s">
        <v>23640</v>
      </c>
      <c r="C4640" s="28" t="s">
        <v>4491</v>
      </c>
      <c r="D4640" s="28" t="s">
        <v>45</v>
      </c>
      <c r="E4640" s="28" t="s">
        <v>17739</v>
      </c>
      <c r="F4640" s="28" t="s">
        <v>21</v>
      </c>
      <c r="G4640" s="28" t="s">
        <v>149</v>
      </c>
      <c r="H4640" s="28" t="s">
        <v>21726</v>
      </c>
      <c r="I4640" s="28" t="s">
        <v>23641</v>
      </c>
      <c r="J4640" s="28" t="s">
        <v>149</v>
      </c>
      <c r="K4640" s="28" t="s">
        <v>22746</v>
      </c>
      <c r="L4640" s="28" t="s">
        <v>21729</v>
      </c>
      <c r="M4640" s="28" t="s">
        <v>23642</v>
      </c>
      <c r="N4640" s="28" t="s">
        <v>21731</v>
      </c>
      <c r="O4640" s="28" t="s">
        <v>21732</v>
      </c>
      <c r="P4640" s="28" t="s">
        <v>23643</v>
      </c>
    </row>
    <row r="4641" spans="1:16" x14ac:dyDescent="0.25">
      <c r="A4641" s="28" t="s">
        <v>23644</v>
      </c>
      <c r="B4641" s="28" t="s">
        <v>23645</v>
      </c>
      <c r="C4641" s="28" t="s">
        <v>4491</v>
      </c>
      <c r="D4641" s="28" t="s">
        <v>45</v>
      </c>
      <c r="E4641" s="28" t="s">
        <v>17745</v>
      </c>
      <c r="F4641" s="28" t="s">
        <v>21</v>
      </c>
      <c r="G4641" s="28" t="s">
        <v>149</v>
      </c>
      <c r="H4641" s="28" t="s">
        <v>21726</v>
      </c>
      <c r="I4641" s="28" t="s">
        <v>23646</v>
      </c>
      <c r="J4641" s="28" t="s">
        <v>149</v>
      </c>
      <c r="K4641" s="28" t="s">
        <v>22746</v>
      </c>
      <c r="L4641" s="28" t="s">
        <v>21729</v>
      </c>
      <c r="M4641" s="28" t="s">
        <v>23647</v>
      </c>
      <c r="N4641" s="28" t="s">
        <v>21731</v>
      </c>
      <c r="O4641" s="28" t="s">
        <v>21732</v>
      </c>
      <c r="P4641" s="28" t="s">
        <v>23648</v>
      </c>
    </row>
    <row r="4642" spans="1:16" x14ac:dyDescent="0.25">
      <c r="A4642" s="28" t="s">
        <v>23649</v>
      </c>
      <c r="B4642" s="28" t="s">
        <v>23650</v>
      </c>
      <c r="C4642" s="28" t="s">
        <v>4491</v>
      </c>
      <c r="D4642" s="28" t="s">
        <v>45</v>
      </c>
      <c r="E4642" s="28" t="s">
        <v>17751</v>
      </c>
      <c r="F4642" s="28" t="s">
        <v>21</v>
      </c>
      <c r="G4642" s="28" t="s">
        <v>149</v>
      </c>
      <c r="H4642" s="28" t="s">
        <v>21726</v>
      </c>
      <c r="I4642" s="28" t="s">
        <v>23651</v>
      </c>
      <c r="J4642" s="28" t="s">
        <v>149</v>
      </c>
      <c r="K4642" s="28" t="s">
        <v>22746</v>
      </c>
      <c r="L4642" s="28" t="s">
        <v>21729</v>
      </c>
      <c r="M4642" s="28" t="s">
        <v>23652</v>
      </c>
      <c r="N4642" s="28" t="s">
        <v>21731</v>
      </c>
      <c r="O4642" s="28" t="s">
        <v>21732</v>
      </c>
      <c r="P4642" s="28" t="s">
        <v>23653</v>
      </c>
    </row>
    <row r="4643" spans="1:16" x14ac:dyDescent="0.25">
      <c r="A4643" s="28" t="s">
        <v>23654</v>
      </c>
      <c r="B4643" s="28" t="s">
        <v>23655</v>
      </c>
      <c r="C4643" s="28" t="s">
        <v>4491</v>
      </c>
      <c r="D4643" s="28" t="s">
        <v>45</v>
      </c>
      <c r="E4643" s="28" t="s">
        <v>17757</v>
      </c>
      <c r="F4643" s="28" t="s">
        <v>21</v>
      </c>
      <c r="G4643" s="28" t="s">
        <v>149</v>
      </c>
      <c r="H4643" s="28" t="s">
        <v>21726</v>
      </c>
      <c r="I4643" s="28" t="s">
        <v>23656</v>
      </c>
      <c r="J4643" s="28" t="s">
        <v>149</v>
      </c>
      <c r="K4643" s="28" t="s">
        <v>22746</v>
      </c>
      <c r="L4643" s="28" t="s">
        <v>21729</v>
      </c>
      <c r="M4643" s="28" t="s">
        <v>23657</v>
      </c>
      <c r="N4643" s="28" t="s">
        <v>21731</v>
      </c>
      <c r="O4643" s="28" t="s">
        <v>21732</v>
      </c>
      <c r="P4643" s="28" t="s">
        <v>23658</v>
      </c>
    </row>
    <row r="4644" spans="1:16" x14ac:dyDescent="0.25">
      <c r="A4644" s="28" t="s">
        <v>23659</v>
      </c>
      <c r="B4644" s="28" t="s">
        <v>23660</v>
      </c>
      <c r="C4644" s="28" t="s">
        <v>4491</v>
      </c>
      <c r="D4644" s="28" t="s">
        <v>45</v>
      </c>
      <c r="E4644" s="28" t="s">
        <v>17763</v>
      </c>
      <c r="F4644" s="28" t="s">
        <v>21</v>
      </c>
      <c r="G4644" s="28" t="s">
        <v>149</v>
      </c>
      <c r="H4644" s="28" t="s">
        <v>21726</v>
      </c>
      <c r="I4644" s="28" t="s">
        <v>23661</v>
      </c>
      <c r="J4644" s="28" t="s">
        <v>149</v>
      </c>
      <c r="K4644" s="28" t="s">
        <v>22746</v>
      </c>
      <c r="L4644" s="28" t="s">
        <v>21729</v>
      </c>
      <c r="M4644" s="28" t="s">
        <v>23662</v>
      </c>
      <c r="N4644" s="28" t="s">
        <v>21731</v>
      </c>
      <c r="O4644" s="28" t="s">
        <v>21732</v>
      </c>
      <c r="P4644" s="28" t="s">
        <v>23663</v>
      </c>
    </row>
    <row r="4645" spans="1:16" x14ac:dyDescent="0.25">
      <c r="A4645" s="28" t="s">
        <v>23664</v>
      </c>
      <c r="B4645" s="28" t="s">
        <v>23665</v>
      </c>
      <c r="C4645" s="28" t="s">
        <v>4491</v>
      </c>
      <c r="D4645" s="28" t="s">
        <v>45</v>
      </c>
      <c r="E4645" s="28" t="s">
        <v>17769</v>
      </c>
      <c r="F4645" s="28" t="s">
        <v>21</v>
      </c>
      <c r="G4645" s="28" t="s">
        <v>149</v>
      </c>
      <c r="H4645" s="28" t="s">
        <v>21726</v>
      </c>
      <c r="I4645" s="28" t="s">
        <v>23666</v>
      </c>
      <c r="J4645" s="28" t="s">
        <v>149</v>
      </c>
      <c r="K4645" s="28" t="s">
        <v>22746</v>
      </c>
      <c r="L4645" s="28" t="s">
        <v>21729</v>
      </c>
      <c r="M4645" s="28" t="s">
        <v>23667</v>
      </c>
      <c r="N4645" s="28" t="s">
        <v>21731</v>
      </c>
      <c r="O4645" s="28" t="s">
        <v>21732</v>
      </c>
      <c r="P4645" s="28" t="s">
        <v>23668</v>
      </c>
    </row>
    <row r="4646" spans="1:16" x14ac:dyDescent="0.25">
      <c r="A4646" s="28" t="s">
        <v>23669</v>
      </c>
      <c r="B4646" s="28" t="s">
        <v>23670</v>
      </c>
      <c r="C4646" s="28" t="s">
        <v>4491</v>
      </c>
      <c r="D4646" s="28" t="s">
        <v>45</v>
      </c>
      <c r="E4646" s="28" t="s">
        <v>17775</v>
      </c>
      <c r="F4646" s="28" t="s">
        <v>21</v>
      </c>
      <c r="G4646" s="28" t="s">
        <v>149</v>
      </c>
      <c r="H4646" s="28" t="s">
        <v>21726</v>
      </c>
      <c r="I4646" s="28" t="s">
        <v>23671</v>
      </c>
      <c r="J4646" s="28" t="s">
        <v>149</v>
      </c>
      <c r="K4646" s="28" t="s">
        <v>22746</v>
      </c>
      <c r="L4646" s="28" t="s">
        <v>21729</v>
      </c>
      <c r="M4646" s="28" t="s">
        <v>23672</v>
      </c>
      <c r="N4646" s="28" t="s">
        <v>21731</v>
      </c>
      <c r="O4646" s="28" t="s">
        <v>21732</v>
      </c>
      <c r="P4646" s="28" t="s">
        <v>23673</v>
      </c>
    </row>
    <row r="4647" spans="1:16" x14ac:dyDescent="0.25">
      <c r="A4647" s="28" t="s">
        <v>23674</v>
      </c>
      <c r="B4647" s="28" t="s">
        <v>23675</v>
      </c>
      <c r="C4647" s="28" t="s">
        <v>4491</v>
      </c>
      <c r="D4647" s="28" t="s">
        <v>45</v>
      </c>
      <c r="E4647" s="28" t="s">
        <v>17781</v>
      </c>
      <c r="F4647" s="28" t="s">
        <v>21</v>
      </c>
      <c r="G4647" s="28" t="s">
        <v>149</v>
      </c>
      <c r="H4647" s="28" t="s">
        <v>21726</v>
      </c>
      <c r="I4647" s="28" t="s">
        <v>23676</v>
      </c>
      <c r="J4647" s="28" t="s">
        <v>149</v>
      </c>
      <c r="K4647" s="28" t="s">
        <v>22746</v>
      </c>
      <c r="L4647" s="28" t="s">
        <v>21729</v>
      </c>
      <c r="M4647" s="28" t="s">
        <v>23677</v>
      </c>
      <c r="N4647" s="28" t="s">
        <v>21731</v>
      </c>
      <c r="O4647" s="28" t="s">
        <v>21732</v>
      </c>
      <c r="P4647" s="28" t="s">
        <v>23678</v>
      </c>
    </row>
    <row r="4648" spans="1:16" x14ac:dyDescent="0.25">
      <c r="A4648" s="28" t="s">
        <v>23679</v>
      </c>
      <c r="B4648" s="28" t="s">
        <v>23680</v>
      </c>
      <c r="C4648" s="28" t="s">
        <v>4491</v>
      </c>
      <c r="D4648" s="28" t="s">
        <v>45</v>
      </c>
      <c r="E4648" s="28" t="s">
        <v>2255</v>
      </c>
      <c r="F4648" s="28" t="s">
        <v>21</v>
      </c>
      <c r="G4648" s="28" t="s">
        <v>39</v>
      </c>
      <c r="H4648" s="28" t="s">
        <v>16221</v>
      </c>
      <c r="I4648" s="28" t="s">
        <v>23681</v>
      </c>
      <c r="J4648" s="28" t="s">
        <v>39</v>
      </c>
      <c r="K4648" s="28" t="s">
        <v>16223</v>
      </c>
      <c r="L4648" s="28" t="s">
        <v>16224</v>
      </c>
      <c r="M4648" s="28" t="s">
        <v>20117</v>
      </c>
      <c r="N4648" s="28" t="s">
        <v>16226</v>
      </c>
      <c r="O4648" s="28" t="s">
        <v>16227</v>
      </c>
      <c r="P4648" s="28" t="s">
        <v>22058</v>
      </c>
    </row>
    <row r="4649" spans="1:16" x14ac:dyDescent="0.25">
      <c r="A4649" s="28" t="s">
        <v>23682</v>
      </c>
      <c r="B4649" s="28" t="s">
        <v>23683</v>
      </c>
      <c r="C4649" s="28" t="s">
        <v>4491</v>
      </c>
      <c r="D4649" s="28" t="s">
        <v>45</v>
      </c>
      <c r="E4649" s="28" t="s">
        <v>2255</v>
      </c>
      <c r="F4649" s="28" t="s">
        <v>21</v>
      </c>
      <c r="G4649" s="28" t="s">
        <v>39</v>
      </c>
      <c r="H4649" s="28" t="s">
        <v>16221</v>
      </c>
      <c r="I4649" s="28" t="s">
        <v>23684</v>
      </c>
      <c r="J4649" s="28" t="s">
        <v>39</v>
      </c>
      <c r="K4649" s="28" t="s">
        <v>16223</v>
      </c>
      <c r="L4649" s="28" t="s">
        <v>16224</v>
      </c>
      <c r="M4649" s="28" t="s">
        <v>20121</v>
      </c>
      <c r="N4649" s="28" t="s">
        <v>16226</v>
      </c>
      <c r="O4649" s="28" t="s">
        <v>16227</v>
      </c>
      <c r="P4649" s="28" t="s">
        <v>22058</v>
      </c>
    </row>
    <row r="4650" spans="1:16" x14ac:dyDescent="0.25">
      <c r="A4650" s="28" t="s">
        <v>23685</v>
      </c>
      <c r="B4650" s="28" t="s">
        <v>23686</v>
      </c>
      <c r="C4650" s="28" t="s">
        <v>4491</v>
      </c>
      <c r="D4650" s="28" t="s">
        <v>45</v>
      </c>
      <c r="E4650" s="28" t="s">
        <v>10710</v>
      </c>
      <c r="F4650" s="28" t="s">
        <v>21</v>
      </c>
      <c r="G4650" s="28" t="s">
        <v>39</v>
      </c>
      <c r="H4650" s="28" t="s">
        <v>16221</v>
      </c>
      <c r="I4650" s="28" t="s">
        <v>23687</v>
      </c>
      <c r="J4650" s="28" t="s">
        <v>39</v>
      </c>
      <c r="K4650" s="28" t="s">
        <v>16223</v>
      </c>
      <c r="L4650" s="28" t="s">
        <v>16224</v>
      </c>
      <c r="M4650" s="28" t="s">
        <v>20125</v>
      </c>
      <c r="N4650" s="28" t="s">
        <v>16226</v>
      </c>
      <c r="O4650" s="28" t="s">
        <v>16227</v>
      </c>
      <c r="P4650" s="28" t="s">
        <v>22062</v>
      </c>
    </row>
    <row r="4651" spans="1:16" x14ac:dyDescent="0.25">
      <c r="A4651" s="28" t="s">
        <v>23688</v>
      </c>
      <c r="B4651" s="28" t="s">
        <v>23689</v>
      </c>
      <c r="C4651" s="28" t="s">
        <v>4491</v>
      </c>
      <c r="D4651" s="28" t="s">
        <v>45</v>
      </c>
      <c r="E4651" s="28" t="s">
        <v>10710</v>
      </c>
      <c r="F4651" s="28" t="s">
        <v>21</v>
      </c>
      <c r="G4651" s="28" t="s">
        <v>39</v>
      </c>
      <c r="H4651" s="28" t="s">
        <v>16221</v>
      </c>
      <c r="I4651" s="28" t="s">
        <v>23690</v>
      </c>
      <c r="J4651" s="28" t="s">
        <v>39</v>
      </c>
      <c r="K4651" s="28" t="s">
        <v>16223</v>
      </c>
      <c r="L4651" s="28" t="s">
        <v>16224</v>
      </c>
      <c r="M4651" s="28" t="s">
        <v>20129</v>
      </c>
      <c r="N4651" s="28" t="s">
        <v>16226</v>
      </c>
      <c r="O4651" s="28" t="s">
        <v>16227</v>
      </c>
      <c r="P4651" s="28" t="s">
        <v>22062</v>
      </c>
    </row>
    <row r="4652" spans="1:16" x14ac:dyDescent="0.25">
      <c r="A4652" s="28" t="s">
        <v>23691</v>
      </c>
      <c r="B4652" s="28" t="s">
        <v>23692</v>
      </c>
      <c r="C4652" s="28" t="s">
        <v>4491</v>
      </c>
      <c r="D4652" s="28" t="s">
        <v>45</v>
      </c>
      <c r="E4652" s="28" t="s">
        <v>17803</v>
      </c>
      <c r="F4652" s="28" t="s">
        <v>21</v>
      </c>
      <c r="G4652" s="28" t="s">
        <v>39</v>
      </c>
      <c r="H4652" s="28" t="s">
        <v>16221</v>
      </c>
      <c r="I4652" s="28" t="s">
        <v>23693</v>
      </c>
      <c r="J4652" s="28" t="s">
        <v>39</v>
      </c>
      <c r="K4652" s="28" t="s">
        <v>16223</v>
      </c>
      <c r="L4652" s="28" t="s">
        <v>16224</v>
      </c>
      <c r="M4652" s="28" t="s">
        <v>20133</v>
      </c>
      <c r="N4652" s="28" t="s">
        <v>16226</v>
      </c>
      <c r="O4652" s="28" t="s">
        <v>16227</v>
      </c>
      <c r="P4652" s="28" t="s">
        <v>22071</v>
      </c>
    </row>
    <row r="4653" spans="1:16" x14ac:dyDescent="0.25">
      <c r="A4653" s="28" t="s">
        <v>23694</v>
      </c>
      <c r="B4653" s="28" t="s">
        <v>23695</v>
      </c>
      <c r="C4653" s="28" t="s">
        <v>4491</v>
      </c>
      <c r="D4653" s="28" t="s">
        <v>45</v>
      </c>
      <c r="E4653" s="28" t="s">
        <v>20136</v>
      </c>
      <c r="F4653" s="28" t="s">
        <v>21</v>
      </c>
      <c r="G4653" s="28" t="s">
        <v>39</v>
      </c>
      <c r="H4653" s="28" t="s">
        <v>16221</v>
      </c>
      <c r="I4653" s="28" t="s">
        <v>23696</v>
      </c>
      <c r="J4653" s="28" t="s">
        <v>39</v>
      </c>
      <c r="K4653" s="28" t="s">
        <v>16223</v>
      </c>
      <c r="L4653" s="28" t="s">
        <v>16224</v>
      </c>
      <c r="M4653" s="28" t="s">
        <v>20138</v>
      </c>
      <c r="N4653" s="28" t="s">
        <v>16226</v>
      </c>
      <c r="O4653" s="28" t="s">
        <v>16227</v>
      </c>
      <c r="P4653" s="28" t="s">
        <v>23697</v>
      </c>
    </row>
    <row r="4654" spans="1:16" x14ac:dyDescent="0.25">
      <c r="A4654" s="28" t="s">
        <v>23698</v>
      </c>
      <c r="B4654" s="28" t="s">
        <v>23699</v>
      </c>
      <c r="C4654" s="28" t="s">
        <v>4491</v>
      </c>
      <c r="D4654" s="28" t="s">
        <v>45</v>
      </c>
      <c r="E4654" s="28" t="s">
        <v>17809</v>
      </c>
      <c r="F4654" s="28" t="s">
        <v>21</v>
      </c>
      <c r="G4654" s="28" t="s">
        <v>39</v>
      </c>
      <c r="H4654" s="28" t="s">
        <v>16221</v>
      </c>
      <c r="I4654" s="28" t="s">
        <v>23700</v>
      </c>
      <c r="J4654" s="28" t="s">
        <v>39</v>
      </c>
      <c r="K4654" s="28" t="s">
        <v>16223</v>
      </c>
      <c r="L4654" s="28" t="s">
        <v>16224</v>
      </c>
      <c r="M4654" s="28" t="s">
        <v>20143</v>
      </c>
      <c r="N4654" s="28" t="s">
        <v>16226</v>
      </c>
      <c r="O4654" s="28" t="s">
        <v>16227</v>
      </c>
      <c r="P4654" s="28" t="s">
        <v>22075</v>
      </c>
    </row>
    <row r="4655" spans="1:16" x14ac:dyDescent="0.25">
      <c r="A4655" s="28" t="s">
        <v>23701</v>
      </c>
      <c r="B4655" s="28" t="s">
        <v>23702</v>
      </c>
      <c r="C4655" s="28" t="s">
        <v>4491</v>
      </c>
      <c r="D4655" s="28" t="s">
        <v>45</v>
      </c>
      <c r="E4655" s="28" t="s">
        <v>20146</v>
      </c>
      <c r="F4655" s="28" t="s">
        <v>21</v>
      </c>
      <c r="G4655" s="28" t="s">
        <v>39</v>
      </c>
      <c r="H4655" s="28" t="s">
        <v>16221</v>
      </c>
      <c r="I4655" s="28" t="s">
        <v>23703</v>
      </c>
      <c r="J4655" s="28" t="s">
        <v>39</v>
      </c>
      <c r="K4655" s="28" t="s">
        <v>16223</v>
      </c>
      <c r="L4655" s="28" t="s">
        <v>16224</v>
      </c>
      <c r="M4655" s="28" t="s">
        <v>20148</v>
      </c>
      <c r="N4655" s="28" t="s">
        <v>16226</v>
      </c>
      <c r="O4655" s="28" t="s">
        <v>16227</v>
      </c>
      <c r="P4655" s="28" t="s">
        <v>23704</v>
      </c>
    </row>
    <row r="4656" spans="1:16" x14ac:dyDescent="0.25">
      <c r="A4656" s="28" t="s">
        <v>23705</v>
      </c>
      <c r="B4656" s="28" t="s">
        <v>23706</v>
      </c>
      <c r="C4656" s="28" t="s">
        <v>4491</v>
      </c>
      <c r="D4656" s="28" t="s">
        <v>45</v>
      </c>
      <c r="E4656" s="28" t="s">
        <v>7213</v>
      </c>
      <c r="F4656" s="28" t="s">
        <v>21</v>
      </c>
      <c r="G4656" s="28" t="s">
        <v>149</v>
      </c>
      <c r="H4656" s="28" t="s">
        <v>21726</v>
      </c>
      <c r="I4656" s="28" t="s">
        <v>23707</v>
      </c>
      <c r="J4656" s="28" t="s">
        <v>149</v>
      </c>
      <c r="K4656" s="28" t="s">
        <v>22746</v>
      </c>
      <c r="L4656" s="28" t="s">
        <v>21729</v>
      </c>
      <c r="M4656" s="28" t="s">
        <v>23708</v>
      </c>
      <c r="N4656" s="28" t="s">
        <v>21731</v>
      </c>
      <c r="O4656" s="28" t="s">
        <v>21732</v>
      </c>
      <c r="P4656" s="28" t="s">
        <v>23709</v>
      </c>
    </row>
    <row r="4657" spans="1:16" x14ac:dyDescent="0.25">
      <c r="A4657" s="28" t="s">
        <v>23710</v>
      </c>
      <c r="B4657" s="28" t="s">
        <v>23711</v>
      </c>
      <c r="C4657" s="28" t="s">
        <v>4491</v>
      </c>
      <c r="D4657" s="28" t="s">
        <v>45</v>
      </c>
      <c r="E4657" s="28" t="s">
        <v>23712</v>
      </c>
      <c r="F4657" s="28" t="s">
        <v>21</v>
      </c>
      <c r="G4657" s="28" t="s">
        <v>149</v>
      </c>
      <c r="H4657" s="28" t="s">
        <v>21726</v>
      </c>
      <c r="I4657" s="28" t="s">
        <v>23713</v>
      </c>
      <c r="J4657" s="28" t="s">
        <v>149</v>
      </c>
      <c r="K4657" s="28" t="s">
        <v>22746</v>
      </c>
      <c r="L4657" s="28" t="s">
        <v>21729</v>
      </c>
      <c r="M4657" s="28" t="s">
        <v>23714</v>
      </c>
      <c r="N4657" s="28" t="s">
        <v>21731</v>
      </c>
      <c r="O4657" s="28" t="s">
        <v>21732</v>
      </c>
      <c r="P4657" s="28" t="s">
        <v>23715</v>
      </c>
    </row>
    <row r="4658" spans="1:16" x14ac:dyDescent="0.25">
      <c r="A4658" s="28" t="s">
        <v>23716</v>
      </c>
      <c r="B4658" s="28" t="s">
        <v>23717</v>
      </c>
      <c r="C4658" s="28" t="s">
        <v>4491</v>
      </c>
      <c r="D4658" s="28" t="s">
        <v>45</v>
      </c>
      <c r="E4658" s="28" t="s">
        <v>17815</v>
      </c>
      <c r="F4658" s="28" t="s">
        <v>21</v>
      </c>
      <c r="G4658" s="28" t="s">
        <v>39</v>
      </c>
      <c r="H4658" s="28" t="s">
        <v>16221</v>
      </c>
      <c r="I4658" s="28" t="s">
        <v>23718</v>
      </c>
      <c r="J4658" s="28" t="s">
        <v>39</v>
      </c>
      <c r="K4658" s="28" t="s">
        <v>16223</v>
      </c>
      <c r="L4658" s="28" t="s">
        <v>16224</v>
      </c>
      <c r="M4658" s="28" t="s">
        <v>20153</v>
      </c>
      <c r="N4658" s="28" t="s">
        <v>16226</v>
      </c>
      <c r="O4658" s="28" t="s">
        <v>16227</v>
      </c>
      <c r="P4658" s="28" t="s">
        <v>22079</v>
      </c>
    </row>
    <row r="4659" spans="1:16" x14ac:dyDescent="0.25">
      <c r="A4659" s="28" t="s">
        <v>23719</v>
      </c>
      <c r="B4659" s="28" t="s">
        <v>23720</v>
      </c>
      <c r="C4659" s="28" t="s">
        <v>4491</v>
      </c>
      <c r="D4659" s="28" t="s">
        <v>1586</v>
      </c>
      <c r="E4659" s="28" t="s">
        <v>17821</v>
      </c>
      <c r="F4659" s="28" t="s">
        <v>21</v>
      </c>
      <c r="G4659" s="28" t="s">
        <v>39</v>
      </c>
      <c r="H4659" s="28" t="s">
        <v>16221</v>
      </c>
      <c r="I4659" s="28" t="s">
        <v>23721</v>
      </c>
      <c r="J4659" s="28" t="s">
        <v>39</v>
      </c>
      <c r="K4659" s="28" t="s">
        <v>16223</v>
      </c>
      <c r="L4659" s="28" t="s">
        <v>16224</v>
      </c>
      <c r="M4659" s="28" t="s">
        <v>20157</v>
      </c>
      <c r="N4659" s="28" t="s">
        <v>16226</v>
      </c>
      <c r="O4659" s="28" t="s">
        <v>16227</v>
      </c>
      <c r="P4659" s="28" t="s">
        <v>22089</v>
      </c>
    </row>
    <row r="4660" spans="1:16" x14ac:dyDescent="0.25">
      <c r="A4660" s="28" t="s">
        <v>23722</v>
      </c>
      <c r="B4660" s="28" t="s">
        <v>23723</v>
      </c>
      <c r="C4660" s="28" t="s">
        <v>4491</v>
      </c>
      <c r="D4660" s="28" t="s">
        <v>1586</v>
      </c>
      <c r="E4660" s="28" t="s">
        <v>17821</v>
      </c>
      <c r="F4660" s="28" t="s">
        <v>21</v>
      </c>
      <c r="G4660" s="28" t="s">
        <v>39</v>
      </c>
      <c r="H4660" s="28" t="s">
        <v>16221</v>
      </c>
      <c r="I4660" s="28" t="s">
        <v>23724</v>
      </c>
      <c r="J4660" s="28" t="s">
        <v>39</v>
      </c>
      <c r="K4660" s="28" t="s">
        <v>16223</v>
      </c>
      <c r="L4660" s="28" t="s">
        <v>16224</v>
      </c>
      <c r="M4660" s="28" t="s">
        <v>20161</v>
      </c>
      <c r="N4660" s="28" t="s">
        <v>16226</v>
      </c>
      <c r="O4660" s="28" t="s">
        <v>16227</v>
      </c>
      <c r="P4660" s="28" t="s">
        <v>22089</v>
      </c>
    </row>
    <row r="4661" spans="1:16" x14ac:dyDescent="0.25">
      <c r="A4661" s="28" t="s">
        <v>23725</v>
      </c>
      <c r="B4661" s="28" t="s">
        <v>23726</v>
      </c>
      <c r="C4661" s="28" t="s">
        <v>4491</v>
      </c>
      <c r="D4661" s="28" t="s">
        <v>2287</v>
      </c>
      <c r="E4661" s="28" t="s">
        <v>2308</v>
      </c>
      <c r="F4661" s="28" t="s">
        <v>21</v>
      </c>
      <c r="G4661" s="28" t="s">
        <v>39</v>
      </c>
      <c r="H4661" s="28" t="s">
        <v>16221</v>
      </c>
      <c r="I4661" s="28" t="s">
        <v>23727</v>
      </c>
      <c r="J4661" s="28" t="s">
        <v>39</v>
      </c>
      <c r="K4661" s="28" t="s">
        <v>16223</v>
      </c>
      <c r="L4661" s="28" t="s">
        <v>16224</v>
      </c>
      <c r="M4661" s="28" t="s">
        <v>20165</v>
      </c>
      <c r="N4661" s="28" t="s">
        <v>16226</v>
      </c>
      <c r="O4661" s="28" t="s">
        <v>16227</v>
      </c>
      <c r="P4661" s="28" t="s">
        <v>22203</v>
      </c>
    </row>
    <row r="4662" spans="1:16" x14ac:dyDescent="0.25">
      <c r="A4662" s="28" t="s">
        <v>23728</v>
      </c>
      <c r="B4662" s="28" t="s">
        <v>23729</v>
      </c>
      <c r="C4662" s="28" t="s">
        <v>4491</v>
      </c>
      <c r="D4662" s="28" t="s">
        <v>2347</v>
      </c>
      <c r="E4662" s="28" t="s">
        <v>20168</v>
      </c>
      <c r="F4662" s="28" t="s">
        <v>21</v>
      </c>
      <c r="G4662" s="28" t="s">
        <v>39</v>
      </c>
      <c r="H4662" s="28" t="s">
        <v>16221</v>
      </c>
      <c r="I4662" s="28" t="s">
        <v>23730</v>
      </c>
      <c r="J4662" s="28" t="s">
        <v>39</v>
      </c>
      <c r="K4662" s="28" t="s">
        <v>16223</v>
      </c>
      <c r="L4662" s="28" t="s">
        <v>16224</v>
      </c>
      <c r="M4662" s="28" t="s">
        <v>20170</v>
      </c>
      <c r="N4662" s="28" t="s">
        <v>16226</v>
      </c>
      <c r="O4662" s="28" t="s">
        <v>16227</v>
      </c>
      <c r="P4662" s="28" t="s">
        <v>23731</v>
      </c>
    </row>
    <row r="4663" spans="1:16" x14ac:dyDescent="0.25">
      <c r="A4663" s="28" t="s">
        <v>23732</v>
      </c>
      <c r="B4663" s="28" t="s">
        <v>23733</v>
      </c>
      <c r="C4663" s="28" t="s">
        <v>4491</v>
      </c>
      <c r="D4663" s="28" t="s">
        <v>2347</v>
      </c>
      <c r="E4663" s="28" t="s">
        <v>20174</v>
      </c>
      <c r="F4663" s="28" t="s">
        <v>21</v>
      </c>
      <c r="G4663" s="28" t="s">
        <v>39</v>
      </c>
      <c r="H4663" s="28" t="s">
        <v>16221</v>
      </c>
      <c r="I4663" s="28" t="s">
        <v>23734</v>
      </c>
      <c r="J4663" s="28" t="s">
        <v>39</v>
      </c>
      <c r="K4663" s="28" t="s">
        <v>16223</v>
      </c>
      <c r="L4663" s="28" t="s">
        <v>16224</v>
      </c>
      <c r="M4663" s="28" t="s">
        <v>20176</v>
      </c>
      <c r="N4663" s="28" t="s">
        <v>16226</v>
      </c>
      <c r="O4663" s="28" t="s">
        <v>16227</v>
      </c>
      <c r="P4663" s="28" t="s">
        <v>23735</v>
      </c>
    </row>
    <row r="4664" spans="1:16" x14ac:dyDescent="0.25">
      <c r="A4664" s="28" t="s">
        <v>23736</v>
      </c>
      <c r="B4664" s="28" t="s">
        <v>23737</v>
      </c>
      <c r="C4664" s="28" t="s">
        <v>4491</v>
      </c>
      <c r="D4664" s="28" t="s">
        <v>2347</v>
      </c>
      <c r="E4664" s="28" t="s">
        <v>20180</v>
      </c>
      <c r="F4664" s="28" t="s">
        <v>21</v>
      </c>
      <c r="G4664" s="28" t="s">
        <v>39</v>
      </c>
      <c r="H4664" s="28" t="s">
        <v>16221</v>
      </c>
      <c r="I4664" s="28" t="s">
        <v>23738</v>
      </c>
      <c r="J4664" s="28" t="s">
        <v>39</v>
      </c>
      <c r="K4664" s="28" t="s">
        <v>16223</v>
      </c>
      <c r="L4664" s="28" t="s">
        <v>16224</v>
      </c>
      <c r="M4664" s="28" t="s">
        <v>20182</v>
      </c>
      <c r="N4664" s="28" t="s">
        <v>16226</v>
      </c>
      <c r="O4664" s="28" t="s">
        <v>16227</v>
      </c>
      <c r="P4664" s="28" t="s">
        <v>23739</v>
      </c>
    </row>
    <row r="4665" spans="1:16" x14ac:dyDescent="0.25">
      <c r="A4665" s="28" t="s">
        <v>23740</v>
      </c>
      <c r="B4665" s="28" t="s">
        <v>23741</v>
      </c>
      <c r="C4665" s="28" t="s">
        <v>4491</v>
      </c>
      <c r="D4665" s="28" t="s">
        <v>2347</v>
      </c>
      <c r="E4665" s="28" t="s">
        <v>11832</v>
      </c>
      <c r="F4665" s="28" t="s">
        <v>21</v>
      </c>
      <c r="G4665" s="28" t="s">
        <v>39</v>
      </c>
      <c r="H4665" s="28" t="s">
        <v>16221</v>
      </c>
      <c r="I4665" s="28" t="s">
        <v>23742</v>
      </c>
      <c r="J4665" s="28" t="s">
        <v>39</v>
      </c>
      <c r="K4665" s="28" t="s">
        <v>16223</v>
      </c>
      <c r="L4665" s="28" t="s">
        <v>16224</v>
      </c>
      <c r="M4665" s="28" t="s">
        <v>20187</v>
      </c>
      <c r="N4665" s="28" t="s">
        <v>16226</v>
      </c>
      <c r="O4665" s="28" t="s">
        <v>16227</v>
      </c>
      <c r="P4665" s="28" t="s">
        <v>22207</v>
      </c>
    </row>
    <row r="4666" spans="1:16" x14ac:dyDescent="0.25">
      <c r="A4666" s="28" t="s">
        <v>23743</v>
      </c>
      <c r="B4666" s="28" t="s">
        <v>23744</v>
      </c>
      <c r="C4666" s="28" t="s">
        <v>4491</v>
      </c>
      <c r="D4666" s="28" t="s">
        <v>2347</v>
      </c>
      <c r="E4666" s="28" t="s">
        <v>11842</v>
      </c>
      <c r="F4666" s="28" t="s">
        <v>21</v>
      </c>
      <c r="G4666" s="28" t="s">
        <v>39</v>
      </c>
      <c r="H4666" s="28" t="s">
        <v>16221</v>
      </c>
      <c r="I4666" s="28" t="s">
        <v>23745</v>
      </c>
      <c r="J4666" s="28" t="s">
        <v>39</v>
      </c>
      <c r="K4666" s="28" t="s">
        <v>16223</v>
      </c>
      <c r="L4666" s="28" t="s">
        <v>16224</v>
      </c>
      <c r="M4666" s="28" t="s">
        <v>20191</v>
      </c>
      <c r="N4666" s="28" t="s">
        <v>16226</v>
      </c>
      <c r="O4666" s="28" t="s">
        <v>16227</v>
      </c>
      <c r="P4666" s="28" t="s">
        <v>22211</v>
      </c>
    </row>
    <row r="4667" spans="1:16" x14ac:dyDescent="0.25">
      <c r="A4667" s="28" t="s">
        <v>23746</v>
      </c>
      <c r="B4667" s="28" t="s">
        <v>23747</v>
      </c>
      <c r="C4667" s="28" t="s">
        <v>4491</v>
      </c>
      <c r="D4667" s="28" t="s">
        <v>2347</v>
      </c>
      <c r="E4667" s="28" t="s">
        <v>11852</v>
      </c>
      <c r="F4667" s="28" t="s">
        <v>21</v>
      </c>
      <c r="G4667" s="28" t="s">
        <v>39</v>
      </c>
      <c r="H4667" s="28" t="s">
        <v>16221</v>
      </c>
      <c r="I4667" s="28" t="s">
        <v>23748</v>
      </c>
      <c r="J4667" s="28" t="s">
        <v>39</v>
      </c>
      <c r="K4667" s="28" t="s">
        <v>16223</v>
      </c>
      <c r="L4667" s="28" t="s">
        <v>16224</v>
      </c>
      <c r="M4667" s="28" t="s">
        <v>20195</v>
      </c>
      <c r="N4667" s="28" t="s">
        <v>16226</v>
      </c>
      <c r="O4667" s="28" t="s">
        <v>16227</v>
      </c>
      <c r="P4667" s="28" t="s">
        <v>22215</v>
      </c>
    </row>
    <row r="4668" spans="1:16" x14ac:dyDescent="0.25">
      <c r="A4668" s="28" t="s">
        <v>23749</v>
      </c>
      <c r="B4668" s="28" t="s">
        <v>23750</v>
      </c>
      <c r="C4668" s="28" t="s">
        <v>4491</v>
      </c>
      <c r="D4668" s="28" t="s">
        <v>2347</v>
      </c>
      <c r="E4668" s="28" t="s">
        <v>11862</v>
      </c>
      <c r="F4668" s="28" t="s">
        <v>21</v>
      </c>
      <c r="G4668" s="28" t="s">
        <v>39</v>
      </c>
      <c r="H4668" s="28" t="s">
        <v>16221</v>
      </c>
      <c r="I4668" s="28" t="s">
        <v>23751</v>
      </c>
      <c r="J4668" s="28" t="s">
        <v>39</v>
      </c>
      <c r="K4668" s="28" t="s">
        <v>16223</v>
      </c>
      <c r="L4668" s="28" t="s">
        <v>16224</v>
      </c>
      <c r="M4668" s="28" t="s">
        <v>20199</v>
      </c>
      <c r="N4668" s="28" t="s">
        <v>16226</v>
      </c>
      <c r="O4668" s="28" t="s">
        <v>16227</v>
      </c>
      <c r="P4668" s="28" t="s">
        <v>22219</v>
      </c>
    </row>
    <row r="4669" spans="1:16" x14ac:dyDescent="0.25">
      <c r="A4669" s="28" t="s">
        <v>23752</v>
      </c>
      <c r="B4669" s="28" t="s">
        <v>23753</v>
      </c>
      <c r="C4669" s="28" t="s">
        <v>4491</v>
      </c>
      <c r="D4669" s="28" t="s">
        <v>2347</v>
      </c>
      <c r="E4669" s="28" t="s">
        <v>11872</v>
      </c>
      <c r="F4669" s="28" t="s">
        <v>21</v>
      </c>
      <c r="G4669" s="28" t="s">
        <v>39</v>
      </c>
      <c r="H4669" s="28" t="s">
        <v>16221</v>
      </c>
      <c r="I4669" s="28" t="s">
        <v>23754</v>
      </c>
      <c r="J4669" s="28" t="s">
        <v>39</v>
      </c>
      <c r="K4669" s="28" t="s">
        <v>16223</v>
      </c>
      <c r="L4669" s="28" t="s">
        <v>16224</v>
      </c>
      <c r="M4669" s="28" t="s">
        <v>20203</v>
      </c>
      <c r="N4669" s="28" t="s">
        <v>16226</v>
      </c>
      <c r="O4669" s="28" t="s">
        <v>16227</v>
      </c>
      <c r="P4669" s="28" t="s">
        <v>22223</v>
      </c>
    </row>
    <row r="4670" spans="1:16" x14ac:dyDescent="0.25">
      <c r="A4670" s="28" t="s">
        <v>23755</v>
      </c>
      <c r="B4670" s="28" t="s">
        <v>23756</v>
      </c>
      <c r="C4670" s="28" t="s">
        <v>4491</v>
      </c>
      <c r="D4670" s="28" t="s">
        <v>2347</v>
      </c>
      <c r="E4670" s="28" t="s">
        <v>11882</v>
      </c>
      <c r="F4670" s="28" t="s">
        <v>21</v>
      </c>
      <c r="G4670" s="28" t="s">
        <v>39</v>
      </c>
      <c r="H4670" s="28" t="s">
        <v>16221</v>
      </c>
      <c r="I4670" s="28" t="s">
        <v>23757</v>
      </c>
      <c r="J4670" s="28" t="s">
        <v>39</v>
      </c>
      <c r="K4670" s="28" t="s">
        <v>16223</v>
      </c>
      <c r="L4670" s="28" t="s">
        <v>16224</v>
      </c>
      <c r="M4670" s="28" t="s">
        <v>20207</v>
      </c>
      <c r="N4670" s="28" t="s">
        <v>16226</v>
      </c>
      <c r="O4670" s="28" t="s">
        <v>16227</v>
      </c>
      <c r="P4670" s="28" t="s">
        <v>22227</v>
      </c>
    </row>
    <row r="4671" spans="1:16" x14ac:dyDescent="0.25">
      <c r="A4671" s="28" t="s">
        <v>23758</v>
      </c>
      <c r="B4671" s="28" t="s">
        <v>23759</v>
      </c>
      <c r="C4671" s="28" t="s">
        <v>4491</v>
      </c>
      <c r="D4671" s="28" t="s">
        <v>2347</v>
      </c>
      <c r="E4671" s="28" t="s">
        <v>11978</v>
      </c>
      <c r="F4671" s="28" t="s">
        <v>21</v>
      </c>
      <c r="G4671" s="28" t="s">
        <v>39</v>
      </c>
      <c r="H4671" s="28" t="s">
        <v>16221</v>
      </c>
      <c r="I4671" s="28" t="s">
        <v>23760</v>
      </c>
      <c r="J4671" s="28" t="s">
        <v>39</v>
      </c>
      <c r="K4671" s="28" t="s">
        <v>16223</v>
      </c>
      <c r="L4671" s="28" t="s">
        <v>16224</v>
      </c>
      <c r="M4671" s="28" t="s">
        <v>20211</v>
      </c>
      <c r="N4671" s="28" t="s">
        <v>16226</v>
      </c>
      <c r="O4671" s="28" t="s">
        <v>16227</v>
      </c>
      <c r="P4671" s="28" t="s">
        <v>22261</v>
      </c>
    </row>
    <row r="4672" spans="1:16" x14ac:dyDescent="0.25">
      <c r="A4672" s="28" t="s">
        <v>23761</v>
      </c>
      <c r="B4672" s="28" t="s">
        <v>23762</v>
      </c>
      <c r="C4672" s="28" t="s">
        <v>4491</v>
      </c>
      <c r="D4672" s="28" t="s">
        <v>2347</v>
      </c>
      <c r="E4672" s="28" t="s">
        <v>11988</v>
      </c>
      <c r="F4672" s="28" t="s">
        <v>21</v>
      </c>
      <c r="G4672" s="28" t="s">
        <v>39</v>
      </c>
      <c r="H4672" s="28" t="s">
        <v>16221</v>
      </c>
      <c r="I4672" s="28" t="s">
        <v>23763</v>
      </c>
      <c r="J4672" s="28" t="s">
        <v>39</v>
      </c>
      <c r="K4672" s="28" t="s">
        <v>16223</v>
      </c>
      <c r="L4672" s="28" t="s">
        <v>16224</v>
      </c>
      <c r="M4672" s="28" t="s">
        <v>20215</v>
      </c>
      <c r="N4672" s="28" t="s">
        <v>16226</v>
      </c>
      <c r="O4672" s="28" t="s">
        <v>16227</v>
      </c>
      <c r="P4672" s="28" t="s">
        <v>22265</v>
      </c>
    </row>
    <row r="4673" spans="1:16" x14ac:dyDescent="0.25">
      <c r="A4673" s="28" t="s">
        <v>23764</v>
      </c>
      <c r="B4673" s="28" t="s">
        <v>23765</v>
      </c>
      <c r="C4673" s="28" t="s">
        <v>4491</v>
      </c>
      <c r="D4673" s="28" t="s">
        <v>62</v>
      </c>
      <c r="E4673" s="28" t="s">
        <v>2363</v>
      </c>
      <c r="F4673" s="28" t="s">
        <v>21</v>
      </c>
      <c r="G4673" s="28" t="s">
        <v>39</v>
      </c>
      <c r="H4673" s="28" t="s">
        <v>16221</v>
      </c>
      <c r="I4673" s="28" t="s">
        <v>23766</v>
      </c>
      <c r="J4673" s="28" t="s">
        <v>39</v>
      </c>
      <c r="K4673" s="28" t="s">
        <v>16223</v>
      </c>
      <c r="L4673" s="28" t="s">
        <v>16224</v>
      </c>
      <c r="M4673" s="28" t="s">
        <v>20219</v>
      </c>
      <c r="N4673" s="28" t="s">
        <v>16226</v>
      </c>
      <c r="O4673" s="28" t="s">
        <v>16227</v>
      </c>
      <c r="P4673" s="28" t="s">
        <v>22269</v>
      </c>
    </row>
    <row r="4674" spans="1:16" x14ac:dyDescent="0.25">
      <c r="A4674" s="28" t="s">
        <v>23767</v>
      </c>
      <c r="B4674" s="28" t="s">
        <v>23768</v>
      </c>
      <c r="C4674" s="28" t="s">
        <v>4491</v>
      </c>
      <c r="D4674" s="28" t="s">
        <v>62</v>
      </c>
      <c r="E4674" s="28" t="s">
        <v>2363</v>
      </c>
      <c r="F4674" s="28" t="s">
        <v>21</v>
      </c>
      <c r="G4674" s="28" t="s">
        <v>149</v>
      </c>
      <c r="H4674" s="28" t="s">
        <v>16221</v>
      </c>
      <c r="I4674" s="28" t="s">
        <v>23769</v>
      </c>
      <c r="J4674" s="28" t="s">
        <v>149</v>
      </c>
      <c r="K4674" s="28" t="s">
        <v>17201</v>
      </c>
      <c r="L4674" s="28" t="s">
        <v>16224</v>
      </c>
      <c r="M4674" s="28" t="s">
        <v>20223</v>
      </c>
      <c r="N4674" s="28" t="s">
        <v>16226</v>
      </c>
      <c r="O4674" s="28" t="s">
        <v>16227</v>
      </c>
      <c r="P4674" s="28" t="s">
        <v>22269</v>
      </c>
    </row>
    <row r="4675" spans="1:16" x14ac:dyDescent="0.25">
      <c r="A4675" s="28" t="s">
        <v>23770</v>
      </c>
      <c r="B4675" s="28" t="s">
        <v>23771</v>
      </c>
      <c r="C4675" s="28" t="s">
        <v>4491</v>
      </c>
      <c r="D4675" s="28" t="s">
        <v>62</v>
      </c>
      <c r="E4675" s="28" t="s">
        <v>2363</v>
      </c>
      <c r="F4675" s="28" t="s">
        <v>21</v>
      </c>
      <c r="G4675" s="28" t="s">
        <v>39</v>
      </c>
      <c r="H4675" s="28" t="s">
        <v>16221</v>
      </c>
      <c r="I4675" s="28" t="s">
        <v>23772</v>
      </c>
      <c r="J4675" s="28" t="s">
        <v>39</v>
      </c>
      <c r="K4675" s="28" t="s">
        <v>16223</v>
      </c>
      <c r="L4675" s="28" t="s">
        <v>16224</v>
      </c>
      <c r="M4675" s="28" t="s">
        <v>20227</v>
      </c>
      <c r="N4675" s="28" t="s">
        <v>16226</v>
      </c>
      <c r="O4675" s="28" t="s">
        <v>16227</v>
      </c>
      <c r="P4675" s="28" t="s">
        <v>22269</v>
      </c>
    </row>
    <row r="4676" spans="1:16" x14ac:dyDescent="0.25">
      <c r="A4676" s="28" t="s">
        <v>23773</v>
      </c>
      <c r="B4676" s="28" t="s">
        <v>23774</v>
      </c>
      <c r="C4676" s="28" t="s">
        <v>4491</v>
      </c>
      <c r="D4676" s="28" t="s">
        <v>62</v>
      </c>
      <c r="E4676" s="28" t="s">
        <v>2363</v>
      </c>
      <c r="F4676" s="28" t="s">
        <v>21</v>
      </c>
      <c r="G4676" s="28" t="s">
        <v>39</v>
      </c>
      <c r="H4676" s="28" t="s">
        <v>16221</v>
      </c>
      <c r="I4676" s="28" t="s">
        <v>23775</v>
      </c>
      <c r="J4676" s="28" t="s">
        <v>39</v>
      </c>
      <c r="K4676" s="28" t="s">
        <v>16223</v>
      </c>
      <c r="L4676" s="28" t="s">
        <v>16224</v>
      </c>
      <c r="M4676" s="28" t="s">
        <v>20231</v>
      </c>
      <c r="N4676" s="28" t="s">
        <v>16226</v>
      </c>
      <c r="O4676" s="28" t="s">
        <v>16227</v>
      </c>
      <c r="P4676" s="28" t="s">
        <v>22269</v>
      </c>
    </row>
    <row r="4677" spans="1:16" x14ac:dyDescent="0.25">
      <c r="A4677" s="28" t="s">
        <v>23776</v>
      </c>
      <c r="B4677" s="28" t="s">
        <v>23777</v>
      </c>
      <c r="C4677" s="28" t="s">
        <v>4491</v>
      </c>
      <c r="D4677" s="28" t="s">
        <v>62</v>
      </c>
      <c r="E4677" s="28" t="s">
        <v>2363</v>
      </c>
      <c r="F4677" s="28" t="s">
        <v>21</v>
      </c>
      <c r="G4677" s="28" t="s">
        <v>39</v>
      </c>
      <c r="H4677" s="28" t="s">
        <v>16221</v>
      </c>
      <c r="I4677" s="28" t="s">
        <v>23778</v>
      </c>
      <c r="J4677" s="28" t="s">
        <v>39</v>
      </c>
      <c r="K4677" s="28" t="s">
        <v>16223</v>
      </c>
      <c r="L4677" s="28" t="s">
        <v>16224</v>
      </c>
      <c r="M4677" s="28" t="s">
        <v>20235</v>
      </c>
      <c r="N4677" s="28" t="s">
        <v>16226</v>
      </c>
      <c r="O4677" s="28" t="s">
        <v>16227</v>
      </c>
      <c r="P4677" s="28" t="s">
        <v>22269</v>
      </c>
    </row>
    <row r="4678" spans="1:16" x14ac:dyDescent="0.25">
      <c r="A4678" s="28" t="s">
        <v>23779</v>
      </c>
      <c r="B4678" s="28" t="s">
        <v>23780</v>
      </c>
      <c r="C4678" s="28" t="s">
        <v>4491</v>
      </c>
      <c r="D4678" s="28" t="s">
        <v>62</v>
      </c>
      <c r="E4678" s="28" t="s">
        <v>23781</v>
      </c>
      <c r="F4678" s="28" t="s">
        <v>21</v>
      </c>
      <c r="G4678" s="28" t="s">
        <v>149</v>
      </c>
      <c r="H4678" s="28" t="s">
        <v>21726</v>
      </c>
      <c r="I4678" s="28" t="s">
        <v>23782</v>
      </c>
      <c r="J4678" s="28" t="s">
        <v>149</v>
      </c>
      <c r="K4678" s="28" t="s">
        <v>22746</v>
      </c>
      <c r="L4678" s="28" t="s">
        <v>21729</v>
      </c>
      <c r="M4678" s="28" t="s">
        <v>23783</v>
      </c>
      <c r="N4678" s="28" t="s">
        <v>21731</v>
      </c>
      <c r="O4678" s="28" t="s">
        <v>21732</v>
      </c>
      <c r="P4678" s="28" t="s">
        <v>23784</v>
      </c>
    </row>
    <row r="4679" spans="1:16" x14ac:dyDescent="0.25">
      <c r="A4679" s="28" t="s">
        <v>23785</v>
      </c>
      <c r="B4679" s="28" t="s">
        <v>23786</v>
      </c>
      <c r="C4679" s="28" t="s">
        <v>4491</v>
      </c>
      <c r="D4679" s="28" t="s">
        <v>62</v>
      </c>
      <c r="E4679" s="28" t="s">
        <v>23781</v>
      </c>
      <c r="F4679" s="28" t="s">
        <v>21</v>
      </c>
      <c r="G4679" s="28" t="s">
        <v>149</v>
      </c>
      <c r="H4679" s="28" t="s">
        <v>21726</v>
      </c>
      <c r="I4679" s="28" t="s">
        <v>23787</v>
      </c>
      <c r="J4679" s="28" t="s">
        <v>149</v>
      </c>
      <c r="K4679" s="28" t="s">
        <v>22746</v>
      </c>
      <c r="L4679" s="28" t="s">
        <v>21729</v>
      </c>
      <c r="M4679" s="28" t="s">
        <v>23788</v>
      </c>
      <c r="N4679" s="28" t="s">
        <v>21731</v>
      </c>
      <c r="O4679" s="28" t="s">
        <v>21732</v>
      </c>
      <c r="P4679" s="28" t="s">
        <v>23789</v>
      </c>
    </row>
    <row r="4680" spans="1:16" x14ac:dyDescent="0.25">
      <c r="A4680" s="28" t="s">
        <v>23790</v>
      </c>
      <c r="B4680" s="28" t="s">
        <v>23791</v>
      </c>
      <c r="C4680" s="28" t="s">
        <v>4491</v>
      </c>
      <c r="D4680" s="28" t="s">
        <v>62</v>
      </c>
      <c r="E4680" s="28" t="s">
        <v>20238</v>
      </c>
      <c r="F4680" s="28" t="s">
        <v>21</v>
      </c>
      <c r="G4680" s="28" t="s">
        <v>39</v>
      </c>
      <c r="H4680" s="28" t="s">
        <v>16221</v>
      </c>
      <c r="I4680" s="28" t="s">
        <v>23792</v>
      </c>
      <c r="J4680" s="28" t="s">
        <v>39</v>
      </c>
      <c r="K4680" s="28" t="s">
        <v>16223</v>
      </c>
      <c r="L4680" s="28" t="s">
        <v>16224</v>
      </c>
      <c r="M4680" s="28" t="s">
        <v>20240</v>
      </c>
      <c r="N4680" s="28" t="s">
        <v>16226</v>
      </c>
      <c r="O4680" s="28" t="s">
        <v>16227</v>
      </c>
      <c r="P4680" s="28" t="s">
        <v>23793</v>
      </c>
    </row>
    <row r="4681" spans="1:16" x14ac:dyDescent="0.25">
      <c r="A4681" s="28" t="s">
        <v>23794</v>
      </c>
      <c r="B4681" s="28" t="s">
        <v>23795</v>
      </c>
      <c r="C4681" s="28" t="s">
        <v>4491</v>
      </c>
      <c r="D4681" s="28" t="s">
        <v>62</v>
      </c>
      <c r="E4681" s="28" t="s">
        <v>20244</v>
      </c>
      <c r="F4681" s="28" t="s">
        <v>21</v>
      </c>
      <c r="G4681" s="28" t="s">
        <v>39</v>
      </c>
      <c r="H4681" s="28" t="s">
        <v>16221</v>
      </c>
      <c r="I4681" s="28" t="s">
        <v>23796</v>
      </c>
      <c r="J4681" s="28" t="s">
        <v>39</v>
      </c>
      <c r="K4681" s="28" t="s">
        <v>16223</v>
      </c>
      <c r="L4681" s="28" t="s">
        <v>16224</v>
      </c>
      <c r="M4681" s="28" t="s">
        <v>20246</v>
      </c>
      <c r="N4681" s="28" t="s">
        <v>16226</v>
      </c>
      <c r="O4681" s="28" t="s">
        <v>16227</v>
      </c>
      <c r="P4681" s="28" t="s">
        <v>23797</v>
      </c>
    </row>
    <row r="4682" spans="1:16" x14ac:dyDescent="0.25">
      <c r="A4682" s="28" t="s">
        <v>23798</v>
      </c>
      <c r="B4682" s="28" t="s">
        <v>23799</v>
      </c>
      <c r="C4682" s="28" t="s">
        <v>4491</v>
      </c>
      <c r="D4682" s="28" t="s">
        <v>1204</v>
      </c>
      <c r="E4682" s="28" t="s">
        <v>20250</v>
      </c>
      <c r="F4682" s="28" t="s">
        <v>21</v>
      </c>
      <c r="G4682" s="28" t="s">
        <v>39</v>
      </c>
      <c r="H4682" s="28" t="s">
        <v>16221</v>
      </c>
      <c r="I4682" s="28" t="s">
        <v>23800</v>
      </c>
      <c r="J4682" s="28" t="s">
        <v>39</v>
      </c>
      <c r="K4682" s="28" t="s">
        <v>16223</v>
      </c>
      <c r="L4682" s="28" t="s">
        <v>16224</v>
      </c>
      <c r="M4682" s="28" t="s">
        <v>20252</v>
      </c>
      <c r="N4682" s="28" t="s">
        <v>16226</v>
      </c>
      <c r="O4682" s="28" t="s">
        <v>16227</v>
      </c>
      <c r="P4682" s="28" t="s">
        <v>23801</v>
      </c>
    </row>
    <row r="4683" spans="1:16" x14ac:dyDescent="0.25">
      <c r="A4683" s="28" t="s">
        <v>23802</v>
      </c>
      <c r="B4683" s="28" t="s">
        <v>23803</v>
      </c>
      <c r="C4683" s="28" t="s">
        <v>4491</v>
      </c>
      <c r="D4683" s="28" t="s">
        <v>1204</v>
      </c>
      <c r="E4683" s="28" t="s">
        <v>20250</v>
      </c>
      <c r="F4683" s="28" t="s">
        <v>21</v>
      </c>
      <c r="G4683" s="28" t="s">
        <v>39</v>
      </c>
      <c r="H4683" s="28" t="s">
        <v>16221</v>
      </c>
      <c r="I4683" s="28" t="s">
        <v>23804</v>
      </c>
      <c r="J4683" s="28" t="s">
        <v>39</v>
      </c>
      <c r="K4683" s="28" t="s">
        <v>16223</v>
      </c>
      <c r="L4683" s="28" t="s">
        <v>16224</v>
      </c>
      <c r="M4683" s="28" t="s">
        <v>20257</v>
      </c>
      <c r="N4683" s="28" t="s">
        <v>16226</v>
      </c>
      <c r="O4683" s="28" t="s">
        <v>16227</v>
      </c>
      <c r="P4683" s="28" t="s">
        <v>23801</v>
      </c>
    </row>
    <row r="4684" spans="1:16" x14ac:dyDescent="0.25">
      <c r="A4684" s="28" t="s">
        <v>23805</v>
      </c>
      <c r="B4684" s="28" t="s">
        <v>23806</v>
      </c>
      <c r="C4684" s="28" t="s">
        <v>4491</v>
      </c>
      <c r="D4684" s="28" t="s">
        <v>1204</v>
      </c>
      <c r="E4684" s="28" t="s">
        <v>12818</v>
      </c>
      <c r="F4684" s="28" t="s">
        <v>21</v>
      </c>
      <c r="G4684" s="28" t="s">
        <v>39</v>
      </c>
      <c r="H4684" s="28" t="s">
        <v>16221</v>
      </c>
      <c r="I4684" s="28" t="s">
        <v>23807</v>
      </c>
      <c r="J4684" s="28" t="s">
        <v>39</v>
      </c>
      <c r="K4684" s="28" t="s">
        <v>16223</v>
      </c>
      <c r="L4684" s="28" t="s">
        <v>16224</v>
      </c>
      <c r="M4684" s="28" t="s">
        <v>20261</v>
      </c>
      <c r="N4684" s="28" t="s">
        <v>16226</v>
      </c>
      <c r="O4684" s="28" t="s">
        <v>16227</v>
      </c>
      <c r="P4684" s="28" t="s">
        <v>22283</v>
      </c>
    </row>
    <row r="4685" spans="1:16" x14ac:dyDescent="0.25">
      <c r="A4685" s="28" t="s">
        <v>23808</v>
      </c>
      <c r="B4685" s="28" t="s">
        <v>23809</v>
      </c>
      <c r="C4685" s="28" t="s">
        <v>4491</v>
      </c>
      <c r="D4685" s="28" t="s">
        <v>1204</v>
      </c>
      <c r="E4685" s="28" t="s">
        <v>12818</v>
      </c>
      <c r="F4685" s="28" t="s">
        <v>21</v>
      </c>
      <c r="G4685" s="28" t="s">
        <v>39</v>
      </c>
      <c r="H4685" s="28" t="s">
        <v>16221</v>
      </c>
      <c r="I4685" s="28" t="s">
        <v>23810</v>
      </c>
      <c r="J4685" s="28" t="s">
        <v>39</v>
      </c>
      <c r="K4685" s="28" t="s">
        <v>16223</v>
      </c>
      <c r="L4685" s="28" t="s">
        <v>16224</v>
      </c>
      <c r="M4685" s="28" t="s">
        <v>20265</v>
      </c>
      <c r="N4685" s="28" t="s">
        <v>16226</v>
      </c>
      <c r="O4685" s="28" t="s">
        <v>16227</v>
      </c>
      <c r="P4685" s="28" t="s">
        <v>22283</v>
      </c>
    </row>
    <row r="4686" spans="1:16" x14ac:dyDescent="0.25">
      <c r="A4686" s="28" t="s">
        <v>23811</v>
      </c>
      <c r="B4686" s="28" t="s">
        <v>23812</v>
      </c>
      <c r="C4686" s="28" t="s">
        <v>4491</v>
      </c>
      <c r="D4686" s="28" t="s">
        <v>1204</v>
      </c>
      <c r="E4686" s="28" t="s">
        <v>12818</v>
      </c>
      <c r="F4686" s="28" t="s">
        <v>21</v>
      </c>
      <c r="G4686" s="28" t="s">
        <v>39</v>
      </c>
      <c r="H4686" s="28" t="s">
        <v>16221</v>
      </c>
      <c r="I4686" s="28" t="s">
        <v>23813</v>
      </c>
      <c r="J4686" s="28" t="s">
        <v>39</v>
      </c>
      <c r="K4686" s="28" t="s">
        <v>16223</v>
      </c>
      <c r="L4686" s="28" t="s">
        <v>16224</v>
      </c>
      <c r="M4686" s="28" t="s">
        <v>20269</v>
      </c>
      <c r="N4686" s="28" t="s">
        <v>16226</v>
      </c>
      <c r="O4686" s="28" t="s">
        <v>16227</v>
      </c>
      <c r="P4686" s="28" t="s">
        <v>22283</v>
      </c>
    </row>
    <row r="4687" spans="1:16" x14ac:dyDescent="0.25">
      <c r="A4687" s="28" t="s">
        <v>23814</v>
      </c>
      <c r="B4687" s="28" t="s">
        <v>23815</v>
      </c>
      <c r="C4687" s="28" t="s">
        <v>4491</v>
      </c>
      <c r="D4687" s="28" t="s">
        <v>1204</v>
      </c>
      <c r="E4687" s="28" t="s">
        <v>23816</v>
      </c>
      <c r="F4687" s="28" t="s">
        <v>21</v>
      </c>
      <c r="G4687" s="28" t="s">
        <v>149</v>
      </c>
      <c r="H4687" s="28" t="s">
        <v>21726</v>
      </c>
      <c r="I4687" s="28" t="s">
        <v>23817</v>
      </c>
      <c r="J4687" s="28" t="s">
        <v>149</v>
      </c>
      <c r="K4687" s="28" t="s">
        <v>22746</v>
      </c>
      <c r="L4687" s="28" t="s">
        <v>21729</v>
      </c>
      <c r="M4687" s="28" t="s">
        <v>23818</v>
      </c>
      <c r="N4687" s="28" t="s">
        <v>21731</v>
      </c>
      <c r="O4687" s="28" t="s">
        <v>21732</v>
      </c>
      <c r="P4687" s="28" t="s">
        <v>23819</v>
      </c>
    </row>
    <row r="4688" spans="1:16" x14ac:dyDescent="0.25">
      <c r="A4688" s="28" t="s">
        <v>23820</v>
      </c>
      <c r="B4688" s="28" t="s">
        <v>23821</v>
      </c>
      <c r="C4688" s="28" t="s">
        <v>4491</v>
      </c>
      <c r="D4688" s="28" t="s">
        <v>1204</v>
      </c>
      <c r="E4688" s="28" t="s">
        <v>18020</v>
      </c>
      <c r="F4688" s="28" t="s">
        <v>21</v>
      </c>
      <c r="G4688" s="28" t="s">
        <v>149</v>
      </c>
      <c r="H4688" s="28" t="s">
        <v>21726</v>
      </c>
      <c r="I4688" s="28" t="s">
        <v>23822</v>
      </c>
      <c r="J4688" s="28" t="s">
        <v>149</v>
      </c>
      <c r="K4688" s="28" t="s">
        <v>22746</v>
      </c>
      <c r="L4688" s="28" t="s">
        <v>21729</v>
      </c>
      <c r="M4688" s="28" t="s">
        <v>23823</v>
      </c>
      <c r="N4688" s="28" t="s">
        <v>21731</v>
      </c>
      <c r="O4688" s="28" t="s">
        <v>21732</v>
      </c>
      <c r="P4688" s="28" t="s">
        <v>23824</v>
      </c>
    </row>
    <row r="4689" spans="1:16" x14ac:dyDescent="0.25">
      <c r="A4689" s="28" t="s">
        <v>23825</v>
      </c>
      <c r="B4689" s="28" t="s">
        <v>23826</v>
      </c>
      <c r="C4689" s="28" t="s">
        <v>4491</v>
      </c>
      <c r="D4689" s="28" t="s">
        <v>1204</v>
      </c>
      <c r="E4689" s="28" t="s">
        <v>18020</v>
      </c>
      <c r="F4689" s="28" t="s">
        <v>21</v>
      </c>
      <c r="G4689" s="28" t="s">
        <v>149</v>
      </c>
      <c r="H4689" s="28" t="s">
        <v>21726</v>
      </c>
      <c r="I4689" s="28" t="s">
        <v>23827</v>
      </c>
      <c r="J4689" s="28" t="s">
        <v>149</v>
      </c>
      <c r="K4689" s="28" t="s">
        <v>22746</v>
      </c>
      <c r="L4689" s="28" t="s">
        <v>21729</v>
      </c>
      <c r="M4689" s="28" t="s">
        <v>23828</v>
      </c>
      <c r="N4689" s="28" t="s">
        <v>21731</v>
      </c>
      <c r="O4689" s="28" t="s">
        <v>21732</v>
      </c>
      <c r="P4689" s="28" t="s">
        <v>23829</v>
      </c>
    </row>
    <row r="4690" spans="1:16" x14ac:dyDescent="0.25">
      <c r="A4690" s="28" t="s">
        <v>23830</v>
      </c>
      <c r="B4690" s="28" t="s">
        <v>23831</v>
      </c>
      <c r="C4690" s="28" t="s">
        <v>4491</v>
      </c>
      <c r="D4690" s="28" t="s">
        <v>1204</v>
      </c>
      <c r="E4690" s="28" t="s">
        <v>18020</v>
      </c>
      <c r="F4690" s="28" t="s">
        <v>21</v>
      </c>
      <c r="G4690" s="28" t="s">
        <v>149</v>
      </c>
      <c r="H4690" s="28" t="s">
        <v>21726</v>
      </c>
      <c r="I4690" s="28" t="s">
        <v>23832</v>
      </c>
      <c r="J4690" s="28" t="s">
        <v>149</v>
      </c>
      <c r="K4690" s="28" t="s">
        <v>22746</v>
      </c>
      <c r="L4690" s="28" t="s">
        <v>21729</v>
      </c>
      <c r="M4690" s="28" t="s">
        <v>23833</v>
      </c>
      <c r="N4690" s="28" t="s">
        <v>21731</v>
      </c>
      <c r="O4690" s="28" t="s">
        <v>21732</v>
      </c>
      <c r="P4690" s="28" t="s">
        <v>23834</v>
      </c>
    </row>
    <row r="4691" spans="1:16" x14ac:dyDescent="0.25">
      <c r="A4691" s="28" t="s">
        <v>23835</v>
      </c>
      <c r="B4691" s="28" t="s">
        <v>23836</v>
      </c>
      <c r="C4691" s="28" t="s">
        <v>4491</v>
      </c>
      <c r="D4691" s="28" t="s">
        <v>1204</v>
      </c>
      <c r="E4691" s="28" t="s">
        <v>18020</v>
      </c>
      <c r="F4691" s="28" t="s">
        <v>21</v>
      </c>
      <c r="G4691" s="28" t="s">
        <v>149</v>
      </c>
      <c r="H4691" s="28" t="s">
        <v>21726</v>
      </c>
      <c r="I4691" s="28" t="s">
        <v>23837</v>
      </c>
      <c r="J4691" s="28" t="s">
        <v>149</v>
      </c>
      <c r="K4691" s="28" t="s">
        <v>22746</v>
      </c>
      <c r="L4691" s="28" t="s">
        <v>21729</v>
      </c>
      <c r="M4691" s="28" t="s">
        <v>23838</v>
      </c>
      <c r="N4691" s="28" t="s">
        <v>21731</v>
      </c>
      <c r="O4691" s="28" t="s">
        <v>21732</v>
      </c>
      <c r="P4691" s="28" t="s">
        <v>23839</v>
      </c>
    </row>
    <row r="4692" spans="1:16" x14ac:dyDescent="0.25">
      <c r="A4692" s="28" t="s">
        <v>23840</v>
      </c>
      <c r="B4692" s="28" t="s">
        <v>23841</v>
      </c>
      <c r="C4692" s="28" t="s">
        <v>4491</v>
      </c>
      <c r="D4692" s="28" t="s">
        <v>1204</v>
      </c>
      <c r="E4692" s="28" t="s">
        <v>18020</v>
      </c>
      <c r="F4692" s="28" t="s">
        <v>21</v>
      </c>
      <c r="G4692" s="28" t="s">
        <v>149</v>
      </c>
      <c r="H4692" s="28" t="s">
        <v>21726</v>
      </c>
      <c r="I4692" s="28" t="s">
        <v>23842</v>
      </c>
      <c r="J4692" s="28" t="s">
        <v>149</v>
      </c>
      <c r="K4692" s="28" t="s">
        <v>22746</v>
      </c>
      <c r="L4692" s="28" t="s">
        <v>21729</v>
      </c>
      <c r="M4692" s="28" t="s">
        <v>23843</v>
      </c>
      <c r="N4692" s="28" t="s">
        <v>21731</v>
      </c>
      <c r="O4692" s="28" t="s">
        <v>21732</v>
      </c>
      <c r="P4692" s="28" t="s">
        <v>23844</v>
      </c>
    </row>
    <row r="4693" spans="1:16" x14ac:dyDescent="0.25">
      <c r="A4693" s="28" t="s">
        <v>23845</v>
      </c>
      <c r="B4693" s="28" t="s">
        <v>23846</v>
      </c>
      <c r="C4693" s="28" t="s">
        <v>4491</v>
      </c>
      <c r="D4693" s="28" t="s">
        <v>1204</v>
      </c>
      <c r="E4693" s="28" t="s">
        <v>18020</v>
      </c>
      <c r="F4693" s="28" t="s">
        <v>21</v>
      </c>
      <c r="G4693" s="28" t="s">
        <v>149</v>
      </c>
      <c r="H4693" s="28" t="s">
        <v>21726</v>
      </c>
      <c r="I4693" s="28" t="s">
        <v>23847</v>
      </c>
      <c r="J4693" s="28" t="s">
        <v>149</v>
      </c>
      <c r="K4693" s="28" t="s">
        <v>22746</v>
      </c>
      <c r="L4693" s="28" t="s">
        <v>21729</v>
      </c>
      <c r="M4693" s="28" t="s">
        <v>23848</v>
      </c>
      <c r="N4693" s="28" t="s">
        <v>21731</v>
      </c>
      <c r="O4693" s="28" t="s">
        <v>21732</v>
      </c>
      <c r="P4693" s="28" t="s">
        <v>23849</v>
      </c>
    </row>
    <row r="4694" spans="1:16" x14ac:dyDescent="0.25">
      <c r="A4694" s="28" t="s">
        <v>23850</v>
      </c>
      <c r="B4694" s="28" t="s">
        <v>23851</v>
      </c>
      <c r="C4694" s="28" t="s">
        <v>4491</v>
      </c>
      <c r="D4694" s="28" t="s">
        <v>1204</v>
      </c>
      <c r="E4694" s="28" t="s">
        <v>18020</v>
      </c>
      <c r="F4694" s="28" t="s">
        <v>21</v>
      </c>
      <c r="G4694" s="28" t="s">
        <v>149</v>
      </c>
      <c r="H4694" s="28" t="s">
        <v>21726</v>
      </c>
      <c r="I4694" s="28" t="s">
        <v>23852</v>
      </c>
      <c r="J4694" s="28" t="s">
        <v>149</v>
      </c>
      <c r="K4694" s="28" t="s">
        <v>22746</v>
      </c>
      <c r="L4694" s="28" t="s">
        <v>21729</v>
      </c>
      <c r="M4694" s="28" t="s">
        <v>23853</v>
      </c>
      <c r="N4694" s="28" t="s">
        <v>21731</v>
      </c>
      <c r="O4694" s="28" t="s">
        <v>21732</v>
      </c>
      <c r="P4694" s="28" t="s">
        <v>23854</v>
      </c>
    </row>
    <row r="4695" spans="1:16" x14ac:dyDescent="0.25">
      <c r="A4695" s="28" t="s">
        <v>23855</v>
      </c>
      <c r="B4695" s="28" t="s">
        <v>23856</v>
      </c>
      <c r="C4695" s="28" t="s">
        <v>4491</v>
      </c>
      <c r="D4695" s="28" t="s">
        <v>1204</v>
      </c>
      <c r="E4695" s="28" t="s">
        <v>18020</v>
      </c>
      <c r="F4695" s="28" t="s">
        <v>21</v>
      </c>
      <c r="G4695" s="28" t="s">
        <v>149</v>
      </c>
      <c r="H4695" s="28" t="s">
        <v>21726</v>
      </c>
      <c r="I4695" s="28" t="s">
        <v>23857</v>
      </c>
      <c r="J4695" s="28" t="s">
        <v>149</v>
      </c>
      <c r="K4695" s="28" t="s">
        <v>22746</v>
      </c>
      <c r="L4695" s="28" t="s">
        <v>21729</v>
      </c>
      <c r="M4695" s="28" t="s">
        <v>23858</v>
      </c>
      <c r="N4695" s="28" t="s">
        <v>21731</v>
      </c>
      <c r="O4695" s="28" t="s">
        <v>21732</v>
      </c>
      <c r="P4695" s="28" t="s">
        <v>23859</v>
      </c>
    </row>
    <row r="4696" spans="1:16" x14ac:dyDescent="0.25">
      <c r="A4696" s="28" t="s">
        <v>23860</v>
      </c>
      <c r="B4696" s="28" t="s">
        <v>23861</v>
      </c>
      <c r="C4696" s="28" t="s">
        <v>4491</v>
      </c>
      <c r="D4696" s="28" t="s">
        <v>1204</v>
      </c>
      <c r="E4696" s="28" t="s">
        <v>18020</v>
      </c>
      <c r="F4696" s="28" t="s">
        <v>21</v>
      </c>
      <c r="G4696" s="28" t="s">
        <v>149</v>
      </c>
      <c r="H4696" s="28" t="s">
        <v>21726</v>
      </c>
      <c r="I4696" s="28" t="s">
        <v>23862</v>
      </c>
      <c r="J4696" s="28" t="s">
        <v>149</v>
      </c>
      <c r="K4696" s="28" t="s">
        <v>22746</v>
      </c>
      <c r="L4696" s="28" t="s">
        <v>21729</v>
      </c>
      <c r="M4696" s="28" t="s">
        <v>23863</v>
      </c>
      <c r="N4696" s="28" t="s">
        <v>21731</v>
      </c>
      <c r="O4696" s="28" t="s">
        <v>21732</v>
      </c>
      <c r="P4696" s="28" t="s">
        <v>23864</v>
      </c>
    </row>
    <row r="4697" spans="1:16" x14ac:dyDescent="0.25">
      <c r="A4697" s="28" t="s">
        <v>23865</v>
      </c>
      <c r="B4697" s="28" t="s">
        <v>23866</v>
      </c>
      <c r="C4697" s="28" t="s">
        <v>4491</v>
      </c>
      <c r="D4697" s="28" t="s">
        <v>1204</v>
      </c>
      <c r="E4697" s="28" t="s">
        <v>18020</v>
      </c>
      <c r="F4697" s="28" t="s">
        <v>21</v>
      </c>
      <c r="G4697" s="28" t="s">
        <v>149</v>
      </c>
      <c r="H4697" s="28" t="s">
        <v>21726</v>
      </c>
      <c r="I4697" s="28" t="s">
        <v>23867</v>
      </c>
      <c r="J4697" s="28" t="s">
        <v>149</v>
      </c>
      <c r="K4697" s="28" t="s">
        <v>22746</v>
      </c>
      <c r="L4697" s="28" t="s">
        <v>21729</v>
      </c>
      <c r="M4697" s="28" t="s">
        <v>23868</v>
      </c>
      <c r="N4697" s="28" t="s">
        <v>21731</v>
      </c>
      <c r="O4697" s="28" t="s">
        <v>21732</v>
      </c>
      <c r="P4697" s="28" t="s">
        <v>23869</v>
      </c>
    </row>
    <row r="4698" spans="1:16" x14ac:dyDescent="0.25">
      <c r="A4698" s="28" t="s">
        <v>23870</v>
      </c>
      <c r="B4698" s="28" t="s">
        <v>23871</v>
      </c>
      <c r="C4698" s="28" t="s">
        <v>4491</v>
      </c>
      <c r="D4698" s="28" t="s">
        <v>1204</v>
      </c>
      <c r="E4698" s="28" t="s">
        <v>18020</v>
      </c>
      <c r="F4698" s="28" t="s">
        <v>21</v>
      </c>
      <c r="G4698" s="28" t="s">
        <v>149</v>
      </c>
      <c r="H4698" s="28" t="s">
        <v>21726</v>
      </c>
      <c r="I4698" s="28" t="s">
        <v>23872</v>
      </c>
      <c r="J4698" s="28" t="s">
        <v>149</v>
      </c>
      <c r="K4698" s="28" t="s">
        <v>22746</v>
      </c>
      <c r="L4698" s="28" t="s">
        <v>21729</v>
      </c>
      <c r="M4698" s="28" t="s">
        <v>23873</v>
      </c>
      <c r="N4698" s="28" t="s">
        <v>21731</v>
      </c>
      <c r="O4698" s="28" t="s">
        <v>21732</v>
      </c>
      <c r="P4698" s="28" t="s">
        <v>23874</v>
      </c>
    </row>
    <row r="4699" spans="1:16" x14ac:dyDescent="0.25">
      <c r="A4699" s="28" t="s">
        <v>23875</v>
      </c>
      <c r="B4699" s="28" t="s">
        <v>23876</v>
      </c>
      <c r="C4699" s="28" t="s">
        <v>4491</v>
      </c>
      <c r="D4699" s="28" t="s">
        <v>1204</v>
      </c>
      <c r="E4699" s="28" t="s">
        <v>13484</v>
      </c>
      <c r="F4699" s="28" t="s">
        <v>21</v>
      </c>
      <c r="G4699" s="28" t="s">
        <v>149</v>
      </c>
      <c r="H4699" s="28" t="s">
        <v>21726</v>
      </c>
      <c r="I4699" s="28" t="s">
        <v>23877</v>
      </c>
      <c r="J4699" s="28" t="s">
        <v>149</v>
      </c>
      <c r="K4699" s="28" t="s">
        <v>22746</v>
      </c>
      <c r="L4699" s="28" t="s">
        <v>21729</v>
      </c>
      <c r="M4699" s="28" t="s">
        <v>23878</v>
      </c>
      <c r="N4699" s="28" t="s">
        <v>21731</v>
      </c>
      <c r="O4699" s="28" t="s">
        <v>21732</v>
      </c>
      <c r="P4699" s="28" t="s">
        <v>23879</v>
      </c>
    </row>
    <row r="4700" spans="1:16" x14ac:dyDescent="0.25">
      <c r="A4700" s="28" t="s">
        <v>23880</v>
      </c>
      <c r="B4700" s="28" t="s">
        <v>23881</v>
      </c>
      <c r="C4700" s="28" t="s">
        <v>4491</v>
      </c>
      <c r="D4700" s="28" t="s">
        <v>1204</v>
      </c>
      <c r="E4700" s="28" t="s">
        <v>13484</v>
      </c>
      <c r="F4700" s="28" t="s">
        <v>21</v>
      </c>
      <c r="G4700" s="28" t="s">
        <v>149</v>
      </c>
      <c r="H4700" s="28" t="s">
        <v>21726</v>
      </c>
      <c r="I4700" s="28" t="s">
        <v>23882</v>
      </c>
      <c r="J4700" s="28" t="s">
        <v>149</v>
      </c>
      <c r="K4700" s="28" t="s">
        <v>22746</v>
      </c>
      <c r="L4700" s="28" t="s">
        <v>21729</v>
      </c>
      <c r="M4700" s="28" t="s">
        <v>23883</v>
      </c>
      <c r="N4700" s="28" t="s">
        <v>21731</v>
      </c>
      <c r="O4700" s="28" t="s">
        <v>21732</v>
      </c>
      <c r="P4700" s="28" t="s">
        <v>23884</v>
      </c>
    </row>
    <row r="4701" spans="1:16" x14ac:dyDescent="0.25">
      <c r="A4701" s="28" t="s">
        <v>23885</v>
      </c>
      <c r="B4701" s="28" t="s">
        <v>23886</v>
      </c>
      <c r="C4701" s="28" t="s">
        <v>4491</v>
      </c>
      <c r="D4701" s="28" t="s">
        <v>1204</v>
      </c>
      <c r="E4701" s="28" t="s">
        <v>23887</v>
      </c>
      <c r="F4701" s="28" t="s">
        <v>21</v>
      </c>
      <c r="G4701" s="28" t="s">
        <v>149</v>
      </c>
      <c r="H4701" s="28" t="s">
        <v>21726</v>
      </c>
      <c r="I4701" s="28" t="s">
        <v>23888</v>
      </c>
      <c r="J4701" s="28" t="s">
        <v>149</v>
      </c>
      <c r="K4701" s="28" t="s">
        <v>22746</v>
      </c>
      <c r="L4701" s="28" t="s">
        <v>21729</v>
      </c>
      <c r="M4701" s="28" t="s">
        <v>23889</v>
      </c>
      <c r="N4701" s="28" t="s">
        <v>21731</v>
      </c>
      <c r="O4701" s="28" t="s">
        <v>21732</v>
      </c>
      <c r="P4701" s="28" t="s">
        <v>23890</v>
      </c>
    </row>
    <row r="4702" spans="1:16" x14ac:dyDescent="0.25">
      <c r="A4702" s="28" t="s">
        <v>23891</v>
      </c>
      <c r="B4702" s="28" t="s">
        <v>23892</v>
      </c>
      <c r="C4702" s="28" t="s">
        <v>4491</v>
      </c>
      <c r="D4702" s="28" t="s">
        <v>1204</v>
      </c>
      <c r="E4702" s="28" t="s">
        <v>20324</v>
      </c>
      <c r="F4702" s="28" t="s">
        <v>21</v>
      </c>
      <c r="G4702" s="28" t="s">
        <v>39</v>
      </c>
      <c r="H4702" s="28" t="s">
        <v>16221</v>
      </c>
      <c r="I4702" s="28" t="s">
        <v>23893</v>
      </c>
      <c r="J4702" s="28" t="s">
        <v>39</v>
      </c>
      <c r="K4702" s="28" t="s">
        <v>16223</v>
      </c>
      <c r="L4702" s="28" t="s">
        <v>16224</v>
      </c>
      <c r="M4702" s="28" t="s">
        <v>20326</v>
      </c>
      <c r="N4702" s="28" t="s">
        <v>16226</v>
      </c>
      <c r="O4702" s="28" t="s">
        <v>16227</v>
      </c>
      <c r="P4702" s="28" t="s">
        <v>23894</v>
      </c>
    </row>
    <row r="4703" spans="1:16" x14ac:dyDescent="0.25">
      <c r="A4703" s="28" t="s">
        <v>23895</v>
      </c>
      <c r="B4703" s="28" t="s">
        <v>23896</v>
      </c>
      <c r="C4703" s="28" t="s">
        <v>4491</v>
      </c>
      <c r="D4703" s="28" t="s">
        <v>1204</v>
      </c>
      <c r="E4703" s="28" t="s">
        <v>20324</v>
      </c>
      <c r="F4703" s="28" t="s">
        <v>21</v>
      </c>
      <c r="G4703" s="28" t="s">
        <v>39</v>
      </c>
      <c r="H4703" s="28" t="s">
        <v>16221</v>
      </c>
      <c r="I4703" s="28" t="s">
        <v>23897</v>
      </c>
      <c r="J4703" s="28" t="s">
        <v>39</v>
      </c>
      <c r="K4703" s="28" t="s">
        <v>16223</v>
      </c>
      <c r="L4703" s="28" t="s">
        <v>16224</v>
      </c>
      <c r="M4703" s="28" t="s">
        <v>20331</v>
      </c>
      <c r="N4703" s="28" t="s">
        <v>16226</v>
      </c>
      <c r="O4703" s="28" t="s">
        <v>16227</v>
      </c>
      <c r="P4703" s="28" t="s">
        <v>23894</v>
      </c>
    </row>
    <row r="4704" spans="1:16" x14ac:dyDescent="0.25">
      <c r="A4704" s="28" t="s">
        <v>23898</v>
      </c>
      <c r="B4704" s="28" t="s">
        <v>23899</v>
      </c>
      <c r="C4704" s="28" t="s">
        <v>4491</v>
      </c>
      <c r="D4704" s="28" t="s">
        <v>1204</v>
      </c>
      <c r="E4704" s="28" t="s">
        <v>20334</v>
      </c>
      <c r="F4704" s="28" t="s">
        <v>21</v>
      </c>
      <c r="G4704" s="28" t="s">
        <v>39</v>
      </c>
      <c r="H4704" s="28" t="s">
        <v>16221</v>
      </c>
      <c r="I4704" s="28" t="s">
        <v>23900</v>
      </c>
      <c r="J4704" s="28" t="s">
        <v>39</v>
      </c>
      <c r="K4704" s="28" t="s">
        <v>16223</v>
      </c>
      <c r="L4704" s="28" t="s">
        <v>16224</v>
      </c>
      <c r="M4704" s="28" t="s">
        <v>20336</v>
      </c>
      <c r="N4704" s="28" t="s">
        <v>16226</v>
      </c>
      <c r="O4704" s="28" t="s">
        <v>16227</v>
      </c>
      <c r="P4704" s="28" t="s">
        <v>23901</v>
      </c>
    </row>
    <row r="4705" spans="1:16" x14ac:dyDescent="0.25">
      <c r="A4705" s="28" t="s">
        <v>23902</v>
      </c>
      <c r="B4705" s="28" t="s">
        <v>23903</v>
      </c>
      <c r="C4705" s="28" t="s">
        <v>4491</v>
      </c>
      <c r="D4705" s="28" t="s">
        <v>1204</v>
      </c>
      <c r="E4705" s="28" t="s">
        <v>18037</v>
      </c>
      <c r="F4705" s="28" t="s">
        <v>21</v>
      </c>
      <c r="G4705" s="28" t="s">
        <v>149</v>
      </c>
      <c r="H4705" s="28" t="s">
        <v>21726</v>
      </c>
      <c r="I4705" s="28" t="s">
        <v>23904</v>
      </c>
      <c r="J4705" s="28" t="s">
        <v>149</v>
      </c>
      <c r="K4705" s="28" t="s">
        <v>22746</v>
      </c>
      <c r="L4705" s="28" t="s">
        <v>21729</v>
      </c>
      <c r="M4705" s="28" t="s">
        <v>23905</v>
      </c>
      <c r="N4705" s="28" t="s">
        <v>21731</v>
      </c>
      <c r="O4705" s="28" t="s">
        <v>21732</v>
      </c>
      <c r="P4705" s="28" t="s">
        <v>23906</v>
      </c>
    </row>
    <row r="4706" spans="1:16" x14ac:dyDescent="0.25">
      <c r="A4706" s="28" t="s">
        <v>23907</v>
      </c>
      <c r="B4706" s="28" t="s">
        <v>23908</v>
      </c>
      <c r="C4706" s="28" t="s">
        <v>4491</v>
      </c>
      <c r="D4706" s="28" t="s">
        <v>1204</v>
      </c>
      <c r="E4706" s="28" t="s">
        <v>18037</v>
      </c>
      <c r="F4706" s="28" t="s">
        <v>21</v>
      </c>
      <c r="G4706" s="28" t="s">
        <v>149</v>
      </c>
      <c r="H4706" s="28" t="s">
        <v>21726</v>
      </c>
      <c r="I4706" s="28" t="s">
        <v>23909</v>
      </c>
      <c r="J4706" s="28" t="s">
        <v>149</v>
      </c>
      <c r="K4706" s="28" t="s">
        <v>22746</v>
      </c>
      <c r="L4706" s="28" t="s">
        <v>21729</v>
      </c>
      <c r="M4706" s="28" t="s">
        <v>23910</v>
      </c>
      <c r="N4706" s="28" t="s">
        <v>21731</v>
      </c>
      <c r="O4706" s="28" t="s">
        <v>21732</v>
      </c>
      <c r="P4706" s="28" t="s">
        <v>23911</v>
      </c>
    </row>
    <row r="4707" spans="1:16" x14ac:dyDescent="0.25">
      <c r="A4707" s="28" t="s">
        <v>23912</v>
      </c>
      <c r="B4707" s="28" t="s">
        <v>23913</v>
      </c>
      <c r="C4707" s="28" t="s">
        <v>4491</v>
      </c>
      <c r="D4707" s="28" t="s">
        <v>1204</v>
      </c>
      <c r="E4707" s="28" t="s">
        <v>18037</v>
      </c>
      <c r="F4707" s="28" t="s">
        <v>21</v>
      </c>
      <c r="G4707" s="28" t="s">
        <v>149</v>
      </c>
      <c r="H4707" s="28" t="s">
        <v>21726</v>
      </c>
      <c r="I4707" s="28" t="s">
        <v>23914</v>
      </c>
      <c r="J4707" s="28" t="s">
        <v>149</v>
      </c>
      <c r="K4707" s="28" t="s">
        <v>22746</v>
      </c>
      <c r="L4707" s="28" t="s">
        <v>21729</v>
      </c>
      <c r="M4707" s="28" t="s">
        <v>23915</v>
      </c>
      <c r="N4707" s="28" t="s">
        <v>21731</v>
      </c>
      <c r="O4707" s="28" t="s">
        <v>21732</v>
      </c>
      <c r="P4707" s="28" t="s">
        <v>23916</v>
      </c>
    </row>
    <row r="4708" spans="1:16" x14ac:dyDescent="0.25">
      <c r="A4708" s="28" t="s">
        <v>23917</v>
      </c>
      <c r="B4708" s="28" t="s">
        <v>23918</v>
      </c>
      <c r="C4708" s="28" t="s">
        <v>4491</v>
      </c>
      <c r="D4708" s="28" t="s">
        <v>1204</v>
      </c>
      <c r="E4708" s="28" t="s">
        <v>18037</v>
      </c>
      <c r="F4708" s="28" t="s">
        <v>21</v>
      </c>
      <c r="G4708" s="28" t="s">
        <v>149</v>
      </c>
      <c r="H4708" s="28" t="s">
        <v>21726</v>
      </c>
      <c r="I4708" s="28" t="s">
        <v>23919</v>
      </c>
      <c r="J4708" s="28" t="s">
        <v>149</v>
      </c>
      <c r="K4708" s="28" t="s">
        <v>22746</v>
      </c>
      <c r="L4708" s="28" t="s">
        <v>21729</v>
      </c>
      <c r="M4708" s="28" t="s">
        <v>23920</v>
      </c>
      <c r="N4708" s="28" t="s">
        <v>21731</v>
      </c>
      <c r="O4708" s="28" t="s">
        <v>21732</v>
      </c>
      <c r="P4708" s="28" t="s">
        <v>23921</v>
      </c>
    </row>
    <row r="4709" spans="1:16" x14ac:dyDescent="0.25">
      <c r="A4709" s="28" t="s">
        <v>23922</v>
      </c>
      <c r="B4709" s="28" t="s">
        <v>23923</v>
      </c>
      <c r="C4709" s="28" t="s">
        <v>4491</v>
      </c>
      <c r="D4709" s="28" t="s">
        <v>1204</v>
      </c>
      <c r="E4709" s="28" t="s">
        <v>18037</v>
      </c>
      <c r="F4709" s="28" t="s">
        <v>21</v>
      </c>
      <c r="G4709" s="28" t="s">
        <v>149</v>
      </c>
      <c r="H4709" s="28" t="s">
        <v>21726</v>
      </c>
      <c r="I4709" s="28" t="s">
        <v>23924</v>
      </c>
      <c r="J4709" s="28" t="s">
        <v>149</v>
      </c>
      <c r="K4709" s="28" t="s">
        <v>22746</v>
      </c>
      <c r="L4709" s="28" t="s">
        <v>21729</v>
      </c>
      <c r="M4709" s="28" t="s">
        <v>23925</v>
      </c>
      <c r="N4709" s="28" t="s">
        <v>21731</v>
      </c>
      <c r="O4709" s="28" t="s">
        <v>21732</v>
      </c>
      <c r="P4709" s="28" t="s">
        <v>23926</v>
      </c>
    </row>
    <row r="4710" spans="1:16" x14ac:dyDescent="0.25">
      <c r="A4710" s="28" t="s">
        <v>23927</v>
      </c>
      <c r="B4710" s="28" t="s">
        <v>23928</v>
      </c>
      <c r="C4710" s="28" t="s">
        <v>4491</v>
      </c>
      <c r="D4710" s="28" t="s">
        <v>1204</v>
      </c>
      <c r="E4710" s="28" t="s">
        <v>18037</v>
      </c>
      <c r="F4710" s="28" t="s">
        <v>21</v>
      </c>
      <c r="G4710" s="28" t="s">
        <v>149</v>
      </c>
      <c r="H4710" s="28" t="s">
        <v>21726</v>
      </c>
      <c r="I4710" s="28" t="s">
        <v>23929</v>
      </c>
      <c r="J4710" s="28" t="s">
        <v>149</v>
      </c>
      <c r="K4710" s="28" t="s">
        <v>22746</v>
      </c>
      <c r="L4710" s="28" t="s">
        <v>21729</v>
      </c>
      <c r="M4710" s="28" t="s">
        <v>23930</v>
      </c>
      <c r="N4710" s="28" t="s">
        <v>21731</v>
      </c>
      <c r="O4710" s="28" t="s">
        <v>21732</v>
      </c>
      <c r="P4710" s="28" t="s">
        <v>23931</v>
      </c>
    </row>
    <row r="4711" spans="1:16" x14ac:dyDescent="0.25">
      <c r="A4711" s="28" t="s">
        <v>23932</v>
      </c>
      <c r="B4711" s="28" t="s">
        <v>23933</v>
      </c>
      <c r="C4711" s="28" t="s">
        <v>4491</v>
      </c>
      <c r="D4711" s="28" t="s">
        <v>1204</v>
      </c>
      <c r="E4711" s="28" t="s">
        <v>18037</v>
      </c>
      <c r="F4711" s="28" t="s">
        <v>21</v>
      </c>
      <c r="G4711" s="28" t="s">
        <v>149</v>
      </c>
      <c r="H4711" s="28" t="s">
        <v>21726</v>
      </c>
      <c r="I4711" s="28" t="s">
        <v>23934</v>
      </c>
      <c r="J4711" s="28" t="s">
        <v>149</v>
      </c>
      <c r="K4711" s="28" t="s">
        <v>22746</v>
      </c>
      <c r="L4711" s="28" t="s">
        <v>21729</v>
      </c>
      <c r="M4711" s="28" t="s">
        <v>23935</v>
      </c>
      <c r="N4711" s="28" t="s">
        <v>21731</v>
      </c>
      <c r="O4711" s="28" t="s">
        <v>21732</v>
      </c>
      <c r="P4711" s="28" t="s">
        <v>23936</v>
      </c>
    </row>
    <row r="4712" spans="1:16" x14ac:dyDescent="0.25">
      <c r="A4712" s="28" t="s">
        <v>23937</v>
      </c>
      <c r="B4712" s="28" t="s">
        <v>23938</v>
      </c>
      <c r="C4712" s="28" t="s">
        <v>4491</v>
      </c>
      <c r="D4712" s="28" t="s">
        <v>1204</v>
      </c>
      <c r="E4712" s="28" t="s">
        <v>18037</v>
      </c>
      <c r="F4712" s="28" t="s">
        <v>21</v>
      </c>
      <c r="G4712" s="28" t="s">
        <v>149</v>
      </c>
      <c r="H4712" s="28" t="s">
        <v>21726</v>
      </c>
      <c r="I4712" s="28" t="s">
        <v>23939</v>
      </c>
      <c r="J4712" s="28" t="s">
        <v>149</v>
      </c>
      <c r="K4712" s="28" t="s">
        <v>22746</v>
      </c>
      <c r="L4712" s="28" t="s">
        <v>21729</v>
      </c>
      <c r="M4712" s="28" t="s">
        <v>23940</v>
      </c>
      <c r="N4712" s="28" t="s">
        <v>21731</v>
      </c>
      <c r="O4712" s="28" t="s">
        <v>21732</v>
      </c>
      <c r="P4712" s="28" t="s">
        <v>23941</v>
      </c>
    </row>
    <row r="4713" spans="1:16" x14ac:dyDescent="0.25">
      <c r="A4713" s="28" t="s">
        <v>23942</v>
      </c>
      <c r="B4713" s="28" t="s">
        <v>23943</v>
      </c>
      <c r="C4713" s="28" t="s">
        <v>4491</v>
      </c>
      <c r="D4713" s="28" t="s">
        <v>1204</v>
      </c>
      <c r="E4713" s="28" t="s">
        <v>18037</v>
      </c>
      <c r="F4713" s="28" t="s">
        <v>21</v>
      </c>
      <c r="G4713" s="28" t="s">
        <v>149</v>
      </c>
      <c r="H4713" s="28" t="s">
        <v>21726</v>
      </c>
      <c r="I4713" s="28" t="s">
        <v>23944</v>
      </c>
      <c r="J4713" s="28" t="s">
        <v>149</v>
      </c>
      <c r="K4713" s="28" t="s">
        <v>22746</v>
      </c>
      <c r="L4713" s="28" t="s">
        <v>21729</v>
      </c>
      <c r="M4713" s="28" t="s">
        <v>23945</v>
      </c>
      <c r="N4713" s="28" t="s">
        <v>21731</v>
      </c>
      <c r="O4713" s="28" t="s">
        <v>21732</v>
      </c>
      <c r="P4713" s="28" t="s">
        <v>23946</v>
      </c>
    </row>
    <row r="4714" spans="1:16" x14ac:dyDescent="0.25">
      <c r="A4714" s="28" t="s">
        <v>23947</v>
      </c>
      <c r="B4714" s="28" t="s">
        <v>23948</v>
      </c>
      <c r="C4714" s="28" t="s">
        <v>4491</v>
      </c>
      <c r="D4714" s="28" t="s">
        <v>1204</v>
      </c>
      <c r="E4714" s="28" t="s">
        <v>18037</v>
      </c>
      <c r="F4714" s="28" t="s">
        <v>21</v>
      </c>
      <c r="G4714" s="28" t="s">
        <v>149</v>
      </c>
      <c r="H4714" s="28" t="s">
        <v>21726</v>
      </c>
      <c r="I4714" s="28" t="s">
        <v>23949</v>
      </c>
      <c r="J4714" s="28" t="s">
        <v>149</v>
      </c>
      <c r="K4714" s="28" t="s">
        <v>22746</v>
      </c>
      <c r="L4714" s="28" t="s">
        <v>21729</v>
      </c>
      <c r="M4714" s="28" t="s">
        <v>23950</v>
      </c>
      <c r="N4714" s="28" t="s">
        <v>21731</v>
      </c>
      <c r="O4714" s="28" t="s">
        <v>21732</v>
      </c>
      <c r="P4714" s="28" t="s">
        <v>23951</v>
      </c>
    </row>
    <row r="4715" spans="1:16" x14ac:dyDescent="0.25">
      <c r="A4715" s="28" t="s">
        <v>23952</v>
      </c>
      <c r="B4715" s="28" t="s">
        <v>23953</v>
      </c>
      <c r="C4715" s="28" t="s">
        <v>4491</v>
      </c>
      <c r="D4715" s="28" t="s">
        <v>1204</v>
      </c>
      <c r="E4715" s="28" t="s">
        <v>18037</v>
      </c>
      <c r="F4715" s="28" t="s">
        <v>21</v>
      </c>
      <c r="G4715" s="28" t="s">
        <v>149</v>
      </c>
      <c r="H4715" s="28" t="s">
        <v>21726</v>
      </c>
      <c r="I4715" s="28" t="s">
        <v>23954</v>
      </c>
      <c r="J4715" s="28" t="s">
        <v>149</v>
      </c>
      <c r="K4715" s="28" t="s">
        <v>22746</v>
      </c>
      <c r="L4715" s="28" t="s">
        <v>21729</v>
      </c>
      <c r="M4715" s="28" t="s">
        <v>23955</v>
      </c>
      <c r="N4715" s="28" t="s">
        <v>21731</v>
      </c>
      <c r="O4715" s="28" t="s">
        <v>21732</v>
      </c>
      <c r="P4715" s="28" t="s">
        <v>23956</v>
      </c>
    </row>
    <row r="4716" spans="1:16" x14ac:dyDescent="0.25">
      <c r="A4716" s="28" t="s">
        <v>23957</v>
      </c>
      <c r="B4716" s="28" t="s">
        <v>23958</v>
      </c>
      <c r="C4716" s="28" t="s">
        <v>4491</v>
      </c>
      <c r="D4716" s="28" t="s">
        <v>69</v>
      </c>
      <c r="E4716" s="28" t="s">
        <v>18043</v>
      </c>
      <c r="F4716" s="28" t="s">
        <v>21</v>
      </c>
      <c r="G4716" s="28" t="s">
        <v>39</v>
      </c>
      <c r="H4716" s="28" t="s">
        <v>16221</v>
      </c>
      <c r="I4716" s="28" t="s">
        <v>23959</v>
      </c>
      <c r="J4716" s="28" t="s">
        <v>39</v>
      </c>
      <c r="K4716" s="28" t="s">
        <v>16223</v>
      </c>
      <c r="L4716" s="28" t="s">
        <v>16224</v>
      </c>
      <c r="M4716" s="28" t="s">
        <v>20385</v>
      </c>
      <c r="N4716" s="28" t="s">
        <v>16226</v>
      </c>
      <c r="O4716" s="28" t="s">
        <v>16227</v>
      </c>
      <c r="P4716" s="28" t="s">
        <v>22306</v>
      </c>
    </row>
    <row r="4717" spans="1:16" x14ac:dyDescent="0.25">
      <c r="A4717" s="28" t="s">
        <v>23960</v>
      </c>
      <c r="B4717" s="28" t="s">
        <v>23961</v>
      </c>
      <c r="C4717" s="28" t="s">
        <v>4491</v>
      </c>
      <c r="D4717" s="28" t="s">
        <v>69</v>
      </c>
      <c r="E4717" s="28" t="s">
        <v>18049</v>
      </c>
      <c r="F4717" s="28" t="s">
        <v>21</v>
      </c>
      <c r="G4717" s="28" t="s">
        <v>39</v>
      </c>
      <c r="H4717" s="28" t="s">
        <v>16221</v>
      </c>
      <c r="I4717" s="28" t="s">
        <v>23962</v>
      </c>
      <c r="J4717" s="28" t="s">
        <v>39</v>
      </c>
      <c r="K4717" s="28" t="s">
        <v>16223</v>
      </c>
      <c r="L4717" s="28" t="s">
        <v>16224</v>
      </c>
      <c r="M4717" s="28" t="s">
        <v>20389</v>
      </c>
      <c r="N4717" s="28" t="s">
        <v>16226</v>
      </c>
      <c r="O4717" s="28" t="s">
        <v>16227</v>
      </c>
      <c r="P4717" s="28" t="s">
        <v>22310</v>
      </c>
    </row>
    <row r="4718" spans="1:16" x14ac:dyDescent="0.25">
      <c r="A4718" s="28" t="s">
        <v>23963</v>
      </c>
      <c r="B4718" s="28" t="s">
        <v>23964</v>
      </c>
      <c r="C4718" s="28" t="s">
        <v>4491</v>
      </c>
      <c r="D4718" s="28" t="s">
        <v>69</v>
      </c>
      <c r="E4718" s="28" t="s">
        <v>18055</v>
      </c>
      <c r="F4718" s="28" t="s">
        <v>21</v>
      </c>
      <c r="G4718" s="28" t="s">
        <v>39</v>
      </c>
      <c r="H4718" s="28" t="s">
        <v>16221</v>
      </c>
      <c r="I4718" s="28" t="s">
        <v>23965</v>
      </c>
      <c r="J4718" s="28" t="s">
        <v>39</v>
      </c>
      <c r="K4718" s="28" t="s">
        <v>16223</v>
      </c>
      <c r="L4718" s="28" t="s">
        <v>16224</v>
      </c>
      <c r="M4718" s="28" t="s">
        <v>20393</v>
      </c>
      <c r="N4718" s="28" t="s">
        <v>16226</v>
      </c>
      <c r="O4718" s="28" t="s">
        <v>16227</v>
      </c>
      <c r="P4718" s="28" t="s">
        <v>22314</v>
      </c>
    </row>
    <row r="4719" spans="1:16" x14ac:dyDescent="0.25">
      <c r="A4719" s="28" t="s">
        <v>23966</v>
      </c>
      <c r="B4719" s="28" t="s">
        <v>23967</v>
      </c>
      <c r="C4719" s="28" t="s">
        <v>4491</v>
      </c>
      <c r="D4719" s="28" t="s">
        <v>69</v>
      </c>
      <c r="E4719" s="28" t="s">
        <v>20396</v>
      </c>
      <c r="F4719" s="28" t="s">
        <v>21</v>
      </c>
      <c r="G4719" s="28" t="s">
        <v>149</v>
      </c>
      <c r="H4719" s="28" t="s">
        <v>21726</v>
      </c>
      <c r="I4719" s="28" t="s">
        <v>23968</v>
      </c>
      <c r="J4719" s="28" t="s">
        <v>149</v>
      </c>
      <c r="K4719" s="28" t="s">
        <v>22746</v>
      </c>
      <c r="L4719" s="28" t="s">
        <v>21729</v>
      </c>
      <c r="M4719" s="28" t="s">
        <v>23969</v>
      </c>
      <c r="N4719" s="28" t="s">
        <v>21731</v>
      </c>
      <c r="O4719" s="28" t="s">
        <v>21732</v>
      </c>
      <c r="P4719" s="28" t="s">
        <v>23970</v>
      </c>
    </row>
    <row r="4720" spans="1:16" x14ac:dyDescent="0.25">
      <c r="A4720" s="28" t="s">
        <v>23971</v>
      </c>
      <c r="B4720" s="28" t="s">
        <v>23972</v>
      </c>
      <c r="C4720" s="28" t="s">
        <v>4491</v>
      </c>
      <c r="D4720" s="28" t="s">
        <v>69</v>
      </c>
      <c r="E4720" s="28" t="s">
        <v>20396</v>
      </c>
      <c r="F4720" s="28" t="s">
        <v>21</v>
      </c>
      <c r="G4720" s="28" t="s">
        <v>149</v>
      </c>
      <c r="H4720" s="28" t="s">
        <v>21726</v>
      </c>
      <c r="I4720" s="28" t="s">
        <v>23973</v>
      </c>
      <c r="J4720" s="28" t="s">
        <v>149</v>
      </c>
      <c r="K4720" s="28" t="s">
        <v>22746</v>
      </c>
      <c r="L4720" s="28" t="s">
        <v>21729</v>
      </c>
      <c r="M4720" s="28" t="s">
        <v>23974</v>
      </c>
      <c r="N4720" s="28" t="s">
        <v>21731</v>
      </c>
      <c r="O4720" s="28" t="s">
        <v>21732</v>
      </c>
      <c r="P4720" s="28" t="s">
        <v>23975</v>
      </c>
    </row>
    <row r="4721" spans="1:16" x14ac:dyDescent="0.25">
      <c r="A4721" s="28" t="s">
        <v>23976</v>
      </c>
      <c r="B4721" s="28" t="s">
        <v>23977</v>
      </c>
      <c r="C4721" s="28" t="s">
        <v>4491</v>
      </c>
      <c r="D4721" s="28" t="s">
        <v>69</v>
      </c>
      <c r="E4721" s="28" t="s">
        <v>20396</v>
      </c>
      <c r="F4721" s="28" t="s">
        <v>21</v>
      </c>
      <c r="G4721" s="28" t="s">
        <v>149</v>
      </c>
      <c r="H4721" s="28" t="s">
        <v>21726</v>
      </c>
      <c r="I4721" s="28" t="s">
        <v>23978</v>
      </c>
      <c r="J4721" s="28" t="s">
        <v>149</v>
      </c>
      <c r="K4721" s="28" t="s">
        <v>22746</v>
      </c>
      <c r="L4721" s="28" t="s">
        <v>21729</v>
      </c>
      <c r="M4721" s="28" t="s">
        <v>23979</v>
      </c>
      <c r="N4721" s="28" t="s">
        <v>21731</v>
      </c>
      <c r="O4721" s="28" t="s">
        <v>21732</v>
      </c>
      <c r="P4721" s="28" t="s">
        <v>23980</v>
      </c>
    </row>
    <row r="4722" spans="1:16" x14ac:dyDescent="0.25">
      <c r="A4722" s="28" t="s">
        <v>23981</v>
      </c>
      <c r="B4722" s="28" t="s">
        <v>23982</v>
      </c>
      <c r="C4722" s="28" t="s">
        <v>4491</v>
      </c>
      <c r="D4722" s="28" t="s">
        <v>69</v>
      </c>
      <c r="E4722" s="28" t="s">
        <v>20396</v>
      </c>
      <c r="F4722" s="28" t="s">
        <v>21</v>
      </c>
      <c r="G4722" s="28" t="s">
        <v>149</v>
      </c>
      <c r="H4722" s="28" t="s">
        <v>21726</v>
      </c>
      <c r="I4722" s="28" t="s">
        <v>23983</v>
      </c>
      <c r="J4722" s="28" t="s">
        <v>149</v>
      </c>
      <c r="K4722" s="28" t="s">
        <v>22746</v>
      </c>
      <c r="L4722" s="28" t="s">
        <v>21729</v>
      </c>
      <c r="M4722" s="28" t="s">
        <v>23984</v>
      </c>
      <c r="N4722" s="28" t="s">
        <v>21731</v>
      </c>
      <c r="O4722" s="28" t="s">
        <v>21732</v>
      </c>
      <c r="P4722" s="28" t="s">
        <v>23985</v>
      </c>
    </row>
    <row r="4723" spans="1:16" x14ac:dyDescent="0.25">
      <c r="A4723" s="28" t="s">
        <v>23986</v>
      </c>
      <c r="B4723" s="28" t="s">
        <v>23987</v>
      </c>
      <c r="C4723" s="28" t="s">
        <v>4491</v>
      </c>
      <c r="D4723" s="28" t="s">
        <v>69</v>
      </c>
      <c r="E4723" s="28" t="s">
        <v>20414</v>
      </c>
      <c r="F4723" s="28" t="s">
        <v>21</v>
      </c>
      <c r="G4723" s="28" t="s">
        <v>39</v>
      </c>
      <c r="H4723" s="28" t="s">
        <v>16221</v>
      </c>
      <c r="I4723" s="28" t="s">
        <v>23988</v>
      </c>
      <c r="J4723" s="28" t="s">
        <v>39</v>
      </c>
      <c r="K4723" s="28" t="s">
        <v>16223</v>
      </c>
      <c r="L4723" s="28" t="s">
        <v>16224</v>
      </c>
      <c r="M4723" s="28" t="s">
        <v>20416</v>
      </c>
      <c r="N4723" s="28" t="s">
        <v>16226</v>
      </c>
      <c r="O4723" s="28" t="s">
        <v>16227</v>
      </c>
      <c r="P4723" s="28" t="s">
        <v>23989</v>
      </c>
    </row>
    <row r="4724" spans="1:16" x14ac:dyDescent="0.25">
      <c r="A4724" s="28" t="s">
        <v>23990</v>
      </c>
      <c r="B4724" s="28" t="s">
        <v>23991</v>
      </c>
      <c r="C4724" s="28" t="s">
        <v>4491</v>
      </c>
      <c r="D4724" s="28" t="s">
        <v>69</v>
      </c>
      <c r="E4724" s="28" t="s">
        <v>20414</v>
      </c>
      <c r="F4724" s="28" t="s">
        <v>21</v>
      </c>
      <c r="G4724" s="28" t="s">
        <v>39</v>
      </c>
      <c r="H4724" s="28" t="s">
        <v>16221</v>
      </c>
      <c r="I4724" s="28" t="s">
        <v>23992</v>
      </c>
      <c r="J4724" s="28" t="s">
        <v>39</v>
      </c>
      <c r="K4724" s="28" t="s">
        <v>16223</v>
      </c>
      <c r="L4724" s="28" t="s">
        <v>16224</v>
      </c>
      <c r="M4724" s="28" t="s">
        <v>20421</v>
      </c>
      <c r="N4724" s="28" t="s">
        <v>16226</v>
      </c>
      <c r="O4724" s="28" t="s">
        <v>16227</v>
      </c>
      <c r="P4724" s="28" t="s">
        <v>23989</v>
      </c>
    </row>
    <row r="4725" spans="1:16" x14ac:dyDescent="0.25">
      <c r="A4725" s="28" t="s">
        <v>23993</v>
      </c>
      <c r="B4725" s="28" t="s">
        <v>23994</v>
      </c>
      <c r="C4725" s="28" t="s">
        <v>4491</v>
      </c>
      <c r="D4725" s="28" t="s">
        <v>69</v>
      </c>
      <c r="E4725" s="28" t="s">
        <v>20414</v>
      </c>
      <c r="F4725" s="28" t="s">
        <v>21</v>
      </c>
      <c r="G4725" s="28" t="s">
        <v>39</v>
      </c>
      <c r="H4725" s="28" t="s">
        <v>16221</v>
      </c>
      <c r="I4725" s="28" t="s">
        <v>23995</v>
      </c>
      <c r="J4725" s="28" t="s">
        <v>39</v>
      </c>
      <c r="K4725" s="28" t="s">
        <v>16223</v>
      </c>
      <c r="L4725" s="28" t="s">
        <v>16224</v>
      </c>
      <c r="M4725" s="28" t="s">
        <v>20425</v>
      </c>
      <c r="N4725" s="28" t="s">
        <v>16226</v>
      </c>
      <c r="O4725" s="28" t="s">
        <v>16227</v>
      </c>
      <c r="P4725" s="28" t="s">
        <v>23989</v>
      </c>
    </row>
    <row r="4726" spans="1:16" x14ac:dyDescent="0.25">
      <c r="A4726" s="28" t="s">
        <v>23996</v>
      </c>
      <c r="B4726" s="28" t="s">
        <v>23997</v>
      </c>
      <c r="C4726" s="28" t="s">
        <v>4491</v>
      </c>
      <c r="D4726" s="28" t="s">
        <v>69</v>
      </c>
      <c r="E4726" s="28" t="s">
        <v>20414</v>
      </c>
      <c r="F4726" s="28" t="s">
        <v>21</v>
      </c>
      <c r="G4726" s="28" t="s">
        <v>39</v>
      </c>
      <c r="H4726" s="28" t="s">
        <v>16221</v>
      </c>
      <c r="I4726" s="28" t="s">
        <v>23998</v>
      </c>
      <c r="J4726" s="28" t="s">
        <v>39</v>
      </c>
      <c r="K4726" s="28" t="s">
        <v>16223</v>
      </c>
      <c r="L4726" s="28" t="s">
        <v>16224</v>
      </c>
      <c r="M4726" s="28" t="s">
        <v>20429</v>
      </c>
      <c r="N4726" s="28" t="s">
        <v>16226</v>
      </c>
      <c r="O4726" s="28" t="s">
        <v>16227</v>
      </c>
      <c r="P4726" s="28" t="s">
        <v>23989</v>
      </c>
    </row>
    <row r="4727" spans="1:16" x14ac:dyDescent="0.25">
      <c r="A4727" s="28" t="s">
        <v>23999</v>
      </c>
      <c r="B4727" s="28" t="s">
        <v>24000</v>
      </c>
      <c r="C4727" s="28" t="s">
        <v>4491</v>
      </c>
      <c r="D4727" s="28" t="s">
        <v>69</v>
      </c>
      <c r="E4727" s="28" t="s">
        <v>20414</v>
      </c>
      <c r="F4727" s="28" t="s">
        <v>21</v>
      </c>
      <c r="G4727" s="28" t="s">
        <v>39</v>
      </c>
      <c r="H4727" s="28" t="s">
        <v>16221</v>
      </c>
      <c r="I4727" s="28" t="s">
        <v>24001</v>
      </c>
      <c r="J4727" s="28" t="s">
        <v>39</v>
      </c>
      <c r="K4727" s="28" t="s">
        <v>16223</v>
      </c>
      <c r="L4727" s="28" t="s">
        <v>16224</v>
      </c>
      <c r="M4727" s="28" t="s">
        <v>20433</v>
      </c>
      <c r="N4727" s="28" t="s">
        <v>16226</v>
      </c>
      <c r="O4727" s="28" t="s">
        <v>16227</v>
      </c>
      <c r="P4727" s="28" t="s">
        <v>23989</v>
      </c>
    </row>
    <row r="4728" spans="1:16" x14ac:dyDescent="0.25">
      <c r="A4728" s="28" t="s">
        <v>24002</v>
      </c>
      <c r="B4728" s="28" t="s">
        <v>24003</v>
      </c>
      <c r="C4728" s="28" t="s">
        <v>4491</v>
      </c>
      <c r="D4728" s="28" t="s">
        <v>69</v>
      </c>
      <c r="E4728" s="28" t="s">
        <v>20414</v>
      </c>
      <c r="F4728" s="28" t="s">
        <v>21</v>
      </c>
      <c r="G4728" s="28" t="s">
        <v>39</v>
      </c>
      <c r="H4728" s="28" t="s">
        <v>16221</v>
      </c>
      <c r="I4728" s="28" t="s">
        <v>24004</v>
      </c>
      <c r="J4728" s="28" t="s">
        <v>39</v>
      </c>
      <c r="K4728" s="28" t="s">
        <v>16223</v>
      </c>
      <c r="L4728" s="28" t="s">
        <v>16224</v>
      </c>
      <c r="M4728" s="28" t="s">
        <v>20437</v>
      </c>
      <c r="N4728" s="28" t="s">
        <v>16226</v>
      </c>
      <c r="O4728" s="28" t="s">
        <v>16227</v>
      </c>
      <c r="P4728" s="28" t="s">
        <v>23989</v>
      </c>
    </row>
    <row r="4729" spans="1:16" x14ac:dyDescent="0.25">
      <c r="A4729" s="28" t="s">
        <v>24005</v>
      </c>
      <c r="B4729" s="28" t="s">
        <v>24006</v>
      </c>
      <c r="C4729" s="28" t="s">
        <v>4491</v>
      </c>
      <c r="D4729" s="28" t="s">
        <v>69</v>
      </c>
      <c r="E4729" s="28" t="s">
        <v>20414</v>
      </c>
      <c r="F4729" s="28" t="s">
        <v>21</v>
      </c>
      <c r="G4729" s="28" t="s">
        <v>39</v>
      </c>
      <c r="H4729" s="28" t="s">
        <v>16221</v>
      </c>
      <c r="I4729" s="28" t="s">
        <v>24007</v>
      </c>
      <c r="J4729" s="28" t="s">
        <v>39</v>
      </c>
      <c r="K4729" s="28" t="s">
        <v>16223</v>
      </c>
      <c r="L4729" s="28" t="s">
        <v>16224</v>
      </c>
      <c r="M4729" s="28" t="s">
        <v>20441</v>
      </c>
      <c r="N4729" s="28" t="s">
        <v>16226</v>
      </c>
      <c r="O4729" s="28" t="s">
        <v>16227</v>
      </c>
      <c r="P4729" s="28" t="s">
        <v>23989</v>
      </c>
    </row>
    <row r="4730" spans="1:16" x14ac:dyDescent="0.25">
      <c r="A4730" s="28" t="s">
        <v>24008</v>
      </c>
      <c r="B4730" s="28" t="s">
        <v>24009</v>
      </c>
      <c r="C4730" s="28" t="s">
        <v>4491</v>
      </c>
      <c r="D4730" s="28" t="s">
        <v>69</v>
      </c>
      <c r="E4730" s="28" t="s">
        <v>20414</v>
      </c>
      <c r="F4730" s="28" t="s">
        <v>21</v>
      </c>
      <c r="G4730" s="28" t="s">
        <v>39</v>
      </c>
      <c r="H4730" s="28" t="s">
        <v>16221</v>
      </c>
      <c r="I4730" s="28" t="s">
        <v>24010</v>
      </c>
      <c r="J4730" s="28" t="s">
        <v>39</v>
      </c>
      <c r="K4730" s="28" t="s">
        <v>16223</v>
      </c>
      <c r="L4730" s="28" t="s">
        <v>16224</v>
      </c>
      <c r="M4730" s="28" t="s">
        <v>20445</v>
      </c>
      <c r="N4730" s="28" t="s">
        <v>16226</v>
      </c>
      <c r="O4730" s="28" t="s">
        <v>16227</v>
      </c>
      <c r="P4730" s="28" t="s">
        <v>23989</v>
      </c>
    </row>
    <row r="4731" spans="1:16" x14ac:dyDescent="0.25">
      <c r="A4731" s="28" t="s">
        <v>24011</v>
      </c>
      <c r="B4731" s="28" t="s">
        <v>24012</v>
      </c>
      <c r="C4731" s="28" t="s">
        <v>4491</v>
      </c>
      <c r="D4731" s="28" t="s">
        <v>69</v>
      </c>
      <c r="E4731" s="28" t="s">
        <v>20414</v>
      </c>
      <c r="F4731" s="28" t="s">
        <v>21</v>
      </c>
      <c r="G4731" s="28" t="s">
        <v>39</v>
      </c>
      <c r="H4731" s="28" t="s">
        <v>16221</v>
      </c>
      <c r="I4731" s="28" t="s">
        <v>24013</v>
      </c>
      <c r="J4731" s="28" t="s">
        <v>39</v>
      </c>
      <c r="K4731" s="28" t="s">
        <v>16223</v>
      </c>
      <c r="L4731" s="28" t="s">
        <v>16224</v>
      </c>
      <c r="M4731" s="28" t="s">
        <v>20449</v>
      </c>
      <c r="N4731" s="28" t="s">
        <v>16226</v>
      </c>
      <c r="O4731" s="28" t="s">
        <v>16227</v>
      </c>
      <c r="P4731" s="28" t="s">
        <v>23989</v>
      </c>
    </row>
    <row r="4732" spans="1:16" x14ac:dyDescent="0.25">
      <c r="A4732" s="28" t="s">
        <v>24014</v>
      </c>
      <c r="B4732" s="28" t="s">
        <v>24015</v>
      </c>
      <c r="C4732" s="28" t="s">
        <v>4491</v>
      </c>
      <c r="D4732" s="28" t="s">
        <v>69</v>
      </c>
      <c r="E4732" s="28" t="s">
        <v>20414</v>
      </c>
      <c r="F4732" s="28" t="s">
        <v>21</v>
      </c>
      <c r="G4732" s="28" t="s">
        <v>39</v>
      </c>
      <c r="H4732" s="28" t="s">
        <v>16221</v>
      </c>
      <c r="I4732" s="28" t="s">
        <v>24016</v>
      </c>
      <c r="J4732" s="28" t="s">
        <v>39</v>
      </c>
      <c r="K4732" s="28" t="s">
        <v>16223</v>
      </c>
      <c r="L4732" s="28" t="s">
        <v>16224</v>
      </c>
      <c r="M4732" s="28" t="s">
        <v>20453</v>
      </c>
      <c r="N4732" s="28" t="s">
        <v>16226</v>
      </c>
      <c r="O4732" s="28" t="s">
        <v>16227</v>
      </c>
      <c r="P4732" s="28" t="s">
        <v>23989</v>
      </c>
    </row>
    <row r="4733" spans="1:16" x14ac:dyDescent="0.25">
      <c r="A4733" s="28" t="s">
        <v>24017</v>
      </c>
      <c r="B4733" s="28" t="s">
        <v>24018</v>
      </c>
      <c r="C4733" s="28" t="s">
        <v>4491</v>
      </c>
      <c r="D4733" s="28" t="s">
        <v>69</v>
      </c>
      <c r="E4733" s="28" t="s">
        <v>20414</v>
      </c>
      <c r="F4733" s="28" t="s">
        <v>21</v>
      </c>
      <c r="G4733" s="28" t="s">
        <v>39</v>
      </c>
      <c r="H4733" s="28" t="s">
        <v>16221</v>
      </c>
      <c r="I4733" s="28" t="s">
        <v>24019</v>
      </c>
      <c r="J4733" s="28" t="s">
        <v>39</v>
      </c>
      <c r="K4733" s="28" t="s">
        <v>16223</v>
      </c>
      <c r="L4733" s="28" t="s">
        <v>16224</v>
      </c>
      <c r="M4733" s="28" t="s">
        <v>20457</v>
      </c>
      <c r="N4733" s="28" t="s">
        <v>16226</v>
      </c>
      <c r="O4733" s="28" t="s">
        <v>16227</v>
      </c>
      <c r="P4733" s="28" t="s">
        <v>23989</v>
      </c>
    </row>
    <row r="4734" spans="1:16" x14ac:dyDescent="0.25">
      <c r="A4734" s="28" t="s">
        <v>24020</v>
      </c>
      <c r="B4734" s="28" t="s">
        <v>24021</v>
      </c>
      <c r="C4734" s="28" t="s">
        <v>4491</v>
      </c>
      <c r="D4734" s="28" t="s">
        <v>69</v>
      </c>
      <c r="E4734" s="28" t="s">
        <v>20414</v>
      </c>
      <c r="F4734" s="28" t="s">
        <v>21</v>
      </c>
      <c r="G4734" s="28" t="s">
        <v>39</v>
      </c>
      <c r="H4734" s="28" t="s">
        <v>16221</v>
      </c>
      <c r="I4734" s="28" t="s">
        <v>24022</v>
      </c>
      <c r="J4734" s="28" t="s">
        <v>39</v>
      </c>
      <c r="K4734" s="28" t="s">
        <v>16223</v>
      </c>
      <c r="L4734" s="28" t="s">
        <v>16224</v>
      </c>
      <c r="M4734" s="28" t="s">
        <v>20461</v>
      </c>
      <c r="N4734" s="28" t="s">
        <v>16226</v>
      </c>
      <c r="O4734" s="28" t="s">
        <v>16227</v>
      </c>
      <c r="P4734" s="28" t="s">
        <v>23989</v>
      </c>
    </row>
    <row r="4735" spans="1:16" x14ac:dyDescent="0.25">
      <c r="A4735" s="28" t="s">
        <v>24023</v>
      </c>
      <c r="B4735" s="28" t="s">
        <v>24024</v>
      </c>
      <c r="C4735" s="28" t="s">
        <v>4491</v>
      </c>
      <c r="D4735" s="28" t="s">
        <v>69</v>
      </c>
      <c r="E4735" s="28" t="s">
        <v>20414</v>
      </c>
      <c r="F4735" s="28" t="s">
        <v>21</v>
      </c>
      <c r="G4735" s="28" t="s">
        <v>39</v>
      </c>
      <c r="H4735" s="28" t="s">
        <v>16221</v>
      </c>
      <c r="I4735" s="28" t="s">
        <v>24025</v>
      </c>
      <c r="J4735" s="28" t="s">
        <v>39</v>
      </c>
      <c r="K4735" s="28" t="s">
        <v>16223</v>
      </c>
      <c r="L4735" s="28" t="s">
        <v>16224</v>
      </c>
      <c r="M4735" s="28" t="s">
        <v>20465</v>
      </c>
      <c r="N4735" s="28" t="s">
        <v>16226</v>
      </c>
      <c r="O4735" s="28" t="s">
        <v>16227</v>
      </c>
      <c r="P4735" s="28" t="s">
        <v>23989</v>
      </c>
    </row>
    <row r="4736" spans="1:16" x14ac:dyDescent="0.25">
      <c r="A4736" s="28" t="s">
        <v>24026</v>
      </c>
      <c r="B4736" s="28" t="s">
        <v>24027</v>
      </c>
      <c r="C4736" s="28" t="s">
        <v>4491</v>
      </c>
      <c r="D4736" s="28" t="s">
        <v>69</v>
      </c>
      <c r="E4736" s="28" t="s">
        <v>20414</v>
      </c>
      <c r="F4736" s="28" t="s">
        <v>21</v>
      </c>
      <c r="G4736" s="28" t="s">
        <v>39</v>
      </c>
      <c r="H4736" s="28" t="s">
        <v>16221</v>
      </c>
      <c r="I4736" s="28" t="s">
        <v>24028</v>
      </c>
      <c r="J4736" s="28" t="s">
        <v>39</v>
      </c>
      <c r="K4736" s="28" t="s">
        <v>16223</v>
      </c>
      <c r="L4736" s="28" t="s">
        <v>16224</v>
      </c>
      <c r="M4736" s="28" t="s">
        <v>20469</v>
      </c>
      <c r="N4736" s="28" t="s">
        <v>16226</v>
      </c>
      <c r="O4736" s="28" t="s">
        <v>16227</v>
      </c>
      <c r="P4736" s="28" t="s">
        <v>23989</v>
      </c>
    </row>
    <row r="4737" spans="1:16" x14ac:dyDescent="0.25">
      <c r="A4737" s="28" t="s">
        <v>24029</v>
      </c>
      <c r="B4737" s="28" t="s">
        <v>24030</v>
      </c>
      <c r="C4737" s="28" t="s">
        <v>4491</v>
      </c>
      <c r="D4737" s="28" t="s">
        <v>69</v>
      </c>
      <c r="E4737" s="28" t="s">
        <v>20414</v>
      </c>
      <c r="F4737" s="28" t="s">
        <v>21</v>
      </c>
      <c r="G4737" s="28" t="s">
        <v>39</v>
      </c>
      <c r="H4737" s="28" t="s">
        <v>16221</v>
      </c>
      <c r="I4737" s="28" t="s">
        <v>24031</v>
      </c>
      <c r="J4737" s="28" t="s">
        <v>39</v>
      </c>
      <c r="K4737" s="28" t="s">
        <v>16223</v>
      </c>
      <c r="L4737" s="28" t="s">
        <v>16224</v>
      </c>
      <c r="M4737" s="28" t="s">
        <v>20473</v>
      </c>
      <c r="N4737" s="28" t="s">
        <v>16226</v>
      </c>
      <c r="O4737" s="28" t="s">
        <v>16227</v>
      </c>
      <c r="P4737" s="28" t="s">
        <v>23989</v>
      </c>
    </row>
    <row r="4738" spans="1:16" x14ac:dyDescent="0.25">
      <c r="A4738" s="28" t="s">
        <v>24032</v>
      </c>
      <c r="B4738" s="28" t="s">
        <v>24033</v>
      </c>
      <c r="C4738" s="28" t="s">
        <v>4491</v>
      </c>
      <c r="D4738" s="28" t="s">
        <v>69</v>
      </c>
      <c r="E4738" s="28" t="s">
        <v>20414</v>
      </c>
      <c r="F4738" s="28" t="s">
        <v>21</v>
      </c>
      <c r="G4738" s="28" t="s">
        <v>39</v>
      </c>
      <c r="H4738" s="28" t="s">
        <v>16221</v>
      </c>
      <c r="I4738" s="28" t="s">
        <v>24034</v>
      </c>
      <c r="J4738" s="28" t="s">
        <v>39</v>
      </c>
      <c r="K4738" s="28" t="s">
        <v>16223</v>
      </c>
      <c r="L4738" s="28" t="s">
        <v>16224</v>
      </c>
      <c r="M4738" s="28" t="s">
        <v>20477</v>
      </c>
      <c r="N4738" s="28" t="s">
        <v>16226</v>
      </c>
      <c r="O4738" s="28" t="s">
        <v>16227</v>
      </c>
      <c r="P4738" s="28" t="s">
        <v>23989</v>
      </c>
    </row>
    <row r="4739" spans="1:16" x14ac:dyDescent="0.25">
      <c r="A4739" s="28" t="s">
        <v>24035</v>
      </c>
      <c r="B4739" s="28" t="s">
        <v>24036</v>
      </c>
      <c r="C4739" s="28" t="s">
        <v>4491</v>
      </c>
      <c r="D4739" s="28" t="s">
        <v>69</v>
      </c>
      <c r="E4739" s="28" t="s">
        <v>20414</v>
      </c>
      <c r="F4739" s="28" t="s">
        <v>21</v>
      </c>
      <c r="G4739" s="28" t="s">
        <v>39</v>
      </c>
      <c r="H4739" s="28" t="s">
        <v>16221</v>
      </c>
      <c r="I4739" s="28" t="s">
        <v>24037</v>
      </c>
      <c r="J4739" s="28" t="s">
        <v>39</v>
      </c>
      <c r="K4739" s="28" t="s">
        <v>16223</v>
      </c>
      <c r="L4739" s="28" t="s">
        <v>16224</v>
      </c>
      <c r="M4739" s="28" t="s">
        <v>20481</v>
      </c>
      <c r="N4739" s="28" t="s">
        <v>16226</v>
      </c>
      <c r="O4739" s="28" t="s">
        <v>16227</v>
      </c>
      <c r="P4739" s="28" t="s">
        <v>23989</v>
      </c>
    </row>
    <row r="4740" spans="1:16" x14ac:dyDescent="0.25">
      <c r="A4740" s="28" t="s">
        <v>24038</v>
      </c>
      <c r="B4740" s="28" t="s">
        <v>24039</v>
      </c>
      <c r="C4740" s="28" t="s">
        <v>4491</v>
      </c>
      <c r="D4740" s="28" t="s">
        <v>69</v>
      </c>
      <c r="E4740" s="28" t="s">
        <v>20414</v>
      </c>
      <c r="F4740" s="28" t="s">
        <v>21</v>
      </c>
      <c r="G4740" s="28" t="s">
        <v>39</v>
      </c>
      <c r="H4740" s="28" t="s">
        <v>16221</v>
      </c>
      <c r="I4740" s="28" t="s">
        <v>24040</v>
      </c>
      <c r="J4740" s="28" t="s">
        <v>39</v>
      </c>
      <c r="K4740" s="28" t="s">
        <v>16223</v>
      </c>
      <c r="L4740" s="28" t="s">
        <v>16224</v>
      </c>
      <c r="M4740" s="28" t="s">
        <v>20485</v>
      </c>
      <c r="N4740" s="28" t="s">
        <v>16226</v>
      </c>
      <c r="O4740" s="28" t="s">
        <v>16227</v>
      </c>
      <c r="P4740" s="28" t="s">
        <v>23989</v>
      </c>
    </row>
    <row r="4741" spans="1:16" x14ac:dyDescent="0.25">
      <c r="A4741" s="28" t="s">
        <v>24041</v>
      </c>
      <c r="B4741" s="28" t="s">
        <v>24042</v>
      </c>
      <c r="C4741" s="28" t="s">
        <v>4491</v>
      </c>
      <c r="D4741" s="28" t="s">
        <v>69</v>
      </c>
      <c r="E4741" s="28" t="s">
        <v>20414</v>
      </c>
      <c r="F4741" s="28" t="s">
        <v>21</v>
      </c>
      <c r="G4741" s="28" t="s">
        <v>39</v>
      </c>
      <c r="H4741" s="28" t="s">
        <v>16221</v>
      </c>
      <c r="I4741" s="28" t="s">
        <v>24043</v>
      </c>
      <c r="J4741" s="28" t="s">
        <v>39</v>
      </c>
      <c r="K4741" s="28" t="s">
        <v>16223</v>
      </c>
      <c r="L4741" s="28" t="s">
        <v>16224</v>
      </c>
      <c r="M4741" s="28" t="s">
        <v>20489</v>
      </c>
      <c r="N4741" s="28" t="s">
        <v>16226</v>
      </c>
      <c r="O4741" s="28" t="s">
        <v>16227</v>
      </c>
      <c r="P4741" s="28" t="s">
        <v>23989</v>
      </c>
    </row>
    <row r="4742" spans="1:16" x14ac:dyDescent="0.25">
      <c r="A4742" s="28" t="s">
        <v>24044</v>
      </c>
      <c r="B4742" s="28" t="s">
        <v>24045</v>
      </c>
      <c r="C4742" s="28" t="s">
        <v>4491</v>
      </c>
      <c r="D4742" s="28" t="s">
        <v>69</v>
      </c>
      <c r="E4742" s="28" t="s">
        <v>20414</v>
      </c>
      <c r="F4742" s="28" t="s">
        <v>21</v>
      </c>
      <c r="G4742" s="28" t="s">
        <v>39</v>
      </c>
      <c r="H4742" s="28" t="s">
        <v>16221</v>
      </c>
      <c r="I4742" s="28" t="s">
        <v>24046</v>
      </c>
      <c r="J4742" s="28" t="s">
        <v>39</v>
      </c>
      <c r="K4742" s="28" t="s">
        <v>16223</v>
      </c>
      <c r="L4742" s="28" t="s">
        <v>16224</v>
      </c>
      <c r="M4742" s="28" t="s">
        <v>20493</v>
      </c>
      <c r="N4742" s="28" t="s">
        <v>16226</v>
      </c>
      <c r="O4742" s="28" t="s">
        <v>16227</v>
      </c>
      <c r="P4742" s="28" t="s">
        <v>23989</v>
      </c>
    </row>
    <row r="4743" spans="1:16" x14ac:dyDescent="0.25">
      <c r="A4743" s="28" t="s">
        <v>24047</v>
      </c>
      <c r="B4743" s="28" t="s">
        <v>24048</v>
      </c>
      <c r="C4743" s="28" t="s">
        <v>4491</v>
      </c>
      <c r="D4743" s="28" t="s">
        <v>69</v>
      </c>
      <c r="E4743" s="28" t="s">
        <v>20414</v>
      </c>
      <c r="F4743" s="28" t="s">
        <v>21</v>
      </c>
      <c r="G4743" s="28" t="s">
        <v>39</v>
      </c>
      <c r="H4743" s="28" t="s">
        <v>16221</v>
      </c>
      <c r="I4743" s="28" t="s">
        <v>24049</v>
      </c>
      <c r="J4743" s="28" t="s">
        <v>39</v>
      </c>
      <c r="K4743" s="28" t="s">
        <v>16223</v>
      </c>
      <c r="L4743" s="28" t="s">
        <v>16224</v>
      </c>
      <c r="M4743" s="28" t="s">
        <v>20497</v>
      </c>
      <c r="N4743" s="28" t="s">
        <v>16226</v>
      </c>
      <c r="O4743" s="28" t="s">
        <v>16227</v>
      </c>
      <c r="P4743" s="28" t="s">
        <v>23989</v>
      </c>
    </row>
    <row r="4744" spans="1:16" x14ac:dyDescent="0.25">
      <c r="A4744" s="28" t="s">
        <v>24050</v>
      </c>
      <c r="B4744" s="28" t="s">
        <v>24051</v>
      </c>
      <c r="C4744" s="28" t="s">
        <v>4491</v>
      </c>
      <c r="D4744" s="28" t="s">
        <v>69</v>
      </c>
      <c r="E4744" s="28" t="s">
        <v>20414</v>
      </c>
      <c r="F4744" s="28" t="s">
        <v>21</v>
      </c>
      <c r="G4744" s="28" t="s">
        <v>39</v>
      </c>
      <c r="H4744" s="28" t="s">
        <v>16221</v>
      </c>
      <c r="I4744" s="28" t="s">
        <v>24052</v>
      </c>
      <c r="J4744" s="28" t="s">
        <v>39</v>
      </c>
      <c r="K4744" s="28" t="s">
        <v>16223</v>
      </c>
      <c r="L4744" s="28" t="s">
        <v>16224</v>
      </c>
      <c r="M4744" s="28" t="s">
        <v>20501</v>
      </c>
      <c r="N4744" s="28" t="s">
        <v>16226</v>
      </c>
      <c r="O4744" s="28" t="s">
        <v>16227</v>
      </c>
      <c r="P4744" s="28" t="s">
        <v>23989</v>
      </c>
    </row>
    <row r="4745" spans="1:16" x14ac:dyDescent="0.25">
      <c r="A4745" s="28" t="s">
        <v>24053</v>
      </c>
      <c r="B4745" s="28" t="s">
        <v>24054</v>
      </c>
      <c r="C4745" s="28" t="s">
        <v>4491</v>
      </c>
      <c r="D4745" s="28" t="s">
        <v>69</v>
      </c>
      <c r="E4745" s="28" t="s">
        <v>18061</v>
      </c>
      <c r="F4745" s="28" t="s">
        <v>21</v>
      </c>
      <c r="G4745" s="28" t="s">
        <v>149</v>
      </c>
      <c r="H4745" s="28" t="s">
        <v>21726</v>
      </c>
      <c r="I4745" s="28" t="s">
        <v>24055</v>
      </c>
      <c r="J4745" s="28" t="s">
        <v>149</v>
      </c>
      <c r="K4745" s="28" t="s">
        <v>22746</v>
      </c>
      <c r="L4745" s="28" t="s">
        <v>21729</v>
      </c>
      <c r="M4745" s="28" t="s">
        <v>24056</v>
      </c>
      <c r="N4745" s="28" t="s">
        <v>21731</v>
      </c>
      <c r="O4745" s="28" t="s">
        <v>21732</v>
      </c>
      <c r="P4745" s="28" t="s">
        <v>24057</v>
      </c>
    </row>
    <row r="4746" spans="1:16" x14ac:dyDescent="0.25">
      <c r="A4746" s="28" t="s">
        <v>24058</v>
      </c>
      <c r="B4746" s="28" t="s">
        <v>24059</v>
      </c>
      <c r="C4746" s="28" t="s">
        <v>4491</v>
      </c>
      <c r="D4746" s="28" t="s">
        <v>69</v>
      </c>
      <c r="E4746" s="28" t="s">
        <v>20508</v>
      </c>
      <c r="F4746" s="28" t="s">
        <v>21</v>
      </c>
      <c r="G4746" s="28" t="s">
        <v>149</v>
      </c>
      <c r="H4746" s="28" t="s">
        <v>21726</v>
      </c>
      <c r="I4746" s="28" t="s">
        <v>24060</v>
      </c>
      <c r="J4746" s="28" t="s">
        <v>149</v>
      </c>
      <c r="K4746" s="28" t="s">
        <v>22746</v>
      </c>
      <c r="L4746" s="28" t="s">
        <v>21729</v>
      </c>
      <c r="M4746" s="28" t="s">
        <v>24061</v>
      </c>
      <c r="N4746" s="28" t="s">
        <v>21731</v>
      </c>
      <c r="O4746" s="28" t="s">
        <v>21732</v>
      </c>
      <c r="P4746" s="28" t="s">
        <v>24062</v>
      </c>
    </row>
    <row r="4747" spans="1:16" x14ac:dyDescent="0.25">
      <c r="A4747" s="28" t="s">
        <v>24063</v>
      </c>
      <c r="B4747" s="28" t="s">
        <v>24064</v>
      </c>
      <c r="C4747" s="28" t="s">
        <v>4491</v>
      </c>
      <c r="D4747" s="28" t="s">
        <v>69</v>
      </c>
      <c r="E4747" s="28" t="s">
        <v>20514</v>
      </c>
      <c r="F4747" s="28" t="s">
        <v>21</v>
      </c>
      <c r="G4747" s="28" t="s">
        <v>149</v>
      </c>
      <c r="H4747" s="28" t="s">
        <v>21726</v>
      </c>
      <c r="I4747" s="28" t="s">
        <v>24065</v>
      </c>
      <c r="J4747" s="28" t="s">
        <v>149</v>
      </c>
      <c r="K4747" s="28" t="s">
        <v>22746</v>
      </c>
      <c r="L4747" s="28" t="s">
        <v>21729</v>
      </c>
      <c r="M4747" s="28" t="s">
        <v>24066</v>
      </c>
      <c r="N4747" s="28" t="s">
        <v>21731</v>
      </c>
      <c r="O4747" s="28" t="s">
        <v>21732</v>
      </c>
      <c r="P4747" s="28" t="s">
        <v>24067</v>
      </c>
    </row>
    <row r="4748" spans="1:16" x14ac:dyDescent="0.25">
      <c r="A4748" s="28" t="s">
        <v>24068</v>
      </c>
      <c r="B4748" s="28" t="s">
        <v>24069</v>
      </c>
      <c r="C4748" s="28" t="s">
        <v>4491</v>
      </c>
      <c r="D4748" s="28" t="s">
        <v>69</v>
      </c>
      <c r="E4748" s="28" t="s">
        <v>20514</v>
      </c>
      <c r="F4748" s="28" t="s">
        <v>21</v>
      </c>
      <c r="G4748" s="28" t="s">
        <v>149</v>
      </c>
      <c r="H4748" s="28" t="s">
        <v>21726</v>
      </c>
      <c r="I4748" s="28" t="s">
        <v>24070</v>
      </c>
      <c r="J4748" s="28" t="s">
        <v>149</v>
      </c>
      <c r="K4748" s="28" t="s">
        <v>22746</v>
      </c>
      <c r="L4748" s="28" t="s">
        <v>21729</v>
      </c>
      <c r="M4748" s="28" t="s">
        <v>24071</v>
      </c>
      <c r="N4748" s="28" t="s">
        <v>21731</v>
      </c>
      <c r="O4748" s="28" t="s">
        <v>21732</v>
      </c>
      <c r="P4748" s="28" t="s">
        <v>24072</v>
      </c>
    </row>
    <row r="4749" spans="1:16" x14ac:dyDescent="0.25">
      <c r="A4749" s="28" t="s">
        <v>24073</v>
      </c>
      <c r="B4749" s="28" t="s">
        <v>24074</v>
      </c>
      <c r="C4749" s="28" t="s">
        <v>4491</v>
      </c>
      <c r="D4749" s="28" t="s">
        <v>69</v>
      </c>
      <c r="E4749" s="28" t="s">
        <v>5287</v>
      </c>
      <c r="F4749" s="28" t="s">
        <v>21</v>
      </c>
      <c r="G4749" s="28" t="s">
        <v>149</v>
      </c>
      <c r="H4749" s="28" t="s">
        <v>16221</v>
      </c>
      <c r="I4749" s="28" t="s">
        <v>24075</v>
      </c>
      <c r="J4749" s="28" t="s">
        <v>149</v>
      </c>
      <c r="K4749" s="28" t="s">
        <v>17201</v>
      </c>
      <c r="L4749" s="28" t="s">
        <v>16224</v>
      </c>
      <c r="M4749" s="28" t="s">
        <v>20525</v>
      </c>
      <c r="N4749" s="28" t="s">
        <v>16226</v>
      </c>
      <c r="O4749" s="28" t="s">
        <v>16227</v>
      </c>
      <c r="P4749" s="28" t="s">
        <v>24076</v>
      </c>
    </row>
    <row r="4750" spans="1:16" x14ac:dyDescent="0.25">
      <c r="A4750" s="28" t="s">
        <v>24077</v>
      </c>
      <c r="B4750" s="28" t="s">
        <v>24078</v>
      </c>
      <c r="C4750" s="28" t="s">
        <v>4491</v>
      </c>
      <c r="D4750" s="28" t="s">
        <v>69</v>
      </c>
      <c r="E4750" s="28" t="s">
        <v>5287</v>
      </c>
      <c r="F4750" s="28" t="s">
        <v>21</v>
      </c>
      <c r="G4750" s="28" t="s">
        <v>39</v>
      </c>
      <c r="H4750" s="28" t="s">
        <v>21726</v>
      </c>
      <c r="I4750" s="28" t="s">
        <v>24079</v>
      </c>
      <c r="J4750" s="28" t="s">
        <v>39</v>
      </c>
      <c r="K4750" s="28" t="s">
        <v>24080</v>
      </c>
      <c r="L4750" s="28" t="s">
        <v>21729</v>
      </c>
      <c r="M4750" s="28" t="s">
        <v>24081</v>
      </c>
      <c r="N4750" s="28" t="s">
        <v>21731</v>
      </c>
      <c r="O4750" s="28" t="s">
        <v>21732</v>
      </c>
      <c r="P4750" s="28" t="s">
        <v>24082</v>
      </c>
    </row>
    <row r="4751" spans="1:16" x14ac:dyDescent="0.25">
      <c r="A4751" s="28" t="s">
        <v>24083</v>
      </c>
      <c r="B4751" s="28" t="s">
        <v>24084</v>
      </c>
      <c r="C4751" s="28" t="s">
        <v>4491</v>
      </c>
      <c r="D4751" s="28" t="s">
        <v>69</v>
      </c>
      <c r="E4751" s="28" t="s">
        <v>5287</v>
      </c>
      <c r="F4751" s="28" t="s">
        <v>21</v>
      </c>
      <c r="G4751" s="28" t="s">
        <v>39</v>
      </c>
      <c r="H4751" s="28" t="s">
        <v>21726</v>
      </c>
      <c r="I4751" s="28" t="s">
        <v>24085</v>
      </c>
      <c r="J4751" s="28" t="s">
        <v>39</v>
      </c>
      <c r="K4751" s="28" t="s">
        <v>24080</v>
      </c>
      <c r="L4751" s="28" t="s">
        <v>21729</v>
      </c>
      <c r="M4751" s="28" t="s">
        <v>24086</v>
      </c>
      <c r="N4751" s="28" t="s">
        <v>21731</v>
      </c>
      <c r="O4751" s="28" t="s">
        <v>21732</v>
      </c>
      <c r="P4751" s="28" t="s">
        <v>24087</v>
      </c>
    </row>
    <row r="4752" spans="1:16" x14ac:dyDescent="0.25">
      <c r="A4752" s="28" t="s">
        <v>24088</v>
      </c>
      <c r="B4752" s="28" t="s">
        <v>24089</v>
      </c>
      <c r="C4752" s="28" t="s">
        <v>4491</v>
      </c>
      <c r="D4752" s="28" t="s">
        <v>69</v>
      </c>
      <c r="E4752" s="28" t="s">
        <v>5287</v>
      </c>
      <c r="F4752" s="28" t="s">
        <v>21</v>
      </c>
      <c r="G4752" s="28" t="s">
        <v>39</v>
      </c>
      <c r="H4752" s="28" t="s">
        <v>21726</v>
      </c>
      <c r="I4752" s="28" t="s">
        <v>24090</v>
      </c>
      <c r="J4752" s="28" t="s">
        <v>39</v>
      </c>
      <c r="K4752" s="28" t="s">
        <v>24080</v>
      </c>
      <c r="L4752" s="28" t="s">
        <v>21729</v>
      </c>
      <c r="M4752" s="28" t="s">
        <v>24091</v>
      </c>
      <c r="N4752" s="28" t="s">
        <v>21731</v>
      </c>
      <c r="O4752" s="28" t="s">
        <v>21732</v>
      </c>
      <c r="P4752" s="28" t="s">
        <v>24092</v>
      </c>
    </row>
    <row r="4753" spans="1:16" x14ac:dyDescent="0.25">
      <c r="A4753" s="28" t="s">
        <v>24093</v>
      </c>
      <c r="B4753" s="28" t="s">
        <v>24094</v>
      </c>
      <c r="C4753" s="28" t="s">
        <v>4491</v>
      </c>
      <c r="D4753" s="28" t="s">
        <v>69</v>
      </c>
      <c r="E4753" s="28" t="s">
        <v>5287</v>
      </c>
      <c r="F4753" s="28" t="s">
        <v>21</v>
      </c>
      <c r="G4753" s="28" t="s">
        <v>39</v>
      </c>
      <c r="H4753" s="28" t="s">
        <v>21726</v>
      </c>
      <c r="I4753" s="28" t="s">
        <v>24095</v>
      </c>
      <c r="J4753" s="28" t="s">
        <v>39</v>
      </c>
      <c r="K4753" s="28" t="s">
        <v>24080</v>
      </c>
      <c r="L4753" s="28" t="s">
        <v>21729</v>
      </c>
      <c r="M4753" s="28" t="s">
        <v>24096</v>
      </c>
      <c r="N4753" s="28" t="s">
        <v>21731</v>
      </c>
      <c r="O4753" s="28" t="s">
        <v>21732</v>
      </c>
      <c r="P4753" s="28" t="s">
        <v>24097</v>
      </c>
    </row>
    <row r="4754" spans="1:16" x14ac:dyDescent="0.25">
      <c r="A4754" s="28" t="s">
        <v>24098</v>
      </c>
      <c r="B4754" s="28" t="s">
        <v>24099</v>
      </c>
      <c r="C4754" s="28" t="s">
        <v>4491</v>
      </c>
      <c r="D4754" s="28" t="s">
        <v>69</v>
      </c>
      <c r="E4754" s="28" t="s">
        <v>18079</v>
      </c>
      <c r="F4754" s="28" t="s">
        <v>21</v>
      </c>
      <c r="G4754" s="28" t="s">
        <v>149</v>
      </c>
      <c r="H4754" s="28" t="s">
        <v>21726</v>
      </c>
      <c r="I4754" s="28" t="s">
        <v>24100</v>
      </c>
      <c r="J4754" s="28" t="s">
        <v>149</v>
      </c>
      <c r="K4754" s="28" t="s">
        <v>22746</v>
      </c>
      <c r="L4754" s="28" t="s">
        <v>21729</v>
      </c>
      <c r="M4754" s="28" t="s">
        <v>24101</v>
      </c>
      <c r="N4754" s="28" t="s">
        <v>21731</v>
      </c>
      <c r="O4754" s="28" t="s">
        <v>21732</v>
      </c>
      <c r="P4754" s="28" t="s">
        <v>24102</v>
      </c>
    </row>
    <row r="4755" spans="1:16" x14ac:dyDescent="0.25">
      <c r="A4755" s="28" t="s">
        <v>24103</v>
      </c>
      <c r="B4755" s="28" t="s">
        <v>24104</v>
      </c>
      <c r="C4755" s="28" t="s">
        <v>4491</v>
      </c>
      <c r="D4755" s="28" t="s">
        <v>2541</v>
      </c>
      <c r="E4755" s="28" t="s">
        <v>20533</v>
      </c>
      <c r="F4755" s="28" t="s">
        <v>21</v>
      </c>
      <c r="G4755" s="28" t="s">
        <v>39</v>
      </c>
      <c r="H4755" s="28" t="s">
        <v>16221</v>
      </c>
      <c r="I4755" s="28" t="s">
        <v>24105</v>
      </c>
      <c r="J4755" s="28" t="s">
        <v>39</v>
      </c>
      <c r="K4755" s="28" t="s">
        <v>16223</v>
      </c>
      <c r="L4755" s="28" t="s">
        <v>16224</v>
      </c>
      <c r="M4755" s="28" t="s">
        <v>20535</v>
      </c>
      <c r="N4755" s="28" t="s">
        <v>16226</v>
      </c>
      <c r="O4755" s="28" t="s">
        <v>16227</v>
      </c>
      <c r="P4755" s="28" t="s">
        <v>24106</v>
      </c>
    </row>
    <row r="4756" spans="1:16" x14ac:dyDescent="0.25">
      <c r="A4756" s="28" t="s">
        <v>24107</v>
      </c>
      <c r="B4756" s="28" t="s">
        <v>24108</v>
      </c>
      <c r="C4756" s="28" t="s">
        <v>4491</v>
      </c>
      <c r="D4756" s="28" t="s">
        <v>2541</v>
      </c>
      <c r="E4756" s="28" t="s">
        <v>20533</v>
      </c>
      <c r="F4756" s="28" t="s">
        <v>21</v>
      </c>
      <c r="G4756" s="28" t="s">
        <v>39</v>
      </c>
      <c r="H4756" s="28" t="s">
        <v>16221</v>
      </c>
      <c r="I4756" s="28" t="s">
        <v>24109</v>
      </c>
      <c r="J4756" s="28" t="s">
        <v>39</v>
      </c>
      <c r="K4756" s="28" t="s">
        <v>16223</v>
      </c>
      <c r="L4756" s="28" t="s">
        <v>16224</v>
      </c>
      <c r="M4756" s="28" t="s">
        <v>20540</v>
      </c>
      <c r="N4756" s="28" t="s">
        <v>16226</v>
      </c>
      <c r="O4756" s="28" t="s">
        <v>16227</v>
      </c>
      <c r="P4756" s="28" t="s">
        <v>24106</v>
      </c>
    </row>
    <row r="4757" spans="1:16" x14ac:dyDescent="0.25">
      <c r="A4757" s="28" t="s">
        <v>24110</v>
      </c>
      <c r="B4757" s="28" t="s">
        <v>24111</v>
      </c>
      <c r="C4757" s="28" t="s">
        <v>4491</v>
      </c>
      <c r="D4757" s="28" t="s">
        <v>1271</v>
      </c>
      <c r="E4757" s="28" t="s">
        <v>20543</v>
      </c>
      <c r="F4757" s="28" t="s">
        <v>21</v>
      </c>
      <c r="G4757" s="28" t="s">
        <v>39</v>
      </c>
      <c r="H4757" s="28" t="s">
        <v>16221</v>
      </c>
      <c r="I4757" s="28" t="s">
        <v>24112</v>
      </c>
      <c r="J4757" s="28" t="s">
        <v>39</v>
      </c>
      <c r="K4757" s="28" t="s">
        <v>16223</v>
      </c>
      <c r="L4757" s="28" t="s">
        <v>16224</v>
      </c>
      <c r="M4757" s="28" t="s">
        <v>20545</v>
      </c>
      <c r="N4757" s="28" t="s">
        <v>16226</v>
      </c>
      <c r="O4757" s="28" t="s">
        <v>16227</v>
      </c>
      <c r="P4757" s="28" t="s">
        <v>24113</v>
      </c>
    </row>
    <row r="4758" spans="1:16" x14ac:dyDescent="0.25">
      <c r="A4758" s="28" t="s">
        <v>24114</v>
      </c>
      <c r="B4758" s="28" t="s">
        <v>24115</v>
      </c>
      <c r="C4758" s="28" t="s">
        <v>4491</v>
      </c>
      <c r="D4758" s="28" t="s">
        <v>1271</v>
      </c>
      <c r="E4758" s="28" t="s">
        <v>20549</v>
      </c>
      <c r="F4758" s="28" t="s">
        <v>21</v>
      </c>
      <c r="G4758" s="28" t="s">
        <v>149</v>
      </c>
      <c r="H4758" s="28" t="s">
        <v>21726</v>
      </c>
      <c r="I4758" s="28" t="s">
        <v>24116</v>
      </c>
      <c r="J4758" s="28" t="s">
        <v>149</v>
      </c>
      <c r="K4758" s="28" t="s">
        <v>22746</v>
      </c>
      <c r="L4758" s="28" t="s">
        <v>21729</v>
      </c>
      <c r="M4758" s="28" t="s">
        <v>24117</v>
      </c>
      <c r="N4758" s="28" t="s">
        <v>21731</v>
      </c>
      <c r="O4758" s="28" t="s">
        <v>21732</v>
      </c>
      <c r="P4758" s="28" t="s">
        <v>24118</v>
      </c>
    </row>
    <row r="4759" spans="1:16" x14ac:dyDescent="0.25">
      <c r="A4759" s="28" t="s">
        <v>24119</v>
      </c>
      <c r="B4759" s="28" t="s">
        <v>24120</v>
      </c>
      <c r="C4759" s="28" t="s">
        <v>4491</v>
      </c>
      <c r="D4759" s="28" t="s">
        <v>1271</v>
      </c>
      <c r="E4759" s="28" t="s">
        <v>14019</v>
      </c>
      <c r="F4759" s="28" t="s">
        <v>21</v>
      </c>
      <c r="G4759" s="28" t="s">
        <v>39</v>
      </c>
      <c r="H4759" s="28" t="s">
        <v>16221</v>
      </c>
      <c r="I4759" s="28" t="s">
        <v>24121</v>
      </c>
      <c r="J4759" s="28" t="s">
        <v>39</v>
      </c>
      <c r="K4759" s="28" t="s">
        <v>16223</v>
      </c>
      <c r="L4759" s="28" t="s">
        <v>16224</v>
      </c>
      <c r="M4759" s="28" t="s">
        <v>20556</v>
      </c>
      <c r="N4759" s="28" t="s">
        <v>16226</v>
      </c>
      <c r="O4759" s="28" t="s">
        <v>16227</v>
      </c>
      <c r="P4759" s="28" t="s">
        <v>22348</v>
      </c>
    </row>
    <row r="4760" spans="1:16" x14ac:dyDescent="0.25">
      <c r="A4760" s="28" t="s">
        <v>24122</v>
      </c>
      <c r="B4760" s="28" t="s">
        <v>24123</v>
      </c>
      <c r="C4760" s="28" t="s">
        <v>4491</v>
      </c>
      <c r="D4760" s="28" t="s">
        <v>1271</v>
      </c>
      <c r="E4760" s="28" t="s">
        <v>14024</v>
      </c>
      <c r="F4760" s="28" t="s">
        <v>21</v>
      </c>
      <c r="G4760" s="28" t="s">
        <v>39</v>
      </c>
      <c r="H4760" s="28" t="s">
        <v>16221</v>
      </c>
      <c r="I4760" s="28" t="s">
        <v>24124</v>
      </c>
      <c r="J4760" s="28" t="s">
        <v>39</v>
      </c>
      <c r="K4760" s="28" t="s">
        <v>16223</v>
      </c>
      <c r="L4760" s="28" t="s">
        <v>16224</v>
      </c>
      <c r="M4760" s="28" t="s">
        <v>20560</v>
      </c>
      <c r="N4760" s="28" t="s">
        <v>16226</v>
      </c>
      <c r="O4760" s="28" t="s">
        <v>16227</v>
      </c>
      <c r="P4760" s="28" t="s">
        <v>22352</v>
      </c>
    </row>
    <row r="4761" spans="1:16" x14ac:dyDescent="0.25">
      <c r="A4761" s="28" t="s">
        <v>24125</v>
      </c>
      <c r="B4761" s="28" t="s">
        <v>24126</v>
      </c>
      <c r="C4761" s="28" t="s">
        <v>4491</v>
      </c>
      <c r="D4761" s="28" t="s">
        <v>1271</v>
      </c>
      <c r="E4761" s="28" t="s">
        <v>14029</v>
      </c>
      <c r="F4761" s="28" t="s">
        <v>21</v>
      </c>
      <c r="G4761" s="28" t="s">
        <v>39</v>
      </c>
      <c r="H4761" s="28" t="s">
        <v>16221</v>
      </c>
      <c r="I4761" s="28" t="s">
        <v>24127</v>
      </c>
      <c r="J4761" s="28" t="s">
        <v>39</v>
      </c>
      <c r="K4761" s="28" t="s">
        <v>16223</v>
      </c>
      <c r="L4761" s="28" t="s">
        <v>16224</v>
      </c>
      <c r="M4761" s="28" t="s">
        <v>20564</v>
      </c>
      <c r="N4761" s="28" t="s">
        <v>16226</v>
      </c>
      <c r="O4761" s="28" t="s">
        <v>16227</v>
      </c>
      <c r="P4761" s="28" t="s">
        <v>22356</v>
      </c>
    </row>
    <row r="4762" spans="1:16" x14ac:dyDescent="0.25">
      <c r="A4762" s="28" t="s">
        <v>24128</v>
      </c>
      <c r="B4762" s="28" t="s">
        <v>24129</v>
      </c>
      <c r="C4762" s="28" t="s">
        <v>4491</v>
      </c>
      <c r="D4762" s="28" t="s">
        <v>1271</v>
      </c>
      <c r="E4762" s="28" t="s">
        <v>14029</v>
      </c>
      <c r="F4762" s="28" t="s">
        <v>21</v>
      </c>
      <c r="G4762" s="28" t="s">
        <v>39</v>
      </c>
      <c r="H4762" s="28" t="s">
        <v>16221</v>
      </c>
      <c r="I4762" s="28" t="s">
        <v>24130</v>
      </c>
      <c r="J4762" s="28" t="s">
        <v>39</v>
      </c>
      <c r="K4762" s="28" t="s">
        <v>16223</v>
      </c>
      <c r="L4762" s="28" t="s">
        <v>16224</v>
      </c>
      <c r="M4762" s="28" t="s">
        <v>20568</v>
      </c>
      <c r="N4762" s="28" t="s">
        <v>16226</v>
      </c>
      <c r="O4762" s="28" t="s">
        <v>16227</v>
      </c>
      <c r="P4762" s="28" t="s">
        <v>22356</v>
      </c>
    </row>
    <row r="4763" spans="1:16" x14ac:dyDescent="0.25">
      <c r="A4763" s="28" t="s">
        <v>24131</v>
      </c>
      <c r="B4763" s="28" t="s">
        <v>24132</v>
      </c>
      <c r="C4763" s="28" t="s">
        <v>4491</v>
      </c>
      <c r="D4763" s="28" t="s">
        <v>1271</v>
      </c>
      <c r="E4763" s="28" t="s">
        <v>14254</v>
      </c>
      <c r="F4763" s="28" t="s">
        <v>21</v>
      </c>
      <c r="G4763" s="28" t="s">
        <v>39</v>
      </c>
      <c r="H4763" s="28" t="s">
        <v>16221</v>
      </c>
      <c r="I4763" s="28" t="s">
        <v>24133</v>
      </c>
      <c r="J4763" s="28" t="s">
        <v>39</v>
      </c>
      <c r="K4763" s="28" t="s">
        <v>16223</v>
      </c>
      <c r="L4763" s="28" t="s">
        <v>16224</v>
      </c>
      <c r="M4763" s="28" t="s">
        <v>20572</v>
      </c>
      <c r="N4763" s="28" t="s">
        <v>16226</v>
      </c>
      <c r="O4763" s="28" t="s">
        <v>16227</v>
      </c>
      <c r="P4763" s="28" t="s">
        <v>22363</v>
      </c>
    </row>
    <row r="4764" spans="1:16" x14ac:dyDescent="0.25">
      <c r="A4764" s="28" t="s">
        <v>24134</v>
      </c>
      <c r="B4764" s="28" t="s">
        <v>24135</v>
      </c>
      <c r="C4764" s="28" t="s">
        <v>4491</v>
      </c>
      <c r="D4764" s="28" t="s">
        <v>1271</v>
      </c>
      <c r="E4764" s="28" t="s">
        <v>14758</v>
      </c>
      <c r="F4764" s="28" t="s">
        <v>21</v>
      </c>
      <c r="G4764" s="28" t="s">
        <v>39</v>
      </c>
      <c r="H4764" s="28" t="s">
        <v>16221</v>
      </c>
      <c r="I4764" s="28" t="s">
        <v>24136</v>
      </c>
      <c r="J4764" s="28" t="s">
        <v>39</v>
      </c>
      <c r="K4764" s="28" t="s">
        <v>16223</v>
      </c>
      <c r="L4764" s="28" t="s">
        <v>16224</v>
      </c>
      <c r="M4764" s="28" t="s">
        <v>20576</v>
      </c>
      <c r="N4764" s="28" t="s">
        <v>16226</v>
      </c>
      <c r="O4764" s="28" t="s">
        <v>16227</v>
      </c>
      <c r="P4764" s="28" t="s">
        <v>24137</v>
      </c>
    </row>
    <row r="4765" spans="1:16" x14ac:dyDescent="0.25">
      <c r="A4765" s="28" t="s">
        <v>24138</v>
      </c>
      <c r="B4765" s="28" t="s">
        <v>24139</v>
      </c>
      <c r="C4765" s="28" t="s">
        <v>4491</v>
      </c>
      <c r="D4765" s="28" t="s">
        <v>1271</v>
      </c>
      <c r="E4765" s="28" t="s">
        <v>18121</v>
      </c>
      <c r="F4765" s="28" t="s">
        <v>21</v>
      </c>
      <c r="G4765" s="28" t="s">
        <v>39</v>
      </c>
      <c r="H4765" s="28" t="s">
        <v>16221</v>
      </c>
      <c r="I4765" s="28" t="s">
        <v>24140</v>
      </c>
      <c r="J4765" s="28" t="s">
        <v>39</v>
      </c>
      <c r="K4765" s="28" t="s">
        <v>16223</v>
      </c>
      <c r="L4765" s="28" t="s">
        <v>16224</v>
      </c>
      <c r="M4765" s="28" t="s">
        <v>20581</v>
      </c>
      <c r="N4765" s="28" t="s">
        <v>16226</v>
      </c>
      <c r="O4765" s="28" t="s">
        <v>16227</v>
      </c>
      <c r="P4765" s="28" t="s">
        <v>22367</v>
      </c>
    </row>
    <row r="4766" spans="1:16" x14ac:dyDescent="0.25">
      <c r="A4766" s="28" t="s">
        <v>24141</v>
      </c>
      <c r="B4766" s="28" t="s">
        <v>24142</v>
      </c>
      <c r="C4766" s="28" t="s">
        <v>4491</v>
      </c>
      <c r="D4766" s="28" t="s">
        <v>1271</v>
      </c>
      <c r="E4766" s="28" t="s">
        <v>18121</v>
      </c>
      <c r="F4766" s="28" t="s">
        <v>21</v>
      </c>
      <c r="G4766" s="28" t="s">
        <v>39</v>
      </c>
      <c r="H4766" s="28" t="s">
        <v>16221</v>
      </c>
      <c r="I4766" s="28" t="s">
        <v>24143</v>
      </c>
      <c r="J4766" s="28" t="s">
        <v>39</v>
      </c>
      <c r="K4766" s="28" t="s">
        <v>16223</v>
      </c>
      <c r="L4766" s="28" t="s">
        <v>16224</v>
      </c>
      <c r="M4766" s="28" t="s">
        <v>20585</v>
      </c>
      <c r="N4766" s="28" t="s">
        <v>16226</v>
      </c>
      <c r="O4766" s="28" t="s">
        <v>16227</v>
      </c>
      <c r="P4766" s="28" t="s">
        <v>22367</v>
      </c>
    </row>
    <row r="4767" spans="1:16" x14ac:dyDescent="0.25">
      <c r="A4767" s="28" t="s">
        <v>24144</v>
      </c>
      <c r="B4767" s="28" t="s">
        <v>24145</v>
      </c>
      <c r="C4767" s="28" t="s">
        <v>4491</v>
      </c>
      <c r="D4767" s="28" t="s">
        <v>1271</v>
      </c>
      <c r="E4767" s="28" t="s">
        <v>20588</v>
      </c>
      <c r="F4767" s="28" t="s">
        <v>21</v>
      </c>
      <c r="G4767" s="28" t="s">
        <v>39</v>
      </c>
      <c r="H4767" s="28" t="s">
        <v>16221</v>
      </c>
      <c r="I4767" s="28" t="s">
        <v>24146</v>
      </c>
      <c r="J4767" s="28" t="s">
        <v>39</v>
      </c>
      <c r="K4767" s="28" t="s">
        <v>16223</v>
      </c>
      <c r="L4767" s="28" t="s">
        <v>16224</v>
      </c>
      <c r="M4767" s="28" t="s">
        <v>20590</v>
      </c>
      <c r="N4767" s="28" t="s">
        <v>16226</v>
      </c>
      <c r="O4767" s="28" t="s">
        <v>16227</v>
      </c>
      <c r="P4767" s="28" t="s">
        <v>24147</v>
      </c>
    </row>
    <row r="4768" spans="1:16" x14ac:dyDescent="0.25">
      <c r="A4768" s="28" t="s">
        <v>24148</v>
      </c>
      <c r="B4768" s="28" t="s">
        <v>24149</v>
      </c>
      <c r="C4768" s="28" t="s">
        <v>4491</v>
      </c>
      <c r="D4768" s="28" t="s">
        <v>1271</v>
      </c>
      <c r="E4768" s="28" t="s">
        <v>20594</v>
      </c>
      <c r="F4768" s="28" t="s">
        <v>21</v>
      </c>
      <c r="G4768" s="28" t="s">
        <v>39</v>
      </c>
      <c r="H4768" s="28" t="s">
        <v>16221</v>
      </c>
      <c r="I4768" s="28" t="s">
        <v>24150</v>
      </c>
      <c r="J4768" s="28" t="s">
        <v>39</v>
      </c>
      <c r="K4768" s="28" t="s">
        <v>16223</v>
      </c>
      <c r="L4768" s="28" t="s">
        <v>16224</v>
      </c>
      <c r="M4768" s="28" t="s">
        <v>20596</v>
      </c>
      <c r="N4768" s="28" t="s">
        <v>16226</v>
      </c>
      <c r="O4768" s="28" t="s">
        <v>16227</v>
      </c>
      <c r="P4768" s="28" t="s">
        <v>24151</v>
      </c>
    </row>
    <row r="4769" spans="1:16" x14ac:dyDescent="0.25">
      <c r="A4769" s="28" t="s">
        <v>24152</v>
      </c>
      <c r="B4769" s="28" t="s">
        <v>24153</v>
      </c>
      <c r="C4769" s="28" t="s">
        <v>4491</v>
      </c>
      <c r="D4769" s="28" t="s">
        <v>1271</v>
      </c>
      <c r="E4769" s="28" t="s">
        <v>20600</v>
      </c>
      <c r="F4769" s="28" t="s">
        <v>21</v>
      </c>
      <c r="G4769" s="28" t="s">
        <v>39</v>
      </c>
      <c r="H4769" s="28" t="s">
        <v>16221</v>
      </c>
      <c r="I4769" s="28" t="s">
        <v>24154</v>
      </c>
      <c r="J4769" s="28" t="s">
        <v>39</v>
      </c>
      <c r="K4769" s="28" t="s">
        <v>16223</v>
      </c>
      <c r="L4769" s="28" t="s">
        <v>16224</v>
      </c>
      <c r="M4769" s="28" t="s">
        <v>20602</v>
      </c>
      <c r="N4769" s="28" t="s">
        <v>16226</v>
      </c>
      <c r="O4769" s="28" t="s">
        <v>16227</v>
      </c>
      <c r="P4769" s="28" t="s">
        <v>24155</v>
      </c>
    </row>
    <row r="4770" spans="1:16" x14ac:dyDescent="0.25">
      <c r="A4770" s="28" t="s">
        <v>24156</v>
      </c>
      <c r="B4770" s="28" t="s">
        <v>24157</v>
      </c>
      <c r="C4770" s="28" t="s">
        <v>4491</v>
      </c>
      <c r="D4770" s="28" t="s">
        <v>1271</v>
      </c>
      <c r="E4770" s="28" t="s">
        <v>20606</v>
      </c>
      <c r="F4770" s="28" t="s">
        <v>21</v>
      </c>
      <c r="G4770" s="28" t="s">
        <v>39</v>
      </c>
      <c r="H4770" s="28" t="s">
        <v>16221</v>
      </c>
      <c r="I4770" s="28" t="s">
        <v>24158</v>
      </c>
      <c r="J4770" s="28" t="s">
        <v>39</v>
      </c>
      <c r="K4770" s="28" t="s">
        <v>16223</v>
      </c>
      <c r="L4770" s="28" t="s">
        <v>16224</v>
      </c>
      <c r="M4770" s="28" t="s">
        <v>20608</v>
      </c>
      <c r="N4770" s="28" t="s">
        <v>16226</v>
      </c>
      <c r="O4770" s="28" t="s">
        <v>16227</v>
      </c>
      <c r="P4770" s="28" t="s">
        <v>24159</v>
      </c>
    </row>
    <row r="4771" spans="1:16" x14ac:dyDescent="0.25">
      <c r="A4771" s="28" t="s">
        <v>24160</v>
      </c>
      <c r="B4771" s="28" t="s">
        <v>24161</v>
      </c>
      <c r="C4771" s="28" t="s">
        <v>4491</v>
      </c>
      <c r="D4771" s="28" t="s">
        <v>1271</v>
      </c>
      <c r="E4771" s="28" t="s">
        <v>20612</v>
      </c>
      <c r="F4771" s="28" t="s">
        <v>21</v>
      </c>
      <c r="G4771" s="28" t="s">
        <v>39</v>
      </c>
      <c r="H4771" s="28" t="s">
        <v>16221</v>
      </c>
      <c r="I4771" s="28" t="s">
        <v>24162</v>
      </c>
      <c r="J4771" s="28" t="s">
        <v>39</v>
      </c>
      <c r="K4771" s="28" t="s">
        <v>16223</v>
      </c>
      <c r="L4771" s="28" t="s">
        <v>16224</v>
      </c>
      <c r="M4771" s="28" t="s">
        <v>20614</v>
      </c>
      <c r="N4771" s="28" t="s">
        <v>16226</v>
      </c>
      <c r="O4771" s="28" t="s">
        <v>16227</v>
      </c>
      <c r="P4771" s="28" t="s">
        <v>24163</v>
      </c>
    </row>
    <row r="4772" spans="1:16" x14ac:dyDescent="0.25">
      <c r="A4772" s="28" t="s">
        <v>24164</v>
      </c>
      <c r="B4772" s="28" t="s">
        <v>24165</v>
      </c>
      <c r="C4772" s="28" t="s">
        <v>4491</v>
      </c>
      <c r="D4772" s="28" t="s">
        <v>1271</v>
      </c>
      <c r="E4772" s="28" t="s">
        <v>20618</v>
      </c>
      <c r="F4772" s="28" t="s">
        <v>21</v>
      </c>
      <c r="G4772" s="28" t="s">
        <v>39</v>
      </c>
      <c r="H4772" s="28" t="s">
        <v>16221</v>
      </c>
      <c r="I4772" s="28" t="s">
        <v>24166</v>
      </c>
      <c r="J4772" s="28" t="s">
        <v>39</v>
      </c>
      <c r="K4772" s="28" t="s">
        <v>16223</v>
      </c>
      <c r="L4772" s="28" t="s">
        <v>16224</v>
      </c>
      <c r="M4772" s="28" t="s">
        <v>20620</v>
      </c>
      <c r="N4772" s="28" t="s">
        <v>16226</v>
      </c>
      <c r="O4772" s="28" t="s">
        <v>16227</v>
      </c>
      <c r="P4772" s="28" t="s">
        <v>24167</v>
      </c>
    </row>
    <row r="4773" spans="1:16" x14ac:dyDescent="0.25">
      <c r="A4773" s="28" t="s">
        <v>24168</v>
      </c>
      <c r="B4773" s="28" t="s">
        <v>24169</v>
      </c>
      <c r="C4773" s="28" t="s">
        <v>4491</v>
      </c>
      <c r="D4773" s="28" t="s">
        <v>1271</v>
      </c>
      <c r="E4773" s="28" t="s">
        <v>20624</v>
      </c>
      <c r="F4773" s="28" t="s">
        <v>21</v>
      </c>
      <c r="G4773" s="28" t="s">
        <v>39</v>
      </c>
      <c r="H4773" s="28" t="s">
        <v>16221</v>
      </c>
      <c r="I4773" s="28" t="s">
        <v>24170</v>
      </c>
      <c r="J4773" s="28" t="s">
        <v>39</v>
      </c>
      <c r="K4773" s="28" t="s">
        <v>16223</v>
      </c>
      <c r="L4773" s="28" t="s">
        <v>16224</v>
      </c>
      <c r="M4773" s="28" t="s">
        <v>20626</v>
      </c>
      <c r="N4773" s="28" t="s">
        <v>16226</v>
      </c>
      <c r="O4773" s="28" t="s">
        <v>16227</v>
      </c>
      <c r="P4773" s="28" t="s">
        <v>24171</v>
      </c>
    </row>
    <row r="4774" spans="1:16" x14ac:dyDescent="0.25">
      <c r="A4774" s="28" t="s">
        <v>24172</v>
      </c>
      <c r="B4774" s="28" t="s">
        <v>24173</v>
      </c>
      <c r="C4774" s="28" t="s">
        <v>4491</v>
      </c>
      <c r="D4774" s="28" t="s">
        <v>1271</v>
      </c>
      <c r="E4774" s="28" t="s">
        <v>20630</v>
      </c>
      <c r="F4774" s="28" t="s">
        <v>21</v>
      </c>
      <c r="G4774" s="28" t="s">
        <v>39</v>
      </c>
      <c r="H4774" s="28" t="s">
        <v>16221</v>
      </c>
      <c r="I4774" s="28" t="s">
        <v>24174</v>
      </c>
      <c r="J4774" s="28" t="s">
        <v>39</v>
      </c>
      <c r="K4774" s="28" t="s">
        <v>16223</v>
      </c>
      <c r="L4774" s="28" t="s">
        <v>16224</v>
      </c>
      <c r="M4774" s="28" t="s">
        <v>20632</v>
      </c>
      <c r="N4774" s="28" t="s">
        <v>16226</v>
      </c>
      <c r="O4774" s="28" t="s">
        <v>16227</v>
      </c>
      <c r="P4774" s="28" t="s">
        <v>24175</v>
      </c>
    </row>
    <row r="4775" spans="1:16" x14ac:dyDescent="0.25">
      <c r="A4775" s="28" t="s">
        <v>24176</v>
      </c>
      <c r="B4775" s="28" t="s">
        <v>24177</v>
      </c>
      <c r="C4775" s="28" t="s">
        <v>4491</v>
      </c>
      <c r="D4775" s="28" t="s">
        <v>1271</v>
      </c>
      <c r="E4775" s="28" t="s">
        <v>1300</v>
      </c>
      <c r="F4775" s="28" t="s">
        <v>21</v>
      </c>
      <c r="G4775" s="28" t="s">
        <v>39</v>
      </c>
      <c r="H4775" s="28" t="s">
        <v>16221</v>
      </c>
      <c r="I4775" s="28" t="s">
        <v>24178</v>
      </c>
      <c r="J4775" s="28" t="s">
        <v>39</v>
      </c>
      <c r="K4775" s="28" t="s">
        <v>16223</v>
      </c>
      <c r="L4775" s="28" t="s">
        <v>16224</v>
      </c>
      <c r="M4775" s="28" t="s">
        <v>20637</v>
      </c>
      <c r="N4775" s="28" t="s">
        <v>16226</v>
      </c>
      <c r="O4775" s="28" t="s">
        <v>16227</v>
      </c>
      <c r="P4775" s="28" t="s">
        <v>22371</v>
      </c>
    </row>
    <row r="4776" spans="1:16" x14ac:dyDescent="0.25">
      <c r="A4776" s="28" t="s">
        <v>24179</v>
      </c>
      <c r="B4776" s="28" t="s">
        <v>24180</v>
      </c>
      <c r="C4776" s="28" t="s">
        <v>4491</v>
      </c>
      <c r="D4776" s="28" t="s">
        <v>1271</v>
      </c>
      <c r="E4776" s="28" t="s">
        <v>14836</v>
      </c>
      <c r="F4776" s="28" t="s">
        <v>21</v>
      </c>
      <c r="G4776" s="28" t="s">
        <v>39</v>
      </c>
      <c r="H4776" s="28" t="s">
        <v>16221</v>
      </c>
      <c r="I4776" s="28" t="s">
        <v>24181</v>
      </c>
      <c r="J4776" s="28" t="s">
        <v>39</v>
      </c>
      <c r="K4776" s="28" t="s">
        <v>16223</v>
      </c>
      <c r="L4776" s="28" t="s">
        <v>16224</v>
      </c>
      <c r="M4776" s="28" t="s">
        <v>20641</v>
      </c>
      <c r="N4776" s="28" t="s">
        <v>16226</v>
      </c>
      <c r="O4776" s="28" t="s">
        <v>16227</v>
      </c>
      <c r="P4776" s="28" t="s">
        <v>24182</v>
      </c>
    </row>
    <row r="4777" spans="1:16" x14ac:dyDescent="0.25">
      <c r="A4777" s="28" t="s">
        <v>24183</v>
      </c>
      <c r="B4777" s="28" t="s">
        <v>24184</v>
      </c>
      <c r="C4777" s="28" t="s">
        <v>4491</v>
      </c>
      <c r="D4777" s="28" t="s">
        <v>2583</v>
      </c>
      <c r="E4777" s="28" t="s">
        <v>14932</v>
      </c>
      <c r="F4777" s="28" t="s">
        <v>21</v>
      </c>
      <c r="G4777" s="28" t="s">
        <v>39</v>
      </c>
      <c r="H4777" s="28" t="s">
        <v>16221</v>
      </c>
      <c r="I4777" s="28" t="s">
        <v>24185</v>
      </c>
      <c r="J4777" s="28" t="s">
        <v>39</v>
      </c>
      <c r="K4777" s="28" t="s">
        <v>16223</v>
      </c>
      <c r="L4777" s="28" t="s">
        <v>16224</v>
      </c>
      <c r="M4777" s="28" t="s">
        <v>20646</v>
      </c>
      <c r="N4777" s="28" t="s">
        <v>16226</v>
      </c>
      <c r="O4777" s="28" t="s">
        <v>16227</v>
      </c>
      <c r="P4777" s="28" t="s">
        <v>22375</v>
      </c>
    </row>
    <row r="4778" spans="1:16" x14ac:dyDescent="0.25">
      <c r="A4778" s="28" t="s">
        <v>24186</v>
      </c>
      <c r="B4778" s="28" t="s">
        <v>24187</v>
      </c>
      <c r="C4778" s="28" t="s">
        <v>4491</v>
      </c>
      <c r="D4778" s="28" t="s">
        <v>2583</v>
      </c>
      <c r="E4778" s="28" t="s">
        <v>14932</v>
      </c>
      <c r="F4778" s="28" t="s">
        <v>21</v>
      </c>
      <c r="G4778" s="28" t="s">
        <v>39</v>
      </c>
      <c r="H4778" s="28" t="s">
        <v>16221</v>
      </c>
      <c r="I4778" s="28" t="s">
        <v>24188</v>
      </c>
      <c r="J4778" s="28" t="s">
        <v>39</v>
      </c>
      <c r="K4778" s="28" t="s">
        <v>16223</v>
      </c>
      <c r="L4778" s="28" t="s">
        <v>16224</v>
      </c>
      <c r="M4778" s="28" t="s">
        <v>20650</v>
      </c>
      <c r="N4778" s="28" t="s">
        <v>16226</v>
      </c>
      <c r="O4778" s="28" t="s">
        <v>16227</v>
      </c>
      <c r="P4778" s="28" t="s">
        <v>22375</v>
      </c>
    </row>
    <row r="4779" spans="1:16" x14ac:dyDescent="0.25">
      <c r="A4779" s="28" t="s">
        <v>24189</v>
      </c>
      <c r="B4779" s="28" t="s">
        <v>24190</v>
      </c>
      <c r="C4779" s="28" t="s">
        <v>4491</v>
      </c>
      <c r="D4779" s="28" t="s">
        <v>2583</v>
      </c>
      <c r="E4779" s="28" t="s">
        <v>14932</v>
      </c>
      <c r="F4779" s="28" t="s">
        <v>21</v>
      </c>
      <c r="G4779" s="28" t="s">
        <v>39</v>
      </c>
      <c r="H4779" s="28" t="s">
        <v>16221</v>
      </c>
      <c r="I4779" s="28" t="s">
        <v>24191</v>
      </c>
      <c r="J4779" s="28" t="s">
        <v>39</v>
      </c>
      <c r="K4779" s="28" t="s">
        <v>16223</v>
      </c>
      <c r="L4779" s="28" t="s">
        <v>16224</v>
      </c>
      <c r="M4779" s="28" t="s">
        <v>20654</v>
      </c>
      <c r="N4779" s="28" t="s">
        <v>16226</v>
      </c>
      <c r="O4779" s="28" t="s">
        <v>16227</v>
      </c>
      <c r="P4779" s="28" t="s">
        <v>22375</v>
      </c>
    </row>
    <row r="4780" spans="1:16" x14ac:dyDescent="0.25">
      <c r="A4780" s="28" t="s">
        <v>24192</v>
      </c>
      <c r="B4780" s="28" t="s">
        <v>24193</v>
      </c>
      <c r="C4780" s="28" t="s">
        <v>4491</v>
      </c>
      <c r="D4780" s="28" t="s">
        <v>2583</v>
      </c>
      <c r="E4780" s="28" t="s">
        <v>18137</v>
      </c>
      <c r="F4780" s="28" t="s">
        <v>21</v>
      </c>
      <c r="G4780" s="28" t="s">
        <v>39</v>
      </c>
      <c r="H4780" s="28" t="s">
        <v>16221</v>
      </c>
      <c r="I4780" s="28" t="s">
        <v>24194</v>
      </c>
      <c r="J4780" s="28" t="s">
        <v>39</v>
      </c>
      <c r="K4780" s="28" t="s">
        <v>16223</v>
      </c>
      <c r="L4780" s="28" t="s">
        <v>16224</v>
      </c>
      <c r="M4780" s="28" t="s">
        <v>20658</v>
      </c>
      <c r="N4780" s="28" t="s">
        <v>16226</v>
      </c>
      <c r="O4780" s="28" t="s">
        <v>16227</v>
      </c>
      <c r="P4780" s="28" t="s">
        <v>22379</v>
      </c>
    </row>
    <row r="4781" spans="1:16" x14ac:dyDescent="0.25">
      <c r="A4781" s="28" t="s">
        <v>24195</v>
      </c>
      <c r="B4781" s="28" t="s">
        <v>24196</v>
      </c>
      <c r="C4781" s="28" t="s">
        <v>4491</v>
      </c>
      <c r="D4781" s="28" t="s">
        <v>2583</v>
      </c>
      <c r="E4781" s="28" t="s">
        <v>14938</v>
      </c>
      <c r="F4781" s="28" t="s">
        <v>21</v>
      </c>
      <c r="G4781" s="28" t="s">
        <v>39</v>
      </c>
      <c r="H4781" s="28" t="s">
        <v>16221</v>
      </c>
      <c r="I4781" s="28" t="s">
        <v>24197</v>
      </c>
      <c r="J4781" s="28" t="s">
        <v>39</v>
      </c>
      <c r="K4781" s="28" t="s">
        <v>16223</v>
      </c>
      <c r="L4781" s="28" t="s">
        <v>16224</v>
      </c>
      <c r="M4781" s="28" t="s">
        <v>20662</v>
      </c>
      <c r="N4781" s="28" t="s">
        <v>16226</v>
      </c>
      <c r="O4781" s="28" t="s">
        <v>16227</v>
      </c>
      <c r="P4781" s="28" t="s">
        <v>22383</v>
      </c>
    </row>
    <row r="4782" spans="1:16" x14ac:dyDescent="0.25">
      <c r="A4782" s="28" t="s">
        <v>24198</v>
      </c>
      <c r="B4782" s="28" t="s">
        <v>24199</v>
      </c>
      <c r="C4782" s="28" t="s">
        <v>4491</v>
      </c>
      <c r="D4782" s="28" t="s">
        <v>82</v>
      </c>
      <c r="E4782" s="28" t="s">
        <v>20665</v>
      </c>
      <c r="F4782" s="28" t="s">
        <v>21</v>
      </c>
      <c r="G4782" s="28" t="s">
        <v>149</v>
      </c>
      <c r="H4782" s="28" t="s">
        <v>21726</v>
      </c>
      <c r="I4782" s="28" t="s">
        <v>24200</v>
      </c>
      <c r="J4782" s="28" t="s">
        <v>149</v>
      </c>
      <c r="K4782" s="28" t="s">
        <v>22746</v>
      </c>
      <c r="L4782" s="28" t="s">
        <v>21729</v>
      </c>
      <c r="M4782" s="28" t="s">
        <v>24201</v>
      </c>
      <c r="N4782" s="28" t="s">
        <v>21731</v>
      </c>
      <c r="O4782" s="28" t="s">
        <v>21732</v>
      </c>
      <c r="P4782" s="28" t="s">
        <v>24202</v>
      </c>
    </row>
    <row r="4783" spans="1:16" x14ac:dyDescent="0.25">
      <c r="A4783" s="28" t="s">
        <v>24203</v>
      </c>
      <c r="B4783" s="28" t="s">
        <v>24204</v>
      </c>
      <c r="C4783" s="28" t="s">
        <v>4491</v>
      </c>
      <c r="D4783" s="28" t="s">
        <v>82</v>
      </c>
      <c r="E4783" s="28" t="s">
        <v>20671</v>
      </c>
      <c r="F4783" s="28" t="s">
        <v>21</v>
      </c>
      <c r="G4783" s="28" t="s">
        <v>149</v>
      </c>
      <c r="H4783" s="28" t="s">
        <v>21726</v>
      </c>
      <c r="I4783" s="28" t="s">
        <v>24205</v>
      </c>
      <c r="J4783" s="28" t="s">
        <v>149</v>
      </c>
      <c r="K4783" s="28" t="s">
        <v>22746</v>
      </c>
      <c r="L4783" s="28" t="s">
        <v>21729</v>
      </c>
      <c r="M4783" s="28" t="s">
        <v>24206</v>
      </c>
      <c r="N4783" s="28" t="s">
        <v>21731</v>
      </c>
      <c r="O4783" s="28" t="s">
        <v>21732</v>
      </c>
      <c r="P4783" s="28" t="s">
        <v>24207</v>
      </c>
    </row>
    <row r="4784" spans="1:16" x14ac:dyDescent="0.25">
      <c r="A4784" s="28" t="s">
        <v>24208</v>
      </c>
      <c r="B4784" s="28" t="s">
        <v>24209</v>
      </c>
      <c r="C4784" s="28" t="s">
        <v>4491</v>
      </c>
      <c r="D4784" s="28" t="s">
        <v>82</v>
      </c>
      <c r="E4784" s="28" t="s">
        <v>14954</v>
      </c>
      <c r="F4784" s="28" t="s">
        <v>21</v>
      </c>
      <c r="G4784" s="28" t="s">
        <v>39</v>
      </c>
      <c r="H4784" s="28" t="s">
        <v>16221</v>
      </c>
      <c r="I4784" s="28" t="s">
        <v>24210</v>
      </c>
      <c r="J4784" s="28" t="s">
        <v>39</v>
      </c>
      <c r="K4784" s="28" t="s">
        <v>16223</v>
      </c>
      <c r="L4784" s="28" t="s">
        <v>16224</v>
      </c>
      <c r="M4784" s="28" t="s">
        <v>20678</v>
      </c>
      <c r="N4784" s="28" t="s">
        <v>16226</v>
      </c>
      <c r="O4784" s="28" t="s">
        <v>16227</v>
      </c>
      <c r="P4784" s="28" t="s">
        <v>22387</v>
      </c>
    </row>
    <row r="4785" spans="1:16" x14ac:dyDescent="0.25">
      <c r="A4785" s="28" t="s">
        <v>24211</v>
      </c>
      <c r="B4785" s="28" t="s">
        <v>24212</v>
      </c>
      <c r="C4785" s="28" t="s">
        <v>4491</v>
      </c>
      <c r="D4785" s="28" t="s">
        <v>82</v>
      </c>
      <c r="E4785" s="28" t="s">
        <v>14986</v>
      </c>
      <c r="F4785" s="28" t="s">
        <v>21</v>
      </c>
      <c r="G4785" s="28" t="s">
        <v>39</v>
      </c>
      <c r="H4785" s="28" t="s">
        <v>16221</v>
      </c>
      <c r="I4785" s="28" t="s">
        <v>24213</v>
      </c>
      <c r="J4785" s="28" t="s">
        <v>39</v>
      </c>
      <c r="K4785" s="28" t="s">
        <v>16223</v>
      </c>
      <c r="L4785" s="28" t="s">
        <v>16224</v>
      </c>
      <c r="M4785" s="28" t="s">
        <v>20682</v>
      </c>
      <c r="N4785" s="28" t="s">
        <v>16226</v>
      </c>
      <c r="O4785" s="28" t="s">
        <v>16227</v>
      </c>
      <c r="P4785" s="28" t="s">
        <v>24214</v>
      </c>
    </row>
    <row r="4786" spans="1:16" x14ac:dyDescent="0.25">
      <c r="A4786" s="28" t="s">
        <v>24215</v>
      </c>
      <c r="B4786" s="28" t="s">
        <v>24216</v>
      </c>
      <c r="C4786" s="28" t="s">
        <v>4491</v>
      </c>
      <c r="D4786" s="28" t="s">
        <v>82</v>
      </c>
      <c r="E4786" s="28" t="s">
        <v>20686</v>
      </c>
      <c r="F4786" s="28" t="s">
        <v>21</v>
      </c>
      <c r="G4786" s="28" t="s">
        <v>39</v>
      </c>
      <c r="H4786" s="28" t="s">
        <v>16221</v>
      </c>
      <c r="I4786" s="28" t="s">
        <v>24217</v>
      </c>
      <c r="J4786" s="28" t="s">
        <v>39</v>
      </c>
      <c r="K4786" s="28" t="s">
        <v>16223</v>
      </c>
      <c r="L4786" s="28" t="s">
        <v>16224</v>
      </c>
      <c r="M4786" s="28" t="s">
        <v>20688</v>
      </c>
      <c r="N4786" s="28" t="s">
        <v>16226</v>
      </c>
      <c r="O4786" s="28" t="s">
        <v>16227</v>
      </c>
      <c r="P4786" s="28" t="s">
        <v>24218</v>
      </c>
    </row>
    <row r="4787" spans="1:16" x14ac:dyDescent="0.25">
      <c r="A4787" s="28" t="s">
        <v>24219</v>
      </c>
      <c r="B4787" s="28" t="s">
        <v>24220</v>
      </c>
      <c r="C4787" s="28" t="s">
        <v>4491</v>
      </c>
      <c r="D4787" s="28" t="s">
        <v>82</v>
      </c>
      <c r="E4787" s="28" t="s">
        <v>20686</v>
      </c>
      <c r="F4787" s="28" t="s">
        <v>21</v>
      </c>
      <c r="G4787" s="28" t="s">
        <v>39</v>
      </c>
      <c r="H4787" s="28" t="s">
        <v>16221</v>
      </c>
      <c r="I4787" s="28" t="s">
        <v>24221</v>
      </c>
      <c r="J4787" s="28" t="s">
        <v>39</v>
      </c>
      <c r="K4787" s="28" t="s">
        <v>16223</v>
      </c>
      <c r="L4787" s="28" t="s">
        <v>16224</v>
      </c>
      <c r="M4787" s="28" t="s">
        <v>20693</v>
      </c>
      <c r="N4787" s="28" t="s">
        <v>16226</v>
      </c>
      <c r="O4787" s="28" t="s">
        <v>16227</v>
      </c>
      <c r="P4787" s="28" t="s">
        <v>24218</v>
      </c>
    </row>
    <row r="4788" spans="1:16" x14ac:dyDescent="0.25">
      <c r="A4788" s="28" t="s">
        <v>24222</v>
      </c>
      <c r="B4788" s="28" t="s">
        <v>24223</v>
      </c>
      <c r="C4788" s="28" t="s">
        <v>4491</v>
      </c>
      <c r="D4788" s="28" t="s">
        <v>82</v>
      </c>
      <c r="E4788" s="28" t="s">
        <v>20686</v>
      </c>
      <c r="F4788" s="28" t="s">
        <v>21</v>
      </c>
      <c r="G4788" s="28" t="s">
        <v>39</v>
      </c>
      <c r="H4788" s="28" t="s">
        <v>16221</v>
      </c>
      <c r="I4788" s="28" t="s">
        <v>24224</v>
      </c>
      <c r="J4788" s="28" t="s">
        <v>39</v>
      </c>
      <c r="K4788" s="28" t="s">
        <v>16223</v>
      </c>
      <c r="L4788" s="28" t="s">
        <v>16224</v>
      </c>
      <c r="M4788" s="28" t="s">
        <v>20697</v>
      </c>
      <c r="N4788" s="28" t="s">
        <v>16226</v>
      </c>
      <c r="O4788" s="28" t="s">
        <v>16227</v>
      </c>
      <c r="P4788" s="28" t="s">
        <v>24218</v>
      </c>
    </row>
    <row r="4789" spans="1:16" x14ac:dyDescent="0.25">
      <c r="A4789" s="28" t="s">
        <v>24225</v>
      </c>
      <c r="B4789" s="28" t="s">
        <v>24226</v>
      </c>
      <c r="C4789" s="28" t="s">
        <v>4491</v>
      </c>
      <c r="D4789" s="28" t="s">
        <v>82</v>
      </c>
      <c r="E4789" s="28" t="s">
        <v>20686</v>
      </c>
      <c r="F4789" s="28" t="s">
        <v>21</v>
      </c>
      <c r="G4789" s="28" t="s">
        <v>39</v>
      </c>
      <c r="H4789" s="28" t="s">
        <v>16221</v>
      </c>
      <c r="I4789" s="28" t="s">
        <v>24227</v>
      </c>
      <c r="J4789" s="28" t="s">
        <v>39</v>
      </c>
      <c r="K4789" s="28" t="s">
        <v>16223</v>
      </c>
      <c r="L4789" s="28" t="s">
        <v>16224</v>
      </c>
      <c r="M4789" s="28" t="s">
        <v>20701</v>
      </c>
      <c r="N4789" s="28" t="s">
        <v>16226</v>
      </c>
      <c r="O4789" s="28" t="s">
        <v>16227</v>
      </c>
      <c r="P4789" s="28" t="s">
        <v>24218</v>
      </c>
    </row>
    <row r="4790" spans="1:16" x14ac:dyDescent="0.25">
      <c r="A4790" s="28" t="s">
        <v>24228</v>
      </c>
      <c r="B4790" s="28" t="s">
        <v>24229</v>
      </c>
      <c r="C4790" s="28" t="s">
        <v>4491</v>
      </c>
      <c r="D4790" s="28" t="s">
        <v>82</v>
      </c>
      <c r="E4790" s="28" t="s">
        <v>20686</v>
      </c>
      <c r="F4790" s="28" t="s">
        <v>21</v>
      </c>
      <c r="G4790" s="28" t="s">
        <v>39</v>
      </c>
      <c r="H4790" s="28" t="s">
        <v>16221</v>
      </c>
      <c r="I4790" s="28" t="s">
        <v>24230</v>
      </c>
      <c r="J4790" s="28" t="s">
        <v>39</v>
      </c>
      <c r="K4790" s="28" t="s">
        <v>16223</v>
      </c>
      <c r="L4790" s="28" t="s">
        <v>16224</v>
      </c>
      <c r="M4790" s="28" t="s">
        <v>20705</v>
      </c>
      <c r="N4790" s="28" t="s">
        <v>16226</v>
      </c>
      <c r="O4790" s="28" t="s">
        <v>16227</v>
      </c>
      <c r="P4790" s="28" t="s">
        <v>24218</v>
      </c>
    </row>
    <row r="4791" spans="1:16" x14ac:dyDescent="0.25">
      <c r="A4791" s="28" t="s">
        <v>24231</v>
      </c>
      <c r="B4791" s="28" t="s">
        <v>24232</v>
      </c>
      <c r="C4791" s="28" t="s">
        <v>4491</v>
      </c>
      <c r="D4791" s="28" t="s">
        <v>82</v>
      </c>
      <c r="E4791" s="28" t="s">
        <v>20686</v>
      </c>
      <c r="F4791" s="28" t="s">
        <v>21</v>
      </c>
      <c r="G4791" s="28" t="s">
        <v>39</v>
      </c>
      <c r="H4791" s="28" t="s">
        <v>16221</v>
      </c>
      <c r="I4791" s="28" t="s">
        <v>24233</v>
      </c>
      <c r="J4791" s="28" t="s">
        <v>39</v>
      </c>
      <c r="K4791" s="28" t="s">
        <v>16223</v>
      </c>
      <c r="L4791" s="28" t="s">
        <v>16224</v>
      </c>
      <c r="M4791" s="28" t="s">
        <v>20709</v>
      </c>
      <c r="N4791" s="28" t="s">
        <v>16226</v>
      </c>
      <c r="O4791" s="28" t="s">
        <v>16227</v>
      </c>
      <c r="P4791" s="28" t="s">
        <v>24218</v>
      </c>
    </row>
    <row r="4792" spans="1:16" x14ac:dyDescent="0.25">
      <c r="A4792" s="28" t="s">
        <v>24234</v>
      </c>
      <c r="B4792" s="28" t="s">
        <v>24235</v>
      </c>
      <c r="C4792" s="28" t="s">
        <v>4491</v>
      </c>
      <c r="D4792" s="28" t="s">
        <v>82</v>
      </c>
      <c r="E4792" s="28" t="s">
        <v>20686</v>
      </c>
      <c r="F4792" s="28" t="s">
        <v>21</v>
      </c>
      <c r="G4792" s="28" t="s">
        <v>39</v>
      </c>
      <c r="H4792" s="28" t="s">
        <v>16221</v>
      </c>
      <c r="I4792" s="28" t="s">
        <v>24236</v>
      </c>
      <c r="J4792" s="28" t="s">
        <v>39</v>
      </c>
      <c r="K4792" s="28" t="s">
        <v>16223</v>
      </c>
      <c r="L4792" s="28" t="s">
        <v>16224</v>
      </c>
      <c r="M4792" s="28" t="s">
        <v>20713</v>
      </c>
      <c r="N4792" s="28" t="s">
        <v>16226</v>
      </c>
      <c r="O4792" s="28" t="s">
        <v>16227</v>
      </c>
      <c r="P4792" s="28" t="s">
        <v>24218</v>
      </c>
    </row>
    <row r="4793" spans="1:16" x14ac:dyDescent="0.25">
      <c r="A4793" s="28" t="s">
        <v>24237</v>
      </c>
      <c r="B4793" s="28" t="s">
        <v>24238</v>
      </c>
      <c r="C4793" s="28" t="s">
        <v>4491</v>
      </c>
      <c r="D4793" s="28" t="s">
        <v>82</v>
      </c>
      <c r="E4793" s="28" t="s">
        <v>20686</v>
      </c>
      <c r="F4793" s="28" t="s">
        <v>21</v>
      </c>
      <c r="G4793" s="28" t="s">
        <v>39</v>
      </c>
      <c r="H4793" s="28" t="s">
        <v>16221</v>
      </c>
      <c r="I4793" s="28" t="s">
        <v>24239</v>
      </c>
      <c r="J4793" s="28" t="s">
        <v>39</v>
      </c>
      <c r="K4793" s="28" t="s">
        <v>16223</v>
      </c>
      <c r="L4793" s="28" t="s">
        <v>16224</v>
      </c>
      <c r="M4793" s="28" t="s">
        <v>20717</v>
      </c>
      <c r="N4793" s="28" t="s">
        <v>16226</v>
      </c>
      <c r="O4793" s="28" t="s">
        <v>16227</v>
      </c>
      <c r="P4793" s="28" t="s">
        <v>24218</v>
      </c>
    </row>
    <row r="4794" spans="1:16" x14ac:dyDescent="0.25">
      <c r="A4794" s="28" t="s">
        <v>24240</v>
      </c>
      <c r="B4794" s="28" t="s">
        <v>24241</v>
      </c>
      <c r="C4794" s="28" t="s">
        <v>4491</v>
      </c>
      <c r="D4794" s="28" t="s">
        <v>82</v>
      </c>
      <c r="E4794" s="28" t="s">
        <v>20686</v>
      </c>
      <c r="F4794" s="28" t="s">
        <v>21</v>
      </c>
      <c r="G4794" s="28" t="s">
        <v>39</v>
      </c>
      <c r="H4794" s="28" t="s">
        <v>16221</v>
      </c>
      <c r="I4794" s="28" t="s">
        <v>24242</v>
      </c>
      <c r="J4794" s="28" t="s">
        <v>39</v>
      </c>
      <c r="K4794" s="28" t="s">
        <v>16223</v>
      </c>
      <c r="L4794" s="28" t="s">
        <v>16224</v>
      </c>
      <c r="M4794" s="28" t="s">
        <v>20721</v>
      </c>
      <c r="N4794" s="28" t="s">
        <v>16226</v>
      </c>
      <c r="O4794" s="28" t="s">
        <v>16227</v>
      </c>
      <c r="P4794" s="28" t="s">
        <v>24218</v>
      </c>
    </row>
    <row r="4795" spans="1:16" x14ac:dyDescent="0.25">
      <c r="A4795" s="28" t="s">
        <v>24243</v>
      </c>
      <c r="B4795" s="28" t="s">
        <v>24244</v>
      </c>
      <c r="C4795" s="28" t="s">
        <v>4491</v>
      </c>
      <c r="D4795" s="28" t="s">
        <v>82</v>
      </c>
      <c r="E4795" s="28" t="s">
        <v>20686</v>
      </c>
      <c r="F4795" s="28" t="s">
        <v>21</v>
      </c>
      <c r="G4795" s="28" t="s">
        <v>39</v>
      </c>
      <c r="H4795" s="28" t="s">
        <v>16221</v>
      </c>
      <c r="I4795" s="28" t="s">
        <v>24245</v>
      </c>
      <c r="J4795" s="28" t="s">
        <v>39</v>
      </c>
      <c r="K4795" s="28" t="s">
        <v>16223</v>
      </c>
      <c r="L4795" s="28" t="s">
        <v>16224</v>
      </c>
      <c r="M4795" s="28" t="s">
        <v>20725</v>
      </c>
      <c r="N4795" s="28" t="s">
        <v>16226</v>
      </c>
      <c r="O4795" s="28" t="s">
        <v>16227</v>
      </c>
      <c r="P4795" s="28" t="s">
        <v>24218</v>
      </c>
    </row>
    <row r="4796" spans="1:16" x14ac:dyDescent="0.25">
      <c r="A4796" s="28" t="s">
        <v>24246</v>
      </c>
      <c r="B4796" s="28" t="s">
        <v>24247</v>
      </c>
      <c r="C4796" s="28" t="s">
        <v>4491</v>
      </c>
      <c r="D4796" s="28" t="s">
        <v>82</v>
      </c>
      <c r="E4796" s="28" t="s">
        <v>20686</v>
      </c>
      <c r="F4796" s="28" t="s">
        <v>21</v>
      </c>
      <c r="G4796" s="28" t="s">
        <v>39</v>
      </c>
      <c r="H4796" s="28" t="s">
        <v>16221</v>
      </c>
      <c r="I4796" s="28" t="s">
        <v>24248</v>
      </c>
      <c r="J4796" s="28" t="s">
        <v>39</v>
      </c>
      <c r="K4796" s="28" t="s">
        <v>16223</v>
      </c>
      <c r="L4796" s="28" t="s">
        <v>16224</v>
      </c>
      <c r="M4796" s="28" t="s">
        <v>20729</v>
      </c>
      <c r="N4796" s="28" t="s">
        <v>16226</v>
      </c>
      <c r="O4796" s="28" t="s">
        <v>16227</v>
      </c>
      <c r="P4796" s="28" t="s">
        <v>24218</v>
      </c>
    </row>
    <row r="4797" spans="1:16" x14ac:dyDescent="0.25">
      <c r="A4797" s="28" t="s">
        <v>24249</v>
      </c>
      <c r="B4797" s="28" t="s">
        <v>24250</v>
      </c>
      <c r="C4797" s="28" t="s">
        <v>4491</v>
      </c>
      <c r="D4797" s="28" t="s">
        <v>82</v>
      </c>
      <c r="E4797" s="28" t="s">
        <v>20686</v>
      </c>
      <c r="F4797" s="28" t="s">
        <v>21</v>
      </c>
      <c r="G4797" s="28" t="s">
        <v>39</v>
      </c>
      <c r="H4797" s="28" t="s">
        <v>16221</v>
      </c>
      <c r="I4797" s="28" t="s">
        <v>24251</v>
      </c>
      <c r="J4797" s="28" t="s">
        <v>39</v>
      </c>
      <c r="K4797" s="28" t="s">
        <v>16223</v>
      </c>
      <c r="L4797" s="28" t="s">
        <v>16224</v>
      </c>
      <c r="M4797" s="28" t="s">
        <v>20733</v>
      </c>
      <c r="N4797" s="28" t="s">
        <v>16226</v>
      </c>
      <c r="O4797" s="28" t="s">
        <v>16227</v>
      </c>
      <c r="P4797" s="28" t="s">
        <v>24218</v>
      </c>
    </row>
    <row r="4798" spans="1:16" x14ac:dyDescent="0.25">
      <c r="A4798" s="28" t="s">
        <v>24252</v>
      </c>
      <c r="B4798" s="28" t="s">
        <v>24253</v>
      </c>
      <c r="C4798" s="28" t="s">
        <v>4491</v>
      </c>
      <c r="D4798" s="28" t="s">
        <v>82</v>
      </c>
      <c r="E4798" s="28" t="s">
        <v>20686</v>
      </c>
      <c r="F4798" s="28" t="s">
        <v>21</v>
      </c>
      <c r="G4798" s="28" t="s">
        <v>39</v>
      </c>
      <c r="H4798" s="28" t="s">
        <v>16221</v>
      </c>
      <c r="I4798" s="28" t="s">
        <v>24254</v>
      </c>
      <c r="J4798" s="28" t="s">
        <v>39</v>
      </c>
      <c r="K4798" s="28" t="s">
        <v>16223</v>
      </c>
      <c r="L4798" s="28" t="s">
        <v>16224</v>
      </c>
      <c r="M4798" s="28" t="s">
        <v>20737</v>
      </c>
      <c r="N4798" s="28" t="s">
        <v>16226</v>
      </c>
      <c r="O4798" s="28" t="s">
        <v>16227</v>
      </c>
      <c r="P4798" s="28" t="s">
        <v>24218</v>
      </c>
    </row>
    <row r="4799" spans="1:16" x14ac:dyDescent="0.25">
      <c r="A4799" s="28" t="s">
        <v>24255</v>
      </c>
      <c r="B4799" s="28" t="s">
        <v>24256</v>
      </c>
      <c r="C4799" s="28" t="s">
        <v>4491</v>
      </c>
      <c r="D4799" s="28" t="s">
        <v>82</v>
      </c>
      <c r="E4799" s="28" t="s">
        <v>20686</v>
      </c>
      <c r="F4799" s="28" t="s">
        <v>21</v>
      </c>
      <c r="G4799" s="28" t="s">
        <v>39</v>
      </c>
      <c r="H4799" s="28" t="s">
        <v>16221</v>
      </c>
      <c r="I4799" s="28" t="s">
        <v>24257</v>
      </c>
      <c r="J4799" s="28" t="s">
        <v>39</v>
      </c>
      <c r="K4799" s="28" t="s">
        <v>16223</v>
      </c>
      <c r="L4799" s="28" t="s">
        <v>16224</v>
      </c>
      <c r="M4799" s="28" t="s">
        <v>20741</v>
      </c>
      <c r="N4799" s="28" t="s">
        <v>16226</v>
      </c>
      <c r="O4799" s="28" t="s">
        <v>16227</v>
      </c>
      <c r="P4799" s="28" t="s">
        <v>24218</v>
      </c>
    </row>
    <row r="4800" spans="1:16" x14ac:dyDescent="0.25">
      <c r="A4800" s="28" t="s">
        <v>24258</v>
      </c>
      <c r="B4800" s="28" t="s">
        <v>24259</v>
      </c>
      <c r="C4800" s="28" t="s">
        <v>4491</v>
      </c>
      <c r="D4800" s="28" t="s">
        <v>82</v>
      </c>
      <c r="E4800" s="28" t="s">
        <v>20686</v>
      </c>
      <c r="F4800" s="28" t="s">
        <v>21</v>
      </c>
      <c r="G4800" s="28" t="s">
        <v>39</v>
      </c>
      <c r="H4800" s="28" t="s">
        <v>16221</v>
      </c>
      <c r="I4800" s="28" t="s">
        <v>24260</v>
      </c>
      <c r="J4800" s="28" t="s">
        <v>39</v>
      </c>
      <c r="K4800" s="28" t="s">
        <v>16223</v>
      </c>
      <c r="L4800" s="28" t="s">
        <v>16224</v>
      </c>
      <c r="M4800" s="28" t="s">
        <v>20745</v>
      </c>
      <c r="N4800" s="28" t="s">
        <v>16226</v>
      </c>
      <c r="O4800" s="28" t="s">
        <v>16227</v>
      </c>
      <c r="P4800" s="28" t="s">
        <v>24218</v>
      </c>
    </row>
    <row r="4801" spans="1:16" x14ac:dyDescent="0.25">
      <c r="A4801" s="28" t="s">
        <v>24261</v>
      </c>
      <c r="B4801" s="28" t="s">
        <v>24262</v>
      </c>
      <c r="C4801" s="28" t="s">
        <v>4491</v>
      </c>
      <c r="D4801" s="28" t="s">
        <v>82</v>
      </c>
      <c r="E4801" s="28" t="s">
        <v>20686</v>
      </c>
      <c r="F4801" s="28" t="s">
        <v>21</v>
      </c>
      <c r="G4801" s="28" t="s">
        <v>39</v>
      </c>
      <c r="H4801" s="28" t="s">
        <v>16221</v>
      </c>
      <c r="I4801" s="28" t="s">
        <v>24263</v>
      </c>
      <c r="J4801" s="28" t="s">
        <v>39</v>
      </c>
      <c r="K4801" s="28" t="s">
        <v>16223</v>
      </c>
      <c r="L4801" s="28" t="s">
        <v>16224</v>
      </c>
      <c r="M4801" s="28" t="s">
        <v>20749</v>
      </c>
      <c r="N4801" s="28" t="s">
        <v>16226</v>
      </c>
      <c r="O4801" s="28" t="s">
        <v>16227</v>
      </c>
      <c r="P4801" s="28" t="s">
        <v>24218</v>
      </c>
    </row>
    <row r="4802" spans="1:16" x14ac:dyDescent="0.25">
      <c r="A4802" s="28" t="s">
        <v>24264</v>
      </c>
      <c r="B4802" s="28" t="s">
        <v>24265</v>
      </c>
      <c r="C4802" s="28" t="s">
        <v>4491</v>
      </c>
      <c r="D4802" s="28" t="s">
        <v>82</v>
      </c>
      <c r="E4802" s="28" t="s">
        <v>20686</v>
      </c>
      <c r="F4802" s="28" t="s">
        <v>21</v>
      </c>
      <c r="G4802" s="28" t="s">
        <v>39</v>
      </c>
      <c r="H4802" s="28" t="s">
        <v>16221</v>
      </c>
      <c r="I4802" s="28" t="s">
        <v>24266</v>
      </c>
      <c r="J4802" s="28" t="s">
        <v>39</v>
      </c>
      <c r="K4802" s="28" t="s">
        <v>16223</v>
      </c>
      <c r="L4802" s="28" t="s">
        <v>16224</v>
      </c>
      <c r="M4802" s="28" t="s">
        <v>20753</v>
      </c>
      <c r="N4802" s="28" t="s">
        <v>16226</v>
      </c>
      <c r="O4802" s="28" t="s">
        <v>16227</v>
      </c>
      <c r="P4802" s="28" t="s">
        <v>24218</v>
      </c>
    </row>
    <row r="4803" spans="1:16" x14ac:dyDescent="0.25">
      <c r="A4803" s="28" t="s">
        <v>24267</v>
      </c>
      <c r="B4803" s="28" t="s">
        <v>24268</v>
      </c>
      <c r="C4803" s="28" t="s">
        <v>4491</v>
      </c>
      <c r="D4803" s="28" t="s">
        <v>82</v>
      </c>
      <c r="E4803" s="28" t="s">
        <v>20686</v>
      </c>
      <c r="F4803" s="28" t="s">
        <v>21</v>
      </c>
      <c r="G4803" s="28" t="s">
        <v>39</v>
      </c>
      <c r="H4803" s="28" t="s">
        <v>16221</v>
      </c>
      <c r="I4803" s="28" t="s">
        <v>24269</v>
      </c>
      <c r="J4803" s="28" t="s">
        <v>39</v>
      </c>
      <c r="K4803" s="28" t="s">
        <v>16223</v>
      </c>
      <c r="L4803" s="28" t="s">
        <v>16224</v>
      </c>
      <c r="M4803" s="28" t="s">
        <v>20757</v>
      </c>
      <c r="N4803" s="28" t="s">
        <v>16226</v>
      </c>
      <c r="O4803" s="28" t="s">
        <v>16227</v>
      </c>
      <c r="P4803" s="28" t="s">
        <v>24218</v>
      </c>
    </row>
    <row r="4804" spans="1:16" x14ac:dyDescent="0.25">
      <c r="A4804" s="28" t="s">
        <v>24270</v>
      </c>
      <c r="B4804" s="28" t="s">
        <v>24271</v>
      </c>
      <c r="C4804" s="28" t="s">
        <v>4491</v>
      </c>
      <c r="D4804" s="28" t="s">
        <v>82</v>
      </c>
      <c r="E4804" s="28" t="s">
        <v>18153</v>
      </c>
      <c r="F4804" s="28" t="s">
        <v>21</v>
      </c>
      <c r="G4804" s="28" t="s">
        <v>39</v>
      </c>
      <c r="H4804" s="28" t="s">
        <v>16221</v>
      </c>
      <c r="I4804" s="28" t="s">
        <v>24272</v>
      </c>
      <c r="J4804" s="28" t="s">
        <v>39</v>
      </c>
      <c r="K4804" s="28" t="s">
        <v>16223</v>
      </c>
      <c r="L4804" s="28" t="s">
        <v>16224</v>
      </c>
      <c r="M4804" s="28" t="s">
        <v>20761</v>
      </c>
      <c r="N4804" s="28" t="s">
        <v>16226</v>
      </c>
      <c r="O4804" s="28" t="s">
        <v>16227</v>
      </c>
      <c r="P4804" s="28" t="s">
        <v>22391</v>
      </c>
    </row>
    <row r="4805" spans="1:16" x14ac:dyDescent="0.25">
      <c r="A4805" s="28" t="s">
        <v>24273</v>
      </c>
      <c r="B4805" s="28" t="s">
        <v>24274</v>
      </c>
      <c r="C4805" s="28" t="s">
        <v>4491</v>
      </c>
      <c r="D4805" s="28" t="s">
        <v>5328</v>
      </c>
      <c r="E4805" s="28" t="s">
        <v>20764</v>
      </c>
      <c r="F4805" s="28" t="s">
        <v>21</v>
      </c>
      <c r="G4805" s="28" t="s">
        <v>39</v>
      </c>
      <c r="H4805" s="28" t="s">
        <v>16221</v>
      </c>
      <c r="I4805" s="28" t="s">
        <v>24275</v>
      </c>
      <c r="J4805" s="28" t="s">
        <v>39</v>
      </c>
      <c r="K4805" s="28" t="s">
        <v>16223</v>
      </c>
      <c r="L4805" s="28" t="s">
        <v>16224</v>
      </c>
      <c r="M4805" s="28" t="s">
        <v>20766</v>
      </c>
      <c r="N4805" s="28" t="s">
        <v>16226</v>
      </c>
      <c r="O4805" s="28" t="s">
        <v>16227</v>
      </c>
      <c r="P4805" s="28" t="s">
        <v>24276</v>
      </c>
    </row>
    <row r="4806" spans="1:16" x14ac:dyDescent="0.25">
      <c r="A4806" s="28" t="s">
        <v>24277</v>
      </c>
      <c r="B4806" s="28" t="s">
        <v>24278</v>
      </c>
      <c r="C4806" s="28" t="s">
        <v>4491</v>
      </c>
      <c r="D4806" s="28" t="s">
        <v>5328</v>
      </c>
      <c r="E4806" s="28" t="s">
        <v>18159</v>
      </c>
      <c r="F4806" s="28" t="s">
        <v>21</v>
      </c>
      <c r="G4806" s="28" t="s">
        <v>39</v>
      </c>
      <c r="H4806" s="28" t="s">
        <v>16221</v>
      </c>
      <c r="I4806" s="28" t="s">
        <v>24279</v>
      </c>
      <c r="J4806" s="28" t="s">
        <v>39</v>
      </c>
      <c r="K4806" s="28" t="s">
        <v>16223</v>
      </c>
      <c r="L4806" s="28" t="s">
        <v>16224</v>
      </c>
      <c r="M4806" s="28" t="s">
        <v>20771</v>
      </c>
      <c r="N4806" s="28" t="s">
        <v>16226</v>
      </c>
      <c r="O4806" s="28" t="s">
        <v>16227</v>
      </c>
      <c r="P4806" s="28" t="s">
        <v>22395</v>
      </c>
    </row>
    <row r="4807" spans="1:16" x14ac:dyDescent="0.25">
      <c r="A4807" s="28" t="s">
        <v>24280</v>
      </c>
      <c r="B4807" s="28" t="s">
        <v>24281</v>
      </c>
      <c r="C4807" s="28" t="s">
        <v>4491</v>
      </c>
      <c r="D4807" s="28" t="s">
        <v>5328</v>
      </c>
      <c r="E4807" s="28" t="s">
        <v>18159</v>
      </c>
      <c r="F4807" s="28" t="s">
        <v>21</v>
      </c>
      <c r="G4807" s="28" t="s">
        <v>39</v>
      </c>
      <c r="H4807" s="28" t="s">
        <v>16221</v>
      </c>
      <c r="I4807" s="28" t="s">
        <v>24282</v>
      </c>
      <c r="J4807" s="28" t="s">
        <v>39</v>
      </c>
      <c r="K4807" s="28" t="s">
        <v>16223</v>
      </c>
      <c r="L4807" s="28" t="s">
        <v>16224</v>
      </c>
      <c r="M4807" s="28" t="s">
        <v>20775</v>
      </c>
      <c r="N4807" s="28" t="s">
        <v>16226</v>
      </c>
      <c r="O4807" s="28" t="s">
        <v>16227</v>
      </c>
      <c r="P4807" s="28" t="s">
        <v>22395</v>
      </c>
    </row>
    <row r="4808" spans="1:16" x14ac:dyDescent="0.25">
      <c r="A4808" s="28" t="s">
        <v>24283</v>
      </c>
      <c r="B4808" s="28" t="s">
        <v>24284</v>
      </c>
      <c r="C4808" s="28" t="s">
        <v>4491</v>
      </c>
      <c r="D4808" s="28" t="s">
        <v>5328</v>
      </c>
      <c r="E4808" s="28" t="s">
        <v>18159</v>
      </c>
      <c r="F4808" s="28" t="s">
        <v>21</v>
      </c>
      <c r="G4808" s="28" t="s">
        <v>39</v>
      </c>
      <c r="H4808" s="28" t="s">
        <v>16221</v>
      </c>
      <c r="I4808" s="28" t="s">
        <v>24285</v>
      </c>
      <c r="J4808" s="28" t="s">
        <v>39</v>
      </c>
      <c r="K4808" s="28" t="s">
        <v>16223</v>
      </c>
      <c r="L4808" s="28" t="s">
        <v>16224</v>
      </c>
      <c r="M4808" s="28" t="s">
        <v>20779</v>
      </c>
      <c r="N4808" s="28" t="s">
        <v>16226</v>
      </c>
      <c r="O4808" s="28" t="s">
        <v>16227</v>
      </c>
      <c r="P4808" s="28" t="s">
        <v>22395</v>
      </c>
    </row>
    <row r="4809" spans="1:16" x14ac:dyDescent="0.25">
      <c r="A4809" s="28" t="s">
        <v>24286</v>
      </c>
      <c r="B4809" s="28" t="s">
        <v>24287</v>
      </c>
      <c r="C4809" s="28" t="s">
        <v>4491</v>
      </c>
      <c r="D4809" s="28" t="s">
        <v>5328</v>
      </c>
      <c r="E4809" s="28" t="s">
        <v>18165</v>
      </c>
      <c r="F4809" s="28" t="s">
        <v>21</v>
      </c>
      <c r="G4809" s="28" t="s">
        <v>149</v>
      </c>
      <c r="H4809" s="28" t="s">
        <v>21726</v>
      </c>
      <c r="I4809" s="28" t="s">
        <v>24288</v>
      </c>
      <c r="J4809" s="28" t="s">
        <v>149</v>
      </c>
      <c r="K4809" s="28" t="s">
        <v>22746</v>
      </c>
      <c r="L4809" s="28" t="s">
        <v>21729</v>
      </c>
      <c r="M4809" s="28" t="s">
        <v>24289</v>
      </c>
      <c r="N4809" s="28" t="s">
        <v>21731</v>
      </c>
      <c r="O4809" s="28" t="s">
        <v>21732</v>
      </c>
      <c r="P4809" s="28" t="s">
        <v>24290</v>
      </c>
    </row>
    <row r="4810" spans="1:16" x14ac:dyDescent="0.25">
      <c r="A4810" s="28" t="s">
        <v>24291</v>
      </c>
      <c r="B4810" s="28" t="s">
        <v>24292</v>
      </c>
      <c r="C4810" s="28" t="s">
        <v>4491</v>
      </c>
      <c r="D4810" s="28" t="s">
        <v>5328</v>
      </c>
      <c r="E4810" s="28" t="s">
        <v>18165</v>
      </c>
      <c r="F4810" s="28" t="s">
        <v>21</v>
      </c>
      <c r="G4810" s="28" t="s">
        <v>149</v>
      </c>
      <c r="H4810" s="28" t="s">
        <v>21726</v>
      </c>
      <c r="I4810" s="28" t="s">
        <v>24293</v>
      </c>
      <c r="J4810" s="28" t="s">
        <v>149</v>
      </c>
      <c r="K4810" s="28" t="s">
        <v>22746</v>
      </c>
      <c r="L4810" s="28" t="s">
        <v>21729</v>
      </c>
      <c r="M4810" s="28" t="s">
        <v>24294</v>
      </c>
      <c r="N4810" s="28" t="s">
        <v>21731</v>
      </c>
      <c r="O4810" s="28" t="s">
        <v>21732</v>
      </c>
      <c r="P4810" s="28" t="s">
        <v>24295</v>
      </c>
    </row>
    <row r="4811" spans="1:16" x14ac:dyDescent="0.25">
      <c r="A4811" s="28" t="s">
        <v>24296</v>
      </c>
      <c r="B4811" s="28" t="s">
        <v>24297</v>
      </c>
      <c r="C4811" s="28" t="s">
        <v>4491</v>
      </c>
      <c r="D4811" s="28" t="s">
        <v>5328</v>
      </c>
      <c r="E4811" s="28" t="s">
        <v>24298</v>
      </c>
      <c r="F4811" s="28" t="s">
        <v>21</v>
      </c>
      <c r="G4811" s="28" t="s">
        <v>149</v>
      </c>
      <c r="H4811" s="28" t="s">
        <v>21726</v>
      </c>
      <c r="I4811" s="28" t="s">
        <v>24299</v>
      </c>
      <c r="J4811" s="28" t="s">
        <v>149</v>
      </c>
      <c r="K4811" s="28" t="s">
        <v>22746</v>
      </c>
      <c r="L4811" s="28" t="s">
        <v>21729</v>
      </c>
      <c r="M4811" s="28" t="s">
        <v>24300</v>
      </c>
      <c r="N4811" s="28" t="s">
        <v>21731</v>
      </c>
      <c r="O4811" s="28" t="s">
        <v>21732</v>
      </c>
      <c r="P4811" s="28" t="s">
        <v>24301</v>
      </c>
    </row>
    <row r="4812" spans="1:16" x14ac:dyDescent="0.25">
      <c r="A4812" s="28" t="s">
        <v>24302</v>
      </c>
      <c r="B4812" s="28" t="s">
        <v>24303</v>
      </c>
      <c r="C4812" s="28" t="s">
        <v>4491</v>
      </c>
      <c r="D4812" s="28" t="s">
        <v>5328</v>
      </c>
      <c r="E4812" s="28" t="s">
        <v>24298</v>
      </c>
      <c r="F4812" s="28" t="s">
        <v>21</v>
      </c>
      <c r="G4812" s="28" t="s">
        <v>149</v>
      </c>
      <c r="H4812" s="28" t="s">
        <v>21726</v>
      </c>
      <c r="I4812" s="28" t="s">
        <v>24304</v>
      </c>
      <c r="J4812" s="28" t="s">
        <v>149</v>
      </c>
      <c r="K4812" s="28" t="s">
        <v>22746</v>
      </c>
      <c r="L4812" s="28" t="s">
        <v>21729</v>
      </c>
      <c r="M4812" s="28" t="s">
        <v>24305</v>
      </c>
      <c r="N4812" s="28" t="s">
        <v>21731</v>
      </c>
      <c r="O4812" s="28" t="s">
        <v>21732</v>
      </c>
      <c r="P4812" s="28" t="s">
        <v>24306</v>
      </c>
    </row>
    <row r="4813" spans="1:16" x14ac:dyDescent="0.25">
      <c r="A4813" s="28" t="s">
        <v>24307</v>
      </c>
      <c r="B4813" s="28" t="s">
        <v>24308</v>
      </c>
      <c r="C4813" s="28" t="s">
        <v>4491</v>
      </c>
      <c r="D4813" s="28" t="s">
        <v>5328</v>
      </c>
      <c r="E4813" s="28" t="s">
        <v>24298</v>
      </c>
      <c r="F4813" s="28" t="s">
        <v>21</v>
      </c>
      <c r="G4813" s="28" t="s">
        <v>149</v>
      </c>
      <c r="H4813" s="28" t="s">
        <v>21726</v>
      </c>
      <c r="I4813" s="28" t="s">
        <v>24309</v>
      </c>
      <c r="J4813" s="28" t="s">
        <v>149</v>
      </c>
      <c r="K4813" s="28" t="s">
        <v>22746</v>
      </c>
      <c r="L4813" s="28" t="s">
        <v>21729</v>
      </c>
      <c r="M4813" s="28" t="s">
        <v>24310</v>
      </c>
      <c r="N4813" s="28" t="s">
        <v>21731</v>
      </c>
      <c r="O4813" s="28" t="s">
        <v>21732</v>
      </c>
      <c r="P4813" s="28" t="s">
        <v>24311</v>
      </c>
    </row>
    <row r="4814" spans="1:16" x14ac:dyDescent="0.25">
      <c r="A4814" s="28" t="s">
        <v>24312</v>
      </c>
      <c r="B4814" s="28" t="s">
        <v>24313</v>
      </c>
      <c r="C4814" s="28" t="s">
        <v>4491</v>
      </c>
      <c r="D4814" s="28" t="s">
        <v>5328</v>
      </c>
      <c r="E4814" s="28" t="s">
        <v>24298</v>
      </c>
      <c r="F4814" s="28" t="s">
        <v>21</v>
      </c>
      <c r="G4814" s="28" t="s">
        <v>149</v>
      </c>
      <c r="H4814" s="28" t="s">
        <v>21726</v>
      </c>
      <c r="I4814" s="28" t="s">
        <v>24314</v>
      </c>
      <c r="J4814" s="28" t="s">
        <v>149</v>
      </c>
      <c r="K4814" s="28" t="s">
        <v>22746</v>
      </c>
      <c r="L4814" s="28" t="s">
        <v>21729</v>
      </c>
      <c r="M4814" s="28" t="s">
        <v>24315</v>
      </c>
      <c r="N4814" s="28" t="s">
        <v>21731</v>
      </c>
      <c r="O4814" s="28" t="s">
        <v>21732</v>
      </c>
      <c r="P4814" s="28" t="s">
        <v>24316</v>
      </c>
    </row>
    <row r="4815" spans="1:16" x14ac:dyDescent="0.25">
      <c r="A4815" s="28" t="s">
        <v>24317</v>
      </c>
      <c r="B4815" s="28" t="s">
        <v>24318</v>
      </c>
      <c r="C4815" s="28" t="s">
        <v>4491</v>
      </c>
      <c r="D4815" s="28" t="s">
        <v>5328</v>
      </c>
      <c r="E4815" s="28" t="s">
        <v>24298</v>
      </c>
      <c r="F4815" s="28" t="s">
        <v>21</v>
      </c>
      <c r="G4815" s="28" t="s">
        <v>149</v>
      </c>
      <c r="H4815" s="28" t="s">
        <v>21726</v>
      </c>
      <c r="I4815" s="28" t="s">
        <v>24319</v>
      </c>
      <c r="J4815" s="28" t="s">
        <v>149</v>
      </c>
      <c r="K4815" s="28" t="s">
        <v>22746</v>
      </c>
      <c r="L4815" s="28" t="s">
        <v>21729</v>
      </c>
      <c r="M4815" s="28" t="s">
        <v>24320</v>
      </c>
      <c r="N4815" s="28" t="s">
        <v>21731</v>
      </c>
      <c r="O4815" s="28" t="s">
        <v>21732</v>
      </c>
      <c r="P4815" s="28" t="s">
        <v>24321</v>
      </c>
    </row>
    <row r="4816" spans="1:16" x14ac:dyDescent="0.25">
      <c r="A4816" s="28" t="s">
        <v>24322</v>
      </c>
      <c r="B4816" s="28" t="s">
        <v>24323</v>
      </c>
      <c r="C4816" s="28" t="s">
        <v>4491</v>
      </c>
      <c r="D4816" s="28" t="s">
        <v>5328</v>
      </c>
      <c r="E4816" s="28" t="s">
        <v>20790</v>
      </c>
      <c r="F4816" s="28" t="s">
        <v>21</v>
      </c>
      <c r="G4816" s="28" t="s">
        <v>39</v>
      </c>
      <c r="H4816" s="28" t="s">
        <v>16221</v>
      </c>
      <c r="I4816" s="28" t="s">
        <v>24324</v>
      </c>
      <c r="J4816" s="28" t="s">
        <v>39</v>
      </c>
      <c r="K4816" s="28" t="s">
        <v>16223</v>
      </c>
      <c r="L4816" s="28" t="s">
        <v>16224</v>
      </c>
      <c r="M4816" s="28" t="s">
        <v>20792</v>
      </c>
      <c r="N4816" s="28" t="s">
        <v>16226</v>
      </c>
      <c r="O4816" s="28" t="s">
        <v>16227</v>
      </c>
      <c r="P4816" s="28" t="s">
        <v>24325</v>
      </c>
    </row>
    <row r="4817" spans="1:16" x14ac:dyDescent="0.25">
      <c r="A4817" s="28" t="s">
        <v>24326</v>
      </c>
      <c r="B4817" s="28" t="s">
        <v>24327</v>
      </c>
      <c r="C4817" s="28" t="s">
        <v>4491</v>
      </c>
      <c r="D4817" s="28" t="s">
        <v>5328</v>
      </c>
      <c r="E4817" s="28" t="s">
        <v>2789</v>
      </c>
      <c r="F4817" s="28" t="s">
        <v>21</v>
      </c>
      <c r="G4817" s="28" t="s">
        <v>39</v>
      </c>
      <c r="H4817" s="28" t="s">
        <v>16221</v>
      </c>
      <c r="I4817" s="28" t="s">
        <v>24328</v>
      </c>
      <c r="J4817" s="28" t="s">
        <v>39</v>
      </c>
      <c r="K4817" s="28" t="s">
        <v>16223</v>
      </c>
      <c r="L4817" s="28" t="s">
        <v>16224</v>
      </c>
      <c r="M4817" s="28" t="s">
        <v>20797</v>
      </c>
      <c r="N4817" s="28" t="s">
        <v>16226</v>
      </c>
      <c r="O4817" s="28" t="s">
        <v>16227</v>
      </c>
      <c r="P4817" s="28" t="s">
        <v>22404</v>
      </c>
    </row>
    <row r="4818" spans="1:16" x14ac:dyDescent="0.25">
      <c r="A4818" s="28" t="s">
        <v>24329</v>
      </c>
      <c r="B4818" s="28" t="s">
        <v>24330</v>
      </c>
      <c r="C4818" s="28" t="s">
        <v>4491</v>
      </c>
      <c r="D4818" s="28" t="s">
        <v>5328</v>
      </c>
      <c r="E4818" s="28" t="s">
        <v>2789</v>
      </c>
      <c r="F4818" s="28" t="s">
        <v>21</v>
      </c>
      <c r="G4818" s="28" t="s">
        <v>39</v>
      </c>
      <c r="H4818" s="28" t="s">
        <v>16221</v>
      </c>
      <c r="I4818" s="28" t="s">
        <v>24331</v>
      </c>
      <c r="J4818" s="28" t="s">
        <v>39</v>
      </c>
      <c r="K4818" s="28" t="s">
        <v>16223</v>
      </c>
      <c r="L4818" s="28" t="s">
        <v>16224</v>
      </c>
      <c r="M4818" s="28" t="s">
        <v>20801</v>
      </c>
      <c r="N4818" s="28" t="s">
        <v>16226</v>
      </c>
      <c r="O4818" s="28" t="s">
        <v>16227</v>
      </c>
      <c r="P4818" s="28" t="s">
        <v>22404</v>
      </c>
    </row>
    <row r="4819" spans="1:16" x14ac:dyDescent="0.25">
      <c r="A4819" s="28" t="s">
        <v>24332</v>
      </c>
      <c r="B4819" s="28" t="s">
        <v>24333</v>
      </c>
      <c r="C4819" s="28" t="s">
        <v>4491</v>
      </c>
      <c r="D4819" s="28" t="s">
        <v>5328</v>
      </c>
      <c r="E4819" s="28" t="s">
        <v>2789</v>
      </c>
      <c r="F4819" s="28" t="s">
        <v>21</v>
      </c>
      <c r="G4819" s="28" t="s">
        <v>39</v>
      </c>
      <c r="H4819" s="28" t="s">
        <v>16221</v>
      </c>
      <c r="I4819" s="28" t="s">
        <v>24334</v>
      </c>
      <c r="J4819" s="28" t="s">
        <v>39</v>
      </c>
      <c r="K4819" s="28" t="s">
        <v>16223</v>
      </c>
      <c r="L4819" s="28" t="s">
        <v>16224</v>
      </c>
      <c r="M4819" s="28" t="s">
        <v>20805</v>
      </c>
      <c r="N4819" s="28" t="s">
        <v>16226</v>
      </c>
      <c r="O4819" s="28" t="s">
        <v>16227</v>
      </c>
      <c r="P4819" s="28" t="s">
        <v>22404</v>
      </c>
    </row>
    <row r="4820" spans="1:16" x14ac:dyDescent="0.25">
      <c r="A4820" s="28" t="s">
        <v>24335</v>
      </c>
      <c r="B4820" s="28" t="s">
        <v>24336</v>
      </c>
      <c r="C4820" s="28" t="s">
        <v>4491</v>
      </c>
      <c r="D4820" s="28" t="s">
        <v>5328</v>
      </c>
      <c r="E4820" s="28" t="s">
        <v>2789</v>
      </c>
      <c r="F4820" s="28" t="s">
        <v>21</v>
      </c>
      <c r="G4820" s="28" t="s">
        <v>39</v>
      </c>
      <c r="H4820" s="28" t="s">
        <v>16221</v>
      </c>
      <c r="I4820" s="28" t="s">
        <v>24337</v>
      </c>
      <c r="J4820" s="28" t="s">
        <v>39</v>
      </c>
      <c r="K4820" s="28" t="s">
        <v>16223</v>
      </c>
      <c r="L4820" s="28" t="s">
        <v>16224</v>
      </c>
      <c r="M4820" s="28" t="s">
        <v>20809</v>
      </c>
      <c r="N4820" s="28" t="s">
        <v>16226</v>
      </c>
      <c r="O4820" s="28" t="s">
        <v>16227</v>
      </c>
      <c r="P4820" s="28" t="s">
        <v>22404</v>
      </c>
    </row>
    <row r="4821" spans="1:16" x14ac:dyDescent="0.25">
      <c r="A4821" s="28" t="s">
        <v>24338</v>
      </c>
      <c r="B4821" s="28" t="s">
        <v>24339</v>
      </c>
      <c r="C4821" s="28" t="s">
        <v>4491</v>
      </c>
      <c r="D4821" s="28" t="s">
        <v>5328</v>
      </c>
      <c r="E4821" s="28" t="s">
        <v>2789</v>
      </c>
      <c r="F4821" s="28" t="s">
        <v>21</v>
      </c>
      <c r="G4821" s="28" t="s">
        <v>39</v>
      </c>
      <c r="H4821" s="28" t="s">
        <v>16221</v>
      </c>
      <c r="I4821" s="28" t="s">
        <v>24340</v>
      </c>
      <c r="J4821" s="28" t="s">
        <v>39</v>
      </c>
      <c r="K4821" s="28" t="s">
        <v>16223</v>
      </c>
      <c r="L4821" s="28" t="s">
        <v>16224</v>
      </c>
      <c r="M4821" s="28" t="s">
        <v>20813</v>
      </c>
      <c r="N4821" s="28" t="s">
        <v>16226</v>
      </c>
      <c r="O4821" s="28" t="s">
        <v>16227</v>
      </c>
      <c r="P4821" s="28" t="s">
        <v>22404</v>
      </c>
    </row>
    <row r="4822" spans="1:16" x14ac:dyDescent="0.25">
      <c r="A4822" s="28" t="s">
        <v>24341</v>
      </c>
      <c r="B4822" s="28" t="s">
        <v>24342</v>
      </c>
      <c r="C4822" s="28" t="s">
        <v>4491</v>
      </c>
      <c r="D4822" s="28" t="s">
        <v>5328</v>
      </c>
      <c r="E4822" s="28" t="s">
        <v>2789</v>
      </c>
      <c r="F4822" s="28" t="s">
        <v>21</v>
      </c>
      <c r="G4822" s="28" t="s">
        <v>39</v>
      </c>
      <c r="H4822" s="28" t="s">
        <v>16221</v>
      </c>
      <c r="I4822" s="28" t="s">
        <v>24343</v>
      </c>
      <c r="J4822" s="28" t="s">
        <v>39</v>
      </c>
      <c r="K4822" s="28" t="s">
        <v>16223</v>
      </c>
      <c r="L4822" s="28" t="s">
        <v>16224</v>
      </c>
      <c r="M4822" s="28" t="s">
        <v>20817</v>
      </c>
      <c r="N4822" s="28" t="s">
        <v>16226</v>
      </c>
      <c r="O4822" s="28" t="s">
        <v>16227</v>
      </c>
      <c r="P4822" s="28" t="s">
        <v>22404</v>
      </c>
    </row>
    <row r="4823" spans="1:16" x14ac:dyDescent="0.25">
      <c r="A4823" s="28" t="s">
        <v>24344</v>
      </c>
      <c r="B4823" s="28" t="s">
        <v>24345</v>
      </c>
      <c r="C4823" s="28" t="s">
        <v>4491</v>
      </c>
      <c r="D4823" s="28" t="s">
        <v>5328</v>
      </c>
      <c r="E4823" s="28" t="s">
        <v>2789</v>
      </c>
      <c r="F4823" s="28" t="s">
        <v>21</v>
      </c>
      <c r="G4823" s="28" t="s">
        <v>39</v>
      </c>
      <c r="H4823" s="28" t="s">
        <v>16221</v>
      </c>
      <c r="I4823" s="28" t="s">
        <v>24346</v>
      </c>
      <c r="J4823" s="28" t="s">
        <v>39</v>
      </c>
      <c r="K4823" s="28" t="s">
        <v>16223</v>
      </c>
      <c r="L4823" s="28" t="s">
        <v>16224</v>
      </c>
      <c r="M4823" s="28" t="s">
        <v>20821</v>
      </c>
      <c r="N4823" s="28" t="s">
        <v>16226</v>
      </c>
      <c r="O4823" s="28" t="s">
        <v>16227</v>
      </c>
      <c r="P4823" s="28" t="s">
        <v>22404</v>
      </c>
    </row>
    <row r="4824" spans="1:16" x14ac:dyDescent="0.25">
      <c r="A4824" s="28" t="s">
        <v>24347</v>
      </c>
      <c r="B4824" s="28" t="s">
        <v>24348</v>
      </c>
      <c r="C4824" s="28" t="s">
        <v>4491</v>
      </c>
      <c r="D4824" s="28" t="s">
        <v>5328</v>
      </c>
      <c r="E4824" s="28" t="s">
        <v>2789</v>
      </c>
      <c r="F4824" s="28" t="s">
        <v>21</v>
      </c>
      <c r="G4824" s="28" t="s">
        <v>39</v>
      </c>
      <c r="H4824" s="28" t="s">
        <v>16221</v>
      </c>
      <c r="I4824" s="28" t="s">
        <v>24349</v>
      </c>
      <c r="J4824" s="28" t="s">
        <v>39</v>
      </c>
      <c r="K4824" s="28" t="s">
        <v>16223</v>
      </c>
      <c r="L4824" s="28" t="s">
        <v>16224</v>
      </c>
      <c r="M4824" s="28" t="s">
        <v>20825</v>
      </c>
      <c r="N4824" s="28" t="s">
        <v>16226</v>
      </c>
      <c r="O4824" s="28" t="s">
        <v>16227</v>
      </c>
      <c r="P4824" s="28" t="s">
        <v>22404</v>
      </c>
    </row>
    <row r="4825" spans="1:16" x14ac:dyDescent="0.25">
      <c r="A4825" s="28" t="s">
        <v>24350</v>
      </c>
      <c r="B4825" s="28" t="s">
        <v>24351</v>
      </c>
      <c r="C4825" s="28" t="s">
        <v>4491</v>
      </c>
      <c r="D4825" s="28" t="s">
        <v>5328</v>
      </c>
      <c r="E4825" s="28" t="s">
        <v>2789</v>
      </c>
      <c r="F4825" s="28" t="s">
        <v>21</v>
      </c>
      <c r="G4825" s="28" t="s">
        <v>39</v>
      </c>
      <c r="H4825" s="28" t="s">
        <v>16221</v>
      </c>
      <c r="I4825" s="28" t="s">
        <v>24352</v>
      </c>
      <c r="J4825" s="28" t="s">
        <v>39</v>
      </c>
      <c r="K4825" s="28" t="s">
        <v>16223</v>
      </c>
      <c r="L4825" s="28" t="s">
        <v>16224</v>
      </c>
      <c r="M4825" s="28" t="s">
        <v>20829</v>
      </c>
      <c r="N4825" s="28" t="s">
        <v>16226</v>
      </c>
      <c r="O4825" s="28" t="s">
        <v>16227</v>
      </c>
      <c r="P4825" s="28" t="s">
        <v>22404</v>
      </c>
    </row>
    <row r="4826" spans="1:16" x14ac:dyDescent="0.25">
      <c r="A4826" s="28" t="s">
        <v>24353</v>
      </c>
      <c r="B4826" s="28" t="s">
        <v>24354</v>
      </c>
      <c r="C4826" s="28" t="s">
        <v>4491</v>
      </c>
      <c r="D4826" s="28" t="s">
        <v>5328</v>
      </c>
      <c r="E4826" s="28" t="s">
        <v>2789</v>
      </c>
      <c r="F4826" s="28" t="s">
        <v>21</v>
      </c>
      <c r="G4826" s="28" t="s">
        <v>39</v>
      </c>
      <c r="H4826" s="28" t="s">
        <v>16221</v>
      </c>
      <c r="I4826" s="28" t="s">
        <v>24355</v>
      </c>
      <c r="J4826" s="28" t="s">
        <v>39</v>
      </c>
      <c r="K4826" s="28" t="s">
        <v>16223</v>
      </c>
      <c r="L4826" s="28" t="s">
        <v>16224</v>
      </c>
      <c r="M4826" s="28" t="s">
        <v>20833</v>
      </c>
      <c r="N4826" s="28" t="s">
        <v>16226</v>
      </c>
      <c r="O4826" s="28" t="s">
        <v>16227</v>
      </c>
      <c r="P4826" s="28" t="s">
        <v>22404</v>
      </c>
    </row>
    <row r="4827" spans="1:16" x14ac:dyDescent="0.25">
      <c r="A4827" s="28" t="s">
        <v>24356</v>
      </c>
      <c r="B4827" s="28" t="s">
        <v>24357</v>
      </c>
      <c r="C4827" s="28" t="s">
        <v>4491</v>
      </c>
      <c r="D4827" s="28" t="s">
        <v>5328</v>
      </c>
      <c r="E4827" s="28" t="s">
        <v>2789</v>
      </c>
      <c r="F4827" s="28" t="s">
        <v>21</v>
      </c>
      <c r="G4827" s="28" t="s">
        <v>39</v>
      </c>
      <c r="H4827" s="28" t="s">
        <v>16221</v>
      </c>
      <c r="I4827" s="28" t="s">
        <v>24358</v>
      </c>
      <c r="J4827" s="28" t="s">
        <v>39</v>
      </c>
      <c r="K4827" s="28" t="s">
        <v>16223</v>
      </c>
      <c r="L4827" s="28" t="s">
        <v>16224</v>
      </c>
      <c r="M4827" s="28" t="s">
        <v>20837</v>
      </c>
      <c r="N4827" s="28" t="s">
        <v>16226</v>
      </c>
      <c r="O4827" s="28" t="s">
        <v>16227</v>
      </c>
      <c r="P4827" s="28" t="s">
        <v>22404</v>
      </c>
    </row>
    <row r="4828" spans="1:16" x14ac:dyDescent="0.25">
      <c r="A4828" s="28" t="s">
        <v>24359</v>
      </c>
      <c r="B4828" s="28" t="s">
        <v>24360</v>
      </c>
      <c r="C4828" s="28" t="s">
        <v>4491</v>
      </c>
      <c r="D4828" s="28" t="s">
        <v>5328</v>
      </c>
      <c r="E4828" s="28" t="s">
        <v>24361</v>
      </c>
      <c r="F4828" s="28" t="s">
        <v>21</v>
      </c>
      <c r="G4828" s="28" t="s">
        <v>149</v>
      </c>
      <c r="H4828" s="28" t="s">
        <v>21726</v>
      </c>
      <c r="I4828" s="28" t="s">
        <v>24362</v>
      </c>
      <c r="J4828" s="28" t="s">
        <v>149</v>
      </c>
      <c r="K4828" s="28" t="s">
        <v>22746</v>
      </c>
      <c r="L4828" s="28" t="s">
        <v>21729</v>
      </c>
      <c r="M4828" s="28" t="s">
        <v>24363</v>
      </c>
      <c r="N4828" s="28" t="s">
        <v>21731</v>
      </c>
      <c r="O4828" s="28" t="s">
        <v>21732</v>
      </c>
      <c r="P4828" s="28" t="s">
        <v>24364</v>
      </c>
    </row>
    <row r="4829" spans="1:16" x14ac:dyDescent="0.25">
      <c r="A4829" s="28" t="s">
        <v>24365</v>
      </c>
      <c r="B4829" s="28" t="s">
        <v>24366</v>
      </c>
      <c r="C4829" s="28" t="s">
        <v>4491</v>
      </c>
      <c r="D4829" s="28" t="s">
        <v>5328</v>
      </c>
      <c r="E4829" s="28" t="s">
        <v>24367</v>
      </c>
      <c r="F4829" s="28" t="s">
        <v>21</v>
      </c>
      <c r="G4829" s="28" t="s">
        <v>149</v>
      </c>
      <c r="H4829" s="28" t="s">
        <v>21726</v>
      </c>
      <c r="I4829" s="28" t="s">
        <v>24368</v>
      </c>
      <c r="J4829" s="28" t="s">
        <v>149</v>
      </c>
      <c r="K4829" s="28" t="s">
        <v>22746</v>
      </c>
      <c r="L4829" s="28" t="s">
        <v>21729</v>
      </c>
      <c r="M4829" s="28" t="s">
        <v>24369</v>
      </c>
      <c r="N4829" s="28" t="s">
        <v>21731</v>
      </c>
      <c r="O4829" s="28" t="s">
        <v>21732</v>
      </c>
      <c r="P4829" s="28" t="s">
        <v>24370</v>
      </c>
    </row>
    <row r="4830" spans="1:16" x14ac:dyDescent="0.25">
      <c r="A4830" s="28" t="s">
        <v>24371</v>
      </c>
      <c r="B4830" s="28" t="s">
        <v>24372</v>
      </c>
      <c r="C4830" s="28" t="s">
        <v>4491</v>
      </c>
      <c r="D4830" s="28" t="s">
        <v>5328</v>
      </c>
      <c r="E4830" s="28" t="s">
        <v>24367</v>
      </c>
      <c r="F4830" s="28" t="s">
        <v>21</v>
      </c>
      <c r="G4830" s="28" t="s">
        <v>149</v>
      </c>
      <c r="H4830" s="28" t="s">
        <v>21726</v>
      </c>
      <c r="I4830" s="28" t="s">
        <v>24373</v>
      </c>
      <c r="J4830" s="28" t="s">
        <v>149</v>
      </c>
      <c r="K4830" s="28" t="s">
        <v>22746</v>
      </c>
      <c r="L4830" s="28" t="s">
        <v>21729</v>
      </c>
      <c r="M4830" s="28" t="s">
        <v>24374</v>
      </c>
      <c r="N4830" s="28" t="s">
        <v>21731</v>
      </c>
      <c r="O4830" s="28" t="s">
        <v>21732</v>
      </c>
      <c r="P4830" s="28" t="s">
        <v>24375</v>
      </c>
    </row>
    <row r="4831" spans="1:16" x14ac:dyDescent="0.25">
      <c r="A4831" s="28" t="s">
        <v>24376</v>
      </c>
      <c r="B4831" s="28" t="s">
        <v>24377</v>
      </c>
      <c r="C4831" s="28" t="s">
        <v>4491</v>
      </c>
      <c r="D4831" s="28" t="s">
        <v>5328</v>
      </c>
      <c r="E4831" s="28" t="s">
        <v>24367</v>
      </c>
      <c r="F4831" s="28" t="s">
        <v>21</v>
      </c>
      <c r="G4831" s="28" t="s">
        <v>149</v>
      </c>
      <c r="H4831" s="28" t="s">
        <v>21726</v>
      </c>
      <c r="I4831" s="28" t="s">
        <v>24378</v>
      </c>
      <c r="J4831" s="28" t="s">
        <v>149</v>
      </c>
      <c r="K4831" s="28" t="s">
        <v>22746</v>
      </c>
      <c r="L4831" s="28" t="s">
        <v>21729</v>
      </c>
      <c r="M4831" s="28" t="s">
        <v>24379</v>
      </c>
      <c r="N4831" s="28" t="s">
        <v>21731</v>
      </c>
      <c r="O4831" s="28" t="s">
        <v>21732</v>
      </c>
      <c r="P4831" s="28" t="s">
        <v>24380</v>
      </c>
    </row>
    <row r="4832" spans="1:16" x14ac:dyDescent="0.25">
      <c r="A4832" s="28" t="s">
        <v>24381</v>
      </c>
      <c r="B4832" s="28" t="s">
        <v>24382</v>
      </c>
      <c r="C4832" s="28" t="s">
        <v>4491</v>
      </c>
      <c r="D4832" s="28" t="s">
        <v>5328</v>
      </c>
      <c r="E4832" s="28" t="s">
        <v>18196</v>
      </c>
      <c r="F4832" s="28" t="s">
        <v>21</v>
      </c>
      <c r="G4832" s="28" t="s">
        <v>149</v>
      </c>
      <c r="H4832" s="28" t="s">
        <v>21726</v>
      </c>
      <c r="I4832" s="28" t="s">
        <v>24383</v>
      </c>
      <c r="J4832" s="28" t="s">
        <v>149</v>
      </c>
      <c r="K4832" s="28" t="s">
        <v>22746</v>
      </c>
      <c r="L4832" s="28" t="s">
        <v>21729</v>
      </c>
      <c r="M4832" s="28" t="s">
        <v>24384</v>
      </c>
      <c r="N4832" s="28" t="s">
        <v>21731</v>
      </c>
      <c r="O4832" s="28" t="s">
        <v>21732</v>
      </c>
      <c r="P4832" s="28" t="s">
        <v>24385</v>
      </c>
    </row>
    <row r="4833" spans="1:16" x14ac:dyDescent="0.25">
      <c r="A4833" s="28" t="s">
        <v>24386</v>
      </c>
      <c r="B4833" s="28" t="s">
        <v>24387</v>
      </c>
      <c r="C4833" s="28" t="s">
        <v>4491</v>
      </c>
      <c r="D4833" s="28" t="s">
        <v>5328</v>
      </c>
      <c r="E4833" s="28" t="s">
        <v>18196</v>
      </c>
      <c r="F4833" s="28" t="s">
        <v>21</v>
      </c>
      <c r="G4833" s="28" t="s">
        <v>149</v>
      </c>
      <c r="H4833" s="28" t="s">
        <v>21726</v>
      </c>
      <c r="I4833" s="28" t="s">
        <v>24388</v>
      </c>
      <c r="J4833" s="28" t="s">
        <v>149</v>
      </c>
      <c r="K4833" s="28" t="s">
        <v>22746</v>
      </c>
      <c r="L4833" s="28" t="s">
        <v>21729</v>
      </c>
      <c r="M4833" s="28" t="s">
        <v>24389</v>
      </c>
      <c r="N4833" s="28" t="s">
        <v>21731</v>
      </c>
      <c r="O4833" s="28" t="s">
        <v>21732</v>
      </c>
      <c r="P4833" s="28" t="s">
        <v>24390</v>
      </c>
    </row>
    <row r="4834" spans="1:16" x14ac:dyDescent="0.25">
      <c r="A4834" s="28" t="s">
        <v>24391</v>
      </c>
      <c r="B4834" s="28" t="s">
        <v>24392</v>
      </c>
      <c r="C4834" s="28" t="s">
        <v>4491</v>
      </c>
      <c r="D4834" s="28" t="s">
        <v>3068</v>
      </c>
      <c r="E4834" s="28" t="s">
        <v>16897</v>
      </c>
      <c r="F4834" s="28" t="s">
        <v>21</v>
      </c>
      <c r="G4834" s="28" t="s">
        <v>39</v>
      </c>
      <c r="H4834" s="28" t="s">
        <v>16221</v>
      </c>
      <c r="I4834" s="28" t="s">
        <v>24393</v>
      </c>
      <c r="J4834" s="28" t="s">
        <v>39</v>
      </c>
      <c r="K4834" s="28" t="s">
        <v>16223</v>
      </c>
      <c r="L4834" s="28" t="s">
        <v>16224</v>
      </c>
      <c r="M4834" s="28" t="s">
        <v>20849</v>
      </c>
      <c r="N4834" s="28" t="s">
        <v>16226</v>
      </c>
      <c r="O4834" s="28" t="s">
        <v>16227</v>
      </c>
      <c r="P4834" s="28" t="s">
        <v>24394</v>
      </c>
    </row>
    <row r="4835" spans="1:16" x14ac:dyDescent="0.25">
      <c r="A4835" s="28" t="s">
        <v>24395</v>
      </c>
      <c r="B4835" s="28" t="s">
        <v>24396</v>
      </c>
      <c r="C4835" s="28" t="s">
        <v>4491</v>
      </c>
      <c r="D4835" s="28" t="s">
        <v>3068</v>
      </c>
      <c r="E4835" s="28" t="s">
        <v>20852</v>
      </c>
      <c r="F4835" s="28" t="s">
        <v>21</v>
      </c>
      <c r="G4835" s="28" t="s">
        <v>39</v>
      </c>
      <c r="H4835" s="28" t="s">
        <v>16221</v>
      </c>
      <c r="I4835" s="28" t="s">
        <v>24397</v>
      </c>
      <c r="J4835" s="28" t="s">
        <v>39</v>
      </c>
      <c r="K4835" s="28" t="s">
        <v>16223</v>
      </c>
      <c r="L4835" s="28" t="s">
        <v>16224</v>
      </c>
      <c r="M4835" s="28" t="s">
        <v>20854</v>
      </c>
      <c r="N4835" s="28" t="s">
        <v>16226</v>
      </c>
      <c r="O4835" s="28" t="s">
        <v>16227</v>
      </c>
      <c r="P4835" s="28" t="s">
        <v>24398</v>
      </c>
    </row>
    <row r="4836" spans="1:16" x14ac:dyDescent="0.25">
      <c r="A4836" s="28" t="s">
        <v>24399</v>
      </c>
      <c r="B4836" s="28" t="s">
        <v>24400</v>
      </c>
      <c r="C4836" s="28" t="s">
        <v>4491</v>
      </c>
      <c r="D4836" s="28" t="s">
        <v>3068</v>
      </c>
      <c r="E4836" s="28" t="s">
        <v>16903</v>
      </c>
      <c r="F4836" s="28" t="s">
        <v>21</v>
      </c>
      <c r="G4836" s="28" t="s">
        <v>39</v>
      </c>
      <c r="H4836" s="28" t="s">
        <v>16221</v>
      </c>
      <c r="I4836" s="28" t="s">
        <v>24401</v>
      </c>
      <c r="J4836" s="28" t="s">
        <v>39</v>
      </c>
      <c r="K4836" s="28" t="s">
        <v>16223</v>
      </c>
      <c r="L4836" s="28" t="s">
        <v>16224</v>
      </c>
      <c r="M4836" s="28" t="s">
        <v>20859</v>
      </c>
      <c r="N4836" s="28" t="s">
        <v>16226</v>
      </c>
      <c r="O4836" s="28" t="s">
        <v>16227</v>
      </c>
      <c r="P4836" s="28" t="s">
        <v>24402</v>
      </c>
    </row>
    <row r="4837" spans="1:16" x14ac:dyDescent="0.25">
      <c r="A4837" s="28" t="s">
        <v>24403</v>
      </c>
      <c r="B4837" s="28" t="s">
        <v>24404</v>
      </c>
      <c r="C4837" s="28" t="s">
        <v>4491</v>
      </c>
      <c r="D4837" s="28" t="s">
        <v>3068</v>
      </c>
      <c r="E4837" s="28" t="s">
        <v>20862</v>
      </c>
      <c r="F4837" s="28" t="s">
        <v>21</v>
      </c>
      <c r="G4837" s="28" t="s">
        <v>39</v>
      </c>
      <c r="H4837" s="28" t="s">
        <v>16221</v>
      </c>
      <c r="I4837" s="28" t="s">
        <v>24405</v>
      </c>
      <c r="J4837" s="28" t="s">
        <v>39</v>
      </c>
      <c r="K4837" s="28" t="s">
        <v>16223</v>
      </c>
      <c r="L4837" s="28" t="s">
        <v>16224</v>
      </c>
      <c r="M4837" s="28" t="s">
        <v>20864</v>
      </c>
      <c r="N4837" s="28" t="s">
        <v>16226</v>
      </c>
      <c r="O4837" s="28" t="s">
        <v>16227</v>
      </c>
      <c r="P4837" s="28" t="s">
        <v>24406</v>
      </c>
    </row>
    <row r="4838" spans="1:16" x14ac:dyDescent="0.25">
      <c r="A4838" s="28" t="s">
        <v>24407</v>
      </c>
      <c r="B4838" s="28" t="s">
        <v>24408</v>
      </c>
      <c r="C4838" s="28" t="s">
        <v>4491</v>
      </c>
      <c r="D4838" s="28" t="s">
        <v>3068</v>
      </c>
      <c r="E4838" s="28" t="s">
        <v>16909</v>
      </c>
      <c r="F4838" s="28" t="s">
        <v>21</v>
      </c>
      <c r="G4838" s="28" t="s">
        <v>39</v>
      </c>
      <c r="H4838" s="28" t="s">
        <v>16221</v>
      </c>
      <c r="I4838" s="28" t="s">
        <v>24409</v>
      </c>
      <c r="J4838" s="28" t="s">
        <v>39</v>
      </c>
      <c r="K4838" s="28" t="s">
        <v>16223</v>
      </c>
      <c r="L4838" s="28" t="s">
        <v>16224</v>
      </c>
      <c r="M4838" s="28" t="s">
        <v>20869</v>
      </c>
      <c r="N4838" s="28" t="s">
        <v>16226</v>
      </c>
      <c r="O4838" s="28" t="s">
        <v>16227</v>
      </c>
      <c r="P4838" s="28" t="s">
        <v>22428</v>
      </c>
    </row>
    <row r="4839" spans="1:16" x14ac:dyDescent="0.25">
      <c r="A4839" s="28" t="s">
        <v>24410</v>
      </c>
      <c r="B4839" s="28" t="s">
        <v>24411</v>
      </c>
      <c r="C4839" s="28" t="s">
        <v>4491</v>
      </c>
      <c r="D4839" s="28" t="s">
        <v>3068</v>
      </c>
      <c r="E4839" s="28" t="s">
        <v>20872</v>
      </c>
      <c r="F4839" s="28" t="s">
        <v>21</v>
      </c>
      <c r="G4839" s="28" t="s">
        <v>39</v>
      </c>
      <c r="H4839" s="28" t="s">
        <v>16221</v>
      </c>
      <c r="I4839" s="28" t="s">
        <v>24412</v>
      </c>
      <c r="J4839" s="28" t="s">
        <v>39</v>
      </c>
      <c r="K4839" s="28" t="s">
        <v>16223</v>
      </c>
      <c r="L4839" s="28" t="s">
        <v>16224</v>
      </c>
      <c r="M4839" s="28" t="s">
        <v>20874</v>
      </c>
      <c r="N4839" s="28" t="s">
        <v>16226</v>
      </c>
      <c r="O4839" s="28" t="s">
        <v>16227</v>
      </c>
      <c r="P4839" s="28" t="s">
        <v>24413</v>
      </c>
    </row>
    <row r="4840" spans="1:16" x14ac:dyDescent="0.25">
      <c r="A4840" s="28" t="s">
        <v>24414</v>
      </c>
      <c r="B4840" s="28" t="s">
        <v>24415</v>
      </c>
      <c r="C4840" s="28" t="s">
        <v>4491</v>
      </c>
      <c r="D4840" s="28" t="s">
        <v>3068</v>
      </c>
      <c r="E4840" s="28" t="s">
        <v>20878</v>
      </c>
      <c r="F4840" s="28" t="s">
        <v>21</v>
      </c>
      <c r="G4840" s="28" t="s">
        <v>39</v>
      </c>
      <c r="H4840" s="28" t="s">
        <v>16221</v>
      </c>
      <c r="I4840" s="28" t="s">
        <v>24416</v>
      </c>
      <c r="J4840" s="28" t="s">
        <v>39</v>
      </c>
      <c r="K4840" s="28" t="s">
        <v>16223</v>
      </c>
      <c r="L4840" s="28" t="s">
        <v>16224</v>
      </c>
      <c r="M4840" s="28" t="s">
        <v>20880</v>
      </c>
      <c r="N4840" s="28" t="s">
        <v>16226</v>
      </c>
      <c r="O4840" s="28" t="s">
        <v>16227</v>
      </c>
      <c r="P4840" s="28" t="s">
        <v>24417</v>
      </c>
    </row>
    <row r="4841" spans="1:16" x14ac:dyDescent="0.25">
      <c r="A4841" s="28" t="s">
        <v>24418</v>
      </c>
      <c r="B4841" s="28" t="s">
        <v>24419</v>
      </c>
      <c r="C4841" s="28" t="s">
        <v>4491</v>
      </c>
      <c r="D4841" s="28" t="s">
        <v>3068</v>
      </c>
      <c r="E4841" s="28" t="s">
        <v>20884</v>
      </c>
      <c r="F4841" s="28" t="s">
        <v>21</v>
      </c>
      <c r="G4841" s="28" t="s">
        <v>149</v>
      </c>
      <c r="H4841" s="28" t="s">
        <v>21726</v>
      </c>
      <c r="I4841" s="28" t="s">
        <v>24420</v>
      </c>
      <c r="J4841" s="28" t="s">
        <v>149</v>
      </c>
      <c r="K4841" s="28" t="s">
        <v>22746</v>
      </c>
      <c r="L4841" s="28" t="s">
        <v>21729</v>
      </c>
      <c r="M4841" s="28" t="s">
        <v>24421</v>
      </c>
      <c r="N4841" s="28" t="s">
        <v>21731</v>
      </c>
      <c r="O4841" s="28" t="s">
        <v>21732</v>
      </c>
      <c r="P4841" s="28" t="s">
        <v>24422</v>
      </c>
    </row>
    <row r="4842" spans="1:16" x14ac:dyDescent="0.25">
      <c r="A4842" s="28" t="s">
        <v>24423</v>
      </c>
      <c r="B4842" s="28" t="s">
        <v>24424</v>
      </c>
      <c r="C4842" s="28" t="s">
        <v>4491</v>
      </c>
      <c r="D4842" s="28" t="s">
        <v>3068</v>
      </c>
      <c r="E4842" s="28" t="s">
        <v>20890</v>
      </c>
      <c r="F4842" s="28" t="s">
        <v>21</v>
      </c>
      <c r="G4842" s="28" t="s">
        <v>149</v>
      </c>
      <c r="H4842" s="28" t="s">
        <v>21726</v>
      </c>
      <c r="I4842" s="28" t="s">
        <v>24425</v>
      </c>
      <c r="J4842" s="28" t="s">
        <v>149</v>
      </c>
      <c r="K4842" s="28" t="s">
        <v>22746</v>
      </c>
      <c r="L4842" s="28" t="s">
        <v>21729</v>
      </c>
      <c r="M4842" s="28" t="s">
        <v>24426</v>
      </c>
      <c r="N4842" s="28" t="s">
        <v>21731</v>
      </c>
      <c r="O4842" s="28" t="s">
        <v>21732</v>
      </c>
      <c r="P4842" s="28" t="s">
        <v>24427</v>
      </c>
    </row>
    <row r="4843" spans="1:16" x14ac:dyDescent="0.25">
      <c r="A4843" s="28" t="s">
        <v>24428</v>
      </c>
      <c r="B4843" s="28" t="s">
        <v>24429</v>
      </c>
      <c r="C4843" s="28" t="s">
        <v>4491</v>
      </c>
      <c r="D4843" s="28" t="s">
        <v>3068</v>
      </c>
      <c r="E4843" s="28" t="s">
        <v>20896</v>
      </c>
      <c r="F4843" s="28" t="s">
        <v>21</v>
      </c>
      <c r="G4843" s="28" t="s">
        <v>149</v>
      </c>
      <c r="H4843" s="28" t="s">
        <v>21726</v>
      </c>
      <c r="I4843" s="28" t="s">
        <v>24430</v>
      </c>
      <c r="J4843" s="28" t="s">
        <v>149</v>
      </c>
      <c r="K4843" s="28" t="s">
        <v>22746</v>
      </c>
      <c r="L4843" s="28" t="s">
        <v>21729</v>
      </c>
      <c r="M4843" s="28" t="s">
        <v>24431</v>
      </c>
      <c r="N4843" s="28" t="s">
        <v>21731</v>
      </c>
      <c r="O4843" s="28" t="s">
        <v>21732</v>
      </c>
      <c r="P4843" s="28" t="s">
        <v>24432</v>
      </c>
    </row>
    <row r="4844" spans="1:16" x14ac:dyDescent="0.25">
      <c r="A4844" s="28" t="s">
        <v>24433</v>
      </c>
      <c r="B4844" s="28" t="s">
        <v>24434</v>
      </c>
      <c r="C4844" s="28" t="s">
        <v>4491</v>
      </c>
      <c r="D4844" s="28" t="s">
        <v>3068</v>
      </c>
      <c r="E4844" s="28" t="s">
        <v>20902</v>
      </c>
      <c r="F4844" s="28" t="s">
        <v>21</v>
      </c>
      <c r="G4844" s="28" t="s">
        <v>149</v>
      </c>
      <c r="H4844" s="28" t="s">
        <v>21726</v>
      </c>
      <c r="I4844" s="28" t="s">
        <v>24435</v>
      </c>
      <c r="J4844" s="28" t="s">
        <v>149</v>
      </c>
      <c r="K4844" s="28" t="s">
        <v>22746</v>
      </c>
      <c r="L4844" s="28" t="s">
        <v>21729</v>
      </c>
      <c r="M4844" s="28" t="s">
        <v>24436</v>
      </c>
      <c r="N4844" s="28" t="s">
        <v>21731</v>
      </c>
      <c r="O4844" s="28" t="s">
        <v>21732</v>
      </c>
      <c r="P4844" s="28" t="s">
        <v>24437</v>
      </c>
    </row>
    <row r="4845" spans="1:16" x14ac:dyDescent="0.25">
      <c r="A4845" s="28" t="s">
        <v>24438</v>
      </c>
      <c r="B4845" s="28" t="s">
        <v>24439</v>
      </c>
      <c r="C4845" s="28" t="s">
        <v>4491</v>
      </c>
      <c r="D4845" s="28" t="s">
        <v>3068</v>
      </c>
      <c r="E4845" s="28" t="s">
        <v>17043</v>
      </c>
      <c r="F4845" s="28" t="s">
        <v>21</v>
      </c>
      <c r="G4845" s="28" t="s">
        <v>39</v>
      </c>
      <c r="H4845" s="28" t="s">
        <v>16221</v>
      </c>
      <c r="I4845" s="28" t="s">
        <v>24440</v>
      </c>
      <c r="J4845" s="28" t="s">
        <v>39</v>
      </c>
      <c r="K4845" s="28" t="s">
        <v>16223</v>
      </c>
      <c r="L4845" s="28" t="s">
        <v>16224</v>
      </c>
      <c r="M4845" s="28" t="s">
        <v>20909</v>
      </c>
      <c r="N4845" s="28" t="s">
        <v>16226</v>
      </c>
      <c r="O4845" s="28" t="s">
        <v>16227</v>
      </c>
      <c r="P4845" s="28" t="s">
        <v>24441</v>
      </c>
    </row>
    <row r="4846" spans="1:16" x14ac:dyDescent="0.25">
      <c r="A4846" s="28" t="s">
        <v>24442</v>
      </c>
      <c r="B4846" s="28" t="s">
        <v>24443</v>
      </c>
      <c r="C4846" s="28" t="s">
        <v>4491</v>
      </c>
      <c r="D4846" s="28" t="s">
        <v>3068</v>
      </c>
      <c r="E4846" s="28" t="s">
        <v>20912</v>
      </c>
      <c r="F4846" s="28" t="s">
        <v>21</v>
      </c>
      <c r="G4846" s="28" t="s">
        <v>149</v>
      </c>
      <c r="H4846" s="28" t="s">
        <v>21726</v>
      </c>
      <c r="I4846" s="28" t="s">
        <v>24444</v>
      </c>
      <c r="J4846" s="28" t="s">
        <v>149</v>
      </c>
      <c r="K4846" s="28" t="s">
        <v>22746</v>
      </c>
      <c r="L4846" s="28" t="s">
        <v>21729</v>
      </c>
      <c r="M4846" s="28" t="s">
        <v>24445</v>
      </c>
      <c r="N4846" s="28" t="s">
        <v>21731</v>
      </c>
      <c r="O4846" s="28" t="s">
        <v>21732</v>
      </c>
      <c r="P4846" s="28" t="s">
        <v>24446</v>
      </c>
    </row>
    <row r="4847" spans="1:16" x14ac:dyDescent="0.25">
      <c r="A4847" s="28" t="s">
        <v>24447</v>
      </c>
      <c r="B4847" s="28" t="s">
        <v>24448</v>
      </c>
      <c r="C4847" s="28" t="s">
        <v>4491</v>
      </c>
      <c r="D4847" s="28" t="s">
        <v>3068</v>
      </c>
      <c r="E4847" s="28" t="s">
        <v>20912</v>
      </c>
      <c r="F4847" s="28" t="s">
        <v>21</v>
      </c>
      <c r="G4847" s="28" t="s">
        <v>149</v>
      </c>
      <c r="H4847" s="28" t="s">
        <v>21726</v>
      </c>
      <c r="I4847" s="28" t="s">
        <v>24449</v>
      </c>
      <c r="J4847" s="28" t="s">
        <v>149</v>
      </c>
      <c r="K4847" s="28" t="s">
        <v>22746</v>
      </c>
      <c r="L4847" s="28" t="s">
        <v>21729</v>
      </c>
      <c r="M4847" s="28" t="s">
        <v>24450</v>
      </c>
      <c r="N4847" s="28" t="s">
        <v>21731</v>
      </c>
      <c r="O4847" s="28" t="s">
        <v>21732</v>
      </c>
      <c r="P4847" s="28" t="s">
        <v>24451</v>
      </c>
    </row>
    <row r="4848" spans="1:16" x14ac:dyDescent="0.25">
      <c r="A4848" s="28" t="s">
        <v>24452</v>
      </c>
      <c r="B4848" s="28" t="s">
        <v>24453</v>
      </c>
      <c r="C4848" s="28" t="s">
        <v>4491</v>
      </c>
      <c r="D4848" s="28" t="s">
        <v>3068</v>
      </c>
      <c r="E4848" s="28" t="s">
        <v>20922</v>
      </c>
      <c r="F4848" s="28" t="s">
        <v>21</v>
      </c>
      <c r="G4848" s="28" t="s">
        <v>149</v>
      </c>
      <c r="H4848" s="28" t="s">
        <v>21726</v>
      </c>
      <c r="I4848" s="28" t="s">
        <v>24454</v>
      </c>
      <c r="J4848" s="28" t="s">
        <v>149</v>
      </c>
      <c r="K4848" s="28" t="s">
        <v>22746</v>
      </c>
      <c r="L4848" s="28" t="s">
        <v>21729</v>
      </c>
      <c r="M4848" s="28" t="s">
        <v>24455</v>
      </c>
      <c r="N4848" s="28" t="s">
        <v>21731</v>
      </c>
      <c r="O4848" s="28" t="s">
        <v>21732</v>
      </c>
      <c r="P4848" s="28" t="s">
        <v>24456</v>
      </c>
    </row>
    <row r="4849" spans="1:16" x14ac:dyDescent="0.25">
      <c r="A4849" s="28" t="s">
        <v>24457</v>
      </c>
      <c r="B4849" s="28" t="s">
        <v>24458</v>
      </c>
      <c r="C4849" s="28" t="s">
        <v>4491</v>
      </c>
      <c r="D4849" s="28" t="s">
        <v>3068</v>
      </c>
      <c r="E4849" s="28" t="s">
        <v>20922</v>
      </c>
      <c r="F4849" s="28" t="s">
        <v>21</v>
      </c>
      <c r="G4849" s="28" t="s">
        <v>149</v>
      </c>
      <c r="H4849" s="28" t="s">
        <v>21726</v>
      </c>
      <c r="I4849" s="28" t="s">
        <v>24459</v>
      </c>
      <c r="J4849" s="28" t="s">
        <v>149</v>
      </c>
      <c r="K4849" s="28" t="s">
        <v>22746</v>
      </c>
      <c r="L4849" s="28" t="s">
        <v>21729</v>
      </c>
      <c r="M4849" s="28" t="s">
        <v>24460</v>
      </c>
      <c r="N4849" s="28" t="s">
        <v>21731</v>
      </c>
      <c r="O4849" s="28" t="s">
        <v>21732</v>
      </c>
      <c r="P4849" s="28" t="s">
        <v>24461</v>
      </c>
    </row>
    <row r="4850" spans="1:16" x14ac:dyDescent="0.25">
      <c r="A4850" s="28" t="s">
        <v>24462</v>
      </c>
      <c r="B4850" s="28" t="s">
        <v>24463</v>
      </c>
      <c r="C4850" s="28" t="s">
        <v>4491</v>
      </c>
      <c r="D4850" s="28" t="s">
        <v>3068</v>
      </c>
      <c r="E4850" s="28" t="s">
        <v>20932</v>
      </c>
      <c r="F4850" s="28" t="s">
        <v>21</v>
      </c>
      <c r="G4850" s="28" t="s">
        <v>149</v>
      </c>
      <c r="H4850" s="28" t="s">
        <v>21726</v>
      </c>
      <c r="I4850" s="28" t="s">
        <v>24464</v>
      </c>
      <c r="J4850" s="28" t="s">
        <v>149</v>
      </c>
      <c r="K4850" s="28" t="s">
        <v>22746</v>
      </c>
      <c r="L4850" s="28" t="s">
        <v>21729</v>
      </c>
      <c r="M4850" s="28" t="s">
        <v>24465</v>
      </c>
      <c r="N4850" s="28" t="s">
        <v>21731</v>
      </c>
      <c r="O4850" s="28" t="s">
        <v>21732</v>
      </c>
      <c r="P4850" s="28" t="s">
        <v>24466</v>
      </c>
    </row>
    <row r="4851" spans="1:16" x14ac:dyDescent="0.25">
      <c r="A4851" s="28" t="s">
        <v>24467</v>
      </c>
      <c r="B4851" s="28" t="s">
        <v>24468</v>
      </c>
      <c r="C4851" s="28" t="s">
        <v>4491</v>
      </c>
      <c r="D4851" s="28" t="s">
        <v>3068</v>
      </c>
      <c r="E4851" s="28" t="s">
        <v>20932</v>
      </c>
      <c r="F4851" s="28" t="s">
        <v>21</v>
      </c>
      <c r="G4851" s="28" t="s">
        <v>149</v>
      </c>
      <c r="H4851" s="28" t="s">
        <v>21726</v>
      </c>
      <c r="I4851" s="28" t="s">
        <v>24469</v>
      </c>
      <c r="J4851" s="28" t="s">
        <v>149</v>
      </c>
      <c r="K4851" s="28" t="s">
        <v>22746</v>
      </c>
      <c r="L4851" s="28" t="s">
        <v>21729</v>
      </c>
      <c r="M4851" s="28" t="s">
        <v>24470</v>
      </c>
      <c r="N4851" s="28" t="s">
        <v>21731</v>
      </c>
      <c r="O4851" s="28" t="s">
        <v>21732</v>
      </c>
      <c r="P4851" s="28" t="s">
        <v>24471</v>
      </c>
    </row>
    <row r="4852" spans="1:16" x14ac:dyDescent="0.25">
      <c r="A4852" s="28" t="s">
        <v>24472</v>
      </c>
      <c r="B4852" s="28" t="s">
        <v>24473</v>
      </c>
      <c r="C4852" s="28" t="s">
        <v>4491</v>
      </c>
      <c r="D4852" s="28" t="s">
        <v>3068</v>
      </c>
      <c r="E4852" s="28" t="s">
        <v>20942</v>
      </c>
      <c r="F4852" s="28" t="s">
        <v>21</v>
      </c>
      <c r="G4852" s="28" t="s">
        <v>149</v>
      </c>
      <c r="H4852" s="28" t="s">
        <v>21726</v>
      </c>
      <c r="I4852" s="28" t="s">
        <v>24474</v>
      </c>
      <c r="J4852" s="28" t="s">
        <v>149</v>
      </c>
      <c r="K4852" s="28" t="s">
        <v>22746</v>
      </c>
      <c r="L4852" s="28" t="s">
        <v>21729</v>
      </c>
      <c r="M4852" s="28" t="s">
        <v>24475</v>
      </c>
      <c r="N4852" s="28" t="s">
        <v>21731</v>
      </c>
      <c r="O4852" s="28" t="s">
        <v>21732</v>
      </c>
      <c r="P4852" s="28" t="s">
        <v>24476</v>
      </c>
    </row>
    <row r="4853" spans="1:16" x14ac:dyDescent="0.25">
      <c r="A4853" s="28" t="s">
        <v>24477</v>
      </c>
      <c r="B4853" s="28" t="s">
        <v>24478</v>
      </c>
      <c r="C4853" s="28" t="s">
        <v>4491</v>
      </c>
      <c r="D4853" s="28" t="s">
        <v>3068</v>
      </c>
      <c r="E4853" s="28" t="s">
        <v>20942</v>
      </c>
      <c r="F4853" s="28" t="s">
        <v>21</v>
      </c>
      <c r="G4853" s="28" t="s">
        <v>149</v>
      </c>
      <c r="H4853" s="28" t="s">
        <v>21726</v>
      </c>
      <c r="I4853" s="28" t="s">
        <v>24479</v>
      </c>
      <c r="J4853" s="28" t="s">
        <v>149</v>
      </c>
      <c r="K4853" s="28" t="s">
        <v>22746</v>
      </c>
      <c r="L4853" s="28" t="s">
        <v>21729</v>
      </c>
      <c r="M4853" s="28" t="s">
        <v>24480</v>
      </c>
      <c r="N4853" s="28" t="s">
        <v>21731</v>
      </c>
      <c r="O4853" s="28" t="s">
        <v>21732</v>
      </c>
      <c r="P4853" s="28" t="s">
        <v>24481</v>
      </c>
    </row>
    <row r="4854" spans="1:16" x14ac:dyDescent="0.25">
      <c r="A4854" s="28" t="s">
        <v>24482</v>
      </c>
      <c r="B4854" s="28" t="s">
        <v>24483</v>
      </c>
      <c r="C4854" s="28" t="s">
        <v>4491</v>
      </c>
      <c r="D4854" s="28" t="s">
        <v>3068</v>
      </c>
      <c r="E4854" s="28" t="s">
        <v>20952</v>
      </c>
      <c r="F4854" s="28" t="s">
        <v>21</v>
      </c>
      <c r="G4854" s="28" t="s">
        <v>149</v>
      </c>
      <c r="H4854" s="28" t="s">
        <v>21726</v>
      </c>
      <c r="I4854" s="28" t="s">
        <v>24484</v>
      </c>
      <c r="J4854" s="28" t="s">
        <v>149</v>
      </c>
      <c r="K4854" s="28" t="s">
        <v>22746</v>
      </c>
      <c r="L4854" s="28" t="s">
        <v>21729</v>
      </c>
      <c r="M4854" s="28" t="s">
        <v>24485</v>
      </c>
      <c r="N4854" s="28" t="s">
        <v>21731</v>
      </c>
      <c r="O4854" s="28" t="s">
        <v>21732</v>
      </c>
      <c r="P4854" s="28" t="s">
        <v>24486</v>
      </c>
    </row>
    <row r="4855" spans="1:16" x14ac:dyDescent="0.25">
      <c r="A4855" s="28" t="s">
        <v>24487</v>
      </c>
      <c r="B4855" s="28" t="s">
        <v>24488</v>
      </c>
      <c r="C4855" s="28" t="s">
        <v>4491</v>
      </c>
      <c r="D4855" s="28" t="s">
        <v>3068</v>
      </c>
      <c r="E4855" s="28" t="s">
        <v>20952</v>
      </c>
      <c r="F4855" s="28" t="s">
        <v>21</v>
      </c>
      <c r="G4855" s="28" t="s">
        <v>149</v>
      </c>
      <c r="H4855" s="28" t="s">
        <v>21726</v>
      </c>
      <c r="I4855" s="28" t="s">
        <v>24489</v>
      </c>
      <c r="J4855" s="28" t="s">
        <v>149</v>
      </c>
      <c r="K4855" s="28" t="s">
        <v>22746</v>
      </c>
      <c r="L4855" s="28" t="s">
        <v>21729</v>
      </c>
      <c r="M4855" s="28" t="s">
        <v>24490</v>
      </c>
      <c r="N4855" s="28" t="s">
        <v>21731</v>
      </c>
      <c r="O4855" s="28" t="s">
        <v>21732</v>
      </c>
      <c r="P4855" s="28" t="s">
        <v>24491</v>
      </c>
    </row>
    <row r="4856" spans="1:16" x14ac:dyDescent="0.25">
      <c r="A4856" s="28" t="s">
        <v>24492</v>
      </c>
      <c r="B4856" s="28" t="s">
        <v>24493</v>
      </c>
      <c r="C4856" s="28" t="s">
        <v>4491</v>
      </c>
      <c r="D4856" s="28" t="s">
        <v>3068</v>
      </c>
      <c r="E4856" s="28" t="s">
        <v>20962</v>
      </c>
      <c r="F4856" s="28" t="s">
        <v>21</v>
      </c>
      <c r="G4856" s="28" t="s">
        <v>149</v>
      </c>
      <c r="H4856" s="28" t="s">
        <v>21726</v>
      </c>
      <c r="I4856" s="28" t="s">
        <v>24494</v>
      </c>
      <c r="J4856" s="28" t="s">
        <v>149</v>
      </c>
      <c r="K4856" s="28" t="s">
        <v>22746</v>
      </c>
      <c r="L4856" s="28" t="s">
        <v>21729</v>
      </c>
      <c r="M4856" s="28" t="s">
        <v>24495</v>
      </c>
      <c r="N4856" s="28" t="s">
        <v>21731</v>
      </c>
      <c r="O4856" s="28" t="s">
        <v>21732</v>
      </c>
      <c r="P4856" s="28" t="s">
        <v>24496</v>
      </c>
    </row>
    <row r="4857" spans="1:16" x14ac:dyDescent="0.25">
      <c r="A4857" s="28" t="s">
        <v>24497</v>
      </c>
      <c r="B4857" s="28" t="s">
        <v>24498</v>
      </c>
      <c r="C4857" s="28" t="s">
        <v>4491</v>
      </c>
      <c r="D4857" s="28" t="s">
        <v>3068</v>
      </c>
      <c r="E4857" s="28" t="s">
        <v>20962</v>
      </c>
      <c r="F4857" s="28" t="s">
        <v>21</v>
      </c>
      <c r="G4857" s="28" t="s">
        <v>149</v>
      </c>
      <c r="H4857" s="28" t="s">
        <v>21726</v>
      </c>
      <c r="I4857" s="28" t="s">
        <v>24499</v>
      </c>
      <c r="J4857" s="28" t="s">
        <v>149</v>
      </c>
      <c r="K4857" s="28" t="s">
        <v>22746</v>
      </c>
      <c r="L4857" s="28" t="s">
        <v>21729</v>
      </c>
      <c r="M4857" s="28" t="s">
        <v>24500</v>
      </c>
      <c r="N4857" s="28" t="s">
        <v>21731</v>
      </c>
      <c r="O4857" s="28" t="s">
        <v>21732</v>
      </c>
      <c r="P4857" s="28" t="s">
        <v>24501</v>
      </c>
    </row>
    <row r="4858" spans="1:16" x14ac:dyDescent="0.25">
      <c r="A4858" s="28" t="s">
        <v>24502</v>
      </c>
      <c r="B4858" s="28" t="s">
        <v>24503</v>
      </c>
      <c r="C4858" s="28" t="s">
        <v>4491</v>
      </c>
      <c r="D4858" s="28" t="s">
        <v>5372</v>
      </c>
      <c r="E4858" s="28" t="s">
        <v>20972</v>
      </c>
      <c r="F4858" s="28" t="s">
        <v>21</v>
      </c>
      <c r="G4858" s="28" t="s">
        <v>149</v>
      </c>
      <c r="H4858" s="28" t="s">
        <v>21726</v>
      </c>
      <c r="I4858" s="28" t="s">
        <v>24504</v>
      </c>
      <c r="J4858" s="28" t="s">
        <v>149</v>
      </c>
      <c r="K4858" s="28" t="s">
        <v>22746</v>
      </c>
      <c r="L4858" s="28" t="s">
        <v>21729</v>
      </c>
      <c r="M4858" s="28" t="s">
        <v>24505</v>
      </c>
      <c r="N4858" s="28" t="s">
        <v>21731</v>
      </c>
      <c r="O4858" s="28" t="s">
        <v>21732</v>
      </c>
      <c r="P4858" s="28" t="s">
        <v>24506</v>
      </c>
    </row>
    <row r="4859" spans="1:16" x14ac:dyDescent="0.25">
      <c r="A4859" s="28" t="s">
        <v>24507</v>
      </c>
      <c r="B4859" s="28" t="s">
        <v>24508</v>
      </c>
      <c r="C4859" s="28" t="s">
        <v>4491</v>
      </c>
      <c r="D4859" s="28" t="s">
        <v>5372</v>
      </c>
      <c r="E4859" s="28" t="s">
        <v>20978</v>
      </c>
      <c r="F4859" s="28" t="s">
        <v>21</v>
      </c>
      <c r="G4859" s="28" t="s">
        <v>149</v>
      </c>
      <c r="H4859" s="28" t="s">
        <v>21726</v>
      </c>
      <c r="I4859" s="28" t="s">
        <v>24509</v>
      </c>
      <c r="J4859" s="28" t="s">
        <v>149</v>
      </c>
      <c r="K4859" s="28" t="s">
        <v>22746</v>
      </c>
      <c r="L4859" s="28" t="s">
        <v>21729</v>
      </c>
      <c r="M4859" s="28" t="s">
        <v>24510</v>
      </c>
      <c r="N4859" s="28" t="s">
        <v>21731</v>
      </c>
      <c r="O4859" s="28" t="s">
        <v>21732</v>
      </c>
      <c r="P4859" s="28" t="s">
        <v>24511</v>
      </c>
    </row>
    <row r="4860" spans="1:16" x14ac:dyDescent="0.25">
      <c r="A4860" s="28" t="s">
        <v>24512</v>
      </c>
      <c r="B4860" s="28" t="s">
        <v>24513</v>
      </c>
      <c r="C4860" s="28" t="s">
        <v>4491</v>
      </c>
      <c r="D4860" s="28" t="s">
        <v>5372</v>
      </c>
      <c r="E4860" s="28" t="s">
        <v>20984</v>
      </c>
      <c r="F4860" s="28" t="s">
        <v>21</v>
      </c>
      <c r="G4860" s="28" t="s">
        <v>39</v>
      </c>
      <c r="H4860" s="28" t="s">
        <v>16221</v>
      </c>
      <c r="I4860" s="28" t="s">
        <v>24514</v>
      </c>
      <c r="J4860" s="28" t="s">
        <v>39</v>
      </c>
      <c r="K4860" s="28" t="s">
        <v>16223</v>
      </c>
      <c r="L4860" s="28" t="s">
        <v>16224</v>
      </c>
      <c r="M4860" s="28" t="s">
        <v>20986</v>
      </c>
      <c r="N4860" s="28" t="s">
        <v>16226</v>
      </c>
      <c r="O4860" s="28" t="s">
        <v>16227</v>
      </c>
      <c r="P4860" s="28" t="s">
        <v>24515</v>
      </c>
    </row>
    <row r="4861" spans="1:16" x14ac:dyDescent="0.25">
      <c r="A4861" s="28" t="s">
        <v>24516</v>
      </c>
      <c r="B4861" s="28" t="s">
        <v>24517</v>
      </c>
      <c r="C4861" s="28" t="s">
        <v>4491</v>
      </c>
      <c r="D4861" s="28" t="s">
        <v>5372</v>
      </c>
      <c r="E4861" s="28" t="s">
        <v>20990</v>
      </c>
      <c r="F4861" s="28" t="s">
        <v>21</v>
      </c>
      <c r="G4861" s="28" t="s">
        <v>149</v>
      </c>
      <c r="H4861" s="28" t="s">
        <v>21726</v>
      </c>
      <c r="I4861" s="28" t="s">
        <v>24518</v>
      </c>
      <c r="J4861" s="28" t="s">
        <v>149</v>
      </c>
      <c r="K4861" s="28" t="s">
        <v>22746</v>
      </c>
      <c r="L4861" s="28" t="s">
        <v>21729</v>
      </c>
      <c r="M4861" s="28" t="s">
        <v>24519</v>
      </c>
      <c r="N4861" s="28" t="s">
        <v>21731</v>
      </c>
      <c r="O4861" s="28" t="s">
        <v>21732</v>
      </c>
      <c r="P4861" s="28" t="s">
        <v>24520</v>
      </c>
    </row>
    <row r="4862" spans="1:16" x14ac:dyDescent="0.25">
      <c r="A4862" s="28" t="s">
        <v>24521</v>
      </c>
      <c r="B4862" s="28" t="s">
        <v>24522</v>
      </c>
      <c r="C4862" s="28" t="s">
        <v>4491</v>
      </c>
      <c r="D4862" s="28" t="s">
        <v>5372</v>
      </c>
      <c r="E4862" s="28" t="s">
        <v>20996</v>
      </c>
      <c r="F4862" s="28" t="s">
        <v>21</v>
      </c>
      <c r="G4862" s="28" t="s">
        <v>149</v>
      </c>
      <c r="H4862" s="28" t="s">
        <v>21726</v>
      </c>
      <c r="I4862" s="28" t="s">
        <v>24523</v>
      </c>
      <c r="J4862" s="28" t="s">
        <v>149</v>
      </c>
      <c r="K4862" s="28" t="s">
        <v>22746</v>
      </c>
      <c r="L4862" s="28" t="s">
        <v>21729</v>
      </c>
      <c r="M4862" s="28" t="s">
        <v>24524</v>
      </c>
      <c r="N4862" s="28" t="s">
        <v>21731</v>
      </c>
      <c r="O4862" s="28" t="s">
        <v>21732</v>
      </c>
      <c r="P4862" s="28" t="s">
        <v>24525</v>
      </c>
    </row>
    <row r="4863" spans="1:16" x14ac:dyDescent="0.25">
      <c r="A4863" s="28" t="s">
        <v>24526</v>
      </c>
      <c r="B4863" s="28" t="s">
        <v>24527</v>
      </c>
      <c r="C4863" s="28" t="s">
        <v>4491</v>
      </c>
      <c r="D4863" s="28" t="s">
        <v>5372</v>
      </c>
      <c r="E4863" s="28" t="s">
        <v>21002</v>
      </c>
      <c r="F4863" s="28" t="s">
        <v>21</v>
      </c>
      <c r="G4863" s="28" t="s">
        <v>149</v>
      </c>
      <c r="H4863" s="28" t="s">
        <v>21726</v>
      </c>
      <c r="I4863" s="28" t="s">
        <v>24528</v>
      </c>
      <c r="J4863" s="28" t="s">
        <v>149</v>
      </c>
      <c r="K4863" s="28" t="s">
        <v>22746</v>
      </c>
      <c r="L4863" s="28" t="s">
        <v>21729</v>
      </c>
      <c r="M4863" s="28" t="s">
        <v>24529</v>
      </c>
      <c r="N4863" s="28" t="s">
        <v>21731</v>
      </c>
      <c r="O4863" s="28" t="s">
        <v>21732</v>
      </c>
      <c r="P4863" s="28" t="s">
        <v>24530</v>
      </c>
    </row>
    <row r="4864" spans="1:16" x14ac:dyDescent="0.25">
      <c r="A4864" s="28" t="s">
        <v>24531</v>
      </c>
      <c r="B4864" s="28" t="s">
        <v>24532</v>
      </c>
      <c r="C4864" s="28" t="s">
        <v>4491</v>
      </c>
      <c r="D4864" s="28" t="s">
        <v>5372</v>
      </c>
      <c r="E4864" s="28" t="s">
        <v>21008</v>
      </c>
      <c r="F4864" s="28" t="s">
        <v>21</v>
      </c>
      <c r="G4864" s="28" t="s">
        <v>149</v>
      </c>
      <c r="H4864" s="28" t="s">
        <v>21726</v>
      </c>
      <c r="I4864" s="28" t="s">
        <v>24533</v>
      </c>
      <c r="J4864" s="28" t="s">
        <v>149</v>
      </c>
      <c r="K4864" s="28" t="s">
        <v>22746</v>
      </c>
      <c r="L4864" s="28" t="s">
        <v>21729</v>
      </c>
      <c r="M4864" s="28" t="s">
        <v>24534</v>
      </c>
      <c r="N4864" s="28" t="s">
        <v>21731</v>
      </c>
      <c r="O4864" s="28" t="s">
        <v>21732</v>
      </c>
      <c r="P4864" s="28" t="s">
        <v>24535</v>
      </c>
    </row>
    <row r="4865" spans="1:16" x14ac:dyDescent="0.25">
      <c r="A4865" s="28" t="s">
        <v>24536</v>
      </c>
      <c r="B4865" s="28" t="s">
        <v>24537</v>
      </c>
      <c r="C4865" s="28" t="s">
        <v>4491</v>
      </c>
      <c r="D4865" s="28" t="s">
        <v>5372</v>
      </c>
      <c r="E4865" s="28" t="s">
        <v>21014</v>
      </c>
      <c r="F4865" s="28" t="s">
        <v>21</v>
      </c>
      <c r="G4865" s="28" t="s">
        <v>149</v>
      </c>
      <c r="H4865" s="28" t="s">
        <v>21726</v>
      </c>
      <c r="I4865" s="28" t="s">
        <v>24538</v>
      </c>
      <c r="J4865" s="28" t="s">
        <v>149</v>
      </c>
      <c r="K4865" s="28" t="s">
        <v>22746</v>
      </c>
      <c r="L4865" s="28" t="s">
        <v>21729</v>
      </c>
      <c r="M4865" s="28" t="s">
        <v>24539</v>
      </c>
      <c r="N4865" s="28" t="s">
        <v>21731</v>
      </c>
      <c r="O4865" s="28" t="s">
        <v>21732</v>
      </c>
      <c r="P4865" s="28" t="s">
        <v>24540</v>
      </c>
    </row>
    <row r="4866" spans="1:16" x14ac:dyDescent="0.25">
      <c r="A4866" s="28" t="s">
        <v>24541</v>
      </c>
      <c r="B4866" s="28" t="s">
        <v>24542</v>
      </c>
      <c r="C4866" s="28" t="s">
        <v>4491</v>
      </c>
      <c r="D4866" s="28" t="s">
        <v>5372</v>
      </c>
      <c r="E4866" s="28" t="s">
        <v>17059</v>
      </c>
      <c r="F4866" s="28" t="s">
        <v>21</v>
      </c>
      <c r="G4866" s="28" t="s">
        <v>39</v>
      </c>
      <c r="H4866" s="28" t="s">
        <v>16221</v>
      </c>
      <c r="I4866" s="28" t="s">
        <v>24543</v>
      </c>
      <c r="J4866" s="28" t="s">
        <v>39</v>
      </c>
      <c r="K4866" s="28" t="s">
        <v>16223</v>
      </c>
      <c r="L4866" s="28" t="s">
        <v>16224</v>
      </c>
      <c r="M4866" s="28" t="s">
        <v>21021</v>
      </c>
      <c r="N4866" s="28" t="s">
        <v>16226</v>
      </c>
      <c r="O4866" s="28" t="s">
        <v>16227</v>
      </c>
      <c r="P4866" s="28" t="s">
        <v>24544</v>
      </c>
    </row>
    <row r="4867" spans="1:16" x14ac:dyDescent="0.25">
      <c r="A4867" s="28" t="s">
        <v>24545</v>
      </c>
      <c r="B4867" s="28" t="s">
        <v>24546</v>
      </c>
      <c r="C4867" s="28" t="s">
        <v>4491</v>
      </c>
      <c r="D4867" s="28" t="s">
        <v>5372</v>
      </c>
      <c r="E4867" s="28" t="s">
        <v>21024</v>
      </c>
      <c r="F4867" s="28" t="s">
        <v>21</v>
      </c>
      <c r="G4867" s="28" t="s">
        <v>149</v>
      </c>
      <c r="H4867" s="28" t="s">
        <v>21726</v>
      </c>
      <c r="I4867" s="28" t="s">
        <v>24547</v>
      </c>
      <c r="J4867" s="28" t="s">
        <v>149</v>
      </c>
      <c r="K4867" s="28" t="s">
        <v>22746</v>
      </c>
      <c r="L4867" s="28" t="s">
        <v>21729</v>
      </c>
      <c r="M4867" s="28" t="s">
        <v>24548</v>
      </c>
      <c r="N4867" s="28" t="s">
        <v>21731</v>
      </c>
      <c r="O4867" s="28" t="s">
        <v>21732</v>
      </c>
      <c r="P4867" s="28" t="s">
        <v>24549</v>
      </c>
    </row>
    <row r="4868" spans="1:16" x14ac:dyDescent="0.25">
      <c r="A4868" s="28" t="s">
        <v>24550</v>
      </c>
      <c r="B4868" s="28" t="s">
        <v>24551</v>
      </c>
      <c r="C4868" s="28" t="s">
        <v>4491</v>
      </c>
      <c r="D4868" s="28" t="s">
        <v>5372</v>
      </c>
      <c r="E4868" s="28" t="s">
        <v>21030</v>
      </c>
      <c r="F4868" s="28" t="s">
        <v>21</v>
      </c>
      <c r="G4868" s="28" t="s">
        <v>149</v>
      </c>
      <c r="H4868" s="28" t="s">
        <v>21726</v>
      </c>
      <c r="I4868" s="28" t="s">
        <v>24552</v>
      </c>
      <c r="J4868" s="28" t="s">
        <v>149</v>
      </c>
      <c r="K4868" s="28" t="s">
        <v>22746</v>
      </c>
      <c r="L4868" s="28" t="s">
        <v>21729</v>
      </c>
      <c r="M4868" s="28" t="s">
        <v>24553</v>
      </c>
      <c r="N4868" s="28" t="s">
        <v>21731</v>
      </c>
      <c r="O4868" s="28" t="s">
        <v>21732</v>
      </c>
      <c r="P4868" s="28" t="s">
        <v>24554</v>
      </c>
    </row>
    <row r="4869" spans="1:16" x14ac:dyDescent="0.25">
      <c r="A4869" s="28" t="s">
        <v>24555</v>
      </c>
      <c r="B4869" s="28" t="s">
        <v>24556</v>
      </c>
      <c r="C4869" s="28" t="s">
        <v>4491</v>
      </c>
      <c r="D4869" s="28" t="s">
        <v>5372</v>
      </c>
      <c r="E4869" s="28" t="s">
        <v>21036</v>
      </c>
      <c r="F4869" s="28" t="s">
        <v>21</v>
      </c>
      <c r="G4869" s="28" t="s">
        <v>149</v>
      </c>
      <c r="H4869" s="28" t="s">
        <v>21726</v>
      </c>
      <c r="I4869" s="28" t="s">
        <v>24557</v>
      </c>
      <c r="J4869" s="28" t="s">
        <v>149</v>
      </c>
      <c r="K4869" s="28" t="s">
        <v>22746</v>
      </c>
      <c r="L4869" s="28" t="s">
        <v>21729</v>
      </c>
      <c r="M4869" s="28" t="s">
        <v>24558</v>
      </c>
      <c r="N4869" s="28" t="s">
        <v>21731</v>
      </c>
      <c r="O4869" s="28" t="s">
        <v>21732</v>
      </c>
      <c r="P4869" s="28" t="s">
        <v>24559</v>
      </c>
    </row>
    <row r="4870" spans="1:16" x14ac:dyDescent="0.25">
      <c r="A4870" s="28" t="s">
        <v>24560</v>
      </c>
      <c r="B4870" s="28" t="s">
        <v>24561</v>
      </c>
      <c r="C4870" s="28" t="s">
        <v>4491</v>
      </c>
      <c r="D4870" s="28" t="s">
        <v>5372</v>
      </c>
      <c r="E4870" s="28" t="s">
        <v>21042</v>
      </c>
      <c r="F4870" s="28" t="s">
        <v>21</v>
      </c>
      <c r="G4870" s="28" t="s">
        <v>149</v>
      </c>
      <c r="H4870" s="28" t="s">
        <v>21726</v>
      </c>
      <c r="I4870" s="28" t="s">
        <v>24562</v>
      </c>
      <c r="J4870" s="28" t="s">
        <v>149</v>
      </c>
      <c r="K4870" s="28" t="s">
        <v>22746</v>
      </c>
      <c r="L4870" s="28" t="s">
        <v>21729</v>
      </c>
      <c r="M4870" s="28" t="s">
        <v>24563</v>
      </c>
      <c r="N4870" s="28" t="s">
        <v>21731</v>
      </c>
      <c r="O4870" s="28" t="s">
        <v>21732</v>
      </c>
      <c r="P4870" s="28" t="s">
        <v>24564</v>
      </c>
    </row>
    <row r="4871" spans="1:16" x14ac:dyDescent="0.25">
      <c r="A4871" s="28" t="s">
        <v>24565</v>
      </c>
      <c r="B4871" s="28" t="s">
        <v>24566</v>
      </c>
      <c r="C4871" s="28" t="s">
        <v>4491</v>
      </c>
      <c r="D4871" s="28" t="s">
        <v>5372</v>
      </c>
      <c r="E4871" s="28" t="s">
        <v>21048</v>
      </c>
      <c r="F4871" s="28" t="s">
        <v>21</v>
      </c>
      <c r="G4871" s="28" t="s">
        <v>149</v>
      </c>
      <c r="H4871" s="28" t="s">
        <v>21726</v>
      </c>
      <c r="I4871" s="28" t="s">
        <v>24567</v>
      </c>
      <c r="J4871" s="28" t="s">
        <v>149</v>
      </c>
      <c r="K4871" s="28" t="s">
        <v>22746</v>
      </c>
      <c r="L4871" s="28" t="s">
        <v>21729</v>
      </c>
      <c r="M4871" s="28" t="s">
        <v>24568</v>
      </c>
      <c r="N4871" s="28" t="s">
        <v>21731</v>
      </c>
      <c r="O4871" s="28" t="s">
        <v>21732</v>
      </c>
      <c r="P4871" s="28" t="s">
        <v>24569</v>
      </c>
    </row>
    <row r="4872" spans="1:16" x14ac:dyDescent="0.25">
      <c r="A4872" s="28" t="s">
        <v>24570</v>
      </c>
      <c r="B4872" s="28" t="s">
        <v>24571</v>
      </c>
      <c r="C4872" s="28" t="s">
        <v>4491</v>
      </c>
      <c r="D4872" s="28" t="s">
        <v>5372</v>
      </c>
      <c r="E4872" s="28" t="s">
        <v>21054</v>
      </c>
      <c r="F4872" s="28" t="s">
        <v>21</v>
      </c>
      <c r="G4872" s="28" t="s">
        <v>39</v>
      </c>
      <c r="H4872" s="28" t="s">
        <v>16221</v>
      </c>
      <c r="I4872" s="28" t="s">
        <v>24572</v>
      </c>
      <c r="J4872" s="28" t="s">
        <v>39</v>
      </c>
      <c r="K4872" s="28" t="s">
        <v>16223</v>
      </c>
      <c r="L4872" s="28" t="s">
        <v>16224</v>
      </c>
      <c r="M4872" s="28" t="s">
        <v>21056</v>
      </c>
      <c r="N4872" s="28" t="s">
        <v>16226</v>
      </c>
      <c r="O4872" s="28" t="s">
        <v>16227</v>
      </c>
      <c r="P4872" s="28" t="s">
        <v>24573</v>
      </c>
    </row>
    <row r="4873" spans="1:16" x14ac:dyDescent="0.25">
      <c r="A4873" s="28" t="s">
        <v>24574</v>
      </c>
      <c r="B4873" s="28" t="s">
        <v>24575</v>
      </c>
      <c r="C4873" s="28" t="s">
        <v>4491</v>
      </c>
      <c r="D4873" s="28" t="s">
        <v>5372</v>
      </c>
      <c r="E4873" s="28" t="s">
        <v>21060</v>
      </c>
      <c r="F4873" s="28" t="s">
        <v>21</v>
      </c>
      <c r="G4873" s="28" t="s">
        <v>39</v>
      </c>
      <c r="H4873" s="28" t="s">
        <v>16221</v>
      </c>
      <c r="I4873" s="28" t="s">
        <v>24576</v>
      </c>
      <c r="J4873" s="28" t="s">
        <v>39</v>
      </c>
      <c r="K4873" s="28" t="s">
        <v>16223</v>
      </c>
      <c r="L4873" s="28" t="s">
        <v>16224</v>
      </c>
      <c r="M4873" s="28" t="s">
        <v>21062</v>
      </c>
      <c r="N4873" s="28" t="s">
        <v>16226</v>
      </c>
      <c r="O4873" s="28" t="s">
        <v>16227</v>
      </c>
      <c r="P4873" s="28" t="s">
        <v>24577</v>
      </c>
    </row>
    <row r="4874" spans="1:16" x14ac:dyDescent="0.25">
      <c r="A4874" s="28" t="s">
        <v>24578</v>
      </c>
      <c r="B4874" s="28" t="s">
        <v>24579</v>
      </c>
      <c r="C4874" s="28" t="s">
        <v>4491</v>
      </c>
      <c r="D4874" s="28" t="s">
        <v>5372</v>
      </c>
      <c r="E4874" s="28" t="s">
        <v>21066</v>
      </c>
      <c r="F4874" s="28" t="s">
        <v>21</v>
      </c>
      <c r="G4874" s="28" t="s">
        <v>39</v>
      </c>
      <c r="H4874" s="28" t="s">
        <v>16221</v>
      </c>
      <c r="I4874" s="28" t="s">
        <v>24580</v>
      </c>
      <c r="J4874" s="28" t="s">
        <v>39</v>
      </c>
      <c r="K4874" s="28" t="s">
        <v>16223</v>
      </c>
      <c r="L4874" s="28" t="s">
        <v>16224</v>
      </c>
      <c r="M4874" s="28" t="s">
        <v>21068</v>
      </c>
      <c r="N4874" s="28" t="s">
        <v>16226</v>
      </c>
      <c r="O4874" s="28" t="s">
        <v>16227</v>
      </c>
      <c r="P4874" s="28" t="s">
        <v>24581</v>
      </c>
    </row>
    <row r="4875" spans="1:16" x14ac:dyDescent="0.25">
      <c r="A4875" s="28" t="s">
        <v>24582</v>
      </c>
      <c r="B4875" s="28" t="s">
        <v>24583</v>
      </c>
      <c r="C4875" s="28" t="s">
        <v>4491</v>
      </c>
      <c r="D4875" s="28" t="s">
        <v>5372</v>
      </c>
      <c r="E4875" s="28" t="s">
        <v>21072</v>
      </c>
      <c r="F4875" s="28" t="s">
        <v>21</v>
      </c>
      <c r="G4875" s="28" t="s">
        <v>39</v>
      </c>
      <c r="H4875" s="28" t="s">
        <v>16221</v>
      </c>
      <c r="I4875" s="28" t="s">
        <v>24584</v>
      </c>
      <c r="J4875" s="28" t="s">
        <v>39</v>
      </c>
      <c r="K4875" s="28" t="s">
        <v>16223</v>
      </c>
      <c r="L4875" s="28" t="s">
        <v>16224</v>
      </c>
      <c r="M4875" s="28" t="s">
        <v>21074</v>
      </c>
      <c r="N4875" s="28" t="s">
        <v>16226</v>
      </c>
      <c r="O4875" s="28" t="s">
        <v>16227</v>
      </c>
      <c r="P4875" s="28" t="s">
        <v>24585</v>
      </c>
    </row>
    <row r="4876" spans="1:16" x14ac:dyDescent="0.25">
      <c r="A4876" s="28" t="s">
        <v>24586</v>
      </c>
      <c r="B4876" s="28" t="s">
        <v>24587</v>
      </c>
      <c r="C4876" s="28" t="s">
        <v>4491</v>
      </c>
      <c r="D4876" s="28" t="s">
        <v>5372</v>
      </c>
      <c r="E4876" s="28" t="s">
        <v>21078</v>
      </c>
      <c r="F4876" s="28" t="s">
        <v>21</v>
      </c>
      <c r="G4876" s="28" t="s">
        <v>149</v>
      </c>
      <c r="H4876" s="28" t="s">
        <v>21726</v>
      </c>
      <c r="I4876" s="28" t="s">
        <v>24588</v>
      </c>
      <c r="J4876" s="28" t="s">
        <v>149</v>
      </c>
      <c r="K4876" s="28" t="s">
        <v>22746</v>
      </c>
      <c r="L4876" s="28" t="s">
        <v>21729</v>
      </c>
      <c r="M4876" s="28" t="s">
        <v>24589</v>
      </c>
      <c r="N4876" s="28" t="s">
        <v>21731</v>
      </c>
      <c r="O4876" s="28" t="s">
        <v>21732</v>
      </c>
      <c r="P4876" s="28" t="s">
        <v>24590</v>
      </c>
    </row>
    <row r="4877" spans="1:16" x14ac:dyDescent="0.25">
      <c r="A4877" s="28" t="s">
        <v>24591</v>
      </c>
      <c r="B4877" s="28" t="s">
        <v>24592</v>
      </c>
      <c r="C4877" s="28" t="s">
        <v>4491</v>
      </c>
      <c r="D4877" s="28" t="s">
        <v>5372</v>
      </c>
      <c r="E4877" s="28" t="s">
        <v>21084</v>
      </c>
      <c r="F4877" s="28" t="s">
        <v>21</v>
      </c>
      <c r="G4877" s="28" t="s">
        <v>149</v>
      </c>
      <c r="H4877" s="28" t="s">
        <v>21726</v>
      </c>
      <c r="I4877" s="28" t="s">
        <v>24593</v>
      </c>
      <c r="J4877" s="28" t="s">
        <v>149</v>
      </c>
      <c r="K4877" s="28" t="s">
        <v>22746</v>
      </c>
      <c r="L4877" s="28" t="s">
        <v>21729</v>
      </c>
      <c r="M4877" s="28" t="s">
        <v>24594</v>
      </c>
      <c r="N4877" s="28" t="s">
        <v>21731</v>
      </c>
      <c r="O4877" s="28" t="s">
        <v>21732</v>
      </c>
      <c r="P4877" s="28" t="s">
        <v>24595</v>
      </c>
    </row>
    <row r="4878" spans="1:16" x14ac:dyDescent="0.25">
      <c r="A4878" s="28" t="s">
        <v>24596</v>
      </c>
      <c r="B4878" s="28" t="s">
        <v>24597</v>
      </c>
      <c r="C4878" s="28" t="s">
        <v>4491</v>
      </c>
      <c r="D4878" s="28" t="s">
        <v>5372</v>
      </c>
      <c r="E4878" s="28" t="s">
        <v>18206</v>
      </c>
      <c r="F4878" s="28" t="s">
        <v>21</v>
      </c>
      <c r="G4878" s="28" t="s">
        <v>39</v>
      </c>
      <c r="H4878" s="28" t="s">
        <v>16221</v>
      </c>
      <c r="I4878" s="28" t="s">
        <v>24598</v>
      </c>
      <c r="J4878" s="28" t="s">
        <v>39</v>
      </c>
      <c r="K4878" s="28" t="s">
        <v>16223</v>
      </c>
      <c r="L4878" s="28" t="s">
        <v>16224</v>
      </c>
      <c r="M4878" s="28" t="s">
        <v>21091</v>
      </c>
      <c r="N4878" s="28" t="s">
        <v>16226</v>
      </c>
      <c r="O4878" s="28" t="s">
        <v>16227</v>
      </c>
      <c r="P4878" s="28" t="s">
        <v>22432</v>
      </c>
    </row>
    <row r="4879" spans="1:16" x14ac:dyDescent="0.25">
      <c r="A4879" s="28" t="s">
        <v>24599</v>
      </c>
      <c r="B4879" s="28" t="s">
        <v>24600</v>
      </c>
      <c r="C4879" s="28" t="s">
        <v>4491</v>
      </c>
      <c r="D4879" s="28" t="s">
        <v>5372</v>
      </c>
      <c r="E4879" s="28" t="s">
        <v>18206</v>
      </c>
      <c r="F4879" s="28" t="s">
        <v>21</v>
      </c>
      <c r="G4879" s="28" t="s">
        <v>39</v>
      </c>
      <c r="H4879" s="28" t="s">
        <v>16221</v>
      </c>
      <c r="I4879" s="28" t="s">
        <v>24601</v>
      </c>
      <c r="J4879" s="28" t="s">
        <v>39</v>
      </c>
      <c r="K4879" s="28" t="s">
        <v>16223</v>
      </c>
      <c r="L4879" s="28" t="s">
        <v>16224</v>
      </c>
      <c r="M4879" s="28" t="s">
        <v>21095</v>
      </c>
      <c r="N4879" s="28" t="s">
        <v>16226</v>
      </c>
      <c r="O4879" s="28" t="s">
        <v>16227</v>
      </c>
      <c r="P4879" s="28" t="s">
        <v>22432</v>
      </c>
    </row>
    <row r="4880" spans="1:16" x14ac:dyDescent="0.25">
      <c r="A4880" s="28" t="s">
        <v>24602</v>
      </c>
      <c r="B4880" s="28" t="s">
        <v>24603</v>
      </c>
      <c r="C4880" s="28" t="s">
        <v>4491</v>
      </c>
      <c r="D4880" s="28" t="s">
        <v>5372</v>
      </c>
      <c r="E4880" s="28" t="s">
        <v>21098</v>
      </c>
      <c r="F4880" s="28" t="s">
        <v>21</v>
      </c>
      <c r="G4880" s="28" t="s">
        <v>149</v>
      </c>
      <c r="H4880" s="28" t="s">
        <v>21726</v>
      </c>
      <c r="I4880" s="28" t="s">
        <v>24604</v>
      </c>
      <c r="J4880" s="28" t="s">
        <v>149</v>
      </c>
      <c r="K4880" s="28" t="s">
        <v>22746</v>
      </c>
      <c r="L4880" s="28" t="s">
        <v>21729</v>
      </c>
      <c r="M4880" s="28" t="s">
        <v>24605</v>
      </c>
      <c r="N4880" s="28" t="s">
        <v>21731</v>
      </c>
      <c r="O4880" s="28" t="s">
        <v>21732</v>
      </c>
      <c r="P4880" s="28" t="s">
        <v>24606</v>
      </c>
    </row>
    <row r="4881" spans="1:16" x14ac:dyDescent="0.25">
      <c r="A4881" s="28" t="s">
        <v>24607</v>
      </c>
      <c r="B4881" s="28" t="s">
        <v>24608</v>
      </c>
      <c r="C4881" s="28" t="s">
        <v>4491</v>
      </c>
      <c r="D4881" s="28" t="s">
        <v>3524</v>
      </c>
      <c r="E4881" s="28" t="s">
        <v>17083</v>
      </c>
      <c r="F4881" s="28" t="s">
        <v>21</v>
      </c>
      <c r="G4881" s="28" t="s">
        <v>39</v>
      </c>
      <c r="H4881" s="28" t="s">
        <v>16221</v>
      </c>
      <c r="I4881" s="28" t="s">
        <v>24609</v>
      </c>
      <c r="J4881" s="28" t="s">
        <v>39</v>
      </c>
      <c r="K4881" s="28" t="s">
        <v>16223</v>
      </c>
      <c r="L4881" s="28" t="s">
        <v>16224</v>
      </c>
      <c r="M4881" s="28" t="s">
        <v>21105</v>
      </c>
      <c r="N4881" s="28" t="s">
        <v>16226</v>
      </c>
      <c r="O4881" s="28" t="s">
        <v>16227</v>
      </c>
      <c r="P4881" s="28" t="s">
        <v>24610</v>
      </c>
    </row>
    <row r="4882" spans="1:16" x14ac:dyDescent="0.25">
      <c r="A4882" s="28" t="s">
        <v>24611</v>
      </c>
      <c r="B4882" s="28" t="s">
        <v>24612</v>
      </c>
      <c r="C4882" s="28" t="s">
        <v>4491</v>
      </c>
      <c r="D4882" s="28" t="s">
        <v>3838</v>
      </c>
      <c r="E4882" s="28" t="s">
        <v>21108</v>
      </c>
      <c r="F4882" s="28" t="s">
        <v>21</v>
      </c>
      <c r="G4882" s="28" t="s">
        <v>39</v>
      </c>
      <c r="H4882" s="28" t="s">
        <v>16221</v>
      </c>
      <c r="I4882" s="28" t="s">
        <v>24613</v>
      </c>
      <c r="J4882" s="28" t="s">
        <v>39</v>
      </c>
      <c r="K4882" s="28" t="s">
        <v>16223</v>
      </c>
      <c r="L4882" s="28" t="s">
        <v>16224</v>
      </c>
      <c r="M4882" s="28" t="s">
        <v>21110</v>
      </c>
      <c r="N4882" s="28" t="s">
        <v>16226</v>
      </c>
      <c r="O4882" s="28" t="s">
        <v>16227</v>
      </c>
      <c r="P4882" s="28" t="s">
        <v>24614</v>
      </c>
    </row>
    <row r="4883" spans="1:16" x14ac:dyDescent="0.25">
      <c r="A4883" s="28" t="s">
        <v>24615</v>
      </c>
      <c r="B4883" s="28" t="s">
        <v>24616</v>
      </c>
      <c r="C4883" s="28" t="s">
        <v>4491</v>
      </c>
      <c r="D4883" s="28" t="s">
        <v>3838</v>
      </c>
      <c r="E4883" s="28" t="s">
        <v>21114</v>
      </c>
      <c r="F4883" s="28" t="s">
        <v>21</v>
      </c>
      <c r="G4883" s="28" t="s">
        <v>39</v>
      </c>
      <c r="H4883" s="28" t="s">
        <v>16221</v>
      </c>
      <c r="I4883" s="28" t="s">
        <v>24617</v>
      </c>
      <c r="J4883" s="28" t="s">
        <v>39</v>
      </c>
      <c r="K4883" s="28" t="s">
        <v>16223</v>
      </c>
      <c r="L4883" s="28" t="s">
        <v>16224</v>
      </c>
      <c r="M4883" s="28" t="s">
        <v>21116</v>
      </c>
      <c r="N4883" s="28" t="s">
        <v>16226</v>
      </c>
      <c r="O4883" s="28" t="s">
        <v>16227</v>
      </c>
      <c r="P4883" s="28" t="s">
        <v>24618</v>
      </c>
    </row>
    <row r="4884" spans="1:16" x14ac:dyDescent="0.25">
      <c r="A4884" s="28" t="s">
        <v>24619</v>
      </c>
      <c r="B4884" s="28" t="s">
        <v>24620</v>
      </c>
      <c r="C4884" s="28" t="s">
        <v>4491</v>
      </c>
      <c r="D4884" s="28" t="s">
        <v>3838</v>
      </c>
      <c r="E4884" s="28" t="s">
        <v>21120</v>
      </c>
      <c r="F4884" s="28" t="s">
        <v>21</v>
      </c>
      <c r="G4884" s="28" t="s">
        <v>39</v>
      </c>
      <c r="H4884" s="28" t="s">
        <v>16221</v>
      </c>
      <c r="I4884" s="28" t="s">
        <v>24621</v>
      </c>
      <c r="J4884" s="28" t="s">
        <v>39</v>
      </c>
      <c r="K4884" s="28" t="s">
        <v>16223</v>
      </c>
      <c r="L4884" s="28" t="s">
        <v>16224</v>
      </c>
      <c r="M4884" s="28" t="s">
        <v>21122</v>
      </c>
      <c r="N4884" s="28" t="s">
        <v>16226</v>
      </c>
      <c r="O4884" s="28" t="s">
        <v>16227</v>
      </c>
      <c r="P4884" s="28" t="s">
        <v>24622</v>
      </c>
    </row>
    <row r="4885" spans="1:16" x14ac:dyDescent="0.25">
      <c r="A4885" s="28" t="s">
        <v>24623</v>
      </c>
      <c r="B4885" s="28" t="s">
        <v>24624</v>
      </c>
      <c r="C4885" s="28" t="s">
        <v>4491</v>
      </c>
      <c r="D4885" s="28" t="s">
        <v>17096</v>
      </c>
      <c r="E4885" s="28" t="s">
        <v>17097</v>
      </c>
      <c r="F4885" s="28" t="s">
        <v>21</v>
      </c>
      <c r="G4885" s="28" t="s">
        <v>39</v>
      </c>
      <c r="H4885" s="28" t="s">
        <v>16221</v>
      </c>
      <c r="I4885" s="28" t="s">
        <v>24625</v>
      </c>
      <c r="J4885" s="28" t="s">
        <v>39</v>
      </c>
      <c r="K4885" s="28" t="s">
        <v>16223</v>
      </c>
      <c r="L4885" s="28" t="s">
        <v>16224</v>
      </c>
      <c r="M4885" s="28" t="s">
        <v>21127</v>
      </c>
      <c r="N4885" s="28" t="s">
        <v>16226</v>
      </c>
      <c r="O4885" s="28" t="s">
        <v>16227</v>
      </c>
      <c r="P4885" s="28" t="s">
        <v>24626</v>
      </c>
    </row>
    <row r="4886" spans="1:16" x14ac:dyDescent="0.25">
      <c r="A4886" s="28" t="s">
        <v>24627</v>
      </c>
      <c r="B4886" s="28" t="s">
        <v>24628</v>
      </c>
      <c r="C4886" s="28" t="s">
        <v>4491</v>
      </c>
      <c r="D4886" s="28" t="s">
        <v>17096</v>
      </c>
      <c r="E4886" s="28" t="s">
        <v>17097</v>
      </c>
      <c r="F4886" s="28" t="s">
        <v>21</v>
      </c>
      <c r="G4886" s="28" t="s">
        <v>39</v>
      </c>
      <c r="H4886" s="28" t="s">
        <v>16221</v>
      </c>
      <c r="I4886" s="28" t="s">
        <v>24629</v>
      </c>
      <c r="J4886" s="28" t="s">
        <v>39</v>
      </c>
      <c r="K4886" s="28" t="s">
        <v>16223</v>
      </c>
      <c r="L4886" s="28" t="s">
        <v>16224</v>
      </c>
      <c r="M4886" s="28" t="s">
        <v>21131</v>
      </c>
      <c r="N4886" s="28" t="s">
        <v>16226</v>
      </c>
      <c r="O4886" s="28" t="s">
        <v>16227</v>
      </c>
      <c r="P4886" s="28" t="s">
        <v>24626</v>
      </c>
    </row>
    <row r="4887" spans="1:16" x14ac:dyDescent="0.25">
      <c r="A4887" s="28" t="s">
        <v>24630</v>
      </c>
      <c r="B4887" s="28" t="s">
        <v>24631</v>
      </c>
      <c r="C4887" s="28" t="s">
        <v>4491</v>
      </c>
      <c r="D4887" s="28" t="s">
        <v>17096</v>
      </c>
      <c r="E4887" s="28" t="s">
        <v>17097</v>
      </c>
      <c r="F4887" s="28" t="s">
        <v>21</v>
      </c>
      <c r="G4887" s="28" t="s">
        <v>39</v>
      </c>
      <c r="H4887" s="28" t="s">
        <v>16221</v>
      </c>
      <c r="I4887" s="28" t="s">
        <v>24632</v>
      </c>
      <c r="J4887" s="28" t="s">
        <v>39</v>
      </c>
      <c r="K4887" s="28" t="s">
        <v>16223</v>
      </c>
      <c r="L4887" s="28" t="s">
        <v>16224</v>
      </c>
      <c r="M4887" s="28" t="s">
        <v>21135</v>
      </c>
      <c r="N4887" s="28" t="s">
        <v>16226</v>
      </c>
      <c r="O4887" s="28" t="s">
        <v>16227</v>
      </c>
      <c r="P4887" s="28" t="s">
        <v>24626</v>
      </c>
    </row>
    <row r="4888" spans="1:16" x14ac:dyDescent="0.25">
      <c r="A4888" s="28" t="s">
        <v>24633</v>
      </c>
      <c r="B4888" s="28" t="s">
        <v>24634</v>
      </c>
      <c r="C4888" s="28" t="s">
        <v>4491</v>
      </c>
      <c r="D4888" s="28" t="s">
        <v>17096</v>
      </c>
      <c r="E4888" s="28" t="s">
        <v>17097</v>
      </c>
      <c r="F4888" s="28" t="s">
        <v>21</v>
      </c>
      <c r="G4888" s="28" t="s">
        <v>39</v>
      </c>
      <c r="H4888" s="28" t="s">
        <v>16221</v>
      </c>
      <c r="I4888" s="28" t="s">
        <v>24635</v>
      </c>
      <c r="J4888" s="28" t="s">
        <v>39</v>
      </c>
      <c r="K4888" s="28" t="s">
        <v>16223</v>
      </c>
      <c r="L4888" s="28" t="s">
        <v>16224</v>
      </c>
      <c r="M4888" s="28" t="s">
        <v>21139</v>
      </c>
      <c r="N4888" s="28" t="s">
        <v>16226</v>
      </c>
      <c r="O4888" s="28" t="s">
        <v>16227</v>
      </c>
      <c r="P4888" s="28" t="s">
        <v>24626</v>
      </c>
    </row>
    <row r="4889" spans="1:16" x14ac:dyDescent="0.25">
      <c r="A4889" s="28" t="s">
        <v>24636</v>
      </c>
      <c r="B4889" s="28" t="s">
        <v>24637</v>
      </c>
      <c r="C4889" s="28" t="s">
        <v>4491</v>
      </c>
      <c r="D4889" s="28" t="s">
        <v>17096</v>
      </c>
      <c r="E4889" s="28" t="s">
        <v>17097</v>
      </c>
      <c r="F4889" s="28" t="s">
        <v>21</v>
      </c>
      <c r="G4889" s="28" t="s">
        <v>39</v>
      </c>
      <c r="H4889" s="28" t="s">
        <v>16221</v>
      </c>
      <c r="I4889" s="28" t="s">
        <v>24638</v>
      </c>
      <c r="J4889" s="28" t="s">
        <v>39</v>
      </c>
      <c r="K4889" s="28" t="s">
        <v>16223</v>
      </c>
      <c r="L4889" s="28" t="s">
        <v>16224</v>
      </c>
      <c r="M4889" s="28" t="s">
        <v>21143</v>
      </c>
      <c r="N4889" s="28" t="s">
        <v>16226</v>
      </c>
      <c r="O4889" s="28" t="s">
        <v>16227</v>
      </c>
      <c r="P4889" s="28" t="s">
        <v>24626</v>
      </c>
    </row>
    <row r="4890" spans="1:16" x14ac:dyDescent="0.25">
      <c r="A4890" s="28" t="s">
        <v>24639</v>
      </c>
      <c r="B4890" s="28" t="s">
        <v>24640</v>
      </c>
      <c r="C4890" s="28" t="s">
        <v>4491</v>
      </c>
      <c r="D4890" s="28" t="s">
        <v>17096</v>
      </c>
      <c r="E4890" s="28" t="s">
        <v>17097</v>
      </c>
      <c r="F4890" s="28" t="s">
        <v>21</v>
      </c>
      <c r="G4890" s="28" t="s">
        <v>39</v>
      </c>
      <c r="H4890" s="28" t="s">
        <v>16221</v>
      </c>
      <c r="I4890" s="28" t="s">
        <v>24641</v>
      </c>
      <c r="J4890" s="28" t="s">
        <v>39</v>
      </c>
      <c r="K4890" s="28" t="s">
        <v>16223</v>
      </c>
      <c r="L4890" s="28" t="s">
        <v>16224</v>
      </c>
      <c r="M4890" s="28" t="s">
        <v>21147</v>
      </c>
      <c r="N4890" s="28" t="s">
        <v>16226</v>
      </c>
      <c r="O4890" s="28" t="s">
        <v>16227</v>
      </c>
      <c r="P4890" s="28" t="s">
        <v>24626</v>
      </c>
    </row>
    <row r="4891" spans="1:16" x14ac:dyDescent="0.25">
      <c r="A4891" s="28" t="s">
        <v>24642</v>
      </c>
      <c r="B4891" s="28" t="s">
        <v>24643</v>
      </c>
      <c r="C4891" s="28" t="s">
        <v>4491</v>
      </c>
      <c r="D4891" s="28" t="s">
        <v>21150</v>
      </c>
      <c r="E4891" s="28" t="s">
        <v>21151</v>
      </c>
      <c r="F4891" s="28" t="s">
        <v>21</v>
      </c>
      <c r="G4891" s="28" t="s">
        <v>39</v>
      </c>
      <c r="H4891" s="28" t="s">
        <v>16221</v>
      </c>
      <c r="I4891" s="28" t="s">
        <v>24644</v>
      </c>
      <c r="J4891" s="28" t="s">
        <v>39</v>
      </c>
      <c r="K4891" s="28" t="s">
        <v>16223</v>
      </c>
      <c r="L4891" s="28" t="s">
        <v>16224</v>
      </c>
      <c r="M4891" s="28" t="s">
        <v>21153</v>
      </c>
      <c r="N4891" s="28" t="s">
        <v>16226</v>
      </c>
      <c r="O4891" s="28" t="s">
        <v>16227</v>
      </c>
      <c r="P4891" s="28" t="s">
        <v>24645</v>
      </c>
    </row>
    <row r="4892" spans="1:16" x14ac:dyDescent="0.25">
      <c r="A4892" s="28" t="s">
        <v>24646</v>
      </c>
      <c r="B4892" s="28" t="s">
        <v>24647</v>
      </c>
      <c r="C4892" s="28" t="s">
        <v>4491</v>
      </c>
      <c r="D4892" s="28" t="s">
        <v>21150</v>
      </c>
      <c r="E4892" s="28" t="s">
        <v>21151</v>
      </c>
      <c r="F4892" s="28" t="s">
        <v>21</v>
      </c>
      <c r="G4892" s="28" t="s">
        <v>39</v>
      </c>
      <c r="H4892" s="28" t="s">
        <v>16221</v>
      </c>
      <c r="I4892" s="28" t="s">
        <v>24648</v>
      </c>
      <c r="J4892" s="28" t="s">
        <v>39</v>
      </c>
      <c r="K4892" s="28" t="s">
        <v>16223</v>
      </c>
      <c r="L4892" s="28" t="s">
        <v>16224</v>
      </c>
      <c r="M4892" s="28" t="s">
        <v>21158</v>
      </c>
      <c r="N4892" s="28" t="s">
        <v>16226</v>
      </c>
      <c r="O4892" s="28" t="s">
        <v>16227</v>
      </c>
      <c r="P4892" s="28" t="s">
        <v>24645</v>
      </c>
    </row>
    <row r="4893" spans="1:16" x14ac:dyDescent="0.25">
      <c r="A4893" s="28" t="s">
        <v>24649</v>
      </c>
      <c r="B4893" s="28" t="s">
        <v>24650</v>
      </c>
      <c r="C4893" s="28" t="s">
        <v>4491</v>
      </c>
      <c r="D4893" s="28" t="s">
        <v>21150</v>
      </c>
      <c r="E4893" s="28" t="s">
        <v>21151</v>
      </c>
      <c r="F4893" s="28" t="s">
        <v>21</v>
      </c>
      <c r="G4893" s="28" t="s">
        <v>39</v>
      </c>
      <c r="H4893" s="28" t="s">
        <v>16221</v>
      </c>
      <c r="I4893" s="28" t="s">
        <v>24651</v>
      </c>
      <c r="J4893" s="28" t="s">
        <v>39</v>
      </c>
      <c r="K4893" s="28" t="s">
        <v>16223</v>
      </c>
      <c r="L4893" s="28" t="s">
        <v>16224</v>
      </c>
      <c r="M4893" s="28" t="s">
        <v>21162</v>
      </c>
      <c r="N4893" s="28" t="s">
        <v>16226</v>
      </c>
      <c r="O4893" s="28" t="s">
        <v>16227</v>
      </c>
      <c r="P4893" s="28" t="s">
        <v>24645</v>
      </c>
    </row>
    <row r="4894" spans="1:16" x14ac:dyDescent="0.25">
      <c r="A4894" s="28" t="s">
        <v>24652</v>
      </c>
      <c r="B4894" s="28" t="s">
        <v>24653</v>
      </c>
      <c r="C4894" s="28" t="s">
        <v>4491</v>
      </c>
      <c r="D4894" s="28" t="s">
        <v>21150</v>
      </c>
      <c r="E4894" s="28" t="s">
        <v>21151</v>
      </c>
      <c r="F4894" s="28" t="s">
        <v>21</v>
      </c>
      <c r="G4894" s="28" t="s">
        <v>39</v>
      </c>
      <c r="H4894" s="28" t="s">
        <v>16221</v>
      </c>
      <c r="I4894" s="28" t="s">
        <v>24654</v>
      </c>
      <c r="J4894" s="28" t="s">
        <v>39</v>
      </c>
      <c r="K4894" s="28" t="s">
        <v>16223</v>
      </c>
      <c r="L4894" s="28" t="s">
        <v>16224</v>
      </c>
      <c r="M4894" s="28" t="s">
        <v>21166</v>
      </c>
      <c r="N4894" s="28" t="s">
        <v>16226</v>
      </c>
      <c r="O4894" s="28" t="s">
        <v>16227</v>
      </c>
      <c r="P4894" s="28" t="s">
        <v>24645</v>
      </c>
    </row>
    <row r="4895" spans="1:16" x14ac:dyDescent="0.25">
      <c r="A4895" s="28" t="s">
        <v>24655</v>
      </c>
      <c r="B4895" s="28" t="s">
        <v>24656</v>
      </c>
      <c r="C4895" s="28" t="s">
        <v>4491</v>
      </c>
      <c r="D4895" s="28" t="s">
        <v>21150</v>
      </c>
      <c r="E4895" s="28" t="s">
        <v>21151</v>
      </c>
      <c r="F4895" s="28" t="s">
        <v>21</v>
      </c>
      <c r="G4895" s="28" t="s">
        <v>39</v>
      </c>
      <c r="H4895" s="28" t="s">
        <v>16221</v>
      </c>
      <c r="I4895" s="28" t="s">
        <v>24657</v>
      </c>
      <c r="J4895" s="28" t="s">
        <v>39</v>
      </c>
      <c r="K4895" s="28" t="s">
        <v>16223</v>
      </c>
      <c r="L4895" s="28" t="s">
        <v>16224</v>
      </c>
      <c r="M4895" s="28" t="s">
        <v>21170</v>
      </c>
      <c r="N4895" s="28" t="s">
        <v>16226</v>
      </c>
      <c r="O4895" s="28" t="s">
        <v>16227</v>
      </c>
      <c r="P4895" s="28" t="s">
        <v>24645</v>
      </c>
    </row>
    <row r="4896" spans="1:16" x14ac:dyDescent="0.25">
      <c r="A4896" s="28" t="s">
        <v>24658</v>
      </c>
      <c r="B4896" s="28" t="s">
        <v>24659</v>
      </c>
      <c r="C4896" s="28" t="s">
        <v>4491</v>
      </c>
      <c r="D4896" s="28" t="s">
        <v>21173</v>
      </c>
      <c r="E4896" s="28" t="s">
        <v>21174</v>
      </c>
      <c r="F4896" s="28" t="s">
        <v>21</v>
      </c>
      <c r="G4896" s="28" t="s">
        <v>39</v>
      </c>
      <c r="H4896" s="28" t="s">
        <v>16221</v>
      </c>
      <c r="I4896" s="28" t="s">
        <v>24660</v>
      </c>
      <c r="J4896" s="28" t="s">
        <v>39</v>
      </c>
      <c r="K4896" s="28" t="s">
        <v>16223</v>
      </c>
      <c r="L4896" s="28" t="s">
        <v>16224</v>
      </c>
      <c r="M4896" s="28" t="s">
        <v>21176</v>
      </c>
      <c r="N4896" s="28" t="s">
        <v>16226</v>
      </c>
      <c r="O4896" s="28" t="s">
        <v>16227</v>
      </c>
      <c r="P4896" s="28" t="s">
        <v>24661</v>
      </c>
    </row>
    <row r="4897" spans="1:16" x14ac:dyDescent="0.25">
      <c r="A4897" s="28" t="s">
        <v>24662</v>
      </c>
      <c r="B4897" s="28" t="s">
        <v>24663</v>
      </c>
      <c r="C4897" s="28" t="s">
        <v>4491</v>
      </c>
      <c r="D4897" s="28" t="s">
        <v>18224</v>
      </c>
      <c r="E4897" s="28" t="s">
        <v>18225</v>
      </c>
      <c r="F4897" s="28" t="s">
        <v>21</v>
      </c>
      <c r="G4897" s="28" t="s">
        <v>39</v>
      </c>
      <c r="H4897" s="28" t="s">
        <v>16221</v>
      </c>
      <c r="I4897" s="28" t="s">
        <v>24664</v>
      </c>
      <c r="J4897" s="28" t="s">
        <v>39</v>
      </c>
      <c r="K4897" s="28" t="s">
        <v>16223</v>
      </c>
      <c r="L4897" s="28" t="s">
        <v>16224</v>
      </c>
      <c r="M4897" s="28" t="s">
        <v>21181</v>
      </c>
      <c r="N4897" s="28" t="s">
        <v>16226</v>
      </c>
      <c r="O4897" s="28" t="s">
        <v>16227</v>
      </c>
      <c r="P4897" s="28" t="s">
        <v>22444</v>
      </c>
    </row>
    <row r="4898" spans="1:16" x14ac:dyDescent="0.25">
      <c r="A4898" s="28" t="s">
        <v>24665</v>
      </c>
      <c r="B4898" s="28" t="s">
        <v>24666</v>
      </c>
      <c r="C4898" s="28" t="s">
        <v>4491</v>
      </c>
      <c r="D4898" s="28" t="s">
        <v>9268</v>
      </c>
      <c r="E4898" s="28" t="s">
        <v>21184</v>
      </c>
      <c r="F4898" s="28" t="s">
        <v>21</v>
      </c>
      <c r="G4898" s="28" t="s">
        <v>39</v>
      </c>
      <c r="H4898" s="28" t="s">
        <v>16221</v>
      </c>
      <c r="I4898" s="28" t="s">
        <v>24667</v>
      </c>
      <c r="J4898" s="28" t="s">
        <v>39</v>
      </c>
      <c r="K4898" s="28" t="s">
        <v>16223</v>
      </c>
      <c r="L4898" s="28" t="s">
        <v>16224</v>
      </c>
      <c r="M4898" s="28" t="s">
        <v>21186</v>
      </c>
      <c r="N4898" s="28" t="s">
        <v>16226</v>
      </c>
      <c r="O4898" s="28" t="s">
        <v>16227</v>
      </c>
      <c r="P4898" s="28" t="s">
        <v>24668</v>
      </c>
    </row>
    <row r="4899" spans="1:16" x14ac:dyDescent="0.25">
      <c r="A4899" s="28" t="s">
        <v>24669</v>
      </c>
      <c r="B4899" s="28" t="s">
        <v>24670</v>
      </c>
      <c r="C4899" s="28" t="s">
        <v>4491</v>
      </c>
      <c r="D4899" s="28" t="s">
        <v>21190</v>
      </c>
      <c r="E4899" s="28" t="s">
        <v>21191</v>
      </c>
      <c r="F4899" s="28" t="s">
        <v>21</v>
      </c>
      <c r="G4899" s="28" t="s">
        <v>39</v>
      </c>
      <c r="H4899" s="28" t="s">
        <v>16221</v>
      </c>
      <c r="I4899" s="28" t="s">
        <v>24671</v>
      </c>
      <c r="J4899" s="28" t="s">
        <v>39</v>
      </c>
      <c r="K4899" s="28" t="s">
        <v>16223</v>
      </c>
      <c r="L4899" s="28" t="s">
        <v>16224</v>
      </c>
      <c r="M4899" s="28" t="s">
        <v>21193</v>
      </c>
      <c r="N4899" s="28" t="s">
        <v>16226</v>
      </c>
      <c r="O4899" s="28" t="s">
        <v>16227</v>
      </c>
      <c r="P4899" s="28" t="s">
        <v>24672</v>
      </c>
    </row>
    <row r="4900" spans="1:16" x14ac:dyDescent="0.25">
      <c r="A4900" s="28" t="s">
        <v>24673</v>
      </c>
      <c r="B4900" s="28" t="s">
        <v>24674</v>
      </c>
      <c r="C4900" s="28" t="s">
        <v>4491</v>
      </c>
      <c r="D4900" s="28" t="s">
        <v>21190</v>
      </c>
      <c r="E4900" s="28" t="s">
        <v>21191</v>
      </c>
      <c r="F4900" s="28" t="s">
        <v>21</v>
      </c>
      <c r="G4900" s="28" t="s">
        <v>39</v>
      </c>
      <c r="H4900" s="28" t="s">
        <v>16221</v>
      </c>
      <c r="I4900" s="28" t="s">
        <v>24675</v>
      </c>
      <c r="J4900" s="28" t="s">
        <v>39</v>
      </c>
      <c r="K4900" s="28" t="s">
        <v>16223</v>
      </c>
      <c r="L4900" s="28" t="s">
        <v>16224</v>
      </c>
      <c r="M4900" s="28" t="s">
        <v>21198</v>
      </c>
      <c r="N4900" s="28" t="s">
        <v>16226</v>
      </c>
      <c r="O4900" s="28" t="s">
        <v>16227</v>
      </c>
      <c r="P4900" s="28" t="s">
        <v>24672</v>
      </c>
    </row>
    <row r="4901" spans="1:16" x14ac:dyDescent="0.25">
      <c r="A4901" s="28" t="s">
        <v>24676</v>
      </c>
      <c r="B4901" s="28" t="s">
        <v>24677</v>
      </c>
      <c r="C4901" s="28" t="s">
        <v>4491</v>
      </c>
      <c r="D4901" s="28" t="s">
        <v>21190</v>
      </c>
      <c r="E4901" s="28" t="s">
        <v>21191</v>
      </c>
      <c r="F4901" s="28" t="s">
        <v>21</v>
      </c>
      <c r="G4901" s="28" t="s">
        <v>39</v>
      </c>
      <c r="H4901" s="28" t="s">
        <v>16221</v>
      </c>
      <c r="I4901" s="28" t="s">
        <v>24678</v>
      </c>
      <c r="J4901" s="28" t="s">
        <v>39</v>
      </c>
      <c r="K4901" s="28" t="s">
        <v>16223</v>
      </c>
      <c r="L4901" s="28" t="s">
        <v>16224</v>
      </c>
      <c r="M4901" s="28" t="s">
        <v>21202</v>
      </c>
      <c r="N4901" s="28" t="s">
        <v>16226</v>
      </c>
      <c r="O4901" s="28" t="s">
        <v>16227</v>
      </c>
      <c r="P4901" s="28" t="s">
        <v>24672</v>
      </c>
    </row>
    <row r="4902" spans="1:16" x14ac:dyDescent="0.25">
      <c r="A4902" s="28" t="s">
        <v>24679</v>
      </c>
      <c r="B4902" s="28" t="s">
        <v>24680</v>
      </c>
      <c r="C4902" s="28" t="s">
        <v>4491</v>
      </c>
      <c r="D4902" s="28" t="s">
        <v>9261</v>
      </c>
      <c r="E4902" s="28" t="s">
        <v>18237</v>
      </c>
      <c r="F4902" s="28" t="s">
        <v>21</v>
      </c>
      <c r="G4902" s="28" t="s">
        <v>39</v>
      </c>
      <c r="H4902" s="28" t="s">
        <v>16221</v>
      </c>
      <c r="I4902" s="28" t="s">
        <v>24681</v>
      </c>
      <c r="J4902" s="28" t="s">
        <v>39</v>
      </c>
      <c r="K4902" s="28" t="s">
        <v>16223</v>
      </c>
      <c r="L4902" s="28" t="s">
        <v>16224</v>
      </c>
      <c r="M4902" s="28" t="s">
        <v>21206</v>
      </c>
      <c r="N4902" s="28" t="s">
        <v>16226</v>
      </c>
      <c r="O4902" s="28" t="s">
        <v>16227</v>
      </c>
      <c r="P4902" s="28" t="s">
        <v>22452</v>
      </c>
    </row>
    <row r="4903" spans="1:16" x14ac:dyDescent="0.25">
      <c r="A4903" s="28" t="s">
        <v>24682</v>
      </c>
      <c r="B4903" s="28" t="s">
        <v>24683</v>
      </c>
      <c r="C4903" s="28" t="s">
        <v>4491</v>
      </c>
      <c r="D4903" s="28" t="s">
        <v>9261</v>
      </c>
      <c r="E4903" s="28" t="s">
        <v>18237</v>
      </c>
      <c r="F4903" s="28" t="s">
        <v>21</v>
      </c>
      <c r="G4903" s="28" t="s">
        <v>39</v>
      </c>
      <c r="H4903" s="28" t="s">
        <v>16221</v>
      </c>
      <c r="I4903" s="28" t="s">
        <v>24684</v>
      </c>
      <c r="J4903" s="28" t="s">
        <v>39</v>
      </c>
      <c r="K4903" s="28" t="s">
        <v>16223</v>
      </c>
      <c r="L4903" s="28" t="s">
        <v>16224</v>
      </c>
      <c r="M4903" s="28" t="s">
        <v>21210</v>
      </c>
      <c r="N4903" s="28" t="s">
        <v>16226</v>
      </c>
      <c r="O4903" s="28" t="s">
        <v>16227</v>
      </c>
      <c r="P4903" s="28" t="s">
        <v>22452</v>
      </c>
    </row>
    <row r="4904" spans="1:16" x14ac:dyDescent="0.25">
      <c r="A4904" s="28" t="s">
        <v>24685</v>
      </c>
      <c r="B4904" s="28" t="s">
        <v>24686</v>
      </c>
      <c r="C4904" s="28" t="s">
        <v>4491</v>
      </c>
      <c r="D4904" s="28" t="s">
        <v>9261</v>
      </c>
      <c r="E4904" s="28" t="s">
        <v>18237</v>
      </c>
      <c r="F4904" s="28" t="s">
        <v>21</v>
      </c>
      <c r="G4904" s="28" t="s">
        <v>39</v>
      </c>
      <c r="H4904" s="28" t="s">
        <v>16221</v>
      </c>
      <c r="I4904" s="28" t="s">
        <v>24687</v>
      </c>
      <c r="J4904" s="28" t="s">
        <v>39</v>
      </c>
      <c r="K4904" s="28" t="s">
        <v>16223</v>
      </c>
      <c r="L4904" s="28" t="s">
        <v>16224</v>
      </c>
      <c r="M4904" s="28" t="s">
        <v>21214</v>
      </c>
      <c r="N4904" s="28" t="s">
        <v>16226</v>
      </c>
      <c r="O4904" s="28" t="s">
        <v>16227</v>
      </c>
      <c r="P4904" s="28" t="s">
        <v>22452</v>
      </c>
    </row>
    <row r="4905" spans="1:16" x14ac:dyDescent="0.25">
      <c r="A4905" s="28" t="s">
        <v>24688</v>
      </c>
      <c r="B4905" s="28" t="s">
        <v>24689</v>
      </c>
      <c r="C4905" s="28" t="s">
        <v>4491</v>
      </c>
      <c r="D4905" s="28" t="s">
        <v>9261</v>
      </c>
      <c r="E4905" s="28" t="s">
        <v>18237</v>
      </c>
      <c r="F4905" s="28" t="s">
        <v>21</v>
      </c>
      <c r="G4905" s="28" t="s">
        <v>39</v>
      </c>
      <c r="H4905" s="28" t="s">
        <v>16221</v>
      </c>
      <c r="I4905" s="28" t="s">
        <v>24690</v>
      </c>
      <c r="J4905" s="28" t="s">
        <v>39</v>
      </c>
      <c r="K4905" s="28" t="s">
        <v>16223</v>
      </c>
      <c r="L4905" s="28" t="s">
        <v>16224</v>
      </c>
      <c r="M4905" s="28" t="s">
        <v>21218</v>
      </c>
      <c r="N4905" s="28" t="s">
        <v>16226</v>
      </c>
      <c r="O4905" s="28" t="s">
        <v>16227</v>
      </c>
      <c r="P4905" s="28" t="s">
        <v>22452</v>
      </c>
    </row>
    <row r="4906" spans="1:16" x14ac:dyDescent="0.25">
      <c r="A4906" s="28" t="s">
        <v>24691</v>
      </c>
      <c r="B4906" s="28" t="s">
        <v>24692</v>
      </c>
      <c r="C4906" s="28" t="s">
        <v>4491</v>
      </c>
      <c r="D4906" s="28" t="s">
        <v>17127</v>
      </c>
      <c r="E4906" s="28" t="s">
        <v>18243</v>
      </c>
      <c r="F4906" s="28" t="s">
        <v>21</v>
      </c>
      <c r="G4906" s="28" t="s">
        <v>39</v>
      </c>
      <c r="H4906" s="28" t="s">
        <v>16221</v>
      </c>
      <c r="I4906" s="28" t="s">
        <v>24693</v>
      </c>
      <c r="J4906" s="28" t="s">
        <v>39</v>
      </c>
      <c r="K4906" s="28" t="s">
        <v>16223</v>
      </c>
      <c r="L4906" s="28" t="s">
        <v>16224</v>
      </c>
      <c r="M4906" s="28" t="s">
        <v>21222</v>
      </c>
      <c r="N4906" s="28" t="s">
        <v>16226</v>
      </c>
      <c r="O4906" s="28" t="s">
        <v>16227</v>
      </c>
      <c r="P4906" s="28" t="s">
        <v>22456</v>
      </c>
    </row>
    <row r="4907" spans="1:16" x14ac:dyDescent="0.25">
      <c r="A4907" s="28" t="s">
        <v>24694</v>
      </c>
      <c r="B4907" s="28" t="s">
        <v>24695</v>
      </c>
      <c r="C4907" s="28" t="s">
        <v>4491</v>
      </c>
      <c r="D4907" s="28" t="s">
        <v>18249</v>
      </c>
      <c r="E4907" s="28" t="s">
        <v>18250</v>
      </c>
      <c r="F4907" s="28" t="s">
        <v>21</v>
      </c>
      <c r="G4907" s="28" t="s">
        <v>39</v>
      </c>
      <c r="H4907" s="28" t="s">
        <v>16221</v>
      </c>
      <c r="I4907" s="28" t="s">
        <v>24696</v>
      </c>
      <c r="J4907" s="28" t="s">
        <v>39</v>
      </c>
      <c r="K4907" s="28" t="s">
        <v>16223</v>
      </c>
      <c r="L4907" s="28" t="s">
        <v>16224</v>
      </c>
      <c r="M4907" s="28" t="s">
        <v>21226</v>
      </c>
      <c r="N4907" s="28" t="s">
        <v>16226</v>
      </c>
      <c r="O4907" s="28" t="s">
        <v>16227</v>
      </c>
      <c r="P4907" s="28" t="s">
        <v>22460</v>
      </c>
    </row>
    <row r="4908" spans="1:16" x14ac:dyDescent="0.25">
      <c r="A4908" s="28" t="s">
        <v>24697</v>
      </c>
      <c r="B4908" s="28" t="s">
        <v>24698</v>
      </c>
      <c r="C4908" s="28" t="s">
        <v>4491</v>
      </c>
      <c r="D4908" s="28" t="s">
        <v>15414</v>
      </c>
      <c r="E4908" s="28" t="s">
        <v>15415</v>
      </c>
      <c r="F4908" s="28" t="s">
        <v>21</v>
      </c>
      <c r="G4908" s="28" t="s">
        <v>39</v>
      </c>
      <c r="H4908" s="28" t="s">
        <v>16221</v>
      </c>
      <c r="I4908" s="28" t="s">
        <v>24699</v>
      </c>
      <c r="J4908" s="28" t="s">
        <v>39</v>
      </c>
      <c r="K4908" s="28" t="s">
        <v>16223</v>
      </c>
      <c r="L4908" s="28" t="s">
        <v>16224</v>
      </c>
      <c r="M4908" s="28" t="s">
        <v>21230</v>
      </c>
      <c r="N4908" s="28" t="s">
        <v>16226</v>
      </c>
      <c r="O4908" s="28" t="s">
        <v>16227</v>
      </c>
      <c r="P4908" s="28" t="s">
        <v>22464</v>
      </c>
    </row>
    <row r="4909" spans="1:16" x14ac:dyDescent="0.25">
      <c r="A4909" s="28" t="s">
        <v>24700</v>
      </c>
      <c r="B4909" s="28" t="s">
        <v>24701</v>
      </c>
      <c r="C4909" s="28" t="s">
        <v>4491</v>
      </c>
      <c r="D4909" s="28" t="s">
        <v>4049</v>
      </c>
      <c r="E4909" s="28" t="s">
        <v>24702</v>
      </c>
      <c r="F4909" s="28" t="s">
        <v>21</v>
      </c>
      <c r="G4909" s="28" t="s">
        <v>149</v>
      </c>
      <c r="H4909" s="28" t="s">
        <v>21726</v>
      </c>
      <c r="I4909" s="28" t="s">
        <v>24703</v>
      </c>
      <c r="J4909" s="28" t="s">
        <v>149</v>
      </c>
      <c r="K4909" s="28" t="s">
        <v>22746</v>
      </c>
      <c r="L4909" s="28" t="s">
        <v>21729</v>
      </c>
      <c r="M4909" s="28" t="s">
        <v>24704</v>
      </c>
      <c r="N4909" s="28" t="s">
        <v>21731</v>
      </c>
      <c r="O4909" s="28" t="s">
        <v>21732</v>
      </c>
      <c r="P4909" s="28" t="s">
        <v>24705</v>
      </c>
    </row>
    <row r="4910" spans="1:16" x14ac:dyDescent="0.25">
      <c r="A4910" s="28" t="s">
        <v>24706</v>
      </c>
      <c r="B4910" s="28" t="s">
        <v>24707</v>
      </c>
      <c r="C4910" s="28" t="s">
        <v>4491</v>
      </c>
      <c r="D4910" s="28" t="s">
        <v>21233</v>
      </c>
      <c r="E4910" s="28" t="s">
        <v>21234</v>
      </c>
      <c r="F4910" s="28" t="s">
        <v>21</v>
      </c>
      <c r="G4910" s="28" t="s">
        <v>39</v>
      </c>
      <c r="H4910" s="28" t="s">
        <v>16221</v>
      </c>
      <c r="I4910" s="28" t="s">
        <v>24708</v>
      </c>
      <c r="J4910" s="28" t="s">
        <v>39</v>
      </c>
      <c r="K4910" s="28" t="s">
        <v>16223</v>
      </c>
      <c r="L4910" s="28" t="s">
        <v>16224</v>
      </c>
      <c r="M4910" s="28" t="s">
        <v>21236</v>
      </c>
      <c r="N4910" s="28" t="s">
        <v>16226</v>
      </c>
      <c r="O4910" s="28" t="s">
        <v>16227</v>
      </c>
      <c r="P4910" s="28" t="s">
        <v>24709</v>
      </c>
    </row>
    <row r="4911" spans="1:16" x14ac:dyDescent="0.25">
      <c r="A4911" s="28" t="s">
        <v>24710</v>
      </c>
      <c r="B4911" s="28" t="s">
        <v>24711</v>
      </c>
      <c r="C4911" s="28" t="s">
        <v>4491</v>
      </c>
      <c r="D4911" s="28" t="s">
        <v>21233</v>
      </c>
      <c r="E4911" s="28" t="s">
        <v>21234</v>
      </c>
      <c r="F4911" s="28" t="s">
        <v>21</v>
      </c>
      <c r="G4911" s="28" t="s">
        <v>39</v>
      </c>
      <c r="H4911" s="28" t="s">
        <v>16221</v>
      </c>
      <c r="I4911" s="28" t="s">
        <v>24712</v>
      </c>
      <c r="J4911" s="28" t="s">
        <v>39</v>
      </c>
      <c r="K4911" s="28" t="s">
        <v>16223</v>
      </c>
      <c r="L4911" s="28" t="s">
        <v>16224</v>
      </c>
      <c r="M4911" s="28" t="s">
        <v>21241</v>
      </c>
      <c r="N4911" s="28" t="s">
        <v>16226</v>
      </c>
      <c r="O4911" s="28" t="s">
        <v>16227</v>
      </c>
      <c r="P4911" s="28" t="s">
        <v>24709</v>
      </c>
    </row>
    <row r="4912" spans="1:16" x14ac:dyDescent="0.25">
      <c r="A4912" s="28" t="s">
        <v>24713</v>
      </c>
      <c r="B4912" s="28" t="s">
        <v>24714</v>
      </c>
      <c r="C4912" s="28" t="s">
        <v>4491</v>
      </c>
      <c r="D4912" s="28" t="s">
        <v>21233</v>
      </c>
      <c r="E4912" s="28" t="s">
        <v>21234</v>
      </c>
      <c r="F4912" s="28" t="s">
        <v>21</v>
      </c>
      <c r="G4912" s="28" t="s">
        <v>39</v>
      </c>
      <c r="H4912" s="28" t="s">
        <v>16221</v>
      </c>
      <c r="I4912" s="28" t="s">
        <v>24715</v>
      </c>
      <c r="J4912" s="28" t="s">
        <v>39</v>
      </c>
      <c r="K4912" s="28" t="s">
        <v>16223</v>
      </c>
      <c r="L4912" s="28" t="s">
        <v>16224</v>
      </c>
      <c r="M4912" s="28" t="s">
        <v>21245</v>
      </c>
      <c r="N4912" s="28" t="s">
        <v>16226</v>
      </c>
      <c r="O4912" s="28" t="s">
        <v>16227</v>
      </c>
      <c r="P4912" s="28" t="s">
        <v>24709</v>
      </c>
    </row>
    <row r="4913" spans="1:16" x14ac:dyDescent="0.25">
      <c r="A4913" s="28" t="s">
        <v>24716</v>
      </c>
      <c r="B4913" s="28" t="s">
        <v>24717</v>
      </c>
      <c r="C4913" s="28" t="s">
        <v>4491</v>
      </c>
      <c r="D4913" s="28" t="s">
        <v>4101</v>
      </c>
      <c r="E4913" s="28" t="s">
        <v>18267</v>
      </c>
      <c r="F4913" s="28" t="s">
        <v>21</v>
      </c>
      <c r="G4913" s="28" t="s">
        <v>39</v>
      </c>
      <c r="H4913" s="28" t="s">
        <v>16221</v>
      </c>
      <c r="I4913" s="28" t="s">
        <v>24718</v>
      </c>
      <c r="J4913" s="28" t="s">
        <v>39</v>
      </c>
      <c r="K4913" s="28" t="s">
        <v>16223</v>
      </c>
      <c r="L4913" s="28" t="s">
        <v>16224</v>
      </c>
      <c r="M4913" s="28" t="s">
        <v>21249</v>
      </c>
      <c r="N4913" s="28" t="s">
        <v>16226</v>
      </c>
      <c r="O4913" s="28" t="s">
        <v>16227</v>
      </c>
      <c r="P4913" s="28" t="s">
        <v>22472</v>
      </c>
    </row>
    <row r="4914" spans="1:16" x14ac:dyDescent="0.25">
      <c r="A4914" s="28" t="s">
        <v>24719</v>
      </c>
      <c r="B4914" s="28" t="s">
        <v>24720</v>
      </c>
      <c r="C4914" s="28" t="s">
        <v>4491</v>
      </c>
      <c r="D4914" s="28" t="s">
        <v>4101</v>
      </c>
      <c r="E4914" s="28" t="s">
        <v>18267</v>
      </c>
      <c r="F4914" s="28" t="s">
        <v>21</v>
      </c>
      <c r="G4914" s="28" t="s">
        <v>39</v>
      </c>
      <c r="H4914" s="28" t="s">
        <v>16221</v>
      </c>
      <c r="I4914" s="28" t="s">
        <v>24721</v>
      </c>
      <c r="J4914" s="28" t="s">
        <v>39</v>
      </c>
      <c r="K4914" s="28" t="s">
        <v>16223</v>
      </c>
      <c r="L4914" s="28" t="s">
        <v>16224</v>
      </c>
      <c r="M4914" s="28" t="s">
        <v>21253</v>
      </c>
      <c r="N4914" s="28" t="s">
        <v>16226</v>
      </c>
      <c r="O4914" s="28" t="s">
        <v>16227</v>
      </c>
      <c r="P4914" s="28" t="s">
        <v>22472</v>
      </c>
    </row>
    <row r="4915" spans="1:16" x14ac:dyDescent="0.25">
      <c r="A4915" s="28" t="s">
        <v>24722</v>
      </c>
      <c r="B4915" s="28" t="s">
        <v>24723</v>
      </c>
      <c r="C4915" s="28" t="s">
        <v>4491</v>
      </c>
      <c r="D4915" s="28" t="s">
        <v>4101</v>
      </c>
      <c r="E4915" s="28" t="s">
        <v>18267</v>
      </c>
      <c r="F4915" s="28" t="s">
        <v>21</v>
      </c>
      <c r="G4915" s="28" t="s">
        <v>39</v>
      </c>
      <c r="H4915" s="28" t="s">
        <v>16221</v>
      </c>
      <c r="I4915" s="28" t="s">
        <v>24724</v>
      </c>
      <c r="J4915" s="28" t="s">
        <v>39</v>
      </c>
      <c r="K4915" s="28" t="s">
        <v>16223</v>
      </c>
      <c r="L4915" s="28" t="s">
        <v>16224</v>
      </c>
      <c r="M4915" s="28" t="s">
        <v>21257</v>
      </c>
      <c r="N4915" s="28" t="s">
        <v>16226</v>
      </c>
      <c r="O4915" s="28" t="s">
        <v>16227</v>
      </c>
      <c r="P4915" s="28" t="s">
        <v>22472</v>
      </c>
    </row>
    <row r="4916" spans="1:16" x14ac:dyDescent="0.25">
      <c r="A4916" s="28" t="s">
        <v>24725</v>
      </c>
      <c r="B4916" s="28" t="s">
        <v>24726</v>
      </c>
      <c r="C4916" s="28" t="s">
        <v>4491</v>
      </c>
      <c r="D4916" s="28" t="s">
        <v>4101</v>
      </c>
      <c r="E4916" s="28" t="s">
        <v>18267</v>
      </c>
      <c r="F4916" s="28" t="s">
        <v>21</v>
      </c>
      <c r="G4916" s="28" t="s">
        <v>39</v>
      </c>
      <c r="H4916" s="28" t="s">
        <v>16221</v>
      </c>
      <c r="I4916" s="28" t="s">
        <v>24727</v>
      </c>
      <c r="J4916" s="28" t="s">
        <v>39</v>
      </c>
      <c r="K4916" s="28" t="s">
        <v>16223</v>
      </c>
      <c r="L4916" s="28" t="s">
        <v>16224</v>
      </c>
      <c r="M4916" s="28" t="s">
        <v>21261</v>
      </c>
      <c r="N4916" s="28" t="s">
        <v>16226</v>
      </c>
      <c r="O4916" s="28" t="s">
        <v>16227</v>
      </c>
      <c r="P4916" s="28" t="s">
        <v>22472</v>
      </c>
    </row>
    <row r="4917" spans="1:16" x14ac:dyDescent="0.25">
      <c r="A4917" s="28" t="s">
        <v>24728</v>
      </c>
      <c r="B4917" s="28" t="s">
        <v>24729</v>
      </c>
      <c r="C4917" s="28" t="s">
        <v>4491</v>
      </c>
      <c r="D4917" s="28" t="s">
        <v>4101</v>
      </c>
      <c r="E4917" s="28" t="s">
        <v>18267</v>
      </c>
      <c r="F4917" s="28" t="s">
        <v>21</v>
      </c>
      <c r="G4917" s="28" t="s">
        <v>39</v>
      </c>
      <c r="H4917" s="28" t="s">
        <v>16221</v>
      </c>
      <c r="I4917" s="28" t="s">
        <v>24730</v>
      </c>
      <c r="J4917" s="28" t="s">
        <v>39</v>
      </c>
      <c r="K4917" s="28" t="s">
        <v>16223</v>
      </c>
      <c r="L4917" s="28" t="s">
        <v>16224</v>
      </c>
      <c r="M4917" s="28" t="s">
        <v>21265</v>
      </c>
      <c r="N4917" s="28" t="s">
        <v>16226</v>
      </c>
      <c r="O4917" s="28" t="s">
        <v>16227</v>
      </c>
      <c r="P4917" s="28" t="s">
        <v>22472</v>
      </c>
    </row>
    <row r="4918" spans="1:16" x14ac:dyDescent="0.25">
      <c r="A4918" s="28" t="s">
        <v>24731</v>
      </c>
      <c r="B4918" s="28" t="s">
        <v>24732</v>
      </c>
      <c r="C4918" s="28" t="s">
        <v>4491</v>
      </c>
      <c r="D4918" s="28" t="s">
        <v>4101</v>
      </c>
      <c r="E4918" s="28" t="s">
        <v>18267</v>
      </c>
      <c r="F4918" s="28" t="s">
        <v>21</v>
      </c>
      <c r="G4918" s="28" t="s">
        <v>39</v>
      </c>
      <c r="H4918" s="28" t="s">
        <v>16221</v>
      </c>
      <c r="I4918" s="28" t="s">
        <v>24733</v>
      </c>
      <c r="J4918" s="28" t="s">
        <v>39</v>
      </c>
      <c r="K4918" s="28" t="s">
        <v>16223</v>
      </c>
      <c r="L4918" s="28" t="s">
        <v>16224</v>
      </c>
      <c r="M4918" s="28" t="s">
        <v>21269</v>
      </c>
      <c r="N4918" s="28" t="s">
        <v>16226</v>
      </c>
      <c r="O4918" s="28" t="s">
        <v>16227</v>
      </c>
      <c r="P4918" s="28" t="s">
        <v>22472</v>
      </c>
    </row>
    <row r="4919" spans="1:16" x14ac:dyDescent="0.25">
      <c r="A4919" s="28" t="s">
        <v>24734</v>
      </c>
      <c r="B4919" s="28" t="s">
        <v>24735</v>
      </c>
      <c r="C4919" s="28" t="s">
        <v>4491</v>
      </c>
      <c r="D4919" s="28" t="s">
        <v>4101</v>
      </c>
      <c r="E4919" s="28" t="s">
        <v>18267</v>
      </c>
      <c r="F4919" s="28" t="s">
        <v>21</v>
      </c>
      <c r="G4919" s="28" t="s">
        <v>39</v>
      </c>
      <c r="H4919" s="28" t="s">
        <v>16221</v>
      </c>
      <c r="I4919" s="28" t="s">
        <v>24736</v>
      </c>
      <c r="J4919" s="28" t="s">
        <v>39</v>
      </c>
      <c r="K4919" s="28" t="s">
        <v>16223</v>
      </c>
      <c r="L4919" s="28" t="s">
        <v>16224</v>
      </c>
      <c r="M4919" s="28" t="s">
        <v>21273</v>
      </c>
      <c r="N4919" s="28" t="s">
        <v>16226</v>
      </c>
      <c r="O4919" s="28" t="s">
        <v>16227</v>
      </c>
      <c r="P4919" s="28" t="s">
        <v>22472</v>
      </c>
    </row>
    <row r="4920" spans="1:16" x14ac:dyDescent="0.25">
      <c r="A4920" s="28" t="s">
        <v>24737</v>
      </c>
      <c r="B4920" s="28" t="s">
        <v>24738</v>
      </c>
      <c r="C4920" s="28" t="s">
        <v>4491</v>
      </c>
      <c r="D4920" s="28" t="s">
        <v>4101</v>
      </c>
      <c r="E4920" s="28" t="s">
        <v>18267</v>
      </c>
      <c r="F4920" s="28" t="s">
        <v>21</v>
      </c>
      <c r="G4920" s="28" t="s">
        <v>39</v>
      </c>
      <c r="H4920" s="28" t="s">
        <v>16221</v>
      </c>
      <c r="I4920" s="28" t="s">
        <v>24739</v>
      </c>
      <c r="J4920" s="28" t="s">
        <v>39</v>
      </c>
      <c r="K4920" s="28" t="s">
        <v>16223</v>
      </c>
      <c r="L4920" s="28" t="s">
        <v>16224</v>
      </c>
      <c r="M4920" s="28" t="s">
        <v>21277</v>
      </c>
      <c r="N4920" s="28" t="s">
        <v>16226</v>
      </c>
      <c r="O4920" s="28" t="s">
        <v>16227</v>
      </c>
      <c r="P4920" s="28" t="s">
        <v>22472</v>
      </c>
    </row>
    <row r="4921" spans="1:16" x14ac:dyDescent="0.25">
      <c r="A4921" s="28" t="s">
        <v>24740</v>
      </c>
      <c r="B4921" s="28" t="s">
        <v>24741</v>
      </c>
      <c r="C4921" s="28" t="s">
        <v>4491</v>
      </c>
      <c r="D4921" s="28" t="s">
        <v>4101</v>
      </c>
      <c r="E4921" s="28" t="s">
        <v>18267</v>
      </c>
      <c r="F4921" s="28" t="s">
        <v>21</v>
      </c>
      <c r="G4921" s="28" t="s">
        <v>39</v>
      </c>
      <c r="H4921" s="28" t="s">
        <v>16221</v>
      </c>
      <c r="I4921" s="28" t="s">
        <v>24742</v>
      </c>
      <c r="J4921" s="28" t="s">
        <v>39</v>
      </c>
      <c r="K4921" s="28" t="s">
        <v>16223</v>
      </c>
      <c r="L4921" s="28" t="s">
        <v>16224</v>
      </c>
      <c r="M4921" s="28" t="s">
        <v>21281</v>
      </c>
      <c r="N4921" s="28" t="s">
        <v>16226</v>
      </c>
      <c r="O4921" s="28" t="s">
        <v>16227</v>
      </c>
      <c r="P4921" s="28" t="s">
        <v>22472</v>
      </c>
    </row>
    <row r="4922" spans="1:16" x14ac:dyDescent="0.25">
      <c r="A4922" s="28" t="s">
        <v>24743</v>
      </c>
      <c r="B4922" s="28" t="s">
        <v>24744</v>
      </c>
      <c r="C4922" s="28" t="s">
        <v>4491</v>
      </c>
      <c r="D4922" s="28" t="s">
        <v>4101</v>
      </c>
      <c r="E4922" s="28" t="s">
        <v>18267</v>
      </c>
      <c r="F4922" s="28" t="s">
        <v>21</v>
      </c>
      <c r="G4922" s="28" t="s">
        <v>39</v>
      </c>
      <c r="H4922" s="28" t="s">
        <v>16221</v>
      </c>
      <c r="I4922" s="28" t="s">
        <v>24745</v>
      </c>
      <c r="J4922" s="28" t="s">
        <v>39</v>
      </c>
      <c r="K4922" s="28" t="s">
        <v>16223</v>
      </c>
      <c r="L4922" s="28" t="s">
        <v>16224</v>
      </c>
      <c r="M4922" s="28" t="s">
        <v>21285</v>
      </c>
      <c r="N4922" s="28" t="s">
        <v>16226</v>
      </c>
      <c r="O4922" s="28" t="s">
        <v>16227</v>
      </c>
      <c r="P4922" s="28" t="s">
        <v>22472</v>
      </c>
    </row>
    <row r="4923" spans="1:16" x14ac:dyDescent="0.25">
      <c r="A4923" s="28" t="s">
        <v>24746</v>
      </c>
      <c r="B4923" s="28" t="s">
        <v>24747</v>
      </c>
      <c r="C4923" s="28" t="s">
        <v>4491</v>
      </c>
      <c r="D4923" s="28" t="s">
        <v>4101</v>
      </c>
      <c r="E4923" s="28" t="s">
        <v>18267</v>
      </c>
      <c r="F4923" s="28" t="s">
        <v>21</v>
      </c>
      <c r="G4923" s="28" t="s">
        <v>39</v>
      </c>
      <c r="H4923" s="28" t="s">
        <v>16221</v>
      </c>
      <c r="I4923" s="28" t="s">
        <v>24748</v>
      </c>
      <c r="J4923" s="28" t="s">
        <v>39</v>
      </c>
      <c r="K4923" s="28" t="s">
        <v>16223</v>
      </c>
      <c r="L4923" s="28" t="s">
        <v>16224</v>
      </c>
      <c r="M4923" s="28" t="s">
        <v>21289</v>
      </c>
      <c r="N4923" s="28" t="s">
        <v>16226</v>
      </c>
      <c r="O4923" s="28" t="s">
        <v>16227</v>
      </c>
      <c r="P4923" s="28" t="s">
        <v>22472</v>
      </c>
    </row>
    <row r="4924" spans="1:16" x14ac:dyDescent="0.25">
      <c r="A4924" s="28" t="s">
        <v>24749</v>
      </c>
      <c r="B4924" s="28" t="s">
        <v>24750</v>
      </c>
      <c r="C4924" s="28" t="s">
        <v>4491</v>
      </c>
      <c r="D4924" s="28" t="s">
        <v>4101</v>
      </c>
      <c r="E4924" s="28" t="s">
        <v>18267</v>
      </c>
      <c r="F4924" s="28" t="s">
        <v>21</v>
      </c>
      <c r="G4924" s="28" t="s">
        <v>39</v>
      </c>
      <c r="H4924" s="28" t="s">
        <v>16221</v>
      </c>
      <c r="I4924" s="28" t="s">
        <v>24751</v>
      </c>
      <c r="J4924" s="28" t="s">
        <v>39</v>
      </c>
      <c r="K4924" s="28" t="s">
        <v>16223</v>
      </c>
      <c r="L4924" s="28" t="s">
        <v>16224</v>
      </c>
      <c r="M4924" s="28" t="s">
        <v>21293</v>
      </c>
      <c r="N4924" s="28" t="s">
        <v>16226</v>
      </c>
      <c r="O4924" s="28" t="s">
        <v>16227</v>
      </c>
      <c r="P4924" s="28" t="s">
        <v>22472</v>
      </c>
    </row>
    <row r="4925" spans="1:16" x14ac:dyDescent="0.25">
      <c r="A4925" s="28" t="s">
        <v>24752</v>
      </c>
      <c r="B4925" s="28" t="s">
        <v>24753</v>
      </c>
      <c r="C4925" s="28" t="s">
        <v>4491</v>
      </c>
      <c r="D4925" s="28" t="s">
        <v>4101</v>
      </c>
      <c r="E4925" s="28" t="s">
        <v>18267</v>
      </c>
      <c r="F4925" s="28" t="s">
        <v>21</v>
      </c>
      <c r="G4925" s="28" t="s">
        <v>39</v>
      </c>
      <c r="H4925" s="28" t="s">
        <v>16221</v>
      </c>
      <c r="I4925" s="28" t="s">
        <v>24754</v>
      </c>
      <c r="J4925" s="28" t="s">
        <v>39</v>
      </c>
      <c r="K4925" s="28" t="s">
        <v>16223</v>
      </c>
      <c r="L4925" s="28" t="s">
        <v>16224</v>
      </c>
      <c r="M4925" s="28" t="s">
        <v>21297</v>
      </c>
      <c r="N4925" s="28" t="s">
        <v>16226</v>
      </c>
      <c r="O4925" s="28" t="s">
        <v>16227</v>
      </c>
      <c r="P4925" s="28" t="s">
        <v>22472</v>
      </c>
    </row>
    <row r="4926" spans="1:16" x14ac:dyDescent="0.25">
      <c r="A4926" s="28" t="s">
        <v>24755</v>
      </c>
      <c r="B4926" s="28" t="s">
        <v>24756</v>
      </c>
      <c r="C4926" s="28" t="s">
        <v>4491</v>
      </c>
      <c r="D4926" s="28" t="s">
        <v>4101</v>
      </c>
      <c r="E4926" s="28" t="s">
        <v>18267</v>
      </c>
      <c r="F4926" s="28" t="s">
        <v>21</v>
      </c>
      <c r="G4926" s="28" t="s">
        <v>39</v>
      </c>
      <c r="H4926" s="28" t="s">
        <v>16221</v>
      </c>
      <c r="I4926" s="28" t="s">
        <v>24757</v>
      </c>
      <c r="J4926" s="28" t="s">
        <v>39</v>
      </c>
      <c r="K4926" s="28" t="s">
        <v>16223</v>
      </c>
      <c r="L4926" s="28" t="s">
        <v>16224</v>
      </c>
      <c r="M4926" s="28" t="s">
        <v>21301</v>
      </c>
      <c r="N4926" s="28" t="s">
        <v>16226</v>
      </c>
      <c r="O4926" s="28" t="s">
        <v>16227</v>
      </c>
      <c r="P4926" s="28" t="s">
        <v>22472</v>
      </c>
    </row>
    <row r="4927" spans="1:16" x14ac:dyDescent="0.25">
      <c r="A4927" s="28" t="s">
        <v>24758</v>
      </c>
      <c r="B4927" s="28" t="s">
        <v>24759</v>
      </c>
      <c r="C4927" s="28" t="s">
        <v>4491</v>
      </c>
      <c r="D4927" s="28" t="s">
        <v>4101</v>
      </c>
      <c r="E4927" s="28" t="s">
        <v>18267</v>
      </c>
      <c r="F4927" s="28" t="s">
        <v>21</v>
      </c>
      <c r="G4927" s="28" t="s">
        <v>39</v>
      </c>
      <c r="H4927" s="28" t="s">
        <v>16221</v>
      </c>
      <c r="I4927" s="28" t="s">
        <v>24760</v>
      </c>
      <c r="J4927" s="28" t="s">
        <v>39</v>
      </c>
      <c r="K4927" s="28" t="s">
        <v>16223</v>
      </c>
      <c r="L4927" s="28" t="s">
        <v>16224</v>
      </c>
      <c r="M4927" s="28" t="s">
        <v>21305</v>
      </c>
      <c r="N4927" s="28" t="s">
        <v>16226</v>
      </c>
      <c r="O4927" s="28" t="s">
        <v>16227</v>
      </c>
      <c r="P4927" s="28" t="s">
        <v>22472</v>
      </c>
    </row>
    <row r="4928" spans="1:16" x14ac:dyDescent="0.25">
      <c r="A4928" s="28" t="s">
        <v>24761</v>
      </c>
      <c r="B4928" s="28" t="s">
        <v>24762</v>
      </c>
      <c r="C4928" s="28" t="s">
        <v>4491</v>
      </c>
      <c r="D4928" s="28" t="s">
        <v>4101</v>
      </c>
      <c r="E4928" s="28" t="s">
        <v>18267</v>
      </c>
      <c r="F4928" s="28" t="s">
        <v>21</v>
      </c>
      <c r="G4928" s="28" t="s">
        <v>39</v>
      </c>
      <c r="H4928" s="28" t="s">
        <v>16221</v>
      </c>
      <c r="I4928" s="28" t="s">
        <v>24763</v>
      </c>
      <c r="J4928" s="28" t="s">
        <v>39</v>
      </c>
      <c r="K4928" s="28" t="s">
        <v>16223</v>
      </c>
      <c r="L4928" s="28" t="s">
        <v>16224</v>
      </c>
      <c r="M4928" s="28" t="s">
        <v>21309</v>
      </c>
      <c r="N4928" s="28" t="s">
        <v>16226</v>
      </c>
      <c r="O4928" s="28" t="s">
        <v>16227</v>
      </c>
      <c r="P4928" s="28" t="s">
        <v>22472</v>
      </c>
    </row>
    <row r="4929" spans="1:16" x14ac:dyDescent="0.25">
      <c r="A4929" s="28" t="s">
        <v>24764</v>
      </c>
      <c r="B4929" s="28" t="s">
        <v>24765</v>
      </c>
      <c r="C4929" s="28" t="s">
        <v>4491</v>
      </c>
      <c r="D4929" s="28" t="s">
        <v>4101</v>
      </c>
      <c r="E4929" s="28" t="s">
        <v>21312</v>
      </c>
      <c r="F4929" s="28" t="s">
        <v>21</v>
      </c>
      <c r="G4929" s="28" t="s">
        <v>39</v>
      </c>
      <c r="H4929" s="28" t="s">
        <v>16221</v>
      </c>
      <c r="I4929" s="28" t="s">
        <v>24766</v>
      </c>
      <c r="J4929" s="28" t="s">
        <v>39</v>
      </c>
      <c r="K4929" s="28" t="s">
        <v>16223</v>
      </c>
      <c r="L4929" s="28" t="s">
        <v>16224</v>
      </c>
      <c r="M4929" s="28" t="s">
        <v>21314</v>
      </c>
      <c r="N4929" s="28" t="s">
        <v>16226</v>
      </c>
      <c r="O4929" s="28" t="s">
        <v>16227</v>
      </c>
      <c r="P4929" s="28" t="s">
        <v>24767</v>
      </c>
    </row>
    <row r="4930" spans="1:16" x14ac:dyDescent="0.25">
      <c r="A4930" s="28" t="s">
        <v>24768</v>
      </c>
      <c r="B4930" s="28" t="s">
        <v>24769</v>
      </c>
      <c r="C4930" s="28" t="s">
        <v>4491</v>
      </c>
      <c r="D4930" s="28" t="s">
        <v>4101</v>
      </c>
      <c r="E4930" s="28" t="s">
        <v>21318</v>
      </c>
      <c r="F4930" s="28" t="s">
        <v>21</v>
      </c>
      <c r="G4930" s="28" t="s">
        <v>39</v>
      </c>
      <c r="H4930" s="28" t="s">
        <v>16221</v>
      </c>
      <c r="I4930" s="28" t="s">
        <v>24770</v>
      </c>
      <c r="J4930" s="28" t="s">
        <v>39</v>
      </c>
      <c r="K4930" s="28" t="s">
        <v>16223</v>
      </c>
      <c r="L4930" s="28" t="s">
        <v>16224</v>
      </c>
      <c r="M4930" s="28" t="s">
        <v>21320</v>
      </c>
      <c r="N4930" s="28" t="s">
        <v>16226</v>
      </c>
      <c r="O4930" s="28" t="s">
        <v>16227</v>
      </c>
      <c r="P4930" s="28" t="s">
        <v>24771</v>
      </c>
    </row>
    <row r="4931" spans="1:16" x14ac:dyDescent="0.25">
      <c r="A4931" s="28" t="s">
        <v>24772</v>
      </c>
      <c r="B4931" s="28" t="s">
        <v>24773</v>
      </c>
      <c r="C4931" s="28" t="s">
        <v>4491</v>
      </c>
      <c r="D4931" s="28" t="s">
        <v>4101</v>
      </c>
      <c r="E4931" s="28" t="s">
        <v>18273</v>
      </c>
      <c r="F4931" s="28" t="s">
        <v>21</v>
      </c>
      <c r="G4931" s="28" t="s">
        <v>39</v>
      </c>
      <c r="H4931" s="28" t="s">
        <v>16221</v>
      </c>
      <c r="I4931" s="28" t="s">
        <v>24774</v>
      </c>
      <c r="J4931" s="28" t="s">
        <v>39</v>
      </c>
      <c r="K4931" s="28" t="s">
        <v>16223</v>
      </c>
      <c r="L4931" s="28" t="s">
        <v>16224</v>
      </c>
      <c r="M4931" s="28" t="s">
        <v>21325</v>
      </c>
      <c r="N4931" s="28" t="s">
        <v>16226</v>
      </c>
      <c r="O4931" s="28" t="s">
        <v>16227</v>
      </c>
      <c r="P4931" s="28" t="s">
        <v>22476</v>
      </c>
    </row>
    <row r="4932" spans="1:16" x14ac:dyDescent="0.25">
      <c r="A4932" s="28" t="s">
        <v>24775</v>
      </c>
      <c r="B4932" s="28" t="s">
        <v>24776</v>
      </c>
      <c r="C4932" s="28" t="s">
        <v>4491</v>
      </c>
      <c r="D4932" s="28" t="s">
        <v>4101</v>
      </c>
      <c r="E4932" s="28" t="s">
        <v>18273</v>
      </c>
      <c r="F4932" s="28" t="s">
        <v>21</v>
      </c>
      <c r="G4932" s="28" t="s">
        <v>39</v>
      </c>
      <c r="H4932" s="28" t="s">
        <v>16221</v>
      </c>
      <c r="I4932" s="28" t="s">
        <v>24777</v>
      </c>
      <c r="J4932" s="28" t="s">
        <v>39</v>
      </c>
      <c r="K4932" s="28" t="s">
        <v>16223</v>
      </c>
      <c r="L4932" s="28" t="s">
        <v>16224</v>
      </c>
      <c r="M4932" s="28" t="s">
        <v>21329</v>
      </c>
      <c r="N4932" s="28" t="s">
        <v>16226</v>
      </c>
      <c r="O4932" s="28" t="s">
        <v>16227</v>
      </c>
      <c r="P4932" s="28" t="s">
        <v>22476</v>
      </c>
    </row>
    <row r="4933" spans="1:16" x14ac:dyDescent="0.25">
      <c r="A4933" s="28" t="s">
        <v>24778</v>
      </c>
      <c r="B4933" s="28" t="s">
        <v>24779</v>
      </c>
      <c r="C4933" s="28" t="s">
        <v>4491</v>
      </c>
      <c r="D4933" s="28" t="s">
        <v>4101</v>
      </c>
      <c r="E4933" s="28" t="s">
        <v>18273</v>
      </c>
      <c r="F4933" s="28" t="s">
        <v>21</v>
      </c>
      <c r="G4933" s="28" t="s">
        <v>39</v>
      </c>
      <c r="H4933" s="28" t="s">
        <v>16221</v>
      </c>
      <c r="I4933" s="28" t="s">
        <v>24780</v>
      </c>
      <c r="J4933" s="28" t="s">
        <v>39</v>
      </c>
      <c r="K4933" s="28" t="s">
        <v>16223</v>
      </c>
      <c r="L4933" s="28" t="s">
        <v>16224</v>
      </c>
      <c r="M4933" s="28" t="s">
        <v>21333</v>
      </c>
      <c r="N4933" s="28" t="s">
        <v>16226</v>
      </c>
      <c r="O4933" s="28" t="s">
        <v>16227</v>
      </c>
      <c r="P4933" s="28" t="s">
        <v>22476</v>
      </c>
    </row>
    <row r="4934" spans="1:16" x14ac:dyDescent="0.25">
      <c r="A4934" s="28" t="s">
        <v>24781</v>
      </c>
      <c r="B4934" s="28" t="s">
        <v>24782</v>
      </c>
      <c r="C4934" s="28" t="s">
        <v>4491</v>
      </c>
      <c r="D4934" s="28" t="s">
        <v>4101</v>
      </c>
      <c r="E4934" s="28" t="s">
        <v>18273</v>
      </c>
      <c r="F4934" s="28" t="s">
        <v>21</v>
      </c>
      <c r="G4934" s="28" t="s">
        <v>39</v>
      </c>
      <c r="H4934" s="28" t="s">
        <v>16221</v>
      </c>
      <c r="I4934" s="28" t="s">
        <v>24783</v>
      </c>
      <c r="J4934" s="28" t="s">
        <v>39</v>
      </c>
      <c r="K4934" s="28" t="s">
        <v>16223</v>
      </c>
      <c r="L4934" s="28" t="s">
        <v>16224</v>
      </c>
      <c r="M4934" s="28" t="s">
        <v>21337</v>
      </c>
      <c r="N4934" s="28" t="s">
        <v>16226</v>
      </c>
      <c r="O4934" s="28" t="s">
        <v>16227</v>
      </c>
      <c r="P4934" s="28" t="s">
        <v>22476</v>
      </c>
    </row>
    <row r="4935" spans="1:16" x14ac:dyDescent="0.25">
      <c r="A4935" s="28" t="s">
        <v>24784</v>
      </c>
      <c r="B4935" s="28" t="s">
        <v>24785</v>
      </c>
      <c r="C4935" s="28" t="s">
        <v>4491</v>
      </c>
      <c r="D4935" s="28" t="s">
        <v>4101</v>
      </c>
      <c r="E4935" s="28" t="s">
        <v>18273</v>
      </c>
      <c r="F4935" s="28" t="s">
        <v>21</v>
      </c>
      <c r="G4935" s="28" t="s">
        <v>39</v>
      </c>
      <c r="H4935" s="28" t="s">
        <v>16221</v>
      </c>
      <c r="I4935" s="28" t="s">
        <v>24786</v>
      </c>
      <c r="J4935" s="28" t="s">
        <v>39</v>
      </c>
      <c r="K4935" s="28" t="s">
        <v>16223</v>
      </c>
      <c r="L4935" s="28" t="s">
        <v>16224</v>
      </c>
      <c r="M4935" s="28" t="s">
        <v>21341</v>
      </c>
      <c r="N4935" s="28" t="s">
        <v>16226</v>
      </c>
      <c r="O4935" s="28" t="s">
        <v>16227</v>
      </c>
      <c r="P4935" s="28" t="s">
        <v>22476</v>
      </c>
    </row>
    <row r="4936" spans="1:16" x14ac:dyDescent="0.25">
      <c r="A4936" s="28" t="s">
        <v>24787</v>
      </c>
      <c r="B4936" s="28" t="s">
        <v>24788</v>
      </c>
      <c r="C4936" s="28" t="s">
        <v>4491</v>
      </c>
      <c r="D4936" s="28" t="s">
        <v>4101</v>
      </c>
      <c r="E4936" s="28" t="s">
        <v>22479</v>
      </c>
      <c r="F4936" s="28" t="s">
        <v>21</v>
      </c>
      <c r="G4936" s="28" t="s">
        <v>149</v>
      </c>
      <c r="H4936" s="28" t="s">
        <v>21726</v>
      </c>
      <c r="I4936" s="28" t="s">
        <v>24789</v>
      </c>
      <c r="J4936" s="28" t="s">
        <v>149</v>
      </c>
      <c r="K4936" s="28" t="s">
        <v>22746</v>
      </c>
      <c r="L4936" s="28" t="s">
        <v>21729</v>
      </c>
      <c r="M4936" s="28" t="s">
        <v>24790</v>
      </c>
      <c r="N4936" s="28" t="s">
        <v>21731</v>
      </c>
      <c r="O4936" s="28" t="s">
        <v>21732</v>
      </c>
      <c r="P4936" s="28" t="s">
        <v>24791</v>
      </c>
    </row>
    <row r="4937" spans="1:16" x14ac:dyDescent="0.25">
      <c r="A4937" s="28" t="s">
        <v>24792</v>
      </c>
      <c r="B4937" s="28" t="s">
        <v>24793</v>
      </c>
      <c r="C4937" s="28" t="s">
        <v>4491</v>
      </c>
      <c r="D4937" s="28" t="s">
        <v>4101</v>
      </c>
      <c r="E4937" s="28" t="s">
        <v>22485</v>
      </c>
      <c r="F4937" s="28" t="s">
        <v>21</v>
      </c>
      <c r="G4937" s="28" t="s">
        <v>149</v>
      </c>
      <c r="H4937" s="28" t="s">
        <v>21726</v>
      </c>
      <c r="I4937" s="28" t="s">
        <v>24794</v>
      </c>
      <c r="J4937" s="28" t="s">
        <v>149</v>
      </c>
      <c r="K4937" s="28" t="s">
        <v>22746</v>
      </c>
      <c r="L4937" s="28" t="s">
        <v>21729</v>
      </c>
      <c r="M4937" s="28" t="s">
        <v>24795</v>
      </c>
      <c r="N4937" s="28" t="s">
        <v>21731</v>
      </c>
      <c r="O4937" s="28" t="s">
        <v>21732</v>
      </c>
      <c r="P4937" s="28" t="s">
        <v>24796</v>
      </c>
    </row>
    <row r="4938" spans="1:16" x14ac:dyDescent="0.25">
      <c r="A4938" s="28" t="s">
        <v>24797</v>
      </c>
      <c r="B4938" s="28" t="s">
        <v>24798</v>
      </c>
      <c r="C4938" s="28" t="s">
        <v>4491</v>
      </c>
      <c r="D4938" s="28" t="s">
        <v>4101</v>
      </c>
      <c r="E4938" s="28" t="s">
        <v>22491</v>
      </c>
      <c r="F4938" s="28" t="s">
        <v>21</v>
      </c>
      <c r="G4938" s="28" t="s">
        <v>149</v>
      </c>
      <c r="H4938" s="28" t="s">
        <v>21726</v>
      </c>
      <c r="I4938" s="28" t="s">
        <v>24799</v>
      </c>
      <c r="J4938" s="28" t="s">
        <v>149</v>
      </c>
      <c r="K4938" s="28" t="s">
        <v>22746</v>
      </c>
      <c r="L4938" s="28" t="s">
        <v>21729</v>
      </c>
      <c r="M4938" s="28" t="s">
        <v>24800</v>
      </c>
      <c r="N4938" s="28" t="s">
        <v>21731</v>
      </c>
      <c r="O4938" s="28" t="s">
        <v>21732</v>
      </c>
      <c r="P4938" s="28" t="s">
        <v>24801</v>
      </c>
    </row>
    <row r="4939" spans="1:16" x14ac:dyDescent="0.25">
      <c r="A4939" s="28" t="s">
        <v>24802</v>
      </c>
      <c r="B4939" s="28" t="s">
        <v>24803</v>
      </c>
      <c r="C4939" s="28" t="s">
        <v>4491</v>
      </c>
      <c r="D4939" s="28" t="s">
        <v>4101</v>
      </c>
      <c r="E4939" s="28" t="s">
        <v>22497</v>
      </c>
      <c r="F4939" s="28" t="s">
        <v>21</v>
      </c>
      <c r="G4939" s="28" t="s">
        <v>149</v>
      </c>
      <c r="H4939" s="28" t="s">
        <v>21726</v>
      </c>
      <c r="I4939" s="28" t="s">
        <v>24804</v>
      </c>
      <c r="J4939" s="28" t="s">
        <v>149</v>
      </c>
      <c r="K4939" s="28" t="s">
        <v>22746</v>
      </c>
      <c r="L4939" s="28" t="s">
        <v>21729</v>
      </c>
      <c r="M4939" s="28" t="s">
        <v>24805</v>
      </c>
      <c r="N4939" s="28" t="s">
        <v>21731</v>
      </c>
      <c r="O4939" s="28" t="s">
        <v>21732</v>
      </c>
      <c r="P4939" s="28" t="s">
        <v>24806</v>
      </c>
    </row>
    <row r="4940" spans="1:16" x14ac:dyDescent="0.25">
      <c r="A4940" s="28" t="s">
        <v>24807</v>
      </c>
      <c r="B4940" s="28" t="s">
        <v>24808</v>
      </c>
      <c r="C4940" s="28" t="s">
        <v>4491</v>
      </c>
      <c r="D4940" s="28" t="s">
        <v>4101</v>
      </c>
      <c r="E4940" s="28" t="s">
        <v>18279</v>
      </c>
      <c r="F4940" s="28" t="s">
        <v>21</v>
      </c>
      <c r="G4940" s="28" t="s">
        <v>39</v>
      </c>
      <c r="H4940" s="28" t="s">
        <v>16221</v>
      </c>
      <c r="I4940" s="28" t="s">
        <v>24809</v>
      </c>
      <c r="J4940" s="28" t="s">
        <v>39</v>
      </c>
      <c r="K4940" s="28" t="s">
        <v>16223</v>
      </c>
      <c r="L4940" s="28" t="s">
        <v>16224</v>
      </c>
      <c r="M4940" s="28" t="s">
        <v>21345</v>
      </c>
      <c r="N4940" s="28" t="s">
        <v>16226</v>
      </c>
      <c r="O4940" s="28" t="s">
        <v>16227</v>
      </c>
      <c r="P4940" s="28" t="s">
        <v>22504</v>
      </c>
    </row>
    <row r="4941" spans="1:16" x14ac:dyDescent="0.25">
      <c r="A4941" s="28" t="s">
        <v>24810</v>
      </c>
      <c r="B4941" s="28" t="s">
        <v>24811</v>
      </c>
      <c r="C4941" s="28" t="s">
        <v>4491</v>
      </c>
      <c r="D4941" s="28" t="s">
        <v>4101</v>
      </c>
      <c r="E4941" s="28" t="s">
        <v>18279</v>
      </c>
      <c r="F4941" s="28" t="s">
        <v>21</v>
      </c>
      <c r="G4941" s="28" t="s">
        <v>39</v>
      </c>
      <c r="H4941" s="28" t="s">
        <v>16221</v>
      </c>
      <c r="I4941" s="28" t="s">
        <v>24812</v>
      </c>
      <c r="J4941" s="28" t="s">
        <v>39</v>
      </c>
      <c r="K4941" s="28" t="s">
        <v>16223</v>
      </c>
      <c r="L4941" s="28" t="s">
        <v>16224</v>
      </c>
      <c r="M4941" s="28" t="s">
        <v>21349</v>
      </c>
      <c r="N4941" s="28" t="s">
        <v>16226</v>
      </c>
      <c r="O4941" s="28" t="s">
        <v>16227</v>
      </c>
      <c r="P4941" s="28" t="s">
        <v>22504</v>
      </c>
    </row>
    <row r="4942" spans="1:16" x14ac:dyDescent="0.25">
      <c r="A4942" s="28" t="s">
        <v>24813</v>
      </c>
      <c r="B4942" s="28" t="s">
        <v>24814</v>
      </c>
      <c r="C4942" s="28" t="s">
        <v>4491</v>
      </c>
      <c r="D4942" s="28" t="s">
        <v>4101</v>
      </c>
      <c r="E4942" s="28" t="s">
        <v>18279</v>
      </c>
      <c r="F4942" s="28" t="s">
        <v>21</v>
      </c>
      <c r="G4942" s="28" t="s">
        <v>39</v>
      </c>
      <c r="H4942" s="28" t="s">
        <v>16221</v>
      </c>
      <c r="I4942" s="28" t="s">
        <v>24815</v>
      </c>
      <c r="J4942" s="28" t="s">
        <v>39</v>
      </c>
      <c r="K4942" s="28" t="s">
        <v>16223</v>
      </c>
      <c r="L4942" s="28" t="s">
        <v>16224</v>
      </c>
      <c r="M4942" s="28" t="s">
        <v>21353</v>
      </c>
      <c r="N4942" s="28" t="s">
        <v>16226</v>
      </c>
      <c r="O4942" s="28" t="s">
        <v>16227</v>
      </c>
      <c r="P4942" s="28" t="s">
        <v>22504</v>
      </c>
    </row>
    <row r="4943" spans="1:16" x14ac:dyDescent="0.25">
      <c r="A4943" s="28" t="s">
        <v>24816</v>
      </c>
      <c r="B4943" s="28" t="s">
        <v>24817</v>
      </c>
      <c r="C4943" s="28" t="s">
        <v>4491</v>
      </c>
      <c r="D4943" s="28" t="s">
        <v>4101</v>
      </c>
      <c r="E4943" s="28" t="s">
        <v>18279</v>
      </c>
      <c r="F4943" s="28" t="s">
        <v>21</v>
      </c>
      <c r="G4943" s="28" t="s">
        <v>39</v>
      </c>
      <c r="H4943" s="28" t="s">
        <v>16221</v>
      </c>
      <c r="I4943" s="28" t="s">
        <v>24818</v>
      </c>
      <c r="J4943" s="28" t="s">
        <v>39</v>
      </c>
      <c r="K4943" s="28" t="s">
        <v>16223</v>
      </c>
      <c r="L4943" s="28" t="s">
        <v>16224</v>
      </c>
      <c r="M4943" s="28" t="s">
        <v>21357</v>
      </c>
      <c r="N4943" s="28" t="s">
        <v>16226</v>
      </c>
      <c r="O4943" s="28" t="s">
        <v>16227</v>
      </c>
      <c r="P4943" s="28" t="s">
        <v>22504</v>
      </c>
    </row>
    <row r="4944" spans="1:16" x14ac:dyDescent="0.25">
      <c r="A4944" s="28" t="s">
        <v>24819</v>
      </c>
      <c r="B4944" s="28" t="s">
        <v>24820</v>
      </c>
      <c r="C4944" s="28" t="s">
        <v>4491</v>
      </c>
      <c r="D4944" s="28" t="s">
        <v>4101</v>
      </c>
      <c r="E4944" s="28" t="s">
        <v>18289</v>
      </c>
      <c r="F4944" s="28" t="s">
        <v>21</v>
      </c>
      <c r="G4944" s="28" t="s">
        <v>39</v>
      </c>
      <c r="H4944" s="28" t="s">
        <v>16221</v>
      </c>
      <c r="I4944" s="28" t="s">
        <v>24821</v>
      </c>
      <c r="J4944" s="28" t="s">
        <v>39</v>
      </c>
      <c r="K4944" s="28" t="s">
        <v>16223</v>
      </c>
      <c r="L4944" s="28" t="s">
        <v>16224</v>
      </c>
      <c r="M4944" s="28" t="s">
        <v>21361</v>
      </c>
      <c r="N4944" s="28" t="s">
        <v>16226</v>
      </c>
      <c r="O4944" s="28" t="s">
        <v>16227</v>
      </c>
      <c r="P4944" s="28" t="s">
        <v>22511</v>
      </c>
    </row>
    <row r="4945" spans="1:16" x14ac:dyDescent="0.25">
      <c r="A4945" s="28" t="s">
        <v>24822</v>
      </c>
      <c r="B4945" s="28" t="s">
        <v>24823</v>
      </c>
      <c r="C4945" s="28" t="s">
        <v>4491</v>
      </c>
      <c r="D4945" s="28" t="s">
        <v>4101</v>
      </c>
      <c r="E4945" s="28" t="s">
        <v>18289</v>
      </c>
      <c r="F4945" s="28" t="s">
        <v>21</v>
      </c>
      <c r="G4945" s="28" t="s">
        <v>39</v>
      </c>
      <c r="H4945" s="28" t="s">
        <v>16221</v>
      </c>
      <c r="I4945" s="28" t="s">
        <v>24824</v>
      </c>
      <c r="J4945" s="28" t="s">
        <v>39</v>
      </c>
      <c r="K4945" s="28" t="s">
        <v>16223</v>
      </c>
      <c r="L4945" s="28" t="s">
        <v>16224</v>
      </c>
      <c r="M4945" s="28" t="s">
        <v>21365</v>
      </c>
      <c r="N4945" s="28" t="s">
        <v>16226</v>
      </c>
      <c r="O4945" s="28" t="s">
        <v>16227</v>
      </c>
      <c r="P4945" s="28" t="s">
        <v>22511</v>
      </c>
    </row>
    <row r="4946" spans="1:16" x14ac:dyDescent="0.25">
      <c r="A4946" s="28" t="s">
        <v>24825</v>
      </c>
      <c r="B4946" s="28" t="s">
        <v>24826</v>
      </c>
      <c r="C4946" s="28" t="s">
        <v>4491</v>
      </c>
      <c r="D4946" s="28" t="s">
        <v>4101</v>
      </c>
      <c r="E4946" s="28" t="s">
        <v>18289</v>
      </c>
      <c r="F4946" s="28" t="s">
        <v>21</v>
      </c>
      <c r="G4946" s="28" t="s">
        <v>39</v>
      </c>
      <c r="H4946" s="28" t="s">
        <v>16221</v>
      </c>
      <c r="I4946" s="28" t="s">
        <v>24827</v>
      </c>
      <c r="J4946" s="28" t="s">
        <v>39</v>
      </c>
      <c r="K4946" s="28" t="s">
        <v>16223</v>
      </c>
      <c r="L4946" s="28" t="s">
        <v>16224</v>
      </c>
      <c r="M4946" s="28" t="s">
        <v>21369</v>
      </c>
      <c r="N4946" s="28" t="s">
        <v>16226</v>
      </c>
      <c r="O4946" s="28" t="s">
        <v>16227</v>
      </c>
      <c r="P4946" s="28" t="s">
        <v>22511</v>
      </c>
    </row>
    <row r="4947" spans="1:16" x14ac:dyDescent="0.25">
      <c r="A4947" s="28" t="s">
        <v>24828</v>
      </c>
      <c r="B4947" s="28" t="s">
        <v>24829</v>
      </c>
      <c r="C4947" s="28" t="s">
        <v>4491</v>
      </c>
      <c r="D4947" s="28" t="s">
        <v>4101</v>
      </c>
      <c r="E4947" s="28" t="s">
        <v>18289</v>
      </c>
      <c r="F4947" s="28" t="s">
        <v>21</v>
      </c>
      <c r="G4947" s="28" t="s">
        <v>39</v>
      </c>
      <c r="H4947" s="28" t="s">
        <v>16221</v>
      </c>
      <c r="I4947" s="28" t="s">
        <v>24830</v>
      </c>
      <c r="J4947" s="28" t="s">
        <v>39</v>
      </c>
      <c r="K4947" s="28" t="s">
        <v>16223</v>
      </c>
      <c r="L4947" s="28" t="s">
        <v>16224</v>
      </c>
      <c r="M4947" s="28" t="s">
        <v>21373</v>
      </c>
      <c r="N4947" s="28" t="s">
        <v>16226</v>
      </c>
      <c r="O4947" s="28" t="s">
        <v>16227</v>
      </c>
      <c r="P4947" s="28" t="s">
        <v>22511</v>
      </c>
    </row>
    <row r="4948" spans="1:16" x14ac:dyDescent="0.25">
      <c r="A4948" s="28" t="s">
        <v>24831</v>
      </c>
      <c r="B4948" s="28" t="s">
        <v>24832</v>
      </c>
      <c r="C4948" s="28" t="s">
        <v>4491</v>
      </c>
      <c r="D4948" s="28" t="s">
        <v>4101</v>
      </c>
      <c r="E4948" s="28" t="s">
        <v>18289</v>
      </c>
      <c r="F4948" s="28" t="s">
        <v>21</v>
      </c>
      <c r="G4948" s="28" t="s">
        <v>39</v>
      </c>
      <c r="H4948" s="28" t="s">
        <v>16221</v>
      </c>
      <c r="I4948" s="28" t="s">
        <v>24833</v>
      </c>
      <c r="J4948" s="28" t="s">
        <v>39</v>
      </c>
      <c r="K4948" s="28" t="s">
        <v>16223</v>
      </c>
      <c r="L4948" s="28" t="s">
        <v>16224</v>
      </c>
      <c r="M4948" s="28" t="s">
        <v>21377</v>
      </c>
      <c r="N4948" s="28" t="s">
        <v>16226</v>
      </c>
      <c r="O4948" s="28" t="s">
        <v>16227</v>
      </c>
      <c r="P4948" s="28" t="s">
        <v>22511</v>
      </c>
    </row>
    <row r="4949" spans="1:16" x14ac:dyDescent="0.25">
      <c r="A4949" s="28" t="s">
        <v>24834</v>
      </c>
      <c r="B4949" s="28" t="s">
        <v>24835</v>
      </c>
      <c r="C4949" s="28" t="s">
        <v>4491</v>
      </c>
      <c r="D4949" s="28" t="s">
        <v>4101</v>
      </c>
      <c r="E4949" s="28" t="s">
        <v>18289</v>
      </c>
      <c r="F4949" s="28" t="s">
        <v>21</v>
      </c>
      <c r="G4949" s="28" t="s">
        <v>39</v>
      </c>
      <c r="H4949" s="28" t="s">
        <v>16221</v>
      </c>
      <c r="I4949" s="28" t="s">
        <v>24836</v>
      </c>
      <c r="J4949" s="28" t="s">
        <v>39</v>
      </c>
      <c r="K4949" s="28" t="s">
        <v>16223</v>
      </c>
      <c r="L4949" s="28" t="s">
        <v>16224</v>
      </c>
      <c r="M4949" s="28" t="s">
        <v>21381</v>
      </c>
      <c r="N4949" s="28" t="s">
        <v>16226</v>
      </c>
      <c r="O4949" s="28" t="s">
        <v>16227</v>
      </c>
      <c r="P4949" s="28" t="s">
        <v>22511</v>
      </c>
    </row>
    <row r="4950" spans="1:16" x14ac:dyDescent="0.25">
      <c r="A4950" s="28" t="s">
        <v>24837</v>
      </c>
      <c r="B4950" s="28" t="s">
        <v>24838</v>
      </c>
      <c r="C4950" s="28" t="s">
        <v>4491</v>
      </c>
      <c r="D4950" s="28" t="s">
        <v>4101</v>
      </c>
      <c r="E4950" s="28" t="s">
        <v>18289</v>
      </c>
      <c r="F4950" s="28" t="s">
        <v>21</v>
      </c>
      <c r="G4950" s="28" t="s">
        <v>39</v>
      </c>
      <c r="H4950" s="28" t="s">
        <v>16221</v>
      </c>
      <c r="I4950" s="28" t="s">
        <v>24839</v>
      </c>
      <c r="J4950" s="28" t="s">
        <v>39</v>
      </c>
      <c r="K4950" s="28" t="s">
        <v>16223</v>
      </c>
      <c r="L4950" s="28" t="s">
        <v>16224</v>
      </c>
      <c r="M4950" s="28" t="s">
        <v>21385</v>
      </c>
      <c r="N4950" s="28" t="s">
        <v>16226</v>
      </c>
      <c r="O4950" s="28" t="s">
        <v>16227</v>
      </c>
      <c r="P4950" s="28" t="s">
        <v>22511</v>
      </c>
    </row>
    <row r="4951" spans="1:16" x14ac:dyDescent="0.25">
      <c r="A4951" s="28" t="s">
        <v>24840</v>
      </c>
      <c r="B4951" s="28" t="s">
        <v>24841</v>
      </c>
      <c r="C4951" s="28" t="s">
        <v>4491</v>
      </c>
      <c r="D4951" s="28" t="s">
        <v>4101</v>
      </c>
      <c r="E4951" s="28" t="s">
        <v>18289</v>
      </c>
      <c r="F4951" s="28" t="s">
        <v>21</v>
      </c>
      <c r="G4951" s="28" t="s">
        <v>39</v>
      </c>
      <c r="H4951" s="28" t="s">
        <v>16221</v>
      </c>
      <c r="I4951" s="28" t="s">
        <v>24842</v>
      </c>
      <c r="J4951" s="28" t="s">
        <v>39</v>
      </c>
      <c r="K4951" s="28" t="s">
        <v>16223</v>
      </c>
      <c r="L4951" s="28" t="s">
        <v>16224</v>
      </c>
      <c r="M4951" s="28" t="s">
        <v>21389</v>
      </c>
      <c r="N4951" s="28" t="s">
        <v>16226</v>
      </c>
      <c r="O4951" s="28" t="s">
        <v>16227</v>
      </c>
      <c r="P4951" s="28" t="s">
        <v>22511</v>
      </c>
    </row>
    <row r="4952" spans="1:16" x14ac:dyDescent="0.25">
      <c r="A4952" s="28" t="s">
        <v>24843</v>
      </c>
      <c r="B4952" s="28" t="s">
        <v>24844</v>
      </c>
      <c r="C4952" s="28" t="s">
        <v>4491</v>
      </c>
      <c r="D4952" s="28" t="s">
        <v>4101</v>
      </c>
      <c r="E4952" s="28" t="s">
        <v>18295</v>
      </c>
      <c r="F4952" s="28" t="s">
        <v>21</v>
      </c>
      <c r="G4952" s="28" t="s">
        <v>39</v>
      </c>
      <c r="H4952" s="28" t="s">
        <v>16221</v>
      </c>
      <c r="I4952" s="28" t="s">
        <v>24845</v>
      </c>
      <c r="J4952" s="28" t="s">
        <v>39</v>
      </c>
      <c r="K4952" s="28" t="s">
        <v>16223</v>
      </c>
      <c r="L4952" s="28" t="s">
        <v>16224</v>
      </c>
      <c r="M4952" s="28" t="s">
        <v>21393</v>
      </c>
      <c r="N4952" s="28" t="s">
        <v>16226</v>
      </c>
      <c r="O4952" s="28" t="s">
        <v>16227</v>
      </c>
      <c r="P4952" s="28" t="s">
        <v>22521</v>
      </c>
    </row>
    <row r="4953" spans="1:16" x14ac:dyDescent="0.25">
      <c r="A4953" s="28" t="s">
        <v>24846</v>
      </c>
      <c r="B4953" s="28" t="s">
        <v>24847</v>
      </c>
      <c r="C4953" s="28" t="s">
        <v>4491</v>
      </c>
      <c r="D4953" s="28" t="s">
        <v>4101</v>
      </c>
      <c r="E4953" s="28" t="s">
        <v>18295</v>
      </c>
      <c r="F4953" s="28" t="s">
        <v>21</v>
      </c>
      <c r="G4953" s="28" t="s">
        <v>39</v>
      </c>
      <c r="H4953" s="28" t="s">
        <v>16221</v>
      </c>
      <c r="I4953" s="28" t="s">
        <v>24848</v>
      </c>
      <c r="J4953" s="28" t="s">
        <v>39</v>
      </c>
      <c r="K4953" s="28" t="s">
        <v>16223</v>
      </c>
      <c r="L4953" s="28" t="s">
        <v>16224</v>
      </c>
      <c r="M4953" s="28" t="s">
        <v>21397</v>
      </c>
      <c r="N4953" s="28" t="s">
        <v>16226</v>
      </c>
      <c r="O4953" s="28" t="s">
        <v>16227</v>
      </c>
      <c r="P4953" s="28" t="s">
        <v>22521</v>
      </c>
    </row>
    <row r="4954" spans="1:16" x14ac:dyDescent="0.25">
      <c r="A4954" s="28" t="s">
        <v>24849</v>
      </c>
      <c r="B4954" s="28" t="s">
        <v>24850</v>
      </c>
      <c r="C4954" s="28" t="s">
        <v>4491</v>
      </c>
      <c r="D4954" s="28" t="s">
        <v>4101</v>
      </c>
      <c r="E4954" s="28" t="s">
        <v>18295</v>
      </c>
      <c r="F4954" s="28" t="s">
        <v>21</v>
      </c>
      <c r="G4954" s="28" t="s">
        <v>39</v>
      </c>
      <c r="H4954" s="28" t="s">
        <v>16221</v>
      </c>
      <c r="I4954" s="28" t="s">
        <v>24851</v>
      </c>
      <c r="J4954" s="28" t="s">
        <v>39</v>
      </c>
      <c r="K4954" s="28" t="s">
        <v>16223</v>
      </c>
      <c r="L4954" s="28" t="s">
        <v>16224</v>
      </c>
      <c r="M4954" s="28" t="s">
        <v>21401</v>
      </c>
      <c r="N4954" s="28" t="s">
        <v>16226</v>
      </c>
      <c r="O4954" s="28" t="s">
        <v>16227</v>
      </c>
      <c r="P4954" s="28" t="s">
        <v>22521</v>
      </c>
    </row>
    <row r="4955" spans="1:16" x14ac:dyDescent="0.25">
      <c r="A4955" s="28" t="s">
        <v>24852</v>
      </c>
      <c r="B4955" s="28" t="s">
        <v>24853</v>
      </c>
      <c r="C4955" s="28" t="s">
        <v>4491</v>
      </c>
      <c r="D4955" s="28" t="s">
        <v>4101</v>
      </c>
      <c r="E4955" s="28" t="s">
        <v>18295</v>
      </c>
      <c r="F4955" s="28" t="s">
        <v>21</v>
      </c>
      <c r="G4955" s="28" t="s">
        <v>39</v>
      </c>
      <c r="H4955" s="28" t="s">
        <v>16221</v>
      </c>
      <c r="I4955" s="28" t="s">
        <v>24854</v>
      </c>
      <c r="J4955" s="28" t="s">
        <v>39</v>
      </c>
      <c r="K4955" s="28" t="s">
        <v>16223</v>
      </c>
      <c r="L4955" s="28" t="s">
        <v>16224</v>
      </c>
      <c r="M4955" s="28" t="s">
        <v>21405</v>
      </c>
      <c r="N4955" s="28" t="s">
        <v>16226</v>
      </c>
      <c r="O4955" s="28" t="s">
        <v>16227</v>
      </c>
      <c r="P4955" s="28" t="s">
        <v>22521</v>
      </c>
    </row>
    <row r="4956" spans="1:16" x14ac:dyDescent="0.25">
      <c r="A4956" s="28" t="s">
        <v>24855</v>
      </c>
      <c r="B4956" s="28" t="s">
        <v>24856</v>
      </c>
      <c r="C4956" s="28" t="s">
        <v>4491</v>
      </c>
      <c r="D4956" s="28" t="s">
        <v>4101</v>
      </c>
      <c r="E4956" s="28" t="s">
        <v>18295</v>
      </c>
      <c r="F4956" s="28" t="s">
        <v>21</v>
      </c>
      <c r="G4956" s="28" t="s">
        <v>39</v>
      </c>
      <c r="H4956" s="28" t="s">
        <v>16221</v>
      </c>
      <c r="I4956" s="28" t="s">
        <v>24857</v>
      </c>
      <c r="J4956" s="28" t="s">
        <v>39</v>
      </c>
      <c r="K4956" s="28" t="s">
        <v>16223</v>
      </c>
      <c r="L4956" s="28" t="s">
        <v>16224</v>
      </c>
      <c r="M4956" s="28" t="s">
        <v>21409</v>
      </c>
      <c r="N4956" s="28" t="s">
        <v>16226</v>
      </c>
      <c r="O4956" s="28" t="s">
        <v>16227</v>
      </c>
      <c r="P4956" s="28" t="s">
        <v>22521</v>
      </c>
    </row>
    <row r="4957" spans="1:16" x14ac:dyDescent="0.25">
      <c r="A4957" s="28" t="s">
        <v>24858</v>
      </c>
      <c r="B4957" s="28" t="s">
        <v>24859</v>
      </c>
      <c r="C4957" s="28" t="s">
        <v>4491</v>
      </c>
      <c r="D4957" s="28" t="s">
        <v>4101</v>
      </c>
      <c r="E4957" s="28" t="s">
        <v>18295</v>
      </c>
      <c r="F4957" s="28" t="s">
        <v>21</v>
      </c>
      <c r="G4957" s="28" t="s">
        <v>39</v>
      </c>
      <c r="H4957" s="28" t="s">
        <v>16221</v>
      </c>
      <c r="I4957" s="28" t="s">
        <v>24860</v>
      </c>
      <c r="J4957" s="28" t="s">
        <v>39</v>
      </c>
      <c r="K4957" s="28" t="s">
        <v>16223</v>
      </c>
      <c r="L4957" s="28" t="s">
        <v>16224</v>
      </c>
      <c r="M4957" s="28" t="s">
        <v>21413</v>
      </c>
      <c r="N4957" s="28" t="s">
        <v>16226</v>
      </c>
      <c r="O4957" s="28" t="s">
        <v>16227</v>
      </c>
      <c r="P4957" s="28" t="s">
        <v>22521</v>
      </c>
    </row>
    <row r="4958" spans="1:16" x14ac:dyDescent="0.25">
      <c r="A4958" s="28" t="s">
        <v>24861</v>
      </c>
      <c r="B4958" s="28" t="s">
        <v>24862</v>
      </c>
      <c r="C4958" s="28" t="s">
        <v>4491</v>
      </c>
      <c r="D4958" s="28" t="s">
        <v>4101</v>
      </c>
      <c r="E4958" s="28" t="s">
        <v>18305</v>
      </c>
      <c r="F4958" s="28" t="s">
        <v>21</v>
      </c>
      <c r="G4958" s="28" t="s">
        <v>39</v>
      </c>
      <c r="H4958" s="28" t="s">
        <v>16221</v>
      </c>
      <c r="I4958" s="28" t="s">
        <v>24863</v>
      </c>
      <c r="J4958" s="28" t="s">
        <v>39</v>
      </c>
      <c r="K4958" s="28" t="s">
        <v>16223</v>
      </c>
      <c r="L4958" s="28" t="s">
        <v>16224</v>
      </c>
      <c r="M4958" s="28" t="s">
        <v>21417</v>
      </c>
      <c r="N4958" s="28" t="s">
        <v>16226</v>
      </c>
      <c r="O4958" s="28" t="s">
        <v>16227</v>
      </c>
      <c r="P4958" s="28" t="s">
        <v>22528</v>
      </c>
    </row>
    <row r="4959" spans="1:16" x14ac:dyDescent="0.25">
      <c r="A4959" s="28" t="s">
        <v>24864</v>
      </c>
      <c r="B4959" s="28" t="s">
        <v>24865</v>
      </c>
      <c r="C4959" s="28" t="s">
        <v>4491</v>
      </c>
      <c r="D4959" s="28" t="s">
        <v>4101</v>
      </c>
      <c r="E4959" s="28" t="s">
        <v>18305</v>
      </c>
      <c r="F4959" s="28" t="s">
        <v>21</v>
      </c>
      <c r="G4959" s="28" t="s">
        <v>39</v>
      </c>
      <c r="H4959" s="28" t="s">
        <v>16221</v>
      </c>
      <c r="I4959" s="28" t="s">
        <v>24866</v>
      </c>
      <c r="J4959" s="28" t="s">
        <v>39</v>
      </c>
      <c r="K4959" s="28" t="s">
        <v>16223</v>
      </c>
      <c r="L4959" s="28" t="s">
        <v>16224</v>
      </c>
      <c r="M4959" s="28" t="s">
        <v>21421</v>
      </c>
      <c r="N4959" s="28" t="s">
        <v>16226</v>
      </c>
      <c r="O4959" s="28" t="s">
        <v>16227</v>
      </c>
      <c r="P4959" s="28" t="s">
        <v>22528</v>
      </c>
    </row>
    <row r="4960" spans="1:16" x14ac:dyDescent="0.25">
      <c r="A4960" s="28" t="s">
        <v>24867</v>
      </c>
      <c r="B4960" s="28" t="s">
        <v>24868</v>
      </c>
      <c r="C4960" s="28" t="s">
        <v>4491</v>
      </c>
      <c r="D4960" s="28" t="s">
        <v>4101</v>
      </c>
      <c r="E4960" s="28" t="s">
        <v>18311</v>
      </c>
      <c r="F4960" s="28" t="s">
        <v>21</v>
      </c>
      <c r="G4960" s="28" t="s">
        <v>39</v>
      </c>
      <c r="H4960" s="28" t="s">
        <v>16221</v>
      </c>
      <c r="I4960" s="28" t="s">
        <v>24869</v>
      </c>
      <c r="J4960" s="28" t="s">
        <v>39</v>
      </c>
      <c r="K4960" s="28" t="s">
        <v>16223</v>
      </c>
      <c r="L4960" s="28" t="s">
        <v>16224</v>
      </c>
      <c r="M4960" s="28" t="s">
        <v>21425</v>
      </c>
      <c r="N4960" s="28" t="s">
        <v>16226</v>
      </c>
      <c r="O4960" s="28" t="s">
        <v>16227</v>
      </c>
      <c r="P4960" s="28" t="s">
        <v>22532</v>
      </c>
    </row>
    <row r="4961" spans="1:16" x14ac:dyDescent="0.25">
      <c r="A4961" s="28" t="s">
        <v>24870</v>
      </c>
      <c r="B4961" s="28" t="s">
        <v>24871</v>
      </c>
      <c r="C4961" s="28" t="s">
        <v>4491</v>
      </c>
      <c r="D4961" s="28" t="s">
        <v>4101</v>
      </c>
      <c r="E4961" s="28" t="s">
        <v>18311</v>
      </c>
      <c r="F4961" s="28" t="s">
        <v>21</v>
      </c>
      <c r="G4961" s="28" t="s">
        <v>39</v>
      </c>
      <c r="H4961" s="28" t="s">
        <v>16221</v>
      </c>
      <c r="I4961" s="28" t="s">
        <v>24872</v>
      </c>
      <c r="J4961" s="28" t="s">
        <v>39</v>
      </c>
      <c r="K4961" s="28" t="s">
        <v>16223</v>
      </c>
      <c r="L4961" s="28" t="s">
        <v>16224</v>
      </c>
      <c r="M4961" s="28" t="s">
        <v>21429</v>
      </c>
      <c r="N4961" s="28" t="s">
        <v>16226</v>
      </c>
      <c r="O4961" s="28" t="s">
        <v>16227</v>
      </c>
      <c r="P4961" s="28" t="s">
        <v>22532</v>
      </c>
    </row>
    <row r="4962" spans="1:16" x14ac:dyDescent="0.25">
      <c r="A4962" s="28" t="s">
        <v>24873</v>
      </c>
      <c r="B4962" s="28" t="s">
        <v>24874</v>
      </c>
      <c r="C4962" s="28" t="s">
        <v>4491</v>
      </c>
      <c r="D4962" s="28" t="s">
        <v>4101</v>
      </c>
      <c r="E4962" s="28" t="s">
        <v>18317</v>
      </c>
      <c r="F4962" s="28" t="s">
        <v>21</v>
      </c>
      <c r="G4962" s="28" t="s">
        <v>39</v>
      </c>
      <c r="H4962" s="28" t="s">
        <v>16221</v>
      </c>
      <c r="I4962" s="28" t="s">
        <v>24875</v>
      </c>
      <c r="J4962" s="28" t="s">
        <v>39</v>
      </c>
      <c r="K4962" s="28" t="s">
        <v>16223</v>
      </c>
      <c r="L4962" s="28" t="s">
        <v>16224</v>
      </c>
      <c r="M4962" s="28" t="s">
        <v>21433</v>
      </c>
      <c r="N4962" s="28" t="s">
        <v>16226</v>
      </c>
      <c r="O4962" s="28" t="s">
        <v>16227</v>
      </c>
      <c r="P4962" s="28" t="s">
        <v>22542</v>
      </c>
    </row>
    <row r="4963" spans="1:16" x14ac:dyDescent="0.25">
      <c r="A4963" s="28" t="s">
        <v>24876</v>
      </c>
      <c r="B4963" s="28" t="s">
        <v>24877</v>
      </c>
      <c r="C4963" s="28" t="s">
        <v>4491</v>
      </c>
      <c r="D4963" s="28" t="s">
        <v>4101</v>
      </c>
      <c r="E4963" s="28" t="s">
        <v>18317</v>
      </c>
      <c r="F4963" s="28" t="s">
        <v>21</v>
      </c>
      <c r="G4963" s="28" t="s">
        <v>39</v>
      </c>
      <c r="H4963" s="28" t="s">
        <v>16221</v>
      </c>
      <c r="I4963" s="28" t="s">
        <v>24878</v>
      </c>
      <c r="J4963" s="28" t="s">
        <v>39</v>
      </c>
      <c r="K4963" s="28" t="s">
        <v>16223</v>
      </c>
      <c r="L4963" s="28" t="s">
        <v>16224</v>
      </c>
      <c r="M4963" s="28" t="s">
        <v>21437</v>
      </c>
      <c r="N4963" s="28" t="s">
        <v>16226</v>
      </c>
      <c r="O4963" s="28" t="s">
        <v>16227</v>
      </c>
      <c r="P4963" s="28" t="s">
        <v>22542</v>
      </c>
    </row>
    <row r="4964" spans="1:16" x14ac:dyDescent="0.25">
      <c r="A4964" s="28" t="s">
        <v>24879</v>
      </c>
      <c r="B4964" s="28" t="s">
        <v>24880</v>
      </c>
      <c r="C4964" s="28" t="s">
        <v>4491</v>
      </c>
      <c r="D4964" s="28" t="s">
        <v>4101</v>
      </c>
      <c r="E4964" s="28" t="s">
        <v>18317</v>
      </c>
      <c r="F4964" s="28" t="s">
        <v>21</v>
      </c>
      <c r="G4964" s="28" t="s">
        <v>39</v>
      </c>
      <c r="H4964" s="28" t="s">
        <v>16221</v>
      </c>
      <c r="I4964" s="28" t="s">
        <v>24881</v>
      </c>
      <c r="J4964" s="28" t="s">
        <v>39</v>
      </c>
      <c r="K4964" s="28" t="s">
        <v>16223</v>
      </c>
      <c r="L4964" s="28" t="s">
        <v>16224</v>
      </c>
      <c r="M4964" s="28" t="s">
        <v>21441</v>
      </c>
      <c r="N4964" s="28" t="s">
        <v>16226</v>
      </c>
      <c r="O4964" s="28" t="s">
        <v>16227</v>
      </c>
      <c r="P4964" s="28" t="s">
        <v>22542</v>
      </c>
    </row>
    <row r="4965" spans="1:16" x14ac:dyDescent="0.25">
      <c r="A4965" s="28" t="s">
        <v>24882</v>
      </c>
      <c r="B4965" s="28" t="s">
        <v>24883</v>
      </c>
      <c r="C4965" s="28" t="s">
        <v>4491</v>
      </c>
      <c r="D4965" s="28" t="s">
        <v>4101</v>
      </c>
      <c r="E4965" s="28" t="s">
        <v>18323</v>
      </c>
      <c r="F4965" s="28" t="s">
        <v>21</v>
      </c>
      <c r="G4965" s="28" t="s">
        <v>149</v>
      </c>
      <c r="H4965" s="28" t="s">
        <v>21726</v>
      </c>
      <c r="I4965" s="28" t="s">
        <v>24884</v>
      </c>
      <c r="J4965" s="28" t="s">
        <v>149</v>
      </c>
      <c r="K4965" s="28" t="s">
        <v>22746</v>
      </c>
      <c r="L4965" s="28" t="s">
        <v>21729</v>
      </c>
      <c r="M4965" s="28" t="s">
        <v>24885</v>
      </c>
      <c r="N4965" s="28" t="s">
        <v>21731</v>
      </c>
      <c r="O4965" s="28" t="s">
        <v>21732</v>
      </c>
      <c r="P4965" s="28" t="s">
        <v>24886</v>
      </c>
    </row>
    <row r="4966" spans="1:16" x14ac:dyDescent="0.25">
      <c r="A4966" s="28" t="s">
        <v>24887</v>
      </c>
      <c r="B4966" s="28" t="s">
        <v>24888</v>
      </c>
      <c r="C4966" s="28" t="s">
        <v>4491</v>
      </c>
      <c r="D4966" s="28" t="s">
        <v>4101</v>
      </c>
      <c r="E4966" s="28" t="s">
        <v>18323</v>
      </c>
      <c r="F4966" s="28" t="s">
        <v>21</v>
      </c>
      <c r="G4966" s="28" t="s">
        <v>149</v>
      </c>
      <c r="H4966" s="28" t="s">
        <v>21726</v>
      </c>
      <c r="I4966" s="28" t="s">
        <v>24889</v>
      </c>
      <c r="J4966" s="28" t="s">
        <v>149</v>
      </c>
      <c r="K4966" s="28" t="s">
        <v>22746</v>
      </c>
      <c r="L4966" s="28" t="s">
        <v>21729</v>
      </c>
      <c r="M4966" s="28" t="s">
        <v>24890</v>
      </c>
      <c r="N4966" s="28" t="s">
        <v>21731</v>
      </c>
      <c r="O4966" s="28" t="s">
        <v>21732</v>
      </c>
      <c r="P4966" s="28" t="s">
        <v>24891</v>
      </c>
    </row>
    <row r="4967" spans="1:16" x14ac:dyDescent="0.25">
      <c r="A4967" s="28" t="s">
        <v>24892</v>
      </c>
      <c r="B4967" s="28" t="s">
        <v>24893</v>
      </c>
      <c r="C4967" s="28" t="s">
        <v>4491</v>
      </c>
      <c r="D4967" s="28" t="s">
        <v>5471</v>
      </c>
      <c r="E4967" s="28" t="s">
        <v>18381</v>
      </c>
      <c r="F4967" s="28" t="s">
        <v>21</v>
      </c>
      <c r="G4967" s="28" t="s">
        <v>39</v>
      </c>
      <c r="H4967" s="28" t="s">
        <v>16221</v>
      </c>
      <c r="I4967" s="28" t="s">
        <v>24894</v>
      </c>
      <c r="J4967" s="28" t="s">
        <v>39</v>
      </c>
      <c r="K4967" s="28" t="s">
        <v>16223</v>
      </c>
      <c r="L4967" s="28" t="s">
        <v>16224</v>
      </c>
      <c r="M4967" s="28" t="s">
        <v>21453</v>
      </c>
      <c r="N4967" s="28" t="s">
        <v>16226</v>
      </c>
      <c r="O4967" s="28" t="s">
        <v>16227</v>
      </c>
      <c r="P4967" s="28" t="s">
        <v>22599</v>
      </c>
    </row>
    <row r="4968" spans="1:16" x14ac:dyDescent="0.25">
      <c r="A4968" s="28" t="s">
        <v>24895</v>
      </c>
      <c r="B4968" s="28" t="s">
        <v>24896</v>
      </c>
      <c r="C4968" s="28" t="s">
        <v>4491</v>
      </c>
      <c r="D4968" s="28" t="s">
        <v>5471</v>
      </c>
      <c r="E4968" s="28" t="s">
        <v>18387</v>
      </c>
      <c r="F4968" s="28" t="s">
        <v>21</v>
      </c>
      <c r="G4968" s="28" t="s">
        <v>149</v>
      </c>
      <c r="H4968" s="28" t="s">
        <v>21726</v>
      </c>
      <c r="I4968" s="28" t="s">
        <v>24897</v>
      </c>
      <c r="J4968" s="28" t="s">
        <v>149</v>
      </c>
      <c r="K4968" s="28" t="s">
        <v>22746</v>
      </c>
      <c r="L4968" s="28" t="s">
        <v>21729</v>
      </c>
      <c r="M4968" s="28" t="s">
        <v>24898</v>
      </c>
      <c r="N4968" s="28" t="s">
        <v>21731</v>
      </c>
      <c r="O4968" s="28" t="s">
        <v>21732</v>
      </c>
      <c r="P4968" s="28" t="s">
        <v>24899</v>
      </c>
    </row>
    <row r="4969" spans="1:16" x14ac:dyDescent="0.25">
      <c r="A4969" s="28" t="s">
        <v>24900</v>
      </c>
      <c r="B4969" s="28" t="s">
        <v>24901</v>
      </c>
      <c r="C4969" s="28" t="s">
        <v>4491</v>
      </c>
      <c r="D4969" s="28" t="s">
        <v>5471</v>
      </c>
      <c r="E4969" s="28" t="s">
        <v>18393</v>
      </c>
      <c r="F4969" s="28" t="s">
        <v>21</v>
      </c>
      <c r="G4969" s="28" t="s">
        <v>149</v>
      </c>
      <c r="H4969" s="28" t="s">
        <v>21726</v>
      </c>
      <c r="I4969" s="28" t="s">
        <v>24902</v>
      </c>
      <c r="J4969" s="28" t="s">
        <v>149</v>
      </c>
      <c r="K4969" s="28" t="s">
        <v>22746</v>
      </c>
      <c r="L4969" s="28" t="s">
        <v>21729</v>
      </c>
      <c r="M4969" s="28" t="s">
        <v>24903</v>
      </c>
      <c r="N4969" s="28" t="s">
        <v>21731</v>
      </c>
      <c r="O4969" s="28" t="s">
        <v>21732</v>
      </c>
      <c r="P4969" s="28" t="s">
        <v>24904</v>
      </c>
    </row>
    <row r="4970" spans="1:16" x14ac:dyDescent="0.25">
      <c r="A4970" s="28" t="s">
        <v>24905</v>
      </c>
      <c r="B4970" s="28" t="s">
        <v>24906</v>
      </c>
      <c r="C4970" s="28" t="s">
        <v>4491</v>
      </c>
      <c r="D4970" s="28" t="s">
        <v>5471</v>
      </c>
      <c r="E4970" s="28" t="s">
        <v>18393</v>
      </c>
      <c r="F4970" s="28" t="s">
        <v>21</v>
      </c>
      <c r="G4970" s="28" t="s">
        <v>149</v>
      </c>
      <c r="H4970" s="28" t="s">
        <v>21726</v>
      </c>
      <c r="I4970" s="28" t="s">
        <v>24907</v>
      </c>
      <c r="J4970" s="28" t="s">
        <v>149</v>
      </c>
      <c r="K4970" s="28" t="s">
        <v>22746</v>
      </c>
      <c r="L4970" s="28" t="s">
        <v>21729</v>
      </c>
      <c r="M4970" s="28" t="s">
        <v>24908</v>
      </c>
      <c r="N4970" s="28" t="s">
        <v>21731</v>
      </c>
      <c r="O4970" s="28" t="s">
        <v>21732</v>
      </c>
      <c r="P4970" s="28" t="s">
        <v>24909</v>
      </c>
    </row>
    <row r="4971" spans="1:16" x14ac:dyDescent="0.25">
      <c r="A4971" s="28" t="s">
        <v>24910</v>
      </c>
      <c r="B4971" s="28" t="s">
        <v>24911</v>
      </c>
      <c r="C4971" s="28" t="s">
        <v>4491</v>
      </c>
      <c r="D4971" s="28" t="s">
        <v>5471</v>
      </c>
      <c r="E4971" s="28" t="s">
        <v>18399</v>
      </c>
      <c r="F4971" s="28" t="s">
        <v>21</v>
      </c>
      <c r="G4971" s="28" t="s">
        <v>149</v>
      </c>
      <c r="H4971" s="28" t="s">
        <v>21726</v>
      </c>
      <c r="I4971" s="28" t="s">
        <v>24912</v>
      </c>
      <c r="J4971" s="28" t="s">
        <v>149</v>
      </c>
      <c r="K4971" s="28" t="s">
        <v>22746</v>
      </c>
      <c r="L4971" s="28" t="s">
        <v>21729</v>
      </c>
      <c r="M4971" s="28" t="s">
        <v>24913</v>
      </c>
      <c r="N4971" s="28" t="s">
        <v>21731</v>
      </c>
      <c r="O4971" s="28" t="s">
        <v>21732</v>
      </c>
      <c r="P4971" s="28" t="s">
        <v>24914</v>
      </c>
    </row>
    <row r="4972" spans="1:16" x14ac:dyDescent="0.25">
      <c r="A4972" s="28" t="s">
        <v>24915</v>
      </c>
      <c r="B4972" s="28" t="s">
        <v>24916</v>
      </c>
      <c r="C4972" s="28" t="s">
        <v>4491</v>
      </c>
      <c r="D4972" s="28" t="s">
        <v>5471</v>
      </c>
      <c r="E4972" s="28" t="s">
        <v>18399</v>
      </c>
      <c r="F4972" s="28" t="s">
        <v>21</v>
      </c>
      <c r="G4972" s="28" t="s">
        <v>149</v>
      </c>
      <c r="H4972" s="28" t="s">
        <v>21726</v>
      </c>
      <c r="I4972" s="28" t="s">
        <v>24917</v>
      </c>
      <c r="J4972" s="28" t="s">
        <v>149</v>
      </c>
      <c r="K4972" s="28" t="s">
        <v>22746</v>
      </c>
      <c r="L4972" s="28" t="s">
        <v>21729</v>
      </c>
      <c r="M4972" s="28" t="s">
        <v>24918</v>
      </c>
      <c r="N4972" s="28" t="s">
        <v>21731</v>
      </c>
      <c r="O4972" s="28" t="s">
        <v>21732</v>
      </c>
      <c r="P4972" s="28" t="s">
        <v>24919</v>
      </c>
    </row>
    <row r="4973" spans="1:16" x14ac:dyDescent="0.25">
      <c r="A4973" s="28" t="s">
        <v>24920</v>
      </c>
      <c r="B4973" s="28" t="s">
        <v>24921</v>
      </c>
      <c r="C4973" s="28" t="s">
        <v>4491</v>
      </c>
      <c r="D4973" s="28" t="s">
        <v>5471</v>
      </c>
      <c r="E4973" s="28" t="s">
        <v>18399</v>
      </c>
      <c r="F4973" s="28" t="s">
        <v>21</v>
      </c>
      <c r="G4973" s="28" t="s">
        <v>149</v>
      </c>
      <c r="H4973" s="28" t="s">
        <v>21726</v>
      </c>
      <c r="I4973" s="28" t="s">
        <v>24922</v>
      </c>
      <c r="J4973" s="28" t="s">
        <v>149</v>
      </c>
      <c r="K4973" s="28" t="s">
        <v>22746</v>
      </c>
      <c r="L4973" s="28" t="s">
        <v>21729</v>
      </c>
      <c r="M4973" s="28" t="s">
        <v>24923</v>
      </c>
      <c r="N4973" s="28" t="s">
        <v>21731</v>
      </c>
      <c r="O4973" s="28" t="s">
        <v>21732</v>
      </c>
      <c r="P4973" s="28" t="s">
        <v>24924</v>
      </c>
    </row>
    <row r="4974" spans="1:16" x14ac:dyDescent="0.25">
      <c r="A4974" s="28" t="s">
        <v>24925</v>
      </c>
      <c r="B4974" s="28" t="s">
        <v>24926</v>
      </c>
      <c r="C4974" s="28" t="s">
        <v>4491</v>
      </c>
      <c r="D4974" s="28" t="s">
        <v>5471</v>
      </c>
      <c r="E4974" s="28" t="s">
        <v>18405</v>
      </c>
      <c r="F4974" s="28" t="s">
        <v>21</v>
      </c>
      <c r="G4974" s="28" t="s">
        <v>149</v>
      </c>
      <c r="H4974" s="28" t="s">
        <v>21726</v>
      </c>
      <c r="I4974" s="28" t="s">
        <v>24927</v>
      </c>
      <c r="J4974" s="28" t="s">
        <v>149</v>
      </c>
      <c r="K4974" s="28" t="s">
        <v>22746</v>
      </c>
      <c r="L4974" s="28" t="s">
        <v>21729</v>
      </c>
      <c r="M4974" s="28" t="s">
        <v>24928</v>
      </c>
      <c r="N4974" s="28" t="s">
        <v>21731</v>
      </c>
      <c r="O4974" s="28" t="s">
        <v>21732</v>
      </c>
      <c r="P4974" s="28" t="s">
        <v>24929</v>
      </c>
    </row>
    <row r="4975" spans="1:16" x14ac:dyDescent="0.25">
      <c r="A4975" s="28" t="s">
        <v>24930</v>
      </c>
      <c r="B4975" s="28" t="s">
        <v>24931</v>
      </c>
      <c r="C4975" s="28" t="s">
        <v>4491</v>
      </c>
      <c r="D4975" s="28" t="s">
        <v>5471</v>
      </c>
      <c r="E4975" s="28" t="s">
        <v>18411</v>
      </c>
      <c r="F4975" s="28" t="s">
        <v>21</v>
      </c>
      <c r="G4975" s="28" t="s">
        <v>39</v>
      </c>
      <c r="H4975" s="28" t="s">
        <v>16221</v>
      </c>
      <c r="I4975" s="28" t="s">
        <v>24932</v>
      </c>
      <c r="J4975" s="28" t="s">
        <v>39</v>
      </c>
      <c r="K4975" s="28" t="s">
        <v>16223</v>
      </c>
      <c r="L4975" s="28" t="s">
        <v>16224</v>
      </c>
      <c r="M4975" s="28" t="s">
        <v>21485</v>
      </c>
      <c r="N4975" s="28" t="s">
        <v>16226</v>
      </c>
      <c r="O4975" s="28" t="s">
        <v>16227</v>
      </c>
      <c r="P4975" s="28" t="s">
        <v>22623</v>
      </c>
    </row>
    <row r="4976" spans="1:16" x14ac:dyDescent="0.25">
      <c r="A4976" s="28" t="s">
        <v>24933</v>
      </c>
      <c r="B4976" s="28" t="s">
        <v>24934</v>
      </c>
      <c r="C4976" s="28" t="s">
        <v>4491</v>
      </c>
      <c r="D4976" s="28" t="s">
        <v>5471</v>
      </c>
      <c r="E4976" s="28" t="s">
        <v>18411</v>
      </c>
      <c r="F4976" s="28" t="s">
        <v>21</v>
      </c>
      <c r="G4976" s="28" t="s">
        <v>39</v>
      </c>
      <c r="H4976" s="28" t="s">
        <v>16221</v>
      </c>
      <c r="I4976" s="28" t="s">
        <v>24935</v>
      </c>
      <c r="J4976" s="28" t="s">
        <v>39</v>
      </c>
      <c r="K4976" s="28" t="s">
        <v>16223</v>
      </c>
      <c r="L4976" s="28" t="s">
        <v>16224</v>
      </c>
      <c r="M4976" s="28" t="s">
        <v>21489</v>
      </c>
      <c r="N4976" s="28" t="s">
        <v>16226</v>
      </c>
      <c r="O4976" s="28" t="s">
        <v>16227</v>
      </c>
      <c r="P4976" s="28" t="s">
        <v>22623</v>
      </c>
    </row>
    <row r="4977" spans="1:16" x14ac:dyDescent="0.25">
      <c r="A4977" s="28" t="s">
        <v>24936</v>
      </c>
      <c r="B4977" s="28" t="s">
        <v>24937</v>
      </c>
      <c r="C4977" s="28" t="s">
        <v>4491</v>
      </c>
      <c r="D4977" s="28" t="s">
        <v>5471</v>
      </c>
      <c r="E4977" s="28" t="s">
        <v>18417</v>
      </c>
      <c r="F4977" s="28" t="s">
        <v>21</v>
      </c>
      <c r="G4977" s="28" t="s">
        <v>149</v>
      </c>
      <c r="H4977" s="28" t="s">
        <v>21726</v>
      </c>
      <c r="I4977" s="28" t="s">
        <v>24938</v>
      </c>
      <c r="J4977" s="28" t="s">
        <v>149</v>
      </c>
      <c r="K4977" s="28" t="s">
        <v>22746</v>
      </c>
      <c r="L4977" s="28" t="s">
        <v>21729</v>
      </c>
      <c r="M4977" s="28" t="s">
        <v>24939</v>
      </c>
      <c r="N4977" s="28" t="s">
        <v>21731</v>
      </c>
      <c r="O4977" s="28" t="s">
        <v>21732</v>
      </c>
      <c r="P4977" s="28" t="s">
        <v>24940</v>
      </c>
    </row>
    <row r="4978" spans="1:16" x14ac:dyDescent="0.25">
      <c r="A4978" s="28" t="s">
        <v>24941</v>
      </c>
      <c r="B4978" s="28" t="s">
        <v>24942</v>
      </c>
      <c r="C4978" s="28" t="s">
        <v>4491</v>
      </c>
      <c r="D4978" s="28" t="s">
        <v>5471</v>
      </c>
      <c r="E4978" s="28" t="s">
        <v>18417</v>
      </c>
      <c r="F4978" s="28" t="s">
        <v>21</v>
      </c>
      <c r="G4978" s="28" t="s">
        <v>149</v>
      </c>
      <c r="H4978" s="28" t="s">
        <v>21726</v>
      </c>
      <c r="I4978" s="28" t="s">
        <v>24943</v>
      </c>
      <c r="J4978" s="28" t="s">
        <v>149</v>
      </c>
      <c r="K4978" s="28" t="s">
        <v>22746</v>
      </c>
      <c r="L4978" s="28" t="s">
        <v>21729</v>
      </c>
      <c r="M4978" s="28" t="s">
        <v>24944</v>
      </c>
      <c r="N4978" s="28" t="s">
        <v>21731</v>
      </c>
      <c r="O4978" s="28" t="s">
        <v>21732</v>
      </c>
      <c r="P4978" s="28" t="s">
        <v>24945</v>
      </c>
    </row>
    <row r="4979" spans="1:16" x14ac:dyDescent="0.25">
      <c r="A4979" s="28" t="s">
        <v>24946</v>
      </c>
      <c r="B4979" s="28" t="s">
        <v>24947</v>
      </c>
      <c r="C4979" s="28" t="s">
        <v>4491</v>
      </c>
      <c r="D4979" s="28" t="s">
        <v>5471</v>
      </c>
      <c r="E4979" s="28" t="s">
        <v>18417</v>
      </c>
      <c r="F4979" s="28" t="s">
        <v>21</v>
      </c>
      <c r="G4979" s="28" t="s">
        <v>149</v>
      </c>
      <c r="H4979" s="28" t="s">
        <v>21726</v>
      </c>
      <c r="I4979" s="28" t="s">
        <v>24948</v>
      </c>
      <c r="J4979" s="28" t="s">
        <v>149</v>
      </c>
      <c r="K4979" s="28" t="s">
        <v>22746</v>
      </c>
      <c r="L4979" s="28" t="s">
        <v>21729</v>
      </c>
      <c r="M4979" s="28" t="s">
        <v>24949</v>
      </c>
      <c r="N4979" s="28" t="s">
        <v>21731</v>
      </c>
      <c r="O4979" s="28" t="s">
        <v>21732</v>
      </c>
      <c r="P4979" s="28" t="s">
        <v>24950</v>
      </c>
    </row>
    <row r="4980" spans="1:16" x14ac:dyDescent="0.25">
      <c r="A4980" s="28" t="s">
        <v>24951</v>
      </c>
      <c r="B4980" s="28" t="s">
        <v>24952</v>
      </c>
      <c r="C4980" s="28" t="s">
        <v>4491</v>
      </c>
      <c r="D4980" s="28" t="s">
        <v>5471</v>
      </c>
      <c r="E4980" s="28" t="s">
        <v>18417</v>
      </c>
      <c r="F4980" s="28" t="s">
        <v>21</v>
      </c>
      <c r="G4980" s="28" t="s">
        <v>149</v>
      </c>
      <c r="H4980" s="28" t="s">
        <v>21726</v>
      </c>
      <c r="I4980" s="28" t="s">
        <v>24953</v>
      </c>
      <c r="J4980" s="28" t="s">
        <v>149</v>
      </c>
      <c r="K4980" s="28" t="s">
        <v>22746</v>
      </c>
      <c r="L4980" s="28" t="s">
        <v>21729</v>
      </c>
      <c r="M4980" s="28" t="s">
        <v>24954</v>
      </c>
      <c r="N4980" s="28" t="s">
        <v>21731</v>
      </c>
      <c r="O4980" s="28" t="s">
        <v>21732</v>
      </c>
      <c r="P4980" s="28" t="s">
        <v>24955</v>
      </c>
    </row>
    <row r="4981" spans="1:16" x14ac:dyDescent="0.25">
      <c r="A4981" s="28" t="s">
        <v>24956</v>
      </c>
      <c r="B4981" s="28" t="s">
        <v>24957</v>
      </c>
      <c r="C4981" s="28" t="s">
        <v>4491</v>
      </c>
      <c r="D4981" s="28" t="s">
        <v>5471</v>
      </c>
      <c r="E4981" s="28" t="s">
        <v>18417</v>
      </c>
      <c r="F4981" s="28" t="s">
        <v>21</v>
      </c>
      <c r="G4981" s="28" t="s">
        <v>149</v>
      </c>
      <c r="H4981" s="28" t="s">
        <v>21726</v>
      </c>
      <c r="I4981" s="28" t="s">
        <v>24958</v>
      </c>
      <c r="J4981" s="28" t="s">
        <v>149</v>
      </c>
      <c r="K4981" s="28" t="s">
        <v>22746</v>
      </c>
      <c r="L4981" s="28" t="s">
        <v>21729</v>
      </c>
      <c r="M4981" s="28" t="s">
        <v>24959</v>
      </c>
      <c r="N4981" s="28" t="s">
        <v>21731</v>
      </c>
      <c r="O4981" s="28" t="s">
        <v>21732</v>
      </c>
      <c r="P4981" s="28" t="s">
        <v>24960</v>
      </c>
    </row>
    <row r="4982" spans="1:16" x14ac:dyDescent="0.25">
      <c r="A4982" s="28" t="s">
        <v>24961</v>
      </c>
      <c r="B4982" s="28" t="s">
        <v>24962</v>
      </c>
      <c r="C4982" s="28" t="s">
        <v>4491</v>
      </c>
      <c r="D4982" s="28" t="s">
        <v>5471</v>
      </c>
      <c r="E4982" s="28" t="s">
        <v>18423</v>
      </c>
      <c r="F4982" s="28" t="s">
        <v>21</v>
      </c>
      <c r="G4982" s="28" t="s">
        <v>149</v>
      </c>
      <c r="H4982" s="28" t="s">
        <v>21726</v>
      </c>
      <c r="I4982" s="28" t="s">
        <v>24963</v>
      </c>
      <c r="J4982" s="28" t="s">
        <v>149</v>
      </c>
      <c r="K4982" s="28" t="s">
        <v>22746</v>
      </c>
      <c r="L4982" s="28" t="s">
        <v>21729</v>
      </c>
      <c r="M4982" s="28" t="s">
        <v>24964</v>
      </c>
      <c r="N4982" s="28" t="s">
        <v>21731</v>
      </c>
      <c r="O4982" s="28" t="s">
        <v>21732</v>
      </c>
      <c r="P4982" s="28" t="s">
        <v>24965</v>
      </c>
    </row>
    <row r="4983" spans="1:16" x14ac:dyDescent="0.25">
      <c r="A4983" s="28" t="s">
        <v>24966</v>
      </c>
      <c r="B4983" s="28" t="s">
        <v>24967</v>
      </c>
      <c r="C4983" s="28" t="s">
        <v>4491</v>
      </c>
      <c r="D4983" s="28" t="s">
        <v>5471</v>
      </c>
      <c r="E4983" s="28" t="s">
        <v>18429</v>
      </c>
      <c r="F4983" s="28" t="s">
        <v>21</v>
      </c>
      <c r="G4983" s="28" t="s">
        <v>149</v>
      </c>
      <c r="H4983" s="28" t="s">
        <v>21726</v>
      </c>
      <c r="I4983" s="28" t="s">
        <v>24968</v>
      </c>
      <c r="J4983" s="28" t="s">
        <v>149</v>
      </c>
      <c r="K4983" s="28" t="s">
        <v>22746</v>
      </c>
      <c r="L4983" s="28" t="s">
        <v>21729</v>
      </c>
      <c r="M4983" s="28" t="s">
        <v>24969</v>
      </c>
      <c r="N4983" s="28" t="s">
        <v>21731</v>
      </c>
      <c r="O4983" s="28" t="s">
        <v>21732</v>
      </c>
      <c r="P4983" s="28" t="s">
        <v>24970</v>
      </c>
    </row>
    <row r="4984" spans="1:16" x14ac:dyDescent="0.25">
      <c r="A4984" s="28" t="s">
        <v>24971</v>
      </c>
      <c r="B4984" s="28" t="s">
        <v>24972</v>
      </c>
      <c r="C4984" s="28" t="s">
        <v>4491</v>
      </c>
      <c r="D4984" s="28" t="s">
        <v>5471</v>
      </c>
      <c r="E4984" s="28" t="s">
        <v>18429</v>
      </c>
      <c r="F4984" s="28" t="s">
        <v>21</v>
      </c>
      <c r="G4984" s="28" t="s">
        <v>149</v>
      </c>
      <c r="H4984" s="28" t="s">
        <v>21726</v>
      </c>
      <c r="I4984" s="28" t="s">
        <v>24973</v>
      </c>
      <c r="J4984" s="28" t="s">
        <v>149</v>
      </c>
      <c r="K4984" s="28" t="s">
        <v>22746</v>
      </c>
      <c r="L4984" s="28" t="s">
        <v>21729</v>
      </c>
      <c r="M4984" s="28" t="s">
        <v>24974</v>
      </c>
      <c r="N4984" s="28" t="s">
        <v>21731</v>
      </c>
      <c r="O4984" s="28" t="s">
        <v>21732</v>
      </c>
      <c r="P4984" s="28" t="s">
        <v>24975</v>
      </c>
    </row>
    <row r="4985" spans="1:16" x14ac:dyDescent="0.25">
      <c r="A4985" s="28" t="s">
        <v>24976</v>
      </c>
      <c r="B4985" s="28" t="s">
        <v>24977</v>
      </c>
      <c r="C4985" s="28" t="s">
        <v>4491</v>
      </c>
      <c r="D4985" s="28" t="s">
        <v>5471</v>
      </c>
      <c r="E4985" s="28" t="s">
        <v>21524</v>
      </c>
      <c r="F4985" s="28" t="s">
        <v>21</v>
      </c>
      <c r="G4985" s="28" t="s">
        <v>39</v>
      </c>
      <c r="H4985" s="28" t="s">
        <v>16221</v>
      </c>
      <c r="I4985" s="28" t="s">
        <v>24978</v>
      </c>
      <c r="J4985" s="28" t="s">
        <v>39</v>
      </c>
      <c r="K4985" s="28" t="s">
        <v>16223</v>
      </c>
      <c r="L4985" s="28" t="s">
        <v>16224</v>
      </c>
      <c r="M4985" s="28" t="s">
        <v>21526</v>
      </c>
      <c r="N4985" s="28" t="s">
        <v>16226</v>
      </c>
      <c r="O4985" s="28" t="s">
        <v>16227</v>
      </c>
      <c r="P4985" s="28" t="s">
        <v>24979</v>
      </c>
    </row>
    <row r="4986" spans="1:16" x14ac:dyDescent="0.25">
      <c r="A4986" s="28" t="s">
        <v>24980</v>
      </c>
      <c r="B4986" s="28" t="s">
        <v>24981</v>
      </c>
      <c r="C4986" s="28" t="s">
        <v>4491</v>
      </c>
      <c r="D4986" s="28" t="s">
        <v>5471</v>
      </c>
      <c r="E4986" s="28" t="s">
        <v>18435</v>
      </c>
      <c r="F4986" s="28" t="s">
        <v>21</v>
      </c>
      <c r="G4986" s="28" t="s">
        <v>149</v>
      </c>
      <c r="H4986" s="28" t="s">
        <v>21726</v>
      </c>
      <c r="I4986" s="28" t="s">
        <v>24982</v>
      </c>
      <c r="J4986" s="28" t="s">
        <v>149</v>
      </c>
      <c r="K4986" s="28" t="s">
        <v>22746</v>
      </c>
      <c r="L4986" s="28" t="s">
        <v>21729</v>
      </c>
      <c r="M4986" s="28" t="s">
        <v>24983</v>
      </c>
      <c r="N4986" s="28" t="s">
        <v>21731</v>
      </c>
      <c r="O4986" s="28" t="s">
        <v>21732</v>
      </c>
      <c r="P4986" s="28" t="s">
        <v>24984</v>
      </c>
    </row>
    <row r="4987" spans="1:16" x14ac:dyDescent="0.25">
      <c r="A4987" s="28" t="s">
        <v>24985</v>
      </c>
      <c r="B4987" s="28" t="s">
        <v>24986</v>
      </c>
      <c r="C4987" s="28" t="s">
        <v>4491</v>
      </c>
      <c r="D4987" s="28" t="s">
        <v>5471</v>
      </c>
      <c r="E4987" s="28" t="s">
        <v>21534</v>
      </c>
      <c r="F4987" s="28" t="s">
        <v>21</v>
      </c>
      <c r="G4987" s="28" t="s">
        <v>39</v>
      </c>
      <c r="H4987" s="28" t="s">
        <v>16221</v>
      </c>
      <c r="I4987" s="28" t="s">
        <v>24987</v>
      </c>
      <c r="J4987" s="28" t="s">
        <v>39</v>
      </c>
      <c r="K4987" s="28" t="s">
        <v>16223</v>
      </c>
      <c r="L4987" s="28" t="s">
        <v>16224</v>
      </c>
      <c r="M4987" s="28" t="s">
        <v>21536</v>
      </c>
      <c r="N4987" s="28" t="s">
        <v>16226</v>
      </c>
      <c r="O4987" s="28" t="s">
        <v>16227</v>
      </c>
      <c r="P4987" s="28" t="s">
        <v>24988</v>
      </c>
    </row>
    <row r="4988" spans="1:16" x14ac:dyDescent="0.25">
      <c r="A4988" s="28" t="s">
        <v>24989</v>
      </c>
      <c r="B4988" s="28" t="s">
        <v>24990</v>
      </c>
      <c r="C4988" s="28" t="s">
        <v>4491</v>
      </c>
      <c r="D4988" s="28" t="s">
        <v>5471</v>
      </c>
      <c r="E4988" s="28" t="s">
        <v>21534</v>
      </c>
      <c r="F4988" s="28" t="s">
        <v>21</v>
      </c>
      <c r="G4988" s="28" t="s">
        <v>39</v>
      </c>
      <c r="H4988" s="28" t="s">
        <v>16221</v>
      </c>
      <c r="I4988" s="28" t="s">
        <v>24991</v>
      </c>
      <c r="J4988" s="28" t="s">
        <v>39</v>
      </c>
      <c r="K4988" s="28" t="s">
        <v>16223</v>
      </c>
      <c r="L4988" s="28" t="s">
        <v>16224</v>
      </c>
      <c r="M4988" s="28" t="s">
        <v>21541</v>
      </c>
      <c r="N4988" s="28" t="s">
        <v>16226</v>
      </c>
      <c r="O4988" s="28" t="s">
        <v>16227</v>
      </c>
      <c r="P4988" s="28" t="s">
        <v>24988</v>
      </c>
    </row>
    <row r="4989" spans="1:16" x14ac:dyDescent="0.25">
      <c r="A4989" s="28" t="s">
        <v>24992</v>
      </c>
      <c r="B4989" s="28" t="s">
        <v>24993</v>
      </c>
      <c r="C4989" s="28" t="s">
        <v>4491</v>
      </c>
      <c r="D4989" s="28" t="s">
        <v>5482</v>
      </c>
      <c r="E4989" s="28" t="s">
        <v>18441</v>
      </c>
      <c r="F4989" s="28" t="s">
        <v>21</v>
      </c>
      <c r="G4989" s="28" t="s">
        <v>149</v>
      </c>
      <c r="H4989" s="28" t="s">
        <v>21726</v>
      </c>
      <c r="I4989" s="28" t="s">
        <v>24994</v>
      </c>
      <c r="J4989" s="28" t="s">
        <v>149</v>
      </c>
      <c r="K4989" s="28" t="s">
        <v>22746</v>
      </c>
      <c r="L4989" s="28" t="s">
        <v>21729</v>
      </c>
      <c r="M4989" s="28" t="s">
        <v>24995</v>
      </c>
      <c r="N4989" s="28" t="s">
        <v>21731</v>
      </c>
      <c r="O4989" s="28" t="s">
        <v>21732</v>
      </c>
      <c r="P4989" s="28" t="s">
        <v>24996</v>
      </c>
    </row>
    <row r="4990" spans="1:16" x14ac:dyDescent="0.25">
      <c r="A4990" s="28" t="s">
        <v>24997</v>
      </c>
      <c r="B4990" s="28" t="s">
        <v>24998</v>
      </c>
      <c r="C4990" s="28" t="s">
        <v>4491</v>
      </c>
      <c r="D4990" s="28" t="s">
        <v>5482</v>
      </c>
      <c r="E4990" s="28" t="s">
        <v>18441</v>
      </c>
      <c r="F4990" s="28" t="s">
        <v>21</v>
      </c>
      <c r="G4990" s="28" t="s">
        <v>149</v>
      </c>
      <c r="H4990" s="28" t="s">
        <v>21726</v>
      </c>
      <c r="I4990" s="28" t="s">
        <v>24999</v>
      </c>
      <c r="J4990" s="28" t="s">
        <v>149</v>
      </c>
      <c r="K4990" s="28" t="s">
        <v>22746</v>
      </c>
      <c r="L4990" s="28" t="s">
        <v>21729</v>
      </c>
      <c r="M4990" s="28" t="s">
        <v>25000</v>
      </c>
      <c r="N4990" s="28" t="s">
        <v>21731</v>
      </c>
      <c r="O4990" s="28" t="s">
        <v>21732</v>
      </c>
      <c r="P4990" s="28" t="s">
        <v>25001</v>
      </c>
    </row>
    <row r="4991" spans="1:16" x14ac:dyDescent="0.25">
      <c r="A4991" s="28" t="s">
        <v>25002</v>
      </c>
      <c r="B4991" s="28" t="s">
        <v>25003</v>
      </c>
      <c r="C4991" s="28" t="s">
        <v>4491</v>
      </c>
      <c r="D4991" s="28" t="s">
        <v>5482</v>
      </c>
      <c r="E4991" s="28" t="s">
        <v>18451</v>
      </c>
      <c r="F4991" s="28" t="s">
        <v>21</v>
      </c>
      <c r="G4991" s="28" t="s">
        <v>149</v>
      </c>
      <c r="H4991" s="28" t="s">
        <v>21726</v>
      </c>
      <c r="I4991" s="28" t="s">
        <v>25004</v>
      </c>
      <c r="J4991" s="28" t="s">
        <v>149</v>
      </c>
      <c r="K4991" s="28" t="s">
        <v>22746</v>
      </c>
      <c r="L4991" s="28" t="s">
        <v>21729</v>
      </c>
      <c r="M4991" s="28" t="s">
        <v>25005</v>
      </c>
      <c r="N4991" s="28" t="s">
        <v>21731</v>
      </c>
      <c r="O4991" s="28" t="s">
        <v>21732</v>
      </c>
      <c r="P4991" s="28" t="s">
        <v>25006</v>
      </c>
    </row>
    <row r="4992" spans="1:16" x14ac:dyDescent="0.25">
      <c r="A4992" s="28" t="s">
        <v>25007</v>
      </c>
      <c r="B4992" s="28" t="s">
        <v>25008</v>
      </c>
      <c r="C4992" s="28" t="s">
        <v>4491</v>
      </c>
      <c r="D4992" s="28" t="s">
        <v>5482</v>
      </c>
      <c r="E4992" s="28" t="s">
        <v>18457</v>
      </c>
      <c r="F4992" s="28" t="s">
        <v>21</v>
      </c>
      <c r="G4992" s="28" t="s">
        <v>149</v>
      </c>
      <c r="H4992" s="28" t="s">
        <v>21726</v>
      </c>
      <c r="I4992" s="28" t="s">
        <v>25009</v>
      </c>
      <c r="J4992" s="28" t="s">
        <v>149</v>
      </c>
      <c r="K4992" s="28" t="s">
        <v>22746</v>
      </c>
      <c r="L4992" s="28" t="s">
        <v>21729</v>
      </c>
      <c r="M4992" s="28" t="s">
        <v>25010</v>
      </c>
      <c r="N4992" s="28" t="s">
        <v>21731</v>
      </c>
      <c r="O4992" s="28" t="s">
        <v>21732</v>
      </c>
      <c r="P4992" s="28" t="s">
        <v>25011</v>
      </c>
    </row>
    <row r="4993" spans="1:16" x14ac:dyDescent="0.25">
      <c r="A4993" s="28" t="s">
        <v>25012</v>
      </c>
      <c r="B4993" s="28" t="s">
        <v>25013</v>
      </c>
      <c r="C4993" s="28" t="s">
        <v>4491</v>
      </c>
      <c r="D4993" s="28" t="s">
        <v>5482</v>
      </c>
      <c r="E4993" s="28" t="s">
        <v>18457</v>
      </c>
      <c r="F4993" s="28" t="s">
        <v>21</v>
      </c>
      <c r="G4993" s="28" t="s">
        <v>149</v>
      </c>
      <c r="H4993" s="28" t="s">
        <v>21726</v>
      </c>
      <c r="I4993" s="28" t="s">
        <v>25014</v>
      </c>
      <c r="J4993" s="28" t="s">
        <v>149</v>
      </c>
      <c r="K4993" s="28" t="s">
        <v>22746</v>
      </c>
      <c r="L4993" s="28" t="s">
        <v>21729</v>
      </c>
      <c r="M4993" s="28" t="s">
        <v>25015</v>
      </c>
      <c r="N4993" s="28" t="s">
        <v>21731</v>
      </c>
      <c r="O4993" s="28" t="s">
        <v>21732</v>
      </c>
      <c r="P4993" s="28" t="s">
        <v>25016</v>
      </c>
    </row>
    <row r="4994" spans="1:16" x14ac:dyDescent="0.25">
      <c r="A4994" s="28" t="s">
        <v>25017</v>
      </c>
      <c r="B4994" s="28" t="s">
        <v>25018</v>
      </c>
      <c r="C4994" s="28" t="s">
        <v>4491</v>
      </c>
      <c r="D4994" s="28" t="s">
        <v>101</v>
      </c>
      <c r="E4994" s="28" t="s">
        <v>18463</v>
      </c>
      <c r="F4994" s="28" t="s">
        <v>21</v>
      </c>
      <c r="G4994" s="28" t="s">
        <v>39</v>
      </c>
      <c r="H4994" s="28" t="s">
        <v>16221</v>
      </c>
      <c r="I4994" s="28" t="s">
        <v>25019</v>
      </c>
      <c r="J4994" s="28" t="s">
        <v>39</v>
      </c>
      <c r="K4994" s="28" t="s">
        <v>16223</v>
      </c>
      <c r="L4994" s="28" t="s">
        <v>16224</v>
      </c>
      <c r="M4994" s="28" t="s">
        <v>21565</v>
      </c>
      <c r="N4994" s="28" t="s">
        <v>16226</v>
      </c>
      <c r="O4994" s="28" t="s">
        <v>16227</v>
      </c>
      <c r="P4994" s="28" t="s">
        <v>22673</v>
      </c>
    </row>
    <row r="4995" spans="1:16" x14ac:dyDescent="0.25">
      <c r="A4995" s="28" t="s">
        <v>25020</v>
      </c>
      <c r="B4995" s="28" t="s">
        <v>25021</v>
      </c>
      <c r="C4995" s="28" t="s">
        <v>4491</v>
      </c>
      <c r="D4995" s="28" t="s">
        <v>120</v>
      </c>
      <c r="E4995" s="28" t="s">
        <v>18810</v>
      </c>
      <c r="F4995" s="28" t="s">
        <v>21</v>
      </c>
      <c r="G4995" s="28" t="s">
        <v>39</v>
      </c>
      <c r="H4995" s="28" t="s">
        <v>16221</v>
      </c>
      <c r="I4995" s="28" t="s">
        <v>25022</v>
      </c>
      <c r="J4995" s="28" t="s">
        <v>39</v>
      </c>
      <c r="K4995" s="28" t="s">
        <v>16223</v>
      </c>
      <c r="L4995" s="28" t="s">
        <v>16224</v>
      </c>
      <c r="M4995" s="28" t="s">
        <v>21569</v>
      </c>
      <c r="N4995" s="28" t="s">
        <v>16226</v>
      </c>
      <c r="O4995" s="28" t="s">
        <v>16227</v>
      </c>
      <c r="P4995" s="28" t="s">
        <v>25023</v>
      </c>
    </row>
    <row r="4996" spans="1:16" x14ac:dyDescent="0.25">
      <c r="A4996" s="28" t="s">
        <v>25024</v>
      </c>
      <c r="B4996" s="28" t="s">
        <v>25025</v>
      </c>
      <c r="C4996" s="28" t="s">
        <v>4491</v>
      </c>
      <c r="D4996" s="28" t="s">
        <v>120</v>
      </c>
      <c r="E4996" s="28" t="s">
        <v>18882</v>
      </c>
      <c r="F4996" s="28" t="s">
        <v>21</v>
      </c>
      <c r="G4996" s="28" t="s">
        <v>39</v>
      </c>
      <c r="H4996" s="28" t="s">
        <v>16221</v>
      </c>
      <c r="I4996" s="28" t="s">
        <v>25026</v>
      </c>
      <c r="J4996" s="28" t="s">
        <v>39</v>
      </c>
      <c r="K4996" s="28" t="s">
        <v>16223</v>
      </c>
      <c r="L4996" s="28" t="s">
        <v>16224</v>
      </c>
      <c r="M4996" s="28" t="s">
        <v>21573</v>
      </c>
      <c r="N4996" s="28" t="s">
        <v>16226</v>
      </c>
      <c r="O4996" s="28" t="s">
        <v>16227</v>
      </c>
      <c r="P4996" s="28" t="s">
        <v>25027</v>
      </c>
    </row>
    <row r="4997" spans="1:16" x14ac:dyDescent="0.25">
      <c r="A4997" s="28" t="s">
        <v>25028</v>
      </c>
      <c r="B4997" s="28" t="s">
        <v>25029</v>
      </c>
      <c r="C4997" s="28" t="s">
        <v>4491</v>
      </c>
      <c r="D4997" s="28" t="s">
        <v>120</v>
      </c>
      <c r="E4997" s="28" t="s">
        <v>18882</v>
      </c>
      <c r="F4997" s="28" t="s">
        <v>21</v>
      </c>
      <c r="G4997" s="28" t="s">
        <v>39</v>
      </c>
      <c r="H4997" s="28" t="s">
        <v>16221</v>
      </c>
      <c r="I4997" s="28" t="s">
        <v>25030</v>
      </c>
      <c r="J4997" s="28" t="s">
        <v>39</v>
      </c>
      <c r="K4997" s="28" t="s">
        <v>16223</v>
      </c>
      <c r="L4997" s="28" t="s">
        <v>16224</v>
      </c>
      <c r="M4997" s="28" t="s">
        <v>21577</v>
      </c>
      <c r="N4997" s="28" t="s">
        <v>16226</v>
      </c>
      <c r="O4997" s="28" t="s">
        <v>16227</v>
      </c>
      <c r="P4997" s="28" t="s">
        <v>25027</v>
      </c>
    </row>
    <row r="4998" spans="1:16" x14ac:dyDescent="0.25">
      <c r="A4998" s="28" t="s">
        <v>25031</v>
      </c>
      <c r="B4998" s="28" t="s">
        <v>25032</v>
      </c>
      <c r="C4998" s="28" t="s">
        <v>4491</v>
      </c>
      <c r="D4998" s="28" t="s">
        <v>120</v>
      </c>
      <c r="E4998" s="28" t="s">
        <v>18882</v>
      </c>
      <c r="F4998" s="28" t="s">
        <v>21</v>
      </c>
      <c r="G4998" s="28" t="s">
        <v>39</v>
      </c>
      <c r="H4998" s="28" t="s">
        <v>16221</v>
      </c>
      <c r="I4998" s="28" t="s">
        <v>25033</v>
      </c>
      <c r="J4998" s="28" t="s">
        <v>39</v>
      </c>
      <c r="K4998" s="28" t="s">
        <v>16223</v>
      </c>
      <c r="L4998" s="28" t="s">
        <v>16224</v>
      </c>
      <c r="M4998" s="28" t="s">
        <v>21581</v>
      </c>
      <c r="N4998" s="28" t="s">
        <v>16226</v>
      </c>
      <c r="O4998" s="28" t="s">
        <v>16227</v>
      </c>
      <c r="P4998" s="28" t="s">
        <v>25027</v>
      </c>
    </row>
    <row r="4999" spans="1:16" x14ac:dyDescent="0.25">
      <c r="A4999" s="28" t="s">
        <v>25034</v>
      </c>
      <c r="B4999" s="28" t="s">
        <v>25035</v>
      </c>
      <c r="C4999" s="28" t="s">
        <v>4491</v>
      </c>
      <c r="D4999" s="28" t="s">
        <v>4270</v>
      </c>
      <c r="E4999" s="28" t="s">
        <v>25036</v>
      </c>
      <c r="F4999" s="28" t="s">
        <v>21</v>
      </c>
      <c r="G4999" s="28" t="s">
        <v>149</v>
      </c>
      <c r="H4999" s="28" t="s">
        <v>21726</v>
      </c>
      <c r="I4999" s="28" t="s">
        <v>25037</v>
      </c>
      <c r="J4999" s="28" t="s">
        <v>149</v>
      </c>
      <c r="K4999" s="28" t="s">
        <v>22746</v>
      </c>
      <c r="L4999" s="28" t="s">
        <v>21729</v>
      </c>
      <c r="M4999" s="28" t="s">
        <v>25038</v>
      </c>
      <c r="N4999" s="28" t="s">
        <v>21731</v>
      </c>
      <c r="O4999" s="28" t="s">
        <v>21732</v>
      </c>
      <c r="P4999" s="28" t="s">
        <v>25039</v>
      </c>
    </row>
    <row r="5000" spans="1:16" x14ac:dyDescent="0.25">
      <c r="A5000" s="28" t="s">
        <v>25040</v>
      </c>
      <c r="B5000" s="28" t="s">
        <v>25041</v>
      </c>
      <c r="C5000" s="28" t="s">
        <v>4491</v>
      </c>
      <c r="D5000" s="28" t="s">
        <v>4270</v>
      </c>
      <c r="E5000" s="28" t="s">
        <v>18491</v>
      </c>
      <c r="F5000" s="28" t="s">
        <v>21</v>
      </c>
      <c r="G5000" s="28" t="s">
        <v>39</v>
      </c>
      <c r="H5000" s="28" t="s">
        <v>16221</v>
      </c>
      <c r="I5000" s="28" t="s">
        <v>25042</v>
      </c>
      <c r="J5000" s="28" t="s">
        <v>39</v>
      </c>
      <c r="K5000" s="28" t="s">
        <v>16223</v>
      </c>
      <c r="L5000" s="28" t="s">
        <v>16224</v>
      </c>
      <c r="M5000" s="28" t="s">
        <v>21585</v>
      </c>
      <c r="N5000" s="28" t="s">
        <v>16226</v>
      </c>
      <c r="O5000" s="28" t="s">
        <v>16227</v>
      </c>
      <c r="P5000" s="28" t="s">
        <v>22693</v>
      </c>
    </row>
    <row r="5001" spans="1:16" x14ac:dyDescent="0.25">
      <c r="A5001" s="28" t="s">
        <v>25043</v>
      </c>
      <c r="B5001" s="28" t="s">
        <v>25044</v>
      </c>
      <c r="C5001" s="28" t="s">
        <v>4491</v>
      </c>
      <c r="D5001" s="28" t="s">
        <v>4270</v>
      </c>
      <c r="E5001" s="28" t="s">
        <v>18491</v>
      </c>
      <c r="F5001" s="28" t="s">
        <v>21</v>
      </c>
      <c r="G5001" s="28" t="s">
        <v>39</v>
      </c>
      <c r="H5001" s="28" t="s">
        <v>16221</v>
      </c>
      <c r="I5001" s="28" t="s">
        <v>25045</v>
      </c>
      <c r="J5001" s="28" t="s">
        <v>39</v>
      </c>
      <c r="K5001" s="28" t="s">
        <v>16223</v>
      </c>
      <c r="L5001" s="28" t="s">
        <v>16224</v>
      </c>
      <c r="M5001" s="28" t="s">
        <v>21589</v>
      </c>
      <c r="N5001" s="28" t="s">
        <v>16226</v>
      </c>
      <c r="O5001" s="28" t="s">
        <v>16227</v>
      </c>
      <c r="P5001" s="28" t="s">
        <v>22693</v>
      </c>
    </row>
    <row r="5002" spans="1:16" x14ac:dyDescent="0.25">
      <c r="A5002" s="28" t="s">
        <v>25046</v>
      </c>
      <c r="B5002" s="28" t="s">
        <v>25047</v>
      </c>
      <c r="C5002" s="28" t="s">
        <v>4491</v>
      </c>
      <c r="D5002" s="28" t="s">
        <v>4270</v>
      </c>
      <c r="E5002" s="28" t="s">
        <v>18491</v>
      </c>
      <c r="F5002" s="28" t="s">
        <v>21</v>
      </c>
      <c r="G5002" s="28" t="s">
        <v>39</v>
      </c>
      <c r="H5002" s="28" t="s">
        <v>16221</v>
      </c>
      <c r="I5002" s="28" t="s">
        <v>25048</v>
      </c>
      <c r="J5002" s="28" t="s">
        <v>39</v>
      </c>
      <c r="K5002" s="28" t="s">
        <v>16223</v>
      </c>
      <c r="L5002" s="28" t="s">
        <v>16224</v>
      </c>
      <c r="M5002" s="28" t="s">
        <v>21593</v>
      </c>
      <c r="N5002" s="28" t="s">
        <v>16226</v>
      </c>
      <c r="O5002" s="28" t="s">
        <v>16227</v>
      </c>
      <c r="P5002" s="28" t="s">
        <v>22693</v>
      </c>
    </row>
    <row r="5003" spans="1:16" x14ac:dyDescent="0.25">
      <c r="A5003" s="28" t="s">
        <v>25049</v>
      </c>
      <c r="B5003" s="28" t="s">
        <v>25050</v>
      </c>
      <c r="C5003" s="28" t="s">
        <v>4491</v>
      </c>
      <c r="D5003" s="28" t="s">
        <v>4270</v>
      </c>
      <c r="E5003" s="28" t="s">
        <v>18491</v>
      </c>
      <c r="F5003" s="28" t="s">
        <v>21</v>
      </c>
      <c r="G5003" s="28" t="s">
        <v>39</v>
      </c>
      <c r="H5003" s="28" t="s">
        <v>16221</v>
      </c>
      <c r="I5003" s="28" t="s">
        <v>25051</v>
      </c>
      <c r="J5003" s="28" t="s">
        <v>39</v>
      </c>
      <c r="K5003" s="28" t="s">
        <v>16223</v>
      </c>
      <c r="L5003" s="28" t="s">
        <v>16224</v>
      </c>
      <c r="M5003" s="28" t="s">
        <v>21597</v>
      </c>
      <c r="N5003" s="28" t="s">
        <v>16226</v>
      </c>
      <c r="O5003" s="28" t="s">
        <v>16227</v>
      </c>
      <c r="P5003" s="28" t="s">
        <v>22693</v>
      </c>
    </row>
    <row r="5004" spans="1:16" x14ac:dyDescent="0.25">
      <c r="A5004" s="28" t="s">
        <v>25052</v>
      </c>
      <c r="B5004" s="28" t="s">
        <v>25053</v>
      </c>
      <c r="C5004" s="28" t="s">
        <v>4491</v>
      </c>
      <c r="D5004" s="28" t="s">
        <v>4270</v>
      </c>
      <c r="E5004" s="28" t="s">
        <v>18491</v>
      </c>
      <c r="F5004" s="28" t="s">
        <v>21</v>
      </c>
      <c r="G5004" s="28" t="s">
        <v>39</v>
      </c>
      <c r="H5004" s="28" t="s">
        <v>16221</v>
      </c>
      <c r="I5004" s="28" t="s">
        <v>25054</v>
      </c>
      <c r="J5004" s="28" t="s">
        <v>39</v>
      </c>
      <c r="K5004" s="28" t="s">
        <v>16223</v>
      </c>
      <c r="L5004" s="28" t="s">
        <v>16224</v>
      </c>
      <c r="M5004" s="28" t="s">
        <v>21601</v>
      </c>
      <c r="N5004" s="28" t="s">
        <v>16226</v>
      </c>
      <c r="O5004" s="28" t="s">
        <v>16227</v>
      </c>
      <c r="P5004" s="28" t="s">
        <v>22693</v>
      </c>
    </row>
    <row r="5005" spans="1:16" x14ac:dyDescent="0.25">
      <c r="A5005" s="28" t="s">
        <v>25055</v>
      </c>
      <c r="B5005" s="28" t="s">
        <v>25056</v>
      </c>
      <c r="C5005" s="28" t="s">
        <v>4491</v>
      </c>
      <c r="D5005" s="28" t="s">
        <v>5945</v>
      </c>
      <c r="E5005" s="28" t="s">
        <v>21604</v>
      </c>
      <c r="F5005" s="28" t="s">
        <v>21</v>
      </c>
      <c r="G5005" s="28" t="s">
        <v>39</v>
      </c>
      <c r="H5005" s="28" t="s">
        <v>16221</v>
      </c>
      <c r="I5005" s="28" t="s">
        <v>25057</v>
      </c>
      <c r="J5005" s="28" t="s">
        <v>39</v>
      </c>
      <c r="K5005" s="28" t="s">
        <v>16223</v>
      </c>
      <c r="L5005" s="28" t="s">
        <v>16224</v>
      </c>
      <c r="M5005" s="28" t="s">
        <v>21606</v>
      </c>
      <c r="N5005" s="28" t="s">
        <v>16226</v>
      </c>
      <c r="O5005" s="28" t="s">
        <v>16227</v>
      </c>
      <c r="P5005" s="28" t="s">
        <v>25058</v>
      </c>
    </row>
    <row r="5006" spans="1:16" x14ac:dyDescent="0.25">
      <c r="A5006" s="28" t="s">
        <v>25059</v>
      </c>
      <c r="B5006" s="28" t="s">
        <v>25060</v>
      </c>
      <c r="C5006" s="28" t="s">
        <v>4491</v>
      </c>
      <c r="D5006" s="28" t="s">
        <v>5945</v>
      </c>
      <c r="E5006" s="28" t="s">
        <v>18497</v>
      </c>
      <c r="F5006" s="28" t="s">
        <v>21</v>
      </c>
      <c r="G5006" s="28" t="s">
        <v>39</v>
      </c>
      <c r="H5006" s="28" t="s">
        <v>16221</v>
      </c>
      <c r="I5006" s="28" t="s">
        <v>25061</v>
      </c>
      <c r="J5006" s="28" t="s">
        <v>39</v>
      </c>
      <c r="K5006" s="28" t="s">
        <v>16223</v>
      </c>
      <c r="L5006" s="28" t="s">
        <v>16224</v>
      </c>
      <c r="M5006" s="28" t="s">
        <v>21611</v>
      </c>
      <c r="N5006" s="28" t="s">
        <v>16226</v>
      </c>
      <c r="O5006" s="28" t="s">
        <v>16227</v>
      </c>
      <c r="P5006" s="28" t="s">
        <v>22697</v>
      </c>
    </row>
    <row r="5007" spans="1:16" x14ac:dyDescent="0.25">
      <c r="A5007" s="28" t="s">
        <v>25062</v>
      </c>
      <c r="B5007" s="28" t="s">
        <v>25063</v>
      </c>
      <c r="C5007" s="28" t="s">
        <v>4491</v>
      </c>
      <c r="D5007" s="28" t="s">
        <v>5945</v>
      </c>
      <c r="E5007" s="28" t="s">
        <v>18497</v>
      </c>
      <c r="F5007" s="28" t="s">
        <v>21</v>
      </c>
      <c r="G5007" s="28" t="s">
        <v>39</v>
      </c>
      <c r="H5007" s="28" t="s">
        <v>16221</v>
      </c>
      <c r="I5007" s="28" t="s">
        <v>25064</v>
      </c>
      <c r="J5007" s="28" t="s">
        <v>39</v>
      </c>
      <c r="K5007" s="28" t="s">
        <v>16223</v>
      </c>
      <c r="L5007" s="28" t="s">
        <v>16224</v>
      </c>
      <c r="M5007" s="28" t="s">
        <v>21615</v>
      </c>
      <c r="N5007" s="28" t="s">
        <v>16226</v>
      </c>
      <c r="O5007" s="28" t="s">
        <v>16227</v>
      </c>
      <c r="P5007" s="28" t="s">
        <v>22697</v>
      </c>
    </row>
    <row r="5008" spans="1:16" x14ac:dyDescent="0.25">
      <c r="A5008" s="28" t="s">
        <v>25065</v>
      </c>
      <c r="B5008" s="28" t="s">
        <v>25066</v>
      </c>
      <c r="C5008" s="28" t="s">
        <v>4491</v>
      </c>
      <c r="D5008" s="28" t="s">
        <v>5945</v>
      </c>
      <c r="E5008" s="28" t="s">
        <v>18497</v>
      </c>
      <c r="F5008" s="28" t="s">
        <v>21</v>
      </c>
      <c r="G5008" s="28" t="s">
        <v>39</v>
      </c>
      <c r="H5008" s="28" t="s">
        <v>16221</v>
      </c>
      <c r="I5008" s="28" t="s">
        <v>25067</v>
      </c>
      <c r="J5008" s="28" t="s">
        <v>39</v>
      </c>
      <c r="K5008" s="28" t="s">
        <v>16223</v>
      </c>
      <c r="L5008" s="28" t="s">
        <v>16224</v>
      </c>
      <c r="M5008" s="28" t="s">
        <v>21619</v>
      </c>
      <c r="N5008" s="28" t="s">
        <v>16226</v>
      </c>
      <c r="O5008" s="28" t="s">
        <v>16227</v>
      </c>
      <c r="P5008" s="28" t="s">
        <v>22697</v>
      </c>
    </row>
    <row r="5009" spans="1:16" x14ac:dyDescent="0.25">
      <c r="A5009" s="28" t="s">
        <v>25068</v>
      </c>
      <c r="B5009" s="28" t="s">
        <v>25069</v>
      </c>
      <c r="C5009" s="28" t="s">
        <v>4491</v>
      </c>
      <c r="D5009" s="28" t="s">
        <v>5945</v>
      </c>
      <c r="E5009" s="28" t="s">
        <v>18497</v>
      </c>
      <c r="F5009" s="28" t="s">
        <v>21</v>
      </c>
      <c r="G5009" s="28" t="s">
        <v>39</v>
      </c>
      <c r="H5009" s="28" t="s">
        <v>16221</v>
      </c>
      <c r="I5009" s="28" t="s">
        <v>25070</v>
      </c>
      <c r="J5009" s="28" t="s">
        <v>39</v>
      </c>
      <c r="K5009" s="28" t="s">
        <v>16223</v>
      </c>
      <c r="L5009" s="28" t="s">
        <v>16224</v>
      </c>
      <c r="M5009" s="28" t="s">
        <v>21623</v>
      </c>
      <c r="N5009" s="28" t="s">
        <v>16226</v>
      </c>
      <c r="O5009" s="28" t="s">
        <v>16227</v>
      </c>
      <c r="P5009" s="28" t="s">
        <v>22697</v>
      </c>
    </row>
    <row r="5010" spans="1:16" x14ac:dyDescent="0.25">
      <c r="A5010" s="28" t="s">
        <v>25071</v>
      </c>
      <c r="B5010" s="28" t="s">
        <v>25072</v>
      </c>
      <c r="C5010" s="28" t="s">
        <v>4491</v>
      </c>
      <c r="D5010" s="28" t="s">
        <v>5945</v>
      </c>
      <c r="E5010" s="28" t="s">
        <v>18497</v>
      </c>
      <c r="F5010" s="28" t="s">
        <v>21</v>
      </c>
      <c r="G5010" s="28" t="s">
        <v>39</v>
      </c>
      <c r="H5010" s="28" t="s">
        <v>16221</v>
      </c>
      <c r="I5010" s="28" t="s">
        <v>25073</v>
      </c>
      <c r="J5010" s="28" t="s">
        <v>39</v>
      </c>
      <c r="K5010" s="28" t="s">
        <v>16223</v>
      </c>
      <c r="L5010" s="28" t="s">
        <v>16224</v>
      </c>
      <c r="M5010" s="28" t="s">
        <v>21627</v>
      </c>
      <c r="N5010" s="28" t="s">
        <v>16226</v>
      </c>
      <c r="O5010" s="28" t="s">
        <v>16227</v>
      </c>
      <c r="P5010" s="28" t="s">
        <v>22697</v>
      </c>
    </row>
    <row r="5011" spans="1:16" x14ac:dyDescent="0.25">
      <c r="A5011" s="28" t="s">
        <v>25074</v>
      </c>
      <c r="B5011" s="28" t="s">
        <v>25075</v>
      </c>
      <c r="C5011" s="28" t="s">
        <v>4491</v>
      </c>
      <c r="D5011" s="28" t="s">
        <v>5945</v>
      </c>
      <c r="E5011" s="28" t="s">
        <v>18497</v>
      </c>
      <c r="F5011" s="28" t="s">
        <v>21</v>
      </c>
      <c r="G5011" s="28" t="s">
        <v>39</v>
      </c>
      <c r="H5011" s="28" t="s">
        <v>16221</v>
      </c>
      <c r="I5011" s="28" t="s">
        <v>25076</v>
      </c>
      <c r="J5011" s="28" t="s">
        <v>39</v>
      </c>
      <c r="K5011" s="28" t="s">
        <v>16223</v>
      </c>
      <c r="L5011" s="28" t="s">
        <v>16224</v>
      </c>
      <c r="M5011" s="28" t="s">
        <v>21631</v>
      </c>
      <c r="N5011" s="28" t="s">
        <v>16226</v>
      </c>
      <c r="O5011" s="28" t="s">
        <v>16227</v>
      </c>
      <c r="P5011" s="28" t="s">
        <v>22697</v>
      </c>
    </row>
    <row r="5012" spans="1:16" x14ac:dyDescent="0.25">
      <c r="A5012" s="28" t="s">
        <v>25077</v>
      </c>
      <c r="B5012" s="28" t="s">
        <v>25078</v>
      </c>
      <c r="C5012" s="28" t="s">
        <v>4491</v>
      </c>
      <c r="D5012" s="28" t="s">
        <v>5945</v>
      </c>
      <c r="E5012" s="28" t="s">
        <v>18497</v>
      </c>
      <c r="F5012" s="28" t="s">
        <v>21</v>
      </c>
      <c r="G5012" s="28" t="s">
        <v>39</v>
      </c>
      <c r="H5012" s="28" t="s">
        <v>16221</v>
      </c>
      <c r="I5012" s="28" t="s">
        <v>25079</v>
      </c>
      <c r="J5012" s="28" t="s">
        <v>39</v>
      </c>
      <c r="K5012" s="28" t="s">
        <v>16223</v>
      </c>
      <c r="L5012" s="28" t="s">
        <v>16224</v>
      </c>
      <c r="M5012" s="28" t="s">
        <v>21635</v>
      </c>
      <c r="N5012" s="28" t="s">
        <v>16226</v>
      </c>
      <c r="O5012" s="28" t="s">
        <v>16227</v>
      </c>
      <c r="P5012" s="28" t="s">
        <v>22697</v>
      </c>
    </row>
    <row r="5013" spans="1:16" x14ac:dyDescent="0.25">
      <c r="A5013" s="28" t="s">
        <v>25080</v>
      </c>
      <c r="B5013" s="28" t="s">
        <v>25081</v>
      </c>
      <c r="C5013" s="28" t="s">
        <v>4491</v>
      </c>
      <c r="D5013" s="28" t="s">
        <v>5945</v>
      </c>
      <c r="E5013" s="28" t="s">
        <v>18497</v>
      </c>
      <c r="F5013" s="28" t="s">
        <v>21</v>
      </c>
      <c r="G5013" s="28" t="s">
        <v>39</v>
      </c>
      <c r="H5013" s="28" t="s">
        <v>16221</v>
      </c>
      <c r="I5013" s="28" t="s">
        <v>25082</v>
      </c>
      <c r="J5013" s="28" t="s">
        <v>39</v>
      </c>
      <c r="K5013" s="28" t="s">
        <v>16223</v>
      </c>
      <c r="L5013" s="28" t="s">
        <v>16224</v>
      </c>
      <c r="M5013" s="28" t="s">
        <v>21639</v>
      </c>
      <c r="N5013" s="28" t="s">
        <v>16226</v>
      </c>
      <c r="O5013" s="28" t="s">
        <v>16227</v>
      </c>
      <c r="P5013" s="28" t="s">
        <v>22697</v>
      </c>
    </row>
    <row r="5014" spans="1:16" x14ac:dyDescent="0.25">
      <c r="A5014" s="28" t="s">
        <v>25083</v>
      </c>
      <c r="B5014" s="28" t="s">
        <v>25084</v>
      </c>
      <c r="C5014" s="28" t="s">
        <v>4491</v>
      </c>
      <c r="D5014" s="28" t="s">
        <v>5945</v>
      </c>
      <c r="E5014" s="28" t="s">
        <v>18497</v>
      </c>
      <c r="F5014" s="28" t="s">
        <v>21</v>
      </c>
      <c r="G5014" s="28" t="s">
        <v>39</v>
      </c>
      <c r="H5014" s="28" t="s">
        <v>16221</v>
      </c>
      <c r="I5014" s="28" t="s">
        <v>25085</v>
      </c>
      <c r="J5014" s="28" t="s">
        <v>39</v>
      </c>
      <c r="K5014" s="28" t="s">
        <v>16223</v>
      </c>
      <c r="L5014" s="28" t="s">
        <v>16224</v>
      </c>
      <c r="M5014" s="28" t="s">
        <v>21643</v>
      </c>
      <c r="N5014" s="28" t="s">
        <v>16226</v>
      </c>
      <c r="O5014" s="28" t="s">
        <v>16227</v>
      </c>
      <c r="P5014" s="28" t="s">
        <v>22697</v>
      </c>
    </row>
    <row r="5015" spans="1:16" x14ac:dyDescent="0.25">
      <c r="A5015" s="28" t="s">
        <v>25086</v>
      </c>
      <c r="B5015" s="28" t="s">
        <v>25087</v>
      </c>
      <c r="C5015" s="28" t="s">
        <v>4491</v>
      </c>
      <c r="D5015" s="28" t="s">
        <v>5945</v>
      </c>
      <c r="E5015" s="28" t="s">
        <v>18497</v>
      </c>
      <c r="F5015" s="28" t="s">
        <v>21</v>
      </c>
      <c r="G5015" s="28" t="s">
        <v>39</v>
      </c>
      <c r="H5015" s="28" t="s">
        <v>16221</v>
      </c>
      <c r="I5015" s="28" t="s">
        <v>25088</v>
      </c>
      <c r="J5015" s="28" t="s">
        <v>39</v>
      </c>
      <c r="K5015" s="28" t="s">
        <v>16223</v>
      </c>
      <c r="L5015" s="28" t="s">
        <v>16224</v>
      </c>
      <c r="M5015" s="28" t="s">
        <v>21647</v>
      </c>
      <c r="N5015" s="28" t="s">
        <v>16226</v>
      </c>
      <c r="O5015" s="28" t="s">
        <v>16227</v>
      </c>
      <c r="P5015" s="28" t="s">
        <v>22697</v>
      </c>
    </row>
    <row r="5016" spans="1:16" x14ac:dyDescent="0.25">
      <c r="A5016" s="28" t="s">
        <v>25089</v>
      </c>
      <c r="B5016" s="28" t="s">
        <v>25090</v>
      </c>
      <c r="C5016" s="28" t="s">
        <v>4491</v>
      </c>
      <c r="D5016" s="28" t="s">
        <v>5945</v>
      </c>
      <c r="E5016" s="28" t="s">
        <v>18497</v>
      </c>
      <c r="F5016" s="28" t="s">
        <v>21</v>
      </c>
      <c r="G5016" s="28" t="s">
        <v>39</v>
      </c>
      <c r="H5016" s="28" t="s">
        <v>16221</v>
      </c>
      <c r="I5016" s="28" t="s">
        <v>25091</v>
      </c>
      <c r="J5016" s="28" t="s">
        <v>39</v>
      </c>
      <c r="K5016" s="28" t="s">
        <v>16223</v>
      </c>
      <c r="L5016" s="28" t="s">
        <v>16224</v>
      </c>
      <c r="M5016" s="28" t="s">
        <v>21651</v>
      </c>
      <c r="N5016" s="28" t="s">
        <v>16226</v>
      </c>
      <c r="O5016" s="28" t="s">
        <v>16227</v>
      </c>
      <c r="P5016" s="28" t="s">
        <v>22697</v>
      </c>
    </row>
    <row r="5017" spans="1:16" x14ac:dyDescent="0.25">
      <c r="A5017" s="28" t="s">
        <v>25092</v>
      </c>
      <c r="B5017" s="28" t="s">
        <v>25093</v>
      </c>
      <c r="C5017" s="28" t="s">
        <v>4491</v>
      </c>
      <c r="D5017" s="28" t="s">
        <v>5945</v>
      </c>
      <c r="E5017" s="28" t="s">
        <v>18497</v>
      </c>
      <c r="F5017" s="28" t="s">
        <v>21</v>
      </c>
      <c r="G5017" s="28" t="s">
        <v>39</v>
      </c>
      <c r="H5017" s="28" t="s">
        <v>16221</v>
      </c>
      <c r="I5017" s="28" t="s">
        <v>25094</v>
      </c>
      <c r="J5017" s="28" t="s">
        <v>39</v>
      </c>
      <c r="K5017" s="28" t="s">
        <v>16223</v>
      </c>
      <c r="L5017" s="28" t="s">
        <v>16224</v>
      </c>
      <c r="M5017" s="28" t="s">
        <v>21655</v>
      </c>
      <c r="N5017" s="28" t="s">
        <v>16226</v>
      </c>
      <c r="O5017" s="28" t="s">
        <v>16227</v>
      </c>
      <c r="P5017" s="28" t="s">
        <v>22697</v>
      </c>
    </row>
    <row r="5018" spans="1:16" x14ac:dyDescent="0.25">
      <c r="A5018" s="28" t="s">
        <v>25095</v>
      </c>
      <c r="B5018" s="28" t="s">
        <v>25096</v>
      </c>
      <c r="C5018" s="28" t="s">
        <v>4491</v>
      </c>
      <c r="D5018" s="28" t="s">
        <v>5956</v>
      </c>
      <c r="E5018" s="28" t="s">
        <v>21658</v>
      </c>
      <c r="F5018" s="28" t="s">
        <v>21</v>
      </c>
      <c r="G5018" s="28" t="s">
        <v>39</v>
      </c>
      <c r="H5018" s="28" t="s">
        <v>16221</v>
      </c>
      <c r="I5018" s="28" t="s">
        <v>25097</v>
      </c>
      <c r="J5018" s="28" t="s">
        <v>39</v>
      </c>
      <c r="K5018" s="28" t="s">
        <v>16223</v>
      </c>
      <c r="L5018" s="28" t="s">
        <v>16224</v>
      </c>
      <c r="M5018" s="28" t="s">
        <v>21660</v>
      </c>
      <c r="N5018" s="28" t="s">
        <v>16226</v>
      </c>
      <c r="O5018" s="28" t="s">
        <v>16227</v>
      </c>
      <c r="P5018" s="28" t="s">
        <v>25098</v>
      </c>
    </row>
    <row r="5019" spans="1:16" x14ac:dyDescent="0.25">
      <c r="A5019" s="28" t="s">
        <v>25099</v>
      </c>
      <c r="B5019" s="28" t="s">
        <v>25100</v>
      </c>
      <c r="C5019" s="28" t="s">
        <v>4491</v>
      </c>
      <c r="D5019" s="28" t="s">
        <v>5956</v>
      </c>
      <c r="E5019" s="28" t="s">
        <v>21664</v>
      </c>
      <c r="F5019" s="28" t="s">
        <v>21</v>
      </c>
      <c r="G5019" s="28" t="s">
        <v>39</v>
      </c>
      <c r="H5019" s="28" t="s">
        <v>16221</v>
      </c>
      <c r="I5019" s="28" t="s">
        <v>25101</v>
      </c>
      <c r="J5019" s="28" t="s">
        <v>39</v>
      </c>
      <c r="K5019" s="28" t="s">
        <v>16223</v>
      </c>
      <c r="L5019" s="28" t="s">
        <v>16224</v>
      </c>
      <c r="M5019" s="28" t="s">
        <v>21666</v>
      </c>
      <c r="N5019" s="28" t="s">
        <v>16226</v>
      </c>
      <c r="O5019" s="28" t="s">
        <v>16227</v>
      </c>
      <c r="P5019" s="28" t="s">
        <v>25102</v>
      </c>
    </row>
    <row r="5020" spans="1:16" x14ac:dyDescent="0.25">
      <c r="A5020" s="28" t="s">
        <v>25103</v>
      </c>
      <c r="B5020" s="28" t="s">
        <v>25104</v>
      </c>
      <c r="C5020" s="28" t="s">
        <v>4491</v>
      </c>
      <c r="D5020" s="28" t="s">
        <v>5956</v>
      </c>
      <c r="E5020" s="28" t="s">
        <v>18503</v>
      </c>
      <c r="F5020" s="28" t="s">
        <v>21</v>
      </c>
      <c r="G5020" s="28" t="s">
        <v>39</v>
      </c>
      <c r="H5020" s="28" t="s">
        <v>16221</v>
      </c>
      <c r="I5020" s="28" t="s">
        <v>25105</v>
      </c>
      <c r="J5020" s="28" t="s">
        <v>39</v>
      </c>
      <c r="K5020" s="28" t="s">
        <v>16223</v>
      </c>
      <c r="L5020" s="28" t="s">
        <v>16224</v>
      </c>
      <c r="M5020" s="28" t="s">
        <v>21671</v>
      </c>
      <c r="N5020" s="28" t="s">
        <v>16226</v>
      </c>
      <c r="O5020" s="28" t="s">
        <v>16227</v>
      </c>
      <c r="P5020" s="28" t="s">
        <v>22701</v>
      </c>
    </row>
    <row r="5021" spans="1:16" x14ac:dyDescent="0.25">
      <c r="A5021" s="28" t="s">
        <v>25106</v>
      </c>
      <c r="B5021" s="28" t="s">
        <v>25107</v>
      </c>
      <c r="C5021" s="28" t="s">
        <v>4491</v>
      </c>
      <c r="D5021" s="28" t="s">
        <v>5956</v>
      </c>
      <c r="E5021" s="28" t="s">
        <v>18503</v>
      </c>
      <c r="F5021" s="28" t="s">
        <v>21</v>
      </c>
      <c r="G5021" s="28" t="s">
        <v>39</v>
      </c>
      <c r="H5021" s="28" t="s">
        <v>16221</v>
      </c>
      <c r="I5021" s="28" t="s">
        <v>25108</v>
      </c>
      <c r="J5021" s="28" t="s">
        <v>39</v>
      </c>
      <c r="K5021" s="28" t="s">
        <v>16223</v>
      </c>
      <c r="L5021" s="28" t="s">
        <v>16224</v>
      </c>
      <c r="M5021" s="28" t="s">
        <v>21675</v>
      </c>
      <c r="N5021" s="28" t="s">
        <v>16226</v>
      </c>
      <c r="O5021" s="28" t="s">
        <v>16227</v>
      </c>
      <c r="P5021" s="28" t="s">
        <v>22701</v>
      </c>
    </row>
    <row r="5022" spans="1:16" x14ac:dyDescent="0.25">
      <c r="A5022" s="28" t="s">
        <v>25109</v>
      </c>
      <c r="B5022" s="28" t="s">
        <v>25110</v>
      </c>
      <c r="C5022" s="28" t="s">
        <v>4491</v>
      </c>
      <c r="D5022" s="28" t="s">
        <v>5956</v>
      </c>
      <c r="E5022" s="28" t="s">
        <v>18503</v>
      </c>
      <c r="F5022" s="28" t="s">
        <v>21</v>
      </c>
      <c r="G5022" s="28" t="s">
        <v>39</v>
      </c>
      <c r="H5022" s="28" t="s">
        <v>16221</v>
      </c>
      <c r="I5022" s="28" t="s">
        <v>25111</v>
      </c>
      <c r="J5022" s="28" t="s">
        <v>39</v>
      </c>
      <c r="K5022" s="28" t="s">
        <v>16223</v>
      </c>
      <c r="L5022" s="28" t="s">
        <v>16224</v>
      </c>
      <c r="M5022" s="28" t="s">
        <v>21679</v>
      </c>
      <c r="N5022" s="28" t="s">
        <v>16226</v>
      </c>
      <c r="O5022" s="28" t="s">
        <v>16227</v>
      </c>
      <c r="P5022" s="28" t="s">
        <v>22701</v>
      </c>
    </row>
    <row r="5023" spans="1:16" x14ac:dyDescent="0.25">
      <c r="A5023" s="28" t="s">
        <v>25112</v>
      </c>
      <c r="B5023" s="28" t="s">
        <v>25113</v>
      </c>
      <c r="C5023" s="28" t="s">
        <v>4491</v>
      </c>
      <c r="D5023" s="28" t="s">
        <v>5956</v>
      </c>
      <c r="E5023" s="28" t="s">
        <v>18503</v>
      </c>
      <c r="F5023" s="28" t="s">
        <v>21</v>
      </c>
      <c r="G5023" s="28" t="s">
        <v>39</v>
      </c>
      <c r="H5023" s="28" t="s">
        <v>16221</v>
      </c>
      <c r="I5023" s="28" t="s">
        <v>25114</v>
      </c>
      <c r="J5023" s="28" t="s">
        <v>39</v>
      </c>
      <c r="K5023" s="28" t="s">
        <v>16223</v>
      </c>
      <c r="L5023" s="28" t="s">
        <v>16224</v>
      </c>
      <c r="M5023" s="28" t="s">
        <v>21683</v>
      </c>
      <c r="N5023" s="28" t="s">
        <v>16226</v>
      </c>
      <c r="O5023" s="28" t="s">
        <v>16227</v>
      </c>
      <c r="P5023" s="28" t="s">
        <v>22701</v>
      </c>
    </row>
    <row r="5024" spans="1:16" x14ac:dyDescent="0.25">
      <c r="A5024" s="28" t="s">
        <v>25115</v>
      </c>
      <c r="B5024" s="28" t="s">
        <v>25116</v>
      </c>
      <c r="C5024" s="28" t="s">
        <v>4491</v>
      </c>
      <c r="D5024" s="28" t="s">
        <v>5956</v>
      </c>
      <c r="E5024" s="28" t="s">
        <v>18509</v>
      </c>
      <c r="F5024" s="28" t="s">
        <v>21</v>
      </c>
      <c r="G5024" s="28" t="s">
        <v>39</v>
      </c>
      <c r="H5024" s="28" t="s">
        <v>16221</v>
      </c>
      <c r="I5024" s="28" t="s">
        <v>25117</v>
      </c>
      <c r="J5024" s="28" t="s">
        <v>39</v>
      </c>
      <c r="K5024" s="28" t="s">
        <v>16223</v>
      </c>
      <c r="L5024" s="28" t="s">
        <v>16224</v>
      </c>
      <c r="M5024" s="28" t="s">
        <v>21687</v>
      </c>
      <c r="N5024" s="28" t="s">
        <v>16226</v>
      </c>
      <c r="O5024" s="28" t="s">
        <v>16227</v>
      </c>
      <c r="P5024" s="28" t="s">
        <v>22705</v>
      </c>
    </row>
    <row r="5025" spans="1:16" x14ac:dyDescent="0.25">
      <c r="A5025" s="28" t="s">
        <v>25118</v>
      </c>
      <c r="B5025" s="28" t="s">
        <v>25119</v>
      </c>
      <c r="C5025" s="28" t="s">
        <v>4491</v>
      </c>
      <c r="D5025" s="28" t="s">
        <v>5956</v>
      </c>
      <c r="E5025" s="28" t="s">
        <v>18509</v>
      </c>
      <c r="F5025" s="28" t="s">
        <v>21</v>
      </c>
      <c r="G5025" s="28" t="s">
        <v>39</v>
      </c>
      <c r="H5025" s="28" t="s">
        <v>16221</v>
      </c>
      <c r="I5025" s="28" t="s">
        <v>25120</v>
      </c>
      <c r="J5025" s="28" t="s">
        <v>39</v>
      </c>
      <c r="K5025" s="28" t="s">
        <v>16223</v>
      </c>
      <c r="L5025" s="28" t="s">
        <v>16224</v>
      </c>
      <c r="M5025" s="28" t="s">
        <v>21691</v>
      </c>
      <c r="N5025" s="28" t="s">
        <v>16226</v>
      </c>
      <c r="O5025" s="28" t="s">
        <v>16227</v>
      </c>
      <c r="P5025" s="28" t="s">
        <v>22705</v>
      </c>
    </row>
    <row r="5026" spans="1:16" x14ac:dyDescent="0.25">
      <c r="A5026" s="28" t="s">
        <v>25121</v>
      </c>
      <c r="B5026" s="28" t="s">
        <v>25122</v>
      </c>
      <c r="C5026" s="28" t="s">
        <v>4491</v>
      </c>
      <c r="D5026" s="28" t="s">
        <v>4341</v>
      </c>
      <c r="E5026" s="28" t="s">
        <v>4342</v>
      </c>
      <c r="F5026" s="28" t="s">
        <v>21</v>
      </c>
      <c r="G5026" s="28" t="s">
        <v>39</v>
      </c>
      <c r="H5026" s="28" t="s">
        <v>16221</v>
      </c>
      <c r="I5026" s="28" t="s">
        <v>25123</v>
      </c>
      <c r="J5026" s="28" t="s">
        <v>39</v>
      </c>
      <c r="K5026" s="28" t="s">
        <v>16223</v>
      </c>
      <c r="L5026" s="28" t="s">
        <v>16224</v>
      </c>
      <c r="M5026" s="28" t="s">
        <v>21695</v>
      </c>
      <c r="N5026" s="28" t="s">
        <v>16226</v>
      </c>
      <c r="O5026" s="28" t="s">
        <v>16227</v>
      </c>
      <c r="P5026" s="28" t="s">
        <v>25124</v>
      </c>
    </row>
    <row r="5027" spans="1:16" x14ac:dyDescent="0.25">
      <c r="A5027" s="28" t="s">
        <v>25125</v>
      </c>
      <c r="B5027" s="28" t="s">
        <v>25126</v>
      </c>
      <c r="C5027" s="28" t="s">
        <v>4491</v>
      </c>
      <c r="D5027" s="28" t="s">
        <v>4341</v>
      </c>
      <c r="E5027" s="28" t="s">
        <v>4358</v>
      </c>
      <c r="F5027" s="28" t="s">
        <v>21</v>
      </c>
      <c r="G5027" s="28" t="s">
        <v>39</v>
      </c>
      <c r="H5027" s="28" t="s">
        <v>16221</v>
      </c>
      <c r="I5027" s="28" t="s">
        <v>25127</v>
      </c>
      <c r="J5027" s="28" t="s">
        <v>39</v>
      </c>
      <c r="K5027" s="28" t="s">
        <v>16223</v>
      </c>
      <c r="L5027" s="28" t="s">
        <v>16224</v>
      </c>
      <c r="M5027" s="28" t="s">
        <v>21700</v>
      </c>
      <c r="N5027" s="28" t="s">
        <v>16226</v>
      </c>
      <c r="O5027" s="28" t="s">
        <v>16227</v>
      </c>
      <c r="P5027" s="28" t="s">
        <v>25128</v>
      </c>
    </row>
    <row r="5028" spans="1:16" x14ac:dyDescent="0.25">
      <c r="A5028" s="28" t="s">
        <v>25129</v>
      </c>
      <c r="B5028" s="28" t="s">
        <v>25130</v>
      </c>
      <c r="C5028" s="28" t="s">
        <v>4491</v>
      </c>
      <c r="D5028" s="28" t="s">
        <v>4341</v>
      </c>
      <c r="E5028" s="28" t="s">
        <v>4371</v>
      </c>
      <c r="F5028" s="28" t="s">
        <v>21</v>
      </c>
      <c r="G5028" s="28" t="s">
        <v>39</v>
      </c>
      <c r="H5028" s="28" t="s">
        <v>16221</v>
      </c>
      <c r="I5028" s="28" t="s">
        <v>25131</v>
      </c>
      <c r="J5028" s="28" t="s">
        <v>39</v>
      </c>
      <c r="K5028" s="28" t="s">
        <v>16223</v>
      </c>
      <c r="L5028" s="28" t="s">
        <v>16224</v>
      </c>
      <c r="M5028" s="28" t="s">
        <v>21705</v>
      </c>
      <c r="N5028" s="28" t="s">
        <v>16226</v>
      </c>
      <c r="O5028" s="28" t="s">
        <v>16227</v>
      </c>
      <c r="P5028" s="28" t="s">
        <v>25132</v>
      </c>
    </row>
    <row r="5029" spans="1:16" x14ac:dyDescent="0.25">
      <c r="A5029" s="28" t="s">
        <v>25133</v>
      </c>
      <c r="B5029" s="28" t="s">
        <v>25134</v>
      </c>
      <c r="C5029" s="28" t="s">
        <v>4491</v>
      </c>
      <c r="D5029" s="28" t="s">
        <v>4341</v>
      </c>
      <c r="E5029" s="28" t="s">
        <v>4384</v>
      </c>
      <c r="F5029" s="28" t="s">
        <v>21</v>
      </c>
      <c r="G5029" s="28" t="s">
        <v>39</v>
      </c>
      <c r="H5029" s="28" t="s">
        <v>16221</v>
      </c>
      <c r="I5029" s="28" t="s">
        <v>25135</v>
      </c>
      <c r="J5029" s="28" t="s">
        <v>39</v>
      </c>
      <c r="K5029" s="28" t="s">
        <v>16223</v>
      </c>
      <c r="L5029" s="28" t="s">
        <v>16224</v>
      </c>
      <c r="M5029" s="28" t="s">
        <v>21710</v>
      </c>
      <c r="N5029" s="28" t="s">
        <v>16226</v>
      </c>
      <c r="O5029" s="28" t="s">
        <v>16227</v>
      </c>
      <c r="P5029" s="28" t="s">
        <v>25136</v>
      </c>
    </row>
    <row r="5030" spans="1:16" x14ac:dyDescent="0.25">
      <c r="A5030" s="28" t="s">
        <v>25137</v>
      </c>
      <c r="B5030" s="28" t="s">
        <v>25138</v>
      </c>
      <c r="C5030" s="28" t="s">
        <v>4491</v>
      </c>
      <c r="D5030" s="28" t="s">
        <v>4341</v>
      </c>
      <c r="E5030" s="28" t="s">
        <v>4397</v>
      </c>
      <c r="F5030" s="28" t="s">
        <v>21</v>
      </c>
      <c r="G5030" s="28" t="s">
        <v>39</v>
      </c>
      <c r="H5030" s="28" t="s">
        <v>16221</v>
      </c>
      <c r="I5030" s="28" t="s">
        <v>25139</v>
      </c>
      <c r="J5030" s="28" t="s">
        <v>39</v>
      </c>
      <c r="K5030" s="28" t="s">
        <v>16223</v>
      </c>
      <c r="L5030" s="28" t="s">
        <v>16224</v>
      </c>
      <c r="M5030" s="28" t="s">
        <v>21715</v>
      </c>
      <c r="N5030" s="28" t="s">
        <v>16226</v>
      </c>
      <c r="O5030" s="28" t="s">
        <v>16227</v>
      </c>
      <c r="P5030" s="28" t="s">
        <v>25140</v>
      </c>
    </row>
    <row r="5031" spans="1:16" x14ac:dyDescent="0.25">
      <c r="A5031" s="28" t="s">
        <v>25141</v>
      </c>
      <c r="B5031" s="28" t="s">
        <v>25142</v>
      </c>
      <c r="C5031" s="28" t="s">
        <v>25143</v>
      </c>
      <c r="D5031" s="28" t="s">
        <v>4848</v>
      </c>
      <c r="E5031" s="28" t="s">
        <v>4849</v>
      </c>
      <c r="F5031" s="28" t="s">
        <v>21</v>
      </c>
      <c r="G5031" s="28" t="s">
        <v>39</v>
      </c>
      <c r="H5031" s="28" t="s">
        <v>16221</v>
      </c>
      <c r="I5031" s="28" t="s">
        <v>25144</v>
      </c>
      <c r="J5031" s="28" t="s">
        <v>39</v>
      </c>
      <c r="K5031" s="28" t="s">
        <v>16223</v>
      </c>
      <c r="L5031" s="28" t="s">
        <v>16224</v>
      </c>
      <c r="M5031" s="28" t="s">
        <v>25145</v>
      </c>
      <c r="N5031" s="28" t="s">
        <v>16226</v>
      </c>
      <c r="O5031" s="28" t="s">
        <v>16227</v>
      </c>
      <c r="P5031" s="28" t="s">
        <v>25146</v>
      </c>
    </row>
    <row r="5032" spans="1:16" x14ac:dyDescent="0.25">
      <c r="A5032" s="28" t="s">
        <v>25147</v>
      </c>
      <c r="B5032" s="28" t="s">
        <v>25148</v>
      </c>
      <c r="C5032" s="28" t="s">
        <v>25143</v>
      </c>
      <c r="D5032" s="28" t="s">
        <v>4848</v>
      </c>
      <c r="E5032" s="28" t="s">
        <v>4849</v>
      </c>
      <c r="F5032" s="28" t="s">
        <v>21</v>
      </c>
      <c r="G5032" s="28" t="s">
        <v>39</v>
      </c>
      <c r="H5032" s="28" t="s">
        <v>16221</v>
      </c>
      <c r="I5032" s="28" t="s">
        <v>25149</v>
      </c>
      <c r="J5032" s="28" t="s">
        <v>39</v>
      </c>
      <c r="K5032" s="28" t="s">
        <v>16223</v>
      </c>
      <c r="L5032" s="28" t="s">
        <v>16224</v>
      </c>
      <c r="M5032" s="28" t="s">
        <v>25150</v>
      </c>
      <c r="N5032" s="28" t="s">
        <v>16226</v>
      </c>
      <c r="O5032" s="28" t="s">
        <v>16227</v>
      </c>
      <c r="P5032" s="28" t="s">
        <v>25146</v>
      </c>
    </row>
    <row r="5033" spans="1:16" x14ac:dyDescent="0.25">
      <c r="A5033" s="28" t="s">
        <v>25151</v>
      </c>
      <c r="B5033" s="28" t="s">
        <v>25152</v>
      </c>
      <c r="C5033" s="28" t="s">
        <v>25143</v>
      </c>
      <c r="D5033" s="28" t="s">
        <v>4848</v>
      </c>
      <c r="E5033" s="28" t="s">
        <v>4849</v>
      </c>
      <c r="F5033" s="28" t="s">
        <v>21</v>
      </c>
      <c r="G5033" s="28" t="s">
        <v>39</v>
      </c>
      <c r="H5033" s="28" t="s">
        <v>16221</v>
      </c>
      <c r="I5033" s="28" t="s">
        <v>25153</v>
      </c>
      <c r="J5033" s="28" t="s">
        <v>39</v>
      </c>
      <c r="K5033" s="28" t="s">
        <v>16223</v>
      </c>
      <c r="L5033" s="28" t="s">
        <v>16224</v>
      </c>
      <c r="M5033" s="28" t="s">
        <v>25154</v>
      </c>
      <c r="N5033" s="28" t="s">
        <v>16226</v>
      </c>
      <c r="O5033" s="28" t="s">
        <v>16227</v>
      </c>
      <c r="P5033" s="28" t="s">
        <v>25146</v>
      </c>
    </row>
    <row r="5034" spans="1:16" x14ac:dyDescent="0.25">
      <c r="A5034" s="28" t="s">
        <v>25155</v>
      </c>
      <c r="B5034" s="28" t="s">
        <v>25156</v>
      </c>
      <c r="C5034" s="28" t="s">
        <v>25143</v>
      </c>
      <c r="D5034" s="28" t="s">
        <v>1478</v>
      </c>
      <c r="E5034" s="28" t="s">
        <v>4869</v>
      </c>
      <c r="F5034" s="28" t="s">
        <v>21</v>
      </c>
      <c r="G5034" s="28" t="s">
        <v>39</v>
      </c>
      <c r="H5034" s="28" t="s">
        <v>16221</v>
      </c>
      <c r="I5034" s="28" t="s">
        <v>25157</v>
      </c>
      <c r="J5034" s="28" t="s">
        <v>39</v>
      </c>
      <c r="K5034" s="28" t="s">
        <v>16223</v>
      </c>
      <c r="L5034" s="28" t="s">
        <v>16224</v>
      </c>
      <c r="M5034" s="28" t="s">
        <v>25158</v>
      </c>
      <c r="N5034" s="28" t="s">
        <v>16226</v>
      </c>
      <c r="O5034" s="28" t="s">
        <v>16227</v>
      </c>
      <c r="P5034" s="28" t="s">
        <v>25159</v>
      </c>
    </row>
    <row r="5035" spans="1:16" x14ac:dyDescent="0.25">
      <c r="A5035" s="28" t="s">
        <v>25160</v>
      </c>
      <c r="B5035" s="28" t="s">
        <v>25161</v>
      </c>
      <c r="C5035" s="28" t="s">
        <v>25143</v>
      </c>
      <c r="D5035" s="28" t="s">
        <v>1478</v>
      </c>
      <c r="E5035" s="28" t="s">
        <v>4869</v>
      </c>
      <c r="F5035" s="28" t="s">
        <v>21</v>
      </c>
      <c r="G5035" s="28" t="s">
        <v>39</v>
      </c>
      <c r="H5035" s="28" t="s">
        <v>16221</v>
      </c>
      <c r="I5035" s="28" t="s">
        <v>25162</v>
      </c>
      <c r="J5035" s="28" t="s">
        <v>39</v>
      </c>
      <c r="K5035" s="28" t="s">
        <v>16223</v>
      </c>
      <c r="L5035" s="28" t="s">
        <v>16224</v>
      </c>
      <c r="M5035" s="28" t="s">
        <v>25163</v>
      </c>
      <c r="N5035" s="28" t="s">
        <v>16226</v>
      </c>
      <c r="O5035" s="28" t="s">
        <v>16227</v>
      </c>
      <c r="P5035" s="28" t="s">
        <v>25159</v>
      </c>
    </row>
    <row r="5036" spans="1:16" x14ac:dyDescent="0.25">
      <c r="A5036" s="28" t="s">
        <v>25164</v>
      </c>
      <c r="B5036" s="28" t="s">
        <v>25165</v>
      </c>
      <c r="C5036" s="28" t="s">
        <v>25143</v>
      </c>
      <c r="D5036" s="28" t="s">
        <v>19</v>
      </c>
      <c r="E5036" s="28" t="s">
        <v>170</v>
      </c>
      <c r="F5036" s="28" t="s">
        <v>21</v>
      </c>
      <c r="G5036" s="28" t="s">
        <v>149</v>
      </c>
      <c r="H5036" s="28" t="s">
        <v>16221</v>
      </c>
      <c r="I5036" s="28" t="s">
        <v>25166</v>
      </c>
      <c r="J5036" s="28" t="s">
        <v>149</v>
      </c>
      <c r="K5036" s="28" t="s">
        <v>17201</v>
      </c>
      <c r="L5036" s="28" t="s">
        <v>16224</v>
      </c>
      <c r="M5036" s="28" t="s">
        <v>25167</v>
      </c>
      <c r="N5036" s="28" t="s">
        <v>16226</v>
      </c>
      <c r="O5036" s="28" t="s">
        <v>16227</v>
      </c>
      <c r="P5036" s="28" t="s">
        <v>25168</v>
      </c>
    </row>
    <row r="5037" spans="1:16" x14ac:dyDescent="0.25">
      <c r="A5037" s="28" t="s">
        <v>25169</v>
      </c>
      <c r="B5037" s="28" t="s">
        <v>25170</v>
      </c>
      <c r="C5037" s="28" t="s">
        <v>25143</v>
      </c>
      <c r="D5037" s="28" t="s">
        <v>19</v>
      </c>
      <c r="E5037" s="28" t="s">
        <v>170</v>
      </c>
      <c r="F5037" s="28" t="s">
        <v>21</v>
      </c>
      <c r="G5037" s="28" t="s">
        <v>149</v>
      </c>
      <c r="H5037" s="28" t="s">
        <v>16221</v>
      </c>
      <c r="I5037" s="28" t="s">
        <v>25171</v>
      </c>
      <c r="J5037" s="28" t="s">
        <v>149</v>
      </c>
      <c r="K5037" s="28" t="s">
        <v>17201</v>
      </c>
      <c r="L5037" s="28" t="s">
        <v>16224</v>
      </c>
      <c r="M5037" s="28" t="s">
        <v>25172</v>
      </c>
      <c r="N5037" s="28" t="s">
        <v>16226</v>
      </c>
      <c r="O5037" s="28" t="s">
        <v>16227</v>
      </c>
      <c r="P5037" s="28" t="s">
        <v>25168</v>
      </c>
    </row>
    <row r="5038" spans="1:16" x14ac:dyDescent="0.25">
      <c r="A5038" s="28" t="s">
        <v>25173</v>
      </c>
      <c r="B5038" s="28" t="s">
        <v>25174</v>
      </c>
      <c r="C5038" s="28" t="s">
        <v>25143</v>
      </c>
      <c r="D5038" s="28" t="s">
        <v>19</v>
      </c>
      <c r="E5038" s="28" t="s">
        <v>4896</v>
      </c>
      <c r="F5038" s="28" t="s">
        <v>21</v>
      </c>
      <c r="G5038" s="28" t="s">
        <v>149</v>
      </c>
      <c r="H5038" s="28" t="s">
        <v>16221</v>
      </c>
      <c r="I5038" s="28" t="s">
        <v>25175</v>
      </c>
      <c r="J5038" s="28" t="s">
        <v>149</v>
      </c>
      <c r="K5038" s="28" t="s">
        <v>17201</v>
      </c>
      <c r="L5038" s="28" t="s">
        <v>16224</v>
      </c>
      <c r="M5038" s="28" t="s">
        <v>25176</v>
      </c>
      <c r="N5038" s="28" t="s">
        <v>16226</v>
      </c>
      <c r="O5038" s="28" t="s">
        <v>16227</v>
      </c>
      <c r="P5038" s="28" t="s">
        <v>25177</v>
      </c>
    </row>
    <row r="5039" spans="1:16" x14ac:dyDescent="0.25">
      <c r="A5039" s="28" t="s">
        <v>25178</v>
      </c>
      <c r="B5039" s="28" t="s">
        <v>25179</v>
      </c>
      <c r="C5039" s="28" t="s">
        <v>25143</v>
      </c>
      <c r="D5039" s="28" t="s">
        <v>19</v>
      </c>
      <c r="E5039" s="28" t="s">
        <v>4896</v>
      </c>
      <c r="F5039" s="28" t="s">
        <v>21</v>
      </c>
      <c r="G5039" s="28" t="s">
        <v>149</v>
      </c>
      <c r="H5039" s="28" t="s">
        <v>16221</v>
      </c>
      <c r="I5039" s="28" t="s">
        <v>25180</v>
      </c>
      <c r="J5039" s="28" t="s">
        <v>149</v>
      </c>
      <c r="K5039" s="28" t="s">
        <v>17201</v>
      </c>
      <c r="L5039" s="28" t="s">
        <v>16224</v>
      </c>
      <c r="M5039" s="28" t="s">
        <v>25181</v>
      </c>
      <c r="N5039" s="28" t="s">
        <v>16226</v>
      </c>
      <c r="O5039" s="28" t="s">
        <v>16227</v>
      </c>
      <c r="P5039" s="28" t="s">
        <v>25177</v>
      </c>
    </row>
    <row r="5040" spans="1:16" x14ac:dyDescent="0.25">
      <c r="A5040" s="28" t="s">
        <v>25182</v>
      </c>
      <c r="B5040" s="28" t="s">
        <v>25183</v>
      </c>
      <c r="C5040" s="28" t="s">
        <v>25143</v>
      </c>
      <c r="D5040" s="28" t="s">
        <v>19</v>
      </c>
      <c r="E5040" s="28" t="s">
        <v>4896</v>
      </c>
      <c r="F5040" s="28" t="s">
        <v>21</v>
      </c>
      <c r="G5040" s="28" t="s">
        <v>149</v>
      </c>
      <c r="H5040" s="28" t="s">
        <v>16221</v>
      </c>
      <c r="I5040" s="28" t="s">
        <v>25184</v>
      </c>
      <c r="J5040" s="28" t="s">
        <v>149</v>
      </c>
      <c r="K5040" s="28" t="s">
        <v>17201</v>
      </c>
      <c r="L5040" s="28" t="s">
        <v>16224</v>
      </c>
      <c r="M5040" s="28" t="s">
        <v>25185</v>
      </c>
      <c r="N5040" s="28" t="s">
        <v>16226</v>
      </c>
      <c r="O5040" s="28" t="s">
        <v>16227</v>
      </c>
      <c r="P5040" s="28" t="s">
        <v>25177</v>
      </c>
    </row>
    <row r="5041" spans="1:16" x14ac:dyDescent="0.25">
      <c r="A5041" s="28" t="s">
        <v>25186</v>
      </c>
      <c r="B5041" s="28" t="s">
        <v>25187</v>
      </c>
      <c r="C5041" s="28" t="s">
        <v>25143</v>
      </c>
      <c r="D5041" s="28" t="s">
        <v>19</v>
      </c>
      <c r="E5041" s="28" t="s">
        <v>4896</v>
      </c>
      <c r="F5041" s="28" t="s">
        <v>21</v>
      </c>
      <c r="G5041" s="28" t="s">
        <v>149</v>
      </c>
      <c r="H5041" s="28" t="s">
        <v>16221</v>
      </c>
      <c r="I5041" s="28" t="s">
        <v>25188</v>
      </c>
      <c r="J5041" s="28" t="s">
        <v>149</v>
      </c>
      <c r="K5041" s="28" t="s">
        <v>17201</v>
      </c>
      <c r="L5041" s="28" t="s">
        <v>16224</v>
      </c>
      <c r="M5041" s="28" t="s">
        <v>25189</v>
      </c>
      <c r="N5041" s="28" t="s">
        <v>16226</v>
      </c>
      <c r="O5041" s="28" t="s">
        <v>16227</v>
      </c>
      <c r="P5041" s="28" t="s">
        <v>25177</v>
      </c>
    </row>
    <row r="5042" spans="1:16" x14ac:dyDescent="0.25">
      <c r="A5042" s="28" t="s">
        <v>25190</v>
      </c>
      <c r="B5042" s="28" t="s">
        <v>25191</v>
      </c>
      <c r="C5042" s="28" t="s">
        <v>25143</v>
      </c>
      <c r="D5042" s="28" t="s">
        <v>19</v>
      </c>
      <c r="E5042" s="28" t="s">
        <v>4896</v>
      </c>
      <c r="F5042" s="28" t="s">
        <v>21</v>
      </c>
      <c r="G5042" s="28" t="s">
        <v>149</v>
      </c>
      <c r="H5042" s="28" t="s">
        <v>16221</v>
      </c>
      <c r="I5042" s="28" t="s">
        <v>25192</v>
      </c>
      <c r="J5042" s="28" t="s">
        <v>149</v>
      </c>
      <c r="K5042" s="28" t="s">
        <v>17201</v>
      </c>
      <c r="L5042" s="28" t="s">
        <v>16224</v>
      </c>
      <c r="M5042" s="28" t="s">
        <v>25193</v>
      </c>
      <c r="N5042" s="28" t="s">
        <v>16226</v>
      </c>
      <c r="O5042" s="28" t="s">
        <v>16227</v>
      </c>
      <c r="P5042" s="28" t="s">
        <v>25177</v>
      </c>
    </row>
    <row r="5043" spans="1:16" x14ac:dyDescent="0.25">
      <c r="A5043" s="28" t="s">
        <v>25194</v>
      </c>
      <c r="B5043" s="28" t="s">
        <v>25195</v>
      </c>
      <c r="C5043" s="28" t="s">
        <v>25143</v>
      </c>
      <c r="D5043" s="28" t="s">
        <v>4101</v>
      </c>
      <c r="E5043" s="28" t="s">
        <v>4917</v>
      </c>
      <c r="F5043" s="28" t="s">
        <v>21</v>
      </c>
      <c r="G5043" s="28" t="s">
        <v>39</v>
      </c>
      <c r="H5043" s="28" t="s">
        <v>16221</v>
      </c>
      <c r="I5043" s="28" t="s">
        <v>25196</v>
      </c>
      <c r="J5043" s="28" t="s">
        <v>39</v>
      </c>
      <c r="K5043" s="28" t="s">
        <v>16223</v>
      </c>
      <c r="L5043" s="28" t="s">
        <v>16224</v>
      </c>
      <c r="M5043" s="28" t="s">
        <v>25197</v>
      </c>
      <c r="N5043" s="28" t="s">
        <v>16226</v>
      </c>
      <c r="O5043" s="28" t="s">
        <v>16227</v>
      </c>
      <c r="P5043" s="28" t="s">
        <v>25198</v>
      </c>
    </row>
    <row r="5044" spans="1:16" x14ac:dyDescent="0.25">
      <c r="A5044" s="28" t="s">
        <v>25199</v>
      </c>
      <c r="B5044" s="28" t="s">
        <v>25200</v>
      </c>
      <c r="C5044" s="28" t="s">
        <v>25143</v>
      </c>
      <c r="D5044" s="28" t="s">
        <v>101</v>
      </c>
      <c r="E5044" s="28" t="s">
        <v>4927</v>
      </c>
      <c r="F5044" s="28" t="s">
        <v>21</v>
      </c>
      <c r="G5044" s="28" t="s">
        <v>39</v>
      </c>
      <c r="H5044" s="28" t="s">
        <v>16221</v>
      </c>
      <c r="I5044" s="28" t="s">
        <v>25201</v>
      </c>
      <c r="J5044" s="28" t="s">
        <v>39</v>
      </c>
      <c r="K5044" s="28" t="s">
        <v>16223</v>
      </c>
      <c r="L5044" s="28" t="s">
        <v>16224</v>
      </c>
      <c r="M5044" s="28" t="s">
        <v>25202</v>
      </c>
      <c r="N5044" s="28" t="s">
        <v>16226</v>
      </c>
      <c r="O5044" s="28" t="s">
        <v>16227</v>
      </c>
      <c r="P5044" s="28" t="s">
        <v>25203</v>
      </c>
    </row>
    <row r="5045" spans="1:16" x14ac:dyDescent="0.25">
      <c r="A5045" s="28" t="s">
        <v>25204</v>
      </c>
      <c r="B5045" s="28" t="s">
        <v>25205</v>
      </c>
      <c r="C5045" s="28" t="s">
        <v>25143</v>
      </c>
      <c r="D5045" s="28" t="s">
        <v>101</v>
      </c>
      <c r="E5045" s="28" t="s">
        <v>4927</v>
      </c>
      <c r="F5045" s="28" t="s">
        <v>21</v>
      </c>
      <c r="G5045" s="28" t="s">
        <v>39</v>
      </c>
      <c r="H5045" s="28" t="s">
        <v>16221</v>
      </c>
      <c r="I5045" s="28" t="s">
        <v>25206</v>
      </c>
      <c r="J5045" s="28" t="s">
        <v>39</v>
      </c>
      <c r="K5045" s="28" t="s">
        <v>16223</v>
      </c>
      <c r="L5045" s="28" t="s">
        <v>16224</v>
      </c>
      <c r="M5045" s="28" t="s">
        <v>25207</v>
      </c>
      <c r="N5045" s="28" t="s">
        <v>16226</v>
      </c>
      <c r="O5045" s="28" t="s">
        <v>16227</v>
      </c>
      <c r="P5045" s="28" t="s">
        <v>25203</v>
      </c>
    </row>
    <row r="5046" spans="1:16" x14ac:dyDescent="0.25">
      <c r="A5046" s="28" t="s">
        <v>25208</v>
      </c>
      <c r="B5046" s="28" t="s">
        <v>25209</v>
      </c>
      <c r="C5046" s="28" t="s">
        <v>25143</v>
      </c>
      <c r="D5046" s="28" t="s">
        <v>101</v>
      </c>
      <c r="E5046" s="28" t="s">
        <v>4927</v>
      </c>
      <c r="F5046" s="28" t="s">
        <v>21</v>
      </c>
      <c r="G5046" s="28" t="s">
        <v>39</v>
      </c>
      <c r="H5046" s="28" t="s">
        <v>16221</v>
      </c>
      <c r="I5046" s="28" t="s">
        <v>25210</v>
      </c>
      <c r="J5046" s="28" t="s">
        <v>39</v>
      </c>
      <c r="K5046" s="28" t="s">
        <v>16223</v>
      </c>
      <c r="L5046" s="28" t="s">
        <v>16224</v>
      </c>
      <c r="M5046" s="28" t="s">
        <v>25211</v>
      </c>
      <c r="N5046" s="28" t="s">
        <v>16226</v>
      </c>
      <c r="O5046" s="28" t="s">
        <v>16227</v>
      </c>
      <c r="P5046" s="28" t="s">
        <v>25203</v>
      </c>
    </row>
    <row r="5047" spans="1:16" x14ac:dyDescent="0.25">
      <c r="A5047" s="28" t="s">
        <v>25212</v>
      </c>
      <c r="B5047" s="28" t="s">
        <v>25213</v>
      </c>
      <c r="C5047" s="28" t="s">
        <v>25143</v>
      </c>
      <c r="D5047" s="28" t="s">
        <v>101</v>
      </c>
      <c r="E5047" s="28" t="s">
        <v>4927</v>
      </c>
      <c r="F5047" s="28" t="s">
        <v>21</v>
      </c>
      <c r="G5047" s="28" t="s">
        <v>39</v>
      </c>
      <c r="H5047" s="28" t="s">
        <v>16221</v>
      </c>
      <c r="I5047" s="28" t="s">
        <v>25214</v>
      </c>
      <c r="J5047" s="28" t="s">
        <v>39</v>
      </c>
      <c r="K5047" s="28" t="s">
        <v>16223</v>
      </c>
      <c r="L5047" s="28" t="s">
        <v>16224</v>
      </c>
      <c r="M5047" s="28" t="s">
        <v>25215</v>
      </c>
      <c r="N5047" s="28" t="s">
        <v>16226</v>
      </c>
      <c r="O5047" s="28" t="s">
        <v>16227</v>
      </c>
      <c r="P5047" s="28" t="s">
        <v>25203</v>
      </c>
    </row>
    <row r="5048" spans="1:16" x14ac:dyDescent="0.25">
      <c r="A5048" s="28" t="s">
        <v>25216</v>
      </c>
      <c r="B5048" s="28" t="s">
        <v>25217</v>
      </c>
      <c r="C5048" s="28" t="s">
        <v>25143</v>
      </c>
      <c r="D5048" s="28" t="s">
        <v>101</v>
      </c>
      <c r="E5048" s="28" t="s">
        <v>4927</v>
      </c>
      <c r="F5048" s="28" t="s">
        <v>21</v>
      </c>
      <c r="G5048" s="28" t="s">
        <v>39</v>
      </c>
      <c r="H5048" s="28" t="s">
        <v>16221</v>
      </c>
      <c r="I5048" s="28" t="s">
        <v>25218</v>
      </c>
      <c r="J5048" s="28" t="s">
        <v>39</v>
      </c>
      <c r="K5048" s="28" t="s">
        <v>16223</v>
      </c>
      <c r="L5048" s="28" t="s">
        <v>16224</v>
      </c>
      <c r="M5048" s="28" t="s">
        <v>25219</v>
      </c>
      <c r="N5048" s="28" t="s">
        <v>16226</v>
      </c>
      <c r="O5048" s="28" t="s">
        <v>16227</v>
      </c>
      <c r="P5048" s="28" t="s">
        <v>25203</v>
      </c>
    </row>
    <row r="5049" spans="1:16" x14ac:dyDescent="0.25">
      <c r="A5049" s="28" t="s">
        <v>25220</v>
      </c>
      <c r="B5049" s="28" t="s">
        <v>25221</v>
      </c>
      <c r="C5049" s="28" t="s">
        <v>25143</v>
      </c>
      <c r="D5049" s="28" t="s">
        <v>101</v>
      </c>
      <c r="E5049" s="28" t="s">
        <v>4927</v>
      </c>
      <c r="F5049" s="28" t="s">
        <v>21</v>
      </c>
      <c r="G5049" s="28" t="s">
        <v>39</v>
      </c>
      <c r="H5049" s="28" t="s">
        <v>16221</v>
      </c>
      <c r="I5049" s="28" t="s">
        <v>25222</v>
      </c>
      <c r="J5049" s="28" t="s">
        <v>39</v>
      </c>
      <c r="K5049" s="28" t="s">
        <v>16223</v>
      </c>
      <c r="L5049" s="28" t="s">
        <v>16224</v>
      </c>
      <c r="M5049" s="28" t="s">
        <v>25223</v>
      </c>
      <c r="N5049" s="28" t="s">
        <v>16226</v>
      </c>
      <c r="O5049" s="28" t="s">
        <v>16227</v>
      </c>
      <c r="P5049" s="28" t="s">
        <v>25203</v>
      </c>
    </row>
    <row r="5050" spans="1:16" x14ac:dyDescent="0.25">
      <c r="A5050" s="28" t="s">
        <v>25224</v>
      </c>
      <c r="B5050" s="28" t="s">
        <v>25225</v>
      </c>
      <c r="C5050" s="28" t="s">
        <v>25143</v>
      </c>
      <c r="D5050" s="28" t="s">
        <v>101</v>
      </c>
      <c r="E5050" s="28" t="s">
        <v>4927</v>
      </c>
      <c r="F5050" s="28" t="s">
        <v>21</v>
      </c>
      <c r="G5050" s="28" t="s">
        <v>39</v>
      </c>
      <c r="H5050" s="28" t="s">
        <v>16221</v>
      </c>
      <c r="I5050" s="28" t="s">
        <v>25226</v>
      </c>
      <c r="J5050" s="28" t="s">
        <v>39</v>
      </c>
      <c r="K5050" s="28" t="s">
        <v>16223</v>
      </c>
      <c r="L5050" s="28" t="s">
        <v>16224</v>
      </c>
      <c r="M5050" s="28" t="s">
        <v>25227</v>
      </c>
      <c r="N5050" s="28" t="s">
        <v>16226</v>
      </c>
      <c r="O5050" s="28" t="s">
        <v>16227</v>
      </c>
      <c r="P5050" s="28" t="s">
        <v>25203</v>
      </c>
    </row>
    <row r="5051" spans="1:16" x14ac:dyDescent="0.25">
      <c r="A5051" s="28" t="s">
        <v>25228</v>
      </c>
      <c r="B5051" s="28" t="s">
        <v>25229</v>
      </c>
      <c r="C5051" s="28" t="s">
        <v>25143</v>
      </c>
      <c r="D5051" s="28" t="s">
        <v>101</v>
      </c>
      <c r="E5051" s="28" t="s">
        <v>4927</v>
      </c>
      <c r="F5051" s="28" t="s">
        <v>21</v>
      </c>
      <c r="G5051" s="28" t="s">
        <v>39</v>
      </c>
      <c r="H5051" s="28" t="s">
        <v>16221</v>
      </c>
      <c r="I5051" s="28" t="s">
        <v>25230</v>
      </c>
      <c r="J5051" s="28" t="s">
        <v>39</v>
      </c>
      <c r="K5051" s="28" t="s">
        <v>16223</v>
      </c>
      <c r="L5051" s="28" t="s">
        <v>16224</v>
      </c>
      <c r="M5051" s="28" t="s">
        <v>25231</v>
      </c>
      <c r="N5051" s="28" t="s">
        <v>16226</v>
      </c>
      <c r="O5051" s="28" t="s">
        <v>16227</v>
      </c>
      <c r="P5051" s="28" t="s">
        <v>25203</v>
      </c>
    </row>
    <row r="5052" spans="1:16" x14ac:dyDescent="0.25">
      <c r="A5052" s="28" t="s">
        <v>25232</v>
      </c>
      <c r="B5052" s="28" t="s">
        <v>25233</v>
      </c>
      <c r="C5052" s="28" t="s">
        <v>25143</v>
      </c>
      <c r="D5052" s="28" t="s">
        <v>101</v>
      </c>
      <c r="E5052" s="28" t="s">
        <v>4161</v>
      </c>
      <c r="F5052" s="28" t="s">
        <v>21</v>
      </c>
      <c r="G5052" s="28" t="s">
        <v>39</v>
      </c>
      <c r="H5052" s="28" t="s">
        <v>16221</v>
      </c>
      <c r="I5052" s="28" t="s">
        <v>25234</v>
      </c>
      <c r="J5052" s="28" t="s">
        <v>39</v>
      </c>
      <c r="K5052" s="28" t="s">
        <v>16223</v>
      </c>
      <c r="L5052" s="28" t="s">
        <v>16224</v>
      </c>
      <c r="M5052" s="28" t="s">
        <v>25235</v>
      </c>
      <c r="N5052" s="28" t="s">
        <v>16226</v>
      </c>
      <c r="O5052" s="28" t="s">
        <v>16227</v>
      </c>
      <c r="P5052" s="28" t="s">
        <v>25236</v>
      </c>
    </row>
    <row r="5053" spans="1:16" x14ac:dyDescent="0.25">
      <c r="A5053" s="28" t="s">
        <v>25237</v>
      </c>
      <c r="B5053" s="28" t="s">
        <v>25238</v>
      </c>
      <c r="C5053" s="28" t="s">
        <v>25239</v>
      </c>
      <c r="D5053" s="28" t="s">
        <v>7132</v>
      </c>
      <c r="E5053" s="28" t="s">
        <v>18544</v>
      </c>
      <c r="F5053" s="28" t="s">
        <v>21</v>
      </c>
      <c r="G5053" s="28" t="s">
        <v>149</v>
      </c>
      <c r="H5053" s="28" t="s">
        <v>16221</v>
      </c>
      <c r="I5053" s="28" t="s">
        <v>25240</v>
      </c>
      <c r="J5053" s="28" t="s">
        <v>149</v>
      </c>
      <c r="K5053" s="28" t="s">
        <v>17201</v>
      </c>
      <c r="L5053" s="28" t="s">
        <v>16224</v>
      </c>
      <c r="M5053" s="28" t="s">
        <v>18546</v>
      </c>
      <c r="N5053" s="28" t="s">
        <v>16226</v>
      </c>
      <c r="O5053" s="28" t="s">
        <v>16227</v>
      </c>
      <c r="P5053" s="28" t="s">
        <v>25241</v>
      </c>
    </row>
    <row r="5054" spans="1:16" x14ac:dyDescent="0.25">
      <c r="A5054" s="28" t="s">
        <v>25242</v>
      </c>
      <c r="B5054" s="28" t="s">
        <v>25243</v>
      </c>
      <c r="C5054" s="28" t="s">
        <v>25239</v>
      </c>
      <c r="D5054" s="28" t="s">
        <v>7132</v>
      </c>
      <c r="E5054" s="28" t="s">
        <v>18544</v>
      </c>
      <c r="F5054" s="28" t="s">
        <v>21</v>
      </c>
      <c r="G5054" s="28" t="s">
        <v>39</v>
      </c>
      <c r="H5054" s="28" t="s">
        <v>16221</v>
      </c>
      <c r="I5054" s="28" t="s">
        <v>25244</v>
      </c>
      <c r="J5054" s="28" t="s">
        <v>39</v>
      </c>
      <c r="K5054" s="28" t="s">
        <v>16223</v>
      </c>
      <c r="L5054" s="28" t="s">
        <v>16224</v>
      </c>
      <c r="M5054" s="28" t="s">
        <v>18551</v>
      </c>
      <c r="N5054" s="28" t="s">
        <v>16226</v>
      </c>
      <c r="O5054" s="28" t="s">
        <v>16227</v>
      </c>
      <c r="P5054" s="28" t="s">
        <v>25241</v>
      </c>
    </row>
    <row r="5055" spans="1:16" x14ac:dyDescent="0.25">
      <c r="A5055" s="28" t="s">
        <v>25245</v>
      </c>
      <c r="B5055" s="28" t="s">
        <v>25246</v>
      </c>
      <c r="C5055" s="28" t="s">
        <v>25239</v>
      </c>
      <c r="D5055" s="28" t="s">
        <v>7132</v>
      </c>
      <c r="E5055" s="28" t="s">
        <v>16244</v>
      </c>
      <c r="F5055" s="28" t="s">
        <v>21</v>
      </c>
      <c r="G5055" s="28" t="s">
        <v>39</v>
      </c>
      <c r="H5055" s="28" t="s">
        <v>16221</v>
      </c>
      <c r="I5055" s="28" t="s">
        <v>25247</v>
      </c>
      <c r="J5055" s="28" t="s">
        <v>39</v>
      </c>
      <c r="K5055" s="28" t="s">
        <v>16223</v>
      </c>
      <c r="L5055" s="28" t="s">
        <v>16224</v>
      </c>
      <c r="M5055" s="28" t="s">
        <v>18555</v>
      </c>
      <c r="N5055" s="28" t="s">
        <v>16226</v>
      </c>
      <c r="O5055" s="28" t="s">
        <v>16227</v>
      </c>
      <c r="P5055" s="28" t="s">
        <v>25248</v>
      </c>
    </row>
    <row r="5056" spans="1:16" x14ac:dyDescent="0.25">
      <c r="A5056" s="28" t="s">
        <v>25249</v>
      </c>
      <c r="B5056" s="28" t="s">
        <v>25250</v>
      </c>
      <c r="C5056" s="28" t="s">
        <v>25239</v>
      </c>
      <c r="D5056" s="28" t="s">
        <v>7132</v>
      </c>
      <c r="E5056" s="28" t="s">
        <v>16244</v>
      </c>
      <c r="F5056" s="28" t="s">
        <v>21</v>
      </c>
      <c r="G5056" s="28" t="s">
        <v>39</v>
      </c>
      <c r="H5056" s="28" t="s">
        <v>16221</v>
      </c>
      <c r="I5056" s="28" t="s">
        <v>25251</v>
      </c>
      <c r="J5056" s="28" t="s">
        <v>39</v>
      </c>
      <c r="K5056" s="28" t="s">
        <v>16223</v>
      </c>
      <c r="L5056" s="28" t="s">
        <v>16224</v>
      </c>
      <c r="M5056" s="28" t="s">
        <v>18559</v>
      </c>
      <c r="N5056" s="28" t="s">
        <v>16226</v>
      </c>
      <c r="O5056" s="28" t="s">
        <v>16227</v>
      </c>
      <c r="P5056" s="28" t="s">
        <v>25248</v>
      </c>
    </row>
    <row r="5057" spans="1:16" x14ac:dyDescent="0.25">
      <c r="A5057" s="28" t="s">
        <v>25252</v>
      </c>
      <c r="B5057" s="28" t="s">
        <v>25253</v>
      </c>
      <c r="C5057" s="28" t="s">
        <v>25239</v>
      </c>
      <c r="D5057" s="28" t="s">
        <v>7132</v>
      </c>
      <c r="E5057" s="28" t="s">
        <v>16244</v>
      </c>
      <c r="F5057" s="28" t="s">
        <v>21</v>
      </c>
      <c r="G5057" s="28" t="s">
        <v>39</v>
      </c>
      <c r="H5057" s="28" t="s">
        <v>16221</v>
      </c>
      <c r="I5057" s="28" t="s">
        <v>25254</v>
      </c>
      <c r="J5057" s="28" t="s">
        <v>39</v>
      </c>
      <c r="K5057" s="28" t="s">
        <v>16223</v>
      </c>
      <c r="L5057" s="28" t="s">
        <v>16224</v>
      </c>
      <c r="M5057" s="28" t="s">
        <v>18563</v>
      </c>
      <c r="N5057" s="28" t="s">
        <v>16226</v>
      </c>
      <c r="O5057" s="28" t="s">
        <v>16227</v>
      </c>
      <c r="P5057" s="28" t="s">
        <v>25248</v>
      </c>
    </row>
    <row r="5058" spans="1:16" x14ac:dyDescent="0.25">
      <c r="A5058" s="28" t="s">
        <v>25255</v>
      </c>
      <c r="B5058" s="28" t="s">
        <v>25256</v>
      </c>
      <c r="C5058" s="28" t="s">
        <v>25239</v>
      </c>
      <c r="D5058" s="28" t="s">
        <v>19</v>
      </c>
      <c r="E5058" s="28" t="s">
        <v>18566</v>
      </c>
      <c r="F5058" s="28" t="s">
        <v>21</v>
      </c>
      <c r="G5058" s="28" t="s">
        <v>39</v>
      </c>
      <c r="H5058" s="28" t="s">
        <v>16221</v>
      </c>
      <c r="I5058" s="28" t="s">
        <v>25257</v>
      </c>
      <c r="J5058" s="28" t="s">
        <v>39</v>
      </c>
      <c r="K5058" s="28" t="s">
        <v>16223</v>
      </c>
      <c r="L5058" s="28" t="s">
        <v>16224</v>
      </c>
      <c r="M5058" s="28" t="s">
        <v>18568</v>
      </c>
      <c r="N5058" s="28" t="s">
        <v>16226</v>
      </c>
      <c r="O5058" s="28" t="s">
        <v>16227</v>
      </c>
      <c r="P5058" s="28" t="s">
        <v>25258</v>
      </c>
    </row>
    <row r="5059" spans="1:16" x14ac:dyDescent="0.25">
      <c r="A5059" s="28" t="s">
        <v>25259</v>
      </c>
      <c r="B5059" s="28" t="s">
        <v>25260</v>
      </c>
      <c r="C5059" s="28" t="s">
        <v>25239</v>
      </c>
      <c r="D5059" s="28" t="s">
        <v>19</v>
      </c>
      <c r="E5059" s="28" t="s">
        <v>18566</v>
      </c>
      <c r="F5059" s="28" t="s">
        <v>21</v>
      </c>
      <c r="G5059" s="28" t="s">
        <v>39</v>
      </c>
      <c r="H5059" s="28" t="s">
        <v>16221</v>
      </c>
      <c r="I5059" s="28" t="s">
        <v>25261</v>
      </c>
      <c r="J5059" s="28" t="s">
        <v>39</v>
      </c>
      <c r="K5059" s="28" t="s">
        <v>16223</v>
      </c>
      <c r="L5059" s="28" t="s">
        <v>16224</v>
      </c>
      <c r="M5059" s="28" t="s">
        <v>18573</v>
      </c>
      <c r="N5059" s="28" t="s">
        <v>16226</v>
      </c>
      <c r="O5059" s="28" t="s">
        <v>16227</v>
      </c>
      <c r="P5059" s="28" t="s">
        <v>25258</v>
      </c>
    </row>
    <row r="5060" spans="1:16" x14ac:dyDescent="0.25">
      <c r="A5060" s="28" t="s">
        <v>25262</v>
      </c>
      <c r="B5060" s="28" t="s">
        <v>25263</v>
      </c>
      <c r="C5060" s="28" t="s">
        <v>25239</v>
      </c>
      <c r="D5060" s="28" t="s">
        <v>19</v>
      </c>
      <c r="E5060" s="28" t="s">
        <v>18566</v>
      </c>
      <c r="F5060" s="28" t="s">
        <v>21</v>
      </c>
      <c r="G5060" s="28" t="s">
        <v>39</v>
      </c>
      <c r="H5060" s="28" t="s">
        <v>16221</v>
      </c>
      <c r="I5060" s="28" t="s">
        <v>25264</v>
      </c>
      <c r="J5060" s="28" t="s">
        <v>39</v>
      </c>
      <c r="K5060" s="28" t="s">
        <v>16223</v>
      </c>
      <c r="L5060" s="28" t="s">
        <v>16224</v>
      </c>
      <c r="M5060" s="28" t="s">
        <v>18577</v>
      </c>
      <c r="N5060" s="28" t="s">
        <v>16226</v>
      </c>
      <c r="O5060" s="28" t="s">
        <v>16227</v>
      </c>
      <c r="P5060" s="28" t="s">
        <v>25258</v>
      </c>
    </row>
    <row r="5061" spans="1:16" x14ac:dyDescent="0.25">
      <c r="A5061" s="28" t="s">
        <v>25265</v>
      </c>
      <c r="B5061" s="28" t="s">
        <v>25266</v>
      </c>
      <c r="C5061" s="28" t="s">
        <v>25239</v>
      </c>
      <c r="D5061" s="28" t="s">
        <v>19</v>
      </c>
      <c r="E5061" s="28" t="s">
        <v>18566</v>
      </c>
      <c r="F5061" s="28" t="s">
        <v>21</v>
      </c>
      <c r="G5061" s="28" t="s">
        <v>39</v>
      </c>
      <c r="H5061" s="28" t="s">
        <v>16221</v>
      </c>
      <c r="I5061" s="28" t="s">
        <v>25267</v>
      </c>
      <c r="J5061" s="28" t="s">
        <v>39</v>
      </c>
      <c r="K5061" s="28" t="s">
        <v>16223</v>
      </c>
      <c r="L5061" s="28" t="s">
        <v>16224</v>
      </c>
      <c r="M5061" s="28" t="s">
        <v>18581</v>
      </c>
      <c r="N5061" s="28" t="s">
        <v>16226</v>
      </c>
      <c r="O5061" s="28" t="s">
        <v>16227</v>
      </c>
      <c r="P5061" s="28" t="s">
        <v>25258</v>
      </c>
    </row>
    <row r="5062" spans="1:16" x14ac:dyDescent="0.25">
      <c r="A5062" s="28" t="s">
        <v>25268</v>
      </c>
      <c r="B5062" s="28" t="s">
        <v>25269</v>
      </c>
      <c r="C5062" s="28" t="s">
        <v>25239</v>
      </c>
      <c r="D5062" s="28" t="s">
        <v>120</v>
      </c>
      <c r="E5062" s="28" t="s">
        <v>121</v>
      </c>
      <c r="F5062" s="28" t="s">
        <v>21</v>
      </c>
      <c r="G5062" s="28" t="s">
        <v>39</v>
      </c>
      <c r="H5062" s="28" t="s">
        <v>16221</v>
      </c>
      <c r="I5062" s="28" t="s">
        <v>25270</v>
      </c>
      <c r="J5062" s="28" t="s">
        <v>39</v>
      </c>
      <c r="K5062" s="28" t="s">
        <v>16223</v>
      </c>
      <c r="L5062" s="28" t="s">
        <v>16224</v>
      </c>
      <c r="M5062" s="28" t="s">
        <v>18585</v>
      </c>
      <c r="N5062" s="28" t="s">
        <v>16226</v>
      </c>
      <c r="O5062" s="28" t="s">
        <v>16227</v>
      </c>
      <c r="P5062" s="28" t="s">
        <v>25271</v>
      </c>
    </row>
    <row r="5063" spans="1:16" x14ac:dyDescent="0.25">
      <c r="A5063" s="28" t="s">
        <v>25272</v>
      </c>
      <c r="B5063" s="28" t="s">
        <v>25273</v>
      </c>
      <c r="C5063" s="28" t="s">
        <v>25239</v>
      </c>
      <c r="D5063" s="28" t="s">
        <v>120</v>
      </c>
      <c r="E5063" s="28" t="s">
        <v>121</v>
      </c>
      <c r="F5063" s="28" t="s">
        <v>21</v>
      </c>
      <c r="G5063" s="28" t="s">
        <v>39</v>
      </c>
      <c r="H5063" s="28" t="s">
        <v>16221</v>
      </c>
      <c r="I5063" s="28" t="s">
        <v>25274</v>
      </c>
      <c r="J5063" s="28" t="s">
        <v>39</v>
      </c>
      <c r="K5063" s="28" t="s">
        <v>16223</v>
      </c>
      <c r="L5063" s="28" t="s">
        <v>16224</v>
      </c>
      <c r="M5063" s="28" t="s">
        <v>18589</v>
      </c>
      <c r="N5063" s="28" t="s">
        <v>16226</v>
      </c>
      <c r="O5063" s="28" t="s">
        <v>16227</v>
      </c>
      <c r="P5063" s="28" t="s">
        <v>25271</v>
      </c>
    </row>
    <row r="5064" spans="1:16" x14ac:dyDescent="0.25">
      <c r="A5064" s="28" t="s">
        <v>25275</v>
      </c>
      <c r="B5064" s="28" t="s">
        <v>25276</v>
      </c>
      <c r="C5064" s="28" t="s">
        <v>25239</v>
      </c>
      <c r="D5064" s="28" t="s">
        <v>120</v>
      </c>
      <c r="E5064" s="28" t="s">
        <v>121</v>
      </c>
      <c r="F5064" s="28" t="s">
        <v>21</v>
      </c>
      <c r="G5064" s="28" t="s">
        <v>39</v>
      </c>
      <c r="H5064" s="28" t="s">
        <v>16221</v>
      </c>
      <c r="I5064" s="28" t="s">
        <v>25277</v>
      </c>
      <c r="J5064" s="28" t="s">
        <v>39</v>
      </c>
      <c r="K5064" s="28" t="s">
        <v>16223</v>
      </c>
      <c r="L5064" s="28" t="s">
        <v>16224</v>
      </c>
      <c r="M5064" s="28" t="s">
        <v>18593</v>
      </c>
      <c r="N5064" s="28" t="s">
        <v>16226</v>
      </c>
      <c r="O5064" s="28" t="s">
        <v>16227</v>
      </c>
      <c r="P5064" s="28" t="s">
        <v>25271</v>
      </c>
    </row>
    <row r="5065" spans="1:16" x14ac:dyDescent="0.25">
      <c r="A5065" s="28" t="s">
        <v>25278</v>
      </c>
      <c r="B5065" s="28" t="s">
        <v>25279</v>
      </c>
      <c r="C5065" s="28" t="s">
        <v>25239</v>
      </c>
      <c r="D5065" s="28" t="s">
        <v>120</v>
      </c>
      <c r="E5065" s="28" t="s">
        <v>121</v>
      </c>
      <c r="F5065" s="28" t="s">
        <v>21</v>
      </c>
      <c r="G5065" s="28" t="s">
        <v>135</v>
      </c>
      <c r="H5065" s="28" t="s">
        <v>25280</v>
      </c>
      <c r="I5065" s="28" t="s">
        <v>25281</v>
      </c>
      <c r="J5065" s="28" t="s">
        <v>135</v>
      </c>
      <c r="K5065" s="28" t="s">
        <v>25282</v>
      </c>
      <c r="L5065" s="28" t="s">
        <v>25283</v>
      </c>
      <c r="M5065" s="28" t="s">
        <v>25284</v>
      </c>
      <c r="N5065" s="28" t="s">
        <v>25285</v>
      </c>
      <c r="O5065" s="28" t="s">
        <v>25286</v>
      </c>
      <c r="P5065" s="28" t="s">
        <v>25287</v>
      </c>
    </row>
    <row r="5066" spans="1:16" x14ac:dyDescent="0.25">
      <c r="A5066" s="28" t="s">
        <v>25288</v>
      </c>
      <c r="B5066" s="28" t="s">
        <v>25289</v>
      </c>
      <c r="C5066" s="28" t="s">
        <v>25239</v>
      </c>
      <c r="D5066" s="28" t="s">
        <v>120</v>
      </c>
      <c r="E5066" s="28" t="s">
        <v>121</v>
      </c>
      <c r="F5066" s="28" t="s">
        <v>21</v>
      </c>
      <c r="G5066" s="28" t="s">
        <v>39</v>
      </c>
      <c r="H5066" s="28" t="s">
        <v>16221</v>
      </c>
      <c r="I5066" s="28" t="s">
        <v>25290</v>
      </c>
      <c r="J5066" s="28" t="s">
        <v>39</v>
      </c>
      <c r="K5066" s="28" t="s">
        <v>16223</v>
      </c>
      <c r="L5066" s="28" t="s">
        <v>16224</v>
      </c>
      <c r="M5066" s="28" t="s">
        <v>18597</v>
      </c>
      <c r="N5066" s="28" t="s">
        <v>16226</v>
      </c>
      <c r="O5066" s="28" t="s">
        <v>16227</v>
      </c>
      <c r="P5066" s="28" t="s">
        <v>25271</v>
      </c>
    </row>
    <row r="5067" spans="1:16" x14ac:dyDescent="0.25">
      <c r="A5067" s="28" t="s">
        <v>25291</v>
      </c>
      <c r="B5067" s="28" t="s">
        <v>25292</v>
      </c>
      <c r="C5067" s="28" t="s">
        <v>25239</v>
      </c>
      <c r="D5067" s="28" t="s">
        <v>120</v>
      </c>
      <c r="E5067" s="28" t="s">
        <v>18600</v>
      </c>
      <c r="F5067" s="28" t="s">
        <v>21</v>
      </c>
      <c r="G5067" s="28" t="s">
        <v>39</v>
      </c>
      <c r="H5067" s="28" t="s">
        <v>16221</v>
      </c>
      <c r="I5067" s="28" t="s">
        <v>25293</v>
      </c>
      <c r="J5067" s="28" t="s">
        <v>39</v>
      </c>
      <c r="K5067" s="28" t="s">
        <v>16223</v>
      </c>
      <c r="L5067" s="28" t="s">
        <v>16224</v>
      </c>
      <c r="M5067" s="28" t="s">
        <v>18602</v>
      </c>
      <c r="N5067" s="28" t="s">
        <v>16226</v>
      </c>
      <c r="O5067" s="28" t="s">
        <v>16227</v>
      </c>
      <c r="P5067" s="28" t="s">
        <v>25294</v>
      </c>
    </row>
    <row r="5068" spans="1:16" x14ac:dyDescent="0.25">
      <c r="A5068" s="28" t="s">
        <v>25295</v>
      </c>
      <c r="B5068" s="28" t="s">
        <v>25296</v>
      </c>
      <c r="C5068" s="28" t="s">
        <v>25239</v>
      </c>
      <c r="D5068" s="28" t="s">
        <v>120</v>
      </c>
      <c r="E5068" s="28" t="s">
        <v>18600</v>
      </c>
      <c r="F5068" s="28" t="s">
        <v>21</v>
      </c>
      <c r="G5068" s="28" t="s">
        <v>39</v>
      </c>
      <c r="H5068" s="28" t="s">
        <v>16221</v>
      </c>
      <c r="I5068" s="28" t="s">
        <v>25297</v>
      </c>
      <c r="J5068" s="28" t="s">
        <v>39</v>
      </c>
      <c r="K5068" s="28" t="s">
        <v>16223</v>
      </c>
      <c r="L5068" s="28" t="s">
        <v>16224</v>
      </c>
      <c r="M5068" s="28" t="s">
        <v>18607</v>
      </c>
      <c r="N5068" s="28" t="s">
        <v>16226</v>
      </c>
      <c r="O5068" s="28" t="s">
        <v>16227</v>
      </c>
      <c r="P5068" s="28" t="s">
        <v>25294</v>
      </c>
    </row>
    <row r="5069" spans="1:16" x14ac:dyDescent="0.25">
      <c r="A5069" s="28" t="s">
        <v>25298</v>
      </c>
      <c r="B5069" s="28" t="s">
        <v>25299</v>
      </c>
      <c r="C5069" s="28" t="s">
        <v>25239</v>
      </c>
      <c r="D5069" s="28" t="s">
        <v>120</v>
      </c>
      <c r="E5069" s="28" t="s">
        <v>18610</v>
      </c>
      <c r="F5069" s="28" t="s">
        <v>21</v>
      </c>
      <c r="G5069" s="28" t="s">
        <v>39</v>
      </c>
      <c r="H5069" s="28" t="s">
        <v>16221</v>
      </c>
      <c r="I5069" s="28" t="s">
        <v>25300</v>
      </c>
      <c r="J5069" s="28" t="s">
        <v>39</v>
      </c>
      <c r="K5069" s="28" t="s">
        <v>16223</v>
      </c>
      <c r="L5069" s="28" t="s">
        <v>16224</v>
      </c>
      <c r="M5069" s="28" t="s">
        <v>18612</v>
      </c>
      <c r="N5069" s="28" t="s">
        <v>16226</v>
      </c>
      <c r="O5069" s="28" t="s">
        <v>16227</v>
      </c>
      <c r="P5069" s="28" t="s">
        <v>25301</v>
      </c>
    </row>
    <row r="5070" spans="1:16" x14ac:dyDescent="0.25">
      <c r="A5070" s="28" t="s">
        <v>25302</v>
      </c>
      <c r="B5070" s="28" t="s">
        <v>25303</v>
      </c>
      <c r="C5070" s="28" t="s">
        <v>25239</v>
      </c>
      <c r="D5070" s="28" t="s">
        <v>120</v>
      </c>
      <c r="E5070" s="28" t="s">
        <v>18610</v>
      </c>
      <c r="F5070" s="28" t="s">
        <v>21</v>
      </c>
      <c r="G5070" s="28" t="s">
        <v>39</v>
      </c>
      <c r="H5070" s="28" t="s">
        <v>16221</v>
      </c>
      <c r="I5070" s="28" t="s">
        <v>25304</v>
      </c>
      <c r="J5070" s="28" t="s">
        <v>39</v>
      </c>
      <c r="K5070" s="28" t="s">
        <v>16223</v>
      </c>
      <c r="L5070" s="28" t="s">
        <v>16224</v>
      </c>
      <c r="M5070" s="28" t="s">
        <v>18617</v>
      </c>
      <c r="N5070" s="28" t="s">
        <v>16226</v>
      </c>
      <c r="O5070" s="28" t="s">
        <v>16227</v>
      </c>
      <c r="P5070" s="28" t="s">
        <v>25301</v>
      </c>
    </row>
    <row r="5071" spans="1:16" x14ac:dyDescent="0.25">
      <c r="A5071" s="28" t="s">
        <v>25305</v>
      </c>
      <c r="B5071" s="28" t="s">
        <v>25306</v>
      </c>
      <c r="C5071" s="28" t="s">
        <v>25239</v>
      </c>
      <c r="D5071" s="28" t="s">
        <v>120</v>
      </c>
      <c r="E5071" s="28" t="s">
        <v>18610</v>
      </c>
      <c r="F5071" s="28" t="s">
        <v>21</v>
      </c>
      <c r="G5071" s="28" t="s">
        <v>39</v>
      </c>
      <c r="H5071" s="28" t="s">
        <v>16221</v>
      </c>
      <c r="I5071" s="28" t="s">
        <v>25307</v>
      </c>
      <c r="J5071" s="28" t="s">
        <v>39</v>
      </c>
      <c r="K5071" s="28" t="s">
        <v>16223</v>
      </c>
      <c r="L5071" s="28" t="s">
        <v>16224</v>
      </c>
      <c r="M5071" s="28" t="s">
        <v>18621</v>
      </c>
      <c r="N5071" s="28" t="s">
        <v>16226</v>
      </c>
      <c r="O5071" s="28" t="s">
        <v>16227</v>
      </c>
      <c r="P5071" s="28" t="s">
        <v>25301</v>
      </c>
    </row>
    <row r="5072" spans="1:16" x14ac:dyDescent="0.25">
      <c r="A5072" s="28" t="s">
        <v>25308</v>
      </c>
      <c r="B5072" s="28" t="s">
        <v>25309</v>
      </c>
      <c r="C5072" s="28" t="s">
        <v>25239</v>
      </c>
      <c r="D5072" s="28" t="s">
        <v>120</v>
      </c>
      <c r="E5072" s="28" t="s">
        <v>18624</v>
      </c>
      <c r="F5072" s="28" t="s">
        <v>21</v>
      </c>
      <c r="G5072" s="28" t="s">
        <v>39</v>
      </c>
      <c r="H5072" s="28" t="s">
        <v>16221</v>
      </c>
      <c r="I5072" s="28" t="s">
        <v>25310</v>
      </c>
      <c r="J5072" s="28" t="s">
        <v>39</v>
      </c>
      <c r="K5072" s="28" t="s">
        <v>16223</v>
      </c>
      <c r="L5072" s="28" t="s">
        <v>16224</v>
      </c>
      <c r="M5072" s="28" t="s">
        <v>18626</v>
      </c>
      <c r="N5072" s="28" t="s">
        <v>16226</v>
      </c>
      <c r="O5072" s="28" t="s">
        <v>16227</v>
      </c>
      <c r="P5072" s="28" t="s">
        <v>25311</v>
      </c>
    </row>
    <row r="5073" spans="1:16" x14ac:dyDescent="0.25">
      <c r="A5073" s="28" t="s">
        <v>25312</v>
      </c>
      <c r="B5073" s="28" t="s">
        <v>25313</v>
      </c>
      <c r="C5073" s="28" t="s">
        <v>25239</v>
      </c>
      <c r="D5073" s="28" t="s">
        <v>120</v>
      </c>
      <c r="E5073" s="28" t="s">
        <v>18624</v>
      </c>
      <c r="F5073" s="28" t="s">
        <v>21</v>
      </c>
      <c r="G5073" s="28" t="s">
        <v>39</v>
      </c>
      <c r="H5073" s="28" t="s">
        <v>16221</v>
      </c>
      <c r="I5073" s="28" t="s">
        <v>25314</v>
      </c>
      <c r="J5073" s="28" t="s">
        <v>39</v>
      </c>
      <c r="K5073" s="28" t="s">
        <v>16223</v>
      </c>
      <c r="L5073" s="28" t="s">
        <v>16224</v>
      </c>
      <c r="M5073" s="28" t="s">
        <v>18631</v>
      </c>
      <c r="N5073" s="28" t="s">
        <v>16226</v>
      </c>
      <c r="O5073" s="28" t="s">
        <v>16227</v>
      </c>
      <c r="P5073" s="28" t="s">
        <v>25311</v>
      </c>
    </row>
    <row r="5074" spans="1:16" x14ac:dyDescent="0.25">
      <c r="A5074" s="28" t="s">
        <v>25315</v>
      </c>
      <c r="B5074" s="28" t="s">
        <v>25316</v>
      </c>
      <c r="C5074" s="28" t="s">
        <v>25239</v>
      </c>
      <c r="D5074" s="28" t="s">
        <v>120</v>
      </c>
      <c r="E5074" s="28" t="s">
        <v>18634</v>
      </c>
      <c r="F5074" s="28" t="s">
        <v>21</v>
      </c>
      <c r="G5074" s="28" t="s">
        <v>39</v>
      </c>
      <c r="H5074" s="28" t="s">
        <v>16221</v>
      </c>
      <c r="I5074" s="28" t="s">
        <v>25317</v>
      </c>
      <c r="J5074" s="28" t="s">
        <v>39</v>
      </c>
      <c r="K5074" s="28" t="s">
        <v>16223</v>
      </c>
      <c r="L5074" s="28" t="s">
        <v>16224</v>
      </c>
      <c r="M5074" s="28" t="s">
        <v>18636</v>
      </c>
      <c r="N5074" s="28" t="s">
        <v>16226</v>
      </c>
      <c r="O5074" s="28" t="s">
        <v>16227</v>
      </c>
      <c r="P5074" s="28" t="s">
        <v>25318</v>
      </c>
    </row>
    <row r="5075" spans="1:16" x14ac:dyDescent="0.25">
      <c r="A5075" s="28" t="s">
        <v>25319</v>
      </c>
      <c r="B5075" s="28" t="s">
        <v>25320</v>
      </c>
      <c r="C5075" s="28" t="s">
        <v>25239</v>
      </c>
      <c r="D5075" s="28" t="s">
        <v>120</v>
      </c>
      <c r="E5075" s="28" t="s">
        <v>18634</v>
      </c>
      <c r="F5075" s="28" t="s">
        <v>21</v>
      </c>
      <c r="G5075" s="28" t="s">
        <v>39</v>
      </c>
      <c r="H5075" s="28" t="s">
        <v>16221</v>
      </c>
      <c r="I5075" s="28" t="s">
        <v>25321</v>
      </c>
      <c r="J5075" s="28" t="s">
        <v>39</v>
      </c>
      <c r="K5075" s="28" t="s">
        <v>16223</v>
      </c>
      <c r="L5075" s="28" t="s">
        <v>16224</v>
      </c>
      <c r="M5075" s="28" t="s">
        <v>18641</v>
      </c>
      <c r="N5075" s="28" t="s">
        <v>16226</v>
      </c>
      <c r="O5075" s="28" t="s">
        <v>16227</v>
      </c>
      <c r="P5075" s="28" t="s">
        <v>25318</v>
      </c>
    </row>
    <row r="5076" spans="1:16" x14ac:dyDescent="0.25">
      <c r="A5076" s="28" t="s">
        <v>25322</v>
      </c>
      <c r="B5076" s="28" t="s">
        <v>25323</v>
      </c>
      <c r="C5076" s="28" t="s">
        <v>25239</v>
      </c>
      <c r="D5076" s="28" t="s">
        <v>120</v>
      </c>
      <c r="E5076" s="28" t="s">
        <v>18634</v>
      </c>
      <c r="F5076" s="28" t="s">
        <v>21</v>
      </c>
      <c r="G5076" s="28" t="s">
        <v>39</v>
      </c>
      <c r="H5076" s="28" t="s">
        <v>16221</v>
      </c>
      <c r="I5076" s="28" t="s">
        <v>25324</v>
      </c>
      <c r="J5076" s="28" t="s">
        <v>39</v>
      </c>
      <c r="K5076" s="28" t="s">
        <v>16223</v>
      </c>
      <c r="L5076" s="28" t="s">
        <v>16224</v>
      </c>
      <c r="M5076" s="28" t="s">
        <v>18645</v>
      </c>
      <c r="N5076" s="28" t="s">
        <v>16226</v>
      </c>
      <c r="O5076" s="28" t="s">
        <v>16227</v>
      </c>
      <c r="P5076" s="28" t="s">
        <v>25318</v>
      </c>
    </row>
    <row r="5077" spans="1:16" x14ac:dyDescent="0.25">
      <c r="A5077" s="28" t="s">
        <v>25325</v>
      </c>
      <c r="B5077" s="28" t="s">
        <v>25326</v>
      </c>
      <c r="C5077" s="28" t="s">
        <v>25239</v>
      </c>
      <c r="D5077" s="28" t="s">
        <v>120</v>
      </c>
      <c r="E5077" s="28" t="s">
        <v>18634</v>
      </c>
      <c r="F5077" s="28" t="s">
        <v>21</v>
      </c>
      <c r="G5077" s="28" t="s">
        <v>39</v>
      </c>
      <c r="H5077" s="28" t="s">
        <v>16221</v>
      </c>
      <c r="I5077" s="28" t="s">
        <v>25327</v>
      </c>
      <c r="J5077" s="28" t="s">
        <v>39</v>
      </c>
      <c r="K5077" s="28" t="s">
        <v>16223</v>
      </c>
      <c r="L5077" s="28" t="s">
        <v>16224</v>
      </c>
      <c r="M5077" s="28" t="s">
        <v>18649</v>
      </c>
      <c r="N5077" s="28" t="s">
        <v>16226</v>
      </c>
      <c r="O5077" s="28" t="s">
        <v>16227</v>
      </c>
      <c r="P5077" s="28" t="s">
        <v>25318</v>
      </c>
    </row>
    <row r="5078" spans="1:16" x14ac:dyDescent="0.25">
      <c r="A5078" s="28" t="s">
        <v>25328</v>
      </c>
      <c r="B5078" s="28" t="s">
        <v>25329</v>
      </c>
      <c r="C5078" s="28" t="s">
        <v>25239</v>
      </c>
      <c r="D5078" s="28" t="s">
        <v>120</v>
      </c>
      <c r="E5078" s="28" t="s">
        <v>18652</v>
      </c>
      <c r="F5078" s="28" t="s">
        <v>21</v>
      </c>
      <c r="G5078" s="28" t="s">
        <v>39</v>
      </c>
      <c r="H5078" s="28" t="s">
        <v>16221</v>
      </c>
      <c r="I5078" s="28" t="s">
        <v>25330</v>
      </c>
      <c r="J5078" s="28" t="s">
        <v>39</v>
      </c>
      <c r="K5078" s="28" t="s">
        <v>16223</v>
      </c>
      <c r="L5078" s="28" t="s">
        <v>16224</v>
      </c>
      <c r="M5078" s="28" t="s">
        <v>18654</v>
      </c>
      <c r="N5078" s="28" t="s">
        <v>16226</v>
      </c>
      <c r="O5078" s="28" t="s">
        <v>16227</v>
      </c>
      <c r="P5078" s="28" t="s">
        <v>25331</v>
      </c>
    </row>
    <row r="5079" spans="1:16" x14ac:dyDescent="0.25">
      <c r="A5079" s="28" t="s">
        <v>25332</v>
      </c>
      <c r="B5079" s="28" t="s">
        <v>25333</v>
      </c>
      <c r="C5079" s="28" t="s">
        <v>25239</v>
      </c>
      <c r="D5079" s="28" t="s">
        <v>120</v>
      </c>
      <c r="E5079" s="28" t="s">
        <v>18652</v>
      </c>
      <c r="F5079" s="28" t="s">
        <v>21</v>
      </c>
      <c r="G5079" s="28" t="s">
        <v>39</v>
      </c>
      <c r="H5079" s="28" t="s">
        <v>16221</v>
      </c>
      <c r="I5079" s="28" t="s">
        <v>25334</v>
      </c>
      <c r="J5079" s="28" t="s">
        <v>39</v>
      </c>
      <c r="K5079" s="28" t="s">
        <v>16223</v>
      </c>
      <c r="L5079" s="28" t="s">
        <v>16224</v>
      </c>
      <c r="M5079" s="28" t="s">
        <v>18659</v>
      </c>
      <c r="N5079" s="28" t="s">
        <v>16226</v>
      </c>
      <c r="O5079" s="28" t="s">
        <v>16227</v>
      </c>
      <c r="P5079" s="28" t="s">
        <v>25331</v>
      </c>
    </row>
    <row r="5080" spans="1:16" x14ac:dyDescent="0.25">
      <c r="A5080" s="28" t="s">
        <v>25335</v>
      </c>
      <c r="B5080" s="28" t="s">
        <v>25336</v>
      </c>
      <c r="C5080" s="28" t="s">
        <v>25239</v>
      </c>
      <c r="D5080" s="28" t="s">
        <v>120</v>
      </c>
      <c r="E5080" s="28" t="s">
        <v>18662</v>
      </c>
      <c r="F5080" s="28" t="s">
        <v>21</v>
      </c>
      <c r="G5080" s="28" t="s">
        <v>39</v>
      </c>
      <c r="H5080" s="28" t="s">
        <v>16221</v>
      </c>
      <c r="I5080" s="28" t="s">
        <v>25337</v>
      </c>
      <c r="J5080" s="28" t="s">
        <v>39</v>
      </c>
      <c r="K5080" s="28" t="s">
        <v>16223</v>
      </c>
      <c r="L5080" s="28" t="s">
        <v>16224</v>
      </c>
      <c r="M5080" s="28" t="s">
        <v>18664</v>
      </c>
      <c r="N5080" s="28" t="s">
        <v>16226</v>
      </c>
      <c r="O5080" s="28" t="s">
        <v>16227</v>
      </c>
      <c r="P5080" s="28" t="s">
        <v>25338</v>
      </c>
    </row>
    <row r="5081" spans="1:16" x14ac:dyDescent="0.25">
      <c r="A5081" s="28" t="s">
        <v>25339</v>
      </c>
      <c r="B5081" s="28" t="s">
        <v>25340</v>
      </c>
      <c r="C5081" s="28" t="s">
        <v>25239</v>
      </c>
      <c r="D5081" s="28" t="s">
        <v>120</v>
      </c>
      <c r="E5081" s="28" t="s">
        <v>18662</v>
      </c>
      <c r="F5081" s="28" t="s">
        <v>21</v>
      </c>
      <c r="G5081" s="28" t="s">
        <v>39</v>
      </c>
      <c r="H5081" s="28" t="s">
        <v>16221</v>
      </c>
      <c r="I5081" s="28" t="s">
        <v>25341</v>
      </c>
      <c r="J5081" s="28" t="s">
        <v>39</v>
      </c>
      <c r="K5081" s="28" t="s">
        <v>16223</v>
      </c>
      <c r="L5081" s="28" t="s">
        <v>16224</v>
      </c>
      <c r="M5081" s="28" t="s">
        <v>18669</v>
      </c>
      <c r="N5081" s="28" t="s">
        <v>16226</v>
      </c>
      <c r="O5081" s="28" t="s">
        <v>16227</v>
      </c>
      <c r="P5081" s="28" t="s">
        <v>25338</v>
      </c>
    </row>
    <row r="5082" spans="1:16" x14ac:dyDescent="0.25">
      <c r="A5082" s="28" t="s">
        <v>25342</v>
      </c>
      <c r="B5082" s="28" t="s">
        <v>25343</v>
      </c>
      <c r="C5082" s="28" t="s">
        <v>25239</v>
      </c>
      <c r="D5082" s="28" t="s">
        <v>120</v>
      </c>
      <c r="E5082" s="28" t="s">
        <v>18672</v>
      </c>
      <c r="F5082" s="28" t="s">
        <v>21</v>
      </c>
      <c r="G5082" s="28" t="s">
        <v>39</v>
      </c>
      <c r="H5082" s="28" t="s">
        <v>16221</v>
      </c>
      <c r="I5082" s="28" t="s">
        <v>25344</v>
      </c>
      <c r="J5082" s="28" t="s">
        <v>39</v>
      </c>
      <c r="K5082" s="28" t="s">
        <v>16223</v>
      </c>
      <c r="L5082" s="28" t="s">
        <v>16224</v>
      </c>
      <c r="M5082" s="28" t="s">
        <v>18674</v>
      </c>
      <c r="N5082" s="28" t="s">
        <v>16226</v>
      </c>
      <c r="O5082" s="28" t="s">
        <v>16227</v>
      </c>
      <c r="P5082" s="28" t="s">
        <v>25345</v>
      </c>
    </row>
    <row r="5083" spans="1:16" x14ac:dyDescent="0.25">
      <c r="A5083" s="28" t="s">
        <v>25346</v>
      </c>
      <c r="B5083" s="28" t="s">
        <v>25347</v>
      </c>
      <c r="C5083" s="28" t="s">
        <v>25239</v>
      </c>
      <c r="D5083" s="28" t="s">
        <v>120</v>
      </c>
      <c r="E5083" s="28" t="s">
        <v>18672</v>
      </c>
      <c r="F5083" s="28" t="s">
        <v>21</v>
      </c>
      <c r="G5083" s="28" t="s">
        <v>39</v>
      </c>
      <c r="H5083" s="28" t="s">
        <v>16221</v>
      </c>
      <c r="I5083" s="28" t="s">
        <v>25348</v>
      </c>
      <c r="J5083" s="28" t="s">
        <v>39</v>
      </c>
      <c r="K5083" s="28" t="s">
        <v>16223</v>
      </c>
      <c r="L5083" s="28" t="s">
        <v>16224</v>
      </c>
      <c r="M5083" s="28" t="s">
        <v>18679</v>
      </c>
      <c r="N5083" s="28" t="s">
        <v>16226</v>
      </c>
      <c r="O5083" s="28" t="s">
        <v>16227</v>
      </c>
      <c r="P5083" s="28" t="s">
        <v>25345</v>
      </c>
    </row>
    <row r="5084" spans="1:16" x14ac:dyDescent="0.25">
      <c r="A5084" s="28" t="s">
        <v>25349</v>
      </c>
      <c r="B5084" s="28" t="s">
        <v>25350</v>
      </c>
      <c r="C5084" s="28" t="s">
        <v>25239</v>
      </c>
      <c r="D5084" s="28" t="s">
        <v>120</v>
      </c>
      <c r="E5084" s="28" t="s">
        <v>18682</v>
      </c>
      <c r="F5084" s="28" t="s">
        <v>21</v>
      </c>
      <c r="G5084" s="28" t="s">
        <v>39</v>
      </c>
      <c r="H5084" s="28" t="s">
        <v>16221</v>
      </c>
      <c r="I5084" s="28" t="s">
        <v>25351</v>
      </c>
      <c r="J5084" s="28" t="s">
        <v>39</v>
      </c>
      <c r="K5084" s="28" t="s">
        <v>16223</v>
      </c>
      <c r="L5084" s="28" t="s">
        <v>16224</v>
      </c>
      <c r="M5084" s="28" t="s">
        <v>18684</v>
      </c>
      <c r="N5084" s="28" t="s">
        <v>16226</v>
      </c>
      <c r="O5084" s="28" t="s">
        <v>16227</v>
      </c>
      <c r="P5084" s="28" t="s">
        <v>25352</v>
      </c>
    </row>
    <row r="5085" spans="1:16" x14ac:dyDescent="0.25">
      <c r="A5085" s="28" t="s">
        <v>25353</v>
      </c>
      <c r="B5085" s="28" t="s">
        <v>25354</v>
      </c>
      <c r="C5085" s="28" t="s">
        <v>25239</v>
      </c>
      <c r="D5085" s="28" t="s">
        <v>120</v>
      </c>
      <c r="E5085" s="28" t="s">
        <v>18682</v>
      </c>
      <c r="F5085" s="28" t="s">
        <v>21</v>
      </c>
      <c r="G5085" s="28" t="s">
        <v>39</v>
      </c>
      <c r="H5085" s="28" t="s">
        <v>16221</v>
      </c>
      <c r="I5085" s="28" t="s">
        <v>25355</v>
      </c>
      <c r="J5085" s="28" t="s">
        <v>39</v>
      </c>
      <c r="K5085" s="28" t="s">
        <v>16223</v>
      </c>
      <c r="L5085" s="28" t="s">
        <v>16224</v>
      </c>
      <c r="M5085" s="28" t="s">
        <v>18689</v>
      </c>
      <c r="N5085" s="28" t="s">
        <v>16226</v>
      </c>
      <c r="O5085" s="28" t="s">
        <v>16227</v>
      </c>
      <c r="P5085" s="28" t="s">
        <v>25352</v>
      </c>
    </row>
    <row r="5086" spans="1:16" x14ac:dyDescent="0.25">
      <c r="A5086" s="28" t="s">
        <v>25356</v>
      </c>
      <c r="B5086" s="28" t="s">
        <v>25357</v>
      </c>
      <c r="C5086" s="28" t="s">
        <v>25239</v>
      </c>
      <c r="D5086" s="28" t="s">
        <v>120</v>
      </c>
      <c r="E5086" s="28" t="s">
        <v>18692</v>
      </c>
      <c r="F5086" s="28" t="s">
        <v>21</v>
      </c>
      <c r="G5086" s="28" t="s">
        <v>39</v>
      </c>
      <c r="H5086" s="28" t="s">
        <v>16221</v>
      </c>
      <c r="I5086" s="28" t="s">
        <v>25358</v>
      </c>
      <c r="J5086" s="28" t="s">
        <v>39</v>
      </c>
      <c r="K5086" s="28" t="s">
        <v>16223</v>
      </c>
      <c r="L5086" s="28" t="s">
        <v>16224</v>
      </c>
      <c r="M5086" s="28" t="s">
        <v>18694</v>
      </c>
      <c r="N5086" s="28" t="s">
        <v>16226</v>
      </c>
      <c r="O5086" s="28" t="s">
        <v>16227</v>
      </c>
      <c r="P5086" s="28" t="s">
        <v>25359</v>
      </c>
    </row>
    <row r="5087" spans="1:16" x14ac:dyDescent="0.25">
      <c r="A5087" s="28" t="s">
        <v>25360</v>
      </c>
      <c r="B5087" s="28" t="s">
        <v>25361</v>
      </c>
      <c r="C5087" s="28" t="s">
        <v>25239</v>
      </c>
      <c r="D5087" s="28" t="s">
        <v>120</v>
      </c>
      <c r="E5087" s="28" t="s">
        <v>18692</v>
      </c>
      <c r="F5087" s="28" t="s">
        <v>21</v>
      </c>
      <c r="G5087" s="28" t="s">
        <v>39</v>
      </c>
      <c r="H5087" s="28" t="s">
        <v>16221</v>
      </c>
      <c r="I5087" s="28" t="s">
        <v>25362</v>
      </c>
      <c r="J5087" s="28" t="s">
        <v>39</v>
      </c>
      <c r="K5087" s="28" t="s">
        <v>16223</v>
      </c>
      <c r="L5087" s="28" t="s">
        <v>16224</v>
      </c>
      <c r="M5087" s="28" t="s">
        <v>18699</v>
      </c>
      <c r="N5087" s="28" t="s">
        <v>16226</v>
      </c>
      <c r="O5087" s="28" t="s">
        <v>16227</v>
      </c>
      <c r="P5087" s="28" t="s">
        <v>25359</v>
      </c>
    </row>
    <row r="5088" spans="1:16" x14ac:dyDescent="0.25">
      <c r="A5088" s="28" t="s">
        <v>25363</v>
      </c>
      <c r="B5088" s="28" t="s">
        <v>25364</v>
      </c>
      <c r="C5088" s="28" t="s">
        <v>25239</v>
      </c>
      <c r="D5088" s="28" t="s">
        <v>120</v>
      </c>
      <c r="E5088" s="28" t="s">
        <v>18702</v>
      </c>
      <c r="F5088" s="28" t="s">
        <v>21</v>
      </c>
      <c r="G5088" s="28" t="s">
        <v>39</v>
      </c>
      <c r="H5088" s="28" t="s">
        <v>16221</v>
      </c>
      <c r="I5088" s="28" t="s">
        <v>25365</v>
      </c>
      <c r="J5088" s="28" t="s">
        <v>39</v>
      </c>
      <c r="K5088" s="28" t="s">
        <v>16223</v>
      </c>
      <c r="L5088" s="28" t="s">
        <v>16224</v>
      </c>
      <c r="M5088" s="28" t="s">
        <v>18704</v>
      </c>
      <c r="N5088" s="28" t="s">
        <v>16226</v>
      </c>
      <c r="O5088" s="28" t="s">
        <v>16227</v>
      </c>
      <c r="P5088" s="28" t="s">
        <v>25366</v>
      </c>
    </row>
    <row r="5089" spans="1:16" x14ac:dyDescent="0.25">
      <c r="A5089" s="28" t="s">
        <v>25367</v>
      </c>
      <c r="B5089" s="28" t="s">
        <v>25368</v>
      </c>
      <c r="C5089" s="28" t="s">
        <v>25239</v>
      </c>
      <c r="D5089" s="28" t="s">
        <v>120</v>
      </c>
      <c r="E5089" s="28" t="s">
        <v>18702</v>
      </c>
      <c r="F5089" s="28" t="s">
        <v>21</v>
      </c>
      <c r="G5089" s="28" t="s">
        <v>39</v>
      </c>
      <c r="H5089" s="28" t="s">
        <v>16221</v>
      </c>
      <c r="I5089" s="28" t="s">
        <v>25369</v>
      </c>
      <c r="J5089" s="28" t="s">
        <v>39</v>
      </c>
      <c r="K5089" s="28" t="s">
        <v>16223</v>
      </c>
      <c r="L5089" s="28" t="s">
        <v>16224</v>
      </c>
      <c r="M5089" s="28" t="s">
        <v>18709</v>
      </c>
      <c r="N5089" s="28" t="s">
        <v>16226</v>
      </c>
      <c r="O5089" s="28" t="s">
        <v>16227</v>
      </c>
      <c r="P5089" s="28" t="s">
        <v>25366</v>
      </c>
    </row>
    <row r="5090" spans="1:16" x14ac:dyDescent="0.25">
      <c r="A5090" s="28" t="s">
        <v>25370</v>
      </c>
      <c r="B5090" s="28" t="s">
        <v>25371</v>
      </c>
      <c r="C5090" s="28" t="s">
        <v>25239</v>
      </c>
      <c r="D5090" s="28" t="s">
        <v>120</v>
      </c>
      <c r="E5090" s="28" t="s">
        <v>18712</v>
      </c>
      <c r="F5090" s="28" t="s">
        <v>21</v>
      </c>
      <c r="G5090" s="28" t="s">
        <v>39</v>
      </c>
      <c r="H5090" s="28" t="s">
        <v>16221</v>
      </c>
      <c r="I5090" s="28" t="s">
        <v>25372</v>
      </c>
      <c r="J5090" s="28" t="s">
        <v>39</v>
      </c>
      <c r="K5090" s="28" t="s">
        <v>16223</v>
      </c>
      <c r="L5090" s="28" t="s">
        <v>16224</v>
      </c>
      <c r="M5090" s="28" t="s">
        <v>18714</v>
      </c>
      <c r="N5090" s="28" t="s">
        <v>16226</v>
      </c>
      <c r="O5090" s="28" t="s">
        <v>16227</v>
      </c>
      <c r="P5090" s="28" t="s">
        <v>25373</v>
      </c>
    </row>
    <row r="5091" spans="1:16" x14ac:dyDescent="0.25">
      <c r="A5091" s="28" t="s">
        <v>25374</v>
      </c>
      <c r="B5091" s="28" t="s">
        <v>25375</v>
      </c>
      <c r="C5091" s="28" t="s">
        <v>25239</v>
      </c>
      <c r="D5091" s="28" t="s">
        <v>120</v>
      </c>
      <c r="E5091" s="28" t="s">
        <v>18712</v>
      </c>
      <c r="F5091" s="28" t="s">
        <v>21</v>
      </c>
      <c r="G5091" s="28" t="s">
        <v>39</v>
      </c>
      <c r="H5091" s="28" t="s">
        <v>16221</v>
      </c>
      <c r="I5091" s="28" t="s">
        <v>25376</v>
      </c>
      <c r="J5091" s="28" t="s">
        <v>39</v>
      </c>
      <c r="K5091" s="28" t="s">
        <v>16223</v>
      </c>
      <c r="L5091" s="28" t="s">
        <v>16224</v>
      </c>
      <c r="M5091" s="28" t="s">
        <v>18719</v>
      </c>
      <c r="N5091" s="28" t="s">
        <v>16226</v>
      </c>
      <c r="O5091" s="28" t="s">
        <v>16227</v>
      </c>
      <c r="P5091" s="28" t="s">
        <v>25373</v>
      </c>
    </row>
    <row r="5092" spans="1:16" x14ac:dyDescent="0.25">
      <c r="A5092" s="28" t="s">
        <v>25377</v>
      </c>
      <c r="B5092" s="28" t="s">
        <v>25378</v>
      </c>
      <c r="C5092" s="28" t="s">
        <v>25239</v>
      </c>
      <c r="D5092" s="28" t="s">
        <v>120</v>
      </c>
      <c r="E5092" s="28" t="s">
        <v>4260</v>
      </c>
      <c r="F5092" s="28" t="s">
        <v>21</v>
      </c>
      <c r="G5092" s="28" t="s">
        <v>39</v>
      </c>
      <c r="H5092" s="28" t="s">
        <v>16221</v>
      </c>
      <c r="I5092" s="28" t="s">
        <v>25379</v>
      </c>
      <c r="J5092" s="28" t="s">
        <v>39</v>
      </c>
      <c r="K5092" s="28" t="s">
        <v>16223</v>
      </c>
      <c r="L5092" s="28" t="s">
        <v>16224</v>
      </c>
      <c r="M5092" s="28" t="s">
        <v>18723</v>
      </c>
      <c r="N5092" s="28" t="s">
        <v>16226</v>
      </c>
      <c r="O5092" s="28" t="s">
        <v>16227</v>
      </c>
      <c r="P5092" s="28" t="s">
        <v>25380</v>
      </c>
    </row>
    <row r="5093" spans="1:16" x14ac:dyDescent="0.25">
      <c r="A5093" s="28" t="s">
        <v>25381</v>
      </c>
      <c r="B5093" s="28" t="s">
        <v>25382</v>
      </c>
      <c r="C5093" s="28" t="s">
        <v>25239</v>
      </c>
      <c r="D5093" s="28" t="s">
        <v>120</v>
      </c>
      <c r="E5093" s="28" t="s">
        <v>4260</v>
      </c>
      <c r="F5093" s="28" t="s">
        <v>21</v>
      </c>
      <c r="G5093" s="28" t="s">
        <v>39</v>
      </c>
      <c r="H5093" s="28" t="s">
        <v>16221</v>
      </c>
      <c r="I5093" s="28" t="s">
        <v>25383</v>
      </c>
      <c r="J5093" s="28" t="s">
        <v>39</v>
      </c>
      <c r="K5093" s="28" t="s">
        <v>16223</v>
      </c>
      <c r="L5093" s="28" t="s">
        <v>16224</v>
      </c>
      <c r="M5093" s="28" t="s">
        <v>18727</v>
      </c>
      <c r="N5093" s="28" t="s">
        <v>16226</v>
      </c>
      <c r="O5093" s="28" t="s">
        <v>16227</v>
      </c>
      <c r="P5093" s="28" t="s">
        <v>25380</v>
      </c>
    </row>
    <row r="5094" spans="1:16" x14ac:dyDescent="0.25">
      <c r="A5094" s="28" t="s">
        <v>25384</v>
      </c>
      <c r="B5094" s="28" t="s">
        <v>25385</v>
      </c>
      <c r="C5094" s="28" t="s">
        <v>25239</v>
      </c>
      <c r="D5094" s="28" t="s">
        <v>62</v>
      </c>
      <c r="E5094" s="28" t="s">
        <v>5925</v>
      </c>
      <c r="F5094" s="28" t="s">
        <v>21</v>
      </c>
      <c r="G5094" s="28" t="s">
        <v>39</v>
      </c>
      <c r="H5094" s="28" t="s">
        <v>16221</v>
      </c>
      <c r="I5094" s="28" t="s">
        <v>25386</v>
      </c>
      <c r="J5094" s="28" t="s">
        <v>39</v>
      </c>
      <c r="K5094" s="28" t="s">
        <v>16223</v>
      </c>
      <c r="L5094" s="28" t="s">
        <v>16224</v>
      </c>
      <c r="M5094" s="28" t="s">
        <v>18731</v>
      </c>
      <c r="N5094" s="28" t="s">
        <v>16226</v>
      </c>
      <c r="O5094" s="28" t="s">
        <v>16227</v>
      </c>
      <c r="P5094" s="28" t="s">
        <v>25387</v>
      </c>
    </row>
    <row r="5095" spans="1:16" x14ac:dyDescent="0.25">
      <c r="A5095" s="28" t="s">
        <v>25388</v>
      </c>
      <c r="B5095" s="28" t="s">
        <v>25389</v>
      </c>
      <c r="C5095" s="28" t="s">
        <v>25239</v>
      </c>
      <c r="D5095" s="28" t="s">
        <v>62</v>
      </c>
      <c r="E5095" s="28" t="s">
        <v>5925</v>
      </c>
      <c r="F5095" s="28" t="s">
        <v>21</v>
      </c>
      <c r="G5095" s="28" t="s">
        <v>39</v>
      </c>
      <c r="H5095" s="28" t="s">
        <v>16221</v>
      </c>
      <c r="I5095" s="28" t="s">
        <v>25390</v>
      </c>
      <c r="J5095" s="28" t="s">
        <v>39</v>
      </c>
      <c r="K5095" s="28" t="s">
        <v>16223</v>
      </c>
      <c r="L5095" s="28" t="s">
        <v>16224</v>
      </c>
      <c r="M5095" s="28" t="s">
        <v>18735</v>
      </c>
      <c r="N5095" s="28" t="s">
        <v>16226</v>
      </c>
      <c r="O5095" s="28" t="s">
        <v>16227</v>
      </c>
      <c r="P5095" s="28" t="s">
        <v>25387</v>
      </c>
    </row>
    <row r="5096" spans="1:16" x14ac:dyDescent="0.25">
      <c r="A5096" s="28" t="s">
        <v>25391</v>
      </c>
      <c r="B5096" s="28" t="s">
        <v>25392</v>
      </c>
      <c r="C5096" s="28" t="s">
        <v>25239</v>
      </c>
      <c r="D5096" s="28" t="s">
        <v>62</v>
      </c>
      <c r="E5096" s="28" t="s">
        <v>5925</v>
      </c>
      <c r="F5096" s="28" t="s">
        <v>21</v>
      </c>
      <c r="G5096" s="28" t="s">
        <v>39</v>
      </c>
      <c r="H5096" s="28" t="s">
        <v>16221</v>
      </c>
      <c r="I5096" s="28" t="s">
        <v>25393</v>
      </c>
      <c r="J5096" s="28" t="s">
        <v>39</v>
      </c>
      <c r="K5096" s="28" t="s">
        <v>16223</v>
      </c>
      <c r="L5096" s="28" t="s">
        <v>16224</v>
      </c>
      <c r="M5096" s="28" t="s">
        <v>18739</v>
      </c>
      <c r="N5096" s="28" t="s">
        <v>16226</v>
      </c>
      <c r="O5096" s="28" t="s">
        <v>16227</v>
      </c>
      <c r="P5096" s="28" t="s">
        <v>25387</v>
      </c>
    </row>
    <row r="5097" spans="1:16" x14ac:dyDescent="0.25">
      <c r="A5097" s="28" t="s">
        <v>25394</v>
      </c>
      <c r="B5097" s="28" t="s">
        <v>25395</v>
      </c>
      <c r="C5097" s="28" t="s">
        <v>25239</v>
      </c>
      <c r="D5097" s="28" t="s">
        <v>62</v>
      </c>
      <c r="E5097" s="28" t="s">
        <v>5925</v>
      </c>
      <c r="F5097" s="28" t="s">
        <v>21</v>
      </c>
      <c r="G5097" s="28" t="s">
        <v>25396</v>
      </c>
      <c r="H5097" s="28" t="s">
        <v>25280</v>
      </c>
      <c r="I5097" s="28" t="s">
        <v>25397</v>
      </c>
      <c r="J5097" s="28" t="s">
        <v>25396</v>
      </c>
      <c r="K5097" s="28" t="s">
        <v>25398</v>
      </c>
      <c r="L5097" s="28" t="s">
        <v>25283</v>
      </c>
      <c r="M5097" s="28" t="s">
        <v>25399</v>
      </c>
      <c r="N5097" s="28" t="s">
        <v>25285</v>
      </c>
      <c r="O5097" s="28" t="s">
        <v>25286</v>
      </c>
      <c r="P5097" s="28" t="s">
        <v>25287</v>
      </c>
    </row>
    <row r="5098" spans="1:16" x14ac:dyDescent="0.25">
      <c r="A5098" s="28" t="s">
        <v>25400</v>
      </c>
      <c r="B5098" s="28" t="s">
        <v>25401</v>
      </c>
      <c r="C5098" s="28" t="s">
        <v>25239</v>
      </c>
      <c r="D5098" s="28" t="s">
        <v>120</v>
      </c>
      <c r="E5098" s="28" t="s">
        <v>18742</v>
      </c>
      <c r="F5098" s="28" t="s">
        <v>21</v>
      </c>
      <c r="G5098" s="28" t="s">
        <v>39</v>
      </c>
      <c r="H5098" s="28" t="s">
        <v>16221</v>
      </c>
      <c r="I5098" s="28" t="s">
        <v>25402</v>
      </c>
      <c r="J5098" s="28" t="s">
        <v>39</v>
      </c>
      <c r="K5098" s="28" t="s">
        <v>16223</v>
      </c>
      <c r="L5098" s="28" t="s">
        <v>16224</v>
      </c>
      <c r="M5098" s="28" t="s">
        <v>18744</v>
      </c>
      <c r="N5098" s="28" t="s">
        <v>16226</v>
      </c>
      <c r="O5098" s="28" t="s">
        <v>16227</v>
      </c>
      <c r="P5098" s="28" t="s">
        <v>25403</v>
      </c>
    </row>
    <row r="5099" spans="1:16" x14ac:dyDescent="0.25">
      <c r="A5099" s="28" t="s">
        <v>25404</v>
      </c>
      <c r="B5099" s="28" t="s">
        <v>25405</v>
      </c>
      <c r="C5099" s="28" t="s">
        <v>25239</v>
      </c>
      <c r="D5099" s="28" t="s">
        <v>120</v>
      </c>
      <c r="E5099" s="28" t="s">
        <v>18742</v>
      </c>
      <c r="F5099" s="28" t="s">
        <v>21</v>
      </c>
      <c r="G5099" s="28" t="s">
        <v>39</v>
      </c>
      <c r="H5099" s="28" t="s">
        <v>16221</v>
      </c>
      <c r="I5099" s="28" t="s">
        <v>25406</v>
      </c>
      <c r="J5099" s="28" t="s">
        <v>39</v>
      </c>
      <c r="K5099" s="28" t="s">
        <v>16223</v>
      </c>
      <c r="L5099" s="28" t="s">
        <v>16224</v>
      </c>
      <c r="M5099" s="28" t="s">
        <v>18749</v>
      </c>
      <c r="N5099" s="28" t="s">
        <v>16226</v>
      </c>
      <c r="O5099" s="28" t="s">
        <v>16227</v>
      </c>
      <c r="P5099" s="28" t="s">
        <v>25403</v>
      </c>
    </row>
    <row r="5100" spans="1:16" x14ac:dyDescent="0.25">
      <c r="A5100" s="28" t="s">
        <v>25407</v>
      </c>
      <c r="B5100" s="28" t="s">
        <v>25408</v>
      </c>
      <c r="C5100" s="28" t="s">
        <v>25239</v>
      </c>
      <c r="D5100" s="28" t="s">
        <v>120</v>
      </c>
      <c r="E5100" s="28" t="s">
        <v>18742</v>
      </c>
      <c r="F5100" s="28" t="s">
        <v>21</v>
      </c>
      <c r="G5100" s="28" t="s">
        <v>39</v>
      </c>
      <c r="H5100" s="28" t="s">
        <v>16221</v>
      </c>
      <c r="I5100" s="28" t="s">
        <v>25409</v>
      </c>
      <c r="J5100" s="28" t="s">
        <v>39</v>
      </c>
      <c r="K5100" s="28" t="s">
        <v>16223</v>
      </c>
      <c r="L5100" s="28" t="s">
        <v>16224</v>
      </c>
      <c r="M5100" s="28" t="s">
        <v>18753</v>
      </c>
      <c r="N5100" s="28" t="s">
        <v>16226</v>
      </c>
      <c r="O5100" s="28" t="s">
        <v>16227</v>
      </c>
      <c r="P5100" s="28" t="s">
        <v>25403</v>
      </c>
    </row>
    <row r="5101" spans="1:16" x14ac:dyDescent="0.25">
      <c r="A5101" s="28" t="s">
        <v>25410</v>
      </c>
      <c r="B5101" s="28" t="s">
        <v>25411</v>
      </c>
      <c r="C5101" s="28" t="s">
        <v>25239</v>
      </c>
      <c r="D5101" s="28" t="s">
        <v>120</v>
      </c>
      <c r="E5101" s="28" t="s">
        <v>18756</v>
      </c>
      <c r="F5101" s="28" t="s">
        <v>21</v>
      </c>
      <c r="G5101" s="28" t="s">
        <v>39</v>
      </c>
      <c r="H5101" s="28" t="s">
        <v>16221</v>
      </c>
      <c r="I5101" s="28" t="s">
        <v>25412</v>
      </c>
      <c r="J5101" s="28" t="s">
        <v>39</v>
      </c>
      <c r="K5101" s="28" t="s">
        <v>16223</v>
      </c>
      <c r="L5101" s="28" t="s">
        <v>16224</v>
      </c>
      <c r="M5101" s="28" t="s">
        <v>18758</v>
      </c>
      <c r="N5101" s="28" t="s">
        <v>16226</v>
      </c>
      <c r="O5101" s="28" t="s">
        <v>16227</v>
      </c>
      <c r="P5101" s="28" t="s">
        <v>25413</v>
      </c>
    </row>
    <row r="5102" spans="1:16" x14ac:dyDescent="0.25">
      <c r="A5102" s="28" t="s">
        <v>25414</v>
      </c>
      <c r="B5102" s="28" t="s">
        <v>25415</v>
      </c>
      <c r="C5102" s="28" t="s">
        <v>25239</v>
      </c>
      <c r="D5102" s="28" t="s">
        <v>120</v>
      </c>
      <c r="E5102" s="28" t="s">
        <v>18756</v>
      </c>
      <c r="F5102" s="28" t="s">
        <v>21</v>
      </c>
      <c r="G5102" s="28" t="s">
        <v>39</v>
      </c>
      <c r="H5102" s="28" t="s">
        <v>16221</v>
      </c>
      <c r="I5102" s="28" t="s">
        <v>25416</v>
      </c>
      <c r="J5102" s="28" t="s">
        <v>39</v>
      </c>
      <c r="K5102" s="28" t="s">
        <v>16223</v>
      </c>
      <c r="L5102" s="28" t="s">
        <v>16224</v>
      </c>
      <c r="M5102" s="28" t="s">
        <v>18763</v>
      </c>
      <c r="N5102" s="28" t="s">
        <v>16226</v>
      </c>
      <c r="O5102" s="28" t="s">
        <v>16227</v>
      </c>
      <c r="P5102" s="28" t="s">
        <v>25413</v>
      </c>
    </row>
    <row r="5103" spans="1:16" x14ac:dyDescent="0.25">
      <c r="A5103" s="28" t="s">
        <v>25417</v>
      </c>
      <c r="B5103" s="28" t="s">
        <v>25418</v>
      </c>
      <c r="C5103" s="28" t="s">
        <v>25239</v>
      </c>
      <c r="D5103" s="28" t="s">
        <v>120</v>
      </c>
      <c r="E5103" s="28" t="s">
        <v>18766</v>
      </c>
      <c r="F5103" s="28" t="s">
        <v>21</v>
      </c>
      <c r="G5103" s="28" t="s">
        <v>39</v>
      </c>
      <c r="H5103" s="28" t="s">
        <v>16221</v>
      </c>
      <c r="I5103" s="28" t="s">
        <v>25419</v>
      </c>
      <c r="J5103" s="28" t="s">
        <v>39</v>
      </c>
      <c r="K5103" s="28" t="s">
        <v>16223</v>
      </c>
      <c r="L5103" s="28" t="s">
        <v>16224</v>
      </c>
      <c r="M5103" s="28" t="s">
        <v>18768</v>
      </c>
      <c r="N5103" s="28" t="s">
        <v>16226</v>
      </c>
      <c r="O5103" s="28" t="s">
        <v>16227</v>
      </c>
      <c r="P5103" s="28" t="s">
        <v>25420</v>
      </c>
    </row>
    <row r="5104" spans="1:16" x14ac:dyDescent="0.25">
      <c r="A5104" s="28" t="s">
        <v>25421</v>
      </c>
      <c r="B5104" s="28" t="s">
        <v>25422</v>
      </c>
      <c r="C5104" s="28" t="s">
        <v>25239</v>
      </c>
      <c r="D5104" s="28" t="s">
        <v>120</v>
      </c>
      <c r="E5104" s="28" t="s">
        <v>18766</v>
      </c>
      <c r="F5104" s="28" t="s">
        <v>21</v>
      </c>
      <c r="G5104" s="28" t="s">
        <v>39</v>
      </c>
      <c r="H5104" s="28" t="s">
        <v>16221</v>
      </c>
      <c r="I5104" s="28" t="s">
        <v>25423</v>
      </c>
      <c r="J5104" s="28" t="s">
        <v>39</v>
      </c>
      <c r="K5104" s="28" t="s">
        <v>16223</v>
      </c>
      <c r="L5104" s="28" t="s">
        <v>16224</v>
      </c>
      <c r="M5104" s="28" t="s">
        <v>18773</v>
      </c>
      <c r="N5104" s="28" t="s">
        <v>16226</v>
      </c>
      <c r="O5104" s="28" t="s">
        <v>16227</v>
      </c>
      <c r="P5104" s="28" t="s">
        <v>25420</v>
      </c>
    </row>
    <row r="5105" spans="1:16" x14ac:dyDescent="0.25">
      <c r="A5105" s="28" t="s">
        <v>25424</v>
      </c>
      <c r="B5105" s="28" t="s">
        <v>25425</v>
      </c>
      <c r="C5105" s="28" t="s">
        <v>25239</v>
      </c>
      <c r="D5105" s="28" t="s">
        <v>120</v>
      </c>
      <c r="E5105" s="28" t="s">
        <v>18776</v>
      </c>
      <c r="F5105" s="28" t="s">
        <v>21</v>
      </c>
      <c r="G5105" s="28" t="s">
        <v>39</v>
      </c>
      <c r="H5105" s="28" t="s">
        <v>16221</v>
      </c>
      <c r="I5105" s="28" t="s">
        <v>25426</v>
      </c>
      <c r="J5105" s="28" t="s">
        <v>39</v>
      </c>
      <c r="K5105" s="28" t="s">
        <v>16223</v>
      </c>
      <c r="L5105" s="28" t="s">
        <v>16224</v>
      </c>
      <c r="M5105" s="28" t="s">
        <v>18778</v>
      </c>
      <c r="N5105" s="28" t="s">
        <v>16226</v>
      </c>
      <c r="O5105" s="28" t="s">
        <v>16227</v>
      </c>
      <c r="P5105" s="28" t="s">
        <v>25427</v>
      </c>
    </row>
    <row r="5106" spans="1:16" x14ac:dyDescent="0.25">
      <c r="A5106" s="28" t="s">
        <v>25428</v>
      </c>
      <c r="B5106" s="28" t="s">
        <v>25429</v>
      </c>
      <c r="C5106" s="28" t="s">
        <v>25239</v>
      </c>
      <c r="D5106" s="28" t="s">
        <v>120</v>
      </c>
      <c r="E5106" s="28" t="s">
        <v>18776</v>
      </c>
      <c r="F5106" s="28" t="s">
        <v>21</v>
      </c>
      <c r="G5106" s="28" t="s">
        <v>39</v>
      </c>
      <c r="H5106" s="28" t="s">
        <v>16221</v>
      </c>
      <c r="I5106" s="28" t="s">
        <v>25430</v>
      </c>
      <c r="J5106" s="28" t="s">
        <v>39</v>
      </c>
      <c r="K5106" s="28" t="s">
        <v>16223</v>
      </c>
      <c r="L5106" s="28" t="s">
        <v>16224</v>
      </c>
      <c r="M5106" s="28" t="s">
        <v>18783</v>
      </c>
      <c r="N5106" s="28" t="s">
        <v>16226</v>
      </c>
      <c r="O5106" s="28" t="s">
        <v>16227</v>
      </c>
      <c r="P5106" s="28" t="s">
        <v>25427</v>
      </c>
    </row>
    <row r="5107" spans="1:16" x14ac:dyDescent="0.25">
      <c r="A5107" s="28" t="s">
        <v>25431</v>
      </c>
      <c r="B5107" s="28" t="s">
        <v>25432</v>
      </c>
      <c r="C5107" s="28" t="s">
        <v>25239</v>
      </c>
      <c r="D5107" s="28" t="s">
        <v>120</v>
      </c>
      <c r="E5107" s="28" t="s">
        <v>18776</v>
      </c>
      <c r="F5107" s="28" t="s">
        <v>21</v>
      </c>
      <c r="G5107" s="28" t="s">
        <v>39</v>
      </c>
      <c r="H5107" s="28" t="s">
        <v>16221</v>
      </c>
      <c r="I5107" s="28" t="s">
        <v>25433</v>
      </c>
      <c r="J5107" s="28" t="s">
        <v>39</v>
      </c>
      <c r="K5107" s="28" t="s">
        <v>16223</v>
      </c>
      <c r="L5107" s="28" t="s">
        <v>16224</v>
      </c>
      <c r="M5107" s="28" t="s">
        <v>18787</v>
      </c>
      <c r="N5107" s="28" t="s">
        <v>16226</v>
      </c>
      <c r="O5107" s="28" t="s">
        <v>16227</v>
      </c>
      <c r="P5107" s="28" t="s">
        <v>25427</v>
      </c>
    </row>
    <row r="5108" spans="1:16" x14ac:dyDescent="0.25">
      <c r="A5108" s="28" t="s">
        <v>25434</v>
      </c>
      <c r="B5108" s="28" t="s">
        <v>25435</v>
      </c>
      <c r="C5108" s="28" t="s">
        <v>25239</v>
      </c>
      <c r="D5108" s="28" t="s">
        <v>120</v>
      </c>
      <c r="E5108" s="28" t="s">
        <v>18790</v>
      </c>
      <c r="F5108" s="28" t="s">
        <v>21</v>
      </c>
      <c r="G5108" s="28" t="s">
        <v>39</v>
      </c>
      <c r="H5108" s="28" t="s">
        <v>16221</v>
      </c>
      <c r="I5108" s="28" t="s">
        <v>25436</v>
      </c>
      <c r="J5108" s="28" t="s">
        <v>39</v>
      </c>
      <c r="K5108" s="28" t="s">
        <v>16223</v>
      </c>
      <c r="L5108" s="28" t="s">
        <v>16224</v>
      </c>
      <c r="M5108" s="28" t="s">
        <v>18792</v>
      </c>
      <c r="N5108" s="28" t="s">
        <v>16226</v>
      </c>
      <c r="O5108" s="28" t="s">
        <v>16227</v>
      </c>
      <c r="P5108" s="28" t="s">
        <v>25437</v>
      </c>
    </row>
    <row r="5109" spans="1:16" x14ac:dyDescent="0.25">
      <c r="A5109" s="28" t="s">
        <v>25438</v>
      </c>
      <c r="B5109" s="28" t="s">
        <v>25439</v>
      </c>
      <c r="C5109" s="28" t="s">
        <v>25239</v>
      </c>
      <c r="D5109" s="28" t="s">
        <v>120</v>
      </c>
      <c r="E5109" s="28" t="s">
        <v>18790</v>
      </c>
      <c r="F5109" s="28" t="s">
        <v>21</v>
      </c>
      <c r="G5109" s="28" t="s">
        <v>39</v>
      </c>
      <c r="H5109" s="28" t="s">
        <v>16221</v>
      </c>
      <c r="I5109" s="28" t="s">
        <v>25440</v>
      </c>
      <c r="J5109" s="28" t="s">
        <v>39</v>
      </c>
      <c r="K5109" s="28" t="s">
        <v>16223</v>
      </c>
      <c r="L5109" s="28" t="s">
        <v>16224</v>
      </c>
      <c r="M5109" s="28" t="s">
        <v>18797</v>
      </c>
      <c r="N5109" s="28" t="s">
        <v>16226</v>
      </c>
      <c r="O5109" s="28" t="s">
        <v>16227</v>
      </c>
      <c r="P5109" s="28" t="s">
        <v>25437</v>
      </c>
    </row>
    <row r="5110" spans="1:16" x14ac:dyDescent="0.25">
      <c r="A5110" s="28" t="s">
        <v>25441</v>
      </c>
      <c r="B5110" s="28" t="s">
        <v>25442</v>
      </c>
      <c r="C5110" s="28" t="s">
        <v>25239</v>
      </c>
      <c r="D5110" s="28" t="s">
        <v>120</v>
      </c>
      <c r="E5110" s="28" t="s">
        <v>18800</v>
      </c>
      <c r="F5110" s="28" t="s">
        <v>21</v>
      </c>
      <c r="G5110" s="28" t="s">
        <v>39</v>
      </c>
      <c r="H5110" s="28" t="s">
        <v>16221</v>
      </c>
      <c r="I5110" s="28" t="s">
        <v>25443</v>
      </c>
      <c r="J5110" s="28" t="s">
        <v>39</v>
      </c>
      <c r="K5110" s="28" t="s">
        <v>16223</v>
      </c>
      <c r="L5110" s="28" t="s">
        <v>16224</v>
      </c>
      <c r="M5110" s="28" t="s">
        <v>18802</v>
      </c>
      <c r="N5110" s="28" t="s">
        <v>16226</v>
      </c>
      <c r="O5110" s="28" t="s">
        <v>16227</v>
      </c>
      <c r="P5110" s="28" t="s">
        <v>25444</v>
      </c>
    </row>
    <row r="5111" spans="1:16" x14ac:dyDescent="0.25">
      <c r="A5111" s="28" t="s">
        <v>25445</v>
      </c>
      <c r="B5111" s="28" t="s">
        <v>25446</v>
      </c>
      <c r="C5111" s="28" t="s">
        <v>25239</v>
      </c>
      <c r="D5111" s="28" t="s">
        <v>120</v>
      </c>
      <c r="E5111" s="28" t="s">
        <v>18800</v>
      </c>
      <c r="F5111" s="28" t="s">
        <v>21</v>
      </c>
      <c r="G5111" s="28" t="s">
        <v>39</v>
      </c>
      <c r="H5111" s="28" t="s">
        <v>16221</v>
      </c>
      <c r="I5111" s="28" t="s">
        <v>25447</v>
      </c>
      <c r="J5111" s="28" t="s">
        <v>39</v>
      </c>
      <c r="K5111" s="28" t="s">
        <v>16223</v>
      </c>
      <c r="L5111" s="28" t="s">
        <v>16224</v>
      </c>
      <c r="M5111" s="28" t="s">
        <v>18807</v>
      </c>
      <c r="N5111" s="28" t="s">
        <v>16226</v>
      </c>
      <c r="O5111" s="28" t="s">
        <v>16227</v>
      </c>
      <c r="P5111" s="28" t="s">
        <v>25444</v>
      </c>
    </row>
    <row r="5112" spans="1:16" x14ac:dyDescent="0.25">
      <c r="A5112" s="28" t="s">
        <v>25448</v>
      </c>
      <c r="B5112" s="28" t="s">
        <v>25449</v>
      </c>
      <c r="C5112" s="28" t="s">
        <v>25239</v>
      </c>
      <c r="D5112" s="28" t="s">
        <v>120</v>
      </c>
      <c r="E5112" s="28" t="s">
        <v>25450</v>
      </c>
      <c r="F5112" s="28" t="s">
        <v>21</v>
      </c>
      <c r="G5112" s="28" t="s">
        <v>25396</v>
      </c>
      <c r="H5112" s="28" t="s">
        <v>25280</v>
      </c>
      <c r="I5112" s="28" t="s">
        <v>25451</v>
      </c>
      <c r="J5112" s="28" t="s">
        <v>25396</v>
      </c>
      <c r="K5112" s="28" t="s">
        <v>25452</v>
      </c>
      <c r="L5112" s="28" t="s">
        <v>25283</v>
      </c>
      <c r="M5112" s="28" t="s">
        <v>25453</v>
      </c>
      <c r="N5112" s="28" t="s">
        <v>25285</v>
      </c>
      <c r="O5112" s="28" t="s">
        <v>25286</v>
      </c>
      <c r="P5112" s="28" t="s">
        <v>25287</v>
      </c>
    </row>
    <row r="5113" spans="1:16" x14ac:dyDescent="0.25">
      <c r="A5113" s="28" t="s">
        <v>25454</v>
      </c>
      <c r="B5113" s="28" t="s">
        <v>25455</v>
      </c>
      <c r="C5113" s="28" t="s">
        <v>25239</v>
      </c>
      <c r="D5113" s="28" t="s">
        <v>120</v>
      </c>
      <c r="E5113" s="28" t="s">
        <v>25450</v>
      </c>
      <c r="F5113" s="28" t="s">
        <v>21</v>
      </c>
      <c r="G5113" s="28" t="s">
        <v>25396</v>
      </c>
      <c r="H5113" s="28" t="s">
        <v>25280</v>
      </c>
      <c r="I5113" s="28" t="s">
        <v>25456</v>
      </c>
      <c r="J5113" s="28" t="s">
        <v>25396</v>
      </c>
      <c r="K5113" s="28" t="s">
        <v>25457</v>
      </c>
      <c r="L5113" s="28" t="s">
        <v>25283</v>
      </c>
      <c r="M5113" s="28" t="s">
        <v>25458</v>
      </c>
      <c r="N5113" s="28" t="s">
        <v>25285</v>
      </c>
      <c r="O5113" s="28" t="s">
        <v>25286</v>
      </c>
      <c r="P5113" s="28" t="s">
        <v>25287</v>
      </c>
    </row>
    <row r="5114" spans="1:16" x14ac:dyDescent="0.25">
      <c r="A5114" s="28" t="s">
        <v>25459</v>
      </c>
      <c r="B5114" s="28" t="s">
        <v>25460</v>
      </c>
      <c r="C5114" s="28" t="s">
        <v>25239</v>
      </c>
      <c r="D5114" s="28" t="s">
        <v>120</v>
      </c>
      <c r="E5114" s="28" t="s">
        <v>18810</v>
      </c>
      <c r="F5114" s="28" t="s">
        <v>21</v>
      </c>
      <c r="G5114" s="28" t="s">
        <v>39</v>
      </c>
      <c r="H5114" s="28" t="s">
        <v>16221</v>
      </c>
      <c r="I5114" s="28" t="s">
        <v>25461</v>
      </c>
      <c r="J5114" s="28" t="s">
        <v>39</v>
      </c>
      <c r="K5114" s="28" t="s">
        <v>16223</v>
      </c>
      <c r="L5114" s="28" t="s">
        <v>16224</v>
      </c>
      <c r="M5114" s="28" t="s">
        <v>18812</v>
      </c>
      <c r="N5114" s="28" t="s">
        <v>16226</v>
      </c>
      <c r="O5114" s="28" t="s">
        <v>16227</v>
      </c>
      <c r="P5114" s="28" t="s">
        <v>25462</v>
      </c>
    </row>
    <row r="5115" spans="1:16" x14ac:dyDescent="0.25">
      <c r="A5115" s="28" t="s">
        <v>25463</v>
      </c>
      <c r="B5115" s="28" t="s">
        <v>25464</v>
      </c>
      <c r="C5115" s="28" t="s">
        <v>25239</v>
      </c>
      <c r="D5115" s="28" t="s">
        <v>120</v>
      </c>
      <c r="E5115" s="28" t="s">
        <v>18810</v>
      </c>
      <c r="F5115" s="28" t="s">
        <v>21</v>
      </c>
      <c r="G5115" s="28" t="s">
        <v>39</v>
      </c>
      <c r="H5115" s="28" t="s">
        <v>16221</v>
      </c>
      <c r="I5115" s="28" t="s">
        <v>25465</v>
      </c>
      <c r="J5115" s="28" t="s">
        <v>39</v>
      </c>
      <c r="K5115" s="28" t="s">
        <v>16223</v>
      </c>
      <c r="L5115" s="28" t="s">
        <v>16224</v>
      </c>
      <c r="M5115" s="28" t="s">
        <v>18817</v>
      </c>
      <c r="N5115" s="28" t="s">
        <v>16226</v>
      </c>
      <c r="O5115" s="28" t="s">
        <v>16227</v>
      </c>
      <c r="P5115" s="28" t="s">
        <v>25462</v>
      </c>
    </row>
    <row r="5116" spans="1:16" x14ac:dyDescent="0.25">
      <c r="A5116" s="28" t="s">
        <v>25466</v>
      </c>
      <c r="B5116" s="28" t="s">
        <v>25467</v>
      </c>
      <c r="C5116" s="28" t="s">
        <v>25239</v>
      </c>
      <c r="D5116" s="28" t="s">
        <v>120</v>
      </c>
      <c r="E5116" s="28" t="s">
        <v>18820</v>
      </c>
      <c r="F5116" s="28" t="s">
        <v>21</v>
      </c>
      <c r="G5116" s="28" t="s">
        <v>39</v>
      </c>
      <c r="H5116" s="28" t="s">
        <v>16221</v>
      </c>
      <c r="I5116" s="28" t="s">
        <v>25468</v>
      </c>
      <c r="J5116" s="28" t="s">
        <v>39</v>
      </c>
      <c r="K5116" s="28" t="s">
        <v>16223</v>
      </c>
      <c r="L5116" s="28" t="s">
        <v>16224</v>
      </c>
      <c r="M5116" s="28" t="s">
        <v>18822</v>
      </c>
      <c r="N5116" s="28" t="s">
        <v>16226</v>
      </c>
      <c r="O5116" s="28" t="s">
        <v>16227</v>
      </c>
      <c r="P5116" s="28" t="s">
        <v>25469</v>
      </c>
    </row>
    <row r="5117" spans="1:16" x14ac:dyDescent="0.25">
      <c r="A5117" s="28" t="s">
        <v>25470</v>
      </c>
      <c r="B5117" s="28" t="s">
        <v>25471</v>
      </c>
      <c r="C5117" s="28" t="s">
        <v>25239</v>
      </c>
      <c r="D5117" s="28" t="s">
        <v>120</v>
      </c>
      <c r="E5117" s="28" t="s">
        <v>18820</v>
      </c>
      <c r="F5117" s="28" t="s">
        <v>21</v>
      </c>
      <c r="G5117" s="28" t="s">
        <v>39</v>
      </c>
      <c r="H5117" s="28" t="s">
        <v>16221</v>
      </c>
      <c r="I5117" s="28" t="s">
        <v>25472</v>
      </c>
      <c r="J5117" s="28" t="s">
        <v>39</v>
      </c>
      <c r="K5117" s="28" t="s">
        <v>16223</v>
      </c>
      <c r="L5117" s="28" t="s">
        <v>16224</v>
      </c>
      <c r="M5117" s="28" t="s">
        <v>18827</v>
      </c>
      <c r="N5117" s="28" t="s">
        <v>16226</v>
      </c>
      <c r="O5117" s="28" t="s">
        <v>16227</v>
      </c>
      <c r="P5117" s="28" t="s">
        <v>25469</v>
      </c>
    </row>
    <row r="5118" spans="1:16" x14ac:dyDescent="0.25">
      <c r="A5118" s="28" t="s">
        <v>25473</v>
      </c>
      <c r="B5118" s="28" t="s">
        <v>25474</v>
      </c>
      <c r="C5118" s="28" t="s">
        <v>25239</v>
      </c>
      <c r="D5118" s="28" t="s">
        <v>120</v>
      </c>
      <c r="E5118" s="28" t="s">
        <v>18820</v>
      </c>
      <c r="F5118" s="28" t="s">
        <v>21</v>
      </c>
      <c r="G5118" s="28" t="s">
        <v>39</v>
      </c>
      <c r="H5118" s="28" t="s">
        <v>16221</v>
      </c>
      <c r="I5118" s="28" t="s">
        <v>25475</v>
      </c>
      <c r="J5118" s="28" t="s">
        <v>39</v>
      </c>
      <c r="K5118" s="28" t="s">
        <v>16223</v>
      </c>
      <c r="L5118" s="28" t="s">
        <v>16224</v>
      </c>
      <c r="M5118" s="28" t="s">
        <v>18831</v>
      </c>
      <c r="N5118" s="28" t="s">
        <v>16226</v>
      </c>
      <c r="O5118" s="28" t="s">
        <v>16227</v>
      </c>
      <c r="P5118" s="28" t="s">
        <v>25469</v>
      </c>
    </row>
    <row r="5119" spans="1:16" x14ac:dyDescent="0.25">
      <c r="A5119" s="28" t="s">
        <v>25476</v>
      </c>
      <c r="B5119" s="28" t="s">
        <v>25477</v>
      </c>
      <c r="C5119" s="28" t="s">
        <v>25239</v>
      </c>
      <c r="D5119" s="28" t="s">
        <v>120</v>
      </c>
      <c r="E5119" s="28" t="s">
        <v>18834</v>
      </c>
      <c r="F5119" s="28" t="s">
        <v>21</v>
      </c>
      <c r="G5119" s="28" t="s">
        <v>39</v>
      </c>
      <c r="H5119" s="28" t="s">
        <v>16221</v>
      </c>
      <c r="I5119" s="28" t="s">
        <v>25478</v>
      </c>
      <c r="J5119" s="28" t="s">
        <v>39</v>
      </c>
      <c r="K5119" s="28" t="s">
        <v>16223</v>
      </c>
      <c r="L5119" s="28" t="s">
        <v>16224</v>
      </c>
      <c r="M5119" s="28" t="s">
        <v>18836</v>
      </c>
      <c r="N5119" s="28" t="s">
        <v>16226</v>
      </c>
      <c r="O5119" s="28" t="s">
        <v>16227</v>
      </c>
      <c r="P5119" s="28" t="s">
        <v>25479</v>
      </c>
    </row>
    <row r="5120" spans="1:16" x14ac:dyDescent="0.25">
      <c r="A5120" s="28" t="s">
        <v>25480</v>
      </c>
      <c r="B5120" s="28" t="s">
        <v>25481</v>
      </c>
      <c r="C5120" s="28" t="s">
        <v>25239</v>
      </c>
      <c r="D5120" s="28" t="s">
        <v>120</v>
      </c>
      <c r="E5120" s="28" t="s">
        <v>18834</v>
      </c>
      <c r="F5120" s="28" t="s">
        <v>21</v>
      </c>
      <c r="G5120" s="28" t="s">
        <v>39</v>
      </c>
      <c r="H5120" s="28" t="s">
        <v>16221</v>
      </c>
      <c r="I5120" s="28" t="s">
        <v>25482</v>
      </c>
      <c r="J5120" s="28" t="s">
        <v>39</v>
      </c>
      <c r="K5120" s="28" t="s">
        <v>16223</v>
      </c>
      <c r="L5120" s="28" t="s">
        <v>16224</v>
      </c>
      <c r="M5120" s="28" t="s">
        <v>18841</v>
      </c>
      <c r="N5120" s="28" t="s">
        <v>16226</v>
      </c>
      <c r="O5120" s="28" t="s">
        <v>16227</v>
      </c>
      <c r="P5120" s="28" t="s">
        <v>25479</v>
      </c>
    </row>
    <row r="5121" spans="1:16" x14ac:dyDescent="0.25">
      <c r="A5121" s="28" t="s">
        <v>25483</v>
      </c>
      <c r="B5121" s="28" t="s">
        <v>25484</v>
      </c>
      <c r="C5121" s="28" t="s">
        <v>25239</v>
      </c>
      <c r="D5121" s="28" t="s">
        <v>120</v>
      </c>
      <c r="E5121" s="28" t="s">
        <v>18834</v>
      </c>
      <c r="F5121" s="28" t="s">
        <v>21</v>
      </c>
      <c r="G5121" s="28" t="s">
        <v>39</v>
      </c>
      <c r="H5121" s="28" t="s">
        <v>16221</v>
      </c>
      <c r="I5121" s="28" t="s">
        <v>25485</v>
      </c>
      <c r="J5121" s="28" t="s">
        <v>39</v>
      </c>
      <c r="K5121" s="28" t="s">
        <v>16223</v>
      </c>
      <c r="L5121" s="28" t="s">
        <v>16224</v>
      </c>
      <c r="M5121" s="28" t="s">
        <v>18845</v>
      </c>
      <c r="N5121" s="28" t="s">
        <v>16226</v>
      </c>
      <c r="O5121" s="28" t="s">
        <v>16227</v>
      </c>
      <c r="P5121" s="28" t="s">
        <v>25479</v>
      </c>
    </row>
    <row r="5122" spans="1:16" x14ac:dyDescent="0.25">
      <c r="A5122" s="28" t="s">
        <v>25486</v>
      </c>
      <c r="B5122" s="28" t="s">
        <v>25487</v>
      </c>
      <c r="C5122" s="28" t="s">
        <v>25239</v>
      </c>
      <c r="D5122" s="28" t="s">
        <v>120</v>
      </c>
      <c r="E5122" s="28" t="s">
        <v>18848</v>
      </c>
      <c r="F5122" s="28" t="s">
        <v>21</v>
      </c>
      <c r="G5122" s="28" t="s">
        <v>39</v>
      </c>
      <c r="H5122" s="28" t="s">
        <v>16221</v>
      </c>
      <c r="I5122" s="28" t="s">
        <v>25488</v>
      </c>
      <c r="J5122" s="28" t="s">
        <v>39</v>
      </c>
      <c r="K5122" s="28" t="s">
        <v>16223</v>
      </c>
      <c r="L5122" s="28" t="s">
        <v>16224</v>
      </c>
      <c r="M5122" s="28" t="s">
        <v>18850</v>
      </c>
      <c r="N5122" s="28" t="s">
        <v>16226</v>
      </c>
      <c r="O5122" s="28" t="s">
        <v>16227</v>
      </c>
      <c r="P5122" s="28" t="s">
        <v>25489</v>
      </c>
    </row>
    <row r="5123" spans="1:16" x14ac:dyDescent="0.25">
      <c r="A5123" s="28" t="s">
        <v>25490</v>
      </c>
      <c r="B5123" s="28" t="s">
        <v>25491</v>
      </c>
      <c r="C5123" s="28" t="s">
        <v>25239</v>
      </c>
      <c r="D5123" s="28" t="s">
        <v>120</v>
      </c>
      <c r="E5123" s="28" t="s">
        <v>18848</v>
      </c>
      <c r="F5123" s="28" t="s">
        <v>21</v>
      </c>
      <c r="G5123" s="28" t="s">
        <v>39</v>
      </c>
      <c r="H5123" s="28" t="s">
        <v>16221</v>
      </c>
      <c r="I5123" s="28" t="s">
        <v>25492</v>
      </c>
      <c r="J5123" s="28" t="s">
        <v>39</v>
      </c>
      <c r="K5123" s="28" t="s">
        <v>16223</v>
      </c>
      <c r="L5123" s="28" t="s">
        <v>16224</v>
      </c>
      <c r="M5123" s="28" t="s">
        <v>18855</v>
      </c>
      <c r="N5123" s="28" t="s">
        <v>16226</v>
      </c>
      <c r="O5123" s="28" t="s">
        <v>16227</v>
      </c>
      <c r="P5123" s="28" t="s">
        <v>25489</v>
      </c>
    </row>
    <row r="5124" spans="1:16" x14ac:dyDescent="0.25">
      <c r="A5124" s="28" t="s">
        <v>25493</v>
      </c>
      <c r="B5124" s="28" t="s">
        <v>25494</v>
      </c>
      <c r="C5124" s="28" t="s">
        <v>25239</v>
      </c>
      <c r="D5124" s="28" t="s">
        <v>120</v>
      </c>
      <c r="E5124" s="28" t="s">
        <v>18848</v>
      </c>
      <c r="F5124" s="28" t="s">
        <v>21</v>
      </c>
      <c r="G5124" s="28" t="s">
        <v>39</v>
      </c>
      <c r="H5124" s="28" t="s">
        <v>16221</v>
      </c>
      <c r="I5124" s="28" t="s">
        <v>25495</v>
      </c>
      <c r="J5124" s="28" t="s">
        <v>39</v>
      </c>
      <c r="K5124" s="28" t="s">
        <v>16223</v>
      </c>
      <c r="L5124" s="28" t="s">
        <v>16224</v>
      </c>
      <c r="M5124" s="28" t="s">
        <v>18859</v>
      </c>
      <c r="N5124" s="28" t="s">
        <v>16226</v>
      </c>
      <c r="O5124" s="28" t="s">
        <v>16227</v>
      </c>
      <c r="P5124" s="28" t="s">
        <v>25489</v>
      </c>
    </row>
    <row r="5125" spans="1:16" x14ac:dyDescent="0.25">
      <c r="A5125" s="28" t="s">
        <v>25496</v>
      </c>
      <c r="B5125" s="28" t="s">
        <v>25497</v>
      </c>
      <c r="C5125" s="28" t="s">
        <v>25239</v>
      </c>
      <c r="D5125" s="28" t="s">
        <v>120</v>
      </c>
      <c r="E5125" s="28" t="s">
        <v>18862</v>
      </c>
      <c r="F5125" s="28" t="s">
        <v>21</v>
      </c>
      <c r="G5125" s="28" t="s">
        <v>39</v>
      </c>
      <c r="H5125" s="28" t="s">
        <v>16221</v>
      </c>
      <c r="I5125" s="28" t="s">
        <v>25498</v>
      </c>
      <c r="J5125" s="28" t="s">
        <v>39</v>
      </c>
      <c r="K5125" s="28" t="s">
        <v>16223</v>
      </c>
      <c r="L5125" s="28" t="s">
        <v>16224</v>
      </c>
      <c r="M5125" s="28" t="s">
        <v>18864</v>
      </c>
      <c r="N5125" s="28" t="s">
        <v>16226</v>
      </c>
      <c r="O5125" s="28" t="s">
        <v>16227</v>
      </c>
      <c r="P5125" s="28" t="s">
        <v>25499</v>
      </c>
    </row>
    <row r="5126" spans="1:16" x14ac:dyDescent="0.25">
      <c r="A5126" s="28" t="s">
        <v>25500</v>
      </c>
      <c r="B5126" s="28" t="s">
        <v>25501</v>
      </c>
      <c r="C5126" s="28" t="s">
        <v>25239</v>
      </c>
      <c r="D5126" s="28" t="s">
        <v>120</v>
      </c>
      <c r="E5126" s="28" t="s">
        <v>18862</v>
      </c>
      <c r="F5126" s="28" t="s">
        <v>21</v>
      </c>
      <c r="G5126" s="28" t="s">
        <v>39</v>
      </c>
      <c r="H5126" s="28" t="s">
        <v>16221</v>
      </c>
      <c r="I5126" s="28" t="s">
        <v>25502</v>
      </c>
      <c r="J5126" s="28" t="s">
        <v>39</v>
      </c>
      <c r="K5126" s="28" t="s">
        <v>16223</v>
      </c>
      <c r="L5126" s="28" t="s">
        <v>16224</v>
      </c>
      <c r="M5126" s="28" t="s">
        <v>18869</v>
      </c>
      <c r="N5126" s="28" t="s">
        <v>16226</v>
      </c>
      <c r="O5126" s="28" t="s">
        <v>16227</v>
      </c>
      <c r="P5126" s="28" t="s">
        <v>25499</v>
      </c>
    </row>
    <row r="5127" spans="1:16" x14ac:dyDescent="0.25">
      <c r="A5127" s="28" t="s">
        <v>25503</v>
      </c>
      <c r="B5127" s="28" t="s">
        <v>25504</v>
      </c>
      <c r="C5127" s="28" t="s">
        <v>25239</v>
      </c>
      <c r="D5127" s="28" t="s">
        <v>120</v>
      </c>
      <c r="E5127" s="28" t="s">
        <v>18872</v>
      </c>
      <c r="F5127" s="28" t="s">
        <v>21</v>
      </c>
      <c r="G5127" s="28" t="s">
        <v>39</v>
      </c>
      <c r="H5127" s="28" t="s">
        <v>16221</v>
      </c>
      <c r="I5127" s="28" t="s">
        <v>25505</v>
      </c>
      <c r="J5127" s="28" t="s">
        <v>39</v>
      </c>
      <c r="K5127" s="28" t="s">
        <v>16223</v>
      </c>
      <c r="L5127" s="28" t="s">
        <v>16224</v>
      </c>
      <c r="M5127" s="28" t="s">
        <v>18874</v>
      </c>
      <c r="N5127" s="28" t="s">
        <v>16226</v>
      </c>
      <c r="O5127" s="28" t="s">
        <v>16227</v>
      </c>
      <c r="P5127" s="28" t="s">
        <v>25506</v>
      </c>
    </row>
    <row r="5128" spans="1:16" x14ac:dyDescent="0.25">
      <c r="A5128" s="28" t="s">
        <v>25507</v>
      </c>
      <c r="B5128" s="28" t="s">
        <v>25508</v>
      </c>
      <c r="C5128" s="28" t="s">
        <v>25239</v>
      </c>
      <c r="D5128" s="28" t="s">
        <v>120</v>
      </c>
      <c r="E5128" s="28" t="s">
        <v>18872</v>
      </c>
      <c r="F5128" s="28" t="s">
        <v>21</v>
      </c>
      <c r="G5128" s="28" t="s">
        <v>39</v>
      </c>
      <c r="H5128" s="28" t="s">
        <v>16221</v>
      </c>
      <c r="I5128" s="28" t="s">
        <v>25509</v>
      </c>
      <c r="J5128" s="28" t="s">
        <v>39</v>
      </c>
      <c r="K5128" s="28" t="s">
        <v>16223</v>
      </c>
      <c r="L5128" s="28" t="s">
        <v>16224</v>
      </c>
      <c r="M5128" s="28" t="s">
        <v>18879</v>
      </c>
      <c r="N5128" s="28" t="s">
        <v>16226</v>
      </c>
      <c r="O5128" s="28" t="s">
        <v>16227</v>
      </c>
      <c r="P5128" s="28" t="s">
        <v>25506</v>
      </c>
    </row>
    <row r="5129" spans="1:16" x14ac:dyDescent="0.25">
      <c r="A5129" s="28" t="s">
        <v>25510</v>
      </c>
      <c r="B5129" s="28" t="s">
        <v>25511</v>
      </c>
      <c r="C5129" s="28" t="s">
        <v>25239</v>
      </c>
      <c r="D5129" s="28" t="s">
        <v>120</v>
      </c>
      <c r="E5129" s="28" t="s">
        <v>18882</v>
      </c>
      <c r="F5129" s="28" t="s">
        <v>21</v>
      </c>
      <c r="G5129" s="28" t="s">
        <v>39</v>
      </c>
      <c r="H5129" s="28" t="s">
        <v>16221</v>
      </c>
      <c r="I5129" s="28" t="s">
        <v>25512</v>
      </c>
      <c r="J5129" s="28" t="s">
        <v>39</v>
      </c>
      <c r="K5129" s="28" t="s">
        <v>16223</v>
      </c>
      <c r="L5129" s="28" t="s">
        <v>16224</v>
      </c>
      <c r="M5129" s="28" t="s">
        <v>18884</v>
      </c>
      <c r="N5129" s="28" t="s">
        <v>16226</v>
      </c>
      <c r="O5129" s="28" t="s">
        <v>16227</v>
      </c>
      <c r="P5129" s="28" t="s">
        <v>25513</v>
      </c>
    </row>
    <row r="5130" spans="1:16" x14ac:dyDescent="0.25">
      <c r="A5130" s="28" t="s">
        <v>25514</v>
      </c>
      <c r="B5130" s="28" t="s">
        <v>25515</v>
      </c>
      <c r="C5130" s="28" t="s">
        <v>25239</v>
      </c>
      <c r="D5130" s="28" t="s">
        <v>120</v>
      </c>
      <c r="E5130" s="28" t="s">
        <v>18882</v>
      </c>
      <c r="F5130" s="28" t="s">
        <v>21</v>
      </c>
      <c r="G5130" s="28" t="s">
        <v>39</v>
      </c>
      <c r="H5130" s="28" t="s">
        <v>16221</v>
      </c>
      <c r="I5130" s="28" t="s">
        <v>25516</v>
      </c>
      <c r="J5130" s="28" t="s">
        <v>39</v>
      </c>
      <c r="K5130" s="28" t="s">
        <v>16223</v>
      </c>
      <c r="L5130" s="28" t="s">
        <v>16224</v>
      </c>
      <c r="M5130" s="28" t="s">
        <v>18889</v>
      </c>
      <c r="N5130" s="28" t="s">
        <v>16226</v>
      </c>
      <c r="O5130" s="28" t="s">
        <v>16227</v>
      </c>
      <c r="P5130" s="28" t="s">
        <v>25513</v>
      </c>
    </row>
    <row r="5131" spans="1:16" x14ac:dyDescent="0.25">
      <c r="A5131" s="28" t="s">
        <v>25517</v>
      </c>
      <c r="B5131" s="28" t="s">
        <v>25518</v>
      </c>
      <c r="C5131" s="28" t="s">
        <v>25239</v>
      </c>
      <c r="D5131" s="28" t="s">
        <v>120</v>
      </c>
      <c r="E5131" s="28" t="s">
        <v>18882</v>
      </c>
      <c r="F5131" s="28" t="s">
        <v>21</v>
      </c>
      <c r="G5131" s="28" t="s">
        <v>39</v>
      </c>
      <c r="H5131" s="28" t="s">
        <v>16221</v>
      </c>
      <c r="I5131" s="28" t="s">
        <v>25519</v>
      </c>
      <c r="J5131" s="28" t="s">
        <v>39</v>
      </c>
      <c r="K5131" s="28" t="s">
        <v>16223</v>
      </c>
      <c r="L5131" s="28" t="s">
        <v>16224</v>
      </c>
      <c r="M5131" s="28" t="s">
        <v>18893</v>
      </c>
      <c r="N5131" s="28" t="s">
        <v>16226</v>
      </c>
      <c r="O5131" s="28" t="s">
        <v>16227</v>
      </c>
      <c r="P5131" s="28" t="s">
        <v>25513</v>
      </c>
    </row>
    <row r="5132" spans="1:16" x14ac:dyDescent="0.25">
      <c r="A5132" s="28" t="s">
        <v>25520</v>
      </c>
      <c r="B5132" s="28" t="s">
        <v>25521</v>
      </c>
      <c r="C5132" s="28" t="s">
        <v>25239</v>
      </c>
      <c r="D5132" s="28" t="s">
        <v>120</v>
      </c>
      <c r="E5132" s="28" t="s">
        <v>18896</v>
      </c>
      <c r="F5132" s="28" t="s">
        <v>21</v>
      </c>
      <c r="G5132" s="28" t="s">
        <v>39</v>
      </c>
      <c r="H5132" s="28" t="s">
        <v>16221</v>
      </c>
      <c r="I5132" s="28" t="s">
        <v>25522</v>
      </c>
      <c r="J5132" s="28" t="s">
        <v>39</v>
      </c>
      <c r="K5132" s="28" t="s">
        <v>16223</v>
      </c>
      <c r="L5132" s="28" t="s">
        <v>16224</v>
      </c>
      <c r="M5132" s="28" t="s">
        <v>18898</v>
      </c>
      <c r="N5132" s="28" t="s">
        <v>16226</v>
      </c>
      <c r="O5132" s="28" t="s">
        <v>16227</v>
      </c>
      <c r="P5132" s="28" t="s">
        <v>25523</v>
      </c>
    </row>
    <row r="5133" spans="1:16" x14ac:dyDescent="0.25">
      <c r="A5133" s="28" t="s">
        <v>25524</v>
      </c>
      <c r="B5133" s="28" t="s">
        <v>25525</v>
      </c>
      <c r="C5133" s="28" t="s">
        <v>25239</v>
      </c>
      <c r="D5133" s="28" t="s">
        <v>120</v>
      </c>
      <c r="E5133" s="28" t="s">
        <v>18896</v>
      </c>
      <c r="F5133" s="28" t="s">
        <v>21</v>
      </c>
      <c r="G5133" s="28" t="s">
        <v>39</v>
      </c>
      <c r="H5133" s="28" t="s">
        <v>16221</v>
      </c>
      <c r="I5133" s="28" t="s">
        <v>25526</v>
      </c>
      <c r="J5133" s="28" t="s">
        <v>39</v>
      </c>
      <c r="K5133" s="28" t="s">
        <v>16223</v>
      </c>
      <c r="L5133" s="28" t="s">
        <v>16224</v>
      </c>
      <c r="M5133" s="28" t="s">
        <v>18903</v>
      </c>
      <c r="N5133" s="28" t="s">
        <v>16226</v>
      </c>
      <c r="O5133" s="28" t="s">
        <v>16227</v>
      </c>
      <c r="P5133" s="28" t="s">
        <v>25523</v>
      </c>
    </row>
    <row r="5134" spans="1:16" x14ac:dyDescent="0.25">
      <c r="A5134" s="28" t="s">
        <v>25527</v>
      </c>
      <c r="B5134" s="28" t="s">
        <v>25528</v>
      </c>
      <c r="C5134" s="28" t="s">
        <v>25239</v>
      </c>
      <c r="D5134" s="28" t="s">
        <v>62</v>
      </c>
      <c r="E5134" s="28" t="s">
        <v>18906</v>
      </c>
      <c r="F5134" s="28" t="s">
        <v>21</v>
      </c>
      <c r="G5134" s="28" t="s">
        <v>39</v>
      </c>
      <c r="H5134" s="28" t="s">
        <v>16221</v>
      </c>
      <c r="I5134" s="28" t="s">
        <v>25529</v>
      </c>
      <c r="J5134" s="28" t="s">
        <v>39</v>
      </c>
      <c r="K5134" s="28" t="s">
        <v>16223</v>
      </c>
      <c r="L5134" s="28" t="s">
        <v>16224</v>
      </c>
      <c r="M5134" s="28" t="s">
        <v>18908</v>
      </c>
      <c r="N5134" s="28" t="s">
        <v>16226</v>
      </c>
      <c r="O5134" s="28" t="s">
        <v>16227</v>
      </c>
      <c r="P5134" s="28" t="s">
        <v>25530</v>
      </c>
    </row>
    <row r="5135" spans="1:16" x14ac:dyDescent="0.25">
      <c r="A5135" s="28" t="s">
        <v>25531</v>
      </c>
      <c r="B5135" s="28" t="s">
        <v>25532</v>
      </c>
      <c r="C5135" s="28" t="s">
        <v>25239</v>
      </c>
      <c r="D5135" s="28" t="s">
        <v>62</v>
      </c>
      <c r="E5135" s="28" t="s">
        <v>18906</v>
      </c>
      <c r="F5135" s="28" t="s">
        <v>21</v>
      </c>
      <c r="G5135" s="28" t="s">
        <v>39</v>
      </c>
      <c r="H5135" s="28" t="s">
        <v>16221</v>
      </c>
      <c r="I5135" s="28" t="s">
        <v>25533</v>
      </c>
      <c r="J5135" s="28" t="s">
        <v>39</v>
      </c>
      <c r="K5135" s="28" t="s">
        <v>16223</v>
      </c>
      <c r="L5135" s="28" t="s">
        <v>16224</v>
      </c>
      <c r="M5135" s="28" t="s">
        <v>18913</v>
      </c>
      <c r="N5135" s="28" t="s">
        <v>16226</v>
      </c>
      <c r="O5135" s="28" t="s">
        <v>16227</v>
      </c>
      <c r="P5135" s="28" t="s">
        <v>25530</v>
      </c>
    </row>
    <row r="5136" spans="1:16" x14ac:dyDescent="0.25">
      <c r="A5136" s="28" t="s">
        <v>25534</v>
      </c>
      <c r="B5136" s="28" t="s">
        <v>25535</v>
      </c>
      <c r="C5136" s="28" t="s">
        <v>25239</v>
      </c>
      <c r="D5136" s="28" t="s">
        <v>62</v>
      </c>
      <c r="E5136" s="28" t="s">
        <v>18906</v>
      </c>
      <c r="F5136" s="28" t="s">
        <v>21</v>
      </c>
      <c r="G5136" s="28" t="s">
        <v>39</v>
      </c>
      <c r="H5136" s="28" t="s">
        <v>16221</v>
      </c>
      <c r="I5136" s="28" t="s">
        <v>25536</v>
      </c>
      <c r="J5136" s="28" t="s">
        <v>39</v>
      </c>
      <c r="K5136" s="28" t="s">
        <v>16223</v>
      </c>
      <c r="L5136" s="28" t="s">
        <v>16224</v>
      </c>
      <c r="M5136" s="28" t="s">
        <v>18917</v>
      </c>
      <c r="N5136" s="28" t="s">
        <v>16226</v>
      </c>
      <c r="O5136" s="28" t="s">
        <v>16227</v>
      </c>
      <c r="P5136" s="28" t="s">
        <v>25530</v>
      </c>
    </row>
    <row r="5137" spans="1:16" x14ac:dyDescent="0.25">
      <c r="A5137" s="28" t="s">
        <v>25537</v>
      </c>
      <c r="B5137" s="28" t="s">
        <v>25538</v>
      </c>
      <c r="C5137" s="28" t="s">
        <v>25239</v>
      </c>
      <c r="D5137" s="28" t="s">
        <v>120</v>
      </c>
      <c r="E5137" s="28" t="s">
        <v>18920</v>
      </c>
      <c r="F5137" s="28" t="s">
        <v>21</v>
      </c>
      <c r="G5137" s="28" t="s">
        <v>39</v>
      </c>
      <c r="H5137" s="28" t="s">
        <v>16221</v>
      </c>
      <c r="I5137" s="28" t="s">
        <v>25539</v>
      </c>
      <c r="J5137" s="28" t="s">
        <v>39</v>
      </c>
      <c r="K5137" s="28" t="s">
        <v>16223</v>
      </c>
      <c r="L5137" s="28" t="s">
        <v>16224</v>
      </c>
      <c r="M5137" s="28" t="s">
        <v>18922</v>
      </c>
      <c r="N5137" s="28" t="s">
        <v>16226</v>
      </c>
      <c r="O5137" s="28" t="s">
        <v>16227</v>
      </c>
      <c r="P5137" s="28" t="s">
        <v>25540</v>
      </c>
    </row>
    <row r="5138" spans="1:16" x14ac:dyDescent="0.25">
      <c r="A5138" s="28" t="s">
        <v>25541</v>
      </c>
      <c r="B5138" s="28" t="s">
        <v>25542</v>
      </c>
      <c r="C5138" s="28" t="s">
        <v>25239</v>
      </c>
      <c r="D5138" s="28" t="s">
        <v>120</v>
      </c>
      <c r="E5138" s="28" t="s">
        <v>18920</v>
      </c>
      <c r="F5138" s="28" t="s">
        <v>21</v>
      </c>
      <c r="G5138" s="28" t="s">
        <v>39</v>
      </c>
      <c r="H5138" s="28" t="s">
        <v>16221</v>
      </c>
      <c r="I5138" s="28" t="s">
        <v>25543</v>
      </c>
      <c r="J5138" s="28" t="s">
        <v>39</v>
      </c>
      <c r="K5138" s="28" t="s">
        <v>16223</v>
      </c>
      <c r="L5138" s="28" t="s">
        <v>16224</v>
      </c>
      <c r="M5138" s="28" t="s">
        <v>18927</v>
      </c>
      <c r="N5138" s="28" t="s">
        <v>16226</v>
      </c>
      <c r="O5138" s="28" t="s">
        <v>16227</v>
      </c>
      <c r="P5138" s="28" t="s">
        <v>25540</v>
      </c>
    </row>
    <row r="5139" spans="1:16" x14ac:dyDescent="0.25">
      <c r="A5139" s="28" t="s">
        <v>25544</v>
      </c>
      <c r="B5139" s="28" t="s">
        <v>25545</v>
      </c>
      <c r="C5139" s="28" t="s">
        <v>25239</v>
      </c>
      <c r="D5139" s="28" t="s">
        <v>120</v>
      </c>
      <c r="E5139" s="28" t="s">
        <v>18920</v>
      </c>
      <c r="F5139" s="28" t="s">
        <v>21</v>
      </c>
      <c r="G5139" s="28" t="s">
        <v>39</v>
      </c>
      <c r="H5139" s="28" t="s">
        <v>16221</v>
      </c>
      <c r="I5139" s="28" t="s">
        <v>25546</v>
      </c>
      <c r="J5139" s="28" t="s">
        <v>39</v>
      </c>
      <c r="K5139" s="28" t="s">
        <v>16223</v>
      </c>
      <c r="L5139" s="28" t="s">
        <v>16224</v>
      </c>
      <c r="M5139" s="28" t="s">
        <v>18931</v>
      </c>
      <c r="N5139" s="28" t="s">
        <v>16226</v>
      </c>
      <c r="O5139" s="28" t="s">
        <v>16227</v>
      </c>
      <c r="P5139" s="28" t="s">
        <v>25540</v>
      </c>
    </row>
    <row r="5140" spans="1:16" x14ac:dyDescent="0.25">
      <c r="A5140" s="28" t="s">
        <v>25547</v>
      </c>
      <c r="B5140" s="28" t="s">
        <v>25548</v>
      </c>
      <c r="C5140" s="28" t="s">
        <v>25239</v>
      </c>
      <c r="D5140" s="28" t="s">
        <v>120</v>
      </c>
      <c r="E5140" s="28" t="s">
        <v>18934</v>
      </c>
      <c r="F5140" s="28" t="s">
        <v>21</v>
      </c>
      <c r="G5140" s="28" t="s">
        <v>39</v>
      </c>
      <c r="H5140" s="28" t="s">
        <v>16221</v>
      </c>
      <c r="I5140" s="28" t="s">
        <v>25549</v>
      </c>
      <c r="J5140" s="28" t="s">
        <v>39</v>
      </c>
      <c r="K5140" s="28" t="s">
        <v>16223</v>
      </c>
      <c r="L5140" s="28" t="s">
        <v>16224</v>
      </c>
      <c r="M5140" s="28" t="s">
        <v>18936</v>
      </c>
      <c r="N5140" s="28" t="s">
        <v>16226</v>
      </c>
      <c r="O5140" s="28" t="s">
        <v>16227</v>
      </c>
      <c r="P5140" s="28" t="s">
        <v>25550</v>
      </c>
    </row>
    <row r="5141" spans="1:16" x14ac:dyDescent="0.25">
      <c r="A5141" s="28" t="s">
        <v>25551</v>
      </c>
      <c r="B5141" s="28" t="s">
        <v>25552</v>
      </c>
      <c r="C5141" s="28" t="s">
        <v>25239</v>
      </c>
      <c r="D5141" s="28" t="s">
        <v>120</v>
      </c>
      <c r="E5141" s="28" t="s">
        <v>18934</v>
      </c>
      <c r="F5141" s="28" t="s">
        <v>21</v>
      </c>
      <c r="G5141" s="28" t="s">
        <v>39</v>
      </c>
      <c r="H5141" s="28" t="s">
        <v>16221</v>
      </c>
      <c r="I5141" s="28" t="s">
        <v>25553</v>
      </c>
      <c r="J5141" s="28" t="s">
        <v>39</v>
      </c>
      <c r="K5141" s="28" t="s">
        <v>16223</v>
      </c>
      <c r="L5141" s="28" t="s">
        <v>16224</v>
      </c>
      <c r="M5141" s="28" t="s">
        <v>18941</v>
      </c>
      <c r="N5141" s="28" t="s">
        <v>16226</v>
      </c>
      <c r="O5141" s="28" t="s">
        <v>16227</v>
      </c>
      <c r="P5141" s="28" t="s">
        <v>25550</v>
      </c>
    </row>
    <row r="5142" spans="1:16" x14ac:dyDescent="0.25">
      <c r="A5142" s="28" t="s">
        <v>25554</v>
      </c>
      <c r="B5142" s="28" t="s">
        <v>25555</v>
      </c>
      <c r="C5142" s="28" t="s">
        <v>1779</v>
      </c>
      <c r="D5142" s="28" t="s">
        <v>4421</v>
      </c>
      <c r="E5142" s="28" t="s">
        <v>2211</v>
      </c>
      <c r="F5142" s="28" t="s">
        <v>21</v>
      </c>
      <c r="G5142" s="28" t="s">
        <v>25396</v>
      </c>
      <c r="H5142" s="28" t="s">
        <v>25556</v>
      </c>
      <c r="I5142" s="28" t="s">
        <v>25557</v>
      </c>
      <c r="J5142" s="28" t="s">
        <v>25396</v>
      </c>
      <c r="K5142" s="28" t="s">
        <v>25558</v>
      </c>
      <c r="L5142" s="28" t="s">
        <v>25559</v>
      </c>
      <c r="M5142" s="28" t="s">
        <v>25560</v>
      </c>
      <c r="N5142" s="28" t="s">
        <v>25561</v>
      </c>
      <c r="O5142" s="28" t="s">
        <v>25562</v>
      </c>
      <c r="P5142" s="28" t="s">
        <v>25563</v>
      </c>
    </row>
    <row r="5143" spans="1:16" x14ac:dyDescent="0.25">
      <c r="A5143" s="28" t="s">
        <v>25564</v>
      </c>
      <c r="B5143" s="28" t="s">
        <v>25565</v>
      </c>
      <c r="C5143" s="28" t="s">
        <v>1779</v>
      </c>
      <c r="D5143" s="28" t="s">
        <v>4421</v>
      </c>
      <c r="E5143" s="28" t="s">
        <v>25566</v>
      </c>
      <c r="F5143" s="28" t="s">
        <v>21</v>
      </c>
      <c r="G5143" s="28" t="s">
        <v>25396</v>
      </c>
      <c r="H5143" s="28" t="s">
        <v>25556</v>
      </c>
      <c r="I5143" s="28" t="s">
        <v>25567</v>
      </c>
      <c r="J5143" s="28" t="s">
        <v>25396</v>
      </c>
      <c r="K5143" s="28" t="s">
        <v>25558</v>
      </c>
      <c r="L5143" s="28" t="s">
        <v>25559</v>
      </c>
      <c r="M5143" s="28" t="s">
        <v>25568</v>
      </c>
      <c r="N5143" s="28" t="s">
        <v>25561</v>
      </c>
      <c r="O5143" s="28" t="s">
        <v>25562</v>
      </c>
      <c r="P5143" s="28" t="s">
        <v>25569</v>
      </c>
    </row>
    <row r="5144" spans="1:16" x14ac:dyDescent="0.25">
      <c r="A5144" s="28" t="s">
        <v>25570</v>
      </c>
      <c r="B5144" s="28" t="s">
        <v>25571</v>
      </c>
      <c r="C5144" s="28" t="s">
        <v>1779</v>
      </c>
      <c r="D5144" s="28" t="s">
        <v>4421</v>
      </c>
      <c r="E5144" s="28" t="s">
        <v>25572</v>
      </c>
      <c r="F5144" s="28" t="s">
        <v>21</v>
      </c>
      <c r="G5144" s="28" t="s">
        <v>25396</v>
      </c>
      <c r="H5144" s="28" t="s">
        <v>25556</v>
      </c>
      <c r="I5144" s="28" t="s">
        <v>25573</v>
      </c>
      <c r="J5144" s="28" t="s">
        <v>25396</v>
      </c>
      <c r="K5144" s="28" t="s">
        <v>25558</v>
      </c>
      <c r="L5144" s="28" t="s">
        <v>25559</v>
      </c>
      <c r="M5144" s="28" t="s">
        <v>25574</v>
      </c>
      <c r="N5144" s="28" t="s">
        <v>25561</v>
      </c>
      <c r="O5144" s="28" t="s">
        <v>25562</v>
      </c>
      <c r="P5144" s="28" t="s">
        <v>25575</v>
      </c>
    </row>
    <row r="5145" spans="1:16" x14ac:dyDescent="0.25">
      <c r="A5145" s="28" t="s">
        <v>25576</v>
      </c>
      <c r="B5145" s="28" t="s">
        <v>25577</v>
      </c>
      <c r="C5145" s="28" t="s">
        <v>1779</v>
      </c>
      <c r="D5145" s="28" t="s">
        <v>4519</v>
      </c>
      <c r="E5145" s="28" t="s">
        <v>1014</v>
      </c>
      <c r="F5145" s="28" t="s">
        <v>21</v>
      </c>
      <c r="G5145" s="28" t="s">
        <v>25396</v>
      </c>
      <c r="H5145" s="28" t="s">
        <v>25556</v>
      </c>
      <c r="I5145" s="28" t="s">
        <v>25578</v>
      </c>
      <c r="J5145" s="28" t="s">
        <v>25396</v>
      </c>
      <c r="K5145" s="28" t="s">
        <v>25558</v>
      </c>
      <c r="L5145" s="28" t="s">
        <v>25559</v>
      </c>
      <c r="M5145" s="28" t="s">
        <v>25579</v>
      </c>
      <c r="N5145" s="28" t="s">
        <v>25561</v>
      </c>
      <c r="O5145" s="28" t="s">
        <v>25562</v>
      </c>
      <c r="P5145" s="28" t="s">
        <v>25580</v>
      </c>
    </row>
    <row r="5146" spans="1:16" x14ac:dyDescent="0.25">
      <c r="A5146" s="28" t="s">
        <v>25581</v>
      </c>
      <c r="B5146" s="28" t="s">
        <v>25582</v>
      </c>
      <c r="C5146" s="28" t="s">
        <v>1779</v>
      </c>
      <c r="D5146" s="28" t="s">
        <v>4519</v>
      </c>
      <c r="E5146" s="28" t="s">
        <v>1327</v>
      </c>
      <c r="F5146" s="28" t="s">
        <v>21</v>
      </c>
      <c r="G5146" s="28" t="s">
        <v>25396</v>
      </c>
      <c r="H5146" s="28" t="s">
        <v>25556</v>
      </c>
      <c r="I5146" s="28" t="s">
        <v>25583</v>
      </c>
      <c r="J5146" s="28" t="s">
        <v>25396</v>
      </c>
      <c r="K5146" s="28" t="s">
        <v>25558</v>
      </c>
      <c r="L5146" s="28" t="s">
        <v>25559</v>
      </c>
      <c r="M5146" s="28" t="s">
        <v>25584</v>
      </c>
      <c r="N5146" s="28" t="s">
        <v>25561</v>
      </c>
      <c r="O5146" s="28" t="s">
        <v>25562</v>
      </c>
      <c r="P5146" s="28" t="s">
        <v>25585</v>
      </c>
    </row>
    <row r="5147" spans="1:16" x14ac:dyDescent="0.25">
      <c r="A5147" s="28" t="s">
        <v>25586</v>
      </c>
      <c r="B5147" s="28" t="s">
        <v>25587</v>
      </c>
      <c r="C5147" s="28" t="s">
        <v>1779</v>
      </c>
      <c r="D5147" s="28" t="s">
        <v>4519</v>
      </c>
      <c r="E5147" s="28" t="s">
        <v>1188</v>
      </c>
      <c r="F5147" s="28" t="s">
        <v>21</v>
      </c>
      <c r="G5147" s="28" t="s">
        <v>25396</v>
      </c>
      <c r="H5147" s="28" t="s">
        <v>25556</v>
      </c>
      <c r="I5147" s="28" t="s">
        <v>25588</v>
      </c>
      <c r="J5147" s="28" t="s">
        <v>25396</v>
      </c>
      <c r="K5147" s="28" t="s">
        <v>25558</v>
      </c>
      <c r="L5147" s="28" t="s">
        <v>25559</v>
      </c>
      <c r="M5147" s="28" t="s">
        <v>25589</v>
      </c>
      <c r="N5147" s="28" t="s">
        <v>25561</v>
      </c>
      <c r="O5147" s="28" t="s">
        <v>25562</v>
      </c>
      <c r="P5147" s="28" t="s">
        <v>25590</v>
      </c>
    </row>
    <row r="5148" spans="1:16" x14ac:dyDescent="0.25">
      <c r="A5148" s="28" t="s">
        <v>25591</v>
      </c>
      <c r="B5148" s="28" t="s">
        <v>25592</v>
      </c>
      <c r="C5148" s="28" t="s">
        <v>1779</v>
      </c>
      <c r="D5148" s="28" t="s">
        <v>4519</v>
      </c>
      <c r="E5148" s="28" t="s">
        <v>4554</v>
      </c>
      <c r="F5148" s="28" t="s">
        <v>21</v>
      </c>
      <c r="G5148" s="28" t="s">
        <v>39</v>
      </c>
      <c r="H5148" s="28" t="s">
        <v>25556</v>
      </c>
      <c r="I5148" s="28" t="s">
        <v>25593</v>
      </c>
      <c r="J5148" s="28" t="s">
        <v>39</v>
      </c>
      <c r="K5148" s="28" t="s">
        <v>25594</v>
      </c>
      <c r="L5148" s="28" t="s">
        <v>25559</v>
      </c>
      <c r="M5148" s="28" t="s">
        <v>25595</v>
      </c>
      <c r="N5148" s="28" t="s">
        <v>25561</v>
      </c>
      <c r="O5148" s="28" t="s">
        <v>25562</v>
      </c>
      <c r="P5148" s="28" t="s">
        <v>25596</v>
      </c>
    </row>
    <row r="5149" spans="1:16" x14ac:dyDescent="0.25">
      <c r="A5149" s="28" t="s">
        <v>25597</v>
      </c>
      <c r="B5149" s="28" t="s">
        <v>25598</v>
      </c>
      <c r="C5149" s="28" t="s">
        <v>1779</v>
      </c>
      <c r="D5149" s="28" t="s">
        <v>4519</v>
      </c>
      <c r="E5149" s="28" t="s">
        <v>25599</v>
      </c>
      <c r="F5149" s="28" t="s">
        <v>21</v>
      </c>
      <c r="G5149" s="28" t="s">
        <v>39</v>
      </c>
      <c r="H5149" s="28" t="s">
        <v>25556</v>
      </c>
      <c r="I5149" s="28" t="s">
        <v>25600</v>
      </c>
      <c r="J5149" s="28" t="s">
        <v>39</v>
      </c>
      <c r="K5149" s="28" t="s">
        <v>25594</v>
      </c>
      <c r="L5149" s="28" t="s">
        <v>25559</v>
      </c>
      <c r="M5149" s="28" t="s">
        <v>25601</v>
      </c>
      <c r="N5149" s="28" t="s">
        <v>25561</v>
      </c>
      <c r="O5149" s="28" t="s">
        <v>25562</v>
      </c>
      <c r="P5149" s="28" t="s">
        <v>25602</v>
      </c>
    </row>
    <row r="5150" spans="1:16" x14ac:dyDescent="0.25">
      <c r="A5150" s="28" t="s">
        <v>25603</v>
      </c>
      <c r="B5150" s="28" t="s">
        <v>25604</v>
      </c>
      <c r="C5150" s="28" t="s">
        <v>1779</v>
      </c>
      <c r="D5150" s="28" t="s">
        <v>4519</v>
      </c>
      <c r="E5150" s="28" t="s">
        <v>25605</v>
      </c>
      <c r="F5150" s="28" t="s">
        <v>21</v>
      </c>
      <c r="G5150" s="28" t="s">
        <v>39</v>
      </c>
      <c r="H5150" s="28" t="s">
        <v>25556</v>
      </c>
      <c r="I5150" s="28" t="s">
        <v>25606</v>
      </c>
      <c r="J5150" s="28" t="s">
        <v>39</v>
      </c>
      <c r="K5150" s="28" t="s">
        <v>25594</v>
      </c>
      <c r="L5150" s="28" t="s">
        <v>25559</v>
      </c>
      <c r="M5150" s="28" t="s">
        <v>25607</v>
      </c>
      <c r="N5150" s="28" t="s">
        <v>25561</v>
      </c>
      <c r="O5150" s="28" t="s">
        <v>25562</v>
      </c>
      <c r="P5150" s="28" t="s">
        <v>25608</v>
      </c>
    </row>
    <row r="5151" spans="1:16" x14ac:dyDescent="0.25">
      <c r="A5151" s="28" t="s">
        <v>25609</v>
      </c>
      <c r="B5151" s="28" t="s">
        <v>25610</v>
      </c>
      <c r="C5151" s="28" t="s">
        <v>1779</v>
      </c>
      <c r="D5151" s="28" t="s">
        <v>4667</v>
      </c>
      <c r="E5151" s="28" t="s">
        <v>1385</v>
      </c>
      <c r="F5151" s="28" t="s">
        <v>21</v>
      </c>
      <c r="G5151" s="28" t="s">
        <v>25396</v>
      </c>
      <c r="H5151" s="28" t="s">
        <v>25556</v>
      </c>
      <c r="I5151" s="28" t="s">
        <v>25611</v>
      </c>
      <c r="J5151" s="28" t="s">
        <v>25396</v>
      </c>
      <c r="K5151" s="28" t="s">
        <v>25558</v>
      </c>
      <c r="L5151" s="28" t="s">
        <v>25559</v>
      </c>
      <c r="M5151" s="28" t="s">
        <v>25612</v>
      </c>
      <c r="N5151" s="28" t="s">
        <v>25561</v>
      </c>
      <c r="O5151" s="28" t="s">
        <v>25562</v>
      </c>
      <c r="P5151" s="28" t="s">
        <v>25613</v>
      </c>
    </row>
    <row r="5152" spans="1:16" x14ac:dyDescent="0.25">
      <c r="A5152" s="28" t="s">
        <v>25614</v>
      </c>
      <c r="B5152" s="28" t="s">
        <v>25615</v>
      </c>
      <c r="C5152" s="28" t="s">
        <v>1779</v>
      </c>
      <c r="D5152" s="28" t="s">
        <v>4667</v>
      </c>
      <c r="E5152" s="28" t="s">
        <v>25616</v>
      </c>
      <c r="F5152" s="28" t="s">
        <v>21</v>
      </c>
      <c r="G5152" s="28" t="s">
        <v>25396</v>
      </c>
      <c r="H5152" s="28" t="s">
        <v>25556</v>
      </c>
      <c r="I5152" s="28" t="s">
        <v>25617</v>
      </c>
      <c r="J5152" s="28" t="s">
        <v>25396</v>
      </c>
      <c r="K5152" s="28" t="s">
        <v>25558</v>
      </c>
      <c r="L5152" s="28" t="s">
        <v>25559</v>
      </c>
      <c r="M5152" s="28" t="s">
        <v>25618</v>
      </c>
      <c r="N5152" s="28" t="s">
        <v>25561</v>
      </c>
      <c r="O5152" s="28" t="s">
        <v>25562</v>
      </c>
      <c r="P5152" s="28" t="s">
        <v>25619</v>
      </c>
    </row>
    <row r="5153" spans="1:16" x14ac:dyDescent="0.25">
      <c r="A5153" s="28" t="s">
        <v>25620</v>
      </c>
      <c r="B5153" s="28" t="s">
        <v>25621</v>
      </c>
      <c r="C5153" s="28" t="s">
        <v>1779</v>
      </c>
      <c r="D5153" s="28" t="s">
        <v>8525</v>
      </c>
      <c r="E5153" s="28" t="s">
        <v>25622</v>
      </c>
      <c r="F5153" s="28" t="s">
        <v>21</v>
      </c>
      <c r="G5153" s="28" t="s">
        <v>25396</v>
      </c>
      <c r="H5153" s="28" t="s">
        <v>25556</v>
      </c>
      <c r="I5153" s="28" t="s">
        <v>25623</v>
      </c>
      <c r="J5153" s="28" t="s">
        <v>25396</v>
      </c>
      <c r="K5153" s="28" t="s">
        <v>25558</v>
      </c>
      <c r="L5153" s="28" t="s">
        <v>25559</v>
      </c>
      <c r="M5153" s="28" t="s">
        <v>25624</v>
      </c>
      <c r="N5153" s="28" t="s">
        <v>25561</v>
      </c>
      <c r="O5153" s="28" t="s">
        <v>25562</v>
      </c>
      <c r="P5153" s="28" t="s">
        <v>25625</v>
      </c>
    </row>
    <row r="5154" spans="1:16" x14ac:dyDescent="0.25">
      <c r="A5154" s="28" t="s">
        <v>25626</v>
      </c>
      <c r="B5154" s="28" t="s">
        <v>25627</v>
      </c>
      <c r="C5154" s="28" t="s">
        <v>1779</v>
      </c>
      <c r="D5154" s="28" t="s">
        <v>4682</v>
      </c>
      <c r="E5154" s="28" t="s">
        <v>1392</v>
      </c>
      <c r="F5154" s="28" t="s">
        <v>21</v>
      </c>
      <c r="G5154" s="28" t="s">
        <v>25396</v>
      </c>
      <c r="H5154" s="28" t="s">
        <v>25556</v>
      </c>
      <c r="I5154" s="28" t="s">
        <v>25628</v>
      </c>
      <c r="J5154" s="28" t="s">
        <v>25396</v>
      </c>
      <c r="K5154" s="28" t="s">
        <v>25558</v>
      </c>
      <c r="L5154" s="28" t="s">
        <v>25559</v>
      </c>
      <c r="M5154" s="28" t="s">
        <v>25629</v>
      </c>
      <c r="N5154" s="28" t="s">
        <v>25561</v>
      </c>
      <c r="O5154" s="28" t="s">
        <v>25562</v>
      </c>
      <c r="P5154" s="28" t="s">
        <v>25630</v>
      </c>
    </row>
    <row r="5155" spans="1:16" x14ac:dyDescent="0.25">
      <c r="A5155" s="28" t="s">
        <v>25631</v>
      </c>
      <c r="B5155" s="28" t="s">
        <v>25632</v>
      </c>
      <c r="C5155" s="28" t="s">
        <v>1779</v>
      </c>
      <c r="D5155" s="28" t="s">
        <v>4682</v>
      </c>
      <c r="E5155" s="28" t="s">
        <v>1400</v>
      </c>
      <c r="F5155" s="28" t="s">
        <v>21</v>
      </c>
      <c r="G5155" s="28" t="s">
        <v>149</v>
      </c>
      <c r="H5155" s="28" t="s">
        <v>16221</v>
      </c>
      <c r="I5155" s="28" t="s">
        <v>25633</v>
      </c>
      <c r="J5155" s="28" t="s">
        <v>149</v>
      </c>
      <c r="K5155" s="28" t="s">
        <v>17201</v>
      </c>
      <c r="L5155" s="28" t="s">
        <v>16224</v>
      </c>
      <c r="M5155" s="28" t="s">
        <v>25634</v>
      </c>
      <c r="N5155" s="28" t="s">
        <v>16226</v>
      </c>
      <c r="O5155" s="28" t="s">
        <v>16227</v>
      </c>
      <c r="P5155" s="28" t="s">
        <v>25635</v>
      </c>
    </row>
    <row r="5156" spans="1:16" x14ac:dyDescent="0.25">
      <c r="A5156" s="28" t="s">
        <v>25636</v>
      </c>
      <c r="B5156" s="28" t="s">
        <v>25637</v>
      </c>
      <c r="C5156" s="28" t="s">
        <v>1779</v>
      </c>
      <c r="D5156" s="28" t="s">
        <v>4682</v>
      </c>
      <c r="E5156" s="28" t="s">
        <v>4683</v>
      </c>
      <c r="F5156" s="28" t="s">
        <v>21</v>
      </c>
      <c r="G5156" s="28" t="s">
        <v>25396</v>
      </c>
      <c r="H5156" s="28" t="s">
        <v>25556</v>
      </c>
      <c r="I5156" s="28" t="s">
        <v>25638</v>
      </c>
      <c r="J5156" s="28" t="s">
        <v>25396</v>
      </c>
      <c r="K5156" s="28" t="s">
        <v>25558</v>
      </c>
      <c r="L5156" s="28" t="s">
        <v>25559</v>
      </c>
      <c r="M5156" s="28" t="s">
        <v>25639</v>
      </c>
      <c r="N5156" s="28" t="s">
        <v>25561</v>
      </c>
      <c r="O5156" s="28" t="s">
        <v>25562</v>
      </c>
      <c r="P5156" s="28" t="s">
        <v>25640</v>
      </c>
    </row>
    <row r="5157" spans="1:16" x14ac:dyDescent="0.25">
      <c r="A5157" s="28" t="s">
        <v>25641</v>
      </c>
      <c r="B5157" s="28" t="s">
        <v>25642</v>
      </c>
      <c r="C5157" s="28" t="s">
        <v>1779</v>
      </c>
      <c r="D5157" s="28" t="s">
        <v>4682</v>
      </c>
      <c r="E5157" s="28" t="s">
        <v>25643</v>
      </c>
      <c r="F5157" s="28" t="s">
        <v>21</v>
      </c>
      <c r="G5157" s="28" t="s">
        <v>25396</v>
      </c>
      <c r="H5157" s="28" t="s">
        <v>25556</v>
      </c>
      <c r="I5157" s="28" t="s">
        <v>25644</v>
      </c>
      <c r="J5157" s="28" t="s">
        <v>25396</v>
      </c>
      <c r="K5157" s="28" t="s">
        <v>25558</v>
      </c>
      <c r="L5157" s="28" t="s">
        <v>25559</v>
      </c>
      <c r="M5157" s="28" t="s">
        <v>25645</v>
      </c>
      <c r="N5157" s="28" t="s">
        <v>25561</v>
      </c>
      <c r="O5157" s="28" t="s">
        <v>25562</v>
      </c>
      <c r="P5157" s="28" t="s">
        <v>25646</v>
      </c>
    </row>
    <row r="5158" spans="1:16" x14ac:dyDescent="0.25">
      <c r="A5158" s="28" t="s">
        <v>25647</v>
      </c>
      <c r="B5158" s="28" t="s">
        <v>25648</v>
      </c>
      <c r="C5158" s="28" t="s">
        <v>1779</v>
      </c>
      <c r="D5158" s="28" t="s">
        <v>4699</v>
      </c>
      <c r="E5158" s="28" t="s">
        <v>25649</v>
      </c>
      <c r="F5158" s="28" t="s">
        <v>21</v>
      </c>
      <c r="G5158" s="28" t="s">
        <v>25396</v>
      </c>
      <c r="H5158" s="28" t="s">
        <v>25556</v>
      </c>
      <c r="I5158" s="28" t="s">
        <v>25650</v>
      </c>
      <c r="J5158" s="28" t="s">
        <v>25396</v>
      </c>
      <c r="K5158" s="28" t="s">
        <v>25558</v>
      </c>
      <c r="L5158" s="28" t="s">
        <v>25559</v>
      </c>
      <c r="M5158" s="28" t="s">
        <v>25651</v>
      </c>
      <c r="N5158" s="28" t="s">
        <v>25561</v>
      </c>
      <c r="O5158" s="28" t="s">
        <v>25562</v>
      </c>
      <c r="P5158" s="28" t="s">
        <v>25652</v>
      </c>
    </row>
    <row r="5159" spans="1:16" x14ac:dyDescent="0.25">
      <c r="A5159" s="28" t="s">
        <v>25653</v>
      </c>
      <c r="B5159" s="28" t="s">
        <v>25654</v>
      </c>
      <c r="C5159" s="28" t="s">
        <v>1779</v>
      </c>
      <c r="D5159" s="28" t="s">
        <v>4699</v>
      </c>
      <c r="E5159" s="28" t="s">
        <v>25655</v>
      </c>
      <c r="F5159" s="28" t="s">
        <v>21</v>
      </c>
      <c r="G5159" s="28" t="s">
        <v>25396</v>
      </c>
      <c r="H5159" s="28" t="s">
        <v>25556</v>
      </c>
      <c r="I5159" s="28" t="s">
        <v>25656</v>
      </c>
      <c r="J5159" s="28" t="s">
        <v>25396</v>
      </c>
      <c r="K5159" s="28" t="s">
        <v>25558</v>
      </c>
      <c r="L5159" s="28" t="s">
        <v>25559</v>
      </c>
      <c r="M5159" s="28" t="s">
        <v>25657</v>
      </c>
      <c r="N5159" s="28" t="s">
        <v>25561</v>
      </c>
      <c r="O5159" s="28" t="s">
        <v>25562</v>
      </c>
      <c r="P5159" s="28" t="s">
        <v>25658</v>
      </c>
    </row>
    <row r="5160" spans="1:16" x14ac:dyDescent="0.25">
      <c r="A5160" s="28" t="s">
        <v>25659</v>
      </c>
      <c r="B5160" s="28" t="s">
        <v>25660</v>
      </c>
      <c r="C5160" s="28" t="s">
        <v>1779</v>
      </c>
      <c r="D5160" s="28" t="s">
        <v>4699</v>
      </c>
      <c r="E5160" s="28" t="s">
        <v>25661</v>
      </c>
      <c r="F5160" s="28" t="s">
        <v>21</v>
      </c>
      <c r="G5160" s="28" t="s">
        <v>25396</v>
      </c>
      <c r="H5160" s="28" t="s">
        <v>25556</v>
      </c>
      <c r="I5160" s="28" t="s">
        <v>25662</v>
      </c>
      <c r="J5160" s="28" t="s">
        <v>25396</v>
      </c>
      <c r="K5160" s="28" t="s">
        <v>25558</v>
      </c>
      <c r="L5160" s="28" t="s">
        <v>25559</v>
      </c>
      <c r="M5160" s="28" t="s">
        <v>25663</v>
      </c>
      <c r="N5160" s="28" t="s">
        <v>25561</v>
      </c>
      <c r="O5160" s="28" t="s">
        <v>25562</v>
      </c>
      <c r="P5160" s="28" t="s">
        <v>25664</v>
      </c>
    </row>
    <row r="5161" spans="1:16" x14ac:dyDescent="0.25">
      <c r="A5161" s="28" t="s">
        <v>25665</v>
      </c>
      <c r="B5161" s="28" t="s">
        <v>25666</v>
      </c>
      <c r="C5161" s="28" t="s">
        <v>1779</v>
      </c>
      <c r="D5161" s="28" t="s">
        <v>25667</v>
      </c>
      <c r="E5161" s="28" t="s">
        <v>1343</v>
      </c>
      <c r="F5161" s="28" t="s">
        <v>21</v>
      </c>
      <c r="G5161" s="28" t="s">
        <v>135</v>
      </c>
      <c r="H5161" s="28" t="s">
        <v>25556</v>
      </c>
      <c r="I5161" s="28" t="s">
        <v>25668</v>
      </c>
      <c r="J5161" s="28" t="s">
        <v>135</v>
      </c>
      <c r="K5161" s="28" t="s">
        <v>25669</v>
      </c>
      <c r="L5161" s="28" t="s">
        <v>25559</v>
      </c>
      <c r="M5161" s="28" t="s">
        <v>25670</v>
      </c>
      <c r="N5161" s="28" t="s">
        <v>25561</v>
      </c>
      <c r="O5161" s="28" t="s">
        <v>25562</v>
      </c>
      <c r="P5161" s="28" t="s">
        <v>25671</v>
      </c>
    </row>
    <row r="5162" spans="1:16" x14ac:dyDescent="0.25">
      <c r="A5162" s="28" t="s">
        <v>25672</v>
      </c>
      <c r="B5162" s="28" t="s">
        <v>25673</v>
      </c>
      <c r="C5162" s="28" t="s">
        <v>1779</v>
      </c>
      <c r="D5162" s="28" t="s">
        <v>25667</v>
      </c>
      <c r="E5162" s="28" t="s">
        <v>1343</v>
      </c>
      <c r="F5162" s="28" t="s">
        <v>21</v>
      </c>
      <c r="G5162" s="28" t="s">
        <v>135</v>
      </c>
      <c r="H5162" s="28" t="s">
        <v>25556</v>
      </c>
      <c r="I5162" s="28" t="s">
        <v>25674</v>
      </c>
      <c r="J5162" s="28" t="s">
        <v>135</v>
      </c>
      <c r="K5162" s="28" t="s">
        <v>25669</v>
      </c>
      <c r="L5162" s="28" t="s">
        <v>25559</v>
      </c>
      <c r="M5162" s="28" t="s">
        <v>25670</v>
      </c>
      <c r="N5162" s="28" t="s">
        <v>25561</v>
      </c>
      <c r="O5162" s="28" t="s">
        <v>25562</v>
      </c>
      <c r="P5162" s="28" t="s">
        <v>25675</v>
      </c>
    </row>
    <row r="5163" spans="1:16" x14ac:dyDescent="0.25">
      <c r="A5163" s="28" t="s">
        <v>25676</v>
      </c>
      <c r="B5163" s="28" t="s">
        <v>25677</v>
      </c>
      <c r="C5163" s="28" t="s">
        <v>1779</v>
      </c>
      <c r="D5163" s="28" t="s">
        <v>7132</v>
      </c>
      <c r="E5163" s="28" t="s">
        <v>25678</v>
      </c>
      <c r="F5163" s="28" t="s">
        <v>21</v>
      </c>
      <c r="G5163" s="28" t="s">
        <v>25396</v>
      </c>
      <c r="H5163" s="28" t="s">
        <v>25556</v>
      </c>
      <c r="I5163" s="28" t="s">
        <v>25679</v>
      </c>
      <c r="J5163" s="28" t="s">
        <v>25396</v>
      </c>
      <c r="K5163" s="28" t="s">
        <v>25558</v>
      </c>
      <c r="L5163" s="28" t="s">
        <v>25559</v>
      </c>
      <c r="M5163" s="28" t="s">
        <v>25680</v>
      </c>
      <c r="N5163" s="28" t="s">
        <v>25561</v>
      </c>
      <c r="O5163" s="28" t="s">
        <v>25562</v>
      </c>
      <c r="P5163" s="28" t="s">
        <v>25681</v>
      </c>
    </row>
    <row r="5164" spans="1:16" x14ac:dyDescent="0.25">
      <c r="A5164" s="28" t="s">
        <v>25682</v>
      </c>
      <c r="B5164" s="28" t="s">
        <v>25683</v>
      </c>
      <c r="C5164" s="28" t="s">
        <v>1779</v>
      </c>
      <c r="D5164" s="28" t="s">
        <v>7132</v>
      </c>
      <c r="E5164" s="28" t="s">
        <v>25684</v>
      </c>
      <c r="F5164" s="28" t="s">
        <v>21</v>
      </c>
      <c r="G5164" s="28" t="s">
        <v>25396</v>
      </c>
      <c r="H5164" s="28" t="s">
        <v>25556</v>
      </c>
      <c r="I5164" s="28" t="s">
        <v>25685</v>
      </c>
      <c r="J5164" s="28" t="s">
        <v>25396</v>
      </c>
      <c r="K5164" s="28" t="s">
        <v>25558</v>
      </c>
      <c r="L5164" s="28" t="s">
        <v>25559</v>
      </c>
      <c r="M5164" s="28" t="s">
        <v>25686</v>
      </c>
      <c r="N5164" s="28" t="s">
        <v>25561</v>
      </c>
      <c r="O5164" s="28" t="s">
        <v>25562</v>
      </c>
      <c r="P5164" s="28" t="s">
        <v>25687</v>
      </c>
    </row>
    <row r="5165" spans="1:16" x14ac:dyDescent="0.25">
      <c r="A5165" s="28" t="s">
        <v>25688</v>
      </c>
      <c r="B5165" s="28" t="s">
        <v>25689</v>
      </c>
      <c r="C5165" s="28" t="s">
        <v>1779</v>
      </c>
      <c r="D5165" s="28" t="s">
        <v>7132</v>
      </c>
      <c r="E5165" s="28" t="s">
        <v>25690</v>
      </c>
      <c r="F5165" s="28" t="s">
        <v>21</v>
      </c>
      <c r="G5165" s="28" t="s">
        <v>25396</v>
      </c>
      <c r="H5165" s="28" t="s">
        <v>25556</v>
      </c>
      <c r="I5165" s="28" t="s">
        <v>25691</v>
      </c>
      <c r="J5165" s="28" t="s">
        <v>25396</v>
      </c>
      <c r="K5165" s="28" t="s">
        <v>25558</v>
      </c>
      <c r="L5165" s="28" t="s">
        <v>25559</v>
      </c>
      <c r="M5165" s="28" t="s">
        <v>25692</v>
      </c>
      <c r="N5165" s="28" t="s">
        <v>25561</v>
      </c>
      <c r="O5165" s="28" t="s">
        <v>25562</v>
      </c>
      <c r="P5165" s="28" t="s">
        <v>25693</v>
      </c>
    </row>
    <row r="5166" spans="1:16" x14ac:dyDescent="0.25">
      <c r="A5166" s="28" t="s">
        <v>25694</v>
      </c>
      <c r="B5166" s="28" t="s">
        <v>25695</v>
      </c>
      <c r="C5166" s="28" t="s">
        <v>1779</v>
      </c>
      <c r="D5166" s="28" t="s">
        <v>7132</v>
      </c>
      <c r="E5166" s="28" t="s">
        <v>25696</v>
      </c>
      <c r="F5166" s="28" t="s">
        <v>21</v>
      </c>
      <c r="G5166" s="28" t="s">
        <v>25396</v>
      </c>
      <c r="H5166" s="28" t="s">
        <v>25556</v>
      </c>
      <c r="I5166" s="28" t="s">
        <v>25697</v>
      </c>
      <c r="J5166" s="28" t="s">
        <v>25396</v>
      </c>
      <c r="K5166" s="28" t="s">
        <v>25558</v>
      </c>
      <c r="L5166" s="28" t="s">
        <v>25559</v>
      </c>
      <c r="M5166" s="28" t="s">
        <v>25698</v>
      </c>
      <c r="N5166" s="28" t="s">
        <v>25561</v>
      </c>
      <c r="O5166" s="28" t="s">
        <v>25562</v>
      </c>
      <c r="P5166" s="28" t="s">
        <v>25699</v>
      </c>
    </row>
    <row r="5167" spans="1:16" x14ac:dyDescent="0.25">
      <c r="A5167" s="28" t="s">
        <v>25700</v>
      </c>
      <c r="B5167" s="28" t="s">
        <v>25701</v>
      </c>
      <c r="C5167" s="28" t="s">
        <v>1779</v>
      </c>
      <c r="D5167" s="28" t="s">
        <v>7132</v>
      </c>
      <c r="E5167" s="28" t="s">
        <v>25702</v>
      </c>
      <c r="F5167" s="28" t="s">
        <v>21</v>
      </c>
      <c r="G5167" s="28" t="s">
        <v>25396</v>
      </c>
      <c r="H5167" s="28" t="s">
        <v>25556</v>
      </c>
      <c r="I5167" s="28" t="s">
        <v>25703</v>
      </c>
      <c r="J5167" s="28" t="s">
        <v>25396</v>
      </c>
      <c r="K5167" s="28" t="s">
        <v>25558</v>
      </c>
      <c r="L5167" s="28" t="s">
        <v>25559</v>
      </c>
      <c r="M5167" s="28" t="s">
        <v>25704</v>
      </c>
      <c r="N5167" s="28" t="s">
        <v>25561</v>
      </c>
      <c r="O5167" s="28" t="s">
        <v>25562</v>
      </c>
      <c r="P5167" s="28" t="s">
        <v>25705</v>
      </c>
    </row>
    <row r="5168" spans="1:16" x14ac:dyDescent="0.25">
      <c r="A5168" s="28" t="s">
        <v>25706</v>
      </c>
      <c r="B5168" s="28" t="s">
        <v>25707</v>
      </c>
      <c r="C5168" s="28" t="s">
        <v>1779</v>
      </c>
      <c r="D5168" s="28" t="s">
        <v>7132</v>
      </c>
      <c r="E5168" s="28" t="s">
        <v>25708</v>
      </c>
      <c r="F5168" s="28" t="s">
        <v>21</v>
      </c>
      <c r="G5168" s="28" t="s">
        <v>25396</v>
      </c>
      <c r="H5168" s="28" t="s">
        <v>25556</v>
      </c>
      <c r="I5168" s="28" t="s">
        <v>25709</v>
      </c>
      <c r="J5168" s="28" t="s">
        <v>25396</v>
      </c>
      <c r="K5168" s="28" t="s">
        <v>25558</v>
      </c>
      <c r="L5168" s="28" t="s">
        <v>25559</v>
      </c>
      <c r="M5168" s="28" t="s">
        <v>25710</v>
      </c>
      <c r="N5168" s="28" t="s">
        <v>25561</v>
      </c>
      <c r="O5168" s="28" t="s">
        <v>25562</v>
      </c>
      <c r="P5168" s="28" t="s">
        <v>25711</v>
      </c>
    </row>
    <row r="5169" spans="1:16" x14ac:dyDescent="0.25">
      <c r="A5169" s="28" t="s">
        <v>25712</v>
      </c>
      <c r="B5169" s="28" t="s">
        <v>25713</v>
      </c>
      <c r="C5169" s="28" t="s">
        <v>1779</v>
      </c>
      <c r="D5169" s="28" t="s">
        <v>7132</v>
      </c>
      <c r="E5169" s="28" t="s">
        <v>25714</v>
      </c>
      <c r="F5169" s="28" t="s">
        <v>21</v>
      </c>
      <c r="G5169" s="28" t="s">
        <v>25396</v>
      </c>
      <c r="H5169" s="28" t="s">
        <v>25556</v>
      </c>
      <c r="I5169" s="28" t="s">
        <v>25715</v>
      </c>
      <c r="J5169" s="28" t="s">
        <v>25396</v>
      </c>
      <c r="K5169" s="28" t="s">
        <v>25558</v>
      </c>
      <c r="L5169" s="28" t="s">
        <v>25559</v>
      </c>
      <c r="M5169" s="28" t="s">
        <v>25716</v>
      </c>
      <c r="N5169" s="28" t="s">
        <v>25561</v>
      </c>
      <c r="O5169" s="28" t="s">
        <v>25562</v>
      </c>
      <c r="P5169" s="28" t="s">
        <v>25717</v>
      </c>
    </row>
    <row r="5170" spans="1:16" x14ac:dyDescent="0.25">
      <c r="A5170" s="28" t="s">
        <v>25718</v>
      </c>
      <c r="B5170" s="28" t="s">
        <v>25719</v>
      </c>
      <c r="C5170" s="28" t="s">
        <v>1779</v>
      </c>
      <c r="D5170" s="28" t="s">
        <v>7132</v>
      </c>
      <c r="E5170" s="28" t="s">
        <v>1888</v>
      </c>
      <c r="F5170" s="28" t="s">
        <v>21</v>
      </c>
      <c r="G5170" s="28" t="s">
        <v>25396</v>
      </c>
      <c r="H5170" s="28" t="s">
        <v>25556</v>
      </c>
      <c r="I5170" s="28" t="s">
        <v>25720</v>
      </c>
      <c r="J5170" s="28" t="s">
        <v>25396</v>
      </c>
      <c r="K5170" s="28" t="s">
        <v>25558</v>
      </c>
      <c r="L5170" s="28" t="s">
        <v>25559</v>
      </c>
      <c r="M5170" s="28" t="s">
        <v>25721</v>
      </c>
      <c r="N5170" s="28" t="s">
        <v>25561</v>
      </c>
      <c r="O5170" s="28" t="s">
        <v>25562</v>
      </c>
      <c r="P5170" s="28" t="s">
        <v>25722</v>
      </c>
    </row>
    <row r="5171" spans="1:16" x14ac:dyDescent="0.25">
      <c r="A5171" s="28" t="s">
        <v>25723</v>
      </c>
      <c r="B5171" s="28" t="s">
        <v>25724</v>
      </c>
      <c r="C5171" s="28" t="s">
        <v>1779</v>
      </c>
      <c r="D5171" s="28" t="s">
        <v>7132</v>
      </c>
      <c r="E5171" s="28" t="s">
        <v>25725</v>
      </c>
      <c r="F5171" s="28" t="s">
        <v>21</v>
      </c>
      <c r="G5171" s="28" t="s">
        <v>25396</v>
      </c>
      <c r="H5171" s="28" t="s">
        <v>25556</v>
      </c>
      <c r="I5171" s="28" t="s">
        <v>25726</v>
      </c>
      <c r="J5171" s="28" t="s">
        <v>25396</v>
      </c>
      <c r="K5171" s="28" t="s">
        <v>25558</v>
      </c>
      <c r="L5171" s="28" t="s">
        <v>25559</v>
      </c>
      <c r="M5171" s="28" t="s">
        <v>25727</v>
      </c>
      <c r="N5171" s="28" t="s">
        <v>25561</v>
      </c>
      <c r="O5171" s="28" t="s">
        <v>25562</v>
      </c>
      <c r="P5171" s="28" t="s">
        <v>25728</v>
      </c>
    </row>
    <row r="5172" spans="1:16" x14ac:dyDescent="0.25">
      <c r="A5172" s="28" t="s">
        <v>25729</v>
      </c>
      <c r="B5172" s="28" t="s">
        <v>25730</v>
      </c>
      <c r="C5172" s="28" t="s">
        <v>1779</v>
      </c>
      <c r="D5172" s="28" t="s">
        <v>7132</v>
      </c>
      <c r="E5172" s="28" t="s">
        <v>25731</v>
      </c>
      <c r="F5172" s="28" t="s">
        <v>21</v>
      </c>
      <c r="G5172" s="28" t="s">
        <v>25396</v>
      </c>
      <c r="H5172" s="28" t="s">
        <v>25556</v>
      </c>
      <c r="I5172" s="28" t="s">
        <v>25732</v>
      </c>
      <c r="J5172" s="28" t="s">
        <v>25396</v>
      </c>
      <c r="K5172" s="28" t="s">
        <v>25558</v>
      </c>
      <c r="L5172" s="28" t="s">
        <v>25559</v>
      </c>
      <c r="M5172" s="28" t="s">
        <v>25733</v>
      </c>
      <c r="N5172" s="28" t="s">
        <v>25561</v>
      </c>
      <c r="O5172" s="28" t="s">
        <v>25562</v>
      </c>
      <c r="P5172" s="28" t="s">
        <v>25734</v>
      </c>
    </row>
    <row r="5173" spans="1:16" x14ac:dyDescent="0.25">
      <c r="A5173" s="28" t="s">
        <v>25735</v>
      </c>
      <c r="B5173" s="28" t="s">
        <v>25736</v>
      </c>
      <c r="C5173" s="28" t="s">
        <v>1779</v>
      </c>
      <c r="D5173" s="28" t="s">
        <v>7132</v>
      </c>
      <c r="E5173" s="28" t="s">
        <v>25737</v>
      </c>
      <c r="F5173" s="28" t="s">
        <v>21</v>
      </c>
      <c r="G5173" s="28" t="s">
        <v>25396</v>
      </c>
      <c r="H5173" s="28" t="s">
        <v>25556</v>
      </c>
      <c r="I5173" s="28" t="s">
        <v>25738</v>
      </c>
      <c r="J5173" s="28" t="s">
        <v>25396</v>
      </c>
      <c r="K5173" s="28" t="s">
        <v>25558</v>
      </c>
      <c r="L5173" s="28" t="s">
        <v>25559</v>
      </c>
      <c r="M5173" s="28" t="s">
        <v>25739</v>
      </c>
      <c r="N5173" s="28" t="s">
        <v>25561</v>
      </c>
      <c r="O5173" s="28" t="s">
        <v>25562</v>
      </c>
      <c r="P5173" s="28" t="s">
        <v>25740</v>
      </c>
    </row>
    <row r="5174" spans="1:16" x14ac:dyDescent="0.25">
      <c r="A5174" s="28" t="s">
        <v>25741</v>
      </c>
      <c r="B5174" s="28" t="s">
        <v>25742</v>
      </c>
      <c r="C5174" s="28" t="s">
        <v>1779</v>
      </c>
      <c r="D5174" s="28" t="s">
        <v>7132</v>
      </c>
      <c r="E5174" s="28" t="s">
        <v>25743</v>
      </c>
      <c r="F5174" s="28" t="s">
        <v>21</v>
      </c>
      <c r="G5174" s="28" t="s">
        <v>25396</v>
      </c>
      <c r="H5174" s="28" t="s">
        <v>25556</v>
      </c>
      <c r="I5174" s="28" t="s">
        <v>25744</v>
      </c>
      <c r="J5174" s="28" t="s">
        <v>25396</v>
      </c>
      <c r="K5174" s="28" t="s">
        <v>25558</v>
      </c>
      <c r="L5174" s="28" t="s">
        <v>25559</v>
      </c>
      <c r="M5174" s="28" t="s">
        <v>25745</v>
      </c>
      <c r="N5174" s="28" t="s">
        <v>25561</v>
      </c>
      <c r="O5174" s="28" t="s">
        <v>25562</v>
      </c>
      <c r="P5174" s="28" t="s">
        <v>25746</v>
      </c>
    </row>
    <row r="5175" spans="1:16" x14ac:dyDescent="0.25">
      <c r="A5175" s="28" t="s">
        <v>25747</v>
      </c>
      <c r="B5175" s="28" t="s">
        <v>25748</v>
      </c>
      <c r="C5175" s="28" t="s">
        <v>1779</v>
      </c>
      <c r="D5175" s="28" t="s">
        <v>7132</v>
      </c>
      <c r="E5175" s="28" t="s">
        <v>25749</v>
      </c>
      <c r="F5175" s="28" t="s">
        <v>21</v>
      </c>
      <c r="G5175" s="28" t="s">
        <v>25396</v>
      </c>
      <c r="H5175" s="28" t="s">
        <v>25556</v>
      </c>
      <c r="I5175" s="28" t="s">
        <v>25750</v>
      </c>
      <c r="J5175" s="28" t="s">
        <v>25396</v>
      </c>
      <c r="K5175" s="28" t="s">
        <v>25558</v>
      </c>
      <c r="L5175" s="28" t="s">
        <v>25559</v>
      </c>
      <c r="M5175" s="28" t="s">
        <v>25751</v>
      </c>
      <c r="N5175" s="28" t="s">
        <v>25561</v>
      </c>
      <c r="O5175" s="28" t="s">
        <v>25562</v>
      </c>
      <c r="P5175" s="28" t="s">
        <v>25752</v>
      </c>
    </row>
    <row r="5176" spans="1:16" x14ac:dyDescent="0.25">
      <c r="A5176" s="28" t="s">
        <v>25753</v>
      </c>
      <c r="B5176" s="28" t="s">
        <v>25754</v>
      </c>
      <c r="C5176" s="28" t="s">
        <v>1779</v>
      </c>
      <c r="D5176" s="28" t="s">
        <v>7132</v>
      </c>
      <c r="E5176" s="28" t="s">
        <v>25755</v>
      </c>
      <c r="F5176" s="28" t="s">
        <v>21</v>
      </c>
      <c r="G5176" s="28" t="s">
        <v>25396</v>
      </c>
      <c r="H5176" s="28" t="s">
        <v>25556</v>
      </c>
      <c r="I5176" s="28" t="s">
        <v>25756</v>
      </c>
      <c r="J5176" s="28" t="s">
        <v>25396</v>
      </c>
      <c r="K5176" s="28" t="s">
        <v>25558</v>
      </c>
      <c r="L5176" s="28" t="s">
        <v>25559</v>
      </c>
      <c r="M5176" s="28" t="s">
        <v>25757</v>
      </c>
      <c r="N5176" s="28" t="s">
        <v>25561</v>
      </c>
      <c r="O5176" s="28" t="s">
        <v>25562</v>
      </c>
      <c r="P5176" s="28" t="s">
        <v>25758</v>
      </c>
    </row>
    <row r="5177" spans="1:16" x14ac:dyDescent="0.25">
      <c r="A5177" s="28" t="s">
        <v>25759</v>
      </c>
      <c r="B5177" s="28" t="s">
        <v>25760</v>
      </c>
      <c r="C5177" s="28" t="s">
        <v>1779</v>
      </c>
      <c r="D5177" s="28" t="s">
        <v>7132</v>
      </c>
      <c r="E5177" s="28" t="s">
        <v>25761</v>
      </c>
      <c r="F5177" s="28" t="s">
        <v>21</v>
      </c>
      <c r="G5177" s="28" t="s">
        <v>25396</v>
      </c>
      <c r="H5177" s="28" t="s">
        <v>25556</v>
      </c>
      <c r="I5177" s="28" t="s">
        <v>25762</v>
      </c>
      <c r="J5177" s="28" t="s">
        <v>25396</v>
      </c>
      <c r="K5177" s="28" t="s">
        <v>25558</v>
      </c>
      <c r="L5177" s="28" t="s">
        <v>25559</v>
      </c>
      <c r="M5177" s="28" t="s">
        <v>25763</v>
      </c>
      <c r="N5177" s="28" t="s">
        <v>25561</v>
      </c>
      <c r="O5177" s="28" t="s">
        <v>25562</v>
      </c>
      <c r="P5177" s="28" t="s">
        <v>25764</v>
      </c>
    </row>
    <row r="5178" spans="1:16" x14ac:dyDescent="0.25">
      <c r="A5178" s="28" t="s">
        <v>25765</v>
      </c>
      <c r="B5178" s="28" t="s">
        <v>25766</v>
      </c>
      <c r="C5178" s="28" t="s">
        <v>1779</v>
      </c>
      <c r="D5178" s="28" t="s">
        <v>7132</v>
      </c>
      <c r="E5178" s="28" t="s">
        <v>25767</v>
      </c>
      <c r="F5178" s="28" t="s">
        <v>21</v>
      </c>
      <c r="G5178" s="28" t="s">
        <v>25396</v>
      </c>
      <c r="H5178" s="28" t="s">
        <v>25556</v>
      </c>
      <c r="I5178" s="28" t="s">
        <v>25768</v>
      </c>
      <c r="J5178" s="28" t="s">
        <v>25396</v>
      </c>
      <c r="K5178" s="28" t="s">
        <v>25558</v>
      </c>
      <c r="L5178" s="28" t="s">
        <v>25559</v>
      </c>
      <c r="M5178" s="28" t="s">
        <v>25769</v>
      </c>
      <c r="N5178" s="28" t="s">
        <v>25561</v>
      </c>
      <c r="O5178" s="28" t="s">
        <v>25562</v>
      </c>
      <c r="P5178" s="28" t="s">
        <v>25770</v>
      </c>
    </row>
    <row r="5179" spans="1:16" x14ac:dyDescent="0.25">
      <c r="A5179" s="28" t="s">
        <v>25771</v>
      </c>
      <c r="B5179" s="28" t="s">
        <v>25772</v>
      </c>
      <c r="C5179" s="28" t="s">
        <v>1779</v>
      </c>
      <c r="D5179" s="28" t="s">
        <v>7132</v>
      </c>
      <c r="E5179" s="28" t="s">
        <v>25773</v>
      </c>
      <c r="F5179" s="28" t="s">
        <v>21</v>
      </c>
      <c r="G5179" s="28" t="s">
        <v>25396</v>
      </c>
      <c r="H5179" s="28" t="s">
        <v>25556</v>
      </c>
      <c r="I5179" s="28" t="s">
        <v>25774</v>
      </c>
      <c r="J5179" s="28" t="s">
        <v>25396</v>
      </c>
      <c r="K5179" s="28" t="s">
        <v>25558</v>
      </c>
      <c r="L5179" s="28" t="s">
        <v>25559</v>
      </c>
      <c r="M5179" s="28" t="s">
        <v>25775</v>
      </c>
      <c r="N5179" s="28" t="s">
        <v>25561</v>
      </c>
      <c r="O5179" s="28" t="s">
        <v>25562</v>
      </c>
      <c r="P5179" s="28" t="s">
        <v>25776</v>
      </c>
    </row>
    <row r="5180" spans="1:16" x14ac:dyDescent="0.25">
      <c r="A5180" s="28" t="s">
        <v>25777</v>
      </c>
      <c r="B5180" s="28" t="s">
        <v>25778</v>
      </c>
      <c r="C5180" s="28" t="s">
        <v>1779</v>
      </c>
      <c r="D5180" s="28" t="s">
        <v>7132</v>
      </c>
      <c r="E5180" s="28" t="s">
        <v>25779</v>
      </c>
      <c r="F5180" s="28" t="s">
        <v>21</v>
      </c>
      <c r="G5180" s="28" t="s">
        <v>25396</v>
      </c>
      <c r="H5180" s="28" t="s">
        <v>25556</v>
      </c>
      <c r="I5180" s="28" t="s">
        <v>25780</v>
      </c>
      <c r="J5180" s="28" t="s">
        <v>25396</v>
      </c>
      <c r="K5180" s="28" t="s">
        <v>25558</v>
      </c>
      <c r="L5180" s="28" t="s">
        <v>25559</v>
      </c>
      <c r="M5180" s="28" t="s">
        <v>25781</v>
      </c>
      <c r="N5180" s="28" t="s">
        <v>25561</v>
      </c>
      <c r="O5180" s="28" t="s">
        <v>25562</v>
      </c>
      <c r="P5180" s="28" t="s">
        <v>25782</v>
      </c>
    </row>
    <row r="5181" spans="1:16" x14ac:dyDescent="0.25">
      <c r="A5181" s="28" t="s">
        <v>25783</v>
      </c>
      <c r="B5181" s="28" t="s">
        <v>25784</v>
      </c>
      <c r="C5181" s="28" t="s">
        <v>1779</v>
      </c>
      <c r="D5181" s="28" t="s">
        <v>7132</v>
      </c>
      <c r="E5181" s="28" t="s">
        <v>25785</v>
      </c>
      <c r="F5181" s="28" t="s">
        <v>21</v>
      </c>
      <c r="G5181" s="28" t="s">
        <v>25396</v>
      </c>
      <c r="H5181" s="28" t="s">
        <v>25556</v>
      </c>
      <c r="I5181" s="28" t="s">
        <v>25786</v>
      </c>
      <c r="J5181" s="28" t="s">
        <v>25396</v>
      </c>
      <c r="K5181" s="28" t="s">
        <v>25558</v>
      </c>
      <c r="L5181" s="28" t="s">
        <v>25559</v>
      </c>
      <c r="M5181" s="28" t="s">
        <v>25787</v>
      </c>
      <c r="N5181" s="28" t="s">
        <v>25561</v>
      </c>
      <c r="O5181" s="28" t="s">
        <v>25562</v>
      </c>
      <c r="P5181" s="28" t="s">
        <v>25788</v>
      </c>
    </row>
    <row r="5182" spans="1:16" x14ac:dyDescent="0.25">
      <c r="A5182" s="28" t="s">
        <v>25789</v>
      </c>
      <c r="B5182" s="28" t="s">
        <v>25790</v>
      </c>
      <c r="C5182" s="28" t="s">
        <v>1779</v>
      </c>
      <c r="D5182" s="28" t="s">
        <v>7132</v>
      </c>
      <c r="E5182" s="28" t="s">
        <v>25791</v>
      </c>
      <c r="F5182" s="28" t="s">
        <v>21</v>
      </c>
      <c r="G5182" s="28" t="s">
        <v>25396</v>
      </c>
      <c r="H5182" s="28" t="s">
        <v>25556</v>
      </c>
      <c r="I5182" s="28" t="s">
        <v>25792</v>
      </c>
      <c r="J5182" s="28" t="s">
        <v>25396</v>
      </c>
      <c r="K5182" s="28" t="s">
        <v>25558</v>
      </c>
      <c r="L5182" s="28" t="s">
        <v>25559</v>
      </c>
      <c r="M5182" s="28" t="s">
        <v>25793</v>
      </c>
      <c r="N5182" s="28" t="s">
        <v>25561</v>
      </c>
      <c r="O5182" s="28" t="s">
        <v>25562</v>
      </c>
      <c r="P5182" s="28" t="s">
        <v>25794</v>
      </c>
    </row>
    <row r="5183" spans="1:16" x14ac:dyDescent="0.25">
      <c r="A5183" s="28" t="s">
        <v>25795</v>
      </c>
      <c r="B5183" s="28" t="s">
        <v>25796</v>
      </c>
      <c r="C5183" s="28" t="s">
        <v>1779</v>
      </c>
      <c r="D5183" s="28" t="s">
        <v>7132</v>
      </c>
      <c r="E5183" s="28" t="s">
        <v>25797</v>
      </c>
      <c r="F5183" s="28" t="s">
        <v>21</v>
      </c>
      <c r="G5183" s="28" t="s">
        <v>25396</v>
      </c>
      <c r="H5183" s="28" t="s">
        <v>25556</v>
      </c>
      <c r="I5183" s="28" t="s">
        <v>25798</v>
      </c>
      <c r="J5183" s="28" t="s">
        <v>25396</v>
      </c>
      <c r="K5183" s="28" t="s">
        <v>25558</v>
      </c>
      <c r="L5183" s="28" t="s">
        <v>25559</v>
      </c>
      <c r="M5183" s="28" t="s">
        <v>25799</v>
      </c>
      <c r="N5183" s="28" t="s">
        <v>25561</v>
      </c>
      <c r="O5183" s="28" t="s">
        <v>25562</v>
      </c>
      <c r="P5183" s="28" t="s">
        <v>25800</v>
      </c>
    </row>
    <row r="5184" spans="1:16" x14ac:dyDescent="0.25">
      <c r="A5184" s="28" t="s">
        <v>25801</v>
      </c>
      <c r="B5184" s="28" t="s">
        <v>25802</v>
      </c>
      <c r="C5184" s="28" t="s">
        <v>1779</v>
      </c>
      <c r="D5184" s="28" t="s">
        <v>7132</v>
      </c>
      <c r="E5184" s="28" t="s">
        <v>25803</v>
      </c>
      <c r="F5184" s="28" t="s">
        <v>21</v>
      </c>
      <c r="G5184" s="28" t="s">
        <v>25396</v>
      </c>
      <c r="H5184" s="28" t="s">
        <v>25556</v>
      </c>
      <c r="I5184" s="28" t="s">
        <v>25804</v>
      </c>
      <c r="J5184" s="28" t="s">
        <v>25396</v>
      </c>
      <c r="K5184" s="28" t="s">
        <v>25558</v>
      </c>
      <c r="L5184" s="28" t="s">
        <v>25559</v>
      </c>
      <c r="M5184" s="28" t="s">
        <v>25805</v>
      </c>
      <c r="N5184" s="28" t="s">
        <v>25561</v>
      </c>
      <c r="O5184" s="28" t="s">
        <v>25562</v>
      </c>
      <c r="P5184" s="28" t="s">
        <v>25806</v>
      </c>
    </row>
    <row r="5185" spans="1:16" x14ac:dyDescent="0.25">
      <c r="A5185" s="28" t="s">
        <v>25807</v>
      </c>
      <c r="B5185" s="28" t="s">
        <v>25808</v>
      </c>
      <c r="C5185" s="28" t="s">
        <v>1779</v>
      </c>
      <c r="D5185" s="28" t="s">
        <v>7132</v>
      </c>
      <c r="E5185" s="28" t="s">
        <v>25809</v>
      </c>
      <c r="F5185" s="28" t="s">
        <v>21</v>
      </c>
      <c r="G5185" s="28" t="s">
        <v>25396</v>
      </c>
      <c r="H5185" s="28" t="s">
        <v>25556</v>
      </c>
      <c r="I5185" s="28" t="s">
        <v>25810</v>
      </c>
      <c r="J5185" s="28" t="s">
        <v>25396</v>
      </c>
      <c r="K5185" s="28" t="s">
        <v>25558</v>
      </c>
      <c r="L5185" s="28" t="s">
        <v>25559</v>
      </c>
      <c r="M5185" s="28" t="s">
        <v>25811</v>
      </c>
      <c r="N5185" s="28" t="s">
        <v>25561</v>
      </c>
      <c r="O5185" s="28" t="s">
        <v>25562</v>
      </c>
      <c r="P5185" s="28" t="s">
        <v>25812</v>
      </c>
    </row>
    <row r="5186" spans="1:16" x14ac:dyDescent="0.25">
      <c r="A5186" s="28" t="s">
        <v>25813</v>
      </c>
      <c r="B5186" s="28" t="s">
        <v>25814</v>
      </c>
      <c r="C5186" s="28" t="s">
        <v>1779</v>
      </c>
      <c r="D5186" s="28" t="s">
        <v>7132</v>
      </c>
      <c r="E5186" s="28" t="s">
        <v>25815</v>
      </c>
      <c r="F5186" s="28" t="s">
        <v>21</v>
      </c>
      <c r="G5186" s="28" t="s">
        <v>25396</v>
      </c>
      <c r="H5186" s="28" t="s">
        <v>25556</v>
      </c>
      <c r="I5186" s="28" t="s">
        <v>25816</v>
      </c>
      <c r="J5186" s="28" t="s">
        <v>25396</v>
      </c>
      <c r="K5186" s="28" t="s">
        <v>25558</v>
      </c>
      <c r="L5186" s="28" t="s">
        <v>25559</v>
      </c>
      <c r="M5186" s="28" t="s">
        <v>25817</v>
      </c>
      <c r="N5186" s="28" t="s">
        <v>25561</v>
      </c>
      <c r="O5186" s="28" t="s">
        <v>25562</v>
      </c>
      <c r="P5186" s="28" t="s">
        <v>25818</v>
      </c>
    </row>
    <row r="5187" spans="1:16" x14ac:dyDescent="0.25">
      <c r="A5187" s="28" t="s">
        <v>25819</v>
      </c>
      <c r="B5187" s="28" t="s">
        <v>25820</v>
      </c>
      <c r="C5187" s="28" t="s">
        <v>1779</v>
      </c>
      <c r="D5187" s="28" t="s">
        <v>7132</v>
      </c>
      <c r="E5187" s="28" t="s">
        <v>25821</v>
      </c>
      <c r="F5187" s="28" t="s">
        <v>21</v>
      </c>
      <c r="G5187" s="28" t="s">
        <v>25396</v>
      </c>
      <c r="H5187" s="28" t="s">
        <v>25556</v>
      </c>
      <c r="I5187" s="28" t="s">
        <v>25822</v>
      </c>
      <c r="J5187" s="28" t="s">
        <v>25396</v>
      </c>
      <c r="K5187" s="28" t="s">
        <v>25558</v>
      </c>
      <c r="L5187" s="28" t="s">
        <v>25559</v>
      </c>
      <c r="M5187" s="28" t="s">
        <v>25823</v>
      </c>
      <c r="N5187" s="28" t="s">
        <v>25561</v>
      </c>
      <c r="O5187" s="28" t="s">
        <v>25562</v>
      </c>
      <c r="P5187" s="28" t="s">
        <v>25824</v>
      </c>
    </row>
    <row r="5188" spans="1:16" x14ac:dyDescent="0.25">
      <c r="A5188" s="28" t="s">
        <v>25825</v>
      </c>
      <c r="B5188" s="28" t="s">
        <v>25826</v>
      </c>
      <c r="C5188" s="28" t="s">
        <v>1779</v>
      </c>
      <c r="D5188" s="28" t="s">
        <v>7132</v>
      </c>
      <c r="E5188" s="28" t="s">
        <v>25827</v>
      </c>
      <c r="F5188" s="28" t="s">
        <v>21</v>
      </c>
      <c r="G5188" s="28" t="s">
        <v>25396</v>
      </c>
      <c r="H5188" s="28" t="s">
        <v>25556</v>
      </c>
      <c r="I5188" s="28" t="s">
        <v>25828</v>
      </c>
      <c r="J5188" s="28" t="s">
        <v>25396</v>
      </c>
      <c r="K5188" s="28" t="s">
        <v>25558</v>
      </c>
      <c r="L5188" s="28" t="s">
        <v>25559</v>
      </c>
      <c r="M5188" s="28" t="s">
        <v>25829</v>
      </c>
      <c r="N5188" s="28" t="s">
        <v>25561</v>
      </c>
      <c r="O5188" s="28" t="s">
        <v>25562</v>
      </c>
      <c r="P5188" s="28" t="s">
        <v>25830</v>
      </c>
    </row>
    <row r="5189" spans="1:16" x14ac:dyDescent="0.25">
      <c r="A5189" s="28" t="s">
        <v>25831</v>
      </c>
      <c r="B5189" s="28" t="s">
        <v>25832</v>
      </c>
      <c r="C5189" s="28" t="s">
        <v>1779</v>
      </c>
      <c r="D5189" s="28" t="s">
        <v>7132</v>
      </c>
      <c r="E5189" s="28" t="s">
        <v>25833</v>
      </c>
      <c r="F5189" s="28" t="s">
        <v>21</v>
      </c>
      <c r="G5189" s="28" t="s">
        <v>25396</v>
      </c>
      <c r="H5189" s="28" t="s">
        <v>25556</v>
      </c>
      <c r="I5189" s="28" t="s">
        <v>25834</v>
      </c>
      <c r="J5189" s="28" t="s">
        <v>25396</v>
      </c>
      <c r="K5189" s="28" t="s">
        <v>25558</v>
      </c>
      <c r="L5189" s="28" t="s">
        <v>25559</v>
      </c>
      <c r="M5189" s="28" t="s">
        <v>25835</v>
      </c>
      <c r="N5189" s="28" t="s">
        <v>25561</v>
      </c>
      <c r="O5189" s="28" t="s">
        <v>25562</v>
      </c>
      <c r="P5189" s="28" t="s">
        <v>25836</v>
      </c>
    </row>
    <row r="5190" spans="1:16" x14ac:dyDescent="0.25">
      <c r="A5190" s="28" t="s">
        <v>25837</v>
      </c>
      <c r="B5190" s="28" t="s">
        <v>25838</v>
      </c>
      <c r="C5190" s="28" t="s">
        <v>1779</v>
      </c>
      <c r="D5190" s="28" t="s">
        <v>7132</v>
      </c>
      <c r="E5190" s="28" t="s">
        <v>25839</v>
      </c>
      <c r="F5190" s="28" t="s">
        <v>21</v>
      </c>
      <c r="G5190" s="28" t="s">
        <v>25396</v>
      </c>
      <c r="H5190" s="28" t="s">
        <v>25556</v>
      </c>
      <c r="I5190" s="28" t="s">
        <v>25840</v>
      </c>
      <c r="J5190" s="28" t="s">
        <v>25396</v>
      </c>
      <c r="K5190" s="28" t="s">
        <v>25558</v>
      </c>
      <c r="L5190" s="28" t="s">
        <v>25559</v>
      </c>
      <c r="M5190" s="28" t="s">
        <v>25841</v>
      </c>
      <c r="N5190" s="28" t="s">
        <v>25561</v>
      </c>
      <c r="O5190" s="28" t="s">
        <v>25562</v>
      </c>
      <c r="P5190" s="28" t="s">
        <v>25842</v>
      </c>
    </row>
    <row r="5191" spans="1:16" x14ac:dyDescent="0.25">
      <c r="A5191" s="28" t="s">
        <v>25843</v>
      </c>
      <c r="B5191" s="28" t="s">
        <v>25844</v>
      </c>
      <c r="C5191" s="28" t="s">
        <v>1779</v>
      </c>
      <c r="D5191" s="28" t="s">
        <v>7132</v>
      </c>
      <c r="E5191" s="28" t="s">
        <v>25845</v>
      </c>
      <c r="F5191" s="28" t="s">
        <v>21</v>
      </c>
      <c r="G5191" s="28" t="s">
        <v>25396</v>
      </c>
      <c r="H5191" s="28" t="s">
        <v>25556</v>
      </c>
      <c r="I5191" s="28" t="s">
        <v>25846</v>
      </c>
      <c r="J5191" s="28" t="s">
        <v>25396</v>
      </c>
      <c r="K5191" s="28" t="s">
        <v>25558</v>
      </c>
      <c r="L5191" s="28" t="s">
        <v>25559</v>
      </c>
      <c r="M5191" s="28" t="s">
        <v>25847</v>
      </c>
      <c r="N5191" s="28" t="s">
        <v>25561</v>
      </c>
      <c r="O5191" s="28" t="s">
        <v>25562</v>
      </c>
      <c r="P5191" s="28" t="s">
        <v>25848</v>
      </c>
    </row>
    <row r="5192" spans="1:16" x14ac:dyDescent="0.25">
      <c r="A5192" s="28" t="s">
        <v>25849</v>
      </c>
      <c r="B5192" s="28" t="s">
        <v>25850</v>
      </c>
      <c r="C5192" s="28" t="s">
        <v>1779</v>
      </c>
      <c r="D5192" s="28" t="s">
        <v>7132</v>
      </c>
      <c r="E5192" s="28" t="s">
        <v>25851</v>
      </c>
      <c r="F5192" s="28" t="s">
        <v>21</v>
      </c>
      <c r="G5192" s="28" t="s">
        <v>25396</v>
      </c>
      <c r="H5192" s="28" t="s">
        <v>25556</v>
      </c>
      <c r="I5192" s="28" t="s">
        <v>25852</v>
      </c>
      <c r="J5192" s="28" t="s">
        <v>25396</v>
      </c>
      <c r="K5192" s="28" t="s">
        <v>25558</v>
      </c>
      <c r="L5192" s="28" t="s">
        <v>25559</v>
      </c>
      <c r="M5192" s="28" t="s">
        <v>25853</v>
      </c>
      <c r="N5192" s="28" t="s">
        <v>25561</v>
      </c>
      <c r="O5192" s="28" t="s">
        <v>25562</v>
      </c>
      <c r="P5192" s="28" t="s">
        <v>25854</v>
      </c>
    </row>
    <row r="5193" spans="1:16" x14ac:dyDescent="0.25">
      <c r="A5193" s="28" t="s">
        <v>25855</v>
      </c>
      <c r="B5193" s="28" t="s">
        <v>25856</v>
      </c>
      <c r="C5193" s="28" t="s">
        <v>1779</v>
      </c>
      <c r="D5193" s="28" t="s">
        <v>7132</v>
      </c>
      <c r="E5193" s="28" t="s">
        <v>25857</v>
      </c>
      <c r="F5193" s="28" t="s">
        <v>21</v>
      </c>
      <c r="G5193" s="28" t="s">
        <v>25396</v>
      </c>
      <c r="H5193" s="28" t="s">
        <v>25556</v>
      </c>
      <c r="I5193" s="28" t="s">
        <v>25858</v>
      </c>
      <c r="J5193" s="28" t="s">
        <v>25396</v>
      </c>
      <c r="K5193" s="28" t="s">
        <v>25558</v>
      </c>
      <c r="L5193" s="28" t="s">
        <v>25559</v>
      </c>
      <c r="M5193" s="28" t="s">
        <v>25859</v>
      </c>
      <c r="N5193" s="28" t="s">
        <v>25561</v>
      </c>
      <c r="O5193" s="28" t="s">
        <v>25562</v>
      </c>
      <c r="P5193" s="28" t="s">
        <v>25860</v>
      </c>
    </row>
    <row r="5194" spans="1:16" x14ac:dyDescent="0.25">
      <c r="A5194" s="28" t="s">
        <v>25861</v>
      </c>
      <c r="B5194" s="28" t="s">
        <v>25862</v>
      </c>
      <c r="C5194" s="28" t="s">
        <v>1779</v>
      </c>
      <c r="D5194" s="28" t="s">
        <v>7132</v>
      </c>
      <c r="E5194" s="28" t="s">
        <v>25863</v>
      </c>
      <c r="F5194" s="28" t="s">
        <v>21</v>
      </c>
      <c r="G5194" s="28" t="s">
        <v>25396</v>
      </c>
      <c r="H5194" s="28" t="s">
        <v>25556</v>
      </c>
      <c r="I5194" s="28" t="s">
        <v>25864</v>
      </c>
      <c r="J5194" s="28" t="s">
        <v>25396</v>
      </c>
      <c r="K5194" s="28" t="s">
        <v>25558</v>
      </c>
      <c r="L5194" s="28" t="s">
        <v>25559</v>
      </c>
      <c r="M5194" s="28" t="s">
        <v>25865</v>
      </c>
      <c r="N5194" s="28" t="s">
        <v>25561</v>
      </c>
      <c r="O5194" s="28" t="s">
        <v>25562</v>
      </c>
      <c r="P5194" s="28" t="s">
        <v>25866</v>
      </c>
    </row>
    <row r="5195" spans="1:16" x14ac:dyDescent="0.25">
      <c r="A5195" s="28" t="s">
        <v>25867</v>
      </c>
      <c r="B5195" s="28" t="s">
        <v>25868</v>
      </c>
      <c r="C5195" s="28" t="s">
        <v>1779</v>
      </c>
      <c r="D5195" s="28" t="s">
        <v>7132</v>
      </c>
      <c r="E5195" s="28" t="s">
        <v>25869</v>
      </c>
      <c r="F5195" s="28" t="s">
        <v>21</v>
      </c>
      <c r="G5195" s="28" t="s">
        <v>25396</v>
      </c>
      <c r="H5195" s="28" t="s">
        <v>25556</v>
      </c>
      <c r="I5195" s="28" t="s">
        <v>25870</v>
      </c>
      <c r="J5195" s="28" t="s">
        <v>25396</v>
      </c>
      <c r="K5195" s="28" t="s">
        <v>25558</v>
      </c>
      <c r="L5195" s="28" t="s">
        <v>25559</v>
      </c>
      <c r="M5195" s="28" t="s">
        <v>25871</v>
      </c>
      <c r="N5195" s="28" t="s">
        <v>25561</v>
      </c>
      <c r="O5195" s="28" t="s">
        <v>25562</v>
      </c>
      <c r="P5195" s="28" t="s">
        <v>25872</v>
      </c>
    </row>
    <row r="5196" spans="1:16" x14ac:dyDescent="0.25">
      <c r="A5196" s="28" t="s">
        <v>25873</v>
      </c>
      <c r="B5196" s="28" t="s">
        <v>25874</v>
      </c>
      <c r="C5196" s="28" t="s">
        <v>1779</v>
      </c>
      <c r="D5196" s="28" t="s">
        <v>7132</v>
      </c>
      <c r="E5196" s="28" t="s">
        <v>25875</v>
      </c>
      <c r="F5196" s="28" t="s">
        <v>21</v>
      </c>
      <c r="G5196" s="28" t="s">
        <v>25396</v>
      </c>
      <c r="H5196" s="28" t="s">
        <v>25556</v>
      </c>
      <c r="I5196" s="28" t="s">
        <v>25876</v>
      </c>
      <c r="J5196" s="28" t="s">
        <v>25396</v>
      </c>
      <c r="K5196" s="28" t="s">
        <v>25558</v>
      </c>
      <c r="L5196" s="28" t="s">
        <v>25559</v>
      </c>
      <c r="M5196" s="28" t="s">
        <v>25877</v>
      </c>
      <c r="N5196" s="28" t="s">
        <v>25561</v>
      </c>
      <c r="O5196" s="28" t="s">
        <v>25562</v>
      </c>
      <c r="P5196" s="28" t="s">
        <v>25878</v>
      </c>
    </row>
    <row r="5197" spans="1:16" x14ac:dyDescent="0.25">
      <c r="A5197" s="28" t="s">
        <v>25879</v>
      </c>
      <c r="B5197" s="28" t="s">
        <v>25880</v>
      </c>
      <c r="C5197" s="28" t="s">
        <v>1779</v>
      </c>
      <c r="D5197" s="28" t="s">
        <v>7132</v>
      </c>
      <c r="E5197" s="28" t="s">
        <v>25881</v>
      </c>
      <c r="F5197" s="28" t="s">
        <v>21</v>
      </c>
      <c r="G5197" s="28" t="s">
        <v>25396</v>
      </c>
      <c r="H5197" s="28" t="s">
        <v>25556</v>
      </c>
      <c r="I5197" s="28" t="s">
        <v>25882</v>
      </c>
      <c r="J5197" s="28" t="s">
        <v>25396</v>
      </c>
      <c r="K5197" s="28" t="s">
        <v>25558</v>
      </c>
      <c r="L5197" s="28" t="s">
        <v>25559</v>
      </c>
      <c r="M5197" s="28" t="s">
        <v>25883</v>
      </c>
      <c r="N5197" s="28" t="s">
        <v>25561</v>
      </c>
      <c r="O5197" s="28" t="s">
        <v>25562</v>
      </c>
      <c r="P5197" s="28" t="s">
        <v>25884</v>
      </c>
    </row>
    <row r="5198" spans="1:16" x14ac:dyDescent="0.25">
      <c r="A5198" s="28" t="s">
        <v>25885</v>
      </c>
      <c r="B5198" s="28" t="s">
        <v>25886</v>
      </c>
      <c r="C5198" s="28" t="s">
        <v>1779</v>
      </c>
      <c r="D5198" s="28" t="s">
        <v>7132</v>
      </c>
      <c r="E5198" s="28" t="s">
        <v>25887</v>
      </c>
      <c r="F5198" s="28" t="s">
        <v>21</v>
      </c>
      <c r="G5198" s="28" t="s">
        <v>25396</v>
      </c>
      <c r="H5198" s="28" t="s">
        <v>25556</v>
      </c>
      <c r="I5198" s="28" t="s">
        <v>25888</v>
      </c>
      <c r="J5198" s="28" t="s">
        <v>25396</v>
      </c>
      <c r="K5198" s="28" t="s">
        <v>25558</v>
      </c>
      <c r="L5198" s="28" t="s">
        <v>25559</v>
      </c>
      <c r="M5198" s="28" t="s">
        <v>25889</v>
      </c>
      <c r="N5198" s="28" t="s">
        <v>25561</v>
      </c>
      <c r="O5198" s="28" t="s">
        <v>25562</v>
      </c>
      <c r="P5198" s="28" t="s">
        <v>25890</v>
      </c>
    </row>
    <row r="5199" spans="1:16" x14ac:dyDescent="0.25">
      <c r="A5199" s="28" t="s">
        <v>25891</v>
      </c>
      <c r="B5199" s="28" t="s">
        <v>25892</v>
      </c>
      <c r="C5199" s="28" t="s">
        <v>1779</v>
      </c>
      <c r="D5199" s="28" t="s">
        <v>7132</v>
      </c>
      <c r="E5199" s="28" t="s">
        <v>25893</v>
      </c>
      <c r="F5199" s="28" t="s">
        <v>21</v>
      </c>
      <c r="G5199" s="28" t="s">
        <v>25396</v>
      </c>
      <c r="H5199" s="28" t="s">
        <v>25556</v>
      </c>
      <c r="I5199" s="28" t="s">
        <v>25894</v>
      </c>
      <c r="J5199" s="28" t="s">
        <v>25396</v>
      </c>
      <c r="K5199" s="28" t="s">
        <v>25558</v>
      </c>
      <c r="L5199" s="28" t="s">
        <v>25559</v>
      </c>
      <c r="M5199" s="28" t="s">
        <v>25895</v>
      </c>
      <c r="N5199" s="28" t="s">
        <v>25561</v>
      </c>
      <c r="O5199" s="28" t="s">
        <v>25562</v>
      </c>
      <c r="P5199" s="28" t="s">
        <v>25896</v>
      </c>
    </row>
    <row r="5200" spans="1:16" x14ac:dyDescent="0.25">
      <c r="A5200" s="28" t="s">
        <v>25897</v>
      </c>
      <c r="B5200" s="28" t="s">
        <v>25898</v>
      </c>
      <c r="C5200" s="28" t="s">
        <v>1779</v>
      </c>
      <c r="D5200" s="28" t="s">
        <v>7132</v>
      </c>
      <c r="E5200" s="28" t="s">
        <v>25899</v>
      </c>
      <c r="F5200" s="28" t="s">
        <v>21</v>
      </c>
      <c r="G5200" s="28" t="s">
        <v>25396</v>
      </c>
      <c r="H5200" s="28" t="s">
        <v>25556</v>
      </c>
      <c r="I5200" s="28" t="s">
        <v>25900</v>
      </c>
      <c r="J5200" s="28" t="s">
        <v>25396</v>
      </c>
      <c r="K5200" s="28" t="s">
        <v>25558</v>
      </c>
      <c r="L5200" s="28" t="s">
        <v>25559</v>
      </c>
      <c r="M5200" s="28" t="s">
        <v>25901</v>
      </c>
      <c r="N5200" s="28" t="s">
        <v>25561</v>
      </c>
      <c r="O5200" s="28" t="s">
        <v>25562</v>
      </c>
      <c r="P5200" s="28" t="s">
        <v>25902</v>
      </c>
    </row>
    <row r="5201" spans="1:16" x14ac:dyDescent="0.25">
      <c r="A5201" s="28" t="s">
        <v>25903</v>
      </c>
      <c r="B5201" s="28" t="s">
        <v>25904</v>
      </c>
      <c r="C5201" s="28" t="s">
        <v>1779</v>
      </c>
      <c r="D5201" s="28" t="s">
        <v>7132</v>
      </c>
      <c r="E5201" s="28" t="s">
        <v>25905</v>
      </c>
      <c r="F5201" s="28" t="s">
        <v>21</v>
      </c>
      <c r="G5201" s="28" t="s">
        <v>25396</v>
      </c>
      <c r="H5201" s="28" t="s">
        <v>25556</v>
      </c>
      <c r="I5201" s="28" t="s">
        <v>25906</v>
      </c>
      <c r="J5201" s="28" t="s">
        <v>25396</v>
      </c>
      <c r="K5201" s="28" t="s">
        <v>25558</v>
      </c>
      <c r="L5201" s="28" t="s">
        <v>25559</v>
      </c>
      <c r="M5201" s="28" t="s">
        <v>25907</v>
      </c>
      <c r="N5201" s="28" t="s">
        <v>25561</v>
      </c>
      <c r="O5201" s="28" t="s">
        <v>25562</v>
      </c>
      <c r="P5201" s="28" t="s">
        <v>25908</v>
      </c>
    </row>
    <row r="5202" spans="1:16" x14ac:dyDescent="0.25">
      <c r="A5202" s="28" t="s">
        <v>25909</v>
      </c>
      <c r="B5202" s="28" t="s">
        <v>25910</v>
      </c>
      <c r="C5202" s="28" t="s">
        <v>1779</v>
      </c>
      <c r="D5202" s="28" t="s">
        <v>7132</v>
      </c>
      <c r="E5202" s="28" t="s">
        <v>25911</v>
      </c>
      <c r="F5202" s="28" t="s">
        <v>21</v>
      </c>
      <c r="G5202" s="28" t="s">
        <v>25396</v>
      </c>
      <c r="H5202" s="28" t="s">
        <v>25556</v>
      </c>
      <c r="I5202" s="28" t="s">
        <v>25912</v>
      </c>
      <c r="J5202" s="28" t="s">
        <v>25396</v>
      </c>
      <c r="K5202" s="28" t="s">
        <v>25558</v>
      </c>
      <c r="L5202" s="28" t="s">
        <v>25559</v>
      </c>
      <c r="M5202" s="28" t="s">
        <v>25913</v>
      </c>
      <c r="N5202" s="28" t="s">
        <v>25561</v>
      </c>
      <c r="O5202" s="28" t="s">
        <v>25562</v>
      </c>
      <c r="P5202" s="28" t="s">
        <v>25914</v>
      </c>
    </row>
    <row r="5203" spans="1:16" x14ac:dyDescent="0.25">
      <c r="A5203" s="28" t="s">
        <v>25915</v>
      </c>
      <c r="B5203" s="28" t="s">
        <v>25916</v>
      </c>
      <c r="C5203" s="28" t="s">
        <v>1779</v>
      </c>
      <c r="D5203" s="28" t="s">
        <v>7132</v>
      </c>
      <c r="E5203" s="28" t="s">
        <v>25917</v>
      </c>
      <c r="F5203" s="28" t="s">
        <v>21</v>
      </c>
      <c r="G5203" s="28" t="s">
        <v>25396</v>
      </c>
      <c r="H5203" s="28" t="s">
        <v>25556</v>
      </c>
      <c r="I5203" s="28" t="s">
        <v>25918</v>
      </c>
      <c r="J5203" s="28" t="s">
        <v>25396</v>
      </c>
      <c r="K5203" s="28" t="s">
        <v>25558</v>
      </c>
      <c r="L5203" s="28" t="s">
        <v>25559</v>
      </c>
      <c r="M5203" s="28" t="s">
        <v>25919</v>
      </c>
      <c r="N5203" s="28" t="s">
        <v>25561</v>
      </c>
      <c r="O5203" s="28" t="s">
        <v>25562</v>
      </c>
      <c r="P5203" s="28" t="s">
        <v>25920</v>
      </c>
    </row>
    <row r="5204" spans="1:16" x14ac:dyDescent="0.25">
      <c r="A5204" s="28" t="s">
        <v>25921</v>
      </c>
      <c r="B5204" s="28" t="s">
        <v>25922</v>
      </c>
      <c r="C5204" s="28" t="s">
        <v>1779</v>
      </c>
      <c r="D5204" s="28" t="s">
        <v>7132</v>
      </c>
      <c r="E5204" s="28" t="s">
        <v>25923</v>
      </c>
      <c r="F5204" s="28" t="s">
        <v>21</v>
      </c>
      <c r="G5204" s="28" t="s">
        <v>25396</v>
      </c>
      <c r="H5204" s="28" t="s">
        <v>25556</v>
      </c>
      <c r="I5204" s="28" t="s">
        <v>25924</v>
      </c>
      <c r="J5204" s="28" t="s">
        <v>25396</v>
      </c>
      <c r="K5204" s="28" t="s">
        <v>25558</v>
      </c>
      <c r="L5204" s="28" t="s">
        <v>25559</v>
      </c>
      <c r="M5204" s="28" t="s">
        <v>25925</v>
      </c>
      <c r="N5204" s="28" t="s">
        <v>25561</v>
      </c>
      <c r="O5204" s="28" t="s">
        <v>25562</v>
      </c>
      <c r="P5204" s="28" t="s">
        <v>25926</v>
      </c>
    </row>
    <row r="5205" spans="1:16" x14ac:dyDescent="0.25">
      <c r="A5205" s="28" t="s">
        <v>25927</v>
      </c>
      <c r="B5205" s="28" t="s">
        <v>25928</v>
      </c>
      <c r="C5205" s="28" t="s">
        <v>1779</v>
      </c>
      <c r="D5205" s="28" t="s">
        <v>7132</v>
      </c>
      <c r="E5205" s="28" t="s">
        <v>25929</v>
      </c>
      <c r="F5205" s="28" t="s">
        <v>21</v>
      </c>
      <c r="G5205" s="28" t="s">
        <v>25396</v>
      </c>
      <c r="H5205" s="28" t="s">
        <v>25556</v>
      </c>
      <c r="I5205" s="28" t="s">
        <v>25930</v>
      </c>
      <c r="J5205" s="28" t="s">
        <v>25396</v>
      </c>
      <c r="K5205" s="28" t="s">
        <v>25558</v>
      </c>
      <c r="L5205" s="28" t="s">
        <v>25559</v>
      </c>
      <c r="M5205" s="28" t="s">
        <v>25931</v>
      </c>
      <c r="N5205" s="28" t="s">
        <v>25561</v>
      </c>
      <c r="O5205" s="28" t="s">
        <v>25562</v>
      </c>
      <c r="P5205" s="28" t="s">
        <v>25932</v>
      </c>
    </row>
    <row r="5206" spans="1:16" x14ac:dyDescent="0.25">
      <c r="A5206" s="28" t="s">
        <v>25933</v>
      </c>
      <c r="B5206" s="28" t="s">
        <v>25934</v>
      </c>
      <c r="C5206" s="28" t="s">
        <v>1779</v>
      </c>
      <c r="D5206" s="28" t="s">
        <v>7132</v>
      </c>
      <c r="E5206" s="28" t="s">
        <v>25935</v>
      </c>
      <c r="F5206" s="28" t="s">
        <v>21</v>
      </c>
      <c r="G5206" s="28" t="s">
        <v>25396</v>
      </c>
      <c r="H5206" s="28" t="s">
        <v>25556</v>
      </c>
      <c r="I5206" s="28" t="s">
        <v>25936</v>
      </c>
      <c r="J5206" s="28" t="s">
        <v>25396</v>
      </c>
      <c r="K5206" s="28" t="s">
        <v>25558</v>
      </c>
      <c r="L5206" s="28" t="s">
        <v>25559</v>
      </c>
      <c r="M5206" s="28" t="s">
        <v>25937</v>
      </c>
      <c r="N5206" s="28" t="s">
        <v>25561</v>
      </c>
      <c r="O5206" s="28" t="s">
        <v>25562</v>
      </c>
      <c r="P5206" s="28" t="s">
        <v>25938</v>
      </c>
    </row>
    <row r="5207" spans="1:16" x14ac:dyDescent="0.25">
      <c r="A5207" s="28" t="s">
        <v>25939</v>
      </c>
      <c r="B5207" s="28" t="s">
        <v>25940</v>
      </c>
      <c r="C5207" s="28" t="s">
        <v>1779</v>
      </c>
      <c r="D5207" s="28" t="s">
        <v>7132</v>
      </c>
      <c r="E5207" s="28" t="s">
        <v>25941</v>
      </c>
      <c r="F5207" s="28" t="s">
        <v>21</v>
      </c>
      <c r="G5207" s="28" t="s">
        <v>25396</v>
      </c>
      <c r="H5207" s="28" t="s">
        <v>25556</v>
      </c>
      <c r="I5207" s="28" t="s">
        <v>25942</v>
      </c>
      <c r="J5207" s="28" t="s">
        <v>25396</v>
      </c>
      <c r="K5207" s="28" t="s">
        <v>25558</v>
      </c>
      <c r="L5207" s="28" t="s">
        <v>25559</v>
      </c>
      <c r="M5207" s="28" t="s">
        <v>25943</v>
      </c>
      <c r="N5207" s="28" t="s">
        <v>25561</v>
      </c>
      <c r="O5207" s="28" t="s">
        <v>25562</v>
      </c>
      <c r="P5207" s="28" t="s">
        <v>25944</v>
      </c>
    </row>
    <row r="5208" spans="1:16" x14ac:dyDescent="0.25">
      <c r="A5208" s="28" t="s">
        <v>25945</v>
      </c>
      <c r="B5208" s="28" t="s">
        <v>25946</v>
      </c>
      <c r="C5208" s="28" t="s">
        <v>1779</v>
      </c>
      <c r="D5208" s="28" t="s">
        <v>7132</v>
      </c>
      <c r="E5208" s="28" t="s">
        <v>25947</v>
      </c>
      <c r="F5208" s="28" t="s">
        <v>21</v>
      </c>
      <c r="G5208" s="28" t="s">
        <v>25396</v>
      </c>
      <c r="H5208" s="28" t="s">
        <v>25556</v>
      </c>
      <c r="I5208" s="28" t="s">
        <v>25948</v>
      </c>
      <c r="J5208" s="28" t="s">
        <v>25396</v>
      </c>
      <c r="K5208" s="28" t="s">
        <v>25558</v>
      </c>
      <c r="L5208" s="28" t="s">
        <v>25559</v>
      </c>
      <c r="M5208" s="28" t="s">
        <v>25949</v>
      </c>
      <c r="N5208" s="28" t="s">
        <v>25561</v>
      </c>
      <c r="O5208" s="28" t="s">
        <v>25562</v>
      </c>
      <c r="P5208" s="28" t="s">
        <v>25950</v>
      </c>
    </row>
    <row r="5209" spans="1:16" x14ac:dyDescent="0.25">
      <c r="A5209" s="28" t="s">
        <v>25951</v>
      </c>
      <c r="B5209" s="28" t="s">
        <v>25952</v>
      </c>
      <c r="C5209" s="28" t="s">
        <v>1779</v>
      </c>
      <c r="D5209" s="28" t="s">
        <v>7132</v>
      </c>
      <c r="E5209" s="28" t="s">
        <v>25953</v>
      </c>
      <c r="F5209" s="28" t="s">
        <v>21</v>
      </c>
      <c r="G5209" s="28" t="s">
        <v>25396</v>
      </c>
      <c r="H5209" s="28" t="s">
        <v>25556</v>
      </c>
      <c r="I5209" s="28" t="s">
        <v>25954</v>
      </c>
      <c r="J5209" s="28" t="s">
        <v>25396</v>
      </c>
      <c r="K5209" s="28" t="s">
        <v>25558</v>
      </c>
      <c r="L5209" s="28" t="s">
        <v>25559</v>
      </c>
      <c r="M5209" s="28" t="s">
        <v>25955</v>
      </c>
      <c r="N5209" s="28" t="s">
        <v>25561</v>
      </c>
      <c r="O5209" s="28" t="s">
        <v>25562</v>
      </c>
      <c r="P5209" s="28" t="s">
        <v>25956</v>
      </c>
    </row>
    <row r="5210" spans="1:16" x14ac:dyDescent="0.25">
      <c r="A5210" s="28" t="s">
        <v>25957</v>
      </c>
      <c r="B5210" s="28" t="s">
        <v>25958</v>
      </c>
      <c r="C5210" s="28" t="s">
        <v>1779</v>
      </c>
      <c r="D5210" s="28" t="s">
        <v>7132</v>
      </c>
      <c r="E5210" s="28" t="s">
        <v>25959</v>
      </c>
      <c r="F5210" s="28" t="s">
        <v>21</v>
      </c>
      <c r="G5210" s="28" t="s">
        <v>25396</v>
      </c>
      <c r="H5210" s="28" t="s">
        <v>25556</v>
      </c>
      <c r="I5210" s="28" t="s">
        <v>25960</v>
      </c>
      <c r="J5210" s="28" t="s">
        <v>25396</v>
      </c>
      <c r="K5210" s="28" t="s">
        <v>25558</v>
      </c>
      <c r="L5210" s="28" t="s">
        <v>25559</v>
      </c>
      <c r="M5210" s="28" t="s">
        <v>25961</v>
      </c>
      <c r="N5210" s="28" t="s">
        <v>25561</v>
      </c>
      <c r="O5210" s="28" t="s">
        <v>25562</v>
      </c>
      <c r="P5210" s="28" t="s">
        <v>25962</v>
      </c>
    </row>
    <row r="5211" spans="1:16" x14ac:dyDescent="0.25">
      <c r="A5211" s="28" t="s">
        <v>25963</v>
      </c>
      <c r="B5211" s="28" t="s">
        <v>25964</v>
      </c>
      <c r="C5211" s="28" t="s">
        <v>1779</v>
      </c>
      <c r="D5211" s="28" t="s">
        <v>7132</v>
      </c>
      <c r="E5211" s="28" t="s">
        <v>25965</v>
      </c>
      <c r="F5211" s="28" t="s">
        <v>21</v>
      </c>
      <c r="G5211" s="28" t="s">
        <v>25396</v>
      </c>
      <c r="H5211" s="28" t="s">
        <v>25556</v>
      </c>
      <c r="I5211" s="28" t="s">
        <v>25966</v>
      </c>
      <c r="J5211" s="28" t="s">
        <v>25396</v>
      </c>
      <c r="K5211" s="28" t="s">
        <v>25558</v>
      </c>
      <c r="L5211" s="28" t="s">
        <v>25559</v>
      </c>
      <c r="M5211" s="28" t="s">
        <v>25967</v>
      </c>
      <c r="N5211" s="28" t="s">
        <v>25561</v>
      </c>
      <c r="O5211" s="28" t="s">
        <v>25562</v>
      </c>
      <c r="P5211" s="28" t="s">
        <v>25968</v>
      </c>
    </row>
    <row r="5212" spans="1:16" x14ac:dyDescent="0.25">
      <c r="A5212" s="28" t="s">
        <v>25969</v>
      </c>
      <c r="B5212" s="28" t="s">
        <v>25970</v>
      </c>
      <c r="C5212" s="28" t="s">
        <v>1779</v>
      </c>
      <c r="D5212" s="28" t="s">
        <v>7132</v>
      </c>
      <c r="E5212" s="28" t="s">
        <v>25971</v>
      </c>
      <c r="F5212" s="28" t="s">
        <v>21</v>
      </c>
      <c r="G5212" s="28" t="s">
        <v>25396</v>
      </c>
      <c r="H5212" s="28" t="s">
        <v>25556</v>
      </c>
      <c r="I5212" s="28" t="s">
        <v>25972</v>
      </c>
      <c r="J5212" s="28" t="s">
        <v>25396</v>
      </c>
      <c r="K5212" s="28" t="s">
        <v>25558</v>
      </c>
      <c r="L5212" s="28" t="s">
        <v>25559</v>
      </c>
      <c r="M5212" s="28" t="s">
        <v>25973</v>
      </c>
      <c r="N5212" s="28" t="s">
        <v>25561</v>
      </c>
      <c r="O5212" s="28" t="s">
        <v>25562</v>
      </c>
      <c r="P5212" s="28" t="s">
        <v>25974</v>
      </c>
    </row>
    <row r="5213" spans="1:16" x14ac:dyDescent="0.25">
      <c r="A5213" s="28" t="s">
        <v>25975</v>
      </c>
      <c r="B5213" s="28" t="s">
        <v>25976</v>
      </c>
      <c r="C5213" s="28" t="s">
        <v>1779</v>
      </c>
      <c r="D5213" s="28" t="s">
        <v>7132</v>
      </c>
      <c r="E5213" s="28" t="s">
        <v>25977</v>
      </c>
      <c r="F5213" s="28" t="s">
        <v>21</v>
      </c>
      <c r="G5213" s="28" t="s">
        <v>25396</v>
      </c>
      <c r="H5213" s="28" t="s">
        <v>25556</v>
      </c>
      <c r="I5213" s="28" t="s">
        <v>25978</v>
      </c>
      <c r="J5213" s="28" t="s">
        <v>25396</v>
      </c>
      <c r="K5213" s="28" t="s">
        <v>25558</v>
      </c>
      <c r="L5213" s="28" t="s">
        <v>25559</v>
      </c>
      <c r="M5213" s="28" t="s">
        <v>25979</v>
      </c>
      <c r="N5213" s="28" t="s">
        <v>25561</v>
      </c>
      <c r="O5213" s="28" t="s">
        <v>25562</v>
      </c>
      <c r="P5213" s="28" t="s">
        <v>25980</v>
      </c>
    </row>
    <row r="5214" spans="1:16" x14ac:dyDescent="0.25">
      <c r="A5214" s="28" t="s">
        <v>25981</v>
      </c>
      <c r="B5214" s="28" t="s">
        <v>25982</v>
      </c>
      <c r="C5214" s="28" t="s">
        <v>1779</v>
      </c>
      <c r="D5214" s="28" t="s">
        <v>7132</v>
      </c>
      <c r="E5214" s="28" t="s">
        <v>25983</v>
      </c>
      <c r="F5214" s="28" t="s">
        <v>21</v>
      </c>
      <c r="G5214" s="28" t="s">
        <v>25396</v>
      </c>
      <c r="H5214" s="28" t="s">
        <v>25556</v>
      </c>
      <c r="I5214" s="28" t="s">
        <v>25984</v>
      </c>
      <c r="J5214" s="28" t="s">
        <v>25396</v>
      </c>
      <c r="K5214" s="28" t="s">
        <v>25558</v>
      </c>
      <c r="L5214" s="28" t="s">
        <v>25559</v>
      </c>
      <c r="M5214" s="28" t="s">
        <v>25985</v>
      </c>
      <c r="N5214" s="28" t="s">
        <v>25561</v>
      </c>
      <c r="O5214" s="28" t="s">
        <v>25562</v>
      </c>
      <c r="P5214" s="28" t="s">
        <v>25986</v>
      </c>
    </row>
    <row r="5215" spans="1:16" x14ac:dyDescent="0.25">
      <c r="A5215" s="28" t="s">
        <v>25987</v>
      </c>
      <c r="B5215" s="28" t="s">
        <v>25988</v>
      </c>
      <c r="C5215" s="28" t="s">
        <v>1779</v>
      </c>
      <c r="D5215" s="28" t="s">
        <v>7132</v>
      </c>
      <c r="E5215" s="28" t="s">
        <v>25989</v>
      </c>
      <c r="F5215" s="28" t="s">
        <v>21</v>
      </c>
      <c r="G5215" s="28" t="s">
        <v>25396</v>
      </c>
      <c r="H5215" s="28" t="s">
        <v>25556</v>
      </c>
      <c r="I5215" s="28" t="s">
        <v>25990</v>
      </c>
      <c r="J5215" s="28" t="s">
        <v>25396</v>
      </c>
      <c r="K5215" s="28" t="s">
        <v>25558</v>
      </c>
      <c r="L5215" s="28" t="s">
        <v>25559</v>
      </c>
      <c r="M5215" s="28" t="s">
        <v>25991</v>
      </c>
      <c r="N5215" s="28" t="s">
        <v>25561</v>
      </c>
      <c r="O5215" s="28" t="s">
        <v>25562</v>
      </c>
      <c r="P5215" s="28" t="s">
        <v>25992</v>
      </c>
    </row>
    <row r="5216" spans="1:16" x14ac:dyDescent="0.25">
      <c r="A5216" s="28" t="s">
        <v>25993</v>
      </c>
      <c r="B5216" s="28" t="s">
        <v>25994</v>
      </c>
      <c r="C5216" s="28" t="s">
        <v>1779</v>
      </c>
      <c r="D5216" s="28" t="s">
        <v>7132</v>
      </c>
      <c r="E5216" s="28" t="s">
        <v>25995</v>
      </c>
      <c r="F5216" s="28" t="s">
        <v>21</v>
      </c>
      <c r="G5216" s="28" t="s">
        <v>25396</v>
      </c>
      <c r="H5216" s="28" t="s">
        <v>25556</v>
      </c>
      <c r="I5216" s="28" t="s">
        <v>25996</v>
      </c>
      <c r="J5216" s="28" t="s">
        <v>25396</v>
      </c>
      <c r="K5216" s="28" t="s">
        <v>25558</v>
      </c>
      <c r="L5216" s="28" t="s">
        <v>25559</v>
      </c>
      <c r="M5216" s="28" t="s">
        <v>25997</v>
      </c>
      <c r="N5216" s="28" t="s">
        <v>25561</v>
      </c>
      <c r="O5216" s="28" t="s">
        <v>25562</v>
      </c>
      <c r="P5216" s="28" t="s">
        <v>25998</v>
      </c>
    </row>
    <row r="5217" spans="1:16" x14ac:dyDescent="0.25">
      <c r="A5217" s="28" t="s">
        <v>25999</v>
      </c>
      <c r="B5217" s="28" t="s">
        <v>26000</v>
      </c>
      <c r="C5217" s="28" t="s">
        <v>1779</v>
      </c>
      <c r="D5217" s="28" t="s">
        <v>7132</v>
      </c>
      <c r="E5217" s="28" t="s">
        <v>26001</v>
      </c>
      <c r="F5217" s="28" t="s">
        <v>21</v>
      </c>
      <c r="G5217" s="28" t="s">
        <v>25396</v>
      </c>
      <c r="H5217" s="28" t="s">
        <v>25556</v>
      </c>
      <c r="I5217" s="28" t="s">
        <v>26002</v>
      </c>
      <c r="J5217" s="28" t="s">
        <v>25396</v>
      </c>
      <c r="K5217" s="28" t="s">
        <v>25558</v>
      </c>
      <c r="L5217" s="28" t="s">
        <v>25559</v>
      </c>
      <c r="M5217" s="28" t="s">
        <v>26003</v>
      </c>
      <c r="N5217" s="28" t="s">
        <v>25561</v>
      </c>
      <c r="O5217" s="28" t="s">
        <v>25562</v>
      </c>
      <c r="P5217" s="28" t="s">
        <v>26004</v>
      </c>
    </row>
    <row r="5218" spans="1:16" x14ac:dyDescent="0.25">
      <c r="A5218" s="28" t="s">
        <v>26005</v>
      </c>
      <c r="B5218" s="28" t="s">
        <v>26006</v>
      </c>
      <c r="C5218" s="28" t="s">
        <v>1779</v>
      </c>
      <c r="D5218" s="28" t="s">
        <v>7132</v>
      </c>
      <c r="E5218" s="28" t="s">
        <v>26007</v>
      </c>
      <c r="F5218" s="28" t="s">
        <v>21</v>
      </c>
      <c r="G5218" s="28" t="s">
        <v>25396</v>
      </c>
      <c r="H5218" s="28" t="s">
        <v>25556</v>
      </c>
      <c r="I5218" s="28" t="s">
        <v>26008</v>
      </c>
      <c r="J5218" s="28" t="s">
        <v>25396</v>
      </c>
      <c r="K5218" s="28" t="s">
        <v>25558</v>
      </c>
      <c r="L5218" s="28" t="s">
        <v>25559</v>
      </c>
      <c r="M5218" s="28" t="s">
        <v>26009</v>
      </c>
      <c r="N5218" s="28" t="s">
        <v>25561</v>
      </c>
      <c r="O5218" s="28" t="s">
        <v>25562</v>
      </c>
      <c r="P5218" s="28" t="s">
        <v>26010</v>
      </c>
    </row>
    <row r="5219" spans="1:16" x14ac:dyDescent="0.25">
      <c r="A5219" s="28" t="s">
        <v>26011</v>
      </c>
      <c r="B5219" s="28" t="s">
        <v>26012</v>
      </c>
      <c r="C5219" s="28" t="s">
        <v>1779</v>
      </c>
      <c r="D5219" s="28" t="s">
        <v>7132</v>
      </c>
      <c r="E5219" s="28" t="s">
        <v>26013</v>
      </c>
      <c r="F5219" s="28" t="s">
        <v>21</v>
      </c>
      <c r="G5219" s="28" t="s">
        <v>25396</v>
      </c>
      <c r="H5219" s="28" t="s">
        <v>25556</v>
      </c>
      <c r="I5219" s="28" t="s">
        <v>26014</v>
      </c>
      <c r="J5219" s="28" t="s">
        <v>25396</v>
      </c>
      <c r="K5219" s="28" t="s">
        <v>25558</v>
      </c>
      <c r="L5219" s="28" t="s">
        <v>25559</v>
      </c>
      <c r="M5219" s="28" t="s">
        <v>26015</v>
      </c>
      <c r="N5219" s="28" t="s">
        <v>25561</v>
      </c>
      <c r="O5219" s="28" t="s">
        <v>25562</v>
      </c>
      <c r="P5219" s="28" t="s">
        <v>26016</v>
      </c>
    </row>
    <row r="5220" spans="1:16" x14ac:dyDescent="0.25">
      <c r="A5220" s="28" t="s">
        <v>26017</v>
      </c>
      <c r="B5220" s="28" t="s">
        <v>26018</v>
      </c>
      <c r="C5220" s="28" t="s">
        <v>1779</v>
      </c>
      <c r="D5220" s="28" t="s">
        <v>7132</v>
      </c>
      <c r="E5220" s="28" t="s">
        <v>26019</v>
      </c>
      <c r="F5220" s="28" t="s">
        <v>21</v>
      </c>
      <c r="G5220" s="28" t="s">
        <v>25396</v>
      </c>
      <c r="H5220" s="28" t="s">
        <v>25556</v>
      </c>
      <c r="I5220" s="28" t="s">
        <v>26020</v>
      </c>
      <c r="J5220" s="28" t="s">
        <v>25396</v>
      </c>
      <c r="K5220" s="28" t="s">
        <v>25558</v>
      </c>
      <c r="L5220" s="28" t="s">
        <v>25559</v>
      </c>
      <c r="M5220" s="28" t="s">
        <v>26021</v>
      </c>
      <c r="N5220" s="28" t="s">
        <v>25561</v>
      </c>
      <c r="O5220" s="28" t="s">
        <v>25562</v>
      </c>
      <c r="P5220" s="28" t="s">
        <v>26022</v>
      </c>
    </row>
    <row r="5221" spans="1:16" x14ac:dyDescent="0.25">
      <c r="A5221" s="28" t="s">
        <v>26023</v>
      </c>
      <c r="B5221" s="28" t="s">
        <v>26024</v>
      </c>
      <c r="C5221" s="28" t="s">
        <v>1779</v>
      </c>
      <c r="D5221" s="28" t="s">
        <v>7132</v>
      </c>
      <c r="E5221" s="28" t="s">
        <v>26025</v>
      </c>
      <c r="F5221" s="28" t="s">
        <v>21</v>
      </c>
      <c r="G5221" s="28" t="s">
        <v>25396</v>
      </c>
      <c r="H5221" s="28" t="s">
        <v>25556</v>
      </c>
      <c r="I5221" s="28" t="s">
        <v>26026</v>
      </c>
      <c r="J5221" s="28" t="s">
        <v>25396</v>
      </c>
      <c r="K5221" s="28" t="s">
        <v>25558</v>
      </c>
      <c r="L5221" s="28" t="s">
        <v>25559</v>
      </c>
      <c r="M5221" s="28" t="s">
        <v>26027</v>
      </c>
      <c r="N5221" s="28" t="s">
        <v>25561</v>
      </c>
      <c r="O5221" s="28" t="s">
        <v>25562</v>
      </c>
      <c r="P5221" s="28" t="s">
        <v>26028</v>
      </c>
    </row>
    <row r="5222" spans="1:16" x14ac:dyDescent="0.25">
      <c r="A5222" s="28" t="s">
        <v>26029</v>
      </c>
      <c r="B5222" s="28" t="s">
        <v>26030</v>
      </c>
      <c r="C5222" s="28" t="s">
        <v>1779</v>
      </c>
      <c r="D5222" s="28" t="s">
        <v>7132</v>
      </c>
      <c r="E5222" s="28" t="s">
        <v>26031</v>
      </c>
      <c r="F5222" s="28" t="s">
        <v>21</v>
      </c>
      <c r="G5222" s="28" t="s">
        <v>25396</v>
      </c>
      <c r="H5222" s="28" t="s">
        <v>25556</v>
      </c>
      <c r="I5222" s="28" t="s">
        <v>26032</v>
      </c>
      <c r="J5222" s="28" t="s">
        <v>25396</v>
      </c>
      <c r="K5222" s="28" t="s">
        <v>25558</v>
      </c>
      <c r="L5222" s="28" t="s">
        <v>25559</v>
      </c>
      <c r="M5222" s="28" t="s">
        <v>26033</v>
      </c>
      <c r="N5222" s="28" t="s">
        <v>25561</v>
      </c>
      <c r="O5222" s="28" t="s">
        <v>25562</v>
      </c>
      <c r="P5222" s="28" t="s">
        <v>26034</v>
      </c>
    </row>
    <row r="5223" spans="1:16" x14ac:dyDescent="0.25">
      <c r="A5223" s="28" t="s">
        <v>26035</v>
      </c>
      <c r="B5223" s="28" t="s">
        <v>26036</v>
      </c>
      <c r="C5223" s="28" t="s">
        <v>1779</v>
      </c>
      <c r="D5223" s="28" t="s">
        <v>7132</v>
      </c>
      <c r="E5223" s="28" t="s">
        <v>26037</v>
      </c>
      <c r="F5223" s="28" t="s">
        <v>21</v>
      </c>
      <c r="G5223" s="28" t="s">
        <v>25396</v>
      </c>
      <c r="H5223" s="28" t="s">
        <v>25556</v>
      </c>
      <c r="I5223" s="28" t="s">
        <v>26038</v>
      </c>
      <c r="J5223" s="28" t="s">
        <v>25396</v>
      </c>
      <c r="K5223" s="28" t="s">
        <v>25558</v>
      </c>
      <c r="L5223" s="28" t="s">
        <v>25559</v>
      </c>
      <c r="M5223" s="28" t="s">
        <v>26039</v>
      </c>
      <c r="N5223" s="28" t="s">
        <v>25561</v>
      </c>
      <c r="O5223" s="28" t="s">
        <v>25562</v>
      </c>
      <c r="P5223" s="28" t="s">
        <v>26040</v>
      </c>
    </row>
    <row r="5224" spans="1:16" x14ac:dyDescent="0.25">
      <c r="A5224" s="28" t="s">
        <v>26041</v>
      </c>
      <c r="B5224" s="28" t="s">
        <v>26042</v>
      </c>
      <c r="C5224" s="28" t="s">
        <v>1779</v>
      </c>
      <c r="D5224" s="28" t="s">
        <v>7132</v>
      </c>
      <c r="E5224" s="28" t="s">
        <v>26043</v>
      </c>
      <c r="F5224" s="28" t="s">
        <v>21</v>
      </c>
      <c r="G5224" s="28" t="s">
        <v>25396</v>
      </c>
      <c r="H5224" s="28" t="s">
        <v>25556</v>
      </c>
      <c r="I5224" s="28" t="s">
        <v>26044</v>
      </c>
      <c r="J5224" s="28" t="s">
        <v>25396</v>
      </c>
      <c r="K5224" s="28" t="s">
        <v>25558</v>
      </c>
      <c r="L5224" s="28" t="s">
        <v>25559</v>
      </c>
      <c r="M5224" s="28" t="s">
        <v>26045</v>
      </c>
      <c r="N5224" s="28" t="s">
        <v>25561</v>
      </c>
      <c r="O5224" s="28" t="s">
        <v>25562</v>
      </c>
      <c r="P5224" s="28" t="s">
        <v>26046</v>
      </c>
    </row>
    <row r="5225" spans="1:16" x14ac:dyDescent="0.25">
      <c r="A5225" s="28" t="s">
        <v>26047</v>
      </c>
      <c r="B5225" s="28" t="s">
        <v>26048</v>
      </c>
      <c r="C5225" s="28" t="s">
        <v>1779</v>
      </c>
      <c r="D5225" s="28" t="s">
        <v>7132</v>
      </c>
      <c r="E5225" s="28" t="s">
        <v>1419</v>
      </c>
      <c r="F5225" s="28" t="s">
        <v>21</v>
      </c>
      <c r="G5225" s="28" t="s">
        <v>39</v>
      </c>
      <c r="H5225" s="28" t="s">
        <v>25556</v>
      </c>
      <c r="I5225" s="28" t="s">
        <v>26049</v>
      </c>
      <c r="J5225" s="28" t="s">
        <v>39</v>
      </c>
      <c r="K5225" s="28" t="s">
        <v>25594</v>
      </c>
      <c r="L5225" s="28" t="s">
        <v>25559</v>
      </c>
      <c r="M5225" s="28" t="s">
        <v>26050</v>
      </c>
      <c r="N5225" s="28" t="s">
        <v>25561</v>
      </c>
      <c r="O5225" s="28" t="s">
        <v>25562</v>
      </c>
      <c r="P5225" s="28" t="s">
        <v>26051</v>
      </c>
    </row>
    <row r="5226" spans="1:16" x14ac:dyDescent="0.25">
      <c r="A5226" s="28" t="s">
        <v>26052</v>
      </c>
      <c r="B5226" s="28" t="s">
        <v>26053</v>
      </c>
      <c r="C5226" s="28" t="s">
        <v>1779</v>
      </c>
      <c r="D5226" s="28" t="s">
        <v>7132</v>
      </c>
      <c r="E5226" s="28" t="s">
        <v>26054</v>
      </c>
      <c r="F5226" s="28" t="s">
        <v>21</v>
      </c>
      <c r="G5226" s="28" t="s">
        <v>25396</v>
      </c>
      <c r="H5226" s="28" t="s">
        <v>25556</v>
      </c>
      <c r="I5226" s="28" t="s">
        <v>26055</v>
      </c>
      <c r="J5226" s="28" t="s">
        <v>25396</v>
      </c>
      <c r="K5226" s="28" t="s">
        <v>25558</v>
      </c>
      <c r="L5226" s="28" t="s">
        <v>25559</v>
      </c>
      <c r="M5226" s="28" t="s">
        <v>26056</v>
      </c>
      <c r="N5226" s="28" t="s">
        <v>25561</v>
      </c>
      <c r="O5226" s="28" t="s">
        <v>25562</v>
      </c>
      <c r="P5226" s="28" t="s">
        <v>26057</v>
      </c>
    </row>
    <row r="5227" spans="1:16" x14ac:dyDescent="0.25">
      <c r="A5227" s="28" t="s">
        <v>26058</v>
      </c>
      <c r="B5227" s="28" t="s">
        <v>26059</v>
      </c>
      <c r="C5227" s="28" t="s">
        <v>1779</v>
      </c>
      <c r="D5227" s="28" t="s">
        <v>7132</v>
      </c>
      <c r="E5227" s="28" t="s">
        <v>1427</v>
      </c>
      <c r="F5227" s="28" t="s">
        <v>21</v>
      </c>
      <c r="G5227" s="28" t="s">
        <v>25396</v>
      </c>
      <c r="H5227" s="28" t="s">
        <v>25556</v>
      </c>
      <c r="I5227" s="28" t="s">
        <v>26060</v>
      </c>
      <c r="J5227" s="28" t="s">
        <v>25396</v>
      </c>
      <c r="K5227" s="28" t="s">
        <v>25558</v>
      </c>
      <c r="L5227" s="28" t="s">
        <v>25559</v>
      </c>
      <c r="M5227" s="28" t="s">
        <v>26061</v>
      </c>
      <c r="N5227" s="28" t="s">
        <v>25561</v>
      </c>
      <c r="O5227" s="28" t="s">
        <v>25562</v>
      </c>
      <c r="P5227" s="28" t="s">
        <v>26062</v>
      </c>
    </row>
    <row r="5228" spans="1:16" x14ac:dyDescent="0.25">
      <c r="A5228" s="28" t="s">
        <v>26063</v>
      </c>
      <c r="B5228" s="28" t="s">
        <v>26064</v>
      </c>
      <c r="C5228" s="28" t="s">
        <v>1779</v>
      </c>
      <c r="D5228" s="28" t="s">
        <v>7132</v>
      </c>
      <c r="E5228" s="28" t="s">
        <v>7140</v>
      </c>
      <c r="F5228" s="28" t="s">
        <v>21</v>
      </c>
      <c r="G5228" s="28" t="s">
        <v>25396</v>
      </c>
      <c r="H5228" s="28" t="s">
        <v>25556</v>
      </c>
      <c r="I5228" s="28" t="s">
        <v>26065</v>
      </c>
      <c r="J5228" s="28" t="s">
        <v>25396</v>
      </c>
      <c r="K5228" s="28" t="s">
        <v>25558</v>
      </c>
      <c r="L5228" s="28" t="s">
        <v>25559</v>
      </c>
      <c r="M5228" s="28" t="s">
        <v>26066</v>
      </c>
      <c r="N5228" s="28" t="s">
        <v>25561</v>
      </c>
      <c r="O5228" s="28" t="s">
        <v>25562</v>
      </c>
      <c r="P5228" s="28" t="s">
        <v>26067</v>
      </c>
    </row>
    <row r="5229" spans="1:16" x14ac:dyDescent="0.25">
      <c r="A5229" s="28" t="s">
        <v>26068</v>
      </c>
      <c r="B5229" s="28" t="s">
        <v>26069</v>
      </c>
      <c r="C5229" s="28" t="s">
        <v>1779</v>
      </c>
      <c r="D5229" s="28" t="s">
        <v>7132</v>
      </c>
      <c r="E5229" s="28" t="s">
        <v>17340</v>
      </c>
      <c r="F5229" s="28" t="s">
        <v>21</v>
      </c>
      <c r="G5229" s="28" t="s">
        <v>25396</v>
      </c>
      <c r="H5229" s="28" t="s">
        <v>25556</v>
      </c>
      <c r="I5229" s="28" t="s">
        <v>26070</v>
      </c>
      <c r="J5229" s="28" t="s">
        <v>25396</v>
      </c>
      <c r="K5229" s="28" t="s">
        <v>25558</v>
      </c>
      <c r="L5229" s="28" t="s">
        <v>25559</v>
      </c>
      <c r="M5229" s="28" t="s">
        <v>26071</v>
      </c>
      <c r="N5229" s="28" t="s">
        <v>25561</v>
      </c>
      <c r="O5229" s="28" t="s">
        <v>25562</v>
      </c>
      <c r="P5229" s="28" t="s">
        <v>26072</v>
      </c>
    </row>
    <row r="5230" spans="1:16" x14ac:dyDescent="0.25">
      <c r="A5230" s="28" t="s">
        <v>26073</v>
      </c>
      <c r="B5230" s="28" t="s">
        <v>26074</v>
      </c>
      <c r="C5230" s="28" t="s">
        <v>1779</v>
      </c>
      <c r="D5230" s="28" t="s">
        <v>7132</v>
      </c>
      <c r="E5230" s="28" t="s">
        <v>26075</v>
      </c>
      <c r="F5230" s="28" t="s">
        <v>21</v>
      </c>
      <c r="G5230" s="28" t="s">
        <v>25396</v>
      </c>
      <c r="H5230" s="28" t="s">
        <v>25556</v>
      </c>
      <c r="I5230" s="28" t="s">
        <v>26076</v>
      </c>
      <c r="J5230" s="28" t="s">
        <v>25396</v>
      </c>
      <c r="K5230" s="28" t="s">
        <v>25558</v>
      </c>
      <c r="L5230" s="28" t="s">
        <v>25559</v>
      </c>
      <c r="M5230" s="28" t="s">
        <v>26077</v>
      </c>
      <c r="N5230" s="28" t="s">
        <v>25561</v>
      </c>
      <c r="O5230" s="28" t="s">
        <v>25562</v>
      </c>
      <c r="P5230" s="28" t="s">
        <v>26078</v>
      </c>
    </row>
    <row r="5231" spans="1:16" x14ac:dyDescent="0.25">
      <c r="A5231" s="28" t="s">
        <v>26079</v>
      </c>
      <c r="B5231" s="28" t="s">
        <v>26080</v>
      </c>
      <c r="C5231" s="28" t="s">
        <v>1779</v>
      </c>
      <c r="D5231" s="28" t="s">
        <v>7132</v>
      </c>
      <c r="E5231" s="28" t="s">
        <v>26081</v>
      </c>
      <c r="F5231" s="28" t="s">
        <v>21</v>
      </c>
      <c r="G5231" s="28" t="s">
        <v>25396</v>
      </c>
      <c r="H5231" s="28" t="s">
        <v>25556</v>
      </c>
      <c r="I5231" s="28" t="s">
        <v>26082</v>
      </c>
      <c r="J5231" s="28" t="s">
        <v>25396</v>
      </c>
      <c r="K5231" s="28" t="s">
        <v>25558</v>
      </c>
      <c r="L5231" s="28" t="s">
        <v>25559</v>
      </c>
      <c r="M5231" s="28" t="s">
        <v>26083</v>
      </c>
      <c r="N5231" s="28" t="s">
        <v>25561</v>
      </c>
      <c r="O5231" s="28" t="s">
        <v>25562</v>
      </c>
      <c r="P5231" s="28" t="s">
        <v>26084</v>
      </c>
    </row>
    <row r="5232" spans="1:16" x14ac:dyDescent="0.25">
      <c r="A5232" s="28" t="s">
        <v>26085</v>
      </c>
      <c r="B5232" s="28" t="s">
        <v>26086</v>
      </c>
      <c r="C5232" s="28" t="s">
        <v>1779</v>
      </c>
      <c r="D5232" s="28" t="s">
        <v>7132</v>
      </c>
      <c r="E5232" s="28" t="s">
        <v>26087</v>
      </c>
      <c r="F5232" s="28" t="s">
        <v>21</v>
      </c>
      <c r="G5232" s="28" t="s">
        <v>25396</v>
      </c>
      <c r="H5232" s="28" t="s">
        <v>25556</v>
      </c>
      <c r="I5232" s="28" t="s">
        <v>26088</v>
      </c>
      <c r="J5232" s="28" t="s">
        <v>25396</v>
      </c>
      <c r="K5232" s="28" t="s">
        <v>25558</v>
      </c>
      <c r="L5232" s="28" t="s">
        <v>25559</v>
      </c>
      <c r="M5232" s="28" t="s">
        <v>26089</v>
      </c>
      <c r="N5232" s="28" t="s">
        <v>25561</v>
      </c>
      <c r="O5232" s="28" t="s">
        <v>25562</v>
      </c>
      <c r="P5232" s="28" t="s">
        <v>26090</v>
      </c>
    </row>
    <row r="5233" spans="1:16" x14ac:dyDescent="0.25">
      <c r="A5233" s="28" t="s">
        <v>26091</v>
      </c>
      <c r="B5233" s="28" t="s">
        <v>26092</v>
      </c>
      <c r="C5233" s="28" t="s">
        <v>1779</v>
      </c>
      <c r="D5233" s="28" t="s">
        <v>7132</v>
      </c>
      <c r="E5233" s="28" t="s">
        <v>1446</v>
      </c>
      <c r="F5233" s="28" t="s">
        <v>21</v>
      </c>
      <c r="G5233" s="28" t="s">
        <v>25396</v>
      </c>
      <c r="H5233" s="28" t="s">
        <v>25556</v>
      </c>
      <c r="I5233" s="28" t="s">
        <v>26093</v>
      </c>
      <c r="J5233" s="28" t="s">
        <v>25396</v>
      </c>
      <c r="K5233" s="28" t="s">
        <v>25558</v>
      </c>
      <c r="L5233" s="28" t="s">
        <v>25559</v>
      </c>
      <c r="M5233" s="28" t="s">
        <v>26094</v>
      </c>
      <c r="N5233" s="28" t="s">
        <v>25561</v>
      </c>
      <c r="O5233" s="28" t="s">
        <v>25562</v>
      </c>
      <c r="P5233" s="28" t="s">
        <v>26095</v>
      </c>
    </row>
    <row r="5234" spans="1:16" x14ac:dyDescent="0.25">
      <c r="A5234" s="28" t="s">
        <v>26096</v>
      </c>
      <c r="B5234" s="28" t="s">
        <v>26097</v>
      </c>
      <c r="C5234" s="28" t="s">
        <v>1779</v>
      </c>
      <c r="D5234" s="28" t="s">
        <v>7132</v>
      </c>
      <c r="E5234" s="28" t="s">
        <v>16254</v>
      </c>
      <c r="F5234" s="28" t="s">
        <v>21</v>
      </c>
      <c r="G5234" s="28" t="s">
        <v>25396</v>
      </c>
      <c r="H5234" s="28" t="s">
        <v>25556</v>
      </c>
      <c r="I5234" s="28" t="s">
        <v>26098</v>
      </c>
      <c r="J5234" s="28" t="s">
        <v>25396</v>
      </c>
      <c r="K5234" s="28" t="s">
        <v>25558</v>
      </c>
      <c r="L5234" s="28" t="s">
        <v>25559</v>
      </c>
      <c r="M5234" s="28" t="s">
        <v>26099</v>
      </c>
      <c r="N5234" s="28" t="s">
        <v>25561</v>
      </c>
      <c r="O5234" s="28" t="s">
        <v>25562</v>
      </c>
      <c r="P5234" s="28" t="s">
        <v>26100</v>
      </c>
    </row>
    <row r="5235" spans="1:16" x14ac:dyDescent="0.25">
      <c r="A5235" s="28" t="s">
        <v>26101</v>
      </c>
      <c r="B5235" s="28" t="s">
        <v>26102</v>
      </c>
      <c r="C5235" s="28" t="s">
        <v>1779</v>
      </c>
      <c r="D5235" s="28" t="s">
        <v>7132</v>
      </c>
      <c r="E5235" s="28" t="s">
        <v>9742</v>
      </c>
      <c r="F5235" s="28" t="s">
        <v>21</v>
      </c>
      <c r="G5235" s="28" t="s">
        <v>25396</v>
      </c>
      <c r="H5235" s="28" t="s">
        <v>25556</v>
      </c>
      <c r="I5235" s="28" t="s">
        <v>26103</v>
      </c>
      <c r="J5235" s="28" t="s">
        <v>25396</v>
      </c>
      <c r="K5235" s="28" t="s">
        <v>25558</v>
      </c>
      <c r="L5235" s="28" t="s">
        <v>25559</v>
      </c>
      <c r="M5235" s="28" t="s">
        <v>26104</v>
      </c>
      <c r="N5235" s="28" t="s">
        <v>25561</v>
      </c>
      <c r="O5235" s="28" t="s">
        <v>25562</v>
      </c>
      <c r="P5235" s="28" t="s">
        <v>26105</v>
      </c>
    </row>
    <row r="5236" spans="1:16" x14ac:dyDescent="0.25">
      <c r="A5236" s="28" t="s">
        <v>26106</v>
      </c>
      <c r="B5236" s="28" t="s">
        <v>26107</v>
      </c>
      <c r="C5236" s="28" t="s">
        <v>1779</v>
      </c>
      <c r="D5236" s="28" t="s">
        <v>8616</v>
      </c>
      <c r="E5236" s="28" t="s">
        <v>26108</v>
      </c>
      <c r="F5236" s="28" t="s">
        <v>21</v>
      </c>
      <c r="G5236" s="28" t="s">
        <v>39</v>
      </c>
      <c r="H5236" s="28" t="s">
        <v>25556</v>
      </c>
      <c r="I5236" s="28" t="s">
        <v>26109</v>
      </c>
      <c r="J5236" s="28" t="s">
        <v>39</v>
      </c>
      <c r="K5236" s="28" t="s">
        <v>25594</v>
      </c>
      <c r="L5236" s="28" t="s">
        <v>25559</v>
      </c>
      <c r="M5236" s="28" t="s">
        <v>26110</v>
      </c>
      <c r="N5236" s="28" t="s">
        <v>25561</v>
      </c>
      <c r="O5236" s="28" t="s">
        <v>25562</v>
      </c>
      <c r="P5236" s="28" t="s">
        <v>26111</v>
      </c>
    </row>
    <row r="5237" spans="1:16" x14ac:dyDescent="0.25">
      <c r="A5237" s="28" t="s">
        <v>26112</v>
      </c>
      <c r="B5237" s="28" t="s">
        <v>26113</v>
      </c>
      <c r="C5237" s="28" t="s">
        <v>1779</v>
      </c>
      <c r="D5237" s="28" t="s">
        <v>8616</v>
      </c>
      <c r="E5237" s="28" t="s">
        <v>26114</v>
      </c>
      <c r="F5237" s="28" t="s">
        <v>21</v>
      </c>
      <c r="G5237" s="28" t="s">
        <v>25396</v>
      </c>
      <c r="H5237" s="28" t="s">
        <v>25556</v>
      </c>
      <c r="I5237" s="28" t="s">
        <v>26115</v>
      </c>
      <c r="J5237" s="28" t="s">
        <v>25396</v>
      </c>
      <c r="K5237" s="28" t="s">
        <v>25558</v>
      </c>
      <c r="L5237" s="28" t="s">
        <v>25559</v>
      </c>
      <c r="M5237" s="28" t="s">
        <v>26116</v>
      </c>
      <c r="N5237" s="28" t="s">
        <v>25561</v>
      </c>
      <c r="O5237" s="28" t="s">
        <v>25562</v>
      </c>
      <c r="P5237" s="28" t="s">
        <v>26117</v>
      </c>
    </row>
    <row r="5238" spans="1:16" x14ac:dyDescent="0.25">
      <c r="A5238" s="28" t="s">
        <v>26118</v>
      </c>
      <c r="B5238" s="28" t="s">
        <v>26119</v>
      </c>
      <c r="C5238" s="28" t="s">
        <v>1779</v>
      </c>
      <c r="D5238" s="28" t="s">
        <v>8616</v>
      </c>
      <c r="E5238" s="28" t="s">
        <v>26120</v>
      </c>
      <c r="F5238" s="28" t="s">
        <v>21</v>
      </c>
      <c r="G5238" s="28" t="s">
        <v>25396</v>
      </c>
      <c r="H5238" s="28" t="s">
        <v>25556</v>
      </c>
      <c r="I5238" s="28" t="s">
        <v>26121</v>
      </c>
      <c r="J5238" s="28" t="s">
        <v>25396</v>
      </c>
      <c r="K5238" s="28" t="s">
        <v>25558</v>
      </c>
      <c r="L5238" s="28" t="s">
        <v>25559</v>
      </c>
      <c r="M5238" s="28" t="s">
        <v>26122</v>
      </c>
      <c r="N5238" s="28" t="s">
        <v>25561</v>
      </c>
      <c r="O5238" s="28" t="s">
        <v>25562</v>
      </c>
      <c r="P5238" s="28" t="s">
        <v>26123</v>
      </c>
    </row>
    <row r="5239" spans="1:16" x14ac:dyDescent="0.25">
      <c r="A5239" s="28" t="s">
        <v>26124</v>
      </c>
      <c r="B5239" s="28" t="s">
        <v>26125</v>
      </c>
      <c r="C5239" s="28" t="s">
        <v>1779</v>
      </c>
      <c r="D5239" s="28" t="s">
        <v>62</v>
      </c>
      <c r="E5239" s="28" t="s">
        <v>1096</v>
      </c>
      <c r="F5239" s="28" t="s">
        <v>21</v>
      </c>
      <c r="G5239" s="28" t="s">
        <v>25396</v>
      </c>
      <c r="H5239" s="28" t="s">
        <v>25556</v>
      </c>
      <c r="I5239" s="28" t="s">
        <v>26126</v>
      </c>
      <c r="J5239" s="28" t="s">
        <v>25396</v>
      </c>
      <c r="K5239" s="28" t="s">
        <v>25558</v>
      </c>
      <c r="L5239" s="28" t="s">
        <v>25559</v>
      </c>
      <c r="M5239" s="28" t="s">
        <v>26127</v>
      </c>
      <c r="N5239" s="28" t="s">
        <v>25561</v>
      </c>
      <c r="O5239" s="28" t="s">
        <v>25562</v>
      </c>
      <c r="P5239" s="28" t="s">
        <v>26128</v>
      </c>
    </row>
    <row r="5240" spans="1:16" x14ac:dyDescent="0.25">
      <c r="A5240" s="28" t="s">
        <v>26129</v>
      </c>
      <c r="B5240" s="28" t="s">
        <v>26130</v>
      </c>
      <c r="C5240" s="28" t="s">
        <v>1779</v>
      </c>
      <c r="D5240" s="28" t="s">
        <v>62</v>
      </c>
      <c r="E5240" s="28" t="s">
        <v>2395</v>
      </c>
      <c r="F5240" s="28" t="s">
        <v>21</v>
      </c>
      <c r="G5240" s="28" t="s">
        <v>25396</v>
      </c>
      <c r="H5240" s="28" t="s">
        <v>25556</v>
      </c>
      <c r="I5240" s="28" t="s">
        <v>26131</v>
      </c>
      <c r="J5240" s="28" t="s">
        <v>25396</v>
      </c>
      <c r="K5240" s="28" t="s">
        <v>25558</v>
      </c>
      <c r="L5240" s="28" t="s">
        <v>25559</v>
      </c>
      <c r="M5240" s="28" t="s">
        <v>26132</v>
      </c>
      <c r="N5240" s="28" t="s">
        <v>25561</v>
      </c>
      <c r="O5240" s="28" t="s">
        <v>25562</v>
      </c>
      <c r="P5240" s="28" t="s">
        <v>26133</v>
      </c>
    </row>
    <row r="5241" spans="1:16" x14ac:dyDescent="0.25">
      <c r="A5241" s="28" t="s">
        <v>26134</v>
      </c>
      <c r="B5241" s="28" t="s">
        <v>26135</v>
      </c>
      <c r="C5241" s="28" t="s">
        <v>1779</v>
      </c>
      <c r="D5241" s="28" t="s">
        <v>62</v>
      </c>
      <c r="E5241" s="28" t="s">
        <v>26136</v>
      </c>
      <c r="F5241" s="28" t="s">
        <v>21</v>
      </c>
      <c r="G5241" s="28" t="s">
        <v>25396</v>
      </c>
      <c r="H5241" s="28" t="s">
        <v>25556</v>
      </c>
      <c r="I5241" s="28" t="s">
        <v>26137</v>
      </c>
      <c r="J5241" s="28" t="s">
        <v>25396</v>
      </c>
      <c r="K5241" s="28" t="s">
        <v>25558</v>
      </c>
      <c r="L5241" s="28" t="s">
        <v>25559</v>
      </c>
      <c r="M5241" s="28" t="s">
        <v>26138</v>
      </c>
      <c r="N5241" s="28" t="s">
        <v>25561</v>
      </c>
      <c r="O5241" s="28" t="s">
        <v>25562</v>
      </c>
      <c r="P5241" s="28" t="s">
        <v>26139</v>
      </c>
    </row>
    <row r="5242" spans="1:16" x14ac:dyDescent="0.25">
      <c r="A5242" s="28" t="s">
        <v>26140</v>
      </c>
      <c r="B5242" s="28" t="s">
        <v>26141</v>
      </c>
      <c r="C5242" s="28" t="s">
        <v>1779</v>
      </c>
      <c r="D5242" s="28" t="s">
        <v>62</v>
      </c>
      <c r="E5242" s="28" t="s">
        <v>1127</v>
      </c>
      <c r="F5242" s="28" t="s">
        <v>21</v>
      </c>
      <c r="G5242" s="28" t="s">
        <v>25396</v>
      </c>
      <c r="H5242" s="28" t="s">
        <v>25556</v>
      </c>
      <c r="I5242" s="28" t="s">
        <v>26142</v>
      </c>
      <c r="J5242" s="28" t="s">
        <v>25396</v>
      </c>
      <c r="K5242" s="28" t="s">
        <v>25558</v>
      </c>
      <c r="L5242" s="28" t="s">
        <v>25559</v>
      </c>
      <c r="M5242" s="28" t="s">
        <v>26143</v>
      </c>
      <c r="N5242" s="28" t="s">
        <v>25561</v>
      </c>
      <c r="O5242" s="28" t="s">
        <v>25562</v>
      </c>
      <c r="P5242" s="28" t="s">
        <v>26144</v>
      </c>
    </row>
    <row r="5243" spans="1:16" x14ac:dyDescent="0.25">
      <c r="A5243" s="28" t="s">
        <v>26145</v>
      </c>
      <c r="B5243" s="28" t="s">
        <v>26146</v>
      </c>
      <c r="C5243" s="28" t="s">
        <v>1779</v>
      </c>
      <c r="D5243" s="28" t="s">
        <v>62</v>
      </c>
      <c r="E5243" s="28" t="s">
        <v>1139</v>
      </c>
      <c r="F5243" s="28" t="s">
        <v>21</v>
      </c>
      <c r="G5243" s="28" t="s">
        <v>25396</v>
      </c>
      <c r="H5243" s="28" t="s">
        <v>25556</v>
      </c>
      <c r="I5243" s="28" t="s">
        <v>26147</v>
      </c>
      <c r="J5243" s="28" t="s">
        <v>25396</v>
      </c>
      <c r="K5243" s="28" t="s">
        <v>25558</v>
      </c>
      <c r="L5243" s="28" t="s">
        <v>25559</v>
      </c>
      <c r="M5243" s="28" t="s">
        <v>26148</v>
      </c>
      <c r="N5243" s="28" t="s">
        <v>25561</v>
      </c>
      <c r="O5243" s="28" t="s">
        <v>25562</v>
      </c>
      <c r="P5243" s="28" t="s">
        <v>26149</v>
      </c>
    </row>
    <row r="5244" spans="1:16" x14ac:dyDescent="0.25">
      <c r="A5244" s="28" t="s">
        <v>26150</v>
      </c>
      <c r="B5244" s="28" t="s">
        <v>26151</v>
      </c>
      <c r="C5244" s="28" t="s">
        <v>1779</v>
      </c>
      <c r="D5244" s="28" t="s">
        <v>62</v>
      </c>
      <c r="E5244" s="28" t="s">
        <v>5925</v>
      </c>
      <c r="F5244" s="28" t="s">
        <v>21</v>
      </c>
      <c r="G5244" s="28" t="s">
        <v>25396</v>
      </c>
      <c r="H5244" s="28" t="s">
        <v>25556</v>
      </c>
      <c r="I5244" s="28" t="s">
        <v>26152</v>
      </c>
      <c r="J5244" s="28" t="s">
        <v>25396</v>
      </c>
      <c r="K5244" s="28" t="s">
        <v>25558</v>
      </c>
      <c r="L5244" s="28" t="s">
        <v>25559</v>
      </c>
      <c r="M5244" s="28" t="s">
        <v>26153</v>
      </c>
      <c r="N5244" s="28" t="s">
        <v>25561</v>
      </c>
      <c r="O5244" s="28" t="s">
        <v>25562</v>
      </c>
      <c r="P5244" s="28" t="s">
        <v>26154</v>
      </c>
    </row>
    <row r="5245" spans="1:16" x14ac:dyDescent="0.25">
      <c r="A5245" s="28" t="s">
        <v>26155</v>
      </c>
      <c r="B5245" s="28" t="s">
        <v>26156</v>
      </c>
      <c r="C5245" s="28" t="s">
        <v>1779</v>
      </c>
      <c r="D5245" s="28" t="s">
        <v>6454</v>
      </c>
      <c r="E5245" s="28" t="s">
        <v>2023</v>
      </c>
      <c r="F5245" s="28" t="s">
        <v>21</v>
      </c>
      <c r="G5245" s="28" t="s">
        <v>25396</v>
      </c>
      <c r="H5245" s="28" t="s">
        <v>25556</v>
      </c>
      <c r="I5245" s="28" t="s">
        <v>26157</v>
      </c>
      <c r="J5245" s="28" t="s">
        <v>25396</v>
      </c>
      <c r="K5245" s="28" t="s">
        <v>25558</v>
      </c>
      <c r="L5245" s="28" t="s">
        <v>25559</v>
      </c>
      <c r="M5245" s="28" t="s">
        <v>26158</v>
      </c>
      <c r="N5245" s="28" t="s">
        <v>25561</v>
      </c>
      <c r="O5245" s="28" t="s">
        <v>25562</v>
      </c>
      <c r="P5245" s="28" t="s">
        <v>26159</v>
      </c>
    </row>
    <row r="5246" spans="1:16" x14ac:dyDescent="0.25">
      <c r="A5246" s="28" t="s">
        <v>26160</v>
      </c>
      <c r="B5246" s="28" t="s">
        <v>26161</v>
      </c>
      <c r="C5246" s="28" t="s">
        <v>1779</v>
      </c>
      <c r="D5246" s="28" t="s">
        <v>6454</v>
      </c>
      <c r="E5246" s="28" t="s">
        <v>26162</v>
      </c>
      <c r="F5246" s="28" t="s">
        <v>21</v>
      </c>
      <c r="G5246" s="28" t="s">
        <v>25396</v>
      </c>
      <c r="H5246" s="28" t="s">
        <v>25556</v>
      </c>
      <c r="I5246" s="28" t="s">
        <v>26163</v>
      </c>
      <c r="J5246" s="28" t="s">
        <v>25396</v>
      </c>
      <c r="K5246" s="28" t="s">
        <v>25558</v>
      </c>
      <c r="L5246" s="28" t="s">
        <v>25559</v>
      </c>
      <c r="M5246" s="28" t="s">
        <v>26164</v>
      </c>
      <c r="N5246" s="28" t="s">
        <v>25561</v>
      </c>
      <c r="O5246" s="28" t="s">
        <v>25562</v>
      </c>
      <c r="P5246" s="28" t="s">
        <v>26165</v>
      </c>
    </row>
    <row r="5247" spans="1:16" x14ac:dyDescent="0.25">
      <c r="A5247" s="28" t="s">
        <v>26166</v>
      </c>
      <c r="B5247" s="28" t="s">
        <v>26167</v>
      </c>
      <c r="C5247" s="28" t="s">
        <v>1779</v>
      </c>
      <c r="D5247" s="28" t="s">
        <v>6454</v>
      </c>
      <c r="E5247" s="28" t="s">
        <v>26168</v>
      </c>
      <c r="F5247" s="28" t="s">
        <v>21</v>
      </c>
      <c r="G5247" s="28" t="s">
        <v>25396</v>
      </c>
      <c r="H5247" s="28" t="s">
        <v>25556</v>
      </c>
      <c r="I5247" s="28" t="s">
        <v>26169</v>
      </c>
      <c r="J5247" s="28" t="s">
        <v>25396</v>
      </c>
      <c r="K5247" s="28" t="s">
        <v>25558</v>
      </c>
      <c r="L5247" s="28" t="s">
        <v>25559</v>
      </c>
      <c r="M5247" s="28" t="s">
        <v>26170</v>
      </c>
      <c r="N5247" s="28" t="s">
        <v>25561</v>
      </c>
      <c r="O5247" s="28" t="s">
        <v>25562</v>
      </c>
      <c r="P5247" s="28" t="s">
        <v>26171</v>
      </c>
    </row>
    <row r="5248" spans="1:16" x14ac:dyDescent="0.25">
      <c r="A5248" s="28" t="s">
        <v>26172</v>
      </c>
      <c r="B5248" s="28" t="s">
        <v>26173</v>
      </c>
      <c r="C5248" s="28" t="s">
        <v>1779</v>
      </c>
      <c r="D5248" s="28" t="s">
        <v>6454</v>
      </c>
      <c r="E5248" s="28" t="s">
        <v>2068</v>
      </c>
      <c r="F5248" s="28" t="s">
        <v>21</v>
      </c>
      <c r="G5248" s="28" t="s">
        <v>25396</v>
      </c>
      <c r="H5248" s="28" t="s">
        <v>25556</v>
      </c>
      <c r="I5248" s="28" t="s">
        <v>26174</v>
      </c>
      <c r="J5248" s="28" t="s">
        <v>25396</v>
      </c>
      <c r="K5248" s="28" t="s">
        <v>25558</v>
      </c>
      <c r="L5248" s="28" t="s">
        <v>25559</v>
      </c>
      <c r="M5248" s="28" t="s">
        <v>26175</v>
      </c>
      <c r="N5248" s="28" t="s">
        <v>25561</v>
      </c>
      <c r="O5248" s="28" t="s">
        <v>25562</v>
      </c>
      <c r="P5248" s="28" t="s">
        <v>26176</v>
      </c>
    </row>
    <row r="5249" spans="1:16" x14ac:dyDescent="0.25">
      <c r="A5249" s="28" t="s">
        <v>26177</v>
      </c>
      <c r="B5249" s="28" t="s">
        <v>26178</v>
      </c>
      <c r="C5249" s="28" t="s">
        <v>1779</v>
      </c>
      <c r="D5249" s="28" t="s">
        <v>8397</v>
      </c>
      <c r="E5249" s="28" t="s">
        <v>26179</v>
      </c>
      <c r="F5249" s="28" t="s">
        <v>21</v>
      </c>
      <c r="G5249" s="28" t="s">
        <v>25396</v>
      </c>
      <c r="H5249" s="28" t="s">
        <v>25556</v>
      </c>
      <c r="I5249" s="28" t="s">
        <v>26180</v>
      </c>
      <c r="J5249" s="28" t="s">
        <v>25396</v>
      </c>
      <c r="K5249" s="28" t="s">
        <v>25558</v>
      </c>
      <c r="L5249" s="28" t="s">
        <v>25559</v>
      </c>
      <c r="M5249" s="28" t="s">
        <v>26181</v>
      </c>
      <c r="N5249" s="28" t="s">
        <v>25561</v>
      </c>
      <c r="O5249" s="28" t="s">
        <v>25562</v>
      </c>
      <c r="P5249" s="28" t="s">
        <v>26182</v>
      </c>
    </row>
    <row r="5250" spans="1:16" x14ac:dyDescent="0.25">
      <c r="A5250" s="28" t="s">
        <v>26183</v>
      </c>
      <c r="B5250" s="28" t="s">
        <v>26184</v>
      </c>
      <c r="C5250" s="28" t="s">
        <v>1779</v>
      </c>
      <c r="D5250" s="28" t="s">
        <v>8397</v>
      </c>
      <c r="E5250" s="28" t="s">
        <v>2668</v>
      </c>
      <c r="F5250" s="28" t="s">
        <v>21</v>
      </c>
      <c r="G5250" s="28" t="s">
        <v>25396</v>
      </c>
      <c r="H5250" s="28" t="s">
        <v>25556</v>
      </c>
      <c r="I5250" s="28" t="s">
        <v>26185</v>
      </c>
      <c r="J5250" s="28" t="s">
        <v>25396</v>
      </c>
      <c r="K5250" s="28" t="s">
        <v>25558</v>
      </c>
      <c r="L5250" s="28" t="s">
        <v>25559</v>
      </c>
      <c r="M5250" s="28" t="s">
        <v>26186</v>
      </c>
      <c r="N5250" s="28" t="s">
        <v>25561</v>
      </c>
      <c r="O5250" s="28" t="s">
        <v>25562</v>
      </c>
      <c r="P5250" s="28" t="s">
        <v>26187</v>
      </c>
    </row>
    <row r="5251" spans="1:16" x14ac:dyDescent="0.25">
      <c r="A5251" s="28" t="s">
        <v>26188</v>
      </c>
      <c r="B5251" s="28" t="s">
        <v>26189</v>
      </c>
      <c r="C5251" s="28" t="s">
        <v>1779</v>
      </c>
      <c r="D5251" s="28" t="s">
        <v>8397</v>
      </c>
      <c r="E5251" s="28" t="s">
        <v>26190</v>
      </c>
      <c r="F5251" s="28" t="s">
        <v>21</v>
      </c>
      <c r="G5251" s="28" t="s">
        <v>25396</v>
      </c>
      <c r="H5251" s="28" t="s">
        <v>25556</v>
      </c>
      <c r="I5251" s="28" t="s">
        <v>26191</v>
      </c>
      <c r="J5251" s="28" t="s">
        <v>25396</v>
      </c>
      <c r="K5251" s="28" t="s">
        <v>25558</v>
      </c>
      <c r="L5251" s="28" t="s">
        <v>25559</v>
      </c>
      <c r="M5251" s="28" t="s">
        <v>26192</v>
      </c>
      <c r="N5251" s="28" t="s">
        <v>25561</v>
      </c>
      <c r="O5251" s="28" t="s">
        <v>25562</v>
      </c>
      <c r="P5251" s="28" t="s">
        <v>26193</v>
      </c>
    </row>
    <row r="5252" spans="1:16" x14ac:dyDescent="0.25">
      <c r="A5252" s="28" t="s">
        <v>26194</v>
      </c>
      <c r="B5252" s="28" t="s">
        <v>26195</v>
      </c>
      <c r="C5252" s="28" t="s">
        <v>1779</v>
      </c>
      <c r="D5252" s="28" t="s">
        <v>8397</v>
      </c>
      <c r="E5252" s="28" t="s">
        <v>2673</v>
      </c>
      <c r="F5252" s="28" t="s">
        <v>21</v>
      </c>
      <c r="G5252" s="28" t="s">
        <v>25396</v>
      </c>
      <c r="H5252" s="28" t="s">
        <v>25556</v>
      </c>
      <c r="I5252" s="28" t="s">
        <v>26196</v>
      </c>
      <c r="J5252" s="28" t="s">
        <v>25396</v>
      </c>
      <c r="K5252" s="28" t="s">
        <v>25558</v>
      </c>
      <c r="L5252" s="28" t="s">
        <v>25559</v>
      </c>
      <c r="M5252" s="28" t="s">
        <v>26197</v>
      </c>
      <c r="N5252" s="28" t="s">
        <v>25561</v>
      </c>
      <c r="O5252" s="28" t="s">
        <v>25562</v>
      </c>
      <c r="P5252" s="28" t="s">
        <v>26198</v>
      </c>
    </row>
    <row r="5253" spans="1:16" x14ac:dyDescent="0.25">
      <c r="A5253" s="28" t="s">
        <v>26199</v>
      </c>
      <c r="B5253" s="28" t="s">
        <v>26200</v>
      </c>
      <c r="C5253" s="28" t="s">
        <v>1779</v>
      </c>
      <c r="D5253" s="28" t="s">
        <v>8397</v>
      </c>
      <c r="E5253" s="28" t="s">
        <v>26201</v>
      </c>
      <c r="F5253" s="28" t="s">
        <v>21</v>
      </c>
      <c r="G5253" s="28" t="s">
        <v>25396</v>
      </c>
      <c r="H5253" s="28" t="s">
        <v>25556</v>
      </c>
      <c r="I5253" s="28" t="s">
        <v>26202</v>
      </c>
      <c r="J5253" s="28" t="s">
        <v>25396</v>
      </c>
      <c r="K5253" s="28" t="s">
        <v>25558</v>
      </c>
      <c r="L5253" s="28" t="s">
        <v>25559</v>
      </c>
      <c r="M5253" s="28" t="s">
        <v>26203</v>
      </c>
      <c r="N5253" s="28" t="s">
        <v>25561</v>
      </c>
      <c r="O5253" s="28" t="s">
        <v>25562</v>
      </c>
      <c r="P5253" s="28" t="s">
        <v>26204</v>
      </c>
    </row>
    <row r="5254" spans="1:16" x14ac:dyDescent="0.25">
      <c r="A5254" s="28" t="s">
        <v>26205</v>
      </c>
      <c r="B5254" s="28" t="s">
        <v>26206</v>
      </c>
      <c r="C5254" s="28" t="s">
        <v>1779</v>
      </c>
      <c r="D5254" s="28" t="s">
        <v>8397</v>
      </c>
      <c r="E5254" s="28" t="s">
        <v>2695</v>
      </c>
      <c r="F5254" s="28" t="s">
        <v>21</v>
      </c>
      <c r="G5254" s="28" t="s">
        <v>25396</v>
      </c>
      <c r="H5254" s="28" t="s">
        <v>25556</v>
      </c>
      <c r="I5254" s="28" t="s">
        <v>26207</v>
      </c>
      <c r="J5254" s="28" t="s">
        <v>25396</v>
      </c>
      <c r="K5254" s="28" t="s">
        <v>25558</v>
      </c>
      <c r="L5254" s="28" t="s">
        <v>25559</v>
      </c>
      <c r="M5254" s="28" t="s">
        <v>26208</v>
      </c>
      <c r="N5254" s="28" t="s">
        <v>25561</v>
      </c>
      <c r="O5254" s="28" t="s">
        <v>25562</v>
      </c>
      <c r="P5254" s="28" t="s">
        <v>26209</v>
      </c>
    </row>
    <row r="5255" spans="1:16" x14ac:dyDescent="0.25">
      <c r="A5255" s="28" t="s">
        <v>26210</v>
      </c>
      <c r="B5255" s="28" t="s">
        <v>26211</v>
      </c>
      <c r="C5255" s="28" t="s">
        <v>1779</v>
      </c>
      <c r="D5255" s="28" t="s">
        <v>8397</v>
      </c>
      <c r="E5255" s="28" t="s">
        <v>26212</v>
      </c>
      <c r="F5255" s="28" t="s">
        <v>21</v>
      </c>
      <c r="G5255" s="28" t="s">
        <v>25396</v>
      </c>
      <c r="H5255" s="28" t="s">
        <v>25556</v>
      </c>
      <c r="I5255" s="28" t="s">
        <v>26213</v>
      </c>
      <c r="J5255" s="28" t="s">
        <v>25396</v>
      </c>
      <c r="K5255" s="28" t="s">
        <v>25558</v>
      </c>
      <c r="L5255" s="28" t="s">
        <v>25559</v>
      </c>
      <c r="M5255" s="28" t="s">
        <v>26214</v>
      </c>
      <c r="N5255" s="28" t="s">
        <v>25561</v>
      </c>
      <c r="O5255" s="28" t="s">
        <v>25562</v>
      </c>
      <c r="P5255" s="28" t="s">
        <v>26215</v>
      </c>
    </row>
    <row r="5256" spans="1:16" x14ac:dyDescent="0.25">
      <c r="A5256" s="28" t="s">
        <v>26216</v>
      </c>
      <c r="B5256" s="28" t="s">
        <v>26217</v>
      </c>
      <c r="C5256" s="28" t="s">
        <v>1779</v>
      </c>
      <c r="D5256" s="28" t="s">
        <v>8397</v>
      </c>
      <c r="E5256" s="28" t="s">
        <v>26218</v>
      </c>
      <c r="F5256" s="28" t="s">
        <v>21</v>
      </c>
      <c r="G5256" s="28" t="s">
        <v>25396</v>
      </c>
      <c r="H5256" s="28" t="s">
        <v>25556</v>
      </c>
      <c r="I5256" s="28" t="s">
        <v>26219</v>
      </c>
      <c r="J5256" s="28" t="s">
        <v>25396</v>
      </c>
      <c r="K5256" s="28" t="s">
        <v>25558</v>
      </c>
      <c r="L5256" s="28" t="s">
        <v>25559</v>
      </c>
      <c r="M5256" s="28" t="s">
        <v>26220</v>
      </c>
      <c r="N5256" s="28" t="s">
        <v>25561</v>
      </c>
      <c r="O5256" s="28" t="s">
        <v>25562</v>
      </c>
      <c r="P5256" s="28" t="s">
        <v>26221</v>
      </c>
    </row>
    <row r="5257" spans="1:16" x14ac:dyDescent="0.25">
      <c r="A5257" s="28" t="s">
        <v>26222</v>
      </c>
      <c r="B5257" s="28" t="s">
        <v>26223</v>
      </c>
      <c r="C5257" s="28" t="s">
        <v>1779</v>
      </c>
      <c r="D5257" s="28" t="s">
        <v>8397</v>
      </c>
      <c r="E5257" s="28" t="s">
        <v>26224</v>
      </c>
      <c r="F5257" s="28" t="s">
        <v>21</v>
      </c>
      <c r="G5257" s="28" t="s">
        <v>25396</v>
      </c>
      <c r="H5257" s="28" t="s">
        <v>25556</v>
      </c>
      <c r="I5257" s="28" t="s">
        <v>26225</v>
      </c>
      <c r="J5257" s="28" t="s">
        <v>25396</v>
      </c>
      <c r="K5257" s="28" t="s">
        <v>25558</v>
      </c>
      <c r="L5257" s="28" t="s">
        <v>25559</v>
      </c>
      <c r="M5257" s="28" t="s">
        <v>26226</v>
      </c>
      <c r="N5257" s="28" t="s">
        <v>25561</v>
      </c>
      <c r="O5257" s="28" t="s">
        <v>25562</v>
      </c>
      <c r="P5257" s="28" t="s">
        <v>26227</v>
      </c>
    </row>
    <row r="5258" spans="1:16" x14ac:dyDescent="0.25">
      <c r="A5258" s="28" t="s">
        <v>26228</v>
      </c>
      <c r="B5258" s="28" t="s">
        <v>26229</v>
      </c>
      <c r="C5258" s="28" t="s">
        <v>1779</v>
      </c>
      <c r="D5258" s="28" t="s">
        <v>8397</v>
      </c>
      <c r="E5258" s="28" t="s">
        <v>26230</v>
      </c>
      <c r="F5258" s="28" t="s">
        <v>21</v>
      </c>
      <c r="G5258" s="28" t="s">
        <v>25396</v>
      </c>
      <c r="H5258" s="28" t="s">
        <v>25556</v>
      </c>
      <c r="I5258" s="28" t="s">
        <v>26231</v>
      </c>
      <c r="J5258" s="28" t="s">
        <v>25396</v>
      </c>
      <c r="K5258" s="28" t="s">
        <v>25558</v>
      </c>
      <c r="L5258" s="28" t="s">
        <v>25559</v>
      </c>
      <c r="M5258" s="28" t="s">
        <v>26232</v>
      </c>
      <c r="N5258" s="28" t="s">
        <v>25561</v>
      </c>
      <c r="O5258" s="28" t="s">
        <v>25562</v>
      </c>
      <c r="P5258" s="28" t="s">
        <v>26233</v>
      </c>
    </row>
    <row r="5259" spans="1:16" x14ac:dyDescent="0.25">
      <c r="A5259" s="28" t="s">
        <v>26234</v>
      </c>
      <c r="B5259" s="28" t="s">
        <v>26235</v>
      </c>
      <c r="C5259" s="28" t="s">
        <v>1779</v>
      </c>
      <c r="D5259" s="28" t="s">
        <v>8397</v>
      </c>
      <c r="E5259" s="28" t="s">
        <v>26236</v>
      </c>
      <c r="F5259" s="28" t="s">
        <v>21</v>
      </c>
      <c r="G5259" s="28" t="s">
        <v>25396</v>
      </c>
      <c r="H5259" s="28" t="s">
        <v>25556</v>
      </c>
      <c r="I5259" s="28" t="s">
        <v>26237</v>
      </c>
      <c r="J5259" s="28" t="s">
        <v>25396</v>
      </c>
      <c r="K5259" s="28" t="s">
        <v>25558</v>
      </c>
      <c r="L5259" s="28" t="s">
        <v>25559</v>
      </c>
      <c r="M5259" s="28" t="s">
        <v>26238</v>
      </c>
      <c r="N5259" s="28" t="s">
        <v>25561</v>
      </c>
      <c r="O5259" s="28" t="s">
        <v>25562</v>
      </c>
      <c r="P5259" s="28" t="s">
        <v>26239</v>
      </c>
    </row>
    <row r="5260" spans="1:16" x14ac:dyDescent="0.25">
      <c r="A5260" s="28" t="s">
        <v>26240</v>
      </c>
      <c r="B5260" s="28" t="s">
        <v>26241</v>
      </c>
      <c r="C5260" s="28" t="s">
        <v>1779</v>
      </c>
      <c r="D5260" s="28" t="s">
        <v>8397</v>
      </c>
      <c r="E5260" s="28" t="s">
        <v>24298</v>
      </c>
      <c r="F5260" s="28" t="s">
        <v>21</v>
      </c>
      <c r="G5260" s="28" t="s">
        <v>25396</v>
      </c>
      <c r="H5260" s="28" t="s">
        <v>25556</v>
      </c>
      <c r="I5260" s="28" t="s">
        <v>26242</v>
      </c>
      <c r="J5260" s="28" t="s">
        <v>25396</v>
      </c>
      <c r="K5260" s="28" t="s">
        <v>25558</v>
      </c>
      <c r="L5260" s="28" t="s">
        <v>25559</v>
      </c>
      <c r="M5260" s="28" t="s">
        <v>26243</v>
      </c>
      <c r="N5260" s="28" t="s">
        <v>25561</v>
      </c>
      <c r="O5260" s="28" t="s">
        <v>25562</v>
      </c>
      <c r="P5260" s="28" t="s">
        <v>26244</v>
      </c>
    </row>
    <row r="5261" spans="1:16" x14ac:dyDescent="0.25">
      <c r="A5261" s="28" t="s">
        <v>26245</v>
      </c>
      <c r="B5261" s="28" t="s">
        <v>26246</v>
      </c>
      <c r="C5261" s="28" t="s">
        <v>1779</v>
      </c>
      <c r="D5261" s="28" t="s">
        <v>8397</v>
      </c>
      <c r="E5261" s="28" t="s">
        <v>26247</v>
      </c>
      <c r="F5261" s="28" t="s">
        <v>21</v>
      </c>
      <c r="G5261" s="28" t="s">
        <v>25396</v>
      </c>
      <c r="H5261" s="28" t="s">
        <v>25556</v>
      </c>
      <c r="I5261" s="28" t="s">
        <v>26248</v>
      </c>
      <c r="J5261" s="28" t="s">
        <v>25396</v>
      </c>
      <c r="K5261" s="28" t="s">
        <v>25558</v>
      </c>
      <c r="L5261" s="28" t="s">
        <v>25559</v>
      </c>
      <c r="M5261" s="28" t="s">
        <v>26249</v>
      </c>
      <c r="N5261" s="28" t="s">
        <v>25561</v>
      </c>
      <c r="O5261" s="28" t="s">
        <v>25562</v>
      </c>
      <c r="P5261" s="28" t="s">
        <v>26250</v>
      </c>
    </row>
    <row r="5262" spans="1:16" x14ac:dyDescent="0.25">
      <c r="A5262" s="28" t="s">
        <v>26251</v>
      </c>
      <c r="B5262" s="28" t="s">
        <v>26252</v>
      </c>
      <c r="C5262" s="28" t="s">
        <v>1779</v>
      </c>
      <c r="D5262" s="28" t="s">
        <v>8397</v>
      </c>
      <c r="E5262" s="28" t="s">
        <v>15184</v>
      </c>
      <c r="F5262" s="28" t="s">
        <v>21</v>
      </c>
      <c r="G5262" s="28" t="s">
        <v>25396</v>
      </c>
      <c r="H5262" s="28" t="s">
        <v>25556</v>
      </c>
      <c r="I5262" s="28" t="s">
        <v>26253</v>
      </c>
      <c r="J5262" s="28" t="s">
        <v>25396</v>
      </c>
      <c r="K5262" s="28" t="s">
        <v>25558</v>
      </c>
      <c r="L5262" s="28" t="s">
        <v>25559</v>
      </c>
      <c r="M5262" s="28" t="s">
        <v>26254</v>
      </c>
      <c r="N5262" s="28" t="s">
        <v>25561</v>
      </c>
      <c r="O5262" s="28" t="s">
        <v>25562</v>
      </c>
      <c r="P5262" s="28" t="s">
        <v>26255</v>
      </c>
    </row>
    <row r="5263" spans="1:16" x14ac:dyDescent="0.25">
      <c r="A5263" s="28" t="s">
        <v>26256</v>
      </c>
      <c r="B5263" s="28" t="s">
        <v>26257</v>
      </c>
      <c r="C5263" s="28" t="s">
        <v>1779</v>
      </c>
      <c r="D5263" s="28" t="s">
        <v>8397</v>
      </c>
      <c r="E5263" s="28" t="s">
        <v>26258</v>
      </c>
      <c r="F5263" s="28" t="s">
        <v>21</v>
      </c>
      <c r="G5263" s="28" t="s">
        <v>25396</v>
      </c>
      <c r="H5263" s="28" t="s">
        <v>25556</v>
      </c>
      <c r="I5263" s="28" t="s">
        <v>26259</v>
      </c>
      <c r="J5263" s="28" t="s">
        <v>25396</v>
      </c>
      <c r="K5263" s="28" t="s">
        <v>25558</v>
      </c>
      <c r="L5263" s="28" t="s">
        <v>25559</v>
      </c>
      <c r="M5263" s="28" t="s">
        <v>26260</v>
      </c>
      <c r="N5263" s="28" t="s">
        <v>25561</v>
      </c>
      <c r="O5263" s="28" t="s">
        <v>25562</v>
      </c>
      <c r="P5263" s="28" t="s">
        <v>26261</v>
      </c>
    </row>
    <row r="5264" spans="1:16" x14ac:dyDescent="0.25">
      <c r="A5264" s="28" t="s">
        <v>26262</v>
      </c>
      <c r="B5264" s="28" t="s">
        <v>26263</v>
      </c>
      <c r="C5264" s="28" t="s">
        <v>1779</v>
      </c>
      <c r="D5264" s="28" t="s">
        <v>8397</v>
      </c>
      <c r="E5264" s="28" t="s">
        <v>26264</v>
      </c>
      <c r="F5264" s="28" t="s">
        <v>21</v>
      </c>
      <c r="G5264" s="28" t="s">
        <v>25396</v>
      </c>
      <c r="H5264" s="28" t="s">
        <v>25556</v>
      </c>
      <c r="I5264" s="28" t="s">
        <v>26265</v>
      </c>
      <c r="J5264" s="28" t="s">
        <v>25396</v>
      </c>
      <c r="K5264" s="28" t="s">
        <v>25558</v>
      </c>
      <c r="L5264" s="28" t="s">
        <v>25559</v>
      </c>
      <c r="M5264" s="28" t="s">
        <v>26266</v>
      </c>
      <c r="N5264" s="28" t="s">
        <v>25561</v>
      </c>
      <c r="O5264" s="28" t="s">
        <v>25562</v>
      </c>
      <c r="P5264" s="28" t="s">
        <v>26267</v>
      </c>
    </row>
    <row r="5265" spans="1:16" x14ac:dyDescent="0.25">
      <c r="A5265" s="28" t="s">
        <v>26268</v>
      </c>
      <c r="B5265" s="28" t="s">
        <v>26269</v>
      </c>
      <c r="C5265" s="28" t="s">
        <v>1779</v>
      </c>
      <c r="D5265" s="28" t="s">
        <v>8397</v>
      </c>
      <c r="E5265" s="28" t="s">
        <v>26270</v>
      </c>
      <c r="F5265" s="28" t="s">
        <v>21</v>
      </c>
      <c r="G5265" s="28" t="s">
        <v>25396</v>
      </c>
      <c r="H5265" s="28" t="s">
        <v>25556</v>
      </c>
      <c r="I5265" s="28" t="s">
        <v>26271</v>
      </c>
      <c r="J5265" s="28" t="s">
        <v>25396</v>
      </c>
      <c r="K5265" s="28" t="s">
        <v>25558</v>
      </c>
      <c r="L5265" s="28" t="s">
        <v>25559</v>
      </c>
      <c r="M5265" s="28" t="s">
        <v>26272</v>
      </c>
      <c r="N5265" s="28" t="s">
        <v>25561</v>
      </c>
      <c r="O5265" s="28" t="s">
        <v>25562</v>
      </c>
      <c r="P5265" s="28" t="s">
        <v>26273</v>
      </c>
    </row>
    <row r="5266" spans="1:16" x14ac:dyDescent="0.25">
      <c r="A5266" s="28" t="s">
        <v>26274</v>
      </c>
      <c r="B5266" s="28" t="s">
        <v>26275</v>
      </c>
      <c r="C5266" s="28" t="s">
        <v>1779</v>
      </c>
      <c r="D5266" s="28" t="s">
        <v>8397</v>
      </c>
      <c r="E5266" s="28" t="s">
        <v>26276</v>
      </c>
      <c r="F5266" s="28" t="s">
        <v>21</v>
      </c>
      <c r="G5266" s="28" t="s">
        <v>25396</v>
      </c>
      <c r="H5266" s="28" t="s">
        <v>25556</v>
      </c>
      <c r="I5266" s="28" t="s">
        <v>26277</v>
      </c>
      <c r="J5266" s="28" t="s">
        <v>25396</v>
      </c>
      <c r="K5266" s="28" t="s">
        <v>25558</v>
      </c>
      <c r="L5266" s="28" t="s">
        <v>25559</v>
      </c>
      <c r="M5266" s="28" t="s">
        <v>26278</v>
      </c>
      <c r="N5266" s="28" t="s">
        <v>25561</v>
      </c>
      <c r="O5266" s="28" t="s">
        <v>25562</v>
      </c>
      <c r="P5266" s="28" t="s">
        <v>26279</v>
      </c>
    </row>
    <row r="5267" spans="1:16" x14ac:dyDescent="0.25">
      <c r="A5267" s="28" t="s">
        <v>26280</v>
      </c>
      <c r="B5267" s="28" t="s">
        <v>26281</v>
      </c>
      <c r="C5267" s="28" t="s">
        <v>1779</v>
      </c>
      <c r="D5267" s="28" t="s">
        <v>8397</v>
      </c>
      <c r="E5267" s="28" t="s">
        <v>20790</v>
      </c>
      <c r="F5267" s="28" t="s">
        <v>21</v>
      </c>
      <c r="G5267" s="28" t="s">
        <v>25396</v>
      </c>
      <c r="H5267" s="28" t="s">
        <v>25556</v>
      </c>
      <c r="I5267" s="28" t="s">
        <v>26282</v>
      </c>
      <c r="J5267" s="28" t="s">
        <v>25396</v>
      </c>
      <c r="K5267" s="28" t="s">
        <v>25558</v>
      </c>
      <c r="L5267" s="28" t="s">
        <v>25559</v>
      </c>
      <c r="M5267" s="28" t="s">
        <v>26283</v>
      </c>
      <c r="N5267" s="28" t="s">
        <v>25561</v>
      </c>
      <c r="O5267" s="28" t="s">
        <v>25562</v>
      </c>
      <c r="P5267" s="28" t="s">
        <v>26284</v>
      </c>
    </row>
    <row r="5268" spans="1:16" x14ac:dyDescent="0.25">
      <c r="A5268" s="28" t="s">
        <v>26285</v>
      </c>
      <c r="B5268" s="28" t="s">
        <v>26286</v>
      </c>
      <c r="C5268" s="28" t="s">
        <v>1779</v>
      </c>
      <c r="D5268" s="28" t="s">
        <v>8397</v>
      </c>
      <c r="E5268" s="28" t="s">
        <v>26287</v>
      </c>
      <c r="F5268" s="28" t="s">
        <v>21</v>
      </c>
      <c r="G5268" s="28" t="s">
        <v>25396</v>
      </c>
      <c r="H5268" s="28" t="s">
        <v>25556</v>
      </c>
      <c r="I5268" s="28" t="s">
        <v>26288</v>
      </c>
      <c r="J5268" s="28" t="s">
        <v>25396</v>
      </c>
      <c r="K5268" s="28" t="s">
        <v>25558</v>
      </c>
      <c r="L5268" s="28" t="s">
        <v>25559</v>
      </c>
      <c r="M5268" s="28" t="s">
        <v>26289</v>
      </c>
      <c r="N5268" s="28" t="s">
        <v>25561</v>
      </c>
      <c r="O5268" s="28" t="s">
        <v>25562</v>
      </c>
      <c r="P5268" s="28" t="s">
        <v>26290</v>
      </c>
    </row>
    <row r="5269" spans="1:16" x14ac:dyDescent="0.25">
      <c r="A5269" s="28" t="s">
        <v>26291</v>
      </c>
      <c r="B5269" s="28" t="s">
        <v>26292</v>
      </c>
      <c r="C5269" s="28" t="s">
        <v>1779</v>
      </c>
      <c r="D5269" s="28" t="s">
        <v>8397</v>
      </c>
      <c r="E5269" s="28" t="s">
        <v>26293</v>
      </c>
      <c r="F5269" s="28" t="s">
        <v>21</v>
      </c>
      <c r="G5269" s="28" t="s">
        <v>25396</v>
      </c>
      <c r="H5269" s="28" t="s">
        <v>25556</v>
      </c>
      <c r="I5269" s="28" t="s">
        <v>26294</v>
      </c>
      <c r="J5269" s="28" t="s">
        <v>25396</v>
      </c>
      <c r="K5269" s="28" t="s">
        <v>25558</v>
      </c>
      <c r="L5269" s="28" t="s">
        <v>25559</v>
      </c>
      <c r="M5269" s="28" t="s">
        <v>26295</v>
      </c>
      <c r="N5269" s="28" t="s">
        <v>25561</v>
      </c>
      <c r="O5269" s="28" t="s">
        <v>25562</v>
      </c>
      <c r="P5269" s="28" t="s">
        <v>26296</v>
      </c>
    </row>
    <row r="5270" spans="1:16" x14ac:dyDescent="0.25">
      <c r="A5270" s="28" t="s">
        <v>26297</v>
      </c>
      <c r="B5270" s="28" t="s">
        <v>26298</v>
      </c>
      <c r="C5270" s="28" t="s">
        <v>1779</v>
      </c>
      <c r="D5270" s="28" t="s">
        <v>8397</v>
      </c>
      <c r="E5270" s="28" t="s">
        <v>26299</v>
      </c>
      <c r="F5270" s="28" t="s">
        <v>21</v>
      </c>
      <c r="G5270" s="28" t="s">
        <v>25396</v>
      </c>
      <c r="H5270" s="28" t="s">
        <v>25556</v>
      </c>
      <c r="I5270" s="28" t="s">
        <v>26300</v>
      </c>
      <c r="J5270" s="28" t="s">
        <v>25396</v>
      </c>
      <c r="K5270" s="28" t="s">
        <v>25558</v>
      </c>
      <c r="L5270" s="28" t="s">
        <v>25559</v>
      </c>
      <c r="M5270" s="28" t="s">
        <v>26301</v>
      </c>
      <c r="N5270" s="28" t="s">
        <v>25561</v>
      </c>
      <c r="O5270" s="28" t="s">
        <v>25562</v>
      </c>
      <c r="P5270" s="28" t="s">
        <v>26302</v>
      </c>
    </row>
    <row r="5271" spans="1:16" x14ac:dyDescent="0.25">
      <c r="A5271" s="28" t="s">
        <v>26303</v>
      </c>
      <c r="B5271" s="28" t="s">
        <v>26304</v>
      </c>
      <c r="C5271" s="28" t="s">
        <v>1779</v>
      </c>
      <c r="D5271" s="28" t="s">
        <v>8397</v>
      </c>
      <c r="E5271" s="28" t="s">
        <v>26305</v>
      </c>
      <c r="F5271" s="28" t="s">
        <v>21</v>
      </c>
      <c r="G5271" s="28" t="s">
        <v>25396</v>
      </c>
      <c r="H5271" s="28" t="s">
        <v>25556</v>
      </c>
      <c r="I5271" s="28" t="s">
        <v>26306</v>
      </c>
      <c r="J5271" s="28" t="s">
        <v>25396</v>
      </c>
      <c r="K5271" s="28" t="s">
        <v>25558</v>
      </c>
      <c r="L5271" s="28" t="s">
        <v>25559</v>
      </c>
      <c r="M5271" s="28" t="s">
        <v>26307</v>
      </c>
      <c r="N5271" s="28" t="s">
        <v>25561</v>
      </c>
      <c r="O5271" s="28" t="s">
        <v>25562</v>
      </c>
      <c r="P5271" s="28" t="s">
        <v>26308</v>
      </c>
    </row>
    <row r="5272" spans="1:16" x14ac:dyDescent="0.25">
      <c r="A5272" s="28" t="s">
        <v>26309</v>
      </c>
      <c r="B5272" s="28" t="s">
        <v>26310</v>
      </c>
      <c r="C5272" s="28" t="s">
        <v>1779</v>
      </c>
      <c r="D5272" s="28" t="s">
        <v>8397</v>
      </c>
      <c r="E5272" s="28" t="s">
        <v>26311</v>
      </c>
      <c r="F5272" s="28" t="s">
        <v>21</v>
      </c>
      <c r="G5272" s="28" t="s">
        <v>25396</v>
      </c>
      <c r="H5272" s="28" t="s">
        <v>25556</v>
      </c>
      <c r="I5272" s="28" t="s">
        <v>26312</v>
      </c>
      <c r="J5272" s="28" t="s">
        <v>25396</v>
      </c>
      <c r="K5272" s="28" t="s">
        <v>25558</v>
      </c>
      <c r="L5272" s="28" t="s">
        <v>25559</v>
      </c>
      <c r="M5272" s="28" t="s">
        <v>26313</v>
      </c>
      <c r="N5272" s="28" t="s">
        <v>25561</v>
      </c>
      <c r="O5272" s="28" t="s">
        <v>25562</v>
      </c>
      <c r="P5272" s="28" t="s">
        <v>26314</v>
      </c>
    </row>
    <row r="5273" spans="1:16" x14ac:dyDescent="0.25">
      <c r="A5273" s="28" t="s">
        <v>26315</v>
      </c>
      <c r="B5273" s="28" t="s">
        <v>26316</v>
      </c>
      <c r="C5273" s="28" t="s">
        <v>1779</v>
      </c>
      <c r="D5273" s="28" t="s">
        <v>8397</v>
      </c>
      <c r="E5273" s="28" t="s">
        <v>26317</v>
      </c>
      <c r="F5273" s="28" t="s">
        <v>21</v>
      </c>
      <c r="G5273" s="28" t="s">
        <v>25396</v>
      </c>
      <c r="H5273" s="28" t="s">
        <v>25556</v>
      </c>
      <c r="I5273" s="28" t="s">
        <v>26318</v>
      </c>
      <c r="J5273" s="28" t="s">
        <v>25396</v>
      </c>
      <c r="K5273" s="28" t="s">
        <v>25558</v>
      </c>
      <c r="L5273" s="28" t="s">
        <v>25559</v>
      </c>
      <c r="M5273" s="28" t="s">
        <v>26319</v>
      </c>
      <c r="N5273" s="28" t="s">
        <v>25561</v>
      </c>
      <c r="O5273" s="28" t="s">
        <v>25562</v>
      </c>
      <c r="P5273" s="28" t="s">
        <v>26320</v>
      </c>
    </row>
    <row r="5274" spans="1:16" x14ac:dyDescent="0.25">
      <c r="A5274" s="28" t="s">
        <v>26321</v>
      </c>
      <c r="B5274" s="28" t="s">
        <v>26322</v>
      </c>
      <c r="C5274" s="28" t="s">
        <v>1779</v>
      </c>
      <c r="D5274" s="28" t="s">
        <v>8397</v>
      </c>
      <c r="E5274" s="28" t="s">
        <v>2896</v>
      </c>
      <c r="F5274" s="28" t="s">
        <v>21</v>
      </c>
      <c r="G5274" s="28" t="s">
        <v>25396</v>
      </c>
      <c r="H5274" s="28" t="s">
        <v>25556</v>
      </c>
      <c r="I5274" s="28" t="s">
        <v>26323</v>
      </c>
      <c r="J5274" s="28" t="s">
        <v>25396</v>
      </c>
      <c r="K5274" s="28" t="s">
        <v>25558</v>
      </c>
      <c r="L5274" s="28" t="s">
        <v>25559</v>
      </c>
      <c r="M5274" s="28" t="s">
        <v>26324</v>
      </c>
      <c r="N5274" s="28" t="s">
        <v>25561</v>
      </c>
      <c r="O5274" s="28" t="s">
        <v>25562</v>
      </c>
      <c r="P5274" s="28" t="s">
        <v>26325</v>
      </c>
    </row>
    <row r="5275" spans="1:16" x14ac:dyDescent="0.25">
      <c r="A5275" s="28" t="s">
        <v>26326</v>
      </c>
      <c r="B5275" s="28" t="s">
        <v>26327</v>
      </c>
      <c r="C5275" s="28" t="s">
        <v>1779</v>
      </c>
      <c r="D5275" s="28" t="s">
        <v>8397</v>
      </c>
      <c r="E5275" s="28" t="s">
        <v>2905</v>
      </c>
      <c r="F5275" s="28" t="s">
        <v>21</v>
      </c>
      <c r="G5275" s="28" t="s">
        <v>25396</v>
      </c>
      <c r="H5275" s="28" t="s">
        <v>25556</v>
      </c>
      <c r="I5275" s="28" t="s">
        <v>26328</v>
      </c>
      <c r="J5275" s="28" t="s">
        <v>25396</v>
      </c>
      <c r="K5275" s="28" t="s">
        <v>25558</v>
      </c>
      <c r="L5275" s="28" t="s">
        <v>25559</v>
      </c>
      <c r="M5275" s="28" t="s">
        <v>26329</v>
      </c>
      <c r="N5275" s="28" t="s">
        <v>25561</v>
      </c>
      <c r="O5275" s="28" t="s">
        <v>25562</v>
      </c>
      <c r="P5275" s="28" t="s">
        <v>26330</v>
      </c>
    </row>
    <row r="5276" spans="1:16" x14ac:dyDescent="0.25">
      <c r="A5276" s="28" t="s">
        <v>26331</v>
      </c>
      <c r="B5276" s="28" t="s">
        <v>26332</v>
      </c>
      <c r="C5276" s="28" t="s">
        <v>1779</v>
      </c>
      <c r="D5276" s="28" t="s">
        <v>8397</v>
      </c>
      <c r="E5276" s="28" t="s">
        <v>26333</v>
      </c>
      <c r="F5276" s="28" t="s">
        <v>21</v>
      </c>
      <c r="G5276" s="28" t="s">
        <v>25396</v>
      </c>
      <c r="H5276" s="28" t="s">
        <v>25556</v>
      </c>
      <c r="I5276" s="28" t="s">
        <v>26334</v>
      </c>
      <c r="J5276" s="28" t="s">
        <v>25396</v>
      </c>
      <c r="K5276" s="28" t="s">
        <v>25558</v>
      </c>
      <c r="L5276" s="28" t="s">
        <v>25559</v>
      </c>
      <c r="M5276" s="28" t="s">
        <v>26335</v>
      </c>
      <c r="N5276" s="28" t="s">
        <v>25561</v>
      </c>
      <c r="O5276" s="28" t="s">
        <v>25562</v>
      </c>
      <c r="P5276" s="28" t="s">
        <v>26336</v>
      </c>
    </row>
    <row r="5277" spans="1:16" x14ac:dyDescent="0.25">
      <c r="A5277" s="28" t="s">
        <v>26337</v>
      </c>
      <c r="B5277" s="28" t="s">
        <v>26338</v>
      </c>
      <c r="C5277" s="28" t="s">
        <v>1779</v>
      </c>
      <c r="D5277" s="28" t="s">
        <v>8397</v>
      </c>
      <c r="E5277" s="28" t="s">
        <v>26339</v>
      </c>
      <c r="F5277" s="28" t="s">
        <v>21</v>
      </c>
      <c r="G5277" s="28" t="s">
        <v>25396</v>
      </c>
      <c r="H5277" s="28" t="s">
        <v>25556</v>
      </c>
      <c r="I5277" s="28" t="s">
        <v>26340</v>
      </c>
      <c r="J5277" s="28" t="s">
        <v>25396</v>
      </c>
      <c r="K5277" s="28" t="s">
        <v>25558</v>
      </c>
      <c r="L5277" s="28" t="s">
        <v>25559</v>
      </c>
      <c r="M5277" s="28" t="s">
        <v>26341</v>
      </c>
      <c r="N5277" s="28" t="s">
        <v>25561</v>
      </c>
      <c r="O5277" s="28" t="s">
        <v>25562</v>
      </c>
      <c r="P5277" s="28" t="s">
        <v>26342</v>
      </c>
    </row>
    <row r="5278" spans="1:16" x14ac:dyDescent="0.25">
      <c r="A5278" s="28" t="s">
        <v>26343</v>
      </c>
      <c r="B5278" s="28" t="s">
        <v>26344</v>
      </c>
      <c r="C5278" s="28" t="s">
        <v>1779</v>
      </c>
      <c r="D5278" s="28" t="s">
        <v>8397</v>
      </c>
      <c r="E5278" s="28" t="s">
        <v>26345</v>
      </c>
      <c r="F5278" s="28" t="s">
        <v>21</v>
      </c>
      <c r="G5278" s="28" t="s">
        <v>25396</v>
      </c>
      <c r="H5278" s="28" t="s">
        <v>25556</v>
      </c>
      <c r="I5278" s="28" t="s">
        <v>26346</v>
      </c>
      <c r="J5278" s="28" t="s">
        <v>25396</v>
      </c>
      <c r="K5278" s="28" t="s">
        <v>25558</v>
      </c>
      <c r="L5278" s="28" t="s">
        <v>25559</v>
      </c>
      <c r="M5278" s="28" t="s">
        <v>26347</v>
      </c>
      <c r="N5278" s="28" t="s">
        <v>25561</v>
      </c>
      <c r="O5278" s="28" t="s">
        <v>25562</v>
      </c>
      <c r="P5278" s="28" t="s">
        <v>26348</v>
      </c>
    </row>
    <row r="5279" spans="1:16" x14ac:dyDescent="0.25">
      <c r="A5279" s="28" t="s">
        <v>26349</v>
      </c>
      <c r="B5279" s="28" t="s">
        <v>26350</v>
      </c>
      <c r="C5279" s="28" t="s">
        <v>1779</v>
      </c>
      <c r="D5279" s="28" t="s">
        <v>8397</v>
      </c>
      <c r="E5279" s="28" t="s">
        <v>2928</v>
      </c>
      <c r="F5279" s="28" t="s">
        <v>21</v>
      </c>
      <c r="G5279" s="28" t="s">
        <v>25396</v>
      </c>
      <c r="H5279" s="28" t="s">
        <v>25556</v>
      </c>
      <c r="I5279" s="28" t="s">
        <v>26351</v>
      </c>
      <c r="J5279" s="28" t="s">
        <v>25396</v>
      </c>
      <c r="K5279" s="28" t="s">
        <v>25558</v>
      </c>
      <c r="L5279" s="28" t="s">
        <v>25559</v>
      </c>
      <c r="M5279" s="28" t="s">
        <v>26352</v>
      </c>
      <c r="N5279" s="28" t="s">
        <v>25561</v>
      </c>
      <c r="O5279" s="28" t="s">
        <v>25562</v>
      </c>
      <c r="P5279" s="28" t="s">
        <v>26353</v>
      </c>
    </row>
    <row r="5280" spans="1:16" x14ac:dyDescent="0.25">
      <c r="A5280" s="28" t="s">
        <v>26354</v>
      </c>
      <c r="B5280" s="28" t="s">
        <v>26355</v>
      </c>
      <c r="C5280" s="28" t="s">
        <v>1779</v>
      </c>
      <c r="D5280" s="28" t="s">
        <v>8397</v>
      </c>
      <c r="E5280" s="28" t="s">
        <v>2933</v>
      </c>
      <c r="F5280" s="28" t="s">
        <v>21</v>
      </c>
      <c r="G5280" s="28" t="s">
        <v>25396</v>
      </c>
      <c r="H5280" s="28" t="s">
        <v>25556</v>
      </c>
      <c r="I5280" s="28" t="s">
        <v>26356</v>
      </c>
      <c r="J5280" s="28" t="s">
        <v>25396</v>
      </c>
      <c r="K5280" s="28" t="s">
        <v>25558</v>
      </c>
      <c r="L5280" s="28" t="s">
        <v>25559</v>
      </c>
      <c r="M5280" s="28" t="s">
        <v>26357</v>
      </c>
      <c r="N5280" s="28" t="s">
        <v>25561</v>
      </c>
      <c r="O5280" s="28" t="s">
        <v>25562</v>
      </c>
      <c r="P5280" s="28" t="s">
        <v>26358</v>
      </c>
    </row>
    <row r="5281" spans="1:16" x14ac:dyDescent="0.25">
      <c r="A5281" s="28" t="s">
        <v>26359</v>
      </c>
      <c r="B5281" s="28" t="s">
        <v>26360</v>
      </c>
      <c r="C5281" s="28" t="s">
        <v>1779</v>
      </c>
      <c r="D5281" s="28" t="s">
        <v>8397</v>
      </c>
      <c r="E5281" s="28" t="s">
        <v>26361</v>
      </c>
      <c r="F5281" s="28" t="s">
        <v>21</v>
      </c>
      <c r="G5281" s="28" t="s">
        <v>25396</v>
      </c>
      <c r="H5281" s="28" t="s">
        <v>25556</v>
      </c>
      <c r="I5281" s="28" t="s">
        <v>26362</v>
      </c>
      <c r="J5281" s="28" t="s">
        <v>25396</v>
      </c>
      <c r="K5281" s="28" t="s">
        <v>25558</v>
      </c>
      <c r="L5281" s="28" t="s">
        <v>25559</v>
      </c>
      <c r="M5281" s="28" t="s">
        <v>26363</v>
      </c>
      <c r="N5281" s="28" t="s">
        <v>25561</v>
      </c>
      <c r="O5281" s="28" t="s">
        <v>25562</v>
      </c>
      <c r="P5281" s="28" t="s">
        <v>26364</v>
      </c>
    </row>
    <row r="5282" spans="1:16" x14ac:dyDescent="0.25">
      <c r="A5282" s="28" t="s">
        <v>26365</v>
      </c>
      <c r="B5282" s="28" t="s">
        <v>26366</v>
      </c>
      <c r="C5282" s="28" t="s">
        <v>1779</v>
      </c>
      <c r="D5282" s="28" t="s">
        <v>8397</v>
      </c>
      <c r="E5282" s="28" t="s">
        <v>24367</v>
      </c>
      <c r="F5282" s="28" t="s">
        <v>21</v>
      </c>
      <c r="G5282" s="28" t="s">
        <v>25396</v>
      </c>
      <c r="H5282" s="28" t="s">
        <v>25556</v>
      </c>
      <c r="I5282" s="28" t="s">
        <v>26367</v>
      </c>
      <c r="J5282" s="28" t="s">
        <v>25396</v>
      </c>
      <c r="K5282" s="28" t="s">
        <v>25558</v>
      </c>
      <c r="L5282" s="28" t="s">
        <v>25559</v>
      </c>
      <c r="M5282" s="28" t="s">
        <v>26368</v>
      </c>
      <c r="N5282" s="28" t="s">
        <v>25561</v>
      </c>
      <c r="O5282" s="28" t="s">
        <v>25562</v>
      </c>
      <c r="P5282" s="28" t="s">
        <v>26369</v>
      </c>
    </row>
    <row r="5283" spans="1:16" x14ac:dyDescent="0.25">
      <c r="A5283" s="28" t="s">
        <v>26370</v>
      </c>
      <c r="B5283" s="28" t="s">
        <v>26371</v>
      </c>
      <c r="C5283" s="28" t="s">
        <v>1779</v>
      </c>
      <c r="D5283" s="28" t="s">
        <v>8397</v>
      </c>
      <c r="E5283" s="28" t="s">
        <v>26372</v>
      </c>
      <c r="F5283" s="28" t="s">
        <v>21</v>
      </c>
      <c r="G5283" s="28" t="s">
        <v>25396</v>
      </c>
      <c r="H5283" s="28" t="s">
        <v>25556</v>
      </c>
      <c r="I5283" s="28" t="s">
        <v>26373</v>
      </c>
      <c r="J5283" s="28" t="s">
        <v>25396</v>
      </c>
      <c r="K5283" s="28" t="s">
        <v>25558</v>
      </c>
      <c r="L5283" s="28" t="s">
        <v>25559</v>
      </c>
      <c r="M5283" s="28" t="s">
        <v>26374</v>
      </c>
      <c r="N5283" s="28" t="s">
        <v>25561</v>
      </c>
      <c r="O5283" s="28" t="s">
        <v>25562</v>
      </c>
      <c r="P5283" s="28" t="s">
        <v>26375</v>
      </c>
    </row>
    <row r="5284" spans="1:16" x14ac:dyDescent="0.25">
      <c r="A5284" s="28" t="s">
        <v>26376</v>
      </c>
      <c r="B5284" s="28" t="s">
        <v>26377</v>
      </c>
      <c r="C5284" s="28" t="s">
        <v>1779</v>
      </c>
      <c r="D5284" s="28" t="s">
        <v>8815</v>
      </c>
      <c r="E5284" s="28" t="s">
        <v>26378</v>
      </c>
      <c r="F5284" s="28" t="s">
        <v>21</v>
      </c>
      <c r="G5284" s="28" t="s">
        <v>25396</v>
      </c>
      <c r="H5284" s="28" t="s">
        <v>25556</v>
      </c>
      <c r="I5284" s="28" t="s">
        <v>26379</v>
      </c>
      <c r="J5284" s="28" t="s">
        <v>25396</v>
      </c>
      <c r="K5284" s="28" t="s">
        <v>25558</v>
      </c>
      <c r="L5284" s="28" t="s">
        <v>25559</v>
      </c>
      <c r="M5284" s="28" t="s">
        <v>26380</v>
      </c>
      <c r="N5284" s="28" t="s">
        <v>25561</v>
      </c>
      <c r="O5284" s="28" t="s">
        <v>25562</v>
      </c>
      <c r="P5284" s="28" t="s">
        <v>26381</v>
      </c>
    </row>
    <row r="5285" spans="1:16" x14ac:dyDescent="0.25">
      <c r="A5285" s="28" t="s">
        <v>26382</v>
      </c>
      <c r="B5285" s="28" t="s">
        <v>26383</v>
      </c>
      <c r="C5285" s="28" t="s">
        <v>1779</v>
      </c>
      <c r="D5285" s="28" t="s">
        <v>7220</v>
      </c>
      <c r="E5285" s="28" t="s">
        <v>26384</v>
      </c>
      <c r="F5285" s="28" t="s">
        <v>21</v>
      </c>
      <c r="G5285" s="28" t="s">
        <v>25396</v>
      </c>
      <c r="H5285" s="28" t="s">
        <v>25556</v>
      </c>
      <c r="I5285" s="28" t="s">
        <v>26385</v>
      </c>
      <c r="J5285" s="28" t="s">
        <v>25396</v>
      </c>
      <c r="K5285" s="28" t="s">
        <v>25558</v>
      </c>
      <c r="L5285" s="28" t="s">
        <v>25559</v>
      </c>
      <c r="M5285" s="28" t="s">
        <v>26386</v>
      </c>
      <c r="N5285" s="28" t="s">
        <v>25561</v>
      </c>
      <c r="O5285" s="28" t="s">
        <v>25562</v>
      </c>
      <c r="P5285" s="28" t="s">
        <v>26387</v>
      </c>
    </row>
    <row r="5286" spans="1:16" x14ac:dyDescent="0.25">
      <c r="A5286" s="28" t="s">
        <v>26388</v>
      </c>
      <c r="B5286" s="28" t="s">
        <v>26389</v>
      </c>
      <c r="C5286" s="28" t="s">
        <v>1779</v>
      </c>
      <c r="D5286" s="28" t="s">
        <v>7220</v>
      </c>
      <c r="E5286" s="28" t="s">
        <v>121</v>
      </c>
      <c r="F5286" s="28" t="s">
        <v>21</v>
      </c>
      <c r="G5286" s="28" t="s">
        <v>25396</v>
      </c>
      <c r="H5286" s="28" t="s">
        <v>25556</v>
      </c>
      <c r="I5286" s="28" t="s">
        <v>26390</v>
      </c>
      <c r="J5286" s="28" t="s">
        <v>25396</v>
      </c>
      <c r="K5286" s="28" t="s">
        <v>25558</v>
      </c>
      <c r="L5286" s="28" t="s">
        <v>25559</v>
      </c>
      <c r="M5286" s="28" t="s">
        <v>26391</v>
      </c>
      <c r="N5286" s="28" t="s">
        <v>25561</v>
      </c>
      <c r="O5286" s="28" t="s">
        <v>25562</v>
      </c>
      <c r="P5286" s="28" t="s">
        <v>26392</v>
      </c>
    </row>
    <row r="5287" spans="1:16" x14ac:dyDescent="0.25">
      <c r="A5287" s="28" t="s">
        <v>26393</v>
      </c>
      <c r="B5287" s="28" t="s">
        <v>26394</v>
      </c>
      <c r="C5287" s="28" t="s">
        <v>1779</v>
      </c>
      <c r="D5287" s="28" t="s">
        <v>4984</v>
      </c>
      <c r="E5287" s="28" t="s">
        <v>4985</v>
      </c>
      <c r="F5287" s="28" t="s">
        <v>21</v>
      </c>
      <c r="G5287" s="28" t="s">
        <v>25396</v>
      </c>
      <c r="H5287" s="28" t="s">
        <v>25556</v>
      </c>
      <c r="I5287" s="28" t="s">
        <v>26395</v>
      </c>
      <c r="J5287" s="28" t="s">
        <v>25396</v>
      </c>
      <c r="K5287" s="28" t="s">
        <v>25558</v>
      </c>
      <c r="L5287" s="28" t="s">
        <v>25559</v>
      </c>
      <c r="M5287" s="28" t="s">
        <v>26396</v>
      </c>
      <c r="N5287" s="28" t="s">
        <v>25561</v>
      </c>
      <c r="O5287" s="28" t="s">
        <v>25562</v>
      </c>
      <c r="P5287" s="28" t="s">
        <v>26397</v>
      </c>
    </row>
    <row r="5288" spans="1:16" x14ac:dyDescent="0.25">
      <c r="A5288" s="28" t="s">
        <v>26398</v>
      </c>
      <c r="B5288" s="28" t="s">
        <v>26399</v>
      </c>
      <c r="C5288" s="28" t="s">
        <v>1779</v>
      </c>
      <c r="D5288" s="28" t="s">
        <v>4984</v>
      </c>
      <c r="E5288" s="28" t="s">
        <v>26400</v>
      </c>
      <c r="F5288" s="28" t="s">
        <v>21</v>
      </c>
      <c r="G5288" s="28" t="s">
        <v>25396</v>
      </c>
      <c r="H5288" s="28" t="s">
        <v>25556</v>
      </c>
      <c r="I5288" s="28" t="s">
        <v>26401</v>
      </c>
      <c r="J5288" s="28" t="s">
        <v>25396</v>
      </c>
      <c r="K5288" s="28" t="s">
        <v>25558</v>
      </c>
      <c r="L5288" s="28" t="s">
        <v>25559</v>
      </c>
      <c r="M5288" s="28" t="s">
        <v>26402</v>
      </c>
      <c r="N5288" s="28" t="s">
        <v>25561</v>
      </c>
      <c r="O5288" s="28" t="s">
        <v>25562</v>
      </c>
      <c r="P5288" s="28" t="s">
        <v>26403</v>
      </c>
    </row>
    <row r="5289" spans="1:16" x14ac:dyDescent="0.25">
      <c r="A5289" s="28" t="s">
        <v>26404</v>
      </c>
      <c r="B5289" s="28" t="s">
        <v>26405</v>
      </c>
      <c r="C5289" s="28" t="s">
        <v>1779</v>
      </c>
      <c r="D5289" s="28" t="s">
        <v>5011</v>
      </c>
      <c r="E5289" s="28" t="s">
        <v>2092</v>
      </c>
      <c r="F5289" s="28" t="s">
        <v>21</v>
      </c>
      <c r="G5289" s="28" t="s">
        <v>25396</v>
      </c>
      <c r="H5289" s="28" t="s">
        <v>25556</v>
      </c>
      <c r="I5289" s="28" t="s">
        <v>26406</v>
      </c>
      <c r="J5289" s="28" t="s">
        <v>25396</v>
      </c>
      <c r="K5289" s="28" t="s">
        <v>25558</v>
      </c>
      <c r="L5289" s="28" t="s">
        <v>25559</v>
      </c>
      <c r="M5289" s="28" t="s">
        <v>26407</v>
      </c>
      <c r="N5289" s="28" t="s">
        <v>25561</v>
      </c>
      <c r="O5289" s="28" t="s">
        <v>25562</v>
      </c>
      <c r="P5289" s="28" t="s">
        <v>26408</v>
      </c>
    </row>
    <row r="5290" spans="1:16" x14ac:dyDescent="0.25">
      <c r="A5290" s="28" t="s">
        <v>26409</v>
      </c>
      <c r="B5290" s="28" t="s">
        <v>26410</v>
      </c>
      <c r="C5290" s="28" t="s">
        <v>1779</v>
      </c>
      <c r="D5290" s="28" t="s">
        <v>1792</v>
      </c>
      <c r="E5290" s="28" t="s">
        <v>1343</v>
      </c>
      <c r="F5290" s="28" t="s">
        <v>21</v>
      </c>
      <c r="G5290" s="28" t="s">
        <v>25396</v>
      </c>
      <c r="H5290" s="28" t="s">
        <v>25556</v>
      </c>
      <c r="I5290" s="28" t="s">
        <v>26411</v>
      </c>
      <c r="J5290" s="28" t="s">
        <v>25396</v>
      </c>
      <c r="K5290" s="28" t="s">
        <v>25558</v>
      </c>
      <c r="L5290" s="28" t="s">
        <v>25559</v>
      </c>
      <c r="M5290" s="28" t="s">
        <v>26412</v>
      </c>
      <c r="N5290" s="28" t="s">
        <v>25561</v>
      </c>
      <c r="O5290" s="28" t="s">
        <v>25562</v>
      </c>
      <c r="P5290" s="28" t="s">
        <v>26413</v>
      </c>
    </row>
    <row r="5291" spans="1:16" x14ac:dyDescent="0.25">
      <c r="A5291" s="28" t="s">
        <v>26414</v>
      </c>
      <c r="B5291" s="28" t="s">
        <v>26415</v>
      </c>
      <c r="C5291" s="28" t="s">
        <v>1779</v>
      </c>
      <c r="D5291" s="28" t="s">
        <v>1792</v>
      </c>
      <c r="E5291" s="28" t="s">
        <v>1343</v>
      </c>
      <c r="F5291" s="28" t="s">
        <v>21</v>
      </c>
      <c r="G5291" s="28" t="s">
        <v>25396</v>
      </c>
      <c r="H5291" s="28" t="s">
        <v>25556</v>
      </c>
      <c r="I5291" s="28" t="s">
        <v>26416</v>
      </c>
      <c r="J5291" s="28" t="s">
        <v>25396</v>
      </c>
      <c r="K5291" s="28" t="s">
        <v>25558</v>
      </c>
      <c r="L5291" s="28" t="s">
        <v>25559</v>
      </c>
      <c r="M5291" s="28" t="s">
        <v>26417</v>
      </c>
      <c r="N5291" s="28" t="s">
        <v>25561</v>
      </c>
      <c r="O5291" s="28" t="s">
        <v>25562</v>
      </c>
      <c r="P5291" s="28" t="s">
        <v>26418</v>
      </c>
    </row>
    <row r="5292" spans="1:16" x14ac:dyDescent="0.25">
      <c r="A5292" s="28" t="s">
        <v>26419</v>
      </c>
      <c r="B5292" s="28" t="s">
        <v>26420</v>
      </c>
      <c r="C5292" s="28" t="s">
        <v>1779</v>
      </c>
      <c r="D5292" s="28" t="s">
        <v>1792</v>
      </c>
      <c r="E5292" s="28" t="s">
        <v>1343</v>
      </c>
      <c r="F5292" s="28" t="s">
        <v>21</v>
      </c>
      <c r="G5292" s="28" t="s">
        <v>25396</v>
      </c>
      <c r="H5292" s="28" t="s">
        <v>25556</v>
      </c>
      <c r="I5292" s="28" t="s">
        <v>26421</v>
      </c>
      <c r="J5292" s="28" t="s">
        <v>25396</v>
      </c>
      <c r="K5292" s="28" t="s">
        <v>25558</v>
      </c>
      <c r="L5292" s="28" t="s">
        <v>25559</v>
      </c>
      <c r="M5292" s="28" t="s">
        <v>26422</v>
      </c>
      <c r="N5292" s="28" t="s">
        <v>25561</v>
      </c>
      <c r="O5292" s="28" t="s">
        <v>25562</v>
      </c>
      <c r="P5292" s="28" t="s">
        <v>26423</v>
      </c>
    </row>
    <row r="5293" spans="1:16" x14ac:dyDescent="0.25">
      <c r="A5293" s="28" t="s">
        <v>26424</v>
      </c>
      <c r="B5293" s="28" t="s">
        <v>26425</v>
      </c>
      <c r="C5293" s="28" t="s">
        <v>1779</v>
      </c>
      <c r="D5293" s="28" t="s">
        <v>1792</v>
      </c>
      <c r="E5293" s="28" t="s">
        <v>1343</v>
      </c>
      <c r="F5293" s="28" t="s">
        <v>21</v>
      </c>
      <c r="G5293" s="28" t="s">
        <v>149</v>
      </c>
      <c r="H5293" s="28" t="s">
        <v>16221</v>
      </c>
      <c r="I5293" s="28" t="s">
        <v>26426</v>
      </c>
      <c r="J5293" s="28" t="s">
        <v>149</v>
      </c>
      <c r="K5293" s="28" t="s">
        <v>17201</v>
      </c>
      <c r="L5293" s="28" t="s">
        <v>16224</v>
      </c>
      <c r="M5293" s="28" t="s">
        <v>26427</v>
      </c>
      <c r="N5293" s="28" t="s">
        <v>16226</v>
      </c>
      <c r="O5293" s="28" t="s">
        <v>16227</v>
      </c>
      <c r="P5293" s="28" t="s">
        <v>26428</v>
      </c>
    </row>
    <row r="5294" spans="1:16" x14ac:dyDescent="0.25">
      <c r="A5294" s="28" t="s">
        <v>26429</v>
      </c>
      <c r="B5294" s="28" t="s">
        <v>26430</v>
      </c>
      <c r="C5294" s="28" t="s">
        <v>1779</v>
      </c>
      <c r="D5294" s="28" t="s">
        <v>1792</v>
      </c>
      <c r="E5294" s="28" t="s">
        <v>1343</v>
      </c>
      <c r="F5294" s="28" t="s">
        <v>21</v>
      </c>
      <c r="G5294" s="28" t="s">
        <v>25396</v>
      </c>
      <c r="H5294" s="28" t="s">
        <v>25556</v>
      </c>
      <c r="I5294" s="28" t="s">
        <v>26431</v>
      </c>
      <c r="J5294" s="28" t="s">
        <v>25396</v>
      </c>
      <c r="K5294" s="28" t="s">
        <v>25558</v>
      </c>
      <c r="L5294" s="28" t="s">
        <v>25559</v>
      </c>
      <c r="M5294" s="28" t="s">
        <v>26432</v>
      </c>
      <c r="N5294" s="28" t="s">
        <v>25561</v>
      </c>
      <c r="O5294" s="28" t="s">
        <v>25562</v>
      </c>
      <c r="P5294" s="28" t="s">
        <v>26433</v>
      </c>
    </row>
    <row r="5295" spans="1:16" x14ac:dyDescent="0.25">
      <c r="A5295" s="28" t="s">
        <v>26434</v>
      </c>
      <c r="B5295" s="28" t="s">
        <v>26435</v>
      </c>
      <c r="C5295" s="28" t="s">
        <v>1779</v>
      </c>
      <c r="D5295" s="28" t="s">
        <v>1792</v>
      </c>
      <c r="E5295" s="28" t="s">
        <v>1343</v>
      </c>
      <c r="F5295" s="28" t="s">
        <v>21</v>
      </c>
      <c r="G5295" s="28" t="s">
        <v>25396</v>
      </c>
      <c r="H5295" s="28" t="s">
        <v>25556</v>
      </c>
      <c r="I5295" s="28" t="s">
        <v>26436</v>
      </c>
      <c r="J5295" s="28" t="s">
        <v>25396</v>
      </c>
      <c r="K5295" s="28" t="s">
        <v>25558</v>
      </c>
      <c r="L5295" s="28" t="s">
        <v>25559</v>
      </c>
      <c r="M5295" s="28" t="s">
        <v>26437</v>
      </c>
      <c r="N5295" s="28" t="s">
        <v>25561</v>
      </c>
      <c r="O5295" s="28" t="s">
        <v>25562</v>
      </c>
      <c r="P5295" s="28" t="s">
        <v>26438</v>
      </c>
    </row>
    <row r="5296" spans="1:16" x14ac:dyDescent="0.25">
      <c r="A5296" s="28" t="s">
        <v>26439</v>
      </c>
      <c r="B5296" s="28" t="s">
        <v>26440</v>
      </c>
      <c r="C5296" s="28" t="s">
        <v>1779</v>
      </c>
      <c r="D5296" s="28" t="s">
        <v>1792</v>
      </c>
      <c r="E5296" s="28" t="s">
        <v>1343</v>
      </c>
      <c r="F5296" s="28" t="s">
        <v>21</v>
      </c>
      <c r="G5296" s="28" t="s">
        <v>25396</v>
      </c>
      <c r="H5296" s="28" t="s">
        <v>25556</v>
      </c>
      <c r="I5296" s="28" t="s">
        <v>26441</v>
      </c>
      <c r="J5296" s="28" t="s">
        <v>25396</v>
      </c>
      <c r="K5296" s="28" t="s">
        <v>25558</v>
      </c>
      <c r="L5296" s="28" t="s">
        <v>25559</v>
      </c>
      <c r="M5296" s="28" t="s">
        <v>26442</v>
      </c>
      <c r="N5296" s="28" t="s">
        <v>25561</v>
      </c>
      <c r="O5296" s="28" t="s">
        <v>25562</v>
      </c>
      <c r="P5296" s="28" t="s">
        <v>26443</v>
      </c>
    </row>
    <row r="5297" spans="1:16" x14ac:dyDescent="0.25">
      <c r="A5297" s="28" t="s">
        <v>26444</v>
      </c>
      <c r="B5297" s="28" t="s">
        <v>26445</v>
      </c>
      <c r="C5297" s="28" t="s">
        <v>1779</v>
      </c>
      <c r="D5297" s="28" t="s">
        <v>1792</v>
      </c>
      <c r="E5297" s="28" t="s">
        <v>1343</v>
      </c>
      <c r="F5297" s="28" t="s">
        <v>21</v>
      </c>
      <c r="G5297" s="28" t="s">
        <v>25396</v>
      </c>
      <c r="H5297" s="28" t="s">
        <v>25556</v>
      </c>
      <c r="I5297" s="28" t="s">
        <v>26446</v>
      </c>
      <c r="J5297" s="28" t="s">
        <v>25396</v>
      </c>
      <c r="K5297" s="28" t="s">
        <v>25558</v>
      </c>
      <c r="L5297" s="28" t="s">
        <v>25559</v>
      </c>
      <c r="M5297" s="28" t="s">
        <v>26447</v>
      </c>
      <c r="N5297" s="28" t="s">
        <v>25561</v>
      </c>
      <c r="O5297" s="28" t="s">
        <v>25562</v>
      </c>
      <c r="P5297" s="28" t="s">
        <v>26448</v>
      </c>
    </row>
    <row r="5298" spans="1:16" x14ac:dyDescent="0.25">
      <c r="A5298" s="28" t="s">
        <v>26449</v>
      </c>
      <c r="B5298" s="28" t="s">
        <v>26450</v>
      </c>
      <c r="C5298" s="28" t="s">
        <v>1779</v>
      </c>
      <c r="D5298" s="28" t="s">
        <v>1810</v>
      </c>
      <c r="E5298" s="28" t="s">
        <v>1343</v>
      </c>
      <c r="F5298" s="28" t="s">
        <v>21</v>
      </c>
      <c r="G5298" s="28" t="s">
        <v>25396</v>
      </c>
      <c r="H5298" s="28" t="s">
        <v>25556</v>
      </c>
      <c r="I5298" s="28" t="s">
        <v>26451</v>
      </c>
      <c r="J5298" s="28" t="s">
        <v>25396</v>
      </c>
      <c r="K5298" s="28" t="s">
        <v>25558</v>
      </c>
      <c r="L5298" s="28" t="s">
        <v>25559</v>
      </c>
      <c r="M5298" s="28" t="s">
        <v>26412</v>
      </c>
      <c r="N5298" s="28" t="s">
        <v>25561</v>
      </c>
      <c r="O5298" s="28" t="s">
        <v>25562</v>
      </c>
      <c r="P5298" s="28" t="s">
        <v>26452</v>
      </c>
    </row>
    <row r="5299" spans="1:16" x14ac:dyDescent="0.25">
      <c r="A5299" s="28" t="s">
        <v>26453</v>
      </c>
      <c r="B5299" s="28" t="s">
        <v>26454</v>
      </c>
      <c r="C5299" s="28" t="s">
        <v>1779</v>
      </c>
      <c r="D5299" s="28" t="s">
        <v>1810</v>
      </c>
      <c r="E5299" s="28" t="s">
        <v>1343</v>
      </c>
      <c r="F5299" s="28" t="s">
        <v>21</v>
      </c>
      <c r="G5299" s="28" t="s">
        <v>25396</v>
      </c>
      <c r="H5299" s="28" t="s">
        <v>25556</v>
      </c>
      <c r="I5299" s="28" t="s">
        <v>26455</v>
      </c>
      <c r="J5299" s="28" t="s">
        <v>25396</v>
      </c>
      <c r="K5299" s="28" t="s">
        <v>25558</v>
      </c>
      <c r="L5299" s="28" t="s">
        <v>25559</v>
      </c>
      <c r="M5299" s="28" t="s">
        <v>26417</v>
      </c>
      <c r="N5299" s="28" t="s">
        <v>25561</v>
      </c>
      <c r="O5299" s="28" t="s">
        <v>25562</v>
      </c>
      <c r="P5299" s="28" t="s">
        <v>26456</v>
      </c>
    </row>
    <row r="5300" spans="1:16" x14ac:dyDescent="0.25">
      <c r="A5300" s="28" t="s">
        <v>26457</v>
      </c>
      <c r="B5300" s="28" t="s">
        <v>26458</v>
      </c>
      <c r="C5300" s="28" t="s">
        <v>1779</v>
      </c>
      <c r="D5300" s="28" t="s">
        <v>1810</v>
      </c>
      <c r="E5300" s="28" t="s">
        <v>1343</v>
      </c>
      <c r="F5300" s="28" t="s">
        <v>21</v>
      </c>
      <c r="G5300" s="28" t="s">
        <v>25396</v>
      </c>
      <c r="H5300" s="28" t="s">
        <v>25556</v>
      </c>
      <c r="I5300" s="28" t="s">
        <v>26459</v>
      </c>
      <c r="J5300" s="28" t="s">
        <v>25396</v>
      </c>
      <c r="K5300" s="28" t="s">
        <v>25558</v>
      </c>
      <c r="L5300" s="28" t="s">
        <v>25559</v>
      </c>
      <c r="M5300" s="28" t="s">
        <v>26460</v>
      </c>
      <c r="N5300" s="28" t="s">
        <v>25561</v>
      </c>
      <c r="O5300" s="28" t="s">
        <v>25562</v>
      </c>
      <c r="P5300" s="28" t="s">
        <v>26461</v>
      </c>
    </row>
    <row r="5301" spans="1:16" x14ac:dyDescent="0.25">
      <c r="A5301" s="28" t="s">
        <v>26462</v>
      </c>
      <c r="B5301" s="28" t="s">
        <v>26463</v>
      </c>
      <c r="C5301" s="28" t="s">
        <v>1779</v>
      </c>
      <c r="D5301" s="28" t="s">
        <v>1810</v>
      </c>
      <c r="E5301" s="28" t="s">
        <v>1343</v>
      </c>
      <c r="F5301" s="28" t="s">
        <v>21</v>
      </c>
      <c r="G5301" s="28" t="s">
        <v>25396</v>
      </c>
      <c r="H5301" s="28" t="s">
        <v>25556</v>
      </c>
      <c r="I5301" s="28" t="s">
        <v>26464</v>
      </c>
      <c r="J5301" s="28" t="s">
        <v>25396</v>
      </c>
      <c r="K5301" s="28" t="s">
        <v>25558</v>
      </c>
      <c r="L5301" s="28" t="s">
        <v>25559</v>
      </c>
      <c r="M5301" s="28" t="s">
        <v>26465</v>
      </c>
      <c r="N5301" s="28" t="s">
        <v>25561</v>
      </c>
      <c r="O5301" s="28" t="s">
        <v>25562</v>
      </c>
      <c r="P5301" s="28" t="s">
        <v>26466</v>
      </c>
    </row>
    <row r="5302" spans="1:16" x14ac:dyDescent="0.25">
      <c r="A5302" s="28" t="s">
        <v>26467</v>
      </c>
      <c r="B5302" s="28" t="s">
        <v>26468</v>
      </c>
      <c r="C5302" s="28" t="s">
        <v>1779</v>
      </c>
      <c r="D5302" s="28" t="s">
        <v>1810</v>
      </c>
      <c r="E5302" s="28" t="s">
        <v>1343</v>
      </c>
      <c r="F5302" s="28" t="s">
        <v>21</v>
      </c>
      <c r="G5302" s="28" t="s">
        <v>25396</v>
      </c>
      <c r="H5302" s="28" t="s">
        <v>25556</v>
      </c>
      <c r="I5302" s="28" t="s">
        <v>26469</v>
      </c>
      <c r="J5302" s="28" t="s">
        <v>25396</v>
      </c>
      <c r="K5302" s="28" t="s">
        <v>25558</v>
      </c>
      <c r="L5302" s="28" t="s">
        <v>25559</v>
      </c>
      <c r="M5302" s="28" t="s">
        <v>26470</v>
      </c>
      <c r="N5302" s="28" t="s">
        <v>25561</v>
      </c>
      <c r="O5302" s="28" t="s">
        <v>25562</v>
      </c>
      <c r="P5302" s="28" t="s">
        <v>26471</v>
      </c>
    </row>
    <row r="5303" spans="1:16" x14ac:dyDescent="0.25">
      <c r="A5303" s="28" t="s">
        <v>26472</v>
      </c>
      <c r="B5303" s="28" t="s">
        <v>26473</v>
      </c>
      <c r="C5303" s="28" t="s">
        <v>1779</v>
      </c>
      <c r="D5303" s="28" t="s">
        <v>1810</v>
      </c>
      <c r="E5303" s="28" t="s">
        <v>1343</v>
      </c>
      <c r="F5303" s="28" t="s">
        <v>21</v>
      </c>
      <c r="G5303" s="28" t="s">
        <v>25396</v>
      </c>
      <c r="H5303" s="28" t="s">
        <v>25556</v>
      </c>
      <c r="I5303" s="28" t="s">
        <v>26474</v>
      </c>
      <c r="J5303" s="28" t="s">
        <v>25396</v>
      </c>
      <c r="K5303" s="28" t="s">
        <v>25558</v>
      </c>
      <c r="L5303" s="28" t="s">
        <v>25559</v>
      </c>
      <c r="M5303" s="28" t="s">
        <v>26475</v>
      </c>
      <c r="N5303" s="28" t="s">
        <v>25561</v>
      </c>
      <c r="O5303" s="28" t="s">
        <v>25562</v>
      </c>
      <c r="P5303" s="28" t="s">
        <v>26476</v>
      </c>
    </row>
    <row r="5304" spans="1:16" x14ac:dyDescent="0.25">
      <c r="A5304" s="28" t="s">
        <v>26477</v>
      </c>
      <c r="B5304" s="28" t="s">
        <v>26478</v>
      </c>
      <c r="C5304" s="28" t="s">
        <v>1779</v>
      </c>
      <c r="D5304" s="28" t="s">
        <v>1810</v>
      </c>
      <c r="E5304" s="28" t="s">
        <v>1343</v>
      </c>
      <c r="F5304" s="28" t="s">
        <v>21</v>
      </c>
      <c r="G5304" s="28" t="s">
        <v>25396</v>
      </c>
      <c r="H5304" s="28" t="s">
        <v>25556</v>
      </c>
      <c r="I5304" s="28" t="s">
        <v>26479</v>
      </c>
      <c r="J5304" s="28" t="s">
        <v>25396</v>
      </c>
      <c r="K5304" s="28" t="s">
        <v>25558</v>
      </c>
      <c r="L5304" s="28" t="s">
        <v>25559</v>
      </c>
      <c r="M5304" s="28" t="s">
        <v>26480</v>
      </c>
      <c r="N5304" s="28" t="s">
        <v>25561</v>
      </c>
      <c r="O5304" s="28" t="s">
        <v>25562</v>
      </c>
      <c r="P5304" s="28" t="s">
        <v>26481</v>
      </c>
    </row>
    <row r="5305" spans="1:16" x14ac:dyDescent="0.25">
      <c r="A5305" s="28" t="s">
        <v>26482</v>
      </c>
      <c r="B5305" s="28" t="s">
        <v>26483</v>
      </c>
      <c r="C5305" s="28" t="s">
        <v>1779</v>
      </c>
      <c r="D5305" s="28" t="s">
        <v>1810</v>
      </c>
      <c r="E5305" s="28" t="s">
        <v>1343</v>
      </c>
      <c r="F5305" s="28" t="s">
        <v>21</v>
      </c>
      <c r="G5305" s="28" t="s">
        <v>25396</v>
      </c>
      <c r="H5305" s="28" t="s">
        <v>25556</v>
      </c>
      <c r="I5305" s="28" t="s">
        <v>26484</v>
      </c>
      <c r="J5305" s="28" t="s">
        <v>25396</v>
      </c>
      <c r="K5305" s="28" t="s">
        <v>25558</v>
      </c>
      <c r="L5305" s="28" t="s">
        <v>25559</v>
      </c>
      <c r="M5305" s="28" t="s">
        <v>26485</v>
      </c>
      <c r="N5305" s="28" t="s">
        <v>25561</v>
      </c>
      <c r="O5305" s="28" t="s">
        <v>25562</v>
      </c>
      <c r="P5305" s="28" t="s">
        <v>26486</v>
      </c>
    </row>
    <row r="5306" spans="1:16" x14ac:dyDescent="0.25">
      <c r="A5306" s="28" t="s">
        <v>26487</v>
      </c>
      <c r="B5306" s="28" t="s">
        <v>26488</v>
      </c>
      <c r="C5306" s="28" t="s">
        <v>1779</v>
      </c>
      <c r="D5306" s="28" t="s">
        <v>1810</v>
      </c>
      <c r="E5306" s="28" t="s">
        <v>1343</v>
      </c>
      <c r="F5306" s="28" t="s">
        <v>21</v>
      </c>
      <c r="G5306" s="28" t="s">
        <v>25396</v>
      </c>
      <c r="H5306" s="28" t="s">
        <v>25556</v>
      </c>
      <c r="I5306" s="28" t="s">
        <v>26489</v>
      </c>
      <c r="J5306" s="28" t="s">
        <v>25396</v>
      </c>
      <c r="K5306" s="28" t="s">
        <v>25558</v>
      </c>
      <c r="L5306" s="28" t="s">
        <v>25559</v>
      </c>
      <c r="M5306" s="28" t="s">
        <v>26490</v>
      </c>
      <c r="N5306" s="28" t="s">
        <v>25561</v>
      </c>
      <c r="O5306" s="28" t="s">
        <v>25562</v>
      </c>
      <c r="P5306" s="28" t="s">
        <v>26491</v>
      </c>
    </row>
    <row r="5307" spans="1:16" x14ac:dyDescent="0.25">
      <c r="A5307" s="28" t="s">
        <v>26492</v>
      </c>
      <c r="B5307" s="28" t="s">
        <v>26493</v>
      </c>
      <c r="C5307" s="28" t="s">
        <v>1779</v>
      </c>
      <c r="D5307" s="28" t="s">
        <v>1810</v>
      </c>
      <c r="E5307" s="28" t="s">
        <v>1343</v>
      </c>
      <c r="F5307" s="28" t="s">
        <v>21</v>
      </c>
      <c r="G5307" s="28" t="s">
        <v>25396</v>
      </c>
      <c r="H5307" s="28" t="s">
        <v>25556</v>
      </c>
      <c r="I5307" s="28" t="s">
        <v>26494</v>
      </c>
      <c r="J5307" s="28" t="s">
        <v>25396</v>
      </c>
      <c r="K5307" s="28" t="s">
        <v>25558</v>
      </c>
      <c r="L5307" s="28" t="s">
        <v>25559</v>
      </c>
      <c r="M5307" s="28" t="s">
        <v>26495</v>
      </c>
      <c r="N5307" s="28" t="s">
        <v>25561</v>
      </c>
      <c r="O5307" s="28" t="s">
        <v>25562</v>
      </c>
      <c r="P5307" s="28" t="s">
        <v>26496</v>
      </c>
    </row>
    <row r="5308" spans="1:16" x14ac:dyDescent="0.25">
      <c r="A5308" s="28" t="s">
        <v>26497</v>
      </c>
      <c r="B5308" s="28" t="s">
        <v>26498</v>
      </c>
      <c r="C5308" s="28" t="s">
        <v>1779</v>
      </c>
      <c r="D5308" s="28" t="s">
        <v>1810</v>
      </c>
      <c r="E5308" s="28" t="s">
        <v>1343</v>
      </c>
      <c r="F5308" s="28" t="s">
        <v>21</v>
      </c>
      <c r="G5308" s="28" t="s">
        <v>25396</v>
      </c>
      <c r="H5308" s="28" t="s">
        <v>25556</v>
      </c>
      <c r="I5308" s="28" t="s">
        <v>26499</v>
      </c>
      <c r="J5308" s="28" t="s">
        <v>25396</v>
      </c>
      <c r="K5308" s="28" t="s">
        <v>25558</v>
      </c>
      <c r="L5308" s="28" t="s">
        <v>25559</v>
      </c>
      <c r="M5308" s="28" t="s">
        <v>26500</v>
      </c>
      <c r="N5308" s="28" t="s">
        <v>25561</v>
      </c>
      <c r="O5308" s="28" t="s">
        <v>25562</v>
      </c>
      <c r="P5308" s="28" t="s">
        <v>26501</v>
      </c>
    </row>
    <row r="5309" spans="1:16" x14ac:dyDescent="0.25">
      <c r="A5309" s="28" t="s">
        <v>26502</v>
      </c>
      <c r="B5309" s="28" t="s">
        <v>26503</v>
      </c>
      <c r="C5309" s="28" t="s">
        <v>1779</v>
      </c>
      <c r="D5309" s="28" t="s">
        <v>1810</v>
      </c>
      <c r="E5309" s="28" t="s">
        <v>1343</v>
      </c>
      <c r="F5309" s="28" t="s">
        <v>21</v>
      </c>
      <c r="G5309" s="28" t="s">
        <v>25396</v>
      </c>
      <c r="H5309" s="28" t="s">
        <v>25556</v>
      </c>
      <c r="I5309" s="28" t="s">
        <v>26504</v>
      </c>
      <c r="J5309" s="28" t="s">
        <v>25396</v>
      </c>
      <c r="K5309" s="28" t="s">
        <v>25558</v>
      </c>
      <c r="L5309" s="28" t="s">
        <v>25559</v>
      </c>
      <c r="M5309" s="28" t="s">
        <v>26422</v>
      </c>
      <c r="N5309" s="28" t="s">
        <v>25561</v>
      </c>
      <c r="O5309" s="28" t="s">
        <v>25562</v>
      </c>
      <c r="P5309" s="28" t="s">
        <v>26505</v>
      </c>
    </row>
    <row r="5310" spans="1:16" x14ac:dyDescent="0.25">
      <c r="A5310" s="28" t="s">
        <v>26506</v>
      </c>
      <c r="B5310" s="28" t="s">
        <v>26507</v>
      </c>
      <c r="C5310" s="28" t="s">
        <v>1779</v>
      </c>
      <c r="D5310" s="28" t="s">
        <v>1810</v>
      </c>
      <c r="E5310" s="28" t="s">
        <v>1343</v>
      </c>
      <c r="F5310" s="28" t="s">
        <v>21</v>
      </c>
      <c r="G5310" s="28" t="s">
        <v>25396</v>
      </c>
      <c r="H5310" s="28" t="s">
        <v>25556</v>
      </c>
      <c r="I5310" s="28" t="s">
        <v>26508</v>
      </c>
      <c r="J5310" s="28" t="s">
        <v>25396</v>
      </c>
      <c r="K5310" s="28" t="s">
        <v>25558</v>
      </c>
      <c r="L5310" s="28" t="s">
        <v>25559</v>
      </c>
      <c r="M5310" s="28" t="s">
        <v>26509</v>
      </c>
      <c r="N5310" s="28" t="s">
        <v>25561</v>
      </c>
      <c r="O5310" s="28" t="s">
        <v>25562</v>
      </c>
      <c r="P5310" s="28" t="s">
        <v>26510</v>
      </c>
    </row>
    <row r="5311" spans="1:16" x14ac:dyDescent="0.25">
      <c r="A5311" s="28" t="s">
        <v>26511</v>
      </c>
      <c r="B5311" s="28" t="s">
        <v>26512</v>
      </c>
      <c r="C5311" s="28" t="s">
        <v>1779</v>
      </c>
      <c r="D5311" s="28" t="s">
        <v>1810</v>
      </c>
      <c r="E5311" s="28" t="s">
        <v>16264</v>
      </c>
      <c r="F5311" s="28" t="s">
        <v>21</v>
      </c>
      <c r="G5311" s="28" t="s">
        <v>25396</v>
      </c>
      <c r="H5311" s="28" t="s">
        <v>25556</v>
      </c>
      <c r="I5311" s="28" t="s">
        <v>26513</v>
      </c>
      <c r="J5311" s="28" t="s">
        <v>25396</v>
      </c>
      <c r="K5311" s="28" t="s">
        <v>25558</v>
      </c>
      <c r="L5311" s="28" t="s">
        <v>25559</v>
      </c>
      <c r="M5311" s="28" t="s">
        <v>26514</v>
      </c>
      <c r="N5311" s="28" t="s">
        <v>25561</v>
      </c>
      <c r="O5311" s="28" t="s">
        <v>25562</v>
      </c>
      <c r="P5311" s="28" t="s">
        <v>26515</v>
      </c>
    </row>
    <row r="5312" spans="1:16" x14ac:dyDescent="0.25">
      <c r="A5312" s="28" t="s">
        <v>26516</v>
      </c>
      <c r="B5312" s="28" t="s">
        <v>26517</v>
      </c>
      <c r="C5312" s="28" t="s">
        <v>1779</v>
      </c>
      <c r="D5312" s="28" t="s">
        <v>1810</v>
      </c>
      <c r="E5312" s="28" t="s">
        <v>26518</v>
      </c>
      <c r="F5312" s="28" t="s">
        <v>21</v>
      </c>
      <c r="G5312" s="28" t="s">
        <v>25396</v>
      </c>
      <c r="H5312" s="28" t="s">
        <v>25556</v>
      </c>
      <c r="I5312" s="28" t="s">
        <v>26519</v>
      </c>
      <c r="J5312" s="28" t="s">
        <v>25396</v>
      </c>
      <c r="K5312" s="28" t="s">
        <v>25558</v>
      </c>
      <c r="L5312" s="28" t="s">
        <v>25559</v>
      </c>
      <c r="M5312" s="28" t="s">
        <v>26520</v>
      </c>
      <c r="N5312" s="28" t="s">
        <v>25561</v>
      </c>
      <c r="O5312" s="28" t="s">
        <v>25562</v>
      </c>
      <c r="P5312" s="28" t="s">
        <v>26521</v>
      </c>
    </row>
    <row r="5313" spans="1:16" x14ac:dyDescent="0.25">
      <c r="A5313" s="28" t="s">
        <v>26522</v>
      </c>
      <c r="B5313" s="28" t="s">
        <v>26523</v>
      </c>
      <c r="C5313" s="28" t="s">
        <v>1779</v>
      </c>
      <c r="D5313" s="28" t="s">
        <v>1810</v>
      </c>
      <c r="E5313" s="28" t="s">
        <v>26524</v>
      </c>
      <c r="F5313" s="28" t="s">
        <v>21</v>
      </c>
      <c r="G5313" s="28" t="s">
        <v>25396</v>
      </c>
      <c r="H5313" s="28" t="s">
        <v>25556</v>
      </c>
      <c r="I5313" s="28" t="s">
        <v>26525</v>
      </c>
      <c r="J5313" s="28" t="s">
        <v>25396</v>
      </c>
      <c r="K5313" s="28" t="s">
        <v>25558</v>
      </c>
      <c r="L5313" s="28" t="s">
        <v>25559</v>
      </c>
      <c r="M5313" s="28" t="s">
        <v>26526</v>
      </c>
      <c r="N5313" s="28" t="s">
        <v>25561</v>
      </c>
      <c r="O5313" s="28" t="s">
        <v>25562</v>
      </c>
      <c r="P5313" s="28" t="s">
        <v>26527</v>
      </c>
    </row>
    <row r="5314" spans="1:16" x14ac:dyDescent="0.25">
      <c r="A5314" s="28" t="s">
        <v>26528</v>
      </c>
      <c r="B5314" s="28" t="s">
        <v>26529</v>
      </c>
      <c r="C5314" s="28" t="s">
        <v>1779</v>
      </c>
      <c r="D5314" s="28" t="s">
        <v>1810</v>
      </c>
      <c r="E5314" s="28" t="s">
        <v>26530</v>
      </c>
      <c r="F5314" s="28" t="s">
        <v>21</v>
      </c>
      <c r="G5314" s="28" t="s">
        <v>25396</v>
      </c>
      <c r="H5314" s="28" t="s">
        <v>25556</v>
      </c>
      <c r="I5314" s="28" t="s">
        <v>26531</v>
      </c>
      <c r="J5314" s="28" t="s">
        <v>25396</v>
      </c>
      <c r="K5314" s="28" t="s">
        <v>25558</v>
      </c>
      <c r="L5314" s="28" t="s">
        <v>25559</v>
      </c>
      <c r="M5314" s="28" t="s">
        <v>26532</v>
      </c>
      <c r="N5314" s="28" t="s">
        <v>25561</v>
      </c>
      <c r="O5314" s="28" t="s">
        <v>25562</v>
      </c>
      <c r="P5314" s="28" t="s">
        <v>26533</v>
      </c>
    </row>
    <row r="5315" spans="1:16" x14ac:dyDescent="0.25">
      <c r="A5315" s="28" t="s">
        <v>26534</v>
      </c>
      <c r="B5315" s="28" t="s">
        <v>26535</v>
      </c>
      <c r="C5315" s="28" t="s">
        <v>1779</v>
      </c>
      <c r="D5315" s="28" t="s">
        <v>1810</v>
      </c>
      <c r="E5315" s="28" t="s">
        <v>26536</v>
      </c>
      <c r="F5315" s="28" t="s">
        <v>21</v>
      </c>
      <c r="G5315" s="28" t="s">
        <v>25396</v>
      </c>
      <c r="H5315" s="28" t="s">
        <v>25556</v>
      </c>
      <c r="I5315" s="28" t="s">
        <v>26537</v>
      </c>
      <c r="J5315" s="28" t="s">
        <v>25396</v>
      </c>
      <c r="K5315" s="28" t="s">
        <v>25558</v>
      </c>
      <c r="L5315" s="28" t="s">
        <v>25559</v>
      </c>
      <c r="M5315" s="28" t="s">
        <v>26538</v>
      </c>
      <c r="N5315" s="28" t="s">
        <v>25561</v>
      </c>
      <c r="O5315" s="28" t="s">
        <v>25562</v>
      </c>
      <c r="P5315" s="28" t="s">
        <v>26539</v>
      </c>
    </row>
    <row r="5316" spans="1:16" x14ac:dyDescent="0.25">
      <c r="A5316" s="28" t="s">
        <v>26540</v>
      </c>
      <c r="B5316" s="28" t="s">
        <v>26541</v>
      </c>
      <c r="C5316" s="28" t="s">
        <v>1779</v>
      </c>
      <c r="D5316" s="28" t="s">
        <v>1810</v>
      </c>
      <c r="E5316" s="28" t="s">
        <v>1343</v>
      </c>
      <c r="F5316" s="28" t="s">
        <v>21</v>
      </c>
      <c r="G5316" s="28" t="s">
        <v>25396</v>
      </c>
      <c r="H5316" s="28" t="s">
        <v>25556</v>
      </c>
      <c r="I5316" s="28" t="s">
        <v>26542</v>
      </c>
      <c r="J5316" s="28" t="s">
        <v>25396</v>
      </c>
      <c r="K5316" s="28" t="s">
        <v>25558</v>
      </c>
      <c r="L5316" s="28" t="s">
        <v>25559</v>
      </c>
      <c r="M5316" s="28" t="s">
        <v>26543</v>
      </c>
      <c r="N5316" s="28" t="s">
        <v>25561</v>
      </c>
      <c r="O5316" s="28" t="s">
        <v>25562</v>
      </c>
      <c r="P5316" s="28" t="s">
        <v>26544</v>
      </c>
    </row>
    <row r="5317" spans="1:16" x14ac:dyDescent="0.25">
      <c r="A5317" s="28" t="s">
        <v>26545</v>
      </c>
      <c r="B5317" s="28" t="s">
        <v>26546</v>
      </c>
      <c r="C5317" s="28" t="s">
        <v>1779</v>
      </c>
      <c r="D5317" s="28" t="s">
        <v>1810</v>
      </c>
      <c r="E5317" s="28" t="s">
        <v>1343</v>
      </c>
      <c r="F5317" s="28" t="s">
        <v>21</v>
      </c>
      <c r="G5317" s="28" t="s">
        <v>25396</v>
      </c>
      <c r="H5317" s="28" t="s">
        <v>25556</v>
      </c>
      <c r="I5317" s="28" t="s">
        <v>26547</v>
      </c>
      <c r="J5317" s="28" t="s">
        <v>25396</v>
      </c>
      <c r="K5317" s="28" t="s">
        <v>25558</v>
      </c>
      <c r="L5317" s="28" t="s">
        <v>25559</v>
      </c>
      <c r="M5317" s="28" t="s">
        <v>26432</v>
      </c>
      <c r="N5317" s="28" t="s">
        <v>25561</v>
      </c>
      <c r="O5317" s="28" t="s">
        <v>25562</v>
      </c>
      <c r="P5317" s="28" t="s">
        <v>26548</v>
      </c>
    </row>
    <row r="5318" spans="1:16" x14ac:dyDescent="0.25">
      <c r="A5318" s="28" t="s">
        <v>26549</v>
      </c>
      <c r="B5318" s="28" t="s">
        <v>26550</v>
      </c>
      <c r="C5318" s="28" t="s">
        <v>1779</v>
      </c>
      <c r="D5318" s="28" t="s">
        <v>1810</v>
      </c>
      <c r="E5318" s="28" t="s">
        <v>1343</v>
      </c>
      <c r="F5318" s="28" t="s">
        <v>21</v>
      </c>
      <c r="G5318" s="28" t="s">
        <v>25396</v>
      </c>
      <c r="H5318" s="28" t="s">
        <v>25556</v>
      </c>
      <c r="I5318" s="28" t="s">
        <v>26551</v>
      </c>
      <c r="J5318" s="28" t="s">
        <v>25396</v>
      </c>
      <c r="K5318" s="28" t="s">
        <v>25558</v>
      </c>
      <c r="L5318" s="28" t="s">
        <v>25559</v>
      </c>
      <c r="M5318" s="28" t="s">
        <v>26552</v>
      </c>
      <c r="N5318" s="28" t="s">
        <v>25561</v>
      </c>
      <c r="O5318" s="28" t="s">
        <v>25562</v>
      </c>
      <c r="P5318" s="28" t="s">
        <v>26553</v>
      </c>
    </row>
    <row r="5319" spans="1:16" x14ac:dyDescent="0.25">
      <c r="A5319" s="28" t="s">
        <v>26554</v>
      </c>
      <c r="B5319" s="28" t="s">
        <v>26555</v>
      </c>
      <c r="C5319" s="28" t="s">
        <v>1779</v>
      </c>
      <c r="D5319" s="28" t="s">
        <v>1810</v>
      </c>
      <c r="E5319" s="28" t="s">
        <v>1343</v>
      </c>
      <c r="F5319" s="28" t="s">
        <v>21</v>
      </c>
      <c r="G5319" s="28" t="s">
        <v>25396</v>
      </c>
      <c r="H5319" s="28" t="s">
        <v>25556</v>
      </c>
      <c r="I5319" s="28" t="s">
        <v>26556</v>
      </c>
      <c r="J5319" s="28" t="s">
        <v>25396</v>
      </c>
      <c r="K5319" s="28" t="s">
        <v>25558</v>
      </c>
      <c r="L5319" s="28" t="s">
        <v>25559</v>
      </c>
      <c r="M5319" s="28" t="s">
        <v>26437</v>
      </c>
      <c r="N5319" s="28" t="s">
        <v>25561</v>
      </c>
      <c r="O5319" s="28" t="s">
        <v>25562</v>
      </c>
      <c r="P5319" s="28" t="s">
        <v>26557</v>
      </c>
    </row>
    <row r="5320" spans="1:16" x14ac:dyDescent="0.25">
      <c r="A5320" s="28" t="s">
        <v>26558</v>
      </c>
      <c r="B5320" s="28" t="s">
        <v>26559</v>
      </c>
      <c r="C5320" s="28" t="s">
        <v>1779</v>
      </c>
      <c r="D5320" s="28" t="s">
        <v>1810</v>
      </c>
      <c r="E5320" s="28" t="s">
        <v>1343</v>
      </c>
      <c r="F5320" s="28" t="s">
        <v>21</v>
      </c>
      <c r="G5320" s="28" t="s">
        <v>25396</v>
      </c>
      <c r="H5320" s="28" t="s">
        <v>25556</v>
      </c>
      <c r="I5320" s="28" t="s">
        <v>26560</v>
      </c>
      <c r="J5320" s="28" t="s">
        <v>25396</v>
      </c>
      <c r="K5320" s="28" t="s">
        <v>25558</v>
      </c>
      <c r="L5320" s="28" t="s">
        <v>25559</v>
      </c>
      <c r="M5320" s="28" t="s">
        <v>26561</v>
      </c>
      <c r="N5320" s="28" t="s">
        <v>25561</v>
      </c>
      <c r="O5320" s="28" t="s">
        <v>25562</v>
      </c>
      <c r="P5320" s="28" t="s">
        <v>26562</v>
      </c>
    </row>
    <row r="5321" spans="1:16" x14ac:dyDescent="0.25">
      <c r="A5321" s="28" t="s">
        <v>26563</v>
      </c>
      <c r="B5321" s="28" t="s">
        <v>26564</v>
      </c>
      <c r="C5321" s="28" t="s">
        <v>1779</v>
      </c>
      <c r="D5321" s="28" t="s">
        <v>1810</v>
      </c>
      <c r="E5321" s="28" t="s">
        <v>1343</v>
      </c>
      <c r="F5321" s="28" t="s">
        <v>21</v>
      </c>
      <c r="G5321" s="28" t="s">
        <v>25396</v>
      </c>
      <c r="H5321" s="28" t="s">
        <v>25556</v>
      </c>
      <c r="I5321" s="28" t="s">
        <v>26565</v>
      </c>
      <c r="J5321" s="28" t="s">
        <v>25396</v>
      </c>
      <c r="K5321" s="28" t="s">
        <v>25558</v>
      </c>
      <c r="L5321" s="28" t="s">
        <v>25559</v>
      </c>
      <c r="M5321" s="28" t="s">
        <v>26566</v>
      </c>
      <c r="N5321" s="28" t="s">
        <v>25561</v>
      </c>
      <c r="O5321" s="28" t="s">
        <v>25562</v>
      </c>
      <c r="P5321" s="28" t="s">
        <v>26567</v>
      </c>
    </row>
    <row r="5322" spans="1:16" x14ac:dyDescent="0.25">
      <c r="A5322" s="28" t="s">
        <v>26568</v>
      </c>
      <c r="B5322" s="28" t="s">
        <v>26569</v>
      </c>
      <c r="C5322" s="28" t="s">
        <v>1779</v>
      </c>
      <c r="D5322" s="28" t="s">
        <v>1810</v>
      </c>
      <c r="E5322" s="28" t="s">
        <v>1343</v>
      </c>
      <c r="F5322" s="28" t="s">
        <v>21</v>
      </c>
      <c r="G5322" s="28" t="s">
        <v>25396</v>
      </c>
      <c r="H5322" s="28" t="s">
        <v>25556</v>
      </c>
      <c r="I5322" s="28" t="s">
        <v>26570</v>
      </c>
      <c r="J5322" s="28" t="s">
        <v>25396</v>
      </c>
      <c r="K5322" s="28" t="s">
        <v>25558</v>
      </c>
      <c r="L5322" s="28" t="s">
        <v>25559</v>
      </c>
      <c r="M5322" s="28" t="s">
        <v>26571</v>
      </c>
      <c r="N5322" s="28" t="s">
        <v>25561</v>
      </c>
      <c r="O5322" s="28" t="s">
        <v>25562</v>
      </c>
      <c r="P5322" s="28" t="s">
        <v>26572</v>
      </c>
    </row>
    <row r="5323" spans="1:16" x14ac:dyDescent="0.25">
      <c r="A5323" s="28" t="s">
        <v>26573</v>
      </c>
      <c r="B5323" s="28" t="s">
        <v>26574</v>
      </c>
      <c r="C5323" s="28" t="s">
        <v>1779</v>
      </c>
      <c r="D5323" s="28" t="s">
        <v>1810</v>
      </c>
      <c r="E5323" s="28" t="s">
        <v>1343</v>
      </c>
      <c r="F5323" s="28" t="s">
        <v>21</v>
      </c>
      <c r="G5323" s="28" t="s">
        <v>25396</v>
      </c>
      <c r="H5323" s="28" t="s">
        <v>25556</v>
      </c>
      <c r="I5323" s="28" t="s">
        <v>26575</v>
      </c>
      <c r="J5323" s="28" t="s">
        <v>25396</v>
      </c>
      <c r="K5323" s="28" t="s">
        <v>25558</v>
      </c>
      <c r="L5323" s="28" t="s">
        <v>25559</v>
      </c>
      <c r="M5323" s="28" t="s">
        <v>26576</v>
      </c>
      <c r="N5323" s="28" t="s">
        <v>25561</v>
      </c>
      <c r="O5323" s="28" t="s">
        <v>25562</v>
      </c>
      <c r="P5323" s="28" t="s">
        <v>26577</v>
      </c>
    </row>
    <row r="5324" spans="1:16" x14ac:dyDescent="0.25">
      <c r="A5324" s="28" t="s">
        <v>26578</v>
      </c>
      <c r="B5324" s="28" t="s">
        <v>26579</v>
      </c>
      <c r="C5324" s="28" t="s">
        <v>1779</v>
      </c>
      <c r="D5324" s="28" t="s">
        <v>1810</v>
      </c>
      <c r="E5324" s="28" t="s">
        <v>1343</v>
      </c>
      <c r="F5324" s="28" t="s">
        <v>21</v>
      </c>
      <c r="G5324" s="28" t="s">
        <v>25396</v>
      </c>
      <c r="H5324" s="28" t="s">
        <v>25556</v>
      </c>
      <c r="I5324" s="28" t="s">
        <v>26580</v>
      </c>
      <c r="J5324" s="28" t="s">
        <v>25396</v>
      </c>
      <c r="K5324" s="28" t="s">
        <v>25558</v>
      </c>
      <c r="L5324" s="28" t="s">
        <v>25559</v>
      </c>
      <c r="M5324" s="28" t="s">
        <v>26581</v>
      </c>
      <c r="N5324" s="28" t="s">
        <v>25561</v>
      </c>
      <c r="O5324" s="28" t="s">
        <v>25562</v>
      </c>
      <c r="P5324" s="28" t="s">
        <v>26582</v>
      </c>
    </row>
    <row r="5325" spans="1:16" x14ac:dyDescent="0.25">
      <c r="A5325" s="28" t="s">
        <v>26583</v>
      </c>
      <c r="B5325" s="28" t="s">
        <v>26584</v>
      </c>
      <c r="C5325" s="28" t="s">
        <v>1779</v>
      </c>
      <c r="D5325" s="28" t="s">
        <v>1810</v>
      </c>
      <c r="E5325" s="28" t="s">
        <v>1343</v>
      </c>
      <c r="F5325" s="28" t="s">
        <v>21</v>
      </c>
      <c r="G5325" s="28" t="s">
        <v>25396</v>
      </c>
      <c r="H5325" s="28" t="s">
        <v>25556</v>
      </c>
      <c r="I5325" s="28" t="s">
        <v>26585</v>
      </c>
      <c r="J5325" s="28" t="s">
        <v>25396</v>
      </c>
      <c r="K5325" s="28" t="s">
        <v>25558</v>
      </c>
      <c r="L5325" s="28" t="s">
        <v>25559</v>
      </c>
      <c r="M5325" s="28" t="s">
        <v>26586</v>
      </c>
      <c r="N5325" s="28" t="s">
        <v>25561</v>
      </c>
      <c r="O5325" s="28" t="s">
        <v>25562</v>
      </c>
      <c r="P5325" s="28" t="s">
        <v>26587</v>
      </c>
    </row>
    <row r="5326" spans="1:16" x14ac:dyDescent="0.25">
      <c r="A5326" s="28" t="s">
        <v>26588</v>
      </c>
      <c r="B5326" s="28" t="s">
        <v>26589</v>
      </c>
      <c r="C5326" s="28" t="s">
        <v>1779</v>
      </c>
      <c r="D5326" s="28" t="s">
        <v>1810</v>
      </c>
      <c r="E5326" s="28" t="s">
        <v>1343</v>
      </c>
      <c r="F5326" s="28" t="s">
        <v>21</v>
      </c>
      <c r="G5326" s="28" t="s">
        <v>25396</v>
      </c>
      <c r="H5326" s="28" t="s">
        <v>25556</v>
      </c>
      <c r="I5326" s="28" t="s">
        <v>26590</v>
      </c>
      <c r="J5326" s="28" t="s">
        <v>25396</v>
      </c>
      <c r="K5326" s="28" t="s">
        <v>25558</v>
      </c>
      <c r="L5326" s="28" t="s">
        <v>25559</v>
      </c>
      <c r="M5326" s="28" t="s">
        <v>26591</v>
      </c>
      <c r="N5326" s="28" t="s">
        <v>25561</v>
      </c>
      <c r="O5326" s="28" t="s">
        <v>25562</v>
      </c>
      <c r="P5326" s="28" t="s">
        <v>26592</v>
      </c>
    </row>
    <row r="5327" spans="1:16" x14ac:dyDescent="0.25">
      <c r="A5327" s="28" t="s">
        <v>26593</v>
      </c>
      <c r="B5327" s="28" t="s">
        <v>26594</v>
      </c>
      <c r="C5327" s="28" t="s">
        <v>1779</v>
      </c>
      <c r="D5327" s="28" t="s">
        <v>1810</v>
      </c>
      <c r="E5327" s="28" t="s">
        <v>1343</v>
      </c>
      <c r="F5327" s="28" t="s">
        <v>21</v>
      </c>
      <c r="G5327" s="28" t="s">
        <v>25396</v>
      </c>
      <c r="H5327" s="28" t="s">
        <v>25556</v>
      </c>
      <c r="I5327" s="28" t="s">
        <v>26595</v>
      </c>
      <c r="J5327" s="28" t="s">
        <v>25396</v>
      </c>
      <c r="K5327" s="28" t="s">
        <v>25558</v>
      </c>
      <c r="L5327" s="28" t="s">
        <v>25559</v>
      </c>
      <c r="M5327" s="28" t="s">
        <v>26596</v>
      </c>
      <c r="N5327" s="28" t="s">
        <v>25561</v>
      </c>
      <c r="O5327" s="28" t="s">
        <v>25562</v>
      </c>
      <c r="P5327" s="28" t="s">
        <v>26597</v>
      </c>
    </row>
    <row r="5328" spans="1:16" x14ac:dyDescent="0.25">
      <c r="A5328" s="28" t="s">
        <v>26598</v>
      </c>
      <c r="B5328" s="28" t="s">
        <v>26599</v>
      </c>
      <c r="C5328" s="28" t="s">
        <v>1779</v>
      </c>
      <c r="D5328" s="28" t="s">
        <v>1810</v>
      </c>
      <c r="E5328" s="28" t="s">
        <v>1343</v>
      </c>
      <c r="F5328" s="28" t="s">
        <v>21</v>
      </c>
      <c r="G5328" s="28" t="s">
        <v>25396</v>
      </c>
      <c r="H5328" s="28" t="s">
        <v>25556</v>
      </c>
      <c r="I5328" s="28" t="s">
        <v>26600</v>
      </c>
      <c r="J5328" s="28" t="s">
        <v>25396</v>
      </c>
      <c r="K5328" s="28" t="s">
        <v>25558</v>
      </c>
      <c r="L5328" s="28" t="s">
        <v>25559</v>
      </c>
      <c r="M5328" s="28" t="s">
        <v>26442</v>
      </c>
      <c r="N5328" s="28" t="s">
        <v>25561</v>
      </c>
      <c r="O5328" s="28" t="s">
        <v>25562</v>
      </c>
      <c r="P5328" s="28" t="s">
        <v>26601</v>
      </c>
    </row>
    <row r="5329" spans="1:16" x14ac:dyDescent="0.25">
      <c r="A5329" s="28" t="s">
        <v>26602</v>
      </c>
      <c r="B5329" s="28" t="s">
        <v>26603</v>
      </c>
      <c r="C5329" s="28" t="s">
        <v>1779</v>
      </c>
      <c r="D5329" s="28" t="s">
        <v>1810</v>
      </c>
      <c r="E5329" s="28" t="s">
        <v>1343</v>
      </c>
      <c r="F5329" s="28" t="s">
        <v>21</v>
      </c>
      <c r="G5329" s="28" t="s">
        <v>25396</v>
      </c>
      <c r="H5329" s="28" t="s">
        <v>25556</v>
      </c>
      <c r="I5329" s="28" t="s">
        <v>26604</v>
      </c>
      <c r="J5329" s="28" t="s">
        <v>25396</v>
      </c>
      <c r="K5329" s="28" t="s">
        <v>25558</v>
      </c>
      <c r="L5329" s="28" t="s">
        <v>25559</v>
      </c>
      <c r="M5329" s="28" t="s">
        <v>26447</v>
      </c>
      <c r="N5329" s="28" t="s">
        <v>25561</v>
      </c>
      <c r="O5329" s="28" t="s">
        <v>25562</v>
      </c>
      <c r="P5329" s="28" t="s">
        <v>26605</v>
      </c>
    </row>
    <row r="5330" spans="1:16" x14ac:dyDescent="0.25">
      <c r="A5330" s="28" t="s">
        <v>26606</v>
      </c>
      <c r="B5330" s="28" t="s">
        <v>26607</v>
      </c>
      <c r="C5330" s="28" t="s">
        <v>1779</v>
      </c>
      <c r="D5330" s="28" t="s">
        <v>7233</v>
      </c>
      <c r="E5330" s="28" t="s">
        <v>26608</v>
      </c>
      <c r="F5330" s="28" t="s">
        <v>21</v>
      </c>
      <c r="G5330" s="28" t="s">
        <v>25396</v>
      </c>
      <c r="H5330" s="28" t="s">
        <v>25556</v>
      </c>
      <c r="I5330" s="28" t="s">
        <v>26609</v>
      </c>
      <c r="J5330" s="28" t="s">
        <v>25396</v>
      </c>
      <c r="K5330" s="28" t="s">
        <v>25558</v>
      </c>
      <c r="L5330" s="28" t="s">
        <v>25559</v>
      </c>
      <c r="M5330" s="28" t="s">
        <v>26610</v>
      </c>
      <c r="N5330" s="28" t="s">
        <v>25561</v>
      </c>
      <c r="O5330" s="28" t="s">
        <v>25562</v>
      </c>
      <c r="P5330" s="28" t="s">
        <v>26611</v>
      </c>
    </row>
    <row r="5331" spans="1:16" x14ac:dyDescent="0.25">
      <c r="A5331" s="28" t="s">
        <v>26612</v>
      </c>
      <c r="B5331" s="28" t="s">
        <v>26613</v>
      </c>
      <c r="C5331" s="28" t="s">
        <v>1779</v>
      </c>
      <c r="D5331" s="28" t="s">
        <v>7233</v>
      </c>
      <c r="E5331" s="28" t="s">
        <v>26614</v>
      </c>
      <c r="F5331" s="28" t="s">
        <v>21</v>
      </c>
      <c r="G5331" s="28" t="s">
        <v>149</v>
      </c>
      <c r="H5331" s="28" t="s">
        <v>16221</v>
      </c>
      <c r="I5331" s="28" t="s">
        <v>26615</v>
      </c>
      <c r="J5331" s="28" t="s">
        <v>149</v>
      </c>
      <c r="K5331" s="28" t="s">
        <v>17201</v>
      </c>
      <c r="L5331" s="28" t="s">
        <v>16224</v>
      </c>
      <c r="M5331" s="28" t="s">
        <v>26616</v>
      </c>
      <c r="N5331" s="28" t="s">
        <v>16226</v>
      </c>
      <c r="O5331" s="28" t="s">
        <v>16227</v>
      </c>
      <c r="P5331" s="28" t="s">
        <v>26617</v>
      </c>
    </row>
    <row r="5332" spans="1:16" x14ac:dyDescent="0.25">
      <c r="A5332" s="28" t="s">
        <v>26618</v>
      </c>
      <c r="B5332" s="28" t="s">
        <v>26619</v>
      </c>
      <c r="C5332" s="28" t="s">
        <v>1779</v>
      </c>
      <c r="D5332" s="28" t="s">
        <v>7233</v>
      </c>
      <c r="E5332" s="28" t="s">
        <v>26620</v>
      </c>
      <c r="F5332" s="28" t="s">
        <v>21</v>
      </c>
      <c r="G5332" s="28" t="s">
        <v>39</v>
      </c>
      <c r="H5332" s="28" t="s">
        <v>25556</v>
      </c>
      <c r="I5332" s="28" t="s">
        <v>26621</v>
      </c>
      <c r="J5332" s="28" t="s">
        <v>39</v>
      </c>
      <c r="K5332" s="28" t="s">
        <v>25594</v>
      </c>
      <c r="L5332" s="28" t="s">
        <v>25559</v>
      </c>
      <c r="M5332" s="28" t="s">
        <v>26622</v>
      </c>
      <c r="N5332" s="28" t="s">
        <v>25561</v>
      </c>
      <c r="O5332" s="28" t="s">
        <v>25562</v>
      </c>
      <c r="P5332" s="28" t="s">
        <v>26623</v>
      </c>
    </row>
    <row r="5333" spans="1:16" x14ac:dyDescent="0.25">
      <c r="A5333" s="28" t="s">
        <v>26624</v>
      </c>
      <c r="B5333" s="28" t="s">
        <v>26625</v>
      </c>
      <c r="C5333" s="28" t="s">
        <v>1779</v>
      </c>
      <c r="D5333" s="28" t="s">
        <v>120</v>
      </c>
      <c r="E5333" s="28" t="s">
        <v>7282</v>
      </c>
      <c r="F5333" s="28" t="s">
        <v>21</v>
      </c>
      <c r="G5333" s="28" t="s">
        <v>25396</v>
      </c>
      <c r="H5333" s="28" t="s">
        <v>25556</v>
      </c>
      <c r="I5333" s="28" t="s">
        <v>26626</v>
      </c>
      <c r="J5333" s="28" t="s">
        <v>25396</v>
      </c>
      <c r="K5333" s="28" t="s">
        <v>25558</v>
      </c>
      <c r="L5333" s="28" t="s">
        <v>25559</v>
      </c>
      <c r="M5333" s="28" t="s">
        <v>26627</v>
      </c>
      <c r="N5333" s="28" t="s">
        <v>25561</v>
      </c>
      <c r="O5333" s="28" t="s">
        <v>25562</v>
      </c>
      <c r="P5333" s="28" t="s">
        <v>26628</v>
      </c>
    </row>
    <row r="5334" spans="1:16" x14ac:dyDescent="0.25">
      <c r="A5334" s="28" t="s">
        <v>26629</v>
      </c>
      <c r="B5334" s="28" t="s">
        <v>26630</v>
      </c>
      <c r="C5334" s="28" t="s">
        <v>1779</v>
      </c>
      <c r="D5334" s="28" t="s">
        <v>120</v>
      </c>
      <c r="E5334" s="28" t="s">
        <v>121</v>
      </c>
      <c r="F5334" s="28" t="s">
        <v>21</v>
      </c>
      <c r="G5334" s="28" t="s">
        <v>25396</v>
      </c>
      <c r="H5334" s="28" t="s">
        <v>25556</v>
      </c>
      <c r="I5334" s="28" t="s">
        <v>26631</v>
      </c>
      <c r="J5334" s="28" t="s">
        <v>25396</v>
      </c>
      <c r="K5334" s="28" t="s">
        <v>25558</v>
      </c>
      <c r="L5334" s="28" t="s">
        <v>25559</v>
      </c>
      <c r="M5334" s="28" t="s">
        <v>26391</v>
      </c>
      <c r="N5334" s="28" t="s">
        <v>25561</v>
      </c>
      <c r="O5334" s="28" t="s">
        <v>25562</v>
      </c>
      <c r="P5334" s="28" t="s">
        <v>26632</v>
      </c>
    </row>
    <row r="5335" spans="1:16" x14ac:dyDescent="0.25">
      <c r="A5335" s="28" t="s">
        <v>26633</v>
      </c>
      <c r="B5335" s="28" t="s">
        <v>26634</v>
      </c>
      <c r="C5335" s="28" t="s">
        <v>1779</v>
      </c>
      <c r="D5335" s="28" t="s">
        <v>120</v>
      </c>
      <c r="E5335" s="28" t="s">
        <v>18600</v>
      </c>
      <c r="F5335" s="28" t="s">
        <v>21</v>
      </c>
      <c r="G5335" s="28" t="s">
        <v>25396</v>
      </c>
      <c r="H5335" s="28" t="s">
        <v>25556</v>
      </c>
      <c r="I5335" s="28" t="s">
        <v>26635</v>
      </c>
      <c r="J5335" s="28" t="s">
        <v>25396</v>
      </c>
      <c r="K5335" s="28" t="s">
        <v>25558</v>
      </c>
      <c r="L5335" s="28" t="s">
        <v>25559</v>
      </c>
      <c r="M5335" s="28" t="s">
        <v>26636</v>
      </c>
      <c r="N5335" s="28" t="s">
        <v>25561</v>
      </c>
      <c r="O5335" s="28" t="s">
        <v>25562</v>
      </c>
      <c r="P5335" s="28" t="s">
        <v>26637</v>
      </c>
    </row>
    <row r="5336" spans="1:16" x14ac:dyDescent="0.25">
      <c r="A5336" s="28" t="s">
        <v>26638</v>
      </c>
      <c r="B5336" s="28" t="s">
        <v>26639</v>
      </c>
      <c r="C5336" s="28" t="s">
        <v>1779</v>
      </c>
      <c r="D5336" s="28" t="s">
        <v>120</v>
      </c>
      <c r="E5336" s="28" t="s">
        <v>18610</v>
      </c>
      <c r="F5336" s="28" t="s">
        <v>21</v>
      </c>
      <c r="G5336" s="28" t="s">
        <v>25396</v>
      </c>
      <c r="H5336" s="28" t="s">
        <v>25556</v>
      </c>
      <c r="I5336" s="28" t="s">
        <v>26640</v>
      </c>
      <c r="J5336" s="28" t="s">
        <v>25396</v>
      </c>
      <c r="K5336" s="28" t="s">
        <v>25558</v>
      </c>
      <c r="L5336" s="28" t="s">
        <v>25559</v>
      </c>
      <c r="M5336" s="28" t="s">
        <v>26641</v>
      </c>
      <c r="N5336" s="28" t="s">
        <v>25561</v>
      </c>
      <c r="O5336" s="28" t="s">
        <v>25562</v>
      </c>
      <c r="P5336" s="28" t="s">
        <v>26642</v>
      </c>
    </row>
    <row r="5337" spans="1:16" x14ac:dyDescent="0.25">
      <c r="A5337" s="28" t="s">
        <v>26643</v>
      </c>
      <c r="B5337" s="28" t="s">
        <v>26644</v>
      </c>
      <c r="C5337" s="28" t="s">
        <v>1779</v>
      </c>
      <c r="D5337" s="28" t="s">
        <v>120</v>
      </c>
      <c r="E5337" s="28" t="s">
        <v>18624</v>
      </c>
      <c r="F5337" s="28" t="s">
        <v>21</v>
      </c>
      <c r="G5337" s="28" t="s">
        <v>25396</v>
      </c>
      <c r="H5337" s="28" t="s">
        <v>25556</v>
      </c>
      <c r="I5337" s="28" t="s">
        <v>26645</v>
      </c>
      <c r="J5337" s="28" t="s">
        <v>25396</v>
      </c>
      <c r="K5337" s="28" t="s">
        <v>25558</v>
      </c>
      <c r="L5337" s="28" t="s">
        <v>25559</v>
      </c>
      <c r="M5337" s="28" t="s">
        <v>26646</v>
      </c>
      <c r="N5337" s="28" t="s">
        <v>25561</v>
      </c>
      <c r="O5337" s="28" t="s">
        <v>25562</v>
      </c>
      <c r="P5337" s="28" t="s">
        <v>26647</v>
      </c>
    </row>
    <row r="5338" spans="1:16" x14ac:dyDescent="0.25">
      <c r="A5338" s="28" t="s">
        <v>26648</v>
      </c>
      <c r="B5338" s="28" t="s">
        <v>26649</v>
      </c>
      <c r="C5338" s="28" t="s">
        <v>1779</v>
      </c>
      <c r="D5338" s="28" t="s">
        <v>120</v>
      </c>
      <c r="E5338" s="28" t="s">
        <v>18634</v>
      </c>
      <c r="F5338" s="28" t="s">
        <v>21</v>
      </c>
      <c r="G5338" s="28" t="s">
        <v>25396</v>
      </c>
      <c r="H5338" s="28" t="s">
        <v>25556</v>
      </c>
      <c r="I5338" s="28" t="s">
        <v>26650</v>
      </c>
      <c r="J5338" s="28" t="s">
        <v>25396</v>
      </c>
      <c r="K5338" s="28" t="s">
        <v>25558</v>
      </c>
      <c r="L5338" s="28" t="s">
        <v>25559</v>
      </c>
      <c r="M5338" s="28" t="s">
        <v>26651</v>
      </c>
      <c r="N5338" s="28" t="s">
        <v>25561</v>
      </c>
      <c r="O5338" s="28" t="s">
        <v>25562</v>
      </c>
      <c r="P5338" s="28" t="s">
        <v>26652</v>
      </c>
    </row>
    <row r="5339" spans="1:16" x14ac:dyDescent="0.25">
      <c r="A5339" s="28" t="s">
        <v>26653</v>
      </c>
      <c r="B5339" s="28" t="s">
        <v>26654</v>
      </c>
      <c r="C5339" s="28" t="s">
        <v>1779</v>
      </c>
      <c r="D5339" s="28" t="s">
        <v>120</v>
      </c>
      <c r="E5339" s="28" t="s">
        <v>18652</v>
      </c>
      <c r="F5339" s="28" t="s">
        <v>21</v>
      </c>
      <c r="G5339" s="28" t="s">
        <v>25396</v>
      </c>
      <c r="H5339" s="28" t="s">
        <v>25556</v>
      </c>
      <c r="I5339" s="28" t="s">
        <v>26655</v>
      </c>
      <c r="J5339" s="28" t="s">
        <v>25396</v>
      </c>
      <c r="K5339" s="28" t="s">
        <v>25558</v>
      </c>
      <c r="L5339" s="28" t="s">
        <v>25559</v>
      </c>
      <c r="M5339" s="28" t="s">
        <v>26656</v>
      </c>
      <c r="N5339" s="28" t="s">
        <v>25561</v>
      </c>
      <c r="O5339" s="28" t="s">
        <v>25562</v>
      </c>
      <c r="P5339" s="28" t="s">
        <v>26657</v>
      </c>
    </row>
    <row r="5340" spans="1:16" x14ac:dyDescent="0.25">
      <c r="A5340" s="28" t="s">
        <v>26658</v>
      </c>
      <c r="B5340" s="28" t="s">
        <v>26659</v>
      </c>
      <c r="C5340" s="28" t="s">
        <v>1779</v>
      </c>
      <c r="D5340" s="28" t="s">
        <v>120</v>
      </c>
      <c r="E5340" s="28" t="s">
        <v>18662</v>
      </c>
      <c r="F5340" s="28" t="s">
        <v>21</v>
      </c>
      <c r="G5340" s="28" t="s">
        <v>25396</v>
      </c>
      <c r="H5340" s="28" t="s">
        <v>25556</v>
      </c>
      <c r="I5340" s="28" t="s">
        <v>26660</v>
      </c>
      <c r="J5340" s="28" t="s">
        <v>25396</v>
      </c>
      <c r="K5340" s="28" t="s">
        <v>25558</v>
      </c>
      <c r="L5340" s="28" t="s">
        <v>25559</v>
      </c>
      <c r="M5340" s="28" t="s">
        <v>26661</v>
      </c>
      <c r="N5340" s="28" t="s">
        <v>25561</v>
      </c>
      <c r="O5340" s="28" t="s">
        <v>25562</v>
      </c>
      <c r="P5340" s="28" t="s">
        <v>26662</v>
      </c>
    </row>
    <row r="5341" spans="1:16" x14ac:dyDescent="0.25">
      <c r="A5341" s="28" t="s">
        <v>26663</v>
      </c>
      <c r="B5341" s="28" t="s">
        <v>26664</v>
      </c>
      <c r="C5341" s="28" t="s">
        <v>1779</v>
      </c>
      <c r="D5341" s="28" t="s">
        <v>120</v>
      </c>
      <c r="E5341" s="28" t="s">
        <v>18672</v>
      </c>
      <c r="F5341" s="28" t="s">
        <v>21</v>
      </c>
      <c r="G5341" s="28" t="s">
        <v>25396</v>
      </c>
      <c r="H5341" s="28" t="s">
        <v>25556</v>
      </c>
      <c r="I5341" s="28" t="s">
        <v>26665</v>
      </c>
      <c r="J5341" s="28" t="s">
        <v>25396</v>
      </c>
      <c r="K5341" s="28" t="s">
        <v>25558</v>
      </c>
      <c r="L5341" s="28" t="s">
        <v>25559</v>
      </c>
      <c r="M5341" s="28" t="s">
        <v>26666</v>
      </c>
      <c r="N5341" s="28" t="s">
        <v>25561</v>
      </c>
      <c r="O5341" s="28" t="s">
        <v>25562</v>
      </c>
      <c r="P5341" s="28" t="s">
        <v>26667</v>
      </c>
    </row>
    <row r="5342" spans="1:16" x14ac:dyDescent="0.25">
      <c r="A5342" s="28" t="s">
        <v>26668</v>
      </c>
      <c r="B5342" s="28" t="s">
        <v>26669</v>
      </c>
      <c r="C5342" s="28" t="s">
        <v>1779</v>
      </c>
      <c r="D5342" s="28" t="s">
        <v>120</v>
      </c>
      <c r="E5342" s="28" t="s">
        <v>18682</v>
      </c>
      <c r="F5342" s="28" t="s">
        <v>21</v>
      </c>
      <c r="G5342" s="28" t="s">
        <v>25396</v>
      </c>
      <c r="H5342" s="28" t="s">
        <v>25556</v>
      </c>
      <c r="I5342" s="28" t="s">
        <v>26670</v>
      </c>
      <c r="J5342" s="28" t="s">
        <v>25396</v>
      </c>
      <c r="K5342" s="28" t="s">
        <v>25558</v>
      </c>
      <c r="L5342" s="28" t="s">
        <v>25559</v>
      </c>
      <c r="M5342" s="28" t="s">
        <v>26671</v>
      </c>
      <c r="N5342" s="28" t="s">
        <v>25561</v>
      </c>
      <c r="O5342" s="28" t="s">
        <v>25562</v>
      </c>
      <c r="P5342" s="28" t="s">
        <v>26672</v>
      </c>
    </row>
    <row r="5343" spans="1:16" x14ac:dyDescent="0.25">
      <c r="A5343" s="28" t="s">
        <v>26673</v>
      </c>
      <c r="B5343" s="28" t="s">
        <v>26674</v>
      </c>
      <c r="C5343" s="28" t="s">
        <v>1779</v>
      </c>
      <c r="D5343" s="28" t="s">
        <v>120</v>
      </c>
      <c r="E5343" s="28" t="s">
        <v>18702</v>
      </c>
      <c r="F5343" s="28" t="s">
        <v>21</v>
      </c>
      <c r="G5343" s="28" t="s">
        <v>25396</v>
      </c>
      <c r="H5343" s="28" t="s">
        <v>25556</v>
      </c>
      <c r="I5343" s="28" t="s">
        <v>26675</v>
      </c>
      <c r="J5343" s="28" t="s">
        <v>25396</v>
      </c>
      <c r="K5343" s="28" t="s">
        <v>25558</v>
      </c>
      <c r="L5343" s="28" t="s">
        <v>25559</v>
      </c>
      <c r="M5343" s="28" t="s">
        <v>26676</v>
      </c>
      <c r="N5343" s="28" t="s">
        <v>25561</v>
      </c>
      <c r="O5343" s="28" t="s">
        <v>25562</v>
      </c>
      <c r="P5343" s="28" t="s">
        <v>26677</v>
      </c>
    </row>
    <row r="5344" spans="1:16" x14ac:dyDescent="0.25">
      <c r="A5344" s="28" t="s">
        <v>26678</v>
      </c>
      <c r="B5344" s="28" t="s">
        <v>26679</v>
      </c>
      <c r="C5344" s="28" t="s">
        <v>1779</v>
      </c>
      <c r="D5344" s="28" t="s">
        <v>120</v>
      </c>
      <c r="E5344" s="28" t="s">
        <v>18712</v>
      </c>
      <c r="F5344" s="28" t="s">
        <v>21</v>
      </c>
      <c r="G5344" s="28" t="s">
        <v>25396</v>
      </c>
      <c r="H5344" s="28" t="s">
        <v>25556</v>
      </c>
      <c r="I5344" s="28" t="s">
        <v>26680</v>
      </c>
      <c r="J5344" s="28" t="s">
        <v>25396</v>
      </c>
      <c r="K5344" s="28" t="s">
        <v>25558</v>
      </c>
      <c r="L5344" s="28" t="s">
        <v>25559</v>
      </c>
      <c r="M5344" s="28" t="s">
        <v>26681</v>
      </c>
      <c r="N5344" s="28" t="s">
        <v>25561</v>
      </c>
      <c r="O5344" s="28" t="s">
        <v>25562</v>
      </c>
      <c r="P5344" s="28" t="s">
        <v>26682</v>
      </c>
    </row>
    <row r="5345" spans="1:16" x14ac:dyDescent="0.25">
      <c r="A5345" s="28" t="s">
        <v>26683</v>
      </c>
      <c r="B5345" s="28" t="s">
        <v>26684</v>
      </c>
      <c r="C5345" s="28" t="s">
        <v>1779</v>
      </c>
      <c r="D5345" s="28" t="s">
        <v>120</v>
      </c>
      <c r="E5345" s="28" t="s">
        <v>5925</v>
      </c>
      <c r="F5345" s="28" t="s">
        <v>21</v>
      </c>
      <c r="G5345" s="28" t="s">
        <v>25396</v>
      </c>
      <c r="H5345" s="28" t="s">
        <v>25556</v>
      </c>
      <c r="I5345" s="28" t="s">
        <v>26685</v>
      </c>
      <c r="J5345" s="28" t="s">
        <v>25396</v>
      </c>
      <c r="K5345" s="28" t="s">
        <v>25558</v>
      </c>
      <c r="L5345" s="28" t="s">
        <v>25559</v>
      </c>
      <c r="M5345" s="28" t="s">
        <v>26153</v>
      </c>
      <c r="N5345" s="28" t="s">
        <v>25561</v>
      </c>
      <c r="O5345" s="28" t="s">
        <v>25562</v>
      </c>
      <c r="P5345" s="28" t="s">
        <v>26686</v>
      </c>
    </row>
    <row r="5346" spans="1:16" x14ac:dyDescent="0.25">
      <c r="A5346" s="28" t="s">
        <v>26687</v>
      </c>
      <c r="B5346" s="28" t="s">
        <v>26688</v>
      </c>
      <c r="C5346" s="28" t="s">
        <v>1779</v>
      </c>
      <c r="D5346" s="28" t="s">
        <v>120</v>
      </c>
      <c r="E5346" s="28" t="s">
        <v>18742</v>
      </c>
      <c r="F5346" s="28" t="s">
        <v>21</v>
      </c>
      <c r="G5346" s="28" t="s">
        <v>25396</v>
      </c>
      <c r="H5346" s="28" t="s">
        <v>25556</v>
      </c>
      <c r="I5346" s="28" t="s">
        <v>26689</v>
      </c>
      <c r="J5346" s="28" t="s">
        <v>25396</v>
      </c>
      <c r="K5346" s="28" t="s">
        <v>25558</v>
      </c>
      <c r="L5346" s="28" t="s">
        <v>25559</v>
      </c>
      <c r="M5346" s="28" t="s">
        <v>26690</v>
      </c>
      <c r="N5346" s="28" t="s">
        <v>25561</v>
      </c>
      <c r="O5346" s="28" t="s">
        <v>25562</v>
      </c>
      <c r="P5346" s="28" t="s">
        <v>26691</v>
      </c>
    </row>
    <row r="5347" spans="1:16" x14ac:dyDescent="0.25">
      <c r="A5347" s="28" t="s">
        <v>26692</v>
      </c>
      <c r="B5347" s="28" t="s">
        <v>26693</v>
      </c>
      <c r="C5347" s="28" t="s">
        <v>1779</v>
      </c>
      <c r="D5347" s="28" t="s">
        <v>120</v>
      </c>
      <c r="E5347" s="28" t="s">
        <v>18756</v>
      </c>
      <c r="F5347" s="28" t="s">
        <v>21</v>
      </c>
      <c r="G5347" s="28" t="s">
        <v>25396</v>
      </c>
      <c r="H5347" s="28" t="s">
        <v>25556</v>
      </c>
      <c r="I5347" s="28" t="s">
        <v>26694</v>
      </c>
      <c r="J5347" s="28" t="s">
        <v>25396</v>
      </c>
      <c r="K5347" s="28" t="s">
        <v>25558</v>
      </c>
      <c r="L5347" s="28" t="s">
        <v>25559</v>
      </c>
      <c r="M5347" s="28" t="s">
        <v>26695</v>
      </c>
      <c r="N5347" s="28" t="s">
        <v>25561</v>
      </c>
      <c r="O5347" s="28" t="s">
        <v>25562</v>
      </c>
      <c r="P5347" s="28" t="s">
        <v>26696</v>
      </c>
    </row>
    <row r="5348" spans="1:16" x14ac:dyDescent="0.25">
      <c r="A5348" s="28" t="s">
        <v>26697</v>
      </c>
      <c r="B5348" s="28" t="s">
        <v>26698</v>
      </c>
      <c r="C5348" s="28" t="s">
        <v>1779</v>
      </c>
      <c r="D5348" s="28" t="s">
        <v>120</v>
      </c>
      <c r="E5348" s="28" t="s">
        <v>18766</v>
      </c>
      <c r="F5348" s="28" t="s">
        <v>21</v>
      </c>
      <c r="G5348" s="28" t="s">
        <v>25396</v>
      </c>
      <c r="H5348" s="28" t="s">
        <v>25556</v>
      </c>
      <c r="I5348" s="28" t="s">
        <v>26699</v>
      </c>
      <c r="J5348" s="28" t="s">
        <v>25396</v>
      </c>
      <c r="K5348" s="28" t="s">
        <v>25558</v>
      </c>
      <c r="L5348" s="28" t="s">
        <v>25559</v>
      </c>
      <c r="M5348" s="28" t="s">
        <v>26700</v>
      </c>
      <c r="N5348" s="28" t="s">
        <v>25561</v>
      </c>
      <c r="O5348" s="28" t="s">
        <v>25562</v>
      </c>
      <c r="P5348" s="28" t="s">
        <v>26701</v>
      </c>
    </row>
    <row r="5349" spans="1:16" x14ac:dyDescent="0.25">
      <c r="A5349" s="28" t="s">
        <v>26702</v>
      </c>
      <c r="B5349" s="28" t="s">
        <v>26703</v>
      </c>
      <c r="C5349" s="28" t="s">
        <v>1779</v>
      </c>
      <c r="D5349" s="28" t="s">
        <v>120</v>
      </c>
      <c r="E5349" s="28" t="s">
        <v>18776</v>
      </c>
      <c r="F5349" s="28" t="s">
        <v>21</v>
      </c>
      <c r="G5349" s="28" t="s">
        <v>25396</v>
      </c>
      <c r="H5349" s="28" t="s">
        <v>25556</v>
      </c>
      <c r="I5349" s="28" t="s">
        <v>26704</v>
      </c>
      <c r="J5349" s="28" t="s">
        <v>25396</v>
      </c>
      <c r="K5349" s="28" t="s">
        <v>25558</v>
      </c>
      <c r="L5349" s="28" t="s">
        <v>25559</v>
      </c>
      <c r="M5349" s="28" t="s">
        <v>26705</v>
      </c>
      <c r="N5349" s="28" t="s">
        <v>25561</v>
      </c>
      <c r="O5349" s="28" t="s">
        <v>25562</v>
      </c>
      <c r="P5349" s="28" t="s">
        <v>26706</v>
      </c>
    </row>
    <row r="5350" spans="1:16" x14ac:dyDescent="0.25">
      <c r="A5350" s="28" t="s">
        <v>26707</v>
      </c>
      <c r="B5350" s="28" t="s">
        <v>26708</v>
      </c>
      <c r="C5350" s="28" t="s">
        <v>1779</v>
      </c>
      <c r="D5350" s="28" t="s">
        <v>120</v>
      </c>
      <c r="E5350" s="28" t="s">
        <v>18790</v>
      </c>
      <c r="F5350" s="28" t="s">
        <v>21</v>
      </c>
      <c r="G5350" s="28" t="s">
        <v>25396</v>
      </c>
      <c r="H5350" s="28" t="s">
        <v>25556</v>
      </c>
      <c r="I5350" s="28" t="s">
        <v>26709</v>
      </c>
      <c r="J5350" s="28" t="s">
        <v>25396</v>
      </c>
      <c r="K5350" s="28" t="s">
        <v>25558</v>
      </c>
      <c r="L5350" s="28" t="s">
        <v>25559</v>
      </c>
      <c r="M5350" s="28" t="s">
        <v>26710</v>
      </c>
      <c r="N5350" s="28" t="s">
        <v>25561</v>
      </c>
      <c r="O5350" s="28" t="s">
        <v>25562</v>
      </c>
      <c r="P5350" s="28" t="s">
        <v>26711</v>
      </c>
    </row>
    <row r="5351" spans="1:16" x14ac:dyDescent="0.25">
      <c r="A5351" s="28" t="s">
        <v>26712</v>
      </c>
      <c r="B5351" s="28" t="s">
        <v>26713</v>
      </c>
      <c r="C5351" s="28" t="s">
        <v>1779</v>
      </c>
      <c r="D5351" s="28" t="s">
        <v>120</v>
      </c>
      <c r="E5351" s="28" t="s">
        <v>18800</v>
      </c>
      <c r="F5351" s="28" t="s">
        <v>21</v>
      </c>
      <c r="G5351" s="28" t="s">
        <v>25396</v>
      </c>
      <c r="H5351" s="28" t="s">
        <v>25556</v>
      </c>
      <c r="I5351" s="28" t="s">
        <v>26714</v>
      </c>
      <c r="J5351" s="28" t="s">
        <v>25396</v>
      </c>
      <c r="K5351" s="28" t="s">
        <v>25558</v>
      </c>
      <c r="L5351" s="28" t="s">
        <v>25559</v>
      </c>
      <c r="M5351" s="28" t="s">
        <v>26715</v>
      </c>
      <c r="N5351" s="28" t="s">
        <v>25561</v>
      </c>
      <c r="O5351" s="28" t="s">
        <v>25562</v>
      </c>
      <c r="P5351" s="28" t="s">
        <v>26716</v>
      </c>
    </row>
    <row r="5352" spans="1:16" x14ac:dyDescent="0.25">
      <c r="A5352" s="28" t="s">
        <v>26717</v>
      </c>
      <c r="B5352" s="28" t="s">
        <v>26718</v>
      </c>
      <c r="C5352" s="28" t="s">
        <v>1779</v>
      </c>
      <c r="D5352" s="28" t="s">
        <v>120</v>
      </c>
      <c r="E5352" s="28" t="s">
        <v>25450</v>
      </c>
      <c r="F5352" s="28" t="s">
        <v>21</v>
      </c>
      <c r="G5352" s="28" t="s">
        <v>25396</v>
      </c>
      <c r="H5352" s="28" t="s">
        <v>25556</v>
      </c>
      <c r="I5352" s="28" t="s">
        <v>26719</v>
      </c>
      <c r="J5352" s="28" t="s">
        <v>25396</v>
      </c>
      <c r="K5352" s="28" t="s">
        <v>25558</v>
      </c>
      <c r="L5352" s="28" t="s">
        <v>25559</v>
      </c>
      <c r="M5352" s="28" t="s">
        <v>26720</v>
      </c>
      <c r="N5352" s="28" t="s">
        <v>25561</v>
      </c>
      <c r="O5352" s="28" t="s">
        <v>25562</v>
      </c>
      <c r="P5352" s="28" t="s">
        <v>26721</v>
      </c>
    </row>
    <row r="5353" spans="1:16" x14ac:dyDescent="0.25">
      <c r="A5353" s="28" t="s">
        <v>26722</v>
      </c>
      <c r="B5353" s="28" t="s">
        <v>26723</v>
      </c>
      <c r="C5353" s="28" t="s">
        <v>1779</v>
      </c>
      <c r="D5353" s="28" t="s">
        <v>120</v>
      </c>
      <c r="E5353" s="28" t="s">
        <v>18810</v>
      </c>
      <c r="F5353" s="28" t="s">
        <v>21</v>
      </c>
      <c r="G5353" s="28" t="s">
        <v>25396</v>
      </c>
      <c r="H5353" s="28" t="s">
        <v>25556</v>
      </c>
      <c r="I5353" s="28" t="s">
        <v>26724</v>
      </c>
      <c r="J5353" s="28" t="s">
        <v>25396</v>
      </c>
      <c r="K5353" s="28" t="s">
        <v>25558</v>
      </c>
      <c r="L5353" s="28" t="s">
        <v>25559</v>
      </c>
      <c r="M5353" s="28" t="s">
        <v>26725</v>
      </c>
      <c r="N5353" s="28" t="s">
        <v>25561</v>
      </c>
      <c r="O5353" s="28" t="s">
        <v>25562</v>
      </c>
      <c r="P5353" s="28" t="s">
        <v>26726</v>
      </c>
    </row>
    <row r="5354" spans="1:16" x14ac:dyDescent="0.25">
      <c r="A5354" s="28" t="s">
        <v>26727</v>
      </c>
      <c r="B5354" s="28" t="s">
        <v>26728</v>
      </c>
      <c r="C5354" s="28" t="s">
        <v>1779</v>
      </c>
      <c r="D5354" s="28" t="s">
        <v>120</v>
      </c>
      <c r="E5354" s="28" t="s">
        <v>18820</v>
      </c>
      <c r="F5354" s="28" t="s">
        <v>21</v>
      </c>
      <c r="G5354" s="28" t="s">
        <v>25396</v>
      </c>
      <c r="H5354" s="28" t="s">
        <v>25556</v>
      </c>
      <c r="I5354" s="28" t="s">
        <v>26729</v>
      </c>
      <c r="J5354" s="28" t="s">
        <v>25396</v>
      </c>
      <c r="K5354" s="28" t="s">
        <v>25558</v>
      </c>
      <c r="L5354" s="28" t="s">
        <v>25559</v>
      </c>
      <c r="M5354" s="28" t="s">
        <v>26730</v>
      </c>
      <c r="N5354" s="28" t="s">
        <v>25561</v>
      </c>
      <c r="O5354" s="28" t="s">
        <v>25562</v>
      </c>
      <c r="P5354" s="28" t="s">
        <v>26731</v>
      </c>
    </row>
    <row r="5355" spans="1:16" x14ac:dyDescent="0.25">
      <c r="A5355" s="28" t="s">
        <v>26732</v>
      </c>
      <c r="B5355" s="28" t="s">
        <v>26733</v>
      </c>
      <c r="C5355" s="28" t="s">
        <v>1779</v>
      </c>
      <c r="D5355" s="28" t="s">
        <v>120</v>
      </c>
      <c r="E5355" s="28" t="s">
        <v>18834</v>
      </c>
      <c r="F5355" s="28" t="s">
        <v>21</v>
      </c>
      <c r="G5355" s="28" t="s">
        <v>25396</v>
      </c>
      <c r="H5355" s="28" t="s">
        <v>25556</v>
      </c>
      <c r="I5355" s="28" t="s">
        <v>26734</v>
      </c>
      <c r="J5355" s="28" t="s">
        <v>25396</v>
      </c>
      <c r="K5355" s="28" t="s">
        <v>25558</v>
      </c>
      <c r="L5355" s="28" t="s">
        <v>25559</v>
      </c>
      <c r="M5355" s="28" t="s">
        <v>26735</v>
      </c>
      <c r="N5355" s="28" t="s">
        <v>25561</v>
      </c>
      <c r="O5355" s="28" t="s">
        <v>25562</v>
      </c>
      <c r="P5355" s="28" t="s">
        <v>26736</v>
      </c>
    </row>
    <row r="5356" spans="1:16" x14ac:dyDescent="0.25">
      <c r="A5356" s="28" t="s">
        <v>26737</v>
      </c>
      <c r="B5356" s="28" t="s">
        <v>26738</v>
      </c>
      <c r="C5356" s="28" t="s">
        <v>1779</v>
      </c>
      <c r="D5356" s="28" t="s">
        <v>120</v>
      </c>
      <c r="E5356" s="28" t="s">
        <v>26739</v>
      </c>
      <c r="F5356" s="28" t="s">
        <v>21</v>
      </c>
      <c r="G5356" s="28" t="s">
        <v>25396</v>
      </c>
      <c r="H5356" s="28" t="s">
        <v>25556</v>
      </c>
      <c r="I5356" s="28" t="s">
        <v>26740</v>
      </c>
      <c r="J5356" s="28" t="s">
        <v>25396</v>
      </c>
      <c r="K5356" s="28" t="s">
        <v>25558</v>
      </c>
      <c r="L5356" s="28" t="s">
        <v>25559</v>
      </c>
      <c r="M5356" s="28" t="s">
        <v>26741</v>
      </c>
      <c r="N5356" s="28" t="s">
        <v>25561</v>
      </c>
      <c r="O5356" s="28" t="s">
        <v>25562</v>
      </c>
      <c r="P5356" s="28" t="s">
        <v>26742</v>
      </c>
    </row>
    <row r="5357" spans="1:16" x14ac:dyDescent="0.25">
      <c r="A5357" s="28" t="s">
        <v>26743</v>
      </c>
      <c r="B5357" s="28" t="s">
        <v>26744</v>
      </c>
      <c r="C5357" s="28" t="s">
        <v>1779</v>
      </c>
      <c r="D5357" s="28" t="s">
        <v>120</v>
      </c>
      <c r="E5357" s="28" t="s">
        <v>18848</v>
      </c>
      <c r="F5357" s="28" t="s">
        <v>21</v>
      </c>
      <c r="G5357" s="28" t="s">
        <v>25396</v>
      </c>
      <c r="H5357" s="28" t="s">
        <v>25556</v>
      </c>
      <c r="I5357" s="28" t="s">
        <v>26745</v>
      </c>
      <c r="J5357" s="28" t="s">
        <v>25396</v>
      </c>
      <c r="K5357" s="28" t="s">
        <v>25558</v>
      </c>
      <c r="L5357" s="28" t="s">
        <v>25559</v>
      </c>
      <c r="M5357" s="28" t="s">
        <v>26746</v>
      </c>
      <c r="N5357" s="28" t="s">
        <v>25561</v>
      </c>
      <c r="O5357" s="28" t="s">
        <v>25562</v>
      </c>
      <c r="P5357" s="28" t="s">
        <v>26747</v>
      </c>
    </row>
    <row r="5358" spans="1:16" x14ac:dyDescent="0.25">
      <c r="A5358" s="28" t="s">
        <v>26748</v>
      </c>
      <c r="B5358" s="28" t="s">
        <v>26749</v>
      </c>
      <c r="C5358" s="28" t="s">
        <v>1779</v>
      </c>
      <c r="D5358" s="28" t="s">
        <v>120</v>
      </c>
      <c r="E5358" s="28" t="s">
        <v>18862</v>
      </c>
      <c r="F5358" s="28" t="s">
        <v>21</v>
      </c>
      <c r="G5358" s="28" t="s">
        <v>25396</v>
      </c>
      <c r="H5358" s="28" t="s">
        <v>25556</v>
      </c>
      <c r="I5358" s="28" t="s">
        <v>26750</v>
      </c>
      <c r="J5358" s="28" t="s">
        <v>25396</v>
      </c>
      <c r="K5358" s="28" t="s">
        <v>25558</v>
      </c>
      <c r="L5358" s="28" t="s">
        <v>25559</v>
      </c>
      <c r="M5358" s="28" t="s">
        <v>26751</v>
      </c>
      <c r="N5358" s="28" t="s">
        <v>25561</v>
      </c>
      <c r="O5358" s="28" t="s">
        <v>25562</v>
      </c>
      <c r="P5358" s="28" t="s">
        <v>26752</v>
      </c>
    </row>
    <row r="5359" spans="1:16" x14ac:dyDescent="0.25">
      <c r="A5359" s="28" t="s">
        <v>26753</v>
      </c>
      <c r="B5359" s="28" t="s">
        <v>26754</v>
      </c>
      <c r="C5359" s="28" t="s">
        <v>1779</v>
      </c>
      <c r="D5359" s="28" t="s">
        <v>120</v>
      </c>
      <c r="E5359" s="28" t="s">
        <v>18882</v>
      </c>
      <c r="F5359" s="28" t="s">
        <v>21</v>
      </c>
      <c r="G5359" s="28" t="s">
        <v>25396</v>
      </c>
      <c r="H5359" s="28" t="s">
        <v>25556</v>
      </c>
      <c r="I5359" s="28" t="s">
        <v>26755</v>
      </c>
      <c r="J5359" s="28" t="s">
        <v>25396</v>
      </c>
      <c r="K5359" s="28" t="s">
        <v>25558</v>
      </c>
      <c r="L5359" s="28" t="s">
        <v>25559</v>
      </c>
      <c r="M5359" s="28" t="s">
        <v>26756</v>
      </c>
      <c r="N5359" s="28" t="s">
        <v>25561</v>
      </c>
      <c r="O5359" s="28" t="s">
        <v>25562</v>
      </c>
      <c r="P5359" s="28" t="s">
        <v>26757</v>
      </c>
    </row>
    <row r="5360" spans="1:16" x14ac:dyDescent="0.25">
      <c r="A5360" s="28" t="s">
        <v>26758</v>
      </c>
      <c r="B5360" s="28" t="s">
        <v>26759</v>
      </c>
      <c r="C5360" s="28" t="s">
        <v>1779</v>
      </c>
      <c r="D5360" s="28" t="s">
        <v>120</v>
      </c>
      <c r="E5360" s="28" t="s">
        <v>18896</v>
      </c>
      <c r="F5360" s="28" t="s">
        <v>21</v>
      </c>
      <c r="G5360" s="28" t="s">
        <v>25396</v>
      </c>
      <c r="H5360" s="28" t="s">
        <v>25556</v>
      </c>
      <c r="I5360" s="28" t="s">
        <v>26760</v>
      </c>
      <c r="J5360" s="28" t="s">
        <v>25396</v>
      </c>
      <c r="K5360" s="28" t="s">
        <v>25558</v>
      </c>
      <c r="L5360" s="28" t="s">
        <v>25559</v>
      </c>
      <c r="M5360" s="28" t="s">
        <v>26761</v>
      </c>
      <c r="N5360" s="28" t="s">
        <v>25561</v>
      </c>
      <c r="O5360" s="28" t="s">
        <v>25562</v>
      </c>
      <c r="P5360" s="28" t="s">
        <v>26762</v>
      </c>
    </row>
    <row r="5361" spans="1:16" x14ac:dyDescent="0.25">
      <c r="A5361" s="28" t="s">
        <v>26763</v>
      </c>
      <c r="B5361" s="28" t="s">
        <v>26764</v>
      </c>
      <c r="C5361" s="28" t="s">
        <v>1779</v>
      </c>
      <c r="D5361" s="28" t="s">
        <v>120</v>
      </c>
      <c r="E5361" s="28" t="s">
        <v>18920</v>
      </c>
      <c r="F5361" s="28" t="s">
        <v>21</v>
      </c>
      <c r="G5361" s="28" t="s">
        <v>25396</v>
      </c>
      <c r="H5361" s="28" t="s">
        <v>25556</v>
      </c>
      <c r="I5361" s="28" t="s">
        <v>26765</v>
      </c>
      <c r="J5361" s="28" t="s">
        <v>25396</v>
      </c>
      <c r="K5361" s="28" t="s">
        <v>25558</v>
      </c>
      <c r="L5361" s="28" t="s">
        <v>25559</v>
      </c>
      <c r="M5361" s="28" t="s">
        <v>26766</v>
      </c>
      <c r="N5361" s="28" t="s">
        <v>25561</v>
      </c>
      <c r="O5361" s="28" t="s">
        <v>25562</v>
      </c>
      <c r="P5361" s="28" t="s">
        <v>26767</v>
      </c>
    </row>
    <row r="5362" spans="1:16" x14ac:dyDescent="0.25">
      <c r="A5362" s="28" t="s">
        <v>26768</v>
      </c>
      <c r="B5362" s="28" t="s">
        <v>26769</v>
      </c>
      <c r="C5362" s="28" t="s">
        <v>1779</v>
      </c>
      <c r="D5362" s="28" t="s">
        <v>120</v>
      </c>
      <c r="E5362" s="28" t="s">
        <v>18934</v>
      </c>
      <c r="F5362" s="28" t="s">
        <v>21</v>
      </c>
      <c r="G5362" s="28" t="s">
        <v>25396</v>
      </c>
      <c r="H5362" s="28" t="s">
        <v>25556</v>
      </c>
      <c r="I5362" s="28" t="s">
        <v>26770</v>
      </c>
      <c r="J5362" s="28" t="s">
        <v>25396</v>
      </c>
      <c r="K5362" s="28" t="s">
        <v>25558</v>
      </c>
      <c r="L5362" s="28" t="s">
        <v>25559</v>
      </c>
      <c r="M5362" s="28" t="s">
        <v>26771</v>
      </c>
      <c r="N5362" s="28" t="s">
        <v>25561</v>
      </c>
      <c r="O5362" s="28" t="s">
        <v>25562</v>
      </c>
      <c r="P5362" s="28" t="s">
        <v>26772</v>
      </c>
    </row>
    <row r="5363" spans="1:16" x14ac:dyDescent="0.25">
      <c r="A5363" s="28" t="s">
        <v>26773</v>
      </c>
      <c r="B5363" s="28" t="s">
        <v>26774</v>
      </c>
      <c r="C5363" s="28" t="s">
        <v>1779</v>
      </c>
      <c r="D5363" s="28" t="s">
        <v>5328</v>
      </c>
      <c r="E5363" s="28" t="s">
        <v>26179</v>
      </c>
      <c r="F5363" s="28" t="s">
        <v>21</v>
      </c>
      <c r="G5363" s="28" t="s">
        <v>25396</v>
      </c>
      <c r="H5363" s="28" t="s">
        <v>25556</v>
      </c>
      <c r="I5363" s="28" t="s">
        <v>26775</v>
      </c>
      <c r="J5363" s="28" t="s">
        <v>25396</v>
      </c>
      <c r="K5363" s="28" t="s">
        <v>25558</v>
      </c>
      <c r="L5363" s="28" t="s">
        <v>25559</v>
      </c>
      <c r="M5363" s="28" t="s">
        <v>26181</v>
      </c>
      <c r="N5363" s="28" t="s">
        <v>25561</v>
      </c>
      <c r="O5363" s="28" t="s">
        <v>25562</v>
      </c>
      <c r="P5363" s="28" t="s">
        <v>26776</v>
      </c>
    </row>
    <row r="5364" spans="1:16" x14ac:dyDescent="0.25">
      <c r="A5364" s="28" t="s">
        <v>26777</v>
      </c>
      <c r="B5364" s="28" t="s">
        <v>26778</v>
      </c>
      <c r="C5364" s="28" t="s">
        <v>1779</v>
      </c>
      <c r="D5364" s="28" t="s">
        <v>5328</v>
      </c>
      <c r="E5364" s="28" t="s">
        <v>2668</v>
      </c>
      <c r="F5364" s="28" t="s">
        <v>21</v>
      </c>
      <c r="G5364" s="28" t="s">
        <v>25396</v>
      </c>
      <c r="H5364" s="28" t="s">
        <v>25556</v>
      </c>
      <c r="I5364" s="28" t="s">
        <v>26779</v>
      </c>
      <c r="J5364" s="28" t="s">
        <v>25396</v>
      </c>
      <c r="K5364" s="28" t="s">
        <v>25558</v>
      </c>
      <c r="L5364" s="28" t="s">
        <v>25559</v>
      </c>
      <c r="M5364" s="28" t="s">
        <v>26186</v>
      </c>
      <c r="N5364" s="28" t="s">
        <v>25561</v>
      </c>
      <c r="O5364" s="28" t="s">
        <v>25562</v>
      </c>
      <c r="P5364" s="28" t="s">
        <v>26780</v>
      </c>
    </row>
    <row r="5365" spans="1:16" x14ac:dyDescent="0.25">
      <c r="A5365" s="28" t="s">
        <v>26781</v>
      </c>
      <c r="B5365" s="28" t="s">
        <v>26782</v>
      </c>
      <c r="C5365" s="28" t="s">
        <v>1779</v>
      </c>
      <c r="D5365" s="28" t="s">
        <v>5328</v>
      </c>
      <c r="E5365" s="28" t="s">
        <v>26190</v>
      </c>
      <c r="F5365" s="28" t="s">
        <v>21</v>
      </c>
      <c r="G5365" s="28" t="s">
        <v>25396</v>
      </c>
      <c r="H5365" s="28" t="s">
        <v>25556</v>
      </c>
      <c r="I5365" s="28" t="s">
        <v>26783</v>
      </c>
      <c r="J5365" s="28" t="s">
        <v>25396</v>
      </c>
      <c r="K5365" s="28" t="s">
        <v>25558</v>
      </c>
      <c r="L5365" s="28" t="s">
        <v>25559</v>
      </c>
      <c r="M5365" s="28" t="s">
        <v>26192</v>
      </c>
      <c r="N5365" s="28" t="s">
        <v>25561</v>
      </c>
      <c r="O5365" s="28" t="s">
        <v>25562</v>
      </c>
      <c r="P5365" s="28" t="s">
        <v>26784</v>
      </c>
    </row>
    <row r="5366" spans="1:16" x14ac:dyDescent="0.25">
      <c r="A5366" s="28" t="s">
        <v>26785</v>
      </c>
      <c r="B5366" s="28" t="s">
        <v>26786</v>
      </c>
      <c r="C5366" s="28" t="s">
        <v>1779</v>
      </c>
      <c r="D5366" s="28" t="s">
        <v>5328</v>
      </c>
      <c r="E5366" s="28" t="s">
        <v>2673</v>
      </c>
      <c r="F5366" s="28" t="s">
        <v>21</v>
      </c>
      <c r="G5366" s="28" t="s">
        <v>25396</v>
      </c>
      <c r="H5366" s="28" t="s">
        <v>25556</v>
      </c>
      <c r="I5366" s="28" t="s">
        <v>26787</v>
      </c>
      <c r="J5366" s="28" t="s">
        <v>25396</v>
      </c>
      <c r="K5366" s="28" t="s">
        <v>25558</v>
      </c>
      <c r="L5366" s="28" t="s">
        <v>25559</v>
      </c>
      <c r="M5366" s="28" t="s">
        <v>26197</v>
      </c>
      <c r="N5366" s="28" t="s">
        <v>25561</v>
      </c>
      <c r="O5366" s="28" t="s">
        <v>25562</v>
      </c>
      <c r="P5366" s="28" t="s">
        <v>26788</v>
      </c>
    </row>
    <row r="5367" spans="1:16" x14ac:dyDescent="0.25">
      <c r="A5367" s="28" t="s">
        <v>26789</v>
      </c>
      <c r="B5367" s="28" t="s">
        <v>26790</v>
      </c>
      <c r="C5367" s="28" t="s">
        <v>1779</v>
      </c>
      <c r="D5367" s="28" t="s">
        <v>5328</v>
      </c>
      <c r="E5367" s="28" t="s">
        <v>26201</v>
      </c>
      <c r="F5367" s="28" t="s">
        <v>21</v>
      </c>
      <c r="G5367" s="28" t="s">
        <v>25396</v>
      </c>
      <c r="H5367" s="28" t="s">
        <v>25556</v>
      </c>
      <c r="I5367" s="28" t="s">
        <v>26791</v>
      </c>
      <c r="J5367" s="28" t="s">
        <v>25396</v>
      </c>
      <c r="K5367" s="28" t="s">
        <v>25558</v>
      </c>
      <c r="L5367" s="28" t="s">
        <v>25559</v>
      </c>
      <c r="M5367" s="28" t="s">
        <v>26203</v>
      </c>
      <c r="N5367" s="28" t="s">
        <v>25561</v>
      </c>
      <c r="O5367" s="28" t="s">
        <v>25562</v>
      </c>
      <c r="P5367" s="28" t="s">
        <v>26792</v>
      </c>
    </row>
    <row r="5368" spans="1:16" x14ac:dyDescent="0.25">
      <c r="A5368" s="28" t="s">
        <v>26793</v>
      </c>
      <c r="B5368" s="28" t="s">
        <v>26794</v>
      </c>
      <c r="C5368" s="28" t="s">
        <v>1779</v>
      </c>
      <c r="D5368" s="28" t="s">
        <v>5328</v>
      </c>
      <c r="E5368" s="28" t="s">
        <v>2695</v>
      </c>
      <c r="F5368" s="28" t="s">
        <v>21</v>
      </c>
      <c r="G5368" s="28" t="s">
        <v>25396</v>
      </c>
      <c r="H5368" s="28" t="s">
        <v>25556</v>
      </c>
      <c r="I5368" s="28" t="s">
        <v>26795</v>
      </c>
      <c r="J5368" s="28" t="s">
        <v>25396</v>
      </c>
      <c r="K5368" s="28" t="s">
        <v>25558</v>
      </c>
      <c r="L5368" s="28" t="s">
        <v>25559</v>
      </c>
      <c r="M5368" s="28" t="s">
        <v>26208</v>
      </c>
      <c r="N5368" s="28" t="s">
        <v>25561</v>
      </c>
      <c r="O5368" s="28" t="s">
        <v>25562</v>
      </c>
      <c r="P5368" s="28" t="s">
        <v>26796</v>
      </c>
    </row>
    <row r="5369" spans="1:16" x14ac:dyDescent="0.25">
      <c r="A5369" s="28" t="s">
        <v>26797</v>
      </c>
      <c r="B5369" s="28" t="s">
        <v>26798</v>
      </c>
      <c r="C5369" s="28" t="s">
        <v>1779</v>
      </c>
      <c r="D5369" s="28" t="s">
        <v>5328</v>
      </c>
      <c r="E5369" s="28" t="s">
        <v>26212</v>
      </c>
      <c r="F5369" s="28" t="s">
        <v>21</v>
      </c>
      <c r="G5369" s="28" t="s">
        <v>25396</v>
      </c>
      <c r="H5369" s="28" t="s">
        <v>25556</v>
      </c>
      <c r="I5369" s="28" t="s">
        <v>26799</v>
      </c>
      <c r="J5369" s="28" t="s">
        <v>25396</v>
      </c>
      <c r="K5369" s="28" t="s">
        <v>25558</v>
      </c>
      <c r="L5369" s="28" t="s">
        <v>25559</v>
      </c>
      <c r="M5369" s="28" t="s">
        <v>26214</v>
      </c>
      <c r="N5369" s="28" t="s">
        <v>25561</v>
      </c>
      <c r="O5369" s="28" t="s">
        <v>25562</v>
      </c>
      <c r="P5369" s="28" t="s">
        <v>26800</v>
      </c>
    </row>
    <row r="5370" spans="1:16" x14ac:dyDescent="0.25">
      <c r="A5370" s="28" t="s">
        <v>26801</v>
      </c>
      <c r="B5370" s="28" t="s">
        <v>26802</v>
      </c>
      <c r="C5370" s="28" t="s">
        <v>1779</v>
      </c>
      <c r="D5370" s="28" t="s">
        <v>5328</v>
      </c>
      <c r="E5370" s="28" t="s">
        <v>26803</v>
      </c>
      <c r="F5370" s="28" t="s">
        <v>21</v>
      </c>
      <c r="G5370" s="28" t="s">
        <v>25396</v>
      </c>
      <c r="H5370" s="28" t="s">
        <v>25556</v>
      </c>
      <c r="I5370" s="28" t="s">
        <v>26804</v>
      </c>
      <c r="J5370" s="28" t="s">
        <v>25396</v>
      </c>
      <c r="K5370" s="28" t="s">
        <v>25558</v>
      </c>
      <c r="L5370" s="28" t="s">
        <v>25559</v>
      </c>
      <c r="M5370" s="28" t="s">
        <v>26805</v>
      </c>
      <c r="N5370" s="28" t="s">
        <v>25561</v>
      </c>
      <c r="O5370" s="28" t="s">
        <v>25562</v>
      </c>
      <c r="P5370" s="28" t="s">
        <v>26806</v>
      </c>
    </row>
    <row r="5371" spans="1:16" x14ac:dyDescent="0.25">
      <c r="A5371" s="28" t="s">
        <v>26807</v>
      </c>
      <c r="B5371" s="28" t="s">
        <v>26808</v>
      </c>
      <c r="C5371" s="28" t="s">
        <v>1779</v>
      </c>
      <c r="D5371" s="28" t="s">
        <v>5328</v>
      </c>
      <c r="E5371" s="28" t="s">
        <v>26809</v>
      </c>
      <c r="F5371" s="28" t="s">
        <v>21</v>
      </c>
      <c r="G5371" s="28" t="s">
        <v>25396</v>
      </c>
      <c r="H5371" s="28" t="s">
        <v>25556</v>
      </c>
      <c r="I5371" s="28" t="s">
        <v>26810</v>
      </c>
      <c r="J5371" s="28" t="s">
        <v>25396</v>
      </c>
      <c r="K5371" s="28" t="s">
        <v>25558</v>
      </c>
      <c r="L5371" s="28" t="s">
        <v>25559</v>
      </c>
      <c r="M5371" s="28" t="s">
        <v>26811</v>
      </c>
      <c r="N5371" s="28" t="s">
        <v>25561</v>
      </c>
      <c r="O5371" s="28" t="s">
        <v>25562</v>
      </c>
      <c r="P5371" s="28" t="s">
        <v>26812</v>
      </c>
    </row>
    <row r="5372" spans="1:16" x14ac:dyDescent="0.25">
      <c r="A5372" s="28" t="s">
        <v>26813</v>
      </c>
      <c r="B5372" s="28" t="s">
        <v>26814</v>
      </c>
      <c r="C5372" s="28" t="s">
        <v>1779</v>
      </c>
      <c r="D5372" s="28" t="s">
        <v>5328</v>
      </c>
      <c r="E5372" s="28" t="s">
        <v>26815</v>
      </c>
      <c r="F5372" s="28" t="s">
        <v>21</v>
      </c>
      <c r="G5372" s="28" t="s">
        <v>25396</v>
      </c>
      <c r="H5372" s="28" t="s">
        <v>25556</v>
      </c>
      <c r="I5372" s="28" t="s">
        <v>26816</v>
      </c>
      <c r="J5372" s="28" t="s">
        <v>25396</v>
      </c>
      <c r="K5372" s="28" t="s">
        <v>25558</v>
      </c>
      <c r="L5372" s="28" t="s">
        <v>25559</v>
      </c>
      <c r="M5372" s="28" t="s">
        <v>26817</v>
      </c>
      <c r="N5372" s="28" t="s">
        <v>25561</v>
      </c>
      <c r="O5372" s="28" t="s">
        <v>25562</v>
      </c>
      <c r="P5372" s="28" t="s">
        <v>26818</v>
      </c>
    </row>
    <row r="5373" spans="1:16" x14ac:dyDescent="0.25">
      <c r="A5373" s="28" t="s">
        <v>26819</v>
      </c>
      <c r="B5373" s="28" t="s">
        <v>26820</v>
      </c>
      <c r="C5373" s="28" t="s">
        <v>1779</v>
      </c>
      <c r="D5373" s="28" t="s">
        <v>5328</v>
      </c>
      <c r="E5373" s="28" t="s">
        <v>26218</v>
      </c>
      <c r="F5373" s="28" t="s">
        <v>21</v>
      </c>
      <c r="G5373" s="28" t="s">
        <v>25396</v>
      </c>
      <c r="H5373" s="28" t="s">
        <v>25556</v>
      </c>
      <c r="I5373" s="28" t="s">
        <v>26821</v>
      </c>
      <c r="J5373" s="28" t="s">
        <v>25396</v>
      </c>
      <c r="K5373" s="28" t="s">
        <v>25558</v>
      </c>
      <c r="L5373" s="28" t="s">
        <v>25559</v>
      </c>
      <c r="M5373" s="28" t="s">
        <v>26220</v>
      </c>
      <c r="N5373" s="28" t="s">
        <v>25561</v>
      </c>
      <c r="O5373" s="28" t="s">
        <v>25562</v>
      </c>
      <c r="P5373" s="28" t="s">
        <v>26822</v>
      </c>
    </row>
    <row r="5374" spans="1:16" x14ac:dyDescent="0.25">
      <c r="A5374" s="28" t="s">
        <v>26823</v>
      </c>
      <c r="B5374" s="28" t="s">
        <v>26824</v>
      </c>
      <c r="C5374" s="28" t="s">
        <v>1779</v>
      </c>
      <c r="D5374" s="28" t="s">
        <v>5328</v>
      </c>
      <c r="E5374" s="28" t="s">
        <v>26224</v>
      </c>
      <c r="F5374" s="28" t="s">
        <v>21</v>
      </c>
      <c r="G5374" s="28" t="s">
        <v>25396</v>
      </c>
      <c r="H5374" s="28" t="s">
        <v>25556</v>
      </c>
      <c r="I5374" s="28" t="s">
        <v>26825</v>
      </c>
      <c r="J5374" s="28" t="s">
        <v>25396</v>
      </c>
      <c r="K5374" s="28" t="s">
        <v>25558</v>
      </c>
      <c r="L5374" s="28" t="s">
        <v>25559</v>
      </c>
      <c r="M5374" s="28" t="s">
        <v>26226</v>
      </c>
      <c r="N5374" s="28" t="s">
        <v>25561</v>
      </c>
      <c r="O5374" s="28" t="s">
        <v>25562</v>
      </c>
      <c r="P5374" s="28" t="s">
        <v>26826</v>
      </c>
    </row>
    <row r="5375" spans="1:16" x14ac:dyDescent="0.25">
      <c r="A5375" s="28" t="s">
        <v>26827</v>
      </c>
      <c r="B5375" s="28" t="s">
        <v>26828</v>
      </c>
      <c r="C5375" s="28" t="s">
        <v>1779</v>
      </c>
      <c r="D5375" s="28" t="s">
        <v>5328</v>
      </c>
      <c r="E5375" s="28" t="s">
        <v>26230</v>
      </c>
      <c r="F5375" s="28" t="s">
        <v>21</v>
      </c>
      <c r="G5375" s="28" t="s">
        <v>25396</v>
      </c>
      <c r="H5375" s="28" t="s">
        <v>25556</v>
      </c>
      <c r="I5375" s="28" t="s">
        <v>26829</v>
      </c>
      <c r="J5375" s="28" t="s">
        <v>25396</v>
      </c>
      <c r="K5375" s="28" t="s">
        <v>25558</v>
      </c>
      <c r="L5375" s="28" t="s">
        <v>25559</v>
      </c>
      <c r="M5375" s="28" t="s">
        <v>26232</v>
      </c>
      <c r="N5375" s="28" t="s">
        <v>25561</v>
      </c>
      <c r="O5375" s="28" t="s">
        <v>25562</v>
      </c>
      <c r="P5375" s="28" t="s">
        <v>26830</v>
      </c>
    </row>
    <row r="5376" spans="1:16" x14ac:dyDescent="0.25">
      <c r="A5376" s="28" t="s">
        <v>26831</v>
      </c>
      <c r="B5376" s="28" t="s">
        <v>26832</v>
      </c>
      <c r="C5376" s="28" t="s">
        <v>1779</v>
      </c>
      <c r="D5376" s="28" t="s">
        <v>5328</v>
      </c>
      <c r="E5376" s="28" t="s">
        <v>26833</v>
      </c>
      <c r="F5376" s="28" t="s">
        <v>21</v>
      </c>
      <c r="G5376" s="28" t="s">
        <v>25396</v>
      </c>
      <c r="H5376" s="28" t="s">
        <v>25556</v>
      </c>
      <c r="I5376" s="28" t="s">
        <v>26834</v>
      </c>
      <c r="J5376" s="28" t="s">
        <v>25396</v>
      </c>
      <c r="K5376" s="28" t="s">
        <v>25558</v>
      </c>
      <c r="L5376" s="28" t="s">
        <v>25559</v>
      </c>
      <c r="M5376" s="28" t="s">
        <v>26835</v>
      </c>
      <c r="N5376" s="28" t="s">
        <v>25561</v>
      </c>
      <c r="O5376" s="28" t="s">
        <v>25562</v>
      </c>
      <c r="P5376" s="28" t="s">
        <v>26836</v>
      </c>
    </row>
    <row r="5377" spans="1:16" x14ac:dyDescent="0.25">
      <c r="A5377" s="28" t="s">
        <v>26837</v>
      </c>
      <c r="B5377" s="28" t="s">
        <v>26838</v>
      </c>
      <c r="C5377" s="28" t="s">
        <v>1779</v>
      </c>
      <c r="D5377" s="28" t="s">
        <v>5328</v>
      </c>
      <c r="E5377" s="28" t="s">
        <v>26236</v>
      </c>
      <c r="F5377" s="28" t="s">
        <v>21</v>
      </c>
      <c r="G5377" s="28" t="s">
        <v>25396</v>
      </c>
      <c r="H5377" s="28" t="s">
        <v>25556</v>
      </c>
      <c r="I5377" s="28" t="s">
        <v>26839</v>
      </c>
      <c r="J5377" s="28" t="s">
        <v>25396</v>
      </c>
      <c r="K5377" s="28" t="s">
        <v>25558</v>
      </c>
      <c r="L5377" s="28" t="s">
        <v>25559</v>
      </c>
      <c r="M5377" s="28" t="s">
        <v>26238</v>
      </c>
      <c r="N5377" s="28" t="s">
        <v>25561</v>
      </c>
      <c r="O5377" s="28" t="s">
        <v>25562</v>
      </c>
      <c r="P5377" s="28" t="s">
        <v>26840</v>
      </c>
    </row>
    <row r="5378" spans="1:16" x14ac:dyDescent="0.25">
      <c r="A5378" s="28" t="s">
        <v>26841</v>
      </c>
      <c r="B5378" s="28" t="s">
        <v>26842</v>
      </c>
      <c r="C5378" s="28" t="s">
        <v>1779</v>
      </c>
      <c r="D5378" s="28" t="s">
        <v>5328</v>
      </c>
      <c r="E5378" s="28" t="s">
        <v>24298</v>
      </c>
      <c r="F5378" s="28" t="s">
        <v>21</v>
      </c>
      <c r="G5378" s="28" t="s">
        <v>25396</v>
      </c>
      <c r="H5378" s="28" t="s">
        <v>25556</v>
      </c>
      <c r="I5378" s="28" t="s">
        <v>26843</v>
      </c>
      <c r="J5378" s="28" t="s">
        <v>25396</v>
      </c>
      <c r="K5378" s="28" t="s">
        <v>25558</v>
      </c>
      <c r="L5378" s="28" t="s">
        <v>25559</v>
      </c>
      <c r="M5378" s="28" t="s">
        <v>26243</v>
      </c>
      <c r="N5378" s="28" t="s">
        <v>25561</v>
      </c>
      <c r="O5378" s="28" t="s">
        <v>25562</v>
      </c>
      <c r="P5378" s="28" t="s">
        <v>26844</v>
      </c>
    </row>
    <row r="5379" spans="1:16" x14ac:dyDescent="0.25">
      <c r="A5379" s="28" t="s">
        <v>26845</v>
      </c>
      <c r="B5379" s="28" t="s">
        <v>26846</v>
      </c>
      <c r="C5379" s="28" t="s">
        <v>1779</v>
      </c>
      <c r="D5379" s="28" t="s">
        <v>5328</v>
      </c>
      <c r="E5379" s="28" t="s">
        <v>26247</v>
      </c>
      <c r="F5379" s="28" t="s">
        <v>21</v>
      </c>
      <c r="G5379" s="28" t="s">
        <v>25396</v>
      </c>
      <c r="H5379" s="28" t="s">
        <v>25556</v>
      </c>
      <c r="I5379" s="28" t="s">
        <v>26847</v>
      </c>
      <c r="J5379" s="28" t="s">
        <v>25396</v>
      </c>
      <c r="K5379" s="28" t="s">
        <v>25558</v>
      </c>
      <c r="L5379" s="28" t="s">
        <v>25559</v>
      </c>
      <c r="M5379" s="28" t="s">
        <v>26249</v>
      </c>
      <c r="N5379" s="28" t="s">
        <v>25561</v>
      </c>
      <c r="O5379" s="28" t="s">
        <v>25562</v>
      </c>
      <c r="P5379" s="28" t="s">
        <v>26848</v>
      </c>
    </row>
    <row r="5380" spans="1:16" x14ac:dyDescent="0.25">
      <c r="A5380" s="28" t="s">
        <v>26849</v>
      </c>
      <c r="B5380" s="28" t="s">
        <v>26850</v>
      </c>
      <c r="C5380" s="28" t="s">
        <v>1779</v>
      </c>
      <c r="D5380" s="28" t="s">
        <v>5328</v>
      </c>
      <c r="E5380" s="28" t="s">
        <v>15184</v>
      </c>
      <c r="F5380" s="28" t="s">
        <v>21</v>
      </c>
      <c r="G5380" s="28" t="s">
        <v>25396</v>
      </c>
      <c r="H5380" s="28" t="s">
        <v>25556</v>
      </c>
      <c r="I5380" s="28" t="s">
        <v>26851</v>
      </c>
      <c r="J5380" s="28" t="s">
        <v>25396</v>
      </c>
      <c r="K5380" s="28" t="s">
        <v>25558</v>
      </c>
      <c r="L5380" s="28" t="s">
        <v>25559</v>
      </c>
      <c r="M5380" s="28" t="s">
        <v>26254</v>
      </c>
      <c r="N5380" s="28" t="s">
        <v>25561</v>
      </c>
      <c r="O5380" s="28" t="s">
        <v>25562</v>
      </c>
      <c r="P5380" s="28" t="s">
        <v>26852</v>
      </c>
    </row>
    <row r="5381" spans="1:16" x14ac:dyDescent="0.25">
      <c r="A5381" s="28" t="s">
        <v>26853</v>
      </c>
      <c r="B5381" s="28" t="s">
        <v>26854</v>
      </c>
      <c r="C5381" s="28" t="s">
        <v>1779</v>
      </c>
      <c r="D5381" s="28" t="s">
        <v>5328</v>
      </c>
      <c r="E5381" s="28" t="s">
        <v>26258</v>
      </c>
      <c r="F5381" s="28" t="s">
        <v>21</v>
      </c>
      <c r="G5381" s="28" t="s">
        <v>25396</v>
      </c>
      <c r="H5381" s="28" t="s">
        <v>25556</v>
      </c>
      <c r="I5381" s="28" t="s">
        <v>26855</v>
      </c>
      <c r="J5381" s="28" t="s">
        <v>25396</v>
      </c>
      <c r="K5381" s="28" t="s">
        <v>25558</v>
      </c>
      <c r="L5381" s="28" t="s">
        <v>25559</v>
      </c>
      <c r="M5381" s="28" t="s">
        <v>26260</v>
      </c>
      <c r="N5381" s="28" t="s">
        <v>25561</v>
      </c>
      <c r="O5381" s="28" t="s">
        <v>25562</v>
      </c>
      <c r="P5381" s="28" t="s">
        <v>26856</v>
      </c>
    </row>
    <row r="5382" spans="1:16" x14ac:dyDescent="0.25">
      <c r="A5382" s="28" t="s">
        <v>26857</v>
      </c>
      <c r="B5382" s="28" t="s">
        <v>26858</v>
      </c>
      <c r="C5382" s="28" t="s">
        <v>1779</v>
      </c>
      <c r="D5382" s="28" t="s">
        <v>5328</v>
      </c>
      <c r="E5382" s="28" t="s">
        <v>26264</v>
      </c>
      <c r="F5382" s="28" t="s">
        <v>21</v>
      </c>
      <c r="G5382" s="28" t="s">
        <v>25396</v>
      </c>
      <c r="H5382" s="28" t="s">
        <v>25556</v>
      </c>
      <c r="I5382" s="28" t="s">
        <v>26859</v>
      </c>
      <c r="J5382" s="28" t="s">
        <v>25396</v>
      </c>
      <c r="K5382" s="28" t="s">
        <v>25558</v>
      </c>
      <c r="L5382" s="28" t="s">
        <v>25559</v>
      </c>
      <c r="M5382" s="28" t="s">
        <v>26266</v>
      </c>
      <c r="N5382" s="28" t="s">
        <v>25561</v>
      </c>
      <c r="O5382" s="28" t="s">
        <v>25562</v>
      </c>
      <c r="P5382" s="28" t="s">
        <v>26860</v>
      </c>
    </row>
    <row r="5383" spans="1:16" x14ac:dyDescent="0.25">
      <c r="A5383" s="28" t="s">
        <v>26861</v>
      </c>
      <c r="B5383" s="28" t="s">
        <v>26862</v>
      </c>
      <c r="C5383" s="28" t="s">
        <v>1779</v>
      </c>
      <c r="D5383" s="28" t="s">
        <v>5328</v>
      </c>
      <c r="E5383" s="28" t="s">
        <v>26270</v>
      </c>
      <c r="F5383" s="28" t="s">
        <v>21</v>
      </c>
      <c r="G5383" s="28" t="s">
        <v>25396</v>
      </c>
      <c r="H5383" s="28" t="s">
        <v>25556</v>
      </c>
      <c r="I5383" s="28" t="s">
        <v>26863</v>
      </c>
      <c r="J5383" s="28" t="s">
        <v>25396</v>
      </c>
      <c r="K5383" s="28" t="s">
        <v>25558</v>
      </c>
      <c r="L5383" s="28" t="s">
        <v>25559</v>
      </c>
      <c r="M5383" s="28" t="s">
        <v>26272</v>
      </c>
      <c r="N5383" s="28" t="s">
        <v>25561</v>
      </c>
      <c r="O5383" s="28" t="s">
        <v>25562</v>
      </c>
      <c r="P5383" s="28" t="s">
        <v>26864</v>
      </c>
    </row>
    <row r="5384" spans="1:16" x14ac:dyDescent="0.25">
      <c r="A5384" s="28" t="s">
        <v>26865</v>
      </c>
      <c r="B5384" s="28" t="s">
        <v>26866</v>
      </c>
      <c r="C5384" s="28" t="s">
        <v>1779</v>
      </c>
      <c r="D5384" s="28" t="s">
        <v>5328</v>
      </c>
      <c r="E5384" s="28" t="s">
        <v>26276</v>
      </c>
      <c r="F5384" s="28" t="s">
        <v>21</v>
      </c>
      <c r="G5384" s="28" t="s">
        <v>25396</v>
      </c>
      <c r="H5384" s="28" t="s">
        <v>25556</v>
      </c>
      <c r="I5384" s="28" t="s">
        <v>26867</v>
      </c>
      <c r="J5384" s="28" t="s">
        <v>25396</v>
      </c>
      <c r="K5384" s="28" t="s">
        <v>25558</v>
      </c>
      <c r="L5384" s="28" t="s">
        <v>25559</v>
      </c>
      <c r="M5384" s="28" t="s">
        <v>26278</v>
      </c>
      <c r="N5384" s="28" t="s">
        <v>25561</v>
      </c>
      <c r="O5384" s="28" t="s">
        <v>25562</v>
      </c>
      <c r="P5384" s="28" t="s">
        <v>26868</v>
      </c>
    </row>
    <row r="5385" spans="1:16" x14ac:dyDescent="0.25">
      <c r="A5385" s="28" t="s">
        <v>26869</v>
      </c>
      <c r="B5385" s="28" t="s">
        <v>26870</v>
      </c>
      <c r="C5385" s="28" t="s">
        <v>1779</v>
      </c>
      <c r="D5385" s="28" t="s">
        <v>5328</v>
      </c>
      <c r="E5385" s="28" t="s">
        <v>26871</v>
      </c>
      <c r="F5385" s="28" t="s">
        <v>21</v>
      </c>
      <c r="G5385" s="28" t="s">
        <v>25396</v>
      </c>
      <c r="H5385" s="28" t="s">
        <v>25556</v>
      </c>
      <c r="I5385" s="28" t="s">
        <v>26872</v>
      </c>
      <c r="J5385" s="28" t="s">
        <v>25396</v>
      </c>
      <c r="K5385" s="28" t="s">
        <v>25558</v>
      </c>
      <c r="L5385" s="28" t="s">
        <v>25559</v>
      </c>
      <c r="M5385" s="28" t="s">
        <v>26873</v>
      </c>
      <c r="N5385" s="28" t="s">
        <v>25561</v>
      </c>
      <c r="O5385" s="28" t="s">
        <v>25562</v>
      </c>
      <c r="P5385" s="28" t="s">
        <v>26874</v>
      </c>
    </row>
    <row r="5386" spans="1:16" x14ac:dyDescent="0.25">
      <c r="A5386" s="28" t="s">
        <v>26875</v>
      </c>
      <c r="B5386" s="28" t="s">
        <v>26876</v>
      </c>
      <c r="C5386" s="28" t="s">
        <v>1779</v>
      </c>
      <c r="D5386" s="28" t="s">
        <v>5328</v>
      </c>
      <c r="E5386" s="28" t="s">
        <v>26877</v>
      </c>
      <c r="F5386" s="28" t="s">
        <v>21</v>
      </c>
      <c r="G5386" s="28" t="s">
        <v>25396</v>
      </c>
      <c r="H5386" s="28" t="s">
        <v>25556</v>
      </c>
      <c r="I5386" s="28" t="s">
        <v>26878</v>
      </c>
      <c r="J5386" s="28" t="s">
        <v>25396</v>
      </c>
      <c r="K5386" s="28" t="s">
        <v>25558</v>
      </c>
      <c r="L5386" s="28" t="s">
        <v>25559</v>
      </c>
      <c r="M5386" s="28" t="s">
        <v>26879</v>
      </c>
      <c r="N5386" s="28" t="s">
        <v>25561</v>
      </c>
      <c r="O5386" s="28" t="s">
        <v>25562</v>
      </c>
      <c r="P5386" s="28" t="s">
        <v>26880</v>
      </c>
    </row>
    <row r="5387" spans="1:16" x14ac:dyDescent="0.25">
      <c r="A5387" s="28" t="s">
        <v>26881</v>
      </c>
      <c r="B5387" s="28" t="s">
        <v>26882</v>
      </c>
      <c r="C5387" s="28" t="s">
        <v>1779</v>
      </c>
      <c r="D5387" s="28" t="s">
        <v>5328</v>
      </c>
      <c r="E5387" s="28" t="s">
        <v>26883</v>
      </c>
      <c r="F5387" s="28" t="s">
        <v>21</v>
      </c>
      <c r="G5387" s="28" t="s">
        <v>25396</v>
      </c>
      <c r="H5387" s="28" t="s">
        <v>25556</v>
      </c>
      <c r="I5387" s="28" t="s">
        <v>26884</v>
      </c>
      <c r="J5387" s="28" t="s">
        <v>25396</v>
      </c>
      <c r="K5387" s="28" t="s">
        <v>25558</v>
      </c>
      <c r="L5387" s="28" t="s">
        <v>25559</v>
      </c>
      <c r="M5387" s="28" t="s">
        <v>26885</v>
      </c>
      <c r="N5387" s="28" t="s">
        <v>25561</v>
      </c>
      <c r="O5387" s="28" t="s">
        <v>25562</v>
      </c>
      <c r="P5387" s="28" t="s">
        <v>26886</v>
      </c>
    </row>
    <row r="5388" spans="1:16" x14ac:dyDescent="0.25">
      <c r="A5388" s="28" t="s">
        <v>26887</v>
      </c>
      <c r="B5388" s="28" t="s">
        <v>26888</v>
      </c>
      <c r="C5388" s="28" t="s">
        <v>1779</v>
      </c>
      <c r="D5388" s="28" t="s">
        <v>5328</v>
      </c>
      <c r="E5388" s="28" t="s">
        <v>20790</v>
      </c>
      <c r="F5388" s="28" t="s">
        <v>21</v>
      </c>
      <c r="G5388" s="28" t="s">
        <v>25396</v>
      </c>
      <c r="H5388" s="28" t="s">
        <v>25556</v>
      </c>
      <c r="I5388" s="28" t="s">
        <v>26889</v>
      </c>
      <c r="J5388" s="28" t="s">
        <v>25396</v>
      </c>
      <c r="K5388" s="28" t="s">
        <v>25558</v>
      </c>
      <c r="L5388" s="28" t="s">
        <v>25559</v>
      </c>
      <c r="M5388" s="28" t="s">
        <v>26283</v>
      </c>
      <c r="N5388" s="28" t="s">
        <v>25561</v>
      </c>
      <c r="O5388" s="28" t="s">
        <v>25562</v>
      </c>
      <c r="P5388" s="28" t="s">
        <v>26890</v>
      </c>
    </row>
    <row r="5389" spans="1:16" x14ac:dyDescent="0.25">
      <c r="A5389" s="28" t="s">
        <v>26891</v>
      </c>
      <c r="B5389" s="28" t="s">
        <v>26892</v>
      </c>
      <c r="C5389" s="28" t="s">
        <v>1779</v>
      </c>
      <c r="D5389" s="28" t="s">
        <v>5328</v>
      </c>
      <c r="E5389" s="28" t="s">
        <v>26287</v>
      </c>
      <c r="F5389" s="28" t="s">
        <v>21</v>
      </c>
      <c r="G5389" s="28" t="s">
        <v>25396</v>
      </c>
      <c r="H5389" s="28" t="s">
        <v>25556</v>
      </c>
      <c r="I5389" s="28" t="s">
        <v>26893</v>
      </c>
      <c r="J5389" s="28" t="s">
        <v>25396</v>
      </c>
      <c r="K5389" s="28" t="s">
        <v>25558</v>
      </c>
      <c r="L5389" s="28" t="s">
        <v>25559</v>
      </c>
      <c r="M5389" s="28" t="s">
        <v>26289</v>
      </c>
      <c r="N5389" s="28" t="s">
        <v>25561</v>
      </c>
      <c r="O5389" s="28" t="s">
        <v>25562</v>
      </c>
      <c r="P5389" s="28" t="s">
        <v>26894</v>
      </c>
    </row>
    <row r="5390" spans="1:16" x14ac:dyDescent="0.25">
      <c r="A5390" s="28" t="s">
        <v>26895</v>
      </c>
      <c r="B5390" s="28" t="s">
        <v>26896</v>
      </c>
      <c r="C5390" s="28" t="s">
        <v>1779</v>
      </c>
      <c r="D5390" s="28" t="s">
        <v>5328</v>
      </c>
      <c r="E5390" s="28" t="s">
        <v>26293</v>
      </c>
      <c r="F5390" s="28" t="s">
        <v>21</v>
      </c>
      <c r="G5390" s="28" t="s">
        <v>25396</v>
      </c>
      <c r="H5390" s="28" t="s">
        <v>25556</v>
      </c>
      <c r="I5390" s="28" t="s">
        <v>26897</v>
      </c>
      <c r="J5390" s="28" t="s">
        <v>25396</v>
      </c>
      <c r="K5390" s="28" t="s">
        <v>25558</v>
      </c>
      <c r="L5390" s="28" t="s">
        <v>25559</v>
      </c>
      <c r="M5390" s="28" t="s">
        <v>26295</v>
      </c>
      <c r="N5390" s="28" t="s">
        <v>25561</v>
      </c>
      <c r="O5390" s="28" t="s">
        <v>25562</v>
      </c>
      <c r="P5390" s="28" t="s">
        <v>26898</v>
      </c>
    </row>
    <row r="5391" spans="1:16" x14ac:dyDescent="0.25">
      <c r="A5391" s="28" t="s">
        <v>26899</v>
      </c>
      <c r="B5391" s="28" t="s">
        <v>26900</v>
      </c>
      <c r="C5391" s="28" t="s">
        <v>1779</v>
      </c>
      <c r="D5391" s="28" t="s">
        <v>5328</v>
      </c>
      <c r="E5391" s="28" t="s">
        <v>26299</v>
      </c>
      <c r="F5391" s="28" t="s">
        <v>21</v>
      </c>
      <c r="G5391" s="28" t="s">
        <v>25396</v>
      </c>
      <c r="H5391" s="28" t="s">
        <v>25556</v>
      </c>
      <c r="I5391" s="28" t="s">
        <v>26901</v>
      </c>
      <c r="J5391" s="28" t="s">
        <v>25396</v>
      </c>
      <c r="K5391" s="28" t="s">
        <v>25558</v>
      </c>
      <c r="L5391" s="28" t="s">
        <v>25559</v>
      </c>
      <c r="M5391" s="28" t="s">
        <v>26301</v>
      </c>
      <c r="N5391" s="28" t="s">
        <v>25561</v>
      </c>
      <c r="O5391" s="28" t="s">
        <v>25562</v>
      </c>
      <c r="P5391" s="28" t="s">
        <v>26902</v>
      </c>
    </row>
    <row r="5392" spans="1:16" x14ac:dyDescent="0.25">
      <c r="A5392" s="28" t="s">
        <v>26903</v>
      </c>
      <c r="B5392" s="28" t="s">
        <v>26904</v>
      </c>
      <c r="C5392" s="28" t="s">
        <v>1779</v>
      </c>
      <c r="D5392" s="28" t="s">
        <v>5328</v>
      </c>
      <c r="E5392" s="28" t="s">
        <v>2810</v>
      </c>
      <c r="F5392" s="28" t="s">
        <v>21</v>
      </c>
      <c r="G5392" s="28" t="s">
        <v>25396</v>
      </c>
      <c r="H5392" s="28" t="s">
        <v>25556</v>
      </c>
      <c r="I5392" s="28" t="s">
        <v>26905</v>
      </c>
      <c r="J5392" s="28" t="s">
        <v>25396</v>
      </c>
      <c r="K5392" s="28" t="s">
        <v>25558</v>
      </c>
      <c r="L5392" s="28" t="s">
        <v>25559</v>
      </c>
      <c r="M5392" s="28" t="s">
        <v>26906</v>
      </c>
      <c r="N5392" s="28" t="s">
        <v>25561</v>
      </c>
      <c r="O5392" s="28" t="s">
        <v>25562</v>
      </c>
      <c r="P5392" s="28" t="s">
        <v>26907</v>
      </c>
    </row>
    <row r="5393" spans="1:16" x14ac:dyDescent="0.25">
      <c r="A5393" s="28" t="s">
        <v>26908</v>
      </c>
      <c r="B5393" s="28" t="s">
        <v>26909</v>
      </c>
      <c r="C5393" s="28" t="s">
        <v>1779</v>
      </c>
      <c r="D5393" s="28" t="s">
        <v>5328</v>
      </c>
      <c r="E5393" s="28" t="s">
        <v>26910</v>
      </c>
      <c r="F5393" s="28" t="s">
        <v>21</v>
      </c>
      <c r="G5393" s="28" t="s">
        <v>25396</v>
      </c>
      <c r="H5393" s="28" t="s">
        <v>25556</v>
      </c>
      <c r="I5393" s="28" t="s">
        <v>26911</v>
      </c>
      <c r="J5393" s="28" t="s">
        <v>25396</v>
      </c>
      <c r="K5393" s="28" t="s">
        <v>25558</v>
      </c>
      <c r="L5393" s="28" t="s">
        <v>25559</v>
      </c>
      <c r="M5393" s="28" t="s">
        <v>26912</v>
      </c>
      <c r="N5393" s="28" t="s">
        <v>25561</v>
      </c>
      <c r="O5393" s="28" t="s">
        <v>25562</v>
      </c>
      <c r="P5393" s="28" t="s">
        <v>26913</v>
      </c>
    </row>
    <row r="5394" spans="1:16" x14ac:dyDescent="0.25">
      <c r="A5394" s="28" t="s">
        <v>26914</v>
      </c>
      <c r="B5394" s="28" t="s">
        <v>26915</v>
      </c>
      <c r="C5394" s="28" t="s">
        <v>1779</v>
      </c>
      <c r="D5394" s="28" t="s">
        <v>5328</v>
      </c>
      <c r="E5394" s="28" t="s">
        <v>26916</v>
      </c>
      <c r="F5394" s="28" t="s">
        <v>21</v>
      </c>
      <c r="G5394" s="28" t="s">
        <v>25396</v>
      </c>
      <c r="H5394" s="28" t="s">
        <v>25556</v>
      </c>
      <c r="I5394" s="28" t="s">
        <v>26917</v>
      </c>
      <c r="J5394" s="28" t="s">
        <v>25396</v>
      </c>
      <c r="K5394" s="28" t="s">
        <v>25558</v>
      </c>
      <c r="L5394" s="28" t="s">
        <v>25559</v>
      </c>
      <c r="M5394" s="28" t="s">
        <v>26918</v>
      </c>
      <c r="N5394" s="28" t="s">
        <v>25561</v>
      </c>
      <c r="O5394" s="28" t="s">
        <v>25562</v>
      </c>
      <c r="P5394" s="28" t="s">
        <v>26919</v>
      </c>
    </row>
    <row r="5395" spans="1:16" x14ac:dyDescent="0.25">
      <c r="A5395" s="28" t="s">
        <v>26920</v>
      </c>
      <c r="B5395" s="28" t="s">
        <v>26921</v>
      </c>
      <c r="C5395" s="28" t="s">
        <v>1779</v>
      </c>
      <c r="D5395" s="28" t="s">
        <v>5328</v>
      </c>
      <c r="E5395" s="28" t="s">
        <v>26922</v>
      </c>
      <c r="F5395" s="28" t="s">
        <v>21</v>
      </c>
      <c r="G5395" s="28" t="s">
        <v>25396</v>
      </c>
      <c r="H5395" s="28" t="s">
        <v>25556</v>
      </c>
      <c r="I5395" s="28" t="s">
        <v>26923</v>
      </c>
      <c r="J5395" s="28" t="s">
        <v>25396</v>
      </c>
      <c r="K5395" s="28" t="s">
        <v>25558</v>
      </c>
      <c r="L5395" s="28" t="s">
        <v>25559</v>
      </c>
      <c r="M5395" s="28" t="s">
        <v>26924</v>
      </c>
      <c r="N5395" s="28" t="s">
        <v>25561</v>
      </c>
      <c r="O5395" s="28" t="s">
        <v>25562</v>
      </c>
      <c r="P5395" s="28" t="s">
        <v>26925</v>
      </c>
    </row>
    <row r="5396" spans="1:16" x14ac:dyDescent="0.25">
      <c r="A5396" s="28" t="s">
        <v>26926</v>
      </c>
      <c r="B5396" s="28" t="s">
        <v>26927</v>
      </c>
      <c r="C5396" s="28" t="s">
        <v>1779</v>
      </c>
      <c r="D5396" s="28" t="s">
        <v>5328</v>
      </c>
      <c r="E5396" s="28" t="s">
        <v>26928</v>
      </c>
      <c r="F5396" s="28" t="s">
        <v>21</v>
      </c>
      <c r="G5396" s="28" t="s">
        <v>25396</v>
      </c>
      <c r="H5396" s="28" t="s">
        <v>25556</v>
      </c>
      <c r="I5396" s="28" t="s">
        <v>26929</v>
      </c>
      <c r="J5396" s="28" t="s">
        <v>25396</v>
      </c>
      <c r="K5396" s="28" t="s">
        <v>25558</v>
      </c>
      <c r="L5396" s="28" t="s">
        <v>25559</v>
      </c>
      <c r="M5396" s="28" t="s">
        <v>26930</v>
      </c>
      <c r="N5396" s="28" t="s">
        <v>25561</v>
      </c>
      <c r="O5396" s="28" t="s">
        <v>25562</v>
      </c>
      <c r="P5396" s="28" t="s">
        <v>26931</v>
      </c>
    </row>
    <row r="5397" spans="1:16" x14ac:dyDescent="0.25">
      <c r="A5397" s="28" t="s">
        <v>26932</v>
      </c>
      <c r="B5397" s="28" t="s">
        <v>26933</v>
      </c>
      <c r="C5397" s="28" t="s">
        <v>1779</v>
      </c>
      <c r="D5397" s="28" t="s">
        <v>5328</v>
      </c>
      <c r="E5397" s="28" t="s">
        <v>26934</v>
      </c>
      <c r="F5397" s="28" t="s">
        <v>21</v>
      </c>
      <c r="G5397" s="28" t="s">
        <v>25396</v>
      </c>
      <c r="H5397" s="28" t="s">
        <v>25556</v>
      </c>
      <c r="I5397" s="28" t="s">
        <v>26935</v>
      </c>
      <c r="J5397" s="28" t="s">
        <v>25396</v>
      </c>
      <c r="K5397" s="28" t="s">
        <v>25558</v>
      </c>
      <c r="L5397" s="28" t="s">
        <v>25559</v>
      </c>
      <c r="M5397" s="28" t="s">
        <v>26936</v>
      </c>
      <c r="N5397" s="28" t="s">
        <v>25561</v>
      </c>
      <c r="O5397" s="28" t="s">
        <v>25562</v>
      </c>
      <c r="P5397" s="28" t="s">
        <v>26937</v>
      </c>
    </row>
    <row r="5398" spans="1:16" x14ac:dyDescent="0.25">
      <c r="A5398" s="28" t="s">
        <v>26938</v>
      </c>
      <c r="B5398" s="28" t="s">
        <v>26939</v>
      </c>
      <c r="C5398" s="28" t="s">
        <v>1779</v>
      </c>
      <c r="D5398" s="28" t="s">
        <v>5328</v>
      </c>
      <c r="E5398" s="28" t="s">
        <v>26940</v>
      </c>
      <c r="F5398" s="28" t="s">
        <v>21</v>
      </c>
      <c r="G5398" s="28" t="s">
        <v>25396</v>
      </c>
      <c r="H5398" s="28" t="s">
        <v>25556</v>
      </c>
      <c r="I5398" s="28" t="s">
        <v>26941</v>
      </c>
      <c r="J5398" s="28" t="s">
        <v>25396</v>
      </c>
      <c r="K5398" s="28" t="s">
        <v>25558</v>
      </c>
      <c r="L5398" s="28" t="s">
        <v>25559</v>
      </c>
      <c r="M5398" s="28" t="s">
        <v>26942</v>
      </c>
      <c r="N5398" s="28" t="s">
        <v>25561</v>
      </c>
      <c r="O5398" s="28" t="s">
        <v>25562</v>
      </c>
      <c r="P5398" s="28" t="s">
        <v>26943</v>
      </c>
    </row>
    <row r="5399" spans="1:16" x14ac:dyDescent="0.25">
      <c r="A5399" s="28" t="s">
        <v>26944</v>
      </c>
      <c r="B5399" s="28" t="s">
        <v>26945</v>
      </c>
      <c r="C5399" s="28" t="s">
        <v>1779</v>
      </c>
      <c r="D5399" s="28" t="s">
        <v>5328</v>
      </c>
      <c r="E5399" s="28" t="s">
        <v>26946</v>
      </c>
      <c r="F5399" s="28" t="s">
        <v>21</v>
      </c>
      <c r="G5399" s="28" t="s">
        <v>25396</v>
      </c>
      <c r="H5399" s="28" t="s">
        <v>25556</v>
      </c>
      <c r="I5399" s="28" t="s">
        <v>26947</v>
      </c>
      <c r="J5399" s="28" t="s">
        <v>25396</v>
      </c>
      <c r="K5399" s="28" t="s">
        <v>25558</v>
      </c>
      <c r="L5399" s="28" t="s">
        <v>25559</v>
      </c>
      <c r="M5399" s="28" t="s">
        <v>26948</v>
      </c>
      <c r="N5399" s="28" t="s">
        <v>25561</v>
      </c>
      <c r="O5399" s="28" t="s">
        <v>25562</v>
      </c>
      <c r="P5399" s="28" t="s">
        <v>26949</v>
      </c>
    </row>
    <row r="5400" spans="1:16" x14ac:dyDescent="0.25">
      <c r="A5400" s="28" t="s">
        <v>26950</v>
      </c>
      <c r="B5400" s="28" t="s">
        <v>26951</v>
      </c>
      <c r="C5400" s="28" t="s">
        <v>1779</v>
      </c>
      <c r="D5400" s="28" t="s">
        <v>5328</v>
      </c>
      <c r="E5400" s="28" t="s">
        <v>26952</v>
      </c>
      <c r="F5400" s="28" t="s">
        <v>21</v>
      </c>
      <c r="G5400" s="28" t="s">
        <v>25396</v>
      </c>
      <c r="H5400" s="28" t="s">
        <v>25556</v>
      </c>
      <c r="I5400" s="28" t="s">
        <v>26953</v>
      </c>
      <c r="J5400" s="28" t="s">
        <v>25396</v>
      </c>
      <c r="K5400" s="28" t="s">
        <v>25558</v>
      </c>
      <c r="L5400" s="28" t="s">
        <v>25559</v>
      </c>
      <c r="M5400" s="28" t="s">
        <v>26954</v>
      </c>
      <c r="N5400" s="28" t="s">
        <v>25561</v>
      </c>
      <c r="O5400" s="28" t="s">
        <v>25562</v>
      </c>
      <c r="P5400" s="28" t="s">
        <v>26955</v>
      </c>
    </row>
    <row r="5401" spans="1:16" x14ac:dyDescent="0.25">
      <c r="A5401" s="28" t="s">
        <v>26956</v>
      </c>
      <c r="B5401" s="28" t="s">
        <v>26957</v>
      </c>
      <c r="C5401" s="28" t="s">
        <v>1779</v>
      </c>
      <c r="D5401" s="28" t="s">
        <v>5328</v>
      </c>
      <c r="E5401" s="28" t="s">
        <v>26958</v>
      </c>
      <c r="F5401" s="28" t="s">
        <v>21</v>
      </c>
      <c r="G5401" s="28" t="s">
        <v>25396</v>
      </c>
      <c r="H5401" s="28" t="s">
        <v>25556</v>
      </c>
      <c r="I5401" s="28" t="s">
        <v>26959</v>
      </c>
      <c r="J5401" s="28" t="s">
        <v>25396</v>
      </c>
      <c r="K5401" s="28" t="s">
        <v>25558</v>
      </c>
      <c r="L5401" s="28" t="s">
        <v>25559</v>
      </c>
      <c r="M5401" s="28" t="s">
        <v>26960</v>
      </c>
      <c r="N5401" s="28" t="s">
        <v>25561</v>
      </c>
      <c r="O5401" s="28" t="s">
        <v>25562</v>
      </c>
      <c r="P5401" s="28" t="s">
        <v>26961</v>
      </c>
    </row>
    <row r="5402" spans="1:16" x14ac:dyDescent="0.25">
      <c r="A5402" s="28" t="s">
        <v>26962</v>
      </c>
      <c r="B5402" s="28" t="s">
        <v>26963</v>
      </c>
      <c r="C5402" s="28" t="s">
        <v>1779</v>
      </c>
      <c r="D5402" s="28" t="s">
        <v>5328</v>
      </c>
      <c r="E5402" s="28" t="s">
        <v>2853</v>
      </c>
      <c r="F5402" s="28" t="s">
        <v>21</v>
      </c>
      <c r="G5402" s="28" t="s">
        <v>25396</v>
      </c>
      <c r="H5402" s="28" t="s">
        <v>25556</v>
      </c>
      <c r="I5402" s="28" t="s">
        <v>26964</v>
      </c>
      <c r="J5402" s="28" t="s">
        <v>25396</v>
      </c>
      <c r="K5402" s="28" t="s">
        <v>25558</v>
      </c>
      <c r="L5402" s="28" t="s">
        <v>25559</v>
      </c>
      <c r="M5402" s="28" t="s">
        <v>26965</v>
      </c>
      <c r="N5402" s="28" t="s">
        <v>25561</v>
      </c>
      <c r="O5402" s="28" t="s">
        <v>25562</v>
      </c>
      <c r="P5402" s="28" t="s">
        <v>26966</v>
      </c>
    </row>
    <row r="5403" spans="1:16" x14ac:dyDescent="0.25">
      <c r="A5403" s="28" t="s">
        <v>26967</v>
      </c>
      <c r="B5403" s="28" t="s">
        <v>26968</v>
      </c>
      <c r="C5403" s="28" t="s">
        <v>1779</v>
      </c>
      <c r="D5403" s="28" t="s">
        <v>5328</v>
      </c>
      <c r="E5403" s="28" t="s">
        <v>26969</v>
      </c>
      <c r="F5403" s="28" t="s">
        <v>21</v>
      </c>
      <c r="G5403" s="28" t="s">
        <v>25396</v>
      </c>
      <c r="H5403" s="28" t="s">
        <v>25556</v>
      </c>
      <c r="I5403" s="28" t="s">
        <v>26970</v>
      </c>
      <c r="J5403" s="28" t="s">
        <v>25396</v>
      </c>
      <c r="K5403" s="28" t="s">
        <v>25558</v>
      </c>
      <c r="L5403" s="28" t="s">
        <v>25559</v>
      </c>
      <c r="M5403" s="28" t="s">
        <v>26971</v>
      </c>
      <c r="N5403" s="28" t="s">
        <v>25561</v>
      </c>
      <c r="O5403" s="28" t="s">
        <v>25562</v>
      </c>
      <c r="P5403" s="28" t="s">
        <v>26972</v>
      </c>
    </row>
    <row r="5404" spans="1:16" x14ac:dyDescent="0.25">
      <c r="A5404" s="28" t="s">
        <v>26973</v>
      </c>
      <c r="B5404" s="28" t="s">
        <v>26974</v>
      </c>
      <c r="C5404" s="28" t="s">
        <v>1779</v>
      </c>
      <c r="D5404" s="28" t="s">
        <v>5328</v>
      </c>
      <c r="E5404" s="28" t="s">
        <v>26975</v>
      </c>
      <c r="F5404" s="28" t="s">
        <v>21</v>
      </c>
      <c r="G5404" s="28" t="s">
        <v>25396</v>
      </c>
      <c r="H5404" s="28" t="s">
        <v>25556</v>
      </c>
      <c r="I5404" s="28" t="s">
        <v>26976</v>
      </c>
      <c r="J5404" s="28" t="s">
        <v>25396</v>
      </c>
      <c r="K5404" s="28" t="s">
        <v>25558</v>
      </c>
      <c r="L5404" s="28" t="s">
        <v>25559</v>
      </c>
      <c r="M5404" s="28" t="s">
        <v>26977</v>
      </c>
      <c r="N5404" s="28" t="s">
        <v>25561</v>
      </c>
      <c r="O5404" s="28" t="s">
        <v>25562</v>
      </c>
      <c r="P5404" s="28" t="s">
        <v>26978</v>
      </c>
    </row>
    <row r="5405" spans="1:16" x14ac:dyDescent="0.25">
      <c r="A5405" s="28" t="s">
        <v>26979</v>
      </c>
      <c r="B5405" s="28" t="s">
        <v>26980</v>
      </c>
      <c r="C5405" s="28" t="s">
        <v>1779</v>
      </c>
      <c r="D5405" s="28" t="s">
        <v>5328</v>
      </c>
      <c r="E5405" s="28" t="s">
        <v>26981</v>
      </c>
      <c r="F5405" s="28" t="s">
        <v>21</v>
      </c>
      <c r="G5405" s="28" t="s">
        <v>25396</v>
      </c>
      <c r="H5405" s="28" t="s">
        <v>25556</v>
      </c>
      <c r="I5405" s="28" t="s">
        <v>26982</v>
      </c>
      <c r="J5405" s="28" t="s">
        <v>25396</v>
      </c>
      <c r="K5405" s="28" t="s">
        <v>25558</v>
      </c>
      <c r="L5405" s="28" t="s">
        <v>25559</v>
      </c>
      <c r="M5405" s="28" t="s">
        <v>26983</v>
      </c>
      <c r="N5405" s="28" t="s">
        <v>25561</v>
      </c>
      <c r="O5405" s="28" t="s">
        <v>25562</v>
      </c>
      <c r="P5405" s="28" t="s">
        <v>26984</v>
      </c>
    </row>
    <row r="5406" spans="1:16" x14ac:dyDescent="0.25">
      <c r="A5406" s="28" t="s">
        <v>26985</v>
      </c>
      <c r="B5406" s="28" t="s">
        <v>26986</v>
      </c>
      <c r="C5406" s="28" t="s">
        <v>1779</v>
      </c>
      <c r="D5406" s="28" t="s">
        <v>5328</v>
      </c>
      <c r="E5406" s="28" t="s">
        <v>26987</v>
      </c>
      <c r="F5406" s="28" t="s">
        <v>21</v>
      </c>
      <c r="G5406" s="28" t="s">
        <v>25396</v>
      </c>
      <c r="H5406" s="28" t="s">
        <v>25556</v>
      </c>
      <c r="I5406" s="28" t="s">
        <v>26988</v>
      </c>
      <c r="J5406" s="28" t="s">
        <v>25396</v>
      </c>
      <c r="K5406" s="28" t="s">
        <v>25558</v>
      </c>
      <c r="L5406" s="28" t="s">
        <v>25559</v>
      </c>
      <c r="M5406" s="28" t="s">
        <v>26989</v>
      </c>
      <c r="N5406" s="28" t="s">
        <v>25561</v>
      </c>
      <c r="O5406" s="28" t="s">
        <v>25562</v>
      </c>
      <c r="P5406" s="28" t="s">
        <v>26990</v>
      </c>
    </row>
    <row r="5407" spans="1:16" x14ac:dyDescent="0.25">
      <c r="A5407" s="28" t="s">
        <v>26991</v>
      </c>
      <c r="B5407" s="28" t="s">
        <v>26992</v>
      </c>
      <c r="C5407" s="28" t="s">
        <v>1779</v>
      </c>
      <c r="D5407" s="28" t="s">
        <v>5328</v>
      </c>
      <c r="E5407" s="28" t="s">
        <v>26993</v>
      </c>
      <c r="F5407" s="28" t="s">
        <v>21</v>
      </c>
      <c r="G5407" s="28" t="s">
        <v>25396</v>
      </c>
      <c r="H5407" s="28" t="s">
        <v>25556</v>
      </c>
      <c r="I5407" s="28" t="s">
        <v>26994</v>
      </c>
      <c r="J5407" s="28" t="s">
        <v>25396</v>
      </c>
      <c r="K5407" s="28" t="s">
        <v>25558</v>
      </c>
      <c r="L5407" s="28" t="s">
        <v>25559</v>
      </c>
      <c r="M5407" s="28" t="s">
        <v>26995</v>
      </c>
      <c r="N5407" s="28" t="s">
        <v>25561</v>
      </c>
      <c r="O5407" s="28" t="s">
        <v>25562</v>
      </c>
      <c r="P5407" s="28" t="s">
        <v>26996</v>
      </c>
    </row>
    <row r="5408" spans="1:16" x14ac:dyDescent="0.25">
      <c r="A5408" s="28" t="s">
        <v>26997</v>
      </c>
      <c r="B5408" s="28" t="s">
        <v>26998</v>
      </c>
      <c r="C5408" s="28" t="s">
        <v>1779</v>
      </c>
      <c r="D5408" s="28" t="s">
        <v>5328</v>
      </c>
      <c r="E5408" s="28" t="s">
        <v>26999</v>
      </c>
      <c r="F5408" s="28" t="s">
        <v>21</v>
      </c>
      <c r="G5408" s="28" t="s">
        <v>25396</v>
      </c>
      <c r="H5408" s="28" t="s">
        <v>25556</v>
      </c>
      <c r="I5408" s="28" t="s">
        <v>27000</v>
      </c>
      <c r="J5408" s="28" t="s">
        <v>25396</v>
      </c>
      <c r="K5408" s="28" t="s">
        <v>25558</v>
      </c>
      <c r="L5408" s="28" t="s">
        <v>25559</v>
      </c>
      <c r="M5408" s="28" t="s">
        <v>27001</v>
      </c>
      <c r="N5408" s="28" t="s">
        <v>25561</v>
      </c>
      <c r="O5408" s="28" t="s">
        <v>25562</v>
      </c>
      <c r="P5408" s="28" t="s">
        <v>27002</v>
      </c>
    </row>
    <row r="5409" spans="1:16" x14ac:dyDescent="0.25">
      <c r="A5409" s="28" t="s">
        <v>27003</v>
      </c>
      <c r="B5409" s="28" t="s">
        <v>27004</v>
      </c>
      <c r="C5409" s="28" t="s">
        <v>1779</v>
      </c>
      <c r="D5409" s="28" t="s">
        <v>5328</v>
      </c>
      <c r="E5409" s="28" t="s">
        <v>27005</v>
      </c>
      <c r="F5409" s="28" t="s">
        <v>21</v>
      </c>
      <c r="G5409" s="28" t="s">
        <v>25396</v>
      </c>
      <c r="H5409" s="28" t="s">
        <v>25556</v>
      </c>
      <c r="I5409" s="28" t="s">
        <v>27006</v>
      </c>
      <c r="J5409" s="28" t="s">
        <v>25396</v>
      </c>
      <c r="K5409" s="28" t="s">
        <v>25558</v>
      </c>
      <c r="L5409" s="28" t="s">
        <v>25559</v>
      </c>
      <c r="M5409" s="28" t="s">
        <v>27007</v>
      </c>
      <c r="N5409" s="28" t="s">
        <v>25561</v>
      </c>
      <c r="O5409" s="28" t="s">
        <v>25562</v>
      </c>
      <c r="P5409" s="28" t="s">
        <v>27008</v>
      </c>
    </row>
    <row r="5410" spans="1:16" x14ac:dyDescent="0.25">
      <c r="A5410" s="28" t="s">
        <v>27009</v>
      </c>
      <c r="B5410" s="28" t="s">
        <v>27010</v>
      </c>
      <c r="C5410" s="28" t="s">
        <v>1779</v>
      </c>
      <c r="D5410" s="28" t="s">
        <v>5328</v>
      </c>
      <c r="E5410" s="28" t="s">
        <v>27011</v>
      </c>
      <c r="F5410" s="28" t="s">
        <v>21</v>
      </c>
      <c r="G5410" s="28" t="s">
        <v>25396</v>
      </c>
      <c r="H5410" s="28" t="s">
        <v>25556</v>
      </c>
      <c r="I5410" s="28" t="s">
        <v>27012</v>
      </c>
      <c r="J5410" s="28" t="s">
        <v>25396</v>
      </c>
      <c r="K5410" s="28" t="s">
        <v>25558</v>
      </c>
      <c r="L5410" s="28" t="s">
        <v>25559</v>
      </c>
      <c r="M5410" s="28" t="s">
        <v>27013</v>
      </c>
      <c r="N5410" s="28" t="s">
        <v>25561</v>
      </c>
      <c r="O5410" s="28" t="s">
        <v>25562</v>
      </c>
      <c r="P5410" s="28" t="s">
        <v>27014</v>
      </c>
    </row>
    <row r="5411" spans="1:16" x14ac:dyDescent="0.25">
      <c r="A5411" s="28" t="s">
        <v>27015</v>
      </c>
      <c r="B5411" s="28" t="s">
        <v>27016</v>
      </c>
      <c r="C5411" s="28" t="s">
        <v>1779</v>
      </c>
      <c r="D5411" s="28" t="s">
        <v>5328</v>
      </c>
      <c r="E5411" s="28" t="s">
        <v>27017</v>
      </c>
      <c r="F5411" s="28" t="s">
        <v>21</v>
      </c>
      <c r="G5411" s="28" t="s">
        <v>25396</v>
      </c>
      <c r="H5411" s="28" t="s">
        <v>25556</v>
      </c>
      <c r="I5411" s="28" t="s">
        <v>27018</v>
      </c>
      <c r="J5411" s="28" t="s">
        <v>25396</v>
      </c>
      <c r="K5411" s="28" t="s">
        <v>25558</v>
      </c>
      <c r="L5411" s="28" t="s">
        <v>25559</v>
      </c>
      <c r="M5411" s="28" t="s">
        <v>27019</v>
      </c>
      <c r="N5411" s="28" t="s">
        <v>25561</v>
      </c>
      <c r="O5411" s="28" t="s">
        <v>25562</v>
      </c>
      <c r="P5411" s="28" t="s">
        <v>27020</v>
      </c>
    </row>
    <row r="5412" spans="1:16" x14ac:dyDescent="0.25">
      <c r="A5412" s="28" t="s">
        <v>27021</v>
      </c>
      <c r="B5412" s="28" t="s">
        <v>27022</v>
      </c>
      <c r="C5412" s="28" t="s">
        <v>1779</v>
      </c>
      <c r="D5412" s="28" t="s">
        <v>5328</v>
      </c>
      <c r="E5412" s="28" t="s">
        <v>27023</v>
      </c>
      <c r="F5412" s="28" t="s">
        <v>21</v>
      </c>
      <c r="G5412" s="28" t="s">
        <v>25396</v>
      </c>
      <c r="H5412" s="28" t="s">
        <v>25556</v>
      </c>
      <c r="I5412" s="28" t="s">
        <v>27024</v>
      </c>
      <c r="J5412" s="28" t="s">
        <v>25396</v>
      </c>
      <c r="K5412" s="28" t="s">
        <v>25558</v>
      </c>
      <c r="L5412" s="28" t="s">
        <v>25559</v>
      </c>
      <c r="M5412" s="28" t="s">
        <v>27025</v>
      </c>
      <c r="N5412" s="28" t="s">
        <v>25561</v>
      </c>
      <c r="O5412" s="28" t="s">
        <v>25562</v>
      </c>
      <c r="P5412" s="28" t="s">
        <v>27026</v>
      </c>
    </row>
    <row r="5413" spans="1:16" x14ac:dyDescent="0.25">
      <c r="A5413" s="28" t="s">
        <v>27027</v>
      </c>
      <c r="B5413" s="28" t="s">
        <v>27028</v>
      </c>
      <c r="C5413" s="28" t="s">
        <v>1779</v>
      </c>
      <c r="D5413" s="28" t="s">
        <v>5328</v>
      </c>
      <c r="E5413" s="28" t="s">
        <v>27029</v>
      </c>
      <c r="F5413" s="28" t="s">
        <v>21</v>
      </c>
      <c r="G5413" s="28" t="s">
        <v>25396</v>
      </c>
      <c r="H5413" s="28" t="s">
        <v>25556</v>
      </c>
      <c r="I5413" s="28" t="s">
        <v>27030</v>
      </c>
      <c r="J5413" s="28" t="s">
        <v>25396</v>
      </c>
      <c r="K5413" s="28" t="s">
        <v>25558</v>
      </c>
      <c r="L5413" s="28" t="s">
        <v>25559</v>
      </c>
      <c r="M5413" s="28" t="s">
        <v>27031</v>
      </c>
      <c r="N5413" s="28" t="s">
        <v>25561</v>
      </c>
      <c r="O5413" s="28" t="s">
        <v>25562</v>
      </c>
      <c r="P5413" s="28" t="s">
        <v>27032</v>
      </c>
    </row>
    <row r="5414" spans="1:16" x14ac:dyDescent="0.25">
      <c r="A5414" s="28" t="s">
        <v>27033</v>
      </c>
      <c r="B5414" s="28" t="s">
        <v>27034</v>
      </c>
      <c r="C5414" s="28" t="s">
        <v>1779</v>
      </c>
      <c r="D5414" s="28" t="s">
        <v>5328</v>
      </c>
      <c r="E5414" s="28" t="s">
        <v>27035</v>
      </c>
      <c r="F5414" s="28" t="s">
        <v>21</v>
      </c>
      <c r="G5414" s="28" t="s">
        <v>25396</v>
      </c>
      <c r="H5414" s="28" t="s">
        <v>25556</v>
      </c>
      <c r="I5414" s="28" t="s">
        <v>27036</v>
      </c>
      <c r="J5414" s="28" t="s">
        <v>25396</v>
      </c>
      <c r="K5414" s="28" t="s">
        <v>25558</v>
      </c>
      <c r="L5414" s="28" t="s">
        <v>25559</v>
      </c>
      <c r="M5414" s="28" t="s">
        <v>27037</v>
      </c>
      <c r="N5414" s="28" t="s">
        <v>25561</v>
      </c>
      <c r="O5414" s="28" t="s">
        <v>25562</v>
      </c>
      <c r="P5414" s="28" t="s">
        <v>27038</v>
      </c>
    </row>
    <row r="5415" spans="1:16" x14ac:dyDescent="0.25">
      <c r="A5415" s="28" t="s">
        <v>27039</v>
      </c>
      <c r="B5415" s="28" t="s">
        <v>27040</v>
      </c>
      <c r="C5415" s="28" t="s">
        <v>1779</v>
      </c>
      <c r="D5415" s="28" t="s">
        <v>5328</v>
      </c>
      <c r="E5415" s="28" t="s">
        <v>27041</v>
      </c>
      <c r="F5415" s="28" t="s">
        <v>21</v>
      </c>
      <c r="G5415" s="28" t="s">
        <v>25396</v>
      </c>
      <c r="H5415" s="28" t="s">
        <v>25556</v>
      </c>
      <c r="I5415" s="28" t="s">
        <v>27042</v>
      </c>
      <c r="J5415" s="28" t="s">
        <v>25396</v>
      </c>
      <c r="K5415" s="28" t="s">
        <v>25558</v>
      </c>
      <c r="L5415" s="28" t="s">
        <v>25559</v>
      </c>
      <c r="M5415" s="28" t="s">
        <v>27043</v>
      </c>
      <c r="N5415" s="28" t="s">
        <v>25561</v>
      </c>
      <c r="O5415" s="28" t="s">
        <v>25562</v>
      </c>
      <c r="P5415" s="28" t="s">
        <v>27044</v>
      </c>
    </row>
    <row r="5416" spans="1:16" x14ac:dyDescent="0.25">
      <c r="A5416" s="28" t="s">
        <v>27045</v>
      </c>
      <c r="B5416" s="28" t="s">
        <v>27046</v>
      </c>
      <c r="C5416" s="28" t="s">
        <v>1779</v>
      </c>
      <c r="D5416" s="28" t="s">
        <v>5328</v>
      </c>
      <c r="E5416" s="28" t="s">
        <v>27047</v>
      </c>
      <c r="F5416" s="28" t="s">
        <v>21</v>
      </c>
      <c r="G5416" s="28" t="s">
        <v>25396</v>
      </c>
      <c r="H5416" s="28" t="s">
        <v>25556</v>
      </c>
      <c r="I5416" s="28" t="s">
        <v>27048</v>
      </c>
      <c r="J5416" s="28" t="s">
        <v>25396</v>
      </c>
      <c r="K5416" s="28" t="s">
        <v>25558</v>
      </c>
      <c r="L5416" s="28" t="s">
        <v>25559</v>
      </c>
      <c r="M5416" s="28" t="s">
        <v>27049</v>
      </c>
      <c r="N5416" s="28" t="s">
        <v>25561</v>
      </c>
      <c r="O5416" s="28" t="s">
        <v>25562</v>
      </c>
      <c r="P5416" s="28" t="s">
        <v>27050</v>
      </c>
    </row>
    <row r="5417" spans="1:16" x14ac:dyDescent="0.25">
      <c r="A5417" s="28" t="s">
        <v>27051</v>
      </c>
      <c r="B5417" s="28" t="s">
        <v>27052</v>
      </c>
      <c r="C5417" s="28" t="s">
        <v>1779</v>
      </c>
      <c r="D5417" s="28" t="s">
        <v>5328</v>
      </c>
      <c r="E5417" s="28" t="s">
        <v>2858</v>
      </c>
      <c r="F5417" s="28" t="s">
        <v>21</v>
      </c>
      <c r="G5417" s="28" t="s">
        <v>25396</v>
      </c>
      <c r="H5417" s="28" t="s">
        <v>25556</v>
      </c>
      <c r="I5417" s="28" t="s">
        <v>27053</v>
      </c>
      <c r="J5417" s="28" t="s">
        <v>25396</v>
      </c>
      <c r="K5417" s="28" t="s">
        <v>25558</v>
      </c>
      <c r="L5417" s="28" t="s">
        <v>25559</v>
      </c>
      <c r="M5417" s="28" t="s">
        <v>27054</v>
      </c>
      <c r="N5417" s="28" t="s">
        <v>25561</v>
      </c>
      <c r="O5417" s="28" t="s">
        <v>25562</v>
      </c>
      <c r="P5417" s="28" t="s">
        <v>27055</v>
      </c>
    </row>
    <row r="5418" spans="1:16" x14ac:dyDescent="0.25">
      <c r="A5418" s="28" t="s">
        <v>27056</v>
      </c>
      <c r="B5418" s="28" t="s">
        <v>27057</v>
      </c>
      <c r="C5418" s="28" t="s">
        <v>1779</v>
      </c>
      <c r="D5418" s="28" t="s">
        <v>5328</v>
      </c>
      <c r="E5418" s="28" t="s">
        <v>27058</v>
      </c>
      <c r="F5418" s="28" t="s">
        <v>21</v>
      </c>
      <c r="G5418" s="28" t="s">
        <v>25396</v>
      </c>
      <c r="H5418" s="28" t="s">
        <v>25556</v>
      </c>
      <c r="I5418" s="28" t="s">
        <v>27059</v>
      </c>
      <c r="J5418" s="28" t="s">
        <v>25396</v>
      </c>
      <c r="K5418" s="28" t="s">
        <v>25558</v>
      </c>
      <c r="L5418" s="28" t="s">
        <v>25559</v>
      </c>
      <c r="M5418" s="28" t="s">
        <v>27060</v>
      </c>
      <c r="N5418" s="28" t="s">
        <v>25561</v>
      </c>
      <c r="O5418" s="28" t="s">
        <v>25562</v>
      </c>
      <c r="P5418" s="28" t="s">
        <v>27061</v>
      </c>
    </row>
    <row r="5419" spans="1:16" x14ac:dyDescent="0.25">
      <c r="A5419" s="28" t="s">
        <v>27062</v>
      </c>
      <c r="B5419" s="28" t="s">
        <v>27063</v>
      </c>
      <c r="C5419" s="28" t="s">
        <v>1779</v>
      </c>
      <c r="D5419" s="28" t="s">
        <v>5328</v>
      </c>
      <c r="E5419" s="28" t="s">
        <v>27064</v>
      </c>
      <c r="F5419" s="28" t="s">
        <v>21</v>
      </c>
      <c r="G5419" s="28" t="s">
        <v>25396</v>
      </c>
      <c r="H5419" s="28" t="s">
        <v>25556</v>
      </c>
      <c r="I5419" s="28" t="s">
        <v>27065</v>
      </c>
      <c r="J5419" s="28" t="s">
        <v>25396</v>
      </c>
      <c r="K5419" s="28" t="s">
        <v>25558</v>
      </c>
      <c r="L5419" s="28" t="s">
        <v>25559</v>
      </c>
      <c r="M5419" s="28" t="s">
        <v>27066</v>
      </c>
      <c r="N5419" s="28" t="s">
        <v>25561</v>
      </c>
      <c r="O5419" s="28" t="s">
        <v>25562</v>
      </c>
      <c r="P5419" s="28" t="s">
        <v>27067</v>
      </c>
    </row>
    <row r="5420" spans="1:16" x14ac:dyDescent="0.25">
      <c r="A5420" s="28" t="s">
        <v>27068</v>
      </c>
      <c r="B5420" s="28" t="s">
        <v>27069</v>
      </c>
      <c r="C5420" s="28" t="s">
        <v>1779</v>
      </c>
      <c r="D5420" s="28" t="s">
        <v>5328</v>
      </c>
      <c r="E5420" s="28" t="s">
        <v>27070</v>
      </c>
      <c r="F5420" s="28" t="s">
        <v>21</v>
      </c>
      <c r="G5420" s="28" t="s">
        <v>25396</v>
      </c>
      <c r="H5420" s="28" t="s">
        <v>25556</v>
      </c>
      <c r="I5420" s="28" t="s">
        <v>27071</v>
      </c>
      <c r="J5420" s="28" t="s">
        <v>25396</v>
      </c>
      <c r="K5420" s="28" t="s">
        <v>25558</v>
      </c>
      <c r="L5420" s="28" t="s">
        <v>25559</v>
      </c>
      <c r="M5420" s="28" t="s">
        <v>27072</v>
      </c>
      <c r="N5420" s="28" t="s">
        <v>25561</v>
      </c>
      <c r="O5420" s="28" t="s">
        <v>25562</v>
      </c>
      <c r="P5420" s="28" t="s">
        <v>27073</v>
      </c>
    </row>
    <row r="5421" spans="1:16" x14ac:dyDescent="0.25">
      <c r="A5421" s="28" t="s">
        <v>27074</v>
      </c>
      <c r="B5421" s="28" t="s">
        <v>27075</v>
      </c>
      <c r="C5421" s="28" t="s">
        <v>1779</v>
      </c>
      <c r="D5421" s="28" t="s">
        <v>5328</v>
      </c>
      <c r="E5421" s="28" t="s">
        <v>26305</v>
      </c>
      <c r="F5421" s="28" t="s">
        <v>21</v>
      </c>
      <c r="G5421" s="28" t="s">
        <v>25396</v>
      </c>
      <c r="H5421" s="28" t="s">
        <v>25556</v>
      </c>
      <c r="I5421" s="28" t="s">
        <v>27076</v>
      </c>
      <c r="J5421" s="28" t="s">
        <v>25396</v>
      </c>
      <c r="K5421" s="28" t="s">
        <v>25558</v>
      </c>
      <c r="L5421" s="28" t="s">
        <v>25559</v>
      </c>
      <c r="M5421" s="28" t="s">
        <v>26307</v>
      </c>
      <c r="N5421" s="28" t="s">
        <v>25561</v>
      </c>
      <c r="O5421" s="28" t="s">
        <v>25562</v>
      </c>
      <c r="P5421" s="28" t="s">
        <v>27077</v>
      </c>
    </row>
    <row r="5422" spans="1:16" x14ac:dyDescent="0.25">
      <c r="A5422" s="28" t="s">
        <v>27078</v>
      </c>
      <c r="B5422" s="28" t="s">
        <v>27079</v>
      </c>
      <c r="C5422" s="28" t="s">
        <v>1779</v>
      </c>
      <c r="D5422" s="28" t="s">
        <v>5328</v>
      </c>
      <c r="E5422" s="28" t="s">
        <v>26311</v>
      </c>
      <c r="F5422" s="28" t="s">
        <v>21</v>
      </c>
      <c r="G5422" s="28" t="s">
        <v>25396</v>
      </c>
      <c r="H5422" s="28" t="s">
        <v>25556</v>
      </c>
      <c r="I5422" s="28" t="s">
        <v>27080</v>
      </c>
      <c r="J5422" s="28" t="s">
        <v>25396</v>
      </c>
      <c r="K5422" s="28" t="s">
        <v>25558</v>
      </c>
      <c r="L5422" s="28" t="s">
        <v>25559</v>
      </c>
      <c r="M5422" s="28" t="s">
        <v>26313</v>
      </c>
      <c r="N5422" s="28" t="s">
        <v>25561</v>
      </c>
      <c r="O5422" s="28" t="s">
        <v>25562</v>
      </c>
      <c r="P5422" s="28" t="s">
        <v>27081</v>
      </c>
    </row>
    <row r="5423" spans="1:16" x14ac:dyDescent="0.25">
      <c r="A5423" s="28" t="s">
        <v>27082</v>
      </c>
      <c r="B5423" s="28" t="s">
        <v>27083</v>
      </c>
      <c r="C5423" s="28" t="s">
        <v>1779</v>
      </c>
      <c r="D5423" s="28" t="s">
        <v>5328</v>
      </c>
      <c r="E5423" s="28" t="s">
        <v>27084</v>
      </c>
      <c r="F5423" s="28" t="s">
        <v>21</v>
      </c>
      <c r="G5423" s="28" t="s">
        <v>25396</v>
      </c>
      <c r="H5423" s="28" t="s">
        <v>25556</v>
      </c>
      <c r="I5423" s="28" t="s">
        <v>27085</v>
      </c>
      <c r="J5423" s="28" t="s">
        <v>25396</v>
      </c>
      <c r="K5423" s="28" t="s">
        <v>25558</v>
      </c>
      <c r="L5423" s="28" t="s">
        <v>25559</v>
      </c>
      <c r="M5423" s="28" t="s">
        <v>27086</v>
      </c>
      <c r="N5423" s="28" t="s">
        <v>25561</v>
      </c>
      <c r="O5423" s="28" t="s">
        <v>25562</v>
      </c>
      <c r="P5423" s="28" t="s">
        <v>27087</v>
      </c>
    </row>
    <row r="5424" spans="1:16" x14ac:dyDescent="0.25">
      <c r="A5424" s="28" t="s">
        <v>27088</v>
      </c>
      <c r="B5424" s="28" t="s">
        <v>27089</v>
      </c>
      <c r="C5424" s="28" t="s">
        <v>1779</v>
      </c>
      <c r="D5424" s="28" t="s">
        <v>5328</v>
      </c>
      <c r="E5424" s="28" t="s">
        <v>27090</v>
      </c>
      <c r="F5424" s="28" t="s">
        <v>21</v>
      </c>
      <c r="G5424" s="28" t="s">
        <v>25396</v>
      </c>
      <c r="H5424" s="28" t="s">
        <v>25556</v>
      </c>
      <c r="I5424" s="28" t="s">
        <v>27091</v>
      </c>
      <c r="J5424" s="28" t="s">
        <v>25396</v>
      </c>
      <c r="K5424" s="28" t="s">
        <v>25558</v>
      </c>
      <c r="L5424" s="28" t="s">
        <v>25559</v>
      </c>
      <c r="M5424" s="28" t="s">
        <v>27092</v>
      </c>
      <c r="N5424" s="28" t="s">
        <v>25561</v>
      </c>
      <c r="O5424" s="28" t="s">
        <v>25562</v>
      </c>
      <c r="P5424" s="28" t="s">
        <v>27093</v>
      </c>
    </row>
    <row r="5425" spans="1:16" x14ac:dyDescent="0.25">
      <c r="A5425" s="28" t="s">
        <v>27094</v>
      </c>
      <c r="B5425" s="28" t="s">
        <v>27095</v>
      </c>
      <c r="C5425" s="28" t="s">
        <v>1779</v>
      </c>
      <c r="D5425" s="28" t="s">
        <v>5328</v>
      </c>
      <c r="E5425" s="28" t="s">
        <v>27096</v>
      </c>
      <c r="F5425" s="28" t="s">
        <v>21</v>
      </c>
      <c r="G5425" s="28" t="s">
        <v>25396</v>
      </c>
      <c r="H5425" s="28" t="s">
        <v>25556</v>
      </c>
      <c r="I5425" s="28" t="s">
        <v>27097</v>
      </c>
      <c r="J5425" s="28" t="s">
        <v>25396</v>
      </c>
      <c r="K5425" s="28" t="s">
        <v>25558</v>
      </c>
      <c r="L5425" s="28" t="s">
        <v>25559</v>
      </c>
      <c r="M5425" s="28" t="s">
        <v>27098</v>
      </c>
      <c r="N5425" s="28" t="s">
        <v>25561</v>
      </c>
      <c r="O5425" s="28" t="s">
        <v>25562</v>
      </c>
      <c r="P5425" s="28" t="s">
        <v>27099</v>
      </c>
    </row>
    <row r="5426" spans="1:16" x14ac:dyDescent="0.25">
      <c r="A5426" s="28" t="s">
        <v>27100</v>
      </c>
      <c r="B5426" s="28" t="s">
        <v>27101</v>
      </c>
      <c r="C5426" s="28" t="s">
        <v>1779</v>
      </c>
      <c r="D5426" s="28" t="s">
        <v>5328</v>
      </c>
      <c r="E5426" s="28" t="s">
        <v>27102</v>
      </c>
      <c r="F5426" s="28" t="s">
        <v>21</v>
      </c>
      <c r="G5426" s="28" t="s">
        <v>25396</v>
      </c>
      <c r="H5426" s="28" t="s">
        <v>25556</v>
      </c>
      <c r="I5426" s="28" t="s">
        <v>27103</v>
      </c>
      <c r="J5426" s="28" t="s">
        <v>25396</v>
      </c>
      <c r="K5426" s="28" t="s">
        <v>25558</v>
      </c>
      <c r="L5426" s="28" t="s">
        <v>25559</v>
      </c>
      <c r="M5426" s="28" t="s">
        <v>27104</v>
      </c>
      <c r="N5426" s="28" t="s">
        <v>25561</v>
      </c>
      <c r="O5426" s="28" t="s">
        <v>25562</v>
      </c>
      <c r="P5426" s="28" t="s">
        <v>27105</v>
      </c>
    </row>
    <row r="5427" spans="1:16" x14ac:dyDescent="0.25">
      <c r="A5427" s="28" t="s">
        <v>27106</v>
      </c>
      <c r="B5427" s="28" t="s">
        <v>27107</v>
      </c>
      <c r="C5427" s="28" t="s">
        <v>1779</v>
      </c>
      <c r="D5427" s="28" t="s">
        <v>5328</v>
      </c>
      <c r="E5427" s="28" t="s">
        <v>2880</v>
      </c>
      <c r="F5427" s="28" t="s">
        <v>21</v>
      </c>
      <c r="G5427" s="28" t="s">
        <v>25396</v>
      </c>
      <c r="H5427" s="28" t="s">
        <v>25556</v>
      </c>
      <c r="I5427" s="28" t="s">
        <v>27108</v>
      </c>
      <c r="J5427" s="28" t="s">
        <v>25396</v>
      </c>
      <c r="K5427" s="28" t="s">
        <v>25558</v>
      </c>
      <c r="L5427" s="28" t="s">
        <v>25559</v>
      </c>
      <c r="M5427" s="28" t="s">
        <v>27109</v>
      </c>
      <c r="N5427" s="28" t="s">
        <v>25561</v>
      </c>
      <c r="O5427" s="28" t="s">
        <v>25562</v>
      </c>
      <c r="P5427" s="28" t="s">
        <v>27110</v>
      </c>
    </row>
    <row r="5428" spans="1:16" x14ac:dyDescent="0.25">
      <c r="A5428" s="28" t="s">
        <v>27111</v>
      </c>
      <c r="B5428" s="28" t="s">
        <v>27112</v>
      </c>
      <c r="C5428" s="28" t="s">
        <v>1779</v>
      </c>
      <c r="D5428" s="28" t="s">
        <v>5328</v>
      </c>
      <c r="E5428" s="28" t="s">
        <v>27113</v>
      </c>
      <c r="F5428" s="28" t="s">
        <v>21</v>
      </c>
      <c r="G5428" s="28" t="s">
        <v>25396</v>
      </c>
      <c r="H5428" s="28" t="s">
        <v>25556</v>
      </c>
      <c r="I5428" s="28" t="s">
        <v>27114</v>
      </c>
      <c r="J5428" s="28" t="s">
        <v>25396</v>
      </c>
      <c r="K5428" s="28" t="s">
        <v>25558</v>
      </c>
      <c r="L5428" s="28" t="s">
        <v>25559</v>
      </c>
      <c r="M5428" s="28" t="s">
        <v>27115</v>
      </c>
      <c r="N5428" s="28" t="s">
        <v>25561</v>
      </c>
      <c r="O5428" s="28" t="s">
        <v>25562</v>
      </c>
      <c r="P5428" s="28" t="s">
        <v>27116</v>
      </c>
    </row>
    <row r="5429" spans="1:16" x14ac:dyDescent="0.25">
      <c r="A5429" s="28" t="s">
        <v>27117</v>
      </c>
      <c r="B5429" s="28" t="s">
        <v>27118</v>
      </c>
      <c r="C5429" s="28" t="s">
        <v>1779</v>
      </c>
      <c r="D5429" s="28" t="s">
        <v>5328</v>
      </c>
      <c r="E5429" s="28" t="s">
        <v>27119</v>
      </c>
      <c r="F5429" s="28" t="s">
        <v>21</v>
      </c>
      <c r="G5429" s="28" t="s">
        <v>25396</v>
      </c>
      <c r="H5429" s="28" t="s">
        <v>25556</v>
      </c>
      <c r="I5429" s="28" t="s">
        <v>27120</v>
      </c>
      <c r="J5429" s="28" t="s">
        <v>25396</v>
      </c>
      <c r="K5429" s="28" t="s">
        <v>25558</v>
      </c>
      <c r="L5429" s="28" t="s">
        <v>25559</v>
      </c>
      <c r="M5429" s="28" t="s">
        <v>27121</v>
      </c>
      <c r="N5429" s="28" t="s">
        <v>25561</v>
      </c>
      <c r="O5429" s="28" t="s">
        <v>25562</v>
      </c>
      <c r="P5429" s="28" t="s">
        <v>27122</v>
      </c>
    </row>
    <row r="5430" spans="1:16" x14ac:dyDescent="0.25">
      <c r="A5430" s="28" t="s">
        <v>27123</v>
      </c>
      <c r="B5430" s="28" t="s">
        <v>27124</v>
      </c>
      <c r="C5430" s="28" t="s">
        <v>1779</v>
      </c>
      <c r="D5430" s="28" t="s">
        <v>5328</v>
      </c>
      <c r="E5430" s="28" t="s">
        <v>2889</v>
      </c>
      <c r="F5430" s="28" t="s">
        <v>21</v>
      </c>
      <c r="G5430" s="28" t="s">
        <v>25396</v>
      </c>
      <c r="H5430" s="28" t="s">
        <v>25556</v>
      </c>
      <c r="I5430" s="28" t="s">
        <v>27125</v>
      </c>
      <c r="J5430" s="28" t="s">
        <v>25396</v>
      </c>
      <c r="K5430" s="28" t="s">
        <v>25558</v>
      </c>
      <c r="L5430" s="28" t="s">
        <v>25559</v>
      </c>
      <c r="M5430" s="28" t="s">
        <v>27126</v>
      </c>
      <c r="N5430" s="28" t="s">
        <v>25561</v>
      </c>
      <c r="O5430" s="28" t="s">
        <v>25562</v>
      </c>
      <c r="P5430" s="28" t="s">
        <v>27127</v>
      </c>
    </row>
    <row r="5431" spans="1:16" x14ac:dyDescent="0.25">
      <c r="A5431" s="28" t="s">
        <v>27128</v>
      </c>
      <c r="B5431" s="28" t="s">
        <v>27129</v>
      </c>
      <c r="C5431" s="28" t="s">
        <v>1779</v>
      </c>
      <c r="D5431" s="28" t="s">
        <v>5328</v>
      </c>
      <c r="E5431" s="28" t="s">
        <v>27130</v>
      </c>
      <c r="F5431" s="28" t="s">
        <v>21</v>
      </c>
      <c r="G5431" s="28" t="s">
        <v>25396</v>
      </c>
      <c r="H5431" s="28" t="s">
        <v>25556</v>
      </c>
      <c r="I5431" s="28" t="s">
        <v>27131</v>
      </c>
      <c r="J5431" s="28" t="s">
        <v>25396</v>
      </c>
      <c r="K5431" s="28" t="s">
        <v>25558</v>
      </c>
      <c r="L5431" s="28" t="s">
        <v>25559</v>
      </c>
      <c r="M5431" s="28" t="s">
        <v>27132</v>
      </c>
      <c r="N5431" s="28" t="s">
        <v>25561</v>
      </c>
      <c r="O5431" s="28" t="s">
        <v>25562</v>
      </c>
      <c r="P5431" s="28" t="s">
        <v>27133</v>
      </c>
    </row>
    <row r="5432" spans="1:16" x14ac:dyDescent="0.25">
      <c r="A5432" s="28" t="s">
        <v>27134</v>
      </c>
      <c r="B5432" s="28" t="s">
        <v>27135</v>
      </c>
      <c r="C5432" s="28" t="s">
        <v>1779</v>
      </c>
      <c r="D5432" s="28" t="s">
        <v>5328</v>
      </c>
      <c r="E5432" s="28" t="s">
        <v>5345</v>
      </c>
      <c r="F5432" s="28" t="s">
        <v>21</v>
      </c>
      <c r="G5432" s="28" t="s">
        <v>25396</v>
      </c>
      <c r="H5432" s="28" t="s">
        <v>25556</v>
      </c>
      <c r="I5432" s="28" t="s">
        <v>27136</v>
      </c>
      <c r="J5432" s="28" t="s">
        <v>25396</v>
      </c>
      <c r="K5432" s="28" t="s">
        <v>25558</v>
      </c>
      <c r="L5432" s="28" t="s">
        <v>25559</v>
      </c>
      <c r="M5432" s="28" t="s">
        <v>27137</v>
      </c>
      <c r="N5432" s="28" t="s">
        <v>25561</v>
      </c>
      <c r="O5432" s="28" t="s">
        <v>25562</v>
      </c>
      <c r="P5432" s="28" t="s">
        <v>27138</v>
      </c>
    </row>
    <row r="5433" spans="1:16" x14ac:dyDescent="0.25">
      <c r="A5433" s="28" t="s">
        <v>27139</v>
      </c>
      <c r="B5433" s="28" t="s">
        <v>27140</v>
      </c>
      <c r="C5433" s="28" t="s">
        <v>1779</v>
      </c>
      <c r="D5433" s="28" t="s">
        <v>5328</v>
      </c>
      <c r="E5433" s="28" t="s">
        <v>27141</v>
      </c>
      <c r="F5433" s="28" t="s">
        <v>21</v>
      </c>
      <c r="G5433" s="28" t="s">
        <v>25396</v>
      </c>
      <c r="H5433" s="28" t="s">
        <v>25556</v>
      </c>
      <c r="I5433" s="28" t="s">
        <v>27142</v>
      </c>
      <c r="J5433" s="28" t="s">
        <v>25396</v>
      </c>
      <c r="K5433" s="28" t="s">
        <v>25558</v>
      </c>
      <c r="L5433" s="28" t="s">
        <v>25559</v>
      </c>
      <c r="M5433" s="28" t="s">
        <v>27143</v>
      </c>
      <c r="N5433" s="28" t="s">
        <v>25561</v>
      </c>
      <c r="O5433" s="28" t="s">
        <v>25562</v>
      </c>
      <c r="P5433" s="28" t="s">
        <v>27144</v>
      </c>
    </row>
    <row r="5434" spans="1:16" x14ac:dyDescent="0.25">
      <c r="A5434" s="28" t="s">
        <v>27145</v>
      </c>
      <c r="B5434" s="28" t="s">
        <v>27146</v>
      </c>
      <c r="C5434" s="28" t="s">
        <v>1779</v>
      </c>
      <c r="D5434" s="28" t="s">
        <v>5328</v>
      </c>
      <c r="E5434" s="28" t="s">
        <v>27147</v>
      </c>
      <c r="F5434" s="28" t="s">
        <v>21</v>
      </c>
      <c r="G5434" s="28" t="s">
        <v>25396</v>
      </c>
      <c r="H5434" s="28" t="s">
        <v>25556</v>
      </c>
      <c r="I5434" s="28" t="s">
        <v>27148</v>
      </c>
      <c r="J5434" s="28" t="s">
        <v>25396</v>
      </c>
      <c r="K5434" s="28" t="s">
        <v>25558</v>
      </c>
      <c r="L5434" s="28" t="s">
        <v>25559</v>
      </c>
      <c r="M5434" s="28" t="s">
        <v>27149</v>
      </c>
      <c r="N5434" s="28" t="s">
        <v>25561</v>
      </c>
      <c r="O5434" s="28" t="s">
        <v>25562</v>
      </c>
      <c r="P5434" s="28" t="s">
        <v>27150</v>
      </c>
    </row>
    <row r="5435" spans="1:16" x14ac:dyDescent="0.25">
      <c r="A5435" s="28" t="s">
        <v>27151</v>
      </c>
      <c r="B5435" s="28" t="s">
        <v>27152</v>
      </c>
      <c r="C5435" s="28" t="s">
        <v>1779</v>
      </c>
      <c r="D5435" s="28" t="s">
        <v>5328</v>
      </c>
      <c r="E5435" s="28" t="s">
        <v>26317</v>
      </c>
      <c r="F5435" s="28" t="s">
        <v>21</v>
      </c>
      <c r="G5435" s="28" t="s">
        <v>25396</v>
      </c>
      <c r="H5435" s="28" t="s">
        <v>25556</v>
      </c>
      <c r="I5435" s="28" t="s">
        <v>27153</v>
      </c>
      <c r="J5435" s="28" t="s">
        <v>25396</v>
      </c>
      <c r="K5435" s="28" t="s">
        <v>25558</v>
      </c>
      <c r="L5435" s="28" t="s">
        <v>25559</v>
      </c>
      <c r="M5435" s="28" t="s">
        <v>26319</v>
      </c>
      <c r="N5435" s="28" t="s">
        <v>25561</v>
      </c>
      <c r="O5435" s="28" t="s">
        <v>25562</v>
      </c>
      <c r="P5435" s="28" t="s">
        <v>27154</v>
      </c>
    </row>
    <row r="5436" spans="1:16" x14ac:dyDescent="0.25">
      <c r="A5436" s="28" t="s">
        <v>27155</v>
      </c>
      <c r="B5436" s="28" t="s">
        <v>27156</v>
      </c>
      <c r="C5436" s="28" t="s">
        <v>1779</v>
      </c>
      <c r="D5436" s="28" t="s">
        <v>5328</v>
      </c>
      <c r="E5436" s="28" t="s">
        <v>2896</v>
      </c>
      <c r="F5436" s="28" t="s">
        <v>21</v>
      </c>
      <c r="G5436" s="28" t="s">
        <v>25396</v>
      </c>
      <c r="H5436" s="28" t="s">
        <v>25556</v>
      </c>
      <c r="I5436" s="28" t="s">
        <v>27157</v>
      </c>
      <c r="J5436" s="28" t="s">
        <v>25396</v>
      </c>
      <c r="K5436" s="28" t="s">
        <v>25558</v>
      </c>
      <c r="L5436" s="28" t="s">
        <v>25559</v>
      </c>
      <c r="M5436" s="28" t="s">
        <v>26324</v>
      </c>
      <c r="N5436" s="28" t="s">
        <v>25561</v>
      </c>
      <c r="O5436" s="28" t="s">
        <v>25562</v>
      </c>
      <c r="P5436" s="28" t="s">
        <v>27158</v>
      </c>
    </row>
    <row r="5437" spans="1:16" x14ac:dyDescent="0.25">
      <c r="A5437" s="28" t="s">
        <v>27159</v>
      </c>
      <c r="B5437" s="28" t="s">
        <v>27160</v>
      </c>
      <c r="C5437" s="28" t="s">
        <v>1779</v>
      </c>
      <c r="D5437" s="28" t="s">
        <v>5328</v>
      </c>
      <c r="E5437" s="28" t="s">
        <v>2905</v>
      </c>
      <c r="F5437" s="28" t="s">
        <v>21</v>
      </c>
      <c r="G5437" s="28" t="s">
        <v>25396</v>
      </c>
      <c r="H5437" s="28" t="s">
        <v>25556</v>
      </c>
      <c r="I5437" s="28" t="s">
        <v>27161</v>
      </c>
      <c r="J5437" s="28" t="s">
        <v>25396</v>
      </c>
      <c r="K5437" s="28" t="s">
        <v>25558</v>
      </c>
      <c r="L5437" s="28" t="s">
        <v>25559</v>
      </c>
      <c r="M5437" s="28" t="s">
        <v>26329</v>
      </c>
      <c r="N5437" s="28" t="s">
        <v>25561</v>
      </c>
      <c r="O5437" s="28" t="s">
        <v>25562</v>
      </c>
      <c r="P5437" s="28" t="s">
        <v>27162</v>
      </c>
    </row>
    <row r="5438" spans="1:16" x14ac:dyDescent="0.25">
      <c r="A5438" s="28" t="s">
        <v>27163</v>
      </c>
      <c r="B5438" s="28" t="s">
        <v>27164</v>
      </c>
      <c r="C5438" s="28" t="s">
        <v>1779</v>
      </c>
      <c r="D5438" s="28" t="s">
        <v>5328</v>
      </c>
      <c r="E5438" s="28" t="s">
        <v>26333</v>
      </c>
      <c r="F5438" s="28" t="s">
        <v>21</v>
      </c>
      <c r="G5438" s="28" t="s">
        <v>25396</v>
      </c>
      <c r="H5438" s="28" t="s">
        <v>25556</v>
      </c>
      <c r="I5438" s="28" t="s">
        <v>27165</v>
      </c>
      <c r="J5438" s="28" t="s">
        <v>25396</v>
      </c>
      <c r="K5438" s="28" t="s">
        <v>25558</v>
      </c>
      <c r="L5438" s="28" t="s">
        <v>25559</v>
      </c>
      <c r="M5438" s="28" t="s">
        <v>26335</v>
      </c>
      <c r="N5438" s="28" t="s">
        <v>25561</v>
      </c>
      <c r="O5438" s="28" t="s">
        <v>25562</v>
      </c>
      <c r="P5438" s="28" t="s">
        <v>27166</v>
      </c>
    </row>
    <row r="5439" spans="1:16" x14ac:dyDescent="0.25">
      <c r="A5439" s="28" t="s">
        <v>27167</v>
      </c>
      <c r="B5439" s="28" t="s">
        <v>27168</v>
      </c>
      <c r="C5439" s="28" t="s">
        <v>1779</v>
      </c>
      <c r="D5439" s="28" t="s">
        <v>5328</v>
      </c>
      <c r="E5439" s="28" t="s">
        <v>26339</v>
      </c>
      <c r="F5439" s="28" t="s">
        <v>21</v>
      </c>
      <c r="G5439" s="28" t="s">
        <v>25396</v>
      </c>
      <c r="H5439" s="28" t="s">
        <v>25556</v>
      </c>
      <c r="I5439" s="28" t="s">
        <v>27169</v>
      </c>
      <c r="J5439" s="28" t="s">
        <v>25396</v>
      </c>
      <c r="K5439" s="28" t="s">
        <v>25558</v>
      </c>
      <c r="L5439" s="28" t="s">
        <v>25559</v>
      </c>
      <c r="M5439" s="28" t="s">
        <v>26341</v>
      </c>
      <c r="N5439" s="28" t="s">
        <v>25561</v>
      </c>
      <c r="O5439" s="28" t="s">
        <v>25562</v>
      </c>
      <c r="P5439" s="28" t="s">
        <v>27170</v>
      </c>
    </row>
    <row r="5440" spans="1:16" x14ac:dyDescent="0.25">
      <c r="A5440" s="28" t="s">
        <v>27171</v>
      </c>
      <c r="B5440" s="28" t="s">
        <v>27172</v>
      </c>
      <c r="C5440" s="28" t="s">
        <v>1779</v>
      </c>
      <c r="D5440" s="28" t="s">
        <v>5328</v>
      </c>
      <c r="E5440" s="28" t="s">
        <v>26345</v>
      </c>
      <c r="F5440" s="28" t="s">
        <v>21</v>
      </c>
      <c r="G5440" s="28" t="s">
        <v>25396</v>
      </c>
      <c r="H5440" s="28" t="s">
        <v>25556</v>
      </c>
      <c r="I5440" s="28" t="s">
        <v>27173</v>
      </c>
      <c r="J5440" s="28" t="s">
        <v>25396</v>
      </c>
      <c r="K5440" s="28" t="s">
        <v>25558</v>
      </c>
      <c r="L5440" s="28" t="s">
        <v>25559</v>
      </c>
      <c r="M5440" s="28" t="s">
        <v>26347</v>
      </c>
      <c r="N5440" s="28" t="s">
        <v>25561</v>
      </c>
      <c r="O5440" s="28" t="s">
        <v>25562</v>
      </c>
      <c r="P5440" s="28" t="s">
        <v>27174</v>
      </c>
    </row>
    <row r="5441" spans="1:16" x14ac:dyDescent="0.25">
      <c r="A5441" s="28" t="s">
        <v>27175</v>
      </c>
      <c r="B5441" s="28" t="s">
        <v>27176</v>
      </c>
      <c r="C5441" s="28" t="s">
        <v>1779</v>
      </c>
      <c r="D5441" s="28" t="s">
        <v>5328</v>
      </c>
      <c r="E5441" s="28" t="s">
        <v>2928</v>
      </c>
      <c r="F5441" s="28" t="s">
        <v>21</v>
      </c>
      <c r="G5441" s="28" t="s">
        <v>25396</v>
      </c>
      <c r="H5441" s="28" t="s">
        <v>25556</v>
      </c>
      <c r="I5441" s="28" t="s">
        <v>27177</v>
      </c>
      <c r="J5441" s="28" t="s">
        <v>25396</v>
      </c>
      <c r="K5441" s="28" t="s">
        <v>25558</v>
      </c>
      <c r="L5441" s="28" t="s">
        <v>25559</v>
      </c>
      <c r="M5441" s="28" t="s">
        <v>26352</v>
      </c>
      <c r="N5441" s="28" t="s">
        <v>25561</v>
      </c>
      <c r="O5441" s="28" t="s">
        <v>25562</v>
      </c>
      <c r="P5441" s="28" t="s">
        <v>27178</v>
      </c>
    </row>
    <row r="5442" spans="1:16" x14ac:dyDescent="0.25">
      <c r="A5442" s="28" t="s">
        <v>27179</v>
      </c>
      <c r="B5442" s="28" t="s">
        <v>27180</v>
      </c>
      <c r="C5442" s="28" t="s">
        <v>1779</v>
      </c>
      <c r="D5442" s="28" t="s">
        <v>5328</v>
      </c>
      <c r="E5442" s="28" t="s">
        <v>2933</v>
      </c>
      <c r="F5442" s="28" t="s">
        <v>21</v>
      </c>
      <c r="G5442" s="28" t="s">
        <v>25396</v>
      </c>
      <c r="H5442" s="28" t="s">
        <v>25556</v>
      </c>
      <c r="I5442" s="28" t="s">
        <v>27181</v>
      </c>
      <c r="J5442" s="28" t="s">
        <v>25396</v>
      </c>
      <c r="K5442" s="28" t="s">
        <v>25558</v>
      </c>
      <c r="L5442" s="28" t="s">
        <v>25559</v>
      </c>
      <c r="M5442" s="28" t="s">
        <v>26357</v>
      </c>
      <c r="N5442" s="28" t="s">
        <v>25561</v>
      </c>
      <c r="O5442" s="28" t="s">
        <v>25562</v>
      </c>
      <c r="P5442" s="28" t="s">
        <v>27182</v>
      </c>
    </row>
    <row r="5443" spans="1:16" x14ac:dyDescent="0.25">
      <c r="A5443" s="28" t="s">
        <v>27183</v>
      </c>
      <c r="B5443" s="28" t="s">
        <v>27184</v>
      </c>
      <c r="C5443" s="28" t="s">
        <v>1779</v>
      </c>
      <c r="D5443" s="28" t="s">
        <v>5328</v>
      </c>
      <c r="E5443" s="28" t="s">
        <v>26361</v>
      </c>
      <c r="F5443" s="28" t="s">
        <v>21</v>
      </c>
      <c r="G5443" s="28" t="s">
        <v>25396</v>
      </c>
      <c r="H5443" s="28" t="s">
        <v>25556</v>
      </c>
      <c r="I5443" s="28" t="s">
        <v>27185</v>
      </c>
      <c r="J5443" s="28" t="s">
        <v>25396</v>
      </c>
      <c r="K5443" s="28" t="s">
        <v>25558</v>
      </c>
      <c r="L5443" s="28" t="s">
        <v>25559</v>
      </c>
      <c r="M5443" s="28" t="s">
        <v>26363</v>
      </c>
      <c r="N5443" s="28" t="s">
        <v>25561</v>
      </c>
      <c r="O5443" s="28" t="s">
        <v>25562</v>
      </c>
      <c r="P5443" s="28" t="s">
        <v>27186</v>
      </c>
    </row>
    <row r="5444" spans="1:16" x14ac:dyDescent="0.25">
      <c r="A5444" s="28" t="s">
        <v>27187</v>
      </c>
      <c r="B5444" s="28" t="s">
        <v>27188</v>
      </c>
      <c r="C5444" s="28" t="s">
        <v>1779</v>
      </c>
      <c r="D5444" s="28" t="s">
        <v>5328</v>
      </c>
      <c r="E5444" s="28" t="s">
        <v>24367</v>
      </c>
      <c r="F5444" s="28" t="s">
        <v>21</v>
      </c>
      <c r="G5444" s="28" t="s">
        <v>25396</v>
      </c>
      <c r="H5444" s="28" t="s">
        <v>25556</v>
      </c>
      <c r="I5444" s="28" t="s">
        <v>27189</v>
      </c>
      <c r="J5444" s="28" t="s">
        <v>25396</v>
      </c>
      <c r="K5444" s="28" t="s">
        <v>25558</v>
      </c>
      <c r="L5444" s="28" t="s">
        <v>25559</v>
      </c>
      <c r="M5444" s="28" t="s">
        <v>26368</v>
      </c>
      <c r="N5444" s="28" t="s">
        <v>25561</v>
      </c>
      <c r="O5444" s="28" t="s">
        <v>25562</v>
      </c>
      <c r="P5444" s="28" t="s">
        <v>27190</v>
      </c>
    </row>
    <row r="5445" spans="1:16" x14ac:dyDescent="0.25">
      <c r="A5445" s="28" t="s">
        <v>27191</v>
      </c>
      <c r="B5445" s="28" t="s">
        <v>27192</v>
      </c>
      <c r="C5445" s="28" t="s">
        <v>1779</v>
      </c>
      <c r="D5445" s="28" t="s">
        <v>5328</v>
      </c>
      <c r="E5445" s="28" t="s">
        <v>26372</v>
      </c>
      <c r="F5445" s="28" t="s">
        <v>21</v>
      </c>
      <c r="G5445" s="28" t="s">
        <v>25396</v>
      </c>
      <c r="H5445" s="28" t="s">
        <v>25556</v>
      </c>
      <c r="I5445" s="28" t="s">
        <v>27193</v>
      </c>
      <c r="J5445" s="28" t="s">
        <v>25396</v>
      </c>
      <c r="K5445" s="28" t="s">
        <v>25558</v>
      </c>
      <c r="L5445" s="28" t="s">
        <v>25559</v>
      </c>
      <c r="M5445" s="28" t="s">
        <v>26374</v>
      </c>
      <c r="N5445" s="28" t="s">
        <v>25561</v>
      </c>
      <c r="O5445" s="28" t="s">
        <v>25562</v>
      </c>
      <c r="P5445" s="28" t="s">
        <v>27194</v>
      </c>
    </row>
    <row r="5446" spans="1:16" x14ac:dyDescent="0.25">
      <c r="A5446" s="28" t="s">
        <v>27195</v>
      </c>
      <c r="B5446" s="28" t="s">
        <v>27196</v>
      </c>
      <c r="C5446" s="28" t="s">
        <v>1779</v>
      </c>
      <c r="D5446" s="28" t="s">
        <v>5328</v>
      </c>
      <c r="E5446" s="28" t="s">
        <v>27197</v>
      </c>
      <c r="F5446" s="28" t="s">
        <v>21</v>
      </c>
      <c r="G5446" s="28" t="s">
        <v>25396</v>
      </c>
      <c r="H5446" s="28" t="s">
        <v>25556</v>
      </c>
      <c r="I5446" s="28" t="s">
        <v>27198</v>
      </c>
      <c r="J5446" s="28" t="s">
        <v>25396</v>
      </c>
      <c r="K5446" s="28" t="s">
        <v>25558</v>
      </c>
      <c r="L5446" s="28" t="s">
        <v>25559</v>
      </c>
      <c r="M5446" s="28" t="s">
        <v>27199</v>
      </c>
      <c r="N5446" s="28" t="s">
        <v>25561</v>
      </c>
      <c r="O5446" s="28" t="s">
        <v>25562</v>
      </c>
      <c r="P5446" s="28" t="s">
        <v>27200</v>
      </c>
    </row>
    <row r="5447" spans="1:16" x14ac:dyDescent="0.25">
      <c r="A5447" s="28" t="s">
        <v>27201</v>
      </c>
      <c r="B5447" s="28" t="s">
        <v>27202</v>
      </c>
      <c r="C5447" s="28" t="s">
        <v>1779</v>
      </c>
      <c r="D5447" s="28" t="s">
        <v>5328</v>
      </c>
      <c r="E5447" s="28" t="s">
        <v>27203</v>
      </c>
      <c r="F5447" s="28" t="s">
        <v>21</v>
      </c>
      <c r="G5447" s="28" t="s">
        <v>25396</v>
      </c>
      <c r="H5447" s="28" t="s">
        <v>25556</v>
      </c>
      <c r="I5447" s="28" t="s">
        <v>27204</v>
      </c>
      <c r="J5447" s="28" t="s">
        <v>25396</v>
      </c>
      <c r="K5447" s="28" t="s">
        <v>25558</v>
      </c>
      <c r="L5447" s="28" t="s">
        <v>25559</v>
      </c>
      <c r="M5447" s="28" t="s">
        <v>27205</v>
      </c>
      <c r="N5447" s="28" t="s">
        <v>25561</v>
      </c>
      <c r="O5447" s="28" t="s">
        <v>25562</v>
      </c>
      <c r="P5447" s="28" t="s">
        <v>27206</v>
      </c>
    </row>
    <row r="5448" spans="1:16" x14ac:dyDescent="0.25">
      <c r="A5448" s="28" t="s">
        <v>27207</v>
      </c>
      <c r="B5448" s="28" t="s">
        <v>27208</v>
      </c>
      <c r="C5448" s="28" t="s">
        <v>1779</v>
      </c>
      <c r="D5448" s="28" t="s">
        <v>5328</v>
      </c>
      <c r="E5448" s="28" t="s">
        <v>27209</v>
      </c>
      <c r="F5448" s="28" t="s">
        <v>21</v>
      </c>
      <c r="G5448" s="28" t="s">
        <v>25396</v>
      </c>
      <c r="H5448" s="28" t="s">
        <v>25556</v>
      </c>
      <c r="I5448" s="28" t="s">
        <v>27210</v>
      </c>
      <c r="J5448" s="28" t="s">
        <v>25396</v>
      </c>
      <c r="K5448" s="28" t="s">
        <v>25558</v>
      </c>
      <c r="L5448" s="28" t="s">
        <v>25559</v>
      </c>
      <c r="M5448" s="28" t="s">
        <v>27211</v>
      </c>
      <c r="N5448" s="28" t="s">
        <v>25561</v>
      </c>
      <c r="O5448" s="28" t="s">
        <v>25562</v>
      </c>
      <c r="P5448" s="28" t="s">
        <v>27212</v>
      </c>
    </row>
    <row r="5449" spans="1:16" x14ac:dyDescent="0.25">
      <c r="A5449" s="28" t="s">
        <v>27213</v>
      </c>
      <c r="B5449" s="28" t="s">
        <v>27214</v>
      </c>
      <c r="C5449" s="28" t="s">
        <v>1779</v>
      </c>
      <c r="D5449" s="28" t="s">
        <v>5328</v>
      </c>
      <c r="E5449" s="28" t="s">
        <v>27215</v>
      </c>
      <c r="F5449" s="28" t="s">
        <v>21</v>
      </c>
      <c r="G5449" s="28" t="s">
        <v>25396</v>
      </c>
      <c r="H5449" s="28" t="s">
        <v>25556</v>
      </c>
      <c r="I5449" s="28" t="s">
        <v>27216</v>
      </c>
      <c r="J5449" s="28" t="s">
        <v>25396</v>
      </c>
      <c r="K5449" s="28" t="s">
        <v>25558</v>
      </c>
      <c r="L5449" s="28" t="s">
        <v>25559</v>
      </c>
      <c r="M5449" s="28" t="s">
        <v>27217</v>
      </c>
      <c r="N5449" s="28" t="s">
        <v>25561</v>
      </c>
      <c r="O5449" s="28" t="s">
        <v>25562</v>
      </c>
      <c r="P5449" s="28" t="s">
        <v>27218</v>
      </c>
    </row>
    <row r="5450" spans="1:16" x14ac:dyDescent="0.25">
      <c r="A5450" s="28" t="s">
        <v>27219</v>
      </c>
      <c r="B5450" s="28" t="s">
        <v>27220</v>
      </c>
      <c r="C5450" s="28" t="s">
        <v>1779</v>
      </c>
      <c r="D5450" s="28" t="s">
        <v>5372</v>
      </c>
      <c r="E5450" s="28" t="s">
        <v>26037</v>
      </c>
      <c r="F5450" s="28" t="s">
        <v>21</v>
      </c>
      <c r="G5450" s="28" t="s">
        <v>25396</v>
      </c>
      <c r="H5450" s="28" t="s">
        <v>25556</v>
      </c>
      <c r="I5450" s="28" t="s">
        <v>27221</v>
      </c>
      <c r="J5450" s="28" t="s">
        <v>25396</v>
      </c>
      <c r="K5450" s="28" t="s">
        <v>25558</v>
      </c>
      <c r="L5450" s="28" t="s">
        <v>25559</v>
      </c>
      <c r="M5450" s="28" t="s">
        <v>26039</v>
      </c>
      <c r="N5450" s="28" t="s">
        <v>25561</v>
      </c>
      <c r="O5450" s="28" t="s">
        <v>25562</v>
      </c>
      <c r="P5450" s="28" t="s">
        <v>27222</v>
      </c>
    </row>
    <row r="5451" spans="1:16" x14ac:dyDescent="0.25">
      <c r="A5451" s="28" t="s">
        <v>27223</v>
      </c>
      <c r="B5451" s="28" t="s">
        <v>27224</v>
      </c>
      <c r="C5451" s="28" t="s">
        <v>1779</v>
      </c>
      <c r="D5451" s="28" t="s">
        <v>5372</v>
      </c>
      <c r="E5451" s="28" t="s">
        <v>1427</v>
      </c>
      <c r="F5451" s="28" t="s">
        <v>21</v>
      </c>
      <c r="G5451" s="28" t="s">
        <v>25396</v>
      </c>
      <c r="H5451" s="28" t="s">
        <v>25556</v>
      </c>
      <c r="I5451" s="28" t="s">
        <v>27225</v>
      </c>
      <c r="J5451" s="28" t="s">
        <v>25396</v>
      </c>
      <c r="K5451" s="28" t="s">
        <v>25558</v>
      </c>
      <c r="L5451" s="28" t="s">
        <v>25559</v>
      </c>
      <c r="M5451" s="28" t="s">
        <v>26061</v>
      </c>
      <c r="N5451" s="28" t="s">
        <v>25561</v>
      </c>
      <c r="O5451" s="28" t="s">
        <v>25562</v>
      </c>
      <c r="P5451" s="28" t="s">
        <v>27226</v>
      </c>
    </row>
    <row r="5452" spans="1:16" x14ac:dyDescent="0.25">
      <c r="A5452" s="28" t="s">
        <v>27227</v>
      </c>
      <c r="B5452" s="28" t="s">
        <v>27228</v>
      </c>
      <c r="C5452" s="28" t="s">
        <v>1779</v>
      </c>
      <c r="D5452" s="28" t="s">
        <v>5372</v>
      </c>
      <c r="E5452" s="28" t="s">
        <v>26087</v>
      </c>
      <c r="F5452" s="28" t="s">
        <v>21</v>
      </c>
      <c r="G5452" s="28" t="s">
        <v>25396</v>
      </c>
      <c r="H5452" s="28" t="s">
        <v>25556</v>
      </c>
      <c r="I5452" s="28" t="s">
        <v>27229</v>
      </c>
      <c r="J5452" s="28" t="s">
        <v>25396</v>
      </c>
      <c r="K5452" s="28" t="s">
        <v>25558</v>
      </c>
      <c r="L5452" s="28" t="s">
        <v>25559</v>
      </c>
      <c r="M5452" s="28" t="s">
        <v>26089</v>
      </c>
      <c r="N5452" s="28" t="s">
        <v>25561</v>
      </c>
      <c r="O5452" s="28" t="s">
        <v>25562</v>
      </c>
      <c r="P5452" s="28" t="s">
        <v>27230</v>
      </c>
    </row>
    <row r="5453" spans="1:16" x14ac:dyDescent="0.25">
      <c r="A5453" s="28" t="s">
        <v>27231</v>
      </c>
      <c r="B5453" s="28" t="s">
        <v>27232</v>
      </c>
      <c r="C5453" s="28" t="s">
        <v>1779</v>
      </c>
      <c r="D5453" s="28" t="s">
        <v>5372</v>
      </c>
      <c r="E5453" s="28" t="s">
        <v>1446</v>
      </c>
      <c r="F5453" s="28" t="s">
        <v>21</v>
      </c>
      <c r="G5453" s="28" t="s">
        <v>25396</v>
      </c>
      <c r="H5453" s="28" t="s">
        <v>25556</v>
      </c>
      <c r="I5453" s="28" t="s">
        <v>27233</v>
      </c>
      <c r="J5453" s="28" t="s">
        <v>25396</v>
      </c>
      <c r="K5453" s="28" t="s">
        <v>25558</v>
      </c>
      <c r="L5453" s="28" t="s">
        <v>25559</v>
      </c>
      <c r="M5453" s="28" t="s">
        <v>26094</v>
      </c>
      <c r="N5453" s="28" t="s">
        <v>25561</v>
      </c>
      <c r="O5453" s="28" t="s">
        <v>25562</v>
      </c>
      <c r="P5453" s="28" t="s">
        <v>27234</v>
      </c>
    </row>
    <row r="5454" spans="1:16" x14ac:dyDescent="0.25">
      <c r="A5454" s="28" t="s">
        <v>27235</v>
      </c>
      <c r="B5454" s="28" t="s">
        <v>27236</v>
      </c>
      <c r="C5454" s="28" t="s">
        <v>1779</v>
      </c>
      <c r="D5454" s="28" t="s">
        <v>5372</v>
      </c>
      <c r="E5454" s="28" t="s">
        <v>16254</v>
      </c>
      <c r="F5454" s="28" t="s">
        <v>21</v>
      </c>
      <c r="G5454" s="28" t="s">
        <v>25396</v>
      </c>
      <c r="H5454" s="28" t="s">
        <v>25556</v>
      </c>
      <c r="I5454" s="28" t="s">
        <v>27237</v>
      </c>
      <c r="J5454" s="28" t="s">
        <v>25396</v>
      </c>
      <c r="K5454" s="28" t="s">
        <v>25558</v>
      </c>
      <c r="L5454" s="28" t="s">
        <v>25559</v>
      </c>
      <c r="M5454" s="28" t="s">
        <v>26099</v>
      </c>
      <c r="N5454" s="28" t="s">
        <v>25561</v>
      </c>
      <c r="O5454" s="28" t="s">
        <v>25562</v>
      </c>
      <c r="P5454" s="28" t="s">
        <v>27238</v>
      </c>
    </row>
    <row r="5455" spans="1:16" x14ac:dyDescent="0.25">
      <c r="A5455" s="28" t="s">
        <v>27239</v>
      </c>
      <c r="B5455" s="28" t="s">
        <v>27240</v>
      </c>
      <c r="C5455" s="28" t="s">
        <v>1779</v>
      </c>
      <c r="D5455" s="28" t="s">
        <v>5372</v>
      </c>
      <c r="E5455" s="28" t="s">
        <v>9742</v>
      </c>
      <c r="F5455" s="28" t="s">
        <v>21</v>
      </c>
      <c r="G5455" s="28" t="s">
        <v>25396</v>
      </c>
      <c r="H5455" s="28" t="s">
        <v>25556</v>
      </c>
      <c r="I5455" s="28" t="s">
        <v>27241</v>
      </c>
      <c r="J5455" s="28" t="s">
        <v>25396</v>
      </c>
      <c r="K5455" s="28" t="s">
        <v>25558</v>
      </c>
      <c r="L5455" s="28" t="s">
        <v>25559</v>
      </c>
      <c r="M5455" s="28" t="s">
        <v>26104</v>
      </c>
      <c r="N5455" s="28" t="s">
        <v>25561</v>
      </c>
      <c r="O5455" s="28" t="s">
        <v>25562</v>
      </c>
      <c r="P5455" s="28" t="s">
        <v>27242</v>
      </c>
    </row>
    <row r="5456" spans="1:16" x14ac:dyDescent="0.25">
      <c r="A5456" s="28" t="s">
        <v>27243</v>
      </c>
      <c r="B5456" s="28" t="s">
        <v>27244</v>
      </c>
      <c r="C5456" s="28" t="s">
        <v>1779</v>
      </c>
      <c r="D5456" s="28" t="s">
        <v>5372</v>
      </c>
      <c r="E5456" s="28" t="s">
        <v>26400</v>
      </c>
      <c r="F5456" s="28" t="s">
        <v>21</v>
      </c>
      <c r="G5456" s="28" t="s">
        <v>25396</v>
      </c>
      <c r="H5456" s="28" t="s">
        <v>25556</v>
      </c>
      <c r="I5456" s="28" t="s">
        <v>27245</v>
      </c>
      <c r="J5456" s="28" t="s">
        <v>25396</v>
      </c>
      <c r="K5456" s="28" t="s">
        <v>25558</v>
      </c>
      <c r="L5456" s="28" t="s">
        <v>25559</v>
      </c>
      <c r="M5456" s="28" t="s">
        <v>26402</v>
      </c>
      <c r="N5456" s="28" t="s">
        <v>25561</v>
      </c>
      <c r="O5456" s="28" t="s">
        <v>25562</v>
      </c>
      <c r="P5456" s="28" t="s">
        <v>27246</v>
      </c>
    </row>
    <row r="5457" spans="1:16" x14ac:dyDescent="0.25">
      <c r="A5457" s="28" t="s">
        <v>27247</v>
      </c>
      <c r="B5457" s="28" t="s">
        <v>27248</v>
      </c>
      <c r="C5457" s="28" t="s">
        <v>1779</v>
      </c>
      <c r="D5457" s="28" t="s">
        <v>5372</v>
      </c>
      <c r="E5457" s="28" t="s">
        <v>27249</v>
      </c>
      <c r="F5457" s="28" t="s">
        <v>21</v>
      </c>
      <c r="G5457" s="28" t="s">
        <v>25396</v>
      </c>
      <c r="H5457" s="28" t="s">
        <v>25556</v>
      </c>
      <c r="I5457" s="28" t="s">
        <v>27250</v>
      </c>
      <c r="J5457" s="28" t="s">
        <v>25396</v>
      </c>
      <c r="K5457" s="28" t="s">
        <v>25558</v>
      </c>
      <c r="L5457" s="28" t="s">
        <v>25559</v>
      </c>
      <c r="M5457" s="28" t="s">
        <v>27251</v>
      </c>
      <c r="N5457" s="28" t="s">
        <v>25561</v>
      </c>
      <c r="O5457" s="28" t="s">
        <v>25562</v>
      </c>
      <c r="P5457" s="28" t="s">
        <v>27252</v>
      </c>
    </row>
    <row r="5458" spans="1:16" x14ac:dyDescent="0.25">
      <c r="A5458" s="28" t="s">
        <v>27253</v>
      </c>
      <c r="B5458" s="28" t="s">
        <v>27254</v>
      </c>
      <c r="C5458" s="28" t="s">
        <v>1779</v>
      </c>
      <c r="D5458" s="28" t="s">
        <v>5372</v>
      </c>
      <c r="E5458" s="28" t="s">
        <v>1327</v>
      </c>
      <c r="F5458" s="28" t="s">
        <v>21</v>
      </c>
      <c r="G5458" s="28" t="s">
        <v>25396</v>
      </c>
      <c r="H5458" s="28" t="s">
        <v>25556</v>
      </c>
      <c r="I5458" s="28" t="s">
        <v>27255</v>
      </c>
      <c r="J5458" s="28" t="s">
        <v>25396</v>
      </c>
      <c r="K5458" s="28" t="s">
        <v>25558</v>
      </c>
      <c r="L5458" s="28" t="s">
        <v>25559</v>
      </c>
      <c r="M5458" s="28" t="s">
        <v>25584</v>
      </c>
      <c r="N5458" s="28" t="s">
        <v>25561</v>
      </c>
      <c r="O5458" s="28" t="s">
        <v>25562</v>
      </c>
      <c r="P5458" s="28" t="s">
        <v>27256</v>
      </c>
    </row>
    <row r="5459" spans="1:16" x14ac:dyDescent="0.25">
      <c r="A5459" s="28" t="s">
        <v>27257</v>
      </c>
      <c r="B5459" s="28" t="s">
        <v>27258</v>
      </c>
      <c r="C5459" s="28" t="s">
        <v>1779</v>
      </c>
      <c r="D5459" s="28" t="s">
        <v>5372</v>
      </c>
      <c r="E5459" s="28" t="s">
        <v>3005</v>
      </c>
      <c r="F5459" s="28" t="s">
        <v>21</v>
      </c>
      <c r="G5459" s="28" t="s">
        <v>25396</v>
      </c>
      <c r="H5459" s="28" t="s">
        <v>25556</v>
      </c>
      <c r="I5459" s="28" t="s">
        <v>27259</v>
      </c>
      <c r="J5459" s="28" t="s">
        <v>25396</v>
      </c>
      <c r="K5459" s="28" t="s">
        <v>25558</v>
      </c>
      <c r="L5459" s="28" t="s">
        <v>25559</v>
      </c>
      <c r="M5459" s="28" t="s">
        <v>27260</v>
      </c>
      <c r="N5459" s="28" t="s">
        <v>25561</v>
      </c>
      <c r="O5459" s="28" t="s">
        <v>25562</v>
      </c>
      <c r="P5459" s="28" t="s">
        <v>27261</v>
      </c>
    </row>
    <row r="5460" spans="1:16" x14ac:dyDescent="0.25">
      <c r="A5460" s="28" t="s">
        <v>27262</v>
      </c>
      <c r="B5460" s="28" t="s">
        <v>27263</v>
      </c>
      <c r="C5460" s="28" t="s">
        <v>1779</v>
      </c>
      <c r="D5460" s="28" t="s">
        <v>5372</v>
      </c>
      <c r="E5460" s="28" t="s">
        <v>27264</v>
      </c>
      <c r="F5460" s="28" t="s">
        <v>21</v>
      </c>
      <c r="G5460" s="28" t="s">
        <v>25396</v>
      </c>
      <c r="H5460" s="28" t="s">
        <v>25556</v>
      </c>
      <c r="I5460" s="28" t="s">
        <v>27265</v>
      </c>
      <c r="J5460" s="28" t="s">
        <v>25396</v>
      </c>
      <c r="K5460" s="28" t="s">
        <v>25558</v>
      </c>
      <c r="L5460" s="28" t="s">
        <v>25559</v>
      </c>
      <c r="M5460" s="28" t="s">
        <v>27266</v>
      </c>
      <c r="N5460" s="28" t="s">
        <v>25561</v>
      </c>
      <c r="O5460" s="28" t="s">
        <v>25562</v>
      </c>
      <c r="P5460" s="28" t="s">
        <v>27267</v>
      </c>
    </row>
    <row r="5461" spans="1:16" x14ac:dyDescent="0.25">
      <c r="A5461" s="28" t="s">
        <v>27268</v>
      </c>
      <c r="B5461" s="28" t="s">
        <v>27269</v>
      </c>
      <c r="C5461" s="28" t="s">
        <v>1779</v>
      </c>
      <c r="D5461" s="28" t="s">
        <v>5372</v>
      </c>
      <c r="E5461" s="28" t="s">
        <v>16472</v>
      </c>
      <c r="F5461" s="28" t="s">
        <v>21</v>
      </c>
      <c r="G5461" s="28" t="s">
        <v>25396</v>
      </c>
      <c r="H5461" s="28" t="s">
        <v>25556</v>
      </c>
      <c r="I5461" s="28" t="s">
        <v>27270</v>
      </c>
      <c r="J5461" s="28" t="s">
        <v>25396</v>
      </c>
      <c r="K5461" s="28" t="s">
        <v>25558</v>
      </c>
      <c r="L5461" s="28" t="s">
        <v>25559</v>
      </c>
      <c r="M5461" s="28" t="s">
        <v>27271</v>
      </c>
      <c r="N5461" s="28" t="s">
        <v>25561</v>
      </c>
      <c r="O5461" s="28" t="s">
        <v>25562</v>
      </c>
      <c r="P5461" s="28" t="s">
        <v>27272</v>
      </c>
    </row>
    <row r="5462" spans="1:16" x14ac:dyDescent="0.25">
      <c r="A5462" s="28" t="s">
        <v>27273</v>
      </c>
      <c r="B5462" s="28" t="s">
        <v>27274</v>
      </c>
      <c r="C5462" s="28" t="s">
        <v>1779</v>
      </c>
      <c r="D5462" s="28" t="s">
        <v>5372</v>
      </c>
      <c r="E5462" s="28" t="s">
        <v>20972</v>
      </c>
      <c r="F5462" s="28" t="s">
        <v>21</v>
      </c>
      <c r="G5462" s="28" t="s">
        <v>25396</v>
      </c>
      <c r="H5462" s="28" t="s">
        <v>25556</v>
      </c>
      <c r="I5462" s="28" t="s">
        <v>27275</v>
      </c>
      <c r="J5462" s="28" t="s">
        <v>25396</v>
      </c>
      <c r="K5462" s="28" t="s">
        <v>25558</v>
      </c>
      <c r="L5462" s="28" t="s">
        <v>25559</v>
      </c>
      <c r="M5462" s="28" t="s">
        <v>27276</v>
      </c>
      <c r="N5462" s="28" t="s">
        <v>25561</v>
      </c>
      <c r="O5462" s="28" t="s">
        <v>25562</v>
      </c>
      <c r="P5462" s="28" t="s">
        <v>27277</v>
      </c>
    </row>
    <row r="5463" spans="1:16" x14ac:dyDescent="0.25">
      <c r="A5463" s="28" t="s">
        <v>27278</v>
      </c>
      <c r="B5463" s="28" t="s">
        <v>27279</v>
      </c>
      <c r="C5463" s="28" t="s">
        <v>1779</v>
      </c>
      <c r="D5463" s="28" t="s">
        <v>5372</v>
      </c>
      <c r="E5463" s="28" t="s">
        <v>27280</v>
      </c>
      <c r="F5463" s="28" t="s">
        <v>21</v>
      </c>
      <c r="G5463" s="28" t="s">
        <v>25396</v>
      </c>
      <c r="H5463" s="28" t="s">
        <v>25556</v>
      </c>
      <c r="I5463" s="28" t="s">
        <v>27281</v>
      </c>
      <c r="J5463" s="28" t="s">
        <v>25396</v>
      </c>
      <c r="K5463" s="28" t="s">
        <v>25558</v>
      </c>
      <c r="L5463" s="28" t="s">
        <v>25559</v>
      </c>
      <c r="M5463" s="28" t="s">
        <v>27282</v>
      </c>
      <c r="N5463" s="28" t="s">
        <v>25561</v>
      </c>
      <c r="O5463" s="28" t="s">
        <v>25562</v>
      </c>
      <c r="P5463" s="28" t="s">
        <v>27283</v>
      </c>
    </row>
    <row r="5464" spans="1:16" x14ac:dyDescent="0.25">
      <c r="A5464" s="28" t="s">
        <v>27284</v>
      </c>
      <c r="B5464" s="28" t="s">
        <v>27285</v>
      </c>
      <c r="C5464" s="28" t="s">
        <v>1779</v>
      </c>
      <c r="D5464" s="28" t="s">
        <v>5372</v>
      </c>
      <c r="E5464" s="28" t="s">
        <v>27286</v>
      </c>
      <c r="F5464" s="28" t="s">
        <v>21</v>
      </c>
      <c r="G5464" s="28" t="s">
        <v>25396</v>
      </c>
      <c r="H5464" s="28" t="s">
        <v>25556</v>
      </c>
      <c r="I5464" s="28" t="s">
        <v>27287</v>
      </c>
      <c r="J5464" s="28" t="s">
        <v>25396</v>
      </c>
      <c r="K5464" s="28" t="s">
        <v>25558</v>
      </c>
      <c r="L5464" s="28" t="s">
        <v>25559</v>
      </c>
      <c r="M5464" s="28" t="s">
        <v>27288</v>
      </c>
      <c r="N5464" s="28" t="s">
        <v>25561</v>
      </c>
      <c r="O5464" s="28" t="s">
        <v>25562</v>
      </c>
      <c r="P5464" s="28" t="s">
        <v>27289</v>
      </c>
    </row>
    <row r="5465" spans="1:16" x14ac:dyDescent="0.25">
      <c r="A5465" s="28" t="s">
        <v>27290</v>
      </c>
      <c r="B5465" s="28" t="s">
        <v>27291</v>
      </c>
      <c r="C5465" s="28" t="s">
        <v>1779</v>
      </c>
      <c r="D5465" s="28" t="s">
        <v>5372</v>
      </c>
      <c r="E5465" s="28" t="s">
        <v>20978</v>
      </c>
      <c r="F5465" s="28" t="s">
        <v>21</v>
      </c>
      <c r="G5465" s="28" t="s">
        <v>25396</v>
      </c>
      <c r="H5465" s="28" t="s">
        <v>25556</v>
      </c>
      <c r="I5465" s="28" t="s">
        <v>27292</v>
      </c>
      <c r="J5465" s="28" t="s">
        <v>25396</v>
      </c>
      <c r="K5465" s="28" t="s">
        <v>25558</v>
      </c>
      <c r="L5465" s="28" t="s">
        <v>25559</v>
      </c>
      <c r="M5465" s="28" t="s">
        <v>27293</v>
      </c>
      <c r="N5465" s="28" t="s">
        <v>25561</v>
      </c>
      <c r="O5465" s="28" t="s">
        <v>25562</v>
      </c>
      <c r="P5465" s="28" t="s">
        <v>27294</v>
      </c>
    </row>
    <row r="5466" spans="1:16" x14ac:dyDescent="0.25">
      <c r="A5466" s="28" t="s">
        <v>27295</v>
      </c>
      <c r="B5466" s="28" t="s">
        <v>27296</v>
      </c>
      <c r="C5466" s="28" t="s">
        <v>1779</v>
      </c>
      <c r="D5466" s="28" t="s">
        <v>5372</v>
      </c>
      <c r="E5466" s="28" t="s">
        <v>16482</v>
      </c>
      <c r="F5466" s="28" t="s">
        <v>21</v>
      </c>
      <c r="G5466" s="28" t="s">
        <v>25396</v>
      </c>
      <c r="H5466" s="28" t="s">
        <v>25556</v>
      </c>
      <c r="I5466" s="28" t="s">
        <v>27297</v>
      </c>
      <c r="J5466" s="28" t="s">
        <v>25396</v>
      </c>
      <c r="K5466" s="28" t="s">
        <v>25558</v>
      </c>
      <c r="L5466" s="28" t="s">
        <v>25559</v>
      </c>
      <c r="M5466" s="28" t="s">
        <v>27298</v>
      </c>
      <c r="N5466" s="28" t="s">
        <v>25561</v>
      </c>
      <c r="O5466" s="28" t="s">
        <v>25562</v>
      </c>
      <c r="P5466" s="28" t="s">
        <v>27299</v>
      </c>
    </row>
    <row r="5467" spans="1:16" x14ac:dyDescent="0.25">
      <c r="A5467" s="28" t="s">
        <v>27300</v>
      </c>
      <c r="B5467" s="28" t="s">
        <v>27301</v>
      </c>
      <c r="C5467" s="28" t="s">
        <v>1779</v>
      </c>
      <c r="D5467" s="28" t="s">
        <v>5372</v>
      </c>
      <c r="E5467" s="28" t="s">
        <v>20984</v>
      </c>
      <c r="F5467" s="28" t="s">
        <v>21</v>
      </c>
      <c r="G5467" s="28" t="s">
        <v>25396</v>
      </c>
      <c r="H5467" s="28" t="s">
        <v>25556</v>
      </c>
      <c r="I5467" s="28" t="s">
        <v>27302</v>
      </c>
      <c r="J5467" s="28" t="s">
        <v>25396</v>
      </c>
      <c r="K5467" s="28" t="s">
        <v>25558</v>
      </c>
      <c r="L5467" s="28" t="s">
        <v>25559</v>
      </c>
      <c r="M5467" s="28" t="s">
        <v>27303</v>
      </c>
      <c r="N5467" s="28" t="s">
        <v>25561</v>
      </c>
      <c r="O5467" s="28" t="s">
        <v>25562</v>
      </c>
      <c r="P5467" s="28" t="s">
        <v>27304</v>
      </c>
    </row>
    <row r="5468" spans="1:16" x14ac:dyDescent="0.25">
      <c r="A5468" s="28" t="s">
        <v>27305</v>
      </c>
      <c r="B5468" s="28" t="s">
        <v>27306</v>
      </c>
      <c r="C5468" s="28" t="s">
        <v>1779</v>
      </c>
      <c r="D5468" s="28" t="s">
        <v>5372</v>
      </c>
      <c r="E5468" s="28" t="s">
        <v>20990</v>
      </c>
      <c r="F5468" s="28" t="s">
        <v>21</v>
      </c>
      <c r="G5468" s="28" t="s">
        <v>25396</v>
      </c>
      <c r="H5468" s="28" t="s">
        <v>25556</v>
      </c>
      <c r="I5468" s="28" t="s">
        <v>27307</v>
      </c>
      <c r="J5468" s="28" t="s">
        <v>25396</v>
      </c>
      <c r="K5468" s="28" t="s">
        <v>25558</v>
      </c>
      <c r="L5468" s="28" t="s">
        <v>25559</v>
      </c>
      <c r="M5468" s="28" t="s">
        <v>27308</v>
      </c>
      <c r="N5468" s="28" t="s">
        <v>25561</v>
      </c>
      <c r="O5468" s="28" t="s">
        <v>25562</v>
      </c>
      <c r="P5468" s="28" t="s">
        <v>27309</v>
      </c>
    </row>
    <row r="5469" spans="1:16" x14ac:dyDescent="0.25">
      <c r="A5469" s="28" t="s">
        <v>27310</v>
      </c>
      <c r="B5469" s="28" t="s">
        <v>27311</v>
      </c>
      <c r="C5469" s="28" t="s">
        <v>1779</v>
      </c>
      <c r="D5469" s="28" t="s">
        <v>5372</v>
      </c>
      <c r="E5469" s="28" t="s">
        <v>27312</v>
      </c>
      <c r="F5469" s="28" t="s">
        <v>21</v>
      </c>
      <c r="G5469" s="28" t="s">
        <v>25396</v>
      </c>
      <c r="H5469" s="28" t="s">
        <v>25556</v>
      </c>
      <c r="I5469" s="28" t="s">
        <v>27313</v>
      </c>
      <c r="J5469" s="28" t="s">
        <v>25396</v>
      </c>
      <c r="K5469" s="28" t="s">
        <v>25558</v>
      </c>
      <c r="L5469" s="28" t="s">
        <v>25559</v>
      </c>
      <c r="M5469" s="28" t="s">
        <v>27314</v>
      </c>
      <c r="N5469" s="28" t="s">
        <v>25561</v>
      </c>
      <c r="O5469" s="28" t="s">
        <v>25562</v>
      </c>
      <c r="P5469" s="28" t="s">
        <v>27315</v>
      </c>
    </row>
    <row r="5470" spans="1:16" x14ac:dyDescent="0.25">
      <c r="A5470" s="28" t="s">
        <v>27316</v>
      </c>
      <c r="B5470" s="28" t="s">
        <v>27317</v>
      </c>
      <c r="C5470" s="28" t="s">
        <v>1779</v>
      </c>
      <c r="D5470" s="28" t="s">
        <v>5372</v>
      </c>
      <c r="E5470" s="28" t="s">
        <v>27318</v>
      </c>
      <c r="F5470" s="28" t="s">
        <v>21</v>
      </c>
      <c r="G5470" s="28" t="s">
        <v>25396</v>
      </c>
      <c r="H5470" s="28" t="s">
        <v>25556</v>
      </c>
      <c r="I5470" s="28" t="s">
        <v>27319</v>
      </c>
      <c r="J5470" s="28" t="s">
        <v>25396</v>
      </c>
      <c r="K5470" s="28" t="s">
        <v>25558</v>
      </c>
      <c r="L5470" s="28" t="s">
        <v>25559</v>
      </c>
      <c r="M5470" s="28" t="s">
        <v>27320</v>
      </c>
      <c r="N5470" s="28" t="s">
        <v>25561</v>
      </c>
      <c r="O5470" s="28" t="s">
        <v>25562</v>
      </c>
      <c r="P5470" s="28" t="s">
        <v>27321</v>
      </c>
    </row>
    <row r="5471" spans="1:16" x14ac:dyDescent="0.25">
      <c r="A5471" s="28" t="s">
        <v>27322</v>
      </c>
      <c r="B5471" s="28" t="s">
        <v>27323</v>
      </c>
      <c r="C5471" s="28" t="s">
        <v>1779</v>
      </c>
      <c r="D5471" s="28" t="s">
        <v>5372</v>
      </c>
      <c r="E5471" s="28" t="s">
        <v>20996</v>
      </c>
      <c r="F5471" s="28" t="s">
        <v>21</v>
      </c>
      <c r="G5471" s="28" t="s">
        <v>25396</v>
      </c>
      <c r="H5471" s="28" t="s">
        <v>25556</v>
      </c>
      <c r="I5471" s="28" t="s">
        <v>27324</v>
      </c>
      <c r="J5471" s="28" t="s">
        <v>25396</v>
      </c>
      <c r="K5471" s="28" t="s">
        <v>25558</v>
      </c>
      <c r="L5471" s="28" t="s">
        <v>25559</v>
      </c>
      <c r="M5471" s="28" t="s">
        <v>27325</v>
      </c>
      <c r="N5471" s="28" t="s">
        <v>25561</v>
      </c>
      <c r="O5471" s="28" t="s">
        <v>25562</v>
      </c>
      <c r="P5471" s="28" t="s">
        <v>27326</v>
      </c>
    </row>
    <row r="5472" spans="1:16" x14ac:dyDescent="0.25">
      <c r="A5472" s="28" t="s">
        <v>27327</v>
      </c>
      <c r="B5472" s="28" t="s">
        <v>27328</v>
      </c>
      <c r="C5472" s="28" t="s">
        <v>1779</v>
      </c>
      <c r="D5472" s="28" t="s">
        <v>5372</v>
      </c>
      <c r="E5472" s="28" t="s">
        <v>27329</v>
      </c>
      <c r="F5472" s="28" t="s">
        <v>21</v>
      </c>
      <c r="G5472" s="28" t="s">
        <v>25396</v>
      </c>
      <c r="H5472" s="28" t="s">
        <v>25556</v>
      </c>
      <c r="I5472" s="28" t="s">
        <v>27330</v>
      </c>
      <c r="J5472" s="28" t="s">
        <v>25396</v>
      </c>
      <c r="K5472" s="28" t="s">
        <v>25558</v>
      </c>
      <c r="L5472" s="28" t="s">
        <v>25559</v>
      </c>
      <c r="M5472" s="28" t="s">
        <v>27331</v>
      </c>
      <c r="N5472" s="28" t="s">
        <v>25561</v>
      </c>
      <c r="O5472" s="28" t="s">
        <v>25562</v>
      </c>
      <c r="P5472" s="28" t="s">
        <v>27332</v>
      </c>
    </row>
    <row r="5473" spans="1:16" x14ac:dyDescent="0.25">
      <c r="A5473" s="28" t="s">
        <v>27333</v>
      </c>
      <c r="B5473" s="28" t="s">
        <v>27334</v>
      </c>
      <c r="C5473" s="28" t="s">
        <v>1779</v>
      </c>
      <c r="D5473" s="28" t="s">
        <v>5372</v>
      </c>
      <c r="E5473" s="28" t="s">
        <v>15344</v>
      </c>
      <c r="F5473" s="28" t="s">
        <v>21</v>
      </c>
      <c r="G5473" s="28" t="s">
        <v>25396</v>
      </c>
      <c r="H5473" s="28" t="s">
        <v>25556</v>
      </c>
      <c r="I5473" s="28" t="s">
        <v>27335</v>
      </c>
      <c r="J5473" s="28" t="s">
        <v>25396</v>
      </c>
      <c r="K5473" s="28" t="s">
        <v>25558</v>
      </c>
      <c r="L5473" s="28" t="s">
        <v>25559</v>
      </c>
      <c r="M5473" s="28" t="s">
        <v>27336</v>
      </c>
      <c r="N5473" s="28" t="s">
        <v>25561</v>
      </c>
      <c r="O5473" s="28" t="s">
        <v>25562</v>
      </c>
      <c r="P5473" s="28" t="s">
        <v>27337</v>
      </c>
    </row>
    <row r="5474" spans="1:16" x14ac:dyDescent="0.25">
      <c r="A5474" s="28" t="s">
        <v>27338</v>
      </c>
      <c r="B5474" s="28" t="s">
        <v>27339</v>
      </c>
      <c r="C5474" s="28" t="s">
        <v>1779</v>
      </c>
      <c r="D5474" s="28" t="s">
        <v>5372</v>
      </c>
      <c r="E5474" s="28" t="s">
        <v>15350</v>
      </c>
      <c r="F5474" s="28" t="s">
        <v>21</v>
      </c>
      <c r="G5474" s="28" t="s">
        <v>25396</v>
      </c>
      <c r="H5474" s="28" t="s">
        <v>25556</v>
      </c>
      <c r="I5474" s="28" t="s">
        <v>27340</v>
      </c>
      <c r="J5474" s="28" t="s">
        <v>25396</v>
      </c>
      <c r="K5474" s="28" t="s">
        <v>25558</v>
      </c>
      <c r="L5474" s="28" t="s">
        <v>25559</v>
      </c>
      <c r="M5474" s="28" t="s">
        <v>27341</v>
      </c>
      <c r="N5474" s="28" t="s">
        <v>25561</v>
      </c>
      <c r="O5474" s="28" t="s">
        <v>25562</v>
      </c>
      <c r="P5474" s="28" t="s">
        <v>27342</v>
      </c>
    </row>
    <row r="5475" spans="1:16" x14ac:dyDescent="0.25">
      <c r="A5475" s="28" t="s">
        <v>27343</v>
      </c>
      <c r="B5475" s="28" t="s">
        <v>27344</v>
      </c>
      <c r="C5475" s="28" t="s">
        <v>1779</v>
      </c>
      <c r="D5475" s="28" t="s">
        <v>5372</v>
      </c>
      <c r="E5475" s="28" t="s">
        <v>21002</v>
      </c>
      <c r="F5475" s="28" t="s">
        <v>21</v>
      </c>
      <c r="G5475" s="28" t="s">
        <v>25396</v>
      </c>
      <c r="H5475" s="28" t="s">
        <v>25556</v>
      </c>
      <c r="I5475" s="28" t="s">
        <v>27345</v>
      </c>
      <c r="J5475" s="28" t="s">
        <v>25396</v>
      </c>
      <c r="K5475" s="28" t="s">
        <v>25558</v>
      </c>
      <c r="L5475" s="28" t="s">
        <v>25559</v>
      </c>
      <c r="M5475" s="28" t="s">
        <v>27346</v>
      </c>
      <c r="N5475" s="28" t="s">
        <v>25561</v>
      </c>
      <c r="O5475" s="28" t="s">
        <v>25562</v>
      </c>
      <c r="P5475" s="28" t="s">
        <v>27347</v>
      </c>
    </row>
    <row r="5476" spans="1:16" x14ac:dyDescent="0.25">
      <c r="A5476" s="28" t="s">
        <v>27348</v>
      </c>
      <c r="B5476" s="28" t="s">
        <v>27349</v>
      </c>
      <c r="C5476" s="28" t="s">
        <v>1779</v>
      </c>
      <c r="D5476" s="28" t="s">
        <v>5372</v>
      </c>
      <c r="E5476" s="28" t="s">
        <v>21008</v>
      </c>
      <c r="F5476" s="28" t="s">
        <v>21</v>
      </c>
      <c r="G5476" s="28" t="s">
        <v>25396</v>
      </c>
      <c r="H5476" s="28" t="s">
        <v>25556</v>
      </c>
      <c r="I5476" s="28" t="s">
        <v>27350</v>
      </c>
      <c r="J5476" s="28" t="s">
        <v>25396</v>
      </c>
      <c r="K5476" s="28" t="s">
        <v>25558</v>
      </c>
      <c r="L5476" s="28" t="s">
        <v>25559</v>
      </c>
      <c r="M5476" s="28" t="s">
        <v>27351</v>
      </c>
      <c r="N5476" s="28" t="s">
        <v>25561</v>
      </c>
      <c r="O5476" s="28" t="s">
        <v>25562</v>
      </c>
      <c r="P5476" s="28" t="s">
        <v>27352</v>
      </c>
    </row>
    <row r="5477" spans="1:16" x14ac:dyDescent="0.25">
      <c r="A5477" s="28" t="s">
        <v>27353</v>
      </c>
      <c r="B5477" s="28" t="s">
        <v>27354</v>
      </c>
      <c r="C5477" s="28" t="s">
        <v>1779</v>
      </c>
      <c r="D5477" s="28" t="s">
        <v>5372</v>
      </c>
      <c r="E5477" s="28" t="s">
        <v>27355</v>
      </c>
      <c r="F5477" s="28" t="s">
        <v>21</v>
      </c>
      <c r="G5477" s="28" t="s">
        <v>25396</v>
      </c>
      <c r="H5477" s="28" t="s">
        <v>25556</v>
      </c>
      <c r="I5477" s="28" t="s">
        <v>27356</v>
      </c>
      <c r="J5477" s="28" t="s">
        <v>25396</v>
      </c>
      <c r="K5477" s="28" t="s">
        <v>25558</v>
      </c>
      <c r="L5477" s="28" t="s">
        <v>25559</v>
      </c>
      <c r="M5477" s="28" t="s">
        <v>27357</v>
      </c>
      <c r="N5477" s="28" t="s">
        <v>25561</v>
      </c>
      <c r="O5477" s="28" t="s">
        <v>25562</v>
      </c>
      <c r="P5477" s="28" t="s">
        <v>27358</v>
      </c>
    </row>
    <row r="5478" spans="1:16" x14ac:dyDescent="0.25">
      <c r="A5478" s="28" t="s">
        <v>27359</v>
      </c>
      <c r="B5478" s="28" t="s">
        <v>27360</v>
      </c>
      <c r="C5478" s="28" t="s">
        <v>1779</v>
      </c>
      <c r="D5478" s="28" t="s">
        <v>5372</v>
      </c>
      <c r="E5478" s="28" t="s">
        <v>21014</v>
      </c>
      <c r="F5478" s="28" t="s">
        <v>21</v>
      </c>
      <c r="G5478" s="28" t="s">
        <v>25396</v>
      </c>
      <c r="H5478" s="28" t="s">
        <v>25556</v>
      </c>
      <c r="I5478" s="28" t="s">
        <v>27361</v>
      </c>
      <c r="J5478" s="28" t="s">
        <v>25396</v>
      </c>
      <c r="K5478" s="28" t="s">
        <v>25558</v>
      </c>
      <c r="L5478" s="28" t="s">
        <v>25559</v>
      </c>
      <c r="M5478" s="28" t="s">
        <v>27362</v>
      </c>
      <c r="N5478" s="28" t="s">
        <v>25561</v>
      </c>
      <c r="O5478" s="28" t="s">
        <v>25562</v>
      </c>
      <c r="P5478" s="28" t="s">
        <v>27363</v>
      </c>
    </row>
    <row r="5479" spans="1:16" x14ac:dyDescent="0.25">
      <c r="A5479" s="28" t="s">
        <v>27364</v>
      </c>
      <c r="B5479" s="28" t="s">
        <v>27365</v>
      </c>
      <c r="C5479" s="28" t="s">
        <v>1779</v>
      </c>
      <c r="D5479" s="28" t="s">
        <v>5372</v>
      </c>
      <c r="E5479" s="28" t="s">
        <v>27366</v>
      </c>
      <c r="F5479" s="28" t="s">
        <v>21</v>
      </c>
      <c r="G5479" s="28" t="s">
        <v>25396</v>
      </c>
      <c r="H5479" s="28" t="s">
        <v>25556</v>
      </c>
      <c r="I5479" s="28" t="s">
        <v>27367</v>
      </c>
      <c r="J5479" s="28" t="s">
        <v>25396</v>
      </c>
      <c r="K5479" s="28" t="s">
        <v>25558</v>
      </c>
      <c r="L5479" s="28" t="s">
        <v>25559</v>
      </c>
      <c r="M5479" s="28" t="s">
        <v>27368</v>
      </c>
      <c r="N5479" s="28" t="s">
        <v>25561</v>
      </c>
      <c r="O5479" s="28" t="s">
        <v>25562</v>
      </c>
      <c r="P5479" s="28" t="s">
        <v>27369</v>
      </c>
    </row>
    <row r="5480" spans="1:16" x14ac:dyDescent="0.25">
      <c r="A5480" s="28" t="s">
        <v>27370</v>
      </c>
      <c r="B5480" s="28" t="s">
        <v>27371</v>
      </c>
      <c r="C5480" s="28" t="s">
        <v>1779</v>
      </c>
      <c r="D5480" s="28" t="s">
        <v>5372</v>
      </c>
      <c r="E5480" s="28" t="s">
        <v>17059</v>
      </c>
      <c r="F5480" s="28" t="s">
        <v>21</v>
      </c>
      <c r="G5480" s="28" t="s">
        <v>25396</v>
      </c>
      <c r="H5480" s="28" t="s">
        <v>25556</v>
      </c>
      <c r="I5480" s="28" t="s">
        <v>27372</v>
      </c>
      <c r="J5480" s="28" t="s">
        <v>25396</v>
      </c>
      <c r="K5480" s="28" t="s">
        <v>25558</v>
      </c>
      <c r="L5480" s="28" t="s">
        <v>25559</v>
      </c>
      <c r="M5480" s="28" t="s">
        <v>27373</v>
      </c>
      <c r="N5480" s="28" t="s">
        <v>25561</v>
      </c>
      <c r="O5480" s="28" t="s">
        <v>25562</v>
      </c>
      <c r="P5480" s="28" t="s">
        <v>27374</v>
      </c>
    </row>
    <row r="5481" spans="1:16" x14ac:dyDescent="0.25">
      <c r="A5481" s="28" t="s">
        <v>27375</v>
      </c>
      <c r="B5481" s="28" t="s">
        <v>27376</v>
      </c>
      <c r="C5481" s="28" t="s">
        <v>1779</v>
      </c>
      <c r="D5481" s="28" t="s">
        <v>5372</v>
      </c>
      <c r="E5481" s="28" t="s">
        <v>27377</v>
      </c>
      <c r="F5481" s="28" t="s">
        <v>21</v>
      </c>
      <c r="G5481" s="28" t="s">
        <v>25396</v>
      </c>
      <c r="H5481" s="28" t="s">
        <v>25556</v>
      </c>
      <c r="I5481" s="28" t="s">
        <v>27378</v>
      </c>
      <c r="J5481" s="28" t="s">
        <v>25396</v>
      </c>
      <c r="K5481" s="28" t="s">
        <v>25558</v>
      </c>
      <c r="L5481" s="28" t="s">
        <v>25559</v>
      </c>
      <c r="M5481" s="28" t="s">
        <v>27379</v>
      </c>
      <c r="N5481" s="28" t="s">
        <v>25561</v>
      </c>
      <c r="O5481" s="28" t="s">
        <v>25562</v>
      </c>
      <c r="P5481" s="28" t="s">
        <v>27380</v>
      </c>
    </row>
    <row r="5482" spans="1:16" x14ac:dyDescent="0.25">
      <c r="A5482" s="28" t="s">
        <v>27381</v>
      </c>
      <c r="B5482" s="28" t="s">
        <v>27382</v>
      </c>
      <c r="C5482" s="28" t="s">
        <v>1779</v>
      </c>
      <c r="D5482" s="28" t="s">
        <v>5372</v>
      </c>
      <c r="E5482" s="28" t="s">
        <v>27383</v>
      </c>
      <c r="F5482" s="28" t="s">
        <v>21</v>
      </c>
      <c r="G5482" s="28" t="s">
        <v>25396</v>
      </c>
      <c r="H5482" s="28" t="s">
        <v>25556</v>
      </c>
      <c r="I5482" s="28" t="s">
        <v>27384</v>
      </c>
      <c r="J5482" s="28" t="s">
        <v>25396</v>
      </c>
      <c r="K5482" s="28" t="s">
        <v>25558</v>
      </c>
      <c r="L5482" s="28" t="s">
        <v>25559</v>
      </c>
      <c r="M5482" s="28" t="s">
        <v>27385</v>
      </c>
      <c r="N5482" s="28" t="s">
        <v>25561</v>
      </c>
      <c r="O5482" s="28" t="s">
        <v>25562</v>
      </c>
      <c r="P5482" s="28" t="s">
        <v>27386</v>
      </c>
    </row>
    <row r="5483" spans="1:16" x14ac:dyDescent="0.25">
      <c r="A5483" s="28" t="s">
        <v>27387</v>
      </c>
      <c r="B5483" s="28" t="s">
        <v>27388</v>
      </c>
      <c r="C5483" s="28" t="s">
        <v>1779</v>
      </c>
      <c r="D5483" s="28" t="s">
        <v>5372</v>
      </c>
      <c r="E5483" s="28" t="s">
        <v>21024</v>
      </c>
      <c r="F5483" s="28" t="s">
        <v>21</v>
      </c>
      <c r="G5483" s="28" t="s">
        <v>25396</v>
      </c>
      <c r="H5483" s="28" t="s">
        <v>25556</v>
      </c>
      <c r="I5483" s="28" t="s">
        <v>27389</v>
      </c>
      <c r="J5483" s="28" t="s">
        <v>25396</v>
      </c>
      <c r="K5483" s="28" t="s">
        <v>25558</v>
      </c>
      <c r="L5483" s="28" t="s">
        <v>25559</v>
      </c>
      <c r="M5483" s="28" t="s">
        <v>27390</v>
      </c>
      <c r="N5483" s="28" t="s">
        <v>25561</v>
      </c>
      <c r="O5483" s="28" t="s">
        <v>25562</v>
      </c>
      <c r="P5483" s="28" t="s">
        <v>27391</v>
      </c>
    </row>
    <row r="5484" spans="1:16" x14ac:dyDescent="0.25">
      <c r="A5484" s="28" t="s">
        <v>27392</v>
      </c>
      <c r="B5484" s="28" t="s">
        <v>27393</v>
      </c>
      <c r="C5484" s="28" t="s">
        <v>1779</v>
      </c>
      <c r="D5484" s="28" t="s">
        <v>5372</v>
      </c>
      <c r="E5484" s="28" t="s">
        <v>17065</v>
      </c>
      <c r="F5484" s="28" t="s">
        <v>21</v>
      </c>
      <c r="G5484" s="28" t="s">
        <v>25396</v>
      </c>
      <c r="H5484" s="28" t="s">
        <v>25556</v>
      </c>
      <c r="I5484" s="28" t="s">
        <v>27394</v>
      </c>
      <c r="J5484" s="28" t="s">
        <v>25396</v>
      </c>
      <c r="K5484" s="28" t="s">
        <v>25558</v>
      </c>
      <c r="L5484" s="28" t="s">
        <v>25559</v>
      </c>
      <c r="M5484" s="28" t="s">
        <v>27395</v>
      </c>
      <c r="N5484" s="28" t="s">
        <v>25561</v>
      </c>
      <c r="O5484" s="28" t="s">
        <v>25562</v>
      </c>
      <c r="P5484" s="28" t="s">
        <v>27396</v>
      </c>
    </row>
    <row r="5485" spans="1:16" x14ac:dyDescent="0.25">
      <c r="A5485" s="28" t="s">
        <v>27397</v>
      </c>
      <c r="B5485" s="28" t="s">
        <v>27398</v>
      </c>
      <c r="C5485" s="28" t="s">
        <v>1779</v>
      </c>
      <c r="D5485" s="28" t="s">
        <v>5372</v>
      </c>
      <c r="E5485" s="28" t="s">
        <v>21030</v>
      </c>
      <c r="F5485" s="28" t="s">
        <v>21</v>
      </c>
      <c r="G5485" s="28" t="s">
        <v>25396</v>
      </c>
      <c r="H5485" s="28" t="s">
        <v>25556</v>
      </c>
      <c r="I5485" s="28" t="s">
        <v>27399</v>
      </c>
      <c r="J5485" s="28" t="s">
        <v>25396</v>
      </c>
      <c r="K5485" s="28" t="s">
        <v>25558</v>
      </c>
      <c r="L5485" s="28" t="s">
        <v>25559</v>
      </c>
      <c r="M5485" s="28" t="s">
        <v>27400</v>
      </c>
      <c r="N5485" s="28" t="s">
        <v>25561</v>
      </c>
      <c r="O5485" s="28" t="s">
        <v>25562</v>
      </c>
      <c r="P5485" s="28" t="s">
        <v>27401</v>
      </c>
    </row>
    <row r="5486" spans="1:16" x14ac:dyDescent="0.25">
      <c r="A5486" s="28" t="s">
        <v>27402</v>
      </c>
      <c r="B5486" s="28" t="s">
        <v>27403</v>
      </c>
      <c r="C5486" s="28" t="s">
        <v>1779</v>
      </c>
      <c r="D5486" s="28" t="s">
        <v>5372</v>
      </c>
      <c r="E5486" s="28" t="s">
        <v>21036</v>
      </c>
      <c r="F5486" s="28" t="s">
        <v>21</v>
      </c>
      <c r="G5486" s="28" t="s">
        <v>25396</v>
      </c>
      <c r="H5486" s="28" t="s">
        <v>25556</v>
      </c>
      <c r="I5486" s="28" t="s">
        <v>27404</v>
      </c>
      <c r="J5486" s="28" t="s">
        <v>25396</v>
      </c>
      <c r="K5486" s="28" t="s">
        <v>25558</v>
      </c>
      <c r="L5486" s="28" t="s">
        <v>25559</v>
      </c>
      <c r="M5486" s="28" t="s">
        <v>27405</v>
      </c>
      <c r="N5486" s="28" t="s">
        <v>25561</v>
      </c>
      <c r="O5486" s="28" t="s">
        <v>25562</v>
      </c>
      <c r="P5486" s="28" t="s">
        <v>27406</v>
      </c>
    </row>
    <row r="5487" spans="1:16" x14ac:dyDescent="0.25">
      <c r="A5487" s="28" t="s">
        <v>27407</v>
      </c>
      <c r="B5487" s="28" t="s">
        <v>27408</v>
      </c>
      <c r="C5487" s="28" t="s">
        <v>1779</v>
      </c>
      <c r="D5487" s="28" t="s">
        <v>5372</v>
      </c>
      <c r="E5487" s="28" t="s">
        <v>27409</v>
      </c>
      <c r="F5487" s="28" t="s">
        <v>21</v>
      </c>
      <c r="G5487" s="28" t="s">
        <v>25396</v>
      </c>
      <c r="H5487" s="28" t="s">
        <v>25556</v>
      </c>
      <c r="I5487" s="28" t="s">
        <v>27410</v>
      </c>
      <c r="J5487" s="28" t="s">
        <v>25396</v>
      </c>
      <c r="K5487" s="28" t="s">
        <v>25558</v>
      </c>
      <c r="L5487" s="28" t="s">
        <v>25559</v>
      </c>
      <c r="M5487" s="28" t="s">
        <v>27411</v>
      </c>
      <c r="N5487" s="28" t="s">
        <v>25561</v>
      </c>
      <c r="O5487" s="28" t="s">
        <v>25562</v>
      </c>
      <c r="P5487" s="28" t="s">
        <v>27412</v>
      </c>
    </row>
    <row r="5488" spans="1:16" x14ac:dyDescent="0.25">
      <c r="A5488" s="28" t="s">
        <v>27413</v>
      </c>
      <c r="B5488" s="28" t="s">
        <v>27414</v>
      </c>
      <c r="C5488" s="28" t="s">
        <v>1779</v>
      </c>
      <c r="D5488" s="28" t="s">
        <v>5372</v>
      </c>
      <c r="E5488" s="28" t="s">
        <v>27415</v>
      </c>
      <c r="F5488" s="28" t="s">
        <v>21</v>
      </c>
      <c r="G5488" s="28" t="s">
        <v>25396</v>
      </c>
      <c r="H5488" s="28" t="s">
        <v>25556</v>
      </c>
      <c r="I5488" s="28" t="s">
        <v>27416</v>
      </c>
      <c r="J5488" s="28" t="s">
        <v>25396</v>
      </c>
      <c r="K5488" s="28" t="s">
        <v>25558</v>
      </c>
      <c r="L5488" s="28" t="s">
        <v>25559</v>
      </c>
      <c r="M5488" s="28" t="s">
        <v>27417</v>
      </c>
      <c r="N5488" s="28" t="s">
        <v>25561</v>
      </c>
      <c r="O5488" s="28" t="s">
        <v>25562</v>
      </c>
      <c r="P5488" s="28" t="s">
        <v>27418</v>
      </c>
    </row>
    <row r="5489" spans="1:16" x14ac:dyDescent="0.25">
      <c r="A5489" s="28" t="s">
        <v>27419</v>
      </c>
      <c r="B5489" s="28" t="s">
        <v>27420</v>
      </c>
      <c r="C5489" s="28" t="s">
        <v>1779</v>
      </c>
      <c r="D5489" s="28" t="s">
        <v>5372</v>
      </c>
      <c r="E5489" s="28" t="s">
        <v>27421</v>
      </c>
      <c r="F5489" s="28" t="s">
        <v>21</v>
      </c>
      <c r="G5489" s="28" t="s">
        <v>25396</v>
      </c>
      <c r="H5489" s="28" t="s">
        <v>25556</v>
      </c>
      <c r="I5489" s="28" t="s">
        <v>27422</v>
      </c>
      <c r="J5489" s="28" t="s">
        <v>25396</v>
      </c>
      <c r="K5489" s="28" t="s">
        <v>25558</v>
      </c>
      <c r="L5489" s="28" t="s">
        <v>25559</v>
      </c>
      <c r="M5489" s="28" t="s">
        <v>27423</v>
      </c>
      <c r="N5489" s="28" t="s">
        <v>25561</v>
      </c>
      <c r="O5489" s="28" t="s">
        <v>25562</v>
      </c>
      <c r="P5489" s="28" t="s">
        <v>27424</v>
      </c>
    </row>
    <row r="5490" spans="1:16" x14ac:dyDescent="0.25">
      <c r="A5490" s="28" t="s">
        <v>27425</v>
      </c>
      <c r="B5490" s="28" t="s">
        <v>27426</v>
      </c>
      <c r="C5490" s="28" t="s">
        <v>1779</v>
      </c>
      <c r="D5490" s="28" t="s">
        <v>5372</v>
      </c>
      <c r="E5490" s="28" t="s">
        <v>21042</v>
      </c>
      <c r="F5490" s="28" t="s">
        <v>21</v>
      </c>
      <c r="G5490" s="28" t="s">
        <v>25396</v>
      </c>
      <c r="H5490" s="28" t="s">
        <v>25556</v>
      </c>
      <c r="I5490" s="28" t="s">
        <v>27427</v>
      </c>
      <c r="J5490" s="28" t="s">
        <v>25396</v>
      </c>
      <c r="K5490" s="28" t="s">
        <v>25558</v>
      </c>
      <c r="L5490" s="28" t="s">
        <v>25559</v>
      </c>
      <c r="M5490" s="28" t="s">
        <v>27428</v>
      </c>
      <c r="N5490" s="28" t="s">
        <v>25561</v>
      </c>
      <c r="O5490" s="28" t="s">
        <v>25562</v>
      </c>
      <c r="P5490" s="28" t="s">
        <v>27429</v>
      </c>
    </row>
    <row r="5491" spans="1:16" x14ac:dyDescent="0.25">
      <c r="A5491" s="28" t="s">
        <v>27430</v>
      </c>
      <c r="B5491" s="28" t="s">
        <v>27431</v>
      </c>
      <c r="C5491" s="28" t="s">
        <v>1779</v>
      </c>
      <c r="D5491" s="28" t="s">
        <v>5372</v>
      </c>
      <c r="E5491" s="28" t="s">
        <v>21048</v>
      </c>
      <c r="F5491" s="28" t="s">
        <v>21</v>
      </c>
      <c r="G5491" s="28" t="s">
        <v>25396</v>
      </c>
      <c r="H5491" s="28" t="s">
        <v>25556</v>
      </c>
      <c r="I5491" s="28" t="s">
        <v>27432</v>
      </c>
      <c r="J5491" s="28" t="s">
        <v>25396</v>
      </c>
      <c r="K5491" s="28" t="s">
        <v>25558</v>
      </c>
      <c r="L5491" s="28" t="s">
        <v>25559</v>
      </c>
      <c r="M5491" s="28" t="s">
        <v>27433</v>
      </c>
      <c r="N5491" s="28" t="s">
        <v>25561</v>
      </c>
      <c r="O5491" s="28" t="s">
        <v>25562</v>
      </c>
      <c r="P5491" s="28" t="s">
        <v>27434</v>
      </c>
    </row>
    <row r="5492" spans="1:16" x14ac:dyDescent="0.25">
      <c r="A5492" s="28" t="s">
        <v>27435</v>
      </c>
      <c r="B5492" s="28" t="s">
        <v>27436</v>
      </c>
      <c r="C5492" s="28" t="s">
        <v>1779</v>
      </c>
      <c r="D5492" s="28" t="s">
        <v>5372</v>
      </c>
      <c r="E5492" s="28" t="s">
        <v>21054</v>
      </c>
      <c r="F5492" s="28" t="s">
        <v>21</v>
      </c>
      <c r="G5492" s="28" t="s">
        <v>25396</v>
      </c>
      <c r="H5492" s="28" t="s">
        <v>25556</v>
      </c>
      <c r="I5492" s="28" t="s">
        <v>27437</v>
      </c>
      <c r="J5492" s="28" t="s">
        <v>25396</v>
      </c>
      <c r="K5492" s="28" t="s">
        <v>25558</v>
      </c>
      <c r="L5492" s="28" t="s">
        <v>25559</v>
      </c>
      <c r="M5492" s="28" t="s">
        <v>27438</v>
      </c>
      <c r="N5492" s="28" t="s">
        <v>25561</v>
      </c>
      <c r="O5492" s="28" t="s">
        <v>25562</v>
      </c>
      <c r="P5492" s="28" t="s">
        <v>27439</v>
      </c>
    </row>
    <row r="5493" spans="1:16" x14ac:dyDescent="0.25">
      <c r="A5493" s="28" t="s">
        <v>27440</v>
      </c>
      <c r="B5493" s="28" t="s">
        <v>27441</v>
      </c>
      <c r="C5493" s="28" t="s">
        <v>1779</v>
      </c>
      <c r="D5493" s="28" t="s">
        <v>5372</v>
      </c>
      <c r="E5493" s="28" t="s">
        <v>21060</v>
      </c>
      <c r="F5493" s="28" t="s">
        <v>21</v>
      </c>
      <c r="G5493" s="28" t="s">
        <v>25396</v>
      </c>
      <c r="H5493" s="28" t="s">
        <v>25556</v>
      </c>
      <c r="I5493" s="28" t="s">
        <v>27442</v>
      </c>
      <c r="J5493" s="28" t="s">
        <v>25396</v>
      </c>
      <c r="K5493" s="28" t="s">
        <v>25558</v>
      </c>
      <c r="L5493" s="28" t="s">
        <v>25559</v>
      </c>
      <c r="M5493" s="28" t="s">
        <v>27443</v>
      </c>
      <c r="N5493" s="28" t="s">
        <v>25561</v>
      </c>
      <c r="O5493" s="28" t="s">
        <v>25562</v>
      </c>
      <c r="P5493" s="28" t="s">
        <v>27444</v>
      </c>
    </row>
    <row r="5494" spans="1:16" x14ac:dyDescent="0.25">
      <c r="A5494" s="28" t="s">
        <v>27445</v>
      </c>
      <c r="B5494" s="28" t="s">
        <v>27446</v>
      </c>
      <c r="C5494" s="28" t="s">
        <v>1779</v>
      </c>
      <c r="D5494" s="28" t="s">
        <v>5372</v>
      </c>
      <c r="E5494" s="28" t="s">
        <v>27447</v>
      </c>
      <c r="F5494" s="28" t="s">
        <v>21</v>
      </c>
      <c r="G5494" s="28" t="s">
        <v>25396</v>
      </c>
      <c r="H5494" s="28" t="s">
        <v>25556</v>
      </c>
      <c r="I5494" s="28" t="s">
        <v>27448</v>
      </c>
      <c r="J5494" s="28" t="s">
        <v>25396</v>
      </c>
      <c r="K5494" s="28" t="s">
        <v>25558</v>
      </c>
      <c r="L5494" s="28" t="s">
        <v>25559</v>
      </c>
      <c r="M5494" s="28" t="s">
        <v>27449</v>
      </c>
      <c r="N5494" s="28" t="s">
        <v>25561</v>
      </c>
      <c r="O5494" s="28" t="s">
        <v>25562</v>
      </c>
      <c r="P5494" s="28" t="s">
        <v>27450</v>
      </c>
    </row>
    <row r="5495" spans="1:16" x14ac:dyDescent="0.25">
      <c r="A5495" s="28" t="s">
        <v>27451</v>
      </c>
      <c r="B5495" s="28" t="s">
        <v>27452</v>
      </c>
      <c r="C5495" s="28" t="s">
        <v>1779</v>
      </c>
      <c r="D5495" s="28" t="s">
        <v>5372</v>
      </c>
      <c r="E5495" s="28" t="s">
        <v>27453</v>
      </c>
      <c r="F5495" s="28" t="s">
        <v>21</v>
      </c>
      <c r="G5495" s="28" t="s">
        <v>25396</v>
      </c>
      <c r="H5495" s="28" t="s">
        <v>25556</v>
      </c>
      <c r="I5495" s="28" t="s">
        <v>27454</v>
      </c>
      <c r="J5495" s="28" t="s">
        <v>25396</v>
      </c>
      <c r="K5495" s="28" t="s">
        <v>25558</v>
      </c>
      <c r="L5495" s="28" t="s">
        <v>25559</v>
      </c>
      <c r="M5495" s="28" t="s">
        <v>27455</v>
      </c>
      <c r="N5495" s="28" t="s">
        <v>25561</v>
      </c>
      <c r="O5495" s="28" t="s">
        <v>25562</v>
      </c>
      <c r="P5495" s="28" t="s">
        <v>27456</v>
      </c>
    </row>
    <row r="5496" spans="1:16" x14ac:dyDescent="0.25">
      <c r="A5496" s="28" t="s">
        <v>27457</v>
      </c>
      <c r="B5496" s="28" t="s">
        <v>27458</v>
      </c>
      <c r="C5496" s="28" t="s">
        <v>1779</v>
      </c>
      <c r="D5496" s="28" t="s">
        <v>5372</v>
      </c>
      <c r="E5496" s="28" t="s">
        <v>16502</v>
      </c>
      <c r="F5496" s="28" t="s">
        <v>21</v>
      </c>
      <c r="G5496" s="28" t="s">
        <v>25396</v>
      </c>
      <c r="H5496" s="28" t="s">
        <v>25556</v>
      </c>
      <c r="I5496" s="28" t="s">
        <v>27459</v>
      </c>
      <c r="J5496" s="28" t="s">
        <v>25396</v>
      </c>
      <c r="K5496" s="28" t="s">
        <v>25558</v>
      </c>
      <c r="L5496" s="28" t="s">
        <v>25559</v>
      </c>
      <c r="M5496" s="28" t="s">
        <v>27460</v>
      </c>
      <c r="N5496" s="28" t="s">
        <v>25561</v>
      </c>
      <c r="O5496" s="28" t="s">
        <v>25562</v>
      </c>
      <c r="P5496" s="28" t="s">
        <v>27461</v>
      </c>
    </row>
    <row r="5497" spans="1:16" x14ac:dyDescent="0.25">
      <c r="A5497" s="28" t="s">
        <v>27462</v>
      </c>
      <c r="B5497" s="28" t="s">
        <v>27463</v>
      </c>
      <c r="C5497" s="28" t="s">
        <v>1779</v>
      </c>
      <c r="D5497" s="28" t="s">
        <v>5372</v>
      </c>
      <c r="E5497" s="28" t="s">
        <v>21066</v>
      </c>
      <c r="F5497" s="28" t="s">
        <v>21</v>
      </c>
      <c r="G5497" s="28" t="s">
        <v>25396</v>
      </c>
      <c r="H5497" s="28" t="s">
        <v>25556</v>
      </c>
      <c r="I5497" s="28" t="s">
        <v>27464</v>
      </c>
      <c r="J5497" s="28" t="s">
        <v>25396</v>
      </c>
      <c r="K5497" s="28" t="s">
        <v>25558</v>
      </c>
      <c r="L5497" s="28" t="s">
        <v>25559</v>
      </c>
      <c r="M5497" s="28" t="s">
        <v>27465</v>
      </c>
      <c r="N5497" s="28" t="s">
        <v>25561</v>
      </c>
      <c r="O5497" s="28" t="s">
        <v>25562</v>
      </c>
      <c r="P5497" s="28" t="s">
        <v>27466</v>
      </c>
    </row>
    <row r="5498" spans="1:16" x14ac:dyDescent="0.25">
      <c r="A5498" s="28" t="s">
        <v>27467</v>
      </c>
      <c r="B5498" s="28" t="s">
        <v>27468</v>
      </c>
      <c r="C5498" s="28" t="s">
        <v>1779</v>
      </c>
      <c r="D5498" s="28" t="s">
        <v>5372</v>
      </c>
      <c r="E5498" s="28" t="s">
        <v>21072</v>
      </c>
      <c r="F5498" s="28" t="s">
        <v>21</v>
      </c>
      <c r="G5498" s="28" t="s">
        <v>25396</v>
      </c>
      <c r="H5498" s="28" t="s">
        <v>25556</v>
      </c>
      <c r="I5498" s="28" t="s">
        <v>27469</v>
      </c>
      <c r="J5498" s="28" t="s">
        <v>25396</v>
      </c>
      <c r="K5498" s="28" t="s">
        <v>25558</v>
      </c>
      <c r="L5498" s="28" t="s">
        <v>25559</v>
      </c>
      <c r="M5498" s="28" t="s">
        <v>27470</v>
      </c>
      <c r="N5498" s="28" t="s">
        <v>25561</v>
      </c>
      <c r="O5498" s="28" t="s">
        <v>25562</v>
      </c>
      <c r="P5498" s="28" t="s">
        <v>27471</v>
      </c>
    </row>
    <row r="5499" spans="1:16" x14ac:dyDescent="0.25">
      <c r="A5499" s="28" t="s">
        <v>27472</v>
      </c>
      <c r="B5499" s="28" t="s">
        <v>27473</v>
      </c>
      <c r="C5499" s="28" t="s">
        <v>1779</v>
      </c>
      <c r="D5499" s="28" t="s">
        <v>5372</v>
      </c>
      <c r="E5499" s="28" t="s">
        <v>27474</v>
      </c>
      <c r="F5499" s="28" t="s">
        <v>21</v>
      </c>
      <c r="G5499" s="28" t="s">
        <v>25396</v>
      </c>
      <c r="H5499" s="28" t="s">
        <v>25556</v>
      </c>
      <c r="I5499" s="28" t="s">
        <v>27475</v>
      </c>
      <c r="J5499" s="28" t="s">
        <v>25396</v>
      </c>
      <c r="K5499" s="28" t="s">
        <v>25558</v>
      </c>
      <c r="L5499" s="28" t="s">
        <v>25559</v>
      </c>
      <c r="M5499" s="28" t="s">
        <v>27476</v>
      </c>
      <c r="N5499" s="28" t="s">
        <v>25561</v>
      </c>
      <c r="O5499" s="28" t="s">
        <v>25562</v>
      </c>
      <c r="P5499" s="28" t="s">
        <v>27477</v>
      </c>
    </row>
    <row r="5500" spans="1:16" x14ac:dyDescent="0.25">
      <c r="A5500" s="28" t="s">
        <v>27478</v>
      </c>
      <c r="B5500" s="28" t="s">
        <v>27479</v>
      </c>
      <c r="C5500" s="28" t="s">
        <v>1779</v>
      </c>
      <c r="D5500" s="28" t="s">
        <v>5372</v>
      </c>
      <c r="E5500" s="28" t="s">
        <v>27480</v>
      </c>
      <c r="F5500" s="28" t="s">
        <v>21</v>
      </c>
      <c r="G5500" s="28" t="s">
        <v>25396</v>
      </c>
      <c r="H5500" s="28" t="s">
        <v>25556</v>
      </c>
      <c r="I5500" s="28" t="s">
        <v>27481</v>
      </c>
      <c r="J5500" s="28" t="s">
        <v>25396</v>
      </c>
      <c r="K5500" s="28" t="s">
        <v>25558</v>
      </c>
      <c r="L5500" s="28" t="s">
        <v>25559</v>
      </c>
      <c r="M5500" s="28" t="s">
        <v>27482</v>
      </c>
      <c r="N5500" s="28" t="s">
        <v>25561</v>
      </c>
      <c r="O5500" s="28" t="s">
        <v>25562</v>
      </c>
      <c r="P5500" s="28" t="s">
        <v>27483</v>
      </c>
    </row>
    <row r="5501" spans="1:16" x14ac:dyDescent="0.25">
      <c r="A5501" s="28" t="s">
        <v>27484</v>
      </c>
      <c r="B5501" s="28" t="s">
        <v>27485</v>
      </c>
      <c r="C5501" s="28" t="s">
        <v>1779</v>
      </c>
      <c r="D5501" s="28" t="s">
        <v>5372</v>
      </c>
      <c r="E5501" s="28" t="s">
        <v>21078</v>
      </c>
      <c r="F5501" s="28" t="s">
        <v>21</v>
      </c>
      <c r="G5501" s="28" t="s">
        <v>25396</v>
      </c>
      <c r="H5501" s="28" t="s">
        <v>25556</v>
      </c>
      <c r="I5501" s="28" t="s">
        <v>27486</v>
      </c>
      <c r="J5501" s="28" t="s">
        <v>25396</v>
      </c>
      <c r="K5501" s="28" t="s">
        <v>25558</v>
      </c>
      <c r="L5501" s="28" t="s">
        <v>25559</v>
      </c>
      <c r="M5501" s="28" t="s">
        <v>27487</v>
      </c>
      <c r="N5501" s="28" t="s">
        <v>25561</v>
      </c>
      <c r="O5501" s="28" t="s">
        <v>25562</v>
      </c>
      <c r="P5501" s="28" t="s">
        <v>27488</v>
      </c>
    </row>
    <row r="5502" spans="1:16" x14ac:dyDescent="0.25">
      <c r="A5502" s="28" t="s">
        <v>27489</v>
      </c>
      <c r="B5502" s="28" t="s">
        <v>27490</v>
      </c>
      <c r="C5502" s="28" t="s">
        <v>1779</v>
      </c>
      <c r="D5502" s="28" t="s">
        <v>5372</v>
      </c>
      <c r="E5502" s="28" t="s">
        <v>27491</v>
      </c>
      <c r="F5502" s="28" t="s">
        <v>21</v>
      </c>
      <c r="G5502" s="28" t="s">
        <v>25396</v>
      </c>
      <c r="H5502" s="28" t="s">
        <v>25556</v>
      </c>
      <c r="I5502" s="28" t="s">
        <v>27492</v>
      </c>
      <c r="J5502" s="28" t="s">
        <v>25396</v>
      </c>
      <c r="K5502" s="28" t="s">
        <v>25558</v>
      </c>
      <c r="L5502" s="28" t="s">
        <v>25559</v>
      </c>
      <c r="M5502" s="28" t="s">
        <v>27493</v>
      </c>
      <c r="N5502" s="28" t="s">
        <v>25561</v>
      </c>
      <c r="O5502" s="28" t="s">
        <v>25562</v>
      </c>
      <c r="P5502" s="28" t="s">
        <v>27494</v>
      </c>
    </row>
    <row r="5503" spans="1:16" x14ac:dyDescent="0.25">
      <c r="A5503" s="28" t="s">
        <v>27495</v>
      </c>
      <c r="B5503" s="28" t="s">
        <v>27496</v>
      </c>
      <c r="C5503" s="28" t="s">
        <v>1779</v>
      </c>
      <c r="D5503" s="28" t="s">
        <v>5372</v>
      </c>
      <c r="E5503" s="28" t="s">
        <v>21084</v>
      </c>
      <c r="F5503" s="28" t="s">
        <v>21</v>
      </c>
      <c r="G5503" s="28" t="s">
        <v>25396</v>
      </c>
      <c r="H5503" s="28" t="s">
        <v>25556</v>
      </c>
      <c r="I5503" s="28" t="s">
        <v>27497</v>
      </c>
      <c r="J5503" s="28" t="s">
        <v>25396</v>
      </c>
      <c r="K5503" s="28" t="s">
        <v>25558</v>
      </c>
      <c r="L5503" s="28" t="s">
        <v>25559</v>
      </c>
      <c r="M5503" s="28" t="s">
        <v>27498</v>
      </c>
      <c r="N5503" s="28" t="s">
        <v>25561</v>
      </c>
      <c r="O5503" s="28" t="s">
        <v>25562</v>
      </c>
      <c r="P5503" s="28" t="s">
        <v>27499</v>
      </c>
    </row>
    <row r="5504" spans="1:16" x14ac:dyDescent="0.25">
      <c r="A5504" s="28" t="s">
        <v>27500</v>
      </c>
      <c r="B5504" s="28" t="s">
        <v>27501</v>
      </c>
      <c r="C5504" s="28" t="s">
        <v>1779</v>
      </c>
      <c r="D5504" s="28" t="s">
        <v>5372</v>
      </c>
      <c r="E5504" s="28" t="s">
        <v>27502</v>
      </c>
      <c r="F5504" s="28" t="s">
        <v>21</v>
      </c>
      <c r="G5504" s="28" t="s">
        <v>25396</v>
      </c>
      <c r="H5504" s="28" t="s">
        <v>25556</v>
      </c>
      <c r="I5504" s="28" t="s">
        <v>27503</v>
      </c>
      <c r="J5504" s="28" t="s">
        <v>25396</v>
      </c>
      <c r="K5504" s="28" t="s">
        <v>25558</v>
      </c>
      <c r="L5504" s="28" t="s">
        <v>25559</v>
      </c>
      <c r="M5504" s="28" t="s">
        <v>27504</v>
      </c>
      <c r="N5504" s="28" t="s">
        <v>25561</v>
      </c>
      <c r="O5504" s="28" t="s">
        <v>25562</v>
      </c>
      <c r="P5504" s="28" t="s">
        <v>27505</v>
      </c>
    </row>
    <row r="5505" spans="1:16" x14ac:dyDescent="0.25">
      <c r="A5505" s="28" t="s">
        <v>27506</v>
      </c>
      <c r="B5505" s="28" t="s">
        <v>27507</v>
      </c>
      <c r="C5505" s="28" t="s">
        <v>1779</v>
      </c>
      <c r="D5505" s="28" t="s">
        <v>5372</v>
      </c>
      <c r="E5505" s="28" t="s">
        <v>18206</v>
      </c>
      <c r="F5505" s="28" t="s">
        <v>21</v>
      </c>
      <c r="G5505" s="28" t="s">
        <v>25396</v>
      </c>
      <c r="H5505" s="28" t="s">
        <v>25556</v>
      </c>
      <c r="I5505" s="28" t="s">
        <v>27508</v>
      </c>
      <c r="J5505" s="28" t="s">
        <v>25396</v>
      </c>
      <c r="K5505" s="28" t="s">
        <v>25558</v>
      </c>
      <c r="L5505" s="28" t="s">
        <v>25559</v>
      </c>
      <c r="M5505" s="28" t="s">
        <v>27509</v>
      </c>
      <c r="N5505" s="28" t="s">
        <v>25561</v>
      </c>
      <c r="O5505" s="28" t="s">
        <v>25562</v>
      </c>
      <c r="P5505" s="28" t="s">
        <v>27510</v>
      </c>
    </row>
    <row r="5506" spans="1:16" x14ac:dyDescent="0.25">
      <c r="A5506" s="28" t="s">
        <v>27511</v>
      </c>
      <c r="B5506" s="28" t="s">
        <v>27512</v>
      </c>
      <c r="C5506" s="28" t="s">
        <v>1779</v>
      </c>
      <c r="D5506" s="28" t="s">
        <v>5372</v>
      </c>
      <c r="E5506" s="28" t="s">
        <v>27513</v>
      </c>
      <c r="F5506" s="28" t="s">
        <v>21</v>
      </c>
      <c r="G5506" s="28" t="s">
        <v>25396</v>
      </c>
      <c r="H5506" s="28" t="s">
        <v>25556</v>
      </c>
      <c r="I5506" s="28" t="s">
        <v>27514</v>
      </c>
      <c r="J5506" s="28" t="s">
        <v>25396</v>
      </c>
      <c r="K5506" s="28" t="s">
        <v>25558</v>
      </c>
      <c r="L5506" s="28" t="s">
        <v>25559</v>
      </c>
      <c r="M5506" s="28" t="s">
        <v>27515</v>
      </c>
      <c r="N5506" s="28" t="s">
        <v>25561</v>
      </c>
      <c r="O5506" s="28" t="s">
        <v>25562</v>
      </c>
      <c r="P5506" s="28" t="s">
        <v>27516</v>
      </c>
    </row>
    <row r="5507" spans="1:16" x14ac:dyDescent="0.25">
      <c r="A5507" s="28" t="s">
        <v>27517</v>
      </c>
      <c r="B5507" s="28" t="s">
        <v>27518</v>
      </c>
      <c r="C5507" s="28" t="s">
        <v>1779</v>
      </c>
      <c r="D5507" s="28" t="s">
        <v>5372</v>
      </c>
      <c r="E5507" s="28" t="s">
        <v>27519</v>
      </c>
      <c r="F5507" s="28" t="s">
        <v>21</v>
      </c>
      <c r="G5507" s="28" t="s">
        <v>25396</v>
      </c>
      <c r="H5507" s="28" t="s">
        <v>25556</v>
      </c>
      <c r="I5507" s="28" t="s">
        <v>27520</v>
      </c>
      <c r="J5507" s="28" t="s">
        <v>25396</v>
      </c>
      <c r="K5507" s="28" t="s">
        <v>25558</v>
      </c>
      <c r="L5507" s="28" t="s">
        <v>25559</v>
      </c>
      <c r="M5507" s="28" t="s">
        <v>27521</v>
      </c>
      <c r="N5507" s="28" t="s">
        <v>25561</v>
      </c>
      <c r="O5507" s="28" t="s">
        <v>25562</v>
      </c>
      <c r="P5507" s="28" t="s">
        <v>27522</v>
      </c>
    </row>
    <row r="5508" spans="1:16" x14ac:dyDescent="0.25">
      <c r="A5508" s="28" t="s">
        <v>27523</v>
      </c>
      <c r="B5508" s="28" t="s">
        <v>27524</v>
      </c>
      <c r="C5508" s="28" t="s">
        <v>1779</v>
      </c>
      <c r="D5508" s="28" t="s">
        <v>5372</v>
      </c>
      <c r="E5508" s="28" t="s">
        <v>21098</v>
      </c>
      <c r="F5508" s="28" t="s">
        <v>21</v>
      </c>
      <c r="G5508" s="28" t="s">
        <v>25396</v>
      </c>
      <c r="H5508" s="28" t="s">
        <v>25556</v>
      </c>
      <c r="I5508" s="28" t="s">
        <v>27525</v>
      </c>
      <c r="J5508" s="28" t="s">
        <v>25396</v>
      </c>
      <c r="K5508" s="28" t="s">
        <v>25558</v>
      </c>
      <c r="L5508" s="28" t="s">
        <v>25559</v>
      </c>
      <c r="M5508" s="28" t="s">
        <v>27526</v>
      </c>
      <c r="N5508" s="28" t="s">
        <v>25561</v>
      </c>
      <c r="O5508" s="28" t="s">
        <v>25562</v>
      </c>
      <c r="P5508" s="28" t="s">
        <v>27527</v>
      </c>
    </row>
    <row r="5509" spans="1:16" x14ac:dyDescent="0.25">
      <c r="A5509" s="28" t="s">
        <v>27528</v>
      </c>
      <c r="B5509" s="28" t="s">
        <v>27529</v>
      </c>
      <c r="C5509" s="28" t="s">
        <v>1779</v>
      </c>
      <c r="D5509" s="28" t="s">
        <v>5372</v>
      </c>
      <c r="E5509" s="28" t="s">
        <v>121</v>
      </c>
      <c r="F5509" s="28" t="s">
        <v>21</v>
      </c>
      <c r="G5509" s="28" t="s">
        <v>25396</v>
      </c>
      <c r="H5509" s="28" t="s">
        <v>25556</v>
      </c>
      <c r="I5509" s="28" t="s">
        <v>27530</v>
      </c>
      <c r="J5509" s="28" t="s">
        <v>25396</v>
      </c>
      <c r="K5509" s="28" t="s">
        <v>25558</v>
      </c>
      <c r="L5509" s="28" t="s">
        <v>25559</v>
      </c>
      <c r="M5509" s="28" t="s">
        <v>26391</v>
      </c>
      <c r="N5509" s="28" t="s">
        <v>25561</v>
      </c>
      <c r="O5509" s="28" t="s">
        <v>25562</v>
      </c>
      <c r="P5509" s="28" t="s">
        <v>27531</v>
      </c>
    </row>
    <row r="5510" spans="1:16" x14ac:dyDescent="0.25">
      <c r="A5510" s="28" t="s">
        <v>27532</v>
      </c>
      <c r="B5510" s="28" t="s">
        <v>27533</v>
      </c>
      <c r="C5510" s="28" t="s">
        <v>1779</v>
      </c>
      <c r="D5510" s="28" t="s">
        <v>19</v>
      </c>
      <c r="E5510" s="28" t="s">
        <v>134</v>
      </c>
      <c r="F5510" s="28" t="s">
        <v>21</v>
      </c>
      <c r="G5510" s="28" t="s">
        <v>25396</v>
      </c>
      <c r="H5510" s="28" t="s">
        <v>25556</v>
      </c>
      <c r="I5510" s="28" t="s">
        <v>27534</v>
      </c>
      <c r="J5510" s="28" t="s">
        <v>25396</v>
      </c>
      <c r="K5510" s="28" t="s">
        <v>25558</v>
      </c>
      <c r="L5510" s="28" t="s">
        <v>25559</v>
      </c>
      <c r="M5510" s="28" t="s">
        <v>27535</v>
      </c>
      <c r="N5510" s="28" t="s">
        <v>25561</v>
      </c>
      <c r="O5510" s="28" t="s">
        <v>25562</v>
      </c>
      <c r="P5510" s="28" t="s">
        <v>27536</v>
      </c>
    </row>
    <row r="5511" spans="1:16" x14ac:dyDescent="0.25">
      <c r="A5511" s="28" t="s">
        <v>27537</v>
      </c>
      <c r="B5511" s="28" t="s">
        <v>27538</v>
      </c>
      <c r="C5511" s="28" t="s">
        <v>1779</v>
      </c>
      <c r="D5511" s="28" t="s">
        <v>19</v>
      </c>
      <c r="E5511" s="28" t="s">
        <v>10313</v>
      </c>
      <c r="F5511" s="28" t="s">
        <v>21</v>
      </c>
      <c r="G5511" s="28" t="s">
        <v>25396</v>
      </c>
      <c r="H5511" s="28" t="s">
        <v>25556</v>
      </c>
      <c r="I5511" s="28" t="s">
        <v>27539</v>
      </c>
      <c r="J5511" s="28" t="s">
        <v>25396</v>
      </c>
      <c r="K5511" s="28" t="s">
        <v>25558</v>
      </c>
      <c r="L5511" s="28" t="s">
        <v>25559</v>
      </c>
      <c r="M5511" s="28" t="s">
        <v>27540</v>
      </c>
      <c r="N5511" s="28" t="s">
        <v>25561</v>
      </c>
      <c r="O5511" s="28" t="s">
        <v>25562</v>
      </c>
      <c r="P5511" s="28" t="s">
        <v>27541</v>
      </c>
    </row>
    <row r="5512" spans="1:16" x14ac:dyDescent="0.25">
      <c r="A5512" s="28" t="s">
        <v>27542</v>
      </c>
      <c r="B5512" s="28" t="s">
        <v>27543</v>
      </c>
      <c r="C5512" s="28" t="s">
        <v>1779</v>
      </c>
      <c r="D5512" s="28" t="s">
        <v>19</v>
      </c>
      <c r="E5512" s="28" t="s">
        <v>10319</v>
      </c>
      <c r="F5512" s="28" t="s">
        <v>21</v>
      </c>
      <c r="G5512" s="28" t="s">
        <v>25396</v>
      </c>
      <c r="H5512" s="28" t="s">
        <v>25556</v>
      </c>
      <c r="I5512" s="28" t="s">
        <v>27544</v>
      </c>
      <c r="J5512" s="28" t="s">
        <v>25396</v>
      </c>
      <c r="K5512" s="28" t="s">
        <v>25558</v>
      </c>
      <c r="L5512" s="28" t="s">
        <v>25559</v>
      </c>
      <c r="M5512" s="28" t="s">
        <v>27545</v>
      </c>
      <c r="N5512" s="28" t="s">
        <v>25561</v>
      </c>
      <c r="O5512" s="28" t="s">
        <v>25562</v>
      </c>
      <c r="P5512" s="28" t="s">
        <v>27546</v>
      </c>
    </row>
    <row r="5513" spans="1:16" x14ac:dyDescent="0.25">
      <c r="A5513" s="28" t="s">
        <v>27547</v>
      </c>
      <c r="B5513" s="28" t="s">
        <v>27548</v>
      </c>
      <c r="C5513" s="28" t="s">
        <v>1779</v>
      </c>
      <c r="D5513" s="28" t="s">
        <v>19</v>
      </c>
      <c r="E5513" s="28" t="s">
        <v>10325</v>
      </c>
      <c r="F5513" s="28" t="s">
        <v>21</v>
      </c>
      <c r="G5513" s="28" t="s">
        <v>25396</v>
      </c>
      <c r="H5513" s="28" t="s">
        <v>25556</v>
      </c>
      <c r="I5513" s="28" t="s">
        <v>27549</v>
      </c>
      <c r="J5513" s="28" t="s">
        <v>25396</v>
      </c>
      <c r="K5513" s="28" t="s">
        <v>25558</v>
      </c>
      <c r="L5513" s="28" t="s">
        <v>25559</v>
      </c>
      <c r="M5513" s="28" t="s">
        <v>27550</v>
      </c>
      <c r="N5513" s="28" t="s">
        <v>25561</v>
      </c>
      <c r="O5513" s="28" t="s">
        <v>25562</v>
      </c>
      <c r="P5513" s="28" t="s">
        <v>27551</v>
      </c>
    </row>
    <row r="5514" spans="1:16" x14ac:dyDescent="0.25">
      <c r="A5514" s="28" t="s">
        <v>27552</v>
      </c>
      <c r="B5514" s="28" t="s">
        <v>27553</v>
      </c>
      <c r="C5514" s="28" t="s">
        <v>1779</v>
      </c>
      <c r="D5514" s="28" t="s">
        <v>19</v>
      </c>
      <c r="E5514" s="28" t="s">
        <v>10331</v>
      </c>
      <c r="F5514" s="28" t="s">
        <v>21</v>
      </c>
      <c r="G5514" s="28" t="s">
        <v>25396</v>
      </c>
      <c r="H5514" s="28" t="s">
        <v>25556</v>
      </c>
      <c r="I5514" s="28" t="s">
        <v>27554</v>
      </c>
      <c r="J5514" s="28" t="s">
        <v>25396</v>
      </c>
      <c r="K5514" s="28" t="s">
        <v>25558</v>
      </c>
      <c r="L5514" s="28" t="s">
        <v>25559</v>
      </c>
      <c r="M5514" s="28" t="s">
        <v>27555</v>
      </c>
      <c r="N5514" s="28" t="s">
        <v>25561</v>
      </c>
      <c r="O5514" s="28" t="s">
        <v>25562</v>
      </c>
      <c r="P5514" s="28" t="s">
        <v>27556</v>
      </c>
    </row>
    <row r="5515" spans="1:16" x14ac:dyDescent="0.25">
      <c r="A5515" s="28" t="s">
        <v>27557</v>
      </c>
      <c r="B5515" s="28" t="s">
        <v>27558</v>
      </c>
      <c r="C5515" s="28" t="s">
        <v>1779</v>
      </c>
      <c r="D5515" s="28" t="s">
        <v>19</v>
      </c>
      <c r="E5515" s="28" t="s">
        <v>183</v>
      </c>
      <c r="F5515" s="28" t="s">
        <v>21</v>
      </c>
      <c r="G5515" s="28" t="s">
        <v>25396</v>
      </c>
      <c r="H5515" s="28" t="s">
        <v>25556</v>
      </c>
      <c r="I5515" s="28" t="s">
        <v>27559</v>
      </c>
      <c r="J5515" s="28" t="s">
        <v>25396</v>
      </c>
      <c r="K5515" s="28" t="s">
        <v>25558</v>
      </c>
      <c r="L5515" s="28" t="s">
        <v>25559</v>
      </c>
      <c r="M5515" s="28" t="s">
        <v>27560</v>
      </c>
      <c r="N5515" s="28" t="s">
        <v>25561</v>
      </c>
      <c r="O5515" s="28" t="s">
        <v>25562</v>
      </c>
      <c r="P5515" s="28" t="s">
        <v>27561</v>
      </c>
    </row>
    <row r="5516" spans="1:16" x14ac:dyDescent="0.25">
      <c r="A5516" s="28" t="s">
        <v>27562</v>
      </c>
      <c r="B5516" s="28" t="s">
        <v>27563</v>
      </c>
      <c r="C5516" s="28" t="s">
        <v>1779</v>
      </c>
      <c r="D5516" s="28" t="s">
        <v>19</v>
      </c>
      <c r="E5516" s="28" t="s">
        <v>10420</v>
      </c>
      <c r="F5516" s="28" t="s">
        <v>21</v>
      </c>
      <c r="G5516" s="28" t="s">
        <v>25396</v>
      </c>
      <c r="H5516" s="28" t="s">
        <v>25556</v>
      </c>
      <c r="I5516" s="28" t="s">
        <v>27564</v>
      </c>
      <c r="J5516" s="28" t="s">
        <v>25396</v>
      </c>
      <c r="K5516" s="28" t="s">
        <v>25558</v>
      </c>
      <c r="L5516" s="28" t="s">
        <v>25559</v>
      </c>
      <c r="M5516" s="28" t="s">
        <v>27565</v>
      </c>
      <c r="N5516" s="28" t="s">
        <v>25561</v>
      </c>
      <c r="O5516" s="28" t="s">
        <v>25562</v>
      </c>
      <c r="P5516" s="28" t="s">
        <v>27566</v>
      </c>
    </row>
    <row r="5517" spans="1:16" x14ac:dyDescent="0.25">
      <c r="A5517" s="28" t="s">
        <v>27567</v>
      </c>
      <c r="B5517" s="28" t="s">
        <v>27568</v>
      </c>
      <c r="C5517" s="28" t="s">
        <v>1779</v>
      </c>
      <c r="D5517" s="28" t="s">
        <v>19</v>
      </c>
      <c r="E5517" s="28" t="s">
        <v>196</v>
      </c>
      <c r="F5517" s="28" t="s">
        <v>21</v>
      </c>
      <c r="G5517" s="28" t="s">
        <v>25396</v>
      </c>
      <c r="H5517" s="28" t="s">
        <v>25556</v>
      </c>
      <c r="I5517" s="28" t="s">
        <v>27569</v>
      </c>
      <c r="J5517" s="28" t="s">
        <v>25396</v>
      </c>
      <c r="K5517" s="28" t="s">
        <v>25558</v>
      </c>
      <c r="L5517" s="28" t="s">
        <v>25559</v>
      </c>
      <c r="M5517" s="28" t="s">
        <v>27570</v>
      </c>
      <c r="N5517" s="28" t="s">
        <v>25561</v>
      </c>
      <c r="O5517" s="28" t="s">
        <v>25562</v>
      </c>
      <c r="P5517" s="28" t="s">
        <v>27571</v>
      </c>
    </row>
    <row r="5518" spans="1:16" x14ac:dyDescent="0.25">
      <c r="A5518" s="28" t="s">
        <v>27572</v>
      </c>
      <c r="B5518" s="28" t="s">
        <v>27573</v>
      </c>
      <c r="C5518" s="28" t="s">
        <v>1779</v>
      </c>
      <c r="D5518" s="28" t="s">
        <v>19</v>
      </c>
      <c r="E5518" s="28" t="s">
        <v>10459</v>
      </c>
      <c r="F5518" s="28" t="s">
        <v>21</v>
      </c>
      <c r="G5518" s="28" t="s">
        <v>25396</v>
      </c>
      <c r="H5518" s="28" t="s">
        <v>25556</v>
      </c>
      <c r="I5518" s="28" t="s">
        <v>27574</v>
      </c>
      <c r="J5518" s="28" t="s">
        <v>25396</v>
      </c>
      <c r="K5518" s="28" t="s">
        <v>25558</v>
      </c>
      <c r="L5518" s="28" t="s">
        <v>25559</v>
      </c>
      <c r="M5518" s="28" t="s">
        <v>27575</v>
      </c>
      <c r="N5518" s="28" t="s">
        <v>25561</v>
      </c>
      <c r="O5518" s="28" t="s">
        <v>25562</v>
      </c>
      <c r="P5518" s="28" t="s">
        <v>27576</v>
      </c>
    </row>
    <row r="5519" spans="1:16" x14ac:dyDescent="0.25">
      <c r="A5519" s="28" t="s">
        <v>27577</v>
      </c>
      <c r="B5519" s="28" t="s">
        <v>27578</v>
      </c>
      <c r="C5519" s="28" t="s">
        <v>1779</v>
      </c>
      <c r="D5519" s="28" t="s">
        <v>19</v>
      </c>
      <c r="E5519" s="28" t="s">
        <v>27579</v>
      </c>
      <c r="F5519" s="28" t="s">
        <v>21</v>
      </c>
      <c r="G5519" s="28" t="s">
        <v>25396</v>
      </c>
      <c r="H5519" s="28" t="s">
        <v>25556</v>
      </c>
      <c r="I5519" s="28" t="s">
        <v>27580</v>
      </c>
      <c r="J5519" s="28" t="s">
        <v>25396</v>
      </c>
      <c r="K5519" s="28" t="s">
        <v>25558</v>
      </c>
      <c r="L5519" s="28" t="s">
        <v>25559</v>
      </c>
      <c r="M5519" s="28" t="s">
        <v>27581</v>
      </c>
      <c r="N5519" s="28" t="s">
        <v>25561</v>
      </c>
      <c r="O5519" s="28" t="s">
        <v>25562</v>
      </c>
      <c r="P5519" s="28" t="s">
        <v>27582</v>
      </c>
    </row>
    <row r="5520" spans="1:16" x14ac:dyDescent="0.25">
      <c r="A5520" s="28" t="s">
        <v>27583</v>
      </c>
      <c r="B5520" s="28" t="s">
        <v>27584</v>
      </c>
      <c r="C5520" s="28" t="s">
        <v>1779</v>
      </c>
      <c r="D5520" s="28" t="s">
        <v>19</v>
      </c>
      <c r="E5520" s="28" t="s">
        <v>27585</v>
      </c>
      <c r="F5520" s="28" t="s">
        <v>21</v>
      </c>
      <c r="G5520" s="28" t="s">
        <v>39</v>
      </c>
      <c r="H5520" s="28" t="s">
        <v>25556</v>
      </c>
      <c r="I5520" s="28" t="s">
        <v>27586</v>
      </c>
      <c r="J5520" s="28" t="s">
        <v>39</v>
      </c>
      <c r="K5520" s="28" t="s">
        <v>25594</v>
      </c>
      <c r="L5520" s="28" t="s">
        <v>25559</v>
      </c>
      <c r="M5520" s="28" t="s">
        <v>27587</v>
      </c>
      <c r="N5520" s="28" t="s">
        <v>25561</v>
      </c>
      <c r="O5520" s="28" t="s">
        <v>25562</v>
      </c>
      <c r="P5520" s="28" t="s">
        <v>27588</v>
      </c>
    </row>
    <row r="5521" spans="1:16" x14ac:dyDescent="0.25">
      <c r="A5521" s="28" t="s">
        <v>27589</v>
      </c>
      <c r="B5521" s="28" t="s">
        <v>27590</v>
      </c>
      <c r="C5521" s="28" t="s">
        <v>1779</v>
      </c>
      <c r="D5521" s="28" t="s">
        <v>19</v>
      </c>
      <c r="E5521" s="28" t="s">
        <v>27591</v>
      </c>
      <c r="F5521" s="28" t="s">
        <v>21</v>
      </c>
      <c r="G5521" s="28" t="s">
        <v>39</v>
      </c>
      <c r="H5521" s="28" t="s">
        <v>25556</v>
      </c>
      <c r="I5521" s="28" t="s">
        <v>27592</v>
      </c>
      <c r="J5521" s="28" t="s">
        <v>39</v>
      </c>
      <c r="K5521" s="28" t="s">
        <v>25594</v>
      </c>
      <c r="L5521" s="28" t="s">
        <v>25559</v>
      </c>
      <c r="M5521" s="28" t="s">
        <v>27593</v>
      </c>
      <c r="N5521" s="28" t="s">
        <v>25561</v>
      </c>
      <c r="O5521" s="28" t="s">
        <v>25562</v>
      </c>
      <c r="P5521" s="28" t="s">
        <v>27594</v>
      </c>
    </row>
    <row r="5522" spans="1:16" x14ac:dyDescent="0.25">
      <c r="A5522" s="28" t="s">
        <v>27595</v>
      </c>
      <c r="B5522" s="28" t="s">
        <v>27596</v>
      </c>
      <c r="C5522" s="28" t="s">
        <v>1779</v>
      </c>
      <c r="D5522" s="28" t="s">
        <v>19</v>
      </c>
      <c r="E5522" s="28" t="s">
        <v>27597</v>
      </c>
      <c r="F5522" s="28" t="s">
        <v>21</v>
      </c>
      <c r="G5522" s="28" t="s">
        <v>39</v>
      </c>
      <c r="H5522" s="28" t="s">
        <v>25556</v>
      </c>
      <c r="I5522" s="28" t="s">
        <v>27598</v>
      </c>
      <c r="J5522" s="28" t="s">
        <v>39</v>
      </c>
      <c r="K5522" s="28" t="s">
        <v>25594</v>
      </c>
      <c r="L5522" s="28" t="s">
        <v>25559</v>
      </c>
      <c r="M5522" s="28" t="s">
        <v>27599</v>
      </c>
      <c r="N5522" s="28" t="s">
        <v>25561</v>
      </c>
      <c r="O5522" s="28" t="s">
        <v>25562</v>
      </c>
      <c r="P5522" s="28" t="s">
        <v>27600</v>
      </c>
    </row>
    <row r="5523" spans="1:16" x14ac:dyDescent="0.25">
      <c r="A5523" s="28" t="s">
        <v>27601</v>
      </c>
      <c r="B5523" s="28" t="s">
        <v>27602</v>
      </c>
      <c r="C5523" s="28" t="s">
        <v>1779</v>
      </c>
      <c r="D5523" s="28" t="s">
        <v>19</v>
      </c>
      <c r="E5523" s="28" t="s">
        <v>27603</v>
      </c>
      <c r="F5523" s="28" t="s">
        <v>21</v>
      </c>
      <c r="G5523" s="28" t="s">
        <v>39</v>
      </c>
      <c r="H5523" s="28" t="s">
        <v>25556</v>
      </c>
      <c r="I5523" s="28" t="s">
        <v>27604</v>
      </c>
      <c r="J5523" s="28" t="s">
        <v>39</v>
      </c>
      <c r="K5523" s="28" t="s">
        <v>25594</v>
      </c>
      <c r="L5523" s="28" t="s">
        <v>25559</v>
      </c>
      <c r="M5523" s="28" t="s">
        <v>27605</v>
      </c>
      <c r="N5523" s="28" t="s">
        <v>25561</v>
      </c>
      <c r="O5523" s="28" t="s">
        <v>25562</v>
      </c>
      <c r="P5523" s="28" t="s">
        <v>27606</v>
      </c>
    </row>
    <row r="5524" spans="1:16" x14ac:dyDescent="0.25">
      <c r="A5524" s="28" t="s">
        <v>27607</v>
      </c>
      <c r="B5524" s="28" t="s">
        <v>27608</v>
      </c>
      <c r="C5524" s="28" t="s">
        <v>1779</v>
      </c>
      <c r="D5524" s="28" t="s">
        <v>19</v>
      </c>
      <c r="E5524" s="28" t="s">
        <v>276</v>
      </c>
      <c r="F5524" s="28" t="s">
        <v>21</v>
      </c>
      <c r="G5524" s="28" t="s">
        <v>39</v>
      </c>
      <c r="H5524" s="28" t="s">
        <v>25556</v>
      </c>
      <c r="I5524" s="28" t="s">
        <v>27609</v>
      </c>
      <c r="J5524" s="28" t="s">
        <v>39</v>
      </c>
      <c r="K5524" s="28" t="s">
        <v>25594</v>
      </c>
      <c r="L5524" s="28" t="s">
        <v>25559</v>
      </c>
      <c r="M5524" s="28" t="s">
        <v>27610</v>
      </c>
      <c r="N5524" s="28" t="s">
        <v>25561</v>
      </c>
      <c r="O5524" s="28" t="s">
        <v>25562</v>
      </c>
      <c r="P5524" s="28" t="s">
        <v>27611</v>
      </c>
    </row>
    <row r="5525" spans="1:16" x14ac:dyDescent="0.25">
      <c r="A5525" s="28" t="s">
        <v>27612</v>
      </c>
      <c r="B5525" s="28" t="s">
        <v>27613</v>
      </c>
      <c r="C5525" s="28" t="s">
        <v>1779</v>
      </c>
      <c r="D5525" s="28" t="s">
        <v>19</v>
      </c>
      <c r="E5525" s="28" t="s">
        <v>7031</v>
      </c>
      <c r="F5525" s="28" t="s">
        <v>21</v>
      </c>
      <c r="G5525" s="28" t="s">
        <v>25396</v>
      </c>
      <c r="H5525" s="28" t="s">
        <v>25556</v>
      </c>
      <c r="I5525" s="28" t="s">
        <v>27614</v>
      </c>
      <c r="J5525" s="28" t="s">
        <v>25396</v>
      </c>
      <c r="K5525" s="28" t="s">
        <v>25558</v>
      </c>
      <c r="L5525" s="28" t="s">
        <v>25559</v>
      </c>
      <c r="M5525" s="28" t="s">
        <v>27615</v>
      </c>
      <c r="N5525" s="28" t="s">
        <v>25561</v>
      </c>
      <c r="O5525" s="28" t="s">
        <v>25562</v>
      </c>
      <c r="P5525" s="28" t="s">
        <v>27616</v>
      </c>
    </row>
    <row r="5526" spans="1:16" x14ac:dyDescent="0.25">
      <c r="A5526" s="28" t="s">
        <v>27617</v>
      </c>
      <c r="B5526" s="28" t="s">
        <v>27618</v>
      </c>
      <c r="C5526" s="28" t="s">
        <v>1779</v>
      </c>
      <c r="D5526" s="28" t="s">
        <v>19</v>
      </c>
      <c r="E5526" s="28" t="s">
        <v>281</v>
      </c>
      <c r="F5526" s="28" t="s">
        <v>21</v>
      </c>
      <c r="G5526" s="28" t="s">
        <v>39</v>
      </c>
      <c r="H5526" s="28" t="s">
        <v>25556</v>
      </c>
      <c r="I5526" s="28" t="s">
        <v>27619</v>
      </c>
      <c r="J5526" s="28" t="s">
        <v>39</v>
      </c>
      <c r="K5526" s="28" t="s">
        <v>25594</v>
      </c>
      <c r="L5526" s="28" t="s">
        <v>25559</v>
      </c>
      <c r="M5526" s="28" t="s">
        <v>27620</v>
      </c>
      <c r="N5526" s="28" t="s">
        <v>25561</v>
      </c>
      <c r="O5526" s="28" t="s">
        <v>25562</v>
      </c>
      <c r="P5526" s="28" t="s">
        <v>27621</v>
      </c>
    </row>
    <row r="5527" spans="1:16" x14ac:dyDescent="0.25">
      <c r="A5527" s="28" t="s">
        <v>27622</v>
      </c>
      <c r="B5527" s="28" t="s">
        <v>27623</v>
      </c>
      <c r="C5527" s="28" t="s">
        <v>1779</v>
      </c>
      <c r="D5527" s="28" t="s">
        <v>19</v>
      </c>
      <c r="E5527" s="28" t="s">
        <v>27624</v>
      </c>
      <c r="F5527" s="28" t="s">
        <v>21</v>
      </c>
      <c r="G5527" s="28" t="s">
        <v>25396</v>
      </c>
      <c r="H5527" s="28" t="s">
        <v>25556</v>
      </c>
      <c r="I5527" s="28" t="s">
        <v>27625</v>
      </c>
      <c r="J5527" s="28" t="s">
        <v>25396</v>
      </c>
      <c r="K5527" s="28" t="s">
        <v>25558</v>
      </c>
      <c r="L5527" s="28" t="s">
        <v>25559</v>
      </c>
      <c r="M5527" s="28" t="s">
        <v>27626</v>
      </c>
      <c r="N5527" s="28" t="s">
        <v>25561</v>
      </c>
      <c r="O5527" s="28" t="s">
        <v>25562</v>
      </c>
      <c r="P5527" s="28" t="s">
        <v>27627</v>
      </c>
    </row>
    <row r="5528" spans="1:16" x14ac:dyDescent="0.25">
      <c r="A5528" s="28" t="s">
        <v>27628</v>
      </c>
      <c r="B5528" s="28" t="s">
        <v>27629</v>
      </c>
      <c r="C5528" s="28" t="s">
        <v>25143</v>
      </c>
      <c r="D5528" s="28" t="s">
        <v>4421</v>
      </c>
      <c r="E5528" s="28" t="s">
        <v>27630</v>
      </c>
      <c r="F5528" s="28" t="s">
        <v>21</v>
      </c>
      <c r="G5528" s="28" t="s">
        <v>39</v>
      </c>
      <c r="H5528" s="28" t="s">
        <v>27631</v>
      </c>
      <c r="I5528" s="28" t="s">
        <v>27632</v>
      </c>
      <c r="J5528" s="28" t="s">
        <v>39</v>
      </c>
      <c r="K5528" s="28" t="s">
        <v>27633</v>
      </c>
      <c r="L5528" s="28" t="s">
        <v>27634</v>
      </c>
      <c r="M5528" s="28" t="s">
        <v>27635</v>
      </c>
      <c r="N5528" s="28" t="s">
        <v>27636</v>
      </c>
      <c r="O5528" s="28" t="s">
        <v>27637</v>
      </c>
      <c r="P5528" s="28" t="s">
        <v>27638</v>
      </c>
    </row>
    <row r="5529" spans="1:16" x14ac:dyDescent="0.25">
      <c r="A5529" s="28" t="s">
        <v>27639</v>
      </c>
      <c r="B5529" s="28" t="s">
        <v>27640</v>
      </c>
      <c r="C5529" s="28" t="s">
        <v>25143</v>
      </c>
      <c r="D5529" s="28" t="s">
        <v>4421</v>
      </c>
      <c r="E5529" s="28" t="s">
        <v>27630</v>
      </c>
      <c r="F5529" s="28" t="s">
        <v>21</v>
      </c>
      <c r="G5529" s="28" t="s">
        <v>39</v>
      </c>
      <c r="H5529" s="28" t="s">
        <v>27631</v>
      </c>
      <c r="I5529" s="28" t="s">
        <v>27641</v>
      </c>
      <c r="J5529" s="28" t="s">
        <v>39</v>
      </c>
      <c r="K5529" s="28" t="s">
        <v>27633</v>
      </c>
      <c r="L5529" s="28" t="s">
        <v>27634</v>
      </c>
      <c r="M5529" s="28" t="s">
        <v>27642</v>
      </c>
      <c r="N5529" s="28" t="s">
        <v>27636</v>
      </c>
      <c r="O5529" s="28" t="s">
        <v>27637</v>
      </c>
      <c r="P5529" s="28" t="s">
        <v>27638</v>
      </c>
    </row>
    <row r="5530" spans="1:16" x14ac:dyDescent="0.25">
      <c r="A5530" s="28" t="s">
        <v>27643</v>
      </c>
      <c r="B5530" s="28" t="s">
        <v>27644</v>
      </c>
      <c r="C5530" s="28" t="s">
        <v>25143</v>
      </c>
      <c r="D5530" s="28" t="s">
        <v>4421</v>
      </c>
      <c r="E5530" s="28" t="s">
        <v>27630</v>
      </c>
      <c r="F5530" s="28" t="s">
        <v>21</v>
      </c>
      <c r="G5530" s="28" t="s">
        <v>39</v>
      </c>
      <c r="H5530" s="28" t="s">
        <v>27631</v>
      </c>
      <c r="I5530" s="28" t="s">
        <v>27645</v>
      </c>
      <c r="J5530" s="28" t="s">
        <v>39</v>
      </c>
      <c r="K5530" s="28" t="s">
        <v>27633</v>
      </c>
      <c r="L5530" s="28" t="s">
        <v>27634</v>
      </c>
      <c r="M5530" s="28" t="s">
        <v>27646</v>
      </c>
      <c r="N5530" s="28" t="s">
        <v>27636</v>
      </c>
      <c r="O5530" s="28" t="s">
        <v>27637</v>
      </c>
      <c r="P5530" s="28" t="s">
        <v>27638</v>
      </c>
    </row>
    <row r="5531" spans="1:16" x14ac:dyDescent="0.25">
      <c r="A5531" s="28" t="s">
        <v>27647</v>
      </c>
      <c r="B5531" s="28" t="s">
        <v>27648</v>
      </c>
      <c r="C5531" s="28" t="s">
        <v>25143</v>
      </c>
      <c r="D5531" s="28" t="s">
        <v>4421</v>
      </c>
      <c r="E5531" s="28" t="s">
        <v>27649</v>
      </c>
      <c r="F5531" s="28" t="s">
        <v>21</v>
      </c>
      <c r="G5531" s="28" t="s">
        <v>39</v>
      </c>
      <c r="H5531" s="28" t="s">
        <v>27631</v>
      </c>
      <c r="I5531" s="28" t="s">
        <v>27650</v>
      </c>
      <c r="J5531" s="28" t="s">
        <v>39</v>
      </c>
      <c r="K5531" s="28" t="s">
        <v>27633</v>
      </c>
      <c r="L5531" s="28" t="s">
        <v>27634</v>
      </c>
      <c r="M5531" s="28" t="s">
        <v>27651</v>
      </c>
      <c r="N5531" s="28" t="s">
        <v>27636</v>
      </c>
      <c r="O5531" s="28" t="s">
        <v>27637</v>
      </c>
      <c r="P5531" s="28" t="s">
        <v>27652</v>
      </c>
    </row>
    <row r="5532" spans="1:16" x14ac:dyDescent="0.25">
      <c r="A5532" s="28" t="s">
        <v>27653</v>
      </c>
      <c r="B5532" s="28" t="s">
        <v>27654</v>
      </c>
      <c r="C5532" s="28" t="s">
        <v>25143</v>
      </c>
      <c r="D5532" s="28" t="s">
        <v>4519</v>
      </c>
      <c r="E5532" s="28" t="s">
        <v>27655</v>
      </c>
      <c r="F5532" s="28" t="s">
        <v>21</v>
      </c>
      <c r="G5532" s="28" t="s">
        <v>39</v>
      </c>
      <c r="H5532" s="28" t="s">
        <v>27631</v>
      </c>
      <c r="I5532" s="28" t="s">
        <v>27656</v>
      </c>
      <c r="J5532" s="28" t="s">
        <v>39</v>
      </c>
      <c r="K5532" s="28" t="s">
        <v>27633</v>
      </c>
      <c r="L5532" s="28" t="s">
        <v>27634</v>
      </c>
      <c r="M5532" s="28" t="s">
        <v>27657</v>
      </c>
      <c r="N5532" s="28" t="s">
        <v>27636</v>
      </c>
      <c r="O5532" s="28" t="s">
        <v>27637</v>
      </c>
      <c r="P5532" s="28" t="s">
        <v>27658</v>
      </c>
    </row>
    <row r="5533" spans="1:16" x14ac:dyDescent="0.25">
      <c r="A5533" s="28" t="s">
        <v>27659</v>
      </c>
      <c r="B5533" s="28" t="s">
        <v>27660</v>
      </c>
      <c r="C5533" s="28" t="s">
        <v>25143</v>
      </c>
      <c r="D5533" s="28" t="s">
        <v>4519</v>
      </c>
      <c r="E5533" s="28" t="s">
        <v>7107</v>
      </c>
      <c r="F5533" s="28" t="s">
        <v>21</v>
      </c>
      <c r="G5533" s="28" t="s">
        <v>39</v>
      </c>
      <c r="H5533" s="28" t="s">
        <v>27631</v>
      </c>
      <c r="I5533" s="28" t="s">
        <v>27661</v>
      </c>
      <c r="J5533" s="28" t="s">
        <v>39</v>
      </c>
      <c r="K5533" s="28" t="s">
        <v>27633</v>
      </c>
      <c r="L5533" s="28" t="s">
        <v>27634</v>
      </c>
      <c r="M5533" s="28" t="s">
        <v>27662</v>
      </c>
      <c r="N5533" s="28" t="s">
        <v>27636</v>
      </c>
      <c r="O5533" s="28" t="s">
        <v>27637</v>
      </c>
      <c r="P5533" s="28" t="s">
        <v>27663</v>
      </c>
    </row>
    <row r="5534" spans="1:16" x14ac:dyDescent="0.25">
      <c r="A5534" s="28" t="s">
        <v>27664</v>
      </c>
      <c r="B5534" s="28" t="s">
        <v>27665</v>
      </c>
      <c r="C5534" s="28" t="s">
        <v>25143</v>
      </c>
      <c r="D5534" s="28" t="s">
        <v>8525</v>
      </c>
      <c r="E5534" s="28" t="s">
        <v>27666</v>
      </c>
      <c r="F5534" s="28" t="s">
        <v>21</v>
      </c>
      <c r="G5534" s="28" t="s">
        <v>39</v>
      </c>
      <c r="H5534" s="28" t="s">
        <v>27631</v>
      </c>
      <c r="I5534" s="28" t="s">
        <v>27667</v>
      </c>
      <c r="J5534" s="28" t="s">
        <v>39</v>
      </c>
      <c r="K5534" s="28" t="s">
        <v>27633</v>
      </c>
      <c r="L5534" s="28" t="s">
        <v>27634</v>
      </c>
      <c r="M5534" s="28" t="s">
        <v>27668</v>
      </c>
      <c r="N5534" s="28" t="s">
        <v>27636</v>
      </c>
      <c r="O5534" s="28" t="s">
        <v>27637</v>
      </c>
      <c r="P5534" s="28" t="s">
        <v>27669</v>
      </c>
    </row>
    <row r="5535" spans="1:16" x14ac:dyDescent="0.25">
      <c r="A5535" s="28" t="s">
        <v>27670</v>
      </c>
      <c r="B5535" s="28" t="s">
        <v>27671</v>
      </c>
      <c r="C5535" s="28" t="s">
        <v>25143</v>
      </c>
      <c r="D5535" s="28" t="s">
        <v>8525</v>
      </c>
      <c r="E5535" s="28" t="s">
        <v>27666</v>
      </c>
      <c r="F5535" s="28" t="s">
        <v>21</v>
      </c>
      <c r="G5535" s="28" t="s">
        <v>39</v>
      </c>
      <c r="H5535" s="28" t="s">
        <v>27631</v>
      </c>
      <c r="I5535" s="28" t="s">
        <v>27672</v>
      </c>
      <c r="J5535" s="28" t="s">
        <v>39</v>
      </c>
      <c r="K5535" s="28" t="s">
        <v>27633</v>
      </c>
      <c r="L5535" s="28" t="s">
        <v>27634</v>
      </c>
      <c r="M5535" s="28" t="s">
        <v>27673</v>
      </c>
      <c r="N5535" s="28" t="s">
        <v>27636</v>
      </c>
      <c r="O5535" s="28" t="s">
        <v>27637</v>
      </c>
      <c r="P5535" s="28" t="s">
        <v>27669</v>
      </c>
    </row>
    <row r="5536" spans="1:16" x14ac:dyDescent="0.25">
      <c r="A5536" s="28" t="s">
        <v>27674</v>
      </c>
      <c r="B5536" s="28" t="s">
        <v>27675</v>
      </c>
      <c r="C5536" s="28" t="s">
        <v>25143</v>
      </c>
      <c r="D5536" s="28" t="s">
        <v>4682</v>
      </c>
      <c r="E5536" s="28" t="s">
        <v>27676</v>
      </c>
      <c r="F5536" s="28" t="s">
        <v>21</v>
      </c>
      <c r="G5536" s="28" t="s">
        <v>39</v>
      </c>
      <c r="H5536" s="28" t="s">
        <v>27631</v>
      </c>
      <c r="I5536" s="28" t="s">
        <v>27677</v>
      </c>
      <c r="J5536" s="28" t="s">
        <v>39</v>
      </c>
      <c r="K5536" s="28" t="s">
        <v>27633</v>
      </c>
      <c r="L5536" s="28" t="s">
        <v>27634</v>
      </c>
      <c r="M5536" s="28" t="s">
        <v>27678</v>
      </c>
      <c r="N5536" s="28" t="s">
        <v>27636</v>
      </c>
      <c r="O5536" s="28" t="s">
        <v>27637</v>
      </c>
      <c r="P5536" s="28" t="s">
        <v>27679</v>
      </c>
    </row>
    <row r="5537" spans="1:16" x14ac:dyDescent="0.25">
      <c r="A5537" s="28" t="s">
        <v>27680</v>
      </c>
      <c r="B5537" s="28" t="s">
        <v>27681</v>
      </c>
      <c r="C5537" s="28" t="s">
        <v>25143</v>
      </c>
      <c r="D5537" s="28" t="s">
        <v>4699</v>
      </c>
      <c r="E5537" s="28" t="s">
        <v>25661</v>
      </c>
      <c r="F5537" s="28" t="s">
        <v>21</v>
      </c>
      <c r="G5537" s="28" t="s">
        <v>39</v>
      </c>
      <c r="H5537" s="28" t="s">
        <v>27631</v>
      </c>
      <c r="I5537" s="28" t="s">
        <v>27682</v>
      </c>
      <c r="J5537" s="28" t="s">
        <v>39</v>
      </c>
      <c r="K5537" s="28" t="s">
        <v>27633</v>
      </c>
      <c r="L5537" s="28" t="s">
        <v>27634</v>
      </c>
      <c r="M5537" s="28" t="s">
        <v>27683</v>
      </c>
      <c r="N5537" s="28" t="s">
        <v>27636</v>
      </c>
      <c r="O5537" s="28" t="s">
        <v>27637</v>
      </c>
      <c r="P5537" s="28" t="s">
        <v>27684</v>
      </c>
    </row>
    <row r="5538" spans="1:16" x14ac:dyDescent="0.25">
      <c r="A5538" s="28" t="s">
        <v>27685</v>
      </c>
      <c r="B5538" s="28" t="s">
        <v>27686</v>
      </c>
      <c r="C5538" s="28" t="s">
        <v>25143</v>
      </c>
      <c r="D5538" s="28" t="s">
        <v>4699</v>
      </c>
      <c r="E5538" s="28" t="s">
        <v>25661</v>
      </c>
      <c r="F5538" s="28" t="s">
        <v>21</v>
      </c>
      <c r="G5538" s="28" t="s">
        <v>39</v>
      </c>
      <c r="H5538" s="28" t="s">
        <v>27631</v>
      </c>
      <c r="I5538" s="28" t="s">
        <v>27687</v>
      </c>
      <c r="J5538" s="28" t="s">
        <v>39</v>
      </c>
      <c r="K5538" s="28" t="s">
        <v>27633</v>
      </c>
      <c r="L5538" s="28" t="s">
        <v>27634</v>
      </c>
      <c r="M5538" s="28" t="s">
        <v>27688</v>
      </c>
      <c r="N5538" s="28" t="s">
        <v>27636</v>
      </c>
      <c r="O5538" s="28" t="s">
        <v>27637</v>
      </c>
      <c r="P5538" s="28" t="s">
        <v>27684</v>
      </c>
    </row>
    <row r="5539" spans="1:16" x14ac:dyDescent="0.25">
      <c r="A5539" s="28" t="s">
        <v>27689</v>
      </c>
      <c r="B5539" s="28" t="s">
        <v>27690</v>
      </c>
      <c r="C5539" s="28" t="s">
        <v>25143</v>
      </c>
      <c r="D5539" s="28" t="s">
        <v>27691</v>
      </c>
      <c r="E5539" s="28" t="s">
        <v>27692</v>
      </c>
      <c r="F5539" s="28" t="s">
        <v>21</v>
      </c>
      <c r="G5539" s="28" t="s">
        <v>39</v>
      </c>
      <c r="H5539" s="28" t="s">
        <v>27631</v>
      </c>
      <c r="I5539" s="28" t="s">
        <v>27693</v>
      </c>
      <c r="J5539" s="28" t="s">
        <v>39</v>
      </c>
      <c r="K5539" s="28" t="s">
        <v>27633</v>
      </c>
      <c r="L5539" s="28" t="s">
        <v>27634</v>
      </c>
      <c r="M5539" s="28" t="s">
        <v>27694</v>
      </c>
      <c r="N5539" s="28" t="s">
        <v>27636</v>
      </c>
      <c r="O5539" s="28" t="s">
        <v>27637</v>
      </c>
      <c r="P5539" s="28" t="s">
        <v>27695</v>
      </c>
    </row>
    <row r="5540" spans="1:16" x14ac:dyDescent="0.25">
      <c r="A5540" s="28" t="s">
        <v>27696</v>
      </c>
      <c r="B5540" s="28" t="s">
        <v>27697</v>
      </c>
      <c r="C5540" s="28" t="s">
        <v>25143</v>
      </c>
      <c r="D5540" s="28" t="s">
        <v>6580</v>
      </c>
      <c r="E5540" s="28" t="s">
        <v>6581</v>
      </c>
      <c r="F5540" s="28" t="s">
        <v>21</v>
      </c>
      <c r="G5540" s="28" t="s">
        <v>39</v>
      </c>
      <c r="H5540" s="28" t="s">
        <v>27631</v>
      </c>
      <c r="I5540" s="28" t="s">
        <v>27698</v>
      </c>
      <c r="J5540" s="28" t="s">
        <v>39</v>
      </c>
      <c r="K5540" s="28" t="s">
        <v>27633</v>
      </c>
      <c r="L5540" s="28" t="s">
        <v>27634</v>
      </c>
      <c r="M5540" s="28" t="s">
        <v>27699</v>
      </c>
      <c r="N5540" s="28" t="s">
        <v>27636</v>
      </c>
      <c r="O5540" s="28" t="s">
        <v>27637</v>
      </c>
      <c r="P5540" s="28" t="s">
        <v>27700</v>
      </c>
    </row>
    <row r="5541" spans="1:16" x14ac:dyDescent="0.25">
      <c r="A5541" s="28" t="s">
        <v>27701</v>
      </c>
      <c r="B5541" s="28" t="s">
        <v>27702</v>
      </c>
      <c r="C5541" s="28" t="s">
        <v>25143</v>
      </c>
      <c r="D5541" s="28" t="s">
        <v>6592</v>
      </c>
      <c r="E5541" s="28" t="s">
        <v>6593</v>
      </c>
      <c r="F5541" s="28" t="s">
        <v>21</v>
      </c>
      <c r="G5541" s="28" t="s">
        <v>39</v>
      </c>
      <c r="H5541" s="28" t="s">
        <v>27631</v>
      </c>
      <c r="I5541" s="28" t="s">
        <v>27703</v>
      </c>
      <c r="J5541" s="28" t="s">
        <v>39</v>
      </c>
      <c r="K5541" s="28" t="s">
        <v>27633</v>
      </c>
      <c r="L5541" s="28" t="s">
        <v>27634</v>
      </c>
      <c r="M5541" s="28" t="s">
        <v>27704</v>
      </c>
      <c r="N5541" s="28" t="s">
        <v>27636</v>
      </c>
      <c r="O5541" s="28" t="s">
        <v>27637</v>
      </c>
      <c r="P5541" s="28" t="s">
        <v>27705</v>
      </c>
    </row>
    <row r="5542" spans="1:16" x14ac:dyDescent="0.25">
      <c r="A5542" s="28" t="s">
        <v>27706</v>
      </c>
      <c r="B5542" s="28" t="s">
        <v>27707</v>
      </c>
      <c r="C5542" s="28" t="s">
        <v>25143</v>
      </c>
      <c r="D5542" s="28" t="s">
        <v>1878</v>
      </c>
      <c r="E5542" s="28" t="s">
        <v>1879</v>
      </c>
      <c r="F5542" s="28" t="s">
        <v>21</v>
      </c>
      <c r="G5542" s="28" t="s">
        <v>39</v>
      </c>
      <c r="H5542" s="28" t="s">
        <v>27631</v>
      </c>
      <c r="I5542" s="28" t="s">
        <v>27708</v>
      </c>
      <c r="J5542" s="28" t="s">
        <v>39</v>
      </c>
      <c r="K5542" s="28" t="s">
        <v>27633</v>
      </c>
      <c r="L5542" s="28" t="s">
        <v>27634</v>
      </c>
      <c r="M5542" s="28" t="s">
        <v>27709</v>
      </c>
      <c r="N5542" s="28" t="s">
        <v>27636</v>
      </c>
      <c r="O5542" s="28" t="s">
        <v>27637</v>
      </c>
      <c r="P5542" s="28" t="s">
        <v>27710</v>
      </c>
    </row>
    <row r="5543" spans="1:16" x14ac:dyDescent="0.25">
      <c r="A5543" s="28" t="s">
        <v>27711</v>
      </c>
      <c r="B5543" s="28" t="s">
        <v>27712</v>
      </c>
      <c r="C5543" s="28" t="s">
        <v>25143</v>
      </c>
      <c r="D5543" s="28" t="s">
        <v>27713</v>
      </c>
      <c r="E5543" s="28" t="s">
        <v>27714</v>
      </c>
      <c r="F5543" s="28" t="s">
        <v>21</v>
      </c>
      <c r="G5543" s="28" t="s">
        <v>39</v>
      </c>
      <c r="H5543" s="28" t="s">
        <v>27631</v>
      </c>
      <c r="I5543" s="28" t="s">
        <v>27715</v>
      </c>
      <c r="J5543" s="28" t="s">
        <v>39</v>
      </c>
      <c r="K5543" s="28" t="s">
        <v>27633</v>
      </c>
      <c r="L5543" s="28" t="s">
        <v>27634</v>
      </c>
      <c r="M5543" s="28" t="s">
        <v>27716</v>
      </c>
      <c r="N5543" s="28" t="s">
        <v>27636</v>
      </c>
      <c r="O5543" s="28" t="s">
        <v>27637</v>
      </c>
      <c r="P5543" s="28" t="s">
        <v>27717</v>
      </c>
    </row>
    <row r="5544" spans="1:16" x14ac:dyDescent="0.25">
      <c r="A5544" s="28" t="s">
        <v>27718</v>
      </c>
      <c r="B5544" s="28" t="s">
        <v>27719</v>
      </c>
      <c r="C5544" s="28" t="s">
        <v>25143</v>
      </c>
      <c r="D5544" s="28" t="s">
        <v>27720</v>
      </c>
      <c r="E5544" s="28" t="s">
        <v>27721</v>
      </c>
      <c r="F5544" s="28" t="s">
        <v>21</v>
      </c>
      <c r="G5544" s="28" t="s">
        <v>39</v>
      </c>
      <c r="H5544" s="28" t="s">
        <v>27631</v>
      </c>
      <c r="I5544" s="28" t="s">
        <v>27722</v>
      </c>
      <c r="J5544" s="28" t="s">
        <v>39</v>
      </c>
      <c r="K5544" s="28" t="s">
        <v>27633</v>
      </c>
      <c r="L5544" s="28" t="s">
        <v>27634</v>
      </c>
      <c r="M5544" s="28" t="s">
        <v>27723</v>
      </c>
      <c r="N5544" s="28" t="s">
        <v>27636</v>
      </c>
      <c r="O5544" s="28" t="s">
        <v>27637</v>
      </c>
      <c r="P5544" s="28" t="s">
        <v>27724</v>
      </c>
    </row>
    <row r="5545" spans="1:16" x14ac:dyDescent="0.25">
      <c r="A5545" s="28" t="s">
        <v>27725</v>
      </c>
      <c r="B5545" s="28" t="s">
        <v>27726</v>
      </c>
      <c r="C5545" s="28" t="s">
        <v>25143</v>
      </c>
      <c r="D5545" s="28" t="s">
        <v>27727</v>
      </c>
      <c r="E5545" s="28" t="s">
        <v>27728</v>
      </c>
      <c r="F5545" s="28" t="s">
        <v>21</v>
      </c>
      <c r="G5545" s="28" t="s">
        <v>39</v>
      </c>
      <c r="H5545" s="28" t="s">
        <v>27631</v>
      </c>
      <c r="I5545" s="28" t="s">
        <v>27729</v>
      </c>
      <c r="J5545" s="28" t="s">
        <v>39</v>
      </c>
      <c r="K5545" s="28" t="s">
        <v>27633</v>
      </c>
      <c r="L5545" s="28" t="s">
        <v>27634</v>
      </c>
      <c r="M5545" s="28" t="s">
        <v>27730</v>
      </c>
      <c r="N5545" s="28" t="s">
        <v>27636</v>
      </c>
      <c r="O5545" s="28" t="s">
        <v>27637</v>
      </c>
      <c r="P5545" s="28" t="s">
        <v>27731</v>
      </c>
    </row>
    <row r="5546" spans="1:16" x14ac:dyDescent="0.25">
      <c r="A5546" s="28" t="s">
        <v>27732</v>
      </c>
      <c r="B5546" s="28" t="s">
        <v>27733</v>
      </c>
      <c r="C5546" s="28" t="s">
        <v>25143</v>
      </c>
      <c r="D5546" s="28" t="s">
        <v>5046</v>
      </c>
      <c r="E5546" s="28" t="s">
        <v>5047</v>
      </c>
      <c r="F5546" s="28" t="s">
        <v>21</v>
      </c>
      <c r="G5546" s="28" t="s">
        <v>39</v>
      </c>
      <c r="H5546" s="28" t="s">
        <v>27631</v>
      </c>
      <c r="I5546" s="28" t="s">
        <v>27734</v>
      </c>
      <c r="J5546" s="28" t="s">
        <v>39</v>
      </c>
      <c r="K5546" s="28" t="s">
        <v>27633</v>
      </c>
      <c r="L5546" s="28" t="s">
        <v>27634</v>
      </c>
      <c r="M5546" s="28" t="s">
        <v>27735</v>
      </c>
      <c r="N5546" s="28" t="s">
        <v>27636</v>
      </c>
      <c r="O5546" s="28" t="s">
        <v>27637</v>
      </c>
      <c r="P5546" s="28" t="s">
        <v>27736</v>
      </c>
    </row>
    <row r="5547" spans="1:16" x14ac:dyDescent="0.25">
      <c r="A5547" s="28" t="s">
        <v>27737</v>
      </c>
      <c r="B5547" s="28" t="s">
        <v>27738</v>
      </c>
      <c r="C5547" s="28" t="s">
        <v>25143</v>
      </c>
      <c r="D5547" s="28" t="s">
        <v>1478</v>
      </c>
      <c r="E5547" s="28" t="s">
        <v>4869</v>
      </c>
      <c r="F5547" s="28" t="s">
        <v>21</v>
      </c>
      <c r="G5547" s="28" t="s">
        <v>39</v>
      </c>
      <c r="H5547" s="28" t="s">
        <v>27631</v>
      </c>
      <c r="I5547" s="28" t="s">
        <v>27739</v>
      </c>
      <c r="J5547" s="28" t="s">
        <v>39</v>
      </c>
      <c r="K5547" s="28" t="s">
        <v>27633</v>
      </c>
      <c r="L5547" s="28" t="s">
        <v>27634</v>
      </c>
      <c r="M5547" s="28" t="s">
        <v>27740</v>
      </c>
      <c r="N5547" s="28" t="s">
        <v>27636</v>
      </c>
      <c r="O5547" s="28" t="s">
        <v>27637</v>
      </c>
      <c r="P5547" s="28" t="s">
        <v>27741</v>
      </c>
    </row>
    <row r="5548" spans="1:16" x14ac:dyDescent="0.25">
      <c r="A5548" s="28" t="s">
        <v>27742</v>
      </c>
      <c r="B5548" s="28" t="s">
        <v>27743</v>
      </c>
      <c r="C5548" s="28" t="s">
        <v>25143</v>
      </c>
      <c r="D5548" s="28" t="s">
        <v>7132</v>
      </c>
      <c r="E5548" s="28" t="s">
        <v>7133</v>
      </c>
      <c r="F5548" s="28" t="s">
        <v>21</v>
      </c>
      <c r="G5548" s="28" t="s">
        <v>39</v>
      </c>
      <c r="H5548" s="28" t="s">
        <v>27631</v>
      </c>
      <c r="I5548" s="28" t="s">
        <v>27744</v>
      </c>
      <c r="J5548" s="28" t="s">
        <v>39</v>
      </c>
      <c r="K5548" s="28" t="s">
        <v>27633</v>
      </c>
      <c r="L5548" s="28" t="s">
        <v>27634</v>
      </c>
      <c r="M5548" s="28" t="s">
        <v>27745</v>
      </c>
      <c r="N5548" s="28" t="s">
        <v>27636</v>
      </c>
      <c r="O5548" s="28" t="s">
        <v>27637</v>
      </c>
      <c r="P5548" s="28" t="s">
        <v>27746</v>
      </c>
    </row>
    <row r="5549" spans="1:16" x14ac:dyDescent="0.25">
      <c r="A5549" s="28" t="s">
        <v>27747</v>
      </c>
      <c r="B5549" s="28" t="s">
        <v>27748</v>
      </c>
      <c r="C5549" s="28" t="s">
        <v>25143</v>
      </c>
      <c r="D5549" s="28" t="s">
        <v>7132</v>
      </c>
      <c r="E5549" s="28" t="s">
        <v>22744</v>
      </c>
      <c r="F5549" s="28" t="s">
        <v>21</v>
      </c>
      <c r="G5549" s="28" t="s">
        <v>39</v>
      </c>
      <c r="H5549" s="28" t="s">
        <v>27631</v>
      </c>
      <c r="I5549" s="28" t="s">
        <v>27749</v>
      </c>
      <c r="J5549" s="28" t="s">
        <v>39</v>
      </c>
      <c r="K5549" s="28" t="s">
        <v>27633</v>
      </c>
      <c r="L5549" s="28" t="s">
        <v>27634</v>
      </c>
      <c r="M5549" s="28" t="s">
        <v>27750</v>
      </c>
      <c r="N5549" s="28" t="s">
        <v>27636</v>
      </c>
      <c r="O5549" s="28" t="s">
        <v>27637</v>
      </c>
      <c r="P5549" s="28" t="s">
        <v>27751</v>
      </c>
    </row>
    <row r="5550" spans="1:16" x14ac:dyDescent="0.25">
      <c r="A5550" s="28" t="s">
        <v>27752</v>
      </c>
      <c r="B5550" s="28" t="s">
        <v>27753</v>
      </c>
      <c r="C5550" s="28" t="s">
        <v>25143</v>
      </c>
      <c r="D5550" s="28" t="s">
        <v>7132</v>
      </c>
      <c r="E5550" s="28" t="s">
        <v>22751</v>
      </c>
      <c r="F5550" s="28" t="s">
        <v>21</v>
      </c>
      <c r="G5550" s="28" t="s">
        <v>39</v>
      </c>
      <c r="H5550" s="28" t="s">
        <v>27631</v>
      </c>
      <c r="I5550" s="28" t="s">
        <v>27754</v>
      </c>
      <c r="J5550" s="28" t="s">
        <v>39</v>
      </c>
      <c r="K5550" s="28" t="s">
        <v>27633</v>
      </c>
      <c r="L5550" s="28" t="s">
        <v>27634</v>
      </c>
      <c r="M5550" s="28" t="s">
        <v>27755</v>
      </c>
      <c r="N5550" s="28" t="s">
        <v>27636</v>
      </c>
      <c r="O5550" s="28" t="s">
        <v>27637</v>
      </c>
      <c r="P5550" s="28" t="s">
        <v>27756</v>
      </c>
    </row>
    <row r="5551" spans="1:16" x14ac:dyDescent="0.25">
      <c r="A5551" s="28" t="s">
        <v>27757</v>
      </c>
      <c r="B5551" s="28" t="s">
        <v>27758</v>
      </c>
      <c r="C5551" s="28" t="s">
        <v>25143</v>
      </c>
      <c r="D5551" s="28" t="s">
        <v>7132</v>
      </c>
      <c r="E5551" s="28" t="s">
        <v>27759</v>
      </c>
      <c r="F5551" s="28" t="s">
        <v>21</v>
      </c>
      <c r="G5551" s="28" t="s">
        <v>39</v>
      </c>
      <c r="H5551" s="28" t="s">
        <v>27631</v>
      </c>
      <c r="I5551" s="28" t="s">
        <v>27760</v>
      </c>
      <c r="J5551" s="28" t="s">
        <v>39</v>
      </c>
      <c r="K5551" s="28" t="s">
        <v>27633</v>
      </c>
      <c r="L5551" s="28" t="s">
        <v>27634</v>
      </c>
      <c r="M5551" s="28" t="s">
        <v>27761</v>
      </c>
      <c r="N5551" s="28" t="s">
        <v>27636</v>
      </c>
      <c r="O5551" s="28" t="s">
        <v>27637</v>
      </c>
      <c r="P5551" s="28" t="s">
        <v>27762</v>
      </c>
    </row>
    <row r="5552" spans="1:16" x14ac:dyDescent="0.25">
      <c r="A5552" s="28" t="s">
        <v>27763</v>
      </c>
      <c r="B5552" s="28" t="s">
        <v>27764</v>
      </c>
      <c r="C5552" s="28" t="s">
        <v>25143</v>
      </c>
      <c r="D5552" s="28" t="s">
        <v>7132</v>
      </c>
      <c r="E5552" s="28" t="s">
        <v>22757</v>
      </c>
      <c r="F5552" s="28" t="s">
        <v>21</v>
      </c>
      <c r="G5552" s="28" t="s">
        <v>39</v>
      </c>
      <c r="H5552" s="28" t="s">
        <v>27631</v>
      </c>
      <c r="I5552" s="28" t="s">
        <v>27765</v>
      </c>
      <c r="J5552" s="28" t="s">
        <v>39</v>
      </c>
      <c r="K5552" s="28" t="s">
        <v>27633</v>
      </c>
      <c r="L5552" s="28" t="s">
        <v>27634</v>
      </c>
      <c r="M5552" s="28" t="s">
        <v>27766</v>
      </c>
      <c r="N5552" s="28" t="s">
        <v>27636</v>
      </c>
      <c r="O5552" s="28" t="s">
        <v>27637</v>
      </c>
      <c r="P5552" s="28" t="s">
        <v>27767</v>
      </c>
    </row>
    <row r="5553" spans="1:16" x14ac:dyDescent="0.25">
      <c r="A5553" s="28" t="s">
        <v>27768</v>
      </c>
      <c r="B5553" s="28" t="s">
        <v>27769</v>
      </c>
      <c r="C5553" s="28" t="s">
        <v>25143</v>
      </c>
      <c r="D5553" s="28" t="s">
        <v>7132</v>
      </c>
      <c r="E5553" s="28" t="s">
        <v>26043</v>
      </c>
      <c r="F5553" s="28" t="s">
        <v>21</v>
      </c>
      <c r="G5553" s="28" t="s">
        <v>39</v>
      </c>
      <c r="H5553" s="28" t="s">
        <v>27631</v>
      </c>
      <c r="I5553" s="28" t="s">
        <v>27770</v>
      </c>
      <c r="J5553" s="28" t="s">
        <v>39</v>
      </c>
      <c r="K5553" s="28" t="s">
        <v>27633</v>
      </c>
      <c r="L5553" s="28" t="s">
        <v>27634</v>
      </c>
      <c r="M5553" s="28" t="s">
        <v>27771</v>
      </c>
      <c r="N5553" s="28" t="s">
        <v>27636</v>
      </c>
      <c r="O5553" s="28" t="s">
        <v>27637</v>
      </c>
      <c r="P5553" s="28" t="s">
        <v>27772</v>
      </c>
    </row>
    <row r="5554" spans="1:16" x14ac:dyDescent="0.25">
      <c r="A5554" s="28" t="s">
        <v>27773</v>
      </c>
      <c r="B5554" s="28" t="s">
        <v>27774</v>
      </c>
      <c r="C5554" s="28" t="s">
        <v>25143</v>
      </c>
      <c r="D5554" s="28" t="s">
        <v>7132</v>
      </c>
      <c r="E5554" s="28" t="s">
        <v>16254</v>
      </c>
      <c r="F5554" s="28" t="s">
        <v>21</v>
      </c>
      <c r="G5554" s="28" t="s">
        <v>39</v>
      </c>
      <c r="H5554" s="28" t="s">
        <v>27631</v>
      </c>
      <c r="I5554" s="28" t="s">
        <v>27775</v>
      </c>
      <c r="J5554" s="28" t="s">
        <v>39</v>
      </c>
      <c r="K5554" s="28" t="s">
        <v>27633</v>
      </c>
      <c r="L5554" s="28" t="s">
        <v>27634</v>
      </c>
      <c r="M5554" s="28" t="s">
        <v>27776</v>
      </c>
      <c r="N5554" s="28" t="s">
        <v>27636</v>
      </c>
      <c r="O5554" s="28" t="s">
        <v>27637</v>
      </c>
      <c r="P5554" s="28" t="s">
        <v>27777</v>
      </c>
    </row>
    <row r="5555" spans="1:16" x14ac:dyDescent="0.25">
      <c r="A5555" s="28" t="s">
        <v>27778</v>
      </c>
      <c r="B5555" s="28" t="s">
        <v>27779</v>
      </c>
      <c r="C5555" s="28" t="s">
        <v>25143</v>
      </c>
      <c r="D5555" s="28" t="s">
        <v>7132</v>
      </c>
      <c r="E5555" s="28" t="s">
        <v>16254</v>
      </c>
      <c r="F5555" s="28" t="s">
        <v>21</v>
      </c>
      <c r="G5555" s="28" t="s">
        <v>39</v>
      </c>
      <c r="H5555" s="28" t="s">
        <v>27631</v>
      </c>
      <c r="I5555" s="28" t="s">
        <v>27780</v>
      </c>
      <c r="J5555" s="28" t="s">
        <v>39</v>
      </c>
      <c r="K5555" s="28" t="s">
        <v>27633</v>
      </c>
      <c r="L5555" s="28" t="s">
        <v>27634</v>
      </c>
      <c r="M5555" s="28" t="s">
        <v>27781</v>
      </c>
      <c r="N5555" s="28" t="s">
        <v>27636</v>
      </c>
      <c r="O5555" s="28" t="s">
        <v>27637</v>
      </c>
      <c r="P5555" s="28" t="s">
        <v>27777</v>
      </c>
    </row>
    <row r="5556" spans="1:16" x14ac:dyDescent="0.25">
      <c r="A5556" s="28" t="s">
        <v>27782</v>
      </c>
      <c r="B5556" s="28" t="s">
        <v>27783</v>
      </c>
      <c r="C5556" s="28" t="s">
        <v>25143</v>
      </c>
      <c r="D5556" s="28" t="s">
        <v>7132</v>
      </c>
      <c r="E5556" s="28" t="s">
        <v>17388</v>
      </c>
      <c r="F5556" s="28" t="s">
        <v>21</v>
      </c>
      <c r="G5556" s="28" t="s">
        <v>39</v>
      </c>
      <c r="H5556" s="28" t="s">
        <v>27631</v>
      </c>
      <c r="I5556" s="28" t="s">
        <v>27784</v>
      </c>
      <c r="J5556" s="28" t="s">
        <v>39</v>
      </c>
      <c r="K5556" s="28" t="s">
        <v>27633</v>
      </c>
      <c r="L5556" s="28" t="s">
        <v>27634</v>
      </c>
      <c r="M5556" s="28" t="s">
        <v>27785</v>
      </c>
      <c r="N5556" s="28" t="s">
        <v>27636</v>
      </c>
      <c r="O5556" s="28" t="s">
        <v>27637</v>
      </c>
      <c r="P5556" s="28" t="s">
        <v>27786</v>
      </c>
    </row>
    <row r="5557" spans="1:16" x14ac:dyDescent="0.25">
      <c r="A5557" s="28" t="s">
        <v>27787</v>
      </c>
      <c r="B5557" s="28" t="s">
        <v>27788</v>
      </c>
      <c r="C5557" s="28" t="s">
        <v>25143</v>
      </c>
      <c r="D5557" s="28" t="s">
        <v>5990</v>
      </c>
      <c r="E5557" s="28" t="s">
        <v>17566</v>
      </c>
      <c r="F5557" s="28" t="s">
        <v>21</v>
      </c>
      <c r="G5557" s="28" t="s">
        <v>39</v>
      </c>
      <c r="H5557" s="28" t="s">
        <v>27631</v>
      </c>
      <c r="I5557" s="28" t="s">
        <v>27789</v>
      </c>
      <c r="J5557" s="28" t="s">
        <v>39</v>
      </c>
      <c r="K5557" s="28" t="s">
        <v>27633</v>
      </c>
      <c r="L5557" s="28" t="s">
        <v>27634</v>
      </c>
      <c r="M5557" s="28" t="s">
        <v>27790</v>
      </c>
      <c r="N5557" s="28" t="s">
        <v>27636</v>
      </c>
      <c r="O5557" s="28" t="s">
        <v>27637</v>
      </c>
      <c r="P5557" s="28" t="s">
        <v>27791</v>
      </c>
    </row>
    <row r="5558" spans="1:16" x14ac:dyDescent="0.25">
      <c r="A5558" s="28" t="s">
        <v>27792</v>
      </c>
      <c r="B5558" s="28" t="s">
        <v>27793</v>
      </c>
      <c r="C5558" s="28" t="s">
        <v>25143</v>
      </c>
      <c r="D5558" s="28" t="s">
        <v>5990</v>
      </c>
      <c r="E5558" s="28" t="s">
        <v>23561</v>
      </c>
      <c r="F5558" s="28" t="s">
        <v>21</v>
      </c>
      <c r="G5558" s="28" t="s">
        <v>39</v>
      </c>
      <c r="H5558" s="28" t="s">
        <v>27631</v>
      </c>
      <c r="I5558" s="28" t="s">
        <v>27794</v>
      </c>
      <c r="J5558" s="28" t="s">
        <v>39</v>
      </c>
      <c r="K5558" s="28" t="s">
        <v>27633</v>
      </c>
      <c r="L5558" s="28" t="s">
        <v>27634</v>
      </c>
      <c r="M5558" s="28" t="s">
        <v>27795</v>
      </c>
      <c r="N5558" s="28" t="s">
        <v>27636</v>
      </c>
      <c r="O5558" s="28" t="s">
        <v>27637</v>
      </c>
      <c r="P5558" s="28" t="s">
        <v>27796</v>
      </c>
    </row>
    <row r="5559" spans="1:16" x14ac:dyDescent="0.25">
      <c r="A5559" s="28" t="s">
        <v>27797</v>
      </c>
      <c r="B5559" s="28" t="s">
        <v>27798</v>
      </c>
      <c r="C5559" s="28" t="s">
        <v>25143</v>
      </c>
      <c r="D5559" s="28" t="s">
        <v>5990</v>
      </c>
      <c r="E5559" s="28" t="s">
        <v>17700</v>
      </c>
      <c r="F5559" s="28" t="s">
        <v>21</v>
      </c>
      <c r="G5559" s="28" t="s">
        <v>39</v>
      </c>
      <c r="H5559" s="28" t="s">
        <v>27631</v>
      </c>
      <c r="I5559" s="28" t="s">
        <v>27799</v>
      </c>
      <c r="J5559" s="28" t="s">
        <v>39</v>
      </c>
      <c r="K5559" s="28" t="s">
        <v>27633</v>
      </c>
      <c r="L5559" s="28" t="s">
        <v>27634</v>
      </c>
      <c r="M5559" s="28" t="s">
        <v>27800</v>
      </c>
      <c r="N5559" s="28" t="s">
        <v>27636</v>
      </c>
      <c r="O5559" s="28" t="s">
        <v>27637</v>
      </c>
      <c r="P5559" s="28" t="s">
        <v>27801</v>
      </c>
    </row>
    <row r="5560" spans="1:16" x14ac:dyDescent="0.25">
      <c r="A5560" s="28" t="s">
        <v>27802</v>
      </c>
      <c r="B5560" s="28" t="s">
        <v>27803</v>
      </c>
      <c r="C5560" s="28" t="s">
        <v>25143</v>
      </c>
      <c r="D5560" s="28" t="s">
        <v>5990</v>
      </c>
      <c r="E5560" s="28" t="s">
        <v>17700</v>
      </c>
      <c r="F5560" s="28" t="s">
        <v>21</v>
      </c>
      <c r="G5560" s="28" t="s">
        <v>39</v>
      </c>
      <c r="H5560" s="28" t="s">
        <v>27631</v>
      </c>
      <c r="I5560" s="28" t="s">
        <v>27804</v>
      </c>
      <c r="J5560" s="28" t="s">
        <v>39</v>
      </c>
      <c r="K5560" s="28" t="s">
        <v>27633</v>
      </c>
      <c r="L5560" s="28" t="s">
        <v>27634</v>
      </c>
      <c r="M5560" s="28" t="s">
        <v>27805</v>
      </c>
      <c r="N5560" s="28" t="s">
        <v>27636</v>
      </c>
      <c r="O5560" s="28" t="s">
        <v>27637</v>
      </c>
      <c r="P5560" s="28" t="s">
        <v>27801</v>
      </c>
    </row>
    <row r="5561" spans="1:16" x14ac:dyDescent="0.25">
      <c r="A5561" s="28" t="s">
        <v>27806</v>
      </c>
      <c r="B5561" s="28" t="s">
        <v>27807</v>
      </c>
      <c r="C5561" s="28" t="s">
        <v>25143</v>
      </c>
      <c r="D5561" s="28" t="s">
        <v>5990</v>
      </c>
      <c r="E5561" s="28" t="s">
        <v>27808</v>
      </c>
      <c r="F5561" s="28" t="s">
        <v>21</v>
      </c>
      <c r="G5561" s="28" t="s">
        <v>39</v>
      </c>
      <c r="H5561" s="28" t="s">
        <v>27631</v>
      </c>
      <c r="I5561" s="28" t="s">
        <v>27809</v>
      </c>
      <c r="J5561" s="28" t="s">
        <v>39</v>
      </c>
      <c r="K5561" s="28" t="s">
        <v>27633</v>
      </c>
      <c r="L5561" s="28" t="s">
        <v>27634</v>
      </c>
      <c r="M5561" s="28" t="s">
        <v>27810</v>
      </c>
      <c r="N5561" s="28" t="s">
        <v>27636</v>
      </c>
      <c r="O5561" s="28" t="s">
        <v>27637</v>
      </c>
      <c r="P5561" s="28" t="s">
        <v>27811</v>
      </c>
    </row>
    <row r="5562" spans="1:16" x14ac:dyDescent="0.25">
      <c r="A5562" s="28" t="s">
        <v>27812</v>
      </c>
      <c r="B5562" s="28" t="s">
        <v>27813</v>
      </c>
      <c r="C5562" s="28" t="s">
        <v>25143</v>
      </c>
      <c r="D5562" s="28" t="s">
        <v>5990</v>
      </c>
      <c r="E5562" s="28" t="s">
        <v>27808</v>
      </c>
      <c r="F5562" s="28" t="s">
        <v>21</v>
      </c>
      <c r="G5562" s="28" t="s">
        <v>39</v>
      </c>
      <c r="H5562" s="28" t="s">
        <v>27631</v>
      </c>
      <c r="I5562" s="28" t="s">
        <v>27814</v>
      </c>
      <c r="J5562" s="28" t="s">
        <v>39</v>
      </c>
      <c r="K5562" s="28" t="s">
        <v>27633</v>
      </c>
      <c r="L5562" s="28" t="s">
        <v>27634</v>
      </c>
      <c r="M5562" s="28" t="s">
        <v>27815</v>
      </c>
      <c r="N5562" s="28" t="s">
        <v>27636</v>
      </c>
      <c r="O5562" s="28" t="s">
        <v>27637</v>
      </c>
      <c r="P5562" s="28" t="s">
        <v>27811</v>
      </c>
    </row>
    <row r="5563" spans="1:16" x14ac:dyDescent="0.25">
      <c r="A5563" s="28" t="s">
        <v>27816</v>
      </c>
      <c r="B5563" s="28" t="s">
        <v>27817</v>
      </c>
      <c r="C5563" s="28" t="s">
        <v>25143</v>
      </c>
      <c r="D5563" s="28" t="s">
        <v>62</v>
      </c>
      <c r="E5563" s="28" t="s">
        <v>1096</v>
      </c>
      <c r="F5563" s="28" t="s">
        <v>21</v>
      </c>
      <c r="G5563" s="28" t="s">
        <v>39</v>
      </c>
      <c r="H5563" s="28" t="s">
        <v>27631</v>
      </c>
      <c r="I5563" s="28" t="s">
        <v>27818</v>
      </c>
      <c r="J5563" s="28" t="s">
        <v>39</v>
      </c>
      <c r="K5563" s="28" t="s">
        <v>27633</v>
      </c>
      <c r="L5563" s="28" t="s">
        <v>27634</v>
      </c>
      <c r="M5563" s="28" t="s">
        <v>27819</v>
      </c>
      <c r="N5563" s="28" t="s">
        <v>27636</v>
      </c>
      <c r="O5563" s="28" t="s">
        <v>27637</v>
      </c>
      <c r="P5563" s="28" t="s">
        <v>27820</v>
      </c>
    </row>
    <row r="5564" spans="1:16" x14ac:dyDescent="0.25">
      <c r="A5564" s="28" t="s">
        <v>27821</v>
      </c>
      <c r="B5564" s="28" t="s">
        <v>27822</v>
      </c>
      <c r="C5564" s="28" t="s">
        <v>25143</v>
      </c>
      <c r="D5564" s="28" t="s">
        <v>62</v>
      </c>
      <c r="E5564" s="28" t="s">
        <v>7146</v>
      </c>
      <c r="F5564" s="28" t="s">
        <v>21</v>
      </c>
      <c r="G5564" s="28" t="s">
        <v>39</v>
      </c>
      <c r="H5564" s="28" t="s">
        <v>27631</v>
      </c>
      <c r="I5564" s="28" t="s">
        <v>27823</v>
      </c>
      <c r="J5564" s="28" t="s">
        <v>39</v>
      </c>
      <c r="K5564" s="28" t="s">
        <v>27633</v>
      </c>
      <c r="L5564" s="28" t="s">
        <v>27634</v>
      </c>
      <c r="M5564" s="28" t="s">
        <v>27824</v>
      </c>
      <c r="N5564" s="28" t="s">
        <v>27636</v>
      </c>
      <c r="O5564" s="28" t="s">
        <v>27637</v>
      </c>
      <c r="P5564" s="28" t="s">
        <v>27825</v>
      </c>
    </row>
    <row r="5565" spans="1:16" x14ac:dyDescent="0.25">
      <c r="A5565" s="28" t="s">
        <v>27826</v>
      </c>
      <c r="B5565" s="28" t="s">
        <v>27827</v>
      </c>
      <c r="C5565" s="28" t="s">
        <v>25143</v>
      </c>
      <c r="D5565" s="28" t="s">
        <v>62</v>
      </c>
      <c r="E5565" s="28" t="s">
        <v>27828</v>
      </c>
      <c r="F5565" s="28" t="s">
        <v>21</v>
      </c>
      <c r="G5565" s="28" t="s">
        <v>39</v>
      </c>
      <c r="H5565" s="28" t="s">
        <v>27631</v>
      </c>
      <c r="I5565" s="28" t="s">
        <v>27829</v>
      </c>
      <c r="J5565" s="28" t="s">
        <v>39</v>
      </c>
      <c r="K5565" s="28" t="s">
        <v>27633</v>
      </c>
      <c r="L5565" s="28" t="s">
        <v>27634</v>
      </c>
      <c r="M5565" s="28" t="s">
        <v>27830</v>
      </c>
      <c r="N5565" s="28" t="s">
        <v>27636</v>
      </c>
      <c r="O5565" s="28" t="s">
        <v>27637</v>
      </c>
      <c r="P5565" s="28" t="s">
        <v>27831</v>
      </c>
    </row>
    <row r="5566" spans="1:16" x14ac:dyDescent="0.25">
      <c r="A5566" s="28" t="s">
        <v>27832</v>
      </c>
      <c r="B5566" s="28" t="s">
        <v>27833</v>
      </c>
      <c r="C5566" s="28" t="s">
        <v>25143</v>
      </c>
      <c r="D5566" s="28" t="s">
        <v>10730</v>
      </c>
      <c r="E5566" s="28" t="s">
        <v>27834</v>
      </c>
      <c r="F5566" s="28" t="s">
        <v>21</v>
      </c>
      <c r="G5566" s="28" t="s">
        <v>39</v>
      </c>
      <c r="H5566" s="28" t="s">
        <v>27631</v>
      </c>
      <c r="I5566" s="28" t="s">
        <v>27835</v>
      </c>
      <c r="J5566" s="28" t="s">
        <v>39</v>
      </c>
      <c r="K5566" s="28" t="s">
        <v>27633</v>
      </c>
      <c r="L5566" s="28" t="s">
        <v>27634</v>
      </c>
      <c r="M5566" s="28" t="s">
        <v>27836</v>
      </c>
      <c r="N5566" s="28" t="s">
        <v>27636</v>
      </c>
      <c r="O5566" s="28" t="s">
        <v>27637</v>
      </c>
      <c r="P5566" s="28" t="s">
        <v>27837</v>
      </c>
    </row>
    <row r="5567" spans="1:16" x14ac:dyDescent="0.25">
      <c r="A5567" s="28" t="s">
        <v>27838</v>
      </c>
      <c r="B5567" s="28" t="s">
        <v>27839</v>
      </c>
      <c r="C5567" s="28" t="s">
        <v>25143</v>
      </c>
      <c r="D5567" s="28" t="s">
        <v>1586</v>
      </c>
      <c r="E5567" s="28" t="s">
        <v>27840</v>
      </c>
      <c r="F5567" s="28" t="s">
        <v>21</v>
      </c>
      <c r="G5567" s="28" t="s">
        <v>39</v>
      </c>
      <c r="H5567" s="28" t="s">
        <v>27631</v>
      </c>
      <c r="I5567" s="28" t="s">
        <v>27841</v>
      </c>
      <c r="J5567" s="28" t="s">
        <v>39</v>
      </c>
      <c r="K5567" s="28" t="s">
        <v>27633</v>
      </c>
      <c r="L5567" s="28" t="s">
        <v>27634</v>
      </c>
      <c r="M5567" s="28" t="s">
        <v>27842</v>
      </c>
      <c r="N5567" s="28" t="s">
        <v>27636</v>
      </c>
      <c r="O5567" s="28" t="s">
        <v>27637</v>
      </c>
      <c r="P5567" s="28" t="s">
        <v>27843</v>
      </c>
    </row>
    <row r="5568" spans="1:16" x14ac:dyDescent="0.25">
      <c r="A5568" s="28" t="s">
        <v>27844</v>
      </c>
      <c r="B5568" s="28" t="s">
        <v>27845</v>
      </c>
      <c r="C5568" s="28" t="s">
        <v>25143</v>
      </c>
      <c r="D5568" s="28" t="s">
        <v>11356</v>
      </c>
      <c r="E5568" s="28" t="s">
        <v>11675</v>
      </c>
      <c r="F5568" s="28" t="s">
        <v>21</v>
      </c>
      <c r="G5568" s="28" t="s">
        <v>39</v>
      </c>
      <c r="H5568" s="28" t="s">
        <v>27631</v>
      </c>
      <c r="I5568" s="28" t="s">
        <v>27846</v>
      </c>
      <c r="J5568" s="28" t="s">
        <v>39</v>
      </c>
      <c r="K5568" s="28" t="s">
        <v>27633</v>
      </c>
      <c r="L5568" s="28" t="s">
        <v>27634</v>
      </c>
      <c r="M5568" s="28" t="s">
        <v>27847</v>
      </c>
      <c r="N5568" s="28" t="s">
        <v>27636</v>
      </c>
      <c r="O5568" s="28" t="s">
        <v>27637</v>
      </c>
      <c r="P5568" s="28" t="s">
        <v>27848</v>
      </c>
    </row>
    <row r="5569" spans="1:16" x14ac:dyDescent="0.25">
      <c r="A5569" s="28" t="s">
        <v>27849</v>
      </c>
      <c r="B5569" s="28" t="s">
        <v>27850</v>
      </c>
      <c r="C5569" s="28" t="s">
        <v>25143</v>
      </c>
      <c r="D5569" s="28" t="s">
        <v>11356</v>
      </c>
      <c r="E5569" s="28" t="s">
        <v>11675</v>
      </c>
      <c r="F5569" s="28" t="s">
        <v>21</v>
      </c>
      <c r="G5569" s="28" t="s">
        <v>39</v>
      </c>
      <c r="H5569" s="28" t="s">
        <v>27631</v>
      </c>
      <c r="I5569" s="28" t="s">
        <v>27851</v>
      </c>
      <c r="J5569" s="28" t="s">
        <v>39</v>
      </c>
      <c r="K5569" s="28" t="s">
        <v>27633</v>
      </c>
      <c r="L5569" s="28" t="s">
        <v>27634</v>
      </c>
      <c r="M5569" s="28" t="s">
        <v>27852</v>
      </c>
      <c r="N5569" s="28" t="s">
        <v>27636</v>
      </c>
      <c r="O5569" s="28" t="s">
        <v>27637</v>
      </c>
      <c r="P5569" s="28" t="s">
        <v>27848</v>
      </c>
    </row>
    <row r="5570" spans="1:16" x14ac:dyDescent="0.25">
      <c r="A5570" s="28" t="s">
        <v>27853</v>
      </c>
      <c r="B5570" s="28" t="s">
        <v>27854</v>
      </c>
      <c r="C5570" s="28" t="s">
        <v>25143</v>
      </c>
      <c r="D5570" s="28" t="s">
        <v>1204</v>
      </c>
      <c r="E5570" s="28" t="s">
        <v>20334</v>
      </c>
      <c r="F5570" s="28" t="s">
        <v>21</v>
      </c>
      <c r="G5570" s="28" t="s">
        <v>39</v>
      </c>
      <c r="H5570" s="28" t="s">
        <v>27631</v>
      </c>
      <c r="I5570" s="28" t="s">
        <v>27855</v>
      </c>
      <c r="J5570" s="28" t="s">
        <v>39</v>
      </c>
      <c r="K5570" s="28" t="s">
        <v>27633</v>
      </c>
      <c r="L5570" s="28" t="s">
        <v>27634</v>
      </c>
      <c r="M5570" s="28" t="s">
        <v>27856</v>
      </c>
      <c r="N5570" s="28" t="s">
        <v>27636</v>
      </c>
      <c r="O5570" s="28" t="s">
        <v>27637</v>
      </c>
      <c r="P5570" s="28" t="s">
        <v>27857</v>
      </c>
    </row>
    <row r="5571" spans="1:16" x14ac:dyDescent="0.25">
      <c r="A5571" s="28" t="s">
        <v>27858</v>
      </c>
      <c r="B5571" s="28" t="s">
        <v>27859</v>
      </c>
      <c r="C5571" s="28" t="s">
        <v>25143</v>
      </c>
      <c r="D5571" s="28" t="s">
        <v>1204</v>
      </c>
      <c r="E5571" s="28" t="s">
        <v>20334</v>
      </c>
      <c r="F5571" s="28" t="s">
        <v>21</v>
      </c>
      <c r="G5571" s="28" t="s">
        <v>39</v>
      </c>
      <c r="H5571" s="28" t="s">
        <v>27631</v>
      </c>
      <c r="I5571" s="28" t="s">
        <v>27860</v>
      </c>
      <c r="J5571" s="28" t="s">
        <v>39</v>
      </c>
      <c r="K5571" s="28" t="s">
        <v>27633</v>
      </c>
      <c r="L5571" s="28" t="s">
        <v>27634</v>
      </c>
      <c r="M5571" s="28" t="s">
        <v>27861</v>
      </c>
      <c r="N5571" s="28" t="s">
        <v>27636</v>
      </c>
      <c r="O5571" s="28" t="s">
        <v>27637</v>
      </c>
      <c r="P5571" s="28" t="s">
        <v>27857</v>
      </c>
    </row>
    <row r="5572" spans="1:16" x14ac:dyDescent="0.25">
      <c r="A5572" s="28" t="s">
        <v>27862</v>
      </c>
      <c r="B5572" s="28" t="s">
        <v>27863</v>
      </c>
      <c r="C5572" s="28" t="s">
        <v>25143</v>
      </c>
      <c r="D5572" s="28" t="s">
        <v>69</v>
      </c>
      <c r="E5572" s="28" t="s">
        <v>27864</v>
      </c>
      <c r="F5572" s="28" t="s">
        <v>21</v>
      </c>
      <c r="G5572" s="28" t="s">
        <v>39</v>
      </c>
      <c r="H5572" s="28" t="s">
        <v>27631</v>
      </c>
      <c r="I5572" s="28" t="s">
        <v>27865</v>
      </c>
      <c r="J5572" s="28" t="s">
        <v>39</v>
      </c>
      <c r="K5572" s="28" t="s">
        <v>27633</v>
      </c>
      <c r="L5572" s="28" t="s">
        <v>27634</v>
      </c>
      <c r="M5572" s="28" t="s">
        <v>27866</v>
      </c>
      <c r="N5572" s="28" t="s">
        <v>27636</v>
      </c>
      <c r="O5572" s="28" t="s">
        <v>27637</v>
      </c>
      <c r="P5572" s="28" t="s">
        <v>27867</v>
      </c>
    </row>
    <row r="5573" spans="1:16" x14ac:dyDescent="0.25">
      <c r="A5573" s="28" t="s">
        <v>27868</v>
      </c>
      <c r="B5573" s="28" t="s">
        <v>27869</v>
      </c>
      <c r="C5573" s="28" t="s">
        <v>25143</v>
      </c>
      <c r="D5573" s="28" t="s">
        <v>69</v>
      </c>
      <c r="E5573" s="28" t="s">
        <v>16781</v>
      </c>
      <c r="F5573" s="28" t="s">
        <v>21</v>
      </c>
      <c r="G5573" s="28" t="s">
        <v>39</v>
      </c>
      <c r="H5573" s="28" t="s">
        <v>27631</v>
      </c>
      <c r="I5573" s="28" t="s">
        <v>27870</v>
      </c>
      <c r="J5573" s="28" t="s">
        <v>39</v>
      </c>
      <c r="K5573" s="28" t="s">
        <v>27633</v>
      </c>
      <c r="L5573" s="28" t="s">
        <v>27634</v>
      </c>
      <c r="M5573" s="28" t="s">
        <v>27871</v>
      </c>
      <c r="N5573" s="28" t="s">
        <v>27636</v>
      </c>
      <c r="O5573" s="28" t="s">
        <v>27637</v>
      </c>
      <c r="P5573" s="28" t="s">
        <v>27872</v>
      </c>
    </row>
    <row r="5574" spans="1:16" x14ac:dyDescent="0.25">
      <c r="A5574" s="28" t="s">
        <v>27873</v>
      </c>
      <c r="B5574" s="28" t="s">
        <v>27874</v>
      </c>
      <c r="C5574" s="28" t="s">
        <v>25143</v>
      </c>
      <c r="D5574" s="28" t="s">
        <v>69</v>
      </c>
      <c r="E5574" s="28" t="s">
        <v>27875</v>
      </c>
      <c r="F5574" s="28" t="s">
        <v>21</v>
      </c>
      <c r="G5574" s="28" t="s">
        <v>39</v>
      </c>
      <c r="H5574" s="28" t="s">
        <v>27631</v>
      </c>
      <c r="I5574" s="28" t="s">
        <v>27876</v>
      </c>
      <c r="J5574" s="28" t="s">
        <v>39</v>
      </c>
      <c r="K5574" s="28" t="s">
        <v>27633</v>
      </c>
      <c r="L5574" s="28" t="s">
        <v>27634</v>
      </c>
      <c r="M5574" s="28" t="s">
        <v>27877</v>
      </c>
      <c r="N5574" s="28" t="s">
        <v>27636</v>
      </c>
      <c r="O5574" s="28" t="s">
        <v>27637</v>
      </c>
      <c r="P5574" s="28" t="s">
        <v>27878</v>
      </c>
    </row>
    <row r="5575" spans="1:16" x14ac:dyDescent="0.25">
      <c r="A5575" s="28" t="s">
        <v>27879</v>
      </c>
      <c r="B5575" s="28" t="s">
        <v>27880</v>
      </c>
      <c r="C5575" s="28" t="s">
        <v>25143</v>
      </c>
      <c r="D5575" s="28" t="s">
        <v>69</v>
      </c>
      <c r="E5575" s="28" t="s">
        <v>27881</v>
      </c>
      <c r="F5575" s="28" t="s">
        <v>21</v>
      </c>
      <c r="G5575" s="28" t="s">
        <v>39</v>
      </c>
      <c r="H5575" s="28" t="s">
        <v>27631</v>
      </c>
      <c r="I5575" s="28" t="s">
        <v>27882</v>
      </c>
      <c r="J5575" s="28" t="s">
        <v>39</v>
      </c>
      <c r="K5575" s="28" t="s">
        <v>27633</v>
      </c>
      <c r="L5575" s="28" t="s">
        <v>27634</v>
      </c>
      <c r="M5575" s="28" t="s">
        <v>27883</v>
      </c>
      <c r="N5575" s="28" t="s">
        <v>27636</v>
      </c>
      <c r="O5575" s="28" t="s">
        <v>27637</v>
      </c>
      <c r="P5575" s="28" t="s">
        <v>27884</v>
      </c>
    </row>
    <row r="5576" spans="1:16" x14ac:dyDescent="0.25">
      <c r="A5576" s="28" t="s">
        <v>27885</v>
      </c>
      <c r="B5576" s="28" t="s">
        <v>27886</v>
      </c>
      <c r="C5576" s="28" t="s">
        <v>25143</v>
      </c>
      <c r="D5576" s="28" t="s">
        <v>1810</v>
      </c>
      <c r="E5576" s="28" t="s">
        <v>26518</v>
      </c>
      <c r="F5576" s="28" t="s">
        <v>21</v>
      </c>
      <c r="G5576" s="28" t="s">
        <v>39</v>
      </c>
      <c r="H5576" s="28" t="s">
        <v>27631</v>
      </c>
      <c r="I5576" s="28" t="s">
        <v>27887</v>
      </c>
      <c r="J5576" s="28" t="s">
        <v>39</v>
      </c>
      <c r="K5576" s="28" t="s">
        <v>27633</v>
      </c>
      <c r="L5576" s="28" t="s">
        <v>27634</v>
      </c>
      <c r="M5576" s="28" t="s">
        <v>27888</v>
      </c>
      <c r="N5576" s="28" t="s">
        <v>27636</v>
      </c>
      <c r="O5576" s="28" t="s">
        <v>27637</v>
      </c>
      <c r="P5576" s="28" t="s">
        <v>27889</v>
      </c>
    </row>
    <row r="5577" spans="1:16" x14ac:dyDescent="0.25">
      <c r="A5577" s="28" t="s">
        <v>27890</v>
      </c>
      <c r="B5577" s="28" t="s">
        <v>27891</v>
      </c>
      <c r="C5577" s="28" t="s">
        <v>25143</v>
      </c>
      <c r="D5577" s="28" t="s">
        <v>21173</v>
      </c>
      <c r="E5577" s="28" t="s">
        <v>21174</v>
      </c>
      <c r="F5577" s="28" t="s">
        <v>21</v>
      </c>
      <c r="G5577" s="28" t="s">
        <v>39</v>
      </c>
      <c r="H5577" s="28" t="s">
        <v>27631</v>
      </c>
      <c r="I5577" s="28" t="s">
        <v>27892</v>
      </c>
      <c r="J5577" s="28" t="s">
        <v>39</v>
      </c>
      <c r="K5577" s="28" t="s">
        <v>27633</v>
      </c>
      <c r="L5577" s="28" t="s">
        <v>27634</v>
      </c>
      <c r="M5577" s="28" t="s">
        <v>27893</v>
      </c>
      <c r="N5577" s="28" t="s">
        <v>27636</v>
      </c>
      <c r="O5577" s="28" t="s">
        <v>27637</v>
      </c>
      <c r="P5577" s="28" t="s">
        <v>27894</v>
      </c>
    </row>
    <row r="5578" spans="1:16" x14ac:dyDescent="0.25">
      <c r="A5578" s="28" t="s">
        <v>27895</v>
      </c>
      <c r="B5578" s="28" t="s">
        <v>27896</v>
      </c>
      <c r="C5578" s="28" t="s">
        <v>25143</v>
      </c>
      <c r="D5578" s="28" t="s">
        <v>7233</v>
      </c>
      <c r="E5578" s="28" t="s">
        <v>27897</v>
      </c>
      <c r="F5578" s="28" t="s">
        <v>21</v>
      </c>
      <c r="G5578" s="28" t="s">
        <v>39</v>
      </c>
      <c r="H5578" s="28" t="s">
        <v>27631</v>
      </c>
      <c r="I5578" s="28" t="s">
        <v>27898</v>
      </c>
      <c r="J5578" s="28" t="s">
        <v>39</v>
      </c>
      <c r="K5578" s="28" t="s">
        <v>27633</v>
      </c>
      <c r="L5578" s="28" t="s">
        <v>27634</v>
      </c>
      <c r="M5578" s="28" t="s">
        <v>27899</v>
      </c>
      <c r="N5578" s="28" t="s">
        <v>27636</v>
      </c>
      <c r="O5578" s="28" t="s">
        <v>27637</v>
      </c>
      <c r="P5578" s="28" t="s">
        <v>27900</v>
      </c>
    </row>
    <row r="5579" spans="1:16" x14ac:dyDescent="0.25">
      <c r="A5579" s="28" t="s">
        <v>27901</v>
      </c>
      <c r="B5579" s="28" t="s">
        <v>27902</v>
      </c>
      <c r="C5579" s="28" t="s">
        <v>25143</v>
      </c>
      <c r="D5579" s="28" t="s">
        <v>120</v>
      </c>
      <c r="E5579" s="28" t="s">
        <v>923</v>
      </c>
      <c r="F5579" s="28" t="s">
        <v>21</v>
      </c>
      <c r="G5579" s="28" t="s">
        <v>39</v>
      </c>
      <c r="H5579" s="28" t="s">
        <v>27631</v>
      </c>
      <c r="I5579" s="28" t="s">
        <v>27903</v>
      </c>
      <c r="J5579" s="28" t="s">
        <v>39</v>
      </c>
      <c r="K5579" s="28" t="s">
        <v>27633</v>
      </c>
      <c r="L5579" s="28" t="s">
        <v>27634</v>
      </c>
      <c r="M5579" s="28" t="s">
        <v>27904</v>
      </c>
      <c r="N5579" s="28" t="s">
        <v>27636</v>
      </c>
      <c r="O5579" s="28" t="s">
        <v>27637</v>
      </c>
      <c r="P5579" s="28" t="s">
        <v>27905</v>
      </c>
    </row>
    <row r="5580" spans="1:16" x14ac:dyDescent="0.25">
      <c r="A5580" s="28" t="s">
        <v>27906</v>
      </c>
      <c r="B5580" s="28" t="s">
        <v>27907</v>
      </c>
      <c r="C5580" s="28" t="s">
        <v>25143</v>
      </c>
      <c r="D5580" s="28" t="s">
        <v>120</v>
      </c>
      <c r="E5580" s="28" t="s">
        <v>923</v>
      </c>
      <c r="F5580" s="28" t="s">
        <v>21</v>
      </c>
      <c r="G5580" s="28" t="s">
        <v>39</v>
      </c>
      <c r="H5580" s="28" t="s">
        <v>27631</v>
      </c>
      <c r="I5580" s="28" t="s">
        <v>27908</v>
      </c>
      <c r="J5580" s="28" t="s">
        <v>39</v>
      </c>
      <c r="K5580" s="28" t="s">
        <v>27633</v>
      </c>
      <c r="L5580" s="28" t="s">
        <v>27634</v>
      </c>
      <c r="M5580" s="28" t="s">
        <v>27909</v>
      </c>
      <c r="N5580" s="28" t="s">
        <v>27636</v>
      </c>
      <c r="O5580" s="28" t="s">
        <v>27637</v>
      </c>
      <c r="P5580" s="28" t="s">
        <v>27905</v>
      </c>
    </row>
    <row r="5581" spans="1:16" x14ac:dyDescent="0.25">
      <c r="A5581" s="28" t="s">
        <v>27910</v>
      </c>
      <c r="B5581" s="28" t="s">
        <v>27911</v>
      </c>
      <c r="C5581" s="28" t="s">
        <v>25143</v>
      </c>
      <c r="D5581" s="28" t="s">
        <v>120</v>
      </c>
      <c r="E5581" s="28" t="s">
        <v>923</v>
      </c>
      <c r="F5581" s="28" t="s">
        <v>21</v>
      </c>
      <c r="G5581" s="28" t="s">
        <v>39</v>
      </c>
      <c r="H5581" s="28" t="s">
        <v>27631</v>
      </c>
      <c r="I5581" s="28" t="s">
        <v>27912</v>
      </c>
      <c r="J5581" s="28" t="s">
        <v>39</v>
      </c>
      <c r="K5581" s="28" t="s">
        <v>27633</v>
      </c>
      <c r="L5581" s="28" t="s">
        <v>27634</v>
      </c>
      <c r="M5581" s="28" t="s">
        <v>27913</v>
      </c>
      <c r="N5581" s="28" t="s">
        <v>27636</v>
      </c>
      <c r="O5581" s="28" t="s">
        <v>27637</v>
      </c>
      <c r="P5581" s="28" t="s">
        <v>27905</v>
      </c>
    </row>
    <row r="5582" spans="1:16" x14ac:dyDescent="0.25">
      <c r="A5582" s="28" t="s">
        <v>27914</v>
      </c>
      <c r="B5582" s="28" t="s">
        <v>27915</v>
      </c>
      <c r="C5582" s="28" t="s">
        <v>25143</v>
      </c>
      <c r="D5582" s="28" t="s">
        <v>120</v>
      </c>
      <c r="E5582" s="28" t="s">
        <v>923</v>
      </c>
      <c r="F5582" s="28" t="s">
        <v>21</v>
      </c>
      <c r="G5582" s="28" t="s">
        <v>39</v>
      </c>
      <c r="H5582" s="28" t="s">
        <v>27631</v>
      </c>
      <c r="I5582" s="28" t="s">
        <v>27916</v>
      </c>
      <c r="J5582" s="28" t="s">
        <v>39</v>
      </c>
      <c r="K5582" s="28" t="s">
        <v>27633</v>
      </c>
      <c r="L5582" s="28" t="s">
        <v>27634</v>
      </c>
      <c r="M5582" s="28" t="s">
        <v>27917</v>
      </c>
      <c r="N5582" s="28" t="s">
        <v>27636</v>
      </c>
      <c r="O5582" s="28" t="s">
        <v>27637</v>
      </c>
      <c r="P5582" s="28" t="s">
        <v>27905</v>
      </c>
    </row>
    <row r="5583" spans="1:16" x14ac:dyDescent="0.25">
      <c r="A5583" s="28" t="s">
        <v>27918</v>
      </c>
      <c r="B5583" s="28" t="s">
        <v>27919</v>
      </c>
      <c r="C5583" s="28" t="s">
        <v>25143</v>
      </c>
      <c r="D5583" s="28" t="s">
        <v>120</v>
      </c>
      <c r="E5583" s="28" t="s">
        <v>923</v>
      </c>
      <c r="F5583" s="28" t="s">
        <v>21</v>
      </c>
      <c r="G5583" s="28" t="s">
        <v>39</v>
      </c>
      <c r="H5583" s="28" t="s">
        <v>27631</v>
      </c>
      <c r="I5583" s="28" t="s">
        <v>27920</v>
      </c>
      <c r="J5583" s="28" t="s">
        <v>39</v>
      </c>
      <c r="K5583" s="28" t="s">
        <v>27633</v>
      </c>
      <c r="L5583" s="28" t="s">
        <v>27634</v>
      </c>
      <c r="M5583" s="28" t="s">
        <v>27921</v>
      </c>
      <c r="N5583" s="28" t="s">
        <v>27636</v>
      </c>
      <c r="O5583" s="28" t="s">
        <v>27637</v>
      </c>
      <c r="P5583" s="28" t="s">
        <v>27905</v>
      </c>
    </row>
    <row r="5584" spans="1:16" x14ac:dyDescent="0.25">
      <c r="A5584" s="28" t="s">
        <v>27922</v>
      </c>
      <c r="B5584" s="28" t="s">
        <v>27923</v>
      </c>
      <c r="C5584" s="28" t="s">
        <v>25143</v>
      </c>
      <c r="D5584" s="28" t="s">
        <v>120</v>
      </c>
      <c r="E5584" s="28" t="s">
        <v>923</v>
      </c>
      <c r="F5584" s="28" t="s">
        <v>21</v>
      </c>
      <c r="G5584" s="28" t="s">
        <v>39</v>
      </c>
      <c r="H5584" s="28" t="s">
        <v>27631</v>
      </c>
      <c r="I5584" s="28" t="s">
        <v>27924</v>
      </c>
      <c r="J5584" s="28" t="s">
        <v>39</v>
      </c>
      <c r="K5584" s="28" t="s">
        <v>27633</v>
      </c>
      <c r="L5584" s="28" t="s">
        <v>27634</v>
      </c>
      <c r="M5584" s="28" t="s">
        <v>27925</v>
      </c>
      <c r="N5584" s="28" t="s">
        <v>27636</v>
      </c>
      <c r="O5584" s="28" t="s">
        <v>27637</v>
      </c>
      <c r="P5584" s="28" t="s">
        <v>27905</v>
      </c>
    </row>
    <row r="5585" spans="1:16" x14ac:dyDescent="0.25">
      <c r="A5585" s="28" t="s">
        <v>27926</v>
      </c>
      <c r="B5585" s="28" t="s">
        <v>27927</v>
      </c>
      <c r="C5585" s="28" t="s">
        <v>25143</v>
      </c>
      <c r="D5585" s="28" t="s">
        <v>120</v>
      </c>
      <c r="E5585" s="28" t="s">
        <v>923</v>
      </c>
      <c r="F5585" s="28" t="s">
        <v>21</v>
      </c>
      <c r="G5585" s="28" t="s">
        <v>39</v>
      </c>
      <c r="H5585" s="28" t="s">
        <v>27631</v>
      </c>
      <c r="I5585" s="28" t="s">
        <v>27928</v>
      </c>
      <c r="J5585" s="28" t="s">
        <v>39</v>
      </c>
      <c r="K5585" s="28" t="s">
        <v>27633</v>
      </c>
      <c r="L5585" s="28" t="s">
        <v>27634</v>
      </c>
      <c r="M5585" s="28" t="s">
        <v>27929</v>
      </c>
      <c r="N5585" s="28" t="s">
        <v>27636</v>
      </c>
      <c r="O5585" s="28" t="s">
        <v>27637</v>
      </c>
      <c r="P5585" s="28" t="s">
        <v>27905</v>
      </c>
    </row>
    <row r="5586" spans="1:16" x14ac:dyDescent="0.25">
      <c r="A5586" s="28" t="s">
        <v>27930</v>
      </c>
      <c r="B5586" s="28" t="s">
        <v>27931</v>
      </c>
      <c r="C5586" s="28" t="s">
        <v>25143</v>
      </c>
      <c r="D5586" s="28" t="s">
        <v>120</v>
      </c>
      <c r="E5586" s="28" t="s">
        <v>923</v>
      </c>
      <c r="F5586" s="28" t="s">
        <v>21</v>
      </c>
      <c r="G5586" s="28" t="s">
        <v>39</v>
      </c>
      <c r="H5586" s="28" t="s">
        <v>27631</v>
      </c>
      <c r="I5586" s="28" t="s">
        <v>27932</v>
      </c>
      <c r="J5586" s="28" t="s">
        <v>39</v>
      </c>
      <c r="K5586" s="28" t="s">
        <v>27633</v>
      </c>
      <c r="L5586" s="28" t="s">
        <v>27634</v>
      </c>
      <c r="M5586" s="28" t="s">
        <v>27933</v>
      </c>
      <c r="N5586" s="28" t="s">
        <v>27636</v>
      </c>
      <c r="O5586" s="28" t="s">
        <v>27637</v>
      </c>
      <c r="P5586" s="28" t="s">
        <v>27905</v>
      </c>
    </row>
    <row r="5587" spans="1:16" x14ac:dyDescent="0.25">
      <c r="A5587" s="28" t="s">
        <v>27934</v>
      </c>
      <c r="B5587" s="28" t="s">
        <v>27935</v>
      </c>
      <c r="C5587" s="28" t="s">
        <v>25143</v>
      </c>
      <c r="D5587" s="28" t="s">
        <v>120</v>
      </c>
      <c r="E5587" s="28" t="s">
        <v>923</v>
      </c>
      <c r="F5587" s="28" t="s">
        <v>21</v>
      </c>
      <c r="G5587" s="28" t="s">
        <v>39</v>
      </c>
      <c r="H5587" s="28" t="s">
        <v>27631</v>
      </c>
      <c r="I5587" s="28" t="s">
        <v>27936</v>
      </c>
      <c r="J5587" s="28" t="s">
        <v>39</v>
      </c>
      <c r="K5587" s="28" t="s">
        <v>27633</v>
      </c>
      <c r="L5587" s="28" t="s">
        <v>27634</v>
      </c>
      <c r="M5587" s="28" t="s">
        <v>27937</v>
      </c>
      <c r="N5587" s="28" t="s">
        <v>27636</v>
      </c>
      <c r="O5587" s="28" t="s">
        <v>27637</v>
      </c>
      <c r="P5587" s="28" t="s">
        <v>27905</v>
      </c>
    </row>
    <row r="5588" spans="1:16" x14ac:dyDescent="0.25">
      <c r="A5588" s="28" t="s">
        <v>27938</v>
      </c>
      <c r="B5588" s="28" t="s">
        <v>27939</v>
      </c>
      <c r="C5588" s="28" t="s">
        <v>25143</v>
      </c>
      <c r="D5588" s="28" t="s">
        <v>120</v>
      </c>
      <c r="E5588" s="28" t="s">
        <v>923</v>
      </c>
      <c r="F5588" s="28" t="s">
        <v>21</v>
      </c>
      <c r="G5588" s="28" t="s">
        <v>39</v>
      </c>
      <c r="H5588" s="28" t="s">
        <v>27631</v>
      </c>
      <c r="I5588" s="28" t="s">
        <v>27940</v>
      </c>
      <c r="J5588" s="28" t="s">
        <v>39</v>
      </c>
      <c r="K5588" s="28" t="s">
        <v>27633</v>
      </c>
      <c r="L5588" s="28" t="s">
        <v>27634</v>
      </c>
      <c r="M5588" s="28" t="s">
        <v>27941</v>
      </c>
      <c r="N5588" s="28" t="s">
        <v>27636</v>
      </c>
      <c r="O5588" s="28" t="s">
        <v>27637</v>
      </c>
      <c r="P5588" s="28" t="s">
        <v>27905</v>
      </c>
    </row>
    <row r="5589" spans="1:16" x14ac:dyDescent="0.25">
      <c r="A5589" s="28" t="s">
        <v>27942</v>
      </c>
      <c r="B5589" s="28" t="s">
        <v>27943</v>
      </c>
      <c r="C5589" s="28" t="s">
        <v>25143</v>
      </c>
      <c r="D5589" s="28" t="s">
        <v>120</v>
      </c>
      <c r="E5589" s="28" t="s">
        <v>4260</v>
      </c>
      <c r="F5589" s="28" t="s">
        <v>21</v>
      </c>
      <c r="G5589" s="28" t="s">
        <v>39</v>
      </c>
      <c r="H5589" s="28" t="s">
        <v>27631</v>
      </c>
      <c r="I5589" s="28" t="s">
        <v>27944</v>
      </c>
      <c r="J5589" s="28" t="s">
        <v>39</v>
      </c>
      <c r="K5589" s="28" t="s">
        <v>27633</v>
      </c>
      <c r="L5589" s="28" t="s">
        <v>27634</v>
      </c>
      <c r="M5589" s="28" t="s">
        <v>27945</v>
      </c>
      <c r="N5589" s="28" t="s">
        <v>27636</v>
      </c>
      <c r="O5589" s="28" t="s">
        <v>27637</v>
      </c>
      <c r="P5589" s="28" t="s">
        <v>27946</v>
      </c>
    </row>
    <row r="5590" spans="1:16" x14ac:dyDescent="0.25">
      <c r="A5590" s="28" t="s">
        <v>27947</v>
      </c>
      <c r="B5590" s="28" t="s">
        <v>27948</v>
      </c>
      <c r="C5590" s="28" t="s">
        <v>25143</v>
      </c>
      <c r="D5590" s="28" t="s">
        <v>120</v>
      </c>
      <c r="E5590" s="28" t="s">
        <v>4260</v>
      </c>
      <c r="F5590" s="28" t="s">
        <v>21</v>
      </c>
      <c r="G5590" s="28" t="s">
        <v>39</v>
      </c>
      <c r="H5590" s="28" t="s">
        <v>27631</v>
      </c>
      <c r="I5590" s="28" t="s">
        <v>27949</v>
      </c>
      <c r="J5590" s="28" t="s">
        <v>39</v>
      </c>
      <c r="K5590" s="28" t="s">
        <v>27633</v>
      </c>
      <c r="L5590" s="28" t="s">
        <v>27634</v>
      </c>
      <c r="M5590" s="28" t="s">
        <v>27950</v>
      </c>
      <c r="N5590" s="28" t="s">
        <v>27636</v>
      </c>
      <c r="O5590" s="28" t="s">
        <v>27637</v>
      </c>
      <c r="P5590" s="28" t="s">
        <v>27946</v>
      </c>
    </row>
    <row r="5591" spans="1:16" x14ac:dyDescent="0.25">
      <c r="A5591" s="28" t="s">
        <v>27951</v>
      </c>
      <c r="B5591" s="28" t="s">
        <v>27952</v>
      </c>
      <c r="C5591" s="28" t="s">
        <v>25143</v>
      </c>
      <c r="D5591" s="28" t="s">
        <v>120</v>
      </c>
      <c r="E5591" s="28" t="s">
        <v>4260</v>
      </c>
      <c r="F5591" s="28" t="s">
        <v>21</v>
      </c>
      <c r="G5591" s="28" t="s">
        <v>39</v>
      </c>
      <c r="H5591" s="28" t="s">
        <v>27631</v>
      </c>
      <c r="I5591" s="28" t="s">
        <v>27953</v>
      </c>
      <c r="J5591" s="28" t="s">
        <v>39</v>
      </c>
      <c r="K5591" s="28" t="s">
        <v>27633</v>
      </c>
      <c r="L5591" s="28" t="s">
        <v>27634</v>
      </c>
      <c r="M5591" s="28" t="s">
        <v>27954</v>
      </c>
      <c r="N5591" s="28" t="s">
        <v>27636</v>
      </c>
      <c r="O5591" s="28" t="s">
        <v>27637</v>
      </c>
      <c r="P5591" s="28" t="s">
        <v>27946</v>
      </c>
    </row>
    <row r="5592" spans="1:16" x14ac:dyDescent="0.25">
      <c r="A5592" s="28" t="s">
        <v>27955</v>
      </c>
      <c r="B5592" s="28" t="s">
        <v>27956</v>
      </c>
      <c r="C5592" s="28" t="s">
        <v>25143</v>
      </c>
      <c r="D5592" s="28" t="s">
        <v>120</v>
      </c>
      <c r="E5592" s="28" t="s">
        <v>1674</v>
      </c>
      <c r="F5592" s="28" t="s">
        <v>21</v>
      </c>
      <c r="G5592" s="28" t="s">
        <v>39</v>
      </c>
      <c r="H5592" s="28" t="s">
        <v>27631</v>
      </c>
      <c r="I5592" s="28" t="s">
        <v>27957</v>
      </c>
      <c r="J5592" s="28" t="s">
        <v>39</v>
      </c>
      <c r="K5592" s="28" t="s">
        <v>27633</v>
      </c>
      <c r="L5592" s="28" t="s">
        <v>27634</v>
      </c>
      <c r="M5592" s="28" t="s">
        <v>27958</v>
      </c>
      <c r="N5592" s="28" t="s">
        <v>27636</v>
      </c>
      <c r="O5592" s="28" t="s">
        <v>27637</v>
      </c>
      <c r="P5592" s="28" t="s">
        <v>27959</v>
      </c>
    </row>
    <row r="5593" spans="1:16" x14ac:dyDescent="0.25">
      <c r="A5593" s="28" t="s">
        <v>27960</v>
      </c>
      <c r="B5593" s="28" t="s">
        <v>27961</v>
      </c>
      <c r="C5593" s="28" t="s">
        <v>25143</v>
      </c>
      <c r="D5593" s="28" t="s">
        <v>120</v>
      </c>
      <c r="E5593" s="28" t="s">
        <v>1674</v>
      </c>
      <c r="F5593" s="28" t="s">
        <v>21</v>
      </c>
      <c r="G5593" s="28" t="s">
        <v>39</v>
      </c>
      <c r="H5593" s="28" t="s">
        <v>27631</v>
      </c>
      <c r="I5593" s="28" t="s">
        <v>27962</v>
      </c>
      <c r="J5593" s="28" t="s">
        <v>39</v>
      </c>
      <c r="K5593" s="28" t="s">
        <v>27633</v>
      </c>
      <c r="L5593" s="28" t="s">
        <v>27634</v>
      </c>
      <c r="M5593" s="28" t="s">
        <v>27963</v>
      </c>
      <c r="N5593" s="28" t="s">
        <v>27636</v>
      </c>
      <c r="O5593" s="28" t="s">
        <v>27637</v>
      </c>
      <c r="P5593" s="28" t="s">
        <v>27959</v>
      </c>
    </row>
    <row r="5594" spans="1:16" x14ac:dyDescent="0.25">
      <c r="A5594" s="28" t="s">
        <v>27964</v>
      </c>
      <c r="B5594" s="28" t="s">
        <v>27965</v>
      </c>
      <c r="C5594" s="28" t="s">
        <v>25143</v>
      </c>
      <c r="D5594" s="28" t="s">
        <v>120</v>
      </c>
      <c r="E5594" s="28" t="s">
        <v>1674</v>
      </c>
      <c r="F5594" s="28" t="s">
        <v>21</v>
      </c>
      <c r="G5594" s="28" t="s">
        <v>39</v>
      </c>
      <c r="H5594" s="28" t="s">
        <v>27631</v>
      </c>
      <c r="I5594" s="28" t="s">
        <v>27966</v>
      </c>
      <c r="J5594" s="28" t="s">
        <v>39</v>
      </c>
      <c r="K5594" s="28" t="s">
        <v>27633</v>
      </c>
      <c r="L5594" s="28" t="s">
        <v>27634</v>
      </c>
      <c r="M5594" s="28" t="s">
        <v>27967</v>
      </c>
      <c r="N5594" s="28" t="s">
        <v>27636</v>
      </c>
      <c r="O5594" s="28" t="s">
        <v>27637</v>
      </c>
      <c r="P5594" s="28" t="s">
        <v>27959</v>
      </c>
    </row>
    <row r="5595" spans="1:16" x14ac:dyDescent="0.25">
      <c r="A5595" s="28" t="s">
        <v>27968</v>
      </c>
      <c r="B5595" s="28" t="s">
        <v>27969</v>
      </c>
      <c r="C5595" s="28" t="s">
        <v>25143</v>
      </c>
      <c r="D5595" s="28" t="s">
        <v>120</v>
      </c>
      <c r="E5595" s="28" t="s">
        <v>1674</v>
      </c>
      <c r="F5595" s="28" t="s">
        <v>21</v>
      </c>
      <c r="G5595" s="28" t="s">
        <v>39</v>
      </c>
      <c r="H5595" s="28" t="s">
        <v>27631</v>
      </c>
      <c r="I5595" s="28" t="s">
        <v>27970</v>
      </c>
      <c r="J5595" s="28" t="s">
        <v>39</v>
      </c>
      <c r="K5595" s="28" t="s">
        <v>27633</v>
      </c>
      <c r="L5595" s="28" t="s">
        <v>27634</v>
      </c>
      <c r="M5595" s="28" t="s">
        <v>27971</v>
      </c>
      <c r="N5595" s="28" t="s">
        <v>27636</v>
      </c>
      <c r="O5595" s="28" t="s">
        <v>27637</v>
      </c>
      <c r="P5595" s="28" t="s">
        <v>27959</v>
      </c>
    </row>
    <row r="5596" spans="1:16" x14ac:dyDescent="0.25">
      <c r="A5596" s="28" t="s">
        <v>27972</v>
      </c>
      <c r="B5596" s="28" t="s">
        <v>27973</v>
      </c>
      <c r="C5596" s="28" t="s">
        <v>25143</v>
      </c>
      <c r="D5596" s="28" t="s">
        <v>120</v>
      </c>
      <c r="E5596" s="28" t="s">
        <v>1674</v>
      </c>
      <c r="F5596" s="28" t="s">
        <v>21</v>
      </c>
      <c r="G5596" s="28" t="s">
        <v>39</v>
      </c>
      <c r="H5596" s="28" t="s">
        <v>27631</v>
      </c>
      <c r="I5596" s="28" t="s">
        <v>27974</v>
      </c>
      <c r="J5596" s="28" t="s">
        <v>39</v>
      </c>
      <c r="K5596" s="28" t="s">
        <v>27633</v>
      </c>
      <c r="L5596" s="28" t="s">
        <v>27634</v>
      </c>
      <c r="M5596" s="28" t="s">
        <v>27975</v>
      </c>
      <c r="N5596" s="28" t="s">
        <v>27636</v>
      </c>
      <c r="O5596" s="28" t="s">
        <v>27637</v>
      </c>
      <c r="P5596" s="28" t="s">
        <v>27959</v>
      </c>
    </row>
    <row r="5597" spans="1:16" x14ac:dyDescent="0.25">
      <c r="A5597" s="28" t="s">
        <v>27976</v>
      </c>
      <c r="B5597" s="28" t="s">
        <v>27977</v>
      </c>
      <c r="C5597" s="28" t="s">
        <v>25143</v>
      </c>
      <c r="D5597" s="28" t="s">
        <v>120</v>
      </c>
      <c r="E5597" s="28" t="s">
        <v>1674</v>
      </c>
      <c r="F5597" s="28" t="s">
        <v>21</v>
      </c>
      <c r="G5597" s="28" t="s">
        <v>39</v>
      </c>
      <c r="H5597" s="28" t="s">
        <v>27631</v>
      </c>
      <c r="I5597" s="28" t="s">
        <v>27978</v>
      </c>
      <c r="J5597" s="28" t="s">
        <v>39</v>
      </c>
      <c r="K5597" s="28" t="s">
        <v>27633</v>
      </c>
      <c r="L5597" s="28" t="s">
        <v>27634</v>
      </c>
      <c r="M5597" s="28" t="s">
        <v>27979</v>
      </c>
      <c r="N5597" s="28" t="s">
        <v>27636</v>
      </c>
      <c r="O5597" s="28" t="s">
        <v>27637</v>
      </c>
      <c r="P5597" s="28" t="s">
        <v>27959</v>
      </c>
    </row>
    <row r="5598" spans="1:16" x14ac:dyDescent="0.25">
      <c r="A5598" s="28" t="s">
        <v>27980</v>
      </c>
      <c r="B5598" s="28" t="s">
        <v>27981</v>
      </c>
      <c r="C5598" s="28" t="s">
        <v>25143</v>
      </c>
      <c r="D5598" s="28" t="s">
        <v>120</v>
      </c>
      <c r="E5598" s="28" t="s">
        <v>1674</v>
      </c>
      <c r="F5598" s="28" t="s">
        <v>21</v>
      </c>
      <c r="G5598" s="28" t="s">
        <v>39</v>
      </c>
      <c r="H5598" s="28" t="s">
        <v>27631</v>
      </c>
      <c r="I5598" s="28" t="s">
        <v>27982</v>
      </c>
      <c r="J5598" s="28" t="s">
        <v>39</v>
      </c>
      <c r="K5598" s="28" t="s">
        <v>27633</v>
      </c>
      <c r="L5598" s="28" t="s">
        <v>27634</v>
      </c>
      <c r="M5598" s="28" t="s">
        <v>27983</v>
      </c>
      <c r="N5598" s="28" t="s">
        <v>27636</v>
      </c>
      <c r="O5598" s="28" t="s">
        <v>27637</v>
      </c>
      <c r="P5598" s="28" t="s">
        <v>27959</v>
      </c>
    </row>
    <row r="5599" spans="1:16" x14ac:dyDescent="0.25">
      <c r="A5599" s="28" t="s">
        <v>27984</v>
      </c>
      <c r="B5599" s="28" t="s">
        <v>27985</v>
      </c>
      <c r="C5599" s="28" t="s">
        <v>25143</v>
      </c>
      <c r="D5599" s="28" t="s">
        <v>120</v>
      </c>
      <c r="E5599" s="28" t="s">
        <v>1674</v>
      </c>
      <c r="F5599" s="28" t="s">
        <v>21</v>
      </c>
      <c r="G5599" s="28" t="s">
        <v>39</v>
      </c>
      <c r="H5599" s="28" t="s">
        <v>27631</v>
      </c>
      <c r="I5599" s="28" t="s">
        <v>27986</v>
      </c>
      <c r="J5599" s="28" t="s">
        <v>39</v>
      </c>
      <c r="K5599" s="28" t="s">
        <v>27633</v>
      </c>
      <c r="L5599" s="28" t="s">
        <v>27634</v>
      </c>
      <c r="M5599" s="28" t="s">
        <v>27987</v>
      </c>
      <c r="N5599" s="28" t="s">
        <v>27636</v>
      </c>
      <c r="O5599" s="28" t="s">
        <v>27637</v>
      </c>
      <c r="P5599" s="28" t="s">
        <v>27959</v>
      </c>
    </row>
    <row r="5600" spans="1:16" x14ac:dyDescent="0.25">
      <c r="A5600" s="28" t="s">
        <v>27988</v>
      </c>
      <c r="B5600" s="28" t="s">
        <v>27989</v>
      </c>
      <c r="C5600" s="28" t="s">
        <v>25143</v>
      </c>
      <c r="D5600" s="28" t="s">
        <v>5328</v>
      </c>
      <c r="E5600" s="28" t="s">
        <v>5329</v>
      </c>
      <c r="F5600" s="28" t="s">
        <v>21</v>
      </c>
      <c r="G5600" s="28" t="s">
        <v>39</v>
      </c>
      <c r="H5600" s="28" t="s">
        <v>27631</v>
      </c>
      <c r="I5600" s="28" t="s">
        <v>27990</v>
      </c>
      <c r="J5600" s="28" t="s">
        <v>39</v>
      </c>
      <c r="K5600" s="28" t="s">
        <v>27633</v>
      </c>
      <c r="L5600" s="28" t="s">
        <v>27634</v>
      </c>
      <c r="M5600" s="28" t="s">
        <v>27991</v>
      </c>
      <c r="N5600" s="28" t="s">
        <v>27636</v>
      </c>
      <c r="O5600" s="28" t="s">
        <v>27637</v>
      </c>
      <c r="P5600" s="28" t="s">
        <v>27992</v>
      </c>
    </row>
    <row r="5601" spans="1:16" x14ac:dyDescent="0.25">
      <c r="A5601" s="28" t="s">
        <v>27993</v>
      </c>
      <c r="B5601" s="28" t="s">
        <v>27994</v>
      </c>
      <c r="C5601" s="28" t="s">
        <v>25143</v>
      </c>
      <c r="D5601" s="28" t="s">
        <v>6467</v>
      </c>
      <c r="E5601" s="28" t="s">
        <v>17544</v>
      </c>
      <c r="F5601" s="28" t="s">
        <v>21</v>
      </c>
      <c r="G5601" s="28" t="s">
        <v>39</v>
      </c>
      <c r="H5601" s="28" t="s">
        <v>27631</v>
      </c>
      <c r="I5601" s="28" t="s">
        <v>27995</v>
      </c>
      <c r="J5601" s="28" t="s">
        <v>39</v>
      </c>
      <c r="K5601" s="28" t="s">
        <v>27633</v>
      </c>
      <c r="L5601" s="28" t="s">
        <v>27634</v>
      </c>
      <c r="M5601" s="28" t="s">
        <v>27996</v>
      </c>
      <c r="N5601" s="28" t="s">
        <v>27636</v>
      </c>
      <c r="O5601" s="28" t="s">
        <v>27637</v>
      </c>
      <c r="P5601" s="28" t="s">
        <v>27997</v>
      </c>
    </row>
    <row r="5602" spans="1:16" x14ac:dyDescent="0.25">
      <c r="A5602" s="28" t="s">
        <v>27998</v>
      </c>
      <c r="B5602" s="28" t="s">
        <v>27999</v>
      </c>
      <c r="C5602" s="28" t="s">
        <v>25143</v>
      </c>
      <c r="D5602" s="28" t="s">
        <v>6467</v>
      </c>
      <c r="E5602" s="28" t="s">
        <v>17544</v>
      </c>
      <c r="F5602" s="28" t="s">
        <v>21</v>
      </c>
      <c r="G5602" s="28" t="s">
        <v>39</v>
      </c>
      <c r="H5602" s="28" t="s">
        <v>27631</v>
      </c>
      <c r="I5602" s="28" t="s">
        <v>28000</v>
      </c>
      <c r="J5602" s="28" t="s">
        <v>39</v>
      </c>
      <c r="K5602" s="28" t="s">
        <v>27633</v>
      </c>
      <c r="L5602" s="28" t="s">
        <v>27634</v>
      </c>
      <c r="M5602" s="28" t="s">
        <v>28001</v>
      </c>
      <c r="N5602" s="28" t="s">
        <v>27636</v>
      </c>
      <c r="O5602" s="28" t="s">
        <v>27637</v>
      </c>
      <c r="P5602" s="28" t="s">
        <v>27997</v>
      </c>
    </row>
    <row r="5603" spans="1:16" x14ac:dyDescent="0.25">
      <c r="A5603" s="28" t="s">
        <v>28002</v>
      </c>
      <c r="B5603" s="28" t="s">
        <v>28003</v>
      </c>
      <c r="C5603" s="28" t="s">
        <v>25143</v>
      </c>
      <c r="D5603" s="28" t="s">
        <v>6467</v>
      </c>
      <c r="E5603" s="28" t="s">
        <v>17544</v>
      </c>
      <c r="F5603" s="28" t="s">
        <v>21</v>
      </c>
      <c r="G5603" s="28" t="s">
        <v>39</v>
      </c>
      <c r="H5603" s="28" t="s">
        <v>27631</v>
      </c>
      <c r="I5603" s="28" t="s">
        <v>28004</v>
      </c>
      <c r="J5603" s="28" t="s">
        <v>39</v>
      </c>
      <c r="K5603" s="28" t="s">
        <v>27633</v>
      </c>
      <c r="L5603" s="28" t="s">
        <v>27634</v>
      </c>
      <c r="M5603" s="28" t="s">
        <v>28005</v>
      </c>
      <c r="N5603" s="28" t="s">
        <v>27636</v>
      </c>
      <c r="O5603" s="28" t="s">
        <v>27637</v>
      </c>
      <c r="P5603" s="28" t="s">
        <v>27997</v>
      </c>
    </row>
    <row r="5604" spans="1:16" x14ac:dyDescent="0.25">
      <c r="A5604" s="28" t="s">
        <v>28006</v>
      </c>
      <c r="B5604" s="28" t="s">
        <v>28007</v>
      </c>
      <c r="C5604" s="28" t="s">
        <v>25143</v>
      </c>
      <c r="D5604" s="28" t="s">
        <v>6467</v>
      </c>
      <c r="E5604" s="28" t="s">
        <v>17554</v>
      </c>
      <c r="F5604" s="28" t="s">
        <v>21</v>
      </c>
      <c r="G5604" s="28" t="s">
        <v>39</v>
      </c>
      <c r="H5604" s="28" t="s">
        <v>27631</v>
      </c>
      <c r="I5604" s="28" t="s">
        <v>28008</v>
      </c>
      <c r="J5604" s="28" t="s">
        <v>39</v>
      </c>
      <c r="K5604" s="28" t="s">
        <v>27633</v>
      </c>
      <c r="L5604" s="28" t="s">
        <v>27634</v>
      </c>
      <c r="M5604" s="28" t="s">
        <v>28009</v>
      </c>
      <c r="N5604" s="28" t="s">
        <v>27636</v>
      </c>
      <c r="O5604" s="28" t="s">
        <v>27637</v>
      </c>
      <c r="P5604" s="28" t="s">
        <v>28010</v>
      </c>
    </row>
    <row r="5605" spans="1:16" x14ac:dyDescent="0.25">
      <c r="A5605" s="28" t="s">
        <v>28011</v>
      </c>
      <c r="B5605" s="28" t="s">
        <v>28012</v>
      </c>
      <c r="C5605" s="28" t="s">
        <v>25143</v>
      </c>
      <c r="D5605" s="28" t="s">
        <v>6467</v>
      </c>
      <c r="E5605" s="28" t="s">
        <v>17560</v>
      </c>
      <c r="F5605" s="28" t="s">
        <v>21</v>
      </c>
      <c r="G5605" s="28" t="s">
        <v>39</v>
      </c>
      <c r="H5605" s="28" t="s">
        <v>27631</v>
      </c>
      <c r="I5605" s="28" t="s">
        <v>28013</v>
      </c>
      <c r="J5605" s="28" t="s">
        <v>39</v>
      </c>
      <c r="K5605" s="28" t="s">
        <v>27633</v>
      </c>
      <c r="L5605" s="28" t="s">
        <v>27634</v>
      </c>
      <c r="M5605" s="28" t="s">
        <v>28014</v>
      </c>
      <c r="N5605" s="28" t="s">
        <v>27636</v>
      </c>
      <c r="O5605" s="28" t="s">
        <v>27637</v>
      </c>
      <c r="P5605" s="28" t="s">
        <v>28015</v>
      </c>
    </row>
    <row r="5606" spans="1:16" x14ac:dyDescent="0.25">
      <c r="A5606" s="28" t="s">
        <v>28016</v>
      </c>
      <c r="B5606" s="28" t="s">
        <v>28017</v>
      </c>
      <c r="C5606" s="28" t="s">
        <v>25143</v>
      </c>
      <c r="D5606" s="28" t="s">
        <v>6467</v>
      </c>
      <c r="E5606" s="28" t="s">
        <v>17572</v>
      </c>
      <c r="F5606" s="28" t="s">
        <v>21</v>
      </c>
      <c r="G5606" s="28" t="s">
        <v>39</v>
      </c>
      <c r="H5606" s="28" t="s">
        <v>27631</v>
      </c>
      <c r="I5606" s="28" t="s">
        <v>28018</v>
      </c>
      <c r="J5606" s="28" t="s">
        <v>39</v>
      </c>
      <c r="K5606" s="28" t="s">
        <v>27633</v>
      </c>
      <c r="L5606" s="28" t="s">
        <v>27634</v>
      </c>
      <c r="M5606" s="28" t="s">
        <v>28019</v>
      </c>
      <c r="N5606" s="28" t="s">
        <v>27636</v>
      </c>
      <c r="O5606" s="28" t="s">
        <v>27637</v>
      </c>
      <c r="P5606" s="28" t="s">
        <v>28020</v>
      </c>
    </row>
    <row r="5607" spans="1:16" x14ac:dyDescent="0.25">
      <c r="A5607" s="28" t="s">
        <v>28021</v>
      </c>
      <c r="B5607" s="28" t="s">
        <v>28022</v>
      </c>
      <c r="C5607" s="28" t="s">
        <v>25143</v>
      </c>
      <c r="D5607" s="28" t="s">
        <v>6467</v>
      </c>
      <c r="E5607" s="28" t="s">
        <v>17578</v>
      </c>
      <c r="F5607" s="28" t="s">
        <v>21</v>
      </c>
      <c r="G5607" s="28" t="s">
        <v>39</v>
      </c>
      <c r="H5607" s="28" t="s">
        <v>27631</v>
      </c>
      <c r="I5607" s="28" t="s">
        <v>28023</v>
      </c>
      <c r="J5607" s="28" t="s">
        <v>39</v>
      </c>
      <c r="K5607" s="28" t="s">
        <v>27633</v>
      </c>
      <c r="L5607" s="28" t="s">
        <v>27634</v>
      </c>
      <c r="M5607" s="28" t="s">
        <v>28024</v>
      </c>
      <c r="N5607" s="28" t="s">
        <v>27636</v>
      </c>
      <c r="O5607" s="28" t="s">
        <v>27637</v>
      </c>
      <c r="P5607" s="28" t="s">
        <v>28025</v>
      </c>
    </row>
    <row r="5608" spans="1:16" x14ac:dyDescent="0.25">
      <c r="A5608" s="28" t="s">
        <v>28026</v>
      </c>
      <c r="B5608" s="28" t="s">
        <v>28027</v>
      </c>
      <c r="C5608" s="28" t="s">
        <v>25143</v>
      </c>
      <c r="D5608" s="28" t="s">
        <v>6467</v>
      </c>
      <c r="E5608" s="28" t="s">
        <v>17584</v>
      </c>
      <c r="F5608" s="28" t="s">
        <v>21</v>
      </c>
      <c r="G5608" s="28" t="s">
        <v>39</v>
      </c>
      <c r="H5608" s="28" t="s">
        <v>27631</v>
      </c>
      <c r="I5608" s="28" t="s">
        <v>28028</v>
      </c>
      <c r="J5608" s="28" t="s">
        <v>39</v>
      </c>
      <c r="K5608" s="28" t="s">
        <v>27633</v>
      </c>
      <c r="L5608" s="28" t="s">
        <v>27634</v>
      </c>
      <c r="M5608" s="28" t="s">
        <v>28029</v>
      </c>
      <c r="N5608" s="28" t="s">
        <v>27636</v>
      </c>
      <c r="O5608" s="28" t="s">
        <v>27637</v>
      </c>
      <c r="P5608" s="28" t="s">
        <v>28030</v>
      </c>
    </row>
    <row r="5609" spans="1:16" x14ac:dyDescent="0.25">
      <c r="A5609" s="28" t="s">
        <v>28031</v>
      </c>
      <c r="B5609" s="28" t="s">
        <v>28032</v>
      </c>
      <c r="C5609" s="28" t="s">
        <v>25143</v>
      </c>
      <c r="D5609" s="28" t="s">
        <v>6467</v>
      </c>
      <c r="E5609" s="28" t="s">
        <v>17590</v>
      </c>
      <c r="F5609" s="28" t="s">
        <v>21</v>
      </c>
      <c r="G5609" s="28" t="s">
        <v>39</v>
      </c>
      <c r="H5609" s="28" t="s">
        <v>27631</v>
      </c>
      <c r="I5609" s="28" t="s">
        <v>28033</v>
      </c>
      <c r="J5609" s="28" t="s">
        <v>39</v>
      </c>
      <c r="K5609" s="28" t="s">
        <v>27633</v>
      </c>
      <c r="L5609" s="28" t="s">
        <v>27634</v>
      </c>
      <c r="M5609" s="28" t="s">
        <v>28034</v>
      </c>
      <c r="N5609" s="28" t="s">
        <v>27636</v>
      </c>
      <c r="O5609" s="28" t="s">
        <v>27637</v>
      </c>
      <c r="P5609" s="28" t="s">
        <v>28035</v>
      </c>
    </row>
    <row r="5610" spans="1:16" x14ac:dyDescent="0.25">
      <c r="A5610" s="28" t="s">
        <v>28036</v>
      </c>
      <c r="B5610" s="28" t="s">
        <v>28037</v>
      </c>
      <c r="C5610" s="28" t="s">
        <v>25143</v>
      </c>
      <c r="D5610" s="28" t="s">
        <v>6467</v>
      </c>
      <c r="E5610" s="28" t="s">
        <v>17596</v>
      </c>
      <c r="F5610" s="28" t="s">
        <v>21</v>
      </c>
      <c r="G5610" s="28" t="s">
        <v>39</v>
      </c>
      <c r="H5610" s="28" t="s">
        <v>27631</v>
      </c>
      <c r="I5610" s="28" t="s">
        <v>28038</v>
      </c>
      <c r="J5610" s="28" t="s">
        <v>39</v>
      </c>
      <c r="K5610" s="28" t="s">
        <v>27633</v>
      </c>
      <c r="L5610" s="28" t="s">
        <v>27634</v>
      </c>
      <c r="M5610" s="28" t="s">
        <v>28039</v>
      </c>
      <c r="N5610" s="28" t="s">
        <v>27636</v>
      </c>
      <c r="O5610" s="28" t="s">
        <v>27637</v>
      </c>
      <c r="P5610" s="28" t="s">
        <v>28040</v>
      </c>
    </row>
    <row r="5611" spans="1:16" x14ac:dyDescent="0.25">
      <c r="A5611" s="28" t="s">
        <v>28041</v>
      </c>
      <c r="B5611" s="28" t="s">
        <v>28042</v>
      </c>
      <c r="C5611" s="28" t="s">
        <v>25143</v>
      </c>
      <c r="D5611" s="28" t="s">
        <v>6467</v>
      </c>
      <c r="E5611" s="28" t="s">
        <v>17602</v>
      </c>
      <c r="F5611" s="28" t="s">
        <v>21</v>
      </c>
      <c r="G5611" s="28" t="s">
        <v>39</v>
      </c>
      <c r="H5611" s="28" t="s">
        <v>27631</v>
      </c>
      <c r="I5611" s="28" t="s">
        <v>28043</v>
      </c>
      <c r="J5611" s="28" t="s">
        <v>39</v>
      </c>
      <c r="K5611" s="28" t="s">
        <v>27633</v>
      </c>
      <c r="L5611" s="28" t="s">
        <v>27634</v>
      </c>
      <c r="M5611" s="28" t="s">
        <v>28044</v>
      </c>
      <c r="N5611" s="28" t="s">
        <v>27636</v>
      </c>
      <c r="O5611" s="28" t="s">
        <v>27637</v>
      </c>
      <c r="P5611" s="28" t="s">
        <v>28045</v>
      </c>
    </row>
    <row r="5612" spans="1:16" x14ac:dyDescent="0.25">
      <c r="A5612" s="28" t="s">
        <v>28046</v>
      </c>
      <c r="B5612" s="28" t="s">
        <v>28047</v>
      </c>
      <c r="C5612" s="28" t="s">
        <v>25143</v>
      </c>
      <c r="D5612" s="28" t="s">
        <v>6467</v>
      </c>
      <c r="E5612" s="28" t="s">
        <v>17608</v>
      </c>
      <c r="F5612" s="28" t="s">
        <v>21</v>
      </c>
      <c r="G5612" s="28" t="s">
        <v>39</v>
      </c>
      <c r="H5612" s="28" t="s">
        <v>27631</v>
      </c>
      <c r="I5612" s="28" t="s">
        <v>28048</v>
      </c>
      <c r="J5612" s="28" t="s">
        <v>39</v>
      </c>
      <c r="K5612" s="28" t="s">
        <v>27633</v>
      </c>
      <c r="L5612" s="28" t="s">
        <v>27634</v>
      </c>
      <c r="M5612" s="28" t="s">
        <v>28049</v>
      </c>
      <c r="N5612" s="28" t="s">
        <v>27636</v>
      </c>
      <c r="O5612" s="28" t="s">
        <v>27637</v>
      </c>
      <c r="P5612" s="28" t="s">
        <v>28050</v>
      </c>
    </row>
    <row r="5613" spans="1:16" x14ac:dyDescent="0.25">
      <c r="A5613" s="28" t="s">
        <v>28051</v>
      </c>
      <c r="B5613" s="28" t="s">
        <v>28052</v>
      </c>
      <c r="C5613" s="28" t="s">
        <v>25143</v>
      </c>
      <c r="D5613" s="28" t="s">
        <v>6467</v>
      </c>
      <c r="E5613" s="28" t="s">
        <v>17614</v>
      </c>
      <c r="F5613" s="28" t="s">
        <v>21</v>
      </c>
      <c r="G5613" s="28" t="s">
        <v>39</v>
      </c>
      <c r="H5613" s="28" t="s">
        <v>27631</v>
      </c>
      <c r="I5613" s="28" t="s">
        <v>28053</v>
      </c>
      <c r="J5613" s="28" t="s">
        <v>39</v>
      </c>
      <c r="K5613" s="28" t="s">
        <v>27633</v>
      </c>
      <c r="L5613" s="28" t="s">
        <v>27634</v>
      </c>
      <c r="M5613" s="28" t="s">
        <v>28054</v>
      </c>
      <c r="N5613" s="28" t="s">
        <v>27636</v>
      </c>
      <c r="O5613" s="28" t="s">
        <v>27637</v>
      </c>
      <c r="P5613" s="28" t="s">
        <v>28055</v>
      </c>
    </row>
    <row r="5614" spans="1:16" x14ac:dyDescent="0.25">
      <c r="A5614" s="28" t="s">
        <v>28056</v>
      </c>
      <c r="B5614" s="28" t="s">
        <v>28057</v>
      </c>
      <c r="C5614" s="28" t="s">
        <v>25143</v>
      </c>
      <c r="D5614" s="28" t="s">
        <v>6467</v>
      </c>
      <c r="E5614" s="28" t="s">
        <v>17620</v>
      </c>
      <c r="F5614" s="28" t="s">
        <v>21</v>
      </c>
      <c r="G5614" s="28" t="s">
        <v>39</v>
      </c>
      <c r="H5614" s="28" t="s">
        <v>27631</v>
      </c>
      <c r="I5614" s="28" t="s">
        <v>28058</v>
      </c>
      <c r="J5614" s="28" t="s">
        <v>39</v>
      </c>
      <c r="K5614" s="28" t="s">
        <v>27633</v>
      </c>
      <c r="L5614" s="28" t="s">
        <v>27634</v>
      </c>
      <c r="M5614" s="28" t="s">
        <v>28059</v>
      </c>
      <c r="N5614" s="28" t="s">
        <v>27636</v>
      </c>
      <c r="O5614" s="28" t="s">
        <v>27637</v>
      </c>
      <c r="P5614" s="28" t="s">
        <v>28060</v>
      </c>
    </row>
    <row r="5615" spans="1:16" x14ac:dyDescent="0.25">
      <c r="A5615" s="28" t="s">
        <v>28061</v>
      </c>
      <c r="B5615" s="28" t="s">
        <v>28062</v>
      </c>
      <c r="C5615" s="28" t="s">
        <v>25143</v>
      </c>
      <c r="D5615" s="28" t="s">
        <v>6467</v>
      </c>
      <c r="E5615" s="28" t="s">
        <v>17626</v>
      </c>
      <c r="F5615" s="28" t="s">
        <v>21</v>
      </c>
      <c r="G5615" s="28" t="s">
        <v>39</v>
      </c>
      <c r="H5615" s="28" t="s">
        <v>27631</v>
      </c>
      <c r="I5615" s="28" t="s">
        <v>28063</v>
      </c>
      <c r="J5615" s="28" t="s">
        <v>39</v>
      </c>
      <c r="K5615" s="28" t="s">
        <v>27633</v>
      </c>
      <c r="L5615" s="28" t="s">
        <v>27634</v>
      </c>
      <c r="M5615" s="28" t="s">
        <v>28064</v>
      </c>
      <c r="N5615" s="28" t="s">
        <v>27636</v>
      </c>
      <c r="O5615" s="28" t="s">
        <v>27637</v>
      </c>
      <c r="P5615" s="28" t="s">
        <v>28065</v>
      </c>
    </row>
    <row r="5616" spans="1:16" x14ac:dyDescent="0.25">
      <c r="A5616" s="28" t="s">
        <v>28066</v>
      </c>
      <c r="B5616" s="28" t="s">
        <v>28067</v>
      </c>
      <c r="C5616" s="28" t="s">
        <v>25143</v>
      </c>
      <c r="D5616" s="28" t="s">
        <v>6467</v>
      </c>
      <c r="E5616" s="28" t="s">
        <v>17632</v>
      </c>
      <c r="F5616" s="28" t="s">
        <v>21</v>
      </c>
      <c r="G5616" s="28" t="s">
        <v>39</v>
      </c>
      <c r="H5616" s="28" t="s">
        <v>27631</v>
      </c>
      <c r="I5616" s="28" t="s">
        <v>28068</v>
      </c>
      <c r="J5616" s="28" t="s">
        <v>39</v>
      </c>
      <c r="K5616" s="28" t="s">
        <v>27633</v>
      </c>
      <c r="L5616" s="28" t="s">
        <v>27634</v>
      </c>
      <c r="M5616" s="28" t="s">
        <v>28069</v>
      </c>
      <c r="N5616" s="28" t="s">
        <v>27636</v>
      </c>
      <c r="O5616" s="28" t="s">
        <v>27637</v>
      </c>
      <c r="P5616" s="28" t="s">
        <v>28070</v>
      </c>
    </row>
    <row r="5617" spans="1:16" x14ac:dyDescent="0.25">
      <c r="A5617" s="28" t="s">
        <v>28071</v>
      </c>
      <c r="B5617" s="28" t="s">
        <v>28072</v>
      </c>
      <c r="C5617" s="28" t="s">
        <v>25143</v>
      </c>
      <c r="D5617" s="28" t="s">
        <v>6467</v>
      </c>
      <c r="E5617" s="28" t="s">
        <v>17638</v>
      </c>
      <c r="F5617" s="28" t="s">
        <v>21</v>
      </c>
      <c r="G5617" s="28" t="s">
        <v>39</v>
      </c>
      <c r="H5617" s="28" t="s">
        <v>27631</v>
      </c>
      <c r="I5617" s="28" t="s">
        <v>28073</v>
      </c>
      <c r="J5617" s="28" t="s">
        <v>39</v>
      </c>
      <c r="K5617" s="28" t="s">
        <v>27633</v>
      </c>
      <c r="L5617" s="28" t="s">
        <v>27634</v>
      </c>
      <c r="M5617" s="28" t="s">
        <v>28074</v>
      </c>
      <c r="N5617" s="28" t="s">
        <v>27636</v>
      </c>
      <c r="O5617" s="28" t="s">
        <v>27637</v>
      </c>
      <c r="P5617" s="28" t="s">
        <v>28075</v>
      </c>
    </row>
    <row r="5618" spans="1:16" x14ac:dyDescent="0.25">
      <c r="A5618" s="28" t="s">
        <v>28076</v>
      </c>
      <c r="B5618" s="28" t="s">
        <v>28077</v>
      </c>
      <c r="C5618" s="28" t="s">
        <v>25143</v>
      </c>
      <c r="D5618" s="28" t="s">
        <v>6467</v>
      </c>
      <c r="E5618" s="28" t="s">
        <v>17644</v>
      </c>
      <c r="F5618" s="28" t="s">
        <v>21</v>
      </c>
      <c r="G5618" s="28" t="s">
        <v>39</v>
      </c>
      <c r="H5618" s="28" t="s">
        <v>27631</v>
      </c>
      <c r="I5618" s="28" t="s">
        <v>28078</v>
      </c>
      <c r="J5618" s="28" t="s">
        <v>39</v>
      </c>
      <c r="K5618" s="28" t="s">
        <v>27633</v>
      </c>
      <c r="L5618" s="28" t="s">
        <v>27634</v>
      </c>
      <c r="M5618" s="28" t="s">
        <v>28079</v>
      </c>
      <c r="N5618" s="28" t="s">
        <v>27636</v>
      </c>
      <c r="O5618" s="28" t="s">
        <v>27637</v>
      </c>
      <c r="P5618" s="28" t="s">
        <v>28080</v>
      </c>
    </row>
    <row r="5619" spans="1:16" x14ac:dyDescent="0.25">
      <c r="A5619" s="28" t="s">
        <v>28081</v>
      </c>
      <c r="B5619" s="28" t="s">
        <v>28082</v>
      </c>
      <c r="C5619" s="28" t="s">
        <v>25143</v>
      </c>
      <c r="D5619" s="28" t="s">
        <v>6467</v>
      </c>
      <c r="E5619" s="28" t="s">
        <v>17650</v>
      </c>
      <c r="F5619" s="28" t="s">
        <v>21</v>
      </c>
      <c r="G5619" s="28" t="s">
        <v>39</v>
      </c>
      <c r="H5619" s="28" t="s">
        <v>27631</v>
      </c>
      <c r="I5619" s="28" t="s">
        <v>28083</v>
      </c>
      <c r="J5619" s="28" t="s">
        <v>39</v>
      </c>
      <c r="K5619" s="28" t="s">
        <v>27633</v>
      </c>
      <c r="L5619" s="28" t="s">
        <v>27634</v>
      </c>
      <c r="M5619" s="28" t="s">
        <v>28084</v>
      </c>
      <c r="N5619" s="28" t="s">
        <v>27636</v>
      </c>
      <c r="O5619" s="28" t="s">
        <v>27637</v>
      </c>
      <c r="P5619" s="28" t="s">
        <v>28085</v>
      </c>
    </row>
    <row r="5620" spans="1:16" x14ac:dyDescent="0.25">
      <c r="A5620" s="28" t="s">
        <v>28086</v>
      </c>
      <c r="B5620" s="28" t="s">
        <v>28087</v>
      </c>
      <c r="C5620" s="28" t="s">
        <v>25143</v>
      </c>
      <c r="D5620" s="28" t="s">
        <v>6467</v>
      </c>
      <c r="E5620" s="28" t="s">
        <v>17656</v>
      </c>
      <c r="F5620" s="28" t="s">
        <v>21</v>
      </c>
      <c r="G5620" s="28" t="s">
        <v>39</v>
      </c>
      <c r="H5620" s="28" t="s">
        <v>27631</v>
      </c>
      <c r="I5620" s="28" t="s">
        <v>28088</v>
      </c>
      <c r="J5620" s="28" t="s">
        <v>39</v>
      </c>
      <c r="K5620" s="28" t="s">
        <v>27633</v>
      </c>
      <c r="L5620" s="28" t="s">
        <v>27634</v>
      </c>
      <c r="M5620" s="28" t="s">
        <v>28089</v>
      </c>
      <c r="N5620" s="28" t="s">
        <v>27636</v>
      </c>
      <c r="O5620" s="28" t="s">
        <v>27637</v>
      </c>
      <c r="P5620" s="28" t="s">
        <v>28090</v>
      </c>
    </row>
    <row r="5621" spans="1:16" x14ac:dyDescent="0.25">
      <c r="A5621" s="28" t="s">
        <v>28091</v>
      </c>
      <c r="B5621" s="28" t="s">
        <v>28092</v>
      </c>
      <c r="C5621" s="28" t="s">
        <v>25143</v>
      </c>
      <c r="D5621" s="28" t="s">
        <v>6467</v>
      </c>
      <c r="E5621" s="28" t="s">
        <v>17662</v>
      </c>
      <c r="F5621" s="28" t="s">
        <v>21</v>
      </c>
      <c r="G5621" s="28" t="s">
        <v>39</v>
      </c>
      <c r="H5621" s="28" t="s">
        <v>27631</v>
      </c>
      <c r="I5621" s="28" t="s">
        <v>28093</v>
      </c>
      <c r="J5621" s="28" t="s">
        <v>39</v>
      </c>
      <c r="K5621" s="28" t="s">
        <v>27633</v>
      </c>
      <c r="L5621" s="28" t="s">
        <v>27634</v>
      </c>
      <c r="M5621" s="28" t="s">
        <v>28094</v>
      </c>
      <c r="N5621" s="28" t="s">
        <v>27636</v>
      </c>
      <c r="O5621" s="28" t="s">
        <v>27637</v>
      </c>
      <c r="P5621" s="28" t="s">
        <v>28095</v>
      </c>
    </row>
    <row r="5622" spans="1:16" x14ac:dyDescent="0.25">
      <c r="A5622" s="28" t="s">
        <v>28096</v>
      </c>
      <c r="B5622" s="28" t="s">
        <v>28097</v>
      </c>
      <c r="C5622" s="28" t="s">
        <v>25143</v>
      </c>
      <c r="D5622" s="28" t="s">
        <v>6467</v>
      </c>
      <c r="E5622" s="28" t="s">
        <v>17668</v>
      </c>
      <c r="F5622" s="28" t="s">
        <v>21</v>
      </c>
      <c r="G5622" s="28" t="s">
        <v>39</v>
      </c>
      <c r="H5622" s="28" t="s">
        <v>27631</v>
      </c>
      <c r="I5622" s="28" t="s">
        <v>28098</v>
      </c>
      <c r="J5622" s="28" t="s">
        <v>39</v>
      </c>
      <c r="K5622" s="28" t="s">
        <v>27633</v>
      </c>
      <c r="L5622" s="28" t="s">
        <v>27634</v>
      </c>
      <c r="M5622" s="28" t="s">
        <v>28099</v>
      </c>
      <c r="N5622" s="28" t="s">
        <v>27636</v>
      </c>
      <c r="O5622" s="28" t="s">
        <v>27637</v>
      </c>
      <c r="P5622" s="28" t="s">
        <v>28100</v>
      </c>
    </row>
    <row r="5623" spans="1:16" x14ac:dyDescent="0.25">
      <c r="A5623" s="28" t="s">
        <v>28101</v>
      </c>
      <c r="B5623" s="28" t="s">
        <v>28102</v>
      </c>
      <c r="C5623" s="28" t="s">
        <v>25143</v>
      </c>
      <c r="D5623" s="28" t="s">
        <v>4101</v>
      </c>
      <c r="E5623" s="28" t="s">
        <v>28103</v>
      </c>
      <c r="F5623" s="28" t="s">
        <v>21</v>
      </c>
      <c r="G5623" s="28" t="s">
        <v>39</v>
      </c>
      <c r="H5623" s="28" t="s">
        <v>27631</v>
      </c>
      <c r="I5623" s="28" t="s">
        <v>28104</v>
      </c>
      <c r="J5623" s="28" t="s">
        <v>39</v>
      </c>
      <c r="K5623" s="28" t="s">
        <v>27633</v>
      </c>
      <c r="L5623" s="28" t="s">
        <v>27634</v>
      </c>
      <c r="M5623" s="28" t="s">
        <v>28105</v>
      </c>
      <c r="N5623" s="28" t="s">
        <v>27636</v>
      </c>
      <c r="O5623" s="28" t="s">
        <v>27637</v>
      </c>
      <c r="P5623" s="28" t="s">
        <v>28106</v>
      </c>
    </row>
    <row r="5624" spans="1:16" x14ac:dyDescent="0.25">
      <c r="A5624" s="28" t="s">
        <v>28107</v>
      </c>
      <c r="B5624" s="28" t="s">
        <v>28108</v>
      </c>
      <c r="C5624" s="28" t="s">
        <v>25143</v>
      </c>
      <c r="D5624" s="28" t="s">
        <v>4101</v>
      </c>
      <c r="E5624" s="28" t="s">
        <v>28103</v>
      </c>
      <c r="F5624" s="28" t="s">
        <v>21</v>
      </c>
      <c r="G5624" s="28" t="s">
        <v>39</v>
      </c>
      <c r="H5624" s="28" t="s">
        <v>27631</v>
      </c>
      <c r="I5624" s="28" t="s">
        <v>28109</v>
      </c>
      <c r="J5624" s="28" t="s">
        <v>39</v>
      </c>
      <c r="K5624" s="28" t="s">
        <v>27633</v>
      </c>
      <c r="L5624" s="28" t="s">
        <v>27634</v>
      </c>
      <c r="M5624" s="28" t="s">
        <v>28110</v>
      </c>
      <c r="N5624" s="28" t="s">
        <v>27636</v>
      </c>
      <c r="O5624" s="28" t="s">
        <v>27637</v>
      </c>
      <c r="P5624" s="28" t="s">
        <v>28106</v>
      </c>
    </row>
    <row r="5625" spans="1:16" x14ac:dyDescent="0.25">
      <c r="A5625" s="28" t="s">
        <v>28111</v>
      </c>
      <c r="B5625" s="28" t="s">
        <v>28112</v>
      </c>
      <c r="C5625" s="28" t="s">
        <v>25143</v>
      </c>
      <c r="D5625" s="28" t="s">
        <v>4101</v>
      </c>
      <c r="E5625" s="28" t="s">
        <v>28103</v>
      </c>
      <c r="F5625" s="28" t="s">
        <v>21</v>
      </c>
      <c r="G5625" s="28" t="s">
        <v>39</v>
      </c>
      <c r="H5625" s="28" t="s">
        <v>27631</v>
      </c>
      <c r="I5625" s="28" t="s">
        <v>28113</v>
      </c>
      <c r="J5625" s="28" t="s">
        <v>39</v>
      </c>
      <c r="K5625" s="28" t="s">
        <v>27633</v>
      </c>
      <c r="L5625" s="28" t="s">
        <v>27634</v>
      </c>
      <c r="M5625" s="28" t="s">
        <v>28114</v>
      </c>
      <c r="N5625" s="28" t="s">
        <v>27636</v>
      </c>
      <c r="O5625" s="28" t="s">
        <v>27637</v>
      </c>
      <c r="P5625" s="28" t="s">
        <v>28106</v>
      </c>
    </row>
    <row r="5626" spans="1:16" x14ac:dyDescent="0.25">
      <c r="A5626" s="28" t="s">
        <v>28115</v>
      </c>
      <c r="B5626" s="28" t="s">
        <v>28116</v>
      </c>
      <c r="C5626" s="28" t="s">
        <v>25143</v>
      </c>
      <c r="D5626" s="28" t="s">
        <v>4101</v>
      </c>
      <c r="E5626" s="28" t="s">
        <v>28103</v>
      </c>
      <c r="F5626" s="28" t="s">
        <v>21</v>
      </c>
      <c r="G5626" s="28" t="s">
        <v>39</v>
      </c>
      <c r="H5626" s="28" t="s">
        <v>27631</v>
      </c>
      <c r="I5626" s="28" t="s">
        <v>28117</v>
      </c>
      <c r="J5626" s="28" t="s">
        <v>39</v>
      </c>
      <c r="K5626" s="28" t="s">
        <v>27633</v>
      </c>
      <c r="L5626" s="28" t="s">
        <v>27634</v>
      </c>
      <c r="M5626" s="28" t="s">
        <v>28118</v>
      </c>
      <c r="N5626" s="28" t="s">
        <v>27636</v>
      </c>
      <c r="O5626" s="28" t="s">
        <v>27637</v>
      </c>
      <c r="P5626" s="28" t="s">
        <v>28106</v>
      </c>
    </row>
    <row r="5627" spans="1:16" x14ac:dyDescent="0.25">
      <c r="A5627" s="28" t="s">
        <v>28119</v>
      </c>
      <c r="B5627" s="28" t="s">
        <v>28120</v>
      </c>
      <c r="C5627" s="28" t="s">
        <v>25143</v>
      </c>
      <c r="D5627" s="28" t="s">
        <v>4101</v>
      </c>
      <c r="E5627" s="28" t="s">
        <v>15519</v>
      </c>
      <c r="F5627" s="28" t="s">
        <v>21</v>
      </c>
      <c r="G5627" s="28" t="s">
        <v>39</v>
      </c>
      <c r="H5627" s="28" t="s">
        <v>27631</v>
      </c>
      <c r="I5627" s="28" t="s">
        <v>28121</v>
      </c>
      <c r="J5627" s="28" t="s">
        <v>39</v>
      </c>
      <c r="K5627" s="28" t="s">
        <v>27633</v>
      </c>
      <c r="L5627" s="28" t="s">
        <v>27634</v>
      </c>
      <c r="M5627" s="28" t="s">
        <v>28122</v>
      </c>
      <c r="N5627" s="28" t="s">
        <v>27636</v>
      </c>
      <c r="O5627" s="28" t="s">
        <v>27637</v>
      </c>
      <c r="P5627" s="28" t="s">
        <v>28123</v>
      </c>
    </row>
    <row r="5628" spans="1:16" x14ac:dyDescent="0.25">
      <c r="A5628" s="28" t="s">
        <v>28124</v>
      </c>
      <c r="B5628" s="28" t="s">
        <v>28125</v>
      </c>
      <c r="C5628" s="28" t="s">
        <v>25143</v>
      </c>
      <c r="D5628" s="28" t="s">
        <v>4101</v>
      </c>
      <c r="E5628" s="28" t="s">
        <v>28126</v>
      </c>
      <c r="F5628" s="28" t="s">
        <v>21</v>
      </c>
      <c r="G5628" s="28" t="s">
        <v>39</v>
      </c>
      <c r="H5628" s="28" t="s">
        <v>27631</v>
      </c>
      <c r="I5628" s="28" t="s">
        <v>28127</v>
      </c>
      <c r="J5628" s="28" t="s">
        <v>39</v>
      </c>
      <c r="K5628" s="28" t="s">
        <v>27633</v>
      </c>
      <c r="L5628" s="28" t="s">
        <v>27634</v>
      </c>
      <c r="M5628" s="28" t="s">
        <v>28128</v>
      </c>
      <c r="N5628" s="28" t="s">
        <v>27636</v>
      </c>
      <c r="O5628" s="28" t="s">
        <v>27637</v>
      </c>
      <c r="P5628" s="28" t="s">
        <v>28129</v>
      </c>
    </row>
    <row r="5629" spans="1:16" x14ac:dyDescent="0.25">
      <c r="A5629" s="28" t="s">
        <v>28130</v>
      </c>
      <c r="B5629" s="28" t="s">
        <v>28131</v>
      </c>
      <c r="C5629" s="28" t="s">
        <v>25143</v>
      </c>
      <c r="D5629" s="28" t="s">
        <v>4101</v>
      </c>
      <c r="E5629" s="28" t="s">
        <v>18267</v>
      </c>
      <c r="F5629" s="28" t="s">
        <v>21</v>
      </c>
      <c r="G5629" s="28" t="s">
        <v>39</v>
      </c>
      <c r="H5629" s="28" t="s">
        <v>27631</v>
      </c>
      <c r="I5629" s="28" t="s">
        <v>28132</v>
      </c>
      <c r="J5629" s="28" t="s">
        <v>39</v>
      </c>
      <c r="K5629" s="28" t="s">
        <v>27633</v>
      </c>
      <c r="L5629" s="28" t="s">
        <v>27634</v>
      </c>
      <c r="M5629" s="28" t="s">
        <v>28133</v>
      </c>
      <c r="N5629" s="28" t="s">
        <v>27636</v>
      </c>
      <c r="O5629" s="28" t="s">
        <v>27637</v>
      </c>
      <c r="P5629" s="28" t="s">
        <v>28134</v>
      </c>
    </row>
    <row r="5630" spans="1:16" x14ac:dyDescent="0.25">
      <c r="A5630" s="28" t="s">
        <v>28135</v>
      </c>
      <c r="B5630" s="28" t="s">
        <v>28136</v>
      </c>
      <c r="C5630" s="28" t="s">
        <v>25143</v>
      </c>
      <c r="D5630" s="28" t="s">
        <v>4101</v>
      </c>
      <c r="E5630" s="28" t="s">
        <v>7338</v>
      </c>
      <c r="F5630" s="28" t="s">
        <v>21</v>
      </c>
      <c r="G5630" s="28" t="s">
        <v>39</v>
      </c>
      <c r="H5630" s="28" t="s">
        <v>27631</v>
      </c>
      <c r="I5630" s="28" t="s">
        <v>28137</v>
      </c>
      <c r="J5630" s="28" t="s">
        <v>39</v>
      </c>
      <c r="K5630" s="28" t="s">
        <v>27633</v>
      </c>
      <c r="L5630" s="28" t="s">
        <v>27634</v>
      </c>
      <c r="M5630" s="28" t="s">
        <v>28138</v>
      </c>
      <c r="N5630" s="28" t="s">
        <v>27636</v>
      </c>
      <c r="O5630" s="28" t="s">
        <v>27637</v>
      </c>
      <c r="P5630" s="28" t="s">
        <v>28139</v>
      </c>
    </row>
    <row r="5631" spans="1:16" x14ac:dyDescent="0.25">
      <c r="A5631" s="28" t="s">
        <v>28140</v>
      </c>
      <c r="B5631" s="28" t="s">
        <v>28141</v>
      </c>
      <c r="C5631" s="28" t="s">
        <v>25143</v>
      </c>
      <c r="D5631" s="28" t="s">
        <v>4101</v>
      </c>
      <c r="E5631" s="28" t="s">
        <v>28142</v>
      </c>
      <c r="F5631" s="28" t="s">
        <v>21</v>
      </c>
      <c r="G5631" s="28" t="s">
        <v>39</v>
      </c>
      <c r="H5631" s="28" t="s">
        <v>27631</v>
      </c>
      <c r="I5631" s="28" t="s">
        <v>28143</v>
      </c>
      <c r="J5631" s="28" t="s">
        <v>39</v>
      </c>
      <c r="K5631" s="28" t="s">
        <v>27633</v>
      </c>
      <c r="L5631" s="28" t="s">
        <v>27634</v>
      </c>
      <c r="M5631" s="28" t="s">
        <v>28144</v>
      </c>
      <c r="N5631" s="28" t="s">
        <v>27636</v>
      </c>
      <c r="O5631" s="28" t="s">
        <v>27637</v>
      </c>
      <c r="P5631" s="28" t="s">
        <v>28145</v>
      </c>
    </row>
    <row r="5632" spans="1:16" x14ac:dyDescent="0.25">
      <c r="A5632" s="28" t="s">
        <v>28146</v>
      </c>
      <c r="B5632" s="28" t="s">
        <v>28147</v>
      </c>
      <c r="C5632" s="28" t="s">
        <v>25143</v>
      </c>
      <c r="D5632" s="28" t="s">
        <v>4101</v>
      </c>
      <c r="E5632" s="28" t="s">
        <v>17206</v>
      </c>
      <c r="F5632" s="28" t="s">
        <v>21</v>
      </c>
      <c r="G5632" s="28" t="s">
        <v>39</v>
      </c>
      <c r="H5632" s="28" t="s">
        <v>27631</v>
      </c>
      <c r="I5632" s="28" t="s">
        <v>28148</v>
      </c>
      <c r="J5632" s="28" t="s">
        <v>39</v>
      </c>
      <c r="K5632" s="28" t="s">
        <v>27633</v>
      </c>
      <c r="L5632" s="28" t="s">
        <v>27634</v>
      </c>
      <c r="M5632" s="28" t="s">
        <v>28149</v>
      </c>
      <c r="N5632" s="28" t="s">
        <v>27636</v>
      </c>
      <c r="O5632" s="28" t="s">
        <v>27637</v>
      </c>
      <c r="P5632" s="28" t="s">
        <v>28150</v>
      </c>
    </row>
    <row r="5633" spans="1:16" x14ac:dyDescent="0.25">
      <c r="A5633" s="28" t="s">
        <v>28151</v>
      </c>
      <c r="B5633" s="28" t="s">
        <v>28152</v>
      </c>
      <c r="C5633" s="28" t="s">
        <v>25143</v>
      </c>
      <c r="D5633" s="28" t="s">
        <v>4101</v>
      </c>
      <c r="E5633" s="28" t="s">
        <v>28153</v>
      </c>
      <c r="F5633" s="28" t="s">
        <v>21</v>
      </c>
      <c r="G5633" s="28" t="s">
        <v>39</v>
      </c>
      <c r="H5633" s="28" t="s">
        <v>27631</v>
      </c>
      <c r="I5633" s="28" t="s">
        <v>28154</v>
      </c>
      <c r="J5633" s="28" t="s">
        <v>39</v>
      </c>
      <c r="K5633" s="28" t="s">
        <v>27633</v>
      </c>
      <c r="L5633" s="28" t="s">
        <v>27634</v>
      </c>
      <c r="M5633" s="28" t="s">
        <v>28155</v>
      </c>
      <c r="N5633" s="28" t="s">
        <v>27636</v>
      </c>
      <c r="O5633" s="28" t="s">
        <v>27637</v>
      </c>
      <c r="P5633" s="28" t="s">
        <v>28156</v>
      </c>
    </row>
    <row r="5634" spans="1:16" x14ac:dyDescent="0.25">
      <c r="A5634" s="28" t="s">
        <v>28157</v>
      </c>
      <c r="B5634" s="28" t="s">
        <v>28158</v>
      </c>
      <c r="C5634" s="28" t="s">
        <v>25143</v>
      </c>
      <c r="D5634" s="28" t="s">
        <v>4101</v>
      </c>
      <c r="E5634" s="28" t="s">
        <v>28153</v>
      </c>
      <c r="F5634" s="28" t="s">
        <v>21</v>
      </c>
      <c r="G5634" s="28" t="s">
        <v>39</v>
      </c>
      <c r="H5634" s="28" t="s">
        <v>27631</v>
      </c>
      <c r="I5634" s="28" t="s">
        <v>28159</v>
      </c>
      <c r="J5634" s="28" t="s">
        <v>39</v>
      </c>
      <c r="K5634" s="28" t="s">
        <v>27633</v>
      </c>
      <c r="L5634" s="28" t="s">
        <v>27634</v>
      </c>
      <c r="M5634" s="28" t="s">
        <v>28160</v>
      </c>
      <c r="N5634" s="28" t="s">
        <v>27636</v>
      </c>
      <c r="O5634" s="28" t="s">
        <v>27637</v>
      </c>
      <c r="P5634" s="28" t="s">
        <v>28156</v>
      </c>
    </row>
    <row r="5635" spans="1:16" x14ac:dyDescent="0.25">
      <c r="A5635" s="28" t="s">
        <v>28161</v>
      </c>
      <c r="B5635" s="28" t="s">
        <v>28162</v>
      </c>
      <c r="C5635" s="28" t="s">
        <v>25143</v>
      </c>
      <c r="D5635" s="28" t="s">
        <v>4101</v>
      </c>
      <c r="E5635" s="28" t="s">
        <v>28163</v>
      </c>
      <c r="F5635" s="28" t="s">
        <v>21</v>
      </c>
      <c r="G5635" s="28" t="s">
        <v>39</v>
      </c>
      <c r="H5635" s="28" t="s">
        <v>27631</v>
      </c>
      <c r="I5635" s="28" t="s">
        <v>28164</v>
      </c>
      <c r="J5635" s="28" t="s">
        <v>39</v>
      </c>
      <c r="K5635" s="28" t="s">
        <v>27633</v>
      </c>
      <c r="L5635" s="28" t="s">
        <v>27634</v>
      </c>
      <c r="M5635" s="28" t="s">
        <v>28165</v>
      </c>
      <c r="N5635" s="28" t="s">
        <v>27636</v>
      </c>
      <c r="O5635" s="28" t="s">
        <v>27637</v>
      </c>
      <c r="P5635" s="28" t="s">
        <v>28166</v>
      </c>
    </row>
    <row r="5636" spans="1:16" x14ac:dyDescent="0.25">
      <c r="A5636" s="28" t="s">
        <v>28167</v>
      </c>
      <c r="B5636" s="28" t="s">
        <v>28168</v>
      </c>
      <c r="C5636" s="28" t="s">
        <v>25143</v>
      </c>
      <c r="D5636" s="28" t="s">
        <v>4101</v>
      </c>
      <c r="E5636" s="28" t="s">
        <v>7376</v>
      </c>
      <c r="F5636" s="28" t="s">
        <v>21</v>
      </c>
      <c r="G5636" s="28" t="s">
        <v>39</v>
      </c>
      <c r="H5636" s="28" t="s">
        <v>27631</v>
      </c>
      <c r="I5636" s="28" t="s">
        <v>28169</v>
      </c>
      <c r="J5636" s="28" t="s">
        <v>39</v>
      </c>
      <c r="K5636" s="28" t="s">
        <v>27633</v>
      </c>
      <c r="L5636" s="28" t="s">
        <v>27634</v>
      </c>
      <c r="M5636" s="28" t="s">
        <v>28170</v>
      </c>
      <c r="N5636" s="28" t="s">
        <v>27636</v>
      </c>
      <c r="O5636" s="28" t="s">
        <v>27637</v>
      </c>
      <c r="P5636" s="28" t="s">
        <v>28171</v>
      </c>
    </row>
    <row r="5637" spans="1:16" x14ac:dyDescent="0.25">
      <c r="A5637" s="28" t="s">
        <v>28172</v>
      </c>
      <c r="B5637" s="28" t="s">
        <v>28173</v>
      </c>
      <c r="C5637" s="28" t="s">
        <v>25143</v>
      </c>
      <c r="D5637" s="28" t="s">
        <v>4101</v>
      </c>
      <c r="E5637" s="28" t="s">
        <v>7357</v>
      </c>
      <c r="F5637" s="28" t="s">
        <v>21</v>
      </c>
      <c r="G5637" s="28" t="s">
        <v>39</v>
      </c>
      <c r="H5637" s="28" t="s">
        <v>27631</v>
      </c>
      <c r="I5637" s="28" t="s">
        <v>28174</v>
      </c>
      <c r="J5637" s="28" t="s">
        <v>39</v>
      </c>
      <c r="K5637" s="28" t="s">
        <v>27633</v>
      </c>
      <c r="L5637" s="28" t="s">
        <v>27634</v>
      </c>
      <c r="M5637" s="28" t="s">
        <v>28175</v>
      </c>
      <c r="N5637" s="28" t="s">
        <v>27636</v>
      </c>
      <c r="O5637" s="28" t="s">
        <v>27637</v>
      </c>
      <c r="P5637" s="28" t="s">
        <v>28176</v>
      </c>
    </row>
    <row r="5638" spans="1:16" x14ac:dyDescent="0.25">
      <c r="A5638" s="28" t="s">
        <v>28177</v>
      </c>
      <c r="B5638" s="28" t="s">
        <v>28178</v>
      </c>
      <c r="C5638" s="28" t="s">
        <v>25143</v>
      </c>
      <c r="D5638" s="28" t="s">
        <v>4101</v>
      </c>
      <c r="E5638" s="28" t="s">
        <v>21312</v>
      </c>
      <c r="F5638" s="28" t="s">
        <v>21</v>
      </c>
      <c r="G5638" s="28" t="s">
        <v>39</v>
      </c>
      <c r="H5638" s="28" t="s">
        <v>27631</v>
      </c>
      <c r="I5638" s="28" t="s">
        <v>28179</v>
      </c>
      <c r="J5638" s="28" t="s">
        <v>39</v>
      </c>
      <c r="K5638" s="28" t="s">
        <v>27633</v>
      </c>
      <c r="L5638" s="28" t="s">
        <v>27634</v>
      </c>
      <c r="M5638" s="28" t="s">
        <v>28180</v>
      </c>
      <c r="N5638" s="28" t="s">
        <v>27636</v>
      </c>
      <c r="O5638" s="28" t="s">
        <v>27637</v>
      </c>
      <c r="P5638" s="28" t="s">
        <v>28181</v>
      </c>
    </row>
    <row r="5639" spans="1:16" x14ac:dyDescent="0.25">
      <c r="A5639" s="28" t="s">
        <v>28182</v>
      </c>
      <c r="B5639" s="28" t="s">
        <v>28183</v>
      </c>
      <c r="C5639" s="28" t="s">
        <v>25143</v>
      </c>
      <c r="D5639" s="28" t="s">
        <v>4101</v>
      </c>
      <c r="E5639" s="28" t="s">
        <v>28184</v>
      </c>
      <c r="F5639" s="28" t="s">
        <v>21</v>
      </c>
      <c r="G5639" s="28" t="s">
        <v>39</v>
      </c>
      <c r="H5639" s="28" t="s">
        <v>27631</v>
      </c>
      <c r="I5639" s="28" t="s">
        <v>28185</v>
      </c>
      <c r="J5639" s="28" t="s">
        <v>39</v>
      </c>
      <c r="K5639" s="28" t="s">
        <v>27633</v>
      </c>
      <c r="L5639" s="28" t="s">
        <v>27634</v>
      </c>
      <c r="M5639" s="28" t="s">
        <v>28186</v>
      </c>
      <c r="N5639" s="28" t="s">
        <v>27636</v>
      </c>
      <c r="O5639" s="28" t="s">
        <v>27637</v>
      </c>
      <c r="P5639" s="28" t="s">
        <v>28187</v>
      </c>
    </row>
    <row r="5640" spans="1:16" x14ac:dyDescent="0.25">
      <c r="A5640" s="28" t="s">
        <v>28188</v>
      </c>
      <c r="B5640" s="28" t="s">
        <v>28189</v>
      </c>
      <c r="C5640" s="28" t="s">
        <v>25143</v>
      </c>
      <c r="D5640" s="28" t="s">
        <v>4101</v>
      </c>
      <c r="E5640" s="28" t="s">
        <v>7383</v>
      </c>
      <c r="F5640" s="28" t="s">
        <v>21</v>
      </c>
      <c r="G5640" s="28" t="s">
        <v>39</v>
      </c>
      <c r="H5640" s="28" t="s">
        <v>27631</v>
      </c>
      <c r="I5640" s="28" t="s">
        <v>28190</v>
      </c>
      <c r="J5640" s="28" t="s">
        <v>39</v>
      </c>
      <c r="K5640" s="28" t="s">
        <v>27633</v>
      </c>
      <c r="L5640" s="28" t="s">
        <v>27634</v>
      </c>
      <c r="M5640" s="28" t="s">
        <v>28191</v>
      </c>
      <c r="N5640" s="28" t="s">
        <v>27636</v>
      </c>
      <c r="O5640" s="28" t="s">
        <v>27637</v>
      </c>
      <c r="P5640" s="28" t="s">
        <v>28192</v>
      </c>
    </row>
    <row r="5641" spans="1:16" x14ac:dyDescent="0.25">
      <c r="A5641" s="28" t="s">
        <v>28193</v>
      </c>
      <c r="B5641" s="28" t="s">
        <v>28194</v>
      </c>
      <c r="C5641" s="28" t="s">
        <v>25143</v>
      </c>
      <c r="D5641" s="28" t="s">
        <v>4101</v>
      </c>
      <c r="E5641" s="28" t="s">
        <v>7417</v>
      </c>
      <c r="F5641" s="28" t="s">
        <v>21</v>
      </c>
      <c r="G5641" s="28" t="s">
        <v>39</v>
      </c>
      <c r="H5641" s="28" t="s">
        <v>27631</v>
      </c>
      <c r="I5641" s="28" t="s">
        <v>28195</v>
      </c>
      <c r="J5641" s="28" t="s">
        <v>39</v>
      </c>
      <c r="K5641" s="28" t="s">
        <v>27633</v>
      </c>
      <c r="L5641" s="28" t="s">
        <v>27634</v>
      </c>
      <c r="M5641" s="28" t="s">
        <v>28196</v>
      </c>
      <c r="N5641" s="28" t="s">
        <v>27636</v>
      </c>
      <c r="O5641" s="28" t="s">
        <v>27637</v>
      </c>
      <c r="P5641" s="28" t="s">
        <v>28197</v>
      </c>
    </row>
    <row r="5642" spans="1:16" x14ac:dyDescent="0.25">
      <c r="A5642" s="28" t="s">
        <v>28198</v>
      </c>
      <c r="B5642" s="28" t="s">
        <v>28199</v>
      </c>
      <c r="C5642" s="28" t="s">
        <v>25143</v>
      </c>
      <c r="D5642" s="28" t="s">
        <v>4101</v>
      </c>
      <c r="E5642" s="28" t="s">
        <v>7350</v>
      </c>
      <c r="F5642" s="28" t="s">
        <v>21</v>
      </c>
      <c r="G5642" s="28" t="s">
        <v>39</v>
      </c>
      <c r="H5642" s="28" t="s">
        <v>27631</v>
      </c>
      <c r="I5642" s="28" t="s">
        <v>28200</v>
      </c>
      <c r="J5642" s="28" t="s">
        <v>39</v>
      </c>
      <c r="K5642" s="28" t="s">
        <v>27633</v>
      </c>
      <c r="L5642" s="28" t="s">
        <v>27634</v>
      </c>
      <c r="M5642" s="28" t="s">
        <v>28201</v>
      </c>
      <c r="N5642" s="28" t="s">
        <v>27636</v>
      </c>
      <c r="O5642" s="28" t="s">
        <v>27637</v>
      </c>
      <c r="P5642" s="28" t="s">
        <v>28202</v>
      </c>
    </row>
    <row r="5643" spans="1:16" x14ac:dyDescent="0.25">
      <c r="A5643" s="28" t="s">
        <v>28203</v>
      </c>
      <c r="B5643" s="28" t="s">
        <v>28204</v>
      </c>
      <c r="C5643" s="28" t="s">
        <v>25143</v>
      </c>
      <c r="D5643" s="28" t="s">
        <v>4101</v>
      </c>
      <c r="E5643" s="28" t="s">
        <v>28205</v>
      </c>
      <c r="F5643" s="28" t="s">
        <v>21</v>
      </c>
      <c r="G5643" s="28" t="s">
        <v>39</v>
      </c>
      <c r="H5643" s="28" t="s">
        <v>27631</v>
      </c>
      <c r="I5643" s="28" t="s">
        <v>28206</v>
      </c>
      <c r="J5643" s="28" t="s">
        <v>39</v>
      </c>
      <c r="K5643" s="28" t="s">
        <v>27633</v>
      </c>
      <c r="L5643" s="28" t="s">
        <v>27634</v>
      </c>
      <c r="M5643" s="28" t="s">
        <v>28207</v>
      </c>
      <c r="N5643" s="28" t="s">
        <v>27636</v>
      </c>
      <c r="O5643" s="28" t="s">
        <v>27637</v>
      </c>
      <c r="P5643" s="28" t="s">
        <v>28208</v>
      </c>
    </row>
    <row r="5644" spans="1:16" x14ac:dyDescent="0.25">
      <c r="A5644" s="28" t="s">
        <v>28209</v>
      </c>
      <c r="B5644" s="28" t="s">
        <v>28210</v>
      </c>
      <c r="C5644" s="28" t="s">
        <v>25143</v>
      </c>
      <c r="D5644" s="28" t="s">
        <v>4101</v>
      </c>
      <c r="E5644" s="28" t="s">
        <v>28205</v>
      </c>
      <c r="F5644" s="28" t="s">
        <v>21</v>
      </c>
      <c r="G5644" s="28" t="s">
        <v>39</v>
      </c>
      <c r="H5644" s="28" t="s">
        <v>27631</v>
      </c>
      <c r="I5644" s="28" t="s">
        <v>28211</v>
      </c>
      <c r="J5644" s="28" t="s">
        <v>39</v>
      </c>
      <c r="K5644" s="28" t="s">
        <v>27633</v>
      </c>
      <c r="L5644" s="28" t="s">
        <v>27634</v>
      </c>
      <c r="M5644" s="28" t="s">
        <v>28212</v>
      </c>
      <c r="N5644" s="28" t="s">
        <v>27636</v>
      </c>
      <c r="O5644" s="28" t="s">
        <v>27637</v>
      </c>
      <c r="P5644" s="28" t="s">
        <v>28208</v>
      </c>
    </row>
    <row r="5645" spans="1:16" x14ac:dyDescent="0.25">
      <c r="A5645" s="28" t="s">
        <v>28213</v>
      </c>
      <c r="B5645" s="28" t="s">
        <v>28214</v>
      </c>
      <c r="C5645" s="28" t="s">
        <v>25143</v>
      </c>
      <c r="D5645" s="28" t="s">
        <v>4101</v>
      </c>
      <c r="E5645" s="28" t="s">
        <v>28205</v>
      </c>
      <c r="F5645" s="28" t="s">
        <v>21</v>
      </c>
      <c r="G5645" s="28" t="s">
        <v>39</v>
      </c>
      <c r="H5645" s="28" t="s">
        <v>27631</v>
      </c>
      <c r="I5645" s="28" t="s">
        <v>28215</v>
      </c>
      <c r="J5645" s="28" t="s">
        <v>39</v>
      </c>
      <c r="K5645" s="28" t="s">
        <v>27633</v>
      </c>
      <c r="L5645" s="28" t="s">
        <v>27634</v>
      </c>
      <c r="M5645" s="28" t="s">
        <v>28216</v>
      </c>
      <c r="N5645" s="28" t="s">
        <v>27636</v>
      </c>
      <c r="O5645" s="28" t="s">
        <v>27637</v>
      </c>
      <c r="P5645" s="28" t="s">
        <v>28208</v>
      </c>
    </row>
    <row r="5646" spans="1:16" x14ac:dyDescent="0.25">
      <c r="A5646" s="28" t="s">
        <v>28217</v>
      </c>
      <c r="B5646" s="28" t="s">
        <v>28218</v>
      </c>
      <c r="C5646" s="28" t="s">
        <v>25143</v>
      </c>
      <c r="D5646" s="28" t="s">
        <v>4101</v>
      </c>
      <c r="E5646" s="28" t="s">
        <v>28205</v>
      </c>
      <c r="F5646" s="28" t="s">
        <v>21</v>
      </c>
      <c r="G5646" s="28" t="s">
        <v>39</v>
      </c>
      <c r="H5646" s="28" t="s">
        <v>27631</v>
      </c>
      <c r="I5646" s="28" t="s">
        <v>28219</v>
      </c>
      <c r="J5646" s="28" t="s">
        <v>39</v>
      </c>
      <c r="K5646" s="28" t="s">
        <v>27633</v>
      </c>
      <c r="L5646" s="28" t="s">
        <v>27634</v>
      </c>
      <c r="M5646" s="28" t="s">
        <v>28220</v>
      </c>
      <c r="N5646" s="28" t="s">
        <v>27636</v>
      </c>
      <c r="O5646" s="28" t="s">
        <v>27637</v>
      </c>
      <c r="P5646" s="28" t="s">
        <v>28208</v>
      </c>
    </row>
    <row r="5647" spans="1:16" x14ac:dyDescent="0.25">
      <c r="A5647" s="28" t="s">
        <v>28221</v>
      </c>
      <c r="B5647" s="28" t="s">
        <v>28222</v>
      </c>
      <c r="C5647" s="28" t="s">
        <v>25143</v>
      </c>
      <c r="D5647" s="28" t="s">
        <v>4101</v>
      </c>
      <c r="E5647" s="28" t="s">
        <v>28205</v>
      </c>
      <c r="F5647" s="28" t="s">
        <v>21</v>
      </c>
      <c r="G5647" s="28" t="s">
        <v>39</v>
      </c>
      <c r="H5647" s="28" t="s">
        <v>27631</v>
      </c>
      <c r="I5647" s="28" t="s">
        <v>28223</v>
      </c>
      <c r="J5647" s="28" t="s">
        <v>39</v>
      </c>
      <c r="K5647" s="28" t="s">
        <v>27633</v>
      </c>
      <c r="L5647" s="28" t="s">
        <v>27634</v>
      </c>
      <c r="M5647" s="28" t="s">
        <v>28224</v>
      </c>
      <c r="N5647" s="28" t="s">
        <v>27636</v>
      </c>
      <c r="O5647" s="28" t="s">
        <v>27637</v>
      </c>
      <c r="P5647" s="28" t="s">
        <v>28208</v>
      </c>
    </row>
    <row r="5648" spans="1:16" x14ac:dyDescent="0.25">
      <c r="A5648" s="28" t="s">
        <v>28225</v>
      </c>
      <c r="B5648" s="28" t="s">
        <v>28226</v>
      </c>
      <c r="C5648" s="28" t="s">
        <v>25143</v>
      </c>
      <c r="D5648" s="28" t="s">
        <v>4101</v>
      </c>
      <c r="E5648" s="28" t="s">
        <v>28205</v>
      </c>
      <c r="F5648" s="28" t="s">
        <v>21</v>
      </c>
      <c r="G5648" s="28" t="s">
        <v>39</v>
      </c>
      <c r="H5648" s="28" t="s">
        <v>27631</v>
      </c>
      <c r="I5648" s="28" t="s">
        <v>28227</v>
      </c>
      <c r="J5648" s="28" t="s">
        <v>39</v>
      </c>
      <c r="K5648" s="28" t="s">
        <v>27633</v>
      </c>
      <c r="L5648" s="28" t="s">
        <v>27634</v>
      </c>
      <c r="M5648" s="28" t="s">
        <v>28228</v>
      </c>
      <c r="N5648" s="28" t="s">
        <v>27636</v>
      </c>
      <c r="O5648" s="28" t="s">
        <v>27637</v>
      </c>
      <c r="P5648" s="28" t="s">
        <v>28208</v>
      </c>
    </row>
    <row r="5649" spans="1:16" x14ac:dyDescent="0.25">
      <c r="A5649" s="28" t="s">
        <v>28229</v>
      </c>
      <c r="B5649" s="28" t="s">
        <v>28230</v>
      </c>
      <c r="C5649" s="28" t="s">
        <v>25143</v>
      </c>
      <c r="D5649" s="28" t="s">
        <v>4101</v>
      </c>
      <c r="E5649" s="28" t="s">
        <v>28205</v>
      </c>
      <c r="F5649" s="28" t="s">
        <v>21</v>
      </c>
      <c r="G5649" s="28" t="s">
        <v>39</v>
      </c>
      <c r="H5649" s="28" t="s">
        <v>27631</v>
      </c>
      <c r="I5649" s="28" t="s">
        <v>28231</v>
      </c>
      <c r="J5649" s="28" t="s">
        <v>39</v>
      </c>
      <c r="K5649" s="28" t="s">
        <v>27633</v>
      </c>
      <c r="L5649" s="28" t="s">
        <v>27634</v>
      </c>
      <c r="M5649" s="28" t="s">
        <v>28232</v>
      </c>
      <c r="N5649" s="28" t="s">
        <v>27636</v>
      </c>
      <c r="O5649" s="28" t="s">
        <v>27637</v>
      </c>
      <c r="P5649" s="28" t="s">
        <v>28208</v>
      </c>
    </row>
    <row r="5650" spans="1:16" x14ac:dyDescent="0.25">
      <c r="A5650" s="28" t="s">
        <v>28233</v>
      </c>
      <c r="B5650" s="28" t="s">
        <v>28234</v>
      </c>
      <c r="C5650" s="28" t="s">
        <v>25143</v>
      </c>
      <c r="D5650" s="28" t="s">
        <v>4101</v>
      </c>
      <c r="E5650" s="28" t="s">
        <v>28235</v>
      </c>
      <c r="F5650" s="28" t="s">
        <v>21</v>
      </c>
      <c r="G5650" s="28" t="s">
        <v>39</v>
      </c>
      <c r="H5650" s="28" t="s">
        <v>27631</v>
      </c>
      <c r="I5650" s="28" t="s">
        <v>28236</v>
      </c>
      <c r="J5650" s="28" t="s">
        <v>39</v>
      </c>
      <c r="K5650" s="28" t="s">
        <v>27633</v>
      </c>
      <c r="L5650" s="28" t="s">
        <v>27634</v>
      </c>
      <c r="M5650" s="28" t="s">
        <v>28237</v>
      </c>
      <c r="N5650" s="28" t="s">
        <v>27636</v>
      </c>
      <c r="O5650" s="28" t="s">
        <v>27637</v>
      </c>
      <c r="P5650" s="28" t="s">
        <v>28238</v>
      </c>
    </row>
    <row r="5651" spans="1:16" x14ac:dyDescent="0.25">
      <c r="A5651" s="28" t="s">
        <v>28239</v>
      </c>
      <c r="B5651" s="28" t="s">
        <v>28240</v>
      </c>
      <c r="C5651" s="28" t="s">
        <v>25143</v>
      </c>
      <c r="D5651" s="28" t="s">
        <v>4101</v>
      </c>
      <c r="E5651" s="28" t="s">
        <v>7396</v>
      </c>
      <c r="F5651" s="28" t="s">
        <v>21</v>
      </c>
      <c r="G5651" s="28" t="s">
        <v>39</v>
      </c>
      <c r="H5651" s="28" t="s">
        <v>27631</v>
      </c>
      <c r="I5651" s="28" t="s">
        <v>28241</v>
      </c>
      <c r="J5651" s="28" t="s">
        <v>39</v>
      </c>
      <c r="K5651" s="28" t="s">
        <v>27633</v>
      </c>
      <c r="L5651" s="28" t="s">
        <v>27634</v>
      </c>
      <c r="M5651" s="28" t="s">
        <v>28242</v>
      </c>
      <c r="N5651" s="28" t="s">
        <v>27636</v>
      </c>
      <c r="O5651" s="28" t="s">
        <v>27637</v>
      </c>
      <c r="P5651" s="28" t="s">
        <v>28243</v>
      </c>
    </row>
    <row r="5652" spans="1:16" x14ac:dyDescent="0.25">
      <c r="A5652" s="28" t="s">
        <v>28244</v>
      </c>
      <c r="B5652" s="28" t="s">
        <v>28245</v>
      </c>
      <c r="C5652" s="28" t="s">
        <v>25143</v>
      </c>
      <c r="D5652" s="28" t="s">
        <v>4101</v>
      </c>
      <c r="E5652" s="28" t="s">
        <v>28246</v>
      </c>
      <c r="F5652" s="28" t="s">
        <v>21</v>
      </c>
      <c r="G5652" s="28" t="s">
        <v>39</v>
      </c>
      <c r="H5652" s="28" t="s">
        <v>27631</v>
      </c>
      <c r="I5652" s="28" t="s">
        <v>28247</v>
      </c>
      <c r="J5652" s="28" t="s">
        <v>39</v>
      </c>
      <c r="K5652" s="28" t="s">
        <v>27633</v>
      </c>
      <c r="L5652" s="28" t="s">
        <v>27634</v>
      </c>
      <c r="M5652" s="28" t="s">
        <v>28248</v>
      </c>
      <c r="N5652" s="28" t="s">
        <v>27636</v>
      </c>
      <c r="O5652" s="28" t="s">
        <v>27637</v>
      </c>
      <c r="P5652" s="28" t="s">
        <v>28249</v>
      </c>
    </row>
    <row r="5653" spans="1:16" x14ac:dyDescent="0.25">
      <c r="A5653" s="28" t="s">
        <v>28250</v>
      </c>
      <c r="B5653" s="28" t="s">
        <v>28251</v>
      </c>
      <c r="C5653" s="28" t="s">
        <v>25143</v>
      </c>
      <c r="D5653" s="28" t="s">
        <v>4101</v>
      </c>
      <c r="E5653" s="28" t="s">
        <v>28252</v>
      </c>
      <c r="F5653" s="28" t="s">
        <v>21</v>
      </c>
      <c r="G5653" s="28" t="s">
        <v>39</v>
      </c>
      <c r="H5653" s="28" t="s">
        <v>27631</v>
      </c>
      <c r="I5653" s="28" t="s">
        <v>28253</v>
      </c>
      <c r="J5653" s="28" t="s">
        <v>39</v>
      </c>
      <c r="K5653" s="28" t="s">
        <v>27633</v>
      </c>
      <c r="L5653" s="28" t="s">
        <v>27634</v>
      </c>
      <c r="M5653" s="28" t="s">
        <v>28254</v>
      </c>
      <c r="N5653" s="28" t="s">
        <v>27636</v>
      </c>
      <c r="O5653" s="28" t="s">
        <v>27637</v>
      </c>
      <c r="P5653" s="28" t="s">
        <v>28255</v>
      </c>
    </row>
    <row r="5654" spans="1:16" x14ac:dyDescent="0.25">
      <c r="A5654" s="28" t="s">
        <v>28256</v>
      </c>
      <c r="B5654" s="28" t="s">
        <v>28257</v>
      </c>
      <c r="C5654" s="28" t="s">
        <v>25143</v>
      </c>
      <c r="D5654" s="28" t="s">
        <v>4101</v>
      </c>
      <c r="E5654" s="28" t="s">
        <v>28252</v>
      </c>
      <c r="F5654" s="28" t="s">
        <v>21</v>
      </c>
      <c r="G5654" s="28" t="s">
        <v>39</v>
      </c>
      <c r="H5654" s="28" t="s">
        <v>27631</v>
      </c>
      <c r="I5654" s="28" t="s">
        <v>28258</v>
      </c>
      <c r="J5654" s="28" t="s">
        <v>39</v>
      </c>
      <c r="K5654" s="28" t="s">
        <v>27633</v>
      </c>
      <c r="L5654" s="28" t="s">
        <v>27634</v>
      </c>
      <c r="M5654" s="28" t="s">
        <v>28259</v>
      </c>
      <c r="N5654" s="28" t="s">
        <v>27636</v>
      </c>
      <c r="O5654" s="28" t="s">
        <v>27637</v>
      </c>
      <c r="P5654" s="28" t="s">
        <v>28255</v>
      </c>
    </row>
    <row r="5655" spans="1:16" x14ac:dyDescent="0.25">
      <c r="A5655" s="28" t="s">
        <v>28260</v>
      </c>
      <c r="B5655" s="28" t="s">
        <v>28261</v>
      </c>
      <c r="C5655" s="28" t="s">
        <v>25143</v>
      </c>
      <c r="D5655" s="28" t="s">
        <v>4101</v>
      </c>
      <c r="E5655" s="28" t="s">
        <v>28252</v>
      </c>
      <c r="F5655" s="28" t="s">
        <v>21</v>
      </c>
      <c r="G5655" s="28" t="s">
        <v>39</v>
      </c>
      <c r="H5655" s="28" t="s">
        <v>27631</v>
      </c>
      <c r="I5655" s="28" t="s">
        <v>28262</v>
      </c>
      <c r="J5655" s="28" t="s">
        <v>39</v>
      </c>
      <c r="K5655" s="28" t="s">
        <v>27633</v>
      </c>
      <c r="L5655" s="28" t="s">
        <v>27634</v>
      </c>
      <c r="M5655" s="28" t="s">
        <v>28263</v>
      </c>
      <c r="N5655" s="28" t="s">
        <v>27636</v>
      </c>
      <c r="O5655" s="28" t="s">
        <v>27637</v>
      </c>
      <c r="P5655" s="28" t="s">
        <v>28255</v>
      </c>
    </row>
    <row r="5656" spans="1:16" x14ac:dyDescent="0.25">
      <c r="A5656" s="28" t="s">
        <v>28264</v>
      </c>
      <c r="B5656" s="28" t="s">
        <v>28265</v>
      </c>
      <c r="C5656" s="28" t="s">
        <v>25143</v>
      </c>
      <c r="D5656" s="28" t="s">
        <v>4101</v>
      </c>
      <c r="E5656" s="28" t="s">
        <v>21318</v>
      </c>
      <c r="F5656" s="28" t="s">
        <v>21</v>
      </c>
      <c r="G5656" s="28" t="s">
        <v>39</v>
      </c>
      <c r="H5656" s="28" t="s">
        <v>27631</v>
      </c>
      <c r="I5656" s="28" t="s">
        <v>28266</v>
      </c>
      <c r="J5656" s="28" t="s">
        <v>39</v>
      </c>
      <c r="K5656" s="28" t="s">
        <v>27633</v>
      </c>
      <c r="L5656" s="28" t="s">
        <v>27634</v>
      </c>
      <c r="M5656" s="28" t="s">
        <v>28267</v>
      </c>
      <c r="N5656" s="28" t="s">
        <v>27636</v>
      </c>
      <c r="O5656" s="28" t="s">
        <v>27637</v>
      </c>
      <c r="P5656" s="28" t="s">
        <v>28268</v>
      </c>
    </row>
    <row r="5657" spans="1:16" x14ac:dyDescent="0.25">
      <c r="A5657" s="28" t="s">
        <v>28269</v>
      </c>
      <c r="B5657" s="28" t="s">
        <v>28270</v>
      </c>
      <c r="C5657" s="28" t="s">
        <v>25143</v>
      </c>
      <c r="D5657" s="28" t="s">
        <v>4101</v>
      </c>
      <c r="E5657" s="28" t="s">
        <v>7403</v>
      </c>
      <c r="F5657" s="28" t="s">
        <v>21</v>
      </c>
      <c r="G5657" s="28" t="s">
        <v>39</v>
      </c>
      <c r="H5657" s="28" t="s">
        <v>27631</v>
      </c>
      <c r="I5657" s="28" t="s">
        <v>28271</v>
      </c>
      <c r="J5657" s="28" t="s">
        <v>39</v>
      </c>
      <c r="K5657" s="28" t="s">
        <v>27633</v>
      </c>
      <c r="L5657" s="28" t="s">
        <v>27634</v>
      </c>
      <c r="M5657" s="28" t="s">
        <v>28272</v>
      </c>
      <c r="N5657" s="28" t="s">
        <v>27636</v>
      </c>
      <c r="O5657" s="28" t="s">
        <v>27637</v>
      </c>
      <c r="P5657" s="28" t="s">
        <v>28273</v>
      </c>
    </row>
    <row r="5658" spans="1:16" x14ac:dyDescent="0.25">
      <c r="A5658" s="28" t="s">
        <v>28274</v>
      </c>
      <c r="B5658" s="28" t="s">
        <v>28275</v>
      </c>
      <c r="C5658" s="28" t="s">
        <v>25143</v>
      </c>
      <c r="D5658" s="28" t="s">
        <v>4101</v>
      </c>
      <c r="E5658" s="28" t="s">
        <v>7325</v>
      </c>
      <c r="F5658" s="28" t="s">
        <v>21</v>
      </c>
      <c r="G5658" s="28" t="s">
        <v>39</v>
      </c>
      <c r="H5658" s="28" t="s">
        <v>27631</v>
      </c>
      <c r="I5658" s="28" t="s">
        <v>28276</v>
      </c>
      <c r="J5658" s="28" t="s">
        <v>39</v>
      </c>
      <c r="K5658" s="28" t="s">
        <v>27633</v>
      </c>
      <c r="L5658" s="28" t="s">
        <v>27634</v>
      </c>
      <c r="M5658" s="28" t="s">
        <v>28277</v>
      </c>
      <c r="N5658" s="28" t="s">
        <v>27636</v>
      </c>
      <c r="O5658" s="28" t="s">
        <v>27637</v>
      </c>
      <c r="P5658" s="28" t="s">
        <v>28278</v>
      </c>
    </row>
    <row r="5659" spans="1:16" x14ac:dyDescent="0.25">
      <c r="A5659" s="28" t="s">
        <v>28279</v>
      </c>
      <c r="B5659" s="28" t="s">
        <v>28280</v>
      </c>
      <c r="C5659" s="28" t="s">
        <v>25143</v>
      </c>
      <c r="D5659" s="28" t="s">
        <v>4101</v>
      </c>
      <c r="E5659" s="28" t="s">
        <v>7325</v>
      </c>
      <c r="F5659" s="28" t="s">
        <v>21</v>
      </c>
      <c r="G5659" s="28" t="s">
        <v>39</v>
      </c>
      <c r="H5659" s="28" t="s">
        <v>27631</v>
      </c>
      <c r="I5659" s="28" t="s">
        <v>28281</v>
      </c>
      <c r="J5659" s="28" t="s">
        <v>39</v>
      </c>
      <c r="K5659" s="28" t="s">
        <v>27633</v>
      </c>
      <c r="L5659" s="28" t="s">
        <v>27634</v>
      </c>
      <c r="M5659" s="28" t="s">
        <v>28282</v>
      </c>
      <c r="N5659" s="28" t="s">
        <v>27636</v>
      </c>
      <c r="O5659" s="28" t="s">
        <v>27637</v>
      </c>
      <c r="P5659" s="28" t="s">
        <v>28278</v>
      </c>
    </row>
    <row r="5660" spans="1:16" x14ac:dyDescent="0.25">
      <c r="A5660" s="28" t="s">
        <v>28283</v>
      </c>
      <c r="B5660" s="28" t="s">
        <v>28284</v>
      </c>
      <c r="C5660" s="28" t="s">
        <v>25143</v>
      </c>
      <c r="D5660" s="28" t="s">
        <v>4101</v>
      </c>
      <c r="E5660" s="28" t="s">
        <v>7332</v>
      </c>
      <c r="F5660" s="28" t="s">
        <v>21</v>
      </c>
      <c r="G5660" s="28" t="s">
        <v>39</v>
      </c>
      <c r="H5660" s="28" t="s">
        <v>27631</v>
      </c>
      <c r="I5660" s="28" t="s">
        <v>28285</v>
      </c>
      <c r="J5660" s="28" t="s">
        <v>39</v>
      </c>
      <c r="K5660" s="28" t="s">
        <v>27633</v>
      </c>
      <c r="L5660" s="28" t="s">
        <v>27634</v>
      </c>
      <c r="M5660" s="28" t="s">
        <v>28286</v>
      </c>
      <c r="N5660" s="28" t="s">
        <v>27636</v>
      </c>
      <c r="O5660" s="28" t="s">
        <v>27637</v>
      </c>
      <c r="P5660" s="28" t="s">
        <v>28287</v>
      </c>
    </row>
    <row r="5661" spans="1:16" x14ac:dyDescent="0.25">
      <c r="A5661" s="28" t="s">
        <v>28288</v>
      </c>
      <c r="B5661" s="28" t="s">
        <v>28289</v>
      </c>
      <c r="C5661" s="28" t="s">
        <v>25143</v>
      </c>
      <c r="D5661" s="28" t="s">
        <v>4101</v>
      </c>
      <c r="E5661" s="28" t="s">
        <v>7332</v>
      </c>
      <c r="F5661" s="28" t="s">
        <v>21</v>
      </c>
      <c r="G5661" s="28" t="s">
        <v>39</v>
      </c>
      <c r="H5661" s="28" t="s">
        <v>27631</v>
      </c>
      <c r="I5661" s="28" t="s">
        <v>28290</v>
      </c>
      <c r="J5661" s="28" t="s">
        <v>39</v>
      </c>
      <c r="K5661" s="28" t="s">
        <v>27633</v>
      </c>
      <c r="L5661" s="28" t="s">
        <v>27634</v>
      </c>
      <c r="M5661" s="28" t="s">
        <v>28291</v>
      </c>
      <c r="N5661" s="28" t="s">
        <v>27636</v>
      </c>
      <c r="O5661" s="28" t="s">
        <v>27637</v>
      </c>
      <c r="P5661" s="28" t="s">
        <v>28287</v>
      </c>
    </row>
    <row r="5662" spans="1:16" x14ac:dyDescent="0.25">
      <c r="A5662" s="28" t="s">
        <v>28292</v>
      </c>
      <c r="B5662" s="28" t="s">
        <v>28293</v>
      </c>
      <c r="C5662" s="28" t="s">
        <v>25143</v>
      </c>
      <c r="D5662" s="28" t="s">
        <v>4101</v>
      </c>
      <c r="E5662" s="28" t="s">
        <v>15525</v>
      </c>
      <c r="F5662" s="28" t="s">
        <v>21</v>
      </c>
      <c r="G5662" s="28" t="s">
        <v>39</v>
      </c>
      <c r="H5662" s="28" t="s">
        <v>27631</v>
      </c>
      <c r="I5662" s="28" t="s">
        <v>28294</v>
      </c>
      <c r="J5662" s="28" t="s">
        <v>39</v>
      </c>
      <c r="K5662" s="28" t="s">
        <v>27633</v>
      </c>
      <c r="L5662" s="28" t="s">
        <v>27634</v>
      </c>
      <c r="M5662" s="28" t="s">
        <v>28295</v>
      </c>
      <c r="N5662" s="28" t="s">
        <v>27636</v>
      </c>
      <c r="O5662" s="28" t="s">
        <v>27637</v>
      </c>
      <c r="P5662" s="28" t="s">
        <v>28296</v>
      </c>
    </row>
    <row r="5663" spans="1:16" x14ac:dyDescent="0.25">
      <c r="A5663" s="28" t="s">
        <v>28297</v>
      </c>
      <c r="B5663" s="28" t="s">
        <v>28298</v>
      </c>
      <c r="C5663" s="28" t="s">
        <v>25143</v>
      </c>
      <c r="D5663" s="28" t="s">
        <v>4101</v>
      </c>
      <c r="E5663" s="28" t="s">
        <v>15525</v>
      </c>
      <c r="F5663" s="28" t="s">
        <v>21</v>
      </c>
      <c r="G5663" s="28" t="s">
        <v>39</v>
      </c>
      <c r="H5663" s="28" t="s">
        <v>27631</v>
      </c>
      <c r="I5663" s="28" t="s">
        <v>28299</v>
      </c>
      <c r="J5663" s="28" t="s">
        <v>39</v>
      </c>
      <c r="K5663" s="28" t="s">
        <v>27633</v>
      </c>
      <c r="L5663" s="28" t="s">
        <v>27634</v>
      </c>
      <c r="M5663" s="28" t="s">
        <v>28300</v>
      </c>
      <c r="N5663" s="28" t="s">
        <v>27636</v>
      </c>
      <c r="O5663" s="28" t="s">
        <v>27637</v>
      </c>
      <c r="P5663" s="28" t="s">
        <v>28296</v>
      </c>
    </row>
    <row r="5664" spans="1:16" x14ac:dyDescent="0.25">
      <c r="A5664" s="28" t="s">
        <v>28301</v>
      </c>
      <c r="B5664" s="28" t="s">
        <v>28302</v>
      </c>
      <c r="C5664" s="28" t="s">
        <v>25143</v>
      </c>
      <c r="D5664" s="28" t="s">
        <v>4101</v>
      </c>
      <c r="E5664" s="28" t="s">
        <v>15525</v>
      </c>
      <c r="F5664" s="28" t="s">
        <v>21</v>
      </c>
      <c r="G5664" s="28" t="s">
        <v>39</v>
      </c>
      <c r="H5664" s="28" t="s">
        <v>27631</v>
      </c>
      <c r="I5664" s="28" t="s">
        <v>28303</v>
      </c>
      <c r="J5664" s="28" t="s">
        <v>39</v>
      </c>
      <c r="K5664" s="28" t="s">
        <v>27633</v>
      </c>
      <c r="L5664" s="28" t="s">
        <v>27634</v>
      </c>
      <c r="M5664" s="28" t="s">
        <v>28304</v>
      </c>
      <c r="N5664" s="28" t="s">
        <v>27636</v>
      </c>
      <c r="O5664" s="28" t="s">
        <v>27637</v>
      </c>
      <c r="P5664" s="28" t="s">
        <v>28296</v>
      </c>
    </row>
    <row r="5665" spans="1:16" x14ac:dyDescent="0.25">
      <c r="A5665" s="28" t="s">
        <v>28305</v>
      </c>
      <c r="B5665" s="28" t="s">
        <v>28306</v>
      </c>
      <c r="C5665" s="28" t="s">
        <v>25143</v>
      </c>
      <c r="D5665" s="28" t="s">
        <v>4101</v>
      </c>
      <c r="E5665" s="28" t="s">
        <v>15525</v>
      </c>
      <c r="F5665" s="28" t="s">
        <v>21</v>
      </c>
      <c r="G5665" s="28" t="s">
        <v>39</v>
      </c>
      <c r="H5665" s="28" t="s">
        <v>27631</v>
      </c>
      <c r="I5665" s="28" t="s">
        <v>28307</v>
      </c>
      <c r="J5665" s="28" t="s">
        <v>39</v>
      </c>
      <c r="K5665" s="28" t="s">
        <v>27633</v>
      </c>
      <c r="L5665" s="28" t="s">
        <v>27634</v>
      </c>
      <c r="M5665" s="28" t="s">
        <v>28308</v>
      </c>
      <c r="N5665" s="28" t="s">
        <v>27636</v>
      </c>
      <c r="O5665" s="28" t="s">
        <v>27637</v>
      </c>
      <c r="P5665" s="28" t="s">
        <v>28296</v>
      </c>
    </row>
    <row r="5666" spans="1:16" x14ac:dyDescent="0.25">
      <c r="A5666" s="28" t="s">
        <v>28309</v>
      </c>
      <c r="B5666" s="28" t="s">
        <v>28310</v>
      </c>
      <c r="C5666" s="28" t="s">
        <v>25143</v>
      </c>
      <c r="D5666" s="28" t="s">
        <v>4101</v>
      </c>
      <c r="E5666" s="28" t="s">
        <v>15525</v>
      </c>
      <c r="F5666" s="28" t="s">
        <v>21</v>
      </c>
      <c r="G5666" s="28" t="s">
        <v>39</v>
      </c>
      <c r="H5666" s="28" t="s">
        <v>27631</v>
      </c>
      <c r="I5666" s="28" t="s">
        <v>28311</v>
      </c>
      <c r="J5666" s="28" t="s">
        <v>39</v>
      </c>
      <c r="K5666" s="28" t="s">
        <v>27633</v>
      </c>
      <c r="L5666" s="28" t="s">
        <v>27634</v>
      </c>
      <c r="M5666" s="28" t="s">
        <v>28312</v>
      </c>
      <c r="N5666" s="28" t="s">
        <v>27636</v>
      </c>
      <c r="O5666" s="28" t="s">
        <v>27637</v>
      </c>
      <c r="P5666" s="28" t="s">
        <v>28296</v>
      </c>
    </row>
    <row r="5667" spans="1:16" x14ac:dyDescent="0.25">
      <c r="A5667" s="28" t="s">
        <v>28313</v>
      </c>
      <c r="B5667" s="28" t="s">
        <v>28314</v>
      </c>
      <c r="C5667" s="28" t="s">
        <v>25143</v>
      </c>
      <c r="D5667" s="28" t="s">
        <v>4101</v>
      </c>
      <c r="E5667" s="28" t="s">
        <v>15525</v>
      </c>
      <c r="F5667" s="28" t="s">
        <v>21</v>
      </c>
      <c r="G5667" s="28" t="s">
        <v>39</v>
      </c>
      <c r="H5667" s="28" t="s">
        <v>27631</v>
      </c>
      <c r="I5667" s="28" t="s">
        <v>28315</v>
      </c>
      <c r="J5667" s="28" t="s">
        <v>39</v>
      </c>
      <c r="K5667" s="28" t="s">
        <v>27633</v>
      </c>
      <c r="L5667" s="28" t="s">
        <v>27634</v>
      </c>
      <c r="M5667" s="28" t="s">
        <v>28316</v>
      </c>
      <c r="N5667" s="28" t="s">
        <v>27636</v>
      </c>
      <c r="O5667" s="28" t="s">
        <v>27637</v>
      </c>
      <c r="P5667" s="28" t="s">
        <v>28296</v>
      </c>
    </row>
    <row r="5668" spans="1:16" x14ac:dyDescent="0.25">
      <c r="A5668" s="28" t="s">
        <v>28317</v>
      </c>
      <c r="B5668" s="28" t="s">
        <v>28318</v>
      </c>
      <c r="C5668" s="28" t="s">
        <v>25143</v>
      </c>
      <c r="D5668" s="28" t="s">
        <v>4101</v>
      </c>
      <c r="E5668" s="28" t="s">
        <v>7410</v>
      </c>
      <c r="F5668" s="28" t="s">
        <v>21</v>
      </c>
      <c r="G5668" s="28" t="s">
        <v>39</v>
      </c>
      <c r="H5668" s="28" t="s">
        <v>27631</v>
      </c>
      <c r="I5668" s="28" t="s">
        <v>28319</v>
      </c>
      <c r="J5668" s="28" t="s">
        <v>39</v>
      </c>
      <c r="K5668" s="28" t="s">
        <v>27633</v>
      </c>
      <c r="L5668" s="28" t="s">
        <v>27634</v>
      </c>
      <c r="M5668" s="28" t="s">
        <v>28320</v>
      </c>
      <c r="N5668" s="28" t="s">
        <v>27636</v>
      </c>
      <c r="O5668" s="28" t="s">
        <v>27637</v>
      </c>
      <c r="P5668" s="28" t="s">
        <v>28321</v>
      </c>
    </row>
    <row r="5669" spans="1:16" x14ac:dyDescent="0.25">
      <c r="A5669" s="28" t="s">
        <v>28322</v>
      </c>
      <c r="B5669" s="28" t="s">
        <v>28323</v>
      </c>
      <c r="C5669" s="28" t="s">
        <v>25143</v>
      </c>
      <c r="D5669" s="28" t="s">
        <v>4101</v>
      </c>
      <c r="E5669" s="28" t="s">
        <v>5424</v>
      </c>
      <c r="F5669" s="28" t="s">
        <v>21</v>
      </c>
      <c r="G5669" s="28" t="s">
        <v>39</v>
      </c>
      <c r="H5669" s="28" t="s">
        <v>27631</v>
      </c>
      <c r="I5669" s="28" t="s">
        <v>28324</v>
      </c>
      <c r="J5669" s="28" t="s">
        <v>39</v>
      </c>
      <c r="K5669" s="28" t="s">
        <v>27633</v>
      </c>
      <c r="L5669" s="28" t="s">
        <v>27634</v>
      </c>
      <c r="M5669" s="28" t="s">
        <v>28325</v>
      </c>
      <c r="N5669" s="28" t="s">
        <v>27636</v>
      </c>
      <c r="O5669" s="28" t="s">
        <v>27637</v>
      </c>
      <c r="P5669" s="28" t="s">
        <v>28326</v>
      </c>
    </row>
    <row r="5670" spans="1:16" x14ac:dyDescent="0.25">
      <c r="A5670" s="28" t="s">
        <v>28327</v>
      </c>
      <c r="B5670" s="28" t="s">
        <v>28328</v>
      </c>
      <c r="C5670" s="28" t="s">
        <v>25143</v>
      </c>
      <c r="D5670" s="28" t="s">
        <v>4101</v>
      </c>
      <c r="E5670" s="28" t="s">
        <v>5424</v>
      </c>
      <c r="F5670" s="28" t="s">
        <v>21</v>
      </c>
      <c r="G5670" s="28" t="s">
        <v>39</v>
      </c>
      <c r="H5670" s="28" t="s">
        <v>27631</v>
      </c>
      <c r="I5670" s="28" t="s">
        <v>28329</v>
      </c>
      <c r="J5670" s="28" t="s">
        <v>39</v>
      </c>
      <c r="K5670" s="28" t="s">
        <v>27633</v>
      </c>
      <c r="L5670" s="28" t="s">
        <v>27634</v>
      </c>
      <c r="M5670" s="28" t="s">
        <v>28330</v>
      </c>
      <c r="N5670" s="28" t="s">
        <v>27636</v>
      </c>
      <c r="O5670" s="28" t="s">
        <v>27637</v>
      </c>
      <c r="P5670" s="28" t="s">
        <v>28326</v>
      </c>
    </row>
    <row r="5671" spans="1:16" x14ac:dyDescent="0.25">
      <c r="A5671" s="28" t="s">
        <v>28331</v>
      </c>
      <c r="B5671" s="28" t="s">
        <v>28332</v>
      </c>
      <c r="C5671" s="28" t="s">
        <v>25143</v>
      </c>
      <c r="D5671" s="28" t="s">
        <v>4101</v>
      </c>
      <c r="E5671" s="28" t="s">
        <v>5424</v>
      </c>
      <c r="F5671" s="28" t="s">
        <v>21</v>
      </c>
      <c r="G5671" s="28" t="s">
        <v>39</v>
      </c>
      <c r="H5671" s="28" t="s">
        <v>27631</v>
      </c>
      <c r="I5671" s="28" t="s">
        <v>28333</v>
      </c>
      <c r="J5671" s="28" t="s">
        <v>39</v>
      </c>
      <c r="K5671" s="28" t="s">
        <v>27633</v>
      </c>
      <c r="L5671" s="28" t="s">
        <v>27634</v>
      </c>
      <c r="M5671" s="28" t="s">
        <v>28334</v>
      </c>
      <c r="N5671" s="28" t="s">
        <v>27636</v>
      </c>
      <c r="O5671" s="28" t="s">
        <v>27637</v>
      </c>
      <c r="P5671" s="28" t="s">
        <v>28326</v>
      </c>
    </row>
    <row r="5672" spans="1:16" x14ac:dyDescent="0.25">
      <c r="A5672" s="28" t="s">
        <v>28335</v>
      </c>
      <c r="B5672" s="28" t="s">
        <v>28336</v>
      </c>
      <c r="C5672" s="28" t="s">
        <v>25143</v>
      </c>
      <c r="D5672" s="28" t="s">
        <v>4101</v>
      </c>
      <c r="E5672" s="28" t="s">
        <v>28337</v>
      </c>
      <c r="F5672" s="28" t="s">
        <v>21</v>
      </c>
      <c r="G5672" s="28" t="s">
        <v>39</v>
      </c>
      <c r="H5672" s="28" t="s">
        <v>27631</v>
      </c>
      <c r="I5672" s="28" t="s">
        <v>28338</v>
      </c>
      <c r="J5672" s="28" t="s">
        <v>39</v>
      </c>
      <c r="K5672" s="28" t="s">
        <v>27633</v>
      </c>
      <c r="L5672" s="28" t="s">
        <v>27634</v>
      </c>
      <c r="M5672" s="28" t="s">
        <v>28339</v>
      </c>
      <c r="N5672" s="28" t="s">
        <v>27636</v>
      </c>
      <c r="O5672" s="28" t="s">
        <v>27637</v>
      </c>
      <c r="P5672" s="28" t="s">
        <v>28340</v>
      </c>
    </row>
    <row r="5673" spans="1:16" x14ac:dyDescent="0.25">
      <c r="A5673" s="28" t="s">
        <v>28341</v>
      </c>
      <c r="B5673" s="28" t="s">
        <v>28342</v>
      </c>
      <c r="C5673" s="28" t="s">
        <v>25143</v>
      </c>
      <c r="D5673" s="28" t="s">
        <v>4101</v>
      </c>
      <c r="E5673" s="28" t="s">
        <v>28337</v>
      </c>
      <c r="F5673" s="28" t="s">
        <v>21</v>
      </c>
      <c r="G5673" s="28" t="s">
        <v>39</v>
      </c>
      <c r="H5673" s="28" t="s">
        <v>27631</v>
      </c>
      <c r="I5673" s="28" t="s">
        <v>28343</v>
      </c>
      <c r="J5673" s="28" t="s">
        <v>39</v>
      </c>
      <c r="K5673" s="28" t="s">
        <v>27633</v>
      </c>
      <c r="L5673" s="28" t="s">
        <v>27634</v>
      </c>
      <c r="M5673" s="28" t="s">
        <v>28344</v>
      </c>
      <c r="N5673" s="28" t="s">
        <v>27636</v>
      </c>
      <c r="O5673" s="28" t="s">
        <v>27637</v>
      </c>
      <c r="P5673" s="28" t="s">
        <v>28340</v>
      </c>
    </row>
    <row r="5674" spans="1:16" x14ac:dyDescent="0.25">
      <c r="A5674" s="28" t="s">
        <v>28345</v>
      </c>
      <c r="B5674" s="28" t="s">
        <v>28346</v>
      </c>
      <c r="C5674" s="28" t="s">
        <v>25143</v>
      </c>
      <c r="D5674" s="28" t="s">
        <v>4101</v>
      </c>
      <c r="E5674" s="28" t="s">
        <v>28337</v>
      </c>
      <c r="F5674" s="28" t="s">
        <v>21</v>
      </c>
      <c r="G5674" s="28" t="s">
        <v>39</v>
      </c>
      <c r="H5674" s="28" t="s">
        <v>27631</v>
      </c>
      <c r="I5674" s="28" t="s">
        <v>28347</v>
      </c>
      <c r="J5674" s="28" t="s">
        <v>39</v>
      </c>
      <c r="K5674" s="28" t="s">
        <v>27633</v>
      </c>
      <c r="L5674" s="28" t="s">
        <v>27634</v>
      </c>
      <c r="M5674" s="28" t="s">
        <v>28348</v>
      </c>
      <c r="N5674" s="28" t="s">
        <v>27636</v>
      </c>
      <c r="O5674" s="28" t="s">
        <v>27637</v>
      </c>
      <c r="P5674" s="28" t="s">
        <v>28340</v>
      </c>
    </row>
    <row r="5675" spans="1:16" x14ac:dyDescent="0.25">
      <c r="A5675" s="28" t="s">
        <v>28349</v>
      </c>
      <c r="B5675" s="28" t="s">
        <v>28350</v>
      </c>
      <c r="C5675" s="28" t="s">
        <v>25143</v>
      </c>
      <c r="D5675" s="28" t="s">
        <v>4101</v>
      </c>
      <c r="E5675" s="28" t="s">
        <v>28337</v>
      </c>
      <c r="F5675" s="28" t="s">
        <v>21</v>
      </c>
      <c r="G5675" s="28" t="s">
        <v>39</v>
      </c>
      <c r="H5675" s="28" t="s">
        <v>27631</v>
      </c>
      <c r="I5675" s="28" t="s">
        <v>28351</v>
      </c>
      <c r="J5675" s="28" t="s">
        <v>39</v>
      </c>
      <c r="K5675" s="28" t="s">
        <v>27633</v>
      </c>
      <c r="L5675" s="28" t="s">
        <v>27634</v>
      </c>
      <c r="M5675" s="28" t="s">
        <v>28352</v>
      </c>
      <c r="N5675" s="28" t="s">
        <v>27636</v>
      </c>
      <c r="O5675" s="28" t="s">
        <v>27637</v>
      </c>
      <c r="P5675" s="28" t="s">
        <v>28340</v>
      </c>
    </row>
    <row r="5676" spans="1:16" x14ac:dyDescent="0.25">
      <c r="A5676" s="28" t="s">
        <v>28353</v>
      </c>
      <c r="B5676" s="28" t="s">
        <v>28354</v>
      </c>
      <c r="C5676" s="28" t="s">
        <v>25143</v>
      </c>
      <c r="D5676" s="28" t="s">
        <v>4101</v>
      </c>
      <c r="E5676" s="28" t="s">
        <v>18273</v>
      </c>
      <c r="F5676" s="28" t="s">
        <v>21</v>
      </c>
      <c r="G5676" s="28" t="s">
        <v>39</v>
      </c>
      <c r="H5676" s="28" t="s">
        <v>27631</v>
      </c>
      <c r="I5676" s="28" t="s">
        <v>28355</v>
      </c>
      <c r="J5676" s="28" t="s">
        <v>39</v>
      </c>
      <c r="K5676" s="28" t="s">
        <v>27633</v>
      </c>
      <c r="L5676" s="28" t="s">
        <v>27634</v>
      </c>
      <c r="M5676" s="28" t="s">
        <v>28356</v>
      </c>
      <c r="N5676" s="28" t="s">
        <v>27636</v>
      </c>
      <c r="O5676" s="28" t="s">
        <v>27637</v>
      </c>
      <c r="P5676" s="28" t="s">
        <v>28357</v>
      </c>
    </row>
    <row r="5677" spans="1:16" x14ac:dyDescent="0.25">
      <c r="A5677" s="28" t="s">
        <v>28358</v>
      </c>
      <c r="B5677" s="28" t="s">
        <v>28359</v>
      </c>
      <c r="C5677" s="28" t="s">
        <v>25143</v>
      </c>
      <c r="D5677" s="28" t="s">
        <v>4101</v>
      </c>
      <c r="E5677" s="28" t="s">
        <v>28360</v>
      </c>
      <c r="F5677" s="28" t="s">
        <v>21</v>
      </c>
      <c r="G5677" s="28" t="s">
        <v>39</v>
      </c>
      <c r="H5677" s="28" t="s">
        <v>27631</v>
      </c>
      <c r="I5677" s="28" t="s">
        <v>28361</v>
      </c>
      <c r="J5677" s="28" t="s">
        <v>39</v>
      </c>
      <c r="K5677" s="28" t="s">
        <v>27633</v>
      </c>
      <c r="L5677" s="28" t="s">
        <v>27634</v>
      </c>
      <c r="M5677" s="28" t="s">
        <v>28362</v>
      </c>
      <c r="N5677" s="28" t="s">
        <v>27636</v>
      </c>
      <c r="O5677" s="28" t="s">
        <v>27637</v>
      </c>
      <c r="P5677" s="28" t="s">
        <v>28363</v>
      </c>
    </row>
    <row r="5678" spans="1:16" x14ac:dyDescent="0.25">
      <c r="A5678" s="28" t="s">
        <v>28364</v>
      </c>
      <c r="B5678" s="28" t="s">
        <v>28365</v>
      </c>
      <c r="C5678" s="28" t="s">
        <v>25143</v>
      </c>
      <c r="D5678" s="28" t="s">
        <v>4101</v>
      </c>
      <c r="E5678" s="28" t="s">
        <v>28366</v>
      </c>
      <c r="F5678" s="28" t="s">
        <v>21</v>
      </c>
      <c r="G5678" s="28" t="s">
        <v>39</v>
      </c>
      <c r="H5678" s="28" t="s">
        <v>27631</v>
      </c>
      <c r="I5678" s="28" t="s">
        <v>28367</v>
      </c>
      <c r="J5678" s="28" t="s">
        <v>39</v>
      </c>
      <c r="K5678" s="28" t="s">
        <v>27633</v>
      </c>
      <c r="L5678" s="28" t="s">
        <v>27634</v>
      </c>
      <c r="M5678" s="28" t="s">
        <v>28368</v>
      </c>
      <c r="N5678" s="28" t="s">
        <v>27636</v>
      </c>
      <c r="O5678" s="28" t="s">
        <v>27637</v>
      </c>
      <c r="P5678" s="28" t="s">
        <v>28369</v>
      </c>
    </row>
    <row r="5679" spans="1:16" x14ac:dyDescent="0.25">
      <c r="A5679" s="28" t="s">
        <v>28370</v>
      </c>
      <c r="B5679" s="28" t="s">
        <v>28371</v>
      </c>
      <c r="C5679" s="28" t="s">
        <v>25143</v>
      </c>
      <c r="D5679" s="28" t="s">
        <v>4101</v>
      </c>
      <c r="E5679" s="28" t="s">
        <v>5434</v>
      </c>
      <c r="F5679" s="28" t="s">
        <v>21</v>
      </c>
      <c r="G5679" s="28" t="s">
        <v>39</v>
      </c>
      <c r="H5679" s="28" t="s">
        <v>27631</v>
      </c>
      <c r="I5679" s="28" t="s">
        <v>28372</v>
      </c>
      <c r="J5679" s="28" t="s">
        <v>39</v>
      </c>
      <c r="K5679" s="28" t="s">
        <v>27633</v>
      </c>
      <c r="L5679" s="28" t="s">
        <v>27634</v>
      </c>
      <c r="M5679" s="28" t="s">
        <v>28373</v>
      </c>
      <c r="N5679" s="28" t="s">
        <v>27636</v>
      </c>
      <c r="O5679" s="28" t="s">
        <v>27637</v>
      </c>
      <c r="P5679" s="28" t="s">
        <v>28374</v>
      </c>
    </row>
    <row r="5680" spans="1:16" x14ac:dyDescent="0.25">
      <c r="A5680" s="28" t="s">
        <v>28375</v>
      </c>
      <c r="B5680" s="28" t="s">
        <v>28376</v>
      </c>
      <c r="C5680" s="28" t="s">
        <v>25143</v>
      </c>
      <c r="D5680" s="28" t="s">
        <v>4101</v>
      </c>
      <c r="E5680" s="28" t="s">
        <v>28377</v>
      </c>
      <c r="F5680" s="28" t="s">
        <v>21</v>
      </c>
      <c r="G5680" s="28" t="s">
        <v>39</v>
      </c>
      <c r="H5680" s="28" t="s">
        <v>27631</v>
      </c>
      <c r="I5680" s="28" t="s">
        <v>28378</v>
      </c>
      <c r="J5680" s="28" t="s">
        <v>39</v>
      </c>
      <c r="K5680" s="28" t="s">
        <v>27633</v>
      </c>
      <c r="L5680" s="28" t="s">
        <v>27634</v>
      </c>
      <c r="M5680" s="28" t="s">
        <v>28379</v>
      </c>
      <c r="N5680" s="28" t="s">
        <v>27636</v>
      </c>
      <c r="O5680" s="28" t="s">
        <v>27637</v>
      </c>
      <c r="P5680" s="28" t="s">
        <v>28380</v>
      </c>
    </row>
    <row r="5681" spans="1:16" x14ac:dyDescent="0.25">
      <c r="A5681" s="28" t="s">
        <v>28381</v>
      </c>
      <c r="B5681" s="28" t="s">
        <v>28382</v>
      </c>
      <c r="C5681" s="28" t="s">
        <v>25143</v>
      </c>
      <c r="D5681" s="28" t="s">
        <v>4101</v>
      </c>
      <c r="E5681" s="28" t="s">
        <v>5461</v>
      </c>
      <c r="F5681" s="28" t="s">
        <v>21</v>
      </c>
      <c r="G5681" s="28" t="s">
        <v>39</v>
      </c>
      <c r="H5681" s="28" t="s">
        <v>27631</v>
      </c>
      <c r="I5681" s="28" t="s">
        <v>28383</v>
      </c>
      <c r="J5681" s="28" t="s">
        <v>39</v>
      </c>
      <c r="K5681" s="28" t="s">
        <v>27633</v>
      </c>
      <c r="L5681" s="28" t="s">
        <v>27634</v>
      </c>
      <c r="M5681" s="28" t="s">
        <v>28384</v>
      </c>
      <c r="N5681" s="28" t="s">
        <v>27636</v>
      </c>
      <c r="O5681" s="28" t="s">
        <v>27637</v>
      </c>
      <c r="P5681" s="28" t="s">
        <v>28385</v>
      </c>
    </row>
    <row r="5682" spans="1:16" x14ac:dyDescent="0.25">
      <c r="A5682" s="28" t="s">
        <v>28386</v>
      </c>
      <c r="B5682" s="28" t="s">
        <v>28387</v>
      </c>
      <c r="C5682" s="28" t="s">
        <v>25143</v>
      </c>
      <c r="D5682" s="28" t="s">
        <v>4101</v>
      </c>
      <c r="E5682" s="28" t="s">
        <v>28388</v>
      </c>
      <c r="F5682" s="28" t="s">
        <v>21</v>
      </c>
      <c r="G5682" s="28" t="s">
        <v>39</v>
      </c>
      <c r="H5682" s="28" t="s">
        <v>27631</v>
      </c>
      <c r="I5682" s="28" t="s">
        <v>28389</v>
      </c>
      <c r="J5682" s="28" t="s">
        <v>39</v>
      </c>
      <c r="K5682" s="28" t="s">
        <v>27633</v>
      </c>
      <c r="L5682" s="28" t="s">
        <v>27634</v>
      </c>
      <c r="M5682" s="28" t="s">
        <v>28390</v>
      </c>
      <c r="N5682" s="28" t="s">
        <v>27636</v>
      </c>
      <c r="O5682" s="28" t="s">
        <v>27637</v>
      </c>
      <c r="P5682" s="28" t="s">
        <v>28391</v>
      </c>
    </row>
    <row r="5683" spans="1:16" x14ac:dyDescent="0.25">
      <c r="A5683" s="28" t="s">
        <v>28392</v>
      </c>
      <c r="B5683" s="28" t="s">
        <v>28393</v>
      </c>
      <c r="C5683" s="28" t="s">
        <v>25143</v>
      </c>
      <c r="D5683" s="28" t="s">
        <v>4101</v>
      </c>
      <c r="E5683" s="28" t="s">
        <v>28388</v>
      </c>
      <c r="F5683" s="28" t="s">
        <v>21</v>
      </c>
      <c r="G5683" s="28" t="s">
        <v>39</v>
      </c>
      <c r="H5683" s="28" t="s">
        <v>27631</v>
      </c>
      <c r="I5683" s="28" t="s">
        <v>28394</v>
      </c>
      <c r="J5683" s="28" t="s">
        <v>39</v>
      </c>
      <c r="K5683" s="28" t="s">
        <v>27633</v>
      </c>
      <c r="L5683" s="28" t="s">
        <v>27634</v>
      </c>
      <c r="M5683" s="28" t="s">
        <v>28395</v>
      </c>
      <c r="N5683" s="28" t="s">
        <v>27636</v>
      </c>
      <c r="O5683" s="28" t="s">
        <v>27637</v>
      </c>
      <c r="P5683" s="28" t="s">
        <v>28391</v>
      </c>
    </row>
    <row r="5684" spans="1:16" x14ac:dyDescent="0.25">
      <c r="A5684" s="28" t="s">
        <v>28396</v>
      </c>
      <c r="B5684" s="28" t="s">
        <v>28397</v>
      </c>
      <c r="C5684" s="28" t="s">
        <v>25143</v>
      </c>
      <c r="D5684" s="28" t="s">
        <v>4101</v>
      </c>
      <c r="E5684" s="28" t="s">
        <v>28398</v>
      </c>
      <c r="F5684" s="28" t="s">
        <v>21</v>
      </c>
      <c r="G5684" s="28" t="s">
        <v>39</v>
      </c>
      <c r="H5684" s="28" t="s">
        <v>27631</v>
      </c>
      <c r="I5684" s="28" t="s">
        <v>28399</v>
      </c>
      <c r="J5684" s="28" t="s">
        <v>39</v>
      </c>
      <c r="K5684" s="28" t="s">
        <v>27633</v>
      </c>
      <c r="L5684" s="28" t="s">
        <v>27634</v>
      </c>
      <c r="M5684" s="28" t="s">
        <v>28400</v>
      </c>
      <c r="N5684" s="28" t="s">
        <v>27636</v>
      </c>
      <c r="O5684" s="28" t="s">
        <v>27637</v>
      </c>
      <c r="P5684" s="28" t="s">
        <v>28401</v>
      </c>
    </row>
    <row r="5685" spans="1:16" x14ac:dyDescent="0.25">
      <c r="A5685" s="28" t="s">
        <v>28402</v>
      </c>
      <c r="B5685" s="28" t="s">
        <v>28403</v>
      </c>
      <c r="C5685" s="28" t="s">
        <v>25143</v>
      </c>
      <c r="D5685" s="28" t="s">
        <v>4101</v>
      </c>
      <c r="E5685" s="28" t="s">
        <v>4118</v>
      </c>
      <c r="F5685" s="28" t="s">
        <v>21</v>
      </c>
      <c r="G5685" s="28" t="s">
        <v>39</v>
      </c>
      <c r="H5685" s="28" t="s">
        <v>27631</v>
      </c>
      <c r="I5685" s="28" t="s">
        <v>28404</v>
      </c>
      <c r="J5685" s="28" t="s">
        <v>39</v>
      </c>
      <c r="K5685" s="28" t="s">
        <v>27633</v>
      </c>
      <c r="L5685" s="28" t="s">
        <v>27634</v>
      </c>
      <c r="M5685" s="28" t="s">
        <v>28405</v>
      </c>
      <c r="N5685" s="28" t="s">
        <v>27636</v>
      </c>
      <c r="O5685" s="28" t="s">
        <v>27637</v>
      </c>
      <c r="P5685" s="28" t="s">
        <v>28406</v>
      </c>
    </row>
    <row r="5686" spans="1:16" x14ac:dyDescent="0.25">
      <c r="A5686" s="28" t="s">
        <v>28407</v>
      </c>
      <c r="B5686" s="28" t="s">
        <v>28408</v>
      </c>
      <c r="C5686" s="28" t="s">
        <v>25143</v>
      </c>
      <c r="D5686" s="28" t="s">
        <v>4101</v>
      </c>
      <c r="E5686" s="28" t="s">
        <v>4118</v>
      </c>
      <c r="F5686" s="28" t="s">
        <v>21</v>
      </c>
      <c r="G5686" s="28" t="s">
        <v>39</v>
      </c>
      <c r="H5686" s="28" t="s">
        <v>27631</v>
      </c>
      <c r="I5686" s="28" t="s">
        <v>28409</v>
      </c>
      <c r="J5686" s="28" t="s">
        <v>39</v>
      </c>
      <c r="K5686" s="28" t="s">
        <v>27633</v>
      </c>
      <c r="L5686" s="28" t="s">
        <v>27634</v>
      </c>
      <c r="M5686" s="28" t="s">
        <v>28410</v>
      </c>
      <c r="N5686" s="28" t="s">
        <v>27636</v>
      </c>
      <c r="O5686" s="28" t="s">
        <v>27637</v>
      </c>
      <c r="P5686" s="28" t="s">
        <v>28406</v>
      </c>
    </row>
    <row r="5687" spans="1:16" x14ac:dyDescent="0.25">
      <c r="A5687" s="28" t="s">
        <v>28411</v>
      </c>
      <c r="B5687" s="28" t="s">
        <v>28412</v>
      </c>
      <c r="C5687" s="28" t="s">
        <v>25143</v>
      </c>
      <c r="D5687" s="28" t="s">
        <v>4101</v>
      </c>
      <c r="E5687" s="28" t="s">
        <v>28413</v>
      </c>
      <c r="F5687" s="28" t="s">
        <v>21</v>
      </c>
      <c r="G5687" s="28" t="s">
        <v>39</v>
      </c>
      <c r="H5687" s="28" t="s">
        <v>27631</v>
      </c>
      <c r="I5687" s="28" t="s">
        <v>28414</v>
      </c>
      <c r="J5687" s="28" t="s">
        <v>39</v>
      </c>
      <c r="K5687" s="28" t="s">
        <v>27633</v>
      </c>
      <c r="L5687" s="28" t="s">
        <v>27634</v>
      </c>
      <c r="M5687" s="28" t="s">
        <v>28415</v>
      </c>
      <c r="N5687" s="28" t="s">
        <v>27636</v>
      </c>
      <c r="O5687" s="28" t="s">
        <v>27637</v>
      </c>
      <c r="P5687" s="28" t="s">
        <v>28416</v>
      </c>
    </row>
    <row r="5688" spans="1:16" x14ac:dyDescent="0.25">
      <c r="A5688" s="28" t="s">
        <v>28417</v>
      </c>
      <c r="B5688" s="28" t="s">
        <v>28418</v>
      </c>
      <c r="C5688" s="28" t="s">
        <v>25143</v>
      </c>
      <c r="D5688" s="28" t="s">
        <v>4101</v>
      </c>
      <c r="E5688" s="28" t="s">
        <v>28413</v>
      </c>
      <c r="F5688" s="28" t="s">
        <v>21</v>
      </c>
      <c r="G5688" s="28" t="s">
        <v>39</v>
      </c>
      <c r="H5688" s="28" t="s">
        <v>27631</v>
      </c>
      <c r="I5688" s="28" t="s">
        <v>28419</v>
      </c>
      <c r="J5688" s="28" t="s">
        <v>39</v>
      </c>
      <c r="K5688" s="28" t="s">
        <v>27633</v>
      </c>
      <c r="L5688" s="28" t="s">
        <v>27634</v>
      </c>
      <c r="M5688" s="28" t="s">
        <v>28420</v>
      </c>
      <c r="N5688" s="28" t="s">
        <v>27636</v>
      </c>
      <c r="O5688" s="28" t="s">
        <v>27637</v>
      </c>
      <c r="P5688" s="28" t="s">
        <v>28416</v>
      </c>
    </row>
    <row r="5689" spans="1:16" x14ac:dyDescent="0.25">
      <c r="A5689" s="28" t="s">
        <v>28421</v>
      </c>
      <c r="B5689" s="28" t="s">
        <v>28422</v>
      </c>
      <c r="C5689" s="28" t="s">
        <v>25143</v>
      </c>
      <c r="D5689" s="28" t="s">
        <v>4101</v>
      </c>
      <c r="E5689" s="28" t="s">
        <v>28423</v>
      </c>
      <c r="F5689" s="28" t="s">
        <v>21</v>
      </c>
      <c r="G5689" s="28" t="s">
        <v>39</v>
      </c>
      <c r="H5689" s="28" t="s">
        <v>27631</v>
      </c>
      <c r="I5689" s="28" t="s">
        <v>28424</v>
      </c>
      <c r="J5689" s="28" t="s">
        <v>39</v>
      </c>
      <c r="K5689" s="28" t="s">
        <v>27633</v>
      </c>
      <c r="L5689" s="28" t="s">
        <v>27634</v>
      </c>
      <c r="M5689" s="28" t="s">
        <v>28425</v>
      </c>
      <c r="N5689" s="28" t="s">
        <v>27636</v>
      </c>
      <c r="O5689" s="28" t="s">
        <v>27637</v>
      </c>
      <c r="P5689" s="28" t="s">
        <v>28426</v>
      </c>
    </row>
    <row r="5690" spans="1:16" x14ac:dyDescent="0.25">
      <c r="A5690" s="28" t="s">
        <v>28427</v>
      </c>
      <c r="B5690" s="28" t="s">
        <v>28428</v>
      </c>
      <c r="C5690" s="28" t="s">
        <v>25143</v>
      </c>
      <c r="D5690" s="28" t="s">
        <v>4101</v>
      </c>
      <c r="E5690" s="28" t="s">
        <v>4125</v>
      </c>
      <c r="F5690" s="28" t="s">
        <v>21</v>
      </c>
      <c r="G5690" s="28" t="s">
        <v>39</v>
      </c>
      <c r="H5690" s="28" t="s">
        <v>27631</v>
      </c>
      <c r="I5690" s="28" t="s">
        <v>28429</v>
      </c>
      <c r="J5690" s="28" t="s">
        <v>39</v>
      </c>
      <c r="K5690" s="28" t="s">
        <v>27633</v>
      </c>
      <c r="L5690" s="28" t="s">
        <v>27634</v>
      </c>
      <c r="M5690" s="28" t="s">
        <v>28430</v>
      </c>
      <c r="N5690" s="28" t="s">
        <v>27636</v>
      </c>
      <c r="O5690" s="28" t="s">
        <v>27637</v>
      </c>
      <c r="P5690" s="28" t="s">
        <v>28431</v>
      </c>
    </row>
    <row r="5691" spans="1:16" x14ac:dyDescent="0.25">
      <c r="A5691" s="28" t="s">
        <v>28432</v>
      </c>
      <c r="B5691" s="28" t="s">
        <v>28433</v>
      </c>
      <c r="C5691" s="28" t="s">
        <v>25143</v>
      </c>
      <c r="D5691" s="28" t="s">
        <v>4101</v>
      </c>
      <c r="E5691" s="28" t="s">
        <v>28434</v>
      </c>
      <c r="F5691" s="28" t="s">
        <v>21</v>
      </c>
      <c r="G5691" s="28" t="s">
        <v>39</v>
      </c>
      <c r="H5691" s="28" t="s">
        <v>27631</v>
      </c>
      <c r="I5691" s="28" t="s">
        <v>28435</v>
      </c>
      <c r="J5691" s="28" t="s">
        <v>39</v>
      </c>
      <c r="K5691" s="28" t="s">
        <v>27633</v>
      </c>
      <c r="L5691" s="28" t="s">
        <v>27634</v>
      </c>
      <c r="M5691" s="28" t="s">
        <v>28436</v>
      </c>
      <c r="N5691" s="28" t="s">
        <v>27636</v>
      </c>
      <c r="O5691" s="28" t="s">
        <v>27637</v>
      </c>
      <c r="P5691" s="28" t="s">
        <v>28437</v>
      </c>
    </row>
    <row r="5692" spans="1:16" x14ac:dyDescent="0.25">
      <c r="A5692" s="28" t="s">
        <v>28438</v>
      </c>
      <c r="B5692" s="28" t="s">
        <v>28439</v>
      </c>
      <c r="C5692" s="28" t="s">
        <v>25143</v>
      </c>
      <c r="D5692" s="28" t="s">
        <v>4101</v>
      </c>
      <c r="E5692" s="28" t="s">
        <v>28440</v>
      </c>
      <c r="F5692" s="28" t="s">
        <v>21</v>
      </c>
      <c r="G5692" s="28" t="s">
        <v>39</v>
      </c>
      <c r="H5692" s="28" t="s">
        <v>27631</v>
      </c>
      <c r="I5692" s="28" t="s">
        <v>28441</v>
      </c>
      <c r="J5692" s="28" t="s">
        <v>39</v>
      </c>
      <c r="K5692" s="28" t="s">
        <v>27633</v>
      </c>
      <c r="L5692" s="28" t="s">
        <v>27634</v>
      </c>
      <c r="M5692" s="28" t="s">
        <v>28442</v>
      </c>
      <c r="N5692" s="28" t="s">
        <v>27636</v>
      </c>
      <c r="O5692" s="28" t="s">
        <v>27637</v>
      </c>
      <c r="P5692" s="28" t="s">
        <v>28443</v>
      </c>
    </row>
    <row r="5693" spans="1:16" x14ac:dyDescent="0.25">
      <c r="A5693" s="28" t="s">
        <v>28444</v>
      </c>
      <c r="B5693" s="28" t="s">
        <v>28445</v>
      </c>
      <c r="C5693" s="28" t="s">
        <v>25143</v>
      </c>
      <c r="D5693" s="28" t="s">
        <v>4101</v>
      </c>
      <c r="E5693" s="28" t="s">
        <v>28446</v>
      </c>
      <c r="F5693" s="28" t="s">
        <v>21</v>
      </c>
      <c r="G5693" s="28" t="s">
        <v>39</v>
      </c>
      <c r="H5693" s="28" t="s">
        <v>27631</v>
      </c>
      <c r="I5693" s="28" t="s">
        <v>28447</v>
      </c>
      <c r="J5693" s="28" t="s">
        <v>39</v>
      </c>
      <c r="K5693" s="28" t="s">
        <v>27633</v>
      </c>
      <c r="L5693" s="28" t="s">
        <v>27634</v>
      </c>
      <c r="M5693" s="28" t="s">
        <v>28448</v>
      </c>
      <c r="N5693" s="28" t="s">
        <v>27636</v>
      </c>
      <c r="O5693" s="28" t="s">
        <v>27637</v>
      </c>
      <c r="P5693" s="28" t="s">
        <v>28449</v>
      </c>
    </row>
    <row r="5694" spans="1:16" x14ac:dyDescent="0.25">
      <c r="A5694" s="28" t="s">
        <v>28450</v>
      </c>
      <c r="B5694" s="28" t="s">
        <v>28451</v>
      </c>
      <c r="C5694" s="28" t="s">
        <v>25143</v>
      </c>
      <c r="D5694" s="28" t="s">
        <v>4101</v>
      </c>
      <c r="E5694" s="28" t="s">
        <v>28452</v>
      </c>
      <c r="F5694" s="28" t="s">
        <v>21</v>
      </c>
      <c r="G5694" s="28" t="s">
        <v>39</v>
      </c>
      <c r="H5694" s="28" t="s">
        <v>27631</v>
      </c>
      <c r="I5694" s="28" t="s">
        <v>28453</v>
      </c>
      <c r="J5694" s="28" t="s">
        <v>39</v>
      </c>
      <c r="K5694" s="28" t="s">
        <v>27633</v>
      </c>
      <c r="L5694" s="28" t="s">
        <v>27634</v>
      </c>
      <c r="M5694" s="28" t="s">
        <v>28454</v>
      </c>
      <c r="N5694" s="28" t="s">
        <v>27636</v>
      </c>
      <c r="O5694" s="28" t="s">
        <v>27637</v>
      </c>
      <c r="P5694" s="28" t="s">
        <v>28455</v>
      </c>
    </row>
    <row r="5695" spans="1:16" x14ac:dyDescent="0.25">
      <c r="A5695" s="28" t="s">
        <v>28456</v>
      </c>
      <c r="B5695" s="28" t="s">
        <v>28457</v>
      </c>
      <c r="C5695" s="28" t="s">
        <v>25143</v>
      </c>
      <c r="D5695" s="28" t="s">
        <v>4101</v>
      </c>
      <c r="E5695" s="28" t="s">
        <v>28458</v>
      </c>
      <c r="F5695" s="28" t="s">
        <v>21</v>
      </c>
      <c r="G5695" s="28" t="s">
        <v>39</v>
      </c>
      <c r="H5695" s="28" t="s">
        <v>27631</v>
      </c>
      <c r="I5695" s="28" t="s">
        <v>28459</v>
      </c>
      <c r="J5695" s="28" t="s">
        <v>39</v>
      </c>
      <c r="K5695" s="28" t="s">
        <v>27633</v>
      </c>
      <c r="L5695" s="28" t="s">
        <v>27634</v>
      </c>
      <c r="M5695" s="28" t="s">
        <v>28460</v>
      </c>
      <c r="N5695" s="28" t="s">
        <v>27636</v>
      </c>
      <c r="O5695" s="28" t="s">
        <v>27637</v>
      </c>
      <c r="P5695" s="28" t="s">
        <v>28461</v>
      </c>
    </row>
    <row r="5696" spans="1:16" x14ac:dyDescent="0.25">
      <c r="A5696" s="28" t="s">
        <v>28462</v>
      </c>
      <c r="B5696" s="28" t="s">
        <v>28463</v>
      </c>
      <c r="C5696" s="28" t="s">
        <v>25143</v>
      </c>
      <c r="D5696" s="28" t="s">
        <v>4101</v>
      </c>
      <c r="E5696" s="28" t="s">
        <v>28464</v>
      </c>
      <c r="F5696" s="28" t="s">
        <v>21</v>
      </c>
      <c r="G5696" s="28" t="s">
        <v>39</v>
      </c>
      <c r="H5696" s="28" t="s">
        <v>27631</v>
      </c>
      <c r="I5696" s="28" t="s">
        <v>28465</v>
      </c>
      <c r="J5696" s="28" t="s">
        <v>39</v>
      </c>
      <c r="K5696" s="28" t="s">
        <v>27633</v>
      </c>
      <c r="L5696" s="28" t="s">
        <v>27634</v>
      </c>
      <c r="M5696" s="28" t="s">
        <v>28466</v>
      </c>
      <c r="N5696" s="28" t="s">
        <v>27636</v>
      </c>
      <c r="O5696" s="28" t="s">
        <v>27637</v>
      </c>
      <c r="P5696" s="28" t="s">
        <v>28467</v>
      </c>
    </row>
    <row r="5697" spans="1:16" x14ac:dyDescent="0.25">
      <c r="A5697" s="28" t="s">
        <v>28468</v>
      </c>
      <c r="B5697" s="28" t="s">
        <v>28469</v>
      </c>
      <c r="C5697" s="28" t="s">
        <v>25143</v>
      </c>
      <c r="D5697" s="28" t="s">
        <v>4101</v>
      </c>
      <c r="E5697" s="28" t="s">
        <v>28470</v>
      </c>
      <c r="F5697" s="28" t="s">
        <v>21</v>
      </c>
      <c r="G5697" s="28" t="s">
        <v>39</v>
      </c>
      <c r="H5697" s="28" t="s">
        <v>27631</v>
      </c>
      <c r="I5697" s="28" t="s">
        <v>28471</v>
      </c>
      <c r="J5697" s="28" t="s">
        <v>39</v>
      </c>
      <c r="K5697" s="28" t="s">
        <v>27633</v>
      </c>
      <c r="L5697" s="28" t="s">
        <v>27634</v>
      </c>
      <c r="M5697" s="28" t="s">
        <v>28472</v>
      </c>
      <c r="N5697" s="28" t="s">
        <v>27636</v>
      </c>
      <c r="O5697" s="28" t="s">
        <v>27637</v>
      </c>
      <c r="P5697" s="28" t="s">
        <v>28473</v>
      </c>
    </row>
    <row r="5698" spans="1:16" x14ac:dyDescent="0.25">
      <c r="A5698" s="28" t="s">
        <v>28474</v>
      </c>
      <c r="B5698" s="28" t="s">
        <v>28475</v>
      </c>
      <c r="C5698" s="28" t="s">
        <v>25143</v>
      </c>
      <c r="D5698" s="28" t="s">
        <v>4101</v>
      </c>
      <c r="E5698" s="28" t="s">
        <v>18295</v>
      </c>
      <c r="F5698" s="28" t="s">
        <v>21</v>
      </c>
      <c r="G5698" s="28" t="s">
        <v>39</v>
      </c>
      <c r="H5698" s="28" t="s">
        <v>27631</v>
      </c>
      <c r="I5698" s="28" t="s">
        <v>28476</v>
      </c>
      <c r="J5698" s="28" t="s">
        <v>39</v>
      </c>
      <c r="K5698" s="28" t="s">
        <v>27633</v>
      </c>
      <c r="L5698" s="28" t="s">
        <v>27634</v>
      </c>
      <c r="M5698" s="28" t="s">
        <v>28477</v>
      </c>
      <c r="N5698" s="28" t="s">
        <v>27636</v>
      </c>
      <c r="O5698" s="28" t="s">
        <v>27637</v>
      </c>
      <c r="P5698" s="28" t="s">
        <v>28478</v>
      </c>
    </row>
    <row r="5699" spans="1:16" x14ac:dyDescent="0.25">
      <c r="A5699" s="28" t="s">
        <v>28479</v>
      </c>
      <c r="B5699" s="28" t="s">
        <v>28480</v>
      </c>
      <c r="C5699" s="28" t="s">
        <v>25143</v>
      </c>
      <c r="D5699" s="28" t="s">
        <v>4101</v>
      </c>
      <c r="E5699" s="28" t="s">
        <v>18295</v>
      </c>
      <c r="F5699" s="28" t="s">
        <v>21</v>
      </c>
      <c r="G5699" s="28" t="s">
        <v>39</v>
      </c>
      <c r="H5699" s="28" t="s">
        <v>27631</v>
      </c>
      <c r="I5699" s="28" t="s">
        <v>28481</v>
      </c>
      <c r="J5699" s="28" t="s">
        <v>39</v>
      </c>
      <c r="K5699" s="28" t="s">
        <v>27633</v>
      </c>
      <c r="L5699" s="28" t="s">
        <v>27634</v>
      </c>
      <c r="M5699" s="28" t="s">
        <v>28482</v>
      </c>
      <c r="N5699" s="28" t="s">
        <v>27636</v>
      </c>
      <c r="O5699" s="28" t="s">
        <v>27637</v>
      </c>
      <c r="P5699" s="28" t="s">
        <v>28478</v>
      </c>
    </row>
    <row r="5700" spans="1:16" x14ac:dyDescent="0.25">
      <c r="A5700" s="28" t="s">
        <v>28483</v>
      </c>
      <c r="B5700" s="28" t="s">
        <v>28484</v>
      </c>
      <c r="C5700" s="28" t="s">
        <v>25143</v>
      </c>
      <c r="D5700" s="28" t="s">
        <v>4101</v>
      </c>
      <c r="E5700" s="28" t="s">
        <v>18305</v>
      </c>
      <c r="F5700" s="28" t="s">
        <v>21</v>
      </c>
      <c r="G5700" s="28" t="s">
        <v>39</v>
      </c>
      <c r="H5700" s="28" t="s">
        <v>27631</v>
      </c>
      <c r="I5700" s="28" t="s">
        <v>28485</v>
      </c>
      <c r="J5700" s="28" t="s">
        <v>39</v>
      </c>
      <c r="K5700" s="28" t="s">
        <v>27633</v>
      </c>
      <c r="L5700" s="28" t="s">
        <v>27634</v>
      </c>
      <c r="M5700" s="28" t="s">
        <v>28486</v>
      </c>
      <c r="N5700" s="28" t="s">
        <v>27636</v>
      </c>
      <c r="O5700" s="28" t="s">
        <v>27637</v>
      </c>
      <c r="P5700" s="28" t="s">
        <v>28487</v>
      </c>
    </row>
    <row r="5701" spans="1:16" x14ac:dyDescent="0.25">
      <c r="A5701" s="28" t="s">
        <v>28488</v>
      </c>
      <c r="B5701" s="28" t="s">
        <v>28489</v>
      </c>
      <c r="C5701" s="28" t="s">
        <v>25143</v>
      </c>
      <c r="D5701" s="28" t="s">
        <v>4101</v>
      </c>
      <c r="E5701" s="28" t="s">
        <v>28490</v>
      </c>
      <c r="F5701" s="28" t="s">
        <v>21</v>
      </c>
      <c r="G5701" s="28" t="s">
        <v>39</v>
      </c>
      <c r="H5701" s="28" t="s">
        <v>27631</v>
      </c>
      <c r="I5701" s="28" t="s">
        <v>28491</v>
      </c>
      <c r="J5701" s="28" t="s">
        <v>39</v>
      </c>
      <c r="K5701" s="28" t="s">
        <v>27633</v>
      </c>
      <c r="L5701" s="28" t="s">
        <v>27634</v>
      </c>
      <c r="M5701" s="28" t="s">
        <v>28492</v>
      </c>
      <c r="N5701" s="28" t="s">
        <v>27636</v>
      </c>
      <c r="O5701" s="28" t="s">
        <v>27637</v>
      </c>
      <c r="P5701" s="28" t="s">
        <v>28493</v>
      </c>
    </row>
    <row r="5702" spans="1:16" x14ac:dyDescent="0.25">
      <c r="A5702" s="28" t="s">
        <v>28494</v>
      </c>
      <c r="B5702" s="28" t="s">
        <v>28495</v>
      </c>
      <c r="C5702" s="28" t="s">
        <v>25143</v>
      </c>
      <c r="D5702" s="28" t="s">
        <v>4101</v>
      </c>
      <c r="E5702" s="28" t="s">
        <v>18311</v>
      </c>
      <c r="F5702" s="28" t="s">
        <v>21</v>
      </c>
      <c r="G5702" s="28" t="s">
        <v>39</v>
      </c>
      <c r="H5702" s="28" t="s">
        <v>27631</v>
      </c>
      <c r="I5702" s="28" t="s">
        <v>28496</v>
      </c>
      <c r="J5702" s="28" t="s">
        <v>39</v>
      </c>
      <c r="K5702" s="28" t="s">
        <v>27633</v>
      </c>
      <c r="L5702" s="28" t="s">
        <v>27634</v>
      </c>
      <c r="M5702" s="28" t="s">
        <v>28497</v>
      </c>
      <c r="N5702" s="28" t="s">
        <v>27636</v>
      </c>
      <c r="O5702" s="28" t="s">
        <v>27637</v>
      </c>
      <c r="P5702" s="28" t="s">
        <v>28498</v>
      </c>
    </row>
    <row r="5703" spans="1:16" x14ac:dyDescent="0.25">
      <c r="A5703" s="28" t="s">
        <v>28499</v>
      </c>
      <c r="B5703" s="28" t="s">
        <v>28500</v>
      </c>
      <c r="C5703" s="28" t="s">
        <v>25143</v>
      </c>
      <c r="D5703" s="28" t="s">
        <v>4101</v>
      </c>
      <c r="E5703" s="28" t="s">
        <v>28501</v>
      </c>
      <c r="F5703" s="28" t="s">
        <v>21</v>
      </c>
      <c r="G5703" s="28" t="s">
        <v>39</v>
      </c>
      <c r="H5703" s="28" t="s">
        <v>27631</v>
      </c>
      <c r="I5703" s="28" t="s">
        <v>28502</v>
      </c>
      <c r="J5703" s="28" t="s">
        <v>39</v>
      </c>
      <c r="K5703" s="28" t="s">
        <v>27633</v>
      </c>
      <c r="L5703" s="28" t="s">
        <v>27634</v>
      </c>
      <c r="M5703" s="28" t="s">
        <v>28503</v>
      </c>
      <c r="N5703" s="28" t="s">
        <v>27636</v>
      </c>
      <c r="O5703" s="28" t="s">
        <v>27637</v>
      </c>
      <c r="P5703" s="28" t="s">
        <v>28504</v>
      </c>
    </row>
    <row r="5704" spans="1:16" x14ac:dyDescent="0.25">
      <c r="A5704" s="28" t="s">
        <v>28505</v>
      </c>
      <c r="B5704" s="28" t="s">
        <v>28506</v>
      </c>
      <c r="C5704" s="28" t="s">
        <v>25143</v>
      </c>
      <c r="D5704" s="28" t="s">
        <v>4101</v>
      </c>
      <c r="E5704" s="28" t="s">
        <v>28501</v>
      </c>
      <c r="F5704" s="28" t="s">
        <v>21</v>
      </c>
      <c r="G5704" s="28" t="s">
        <v>39</v>
      </c>
      <c r="H5704" s="28" t="s">
        <v>27631</v>
      </c>
      <c r="I5704" s="28" t="s">
        <v>28507</v>
      </c>
      <c r="J5704" s="28" t="s">
        <v>39</v>
      </c>
      <c r="K5704" s="28" t="s">
        <v>27633</v>
      </c>
      <c r="L5704" s="28" t="s">
        <v>27634</v>
      </c>
      <c r="M5704" s="28" t="s">
        <v>28508</v>
      </c>
      <c r="N5704" s="28" t="s">
        <v>27636</v>
      </c>
      <c r="O5704" s="28" t="s">
        <v>27637</v>
      </c>
      <c r="P5704" s="28" t="s">
        <v>28504</v>
      </c>
    </row>
    <row r="5705" spans="1:16" x14ac:dyDescent="0.25">
      <c r="A5705" s="28" t="s">
        <v>28509</v>
      </c>
      <c r="B5705" s="28" t="s">
        <v>28510</v>
      </c>
      <c r="C5705" s="28" t="s">
        <v>25143</v>
      </c>
      <c r="D5705" s="28" t="s">
        <v>4101</v>
      </c>
      <c r="E5705" s="28" t="s">
        <v>28501</v>
      </c>
      <c r="F5705" s="28" t="s">
        <v>21</v>
      </c>
      <c r="G5705" s="28" t="s">
        <v>39</v>
      </c>
      <c r="H5705" s="28" t="s">
        <v>27631</v>
      </c>
      <c r="I5705" s="28" t="s">
        <v>28511</v>
      </c>
      <c r="J5705" s="28" t="s">
        <v>39</v>
      </c>
      <c r="K5705" s="28" t="s">
        <v>27633</v>
      </c>
      <c r="L5705" s="28" t="s">
        <v>27634</v>
      </c>
      <c r="M5705" s="28" t="s">
        <v>28512</v>
      </c>
      <c r="N5705" s="28" t="s">
        <v>27636</v>
      </c>
      <c r="O5705" s="28" t="s">
        <v>27637</v>
      </c>
      <c r="P5705" s="28" t="s">
        <v>28504</v>
      </c>
    </row>
    <row r="5706" spans="1:16" x14ac:dyDescent="0.25">
      <c r="A5706" s="28" t="s">
        <v>28513</v>
      </c>
      <c r="B5706" s="28" t="s">
        <v>28514</v>
      </c>
      <c r="C5706" s="28" t="s">
        <v>25143</v>
      </c>
      <c r="D5706" s="28" t="s">
        <v>4101</v>
      </c>
      <c r="E5706" s="28" t="s">
        <v>28501</v>
      </c>
      <c r="F5706" s="28" t="s">
        <v>21</v>
      </c>
      <c r="G5706" s="28" t="s">
        <v>39</v>
      </c>
      <c r="H5706" s="28" t="s">
        <v>27631</v>
      </c>
      <c r="I5706" s="28" t="s">
        <v>28515</v>
      </c>
      <c r="J5706" s="28" t="s">
        <v>39</v>
      </c>
      <c r="K5706" s="28" t="s">
        <v>27633</v>
      </c>
      <c r="L5706" s="28" t="s">
        <v>27634</v>
      </c>
      <c r="M5706" s="28" t="s">
        <v>28516</v>
      </c>
      <c r="N5706" s="28" t="s">
        <v>27636</v>
      </c>
      <c r="O5706" s="28" t="s">
        <v>27637</v>
      </c>
      <c r="P5706" s="28" t="s">
        <v>28504</v>
      </c>
    </row>
    <row r="5707" spans="1:16" x14ac:dyDescent="0.25">
      <c r="A5707" s="28" t="s">
        <v>28517</v>
      </c>
      <c r="B5707" s="28" t="s">
        <v>28518</v>
      </c>
      <c r="C5707" s="28" t="s">
        <v>25143</v>
      </c>
      <c r="D5707" s="28" t="s">
        <v>4101</v>
      </c>
      <c r="E5707" s="28" t="s">
        <v>28501</v>
      </c>
      <c r="F5707" s="28" t="s">
        <v>21</v>
      </c>
      <c r="G5707" s="28" t="s">
        <v>39</v>
      </c>
      <c r="H5707" s="28" t="s">
        <v>27631</v>
      </c>
      <c r="I5707" s="28" t="s">
        <v>28519</v>
      </c>
      <c r="J5707" s="28" t="s">
        <v>39</v>
      </c>
      <c r="K5707" s="28" t="s">
        <v>27633</v>
      </c>
      <c r="L5707" s="28" t="s">
        <v>27634</v>
      </c>
      <c r="M5707" s="28" t="s">
        <v>28520</v>
      </c>
      <c r="N5707" s="28" t="s">
        <v>27636</v>
      </c>
      <c r="O5707" s="28" t="s">
        <v>27637</v>
      </c>
      <c r="P5707" s="28" t="s">
        <v>28504</v>
      </c>
    </row>
    <row r="5708" spans="1:16" x14ac:dyDescent="0.25">
      <c r="A5708" s="28" t="s">
        <v>28521</v>
      </c>
      <c r="B5708" s="28" t="s">
        <v>28522</v>
      </c>
      <c r="C5708" s="28" t="s">
        <v>25143</v>
      </c>
      <c r="D5708" s="28" t="s">
        <v>4101</v>
      </c>
      <c r="E5708" s="28" t="s">
        <v>28501</v>
      </c>
      <c r="F5708" s="28" t="s">
        <v>21</v>
      </c>
      <c r="G5708" s="28" t="s">
        <v>39</v>
      </c>
      <c r="H5708" s="28" t="s">
        <v>27631</v>
      </c>
      <c r="I5708" s="28" t="s">
        <v>28523</v>
      </c>
      <c r="J5708" s="28" t="s">
        <v>39</v>
      </c>
      <c r="K5708" s="28" t="s">
        <v>27633</v>
      </c>
      <c r="L5708" s="28" t="s">
        <v>27634</v>
      </c>
      <c r="M5708" s="28" t="s">
        <v>28524</v>
      </c>
      <c r="N5708" s="28" t="s">
        <v>27636</v>
      </c>
      <c r="O5708" s="28" t="s">
        <v>27637</v>
      </c>
      <c r="P5708" s="28" t="s">
        <v>28504</v>
      </c>
    </row>
    <row r="5709" spans="1:16" x14ac:dyDescent="0.25">
      <c r="A5709" s="28" t="s">
        <v>28525</v>
      </c>
      <c r="B5709" s="28" t="s">
        <v>28526</v>
      </c>
      <c r="C5709" s="28" t="s">
        <v>25143</v>
      </c>
      <c r="D5709" s="28" t="s">
        <v>4101</v>
      </c>
      <c r="E5709" s="28" t="s">
        <v>28501</v>
      </c>
      <c r="F5709" s="28" t="s">
        <v>21</v>
      </c>
      <c r="G5709" s="28" t="s">
        <v>39</v>
      </c>
      <c r="H5709" s="28" t="s">
        <v>27631</v>
      </c>
      <c r="I5709" s="28" t="s">
        <v>28527</v>
      </c>
      <c r="J5709" s="28" t="s">
        <v>39</v>
      </c>
      <c r="K5709" s="28" t="s">
        <v>27633</v>
      </c>
      <c r="L5709" s="28" t="s">
        <v>27634</v>
      </c>
      <c r="M5709" s="28" t="s">
        <v>28528</v>
      </c>
      <c r="N5709" s="28" t="s">
        <v>27636</v>
      </c>
      <c r="O5709" s="28" t="s">
        <v>27637</v>
      </c>
      <c r="P5709" s="28" t="s">
        <v>28504</v>
      </c>
    </row>
    <row r="5710" spans="1:16" x14ac:dyDescent="0.25">
      <c r="A5710" s="28" t="s">
        <v>28529</v>
      </c>
      <c r="B5710" s="28" t="s">
        <v>28530</v>
      </c>
      <c r="C5710" s="28" t="s">
        <v>25143</v>
      </c>
      <c r="D5710" s="28" t="s">
        <v>4101</v>
      </c>
      <c r="E5710" s="28" t="s">
        <v>28501</v>
      </c>
      <c r="F5710" s="28" t="s">
        <v>21</v>
      </c>
      <c r="G5710" s="28" t="s">
        <v>39</v>
      </c>
      <c r="H5710" s="28" t="s">
        <v>27631</v>
      </c>
      <c r="I5710" s="28" t="s">
        <v>28531</v>
      </c>
      <c r="J5710" s="28" t="s">
        <v>39</v>
      </c>
      <c r="K5710" s="28" t="s">
        <v>27633</v>
      </c>
      <c r="L5710" s="28" t="s">
        <v>27634</v>
      </c>
      <c r="M5710" s="28" t="s">
        <v>28532</v>
      </c>
      <c r="N5710" s="28" t="s">
        <v>27636</v>
      </c>
      <c r="O5710" s="28" t="s">
        <v>27637</v>
      </c>
      <c r="P5710" s="28" t="s">
        <v>28504</v>
      </c>
    </row>
    <row r="5711" spans="1:16" x14ac:dyDescent="0.25">
      <c r="A5711" s="28" t="s">
        <v>28533</v>
      </c>
      <c r="B5711" s="28" t="s">
        <v>28534</v>
      </c>
      <c r="C5711" s="28" t="s">
        <v>25143</v>
      </c>
      <c r="D5711" s="28" t="s">
        <v>4101</v>
      </c>
      <c r="E5711" s="28" t="s">
        <v>28501</v>
      </c>
      <c r="F5711" s="28" t="s">
        <v>21</v>
      </c>
      <c r="G5711" s="28" t="s">
        <v>39</v>
      </c>
      <c r="H5711" s="28" t="s">
        <v>27631</v>
      </c>
      <c r="I5711" s="28" t="s">
        <v>28535</v>
      </c>
      <c r="J5711" s="28" t="s">
        <v>39</v>
      </c>
      <c r="K5711" s="28" t="s">
        <v>27633</v>
      </c>
      <c r="L5711" s="28" t="s">
        <v>27634</v>
      </c>
      <c r="M5711" s="28" t="s">
        <v>28536</v>
      </c>
      <c r="N5711" s="28" t="s">
        <v>27636</v>
      </c>
      <c r="O5711" s="28" t="s">
        <v>27637</v>
      </c>
      <c r="P5711" s="28" t="s">
        <v>28504</v>
      </c>
    </row>
    <row r="5712" spans="1:16" x14ac:dyDescent="0.25">
      <c r="A5712" s="28" t="s">
        <v>28537</v>
      </c>
      <c r="B5712" s="28" t="s">
        <v>28538</v>
      </c>
      <c r="C5712" s="28" t="s">
        <v>25143</v>
      </c>
      <c r="D5712" s="28" t="s">
        <v>4101</v>
      </c>
      <c r="E5712" s="28" t="s">
        <v>28501</v>
      </c>
      <c r="F5712" s="28" t="s">
        <v>21</v>
      </c>
      <c r="G5712" s="28" t="s">
        <v>39</v>
      </c>
      <c r="H5712" s="28" t="s">
        <v>27631</v>
      </c>
      <c r="I5712" s="28" t="s">
        <v>28539</v>
      </c>
      <c r="J5712" s="28" t="s">
        <v>39</v>
      </c>
      <c r="K5712" s="28" t="s">
        <v>27633</v>
      </c>
      <c r="L5712" s="28" t="s">
        <v>27634</v>
      </c>
      <c r="M5712" s="28" t="s">
        <v>28540</v>
      </c>
      <c r="N5712" s="28" t="s">
        <v>27636</v>
      </c>
      <c r="O5712" s="28" t="s">
        <v>27637</v>
      </c>
      <c r="P5712" s="28" t="s">
        <v>28504</v>
      </c>
    </row>
    <row r="5713" spans="1:16" x14ac:dyDescent="0.25">
      <c r="A5713" s="28" t="s">
        <v>28541</v>
      </c>
      <c r="B5713" s="28" t="s">
        <v>28542</v>
      </c>
      <c r="C5713" s="28" t="s">
        <v>25143</v>
      </c>
      <c r="D5713" s="28" t="s">
        <v>4101</v>
      </c>
      <c r="E5713" s="28" t="s">
        <v>28501</v>
      </c>
      <c r="F5713" s="28" t="s">
        <v>21</v>
      </c>
      <c r="G5713" s="28" t="s">
        <v>39</v>
      </c>
      <c r="H5713" s="28" t="s">
        <v>27631</v>
      </c>
      <c r="I5713" s="28" t="s">
        <v>28543</v>
      </c>
      <c r="J5713" s="28" t="s">
        <v>39</v>
      </c>
      <c r="K5713" s="28" t="s">
        <v>27633</v>
      </c>
      <c r="L5713" s="28" t="s">
        <v>27634</v>
      </c>
      <c r="M5713" s="28" t="s">
        <v>28544</v>
      </c>
      <c r="N5713" s="28" t="s">
        <v>27636</v>
      </c>
      <c r="O5713" s="28" t="s">
        <v>27637</v>
      </c>
      <c r="P5713" s="28" t="s">
        <v>28504</v>
      </c>
    </row>
    <row r="5714" spans="1:16" x14ac:dyDescent="0.25">
      <c r="A5714" s="28" t="s">
        <v>28545</v>
      </c>
      <c r="B5714" s="28" t="s">
        <v>28546</v>
      </c>
      <c r="C5714" s="28" t="s">
        <v>25143</v>
      </c>
      <c r="D5714" s="28" t="s">
        <v>4101</v>
      </c>
      <c r="E5714" s="28" t="s">
        <v>28501</v>
      </c>
      <c r="F5714" s="28" t="s">
        <v>21</v>
      </c>
      <c r="G5714" s="28" t="s">
        <v>39</v>
      </c>
      <c r="H5714" s="28" t="s">
        <v>27631</v>
      </c>
      <c r="I5714" s="28" t="s">
        <v>28547</v>
      </c>
      <c r="J5714" s="28" t="s">
        <v>39</v>
      </c>
      <c r="K5714" s="28" t="s">
        <v>27633</v>
      </c>
      <c r="L5714" s="28" t="s">
        <v>27634</v>
      </c>
      <c r="M5714" s="28" t="s">
        <v>28548</v>
      </c>
      <c r="N5714" s="28" t="s">
        <v>27636</v>
      </c>
      <c r="O5714" s="28" t="s">
        <v>27637</v>
      </c>
      <c r="P5714" s="28" t="s">
        <v>28504</v>
      </c>
    </row>
    <row r="5715" spans="1:16" x14ac:dyDescent="0.25">
      <c r="A5715" s="28" t="s">
        <v>28549</v>
      </c>
      <c r="B5715" s="28" t="s">
        <v>28550</v>
      </c>
      <c r="C5715" s="28" t="s">
        <v>25143</v>
      </c>
      <c r="D5715" s="28" t="s">
        <v>4101</v>
      </c>
      <c r="E5715" s="28" t="s">
        <v>28501</v>
      </c>
      <c r="F5715" s="28" t="s">
        <v>21</v>
      </c>
      <c r="G5715" s="28" t="s">
        <v>39</v>
      </c>
      <c r="H5715" s="28" t="s">
        <v>27631</v>
      </c>
      <c r="I5715" s="28" t="s">
        <v>28551</v>
      </c>
      <c r="J5715" s="28" t="s">
        <v>39</v>
      </c>
      <c r="K5715" s="28" t="s">
        <v>27633</v>
      </c>
      <c r="L5715" s="28" t="s">
        <v>27634</v>
      </c>
      <c r="M5715" s="28" t="s">
        <v>28552</v>
      </c>
      <c r="N5715" s="28" t="s">
        <v>27636</v>
      </c>
      <c r="O5715" s="28" t="s">
        <v>27637</v>
      </c>
      <c r="P5715" s="28" t="s">
        <v>28504</v>
      </c>
    </row>
    <row r="5716" spans="1:16" x14ac:dyDescent="0.25">
      <c r="A5716" s="28" t="s">
        <v>28553</v>
      </c>
      <c r="B5716" s="28" t="s">
        <v>28554</v>
      </c>
      <c r="C5716" s="28" t="s">
        <v>25143</v>
      </c>
      <c r="D5716" s="28" t="s">
        <v>4101</v>
      </c>
      <c r="E5716" s="28" t="s">
        <v>28501</v>
      </c>
      <c r="F5716" s="28" t="s">
        <v>21</v>
      </c>
      <c r="G5716" s="28" t="s">
        <v>39</v>
      </c>
      <c r="H5716" s="28" t="s">
        <v>27631</v>
      </c>
      <c r="I5716" s="28" t="s">
        <v>28555</v>
      </c>
      <c r="J5716" s="28" t="s">
        <v>39</v>
      </c>
      <c r="K5716" s="28" t="s">
        <v>27633</v>
      </c>
      <c r="L5716" s="28" t="s">
        <v>27634</v>
      </c>
      <c r="M5716" s="28" t="s">
        <v>28556</v>
      </c>
      <c r="N5716" s="28" t="s">
        <v>27636</v>
      </c>
      <c r="O5716" s="28" t="s">
        <v>27637</v>
      </c>
      <c r="P5716" s="28" t="s">
        <v>28504</v>
      </c>
    </row>
    <row r="5717" spans="1:16" x14ac:dyDescent="0.25">
      <c r="A5717" s="28" t="s">
        <v>28557</v>
      </c>
      <c r="B5717" s="28" t="s">
        <v>28558</v>
      </c>
      <c r="C5717" s="28" t="s">
        <v>25143</v>
      </c>
      <c r="D5717" s="28" t="s">
        <v>4101</v>
      </c>
      <c r="E5717" s="28" t="s">
        <v>28501</v>
      </c>
      <c r="F5717" s="28" t="s">
        <v>21</v>
      </c>
      <c r="G5717" s="28" t="s">
        <v>39</v>
      </c>
      <c r="H5717" s="28" t="s">
        <v>27631</v>
      </c>
      <c r="I5717" s="28" t="s">
        <v>28559</v>
      </c>
      <c r="J5717" s="28" t="s">
        <v>39</v>
      </c>
      <c r="K5717" s="28" t="s">
        <v>27633</v>
      </c>
      <c r="L5717" s="28" t="s">
        <v>27634</v>
      </c>
      <c r="M5717" s="28" t="s">
        <v>28560</v>
      </c>
      <c r="N5717" s="28" t="s">
        <v>27636</v>
      </c>
      <c r="O5717" s="28" t="s">
        <v>27637</v>
      </c>
      <c r="P5717" s="28" t="s">
        <v>28504</v>
      </c>
    </row>
    <row r="5718" spans="1:16" x14ac:dyDescent="0.25">
      <c r="A5718" s="28" t="s">
        <v>28561</v>
      </c>
      <c r="B5718" s="28" t="s">
        <v>28562</v>
      </c>
      <c r="C5718" s="28" t="s">
        <v>25143</v>
      </c>
      <c r="D5718" s="28" t="s">
        <v>4101</v>
      </c>
      <c r="E5718" s="28" t="s">
        <v>28501</v>
      </c>
      <c r="F5718" s="28" t="s">
        <v>21</v>
      </c>
      <c r="G5718" s="28" t="s">
        <v>39</v>
      </c>
      <c r="H5718" s="28" t="s">
        <v>27631</v>
      </c>
      <c r="I5718" s="28" t="s">
        <v>28563</v>
      </c>
      <c r="J5718" s="28" t="s">
        <v>39</v>
      </c>
      <c r="K5718" s="28" t="s">
        <v>27633</v>
      </c>
      <c r="L5718" s="28" t="s">
        <v>27634</v>
      </c>
      <c r="M5718" s="28" t="s">
        <v>28564</v>
      </c>
      <c r="N5718" s="28" t="s">
        <v>27636</v>
      </c>
      <c r="O5718" s="28" t="s">
        <v>27637</v>
      </c>
      <c r="P5718" s="28" t="s">
        <v>28504</v>
      </c>
    </row>
    <row r="5719" spans="1:16" x14ac:dyDescent="0.25">
      <c r="A5719" s="28" t="s">
        <v>28565</v>
      </c>
      <c r="B5719" s="28" t="s">
        <v>28566</v>
      </c>
      <c r="C5719" s="28" t="s">
        <v>25143</v>
      </c>
      <c r="D5719" s="28" t="s">
        <v>4101</v>
      </c>
      <c r="E5719" s="28" t="s">
        <v>28501</v>
      </c>
      <c r="F5719" s="28" t="s">
        <v>21</v>
      </c>
      <c r="G5719" s="28" t="s">
        <v>39</v>
      </c>
      <c r="H5719" s="28" t="s">
        <v>27631</v>
      </c>
      <c r="I5719" s="28" t="s">
        <v>28567</v>
      </c>
      <c r="J5719" s="28" t="s">
        <v>39</v>
      </c>
      <c r="K5719" s="28" t="s">
        <v>27633</v>
      </c>
      <c r="L5719" s="28" t="s">
        <v>27634</v>
      </c>
      <c r="M5719" s="28" t="s">
        <v>28568</v>
      </c>
      <c r="N5719" s="28" t="s">
        <v>27636</v>
      </c>
      <c r="O5719" s="28" t="s">
        <v>27637</v>
      </c>
      <c r="P5719" s="28" t="s">
        <v>28504</v>
      </c>
    </row>
    <row r="5720" spans="1:16" x14ac:dyDescent="0.25">
      <c r="A5720" s="28" t="s">
        <v>28569</v>
      </c>
      <c r="B5720" s="28" t="s">
        <v>28570</v>
      </c>
      <c r="C5720" s="28" t="s">
        <v>25143</v>
      </c>
      <c r="D5720" s="28" t="s">
        <v>4101</v>
      </c>
      <c r="E5720" s="28" t="s">
        <v>28501</v>
      </c>
      <c r="F5720" s="28" t="s">
        <v>21</v>
      </c>
      <c r="G5720" s="28" t="s">
        <v>39</v>
      </c>
      <c r="H5720" s="28" t="s">
        <v>27631</v>
      </c>
      <c r="I5720" s="28" t="s">
        <v>28571</v>
      </c>
      <c r="J5720" s="28" t="s">
        <v>39</v>
      </c>
      <c r="K5720" s="28" t="s">
        <v>27633</v>
      </c>
      <c r="L5720" s="28" t="s">
        <v>27634</v>
      </c>
      <c r="M5720" s="28" t="s">
        <v>28572</v>
      </c>
      <c r="N5720" s="28" t="s">
        <v>27636</v>
      </c>
      <c r="O5720" s="28" t="s">
        <v>27637</v>
      </c>
      <c r="P5720" s="28" t="s">
        <v>28504</v>
      </c>
    </row>
    <row r="5721" spans="1:16" x14ac:dyDescent="0.25">
      <c r="A5721" s="28" t="s">
        <v>28573</v>
      </c>
      <c r="B5721" s="28" t="s">
        <v>28574</v>
      </c>
      <c r="C5721" s="28" t="s">
        <v>25143</v>
      </c>
      <c r="D5721" s="28" t="s">
        <v>4101</v>
      </c>
      <c r="E5721" s="28" t="s">
        <v>28501</v>
      </c>
      <c r="F5721" s="28" t="s">
        <v>21</v>
      </c>
      <c r="G5721" s="28" t="s">
        <v>39</v>
      </c>
      <c r="H5721" s="28" t="s">
        <v>27631</v>
      </c>
      <c r="I5721" s="28" t="s">
        <v>28575</v>
      </c>
      <c r="J5721" s="28" t="s">
        <v>39</v>
      </c>
      <c r="K5721" s="28" t="s">
        <v>27633</v>
      </c>
      <c r="L5721" s="28" t="s">
        <v>27634</v>
      </c>
      <c r="M5721" s="28" t="s">
        <v>28576</v>
      </c>
      <c r="N5721" s="28" t="s">
        <v>27636</v>
      </c>
      <c r="O5721" s="28" t="s">
        <v>27637</v>
      </c>
      <c r="P5721" s="28" t="s">
        <v>28504</v>
      </c>
    </row>
    <row r="5722" spans="1:16" x14ac:dyDescent="0.25">
      <c r="A5722" s="28" t="s">
        <v>28577</v>
      </c>
      <c r="B5722" s="28" t="s">
        <v>28578</v>
      </c>
      <c r="C5722" s="28" t="s">
        <v>25143</v>
      </c>
      <c r="D5722" s="28" t="s">
        <v>4101</v>
      </c>
      <c r="E5722" s="28" t="s">
        <v>28501</v>
      </c>
      <c r="F5722" s="28" t="s">
        <v>21</v>
      </c>
      <c r="G5722" s="28" t="s">
        <v>39</v>
      </c>
      <c r="H5722" s="28" t="s">
        <v>27631</v>
      </c>
      <c r="I5722" s="28" t="s">
        <v>28579</v>
      </c>
      <c r="J5722" s="28" t="s">
        <v>39</v>
      </c>
      <c r="K5722" s="28" t="s">
        <v>27633</v>
      </c>
      <c r="L5722" s="28" t="s">
        <v>27634</v>
      </c>
      <c r="M5722" s="28" t="s">
        <v>28580</v>
      </c>
      <c r="N5722" s="28" t="s">
        <v>27636</v>
      </c>
      <c r="O5722" s="28" t="s">
        <v>27637</v>
      </c>
      <c r="P5722" s="28" t="s">
        <v>28504</v>
      </c>
    </row>
    <row r="5723" spans="1:16" x14ac:dyDescent="0.25">
      <c r="A5723" s="28" t="s">
        <v>28581</v>
      </c>
      <c r="B5723" s="28" t="s">
        <v>28582</v>
      </c>
      <c r="C5723" s="28" t="s">
        <v>25143</v>
      </c>
      <c r="D5723" s="28" t="s">
        <v>4101</v>
      </c>
      <c r="E5723" s="28" t="s">
        <v>28501</v>
      </c>
      <c r="F5723" s="28" t="s">
        <v>21</v>
      </c>
      <c r="G5723" s="28" t="s">
        <v>39</v>
      </c>
      <c r="H5723" s="28" t="s">
        <v>27631</v>
      </c>
      <c r="I5723" s="28" t="s">
        <v>28583</v>
      </c>
      <c r="J5723" s="28" t="s">
        <v>39</v>
      </c>
      <c r="K5723" s="28" t="s">
        <v>27633</v>
      </c>
      <c r="L5723" s="28" t="s">
        <v>27634</v>
      </c>
      <c r="M5723" s="28" t="s">
        <v>28584</v>
      </c>
      <c r="N5723" s="28" t="s">
        <v>27636</v>
      </c>
      <c r="O5723" s="28" t="s">
        <v>27637</v>
      </c>
      <c r="P5723" s="28" t="s">
        <v>28504</v>
      </c>
    </row>
    <row r="5724" spans="1:16" x14ac:dyDescent="0.25">
      <c r="A5724" s="28" t="s">
        <v>28585</v>
      </c>
      <c r="B5724" s="28" t="s">
        <v>28586</v>
      </c>
      <c r="C5724" s="28" t="s">
        <v>25143</v>
      </c>
      <c r="D5724" s="28" t="s">
        <v>4101</v>
      </c>
      <c r="E5724" s="28" t="s">
        <v>28501</v>
      </c>
      <c r="F5724" s="28" t="s">
        <v>21</v>
      </c>
      <c r="G5724" s="28" t="s">
        <v>39</v>
      </c>
      <c r="H5724" s="28" t="s">
        <v>27631</v>
      </c>
      <c r="I5724" s="28" t="s">
        <v>28587</v>
      </c>
      <c r="J5724" s="28" t="s">
        <v>39</v>
      </c>
      <c r="K5724" s="28" t="s">
        <v>27633</v>
      </c>
      <c r="L5724" s="28" t="s">
        <v>27634</v>
      </c>
      <c r="M5724" s="28" t="s">
        <v>28588</v>
      </c>
      <c r="N5724" s="28" t="s">
        <v>27636</v>
      </c>
      <c r="O5724" s="28" t="s">
        <v>27637</v>
      </c>
      <c r="P5724" s="28" t="s">
        <v>28504</v>
      </c>
    </row>
    <row r="5725" spans="1:16" x14ac:dyDescent="0.25">
      <c r="A5725" s="28" t="s">
        <v>28589</v>
      </c>
      <c r="B5725" s="28" t="s">
        <v>28590</v>
      </c>
      <c r="C5725" s="28" t="s">
        <v>25143</v>
      </c>
      <c r="D5725" s="28" t="s">
        <v>4101</v>
      </c>
      <c r="E5725" s="28" t="s">
        <v>28501</v>
      </c>
      <c r="F5725" s="28" t="s">
        <v>21</v>
      </c>
      <c r="G5725" s="28" t="s">
        <v>39</v>
      </c>
      <c r="H5725" s="28" t="s">
        <v>27631</v>
      </c>
      <c r="I5725" s="28" t="s">
        <v>28591</v>
      </c>
      <c r="J5725" s="28" t="s">
        <v>39</v>
      </c>
      <c r="K5725" s="28" t="s">
        <v>27633</v>
      </c>
      <c r="L5725" s="28" t="s">
        <v>27634</v>
      </c>
      <c r="M5725" s="28" t="s">
        <v>28592</v>
      </c>
      <c r="N5725" s="28" t="s">
        <v>27636</v>
      </c>
      <c r="O5725" s="28" t="s">
        <v>27637</v>
      </c>
      <c r="P5725" s="28" t="s">
        <v>28504</v>
      </c>
    </row>
    <row r="5726" spans="1:16" x14ac:dyDescent="0.25">
      <c r="A5726" s="28" t="s">
        <v>28593</v>
      </c>
      <c r="B5726" s="28" t="s">
        <v>28594</v>
      </c>
      <c r="C5726" s="28" t="s">
        <v>25143</v>
      </c>
      <c r="D5726" s="28" t="s">
        <v>4101</v>
      </c>
      <c r="E5726" s="28" t="s">
        <v>28595</v>
      </c>
      <c r="F5726" s="28" t="s">
        <v>21</v>
      </c>
      <c r="G5726" s="28" t="s">
        <v>39</v>
      </c>
      <c r="H5726" s="28" t="s">
        <v>27631</v>
      </c>
      <c r="I5726" s="28" t="s">
        <v>28596</v>
      </c>
      <c r="J5726" s="28" t="s">
        <v>39</v>
      </c>
      <c r="K5726" s="28" t="s">
        <v>27633</v>
      </c>
      <c r="L5726" s="28" t="s">
        <v>27634</v>
      </c>
      <c r="M5726" s="28" t="s">
        <v>28597</v>
      </c>
      <c r="N5726" s="28" t="s">
        <v>27636</v>
      </c>
      <c r="O5726" s="28" t="s">
        <v>27637</v>
      </c>
      <c r="P5726" s="28" t="s">
        <v>28598</v>
      </c>
    </row>
    <row r="5727" spans="1:16" x14ac:dyDescent="0.25">
      <c r="A5727" s="28" t="s">
        <v>28599</v>
      </c>
      <c r="B5727" s="28" t="s">
        <v>28600</v>
      </c>
      <c r="C5727" s="28" t="s">
        <v>25143</v>
      </c>
      <c r="D5727" s="28" t="s">
        <v>4101</v>
      </c>
      <c r="E5727" s="28" t="s">
        <v>28595</v>
      </c>
      <c r="F5727" s="28" t="s">
        <v>21</v>
      </c>
      <c r="G5727" s="28" t="s">
        <v>39</v>
      </c>
      <c r="H5727" s="28" t="s">
        <v>27631</v>
      </c>
      <c r="I5727" s="28" t="s">
        <v>28601</v>
      </c>
      <c r="J5727" s="28" t="s">
        <v>39</v>
      </c>
      <c r="K5727" s="28" t="s">
        <v>27633</v>
      </c>
      <c r="L5727" s="28" t="s">
        <v>27634</v>
      </c>
      <c r="M5727" s="28" t="s">
        <v>28602</v>
      </c>
      <c r="N5727" s="28" t="s">
        <v>27636</v>
      </c>
      <c r="O5727" s="28" t="s">
        <v>27637</v>
      </c>
      <c r="P5727" s="28" t="s">
        <v>28598</v>
      </c>
    </row>
    <row r="5728" spans="1:16" x14ac:dyDescent="0.25">
      <c r="A5728" s="28" t="s">
        <v>28603</v>
      </c>
      <c r="B5728" s="28" t="s">
        <v>28604</v>
      </c>
      <c r="C5728" s="28" t="s">
        <v>25143</v>
      </c>
      <c r="D5728" s="28" t="s">
        <v>4101</v>
      </c>
      <c r="E5728" s="28" t="s">
        <v>28595</v>
      </c>
      <c r="F5728" s="28" t="s">
        <v>21</v>
      </c>
      <c r="G5728" s="28" t="s">
        <v>39</v>
      </c>
      <c r="H5728" s="28" t="s">
        <v>27631</v>
      </c>
      <c r="I5728" s="28" t="s">
        <v>28605</v>
      </c>
      <c r="J5728" s="28" t="s">
        <v>39</v>
      </c>
      <c r="K5728" s="28" t="s">
        <v>27633</v>
      </c>
      <c r="L5728" s="28" t="s">
        <v>27634</v>
      </c>
      <c r="M5728" s="28" t="s">
        <v>28606</v>
      </c>
      <c r="N5728" s="28" t="s">
        <v>27636</v>
      </c>
      <c r="O5728" s="28" t="s">
        <v>27637</v>
      </c>
      <c r="P5728" s="28" t="s">
        <v>28598</v>
      </c>
    </row>
    <row r="5729" spans="1:16" x14ac:dyDescent="0.25">
      <c r="A5729" s="28" t="s">
        <v>28607</v>
      </c>
      <c r="B5729" s="28" t="s">
        <v>28608</v>
      </c>
      <c r="C5729" s="28" t="s">
        <v>25143</v>
      </c>
      <c r="D5729" s="28" t="s">
        <v>4101</v>
      </c>
      <c r="E5729" s="28" t="s">
        <v>28595</v>
      </c>
      <c r="F5729" s="28" t="s">
        <v>21</v>
      </c>
      <c r="G5729" s="28" t="s">
        <v>39</v>
      </c>
      <c r="H5729" s="28" t="s">
        <v>27631</v>
      </c>
      <c r="I5729" s="28" t="s">
        <v>28609</v>
      </c>
      <c r="J5729" s="28" t="s">
        <v>39</v>
      </c>
      <c r="K5729" s="28" t="s">
        <v>27633</v>
      </c>
      <c r="L5729" s="28" t="s">
        <v>27634</v>
      </c>
      <c r="M5729" s="28" t="s">
        <v>28610</v>
      </c>
      <c r="N5729" s="28" t="s">
        <v>27636</v>
      </c>
      <c r="O5729" s="28" t="s">
        <v>27637</v>
      </c>
      <c r="P5729" s="28" t="s">
        <v>28598</v>
      </c>
    </row>
    <row r="5730" spans="1:16" x14ac:dyDescent="0.25">
      <c r="A5730" s="28" t="s">
        <v>28611</v>
      </c>
      <c r="B5730" s="28" t="s">
        <v>28612</v>
      </c>
      <c r="C5730" s="28" t="s">
        <v>25143</v>
      </c>
      <c r="D5730" s="28" t="s">
        <v>4101</v>
      </c>
      <c r="E5730" s="28" t="s">
        <v>28595</v>
      </c>
      <c r="F5730" s="28" t="s">
        <v>21</v>
      </c>
      <c r="G5730" s="28" t="s">
        <v>39</v>
      </c>
      <c r="H5730" s="28" t="s">
        <v>27631</v>
      </c>
      <c r="I5730" s="28" t="s">
        <v>28613</v>
      </c>
      <c r="J5730" s="28" t="s">
        <v>39</v>
      </c>
      <c r="K5730" s="28" t="s">
        <v>27633</v>
      </c>
      <c r="L5730" s="28" t="s">
        <v>27634</v>
      </c>
      <c r="M5730" s="28" t="s">
        <v>28614</v>
      </c>
      <c r="N5730" s="28" t="s">
        <v>27636</v>
      </c>
      <c r="O5730" s="28" t="s">
        <v>27637</v>
      </c>
      <c r="P5730" s="28" t="s">
        <v>28598</v>
      </c>
    </row>
    <row r="5731" spans="1:16" x14ac:dyDescent="0.25">
      <c r="A5731" s="28" t="s">
        <v>28615</v>
      </c>
      <c r="B5731" s="28" t="s">
        <v>28616</v>
      </c>
      <c r="C5731" s="28" t="s">
        <v>25143</v>
      </c>
      <c r="D5731" s="28" t="s">
        <v>4101</v>
      </c>
      <c r="E5731" s="28" t="s">
        <v>28595</v>
      </c>
      <c r="F5731" s="28" t="s">
        <v>21</v>
      </c>
      <c r="G5731" s="28" t="s">
        <v>39</v>
      </c>
      <c r="H5731" s="28" t="s">
        <v>27631</v>
      </c>
      <c r="I5731" s="28" t="s">
        <v>28617</v>
      </c>
      <c r="J5731" s="28" t="s">
        <v>39</v>
      </c>
      <c r="K5731" s="28" t="s">
        <v>27633</v>
      </c>
      <c r="L5731" s="28" t="s">
        <v>27634</v>
      </c>
      <c r="M5731" s="28" t="s">
        <v>28618</v>
      </c>
      <c r="N5731" s="28" t="s">
        <v>27636</v>
      </c>
      <c r="O5731" s="28" t="s">
        <v>27637</v>
      </c>
      <c r="P5731" s="28" t="s">
        <v>28598</v>
      </c>
    </row>
    <row r="5732" spans="1:16" x14ac:dyDescent="0.25">
      <c r="A5732" s="28" t="s">
        <v>28619</v>
      </c>
      <c r="B5732" s="28" t="s">
        <v>28620</v>
      </c>
      <c r="C5732" s="28" t="s">
        <v>25143</v>
      </c>
      <c r="D5732" s="28" t="s">
        <v>4101</v>
      </c>
      <c r="E5732" s="28" t="s">
        <v>28595</v>
      </c>
      <c r="F5732" s="28" t="s">
        <v>21</v>
      </c>
      <c r="G5732" s="28" t="s">
        <v>39</v>
      </c>
      <c r="H5732" s="28" t="s">
        <v>27631</v>
      </c>
      <c r="I5732" s="28" t="s">
        <v>28621</v>
      </c>
      <c r="J5732" s="28" t="s">
        <v>39</v>
      </c>
      <c r="K5732" s="28" t="s">
        <v>27633</v>
      </c>
      <c r="L5732" s="28" t="s">
        <v>27634</v>
      </c>
      <c r="M5732" s="28" t="s">
        <v>28622</v>
      </c>
      <c r="N5732" s="28" t="s">
        <v>27636</v>
      </c>
      <c r="O5732" s="28" t="s">
        <v>27637</v>
      </c>
      <c r="P5732" s="28" t="s">
        <v>28598</v>
      </c>
    </row>
    <row r="5733" spans="1:16" x14ac:dyDescent="0.25">
      <c r="A5733" s="28" t="s">
        <v>28623</v>
      </c>
      <c r="B5733" s="28" t="s">
        <v>28624</v>
      </c>
      <c r="C5733" s="28" t="s">
        <v>25143</v>
      </c>
      <c r="D5733" s="28" t="s">
        <v>4101</v>
      </c>
      <c r="E5733" s="28" t="s">
        <v>28595</v>
      </c>
      <c r="F5733" s="28" t="s">
        <v>21</v>
      </c>
      <c r="G5733" s="28" t="s">
        <v>39</v>
      </c>
      <c r="H5733" s="28" t="s">
        <v>27631</v>
      </c>
      <c r="I5733" s="28" t="s">
        <v>28625</v>
      </c>
      <c r="J5733" s="28" t="s">
        <v>39</v>
      </c>
      <c r="K5733" s="28" t="s">
        <v>27633</v>
      </c>
      <c r="L5733" s="28" t="s">
        <v>27634</v>
      </c>
      <c r="M5733" s="28" t="s">
        <v>28626</v>
      </c>
      <c r="N5733" s="28" t="s">
        <v>27636</v>
      </c>
      <c r="O5733" s="28" t="s">
        <v>27637</v>
      </c>
      <c r="P5733" s="28" t="s">
        <v>28598</v>
      </c>
    </row>
    <row r="5734" spans="1:16" x14ac:dyDescent="0.25">
      <c r="A5734" s="28" t="s">
        <v>28627</v>
      </c>
      <c r="B5734" s="28" t="s">
        <v>28628</v>
      </c>
      <c r="C5734" s="28" t="s">
        <v>25143</v>
      </c>
      <c r="D5734" s="28" t="s">
        <v>4101</v>
      </c>
      <c r="E5734" s="28" t="s">
        <v>28595</v>
      </c>
      <c r="F5734" s="28" t="s">
        <v>21</v>
      </c>
      <c r="G5734" s="28" t="s">
        <v>39</v>
      </c>
      <c r="H5734" s="28" t="s">
        <v>27631</v>
      </c>
      <c r="I5734" s="28" t="s">
        <v>28629</v>
      </c>
      <c r="J5734" s="28" t="s">
        <v>39</v>
      </c>
      <c r="K5734" s="28" t="s">
        <v>27633</v>
      </c>
      <c r="L5734" s="28" t="s">
        <v>27634</v>
      </c>
      <c r="M5734" s="28" t="s">
        <v>28630</v>
      </c>
      <c r="N5734" s="28" t="s">
        <v>27636</v>
      </c>
      <c r="O5734" s="28" t="s">
        <v>27637</v>
      </c>
      <c r="P5734" s="28" t="s">
        <v>28598</v>
      </c>
    </row>
    <row r="5735" spans="1:16" x14ac:dyDescent="0.25">
      <c r="A5735" s="28" t="s">
        <v>28631</v>
      </c>
      <c r="B5735" s="28" t="s">
        <v>28632</v>
      </c>
      <c r="C5735" s="28" t="s">
        <v>25143</v>
      </c>
      <c r="D5735" s="28" t="s">
        <v>4101</v>
      </c>
      <c r="E5735" s="28" t="s">
        <v>28595</v>
      </c>
      <c r="F5735" s="28" t="s">
        <v>21</v>
      </c>
      <c r="G5735" s="28" t="s">
        <v>39</v>
      </c>
      <c r="H5735" s="28" t="s">
        <v>27631</v>
      </c>
      <c r="I5735" s="28" t="s">
        <v>28633</v>
      </c>
      <c r="J5735" s="28" t="s">
        <v>39</v>
      </c>
      <c r="K5735" s="28" t="s">
        <v>27633</v>
      </c>
      <c r="L5735" s="28" t="s">
        <v>27634</v>
      </c>
      <c r="M5735" s="28" t="s">
        <v>28634</v>
      </c>
      <c r="N5735" s="28" t="s">
        <v>27636</v>
      </c>
      <c r="O5735" s="28" t="s">
        <v>27637</v>
      </c>
      <c r="P5735" s="28" t="s">
        <v>28598</v>
      </c>
    </row>
    <row r="5736" spans="1:16" x14ac:dyDescent="0.25">
      <c r="A5736" s="28" t="s">
        <v>28635</v>
      </c>
      <c r="B5736" s="28" t="s">
        <v>28636</v>
      </c>
      <c r="C5736" s="28" t="s">
        <v>25143</v>
      </c>
      <c r="D5736" s="28" t="s">
        <v>4101</v>
      </c>
      <c r="E5736" s="28" t="s">
        <v>28595</v>
      </c>
      <c r="F5736" s="28" t="s">
        <v>21</v>
      </c>
      <c r="G5736" s="28" t="s">
        <v>39</v>
      </c>
      <c r="H5736" s="28" t="s">
        <v>27631</v>
      </c>
      <c r="I5736" s="28" t="s">
        <v>28637</v>
      </c>
      <c r="J5736" s="28" t="s">
        <v>39</v>
      </c>
      <c r="K5736" s="28" t="s">
        <v>27633</v>
      </c>
      <c r="L5736" s="28" t="s">
        <v>27634</v>
      </c>
      <c r="M5736" s="28" t="s">
        <v>28638</v>
      </c>
      <c r="N5736" s="28" t="s">
        <v>27636</v>
      </c>
      <c r="O5736" s="28" t="s">
        <v>27637</v>
      </c>
      <c r="P5736" s="28" t="s">
        <v>28598</v>
      </c>
    </row>
    <row r="5737" spans="1:16" x14ac:dyDescent="0.25">
      <c r="A5737" s="28" t="s">
        <v>28639</v>
      </c>
      <c r="B5737" s="28" t="s">
        <v>28640</v>
      </c>
      <c r="C5737" s="28" t="s">
        <v>25143</v>
      </c>
      <c r="D5737" s="28" t="s">
        <v>4101</v>
      </c>
      <c r="E5737" s="28" t="s">
        <v>28595</v>
      </c>
      <c r="F5737" s="28" t="s">
        <v>21</v>
      </c>
      <c r="G5737" s="28" t="s">
        <v>39</v>
      </c>
      <c r="H5737" s="28" t="s">
        <v>27631</v>
      </c>
      <c r="I5737" s="28" t="s">
        <v>28641</v>
      </c>
      <c r="J5737" s="28" t="s">
        <v>39</v>
      </c>
      <c r="K5737" s="28" t="s">
        <v>27633</v>
      </c>
      <c r="L5737" s="28" t="s">
        <v>27634</v>
      </c>
      <c r="M5737" s="28" t="s">
        <v>28642</v>
      </c>
      <c r="N5737" s="28" t="s">
        <v>27636</v>
      </c>
      <c r="O5737" s="28" t="s">
        <v>27637</v>
      </c>
      <c r="P5737" s="28" t="s">
        <v>28598</v>
      </c>
    </row>
    <row r="5738" spans="1:16" x14ac:dyDescent="0.25">
      <c r="A5738" s="28" t="s">
        <v>28643</v>
      </c>
      <c r="B5738" s="28" t="s">
        <v>28644</v>
      </c>
      <c r="C5738" s="28" t="s">
        <v>25143</v>
      </c>
      <c r="D5738" s="28" t="s">
        <v>4101</v>
      </c>
      <c r="E5738" s="28" t="s">
        <v>28595</v>
      </c>
      <c r="F5738" s="28" t="s">
        <v>21</v>
      </c>
      <c r="G5738" s="28" t="s">
        <v>39</v>
      </c>
      <c r="H5738" s="28" t="s">
        <v>27631</v>
      </c>
      <c r="I5738" s="28" t="s">
        <v>28645</v>
      </c>
      <c r="J5738" s="28" t="s">
        <v>39</v>
      </c>
      <c r="K5738" s="28" t="s">
        <v>27633</v>
      </c>
      <c r="L5738" s="28" t="s">
        <v>27634</v>
      </c>
      <c r="M5738" s="28" t="s">
        <v>28646</v>
      </c>
      <c r="N5738" s="28" t="s">
        <v>27636</v>
      </c>
      <c r="O5738" s="28" t="s">
        <v>27637</v>
      </c>
      <c r="P5738" s="28" t="s">
        <v>28598</v>
      </c>
    </row>
    <row r="5739" spans="1:16" x14ac:dyDescent="0.25">
      <c r="A5739" s="28" t="s">
        <v>28647</v>
      </c>
      <c r="B5739" s="28" t="s">
        <v>28648</v>
      </c>
      <c r="C5739" s="28" t="s">
        <v>25143</v>
      </c>
      <c r="D5739" s="28" t="s">
        <v>4101</v>
      </c>
      <c r="E5739" s="28" t="s">
        <v>28595</v>
      </c>
      <c r="F5739" s="28" t="s">
        <v>21</v>
      </c>
      <c r="G5739" s="28" t="s">
        <v>39</v>
      </c>
      <c r="H5739" s="28" t="s">
        <v>27631</v>
      </c>
      <c r="I5739" s="28" t="s">
        <v>28649</v>
      </c>
      <c r="J5739" s="28" t="s">
        <v>39</v>
      </c>
      <c r="K5739" s="28" t="s">
        <v>27633</v>
      </c>
      <c r="L5739" s="28" t="s">
        <v>27634</v>
      </c>
      <c r="M5739" s="28" t="s">
        <v>28650</v>
      </c>
      <c r="N5739" s="28" t="s">
        <v>27636</v>
      </c>
      <c r="O5739" s="28" t="s">
        <v>27637</v>
      </c>
      <c r="P5739" s="28" t="s">
        <v>28598</v>
      </c>
    </row>
    <row r="5740" spans="1:16" x14ac:dyDescent="0.25">
      <c r="A5740" s="28" t="s">
        <v>28651</v>
      </c>
      <c r="B5740" s="28" t="s">
        <v>28652</v>
      </c>
      <c r="C5740" s="28" t="s">
        <v>25143</v>
      </c>
      <c r="D5740" s="28" t="s">
        <v>4101</v>
      </c>
      <c r="E5740" s="28" t="s">
        <v>28595</v>
      </c>
      <c r="F5740" s="28" t="s">
        <v>21</v>
      </c>
      <c r="G5740" s="28" t="s">
        <v>39</v>
      </c>
      <c r="H5740" s="28" t="s">
        <v>27631</v>
      </c>
      <c r="I5740" s="28" t="s">
        <v>28653</v>
      </c>
      <c r="J5740" s="28" t="s">
        <v>39</v>
      </c>
      <c r="K5740" s="28" t="s">
        <v>27633</v>
      </c>
      <c r="L5740" s="28" t="s">
        <v>27634</v>
      </c>
      <c r="M5740" s="28" t="s">
        <v>28654</v>
      </c>
      <c r="N5740" s="28" t="s">
        <v>27636</v>
      </c>
      <c r="O5740" s="28" t="s">
        <v>27637</v>
      </c>
      <c r="P5740" s="28" t="s">
        <v>28598</v>
      </c>
    </row>
    <row r="5741" spans="1:16" x14ac:dyDescent="0.25">
      <c r="A5741" s="28" t="s">
        <v>28655</v>
      </c>
      <c r="B5741" s="28" t="s">
        <v>28656</v>
      </c>
      <c r="C5741" s="28" t="s">
        <v>25143</v>
      </c>
      <c r="D5741" s="28" t="s">
        <v>4101</v>
      </c>
      <c r="E5741" s="28" t="s">
        <v>28595</v>
      </c>
      <c r="F5741" s="28" t="s">
        <v>21</v>
      </c>
      <c r="G5741" s="28" t="s">
        <v>39</v>
      </c>
      <c r="H5741" s="28" t="s">
        <v>27631</v>
      </c>
      <c r="I5741" s="28" t="s">
        <v>28657</v>
      </c>
      <c r="J5741" s="28" t="s">
        <v>39</v>
      </c>
      <c r="K5741" s="28" t="s">
        <v>27633</v>
      </c>
      <c r="L5741" s="28" t="s">
        <v>27634</v>
      </c>
      <c r="M5741" s="28" t="s">
        <v>28658</v>
      </c>
      <c r="N5741" s="28" t="s">
        <v>27636</v>
      </c>
      <c r="O5741" s="28" t="s">
        <v>27637</v>
      </c>
      <c r="P5741" s="28" t="s">
        <v>28598</v>
      </c>
    </row>
    <row r="5742" spans="1:16" x14ac:dyDescent="0.25">
      <c r="A5742" s="28" t="s">
        <v>28659</v>
      </c>
      <c r="B5742" s="28" t="s">
        <v>28660</v>
      </c>
      <c r="C5742" s="28" t="s">
        <v>25143</v>
      </c>
      <c r="D5742" s="28" t="s">
        <v>4101</v>
      </c>
      <c r="E5742" s="28" t="s">
        <v>28595</v>
      </c>
      <c r="F5742" s="28" t="s">
        <v>21</v>
      </c>
      <c r="G5742" s="28" t="s">
        <v>39</v>
      </c>
      <c r="H5742" s="28" t="s">
        <v>27631</v>
      </c>
      <c r="I5742" s="28" t="s">
        <v>28661</v>
      </c>
      <c r="J5742" s="28" t="s">
        <v>39</v>
      </c>
      <c r="K5742" s="28" t="s">
        <v>27633</v>
      </c>
      <c r="L5742" s="28" t="s">
        <v>27634</v>
      </c>
      <c r="M5742" s="28" t="s">
        <v>28662</v>
      </c>
      <c r="N5742" s="28" t="s">
        <v>27636</v>
      </c>
      <c r="O5742" s="28" t="s">
        <v>27637</v>
      </c>
      <c r="P5742" s="28" t="s">
        <v>28598</v>
      </c>
    </row>
    <row r="5743" spans="1:16" x14ac:dyDescent="0.25">
      <c r="A5743" s="28" t="s">
        <v>28663</v>
      </c>
      <c r="B5743" s="28" t="s">
        <v>28664</v>
      </c>
      <c r="C5743" s="28" t="s">
        <v>25143</v>
      </c>
      <c r="D5743" s="28" t="s">
        <v>4101</v>
      </c>
      <c r="E5743" s="28" t="s">
        <v>28595</v>
      </c>
      <c r="F5743" s="28" t="s">
        <v>21</v>
      </c>
      <c r="G5743" s="28" t="s">
        <v>39</v>
      </c>
      <c r="H5743" s="28" t="s">
        <v>27631</v>
      </c>
      <c r="I5743" s="28" t="s">
        <v>28665</v>
      </c>
      <c r="J5743" s="28" t="s">
        <v>39</v>
      </c>
      <c r="K5743" s="28" t="s">
        <v>27633</v>
      </c>
      <c r="L5743" s="28" t="s">
        <v>27634</v>
      </c>
      <c r="M5743" s="28" t="s">
        <v>28666</v>
      </c>
      <c r="N5743" s="28" t="s">
        <v>27636</v>
      </c>
      <c r="O5743" s="28" t="s">
        <v>27637</v>
      </c>
      <c r="P5743" s="28" t="s">
        <v>28598</v>
      </c>
    </row>
    <row r="5744" spans="1:16" x14ac:dyDescent="0.25">
      <c r="A5744" s="28" t="s">
        <v>28667</v>
      </c>
      <c r="B5744" s="28" t="s">
        <v>28668</v>
      </c>
      <c r="C5744" s="28" t="s">
        <v>25143</v>
      </c>
      <c r="D5744" s="28" t="s">
        <v>4101</v>
      </c>
      <c r="E5744" s="28" t="s">
        <v>28595</v>
      </c>
      <c r="F5744" s="28" t="s">
        <v>21</v>
      </c>
      <c r="G5744" s="28" t="s">
        <v>39</v>
      </c>
      <c r="H5744" s="28" t="s">
        <v>27631</v>
      </c>
      <c r="I5744" s="28" t="s">
        <v>28669</v>
      </c>
      <c r="J5744" s="28" t="s">
        <v>39</v>
      </c>
      <c r="K5744" s="28" t="s">
        <v>27633</v>
      </c>
      <c r="L5744" s="28" t="s">
        <v>27634</v>
      </c>
      <c r="M5744" s="28" t="s">
        <v>28670</v>
      </c>
      <c r="N5744" s="28" t="s">
        <v>27636</v>
      </c>
      <c r="O5744" s="28" t="s">
        <v>27637</v>
      </c>
      <c r="P5744" s="28" t="s">
        <v>28598</v>
      </c>
    </row>
    <row r="5745" spans="1:16" x14ac:dyDescent="0.25">
      <c r="A5745" s="28" t="s">
        <v>28671</v>
      </c>
      <c r="B5745" s="28" t="s">
        <v>28672</v>
      </c>
      <c r="C5745" s="28" t="s">
        <v>25143</v>
      </c>
      <c r="D5745" s="28" t="s">
        <v>4101</v>
      </c>
      <c r="E5745" s="28" t="s">
        <v>28595</v>
      </c>
      <c r="F5745" s="28" t="s">
        <v>21</v>
      </c>
      <c r="G5745" s="28" t="s">
        <v>39</v>
      </c>
      <c r="H5745" s="28" t="s">
        <v>27631</v>
      </c>
      <c r="I5745" s="28" t="s">
        <v>28673</v>
      </c>
      <c r="J5745" s="28" t="s">
        <v>39</v>
      </c>
      <c r="K5745" s="28" t="s">
        <v>27633</v>
      </c>
      <c r="L5745" s="28" t="s">
        <v>27634</v>
      </c>
      <c r="M5745" s="28" t="s">
        <v>28674</v>
      </c>
      <c r="N5745" s="28" t="s">
        <v>27636</v>
      </c>
      <c r="O5745" s="28" t="s">
        <v>27637</v>
      </c>
      <c r="P5745" s="28" t="s">
        <v>28598</v>
      </c>
    </row>
    <row r="5746" spans="1:16" x14ac:dyDescent="0.25">
      <c r="A5746" s="28" t="s">
        <v>28675</v>
      </c>
      <c r="B5746" s="28" t="s">
        <v>28676</v>
      </c>
      <c r="C5746" s="28" t="s">
        <v>25143</v>
      </c>
      <c r="D5746" s="28" t="s">
        <v>4101</v>
      </c>
      <c r="E5746" s="28" t="s">
        <v>28595</v>
      </c>
      <c r="F5746" s="28" t="s">
        <v>21</v>
      </c>
      <c r="G5746" s="28" t="s">
        <v>39</v>
      </c>
      <c r="H5746" s="28" t="s">
        <v>27631</v>
      </c>
      <c r="I5746" s="28" t="s">
        <v>28677</v>
      </c>
      <c r="J5746" s="28" t="s">
        <v>39</v>
      </c>
      <c r="K5746" s="28" t="s">
        <v>27633</v>
      </c>
      <c r="L5746" s="28" t="s">
        <v>27634</v>
      </c>
      <c r="M5746" s="28" t="s">
        <v>28678</v>
      </c>
      <c r="N5746" s="28" t="s">
        <v>27636</v>
      </c>
      <c r="O5746" s="28" t="s">
        <v>27637</v>
      </c>
      <c r="P5746" s="28" t="s">
        <v>28598</v>
      </c>
    </row>
    <row r="5747" spans="1:16" x14ac:dyDescent="0.25">
      <c r="A5747" s="28" t="s">
        <v>28679</v>
      </c>
      <c r="B5747" s="28" t="s">
        <v>28680</v>
      </c>
      <c r="C5747" s="28" t="s">
        <v>25143</v>
      </c>
      <c r="D5747" s="28" t="s">
        <v>4101</v>
      </c>
      <c r="E5747" s="28" t="s">
        <v>28595</v>
      </c>
      <c r="F5747" s="28" t="s">
        <v>21</v>
      </c>
      <c r="G5747" s="28" t="s">
        <v>39</v>
      </c>
      <c r="H5747" s="28" t="s">
        <v>27631</v>
      </c>
      <c r="I5747" s="28" t="s">
        <v>28681</v>
      </c>
      <c r="J5747" s="28" t="s">
        <v>39</v>
      </c>
      <c r="K5747" s="28" t="s">
        <v>27633</v>
      </c>
      <c r="L5747" s="28" t="s">
        <v>27634</v>
      </c>
      <c r="M5747" s="28" t="s">
        <v>28682</v>
      </c>
      <c r="N5747" s="28" t="s">
        <v>27636</v>
      </c>
      <c r="O5747" s="28" t="s">
        <v>27637</v>
      </c>
      <c r="P5747" s="28" t="s">
        <v>28598</v>
      </c>
    </row>
    <row r="5748" spans="1:16" x14ac:dyDescent="0.25">
      <c r="A5748" s="28" t="s">
        <v>28683</v>
      </c>
      <c r="B5748" s="28" t="s">
        <v>28684</v>
      </c>
      <c r="C5748" s="28" t="s">
        <v>25143</v>
      </c>
      <c r="D5748" s="28" t="s">
        <v>4101</v>
      </c>
      <c r="E5748" s="28" t="s">
        <v>28685</v>
      </c>
      <c r="F5748" s="28" t="s">
        <v>21</v>
      </c>
      <c r="G5748" s="28" t="s">
        <v>39</v>
      </c>
      <c r="H5748" s="28" t="s">
        <v>27631</v>
      </c>
      <c r="I5748" s="28" t="s">
        <v>28686</v>
      </c>
      <c r="J5748" s="28" t="s">
        <v>39</v>
      </c>
      <c r="K5748" s="28" t="s">
        <v>27633</v>
      </c>
      <c r="L5748" s="28" t="s">
        <v>27634</v>
      </c>
      <c r="M5748" s="28" t="s">
        <v>28687</v>
      </c>
      <c r="N5748" s="28" t="s">
        <v>27636</v>
      </c>
      <c r="O5748" s="28" t="s">
        <v>27637</v>
      </c>
      <c r="P5748" s="28" t="s">
        <v>28688</v>
      </c>
    </row>
    <row r="5749" spans="1:16" x14ac:dyDescent="0.25">
      <c r="A5749" s="28" t="s">
        <v>28689</v>
      </c>
      <c r="B5749" s="28" t="s">
        <v>28690</v>
      </c>
      <c r="C5749" s="28" t="s">
        <v>25143</v>
      </c>
      <c r="D5749" s="28" t="s">
        <v>4101</v>
      </c>
      <c r="E5749" s="28" t="s">
        <v>28685</v>
      </c>
      <c r="F5749" s="28" t="s">
        <v>21</v>
      </c>
      <c r="G5749" s="28" t="s">
        <v>39</v>
      </c>
      <c r="H5749" s="28" t="s">
        <v>27631</v>
      </c>
      <c r="I5749" s="28" t="s">
        <v>28691</v>
      </c>
      <c r="J5749" s="28" t="s">
        <v>39</v>
      </c>
      <c r="K5749" s="28" t="s">
        <v>27633</v>
      </c>
      <c r="L5749" s="28" t="s">
        <v>27634</v>
      </c>
      <c r="M5749" s="28" t="s">
        <v>28692</v>
      </c>
      <c r="N5749" s="28" t="s">
        <v>27636</v>
      </c>
      <c r="O5749" s="28" t="s">
        <v>27637</v>
      </c>
      <c r="P5749" s="28" t="s">
        <v>28688</v>
      </c>
    </row>
    <row r="5750" spans="1:16" x14ac:dyDescent="0.25">
      <c r="A5750" s="28" t="s">
        <v>28693</v>
      </c>
      <c r="B5750" s="28" t="s">
        <v>28694</v>
      </c>
      <c r="C5750" s="28" t="s">
        <v>25143</v>
      </c>
      <c r="D5750" s="28" t="s">
        <v>4101</v>
      </c>
      <c r="E5750" s="28" t="s">
        <v>28685</v>
      </c>
      <c r="F5750" s="28" t="s">
        <v>21</v>
      </c>
      <c r="G5750" s="28" t="s">
        <v>39</v>
      </c>
      <c r="H5750" s="28" t="s">
        <v>27631</v>
      </c>
      <c r="I5750" s="28" t="s">
        <v>28695</v>
      </c>
      <c r="J5750" s="28" t="s">
        <v>39</v>
      </c>
      <c r="K5750" s="28" t="s">
        <v>27633</v>
      </c>
      <c r="L5750" s="28" t="s">
        <v>27634</v>
      </c>
      <c r="M5750" s="28" t="s">
        <v>28696</v>
      </c>
      <c r="N5750" s="28" t="s">
        <v>27636</v>
      </c>
      <c r="O5750" s="28" t="s">
        <v>27637</v>
      </c>
      <c r="P5750" s="28" t="s">
        <v>28688</v>
      </c>
    </row>
    <row r="5751" spans="1:16" x14ac:dyDescent="0.25">
      <c r="A5751" s="28" t="s">
        <v>28697</v>
      </c>
      <c r="B5751" s="28" t="s">
        <v>28698</v>
      </c>
      <c r="C5751" s="28" t="s">
        <v>25143</v>
      </c>
      <c r="D5751" s="28" t="s">
        <v>4101</v>
      </c>
      <c r="E5751" s="28" t="s">
        <v>28685</v>
      </c>
      <c r="F5751" s="28" t="s">
        <v>21</v>
      </c>
      <c r="G5751" s="28" t="s">
        <v>39</v>
      </c>
      <c r="H5751" s="28" t="s">
        <v>27631</v>
      </c>
      <c r="I5751" s="28" t="s">
        <v>28699</v>
      </c>
      <c r="J5751" s="28" t="s">
        <v>39</v>
      </c>
      <c r="K5751" s="28" t="s">
        <v>27633</v>
      </c>
      <c r="L5751" s="28" t="s">
        <v>27634</v>
      </c>
      <c r="M5751" s="28" t="s">
        <v>28700</v>
      </c>
      <c r="N5751" s="28" t="s">
        <v>27636</v>
      </c>
      <c r="O5751" s="28" t="s">
        <v>27637</v>
      </c>
      <c r="P5751" s="28" t="s">
        <v>28688</v>
      </c>
    </row>
    <row r="5752" spans="1:16" x14ac:dyDescent="0.25">
      <c r="A5752" s="28" t="s">
        <v>28701</v>
      </c>
      <c r="B5752" s="28" t="s">
        <v>28702</v>
      </c>
      <c r="C5752" s="28" t="s">
        <v>25143</v>
      </c>
      <c r="D5752" s="28" t="s">
        <v>4101</v>
      </c>
      <c r="E5752" s="28" t="s">
        <v>28685</v>
      </c>
      <c r="F5752" s="28" t="s">
        <v>21</v>
      </c>
      <c r="G5752" s="28" t="s">
        <v>39</v>
      </c>
      <c r="H5752" s="28" t="s">
        <v>27631</v>
      </c>
      <c r="I5752" s="28" t="s">
        <v>28703</v>
      </c>
      <c r="J5752" s="28" t="s">
        <v>39</v>
      </c>
      <c r="K5752" s="28" t="s">
        <v>27633</v>
      </c>
      <c r="L5752" s="28" t="s">
        <v>27634</v>
      </c>
      <c r="M5752" s="28" t="s">
        <v>28704</v>
      </c>
      <c r="N5752" s="28" t="s">
        <v>27636</v>
      </c>
      <c r="O5752" s="28" t="s">
        <v>27637</v>
      </c>
      <c r="P5752" s="28" t="s">
        <v>28688</v>
      </c>
    </row>
    <row r="5753" spans="1:16" x14ac:dyDescent="0.25">
      <c r="A5753" s="28" t="s">
        <v>28705</v>
      </c>
      <c r="B5753" s="28" t="s">
        <v>28706</v>
      </c>
      <c r="C5753" s="28" t="s">
        <v>25143</v>
      </c>
      <c r="D5753" s="28" t="s">
        <v>4101</v>
      </c>
      <c r="E5753" s="28" t="s">
        <v>28685</v>
      </c>
      <c r="F5753" s="28" t="s">
        <v>21</v>
      </c>
      <c r="G5753" s="28" t="s">
        <v>39</v>
      </c>
      <c r="H5753" s="28" t="s">
        <v>27631</v>
      </c>
      <c r="I5753" s="28" t="s">
        <v>28707</v>
      </c>
      <c r="J5753" s="28" t="s">
        <v>39</v>
      </c>
      <c r="K5753" s="28" t="s">
        <v>27633</v>
      </c>
      <c r="L5753" s="28" t="s">
        <v>27634</v>
      </c>
      <c r="M5753" s="28" t="s">
        <v>28708</v>
      </c>
      <c r="N5753" s="28" t="s">
        <v>27636</v>
      </c>
      <c r="O5753" s="28" t="s">
        <v>27637</v>
      </c>
      <c r="P5753" s="28" t="s">
        <v>28688</v>
      </c>
    </row>
    <row r="5754" spans="1:16" x14ac:dyDescent="0.25">
      <c r="A5754" s="28" t="s">
        <v>28709</v>
      </c>
      <c r="B5754" s="28" t="s">
        <v>28710</v>
      </c>
      <c r="C5754" s="28" t="s">
        <v>25143</v>
      </c>
      <c r="D5754" s="28" t="s">
        <v>4101</v>
      </c>
      <c r="E5754" s="28" t="s">
        <v>28685</v>
      </c>
      <c r="F5754" s="28" t="s">
        <v>21</v>
      </c>
      <c r="G5754" s="28" t="s">
        <v>39</v>
      </c>
      <c r="H5754" s="28" t="s">
        <v>27631</v>
      </c>
      <c r="I5754" s="28" t="s">
        <v>28711</v>
      </c>
      <c r="J5754" s="28" t="s">
        <v>39</v>
      </c>
      <c r="K5754" s="28" t="s">
        <v>27633</v>
      </c>
      <c r="L5754" s="28" t="s">
        <v>27634</v>
      </c>
      <c r="M5754" s="28" t="s">
        <v>28712</v>
      </c>
      <c r="N5754" s="28" t="s">
        <v>27636</v>
      </c>
      <c r="O5754" s="28" t="s">
        <v>27637</v>
      </c>
      <c r="P5754" s="28" t="s">
        <v>28688</v>
      </c>
    </row>
    <row r="5755" spans="1:16" x14ac:dyDescent="0.25">
      <c r="A5755" s="28" t="s">
        <v>28713</v>
      </c>
      <c r="B5755" s="28" t="s">
        <v>28714</v>
      </c>
      <c r="C5755" s="28" t="s">
        <v>25143</v>
      </c>
      <c r="D5755" s="28" t="s">
        <v>4101</v>
      </c>
      <c r="E5755" s="28" t="s">
        <v>28685</v>
      </c>
      <c r="F5755" s="28" t="s">
        <v>21</v>
      </c>
      <c r="G5755" s="28" t="s">
        <v>39</v>
      </c>
      <c r="H5755" s="28" t="s">
        <v>27631</v>
      </c>
      <c r="I5755" s="28" t="s">
        <v>28715</v>
      </c>
      <c r="J5755" s="28" t="s">
        <v>39</v>
      </c>
      <c r="K5755" s="28" t="s">
        <v>27633</v>
      </c>
      <c r="L5755" s="28" t="s">
        <v>27634</v>
      </c>
      <c r="M5755" s="28" t="s">
        <v>28716</v>
      </c>
      <c r="N5755" s="28" t="s">
        <v>27636</v>
      </c>
      <c r="O5755" s="28" t="s">
        <v>27637</v>
      </c>
      <c r="P5755" s="28" t="s">
        <v>28688</v>
      </c>
    </row>
    <row r="5756" spans="1:16" x14ac:dyDescent="0.25">
      <c r="A5756" s="28" t="s">
        <v>28717</v>
      </c>
      <c r="B5756" s="28" t="s">
        <v>28718</v>
      </c>
      <c r="C5756" s="28" t="s">
        <v>25143</v>
      </c>
      <c r="D5756" s="28" t="s">
        <v>4101</v>
      </c>
      <c r="E5756" s="28" t="s">
        <v>28685</v>
      </c>
      <c r="F5756" s="28" t="s">
        <v>21</v>
      </c>
      <c r="G5756" s="28" t="s">
        <v>39</v>
      </c>
      <c r="H5756" s="28" t="s">
        <v>27631</v>
      </c>
      <c r="I5756" s="28" t="s">
        <v>28719</v>
      </c>
      <c r="J5756" s="28" t="s">
        <v>39</v>
      </c>
      <c r="K5756" s="28" t="s">
        <v>27633</v>
      </c>
      <c r="L5756" s="28" t="s">
        <v>27634</v>
      </c>
      <c r="M5756" s="28" t="s">
        <v>28720</v>
      </c>
      <c r="N5756" s="28" t="s">
        <v>27636</v>
      </c>
      <c r="O5756" s="28" t="s">
        <v>27637</v>
      </c>
      <c r="P5756" s="28" t="s">
        <v>28688</v>
      </c>
    </row>
    <row r="5757" spans="1:16" x14ac:dyDescent="0.25">
      <c r="A5757" s="28" t="s">
        <v>28721</v>
      </c>
      <c r="B5757" s="28" t="s">
        <v>28722</v>
      </c>
      <c r="C5757" s="28" t="s">
        <v>25143</v>
      </c>
      <c r="D5757" s="28" t="s">
        <v>4101</v>
      </c>
      <c r="E5757" s="28" t="s">
        <v>28685</v>
      </c>
      <c r="F5757" s="28" t="s">
        <v>21</v>
      </c>
      <c r="G5757" s="28" t="s">
        <v>39</v>
      </c>
      <c r="H5757" s="28" t="s">
        <v>27631</v>
      </c>
      <c r="I5757" s="28" t="s">
        <v>28723</v>
      </c>
      <c r="J5757" s="28" t="s">
        <v>39</v>
      </c>
      <c r="K5757" s="28" t="s">
        <v>27633</v>
      </c>
      <c r="L5757" s="28" t="s">
        <v>27634</v>
      </c>
      <c r="M5757" s="28" t="s">
        <v>28724</v>
      </c>
      <c r="N5757" s="28" t="s">
        <v>27636</v>
      </c>
      <c r="O5757" s="28" t="s">
        <v>27637</v>
      </c>
      <c r="P5757" s="28" t="s">
        <v>28688</v>
      </c>
    </row>
    <row r="5758" spans="1:16" x14ac:dyDescent="0.25">
      <c r="A5758" s="28" t="s">
        <v>28725</v>
      </c>
      <c r="B5758" s="28" t="s">
        <v>28726</v>
      </c>
      <c r="C5758" s="28" t="s">
        <v>25143</v>
      </c>
      <c r="D5758" s="28" t="s">
        <v>4101</v>
      </c>
      <c r="E5758" s="28" t="s">
        <v>28685</v>
      </c>
      <c r="F5758" s="28" t="s">
        <v>21</v>
      </c>
      <c r="G5758" s="28" t="s">
        <v>39</v>
      </c>
      <c r="H5758" s="28" t="s">
        <v>27631</v>
      </c>
      <c r="I5758" s="28" t="s">
        <v>28727</v>
      </c>
      <c r="J5758" s="28" t="s">
        <v>39</v>
      </c>
      <c r="K5758" s="28" t="s">
        <v>27633</v>
      </c>
      <c r="L5758" s="28" t="s">
        <v>27634</v>
      </c>
      <c r="M5758" s="28" t="s">
        <v>28728</v>
      </c>
      <c r="N5758" s="28" t="s">
        <v>27636</v>
      </c>
      <c r="O5758" s="28" t="s">
        <v>27637</v>
      </c>
      <c r="P5758" s="28" t="s">
        <v>28688</v>
      </c>
    </row>
    <row r="5759" spans="1:16" x14ac:dyDescent="0.25">
      <c r="A5759" s="28" t="s">
        <v>28729</v>
      </c>
      <c r="B5759" s="28" t="s">
        <v>28730</v>
      </c>
      <c r="C5759" s="28" t="s">
        <v>25143</v>
      </c>
      <c r="D5759" s="28" t="s">
        <v>4101</v>
      </c>
      <c r="E5759" s="28" t="s">
        <v>28685</v>
      </c>
      <c r="F5759" s="28" t="s">
        <v>21</v>
      </c>
      <c r="G5759" s="28" t="s">
        <v>39</v>
      </c>
      <c r="H5759" s="28" t="s">
        <v>27631</v>
      </c>
      <c r="I5759" s="28" t="s">
        <v>28731</v>
      </c>
      <c r="J5759" s="28" t="s">
        <v>39</v>
      </c>
      <c r="K5759" s="28" t="s">
        <v>27633</v>
      </c>
      <c r="L5759" s="28" t="s">
        <v>27634</v>
      </c>
      <c r="M5759" s="28" t="s">
        <v>28732</v>
      </c>
      <c r="N5759" s="28" t="s">
        <v>27636</v>
      </c>
      <c r="O5759" s="28" t="s">
        <v>27637</v>
      </c>
      <c r="P5759" s="28" t="s">
        <v>28688</v>
      </c>
    </row>
    <row r="5760" spans="1:16" x14ac:dyDescent="0.25">
      <c r="A5760" s="28" t="s">
        <v>28733</v>
      </c>
      <c r="B5760" s="28" t="s">
        <v>28734</v>
      </c>
      <c r="C5760" s="28" t="s">
        <v>25143</v>
      </c>
      <c r="D5760" s="28" t="s">
        <v>4101</v>
      </c>
      <c r="E5760" s="28" t="s">
        <v>28685</v>
      </c>
      <c r="F5760" s="28" t="s">
        <v>21</v>
      </c>
      <c r="G5760" s="28" t="s">
        <v>39</v>
      </c>
      <c r="H5760" s="28" t="s">
        <v>27631</v>
      </c>
      <c r="I5760" s="28" t="s">
        <v>28735</v>
      </c>
      <c r="J5760" s="28" t="s">
        <v>39</v>
      </c>
      <c r="K5760" s="28" t="s">
        <v>27633</v>
      </c>
      <c r="L5760" s="28" t="s">
        <v>27634</v>
      </c>
      <c r="M5760" s="28" t="s">
        <v>28736</v>
      </c>
      <c r="N5760" s="28" t="s">
        <v>27636</v>
      </c>
      <c r="O5760" s="28" t="s">
        <v>27637</v>
      </c>
      <c r="P5760" s="28" t="s">
        <v>28688</v>
      </c>
    </row>
    <row r="5761" spans="1:16" x14ac:dyDescent="0.25">
      <c r="A5761" s="28" t="s">
        <v>28737</v>
      </c>
      <c r="B5761" s="28" t="s">
        <v>28738</v>
      </c>
      <c r="C5761" s="28" t="s">
        <v>25143</v>
      </c>
      <c r="D5761" s="28" t="s">
        <v>4101</v>
      </c>
      <c r="E5761" s="28" t="s">
        <v>28685</v>
      </c>
      <c r="F5761" s="28" t="s">
        <v>21</v>
      </c>
      <c r="G5761" s="28" t="s">
        <v>39</v>
      </c>
      <c r="H5761" s="28" t="s">
        <v>27631</v>
      </c>
      <c r="I5761" s="28" t="s">
        <v>28739</v>
      </c>
      <c r="J5761" s="28" t="s">
        <v>39</v>
      </c>
      <c r="K5761" s="28" t="s">
        <v>27633</v>
      </c>
      <c r="L5761" s="28" t="s">
        <v>27634</v>
      </c>
      <c r="M5761" s="28" t="s">
        <v>28740</v>
      </c>
      <c r="N5761" s="28" t="s">
        <v>27636</v>
      </c>
      <c r="O5761" s="28" t="s">
        <v>27637</v>
      </c>
      <c r="P5761" s="28" t="s">
        <v>28688</v>
      </c>
    </row>
    <row r="5762" spans="1:16" x14ac:dyDescent="0.25">
      <c r="A5762" s="28" t="s">
        <v>28741</v>
      </c>
      <c r="B5762" s="28" t="s">
        <v>28742</v>
      </c>
      <c r="C5762" s="28" t="s">
        <v>25143</v>
      </c>
      <c r="D5762" s="28" t="s">
        <v>4101</v>
      </c>
      <c r="E5762" s="28" t="s">
        <v>28685</v>
      </c>
      <c r="F5762" s="28" t="s">
        <v>21</v>
      </c>
      <c r="G5762" s="28" t="s">
        <v>39</v>
      </c>
      <c r="H5762" s="28" t="s">
        <v>27631</v>
      </c>
      <c r="I5762" s="28" t="s">
        <v>28743</v>
      </c>
      <c r="J5762" s="28" t="s">
        <v>39</v>
      </c>
      <c r="K5762" s="28" t="s">
        <v>27633</v>
      </c>
      <c r="L5762" s="28" t="s">
        <v>27634</v>
      </c>
      <c r="M5762" s="28" t="s">
        <v>28744</v>
      </c>
      <c r="N5762" s="28" t="s">
        <v>27636</v>
      </c>
      <c r="O5762" s="28" t="s">
        <v>27637</v>
      </c>
      <c r="P5762" s="28" t="s">
        <v>28688</v>
      </c>
    </row>
    <row r="5763" spans="1:16" x14ac:dyDescent="0.25">
      <c r="A5763" s="28" t="s">
        <v>28745</v>
      </c>
      <c r="B5763" s="28" t="s">
        <v>28746</v>
      </c>
      <c r="C5763" s="28" t="s">
        <v>25143</v>
      </c>
      <c r="D5763" s="28" t="s">
        <v>4101</v>
      </c>
      <c r="E5763" s="28" t="s">
        <v>28685</v>
      </c>
      <c r="F5763" s="28" t="s">
        <v>21</v>
      </c>
      <c r="G5763" s="28" t="s">
        <v>39</v>
      </c>
      <c r="H5763" s="28" t="s">
        <v>27631</v>
      </c>
      <c r="I5763" s="28" t="s">
        <v>28747</v>
      </c>
      <c r="J5763" s="28" t="s">
        <v>39</v>
      </c>
      <c r="K5763" s="28" t="s">
        <v>27633</v>
      </c>
      <c r="L5763" s="28" t="s">
        <v>27634</v>
      </c>
      <c r="M5763" s="28" t="s">
        <v>28748</v>
      </c>
      <c r="N5763" s="28" t="s">
        <v>27636</v>
      </c>
      <c r="O5763" s="28" t="s">
        <v>27637</v>
      </c>
      <c r="P5763" s="28" t="s">
        <v>28688</v>
      </c>
    </row>
    <row r="5764" spans="1:16" x14ac:dyDescent="0.25">
      <c r="A5764" s="28" t="s">
        <v>28749</v>
      </c>
      <c r="B5764" s="28" t="s">
        <v>28750</v>
      </c>
      <c r="C5764" s="28" t="s">
        <v>25143</v>
      </c>
      <c r="D5764" s="28" t="s">
        <v>4101</v>
      </c>
      <c r="E5764" s="28" t="s">
        <v>28685</v>
      </c>
      <c r="F5764" s="28" t="s">
        <v>21</v>
      </c>
      <c r="G5764" s="28" t="s">
        <v>39</v>
      </c>
      <c r="H5764" s="28" t="s">
        <v>27631</v>
      </c>
      <c r="I5764" s="28" t="s">
        <v>28751</v>
      </c>
      <c r="J5764" s="28" t="s">
        <v>39</v>
      </c>
      <c r="K5764" s="28" t="s">
        <v>27633</v>
      </c>
      <c r="L5764" s="28" t="s">
        <v>27634</v>
      </c>
      <c r="M5764" s="28" t="s">
        <v>28752</v>
      </c>
      <c r="N5764" s="28" t="s">
        <v>27636</v>
      </c>
      <c r="O5764" s="28" t="s">
        <v>27637</v>
      </c>
      <c r="P5764" s="28" t="s">
        <v>28688</v>
      </c>
    </row>
    <row r="5765" spans="1:16" x14ac:dyDescent="0.25">
      <c r="A5765" s="28" t="s">
        <v>28753</v>
      </c>
      <c r="B5765" s="28" t="s">
        <v>28754</v>
      </c>
      <c r="C5765" s="28" t="s">
        <v>25143</v>
      </c>
      <c r="D5765" s="28" t="s">
        <v>4101</v>
      </c>
      <c r="E5765" s="28" t="s">
        <v>28685</v>
      </c>
      <c r="F5765" s="28" t="s">
        <v>21</v>
      </c>
      <c r="G5765" s="28" t="s">
        <v>39</v>
      </c>
      <c r="H5765" s="28" t="s">
        <v>27631</v>
      </c>
      <c r="I5765" s="28" t="s">
        <v>28755</v>
      </c>
      <c r="J5765" s="28" t="s">
        <v>39</v>
      </c>
      <c r="K5765" s="28" t="s">
        <v>27633</v>
      </c>
      <c r="L5765" s="28" t="s">
        <v>27634</v>
      </c>
      <c r="M5765" s="28" t="s">
        <v>28756</v>
      </c>
      <c r="N5765" s="28" t="s">
        <v>27636</v>
      </c>
      <c r="O5765" s="28" t="s">
        <v>27637</v>
      </c>
      <c r="P5765" s="28" t="s">
        <v>28688</v>
      </c>
    </row>
    <row r="5766" spans="1:16" x14ac:dyDescent="0.25">
      <c r="A5766" s="28" t="s">
        <v>28757</v>
      </c>
      <c r="B5766" s="28" t="s">
        <v>28758</v>
      </c>
      <c r="C5766" s="28" t="s">
        <v>25143</v>
      </c>
      <c r="D5766" s="28" t="s">
        <v>4101</v>
      </c>
      <c r="E5766" s="28" t="s">
        <v>28685</v>
      </c>
      <c r="F5766" s="28" t="s">
        <v>21</v>
      </c>
      <c r="G5766" s="28" t="s">
        <v>39</v>
      </c>
      <c r="H5766" s="28" t="s">
        <v>27631</v>
      </c>
      <c r="I5766" s="28" t="s">
        <v>28759</v>
      </c>
      <c r="J5766" s="28" t="s">
        <v>39</v>
      </c>
      <c r="K5766" s="28" t="s">
        <v>27633</v>
      </c>
      <c r="L5766" s="28" t="s">
        <v>27634</v>
      </c>
      <c r="M5766" s="28" t="s">
        <v>28760</v>
      </c>
      <c r="N5766" s="28" t="s">
        <v>27636</v>
      </c>
      <c r="O5766" s="28" t="s">
        <v>27637</v>
      </c>
      <c r="P5766" s="28" t="s">
        <v>28688</v>
      </c>
    </row>
    <row r="5767" spans="1:16" x14ac:dyDescent="0.25">
      <c r="A5767" s="28" t="s">
        <v>28761</v>
      </c>
      <c r="B5767" s="28" t="s">
        <v>28762</v>
      </c>
      <c r="C5767" s="28" t="s">
        <v>25143</v>
      </c>
      <c r="D5767" s="28" t="s">
        <v>4101</v>
      </c>
      <c r="E5767" s="28" t="s">
        <v>28685</v>
      </c>
      <c r="F5767" s="28" t="s">
        <v>21</v>
      </c>
      <c r="G5767" s="28" t="s">
        <v>39</v>
      </c>
      <c r="H5767" s="28" t="s">
        <v>27631</v>
      </c>
      <c r="I5767" s="28" t="s">
        <v>28763</v>
      </c>
      <c r="J5767" s="28" t="s">
        <v>39</v>
      </c>
      <c r="K5767" s="28" t="s">
        <v>27633</v>
      </c>
      <c r="L5767" s="28" t="s">
        <v>27634</v>
      </c>
      <c r="M5767" s="28" t="s">
        <v>28764</v>
      </c>
      <c r="N5767" s="28" t="s">
        <v>27636</v>
      </c>
      <c r="O5767" s="28" t="s">
        <v>27637</v>
      </c>
      <c r="P5767" s="28" t="s">
        <v>28688</v>
      </c>
    </row>
    <row r="5768" spans="1:16" x14ac:dyDescent="0.25">
      <c r="A5768" s="28" t="s">
        <v>28765</v>
      </c>
      <c r="B5768" s="28" t="s">
        <v>28766</v>
      </c>
      <c r="C5768" s="28" t="s">
        <v>25143</v>
      </c>
      <c r="D5768" s="28" t="s">
        <v>4101</v>
      </c>
      <c r="E5768" s="28" t="s">
        <v>28685</v>
      </c>
      <c r="F5768" s="28" t="s">
        <v>21</v>
      </c>
      <c r="G5768" s="28" t="s">
        <v>39</v>
      </c>
      <c r="H5768" s="28" t="s">
        <v>27631</v>
      </c>
      <c r="I5768" s="28" t="s">
        <v>28767</v>
      </c>
      <c r="J5768" s="28" t="s">
        <v>39</v>
      </c>
      <c r="K5768" s="28" t="s">
        <v>27633</v>
      </c>
      <c r="L5768" s="28" t="s">
        <v>27634</v>
      </c>
      <c r="M5768" s="28" t="s">
        <v>28768</v>
      </c>
      <c r="N5768" s="28" t="s">
        <v>27636</v>
      </c>
      <c r="O5768" s="28" t="s">
        <v>27637</v>
      </c>
      <c r="P5768" s="28" t="s">
        <v>28688</v>
      </c>
    </row>
    <row r="5769" spans="1:16" x14ac:dyDescent="0.25">
      <c r="A5769" s="28" t="s">
        <v>28769</v>
      </c>
      <c r="B5769" s="28" t="s">
        <v>28770</v>
      </c>
      <c r="C5769" s="28" t="s">
        <v>25143</v>
      </c>
      <c r="D5769" s="28" t="s">
        <v>4101</v>
      </c>
      <c r="E5769" s="28" t="s">
        <v>28685</v>
      </c>
      <c r="F5769" s="28" t="s">
        <v>21</v>
      </c>
      <c r="G5769" s="28" t="s">
        <v>39</v>
      </c>
      <c r="H5769" s="28" t="s">
        <v>27631</v>
      </c>
      <c r="I5769" s="28" t="s">
        <v>28771</v>
      </c>
      <c r="J5769" s="28" t="s">
        <v>39</v>
      </c>
      <c r="K5769" s="28" t="s">
        <v>27633</v>
      </c>
      <c r="L5769" s="28" t="s">
        <v>27634</v>
      </c>
      <c r="M5769" s="28" t="s">
        <v>28772</v>
      </c>
      <c r="N5769" s="28" t="s">
        <v>27636</v>
      </c>
      <c r="O5769" s="28" t="s">
        <v>27637</v>
      </c>
      <c r="P5769" s="28" t="s">
        <v>28688</v>
      </c>
    </row>
    <row r="5770" spans="1:16" x14ac:dyDescent="0.25">
      <c r="A5770" s="28" t="s">
        <v>28773</v>
      </c>
      <c r="B5770" s="28" t="s">
        <v>28774</v>
      </c>
      <c r="C5770" s="28" t="s">
        <v>25143</v>
      </c>
      <c r="D5770" s="28" t="s">
        <v>4101</v>
      </c>
      <c r="E5770" s="28" t="s">
        <v>28775</v>
      </c>
      <c r="F5770" s="28" t="s">
        <v>21</v>
      </c>
      <c r="G5770" s="28" t="s">
        <v>39</v>
      </c>
      <c r="H5770" s="28" t="s">
        <v>27631</v>
      </c>
      <c r="I5770" s="28" t="s">
        <v>28776</v>
      </c>
      <c r="J5770" s="28" t="s">
        <v>39</v>
      </c>
      <c r="K5770" s="28" t="s">
        <v>27633</v>
      </c>
      <c r="L5770" s="28" t="s">
        <v>27634</v>
      </c>
      <c r="M5770" s="28" t="s">
        <v>28777</v>
      </c>
      <c r="N5770" s="28" t="s">
        <v>27636</v>
      </c>
      <c r="O5770" s="28" t="s">
        <v>27637</v>
      </c>
      <c r="P5770" s="28" t="s">
        <v>28778</v>
      </c>
    </row>
    <row r="5771" spans="1:16" x14ac:dyDescent="0.25">
      <c r="A5771" s="28" t="s">
        <v>28779</v>
      </c>
      <c r="B5771" s="28" t="s">
        <v>28780</v>
      </c>
      <c r="C5771" s="28" t="s">
        <v>25143</v>
      </c>
      <c r="D5771" s="28" t="s">
        <v>4101</v>
      </c>
      <c r="E5771" s="28" t="s">
        <v>18317</v>
      </c>
      <c r="F5771" s="28" t="s">
        <v>21</v>
      </c>
      <c r="G5771" s="28" t="s">
        <v>39</v>
      </c>
      <c r="H5771" s="28" t="s">
        <v>27631</v>
      </c>
      <c r="I5771" s="28" t="s">
        <v>28781</v>
      </c>
      <c r="J5771" s="28" t="s">
        <v>39</v>
      </c>
      <c r="K5771" s="28" t="s">
        <v>27633</v>
      </c>
      <c r="L5771" s="28" t="s">
        <v>27634</v>
      </c>
      <c r="M5771" s="28" t="s">
        <v>28782</v>
      </c>
      <c r="N5771" s="28" t="s">
        <v>27636</v>
      </c>
      <c r="O5771" s="28" t="s">
        <v>27637</v>
      </c>
      <c r="P5771" s="28" t="s">
        <v>28783</v>
      </c>
    </row>
    <row r="5772" spans="1:16" x14ac:dyDescent="0.25">
      <c r="A5772" s="28" t="s">
        <v>28784</v>
      </c>
      <c r="B5772" s="28" t="s">
        <v>28785</v>
      </c>
      <c r="C5772" s="28" t="s">
        <v>25143</v>
      </c>
      <c r="D5772" s="28" t="s">
        <v>5471</v>
      </c>
      <c r="E5772" s="28" t="s">
        <v>28786</v>
      </c>
      <c r="F5772" s="28" t="s">
        <v>21</v>
      </c>
      <c r="G5772" s="28" t="s">
        <v>39</v>
      </c>
      <c r="H5772" s="28" t="s">
        <v>27631</v>
      </c>
      <c r="I5772" s="28" t="s">
        <v>28787</v>
      </c>
      <c r="J5772" s="28" t="s">
        <v>39</v>
      </c>
      <c r="K5772" s="28" t="s">
        <v>27633</v>
      </c>
      <c r="L5772" s="28" t="s">
        <v>27634</v>
      </c>
      <c r="M5772" s="28" t="s">
        <v>28788</v>
      </c>
      <c r="N5772" s="28" t="s">
        <v>27636</v>
      </c>
      <c r="O5772" s="28" t="s">
        <v>27637</v>
      </c>
      <c r="P5772" s="28" t="s">
        <v>28789</v>
      </c>
    </row>
    <row r="5773" spans="1:16" x14ac:dyDescent="0.25">
      <c r="A5773" s="28" t="s">
        <v>28790</v>
      </c>
      <c r="B5773" s="28" t="s">
        <v>28791</v>
      </c>
      <c r="C5773" s="28" t="s">
        <v>25143</v>
      </c>
      <c r="D5773" s="28" t="s">
        <v>5471</v>
      </c>
      <c r="E5773" s="28" t="s">
        <v>18381</v>
      </c>
      <c r="F5773" s="28" t="s">
        <v>21</v>
      </c>
      <c r="G5773" s="28" t="s">
        <v>39</v>
      </c>
      <c r="H5773" s="28" t="s">
        <v>27631</v>
      </c>
      <c r="I5773" s="28" t="s">
        <v>28792</v>
      </c>
      <c r="J5773" s="28" t="s">
        <v>39</v>
      </c>
      <c r="K5773" s="28" t="s">
        <v>27633</v>
      </c>
      <c r="L5773" s="28" t="s">
        <v>27634</v>
      </c>
      <c r="M5773" s="28" t="s">
        <v>28793</v>
      </c>
      <c r="N5773" s="28" t="s">
        <v>27636</v>
      </c>
      <c r="O5773" s="28" t="s">
        <v>27637</v>
      </c>
      <c r="P5773" s="28" t="s">
        <v>28794</v>
      </c>
    </row>
    <row r="5774" spans="1:16" x14ac:dyDescent="0.25">
      <c r="A5774" s="28" t="s">
        <v>28795</v>
      </c>
      <c r="B5774" s="28" t="s">
        <v>28796</v>
      </c>
      <c r="C5774" s="28" t="s">
        <v>25143</v>
      </c>
      <c r="D5774" s="28" t="s">
        <v>5471</v>
      </c>
      <c r="E5774" s="28" t="s">
        <v>28797</v>
      </c>
      <c r="F5774" s="28" t="s">
        <v>21</v>
      </c>
      <c r="G5774" s="28" t="s">
        <v>39</v>
      </c>
      <c r="H5774" s="28" t="s">
        <v>27631</v>
      </c>
      <c r="I5774" s="28" t="s">
        <v>28798</v>
      </c>
      <c r="J5774" s="28" t="s">
        <v>39</v>
      </c>
      <c r="K5774" s="28" t="s">
        <v>27633</v>
      </c>
      <c r="L5774" s="28" t="s">
        <v>27634</v>
      </c>
      <c r="M5774" s="28" t="s">
        <v>28799</v>
      </c>
      <c r="N5774" s="28" t="s">
        <v>27636</v>
      </c>
      <c r="O5774" s="28" t="s">
        <v>27637</v>
      </c>
      <c r="P5774" s="28" t="s">
        <v>28800</v>
      </c>
    </row>
    <row r="5775" spans="1:16" x14ac:dyDescent="0.25">
      <c r="A5775" s="28" t="s">
        <v>28801</v>
      </c>
      <c r="B5775" s="28" t="s">
        <v>28802</v>
      </c>
      <c r="C5775" s="28" t="s">
        <v>25143</v>
      </c>
      <c r="D5775" s="28" t="s">
        <v>5471</v>
      </c>
      <c r="E5775" s="28" t="s">
        <v>28797</v>
      </c>
      <c r="F5775" s="28" t="s">
        <v>21</v>
      </c>
      <c r="G5775" s="28" t="s">
        <v>39</v>
      </c>
      <c r="H5775" s="28" t="s">
        <v>27631</v>
      </c>
      <c r="I5775" s="28" t="s">
        <v>28803</v>
      </c>
      <c r="J5775" s="28" t="s">
        <v>39</v>
      </c>
      <c r="K5775" s="28" t="s">
        <v>27633</v>
      </c>
      <c r="L5775" s="28" t="s">
        <v>27634</v>
      </c>
      <c r="M5775" s="28" t="s">
        <v>28804</v>
      </c>
      <c r="N5775" s="28" t="s">
        <v>27636</v>
      </c>
      <c r="O5775" s="28" t="s">
        <v>27637</v>
      </c>
      <c r="P5775" s="28" t="s">
        <v>28800</v>
      </c>
    </row>
    <row r="5776" spans="1:16" x14ac:dyDescent="0.25">
      <c r="A5776" s="28" t="s">
        <v>28805</v>
      </c>
      <c r="B5776" s="28" t="s">
        <v>28806</v>
      </c>
      <c r="C5776" s="28" t="s">
        <v>25143</v>
      </c>
      <c r="D5776" s="28" t="s">
        <v>5482</v>
      </c>
      <c r="E5776" s="28" t="s">
        <v>28807</v>
      </c>
      <c r="F5776" s="28" t="s">
        <v>21</v>
      </c>
      <c r="G5776" s="28" t="s">
        <v>39</v>
      </c>
      <c r="H5776" s="28" t="s">
        <v>27631</v>
      </c>
      <c r="I5776" s="28" t="s">
        <v>28808</v>
      </c>
      <c r="J5776" s="28" t="s">
        <v>39</v>
      </c>
      <c r="K5776" s="28" t="s">
        <v>27633</v>
      </c>
      <c r="L5776" s="28" t="s">
        <v>27634</v>
      </c>
      <c r="M5776" s="28" t="s">
        <v>28809</v>
      </c>
      <c r="N5776" s="28" t="s">
        <v>27636</v>
      </c>
      <c r="O5776" s="28" t="s">
        <v>27637</v>
      </c>
      <c r="P5776" s="28" t="s">
        <v>28810</v>
      </c>
    </row>
    <row r="5777" spans="1:16" x14ac:dyDescent="0.25">
      <c r="A5777" s="28" t="s">
        <v>28811</v>
      </c>
      <c r="B5777" s="28" t="s">
        <v>28812</v>
      </c>
      <c r="C5777" s="28" t="s">
        <v>25143</v>
      </c>
      <c r="D5777" s="28" t="s">
        <v>5482</v>
      </c>
      <c r="E5777" s="28" t="s">
        <v>28813</v>
      </c>
      <c r="F5777" s="28" t="s">
        <v>21</v>
      </c>
      <c r="G5777" s="28" t="s">
        <v>39</v>
      </c>
      <c r="H5777" s="28" t="s">
        <v>27631</v>
      </c>
      <c r="I5777" s="28" t="s">
        <v>28814</v>
      </c>
      <c r="J5777" s="28" t="s">
        <v>39</v>
      </c>
      <c r="K5777" s="28" t="s">
        <v>27633</v>
      </c>
      <c r="L5777" s="28" t="s">
        <v>27634</v>
      </c>
      <c r="M5777" s="28" t="s">
        <v>28815</v>
      </c>
      <c r="N5777" s="28" t="s">
        <v>27636</v>
      </c>
      <c r="O5777" s="28" t="s">
        <v>27637</v>
      </c>
      <c r="P5777" s="28" t="s">
        <v>28816</v>
      </c>
    </row>
    <row r="5778" spans="1:16" x14ac:dyDescent="0.25">
      <c r="A5778" s="28" t="s">
        <v>28817</v>
      </c>
      <c r="B5778" s="28" t="s">
        <v>28818</v>
      </c>
      <c r="C5778" s="28" t="s">
        <v>25143</v>
      </c>
      <c r="D5778" s="28" t="s">
        <v>101</v>
      </c>
      <c r="E5778" s="28" t="s">
        <v>4927</v>
      </c>
      <c r="F5778" s="28" t="s">
        <v>21</v>
      </c>
      <c r="G5778" s="28" t="s">
        <v>39</v>
      </c>
      <c r="H5778" s="28" t="s">
        <v>27631</v>
      </c>
      <c r="I5778" s="28" t="s">
        <v>28819</v>
      </c>
      <c r="J5778" s="28" t="s">
        <v>39</v>
      </c>
      <c r="K5778" s="28" t="s">
        <v>27633</v>
      </c>
      <c r="L5778" s="28" t="s">
        <v>27634</v>
      </c>
      <c r="M5778" s="28" t="s">
        <v>28820</v>
      </c>
      <c r="N5778" s="28" t="s">
        <v>27636</v>
      </c>
      <c r="O5778" s="28" t="s">
        <v>27637</v>
      </c>
      <c r="P5778" s="28" t="s">
        <v>28821</v>
      </c>
    </row>
    <row r="5779" spans="1:16" x14ac:dyDescent="0.25">
      <c r="A5779" s="28" t="s">
        <v>28822</v>
      </c>
      <c r="B5779" s="28" t="s">
        <v>28823</v>
      </c>
      <c r="C5779" s="28" t="s">
        <v>25143</v>
      </c>
      <c r="D5779" s="28" t="s">
        <v>101</v>
      </c>
      <c r="E5779" s="28" t="s">
        <v>4927</v>
      </c>
      <c r="F5779" s="28" t="s">
        <v>21</v>
      </c>
      <c r="G5779" s="28" t="s">
        <v>39</v>
      </c>
      <c r="H5779" s="28" t="s">
        <v>27631</v>
      </c>
      <c r="I5779" s="28" t="s">
        <v>28824</v>
      </c>
      <c r="J5779" s="28" t="s">
        <v>39</v>
      </c>
      <c r="K5779" s="28" t="s">
        <v>27633</v>
      </c>
      <c r="L5779" s="28" t="s">
        <v>27634</v>
      </c>
      <c r="M5779" s="28" t="s">
        <v>28825</v>
      </c>
      <c r="N5779" s="28" t="s">
        <v>27636</v>
      </c>
      <c r="O5779" s="28" t="s">
        <v>27637</v>
      </c>
      <c r="P5779" s="28" t="s">
        <v>28821</v>
      </c>
    </row>
    <row r="5780" spans="1:16" x14ac:dyDescent="0.25">
      <c r="A5780" s="28" t="s">
        <v>28826</v>
      </c>
      <c r="B5780" s="28" t="s">
        <v>28827</v>
      </c>
      <c r="C5780" s="28" t="s">
        <v>25143</v>
      </c>
      <c r="D5780" s="28" t="s">
        <v>101</v>
      </c>
      <c r="E5780" s="28" t="s">
        <v>4927</v>
      </c>
      <c r="F5780" s="28" t="s">
        <v>21</v>
      </c>
      <c r="G5780" s="28" t="s">
        <v>39</v>
      </c>
      <c r="H5780" s="28" t="s">
        <v>27631</v>
      </c>
      <c r="I5780" s="28" t="s">
        <v>28828</v>
      </c>
      <c r="J5780" s="28" t="s">
        <v>39</v>
      </c>
      <c r="K5780" s="28" t="s">
        <v>27633</v>
      </c>
      <c r="L5780" s="28" t="s">
        <v>27634</v>
      </c>
      <c r="M5780" s="28" t="s">
        <v>28829</v>
      </c>
      <c r="N5780" s="28" t="s">
        <v>27636</v>
      </c>
      <c r="O5780" s="28" t="s">
        <v>27637</v>
      </c>
      <c r="P5780" s="28" t="s">
        <v>28821</v>
      </c>
    </row>
    <row r="5781" spans="1:16" x14ac:dyDescent="0.25">
      <c r="A5781" s="28" t="s">
        <v>28830</v>
      </c>
      <c r="B5781" s="28" t="s">
        <v>28831</v>
      </c>
      <c r="C5781" s="28" t="s">
        <v>25143</v>
      </c>
      <c r="D5781" s="28" t="s">
        <v>101</v>
      </c>
      <c r="E5781" s="28" t="s">
        <v>4927</v>
      </c>
      <c r="F5781" s="28" t="s">
        <v>21</v>
      </c>
      <c r="G5781" s="28" t="s">
        <v>39</v>
      </c>
      <c r="H5781" s="28" t="s">
        <v>27631</v>
      </c>
      <c r="I5781" s="28" t="s">
        <v>28832</v>
      </c>
      <c r="J5781" s="28" t="s">
        <v>39</v>
      </c>
      <c r="K5781" s="28" t="s">
        <v>27633</v>
      </c>
      <c r="L5781" s="28" t="s">
        <v>27634</v>
      </c>
      <c r="M5781" s="28" t="s">
        <v>28833</v>
      </c>
      <c r="N5781" s="28" t="s">
        <v>27636</v>
      </c>
      <c r="O5781" s="28" t="s">
        <v>27637</v>
      </c>
      <c r="P5781" s="28" t="s">
        <v>28821</v>
      </c>
    </row>
    <row r="5782" spans="1:16" x14ac:dyDescent="0.25">
      <c r="A5782" s="28" t="s">
        <v>28834</v>
      </c>
      <c r="B5782" s="28" t="s">
        <v>28835</v>
      </c>
      <c r="C5782" s="28" t="s">
        <v>25143</v>
      </c>
      <c r="D5782" s="28" t="s">
        <v>101</v>
      </c>
      <c r="E5782" s="28" t="s">
        <v>4927</v>
      </c>
      <c r="F5782" s="28" t="s">
        <v>21</v>
      </c>
      <c r="G5782" s="28" t="s">
        <v>39</v>
      </c>
      <c r="H5782" s="28" t="s">
        <v>27631</v>
      </c>
      <c r="I5782" s="28" t="s">
        <v>28836</v>
      </c>
      <c r="J5782" s="28" t="s">
        <v>39</v>
      </c>
      <c r="K5782" s="28" t="s">
        <v>27633</v>
      </c>
      <c r="L5782" s="28" t="s">
        <v>27634</v>
      </c>
      <c r="M5782" s="28" t="s">
        <v>28837</v>
      </c>
      <c r="N5782" s="28" t="s">
        <v>27636</v>
      </c>
      <c r="O5782" s="28" t="s">
        <v>27637</v>
      </c>
      <c r="P5782" s="28" t="s">
        <v>28821</v>
      </c>
    </row>
    <row r="5783" spans="1:16" x14ac:dyDescent="0.25">
      <c r="A5783" s="28" t="s">
        <v>28838</v>
      </c>
      <c r="B5783" s="28" t="s">
        <v>28839</v>
      </c>
      <c r="C5783" s="28" t="s">
        <v>25143</v>
      </c>
      <c r="D5783" s="28" t="s">
        <v>101</v>
      </c>
      <c r="E5783" s="28" t="s">
        <v>4927</v>
      </c>
      <c r="F5783" s="28" t="s">
        <v>21</v>
      </c>
      <c r="G5783" s="28" t="s">
        <v>39</v>
      </c>
      <c r="H5783" s="28" t="s">
        <v>27631</v>
      </c>
      <c r="I5783" s="28" t="s">
        <v>28840</v>
      </c>
      <c r="J5783" s="28" t="s">
        <v>39</v>
      </c>
      <c r="K5783" s="28" t="s">
        <v>27633</v>
      </c>
      <c r="L5783" s="28" t="s">
        <v>27634</v>
      </c>
      <c r="M5783" s="28" t="s">
        <v>28841</v>
      </c>
      <c r="N5783" s="28" t="s">
        <v>27636</v>
      </c>
      <c r="O5783" s="28" t="s">
        <v>27637</v>
      </c>
      <c r="P5783" s="28" t="s">
        <v>28821</v>
      </c>
    </row>
    <row r="5784" spans="1:16" x14ac:dyDescent="0.25">
      <c r="A5784" s="28" t="s">
        <v>28842</v>
      </c>
      <c r="B5784" s="28" t="s">
        <v>28843</v>
      </c>
      <c r="C5784" s="28" t="s">
        <v>25143</v>
      </c>
      <c r="D5784" s="28" t="s">
        <v>101</v>
      </c>
      <c r="E5784" s="28" t="s">
        <v>4927</v>
      </c>
      <c r="F5784" s="28" t="s">
        <v>21</v>
      </c>
      <c r="G5784" s="28" t="s">
        <v>39</v>
      </c>
      <c r="H5784" s="28" t="s">
        <v>27631</v>
      </c>
      <c r="I5784" s="28" t="s">
        <v>28844</v>
      </c>
      <c r="J5784" s="28" t="s">
        <v>39</v>
      </c>
      <c r="K5784" s="28" t="s">
        <v>27633</v>
      </c>
      <c r="L5784" s="28" t="s">
        <v>27634</v>
      </c>
      <c r="M5784" s="28" t="s">
        <v>28845</v>
      </c>
      <c r="N5784" s="28" t="s">
        <v>27636</v>
      </c>
      <c r="O5784" s="28" t="s">
        <v>27637</v>
      </c>
      <c r="P5784" s="28" t="s">
        <v>28821</v>
      </c>
    </row>
    <row r="5785" spans="1:16" x14ac:dyDescent="0.25">
      <c r="A5785" s="28" t="s">
        <v>28846</v>
      </c>
      <c r="B5785" s="28" t="s">
        <v>28847</v>
      </c>
      <c r="C5785" s="28" t="s">
        <v>25143</v>
      </c>
      <c r="D5785" s="28" t="s">
        <v>101</v>
      </c>
      <c r="E5785" s="28" t="s">
        <v>4927</v>
      </c>
      <c r="F5785" s="28" t="s">
        <v>21</v>
      </c>
      <c r="G5785" s="28" t="s">
        <v>39</v>
      </c>
      <c r="H5785" s="28" t="s">
        <v>27631</v>
      </c>
      <c r="I5785" s="28" t="s">
        <v>28848</v>
      </c>
      <c r="J5785" s="28" t="s">
        <v>39</v>
      </c>
      <c r="K5785" s="28" t="s">
        <v>27633</v>
      </c>
      <c r="L5785" s="28" t="s">
        <v>27634</v>
      </c>
      <c r="M5785" s="28" t="s">
        <v>28849</v>
      </c>
      <c r="N5785" s="28" t="s">
        <v>27636</v>
      </c>
      <c r="O5785" s="28" t="s">
        <v>27637</v>
      </c>
      <c r="P5785" s="28" t="s">
        <v>28821</v>
      </c>
    </row>
    <row r="5786" spans="1:16" x14ac:dyDescent="0.25">
      <c r="A5786" s="28" t="s">
        <v>28850</v>
      </c>
      <c r="B5786" s="28" t="s">
        <v>28851</v>
      </c>
      <c r="C5786" s="28" t="s">
        <v>25143</v>
      </c>
      <c r="D5786" s="28" t="s">
        <v>101</v>
      </c>
      <c r="E5786" s="28" t="s">
        <v>4927</v>
      </c>
      <c r="F5786" s="28" t="s">
        <v>21</v>
      </c>
      <c r="G5786" s="28" t="s">
        <v>39</v>
      </c>
      <c r="H5786" s="28" t="s">
        <v>27631</v>
      </c>
      <c r="I5786" s="28" t="s">
        <v>28852</v>
      </c>
      <c r="J5786" s="28" t="s">
        <v>39</v>
      </c>
      <c r="K5786" s="28" t="s">
        <v>27633</v>
      </c>
      <c r="L5786" s="28" t="s">
        <v>27634</v>
      </c>
      <c r="M5786" s="28" t="s">
        <v>28853</v>
      </c>
      <c r="N5786" s="28" t="s">
        <v>27636</v>
      </c>
      <c r="O5786" s="28" t="s">
        <v>27637</v>
      </c>
      <c r="P5786" s="28" t="s">
        <v>28821</v>
      </c>
    </row>
    <row r="5787" spans="1:16" x14ac:dyDescent="0.25">
      <c r="A5787" s="28" t="s">
        <v>28854</v>
      </c>
      <c r="B5787" s="28" t="s">
        <v>28855</v>
      </c>
      <c r="C5787" s="28" t="s">
        <v>25143</v>
      </c>
      <c r="D5787" s="28" t="s">
        <v>101</v>
      </c>
      <c r="E5787" s="28" t="s">
        <v>17212</v>
      </c>
      <c r="F5787" s="28" t="s">
        <v>21</v>
      </c>
      <c r="G5787" s="28" t="s">
        <v>39</v>
      </c>
      <c r="H5787" s="28" t="s">
        <v>27631</v>
      </c>
      <c r="I5787" s="28" t="s">
        <v>28856</v>
      </c>
      <c r="J5787" s="28" t="s">
        <v>39</v>
      </c>
      <c r="K5787" s="28" t="s">
        <v>27633</v>
      </c>
      <c r="L5787" s="28" t="s">
        <v>27634</v>
      </c>
      <c r="M5787" s="28" t="s">
        <v>28857</v>
      </c>
      <c r="N5787" s="28" t="s">
        <v>27636</v>
      </c>
      <c r="O5787" s="28" t="s">
        <v>27637</v>
      </c>
      <c r="P5787" s="28" t="s">
        <v>28858</v>
      </c>
    </row>
    <row r="5788" spans="1:16" x14ac:dyDescent="0.25">
      <c r="A5788" s="28" t="s">
        <v>28859</v>
      </c>
      <c r="B5788" s="28" t="s">
        <v>28860</v>
      </c>
      <c r="C5788" s="28" t="s">
        <v>25143</v>
      </c>
      <c r="D5788" s="28" t="s">
        <v>101</v>
      </c>
      <c r="E5788" s="28" t="s">
        <v>7465</v>
      </c>
      <c r="F5788" s="28" t="s">
        <v>21</v>
      </c>
      <c r="G5788" s="28" t="s">
        <v>39</v>
      </c>
      <c r="H5788" s="28" t="s">
        <v>27631</v>
      </c>
      <c r="I5788" s="28" t="s">
        <v>28861</v>
      </c>
      <c r="J5788" s="28" t="s">
        <v>39</v>
      </c>
      <c r="K5788" s="28" t="s">
        <v>27633</v>
      </c>
      <c r="L5788" s="28" t="s">
        <v>27634</v>
      </c>
      <c r="M5788" s="28" t="s">
        <v>28862</v>
      </c>
      <c r="N5788" s="28" t="s">
        <v>27636</v>
      </c>
      <c r="O5788" s="28" t="s">
        <v>27637</v>
      </c>
      <c r="P5788" s="28" t="s">
        <v>28863</v>
      </c>
    </row>
    <row r="5789" spans="1:16" x14ac:dyDescent="0.25">
      <c r="A5789" s="28" t="s">
        <v>28864</v>
      </c>
      <c r="B5789" s="28" t="s">
        <v>28865</v>
      </c>
      <c r="C5789" s="28" t="s">
        <v>25143</v>
      </c>
      <c r="D5789" s="28" t="s">
        <v>101</v>
      </c>
      <c r="E5789" s="28" t="s">
        <v>7465</v>
      </c>
      <c r="F5789" s="28" t="s">
        <v>21</v>
      </c>
      <c r="G5789" s="28" t="s">
        <v>39</v>
      </c>
      <c r="H5789" s="28" t="s">
        <v>27631</v>
      </c>
      <c r="I5789" s="28" t="s">
        <v>28866</v>
      </c>
      <c r="J5789" s="28" t="s">
        <v>39</v>
      </c>
      <c r="K5789" s="28" t="s">
        <v>27633</v>
      </c>
      <c r="L5789" s="28" t="s">
        <v>27634</v>
      </c>
      <c r="M5789" s="28" t="s">
        <v>28867</v>
      </c>
      <c r="N5789" s="28" t="s">
        <v>27636</v>
      </c>
      <c r="O5789" s="28" t="s">
        <v>27637</v>
      </c>
      <c r="P5789" s="28" t="s">
        <v>28863</v>
      </c>
    </row>
    <row r="5790" spans="1:16" x14ac:dyDescent="0.25">
      <c r="A5790" s="28" t="s">
        <v>28868</v>
      </c>
      <c r="B5790" s="28" t="s">
        <v>28869</v>
      </c>
      <c r="C5790" s="28" t="s">
        <v>25143</v>
      </c>
      <c r="D5790" s="28" t="s">
        <v>101</v>
      </c>
      <c r="E5790" s="28" t="s">
        <v>7465</v>
      </c>
      <c r="F5790" s="28" t="s">
        <v>21</v>
      </c>
      <c r="G5790" s="28" t="s">
        <v>39</v>
      </c>
      <c r="H5790" s="28" t="s">
        <v>27631</v>
      </c>
      <c r="I5790" s="28" t="s">
        <v>28870</v>
      </c>
      <c r="J5790" s="28" t="s">
        <v>39</v>
      </c>
      <c r="K5790" s="28" t="s">
        <v>27633</v>
      </c>
      <c r="L5790" s="28" t="s">
        <v>27634</v>
      </c>
      <c r="M5790" s="28" t="s">
        <v>28871</v>
      </c>
      <c r="N5790" s="28" t="s">
        <v>27636</v>
      </c>
      <c r="O5790" s="28" t="s">
        <v>27637</v>
      </c>
      <c r="P5790" s="28" t="s">
        <v>28863</v>
      </c>
    </row>
    <row r="5791" spans="1:16" x14ac:dyDescent="0.25">
      <c r="A5791" s="28" t="s">
        <v>28872</v>
      </c>
      <c r="B5791" s="28" t="s">
        <v>28873</v>
      </c>
      <c r="C5791" s="28" t="s">
        <v>25143</v>
      </c>
      <c r="D5791" s="28" t="s">
        <v>101</v>
      </c>
      <c r="E5791" s="28" t="s">
        <v>28874</v>
      </c>
      <c r="F5791" s="28" t="s">
        <v>21</v>
      </c>
      <c r="G5791" s="28" t="s">
        <v>39</v>
      </c>
      <c r="H5791" s="28" t="s">
        <v>27631</v>
      </c>
      <c r="I5791" s="28" t="s">
        <v>28875</v>
      </c>
      <c r="J5791" s="28" t="s">
        <v>39</v>
      </c>
      <c r="K5791" s="28" t="s">
        <v>27633</v>
      </c>
      <c r="L5791" s="28" t="s">
        <v>27634</v>
      </c>
      <c r="M5791" s="28" t="s">
        <v>28876</v>
      </c>
      <c r="N5791" s="28" t="s">
        <v>27636</v>
      </c>
      <c r="O5791" s="28" t="s">
        <v>27637</v>
      </c>
      <c r="P5791" s="28" t="s">
        <v>28877</v>
      </c>
    </row>
    <row r="5792" spans="1:16" x14ac:dyDescent="0.25">
      <c r="A5792" s="28" t="s">
        <v>28878</v>
      </c>
      <c r="B5792" s="28" t="s">
        <v>28879</v>
      </c>
      <c r="C5792" s="28" t="s">
        <v>25143</v>
      </c>
      <c r="D5792" s="28" t="s">
        <v>101</v>
      </c>
      <c r="E5792" s="28" t="s">
        <v>893</v>
      </c>
      <c r="F5792" s="28" t="s">
        <v>21</v>
      </c>
      <c r="G5792" s="28" t="s">
        <v>39</v>
      </c>
      <c r="H5792" s="28" t="s">
        <v>27631</v>
      </c>
      <c r="I5792" s="28" t="s">
        <v>28880</v>
      </c>
      <c r="J5792" s="28" t="s">
        <v>39</v>
      </c>
      <c r="K5792" s="28" t="s">
        <v>27633</v>
      </c>
      <c r="L5792" s="28" t="s">
        <v>27634</v>
      </c>
      <c r="M5792" s="28" t="s">
        <v>28881</v>
      </c>
      <c r="N5792" s="28" t="s">
        <v>27636</v>
      </c>
      <c r="O5792" s="28" t="s">
        <v>27637</v>
      </c>
      <c r="P5792" s="28" t="s">
        <v>28882</v>
      </c>
    </row>
    <row r="5793" spans="1:16" x14ac:dyDescent="0.25">
      <c r="A5793" s="28" t="s">
        <v>28883</v>
      </c>
      <c r="B5793" s="28" t="s">
        <v>28884</v>
      </c>
      <c r="C5793" s="28" t="s">
        <v>25143</v>
      </c>
      <c r="D5793" s="28" t="s">
        <v>101</v>
      </c>
      <c r="E5793" s="28" t="s">
        <v>102</v>
      </c>
      <c r="F5793" s="28" t="s">
        <v>21</v>
      </c>
      <c r="G5793" s="28" t="s">
        <v>39</v>
      </c>
      <c r="H5793" s="28" t="s">
        <v>27631</v>
      </c>
      <c r="I5793" s="28" t="s">
        <v>28885</v>
      </c>
      <c r="J5793" s="28" t="s">
        <v>39</v>
      </c>
      <c r="K5793" s="28" t="s">
        <v>27633</v>
      </c>
      <c r="L5793" s="28" t="s">
        <v>27634</v>
      </c>
      <c r="M5793" s="28" t="s">
        <v>28886</v>
      </c>
      <c r="N5793" s="28" t="s">
        <v>27636</v>
      </c>
      <c r="O5793" s="28" t="s">
        <v>27637</v>
      </c>
      <c r="P5793" s="28" t="s">
        <v>28887</v>
      </c>
    </row>
    <row r="5794" spans="1:16" x14ac:dyDescent="0.25">
      <c r="A5794" s="28" t="s">
        <v>28888</v>
      </c>
      <c r="B5794" s="28" t="s">
        <v>28889</v>
      </c>
      <c r="C5794" s="28" t="s">
        <v>25143</v>
      </c>
      <c r="D5794" s="28" t="s">
        <v>101</v>
      </c>
      <c r="E5794" s="28" t="s">
        <v>7716</v>
      </c>
      <c r="F5794" s="28" t="s">
        <v>21</v>
      </c>
      <c r="G5794" s="28" t="s">
        <v>39</v>
      </c>
      <c r="H5794" s="28" t="s">
        <v>27631</v>
      </c>
      <c r="I5794" s="28" t="s">
        <v>28890</v>
      </c>
      <c r="J5794" s="28" t="s">
        <v>39</v>
      </c>
      <c r="K5794" s="28" t="s">
        <v>27633</v>
      </c>
      <c r="L5794" s="28" t="s">
        <v>27634</v>
      </c>
      <c r="M5794" s="28" t="s">
        <v>28891</v>
      </c>
      <c r="N5794" s="28" t="s">
        <v>27636</v>
      </c>
      <c r="O5794" s="28" t="s">
        <v>27637</v>
      </c>
      <c r="P5794" s="28" t="s">
        <v>28892</v>
      </c>
    </row>
    <row r="5795" spans="1:16" x14ac:dyDescent="0.25">
      <c r="A5795" s="28" t="s">
        <v>28893</v>
      </c>
      <c r="B5795" s="28" t="s">
        <v>28894</v>
      </c>
      <c r="C5795" s="28" t="s">
        <v>25143</v>
      </c>
      <c r="D5795" s="28" t="s">
        <v>101</v>
      </c>
      <c r="E5795" s="28" t="s">
        <v>5725</v>
      </c>
      <c r="F5795" s="28" t="s">
        <v>21</v>
      </c>
      <c r="G5795" s="28" t="s">
        <v>39</v>
      </c>
      <c r="H5795" s="28" t="s">
        <v>27631</v>
      </c>
      <c r="I5795" s="28" t="s">
        <v>28895</v>
      </c>
      <c r="J5795" s="28" t="s">
        <v>39</v>
      </c>
      <c r="K5795" s="28" t="s">
        <v>27633</v>
      </c>
      <c r="L5795" s="28" t="s">
        <v>27634</v>
      </c>
      <c r="M5795" s="28" t="s">
        <v>28896</v>
      </c>
      <c r="N5795" s="28" t="s">
        <v>27636</v>
      </c>
      <c r="O5795" s="28" t="s">
        <v>27637</v>
      </c>
      <c r="P5795" s="28" t="s">
        <v>28897</v>
      </c>
    </row>
    <row r="5796" spans="1:16" x14ac:dyDescent="0.25">
      <c r="A5796" s="28" t="s">
        <v>28898</v>
      </c>
      <c r="B5796" s="28" t="s">
        <v>28899</v>
      </c>
      <c r="C5796" s="28" t="s">
        <v>25143</v>
      </c>
      <c r="D5796" s="28" t="s">
        <v>101</v>
      </c>
      <c r="E5796" s="28" t="s">
        <v>28900</v>
      </c>
      <c r="F5796" s="28" t="s">
        <v>21</v>
      </c>
      <c r="G5796" s="28" t="s">
        <v>39</v>
      </c>
      <c r="H5796" s="28" t="s">
        <v>27631</v>
      </c>
      <c r="I5796" s="28" t="s">
        <v>28901</v>
      </c>
      <c r="J5796" s="28" t="s">
        <v>39</v>
      </c>
      <c r="K5796" s="28" t="s">
        <v>27633</v>
      </c>
      <c r="L5796" s="28" t="s">
        <v>27634</v>
      </c>
      <c r="M5796" s="28" t="s">
        <v>28902</v>
      </c>
      <c r="N5796" s="28" t="s">
        <v>27636</v>
      </c>
      <c r="O5796" s="28" t="s">
        <v>27637</v>
      </c>
      <c r="P5796" s="28" t="s">
        <v>28903</v>
      </c>
    </row>
    <row r="5797" spans="1:16" x14ac:dyDescent="0.25">
      <c r="A5797" s="28" t="s">
        <v>28904</v>
      </c>
      <c r="B5797" s="28" t="s">
        <v>28905</v>
      </c>
      <c r="C5797" s="28" t="s">
        <v>25143</v>
      </c>
      <c r="D5797" s="28" t="s">
        <v>101</v>
      </c>
      <c r="E5797" s="28" t="s">
        <v>5745</v>
      </c>
      <c r="F5797" s="28" t="s">
        <v>21</v>
      </c>
      <c r="G5797" s="28" t="s">
        <v>39</v>
      </c>
      <c r="H5797" s="28" t="s">
        <v>27631</v>
      </c>
      <c r="I5797" s="28" t="s">
        <v>28906</v>
      </c>
      <c r="J5797" s="28" t="s">
        <v>39</v>
      </c>
      <c r="K5797" s="28" t="s">
        <v>27633</v>
      </c>
      <c r="L5797" s="28" t="s">
        <v>27634</v>
      </c>
      <c r="M5797" s="28" t="s">
        <v>28907</v>
      </c>
      <c r="N5797" s="28" t="s">
        <v>27636</v>
      </c>
      <c r="O5797" s="28" t="s">
        <v>27637</v>
      </c>
      <c r="P5797" s="28" t="s">
        <v>28908</v>
      </c>
    </row>
    <row r="5798" spans="1:16" x14ac:dyDescent="0.25">
      <c r="A5798" s="28" t="s">
        <v>28909</v>
      </c>
      <c r="B5798" s="28" t="s">
        <v>28910</v>
      </c>
      <c r="C5798" s="28" t="s">
        <v>25143</v>
      </c>
      <c r="D5798" s="28" t="s">
        <v>101</v>
      </c>
      <c r="E5798" s="28" t="s">
        <v>7501</v>
      </c>
      <c r="F5798" s="28" t="s">
        <v>21</v>
      </c>
      <c r="G5798" s="28" t="s">
        <v>39</v>
      </c>
      <c r="H5798" s="28" t="s">
        <v>27631</v>
      </c>
      <c r="I5798" s="28" t="s">
        <v>28911</v>
      </c>
      <c r="J5798" s="28" t="s">
        <v>39</v>
      </c>
      <c r="K5798" s="28" t="s">
        <v>27633</v>
      </c>
      <c r="L5798" s="28" t="s">
        <v>27634</v>
      </c>
      <c r="M5798" s="28" t="s">
        <v>28912</v>
      </c>
      <c r="N5798" s="28" t="s">
        <v>27636</v>
      </c>
      <c r="O5798" s="28" t="s">
        <v>27637</v>
      </c>
      <c r="P5798" s="28" t="s">
        <v>28913</v>
      </c>
    </row>
    <row r="5799" spans="1:16" x14ac:dyDescent="0.25">
      <c r="A5799" s="28" t="s">
        <v>28914</v>
      </c>
      <c r="B5799" s="28" t="s">
        <v>28915</v>
      </c>
      <c r="C5799" s="28" t="s">
        <v>25143</v>
      </c>
      <c r="D5799" s="28" t="s">
        <v>101</v>
      </c>
      <c r="E5799" s="28" t="s">
        <v>4148</v>
      </c>
      <c r="F5799" s="28" t="s">
        <v>21</v>
      </c>
      <c r="G5799" s="28" t="s">
        <v>39</v>
      </c>
      <c r="H5799" s="28" t="s">
        <v>27631</v>
      </c>
      <c r="I5799" s="28" t="s">
        <v>28916</v>
      </c>
      <c r="J5799" s="28" t="s">
        <v>39</v>
      </c>
      <c r="K5799" s="28" t="s">
        <v>27633</v>
      </c>
      <c r="L5799" s="28" t="s">
        <v>27634</v>
      </c>
      <c r="M5799" s="28" t="s">
        <v>28917</v>
      </c>
      <c r="N5799" s="28" t="s">
        <v>27636</v>
      </c>
      <c r="O5799" s="28" t="s">
        <v>27637</v>
      </c>
      <c r="P5799" s="28" t="s">
        <v>28918</v>
      </c>
    </row>
    <row r="5800" spans="1:16" x14ac:dyDescent="0.25">
      <c r="A5800" s="28" t="s">
        <v>28919</v>
      </c>
      <c r="B5800" s="28" t="s">
        <v>28920</v>
      </c>
      <c r="C5800" s="28" t="s">
        <v>25143</v>
      </c>
      <c r="D5800" s="28" t="s">
        <v>101</v>
      </c>
      <c r="E5800" s="28" t="s">
        <v>28921</v>
      </c>
      <c r="F5800" s="28" t="s">
        <v>21</v>
      </c>
      <c r="G5800" s="28" t="s">
        <v>39</v>
      </c>
      <c r="H5800" s="28" t="s">
        <v>27631</v>
      </c>
      <c r="I5800" s="28" t="s">
        <v>28922</v>
      </c>
      <c r="J5800" s="28" t="s">
        <v>39</v>
      </c>
      <c r="K5800" s="28" t="s">
        <v>27633</v>
      </c>
      <c r="L5800" s="28" t="s">
        <v>27634</v>
      </c>
      <c r="M5800" s="28" t="s">
        <v>28923</v>
      </c>
      <c r="N5800" s="28" t="s">
        <v>27636</v>
      </c>
      <c r="O5800" s="28" t="s">
        <v>27637</v>
      </c>
      <c r="P5800" s="28" t="s">
        <v>28924</v>
      </c>
    </row>
    <row r="5801" spans="1:16" x14ac:dyDescent="0.25">
      <c r="A5801" s="28" t="s">
        <v>28925</v>
      </c>
      <c r="B5801" s="28" t="s">
        <v>28926</v>
      </c>
      <c r="C5801" s="28" t="s">
        <v>25143</v>
      </c>
      <c r="D5801" s="28" t="s">
        <v>101</v>
      </c>
      <c r="E5801" s="28" t="s">
        <v>5786</v>
      </c>
      <c r="F5801" s="28" t="s">
        <v>21</v>
      </c>
      <c r="G5801" s="28" t="s">
        <v>39</v>
      </c>
      <c r="H5801" s="28" t="s">
        <v>27631</v>
      </c>
      <c r="I5801" s="28" t="s">
        <v>28927</v>
      </c>
      <c r="J5801" s="28" t="s">
        <v>39</v>
      </c>
      <c r="K5801" s="28" t="s">
        <v>27633</v>
      </c>
      <c r="L5801" s="28" t="s">
        <v>27634</v>
      </c>
      <c r="M5801" s="28" t="s">
        <v>28928</v>
      </c>
      <c r="N5801" s="28" t="s">
        <v>27636</v>
      </c>
      <c r="O5801" s="28" t="s">
        <v>27637</v>
      </c>
      <c r="P5801" s="28" t="s">
        <v>28929</v>
      </c>
    </row>
    <row r="5802" spans="1:16" x14ac:dyDescent="0.25">
      <c r="A5802" s="28" t="s">
        <v>28930</v>
      </c>
      <c r="B5802" s="28" t="s">
        <v>28931</v>
      </c>
      <c r="C5802" s="28" t="s">
        <v>25143</v>
      </c>
      <c r="D5802" s="28" t="s">
        <v>101</v>
      </c>
      <c r="E5802" s="28" t="s">
        <v>28932</v>
      </c>
      <c r="F5802" s="28" t="s">
        <v>21</v>
      </c>
      <c r="G5802" s="28" t="s">
        <v>39</v>
      </c>
      <c r="H5802" s="28" t="s">
        <v>27631</v>
      </c>
      <c r="I5802" s="28" t="s">
        <v>28933</v>
      </c>
      <c r="J5802" s="28" t="s">
        <v>39</v>
      </c>
      <c r="K5802" s="28" t="s">
        <v>27633</v>
      </c>
      <c r="L5802" s="28" t="s">
        <v>27634</v>
      </c>
      <c r="M5802" s="28" t="s">
        <v>28934</v>
      </c>
      <c r="N5802" s="28" t="s">
        <v>27636</v>
      </c>
      <c r="O5802" s="28" t="s">
        <v>27637</v>
      </c>
      <c r="P5802" s="28" t="s">
        <v>28935</v>
      </c>
    </row>
    <row r="5803" spans="1:16" x14ac:dyDescent="0.25">
      <c r="A5803" s="28" t="s">
        <v>28936</v>
      </c>
      <c r="B5803" s="28" t="s">
        <v>28937</v>
      </c>
      <c r="C5803" s="28" t="s">
        <v>25143</v>
      </c>
      <c r="D5803" s="28" t="s">
        <v>4270</v>
      </c>
      <c r="E5803" s="28" t="s">
        <v>18469</v>
      </c>
      <c r="F5803" s="28" t="s">
        <v>21</v>
      </c>
      <c r="G5803" s="28" t="s">
        <v>39</v>
      </c>
      <c r="H5803" s="28" t="s">
        <v>27631</v>
      </c>
      <c r="I5803" s="28" t="s">
        <v>28938</v>
      </c>
      <c r="J5803" s="28" t="s">
        <v>39</v>
      </c>
      <c r="K5803" s="28" t="s">
        <v>27633</v>
      </c>
      <c r="L5803" s="28" t="s">
        <v>27634</v>
      </c>
      <c r="M5803" s="28" t="s">
        <v>28939</v>
      </c>
      <c r="N5803" s="28" t="s">
        <v>27636</v>
      </c>
      <c r="O5803" s="28" t="s">
        <v>27637</v>
      </c>
      <c r="P5803" s="28" t="s">
        <v>28940</v>
      </c>
    </row>
    <row r="5804" spans="1:16" x14ac:dyDescent="0.25">
      <c r="A5804" s="28" t="s">
        <v>28941</v>
      </c>
      <c r="B5804" s="28" t="s">
        <v>28942</v>
      </c>
      <c r="C5804" s="28" t="s">
        <v>25143</v>
      </c>
      <c r="D5804" s="28" t="s">
        <v>4270</v>
      </c>
      <c r="E5804" s="28" t="s">
        <v>18469</v>
      </c>
      <c r="F5804" s="28" t="s">
        <v>21</v>
      </c>
      <c r="G5804" s="28" t="s">
        <v>39</v>
      </c>
      <c r="H5804" s="28" t="s">
        <v>27631</v>
      </c>
      <c r="I5804" s="28" t="s">
        <v>28943</v>
      </c>
      <c r="J5804" s="28" t="s">
        <v>39</v>
      </c>
      <c r="K5804" s="28" t="s">
        <v>27633</v>
      </c>
      <c r="L5804" s="28" t="s">
        <v>27634</v>
      </c>
      <c r="M5804" s="28" t="s">
        <v>28944</v>
      </c>
      <c r="N5804" s="28" t="s">
        <v>27636</v>
      </c>
      <c r="O5804" s="28" t="s">
        <v>27637</v>
      </c>
      <c r="P5804" s="28" t="s">
        <v>28940</v>
      </c>
    </row>
    <row r="5805" spans="1:16" x14ac:dyDescent="0.25">
      <c r="A5805" s="28" t="s">
        <v>28945</v>
      </c>
      <c r="B5805" s="28" t="s">
        <v>28946</v>
      </c>
      <c r="C5805" s="28" t="s">
        <v>25143</v>
      </c>
      <c r="D5805" s="28" t="s">
        <v>4270</v>
      </c>
      <c r="E5805" s="28" t="s">
        <v>18469</v>
      </c>
      <c r="F5805" s="28" t="s">
        <v>21</v>
      </c>
      <c r="G5805" s="28" t="s">
        <v>39</v>
      </c>
      <c r="H5805" s="28" t="s">
        <v>27631</v>
      </c>
      <c r="I5805" s="28" t="s">
        <v>28947</v>
      </c>
      <c r="J5805" s="28" t="s">
        <v>39</v>
      </c>
      <c r="K5805" s="28" t="s">
        <v>27633</v>
      </c>
      <c r="L5805" s="28" t="s">
        <v>27634</v>
      </c>
      <c r="M5805" s="28" t="s">
        <v>28948</v>
      </c>
      <c r="N5805" s="28" t="s">
        <v>27636</v>
      </c>
      <c r="O5805" s="28" t="s">
        <v>27637</v>
      </c>
      <c r="P5805" s="28" t="s">
        <v>28940</v>
      </c>
    </row>
    <row r="5806" spans="1:16" x14ac:dyDescent="0.25">
      <c r="A5806" s="28" t="s">
        <v>28949</v>
      </c>
      <c r="B5806" s="28" t="s">
        <v>28950</v>
      </c>
      <c r="C5806" s="28" t="s">
        <v>25143</v>
      </c>
      <c r="D5806" s="28" t="s">
        <v>4270</v>
      </c>
      <c r="E5806" s="28" t="s">
        <v>18469</v>
      </c>
      <c r="F5806" s="28" t="s">
        <v>21</v>
      </c>
      <c r="G5806" s="28" t="s">
        <v>39</v>
      </c>
      <c r="H5806" s="28" t="s">
        <v>27631</v>
      </c>
      <c r="I5806" s="28" t="s">
        <v>28951</v>
      </c>
      <c r="J5806" s="28" t="s">
        <v>39</v>
      </c>
      <c r="K5806" s="28" t="s">
        <v>27633</v>
      </c>
      <c r="L5806" s="28" t="s">
        <v>27634</v>
      </c>
      <c r="M5806" s="28" t="s">
        <v>28952</v>
      </c>
      <c r="N5806" s="28" t="s">
        <v>27636</v>
      </c>
      <c r="O5806" s="28" t="s">
        <v>27637</v>
      </c>
      <c r="P5806" s="28" t="s">
        <v>28940</v>
      </c>
    </row>
    <row r="5807" spans="1:16" x14ac:dyDescent="0.25">
      <c r="A5807" s="28" t="s">
        <v>28953</v>
      </c>
      <c r="B5807" s="28" t="s">
        <v>28954</v>
      </c>
      <c r="C5807" s="28" t="s">
        <v>25143</v>
      </c>
      <c r="D5807" s="28" t="s">
        <v>4270</v>
      </c>
      <c r="E5807" s="28" t="s">
        <v>18469</v>
      </c>
      <c r="F5807" s="28" t="s">
        <v>21</v>
      </c>
      <c r="G5807" s="28" t="s">
        <v>39</v>
      </c>
      <c r="H5807" s="28" t="s">
        <v>27631</v>
      </c>
      <c r="I5807" s="28" t="s">
        <v>28955</v>
      </c>
      <c r="J5807" s="28" t="s">
        <v>39</v>
      </c>
      <c r="K5807" s="28" t="s">
        <v>27633</v>
      </c>
      <c r="L5807" s="28" t="s">
        <v>27634</v>
      </c>
      <c r="M5807" s="28" t="s">
        <v>28956</v>
      </c>
      <c r="N5807" s="28" t="s">
        <v>27636</v>
      </c>
      <c r="O5807" s="28" t="s">
        <v>27637</v>
      </c>
      <c r="P5807" s="28" t="s">
        <v>28940</v>
      </c>
    </row>
    <row r="5808" spans="1:16" x14ac:dyDescent="0.25">
      <c r="A5808" s="28" t="s">
        <v>28957</v>
      </c>
      <c r="B5808" s="28" t="s">
        <v>28958</v>
      </c>
      <c r="C5808" s="28" t="s">
        <v>25143</v>
      </c>
      <c r="D5808" s="28" t="s">
        <v>4270</v>
      </c>
      <c r="E5808" s="28" t="s">
        <v>18469</v>
      </c>
      <c r="F5808" s="28" t="s">
        <v>21</v>
      </c>
      <c r="G5808" s="28" t="s">
        <v>39</v>
      </c>
      <c r="H5808" s="28" t="s">
        <v>27631</v>
      </c>
      <c r="I5808" s="28" t="s">
        <v>28959</v>
      </c>
      <c r="J5808" s="28" t="s">
        <v>39</v>
      </c>
      <c r="K5808" s="28" t="s">
        <v>27633</v>
      </c>
      <c r="L5808" s="28" t="s">
        <v>27634</v>
      </c>
      <c r="M5808" s="28" t="s">
        <v>28960</v>
      </c>
      <c r="N5808" s="28" t="s">
        <v>27636</v>
      </c>
      <c r="O5808" s="28" t="s">
        <v>27637</v>
      </c>
      <c r="P5808" s="28" t="s">
        <v>28940</v>
      </c>
    </row>
    <row r="5809" spans="1:16" x14ac:dyDescent="0.25">
      <c r="A5809" s="28" t="s">
        <v>28961</v>
      </c>
      <c r="B5809" s="28" t="s">
        <v>28962</v>
      </c>
      <c r="C5809" s="28" t="s">
        <v>25143</v>
      </c>
      <c r="D5809" s="28" t="s">
        <v>4270</v>
      </c>
      <c r="E5809" s="28" t="s">
        <v>18469</v>
      </c>
      <c r="F5809" s="28" t="s">
        <v>21</v>
      </c>
      <c r="G5809" s="28" t="s">
        <v>39</v>
      </c>
      <c r="H5809" s="28" t="s">
        <v>27631</v>
      </c>
      <c r="I5809" s="28" t="s">
        <v>28963</v>
      </c>
      <c r="J5809" s="28" t="s">
        <v>39</v>
      </c>
      <c r="K5809" s="28" t="s">
        <v>27633</v>
      </c>
      <c r="L5809" s="28" t="s">
        <v>27634</v>
      </c>
      <c r="M5809" s="28" t="s">
        <v>28964</v>
      </c>
      <c r="N5809" s="28" t="s">
        <v>27636</v>
      </c>
      <c r="O5809" s="28" t="s">
        <v>27637</v>
      </c>
      <c r="P5809" s="28" t="s">
        <v>28940</v>
      </c>
    </row>
    <row r="5810" spans="1:16" x14ac:dyDescent="0.25">
      <c r="A5810" s="28" t="s">
        <v>28965</v>
      </c>
      <c r="B5810" s="28" t="s">
        <v>28966</v>
      </c>
      <c r="C5810" s="28" t="s">
        <v>25143</v>
      </c>
      <c r="D5810" s="28" t="s">
        <v>4270</v>
      </c>
      <c r="E5810" s="28" t="s">
        <v>18469</v>
      </c>
      <c r="F5810" s="28" t="s">
        <v>21</v>
      </c>
      <c r="G5810" s="28" t="s">
        <v>39</v>
      </c>
      <c r="H5810" s="28" t="s">
        <v>27631</v>
      </c>
      <c r="I5810" s="28" t="s">
        <v>28967</v>
      </c>
      <c r="J5810" s="28" t="s">
        <v>39</v>
      </c>
      <c r="K5810" s="28" t="s">
        <v>27633</v>
      </c>
      <c r="L5810" s="28" t="s">
        <v>27634</v>
      </c>
      <c r="M5810" s="28" t="s">
        <v>28968</v>
      </c>
      <c r="N5810" s="28" t="s">
        <v>27636</v>
      </c>
      <c r="O5810" s="28" t="s">
        <v>27637</v>
      </c>
      <c r="P5810" s="28" t="s">
        <v>28940</v>
      </c>
    </row>
    <row r="5811" spans="1:16" x14ac:dyDescent="0.25">
      <c r="A5811" s="28" t="s">
        <v>28969</v>
      </c>
      <c r="B5811" s="28" t="s">
        <v>28970</v>
      </c>
      <c r="C5811" s="28" t="s">
        <v>25143</v>
      </c>
      <c r="D5811" s="28" t="s">
        <v>4270</v>
      </c>
      <c r="E5811" s="28" t="s">
        <v>18469</v>
      </c>
      <c r="F5811" s="28" t="s">
        <v>21</v>
      </c>
      <c r="G5811" s="28" t="s">
        <v>39</v>
      </c>
      <c r="H5811" s="28" t="s">
        <v>27631</v>
      </c>
      <c r="I5811" s="28" t="s">
        <v>28971</v>
      </c>
      <c r="J5811" s="28" t="s">
        <v>39</v>
      </c>
      <c r="K5811" s="28" t="s">
        <v>27633</v>
      </c>
      <c r="L5811" s="28" t="s">
        <v>27634</v>
      </c>
      <c r="M5811" s="28" t="s">
        <v>28972</v>
      </c>
      <c r="N5811" s="28" t="s">
        <v>27636</v>
      </c>
      <c r="O5811" s="28" t="s">
        <v>27637</v>
      </c>
      <c r="P5811" s="28" t="s">
        <v>28940</v>
      </c>
    </row>
    <row r="5812" spans="1:16" x14ac:dyDescent="0.25">
      <c r="A5812" s="28" t="s">
        <v>28973</v>
      </c>
      <c r="B5812" s="28" t="s">
        <v>28974</v>
      </c>
      <c r="C5812" s="28" t="s">
        <v>25143</v>
      </c>
      <c r="D5812" s="28" t="s">
        <v>4270</v>
      </c>
      <c r="E5812" s="28" t="s">
        <v>18469</v>
      </c>
      <c r="F5812" s="28" t="s">
        <v>21</v>
      </c>
      <c r="G5812" s="28" t="s">
        <v>39</v>
      </c>
      <c r="H5812" s="28" t="s">
        <v>27631</v>
      </c>
      <c r="I5812" s="28" t="s">
        <v>28975</v>
      </c>
      <c r="J5812" s="28" t="s">
        <v>39</v>
      </c>
      <c r="K5812" s="28" t="s">
        <v>27633</v>
      </c>
      <c r="L5812" s="28" t="s">
        <v>27634</v>
      </c>
      <c r="M5812" s="28" t="s">
        <v>28976</v>
      </c>
      <c r="N5812" s="28" t="s">
        <v>27636</v>
      </c>
      <c r="O5812" s="28" t="s">
        <v>27637</v>
      </c>
      <c r="P5812" s="28" t="s">
        <v>28940</v>
      </c>
    </row>
    <row r="5813" spans="1:16" x14ac:dyDescent="0.25">
      <c r="A5813" s="28" t="s">
        <v>28977</v>
      </c>
      <c r="B5813" s="28" t="s">
        <v>28978</v>
      </c>
      <c r="C5813" s="28" t="s">
        <v>25143</v>
      </c>
      <c r="D5813" s="28" t="s">
        <v>4270</v>
      </c>
      <c r="E5813" s="28" t="s">
        <v>25036</v>
      </c>
      <c r="F5813" s="28" t="s">
        <v>21</v>
      </c>
      <c r="G5813" s="28" t="s">
        <v>39</v>
      </c>
      <c r="H5813" s="28" t="s">
        <v>27631</v>
      </c>
      <c r="I5813" s="28" t="s">
        <v>28979</v>
      </c>
      <c r="J5813" s="28" t="s">
        <v>39</v>
      </c>
      <c r="K5813" s="28" t="s">
        <v>27633</v>
      </c>
      <c r="L5813" s="28" t="s">
        <v>27634</v>
      </c>
      <c r="M5813" s="28" t="s">
        <v>28980</v>
      </c>
      <c r="N5813" s="28" t="s">
        <v>27636</v>
      </c>
      <c r="O5813" s="28" t="s">
        <v>27637</v>
      </c>
      <c r="P5813" s="28" t="s">
        <v>28981</v>
      </c>
    </row>
    <row r="5814" spans="1:16" x14ac:dyDescent="0.25">
      <c r="A5814" s="28" t="s">
        <v>28982</v>
      </c>
      <c r="B5814" s="28" t="s">
        <v>28983</v>
      </c>
      <c r="C5814" s="28" t="s">
        <v>25143</v>
      </c>
      <c r="D5814" s="28" t="s">
        <v>4270</v>
      </c>
      <c r="E5814" s="28" t="s">
        <v>25036</v>
      </c>
      <c r="F5814" s="28" t="s">
        <v>21</v>
      </c>
      <c r="G5814" s="28" t="s">
        <v>39</v>
      </c>
      <c r="H5814" s="28" t="s">
        <v>27631</v>
      </c>
      <c r="I5814" s="28" t="s">
        <v>28984</v>
      </c>
      <c r="J5814" s="28" t="s">
        <v>39</v>
      </c>
      <c r="K5814" s="28" t="s">
        <v>27633</v>
      </c>
      <c r="L5814" s="28" t="s">
        <v>27634</v>
      </c>
      <c r="M5814" s="28" t="s">
        <v>28985</v>
      </c>
      <c r="N5814" s="28" t="s">
        <v>27636</v>
      </c>
      <c r="O5814" s="28" t="s">
        <v>27637</v>
      </c>
      <c r="P5814" s="28" t="s">
        <v>28981</v>
      </c>
    </row>
    <row r="5815" spans="1:16" x14ac:dyDescent="0.25">
      <c r="A5815" s="28" t="s">
        <v>28986</v>
      </c>
      <c r="B5815" s="28" t="s">
        <v>28987</v>
      </c>
      <c r="C5815" s="28" t="s">
        <v>25143</v>
      </c>
      <c r="D5815" s="28" t="s">
        <v>4270</v>
      </c>
      <c r="E5815" s="28" t="s">
        <v>18491</v>
      </c>
      <c r="F5815" s="28" t="s">
        <v>21</v>
      </c>
      <c r="G5815" s="28" t="s">
        <v>39</v>
      </c>
      <c r="H5815" s="28" t="s">
        <v>27631</v>
      </c>
      <c r="I5815" s="28" t="s">
        <v>28988</v>
      </c>
      <c r="J5815" s="28" t="s">
        <v>39</v>
      </c>
      <c r="K5815" s="28" t="s">
        <v>27633</v>
      </c>
      <c r="L5815" s="28" t="s">
        <v>27634</v>
      </c>
      <c r="M5815" s="28" t="s">
        <v>28989</v>
      </c>
      <c r="N5815" s="28" t="s">
        <v>27636</v>
      </c>
      <c r="O5815" s="28" t="s">
        <v>27637</v>
      </c>
      <c r="P5815" s="28" t="s">
        <v>28990</v>
      </c>
    </row>
    <row r="5816" spans="1:16" x14ac:dyDescent="0.25">
      <c r="A5816" s="28" t="s">
        <v>28991</v>
      </c>
      <c r="B5816" s="28" t="s">
        <v>28992</v>
      </c>
      <c r="C5816" s="28" t="s">
        <v>25143</v>
      </c>
      <c r="D5816" s="28" t="s">
        <v>19</v>
      </c>
      <c r="E5816" s="28" t="s">
        <v>6730</v>
      </c>
      <c r="F5816" s="28" t="s">
        <v>21</v>
      </c>
      <c r="G5816" s="28" t="s">
        <v>39</v>
      </c>
      <c r="H5816" s="28" t="s">
        <v>27631</v>
      </c>
      <c r="I5816" s="28" t="s">
        <v>28993</v>
      </c>
      <c r="J5816" s="28" t="s">
        <v>39</v>
      </c>
      <c r="K5816" s="28" t="s">
        <v>27633</v>
      </c>
      <c r="L5816" s="28" t="s">
        <v>27634</v>
      </c>
      <c r="M5816" s="28" t="s">
        <v>28994</v>
      </c>
      <c r="N5816" s="28" t="s">
        <v>27636</v>
      </c>
      <c r="O5816" s="28" t="s">
        <v>27637</v>
      </c>
      <c r="P5816" s="28" t="s">
        <v>28995</v>
      </c>
    </row>
    <row r="5817" spans="1:16" x14ac:dyDescent="0.25">
      <c r="A5817" s="28" t="s">
        <v>28996</v>
      </c>
      <c r="B5817" s="28" t="s">
        <v>28997</v>
      </c>
      <c r="C5817" s="28" t="s">
        <v>25143</v>
      </c>
      <c r="D5817" s="28" t="s">
        <v>19</v>
      </c>
      <c r="E5817" s="28" t="s">
        <v>6730</v>
      </c>
      <c r="F5817" s="28" t="s">
        <v>21</v>
      </c>
      <c r="G5817" s="28" t="s">
        <v>39</v>
      </c>
      <c r="H5817" s="28" t="s">
        <v>27631</v>
      </c>
      <c r="I5817" s="28" t="s">
        <v>28998</v>
      </c>
      <c r="J5817" s="28" t="s">
        <v>39</v>
      </c>
      <c r="K5817" s="28" t="s">
        <v>27633</v>
      </c>
      <c r="L5817" s="28" t="s">
        <v>27634</v>
      </c>
      <c r="M5817" s="28" t="s">
        <v>28999</v>
      </c>
      <c r="N5817" s="28" t="s">
        <v>27636</v>
      </c>
      <c r="O5817" s="28" t="s">
        <v>27637</v>
      </c>
      <c r="P5817" s="28" t="s">
        <v>28995</v>
      </c>
    </row>
    <row r="5818" spans="1:16" x14ac:dyDescent="0.25">
      <c r="A5818" s="28" t="s">
        <v>29000</v>
      </c>
      <c r="B5818" s="28" t="s">
        <v>29001</v>
      </c>
      <c r="C5818" s="28" t="s">
        <v>25143</v>
      </c>
      <c r="D5818" s="28" t="s">
        <v>19</v>
      </c>
      <c r="E5818" s="28" t="s">
        <v>4896</v>
      </c>
      <c r="F5818" s="28" t="s">
        <v>21</v>
      </c>
      <c r="G5818" s="28" t="s">
        <v>39</v>
      </c>
      <c r="H5818" s="28" t="s">
        <v>27631</v>
      </c>
      <c r="I5818" s="28" t="s">
        <v>29002</v>
      </c>
      <c r="J5818" s="28" t="s">
        <v>39</v>
      </c>
      <c r="K5818" s="28" t="s">
        <v>27633</v>
      </c>
      <c r="L5818" s="28" t="s">
        <v>27634</v>
      </c>
      <c r="M5818" s="28" t="s">
        <v>29003</v>
      </c>
      <c r="N5818" s="28" t="s">
        <v>27636</v>
      </c>
      <c r="O5818" s="28" t="s">
        <v>27637</v>
      </c>
      <c r="P5818" s="28" t="s">
        <v>29004</v>
      </c>
    </row>
    <row r="5819" spans="1:16" x14ac:dyDescent="0.25">
      <c r="A5819" s="28" t="s">
        <v>29005</v>
      </c>
      <c r="B5819" s="28" t="s">
        <v>29006</v>
      </c>
      <c r="C5819" s="28" t="s">
        <v>25143</v>
      </c>
      <c r="D5819" s="28" t="s">
        <v>19</v>
      </c>
      <c r="E5819" s="28" t="s">
        <v>4896</v>
      </c>
      <c r="F5819" s="28" t="s">
        <v>21</v>
      </c>
      <c r="G5819" s="28" t="s">
        <v>39</v>
      </c>
      <c r="H5819" s="28" t="s">
        <v>27631</v>
      </c>
      <c r="I5819" s="28" t="s">
        <v>29007</v>
      </c>
      <c r="J5819" s="28" t="s">
        <v>39</v>
      </c>
      <c r="K5819" s="28" t="s">
        <v>27633</v>
      </c>
      <c r="L5819" s="28" t="s">
        <v>27634</v>
      </c>
      <c r="M5819" s="28" t="s">
        <v>29008</v>
      </c>
      <c r="N5819" s="28" t="s">
        <v>27636</v>
      </c>
      <c r="O5819" s="28" t="s">
        <v>27637</v>
      </c>
      <c r="P5819" s="28" t="s">
        <v>29004</v>
      </c>
    </row>
    <row r="5820" spans="1:16" x14ac:dyDescent="0.25">
      <c r="A5820" s="28" t="s">
        <v>29009</v>
      </c>
      <c r="B5820" s="28" t="s">
        <v>29010</v>
      </c>
      <c r="C5820" s="28" t="s">
        <v>25143</v>
      </c>
      <c r="D5820" s="28" t="s">
        <v>19</v>
      </c>
      <c r="E5820" s="28" t="s">
        <v>6919</v>
      </c>
      <c r="F5820" s="28" t="s">
        <v>21</v>
      </c>
      <c r="G5820" s="28" t="s">
        <v>39</v>
      </c>
      <c r="H5820" s="28" t="s">
        <v>27631</v>
      </c>
      <c r="I5820" s="28" t="s">
        <v>29011</v>
      </c>
      <c r="J5820" s="28" t="s">
        <v>39</v>
      </c>
      <c r="K5820" s="28" t="s">
        <v>27633</v>
      </c>
      <c r="L5820" s="28" t="s">
        <v>27634</v>
      </c>
      <c r="M5820" s="28" t="s">
        <v>29012</v>
      </c>
      <c r="N5820" s="28" t="s">
        <v>27636</v>
      </c>
      <c r="O5820" s="28" t="s">
        <v>27637</v>
      </c>
      <c r="P5820" s="28" t="s">
        <v>29013</v>
      </c>
    </row>
    <row r="5821" spans="1:16" x14ac:dyDescent="0.25">
      <c r="A5821" s="28" t="s">
        <v>29014</v>
      </c>
      <c r="B5821" s="28" t="s">
        <v>29015</v>
      </c>
      <c r="C5821" s="28" t="s">
        <v>25143</v>
      </c>
      <c r="D5821" s="28" t="s">
        <v>19</v>
      </c>
      <c r="E5821" s="28" t="s">
        <v>183</v>
      </c>
      <c r="F5821" s="28" t="s">
        <v>21</v>
      </c>
      <c r="G5821" s="28" t="s">
        <v>39</v>
      </c>
      <c r="H5821" s="28" t="s">
        <v>27631</v>
      </c>
      <c r="I5821" s="28" t="s">
        <v>29016</v>
      </c>
      <c r="J5821" s="28" t="s">
        <v>39</v>
      </c>
      <c r="K5821" s="28" t="s">
        <v>27633</v>
      </c>
      <c r="L5821" s="28" t="s">
        <v>27634</v>
      </c>
      <c r="M5821" s="28" t="s">
        <v>29017</v>
      </c>
      <c r="N5821" s="28" t="s">
        <v>27636</v>
      </c>
      <c r="O5821" s="28" t="s">
        <v>27637</v>
      </c>
      <c r="P5821" s="28" t="s">
        <v>29018</v>
      </c>
    </row>
    <row r="5822" spans="1:16" x14ac:dyDescent="0.25">
      <c r="A5822" s="28" t="s">
        <v>29019</v>
      </c>
      <c r="B5822" s="28" t="s">
        <v>29020</v>
      </c>
      <c r="C5822" s="28" t="s">
        <v>25143</v>
      </c>
      <c r="D5822" s="28" t="s">
        <v>19</v>
      </c>
      <c r="E5822" s="28" t="s">
        <v>183</v>
      </c>
      <c r="F5822" s="28" t="s">
        <v>21</v>
      </c>
      <c r="G5822" s="28" t="s">
        <v>39</v>
      </c>
      <c r="H5822" s="28" t="s">
        <v>27631</v>
      </c>
      <c r="I5822" s="28" t="s">
        <v>29021</v>
      </c>
      <c r="J5822" s="28" t="s">
        <v>39</v>
      </c>
      <c r="K5822" s="28" t="s">
        <v>27633</v>
      </c>
      <c r="L5822" s="28" t="s">
        <v>27634</v>
      </c>
      <c r="M5822" s="28" t="s">
        <v>29022</v>
      </c>
      <c r="N5822" s="28" t="s">
        <v>27636</v>
      </c>
      <c r="O5822" s="28" t="s">
        <v>27637</v>
      </c>
      <c r="P5822" s="28" t="s">
        <v>29018</v>
      </c>
    </row>
    <row r="5823" spans="1:16" x14ac:dyDescent="0.25">
      <c r="A5823" s="28" t="s">
        <v>29023</v>
      </c>
      <c r="B5823" s="28" t="s">
        <v>29024</v>
      </c>
      <c r="C5823" s="28" t="s">
        <v>25143</v>
      </c>
      <c r="D5823" s="28" t="s">
        <v>19</v>
      </c>
      <c r="E5823" s="28" t="s">
        <v>7031</v>
      </c>
      <c r="F5823" s="28" t="s">
        <v>21</v>
      </c>
      <c r="G5823" s="28" t="s">
        <v>39</v>
      </c>
      <c r="H5823" s="28" t="s">
        <v>27631</v>
      </c>
      <c r="I5823" s="28" t="s">
        <v>29025</v>
      </c>
      <c r="J5823" s="28" t="s">
        <v>39</v>
      </c>
      <c r="K5823" s="28" t="s">
        <v>27633</v>
      </c>
      <c r="L5823" s="28" t="s">
        <v>27634</v>
      </c>
      <c r="M5823" s="28" t="s">
        <v>29026</v>
      </c>
      <c r="N5823" s="28" t="s">
        <v>27636</v>
      </c>
      <c r="O5823" s="28" t="s">
        <v>27637</v>
      </c>
      <c r="P5823" s="28" t="s">
        <v>29027</v>
      </c>
    </row>
    <row r="5824" spans="1:16" x14ac:dyDescent="0.25">
      <c r="A5824" s="28" t="s">
        <v>29028</v>
      </c>
      <c r="B5824" s="28" t="s">
        <v>29029</v>
      </c>
      <c r="C5824" s="28" t="s">
        <v>25143</v>
      </c>
      <c r="D5824" s="28" t="s">
        <v>19</v>
      </c>
      <c r="E5824" s="28" t="s">
        <v>7031</v>
      </c>
      <c r="F5824" s="28" t="s">
        <v>21</v>
      </c>
      <c r="G5824" s="28" t="s">
        <v>39</v>
      </c>
      <c r="H5824" s="28" t="s">
        <v>27631</v>
      </c>
      <c r="I5824" s="28" t="s">
        <v>29030</v>
      </c>
      <c r="J5824" s="28" t="s">
        <v>39</v>
      </c>
      <c r="K5824" s="28" t="s">
        <v>27633</v>
      </c>
      <c r="L5824" s="28" t="s">
        <v>27634</v>
      </c>
      <c r="M5824" s="28" t="s">
        <v>29031</v>
      </c>
      <c r="N5824" s="28" t="s">
        <v>27636</v>
      </c>
      <c r="O5824" s="28" t="s">
        <v>27637</v>
      </c>
      <c r="P5824" s="28" t="s">
        <v>29027</v>
      </c>
    </row>
    <row r="5825" spans="1:16" x14ac:dyDescent="0.25">
      <c r="A5825" s="28" t="s">
        <v>29032</v>
      </c>
      <c r="B5825" s="28" t="s">
        <v>29033</v>
      </c>
      <c r="C5825" s="28" t="s">
        <v>25143</v>
      </c>
      <c r="D5825" s="28" t="s">
        <v>19</v>
      </c>
      <c r="E5825" s="28" t="s">
        <v>161</v>
      </c>
      <c r="F5825" s="28" t="s">
        <v>21</v>
      </c>
      <c r="G5825" s="28" t="s">
        <v>39</v>
      </c>
      <c r="H5825" s="28" t="s">
        <v>27631</v>
      </c>
      <c r="I5825" s="28" t="s">
        <v>29034</v>
      </c>
      <c r="J5825" s="28" t="s">
        <v>39</v>
      </c>
      <c r="K5825" s="28" t="s">
        <v>27633</v>
      </c>
      <c r="L5825" s="28" t="s">
        <v>27634</v>
      </c>
      <c r="M5825" s="28" t="s">
        <v>29035</v>
      </c>
      <c r="N5825" s="28" t="s">
        <v>27636</v>
      </c>
      <c r="O5825" s="28" t="s">
        <v>27637</v>
      </c>
      <c r="P5825" s="28" t="s">
        <v>29036</v>
      </c>
    </row>
    <row r="5826" spans="1:16" x14ac:dyDescent="0.25">
      <c r="A5826" s="28" t="s">
        <v>29037</v>
      </c>
      <c r="B5826" s="28" t="s">
        <v>29038</v>
      </c>
      <c r="C5826" s="28" t="s">
        <v>25143</v>
      </c>
      <c r="D5826" s="28" t="s">
        <v>19</v>
      </c>
      <c r="E5826" s="28" t="s">
        <v>161</v>
      </c>
      <c r="F5826" s="28" t="s">
        <v>21</v>
      </c>
      <c r="G5826" s="28" t="s">
        <v>39</v>
      </c>
      <c r="H5826" s="28" t="s">
        <v>27631</v>
      </c>
      <c r="I5826" s="28" t="s">
        <v>29039</v>
      </c>
      <c r="J5826" s="28" t="s">
        <v>39</v>
      </c>
      <c r="K5826" s="28" t="s">
        <v>27633</v>
      </c>
      <c r="L5826" s="28" t="s">
        <v>27634</v>
      </c>
      <c r="M5826" s="28" t="s">
        <v>29040</v>
      </c>
      <c r="N5826" s="28" t="s">
        <v>27636</v>
      </c>
      <c r="O5826" s="28" t="s">
        <v>27637</v>
      </c>
      <c r="P5826" s="28" t="s">
        <v>29036</v>
      </c>
    </row>
    <row r="5827" spans="1:16" x14ac:dyDescent="0.25">
      <c r="A5827" s="28" t="s">
        <v>29041</v>
      </c>
      <c r="B5827" s="28" t="s">
        <v>29042</v>
      </c>
      <c r="C5827" s="28" t="s">
        <v>25143</v>
      </c>
      <c r="D5827" s="28" t="s">
        <v>19</v>
      </c>
      <c r="E5827" s="28" t="s">
        <v>7052</v>
      </c>
      <c r="F5827" s="28" t="s">
        <v>21</v>
      </c>
      <c r="G5827" s="28" t="s">
        <v>39</v>
      </c>
      <c r="H5827" s="28" t="s">
        <v>27631</v>
      </c>
      <c r="I5827" s="28" t="s">
        <v>29043</v>
      </c>
      <c r="J5827" s="28" t="s">
        <v>39</v>
      </c>
      <c r="K5827" s="28" t="s">
        <v>27633</v>
      </c>
      <c r="L5827" s="28" t="s">
        <v>27634</v>
      </c>
      <c r="M5827" s="28" t="s">
        <v>29044</v>
      </c>
      <c r="N5827" s="28" t="s">
        <v>27636</v>
      </c>
      <c r="O5827" s="28" t="s">
        <v>27637</v>
      </c>
      <c r="P5827" s="28" t="s">
        <v>29045</v>
      </c>
    </row>
    <row r="5828" spans="1:16" x14ac:dyDescent="0.25">
      <c r="A5828" s="28" t="s">
        <v>29046</v>
      </c>
      <c r="B5828" s="28" t="s">
        <v>29047</v>
      </c>
      <c r="C5828" s="28" t="s">
        <v>25143</v>
      </c>
      <c r="D5828" s="28" t="s">
        <v>19</v>
      </c>
      <c r="E5828" s="28" t="s">
        <v>7064</v>
      </c>
      <c r="F5828" s="28" t="s">
        <v>21</v>
      </c>
      <c r="G5828" s="28" t="s">
        <v>39</v>
      </c>
      <c r="H5828" s="28" t="s">
        <v>27631</v>
      </c>
      <c r="I5828" s="28" t="s">
        <v>29048</v>
      </c>
      <c r="J5828" s="28" t="s">
        <v>39</v>
      </c>
      <c r="K5828" s="28" t="s">
        <v>27633</v>
      </c>
      <c r="L5828" s="28" t="s">
        <v>27634</v>
      </c>
      <c r="M5828" s="28" t="s">
        <v>29049</v>
      </c>
      <c r="N5828" s="28" t="s">
        <v>27636</v>
      </c>
      <c r="O5828" s="28" t="s">
        <v>27637</v>
      </c>
      <c r="P5828" s="28" t="s">
        <v>29050</v>
      </c>
    </row>
    <row r="5829" spans="1:16" x14ac:dyDescent="0.25">
      <c r="A5829" s="28" t="s">
        <v>29051</v>
      </c>
      <c r="B5829" s="28" t="s">
        <v>29052</v>
      </c>
      <c r="C5829" s="28" t="s">
        <v>25143</v>
      </c>
      <c r="D5829" s="28" t="s">
        <v>19</v>
      </c>
      <c r="E5829" s="28" t="s">
        <v>7070</v>
      </c>
      <c r="F5829" s="28" t="s">
        <v>21</v>
      </c>
      <c r="G5829" s="28" t="s">
        <v>39</v>
      </c>
      <c r="H5829" s="28" t="s">
        <v>27631</v>
      </c>
      <c r="I5829" s="28" t="s">
        <v>29053</v>
      </c>
      <c r="J5829" s="28" t="s">
        <v>39</v>
      </c>
      <c r="K5829" s="28" t="s">
        <v>27633</v>
      </c>
      <c r="L5829" s="28" t="s">
        <v>27634</v>
      </c>
      <c r="M5829" s="28" t="s">
        <v>29054</v>
      </c>
      <c r="N5829" s="28" t="s">
        <v>27636</v>
      </c>
      <c r="O5829" s="28" t="s">
        <v>27637</v>
      </c>
      <c r="P5829" s="28" t="s">
        <v>29055</v>
      </c>
    </row>
    <row r="5830" spans="1:16" x14ac:dyDescent="0.25">
      <c r="A5830" s="28" t="s">
        <v>29056</v>
      </c>
      <c r="B5830" s="28" t="s">
        <v>29057</v>
      </c>
      <c r="C5830" s="28" t="s">
        <v>25143</v>
      </c>
      <c r="D5830" s="28" t="s">
        <v>19</v>
      </c>
      <c r="E5830" s="28" t="s">
        <v>7076</v>
      </c>
      <c r="F5830" s="28" t="s">
        <v>21</v>
      </c>
      <c r="G5830" s="28" t="s">
        <v>39</v>
      </c>
      <c r="H5830" s="28" t="s">
        <v>27631</v>
      </c>
      <c r="I5830" s="28" t="s">
        <v>29058</v>
      </c>
      <c r="J5830" s="28" t="s">
        <v>39</v>
      </c>
      <c r="K5830" s="28" t="s">
        <v>27633</v>
      </c>
      <c r="L5830" s="28" t="s">
        <v>27634</v>
      </c>
      <c r="M5830" s="28" t="s">
        <v>29059</v>
      </c>
      <c r="N5830" s="28" t="s">
        <v>27636</v>
      </c>
      <c r="O5830" s="28" t="s">
        <v>27637</v>
      </c>
      <c r="P5830" s="28" t="s">
        <v>29060</v>
      </c>
    </row>
    <row r="5831" spans="1:16" x14ac:dyDescent="0.25">
      <c r="A5831" s="28" t="s">
        <v>29061</v>
      </c>
      <c r="B5831" s="28" t="s">
        <v>29062</v>
      </c>
      <c r="C5831" s="28" t="s">
        <v>29063</v>
      </c>
      <c r="D5831" s="28" t="s">
        <v>1204</v>
      </c>
      <c r="E5831" s="28" t="s">
        <v>29064</v>
      </c>
      <c r="F5831" s="28" t="s">
        <v>21</v>
      </c>
      <c r="G5831" s="28" t="s">
        <v>207</v>
      </c>
      <c r="H5831" s="28" t="s">
        <v>27631</v>
      </c>
      <c r="I5831" s="28" t="s">
        <v>29065</v>
      </c>
      <c r="J5831" s="28" t="s">
        <v>207</v>
      </c>
      <c r="K5831" s="28" t="s">
        <v>29066</v>
      </c>
      <c r="L5831" s="28" t="s">
        <v>27634</v>
      </c>
      <c r="M5831" s="28" t="s">
        <v>29067</v>
      </c>
      <c r="N5831" s="28" t="s">
        <v>27636</v>
      </c>
      <c r="O5831" s="28" t="s">
        <v>27637</v>
      </c>
      <c r="P5831" s="28" t="s">
        <v>29068</v>
      </c>
    </row>
    <row r="5832" spans="1:16" x14ac:dyDescent="0.25">
      <c r="A5832" s="28" t="s">
        <v>29069</v>
      </c>
      <c r="B5832" s="28" t="s">
        <v>29070</v>
      </c>
      <c r="C5832" s="28" t="s">
        <v>29063</v>
      </c>
      <c r="D5832" s="28" t="s">
        <v>1204</v>
      </c>
      <c r="E5832" s="28" t="s">
        <v>29071</v>
      </c>
      <c r="F5832" s="28" t="s">
        <v>21</v>
      </c>
      <c r="G5832" s="28" t="s">
        <v>207</v>
      </c>
      <c r="H5832" s="28" t="s">
        <v>27631</v>
      </c>
      <c r="I5832" s="28" t="s">
        <v>29072</v>
      </c>
      <c r="J5832" s="28" t="s">
        <v>207</v>
      </c>
      <c r="K5832" s="28" t="s">
        <v>29066</v>
      </c>
      <c r="L5832" s="28" t="s">
        <v>27634</v>
      </c>
      <c r="M5832" s="28" t="s">
        <v>29073</v>
      </c>
      <c r="N5832" s="28" t="s">
        <v>27636</v>
      </c>
      <c r="O5832" s="28" t="s">
        <v>27637</v>
      </c>
      <c r="P5832" s="28" t="s">
        <v>29074</v>
      </c>
    </row>
    <row r="5833" spans="1:16" x14ac:dyDescent="0.25">
      <c r="A5833" s="28" t="s">
        <v>29075</v>
      </c>
      <c r="B5833" s="28" t="s">
        <v>29076</v>
      </c>
      <c r="C5833" s="28" t="s">
        <v>29063</v>
      </c>
      <c r="D5833" s="28" t="s">
        <v>1204</v>
      </c>
      <c r="E5833" s="28" t="s">
        <v>29077</v>
      </c>
      <c r="F5833" s="28" t="s">
        <v>21</v>
      </c>
      <c r="G5833" s="28" t="s">
        <v>207</v>
      </c>
      <c r="H5833" s="28" t="s">
        <v>27631</v>
      </c>
      <c r="I5833" s="28" t="s">
        <v>29078</v>
      </c>
      <c r="J5833" s="28" t="s">
        <v>207</v>
      </c>
      <c r="K5833" s="28" t="s">
        <v>29066</v>
      </c>
      <c r="L5833" s="28" t="s">
        <v>27634</v>
      </c>
      <c r="M5833" s="28" t="s">
        <v>29079</v>
      </c>
      <c r="N5833" s="28" t="s">
        <v>27636</v>
      </c>
      <c r="O5833" s="28" t="s">
        <v>27637</v>
      </c>
      <c r="P5833" s="28" t="s">
        <v>29080</v>
      </c>
    </row>
    <row r="5834" spans="1:16" x14ac:dyDescent="0.25">
      <c r="A5834" s="28" t="s">
        <v>29081</v>
      </c>
      <c r="B5834" s="28" t="s">
        <v>29082</v>
      </c>
      <c r="C5834" s="28" t="s">
        <v>29063</v>
      </c>
      <c r="D5834" s="28" t="s">
        <v>1204</v>
      </c>
      <c r="E5834" s="28" t="s">
        <v>12823</v>
      </c>
      <c r="F5834" s="28" t="s">
        <v>21</v>
      </c>
      <c r="G5834" s="28" t="s">
        <v>207</v>
      </c>
      <c r="H5834" s="28" t="s">
        <v>27631</v>
      </c>
      <c r="I5834" s="28" t="s">
        <v>29083</v>
      </c>
      <c r="J5834" s="28" t="s">
        <v>207</v>
      </c>
      <c r="K5834" s="28" t="s">
        <v>29066</v>
      </c>
      <c r="L5834" s="28" t="s">
        <v>27634</v>
      </c>
      <c r="M5834" s="28" t="s">
        <v>29084</v>
      </c>
      <c r="N5834" s="28" t="s">
        <v>27636</v>
      </c>
      <c r="O5834" s="28" t="s">
        <v>27637</v>
      </c>
      <c r="P5834" s="28" t="s">
        <v>29085</v>
      </c>
    </row>
    <row r="5835" spans="1:16" x14ac:dyDescent="0.25">
      <c r="A5835" s="28" t="s">
        <v>29086</v>
      </c>
      <c r="B5835" s="28" t="s">
        <v>29087</v>
      </c>
      <c r="C5835" s="28" t="s">
        <v>29063</v>
      </c>
      <c r="D5835" s="28" t="s">
        <v>1204</v>
      </c>
      <c r="E5835" s="28" t="s">
        <v>29088</v>
      </c>
      <c r="F5835" s="28" t="s">
        <v>21</v>
      </c>
      <c r="G5835" s="28" t="s">
        <v>207</v>
      </c>
      <c r="H5835" s="28" t="s">
        <v>27631</v>
      </c>
      <c r="I5835" s="28" t="s">
        <v>29089</v>
      </c>
      <c r="J5835" s="28" t="s">
        <v>207</v>
      </c>
      <c r="K5835" s="28" t="s">
        <v>29066</v>
      </c>
      <c r="L5835" s="28" t="s">
        <v>27634</v>
      </c>
      <c r="M5835" s="28" t="s">
        <v>29090</v>
      </c>
      <c r="N5835" s="28" t="s">
        <v>27636</v>
      </c>
      <c r="O5835" s="28" t="s">
        <v>27637</v>
      </c>
      <c r="P5835" s="28" t="s">
        <v>29091</v>
      </c>
    </row>
    <row r="5836" spans="1:16" x14ac:dyDescent="0.25">
      <c r="A5836" s="28" t="s">
        <v>29092</v>
      </c>
      <c r="B5836" s="28" t="s">
        <v>29093</v>
      </c>
      <c r="C5836" s="28" t="s">
        <v>29063</v>
      </c>
      <c r="D5836" s="28" t="s">
        <v>1204</v>
      </c>
      <c r="E5836" s="28" t="s">
        <v>12828</v>
      </c>
      <c r="F5836" s="28" t="s">
        <v>21</v>
      </c>
      <c r="G5836" s="28" t="s">
        <v>207</v>
      </c>
      <c r="H5836" s="28" t="s">
        <v>27631</v>
      </c>
      <c r="I5836" s="28" t="s">
        <v>29094</v>
      </c>
      <c r="J5836" s="28" t="s">
        <v>207</v>
      </c>
      <c r="K5836" s="28" t="s">
        <v>29066</v>
      </c>
      <c r="L5836" s="28" t="s">
        <v>27634</v>
      </c>
      <c r="M5836" s="28" t="s">
        <v>29095</v>
      </c>
      <c r="N5836" s="28" t="s">
        <v>27636</v>
      </c>
      <c r="O5836" s="28" t="s">
        <v>27637</v>
      </c>
      <c r="P5836" s="28" t="s">
        <v>29096</v>
      </c>
    </row>
    <row r="5837" spans="1:16" x14ac:dyDescent="0.25">
      <c r="A5837" s="28" t="s">
        <v>29097</v>
      </c>
      <c r="B5837" s="28" t="s">
        <v>29098</v>
      </c>
      <c r="C5837" s="28" t="s">
        <v>29063</v>
      </c>
      <c r="D5837" s="28" t="s">
        <v>1204</v>
      </c>
      <c r="E5837" s="28" t="s">
        <v>29099</v>
      </c>
      <c r="F5837" s="28" t="s">
        <v>21</v>
      </c>
      <c r="G5837" s="28" t="s">
        <v>207</v>
      </c>
      <c r="H5837" s="28" t="s">
        <v>27631</v>
      </c>
      <c r="I5837" s="28" t="s">
        <v>29100</v>
      </c>
      <c r="J5837" s="28" t="s">
        <v>207</v>
      </c>
      <c r="K5837" s="28" t="s">
        <v>29066</v>
      </c>
      <c r="L5837" s="28" t="s">
        <v>27634</v>
      </c>
      <c r="M5837" s="28" t="s">
        <v>29101</v>
      </c>
      <c r="N5837" s="28" t="s">
        <v>27636</v>
      </c>
      <c r="O5837" s="28" t="s">
        <v>27637</v>
      </c>
      <c r="P5837" s="28" t="s">
        <v>29102</v>
      </c>
    </row>
    <row r="5838" spans="1:16" x14ac:dyDescent="0.25">
      <c r="A5838" s="28" t="s">
        <v>29103</v>
      </c>
      <c r="B5838" s="28" t="s">
        <v>29104</v>
      </c>
      <c r="C5838" s="28" t="s">
        <v>29063</v>
      </c>
      <c r="D5838" s="28" t="s">
        <v>1204</v>
      </c>
      <c r="E5838" s="28" t="s">
        <v>29105</v>
      </c>
      <c r="F5838" s="28" t="s">
        <v>21</v>
      </c>
      <c r="G5838" s="28" t="s">
        <v>207</v>
      </c>
      <c r="H5838" s="28" t="s">
        <v>27631</v>
      </c>
      <c r="I5838" s="28" t="s">
        <v>29106</v>
      </c>
      <c r="J5838" s="28" t="s">
        <v>207</v>
      </c>
      <c r="K5838" s="28" t="s">
        <v>29066</v>
      </c>
      <c r="L5838" s="28" t="s">
        <v>27634</v>
      </c>
      <c r="M5838" s="28" t="s">
        <v>29107</v>
      </c>
      <c r="N5838" s="28" t="s">
        <v>27636</v>
      </c>
      <c r="O5838" s="28" t="s">
        <v>27637</v>
      </c>
      <c r="P5838" s="28" t="s">
        <v>29108</v>
      </c>
    </row>
    <row r="5839" spans="1:16" x14ac:dyDescent="0.25">
      <c r="A5839" s="28" t="s">
        <v>29109</v>
      </c>
      <c r="B5839" s="28" t="s">
        <v>29110</v>
      </c>
      <c r="C5839" s="28" t="s">
        <v>29063</v>
      </c>
      <c r="D5839" s="28" t="s">
        <v>1204</v>
      </c>
      <c r="E5839" s="28" t="s">
        <v>29111</v>
      </c>
      <c r="F5839" s="28" t="s">
        <v>21</v>
      </c>
      <c r="G5839" s="28" t="s">
        <v>207</v>
      </c>
      <c r="H5839" s="28" t="s">
        <v>27631</v>
      </c>
      <c r="I5839" s="28" t="s">
        <v>29112</v>
      </c>
      <c r="J5839" s="28" t="s">
        <v>207</v>
      </c>
      <c r="K5839" s="28" t="s">
        <v>29066</v>
      </c>
      <c r="L5839" s="28" t="s">
        <v>27634</v>
      </c>
      <c r="M5839" s="28" t="s">
        <v>29113</v>
      </c>
      <c r="N5839" s="28" t="s">
        <v>27636</v>
      </c>
      <c r="O5839" s="28" t="s">
        <v>27637</v>
      </c>
      <c r="P5839" s="28" t="s">
        <v>29114</v>
      </c>
    </row>
    <row r="5840" spans="1:16" x14ac:dyDescent="0.25">
      <c r="A5840" s="28" t="s">
        <v>29115</v>
      </c>
      <c r="B5840" s="28" t="s">
        <v>29116</v>
      </c>
      <c r="C5840" s="28" t="s">
        <v>29063</v>
      </c>
      <c r="D5840" s="28" t="s">
        <v>1204</v>
      </c>
      <c r="E5840" s="28" t="s">
        <v>29117</v>
      </c>
      <c r="F5840" s="28" t="s">
        <v>21</v>
      </c>
      <c r="G5840" s="28" t="s">
        <v>207</v>
      </c>
      <c r="H5840" s="28" t="s">
        <v>27631</v>
      </c>
      <c r="I5840" s="28" t="s">
        <v>29118</v>
      </c>
      <c r="J5840" s="28" t="s">
        <v>207</v>
      </c>
      <c r="K5840" s="28" t="s">
        <v>29066</v>
      </c>
      <c r="L5840" s="28" t="s">
        <v>27634</v>
      </c>
      <c r="M5840" s="28" t="s">
        <v>29119</v>
      </c>
      <c r="N5840" s="28" t="s">
        <v>27636</v>
      </c>
      <c r="O5840" s="28" t="s">
        <v>27637</v>
      </c>
      <c r="P5840" s="28" t="s">
        <v>29120</v>
      </c>
    </row>
    <row r="5841" spans="1:16" x14ac:dyDescent="0.25">
      <c r="A5841" s="28" t="s">
        <v>29121</v>
      </c>
      <c r="B5841" s="28" t="s">
        <v>29122</v>
      </c>
      <c r="C5841" s="28" t="s">
        <v>29063</v>
      </c>
      <c r="D5841" s="28" t="s">
        <v>1204</v>
      </c>
      <c r="E5841" s="28" t="s">
        <v>29123</v>
      </c>
      <c r="F5841" s="28" t="s">
        <v>21</v>
      </c>
      <c r="G5841" s="28" t="s">
        <v>207</v>
      </c>
      <c r="H5841" s="28" t="s">
        <v>27631</v>
      </c>
      <c r="I5841" s="28" t="s">
        <v>29124</v>
      </c>
      <c r="J5841" s="28" t="s">
        <v>207</v>
      </c>
      <c r="K5841" s="28" t="s">
        <v>29066</v>
      </c>
      <c r="L5841" s="28" t="s">
        <v>27634</v>
      </c>
      <c r="M5841" s="28" t="s">
        <v>29125</v>
      </c>
      <c r="N5841" s="28" t="s">
        <v>27636</v>
      </c>
      <c r="O5841" s="28" t="s">
        <v>27637</v>
      </c>
      <c r="P5841" s="28" t="s">
        <v>29126</v>
      </c>
    </row>
    <row r="5842" spans="1:16" x14ac:dyDescent="0.25">
      <c r="A5842" s="28" t="s">
        <v>29127</v>
      </c>
      <c r="B5842" s="28" t="s">
        <v>29128</v>
      </c>
      <c r="C5842" s="28" t="s">
        <v>29063</v>
      </c>
      <c r="D5842" s="28" t="s">
        <v>1204</v>
      </c>
      <c r="E5842" s="28" t="s">
        <v>29129</v>
      </c>
      <c r="F5842" s="28" t="s">
        <v>21</v>
      </c>
      <c r="G5842" s="28" t="s">
        <v>207</v>
      </c>
      <c r="H5842" s="28" t="s">
        <v>27631</v>
      </c>
      <c r="I5842" s="28" t="s">
        <v>29130</v>
      </c>
      <c r="J5842" s="28" t="s">
        <v>207</v>
      </c>
      <c r="K5842" s="28" t="s">
        <v>29066</v>
      </c>
      <c r="L5842" s="28" t="s">
        <v>27634</v>
      </c>
      <c r="M5842" s="28" t="s">
        <v>29131</v>
      </c>
      <c r="N5842" s="28" t="s">
        <v>27636</v>
      </c>
      <c r="O5842" s="28" t="s">
        <v>27637</v>
      </c>
      <c r="P5842" s="28" t="s">
        <v>29132</v>
      </c>
    </row>
    <row r="5843" spans="1:16" x14ac:dyDescent="0.25">
      <c r="A5843" s="28" t="s">
        <v>29133</v>
      </c>
      <c r="B5843" s="28" t="s">
        <v>29134</v>
      </c>
      <c r="C5843" s="28" t="s">
        <v>29063</v>
      </c>
      <c r="D5843" s="28" t="s">
        <v>1204</v>
      </c>
      <c r="E5843" s="28" t="s">
        <v>29135</v>
      </c>
      <c r="F5843" s="28" t="s">
        <v>21</v>
      </c>
      <c r="G5843" s="28" t="s">
        <v>207</v>
      </c>
      <c r="H5843" s="28" t="s">
        <v>27631</v>
      </c>
      <c r="I5843" s="28" t="s">
        <v>29136</v>
      </c>
      <c r="J5843" s="28" t="s">
        <v>207</v>
      </c>
      <c r="K5843" s="28" t="s">
        <v>29066</v>
      </c>
      <c r="L5843" s="28" t="s">
        <v>27634</v>
      </c>
      <c r="M5843" s="28" t="s">
        <v>29137</v>
      </c>
      <c r="N5843" s="28" t="s">
        <v>27636</v>
      </c>
      <c r="O5843" s="28" t="s">
        <v>27637</v>
      </c>
      <c r="P5843" s="28" t="s">
        <v>29138</v>
      </c>
    </row>
    <row r="5844" spans="1:16" x14ac:dyDescent="0.25">
      <c r="A5844" s="28" t="s">
        <v>29139</v>
      </c>
      <c r="B5844" s="28" t="s">
        <v>29140</v>
      </c>
      <c r="C5844" s="28" t="s">
        <v>29063</v>
      </c>
      <c r="D5844" s="28" t="s">
        <v>1204</v>
      </c>
      <c r="E5844" s="28" t="s">
        <v>29141</v>
      </c>
      <c r="F5844" s="28" t="s">
        <v>21</v>
      </c>
      <c r="G5844" s="28" t="s">
        <v>207</v>
      </c>
      <c r="H5844" s="28" t="s">
        <v>27631</v>
      </c>
      <c r="I5844" s="28" t="s">
        <v>29142</v>
      </c>
      <c r="J5844" s="28" t="s">
        <v>207</v>
      </c>
      <c r="K5844" s="28" t="s">
        <v>29066</v>
      </c>
      <c r="L5844" s="28" t="s">
        <v>27634</v>
      </c>
      <c r="M5844" s="28" t="s">
        <v>29143</v>
      </c>
      <c r="N5844" s="28" t="s">
        <v>27636</v>
      </c>
      <c r="O5844" s="28" t="s">
        <v>27637</v>
      </c>
      <c r="P5844" s="28" t="s">
        <v>29144</v>
      </c>
    </row>
    <row r="5845" spans="1:16" x14ac:dyDescent="0.25">
      <c r="A5845" s="28" t="s">
        <v>29145</v>
      </c>
      <c r="B5845" s="28" t="s">
        <v>29146</v>
      </c>
      <c r="C5845" s="28" t="s">
        <v>29063</v>
      </c>
      <c r="D5845" s="28" t="s">
        <v>1204</v>
      </c>
      <c r="E5845" s="28" t="s">
        <v>29147</v>
      </c>
      <c r="F5845" s="28" t="s">
        <v>21</v>
      </c>
      <c r="G5845" s="28" t="s">
        <v>207</v>
      </c>
      <c r="H5845" s="28" t="s">
        <v>27631</v>
      </c>
      <c r="I5845" s="28" t="s">
        <v>29148</v>
      </c>
      <c r="J5845" s="28" t="s">
        <v>207</v>
      </c>
      <c r="K5845" s="28" t="s">
        <v>29066</v>
      </c>
      <c r="L5845" s="28" t="s">
        <v>27634</v>
      </c>
      <c r="M5845" s="28" t="s">
        <v>29149</v>
      </c>
      <c r="N5845" s="28" t="s">
        <v>27636</v>
      </c>
      <c r="O5845" s="28" t="s">
        <v>27637</v>
      </c>
      <c r="P5845" s="28" t="s">
        <v>29150</v>
      </c>
    </row>
    <row r="5846" spans="1:16" x14ac:dyDescent="0.25">
      <c r="A5846" s="28" t="s">
        <v>29151</v>
      </c>
      <c r="B5846" s="28" t="s">
        <v>29152</v>
      </c>
      <c r="C5846" s="28" t="s">
        <v>29063</v>
      </c>
      <c r="D5846" s="28" t="s">
        <v>1204</v>
      </c>
      <c r="E5846" s="28" t="s">
        <v>29153</v>
      </c>
      <c r="F5846" s="28" t="s">
        <v>21</v>
      </c>
      <c r="G5846" s="28" t="s">
        <v>207</v>
      </c>
      <c r="H5846" s="28" t="s">
        <v>27631</v>
      </c>
      <c r="I5846" s="28" t="s">
        <v>29154</v>
      </c>
      <c r="J5846" s="28" t="s">
        <v>207</v>
      </c>
      <c r="K5846" s="28" t="s">
        <v>29066</v>
      </c>
      <c r="L5846" s="28" t="s">
        <v>27634</v>
      </c>
      <c r="M5846" s="28" t="s">
        <v>29155</v>
      </c>
      <c r="N5846" s="28" t="s">
        <v>27636</v>
      </c>
      <c r="O5846" s="28" t="s">
        <v>27637</v>
      </c>
      <c r="P5846" s="28" t="s">
        <v>29156</v>
      </c>
    </row>
    <row r="5847" spans="1:16" x14ac:dyDescent="0.25">
      <c r="A5847" s="28" t="s">
        <v>29157</v>
      </c>
      <c r="B5847" s="28" t="s">
        <v>29158</v>
      </c>
      <c r="C5847" s="28" t="s">
        <v>29063</v>
      </c>
      <c r="D5847" s="28" t="s">
        <v>1204</v>
      </c>
      <c r="E5847" s="28" t="s">
        <v>29159</v>
      </c>
      <c r="F5847" s="28" t="s">
        <v>21</v>
      </c>
      <c r="G5847" s="28" t="s">
        <v>207</v>
      </c>
      <c r="H5847" s="28" t="s">
        <v>27631</v>
      </c>
      <c r="I5847" s="28" t="s">
        <v>29160</v>
      </c>
      <c r="J5847" s="28" t="s">
        <v>207</v>
      </c>
      <c r="K5847" s="28" t="s">
        <v>29066</v>
      </c>
      <c r="L5847" s="28" t="s">
        <v>27634</v>
      </c>
      <c r="M5847" s="28" t="s">
        <v>29161</v>
      </c>
      <c r="N5847" s="28" t="s">
        <v>27636</v>
      </c>
      <c r="O5847" s="28" t="s">
        <v>27637</v>
      </c>
      <c r="P5847" s="28" t="s">
        <v>29162</v>
      </c>
    </row>
    <row r="5848" spans="1:16" x14ac:dyDescent="0.25">
      <c r="A5848" s="28" t="s">
        <v>29163</v>
      </c>
      <c r="B5848" s="28" t="s">
        <v>29164</v>
      </c>
      <c r="C5848" s="28" t="s">
        <v>29063</v>
      </c>
      <c r="D5848" s="28" t="s">
        <v>1204</v>
      </c>
      <c r="E5848" s="28" t="s">
        <v>29165</v>
      </c>
      <c r="F5848" s="28" t="s">
        <v>21</v>
      </c>
      <c r="G5848" s="28" t="s">
        <v>207</v>
      </c>
      <c r="H5848" s="28" t="s">
        <v>27631</v>
      </c>
      <c r="I5848" s="28" t="s">
        <v>29166</v>
      </c>
      <c r="J5848" s="28" t="s">
        <v>207</v>
      </c>
      <c r="K5848" s="28" t="s">
        <v>29066</v>
      </c>
      <c r="L5848" s="28" t="s">
        <v>27634</v>
      </c>
      <c r="M5848" s="28" t="s">
        <v>29167</v>
      </c>
      <c r="N5848" s="28" t="s">
        <v>27636</v>
      </c>
      <c r="O5848" s="28" t="s">
        <v>27637</v>
      </c>
      <c r="P5848" s="28" t="s">
        <v>29168</v>
      </c>
    </row>
    <row r="5849" spans="1:16" x14ac:dyDescent="0.25">
      <c r="A5849" s="28" t="s">
        <v>29169</v>
      </c>
      <c r="B5849" s="28" t="s">
        <v>29170</v>
      </c>
      <c r="C5849" s="28" t="s">
        <v>29063</v>
      </c>
      <c r="D5849" s="28" t="s">
        <v>1204</v>
      </c>
      <c r="E5849" s="28" t="s">
        <v>29171</v>
      </c>
      <c r="F5849" s="28" t="s">
        <v>21</v>
      </c>
      <c r="G5849" s="28" t="s">
        <v>207</v>
      </c>
      <c r="H5849" s="28" t="s">
        <v>27631</v>
      </c>
      <c r="I5849" s="28" t="s">
        <v>29172</v>
      </c>
      <c r="J5849" s="28" t="s">
        <v>207</v>
      </c>
      <c r="K5849" s="28" t="s">
        <v>29066</v>
      </c>
      <c r="L5849" s="28" t="s">
        <v>27634</v>
      </c>
      <c r="M5849" s="28" t="s">
        <v>29173</v>
      </c>
      <c r="N5849" s="28" t="s">
        <v>27636</v>
      </c>
      <c r="O5849" s="28" t="s">
        <v>27637</v>
      </c>
      <c r="P5849" s="28" t="s">
        <v>29174</v>
      </c>
    </row>
    <row r="5850" spans="1:16" x14ac:dyDescent="0.25">
      <c r="A5850" s="28" t="s">
        <v>29175</v>
      </c>
      <c r="B5850" s="28" t="s">
        <v>29176</v>
      </c>
      <c r="C5850" s="28" t="s">
        <v>29063</v>
      </c>
      <c r="D5850" s="28" t="s">
        <v>1204</v>
      </c>
      <c r="E5850" s="28" t="s">
        <v>29177</v>
      </c>
      <c r="F5850" s="28" t="s">
        <v>21</v>
      </c>
      <c r="G5850" s="28" t="s">
        <v>207</v>
      </c>
      <c r="H5850" s="28" t="s">
        <v>27631</v>
      </c>
      <c r="I5850" s="28" t="s">
        <v>29178</v>
      </c>
      <c r="J5850" s="28" t="s">
        <v>207</v>
      </c>
      <c r="K5850" s="28" t="s">
        <v>29066</v>
      </c>
      <c r="L5850" s="28" t="s">
        <v>27634</v>
      </c>
      <c r="M5850" s="28" t="s">
        <v>29179</v>
      </c>
      <c r="N5850" s="28" t="s">
        <v>27636</v>
      </c>
      <c r="O5850" s="28" t="s">
        <v>27637</v>
      </c>
      <c r="P5850" s="28" t="s">
        <v>29180</v>
      </c>
    </row>
    <row r="5851" spans="1:16" x14ac:dyDescent="0.25">
      <c r="A5851" s="28" t="s">
        <v>29181</v>
      </c>
      <c r="B5851" s="28" t="s">
        <v>29182</v>
      </c>
      <c r="C5851" s="28" t="s">
        <v>29063</v>
      </c>
      <c r="D5851" s="28" t="s">
        <v>1204</v>
      </c>
      <c r="E5851" s="28" t="s">
        <v>29183</v>
      </c>
      <c r="F5851" s="28" t="s">
        <v>21</v>
      </c>
      <c r="G5851" s="28" t="s">
        <v>207</v>
      </c>
      <c r="H5851" s="28" t="s">
        <v>27631</v>
      </c>
      <c r="I5851" s="28" t="s">
        <v>29184</v>
      </c>
      <c r="J5851" s="28" t="s">
        <v>207</v>
      </c>
      <c r="K5851" s="28" t="s">
        <v>29066</v>
      </c>
      <c r="L5851" s="28" t="s">
        <v>27634</v>
      </c>
      <c r="M5851" s="28" t="s">
        <v>29185</v>
      </c>
      <c r="N5851" s="28" t="s">
        <v>27636</v>
      </c>
      <c r="O5851" s="28" t="s">
        <v>27637</v>
      </c>
      <c r="P5851" s="28" t="s">
        <v>29186</v>
      </c>
    </row>
    <row r="5852" spans="1:16" x14ac:dyDescent="0.25">
      <c r="A5852" s="28" t="s">
        <v>29187</v>
      </c>
      <c r="B5852" s="28" t="s">
        <v>29188</v>
      </c>
      <c r="C5852" s="28" t="s">
        <v>29063</v>
      </c>
      <c r="D5852" s="28" t="s">
        <v>1204</v>
      </c>
      <c r="E5852" s="28" t="s">
        <v>29189</v>
      </c>
      <c r="F5852" s="28" t="s">
        <v>21</v>
      </c>
      <c r="G5852" s="28" t="s">
        <v>207</v>
      </c>
      <c r="H5852" s="28" t="s">
        <v>27631</v>
      </c>
      <c r="I5852" s="28" t="s">
        <v>29190</v>
      </c>
      <c r="J5852" s="28" t="s">
        <v>207</v>
      </c>
      <c r="K5852" s="28" t="s">
        <v>29066</v>
      </c>
      <c r="L5852" s="28" t="s">
        <v>27634</v>
      </c>
      <c r="M5852" s="28" t="s">
        <v>29191</v>
      </c>
      <c r="N5852" s="28" t="s">
        <v>27636</v>
      </c>
      <c r="O5852" s="28" t="s">
        <v>27637</v>
      </c>
      <c r="P5852" s="28" t="s">
        <v>29192</v>
      </c>
    </row>
    <row r="5853" spans="1:16" x14ac:dyDescent="0.25">
      <c r="A5853" s="28" t="s">
        <v>29193</v>
      </c>
      <c r="B5853" s="28" t="s">
        <v>29194</v>
      </c>
      <c r="C5853" s="28" t="s">
        <v>29063</v>
      </c>
      <c r="D5853" s="28" t="s">
        <v>1204</v>
      </c>
      <c r="E5853" s="28" t="s">
        <v>29195</v>
      </c>
      <c r="F5853" s="28" t="s">
        <v>21</v>
      </c>
      <c r="G5853" s="28" t="s">
        <v>207</v>
      </c>
      <c r="H5853" s="28" t="s">
        <v>27631</v>
      </c>
      <c r="I5853" s="28" t="s">
        <v>29196</v>
      </c>
      <c r="J5853" s="28" t="s">
        <v>207</v>
      </c>
      <c r="K5853" s="28" t="s">
        <v>29066</v>
      </c>
      <c r="L5853" s="28" t="s">
        <v>27634</v>
      </c>
      <c r="M5853" s="28" t="s">
        <v>29197</v>
      </c>
      <c r="N5853" s="28" t="s">
        <v>27636</v>
      </c>
      <c r="O5853" s="28" t="s">
        <v>27637</v>
      </c>
      <c r="P5853" s="28" t="s">
        <v>29198</v>
      </c>
    </row>
    <row r="5854" spans="1:16" x14ac:dyDescent="0.25">
      <c r="A5854" s="28" t="s">
        <v>29199</v>
      </c>
      <c r="B5854" s="28" t="s">
        <v>29200</v>
      </c>
      <c r="C5854" s="28" t="s">
        <v>29063</v>
      </c>
      <c r="D5854" s="28" t="s">
        <v>1204</v>
      </c>
      <c r="E5854" s="28" t="s">
        <v>29201</v>
      </c>
      <c r="F5854" s="28" t="s">
        <v>21</v>
      </c>
      <c r="G5854" s="28" t="s">
        <v>207</v>
      </c>
      <c r="H5854" s="28" t="s">
        <v>27631</v>
      </c>
      <c r="I5854" s="28" t="s">
        <v>29202</v>
      </c>
      <c r="J5854" s="28" t="s">
        <v>207</v>
      </c>
      <c r="K5854" s="28" t="s">
        <v>29066</v>
      </c>
      <c r="L5854" s="28" t="s">
        <v>27634</v>
      </c>
      <c r="M5854" s="28" t="s">
        <v>29203</v>
      </c>
      <c r="N5854" s="28" t="s">
        <v>27636</v>
      </c>
      <c r="O5854" s="28" t="s">
        <v>27637</v>
      </c>
      <c r="P5854" s="28" t="s">
        <v>29204</v>
      </c>
    </row>
    <row r="5855" spans="1:16" x14ac:dyDescent="0.25">
      <c r="A5855" s="28" t="s">
        <v>29205</v>
      </c>
      <c r="B5855" s="28" t="s">
        <v>29206</v>
      </c>
      <c r="C5855" s="28" t="s">
        <v>29063</v>
      </c>
      <c r="D5855" s="28" t="s">
        <v>1204</v>
      </c>
      <c r="E5855" s="28" t="s">
        <v>29207</v>
      </c>
      <c r="F5855" s="28" t="s">
        <v>21</v>
      </c>
      <c r="G5855" s="28" t="s">
        <v>207</v>
      </c>
      <c r="H5855" s="28" t="s">
        <v>27631</v>
      </c>
      <c r="I5855" s="28" t="s">
        <v>29208</v>
      </c>
      <c r="J5855" s="28" t="s">
        <v>207</v>
      </c>
      <c r="K5855" s="28" t="s">
        <v>29066</v>
      </c>
      <c r="L5855" s="28" t="s">
        <v>27634</v>
      </c>
      <c r="M5855" s="28" t="s">
        <v>29209</v>
      </c>
      <c r="N5855" s="28" t="s">
        <v>27636</v>
      </c>
      <c r="O5855" s="28" t="s">
        <v>27637</v>
      </c>
      <c r="P5855" s="28" t="s">
        <v>29210</v>
      </c>
    </row>
    <row r="5856" spans="1:16" x14ac:dyDescent="0.25">
      <c r="A5856" s="28" t="s">
        <v>29211</v>
      </c>
      <c r="B5856" s="28" t="s">
        <v>29212</v>
      </c>
      <c r="C5856" s="28" t="s">
        <v>29063</v>
      </c>
      <c r="D5856" s="28" t="s">
        <v>1204</v>
      </c>
      <c r="E5856" s="28" t="s">
        <v>29213</v>
      </c>
      <c r="F5856" s="28" t="s">
        <v>21</v>
      </c>
      <c r="G5856" s="28" t="s">
        <v>207</v>
      </c>
      <c r="H5856" s="28" t="s">
        <v>27631</v>
      </c>
      <c r="I5856" s="28" t="s">
        <v>29214</v>
      </c>
      <c r="J5856" s="28" t="s">
        <v>207</v>
      </c>
      <c r="K5856" s="28" t="s">
        <v>29066</v>
      </c>
      <c r="L5856" s="28" t="s">
        <v>27634</v>
      </c>
      <c r="M5856" s="28" t="s">
        <v>29215</v>
      </c>
      <c r="N5856" s="28" t="s">
        <v>27636</v>
      </c>
      <c r="O5856" s="28" t="s">
        <v>27637</v>
      </c>
      <c r="P5856" s="28" t="s">
        <v>29216</v>
      </c>
    </row>
    <row r="5857" spans="1:16" x14ac:dyDescent="0.25">
      <c r="A5857" s="28" t="s">
        <v>29217</v>
      </c>
      <c r="B5857" s="28" t="s">
        <v>29218</v>
      </c>
      <c r="C5857" s="28" t="s">
        <v>29063</v>
      </c>
      <c r="D5857" s="28" t="s">
        <v>1204</v>
      </c>
      <c r="E5857" s="28" t="s">
        <v>29219</v>
      </c>
      <c r="F5857" s="28" t="s">
        <v>21</v>
      </c>
      <c r="G5857" s="28" t="s">
        <v>207</v>
      </c>
      <c r="H5857" s="28" t="s">
        <v>27631</v>
      </c>
      <c r="I5857" s="28" t="s">
        <v>29220</v>
      </c>
      <c r="J5857" s="28" t="s">
        <v>207</v>
      </c>
      <c r="K5857" s="28" t="s">
        <v>29066</v>
      </c>
      <c r="L5857" s="28" t="s">
        <v>27634</v>
      </c>
      <c r="M5857" s="28" t="s">
        <v>29221</v>
      </c>
      <c r="N5857" s="28" t="s">
        <v>27636</v>
      </c>
      <c r="O5857" s="28" t="s">
        <v>27637</v>
      </c>
      <c r="P5857" s="28" t="s">
        <v>29222</v>
      </c>
    </row>
    <row r="5858" spans="1:16" x14ac:dyDescent="0.25">
      <c r="A5858" s="28" t="s">
        <v>29223</v>
      </c>
      <c r="B5858" s="28" t="s">
        <v>29224</v>
      </c>
      <c r="C5858" s="28" t="s">
        <v>29063</v>
      </c>
      <c r="D5858" s="28" t="s">
        <v>1204</v>
      </c>
      <c r="E5858" s="28" t="s">
        <v>29225</v>
      </c>
      <c r="F5858" s="28" t="s">
        <v>21</v>
      </c>
      <c r="G5858" s="28" t="s">
        <v>207</v>
      </c>
      <c r="H5858" s="28" t="s">
        <v>27631</v>
      </c>
      <c r="I5858" s="28" t="s">
        <v>29226</v>
      </c>
      <c r="J5858" s="28" t="s">
        <v>207</v>
      </c>
      <c r="K5858" s="28" t="s">
        <v>29066</v>
      </c>
      <c r="L5858" s="28" t="s">
        <v>27634</v>
      </c>
      <c r="M5858" s="28" t="s">
        <v>29227</v>
      </c>
      <c r="N5858" s="28" t="s">
        <v>27636</v>
      </c>
      <c r="O5858" s="28" t="s">
        <v>27637</v>
      </c>
      <c r="P5858" s="28" t="s">
        <v>29228</v>
      </c>
    </row>
    <row r="5859" spans="1:16" x14ac:dyDescent="0.25">
      <c r="A5859" s="28" t="s">
        <v>29229</v>
      </c>
      <c r="B5859" s="28" t="s">
        <v>29230</v>
      </c>
      <c r="C5859" s="28" t="s">
        <v>29063</v>
      </c>
      <c r="D5859" s="28" t="s">
        <v>1204</v>
      </c>
      <c r="E5859" s="28" t="s">
        <v>29231</v>
      </c>
      <c r="F5859" s="28" t="s">
        <v>21</v>
      </c>
      <c r="G5859" s="28" t="s">
        <v>207</v>
      </c>
      <c r="H5859" s="28" t="s">
        <v>27631</v>
      </c>
      <c r="I5859" s="28" t="s">
        <v>29232</v>
      </c>
      <c r="J5859" s="28" t="s">
        <v>207</v>
      </c>
      <c r="K5859" s="28" t="s">
        <v>29066</v>
      </c>
      <c r="L5859" s="28" t="s">
        <v>27634</v>
      </c>
      <c r="M5859" s="28" t="s">
        <v>29233</v>
      </c>
      <c r="N5859" s="28" t="s">
        <v>27636</v>
      </c>
      <c r="O5859" s="28" t="s">
        <v>27637</v>
      </c>
      <c r="P5859" s="28" t="s">
        <v>29234</v>
      </c>
    </row>
    <row r="5860" spans="1:16" x14ac:dyDescent="0.25">
      <c r="A5860" s="28" t="s">
        <v>29235</v>
      </c>
      <c r="B5860" s="28" t="s">
        <v>29236</v>
      </c>
      <c r="C5860" s="28" t="s">
        <v>29063</v>
      </c>
      <c r="D5860" s="28" t="s">
        <v>1204</v>
      </c>
      <c r="E5860" s="28" t="s">
        <v>29237</v>
      </c>
      <c r="F5860" s="28" t="s">
        <v>21</v>
      </c>
      <c r="G5860" s="28" t="s">
        <v>207</v>
      </c>
      <c r="H5860" s="28" t="s">
        <v>27631</v>
      </c>
      <c r="I5860" s="28" t="s">
        <v>29238</v>
      </c>
      <c r="J5860" s="28" t="s">
        <v>207</v>
      </c>
      <c r="K5860" s="28" t="s">
        <v>29066</v>
      </c>
      <c r="L5860" s="28" t="s">
        <v>27634</v>
      </c>
      <c r="M5860" s="28" t="s">
        <v>29239</v>
      </c>
      <c r="N5860" s="28" t="s">
        <v>27636</v>
      </c>
      <c r="O5860" s="28" t="s">
        <v>27637</v>
      </c>
      <c r="P5860" s="28" t="s">
        <v>29240</v>
      </c>
    </row>
    <row r="5861" spans="1:16" x14ac:dyDescent="0.25">
      <c r="A5861" s="28" t="s">
        <v>29241</v>
      </c>
      <c r="B5861" s="28" t="s">
        <v>29242</v>
      </c>
      <c r="C5861" s="28" t="s">
        <v>29063</v>
      </c>
      <c r="D5861" s="28" t="s">
        <v>1204</v>
      </c>
      <c r="E5861" s="28" t="s">
        <v>29243</v>
      </c>
      <c r="F5861" s="28" t="s">
        <v>21</v>
      </c>
      <c r="G5861" s="28" t="s">
        <v>207</v>
      </c>
      <c r="H5861" s="28" t="s">
        <v>27631</v>
      </c>
      <c r="I5861" s="28" t="s">
        <v>29244</v>
      </c>
      <c r="J5861" s="28" t="s">
        <v>207</v>
      </c>
      <c r="K5861" s="28" t="s">
        <v>29066</v>
      </c>
      <c r="L5861" s="28" t="s">
        <v>27634</v>
      </c>
      <c r="M5861" s="28" t="s">
        <v>29245</v>
      </c>
      <c r="N5861" s="28" t="s">
        <v>27636</v>
      </c>
      <c r="O5861" s="28" t="s">
        <v>27637</v>
      </c>
      <c r="P5861" s="28" t="s">
        <v>29246</v>
      </c>
    </row>
    <row r="5862" spans="1:16" x14ac:dyDescent="0.25">
      <c r="A5862" s="28" t="s">
        <v>29247</v>
      </c>
      <c r="B5862" s="28" t="s">
        <v>29248</v>
      </c>
      <c r="C5862" s="28" t="s">
        <v>29063</v>
      </c>
      <c r="D5862" s="28" t="s">
        <v>1204</v>
      </c>
      <c r="E5862" s="28" t="s">
        <v>29249</v>
      </c>
      <c r="F5862" s="28" t="s">
        <v>21</v>
      </c>
      <c r="G5862" s="28" t="s">
        <v>207</v>
      </c>
      <c r="H5862" s="28" t="s">
        <v>27631</v>
      </c>
      <c r="I5862" s="28" t="s">
        <v>29250</v>
      </c>
      <c r="J5862" s="28" t="s">
        <v>207</v>
      </c>
      <c r="K5862" s="28" t="s">
        <v>29066</v>
      </c>
      <c r="L5862" s="28" t="s">
        <v>27634</v>
      </c>
      <c r="M5862" s="28" t="s">
        <v>29251</v>
      </c>
      <c r="N5862" s="28" t="s">
        <v>27636</v>
      </c>
      <c r="O5862" s="28" t="s">
        <v>27637</v>
      </c>
      <c r="P5862" s="28" t="s">
        <v>29252</v>
      </c>
    </row>
    <row r="5863" spans="1:16" x14ac:dyDescent="0.25">
      <c r="A5863" s="28" t="s">
        <v>29253</v>
      </c>
      <c r="B5863" s="28" t="s">
        <v>29254</v>
      </c>
      <c r="C5863" s="28" t="s">
        <v>29063</v>
      </c>
      <c r="D5863" s="28" t="s">
        <v>1204</v>
      </c>
      <c r="E5863" s="28" t="s">
        <v>29255</v>
      </c>
      <c r="F5863" s="28" t="s">
        <v>21</v>
      </c>
      <c r="G5863" s="28" t="s">
        <v>207</v>
      </c>
      <c r="H5863" s="28" t="s">
        <v>27631</v>
      </c>
      <c r="I5863" s="28" t="s">
        <v>29256</v>
      </c>
      <c r="J5863" s="28" t="s">
        <v>207</v>
      </c>
      <c r="K5863" s="28" t="s">
        <v>29066</v>
      </c>
      <c r="L5863" s="28" t="s">
        <v>27634</v>
      </c>
      <c r="M5863" s="28" t="s">
        <v>29257</v>
      </c>
      <c r="N5863" s="28" t="s">
        <v>27636</v>
      </c>
      <c r="O5863" s="28" t="s">
        <v>27637</v>
      </c>
      <c r="P5863" s="28" t="s">
        <v>29258</v>
      </c>
    </row>
    <row r="5864" spans="1:16" x14ac:dyDescent="0.25">
      <c r="A5864" s="28" t="s">
        <v>29259</v>
      </c>
      <c r="B5864" s="28" t="s">
        <v>29260</v>
      </c>
      <c r="C5864" s="28" t="s">
        <v>29063</v>
      </c>
      <c r="D5864" s="28" t="s">
        <v>1204</v>
      </c>
      <c r="E5864" s="28" t="s">
        <v>29261</v>
      </c>
      <c r="F5864" s="28" t="s">
        <v>21</v>
      </c>
      <c r="G5864" s="28" t="s">
        <v>207</v>
      </c>
      <c r="H5864" s="28" t="s">
        <v>27631</v>
      </c>
      <c r="I5864" s="28" t="s">
        <v>29262</v>
      </c>
      <c r="J5864" s="28" t="s">
        <v>207</v>
      </c>
      <c r="K5864" s="28" t="s">
        <v>29066</v>
      </c>
      <c r="L5864" s="28" t="s">
        <v>27634</v>
      </c>
      <c r="M5864" s="28" t="s">
        <v>29263</v>
      </c>
      <c r="N5864" s="28" t="s">
        <v>27636</v>
      </c>
      <c r="O5864" s="28" t="s">
        <v>27637</v>
      </c>
      <c r="P5864" s="28" t="s">
        <v>29264</v>
      </c>
    </row>
    <row r="5865" spans="1:16" x14ac:dyDescent="0.25">
      <c r="A5865" s="28" t="s">
        <v>29265</v>
      </c>
      <c r="B5865" s="28" t="s">
        <v>29266</v>
      </c>
      <c r="C5865" s="28" t="s">
        <v>29063</v>
      </c>
      <c r="D5865" s="28" t="s">
        <v>1204</v>
      </c>
      <c r="E5865" s="28" t="s">
        <v>29267</v>
      </c>
      <c r="F5865" s="28" t="s">
        <v>21</v>
      </c>
      <c r="G5865" s="28" t="s">
        <v>207</v>
      </c>
      <c r="H5865" s="28" t="s">
        <v>27631</v>
      </c>
      <c r="I5865" s="28" t="s">
        <v>29268</v>
      </c>
      <c r="J5865" s="28" t="s">
        <v>207</v>
      </c>
      <c r="K5865" s="28" t="s">
        <v>29066</v>
      </c>
      <c r="L5865" s="28" t="s">
        <v>27634</v>
      </c>
      <c r="M5865" s="28" t="s">
        <v>29269</v>
      </c>
      <c r="N5865" s="28" t="s">
        <v>27636</v>
      </c>
      <c r="O5865" s="28" t="s">
        <v>27637</v>
      </c>
      <c r="P5865" s="28" t="s">
        <v>29270</v>
      </c>
    </row>
    <row r="5866" spans="1:16" x14ac:dyDescent="0.25">
      <c r="A5866" s="28" t="s">
        <v>29271</v>
      </c>
      <c r="B5866" s="28" t="s">
        <v>29272</v>
      </c>
      <c r="C5866" s="28" t="s">
        <v>29063</v>
      </c>
      <c r="D5866" s="28" t="s">
        <v>1204</v>
      </c>
      <c r="E5866" s="28" t="s">
        <v>29273</v>
      </c>
      <c r="F5866" s="28" t="s">
        <v>21</v>
      </c>
      <c r="G5866" s="28" t="s">
        <v>207</v>
      </c>
      <c r="H5866" s="28" t="s">
        <v>27631</v>
      </c>
      <c r="I5866" s="28" t="s">
        <v>29274</v>
      </c>
      <c r="J5866" s="28" t="s">
        <v>207</v>
      </c>
      <c r="K5866" s="28" t="s">
        <v>29066</v>
      </c>
      <c r="L5866" s="28" t="s">
        <v>27634</v>
      </c>
      <c r="M5866" s="28" t="s">
        <v>29275</v>
      </c>
      <c r="N5866" s="28" t="s">
        <v>27636</v>
      </c>
      <c r="O5866" s="28" t="s">
        <v>27637</v>
      </c>
      <c r="P5866" s="28" t="s">
        <v>29276</v>
      </c>
    </row>
    <row r="5867" spans="1:16" x14ac:dyDescent="0.25">
      <c r="A5867" s="28" t="s">
        <v>29277</v>
      </c>
      <c r="B5867" s="28" t="s">
        <v>29278</v>
      </c>
      <c r="C5867" s="28" t="s">
        <v>29063</v>
      </c>
      <c r="D5867" s="28" t="s">
        <v>1204</v>
      </c>
      <c r="E5867" s="28" t="s">
        <v>29279</v>
      </c>
      <c r="F5867" s="28" t="s">
        <v>21</v>
      </c>
      <c r="G5867" s="28" t="s">
        <v>207</v>
      </c>
      <c r="H5867" s="28" t="s">
        <v>27631</v>
      </c>
      <c r="I5867" s="28" t="s">
        <v>29280</v>
      </c>
      <c r="J5867" s="28" t="s">
        <v>207</v>
      </c>
      <c r="K5867" s="28" t="s">
        <v>29066</v>
      </c>
      <c r="L5867" s="28" t="s">
        <v>27634</v>
      </c>
      <c r="M5867" s="28" t="s">
        <v>29281</v>
      </c>
      <c r="N5867" s="28" t="s">
        <v>27636</v>
      </c>
      <c r="O5867" s="28" t="s">
        <v>27637</v>
      </c>
      <c r="P5867" s="28" t="s">
        <v>29282</v>
      </c>
    </row>
    <row r="5868" spans="1:16" x14ac:dyDescent="0.25">
      <c r="A5868" s="28" t="s">
        <v>29283</v>
      </c>
      <c r="B5868" s="28" t="s">
        <v>29284</v>
      </c>
      <c r="C5868" s="28" t="s">
        <v>29063</v>
      </c>
      <c r="D5868" s="28" t="s">
        <v>1204</v>
      </c>
      <c r="E5868" s="28" t="s">
        <v>12834</v>
      </c>
      <c r="F5868" s="28" t="s">
        <v>21</v>
      </c>
      <c r="G5868" s="28" t="s">
        <v>207</v>
      </c>
      <c r="H5868" s="28" t="s">
        <v>27631</v>
      </c>
      <c r="I5868" s="28" t="s">
        <v>29285</v>
      </c>
      <c r="J5868" s="28" t="s">
        <v>207</v>
      </c>
      <c r="K5868" s="28" t="s">
        <v>29066</v>
      </c>
      <c r="L5868" s="28" t="s">
        <v>27634</v>
      </c>
      <c r="M5868" s="28" t="s">
        <v>29286</v>
      </c>
      <c r="N5868" s="28" t="s">
        <v>27636</v>
      </c>
      <c r="O5868" s="28" t="s">
        <v>27637</v>
      </c>
      <c r="P5868" s="28" t="s">
        <v>29287</v>
      </c>
    </row>
    <row r="5869" spans="1:16" x14ac:dyDescent="0.25">
      <c r="A5869" s="28" t="s">
        <v>29288</v>
      </c>
      <c r="B5869" s="28" t="s">
        <v>29289</v>
      </c>
      <c r="C5869" s="28" t="s">
        <v>29063</v>
      </c>
      <c r="D5869" s="28" t="s">
        <v>1204</v>
      </c>
      <c r="E5869" s="28" t="s">
        <v>29290</v>
      </c>
      <c r="F5869" s="28" t="s">
        <v>21</v>
      </c>
      <c r="G5869" s="28" t="s">
        <v>207</v>
      </c>
      <c r="H5869" s="28" t="s">
        <v>27631</v>
      </c>
      <c r="I5869" s="28" t="s">
        <v>29291</v>
      </c>
      <c r="J5869" s="28" t="s">
        <v>207</v>
      </c>
      <c r="K5869" s="28" t="s">
        <v>29066</v>
      </c>
      <c r="L5869" s="28" t="s">
        <v>27634</v>
      </c>
      <c r="M5869" s="28" t="s">
        <v>29292</v>
      </c>
      <c r="N5869" s="28" t="s">
        <v>27636</v>
      </c>
      <c r="O5869" s="28" t="s">
        <v>27637</v>
      </c>
      <c r="P5869" s="28" t="s">
        <v>29293</v>
      </c>
    </row>
    <row r="5870" spans="1:16" x14ac:dyDescent="0.25">
      <c r="A5870" s="28" t="s">
        <v>29294</v>
      </c>
      <c r="B5870" s="28" t="s">
        <v>29295</v>
      </c>
      <c r="C5870" s="28" t="s">
        <v>29063</v>
      </c>
      <c r="D5870" s="28" t="s">
        <v>1204</v>
      </c>
      <c r="E5870" s="28" t="s">
        <v>29296</v>
      </c>
      <c r="F5870" s="28" t="s">
        <v>21</v>
      </c>
      <c r="G5870" s="28" t="s">
        <v>207</v>
      </c>
      <c r="H5870" s="28" t="s">
        <v>27631</v>
      </c>
      <c r="I5870" s="28" t="s">
        <v>29297</v>
      </c>
      <c r="J5870" s="28" t="s">
        <v>207</v>
      </c>
      <c r="K5870" s="28" t="s">
        <v>29066</v>
      </c>
      <c r="L5870" s="28" t="s">
        <v>27634</v>
      </c>
      <c r="M5870" s="28" t="s">
        <v>29298</v>
      </c>
      <c r="N5870" s="28" t="s">
        <v>27636</v>
      </c>
      <c r="O5870" s="28" t="s">
        <v>27637</v>
      </c>
      <c r="P5870" s="28" t="s">
        <v>29299</v>
      </c>
    </row>
    <row r="5871" spans="1:16" x14ac:dyDescent="0.25">
      <c r="A5871" s="28" t="s">
        <v>29300</v>
      </c>
      <c r="B5871" s="28" t="s">
        <v>29301</v>
      </c>
      <c r="C5871" s="28" t="s">
        <v>29063</v>
      </c>
      <c r="D5871" s="28" t="s">
        <v>1204</v>
      </c>
      <c r="E5871" s="28" t="s">
        <v>29302</v>
      </c>
      <c r="F5871" s="28" t="s">
        <v>21</v>
      </c>
      <c r="G5871" s="28" t="s">
        <v>207</v>
      </c>
      <c r="H5871" s="28" t="s">
        <v>27631</v>
      </c>
      <c r="I5871" s="28" t="s">
        <v>29303</v>
      </c>
      <c r="J5871" s="28" t="s">
        <v>207</v>
      </c>
      <c r="K5871" s="28" t="s">
        <v>29066</v>
      </c>
      <c r="L5871" s="28" t="s">
        <v>27634</v>
      </c>
      <c r="M5871" s="28" t="s">
        <v>29304</v>
      </c>
      <c r="N5871" s="28" t="s">
        <v>27636</v>
      </c>
      <c r="O5871" s="28" t="s">
        <v>27637</v>
      </c>
      <c r="P5871" s="28" t="s">
        <v>29305</v>
      </c>
    </row>
    <row r="5872" spans="1:16" x14ac:dyDescent="0.25">
      <c r="A5872" s="28" t="s">
        <v>29306</v>
      </c>
      <c r="B5872" s="28" t="s">
        <v>29307</v>
      </c>
      <c r="C5872" s="28" t="s">
        <v>29063</v>
      </c>
      <c r="D5872" s="28" t="s">
        <v>1204</v>
      </c>
      <c r="E5872" s="28" t="s">
        <v>12840</v>
      </c>
      <c r="F5872" s="28" t="s">
        <v>21</v>
      </c>
      <c r="G5872" s="28" t="s">
        <v>207</v>
      </c>
      <c r="H5872" s="28" t="s">
        <v>27631</v>
      </c>
      <c r="I5872" s="28" t="s">
        <v>29308</v>
      </c>
      <c r="J5872" s="28" t="s">
        <v>207</v>
      </c>
      <c r="K5872" s="28" t="s">
        <v>29066</v>
      </c>
      <c r="L5872" s="28" t="s">
        <v>27634</v>
      </c>
      <c r="M5872" s="28" t="s">
        <v>29309</v>
      </c>
      <c r="N5872" s="28" t="s">
        <v>27636</v>
      </c>
      <c r="O5872" s="28" t="s">
        <v>27637</v>
      </c>
      <c r="P5872" s="28" t="s">
        <v>29310</v>
      </c>
    </row>
    <row r="5873" spans="1:16" x14ac:dyDescent="0.25">
      <c r="A5873" s="28" t="s">
        <v>29311</v>
      </c>
      <c r="B5873" s="28" t="s">
        <v>29312</v>
      </c>
      <c r="C5873" s="28" t="s">
        <v>29063</v>
      </c>
      <c r="D5873" s="28" t="s">
        <v>1204</v>
      </c>
      <c r="E5873" s="28" t="s">
        <v>29313</v>
      </c>
      <c r="F5873" s="28" t="s">
        <v>21</v>
      </c>
      <c r="G5873" s="28" t="s">
        <v>207</v>
      </c>
      <c r="H5873" s="28" t="s">
        <v>27631</v>
      </c>
      <c r="I5873" s="28" t="s">
        <v>29314</v>
      </c>
      <c r="J5873" s="28" t="s">
        <v>207</v>
      </c>
      <c r="K5873" s="28" t="s">
        <v>29066</v>
      </c>
      <c r="L5873" s="28" t="s">
        <v>27634</v>
      </c>
      <c r="M5873" s="28" t="s">
        <v>29315</v>
      </c>
      <c r="N5873" s="28" t="s">
        <v>27636</v>
      </c>
      <c r="O5873" s="28" t="s">
        <v>27637</v>
      </c>
      <c r="P5873" s="28" t="s">
        <v>29316</v>
      </c>
    </row>
    <row r="5874" spans="1:16" x14ac:dyDescent="0.25">
      <c r="A5874" s="28" t="s">
        <v>29317</v>
      </c>
      <c r="B5874" s="28" t="s">
        <v>29318</v>
      </c>
      <c r="C5874" s="28" t="s">
        <v>29063</v>
      </c>
      <c r="D5874" s="28" t="s">
        <v>1204</v>
      </c>
      <c r="E5874" s="28" t="s">
        <v>29319</v>
      </c>
      <c r="F5874" s="28" t="s">
        <v>21</v>
      </c>
      <c r="G5874" s="28" t="s">
        <v>207</v>
      </c>
      <c r="H5874" s="28" t="s">
        <v>27631</v>
      </c>
      <c r="I5874" s="28" t="s">
        <v>29320</v>
      </c>
      <c r="J5874" s="28" t="s">
        <v>207</v>
      </c>
      <c r="K5874" s="28" t="s">
        <v>29066</v>
      </c>
      <c r="L5874" s="28" t="s">
        <v>27634</v>
      </c>
      <c r="M5874" s="28" t="s">
        <v>29321</v>
      </c>
      <c r="N5874" s="28" t="s">
        <v>27636</v>
      </c>
      <c r="O5874" s="28" t="s">
        <v>27637</v>
      </c>
      <c r="P5874" s="28" t="s">
        <v>29322</v>
      </c>
    </row>
    <row r="5875" spans="1:16" x14ac:dyDescent="0.25">
      <c r="A5875" s="28" t="s">
        <v>29323</v>
      </c>
      <c r="B5875" s="28" t="s">
        <v>29324</v>
      </c>
      <c r="C5875" s="28" t="s">
        <v>29063</v>
      </c>
      <c r="D5875" s="28" t="s">
        <v>1204</v>
      </c>
      <c r="E5875" s="28" t="s">
        <v>12846</v>
      </c>
      <c r="F5875" s="28" t="s">
        <v>21</v>
      </c>
      <c r="G5875" s="28" t="s">
        <v>207</v>
      </c>
      <c r="H5875" s="28" t="s">
        <v>27631</v>
      </c>
      <c r="I5875" s="28" t="s">
        <v>29325</v>
      </c>
      <c r="J5875" s="28" t="s">
        <v>207</v>
      </c>
      <c r="K5875" s="28" t="s">
        <v>29066</v>
      </c>
      <c r="L5875" s="28" t="s">
        <v>27634</v>
      </c>
      <c r="M5875" s="28" t="s">
        <v>29326</v>
      </c>
      <c r="N5875" s="28" t="s">
        <v>27636</v>
      </c>
      <c r="O5875" s="28" t="s">
        <v>27637</v>
      </c>
      <c r="P5875" s="28" t="s">
        <v>29327</v>
      </c>
    </row>
    <row r="5876" spans="1:16" x14ac:dyDescent="0.25">
      <c r="A5876" s="28" t="s">
        <v>29328</v>
      </c>
      <c r="B5876" s="28" t="s">
        <v>29329</v>
      </c>
      <c r="C5876" s="28" t="s">
        <v>29063</v>
      </c>
      <c r="D5876" s="28" t="s">
        <v>1204</v>
      </c>
      <c r="E5876" s="28" t="s">
        <v>29330</v>
      </c>
      <c r="F5876" s="28" t="s">
        <v>21</v>
      </c>
      <c r="G5876" s="28" t="s">
        <v>207</v>
      </c>
      <c r="H5876" s="28" t="s">
        <v>27631</v>
      </c>
      <c r="I5876" s="28" t="s">
        <v>29331</v>
      </c>
      <c r="J5876" s="28" t="s">
        <v>207</v>
      </c>
      <c r="K5876" s="28" t="s">
        <v>29066</v>
      </c>
      <c r="L5876" s="28" t="s">
        <v>27634</v>
      </c>
      <c r="M5876" s="28" t="s">
        <v>29332</v>
      </c>
      <c r="N5876" s="28" t="s">
        <v>27636</v>
      </c>
      <c r="O5876" s="28" t="s">
        <v>27637</v>
      </c>
      <c r="P5876" s="28" t="s">
        <v>29333</v>
      </c>
    </row>
    <row r="5877" spans="1:16" x14ac:dyDescent="0.25">
      <c r="A5877" s="28" t="s">
        <v>29334</v>
      </c>
      <c r="B5877" s="28" t="s">
        <v>29335</v>
      </c>
      <c r="C5877" s="28" t="s">
        <v>29063</v>
      </c>
      <c r="D5877" s="28" t="s">
        <v>1204</v>
      </c>
      <c r="E5877" s="28" t="s">
        <v>12852</v>
      </c>
      <c r="F5877" s="28" t="s">
        <v>21</v>
      </c>
      <c r="G5877" s="28" t="s">
        <v>207</v>
      </c>
      <c r="H5877" s="28" t="s">
        <v>27631</v>
      </c>
      <c r="I5877" s="28" t="s">
        <v>29336</v>
      </c>
      <c r="J5877" s="28" t="s">
        <v>207</v>
      </c>
      <c r="K5877" s="28" t="s">
        <v>29066</v>
      </c>
      <c r="L5877" s="28" t="s">
        <v>27634</v>
      </c>
      <c r="M5877" s="28" t="s">
        <v>29337</v>
      </c>
      <c r="N5877" s="28" t="s">
        <v>27636</v>
      </c>
      <c r="O5877" s="28" t="s">
        <v>27637</v>
      </c>
      <c r="P5877" s="28" t="s">
        <v>29338</v>
      </c>
    </row>
    <row r="5878" spans="1:16" x14ac:dyDescent="0.25">
      <c r="A5878" s="28" t="s">
        <v>29339</v>
      </c>
      <c r="B5878" s="28" t="s">
        <v>29340</v>
      </c>
      <c r="C5878" s="28" t="s">
        <v>29063</v>
      </c>
      <c r="D5878" s="28" t="s">
        <v>1204</v>
      </c>
      <c r="E5878" s="28" t="s">
        <v>29341</v>
      </c>
      <c r="F5878" s="28" t="s">
        <v>21</v>
      </c>
      <c r="G5878" s="28" t="s">
        <v>207</v>
      </c>
      <c r="H5878" s="28" t="s">
        <v>27631</v>
      </c>
      <c r="I5878" s="28" t="s">
        <v>29342</v>
      </c>
      <c r="J5878" s="28" t="s">
        <v>207</v>
      </c>
      <c r="K5878" s="28" t="s">
        <v>29066</v>
      </c>
      <c r="L5878" s="28" t="s">
        <v>27634</v>
      </c>
      <c r="M5878" s="28" t="s">
        <v>29343</v>
      </c>
      <c r="N5878" s="28" t="s">
        <v>27636</v>
      </c>
      <c r="O5878" s="28" t="s">
        <v>27637</v>
      </c>
      <c r="P5878" s="28" t="s">
        <v>29344</v>
      </c>
    </row>
    <row r="5879" spans="1:16" x14ac:dyDescent="0.25">
      <c r="A5879" s="28" t="s">
        <v>29345</v>
      </c>
      <c r="B5879" s="28" t="s">
        <v>29346</v>
      </c>
      <c r="C5879" s="28" t="s">
        <v>29063</v>
      </c>
      <c r="D5879" s="28" t="s">
        <v>1204</v>
      </c>
      <c r="E5879" s="28" t="s">
        <v>29347</v>
      </c>
      <c r="F5879" s="28" t="s">
        <v>21</v>
      </c>
      <c r="G5879" s="28" t="s">
        <v>207</v>
      </c>
      <c r="H5879" s="28" t="s">
        <v>27631</v>
      </c>
      <c r="I5879" s="28" t="s">
        <v>29348</v>
      </c>
      <c r="J5879" s="28" t="s">
        <v>207</v>
      </c>
      <c r="K5879" s="28" t="s">
        <v>29066</v>
      </c>
      <c r="L5879" s="28" t="s">
        <v>27634</v>
      </c>
      <c r="M5879" s="28" t="s">
        <v>29349</v>
      </c>
      <c r="N5879" s="28" t="s">
        <v>27636</v>
      </c>
      <c r="O5879" s="28" t="s">
        <v>27637</v>
      </c>
      <c r="P5879" s="28" t="s">
        <v>29350</v>
      </c>
    </row>
    <row r="5880" spans="1:16" x14ac:dyDescent="0.25">
      <c r="A5880" s="28" t="s">
        <v>29351</v>
      </c>
      <c r="B5880" s="28" t="s">
        <v>29352</v>
      </c>
      <c r="C5880" s="28" t="s">
        <v>29063</v>
      </c>
      <c r="D5880" s="28" t="s">
        <v>1204</v>
      </c>
      <c r="E5880" s="28" t="s">
        <v>29353</v>
      </c>
      <c r="F5880" s="28" t="s">
        <v>21</v>
      </c>
      <c r="G5880" s="28" t="s">
        <v>207</v>
      </c>
      <c r="H5880" s="28" t="s">
        <v>27631</v>
      </c>
      <c r="I5880" s="28" t="s">
        <v>29354</v>
      </c>
      <c r="J5880" s="28" t="s">
        <v>207</v>
      </c>
      <c r="K5880" s="28" t="s">
        <v>29066</v>
      </c>
      <c r="L5880" s="28" t="s">
        <v>27634</v>
      </c>
      <c r="M5880" s="28" t="s">
        <v>29355</v>
      </c>
      <c r="N5880" s="28" t="s">
        <v>27636</v>
      </c>
      <c r="O5880" s="28" t="s">
        <v>27637</v>
      </c>
      <c r="P5880" s="28" t="s">
        <v>29356</v>
      </c>
    </row>
    <row r="5881" spans="1:16" x14ac:dyDescent="0.25">
      <c r="A5881" s="28" t="s">
        <v>29357</v>
      </c>
      <c r="B5881" s="28" t="s">
        <v>29358</v>
      </c>
      <c r="C5881" s="28" t="s">
        <v>29063</v>
      </c>
      <c r="D5881" s="28" t="s">
        <v>1204</v>
      </c>
      <c r="E5881" s="28" t="s">
        <v>29359</v>
      </c>
      <c r="F5881" s="28" t="s">
        <v>21</v>
      </c>
      <c r="G5881" s="28" t="s">
        <v>207</v>
      </c>
      <c r="H5881" s="28" t="s">
        <v>27631</v>
      </c>
      <c r="I5881" s="28" t="s">
        <v>29360</v>
      </c>
      <c r="J5881" s="28" t="s">
        <v>207</v>
      </c>
      <c r="K5881" s="28" t="s">
        <v>29066</v>
      </c>
      <c r="L5881" s="28" t="s">
        <v>27634</v>
      </c>
      <c r="M5881" s="28" t="s">
        <v>29361</v>
      </c>
      <c r="N5881" s="28" t="s">
        <v>27636</v>
      </c>
      <c r="O5881" s="28" t="s">
        <v>27637</v>
      </c>
      <c r="P5881" s="28" t="s">
        <v>29362</v>
      </c>
    </row>
    <row r="5882" spans="1:16" x14ac:dyDescent="0.25">
      <c r="A5882" s="28" t="s">
        <v>29363</v>
      </c>
      <c r="B5882" s="28" t="s">
        <v>29364</v>
      </c>
      <c r="C5882" s="28" t="s">
        <v>29063</v>
      </c>
      <c r="D5882" s="28" t="s">
        <v>1204</v>
      </c>
      <c r="E5882" s="28" t="s">
        <v>29365</v>
      </c>
      <c r="F5882" s="28" t="s">
        <v>21</v>
      </c>
      <c r="G5882" s="28" t="s">
        <v>207</v>
      </c>
      <c r="H5882" s="28" t="s">
        <v>27631</v>
      </c>
      <c r="I5882" s="28" t="s">
        <v>29366</v>
      </c>
      <c r="J5882" s="28" t="s">
        <v>207</v>
      </c>
      <c r="K5882" s="28" t="s">
        <v>29066</v>
      </c>
      <c r="L5882" s="28" t="s">
        <v>27634</v>
      </c>
      <c r="M5882" s="28" t="s">
        <v>29367</v>
      </c>
      <c r="N5882" s="28" t="s">
        <v>27636</v>
      </c>
      <c r="O5882" s="28" t="s">
        <v>27637</v>
      </c>
      <c r="P5882" s="28" t="s">
        <v>29368</v>
      </c>
    </row>
    <row r="5883" spans="1:16" x14ac:dyDescent="0.25">
      <c r="A5883" s="28" t="s">
        <v>29369</v>
      </c>
      <c r="B5883" s="28" t="s">
        <v>29370</v>
      </c>
      <c r="C5883" s="28" t="s">
        <v>29063</v>
      </c>
      <c r="D5883" s="28" t="s">
        <v>1204</v>
      </c>
      <c r="E5883" s="28" t="s">
        <v>29371</v>
      </c>
      <c r="F5883" s="28" t="s">
        <v>21</v>
      </c>
      <c r="G5883" s="28" t="s">
        <v>207</v>
      </c>
      <c r="H5883" s="28" t="s">
        <v>27631</v>
      </c>
      <c r="I5883" s="28" t="s">
        <v>29372</v>
      </c>
      <c r="J5883" s="28" t="s">
        <v>207</v>
      </c>
      <c r="K5883" s="28" t="s">
        <v>29066</v>
      </c>
      <c r="L5883" s="28" t="s">
        <v>27634</v>
      </c>
      <c r="M5883" s="28" t="s">
        <v>29373</v>
      </c>
      <c r="N5883" s="28" t="s">
        <v>27636</v>
      </c>
      <c r="O5883" s="28" t="s">
        <v>27637</v>
      </c>
      <c r="P5883" s="28" t="s">
        <v>29374</v>
      </c>
    </row>
    <row r="5884" spans="1:16" x14ac:dyDescent="0.25">
      <c r="A5884" s="28" t="s">
        <v>29375</v>
      </c>
      <c r="B5884" s="28" t="s">
        <v>29376</v>
      </c>
      <c r="C5884" s="28" t="s">
        <v>29063</v>
      </c>
      <c r="D5884" s="28" t="s">
        <v>1204</v>
      </c>
      <c r="E5884" s="28" t="s">
        <v>12858</v>
      </c>
      <c r="F5884" s="28" t="s">
        <v>21</v>
      </c>
      <c r="G5884" s="28" t="s">
        <v>207</v>
      </c>
      <c r="H5884" s="28" t="s">
        <v>27631</v>
      </c>
      <c r="I5884" s="28" t="s">
        <v>29377</v>
      </c>
      <c r="J5884" s="28" t="s">
        <v>207</v>
      </c>
      <c r="K5884" s="28" t="s">
        <v>29066</v>
      </c>
      <c r="L5884" s="28" t="s">
        <v>27634</v>
      </c>
      <c r="M5884" s="28" t="s">
        <v>29378</v>
      </c>
      <c r="N5884" s="28" t="s">
        <v>27636</v>
      </c>
      <c r="O5884" s="28" t="s">
        <v>27637</v>
      </c>
      <c r="P5884" s="28" t="s">
        <v>29379</v>
      </c>
    </row>
    <row r="5885" spans="1:16" x14ac:dyDescent="0.25">
      <c r="A5885" s="28" t="s">
        <v>29380</v>
      </c>
      <c r="B5885" s="28" t="s">
        <v>29381</v>
      </c>
      <c r="C5885" s="28" t="s">
        <v>29063</v>
      </c>
      <c r="D5885" s="28" t="s">
        <v>1204</v>
      </c>
      <c r="E5885" s="28" t="s">
        <v>29382</v>
      </c>
      <c r="F5885" s="28" t="s">
        <v>21</v>
      </c>
      <c r="G5885" s="28" t="s">
        <v>207</v>
      </c>
      <c r="H5885" s="28" t="s">
        <v>27631</v>
      </c>
      <c r="I5885" s="28" t="s">
        <v>29383</v>
      </c>
      <c r="J5885" s="28" t="s">
        <v>207</v>
      </c>
      <c r="K5885" s="28" t="s">
        <v>29066</v>
      </c>
      <c r="L5885" s="28" t="s">
        <v>27634</v>
      </c>
      <c r="M5885" s="28" t="s">
        <v>29384</v>
      </c>
      <c r="N5885" s="28" t="s">
        <v>27636</v>
      </c>
      <c r="O5885" s="28" t="s">
        <v>27637</v>
      </c>
      <c r="P5885" s="28" t="s">
        <v>29385</v>
      </c>
    </row>
    <row r="5886" spans="1:16" x14ac:dyDescent="0.25">
      <c r="A5886" s="28" t="s">
        <v>29386</v>
      </c>
      <c r="B5886" s="28" t="s">
        <v>29387</v>
      </c>
      <c r="C5886" s="28" t="s">
        <v>29063</v>
      </c>
      <c r="D5886" s="28" t="s">
        <v>1204</v>
      </c>
      <c r="E5886" s="28" t="s">
        <v>29388</v>
      </c>
      <c r="F5886" s="28" t="s">
        <v>21</v>
      </c>
      <c r="G5886" s="28" t="s">
        <v>207</v>
      </c>
      <c r="H5886" s="28" t="s">
        <v>27631</v>
      </c>
      <c r="I5886" s="28" t="s">
        <v>29389</v>
      </c>
      <c r="J5886" s="28" t="s">
        <v>207</v>
      </c>
      <c r="K5886" s="28" t="s">
        <v>29066</v>
      </c>
      <c r="L5886" s="28" t="s">
        <v>27634</v>
      </c>
      <c r="M5886" s="28" t="s">
        <v>29390</v>
      </c>
      <c r="N5886" s="28" t="s">
        <v>27636</v>
      </c>
      <c r="O5886" s="28" t="s">
        <v>27637</v>
      </c>
      <c r="P5886" s="28" t="s">
        <v>29391</v>
      </c>
    </row>
    <row r="5887" spans="1:16" x14ac:dyDescent="0.25">
      <c r="A5887" s="28" t="s">
        <v>29392</v>
      </c>
      <c r="B5887" s="28" t="s">
        <v>29393</v>
      </c>
      <c r="C5887" s="28" t="s">
        <v>29063</v>
      </c>
      <c r="D5887" s="28" t="s">
        <v>1204</v>
      </c>
      <c r="E5887" s="28" t="s">
        <v>29394</v>
      </c>
      <c r="F5887" s="28" t="s">
        <v>21</v>
      </c>
      <c r="G5887" s="28" t="s">
        <v>207</v>
      </c>
      <c r="H5887" s="28" t="s">
        <v>27631</v>
      </c>
      <c r="I5887" s="28" t="s">
        <v>29395</v>
      </c>
      <c r="J5887" s="28" t="s">
        <v>207</v>
      </c>
      <c r="K5887" s="28" t="s">
        <v>29066</v>
      </c>
      <c r="L5887" s="28" t="s">
        <v>27634</v>
      </c>
      <c r="M5887" s="28" t="s">
        <v>29396</v>
      </c>
      <c r="N5887" s="28" t="s">
        <v>27636</v>
      </c>
      <c r="O5887" s="28" t="s">
        <v>27637</v>
      </c>
      <c r="P5887" s="28" t="s">
        <v>29397</v>
      </c>
    </row>
    <row r="5888" spans="1:16" x14ac:dyDescent="0.25">
      <c r="A5888" s="28" t="s">
        <v>29398</v>
      </c>
      <c r="B5888" s="28" t="s">
        <v>29399</v>
      </c>
      <c r="C5888" s="28" t="s">
        <v>29063</v>
      </c>
      <c r="D5888" s="28" t="s">
        <v>1204</v>
      </c>
      <c r="E5888" s="28" t="s">
        <v>29400</v>
      </c>
      <c r="F5888" s="28" t="s">
        <v>21</v>
      </c>
      <c r="G5888" s="28" t="s">
        <v>207</v>
      </c>
      <c r="H5888" s="28" t="s">
        <v>27631</v>
      </c>
      <c r="I5888" s="28" t="s">
        <v>29401</v>
      </c>
      <c r="J5888" s="28" t="s">
        <v>207</v>
      </c>
      <c r="K5888" s="28" t="s">
        <v>29066</v>
      </c>
      <c r="L5888" s="28" t="s">
        <v>27634</v>
      </c>
      <c r="M5888" s="28" t="s">
        <v>29402</v>
      </c>
      <c r="N5888" s="28" t="s">
        <v>27636</v>
      </c>
      <c r="O5888" s="28" t="s">
        <v>27637</v>
      </c>
      <c r="P5888" s="28" t="s">
        <v>29403</v>
      </c>
    </row>
    <row r="5889" spans="1:16" x14ac:dyDescent="0.25">
      <c r="A5889" s="28" t="s">
        <v>29404</v>
      </c>
      <c r="B5889" s="28" t="s">
        <v>29405</v>
      </c>
      <c r="C5889" s="28" t="s">
        <v>29063</v>
      </c>
      <c r="D5889" s="28" t="s">
        <v>1204</v>
      </c>
      <c r="E5889" s="28" t="s">
        <v>29406</v>
      </c>
      <c r="F5889" s="28" t="s">
        <v>21</v>
      </c>
      <c r="G5889" s="28" t="s">
        <v>207</v>
      </c>
      <c r="H5889" s="28" t="s">
        <v>27631</v>
      </c>
      <c r="I5889" s="28" t="s">
        <v>29407</v>
      </c>
      <c r="J5889" s="28" t="s">
        <v>207</v>
      </c>
      <c r="K5889" s="28" t="s">
        <v>29066</v>
      </c>
      <c r="L5889" s="28" t="s">
        <v>27634</v>
      </c>
      <c r="M5889" s="28" t="s">
        <v>29408</v>
      </c>
      <c r="N5889" s="28" t="s">
        <v>27636</v>
      </c>
      <c r="O5889" s="28" t="s">
        <v>27637</v>
      </c>
      <c r="P5889" s="28" t="s">
        <v>29409</v>
      </c>
    </row>
    <row r="5890" spans="1:16" x14ac:dyDescent="0.25">
      <c r="A5890" s="28" t="s">
        <v>29410</v>
      </c>
      <c r="B5890" s="28" t="s">
        <v>29411</v>
      </c>
      <c r="C5890" s="28" t="s">
        <v>29063</v>
      </c>
      <c r="D5890" s="28" t="s">
        <v>1204</v>
      </c>
      <c r="E5890" s="28" t="s">
        <v>29412</v>
      </c>
      <c r="F5890" s="28" t="s">
        <v>21</v>
      </c>
      <c r="G5890" s="28" t="s">
        <v>207</v>
      </c>
      <c r="H5890" s="28" t="s">
        <v>27631</v>
      </c>
      <c r="I5890" s="28" t="s">
        <v>29413</v>
      </c>
      <c r="J5890" s="28" t="s">
        <v>207</v>
      </c>
      <c r="K5890" s="28" t="s">
        <v>29066</v>
      </c>
      <c r="L5890" s="28" t="s">
        <v>27634</v>
      </c>
      <c r="M5890" s="28" t="s">
        <v>29414</v>
      </c>
      <c r="N5890" s="28" t="s">
        <v>27636</v>
      </c>
      <c r="O5890" s="28" t="s">
        <v>27637</v>
      </c>
      <c r="P5890" s="28" t="s">
        <v>29415</v>
      </c>
    </row>
    <row r="5891" spans="1:16" x14ac:dyDescent="0.25">
      <c r="A5891" s="28" t="s">
        <v>29416</v>
      </c>
      <c r="B5891" s="28" t="s">
        <v>29417</v>
      </c>
      <c r="C5891" s="28" t="s">
        <v>29063</v>
      </c>
      <c r="D5891" s="28" t="s">
        <v>1204</v>
      </c>
      <c r="E5891" s="28" t="s">
        <v>29418</v>
      </c>
      <c r="F5891" s="28" t="s">
        <v>21</v>
      </c>
      <c r="G5891" s="28" t="s">
        <v>207</v>
      </c>
      <c r="H5891" s="28" t="s">
        <v>27631</v>
      </c>
      <c r="I5891" s="28" t="s">
        <v>29419</v>
      </c>
      <c r="J5891" s="28" t="s">
        <v>207</v>
      </c>
      <c r="K5891" s="28" t="s">
        <v>29066</v>
      </c>
      <c r="L5891" s="28" t="s">
        <v>27634</v>
      </c>
      <c r="M5891" s="28" t="s">
        <v>29420</v>
      </c>
      <c r="N5891" s="28" t="s">
        <v>27636</v>
      </c>
      <c r="O5891" s="28" t="s">
        <v>27637</v>
      </c>
      <c r="P5891" s="28" t="s">
        <v>29421</v>
      </c>
    </row>
    <row r="5892" spans="1:16" x14ac:dyDescent="0.25">
      <c r="A5892" s="28" t="s">
        <v>29422</v>
      </c>
      <c r="B5892" s="28" t="s">
        <v>29423</v>
      </c>
      <c r="C5892" s="28" t="s">
        <v>29063</v>
      </c>
      <c r="D5892" s="28" t="s">
        <v>1204</v>
      </c>
      <c r="E5892" s="28" t="s">
        <v>29424</v>
      </c>
      <c r="F5892" s="28" t="s">
        <v>21</v>
      </c>
      <c r="G5892" s="28" t="s">
        <v>207</v>
      </c>
      <c r="H5892" s="28" t="s">
        <v>27631</v>
      </c>
      <c r="I5892" s="28" t="s">
        <v>29425</v>
      </c>
      <c r="J5892" s="28" t="s">
        <v>207</v>
      </c>
      <c r="K5892" s="28" t="s">
        <v>29066</v>
      </c>
      <c r="L5892" s="28" t="s">
        <v>27634</v>
      </c>
      <c r="M5892" s="28" t="s">
        <v>29426</v>
      </c>
      <c r="N5892" s="28" t="s">
        <v>27636</v>
      </c>
      <c r="O5892" s="28" t="s">
        <v>27637</v>
      </c>
      <c r="P5892" s="28" t="s">
        <v>29427</v>
      </c>
    </row>
    <row r="5893" spans="1:16" x14ac:dyDescent="0.25">
      <c r="A5893" s="28" t="s">
        <v>29428</v>
      </c>
      <c r="B5893" s="28" t="s">
        <v>29429</v>
      </c>
      <c r="C5893" s="28" t="s">
        <v>29063</v>
      </c>
      <c r="D5893" s="28" t="s">
        <v>1204</v>
      </c>
      <c r="E5893" s="28" t="s">
        <v>29430</v>
      </c>
      <c r="F5893" s="28" t="s">
        <v>21</v>
      </c>
      <c r="G5893" s="28" t="s">
        <v>207</v>
      </c>
      <c r="H5893" s="28" t="s">
        <v>27631</v>
      </c>
      <c r="I5893" s="28" t="s">
        <v>29431</v>
      </c>
      <c r="J5893" s="28" t="s">
        <v>207</v>
      </c>
      <c r="K5893" s="28" t="s">
        <v>29066</v>
      </c>
      <c r="L5893" s="28" t="s">
        <v>27634</v>
      </c>
      <c r="M5893" s="28" t="s">
        <v>29432</v>
      </c>
      <c r="N5893" s="28" t="s">
        <v>27636</v>
      </c>
      <c r="O5893" s="28" t="s">
        <v>27637</v>
      </c>
      <c r="P5893" s="28" t="s">
        <v>29433</v>
      </c>
    </row>
    <row r="5894" spans="1:16" x14ac:dyDescent="0.25">
      <c r="A5894" s="28" t="s">
        <v>29434</v>
      </c>
      <c r="B5894" s="28" t="s">
        <v>29435</v>
      </c>
      <c r="C5894" s="28" t="s">
        <v>29063</v>
      </c>
      <c r="D5894" s="28" t="s">
        <v>1204</v>
      </c>
      <c r="E5894" s="28" t="s">
        <v>29436</v>
      </c>
      <c r="F5894" s="28" t="s">
        <v>21</v>
      </c>
      <c r="G5894" s="28" t="s">
        <v>207</v>
      </c>
      <c r="H5894" s="28" t="s">
        <v>27631</v>
      </c>
      <c r="I5894" s="28" t="s">
        <v>29437</v>
      </c>
      <c r="J5894" s="28" t="s">
        <v>207</v>
      </c>
      <c r="K5894" s="28" t="s">
        <v>29066</v>
      </c>
      <c r="L5894" s="28" t="s">
        <v>27634</v>
      </c>
      <c r="M5894" s="28" t="s">
        <v>29438</v>
      </c>
      <c r="N5894" s="28" t="s">
        <v>27636</v>
      </c>
      <c r="O5894" s="28" t="s">
        <v>27637</v>
      </c>
      <c r="P5894" s="28" t="s">
        <v>29439</v>
      </c>
    </row>
    <row r="5895" spans="1:16" x14ac:dyDescent="0.25">
      <c r="A5895" s="28" t="s">
        <v>29440</v>
      </c>
      <c r="B5895" s="28" t="s">
        <v>29441</v>
      </c>
      <c r="C5895" s="28" t="s">
        <v>29063</v>
      </c>
      <c r="D5895" s="28" t="s">
        <v>1204</v>
      </c>
      <c r="E5895" s="28" t="s">
        <v>29442</v>
      </c>
      <c r="F5895" s="28" t="s">
        <v>21</v>
      </c>
      <c r="G5895" s="28" t="s">
        <v>207</v>
      </c>
      <c r="H5895" s="28" t="s">
        <v>27631</v>
      </c>
      <c r="I5895" s="28" t="s">
        <v>29443</v>
      </c>
      <c r="J5895" s="28" t="s">
        <v>207</v>
      </c>
      <c r="K5895" s="28" t="s">
        <v>29066</v>
      </c>
      <c r="L5895" s="28" t="s">
        <v>27634</v>
      </c>
      <c r="M5895" s="28" t="s">
        <v>29444</v>
      </c>
      <c r="N5895" s="28" t="s">
        <v>27636</v>
      </c>
      <c r="O5895" s="28" t="s">
        <v>27637</v>
      </c>
      <c r="P5895" s="28" t="s">
        <v>29445</v>
      </c>
    </row>
    <row r="5896" spans="1:16" x14ac:dyDescent="0.25">
      <c r="A5896" s="28" t="s">
        <v>29446</v>
      </c>
      <c r="B5896" s="28" t="s">
        <v>29447</v>
      </c>
      <c r="C5896" s="28" t="s">
        <v>29063</v>
      </c>
      <c r="D5896" s="28" t="s">
        <v>1204</v>
      </c>
      <c r="E5896" s="28" t="s">
        <v>29448</v>
      </c>
      <c r="F5896" s="28" t="s">
        <v>21</v>
      </c>
      <c r="G5896" s="28" t="s">
        <v>207</v>
      </c>
      <c r="H5896" s="28" t="s">
        <v>27631</v>
      </c>
      <c r="I5896" s="28" t="s">
        <v>29449</v>
      </c>
      <c r="J5896" s="28" t="s">
        <v>207</v>
      </c>
      <c r="K5896" s="28" t="s">
        <v>29066</v>
      </c>
      <c r="L5896" s="28" t="s">
        <v>27634</v>
      </c>
      <c r="M5896" s="28" t="s">
        <v>29450</v>
      </c>
      <c r="N5896" s="28" t="s">
        <v>27636</v>
      </c>
      <c r="O5896" s="28" t="s">
        <v>27637</v>
      </c>
      <c r="P5896" s="28" t="s">
        <v>29451</v>
      </c>
    </row>
    <row r="5897" spans="1:16" x14ac:dyDescent="0.25">
      <c r="A5897" s="28" t="s">
        <v>29452</v>
      </c>
      <c r="B5897" s="28" t="s">
        <v>29453</v>
      </c>
      <c r="C5897" s="28" t="s">
        <v>29063</v>
      </c>
      <c r="D5897" s="28" t="s">
        <v>1204</v>
      </c>
      <c r="E5897" s="28" t="s">
        <v>29454</v>
      </c>
      <c r="F5897" s="28" t="s">
        <v>21</v>
      </c>
      <c r="G5897" s="28" t="s">
        <v>207</v>
      </c>
      <c r="H5897" s="28" t="s">
        <v>27631</v>
      </c>
      <c r="I5897" s="28" t="s">
        <v>29455</v>
      </c>
      <c r="J5897" s="28" t="s">
        <v>207</v>
      </c>
      <c r="K5897" s="28" t="s">
        <v>29066</v>
      </c>
      <c r="L5897" s="28" t="s">
        <v>27634</v>
      </c>
      <c r="M5897" s="28" t="s">
        <v>29456</v>
      </c>
      <c r="N5897" s="28" t="s">
        <v>27636</v>
      </c>
      <c r="O5897" s="28" t="s">
        <v>27637</v>
      </c>
      <c r="P5897" s="28" t="s">
        <v>29457</v>
      </c>
    </row>
    <row r="5898" spans="1:16" x14ac:dyDescent="0.25">
      <c r="A5898" s="28" t="s">
        <v>29458</v>
      </c>
      <c r="B5898" s="28" t="s">
        <v>29459</v>
      </c>
      <c r="C5898" s="28" t="s">
        <v>29063</v>
      </c>
      <c r="D5898" s="28" t="s">
        <v>1204</v>
      </c>
      <c r="E5898" s="28" t="s">
        <v>29460</v>
      </c>
      <c r="F5898" s="28" t="s">
        <v>21</v>
      </c>
      <c r="G5898" s="28" t="s">
        <v>207</v>
      </c>
      <c r="H5898" s="28" t="s">
        <v>27631</v>
      </c>
      <c r="I5898" s="28" t="s">
        <v>29461</v>
      </c>
      <c r="J5898" s="28" t="s">
        <v>207</v>
      </c>
      <c r="K5898" s="28" t="s">
        <v>29066</v>
      </c>
      <c r="L5898" s="28" t="s">
        <v>27634</v>
      </c>
      <c r="M5898" s="28" t="s">
        <v>29462</v>
      </c>
      <c r="N5898" s="28" t="s">
        <v>27636</v>
      </c>
      <c r="O5898" s="28" t="s">
        <v>27637</v>
      </c>
      <c r="P5898" s="28" t="s">
        <v>29463</v>
      </c>
    </row>
    <row r="5899" spans="1:16" x14ac:dyDescent="0.25">
      <c r="A5899" s="28" t="s">
        <v>29464</v>
      </c>
      <c r="B5899" s="28" t="s">
        <v>29465</v>
      </c>
      <c r="C5899" s="28" t="s">
        <v>29063</v>
      </c>
      <c r="D5899" s="28" t="s">
        <v>1204</v>
      </c>
      <c r="E5899" s="28" t="s">
        <v>12864</v>
      </c>
      <c r="F5899" s="28" t="s">
        <v>21</v>
      </c>
      <c r="G5899" s="28" t="s">
        <v>207</v>
      </c>
      <c r="H5899" s="28" t="s">
        <v>27631</v>
      </c>
      <c r="I5899" s="28" t="s">
        <v>29466</v>
      </c>
      <c r="J5899" s="28" t="s">
        <v>207</v>
      </c>
      <c r="K5899" s="28" t="s">
        <v>29066</v>
      </c>
      <c r="L5899" s="28" t="s">
        <v>27634</v>
      </c>
      <c r="M5899" s="28" t="s">
        <v>29467</v>
      </c>
      <c r="N5899" s="28" t="s">
        <v>27636</v>
      </c>
      <c r="O5899" s="28" t="s">
        <v>27637</v>
      </c>
      <c r="P5899" s="28" t="s">
        <v>29468</v>
      </c>
    </row>
    <row r="5900" spans="1:16" x14ac:dyDescent="0.25">
      <c r="A5900" s="28" t="s">
        <v>29469</v>
      </c>
      <c r="B5900" s="28" t="s">
        <v>29470</v>
      </c>
      <c r="C5900" s="28" t="s">
        <v>29063</v>
      </c>
      <c r="D5900" s="28" t="s">
        <v>1204</v>
      </c>
      <c r="E5900" s="28" t="s">
        <v>29471</v>
      </c>
      <c r="F5900" s="28" t="s">
        <v>21</v>
      </c>
      <c r="G5900" s="28" t="s">
        <v>207</v>
      </c>
      <c r="H5900" s="28" t="s">
        <v>27631</v>
      </c>
      <c r="I5900" s="28" t="s">
        <v>29472</v>
      </c>
      <c r="J5900" s="28" t="s">
        <v>207</v>
      </c>
      <c r="K5900" s="28" t="s">
        <v>29066</v>
      </c>
      <c r="L5900" s="28" t="s">
        <v>27634</v>
      </c>
      <c r="M5900" s="28" t="s">
        <v>29473</v>
      </c>
      <c r="N5900" s="28" t="s">
        <v>27636</v>
      </c>
      <c r="O5900" s="28" t="s">
        <v>27637</v>
      </c>
      <c r="P5900" s="28" t="s">
        <v>29474</v>
      </c>
    </row>
    <row r="5901" spans="1:16" x14ac:dyDescent="0.25">
      <c r="A5901" s="28" t="s">
        <v>29475</v>
      </c>
      <c r="B5901" s="28" t="s">
        <v>29476</v>
      </c>
      <c r="C5901" s="28" t="s">
        <v>29063</v>
      </c>
      <c r="D5901" s="28" t="s">
        <v>1204</v>
      </c>
      <c r="E5901" s="28" t="s">
        <v>29477</v>
      </c>
      <c r="F5901" s="28" t="s">
        <v>21</v>
      </c>
      <c r="G5901" s="28" t="s">
        <v>207</v>
      </c>
      <c r="H5901" s="28" t="s">
        <v>27631</v>
      </c>
      <c r="I5901" s="28" t="s">
        <v>29478</v>
      </c>
      <c r="J5901" s="28" t="s">
        <v>207</v>
      </c>
      <c r="K5901" s="28" t="s">
        <v>29066</v>
      </c>
      <c r="L5901" s="28" t="s">
        <v>27634</v>
      </c>
      <c r="M5901" s="28" t="s">
        <v>29479</v>
      </c>
      <c r="N5901" s="28" t="s">
        <v>27636</v>
      </c>
      <c r="O5901" s="28" t="s">
        <v>27637</v>
      </c>
      <c r="P5901" s="28" t="s">
        <v>29480</v>
      </c>
    </row>
    <row r="5902" spans="1:16" x14ac:dyDescent="0.25">
      <c r="A5902" s="28" t="s">
        <v>29481</v>
      </c>
      <c r="B5902" s="28" t="s">
        <v>29482</v>
      </c>
      <c r="C5902" s="28" t="s">
        <v>29063</v>
      </c>
      <c r="D5902" s="28" t="s">
        <v>1204</v>
      </c>
      <c r="E5902" s="28" t="s">
        <v>29483</v>
      </c>
      <c r="F5902" s="28" t="s">
        <v>21</v>
      </c>
      <c r="G5902" s="28" t="s">
        <v>207</v>
      </c>
      <c r="H5902" s="28" t="s">
        <v>27631</v>
      </c>
      <c r="I5902" s="28" t="s">
        <v>29484</v>
      </c>
      <c r="J5902" s="28" t="s">
        <v>207</v>
      </c>
      <c r="K5902" s="28" t="s">
        <v>29066</v>
      </c>
      <c r="L5902" s="28" t="s">
        <v>27634</v>
      </c>
      <c r="M5902" s="28" t="s">
        <v>29485</v>
      </c>
      <c r="N5902" s="28" t="s">
        <v>27636</v>
      </c>
      <c r="O5902" s="28" t="s">
        <v>27637</v>
      </c>
      <c r="P5902" s="28" t="s">
        <v>29486</v>
      </c>
    </row>
    <row r="5903" spans="1:16" x14ac:dyDescent="0.25">
      <c r="A5903" s="28" t="s">
        <v>29487</v>
      </c>
      <c r="B5903" s="28" t="s">
        <v>29488</v>
      </c>
      <c r="C5903" s="28" t="s">
        <v>29063</v>
      </c>
      <c r="D5903" s="28" t="s">
        <v>1204</v>
      </c>
      <c r="E5903" s="28" t="s">
        <v>29489</v>
      </c>
      <c r="F5903" s="28" t="s">
        <v>21</v>
      </c>
      <c r="G5903" s="28" t="s">
        <v>207</v>
      </c>
      <c r="H5903" s="28" t="s">
        <v>27631</v>
      </c>
      <c r="I5903" s="28" t="s">
        <v>29490</v>
      </c>
      <c r="J5903" s="28" t="s">
        <v>207</v>
      </c>
      <c r="K5903" s="28" t="s">
        <v>29066</v>
      </c>
      <c r="L5903" s="28" t="s">
        <v>27634</v>
      </c>
      <c r="M5903" s="28" t="s">
        <v>29491</v>
      </c>
      <c r="N5903" s="28" t="s">
        <v>27636</v>
      </c>
      <c r="O5903" s="28" t="s">
        <v>27637</v>
      </c>
      <c r="P5903" s="28" t="s">
        <v>29492</v>
      </c>
    </row>
    <row r="5904" spans="1:16" x14ac:dyDescent="0.25">
      <c r="A5904" s="28" t="s">
        <v>29493</v>
      </c>
      <c r="B5904" s="28" t="s">
        <v>29494</v>
      </c>
      <c r="C5904" s="28" t="s">
        <v>29063</v>
      </c>
      <c r="D5904" s="28" t="s">
        <v>1204</v>
      </c>
      <c r="E5904" s="28" t="s">
        <v>29495</v>
      </c>
      <c r="F5904" s="28" t="s">
        <v>21</v>
      </c>
      <c r="G5904" s="28" t="s">
        <v>207</v>
      </c>
      <c r="H5904" s="28" t="s">
        <v>27631</v>
      </c>
      <c r="I5904" s="28" t="s">
        <v>29496</v>
      </c>
      <c r="J5904" s="28" t="s">
        <v>207</v>
      </c>
      <c r="K5904" s="28" t="s">
        <v>29066</v>
      </c>
      <c r="L5904" s="28" t="s">
        <v>27634</v>
      </c>
      <c r="M5904" s="28" t="s">
        <v>29497</v>
      </c>
      <c r="N5904" s="28" t="s">
        <v>27636</v>
      </c>
      <c r="O5904" s="28" t="s">
        <v>27637</v>
      </c>
      <c r="P5904" s="28" t="s">
        <v>29498</v>
      </c>
    </row>
    <row r="5905" spans="1:16" x14ac:dyDescent="0.25">
      <c r="A5905" s="28" t="s">
        <v>29499</v>
      </c>
      <c r="B5905" s="28" t="s">
        <v>29500</v>
      </c>
      <c r="C5905" s="28" t="s">
        <v>29063</v>
      </c>
      <c r="D5905" s="28" t="s">
        <v>1204</v>
      </c>
      <c r="E5905" s="28" t="s">
        <v>29501</v>
      </c>
      <c r="F5905" s="28" t="s">
        <v>21</v>
      </c>
      <c r="G5905" s="28" t="s">
        <v>207</v>
      </c>
      <c r="H5905" s="28" t="s">
        <v>27631</v>
      </c>
      <c r="I5905" s="28" t="s">
        <v>29502</v>
      </c>
      <c r="J5905" s="28" t="s">
        <v>207</v>
      </c>
      <c r="K5905" s="28" t="s">
        <v>29066</v>
      </c>
      <c r="L5905" s="28" t="s">
        <v>27634</v>
      </c>
      <c r="M5905" s="28" t="s">
        <v>29503</v>
      </c>
      <c r="N5905" s="28" t="s">
        <v>27636</v>
      </c>
      <c r="O5905" s="28" t="s">
        <v>27637</v>
      </c>
      <c r="P5905" s="28" t="s">
        <v>29504</v>
      </c>
    </row>
    <row r="5906" spans="1:16" x14ac:dyDescent="0.25">
      <c r="A5906" s="28" t="s">
        <v>29505</v>
      </c>
      <c r="B5906" s="28" t="s">
        <v>29506</v>
      </c>
      <c r="C5906" s="28" t="s">
        <v>29063</v>
      </c>
      <c r="D5906" s="28" t="s">
        <v>1204</v>
      </c>
      <c r="E5906" s="28" t="s">
        <v>29507</v>
      </c>
      <c r="F5906" s="28" t="s">
        <v>21</v>
      </c>
      <c r="G5906" s="28" t="s">
        <v>207</v>
      </c>
      <c r="H5906" s="28" t="s">
        <v>27631</v>
      </c>
      <c r="I5906" s="28" t="s">
        <v>29508</v>
      </c>
      <c r="J5906" s="28" t="s">
        <v>207</v>
      </c>
      <c r="K5906" s="28" t="s">
        <v>29066</v>
      </c>
      <c r="L5906" s="28" t="s">
        <v>27634</v>
      </c>
      <c r="M5906" s="28" t="s">
        <v>29509</v>
      </c>
      <c r="N5906" s="28" t="s">
        <v>27636</v>
      </c>
      <c r="O5906" s="28" t="s">
        <v>27637</v>
      </c>
      <c r="P5906" s="28" t="s">
        <v>29510</v>
      </c>
    </row>
    <row r="5907" spans="1:16" x14ac:dyDescent="0.25">
      <c r="A5907" s="28" t="s">
        <v>29511</v>
      </c>
      <c r="B5907" s="28" t="s">
        <v>29512</v>
      </c>
      <c r="C5907" s="28" t="s">
        <v>29063</v>
      </c>
      <c r="D5907" s="28" t="s">
        <v>1204</v>
      </c>
      <c r="E5907" s="28" t="s">
        <v>29513</v>
      </c>
      <c r="F5907" s="28" t="s">
        <v>21</v>
      </c>
      <c r="G5907" s="28" t="s">
        <v>207</v>
      </c>
      <c r="H5907" s="28" t="s">
        <v>27631</v>
      </c>
      <c r="I5907" s="28" t="s">
        <v>29514</v>
      </c>
      <c r="J5907" s="28" t="s">
        <v>207</v>
      </c>
      <c r="K5907" s="28" t="s">
        <v>29066</v>
      </c>
      <c r="L5907" s="28" t="s">
        <v>27634</v>
      </c>
      <c r="M5907" s="28" t="s">
        <v>29515</v>
      </c>
      <c r="N5907" s="28" t="s">
        <v>27636</v>
      </c>
      <c r="O5907" s="28" t="s">
        <v>27637</v>
      </c>
      <c r="P5907" s="28" t="s">
        <v>29516</v>
      </c>
    </row>
    <row r="5908" spans="1:16" x14ac:dyDescent="0.25">
      <c r="A5908" s="28" t="s">
        <v>29517</v>
      </c>
      <c r="B5908" s="28" t="s">
        <v>29518</v>
      </c>
      <c r="C5908" s="28" t="s">
        <v>29063</v>
      </c>
      <c r="D5908" s="28" t="s">
        <v>1204</v>
      </c>
      <c r="E5908" s="28" t="s">
        <v>29519</v>
      </c>
      <c r="F5908" s="28" t="s">
        <v>21</v>
      </c>
      <c r="G5908" s="28" t="s">
        <v>207</v>
      </c>
      <c r="H5908" s="28" t="s">
        <v>27631</v>
      </c>
      <c r="I5908" s="28" t="s">
        <v>29520</v>
      </c>
      <c r="J5908" s="28" t="s">
        <v>207</v>
      </c>
      <c r="K5908" s="28" t="s">
        <v>29066</v>
      </c>
      <c r="L5908" s="28" t="s">
        <v>27634</v>
      </c>
      <c r="M5908" s="28" t="s">
        <v>29521</v>
      </c>
      <c r="N5908" s="28" t="s">
        <v>27636</v>
      </c>
      <c r="O5908" s="28" t="s">
        <v>27637</v>
      </c>
      <c r="P5908" s="28" t="s">
        <v>29522</v>
      </c>
    </row>
    <row r="5909" spans="1:16" x14ac:dyDescent="0.25">
      <c r="A5909" s="28" t="s">
        <v>29523</v>
      </c>
      <c r="B5909" s="28" t="s">
        <v>29524</v>
      </c>
      <c r="C5909" s="28" t="s">
        <v>29063</v>
      </c>
      <c r="D5909" s="28" t="s">
        <v>1204</v>
      </c>
      <c r="E5909" s="28" t="s">
        <v>29525</v>
      </c>
      <c r="F5909" s="28" t="s">
        <v>21</v>
      </c>
      <c r="G5909" s="28" t="s">
        <v>207</v>
      </c>
      <c r="H5909" s="28" t="s">
        <v>27631</v>
      </c>
      <c r="I5909" s="28" t="s">
        <v>29526</v>
      </c>
      <c r="J5909" s="28" t="s">
        <v>207</v>
      </c>
      <c r="K5909" s="28" t="s">
        <v>29066</v>
      </c>
      <c r="L5909" s="28" t="s">
        <v>27634</v>
      </c>
      <c r="M5909" s="28" t="s">
        <v>29527</v>
      </c>
      <c r="N5909" s="28" t="s">
        <v>27636</v>
      </c>
      <c r="O5909" s="28" t="s">
        <v>27637</v>
      </c>
      <c r="P5909" s="28" t="s">
        <v>29528</v>
      </c>
    </row>
    <row r="5910" spans="1:16" x14ac:dyDescent="0.25">
      <c r="A5910" s="28" t="s">
        <v>29529</v>
      </c>
      <c r="B5910" s="28" t="s">
        <v>29530</v>
      </c>
      <c r="C5910" s="28" t="s">
        <v>29063</v>
      </c>
      <c r="D5910" s="28" t="s">
        <v>1204</v>
      </c>
      <c r="E5910" s="28" t="s">
        <v>29531</v>
      </c>
      <c r="F5910" s="28" t="s">
        <v>21</v>
      </c>
      <c r="G5910" s="28" t="s">
        <v>207</v>
      </c>
      <c r="H5910" s="28" t="s">
        <v>27631</v>
      </c>
      <c r="I5910" s="28" t="s">
        <v>29532</v>
      </c>
      <c r="J5910" s="28" t="s">
        <v>207</v>
      </c>
      <c r="K5910" s="28" t="s">
        <v>29066</v>
      </c>
      <c r="L5910" s="28" t="s">
        <v>27634</v>
      </c>
      <c r="M5910" s="28" t="s">
        <v>29533</v>
      </c>
      <c r="N5910" s="28" t="s">
        <v>27636</v>
      </c>
      <c r="O5910" s="28" t="s">
        <v>27637</v>
      </c>
      <c r="P5910" s="28" t="s">
        <v>29534</v>
      </c>
    </row>
    <row r="5911" spans="1:16" x14ac:dyDescent="0.25">
      <c r="A5911" s="28" t="s">
        <v>29535</v>
      </c>
      <c r="B5911" s="28" t="s">
        <v>29536</v>
      </c>
      <c r="C5911" s="28" t="s">
        <v>29063</v>
      </c>
      <c r="D5911" s="28" t="s">
        <v>1204</v>
      </c>
      <c r="E5911" s="28" t="s">
        <v>29537</v>
      </c>
      <c r="F5911" s="28" t="s">
        <v>21</v>
      </c>
      <c r="G5911" s="28" t="s">
        <v>207</v>
      </c>
      <c r="H5911" s="28" t="s">
        <v>27631</v>
      </c>
      <c r="I5911" s="28" t="s">
        <v>29538</v>
      </c>
      <c r="J5911" s="28" t="s">
        <v>207</v>
      </c>
      <c r="K5911" s="28" t="s">
        <v>29066</v>
      </c>
      <c r="L5911" s="28" t="s">
        <v>27634</v>
      </c>
      <c r="M5911" s="28" t="s">
        <v>29539</v>
      </c>
      <c r="N5911" s="28" t="s">
        <v>27636</v>
      </c>
      <c r="O5911" s="28" t="s">
        <v>27637</v>
      </c>
      <c r="P5911" s="28" t="s">
        <v>29540</v>
      </c>
    </row>
    <row r="5912" spans="1:16" x14ac:dyDescent="0.25">
      <c r="A5912" s="28" t="s">
        <v>29541</v>
      </c>
      <c r="B5912" s="28" t="s">
        <v>29542</v>
      </c>
      <c r="C5912" s="28" t="s">
        <v>29063</v>
      </c>
      <c r="D5912" s="28" t="s">
        <v>1204</v>
      </c>
      <c r="E5912" s="28" t="s">
        <v>29543</v>
      </c>
      <c r="F5912" s="28" t="s">
        <v>21</v>
      </c>
      <c r="G5912" s="28" t="s">
        <v>207</v>
      </c>
      <c r="H5912" s="28" t="s">
        <v>27631</v>
      </c>
      <c r="I5912" s="28" t="s">
        <v>29544</v>
      </c>
      <c r="J5912" s="28" t="s">
        <v>207</v>
      </c>
      <c r="K5912" s="28" t="s">
        <v>29066</v>
      </c>
      <c r="L5912" s="28" t="s">
        <v>27634</v>
      </c>
      <c r="M5912" s="28" t="s">
        <v>29545</v>
      </c>
      <c r="N5912" s="28" t="s">
        <v>27636</v>
      </c>
      <c r="O5912" s="28" t="s">
        <v>27637</v>
      </c>
      <c r="P5912" s="28" t="s">
        <v>29546</v>
      </c>
    </row>
    <row r="5913" spans="1:16" x14ac:dyDescent="0.25">
      <c r="A5913" s="28" t="s">
        <v>29547</v>
      </c>
      <c r="B5913" s="28" t="s">
        <v>29548</v>
      </c>
      <c r="C5913" s="28" t="s">
        <v>29063</v>
      </c>
      <c r="D5913" s="28" t="s">
        <v>1204</v>
      </c>
      <c r="E5913" s="28" t="s">
        <v>29549</v>
      </c>
      <c r="F5913" s="28" t="s">
        <v>21</v>
      </c>
      <c r="G5913" s="28" t="s">
        <v>207</v>
      </c>
      <c r="H5913" s="28" t="s">
        <v>27631</v>
      </c>
      <c r="I5913" s="28" t="s">
        <v>29550</v>
      </c>
      <c r="J5913" s="28" t="s">
        <v>207</v>
      </c>
      <c r="K5913" s="28" t="s">
        <v>29066</v>
      </c>
      <c r="L5913" s="28" t="s">
        <v>27634</v>
      </c>
      <c r="M5913" s="28" t="s">
        <v>29551</v>
      </c>
      <c r="N5913" s="28" t="s">
        <v>27636</v>
      </c>
      <c r="O5913" s="28" t="s">
        <v>27637</v>
      </c>
      <c r="P5913" s="28" t="s">
        <v>29552</v>
      </c>
    </row>
    <row r="5914" spans="1:16" x14ac:dyDescent="0.25">
      <c r="A5914" s="28" t="s">
        <v>29553</v>
      </c>
      <c r="B5914" s="28" t="s">
        <v>29554</v>
      </c>
      <c r="C5914" s="28" t="s">
        <v>29063</v>
      </c>
      <c r="D5914" s="28" t="s">
        <v>1204</v>
      </c>
      <c r="E5914" s="28" t="s">
        <v>29555</v>
      </c>
      <c r="F5914" s="28" t="s">
        <v>21</v>
      </c>
      <c r="G5914" s="28" t="s">
        <v>207</v>
      </c>
      <c r="H5914" s="28" t="s">
        <v>27631</v>
      </c>
      <c r="I5914" s="28" t="s">
        <v>29556</v>
      </c>
      <c r="J5914" s="28" t="s">
        <v>207</v>
      </c>
      <c r="K5914" s="28" t="s">
        <v>29066</v>
      </c>
      <c r="L5914" s="28" t="s">
        <v>27634</v>
      </c>
      <c r="M5914" s="28" t="s">
        <v>29557</v>
      </c>
      <c r="N5914" s="28" t="s">
        <v>27636</v>
      </c>
      <c r="O5914" s="28" t="s">
        <v>27637</v>
      </c>
      <c r="P5914" s="28" t="s">
        <v>29558</v>
      </c>
    </row>
    <row r="5915" spans="1:16" x14ac:dyDescent="0.25">
      <c r="A5915" s="28" t="s">
        <v>29559</v>
      </c>
      <c r="B5915" s="28" t="s">
        <v>29560</v>
      </c>
      <c r="C5915" s="28" t="s">
        <v>29063</v>
      </c>
      <c r="D5915" s="28" t="s">
        <v>1204</v>
      </c>
      <c r="E5915" s="28" t="s">
        <v>29561</v>
      </c>
      <c r="F5915" s="28" t="s">
        <v>21</v>
      </c>
      <c r="G5915" s="28" t="s">
        <v>207</v>
      </c>
      <c r="H5915" s="28" t="s">
        <v>27631</v>
      </c>
      <c r="I5915" s="28" t="s">
        <v>29562</v>
      </c>
      <c r="J5915" s="28" t="s">
        <v>207</v>
      </c>
      <c r="K5915" s="28" t="s">
        <v>29066</v>
      </c>
      <c r="L5915" s="28" t="s">
        <v>27634</v>
      </c>
      <c r="M5915" s="28" t="s">
        <v>29563</v>
      </c>
      <c r="N5915" s="28" t="s">
        <v>27636</v>
      </c>
      <c r="O5915" s="28" t="s">
        <v>27637</v>
      </c>
      <c r="P5915" s="28" t="s">
        <v>29564</v>
      </c>
    </row>
    <row r="5916" spans="1:16" x14ac:dyDescent="0.25">
      <c r="A5916" s="28" t="s">
        <v>29565</v>
      </c>
      <c r="B5916" s="28" t="s">
        <v>29566</v>
      </c>
      <c r="C5916" s="28" t="s">
        <v>29063</v>
      </c>
      <c r="D5916" s="28" t="s">
        <v>1204</v>
      </c>
      <c r="E5916" s="28" t="s">
        <v>29567</v>
      </c>
      <c r="F5916" s="28" t="s">
        <v>21</v>
      </c>
      <c r="G5916" s="28" t="s">
        <v>207</v>
      </c>
      <c r="H5916" s="28" t="s">
        <v>27631</v>
      </c>
      <c r="I5916" s="28" t="s">
        <v>29568</v>
      </c>
      <c r="J5916" s="28" t="s">
        <v>207</v>
      </c>
      <c r="K5916" s="28" t="s">
        <v>29066</v>
      </c>
      <c r="L5916" s="28" t="s">
        <v>27634</v>
      </c>
      <c r="M5916" s="28" t="s">
        <v>29569</v>
      </c>
      <c r="N5916" s="28" t="s">
        <v>27636</v>
      </c>
      <c r="O5916" s="28" t="s">
        <v>27637</v>
      </c>
      <c r="P5916" s="28" t="s">
        <v>29570</v>
      </c>
    </row>
    <row r="5917" spans="1:16" x14ac:dyDescent="0.25">
      <c r="A5917" s="28" t="s">
        <v>29571</v>
      </c>
      <c r="B5917" s="28" t="s">
        <v>29572</v>
      </c>
      <c r="C5917" s="28" t="s">
        <v>29063</v>
      </c>
      <c r="D5917" s="28" t="s">
        <v>1204</v>
      </c>
      <c r="E5917" s="28" t="s">
        <v>29573</v>
      </c>
      <c r="F5917" s="28" t="s">
        <v>21</v>
      </c>
      <c r="G5917" s="28" t="s">
        <v>207</v>
      </c>
      <c r="H5917" s="28" t="s">
        <v>27631</v>
      </c>
      <c r="I5917" s="28" t="s">
        <v>29574</v>
      </c>
      <c r="J5917" s="28" t="s">
        <v>207</v>
      </c>
      <c r="K5917" s="28" t="s">
        <v>29066</v>
      </c>
      <c r="L5917" s="28" t="s">
        <v>27634</v>
      </c>
      <c r="M5917" s="28" t="s">
        <v>29575</v>
      </c>
      <c r="N5917" s="28" t="s">
        <v>27636</v>
      </c>
      <c r="O5917" s="28" t="s">
        <v>27637</v>
      </c>
      <c r="P5917" s="28" t="s">
        <v>29576</v>
      </c>
    </row>
    <row r="5918" spans="1:16" x14ac:dyDescent="0.25">
      <c r="A5918" s="28" t="s">
        <v>29577</v>
      </c>
      <c r="B5918" s="28" t="s">
        <v>29578</v>
      </c>
      <c r="C5918" s="28" t="s">
        <v>29063</v>
      </c>
      <c r="D5918" s="28" t="s">
        <v>1204</v>
      </c>
      <c r="E5918" s="28" t="s">
        <v>29579</v>
      </c>
      <c r="F5918" s="28" t="s">
        <v>21</v>
      </c>
      <c r="G5918" s="28" t="s">
        <v>207</v>
      </c>
      <c r="H5918" s="28" t="s">
        <v>27631</v>
      </c>
      <c r="I5918" s="28" t="s">
        <v>29580</v>
      </c>
      <c r="J5918" s="28" t="s">
        <v>207</v>
      </c>
      <c r="K5918" s="28" t="s">
        <v>29066</v>
      </c>
      <c r="L5918" s="28" t="s">
        <v>27634</v>
      </c>
      <c r="M5918" s="28" t="s">
        <v>29581</v>
      </c>
      <c r="N5918" s="28" t="s">
        <v>27636</v>
      </c>
      <c r="O5918" s="28" t="s">
        <v>27637</v>
      </c>
      <c r="P5918" s="28" t="s">
        <v>29582</v>
      </c>
    </row>
    <row r="5919" spans="1:16" x14ac:dyDescent="0.25">
      <c r="A5919" s="28" t="s">
        <v>29583</v>
      </c>
      <c r="B5919" s="28" t="s">
        <v>29584</v>
      </c>
      <c r="C5919" s="28" t="s">
        <v>29063</v>
      </c>
      <c r="D5919" s="28" t="s">
        <v>1204</v>
      </c>
      <c r="E5919" s="28" t="s">
        <v>29585</v>
      </c>
      <c r="F5919" s="28" t="s">
        <v>21</v>
      </c>
      <c r="G5919" s="28" t="s">
        <v>207</v>
      </c>
      <c r="H5919" s="28" t="s">
        <v>27631</v>
      </c>
      <c r="I5919" s="28" t="s">
        <v>29586</v>
      </c>
      <c r="J5919" s="28" t="s">
        <v>207</v>
      </c>
      <c r="K5919" s="28" t="s">
        <v>29066</v>
      </c>
      <c r="L5919" s="28" t="s">
        <v>27634</v>
      </c>
      <c r="M5919" s="28" t="s">
        <v>29587</v>
      </c>
      <c r="N5919" s="28" t="s">
        <v>27636</v>
      </c>
      <c r="O5919" s="28" t="s">
        <v>27637</v>
      </c>
      <c r="P5919" s="28" t="s">
        <v>29588</v>
      </c>
    </row>
    <row r="5920" spans="1:16" x14ac:dyDescent="0.25">
      <c r="A5920" s="28" t="s">
        <v>29589</v>
      </c>
      <c r="B5920" s="28" t="s">
        <v>29590</v>
      </c>
      <c r="C5920" s="28" t="s">
        <v>29063</v>
      </c>
      <c r="D5920" s="28" t="s">
        <v>1204</v>
      </c>
      <c r="E5920" s="28" t="s">
        <v>12870</v>
      </c>
      <c r="F5920" s="28" t="s">
        <v>21</v>
      </c>
      <c r="G5920" s="28" t="s">
        <v>207</v>
      </c>
      <c r="H5920" s="28" t="s">
        <v>27631</v>
      </c>
      <c r="I5920" s="28" t="s">
        <v>29591</v>
      </c>
      <c r="J5920" s="28" t="s">
        <v>207</v>
      </c>
      <c r="K5920" s="28" t="s">
        <v>29066</v>
      </c>
      <c r="L5920" s="28" t="s">
        <v>27634</v>
      </c>
      <c r="M5920" s="28" t="s">
        <v>29592</v>
      </c>
      <c r="N5920" s="28" t="s">
        <v>27636</v>
      </c>
      <c r="O5920" s="28" t="s">
        <v>27637</v>
      </c>
      <c r="P5920" s="28" t="s">
        <v>29593</v>
      </c>
    </row>
    <row r="5921" spans="1:16" x14ac:dyDescent="0.25">
      <c r="A5921" s="28" t="s">
        <v>29594</v>
      </c>
      <c r="B5921" s="28" t="s">
        <v>29595</v>
      </c>
      <c r="C5921" s="28" t="s">
        <v>29063</v>
      </c>
      <c r="D5921" s="28" t="s">
        <v>1204</v>
      </c>
      <c r="E5921" s="28" t="s">
        <v>12876</v>
      </c>
      <c r="F5921" s="28" t="s">
        <v>21</v>
      </c>
      <c r="G5921" s="28" t="s">
        <v>207</v>
      </c>
      <c r="H5921" s="28" t="s">
        <v>27631</v>
      </c>
      <c r="I5921" s="28" t="s">
        <v>29596</v>
      </c>
      <c r="J5921" s="28" t="s">
        <v>207</v>
      </c>
      <c r="K5921" s="28" t="s">
        <v>29066</v>
      </c>
      <c r="L5921" s="28" t="s">
        <v>27634</v>
      </c>
      <c r="M5921" s="28" t="s">
        <v>29597</v>
      </c>
      <c r="N5921" s="28" t="s">
        <v>27636</v>
      </c>
      <c r="O5921" s="28" t="s">
        <v>27637</v>
      </c>
      <c r="P5921" s="28" t="s">
        <v>29598</v>
      </c>
    </row>
    <row r="5922" spans="1:16" x14ac:dyDescent="0.25">
      <c r="A5922" s="28" t="s">
        <v>29599</v>
      </c>
      <c r="B5922" s="28" t="s">
        <v>29600</v>
      </c>
      <c r="C5922" s="28" t="s">
        <v>29063</v>
      </c>
      <c r="D5922" s="28" t="s">
        <v>1204</v>
      </c>
      <c r="E5922" s="28" t="s">
        <v>29601</v>
      </c>
      <c r="F5922" s="28" t="s">
        <v>21</v>
      </c>
      <c r="G5922" s="28" t="s">
        <v>207</v>
      </c>
      <c r="H5922" s="28" t="s">
        <v>27631</v>
      </c>
      <c r="I5922" s="28" t="s">
        <v>29602</v>
      </c>
      <c r="J5922" s="28" t="s">
        <v>207</v>
      </c>
      <c r="K5922" s="28" t="s">
        <v>29066</v>
      </c>
      <c r="L5922" s="28" t="s">
        <v>27634</v>
      </c>
      <c r="M5922" s="28" t="s">
        <v>29603</v>
      </c>
      <c r="N5922" s="28" t="s">
        <v>27636</v>
      </c>
      <c r="O5922" s="28" t="s">
        <v>27637</v>
      </c>
      <c r="P5922" s="28" t="s">
        <v>29604</v>
      </c>
    </row>
    <row r="5923" spans="1:16" x14ac:dyDescent="0.25">
      <c r="A5923" s="28" t="s">
        <v>29605</v>
      </c>
      <c r="B5923" s="28" t="s">
        <v>29606</v>
      </c>
      <c r="C5923" s="28" t="s">
        <v>29063</v>
      </c>
      <c r="D5923" s="28" t="s">
        <v>1204</v>
      </c>
      <c r="E5923" s="28" t="s">
        <v>29607</v>
      </c>
      <c r="F5923" s="28" t="s">
        <v>21</v>
      </c>
      <c r="G5923" s="28" t="s">
        <v>207</v>
      </c>
      <c r="H5923" s="28" t="s">
        <v>27631</v>
      </c>
      <c r="I5923" s="28" t="s">
        <v>29608</v>
      </c>
      <c r="J5923" s="28" t="s">
        <v>207</v>
      </c>
      <c r="K5923" s="28" t="s">
        <v>29066</v>
      </c>
      <c r="L5923" s="28" t="s">
        <v>27634</v>
      </c>
      <c r="M5923" s="28" t="s">
        <v>29609</v>
      </c>
      <c r="N5923" s="28" t="s">
        <v>27636</v>
      </c>
      <c r="O5923" s="28" t="s">
        <v>27637</v>
      </c>
      <c r="P5923" s="28" t="s">
        <v>29610</v>
      </c>
    </row>
    <row r="5924" spans="1:16" x14ac:dyDescent="0.25">
      <c r="A5924" s="28" t="s">
        <v>29611</v>
      </c>
      <c r="B5924" s="28" t="s">
        <v>29612</v>
      </c>
      <c r="C5924" s="28" t="s">
        <v>29063</v>
      </c>
      <c r="D5924" s="28" t="s">
        <v>1204</v>
      </c>
      <c r="E5924" s="28" t="s">
        <v>29613</v>
      </c>
      <c r="F5924" s="28" t="s">
        <v>21</v>
      </c>
      <c r="G5924" s="28" t="s">
        <v>207</v>
      </c>
      <c r="H5924" s="28" t="s">
        <v>27631</v>
      </c>
      <c r="I5924" s="28" t="s">
        <v>29614</v>
      </c>
      <c r="J5924" s="28" t="s">
        <v>207</v>
      </c>
      <c r="K5924" s="28" t="s">
        <v>29066</v>
      </c>
      <c r="L5924" s="28" t="s">
        <v>27634</v>
      </c>
      <c r="M5924" s="28" t="s">
        <v>29615</v>
      </c>
      <c r="N5924" s="28" t="s">
        <v>27636</v>
      </c>
      <c r="O5924" s="28" t="s">
        <v>27637</v>
      </c>
      <c r="P5924" s="28" t="s">
        <v>29616</v>
      </c>
    </row>
    <row r="5925" spans="1:16" x14ac:dyDescent="0.25">
      <c r="A5925" s="28" t="s">
        <v>29617</v>
      </c>
      <c r="B5925" s="28" t="s">
        <v>29618</v>
      </c>
      <c r="C5925" s="28" t="s">
        <v>29063</v>
      </c>
      <c r="D5925" s="28" t="s">
        <v>1204</v>
      </c>
      <c r="E5925" s="28" t="s">
        <v>29619</v>
      </c>
      <c r="F5925" s="28" t="s">
        <v>21</v>
      </c>
      <c r="G5925" s="28" t="s">
        <v>207</v>
      </c>
      <c r="H5925" s="28" t="s">
        <v>27631</v>
      </c>
      <c r="I5925" s="28" t="s">
        <v>29620</v>
      </c>
      <c r="J5925" s="28" t="s">
        <v>207</v>
      </c>
      <c r="K5925" s="28" t="s">
        <v>29066</v>
      </c>
      <c r="L5925" s="28" t="s">
        <v>27634</v>
      </c>
      <c r="M5925" s="28" t="s">
        <v>29621</v>
      </c>
      <c r="N5925" s="28" t="s">
        <v>27636</v>
      </c>
      <c r="O5925" s="28" t="s">
        <v>27637</v>
      </c>
      <c r="P5925" s="28" t="s">
        <v>29622</v>
      </c>
    </row>
    <row r="5926" spans="1:16" x14ac:dyDescent="0.25">
      <c r="A5926" s="28" t="s">
        <v>29623</v>
      </c>
      <c r="B5926" s="28" t="s">
        <v>29624</v>
      </c>
      <c r="C5926" s="28" t="s">
        <v>29063</v>
      </c>
      <c r="D5926" s="28" t="s">
        <v>1204</v>
      </c>
      <c r="E5926" s="28" t="s">
        <v>29625</v>
      </c>
      <c r="F5926" s="28" t="s">
        <v>21</v>
      </c>
      <c r="G5926" s="28" t="s">
        <v>207</v>
      </c>
      <c r="H5926" s="28" t="s">
        <v>27631</v>
      </c>
      <c r="I5926" s="28" t="s">
        <v>29626</v>
      </c>
      <c r="J5926" s="28" t="s">
        <v>207</v>
      </c>
      <c r="K5926" s="28" t="s">
        <v>29066</v>
      </c>
      <c r="L5926" s="28" t="s">
        <v>27634</v>
      </c>
      <c r="M5926" s="28" t="s">
        <v>29627</v>
      </c>
      <c r="N5926" s="28" t="s">
        <v>27636</v>
      </c>
      <c r="O5926" s="28" t="s">
        <v>27637</v>
      </c>
      <c r="P5926" s="28" t="s">
        <v>29628</v>
      </c>
    </row>
    <row r="5927" spans="1:16" x14ac:dyDescent="0.25">
      <c r="A5927" s="28" t="s">
        <v>29629</v>
      </c>
      <c r="B5927" s="28" t="s">
        <v>29630</v>
      </c>
      <c r="C5927" s="28" t="s">
        <v>29063</v>
      </c>
      <c r="D5927" s="28" t="s">
        <v>1204</v>
      </c>
      <c r="E5927" s="28" t="s">
        <v>29631</v>
      </c>
      <c r="F5927" s="28" t="s">
        <v>21</v>
      </c>
      <c r="G5927" s="28" t="s">
        <v>207</v>
      </c>
      <c r="H5927" s="28" t="s">
        <v>27631</v>
      </c>
      <c r="I5927" s="28" t="s">
        <v>29632</v>
      </c>
      <c r="J5927" s="28" t="s">
        <v>207</v>
      </c>
      <c r="K5927" s="28" t="s">
        <v>29066</v>
      </c>
      <c r="L5927" s="28" t="s">
        <v>27634</v>
      </c>
      <c r="M5927" s="28" t="s">
        <v>29633</v>
      </c>
      <c r="N5927" s="28" t="s">
        <v>27636</v>
      </c>
      <c r="O5927" s="28" t="s">
        <v>27637</v>
      </c>
      <c r="P5927" s="28" t="s">
        <v>29634</v>
      </c>
    </row>
    <row r="5928" spans="1:16" x14ac:dyDescent="0.25">
      <c r="A5928" s="28" t="s">
        <v>29635</v>
      </c>
      <c r="B5928" s="28" t="s">
        <v>29636</v>
      </c>
      <c r="C5928" s="28" t="s">
        <v>29063</v>
      </c>
      <c r="D5928" s="28" t="s">
        <v>1204</v>
      </c>
      <c r="E5928" s="28" t="s">
        <v>29637</v>
      </c>
      <c r="F5928" s="28" t="s">
        <v>21</v>
      </c>
      <c r="G5928" s="28" t="s">
        <v>207</v>
      </c>
      <c r="H5928" s="28" t="s">
        <v>27631</v>
      </c>
      <c r="I5928" s="28" t="s">
        <v>29638</v>
      </c>
      <c r="J5928" s="28" t="s">
        <v>207</v>
      </c>
      <c r="K5928" s="28" t="s">
        <v>29066</v>
      </c>
      <c r="L5928" s="28" t="s">
        <v>27634</v>
      </c>
      <c r="M5928" s="28" t="s">
        <v>29639</v>
      </c>
      <c r="N5928" s="28" t="s">
        <v>27636</v>
      </c>
      <c r="O5928" s="28" t="s">
        <v>27637</v>
      </c>
      <c r="P5928" s="28" t="s">
        <v>29640</v>
      </c>
    </row>
    <row r="5929" spans="1:16" x14ac:dyDescent="0.25">
      <c r="A5929" s="28" t="s">
        <v>29641</v>
      </c>
      <c r="B5929" s="28" t="s">
        <v>29642</v>
      </c>
      <c r="C5929" s="28" t="s">
        <v>29063</v>
      </c>
      <c r="D5929" s="28" t="s">
        <v>1204</v>
      </c>
      <c r="E5929" s="28" t="s">
        <v>12882</v>
      </c>
      <c r="F5929" s="28" t="s">
        <v>21</v>
      </c>
      <c r="G5929" s="28" t="s">
        <v>207</v>
      </c>
      <c r="H5929" s="28" t="s">
        <v>27631</v>
      </c>
      <c r="I5929" s="28" t="s">
        <v>29643</v>
      </c>
      <c r="J5929" s="28" t="s">
        <v>207</v>
      </c>
      <c r="K5929" s="28" t="s">
        <v>29066</v>
      </c>
      <c r="L5929" s="28" t="s">
        <v>27634</v>
      </c>
      <c r="M5929" s="28" t="s">
        <v>29644</v>
      </c>
      <c r="N5929" s="28" t="s">
        <v>27636</v>
      </c>
      <c r="O5929" s="28" t="s">
        <v>27637</v>
      </c>
      <c r="P5929" s="28" t="s">
        <v>29645</v>
      </c>
    </row>
    <row r="5930" spans="1:16" x14ac:dyDescent="0.25">
      <c r="A5930" s="28" t="s">
        <v>29646</v>
      </c>
      <c r="B5930" s="28" t="s">
        <v>29647</v>
      </c>
      <c r="C5930" s="28" t="s">
        <v>29063</v>
      </c>
      <c r="D5930" s="28" t="s">
        <v>1204</v>
      </c>
      <c r="E5930" s="28" t="s">
        <v>29648</v>
      </c>
      <c r="F5930" s="28" t="s">
        <v>21</v>
      </c>
      <c r="G5930" s="28" t="s">
        <v>207</v>
      </c>
      <c r="H5930" s="28" t="s">
        <v>27631</v>
      </c>
      <c r="I5930" s="28" t="s">
        <v>29649</v>
      </c>
      <c r="J5930" s="28" t="s">
        <v>207</v>
      </c>
      <c r="K5930" s="28" t="s">
        <v>29066</v>
      </c>
      <c r="L5930" s="28" t="s">
        <v>27634</v>
      </c>
      <c r="M5930" s="28" t="s">
        <v>29650</v>
      </c>
      <c r="N5930" s="28" t="s">
        <v>27636</v>
      </c>
      <c r="O5930" s="28" t="s">
        <v>27637</v>
      </c>
      <c r="P5930" s="28" t="s">
        <v>29651</v>
      </c>
    </row>
    <row r="5931" spans="1:16" x14ac:dyDescent="0.25">
      <c r="A5931" s="28" t="s">
        <v>29652</v>
      </c>
      <c r="B5931" s="28" t="s">
        <v>29653</v>
      </c>
      <c r="C5931" s="28" t="s">
        <v>29063</v>
      </c>
      <c r="D5931" s="28" t="s">
        <v>1204</v>
      </c>
      <c r="E5931" s="28" t="s">
        <v>29654</v>
      </c>
      <c r="F5931" s="28" t="s">
        <v>21</v>
      </c>
      <c r="G5931" s="28" t="s">
        <v>207</v>
      </c>
      <c r="H5931" s="28" t="s">
        <v>27631</v>
      </c>
      <c r="I5931" s="28" t="s">
        <v>29655</v>
      </c>
      <c r="J5931" s="28" t="s">
        <v>207</v>
      </c>
      <c r="K5931" s="28" t="s">
        <v>29066</v>
      </c>
      <c r="L5931" s="28" t="s">
        <v>27634</v>
      </c>
      <c r="M5931" s="28" t="s">
        <v>29656</v>
      </c>
      <c r="N5931" s="28" t="s">
        <v>27636</v>
      </c>
      <c r="O5931" s="28" t="s">
        <v>27637</v>
      </c>
      <c r="P5931" s="28" t="s">
        <v>29657</v>
      </c>
    </row>
    <row r="5932" spans="1:16" x14ac:dyDescent="0.25">
      <c r="A5932" s="28" t="s">
        <v>29658</v>
      </c>
      <c r="B5932" s="28" t="s">
        <v>29659</v>
      </c>
      <c r="C5932" s="28" t="s">
        <v>29063</v>
      </c>
      <c r="D5932" s="28" t="s">
        <v>1204</v>
      </c>
      <c r="E5932" s="28" t="s">
        <v>29660</v>
      </c>
      <c r="F5932" s="28" t="s">
        <v>21</v>
      </c>
      <c r="G5932" s="28" t="s">
        <v>207</v>
      </c>
      <c r="H5932" s="28" t="s">
        <v>27631</v>
      </c>
      <c r="I5932" s="28" t="s">
        <v>29661</v>
      </c>
      <c r="J5932" s="28" t="s">
        <v>207</v>
      </c>
      <c r="K5932" s="28" t="s">
        <v>29066</v>
      </c>
      <c r="L5932" s="28" t="s">
        <v>27634</v>
      </c>
      <c r="M5932" s="28" t="s">
        <v>29662</v>
      </c>
      <c r="N5932" s="28" t="s">
        <v>27636</v>
      </c>
      <c r="O5932" s="28" t="s">
        <v>27637</v>
      </c>
      <c r="P5932" s="28" t="s">
        <v>29663</v>
      </c>
    </row>
    <row r="5933" spans="1:16" x14ac:dyDescent="0.25">
      <c r="A5933" s="28" t="s">
        <v>29664</v>
      </c>
      <c r="B5933" s="28" t="s">
        <v>29665</v>
      </c>
      <c r="C5933" s="28" t="s">
        <v>29063</v>
      </c>
      <c r="D5933" s="28" t="s">
        <v>1204</v>
      </c>
      <c r="E5933" s="28" t="s">
        <v>29666</v>
      </c>
      <c r="F5933" s="28" t="s">
        <v>21</v>
      </c>
      <c r="G5933" s="28" t="s">
        <v>207</v>
      </c>
      <c r="H5933" s="28" t="s">
        <v>27631</v>
      </c>
      <c r="I5933" s="28" t="s">
        <v>29667</v>
      </c>
      <c r="J5933" s="28" t="s">
        <v>207</v>
      </c>
      <c r="K5933" s="28" t="s">
        <v>29066</v>
      </c>
      <c r="L5933" s="28" t="s">
        <v>27634</v>
      </c>
      <c r="M5933" s="28" t="s">
        <v>29668</v>
      </c>
      <c r="N5933" s="28" t="s">
        <v>27636</v>
      </c>
      <c r="O5933" s="28" t="s">
        <v>27637</v>
      </c>
      <c r="P5933" s="28" t="s">
        <v>29669</v>
      </c>
    </row>
    <row r="5934" spans="1:16" x14ac:dyDescent="0.25">
      <c r="A5934" s="28" t="s">
        <v>29670</v>
      </c>
      <c r="B5934" s="28" t="s">
        <v>29671</v>
      </c>
      <c r="C5934" s="28" t="s">
        <v>29063</v>
      </c>
      <c r="D5934" s="28" t="s">
        <v>1204</v>
      </c>
      <c r="E5934" s="28" t="s">
        <v>29672</v>
      </c>
      <c r="F5934" s="28" t="s">
        <v>21</v>
      </c>
      <c r="G5934" s="28" t="s">
        <v>207</v>
      </c>
      <c r="H5934" s="28" t="s">
        <v>27631</v>
      </c>
      <c r="I5934" s="28" t="s">
        <v>29673</v>
      </c>
      <c r="J5934" s="28" t="s">
        <v>207</v>
      </c>
      <c r="K5934" s="28" t="s">
        <v>29066</v>
      </c>
      <c r="L5934" s="28" t="s">
        <v>27634</v>
      </c>
      <c r="M5934" s="28" t="s">
        <v>29674</v>
      </c>
      <c r="N5934" s="28" t="s">
        <v>27636</v>
      </c>
      <c r="O5934" s="28" t="s">
        <v>27637</v>
      </c>
      <c r="P5934" s="28" t="s">
        <v>29675</v>
      </c>
    </row>
    <row r="5935" spans="1:16" x14ac:dyDescent="0.25">
      <c r="A5935" s="28" t="s">
        <v>29676</v>
      </c>
      <c r="B5935" s="28" t="s">
        <v>29677</v>
      </c>
      <c r="C5935" s="28" t="s">
        <v>29063</v>
      </c>
      <c r="D5935" s="28" t="s">
        <v>1204</v>
      </c>
      <c r="E5935" s="28" t="s">
        <v>29678</v>
      </c>
      <c r="F5935" s="28" t="s">
        <v>21</v>
      </c>
      <c r="G5935" s="28" t="s">
        <v>207</v>
      </c>
      <c r="H5935" s="28" t="s">
        <v>27631</v>
      </c>
      <c r="I5935" s="28" t="s">
        <v>29679</v>
      </c>
      <c r="J5935" s="28" t="s">
        <v>207</v>
      </c>
      <c r="K5935" s="28" t="s">
        <v>29066</v>
      </c>
      <c r="L5935" s="28" t="s">
        <v>27634</v>
      </c>
      <c r="M5935" s="28" t="s">
        <v>29680</v>
      </c>
      <c r="N5935" s="28" t="s">
        <v>27636</v>
      </c>
      <c r="O5935" s="28" t="s">
        <v>27637</v>
      </c>
      <c r="P5935" s="28" t="s">
        <v>29681</v>
      </c>
    </row>
    <row r="5936" spans="1:16" x14ac:dyDescent="0.25">
      <c r="A5936" s="28" t="s">
        <v>29682</v>
      </c>
      <c r="B5936" s="28" t="s">
        <v>29683</v>
      </c>
      <c r="C5936" s="28" t="s">
        <v>29063</v>
      </c>
      <c r="D5936" s="28" t="s">
        <v>1204</v>
      </c>
      <c r="E5936" s="28" t="s">
        <v>12888</v>
      </c>
      <c r="F5936" s="28" t="s">
        <v>21</v>
      </c>
      <c r="G5936" s="28" t="s">
        <v>207</v>
      </c>
      <c r="H5936" s="28" t="s">
        <v>27631</v>
      </c>
      <c r="I5936" s="28" t="s">
        <v>29684</v>
      </c>
      <c r="J5936" s="28" t="s">
        <v>207</v>
      </c>
      <c r="K5936" s="28" t="s">
        <v>29066</v>
      </c>
      <c r="L5936" s="28" t="s">
        <v>27634</v>
      </c>
      <c r="M5936" s="28" t="s">
        <v>29685</v>
      </c>
      <c r="N5936" s="28" t="s">
        <v>27636</v>
      </c>
      <c r="O5936" s="28" t="s">
        <v>27637</v>
      </c>
      <c r="P5936" s="28" t="s">
        <v>29686</v>
      </c>
    </row>
    <row r="5937" spans="1:16" x14ac:dyDescent="0.25">
      <c r="A5937" s="28" t="s">
        <v>29687</v>
      </c>
      <c r="B5937" s="28" t="s">
        <v>29688</v>
      </c>
      <c r="C5937" s="28" t="s">
        <v>29063</v>
      </c>
      <c r="D5937" s="28" t="s">
        <v>1204</v>
      </c>
      <c r="E5937" s="28" t="s">
        <v>12894</v>
      </c>
      <c r="F5937" s="28" t="s">
        <v>21</v>
      </c>
      <c r="G5937" s="28" t="s">
        <v>207</v>
      </c>
      <c r="H5937" s="28" t="s">
        <v>27631</v>
      </c>
      <c r="I5937" s="28" t="s">
        <v>29689</v>
      </c>
      <c r="J5937" s="28" t="s">
        <v>207</v>
      </c>
      <c r="K5937" s="28" t="s">
        <v>29066</v>
      </c>
      <c r="L5937" s="28" t="s">
        <v>27634</v>
      </c>
      <c r="M5937" s="28" t="s">
        <v>29690</v>
      </c>
      <c r="N5937" s="28" t="s">
        <v>27636</v>
      </c>
      <c r="O5937" s="28" t="s">
        <v>27637</v>
      </c>
      <c r="P5937" s="28" t="s">
        <v>29691</v>
      </c>
    </row>
    <row r="5938" spans="1:16" x14ac:dyDescent="0.25">
      <c r="A5938" s="28" t="s">
        <v>29692</v>
      </c>
      <c r="B5938" s="28" t="s">
        <v>29693</v>
      </c>
      <c r="C5938" s="28" t="s">
        <v>29063</v>
      </c>
      <c r="D5938" s="28" t="s">
        <v>1204</v>
      </c>
      <c r="E5938" s="28" t="s">
        <v>29694</v>
      </c>
      <c r="F5938" s="28" t="s">
        <v>21</v>
      </c>
      <c r="G5938" s="28" t="s">
        <v>207</v>
      </c>
      <c r="H5938" s="28" t="s">
        <v>27631</v>
      </c>
      <c r="I5938" s="28" t="s">
        <v>29695</v>
      </c>
      <c r="J5938" s="28" t="s">
        <v>207</v>
      </c>
      <c r="K5938" s="28" t="s">
        <v>29066</v>
      </c>
      <c r="L5938" s="28" t="s">
        <v>27634</v>
      </c>
      <c r="M5938" s="28" t="s">
        <v>29696</v>
      </c>
      <c r="N5938" s="28" t="s">
        <v>27636</v>
      </c>
      <c r="O5938" s="28" t="s">
        <v>27637</v>
      </c>
      <c r="P5938" s="28" t="s">
        <v>29697</v>
      </c>
    </row>
    <row r="5939" spans="1:16" x14ac:dyDescent="0.25">
      <c r="A5939" s="28" t="s">
        <v>29698</v>
      </c>
      <c r="B5939" s="28" t="s">
        <v>29699</v>
      </c>
      <c r="C5939" s="28" t="s">
        <v>29063</v>
      </c>
      <c r="D5939" s="28" t="s">
        <v>1204</v>
      </c>
      <c r="E5939" s="28" t="s">
        <v>29700</v>
      </c>
      <c r="F5939" s="28" t="s">
        <v>21</v>
      </c>
      <c r="G5939" s="28" t="s">
        <v>207</v>
      </c>
      <c r="H5939" s="28" t="s">
        <v>27631</v>
      </c>
      <c r="I5939" s="28" t="s">
        <v>29701</v>
      </c>
      <c r="J5939" s="28" t="s">
        <v>207</v>
      </c>
      <c r="K5939" s="28" t="s">
        <v>29066</v>
      </c>
      <c r="L5939" s="28" t="s">
        <v>27634</v>
      </c>
      <c r="M5939" s="28" t="s">
        <v>29702</v>
      </c>
      <c r="N5939" s="28" t="s">
        <v>27636</v>
      </c>
      <c r="O5939" s="28" t="s">
        <v>27637</v>
      </c>
      <c r="P5939" s="28" t="s">
        <v>29703</v>
      </c>
    </row>
    <row r="5940" spans="1:16" x14ac:dyDescent="0.25">
      <c r="A5940" s="28" t="s">
        <v>29704</v>
      </c>
      <c r="B5940" s="28" t="s">
        <v>29705</v>
      </c>
      <c r="C5940" s="28" t="s">
        <v>29063</v>
      </c>
      <c r="D5940" s="28" t="s">
        <v>1204</v>
      </c>
      <c r="E5940" s="28" t="s">
        <v>29706</v>
      </c>
      <c r="F5940" s="28" t="s">
        <v>21</v>
      </c>
      <c r="G5940" s="28" t="s">
        <v>207</v>
      </c>
      <c r="H5940" s="28" t="s">
        <v>27631</v>
      </c>
      <c r="I5940" s="28" t="s">
        <v>29707</v>
      </c>
      <c r="J5940" s="28" t="s">
        <v>207</v>
      </c>
      <c r="K5940" s="28" t="s">
        <v>29066</v>
      </c>
      <c r="L5940" s="28" t="s">
        <v>27634</v>
      </c>
      <c r="M5940" s="28" t="s">
        <v>29708</v>
      </c>
      <c r="N5940" s="28" t="s">
        <v>27636</v>
      </c>
      <c r="O5940" s="28" t="s">
        <v>27637</v>
      </c>
      <c r="P5940" s="28" t="s">
        <v>29709</v>
      </c>
    </row>
    <row r="5941" spans="1:16" x14ac:dyDescent="0.25">
      <c r="A5941" s="28" t="s">
        <v>29710</v>
      </c>
      <c r="B5941" s="28" t="s">
        <v>29711</v>
      </c>
      <c r="C5941" s="28" t="s">
        <v>29063</v>
      </c>
      <c r="D5941" s="28" t="s">
        <v>1204</v>
      </c>
      <c r="E5941" s="28" t="s">
        <v>29712</v>
      </c>
      <c r="F5941" s="28" t="s">
        <v>21</v>
      </c>
      <c r="G5941" s="28" t="s">
        <v>207</v>
      </c>
      <c r="H5941" s="28" t="s">
        <v>27631</v>
      </c>
      <c r="I5941" s="28" t="s">
        <v>29713</v>
      </c>
      <c r="J5941" s="28" t="s">
        <v>207</v>
      </c>
      <c r="K5941" s="28" t="s">
        <v>29066</v>
      </c>
      <c r="L5941" s="28" t="s">
        <v>27634</v>
      </c>
      <c r="M5941" s="28" t="s">
        <v>29714</v>
      </c>
      <c r="N5941" s="28" t="s">
        <v>27636</v>
      </c>
      <c r="O5941" s="28" t="s">
        <v>27637</v>
      </c>
      <c r="P5941" s="28" t="s">
        <v>29715</v>
      </c>
    </row>
    <row r="5942" spans="1:16" x14ac:dyDescent="0.25">
      <c r="A5942" s="28" t="s">
        <v>29716</v>
      </c>
      <c r="B5942" s="28" t="s">
        <v>29717</v>
      </c>
      <c r="C5942" s="28" t="s">
        <v>29063</v>
      </c>
      <c r="D5942" s="28" t="s">
        <v>1204</v>
      </c>
      <c r="E5942" s="28" t="s">
        <v>29718</v>
      </c>
      <c r="F5942" s="28" t="s">
        <v>21</v>
      </c>
      <c r="G5942" s="28" t="s">
        <v>207</v>
      </c>
      <c r="H5942" s="28" t="s">
        <v>27631</v>
      </c>
      <c r="I5942" s="28" t="s">
        <v>29719</v>
      </c>
      <c r="J5942" s="28" t="s">
        <v>207</v>
      </c>
      <c r="K5942" s="28" t="s">
        <v>29066</v>
      </c>
      <c r="L5942" s="28" t="s">
        <v>27634</v>
      </c>
      <c r="M5942" s="28" t="s">
        <v>29720</v>
      </c>
      <c r="N5942" s="28" t="s">
        <v>27636</v>
      </c>
      <c r="O5942" s="28" t="s">
        <v>27637</v>
      </c>
      <c r="P5942" s="28" t="s">
        <v>29721</v>
      </c>
    </row>
    <row r="5943" spans="1:16" x14ac:dyDescent="0.25">
      <c r="A5943" s="28" t="s">
        <v>29722</v>
      </c>
      <c r="B5943" s="28" t="s">
        <v>29723</v>
      </c>
      <c r="C5943" s="28" t="s">
        <v>29063</v>
      </c>
      <c r="D5943" s="28" t="s">
        <v>1204</v>
      </c>
      <c r="E5943" s="28" t="s">
        <v>29724</v>
      </c>
      <c r="F5943" s="28" t="s">
        <v>21</v>
      </c>
      <c r="G5943" s="28" t="s">
        <v>207</v>
      </c>
      <c r="H5943" s="28" t="s">
        <v>27631</v>
      </c>
      <c r="I5943" s="28" t="s">
        <v>29725</v>
      </c>
      <c r="J5943" s="28" t="s">
        <v>207</v>
      </c>
      <c r="K5943" s="28" t="s">
        <v>29066</v>
      </c>
      <c r="L5943" s="28" t="s">
        <v>27634</v>
      </c>
      <c r="M5943" s="28" t="s">
        <v>29726</v>
      </c>
      <c r="N5943" s="28" t="s">
        <v>27636</v>
      </c>
      <c r="O5943" s="28" t="s">
        <v>27637</v>
      </c>
      <c r="P5943" s="28" t="s">
        <v>29727</v>
      </c>
    </row>
    <row r="5944" spans="1:16" x14ac:dyDescent="0.25">
      <c r="A5944" s="28" t="s">
        <v>29728</v>
      </c>
      <c r="B5944" s="28" t="s">
        <v>29729</v>
      </c>
      <c r="C5944" s="28" t="s">
        <v>29063</v>
      </c>
      <c r="D5944" s="28" t="s">
        <v>1204</v>
      </c>
      <c r="E5944" s="28" t="s">
        <v>29730</v>
      </c>
      <c r="F5944" s="28" t="s">
        <v>21</v>
      </c>
      <c r="G5944" s="28" t="s">
        <v>207</v>
      </c>
      <c r="H5944" s="28" t="s">
        <v>27631</v>
      </c>
      <c r="I5944" s="28" t="s">
        <v>29731</v>
      </c>
      <c r="J5944" s="28" t="s">
        <v>207</v>
      </c>
      <c r="K5944" s="28" t="s">
        <v>29066</v>
      </c>
      <c r="L5944" s="28" t="s">
        <v>27634</v>
      </c>
      <c r="M5944" s="28" t="s">
        <v>29732</v>
      </c>
      <c r="N5944" s="28" t="s">
        <v>27636</v>
      </c>
      <c r="O5944" s="28" t="s">
        <v>27637</v>
      </c>
      <c r="P5944" s="28" t="s">
        <v>29733</v>
      </c>
    </row>
    <row r="5945" spans="1:16" x14ac:dyDescent="0.25">
      <c r="A5945" s="28" t="s">
        <v>29734</v>
      </c>
      <c r="B5945" s="28" t="s">
        <v>29735</v>
      </c>
      <c r="C5945" s="28" t="s">
        <v>29063</v>
      </c>
      <c r="D5945" s="28" t="s">
        <v>1204</v>
      </c>
      <c r="E5945" s="28" t="s">
        <v>29736</v>
      </c>
      <c r="F5945" s="28" t="s">
        <v>21</v>
      </c>
      <c r="G5945" s="28" t="s">
        <v>207</v>
      </c>
      <c r="H5945" s="28" t="s">
        <v>27631</v>
      </c>
      <c r="I5945" s="28" t="s">
        <v>29737</v>
      </c>
      <c r="J5945" s="28" t="s">
        <v>207</v>
      </c>
      <c r="K5945" s="28" t="s">
        <v>29066</v>
      </c>
      <c r="L5945" s="28" t="s">
        <v>27634</v>
      </c>
      <c r="M5945" s="28" t="s">
        <v>29738</v>
      </c>
      <c r="N5945" s="28" t="s">
        <v>27636</v>
      </c>
      <c r="O5945" s="28" t="s">
        <v>27637</v>
      </c>
      <c r="P5945" s="28" t="s">
        <v>29739</v>
      </c>
    </row>
    <row r="5946" spans="1:16" x14ac:dyDescent="0.25">
      <c r="A5946" s="28" t="s">
        <v>29740</v>
      </c>
      <c r="B5946" s="28" t="s">
        <v>29741</v>
      </c>
      <c r="C5946" s="28" t="s">
        <v>29063</v>
      </c>
      <c r="D5946" s="28" t="s">
        <v>1204</v>
      </c>
      <c r="E5946" s="28" t="s">
        <v>29742</v>
      </c>
      <c r="F5946" s="28" t="s">
        <v>21</v>
      </c>
      <c r="G5946" s="28" t="s">
        <v>207</v>
      </c>
      <c r="H5946" s="28" t="s">
        <v>27631</v>
      </c>
      <c r="I5946" s="28" t="s">
        <v>29743</v>
      </c>
      <c r="J5946" s="28" t="s">
        <v>207</v>
      </c>
      <c r="K5946" s="28" t="s">
        <v>29066</v>
      </c>
      <c r="L5946" s="28" t="s">
        <v>27634</v>
      </c>
      <c r="M5946" s="28" t="s">
        <v>29744</v>
      </c>
      <c r="N5946" s="28" t="s">
        <v>27636</v>
      </c>
      <c r="O5946" s="28" t="s">
        <v>27637</v>
      </c>
      <c r="P5946" s="28" t="s">
        <v>29745</v>
      </c>
    </row>
    <row r="5947" spans="1:16" x14ac:dyDescent="0.25">
      <c r="A5947" s="28" t="s">
        <v>29746</v>
      </c>
      <c r="B5947" s="28" t="s">
        <v>29747</v>
      </c>
      <c r="C5947" s="28" t="s">
        <v>29063</v>
      </c>
      <c r="D5947" s="28" t="s">
        <v>1204</v>
      </c>
      <c r="E5947" s="28" t="s">
        <v>29748</v>
      </c>
      <c r="F5947" s="28" t="s">
        <v>21</v>
      </c>
      <c r="G5947" s="28" t="s">
        <v>207</v>
      </c>
      <c r="H5947" s="28" t="s">
        <v>27631</v>
      </c>
      <c r="I5947" s="28" t="s">
        <v>29749</v>
      </c>
      <c r="J5947" s="28" t="s">
        <v>207</v>
      </c>
      <c r="K5947" s="28" t="s">
        <v>29066</v>
      </c>
      <c r="L5947" s="28" t="s">
        <v>27634</v>
      </c>
      <c r="M5947" s="28" t="s">
        <v>29750</v>
      </c>
      <c r="N5947" s="28" t="s">
        <v>27636</v>
      </c>
      <c r="O5947" s="28" t="s">
        <v>27637</v>
      </c>
      <c r="P5947" s="28" t="s">
        <v>29751</v>
      </c>
    </row>
    <row r="5948" spans="1:16" x14ac:dyDescent="0.25">
      <c r="A5948" s="28" t="s">
        <v>29752</v>
      </c>
      <c r="B5948" s="28" t="s">
        <v>29753</v>
      </c>
      <c r="C5948" s="28" t="s">
        <v>29063</v>
      </c>
      <c r="D5948" s="28" t="s">
        <v>1204</v>
      </c>
      <c r="E5948" s="28" t="s">
        <v>29754</v>
      </c>
      <c r="F5948" s="28" t="s">
        <v>21</v>
      </c>
      <c r="G5948" s="28" t="s">
        <v>207</v>
      </c>
      <c r="H5948" s="28" t="s">
        <v>27631</v>
      </c>
      <c r="I5948" s="28" t="s">
        <v>29755</v>
      </c>
      <c r="J5948" s="28" t="s">
        <v>207</v>
      </c>
      <c r="K5948" s="28" t="s">
        <v>29066</v>
      </c>
      <c r="L5948" s="28" t="s">
        <v>27634</v>
      </c>
      <c r="M5948" s="28" t="s">
        <v>29756</v>
      </c>
      <c r="N5948" s="28" t="s">
        <v>27636</v>
      </c>
      <c r="O5948" s="28" t="s">
        <v>27637</v>
      </c>
      <c r="P5948" s="28" t="s">
        <v>29757</v>
      </c>
    </row>
    <row r="5949" spans="1:16" x14ac:dyDescent="0.25">
      <c r="A5949" s="28" t="s">
        <v>29758</v>
      </c>
      <c r="B5949" s="28" t="s">
        <v>29759</v>
      </c>
      <c r="C5949" s="28" t="s">
        <v>29063</v>
      </c>
      <c r="D5949" s="28" t="s">
        <v>1204</v>
      </c>
      <c r="E5949" s="28" t="s">
        <v>29760</v>
      </c>
      <c r="F5949" s="28" t="s">
        <v>21</v>
      </c>
      <c r="G5949" s="28" t="s">
        <v>207</v>
      </c>
      <c r="H5949" s="28" t="s">
        <v>27631</v>
      </c>
      <c r="I5949" s="28" t="s">
        <v>29761</v>
      </c>
      <c r="J5949" s="28" t="s">
        <v>207</v>
      </c>
      <c r="K5949" s="28" t="s">
        <v>29066</v>
      </c>
      <c r="L5949" s="28" t="s">
        <v>27634</v>
      </c>
      <c r="M5949" s="28" t="s">
        <v>29762</v>
      </c>
      <c r="N5949" s="28" t="s">
        <v>27636</v>
      </c>
      <c r="O5949" s="28" t="s">
        <v>27637</v>
      </c>
      <c r="P5949" s="28" t="s">
        <v>29763</v>
      </c>
    </row>
    <row r="5950" spans="1:16" x14ac:dyDescent="0.25">
      <c r="A5950" s="28" t="s">
        <v>29764</v>
      </c>
      <c r="B5950" s="28" t="s">
        <v>29765</v>
      </c>
      <c r="C5950" s="28" t="s">
        <v>29063</v>
      </c>
      <c r="D5950" s="28" t="s">
        <v>1204</v>
      </c>
      <c r="E5950" s="28" t="s">
        <v>29766</v>
      </c>
      <c r="F5950" s="28" t="s">
        <v>21</v>
      </c>
      <c r="G5950" s="28" t="s">
        <v>207</v>
      </c>
      <c r="H5950" s="28" t="s">
        <v>27631</v>
      </c>
      <c r="I5950" s="28" t="s">
        <v>29767</v>
      </c>
      <c r="J5950" s="28" t="s">
        <v>207</v>
      </c>
      <c r="K5950" s="28" t="s">
        <v>29066</v>
      </c>
      <c r="L5950" s="28" t="s">
        <v>27634</v>
      </c>
      <c r="M5950" s="28" t="s">
        <v>29768</v>
      </c>
      <c r="N5950" s="28" t="s">
        <v>27636</v>
      </c>
      <c r="O5950" s="28" t="s">
        <v>27637</v>
      </c>
      <c r="P5950" s="28" t="s">
        <v>29769</v>
      </c>
    </row>
    <row r="5951" spans="1:16" x14ac:dyDescent="0.25">
      <c r="A5951" s="28" t="s">
        <v>29770</v>
      </c>
      <c r="B5951" s="28" t="s">
        <v>29771</v>
      </c>
      <c r="C5951" s="28" t="s">
        <v>29063</v>
      </c>
      <c r="D5951" s="28" t="s">
        <v>1204</v>
      </c>
      <c r="E5951" s="28" t="s">
        <v>29772</v>
      </c>
      <c r="F5951" s="28" t="s">
        <v>21</v>
      </c>
      <c r="G5951" s="28" t="s">
        <v>207</v>
      </c>
      <c r="H5951" s="28" t="s">
        <v>27631</v>
      </c>
      <c r="I5951" s="28" t="s">
        <v>29773</v>
      </c>
      <c r="J5951" s="28" t="s">
        <v>207</v>
      </c>
      <c r="K5951" s="28" t="s">
        <v>29066</v>
      </c>
      <c r="L5951" s="28" t="s">
        <v>27634</v>
      </c>
      <c r="M5951" s="28" t="s">
        <v>29774</v>
      </c>
      <c r="N5951" s="28" t="s">
        <v>27636</v>
      </c>
      <c r="O5951" s="28" t="s">
        <v>27637</v>
      </c>
      <c r="P5951" s="28" t="s">
        <v>29775</v>
      </c>
    </row>
    <row r="5952" spans="1:16" x14ac:dyDescent="0.25">
      <c r="A5952" s="28" t="s">
        <v>29776</v>
      </c>
      <c r="B5952" s="28" t="s">
        <v>29777</v>
      </c>
      <c r="C5952" s="28" t="s">
        <v>29063</v>
      </c>
      <c r="D5952" s="28" t="s">
        <v>1204</v>
      </c>
      <c r="E5952" s="28" t="s">
        <v>29778</v>
      </c>
      <c r="F5952" s="28" t="s">
        <v>21</v>
      </c>
      <c r="G5952" s="28" t="s">
        <v>207</v>
      </c>
      <c r="H5952" s="28" t="s">
        <v>27631</v>
      </c>
      <c r="I5952" s="28" t="s">
        <v>29779</v>
      </c>
      <c r="J5952" s="28" t="s">
        <v>207</v>
      </c>
      <c r="K5952" s="28" t="s">
        <v>29066</v>
      </c>
      <c r="L5952" s="28" t="s">
        <v>27634</v>
      </c>
      <c r="M5952" s="28" t="s">
        <v>29780</v>
      </c>
      <c r="N5952" s="28" t="s">
        <v>27636</v>
      </c>
      <c r="O5952" s="28" t="s">
        <v>27637</v>
      </c>
      <c r="P5952" s="28" t="s">
        <v>29781</v>
      </c>
    </row>
    <row r="5953" spans="1:16" x14ac:dyDescent="0.25">
      <c r="A5953" s="28" t="s">
        <v>29782</v>
      </c>
      <c r="B5953" s="28" t="s">
        <v>29783</v>
      </c>
      <c r="C5953" s="28" t="s">
        <v>29063</v>
      </c>
      <c r="D5953" s="28" t="s">
        <v>1204</v>
      </c>
      <c r="E5953" s="28" t="s">
        <v>29784</v>
      </c>
      <c r="F5953" s="28" t="s">
        <v>21</v>
      </c>
      <c r="G5953" s="28" t="s">
        <v>207</v>
      </c>
      <c r="H5953" s="28" t="s">
        <v>27631</v>
      </c>
      <c r="I5953" s="28" t="s">
        <v>29785</v>
      </c>
      <c r="J5953" s="28" t="s">
        <v>207</v>
      </c>
      <c r="K5953" s="28" t="s">
        <v>29066</v>
      </c>
      <c r="L5953" s="28" t="s">
        <v>27634</v>
      </c>
      <c r="M5953" s="28" t="s">
        <v>29786</v>
      </c>
      <c r="N5953" s="28" t="s">
        <v>27636</v>
      </c>
      <c r="O5953" s="28" t="s">
        <v>27637</v>
      </c>
      <c r="P5953" s="28" t="s">
        <v>29787</v>
      </c>
    </row>
    <row r="5954" spans="1:16" x14ac:dyDescent="0.25">
      <c r="A5954" s="28" t="s">
        <v>29788</v>
      </c>
      <c r="B5954" s="28" t="s">
        <v>29789</v>
      </c>
      <c r="C5954" s="28" t="s">
        <v>29063</v>
      </c>
      <c r="D5954" s="28" t="s">
        <v>1204</v>
      </c>
      <c r="E5954" s="28" t="s">
        <v>29790</v>
      </c>
      <c r="F5954" s="28" t="s">
        <v>21</v>
      </c>
      <c r="G5954" s="28" t="s">
        <v>207</v>
      </c>
      <c r="H5954" s="28" t="s">
        <v>27631</v>
      </c>
      <c r="I5954" s="28" t="s">
        <v>29791</v>
      </c>
      <c r="J5954" s="28" t="s">
        <v>207</v>
      </c>
      <c r="K5954" s="28" t="s">
        <v>29066</v>
      </c>
      <c r="L5954" s="28" t="s">
        <v>27634</v>
      </c>
      <c r="M5954" s="28" t="s">
        <v>29792</v>
      </c>
      <c r="N5954" s="28" t="s">
        <v>27636</v>
      </c>
      <c r="O5954" s="28" t="s">
        <v>27637</v>
      </c>
      <c r="P5954" s="28" t="s">
        <v>29793</v>
      </c>
    </row>
    <row r="5955" spans="1:16" x14ac:dyDescent="0.25">
      <c r="A5955" s="28" t="s">
        <v>29794</v>
      </c>
      <c r="B5955" s="28" t="s">
        <v>29795</v>
      </c>
      <c r="C5955" s="28" t="s">
        <v>29063</v>
      </c>
      <c r="D5955" s="28" t="s">
        <v>1204</v>
      </c>
      <c r="E5955" s="28" t="s">
        <v>29796</v>
      </c>
      <c r="F5955" s="28" t="s">
        <v>21</v>
      </c>
      <c r="G5955" s="28" t="s">
        <v>207</v>
      </c>
      <c r="H5955" s="28" t="s">
        <v>27631</v>
      </c>
      <c r="I5955" s="28" t="s">
        <v>29797</v>
      </c>
      <c r="J5955" s="28" t="s">
        <v>207</v>
      </c>
      <c r="K5955" s="28" t="s">
        <v>29066</v>
      </c>
      <c r="L5955" s="28" t="s">
        <v>27634</v>
      </c>
      <c r="M5955" s="28" t="s">
        <v>29798</v>
      </c>
      <c r="N5955" s="28" t="s">
        <v>27636</v>
      </c>
      <c r="O5955" s="28" t="s">
        <v>27637</v>
      </c>
      <c r="P5955" s="28" t="s">
        <v>29799</v>
      </c>
    </row>
    <row r="5956" spans="1:16" x14ac:dyDescent="0.25">
      <c r="A5956" s="28" t="s">
        <v>29800</v>
      </c>
      <c r="B5956" s="28" t="s">
        <v>29801</v>
      </c>
      <c r="C5956" s="28" t="s">
        <v>29063</v>
      </c>
      <c r="D5956" s="28" t="s">
        <v>1204</v>
      </c>
      <c r="E5956" s="28" t="s">
        <v>29802</v>
      </c>
      <c r="F5956" s="28" t="s">
        <v>21</v>
      </c>
      <c r="G5956" s="28" t="s">
        <v>207</v>
      </c>
      <c r="H5956" s="28" t="s">
        <v>27631</v>
      </c>
      <c r="I5956" s="28" t="s">
        <v>29803</v>
      </c>
      <c r="J5956" s="28" t="s">
        <v>207</v>
      </c>
      <c r="K5956" s="28" t="s">
        <v>29066</v>
      </c>
      <c r="L5956" s="28" t="s">
        <v>27634</v>
      </c>
      <c r="M5956" s="28" t="s">
        <v>29804</v>
      </c>
      <c r="N5956" s="28" t="s">
        <v>27636</v>
      </c>
      <c r="O5956" s="28" t="s">
        <v>27637</v>
      </c>
      <c r="P5956" s="28" t="s">
        <v>29805</v>
      </c>
    </row>
    <row r="5957" spans="1:16" x14ac:dyDescent="0.25">
      <c r="A5957" s="28" t="s">
        <v>29806</v>
      </c>
      <c r="B5957" s="28" t="s">
        <v>29807</v>
      </c>
      <c r="C5957" s="28" t="s">
        <v>29063</v>
      </c>
      <c r="D5957" s="28" t="s">
        <v>1204</v>
      </c>
      <c r="E5957" s="28" t="s">
        <v>29808</v>
      </c>
      <c r="F5957" s="28" t="s">
        <v>21</v>
      </c>
      <c r="G5957" s="28" t="s">
        <v>207</v>
      </c>
      <c r="H5957" s="28" t="s">
        <v>27631</v>
      </c>
      <c r="I5957" s="28" t="s">
        <v>29809</v>
      </c>
      <c r="J5957" s="28" t="s">
        <v>207</v>
      </c>
      <c r="K5957" s="28" t="s">
        <v>29066</v>
      </c>
      <c r="L5957" s="28" t="s">
        <v>27634</v>
      </c>
      <c r="M5957" s="28" t="s">
        <v>29810</v>
      </c>
      <c r="N5957" s="28" t="s">
        <v>27636</v>
      </c>
      <c r="O5957" s="28" t="s">
        <v>27637</v>
      </c>
      <c r="P5957" s="28" t="s">
        <v>29811</v>
      </c>
    </row>
    <row r="5958" spans="1:16" x14ac:dyDescent="0.25">
      <c r="A5958" s="28" t="s">
        <v>29812</v>
      </c>
      <c r="B5958" s="28" t="s">
        <v>29813</v>
      </c>
      <c r="C5958" s="28" t="s">
        <v>29063</v>
      </c>
      <c r="D5958" s="28" t="s">
        <v>1204</v>
      </c>
      <c r="E5958" s="28" t="s">
        <v>29814</v>
      </c>
      <c r="F5958" s="28" t="s">
        <v>21</v>
      </c>
      <c r="G5958" s="28" t="s">
        <v>207</v>
      </c>
      <c r="H5958" s="28" t="s">
        <v>27631</v>
      </c>
      <c r="I5958" s="28" t="s">
        <v>29815</v>
      </c>
      <c r="J5958" s="28" t="s">
        <v>207</v>
      </c>
      <c r="K5958" s="28" t="s">
        <v>29066</v>
      </c>
      <c r="L5958" s="28" t="s">
        <v>27634</v>
      </c>
      <c r="M5958" s="28" t="s">
        <v>29816</v>
      </c>
      <c r="N5958" s="28" t="s">
        <v>27636</v>
      </c>
      <c r="O5958" s="28" t="s">
        <v>27637</v>
      </c>
      <c r="P5958" s="28" t="s">
        <v>29817</v>
      </c>
    </row>
    <row r="5959" spans="1:16" x14ac:dyDescent="0.25">
      <c r="A5959" s="28" t="s">
        <v>29818</v>
      </c>
      <c r="B5959" s="28" t="s">
        <v>29819</v>
      </c>
      <c r="C5959" s="28" t="s">
        <v>29063</v>
      </c>
      <c r="D5959" s="28" t="s">
        <v>1204</v>
      </c>
      <c r="E5959" s="28" t="s">
        <v>29820</v>
      </c>
      <c r="F5959" s="28" t="s">
        <v>21</v>
      </c>
      <c r="G5959" s="28" t="s">
        <v>207</v>
      </c>
      <c r="H5959" s="28" t="s">
        <v>27631</v>
      </c>
      <c r="I5959" s="28" t="s">
        <v>29821</v>
      </c>
      <c r="J5959" s="28" t="s">
        <v>207</v>
      </c>
      <c r="K5959" s="28" t="s">
        <v>29066</v>
      </c>
      <c r="L5959" s="28" t="s">
        <v>27634</v>
      </c>
      <c r="M5959" s="28" t="s">
        <v>29822</v>
      </c>
      <c r="N5959" s="28" t="s">
        <v>27636</v>
      </c>
      <c r="O5959" s="28" t="s">
        <v>27637</v>
      </c>
      <c r="P5959" s="28" t="s">
        <v>29823</v>
      </c>
    </row>
    <row r="5960" spans="1:16" x14ac:dyDescent="0.25">
      <c r="A5960" s="28" t="s">
        <v>29824</v>
      </c>
      <c r="B5960" s="28" t="s">
        <v>29825</v>
      </c>
      <c r="C5960" s="28" t="s">
        <v>29063</v>
      </c>
      <c r="D5960" s="28" t="s">
        <v>1204</v>
      </c>
      <c r="E5960" s="28" t="s">
        <v>29826</v>
      </c>
      <c r="F5960" s="28" t="s">
        <v>21</v>
      </c>
      <c r="G5960" s="28" t="s">
        <v>207</v>
      </c>
      <c r="H5960" s="28" t="s">
        <v>27631</v>
      </c>
      <c r="I5960" s="28" t="s">
        <v>29827</v>
      </c>
      <c r="J5960" s="28" t="s">
        <v>207</v>
      </c>
      <c r="K5960" s="28" t="s">
        <v>29066</v>
      </c>
      <c r="L5960" s="28" t="s">
        <v>27634</v>
      </c>
      <c r="M5960" s="28" t="s">
        <v>29828</v>
      </c>
      <c r="N5960" s="28" t="s">
        <v>27636</v>
      </c>
      <c r="O5960" s="28" t="s">
        <v>27637</v>
      </c>
      <c r="P5960" s="28" t="s">
        <v>29829</v>
      </c>
    </row>
    <row r="5961" spans="1:16" x14ac:dyDescent="0.25">
      <c r="A5961" s="28" t="s">
        <v>29830</v>
      </c>
      <c r="B5961" s="28" t="s">
        <v>29831</v>
      </c>
      <c r="C5961" s="28" t="s">
        <v>29063</v>
      </c>
      <c r="D5961" s="28" t="s">
        <v>1204</v>
      </c>
      <c r="E5961" s="28" t="s">
        <v>29832</v>
      </c>
      <c r="F5961" s="28" t="s">
        <v>21</v>
      </c>
      <c r="G5961" s="28" t="s">
        <v>207</v>
      </c>
      <c r="H5961" s="28" t="s">
        <v>27631</v>
      </c>
      <c r="I5961" s="28" t="s">
        <v>29833</v>
      </c>
      <c r="J5961" s="28" t="s">
        <v>207</v>
      </c>
      <c r="K5961" s="28" t="s">
        <v>29066</v>
      </c>
      <c r="L5961" s="28" t="s">
        <v>27634</v>
      </c>
      <c r="M5961" s="28" t="s">
        <v>29834</v>
      </c>
      <c r="N5961" s="28" t="s">
        <v>27636</v>
      </c>
      <c r="O5961" s="28" t="s">
        <v>27637</v>
      </c>
      <c r="P5961" s="28" t="s">
        <v>29835</v>
      </c>
    </row>
    <row r="5962" spans="1:16" x14ac:dyDescent="0.25">
      <c r="A5962" s="28" t="s">
        <v>29836</v>
      </c>
      <c r="B5962" s="28" t="s">
        <v>29837</v>
      </c>
      <c r="C5962" s="28" t="s">
        <v>29063</v>
      </c>
      <c r="D5962" s="28" t="s">
        <v>1204</v>
      </c>
      <c r="E5962" s="28" t="s">
        <v>29838</v>
      </c>
      <c r="F5962" s="28" t="s">
        <v>21</v>
      </c>
      <c r="G5962" s="28" t="s">
        <v>207</v>
      </c>
      <c r="H5962" s="28" t="s">
        <v>27631</v>
      </c>
      <c r="I5962" s="28" t="s">
        <v>29839</v>
      </c>
      <c r="J5962" s="28" t="s">
        <v>207</v>
      </c>
      <c r="K5962" s="28" t="s">
        <v>29066</v>
      </c>
      <c r="L5962" s="28" t="s">
        <v>27634</v>
      </c>
      <c r="M5962" s="28" t="s">
        <v>29840</v>
      </c>
      <c r="N5962" s="28" t="s">
        <v>27636</v>
      </c>
      <c r="O5962" s="28" t="s">
        <v>27637</v>
      </c>
      <c r="P5962" s="28" t="s">
        <v>29841</v>
      </c>
    </row>
    <row r="5963" spans="1:16" x14ac:dyDescent="0.25">
      <c r="A5963" s="28" t="s">
        <v>29842</v>
      </c>
      <c r="B5963" s="28" t="s">
        <v>29843</v>
      </c>
      <c r="C5963" s="28" t="s">
        <v>29063</v>
      </c>
      <c r="D5963" s="28" t="s">
        <v>1204</v>
      </c>
      <c r="E5963" s="28" t="s">
        <v>12900</v>
      </c>
      <c r="F5963" s="28" t="s">
        <v>21</v>
      </c>
      <c r="G5963" s="28" t="s">
        <v>207</v>
      </c>
      <c r="H5963" s="28" t="s">
        <v>27631</v>
      </c>
      <c r="I5963" s="28" t="s">
        <v>29844</v>
      </c>
      <c r="J5963" s="28" t="s">
        <v>207</v>
      </c>
      <c r="K5963" s="28" t="s">
        <v>29066</v>
      </c>
      <c r="L5963" s="28" t="s">
        <v>27634</v>
      </c>
      <c r="M5963" s="28" t="s">
        <v>29845</v>
      </c>
      <c r="N5963" s="28" t="s">
        <v>27636</v>
      </c>
      <c r="O5963" s="28" t="s">
        <v>27637</v>
      </c>
      <c r="P5963" s="28" t="s">
        <v>29846</v>
      </c>
    </row>
    <row r="5964" spans="1:16" x14ac:dyDescent="0.25">
      <c r="A5964" s="28" t="s">
        <v>29847</v>
      </c>
      <c r="B5964" s="28" t="s">
        <v>29848</v>
      </c>
      <c r="C5964" s="28" t="s">
        <v>29063</v>
      </c>
      <c r="D5964" s="28" t="s">
        <v>1204</v>
      </c>
      <c r="E5964" s="28" t="s">
        <v>12906</v>
      </c>
      <c r="F5964" s="28" t="s">
        <v>21</v>
      </c>
      <c r="G5964" s="28" t="s">
        <v>207</v>
      </c>
      <c r="H5964" s="28" t="s">
        <v>27631</v>
      </c>
      <c r="I5964" s="28" t="s">
        <v>29849</v>
      </c>
      <c r="J5964" s="28" t="s">
        <v>207</v>
      </c>
      <c r="K5964" s="28" t="s">
        <v>29066</v>
      </c>
      <c r="L5964" s="28" t="s">
        <v>27634</v>
      </c>
      <c r="M5964" s="28" t="s">
        <v>29850</v>
      </c>
      <c r="N5964" s="28" t="s">
        <v>27636</v>
      </c>
      <c r="O5964" s="28" t="s">
        <v>27637</v>
      </c>
      <c r="P5964" s="28" t="s">
        <v>29851</v>
      </c>
    </row>
    <row r="5965" spans="1:16" x14ac:dyDescent="0.25">
      <c r="A5965" s="28" t="s">
        <v>29852</v>
      </c>
      <c r="B5965" s="28" t="s">
        <v>29853</v>
      </c>
      <c r="C5965" s="28" t="s">
        <v>29063</v>
      </c>
      <c r="D5965" s="28" t="s">
        <v>1204</v>
      </c>
      <c r="E5965" s="28" t="s">
        <v>12912</v>
      </c>
      <c r="F5965" s="28" t="s">
        <v>21</v>
      </c>
      <c r="G5965" s="28" t="s">
        <v>207</v>
      </c>
      <c r="H5965" s="28" t="s">
        <v>27631</v>
      </c>
      <c r="I5965" s="28" t="s">
        <v>29854</v>
      </c>
      <c r="J5965" s="28" t="s">
        <v>207</v>
      </c>
      <c r="K5965" s="28" t="s">
        <v>29066</v>
      </c>
      <c r="L5965" s="28" t="s">
        <v>27634</v>
      </c>
      <c r="M5965" s="28" t="s">
        <v>29855</v>
      </c>
      <c r="N5965" s="28" t="s">
        <v>27636</v>
      </c>
      <c r="O5965" s="28" t="s">
        <v>27637</v>
      </c>
      <c r="P5965" s="28" t="s">
        <v>29856</v>
      </c>
    </row>
    <row r="5966" spans="1:16" x14ac:dyDescent="0.25">
      <c r="A5966" s="28" t="s">
        <v>29857</v>
      </c>
      <c r="B5966" s="28" t="s">
        <v>29858</v>
      </c>
      <c r="C5966" s="28" t="s">
        <v>29063</v>
      </c>
      <c r="D5966" s="28" t="s">
        <v>1204</v>
      </c>
      <c r="E5966" s="28" t="s">
        <v>12918</v>
      </c>
      <c r="F5966" s="28" t="s">
        <v>21</v>
      </c>
      <c r="G5966" s="28" t="s">
        <v>207</v>
      </c>
      <c r="H5966" s="28" t="s">
        <v>27631</v>
      </c>
      <c r="I5966" s="28" t="s">
        <v>29859</v>
      </c>
      <c r="J5966" s="28" t="s">
        <v>207</v>
      </c>
      <c r="K5966" s="28" t="s">
        <v>29066</v>
      </c>
      <c r="L5966" s="28" t="s">
        <v>27634</v>
      </c>
      <c r="M5966" s="28" t="s">
        <v>29860</v>
      </c>
      <c r="N5966" s="28" t="s">
        <v>27636</v>
      </c>
      <c r="O5966" s="28" t="s">
        <v>27637</v>
      </c>
      <c r="P5966" s="28" t="s">
        <v>29861</v>
      </c>
    </row>
    <row r="5967" spans="1:16" x14ac:dyDescent="0.25">
      <c r="A5967" s="28" t="s">
        <v>29862</v>
      </c>
      <c r="B5967" s="28" t="s">
        <v>29863</v>
      </c>
      <c r="C5967" s="28" t="s">
        <v>29063</v>
      </c>
      <c r="D5967" s="28" t="s">
        <v>1204</v>
      </c>
      <c r="E5967" s="28" t="s">
        <v>29864</v>
      </c>
      <c r="F5967" s="28" t="s">
        <v>21</v>
      </c>
      <c r="G5967" s="28" t="s">
        <v>207</v>
      </c>
      <c r="H5967" s="28" t="s">
        <v>27631</v>
      </c>
      <c r="I5967" s="28" t="s">
        <v>29865</v>
      </c>
      <c r="J5967" s="28" t="s">
        <v>207</v>
      </c>
      <c r="K5967" s="28" t="s">
        <v>29066</v>
      </c>
      <c r="L5967" s="28" t="s">
        <v>27634</v>
      </c>
      <c r="M5967" s="28" t="s">
        <v>29866</v>
      </c>
      <c r="N5967" s="28" t="s">
        <v>27636</v>
      </c>
      <c r="O5967" s="28" t="s">
        <v>27637</v>
      </c>
      <c r="P5967" s="28" t="s">
        <v>29867</v>
      </c>
    </row>
    <row r="5968" spans="1:16" x14ac:dyDescent="0.25">
      <c r="A5968" s="28" t="s">
        <v>29868</v>
      </c>
      <c r="B5968" s="28" t="s">
        <v>29869</v>
      </c>
      <c r="C5968" s="28" t="s">
        <v>29063</v>
      </c>
      <c r="D5968" s="28" t="s">
        <v>1204</v>
      </c>
      <c r="E5968" s="28" t="s">
        <v>29870</v>
      </c>
      <c r="F5968" s="28" t="s">
        <v>21</v>
      </c>
      <c r="G5968" s="28" t="s">
        <v>207</v>
      </c>
      <c r="H5968" s="28" t="s">
        <v>27631</v>
      </c>
      <c r="I5968" s="28" t="s">
        <v>29871</v>
      </c>
      <c r="J5968" s="28" t="s">
        <v>207</v>
      </c>
      <c r="K5968" s="28" t="s">
        <v>29066</v>
      </c>
      <c r="L5968" s="28" t="s">
        <v>27634</v>
      </c>
      <c r="M5968" s="28" t="s">
        <v>29872</v>
      </c>
      <c r="N5968" s="28" t="s">
        <v>27636</v>
      </c>
      <c r="O5968" s="28" t="s">
        <v>27637</v>
      </c>
      <c r="P5968" s="28" t="s">
        <v>29873</v>
      </c>
    </row>
    <row r="5969" spans="1:16" x14ac:dyDescent="0.25">
      <c r="A5969" s="28" t="s">
        <v>29874</v>
      </c>
      <c r="B5969" s="28" t="s">
        <v>29875</v>
      </c>
      <c r="C5969" s="28" t="s">
        <v>29063</v>
      </c>
      <c r="D5969" s="28" t="s">
        <v>1204</v>
      </c>
      <c r="E5969" s="28" t="s">
        <v>29876</v>
      </c>
      <c r="F5969" s="28" t="s">
        <v>21</v>
      </c>
      <c r="G5969" s="28" t="s">
        <v>207</v>
      </c>
      <c r="H5969" s="28" t="s">
        <v>27631</v>
      </c>
      <c r="I5969" s="28" t="s">
        <v>29877</v>
      </c>
      <c r="J5969" s="28" t="s">
        <v>207</v>
      </c>
      <c r="K5969" s="28" t="s">
        <v>29066</v>
      </c>
      <c r="L5969" s="28" t="s">
        <v>27634</v>
      </c>
      <c r="M5969" s="28" t="s">
        <v>29878</v>
      </c>
      <c r="N5969" s="28" t="s">
        <v>27636</v>
      </c>
      <c r="O5969" s="28" t="s">
        <v>27637</v>
      </c>
      <c r="P5969" s="28" t="s">
        <v>29879</v>
      </c>
    </row>
    <row r="5970" spans="1:16" x14ac:dyDescent="0.25">
      <c r="A5970" s="28" t="s">
        <v>29880</v>
      </c>
      <c r="B5970" s="28" t="s">
        <v>29881</v>
      </c>
      <c r="C5970" s="28" t="s">
        <v>29063</v>
      </c>
      <c r="D5970" s="28" t="s">
        <v>1204</v>
      </c>
      <c r="E5970" s="28" t="s">
        <v>29882</v>
      </c>
      <c r="F5970" s="28" t="s">
        <v>21</v>
      </c>
      <c r="G5970" s="28" t="s">
        <v>207</v>
      </c>
      <c r="H5970" s="28" t="s">
        <v>27631</v>
      </c>
      <c r="I5970" s="28" t="s">
        <v>29883</v>
      </c>
      <c r="J5970" s="28" t="s">
        <v>207</v>
      </c>
      <c r="K5970" s="28" t="s">
        <v>29066</v>
      </c>
      <c r="L5970" s="28" t="s">
        <v>27634</v>
      </c>
      <c r="M5970" s="28" t="s">
        <v>29884</v>
      </c>
      <c r="N5970" s="28" t="s">
        <v>27636</v>
      </c>
      <c r="O5970" s="28" t="s">
        <v>27637</v>
      </c>
      <c r="P5970" s="28" t="s">
        <v>29885</v>
      </c>
    </row>
    <row r="5971" spans="1:16" x14ac:dyDescent="0.25">
      <c r="A5971" s="28" t="s">
        <v>29886</v>
      </c>
      <c r="B5971" s="28" t="s">
        <v>29887</v>
      </c>
      <c r="C5971" s="28" t="s">
        <v>29063</v>
      </c>
      <c r="D5971" s="28" t="s">
        <v>1204</v>
      </c>
      <c r="E5971" s="28" t="s">
        <v>29888</v>
      </c>
      <c r="F5971" s="28" t="s">
        <v>21</v>
      </c>
      <c r="G5971" s="28" t="s">
        <v>207</v>
      </c>
      <c r="H5971" s="28" t="s">
        <v>27631</v>
      </c>
      <c r="I5971" s="28" t="s">
        <v>29889</v>
      </c>
      <c r="J5971" s="28" t="s">
        <v>207</v>
      </c>
      <c r="K5971" s="28" t="s">
        <v>29066</v>
      </c>
      <c r="L5971" s="28" t="s">
        <v>27634</v>
      </c>
      <c r="M5971" s="28" t="s">
        <v>29890</v>
      </c>
      <c r="N5971" s="28" t="s">
        <v>27636</v>
      </c>
      <c r="O5971" s="28" t="s">
        <v>27637</v>
      </c>
      <c r="P5971" s="28" t="s">
        <v>29891</v>
      </c>
    </row>
    <row r="5972" spans="1:16" x14ac:dyDescent="0.25">
      <c r="A5972" s="28" t="s">
        <v>29892</v>
      </c>
      <c r="B5972" s="28" t="s">
        <v>29893</v>
      </c>
      <c r="C5972" s="28" t="s">
        <v>29063</v>
      </c>
      <c r="D5972" s="28" t="s">
        <v>1204</v>
      </c>
      <c r="E5972" s="28" t="s">
        <v>29894</v>
      </c>
      <c r="F5972" s="28" t="s">
        <v>21</v>
      </c>
      <c r="G5972" s="28" t="s">
        <v>207</v>
      </c>
      <c r="H5972" s="28" t="s">
        <v>27631</v>
      </c>
      <c r="I5972" s="28" t="s">
        <v>29895</v>
      </c>
      <c r="J5972" s="28" t="s">
        <v>207</v>
      </c>
      <c r="K5972" s="28" t="s">
        <v>29066</v>
      </c>
      <c r="L5972" s="28" t="s">
        <v>27634</v>
      </c>
      <c r="M5972" s="28" t="s">
        <v>29896</v>
      </c>
      <c r="N5972" s="28" t="s">
        <v>27636</v>
      </c>
      <c r="O5972" s="28" t="s">
        <v>27637</v>
      </c>
      <c r="P5972" s="28" t="s">
        <v>29897</v>
      </c>
    </row>
    <row r="5973" spans="1:16" x14ac:dyDescent="0.25">
      <c r="A5973" s="28" t="s">
        <v>29898</v>
      </c>
      <c r="B5973" s="28" t="s">
        <v>29899</v>
      </c>
      <c r="C5973" s="28" t="s">
        <v>29063</v>
      </c>
      <c r="D5973" s="28" t="s">
        <v>1204</v>
      </c>
      <c r="E5973" s="28" t="s">
        <v>29900</v>
      </c>
      <c r="F5973" s="28" t="s">
        <v>21</v>
      </c>
      <c r="G5973" s="28" t="s">
        <v>207</v>
      </c>
      <c r="H5973" s="28" t="s">
        <v>27631</v>
      </c>
      <c r="I5973" s="28" t="s">
        <v>29901</v>
      </c>
      <c r="J5973" s="28" t="s">
        <v>207</v>
      </c>
      <c r="K5973" s="28" t="s">
        <v>29066</v>
      </c>
      <c r="L5973" s="28" t="s">
        <v>27634</v>
      </c>
      <c r="M5973" s="28" t="s">
        <v>29902</v>
      </c>
      <c r="N5973" s="28" t="s">
        <v>27636</v>
      </c>
      <c r="O5973" s="28" t="s">
        <v>27637</v>
      </c>
      <c r="P5973" s="28" t="s">
        <v>29903</v>
      </c>
    </row>
    <row r="5974" spans="1:16" x14ac:dyDescent="0.25">
      <c r="A5974" s="28" t="s">
        <v>29904</v>
      </c>
      <c r="B5974" s="28" t="s">
        <v>29905</v>
      </c>
      <c r="C5974" s="28" t="s">
        <v>29063</v>
      </c>
      <c r="D5974" s="28" t="s">
        <v>1204</v>
      </c>
      <c r="E5974" s="28" t="s">
        <v>29906</v>
      </c>
      <c r="F5974" s="28" t="s">
        <v>21</v>
      </c>
      <c r="G5974" s="28" t="s">
        <v>207</v>
      </c>
      <c r="H5974" s="28" t="s">
        <v>27631</v>
      </c>
      <c r="I5974" s="28" t="s">
        <v>29907</v>
      </c>
      <c r="J5974" s="28" t="s">
        <v>207</v>
      </c>
      <c r="K5974" s="28" t="s">
        <v>29066</v>
      </c>
      <c r="L5974" s="28" t="s">
        <v>27634</v>
      </c>
      <c r="M5974" s="28" t="s">
        <v>29908</v>
      </c>
      <c r="N5974" s="28" t="s">
        <v>27636</v>
      </c>
      <c r="O5974" s="28" t="s">
        <v>27637</v>
      </c>
      <c r="P5974" s="28" t="s">
        <v>29909</v>
      </c>
    </row>
    <row r="5975" spans="1:16" x14ac:dyDescent="0.25">
      <c r="A5975" s="28" t="s">
        <v>29910</v>
      </c>
      <c r="B5975" s="28" t="s">
        <v>29911</v>
      </c>
      <c r="C5975" s="28" t="s">
        <v>29063</v>
      </c>
      <c r="D5975" s="28" t="s">
        <v>1204</v>
      </c>
      <c r="E5975" s="28" t="s">
        <v>29912</v>
      </c>
      <c r="F5975" s="28" t="s">
        <v>21</v>
      </c>
      <c r="G5975" s="28" t="s">
        <v>207</v>
      </c>
      <c r="H5975" s="28" t="s">
        <v>27631</v>
      </c>
      <c r="I5975" s="28" t="s">
        <v>29913</v>
      </c>
      <c r="J5975" s="28" t="s">
        <v>207</v>
      </c>
      <c r="K5975" s="28" t="s">
        <v>29066</v>
      </c>
      <c r="L5975" s="28" t="s">
        <v>27634</v>
      </c>
      <c r="M5975" s="28" t="s">
        <v>29914</v>
      </c>
      <c r="N5975" s="28" t="s">
        <v>27636</v>
      </c>
      <c r="O5975" s="28" t="s">
        <v>27637</v>
      </c>
      <c r="P5975" s="28" t="s">
        <v>29915</v>
      </c>
    </row>
    <row r="5976" spans="1:16" x14ac:dyDescent="0.25">
      <c r="A5976" s="28" t="s">
        <v>29916</v>
      </c>
      <c r="B5976" s="28" t="s">
        <v>29917</v>
      </c>
      <c r="C5976" s="28" t="s">
        <v>29063</v>
      </c>
      <c r="D5976" s="28" t="s">
        <v>1204</v>
      </c>
      <c r="E5976" s="28" t="s">
        <v>12924</v>
      </c>
      <c r="F5976" s="28" t="s">
        <v>21</v>
      </c>
      <c r="G5976" s="28" t="s">
        <v>207</v>
      </c>
      <c r="H5976" s="28" t="s">
        <v>27631</v>
      </c>
      <c r="I5976" s="28" t="s">
        <v>29918</v>
      </c>
      <c r="J5976" s="28" t="s">
        <v>207</v>
      </c>
      <c r="K5976" s="28" t="s">
        <v>29066</v>
      </c>
      <c r="L5976" s="28" t="s">
        <v>27634</v>
      </c>
      <c r="M5976" s="28" t="s">
        <v>29919</v>
      </c>
      <c r="N5976" s="28" t="s">
        <v>27636</v>
      </c>
      <c r="O5976" s="28" t="s">
        <v>27637</v>
      </c>
      <c r="P5976" s="28" t="s">
        <v>29920</v>
      </c>
    </row>
    <row r="5977" spans="1:16" x14ac:dyDescent="0.25">
      <c r="A5977" s="28" t="s">
        <v>29921</v>
      </c>
      <c r="B5977" s="28" t="s">
        <v>29922</v>
      </c>
      <c r="C5977" s="28" t="s">
        <v>29063</v>
      </c>
      <c r="D5977" s="28" t="s">
        <v>1204</v>
      </c>
      <c r="E5977" s="28" t="s">
        <v>29923</v>
      </c>
      <c r="F5977" s="28" t="s">
        <v>21</v>
      </c>
      <c r="G5977" s="28" t="s">
        <v>207</v>
      </c>
      <c r="H5977" s="28" t="s">
        <v>27631</v>
      </c>
      <c r="I5977" s="28" t="s">
        <v>29924</v>
      </c>
      <c r="J5977" s="28" t="s">
        <v>207</v>
      </c>
      <c r="K5977" s="28" t="s">
        <v>29066</v>
      </c>
      <c r="L5977" s="28" t="s">
        <v>27634</v>
      </c>
      <c r="M5977" s="28" t="s">
        <v>29925</v>
      </c>
      <c r="N5977" s="28" t="s">
        <v>27636</v>
      </c>
      <c r="O5977" s="28" t="s">
        <v>27637</v>
      </c>
      <c r="P5977" s="28" t="s">
        <v>29926</v>
      </c>
    </row>
    <row r="5978" spans="1:16" x14ac:dyDescent="0.25">
      <c r="A5978" s="28" t="s">
        <v>29927</v>
      </c>
      <c r="B5978" s="28" t="s">
        <v>29928</v>
      </c>
      <c r="C5978" s="28" t="s">
        <v>29063</v>
      </c>
      <c r="D5978" s="28" t="s">
        <v>1204</v>
      </c>
      <c r="E5978" s="28" t="s">
        <v>29929</v>
      </c>
      <c r="F5978" s="28" t="s">
        <v>21</v>
      </c>
      <c r="G5978" s="28" t="s">
        <v>207</v>
      </c>
      <c r="H5978" s="28" t="s">
        <v>27631</v>
      </c>
      <c r="I5978" s="28" t="s">
        <v>29930</v>
      </c>
      <c r="J5978" s="28" t="s">
        <v>207</v>
      </c>
      <c r="K5978" s="28" t="s">
        <v>29066</v>
      </c>
      <c r="L5978" s="28" t="s">
        <v>27634</v>
      </c>
      <c r="M5978" s="28" t="s">
        <v>29931</v>
      </c>
      <c r="N5978" s="28" t="s">
        <v>27636</v>
      </c>
      <c r="O5978" s="28" t="s">
        <v>27637</v>
      </c>
      <c r="P5978" s="28" t="s">
        <v>29932</v>
      </c>
    </row>
    <row r="5979" spans="1:16" x14ac:dyDescent="0.25">
      <c r="A5979" s="28" t="s">
        <v>29933</v>
      </c>
      <c r="B5979" s="28" t="s">
        <v>29934</v>
      </c>
      <c r="C5979" s="28" t="s">
        <v>29063</v>
      </c>
      <c r="D5979" s="28" t="s">
        <v>1204</v>
      </c>
      <c r="E5979" s="28" t="s">
        <v>29935</v>
      </c>
      <c r="F5979" s="28" t="s">
        <v>21</v>
      </c>
      <c r="G5979" s="28" t="s">
        <v>207</v>
      </c>
      <c r="H5979" s="28" t="s">
        <v>27631</v>
      </c>
      <c r="I5979" s="28" t="s">
        <v>29936</v>
      </c>
      <c r="J5979" s="28" t="s">
        <v>207</v>
      </c>
      <c r="K5979" s="28" t="s">
        <v>29066</v>
      </c>
      <c r="L5979" s="28" t="s">
        <v>27634</v>
      </c>
      <c r="M5979" s="28" t="s">
        <v>29937</v>
      </c>
      <c r="N5979" s="28" t="s">
        <v>27636</v>
      </c>
      <c r="O5979" s="28" t="s">
        <v>27637</v>
      </c>
      <c r="P5979" s="28" t="s">
        <v>29938</v>
      </c>
    </row>
    <row r="5980" spans="1:16" x14ac:dyDescent="0.25">
      <c r="A5980" s="28" t="s">
        <v>29939</v>
      </c>
      <c r="B5980" s="28" t="s">
        <v>29940</v>
      </c>
      <c r="C5980" s="28" t="s">
        <v>29063</v>
      </c>
      <c r="D5980" s="28" t="s">
        <v>1204</v>
      </c>
      <c r="E5980" s="28" t="s">
        <v>29941</v>
      </c>
      <c r="F5980" s="28" t="s">
        <v>21</v>
      </c>
      <c r="G5980" s="28" t="s">
        <v>207</v>
      </c>
      <c r="H5980" s="28" t="s">
        <v>27631</v>
      </c>
      <c r="I5980" s="28" t="s">
        <v>29942</v>
      </c>
      <c r="J5980" s="28" t="s">
        <v>207</v>
      </c>
      <c r="K5980" s="28" t="s">
        <v>29066</v>
      </c>
      <c r="L5980" s="28" t="s">
        <v>27634</v>
      </c>
      <c r="M5980" s="28" t="s">
        <v>29943</v>
      </c>
      <c r="N5980" s="28" t="s">
        <v>27636</v>
      </c>
      <c r="O5980" s="28" t="s">
        <v>27637</v>
      </c>
      <c r="P5980" s="28" t="s">
        <v>29944</v>
      </c>
    </row>
    <row r="5981" spans="1:16" x14ac:dyDescent="0.25">
      <c r="A5981" s="28" t="s">
        <v>29945</v>
      </c>
      <c r="B5981" s="28" t="s">
        <v>29946</v>
      </c>
      <c r="C5981" s="28" t="s">
        <v>29063</v>
      </c>
      <c r="D5981" s="28" t="s">
        <v>1204</v>
      </c>
      <c r="E5981" s="28" t="s">
        <v>29947</v>
      </c>
      <c r="F5981" s="28" t="s">
        <v>21</v>
      </c>
      <c r="G5981" s="28" t="s">
        <v>207</v>
      </c>
      <c r="H5981" s="28" t="s">
        <v>27631</v>
      </c>
      <c r="I5981" s="28" t="s">
        <v>29948</v>
      </c>
      <c r="J5981" s="28" t="s">
        <v>207</v>
      </c>
      <c r="K5981" s="28" t="s">
        <v>29066</v>
      </c>
      <c r="L5981" s="28" t="s">
        <v>27634</v>
      </c>
      <c r="M5981" s="28" t="s">
        <v>29949</v>
      </c>
      <c r="N5981" s="28" t="s">
        <v>27636</v>
      </c>
      <c r="O5981" s="28" t="s">
        <v>27637</v>
      </c>
      <c r="P5981" s="28" t="s">
        <v>29950</v>
      </c>
    </row>
    <row r="5982" spans="1:16" x14ac:dyDescent="0.25">
      <c r="A5982" s="28" t="s">
        <v>29951</v>
      </c>
      <c r="B5982" s="28" t="s">
        <v>29952</v>
      </c>
      <c r="C5982" s="28" t="s">
        <v>29063</v>
      </c>
      <c r="D5982" s="28" t="s">
        <v>1204</v>
      </c>
      <c r="E5982" s="28" t="s">
        <v>29953</v>
      </c>
      <c r="F5982" s="28" t="s">
        <v>21</v>
      </c>
      <c r="G5982" s="28" t="s">
        <v>207</v>
      </c>
      <c r="H5982" s="28" t="s">
        <v>27631</v>
      </c>
      <c r="I5982" s="28" t="s">
        <v>29954</v>
      </c>
      <c r="J5982" s="28" t="s">
        <v>207</v>
      </c>
      <c r="K5982" s="28" t="s">
        <v>29066</v>
      </c>
      <c r="L5982" s="28" t="s">
        <v>27634</v>
      </c>
      <c r="M5982" s="28" t="s">
        <v>29955</v>
      </c>
      <c r="N5982" s="28" t="s">
        <v>27636</v>
      </c>
      <c r="O5982" s="28" t="s">
        <v>27637</v>
      </c>
      <c r="P5982" s="28" t="s">
        <v>29956</v>
      </c>
    </row>
    <row r="5983" spans="1:16" x14ac:dyDescent="0.25">
      <c r="A5983" s="28" t="s">
        <v>29957</v>
      </c>
      <c r="B5983" s="28" t="s">
        <v>29958</v>
      </c>
      <c r="C5983" s="28" t="s">
        <v>29063</v>
      </c>
      <c r="D5983" s="28" t="s">
        <v>1204</v>
      </c>
      <c r="E5983" s="28" t="s">
        <v>12930</v>
      </c>
      <c r="F5983" s="28" t="s">
        <v>21</v>
      </c>
      <c r="G5983" s="28" t="s">
        <v>207</v>
      </c>
      <c r="H5983" s="28" t="s">
        <v>27631</v>
      </c>
      <c r="I5983" s="28" t="s">
        <v>29959</v>
      </c>
      <c r="J5983" s="28" t="s">
        <v>207</v>
      </c>
      <c r="K5983" s="28" t="s">
        <v>29066</v>
      </c>
      <c r="L5983" s="28" t="s">
        <v>27634</v>
      </c>
      <c r="M5983" s="28" t="s">
        <v>29960</v>
      </c>
      <c r="N5983" s="28" t="s">
        <v>27636</v>
      </c>
      <c r="O5983" s="28" t="s">
        <v>27637</v>
      </c>
      <c r="P5983" s="28" t="s">
        <v>29961</v>
      </c>
    </row>
    <row r="5984" spans="1:16" x14ac:dyDescent="0.25">
      <c r="A5984" s="28" t="s">
        <v>29962</v>
      </c>
      <c r="B5984" s="28" t="s">
        <v>29963</v>
      </c>
      <c r="C5984" s="28" t="s">
        <v>29063</v>
      </c>
      <c r="D5984" s="28" t="s">
        <v>1204</v>
      </c>
      <c r="E5984" s="28" t="s">
        <v>29964</v>
      </c>
      <c r="F5984" s="28" t="s">
        <v>21</v>
      </c>
      <c r="G5984" s="28" t="s">
        <v>207</v>
      </c>
      <c r="H5984" s="28" t="s">
        <v>27631</v>
      </c>
      <c r="I5984" s="28" t="s">
        <v>29965</v>
      </c>
      <c r="J5984" s="28" t="s">
        <v>207</v>
      </c>
      <c r="K5984" s="28" t="s">
        <v>29066</v>
      </c>
      <c r="L5984" s="28" t="s">
        <v>27634</v>
      </c>
      <c r="M5984" s="28" t="s">
        <v>29966</v>
      </c>
      <c r="N5984" s="28" t="s">
        <v>27636</v>
      </c>
      <c r="O5984" s="28" t="s">
        <v>27637</v>
      </c>
      <c r="P5984" s="28" t="s">
        <v>29967</v>
      </c>
    </row>
    <row r="5985" spans="1:16" x14ac:dyDescent="0.25">
      <c r="A5985" s="28" t="s">
        <v>29968</v>
      </c>
      <c r="B5985" s="28" t="s">
        <v>29969</v>
      </c>
      <c r="C5985" s="28" t="s">
        <v>29063</v>
      </c>
      <c r="D5985" s="28" t="s">
        <v>1204</v>
      </c>
      <c r="E5985" s="28" t="s">
        <v>29970</v>
      </c>
      <c r="F5985" s="28" t="s">
        <v>21</v>
      </c>
      <c r="G5985" s="28" t="s">
        <v>207</v>
      </c>
      <c r="H5985" s="28" t="s">
        <v>27631</v>
      </c>
      <c r="I5985" s="28" t="s">
        <v>29971</v>
      </c>
      <c r="J5985" s="28" t="s">
        <v>207</v>
      </c>
      <c r="K5985" s="28" t="s">
        <v>29066</v>
      </c>
      <c r="L5985" s="28" t="s">
        <v>27634</v>
      </c>
      <c r="M5985" s="28" t="s">
        <v>29972</v>
      </c>
      <c r="N5985" s="28" t="s">
        <v>27636</v>
      </c>
      <c r="O5985" s="28" t="s">
        <v>27637</v>
      </c>
      <c r="P5985" s="28" t="s">
        <v>29973</v>
      </c>
    </row>
    <row r="5986" spans="1:16" x14ac:dyDescent="0.25">
      <c r="A5986" s="28" t="s">
        <v>29974</v>
      </c>
      <c r="B5986" s="28" t="s">
        <v>29975</v>
      </c>
      <c r="C5986" s="28" t="s">
        <v>29063</v>
      </c>
      <c r="D5986" s="28" t="s">
        <v>1204</v>
      </c>
      <c r="E5986" s="28" t="s">
        <v>29976</v>
      </c>
      <c r="F5986" s="28" t="s">
        <v>21</v>
      </c>
      <c r="G5986" s="28" t="s">
        <v>207</v>
      </c>
      <c r="H5986" s="28" t="s">
        <v>27631</v>
      </c>
      <c r="I5986" s="28" t="s">
        <v>29977</v>
      </c>
      <c r="J5986" s="28" t="s">
        <v>207</v>
      </c>
      <c r="K5986" s="28" t="s">
        <v>29066</v>
      </c>
      <c r="L5986" s="28" t="s">
        <v>27634</v>
      </c>
      <c r="M5986" s="28" t="s">
        <v>29978</v>
      </c>
      <c r="N5986" s="28" t="s">
        <v>27636</v>
      </c>
      <c r="O5986" s="28" t="s">
        <v>27637</v>
      </c>
      <c r="P5986" s="28" t="s">
        <v>29979</v>
      </c>
    </row>
    <row r="5987" spans="1:16" x14ac:dyDescent="0.25">
      <c r="A5987" s="28" t="s">
        <v>29980</v>
      </c>
      <c r="B5987" s="28" t="s">
        <v>29981</v>
      </c>
      <c r="C5987" s="28" t="s">
        <v>29063</v>
      </c>
      <c r="D5987" s="28" t="s">
        <v>1204</v>
      </c>
      <c r="E5987" s="28" t="s">
        <v>29982</v>
      </c>
      <c r="F5987" s="28" t="s">
        <v>21</v>
      </c>
      <c r="G5987" s="28" t="s">
        <v>207</v>
      </c>
      <c r="H5987" s="28" t="s">
        <v>27631</v>
      </c>
      <c r="I5987" s="28" t="s">
        <v>29983</v>
      </c>
      <c r="J5987" s="28" t="s">
        <v>207</v>
      </c>
      <c r="K5987" s="28" t="s">
        <v>29066</v>
      </c>
      <c r="L5987" s="28" t="s">
        <v>27634</v>
      </c>
      <c r="M5987" s="28" t="s">
        <v>29984</v>
      </c>
      <c r="N5987" s="28" t="s">
        <v>27636</v>
      </c>
      <c r="O5987" s="28" t="s">
        <v>27637</v>
      </c>
      <c r="P5987" s="28" t="s">
        <v>29985</v>
      </c>
    </row>
    <row r="5988" spans="1:16" x14ac:dyDescent="0.25">
      <c r="A5988" s="28" t="s">
        <v>29986</v>
      </c>
      <c r="B5988" s="28" t="s">
        <v>29987</v>
      </c>
      <c r="C5988" s="28" t="s">
        <v>29063</v>
      </c>
      <c r="D5988" s="28" t="s">
        <v>1204</v>
      </c>
      <c r="E5988" s="28" t="s">
        <v>29988</v>
      </c>
      <c r="F5988" s="28" t="s">
        <v>21</v>
      </c>
      <c r="G5988" s="28" t="s">
        <v>207</v>
      </c>
      <c r="H5988" s="28" t="s">
        <v>27631</v>
      </c>
      <c r="I5988" s="28" t="s">
        <v>29989</v>
      </c>
      <c r="J5988" s="28" t="s">
        <v>207</v>
      </c>
      <c r="K5988" s="28" t="s">
        <v>29066</v>
      </c>
      <c r="L5988" s="28" t="s">
        <v>27634</v>
      </c>
      <c r="M5988" s="28" t="s">
        <v>29990</v>
      </c>
      <c r="N5988" s="28" t="s">
        <v>27636</v>
      </c>
      <c r="O5988" s="28" t="s">
        <v>27637</v>
      </c>
      <c r="P5988" s="28" t="s">
        <v>29991</v>
      </c>
    </row>
    <row r="5989" spans="1:16" x14ac:dyDescent="0.25">
      <c r="A5989" s="28" t="s">
        <v>29992</v>
      </c>
      <c r="B5989" s="28" t="s">
        <v>29993</v>
      </c>
      <c r="C5989" s="28" t="s">
        <v>29063</v>
      </c>
      <c r="D5989" s="28" t="s">
        <v>1204</v>
      </c>
      <c r="E5989" s="28" t="s">
        <v>29994</v>
      </c>
      <c r="F5989" s="28" t="s">
        <v>21</v>
      </c>
      <c r="G5989" s="28" t="s">
        <v>207</v>
      </c>
      <c r="H5989" s="28" t="s">
        <v>27631</v>
      </c>
      <c r="I5989" s="28" t="s">
        <v>29995</v>
      </c>
      <c r="J5989" s="28" t="s">
        <v>207</v>
      </c>
      <c r="K5989" s="28" t="s">
        <v>29066</v>
      </c>
      <c r="L5989" s="28" t="s">
        <v>27634</v>
      </c>
      <c r="M5989" s="28" t="s">
        <v>29996</v>
      </c>
      <c r="N5989" s="28" t="s">
        <v>27636</v>
      </c>
      <c r="O5989" s="28" t="s">
        <v>27637</v>
      </c>
      <c r="P5989" s="28" t="s">
        <v>29997</v>
      </c>
    </row>
    <row r="5990" spans="1:16" x14ac:dyDescent="0.25">
      <c r="A5990" s="28" t="s">
        <v>29998</v>
      </c>
      <c r="B5990" s="28" t="s">
        <v>29999</v>
      </c>
      <c r="C5990" s="28" t="s">
        <v>29063</v>
      </c>
      <c r="D5990" s="28" t="s">
        <v>1204</v>
      </c>
      <c r="E5990" s="28" t="s">
        <v>30000</v>
      </c>
      <c r="F5990" s="28" t="s">
        <v>21</v>
      </c>
      <c r="G5990" s="28" t="s">
        <v>207</v>
      </c>
      <c r="H5990" s="28" t="s">
        <v>27631</v>
      </c>
      <c r="I5990" s="28" t="s">
        <v>30001</v>
      </c>
      <c r="J5990" s="28" t="s">
        <v>207</v>
      </c>
      <c r="K5990" s="28" t="s">
        <v>29066</v>
      </c>
      <c r="L5990" s="28" t="s">
        <v>27634</v>
      </c>
      <c r="M5990" s="28" t="s">
        <v>30002</v>
      </c>
      <c r="N5990" s="28" t="s">
        <v>27636</v>
      </c>
      <c r="O5990" s="28" t="s">
        <v>27637</v>
      </c>
      <c r="P5990" s="28" t="s">
        <v>30003</v>
      </c>
    </row>
    <row r="5991" spans="1:16" x14ac:dyDescent="0.25">
      <c r="A5991" s="28" t="s">
        <v>30004</v>
      </c>
      <c r="B5991" s="28" t="s">
        <v>30005</v>
      </c>
      <c r="C5991" s="28" t="s">
        <v>29063</v>
      </c>
      <c r="D5991" s="28" t="s">
        <v>1204</v>
      </c>
      <c r="E5991" s="28" t="s">
        <v>30006</v>
      </c>
      <c r="F5991" s="28" t="s">
        <v>21</v>
      </c>
      <c r="G5991" s="28" t="s">
        <v>207</v>
      </c>
      <c r="H5991" s="28" t="s">
        <v>27631</v>
      </c>
      <c r="I5991" s="28" t="s">
        <v>30007</v>
      </c>
      <c r="J5991" s="28" t="s">
        <v>207</v>
      </c>
      <c r="K5991" s="28" t="s">
        <v>29066</v>
      </c>
      <c r="L5991" s="28" t="s">
        <v>27634</v>
      </c>
      <c r="M5991" s="28" t="s">
        <v>30008</v>
      </c>
      <c r="N5991" s="28" t="s">
        <v>27636</v>
      </c>
      <c r="O5991" s="28" t="s">
        <v>27637</v>
      </c>
      <c r="P5991" s="28" t="s">
        <v>30009</v>
      </c>
    </row>
    <row r="5992" spans="1:16" x14ac:dyDescent="0.25">
      <c r="A5992" s="28" t="s">
        <v>30010</v>
      </c>
      <c r="B5992" s="28" t="s">
        <v>30011</v>
      </c>
      <c r="C5992" s="28" t="s">
        <v>29063</v>
      </c>
      <c r="D5992" s="28" t="s">
        <v>1204</v>
      </c>
      <c r="E5992" s="28" t="s">
        <v>30012</v>
      </c>
      <c r="F5992" s="28" t="s">
        <v>21</v>
      </c>
      <c r="G5992" s="28" t="s">
        <v>207</v>
      </c>
      <c r="H5992" s="28" t="s">
        <v>27631</v>
      </c>
      <c r="I5992" s="28" t="s">
        <v>30013</v>
      </c>
      <c r="J5992" s="28" t="s">
        <v>207</v>
      </c>
      <c r="K5992" s="28" t="s">
        <v>29066</v>
      </c>
      <c r="L5992" s="28" t="s">
        <v>27634</v>
      </c>
      <c r="M5992" s="28" t="s">
        <v>30014</v>
      </c>
      <c r="N5992" s="28" t="s">
        <v>27636</v>
      </c>
      <c r="O5992" s="28" t="s">
        <v>27637</v>
      </c>
      <c r="P5992" s="28" t="s">
        <v>30015</v>
      </c>
    </row>
    <row r="5993" spans="1:16" x14ac:dyDescent="0.25">
      <c r="A5993" s="28" t="s">
        <v>30016</v>
      </c>
      <c r="B5993" s="28" t="s">
        <v>30017</v>
      </c>
      <c r="C5993" s="28" t="s">
        <v>29063</v>
      </c>
      <c r="D5993" s="28" t="s">
        <v>1204</v>
      </c>
      <c r="E5993" s="28" t="s">
        <v>30018</v>
      </c>
      <c r="F5993" s="28" t="s">
        <v>21</v>
      </c>
      <c r="G5993" s="28" t="s">
        <v>207</v>
      </c>
      <c r="H5993" s="28" t="s">
        <v>27631</v>
      </c>
      <c r="I5993" s="28" t="s">
        <v>30019</v>
      </c>
      <c r="J5993" s="28" t="s">
        <v>207</v>
      </c>
      <c r="K5993" s="28" t="s">
        <v>29066</v>
      </c>
      <c r="L5993" s="28" t="s">
        <v>27634</v>
      </c>
      <c r="M5993" s="28" t="s">
        <v>30020</v>
      </c>
      <c r="N5993" s="28" t="s">
        <v>27636</v>
      </c>
      <c r="O5993" s="28" t="s">
        <v>27637</v>
      </c>
      <c r="P5993" s="28" t="s">
        <v>30021</v>
      </c>
    </row>
    <row r="5994" spans="1:16" x14ac:dyDescent="0.25">
      <c r="A5994" s="28" t="s">
        <v>30022</v>
      </c>
      <c r="B5994" s="28" t="s">
        <v>30023</v>
      </c>
      <c r="C5994" s="28" t="s">
        <v>29063</v>
      </c>
      <c r="D5994" s="28" t="s">
        <v>1204</v>
      </c>
      <c r="E5994" s="28" t="s">
        <v>30024</v>
      </c>
      <c r="F5994" s="28" t="s">
        <v>21</v>
      </c>
      <c r="G5994" s="28" t="s">
        <v>207</v>
      </c>
      <c r="H5994" s="28" t="s">
        <v>27631</v>
      </c>
      <c r="I5994" s="28" t="s">
        <v>30025</v>
      </c>
      <c r="J5994" s="28" t="s">
        <v>207</v>
      </c>
      <c r="K5994" s="28" t="s">
        <v>29066</v>
      </c>
      <c r="L5994" s="28" t="s">
        <v>27634</v>
      </c>
      <c r="M5994" s="28" t="s">
        <v>30026</v>
      </c>
      <c r="N5994" s="28" t="s">
        <v>27636</v>
      </c>
      <c r="O5994" s="28" t="s">
        <v>27637</v>
      </c>
      <c r="P5994" s="28" t="s">
        <v>30027</v>
      </c>
    </row>
    <row r="5995" spans="1:16" x14ac:dyDescent="0.25">
      <c r="A5995" s="28" t="s">
        <v>30028</v>
      </c>
      <c r="B5995" s="28" t="s">
        <v>30029</v>
      </c>
      <c r="C5995" s="28" t="s">
        <v>29063</v>
      </c>
      <c r="D5995" s="28" t="s">
        <v>1204</v>
      </c>
      <c r="E5995" s="28" t="s">
        <v>30030</v>
      </c>
      <c r="F5995" s="28" t="s">
        <v>21</v>
      </c>
      <c r="G5995" s="28" t="s">
        <v>207</v>
      </c>
      <c r="H5995" s="28" t="s">
        <v>27631</v>
      </c>
      <c r="I5995" s="28" t="s">
        <v>30031</v>
      </c>
      <c r="J5995" s="28" t="s">
        <v>207</v>
      </c>
      <c r="K5995" s="28" t="s">
        <v>29066</v>
      </c>
      <c r="L5995" s="28" t="s">
        <v>27634</v>
      </c>
      <c r="M5995" s="28" t="s">
        <v>30032</v>
      </c>
      <c r="N5995" s="28" t="s">
        <v>27636</v>
      </c>
      <c r="O5995" s="28" t="s">
        <v>27637</v>
      </c>
      <c r="P5995" s="28" t="s">
        <v>30033</v>
      </c>
    </row>
    <row r="5996" spans="1:16" x14ac:dyDescent="0.25">
      <c r="A5996" s="28" t="s">
        <v>30034</v>
      </c>
      <c r="B5996" s="28" t="s">
        <v>30035</v>
      </c>
      <c r="C5996" s="28" t="s">
        <v>29063</v>
      </c>
      <c r="D5996" s="28" t="s">
        <v>1204</v>
      </c>
      <c r="E5996" s="28" t="s">
        <v>30036</v>
      </c>
      <c r="F5996" s="28" t="s">
        <v>21</v>
      </c>
      <c r="G5996" s="28" t="s">
        <v>207</v>
      </c>
      <c r="H5996" s="28" t="s">
        <v>27631</v>
      </c>
      <c r="I5996" s="28" t="s">
        <v>30037</v>
      </c>
      <c r="J5996" s="28" t="s">
        <v>207</v>
      </c>
      <c r="K5996" s="28" t="s">
        <v>29066</v>
      </c>
      <c r="L5996" s="28" t="s">
        <v>27634</v>
      </c>
      <c r="M5996" s="28" t="s">
        <v>30038</v>
      </c>
      <c r="N5996" s="28" t="s">
        <v>27636</v>
      </c>
      <c r="O5996" s="28" t="s">
        <v>27637</v>
      </c>
      <c r="P5996" s="28" t="s">
        <v>30039</v>
      </c>
    </row>
    <row r="5997" spans="1:16" x14ac:dyDescent="0.25">
      <c r="A5997" s="28" t="s">
        <v>30040</v>
      </c>
      <c r="B5997" s="28" t="s">
        <v>30041</v>
      </c>
      <c r="C5997" s="28" t="s">
        <v>29063</v>
      </c>
      <c r="D5997" s="28" t="s">
        <v>1204</v>
      </c>
      <c r="E5997" s="28" t="s">
        <v>30042</v>
      </c>
      <c r="F5997" s="28" t="s">
        <v>21</v>
      </c>
      <c r="G5997" s="28" t="s">
        <v>207</v>
      </c>
      <c r="H5997" s="28" t="s">
        <v>27631</v>
      </c>
      <c r="I5997" s="28" t="s">
        <v>30043</v>
      </c>
      <c r="J5997" s="28" t="s">
        <v>207</v>
      </c>
      <c r="K5997" s="28" t="s">
        <v>29066</v>
      </c>
      <c r="L5997" s="28" t="s">
        <v>27634</v>
      </c>
      <c r="M5997" s="28" t="s">
        <v>30044</v>
      </c>
      <c r="N5997" s="28" t="s">
        <v>27636</v>
      </c>
      <c r="O5997" s="28" t="s">
        <v>27637</v>
      </c>
      <c r="P5997" s="28" t="s">
        <v>30045</v>
      </c>
    </row>
    <row r="5998" spans="1:16" x14ac:dyDescent="0.25">
      <c r="A5998" s="28" t="s">
        <v>30046</v>
      </c>
      <c r="B5998" s="28" t="s">
        <v>30047</v>
      </c>
      <c r="C5998" s="28" t="s">
        <v>29063</v>
      </c>
      <c r="D5998" s="28" t="s">
        <v>1204</v>
      </c>
      <c r="E5998" s="28" t="s">
        <v>12936</v>
      </c>
      <c r="F5998" s="28" t="s">
        <v>21</v>
      </c>
      <c r="G5998" s="28" t="s">
        <v>207</v>
      </c>
      <c r="H5998" s="28" t="s">
        <v>27631</v>
      </c>
      <c r="I5998" s="28" t="s">
        <v>30048</v>
      </c>
      <c r="J5998" s="28" t="s">
        <v>207</v>
      </c>
      <c r="K5998" s="28" t="s">
        <v>29066</v>
      </c>
      <c r="L5998" s="28" t="s">
        <v>27634</v>
      </c>
      <c r="M5998" s="28" t="s">
        <v>30049</v>
      </c>
      <c r="N5998" s="28" t="s">
        <v>27636</v>
      </c>
      <c r="O5998" s="28" t="s">
        <v>27637</v>
      </c>
      <c r="P5998" s="28" t="s">
        <v>30050</v>
      </c>
    </row>
    <row r="5999" spans="1:16" x14ac:dyDescent="0.25">
      <c r="A5999" s="28" t="s">
        <v>30051</v>
      </c>
      <c r="B5999" s="28" t="s">
        <v>30052</v>
      </c>
      <c r="C5999" s="28" t="s">
        <v>29063</v>
      </c>
      <c r="D5999" s="28" t="s">
        <v>1204</v>
      </c>
      <c r="E5999" s="28" t="s">
        <v>30053</v>
      </c>
      <c r="F5999" s="28" t="s">
        <v>21</v>
      </c>
      <c r="G5999" s="28" t="s">
        <v>207</v>
      </c>
      <c r="H5999" s="28" t="s">
        <v>27631</v>
      </c>
      <c r="I5999" s="28" t="s">
        <v>30054</v>
      </c>
      <c r="J5999" s="28" t="s">
        <v>207</v>
      </c>
      <c r="K5999" s="28" t="s">
        <v>29066</v>
      </c>
      <c r="L5999" s="28" t="s">
        <v>27634</v>
      </c>
      <c r="M5999" s="28" t="s">
        <v>30055</v>
      </c>
      <c r="N5999" s="28" t="s">
        <v>27636</v>
      </c>
      <c r="O5999" s="28" t="s">
        <v>27637</v>
      </c>
      <c r="P5999" s="28" t="s">
        <v>30056</v>
      </c>
    </row>
    <row r="6000" spans="1:16" x14ac:dyDescent="0.25">
      <c r="A6000" s="28" t="s">
        <v>30057</v>
      </c>
      <c r="B6000" s="28" t="s">
        <v>30058</v>
      </c>
      <c r="C6000" s="28" t="s">
        <v>29063</v>
      </c>
      <c r="D6000" s="28" t="s">
        <v>1204</v>
      </c>
      <c r="E6000" s="28" t="s">
        <v>30059</v>
      </c>
      <c r="F6000" s="28" t="s">
        <v>21</v>
      </c>
      <c r="G6000" s="28" t="s">
        <v>207</v>
      </c>
      <c r="H6000" s="28" t="s">
        <v>27631</v>
      </c>
      <c r="I6000" s="28" t="s">
        <v>30060</v>
      </c>
      <c r="J6000" s="28" t="s">
        <v>207</v>
      </c>
      <c r="K6000" s="28" t="s">
        <v>29066</v>
      </c>
      <c r="L6000" s="28" t="s">
        <v>27634</v>
      </c>
      <c r="M6000" s="28" t="s">
        <v>30061</v>
      </c>
      <c r="N6000" s="28" t="s">
        <v>27636</v>
      </c>
      <c r="O6000" s="28" t="s">
        <v>27637</v>
      </c>
      <c r="P6000" s="28" t="s">
        <v>30062</v>
      </c>
    </row>
    <row r="6001" spans="1:16" x14ac:dyDescent="0.25">
      <c r="A6001" s="28" t="s">
        <v>30063</v>
      </c>
      <c r="B6001" s="28" t="s">
        <v>30064</v>
      </c>
      <c r="C6001" s="28" t="s">
        <v>29063</v>
      </c>
      <c r="D6001" s="28" t="s">
        <v>1204</v>
      </c>
      <c r="E6001" s="28" t="s">
        <v>30065</v>
      </c>
      <c r="F6001" s="28" t="s">
        <v>21</v>
      </c>
      <c r="G6001" s="28" t="s">
        <v>207</v>
      </c>
      <c r="H6001" s="28" t="s">
        <v>27631</v>
      </c>
      <c r="I6001" s="28" t="s">
        <v>30066</v>
      </c>
      <c r="J6001" s="28" t="s">
        <v>207</v>
      </c>
      <c r="K6001" s="28" t="s">
        <v>29066</v>
      </c>
      <c r="L6001" s="28" t="s">
        <v>27634</v>
      </c>
      <c r="M6001" s="28" t="s">
        <v>30067</v>
      </c>
      <c r="N6001" s="28" t="s">
        <v>27636</v>
      </c>
      <c r="O6001" s="28" t="s">
        <v>27637</v>
      </c>
      <c r="P6001" s="28" t="s">
        <v>30068</v>
      </c>
    </row>
    <row r="6002" spans="1:16" x14ac:dyDescent="0.25">
      <c r="A6002" s="28" t="s">
        <v>30069</v>
      </c>
      <c r="B6002" s="28" t="s">
        <v>30070</v>
      </c>
      <c r="C6002" s="28" t="s">
        <v>29063</v>
      </c>
      <c r="D6002" s="28" t="s">
        <v>1204</v>
      </c>
      <c r="E6002" s="28" t="s">
        <v>30071</v>
      </c>
      <c r="F6002" s="28" t="s">
        <v>21</v>
      </c>
      <c r="G6002" s="28" t="s">
        <v>207</v>
      </c>
      <c r="H6002" s="28" t="s">
        <v>27631</v>
      </c>
      <c r="I6002" s="28" t="s">
        <v>30072</v>
      </c>
      <c r="J6002" s="28" t="s">
        <v>207</v>
      </c>
      <c r="K6002" s="28" t="s">
        <v>29066</v>
      </c>
      <c r="L6002" s="28" t="s">
        <v>27634</v>
      </c>
      <c r="M6002" s="28" t="s">
        <v>30073</v>
      </c>
      <c r="N6002" s="28" t="s">
        <v>27636</v>
      </c>
      <c r="O6002" s="28" t="s">
        <v>27637</v>
      </c>
      <c r="P6002" s="28" t="s">
        <v>30074</v>
      </c>
    </row>
    <row r="6003" spans="1:16" x14ac:dyDescent="0.25">
      <c r="A6003" s="28" t="s">
        <v>30075</v>
      </c>
      <c r="B6003" s="28" t="s">
        <v>30076</v>
      </c>
      <c r="C6003" s="28" t="s">
        <v>29063</v>
      </c>
      <c r="D6003" s="28" t="s">
        <v>1204</v>
      </c>
      <c r="E6003" s="28" t="s">
        <v>30077</v>
      </c>
      <c r="F6003" s="28" t="s">
        <v>21</v>
      </c>
      <c r="G6003" s="28" t="s">
        <v>207</v>
      </c>
      <c r="H6003" s="28" t="s">
        <v>27631</v>
      </c>
      <c r="I6003" s="28" t="s">
        <v>30078</v>
      </c>
      <c r="J6003" s="28" t="s">
        <v>207</v>
      </c>
      <c r="K6003" s="28" t="s">
        <v>29066</v>
      </c>
      <c r="L6003" s="28" t="s">
        <v>27634</v>
      </c>
      <c r="M6003" s="28" t="s">
        <v>30079</v>
      </c>
      <c r="N6003" s="28" t="s">
        <v>27636</v>
      </c>
      <c r="O6003" s="28" t="s">
        <v>27637</v>
      </c>
      <c r="P6003" s="28" t="s">
        <v>30080</v>
      </c>
    </row>
    <row r="6004" spans="1:16" x14ac:dyDescent="0.25">
      <c r="A6004" s="28" t="s">
        <v>30081</v>
      </c>
      <c r="B6004" s="28" t="s">
        <v>30082</v>
      </c>
      <c r="C6004" s="28" t="s">
        <v>29063</v>
      </c>
      <c r="D6004" s="28" t="s">
        <v>1204</v>
      </c>
      <c r="E6004" s="28" t="s">
        <v>30083</v>
      </c>
      <c r="F6004" s="28" t="s">
        <v>21</v>
      </c>
      <c r="G6004" s="28" t="s">
        <v>207</v>
      </c>
      <c r="H6004" s="28" t="s">
        <v>27631</v>
      </c>
      <c r="I6004" s="28" t="s">
        <v>30084</v>
      </c>
      <c r="J6004" s="28" t="s">
        <v>207</v>
      </c>
      <c r="K6004" s="28" t="s">
        <v>29066</v>
      </c>
      <c r="L6004" s="28" t="s">
        <v>27634</v>
      </c>
      <c r="M6004" s="28" t="s">
        <v>30085</v>
      </c>
      <c r="N6004" s="28" t="s">
        <v>27636</v>
      </c>
      <c r="O6004" s="28" t="s">
        <v>27637</v>
      </c>
      <c r="P6004" s="28" t="s">
        <v>30086</v>
      </c>
    </row>
    <row r="6005" spans="1:16" x14ac:dyDescent="0.25">
      <c r="A6005" s="28" t="s">
        <v>30087</v>
      </c>
      <c r="B6005" s="28" t="s">
        <v>30088</v>
      </c>
      <c r="C6005" s="28" t="s">
        <v>29063</v>
      </c>
      <c r="D6005" s="28" t="s">
        <v>1204</v>
      </c>
      <c r="E6005" s="28" t="s">
        <v>30089</v>
      </c>
      <c r="F6005" s="28" t="s">
        <v>21</v>
      </c>
      <c r="G6005" s="28" t="s">
        <v>207</v>
      </c>
      <c r="H6005" s="28" t="s">
        <v>27631</v>
      </c>
      <c r="I6005" s="28" t="s">
        <v>30090</v>
      </c>
      <c r="J6005" s="28" t="s">
        <v>207</v>
      </c>
      <c r="K6005" s="28" t="s">
        <v>29066</v>
      </c>
      <c r="L6005" s="28" t="s">
        <v>27634</v>
      </c>
      <c r="M6005" s="28" t="s">
        <v>30091</v>
      </c>
      <c r="N6005" s="28" t="s">
        <v>27636</v>
      </c>
      <c r="O6005" s="28" t="s">
        <v>27637</v>
      </c>
      <c r="P6005" s="28" t="s">
        <v>30092</v>
      </c>
    </row>
    <row r="6006" spans="1:16" x14ac:dyDescent="0.25">
      <c r="A6006" s="28" t="s">
        <v>30093</v>
      </c>
      <c r="B6006" s="28" t="s">
        <v>30094</v>
      </c>
      <c r="C6006" s="28" t="s">
        <v>29063</v>
      </c>
      <c r="D6006" s="28" t="s">
        <v>1204</v>
      </c>
      <c r="E6006" s="28" t="s">
        <v>30095</v>
      </c>
      <c r="F6006" s="28" t="s">
        <v>21</v>
      </c>
      <c r="G6006" s="28" t="s">
        <v>207</v>
      </c>
      <c r="H6006" s="28" t="s">
        <v>27631</v>
      </c>
      <c r="I6006" s="28" t="s">
        <v>30096</v>
      </c>
      <c r="J6006" s="28" t="s">
        <v>207</v>
      </c>
      <c r="K6006" s="28" t="s">
        <v>29066</v>
      </c>
      <c r="L6006" s="28" t="s">
        <v>27634</v>
      </c>
      <c r="M6006" s="28" t="s">
        <v>30097</v>
      </c>
      <c r="N6006" s="28" t="s">
        <v>27636</v>
      </c>
      <c r="O6006" s="28" t="s">
        <v>27637</v>
      </c>
      <c r="P6006" s="28" t="s">
        <v>30098</v>
      </c>
    </row>
    <row r="6007" spans="1:16" x14ac:dyDescent="0.25">
      <c r="A6007" s="28" t="s">
        <v>30099</v>
      </c>
      <c r="B6007" s="28" t="s">
        <v>30100</v>
      </c>
      <c r="C6007" s="28" t="s">
        <v>29063</v>
      </c>
      <c r="D6007" s="28" t="s">
        <v>1204</v>
      </c>
      <c r="E6007" s="28" t="s">
        <v>30101</v>
      </c>
      <c r="F6007" s="28" t="s">
        <v>21</v>
      </c>
      <c r="G6007" s="28" t="s">
        <v>207</v>
      </c>
      <c r="H6007" s="28" t="s">
        <v>27631</v>
      </c>
      <c r="I6007" s="28" t="s">
        <v>30102</v>
      </c>
      <c r="J6007" s="28" t="s">
        <v>207</v>
      </c>
      <c r="K6007" s="28" t="s">
        <v>29066</v>
      </c>
      <c r="L6007" s="28" t="s">
        <v>27634</v>
      </c>
      <c r="M6007" s="28" t="s">
        <v>30103</v>
      </c>
      <c r="N6007" s="28" t="s">
        <v>27636</v>
      </c>
      <c r="O6007" s="28" t="s">
        <v>27637</v>
      </c>
      <c r="P6007" s="28" t="s">
        <v>30104</v>
      </c>
    </row>
    <row r="6008" spans="1:16" x14ac:dyDescent="0.25">
      <c r="A6008" s="28" t="s">
        <v>30105</v>
      </c>
      <c r="B6008" s="28" t="s">
        <v>30106</v>
      </c>
      <c r="C6008" s="28" t="s">
        <v>29063</v>
      </c>
      <c r="D6008" s="28" t="s">
        <v>1204</v>
      </c>
      <c r="E6008" s="28" t="s">
        <v>30107</v>
      </c>
      <c r="F6008" s="28" t="s">
        <v>21</v>
      </c>
      <c r="G6008" s="28" t="s">
        <v>207</v>
      </c>
      <c r="H6008" s="28" t="s">
        <v>27631</v>
      </c>
      <c r="I6008" s="28" t="s">
        <v>30108</v>
      </c>
      <c r="J6008" s="28" t="s">
        <v>207</v>
      </c>
      <c r="K6008" s="28" t="s">
        <v>29066</v>
      </c>
      <c r="L6008" s="28" t="s">
        <v>27634</v>
      </c>
      <c r="M6008" s="28" t="s">
        <v>30109</v>
      </c>
      <c r="N6008" s="28" t="s">
        <v>27636</v>
      </c>
      <c r="O6008" s="28" t="s">
        <v>27637</v>
      </c>
      <c r="P6008" s="28" t="s">
        <v>30110</v>
      </c>
    </row>
    <row r="6009" spans="1:16" x14ac:dyDescent="0.25">
      <c r="A6009" s="28" t="s">
        <v>30111</v>
      </c>
      <c r="B6009" s="28" t="s">
        <v>30112</v>
      </c>
      <c r="C6009" s="28" t="s">
        <v>29063</v>
      </c>
      <c r="D6009" s="28" t="s">
        <v>1204</v>
      </c>
      <c r="E6009" s="28" t="s">
        <v>30113</v>
      </c>
      <c r="F6009" s="28" t="s">
        <v>21</v>
      </c>
      <c r="G6009" s="28" t="s">
        <v>207</v>
      </c>
      <c r="H6009" s="28" t="s">
        <v>27631</v>
      </c>
      <c r="I6009" s="28" t="s">
        <v>30114</v>
      </c>
      <c r="J6009" s="28" t="s">
        <v>207</v>
      </c>
      <c r="K6009" s="28" t="s">
        <v>29066</v>
      </c>
      <c r="L6009" s="28" t="s">
        <v>27634</v>
      </c>
      <c r="M6009" s="28" t="s">
        <v>30115</v>
      </c>
      <c r="N6009" s="28" t="s">
        <v>27636</v>
      </c>
      <c r="O6009" s="28" t="s">
        <v>27637</v>
      </c>
      <c r="P6009" s="28" t="s">
        <v>30116</v>
      </c>
    </row>
    <row r="6010" spans="1:16" x14ac:dyDescent="0.25">
      <c r="A6010" s="28" t="s">
        <v>30117</v>
      </c>
      <c r="B6010" s="28" t="s">
        <v>30118</v>
      </c>
      <c r="C6010" s="28" t="s">
        <v>29063</v>
      </c>
      <c r="D6010" s="28" t="s">
        <v>1204</v>
      </c>
      <c r="E6010" s="28" t="s">
        <v>30119</v>
      </c>
      <c r="F6010" s="28" t="s">
        <v>21</v>
      </c>
      <c r="G6010" s="28" t="s">
        <v>207</v>
      </c>
      <c r="H6010" s="28" t="s">
        <v>27631</v>
      </c>
      <c r="I6010" s="28" t="s">
        <v>30120</v>
      </c>
      <c r="J6010" s="28" t="s">
        <v>207</v>
      </c>
      <c r="K6010" s="28" t="s">
        <v>29066</v>
      </c>
      <c r="L6010" s="28" t="s">
        <v>27634</v>
      </c>
      <c r="M6010" s="28" t="s">
        <v>30121</v>
      </c>
      <c r="N6010" s="28" t="s">
        <v>27636</v>
      </c>
      <c r="O6010" s="28" t="s">
        <v>27637</v>
      </c>
      <c r="P6010" s="28" t="s">
        <v>30122</v>
      </c>
    </row>
    <row r="6011" spans="1:16" x14ac:dyDescent="0.25">
      <c r="A6011" s="28" t="s">
        <v>30123</v>
      </c>
      <c r="B6011" s="28" t="s">
        <v>30124</v>
      </c>
      <c r="C6011" s="28" t="s">
        <v>29063</v>
      </c>
      <c r="D6011" s="28" t="s">
        <v>1204</v>
      </c>
      <c r="E6011" s="28" t="s">
        <v>30125</v>
      </c>
      <c r="F6011" s="28" t="s">
        <v>21</v>
      </c>
      <c r="G6011" s="28" t="s">
        <v>207</v>
      </c>
      <c r="H6011" s="28" t="s">
        <v>27631</v>
      </c>
      <c r="I6011" s="28" t="s">
        <v>30126</v>
      </c>
      <c r="J6011" s="28" t="s">
        <v>207</v>
      </c>
      <c r="K6011" s="28" t="s">
        <v>29066</v>
      </c>
      <c r="L6011" s="28" t="s">
        <v>27634</v>
      </c>
      <c r="M6011" s="28" t="s">
        <v>30127</v>
      </c>
      <c r="N6011" s="28" t="s">
        <v>27636</v>
      </c>
      <c r="O6011" s="28" t="s">
        <v>27637</v>
      </c>
      <c r="P6011" s="28" t="s">
        <v>30128</v>
      </c>
    </row>
    <row r="6012" spans="1:16" x14ac:dyDescent="0.25">
      <c r="A6012" s="28" t="s">
        <v>30129</v>
      </c>
      <c r="B6012" s="28" t="s">
        <v>30130</v>
      </c>
      <c r="C6012" s="28" t="s">
        <v>29063</v>
      </c>
      <c r="D6012" s="28" t="s">
        <v>1204</v>
      </c>
      <c r="E6012" s="28" t="s">
        <v>30131</v>
      </c>
      <c r="F6012" s="28" t="s">
        <v>21</v>
      </c>
      <c r="G6012" s="28" t="s">
        <v>207</v>
      </c>
      <c r="H6012" s="28" t="s">
        <v>27631</v>
      </c>
      <c r="I6012" s="28" t="s">
        <v>30132</v>
      </c>
      <c r="J6012" s="28" t="s">
        <v>207</v>
      </c>
      <c r="K6012" s="28" t="s">
        <v>29066</v>
      </c>
      <c r="L6012" s="28" t="s">
        <v>27634</v>
      </c>
      <c r="M6012" s="28" t="s">
        <v>30133</v>
      </c>
      <c r="N6012" s="28" t="s">
        <v>27636</v>
      </c>
      <c r="O6012" s="28" t="s">
        <v>27637</v>
      </c>
      <c r="P6012" s="28" t="s">
        <v>30134</v>
      </c>
    </row>
    <row r="6013" spans="1:16" x14ac:dyDescent="0.25">
      <c r="A6013" s="28" t="s">
        <v>30135</v>
      </c>
      <c r="B6013" s="28" t="s">
        <v>30136</v>
      </c>
      <c r="C6013" s="28" t="s">
        <v>29063</v>
      </c>
      <c r="D6013" s="28" t="s">
        <v>1204</v>
      </c>
      <c r="E6013" s="28" t="s">
        <v>12942</v>
      </c>
      <c r="F6013" s="28" t="s">
        <v>21</v>
      </c>
      <c r="G6013" s="28" t="s">
        <v>207</v>
      </c>
      <c r="H6013" s="28" t="s">
        <v>27631</v>
      </c>
      <c r="I6013" s="28" t="s">
        <v>30137</v>
      </c>
      <c r="J6013" s="28" t="s">
        <v>207</v>
      </c>
      <c r="K6013" s="28" t="s">
        <v>29066</v>
      </c>
      <c r="L6013" s="28" t="s">
        <v>27634</v>
      </c>
      <c r="M6013" s="28" t="s">
        <v>30138</v>
      </c>
      <c r="N6013" s="28" t="s">
        <v>27636</v>
      </c>
      <c r="O6013" s="28" t="s">
        <v>27637</v>
      </c>
      <c r="P6013" s="28" t="s">
        <v>30139</v>
      </c>
    </row>
    <row r="6014" spans="1:16" x14ac:dyDescent="0.25">
      <c r="A6014" s="28" t="s">
        <v>30140</v>
      </c>
      <c r="B6014" s="28" t="s">
        <v>30141</v>
      </c>
      <c r="C6014" s="28" t="s">
        <v>29063</v>
      </c>
      <c r="D6014" s="28" t="s">
        <v>1204</v>
      </c>
      <c r="E6014" s="28" t="s">
        <v>12948</v>
      </c>
      <c r="F6014" s="28" t="s">
        <v>21</v>
      </c>
      <c r="G6014" s="28" t="s">
        <v>207</v>
      </c>
      <c r="H6014" s="28" t="s">
        <v>27631</v>
      </c>
      <c r="I6014" s="28" t="s">
        <v>30142</v>
      </c>
      <c r="J6014" s="28" t="s">
        <v>207</v>
      </c>
      <c r="K6014" s="28" t="s">
        <v>29066</v>
      </c>
      <c r="L6014" s="28" t="s">
        <v>27634</v>
      </c>
      <c r="M6014" s="28" t="s">
        <v>30143</v>
      </c>
      <c r="N6014" s="28" t="s">
        <v>27636</v>
      </c>
      <c r="O6014" s="28" t="s">
        <v>27637</v>
      </c>
      <c r="P6014" s="28" t="s">
        <v>30144</v>
      </c>
    </row>
    <row r="6015" spans="1:16" x14ac:dyDescent="0.25">
      <c r="A6015" s="28" t="s">
        <v>30145</v>
      </c>
      <c r="B6015" s="28" t="s">
        <v>30146</v>
      </c>
      <c r="C6015" s="28" t="s">
        <v>29063</v>
      </c>
      <c r="D6015" s="28" t="s">
        <v>1204</v>
      </c>
      <c r="E6015" s="28" t="s">
        <v>30147</v>
      </c>
      <c r="F6015" s="28" t="s">
        <v>21</v>
      </c>
      <c r="G6015" s="28" t="s">
        <v>207</v>
      </c>
      <c r="H6015" s="28" t="s">
        <v>27631</v>
      </c>
      <c r="I6015" s="28" t="s">
        <v>30148</v>
      </c>
      <c r="J6015" s="28" t="s">
        <v>207</v>
      </c>
      <c r="K6015" s="28" t="s">
        <v>29066</v>
      </c>
      <c r="L6015" s="28" t="s">
        <v>27634</v>
      </c>
      <c r="M6015" s="28" t="s">
        <v>30149</v>
      </c>
      <c r="N6015" s="28" t="s">
        <v>27636</v>
      </c>
      <c r="O6015" s="28" t="s">
        <v>27637</v>
      </c>
      <c r="P6015" s="28" t="s">
        <v>30150</v>
      </c>
    </row>
    <row r="6016" spans="1:16" x14ac:dyDescent="0.25">
      <c r="A6016" s="28" t="s">
        <v>30151</v>
      </c>
      <c r="B6016" s="28" t="s">
        <v>30152</v>
      </c>
      <c r="C6016" s="28" t="s">
        <v>29063</v>
      </c>
      <c r="D6016" s="28" t="s">
        <v>1204</v>
      </c>
      <c r="E6016" s="28" t="s">
        <v>30153</v>
      </c>
      <c r="F6016" s="28" t="s">
        <v>21</v>
      </c>
      <c r="G6016" s="28" t="s">
        <v>207</v>
      </c>
      <c r="H6016" s="28" t="s">
        <v>27631</v>
      </c>
      <c r="I6016" s="28" t="s">
        <v>30154</v>
      </c>
      <c r="J6016" s="28" t="s">
        <v>207</v>
      </c>
      <c r="K6016" s="28" t="s">
        <v>29066</v>
      </c>
      <c r="L6016" s="28" t="s">
        <v>27634</v>
      </c>
      <c r="M6016" s="28" t="s">
        <v>30155</v>
      </c>
      <c r="N6016" s="28" t="s">
        <v>27636</v>
      </c>
      <c r="O6016" s="28" t="s">
        <v>27637</v>
      </c>
      <c r="P6016" s="28" t="s">
        <v>30156</v>
      </c>
    </row>
    <row r="6017" spans="1:16" x14ac:dyDescent="0.25">
      <c r="A6017" s="28" t="s">
        <v>30157</v>
      </c>
      <c r="B6017" s="28" t="s">
        <v>30158</v>
      </c>
      <c r="C6017" s="28" t="s">
        <v>29063</v>
      </c>
      <c r="D6017" s="28" t="s">
        <v>1204</v>
      </c>
      <c r="E6017" s="28" t="s">
        <v>30159</v>
      </c>
      <c r="F6017" s="28" t="s">
        <v>21</v>
      </c>
      <c r="G6017" s="28" t="s">
        <v>207</v>
      </c>
      <c r="H6017" s="28" t="s">
        <v>27631</v>
      </c>
      <c r="I6017" s="28" t="s">
        <v>30160</v>
      </c>
      <c r="J6017" s="28" t="s">
        <v>207</v>
      </c>
      <c r="K6017" s="28" t="s">
        <v>29066</v>
      </c>
      <c r="L6017" s="28" t="s">
        <v>27634</v>
      </c>
      <c r="M6017" s="28" t="s">
        <v>30161</v>
      </c>
      <c r="N6017" s="28" t="s">
        <v>27636</v>
      </c>
      <c r="O6017" s="28" t="s">
        <v>27637</v>
      </c>
      <c r="P6017" s="28" t="s">
        <v>30162</v>
      </c>
    </row>
    <row r="6018" spans="1:16" x14ac:dyDescent="0.25">
      <c r="A6018" s="28" t="s">
        <v>30163</v>
      </c>
      <c r="B6018" s="28" t="s">
        <v>30164</v>
      </c>
      <c r="C6018" s="28" t="s">
        <v>29063</v>
      </c>
      <c r="D6018" s="28" t="s">
        <v>1204</v>
      </c>
      <c r="E6018" s="28" t="s">
        <v>30165</v>
      </c>
      <c r="F6018" s="28" t="s">
        <v>21</v>
      </c>
      <c r="G6018" s="28" t="s">
        <v>207</v>
      </c>
      <c r="H6018" s="28" t="s">
        <v>27631</v>
      </c>
      <c r="I6018" s="28" t="s">
        <v>30166</v>
      </c>
      <c r="J6018" s="28" t="s">
        <v>207</v>
      </c>
      <c r="K6018" s="28" t="s">
        <v>29066</v>
      </c>
      <c r="L6018" s="28" t="s">
        <v>27634</v>
      </c>
      <c r="M6018" s="28" t="s">
        <v>30167</v>
      </c>
      <c r="N6018" s="28" t="s">
        <v>27636</v>
      </c>
      <c r="O6018" s="28" t="s">
        <v>27637</v>
      </c>
      <c r="P6018" s="28" t="s">
        <v>30168</v>
      </c>
    </row>
    <row r="6019" spans="1:16" x14ac:dyDescent="0.25">
      <c r="A6019" s="28" t="s">
        <v>30169</v>
      </c>
      <c r="B6019" s="28" t="s">
        <v>30170</v>
      </c>
      <c r="C6019" s="28" t="s">
        <v>29063</v>
      </c>
      <c r="D6019" s="28" t="s">
        <v>1204</v>
      </c>
      <c r="E6019" s="28" t="s">
        <v>30171</v>
      </c>
      <c r="F6019" s="28" t="s">
        <v>21</v>
      </c>
      <c r="G6019" s="28" t="s">
        <v>207</v>
      </c>
      <c r="H6019" s="28" t="s">
        <v>27631</v>
      </c>
      <c r="I6019" s="28" t="s">
        <v>30172</v>
      </c>
      <c r="J6019" s="28" t="s">
        <v>207</v>
      </c>
      <c r="K6019" s="28" t="s">
        <v>29066</v>
      </c>
      <c r="L6019" s="28" t="s">
        <v>27634</v>
      </c>
      <c r="M6019" s="28" t="s">
        <v>30173</v>
      </c>
      <c r="N6019" s="28" t="s">
        <v>27636</v>
      </c>
      <c r="O6019" s="28" t="s">
        <v>27637</v>
      </c>
      <c r="P6019" s="28" t="s">
        <v>30174</v>
      </c>
    </row>
    <row r="6020" spans="1:16" x14ac:dyDescent="0.25">
      <c r="A6020" s="28" t="s">
        <v>30175</v>
      </c>
      <c r="B6020" s="28" t="s">
        <v>30176</v>
      </c>
      <c r="C6020" s="28" t="s">
        <v>29063</v>
      </c>
      <c r="D6020" s="28" t="s">
        <v>1204</v>
      </c>
      <c r="E6020" s="28" t="s">
        <v>30177</v>
      </c>
      <c r="F6020" s="28" t="s">
        <v>21</v>
      </c>
      <c r="G6020" s="28" t="s">
        <v>207</v>
      </c>
      <c r="H6020" s="28" t="s">
        <v>27631</v>
      </c>
      <c r="I6020" s="28" t="s">
        <v>30178</v>
      </c>
      <c r="J6020" s="28" t="s">
        <v>207</v>
      </c>
      <c r="K6020" s="28" t="s">
        <v>29066</v>
      </c>
      <c r="L6020" s="28" t="s">
        <v>27634</v>
      </c>
      <c r="M6020" s="28" t="s">
        <v>30179</v>
      </c>
      <c r="N6020" s="28" t="s">
        <v>27636</v>
      </c>
      <c r="O6020" s="28" t="s">
        <v>27637</v>
      </c>
      <c r="P6020" s="28" t="s">
        <v>30180</v>
      </c>
    </row>
    <row r="6021" spans="1:16" x14ac:dyDescent="0.25">
      <c r="A6021" s="28" t="s">
        <v>30181</v>
      </c>
      <c r="B6021" s="28" t="s">
        <v>30182</v>
      </c>
      <c r="C6021" s="28" t="s">
        <v>29063</v>
      </c>
      <c r="D6021" s="28" t="s">
        <v>1204</v>
      </c>
      <c r="E6021" s="28" t="s">
        <v>30183</v>
      </c>
      <c r="F6021" s="28" t="s">
        <v>21</v>
      </c>
      <c r="G6021" s="28" t="s">
        <v>207</v>
      </c>
      <c r="H6021" s="28" t="s">
        <v>27631</v>
      </c>
      <c r="I6021" s="28" t="s">
        <v>30184</v>
      </c>
      <c r="J6021" s="28" t="s">
        <v>207</v>
      </c>
      <c r="K6021" s="28" t="s">
        <v>29066</v>
      </c>
      <c r="L6021" s="28" t="s">
        <v>27634</v>
      </c>
      <c r="M6021" s="28" t="s">
        <v>30185</v>
      </c>
      <c r="N6021" s="28" t="s">
        <v>27636</v>
      </c>
      <c r="O6021" s="28" t="s">
        <v>27637</v>
      </c>
      <c r="P6021" s="28" t="s">
        <v>30186</v>
      </c>
    </row>
    <row r="6022" spans="1:16" x14ac:dyDescent="0.25">
      <c r="A6022" s="28" t="s">
        <v>30187</v>
      </c>
      <c r="B6022" s="28" t="s">
        <v>30188</v>
      </c>
      <c r="C6022" s="28" t="s">
        <v>29063</v>
      </c>
      <c r="D6022" s="28" t="s">
        <v>1204</v>
      </c>
      <c r="E6022" s="28" t="s">
        <v>30189</v>
      </c>
      <c r="F6022" s="28" t="s">
        <v>21</v>
      </c>
      <c r="G6022" s="28" t="s">
        <v>207</v>
      </c>
      <c r="H6022" s="28" t="s">
        <v>27631</v>
      </c>
      <c r="I6022" s="28" t="s">
        <v>30190</v>
      </c>
      <c r="J6022" s="28" t="s">
        <v>207</v>
      </c>
      <c r="K6022" s="28" t="s">
        <v>29066</v>
      </c>
      <c r="L6022" s="28" t="s">
        <v>27634</v>
      </c>
      <c r="M6022" s="28" t="s">
        <v>30191</v>
      </c>
      <c r="N6022" s="28" t="s">
        <v>27636</v>
      </c>
      <c r="O6022" s="28" t="s">
        <v>27637</v>
      </c>
      <c r="P6022" s="28" t="s">
        <v>30192</v>
      </c>
    </row>
    <row r="6023" spans="1:16" x14ac:dyDescent="0.25">
      <c r="A6023" s="28" t="s">
        <v>30193</v>
      </c>
      <c r="B6023" s="28" t="s">
        <v>30194</v>
      </c>
      <c r="C6023" s="28" t="s">
        <v>29063</v>
      </c>
      <c r="D6023" s="28" t="s">
        <v>1204</v>
      </c>
      <c r="E6023" s="28" t="s">
        <v>30195</v>
      </c>
      <c r="F6023" s="28" t="s">
        <v>21</v>
      </c>
      <c r="G6023" s="28" t="s">
        <v>207</v>
      </c>
      <c r="H6023" s="28" t="s">
        <v>27631</v>
      </c>
      <c r="I6023" s="28" t="s">
        <v>30196</v>
      </c>
      <c r="J6023" s="28" t="s">
        <v>207</v>
      </c>
      <c r="K6023" s="28" t="s">
        <v>29066</v>
      </c>
      <c r="L6023" s="28" t="s">
        <v>27634</v>
      </c>
      <c r="M6023" s="28" t="s">
        <v>30197</v>
      </c>
      <c r="N6023" s="28" t="s">
        <v>27636</v>
      </c>
      <c r="O6023" s="28" t="s">
        <v>27637</v>
      </c>
      <c r="P6023" s="28" t="s">
        <v>30198</v>
      </c>
    </row>
    <row r="6024" spans="1:16" x14ac:dyDescent="0.25">
      <c r="A6024" s="28" t="s">
        <v>30199</v>
      </c>
      <c r="B6024" s="28" t="s">
        <v>30200</v>
      </c>
      <c r="C6024" s="28" t="s">
        <v>29063</v>
      </c>
      <c r="D6024" s="28" t="s">
        <v>1204</v>
      </c>
      <c r="E6024" s="28" t="s">
        <v>30201</v>
      </c>
      <c r="F6024" s="28" t="s">
        <v>21</v>
      </c>
      <c r="G6024" s="28" t="s">
        <v>207</v>
      </c>
      <c r="H6024" s="28" t="s">
        <v>27631</v>
      </c>
      <c r="I6024" s="28" t="s">
        <v>30202</v>
      </c>
      <c r="J6024" s="28" t="s">
        <v>207</v>
      </c>
      <c r="K6024" s="28" t="s">
        <v>29066</v>
      </c>
      <c r="L6024" s="28" t="s">
        <v>27634</v>
      </c>
      <c r="M6024" s="28" t="s">
        <v>30203</v>
      </c>
      <c r="N6024" s="28" t="s">
        <v>27636</v>
      </c>
      <c r="O6024" s="28" t="s">
        <v>27637</v>
      </c>
      <c r="P6024" s="28" t="s">
        <v>30204</v>
      </c>
    </row>
    <row r="6025" spans="1:16" x14ac:dyDescent="0.25">
      <c r="A6025" s="28" t="s">
        <v>30205</v>
      </c>
      <c r="B6025" s="28" t="s">
        <v>30206</v>
      </c>
      <c r="C6025" s="28" t="s">
        <v>29063</v>
      </c>
      <c r="D6025" s="28" t="s">
        <v>1204</v>
      </c>
      <c r="E6025" s="28" t="s">
        <v>30207</v>
      </c>
      <c r="F6025" s="28" t="s">
        <v>21</v>
      </c>
      <c r="G6025" s="28" t="s">
        <v>207</v>
      </c>
      <c r="H6025" s="28" t="s">
        <v>27631</v>
      </c>
      <c r="I6025" s="28" t="s">
        <v>30208</v>
      </c>
      <c r="J6025" s="28" t="s">
        <v>207</v>
      </c>
      <c r="K6025" s="28" t="s">
        <v>29066</v>
      </c>
      <c r="L6025" s="28" t="s">
        <v>27634</v>
      </c>
      <c r="M6025" s="28" t="s">
        <v>30209</v>
      </c>
      <c r="N6025" s="28" t="s">
        <v>27636</v>
      </c>
      <c r="O6025" s="28" t="s">
        <v>27637</v>
      </c>
      <c r="P6025" s="28" t="s">
        <v>30210</v>
      </c>
    </row>
    <row r="6026" spans="1:16" x14ac:dyDescent="0.25">
      <c r="A6026" s="28" t="s">
        <v>30211</v>
      </c>
      <c r="B6026" s="28" t="s">
        <v>30212</v>
      </c>
      <c r="C6026" s="28" t="s">
        <v>29063</v>
      </c>
      <c r="D6026" s="28" t="s">
        <v>1204</v>
      </c>
      <c r="E6026" s="28" t="s">
        <v>12954</v>
      </c>
      <c r="F6026" s="28" t="s">
        <v>21</v>
      </c>
      <c r="G6026" s="28" t="s">
        <v>207</v>
      </c>
      <c r="H6026" s="28" t="s">
        <v>27631</v>
      </c>
      <c r="I6026" s="28" t="s">
        <v>30213</v>
      </c>
      <c r="J6026" s="28" t="s">
        <v>207</v>
      </c>
      <c r="K6026" s="28" t="s">
        <v>29066</v>
      </c>
      <c r="L6026" s="28" t="s">
        <v>27634</v>
      </c>
      <c r="M6026" s="28" t="s">
        <v>30214</v>
      </c>
      <c r="N6026" s="28" t="s">
        <v>27636</v>
      </c>
      <c r="O6026" s="28" t="s">
        <v>27637</v>
      </c>
      <c r="P6026" s="28" t="s">
        <v>30215</v>
      </c>
    </row>
    <row r="6027" spans="1:16" x14ac:dyDescent="0.25">
      <c r="A6027" s="28" t="s">
        <v>30216</v>
      </c>
      <c r="B6027" s="28" t="s">
        <v>30217</v>
      </c>
      <c r="C6027" s="28" t="s">
        <v>29063</v>
      </c>
      <c r="D6027" s="28" t="s">
        <v>1204</v>
      </c>
      <c r="E6027" s="28" t="s">
        <v>30218</v>
      </c>
      <c r="F6027" s="28" t="s">
        <v>21</v>
      </c>
      <c r="G6027" s="28" t="s">
        <v>207</v>
      </c>
      <c r="H6027" s="28" t="s">
        <v>27631</v>
      </c>
      <c r="I6027" s="28" t="s">
        <v>30219</v>
      </c>
      <c r="J6027" s="28" t="s">
        <v>207</v>
      </c>
      <c r="K6027" s="28" t="s">
        <v>29066</v>
      </c>
      <c r="L6027" s="28" t="s">
        <v>27634</v>
      </c>
      <c r="M6027" s="28" t="s">
        <v>30220</v>
      </c>
      <c r="N6027" s="28" t="s">
        <v>27636</v>
      </c>
      <c r="O6027" s="28" t="s">
        <v>27637</v>
      </c>
      <c r="P6027" s="28" t="s">
        <v>30221</v>
      </c>
    </row>
    <row r="6028" spans="1:16" x14ac:dyDescent="0.25">
      <c r="A6028" s="28" t="s">
        <v>30222</v>
      </c>
      <c r="B6028" s="28" t="s">
        <v>30223</v>
      </c>
      <c r="C6028" s="28" t="s">
        <v>29063</v>
      </c>
      <c r="D6028" s="28" t="s">
        <v>1204</v>
      </c>
      <c r="E6028" s="28" t="s">
        <v>30224</v>
      </c>
      <c r="F6028" s="28" t="s">
        <v>21</v>
      </c>
      <c r="G6028" s="28" t="s">
        <v>207</v>
      </c>
      <c r="H6028" s="28" t="s">
        <v>27631</v>
      </c>
      <c r="I6028" s="28" t="s">
        <v>30225</v>
      </c>
      <c r="J6028" s="28" t="s">
        <v>207</v>
      </c>
      <c r="K6028" s="28" t="s">
        <v>29066</v>
      </c>
      <c r="L6028" s="28" t="s">
        <v>27634</v>
      </c>
      <c r="M6028" s="28" t="s">
        <v>30226</v>
      </c>
      <c r="N6028" s="28" t="s">
        <v>27636</v>
      </c>
      <c r="O6028" s="28" t="s">
        <v>27637</v>
      </c>
      <c r="P6028" s="28" t="s">
        <v>30227</v>
      </c>
    </row>
    <row r="6029" spans="1:16" x14ac:dyDescent="0.25">
      <c r="A6029" s="28" t="s">
        <v>30228</v>
      </c>
      <c r="B6029" s="28" t="s">
        <v>30229</v>
      </c>
      <c r="C6029" s="28" t="s">
        <v>29063</v>
      </c>
      <c r="D6029" s="28" t="s">
        <v>1204</v>
      </c>
      <c r="E6029" s="28" t="s">
        <v>30230</v>
      </c>
      <c r="F6029" s="28" t="s">
        <v>21</v>
      </c>
      <c r="G6029" s="28" t="s">
        <v>207</v>
      </c>
      <c r="H6029" s="28" t="s">
        <v>27631</v>
      </c>
      <c r="I6029" s="28" t="s">
        <v>30231</v>
      </c>
      <c r="J6029" s="28" t="s">
        <v>207</v>
      </c>
      <c r="K6029" s="28" t="s">
        <v>29066</v>
      </c>
      <c r="L6029" s="28" t="s">
        <v>27634</v>
      </c>
      <c r="M6029" s="28" t="s">
        <v>30232</v>
      </c>
      <c r="N6029" s="28" t="s">
        <v>27636</v>
      </c>
      <c r="O6029" s="28" t="s">
        <v>27637</v>
      </c>
      <c r="P6029" s="28" t="s">
        <v>30233</v>
      </c>
    </row>
    <row r="6030" spans="1:16" x14ac:dyDescent="0.25">
      <c r="A6030" s="28" t="s">
        <v>30234</v>
      </c>
      <c r="B6030" s="28" t="s">
        <v>30235</v>
      </c>
      <c r="C6030" s="28" t="s">
        <v>29063</v>
      </c>
      <c r="D6030" s="28" t="s">
        <v>1204</v>
      </c>
      <c r="E6030" s="28" t="s">
        <v>30236</v>
      </c>
      <c r="F6030" s="28" t="s">
        <v>21</v>
      </c>
      <c r="G6030" s="28" t="s">
        <v>207</v>
      </c>
      <c r="H6030" s="28" t="s">
        <v>27631</v>
      </c>
      <c r="I6030" s="28" t="s">
        <v>30237</v>
      </c>
      <c r="J6030" s="28" t="s">
        <v>207</v>
      </c>
      <c r="K6030" s="28" t="s">
        <v>29066</v>
      </c>
      <c r="L6030" s="28" t="s">
        <v>27634</v>
      </c>
      <c r="M6030" s="28" t="s">
        <v>30238</v>
      </c>
      <c r="N6030" s="28" t="s">
        <v>27636</v>
      </c>
      <c r="O6030" s="28" t="s">
        <v>27637</v>
      </c>
      <c r="P6030" s="28" t="s">
        <v>30239</v>
      </c>
    </row>
    <row r="6031" spans="1:16" x14ac:dyDescent="0.25">
      <c r="A6031" s="28" t="s">
        <v>30240</v>
      </c>
      <c r="B6031" s="28" t="s">
        <v>30241</v>
      </c>
      <c r="C6031" s="28" t="s">
        <v>29063</v>
      </c>
      <c r="D6031" s="28" t="s">
        <v>1204</v>
      </c>
      <c r="E6031" s="28" t="s">
        <v>30242</v>
      </c>
      <c r="F6031" s="28" t="s">
        <v>21</v>
      </c>
      <c r="G6031" s="28" t="s">
        <v>207</v>
      </c>
      <c r="H6031" s="28" t="s">
        <v>27631</v>
      </c>
      <c r="I6031" s="28" t="s">
        <v>30243</v>
      </c>
      <c r="J6031" s="28" t="s">
        <v>207</v>
      </c>
      <c r="K6031" s="28" t="s">
        <v>29066</v>
      </c>
      <c r="L6031" s="28" t="s">
        <v>27634</v>
      </c>
      <c r="M6031" s="28" t="s">
        <v>30244</v>
      </c>
      <c r="N6031" s="28" t="s">
        <v>27636</v>
      </c>
      <c r="O6031" s="28" t="s">
        <v>27637</v>
      </c>
      <c r="P6031" s="28" t="s">
        <v>30245</v>
      </c>
    </row>
    <row r="6032" spans="1:16" x14ac:dyDescent="0.25">
      <c r="A6032" s="28" t="s">
        <v>30246</v>
      </c>
      <c r="B6032" s="28" t="s">
        <v>30247</v>
      </c>
      <c r="C6032" s="28" t="s">
        <v>29063</v>
      </c>
      <c r="D6032" s="28" t="s">
        <v>1204</v>
      </c>
      <c r="E6032" s="28" t="s">
        <v>30248</v>
      </c>
      <c r="F6032" s="28" t="s">
        <v>21</v>
      </c>
      <c r="G6032" s="28" t="s">
        <v>207</v>
      </c>
      <c r="H6032" s="28" t="s">
        <v>27631</v>
      </c>
      <c r="I6032" s="28" t="s">
        <v>30249</v>
      </c>
      <c r="J6032" s="28" t="s">
        <v>207</v>
      </c>
      <c r="K6032" s="28" t="s">
        <v>29066</v>
      </c>
      <c r="L6032" s="28" t="s">
        <v>27634</v>
      </c>
      <c r="M6032" s="28" t="s">
        <v>30250</v>
      </c>
      <c r="N6032" s="28" t="s">
        <v>27636</v>
      </c>
      <c r="O6032" s="28" t="s">
        <v>27637</v>
      </c>
      <c r="P6032" s="28" t="s">
        <v>30251</v>
      </c>
    </row>
    <row r="6033" spans="1:16" x14ac:dyDescent="0.25">
      <c r="A6033" s="28" t="s">
        <v>30252</v>
      </c>
      <c r="B6033" s="28" t="s">
        <v>30253</v>
      </c>
      <c r="C6033" s="28" t="s">
        <v>29063</v>
      </c>
      <c r="D6033" s="28" t="s">
        <v>1204</v>
      </c>
      <c r="E6033" s="28" t="s">
        <v>30254</v>
      </c>
      <c r="F6033" s="28" t="s">
        <v>21</v>
      </c>
      <c r="G6033" s="28" t="s">
        <v>207</v>
      </c>
      <c r="H6033" s="28" t="s">
        <v>27631</v>
      </c>
      <c r="I6033" s="28" t="s">
        <v>30255</v>
      </c>
      <c r="J6033" s="28" t="s">
        <v>207</v>
      </c>
      <c r="K6033" s="28" t="s">
        <v>29066</v>
      </c>
      <c r="L6033" s="28" t="s">
        <v>27634</v>
      </c>
      <c r="M6033" s="28" t="s">
        <v>30256</v>
      </c>
      <c r="N6033" s="28" t="s">
        <v>27636</v>
      </c>
      <c r="O6033" s="28" t="s">
        <v>27637</v>
      </c>
      <c r="P6033" s="28" t="s">
        <v>30257</v>
      </c>
    </row>
    <row r="6034" spans="1:16" x14ac:dyDescent="0.25">
      <c r="A6034" s="28" t="s">
        <v>30258</v>
      </c>
      <c r="B6034" s="28" t="s">
        <v>30259</v>
      </c>
      <c r="C6034" s="28" t="s">
        <v>29063</v>
      </c>
      <c r="D6034" s="28" t="s">
        <v>1204</v>
      </c>
      <c r="E6034" s="28" t="s">
        <v>30260</v>
      </c>
      <c r="F6034" s="28" t="s">
        <v>21</v>
      </c>
      <c r="G6034" s="28" t="s">
        <v>207</v>
      </c>
      <c r="H6034" s="28" t="s">
        <v>27631</v>
      </c>
      <c r="I6034" s="28" t="s">
        <v>30261</v>
      </c>
      <c r="J6034" s="28" t="s">
        <v>207</v>
      </c>
      <c r="K6034" s="28" t="s">
        <v>29066</v>
      </c>
      <c r="L6034" s="28" t="s">
        <v>27634</v>
      </c>
      <c r="M6034" s="28" t="s">
        <v>30262</v>
      </c>
      <c r="N6034" s="28" t="s">
        <v>27636</v>
      </c>
      <c r="O6034" s="28" t="s">
        <v>27637</v>
      </c>
      <c r="P6034" s="28" t="s">
        <v>30263</v>
      </c>
    </row>
    <row r="6035" spans="1:16" x14ac:dyDescent="0.25">
      <c r="A6035" s="28" t="s">
        <v>30264</v>
      </c>
      <c r="B6035" s="28" t="s">
        <v>30265</v>
      </c>
      <c r="C6035" s="28" t="s">
        <v>29063</v>
      </c>
      <c r="D6035" s="28" t="s">
        <v>1204</v>
      </c>
      <c r="E6035" s="28" t="s">
        <v>12960</v>
      </c>
      <c r="F6035" s="28" t="s">
        <v>21</v>
      </c>
      <c r="G6035" s="28" t="s">
        <v>207</v>
      </c>
      <c r="H6035" s="28" t="s">
        <v>27631</v>
      </c>
      <c r="I6035" s="28" t="s">
        <v>30266</v>
      </c>
      <c r="J6035" s="28" t="s">
        <v>207</v>
      </c>
      <c r="K6035" s="28" t="s">
        <v>29066</v>
      </c>
      <c r="L6035" s="28" t="s">
        <v>27634</v>
      </c>
      <c r="M6035" s="28" t="s">
        <v>30267</v>
      </c>
      <c r="N6035" s="28" t="s">
        <v>27636</v>
      </c>
      <c r="O6035" s="28" t="s">
        <v>27637</v>
      </c>
      <c r="P6035" s="28" t="s">
        <v>30268</v>
      </c>
    </row>
    <row r="6036" spans="1:16" x14ac:dyDescent="0.25">
      <c r="A6036" s="28" t="s">
        <v>30269</v>
      </c>
      <c r="B6036" s="28" t="s">
        <v>30270</v>
      </c>
      <c r="C6036" s="28" t="s">
        <v>29063</v>
      </c>
      <c r="D6036" s="28" t="s">
        <v>1204</v>
      </c>
      <c r="E6036" s="28" t="s">
        <v>30271</v>
      </c>
      <c r="F6036" s="28" t="s">
        <v>21</v>
      </c>
      <c r="G6036" s="28" t="s">
        <v>207</v>
      </c>
      <c r="H6036" s="28" t="s">
        <v>27631</v>
      </c>
      <c r="I6036" s="28" t="s">
        <v>30272</v>
      </c>
      <c r="J6036" s="28" t="s">
        <v>207</v>
      </c>
      <c r="K6036" s="28" t="s">
        <v>29066</v>
      </c>
      <c r="L6036" s="28" t="s">
        <v>27634</v>
      </c>
      <c r="M6036" s="28" t="s">
        <v>30273</v>
      </c>
      <c r="N6036" s="28" t="s">
        <v>27636</v>
      </c>
      <c r="O6036" s="28" t="s">
        <v>27637</v>
      </c>
      <c r="P6036" s="28" t="s">
        <v>30274</v>
      </c>
    </row>
    <row r="6037" spans="1:16" x14ac:dyDescent="0.25">
      <c r="A6037" s="28" t="s">
        <v>30275</v>
      </c>
      <c r="B6037" s="28" t="s">
        <v>30276</v>
      </c>
      <c r="C6037" s="28" t="s">
        <v>29063</v>
      </c>
      <c r="D6037" s="28" t="s">
        <v>1204</v>
      </c>
      <c r="E6037" s="28" t="s">
        <v>30277</v>
      </c>
      <c r="F6037" s="28" t="s">
        <v>21</v>
      </c>
      <c r="G6037" s="28" t="s">
        <v>207</v>
      </c>
      <c r="H6037" s="28" t="s">
        <v>27631</v>
      </c>
      <c r="I6037" s="28" t="s">
        <v>30278</v>
      </c>
      <c r="J6037" s="28" t="s">
        <v>207</v>
      </c>
      <c r="K6037" s="28" t="s">
        <v>29066</v>
      </c>
      <c r="L6037" s="28" t="s">
        <v>27634</v>
      </c>
      <c r="M6037" s="28" t="s">
        <v>30279</v>
      </c>
      <c r="N6037" s="28" t="s">
        <v>27636</v>
      </c>
      <c r="O6037" s="28" t="s">
        <v>27637</v>
      </c>
      <c r="P6037" s="28" t="s">
        <v>30280</v>
      </c>
    </row>
    <row r="6038" spans="1:16" x14ac:dyDescent="0.25">
      <c r="A6038" s="28" t="s">
        <v>30281</v>
      </c>
      <c r="B6038" s="28" t="s">
        <v>30282</v>
      </c>
      <c r="C6038" s="28" t="s">
        <v>29063</v>
      </c>
      <c r="D6038" s="28" t="s">
        <v>1204</v>
      </c>
      <c r="E6038" s="28" t="s">
        <v>30283</v>
      </c>
      <c r="F6038" s="28" t="s">
        <v>21</v>
      </c>
      <c r="G6038" s="28" t="s">
        <v>207</v>
      </c>
      <c r="H6038" s="28" t="s">
        <v>27631</v>
      </c>
      <c r="I6038" s="28" t="s">
        <v>30284</v>
      </c>
      <c r="J6038" s="28" t="s">
        <v>207</v>
      </c>
      <c r="K6038" s="28" t="s">
        <v>29066</v>
      </c>
      <c r="L6038" s="28" t="s">
        <v>27634</v>
      </c>
      <c r="M6038" s="28" t="s">
        <v>30285</v>
      </c>
      <c r="N6038" s="28" t="s">
        <v>27636</v>
      </c>
      <c r="O6038" s="28" t="s">
        <v>27637</v>
      </c>
      <c r="P6038" s="28" t="s">
        <v>30286</v>
      </c>
    </row>
    <row r="6039" spans="1:16" x14ac:dyDescent="0.25">
      <c r="A6039" s="28" t="s">
        <v>30287</v>
      </c>
      <c r="B6039" s="28" t="s">
        <v>30288</v>
      </c>
      <c r="C6039" s="28" t="s">
        <v>29063</v>
      </c>
      <c r="D6039" s="28" t="s">
        <v>1204</v>
      </c>
      <c r="E6039" s="28" t="s">
        <v>30289</v>
      </c>
      <c r="F6039" s="28" t="s">
        <v>21</v>
      </c>
      <c r="G6039" s="28" t="s">
        <v>207</v>
      </c>
      <c r="H6039" s="28" t="s">
        <v>27631</v>
      </c>
      <c r="I6039" s="28" t="s">
        <v>30290</v>
      </c>
      <c r="J6039" s="28" t="s">
        <v>207</v>
      </c>
      <c r="K6039" s="28" t="s">
        <v>29066</v>
      </c>
      <c r="L6039" s="28" t="s">
        <v>27634</v>
      </c>
      <c r="M6039" s="28" t="s">
        <v>30291</v>
      </c>
      <c r="N6039" s="28" t="s">
        <v>27636</v>
      </c>
      <c r="O6039" s="28" t="s">
        <v>27637</v>
      </c>
      <c r="P6039" s="28" t="s">
        <v>30292</v>
      </c>
    </row>
    <row r="6040" spans="1:16" x14ac:dyDescent="0.25">
      <c r="A6040" s="28" t="s">
        <v>30293</v>
      </c>
      <c r="B6040" s="28" t="s">
        <v>30294</v>
      </c>
      <c r="C6040" s="28" t="s">
        <v>29063</v>
      </c>
      <c r="D6040" s="28" t="s">
        <v>1204</v>
      </c>
      <c r="E6040" s="28" t="s">
        <v>30295</v>
      </c>
      <c r="F6040" s="28" t="s">
        <v>21</v>
      </c>
      <c r="G6040" s="28" t="s">
        <v>207</v>
      </c>
      <c r="H6040" s="28" t="s">
        <v>27631</v>
      </c>
      <c r="I6040" s="28" t="s">
        <v>30296</v>
      </c>
      <c r="J6040" s="28" t="s">
        <v>207</v>
      </c>
      <c r="K6040" s="28" t="s">
        <v>29066</v>
      </c>
      <c r="L6040" s="28" t="s">
        <v>27634</v>
      </c>
      <c r="M6040" s="28" t="s">
        <v>30297</v>
      </c>
      <c r="N6040" s="28" t="s">
        <v>27636</v>
      </c>
      <c r="O6040" s="28" t="s">
        <v>27637</v>
      </c>
      <c r="P6040" s="28" t="s">
        <v>30298</v>
      </c>
    </row>
    <row r="6041" spans="1:16" x14ac:dyDescent="0.25">
      <c r="A6041" s="28" t="s">
        <v>30299</v>
      </c>
      <c r="B6041" s="28" t="s">
        <v>30300</v>
      </c>
      <c r="C6041" s="28" t="s">
        <v>29063</v>
      </c>
      <c r="D6041" s="28" t="s">
        <v>1204</v>
      </c>
      <c r="E6041" s="28" t="s">
        <v>30301</v>
      </c>
      <c r="F6041" s="28" t="s">
        <v>21</v>
      </c>
      <c r="G6041" s="28" t="s">
        <v>207</v>
      </c>
      <c r="H6041" s="28" t="s">
        <v>27631</v>
      </c>
      <c r="I6041" s="28" t="s">
        <v>30302</v>
      </c>
      <c r="J6041" s="28" t="s">
        <v>207</v>
      </c>
      <c r="K6041" s="28" t="s">
        <v>29066</v>
      </c>
      <c r="L6041" s="28" t="s">
        <v>27634</v>
      </c>
      <c r="M6041" s="28" t="s">
        <v>30303</v>
      </c>
      <c r="N6041" s="28" t="s">
        <v>27636</v>
      </c>
      <c r="O6041" s="28" t="s">
        <v>27637</v>
      </c>
      <c r="P6041" s="28" t="s">
        <v>30304</v>
      </c>
    </row>
    <row r="6042" spans="1:16" x14ac:dyDescent="0.25">
      <c r="A6042" s="28" t="s">
        <v>30305</v>
      </c>
      <c r="B6042" s="28" t="s">
        <v>30306</v>
      </c>
      <c r="C6042" s="28" t="s">
        <v>29063</v>
      </c>
      <c r="D6042" s="28" t="s">
        <v>1204</v>
      </c>
      <c r="E6042" s="28" t="s">
        <v>30307</v>
      </c>
      <c r="F6042" s="28" t="s">
        <v>21</v>
      </c>
      <c r="G6042" s="28" t="s">
        <v>207</v>
      </c>
      <c r="H6042" s="28" t="s">
        <v>27631</v>
      </c>
      <c r="I6042" s="28" t="s">
        <v>30308</v>
      </c>
      <c r="J6042" s="28" t="s">
        <v>207</v>
      </c>
      <c r="K6042" s="28" t="s">
        <v>29066</v>
      </c>
      <c r="L6042" s="28" t="s">
        <v>27634</v>
      </c>
      <c r="M6042" s="28" t="s">
        <v>30309</v>
      </c>
      <c r="N6042" s="28" t="s">
        <v>27636</v>
      </c>
      <c r="O6042" s="28" t="s">
        <v>27637</v>
      </c>
      <c r="P6042" s="28" t="s">
        <v>30310</v>
      </c>
    </row>
    <row r="6043" spans="1:16" x14ac:dyDescent="0.25">
      <c r="A6043" s="28" t="s">
        <v>30311</v>
      </c>
      <c r="B6043" s="28" t="s">
        <v>30312</v>
      </c>
      <c r="C6043" s="28" t="s">
        <v>29063</v>
      </c>
      <c r="D6043" s="28" t="s">
        <v>1204</v>
      </c>
      <c r="E6043" s="28" t="s">
        <v>30313</v>
      </c>
      <c r="F6043" s="28" t="s">
        <v>21</v>
      </c>
      <c r="G6043" s="28" t="s">
        <v>207</v>
      </c>
      <c r="H6043" s="28" t="s">
        <v>27631</v>
      </c>
      <c r="I6043" s="28" t="s">
        <v>30314</v>
      </c>
      <c r="J6043" s="28" t="s">
        <v>207</v>
      </c>
      <c r="K6043" s="28" t="s">
        <v>29066</v>
      </c>
      <c r="L6043" s="28" t="s">
        <v>27634</v>
      </c>
      <c r="M6043" s="28" t="s">
        <v>30315</v>
      </c>
      <c r="N6043" s="28" t="s">
        <v>27636</v>
      </c>
      <c r="O6043" s="28" t="s">
        <v>27637</v>
      </c>
      <c r="P6043" s="28" t="s">
        <v>30316</v>
      </c>
    </row>
    <row r="6044" spans="1:16" x14ac:dyDescent="0.25">
      <c r="A6044" s="28" t="s">
        <v>30317</v>
      </c>
      <c r="B6044" s="28" t="s">
        <v>30318</v>
      </c>
      <c r="C6044" s="28" t="s">
        <v>29063</v>
      </c>
      <c r="D6044" s="28" t="s">
        <v>1204</v>
      </c>
      <c r="E6044" s="28" t="s">
        <v>30319</v>
      </c>
      <c r="F6044" s="28" t="s">
        <v>21</v>
      </c>
      <c r="G6044" s="28" t="s">
        <v>207</v>
      </c>
      <c r="H6044" s="28" t="s">
        <v>27631</v>
      </c>
      <c r="I6044" s="28" t="s">
        <v>30320</v>
      </c>
      <c r="J6044" s="28" t="s">
        <v>207</v>
      </c>
      <c r="K6044" s="28" t="s">
        <v>29066</v>
      </c>
      <c r="L6044" s="28" t="s">
        <v>27634</v>
      </c>
      <c r="M6044" s="28" t="s">
        <v>30321</v>
      </c>
      <c r="N6044" s="28" t="s">
        <v>27636</v>
      </c>
      <c r="O6044" s="28" t="s">
        <v>27637</v>
      </c>
      <c r="P6044" s="28" t="s">
        <v>30322</v>
      </c>
    </row>
    <row r="6045" spans="1:16" x14ac:dyDescent="0.25">
      <c r="A6045" s="28" t="s">
        <v>30323</v>
      </c>
      <c r="B6045" s="28" t="s">
        <v>30324</v>
      </c>
      <c r="C6045" s="28" t="s">
        <v>29063</v>
      </c>
      <c r="D6045" s="28" t="s">
        <v>1204</v>
      </c>
      <c r="E6045" s="28" t="s">
        <v>30325</v>
      </c>
      <c r="F6045" s="28" t="s">
        <v>21</v>
      </c>
      <c r="G6045" s="28" t="s">
        <v>207</v>
      </c>
      <c r="H6045" s="28" t="s">
        <v>27631</v>
      </c>
      <c r="I6045" s="28" t="s">
        <v>30326</v>
      </c>
      <c r="J6045" s="28" t="s">
        <v>207</v>
      </c>
      <c r="K6045" s="28" t="s">
        <v>29066</v>
      </c>
      <c r="L6045" s="28" t="s">
        <v>27634</v>
      </c>
      <c r="M6045" s="28" t="s">
        <v>30327</v>
      </c>
      <c r="N6045" s="28" t="s">
        <v>27636</v>
      </c>
      <c r="O6045" s="28" t="s">
        <v>27637</v>
      </c>
      <c r="P6045" s="28" t="s">
        <v>30328</v>
      </c>
    </row>
    <row r="6046" spans="1:16" x14ac:dyDescent="0.25">
      <c r="A6046" s="28" t="s">
        <v>30329</v>
      </c>
      <c r="B6046" s="28" t="s">
        <v>30330</v>
      </c>
      <c r="C6046" s="28" t="s">
        <v>29063</v>
      </c>
      <c r="D6046" s="28" t="s">
        <v>1204</v>
      </c>
      <c r="E6046" s="28" t="s">
        <v>30331</v>
      </c>
      <c r="F6046" s="28" t="s">
        <v>21</v>
      </c>
      <c r="G6046" s="28" t="s">
        <v>207</v>
      </c>
      <c r="H6046" s="28" t="s">
        <v>27631</v>
      </c>
      <c r="I6046" s="28" t="s">
        <v>30332</v>
      </c>
      <c r="J6046" s="28" t="s">
        <v>207</v>
      </c>
      <c r="K6046" s="28" t="s">
        <v>29066</v>
      </c>
      <c r="L6046" s="28" t="s">
        <v>27634</v>
      </c>
      <c r="M6046" s="28" t="s">
        <v>30333</v>
      </c>
      <c r="N6046" s="28" t="s">
        <v>27636</v>
      </c>
      <c r="O6046" s="28" t="s">
        <v>27637</v>
      </c>
      <c r="P6046" s="28" t="s">
        <v>30334</v>
      </c>
    </row>
    <row r="6047" spans="1:16" x14ac:dyDescent="0.25">
      <c r="A6047" s="28" t="s">
        <v>30335</v>
      </c>
      <c r="B6047" s="28" t="s">
        <v>30336</v>
      </c>
      <c r="C6047" s="28" t="s">
        <v>29063</v>
      </c>
      <c r="D6047" s="28" t="s">
        <v>1204</v>
      </c>
      <c r="E6047" s="28" t="s">
        <v>30337</v>
      </c>
      <c r="F6047" s="28" t="s">
        <v>21</v>
      </c>
      <c r="G6047" s="28" t="s">
        <v>207</v>
      </c>
      <c r="H6047" s="28" t="s">
        <v>27631</v>
      </c>
      <c r="I6047" s="28" t="s">
        <v>30338</v>
      </c>
      <c r="J6047" s="28" t="s">
        <v>207</v>
      </c>
      <c r="K6047" s="28" t="s">
        <v>29066</v>
      </c>
      <c r="L6047" s="28" t="s">
        <v>27634</v>
      </c>
      <c r="M6047" s="28" t="s">
        <v>30339</v>
      </c>
      <c r="N6047" s="28" t="s">
        <v>27636</v>
      </c>
      <c r="O6047" s="28" t="s">
        <v>27637</v>
      </c>
      <c r="P6047" s="28" t="s">
        <v>30340</v>
      </c>
    </row>
    <row r="6048" spans="1:16" x14ac:dyDescent="0.25">
      <c r="A6048" s="28" t="s">
        <v>30341</v>
      </c>
      <c r="B6048" s="28" t="s">
        <v>30342</v>
      </c>
      <c r="C6048" s="28" t="s">
        <v>29063</v>
      </c>
      <c r="D6048" s="28" t="s">
        <v>1204</v>
      </c>
      <c r="E6048" s="28" t="s">
        <v>30343</v>
      </c>
      <c r="F6048" s="28" t="s">
        <v>21</v>
      </c>
      <c r="G6048" s="28" t="s">
        <v>207</v>
      </c>
      <c r="H6048" s="28" t="s">
        <v>27631</v>
      </c>
      <c r="I6048" s="28" t="s">
        <v>30344</v>
      </c>
      <c r="J6048" s="28" t="s">
        <v>207</v>
      </c>
      <c r="K6048" s="28" t="s">
        <v>29066</v>
      </c>
      <c r="L6048" s="28" t="s">
        <v>27634</v>
      </c>
      <c r="M6048" s="28" t="s">
        <v>30345</v>
      </c>
      <c r="N6048" s="28" t="s">
        <v>27636</v>
      </c>
      <c r="O6048" s="28" t="s">
        <v>27637</v>
      </c>
      <c r="P6048" s="28" t="s">
        <v>30346</v>
      </c>
    </row>
    <row r="6049" spans="1:16" x14ac:dyDescent="0.25">
      <c r="A6049" s="28" t="s">
        <v>30347</v>
      </c>
      <c r="B6049" s="28" t="s">
        <v>30348</v>
      </c>
      <c r="C6049" s="28" t="s">
        <v>29063</v>
      </c>
      <c r="D6049" s="28" t="s">
        <v>1204</v>
      </c>
      <c r="E6049" s="28" t="s">
        <v>30349</v>
      </c>
      <c r="F6049" s="28" t="s">
        <v>21</v>
      </c>
      <c r="G6049" s="28" t="s">
        <v>207</v>
      </c>
      <c r="H6049" s="28" t="s">
        <v>27631</v>
      </c>
      <c r="I6049" s="28" t="s">
        <v>30350</v>
      </c>
      <c r="J6049" s="28" t="s">
        <v>207</v>
      </c>
      <c r="K6049" s="28" t="s">
        <v>29066</v>
      </c>
      <c r="L6049" s="28" t="s">
        <v>27634</v>
      </c>
      <c r="M6049" s="28" t="s">
        <v>30351</v>
      </c>
      <c r="N6049" s="28" t="s">
        <v>27636</v>
      </c>
      <c r="O6049" s="28" t="s">
        <v>27637</v>
      </c>
      <c r="P6049" s="28" t="s">
        <v>30352</v>
      </c>
    </row>
    <row r="6050" spans="1:16" x14ac:dyDescent="0.25">
      <c r="A6050" s="28" t="s">
        <v>30353</v>
      </c>
      <c r="B6050" s="28" t="s">
        <v>30354</v>
      </c>
      <c r="C6050" s="28" t="s">
        <v>29063</v>
      </c>
      <c r="D6050" s="28" t="s">
        <v>1204</v>
      </c>
      <c r="E6050" s="28" t="s">
        <v>30355</v>
      </c>
      <c r="F6050" s="28" t="s">
        <v>21</v>
      </c>
      <c r="G6050" s="28" t="s">
        <v>207</v>
      </c>
      <c r="H6050" s="28" t="s">
        <v>27631</v>
      </c>
      <c r="I6050" s="28" t="s">
        <v>30356</v>
      </c>
      <c r="J6050" s="28" t="s">
        <v>207</v>
      </c>
      <c r="K6050" s="28" t="s">
        <v>29066</v>
      </c>
      <c r="L6050" s="28" t="s">
        <v>27634</v>
      </c>
      <c r="M6050" s="28" t="s">
        <v>30357</v>
      </c>
      <c r="N6050" s="28" t="s">
        <v>27636</v>
      </c>
      <c r="O6050" s="28" t="s">
        <v>27637</v>
      </c>
      <c r="P6050" s="28" t="s">
        <v>30358</v>
      </c>
    </row>
    <row r="6051" spans="1:16" x14ac:dyDescent="0.25">
      <c r="A6051" s="28" t="s">
        <v>30359</v>
      </c>
      <c r="B6051" s="28" t="s">
        <v>30360</v>
      </c>
      <c r="C6051" s="28" t="s">
        <v>29063</v>
      </c>
      <c r="D6051" s="28" t="s">
        <v>1204</v>
      </c>
      <c r="E6051" s="28" t="s">
        <v>12966</v>
      </c>
      <c r="F6051" s="28" t="s">
        <v>21</v>
      </c>
      <c r="G6051" s="28" t="s">
        <v>207</v>
      </c>
      <c r="H6051" s="28" t="s">
        <v>27631</v>
      </c>
      <c r="I6051" s="28" t="s">
        <v>30361</v>
      </c>
      <c r="J6051" s="28" t="s">
        <v>207</v>
      </c>
      <c r="K6051" s="28" t="s">
        <v>29066</v>
      </c>
      <c r="L6051" s="28" t="s">
        <v>27634</v>
      </c>
      <c r="M6051" s="28" t="s">
        <v>30362</v>
      </c>
      <c r="N6051" s="28" t="s">
        <v>27636</v>
      </c>
      <c r="O6051" s="28" t="s">
        <v>27637</v>
      </c>
      <c r="P6051" s="28" t="s">
        <v>30363</v>
      </c>
    </row>
    <row r="6052" spans="1:16" x14ac:dyDescent="0.25">
      <c r="A6052" s="28" t="s">
        <v>30364</v>
      </c>
      <c r="B6052" s="28" t="s">
        <v>30365</v>
      </c>
      <c r="C6052" s="28" t="s">
        <v>29063</v>
      </c>
      <c r="D6052" s="28" t="s">
        <v>1204</v>
      </c>
      <c r="E6052" s="28" t="s">
        <v>12972</v>
      </c>
      <c r="F6052" s="28" t="s">
        <v>21</v>
      </c>
      <c r="G6052" s="28" t="s">
        <v>207</v>
      </c>
      <c r="H6052" s="28" t="s">
        <v>27631</v>
      </c>
      <c r="I6052" s="28" t="s">
        <v>30366</v>
      </c>
      <c r="J6052" s="28" t="s">
        <v>207</v>
      </c>
      <c r="K6052" s="28" t="s">
        <v>29066</v>
      </c>
      <c r="L6052" s="28" t="s">
        <v>27634</v>
      </c>
      <c r="M6052" s="28" t="s">
        <v>30367</v>
      </c>
      <c r="N6052" s="28" t="s">
        <v>27636</v>
      </c>
      <c r="O6052" s="28" t="s">
        <v>27637</v>
      </c>
      <c r="P6052" s="28" t="s">
        <v>30368</v>
      </c>
    </row>
    <row r="6053" spans="1:16" x14ac:dyDescent="0.25">
      <c r="A6053" s="28" t="s">
        <v>30369</v>
      </c>
      <c r="B6053" s="28" t="s">
        <v>30370</v>
      </c>
      <c r="C6053" s="28" t="s">
        <v>29063</v>
      </c>
      <c r="D6053" s="28" t="s">
        <v>1204</v>
      </c>
      <c r="E6053" s="28" t="s">
        <v>30371</v>
      </c>
      <c r="F6053" s="28" t="s">
        <v>21</v>
      </c>
      <c r="G6053" s="28" t="s">
        <v>207</v>
      </c>
      <c r="H6053" s="28" t="s">
        <v>27631</v>
      </c>
      <c r="I6053" s="28" t="s">
        <v>30372</v>
      </c>
      <c r="J6053" s="28" t="s">
        <v>207</v>
      </c>
      <c r="K6053" s="28" t="s">
        <v>29066</v>
      </c>
      <c r="L6053" s="28" t="s">
        <v>27634</v>
      </c>
      <c r="M6053" s="28" t="s">
        <v>30373</v>
      </c>
      <c r="N6053" s="28" t="s">
        <v>27636</v>
      </c>
      <c r="O6053" s="28" t="s">
        <v>27637</v>
      </c>
      <c r="P6053" s="28" t="s">
        <v>30374</v>
      </c>
    </row>
    <row r="6054" spans="1:16" x14ac:dyDescent="0.25">
      <c r="A6054" s="28" t="s">
        <v>30375</v>
      </c>
      <c r="B6054" s="28" t="s">
        <v>30376</v>
      </c>
      <c r="C6054" s="28" t="s">
        <v>29063</v>
      </c>
      <c r="D6054" s="28" t="s">
        <v>1204</v>
      </c>
      <c r="E6054" s="28" t="s">
        <v>12978</v>
      </c>
      <c r="F6054" s="28" t="s">
        <v>21</v>
      </c>
      <c r="G6054" s="28" t="s">
        <v>207</v>
      </c>
      <c r="H6054" s="28" t="s">
        <v>27631</v>
      </c>
      <c r="I6054" s="28" t="s">
        <v>30377</v>
      </c>
      <c r="J6054" s="28" t="s">
        <v>207</v>
      </c>
      <c r="K6054" s="28" t="s">
        <v>29066</v>
      </c>
      <c r="L6054" s="28" t="s">
        <v>27634</v>
      </c>
      <c r="M6054" s="28" t="s">
        <v>30378</v>
      </c>
      <c r="N6054" s="28" t="s">
        <v>27636</v>
      </c>
      <c r="O6054" s="28" t="s">
        <v>27637</v>
      </c>
      <c r="P6054" s="28" t="s">
        <v>30379</v>
      </c>
    </row>
    <row r="6055" spans="1:16" x14ac:dyDescent="0.25">
      <c r="A6055" s="28" t="s">
        <v>30380</v>
      </c>
      <c r="B6055" s="28" t="s">
        <v>30381</v>
      </c>
      <c r="C6055" s="28" t="s">
        <v>29063</v>
      </c>
      <c r="D6055" s="28" t="s">
        <v>1204</v>
      </c>
      <c r="E6055" s="28" t="s">
        <v>12984</v>
      </c>
      <c r="F6055" s="28" t="s">
        <v>21</v>
      </c>
      <c r="G6055" s="28" t="s">
        <v>207</v>
      </c>
      <c r="H6055" s="28" t="s">
        <v>27631</v>
      </c>
      <c r="I6055" s="28" t="s">
        <v>30382</v>
      </c>
      <c r="J6055" s="28" t="s">
        <v>207</v>
      </c>
      <c r="K6055" s="28" t="s">
        <v>29066</v>
      </c>
      <c r="L6055" s="28" t="s">
        <v>27634</v>
      </c>
      <c r="M6055" s="28" t="s">
        <v>30383</v>
      </c>
      <c r="N6055" s="28" t="s">
        <v>27636</v>
      </c>
      <c r="O6055" s="28" t="s">
        <v>27637</v>
      </c>
      <c r="P6055" s="28" t="s">
        <v>30384</v>
      </c>
    </row>
    <row r="6056" spans="1:16" x14ac:dyDescent="0.25">
      <c r="A6056" s="28" t="s">
        <v>30385</v>
      </c>
      <c r="B6056" s="28" t="s">
        <v>30386</v>
      </c>
      <c r="C6056" s="28" t="s">
        <v>29063</v>
      </c>
      <c r="D6056" s="28" t="s">
        <v>1204</v>
      </c>
      <c r="E6056" s="28" t="s">
        <v>30387</v>
      </c>
      <c r="F6056" s="28" t="s">
        <v>21</v>
      </c>
      <c r="G6056" s="28" t="s">
        <v>207</v>
      </c>
      <c r="H6056" s="28" t="s">
        <v>27631</v>
      </c>
      <c r="I6056" s="28" t="s">
        <v>30388</v>
      </c>
      <c r="J6056" s="28" t="s">
        <v>207</v>
      </c>
      <c r="K6056" s="28" t="s">
        <v>29066</v>
      </c>
      <c r="L6056" s="28" t="s">
        <v>27634</v>
      </c>
      <c r="M6056" s="28" t="s">
        <v>30389</v>
      </c>
      <c r="N6056" s="28" t="s">
        <v>27636</v>
      </c>
      <c r="O6056" s="28" t="s">
        <v>27637</v>
      </c>
      <c r="P6056" s="28" t="s">
        <v>30390</v>
      </c>
    </row>
    <row r="6057" spans="1:16" x14ac:dyDescent="0.25">
      <c r="A6057" s="28" t="s">
        <v>30391</v>
      </c>
      <c r="B6057" s="28" t="s">
        <v>30392</v>
      </c>
      <c r="C6057" s="28" t="s">
        <v>29063</v>
      </c>
      <c r="D6057" s="28" t="s">
        <v>1204</v>
      </c>
      <c r="E6057" s="28" t="s">
        <v>12990</v>
      </c>
      <c r="F6057" s="28" t="s">
        <v>21</v>
      </c>
      <c r="G6057" s="28" t="s">
        <v>207</v>
      </c>
      <c r="H6057" s="28" t="s">
        <v>27631</v>
      </c>
      <c r="I6057" s="28" t="s">
        <v>30393</v>
      </c>
      <c r="J6057" s="28" t="s">
        <v>207</v>
      </c>
      <c r="K6057" s="28" t="s">
        <v>29066</v>
      </c>
      <c r="L6057" s="28" t="s">
        <v>27634</v>
      </c>
      <c r="M6057" s="28" t="s">
        <v>30394</v>
      </c>
      <c r="N6057" s="28" t="s">
        <v>27636</v>
      </c>
      <c r="O6057" s="28" t="s">
        <v>27637</v>
      </c>
      <c r="P6057" s="28" t="s">
        <v>30395</v>
      </c>
    </row>
    <row r="6058" spans="1:16" x14ac:dyDescent="0.25">
      <c r="A6058" s="28" t="s">
        <v>30396</v>
      </c>
      <c r="B6058" s="28" t="s">
        <v>30397</v>
      </c>
      <c r="C6058" s="28" t="s">
        <v>29063</v>
      </c>
      <c r="D6058" s="28" t="s">
        <v>1204</v>
      </c>
      <c r="E6058" s="28" t="s">
        <v>30398</v>
      </c>
      <c r="F6058" s="28" t="s">
        <v>21</v>
      </c>
      <c r="G6058" s="28" t="s">
        <v>207</v>
      </c>
      <c r="H6058" s="28" t="s">
        <v>27631</v>
      </c>
      <c r="I6058" s="28" t="s">
        <v>30399</v>
      </c>
      <c r="J6058" s="28" t="s">
        <v>207</v>
      </c>
      <c r="K6058" s="28" t="s">
        <v>29066</v>
      </c>
      <c r="L6058" s="28" t="s">
        <v>27634</v>
      </c>
      <c r="M6058" s="28" t="s">
        <v>30400</v>
      </c>
      <c r="N6058" s="28" t="s">
        <v>27636</v>
      </c>
      <c r="O6058" s="28" t="s">
        <v>27637</v>
      </c>
      <c r="P6058" s="28" t="s">
        <v>30401</v>
      </c>
    </row>
    <row r="6059" spans="1:16" x14ac:dyDescent="0.25">
      <c r="A6059" s="28" t="s">
        <v>30402</v>
      </c>
      <c r="B6059" s="28" t="s">
        <v>30403</v>
      </c>
      <c r="C6059" s="28" t="s">
        <v>29063</v>
      </c>
      <c r="D6059" s="28" t="s">
        <v>1204</v>
      </c>
      <c r="E6059" s="28" t="s">
        <v>30404</v>
      </c>
      <c r="F6059" s="28" t="s">
        <v>21</v>
      </c>
      <c r="G6059" s="28" t="s">
        <v>207</v>
      </c>
      <c r="H6059" s="28" t="s">
        <v>27631</v>
      </c>
      <c r="I6059" s="28" t="s">
        <v>30405</v>
      </c>
      <c r="J6059" s="28" t="s">
        <v>207</v>
      </c>
      <c r="K6059" s="28" t="s">
        <v>29066</v>
      </c>
      <c r="L6059" s="28" t="s">
        <v>27634</v>
      </c>
      <c r="M6059" s="28" t="s">
        <v>30406</v>
      </c>
      <c r="N6059" s="28" t="s">
        <v>27636</v>
      </c>
      <c r="O6059" s="28" t="s">
        <v>27637</v>
      </c>
      <c r="P6059" s="28" t="s">
        <v>30407</v>
      </c>
    </row>
    <row r="6060" spans="1:16" x14ac:dyDescent="0.25">
      <c r="A6060" s="28" t="s">
        <v>30408</v>
      </c>
      <c r="B6060" s="28" t="s">
        <v>30409</v>
      </c>
      <c r="C6060" s="28" t="s">
        <v>29063</v>
      </c>
      <c r="D6060" s="28" t="s">
        <v>1204</v>
      </c>
      <c r="E6060" s="28" t="s">
        <v>30410</v>
      </c>
      <c r="F6060" s="28" t="s">
        <v>21</v>
      </c>
      <c r="G6060" s="28" t="s">
        <v>207</v>
      </c>
      <c r="H6060" s="28" t="s">
        <v>27631</v>
      </c>
      <c r="I6060" s="28" t="s">
        <v>30411</v>
      </c>
      <c r="J6060" s="28" t="s">
        <v>207</v>
      </c>
      <c r="K6060" s="28" t="s">
        <v>29066</v>
      </c>
      <c r="L6060" s="28" t="s">
        <v>27634</v>
      </c>
      <c r="M6060" s="28" t="s">
        <v>30412</v>
      </c>
      <c r="N6060" s="28" t="s">
        <v>27636</v>
      </c>
      <c r="O6060" s="28" t="s">
        <v>27637</v>
      </c>
      <c r="P6060" s="28" t="s">
        <v>30413</v>
      </c>
    </row>
    <row r="6061" spans="1:16" x14ac:dyDescent="0.25">
      <c r="A6061" s="28" t="s">
        <v>30414</v>
      </c>
      <c r="B6061" s="28" t="s">
        <v>30415</v>
      </c>
      <c r="C6061" s="28" t="s">
        <v>29063</v>
      </c>
      <c r="D6061" s="28" t="s">
        <v>1204</v>
      </c>
      <c r="E6061" s="28" t="s">
        <v>30416</v>
      </c>
      <c r="F6061" s="28" t="s">
        <v>21</v>
      </c>
      <c r="G6061" s="28" t="s">
        <v>207</v>
      </c>
      <c r="H6061" s="28" t="s">
        <v>27631</v>
      </c>
      <c r="I6061" s="28" t="s">
        <v>30417</v>
      </c>
      <c r="J6061" s="28" t="s">
        <v>207</v>
      </c>
      <c r="K6061" s="28" t="s">
        <v>29066</v>
      </c>
      <c r="L6061" s="28" t="s">
        <v>27634</v>
      </c>
      <c r="M6061" s="28" t="s">
        <v>30418</v>
      </c>
      <c r="N6061" s="28" t="s">
        <v>27636</v>
      </c>
      <c r="O6061" s="28" t="s">
        <v>27637</v>
      </c>
      <c r="P6061" s="28" t="s">
        <v>30419</v>
      </c>
    </row>
    <row r="6062" spans="1:16" x14ac:dyDescent="0.25">
      <c r="A6062" s="28" t="s">
        <v>30420</v>
      </c>
      <c r="B6062" s="28" t="s">
        <v>30421</v>
      </c>
      <c r="C6062" s="28" t="s">
        <v>29063</v>
      </c>
      <c r="D6062" s="28" t="s">
        <v>1204</v>
      </c>
      <c r="E6062" s="28" t="s">
        <v>30422</v>
      </c>
      <c r="F6062" s="28" t="s">
        <v>21</v>
      </c>
      <c r="G6062" s="28" t="s">
        <v>207</v>
      </c>
      <c r="H6062" s="28" t="s">
        <v>27631</v>
      </c>
      <c r="I6062" s="28" t="s">
        <v>30423</v>
      </c>
      <c r="J6062" s="28" t="s">
        <v>207</v>
      </c>
      <c r="K6062" s="28" t="s">
        <v>29066</v>
      </c>
      <c r="L6062" s="28" t="s">
        <v>27634</v>
      </c>
      <c r="M6062" s="28" t="s">
        <v>30424</v>
      </c>
      <c r="N6062" s="28" t="s">
        <v>27636</v>
      </c>
      <c r="O6062" s="28" t="s">
        <v>27637</v>
      </c>
      <c r="P6062" s="28" t="s">
        <v>30425</v>
      </c>
    </row>
    <row r="6063" spans="1:16" x14ac:dyDescent="0.25">
      <c r="A6063" s="28" t="s">
        <v>30426</v>
      </c>
      <c r="B6063" s="28" t="s">
        <v>30427</v>
      </c>
      <c r="C6063" s="28" t="s">
        <v>29063</v>
      </c>
      <c r="D6063" s="28" t="s">
        <v>1204</v>
      </c>
      <c r="E6063" s="28" t="s">
        <v>30428</v>
      </c>
      <c r="F6063" s="28" t="s">
        <v>21</v>
      </c>
      <c r="G6063" s="28" t="s">
        <v>207</v>
      </c>
      <c r="H6063" s="28" t="s">
        <v>27631</v>
      </c>
      <c r="I6063" s="28" t="s">
        <v>30429</v>
      </c>
      <c r="J6063" s="28" t="s">
        <v>207</v>
      </c>
      <c r="K6063" s="28" t="s">
        <v>29066</v>
      </c>
      <c r="L6063" s="28" t="s">
        <v>27634</v>
      </c>
      <c r="M6063" s="28" t="s">
        <v>30430</v>
      </c>
      <c r="N6063" s="28" t="s">
        <v>27636</v>
      </c>
      <c r="O6063" s="28" t="s">
        <v>27637</v>
      </c>
      <c r="P6063" s="28" t="s">
        <v>30431</v>
      </c>
    </row>
    <row r="6064" spans="1:16" x14ac:dyDescent="0.25">
      <c r="A6064" s="28" t="s">
        <v>30432</v>
      </c>
      <c r="B6064" s="28" t="s">
        <v>30433</v>
      </c>
      <c r="C6064" s="28" t="s">
        <v>29063</v>
      </c>
      <c r="D6064" s="28" t="s">
        <v>1204</v>
      </c>
      <c r="E6064" s="28" t="s">
        <v>12996</v>
      </c>
      <c r="F6064" s="28" t="s">
        <v>21</v>
      </c>
      <c r="G6064" s="28" t="s">
        <v>207</v>
      </c>
      <c r="H6064" s="28" t="s">
        <v>27631</v>
      </c>
      <c r="I6064" s="28" t="s">
        <v>30434</v>
      </c>
      <c r="J6064" s="28" t="s">
        <v>207</v>
      </c>
      <c r="K6064" s="28" t="s">
        <v>29066</v>
      </c>
      <c r="L6064" s="28" t="s">
        <v>27634</v>
      </c>
      <c r="M6064" s="28" t="s">
        <v>30435</v>
      </c>
      <c r="N6064" s="28" t="s">
        <v>27636</v>
      </c>
      <c r="O6064" s="28" t="s">
        <v>27637</v>
      </c>
      <c r="P6064" s="28" t="s">
        <v>30436</v>
      </c>
    </row>
    <row r="6065" spans="1:16" x14ac:dyDescent="0.25">
      <c r="A6065" s="28" t="s">
        <v>30437</v>
      </c>
      <c r="B6065" s="28" t="s">
        <v>30438</v>
      </c>
      <c r="C6065" s="28" t="s">
        <v>29063</v>
      </c>
      <c r="D6065" s="28" t="s">
        <v>1204</v>
      </c>
      <c r="E6065" s="28" t="s">
        <v>30439</v>
      </c>
      <c r="F6065" s="28" t="s">
        <v>21</v>
      </c>
      <c r="G6065" s="28" t="s">
        <v>207</v>
      </c>
      <c r="H6065" s="28" t="s">
        <v>27631</v>
      </c>
      <c r="I6065" s="28" t="s">
        <v>30440</v>
      </c>
      <c r="J6065" s="28" t="s">
        <v>207</v>
      </c>
      <c r="K6065" s="28" t="s">
        <v>29066</v>
      </c>
      <c r="L6065" s="28" t="s">
        <v>27634</v>
      </c>
      <c r="M6065" s="28" t="s">
        <v>30441</v>
      </c>
      <c r="N6065" s="28" t="s">
        <v>27636</v>
      </c>
      <c r="O6065" s="28" t="s">
        <v>27637</v>
      </c>
      <c r="P6065" s="28" t="s">
        <v>30442</v>
      </c>
    </row>
    <row r="6066" spans="1:16" x14ac:dyDescent="0.25">
      <c r="A6066" s="28" t="s">
        <v>30443</v>
      </c>
      <c r="B6066" s="28" t="s">
        <v>30444</v>
      </c>
      <c r="C6066" s="28" t="s">
        <v>29063</v>
      </c>
      <c r="D6066" s="28" t="s">
        <v>1204</v>
      </c>
      <c r="E6066" s="28" t="s">
        <v>13002</v>
      </c>
      <c r="F6066" s="28" t="s">
        <v>21</v>
      </c>
      <c r="G6066" s="28" t="s">
        <v>207</v>
      </c>
      <c r="H6066" s="28" t="s">
        <v>27631</v>
      </c>
      <c r="I6066" s="28" t="s">
        <v>30445</v>
      </c>
      <c r="J6066" s="28" t="s">
        <v>207</v>
      </c>
      <c r="K6066" s="28" t="s">
        <v>29066</v>
      </c>
      <c r="L6066" s="28" t="s">
        <v>27634</v>
      </c>
      <c r="M6066" s="28" t="s">
        <v>30446</v>
      </c>
      <c r="N6066" s="28" t="s">
        <v>27636</v>
      </c>
      <c r="O6066" s="28" t="s">
        <v>27637</v>
      </c>
      <c r="P6066" s="28" t="s">
        <v>30447</v>
      </c>
    </row>
    <row r="6067" spans="1:16" x14ac:dyDescent="0.25">
      <c r="A6067" s="28" t="s">
        <v>30448</v>
      </c>
      <c r="B6067" s="28" t="s">
        <v>30449</v>
      </c>
      <c r="C6067" s="28" t="s">
        <v>29063</v>
      </c>
      <c r="D6067" s="28" t="s">
        <v>1204</v>
      </c>
      <c r="E6067" s="28" t="s">
        <v>30450</v>
      </c>
      <c r="F6067" s="28" t="s">
        <v>21</v>
      </c>
      <c r="G6067" s="28" t="s">
        <v>207</v>
      </c>
      <c r="H6067" s="28" t="s">
        <v>27631</v>
      </c>
      <c r="I6067" s="28" t="s">
        <v>30451</v>
      </c>
      <c r="J6067" s="28" t="s">
        <v>207</v>
      </c>
      <c r="K6067" s="28" t="s">
        <v>29066</v>
      </c>
      <c r="L6067" s="28" t="s">
        <v>27634</v>
      </c>
      <c r="M6067" s="28" t="s">
        <v>30452</v>
      </c>
      <c r="N6067" s="28" t="s">
        <v>27636</v>
      </c>
      <c r="O6067" s="28" t="s">
        <v>27637</v>
      </c>
      <c r="P6067" s="28" t="s">
        <v>30453</v>
      </c>
    </row>
    <row r="6068" spans="1:16" x14ac:dyDescent="0.25">
      <c r="A6068" s="28" t="s">
        <v>30454</v>
      </c>
      <c r="B6068" s="28" t="s">
        <v>30455</v>
      </c>
      <c r="C6068" s="28" t="s">
        <v>29063</v>
      </c>
      <c r="D6068" s="28" t="s">
        <v>1204</v>
      </c>
      <c r="E6068" s="28" t="s">
        <v>13008</v>
      </c>
      <c r="F6068" s="28" t="s">
        <v>21</v>
      </c>
      <c r="G6068" s="28" t="s">
        <v>207</v>
      </c>
      <c r="H6068" s="28" t="s">
        <v>27631</v>
      </c>
      <c r="I6068" s="28" t="s">
        <v>30456</v>
      </c>
      <c r="J6068" s="28" t="s">
        <v>207</v>
      </c>
      <c r="K6068" s="28" t="s">
        <v>29066</v>
      </c>
      <c r="L6068" s="28" t="s">
        <v>27634</v>
      </c>
      <c r="M6068" s="28" t="s">
        <v>30457</v>
      </c>
      <c r="N6068" s="28" t="s">
        <v>27636</v>
      </c>
      <c r="O6068" s="28" t="s">
        <v>27637</v>
      </c>
      <c r="P6068" s="28" t="s">
        <v>30458</v>
      </c>
    </row>
    <row r="6069" spans="1:16" x14ac:dyDescent="0.25">
      <c r="A6069" s="28" t="s">
        <v>30459</v>
      </c>
      <c r="B6069" s="28" t="s">
        <v>30460</v>
      </c>
      <c r="C6069" s="28" t="s">
        <v>29063</v>
      </c>
      <c r="D6069" s="28" t="s">
        <v>1204</v>
      </c>
      <c r="E6069" s="28" t="s">
        <v>30461</v>
      </c>
      <c r="F6069" s="28" t="s">
        <v>21</v>
      </c>
      <c r="G6069" s="28" t="s">
        <v>207</v>
      </c>
      <c r="H6069" s="28" t="s">
        <v>27631</v>
      </c>
      <c r="I6069" s="28" t="s">
        <v>30462</v>
      </c>
      <c r="J6069" s="28" t="s">
        <v>207</v>
      </c>
      <c r="K6069" s="28" t="s">
        <v>29066</v>
      </c>
      <c r="L6069" s="28" t="s">
        <v>27634</v>
      </c>
      <c r="M6069" s="28" t="s">
        <v>30463</v>
      </c>
      <c r="N6069" s="28" t="s">
        <v>27636</v>
      </c>
      <c r="O6069" s="28" t="s">
        <v>27637</v>
      </c>
      <c r="P6069" s="28" t="s">
        <v>30464</v>
      </c>
    </row>
    <row r="6070" spans="1:16" x14ac:dyDescent="0.25">
      <c r="A6070" s="28" t="s">
        <v>30465</v>
      </c>
      <c r="B6070" s="28" t="s">
        <v>30466</v>
      </c>
      <c r="C6070" s="28" t="s">
        <v>29063</v>
      </c>
      <c r="D6070" s="28" t="s">
        <v>1204</v>
      </c>
      <c r="E6070" s="28" t="s">
        <v>30467</v>
      </c>
      <c r="F6070" s="28" t="s">
        <v>21</v>
      </c>
      <c r="G6070" s="28" t="s">
        <v>207</v>
      </c>
      <c r="H6070" s="28" t="s">
        <v>27631</v>
      </c>
      <c r="I6070" s="28" t="s">
        <v>30468</v>
      </c>
      <c r="J6070" s="28" t="s">
        <v>207</v>
      </c>
      <c r="K6070" s="28" t="s">
        <v>29066</v>
      </c>
      <c r="L6070" s="28" t="s">
        <v>27634</v>
      </c>
      <c r="M6070" s="28" t="s">
        <v>30469</v>
      </c>
      <c r="N6070" s="28" t="s">
        <v>27636</v>
      </c>
      <c r="O6070" s="28" t="s">
        <v>27637</v>
      </c>
      <c r="P6070" s="28" t="s">
        <v>30470</v>
      </c>
    </row>
    <row r="6071" spans="1:16" x14ac:dyDescent="0.25">
      <c r="A6071" s="28" t="s">
        <v>30471</v>
      </c>
      <c r="B6071" s="28" t="s">
        <v>30472</v>
      </c>
      <c r="C6071" s="28" t="s">
        <v>29063</v>
      </c>
      <c r="D6071" s="28" t="s">
        <v>1204</v>
      </c>
      <c r="E6071" s="28" t="s">
        <v>30473</v>
      </c>
      <c r="F6071" s="28" t="s">
        <v>21</v>
      </c>
      <c r="G6071" s="28" t="s">
        <v>207</v>
      </c>
      <c r="H6071" s="28" t="s">
        <v>27631</v>
      </c>
      <c r="I6071" s="28" t="s">
        <v>30474</v>
      </c>
      <c r="J6071" s="28" t="s">
        <v>207</v>
      </c>
      <c r="K6071" s="28" t="s">
        <v>29066</v>
      </c>
      <c r="L6071" s="28" t="s">
        <v>27634</v>
      </c>
      <c r="M6071" s="28" t="s">
        <v>30475</v>
      </c>
      <c r="N6071" s="28" t="s">
        <v>27636</v>
      </c>
      <c r="O6071" s="28" t="s">
        <v>27637</v>
      </c>
      <c r="P6071" s="28" t="s">
        <v>30476</v>
      </c>
    </row>
    <row r="6072" spans="1:16" x14ac:dyDescent="0.25">
      <c r="A6072" s="28" t="s">
        <v>30477</v>
      </c>
      <c r="B6072" s="28" t="s">
        <v>30478</v>
      </c>
      <c r="C6072" s="28" t="s">
        <v>29063</v>
      </c>
      <c r="D6072" s="28" t="s">
        <v>1204</v>
      </c>
      <c r="E6072" s="28" t="s">
        <v>30479</v>
      </c>
      <c r="F6072" s="28" t="s">
        <v>21</v>
      </c>
      <c r="G6072" s="28" t="s">
        <v>207</v>
      </c>
      <c r="H6072" s="28" t="s">
        <v>27631</v>
      </c>
      <c r="I6072" s="28" t="s">
        <v>30480</v>
      </c>
      <c r="J6072" s="28" t="s">
        <v>207</v>
      </c>
      <c r="K6072" s="28" t="s">
        <v>29066</v>
      </c>
      <c r="L6072" s="28" t="s">
        <v>27634</v>
      </c>
      <c r="M6072" s="28" t="s">
        <v>30481</v>
      </c>
      <c r="N6072" s="28" t="s">
        <v>27636</v>
      </c>
      <c r="O6072" s="28" t="s">
        <v>27637</v>
      </c>
      <c r="P6072" s="28" t="s">
        <v>30482</v>
      </c>
    </row>
    <row r="6073" spans="1:16" x14ac:dyDescent="0.25">
      <c r="A6073" s="28" t="s">
        <v>30483</v>
      </c>
      <c r="B6073" s="28" t="s">
        <v>30484</v>
      </c>
      <c r="C6073" s="28" t="s">
        <v>29063</v>
      </c>
      <c r="D6073" s="28" t="s">
        <v>1204</v>
      </c>
      <c r="E6073" s="28" t="s">
        <v>30485</v>
      </c>
      <c r="F6073" s="28" t="s">
        <v>21</v>
      </c>
      <c r="G6073" s="28" t="s">
        <v>207</v>
      </c>
      <c r="H6073" s="28" t="s">
        <v>27631</v>
      </c>
      <c r="I6073" s="28" t="s">
        <v>30486</v>
      </c>
      <c r="J6073" s="28" t="s">
        <v>207</v>
      </c>
      <c r="K6073" s="28" t="s">
        <v>29066</v>
      </c>
      <c r="L6073" s="28" t="s">
        <v>27634</v>
      </c>
      <c r="M6073" s="28" t="s">
        <v>30487</v>
      </c>
      <c r="N6073" s="28" t="s">
        <v>27636</v>
      </c>
      <c r="O6073" s="28" t="s">
        <v>27637</v>
      </c>
      <c r="P6073" s="28" t="s">
        <v>30488</v>
      </c>
    </row>
    <row r="6074" spans="1:16" x14ac:dyDescent="0.25">
      <c r="A6074" s="28" t="s">
        <v>30489</v>
      </c>
      <c r="B6074" s="28" t="s">
        <v>30490</v>
      </c>
      <c r="C6074" s="28" t="s">
        <v>29063</v>
      </c>
      <c r="D6074" s="28" t="s">
        <v>1204</v>
      </c>
      <c r="E6074" s="28" t="s">
        <v>30491</v>
      </c>
      <c r="F6074" s="28" t="s">
        <v>21</v>
      </c>
      <c r="G6074" s="28" t="s">
        <v>207</v>
      </c>
      <c r="H6074" s="28" t="s">
        <v>27631</v>
      </c>
      <c r="I6074" s="28" t="s">
        <v>30492</v>
      </c>
      <c r="J6074" s="28" t="s">
        <v>207</v>
      </c>
      <c r="K6074" s="28" t="s">
        <v>29066</v>
      </c>
      <c r="L6074" s="28" t="s">
        <v>27634</v>
      </c>
      <c r="M6074" s="28" t="s">
        <v>30493</v>
      </c>
      <c r="N6074" s="28" t="s">
        <v>27636</v>
      </c>
      <c r="O6074" s="28" t="s">
        <v>27637</v>
      </c>
      <c r="P6074" s="28" t="s">
        <v>30494</v>
      </c>
    </row>
    <row r="6075" spans="1:16" x14ac:dyDescent="0.25">
      <c r="A6075" s="28" t="s">
        <v>30495</v>
      </c>
      <c r="B6075" s="28" t="s">
        <v>30496</v>
      </c>
      <c r="C6075" s="28" t="s">
        <v>29063</v>
      </c>
      <c r="D6075" s="28" t="s">
        <v>1204</v>
      </c>
      <c r="E6075" s="28" t="s">
        <v>30497</v>
      </c>
      <c r="F6075" s="28" t="s">
        <v>21</v>
      </c>
      <c r="G6075" s="28" t="s">
        <v>207</v>
      </c>
      <c r="H6075" s="28" t="s">
        <v>27631</v>
      </c>
      <c r="I6075" s="28" t="s">
        <v>30498</v>
      </c>
      <c r="J6075" s="28" t="s">
        <v>207</v>
      </c>
      <c r="K6075" s="28" t="s">
        <v>29066</v>
      </c>
      <c r="L6075" s="28" t="s">
        <v>27634</v>
      </c>
      <c r="M6075" s="28" t="s">
        <v>30499</v>
      </c>
      <c r="N6075" s="28" t="s">
        <v>27636</v>
      </c>
      <c r="O6075" s="28" t="s">
        <v>27637</v>
      </c>
      <c r="P6075" s="28" t="s">
        <v>30500</v>
      </c>
    </row>
    <row r="6076" spans="1:16" x14ac:dyDescent="0.25">
      <c r="A6076" s="28" t="s">
        <v>30501</v>
      </c>
      <c r="B6076" s="28" t="s">
        <v>30502</v>
      </c>
      <c r="C6076" s="28" t="s">
        <v>29063</v>
      </c>
      <c r="D6076" s="28" t="s">
        <v>1204</v>
      </c>
      <c r="E6076" s="28" t="s">
        <v>30503</v>
      </c>
      <c r="F6076" s="28" t="s">
        <v>21</v>
      </c>
      <c r="G6076" s="28" t="s">
        <v>207</v>
      </c>
      <c r="H6076" s="28" t="s">
        <v>27631</v>
      </c>
      <c r="I6076" s="28" t="s">
        <v>30504</v>
      </c>
      <c r="J6076" s="28" t="s">
        <v>207</v>
      </c>
      <c r="K6076" s="28" t="s">
        <v>29066</v>
      </c>
      <c r="L6076" s="28" t="s">
        <v>27634</v>
      </c>
      <c r="M6076" s="28" t="s">
        <v>30505</v>
      </c>
      <c r="N6076" s="28" t="s">
        <v>27636</v>
      </c>
      <c r="O6076" s="28" t="s">
        <v>27637</v>
      </c>
      <c r="P6076" s="28" t="s">
        <v>30506</v>
      </c>
    </row>
    <row r="6077" spans="1:16" x14ac:dyDescent="0.25">
      <c r="A6077" s="28" t="s">
        <v>30507</v>
      </c>
      <c r="B6077" s="28" t="s">
        <v>30508</v>
      </c>
      <c r="C6077" s="28" t="s">
        <v>29063</v>
      </c>
      <c r="D6077" s="28" t="s">
        <v>1204</v>
      </c>
      <c r="E6077" s="28" t="s">
        <v>30509</v>
      </c>
      <c r="F6077" s="28" t="s">
        <v>21</v>
      </c>
      <c r="G6077" s="28" t="s">
        <v>207</v>
      </c>
      <c r="H6077" s="28" t="s">
        <v>27631</v>
      </c>
      <c r="I6077" s="28" t="s">
        <v>30510</v>
      </c>
      <c r="J6077" s="28" t="s">
        <v>207</v>
      </c>
      <c r="K6077" s="28" t="s">
        <v>29066</v>
      </c>
      <c r="L6077" s="28" t="s">
        <v>27634</v>
      </c>
      <c r="M6077" s="28" t="s">
        <v>30511</v>
      </c>
      <c r="N6077" s="28" t="s">
        <v>27636</v>
      </c>
      <c r="O6077" s="28" t="s">
        <v>27637</v>
      </c>
      <c r="P6077" s="28" t="s">
        <v>30512</v>
      </c>
    </row>
    <row r="6078" spans="1:16" x14ac:dyDescent="0.25">
      <c r="A6078" s="28" t="s">
        <v>30513</v>
      </c>
      <c r="B6078" s="28" t="s">
        <v>30514</v>
      </c>
      <c r="C6078" s="28" t="s">
        <v>29063</v>
      </c>
      <c r="D6078" s="28" t="s">
        <v>1204</v>
      </c>
      <c r="E6078" s="28" t="s">
        <v>30515</v>
      </c>
      <c r="F6078" s="28" t="s">
        <v>21</v>
      </c>
      <c r="G6078" s="28" t="s">
        <v>207</v>
      </c>
      <c r="H6078" s="28" t="s">
        <v>27631</v>
      </c>
      <c r="I6078" s="28" t="s">
        <v>30516</v>
      </c>
      <c r="J6078" s="28" t="s">
        <v>207</v>
      </c>
      <c r="K6078" s="28" t="s">
        <v>29066</v>
      </c>
      <c r="L6078" s="28" t="s">
        <v>27634</v>
      </c>
      <c r="M6078" s="28" t="s">
        <v>30517</v>
      </c>
      <c r="N6078" s="28" t="s">
        <v>27636</v>
      </c>
      <c r="O6078" s="28" t="s">
        <v>27637</v>
      </c>
      <c r="P6078" s="28" t="s">
        <v>30518</v>
      </c>
    </row>
    <row r="6079" spans="1:16" x14ac:dyDescent="0.25">
      <c r="A6079" s="28" t="s">
        <v>30519</v>
      </c>
      <c r="B6079" s="28" t="s">
        <v>30520</v>
      </c>
      <c r="C6079" s="28" t="s">
        <v>29063</v>
      </c>
      <c r="D6079" s="28" t="s">
        <v>1204</v>
      </c>
      <c r="E6079" s="28" t="s">
        <v>26384</v>
      </c>
      <c r="F6079" s="28" t="s">
        <v>21</v>
      </c>
      <c r="G6079" s="28" t="s">
        <v>207</v>
      </c>
      <c r="H6079" s="28" t="s">
        <v>27631</v>
      </c>
      <c r="I6079" s="28" t="s">
        <v>30521</v>
      </c>
      <c r="J6079" s="28" t="s">
        <v>207</v>
      </c>
      <c r="K6079" s="28" t="s">
        <v>29066</v>
      </c>
      <c r="L6079" s="28" t="s">
        <v>27634</v>
      </c>
      <c r="M6079" s="28" t="s">
        <v>30522</v>
      </c>
      <c r="N6079" s="28" t="s">
        <v>27636</v>
      </c>
      <c r="O6079" s="28" t="s">
        <v>27637</v>
      </c>
      <c r="P6079" s="28" t="s">
        <v>30523</v>
      </c>
    </row>
    <row r="6080" spans="1:16" x14ac:dyDescent="0.25">
      <c r="A6080" s="28" t="s">
        <v>30524</v>
      </c>
      <c r="B6080" s="28" t="s">
        <v>30525</v>
      </c>
      <c r="C6080" s="28" t="s">
        <v>29063</v>
      </c>
      <c r="D6080" s="28" t="s">
        <v>1204</v>
      </c>
      <c r="E6080" s="28" t="s">
        <v>30526</v>
      </c>
      <c r="F6080" s="28" t="s">
        <v>21</v>
      </c>
      <c r="G6080" s="28" t="s">
        <v>207</v>
      </c>
      <c r="H6080" s="28" t="s">
        <v>27631</v>
      </c>
      <c r="I6080" s="28" t="s">
        <v>30527</v>
      </c>
      <c r="J6080" s="28" t="s">
        <v>207</v>
      </c>
      <c r="K6080" s="28" t="s">
        <v>29066</v>
      </c>
      <c r="L6080" s="28" t="s">
        <v>27634</v>
      </c>
      <c r="M6080" s="28" t="s">
        <v>30528</v>
      </c>
      <c r="N6080" s="28" t="s">
        <v>27636</v>
      </c>
      <c r="O6080" s="28" t="s">
        <v>27637</v>
      </c>
      <c r="P6080" s="28" t="s">
        <v>30529</v>
      </c>
    </row>
    <row r="6081" spans="1:16" x14ac:dyDescent="0.25">
      <c r="A6081" s="28" t="s">
        <v>30530</v>
      </c>
      <c r="B6081" s="28" t="s">
        <v>30531</v>
      </c>
      <c r="C6081" s="28" t="s">
        <v>29063</v>
      </c>
      <c r="D6081" s="28" t="s">
        <v>1204</v>
      </c>
      <c r="E6081" s="28" t="s">
        <v>13014</v>
      </c>
      <c r="F6081" s="28" t="s">
        <v>21</v>
      </c>
      <c r="G6081" s="28" t="s">
        <v>207</v>
      </c>
      <c r="H6081" s="28" t="s">
        <v>27631</v>
      </c>
      <c r="I6081" s="28" t="s">
        <v>30532</v>
      </c>
      <c r="J6081" s="28" t="s">
        <v>207</v>
      </c>
      <c r="K6081" s="28" t="s">
        <v>29066</v>
      </c>
      <c r="L6081" s="28" t="s">
        <v>27634</v>
      </c>
      <c r="M6081" s="28" t="s">
        <v>30533</v>
      </c>
      <c r="N6081" s="28" t="s">
        <v>27636</v>
      </c>
      <c r="O6081" s="28" t="s">
        <v>27637</v>
      </c>
      <c r="P6081" s="28" t="s">
        <v>30534</v>
      </c>
    </row>
    <row r="6082" spans="1:16" x14ac:dyDescent="0.25">
      <c r="A6082" s="28" t="s">
        <v>30535</v>
      </c>
      <c r="B6082" s="28" t="s">
        <v>30536</v>
      </c>
      <c r="C6082" s="28" t="s">
        <v>29063</v>
      </c>
      <c r="D6082" s="28" t="s">
        <v>1204</v>
      </c>
      <c r="E6082" s="28" t="s">
        <v>30537</v>
      </c>
      <c r="F6082" s="28" t="s">
        <v>21</v>
      </c>
      <c r="G6082" s="28" t="s">
        <v>207</v>
      </c>
      <c r="H6082" s="28" t="s">
        <v>27631</v>
      </c>
      <c r="I6082" s="28" t="s">
        <v>30538</v>
      </c>
      <c r="J6082" s="28" t="s">
        <v>207</v>
      </c>
      <c r="K6082" s="28" t="s">
        <v>29066</v>
      </c>
      <c r="L6082" s="28" t="s">
        <v>27634</v>
      </c>
      <c r="M6082" s="28" t="s">
        <v>30539</v>
      </c>
      <c r="N6082" s="28" t="s">
        <v>27636</v>
      </c>
      <c r="O6082" s="28" t="s">
        <v>27637</v>
      </c>
      <c r="P6082" s="28" t="s">
        <v>30540</v>
      </c>
    </row>
    <row r="6083" spans="1:16" x14ac:dyDescent="0.25">
      <c r="A6083" s="28" t="s">
        <v>30541</v>
      </c>
      <c r="B6083" s="28" t="s">
        <v>30542</v>
      </c>
      <c r="C6083" s="28" t="s">
        <v>29063</v>
      </c>
      <c r="D6083" s="28" t="s">
        <v>1204</v>
      </c>
      <c r="E6083" s="28" t="s">
        <v>30543</v>
      </c>
      <c r="F6083" s="28" t="s">
        <v>21</v>
      </c>
      <c r="G6083" s="28" t="s">
        <v>207</v>
      </c>
      <c r="H6083" s="28" t="s">
        <v>27631</v>
      </c>
      <c r="I6083" s="28" t="s">
        <v>30544</v>
      </c>
      <c r="J6083" s="28" t="s">
        <v>207</v>
      </c>
      <c r="K6083" s="28" t="s">
        <v>29066</v>
      </c>
      <c r="L6083" s="28" t="s">
        <v>27634</v>
      </c>
      <c r="M6083" s="28" t="s">
        <v>30545</v>
      </c>
      <c r="N6083" s="28" t="s">
        <v>27636</v>
      </c>
      <c r="O6083" s="28" t="s">
        <v>27637</v>
      </c>
      <c r="P6083" s="28" t="s">
        <v>30546</v>
      </c>
    </row>
    <row r="6084" spans="1:16" x14ac:dyDescent="0.25">
      <c r="A6084" s="28" t="s">
        <v>30547</v>
      </c>
      <c r="B6084" s="28" t="s">
        <v>30548</v>
      </c>
      <c r="C6084" s="28" t="s">
        <v>29063</v>
      </c>
      <c r="D6084" s="28" t="s">
        <v>1204</v>
      </c>
      <c r="E6084" s="28" t="s">
        <v>13020</v>
      </c>
      <c r="F6084" s="28" t="s">
        <v>21</v>
      </c>
      <c r="G6084" s="28" t="s">
        <v>207</v>
      </c>
      <c r="H6084" s="28" t="s">
        <v>27631</v>
      </c>
      <c r="I6084" s="28" t="s">
        <v>30549</v>
      </c>
      <c r="J6084" s="28" t="s">
        <v>207</v>
      </c>
      <c r="K6084" s="28" t="s">
        <v>29066</v>
      </c>
      <c r="L6084" s="28" t="s">
        <v>27634</v>
      </c>
      <c r="M6084" s="28" t="s">
        <v>30550</v>
      </c>
      <c r="N6084" s="28" t="s">
        <v>27636</v>
      </c>
      <c r="O6084" s="28" t="s">
        <v>27637</v>
      </c>
      <c r="P6084" s="28" t="s">
        <v>30551</v>
      </c>
    </row>
    <row r="6085" spans="1:16" x14ac:dyDescent="0.25">
      <c r="A6085" s="28" t="s">
        <v>30552</v>
      </c>
      <c r="B6085" s="28" t="s">
        <v>30553</v>
      </c>
      <c r="C6085" s="28" t="s">
        <v>29063</v>
      </c>
      <c r="D6085" s="28" t="s">
        <v>1204</v>
      </c>
      <c r="E6085" s="28" t="s">
        <v>30554</v>
      </c>
      <c r="F6085" s="28" t="s">
        <v>21</v>
      </c>
      <c r="G6085" s="28" t="s">
        <v>207</v>
      </c>
      <c r="H6085" s="28" t="s">
        <v>27631</v>
      </c>
      <c r="I6085" s="28" t="s">
        <v>30555</v>
      </c>
      <c r="J6085" s="28" t="s">
        <v>207</v>
      </c>
      <c r="K6085" s="28" t="s">
        <v>29066</v>
      </c>
      <c r="L6085" s="28" t="s">
        <v>27634</v>
      </c>
      <c r="M6085" s="28" t="s">
        <v>30556</v>
      </c>
      <c r="N6085" s="28" t="s">
        <v>27636</v>
      </c>
      <c r="O6085" s="28" t="s">
        <v>27637</v>
      </c>
      <c r="P6085" s="28" t="s">
        <v>30557</v>
      </c>
    </row>
    <row r="6086" spans="1:16" x14ac:dyDescent="0.25">
      <c r="A6086" s="28" t="s">
        <v>30558</v>
      </c>
      <c r="B6086" s="28" t="s">
        <v>30559</v>
      </c>
      <c r="C6086" s="28" t="s">
        <v>29063</v>
      </c>
      <c r="D6086" s="28" t="s">
        <v>1204</v>
      </c>
      <c r="E6086" s="28" t="s">
        <v>13026</v>
      </c>
      <c r="F6086" s="28" t="s">
        <v>21</v>
      </c>
      <c r="G6086" s="28" t="s">
        <v>207</v>
      </c>
      <c r="H6086" s="28" t="s">
        <v>27631</v>
      </c>
      <c r="I6086" s="28" t="s">
        <v>30560</v>
      </c>
      <c r="J6086" s="28" t="s">
        <v>207</v>
      </c>
      <c r="K6086" s="28" t="s">
        <v>29066</v>
      </c>
      <c r="L6086" s="28" t="s">
        <v>27634</v>
      </c>
      <c r="M6086" s="28" t="s">
        <v>30561</v>
      </c>
      <c r="N6086" s="28" t="s">
        <v>27636</v>
      </c>
      <c r="O6086" s="28" t="s">
        <v>27637</v>
      </c>
      <c r="P6086" s="28" t="s">
        <v>30562</v>
      </c>
    </row>
    <row r="6087" spans="1:16" x14ac:dyDescent="0.25">
      <c r="A6087" s="28" t="s">
        <v>30563</v>
      </c>
      <c r="B6087" s="28" t="s">
        <v>30564</v>
      </c>
      <c r="C6087" s="28" t="s">
        <v>29063</v>
      </c>
      <c r="D6087" s="28" t="s">
        <v>1204</v>
      </c>
      <c r="E6087" s="28" t="s">
        <v>30565</v>
      </c>
      <c r="F6087" s="28" t="s">
        <v>21</v>
      </c>
      <c r="G6087" s="28" t="s">
        <v>207</v>
      </c>
      <c r="H6087" s="28" t="s">
        <v>27631</v>
      </c>
      <c r="I6087" s="28" t="s">
        <v>30566</v>
      </c>
      <c r="J6087" s="28" t="s">
        <v>207</v>
      </c>
      <c r="K6087" s="28" t="s">
        <v>29066</v>
      </c>
      <c r="L6087" s="28" t="s">
        <v>27634</v>
      </c>
      <c r="M6087" s="28" t="s">
        <v>30567</v>
      </c>
      <c r="N6087" s="28" t="s">
        <v>27636</v>
      </c>
      <c r="O6087" s="28" t="s">
        <v>27637</v>
      </c>
      <c r="P6087" s="28" t="s">
        <v>30568</v>
      </c>
    </row>
    <row r="6088" spans="1:16" x14ac:dyDescent="0.25">
      <c r="A6088" s="28" t="s">
        <v>30569</v>
      </c>
      <c r="B6088" s="28" t="s">
        <v>30570</v>
      </c>
      <c r="C6088" s="28" t="s">
        <v>29063</v>
      </c>
      <c r="D6088" s="28" t="s">
        <v>1204</v>
      </c>
      <c r="E6088" s="28" t="s">
        <v>30571</v>
      </c>
      <c r="F6088" s="28" t="s">
        <v>21</v>
      </c>
      <c r="G6088" s="28" t="s">
        <v>207</v>
      </c>
      <c r="H6088" s="28" t="s">
        <v>27631</v>
      </c>
      <c r="I6088" s="28" t="s">
        <v>30572</v>
      </c>
      <c r="J6088" s="28" t="s">
        <v>207</v>
      </c>
      <c r="K6088" s="28" t="s">
        <v>29066</v>
      </c>
      <c r="L6088" s="28" t="s">
        <v>27634</v>
      </c>
      <c r="M6088" s="28" t="s">
        <v>30573</v>
      </c>
      <c r="N6088" s="28" t="s">
        <v>27636</v>
      </c>
      <c r="O6088" s="28" t="s">
        <v>27637</v>
      </c>
      <c r="P6088" s="28" t="s">
        <v>30574</v>
      </c>
    </row>
    <row r="6089" spans="1:16" x14ac:dyDescent="0.25">
      <c r="A6089" s="28" t="s">
        <v>30575</v>
      </c>
      <c r="B6089" s="28" t="s">
        <v>30576</v>
      </c>
      <c r="C6089" s="28" t="s">
        <v>29063</v>
      </c>
      <c r="D6089" s="28" t="s">
        <v>1204</v>
      </c>
      <c r="E6089" s="28" t="s">
        <v>30577</v>
      </c>
      <c r="F6089" s="28" t="s">
        <v>21</v>
      </c>
      <c r="G6089" s="28" t="s">
        <v>207</v>
      </c>
      <c r="H6089" s="28" t="s">
        <v>27631</v>
      </c>
      <c r="I6089" s="28" t="s">
        <v>30578</v>
      </c>
      <c r="J6089" s="28" t="s">
        <v>207</v>
      </c>
      <c r="K6089" s="28" t="s">
        <v>29066</v>
      </c>
      <c r="L6089" s="28" t="s">
        <v>27634</v>
      </c>
      <c r="M6089" s="28" t="s">
        <v>30579</v>
      </c>
      <c r="N6089" s="28" t="s">
        <v>27636</v>
      </c>
      <c r="O6089" s="28" t="s">
        <v>27637</v>
      </c>
      <c r="P6089" s="28" t="s">
        <v>30580</v>
      </c>
    </row>
    <row r="6090" spans="1:16" x14ac:dyDescent="0.25">
      <c r="A6090" s="28" t="s">
        <v>30581</v>
      </c>
      <c r="B6090" s="28" t="s">
        <v>30582</v>
      </c>
      <c r="C6090" s="28" t="s">
        <v>29063</v>
      </c>
      <c r="D6090" s="28" t="s">
        <v>1204</v>
      </c>
      <c r="E6090" s="28" t="s">
        <v>30583</v>
      </c>
      <c r="F6090" s="28" t="s">
        <v>21</v>
      </c>
      <c r="G6090" s="28" t="s">
        <v>207</v>
      </c>
      <c r="H6090" s="28" t="s">
        <v>27631</v>
      </c>
      <c r="I6090" s="28" t="s">
        <v>30584</v>
      </c>
      <c r="J6090" s="28" t="s">
        <v>207</v>
      </c>
      <c r="K6090" s="28" t="s">
        <v>29066</v>
      </c>
      <c r="L6090" s="28" t="s">
        <v>27634</v>
      </c>
      <c r="M6090" s="28" t="s">
        <v>30585</v>
      </c>
      <c r="N6090" s="28" t="s">
        <v>27636</v>
      </c>
      <c r="O6090" s="28" t="s">
        <v>27637</v>
      </c>
      <c r="P6090" s="28" t="s">
        <v>30586</v>
      </c>
    </row>
    <row r="6091" spans="1:16" x14ac:dyDescent="0.25">
      <c r="A6091" s="28" t="s">
        <v>30587</v>
      </c>
      <c r="B6091" s="28" t="s">
        <v>30588</v>
      </c>
      <c r="C6091" s="28" t="s">
        <v>29063</v>
      </c>
      <c r="D6091" s="28" t="s">
        <v>1204</v>
      </c>
      <c r="E6091" s="28" t="s">
        <v>30589</v>
      </c>
      <c r="F6091" s="28" t="s">
        <v>21</v>
      </c>
      <c r="G6091" s="28" t="s">
        <v>207</v>
      </c>
      <c r="H6091" s="28" t="s">
        <v>27631</v>
      </c>
      <c r="I6091" s="28" t="s">
        <v>30590</v>
      </c>
      <c r="J6091" s="28" t="s">
        <v>207</v>
      </c>
      <c r="K6091" s="28" t="s">
        <v>29066</v>
      </c>
      <c r="L6091" s="28" t="s">
        <v>27634</v>
      </c>
      <c r="M6091" s="28" t="s">
        <v>30591</v>
      </c>
      <c r="N6091" s="28" t="s">
        <v>27636</v>
      </c>
      <c r="O6091" s="28" t="s">
        <v>27637</v>
      </c>
      <c r="P6091" s="28" t="s">
        <v>30592</v>
      </c>
    </row>
    <row r="6092" spans="1:16" x14ac:dyDescent="0.25">
      <c r="A6092" s="28" t="s">
        <v>30593</v>
      </c>
      <c r="B6092" s="28" t="s">
        <v>30594</v>
      </c>
      <c r="C6092" s="28" t="s">
        <v>29063</v>
      </c>
      <c r="D6092" s="28" t="s">
        <v>1204</v>
      </c>
      <c r="E6092" s="28" t="s">
        <v>30595</v>
      </c>
      <c r="F6092" s="28" t="s">
        <v>21</v>
      </c>
      <c r="G6092" s="28" t="s">
        <v>207</v>
      </c>
      <c r="H6092" s="28" t="s">
        <v>27631</v>
      </c>
      <c r="I6092" s="28" t="s">
        <v>30596</v>
      </c>
      <c r="J6092" s="28" t="s">
        <v>207</v>
      </c>
      <c r="K6092" s="28" t="s">
        <v>29066</v>
      </c>
      <c r="L6092" s="28" t="s">
        <v>27634</v>
      </c>
      <c r="M6092" s="28" t="s">
        <v>30597</v>
      </c>
      <c r="N6092" s="28" t="s">
        <v>27636</v>
      </c>
      <c r="O6092" s="28" t="s">
        <v>27637</v>
      </c>
      <c r="P6092" s="28" t="s">
        <v>30598</v>
      </c>
    </row>
    <row r="6093" spans="1:16" x14ac:dyDescent="0.25">
      <c r="A6093" s="28" t="s">
        <v>30599</v>
      </c>
      <c r="B6093" s="28" t="s">
        <v>30600</v>
      </c>
      <c r="C6093" s="28" t="s">
        <v>29063</v>
      </c>
      <c r="D6093" s="28" t="s">
        <v>1204</v>
      </c>
      <c r="E6093" s="28" t="s">
        <v>30601</v>
      </c>
      <c r="F6093" s="28" t="s">
        <v>21</v>
      </c>
      <c r="G6093" s="28" t="s">
        <v>207</v>
      </c>
      <c r="H6093" s="28" t="s">
        <v>27631</v>
      </c>
      <c r="I6093" s="28" t="s">
        <v>30602</v>
      </c>
      <c r="J6093" s="28" t="s">
        <v>207</v>
      </c>
      <c r="K6093" s="28" t="s">
        <v>29066</v>
      </c>
      <c r="L6093" s="28" t="s">
        <v>27634</v>
      </c>
      <c r="M6093" s="28" t="s">
        <v>30603</v>
      </c>
      <c r="N6093" s="28" t="s">
        <v>27636</v>
      </c>
      <c r="O6093" s="28" t="s">
        <v>27637</v>
      </c>
      <c r="P6093" s="28" t="s">
        <v>30604</v>
      </c>
    </row>
    <row r="6094" spans="1:16" x14ac:dyDescent="0.25">
      <c r="A6094" s="28" t="s">
        <v>30605</v>
      </c>
      <c r="B6094" s="28" t="s">
        <v>30606</v>
      </c>
      <c r="C6094" s="28" t="s">
        <v>29063</v>
      </c>
      <c r="D6094" s="28" t="s">
        <v>1204</v>
      </c>
      <c r="E6094" s="28" t="s">
        <v>30607</v>
      </c>
      <c r="F6094" s="28" t="s">
        <v>21</v>
      </c>
      <c r="G6094" s="28" t="s">
        <v>207</v>
      </c>
      <c r="H6094" s="28" t="s">
        <v>27631</v>
      </c>
      <c r="I6094" s="28" t="s">
        <v>30608</v>
      </c>
      <c r="J6094" s="28" t="s">
        <v>207</v>
      </c>
      <c r="K6094" s="28" t="s">
        <v>29066</v>
      </c>
      <c r="L6094" s="28" t="s">
        <v>27634</v>
      </c>
      <c r="M6094" s="28" t="s">
        <v>30609</v>
      </c>
      <c r="N6094" s="28" t="s">
        <v>27636</v>
      </c>
      <c r="O6094" s="28" t="s">
        <v>27637</v>
      </c>
      <c r="P6094" s="28" t="s">
        <v>30610</v>
      </c>
    </row>
    <row r="6095" spans="1:16" x14ac:dyDescent="0.25">
      <c r="A6095" s="28" t="s">
        <v>30611</v>
      </c>
      <c r="B6095" s="28" t="s">
        <v>30612</v>
      </c>
      <c r="C6095" s="28" t="s">
        <v>29063</v>
      </c>
      <c r="D6095" s="28" t="s">
        <v>1204</v>
      </c>
      <c r="E6095" s="28" t="s">
        <v>13032</v>
      </c>
      <c r="F6095" s="28" t="s">
        <v>21</v>
      </c>
      <c r="G6095" s="28" t="s">
        <v>207</v>
      </c>
      <c r="H6095" s="28" t="s">
        <v>27631</v>
      </c>
      <c r="I6095" s="28" t="s">
        <v>30613</v>
      </c>
      <c r="J6095" s="28" t="s">
        <v>207</v>
      </c>
      <c r="K6095" s="28" t="s">
        <v>29066</v>
      </c>
      <c r="L6095" s="28" t="s">
        <v>27634</v>
      </c>
      <c r="M6095" s="28" t="s">
        <v>30614</v>
      </c>
      <c r="N6095" s="28" t="s">
        <v>27636</v>
      </c>
      <c r="O6095" s="28" t="s">
        <v>27637</v>
      </c>
      <c r="P6095" s="28" t="s">
        <v>30615</v>
      </c>
    </row>
    <row r="6096" spans="1:16" x14ac:dyDescent="0.25">
      <c r="A6096" s="28" t="s">
        <v>30616</v>
      </c>
      <c r="B6096" s="28" t="s">
        <v>30617</v>
      </c>
      <c r="C6096" s="28" t="s">
        <v>29063</v>
      </c>
      <c r="D6096" s="28" t="s">
        <v>1204</v>
      </c>
      <c r="E6096" s="28" t="s">
        <v>13038</v>
      </c>
      <c r="F6096" s="28" t="s">
        <v>21</v>
      </c>
      <c r="G6096" s="28" t="s">
        <v>207</v>
      </c>
      <c r="H6096" s="28" t="s">
        <v>27631</v>
      </c>
      <c r="I6096" s="28" t="s">
        <v>30618</v>
      </c>
      <c r="J6096" s="28" t="s">
        <v>207</v>
      </c>
      <c r="K6096" s="28" t="s">
        <v>29066</v>
      </c>
      <c r="L6096" s="28" t="s">
        <v>27634</v>
      </c>
      <c r="M6096" s="28" t="s">
        <v>30619</v>
      </c>
      <c r="N6096" s="28" t="s">
        <v>27636</v>
      </c>
      <c r="O6096" s="28" t="s">
        <v>27637</v>
      </c>
      <c r="P6096" s="28" t="s">
        <v>30620</v>
      </c>
    </row>
    <row r="6097" spans="1:16" x14ac:dyDescent="0.25">
      <c r="A6097" s="28" t="s">
        <v>30621</v>
      </c>
      <c r="B6097" s="28" t="s">
        <v>30622</v>
      </c>
      <c r="C6097" s="28" t="s">
        <v>29063</v>
      </c>
      <c r="D6097" s="28" t="s">
        <v>1204</v>
      </c>
      <c r="E6097" s="28" t="s">
        <v>30623</v>
      </c>
      <c r="F6097" s="28" t="s">
        <v>21</v>
      </c>
      <c r="G6097" s="28" t="s">
        <v>207</v>
      </c>
      <c r="H6097" s="28" t="s">
        <v>27631</v>
      </c>
      <c r="I6097" s="28" t="s">
        <v>30624</v>
      </c>
      <c r="J6097" s="28" t="s">
        <v>207</v>
      </c>
      <c r="K6097" s="28" t="s">
        <v>29066</v>
      </c>
      <c r="L6097" s="28" t="s">
        <v>27634</v>
      </c>
      <c r="M6097" s="28" t="s">
        <v>30625</v>
      </c>
      <c r="N6097" s="28" t="s">
        <v>27636</v>
      </c>
      <c r="O6097" s="28" t="s">
        <v>27637</v>
      </c>
      <c r="P6097" s="28" t="s">
        <v>30626</v>
      </c>
    </row>
    <row r="6098" spans="1:16" x14ac:dyDescent="0.25">
      <c r="A6098" s="28" t="s">
        <v>30627</v>
      </c>
      <c r="B6098" s="28" t="s">
        <v>30628</v>
      </c>
      <c r="C6098" s="28" t="s">
        <v>29063</v>
      </c>
      <c r="D6098" s="28" t="s">
        <v>1204</v>
      </c>
      <c r="E6098" s="28" t="s">
        <v>30629</v>
      </c>
      <c r="F6098" s="28" t="s">
        <v>21</v>
      </c>
      <c r="G6098" s="28" t="s">
        <v>207</v>
      </c>
      <c r="H6098" s="28" t="s">
        <v>27631</v>
      </c>
      <c r="I6098" s="28" t="s">
        <v>30630</v>
      </c>
      <c r="J6098" s="28" t="s">
        <v>207</v>
      </c>
      <c r="K6098" s="28" t="s">
        <v>29066</v>
      </c>
      <c r="L6098" s="28" t="s">
        <v>27634</v>
      </c>
      <c r="M6098" s="28" t="s">
        <v>30631</v>
      </c>
      <c r="N6098" s="28" t="s">
        <v>27636</v>
      </c>
      <c r="O6098" s="28" t="s">
        <v>27637</v>
      </c>
      <c r="P6098" s="28" t="s">
        <v>30632</v>
      </c>
    </row>
    <row r="6099" spans="1:16" x14ac:dyDescent="0.25">
      <c r="A6099" s="28" t="s">
        <v>30633</v>
      </c>
      <c r="B6099" s="28" t="s">
        <v>30634</v>
      </c>
      <c r="C6099" s="28" t="s">
        <v>29063</v>
      </c>
      <c r="D6099" s="28" t="s">
        <v>1204</v>
      </c>
      <c r="E6099" s="28" t="s">
        <v>30635</v>
      </c>
      <c r="F6099" s="28" t="s">
        <v>21</v>
      </c>
      <c r="G6099" s="28" t="s">
        <v>207</v>
      </c>
      <c r="H6099" s="28" t="s">
        <v>27631</v>
      </c>
      <c r="I6099" s="28" t="s">
        <v>30636</v>
      </c>
      <c r="J6099" s="28" t="s">
        <v>207</v>
      </c>
      <c r="K6099" s="28" t="s">
        <v>29066</v>
      </c>
      <c r="L6099" s="28" t="s">
        <v>27634</v>
      </c>
      <c r="M6099" s="28" t="s">
        <v>30637</v>
      </c>
      <c r="N6099" s="28" t="s">
        <v>27636</v>
      </c>
      <c r="O6099" s="28" t="s">
        <v>27637</v>
      </c>
      <c r="P6099" s="28" t="s">
        <v>30638</v>
      </c>
    </row>
    <row r="6100" spans="1:16" x14ac:dyDescent="0.25">
      <c r="A6100" s="28" t="s">
        <v>30639</v>
      </c>
      <c r="B6100" s="28" t="s">
        <v>30640</v>
      </c>
      <c r="C6100" s="28" t="s">
        <v>29063</v>
      </c>
      <c r="D6100" s="28" t="s">
        <v>1204</v>
      </c>
      <c r="E6100" s="28" t="s">
        <v>13044</v>
      </c>
      <c r="F6100" s="28" t="s">
        <v>21</v>
      </c>
      <c r="G6100" s="28" t="s">
        <v>207</v>
      </c>
      <c r="H6100" s="28" t="s">
        <v>27631</v>
      </c>
      <c r="I6100" s="28" t="s">
        <v>30641</v>
      </c>
      <c r="J6100" s="28" t="s">
        <v>207</v>
      </c>
      <c r="K6100" s="28" t="s">
        <v>29066</v>
      </c>
      <c r="L6100" s="28" t="s">
        <v>27634</v>
      </c>
      <c r="M6100" s="28" t="s">
        <v>30642</v>
      </c>
      <c r="N6100" s="28" t="s">
        <v>27636</v>
      </c>
      <c r="O6100" s="28" t="s">
        <v>27637</v>
      </c>
      <c r="P6100" s="28" t="s">
        <v>30643</v>
      </c>
    </row>
    <row r="6101" spans="1:16" x14ac:dyDescent="0.25">
      <c r="A6101" s="28" t="s">
        <v>30644</v>
      </c>
      <c r="B6101" s="28" t="s">
        <v>30645</v>
      </c>
      <c r="C6101" s="28" t="s">
        <v>29063</v>
      </c>
      <c r="D6101" s="28" t="s">
        <v>1204</v>
      </c>
      <c r="E6101" s="28" t="s">
        <v>30646</v>
      </c>
      <c r="F6101" s="28" t="s">
        <v>21</v>
      </c>
      <c r="G6101" s="28" t="s">
        <v>207</v>
      </c>
      <c r="H6101" s="28" t="s">
        <v>27631</v>
      </c>
      <c r="I6101" s="28" t="s">
        <v>30647</v>
      </c>
      <c r="J6101" s="28" t="s">
        <v>207</v>
      </c>
      <c r="K6101" s="28" t="s">
        <v>29066</v>
      </c>
      <c r="L6101" s="28" t="s">
        <v>27634</v>
      </c>
      <c r="M6101" s="28" t="s">
        <v>30648</v>
      </c>
      <c r="N6101" s="28" t="s">
        <v>27636</v>
      </c>
      <c r="O6101" s="28" t="s">
        <v>27637</v>
      </c>
      <c r="P6101" s="28" t="s">
        <v>30649</v>
      </c>
    </row>
    <row r="6102" spans="1:16" x14ac:dyDescent="0.25">
      <c r="A6102" s="28" t="s">
        <v>30650</v>
      </c>
      <c r="B6102" s="28" t="s">
        <v>30651</v>
      </c>
      <c r="C6102" s="28" t="s">
        <v>29063</v>
      </c>
      <c r="D6102" s="28" t="s">
        <v>1204</v>
      </c>
      <c r="E6102" s="28" t="s">
        <v>13050</v>
      </c>
      <c r="F6102" s="28" t="s">
        <v>21</v>
      </c>
      <c r="G6102" s="28" t="s">
        <v>207</v>
      </c>
      <c r="H6102" s="28" t="s">
        <v>27631</v>
      </c>
      <c r="I6102" s="28" t="s">
        <v>30652</v>
      </c>
      <c r="J6102" s="28" t="s">
        <v>207</v>
      </c>
      <c r="K6102" s="28" t="s">
        <v>29066</v>
      </c>
      <c r="L6102" s="28" t="s">
        <v>27634</v>
      </c>
      <c r="M6102" s="28" t="s">
        <v>30653</v>
      </c>
      <c r="N6102" s="28" t="s">
        <v>27636</v>
      </c>
      <c r="O6102" s="28" t="s">
        <v>27637</v>
      </c>
      <c r="P6102" s="28" t="s">
        <v>30654</v>
      </c>
    </row>
    <row r="6103" spans="1:16" x14ac:dyDescent="0.25">
      <c r="A6103" s="28" t="s">
        <v>30655</v>
      </c>
      <c r="B6103" s="28" t="s">
        <v>30656</v>
      </c>
      <c r="C6103" s="28" t="s">
        <v>29063</v>
      </c>
      <c r="D6103" s="28" t="s">
        <v>1204</v>
      </c>
      <c r="E6103" s="28" t="s">
        <v>13056</v>
      </c>
      <c r="F6103" s="28" t="s">
        <v>21</v>
      </c>
      <c r="G6103" s="28" t="s">
        <v>207</v>
      </c>
      <c r="H6103" s="28" t="s">
        <v>27631</v>
      </c>
      <c r="I6103" s="28" t="s">
        <v>30657</v>
      </c>
      <c r="J6103" s="28" t="s">
        <v>207</v>
      </c>
      <c r="K6103" s="28" t="s">
        <v>29066</v>
      </c>
      <c r="L6103" s="28" t="s">
        <v>27634</v>
      </c>
      <c r="M6103" s="28" t="s">
        <v>30658</v>
      </c>
      <c r="N6103" s="28" t="s">
        <v>27636</v>
      </c>
      <c r="O6103" s="28" t="s">
        <v>27637</v>
      </c>
      <c r="P6103" s="28" t="s">
        <v>30659</v>
      </c>
    </row>
    <row r="6104" spans="1:16" x14ac:dyDescent="0.25">
      <c r="A6104" s="28" t="s">
        <v>30660</v>
      </c>
      <c r="B6104" s="28" t="s">
        <v>30661</v>
      </c>
      <c r="C6104" s="28" t="s">
        <v>29063</v>
      </c>
      <c r="D6104" s="28" t="s">
        <v>1204</v>
      </c>
      <c r="E6104" s="28" t="s">
        <v>13062</v>
      </c>
      <c r="F6104" s="28" t="s">
        <v>21</v>
      </c>
      <c r="G6104" s="28" t="s">
        <v>207</v>
      </c>
      <c r="H6104" s="28" t="s">
        <v>27631</v>
      </c>
      <c r="I6104" s="28" t="s">
        <v>30662</v>
      </c>
      <c r="J6104" s="28" t="s">
        <v>207</v>
      </c>
      <c r="K6104" s="28" t="s">
        <v>29066</v>
      </c>
      <c r="L6104" s="28" t="s">
        <v>27634</v>
      </c>
      <c r="M6104" s="28" t="s">
        <v>30663</v>
      </c>
      <c r="N6104" s="28" t="s">
        <v>27636</v>
      </c>
      <c r="O6104" s="28" t="s">
        <v>27637</v>
      </c>
      <c r="P6104" s="28" t="s">
        <v>30664</v>
      </c>
    </row>
    <row r="6105" spans="1:16" x14ac:dyDescent="0.25">
      <c r="A6105" s="28" t="s">
        <v>30665</v>
      </c>
      <c r="B6105" s="28" t="s">
        <v>30666</v>
      </c>
      <c r="C6105" s="28" t="s">
        <v>29063</v>
      </c>
      <c r="D6105" s="28" t="s">
        <v>1204</v>
      </c>
      <c r="E6105" s="28" t="s">
        <v>30667</v>
      </c>
      <c r="F6105" s="28" t="s">
        <v>21</v>
      </c>
      <c r="G6105" s="28" t="s">
        <v>207</v>
      </c>
      <c r="H6105" s="28" t="s">
        <v>27631</v>
      </c>
      <c r="I6105" s="28" t="s">
        <v>30668</v>
      </c>
      <c r="J6105" s="28" t="s">
        <v>207</v>
      </c>
      <c r="K6105" s="28" t="s">
        <v>29066</v>
      </c>
      <c r="L6105" s="28" t="s">
        <v>27634</v>
      </c>
      <c r="M6105" s="28" t="s">
        <v>30669</v>
      </c>
      <c r="N6105" s="28" t="s">
        <v>27636</v>
      </c>
      <c r="O6105" s="28" t="s">
        <v>27637</v>
      </c>
      <c r="P6105" s="28" t="s">
        <v>30670</v>
      </c>
    </row>
    <row r="6106" spans="1:16" x14ac:dyDescent="0.25">
      <c r="A6106" s="28" t="s">
        <v>30671</v>
      </c>
      <c r="B6106" s="28" t="s">
        <v>30672</v>
      </c>
      <c r="C6106" s="28" t="s">
        <v>29063</v>
      </c>
      <c r="D6106" s="28" t="s">
        <v>1204</v>
      </c>
      <c r="E6106" s="28" t="s">
        <v>30673</v>
      </c>
      <c r="F6106" s="28" t="s">
        <v>21</v>
      </c>
      <c r="G6106" s="28" t="s">
        <v>207</v>
      </c>
      <c r="H6106" s="28" t="s">
        <v>27631</v>
      </c>
      <c r="I6106" s="28" t="s">
        <v>30674</v>
      </c>
      <c r="J6106" s="28" t="s">
        <v>207</v>
      </c>
      <c r="K6106" s="28" t="s">
        <v>29066</v>
      </c>
      <c r="L6106" s="28" t="s">
        <v>27634</v>
      </c>
      <c r="M6106" s="28" t="s">
        <v>30675</v>
      </c>
      <c r="N6106" s="28" t="s">
        <v>27636</v>
      </c>
      <c r="O6106" s="28" t="s">
        <v>27637</v>
      </c>
      <c r="P6106" s="28" t="s">
        <v>30676</v>
      </c>
    </row>
    <row r="6107" spans="1:16" x14ac:dyDescent="0.25">
      <c r="A6107" s="28" t="s">
        <v>30677</v>
      </c>
      <c r="B6107" s="28" t="s">
        <v>30678</v>
      </c>
      <c r="C6107" s="28" t="s">
        <v>29063</v>
      </c>
      <c r="D6107" s="28" t="s">
        <v>1204</v>
      </c>
      <c r="E6107" s="28" t="s">
        <v>30679</v>
      </c>
      <c r="F6107" s="28" t="s">
        <v>21</v>
      </c>
      <c r="G6107" s="28" t="s">
        <v>207</v>
      </c>
      <c r="H6107" s="28" t="s">
        <v>27631</v>
      </c>
      <c r="I6107" s="28" t="s">
        <v>30680</v>
      </c>
      <c r="J6107" s="28" t="s">
        <v>207</v>
      </c>
      <c r="K6107" s="28" t="s">
        <v>29066</v>
      </c>
      <c r="L6107" s="28" t="s">
        <v>27634</v>
      </c>
      <c r="M6107" s="28" t="s">
        <v>30681</v>
      </c>
      <c r="N6107" s="28" t="s">
        <v>27636</v>
      </c>
      <c r="O6107" s="28" t="s">
        <v>27637</v>
      </c>
      <c r="P6107" s="28" t="s">
        <v>30682</v>
      </c>
    </row>
    <row r="6108" spans="1:16" x14ac:dyDescent="0.25">
      <c r="A6108" s="28" t="s">
        <v>30683</v>
      </c>
      <c r="B6108" s="28" t="s">
        <v>30684</v>
      </c>
      <c r="C6108" s="28" t="s">
        <v>29063</v>
      </c>
      <c r="D6108" s="28" t="s">
        <v>1204</v>
      </c>
      <c r="E6108" s="28" t="s">
        <v>30685</v>
      </c>
      <c r="F6108" s="28" t="s">
        <v>21</v>
      </c>
      <c r="G6108" s="28" t="s">
        <v>207</v>
      </c>
      <c r="H6108" s="28" t="s">
        <v>27631</v>
      </c>
      <c r="I6108" s="28" t="s">
        <v>30686</v>
      </c>
      <c r="J6108" s="28" t="s">
        <v>207</v>
      </c>
      <c r="K6108" s="28" t="s">
        <v>29066</v>
      </c>
      <c r="L6108" s="28" t="s">
        <v>27634</v>
      </c>
      <c r="M6108" s="28" t="s">
        <v>30687</v>
      </c>
      <c r="N6108" s="28" t="s">
        <v>27636</v>
      </c>
      <c r="O6108" s="28" t="s">
        <v>27637</v>
      </c>
      <c r="P6108" s="28" t="s">
        <v>30688</v>
      </c>
    </row>
    <row r="6109" spans="1:16" x14ac:dyDescent="0.25">
      <c r="A6109" s="28" t="s">
        <v>30689</v>
      </c>
      <c r="B6109" s="28" t="s">
        <v>30690</v>
      </c>
      <c r="C6109" s="28" t="s">
        <v>29063</v>
      </c>
      <c r="D6109" s="28" t="s">
        <v>1204</v>
      </c>
      <c r="E6109" s="28" t="s">
        <v>30691</v>
      </c>
      <c r="F6109" s="28" t="s">
        <v>21</v>
      </c>
      <c r="G6109" s="28" t="s">
        <v>207</v>
      </c>
      <c r="H6109" s="28" t="s">
        <v>27631</v>
      </c>
      <c r="I6109" s="28" t="s">
        <v>30692</v>
      </c>
      <c r="J6109" s="28" t="s">
        <v>207</v>
      </c>
      <c r="K6109" s="28" t="s">
        <v>29066</v>
      </c>
      <c r="L6109" s="28" t="s">
        <v>27634</v>
      </c>
      <c r="M6109" s="28" t="s">
        <v>30693</v>
      </c>
      <c r="N6109" s="28" t="s">
        <v>27636</v>
      </c>
      <c r="O6109" s="28" t="s">
        <v>27637</v>
      </c>
      <c r="P6109" s="28" t="s">
        <v>30694</v>
      </c>
    </row>
    <row r="6110" spans="1:16" x14ac:dyDescent="0.25">
      <c r="A6110" s="28" t="s">
        <v>30695</v>
      </c>
      <c r="B6110" s="28" t="s">
        <v>30696</v>
      </c>
      <c r="C6110" s="28" t="s">
        <v>29063</v>
      </c>
      <c r="D6110" s="28" t="s">
        <v>1204</v>
      </c>
      <c r="E6110" s="28" t="s">
        <v>13068</v>
      </c>
      <c r="F6110" s="28" t="s">
        <v>21</v>
      </c>
      <c r="G6110" s="28" t="s">
        <v>207</v>
      </c>
      <c r="H6110" s="28" t="s">
        <v>27631</v>
      </c>
      <c r="I6110" s="28" t="s">
        <v>30697</v>
      </c>
      <c r="J6110" s="28" t="s">
        <v>207</v>
      </c>
      <c r="K6110" s="28" t="s">
        <v>29066</v>
      </c>
      <c r="L6110" s="28" t="s">
        <v>27634</v>
      </c>
      <c r="M6110" s="28" t="s">
        <v>30698</v>
      </c>
      <c r="N6110" s="28" t="s">
        <v>27636</v>
      </c>
      <c r="O6110" s="28" t="s">
        <v>27637</v>
      </c>
      <c r="P6110" s="28" t="s">
        <v>30699</v>
      </c>
    </row>
    <row r="6111" spans="1:16" x14ac:dyDescent="0.25">
      <c r="A6111" s="28" t="s">
        <v>30700</v>
      </c>
      <c r="B6111" s="28" t="s">
        <v>30701</v>
      </c>
      <c r="C6111" s="28" t="s">
        <v>29063</v>
      </c>
      <c r="D6111" s="28" t="s">
        <v>1204</v>
      </c>
      <c r="E6111" s="28" t="s">
        <v>30702</v>
      </c>
      <c r="F6111" s="28" t="s">
        <v>21</v>
      </c>
      <c r="G6111" s="28" t="s">
        <v>207</v>
      </c>
      <c r="H6111" s="28" t="s">
        <v>27631</v>
      </c>
      <c r="I6111" s="28" t="s">
        <v>30703</v>
      </c>
      <c r="J6111" s="28" t="s">
        <v>207</v>
      </c>
      <c r="K6111" s="28" t="s">
        <v>29066</v>
      </c>
      <c r="L6111" s="28" t="s">
        <v>27634</v>
      </c>
      <c r="M6111" s="28" t="s">
        <v>30704</v>
      </c>
      <c r="N6111" s="28" t="s">
        <v>27636</v>
      </c>
      <c r="O6111" s="28" t="s">
        <v>27637</v>
      </c>
      <c r="P6111" s="28" t="s">
        <v>30705</v>
      </c>
    </row>
    <row r="6112" spans="1:16" x14ac:dyDescent="0.25">
      <c r="A6112" s="28" t="s">
        <v>30706</v>
      </c>
      <c r="B6112" s="28" t="s">
        <v>30707</v>
      </c>
      <c r="C6112" s="28" t="s">
        <v>29063</v>
      </c>
      <c r="D6112" s="28" t="s">
        <v>1204</v>
      </c>
      <c r="E6112" s="28" t="s">
        <v>30708</v>
      </c>
      <c r="F6112" s="28" t="s">
        <v>21</v>
      </c>
      <c r="G6112" s="28" t="s">
        <v>207</v>
      </c>
      <c r="H6112" s="28" t="s">
        <v>27631</v>
      </c>
      <c r="I6112" s="28" t="s">
        <v>30709</v>
      </c>
      <c r="J6112" s="28" t="s">
        <v>207</v>
      </c>
      <c r="K6112" s="28" t="s">
        <v>29066</v>
      </c>
      <c r="L6112" s="28" t="s">
        <v>27634</v>
      </c>
      <c r="M6112" s="28" t="s">
        <v>30710</v>
      </c>
      <c r="N6112" s="28" t="s">
        <v>27636</v>
      </c>
      <c r="O6112" s="28" t="s">
        <v>27637</v>
      </c>
      <c r="P6112" s="28" t="s">
        <v>30711</v>
      </c>
    </row>
    <row r="6113" spans="1:16" x14ac:dyDescent="0.25">
      <c r="A6113" s="28" t="s">
        <v>30712</v>
      </c>
      <c r="B6113" s="28" t="s">
        <v>30713</v>
      </c>
      <c r="C6113" s="28" t="s">
        <v>29063</v>
      </c>
      <c r="D6113" s="28" t="s">
        <v>1204</v>
      </c>
      <c r="E6113" s="28" t="s">
        <v>30714</v>
      </c>
      <c r="F6113" s="28" t="s">
        <v>21</v>
      </c>
      <c r="G6113" s="28" t="s">
        <v>207</v>
      </c>
      <c r="H6113" s="28" t="s">
        <v>27631</v>
      </c>
      <c r="I6113" s="28" t="s">
        <v>30715</v>
      </c>
      <c r="J6113" s="28" t="s">
        <v>207</v>
      </c>
      <c r="K6113" s="28" t="s">
        <v>29066</v>
      </c>
      <c r="L6113" s="28" t="s">
        <v>27634</v>
      </c>
      <c r="M6113" s="28" t="s">
        <v>30716</v>
      </c>
      <c r="N6113" s="28" t="s">
        <v>27636</v>
      </c>
      <c r="O6113" s="28" t="s">
        <v>27637</v>
      </c>
      <c r="P6113" s="28" t="s">
        <v>30717</v>
      </c>
    </row>
    <row r="6114" spans="1:16" x14ac:dyDescent="0.25">
      <c r="A6114" s="28" t="s">
        <v>30718</v>
      </c>
      <c r="B6114" s="28" t="s">
        <v>30719</v>
      </c>
      <c r="C6114" s="28" t="s">
        <v>29063</v>
      </c>
      <c r="D6114" s="28" t="s">
        <v>1204</v>
      </c>
      <c r="E6114" s="28" t="s">
        <v>13074</v>
      </c>
      <c r="F6114" s="28" t="s">
        <v>21</v>
      </c>
      <c r="G6114" s="28" t="s">
        <v>207</v>
      </c>
      <c r="H6114" s="28" t="s">
        <v>27631</v>
      </c>
      <c r="I6114" s="28" t="s">
        <v>30720</v>
      </c>
      <c r="J6114" s="28" t="s">
        <v>207</v>
      </c>
      <c r="K6114" s="28" t="s">
        <v>29066</v>
      </c>
      <c r="L6114" s="28" t="s">
        <v>27634</v>
      </c>
      <c r="M6114" s="28" t="s">
        <v>30721</v>
      </c>
      <c r="N6114" s="28" t="s">
        <v>27636</v>
      </c>
      <c r="O6114" s="28" t="s">
        <v>27637</v>
      </c>
      <c r="P6114" s="28" t="s">
        <v>30722</v>
      </c>
    </row>
    <row r="6115" spans="1:16" x14ac:dyDescent="0.25">
      <c r="A6115" s="28" t="s">
        <v>30723</v>
      </c>
      <c r="B6115" s="28" t="s">
        <v>30724</v>
      </c>
      <c r="C6115" s="28" t="s">
        <v>29063</v>
      </c>
      <c r="D6115" s="28" t="s">
        <v>1204</v>
      </c>
      <c r="E6115" s="28" t="s">
        <v>30725</v>
      </c>
      <c r="F6115" s="28" t="s">
        <v>21</v>
      </c>
      <c r="G6115" s="28" t="s">
        <v>207</v>
      </c>
      <c r="H6115" s="28" t="s">
        <v>27631</v>
      </c>
      <c r="I6115" s="28" t="s">
        <v>30726</v>
      </c>
      <c r="J6115" s="28" t="s">
        <v>207</v>
      </c>
      <c r="K6115" s="28" t="s">
        <v>29066</v>
      </c>
      <c r="L6115" s="28" t="s">
        <v>27634</v>
      </c>
      <c r="M6115" s="28" t="s">
        <v>30727</v>
      </c>
      <c r="N6115" s="28" t="s">
        <v>27636</v>
      </c>
      <c r="O6115" s="28" t="s">
        <v>27637</v>
      </c>
      <c r="P6115" s="28" t="s">
        <v>30728</v>
      </c>
    </row>
    <row r="6116" spans="1:16" x14ac:dyDescent="0.25">
      <c r="A6116" s="28" t="s">
        <v>30729</v>
      </c>
      <c r="B6116" s="28" t="s">
        <v>30730</v>
      </c>
      <c r="C6116" s="28" t="s">
        <v>29063</v>
      </c>
      <c r="D6116" s="28" t="s">
        <v>1204</v>
      </c>
      <c r="E6116" s="28" t="s">
        <v>30731</v>
      </c>
      <c r="F6116" s="28" t="s">
        <v>21</v>
      </c>
      <c r="G6116" s="28" t="s">
        <v>207</v>
      </c>
      <c r="H6116" s="28" t="s">
        <v>27631</v>
      </c>
      <c r="I6116" s="28" t="s">
        <v>30732</v>
      </c>
      <c r="J6116" s="28" t="s">
        <v>207</v>
      </c>
      <c r="K6116" s="28" t="s">
        <v>29066</v>
      </c>
      <c r="L6116" s="28" t="s">
        <v>27634</v>
      </c>
      <c r="M6116" s="28" t="s">
        <v>30733</v>
      </c>
      <c r="N6116" s="28" t="s">
        <v>27636</v>
      </c>
      <c r="O6116" s="28" t="s">
        <v>27637</v>
      </c>
      <c r="P6116" s="28" t="s">
        <v>30734</v>
      </c>
    </row>
    <row r="6117" spans="1:16" x14ac:dyDescent="0.25">
      <c r="A6117" s="28" t="s">
        <v>30735</v>
      </c>
      <c r="B6117" s="28" t="s">
        <v>30736</v>
      </c>
      <c r="C6117" s="28" t="s">
        <v>29063</v>
      </c>
      <c r="D6117" s="28" t="s">
        <v>1204</v>
      </c>
      <c r="E6117" s="28" t="s">
        <v>30737</v>
      </c>
      <c r="F6117" s="28" t="s">
        <v>21</v>
      </c>
      <c r="G6117" s="28" t="s">
        <v>207</v>
      </c>
      <c r="H6117" s="28" t="s">
        <v>27631</v>
      </c>
      <c r="I6117" s="28" t="s">
        <v>30738</v>
      </c>
      <c r="J6117" s="28" t="s">
        <v>207</v>
      </c>
      <c r="K6117" s="28" t="s">
        <v>29066</v>
      </c>
      <c r="L6117" s="28" t="s">
        <v>27634</v>
      </c>
      <c r="M6117" s="28" t="s">
        <v>30739</v>
      </c>
      <c r="N6117" s="28" t="s">
        <v>27636</v>
      </c>
      <c r="O6117" s="28" t="s">
        <v>27637</v>
      </c>
      <c r="P6117" s="28" t="s">
        <v>30740</v>
      </c>
    </row>
    <row r="6118" spans="1:16" x14ac:dyDescent="0.25">
      <c r="A6118" s="28" t="s">
        <v>30741</v>
      </c>
      <c r="B6118" s="28" t="s">
        <v>30742</v>
      </c>
      <c r="C6118" s="28" t="s">
        <v>29063</v>
      </c>
      <c r="D6118" s="28" t="s">
        <v>1204</v>
      </c>
      <c r="E6118" s="28" t="s">
        <v>30743</v>
      </c>
      <c r="F6118" s="28" t="s">
        <v>21</v>
      </c>
      <c r="G6118" s="28" t="s">
        <v>207</v>
      </c>
      <c r="H6118" s="28" t="s">
        <v>27631</v>
      </c>
      <c r="I6118" s="28" t="s">
        <v>30744</v>
      </c>
      <c r="J6118" s="28" t="s">
        <v>207</v>
      </c>
      <c r="K6118" s="28" t="s">
        <v>29066</v>
      </c>
      <c r="L6118" s="28" t="s">
        <v>27634</v>
      </c>
      <c r="M6118" s="28" t="s">
        <v>30745</v>
      </c>
      <c r="N6118" s="28" t="s">
        <v>27636</v>
      </c>
      <c r="O6118" s="28" t="s">
        <v>27637</v>
      </c>
      <c r="P6118" s="28" t="s">
        <v>30746</v>
      </c>
    </row>
    <row r="6119" spans="1:16" x14ac:dyDescent="0.25">
      <c r="A6119" s="28" t="s">
        <v>30747</v>
      </c>
      <c r="B6119" s="28" t="s">
        <v>30748</v>
      </c>
      <c r="C6119" s="28" t="s">
        <v>29063</v>
      </c>
      <c r="D6119" s="28" t="s">
        <v>1204</v>
      </c>
      <c r="E6119" s="28" t="s">
        <v>30749</v>
      </c>
      <c r="F6119" s="28" t="s">
        <v>21</v>
      </c>
      <c r="G6119" s="28" t="s">
        <v>207</v>
      </c>
      <c r="H6119" s="28" t="s">
        <v>27631</v>
      </c>
      <c r="I6119" s="28" t="s">
        <v>30750</v>
      </c>
      <c r="J6119" s="28" t="s">
        <v>207</v>
      </c>
      <c r="K6119" s="28" t="s">
        <v>29066</v>
      </c>
      <c r="L6119" s="28" t="s">
        <v>27634</v>
      </c>
      <c r="M6119" s="28" t="s">
        <v>30751</v>
      </c>
      <c r="N6119" s="28" t="s">
        <v>27636</v>
      </c>
      <c r="O6119" s="28" t="s">
        <v>27637</v>
      </c>
      <c r="P6119" s="28" t="s">
        <v>30752</v>
      </c>
    </row>
    <row r="6120" spans="1:16" x14ac:dyDescent="0.25">
      <c r="A6120" s="28" t="s">
        <v>30753</v>
      </c>
      <c r="B6120" s="28" t="s">
        <v>30754</v>
      </c>
      <c r="C6120" s="28" t="s">
        <v>29063</v>
      </c>
      <c r="D6120" s="28" t="s">
        <v>1204</v>
      </c>
      <c r="E6120" s="28" t="s">
        <v>30755</v>
      </c>
      <c r="F6120" s="28" t="s">
        <v>21</v>
      </c>
      <c r="G6120" s="28" t="s">
        <v>207</v>
      </c>
      <c r="H6120" s="28" t="s">
        <v>27631</v>
      </c>
      <c r="I6120" s="28" t="s">
        <v>30756</v>
      </c>
      <c r="J6120" s="28" t="s">
        <v>207</v>
      </c>
      <c r="K6120" s="28" t="s">
        <v>29066</v>
      </c>
      <c r="L6120" s="28" t="s">
        <v>27634</v>
      </c>
      <c r="M6120" s="28" t="s">
        <v>30757</v>
      </c>
      <c r="N6120" s="28" t="s">
        <v>27636</v>
      </c>
      <c r="O6120" s="28" t="s">
        <v>27637</v>
      </c>
      <c r="P6120" s="28" t="s">
        <v>30758</v>
      </c>
    </row>
    <row r="6121" spans="1:16" x14ac:dyDescent="0.25">
      <c r="A6121" s="28" t="s">
        <v>30759</v>
      </c>
      <c r="B6121" s="28" t="s">
        <v>30760</v>
      </c>
      <c r="C6121" s="28" t="s">
        <v>29063</v>
      </c>
      <c r="D6121" s="28" t="s">
        <v>1204</v>
      </c>
      <c r="E6121" s="28" t="s">
        <v>30761</v>
      </c>
      <c r="F6121" s="28" t="s">
        <v>21</v>
      </c>
      <c r="G6121" s="28" t="s">
        <v>207</v>
      </c>
      <c r="H6121" s="28" t="s">
        <v>27631</v>
      </c>
      <c r="I6121" s="28" t="s">
        <v>30762</v>
      </c>
      <c r="J6121" s="28" t="s">
        <v>207</v>
      </c>
      <c r="K6121" s="28" t="s">
        <v>29066</v>
      </c>
      <c r="L6121" s="28" t="s">
        <v>27634</v>
      </c>
      <c r="M6121" s="28" t="s">
        <v>30763</v>
      </c>
      <c r="N6121" s="28" t="s">
        <v>27636</v>
      </c>
      <c r="O6121" s="28" t="s">
        <v>27637</v>
      </c>
      <c r="P6121" s="28" t="s">
        <v>30764</v>
      </c>
    </row>
    <row r="6122" spans="1:16" x14ac:dyDescent="0.25">
      <c r="A6122" s="28" t="s">
        <v>30765</v>
      </c>
      <c r="B6122" s="28" t="s">
        <v>30766</v>
      </c>
      <c r="C6122" s="28" t="s">
        <v>29063</v>
      </c>
      <c r="D6122" s="28" t="s">
        <v>1204</v>
      </c>
      <c r="E6122" s="28" t="s">
        <v>30767</v>
      </c>
      <c r="F6122" s="28" t="s">
        <v>21</v>
      </c>
      <c r="G6122" s="28" t="s">
        <v>207</v>
      </c>
      <c r="H6122" s="28" t="s">
        <v>27631</v>
      </c>
      <c r="I6122" s="28" t="s">
        <v>30768</v>
      </c>
      <c r="J6122" s="28" t="s">
        <v>207</v>
      </c>
      <c r="K6122" s="28" t="s">
        <v>29066</v>
      </c>
      <c r="L6122" s="28" t="s">
        <v>27634</v>
      </c>
      <c r="M6122" s="28" t="s">
        <v>30769</v>
      </c>
      <c r="N6122" s="28" t="s">
        <v>27636</v>
      </c>
      <c r="O6122" s="28" t="s">
        <v>27637</v>
      </c>
      <c r="P6122" s="28" t="s">
        <v>30770</v>
      </c>
    </row>
    <row r="6123" spans="1:16" x14ac:dyDescent="0.25">
      <c r="A6123" s="28" t="s">
        <v>30771</v>
      </c>
      <c r="B6123" s="28" t="s">
        <v>30772</v>
      </c>
      <c r="C6123" s="28" t="s">
        <v>29063</v>
      </c>
      <c r="D6123" s="28" t="s">
        <v>1204</v>
      </c>
      <c r="E6123" s="28" t="s">
        <v>30773</v>
      </c>
      <c r="F6123" s="28" t="s">
        <v>21</v>
      </c>
      <c r="G6123" s="28" t="s">
        <v>207</v>
      </c>
      <c r="H6123" s="28" t="s">
        <v>27631</v>
      </c>
      <c r="I6123" s="28" t="s">
        <v>30774</v>
      </c>
      <c r="J6123" s="28" t="s">
        <v>207</v>
      </c>
      <c r="K6123" s="28" t="s">
        <v>29066</v>
      </c>
      <c r="L6123" s="28" t="s">
        <v>27634</v>
      </c>
      <c r="M6123" s="28" t="s">
        <v>30775</v>
      </c>
      <c r="N6123" s="28" t="s">
        <v>27636</v>
      </c>
      <c r="O6123" s="28" t="s">
        <v>27637</v>
      </c>
      <c r="P6123" s="28" t="s">
        <v>30776</v>
      </c>
    </row>
    <row r="6124" spans="1:16" x14ac:dyDescent="0.25">
      <c r="A6124" s="28" t="s">
        <v>30777</v>
      </c>
      <c r="B6124" s="28" t="s">
        <v>30778</v>
      </c>
      <c r="C6124" s="28" t="s">
        <v>29063</v>
      </c>
      <c r="D6124" s="28" t="s">
        <v>1204</v>
      </c>
      <c r="E6124" s="28" t="s">
        <v>30779</v>
      </c>
      <c r="F6124" s="28" t="s">
        <v>21</v>
      </c>
      <c r="G6124" s="28" t="s">
        <v>207</v>
      </c>
      <c r="H6124" s="28" t="s">
        <v>27631</v>
      </c>
      <c r="I6124" s="28" t="s">
        <v>30780</v>
      </c>
      <c r="J6124" s="28" t="s">
        <v>207</v>
      </c>
      <c r="K6124" s="28" t="s">
        <v>29066</v>
      </c>
      <c r="L6124" s="28" t="s">
        <v>27634</v>
      </c>
      <c r="M6124" s="28" t="s">
        <v>30781</v>
      </c>
      <c r="N6124" s="28" t="s">
        <v>27636</v>
      </c>
      <c r="O6124" s="28" t="s">
        <v>27637</v>
      </c>
      <c r="P6124" s="28" t="s">
        <v>30782</v>
      </c>
    </row>
    <row r="6125" spans="1:16" x14ac:dyDescent="0.25">
      <c r="A6125" s="28" t="s">
        <v>30783</v>
      </c>
      <c r="B6125" s="28" t="s">
        <v>30784</v>
      </c>
      <c r="C6125" s="28" t="s">
        <v>29063</v>
      </c>
      <c r="D6125" s="28" t="s">
        <v>1204</v>
      </c>
      <c r="E6125" s="28" t="s">
        <v>30785</v>
      </c>
      <c r="F6125" s="28" t="s">
        <v>21</v>
      </c>
      <c r="G6125" s="28" t="s">
        <v>207</v>
      </c>
      <c r="H6125" s="28" t="s">
        <v>27631</v>
      </c>
      <c r="I6125" s="28" t="s">
        <v>30786</v>
      </c>
      <c r="J6125" s="28" t="s">
        <v>207</v>
      </c>
      <c r="K6125" s="28" t="s">
        <v>29066</v>
      </c>
      <c r="L6125" s="28" t="s">
        <v>27634</v>
      </c>
      <c r="M6125" s="28" t="s">
        <v>30787</v>
      </c>
      <c r="N6125" s="28" t="s">
        <v>27636</v>
      </c>
      <c r="O6125" s="28" t="s">
        <v>27637</v>
      </c>
      <c r="P6125" s="28" t="s">
        <v>30788</v>
      </c>
    </row>
    <row r="6126" spans="1:16" x14ac:dyDescent="0.25">
      <c r="A6126" s="28" t="s">
        <v>30789</v>
      </c>
      <c r="B6126" s="28" t="s">
        <v>30790</v>
      </c>
      <c r="C6126" s="28" t="s">
        <v>29063</v>
      </c>
      <c r="D6126" s="28" t="s">
        <v>1204</v>
      </c>
      <c r="E6126" s="28" t="s">
        <v>30791</v>
      </c>
      <c r="F6126" s="28" t="s">
        <v>21</v>
      </c>
      <c r="G6126" s="28" t="s">
        <v>207</v>
      </c>
      <c r="H6126" s="28" t="s">
        <v>27631</v>
      </c>
      <c r="I6126" s="28" t="s">
        <v>30792</v>
      </c>
      <c r="J6126" s="28" t="s">
        <v>207</v>
      </c>
      <c r="K6126" s="28" t="s">
        <v>29066</v>
      </c>
      <c r="L6126" s="28" t="s">
        <v>27634</v>
      </c>
      <c r="M6126" s="28" t="s">
        <v>30793</v>
      </c>
      <c r="N6126" s="28" t="s">
        <v>27636</v>
      </c>
      <c r="O6126" s="28" t="s">
        <v>27637</v>
      </c>
      <c r="P6126" s="28" t="s">
        <v>30794</v>
      </c>
    </row>
    <row r="6127" spans="1:16" x14ac:dyDescent="0.25">
      <c r="A6127" s="28" t="s">
        <v>30795</v>
      </c>
      <c r="B6127" s="28" t="s">
        <v>30796</v>
      </c>
      <c r="C6127" s="28" t="s">
        <v>29063</v>
      </c>
      <c r="D6127" s="28" t="s">
        <v>1204</v>
      </c>
      <c r="E6127" s="28" t="s">
        <v>30797</v>
      </c>
      <c r="F6127" s="28" t="s">
        <v>21</v>
      </c>
      <c r="G6127" s="28" t="s">
        <v>207</v>
      </c>
      <c r="H6127" s="28" t="s">
        <v>27631</v>
      </c>
      <c r="I6127" s="28" t="s">
        <v>30798</v>
      </c>
      <c r="J6127" s="28" t="s">
        <v>207</v>
      </c>
      <c r="K6127" s="28" t="s">
        <v>29066</v>
      </c>
      <c r="L6127" s="28" t="s">
        <v>27634</v>
      </c>
      <c r="M6127" s="28" t="s">
        <v>30799</v>
      </c>
      <c r="N6127" s="28" t="s">
        <v>27636</v>
      </c>
      <c r="O6127" s="28" t="s">
        <v>27637</v>
      </c>
      <c r="P6127" s="28" t="s">
        <v>30800</v>
      </c>
    </row>
    <row r="6128" spans="1:16" x14ac:dyDescent="0.25">
      <c r="A6128" s="28" t="s">
        <v>30801</v>
      </c>
      <c r="B6128" s="28" t="s">
        <v>30802</v>
      </c>
      <c r="C6128" s="28" t="s">
        <v>29063</v>
      </c>
      <c r="D6128" s="28" t="s">
        <v>1204</v>
      </c>
      <c r="E6128" s="28" t="s">
        <v>30803</v>
      </c>
      <c r="F6128" s="28" t="s">
        <v>21</v>
      </c>
      <c r="G6128" s="28" t="s">
        <v>207</v>
      </c>
      <c r="H6128" s="28" t="s">
        <v>27631</v>
      </c>
      <c r="I6128" s="28" t="s">
        <v>30804</v>
      </c>
      <c r="J6128" s="28" t="s">
        <v>207</v>
      </c>
      <c r="K6128" s="28" t="s">
        <v>29066</v>
      </c>
      <c r="L6128" s="28" t="s">
        <v>27634</v>
      </c>
      <c r="M6128" s="28" t="s">
        <v>30805</v>
      </c>
      <c r="N6128" s="28" t="s">
        <v>27636</v>
      </c>
      <c r="O6128" s="28" t="s">
        <v>27637</v>
      </c>
      <c r="P6128" s="28" t="s">
        <v>30806</v>
      </c>
    </row>
    <row r="6129" spans="1:16" x14ac:dyDescent="0.25">
      <c r="A6129" s="28" t="s">
        <v>30807</v>
      </c>
      <c r="B6129" s="28" t="s">
        <v>30808</v>
      </c>
      <c r="C6129" s="28" t="s">
        <v>29063</v>
      </c>
      <c r="D6129" s="28" t="s">
        <v>1204</v>
      </c>
      <c r="E6129" s="28" t="s">
        <v>30809</v>
      </c>
      <c r="F6129" s="28" t="s">
        <v>21</v>
      </c>
      <c r="G6129" s="28" t="s">
        <v>207</v>
      </c>
      <c r="H6129" s="28" t="s">
        <v>27631</v>
      </c>
      <c r="I6129" s="28" t="s">
        <v>30810</v>
      </c>
      <c r="J6129" s="28" t="s">
        <v>207</v>
      </c>
      <c r="K6129" s="28" t="s">
        <v>29066</v>
      </c>
      <c r="L6129" s="28" t="s">
        <v>27634</v>
      </c>
      <c r="M6129" s="28" t="s">
        <v>30811</v>
      </c>
      <c r="N6129" s="28" t="s">
        <v>27636</v>
      </c>
      <c r="O6129" s="28" t="s">
        <v>27637</v>
      </c>
      <c r="P6129" s="28" t="s">
        <v>30812</v>
      </c>
    </row>
    <row r="6130" spans="1:16" x14ac:dyDescent="0.25">
      <c r="A6130" s="28" t="s">
        <v>30813</v>
      </c>
      <c r="B6130" s="28" t="s">
        <v>30814</v>
      </c>
      <c r="C6130" s="28" t="s">
        <v>29063</v>
      </c>
      <c r="D6130" s="28" t="s">
        <v>1204</v>
      </c>
      <c r="E6130" s="28" t="s">
        <v>30815</v>
      </c>
      <c r="F6130" s="28" t="s">
        <v>21</v>
      </c>
      <c r="G6130" s="28" t="s">
        <v>207</v>
      </c>
      <c r="H6130" s="28" t="s">
        <v>27631</v>
      </c>
      <c r="I6130" s="28" t="s">
        <v>30816</v>
      </c>
      <c r="J6130" s="28" t="s">
        <v>207</v>
      </c>
      <c r="K6130" s="28" t="s">
        <v>29066</v>
      </c>
      <c r="L6130" s="28" t="s">
        <v>27634</v>
      </c>
      <c r="M6130" s="28" t="s">
        <v>30817</v>
      </c>
      <c r="N6130" s="28" t="s">
        <v>27636</v>
      </c>
      <c r="O6130" s="28" t="s">
        <v>27637</v>
      </c>
      <c r="P6130" s="28" t="s">
        <v>30818</v>
      </c>
    </row>
    <row r="6131" spans="1:16" x14ac:dyDescent="0.25">
      <c r="A6131" s="28" t="s">
        <v>30819</v>
      </c>
      <c r="B6131" s="28" t="s">
        <v>30820</v>
      </c>
      <c r="C6131" s="28" t="s">
        <v>29063</v>
      </c>
      <c r="D6131" s="28" t="s">
        <v>1204</v>
      </c>
      <c r="E6131" s="28" t="s">
        <v>30821</v>
      </c>
      <c r="F6131" s="28" t="s">
        <v>21</v>
      </c>
      <c r="G6131" s="28" t="s">
        <v>207</v>
      </c>
      <c r="H6131" s="28" t="s">
        <v>27631</v>
      </c>
      <c r="I6131" s="28" t="s">
        <v>30822</v>
      </c>
      <c r="J6131" s="28" t="s">
        <v>207</v>
      </c>
      <c r="K6131" s="28" t="s">
        <v>29066</v>
      </c>
      <c r="L6131" s="28" t="s">
        <v>27634</v>
      </c>
      <c r="M6131" s="28" t="s">
        <v>30823</v>
      </c>
      <c r="N6131" s="28" t="s">
        <v>27636</v>
      </c>
      <c r="O6131" s="28" t="s">
        <v>27637</v>
      </c>
      <c r="P6131" s="28" t="s">
        <v>30824</v>
      </c>
    </row>
    <row r="6132" spans="1:16" x14ac:dyDescent="0.25">
      <c r="A6132" s="28" t="s">
        <v>30825</v>
      </c>
      <c r="B6132" s="28" t="s">
        <v>30826</v>
      </c>
      <c r="C6132" s="28" t="s">
        <v>29063</v>
      </c>
      <c r="D6132" s="28" t="s">
        <v>1204</v>
      </c>
      <c r="E6132" s="28" t="s">
        <v>30827</v>
      </c>
      <c r="F6132" s="28" t="s">
        <v>21</v>
      </c>
      <c r="G6132" s="28" t="s">
        <v>207</v>
      </c>
      <c r="H6132" s="28" t="s">
        <v>27631</v>
      </c>
      <c r="I6132" s="28" t="s">
        <v>30828</v>
      </c>
      <c r="J6132" s="28" t="s">
        <v>207</v>
      </c>
      <c r="K6132" s="28" t="s">
        <v>29066</v>
      </c>
      <c r="L6132" s="28" t="s">
        <v>27634</v>
      </c>
      <c r="M6132" s="28" t="s">
        <v>30829</v>
      </c>
      <c r="N6132" s="28" t="s">
        <v>27636</v>
      </c>
      <c r="O6132" s="28" t="s">
        <v>27637</v>
      </c>
      <c r="P6132" s="28" t="s">
        <v>30830</v>
      </c>
    </row>
    <row r="6133" spans="1:16" x14ac:dyDescent="0.25">
      <c r="A6133" s="28" t="s">
        <v>30831</v>
      </c>
      <c r="B6133" s="28" t="s">
        <v>30832</v>
      </c>
      <c r="C6133" s="28" t="s">
        <v>29063</v>
      </c>
      <c r="D6133" s="28" t="s">
        <v>1204</v>
      </c>
      <c r="E6133" s="28" t="s">
        <v>30833</v>
      </c>
      <c r="F6133" s="28" t="s">
        <v>21</v>
      </c>
      <c r="G6133" s="28" t="s">
        <v>207</v>
      </c>
      <c r="H6133" s="28" t="s">
        <v>27631</v>
      </c>
      <c r="I6133" s="28" t="s">
        <v>30834</v>
      </c>
      <c r="J6133" s="28" t="s">
        <v>207</v>
      </c>
      <c r="K6133" s="28" t="s">
        <v>29066</v>
      </c>
      <c r="L6133" s="28" t="s">
        <v>27634</v>
      </c>
      <c r="M6133" s="28" t="s">
        <v>30835</v>
      </c>
      <c r="N6133" s="28" t="s">
        <v>27636</v>
      </c>
      <c r="O6133" s="28" t="s">
        <v>27637</v>
      </c>
      <c r="P6133" s="28" t="s">
        <v>30836</v>
      </c>
    </row>
    <row r="6134" spans="1:16" x14ac:dyDescent="0.25">
      <c r="A6134" s="28" t="s">
        <v>30837</v>
      </c>
      <c r="B6134" s="28" t="s">
        <v>30838</v>
      </c>
      <c r="C6134" s="28" t="s">
        <v>29063</v>
      </c>
      <c r="D6134" s="28" t="s">
        <v>1204</v>
      </c>
      <c r="E6134" s="28" t="s">
        <v>30839</v>
      </c>
      <c r="F6134" s="28" t="s">
        <v>21</v>
      </c>
      <c r="G6134" s="28" t="s">
        <v>207</v>
      </c>
      <c r="H6134" s="28" t="s">
        <v>27631</v>
      </c>
      <c r="I6134" s="28" t="s">
        <v>30840</v>
      </c>
      <c r="J6134" s="28" t="s">
        <v>207</v>
      </c>
      <c r="K6134" s="28" t="s">
        <v>29066</v>
      </c>
      <c r="L6134" s="28" t="s">
        <v>27634</v>
      </c>
      <c r="M6134" s="28" t="s">
        <v>30841</v>
      </c>
      <c r="N6134" s="28" t="s">
        <v>27636</v>
      </c>
      <c r="O6134" s="28" t="s">
        <v>27637</v>
      </c>
      <c r="P6134" s="28" t="s">
        <v>30842</v>
      </c>
    </row>
    <row r="6135" spans="1:16" x14ac:dyDescent="0.25">
      <c r="A6135" s="28" t="s">
        <v>30843</v>
      </c>
      <c r="B6135" s="28" t="s">
        <v>30844</v>
      </c>
      <c r="C6135" s="28" t="s">
        <v>29063</v>
      </c>
      <c r="D6135" s="28" t="s">
        <v>1204</v>
      </c>
      <c r="E6135" s="28" t="s">
        <v>30845</v>
      </c>
      <c r="F6135" s="28" t="s">
        <v>21</v>
      </c>
      <c r="G6135" s="28" t="s">
        <v>207</v>
      </c>
      <c r="H6135" s="28" t="s">
        <v>27631</v>
      </c>
      <c r="I6135" s="28" t="s">
        <v>30846</v>
      </c>
      <c r="J6135" s="28" t="s">
        <v>207</v>
      </c>
      <c r="K6135" s="28" t="s">
        <v>29066</v>
      </c>
      <c r="L6135" s="28" t="s">
        <v>27634</v>
      </c>
      <c r="M6135" s="28" t="s">
        <v>30847</v>
      </c>
      <c r="N6135" s="28" t="s">
        <v>27636</v>
      </c>
      <c r="O6135" s="28" t="s">
        <v>27637</v>
      </c>
      <c r="P6135" s="28" t="s">
        <v>30848</v>
      </c>
    </row>
    <row r="6136" spans="1:16" x14ac:dyDescent="0.25">
      <c r="A6136" s="28" t="s">
        <v>30849</v>
      </c>
      <c r="B6136" s="28" t="s">
        <v>30850</v>
      </c>
      <c r="C6136" s="28" t="s">
        <v>29063</v>
      </c>
      <c r="D6136" s="28" t="s">
        <v>1204</v>
      </c>
      <c r="E6136" s="28" t="s">
        <v>30851</v>
      </c>
      <c r="F6136" s="28" t="s">
        <v>21</v>
      </c>
      <c r="G6136" s="28" t="s">
        <v>207</v>
      </c>
      <c r="H6136" s="28" t="s">
        <v>27631</v>
      </c>
      <c r="I6136" s="28" t="s">
        <v>30852</v>
      </c>
      <c r="J6136" s="28" t="s">
        <v>207</v>
      </c>
      <c r="K6136" s="28" t="s">
        <v>29066</v>
      </c>
      <c r="L6136" s="28" t="s">
        <v>27634</v>
      </c>
      <c r="M6136" s="28" t="s">
        <v>30853</v>
      </c>
      <c r="N6136" s="28" t="s">
        <v>27636</v>
      </c>
      <c r="O6136" s="28" t="s">
        <v>27637</v>
      </c>
      <c r="P6136" s="28" t="s">
        <v>30854</v>
      </c>
    </row>
    <row r="6137" spans="1:16" x14ac:dyDescent="0.25">
      <c r="A6137" s="28" t="s">
        <v>30855</v>
      </c>
      <c r="B6137" s="28" t="s">
        <v>30856</v>
      </c>
      <c r="C6137" s="28" t="s">
        <v>29063</v>
      </c>
      <c r="D6137" s="28" t="s">
        <v>1204</v>
      </c>
      <c r="E6137" s="28" t="s">
        <v>30857</v>
      </c>
      <c r="F6137" s="28" t="s">
        <v>21</v>
      </c>
      <c r="G6137" s="28" t="s">
        <v>207</v>
      </c>
      <c r="H6137" s="28" t="s">
        <v>27631</v>
      </c>
      <c r="I6137" s="28" t="s">
        <v>30858</v>
      </c>
      <c r="J6137" s="28" t="s">
        <v>207</v>
      </c>
      <c r="K6137" s="28" t="s">
        <v>29066</v>
      </c>
      <c r="L6137" s="28" t="s">
        <v>27634</v>
      </c>
      <c r="M6137" s="28" t="s">
        <v>30859</v>
      </c>
      <c r="N6137" s="28" t="s">
        <v>27636</v>
      </c>
      <c r="O6137" s="28" t="s">
        <v>27637</v>
      </c>
      <c r="P6137" s="28" t="s">
        <v>30860</v>
      </c>
    </row>
    <row r="6138" spans="1:16" x14ac:dyDescent="0.25">
      <c r="A6138" s="28" t="s">
        <v>30861</v>
      </c>
      <c r="B6138" s="28" t="s">
        <v>30862</v>
      </c>
      <c r="C6138" s="28" t="s">
        <v>29063</v>
      </c>
      <c r="D6138" s="28" t="s">
        <v>1204</v>
      </c>
      <c r="E6138" s="28" t="s">
        <v>30863</v>
      </c>
      <c r="F6138" s="28" t="s">
        <v>21</v>
      </c>
      <c r="G6138" s="28" t="s">
        <v>207</v>
      </c>
      <c r="H6138" s="28" t="s">
        <v>27631</v>
      </c>
      <c r="I6138" s="28" t="s">
        <v>30864</v>
      </c>
      <c r="J6138" s="28" t="s">
        <v>207</v>
      </c>
      <c r="K6138" s="28" t="s">
        <v>29066</v>
      </c>
      <c r="L6138" s="28" t="s">
        <v>27634</v>
      </c>
      <c r="M6138" s="28" t="s">
        <v>30865</v>
      </c>
      <c r="N6138" s="28" t="s">
        <v>27636</v>
      </c>
      <c r="O6138" s="28" t="s">
        <v>27637</v>
      </c>
      <c r="P6138" s="28" t="s">
        <v>30866</v>
      </c>
    </row>
    <row r="6139" spans="1:16" x14ac:dyDescent="0.25">
      <c r="A6139" s="28" t="s">
        <v>30867</v>
      </c>
      <c r="B6139" s="28" t="s">
        <v>30868</v>
      </c>
      <c r="C6139" s="28" t="s">
        <v>29063</v>
      </c>
      <c r="D6139" s="28" t="s">
        <v>1204</v>
      </c>
      <c r="E6139" s="28" t="s">
        <v>30869</v>
      </c>
      <c r="F6139" s="28" t="s">
        <v>21</v>
      </c>
      <c r="G6139" s="28" t="s">
        <v>207</v>
      </c>
      <c r="H6139" s="28" t="s">
        <v>27631</v>
      </c>
      <c r="I6139" s="28" t="s">
        <v>30870</v>
      </c>
      <c r="J6139" s="28" t="s">
        <v>207</v>
      </c>
      <c r="K6139" s="28" t="s">
        <v>29066</v>
      </c>
      <c r="L6139" s="28" t="s">
        <v>27634</v>
      </c>
      <c r="M6139" s="28" t="s">
        <v>30871</v>
      </c>
      <c r="N6139" s="28" t="s">
        <v>27636</v>
      </c>
      <c r="O6139" s="28" t="s">
        <v>27637</v>
      </c>
      <c r="P6139" s="28" t="s">
        <v>30872</v>
      </c>
    </row>
    <row r="6140" spans="1:16" x14ac:dyDescent="0.25">
      <c r="A6140" s="28" t="s">
        <v>30873</v>
      </c>
      <c r="B6140" s="28" t="s">
        <v>30874</v>
      </c>
      <c r="C6140" s="28" t="s">
        <v>29063</v>
      </c>
      <c r="D6140" s="28" t="s">
        <v>1204</v>
      </c>
      <c r="E6140" s="28" t="s">
        <v>13080</v>
      </c>
      <c r="F6140" s="28" t="s">
        <v>21</v>
      </c>
      <c r="G6140" s="28" t="s">
        <v>207</v>
      </c>
      <c r="H6140" s="28" t="s">
        <v>27631</v>
      </c>
      <c r="I6140" s="28" t="s">
        <v>30875</v>
      </c>
      <c r="J6140" s="28" t="s">
        <v>207</v>
      </c>
      <c r="K6140" s="28" t="s">
        <v>29066</v>
      </c>
      <c r="L6140" s="28" t="s">
        <v>27634</v>
      </c>
      <c r="M6140" s="28" t="s">
        <v>30876</v>
      </c>
      <c r="N6140" s="28" t="s">
        <v>27636</v>
      </c>
      <c r="O6140" s="28" t="s">
        <v>27637</v>
      </c>
      <c r="P6140" s="28" t="s">
        <v>30877</v>
      </c>
    </row>
    <row r="6141" spans="1:16" x14ac:dyDescent="0.25">
      <c r="A6141" s="28" t="s">
        <v>30878</v>
      </c>
      <c r="B6141" s="28" t="s">
        <v>30879</v>
      </c>
      <c r="C6141" s="28" t="s">
        <v>29063</v>
      </c>
      <c r="D6141" s="28" t="s">
        <v>1204</v>
      </c>
      <c r="E6141" s="28" t="s">
        <v>13086</v>
      </c>
      <c r="F6141" s="28" t="s">
        <v>21</v>
      </c>
      <c r="G6141" s="28" t="s">
        <v>207</v>
      </c>
      <c r="H6141" s="28" t="s">
        <v>27631</v>
      </c>
      <c r="I6141" s="28" t="s">
        <v>30880</v>
      </c>
      <c r="J6141" s="28" t="s">
        <v>207</v>
      </c>
      <c r="K6141" s="28" t="s">
        <v>29066</v>
      </c>
      <c r="L6141" s="28" t="s">
        <v>27634</v>
      </c>
      <c r="M6141" s="28" t="s">
        <v>30881</v>
      </c>
      <c r="N6141" s="28" t="s">
        <v>27636</v>
      </c>
      <c r="O6141" s="28" t="s">
        <v>27637</v>
      </c>
      <c r="P6141" s="28" t="s">
        <v>30882</v>
      </c>
    </row>
    <row r="6142" spans="1:16" x14ac:dyDescent="0.25">
      <c r="A6142" s="28" t="s">
        <v>30883</v>
      </c>
      <c r="B6142" s="28" t="s">
        <v>30884</v>
      </c>
      <c r="C6142" s="28" t="s">
        <v>29063</v>
      </c>
      <c r="D6142" s="28" t="s">
        <v>1204</v>
      </c>
      <c r="E6142" s="28" t="s">
        <v>30885</v>
      </c>
      <c r="F6142" s="28" t="s">
        <v>21</v>
      </c>
      <c r="G6142" s="28" t="s">
        <v>207</v>
      </c>
      <c r="H6142" s="28" t="s">
        <v>27631</v>
      </c>
      <c r="I6142" s="28" t="s">
        <v>30886</v>
      </c>
      <c r="J6142" s="28" t="s">
        <v>207</v>
      </c>
      <c r="K6142" s="28" t="s">
        <v>29066</v>
      </c>
      <c r="L6142" s="28" t="s">
        <v>27634</v>
      </c>
      <c r="M6142" s="28" t="s">
        <v>30887</v>
      </c>
      <c r="N6142" s="28" t="s">
        <v>27636</v>
      </c>
      <c r="O6142" s="28" t="s">
        <v>27637</v>
      </c>
      <c r="P6142" s="28" t="s">
        <v>30888</v>
      </c>
    </row>
    <row r="6143" spans="1:16" x14ac:dyDescent="0.25">
      <c r="A6143" s="28" t="s">
        <v>30889</v>
      </c>
      <c r="B6143" s="28" t="s">
        <v>30890</v>
      </c>
      <c r="C6143" s="28" t="s">
        <v>29063</v>
      </c>
      <c r="D6143" s="28" t="s">
        <v>1204</v>
      </c>
      <c r="E6143" s="28" t="s">
        <v>30891</v>
      </c>
      <c r="F6143" s="28" t="s">
        <v>21</v>
      </c>
      <c r="G6143" s="28" t="s">
        <v>207</v>
      </c>
      <c r="H6143" s="28" t="s">
        <v>27631</v>
      </c>
      <c r="I6143" s="28" t="s">
        <v>30892</v>
      </c>
      <c r="J6143" s="28" t="s">
        <v>207</v>
      </c>
      <c r="K6143" s="28" t="s">
        <v>29066</v>
      </c>
      <c r="L6143" s="28" t="s">
        <v>27634</v>
      </c>
      <c r="M6143" s="28" t="s">
        <v>30893</v>
      </c>
      <c r="N6143" s="28" t="s">
        <v>27636</v>
      </c>
      <c r="O6143" s="28" t="s">
        <v>27637</v>
      </c>
      <c r="P6143" s="28" t="s">
        <v>30894</v>
      </c>
    </row>
    <row r="6144" spans="1:16" x14ac:dyDescent="0.25">
      <c r="A6144" s="28" t="s">
        <v>30895</v>
      </c>
      <c r="B6144" s="28" t="s">
        <v>30896</v>
      </c>
      <c r="C6144" s="28" t="s">
        <v>29063</v>
      </c>
      <c r="D6144" s="28" t="s">
        <v>1204</v>
      </c>
      <c r="E6144" s="28" t="s">
        <v>30897</v>
      </c>
      <c r="F6144" s="28" t="s">
        <v>21</v>
      </c>
      <c r="G6144" s="28" t="s">
        <v>207</v>
      </c>
      <c r="H6144" s="28" t="s">
        <v>27631</v>
      </c>
      <c r="I6144" s="28" t="s">
        <v>30898</v>
      </c>
      <c r="J6144" s="28" t="s">
        <v>207</v>
      </c>
      <c r="K6144" s="28" t="s">
        <v>29066</v>
      </c>
      <c r="L6144" s="28" t="s">
        <v>27634</v>
      </c>
      <c r="M6144" s="28" t="s">
        <v>30899</v>
      </c>
      <c r="N6144" s="28" t="s">
        <v>27636</v>
      </c>
      <c r="O6144" s="28" t="s">
        <v>27637</v>
      </c>
      <c r="P6144" s="28" t="s">
        <v>30900</v>
      </c>
    </row>
    <row r="6145" spans="1:16" x14ac:dyDescent="0.25">
      <c r="A6145" s="28" t="s">
        <v>30901</v>
      </c>
      <c r="B6145" s="28" t="s">
        <v>30902</v>
      </c>
      <c r="C6145" s="28" t="s">
        <v>29063</v>
      </c>
      <c r="D6145" s="28" t="s">
        <v>1204</v>
      </c>
      <c r="E6145" s="28" t="s">
        <v>30903</v>
      </c>
      <c r="F6145" s="28" t="s">
        <v>21</v>
      </c>
      <c r="G6145" s="28" t="s">
        <v>207</v>
      </c>
      <c r="H6145" s="28" t="s">
        <v>27631</v>
      </c>
      <c r="I6145" s="28" t="s">
        <v>30904</v>
      </c>
      <c r="J6145" s="28" t="s">
        <v>207</v>
      </c>
      <c r="K6145" s="28" t="s">
        <v>29066</v>
      </c>
      <c r="L6145" s="28" t="s">
        <v>27634</v>
      </c>
      <c r="M6145" s="28" t="s">
        <v>30905</v>
      </c>
      <c r="N6145" s="28" t="s">
        <v>27636</v>
      </c>
      <c r="O6145" s="28" t="s">
        <v>27637</v>
      </c>
      <c r="P6145" s="28" t="s">
        <v>30906</v>
      </c>
    </row>
    <row r="6146" spans="1:16" x14ac:dyDescent="0.25">
      <c r="A6146" s="28" t="s">
        <v>30907</v>
      </c>
      <c r="B6146" s="28" t="s">
        <v>30908</v>
      </c>
      <c r="C6146" s="28" t="s">
        <v>29063</v>
      </c>
      <c r="D6146" s="28" t="s">
        <v>1204</v>
      </c>
      <c r="E6146" s="28" t="s">
        <v>29064</v>
      </c>
      <c r="F6146" s="28" t="s">
        <v>21</v>
      </c>
      <c r="G6146" s="28" t="s">
        <v>207</v>
      </c>
      <c r="H6146" s="28" t="s">
        <v>27631</v>
      </c>
      <c r="I6146" s="28" t="s">
        <v>30909</v>
      </c>
      <c r="J6146" s="28" t="s">
        <v>207</v>
      </c>
      <c r="K6146" s="28" t="s">
        <v>29066</v>
      </c>
      <c r="L6146" s="28" t="s">
        <v>27634</v>
      </c>
      <c r="M6146" s="28" t="s">
        <v>29067</v>
      </c>
      <c r="N6146" s="28" t="s">
        <v>27636</v>
      </c>
      <c r="O6146" s="28" t="s">
        <v>27637</v>
      </c>
      <c r="P6146" s="28" t="s">
        <v>29068</v>
      </c>
    </row>
    <row r="6147" spans="1:16" x14ac:dyDescent="0.25">
      <c r="A6147" s="28" t="s">
        <v>30910</v>
      </c>
      <c r="B6147" s="28" t="s">
        <v>30911</v>
      </c>
      <c r="C6147" s="28" t="s">
        <v>29063</v>
      </c>
      <c r="D6147" s="28" t="s">
        <v>1204</v>
      </c>
      <c r="E6147" s="28" t="s">
        <v>29071</v>
      </c>
      <c r="F6147" s="28" t="s">
        <v>21</v>
      </c>
      <c r="G6147" s="28" t="s">
        <v>207</v>
      </c>
      <c r="H6147" s="28" t="s">
        <v>27631</v>
      </c>
      <c r="I6147" s="28" t="s">
        <v>30912</v>
      </c>
      <c r="J6147" s="28" t="s">
        <v>207</v>
      </c>
      <c r="K6147" s="28" t="s">
        <v>29066</v>
      </c>
      <c r="L6147" s="28" t="s">
        <v>27634</v>
      </c>
      <c r="M6147" s="28" t="s">
        <v>29073</v>
      </c>
      <c r="N6147" s="28" t="s">
        <v>27636</v>
      </c>
      <c r="O6147" s="28" t="s">
        <v>27637</v>
      </c>
      <c r="P6147" s="28" t="s">
        <v>29074</v>
      </c>
    </row>
    <row r="6148" spans="1:16" x14ac:dyDescent="0.25">
      <c r="A6148" s="28" t="s">
        <v>30913</v>
      </c>
      <c r="B6148" s="28" t="s">
        <v>30914</v>
      </c>
      <c r="C6148" s="28" t="s">
        <v>29063</v>
      </c>
      <c r="D6148" s="28" t="s">
        <v>1204</v>
      </c>
      <c r="E6148" s="28" t="s">
        <v>29077</v>
      </c>
      <c r="F6148" s="28" t="s">
        <v>21</v>
      </c>
      <c r="G6148" s="28" t="s">
        <v>207</v>
      </c>
      <c r="H6148" s="28" t="s">
        <v>27631</v>
      </c>
      <c r="I6148" s="28" t="s">
        <v>30915</v>
      </c>
      <c r="J6148" s="28" t="s">
        <v>207</v>
      </c>
      <c r="K6148" s="28" t="s">
        <v>29066</v>
      </c>
      <c r="L6148" s="28" t="s">
        <v>27634</v>
      </c>
      <c r="M6148" s="28" t="s">
        <v>29079</v>
      </c>
      <c r="N6148" s="28" t="s">
        <v>27636</v>
      </c>
      <c r="O6148" s="28" t="s">
        <v>27637</v>
      </c>
      <c r="P6148" s="28" t="s">
        <v>29080</v>
      </c>
    </row>
    <row r="6149" spans="1:16" x14ac:dyDescent="0.25">
      <c r="A6149" s="28" t="s">
        <v>30916</v>
      </c>
      <c r="B6149" s="28" t="s">
        <v>30917</v>
      </c>
      <c r="C6149" s="28" t="s">
        <v>29063</v>
      </c>
      <c r="D6149" s="28" t="s">
        <v>1204</v>
      </c>
      <c r="E6149" s="28" t="s">
        <v>12823</v>
      </c>
      <c r="F6149" s="28" t="s">
        <v>21</v>
      </c>
      <c r="G6149" s="28" t="s">
        <v>207</v>
      </c>
      <c r="H6149" s="28" t="s">
        <v>27631</v>
      </c>
      <c r="I6149" s="28" t="s">
        <v>30918</v>
      </c>
      <c r="J6149" s="28" t="s">
        <v>207</v>
      </c>
      <c r="K6149" s="28" t="s">
        <v>29066</v>
      </c>
      <c r="L6149" s="28" t="s">
        <v>27634</v>
      </c>
      <c r="M6149" s="28" t="s">
        <v>29084</v>
      </c>
      <c r="N6149" s="28" t="s">
        <v>27636</v>
      </c>
      <c r="O6149" s="28" t="s">
        <v>27637</v>
      </c>
      <c r="P6149" s="28" t="s">
        <v>29085</v>
      </c>
    </row>
    <row r="6150" spans="1:16" x14ac:dyDescent="0.25">
      <c r="A6150" s="28" t="s">
        <v>30919</v>
      </c>
      <c r="B6150" s="28" t="s">
        <v>30920</v>
      </c>
      <c r="C6150" s="28" t="s">
        <v>29063</v>
      </c>
      <c r="D6150" s="28" t="s">
        <v>1204</v>
      </c>
      <c r="E6150" s="28" t="s">
        <v>29088</v>
      </c>
      <c r="F6150" s="28" t="s">
        <v>21</v>
      </c>
      <c r="G6150" s="28" t="s">
        <v>207</v>
      </c>
      <c r="H6150" s="28" t="s">
        <v>27631</v>
      </c>
      <c r="I6150" s="28" t="s">
        <v>30921</v>
      </c>
      <c r="J6150" s="28" t="s">
        <v>207</v>
      </c>
      <c r="K6150" s="28" t="s">
        <v>29066</v>
      </c>
      <c r="L6150" s="28" t="s">
        <v>27634</v>
      </c>
      <c r="M6150" s="28" t="s">
        <v>29090</v>
      </c>
      <c r="N6150" s="28" t="s">
        <v>27636</v>
      </c>
      <c r="O6150" s="28" t="s">
        <v>27637</v>
      </c>
      <c r="P6150" s="28" t="s">
        <v>29091</v>
      </c>
    </row>
    <row r="6151" spans="1:16" x14ac:dyDescent="0.25">
      <c r="A6151" s="28" t="s">
        <v>30922</v>
      </c>
      <c r="B6151" s="28" t="s">
        <v>30923</v>
      </c>
      <c r="C6151" s="28" t="s">
        <v>29063</v>
      </c>
      <c r="D6151" s="28" t="s">
        <v>1204</v>
      </c>
      <c r="E6151" s="28" t="s">
        <v>12828</v>
      </c>
      <c r="F6151" s="28" t="s">
        <v>21</v>
      </c>
      <c r="G6151" s="28" t="s">
        <v>207</v>
      </c>
      <c r="H6151" s="28" t="s">
        <v>27631</v>
      </c>
      <c r="I6151" s="28" t="s">
        <v>30924</v>
      </c>
      <c r="J6151" s="28" t="s">
        <v>207</v>
      </c>
      <c r="K6151" s="28" t="s">
        <v>29066</v>
      </c>
      <c r="L6151" s="28" t="s">
        <v>27634</v>
      </c>
      <c r="M6151" s="28" t="s">
        <v>29095</v>
      </c>
      <c r="N6151" s="28" t="s">
        <v>27636</v>
      </c>
      <c r="O6151" s="28" t="s">
        <v>27637</v>
      </c>
      <c r="P6151" s="28" t="s">
        <v>29096</v>
      </c>
    </row>
    <row r="6152" spans="1:16" x14ac:dyDescent="0.25">
      <c r="A6152" s="28" t="s">
        <v>30925</v>
      </c>
      <c r="B6152" s="28" t="s">
        <v>30926</v>
      </c>
      <c r="C6152" s="28" t="s">
        <v>29063</v>
      </c>
      <c r="D6152" s="28" t="s">
        <v>1204</v>
      </c>
      <c r="E6152" s="28" t="s">
        <v>29099</v>
      </c>
      <c r="F6152" s="28" t="s">
        <v>21</v>
      </c>
      <c r="G6152" s="28" t="s">
        <v>207</v>
      </c>
      <c r="H6152" s="28" t="s">
        <v>27631</v>
      </c>
      <c r="I6152" s="28" t="s">
        <v>30927</v>
      </c>
      <c r="J6152" s="28" t="s">
        <v>207</v>
      </c>
      <c r="K6152" s="28" t="s">
        <v>29066</v>
      </c>
      <c r="L6152" s="28" t="s">
        <v>27634</v>
      </c>
      <c r="M6152" s="28" t="s">
        <v>29101</v>
      </c>
      <c r="N6152" s="28" t="s">
        <v>27636</v>
      </c>
      <c r="O6152" s="28" t="s">
        <v>27637</v>
      </c>
      <c r="P6152" s="28" t="s">
        <v>29102</v>
      </c>
    </row>
    <row r="6153" spans="1:16" x14ac:dyDescent="0.25">
      <c r="A6153" s="28" t="s">
        <v>30928</v>
      </c>
      <c r="B6153" s="28" t="s">
        <v>30929</v>
      </c>
      <c r="C6153" s="28" t="s">
        <v>29063</v>
      </c>
      <c r="D6153" s="28" t="s">
        <v>1204</v>
      </c>
      <c r="E6153" s="28" t="s">
        <v>29105</v>
      </c>
      <c r="F6153" s="28" t="s">
        <v>21</v>
      </c>
      <c r="G6153" s="28" t="s">
        <v>207</v>
      </c>
      <c r="H6153" s="28" t="s">
        <v>27631</v>
      </c>
      <c r="I6153" s="28" t="s">
        <v>30930</v>
      </c>
      <c r="J6153" s="28" t="s">
        <v>207</v>
      </c>
      <c r="K6153" s="28" t="s">
        <v>29066</v>
      </c>
      <c r="L6153" s="28" t="s">
        <v>27634</v>
      </c>
      <c r="M6153" s="28" t="s">
        <v>29107</v>
      </c>
      <c r="N6153" s="28" t="s">
        <v>27636</v>
      </c>
      <c r="O6153" s="28" t="s">
        <v>27637</v>
      </c>
      <c r="P6153" s="28" t="s">
        <v>29108</v>
      </c>
    </row>
    <row r="6154" spans="1:16" x14ac:dyDescent="0.25">
      <c r="A6154" s="28" t="s">
        <v>30931</v>
      </c>
      <c r="B6154" s="28" t="s">
        <v>30932</v>
      </c>
      <c r="C6154" s="28" t="s">
        <v>29063</v>
      </c>
      <c r="D6154" s="28" t="s">
        <v>1204</v>
      </c>
      <c r="E6154" s="28" t="s">
        <v>29111</v>
      </c>
      <c r="F6154" s="28" t="s">
        <v>21</v>
      </c>
      <c r="G6154" s="28" t="s">
        <v>207</v>
      </c>
      <c r="H6154" s="28" t="s">
        <v>27631</v>
      </c>
      <c r="I6154" s="28" t="s">
        <v>30933</v>
      </c>
      <c r="J6154" s="28" t="s">
        <v>207</v>
      </c>
      <c r="K6154" s="28" t="s">
        <v>29066</v>
      </c>
      <c r="L6154" s="28" t="s">
        <v>27634</v>
      </c>
      <c r="M6154" s="28" t="s">
        <v>29113</v>
      </c>
      <c r="N6154" s="28" t="s">
        <v>27636</v>
      </c>
      <c r="O6154" s="28" t="s">
        <v>27637</v>
      </c>
      <c r="P6154" s="28" t="s">
        <v>29114</v>
      </c>
    </row>
    <row r="6155" spans="1:16" x14ac:dyDescent="0.25">
      <c r="A6155" s="28" t="s">
        <v>30934</v>
      </c>
      <c r="B6155" s="28" t="s">
        <v>30935</v>
      </c>
      <c r="C6155" s="28" t="s">
        <v>29063</v>
      </c>
      <c r="D6155" s="28" t="s">
        <v>1204</v>
      </c>
      <c r="E6155" s="28" t="s">
        <v>29117</v>
      </c>
      <c r="F6155" s="28" t="s">
        <v>21</v>
      </c>
      <c r="G6155" s="28" t="s">
        <v>207</v>
      </c>
      <c r="H6155" s="28" t="s">
        <v>27631</v>
      </c>
      <c r="I6155" s="28" t="s">
        <v>30936</v>
      </c>
      <c r="J6155" s="28" t="s">
        <v>207</v>
      </c>
      <c r="K6155" s="28" t="s">
        <v>29066</v>
      </c>
      <c r="L6155" s="28" t="s">
        <v>27634</v>
      </c>
      <c r="M6155" s="28" t="s">
        <v>29119</v>
      </c>
      <c r="N6155" s="28" t="s">
        <v>27636</v>
      </c>
      <c r="O6155" s="28" t="s">
        <v>27637</v>
      </c>
      <c r="P6155" s="28" t="s">
        <v>29120</v>
      </c>
    </row>
    <row r="6156" spans="1:16" x14ac:dyDescent="0.25">
      <c r="A6156" s="28" t="s">
        <v>30937</v>
      </c>
      <c r="B6156" s="28" t="s">
        <v>30938</v>
      </c>
      <c r="C6156" s="28" t="s">
        <v>29063</v>
      </c>
      <c r="D6156" s="28" t="s">
        <v>1204</v>
      </c>
      <c r="E6156" s="28" t="s">
        <v>29123</v>
      </c>
      <c r="F6156" s="28" t="s">
        <v>21</v>
      </c>
      <c r="G6156" s="28" t="s">
        <v>207</v>
      </c>
      <c r="H6156" s="28" t="s">
        <v>27631</v>
      </c>
      <c r="I6156" s="28" t="s">
        <v>30939</v>
      </c>
      <c r="J6156" s="28" t="s">
        <v>207</v>
      </c>
      <c r="K6156" s="28" t="s">
        <v>29066</v>
      </c>
      <c r="L6156" s="28" t="s">
        <v>27634</v>
      </c>
      <c r="M6156" s="28" t="s">
        <v>29125</v>
      </c>
      <c r="N6156" s="28" t="s">
        <v>27636</v>
      </c>
      <c r="O6156" s="28" t="s">
        <v>27637</v>
      </c>
      <c r="P6156" s="28" t="s">
        <v>29126</v>
      </c>
    </row>
    <row r="6157" spans="1:16" x14ac:dyDescent="0.25">
      <c r="A6157" s="28" t="s">
        <v>30940</v>
      </c>
      <c r="B6157" s="28" t="s">
        <v>30941</v>
      </c>
      <c r="C6157" s="28" t="s">
        <v>29063</v>
      </c>
      <c r="D6157" s="28" t="s">
        <v>1204</v>
      </c>
      <c r="E6157" s="28" t="s">
        <v>29129</v>
      </c>
      <c r="F6157" s="28" t="s">
        <v>21</v>
      </c>
      <c r="G6157" s="28" t="s">
        <v>207</v>
      </c>
      <c r="H6157" s="28" t="s">
        <v>27631</v>
      </c>
      <c r="I6157" s="28" t="s">
        <v>30942</v>
      </c>
      <c r="J6157" s="28" t="s">
        <v>207</v>
      </c>
      <c r="K6157" s="28" t="s">
        <v>29066</v>
      </c>
      <c r="L6157" s="28" t="s">
        <v>27634</v>
      </c>
      <c r="M6157" s="28" t="s">
        <v>29131</v>
      </c>
      <c r="N6157" s="28" t="s">
        <v>27636</v>
      </c>
      <c r="O6157" s="28" t="s">
        <v>27637</v>
      </c>
      <c r="P6157" s="28" t="s">
        <v>29132</v>
      </c>
    </row>
    <row r="6158" spans="1:16" x14ac:dyDescent="0.25">
      <c r="A6158" s="28" t="s">
        <v>30943</v>
      </c>
      <c r="B6158" s="28" t="s">
        <v>30944</v>
      </c>
      <c r="C6158" s="28" t="s">
        <v>29063</v>
      </c>
      <c r="D6158" s="28" t="s">
        <v>1204</v>
      </c>
      <c r="E6158" s="28" t="s">
        <v>29135</v>
      </c>
      <c r="F6158" s="28" t="s">
        <v>21</v>
      </c>
      <c r="G6158" s="28" t="s">
        <v>207</v>
      </c>
      <c r="H6158" s="28" t="s">
        <v>27631</v>
      </c>
      <c r="I6158" s="28" t="s">
        <v>30945</v>
      </c>
      <c r="J6158" s="28" t="s">
        <v>207</v>
      </c>
      <c r="K6158" s="28" t="s">
        <v>29066</v>
      </c>
      <c r="L6158" s="28" t="s">
        <v>27634</v>
      </c>
      <c r="M6158" s="28" t="s">
        <v>29137</v>
      </c>
      <c r="N6158" s="28" t="s">
        <v>27636</v>
      </c>
      <c r="O6158" s="28" t="s">
        <v>27637</v>
      </c>
      <c r="P6158" s="28" t="s">
        <v>29138</v>
      </c>
    </row>
    <row r="6159" spans="1:16" x14ac:dyDescent="0.25">
      <c r="A6159" s="28" t="s">
        <v>30946</v>
      </c>
      <c r="B6159" s="28" t="s">
        <v>30947</v>
      </c>
      <c r="C6159" s="28" t="s">
        <v>29063</v>
      </c>
      <c r="D6159" s="28" t="s">
        <v>1204</v>
      </c>
      <c r="E6159" s="28" t="s">
        <v>29141</v>
      </c>
      <c r="F6159" s="28" t="s">
        <v>21</v>
      </c>
      <c r="G6159" s="28" t="s">
        <v>207</v>
      </c>
      <c r="H6159" s="28" t="s">
        <v>27631</v>
      </c>
      <c r="I6159" s="28" t="s">
        <v>30948</v>
      </c>
      <c r="J6159" s="28" t="s">
        <v>207</v>
      </c>
      <c r="K6159" s="28" t="s">
        <v>29066</v>
      </c>
      <c r="L6159" s="28" t="s">
        <v>27634</v>
      </c>
      <c r="M6159" s="28" t="s">
        <v>29143</v>
      </c>
      <c r="N6159" s="28" t="s">
        <v>27636</v>
      </c>
      <c r="O6159" s="28" t="s">
        <v>27637</v>
      </c>
      <c r="P6159" s="28" t="s">
        <v>29144</v>
      </c>
    </row>
    <row r="6160" spans="1:16" x14ac:dyDescent="0.25">
      <c r="A6160" s="28" t="s">
        <v>30949</v>
      </c>
      <c r="B6160" s="28" t="s">
        <v>30950</v>
      </c>
      <c r="C6160" s="28" t="s">
        <v>29063</v>
      </c>
      <c r="D6160" s="28" t="s">
        <v>1204</v>
      </c>
      <c r="E6160" s="28" t="s">
        <v>29147</v>
      </c>
      <c r="F6160" s="28" t="s">
        <v>21</v>
      </c>
      <c r="G6160" s="28" t="s">
        <v>207</v>
      </c>
      <c r="H6160" s="28" t="s">
        <v>27631</v>
      </c>
      <c r="I6160" s="28" t="s">
        <v>30951</v>
      </c>
      <c r="J6160" s="28" t="s">
        <v>207</v>
      </c>
      <c r="K6160" s="28" t="s">
        <v>29066</v>
      </c>
      <c r="L6160" s="28" t="s">
        <v>27634</v>
      </c>
      <c r="M6160" s="28" t="s">
        <v>29149</v>
      </c>
      <c r="N6160" s="28" t="s">
        <v>27636</v>
      </c>
      <c r="O6160" s="28" t="s">
        <v>27637</v>
      </c>
      <c r="P6160" s="28" t="s">
        <v>29150</v>
      </c>
    </row>
    <row r="6161" spans="1:16" x14ac:dyDescent="0.25">
      <c r="A6161" s="28" t="s">
        <v>30952</v>
      </c>
      <c r="B6161" s="28" t="s">
        <v>30953</v>
      </c>
      <c r="C6161" s="28" t="s">
        <v>29063</v>
      </c>
      <c r="D6161" s="28" t="s">
        <v>1204</v>
      </c>
      <c r="E6161" s="28" t="s">
        <v>29153</v>
      </c>
      <c r="F6161" s="28" t="s">
        <v>21</v>
      </c>
      <c r="G6161" s="28" t="s">
        <v>207</v>
      </c>
      <c r="H6161" s="28" t="s">
        <v>27631</v>
      </c>
      <c r="I6161" s="28" t="s">
        <v>30954</v>
      </c>
      <c r="J6161" s="28" t="s">
        <v>207</v>
      </c>
      <c r="K6161" s="28" t="s">
        <v>29066</v>
      </c>
      <c r="L6161" s="28" t="s">
        <v>27634</v>
      </c>
      <c r="M6161" s="28" t="s">
        <v>29155</v>
      </c>
      <c r="N6161" s="28" t="s">
        <v>27636</v>
      </c>
      <c r="O6161" s="28" t="s">
        <v>27637</v>
      </c>
      <c r="P6161" s="28" t="s">
        <v>29156</v>
      </c>
    </row>
    <row r="6162" spans="1:16" x14ac:dyDescent="0.25">
      <c r="A6162" s="28" t="s">
        <v>30955</v>
      </c>
      <c r="B6162" s="28" t="s">
        <v>30956</v>
      </c>
      <c r="C6162" s="28" t="s">
        <v>29063</v>
      </c>
      <c r="D6162" s="28" t="s">
        <v>1204</v>
      </c>
      <c r="E6162" s="28" t="s">
        <v>29159</v>
      </c>
      <c r="F6162" s="28" t="s">
        <v>21</v>
      </c>
      <c r="G6162" s="28" t="s">
        <v>207</v>
      </c>
      <c r="H6162" s="28" t="s">
        <v>27631</v>
      </c>
      <c r="I6162" s="28" t="s">
        <v>30957</v>
      </c>
      <c r="J6162" s="28" t="s">
        <v>207</v>
      </c>
      <c r="K6162" s="28" t="s">
        <v>29066</v>
      </c>
      <c r="L6162" s="28" t="s">
        <v>27634</v>
      </c>
      <c r="M6162" s="28" t="s">
        <v>29161</v>
      </c>
      <c r="N6162" s="28" t="s">
        <v>27636</v>
      </c>
      <c r="O6162" s="28" t="s">
        <v>27637</v>
      </c>
      <c r="P6162" s="28" t="s">
        <v>29162</v>
      </c>
    </row>
    <row r="6163" spans="1:16" x14ac:dyDescent="0.25">
      <c r="A6163" s="28" t="s">
        <v>30958</v>
      </c>
      <c r="B6163" s="28" t="s">
        <v>30959</v>
      </c>
      <c r="C6163" s="28" t="s">
        <v>29063</v>
      </c>
      <c r="D6163" s="28" t="s">
        <v>1204</v>
      </c>
      <c r="E6163" s="28" t="s">
        <v>29165</v>
      </c>
      <c r="F6163" s="28" t="s">
        <v>21</v>
      </c>
      <c r="G6163" s="28" t="s">
        <v>207</v>
      </c>
      <c r="H6163" s="28" t="s">
        <v>27631</v>
      </c>
      <c r="I6163" s="28" t="s">
        <v>30960</v>
      </c>
      <c r="J6163" s="28" t="s">
        <v>207</v>
      </c>
      <c r="K6163" s="28" t="s">
        <v>29066</v>
      </c>
      <c r="L6163" s="28" t="s">
        <v>27634</v>
      </c>
      <c r="M6163" s="28" t="s">
        <v>29167</v>
      </c>
      <c r="N6163" s="28" t="s">
        <v>27636</v>
      </c>
      <c r="O6163" s="28" t="s">
        <v>27637</v>
      </c>
      <c r="P6163" s="28" t="s">
        <v>29168</v>
      </c>
    </row>
    <row r="6164" spans="1:16" x14ac:dyDescent="0.25">
      <c r="A6164" s="28" t="s">
        <v>30961</v>
      </c>
      <c r="B6164" s="28" t="s">
        <v>30962</v>
      </c>
      <c r="C6164" s="28" t="s">
        <v>29063</v>
      </c>
      <c r="D6164" s="28" t="s">
        <v>1204</v>
      </c>
      <c r="E6164" s="28" t="s">
        <v>29171</v>
      </c>
      <c r="F6164" s="28" t="s">
        <v>21</v>
      </c>
      <c r="G6164" s="28" t="s">
        <v>207</v>
      </c>
      <c r="H6164" s="28" t="s">
        <v>27631</v>
      </c>
      <c r="I6164" s="28" t="s">
        <v>30963</v>
      </c>
      <c r="J6164" s="28" t="s">
        <v>207</v>
      </c>
      <c r="K6164" s="28" t="s">
        <v>29066</v>
      </c>
      <c r="L6164" s="28" t="s">
        <v>27634</v>
      </c>
      <c r="M6164" s="28" t="s">
        <v>29173</v>
      </c>
      <c r="N6164" s="28" t="s">
        <v>27636</v>
      </c>
      <c r="O6164" s="28" t="s">
        <v>27637</v>
      </c>
      <c r="P6164" s="28" t="s">
        <v>29174</v>
      </c>
    </row>
    <row r="6165" spans="1:16" x14ac:dyDescent="0.25">
      <c r="A6165" s="28" t="s">
        <v>30964</v>
      </c>
      <c r="B6165" s="28" t="s">
        <v>30965</v>
      </c>
      <c r="C6165" s="28" t="s">
        <v>29063</v>
      </c>
      <c r="D6165" s="28" t="s">
        <v>1204</v>
      </c>
      <c r="E6165" s="28" t="s">
        <v>29177</v>
      </c>
      <c r="F6165" s="28" t="s">
        <v>21</v>
      </c>
      <c r="G6165" s="28" t="s">
        <v>207</v>
      </c>
      <c r="H6165" s="28" t="s">
        <v>27631</v>
      </c>
      <c r="I6165" s="28" t="s">
        <v>30966</v>
      </c>
      <c r="J6165" s="28" t="s">
        <v>207</v>
      </c>
      <c r="K6165" s="28" t="s">
        <v>29066</v>
      </c>
      <c r="L6165" s="28" t="s">
        <v>27634</v>
      </c>
      <c r="M6165" s="28" t="s">
        <v>29179</v>
      </c>
      <c r="N6165" s="28" t="s">
        <v>27636</v>
      </c>
      <c r="O6165" s="28" t="s">
        <v>27637</v>
      </c>
      <c r="P6165" s="28" t="s">
        <v>29180</v>
      </c>
    </row>
    <row r="6166" spans="1:16" x14ac:dyDescent="0.25">
      <c r="A6166" s="28" t="s">
        <v>30967</v>
      </c>
      <c r="B6166" s="28" t="s">
        <v>30968</v>
      </c>
      <c r="C6166" s="28" t="s">
        <v>29063</v>
      </c>
      <c r="D6166" s="28" t="s">
        <v>1204</v>
      </c>
      <c r="E6166" s="28" t="s">
        <v>29183</v>
      </c>
      <c r="F6166" s="28" t="s">
        <v>21</v>
      </c>
      <c r="G6166" s="28" t="s">
        <v>207</v>
      </c>
      <c r="H6166" s="28" t="s">
        <v>27631</v>
      </c>
      <c r="I6166" s="28" t="s">
        <v>30969</v>
      </c>
      <c r="J6166" s="28" t="s">
        <v>207</v>
      </c>
      <c r="K6166" s="28" t="s">
        <v>29066</v>
      </c>
      <c r="L6166" s="28" t="s">
        <v>27634</v>
      </c>
      <c r="M6166" s="28" t="s">
        <v>29185</v>
      </c>
      <c r="N6166" s="28" t="s">
        <v>27636</v>
      </c>
      <c r="O6166" s="28" t="s">
        <v>27637</v>
      </c>
      <c r="P6166" s="28" t="s">
        <v>29186</v>
      </c>
    </row>
    <row r="6167" spans="1:16" x14ac:dyDescent="0.25">
      <c r="A6167" s="28" t="s">
        <v>30970</v>
      </c>
      <c r="B6167" s="28" t="s">
        <v>30971</v>
      </c>
      <c r="C6167" s="28" t="s">
        <v>29063</v>
      </c>
      <c r="D6167" s="28" t="s">
        <v>1204</v>
      </c>
      <c r="E6167" s="28" t="s">
        <v>29189</v>
      </c>
      <c r="F6167" s="28" t="s">
        <v>21</v>
      </c>
      <c r="G6167" s="28" t="s">
        <v>207</v>
      </c>
      <c r="H6167" s="28" t="s">
        <v>27631</v>
      </c>
      <c r="I6167" s="28" t="s">
        <v>30972</v>
      </c>
      <c r="J6167" s="28" t="s">
        <v>207</v>
      </c>
      <c r="K6167" s="28" t="s">
        <v>29066</v>
      </c>
      <c r="L6167" s="28" t="s">
        <v>27634</v>
      </c>
      <c r="M6167" s="28" t="s">
        <v>29191</v>
      </c>
      <c r="N6167" s="28" t="s">
        <v>27636</v>
      </c>
      <c r="O6167" s="28" t="s">
        <v>27637</v>
      </c>
      <c r="P6167" s="28" t="s">
        <v>29192</v>
      </c>
    </row>
    <row r="6168" spans="1:16" x14ac:dyDescent="0.25">
      <c r="A6168" s="28" t="s">
        <v>30973</v>
      </c>
      <c r="B6168" s="28" t="s">
        <v>30974</v>
      </c>
      <c r="C6168" s="28" t="s">
        <v>29063</v>
      </c>
      <c r="D6168" s="28" t="s">
        <v>1204</v>
      </c>
      <c r="E6168" s="28" t="s">
        <v>29195</v>
      </c>
      <c r="F6168" s="28" t="s">
        <v>21</v>
      </c>
      <c r="G6168" s="28" t="s">
        <v>207</v>
      </c>
      <c r="H6168" s="28" t="s">
        <v>27631</v>
      </c>
      <c r="I6168" s="28" t="s">
        <v>30975</v>
      </c>
      <c r="J6168" s="28" t="s">
        <v>207</v>
      </c>
      <c r="K6168" s="28" t="s">
        <v>29066</v>
      </c>
      <c r="L6168" s="28" t="s">
        <v>27634</v>
      </c>
      <c r="M6168" s="28" t="s">
        <v>29197</v>
      </c>
      <c r="N6168" s="28" t="s">
        <v>27636</v>
      </c>
      <c r="O6168" s="28" t="s">
        <v>27637</v>
      </c>
      <c r="P6168" s="28" t="s">
        <v>29198</v>
      </c>
    </row>
    <row r="6169" spans="1:16" x14ac:dyDescent="0.25">
      <c r="A6169" s="28" t="s">
        <v>30976</v>
      </c>
      <c r="B6169" s="28" t="s">
        <v>30977</v>
      </c>
      <c r="C6169" s="28" t="s">
        <v>29063</v>
      </c>
      <c r="D6169" s="28" t="s">
        <v>1204</v>
      </c>
      <c r="E6169" s="28" t="s">
        <v>29201</v>
      </c>
      <c r="F6169" s="28" t="s">
        <v>21</v>
      </c>
      <c r="G6169" s="28" t="s">
        <v>207</v>
      </c>
      <c r="H6169" s="28" t="s">
        <v>27631</v>
      </c>
      <c r="I6169" s="28" t="s">
        <v>30978</v>
      </c>
      <c r="J6169" s="28" t="s">
        <v>207</v>
      </c>
      <c r="K6169" s="28" t="s">
        <v>29066</v>
      </c>
      <c r="L6169" s="28" t="s">
        <v>27634</v>
      </c>
      <c r="M6169" s="28" t="s">
        <v>29203</v>
      </c>
      <c r="N6169" s="28" t="s">
        <v>27636</v>
      </c>
      <c r="O6169" s="28" t="s">
        <v>27637</v>
      </c>
      <c r="P6169" s="28" t="s">
        <v>29204</v>
      </c>
    </row>
    <row r="6170" spans="1:16" x14ac:dyDescent="0.25">
      <c r="A6170" s="28" t="s">
        <v>30979</v>
      </c>
      <c r="B6170" s="28" t="s">
        <v>30980</v>
      </c>
      <c r="C6170" s="28" t="s">
        <v>29063</v>
      </c>
      <c r="D6170" s="28" t="s">
        <v>1204</v>
      </c>
      <c r="E6170" s="28" t="s">
        <v>29207</v>
      </c>
      <c r="F6170" s="28" t="s">
        <v>21</v>
      </c>
      <c r="G6170" s="28" t="s">
        <v>207</v>
      </c>
      <c r="H6170" s="28" t="s">
        <v>27631</v>
      </c>
      <c r="I6170" s="28" t="s">
        <v>30981</v>
      </c>
      <c r="J6170" s="28" t="s">
        <v>207</v>
      </c>
      <c r="K6170" s="28" t="s">
        <v>29066</v>
      </c>
      <c r="L6170" s="28" t="s">
        <v>27634</v>
      </c>
      <c r="M6170" s="28" t="s">
        <v>29209</v>
      </c>
      <c r="N6170" s="28" t="s">
        <v>27636</v>
      </c>
      <c r="O6170" s="28" t="s">
        <v>27637</v>
      </c>
      <c r="P6170" s="28" t="s">
        <v>29210</v>
      </c>
    </row>
    <row r="6171" spans="1:16" x14ac:dyDescent="0.25">
      <c r="A6171" s="28" t="s">
        <v>30982</v>
      </c>
      <c r="B6171" s="28" t="s">
        <v>30983</v>
      </c>
      <c r="C6171" s="28" t="s">
        <v>29063</v>
      </c>
      <c r="D6171" s="28" t="s">
        <v>1204</v>
      </c>
      <c r="E6171" s="28" t="s">
        <v>29213</v>
      </c>
      <c r="F6171" s="28" t="s">
        <v>21</v>
      </c>
      <c r="G6171" s="28" t="s">
        <v>207</v>
      </c>
      <c r="H6171" s="28" t="s">
        <v>27631</v>
      </c>
      <c r="I6171" s="28" t="s">
        <v>30984</v>
      </c>
      <c r="J6171" s="28" t="s">
        <v>207</v>
      </c>
      <c r="K6171" s="28" t="s">
        <v>29066</v>
      </c>
      <c r="L6171" s="28" t="s">
        <v>27634</v>
      </c>
      <c r="M6171" s="28" t="s">
        <v>29215</v>
      </c>
      <c r="N6171" s="28" t="s">
        <v>27636</v>
      </c>
      <c r="O6171" s="28" t="s">
        <v>27637</v>
      </c>
      <c r="P6171" s="28" t="s">
        <v>29216</v>
      </c>
    </row>
    <row r="6172" spans="1:16" x14ac:dyDescent="0.25">
      <c r="A6172" s="28" t="s">
        <v>30985</v>
      </c>
      <c r="B6172" s="28" t="s">
        <v>30986</v>
      </c>
      <c r="C6172" s="28" t="s">
        <v>29063</v>
      </c>
      <c r="D6172" s="28" t="s">
        <v>1204</v>
      </c>
      <c r="E6172" s="28" t="s">
        <v>29219</v>
      </c>
      <c r="F6172" s="28" t="s">
        <v>21</v>
      </c>
      <c r="G6172" s="28" t="s">
        <v>207</v>
      </c>
      <c r="H6172" s="28" t="s">
        <v>27631</v>
      </c>
      <c r="I6172" s="28" t="s">
        <v>30987</v>
      </c>
      <c r="J6172" s="28" t="s">
        <v>207</v>
      </c>
      <c r="K6172" s="28" t="s">
        <v>29066</v>
      </c>
      <c r="L6172" s="28" t="s">
        <v>27634</v>
      </c>
      <c r="M6172" s="28" t="s">
        <v>29221</v>
      </c>
      <c r="N6172" s="28" t="s">
        <v>27636</v>
      </c>
      <c r="O6172" s="28" t="s">
        <v>27637</v>
      </c>
      <c r="P6172" s="28" t="s">
        <v>29222</v>
      </c>
    </row>
    <row r="6173" spans="1:16" x14ac:dyDescent="0.25">
      <c r="A6173" s="28" t="s">
        <v>30988</v>
      </c>
      <c r="B6173" s="28" t="s">
        <v>30989</v>
      </c>
      <c r="C6173" s="28" t="s">
        <v>29063</v>
      </c>
      <c r="D6173" s="28" t="s">
        <v>1204</v>
      </c>
      <c r="E6173" s="28" t="s">
        <v>29225</v>
      </c>
      <c r="F6173" s="28" t="s">
        <v>21</v>
      </c>
      <c r="G6173" s="28" t="s">
        <v>207</v>
      </c>
      <c r="H6173" s="28" t="s">
        <v>27631</v>
      </c>
      <c r="I6173" s="28" t="s">
        <v>30990</v>
      </c>
      <c r="J6173" s="28" t="s">
        <v>207</v>
      </c>
      <c r="K6173" s="28" t="s">
        <v>29066</v>
      </c>
      <c r="L6173" s="28" t="s">
        <v>27634</v>
      </c>
      <c r="M6173" s="28" t="s">
        <v>29227</v>
      </c>
      <c r="N6173" s="28" t="s">
        <v>27636</v>
      </c>
      <c r="O6173" s="28" t="s">
        <v>27637</v>
      </c>
      <c r="P6173" s="28" t="s">
        <v>29228</v>
      </c>
    </row>
    <row r="6174" spans="1:16" x14ac:dyDescent="0.25">
      <c r="A6174" s="28" t="s">
        <v>30991</v>
      </c>
      <c r="B6174" s="28" t="s">
        <v>30992</v>
      </c>
      <c r="C6174" s="28" t="s">
        <v>29063</v>
      </c>
      <c r="D6174" s="28" t="s">
        <v>1204</v>
      </c>
      <c r="E6174" s="28" t="s">
        <v>29231</v>
      </c>
      <c r="F6174" s="28" t="s">
        <v>21</v>
      </c>
      <c r="G6174" s="28" t="s">
        <v>207</v>
      </c>
      <c r="H6174" s="28" t="s">
        <v>27631</v>
      </c>
      <c r="I6174" s="28" t="s">
        <v>30993</v>
      </c>
      <c r="J6174" s="28" t="s">
        <v>207</v>
      </c>
      <c r="K6174" s="28" t="s">
        <v>29066</v>
      </c>
      <c r="L6174" s="28" t="s">
        <v>27634</v>
      </c>
      <c r="M6174" s="28" t="s">
        <v>29233</v>
      </c>
      <c r="N6174" s="28" t="s">
        <v>27636</v>
      </c>
      <c r="O6174" s="28" t="s">
        <v>27637</v>
      </c>
      <c r="P6174" s="28" t="s">
        <v>29234</v>
      </c>
    </row>
    <row r="6175" spans="1:16" x14ac:dyDescent="0.25">
      <c r="A6175" s="28" t="s">
        <v>30994</v>
      </c>
      <c r="B6175" s="28" t="s">
        <v>30995</v>
      </c>
      <c r="C6175" s="28" t="s">
        <v>29063</v>
      </c>
      <c r="D6175" s="28" t="s">
        <v>1204</v>
      </c>
      <c r="E6175" s="28" t="s">
        <v>29237</v>
      </c>
      <c r="F6175" s="28" t="s">
        <v>21</v>
      </c>
      <c r="G6175" s="28" t="s">
        <v>207</v>
      </c>
      <c r="H6175" s="28" t="s">
        <v>27631</v>
      </c>
      <c r="I6175" s="28" t="s">
        <v>30996</v>
      </c>
      <c r="J6175" s="28" t="s">
        <v>207</v>
      </c>
      <c r="K6175" s="28" t="s">
        <v>29066</v>
      </c>
      <c r="L6175" s="28" t="s">
        <v>27634</v>
      </c>
      <c r="M6175" s="28" t="s">
        <v>29239</v>
      </c>
      <c r="N6175" s="28" t="s">
        <v>27636</v>
      </c>
      <c r="O6175" s="28" t="s">
        <v>27637</v>
      </c>
      <c r="P6175" s="28" t="s">
        <v>29240</v>
      </c>
    </row>
    <row r="6176" spans="1:16" x14ac:dyDescent="0.25">
      <c r="A6176" s="28" t="s">
        <v>30997</v>
      </c>
      <c r="B6176" s="28" t="s">
        <v>30998</v>
      </c>
      <c r="C6176" s="28" t="s">
        <v>29063</v>
      </c>
      <c r="D6176" s="28" t="s">
        <v>1204</v>
      </c>
      <c r="E6176" s="28" t="s">
        <v>29243</v>
      </c>
      <c r="F6176" s="28" t="s">
        <v>21</v>
      </c>
      <c r="G6176" s="28" t="s">
        <v>207</v>
      </c>
      <c r="H6176" s="28" t="s">
        <v>27631</v>
      </c>
      <c r="I6176" s="28" t="s">
        <v>30999</v>
      </c>
      <c r="J6176" s="28" t="s">
        <v>207</v>
      </c>
      <c r="K6176" s="28" t="s">
        <v>29066</v>
      </c>
      <c r="L6176" s="28" t="s">
        <v>27634</v>
      </c>
      <c r="M6176" s="28" t="s">
        <v>29245</v>
      </c>
      <c r="N6176" s="28" t="s">
        <v>27636</v>
      </c>
      <c r="O6176" s="28" t="s">
        <v>27637</v>
      </c>
      <c r="P6176" s="28" t="s">
        <v>29246</v>
      </c>
    </row>
    <row r="6177" spans="1:16" x14ac:dyDescent="0.25">
      <c r="A6177" s="28" t="s">
        <v>31000</v>
      </c>
      <c r="B6177" s="28" t="s">
        <v>31001</v>
      </c>
      <c r="C6177" s="28" t="s">
        <v>29063</v>
      </c>
      <c r="D6177" s="28" t="s">
        <v>1204</v>
      </c>
      <c r="E6177" s="28" t="s">
        <v>29249</v>
      </c>
      <c r="F6177" s="28" t="s">
        <v>21</v>
      </c>
      <c r="G6177" s="28" t="s">
        <v>207</v>
      </c>
      <c r="H6177" s="28" t="s">
        <v>27631</v>
      </c>
      <c r="I6177" s="28" t="s">
        <v>31002</v>
      </c>
      <c r="J6177" s="28" t="s">
        <v>207</v>
      </c>
      <c r="K6177" s="28" t="s">
        <v>29066</v>
      </c>
      <c r="L6177" s="28" t="s">
        <v>27634</v>
      </c>
      <c r="M6177" s="28" t="s">
        <v>29251</v>
      </c>
      <c r="N6177" s="28" t="s">
        <v>27636</v>
      </c>
      <c r="O6177" s="28" t="s">
        <v>27637</v>
      </c>
      <c r="P6177" s="28" t="s">
        <v>29252</v>
      </c>
    </row>
    <row r="6178" spans="1:16" x14ac:dyDescent="0.25">
      <c r="A6178" s="28" t="s">
        <v>31003</v>
      </c>
      <c r="B6178" s="28" t="s">
        <v>31004</v>
      </c>
      <c r="C6178" s="28" t="s">
        <v>29063</v>
      </c>
      <c r="D6178" s="28" t="s">
        <v>1204</v>
      </c>
      <c r="E6178" s="28" t="s">
        <v>29255</v>
      </c>
      <c r="F6178" s="28" t="s">
        <v>21</v>
      </c>
      <c r="G6178" s="28" t="s">
        <v>207</v>
      </c>
      <c r="H6178" s="28" t="s">
        <v>27631</v>
      </c>
      <c r="I6178" s="28" t="s">
        <v>31005</v>
      </c>
      <c r="J6178" s="28" t="s">
        <v>207</v>
      </c>
      <c r="K6178" s="28" t="s">
        <v>29066</v>
      </c>
      <c r="L6178" s="28" t="s">
        <v>27634</v>
      </c>
      <c r="M6178" s="28" t="s">
        <v>29257</v>
      </c>
      <c r="N6178" s="28" t="s">
        <v>27636</v>
      </c>
      <c r="O6178" s="28" t="s">
        <v>27637</v>
      </c>
      <c r="P6178" s="28" t="s">
        <v>29258</v>
      </c>
    </row>
    <row r="6179" spans="1:16" x14ac:dyDescent="0.25">
      <c r="A6179" s="28" t="s">
        <v>31006</v>
      </c>
      <c r="B6179" s="28" t="s">
        <v>31007</v>
      </c>
      <c r="C6179" s="28" t="s">
        <v>29063</v>
      </c>
      <c r="D6179" s="28" t="s">
        <v>1204</v>
      </c>
      <c r="E6179" s="28" t="s">
        <v>29261</v>
      </c>
      <c r="F6179" s="28" t="s">
        <v>21</v>
      </c>
      <c r="G6179" s="28" t="s">
        <v>207</v>
      </c>
      <c r="H6179" s="28" t="s">
        <v>27631</v>
      </c>
      <c r="I6179" s="28" t="s">
        <v>31008</v>
      </c>
      <c r="J6179" s="28" t="s">
        <v>207</v>
      </c>
      <c r="K6179" s="28" t="s">
        <v>29066</v>
      </c>
      <c r="L6179" s="28" t="s">
        <v>27634</v>
      </c>
      <c r="M6179" s="28" t="s">
        <v>29263</v>
      </c>
      <c r="N6179" s="28" t="s">
        <v>27636</v>
      </c>
      <c r="O6179" s="28" t="s">
        <v>27637</v>
      </c>
      <c r="P6179" s="28" t="s">
        <v>29264</v>
      </c>
    </row>
    <row r="6180" spans="1:16" x14ac:dyDescent="0.25">
      <c r="A6180" s="28" t="s">
        <v>31009</v>
      </c>
      <c r="B6180" s="28" t="s">
        <v>31010</v>
      </c>
      <c r="C6180" s="28" t="s">
        <v>29063</v>
      </c>
      <c r="D6180" s="28" t="s">
        <v>1204</v>
      </c>
      <c r="E6180" s="28" t="s">
        <v>29267</v>
      </c>
      <c r="F6180" s="28" t="s">
        <v>21</v>
      </c>
      <c r="G6180" s="28" t="s">
        <v>207</v>
      </c>
      <c r="H6180" s="28" t="s">
        <v>27631</v>
      </c>
      <c r="I6180" s="28" t="s">
        <v>31011</v>
      </c>
      <c r="J6180" s="28" t="s">
        <v>207</v>
      </c>
      <c r="K6180" s="28" t="s">
        <v>29066</v>
      </c>
      <c r="L6180" s="28" t="s">
        <v>27634</v>
      </c>
      <c r="M6180" s="28" t="s">
        <v>29269</v>
      </c>
      <c r="N6180" s="28" t="s">
        <v>27636</v>
      </c>
      <c r="O6180" s="28" t="s">
        <v>27637</v>
      </c>
      <c r="P6180" s="28" t="s">
        <v>29270</v>
      </c>
    </row>
    <row r="6181" spans="1:16" x14ac:dyDescent="0.25">
      <c r="A6181" s="28" t="s">
        <v>31012</v>
      </c>
      <c r="B6181" s="28" t="s">
        <v>31013</v>
      </c>
      <c r="C6181" s="28" t="s">
        <v>29063</v>
      </c>
      <c r="D6181" s="28" t="s">
        <v>1204</v>
      </c>
      <c r="E6181" s="28" t="s">
        <v>29273</v>
      </c>
      <c r="F6181" s="28" t="s">
        <v>21</v>
      </c>
      <c r="G6181" s="28" t="s">
        <v>207</v>
      </c>
      <c r="H6181" s="28" t="s">
        <v>27631</v>
      </c>
      <c r="I6181" s="28" t="s">
        <v>31014</v>
      </c>
      <c r="J6181" s="28" t="s">
        <v>207</v>
      </c>
      <c r="K6181" s="28" t="s">
        <v>29066</v>
      </c>
      <c r="L6181" s="28" t="s">
        <v>27634</v>
      </c>
      <c r="M6181" s="28" t="s">
        <v>29275</v>
      </c>
      <c r="N6181" s="28" t="s">
        <v>27636</v>
      </c>
      <c r="O6181" s="28" t="s">
        <v>27637</v>
      </c>
      <c r="P6181" s="28" t="s">
        <v>29276</v>
      </c>
    </row>
    <row r="6182" spans="1:16" x14ac:dyDescent="0.25">
      <c r="A6182" s="28" t="s">
        <v>31015</v>
      </c>
      <c r="B6182" s="28" t="s">
        <v>31016</v>
      </c>
      <c r="C6182" s="28" t="s">
        <v>29063</v>
      </c>
      <c r="D6182" s="28" t="s">
        <v>1204</v>
      </c>
      <c r="E6182" s="28" t="s">
        <v>29279</v>
      </c>
      <c r="F6182" s="28" t="s">
        <v>21</v>
      </c>
      <c r="G6182" s="28" t="s">
        <v>207</v>
      </c>
      <c r="H6182" s="28" t="s">
        <v>27631</v>
      </c>
      <c r="I6182" s="28" t="s">
        <v>31017</v>
      </c>
      <c r="J6182" s="28" t="s">
        <v>207</v>
      </c>
      <c r="K6182" s="28" t="s">
        <v>29066</v>
      </c>
      <c r="L6182" s="28" t="s">
        <v>27634</v>
      </c>
      <c r="M6182" s="28" t="s">
        <v>29281</v>
      </c>
      <c r="N6182" s="28" t="s">
        <v>27636</v>
      </c>
      <c r="O6182" s="28" t="s">
        <v>27637</v>
      </c>
      <c r="P6182" s="28" t="s">
        <v>29282</v>
      </c>
    </row>
    <row r="6183" spans="1:16" x14ac:dyDescent="0.25">
      <c r="A6183" s="28" t="s">
        <v>31018</v>
      </c>
      <c r="B6183" s="28" t="s">
        <v>31019</v>
      </c>
      <c r="C6183" s="28" t="s">
        <v>29063</v>
      </c>
      <c r="D6183" s="28" t="s">
        <v>1204</v>
      </c>
      <c r="E6183" s="28" t="s">
        <v>12834</v>
      </c>
      <c r="F6183" s="28" t="s">
        <v>21</v>
      </c>
      <c r="G6183" s="28" t="s">
        <v>207</v>
      </c>
      <c r="H6183" s="28" t="s">
        <v>27631</v>
      </c>
      <c r="I6183" s="28" t="s">
        <v>31020</v>
      </c>
      <c r="J6183" s="28" t="s">
        <v>207</v>
      </c>
      <c r="K6183" s="28" t="s">
        <v>29066</v>
      </c>
      <c r="L6183" s="28" t="s">
        <v>27634</v>
      </c>
      <c r="M6183" s="28" t="s">
        <v>29286</v>
      </c>
      <c r="N6183" s="28" t="s">
        <v>27636</v>
      </c>
      <c r="O6183" s="28" t="s">
        <v>27637</v>
      </c>
      <c r="P6183" s="28" t="s">
        <v>29287</v>
      </c>
    </row>
    <row r="6184" spans="1:16" x14ac:dyDescent="0.25">
      <c r="A6184" s="28" t="s">
        <v>31021</v>
      </c>
      <c r="B6184" s="28" t="s">
        <v>31022</v>
      </c>
      <c r="C6184" s="28" t="s">
        <v>29063</v>
      </c>
      <c r="D6184" s="28" t="s">
        <v>1204</v>
      </c>
      <c r="E6184" s="28" t="s">
        <v>29290</v>
      </c>
      <c r="F6184" s="28" t="s">
        <v>21</v>
      </c>
      <c r="G6184" s="28" t="s">
        <v>207</v>
      </c>
      <c r="H6184" s="28" t="s">
        <v>27631</v>
      </c>
      <c r="I6184" s="28" t="s">
        <v>31023</v>
      </c>
      <c r="J6184" s="28" t="s">
        <v>207</v>
      </c>
      <c r="K6184" s="28" t="s">
        <v>29066</v>
      </c>
      <c r="L6184" s="28" t="s">
        <v>27634</v>
      </c>
      <c r="M6184" s="28" t="s">
        <v>29292</v>
      </c>
      <c r="N6184" s="28" t="s">
        <v>27636</v>
      </c>
      <c r="O6184" s="28" t="s">
        <v>27637</v>
      </c>
      <c r="P6184" s="28" t="s">
        <v>29293</v>
      </c>
    </row>
    <row r="6185" spans="1:16" x14ac:dyDescent="0.25">
      <c r="A6185" s="28" t="s">
        <v>31024</v>
      </c>
      <c r="B6185" s="28" t="s">
        <v>31025</v>
      </c>
      <c r="C6185" s="28" t="s">
        <v>29063</v>
      </c>
      <c r="D6185" s="28" t="s">
        <v>1204</v>
      </c>
      <c r="E6185" s="28" t="s">
        <v>29296</v>
      </c>
      <c r="F6185" s="28" t="s">
        <v>21</v>
      </c>
      <c r="G6185" s="28" t="s">
        <v>207</v>
      </c>
      <c r="H6185" s="28" t="s">
        <v>27631</v>
      </c>
      <c r="I6185" s="28" t="s">
        <v>31026</v>
      </c>
      <c r="J6185" s="28" t="s">
        <v>207</v>
      </c>
      <c r="K6185" s="28" t="s">
        <v>29066</v>
      </c>
      <c r="L6185" s="28" t="s">
        <v>27634</v>
      </c>
      <c r="M6185" s="28" t="s">
        <v>29298</v>
      </c>
      <c r="N6185" s="28" t="s">
        <v>27636</v>
      </c>
      <c r="O6185" s="28" t="s">
        <v>27637</v>
      </c>
      <c r="P6185" s="28" t="s">
        <v>29299</v>
      </c>
    </row>
    <row r="6186" spans="1:16" x14ac:dyDescent="0.25">
      <c r="A6186" s="28" t="s">
        <v>31027</v>
      </c>
      <c r="B6186" s="28" t="s">
        <v>31028</v>
      </c>
      <c r="C6186" s="28" t="s">
        <v>29063</v>
      </c>
      <c r="D6186" s="28" t="s">
        <v>1204</v>
      </c>
      <c r="E6186" s="28" t="s">
        <v>29302</v>
      </c>
      <c r="F6186" s="28" t="s">
        <v>21</v>
      </c>
      <c r="G6186" s="28" t="s">
        <v>207</v>
      </c>
      <c r="H6186" s="28" t="s">
        <v>27631</v>
      </c>
      <c r="I6186" s="28" t="s">
        <v>31029</v>
      </c>
      <c r="J6186" s="28" t="s">
        <v>207</v>
      </c>
      <c r="K6186" s="28" t="s">
        <v>29066</v>
      </c>
      <c r="L6186" s="28" t="s">
        <v>27634</v>
      </c>
      <c r="M6186" s="28" t="s">
        <v>29304</v>
      </c>
      <c r="N6186" s="28" t="s">
        <v>27636</v>
      </c>
      <c r="O6186" s="28" t="s">
        <v>27637</v>
      </c>
      <c r="P6186" s="28" t="s">
        <v>29305</v>
      </c>
    </row>
    <row r="6187" spans="1:16" x14ac:dyDescent="0.25">
      <c r="A6187" s="28" t="s">
        <v>31030</v>
      </c>
      <c r="B6187" s="28" t="s">
        <v>31031</v>
      </c>
      <c r="C6187" s="28" t="s">
        <v>29063</v>
      </c>
      <c r="D6187" s="28" t="s">
        <v>1204</v>
      </c>
      <c r="E6187" s="28" t="s">
        <v>12840</v>
      </c>
      <c r="F6187" s="28" t="s">
        <v>21</v>
      </c>
      <c r="G6187" s="28" t="s">
        <v>207</v>
      </c>
      <c r="H6187" s="28" t="s">
        <v>27631</v>
      </c>
      <c r="I6187" s="28" t="s">
        <v>31032</v>
      </c>
      <c r="J6187" s="28" t="s">
        <v>207</v>
      </c>
      <c r="K6187" s="28" t="s">
        <v>29066</v>
      </c>
      <c r="L6187" s="28" t="s">
        <v>27634</v>
      </c>
      <c r="M6187" s="28" t="s">
        <v>29309</v>
      </c>
      <c r="N6187" s="28" t="s">
        <v>27636</v>
      </c>
      <c r="O6187" s="28" t="s">
        <v>27637</v>
      </c>
      <c r="P6187" s="28" t="s">
        <v>29310</v>
      </c>
    </row>
    <row r="6188" spans="1:16" x14ac:dyDescent="0.25">
      <c r="A6188" s="28" t="s">
        <v>31033</v>
      </c>
      <c r="B6188" s="28" t="s">
        <v>31034</v>
      </c>
      <c r="C6188" s="28" t="s">
        <v>29063</v>
      </c>
      <c r="D6188" s="28" t="s">
        <v>1204</v>
      </c>
      <c r="E6188" s="28" t="s">
        <v>29313</v>
      </c>
      <c r="F6188" s="28" t="s">
        <v>21</v>
      </c>
      <c r="G6188" s="28" t="s">
        <v>207</v>
      </c>
      <c r="H6188" s="28" t="s">
        <v>27631</v>
      </c>
      <c r="I6188" s="28" t="s">
        <v>31035</v>
      </c>
      <c r="J6188" s="28" t="s">
        <v>207</v>
      </c>
      <c r="K6188" s="28" t="s">
        <v>29066</v>
      </c>
      <c r="L6188" s="28" t="s">
        <v>27634</v>
      </c>
      <c r="M6188" s="28" t="s">
        <v>29315</v>
      </c>
      <c r="N6188" s="28" t="s">
        <v>27636</v>
      </c>
      <c r="O6188" s="28" t="s">
        <v>27637</v>
      </c>
      <c r="P6188" s="28" t="s">
        <v>29316</v>
      </c>
    </row>
    <row r="6189" spans="1:16" x14ac:dyDescent="0.25">
      <c r="A6189" s="28" t="s">
        <v>31036</v>
      </c>
      <c r="B6189" s="28" t="s">
        <v>31037</v>
      </c>
      <c r="C6189" s="28" t="s">
        <v>29063</v>
      </c>
      <c r="D6189" s="28" t="s">
        <v>1204</v>
      </c>
      <c r="E6189" s="28" t="s">
        <v>29319</v>
      </c>
      <c r="F6189" s="28" t="s">
        <v>21</v>
      </c>
      <c r="G6189" s="28" t="s">
        <v>207</v>
      </c>
      <c r="H6189" s="28" t="s">
        <v>27631</v>
      </c>
      <c r="I6189" s="28" t="s">
        <v>31038</v>
      </c>
      <c r="J6189" s="28" t="s">
        <v>207</v>
      </c>
      <c r="K6189" s="28" t="s">
        <v>29066</v>
      </c>
      <c r="L6189" s="28" t="s">
        <v>27634</v>
      </c>
      <c r="M6189" s="28" t="s">
        <v>29321</v>
      </c>
      <c r="N6189" s="28" t="s">
        <v>27636</v>
      </c>
      <c r="O6189" s="28" t="s">
        <v>27637</v>
      </c>
      <c r="P6189" s="28" t="s">
        <v>29322</v>
      </c>
    </row>
    <row r="6190" spans="1:16" x14ac:dyDescent="0.25">
      <c r="A6190" s="28" t="s">
        <v>31039</v>
      </c>
      <c r="B6190" s="28" t="s">
        <v>31040</v>
      </c>
      <c r="C6190" s="28" t="s">
        <v>29063</v>
      </c>
      <c r="D6190" s="28" t="s">
        <v>1204</v>
      </c>
      <c r="E6190" s="28" t="s">
        <v>12846</v>
      </c>
      <c r="F6190" s="28" t="s">
        <v>21</v>
      </c>
      <c r="G6190" s="28" t="s">
        <v>207</v>
      </c>
      <c r="H6190" s="28" t="s">
        <v>27631</v>
      </c>
      <c r="I6190" s="28" t="s">
        <v>31041</v>
      </c>
      <c r="J6190" s="28" t="s">
        <v>207</v>
      </c>
      <c r="K6190" s="28" t="s">
        <v>29066</v>
      </c>
      <c r="L6190" s="28" t="s">
        <v>27634</v>
      </c>
      <c r="M6190" s="28" t="s">
        <v>29326</v>
      </c>
      <c r="N6190" s="28" t="s">
        <v>27636</v>
      </c>
      <c r="O6190" s="28" t="s">
        <v>27637</v>
      </c>
      <c r="P6190" s="28" t="s">
        <v>29327</v>
      </c>
    </row>
    <row r="6191" spans="1:16" x14ac:dyDescent="0.25">
      <c r="A6191" s="28" t="s">
        <v>31042</v>
      </c>
      <c r="B6191" s="28" t="s">
        <v>31043</v>
      </c>
      <c r="C6191" s="28" t="s">
        <v>29063</v>
      </c>
      <c r="D6191" s="28" t="s">
        <v>1204</v>
      </c>
      <c r="E6191" s="28" t="s">
        <v>29330</v>
      </c>
      <c r="F6191" s="28" t="s">
        <v>21</v>
      </c>
      <c r="G6191" s="28" t="s">
        <v>207</v>
      </c>
      <c r="H6191" s="28" t="s">
        <v>27631</v>
      </c>
      <c r="I6191" s="28" t="s">
        <v>31044</v>
      </c>
      <c r="J6191" s="28" t="s">
        <v>207</v>
      </c>
      <c r="K6191" s="28" t="s">
        <v>29066</v>
      </c>
      <c r="L6191" s="28" t="s">
        <v>27634</v>
      </c>
      <c r="M6191" s="28" t="s">
        <v>29332</v>
      </c>
      <c r="N6191" s="28" t="s">
        <v>27636</v>
      </c>
      <c r="O6191" s="28" t="s">
        <v>27637</v>
      </c>
      <c r="P6191" s="28" t="s">
        <v>29333</v>
      </c>
    </row>
    <row r="6192" spans="1:16" x14ac:dyDescent="0.25">
      <c r="A6192" s="28" t="s">
        <v>31045</v>
      </c>
      <c r="B6192" s="28" t="s">
        <v>31046</v>
      </c>
      <c r="C6192" s="28" t="s">
        <v>29063</v>
      </c>
      <c r="D6192" s="28" t="s">
        <v>1204</v>
      </c>
      <c r="E6192" s="28" t="s">
        <v>12852</v>
      </c>
      <c r="F6192" s="28" t="s">
        <v>21</v>
      </c>
      <c r="G6192" s="28" t="s">
        <v>207</v>
      </c>
      <c r="H6192" s="28" t="s">
        <v>27631</v>
      </c>
      <c r="I6192" s="28" t="s">
        <v>31047</v>
      </c>
      <c r="J6192" s="28" t="s">
        <v>207</v>
      </c>
      <c r="K6192" s="28" t="s">
        <v>29066</v>
      </c>
      <c r="L6192" s="28" t="s">
        <v>27634</v>
      </c>
      <c r="M6192" s="28" t="s">
        <v>29337</v>
      </c>
      <c r="N6192" s="28" t="s">
        <v>27636</v>
      </c>
      <c r="O6192" s="28" t="s">
        <v>27637</v>
      </c>
      <c r="P6192" s="28" t="s">
        <v>29338</v>
      </c>
    </row>
    <row r="6193" spans="1:16" x14ac:dyDescent="0.25">
      <c r="A6193" s="28" t="s">
        <v>31048</v>
      </c>
      <c r="B6193" s="28" t="s">
        <v>31049</v>
      </c>
      <c r="C6193" s="28" t="s">
        <v>29063</v>
      </c>
      <c r="D6193" s="28" t="s">
        <v>1204</v>
      </c>
      <c r="E6193" s="28" t="s">
        <v>29341</v>
      </c>
      <c r="F6193" s="28" t="s">
        <v>21</v>
      </c>
      <c r="G6193" s="28" t="s">
        <v>207</v>
      </c>
      <c r="H6193" s="28" t="s">
        <v>27631</v>
      </c>
      <c r="I6193" s="28" t="s">
        <v>31050</v>
      </c>
      <c r="J6193" s="28" t="s">
        <v>207</v>
      </c>
      <c r="K6193" s="28" t="s">
        <v>29066</v>
      </c>
      <c r="L6193" s="28" t="s">
        <v>27634</v>
      </c>
      <c r="M6193" s="28" t="s">
        <v>29343</v>
      </c>
      <c r="N6193" s="28" t="s">
        <v>27636</v>
      </c>
      <c r="O6193" s="28" t="s">
        <v>27637</v>
      </c>
      <c r="P6193" s="28" t="s">
        <v>29344</v>
      </c>
    </row>
    <row r="6194" spans="1:16" x14ac:dyDescent="0.25">
      <c r="A6194" s="28" t="s">
        <v>31051</v>
      </c>
      <c r="B6194" s="28" t="s">
        <v>31052</v>
      </c>
      <c r="C6194" s="28" t="s">
        <v>29063</v>
      </c>
      <c r="D6194" s="28" t="s">
        <v>1204</v>
      </c>
      <c r="E6194" s="28" t="s">
        <v>29347</v>
      </c>
      <c r="F6194" s="28" t="s">
        <v>21</v>
      </c>
      <c r="G6194" s="28" t="s">
        <v>207</v>
      </c>
      <c r="H6194" s="28" t="s">
        <v>27631</v>
      </c>
      <c r="I6194" s="28" t="s">
        <v>31053</v>
      </c>
      <c r="J6194" s="28" t="s">
        <v>207</v>
      </c>
      <c r="K6194" s="28" t="s">
        <v>29066</v>
      </c>
      <c r="L6194" s="28" t="s">
        <v>27634</v>
      </c>
      <c r="M6194" s="28" t="s">
        <v>29349</v>
      </c>
      <c r="N6194" s="28" t="s">
        <v>27636</v>
      </c>
      <c r="O6194" s="28" t="s">
        <v>27637</v>
      </c>
      <c r="P6194" s="28" t="s">
        <v>29350</v>
      </c>
    </row>
    <row r="6195" spans="1:16" x14ac:dyDescent="0.25">
      <c r="A6195" s="28" t="s">
        <v>31054</v>
      </c>
      <c r="B6195" s="28" t="s">
        <v>31055</v>
      </c>
      <c r="C6195" s="28" t="s">
        <v>29063</v>
      </c>
      <c r="D6195" s="28" t="s">
        <v>1204</v>
      </c>
      <c r="E6195" s="28" t="s">
        <v>29353</v>
      </c>
      <c r="F6195" s="28" t="s">
        <v>21</v>
      </c>
      <c r="G6195" s="28" t="s">
        <v>207</v>
      </c>
      <c r="H6195" s="28" t="s">
        <v>27631</v>
      </c>
      <c r="I6195" s="28" t="s">
        <v>31056</v>
      </c>
      <c r="J6195" s="28" t="s">
        <v>207</v>
      </c>
      <c r="K6195" s="28" t="s">
        <v>29066</v>
      </c>
      <c r="L6195" s="28" t="s">
        <v>27634</v>
      </c>
      <c r="M6195" s="28" t="s">
        <v>29355</v>
      </c>
      <c r="N6195" s="28" t="s">
        <v>27636</v>
      </c>
      <c r="O6195" s="28" t="s">
        <v>27637</v>
      </c>
      <c r="P6195" s="28" t="s">
        <v>29356</v>
      </c>
    </row>
    <row r="6196" spans="1:16" x14ac:dyDescent="0.25">
      <c r="A6196" s="28" t="s">
        <v>31057</v>
      </c>
      <c r="B6196" s="28" t="s">
        <v>31058</v>
      </c>
      <c r="C6196" s="28" t="s">
        <v>29063</v>
      </c>
      <c r="D6196" s="28" t="s">
        <v>1204</v>
      </c>
      <c r="E6196" s="28" t="s">
        <v>29359</v>
      </c>
      <c r="F6196" s="28" t="s">
        <v>21</v>
      </c>
      <c r="G6196" s="28" t="s">
        <v>207</v>
      </c>
      <c r="H6196" s="28" t="s">
        <v>27631</v>
      </c>
      <c r="I6196" s="28" t="s">
        <v>31059</v>
      </c>
      <c r="J6196" s="28" t="s">
        <v>207</v>
      </c>
      <c r="K6196" s="28" t="s">
        <v>29066</v>
      </c>
      <c r="L6196" s="28" t="s">
        <v>27634</v>
      </c>
      <c r="M6196" s="28" t="s">
        <v>29361</v>
      </c>
      <c r="N6196" s="28" t="s">
        <v>27636</v>
      </c>
      <c r="O6196" s="28" t="s">
        <v>27637</v>
      </c>
      <c r="P6196" s="28" t="s">
        <v>29362</v>
      </c>
    </row>
    <row r="6197" spans="1:16" x14ac:dyDescent="0.25">
      <c r="A6197" s="28" t="s">
        <v>31060</v>
      </c>
      <c r="B6197" s="28" t="s">
        <v>31061</v>
      </c>
      <c r="C6197" s="28" t="s">
        <v>29063</v>
      </c>
      <c r="D6197" s="28" t="s">
        <v>1204</v>
      </c>
      <c r="E6197" s="28" t="s">
        <v>29365</v>
      </c>
      <c r="F6197" s="28" t="s">
        <v>21</v>
      </c>
      <c r="G6197" s="28" t="s">
        <v>207</v>
      </c>
      <c r="H6197" s="28" t="s">
        <v>27631</v>
      </c>
      <c r="I6197" s="28" t="s">
        <v>31062</v>
      </c>
      <c r="J6197" s="28" t="s">
        <v>207</v>
      </c>
      <c r="K6197" s="28" t="s">
        <v>29066</v>
      </c>
      <c r="L6197" s="28" t="s">
        <v>27634</v>
      </c>
      <c r="M6197" s="28" t="s">
        <v>29367</v>
      </c>
      <c r="N6197" s="28" t="s">
        <v>27636</v>
      </c>
      <c r="O6197" s="28" t="s">
        <v>27637</v>
      </c>
      <c r="P6197" s="28" t="s">
        <v>29368</v>
      </c>
    </row>
    <row r="6198" spans="1:16" x14ac:dyDescent="0.25">
      <c r="A6198" s="28" t="s">
        <v>31063</v>
      </c>
      <c r="B6198" s="28" t="s">
        <v>31064</v>
      </c>
      <c r="C6198" s="28" t="s">
        <v>29063</v>
      </c>
      <c r="D6198" s="28" t="s">
        <v>1204</v>
      </c>
      <c r="E6198" s="28" t="s">
        <v>29371</v>
      </c>
      <c r="F6198" s="28" t="s">
        <v>21</v>
      </c>
      <c r="G6198" s="28" t="s">
        <v>207</v>
      </c>
      <c r="H6198" s="28" t="s">
        <v>27631</v>
      </c>
      <c r="I6198" s="28" t="s">
        <v>31065</v>
      </c>
      <c r="J6198" s="28" t="s">
        <v>207</v>
      </c>
      <c r="K6198" s="28" t="s">
        <v>29066</v>
      </c>
      <c r="L6198" s="28" t="s">
        <v>27634</v>
      </c>
      <c r="M6198" s="28" t="s">
        <v>29373</v>
      </c>
      <c r="N6198" s="28" t="s">
        <v>27636</v>
      </c>
      <c r="O6198" s="28" t="s">
        <v>27637</v>
      </c>
      <c r="P6198" s="28" t="s">
        <v>29374</v>
      </c>
    </row>
    <row r="6199" spans="1:16" x14ac:dyDescent="0.25">
      <c r="A6199" s="28" t="s">
        <v>31066</v>
      </c>
      <c r="B6199" s="28" t="s">
        <v>31067</v>
      </c>
      <c r="C6199" s="28" t="s">
        <v>29063</v>
      </c>
      <c r="D6199" s="28" t="s">
        <v>1204</v>
      </c>
      <c r="E6199" s="28" t="s">
        <v>12858</v>
      </c>
      <c r="F6199" s="28" t="s">
        <v>21</v>
      </c>
      <c r="G6199" s="28" t="s">
        <v>207</v>
      </c>
      <c r="H6199" s="28" t="s">
        <v>27631</v>
      </c>
      <c r="I6199" s="28" t="s">
        <v>31068</v>
      </c>
      <c r="J6199" s="28" t="s">
        <v>207</v>
      </c>
      <c r="K6199" s="28" t="s">
        <v>29066</v>
      </c>
      <c r="L6199" s="28" t="s">
        <v>27634</v>
      </c>
      <c r="M6199" s="28" t="s">
        <v>29378</v>
      </c>
      <c r="N6199" s="28" t="s">
        <v>27636</v>
      </c>
      <c r="O6199" s="28" t="s">
        <v>27637</v>
      </c>
      <c r="P6199" s="28" t="s">
        <v>29379</v>
      </c>
    </row>
    <row r="6200" spans="1:16" x14ac:dyDescent="0.25">
      <c r="A6200" s="28" t="s">
        <v>31069</v>
      </c>
      <c r="B6200" s="28" t="s">
        <v>31070</v>
      </c>
      <c r="C6200" s="28" t="s">
        <v>29063</v>
      </c>
      <c r="D6200" s="28" t="s">
        <v>1204</v>
      </c>
      <c r="E6200" s="28" t="s">
        <v>29382</v>
      </c>
      <c r="F6200" s="28" t="s">
        <v>21</v>
      </c>
      <c r="G6200" s="28" t="s">
        <v>207</v>
      </c>
      <c r="H6200" s="28" t="s">
        <v>27631</v>
      </c>
      <c r="I6200" s="28" t="s">
        <v>31071</v>
      </c>
      <c r="J6200" s="28" t="s">
        <v>207</v>
      </c>
      <c r="K6200" s="28" t="s">
        <v>29066</v>
      </c>
      <c r="L6200" s="28" t="s">
        <v>27634</v>
      </c>
      <c r="M6200" s="28" t="s">
        <v>29384</v>
      </c>
      <c r="N6200" s="28" t="s">
        <v>27636</v>
      </c>
      <c r="O6200" s="28" t="s">
        <v>27637</v>
      </c>
      <c r="P6200" s="28" t="s">
        <v>29385</v>
      </c>
    </row>
    <row r="6201" spans="1:16" x14ac:dyDescent="0.25">
      <c r="A6201" s="28" t="s">
        <v>31072</v>
      </c>
      <c r="B6201" s="28" t="s">
        <v>31073</v>
      </c>
      <c r="C6201" s="28" t="s">
        <v>29063</v>
      </c>
      <c r="D6201" s="28" t="s">
        <v>1204</v>
      </c>
      <c r="E6201" s="28" t="s">
        <v>29388</v>
      </c>
      <c r="F6201" s="28" t="s">
        <v>21</v>
      </c>
      <c r="G6201" s="28" t="s">
        <v>207</v>
      </c>
      <c r="H6201" s="28" t="s">
        <v>27631</v>
      </c>
      <c r="I6201" s="28" t="s">
        <v>31074</v>
      </c>
      <c r="J6201" s="28" t="s">
        <v>207</v>
      </c>
      <c r="K6201" s="28" t="s">
        <v>29066</v>
      </c>
      <c r="L6201" s="28" t="s">
        <v>27634</v>
      </c>
      <c r="M6201" s="28" t="s">
        <v>29390</v>
      </c>
      <c r="N6201" s="28" t="s">
        <v>27636</v>
      </c>
      <c r="O6201" s="28" t="s">
        <v>27637</v>
      </c>
      <c r="P6201" s="28" t="s">
        <v>29391</v>
      </c>
    </row>
    <row r="6202" spans="1:16" x14ac:dyDescent="0.25">
      <c r="A6202" s="28" t="s">
        <v>31075</v>
      </c>
      <c r="B6202" s="28" t="s">
        <v>31076</v>
      </c>
      <c r="C6202" s="28" t="s">
        <v>29063</v>
      </c>
      <c r="D6202" s="28" t="s">
        <v>1204</v>
      </c>
      <c r="E6202" s="28" t="s">
        <v>29394</v>
      </c>
      <c r="F6202" s="28" t="s">
        <v>21</v>
      </c>
      <c r="G6202" s="28" t="s">
        <v>207</v>
      </c>
      <c r="H6202" s="28" t="s">
        <v>27631</v>
      </c>
      <c r="I6202" s="28" t="s">
        <v>31077</v>
      </c>
      <c r="J6202" s="28" t="s">
        <v>207</v>
      </c>
      <c r="K6202" s="28" t="s">
        <v>29066</v>
      </c>
      <c r="L6202" s="28" t="s">
        <v>27634</v>
      </c>
      <c r="M6202" s="28" t="s">
        <v>29396</v>
      </c>
      <c r="N6202" s="28" t="s">
        <v>27636</v>
      </c>
      <c r="O6202" s="28" t="s">
        <v>27637</v>
      </c>
      <c r="P6202" s="28" t="s">
        <v>29397</v>
      </c>
    </row>
    <row r="6203" spans="1:16" x14ac:dyDescent="0.25">
      <c r="A6203" s="28" t="s">
        <v>31078</v>
      </c>
      <c r="B6203" s="28" t="s">
        <v>31079</v>
      </c>
      <c r="C6203" s="28" t="s">
        <v>29063</v>
      </c>
      <c r="D6203" s="28" t="s">
        <v>1204</v>
      </c>
      <c r="E6203" s="28" t="s">
        <v>29400</v>
      </c>
      <c r="F6203" s="28" t="s">
        <v>21</v>
      </c>
      <c r="G6203" s="28" t="s">
        <v>207</v>
      </c>
      <c r="H6203" s="28" t="s">
        <v>27631</v>
      </c>
      <c r="I6203" s="28" t="s">
        <v>31080</v>
      </c>
      <c r="J6203" s="28" t="s">
        <v>207</v>
      </c>
      <c r="K6203" s="28" t="s">
        <v>29066</v>
      </c>
      <c r="L6203" s="28" t="s">
        <v>27634</v>
      </c>
      <c r="M6203" s="28" t="s">
        <v>29402</v>
      </c>
      <c r="N6203" s="28" t="s">
        <v>27636</v>
      </c>
      <c r="O6203" s="28" t="s">
        <v>27637</v>
      </c>
      <c r="P6203" s="28" t="s">
        <v>29403</v>
      </c>
    </row>
    <row r="6204" spans="1:16" x14ac:dyDescent="0.25">
      <c r="A6204" s="28" t="s">
        <v>31081</v>
      </c>
      <c r="B6204" s="28" t="s">
        <v>31082</v>
      </c>
      <c r="C6204" s="28" t="s">
        <v>29063</v>
      </c>
      <c r="D6204" s="28" t="s">
        <v>1204</v>
      </c>
      <c r="E6204" s="28" t="s">
        <v>29406</v>
      </c>
      <c r="F6204" s="28" t="s">
        <v>21</v>
      </c>
      <c r="G6204" s="28" t="s">
        <v>207</v>
      </c>
      <c r="H6204" s="28" t="s">
        <v>27631</v>
      </c>
      <c r="I6204" s="28" t="s">
        <v>31083</v>
      </c>
      <c r="J6204" s="28" t="s">
        <v>207</v>
      </c>
      <c r="K6204" s="28" t="s">
        <v>29066</v>
      </c>
      <c r="L6204" s="28" t="s">
        <v>27634</v>
      </c>
      <c r="M6204" s="28" t="s">
        <v>29408</v>
      </c>
      <c r="N6204" s="28" t="s">
        <v>27636</v>
      </c>
      <c r="O6204" s="28" t="s">
        <v>27637</v>
      </c>
      <c r="P6204" s="28" t="s">
        <v>29409</v>
      </c>
    </row>
    <row r="6205" spans="1:16" x14ac:dyDescent="0.25">
      <c r="A6205" s="28" t="s">
        <v>31084</v>
      </c>
      <c r="B6205" s="28" t="s">
        <v>31085</v>
      </c>
      <c r="C6205" s="28" t="s">
        <v>29063</v>
      </c>
      <c r="D6205" s="28" t="s">
        <v>1204</v>
      </c>
      <c r="E6205" s="28" t="s">
        <v>29412</v>
      </c>
      <c r="F6205" s="28" t="s">
        <v>21</v>
      </c>
      <c r="G6205" s="28" t="s">
        <v>207</v>
      </c>
      <c r="H6205" s="28" t="s">
        <v>27631</v>
      </c>
      <c r="I6205" s="28" t="s">
        <v>31086</v>
      </c>
      <c r="J6205" s="28" t="s">
        <v>207</v>
      </c>
      <c r="K6205" s="28" t="s">
        <v>29066</v>
      </c>
      <c r="L6205" s="28" t="s">
        <v>27634</v>
      </c>
      <c r="M6205" s="28" t="s">
        <v>29414</v>
      </c>
      <c r="N6205" s="28" t="s">
        <v>27636</v>
      </c>
      <c r="O6205" s="28" t="s">
        <v>27637</v>
      </c>
      <c r="P6205" s="28" t="s">
        <v>29415</v>
      </c>
    </row>
    <row r="6206" spans="1:16" x14ac:dyDescent="0.25">
      <c r="A6206" s="28" t="s">
        <v>31087</v>
      </c>
      <c r="B6206" s="28" t="s">
        <v>31088</v>
      </c>
      <c r="C6206" s="28" t="s">
        <v>29063</v>
      </c>
      <c r="D6206" s="28" t="s">
        <v>1204</v>
      </c>
      <c r="E6206" s="28" t="s">
        <v>29418</v>
      </c>
      <c r="F6206" s="28" t="s">
        <v>21</v>
      </c>
      <c r="G6206" s="28" t="s">
        <v>207</v>
      </c>
      <c r="H6206" s="28" t="s">
        <v>27631</v>
      </c>
      <c r="I6206" s="28" t="s">
        <v>31089</v>
      </c>
      <c r="J6206" s="28" t="s">
        <v>207</v>
      </c>
      <c r="K6206" s="28" t="s">
        <v>29066</v>
      </c>
      <c r="L6206" s="28" t="s">
        <v>27634</v>
      </c>
      <c r="M6206" s="28" t="s">
        <v>29420</v>
      </c>
      <c r="N6206" s="28" t="s">
        <v>27636</v>
      </c>
      <c r="O6206" s="28" t="s">
        <v>27637</v>
      </c>
      <c r="P6206" s="28" t="s">
        <v>29421</v>
      </c>
    </row>
    <row r="6207" spans="1:16" x14ac:dyDescent="0.25">
      <c r="A6207" s="28" t="s">
        <v>31090</v>
      </c>
      <c r="B6207" s="28" t="s">
        <v>31091</v>
      </c>
      <c r="C6207" s="28" t="s">
        <v>29063</v>
      </c>
      <c r="D6207" s="28" t="s">
        <v>1204</v>
      </c>
      <c r="E6207" s="28" t="s">
        <v>29424</v>
      </c>
      <c r="F6207" s="28" t="s">
        <v>21</v>
      </c>
      <c r="G6207" s="28" t="s">
        <v>207</v>
      </c>
      <c r="H6207" s="28" t="s">
        <v>27631</v>
      </c>
      <c r="I6207" s="28" t="s">
        <v>31092</v>
      </c>
      <c r="J6207" s="28" t="s">
        <v>207</v>
      </c>
      <c r="K6207" s="28" t="s">
        <v>29066</v>
      </c>
      <c r="L6207" s="28" t="s">
        <v>27634</v>
      </c>
      <c r="M6207" s="28" t="s">
        <v>29426</v>
      </c>
      <c r="N6207" s="28" t="s">
        <v>27636</v>
      </c>
      <c r="O6207" s="28" t="s">
        <v>27637</v>
      </c>
      <c r="P6207" s="28" t="s">
        <v>29427</v>
      </c>
    </row>
    <row r="6208" spans="1:16" x14ac:dyDescent="0.25">
      <c r="A6208" s="28" t="s">
        <v>31093</v>
      </c>
      <c r="B6208" s="28" t="s">
        <v>31094</v>
      </c>
      <c r="C6208" s="28" t="s">
        <v>29063</v>
      </c>
      <c r="D6208" s="28" t="s">
        <v>1204</v>
      </c>
      <c r="E6208" s="28" t="s">
        <v>29430</v>
      </c>
      <c r="F6208" s="28" t="s">
        <v>21</v>
      </c>
      <c r="G6208" s="28" t="s">
        <v>207</v>
      </c>
      <c r="H6208" s="28" t="s">
        <v>27631</v>
      </c>
      <c r="I6208" s="28" t="s">
        <v>31095</v>
      </c>
      <c r="J6208" s="28" t="s">
        <v>207</v>
      </c>
      <c r="K6208" s="28" t="s">
        <v>29066</v>
      </c>
      <c r="L6208" s="28" t="s">
        <v>27634</v>
      </c>
      <c r="M6208" s="28" t="s">
        <v>29432</v>
      </c>
      <c r="N6208" s="28" t="s">
        <v>27636</v>
      </c>
      <c r="O6208" s="28" t="s">
        <v>27637</v>
      </c>
      <c r="P6208" s="28" t="s">
        <v>29433</v>
      </c>
    </row>
    <row r="6209" spans="1:16" x14ac:dyDescent="0.25">
      <c r="A6209" s="28" t="s">
        <v>31096</v>
      </c>
      <c r="B6209" s="28" t="s">
        <v>31097</v>
      </c>
      <c r="C6209" s="28" t="s">
        <v>29063</v>
      </c>
      <c r="D6209" s="28" t="s">
        <v>1204</v>
      </c>
      <c r="E6209" s="28" t="s">
        <v>29436</v>
      </c>
      <c r="F6209" s="28" t="s">
        <v>21</v>
      </c>
      <c r="G6209" s="28" t="s">
        <v>207</v>
      </c>
      <c r="H6209" s="28" t="s">
        <v>27631</v>
      </c>
      <c r="I6209" s="28" t="s">
        <v>31098</v>
      </c>
      <c r="J6209" s="28" t="s">
        <v>207</v>
      </c>
      <c r="K6209" s="28" t="s">
        <v>29066</v>
      </c>
      <c r="L6209" s="28" t="s">
        <v>27634</v>
      </c>
      <c r="M6209" s="28" t="s">
        <v>29438</v>
      </c>
      <c r="N6209" s="28" t="s">
        <v>27636</v>
      </c>
      <c r="O6209" s="28" t="s">
        <v>27637</v>
      </c>
      <c r="P6209" s="28" t="s">
        <v>29439</v>
      </c>
    </row>
    <row r="6210" spans="1:16" x14ac:dyDescent="0.25">
      <c r="A6210" s="28" t="s">
        <v>31099</v>
      </c>
      <c r="B6210" s="28" t="s">
        <v>31100</v>
      </c>
      <c r="C6210" s="28" t="s">
        <v>29063</v>
      </c>
      <c r="D6210" s="28" t="s">
        <v>1204</v>
      </c>
      <c r="E6210" s="28" t="s">
        <v>29442</v>
      </c>
      <c r="F6210" s="28" t="s">
        <v>21</v>
      </c>
      <c r="G6210" s="28" t="s">
        <v>207</v>
      </c>
      <c r="H6210" s="28" t="s">
        <v>27631</v>
      </c>
      <c r="I6210" s="28" t="s">
        <v>31101</v>
      </c>
      <c r="J6210" s="28" t="s">
        <v>207</v>
      </c>
      <c r="K6210" s="28" t="s">
        <v>29066</v>
      </c>
      <c r="L6210" s="28" t="s">
        <v>27634</v>
      </c>
      <c r="M6210" s="28" t="s">
        <v>29444</v>
      </c>
      <c r="N6210" s="28" t="s">
        <v>27636</v>
      </c>
      <c r="O6210" s="28" t="s">
        <v>27637</v>
      </c>
      <c r="P6210" s="28" t="s">
        <v>29445</v>
      </c>
    </row>
    <row r="6211" spans="1:16" x14ac:dyDescent="0.25">
      <c r="A6211" s="28" t="s">
        <v>31102</v>
      </c>
      <c r="B6211" s="28" t="s">
        <v>31103</v>
      </c>
      <c r="C6211" s="28" t="s">
        <v>29063</v>
      </c>
      <c r="D6211" s="28" t="s">
        <v>1204</v>
      </c>
      <c r="E6211" s="28" t="s">
        <v>29448</v>
      </c>
      <c r="F6211" s="28" t="s">
        <v>21</v>
      </c>
      <c r="G6211" s="28" t="s">
        <v>207</v>
      </c>
      <c r="H6211" s="28" t="s">
        <v>27631</v>
      </c>
      <c r="I6211" s="28" t="s">
        <v>31104</v>
      </c>
      <c r="J6211" s="28" t="s">
        <v>207</v>
      </c>
      <c r="K6211" s="28" t="s">
        <v>29066</v>
      </c>
      <c r="L6211" s="28" t="s">
        <v>27634</v>
      </c>
      <c r="M6211" s="28" t="s">
        <v>29450</v>
      </c>
      <c r="N6211" s="28" t="s">
        <v>27636</v>
      </c>
      <c r="O6211" s="28" t="s">
        <v>27637</v>
      </c>
      <c r="P6211" s="28" t="s">
        <v>29451</v>
      </c>
    </row>
    <row r="6212" spans="1:16" x14ac:dyDescent="0.25">
      <c r="A6212" s="28" t="s">
        <v>31105</v>
      </c>
      <c r="B6212" s="28" t="s">
        <v>31106</v>
      </c>
      <c r="C6212" s="28" t="s">
        <v>29063</v>
      </c>
      <c r="D6212" s="28" t="s">
        <v>1204</v>
      </c>
      <c r="E6212" s="28" t="s">
        <v>29454</v>
      </c>
      <c r="F6212" s="28" t="s">
        <v>21</v>
      </c>
      <c r="G6212" s="28" t="s">
        <v>207</v>
      </c>
      <c r="H6212" s="28" t="s">
        <v>27631</v>
      </c>
      <c r="I6212" s="28" t="s">
        <v>31107</v>
      </c>
      <c r="J6212" s="28" t="s">
        <v>207</v>
      </c>
      <c r="K6212" s="28" t="s">
        <v>29066</v>
      </c>
      <c r="L6212" s="28" t="s">
        <v>27634</v>
      </c>
      <c r="M6212" s="28" t="s">
        <v>29456</v>
      </c>
      <c r="N6212" s="28" t="s">
        <v>27636</v>
      </c>
      <c r="O6212" s="28" t="s">
        <v>27637</v>
      </c>
      <c r="P6212" s="28" t="s">
        <v>29457</v>
      </c>
    </row>
    <row r="6213" spans="1:16" x14ac:dyDescent="0.25">
      <c r="A6213" s="28" t="s">
        <v>31108</v>
      </c>
      <c r="B6213" s="28" t="s">
        <v>31109</v>
      </c>
      <c r="C6213" s="28" t="s">
        <v>29063</v>
      </c>
      <c r="D6213" s="28" t="s">
        <v>1204</v>
      </c>
      <c r="E6213" s="28" t="s">
        <v>29460</v>
      </c>
      <c r="F6213" s="28" t="s">
        <v>21</v>
      </c>
      <c r="G6213" s="28" t="s">
        <v>207</v>
      </c>
      <c r="H6213" s="28" t="s">
        <v>27631</v>
      </c>
      <c r="I6213" s="28" t="s">
        <v>31110</v>
      </c>
      <c r="J6213" s="28" t="s">
        <v>207</v>
      </c>
      <c r="K6213" s="28" t="s">
        <v>29066</v>
      </c>
      <c r="L6213" s="28" t="s">
        <v>27634</v>
      </c>
      <c r="M6213" s="28" t="s">
        <v>29462</v>
      </c>
      <c r="N6213" s="28" t="s">
        <v>27636</v>
      </c>
      <c r="O6213" s="28" t="s">
        <v>27637</v>
      </c>
      <c r="P6213" s="28" t="s">
        <v>29463</v>
      </c>
    </row>
    <row r="6214" spans="1:16" x14ac:dyDescent="0.25">
      <c r="A6214" s="28" t="s">
        <v>31111</v>
      </c>
      <c r="B6214" s="28" t="s">
        <v>31112</v>
      </c>
      <c r="C6214" s="28" t="s">
        <v>29063</v>
      </c>
      <c r="D6214" s="28" t="s">
        <v>1204</v>
      </c>
      <c r="E6214" s="28" t="s">
        <v>12864</v>
      </c>
      <c r="F6214" s="28" t="s">
        <v>21</v>
      </c>
      <c r="G6214" s="28" t="s">
        <v>207</v>
      </c>
      <c r="H6214" s="28" t="s">
        <v>27631</v>
      </c>
      <c r="I6214" s="28" t="s">
        <v>31113</v>
      </c>
      <c r="J6214" s="28" t="s">
        <v>207</v>
      </c>
      <c r="K6214" s="28" t="s">
        <v>29066</v>
      </c>
      <c r="L6214" s="28" t="s">
        <v>27634</v>
      </c>
      <c r="M6214" s="28" t="s">
        <v>29467</v>
      </c>
      <c r="N6214" s="28" t="s">
        <v>27636</v>
      </c>
      <c r="O6214" s="28" t="s">
        <v>27637</v>
      </c>
      <c r="P6214" s="28" t="s">
        <v>29468</v>
      </c>
    </row>
    <row r="6215" spans="1:16" x14ac:dyDescent="0.25">
      <c r="A6215" s="28" t="s">
        <v>31114</v>
      </c>
      <c r="B6215" s="28" t="s">
        <v>31115</v>
      </c>
      <c r="C6215" s="28" t="s">
        <v>29063</v>
      </c>
      <c r="D6215" s="28" t="s">
        <v>1204</v>
      </c>
      <c r="E6215" s="28" t="s">
        <v>29471</v>
      </c>
      <c r="F6215" s="28" t="s">
        <v>21</v>
      </c>
      <c r="G6215" s="28" t="s">
        <v>207</v>
      </c>
      <c r="H6215" s="28" t="s">
        <v>27631</v>
      </c>
      <c r="I6215" s="28" t="s">
        <v>31116</v>
      </c>
      <c r="J6215" s="28" t="s">
        <v>207</v>
      </c>
      <c r="K6215" s="28" t="s">
        <v>29066</v>
      </c>
      <c r="L6215" s="28" t="s">
        <v>27634</v>
      </c>
      <c r="M6215" s="28" t="s">
        <v>29473</v>
      </c>
      <c r="N6215" s="28" t="s">
        <v>27636</v>
      </c>
      <c r="O6215" s="28" t="s">
        <v>27637</v>
      </c>
      <c r="P6215" s="28" t="s">
        <v>29474</v>
      </c>
    </row>
    <row r="6216" spans="1:16" x14ac:dyDescent="0.25">
      <c r="A6216" s="28" t="s">
        <v>31117</v>
      </c>
      <c r="B6216" s="28" t="s">
        <v>31118</v>
      </c>
      <c r="C6216" s="28" t="s">
        <v>29063</v>
      </c>
      <c r="D6216" s="28" t="s">
        <v>1204</v>
      </c>
      <c r="E6216" s="28" t="s">
        <v>29477</v>
      </c>
      <c r="F6216" s="28" t="s">
        <v>21</v>
      </c>
      <c r="G6216" s="28" t="s">
        <v>207</v>
      </c>
      <c r="H6216" s="28" t="s">
        <v>27631</v>
      </c>
      <c r="I6216" s="28" t="s">
        <v>31119</v>
      </c>
      <c r="J6216" s="28" t="s">
        <v>207</v>
      </c>
      <c r="K6216" s="28" t="s">
        <v>29066</v>
      </c>
      <c r="L6216" s="28" t="s">
        <v>27634</v>
      </c>
      <c r="M6216" s="28" t="s">
        <v>29479</v>
      </c>
      <c r="N6216" s="28" t="s">
        <v>27636</v>
      </c>
      <c r="O6216" s="28" t="s">
        <v>27637</v>
      </c>
      <c r="P6216" s="28" t="s">
        <v>29480</v>
      </c>
    </row>
    <row r="6217" spans="1:16" x14ac:dyDescent="0.25">
      <c r="A6217" s="28" t="s">
        <v>31120</v>
      </c>
      <c r="B6217" s="28" t="s">
        <v>31121</v>
      </c>
      <c r="C6217" s="28" t="s">
        <v>29063</v>
      </c>
      <c r="D6217" s="28" t="s">
        <v>1204</v>
      </c>
      <c r="E6217" s="28" t="s">
        <v>29483</v>
      </c>
      <c r="F6217" s="28" t="s">
        <v>21</v>
      </c>
      <c r="G6217" s="28" t="s">
        <v>207</v>
      </c>
      <c r="H6217" s="28" t="s">
        <v>27631</v>
      </c>
      <c r="I6217" s="28" t="s">
        <v>31122</v>
      </c>
      <c r="J6217" s="28" t="s">
        <v>207</v>
      </c>
      <c r="K6217" s="28" t="s">
        <v>29066</v>
      </c>
      <c r="L6217" s="28" t="s">
        <v>27634</v>
      </c>
      <c r="M6217" s="28" t="s">
        <v>29485</v>
      </c>
      <c r="N6217" s="28" t="s">
        <v>27636</v>
      </c>
      <c r="O6217" s="28" t="s">
        <v>27637</v>
      </c>
      <c r="P6217" s="28" t="s">
        <v>29486</v>
      </c>
    </row>
    <row r="6218" spans="1:16" x14ac:dyDescent="0.25">
      <c r="A6218" s="28" t="s">
        <v>31123</v>
      </c>
      <c r="B6218" s="28" t="s">
        <v>31124</v>
      </c>
      <c r="C6218" s="28" t="s">
        <v>29063</v>
      </c>
      <c r="D6218" s="28" t="s">
        <v>1204</v>
      </c>
      <c r="E6218" s="28" t="s">
        <v>29489</v>
      </c>
      <c r="F6218" s="28" t="s">
        <v>21</v>
      </c>
      <c r="G6218" s="28" t="s">
        <v>207</v>
      </c>
      <c r="H6218" s="28" t="s">
        <v>27631</v>
      </c>
      <c r="I6218" s="28" t="s">
        <v>31125</v>
      </c>
      <c r="J6218" s="28" t="s">
        <v>207</v>
      </c>
      <c r="K6218" s="28" t="s">
        <v>29066</v>
      </c>
      <c r="L6218" s="28" t="s">
        <v>27634</v>
      </c>
      <c r="M6218" s="28" t="s">
        <v>29491</v>
      </c>
      <c r="N6218" s="28" t="s">
        <v>27636</v>
      </c>
      <c r="O6218" s="28" t="s">
        <v>27637</v>
      </c>
      <c r="P6218" s="28" t="s">
        <v>29492</v>
      </c>
    </row>
    <row r="6219" spans="1:16" x14ac:dyDescent="0.25">
      <c r="A6219" s="28" t="s">
        <v>31126</v>
      </c>
      <c r="B6219" s="28" t="s">
        <v>31127</v>
      </c>
      <c r="C6219" s="28" t="s">
        <v>29063</v>
      </c>
      <c r="D6219" s="28" t="s">
        <v>1204</v>
      </c>
      <c r="E6219" s="28" t="s">
        <v>29495</v>
      </c>
      <c r="F6219" s="28" t="s">
        <v>21</v>
      </c>
      <c r="G6219" s="28" t="s">
        <v>207</v>
      </c>
      <c r="H6219" s="28" t="s">
        <v>27631</v>
      </c>
      <c r="I6219" s="28" t="s">
        <v>31128</v>
      </c>
      <c r="J6219" s="28" t="s">
        <v>207</v>
      </c>
      <c r="K6219" s="28" t="s">
        <v>29066</v>
      </c>
      <c r="L6219" s="28" t="s">
        <v>27634</v>
      </c>
      <c r="M6219" s="28" t="s">
        <v>29497</v>
      </c>
      <c r="N6219" s="28" t="s">
        <v>27636</v>
      </c>
      <c r="O6219" s="28" t="s">
        <v>27637</v>
      </c>
      <c r="P6219" s="28" t="s">
        <v>29498</v>
      </c>
    </row>
    <row r="6220" spans="1:16" x14ac:dyDescent="0.25">
      <c r="A6220" s="28" t="s">
        <v>31129</v>
      </c>
      <c r="B6220" s="28" t="s">
        <v>31130</v>
      </c>
      <c r="C6220" s="28" t="s">
        <v>29063</v>
      </c>
      <c r="D6220" s="28" t="s">
        <v>1204</v>
      </c>
      <c r="E6220" s="28" t="s">
        <v>29501</v>
      </c>
      <c r="F6220" s="28" t="s">
        <v>21</v>
      </c>
      <c r="G6220" s="28" t="s">
        <v>207</v>
      </c>
      <c r="H6220" s="28" t="s">
        <v>27631</v>
      </c>
      <c r="I6220" s="28" t="s">
        <v>31131</v>
      </c>
      <c r="J6220" s="28" t="s">
        <v>207</v>
      </c>
      <c r="K6220" s="28" t="s">
        <v>29066</v>
      </c>
      <c r="L6220" s="28" t="s">
        <v>27634</v>
      </c>
      <c r="M6220" s="28" t="s">
        <v>29503</v>
      </c>
      <c r="N6220" s="28" t="s">
        <v>27636</v>
      </c>
      <c r="O6220" s="28" t="s">
        <v>27637</v>
      </c>
      <c r="P6220" s="28" t="s">
        <v>29504</v>
      </c>
    </row>
    <row r="6221" spans="1:16" x14ac:dyDescent="0.25">
      <c r="A6221" s="28" t="s">
        <v>31132</v>
      </c>
      <c r="B6221" s="28" t="s">
        <v>31133</v>
      </c>
      <c r="C6221" s="28" t="s">
        <v>29063</v>
      </c>
      <c r="D6221" s="28" t="s">
        <v>1204</v>
      </c>
      <c r="E6221" s="28" t="s">
        <v>29507</v>
      </c>
      <c r="F6221" s="28" t="s">
        <v>21</v>
      </c>
      <c r="G6221" s="28" t="s">
        <v>207</v>
      </c>
      <c r="H6221" s="28" t="s">
        <v>27631</v>
      </c>
      <c r="I6221" s="28" t="s">
        <v>31134</v>
      </c>
      <c r="J6221" s="28" t="s">
        <v>207</v>
      </c>
      <c r="K6221" s="28" t="s">
        <v>29066</v>
      </c>
      <c r="L6221" s="28" t="s">
        <v>27634</v>
      </c>
      <c r="M6221" s="28" t="s">
        <v>29509</v>
      </c>
      <c r="N6221" s="28" t="s">
        <v>27636</v>
      </c>
      <c r="O6221" s="28" t="s">
        <v>27637</v>
      </c>
      <c r="P6221" s="28" t="s">
        <v>29510</v>
      </c>
    </row>
    <row r="6222" spans="1:16" x14ac:dyDescent="0.25">
      <c r="A6222" s="28" t="s">
        <v>31135</v>
      </c>
      <c r="B6222" s="28" t="s">
        <v>31136</v>
      </c>
      <c r="C6222" s="28" t="s">
        <v>29063</v>
      </c>
      <c r="D6222" s="28" t="s">
        <v>1204</v>
      </c>
      <c r="E6222" s="28" t="s">
        <v>29513</v>
      </c>
      <c r="F6222" s="28" t="s">
        <v>21</v>
      </c>
      <c r="G6222" s="28" t="s">
        <v>207</v>
      </c>
      <c r="H6222" s="28" t="s">
        <v>27631</v>
      </c>
      <c r="I6222" s="28" t="s">
        <v>31137</v>
      </c>
      <c r="J6222" s="28" t="s">
        <v>207</v>
      </c>
      <c r="K6222" s="28" t="s">
        <v>29066</v>
      </c>
      <c r="L6222" s="28" t="s">
        <v>27634</v>
      </c>
      <c r="M6222" s="28" t="s">
        <v>29515</v>
      </c>
      <c r="N6222" s="28" t="s">
        <v>27636</v>
      </c>
      <c r="O6222" s="28" t="s">
        <v>27637</v>
      </c>
      <c r="P6222" s="28" t="s">
        <v>29516</v>
      </c>
    </row>
    <row r="6223" spans="1:16" x14ac:dyDescent="0.25">
      <c r="A6223" s="28" t="s">
        <v>31138</v>
      </c>
      <c r="B6223" s="28" t="s">
        <v>31139</v>
      </c>
      <c r="C6223" s="28" t="s">
        <v>29063</v>
      </c>
      <c r="D6223" s="28" t="s">
        <v>1204</v>
      </c>
      <c r="E6223" s="28" t="s">
        <v>29519</v>
      </c>
      <c r="F6223" s="28" t="s">
        <v>21</v>
      </c>
      <c r="G6223" s="28" t="s">
        <v>207</v>
      </c>
      <c r="H6223" s="28" t="s">
        <v>27631</v>
      </c>
      <c r="I6223" s="28" t="s">
        <v>31140</v>
      </c>
      <c r="J6223" s="28" t="s">
        <v>207</v>
      </c>
      <c r="K6223" s="28" t="s">
        <v>29066</v>
      </c>
      <c r="L6223" s="28" t="s">
        <v>27634</v>
      </c>
      <c r="M6223" s="28" t="s">
        <v>29521</v>
      </c>
      <c r="N6223" s="28" t="s">
        <v>27636</v>
      </c>
      <c r="O6223" s="28" t="s">
        <v>27637</v>
      </c>
      <c r="P6223" s="28" t="s">
        <v>29522</v>
      </c>
    </row>
    <row r="6224" spans="1:16" x14ac:dyDescent="0.25">
      <c r="A6224" s="28" t="s">
        <v>31141</v>
      </c>
      <c r="B6224" s="28" t="s">
        <v>31142</v>
      </c>
      <c r="C6224" s="28" t="s">
        <v>29063</v>
      </c>
      <c r="D6224" s="28" t="s">
        <v>1204</v>
      </c>
      <c r="E6224" s="28" t="s">
        <v>29525</v>
      </c>
      <c r="F6224" s="28" t="s">
        <v>21</v>
      </c>
      <c r="G6224" s="28" t="s">
        <v>207</v>
      </c>
      <c r="H6224" s="28" t="s">
        <v>27631</v>
      </c>
      <c r="I6224" s="28" t="s">
        <v>31143</v>
      </c>
      <c r="J6224" s="28" t="s">
        <v>207</v>
      </c>
      <c r="K6224" s="28" t="s">
        <v>29066</v>
      </c>
      <c r="L6224" s="28" t="s">
        <v>27634</v>
      </c>
      <c r="M6224" s="28" t="s">
        <v>29527</v>
      </c>
      <c r="N6224" s="28" t="s">
        <v>27636</v>
      </c>
      <c r="O6224" s="28" t="s">
        <v>27637</v>
      </c>
      <c r="P6224" s="28" t="s">
        <v>29528</v>
      </c>
    </row>
    <row r="6225" spans="1:16" x14ac:dyDescent="0.25">
      <c r="A6225" s="28" t="s">
        <v>31144</v>
      </c>
      <c r="B6225" s="28" t="s">
        <v>31145</v>
      </c>
      <c r="C6225" s="28" t="s">
        <v>29063</v>
      </c>
      <c r="D6225" s="28" t="s">
        <v>1204</v>
      </c>
      <c r="E6225" s="28" t="s">
        <v>29531</v>
      </c>
      <c r="F6225" s="28" t="s">
        <v>21</v>
      </c>
      <c r="G6225" s="28" t="s">
        <v>207</v>
      </c>
      <c r="H6225" s="28" t="s">
        <v>27631</v>
      </c>
      <c r="I6225" s="28" t="s">
        <v>31146</v>
      </c>
      <c r="J6225" s="28" t="s">
        <v>207</v>
      </c>
      <c r="K6225" s="28" t="s">
        <v>29066</v>
      </c>
      <c r="L6225" s="28" t="s">
        <v>27634</v>
      </c>
      <c r="M6225" s="28" t="s">
        <v>29533</v>
      </c>
      <c r="N6225" s="28" t="s">
        <v>27636</v>
      </c>
      <c r="O6225" s="28" t="s">
        <v>27637</v>
      </c>
      <c r="P6225" s="28" t="s">
        <v>29534</v>
      </c>
    </row>
    <row r="6226" spans="1:16" x14ac:dyDescent="0.25">
      <c r="A6226" s="28" t="s">
        <v>31147</v>
      </c>
      <c r="B6226" s="28" t="s">
        <v>31148</v>
      </c>
      <c r="C6226" s="28" t="s">
        <v>29063</v>
      </c>
      <c r="D6226" s="28" t="s">
        <v>1204</v>
      </c>
      <c r="E6226" s="28" t="s">
        <v>29537</v>
      </c>
      <c r="F6226" s="28" t="s">
        <v>21</v>
      </c>
      <c r="G6226" s="28" t="s">
        <v>207</v>
      </c>
      <c r="H6226" s="28" t="s">
        <v>27631</v>
      </c>
      <c r="I6226" s="28" t="s">
        <v>31149</v>
      </c>
      <c r="J6226" s="28" t="s">
        <v>207</v>
      </c>
      <c r="K6226" s="28" t="s">
        <v>29066</v>
      </c>
      <c r="L6226" s="28" t="s">
        <v>27634</v>
      </c>
      <c r="M6226" s="28" t="s">
        <v>29539</v>
      </c>
      <c r="N6226" s="28" t="s">
        <v>27636</v>
      </c>
      <c r="O6226" s="28" t="s">
        <v>27637</v>
      </c>
      <c r="P6226" s="28" t="s">
        <v>29540</v>
      </c>
    </row>
    <row r="6227" spans="1:16" x14ac:dyDescent="0.25">
      <c r="A6227" s="28" t="s">
        <v>31150</v>
      </c>
      <c r="B6227" s="28" t="s">
        <v>31151</v>
      </c>
      <c r="C6227" s="28" t="s">
        <v>29063</v>
      </c>
      <c r="D6227" s="28" t="s">
        <v>1204</v>
      </c>
      <c r="E6227" s="28" t="s">
        <v>29543</v>
      </c>
      <c r="F6227" s="28" t="s">
        <v>21</v>
      </c>
      <c r="G6227" s="28" t="s">
        <v>207</v>
      </c>
      <c r="H6227" s="28" t="s">
        <v>27631</v>
      </c>
      <c r="I6227" s="28" t="s">
        <v>31152</v>
      </c>
      <c r="J6227" s="28" t="s">
        <v>207</v>
      </c>
      <c r="K6227" s="28" t="s">
        <v>29066</v>
      </c>
      <c r="L6227" s="28" t="s">
        <v>27634</v>
      </c>
      <c r="M6227" s="28" t="s">
        <v>29545</v>
      </c>
      <c r="N6227" s="28" t="s">
        <v>27636</v>
      </c>
      <c r="O6227" s="28" t="s">
        <v>27637</v>
      </c>
      <c r="P6227" s="28" t="s">
        <v>29546</v>
      </c>
    </row>
    <row r="6228" spans="1:16" x14ac:dyDescent="0.25">
      <c r="A6228" s="28" t="s">
        <v>31153</v>
      </c>
      <c r="B6228" s="28" t="s">
        <v>31154</v>
      </c>
      <c r="C6228" s="28" t="s">
        <v>29063</v>
      </c>
      <c r="D6228" s="28" t="s">
        <v>1204</v>
      </c>
      <c r="E6228" s="28" t="s">
        <v>29549</v>
      </c>
      <c r="F6228" s="28" t="s">
        <v>21</v>
      </c>
      <c r="G6228" s="28" t="s">
        <v>207</v>
      </c>
      <c r="H6228" s="28" t="s">
        <v>27631</v>
      </c>
      <c r="I6228" s="28" t="s">
        <v>31155</v>
      </c>
      <c r="J6228" s="28" t="s">
        <v>207</v>
      </c>
      <c r="K6228" s="28" t="s">
        <v>29066</v>
      </c>
      <c r="L6228" s="28" t="s">
        <v>27634</v>
      </c>
      <c r="M6228" s="28" t="s">
        <v>29551</v>
      </c>
      <c r="N6228" s="28" t="s">
        <v>27636</v>
      </c>
      <c r="O6228" s="28" t="s">
        <v>27637</v>
      </c>
      <c r="P6228" s="28" t="s">
        <v>29552</v>
      </c>
    </row>
    <row r="6229" spans="1:16" x14ac:dyDescent="0.25">
      <c r="A6229" s="28" t="s">
        <v>31156</v>
      </c>
      <c r="B6229" s="28" t="s">
        <v>31157</v>
      </c>
      <c r="C6229" s="28" t="s">
        <v>29063</v>
      </c>
      <c r="D6229" s="28" t="s">
        <v>1204</v>
      </c>
      <c r="E6229" s="28" t="s">
        <v>29555</v>
      </c>
      <c r="F6229" s="28" t="s">
        <v>21</v>
      </c>
      <c r="G6229" s="28" t="s">
        <v>207</v>
      </c>
      <c r="H6229" s="28" t="s">
        <v>27631</v>
      </c>
      <c r="I6229" s="28" t="s">
        <v>31158</v>
      </c>
      <c r="J6229" s="28" t="s">
        <v>207</v>
      </c>
      <c r="K6229" s="28" t="s">
        <v>29066</v>
      </c>
      <c r="L6229" s="28" t="s">
        <v>27634</v>
      </c>
      <c r="M6229" s="28" t="s">
        <v>29557</v>
      </c>
      <c r="N6229" s="28" t="s">
        <v>27636</v>
      </c>
      <c r="O6229" s="28" t="s">
        <v>27637</v>
      </c>
      <c r="P6229" s="28" t="s">
        <v>29558</v>
      </c>
    </row>
    <row r="6230" spans="1:16" x14ac:dyDescent="0.25">
      <c r="A6230" s="28" t="s">
        <v>31159</v>
      </c>
      <c r="B6230" s="28" t="s">
        <v>31160</v>
      </c>
      <c r="C6230" s="28" t="s">
        <v>29063</v>
      </c>
      <c r="D6230" s="28" t="s">
        <v>1204</v>
      </c>
      <c r="E6230" s="28" t="s">
        <v>29561</v>
      </c>
      <c r="F6230" s="28" t="s">
        <v>21</v>
      </c>
      <c r="G6230" s="28" t="s">
        <v>207</v>
      </c>
      <c r="H6230" s="28" t="s">
        <v>27631</v>
      </c>
      <c r="I6230" s="28" t="s">
        <v>31161</v>
      </c>
      <c r="J6230" s="28" t="s">
        <v>207</v>
      </c>
      <c r="K6230" s="28" t="s">
        <v>29066</v>
      </c>
      <c r="L6230" s="28" t="s">
        <v>27634</v>
      </c>
      <c r="M6230" s="28" t="s">
        <v>29563</v>
      </c>
      <c r="N6230" s="28" t="s">
        <v>27636</v>
      </c>
      <c r="O6230" s="28" t="s">
        <v>27637</v>
      </c>
      <c r="P6230" s="28" t="s">
        <v>29564</v>
      </c>
    </row>
    <row r="6231" spans="1:16" x14ac:dyDescent="0.25">
      <c r="A6231" s="28" t="s">
        <v>31162</v>
      </c>
      <c r="B6231" s="28" t="s">
        <v>31163</v>
      </c>
      <c r="C6231" s="28" t="s">
        <v>29063</v>
      </c>
      <c r="D6231" s="28" t="s">
        <v>1204</v>
      </c>
      <c r="E6231" s="28" t="s">
        <v>29567</v>
      </c>
      <c r="F6231" s="28" t="s">
        <v>21</v>
      </c>
      <c r="G6231" s="28" t="s">
        <v>207</v>
      </c>
      <c r="H6231" s="28" t="s">
        <v>27631</v>
      </c>
      <c r="I6231" s="28" t="s">
        <v>31164</v>
      </c>
      <c r="J6231" s="28" t="s">
        <v>207</v>
      </c>
      <c r="K6231" s="28" t="s">
        <v>29066</v>
      </c>
      <c r="L6231" s="28" t="s">
        <v>27634</v>
      </c>
      <c r="M6231" s="28" t="s">
        <v>29569</v>
      </c>
      <c r="N6231" s="28" t="s">
        <v>27636</v>
      </c>
      <c r="O6231" s="28" t="s">
        <v>27637</v>
      </c>
      <c r="P6231" s="28" t="s">
        <v>29570</v>
      </c>
    </row>
    <row r="6232" spans="1:16" x14ac:dyDescent="0.25">
      <c r="A6232" s="28" t="s">
        <v>31165</v>
      </c>
      <c r="B6232" s="28" t="s">
        <v>31166</v>
      </c>
      <c r="C6232" s="28" t="s">
        <v>29063</v>
      </c>
      <c r="D6232" s="28" t="s">
        <v>1204</v>
      </c>
      <c r="E6232" s="28" t="s">
        <v>29573</v>
      </c>
      <c r="F6232" s="28" t="s">
        <v>21</v>
      </c>
      <c r="G6232" s="28" t="s">
        <v>207</v>
      </c>
      <c r="H6232" s="28" t="s">
        <v>27631</v>
      </c>
      <c r="I6232" s="28" t="s">
        <v>31167</v>
      </c>
      <c r="J6232" s="28" t="s">
        <v>207</v>
      </c>
      <c r="K6232" s="28" t="s">
        <v>29066</v>
      </c>
      <c r="L6232" s="28" t="s">
        <v>27634</v>
      </c>
      <c r="M6232" s="28" t="s">
        <v>29575</v>
      </c>
      <c r="N6232" s="28" t="s">
        <v>27636</v>
      </c>
      <c r="O6232" s="28" t="s">
        <v>27637</v>
      </c>
      <c r="P6232" s="28" t="s">
        <v>29576</v>
      </c>
    </row>
    <row r="6233" spans="1:16" x14ac:dyDescent="0.25">
      <c r="A6233" s="28" t="s">
        <v>31168</v>
      </c>
      <c r="B6233" s="28" t="s">
        <v>31169</v>
      </c>
      <c r="C6233" s="28" t="s">
        <v>29063</v>
      </c>
      <c r="D6233" s="28" t="s">
        <v>1204</v>
      </c>
      <c r="E6233" s="28" t="s">
        <v>29579</v>
      </c>
      <c r="F6233" s="28" t="s">
        <v>21</v>
      </c>
      <c r="G6233" s="28" t="s">
        <v>207</v>
      </c>
      <c r="H6233" s="28" t="s">
        <v>27631</v>
      </c>
      <c r="I6233" s="28" t="s">
        <v>31170</v>
      </c>
      <c r="J6233" s="28" t="s">
        <v>207</v>
      </c>
      <c r="K6233" s="28" t="s">
        <v>29066</v>
      </c>
      <c r="L6233" s="28" t="s">
        <v>27634</v>
      </c>
      <c r="M6233" s="28" t="s">
        <v>29581</v>
      </c>
      <c r="N6233" s="28" t="s">
        <v>27636</v>
      </c>
      <c r="O6233" s="28" t="s">
        <v>27637</v>
      </c>
      <c r="P6233" s="28" t="s">
        <v>29582</v>
      </c>
    </row>
    <row r="6234" spans="1:16" x14ac:dyDescent="0.25">
      <c r="A6234" s="28" t="s">
        <v>31171</v>
      </c>
      <c r="B6234" s="28" t="s">
        <v>31172</v>
      </c>
      <c r="C6234" s="28" t="s">
        <v>29063</v>
      </c>
      <c r="D6234" s="28" t="s">
        <v>1204</v>
      </c>
      <c r="E6234" s="28" t="s">
        <v>29585</v>
      </c>
      <c r="F6234" s="28" t="s">
        <v>21</v>
      </c>
      <c r="G6234" s="28" t="s">
        <v>207</v>
      </c>
      <c r="H6234" s="28" t="s">
        <v>27631</v>
      </c>
      <c r="I6234" s="28" t="s">
        <v>31173</v>
      </c>
      <c r="J6234" s="28" t="s">
        <v>207</v>
      </c>
      <c r="K6234" s="28" t="s">
        <v>29066</v>
      </c>
      <c r="L6234" s="28" t="s">
        <v>27634</v>
      </c>
      <c r="M6234" s="28" t="s">
        <v>29587</v>
      </c>
      <c r="N6234" s="28" t="s">
        <v>27636</v>
      </c>
      <c r="O6234" s="28" t="s">
        <v>27637</v>
      </c>
      <c r="P6234" s="28" t="s">
        <v>29588</v>
      </c>
    </row>
    <row r="6235" spans="1:16" x14ac:dyDescent="0.25">
      <c r="A6235" s="28" t="s">
        <v>31174</v>
      </c>
      <c r="B6235" s="28" t="s">
        <v>31175</v>
      </c>
      <c r="C6235" s="28" t="s">
        <v>29063</v>
      </c>
      <c r="D6235" s="28" t="s">
        <v>1204</v>
      </c>
      <c r="E6235" s="28" t="s">
        <v>12870</v>
      </c>
      <c r="F6235" s="28" t="s">
        <v>21</v>
      </c>
      <c r="G6235" s="28" t="s">
        <v>207</v>
      </c>
      <c r="H6235" s="28" t="s">
        <v>27631</v>
      </c>
      <c r="I6235" s="28" t="s">
        <v>31176</v>
      </c>
      <c r="J6235" s="28" t="s">
        <v>207</v>
      </c>
      <c r="K6235" s="28" t="s">
        <v>29066</v>
      </c>
      <c r="L6235" s="28" t="s">
        <v>27634</v>
      </c>
      <c r="M6235" s="28" t="s">
        <v>29592</v>
      </c>
      <c r="N6235" s="28" t="s">
        <v>27636</v>
      </c>
      <c r="O6235" s="28" t="s">
        <v>27637</v>
      </c>
      <c r="P6235" s="28" t="s">
        <v>29593</v>
      </c>
    </row>
    <row r="6236" spans="1:16" x14ac:dyDescent="0.25">
      <c r="A6236" s="28" t="s">
        <v>31177</v>
      </c>
      <c r="B6236" s="28" t="s">
        <v>31178</v>
      </c>
      <c r="C6236" s="28" t="s">
        <v>29063</v>
      </c>
      <c r="D6236" s="28" t="s">
        <v>1204</v>
      </c>
      <c r="E6236" s="28" t="s">
        <v>12876</v>
      </c>
      <c r="F6236" s="28" t="s">
        <v>21</v>
      </c>
      <c r="G6236" s="28" t="s">
        <v>207</v>
      </c>
      <c r="H6236" s="28" t="s">
        <v>27631</v>
      </c>
      <c r="I6236" s="28" t="s">
        <v>31179</v>
      </c>
      <c r="J6236" s="28" t="s">
        <v>207</v>
      </c>
      <c r="K6236" s="28" t="s">
        <v>29066</v>
      </c>
      <c r="L6236" s="28" t="s">
        <v>27634</v>
      </c>
      <c r="M6236" s="28" t="s">
        <v>29597</v>
      </c>
      <c r="N6236" s="28" t="s">
        <v>27636</v>
      </c>
      <c r="O6236" s="28" t="s">
        <v>27637</v>
      </c>
      <c r="P6236" s="28" t="s">
        <v>29598</v>
      </c>
    </row>
    <row r="6237" spans="1:16" x14ac:dyDescent="0.25">
      <c r="A6237" s="28" t="s">
        <v>31180</v>
      </c>
      <c r="B6237" s="28" t="s">
        <v>31181</v>
      </c>
      <c r="C6237" s="28" t="s">
        <v>29063</v>
      </c>
      <c r="D6237" s="28" t="s">
        <v>1204</v>
      </c>
      <c r="E6237" s="28" t="s">
        <v>29601</v>
      </c>
      <c r="F6237" s="28" t="s">
        <v>21</v>
      </c>
      <c r="G6237" s="28" t="s">
        <v>207</v>
      </c>
      <c r="H6237" s="28" t="s">
        <v>27631</v>
      </c>
      <c r="I6237" s="28" t="s">
        <v>31182</v>
      </c>
      <c r="J6237" s="28" t="s">
        <v>207</v>
      </c>
      <c r="K6237" s="28" t="s">
        <v>29066</v>
      </c>
      <c r="L6237" s="28" t="s">
        <v>27634</v>
      </c>
      <c r="M6237" s="28" t="s">
        <v>29603</v>
      </c>
      <c r="N6237" s="28" t="s">
        <v>27636</v>
      </c>
      <c r="O6237" s="28" t="s">
        <v>27637</v>
      </c>
      <c r="P6237" s="28" t="s">
        <v>29604</v>
      </c>
    </row>
    <row r="6238" spans="1:16" x14ac:dyDescent="0.25">
      <c r="A6238" s="28" t="s">
        <v>31183</v>
      </c>
      <c r="B6238" s="28" t="s">
        <v>31184</v>
      </c>
      <c r="C6238" s="28" t="s">
        <v>29063</v>
      </c>
      <c r="D6238" s="28" t="s">
        <v>1204</v>
      </c>
      <c r="E6238" s="28" t="s">
        <v>29607</v>
      </c>
      <c r="F6238" s="28" t="s">
        <v>21</v>
      </c>
      <c r="G6238" s="28" t="s">
        <v>207</v>
      </c>
      <c r="H6238" s="28" t="s">
        <v>27631</v>
      </c>
      <c r="I6238" s="28" t="s">
        <v>31185</v>
      </c>
      <c r="J6238" s="28" t="s">
        <v>207</v>
      </c>
      <c r="K6238" s="28" t="s">
        <v>29066</v>
      </c>
      <c r="L6238" s="28" t="s">
        <v>27634</v>
      </c>
      <c r="M6238" s="28" t="s">
        <v>29609</v>
      </c>
      <c r="N6238" s="28" t="s">
        <v>27636</v>
      </c>
      <c r="O6238" s="28" t="s">
        <v>27637</v>
      </c>
      <c r="P6238" s="28" t="s">
        <v>29610</v>
      </c>
    </row>
    <row r="6239" spans="1:16" x14ac:dyDescent="0.25">
      <c r="A6239" s="28" t="s">
        <v>31186</v>
      </c>
      <c r="B6239" s="28" t="s">
        <v>31187</v>
      </c>
      <c r="C6239" s="28" t="s">
        <v>29063</v>
      </c>
      <c r="D6239" s="28" t="s">
        <v>1204</v>
      </c>
      <c r="E6239" s="28" t="s">
        <v>29613</v>
      </c>
      <c r="F6239" s="28" t="s">
        <v>21</v>
      </c>
      <c r="G6239" s="28" t="s">
        <v>207</v>
      </c>
      <c r="H6239" s="28" t="s">
        <v>27631</v>
      </c>
      <c r="I6239" s="28" t="s">
        <v>31188</v>
      </c>
      <c r="J6239" s="28" t="s">
        <v>207</v>
      </c>
      <c r="K6239" s="28" t="s">
        <v>29066</v>
      </c>
      <c r="L6239" s="28" t="s">
        <v>27634</v>
      </c>
      <c r="M6239" s="28" t="s">
        <v>29615</v>
      </c>
      <c r="N6239" s="28" t="s">
        <v>27636</v>
      </c>
      <c r="O6239" s="28" t="s">
        <v>27637</v>
      </c>
      <c r="P6239" s="28" t="s">
        <v>29616</v>
      </c>
    </row>
    <row r="6240" spans="1:16" x14ac:dyDescent="0.25">
      <c r="A6240" s="28" t="s">
        <v>31189</v>
      </c>
      <c r="B6240" s="28" t="s">
        <v>31190</v>
      </c>
      <c r="C6240" s="28" t="s">
        <v>29063</v>
      </c>
      <c r="D6240" s="28" t="s">
        <v>1204</v>
      </c>
      <c r="E6240" s="28" t="s">
        <v>29619</v>
      </c>
      <c r="F6240" s="28" t="s">
        <v>21</v>
      </c>
      <c r="G6240" s="28" t="s">
        <v>207</v>
      </c>
      <c r="H6240" s="28" t="s">
        <v>27631</v>
      </c>
      <c r="I6240" s="28" t="s">
        <v>31191</v>
      </c>
      <c r="J6240" s="28" t="s">
        <v>207</v>
      </c>
      <c r="K6240" s="28" t="s">
        <v>29066</v>
      </c>
      <c r="L6240" s="28" t="s">
        <v>27634</v>
      </c>
      <c r="M6240" s="28" t="s">
        <v>29621</v>
      </c>
      <c r="N6240" s="28" t="s">
        <v>27636</v>
      </c>
      <c r="O6240" s="28" t="s">
        <v>27637</v>
      </c>
      <c r="P6240" s="28" t="s">
        <v>29622</v>
      </c>
    </row>
    <row r="6241" spans="1:16" x14ac:dyDescent="0.25">
      <c r="A6241" s="28" t="s">
        <v>31192</v>
      </c>
      <c r="B6241" s="28" t="s">
        <v>31193</v>
      </c>
      <c r="C6241" s="28" t="s">
        <v>29063</v>
      </c>
      <c r="D6241" s="28" t="s">
        <v>1204</v>
      </c>
      <c r="E6241" s="28" t="s">
        <v>29625</v>
      </c>
      <c r="F6241" s="28" t="s">
        <v>21</v>
      </c>
      <c r="G6241" s="28" t="s">
        <v>207</v>
      </c>
      <c r="H6241" s="28" t="s">
        <v>27631</v>
      </c>
      <c r="I6241" s="28" t="s">
        <v>31194</v>
      </c>
      <c r="J6241" s="28" t="s">
        <v>207</v>
      </c>
      <c r="K6241" s="28" t="s">
        <v>29066</v>
      </c>
      <c r="L6241" s="28" t="s">
        <v>27634</v>
      </c>
      <c r="M6241" s="28" t="s">
        <v>29627</v>
      </c>
      <c r="N6241" s="28" t="s">
        <v>27636</v>
      </c>
      <c r="O6241" s="28" t="s">
        <v>27637</v>
      </c>
      <c r="P6241" s="28" t="s">
        <v>29628</v>
      </c>
    </row>
    <row r="6242" spans="1:16" x14ac:dyDescent="0.25">
      <c r="A6242" s="28" t="s">
        <v>31195</v>
      </c>
      <c r="B6242" s="28" t="s">
        <v>31196</v>
      </c>
      <c r="C6242" s="28" t="s">
        <v>29063</v>
      </c>
      <c r="D6242" s="28" t="s">
        <v>1204</v>
      </c>
      <c r="E6242" s="28" t="s">
        <v>29631</v>
      </c>
      <c r="F6242" s="28" t="s">
        <v>21</v>
      </c>
      <c r="G6242" s="28" t="s">
        <v>207</v>
      </c>
      <c r="H6242" s="28" t="s">
        <v>27631</v>
      </c>
      <c r="I6242" s="28" t="s">
        <v>31197</v>
      </c>
      <c r="J6242" s="28" t="s">
        <v>207</v>
      </c>
      <c r="K6242" s="28" t="s">
        <v>29066</v>
      </c>
      <c r="L6242" s="28" t="s">
        <v>27634</v>
      </c>
      <c r="M6242" s="28" t="s">
        <v>29633</v>
      </c>
      <c r="N6242" s="28" t="s">
        <v>27636</v>
      </c>
      <c r="O6242" s="28" t="s">
        <v>27637</v>
      </c>
      <c r="P6242" s="28" t="s">
        <v>29634</v>
      </c>
    </row>
    <row r="6243" spans="1:16" x14ac:dyDescent="0.25">
      <c r="A6243" s="28" t="s">
        <v>31198</v>
      </c>
      <c r="B6243" s="28" t="s">
        <v>31199</v>
      </c>
      <c r="C6243" s="28" t="s">
        <v>29063</v>
      </c>
      <c r="D6243" s="28" t="s">
        <v>1204</v>
      </c>
      <c r="E6243" s="28" t="s">
        <v>29637</v>
      </c>
      <c r="F6243" s="28" t="s">
        <v>21</v>
      </c>
      <c r="G6243" s="28" t="s">
        <v>207</v>
      </c>
      <c r="H6243" s="28" t="s">
        <v>27631</v>
      </c>
      <c r="I6243" s="28" t="s">
        <v>31200</v>
      </c>
      <c r="J6243" s="28" t="s">
        <v>207</v>
      </c>
      <c r="K6243" s="28" t="s">
        <v>29066</v>
      </c>
      <c r="L6243" s="28" t="s">
        <v>27634</v>
      </c>
      <c r="M6243" s="28" t="s">
        <v>29639</v>
      </c>
      <c r="N6243" s="28" t="s">
        <v>27636</v>
      </c>
      <c r="O6243" s="28" t="s">
        <v>27637</v>
      </c>
      <c r="P6243" s="28" t="s">
        <v>29640</v>
      </c>
    </row>
    <row r="6244" spans="1:16" x14ac:dyDescent="0.25">
      <c r="A6244" s="28" t="s">
        <v>31201</v>
      </c>
      <c r="B6244" s="28" t="s">
        <v>31202</v>
      </c>
      <c r="C6244" s="28" t="s">
        <v>29063</v>
      </c>
      <c r="D6244" s="28" t="s">
        <v>1204</v>
      </c>
      <c r="E6244" s="28" t="s">
        <v>12882</v>
      </c>
      <c r="F6244" s="28" t="s">
        <v>21</v>
      </c>
      <c r="G6244" s="28" t="s">
        <v>207</v>
      </c>
      <c r="H6244" s="28" t="s">
        <v>27631</v>
      </c>
      <c r="I6244" s="28" t="s">
        <v>31203</v>
      </c>
      <c r="J6244" s="28" t="s">
        <v>207</v>
      </c>
      <c r="K6244" s="28" t="s">
        <v>29066</v>
      </c>
      <c r="L6244" s="28" t="s">
        <v>27634</v>
      </c>
      <c r="M6244" s="28" t="s">
        <v>29644</v>
      </c>
      <c r="N6244" s="28" t="s">
        <v>27636</v>
      </c>
      <c r="O6244" s="28" t="s">
        <v>27637</v>
      </c>
      <c r="P6244" s="28" t="s">
        <v>29645</v>
      </c>
    </row>
    <row r="6245" spans="1:16" x14ac:dyDescent="0.25">
      <c r="A6245" s="28" t="s">
        <v>31204</v>
      </c>
      <c r="B6245" s="28" t="s">
        <v>31205</v>
      </c>
      <c r="C6245" s="28" t="s">
        <v>29063</v>
      </c>
      <c r="D6245" s="28" t="s">
        <v>1204</v>
      </c>
      <c r="E6245" s="28" t="s">
        <v>29648</v>
      </c>
      <c r="F6245" s="28" t="s">
        <v>21</v>
      </c>
      <c r="G6245" s="28" t="s">
        <v>207</v>
      </c>
      <c r="H6245" s="28" t="s">
        <v>27631</v>
      </c>
      <c r="I6245" s="28" t="s">
        <v>31206</v>
      </c>
      <c r="J6245" s="28" t="s">
        <v>207</v>
      </c>
      <c r="K6245" s="28" t="s">
        <v>29066</v>
      </c>
      <c r="L6245" s="28" t="s">
        <v>27634</v>
      </c>
      <c r="M6245" s="28" t="s">
        <v>29650</v>
      </c>
      <c r="N6245" s="28" t="s">
        <v>27636</v>
      </c>
      <c r="O6245" s="28" t="s">
        <v>27637</v>
      </c>
      <c r="P6245" s="28" t="s">
        <v>29651</v>
      </c>
    </row>
    <row r="6246" spans="1:16" x14ac:dyDescent="0.25">
      <c r="A6246" s="28" t="s">
        <v>31207</v>
      </c>
      <c r="B6246" s="28" t="s">
        <v>31208</v>
      </c>
      <c r="C6246" s="28" t="s">
        <v>29063</v>
      </c>
      <c r="D6246" s="28" t="s">
        <v>1204</v>
      </c>
      <c r="E6246" s="28" t="s">
        <v>29654</v>
      </c>
      <c r="F6246" s="28" t="s">
        <v>21</v>
      </c>
      <c r="G6246" s="28" t="s">
        <v>207</v>
      </c>
      <c r="H6246" s="28" t="s">
        <v>27631</v>
      </c>
      <c r="I6246" s="28" t="s">
        <v>31209</v>
      </c>
      <c r="J6246" s="28" t="s">
        <v>207</v>
      </c>
      <c r="K6246" s="28" t="s">
        <v>29066</v>
      </c>
      <c r="L6246" s="28" t="s">
        <v>27634</v>
      </c>
      <c r="M6246" s="28" t="s">
        <v>29656</v>
      </c>
      <c r="N6246" s="28" t="s">
        <v>27636</v>
      </c>
      <c r="O6246" s="28" t="s">
        <v>27637</v>
      </c>
      <c r="P6246" s="28" t="s">
        <v>29657</v>
      </c>
    </row>
    <row r="6247" spans="1:16" x14ac:dyDescent="0.25">
      <c r="A6247" s="28" t="s">
        <v>31210</v>
      </c>
      <c r="B6247" s="28" t="s">
        <v>31211</v>
      </c>
      <c r="C6247" s="28" t="s">
        <v>29063</v>
      </c>
      <c r="D6247" s="28" t="s">
        <v>1204</v>
      </c>
      <c r="E6247" s="28" t="s">
        <v>29660</v>
      </c>
      <c r="F6247" s="28" t="s">
        <v>21</v>
      </c>
      <c r="G6247" s="28" t="s">
        <v>207</v>
      </c>
      <c r="H6247" s="28" t="s">
        <v>27631</v>
      </c>
      <c r="I6247" s="28" t="s">
        <v>31212</v>
      </c>
      <c r="J6247" s="28" t="s">
        <v>207</v>
      </c>
      <c r="K6247" s="28" t="s">
        <v>29066</v>
      </c>
      <c r="L6247" s="28" t="s">
        <v>27634</v>
      </c>
      <c r="M6247" s="28" t="s">
        <v>29662</v>
      </c>
      <c r="N6247" s="28" t="s">
        <v>27636</v>
      </c>
      <c r="O6247" s="28" t="s">
        <v>27637</v>
      </c>
      <c r="P6247" s="28" t="s">
        <v>29663</v>
      </c>
    </row>
    <row r="6248" spans="1:16" x14ac:dyDescent="0.25">
      <c r="A6248" s="28" t="s">
        <v>31213</v>
      </c>
      <c r="B6248" s="28" t="s">
        <v>31214</v>
      </c>
      <c r="C6248" s="28" t="s">
        <v>29063</v>
      </c>
      <c r="D6248" s="28" t="s">
        <v>1204</v>
      </c>
      <c r="E6248" s="28" t="s">
        <v>29666</v>
      </c>
      <c r="F6248" s="28" t="s">
        <v>21</v>
      </c>
      <c r="G6248" s="28" t="s">
        <v>207</v>
      </c>
      <c r="H6248" s="28" t="s">
        <v>27631</v>
      </c>
      <c r="I6248" s="28" t="s">
        <v>31215</v>
      </c>
      <c r="J6248" s="28" t="s">
        <v>207</v>
      </c>
      <c r="K6248" s="28" t="s">
        <v>29066</v>
      </c>
      <c r="L6248" s="28" t="s">
        <v>27634</v>
      </c>
      <c r="M6248" s="28" t="s">
        <v>29668</v>
      </c>
      <c r="N6248" s="28" t="s">
        <v>27636</v>
      </c>
      <c r="O6248" s="28" t="s">
        <v>27637</v>
      </c>
      <c r="P6248" s="28" t="s">
        <v>29669</v>
      </c>
    </row>
    <row r="6249" spans="1:16" x14ac:dyDescent="0.25">
      <c r="A6249" s="28" t="s">
        <v>31216</v>
      </c>
      <c r="B6249" s="28" t="s">
        <v>31217</v>
      </c>
      <c r="C6249" s="28" t="s">
        <v>29063</v>
      </c>
      <c r="D6249" s="28" t="s">
        <v>1204</v>
      </c>
      <c r="E6249" s="28" t="s">
        <v>29672</v>
      </c>
      <c r="F6249" s="28" t="s">
        <v>21</v>
      </c>
      <c r="G6249" s="28" t="s">
        <v>207</v>
      </c>
      <c r="H6249" s="28" t="s">
        <v>27631</v>
      </c>
      <c r="I6249" s="28" t="s">
        <v>31218</v>
      </c>
      <c r="J6249" s="28" t="s">
        <v>207</v>
      </c>
      <c r="K6249" s="28" t="s">
        <v>29066</v>
      </c>
      <c r="L6249" s="28" t="s">
        <v>27634</v>
      </c>
      <c r="M6249" s="28" t="s">
        <v>29674</v>
      </c>
      <c r="N6249" s="28" t="s">
        <v>27636</v>
      </c>
      <c r="O6249" s="28" t="s">
        <v>27637</v>
      </c>
      <c r="P6249" s="28" t="s">
        <v>29675</v>
      </c>
    </row>
    <row r="6250" spans="1:16" x14ac:dyDescent="0.25">
      <c r="A6250" s="28" t="s">
        <v>31219</v>
      </c>
      <c r="B6250" s="28" t="s">
        <v>31220</v>
      </c>
      <c r="C6250" s="28" t="s">
        <v>29063</v>
      </c>
      <c r="D6250" s="28" t="s">
        <v>1204</v>
      </c>
      <c r="E6250" s="28" t="s">
        <v>29678</v>
      </c>
      <c r="F6250" s="28" t="s">
        <v>21</v>
      </c>
      <c r="G6250" s="28" t="s">
        <v>207</v>
      </c>
      <c r="H6250" s="28" t="s">
        <v>27631</v>
      </c>
      <c r="I6250" s="28" t="s">
        <v>31221</v>
      </c>
      <c r="J6250" s="28" t="s">
        <v>207</v>
      </c>
      <c r="K6250" s="28" t="s">
        <v>29066</v>
      </c>
      <c r="L6250" s="28" t="s">
        <v>27634</v>
      </c>
      <c r="M6250" s="28" t="s">
        <v>29680</v>
      </c>
      <c r="N6250" s="28" t="s">
        <v>27636</v>
      </c>
      <c r="O6250" s="28" t="s">
        <v>27637</v>
      </c>
      <c r="P6250" s="28" t="s">
        <v>29681</v>
      </c>
    </row>
    <row r="6251" spans="1:16" x14ac:dyDescent="0.25">
      <c r="A6251" s="28" t="s">
        <v>31222</v>
      </c>
      <c r="B6251" s="28" t="s">
        <v>31223</v>
      </c>
      <c r="C6251" s="28" t="s">
        <v>29063</v>
      </c>
      <c r="D6251" s="28" t="s">
        <v>1204</v>
      </c>
      <c r="E6251" s="28" t="s">
        <v>12888</v>
      </c>
      <c r="F6251" s="28" t="s">
        <v>21</v>
      </c>
      <c r="G6251" s="28" t="s">
        <v>207</v>
      </c>
      <c r="H6251" s="28" t="s">
        <v>27631</v>
      </c>
      <c r="I6251" s="28" t="s">
        <v>31224</v>
      </c>
      <c r="J6251" s="28" t="s">
        <v>207</v>
      </c>
      <c r="K6251" s="28" t="s">
        <v>29066</v>
      </c>
      <c r="L6251" s="28" t="s">
        <v>27634</v>
      </c>
      <c r="M6251" s="28" t="s">
        <v>29685</v>
      </c>
      <c r="N6251" s="28" t="s">
        <v>27636</v>
      </c>
      <c r="O6251" s="28" t="s">
        <v>27637</v>
      </c>
      <c r="P6251" s="28" t="s">
        <v>29686</v>
      </c>
    </row>
    <row r="6252" spans="1:16" x14ac:dyDescent="0.25">
      <c r="A6252" s="28" t="s">
        <v>31225</v>
      </c>
      <c r="B6252" s="28" t="s">
        <v>31226</v>
      </c>
      <c r="C6252" s="28" t="s">
        <v>29063</v>
      </c>
      <c r="D6252" s="28" t="s">
        <v>1204</v>
      </c>
      <c r="E6252" s="28" t="s">
        <v>12894</v>
      </c>
      <c r="F6252" s="28" t="s">
        <v>21</v>
      </c>
      <c r="G6252" s="28" t="s">
        <v>207</v>
      </c>
      <c r="H6252" s="28" t="s">
        <v>27631</v>
      </c>
      <c r="I6252" s="28" t="s">
        <v>31227</v>
      </c>
      <c r="J6252" s="28" t="s">
        <v>207</v>
      </c>
      <c r="K6252" s="28" t="s">
        <v>29066</v>
      </c>
      <c r="L6252" s="28" t="s">
        <v>27634</v>
      </c>
      <c r="M6252" s="28" t="s">
        <v>29690</v>
      </c>
      <c r="N6252" s="28" t="s">
        <v>27636</v>
      </c>
      <c r="O6252" s="28" t="s">
        <v>27637</v>
      </c>
      <c r="P6252" s="28" t="s">
        <v>29691</v>
      </c>
    </row>
    <row r="6253" spans="1:16" x14ac:dyDescent="0.25">
      <c r="A6253" s="28" t="s">
        <v>31228</v>
      </c>
      <c r="B6253" s="28" t="s">
        <v>31229</v>
      </c>
      <c r="C6253" s="28" t="s">
        <v>29063</v>
      </c>
      <c r="D6253" s="28" t="s">
        <v>1204</v>
      </c>
      <c r="E6253" s="28" t="s">
        <v>29694</v>
      </c>
      <c r="F6253" s="28" t="s">
        <v>21</v>
      </c>
      <c r="G6253" s="28" t="s">
        <v>207</v>
      </c>
      <c r="H6253" s="28" t="s">
        <v>27631</v>
      </c>
      <c r="I6253" s="28" t="s">
        <v>31230</v>
      </c>
      <c r="J6253" s="28" t="s">
        <v>207</v>
      </c>
      <c r="K6253" s="28" t="s">
        <v>29066</v>
      </c>
      <c r="L6253" s="28" t="s">
        <v>27634</v>
      </c>
      <c r="M6253" s="28" t="s">
        <v>29696</v>
      </c>
      <c r="N6253" s="28" t="s">
        <v>27636</v>
      </c>
      <c r="O6253" s="28" t="s">
        <v>27637</v>
      </c>
      <c r="P6253" s="28" t="s">
        <v>29697</v>
      </c>
    </row>
    <row r="6254" spans="1:16" x14ac:dyDescent="0.25">
      <c r="A6254" s="28" t="s">
        <v>31231</v>
      </c>
      <c r="B6254" s="28" t="s">
        <v>31232</v>
      </c>
      <c r="C6254" s="28" t="s">
        <v>29063</v>
      </c>
      <c r="D6254" s="28" t="s">
        <v>1204</v>
      </c>
      <c r="E6254" s="28" t="s">
        <v>29700</v>
      </c>
      <c r="F6254" s="28" t="s">
        <v>21</v>
      </c>
      <c r="G6254" s="28" t="s">
        <v>207</v>
      </c>
      <c r="H6254" s="28" t="s">
        <v>27631</v>
      </c>
      <c r="I6254" s="28" t="s">
        <v>31233</v>
      </c>
      <c r="J6254" s="28" t="s">
        <v>207</v>
      </c>
      <c r="K6254" s="28" t="s">
        <v>29066</v>
      </c>
      <c r="L6254" s="28" t="s">
        <v>27634</v>
      </c>
      <c r="M6254" s="28" t="s">
        <v>29702</v>
      </c>
      <c r="N6254" s="28" t="s">
        <v>27636</v>
      </c>
      <c r="O6254" s="28" t="s">
        <v>27637</v>
      </c>
      <c r="P6254" s="28" t="s">
        <v>29703</v>
      </c>
    </row>
    <row r="6255" spans="1:16" x14ac:dyDescent="0.25">
      <c r="A6255" s="28" t="s">
        <v>31234</v>
      </c>
      <c r="B6255" s="28" t="s">
        <v>31235</v>
      </c>
      <c r="C6255" s="28" t="s">
        <v>29063</v>
      </c>
      <c r="D6255" s="28" t="s">
        <v>1204</v>
      </c>
      <c r="E6255" s="28" t="s">
        <v>29706</v>
      </c>
      <c r="F6255" s="28" t="s">
        <v>21</v>
      </c>
      <c r="G6255" s="28" t="s">
        <v>207</v>
      </c>
      <c r="H6255" s="28" t="s">
        <v>27631</v>
      </c>
      <c r="I6255" s="28" t="s">
        <v>31236</v>
      </c>
      <c r="J6255" s="28" t="s">
        <v>207</v>
      </c>
      <c r="K6255" s="28" t="s">
        <v>29066</v>
      </c>
      <c r="L6255" s="28" t="s">
        <v>27634</v>
      </c>
      <c r="M6255" s="28" t="s">
        <v>29708</v>
      </c>
      <c r="N6255" s="28" t="s">
        <v>27636</v>
      </c>
      <c r="O6255" s="28" t="s">
        <v>27637</v>
      </c>
      <c r="P6255" s="28" t="s">
        <v>29709</v>
      </c>
    </row>
    <row r="6256" spans="1:16" x14ac:dyDescent="0.25">
      <c r="A6256" s="28" t="s">
        <v>31237</v>
      </c>
      <c r="B6256" s="28" t="s">
        <v>31238</v>
      </c>
      <c r="C6256" s="28" t="s">
        <v>29063</v>
      </c>
      <c r="D6256" s="28" t="s">
        <v>1204</v>
      </c>
      <c r="E6256" s="28" t="s">
        <v>29712</v>
      </c>
      <c r="F6256" s="28" t="s">
        <v>21</v>
      </c>
      <c r="G6256" s="28" t="s">
        <v>207</v>
      </c>
      <c r="H6256" s="28" t="s">
        <v>27631</v>
      </c>
      <c r="I6256" s="28" t="s">
        <v>31239</v>
      </c>
      <c r="J6256" s="28" t="s">
        <v>207</v>
      </c>
      <c r="K6256" s="28" t="s">
        <v>29066</v>
      </c>
      <c r="L6256" s="28" t="s">
        <v>27634</v>
      </c>
      <c r="M6256" s="28" t="s">
        <v>29714</v>
      </c>
      <c r="N6256" s="28" t="s">
        <v>27636</v>
      </c>
      <c r="O6256" s="28" t="s">
        <v>27637</v>
      </c>
      <c r="P6256" s="28" t="s">
        <v>29715</v>
      </c>
    </row>
    <row r="6257" spans="1:16" x14ac:dyDescent="0.25">
      <c r="A6257" s="28" t="s">
        <v>31240</v>
      </c>
      <c r="B6257" s="28" t="s">
        <v>31241</v>
      </c>
      <c r="C6257" s="28" t="s">
        <v>29063</v>
      </c>
      <c r="D6257" s="28" t="s">
        <v>1204</v>
      </c>
      <c r="E6257" s="28" t="s">
        <v>29718</v>
      </c>
      <c r="F6257" s="28" t="s">
        <v>21</v>
      </c>
      <c r="G6257" s="28" t="s">
        <v>207</v>
      </c>
      <c r="H6257" s="28" t="s">
        <v>27631</v>
      </c>
      <c r="I6257" s="28" t="s">
        <v>31242</v>
      </c>
      <c r="J6257" s="28" t="s">
        <v>207</v>
      </c>
      <c r="K6257" s="28" t="s">
        <v>29066</v>
      </c>
      <c r="L6257" s="28" t="s">
        <v>27634</v>
      </c>
      <c r="M6257" s="28" t="s">
        <v>29720</v>
      </c>
      <c r="N6257" s="28" t="s">
        <v>27636</v>
      </c>
      <c r="O6257" s="28" t="s">
        <v>27637</v>
      </c>
      <c r="P6257" s="28" t="s">
        <v>29721</v>
      </c>
    </row>
    <row r="6258" spans="1:16" x14ac:dyDescent="0.25">
      <c r="A6258" s="28" t="s">
        <v>31243</v>
      </c>
      <c r="B6258" s="28" t="s">
        <v>31244</v>
      </c>
      <c r="C6258" s="28" t="s">
        <v>29063</v>
      </c>
      <c r="D6258" s="28" t="s">
        <v>1204</v>
      </c>
      <c r="E6258" s="28" t="s">
        <v>29724</v>
      </c>
      <c r="F6258" s="28" t="s">
        <v>21</v>
      </c>
      <c r="G6258" s="28" t="s">
        <v>207</v>
      </c>
      <c r="H6258" s="28" t="s">
        <v>27631</v>
      </c>
      <c r="I6258" s="28" t="s">
        <v>31245</v>
      </c>
      <c r="J6258" s="28" t="s">
        <v>207</v>
      </c>
      <c r="K6258" s="28" t="s">
        <v>29066</v>
      </c>
      <c r="L6258" s="28" t="s">
        <v>27634</v>
      </c>
      <c r="M6258" s="28" t="s">
        <v>29726</v>
      </c>
      <c r="N6258" s="28" t="s">
        <v>27636</v>
      </c>
      <c r="O6258" s="28" t="s">
        <v>27637</v>
      </c>
      <c r="P6258" s="28" t="s">
        <v>29727</v>
      </c>
    </row>
    <row r="6259" spans="1:16" x14ac:dyDescent="0.25">
      <c r="A6259" s="28" t="s">
        <v>31246</v>
      </c>
      <c r="B6259" s="28" t="s">
        <v>31247</v>
      </c>
      <c r="C6259" s="28" t="s">
        <v>29063</v>
      </c>
      <c r="D6259" s="28" t="s">
        <v>1204</v>
      </c>
      <c r="E6259" s="28" t="s">
        <v>29730</v>
      </c>
      <c r="F6259" s="28" t="s">
        <v>21</v>
      </c>
      <c r="G6259" s="28" t="s">
        <v>207</v>
      </c>
      <c r="H6259" s="28" t="s">
        <v>27631</v>
      </c>
      <c r="I6259" s="28" t="s">
        <v>31248</v>
      </c>
      <c r="J6259" s="28" t="s">
        <v>207</v>
      </c>
      <c r="K6259" s="28" t="s">
        <v>29066</v>
      </c>
      <c r="L6259" s="28" t="s">
        <v>27634</v>
      </c>
      <c r="M6259" s="28" t="s">
        <v>29732</v>
      </c>
      <c r="N6259" s="28" t="s">
        <v>27636</v>
      </c>
      <c r="O6259" s="28" t="s">
        <v>27637</v>
      </c>
      <c r="P6259" s="28" t="s">
        <v>29733</v>
      </c>
    </row>
    <row r="6260" spans="1:16" x14ac:dyDescent="0.25">
      <c r="A6260" s="28" t="s">
        <v>31249</v>
      </c>
      <c r="B6260" s="28" t="s">
        <v>31250</v>
      </c>
      <c r="C6260" s="28" t="s">
        <v>29063</v>
      </c>
      <c r="D6260" s="28" t="s">
        <v>1204</v>
      </c>
      <c r="E6260" s="28" t="s">
        <v>29736</v>
      </c>
      <c r="F6260" s="28" t="s">
        <v>21</v>
      </c>
      <c r="G6260" s="28" t="s">
        <v>207</v>
      </c>
      <c r="H6260" s="28" t="s">
        <v>27631</v>
      </c>
      <c r="I6260" s="28" t="s">
        <v>31251</v>
      </c>
      <c r="J6260" s="28" t="s">
        <v>207</v>
      </c>
      <c r="K6260" s="28" t="s">
        <v>29066</v>
      </c>
      <c r="L6260" s="28" t="s">
        <v>27634</v>
      </c>
      <c r="M6260" s="28" t="s">
        <v>29738</v>
      </c>
      <c r="N6260" s="28" t="s">
        <v>27636</v>
      </c>
      <c r="O6260" s="28" t="s">
        <v>27637</v>
      </c>
      <c r="P6260" s="28" t="s">
        <v>29739</v>
      </c>
    </row>
    <row r="6261" spans="1:16" x14ac:dyDescent="0.25">
      <c r="A6261" s="28" t="s">
        <v>31252</v>
      </c>
      <c r="B6261" s="28" t="s">
        <v>31253</v>
      </c>
      <c r="C6261" s="28" t="s">
        <v>29063</v>
      </c>
      <c r="D6261" s="28" t="s">
        <v>1204</v>
      </c>
      <c r="E6261" s="28" t="s">
        <v>29742</v>
      </c>
      <c r="F6261" s="28" t="s">
        <v>21</v>
      </c>
      <c r="G6261" s="28" t="s">
        <v>207</v>
      </c>
      <c r="H6261" s="28" t="s">
        <v>27631</v>
      </c>
      <c r="I6261" s="28" t="s">
        <v>31254</v>
      </c>
      <c r="J6261" s="28" t="s">
        <v>207</v>
      </c>
      <c r="K6261" s="28" t="s">
        <v>29066</v>
      </c>
      <c r="L6261" s="28" t="s">
        <v>27634</v>
      </c>
      <c r="M6261" s="28" t="s">
        <v>29744</v>
      </c>
      <c r="N6261" s="28" t="s">
        <v>27636</v>
      </c>
      <c r="O6261" s="28" t="s">
        <v>27637</v>
      </c>
      <c r="P6261" s="28" t="s">
        <v>29745</v>
      </c>
    </row>
    <row r="6262" spans="1:16" x14ac:dyDescent="0.25">
      <c r="A6262" s="28" t="s">
        <v>31255</v>
      </c>
      <c r="B6262" s="28" t="s">
        <v>31256</v>
      </c>
      <c r="C6262" s="28" t="s">
        <v>29063</v>
      </c>
      <c r="D6262" s="28" t="s">
        <v>1204</v>
      </c>
      <c r="E6262" s="28" t="s">
        <v>29748</v>
      </c>
      <c r="F6262" s="28" t="s">
        <v>21</v>
      </c>
      <c r="G6262" s="28" t="s">
        <v>207</v>
      </c>
      <c r="H6262" s="28" t="s">
        <v>27631</v>
      </c>
      <c r="I6262" s="28" t="s">
        <v>31257</v>
      </c>
      <c r="J6262" s="28" t="s">
        <v>207</v>
      </c>
      <c r="K6262" s="28" t="s">
        <v>29066</v>
      </c>
      <c r="L6262" s="28" t="s">
        <v>27634</v>
      </c>
      <c r="M6262" s="28" t="s">
        <v>29750</v>
      </c>
      <c r="N6262" s="28" t="s">
        <v>27636</v>
      </c>
      <c r="O6262" s="28" t="s">
        <v>27637</v>
      </c>
      <c r="P6262" s="28" t="s">
        <v>29751</v>
      </c>
    </row>
    <row r="6263" spans="1:16" x14ac:dyDescent="0.25">
      <c r="A6263" s="28" t="s">
        <v>31258</v>
      </c>
      <c r="B6263" s="28" t="s">
        <v>31259</v>
      </c>
      <c r="C6263" s="28" t="s">
        <v>29063</v>
      </c>
      <c r="D6263" s="28" t="s">
        <v>1204</v>
      </c>
      <c r="E6263" s="28" t="s">
        <v>29754</v>
      </c>
      <c r="F6263" s="28" t="s">
        <v>21</v>
      </c>
      <c r="G6263" s="28" t="s">
        <v>207</v>
      </c>
      <c r="H6263" s="28" t="s">
        <v>27631</v>
      </c>
      <c r="I6263" s="28" t="s">
        <v>31260</v>
      </c>
      <c r="J6263" s="28" t="s">
        <v>207</v>
      </c>
      <c r="K6263" s="28" t="s">
        <v>29066</v>
      </c>
      <c r="L6263" s="28" t="s">
        <v>27634</v>
      </c>
      <c r="M6263" s="28" t="s">
        <v>29756</v>
      </c>
      <c r="N6263" s="28" t="s">
        <v>27636</v>
      </c>
      <c r="O6263" s="28" t="s">
        <v>27637</v>
      </c>
      <c r="P6263" s="28" t="s">
        <v>29757</v>
      </c>
    </row>
    <row r="6264" spans="1:16" x14ac:dyDescent="0.25">
      <c r="A6264" s="28" t="s">
        <v>31261</v>
      </c>
      <c r="B6264" s="28" t="s">
        <v>31262</v>
      </c>
      <c r="C6264" s="28" t="s">
        <v>29063</v>
      </c>
      <c r="D6264" s="28" t="s">
        <v>1204</v>
      </c>
      <c r="E6264" s="28" t="s">
        <v>29760</v>
      </c>
      <c r="F6264" s="28" t="s">
        <v>21</v>
      </c>
      <c r="G6264" s="28" t="s">
        <v>207</v>
      </c>
      <c r="H6264" s="28" t="s">
        <v>27631</v>
      </c>
      <c r="I6264" s="28" t="s">
        <v>31263</v>
      </c>
      <c r="J6264" s="28" t="s">
        <v>207</v>
      </c>
      <c r="K6264" s="28" t="s">
        <v>29066</v>
      </c>
      <c r="L6264" s="28" t="s">
        <v>27634</v>
      </c>
      <c r="M6264" s="28" t="s">
        <v>29762</v>
      </c>
      <c r="N6264" s="28" t="s">
        <v>27636</v>
      </c>
      <c r="O6264" s="28" t="s">
        <v>27637</v>
      </c>
      <c r="P6264" s="28" t="s">
        <v>29763</v>
      </c>
    </row>
    <row r="6265" spans="1:16" x14ac:dyDescent="0.25">
      <c r="A6265" s="28" t="s">
        <v>31264</v>
      </c>
      <c r="B6265" s="28" t="s">
        <v>31265</v>
      </c>
      <c r="C6265" s="28" t="s">
        <v>29063</v>
      </c>
      <c r="D6265" s="28" t="s">
        <v>1204</v>
      </c>
      <c r="E6265" s="28" t="s">
        <v>29766</v>
      </c>
      <c r="F6265" s="28" t="s">
        <v>21</v>
      </c>
      <c r="G6265" s="28" t="s">
        <v>207</v>
      </c>
      <c r="H6265" s="28" t="s">
        <v>27631</v>
      </c>
      <c r="I6265" s="28" t="s">
        <v>31266</v>
      </c>
      <c r="J6265" s="28" t="s">
        <v>207</v>
      </c>
      <c r="K6265" s="28" t="s">
        <v>29066</v>
      </c>
      <c r="L6265" s="28" t="s">
        <v>27634</v>
      </c>
      <c r="M6265" s="28" t="s">
        <v>29768</v>
      </c>
      <c r="N6265" s="28" t="s">
        <v>27636</v>
      </c>
      <c r="O6265" s="28" t="s">
        <v>27637</v>
      </c>
      <c r="P6265" s="28" t="s">
        <v>29769</v>
      </c>
    </row>
    <row r="6266" spans="1:16" x14ac:dyDescent="0.25">
      <c r="A6266" s="28" t="s">
        <v>31267</v>
      </c>
      <c r="B6266" s="28" t="s">
        <v>31268</v>
      </c>
      <c r="C6266" s="28" t="s">
        <v>29063</v>
      </c>
      <c r="D6266" s="28" t="s">
        <v>1204</v>
      </c>
      <c r="E6266" s="28" t="s">
        <v>29772</v>
      </c>
      <c r="F6266" s="28" t="s">
        <v>21</v>
      </c>
      <c r="G6266" s="28" t="s">
        <v>207</v>
      </c>
      <c r="H6266" s="28" t="s">
        <v>27631</v>
      </c>
      <c r="I6266" s="28" t="s">
        <v>31269</v>
      </c>
      <c r="J6266" s="28" t="s">
        <v>207</v>
      </c>
      <c r="K6266" s="28" t="s">
        <v>29066</v>
      </c>
      <c r="L6266" s="28" t="s">
        <v>27634</v>
      </c>
      <c r="M6266" s="28" t="s">
        <v>29774</v>
      </c>
      <c r="N6266" s="28" t="s">
        <v>27636</v>
      </c>
      <c r="O6266" s="28" t="s">
        <v>27637</v>
      </c>
      <c r="P6266" s="28" t="s">
        <v>29775</v>
      </c>
    </row>
    <row r="6267" spans="1:16" x14ac:dyDescent="0.25">
      <c r="A6267" s="28" t="s">
        <v>31270</v>
      </c>
      <c r="B6267" s="28" t="s">
        <v>31271</v>
      </c>
      <c r="C6267" s="28" t="s">
        <v>29063</v>
      </c>
      <c r="D6267" s="28" t="s">
        <v>1204</v>
      </c>
      <c r="E6267" s="28" t="s">
        <v>29778</v>
      </c>
      <c r="F6267" s="28" t="s">
        <v>21</v>
      </c>
      <c r="G6267" s="28" t="s">
        <v>207</v>
      </c>
      <c r="H6267" s="28" t="s">
        <v>27631</v>
      </c>
      <c r="I6267" s="28" t="s">
        <v>31272</v>
      </c>
      <c r="J6267" s="28" t="s">
        <v>207</v>
      </c>
      <c r="K6267" s="28" t="s">
        <v>29066</v>
      </c>
      <c r="L6267" s="28" t="s">
        <v>27634</v>
      </c>
      <c r="M6267" s="28" t="s">
        <v>29780</v>
      </c>
      <c r="N6267" s="28" t="s">
        <v>27636</v>
      </c>
      <c r="O6267" s="28" t="s">
        <v>27637</v>
      </c>
      <c r="P6267" s="28" t="s">
        <v>29781</v>
      </c>
    </row>
    <row r="6268" spans="1:16" x14ac:dyDescent="0.25">
      <c r="A6268" s="28" t="s">
        <v>31273</v>
      </c>
      <c r="B6268" s="28" t="s">
        <v>31274</v>
      </c>
      <c r="C6268" s="28" t="s">
        <v>29063</v>
      </c>
      <c r="D6268" s="28" t="s">
        <v>1204</v>
      </c>
      <c r="E6268" s="28" t="s">
        <v>29784</v>
      </c>
      <c r="F6268" s="28" t="s">
        <v>21</v>
      </c>
      <c r="G6268" s="28" t="s">
        <v>207</v>
      </c>
      <c r="H6268" s="28" t="s">
        <v>27631</v>
      </c>
      <c r="I6268" s="28" t="s">
        <v>31275</v>
      </c>
      <c r="J6268" s="28" t="s">
        <v>207</v>
      </c>
      <c r="K6268" s="28" t="s">
        <v>29066</v>
      </c>
      <c r="L6268" s="28" t="s">
        <v>27634</v>
      </c>
      <c r="M6268" s="28" t="s">
        <v>29786</v>
      </c>
      <c r="N6268" s="28" t="s">
        <v>27636</v>
      </c>
      <c r="O6268" s="28" t="s">
        <v>27637</v>
      </c>
      <c r="P6268" s="28" t="s">
        <v>29787</v>
      </c>
    </row>
    <row r="6269" spans="1:16" x14ac:dyDescent="0.25">
      <c r="A6269" s="28" t="s">
        <v>31276</v>
      </c>
      <c r="B6269" s="28" t="s">
        <v>31277</v>
      </c>
      <c r="C6269" s="28" t="s">
        <v>29063</v>
      </c>
      <c r="D6269" s="28" t="s">
        <v>1204</v>
      </c>
      <c r="E6269" s="28" t="s">
        <v>29790</v>
      </c>
      <c r="F6269" s="28" t="s">
        <v>21</v>
      </c>
      <c r="G6269" s="28" t="s">
        <v>207</v>
      </c>
      <c r="H6269" s="28" t="s">
        <v>27631</v>
      </c>
      <c r="I6269" s="28" t="s">
        <v>31278</v>
      </c>
      <c r="J6269" s="28" t="s">
        <v>207</v>
      </c>
      <c r="K6269" s="28" t="s">
        <v>29066</v>
      </c>
      <c r="L6269" s="28" t="s">
        <v>27634</v>
      </c>
      <c r="M6269" s="28" t="s">
        <v>29792</v>
      </c>
      <c r="N6269" s="28" t="s">
        <v>27636</v>
      </c>
      <c r="O6269" s="28" t="s">
        <v>27637</v>
      </c>
      <c r="P6269" s="28" t="s">
        <v>29793</v>
      </c>
    </row>
    <row r="6270" spans="1:16" x14ac:dyDescent="0.25">
      <c r="A6270" s="28" t="s">
        <v>31279</v>
      </c>
      <c r="B6270" s="28" t="s">
        <v>31280</v>
      </c>
      <c r="C6270" s="28" t="s">
        <v>29063</v>
      </c>
      <c r="D6270" s="28" t="s">
        <v>1204</v>
      </c>
      <c r="E6270" s="28" t="s">
        <v>29796</v>
      </c>
      <c r="F6270" s="28" t="s">
        <v>21</v>
      </c>
      <c r="G6270" s="28" t="s">
        <v>207</v>
      </c>
      <c r="H6270" s="28" t="s">
        <v>27631</v>
      </c>
      <c r="I6270" s="28" t="s">
        <v>31281</v>
      </c>
      <c r="J6270" s="28" t="s">
        <v>207</v>
      </c>
      <c r="K6270" s="28" t="s">
        <v>29066</v>
      </c>
      <c r="L6270" s="28" t="s">
        <v>27634</v>
      </c>
      <c r="M6270" s="28" t="s">
        <v>29798</v>
      </c>
      <c r="N6270" s="28" t="s">
        <v>27636</v>
      </c>
      <c r="O6270" s="28" t="s">
        <v>27637</v>
      </c>
      <c r="P6270" s="28" t="s">
        <v>29799</v>
      </c>
    </row>
    <row r="6271" spans="1:16" x14ac:dyDescent="0.25">
      <c r="A6271" s="28" t="s">
        <v>31282</v>
      </c>
      <c r="B6271" s="28" t="s">
        <v>31283</v>
      </c>
      <c r="C6271" s="28" t="s">
        <v>29063</v>
      </c>
      <c r="D6271" s="28" t="s">
        <v>1204</v>
      </c>
      <c r="E6271" s="28" t="s">
        <v>29802</v>
      </c>
      <c r="F6271" s="28" t="s">
        <v>21</v>
      </c>
      <c r="G6271" s="28" t="s">
        <v>207</v>
      </c>
      <c r="H6271" s="28" t="s">
        <v>27631</v>
      </c>
      <c r="I6271" s="28" t="s">
        <v>31284</v>
      </c>
      <c r="J6271" s="28" t="s">
        <v>207</v>
      </c>
      <c r="K6271" s="28" t="s">
        <v>29066</v>
      </c>
      <c r="L6271" s="28" t="s">
        <v>27634</v>
      </c>
      <c r="M6271" s="28" t="s">
        <v>29804</v>
      </c>
      <c r="N6271" s="28" t="s">
        <v>27636</v>
      </c>
      <c r="O6271" s="28" t="s">
        <v>27637</v>
      </c>
      <c r="P6271" s="28" t="s">
        <v>29805</v>
      </c>
    </row>
    <row r="6272" spans="1:16" x14ac:dyDescent="0.25">
      <c r="A6272" s="28" t="s">
        <v>31285</v>
      </c>
      <c r="B6272" s="28" t="s">
        <v>31286</v>
      </c>
      <c r="C6272" s="28" t="s">
        <v>29063</v>
      </c>
      <c r="D6272" s="28" t="s">
        <v>1204</v>
      </c>
      <c r="E6272" s="28" t="s">
        <v>29808</v>
      </c>
      <c r="F6272" s="28" t="s">
        <v>21</v>
      </c>
      <c r="G6272" s="28" t="s">
        <v>207</v>
      </c>
      <c r="H6272" s="28" t="s">
        <v>27631</v>
      </c>
      <c r="I6272" s="28" t="s">
        <v>31287</v>
      </c>
      <c r="J6272" s="28" t="s">
        <v>207</v>
      </c>
      <c r="K6272" s="28" t="s">
        <v>29066</v>
      </c>
      <c r="L6272" s="28" t="s">
        <v>27634</v>
      </c>
      <c r="M6272" s="28" t="s">
        <v>29810</v>
      </c>
      <c r="N6272" s="28" t="s">
        <v>27636</v>
      </c>
      <c r="O6272" s="28" t="s">
        <v>27637</v>
      </c>
      <c r="P6272" s="28" t="s">
        <v>29811</v>
      </c>
    </row>
    <row r="6273" spans="1:16" x14ac:dyDescent="0.25">
      <c r="A6273" s="28" t="s">
        <v>31288</v>
      </c>
      <c r="B6273" s="28" t="s">
        <v>31289</v>
      </c>
      <c r="C6273" s="28" t="s">
        <v>29063</v>
      </c>
      <c r="D6273" s="28" t="s">
        <v>1204</v>
      </c>
      <c r="E6273" s="28" t="s">
        <v>29814</v>
      </c>
      <c r="F6273" s="28" t="s">
        <v>21</v>
      </c>
      <c r="G6273" s="28" t="s">
        <v>207</v>
      </c>
      <c r="H6273" s="28" t="s">
        <v>27631</v>
      </c>
      <c r="I6273" s="28" t="s">
        <v>31290</v>
      </c>
      <c r="J6273" s="28" t="s">
        <v>207</v>
      </c>
      <c r="K6273" s="28" t="s">
        <v>29066</v>
      </c>
      <c r="L6273" s="28" t="s">
        <v>27634</v>
      </c>
      <c r="M6273" s="28" t="s">
        <v>29816</v>
      </c>
      <c r="N6273" s="28" t="s">
        <v>27636</v>
      </c>
      <c r="O6273" s="28" t="s">
        <v>27637</v>
      </c>
      <c r="P6273" s="28" t="s">
        <v>29817</v>
      </c>
    </row>
    <row r="6274" spans="1:16" x14ac:dyDescent="0.25">
      <c r="A6274" s="28" t="s">
        <v>31291</v>
      </c>
      <c r="B6274" s="28" t="s">
        <v>31292</v>
      </c>
      <c r="C6274" s="28" t="s">
        <v>29063</v>
      </c>
      <c r="D6274" s="28" t="s">
        <v>1204</v>
      </c>
      <c r="E6274" s="28" t="s">
        <v>29820</v>
      </c>
      <c r="F6274" s="28" t="s">
        <v>21</v>
      </c>
      <c r="G6274" s="28" t="s">
        <v>207</v>
      </c>
      <c r="H6274" s="28" t="s">
        <v>27631</v>
      </c>
      <c r="I6274" s="28" t="s">
        <v>31293</v>
      </c>
      <c r="J6274" s="28" t="s">
        <v>207</v>
      </c>
      <c r="K6274" s="28" t="s">
        <v>29066</v>
      </c>
      <c r="L6274" s="28" t="s">
        <v>27634</v>
      </c>
      <c r="M6274" s="28" t="s">
        <v>29822</v>
      </c>
      <c r="N6274" s="28" t="s">
        <v>27636</v>
      </c>
      <c r="O6274" s="28" t="s">
        <v>27637</v>
      </c>
      <c r="P6274" s="28" t="s">
        <v>29823</v>
      </c>
    </row>
    <row r="6275" spans="1:16" x14ac:dyDescent="0.25">
      <c r="A6275" s="28" t="s">
        <v>31294</v>
      </c>
      <c r="B6275" s="28" t="s">
        <v>31295</v>
      </c>
      <c r="C6275" s="28" t="s">
        <v>29063</v>
      </c>
      <c r="D6275" s="28" t="s">
        <v>1204</v>
      </c>
      <c r="E6275" s="28" t="s">
        <v>29826</v>
      </c>
      <c r="F6275" s="28" t="s">
        <v>21</v>
      </c>
      <c r="G6275" s="28" t="s">
        <v>207</v>
      </c>
      <c r="H6275" s="28" t="s">
        <v>27631</v>
      </c>
      <c r="I6275" s="28" t="s">
        <v>31296</v>
      </c>
      <c r="J6275" s="28" t="s">
        <v>207</v>
      </c>
      <c r="K6275" s="28" t="s">
        <v>29066</v>
      </c>
      <c r="L6275" s="28" t="s">
        <v>27634</v>
      </c>
      <c r="M6275" s="28" t="s">
        <v>29828</v>
      </c>
      <c r="N6275" s="28" t="s">
        <v>27636</v>
      </c>
      <c r="O6275" s="28" t="s">
        <v>27637</v>
      </c>
      <c r="P6275" s="28" t="s">
        <v>29829</v>
      </c>
    </row>
    <row r="6276" spans="1:16" x14ac:dyDescent="0.25">
      <c r="A6276" s="28" t="s">
        <v>31297</v>
      </c>
      <c r="B6276" s="28" t="s">
        <v>31298</v>
      </c>
      <c r="C6276" s="28" t="s">
        <v>29063</v>
      </c>
      <c r="D6276" s="28" t="s">
        <v>1204</v>
      </c>
      <c r="E6276" s="28" t="s">
        <v>29832</v>
      </c>
      <c r="F6276" s="28" t="s">
        <v>21</v>
      </c>
      <c r="G6276" s="28" t="s">
        <v>207</v>
      </c>
      <c r="H6276" s="28" t="s">
        <v>27631</v>
      </c>
      <c r="I6276" s="28" t="s">
        <v>31299</v>
      </c>
      <c r="J6276" s="28" t="s">
        <v>207</v>
      </c>
      <c r="K6276" s="28" t="s">
        <v>29066</v>
      </c>
      <c r="L6276" s="28" t="s">
        <v>27634</v>
      </c>
      <c r="M6276" s="28" t="s">
        <v>29834</v>
      </c>
      <c r="N6276" s="28" t="s">
        <v>27636</v>
      </c>
      <c r="O6276" s="28" t="s">
        <v>27637</v>
      </c>
      <c r="P6276" s="28" t="s">
        <v>29835</v>
      </c>
    </row>
    <row r="6277" spans="1:16" x14ac:dyDescent="0.25">
      <c r="A6277" s="28" t="s">
        <v>31300</v>
      </c>
      <c r="B6277" s="28" t="s">
        <v>31301</v>
      </c>
      <c r="C6277" s="28" t="s">
        <v>29063</v>
      </c>
      <c r="D6277" s="28" t="s">
        <v>1204</v>
      </c>
      <c r="E6277" s="28" t="s">
        <v>29838</v>
      </c>
      <c r="F6277" s="28" t="s">
        <v>21</v>
      </c>
      <c r="G6277" s="28" t="s">
        <v>207</v>
      </c>
      <c r="H6277" s="28" t="s">
        <v>27631</v>
      </c>
      <c r="I6277" s="28" t="s">
        <v>31302</v>
      </c>
      <c r="J6277" s="28" t="s">
        <v>207</v>
      </c>
      <c r="K6277" s="28" t="s">
        <v>29066</v>
      </c>
      <c r="L6277" s="28" t="s">
        <v>27634</v>
      </c>
      <c r="M6277" s="28" t="s">
        <v>29840</v>
      </c>
      <c r="N6277" s="28" t="s">
        <v>27636</v>
      </c>
      <c r="O6277" s="28" t="s">
        <v>27637</v>
      </c>
      <c r="P6277" s="28" t="s">
        <v>29841</v>
      </c>
    </row>
    <row r="6278" spans="1:16" x14ac:dyDescent="0.25">
      <c r="A6278" s="28" t="s">
        <v>31303</v>
      </c>
      <c r="B6278" s="28" t="s">
        <v>31304</v>
      </c>
      <c r="C6278" s="28" t="s">
        <v>29063</v>
      </c>
      <c r="D6278" s="28" t="s">
        <v>1204</v>
      </c>
      <c r="E6278" s="28" t="s">
        <v>12900</v>
      </c>
      <c r="F6278" s="28" t="s">
        <v>21</v>
      </c>
      <c r="G6278" s="28" t="s">
        <v>207</v>
      </c>
      <c r="H6278" s="28" t="s">
        <v>27631</v>
      </c>
      <c r="I6278" s="28" t="s">
        <v>31305</v>
      </c>
      <c r="J6278" s="28" t="s">
        <v>207</v>
      </c>
      <c r="K6278" s="28" t="s">
        <v>29066</v>
      </c>
      <c r="L6278" s="28" t="s">
        <v>27634</v>
      </c>
      <c r="M6278" s="28" t="s">
        <v>29845</v>
      </c>
      <c r="N6278" s="28" t="s">
        <v>27636</v>
      </c>
      <c r="O6278" s="28" t="s">
        <v>27637</v>
      </c>
      <c r="P6278" s="28" t="s">
        <v>29846</v>
      </c>
    </row>
    <row r="6279" spans="1:16" x14ac:dyDescent="0.25">
      <c r="A6279" s="28" t="s">
        <v>31306</v>
      </c>
      <c r="B6279" s="28" t="s">
        <v>31307</v>
      </c>
      <c r="C6279" s="28" t="s">
        <v>29063</v>
      </c>
      <c r="D6279" s="28" t="s">
        <v>1204</v>
      </c>
      <c r="E6279" s="28" t="s">
        <v>12906</v>
      </c>
      <c r="F6279" s="28" t="s">
        <v>21</v>
      </c>
      <c r="G6279" s="28" t="s">
        <v>207</v>
      </c>
      <c r="H6279" s="28" t="s">
        <v>27631</v>
      </c>
      <c r="I6279" s="28" t="s">
        <v>31308</v>
      </c>
      <c r="J6279" s="28" t="s">
        <v>207</v>
      </c>
      <c r="K6279" s="28" t="s">
        <v>29066</v>
      </c>
      <c r="L6279" s="28" t="s">
        <v>27634</v>
      </c>
      <c r="M6279" s="28" t="s">
        <v>29850</v>
      </c>
      <c r="N6279" s="28" t="s">
        <v>27636</v>
      </c>
      <c r="O6279" s="28" t="s">
        <v>27637</v>
      </c>
      <c r="P6279" s="28" t="s">
        <v>29851</v>
      </c>
    </row>
    <row r="6280" spans="1:16" x14ac:dyDescent="0.25">
      <c r="A6280" s="28" t="s">
        <v>31309</v>
      </c>
      <c r="B6280" s="28" t="s">
        <v>31310</v>
      </c>
      <c r="C6280" s="28" t="s">
        <v>29063</v>
      </c>
      <c r="D6280" s="28" t="s">
        <v>1204</v>
      </c>
      <c r="E6280" s="28" t="s">
        <v>12912</v>
      </c>
      <c r="F6280" s="28" t="s">
        <v>21</v>
      </c>
      <c r="G6280" s="28" t="s">
        <v>207</v>
      </c>
      <c r="H6280" s="28" t="s">
        <v>27631</v>
      </c>
      <c r="I6280" s="28" t="s">
        <v>31311</v>
      </c>
      <c r="J6280" s="28" t="s">
        <v>207</v>
      </c>
      <c r="K6280" s="28" t="s">
        <v>29066</v>
      </c>
      <c r="L6280" s="28" t="s">
        <v>27634</v>
      </c>
      <c r="M6280" s="28" t="s">
        <v>29855</v>
      </c>
      <c r="N6280" s="28" t="s">
        <v>27636</v>
      </c>
      <c r="O6280" s="28" t="s">
        <v>27637</v>
      </c>
      <c r="P6280" s="28" t="s">
        <v>29856</v>
      </c>
    </row>
    <row r="6281" spans="1:16" x14ac:dyDescent="0.25">
      <c r="A6281" s="28" t="s">
        <v>31312</v>
      </c>
      <c r="B6281" s="28" t="s">
        <v>31313</v>
      </c>
      <c r="C6281" s="28" t="s">
        <v>29063</v>
      </c>
      <c r="D6281" s="28" t="s">
        <v>1204</v>
      </c>
      <c r="E6281" s="28" t="s">
        <v>12918</v>
      </c>
      <c r="F6281" s="28" t="s">
        <v>21</v>
      </c>
      <c r="G6281" s="28" t="s">
        <v>207</v>
      </c>
      <c r="H6281" s="28" t="s">
        <v>27631</v>
      </c>
      <c r="I6281" s="28" t="s">
        <v>31314</v>
      </c>
      <c r="J6281" s="28" t="s">
        <v>207</v>
      </c>
      <c r="K6281" s="28" t="s">
        <v>29066</v>
      </c>
      <c r="L6281" s="28" t="s">
        <v>27634</v>
      </c>
      <c r="M6281" s="28" t="s">
        <v>29860</v>
      </c>
      <c r="N6281" s="28" t="s">
        <v>27636</v>
      </c>
      <c r="O6281" s="28" t="s">
        <v>27637</v>
      </c>
      <c r="P6281" s="28" t="s">
        <v>29861</v>
      </c>
    </row>
    <row r="6282" spans="1:16" x14ac:dyDescent="0.25">
      <c r="A6282" s="28" t="s">
        <v>31315</v>
      </c>
      <c r="B6282" s="28" t="s">
        <v>31316</v>
      </c>
      <c r="C6282" s="28" t="s">
        <v>29063</v>
      </c>
      <c r="D6282" s="28" t="s">
        <v>1204</v>
      </c>
      <c r="E6282" s="28" t="s">
        <v>29864</v>
      </c>
      <c r="F6282" s="28" t="s">
        <v>21</v>
      </c>
      <c r="G6282" s="28" t="s">
        <v>207</v>
      </c>
      <c r="H6282" s="28" t="s">
        <v>27631</v>
      </c>
      <c r="I6282" s="28" t="s">
        <v>31317</v>
      </c>
      <c r="J6282" s="28" t="s">
        <v>207</v>
      </c>
      <c r="K6282" s="28" t="s">
        <v>29066</v>
      </c>
      <c r="L6282" s="28" t="s">
        <v>27634</v>
      </c>
      <c r="M6282" s="28" t="s">
        <v>29866</v>
      </c>
      <c r="N6282" s="28" t="s">
        <v>27636</v>
      </c>
      <c r="O6282" s="28" t="s">
        <v>27637</v>
      </c>
      <c r="P6282" s="28" t="s">
        <v>29867</v>
      </c>
    </row>
    <row r="6283" spans="1:16" x14ac:dyDescent="0.25">
      <c r="A6283" s="28" t="s">
        <v>31318</v>
      </c>
      <c r="B6283" s="28" t="s">
        <v>31319</v>
      </c>
      <c r="C6283" s="28" t="s">
        <v>29063</v>
      </c>
      <c r="D6283" s="28" t="s">
        <v>1204</v>
      </c>
      <c r="E6283" s="28" t="s">
        <v>29870</v>
      </c>
      <c r="F6283" s="28" t="s">
        <v>21</v>
      </c>
      <c r="G6283" s="28" t="s">
        <v>207</v>
      </c>
      <c r="H6283" s="28" t="s">
        <v>27631</v>
      </c>
      <c r="I6283" s="28" t="s">
        <v>31320</v>
      </c>
      <c r="J6283" s="28" t="s">
        <v>207</v>
      </c>
      <c r="K6283" s="28" t="s">
        <v>29066</v>
      </c>
      <c r="L6283" s="28" t="s">
        <v>27634</v>
      </c>
      <c r="M6283" s="28" t="s">
        <v>29872</v>
      </c>
      <c r="N6283" s="28" t="s">
        <v>27636</v>
      </c>
      <c r="O6283" s="28" t="s">
        <v>27637</v>
      </c>
      <c r="P6283" s="28" t="s">
        <v>29873</v>
      </c>
    </row>
    <row r="6284" spans="1:16" x14ac:dyDescent="0.25">
      <c r="A6284" s="28" t="s">
        <v>31321</v>
      </c>
      <c r="B6284" s="28" t="s">
        <v>31322</v>
      </c>
      <c r="C6284" s="28" t="s">
        <v>29063</v>
      </c>
      <c r="D6284" s="28" t="s">
        <v>1204</v>
      </c>
      <c r="E6284" s="28" t="s">
        <v>29876</v>
      </c>
      <c r="F6284" s="28" t="s">
        <v>21</v>
      </c>
      <c r="G6284" s="28" t="s">
        <v>207</v>
      </c>
      <c r="H6284" s="28" t="s">
        <v>27631</v>
      </c>
      <c r="I6284" s="28" t="s">
        <v>31323</v>
      </c>
      <c r="J6284" s="28" t="s">
        <v>207</v>
      </c>
      <c r="K6284" s="28" t="s">
        <v>29066</v>
      </c>
      <c r="L6284" s="28" t="s">
        <v>27634</v>
      </c>
      <c r="M6284" s="28" t="s">
        <v>29878</v>
      </c>
      <c r="N6284" s="28" t="s">
        <v>27636</v>
      </c>
      <c r="O6284" s="28" t="s">
        <v>27637</v>
      </c>
      <c r="P6284" s="28" t="s">
        <v>29879</v>
      </c>
    </row>
    <row r="6285" spans="1:16" x14ac:dyDescent="0.25">
      <c r="A6285" s="28" t="s">
        <v>31324</v>
      </c>
      <c r="B6285" s="28" t="s">
        <v>31325</v>
      </c>
      <c r="C6285" s="28" t="s">
        <v>29063</v>
      </c>
      <c r="D6285" s="28" t="s">
        <v>1204</v>
      </c>
      <c r="E6285" s="28" t="s">
        <v>29882</v>
      </c>
      <c r="F6285" s="28" t="s">
        <v>21</v>
      </c>
      <c r="G6285" s="28" t="s">
        <v>207</v>
      </c>
      <c r="H6285" s="28" t="s">
        <v>27631</v>
      </c>
      <c r="I6285" s="28" t="s">
        <v>31326</v>
      </c>
      <c r="J6285" s="28" t="s">
        <v>207</v>
      </c>
      <c r="K6285" s="28" t="s">
        <v>29066</v>
      </c>
      <c r="L6285" s="28" t="s">
        <v>27634</v>
      </c>
      <c r="M6285" s="28" t="s">
        <v>29884</v>
      </c>
      <c r="N6285" s="28" t="s">
        <v>27636</v>
      </c>
      <c r="O6285" s="28" t="s">
        <v>27637</v>
      </c>
      <c r="P6285" s="28" t="s">
        <v>29885</v>
      </c>
    </row>
    <row r="6286" spans="1:16" x14ac:dyDescent="0.25">
      <c r="A6286" s="28" t="s">
        <v>31327</v>
      </c>
      <c r="B6286" s="28" t="s">
        <v>31328</v>
      </c>
      <c r="C6286" s="28" t="s">
        <v>29063</v>
      </c>
      <c r="D6286" s="28" t="s">
        <v>1204</v>
      </c>
      <c r="E6286" s="28" t="s">
        <v>29888</v>
      </c>
      <c r="F6286" s="28" t="s">
        <v>21</v>
      </c>
      <c r="G6286" s="28" t="s">
        <v>207</v>
      </c>
      <c r="H6286" s="28" t="s">
        <v>27631</v>
      </c>
      <c r="I6286" s="28" t="s">
        <v>31329</v>
      </c>
      <c r="J6286" s="28" t="s">
        <v>207</v>
      </c>
      <c r="K6286" s="28" t="s">
        <v>29066</v>
      </c>
      <c r="L6286" s="28" t="s">
        <v>27634</v>
      </c>
      <c r="M6286" s="28" t="s">
        <v>29890</v>
      </c>
      <c r="N6286" s="28" t="s">
        <v>27636</v>
      </c>
      <c r="O6286" s="28" t="s">
        <v>27637</v>
      </c>
      <c r="P6286" s="28" t="s">
        <v>29891</v>
      </c>
    </row>
    <row r="6287" spans="1:16" x14ac:dyDescent="0.25">
      <c r="A6287" s="28" t="s">
        <v>31330</v>
      </c>
      <c r="B6287" s="28" t="s">
        <v>31331</v>
      </c>
      <c r="C6287" s="28" t="s">
        <v>29063</v>
      </c>
      <c r="D6287" s="28" t="s">
        <v>1204</v>
      </c>
      <c r="E6287" s="28" t="s">
        <v>29894</v>
      </c>
      <c r="F6287" s="28" t="s">
        <v>21</v>
      </c>
      <c r="G6287" s="28" t="s">
        <v>207</v>
      </c>
      <c r="H6287" s="28" t="s">
        <v>27631</v>
      </c>
      <c r="I6287" s="28" t="s">
        <v>31332</v>
      </c>
      <c r="J6287" s="28" t="s">
        <v>207</v>
      </c>
      <c r="K6287" s="28" t="s">
        <v>29066</v>
      </c>
      <c r="L6287" s="28" t="s">
        <v>27634</v>
      </c>
      <c r="M6287" s="28" t="s">
        <v>29896</v>
      </c>
      <c r="N6287" s="28" t="s">
        <v>27636</v>
      </c>
      <c r="O6287" s="28" t="s">
        <v>27637</v>
      </c>
      <c r="P6287" s="28" t="s">
        <v>29897</v>
      </c>
    </row>
    <row r="6288" spans="1:16" x14ac:dyDescent="0.25">
      <c r="A6288" s="28" t="s">
        <v>31333</v>
      </c>
      <c r="B6288" s="28" t="s">
        <v>31334</v>
      </c>
      <c r="C6288" s="28" t="s">
        <v>29063</v>
      </c>
      <c r="D6288" s="28" t="s">
        <v>1204</v>
      </c>
      <c r="E6288" s="28" t="s">
        <v>29900</v>
      </c>
      <c r="F6288" s="28" t="s">
        <v>21</v>
      </c>
      <c r="G6288" s="28" t="s">
        <v>207</v>
      </c>
      <c r="H6288" s="28" t="s">
        <v>27631</v>
      </c>
      <c r="I6288" s="28" t="s">
        <v>31335</v>
      </c>
      <c r="J6288" s="28" t="s">
        <v>207</v>
      </c>
      <c r="K6288" s="28" t="s">
        <v>29066</v>
      </c>
      <c r="L6288" s="28" t="s">
        <v>27634</v>
      </c>
      <c r="M6288" s="28" t="s">
        <v>29902</v>
      </c>
      <c r="N6288" s="28" t="s">
        <v>27636</v>
      </c>
      <c r="O6288" s="28" t="s">
        <v>27637</v>
      </c>
      <c r="P6288" s="28" t="s">
        <v>29903</v>
      </c>
    </row>
    <row r="6289" spans="1:16" x14ac:dyDescent="0.25">
      <c r="A6289" s="28" t="s">
        <v>31336</v>
      </c>
      <c r="B6289" s="28" t="s">
        <v>31337</v>
      </c>
      <c r="C6289" s="28" t="s">
        <v>29063</v>
      </c>
      <c r="D6289" s="28" t="s">
        <v>1204</v>
      </c>
      <c r="E6289" s="28" t="s">
        <v>29906</v>
      </c>
      <c r="F6289" s="28" t="s">
        <v>21</v>
      </c>
      <c r="G6289" s="28" t="s">
        <v>207</v>
      </c>
      <c r="H6289" s="28" t="s">
        <v>27631</v>
      </c>
      <c r="I6289" s="28" t="s">
        <v>31338</v>
      </c>
      <c r="J6289" s="28" t="s">
        <v>207</v>
      </c>
      <c r="K6289" s="28" t="s">
        <v>29066</v>
      </c>
      <c r="L6289" s="28" t="s">
        <v>27634</v>
      </c>
      <c r="M6289" s="28" t="s">
        <v>29908</v>
      </c>
      <c r="N6289" s="28" t="s">
        <v>27636</v>
      </c>
      <c r="O6289" s="28" t="s">
        <v>27637</v>
      </c>
      <c r="P6289" s="28" t="s">
        <v>29909</v>
      </c>
    </row>
    <row r="6290" spans="1:16" x14ac:dyDescent="0.25">
      <c r="A6290" s="28" t="s">
        <v>31339</v>
      </c>
      <c r="B6290" s="28" t="s">
        <v>31340</v>
      </c>
      <c r="C6290" s="28" t="s">
        <v>29063</v>
      </c>
      <c r="D6290" s="28" t="s">
        <v>1204</v>
      </c>
      <c r="E6290" s="28" t="s">
        <v>29912</v>
      </c>
      <c r="F6290" s="28" t="s">
        <v>21</v>
      </c>
      <c r="G6290" s="28" t="s">
        <v>207</v>
      </c>
      <c r="H6290" s="28" t="s">
        <v>27631</v>
      </c>
      <c r="I6290" s="28" t="s">
        <v>31341</v>
      </c>
      <c r="J6290" s="28" t="s">
        <v>207</v>
      </c>
      <c r="K6290" s="28" t="s">
        <v>29066</v>
      </c>
      <c r="L6290" s="28" t="s">
        <v>27634</v>
      </c>
      <c r="M6290" s="28" t="s">
        <v>29914</v>
      </c>
      <c r="N6290" s="28" t="s">
        <v>27636</v>
      </c>
      <c r="O6290" s="28" t="s">
        <v>27637</v>
      </c>
      <c r="P6290" s="28" t="s">
        <v>29915</v>
      </c>
    </row>
    <row r="6291" spans="1:16" x14ac:dyDescent="0.25">
      <c r="A6291" s="28" t="s">
        <v>31342</v>
      </c>
      <c r="B6291" s="28" t="s">
        <v>31343</v>
      </c>
      <c r="C6291" s="28" t="s">
        <v>29063</v>
      </c>
      <c r="D6291" s="28" t="s">
        <v>1204</v>
      </c>
      <c r="E6291" s="28" t="s">
        <v>12924</v>
      </c>
      <c r="F6291" s="28" t="s">
        <v>21</v>
      </c>
      <c r="G6291" s="28" t="s">
        <v>207</v>
      </c>
      <c r="H6291" s="28" t="s">
        <v>27631</v>
      </c>
      <c r="I6291" s="28" t="s">
        <v>31344</v>
      </c>
      <c r="J6291" s="28" t="s">
        <v>207</v>
      </c>
      <c r="K6291" s="28" t="s">
        <v>29066</v>
      </c>
      <c r="L6291" s="28" t="s">
        <v>27634</v>
      </c>
      <c r="M6291" s="28" t="s">
        <v>29919</v>
      </c>
      <c r="N6291" s="28" t="s">
        <v>27636</v>
      </c>
      <c r="O6291" s="28" t="s">
        <v>27637</v>
      </c>
      <c r="P6291" s="28" t="s">
        <v>29920</v>
      </c>
    </row>
    <row r="6292" spans="1:16" x14ac:dyDescent="0.25">
      <c r="A6292" s="28" t="s">
        <v>31345</v>
      </c>
      <c r="B6292" s="28" t="s">
        <v>31346</v>
      </c>
      <c r="C6292" s="28" t="s">
        <v>29063</v>
      </c>
      <c r="D6292" s="28" t="s">
        <v>1204</v>
      </c>
      <c r="E6292" s="28" t="s">
        <v>29923</v>
      </c>
      <c r="F6292" s="28" t="s">
        <v>21</v>
      </c>
      <c r="G6292" s="28" t="s">
        <v>207</v>
      </c>
      <c r="H6292" s="28" t="s">
        <v>27631</v>
      </c>
      <c r="I6292" s="28" t="s">
        <v>31347</v>
      </c>
      <c r="J6292" s="28" t="s">
        <v>207</v>
      </c>
      <c r="K6292" s="28" t="s">
        <v>29066</v>
      </c>
      <c r="L6292" s="28" t="s">
        <v>27634</v>
      </c>
      <c r="M6292" s="28" t="s">
        <v>29925</v>
      </c>
      <c r="N6292" s="28" t="s">
        <v>27636</v>
      </c>
      <c r="O6292" s="28" t="s">
        <v>27637</v>
      </c>
      <c r="P6292" s="28" t="s">
        <v>29926</v>
      </c>
    </row>
    <row r="6293" spans="1:16" x14ac:dyDescent="0.25">
      <c r="A6293" s="28" t="s">
        <v>31348</v>
      </c>
      <c r="B6293" s="28" t="s">
        <v>31349</v>
      </c>
      <c r="C6293" s="28" t="s">
        <v>29063</v>
      </c>
      <c r="D6293" s="28" t="s">
        <v>1204</v>
      </c>
      <c r="E6293" s="28" t="s">
        <v>29929</v>
      </c>
      <c r="F6293" s="28" t="s">
        <v>21</v>
      </c>
      <c r="G6293" s="28" t="s">
        <v>207</v>
      </c>
      <c r="H6293" s="28" t="s">
        <v>27631</v>
      </c>
      <c r="I6293" s="28" t="s">
        <v>31350</v>
      </c>
      <c r="J6293" s="28" t="s">
        <v>207</v>
      </c>
      <c r="K6293" s="28" t="s">
        <v>29066</v>
      </c>
      <c r="L6293" s="28" t="s">
        <v>27634</v>
      </c>
      <c r="M6293" s="28" t="s">
        <v>29931</v>
      </c>
      <c r="N6293" s="28" t="s">
        <v>27636</v>
      </c>
      <c r="O6293" s="28" t="s">
        <v>27637</v>
      </c>
      <c r="P6293" s="28" t="s">
        <v>29932</v>
      </c>
    </row>
    <row r="6294" spans="1:16" x14ac:dyDescent="0.25">
      <c r="A6294" s="28" t="s">
        <v>31351</v>
      </c>
      <c r="B6294" s="28" t="s">
        <v>31352</v>
      </c>
      <c r="C6294" s="28" t="s">
        <v>29063</v>
      </c>
      <c r="D6294" s="28" t="s">
        <v>1204</v>
      </c>
      <c r="E6294" s="28" t="s">
        <v>29935</v>
      </c>
      <c r="F6294" s="28" t="s">
        <v>21</v>
      </c>
      <c r="G6294" s="28" t="s">
        <v>207</v>
      </c>
      <c r="H6294" s="28" t="s">
        <v>27631</v>
      </c>
      <c r="I6294" s="28" t="s">
        <v>31353</v>
      </c>
      <c r="J6294" s="28" t="s">
        <v>207</v>
      </c>
      <c r="K6294" s="28" t="s">
        <v>29066</v>
      </c>
      <c r="L6294" s="28" t="s">
        <v>27634</v>
      </c>
      <c r="M6294" s="28" t="s">
        <v>29937</v>
      </c>
      <c r="N6294" s="28" t="s">
        <v>27636</v>
      </c>
      <c r="O6294" s="28" t="s">
        <v>27637</v>
      </c>
      <c r="P6294" s="28" t="s">
        <v>29938</v>
      </c>
    </row>
    <row r="6295" spans="1:16" x14ac:dyDescent="0.25">
      <c r="A6295" s="28" t="s">
        <v>31354</v>
      </c>
      <c r="B6295" s="28" t="s">
        <v>31355</v>
      </c>
      <c r="C6295" s="28" t="s">
        <v>29063</v>
      </c>
      <c r="D6295" s="28" t="s">
        <v>1204</v>
      </c>
      <c r="E6295" s="28" t="s">
        <v>29941</v>
      </c>
      <c r="F6295" s="28" t="s">
        <v>21</v>
      </c>
      <c r="G6295" s="28" t="s">
        <v>207</v>
      </c>
      <c r="H6295" s="28" t="s">
        <v>27631</v>
      </c>
      <c r="I6295" s="28" t="s">
        <v>31356</v>
      </c>
      <c r="J6295" s="28" t="s">
        <v>207</v>
      </c>
      <c r="K6295" s="28" t="s">
        <v>29066</v>
      </c>
      <c r="L6295" s="28" t="s">
        <v>27634</v>
      </c>
      <c r="M6295" s="28" t="s">
        <v>29943</v>
      </c>
      <c r="N6295" s="28" t="s">
        <v>27636</v>
      </c>
      <c r="O6295" s="28" t="s">
        <v>27637</v>
      </c>
      <c r="P6295" s="28" t="s">
        <v>29944</v>
      </c>
    </row>
    <row r="6296" spans="1:16" x14ac:dyDescent="0.25">
      <c r="A6296" s="28" t="s">
        <v>31357</v>
      </c>
      <c r="B6296" s="28" t="s">
        <v>31358</v>
      </c>
      <c r="C6296" s="28" t="s">
        <v>29063</v>
      </c>
      <c r="D6296" s="28" t="s">
        <v>1204</v>
      </c>
      <c r="E6296" s="28" t="s">
        <v>29947</v>
      </c>
      <c r="F6296" s="28" t="s">
        <v>21</v>
      </c>
      <c r="G6296" s="28" t="s">
        <v>207</v>
      </c>
      <c r="H6296" s="28" t="s">
        <v>27631</v>
      </c>
      <c r="I6296" s="28" t="s">
        <v>31359</v>
      </c>
      <c r="J6296" s="28" t="s">
        <v>207</v>
      </c>
      <c r="K6296" s="28" t="s">
        <v>29066</v>
      </c>
      <c r="L6296" s="28" t="s">
        <v>27634</v>
      </c>
      <c r="M6296" s="28" t="s">
        <v>29949</v>
      </c>
      <c r="N6296" s="28" t="s">
        <v>27636</v>
      </c>
      <c r="O6296" s="28" t="s">
        <v>27637</v>
      </c>
      <c r="P6296" s="28" t="s">
        <v>29950</v>
      </c>
    </row>
    <row r="6297" spans="1:16" x14ac:dyDescent="0.25">
      <c r="A6297" s="28" t="s">
        <v>31360</v>
      </c>
      <c r="B6297" s="28" t="s">
        <v>31361</v>
      </c>
      <c r="C6297" s="28" t="s">
        <v>29063</v>
      </c>
      <c r="D6297" s="28" t="s">
        <v>1204</v>
      </c>
      <c r="E6297" s="28" t="s">
        <v>29953</v>
      </c>
      <c r="F6297" s="28" t="s">
        <v>21</v>
      </c>
      <c r="G6297" s="28" t="s">
        <v>207</v>
      </c>
      <c r="H6297" s="28" t="s">
        <v>27631</v>
      </c>
      <c r="I6297" s="28" t="s">
        <v>31362</v>
      </c>
      <c r="J6297" s="28" t="s">
        <v>207</v>
      </c>
      <c r="K6297" s="28" t="s">
        <v>29066</v>
      </c>
      <c r="L6297" s="28" t="s">
        <v>27634</v>
      </c>
      <c r="M6297" s="28" t="s">
        <v>29955</v>
      </c>
      <c r="N6297" s="28" t="s">
        <v>27636</v>
      </c>
      <c r="O6297" s="28" t="s">
        <v>27637</v>
      </c>
      <c r="P6297" s="28" t="s">
        <v>29956</v>
      </c>
    </row>
    <row r="6298" spans="1:16" x14ac:dyDescent="0.25">
      <c r="A6298" s="28" t="s">
        <v>31363</v>
      </c>
      <c r="B6298" s="28" t="s">
        <v>31364</v>
      </c>
      <c r="C6298" s="28" t="s">
        <v>29063</v>
      </c>
      <c r="D6298" s="28" t="s">
        <v>1204</v>
      </c>
      <c r="E6298" s="28" t="s">
        <v>12930</v>
      </c>
      <c r="F6298" s="28" t="s">
        <v>21</v>
      </c>
      <c r="G6298" s="28" t="s">
        <v>207</v>
      </c>
      <c r="H6298" s="28" t="s">
        <v>27631</v>
      </c>
      <c r="I6298" s="28" t="s">
        <v>31365</v>
      </c>
      <c r="J6298" s="28" t="s">
        <v>207</v>
      </c>
      <c r="K6298" s="28" t="s">
        <v>29066</v>
      </c>
      <c r="L6298" s="28" t="s">
        <v>27634</v>
      </c>
      <c r="M6298" s="28" t="s">
        <v>29960</v>
      </c>
      <c r="N6298" s="28" t="s">
        <v>27636</v>
      </c>
      <c r="O6298" s="28" t="s">
        <v>27637</v>
      </c>
      <c r="P6298" s="28" t="s">
        <v>29961</v>
      </c>
    </row>
    <row r="6299" spans="1:16" x14ac:dyDescent="0.25">
      <c r="A6299" s="28" t="s">
        <v>31366</v>
      </c>
      <c r="B6299" s="28" t="s">
        <v>31367</v>
      </c>
      <c r="C6299" s="28" t="s">
        <v>29063</v>
      </c>
      <c r="D6299" s="28" t="s">
        <v>1204</v>
      </c>
      <c r="E6299" s="28" t="s">
        <v>29964</v>
      </c>
      <c r="F6299" s="28" t="s">
        <v>21</v>
      </c>
      <c r="G6299" s="28" t="s">
        <v>207</v>
      </c>
      <c r="H6299" s="28" t="s">
        <v>27631</v>
      </c>
      <c r="I6299" s="28" t="s">
        <v>31368</v>
      </c>
      <c r="J6299" s="28" t="s">
        <v>207</v>
      </c>
      <c r="K6299" s="28" t="s">
        <v>29066</v>
      </c>
      <c r="L6299" s="28" t="s">
        <v>27634</v>
      </c>
      <c r="M6299" s="28" t="s">
        <v>29966</v>
      </c>
      <c r="N6299" s="28" t="s">
        <v>27636</v>
      </c>
      <c r="O6299" s="28" t="s">
        <v>27637</v>
      </c>
      <c r="P6299" s="28" t="s">
        <v>29967</v>
      </c>
    </row>
    <row r="6300" spans="1:16" x14ac:dyDescent="0.25">
      <c r="A6300" s="28" t="s">
        <v>31369</v>
      </c>
      <c r="B6300" s="28" t="s">
        <v>31370</v>
      </c>
      <c r="C6300" s="28" t="s">
        <v>29063</v>
      </c>
      <c r="D6300" s="28" t="s">
        <v>1204</v>
      </c>
      <c r="E6300" s="28" t="s">
        <v>29970</v>
      </c>
      <c r="F6300" s="28" t="s">
        <v>21</v>
      </c>
      <c r="G6300" s="28" t="s">
        <v>207</v>
      </c>
      <c r="H6300" s="28" t="s">
        <v>27631</v>
      </c>
      <c r="I6300" s="28" t="s">
        <v>31371</v>
      </c>
      <c r="J6300" s="28" t="s">
        <v>207</v>
      </c>
      <c r="K6300" s="28" t="s">
        <v>29066</v>
      </c>
      <c r="L6300" s="28" t="s">
        <v>27634</v>
      </c>
      <c r="M6300" s="28" t="s">
        <v>29972</v>
      </c>
      <c r="N6300" s="28" t="s">
        <v>27636</v>
      </c>
      <c r="O6300" s="28" t="s">
        <v>27637</v>
      </c>
      <c r="P6300" s="28" t="s">
        <v>29973</v>
      </c>
    </row>
    <row r="6301" spans="1:16" x14ac:dyDescent="0.25">
      <c r="A6301" s="28" t="s">
        <v>31372</v>
      </c>
      <c r="B6301" s="28" t="s">
        <v>31373</v>
      </c>
      <c r="C6301" s="28" t="s">
        <v>29063</v>
      </c>
      <c r="D6301" s="28" t="s">
        <v>1204</v>
      </c>
      <c r="E6301" s="28" t="s">
        <v>29976</v>
      </c>
      <c r="F6301" s="28" t="s">
        <v>21</v>
      </c>
      <c r="G6301" s="28" t="s">
        <v>207</v>
      </c>
      <c r="H6301" s="28" t="s">
        <v>27631</v>
      </c>
      <c r="I6301" s="28" t="s">
        <v>31374</v>
      </c>
      <c r="J6301" s="28" t="s">
        <v>207</v>
      </c>
      <c r="K6301" s="28" t="s">
        <v>29066</v>
      </c>
      <c r="L6301" s="28" t="s">
        <v>27634</v>
      </c>
      <c r="M6301" s="28" t="s">
        <v>29978</v>
      </c>
      <c r="N6301" s="28" t="s">
        <v>27636</v>
      </c>
      <c r="O6301" s="28" t="s">
        <v>27637</v>
      </c>
      <c r="P6301" s="28" t="s">
        <v>29979</v>
      </c>
    </row>
    <row r="6302" spans="1:16" x14ac:dyDescent="0.25">
      <c r="A6302" s="28" t="s">
        <v>31375</v>
      </c>
      <c r="B6302" s="28" t="s">
        <v>31376</v>
      </c>
      <c r="C6302" s="28" t="s">
        <v>29063</v>
      </c>
      <c r="D6302" s="28" t="s">
        <v>1204</v>
      </c>
      <c r="E6302" s="28" t="s">
        <v>29982</v>
      </c>
      <c r="F6302" s="28" t="s">
        <v>21</v>
      </c>
      <c r="G6302" s="28" t="s">
        <v>207</v>
      </c>
      <c r="H6302" s="28" t="s">
        <v>27631</v>
      </c>
      <c r="I6302" s="28" t="s">
        <v>31377</v>
      </c>
      <c r="J6302" s="28" t="s">
        <v>207</v>
      </c>
      <c r="K6302" s="28" t="s">
        <v>29066</v>
      </c>
      <c r="L6302" s="28" t="s">
        <v>27634</v>
      </c>
      <c r="M6302" s="28" t="s">
        <v>29984</v>
      </c>
      <c r="N6302" s="28" t="s">
        <v>27636</v>
      </c>
      <c r="O6302" s="28" t="s">
        <v>27637</v>
      </c>
      <c r="P6302" s="28" t="s">
        <v>29985</v>
      </c>
    </row>
    <row r="6303" spans="1:16" x14ac:dyDescent="0.25">
      <c r="A6303" s="28" t="s">
        <v>31378</v>
      </c>
      <c r="B6303" s="28" t="s">
        <v>31379</v>
      </c>
      <c r="C6303" s="28" t="s">
        <v>29063</v>
      </c>
      <c r="D6303" s="28" t="s">
        <v>1204</v>
      </c>
      <c r="E6303" s="28" t="s">
        <v>29988</v>
      </c>
      <c r="F6303" s="28" t="s">
        <v>21</v>
      </c>
      <c r="G6303" s="28" t="s">
        <v>207</v>
      </c>
      <c r="H6303" s="28" t="s">
        <v>27631</v>
      </c>
      <c r="I6303" s="28" t="s">
        <v>31380</v>
      </c>
      <c r="J6303" s="28" t="s">
        <v>207</v>
      </c>
      <c r="K6303" s="28" t="s">
        <v>29066</v>
      </c>
      <c r="L6303" s="28" t="s">
        <v>27634</v>
      </c>
      <c r="M6303" s="28" t="s">
        <v>29990</v>
      </c>
      <c r="N6303" s="28" t="s">
        <v>27636</v>
      </c>
      <c r="O6303" s="28" t="s">
        <v>27637</v>
      </c>
      <c r="P6303" s="28" t="s">
        <v>29991</v>
      </c>
    </row>
    <row r="6304" spans="1:16" x14ac:dyDescent="0.25">
      <c r="A6304" s="28" t="s">
        <v>31381</v>
      </c>
      <c r="B6304" s="28" t="s">
        <v>31382</v>
      </c>
      <c r="C6304" s="28" t="s">
        <v>29063</v>
      </c>
      <c r="D6304" s="28" t="s">
        <v>1204</v>
      </c>
      <c r="E6304" s="28" t="s">
        <v>29994</v>
      </c>
      <c r="F6304" s="28" t="s">
        <v>21</v>
      </c>
      <c r="G6304" s="28" t="s">
        <v>207</v>
      </c>
      <c r="H6304" s="28" t="s">
        <v>27631</v>
      </c>
      <c r="I6304" s="28" t="s">
        <v>31383</v>
      </c>
      <c r="J6304" s="28" t="s">
        <v>207</v>
      </c>
      <c r="K6304" s="28" t="s">
        <v>29066</v>
      </c>
      <c r="L6304" s="28" t="s">
        <v>27634</v>
      </c>
      <c r="M6304" s="28" t="s">
        <v>29996</v>
      </c>
      <c r="N6304" s="28" t="s">
        <v>27636</v>
      </c>
      <c r="O6304" s="28" t="s">
        <v>27637</v>
      </c>
      <c r="P6304" s="28" t="s">
        <v>29997</v>
      </c>
    </row>
    <row r="6305" spans="1:16" x14ac:dyDescent="0.25">
      <c r="A6305" s="28" t="s">
        <v>31384</v>
      </c>
      <c r="B6305" s="28" t="s">
        <v>31385</v>
      </c>
      <c r="C6305" s="28" t="s">
        <v>29063</v>
      </c>
      <c r="D6305" s="28" t="s">
        <v>1204</v>
      </c>
      <c r="E6305" s="28" t="s">
        <v>30000</v>
      </c>
      <c r="F6305" s="28" t="s">
        <v>21</v>
      </c>
      <c r="G6305" s="28" t="s">
        <v>207</v>
      </c>
      <c r="H6305" s="28" t="s">
        <v>27631</v>
      </c>
      <c r="I6305" s="28" t="s">
        <v>31386</v>
      </c>
      <c r="J6305" s="28" t="s">
        <v>207</v>
      </c>
      <c r="K6305" s="28" t="s">
        <v>29066</v>
      </c>
      <c r="L6305" s="28" t="s">
        <v>27634</v>
      </c>
      <c r="M6305" s="28" t="s">
        <v>30002</v>
      </c>
      <c r="N6305" s="28" t="s">
        <v>27636</v>
      </c>
      <c r="O6305" s="28" t="s">
        <v>27637</v>
      </c>
      <c r="P6305" s="28" t="s">
        <v>30003</v>
      </c>
    </row>
    <row r="6306" spans="1:16" x14ac:dyDescent="0.25">
      <c r="A6306" s="28" t="s">
        <v>31387</v>
      </c>
      <c r="B6306" s="28" t="s">
        <v>31388</v>
      </c>
      <c r="C6306" s="28" t="s">
        <v>29063</v>
      </c>
      <c r="D6306" s="28" t="s">
        <v>1204</v>
      </c>
      <c r="E6306" s="28" t="s">
        <v>30006</v>
      </c>
      <c r="F6306" s="28" t="s">
        <v>21</v>
      </c>
      <c r="G6306" s="28" t="s">
        <v>207</v>
      </c>
      <c r="H6306" s="28" t="s">
        <v>27631</v>
      </c>
      <c r="I6306" s="28" t="s">
        <v>31389</v>
      </c>
      <c r="J6306" s="28" t="s">
        <v>207</v>
      </c>
      <c r="K6306" s="28" t="s">
        <v>29066</v>
      </c>
      <c r="L6306" s="28" t="s">
        <v>27634</v>
      </c>
      <c r="M6306" s="28" t="s">
        <v>30008</v>
      </c>
      <c r="N6306" s="28" t="s">
        <v>27636</v>
      </c>
      <c r="O6306" s="28" t="s">
        <v>27637</v>
      </c>
      <c r="P6306" s="28" t="s">
        <v>30009</v>
      </c>
    </row>
    <row r="6307" spans="1:16" x14ac:dyDescent="0.25">
      <c r="A6307" s="28" t="s">
        <v>31390</v>
      </c>
      <c r="B6307" s="28" t="s">
        <v>31391</v>
      </c>
      <c r="C6307" s="28" t="s">
        <v>29063</v>
      </c>
      <c r="D6307" s="28" t="s">
        <v>1204</v>
      </c>
      <c r="E6307" s="28" t="s">
        <v>30012</v>
      </c>
      <c r="F6307" s="28" t="s">
        <v>21</v>
      </c>
      <c r="G6307" s="28" t="s">
        <v>207</v>
      </c>
      <c r="H6307" s="28" t="s">
        <v>27631</v>
      </c>
      <c r="I6307" s="28" t="s">
        <v>31392</v>
      </c>
      <c r="J6307" s="28" t="s">
        <v>207</v>
      </c>
      <c r="K6307" s="28" t="s">
        <v>29066</v>
      </c>
      <c r="L6307" s="28" t="s">
        <v>27634</v>
      </c>
      <c r="M6307" s="28" t="s">
        <v>30014</v>
      </c>
      <c r="N6307" s="28" t="s">
        <v>27636</v>
      </c>
      <c r="O6307" s="28" t="s">
        <v>27637</v>
      </c>
      <c r="P6307" s="28" t="s">
        <v>30015</v>
      </c>
    </row>
    <row r="6308" spans="1:16" x14ac:dyDescent="0.25">
      <c r="A6308" s="28" t="s">
        <v>31393</v>
      </c>
      <c r="B6308" s="28" t="s">
        <v>31394</v>
      </c>
      <c r="C6308" s="28" t="s">
        <v>29063</v>
      </c>
      <c r="D6308" s="28" t="s">
        <v>1204</v>
      </c>
      <c r="E6308" s="28" t="s">
        <v>30018</v>
      </c>
      <c r="F6308" s="28" t="s">
        <v>21</v>
      </c>
      <c r="G6308" s="28" t="s">
        <v>207</v>
      </c>
      <c r="H6308" s="28" t="s">
        <v>27631</v>
      </c>
      <c r="I6308" s="28" t="s">
        <v>31395</v>
      </c>
      <c r="J6308" s="28" t="s">
        <v>207</v>
      </c>
      <c r="K6308" s="28" t="s">
        <v>29066</v>
      </c>
      <c r="L6308" s="28" t="s">
        <v>27634</v>
      </c>
      <c r="M6308" s="28" t="s">
        <v>30020</v>
      </c>
      <c r="N6308" s="28" t="s">
        <v>27636</v>
      </c>
      <c r="O6308" s="28" t="s">
        <v>27637</v>
      </c>
      <c r="P6308" s="28" t="s">
        <v>30021</v>
      </c>
    </row>
    <row r="6309" spans="1:16" x14ac:dyDescent="0.25">
      <c r="A6309" s="28" t="s">
        <v>31396</v>
      </c>
      <c r="B6309" s="28" t="s">
        <v>31397</v>
      </c>
      <c r="C6309" s="28" t="s">
        <v>29063</v>
      </c>
      <c r="D6309" s="28" t="s">
        <v>1204</v>
      </c>
      <c r="E6309" s="28" t="s">
        <v>30024</v>
      </c>
      <c r="F6309" s="28" t="s">
        <v>21</v>
      </c>
      <c r="G6309" s="28" t="s">
        <v>207</v>
      </c>
      <c r="H6309" s="28" t="s">
        <v>27631</v>
      </c>
      <c r="I6309" s="28" t="s">
        <v>31398</v>
      </c>
      <c r="J6309" s="28" t="s">
        <v>207</v>
      </c>
      <c r="K6309" s="28" t="s">
        <v>29066</v>
      </c>
      <c r="L6309" s="28" t="s">
        <v>27634</v>
      </c>
      <c r="M6309" s="28" t="s">
        <v>30026</v>
      </c>
      <c r="N6309" s="28" t="s">
        <v>27636</v>
      </c>
      <c r="O6309" s="28" t="s">
        <v>27637</v>
      </c>
      <c r="P6309" s="28" t="s">
        <v>30027</v>
      </c>
    </row>
    <row r="6310" spans="1:16" x14ac:dyDescent="0.25">
      <c r="A6310" s="28" t="s">
        <v>31399</v>
      </c>
      <c r="B6310" s="28" t="s">
        <v>31400</v>
      </c>
      <c r="C6310" s="28" t="s">
        <v>29063</v>
      </c>
      <c r="D6310" s="28" t="s">
        <v>1204</v>
      </c>
      <c r="E6310" s="28" t="s">
        <v>30030</v>
      </c>
      <c r="F6310" s="28" t="s">
        <v>21</v>
      </c>
      <c r="G6310" s="28" t="s">
        <v>207</v>
      </c>
      <c r="H6310" s="28" t="s">
        <v>27631</v>
      </c>
      <c r="I6310" s="28" t="s">
        <v>31401</v>
      </c>
      <c r="J6310" s="28" t="s">
        <v>207</v>
      </c>
      <c r="K6310" s="28" t="s">
        <v>29066</v>
      </c>
      <c r="L6310" s="28" t="s">
        <v>27634</v>
      </c>
      <c r="M6310" s="28" t="s">
        <v>30032</v>
      </c>
      <c r="N6310" s="28" t="s">
        <v>27636</v>
      </c>
      <c r="O6310" s="28" t="s">
        <v>27637</v>
      </c>
      <c r="P6310" s="28" t="s">
        <v>30033</v>
      </c>
    </row>
    <row r="6311" spans="1:16" x14ac:dyDescent="0.25">
      <c r="A6311" s="28" t="s">
        <v>31402</v>
      </c>
      <c r="B6311" s="28" t="s">
        <v>31403</v>
      </c>
      <c r="C6311" s="28" t="s">
        <v>29063</v>
      </c>
      <c r="D6311" s="28" t="s">
        <v>1204</v>
      </c>
      <c r="E6311" s="28" t="s">
        <v>30036</v>
      </c>
      <c r="F6311" s="28" t="s">
        <v>21</v>
      </c>
      <c r="G6311" s="28" t="s">
        <v>207</v>
      </c>
      <c r="H6311" s="28" t="s">
        <v>27631</v>
      </c>
      <c r="I6311" s="28" t="s">
        <v>31404</v>
      </c>
      <c r="J6311" s="28" t="s">
        <v>207</v>
      </c>
      <c r="K6311" s="28" t="s">
        <v>29066</v>
      </c>
      <c r="L6311" s="28" t="s">
        <v>27634</v>
      </c>
      <c r="M6311" s="28" t="s">
        <v>30038</v>
      </c>
      <c r="N6311" s="28" t="s">
        <v>27636</v>
      </c>
      <c r="O6311" s="28" t="s">
        <v>27637</v>
      </c>
      <c r="P6311" s="28" t="s">
        <v>30039</v>
      </c>
    </row>
    <row r="6312" spans="1:16" x14ac:dyDescent="0.25">
      <c r="A6312" s="28" t="s">
        <v>31405</v>
      </c>
      <c r="B6312" s="28" t="s">
        <v>31406</v>
      </c>
      <c r="C6312" s="28" t="s">
        <v>29063</v>
      </c>
      <c r="D6312" s="28" t="s">
        <v>1204</v>
      </c>
      <c r="E6312" s="28" t="s">
        <v>30042</v>
      </c>
      <c r="F6312" s="28" t="s">
        <v>21</v>
      </c>
      <c r="G6312" s="28" t="s">
        <v>207</v>
      </c>
      <c r="H6312" s="28" t="s">
        <v>27631</v>
      </c>
      <c r="I6312" s="28" t="s">
        <v>31407</v>
      </c>
      <c r="J6312" s="28" t="s">
        <v>207</v>
      </c>
      <c r="K6312" s="28" t="s">
        <v>29066</v>
      </c>
      <c r="L6312" s="28" t="s">
        <v>27634</v>
      </c>
      <c r="M6312" s="28" t="s">
        <v>30044</v>
      </c>
      <c r="N6312" s="28" t="s">
        <v>27636</v>
      </c>
      <c r="O6312" s="28" t="s">
        <v>27637</v>
      </c>
      <c r="P6312" s="28" t="s">
        <v>30045</v>
      </c>
    </row>
    <row r="6313" spans="1:16" x14ac:dyDescent="0.25">
      <c r="A6313" s="28" t="s">
        <v>31408</v>
      </c>
      <c r="B6313" s="28" t="s">
        <v>31409</v>
      </c>
      <c r="C6313" s="28" t="s">
        <v>29063</v>
      </c>
      <c r="D6313" s="28" t="s">
        <v>1204</v>
      </c>
      <c r="E6313" s="28" t="s">
        <v>12936</v>
      </c>
      <c r="F6313" s="28" t="s">
        <v>21</v>
      </c>
      <c r="G6313" s="28" t="s">
        <v>207</v>
      </c>
      <c r="H6313" s="28" t="s">
        <v>27631</v>
      </c>
      <c r="I6313" s="28" t="s">
        <v>31410</v>
      </c>
      <c r="J6313" s="28" t="s">
        <v>207</v>
      </c>
      <c r="K6313" s="28" t="s">
        <v>29066</v>
      </c>
      <c r="L6313" s="28" t="s">
        <v>27634</v>
      </c>
      <c r="M6313" s="28" t="s">
        <v>30049</v>
      </c>
      <c r="N6313" s="28" t="s">
        <v>27636</v>
      </c>
      <c r="O6313" s="28" t="s">
        <v>27637</v>
      </c>
      <c r="P6313" s="28" t="s">
        <v>30050</v>
      </c>
    </row>
    <row r="6314" spans="1:16" x14ac:dyDescent="0.25">
      <c r="A6314" s="28" t="s">
        <v>31411</v>
      </c>
      <c r="B6314" s="28" t="s">
        <v>31412</v>
      </c>
      <c r="C6314" s="28" t="s">
        <v>29063</v>
      </c>
      <c r="D6314" s="28" t="s">
        <v>1204</v>
      </c>
      <c r="E6314" s="28" t="s">
        <v>30053</v>
      </c>
      <c r="F6314" s="28" t="s">
        <v>21</v>
      </c>
      <c r="G6314" s="28" t="s">
        <v>207</v>
      </c>
      <c r="H6314" s="28" t="s">
        <v>27631</v>
      </c>
      <c r="I6314" s="28" t="s">
        <v>31413</v>
      </c>
      <c r="J6314" s="28" t="s">
        <v>207</v>
      </c>
      <c r="K6314" s="28" t="s">
        <v>29066</v>
      </c>
      <c r="L6314" s="28" t="s">
        <v>27634</v>
      </c>
      <c r="M6314" s="28" t="s">
        <v>30055</v>
      </c>
      <c r="N6314" s="28" t="s">
        <v>27636</v>
      </c>
      <c r="O6314" s="28" t="s">
        <v>27637</v>
      </c>
      <c r="P6314" s="28" t="s">
        <v>30056</v>
      </c>
    </row>
    <row r="6315" spans="1:16" x14ac:dyDescent="0.25">
      <c r="A6315" s="28" t="s">
        <v>31414</v>
      </c>
      <c r="B6315" s="28" t="s">
        <v>31415</v>
      </c>
      <c r="C6315" s="28" t="s">
        <v>29063</v>
      </c>
      <c r="D6315" s="28" t="s">
        <v>1204</v>
      </c>
      <c r="E6315" s="28" t="s">
        <v>30059</v>
      </c>
      <c r="F6315" s="28" t="s">
        <v>21</v>
      </c>
      <c r="G6315" s="28" t="s">
        <v>207</v>
      </c>
      <c r="H6315" s="28" t="s">
        <v>27631</v>
      </c>
      <c r="I6315" s="28" t="s">
        <v>31416</v>
      </c>
      <c r="J6315" s="28" t="s">
        <v>207</v>
      </c>
      <c r="K6315" s="28" t="s">
        <v>29066</v>
      </c>
      <c r="L6315" s="28" t="s">
        <v>27634</v>
      </c>
      <c r="M6315" s="28" t="s">
        <v>30061</v>
      </c>
      <c r="N6315" s="28" t="s">
        <v>27636</v>
      </c>
      <c r="O6315" s="28" t="s">
        <v>27637</v>
      </c>
      <c r="P6315" s="28" t="s">
        <v>30062</v>
      </c>
    </row>
    <row r="6316" spans="1:16" x14ac:dyDescent="0.25">
      <c r="A6316" s="28" t="s">
        <v>31417</v>
      </c>
      <c r="B6316" s="28" t="s">
        <v>31418</v>
      </c>
      <c r="C6316" s="28" t="s">
        <v>29063</v>
      </c>
      <c r="D6316" s="28" t="s">
        <v>1204</v>
      </c>
      <c r="E6316" s="28" t="s">
        <v>30065</v>
      </c>
      <c r="F6316" s="28" t="s">
        <v>21</v>
      </c>
      <c r="G6316" s="28" t="s">
        <v>207</v>
      </c>
      <c r="H6316" s="28" t="s">
        <v>27631</v>
      </c>
      <c r="I6316" s="28" t="s">
        <v>31419</v>
      </c>
      <c r="J6316" s="28" t="s">
        <v>207</v>
      </c>
      <c r="K6316" s="28" t="s">
        <v>29066</v>
      </c>
      <c r="L6316" s="28" t="s">
        <v>27634</v>
      </c>
      <c r="M6316" s="28" t="s">
        <v>30067</v>
      </c>
      <c r="N6316" s="28" t="s">
        <v>27636</v>
      </c>
      <c r="O6316" s="28" t="s">
        <v>27637</v>
      </c>
      <c r="P6316" s="28" t="s">
        <v>30068</v>
      </c>
    </row>
    <row r="6317" spans="1:16" x14ac:dyDescent="0.25">
      <c r="A6317" s="28" t="s">
        <v>31420</v>
      </c>
      <c r="B6317" s="28" t="s">
        <v>31421</v>
      </c>
      <c r="C6317" s="28" t="s">
        <v>29063</v>
      </c>
      <c r="D6317" s="28" t="s">
        <v>1204</v>
      </c>
      <c r="E6317" s="28" t="s">
        <v>30071</v>
      </c>
      <c r="F6317" s="28" t="s">
        <v>21</v>
      </c>
      <c r="G6317" s="28" t="s">
        <v>207</v>
      </c>
      <c r="H6317" s="28" t="s">
        <v>27631</v>
      </c>
      <c r="I6317" s="28" t="s">
        <v>31422</v>
      </c>
      <c r="J6317" s="28" t="s">
        <v>207</v>
      </c>
      <c r="K6317" s="28" t="s">
        <v>29066</v>
      </c>
      <c r="L6317" s="28" t="s">
        <v>27634</v>
      </c>
      <c r="M6317" s="28" t="s">
        <v>30073</v>
      </c>
      <c r="N6317" s="28" t="s">
        <v>27636</v>
      </c>
      <c r="O6317" s="28" t="s">
        <v>27637</v>
      </c>
      <c r="P6317" s="28" t="s">
        <v>30074</v>
      </c>
    </row>
    <row r="6318" spans="1:16" x14ac:dyDescent="0.25">
      <c r="A6318" s="28" t="s">
        <v>31423</v>
      </c>
      <c r="B6318" s="28" t="s">
        <v>31424</v>
      </c>
      <c r="C6318" s="28" t="s">
        <v>29063</v>
      </c>
      <c r="D6318" s="28" t="s">
        <v>1204</v>
      </c>
      <c r="E6318" s="28" t="s">
        <v>30077</v>
      </c>
      <c r="F6318" s="28" t="s">
        <v>21</v>
      </c>
      <c r="G6318" s="28" t="s">
        <v>207</v>
      </c>
      <c r="H6318" s="28" t="s">
        <v>27631</v>
      </c>
      <c r="I6318" s="28" t="s">
        <v>31425</v>
      </c>
      <c r="J6318" s="28" t="s">
        <v>207</v>
      </c>
      <c r="K6318" s="28" t="s">
        <v>29066</v>
      </c>
      <c r="L6318" s="28" t="s">
        <v>27634</v>
      </c>
      <c r="M6318" s="28" t="s">
        <v>30079</v>
      </c>
      <c r="N6318" s="28" t="s">
        <v>27636</v>
      </c>
      <c r="O6318" s="28" t="s">
        <v>27637</v>
      </c>
      <c r="P6318" s="28" t="s">
        <v>30080</v>
      </c>
    </row>
    <row r="6319" spans="1:16" x14ac:dyDescent="0.25">
      <c r="A6319" s="28" t="s">
        <v>31426</v>
      </c>
      <c r="B6319" s="28" t="s">
        <v>31427</v>
      </c>
      <c r="C6319" s="28" t="s">
        <v>29063</v>
      </c>
      <c r="D6319" s="28" t="s">
        <v>1204</v>
      </c>
      <c r="E6319" s="28" t="s">
        <v>30083</v>
      </c>
      <c r="F6319" s="28" t="s">
        <v>21</v>
      </c>
      <c r="G6319" s="28" t="s">
        <v>207</v>
      </c>
      <c r="H6319" s="28" t="s">
        <v>27631</v>
      </c>
      <c r="I6319" s="28" t="s">
        <v>31428</v>
      </c>
      <c r="J6319" s="28" t="s">
        <v>207</v>
      </c>
      <c r="K6319" s="28" t="s">
        <v>29066</v>
      </c>
      <c r="L6319" s="28" t="s">
        <v>27634</v>
      </c>
      <c r="M6319" s="28" t="s">
        <v>30085</v>
      </c>
      <c r="N6319" s="28" t="s">
        <v>27636</v>
      </c>
      <c r="O6319" s="28" t="s">
        <v>27637</v>
      </c>
      <c r="P6319" s="28" t="s">
        <v>30086</v>
      </c>
    </row>
    <row r="6320" spans="1:16" x14ac:dyDescent="0.25">
      <c r="A6320" s="28" t="s">
        <v>31429</v>
      </c>
      <c r="B6320" s="28" t="s">
        <v>31430</v>
      </c>
      <c r="C6320" s="28" t="s">
        <v>29063</v>
      </c>
      <c r="D6320" s="28" t="s">
        <v>1204</v>
      </c>
      <c r="E6320" s="28" t="s">
        <v>30089</v>
      </c>
      <c r="F6320" s="28" t="s">
        <v>21</v>
      </c>
      <c r="G6320" s="28" t="s">
        <v>207</v>
      </c>
      <c r="H6320" s="28" t="s">
        <v>27631</v>
      </c>
      <c r="I6320" s="28" t="s">
        <v>31431</v>
      </c>
      <c r="J6320" s="28" t="s">
        <v>207</v>
      </c>
      <c r="K6320" s="28" t="s">
        <v>29066</v>
      </c>
      <c r="L6320" s="28" t="s">
        <v>27634</v>
      </c>
      <c r="M6320" s="28" t="s">
        <v>30091</v>
      </c>
      <c r="N6320" s="28" t="s">
        <v>27636</v>
      </c>
      <c r="O6320" s="28" t="s">
        <v>27637</v>
      </c>
      <c r="P6320" s="28" t="s">
        <v>30092</v>
      </c>
    </row>
    <row r="6321" spans="1:16" x14ac:dyDescent="0.25">
      <c r="A6321" s="28" t="s">
        <v>31432</v>
      </c>
      <c r="B6321" s="28" t="s">
        <v>31433</v>
      </c>
      <c r="C6321" s="28" t="s">
        <v>29063</v>
      </c>
      <c r="D6321" s="28" t="s">
        <v>1204</v>
      </c>
      <c r="E6321" s="28" t="s">
        <v>30095</v>
      </c>
      <c r="F6321" s="28" t="s">
        <v>21</v>
      </c>
      <c r="G6321" s="28" t="s">
        <v>207</v>
      </c>
      <c r="H6321" s="28" t="s">
        <v>27631</v>
      </c>
      <c r="I6321" s="28" t="s">
        <v>31434</v>
      </c>
      <c r="J6321" s="28" t="s">
        <v>207</v>
      </c>
      <c r="K6321" s="28" t="s">
        <v>29066</v>
      </c>
      <c r="L6321" s="28" t="s">
        <v>27634</v>
      </c>
      <c r="M6321" s="28" t="s">
        <v>30097</v>
      </c>
      <c r="N6321" s="28" t="s">
        <v>27636</v>
      </c>
      <c r="O6321" s="28" t="s">
        <v>27637</v>
      </c>
      <c r="P6321" s="28" t="s">
        <v>30098</v>
      </c>
    </row>
    <row r="6322" spans="1:16" x14ac:dyDescent="0.25">
      <c r="A6322" s="28" t="s">
        <v>31435</v>
      </c>
      <c r="B6322" s="28" t="s">
        <v>31436</v>
      </c>
      <c r="C6322" s="28" t="s">
        <v>29063</v>
      </c>
      <c r="D6322" s="28" t="s">
        <v>1204</v>
      </c>
      <c r="E6322" s="28" t="s">
        <v>30101</v>
      </c>
      <c r="F6322" s="28" t="s">
        <v>21</v>
      </c>
      <c r="G6322" s="28" t="s">
        <v>207</v>
      </c>
      <c r="H6322" s="28" t="s">
        <v>27631</v>
      </c>
      <c r="I6322" s="28" t="s">
        <v>31437</v>
      </c>
      <c r="J6322" s="28" t="s">
        <v>207</v>
      </c>
      <c r="K6322" s="28" t="s">
        <v>29066</v>
      </c>
      <c r="L6322" s="28" t="s">
        <v>27634</v>
      </c>
      <c r="M6322" s="28" t="s">
        <v>30103</v>
      </c>
      <c r="N6322" s="28" t="s">
        <v>27636</v>
      </c>
      <c r="O6322" s="28" t="s">
        <v>27637</v>
      </c>
      <c r="P6322" s="28" t="s">
        <v>30104</v>
      </c>
    </row>
    <row r="6323" spans="1:16" x14ac:dyDescent="0.25">
      <c r="A6323" s="28" t="s">
        <v>31438</v>
      </c>
      <c r="B6323" s="28" t="s">
        <v>31439</v>
      </c>
      <c r="C6323" s="28" t="s">
        <v>29063</v>
      </c>
      <c r="D6323" s="28" t="s">
        <v>1204</v>
      </c>
      <c r="E6323" s="28" t="s">
        <v>30107</v>
      </c>
      <c r="F6323" s="28" t="s">
        <v>21</v>
      </c>
      <c r="G6323" s="28" t="s">
        <v>207</v>
      </c>
      <c r="H6323" s="28" t="s">
        <v>27631</v>
      </c>
      <c r="I6323" s="28" t="s">
        <v>31440</v>
      </c>
      <c r="J6323" s="28" t="s">
        <v>207</v>
      </c>
      <c r="K6323" s="28" t="s">
        <v>29066</v>
      </c>
      <c r="L6323" s="28" t="s">
        <v>27634</v>
      </c>
      <c r="M6323" s="28" t="s">
        <v>30109</v>
      </c>
      <c r="N6323" s="28" t="s">
        <v>27636</v>
      </c>
      <c r="O6323" s="28" t="s">
        <v>27637</v>
      </c>
      <c r="P6323" s="28" t="s">
        <v>30110</v>
      </c>
    </row>
    <row r="6324" spans="1:16" x14ac:dyDescent="0.25">
      <c r="A6324" s="28" t="s">
        <v>31441</v>
      </c>
      <c r="B6324" s="28" t="s">
        <v>31442</v>
      </c>
      <c r="C6324" s="28" t="s">
        <v>29063</v>
      </c>
      <c r="D6324" s="28" t="s">
        <v>1204</v>
      </c>
      <c r="E6324" s="28" t="s">
        <v>30113</v>
      </c>
      <c r="F6324" s="28" t="s">
        <v>21</v>
      </c>
      <c r="G6324" s="28" t="s">
        <v>207</v>
      </c>
      <c r="H6324" s="28" t="s">
        <v>27631</v>
      </c>
      <c r="I6324" s="28" t="s">
        <v>31443</v>
      </c>
      <c r="J6324" s="28" t="s">
        <v>207</v>
      </c>
      <c r="K6324" s="28" t="s">
        <v>29066</v>
      </c>
      <c r="L6324" s="28" t="s">
        <v>27634</v>
      </c>
      <c r="M6324" s="28" t="s">
        <v>30115</v>
      </c>
      <c r="N6324" s="28" t="s">
        <v>27636</v>
      </c>
      <c r="O6324" s="28" t="s">
        <v>27637</v>
      </c>
      <c r="P6324" s="28" t="s">
        <v>30116</v>
      </c>
    </row>
    <row r="6325" spans="1:16" x14ac:dyDescent="0.25">
      <c r="A6325" s="28" t="s">
        <v>31444</v>
      </c>
      <c r="B6325" s="28" t="s">
        <v>31445</v>
      </c>
      <c r="C6325" s="28" t="s">
        <v>29063</v>
      </c>
      <c r="D6325" s="28" t="s">
        <v>1204</v>
      </c>
      <c r="E6325" s="28" t="s">
        <v>30119</v>
      </c>
      <c r="F6325" s="28" t="s">
        <v>21</v>
      </c>
      <c r="G6325" s="28" t="s">
        <v>207</v>
      </c>
      <c r="H6325" s="28" t="s">
        <v>27631</v>
      </c>
      <c r="I6325" s="28" t="s">
        <v>31446</v>
      </c>
      <c r="J6325" s="28" t="s">
        <v>207</v>
      </c>
      <c r="K6325" s="28" t="s">
        <v>29066</v>
      </c>
      <c r="L6325" s="28" t="s">
        <v>27634</v>
      </c>
      <c r="M6325" s="28" t="s">
        <v>30121</v>
      </c>
      <c r="N6325" s="28" t="s">
        <v>27636</v>
      </c>
      <c r="O6325" s="28" t="s">
        <v>27637</v>
      </c>
      <c r="P6325" s="28" t="s">
        <v>30122</v>
      </c>
    </row>
    <row r="6326" spans="1:16" x14ac:dyDescent="0.25">
      <c r="A6326" s="28" t="s">
        <v>31447</v>
      </c>
      <c r="B6326" s="28" t="s">
        <v>31448</v>
      </c>
      <c r="C6326" s="28" t="s">
        <v>29063</v>
      </c>
      <c r="D6326" s="28" t="s">
        <v>1204</v>
      </c>
      <c r="E6326" s="28" t="s">
        <v>30125</v>
      </c>
      <c r="F6326" s="28" t="s">
        <v>21</v>
      </c>
      <c r="G6326" s="28" t="s">
        <v>207</v>
      </c>
      <c r="H6326" s="28" t="s">
        <v>27631</v>
      </c>
      <c r="I6326" s="28" t="s">
        <v>31449</v>
      </c>
      <c r="J6326" s="28" t="s">
        <v>207</v>
      </c>
      <c r="K6326" s="28" t="s">
        <v>29066</v>
      </c>
      <c r="L6326" s="28" t="s">
        <v>27634</v>
      </c>
      <c r="M6326" s="28" t="s">
        <v>30127</v>
      </c>
      <c r="N6326" s="28" t="s">
        <v>27636</v>
      </c>
      <c r="O6326" s="28" t="s">
        <v>27637</v>
      </c>
      <c r="P6326" s="28" t="s">
        <v>30128</v>
      </c>
    </row>
    <row r="6327" spans="1:16" x14ac:dyDescent="0.25">
      <c r="A6327" s="28" t="s">
        <v>31450</v>
      </c>
      <c r="B6327" s="28" t="s">
        <v>31451</v>
      </c>
      <c r="C6327" s="28" t="s">
        <v>29063</v>
      </c>
      <c r="D6327" s="28" t="s">
        <v>1204</v>
      </c>
      <c r="E6327" s="28" t="s">
        <v>30131</v>
      </c>
      <c r="F6327" s="28" t="s">
        <v>21</v>
      </c>
      <c r="G6327" s="28" t="s">
        <v>207</v>
      </c>
      <c r="H6327" s="28" t="s">
        <v>27631</v>
      </c>
      <c r="I6327" s="28" t="s">
        <v>31452</v>
      </c>
      <c r="J6327" s="28" t="s">
        <v>207</v>
      </c>
      <c r="K6327" s="28" t="s">
        <v>29066</v>
      </c>
      <c r="L6327" s="28" t="s">
        <v>27634</v>
      </c>
      <c r="M6327" s="28" t="s">
        <v>30133</v>
      </c>
      <c r="N6327" s="28" t="s">
        <v>27636</v>
      </c>
      <c r="O6327" s="28" t="s">
        <v>27637</v>
      </c>
      <c r="P6327" s="28" t="s">
        <v>30134</v>
      </c>
    </row>
    <row r="6328" spans="1:16" x14ac:dyDescent="0.25">
      <c r="A6328" s="28" t="s">
        <v>31453</v>
      </c>
      <c r="B6328" s="28" t="s">
        <v>31454</v>
      </c>
      <c r="C6328" s="28" t="s">
        <v>29063</v>
      </c>
      <c r="D6328" s="28" t="s">
        <v>1204</v>
      </c>
      <c r="E6328" s="28" t="s">
        <v>12942</v>
      </c>
      <c r="F6328" s="28" t="s">
        <v>21</v>
      </c>
      <c r="G6328" s="28" t="s">
        <v>207</v>
      </c>
      <c r="H6328" s="28" t="s">
        <v>27631</v>
      </c>
      <c r="I6328" s="28" t="s">
        <v>31455</v>
      </c>
      <c r="J6328" s="28" t="s">
        <v>207</v>
      </c>
      <c r="K6328" s="28" t="s">
        <v>29066</v>
      </c>
      <c r="L6328" s="28" t="s">
        <v>27634</v>
      </c>
      <c r="M6328" s="28" t="s">
        <v>30138</v>
      </c>
      <c r="N6328" s="28" t="s">
        <v>27636</v>
      </c>
      <c r="O6328" s="28" t="s">
        <v>27637</v>
      </c>
      <c r="P6328" s="28" t="s">
        <v>30139</v>
      </c>
    </row>
    <row r="6329" spans="1:16" x14ac:dyDescent="0.25">
      <c r="A6329" s="28" t="s">
        <v>31456</v>
      </c>
      <c r="B6329" s="28" t="s">
        <v>31457</v>
      </c>
      <c r="C6329" s="28" t="s">
        <v>29063</v>
      </c>
      <c r="D6329" s="28" t="s">
        <v>1204</v>
      </c>
      <c r="E6329" s="28" t="s">
        <v>12948</v>
      </c>
      <c r="F6329" s="28" t="s">
        <v>21</v>
      </c>
      <c r="G6329" s="28" t="s">
        <v>207</v>
      </c>
      <c r="H6329" s="28" t="s">
        <v>27631</v>
      </c>
      <c r="I6329" s="28" t="s">
        <v>31458</v>
      </c>
      <c r="J6329" s="28" t="s">
        <v>207</v>
      </c>
      <c r="K6329" s="28" t="s">
        <v>29066</v>
      </c>
      <c r="L6329" s="28" t="s">
        <v>27634</v>
      </c>
      <c r="M6329" s="28" t="s">
        <v>30143</v>
      </c>
      <c r="N6329" s="28" t="s">
        <v>27636</v>
      </c>
      <c r="O6329" s="28" t="s">
        <v>27637</v>
      </c>
      <c r="P6329" s="28" t="s">
        <v>30144</v>
      </c>
    </row>
    <row r="6330" spans="1:16" x14ac:dyDescent="0.25">
      <c r="A6330" s="28" t="s">
        <v>31459</v>
      </c>
      <c r="B6330" s="28" t="s">
        <v>31460</v>
      </c>
      <c r="C6330" s="28" t="s">
        <v>29063</v>
      </c>
      <c r="D6330" s="28" t="s">
        <v>1204</v>
      </c>
      <c r="E6330" s="28" t="s">
        <v>30147</v>
      </c>
      <c r="F6330" s="28" t="s">
        <v>21</v>
      </c>
      <c r="G6330" s="28" t="s">
        <v>207</v>
      </c>
      <c r="H6330" s="28" t="s">
        <v>27631</v>
      </c>
      <c r="I6330" s="28" t="s">
        <v>31461</v>
      </c>
      <c r="J6330" s="28" t="s">
        <v>207</v>
      </c>
      <c r="K6330" s="28" t="s">
        <v>29066</v>
      </c>
      <c r="L6330" s="28" t="s">
        <v>27634</v>
      </c>
      <c r="M6330" s="28" t="s">
        <v>30149</v>
      </c>
      <c r="N6330" s="28" t="s">
        <v>27636</v>
      </c>
      <c r="O6330" s="28" t="s">
        <v>27637</v>
      </c>
      <c r="P6330" s="28" t="s">
        <v>30150</v>
      </c>
    </row>
    <row r="6331" spans="1:16" x14ac:dyDescent="0.25">
      <c r="A6331" s="28" t="s">
        <v>31462</v>
      </c>
      <c r="B6331" s="28" t="s">
        <v>31463</v>
      </c>
      <c r="C6331" s="28" t="s">
        <v>29063</v>
      </c>
      <c r="D6331" s="28" t="s">
        <v>1204</v>
      </c>
      <c r="E6331" s="28" t="s">
        <v>30153</v>
      </c>
      <c r="F6331" s="28" t="s">
        <v>21</v>
      </c>
      <c r="G6331" s="28" t="s">
        <v>207</v>
      </c>
      <c r="H6331" s="28" t="s">
        <v>27631</v>
      </c>
      <c r="I6331" s="28" t="s">
        <v>31464</v>
      </c>
      <c r="J6331" s="28" t="s">
        <v>207</v>
      </c>
      <c r="K6331" s="28" t="s">
        <v>29066</v>
      </c>
      <c r="L6331" s="28" t="s">
        <v>27634</v>
      </c>
      <c r="M6331" s="28" t="s">
        <v>30155</v>
      </c>
      <c r="N6331" s="28" t="s">
        <v>27636</v>
      </c>
      <c r="O6331" s="28" t="s">
        <v>27637</v>
      </c>
      <c r="P6331" s="28" t="s">
        <v>30156</v>
      </c>
    </row>
    <row r="6332" spans="1:16" x14ac:dyDescent="0.25">
      <c r="A6332" s="28" t="s">
        <v>31465</v>
      </c>
      <c r="B6332" s="28" t="s">
        <v>31466</v>
      </c>
      <c r="C6332" s="28" t="s">
        <v>29063</v>
      </c>
      <c r="D6332" s="28" t="s">
        <v>1204</v>
      </c>
      <c r="E6332" s="28" t="s">
        <v>30159</v>
      </c>
      <c r="F6332" s="28" t="s">
        <v>21</v>
      </c>
      <c r="G6332" s="28" t="s">
        <v>207</v>
      </c>
      <c r="H6332" s="28" t="s">
        <v>27631</v>
      </c>
      <c r="I6332" s="28" t="s">
        <v>31467</v>
      </c>
      <c r="J6332" s="28" t="s">
        <v>207</v>
      </c>
      <c r="K6332" s="28" t="s">
        <v>29066</v>
      </c>
      <c r="L6332" s="28" t="s">
        <v>27634</v>
      </c>
      <c r="M6332" s="28" t="s">
        <v>30161</v>
      </c>
      <c r="N6332" s="28" t="s">
        <v>27636</v>
      </c>
      <c r="O6332" s="28" t="s">
        <v>27637</v>
      </c>
      <c r="P6332" s="28" t="s">
        <v>30162</v>
      </c>
    </row>
    <row r="6333" spans="1:16" x14ac:dyDescent="0.25">
      <c r="A6333" s="28" t="s">
        <v>31468</v>
      </c>
      <c r="B6333" s="28" t="s">
        <v>31469</v>
      </c>
      <c r="C6333" s="28" t="s">
        <v>29063</v>
      </c>
      <c r="D6333" s="28" t="s">
        <v>1204</v>
      </c>
      <c r="E6333" s="28" t="s">
        <v>30165</v>
      </c>
      <c r="F6333" s="28" t="s">
        <v>21</v>
      </c>
      <c r="G6333" s="28" t="s">
        <v>207</v>
      </c>
      <c r="H6333" s="28" t="s">
        <v>27631</v>
      </c>
      <c r="I6333" s="28" t="s">
        <v>31470</v>
      </c>
      <c r="J6333" s="28" t="s">
        <v>207</v>
      </c>
      <c r="K6333" s="28" t="s">
        <v>29066</v>
      </c>
      <c r="L6333" s="28" t="s">
        <v>27634</v>
      </c>
      <c r="M6333" s="28" t="s">
        <v>30167</v>
      </c>
      <c r="N6333" s="28" t="s">
        <v>27636</v>
      </c>
      <c r="O6333" s="28" t="s">
        <v>27637</v>
      </c>
      <c r="P6333" s="28" t="s">
        <v>30168</v>
      </c>
    </row>
    <row r="6334" spans="1:16" x14ac:dyDescent="0.25">
      <c r="A6334" s="28" t="s">
        <v>31471</v>
      </c>
      <c r="B6334" s="28" t="s">
        <v>31472</v>
      </c>
      <c r="C6334" s="28" t="s">
        <v>29063</v>
      </c>
      <c r="D6334" s="28" t="s">
        <v>1204</v>
      </c>
      <c r="E6334" s="28" t="s">
        <v>30171</v>
      </c>
      <c r="F6334" s="28" t="s">
        <v>21</v>
      </c>
      <c r="G6334" s="28" t="s">
        <v>207</v>
      </c>
      <c r="H6334" s="28" t="s">
        <v>27631</v>
      </c>
      <c r="I6334" s="28" t="s">
        <v>31473</v>
      </c>
      <c r="J6334" s="28" t="s">
        <v>207</v>
      </c>
      <c r="K6334" s="28" t="s">
        <v>29066</v>
      </c>
      <c r="L6334" s="28" t="s">
        <v>27634</v>
      </c>
      <c r="M6334" s="28" t="s">
        <v>30173</v>
      </c>
      <c r="N6334" s="28" t="s">
        <v>27636</v>
      </c>
      <c r="O6334" s="28" t="s">
        <v>27637</v>
      </c>
      <c r="P6334" s="28" t="s">
        <v>30174</v>
      </c>
    </row>
    <row r="6335" spans="1:16" x14ac:dyDescent="0.25">
      <c r="A6335" s="28" t="s">
        <v>31474</v>
      </c>
      <c r="B6335" s="28" t="s">
        <v>31475</v>
      </c>
      <c r="C6335" s="28" t="s">
        <v>29063</v>
      </c>
      <c r="D6335" s="28" t="s">
        <v>1204</v>
      </c>
      <c r="E6335" s="28" t="s">
        <v>30177</v>
      </c>
      <c r="F6335" s="28" t="s">
        <v>21</v>
      </c>
      <c r="G6335" s="28" t="s">
        <v>207</v>
      </c>
      <c r="H6335" s="28" t="s">
        <v>27631</v>
      </c>
      <c r="I6335" s="28" t="s">
        <v>31476</v>
      </c>
      <c r="J6335" s="28" t="s">
        <v>207</v>
      </c>
      <c r="K6335" s="28" t="s">
        <v>29066</v>
      </c>
      <c r="L6335" s="28" t="s">
        <v>27634</v>
      </c>
      <c r="M6335" s="28" t="s">
        <v>30179</v>
      </c>
      <c r="N6335" s="28" t="s">
        <v>27636</v>
      </c>
      <c r="O6335" s="28" t="s">
        <v>27637</v>
      </c>
      <c r="P6335" s="28" t="s">
        <v>30180</v>
      </c>
    </row>
    <row r="6336" spans="1:16" x14ac:dyDescent="0.25">
      <c r="A6336" s="28" t="s">
        <v>31477</v>
      </c>
      <c r="B6336" s="28" t="s">
        <v>31478</v>
      </c>
      <c r="C6336" s="28" t="s">
        <v>29063</v>
      </c>
      <c r="D6336" s="28" t="s">
        <v>1204</v>
      </c>
      <c r="E6336" s="28" t="s">
        <v>30183</v>
      </c>
      <c r="F6336" s="28" t="s">
        <v>21</v>
      </c>
      <c r="G6336" s="28" t="s">
        <v>207</v>
      </c>
      <c r="H6336" s="28" t="s">
        <v>27631</v>
      </c>
      <c r="I6336" s="28" t="s">
        <v>31479</v>
      </c>
      <c r="J6336" s="28" t="s">
        <v>207</v>
      </c>
      <c r="K6336" s="28" t="s">
        <v>29066</v>
      </c>
      <c r="L6336" s="28" t="s">
        <v>27634</v>
      </c>
      <c r="M6336" s="28" t="s">
        <v>30185</v>
      </c>
      <c r="N6336" s="28" t="s">
        <v>27636</v>
      </c>
      <c r="O6336" s="28" t="s">
        <v>27637</v>
      </c>
      <c r="P6336" s="28" t="s">
        <v>30186</v>
      </c>
    </row>
    <row r="6337" spans="1:16" x14ac:dyDescent="0.25">
      <c r="A6337" s="28" t="s">
        <v>31480</v>
      </c>
      <c r="B6337" s="28" t="s">
        <v>31481</v>
      </c>
      <c r="C6337" s="28" t="s">
        <v>29063</v>
      </c>
      <c r="D6337" s="28" t="s">
        <v>1204</v>
      </c>
      <c r="E6337" s="28" t="s">
        <v>30189</v>
      </c>
      <c r="F6337" s="28" t="s">
        <v>21</v>
      </c>
      <c r="G6337" s="28" t="s">
        <v>207</v>
      </c>
      <c r="H6337" s="28" t="s">
        <v>27631</v>
      </c>
      <c r="I6337" s="28" t="s">
        <v>31482</v>
      </c>
      <c r="J6337" s="28" t="s">
        <v>207</v>
      </c>
      <c r="K6337" s="28" t="s">
        <v>29066</v>
      </c>
      <c r="L6337" s="28" t="s">
        <v>27634</v>
      </c>
      <c r="M6337" s="28" t="s">
        <v>30191</v>
      </c>
      <c r="N6337" s="28" t="s">
        <v>27636</v>
      </c>
      <c r="O6337" s="28" t="s">
        <v>27637</v>
      </c>
      <c r="P6337" s="28" t="s">
        <v>30192</v>
      </c>
    </row>
    <row r="6338" spans="1:16" x14ac:dyDescent="0.25">
      <c r="A6338" s="28" t="s">
        <v>31483</v>
      </c>
      <c r="B6338" s="28" t="s">
        <v>31484</v>
      </c>
      <c r="C6338" s="28" t="s">
        <v>29063</v>
      </c>
      <c r="D6338" s="28" t="s">
        <v>1204</v>
      </c>
      <c r="E6338" s="28" t="s">
        <v>30195</v>
      </c>
      <c r="F6338" s="28" t="s">
        <v>21</v>
      </c>
      <c r="G6338" s="28" t="s">
        <v>207</v>
      </c>
      <c r="H6338" s="28" t="s">
        <v>27631</v>
      </c>
      <c r="I6338" s="28" t="s">
        <v>31485</v>
      </c>
      <c r="J6338" s="28" t="s">
        <v>207</v>
      </c>
      <c r="K6338" s="28" t="s">
        <v>29066</v>
      </c>
      <c r="L6338" s="28" t="s">
        <v>27634</v>
      </c>
      <c r="M6338" s="28" t="s">
        <v>30197</v>
      </c>
      <c r="N6338" s="28" t="s">
        <v>27636</v>
      </c>
      <c r="O6338" s="28" t="s">
        <v>27637</v>
      </c>
      <c r="P6338" s="28" t="s">
        <v>30198</v>
      </c>
    </row>
    <row r="6339" spans="1:16" x14ac:dyDescent="0.25">
      <c r="A6339" s="28" t="s">
        <v>31486</v>
      </c>
      <c r="B6339" s="28" t="s">
        <v>31487</v>
      </c>
      <c r="C6339" s="28" t="s">
        <v>29063</v>
      </c>
      <c r="D6339" s="28" t="s">
        <v>1204</v>
      </c>
      <c r="E6339" s="28" t="s">
        <v>30201</v>
      </c>
      <c r="F6339" s="28" t="s">
        <v>21</v>
      </c>
      <c r="G6339" s="28" t="s">
        <v>207</v>
      </c>
      <c r="H6339" s="28" t="s">
        <v>27631</v>
      </c>
      <c r="I6339" s="28" t="s">
        <v>31488</v>
      </c>
      <c r="J6339" s="28" t="s">
        <v>207</v>
      </c>
      <c r="K6339" s="28" t="s">
        <v>29066</v>
      </c>
      <c r="L6339" s="28" t="s">
        <v>27634</v>
      </c>
      <c r="M6339" s="28" t="s">
        <v>30203</v>
      </c>
      <c r="N6339" s="28" t="s">
        <v>27636</v>
      </c>
      <c r="O6339" s="28" t="s">
        <v>27637</v>
      </c>
      <c r="P6339" s="28" t="s">
        <v>30204</v>
      </c>
    </row>
    <row r="6340" spans="1:16" x14ac:dyDescent="0.25">
      <c r="A6340" s="28" t="s">
        <v>31489</v>
      </c>
      <c r="B6340" s="28" t="s">
        <v>31490</v>
      </c>
      <c r="C6340" s="28" t="s">
        <v>29063</v>
      </c>
      <c r="D6340" s="28" t="s">
        <v>1204</v>
      </c>
      <c r="E6340" s="28" t="s">
        <v>30207</v>
      </c>
      <c r="F6340" s="28" t="s">
        <v>21</v>
      </c>
      <c r="G6340" s="28" t="s">
        <v>207</v>
      </c>
      <c r="H6340" s="28" t="s">
        <v>27631</v>
      </c>
      <c r="I6340" s="28" t="s">
        <v>31491</v>
      </c>
      <c r="J6340" s="28" t="s">
        <v>207</v>
      </c>
      <c r="K6340" s="28" t="s">
        <v>29066</v>
      </c>
      <c r="L6340" s="28" t="s">
        <v>27634</v>
      </c>
      <c r="M6340" s="28" t="s">
        <v>30209</v>
      </c>
      <c r="N6340" s="28" t="s">
        <v>27636</v>
      </c>
      <c r="O6340" s="28" t="s">
        <v>27637</v>
      </c>
      <c r="P6340" s="28" t="s">
        <v>30210</v>
      </c>
    </row>
    <row r="6341" spans="1:16" x14ac:dyDescent="0.25">
      <c r="A6341" s="28" t="s">
        <v>31492</v>
      </c>
      <c r="B6341" s="28" t="s">
        <v>31493</v>
      </c>
      <c r="C6341" s="28" t="s">
        <v>29063</v>
      </c>
      <c r="D6341" s="28" t="s">
        <v>1204</v>
      </c>
      <c r="E6341" s="28" t="s">
        <v>12954</v>
      </c>
      <c r="F6341" s="28" t="s">
        <v>21</v>
      </c>
      <c r="G6341" s="28" t="s">
        <v>207</v>
      </c>
      <c r="H6341" s="28" t="s">
        <v>27631</v>
      </c>
      <c r="I6341" s="28" t="s">
        <v>31494</v>
      </c>
      <c r="J6341" s="28" t="s">
        <v>207</v>
      </c>
      <c r="K6341" s="28" t="s">
        <v>29066</v>
      </c>
      <c r="L6341" s="28" t="s">
        <v>27634</v>
      </c>
      <c r="M6341" s="28" t="s">
        <v>30214</v>
      </c>
      <c r="N6341" s="28" t="s">
        <v>27636</v>
      </c>
      <c r="O6341" s="28" t="s">
        <v>27637</v>
      </c>
      <c r="P6341" s="28" t="s">
        <v>30215</v>
      </c>
    </row>
    <row r="6342" spans="1:16" x14ac:dyDescent="0.25">
      <c r="A6342" s="28" t="s">
        <v>31495</v>
      </c>
      <c r="B6342" s="28" t="s">
        <v>31496</v>
      </c>
      <c r="C6342" s="28" t="s">
        <v>29063</v>
      </c>
      <c r="D6342" s="28" t="s">
        <v>1204</v>
      </c>
      <c r="E6342" s="28" t="s">
        <v>30218</v>
      </c>
      <c r="F6342" s="28" t="s">
        <v>21</v>
      </c>
      <c r="G6342" s="28" t="s">
        <v>207</v>
      </c>
      <c r="H6342" s="28" t="s">
        <v>27631</v>
      </c>
      <c r="I6342" s="28" t="s">
        <v>31497</v>
      </c>
      <c r="J6342" s="28" t="s">
        <v>207</v>
      </c>
      <c r="K6342" s="28" t="s">
        <v>29066</v>
      </c>
      <c r="L6342" s="28" t="s">
        <v>27634</v>
      </c>
      <c r="M6342" s="28" t="s">
        <v>30220</v>
      </c>
      <c r="N6342" s="28" t="s">
        <v>27636</v>
      </c>
      <c r="O6342" s="28" t="s">
        <v>27637</v>
      </c>
      <c r="P6342" s="28" t="s">
        <v>30221</v>
      </c>
    </row>
    <row r="6343" spans="1:16" x14ac:dyDescent="0.25">
      <c r="A6343" s="28" t="s">
        <v>31498</v>
      </c>
      <c r="B6343" s="28" t="s">
        <v>31499</v>
      </c>
      <c r="C6343" s="28" t="s">
        <v>29063</v>
      </c>
      <c r="D6343" s="28" t="s">
        <v>1204</v>
      </c>
      <c r="E6343" s="28" t="s">
        <v>30224</v>
      </c>
      <c r="F6343" s="28" t="s">
        <v>21</v>
      </c>
      <c r="G6343" s="28" t="s">
        <v>207</v>
      </c>
      <c r="H6343" s="28" t="s">
        <v>27631</v>
      </c>
      <c r="I6343" s="28" t="s">
        <v>31500</v>
      </c>
      <c r="J6343" s="28" t="s">
        <v>207</v>
      </c>
      <c r="K6343" s="28" t="s">
        <v>29066</v>
      </c>
      <c r="L6343" s="28" t="s">
        <v>27634</v>
      </c>
      <c r="M6343" s="28" t="s">
        <v>30226</v>
      </c>
      <c r="N6343" s="28" t="s">
        <v>27636</v>
      </c>
      <c r="O6343" s="28" t="s">
        <v>27637</v>
      </c>
      <c r="P6343" s="28" t="s">
        <v>30227</v>
      </c>
    </row>
    <row r="6344" spans="1:16" x14ac:dyDescent="0.25">
      <c r="A6344" s="28" t="s">
        <v>31501</v>
      </c>
      <c r="B6344" s="28" t="s">
        <v>31502</v>
      </c>
      <c r="C6344" s="28" t="s">
        <v>29063</v>
      </c>
      <c r="D6344" s="28" t="s">
        <v>1204</v>
      </c>
      <c r="E6344" s="28" t="s">
        <v>30230</v>
      </c>
      <c r="F6344" s="28" t="s">
        <v>21</v>
      </c>
      <c r="G6344" s="28" t="s">
        <v>207</v>
      </c>
      <c r="H6344" s="28" t="s">
        <v>27631</v>
      </c>
      <c r="I6344" s="28" t="s">
        <v>31503</v>
      </c>
      <c r="J6344" s="28" t="s">
        <v>207</v>
      </c>
      <c r="K6344" s="28" t="s">
        <v>29066</v>
      </c>
      <c r="L6344" s="28" t="s">
        <v>27634</v>
      </c>
      <c r="M6344" s="28" t="s">
        <v>30232</v>
      </c>
      <c r="N6344" s="28" t="s">
        <v>27636</v>
      </c>
      <c r="O6344" s="28" t="s">
        <v>27637</v>
      </c>
      <c r="P6344" s="28" t="s">
        <v>30233</v>
      </c>
    </row>
    <row r="6345" spans="1:16" x14ac:dyDescent="0.25">
      <c r="A6345" s="28" t="s">
        <v>31504</v>
      </c>
      <c r="B6345" s="28" t="s">
        <v>31505</v>
      </c>
      <c r="C6345" s="28" t="s">
        <v>29063</v>
      </c>
      <c r="D6345" s="28" t="s">
        <v>1204</v>
      </c>
      <c r="E6345" s="28" t="s">
        <v>30236</v>
      </c>
      <c r="F6345" s="28" t="s">
        <v>21</v>
      </c>
      <c r="G6345" s="28" t="s">
        <v>207</v>
      </c>
      <c r="H6345" s="28" t="s">
        <v>27631</v>
      </c>
      <c r="I6345" s="28" t="s">
        <v>31506</v>
      </c>
      <c r="J6345" s="28" t="s">
        <v>207</v>
      </c>
      <c r="K6345" s="28" t="s">
        <v>29066</v>
      </c>
      <c r="L6345" s="28" t="s">
        <v>27634</v>
      </c>
      <c r="M6345" s="28" t="s">
        <v>30238</v>
      </c>
      <c r="N6345" s="28" t="s">
        <v>27636</v>
      </c>
      <c r="O6345" s="28" t="s">
        <v>27637</v>
      </c>
      <c r="P6345" s="28" t="s">
        <v>30239</v>
      </c>
    </row>
    <row r="6346" spans="1:16" x14ac:dyDescent="0.25">
      <c r="A6346" s="28" t="s">
        <v>31507</v>
      </c>
      <c r="B6346" s="28" t="s">
        <v>31508</v>
      </c>
      <c r="C6346" s="28" t="s">
        <v>29063</v>
      </c>
      <c r="D6346" s="28" t="s">
        <v>1204</v>
      </c>
      <c r="E6346" s="28" t="s">
        <v>30242</v>
      </c>
      <c r="F6346" s="28" t="s">
        <v>21</v>
      </c>
      <c r="G6346" s="28" t="s">
        <v>207</v>
      </c>
      <c r="H6346" s="28" t="s">
        <v>27631</v>
      </c>
      <c r="I6346" s="28" t="s">
        <v>31509</v>
      </c>
      <c r="J6346" s="28" t="s">
        <v>207</v>
      </c>
      <c r="K6346" s="28" t="s">
        <v>29066</v>
      </c>
      <c r="L6346" s="28" t="s">
        <v>27634</v>
      </c>
      <c r="M6346" s="28" t="s">
        <v>30244</v>
      </c>
      <c r="N6346" s="28" t="s">
        <v>27636</v>
      </c>
      <c r="O6346" s="28" t="s">
        <v>27637</v>
      </c>
      <c r="P6346" s="28" t="s">
        <v>30245</v>
      </c>
    </row>
    <row r="6347" spans="1:16" x14ac:dyDescent="0.25">
      <c r="A6347" s="28" t="s">
        <v>31510</v>
      </c>
      <c r="B6347" s="28" t="s">
        <v>31511</v>
      </c>
      <c r="C6347" s="28" t="s">
        <v>29063</v>
      </c>
      <c r="D6347" s="28" t="s">
        <v>1204</v>
      </c>
      <c r="E6347" s="28" t="s">
        <v>30248</v>
      </c>
      <c r="F6347" s="28" t="s">
        <v>21</v>
      </c>
      <c r="G6347" s="28" t="s">
        <v>207</v>
      </c>
      <c r="H6347" s="28" t="s">
        <v>27631</v>
      </c>
      <c r="I6347" s="28" t="s">
        <v>31512</v>
      </c>
      <c r="J6347" s="28" t="s">
        <v>207</v>
      </c>
      <c r="K6347" s="28" t="s">
        <v>29066</v>
      </c>
      <c r="L6347" s="28" t="s">
        <v>27634</v>
      </c>
      <c r="M6347" s="28" t="s">
        <v>30250</v>
      </c>
      <c r="N6347" s="28" t="s">
        <v>27636</v>
      </c>
      <c r="O6347" s="28" t="s">
        <v>27637</v>
      </c>
      <c r="P6347" s="28" t="s">
        <v>30251</v>
      </c>
    </row>
    <row r="6348" spans="1:16" x14ac:dyDescent="0.25">
      <c r="A6348" s="28" t="s">
        <v>31513</v>
      </c>
      <c r="B6348" s="28" t="s">
        <v>31514</v>
      </c>
      <c r="C6348" s="28" t="s">
        <v>29063</v>
      </c>
      <c r="D6348" s="28" t="s">
        <v>1204</v>
      </c>
      <c r="E6348" s="28" t="s">
        <v>30254</v>
      </c>
      <c r="F6348" s="28" t="s">
        <v>21</v>
      </c>
      <c r="G6348" s="28" t="s">
        <v>207</v>
      </c>
      <c r="H6348" s="28" t="s">
        <v>27631</v>
      </c>
      <c r="I6348" s="28" t="s">
        <v>31515</v>
      </c>
      <c r="J6348" s="28" t="s">
        <v>207</v>
      </c>
      <c r="K6348" s="28" t="s">
        <v>29066</v>
      </c>
      <c r="L6348" s="28" t="s">
        <v>27634</v>
      </c>
      <c r="M6348" s="28" t="s">
        <v>30256</v>
      </c>
      <c r="N6348" s="28" t="s">
        <v>27636</v>
      </c>
      <c r="O6348" s="28" t="s">
        <v>27637</v>
      </c>
      <c r="P6348" s="28" t="s">
        <v>30257</v>
      </c>
    </row>
    <row r="6349" spans="1:16" x14ac:dyDescent="0.25">
      <c r="A6349" s="28" t="s">
        <v>31516</v>
      </c>
      <c r="B6349" s="28" t="s">
        <v>31517</v>
      </c>
      <c r="C6349" s="28" t="s">
        <v>29063</v>
      </c>
      <c r="D6349" s="28" t="s">
        <v>1204</v>
      </c>
      <c r="E6349" s="28" t="s">
        <v>30260</v>
      </c>
      <c r="F6349" s="28" t="s">
        <v>21</v>
      </c>
      <c r="G6349" s="28" t="s">
        <v>207</v>
      </c>
      <c r="H6349" s="28" t="s">
        <v>27631</v>
      </c>
      <c r="I6349" s="28" t="s">
        <v>31518</v>
      </c>
      <c r="J6349" s="28" t="s">
        <v>207</v>
      </c>
      <c r="K6349" s="28" t="s">
        <v>29066</v>
      </c>
      <c r="L6349" s="28" t="s">
        <v>27634</v>
      </c>
      <c r="M6349" s="28" t="s">
        <v>30262</v>
      </c>
      <c r="N6349" s="28" t="s">
        <v>27636</v>
      </c>
      <c r="O6349" s="28" t="s">
        <v>27637</v>
      </c>
      <c r="P6349" s="28" t="s">
        <v>30263</v>
      </c>
    </row>
    <row r="6350" spans="1:16" x14ac:dyDescent="0.25">
      <c r="A6350" s="28" t="s">
        <v>31519</v>
      </c>
      <c r="B6350" s="28" t="s">
        <v>31520</v>
      </c>
      <c r="C6350" s="28" t="s">
        <v>29063</v>
      </c>
      <c r="D6350" s="28" t="s">
        <v>1204</v>
      </c>
      <c r="E6350" s="28" t="s">
        <v>12960</v>
      </c>
      <c r="F6350" s="28" t="s">
        <v>21</v>
      </c>
      <c r="G6350" s="28" t="s">
        <v>207</v>
      </c>
      <c r="H6350" s="28" t="s">
        <v>27631</v>
      </c>
      <c r="I6350" s="28" t="s">
        <v>31521</v>
      </c>
      <c r="J6350" s="28" t="s">
        <v>207</v>
      </c>
      <c r="K6350" s="28" t="s">
        <v>29066</v>
      </c>
      <c r="L6350" s="28" t="s">
        <v>27634</v>
      </c>
      <c r="M6350" s="28" t="s">
        <v>30267</v>
      </c>
      <c r="N6350" s="28" t="s">
        <v>27636</v>
      </c>
      <c r="O6350" s="28" t="s">
        <v>27637</v>
      </c>
      <c r="P6350" s="28" t="s">
        <v>30268</v>
      </c>
    </row>
    <row r="6351" spans="1:16" x14ac:dyDescent="0.25">
      <c r="A6351" s="28" t="s">
        <v>31522</v>
      </c>
      <c r="B6351" s="28" t="s">
        <v>31523</v>
      </c>
      <c r="C6351" s="28" t="s">
        <v>29063</v>
      </c>
      <c r="D6351" s="28" t="s">
        <v>1204</v>
      </c>
      <c r="E6351" s="28" t="s">
        <v>30271</v>
      </c>
      <c r="F6351" s="28" t="s">
        <v>21</v>
      </c>
      <c r="G6351" s="28" t="s">
        <v>207</v>
      </c>
      <c r="H6351" s="28" t="s">
        <v>27631</v>
      </c>
      <c r="I6351" s="28" t="s">
        <v>31524</v>
      </c>
      <c r="J6351" s="28" t="s">
        <v>207</v>
      </c>
      <c r="K6351" s="28" t="s">
        <v>29066</v>
      </c>
      <c r="L6351" s="28" t="s">
        <v>27634</v>
      </c>
      <c r="M6351" s="28" t="s">
        <v>30273</v>
      </c>
      <c r="N6351" s="28" t="s">
        <v>27636</v>
      </c>
      <c r="O6351" s="28" t="s">
        <v>27637</v>
      </c>
      <c r="P6351" s="28" t="s">
        <v>30274</v>
      </c>
    </row>
    <row r="6352" spans="1:16" x14ac:dyDescent="0.25">
      <c r="A6352" s="28" t="s">
        <v>31525</v>
      </c>
      <c r="B6352" s="28" t="s">
        <v>31526</v>
      </c>
      <c r="C6352" s="28" t="s">
        <v>29063</v>
      </c>
      <c r="D6352" s="28" t="s">
        <v>1204</v>
      </c>
      <c r="E6352" s="28" t="s">
        <v>30277</v>
      </c>
      <c r="F6352" s="28" t="s">
        <v>21</v>
      </c>
      <c r="G6352" s="28" t="s">
        <v>207</v>
      </c>
      <c r="H6352" s="28" t="s">
        <v>27631</v>
      </c>
      <c r="I6352" s="28" t="s">
        <v>31527</v>
      </c>
      <c r="J6352" s="28" t="s">
        <v>207</v>
      </c>
      <c r="K6352" s="28" t="s">
        <v>29066</v>
      </c>
      <c r="L6352" s="28" t="s">
        <v>27634</v>
      </c>
      <c r="M6352" s="28" t="s">
        <v>30279</v>
      </c>
      <c r="N6352" s="28" t="s">
        <v>27636</v>
      </c>
      <c r="O6352" s="28" t="s">
        <v>27637</v>
      </c>
      <c r="P6352" s="28" t="s">
        <v>30280</v>
      </c>
    </row>
    <row r="6353" spans="1:16" x14ac:dyDescent="0.25">
      <c r="A6353" s="28" t="s">
        <v>31528</v>
      </c>
      <c r="B6353" s="28" t="s">
        <v>31529</v>
      </c>
      <c r="C6353" s="28" t="s">
        <v>29063</v>
      </c>
      <c r="D6353" s="28" t="s">
        <v>1204</v>
      </c>
      <c r="E6353" s="28" t="s">
        <v>30283</v>
      </c>
      <c r="F6353" s="28" t="s">
        <v>21</v>
      </c>
      <c r="G6353" s="28" t="s">
        <v>207</v>
      </c>
      <c r="H6353" s="28" t="s">
        <v>27631</v>
      </c>
      <c r="I6353" s="28" t="s">
        <v>31530</v>
      </c>
      <c r="J6353" s="28" t="s">
        <v>207</v>
      </c>
      <c r="K6353" s="28" t="s">
        <v>29066</v>
      </c>
      <c r="L6353" s="28" t="s">
        <v>27634</v>
      </c>
      <c r="M6353" s="28" t="s">
        <v>30285</v>
      </c>
      <c r="N6353" s="28" t="s">
        <v>27636</v>
      </c>
      <c r="O6353" s="28" t="s">
        <v>27637</v>
      </c>
      <c r="P6353" s="28" t="s">
        <v>30286</v>
      </c>
    </row>
    <row r="6354" spans="1:16" x14ac:dyDescent="0.25">
      <c r="A6354" s="28" t="s">
        <v>31531</v>
      </c>
      <c r="B6354" s="28" t="s">
        <v>31532</v>
      </c>
      <c r="C6354" s="28" t="s">
        <v>29063</v>
      </c>
      <c r="D6354" s="28" t="s">
        <v>1204</v>
      </c>
      <c r="E6354" s="28" t="s">
        <v>30289</v>
      </c>
      <c r="F6354" s="28" t="s">
        <v>21</v>
      </c>
      <c r="G6354" s="28" t="s">
        <v>207</v>
      </c>
      <c r="H6354" s="28" t="s">
        <v>27631</v>
      </c>
      <c r="I6354" s="28" t="s">
        <v>31533</v>
      </c>
      <c r="J6354" s="28" t="s">
        <v>207</v>
      </c>
      <c r="K6354" s="28" t="s">
        <v>29066</v>
      </c>
      <c r="L6354" s="28" t="s">
        <v>27634</v>
      </c>
      <c r="M6354" s="28" t="s">
        <v>30291</v>
      </c>
      <c r="N6354" s="28" t="s">
        <v>27636</v>
      </c>
      <c r="O6354" s="28" t="s">
        <v>27637</v>
      </c>
      <c r="P6354" s="28" t="s">
        <v>30292</v>
      </c>
    </row>
    <row r="6355" spans="1:16" x14ac:dyDescent="0.25">
      <c r="A6355" s="28" t="s">
        <v>31534</v>
      </c>
      <c r="B6355" s="28" t="s">
        <v>31535</v>
      </c>
      <c r="C6355" s="28" t="s">
        <v>29063</v>
      </c>
      <c r="D6355" s="28" t="s">
        <v>1204</v>
      </c>
      <c r="E6355" s="28" t="s">
        <v>30295</v>
      </c>
      <c r="F6355" s="28" t="s">
        <v>21</v>
      </c>
      <c r="G6355" s="28" t="s">
        <v>207</v>
      </c>
      <c r="H6355" s="28" t="s">
        <v>27631</v>
      </c>
      <c r="I6355" s="28" t="s">
        <v>31536</v>
      </c>
      <c r="J6355" s="28" t="s">
        <v>207</v>
      </c>
      <c r="K6355" s="28" t="s">
        <v>29066</v>
      </c>
      <c r="L6355" s="28" t="s">
        <v>27634</v>
      </c>
      <c r="M6355" s="28" t="s">
        <v>30297</v>
      </c>
      <c r="N6355" s="28" t="s">
        <v>27636</v>
      </c>
      <c r="O6355" s="28" t="s">
        <v>27637</v>
      </c>
      <c r="P6355" s="28" t="s">
        <v>30298</v>
      </c>
    </row>
    <row r="6356" spans="1:16" x14ac:dyDescent="0.25">
      <c r="A6356" s="28" t="s">
        <v>31537</v>
      </c>
      <c r="B6356" s="28" t="s">
        <v>31538</v>
      </c>
      <c r="C6356" s="28" t="s">
        <v>29063</v>
      </c>
      <c r="D6356" s="28" t="s">
        <v>1204</v>
      </c>
      <c r="E6356" s="28" t="s">
        <v>30301</v>
      </c>
      <c r="F6356" s="28" t="s">
        <v>21</v>
      </c>
      <c r="G6356" s="28" t="s">
        <v>207</v>
      </c>
      <c r="H6356" s="28" t="s">
        <v>27631</v>
      </c>
      <c r="I6356" s="28" t="s">
        <v>31539</v>
      </c>
      <c r="J6356" s="28" t="s">
        <v>207</v>
      </c>
      <c r="K6356" s="28" t="s">
        <v>29066</v>
      </c>
      <c r="L6356" s="28" t="s">
        <v>27634</v>
      </c>
      <c r="M6356" s="28" t="s">
        <v>30303</v>
      </c>
      <c r="N6356" s="28" t="s">
        <v>27636</v>
      </c>
      <c r="O6356" s="28" t="s">
        <v>27637</v>
      </c>
      <c r="P6356" s="28" t="s">
        <v>30304</v>
      </c>
    </row>
    <row r="6357" spans="1:16" x14ac:dyDescent="0.25">
      <c r="A6357" s="28" t="s">
        <v>31540</v>
      </c>
      <c r="B6357" s="28" t="s">
        <v>31541</v>
      </c>
      <c r="C6357" s="28" t="s">
        <v>29063</v>
      </c>
      <c r="D6357" s="28" t="s">
        <v>1204</v>
      </c>
      <c r="E6357" s="28" t="s">
        <v>30307</v>
      </c>
      <c r="F6357" s="28" t="s">
        <v>21</v>
      </c>
      <c r="G6357" s="28" t="s">
        <v>207</v>
      </c>
      <c r="H6357" s="28" t="s">
        <v>27631</v>
      </c>
      <c r="I6357" s="28" t="s">
        <v>31542</v>
      </c>
      <c r="J6357" s="28" t="s">
        <v>207</v>
      </c>
      <c r="K6357" s="28" t="s">
        <v>29066</v>
      </c>
      <c r="L6357" s="28" t="s">
        <v>27634</v>
      </c>
      <c r="M6357" s="28" t="s">
        <v>30309</v>
      </c>
      <c r="N6357" s="28" t="s">
        <v>27636</v>
      </c>
      <c r="O6357" s="28" t="s">
        <v>27637</v>
      </c>
      <c r="P6357" s="28" t="s">
        <v>30310</v>
      </c>
    </row>
    <row r="6358" spans="1:16" x14ac:dyDescent="0.25">
      <c r="A6358" s="28" t="s">
        <v>31543</v>
      </c>
      <c r="B6358" s="28" t="s">
        <v>31544</v>
      </c>
      <c r="C6358" s="28" t="s">
        <v>29063</v>
      </c>
      <c r="D6358" s="28" t="s">
        <v>1204</v>
      </c>
      <c r="E6358" s="28" t="s">
        <v>30313</v>
      </c>
      <c r="F6358" s="28" t="s">
        <v>21</v>
      </c>
      <c r="G6358" s="28" t="s">
        <v>207</v>
      </c>
      <c r="H6358" s="28" t="s">
        <v>27631</v>
      </c>
      <c r="I6358" s="28" t="s">
        <v>31545</v>
      </c>
      <c r="J6358" s="28" t="s">
        <v>207</v>
      </c>
      <c r="K6358" s="28" t="s">
        <v>29066</v>
      </c>
      <c r="L6358" s="28" t="s">
        <v>27634</v>
      </c>
      <c r="M6358" s="28" t="s">
        <v>30315</v>
      </c>
      <c r="N6358" s="28" t="s">
        <v>27636</v>
      </c>
      <c r="O6358" s="28" t="s">
        <v>27637</v>
      </c>
      <c r="P6358" s="28" t="s">
        <v>30316</v>
      </c>
    </row>
    <row r="6359" spans="1:16" x14ac:dyDescent="0.25">
      <c r="A6359" s="28" t="s">
        <v>31546</v>
      </c>
      <c r="B6359" s="28" t="s">
        <v>31547</v>
      </c>
      <c r="C6359" s="28" t="s">
        <v>29063</v>
      </c>
      <c r="D6359" s="28" t="s">
        <v>1204</v>
      </c>
      <c r="E6359" s="28" t="s">
        <v>30319</v>
      </c>
      <c r="F6359" s="28" t="s">
        <v>21</v>
      </c>
      <c r="G6359" s="28" t="s">
        <v>207</v>
      </c>
      <c r="H6359" s="28" t="s">
        <v>27631</v>
      </c>
      <c r="I6359" s="28" t="s">
        <v>31548</v>
      </c>
      <c r="J6359" s="28" t="s">
        <v>207</v>
      </c>
      <c r="K6359" s="28" t="s">
        <v>29066</v>
      </c>
      <c r="L6359" s="28" t="s">
        <v>27634</v>
      </c>
      <c r="M6359" s="28" t="s">
        <v>30321</v>
      </c>
      <c r="N6359" s="28" t="s">
        <v>27636</v>
      </c>
      <c r="O6359" s="28" t="s">
        <v>27637</v>
      </c>
      <c r="P6359" s="28" t="s">
        <v>30322</v>
      </c>
    </row>
    <row r="6360" spans="1:16" x14ac:dyDescent="0.25">
      <c r="A6360" s="28" t="s">
        <v>31549</v>
      </c>
      <c r="B6360" s="28" t="s">
        <v>31550</v>
      </c>
      <c r="C6360" s="28" t="s">
        <v>29063</v>
      </c>
      <c r="D6360" s="28" t="s">
        <v>1204</v>
      </c>
      <c r="E6360" s="28" t="s">
        <v>30325</v>
      </c>
      <c r="F6360" s="28" t="s">
        <v>21</v>
      </c>
      <c r="G6360" s="28" t="s">
        <v>207</v>
      </c>
      <c r="H6360" s="28" t="s">
        <v>27631</v>
      </c>
      <c r="I6360" s="28" t="s">
        <v>31551</v>
      </c>
      <c r="J6360" s="28" t="s">
        <v>207</v>
      </c>
      <c r="K6360" s="28" t="s">
        <v>29066</v>
      </c>
      <c r="L6360" s="28" t="s">
        <v>27634</v>
      </c>
      <c r="M6360" s="28" t="s">
        <v>30327</v>
      </c>
      <c r="N6360" s="28" t="s">
        <v>27636</v>
      </c>
      <c r="O6360" s="28" t="s">
        <v>27637</v>
      </c>
      <c r="P6360" s="28" t="s">
        <v>30328</v>
      </c>
    </row>
    <row r="6361" spans="1:16" x14ac:dyDescent="0.25">
      <c r="A6361" s="28" t="s">
        <v>31552</v>
      </c>
      <c r="B6361" s="28" t="s">
        <v>31553</v>
      </c>
      <c r="C6361" s="28" t="s">
        <v>29063</v>
      </c>
      <c r="D6361" s="28" t="s">
        <v>1204</v>
      </c>
      <c r="E6361" s="28" t="s">
        <v>30331</v>
      </c>
      <c r="F6361" s="28" t="s">
        <v>21</v>
      </c>
      <c r="G6361" s="28" t="s">
        <v>207</v>
      </c>
      <c r="H6361" s="28" t="s">
        <v>27631</v>
      </c>
      <c r="I6361" s="28" t="s">
        <v>31554</v>
      </c>
      <c r="J6361" s="28" t="s">
        <v>207</v>
      </c>
      <c r="K6361" s="28" t="s">
        <v>29066</v>
      </c>
      <c r="L6361" s="28" t="s">
        <v>27634</v>
      </c>
      <c r="M6361" s="28" t="s">
        <v>30333</v>
      </c>
      <c r="N6361" s="28" t="s">
        <v>27636</v>
      </c>
      <c r="O6361" s="28" t="s">
        <v>27637</v>
      </c>
      <c r="P6361" s="28" t="s">
        <v>30334</v>
      </c>
    </row>
    <row r="6362" spans="1:16" x14ac:dyDescent="0.25">
      <c r="A6362" s="28" t="s">
        <v>31555</v>
      </c>
      <c r="B6362" s="28" t="s">
        <v>31556</v>
      </c>
      <c r="C6362" s="28" t="s">
        <v>29063</v>
      </c>
      <c r="D6362" s="28" t="s">
        <v>1204</v>
      </c>
      <c r="E6362" s="28" t="s">
        <v>30337</v>
      </c>
      <c r="F6362" s="28" t="s">
        <v>21</v>
      </c>
      <c r="G6362" s="28" t="s">
        <v>207</v>
      </c>
      <c r="H6362" s="28" t="s">
        <v>27631</v>
      </c>
      <c r="I6362" s="28" t="s">
        <v>31557</v>
      </c>
      <c r="J6362" s="28" t="s">
        <v>207</v>
      </c>
      <c r="K6362" s="28" t="s">
        <v>29066</v>
      </c>
      <c r="L6362" s="28" t="s">
        <v>27634</v>
      </c>
      <c r="M6362" s="28" t="s">
        <v>30339</v>
      </c>
      <c r="N6362" s="28" t="s">
        <v>27636</v>
      </c>
      <c r="O6362" s="28" t="s">
        <v>27637</v>
      </c>
      <c r="P6362" s="28" t="s">
        <v>30340</v>
      </c>
    </row>
    <row r="6363" spans="1:16" x14ac:dyDescent="0.25">
      <c r="A6363" s="28" t="s">
        <v>31558</v>
      </c>
      <c r="B6363" s="28" t="s">
        <v>31559</v>
      </c>
      <c r="C6363" s="28" t="s">
        <v>29063</v>
      </c>
      <c r="D6363" s="28" t="s">
        <v>1204</v>
      </c>
      <c r="E6363" s="28" t="s">
        <v>30343</v>
      </c>
      <c r="F6363" s="28" t="s">
        <v>21</v>
      </c>
      <c r="G6363" s="28" t="s">
        <v>207</v>
      </c>
      <c r="H6363" s="28" t="s">
        <v>27631</v>
      </c>
      <c r="I6363" s="28" t="s">
        <v>31560</v>
      </c>
      <c r="J6363" s="28" t="s">
        <v>207</v>
      </c>
      <c r="K6363" s="28" t="s">
        <v>29066</v>
      </c>
      <c r="L6363" s="28" t="s">
        <v>27634</v>
      </c>
      <c r="M6363" s="28" t="s">
        <v>30345</v>
      </c>
      <c r="N6363" s="28" t="s">
        <v>27636</v>
      </c>
      <c r="O6363" s="28" t="s">
        <v>27637</v>
      </c>
      <c r="P6363" s="28" t="s">
        <v>30346</v>
      </c>
    </row>
    <row r="6364" spans="1:16" x14ac:dyDescent="0.25">
      <c r="A6364" s="28" t="s">
        <v>31561</v>
      </c>
      <c r="B6364" s="28" t="s">
        <v>31562</v>
      </c>
      <c r="C6364" s="28" t="s">
        <v>29063</v>
      </c>
      <c r="D6364" s="28" t="s">
        <v>1204</v>
      </c>
      <c r="E6364" s="28" t="s">
        <v>30349</v>
      </c>
      <c r="F6364" s="28" t="s">
        <v>21</v>
      </c>
      <c r="G6364" s="28" t="s">
        <v>207</v>
      </c>
      <c r="H6364" s="28" t="s">
        <v>27631</v>
      </c>
      <c r="I6364" s="28" t="s">
        <v>31563</v>
      </c>
      <c r="J6364" s="28" t="s">
        <v>207</v>
      </c>
      <c r="K6364" s="28" t="s">
        <v>29066</v>
      </c>
      <c r="L6364" s="28" t="s">
        <v>27634</v>
      </c>
      <c r="M6364" s="28" t="s">
        <v>30351</v>
      </c>
      <c r="N6364" s="28" t="s">
        <v>27636</v>
      </c>
      <c r="O6364" s="28" t="s">
        <v>27637</v>
      </c>
      <c r="P6364" s="28" t="s">
        <v>30352</v>
      </c>
    </row>
    <row r="6365" spans="1:16" x14ac:dyDescent="0.25">
      <c r="A6365" s="28" t="s">
        <v>31564</v>
      </c>
      <c r="B6365" s="28" t="s">
        <v>31565</v>
      </c>
      <c r="C6365" s="28" t="s">
        <v>29063</v>
      </c>
      <c r="D6365" s="28" t="s">
        <v>1204</v>
      </c>
      <c r="E6365" s="28" t="s">
        <v>30355</v>
      </c>
      <c r="F6365" s="28" t="s">
        <v>21</v>
      </c>
      <c r="G6365" s="28" t="s">
        <v>207</v>
      </c>
      <c r="H6365" s="28" t="s">
        <v>27631</v>
      </c>
      <c r="I6365" s="28" t="s">
        <v>31566</v>
      </c>
      <c r="J6365" s="28" t="s">
        <v>207</v>
      </c>
      <c r="K6365" s="28" t="s">
        <v>29066</v>
      </c>
      <c r="L6365" s="28" t="s">
        <v>27634</v>
      </c>
      <c r="M6365" s="28" t="s">
        <v>30357</v>
      </c>
      <c r="N6365" s="28" t="s">
        <v>27636</v>
      </c>
      <c r="O6365" s="28" t="s">
        <v>27637</v>
      </c>
      <c r="P6365" s="28" t="s">
        <v>30358</v>
      </c>
    </row>
    <row r="6366" spans="1:16" x14ac:dyDescent="0.25">
      <c r="A6366" s="28" t="s">
        <v>31567</v>
      </c>
      <c r="B6366" s="28" t="s">
        <v>31568</v>
      </c>
      <c r="C6366" s="28" t="s">
        <v>29063</v>
      </c>
      <c r="D6366" s="28" t="s">
        <v>1204</v>
      </c>
      <c r="E6366" s="28" t="s">
        <v>12966</v>
      </c>
      <c r="F6366" s="28" t="s">
        <v>21</v>
      </c>
      <c r="G6366" s="28" t="s">
        <v>207</v>
      </c>
      <c r="H6366" s="28" t="s">
        <v>27631</v>
      </c>
      <c r="I6366" s="28" t="s">
        <v>31569</v>
      </c>
      <c r="J6366" s="28" t="s">
        <v>207</v>
      </c>
      <c r="K6366" s="28" t="s">
        <v>29066</v>
      </c>
      <c r="L6366" s="28" t="s">
        <v>27634</v>
      </c>
      <c r="M6366" s="28" t="s">
        <v>30362</v>
      </c>
      <c r="N6366" s="28" t="s">
        <v>27636</v>
      </c>
      <c r="O6366" s="28" t="s">
        <v>27637</v>
      </c>
      <c r="P6366" s="28" t="s">
        <v>30363</v>
      </c>
    </row>
    <row r="6367" spans="1:16" x14ac:dyDescent="0.25">
      <c r="A6367" s="28" t="s">
        <v>31570</v>
      </c>
      <c r="B6367" s="28" t="s">
        <v>31571</v>
      </c>
      <c r="C6367" s="28" t="s">
        <v>29063</v>
      </c>
      <c r="D6367" s="28" t="s">
        <v>1204</v>
      </c>
      <c r="E6367" s="28" t="s">
        <v>12972</v>
      </c>
      <c r="F6367" s="28" t="s">
        <v>21</v>
      </c>
      <c r="G6367" s="28" t="s">
        <v>207</v>
      </c>
      <c r="H6367" s="28" t="s">
        <v>27631</v>
      </c>
      <c r="I6367" s="28" t="s">
        <v>31572</v>
      </c>
      <c r="J6367" s="28" t="s">
        <v>207</v>
      </c>
      <c r="K6367" s="28" t="s">
        <v>29066</v>
      </c>
      <c r="L6367" s="28" t="s">
        <v>27634</v>
      </c>
      <c r="M6367" s="28" t="s">
        <v>30367</v>
      </c>
      <c r="N6367" s="28" t="s">
        <v>27636</v>
      </c>
      <c r="O6367" s="28" t="s">
        <v>27637</v>
      </c>
      <c r="P6367" s="28" t="s">
        <v>30368</v>
      </c>
    </row>
    <row r="6368" spans="1:16" x14ac:dyDescent="0.25">
      <c r="A6368" s="28" t="s">
        <v>31573</v>
      </c>
      <c r="B6368" s="28" t="s">
        <v>31574</v>
      </c>
      <c r="C6368" s="28" t="s">
        <v>29063</v>
      </c>
      <c r="D6368" s="28" t="s">
        <v>1204</v>
      </c>
      <c r="E6368" s="28" t="s">
        <v>30371</v>
      </c>
      <c r="F6368" s="28" t="s">
        <v>21</v>
      </c>
      <c r="G6368" s="28" t="s">
        <v>207</v>
      </c>
      <c r="H6368" s="28" t="s">
        <v>27631</v>
      </c>
      <c r="I6368" s="28" t="s">
        <v>31575</v>
      </c>
      <c r="J6368" s="28" t="s">
        <v>207</v>
      </c>
      <c r="K6368" s="28" t="s">
        <v>29066</v>
      </c>
      <c r="L6368" s="28" t="s">
        <v>27634</v>
      </c>
      <c r="M6368" s="28" t="s">
        <v>30373</v>
      </c>
      <c r="N6368" s="28" t="s">
        <v>27636</v>
      </c>
      <c r="O6368" s="28" t="s">
        <v>27637</v>
      </c>
      <c r="P6368" s="28" t="s">
        <v>30374</v>
      </c>
    </row>
    <row r="6369" spans="1:16" x14ac:dyDescent="0.25">
      <c r="A6369" s="28" t="s">
        <v>31576</v>
      </c>
      <c r="B6369" s="28" t="s">
        <v>31577</v>
      </c>
      <c r="C6369" s="28" t="s">
        <v>29063</v>
      </c>
      <c r="D6369" s="28" t="s">
        <v>1204</v>
      </c>
      <c r="E6369" s="28" t="s">
        <v>12978</v>
      </c>
      <c r="F6369" s="28" t="s">
        <v>21</v>
      </c>
      <c r="G6369" s="28" t="s">
        <v>207</v>
      </c>
      <c r="H6369" s="28" t="s">
        <v>27631</v>
      </c>
      <c r="I6369" s="28" t="s">
        <v>31578</v>
      </c>
      <c r="J6369" s="28" t="s">
        <v>207</v>
      </c>
      <c r="K6369" s="28" t="s">
        <v>29066</v>
      </c>
      <c r="L6369" s="28" t="s">
        <v>27634</v>
      </c>
      <c r="M6369" s="28" t="s">
        <v>30378</v>
      </c>
      <c r="N6369" s="28" t="s">
        <v>27636</v>
      </c>
      <c r="O6369" s="28" t="s">
        <v>27637</v>
      </c>
      <c r="P6369" s="28" t="s">
        <v>30379</v>
      </c>
    </row>
    <row r="6370" spans="1:16" x14ac:dyDescent="0.25">
      <c r="A6370" s="28" t="s">
        <v>31579</v>
      </c>
      <c r="B6370" s="28" t="s">
        <v>31580</v>
      </c>
      <c r="C6370" s="28" t="s">
        <v>29063</v>
      </c>
      <c r="D6370" s="28" t="s">
        <v>1204</v>
      </c>
      <c r="E6370" s="28" t="s">
        <v>12984</v>
      </c>
      <c r="F6370" s="28" t="s">
        <v>21</v>
      </c>
      <c r="G6370" s="28" t="s">
        <v>207</v>
      </c>
      <c r="H6370" s="28" t="s">
        <v>27631</v>
      </c>
      <c r="I6370" s="28" t="s">
        <v>31581</v>
      </c>
      <c r="J6370" s="28" t="s">
        <v>207</v>
      </c>
      <c r="K6370" s="28" t="s">
        <v>29066</v>
      </c>
      <c r="L6370" s="28" t="s">
        <v>27634</v>
      </c>
      <c r="M6370" s="28" t="s">
        <v>30383</v>
      </c>
      <c r="N6370" s="28" t="s">
        <v>27636</v>
      </c>
      <c r="O6370" s="28" t="s">
        <v>27637</v>
      </c>
      <c r="P6370" s="28" t="s">
        <v>30384</v>
      </c>
    </row>
    <row r="6371" spans="1:16" x14ac:dyDescent="0.25">
      <c r="A6371" s="28" t="s">
        <v>31582</v>
      </c>
      <c r="B6371" s="28" t="s">
        <v>31583</v>
      </c>
      <c r="C6371" s="28" t="s">
        <v>29063</v>
      </c>
      <c r="D6371" s="28" t="s">
        <v>1204</v>
      </c>
      <c r="E6371" s="28" t="s">
        <v>30387</v>
      </c>
      <c r="F6371" s="28" t="s">
        <v>21</v>
      </c>
      <c r="G6371" s="28" t="s">
        <v>207</v>
      </c>
      <c r="H6371" s="28" t="s">
        <v>27631</v>
      </c>
      <c r="I6371" s="28" t="s">
        <v>31584</v>
      </c>
      <c r="J6371" s="28" t="s">
        <v>207</v>
      </c>
      <c r="K6371" s="28" t="s">
        <v>29066</v>
      </c>
      <c r="L6371" s="28" t="s">
        <v>27634</v>
      </c>
      <c r="M6371" s="28" t="s">
        <v>30389</v>
      </c>
      <c r="N6371" s="28" t="s">
        <v>27636</v>
      </c>
      <c r="O6371" s="28" t="s">
        <v>27637</v>
      </c>
      <c r="P6371" s="28" t="s">
        <v>30390</v>
      </c>
    </row>
    <row r="6372" spans="1:16" x14ac:dyDescent="0.25">
      <c r="A6372" s="28" t="s">
        <v>31585</v>
      </c>
      <c r="B6372" s="28" t="s">
        <v>31586</v>
      </c>
      <c r="C6372" s="28" t="s">
        <v>29063</v>
      </c>
      <c r="D6372" s="28" t="s">
        <v>1204</v>
      </c>
      <c r="E6372" s="28" t="s">
        <v>12990</v>
      </c>
      <c r="F6372" s="28" t="s">
        <v>21</v>
      </c>
      <c r="G6372" s="28" t="s">
        <v>207</v>
      </c>
      <c r="H6372" s="28" t="s">
        <v>27631</v>
      </c>
      <c r="I6372" s="28" t="s">
        <v>31587</v>
      </c>
      <c r="J6372" s="28" t="s">
        <v>207</v>
      </c>
      <c r="K6372" s="28" t="s">
        <v>29066</v>
      </c>
      <c r="L6372" s="28" t="s">
        <v>27634</v>
      </c>
      <c r="M6372" s="28" t="s">
        <v>30394</v>
      </c>
      <c r="N6372" s="28" t="s">
        <v>27636</v>
      </c>
      <c r="O6372" s="28" t="s">
        <v>27637</v>
      </c>
      <c r="P6372" s="28" t="s">
        <v>30395</v>
      </c>
    </row>
    <row r="6373" spans="1:16" x14ac:dyDescent="0.25">
      <c r="A6373" s="28" t="s">
        <v>31588</v>
      </c>
      <c r="B6373" s="28" t="s">
        <v>31589</v>
      </c>
      <c r="C6373" s="28" t="s">
        <v>29063</v>
      </c>
      <c r="D6373" s="28" t="s">
        <v>1204</v>
      </c>
      <c r="E6373" s="28" t="s">
        <v>30398</v>
      </c>
      <c r="F6373" s="28" t="s">
        <v>21</v>
      </c>
      <c r="G6373" s="28" t="s">
        <v>207</v>
      </c>
      <c r="H6373" s="28" t="s">
        <v>27631</v>
      </c>
      <c r="I6373" s="28" t="s">
        <v>31590</v>
      </c>
      <c r="J6373" s="28" t="s">
        <v>207</v>
      </c>
      <c r="K6373" s="28" t="s">
        <v>29066</v>
      </c>
      <c r="L6373" s="28" t="s">
        <v>27634</v>
      </c>
      <c r="M6373" s="28" t="s">
        <v>30400</v>
      </c>
      <c r="N6373" s="28" t="s">
        <v>27636</v>
      </c>
      <c r="O6373" s="28" t="s">
        <v>27637</v>
      </c>
      <c r="P6373" s="28" t="s">
        <v>30401</v>
      </c>
    </row>
    <row r="6374" spans="1:16" x14ac:dyDescent="0.25">
      <c r="A6374" s="28" t="s">
        <v>31591</v>
      </c>
      <c r="B6374" s="28" t="s">
        <v>31592</v>
      </c>
      <c r="C6374" s="28" t="s">
        <v>29063</v>
      </c>
      <c r="D6374" s="28" t="s">
        <v>1204</v>
      </c>
      <c r="E6374" s="28" t="s">
        <v>30404</v>
      </c>
      <c r="F6374" s="28" t="s">
        <v>21</v>
      </c>
      <c r="G6374" s="28" t="s">
        <v>207</v>
      </c>
      <c r="H6374" s="28" t="s">
        <v>27631</v>
      </c>
      <c r="I6374" s="28" t="s">
        <v>31593</v>
      </c>
      <c r="J6374" s="28" t="s">
        <v>207</v>
      </c>
      <c r="K6374" s="28" t="s">
        <v>29066</v>
      </c>
      <c r="L6374" s="28" t="s">
        <v>27634</v>
      </c>
      <c r="M6374" s="28" t="s">
        <v>30406</v>
      </c>
      <c r="N6374" s="28" t="s">
        <v>27636</v>
      </c>
      <c r="O6374" s="28" t="s">
        <v>27637</v>
      </c>
      <c r="P6374" s="28" t="s">
        <v>30407</v>
      </c>
    </row>
    <row r="6375" spans="1:16" x14ac:dyDescent="0.25">
      <c r="A6375" s="28" t="s">
        <v>31594</v>
      </c>
      <c r="B6375" s="28" t="s">
        <v>31595</v>
      </c>
      <c r="C6375" s="28" t="s">
        <v>29063</v>
      </c>
      <c r="D6375" s="28" t="s">
        <v>1204</v>
      </c>
      <c r="E6375" s="28" t="s">
        <v>30410</v>
      </c>
      <c r="F6375" s="28" t="s">
        <v>21</v>
      </c>
      <c r="G6375" s="28" t="s">
        <v>207</v>
      </c>
      <c r="H6375" s="28" t="s">
        <v>27631</v>
      </c>
      <c r="I6375" s="28" t="s">
        <v>31596</v>
      </c>
      <c r="J6375" s="28" t="s">
        <v>207</v>
      </c>
      <c r="K6375" s="28" t="s">
        <v>29066</v>
      </c>
      <c r="L6375" s="28" t="s">
        <v>27634</v>
      </c>
      <c r="M6375" s="28" t="s">
        <v>30412</v>
      </c>
      <c r="N6375" s="28" t="s">
        <v>27636</v>
      </c>
      <c r="O6375" s="28" t="s">
        <v>27637</v>
      </c>
      <c r="P6375" s="28" t="s">
        <v>30413</v>
      </c>
    </row>
    <row r="6376" spans="1:16" x14ac:dyDescent="0.25">
      <c r="A6376" s="28" t="s">
        <v>31597</v>
      </c>
      <c r="B6376" s="28" t="s">
        <v>31598</v>
      </c>
      <c r="C6376" s="28" t="s">
        <v>29063</v>
      </c>
      <c r="D6376" s="28" t="s">
        <v>1204</v>
      </c>
      <c r="E6376" s="28" t="s">
        <v>30416</v>
      </c>
      <c r="F6376" s="28" t="s">
        <v>21</v>
      </c>
      <c r="G6376" s="28" t="s">
        <v>207</v>
      </c>
      <c r="H6376" s="28" t="s">
        <v>27631</v>
      </c>
      <c r="I6376" s="28" t="s">
        <v>31599</v>
      </c>
      <c r="J6376" s="28" t="s">
        <v>207</v>
      </c>
      <c r="K6376" s="28" t="s">
        <v>29066</v>
      </c>
      <c r="L6376" s="28" t="s">
        <v>27634</v>
      </c>
      <c r="M6376" s="28" t="s">
        <v>30418</v>
      </c>
      <c r="N6376" s="28" t="s">
        <v>27636</v>
      </c>
      <c r="O6376" s="28" t="s">
        <v>27637</v>
      </c>
      <c r="P6376" s="28" t="s">
        <v>30419</v>
      </c>
    </row>
    <row r="6377" spans="1:16" x14ac:dyDescent="0.25">
      <c r="A6377" s="28" t="s">
        <v>31600</v>
      </c>
      <c r="B6377" s="28" t="s">
        <v>31601</v>
      </c>
      <c r="C6377" s="28" t="s">
        <v>29063</v>
      </c>
      <c r="D6377" s="28" t="s">
        <v>1204</v>
      </c>
      <c r="E6377" s="28" t="s">
        <v>30422</v>
      </c>
      <c r="F6377" s="28" t="s">
        <v>21</v>
      </c>
      <c r="G6377" s="28" t="s">
        <v>207</v>
      </c>
      <c r="H6377" s="28" t="s">
        <v>27631</v>
      </c>
      <c r="I6377" s="28" t="s">
        <v>31602</v>
      </c>
      <c r="J6377" s="28" t="s">
        <v>207</v>
      </c>
      <c r="K6377" s="28" t="s">
        <v>29066</v>
      </c>
      <c r="L6377" s="28" t="s">
        <v>27634</v>
      </c>
      <c r="M6377" s="28" t="s">
        <v>30424</v>
      </c>
      <c r="N6377" s="28" t="s">
        <v>27636</v>
      </c>
      <c r="O6377" s="28" t="s">
        <v>27637</v>
      </c>
      <c r="P6377" s="28" t="s">
        <v>30425</v>
      </c>
    </row>
    <row r="6378" spans="1:16" x14ac:dyDescent="0.25">
      <c r="A6378" s="28" t="s">
        <v>31603</v>
      </c>
      <c r="B6378" s="28" t="s">
        <v>31604</v>
      </c>
      <c r="C6378" s="28" t="s">
        <v>29063</v>
      </c>
      <c r="D6378" s="28" t="s">
        <v>1204</v>
      </c>
      <c r="E6378" s="28" t="s">
        <v>30428</v>
      </c>
      <c r="F6378" s="28" t="s">
        <v>21</v>
      </c>
      <c r="G6378" s="28" t="s">
        <v>207</v>
      </c>
      <c r="H6378" s="28" t="s">
        <v>27631</v>
      </c>
      <c r="I6378" s="28" t="s">
        <v>31605</v>
      </c>
      <c r="J6378" s="28" t="s">
        <v>207</v>
      </c>
      <c r="K6378" s="28" t="s">
        <v>29066</v>
      </c>
      <c r="L6378" s="28" t="s">
        <v>27634</v>
      </c>
      <c r="M6378" s="28" t="s">
        <v>30430</v>
      </c>
      <c r="N6378" s="28" t="s">
        <v>27636</v>
      </c>
      <c r="O6378" s="28" t="s">
        <v>27637</v>
      </c>
      <c r="P6378" s="28" t="s">
        <v>30431</v>
      </c>
    </row>
    <row r="6379" spans="1:16" x14ac:dyDescent="0.25">
      <c r="A6379" s="28" t="s">
        <v>31606</v>
      </c>
      <c r="B6379" s="28" t="s">
        <v>31607</v>
      </c>
      <c r="C6379" s="28" t="s">
        <v>29063</v>
      </c>
      <c r="D6379" s="28" t="s">
        <v>1204</v>
      </c>
      <c r="E6379" s="28" t="s">
        <v>12996</v>
      </c>
      <c r="F6379" s="28" t="s">
        <v>21</v>
      </c>
      <c r="G6379" s="28" t="s">
        <v>207</v>
      </c>
      <c r="H6379" s="28" t="s">
        <v>27631</v>
      </c>
      <c r="I6379" s="28" t="s">
        <v>31608</v>
      </c>
      <c r="J6379" s="28" t="s">
        <v>207</v>
      </c>
      <c r="K6379" s="28" t="s">
        <v>29066</v>
      </c>
      <c r="L6379" s="28" t="s">
        <v>27634</v>
      </c>
      <c r="M6379" s="28" t="s">
        <v>30435</v>
      </c>
      <c r="N6379" s="28" t="s">
        <v>27636</v>
      </c>
      <c r="O6379" s="28" t="s">
        <v>27637</v>
      </c>
      <c r="P6379" s="28" t="s">
        <v>30436</v>
      </c>
    </row>
    <row r="6380" spans="1:16" x14ac:dyDescent="0.25">
      <c r="A6380" s="28" t="s">
        <v>31609</v>
      </c>
      <c r="B6380" s="28" t="s">
        <v>31610</v>
      </c>
      <c r="C6380" s="28" t="s">
        <v>29063</v>
      </c>
      <c r="D6380" s="28" t="s">
        <v>1204</v>
      </c>
      <c r="E6380" s="28" t="s">
        <v>30439</v>
      </c>
      <c r="F6380" s="28" t="s">
        <v>21</v>
      </c>
      <c r="G6380" s="28" t="s">
        <v>207</v>
      </c>
      <c r="H6380" s="28" t="s">
        <v>27631</v>
      </c>
      <c r="I6380" s="28" t="s">
        <v>31611</v>
      </c>
      <c r="J6380" s="28" t="s">
        <v>207</v>
      </c>
      <c r="K6380" s="28" t="s">
        <v>29066</v>
      </c>
      <c r="L6380" s="28" t="s">
        <v>27634</v>
      </c>
      <c r="M6380" s="28" t="s">
        <v>30441</v>
      </c>
      <c r="N6380" s="28" t="s">
        <v>27636</v>
      </c>
      <c r="O6380" s="28" t="s">
        <v>27637</v>
      </c>
      <c r="P6380" s="28" t="s">
        <v>30442</v>
      </c>
    </row>
    <row r="6381" spans="1:16" x14ac:dyDescent="0.25">
      <c r="A6381" s="28" t="s">
        <v>31612</v>
      </c>
      <c r="B6381" s="28" t="s">
        <v>31613</v>
      </c>
      <c r="C6381" s="28" t="s">
        <v>29063</v>
      </c>
      <c r="D6381" s="28" t="s">
        <v>1204</v>
      </c>
      <c r="E6381" s="28" t="s">
        <v>13002</v>
      </c>
      <c r="F6381" s="28" t="s">
        <v>21</v>
      </c>
      <c r="G6381" s="28" t="s">
        <v>207</v>
      </c>
      <c r="H6381" s="28" t="s">
        <v>27631</v>
      </c>
      <c r="I6381" s="28" t="s">
        <v>31614</v>
      </c>
      <c r="J6381" s="28" t="s">
        <v>207</v>
      </c>
      <c r="K6381" s="28" t="s">
        <v>29066</v>
      </c>
      <c r="L6381" s="28" t="s">
        <v>27634</v>
      </c>
      <c r="M6381" s="28" t="s">
        <v>30446</v>
      </c>
      <c r="N6381" s="28" t="s">
        <v>27636</v>
      </c>
      <c r="O6381" s="28" t="s">
        <v>27637</v>
      </c>
      <c r="P6381" s="28" t="s">
        <v>30447</v>
      </c>
    </row>
    <row r="6382" spans="1:16" x14ac:dyDescent="0.25">
      <c r="A6382" s="28" t="s">
        <v>31615</v>
      </c>
      <c r="B6382" s="28" t="s">
        <v>31616</v>
      </c>
      <c r="C6382" s="28" t="s">
        <v>29063</v>
      </c>
      <c r="D6382" s="28" t="s">
        <v>1204</v>
      </c>
      <c r="E6382" s="28" t="s">
        <v>30450</v>
      </c>
      <c r="F6382" s="28" t="s">
        <v>21</v>
      </c>
      <c r="G6382" s="28" t="s">
        <v>207</v>
      </c>
      <c r="H6382" s="28" t="s">
        <v>27631</v>
      </c>
      <c r="I6382" s="28" t="s">
        <v>31617</v>
      </c>
      <c r="J6382" s="28" t="s">
        <v>207</v>
      </c>
      <c r="K6382" s="28" t="s">
        <v>29066</v>
      </c>
      <c r="L6382" s="28" t="s">
        <v>27634</v>
      </c>
      <c r="M6382" s="28" t="s">
        <v>30452</v>
      </c>
      <c r="N6382" s="28" t="s">
        <v>27636</v>
      </c>
      <c r="O6382" s="28" t="s">
        <v>27637</v>
      </c>
      <c r="P6382" s="28" t="s">
        <v>30453</v>
      </c>
    </row>
    <row r="6383" spans="1:16" x14ac:dyDescent="0.25">
      <c r="A6383" s="28" t="s">
        <v>31618</v>
      </c>
      <c r="B6383" s="28" t="s">
        <v>31619</v>
      </c>
      <c r="C6383" s="28" t="s">
        <v>29063</v>
      </c>
      <c r="D6383" s="28" t="s">
        <v>1204</v>
      </c>
      <c r="E6383" s="28" t="s">
        <v>13008</v>
      </c>
      <c r="F6383" s="28" t="s">
        <v>21</v>
      </c>
      <c r="G6383" s="28" t="s">
        <v>207</v>
      </c>
      <c r="H6383" s="28" t="s">
        <v>27631</v>
      </c>
      <c r="I6383" s="28" t="s">
        <v>31620</v>
      </c>
      <c r="J6383" s="28" t="s">
        <v>207</v>
      </c>
      <c r="K6383" s="28" t="s">
        <v>29066</v>
      </c>
      <c r="L6383" s="28" t="s">
        <v>27634</v>
      </c>
      <c r="M6383" s="28" t="s">
        <v>30457</v>
      </c>
      <c r="N6383" s="28" t="s">
        <v>27636</v>
      </c>
      <c r="O6383" s="28" t="s">
        <v>27637</v>
      </c>
      <c r="P6383" s="28" t="s">
        <v>30458</v>
      </c>
    </row>
    <row r="6384" spans="1:16" x14ac:dyDescent="0.25">
      <c r="A6384" s="28" t="s">
        <v>31621</v>
      </c>
      <c r="B6384" s="28" t="s">
        <v>31622</v>
      </c>
      <c r="C6384" s="28" t="s">
        <v>29063</v>
      </c>
      <c r="D6384" s="28" t="s">
        <v>1204</v>
      </c>
      <c r="E6384" s="28" t="s">
        <v>30461</v>
      </c>
      <c r="F6384" s="28" t="s">
        <v>21</v>
      </c>
      <c r="G6384" s="28" t="s">
        <v>207</v>
      </c>
      <c r="H6384" s="28" t="s">
        <v>27631</v>
      </c>
      <c r="I6384" s="28" t="s">
        <v>31623</v>
      </c>
      <c r="J6384" s="28" t="s">
        <v>207</v>
      </c>
      <c r="K6384" s="28" t="s">
        <v>29066</v>
      </c>
      <c r="L6384" s="28" t="s">
        <v>27634</v>
      </c>
      <c r="M6384" s="28" t="s">
        <v>30463</v>
      </c>
      <c r="N6384" s="28" t="s">
        <v>27636</v>
      </c>
      <c r="O6384" s="28" t="s">
        <v>27637</v>
      </c>
      <c r="P6384" s="28" t="s">
        <v>30464</v>
      </c>
    </row>
    <row r="6385" spans="1:16" x14ac:dyDescent="0.25">
      <c r="A6385" s="28" t="s">
        <v>31624</v>
      </c>
      <c r="B6385" s="28" t="s">
        <v>31625</v>
      </c>
      <c r="C6385" s="28" t="s">
        <v>29063</v>
      </c>
      <c r="D6385" s="28" t="s">
        <v>1204</v>
      </c>
      <c r="E6385" s="28" t="s">
        <v>30467</v>
      </c>
      <c r="F6385" s="28" t="s">
        <v>21</v>
      </c>
      <c r="G6385" s="28" t="s">
        <v>207</v>
      </c>
      <c r="H6385" s="28" t="s">
        <v>27631</v>
      </c>
      <c r="I6385" s="28" t="s">
        <v>31626</v>
      </c>
      <c r="J6385" s="28" t="s">
        <v>207</v>
      </c>
      <c r="K6385" s="28" t="s">
        <v>29066</v>
      </c>
      <c r="L6385" s="28" t="s">
        <v>27634</v>
      </c>
      <c r="M6385" s="28" t="s">
        <v>30469</v>
      </c>
      <c r="N6385" s="28" t="s">
        <v>27636</v>
      </c>
      <c r="O6385" s="28" t="s">
        <v>27637</v>
      </c>
      <c r="P6385" s="28" t="s">
        <v>30470</v>
      </c>
    </row>
    <row r="6386" spans="1:16" x14ac:dyDescent="0.25">
      <c r="A6386" s="28" t="s">
        <v>31627</v>
      </c>
      <c r="B6386" s="28" t="s">
        <v>31628</v>
      </c>
      <c r="C6386" s="28" t="s">
        <v>29063</v>
      </c>
      <c r="D6386" s="28" t="s">
        <v>1204</v>
      </c>
      <c r="E6386" s="28" t="s">
        <v>30473</v>
      </c>
      <c r="F6386" s="28" t="s">
        <v>21</v>
      </c>
      <c r="G6386" s="28" t="s">
        <v>207</v>
      </c>
      <c r="H6386" s="28" t="s">
        <v>27631</v>
      </c>
      <c r="I6386" s="28" t="s">
        <v>31629</v>
      </c>
      <c r="J6386" s="28" t="s">
        <v>207</v>
      </c>
      <c r="K6386" s="28" t="s">
        <v>29066</v>
      </c>
      <c r="L6386" s="28" t="s">
        <v>27634</v>
      </c>
      <c r="M6386" s="28" t="s">
        <v>30475</v>
      </c>
      <c r="N6386" s="28" t="s">
        <v>27636</v>
      </c>
      <c r="O6386" s="28" t="s">
        <v>27637</v>
      </c>
      <c r="P6386" s="28" t="s">
        <v>30476</v>
      </c>
    </row>
    <row r="6387" spans="1:16" x14ac:dyDescent="0.25">
      <c r="A6387" s="28" t="s">
        <v>31630</v>
      </c>
      <c r="B6387" s="28" t="s">
        <v>31631</v>
      </c>
      <c r="C6387" s="28" t="s">
        <v>29063</v>
      </c>
      <c r="D6387" s="28" t="s">
        <v>1204</v>
      </c>
      <c r="E6387" s="28" t="s">
        <v>30479</v>
      </c>
      <c r="F6387" s="28" t="s">
        <v>21</v>
      </c>
      <c r="G6387" s="28" t="s">
        <v>207</v>
      </c>
      <c r="H6387" s="28" t="s">
        <v>27631</v>
      </c>
      <c r="I6387" s="28" t="s">
        <v>31632</v>
      </c>
      <c r="J6387" s="28" t="s">
        <v>207</v>
      </c>
      <c r="K6387" s="28" t="s">
        <v>29066</v>
      </c>
      <c r="L6387" s="28" t="s">
        <v>27634</v>
      </c>
      <c r="M6387" s="28" t="s">
        <v>30481</v>
      </c>
      <c r="N6387" s="28" t="s">
        <v>27636</v>
      </c>
      <c r="O6387" s="28" t="s">
        <v>27637</v>
      </c>
      <c r="P6387" s="28" t="s">
        <v>30482</v>
      </c>
    </row>
    <row r="6388" spans="1:16" x14ac:dyDescent="0.25">
      <c r="A6388" s="28" t="s">
        <v>31633</v>
      </c>
      <c r="B6388" s="28" t="s">
        <v>31634</v>
      </c>
      <c r="C6388" s="28" t="s">
        <v>29063</v>
      </c>
      <c r="D6388" s="28" t="s">
        <v>1204</v>
      </c>
      <c r="E6388" s="28" t="s">
        <v>30485</v>
      </c>
      <c r="F6388" s="28" t="s">
        <v>21</v>
      </c>
      <c r="G6388" s="28" t="s">
        <v>207</v>
      </c>
      <c r="H6388" s="28" t="s">
        <v>27631</v>
      </c>
      <c r="I6388" s="28" t="s">
        <v>31635</v>
      </c>
      <c r="J6388" s="28" t="s">
        <v>207</v>
      </c>
      <c r="K6388" s="28" t="s">
        <v>29066</v>
      </c>
      <c r="L6388" s="28" t="s">
        <v>27634</v>
      </c>
      <c r="M6388" s="28" t="s">
        <v>30487</v>
      </c>
      <c r="N6388" s="28" t="s">
        <v>27636</v>
      </c>
      <c r="O6388" s="28" t="s">
        <v>27637</v>
      </c>
      <c r="P6388" s="28" t="s">
        <v>30488</v>
      </c>
    </row>
    <row r="6389" spans="1:16" x14ac:dyDescent="0.25">
      <c r="A6389" s="28" t="s">
        <v>31636</v>
      </c>
      <c r="B6389" s="28" t="s">
        <v>31637</v>
      </c>
      <c r="C6389" s="28" t="s">
        <v>29063</v>
      </c>
      <c r="D6389" s="28" t="s">
        <v>1204</v>
      </c>
      <c r="E6389" s="28" t="s">
        <v>30491</v>
      </c>
      <c r="F6389" s="28" t="s">
        <v>21</v>
      </c>
      <c r="G6389" s="28" t="s">
        <v>207</v>
      </c>
      <c r="H6389" s="28" t="s">
        <v>27631</v>
      </c>
      <c r="I6389" s="28" t="s">
        <v>31638</v>
      </c>
      <c r="J6389" s="28" t="s">
        <v>207</v>
      </c>
      <c r="K6389" s="28" t="s">
        <v>29066</v>
      </c>
      <c r="L6389" s="28" t="s">
        <v>27634</v>
      </c>
      <c r="M6389" s="28" t="s">
        <v>30493</v>
      </c>
      <c r="N6389" s="28" t="s">
        <v>27636</v>
      </c>
      <c r="O6389" s="28" t="s">
        <v>27637</v>
      </c>
      <c r="P6389" s="28" t="s">
        <v>30494</v>
      </c>
    </row>
    <row r="6390" spans="1:16" x14ac:dyDescent="0.25">
      <c r="A6390" s="28" t="s">
        <v>31639</v>
      </c>
      <c r="B6390" s="28" t="s">
        <v>31640</v>
      </c>
      <c r="C6390" s="28" t="s">
        <v>29063</v>
      </c>
      <c r="D6390" s="28" t="s">
        <v>1204</v>
      </c>
      <c r="E6390" s="28" t="s">
        <v>30497</v>
      </c>
      <c r="F6390" s="28" t="s">
        <v>21</v>
      </c>
      <c r="G6390" s="28" t="s">
        <v>207</v>
      </c>
      <c r="H6390" s="28" t="s">
        <v>27631</v>
      </c>
      <c r="I6390" s="28" t="s">
        <v>31641</v>
      </c>
      <c r="J6390" s="28" t="s">
        <v>207</v>
      </c>
      <c r="K6390" s="28" t="s">
        <v>29066</v>
      </c>
      <c r="L6390" s="28" t="s">
        <v>27634</v>
      </c>
      <c r="M6390" s="28" t="s">
        <v>30499</v>
      </c>
      <c r="N6390" s="28" t="s">
        <v>27636</v>
      </c>
      <c r="O6390" s="28" t="s">
        <v>27637</v>
      </c>
      <c r="P6390" s="28" t="s">
        <v>30500</v>
      </c>
    </row>
    <row r="6391" spans="1:16" x14ac:dyDescent="0.25">
      <c r="A6391" s="28" t="s">
        <v>31642</v>
      </c>
      <c r="B6391" s="28" t="s">
        <v>31643</v>
      </c>
      <c r="C6391" s="28" t="s">
        <v>29063</v>
      </c>
      <c r="D6391" s="28" t="s">
        <v>1204</v>
      </c>
      <c r="E6391" s="28" t="s">
        <v>30503</v>
      </c>
      <c r="F6391" s="28" t="s">
        <v>21</v>
      </c>
      <c r="G6391" s="28" t="s">
        <v>207</v>
      </c>
      <c r="H6391" s="28" t="s">
        <v>27631</v>
      </c>
      <c r="I6391" s="28" t="s">
        <v>31644</v>
      </c>
      <c r="J6391" s="28" t="s">
        <v>207</v>
      </c>
      <c r="K6391" s="28" t="s">
        <v>29066</v>
      </c>
      <c r="L6391" s="28" t="s">
        <v>27634</v>
      </c>
      <c r="M6391" s="28" t="s">
        <v>30505</v>
      </c>
      <c r="N6391" s="28" t="s">
        <v>27636</v>
      </c>
      <c r="O6391" s="28" t="s">
        <v>27637</v>
      </c>
      <c r="P6391" s="28" t="s">
        <v>30506</v>
      </c>
    </row>
    <row r="6392" spans="1:16" x14ac:dyDescent="0.25">
      <c r="A6392" s="28" t="s">
        <v>31645</v>
      </c>
      <c r="B6392" s="28" t="s">
        <v>31646</v>
      </c>
      <c r="C6392" s="28" t="s">
        <v>29063</v>
      </c>
      <c r="D6392" s="28" t="s">
        <v>1204</v>
      </c>
      <c r="E6392" s="28" t="s">
        <v>30509</v>
      </c>
      <c r="F6392" s="28" t="s">
        <v>21</v>
      </c>
      <c r="G6392" s="28" t="s">
        <v>207</v>
      </c>
      <c r="H6392" s="28" t="s">
        <v>27631</v>
      </c>
      <c r="I6392" s="28" t="s">
        <v>31647</v>
      </c>
      <c r="J6392" s="28" t="s">
        <v>207</v>
      </c>
      <c r="K6392" s="28" t="s">
        <v>29066</v>
      </c>
      <c r="L6392" s="28" t="s">
        <v>27634</v>
      </c>
      <c r="M6392" s="28" t="s">
        <v>30511</v>
      </c>
      <c r="N6392" s="28" t="s">
        <v>27636</v>
      </c>
      <c r="O6392" s="28" t="s">
        <v>27637</v>
      </c>
      <c r="P6392" s="28" t="s">
        <v>30512</v>
      </c>
    </row>
    <row r="6393" spans="1:16" x14ac:dyDescent="0.25">
      <c r="A6393" s="28" t="s">
        <v>31648</v>
      </c>
      <c r="B6393" s="28" t="s">
        <v>31649</v>
      </c>
      <c r="C6393" s="28" t="s">
        <v>29063</v>
      </c>
      <c r="D6393" s="28" t="s">
        <v>1204</v>
      </c>
      <c r="E6393" s="28" t="s">
        <v>30515</v>
      </c>
      <c r="F6393" s="28" t="s">
        <v>21</v>
      </c>
      <c r="G6393" s="28" t="s">
        <v>207</v>
      </c>
      <c r="H6393" s="28" t="s">
        <v>27631</v>
      </c>
      <c r="I6393" s="28" t="s">
        <v>31650</v>
      </c>
      <c r="J6393" s="28" t="s">
        <v>207</v>
      </c>
      <c r="K6393" s="28" t="s">
        <v>29066</v>
      </c>
      <c r="L6393" s="28" t="s">
        <v>27634</v>
      </c>
      <c r="M6393" s="28" t="s">
        <v>30517</v>
      </c>
      <c r="N6393" s="28" t="s">
        <v>27636</v>
      </c>
      <c r="O6393" s="28" t="s">
        <v>27637</v>
      </c>
      <c r="P6393" s="28" t="s">
        <v>30518</v>
      </c>
    </row>
    <row r="6394" spans="1:16" x14ac:dyDescent="0.25">
      <c r="A6394" s="28" t="s">
        <v>31651</v>
      </c>
      <c r="B6394" s="28" t="s">
        <v>31652</v>
      </c>
      <c r="C6394" s="28" t="s">
        <v>29063</v>
      </c>
      <c r="D6394" s="28" t="s">
        <v>1204</v>
      </c>
      <c r="E6394" s="28" t="s">
        <v>26384</v>
      </c>
      <c r="F6394" s="28" t="s">
        <v>21</v>
      </c>
      <c r="G6394" s="28" t="s">
        <v>207</v>
      </c>
      <c r="H6394" s="28" t="s">
        <v>27631</v>
      </c>
      <c r="I6394" s="28" t="s">
        <v>31653</v>
      </c>
      <c r="J6394" s="28" t="s">
        <v>207</v>
      </c>
      <c r="K6394" s="28" t="s">
        <v>29066</v>
      </c>
      <c r="L6394" s="28" t="s">
        <v>27634</v>
      </c>
      <c r="M6394" s="28" t="s">
        <v>30522</v>
      </c>
      <c r="N6394" s="28" t="s">
        <v>27636</v>
      </c>
      <c r="O6394" s="28" t="s">
        <v>27637</v>
      </c>
      <c r="P6394" s="28" t="s">
        <v>30523</v>
      </c>
    </row>
    <row r="6395" spans="1:16" x14ac:dyDescent="0.25">
      <c r="A6395" s="28" t="s">
        <v>31654</v>
      </c>
      <c r="B6395" s="28" t="s">
        <v>31655</v>
      </c>
      <c r="C6395" s="28" t="s">
        <v>29063</v>
      </c>
      <c r="D6395" s="28" t="s">
        <v>1204</v>
      </c>
      <c r="E6395" s="28" t="s">
        <v>30526</v>
      </c>
      <c r="F6395" s="28" t="s">
        <v>21</v>
      </c>
      <c r="G6395" s="28" t="s">
        <v>207</v>
      </c>
      <c r="H6395" s="28" t="s">
        <v>27631</v>
      </c>
      <c r="I6395" s="28" t="s">
        <v>31656</v>
      </c>
      <c r="J6395" s="28" t="s">
        <v>207</v>
      </c>
      <c r="K6395" s="28" t="s">
        <v>29066</v>
      </c>
      <c r="L6395" s="28" t="s">
        <v>27634</v>
      </c>
      <c r="M6395" s="28" t="s">
        <v>30528</v>
      </c>
      <c r="N6395" s="28" t="s">
        <v>27636</v>
      </c>
      <c r="O6395" s="28" t="s">
        <v>27637</v>
      </c>
      <c r="P6395" s="28" t="s">
        <v>30529</v>
      </c>
    </row>
    <row r="6396" spans="1:16" x14ac:dyDescent="0.25">
      <c r="A6396" s="28" t="s">
        <v>31657</v>
      </c>
      <c r="B6396" s="28" t="s">
        <v>31658</v>
      </c>
      <c r="C6396" s="28" t="s">
        <v>29063</v>
      </c>
      <c r="D6396" s="28" t="s">
        <v>1204</v>
      </c>
      <c r="E6396" s="28" t="s">
        <v>13014</v>
      </c>
      <c r="F6396" s="28" t="s">
        <v>21</v>
      </c>
      <c r="G6396" s="28" t="s">
        <v>207</v>
      </c>
      <c r="H6396" s="28" t="s">
        <v>27631</v>
      </c>
      <c r="I6396" s="28" t="s">
        <v>31659</v>
      </c>
      <c r="J6396" s="28" t="s">
        <v>207</v>
      </c>
      <c r="K6396" s="28" t="s">
        <v>29066</v>
      </c>
      <c r="L6396" s="28" t="s">
        <v>27634</v>
      </c>
      <c r="M6396" s="28" t="s">
        <v>30533</v>
      </c>
      <c r="N6396" s="28" t="s">
        <v>27636</v>
      </c>
      <c r="O6396" s="28" t="s">
        <v>27637</v>
      </c>
      <c r="P6396" s="28" t="s">
        <v>30534</v>
      </c>
    </row>
    <row r="6397" spans="1:16" x14ac:dyDescent="0.25">
      <c r="A6397" s="28" t="s">
        <v>31660</v>
      </c>
      <c r="B6397" s="28" t="s">
        <v>31661</v>
      </c>
      <c r="C6397" s="28" t="s">
        <v>29063</v>
      </c>
      <c r="D6397" s="28" t="s">
        <v>1204</v>
      </c>
      <c r="E6397" s="28" t="s">
        <v>30537</v>
      </c>
      <c r="F6397" s="28" t="s">
        <v>21</v>
      </c>
      <c r="G6397" s="28" t="s">
        <v>207</v>
      </c>
      <c r="H6397" s="28" t="s">
        <v>27631</v>
      </c>
      <c r="I6397" s="28" t="s">
        <v>31662</v>
      </c>
      <c r="J6397" s="28" t="s">
        <v>207</v>
      </c>
      <c r="K6397" s="28" t="s">
        <v>29066</v>
      </c>
      <c r="L6397" s="28" t="s">
        <v>27634</v>
      </c>
      <c r="M6397" s="28" t="s">
        <v>30539</v>
      </c>
      <c r="N6397" s="28" t="s">
        <v>27636</v>
      </c>
      <c r="O6397" s="28" t="s">
        <v>27637</v>
      </c>
      <c r="P6397" s="28" t="s">
        <v>30540</v>
      </c>
    </row>
    <row r="6398" spans="1:16" x14ac:dyDescent="0.25">
      <c r="A6398" s="28" t="s">
        <v>31663</v>
      </c>
      <c r="B6398" s="28" t="s">
        <v>31664</v>
      </c>
      <c r="C6398" s="28" t="s">
        <v>29063</v>
      </c>
      <c r="D6398" s="28" t="s">
        <v>1204</v>
      </c>
      <c r="E6398" s="28" t="s">
        <v>30543</v>
      </c>
      <c r="F6398" s="28" t="s">
        <v>21</v>
      </c>
      <c r="G6398" s="28" t="s">
        <v>207</v>
      </c>
      <c r="H6398" s="28" t="s">
        <v>27631</v>
      </c>
      <c r="I6398" s="28" t="s">
        <v>31665</v>
      </c>
      <c r="J6398" s="28" t="s">
        <v>207</v>
      </c>
      <c r="K6398" s="28" t="s">
        <v>29066</v>
      </c>
      <c r="L6398" s="28" t="s">
        <v>27634</v>
      </c>
      <c r="M6398" s="28" t="s">
        <v>30545</v>
      </c>
      <c r="N6398" s="28" t="s">
        <v>27636</v>
      </c>
      <c r="O6398" s="28" t="s">
        <v>27637</v>
      </c>
      <c r="P6398" s="28" t="s">
        <v>30546</v>
      </c>
    </row>
    <row r="6399" spans="1:16" x14ac:dyDescent="0.25">
      <c r="A6399" s="28" t="s">
        <v>31666</v>
      </c>
      <c r="B6399" s="28" t="s">
        <v>31667</v>
      </c>
      <c r="C6399" s="28" t="s">
        <v>29063</v>
      </c>
      <c r="D6399" s="28" t="s">
        <v>1204</v>
      </c>
      <c r="E6399" s="28" t="s">
        <v>13020</v>
      </c>
      <c r="F6399" s="28" t="s">
        <v>21</v>
      </c>
      <c r="G6399" s="28" t="s">
        <v>207</v>
      </c>
      <c r="H6399" s="28" t="s">
        <v>27631</v>
      </c>
      <c r="I6399" s="28" t="s">
        <v>31668</v>
      </c>
      <c r="J6399" s="28" t="s">
        <v>207</v>
      </c>
      <c r="K6399" s="28" t="s">
        <v>29066</v>
      </c>
      <c r="L6399" s="28" t="s">
        <v>27634</v>
      </c>
      <c r="M6399" s="28" t="s">
        <v>30550</v>
      </c>
      <c r="N6399" s="28" t="s">
        <v>27636</v>
      </c>
      <c r="O6399" s="28" t="s">
        <v>27637</v>
      </c>
      <c r="P6399" s="28" t="s">
        <v>30551</v>
      </c>
    </row>
    <row r="6400" spans="1:16" x14ac:dyDescent="0.25">
      <c r="A6400" s="28" t="s">
        <v>31669</v>
      </c>
      <c r="B6400" s="28" t="s">
        <v>31670</v>
      </c>
      <c r="C6400" s="28" t="s">
        <v>29063</v>
      </c>
      <c r="D6400" s="28" t="s">
        <v>1204</v>
      </c>
      <c r="E6400" s="28" t="s">
        <v>30554</v>
      </c>
      <c r="F6400" s="28" t="s">
        <v>21</v>
      </c>
      <c r="G6400" s="28" t="s">
        <v>207</v>
      </c>
      <c r="H6400" s="28" t="s">
        <v>27631</v>
      </c>
      <c r="I6400" s="28" t="s">
        <v>31671</v>
      </c>
      <c r="J6400" s="28" t="s">
        <v>207</v>
      </c>
      <c r="K6400" s="28" t="s">
        <v>29066</v>
      </c>
      <c r="L6400" s="28" t="s">
        <v>27634</v>
      </c>
      <c r="M6400" s="28" t="s">
        <v>30556</v>
      </c>
      <c r="N6400" s="28" t="s">
        <v>27636</v>
      </c>
      <c r="O6400" s="28" t="s">
        <v>27637</v>
      </c>
      <c r="P6400" s="28" t="s">
        <v>30557</v>
      </c>
    </row>
    <row r="6401" spans="1:16" x14ac:dyDescent="0.25">
      <c r="A6401" s="28" t="s">
        <v>31672</v>
      </c>
      <c r="B6401" s="28" t="s">
        <v>31673</v>
      </c>
      <c r="C6401" s="28" t="s">
        <v>29063</v>
      </c>
      <c r="D6401" s="28" t="s">
        <v>1204</v>
      </c>
      <c r="E6401" s="28" t="s">
        <v>13026</v>
      </c>
      <c r="F6401" s="28" t="s">
        <v>21</v>
      </c>
      <c r="G6401" s="28" t="s">
        <v>207</v>
      </c>
      <c r="H6401" s="28" t="s">
        <v>27631</v>
      </c>
      <c r="I6401" s="28" t="s">
        <v>31674</v>
      </c>
      <c r="J6401" s="28" t="s">
        <v>207</v>
      </c>
      <c r="K6401" s="28" t="s">
        <v>29066</v>
      </c>
      <c r="L6401" s="28" t="s">
        <v>27634</v>
      </c>
      <c r="M6401" s="28" t="s">
        <v>30561</v>
      </c>
      <c r="N6401" s="28" t="s">
        <v>27636</v>
      </c>
      <c r="O6401" s="28" t="s">
        <v>27637</v>
      </c>
      <c r="P6401" s="28" t="s">
        <v>30562</v>
      </c>
    </row>
    <row r="6402" spans="1:16" x14ac:dyDescent="0.25">
      <c r="A6402" s="28" t="s">
        <v>31675</v>
      </c>
      <c r="B6402" s="28" t="s">
        <v>31676</v>
      </c>
      <c r="C6402" s="28" t="s">
        <v>29063</v>
      </c>
      <c r="D6402" s="28" t="s">
        <v>1204</v>
      </c>
      <c r="E6402" s="28" t="s">
        <v>30565</v>
      </c>
      <c r="F6402" s="28" t="s">
        <v>21</v>
      </c>
      <c r="G6402" s="28" t="s">
        <v>207</v>
      </c>
      <c r="H6402" s="28" t="s">
        <v>27631</v>
      </c>
      <c r="I6402" s="28" t="s">
        <v>31677</v>
      </c>
      <c r="J6402" s="28" t="s">
        <v>207</v>
      </c>
      <c r="K6402" s="28" t="s">
        <v>29066</v>
      </c>
      <c r="L6402" s="28" t="s">
        <v>27634</v>
      </c>
      <c r="M6402" s="28" t="s">
        <v>30567</v>
      </c>
      <c r="N6402" s="28" t="s">
        <v>27636</v>
      </c>
      <c r="O6402" s="28" t="s">
        <v>27637</v>
      </c>
      <c r="P6402" s="28" t="s">
        <v>30568</v>
      </c>
    </row>
    <row r="6403" spans="1:16" x14ac:dyDescent="0.25">
      <c r="A6403" s="28" t="s">
        <v>31678</v>
      </c>
      <c r="B6403" s="28" t="s">
        <v>31679</v>
      </c>
      <c r="C6403" s="28" t="s">
        <v>29063</v>
      </c>
      <c r="D6403" s="28" t="s">
        <v>1204</v>
      </c>
      <c r="E6403" s="28" t="s">
        <v>30571</v>
      </c>
      <c r="F6403" s="28" t="s">
        <v>21</v>
      </c>
      <c r="G6403" s="28" t="s">
        <v>207</v>
      </c>
      <c r="H6403" s="28" t="s">
        <v>27631</v>
      </c>
      <c r="I6403" s="28" t="s">
        <v>31680</v>
      </c>
      <c r="J6403" s="28" t="s">
        <v>207</v>
      </c>
      <c r="K6403" s="28" t="s">
        <v>29066</v>
      </c>
      <c r="L6403" s="28" t="s">
        <v>27634</v>
      </c>
      <c r="M6403" s="28" t="s">
        <v>30573</v>
      </c>
      <c r="N6403" s="28" t="s">
        <v>27636</v>
      </c>
      <c r="O6403" s="28" t="s">
        <v>27637</v>
      </c>
      <c r="P6403" s="28" t="s">
        <v>30574</v>
      </c>
    </row>
    <row r="6404" spans="1:16" x14ac:dyDescent="0.25">
      <c r="A6404" s="28" t="s">
        <v>31681</v>
      </c>
      <c r="B6404" s="28" t="s">
        <v>31682</v>
      </c>
      <c r="C6404" s="28" t="s">
        <v>29063</v>
      </c>
      <c r="D6404" s="28" t="s">
        <v>1204</v>
      </c>
      <c r="E6404" s="28" t="s">
        <v>30577</v>
      </c>
      <c r="F6404" s="28" t="s">
        <v>21</v>
      </c>
      <c r="G6404" s="28" t="s">
        <v>207</v>
      </c>
      <c r="H6404" s="28" t="s">
        <v>27631</v>
      </c>
      <c r="I6404" s="28" t="s">
        <v>31683</v>
      </c>
      <c r="J6404" s="28" t="s">
        <v>207</v>
      </c>
      <c r="K6404" s="28" t="s">
        <v>29066</v>
      </c>
      <c r="L6404" s="28" t="s">
        <v>27634</v>
      </c>
      <c r="M6404" s="28" t="s">
        <v>30579</v>
      </c>
      <c r="N6404" s="28" t="s">
        <v>27636</v>
      </c>
      <c r="O6404" s="28" t="s">
        <v>27637</v>
      </c>
      <c r="P6404" s="28" t="s">
        <v>30580</v>
      </c>
    </row>
    <row r="6405" spans="1:16" x14ac:dyDescent="0.25">
      <c r="A6405" s="28" t="s">
        <v>31684</v>
      </c>
      <c r="B6405" s="28" t="s">
        <v>31685</v>
      </c>
      <c r="C6405" s="28" t="s">
        <v>29063</v>
      </c>
      <c r="D6405" s="28" t="s">
        <v>1204</v>
      </c>
      <c r="E6405" s="28" t="s">
        <v>30583</v>
      </c>
      <c r="F6405" s="28" t="s">
        <v>21</v>
      </c>
      <c r="G6405" s="28" t="s">
        <v>207</v>
      </c>
      <c r="H6405" s="28" t="s">
        <v>27631</v>
      </c>
      <c r="I6405" s="28" t="s">
        <v>31686</v>
      </c>
      <c r="J6405" s="28" t="s">
        <v>207</v>
      </c>
      <c r="K6405" s="28" t="s">
        <v>29066</v>
      </c>
      <c r="L6405" s="28" t="s">
        <v>27634</v>
      </c>
      <c r="M6405" s="28" t="s">
        <v>30585</v>
      </c>
      <c r="N6405" s="28" t="s">
        <v>27636</v>
      </c>
      <c r="O6405" s="28" t="s">
        <v>27637</v>
      </c>
      <c r="P6405" s="28" t="s">
        <v>30586</v>
      </c>
    </row>
    <row r="6406" spans="1:16" x14ac:dyDescent="0.25">
      <c r="A6406" s="28" t="s">
        <v>31687</v>
      </c>
      <c r="B6406" s="28" t="s">
        <v>31688</v>
      </c>
      <c r="C6406" s="28" t="s">
        <v>29063</v>
      </c>
      <c r="D6406" s="28" t="s">
        <v>1204</v>
      </c>
      <c r="E6406" s="28" t="s">
        <v>30589</v>
      </c>
      <c r="F6406" s="28" t="s">
        <v>21</v>
      </c>
      <c r="G6406" s="28" t="s">
        <v>207</v>
      </c>
      <c r="H6406" s="28" t="s">
        <v>27631</v>
      </c>
      <c r="I6406" s="28" t="s">
        <v>31689</v>
      </c>
      <c r="J6406" s="28" t="s">
        <v>207</v>
      </c>
      <c r="K6406" s="28" t="s">
        <v>29066</v>
      </c>
      <c r="L6406" s="28" t="s">
        <v>27634</v>
      </c>
      <c r="M6406" s="28" t="s">
        <v>30591</v>
      </c>
      <c r="N6406" s="28" t="s">
        <v>27636</v>
      </c>
      <c r="O6406" s="28" t="s">
        <v>27637</v>
      </c>
      <c r="P6406" s="28" t="s">
        <v>30592</v>
      </c>
    </row>
    <row r="6407" spans="1:16" x14ac:dyDescent="0.25">
      <c r="A6407" s="28" t="s">
        <v>31690</v>
      </c>
      <c r="B6407" s="28" t="s">
        <v>31691</v>
      </c>
      <c r="C6407" s="28" t="s">
        <v>29063</v>
      </c>
      <c r="D6407" s="28" t="s">
        <v>1204</v>
      </c>
      <c r="E6407" s="28" t="s">
        <v>30595</v>
      </c>
      <c r="F6407" s="28" t="s">
        <v>21</v>
      </c>
      <c r="G6407" s="28" t="s">
        <v>207</v>
      </c>
      <c r="H6407" s="28" t="s">
        <v>27631</v>
      </c>
      <c r="I6407" s="28" t="s">
        <v>31692</v>
      </c>
      <c r="J6407" s="28" t="s">
        <v>207</v>
      </c>
      <c r="K6407" s="28" t="s">
        <v>29066</v>
      </c>
      <c r="L6407" s="28" t="s">
        <v>27634</v>
      </c>
      <c r="M6407" s="28" t="s">
        <v>30597</v>
      </c>
      <c r="N6407" s="28" t="s">
        <v>27636</v>
      </c>
      <c r="O6407" s="28" t="s">
        <v>27637</v>
      </c>
      <c r="P6407" s="28" t="s">
        <v>30598</v>
      </c>
    </row>
    <row r="6408" spans="1:16" x14ac:dyDescent="0.25">
      <c r="A6408" s="28" t="s">
        <v>31693</v>
      </c>
      <c r="B6408" s="28" t="s">
        <v>31694</v>
      </c>
      <c r="C6408" s="28" t="s">
        <v>29063</v>
      </c>
      <c r="D6408" s="28" t="s">
        <v>1204</v>
      </c>
      <c r="E6408" s="28" t="s">
        <v>30601</v>
      </c>
      <c r="F6408" s="28" t="s">
        <v>21</v>
      </c>
      <c r="G6408" s="28" t="s">
        <v>207</v>
      </c>
      <c r="H6408" s="28" t="s">
        <v>27631</v>
      </c>
      <c r="I6408" s="28" t="s">
        <v>31695</v>
      </c>
      <c r="J6408" s="28" t="s">
        <v>207</v>
      </c>
      <c r="K6408" s="28" t="s">
        <v>29066</v>
      </c>
      <c r="L6408" s="28" t="s">
        <v>27634</v>
      </c>
      <c r="M6408" s="28" t="s">
        <v>30603</v>
      </c>
      <c r="N6408" s="28" t="s">
        <v>27636</v>
      </c>
      <c r="O6408" s="28" t="s">
        <v>27637</v>
      </c>
      <c r="P6408" s="28" t="s">
        <v>30604</v>
      </c>
    </row>
    <row r="6409" spans="1:16" x14ac:dyDescent="0.25">
      <c r="A6409" s="28" t="s">
        <v>31696</v>
      </c>
      <c r="B6409" s="28" t="s">
        <v>31697</v>
      </c>
      <c r="C6409" s="28" t="s">
        <v>29063</v>
      </c>
      <c r="D6409" s="28" t="s">
        <v>1204</v>
      </c>
      <c r="E6409" s="28" t="s">
        <v>30607</v>
      </c>
      <c r="F6409" s="28" t="s">
        <v>21</v>
      </c>
      <c r="G6409" s="28" t="s">
        <v>207</v>
      </c>
      <c r="H6409" s="28" t="s">
        <v>27631</v>
      </c>
      <c r="I6409" s="28" t="s">
        <v>31698</v>
      </c>
      <c r="J6409" s="28" t="s">
        <v>207</v>
      </c>
      <c r="K6409" s="28" t="s">
        <v>29066</v>
      </c>
      <c r="L6409" s="28" t="s">
        <v>27634</v>
      </c>
      <c r="M6409" s="28" t="s">
        <v>30609</v>
      </c>
      <c r="N6409" s="28" t="s">
        <v>27636</v>
      </c>
      <c r="O6409" s="28" t="s">
        <v>27637</v>
      </c>
      <c r="P6409" s="28" t="s">
        <v>30610</v>
      </c>
    </row>
    <row r="6410" spans="1:16" x14ac:dyDescent="0.25">
      <c r="A6410" s="28" t="s">
        <v>31699</v>
      </c>
      <c r="B6410" s="28" t="s">
        <v>31700</v>
      </c>
      <c r="C6410" s="28" t="s">
        <v>29063</v>
      </c>
      <c r="D6410" s="28" t="s">
        <v>1204</v>
      </c>
      <c r="E6410" s="28" t="s">
        <v>13032</v>
      </c>
      <c r="F6410" s="28" t="s">
        <v>21</v>
      </c>
      <c r="G6410" s="28" t="s">
        <v>207</v>
      </c>
      <c r="H6410" s="28" t="s">
        <v>27631</v>
      </c>
      <c r="I6410" s="28" t="s">
        <v>31701</v>
      </c>
      <c r="J6410" s="28" t="s">
        <v>207</v>
      </c>
      <c r="K6410" s="28" t="s">
        <v>29066</v>
      </c>
      <c r="L6410" s="28" t="s">
        <v>27634</v>
      </c>
      <c r="M6410" s="28" t="s">
        <v>30614</v>
      </c>
      <c r="N6410" s="28" t="s">
        <v>27636</v>
      </c>
      <c r="O6410" s="28" t="s">
        <v>27637</v>
      </c>
      <c r="P6410" s="28" t="s">
        <v>30615</v>
      </c>
    </row>
    <row r="6411" spans="1:16" x14ac:dyDescent="0.25">
      <c r="A6411" s="28" t="s">
        <v>31702</v>
      </c>
      <c r="B6411" s="28" t="s">
        <v>31703</v>
      </c>
      <c r="C6411" s="28" t="s">
        <v>29063</v>
      </c>
      <c r="D6411" s="28" t="s">
        <v>1204</v>
      </c>
      <c r="E6411" s="28" t="s">
        <v>13038</v>
      </c>
      <c r="F6411" s="28" t="s">
        <v>21</v>
      </c>
      <c r="G6411" s="28" t="s">
        <v>207</v>
      </c>
      <c r="H6411" s="28" t="s">
        <v>27631</v>
      </c>
      <c r="I6411" s="28" t="s">
        <v>31704</v>
      </c>
      <c r="J6411" s="28" t="s">
        <v>207</v>
      </c>
      <c r="K6411" s="28" t="s">
        <v>29066</v>
      </c>
      <c r="L6411" s="28" t="s">
        <v>27634</v>
      </c>
      <c r="M6411" s="28" t="s">
        <v>30619</v>
      </c>
      <c r="N6411" s="28" t="s">
        <v>27636</v>
      </c>
      <c r="O6411" s="28" t="s">
        <v>27637</v>
      </c>
      <c r="P6411" s="28" t="s">
        <v>30620</v>
      </c>
    </row>
    <row r="6412" spans="1:16" x14ac:dyDescent="0.25">
      <c r="A6412" s="28" t="s">
        <v>31705</v>
      </c>
      <c r="B6412" s="28" t="s">
        <v>31706</v>
      </c>
      <c r="C6412" s="28" t="s">
        <v>29063</v>
      </c>
      <c r="D6412" s="28" t="s">
        <v>1204</v>
      </c>
      <c r="E6412" s="28" t="s">
        <v>30623</v>
      </c>
      <c r="F6412" s="28" t="s">
        <v>21</v>
      </c>
      <c r="G6412" s="28" t="s">
        <v>207</v>
      </c>
      <c r="H6412" s="28" t="s">
        <v>27631</v>
      </c>
      <c r="I6412" s="28" t="s">
        <v>31707</v>
      </c>
      <c r="J6412" s="28" t="s">
        <v>207</v>
      </c>
      <c r="K6412" s="28" t="s">
        <v>29066</v>
      </c>
      <c r="L6412" s="28" t="s">
        <v>27634</v>
      </c>
      <c r="M6412" s="28" t="s">
        <v>30625</v>
      </c>
      <c r="N6412" s="28" t="s">
        <v>27636</v>
      </c>
      <c r="O6412" s="28" t="s">
        <v>27637</v>
      </c>
      <c r="P6412" s="28" t="s">
        <v>30626</v>
      </c>
    </row>
    <row r="6413" spans="1:16" x14ac:dyDescent="0.25">
      <c r="A6413" s="28" t="s">
        <v>31708</v>
      </c>
      <c r="B6413" s="28" t="s">
        <v>31709</v>
      </c>
      <c r="C6413" s="28" t="s">
        <v>29063</v>
      </c>
      <c r="D6413" s="28" t="s">
        <v>1204</v>
      </c>
      <c r="E6413" s="28" t="s">
        <v>30629</v>
      </c>
      <c r="F6413" s="28" t="s">
        <v>21</v>
      </c>
      <c r="G6413" s="28" t="s">
        <v>207</v>
      </c>
      <c r="H6413" s="28" t="s">
        <v>27631</v>
      </c>
      <c r="I6413" s="28" t="s">
        <v>31710</v>
      </c>
      <c r="J6413" s="28" t="s">
        <v>207</v>
      </c>
      <c r="K6413" s="28" t="s">
        <v>29066</v>
      </c>
      <c r="L6413" s="28" t="s">
        <v>27634</v>
      </c>
      <c r="M6413" s="28" t="s">
        <v>30631</v>
      </c>
      <c r="N6413" s="28" t="s">
        <v>27636</v>
      </c>
      <c r="O6413" s="28" t="s">
        <v>27637</v>
      </c>
      <c r="P6413" s="28" t="s">
        <v>30632</v>
      </c>
    </row>
    <row r="6414" spans="1:16" x14ac:dyDescent="0.25">
      <c r="A6414" s="28" t="s">
        <v>31711</v>
      </c>
      <c r="B6414" s="28" t="s">
        <v>31712</v>
      </c>
      <c r="C6414" s="28" t="s">
        <v>29063</v>
      </c>
      <c r="D6414" s="28" t="s">
        <v>1204</v>
      </c>
      <c r="E6414" s="28" t="s">
        <v>30635</v>
      </c>
      <c r="F6414" s="28" t="s">
        <v>21</v>
      </c>
      <c r="G6414" s="28" t="s">
        <v>207</v>
      </c>
      <c r="H6414" s="28" t="s">
        <v>27631</v>
      </c>
      <c r="I6414" s="28" t="s">
        <v>31713</v>
      </c>
      <c r="J6414" s="28" t="s">
        <v>207</v>
      </c>
      <c r="K6414" s="28" t="s">
        <v>29066</v>
      </c>
      <c r="L6414" s="28" t="s">
        <v>27634</v>
      </c>
      <c r="M6414" s="28" t="s">
        <v>30637</v>
      </c>
      <c r="N6414" s="28" t="s">
        <v>27636</v>
      </c>
      <c r="O6414" s="28" t="s">
        <v>27637</v>
      </c>
      <c r="P6414" s="28" t="s">
        <v>30638</v>
      </c>
    </row>
    <row r="6415" spans="1:16" x14ac:dyDescent="0.25">
      <c r="A6415" s="28" t="s">
        <v>31714</v>
      </c>
      <c r="B6415" s="28" t="s">
        <v>31715</v>
      </c>
      <c r="C6415" s="28" t="s">
        <v>29063</v>
      </c>
      <c r="D6415" s="28" t="s">
        <v>1204</v>
      </c>
      <c r="E6415" s="28" t="s">
        <v>13044</v>
      </c>
      <c r="F6415" s="28" t="s">
        <v>21</v>
      </c>
      <c r="G6415" s="28" t="s">
        <v>207</v>
      </c>
      <c r="H6415" s="28" t="s">
        <v>27631</v>
      </c>
      <c r="I6415" s="28" t="s">
        <v>31716</v>
      </c>
      <c r="J6415" s="28" t="s">
        <v>207</v>
      </c>
      <c r="K6415" s="28" t="s">
        <v>29066</v>
      </c>
      <c r="L6415" s="28" t="s">
        <v>27634</v>
      </c>
      <c r="M6415" s="28" t="s">
        <v>30642</v>
      </c>
      <c r="N6415" s="28" t="s">
        <v>27636</v>
      </c>
      <c r="O6415" s="28" t="s">
        <v>27637</v>
      </c>
      <c r="P6415" s="28" t="s">
        <v>30643</v>
      </c>
    </row>
    <row r="6416" spans="1:16" x14ac:dyDescent="0.25">
      <c r="A6416" s="28" t="s">
        <v>31717</v>
      </c>
      <c r="B6416" s="28" t="s">
        <v>31718</v>
      </c>
      <c r="C6416" s="28" t="s">
        <v>29063</v>
      </c>
      <c r="D6416" s="28" t="s">
        <v>1204</v>
      </c>
      <c r="E6416" s="28" t="s">
        <v>30646</v>
      </c>
      <c r="F6416" s="28" t="s">
        <v>21</v>
      </c>
      <c r="G6416" s="28" t="s">
        <v>207</v>
      </c>
      <c r="H6416" s="28" t="s">
        <v>27631</v>
      </c>
      <c r="I6416" s="28" t="s">
        <v>31719</v>
      </c>
      <c r="J6416" s="28" t="s">
        <v>207</v>
      </c>
      <c r="K6416" s="28" t="s">
        <v>29066</v>
      </c>
      <c r="L6416" s="28" t="s">
        <v>27634</v>
      </c>
      <c r="M6416" s="28" t="s">
        <v>30648</v>
      </c>
      <c r="N6416" s="28" t="s">
        <v>27636</v>
      </c>
      <c r="O6416" s="28" t="s">
        <v>27637</v>
      </c>
      <c r="P6416" s="28" t="s">
        <v>30649</v>
      </c>
    </row>
    <row r="6417" spans="1:16" x14ac:dyDescent="0.25">
      <c r="A6417" s="28" t="s">
        <v>31720</v>
      </c>
      <c r="B6417" s="28" t="s">
        <v>31721</v>
      </c>
      <c r="C6417" s="28" t="s">
        <v>29063</v>
      </c>
      <c r="D6417" s="28" t="s">
        <v>1204</v>
      </c>
      <c r="E6417" s="28" t="s">
        <v>13050</v>
      </c>
      <c r="F6417" s="28" t="s">
        <v>21</v>
      </c>
      <c r="G6417" s="28" t="s">
        <v>207</v>
      </c>
      <c r="H6417" s="28" t="s">
        <v>27631</v>
      </c>
      <c r="I6417" s="28" t="s">
        <v>31722</v>
      </c>
      <c r="J6417" s="28" t="s">
        <v>207</v>
      </c>
      <c r="K6417" s="28" t="s">
        <v>29066</v>
      </c>
      <c r="L6417" s="28" t="s">
        <v>27634</v>
      </c>
      <c r="M6417" s="28" t="s">
        <v>30653</v>
      </c>
      <c r="N6417" s="28" t="s">
        <v>27636</v>
      </c>
      <c r="O6417" s="28" t="s">
        <v>27637</v>
      </c>
      <c r="P6417" s="28" t="s">
        <v>30654</v>
      </c>
    </row>
    <row r="6418" spans="1:16" x14ac:dyDescent="0.25">
      <c r="A6418" s="28" t="s">
        <v>31723</v>
      </c>
      <c r="B6418" s="28" t="s">
        <v>31724</v>
      </c>
      <c r="C6418" s="28" t="s">
        <v>29063</v>
      </c>
      <c r="D6418" s="28" t="s">
        <v>1204</v>
      </c>
      <c r="E6418" s="28" t="s">
        <v>13056</v>
      </c>
      <c r="F6418" s="28" t="s">
        <v>21</v>
      </c>
      <c r="G6418" s="28" t="s">
        <v>207</v>
      </c>
      <c r="H6418" s="28" t="s">
        <v>27631</v>
      </c>
      <c r="I6418" s="28" t="s">
        <v>31725</v>
      </c>
      <c r="J6418" s="28" t="s">
        <v>207</v>
      </c>
      <c r="K6418" s="28" t="s">
        <v>29066</v>
      </c>
      <c r="L6418" s="28" t="s">
        <v>27634</v>
      </c>
      <c r="M6418" s="28" t="s">
        <v>30658</v>
      </c>
      <c r="N6418" s="28" t="s">
        <v>27636</v>
      </c>
      <c r="O6418" s="28" t="s">
        <v>27637</v>
      </c>
      <c r="P6418" s="28" t="s">
        <v>30659</v>
      </c>
    </row>
    <row r="6419" spans="1:16" x14ac:dyDescent="0.25">
      <c r="A6419" s="28" t="s">
        <v>31726</v>
      </c>
      <c r="B6419" s="28" t="s">
        <v>31727</v>
      </c>
      <c r="C6419" s="28" t="s">
        <v>29063</v>
      </c>
      <c r="D6419" s="28" t="s">
        <v>1204</v>
      </c>
      <c r="E6419" s="28" t="s">
        <v>13062</v>
      </c>
      <c r="F6419" s="28" t="s">
        <v>21</v>
      </c>
      <c r="G6419" s="28" t="s">
        <v>207</v>
      </c>
      <c r="H6419" s="28" t="s">
        <v>27631</v>
      </c>
      <c r="I6419" s="28" t="s">
        <v>31728</v>
      </c>
      <c r="J6419" s="28" t="s">
        <v>207</v>
      </c>
      <c r="K6419" s="28" t="s">
        <v>29066</v>
      </c>
      <c r="L6419" s="28" t="s">
        <v>27634</v>
      </c>
      <c r="M6419" s="28" t="s">
        <v>30663</v>
      </c>
      <c r="N6419" s="28" t="s">
        <v>27636</v>
      </c>
      <c r="O6419" s="28" t="s">
        <v>27637</v>
      </c>
      <c r="P6419" s="28" t="s">
        <v>30664</v>
      </c>
    </row>
    <row r="6420" spans="1:16" x14ac:dyDescent="0.25">
      <c r="A6420" s="28" t="s">
        <v>31729</v>
      </c>
      <c r="B6420" s="28" t="s">
        <v>31730</v>
      </c>
      <c r="C6420" s="28" t="s">
        <v>29063</v>
      </c>
      <c r="D6420" s="28" t="s">
        <v>1204</v>
      </c>
      <c r="E6420" s="28" t="s">
        <v>30667</v>
      </c>
      <c r="F6420" s="28" t="s">
        <v>21</v>
      </c>
      <c r="G6420" s="28" t="s">
        <v>207</v>
      </c>
      <c r="H6420" s="28" t="s">
        <v>27631</v>
      </c>
      <c r="I6420" s="28" t="s">
        <v>31731</v>
      </c>
      <c r="J6420" s="28" t="s">
        <v>207</v>
      </c>
      <c r="K6420" s="28" t="s">
        <v>29066</v>
      </c>
      <c r="L6420" s="28" t="s">
        <v>27634</v>
      </c>
      <c r="M6420" s="28" t="s">
        <v>30669</v>
      </c>
      <c r="N6420" s="28" t="s">
        <v>27636</v>
      </c>
      <c r="O6420" s="28" t="s">
        <v>27637</v>
      </c>
      <c r="P6420" s="28" t="s">
        <v>30670</v>
      </c>
    </row>
    <row r="6421" spans="1:16" x14ac:dyDescent="0.25">
      <c r="A6421" s="28" t="s">
        <v>31732</v>
      </c>
      <c r="B6421" s="28" t="s">
        <v>31733</v>
      </c>
      <c r="C6421" s="28" t="s">
        <v>29063</v>
      </c>
      <c r="D6421" s="28" t="s">
        <v>1204</v>
      </c>
      <c r="E6421" s="28" t="s">
        <v>30673</v>
      </c>
      <c r="F6421" s="28" t="s">
        <v>21</v>
      </c>
      <c r="G6421" s="28" t="s">
        <v>207</v>
      </c>
      <c r="H6421" s="28" t="s">
        <v>27631</v>
      </c>
      <c r="I6421" s="28" t="s">
        <v>31734</v>
      </c>
      <c r="J6421" s="28" t="s">
        <v>207</v>
      </c>
      <c r="K6421" s="28" t="s">
        <v>29066</v>
      </c>
      <c r="L6421" s="28" t="s">
        <v>27634</v>
      </c>
      <c r="M6421" s="28" t="s">
        <v>30675</v>
      </c>
      <c r="N6421" s="28" t="s">
        <v>27636</v>
      </c>
      <c r="O6421" s="28" t="s">
        <v>27637</v>
      </c>
      <c r="P6421" s="28" t="s">
        <v>30676</v>
      </c>
    </row>
    <row r="6422" spans="1:16" x14ac:dyDescent="0.25">
      <c r="A6422" s="28" t="s">
        <v>31735</v>
      </c>
      <c r="B6422" s="28" t="s">
        <v>31736</v>
      </c>
      <c r="C6422" s="28" t="s">
        <v>29063</v>
      </c>
      <c r="D6422" s="28" t="s">
        <v>1204</v>
      </c>
      <c r="E6422" s="28" t="s">
        <v>30679</v>
      </c>
      <c r="F6422" s="28" t="s">
        <v>21</v>
      </c>
      <c r="G6422" s="28" t="s">
        <v>207</v>
      </c>
      <c r="H6422" s="28" t="s">
        <v>27631</v>
      </c>
      <c r="I6422" s="28" t="s">
        <v>31737</v>
      </c>
      <c r="J6422" s="28" t="s">
        <v>207</v>
      </c>
      <c r="K6422" s="28" t="s">
        <v>29066</v>
      </c>
      <c r="L6422" s="28" t="s">
        <v>27634</v>
      </c>
      <c r="M6422" s="28" t="s">
        <v>30681</v>
      </c>
      <c r="N6422" s="28" t="s">
        <v>27636</v>
      </c>
      <c r="O6422" s="28" t="s">
        <v>27637</v>
      </c>
      <c r="P6422" s="28" t="s">
        <v>30682</v>
      </c>
    </row>
    <row r="6423" spans="1:16" x14ac:dyDescent="0.25">
      <c r="A6423" s="28" t="s">
        <v>31738</v>
      </c>
      <c r="B6423" s="28" t="s">
        <v>31739</v>
      </c>
      <c r="C6423" s="28" t="s">
        <v>29063</v>
      </c>
      <c r="D6423" s="28" t="s">
        <v>1204</v>
      </c>
      <c r="E6423" s="28" t="s">
        <v>30685</v>
      </c>
      <c r="F6423" s="28" t="s">
        <v>21</v>
      </c>
      <c r="G6423" s="28" t="s">
        <v>207</v>
      </c>
      <c r="H6423" s="28" t="s">
        <v>27631</v>
      </c>
      <c r="I6423" s="28" t="s">
        <v>31740</v>
      </c>
      <c r="J6423" s="28" t="s">
        <v>207</v>
      </c>
      <c r="K6423" s="28" t="s">
        <v>29066</v>
      </c>
      <c r="L6423" s="28" t="s">
        <v>27634</v>
      </c>
      <c r="M6423" s="28" t="s">
        <v>30687</v>
      </c>
      <c r="N6423" s="28" t="s">
        <v>27636</v>
      </c>
      <c r="O6423" s="28" t="s">
        <v>27637</v>
      </c>
      <c r="P6423" s="28" t="s">
        <v>30688</v>
      </c>
    </row>
    <row r="6424" spans="1:16" x14ac:dyDescent="0.25">
      <c r="A6424" s="28" t="s">
        <v>31741</v>
      </c>
      <c r="B6424" s="28" t="s">
        <v>31742</v>
      </c>
      <c r="C6424" s="28" t="s">
        <v>29063</v>
      </c>
      <c r="D6424" s="28" t="s">
        <v>1204</v>
      </c>
      <c r="E6424" s="28" t="s">
        <v>30691</v>
      </c>
      <c r="F6424" s="28" t="s">
        <v>21</v>
      </c>
      <c r="G6424" s="28" t="s">
        <v>207</v>
      </c>
      <c r="H6424" s="28" t="s">
        <v>27631</v>
      </c>
      <c r="I6424" s="28" t="s">
        <v>31743</v>
      </c>
      <c r="J6424" s="28" t="s">
        <v>207</v>
      </c>
      <c r="K6424" s="28" t="s">
        <v>29066</v>
      </c>
      <c r="L6424" s="28" t="s">
        <v>27634</v>
      </c>
      <c r="M6424" s="28" t="s">
        <v>30693</v>
      </c>
      <c r="N6424" s="28" t="s">
        <v>27636</v>
      </c>
      <c r="O6424" s="28" t="s">
        <v>27637</v>
      </c>
      <c r="P6424" s="28" t="s">
        <v>30694</v>
      </c>
    </row>
    <row r="6425" spans="1:16" x14ac:dyDescent="0.25">
      <c r="A6425" s="28" t="s">
        <v>31744</v>
      </c>
      <c r="B6425" s="28" t="s">
        <v>31745</v>
      </c>
      <c r="C6425" s="28" t="s">
        <v>29063</v>
      </c>
      <c r="D6425" s="28" t="s">
        <v>1204</v>
      </c>
      <c r="E6425" s="28" t="s">
        <v>13068</v>
      </c>
      <c r="F6425" s="28" t="s">
        <v>21</v>
      </c>
      <c r="G6425" s="28" t="s">
        <v>207</v>
      </c>
      <c r="H6425" s="28" t="s">
        <v>27631</v>
      </c>
      <c r="I6425" s="28" t="s">
        <v>31746</v>
      </c>
      <c r="J6425" s="28" t="s">
        <v>207</v>
      </c>
      <c r="K6425" s="28" t="s">
        <v>29066</v>
      </c>
      <c r="L6425" s="28" t="s">
        <v>27634</v>
      </c>
      <c r="M6425" s="28" t="s">
        <v>30698</v>
      </c>
      <c r="N6425" s="28" t="s">
        <v>27636</v>
      </c>
      <c r="O6425" s="28" t="s">
        <v>27637</v>
      </c>
      <c r="P6425" s="28" t="s">
        <v>30699</v>
      </c>
    </row>
    <row r="6426" spans="1:16" x14ac:dyDescent="0.25">
      <c r="A6426" s="28" t="s">
        <v>31747</v>
      </c>
      <c r="B6426" s="28" t="s">
        <v>31748</v>
      </c>
      <c r="C6426" s="28" t="s">
        <v>29063</v>
      </c>
      <c r="D6426" s="28" t="s">
        <v>1204</v>
      </c>
      <c r="E6426" s="28" t="s">
        <v>30702</v>
      </c>
      <c r="F6426" s="28" t="s">
        <v>21</v>
      </c>
      <c r="G6426" s="28" t="s">
        <v>207</v>
      </c>
      <c r="H6426" s="28" t="s">
        <v>27631</v>
      </c>
      <c r="I6426" s="28" t="s">
        <v>31749</v>
      </c>
      <c r="J6426" s="28" t="s">
        <v>207</v>
      </c>
      <c r="K6426" s="28" t="s">
        <v>29066</v>
      </c>
      <c r="L6426" s="28" t="s">
        <v>27634</v>
      </c>
      <c r="M6426" s="28" t="s">
        <v>30704</v>
      </c>
      <c r="N6426" s="28" t="s">
        <v>27636</v>
      </c>
      <c r="O6426" s="28" t="s">
        <v>27637</v>
      </c>
      <c r="P6426" s="28" t="s">
        <v>30705</v>
      </c>
    </row>
    <row r="6427" spans="1:16" x14ac:dyDescent="0.25">
      <c r="A6427" s="28" t="s">
        <v>31750</v>
      </c>
      <c r="B6427" s="28" t="s">
        <v>31751</v>
      </c>
      <c r="C6427" s="28" t="s">
        <v>29063</v>
      </c>
      <c r="D6427" s="28" t="s">
        <v>1204</v>
      </c>
      <c r="E6427" s="28" t="s">
        <v>30708</v>
      </c>
      <c r="F6427" s="28" t="s">
        <v>21</v>
      </c>
      <c r="G6427" s="28" t="s">
        <v>207</v>
      </c>
      <c r="H6427" s="28" t="s">
        <v>27631</v>
      </c>
      <c r="I6427" s="28" t="s">
        <v>31752</v>
      </c>
      <c r="J6427" s="28" t="s">
        <v>207</v>
      </c>
      <c r="K6427" s="28" t="s">
        <v>29066</v>
      </c>
      <c r="L6427" s="28" t="s">
        <v>27634</v>
      </c>
      <c r="M6427" s="28" t="s">
        <v>30710</v>
      </c>
      <c r="N6427" s="28" t="s">
        <v>27636</v>
      </c>
      <c r="O6427" s="28" t="s">
        <v>27637</v>
      </c>
      <c r="P6427" s="28" t="s">
        <v>30711</v>
      </c>
    </row>
    <row r="6428" spans="1:16" x14ac:dyDescent="0.25">
      <c r="A6428" s="28" t="s">
        <v>31753</v>
      </c>
      <c r="B6428" s="28" t="s">
        <v>31754</v>
      </c>
      <c r="C6428" s="28" t="s">
        <v>29063</v>
      </c>
      <c r="D6428" s="28" t="s">
        <v>1204</v>
      </c>
      <c r="E6428" s="28" t="s">
        <v>30714</v>
      </c>
      <c r="F6428" s="28" t="s">
        <v>21</v>
      </c>
      <c r="G6428" s="28" t="s">
        <v>207</v>
      </c>
      <c r="H6428" s="28" t="s">
        <v>27631</v>
      </c>
      <c r="I6428" s="28" t="s">
        <v>31755</v>
      </c>
      <c r="J6428" s="28" t="s">
        <v>207</v>
      </c>
      <c r="K6428" s="28" t="s">
        <v>29066</v>
      </c>
      <c r="L6428" s="28" t="s">
        <v>27634</v>
      </c>
      <c r="M6428" s="28" t="s">
        <v>30716</v>
      </c>
      <c r="N6428" s="28" t="s">
        <v>27636</v>
      </c>
      <c r="O6428" s="28" t="s">
        <v>27637</v>
      </c>
      <c r="P6428" s="28" t="s">
        <v>30717</v>
      </c>
    </row>
    <row r="6429" spans="1:16" x14ac:dyDescent="0.25">
      <c r="A6429" s="28" t="s">
        <v>31756</v>
      </c>
      <c r="B6429" s="28" t="s">
        <v>31757</v>
      </c>
      <c r="C6429" s="28" t="s">
        <v>29063</v>
      </c>
      <c r="D6429" s="28" t="s">
        <v>1204</v>
      </c>
      <c r="E6429" s="28" t="s">
        <v>13074</v>
      </c>
      <c r="F6429" s="28" t="s">
        <v>21</v>
      </c>
      <c r="G6429" s="28" t="s">
        <v>207</v>
      </c>
      <c r="H6429" s="28" t="s">
        <v>27631</v>
      </c>
      <c r="I6429" s="28" t="s">
        <v>31758</v>
      </c>
      <c r="J6429" s="28" t="s">
        <v>207</v>
      </c>
      <c r="K6429" s="28" t="s">
        <v>29066</v>
      </c>
      <c r="L6429" s="28" t="s">
        <v>27634</v>
      </c>
      <c r="M6429" s="28" t="s">
        <v>30721</v>
      </c>
      <c r="N6429" s="28" t="s">
        <v>27636</v>
      </c>
      <c r="O6429" s="28" t="s">
        <v>27637</v>
      </c>
      <c r="P6429" s="28" t="s">
        <v>30722</v>
      </c>
    </row>
    <row r="6430" spans="1:16" x14ac:dyDescent="0.25">
      <c r="A6430" s="28" t="s">
        <v>31759</v>
      </c>
      <c r="B6430" s="28" t="s">
        <v>31760</v>
      </c>
      <c r="C6430" s="28" t="s">
        <v>29063</v>
      </c>
      <c r="D6430" s="28" t="s">
        <v>1204</v>
      </c>
      <c r="E6430" s="28" t="s">
        <v>30725</v>
      </c>
      <c r="F6430" s="28" t="s">
        <v>21</v>
      </c>
      <c r="G6430" s="28" t="s">
        <v>207</v>
      </c>
      <c r="H6430" s="28" t="s">
        <v>27631</v>
      </c>
      <c r="I6430" s="28" t="s">
        <v>31761</v>
      </c>
      <c r="J6430" s="28" t="s">
        <v>207</v>
      </c>
      <c r="K6430" s="28" t="s">
        <v>29066</v>
      </c>
      <c r="L6430" s="28" t="s">
        <v>27634</v>
      </c>
      <c r="M6430" s="28" t="s">
        <v>30727</v>
      </c>
      <c r="N6430" s="28" t="s">
        <v>27636</v>
      </c>
      <c r="O6430" s="28" t="s">
        <v>27637</v>
      </c>
      <c r="P6430" s="28" t="s">
        <v>30728</v>
      </c>
    </row>
    <row r="6431" spans="1:16" x14ac:dyDescent="0.25">
      <c r="A6431" s="28" t="s">
        <v>31762</v>
      </c>
      <c r="B6431" s="28" t="s">
        <v>31763</v>
      </c>
      <c r="C6431" s="28" t="s">
        <v>29063</v>
      </c>
      <c r="D6431" s="28" t="s">
        <v>1204</v>
      </c>
      <c r="E6431" s="28" t="s">
        <v>30731</v>
      </c>
      <c r="F6431" s="28" t="s">
        <v>21</v>
      </c>
      <c r="G6431" s="28" t="s">
        <v>207</v>
      </c>
      <c r="H6431" s="28" t="s">
        <v>27631</v>
      </c>
      <c r="I6431" s="28" t="s">
        <v>31764</v>
      </c>
      <c r="J6431" s="28" t="s">
        <v>207</v>
      </c>
      <c r="K6431" s="28" t="s">
        <v>29066</v>
      </c>
      <c r="L6431" s="28" t="s">
        <v>27634</v>
      </c>
      <c r="M6431" s="28" t="s">
        <v>30733</v>
      </c>
      <c r="N6431" s="28" t="s">
        <v>27636</v>
      </c>
      <c r="O6431" s="28" t="s">
        <v>27637</v>
      </c>
      <c r="P6431" s="28" t="s">
        <v>30734</v>
      </c>
    </row>
    <row r="6432" spans="1:16" x14ac:dyDescent="0.25">
      <c r="A6432" s="28" t="s">
        <v>31765</v>
      </c>
      <c r="B6432" s="28" t="s">
        <v>31766</v>
      </c>
      <c r="C6432" s="28" t="s">
        <v>29063</v>
      </c>
      <c r="D6432" s="28" t="s">
        <v>1204</v>
      </c>
      <c r="E6432" s="28" t="s">
        <v>30737</v>
      </c>
      <c r="F6432" s="28" t="s">
        <v>21</v>
      </c>
      <c r="G6432" s="28" t="s">
        <v>207</v>
      </c>
      <c r="H6432" s="28" t="s">
        <v>27631</v>
      </c>
      <c r="I6432" s="28" t="s">
        <v>31767</v>
      </c>
      <c r="J6432" s="28" t="s">
        <v>207</v>
      </c>
      <c r="K6432" s="28" t="s">
        <v>29066</v>
      </c>
      <c r="L6432" s="28" t="s">
        <v>27634</v>
      </c>
      <c r="M6432" s="28" t="s">
        <v>30739</v>
      </c>
      <c r="N6432" s="28" t="s">
        <v>27636</v>
      </c>
      <c r="O6432" s="28" t="s">
        <v>27637</v>
      </c>
      <c r="P6432" s="28" t="s">
        <v>30740</v>
      </c>
    </row>
    <row r="6433" spans="1:16" x14ac:dyDescent="0.25">
      <c r="A6433" s="28" t="s">
        <v>31768</v>
      </c>
      <c r="B6433" s="28" t="s">
        <v>31769</v>
      </c>
      <c r="C6433" s="28" t="s">
        <v>29063</v>
      </c>
      <c r="D6433" s="28" t="s">
        <v>1204</v>
      </c>
      <c r="E6433" s="28" t="s">
        <v>30743</v>
      </c>
      <c r="F6433" s="28" t="s">
        <v>21</v>
      </c>
      <c r="G6433" s="28" t="s">
        <v>207</v>
      </c>
      <c r="H6433" s="28" t="s">
        <v>27631</v>
      </c>
      <c r="I6433" s="28" t="s">
        <v>31770</v>
      </c>
      <c r="J6433" s="28" t="s">
        <v>207</v>
      </c>
      <c r="K6433" s="28" t="s">
        <v>29066</v>
      </c>
      <c r="L6433" s="28" t="s">
        <v>27634</v>
      </c>
      <c r="M6433" s="28" t="s">
        <v>30745</v>
      </c>
      <c r="N6433" s="28" t="s">
        <v>27636</v>
      </c>
      <c r="O6433" s="28" t="s">
        <v>27637</v>
      </c>
      <c r="P6433" s="28" t="s">
        <v>30746</v>
      </c>
    </row>
    <row r="6434" spans="1:16" x14ac:dyDescent="0.25">
      <c r="A6434" s="28" t="s">
        <v>31771</v>
      </c>
      <c r="B6434" s="28" t="s">
        <v>31772</v>
      </c>
      <c r="C6434" s="28" t="s">
        <v>29063</v>
      </c>
      <c r="D6434" s="28" t="s">
        <v>1204</v>
      </c>
      <c r="E6434" s="28" t="s">
        <v>30749</v>
      </c>
      <c r="F6434" s="28" t="s">
        <v>21</v>
      </c>
      <c r="G6434" s="28" t="s">
        <v>207</v>
      </c>
      <c r="H6434" s="28" t="s">
        <v>27631</v>
      </c>
      <c r="I6434" s="28" t="s">
        <v>31773</v>
      </c>
      <c r="J6434" s="28" t="s">
        <v>207</v>
      </c>
      <c r="K6434" s="28" t="s">
        <v>29066</v>
      </c>
      <c r="L6434" s="28" t="s">
        <v>27634</v>
      </c>
      <c r="M6434" s="28" t="s">
        <v>30751</v>
      </c>
      <c r="N6434" s="28" t="s">
        <v>27636</v>
      </c>
      <c r="O6434" s="28" t="s">
        <v>27637</v>
      </c>
      <c r="P6434" s="28" t="s">
        <v>30752</v>
      </c>
    </row>
    <row r="6435" spans="1:16" x14ac:dyDescent="0.25">
      <c r="A6435" s="28" t="s">
        <v>31774</v>
      </c>
      <c r="B6435" s="28" t="s">
        <v>31775</v>
      </c>
      <c r="C6435" s="28" t="s">
        <v>29063</v>
      </c>
      <c r="D6435" s="28" t="s">
        <v>1204</v>
      </c>
      <c r="E6435" s="28" t="s">
        <v>30755</v>
      </c>
      <c r="F6435" s="28" t="s">
        <v>21</v>
      </c>
      <c r="G6435" s="28" t="s">
        <v>207</v>
      </c>
      <c r="H6435" s="28" t="s">
        <v>27631</v>
      </c>
      <c r="I6435" s="28" t="s">
        <v>31776</v>
      </c>
      <c r="J6435" s="28" t="s">
        <v>207</v>
      </c>
      <c r="K6435" s="28" t="s">
        <v>29066</v>
      </c>
      <c r="L6435" s="28" t="s">
        <v>27634</v>
      </c>
      <c r="M6435" s="28" t="s">
        <v>30757</v>
      </c>
      <c r="N6435" s="28" t="s">
        <v>27636</v>
      </c>
      <c r="O6435" s="28" t="s">
        <v>27637</v>
      </c>
      <c r="P6435" s="28" t="s">
        <v>30758</v>
      </c>
    </row>
    <row r="6436" spans="1:16" x14ac:dyDescent="0.25">
      <c r="A6436" s="28" t="s">
        <v>31777</v>
      </c>
      <c r="B6436" s="28" t="s">
        <v>31778</v>
      </c>
      <c r="C6436" s="28" t="s">
        <v>29063</v>
      </c>
      <c r="D6436" s="28" t="s">
        <v>1204</v>
      </c>
      <c r="E6436" s="28" t="s">
        <v>30761</v>
      </c>
      <c r="F6436" s="28" t="s">
        <v>21</v>
      </c>
      <c r="G6436" s="28" t="s">
        <v>207</v>
      </c>
      <c r="H6436" s="28" t="s">
        <v>27631</v>
      </c>
      <c r="I6436" s="28" t="s">
        <v>31779</v>
      </c>
      <c r="J6436" s="28" t="s">
        <v>207</v>
      </c>
      <c r="K6436" s="28" t="s">
        <v>29066</v>
      </c>
      <c r="L6436" s="28" t="s">
        <v>27634</v>
      </c>
      <c r="M6436" s="28" t="s">
        <v>30763</v>
      </c>
      <c r="N6436" s="28" t="s">
        <v>27636</v>
      </c>
      <c r="O6436" s="28" t="s">
        <v>27637</v>
      </c>
      <c r="P6436" s="28" t="s">
        <v>30764</v>
      </c>
    </row>
    <row r="6437" spans="1:16" x14ac:dyDescent="0.25">
      <c r="A6437" s="28" t="s">
        <v>31780</v>
      </c>
      <c r="B6437" s="28" t="s">
        <v>31781</v>
      </c>
      <c r="C6437" s="28" t="s">
        <v>29063</v>
      </c>
      <c r="D6437" s="28" t="s">
        <v>1204</v>
      </c>
      <c r="E6437" s="28" t="s">
        <v>30767</v>
      </c>
      <c r="F6437" s="28" t="s">
        <v>21</v>
      </c>
      <c r="G6437" s="28" t="s">
        <v>207</v>
      </c>
      <c r="H6437" s="28" t="s">
        <v>27631</v>
      </c>
      <c r="I6437" s="28" t="s">
        <v>31782</v>
      </c>
      <c r="J6437" s="28" t="s">
        <v>207</v>
      </c>
      <c r="K6437" s="28" t="s">
        <v>29066</v>
      </c>
      <c r="L6437" s="28" t="s">
        <v>27634</v>
      </c>
      <c r="M6437" s="28" t="s">
        <v>30769</v>
      </c>
      <c r="N6437" s="28" t="s">
        <v>27636</v>
      </c>
      <c r="O6437" s="28" t="s">
        <v>27637</v>
      </c>
      <c r="P6437" s="28" t="s">
        <v>30770</v>
      </c>
    </row>
    <row r="6438" spans="1:16" x14ac:dyDescent="0.25">
      <c r="A6438" s="28" t="s">
        <v>31783</v>
      </c>
      <c r="B6438" s="28" t="s">
        <v>31784</v>
      </c>
      <c r="C6438" s="28" t="s">
        <v>29063</v>
      </c>
      <c r="D6438" s="28" t="s">
        <v>1204</v>
      </c>
      <c r="E6438" s="28" t="s">
        <v>30773</v>
      </c>
      <c r="F6438" s="28" t="s">
        <v>21</v>
      </c>
      <c r="G6438" s="28" t="s">
        <v>207</v>
      </c>
      <c r="H6438" s="28" t="s">
        <v>27631</v>
      </c>
      <c r="I6438" s="28" t="s">
        <v>31785</v>
      </c>
      <c r="J6438" s="28" t="s">
        <v>207</v>
      </c>
      <c r="K6438" s="28" t="s">
        <v>29066</v>
      </c>
      <c r="L6438" s="28" t="s">
        <v>27634</v>
      </c>
      <c r="M6438" s="28" t="s">
        <v>30775</v>
      </c>
      <c r="N6438" s="28" t="s">
        <v>27636</v>
      </c>
      <c r="O6438" s="28" t="s">
        <v>27637</v>
      </c>
      <c r="P6438" s="28" t="s">
        <v>30776</v>
      </c>
    </row>
    <row r="6439" spans="1:16" x14ac:dyDescent="0.25">
      <c r="A6439" s="28" t="s">
        <v>31786</v>
      </c>
      <c r="B6439" s="28" t="s">
        <v>31787</v>
      </c>
      <c r="C6439" s="28" t="s">
        <v>29063</v>
      </c>
      <c r="D6439" s="28" t="s">
        <v>1204</v>
      </c>
      <c r="E6439" s="28" t="s">
        <v>30779</v>
      </c>
      <c r="F6439" s="28" t="s">
        <v>21</v>
      </c>
      <c r="G6439" s="28" t="s">
        <v>207</v>
      </c>
      <c r="H6439" s="28" t="s">
        <v>27631</v>
      </c>
      <c r="I6439" s="28" t="s">
        <v>31788</v>
      </c>
      <c r="J6439" s="28" t="s">
        <v>207</v>
      </c>
      <c r="K6439" s="28" t="s">
        <v>29066</v>
      </c>
      <c r="L6439" s="28" t="s">
        <v>27634</v>
      </c>
      <c r="M6439" s="28" t="s">
        <v>30781</v>
      </c>
      <c r="N6439" s="28" t="s">
        <v>27636</v>
      </c>
      <c r="O6439" s="28" t="s">
        <v>27637</v>
      </c>
      <c r="P6439" s="28" t="s">
        <v>30782</v>
      </c>
    </row>
    <row r="6440" spans="1:16" x14ac:dyDescent="0.25">
      <c r="A6440" s="28" t="s">
        <v>31789</v>
      </c>
      <c r="B6440" s="28" t="s">
        <v>31790</v>
      </c>
      <c r="C6440" s="28" t="s">
        <v>29063</v>
      </c>
      <c r="D6440" s="28" t="s">
        <v>1204</v>
      </c>
      <c r="E6440" s="28" t="s">
        <v>30785</v>
      </c>
      <c r="F6440" s="28" t="s">
        <v>21</v>
      </c>
      <c r="G6440" s="28" t="s">
        <v>207</v>
      </c>
      <c r="H6440" s="28" t="s">
        <v>27631</v>
      </c>
      <c r="I6440" s="28" t="s">
        <v>31791</v>
      </c>
      <c r="J6440" s="28" t="s">
        <v>207</v>
      </c>
      <c r="K6440" s="28" t="s">
        <v>29066</v>
      </c>
      <c r="L6440" s="28" t="s">
        <v>27634</v>
      </c>
      <c r="M6440" s="28" t="s">
        <v>30787</v>
      </c>
      <c r="N6440" s="28" t="s">
        <v>27636</v>
      </c>
      <c r="O6440" s="28" t="s">
        <v>27637</v>
      </c>
      <c r="P6440" s="28" t="s">
        <v>30788</v>
      </c>
    </row>
    <row r="6441" spans="1:16" x14ac:dyDescent="0.25">
      <c r="A6441" s="28" t="s">
        <v>31792</v>
      </c>
      <c r="B6441" s="28" t="s">
        <v>31793</v>
      </c>
      <c r="C6441" s="28" t="s">
        <v>29063</v>
      </c>
      <c r="D6441" s="28" t="s">
        <v>1204</v>
      </c>
      <c r="E6441" s="28" t="s">
        <v>30791</v>
      </c>
      <c r="F6441" s="28" t="s">
        <v>21</v>
      </c>
      <c r="G6441" s="28" t="s">
        <v>207</v>
      </c>
      <c r="H6441" s="28" t="s">
        <v>27631</v>
      </c>
      <c r="I6441" s="28" t="s">
        <v>31794</v>
      </c>
      <c r="J6441" s="28" t="s">
        <v>207</v>
      </c>
      <c r="K6441" s="28" t="s">
        <v>29066</v>
      </c>
      <c r="L6441" s="28" t="s">
        <v>27634</v>
      </c>
      <c r="M6441" s="28" t="s">
        <v>30793</v>
      </c>
      <c r="N6441" s="28" t="s">
        <v>27636</v>
      </c>
      <c r="O6441" s="28" t="s">
        <v>27637</v>
      </c>
      <c r="P6441" s="28" t="s">
        <v>30794</v>
      </c>
    </row>
    <row r="6442" spans="1:16" x14ac:dyDescent="0.25">
      <c r="A6442" s="28" t="s">
        <v>31795</v>
      </c>
      <c r="B6442" s="28" t="s">
        <v>31796</v>
      </c>
      <c r="C6442" s="28" t="s">
        <v>29063</v>
      </c>
      <c r="D6442" s="28" t="s">
        <v>1204</v>
      </c>
      <c r="E6442" s="28" t="s">
        <v>30797</v>
      </c>
      <c r="F6442" s="28" t="s">
        <v>21</v>
      </c>
      <c r="G6442" s="28" t="s">
        <v>207</v>
      </c>
      <c r="H6442" s="28" t="s">
        <v>27631</v>
      </c>
      <c r="I6442" s="28" t="s">
        <v>31797</v>
      </c>
      <c r="J6442" s="28" t="s">
        <v>207</v>
      </c>
      <c r="K6442" s="28" t="s">
        <v>29066</v>
      </c>
      <c r="L6442" s="28" t="s">
        <v>27634</v>
      </c>
      <c r="M6442" s="28" t="s">
        <v>30799</v>
      </c>
      <c r="N6442" s="28" t="s">
        <v>27636</v>
      </c>
      <c r="O6442" s="28" t="s">
        <v>27637</v>
      </c>
      <c r="P6442" s="28" t="s">
        <v>30800</v>
      </c>
    </row>
    <row r="6443" spans="1:16" x14ac:dyDescent="0.25">
      <c r="A6443" s="28" t="s">
        <v>31798</v>
      </c>
      <c r="B6443" s="28" t="s">
        <v>31799</v>
      </c>
      <c r="C6443" s="28" t="s">
        <v>29063</v>
      </c>
      <c r="D6443" s="28" t="s">
        <v>1204</v>
      </c>
      <c r="E6443" s="28" t="s">
        <v>30803</v>
      </c>
      <c r="F6443" s="28" t="s">
        <v>21</v>
      </c>
      <c r="G6443" s="28" t="s">
        <v>207</v>
      </c>
      <c r="H6443" s="28" t="s">
        <v>27631</v>
      </c>
      <c r="I6443" s="28" t="s">
        <v>31800</v>
      </c>
      <c r="J6443" s="28" t="s">
        <v>207</v>
      </c>
      <c r="K6443" s="28" t="s">
        <v>29066</v>
      </c>
      <c r="L6443" s="28" t="s">
        <v>27634</v>
      </c>
      <c r="M6443" s="28" t="s">
        <v>30805</v>
      </c>
      <c r="N6443" s="28" t="s">
        <v>27636</v>
      </c>
      <c r="O6443" s="28" t="s">
        <v>27637</v>
      </c>
      <c r="P6443" s="28" t="s">
        <v>30806</v>
      </c>
    </row>
    <row r="6444" spans="1:16" x14ac:dyDescent="0.25">
      <c r="A6444" s="28" t="s">
        <v>31801</v>
      </c>
      <c r="B6444" s="28" t="s">
        <v>31802</v>
      </c>
      <c r="C6444" s="28" t="s">
        <v>29063</v>
      </c>
      <c r="D6444" s="28" t="s">
        <v>1204</v>
      </c>
      <c r="E6444" s="28" t="s">
        <v>30809</v>
      </c>
      <c r="F6444" s="28" t="s">
        <v>21</v>
      </c>
      <c r="G6444" s="28" t="s">
        <v>207</v>
      </c>
      <c r="H6444" s="28" t="s">
        <v>27631</v>
      </c>
      <c r="I6444" s="28" t="s">
        <v>31803</v>
      </c>
      <c r="J6444" s="28" t="s">
        <v>207</v>
      </c>
      <c r="K6444" s="28" t="s">
        <v>29066</v>
      </c>
      <c r="L6444" s="28" t="s">
        <v>27634</v>
      </c>
      <c r="M6444" s="28" t="s">
        <v>30811</v>
      </c>
      <c r="N6444" s="28" t="s">
        <v>27636</v>
      </c>
      <c r="O6444" s="28" t="s">
        <v>27637</v>
      </c>
      <c r="P6444" s="28" t="s">
        <v>30812</v>
      </c>
    </row>
    <row r="6445" spans="1:16" x14ac:dyDescent="0.25">
      <c r="A6445" s="28" t="s">
        <v>31804</v>
      </c>
      <c r="B6445" s="28" t="s">
        <v>31805</v>
      </c>
      <c r="C6445" s="28" t="s">
        <v>29063</v>
      </c>
      <c r="D6445" s="28" t="s">
        <v>1204</v>
      </c>
      <c r="E6445" s="28" t="s">
        <v>30815</v>
      </c>
      <c r="F6445" s="28" t="s">
        <v>21</v>
      </c>
      <c r="G6445" s="28" t="s">
        <v>207</v>
      </c>
      <c r="H6445" s="28" t="s">
        <v>27631</v>
      </c>
      <c r="I6445" s="28" t="s">
        <v>31806</v>
      </c>
      <c r="J6445" s="28" t="s">
        <v>207</v>
      </c>
      <c r="K6445" s="28" t="s">
        <v>29066</v>
      </c>
      <c r="L6445" s="28" t="s">
        <v>27634</v>
      </c>
      <c r="M6445" s="28" t="s">
        <v>30817</v>
      </c>
      <c r="N6445" s="28" t="s">
        <v>27636</v>
      </c>
      <c r="O6445" s="28" t="s">
        <v>27637</v>
      </c>
      <c r="P6445" s="28" t="s">
        <v>30818</v>
      </c>
    </row>
    <row r="6446" spans="1:16" x14ac:dyDescent="0.25">
      <c r="A6446" s="28" t="s">
        <v>31807</v>
      </c>
      <c r="B6446" s="28" t="s">
        <v>31808</v>
      </c>
      <c r="C6446" s="28" t="s">
        <v>29063</v>
      </c>
      <c r="D6446" s="28" t="s">
        <v>1204</v>
      </c>
      <c r="E6446" s="28" t="s">
        <v>30821</v>
      </c>
      <c r="F6446" s="28" t="s">
        <v>21</v>
      </c>
      <c r="G6446" s="28" t="s">
        <v>207</v>
      </c>
      <c r="H6446" s="28" t="s">
        <v>27631</v>
      </c>
      <c r="I6446" s="28" t="s">
        <v>31809</v>
      </c>
      <c r="J6446" s="28" t="s">
        <v>207</v>
      </c>
      <c r="K6446" s="28" t="s">
        <v>29066</v>
      </c>
      <c r="L6446" s="28" t="s">
        <v>27634</v>
      </c>
      <c r="M6446" s="28" t="s">
        <v>30823</v>
      </c>
      <c r="N6446" s="28" t="s">
        <v>27636</v>
      </c>
      <c r="O6446" s="28" t="s">
        <v>27637</v>
      </c>
      <c r="P6446" s="28" t="s">
        <v>30824</v>
      </c>
    </row>
    <row r="6447" spans="1:16" x14ac:dyDescent="0.25">
      <c r="A6447" s="28" t="s">
        <v>31810</v>
      </c>
      <c r="B6447" s="28" t="s">
        <v>31811</v>
      </c>
      <c r="C6447" s="28" t="s">
        <v>29063</v>
      </c>
      <c r="D6447" s="28" t="s">
        <v>1204</v>
      </c>
      <c r="E6447" s="28" t="s">
        <v>30827</v>
      </c>
      <c r="F6447" s="28" t="s">
        <v>21</v>
      </c>
      <c r="G6447" s="28" t="s">
        <v>207</v>
      </c>
      <c r="H6447" s="28" t="s">
        <v>27631</v>
      </c>
      <c r="I6447" s="28" t="s">
        <v>31812</v>
      </c>
      <c r="J6447" s="28" t="s">
        <v>207</v>
      </c>
      <c r="K6447" s="28" t="s">
        <v>29066</v>
      </c>
      <c r="L6447" s="28" t="s">
        <v>27634</v>
      </c>
      <c r="M6447" s="28" t="s">
        <v>30829</v>
      </c>
      <c r="N6447" s="28" t="s">
        <v>27636</v>
      </c>
      <c r="O6447" s="28" t="s">
        <v>27637</v>
      </c>
      <c r="P6447" s="28" t="s">
        <v>30830</v>
      </c>
    </row>
    <row r="6448" spans="1:16" x14ac:dyDescent="0.25">
      <c r="A6448" s="28" t="s">
        <v>31813</v>
      </c>
      <c r="B6448" s="28" t="s">
        <v>31814</v>
      </c>
      <c r="C6448" s="28" t="s">
        <v>29063</v>
      </c>
      <c r="D6448" s="28" t="s">
        <v>1204</v>
      </c>
      <c r="E6448" s="28" t="s">
        <v>30833</v>
      </c>
      <c r="F6448" s="28" t="s">
        <v>21</v>
      </c>
      <c r="G6448" s="28" t="s">
        <v>207</v>
      </c>
      <c r="H6448" s="28" t="s">
        <v>27631</v>
      </c>
      <c r="I6448" s="28" t="s">
        <v>31815</v>
      </c>
      <c r="J6448" s="28" t="s">
        <v>207</v>
      </c>
      <c r="K6448" s="28" t="s">
        <v>29066</v>
      </c>
      <c r="L6448" s="28" t="s">
        <v>27634</v>
      </c>
      <c r="M6448" s="28" t="s">
        <v>30835</v>
      </c>
      <c r="N6448" s="28" t="s">
        <v>27636</v>
      </c>
      <c r="O6448" s="28" t="s">
        <v>27637</v>
      </c>
      <c r="P6448" s="28" t="s">
        <v>30836</v>
      </c>
    </row>
    <row r="6449" spans="1:16" x14ac:dyDescent="0.25">
      <c r="A6449" s="28" t="s">
        <v>31816</v>
      </c>
      <c r="B6449" s="28" t="s">
        <v>31817</v>
      </c>
      <c r="C6449" s="28" t="s">
        <v>29063</v>
      </c>
      <c r="D6449" s="28" t="s">
        <v>1204</v>
      </c>
      <c r="E6449" s="28" t="s">
        <v>30839</v>
      </c>
      <c r="F6449" s="28" t="s">
        <v>21</v>
      </c>
      <c r="G6449" s="28" t="s">
        <v>207</v>
      </c>
      <c r="H6449" s="28" t="s">
        <v>27631</v>
      </c>
      <c r="I6449" s="28" t="s">
        <v>31818</v>
      </c>
      <c r="J6449" s="28" t="s">
        <v>207</v>
      </c>
      <c r="K6449" s="28" t="s">
        <v>29066</v>
      </c>
      <c r="L6449" s="28" t="s">
        <v>27634</v>
      </c>
      <c r="M6449" s="28" t="s">
        <v>30841</v>
      </c>
      <c r="N6449" s="28" t="s">
        <v>27636</v>
      </c>
      <c r="O6449" s="28" t="s">
        <v>27637</v>
      </c>
      <c r="P6449" s="28" t="s">
        <v>30842</v>
      </c>
    </row>
    <row r="6450" spans="1:16" x14ac:dyDescent="0.25">
      <c r="A6450" s="28" t="s">
        <v>31819</v>
      </c>
      <c r="B6450" s="28" t="s">
        <v>31820</v>
      </c>
      <c r="C6450" s="28" t="s">
        <v>29063</v>
      </c>
      <c r="D6450" s="28" t="s">
        <v>1204</v>
      </c>
      <c r="E6450" s="28" t="s">
        <v>30845</v>
      </c>
      <c r="F6450" s="28" t="s">
        <v>21</v>
      </c>
      <c r="G6450" s="28" t="s">
        <v>207</v>
      </c>
      <c r="H6450" s="28" t="s">
        <v>27631</v>
      </c>
      <c r="I6450" s="28" t="s">
        <v>31821</v>
      </c>
      <c r="J6450" s="28" t="s">
        <v>207</v>
      </c>
      <c r="K6450" s="28" t="s">
        <v>29066</v>
      </c>
      <c r="L6450" s="28" t="s">
        <v>27634</v>
      </c>
      <c r="M6450" s="28" t="s">
        <v>30847</v>
      </c>
      <c r="N6450" s="28" t="s">
        <v>27636</v>
      </c>
      <c r="O6450" s="28" t="s">
        <v>27637</v>
      </c>
      <c r="P6450" s="28" t="s">
        <v>30848</v>
      </c>
    </row>
    <row r="6451" spans="1:16" x14ac:dyDescent="0.25">
      <c r="A6451" s="28" t="s">
        <v>31822</v>
      </c>
      <c r="B6451" s="28" t="s">
        <v>31823</v>
      </c>
      <c r="C6451" s="28" t="s">
        <v>29063</v>
      </c>
      <c r="D6451" s="28" t="s">
        <v>1204</v>
      </c>
      <c r="E6451" s="28" t="s">
        <v>30851</v>
      </c>
      <c r="F6451" s="28" t="s">
        <v>21</v>
      </c>
      <c r="G6451" s="28" t="s">
        <v>207</v>
      </c>
      <c r="H6451" s="28" t="s">
        <v>27631</v>
      </c>
      <c r="I6451" s="28" t="s">
        <v>31824</v>
      </c>
      <c r="J6451" s="28" t="s">
        <v>207</v>
      </c>
      <c r="K6451" s="28" t="s">
        <v>29066</v>
      </c>
      <c r="L6451" s="28" t="s">
        <v>27634</v>
      </c>
      <c r="M6451" s="28" t="s">
        <v>30853</v>
      </c>
      <c r="N6451" s="28" t="s">
        <v>27636</v>
      </c>
      <c r="O6451" s="28" t="s">
        <v>27637</v>
      </c>
      <c r="P6451" s="28" t="s">
        <v>30854</v>
      </c>
    </row>
    <row r="6452" spans="1:16" x14ac:dyDescent="0.25">
      <c r="A6452" s="28" t="s">
        <v>31825</v>
      </c>
      <c r="B6452" s="28" t="s">
        <v>31826</v>
      </c>
      <c r="C6452" s="28" t="s">
        <v>29063</v>
      </c>
      <c r="D6452" s="28" t="s">
        <v>1204</v>
      </c>
      <c r="E6452" s="28" t="s">
        <v>30857</v>
      </c>
      <c r="F6452" s="28" t="s">
        <v>21</v>
      </c>
      <c r="G6452" s="28" t="s">
        <v>207</v>
      </c>
      <c r="H6452" s="28" t="s">
        <v>27631</v>
      </c>
      <c r="I6452" s="28" t="s">
        <v>31827</v>
      </c>
      <c r="J6452" s="28" t="s">
        <v>207</v>
      </c>
      <c r="K6452" s="28" t="s">
        <v>29066</v>
      </c>
      <c r="L6452" s="28" t="s">
        <v>27634</v>
      </c>
      <c r="M6452" s="28" t="s">
        <v>30859</v>
      </c>
      <c r="N6452" s="28" t="s">
        <v>27636</v>
      </c>
      <c r="O6452" s="28" t="s">
        <v>27637</v>
      </c>
      <c r="P6452" s="28" t="s">
        <v>30860</v>
      </c>
    </row>
    <row r="6453" spans="1:16" x14ac:dyDescent="0.25">
      <c r="A6453" s="28" t="s">
        <v>31828</v>
      </c>
      <c r="B6453" s="28" t="s">
        <v>31829</v>
      </c>
      <c r="C6453" s="28" t="s">
        <v>29063</v>
      </c>
      <c r="D6453" s="28" t="s">
        <v>1204</v>
      </c>
      <c r="E6453" s="28" t="s">
        <v>30863</v>
      </c>
      <c r="F6453" s="28" t="s">
        <v>21</v>
      </c>
      <c r="G6453" s="28" t="s">
        <v>207</v>
      </c>
      <c r="H6453" s="28" t="s">
        <v>27631</v>
      </c>
      <c r="I6453" s="28" t="s">
        <v>31830</v>
      </c>
      <c r="J6453" s="28" t="s">
        <v>207</v>
      </c>
      <c r="K6453" s="28" t="s">
        <v>29066</v>
      </c>
      <c r="L6453" s="28" t="s">
        <v>27634</v>
      </c>
      <c r="M6453" s="28" t="s">
        <v>30865</v>
      </c>
      <c r="N6453" s="28" t="s">
        <v>27636</v>
      </c>
      <c r="O6453" s="28" t="s">
        <v>27637</v>
      </c>
      <c r="P6453" s="28" t="s">
        <v>30866</v>
      </c>
    </row>
    <row r="6454" spans="1:16" x14ac:dyDescent="0.25">
      <c r="A6454" s="28" t="s">
        <v>31831</v>
      </c>
      <c r="B6454" s="28" t="s">
        <v>31832</v>
      </c>
      <c r="C6454" s="28" t="s">
        <v>29063</v>
      </c>
      <c r="D6454" s="28" t="s">
        <v>1204</v>
      </c>
      <c r="E6454" s="28" t="s">
        <v>30869</v>
      </c>
      <c r="F6454" s="28" t="s">
        <v>21</v>
      </c>
      <c r="G6454" s="28" t="s">
        <v>207</v>
      </c>
      <c r="H6454" s="28" t="s">
        <v>27631</v>
      </c>
      <c r="I6454" s="28" t="s">
        <v>31833</v>
      </c>
      <c r="J6454" s="28" t="s">
        <v>207</v>
      </c>
      <c r="K6454" s="28" t="s">
        <v>29066</v>
      </c>
      <c r="L6454" s="28" t="s">
        <v>27634</v>
      </c>
      <c r="M6454" s="28" t="s">
        <v>30871</v>
      </c>
      <c r="N6454" s="28" t="s">
        <v>27636</v>
      </c>
      <c r="O6454" s="28" t="s">
        <v>27637</v>
      </c>
      <c r="P6454" s="28" t="s">
        <v>30872</v>
      </c>
    </row>
    <row r="6455" spans="1:16" x14ac:dyDescent="0.25">
      <c r="A6455" s="28" t="s">
        <v>31834</v>
      </c>
      <c r="B6455" s="28" t="s">
        <v>31835</v>
      </c>
      <c r="C6455" s="28" t="s">
        <v>29063</v>
      </c>
      <c r="D6455" s="28" t="s">
        <v>1204</v>
      </c>
      <c r="E6455" s="28" t="s">
        <v>13080</v>
      </c>
      <c r="F6455" s="28" t="s">
        <v>21</v>
      </c>
      <c r="G6455" s="28" t="s">
        <v>207</v>
      </c>
      <c r="H6455" s="28" t="s">
        <v>27631</v>
      </c>
      <c r="I6455" s="28" t="s">
        <v>31836</v>
      </c>
      <c r="J6455" s="28" t="s">
        <v>207</v>
      </c>
      <c r="K6455" s="28" t="s">
        <v>29066</v>
      </c>
      <c r="L6455" s="28" t="s">
        <v>27634</v>
      </c>
      <c r="M6455" s="28" t="s">
        <v>30876</v>
      </c>
      <c r="N6455" s="28" t="s">
        <v>27636</v>
      </c>
      <c r="O6455" s="28" t="s">
        <v>27637</v>
      </c>
      <c r="P6455" s="28" t="s">
        <v>30877</v>
      </c>
    </row>
    <row r="6456" spans="1:16" x14ac:dyDescent="0.25">
      <c r="A6456" s="28" t="s">
        <v>31837</v>
      </c>
      <c r="B6456" s="28" t="s">
        <v>31838</v>
      </c>
      <c r="C6456" s="28" t="s">
        <v>29063</v>
      </c>
      <c r="D6456" s="28" t="s">
        <v>1204</v>
      </c>
      <c r="E6456" s="28" t="s">
        <v>13086</v>
      </c>
      <c r="F6456" s="28" t="s">
        <v>21</v>
      </c>
      <c r="G6456" s="28" t="s">
        <v>207</v>
      </c>
      <c r="H6456" s="28" t="s">
        <v>27631</v>
      </c>
      <c r="I6456" s="28" t="s">
        <v>31839</v>
      </c>
      <c r="J6456" s="28" t="s">
        <v>207</v>
      </c>
      <c r="K6456" s="28" t="s">
        <v>29066</v>
      </c>
      <c r="L6456" s="28" t="s">
        <v>27634</v>
      </c>
      <c r="M6456" s="28" t="s">
        <v>30881</v>
      </c>
      <c r="N6456" s="28" t="s">
        <v>27636</v>
      </c>
      <c r="O6456" s="28" t="s">
        <v>27637</v>
      </c>
      <c r="P6456" s="28" t="s">
        <v>30882</v>
      </c>
    </row>
    <row r="6457" spans="1:16" x14ac:dyDescent="0.25">
      <c r="A6457" s="28" t="s">
        <v>31840</v>
      </c>
      <c r="B6457" s="28" t="s">
        <v>31841</v>
      </c>
      <c r="C6457" s="28" t="s">
        <v>29063</v>
      </c>
      <c r="D6457" s="28" t="s">
        <v>1204</v>
      </c>
      <c r="E6457" s="28" t="s">
        <v>30885</v>
      </c>
      <c r="F6457" s="28" t="s">
        <v>21</v>
      </c>
      <c r="G6457" s="28" t="s">
        <v>207</v>
      </c>
      <c r="H6457" s="28" t="s">
        <v>27631</v>
      </c>
      <c r="I6457" s="28" t="s">
        <v>31842</v>
      </c>
      <c r="J6457" s="28" t="s">
        <v>207</v>
      </c>
      <c r="K6457" s="28" t="s">
        <v>29066</v>
      </c>
      <c r="L6457" s="28" t="s">
        <v>27634</v>
      </c>
      <c r="M6457" s="28" t="s">
        <v>30887</v>
      </c>
      <c r="N6457" s="28" t="s">
        <v>27636</v>
      </c>
      <c r="O6457" s="28" t="s">
        <v>27637</v>
      </c>
      <c r="P6457" s="28" t="s">
        <v>30888</v>
      </c>
    </row>
    <row r="6458" spans="1:16" x14ac:dyDescent="0.25">
      <c r="A6458" s="28" t="s">
        <v>31843</v>
      </c>
      <c r="B6458" s="28" t="s">
        <v>31844</v>
      </c>
      <c r="C6458" s="28" t="s">
        <v>29063</v>
      </c>
      <c r="D6458" s="28" t="s">
        <v>1204</v>
      </c>
      <c r="E6458" s="28" t="s">
        <v>30891</v>
      </c>
      <c r="F6458" s="28" t="s">
        <v>21</v>
      </c>
      <c r="G6458" s="28" t="s">
        <v>207</v>
      </c>
      <c r="H6458" s="28" t="s">
        <v>27631</v>
      </c>
      <c r="I6458" s="28" t="s">
        <v>31845</v>
      </c>
      <c r="J6458" s="28" t="s">
        <v>207</v>
      </c>
      <c r="K6458" s="28" t="s">
        <v>29066</v>
      </c>
      <c r="L6458" s="28" t="s">
        <v>27634</v>
      </c>
      <c r="M6458" s="28" t="s">
        <v>30893</v>
      </c>
      <c r="N6458" s="28" t="s">
        <v>27636</v>
      </c>
      <c r="O6458" s="28" t="s">
        <v>27637</v>
      </c>
      <c r="P6458" s="28" t="s">
        <v>30894</v>
      </c>
    </row>
    <row r="6459" spans="1:16" x14ac:dyDescent="0.25">
      <c r="A6459" s="28" t="s">
        <v>31846</v>
      </c>
      <c r="B6459" s="28" t="s">
        <v>31847</v>
      </c>
      <c r="C6459" s="28" t="s">
        <v>29063</v>
      </c>
      <c r="D6459" s="28" t="s">
        <v>1204</v>
      </c>
      <c r="E6459" s="28" t="s">
        <v>30897</v>
      </c>
      <c r="F6459" s="28" t="s">
        <v>21</v>
      </c>
      <c r="G6459" s="28" t="s">
        <v>207</v>
      </c>
      <c r="H6459" s="28" t="s">
        <v>27631</v>
      </c>
      <c r="I6459" s="28" t="s">
        <v>31848</v>
      </c>
      <c r="J6459" s="28" t="s">
        <v>207</v>
      </c>
      <c r="K6459" s="28" t="s">
        <v>29066</v>
      </c>
      <c r="L6459" s="28" t="s">
        <v>27634</v>
      </c>
      <c r="M6459" s="28" t="s">
        <v>30899</v>
      </c>
      <c r="N6459" s="28" t="s">
        <v>27636</v>
      </c>
      <c r="O6459" s="28" t="s">
        <v>27637</v>
      </c>
      <c r="P6459" s="28" t="s">
        <v>30900</v>
      </c>
    </row>
    <row r="6460" spans="1:16" x14ac:dyDescent="0.25">
      <c r="A6460" s="28" t="s">
        <v>31849</v>
      </c>
      <c r="B6460" s="28" t="s">
        <v>31850</v>
      </c>
      <c r="C6460" s="28" t="s">
        <v>29063</v>
      </c>
      <c r="D6460" s="28" t="s">
        <v>1204</v>
      </c>
      <c r="E6460" s="28" t="s">
        <v>30903</v>
      </c>
      <c r="F6460" s="28" t="s">
        <v>21</v>
      </c>
      <c r="G6460" s="28" t="s">
        <v>207</v>
      </c>
      <c r="H6460" s="28" t="s">
        <v>27631</v>
      </c>
      <c r="I6460" s="28" t="s">
        <v>31851</v>
      </c>
      <c r="J6460" s="28" t="s">
        <v>207</v>
      </c>
      <c r="K6460" s="28" t="s">
        <v>29066</v>
      </c>
      <c r="L6460" s="28" t="s">
        <v>27634</v>
      </c>
      <c r="M6460" s="28" t="s">
        <v>30905</v>
      </c>
      <c r="N6460" s="28" t="s">
        <v>27636</v>
      </c>
      <c r="O6460" s="28" t="s">
        <v>27637</v>
      </c>
      <c r="P6460" s="28" t="s">
        <v>30906</v>
      </c>
    </row>
    <row r="6461" spans="1:16" x14ac:dyDescent="0.25">
      <c r="A6461" s="28" t="s">
        <v>31852</v>
      </c>
      <c r="B6461" s="28" t="s">
        <v>31853</v>
      </c>
      <c r="C6461" s="28" t="s">
        <v>29063</v>
      </c>
      <c r="D6461" s="28" t="s">
        <v>7220</v>
      </c>
      <c r="E6461" s="28" t="s">
        <v>31854</v>
      </c>
      <c r="F6461" s="28" t="s">
        <v>21</v>
      </c>
      <c r="G6461" s="28" t="s">
        <v>207</v>
      </c>
      <c r="H6461" s="28" t="s">
        <v>27631</v>
      </c>
      <c r="I6461" s="28" t="s">
        <v>31855</v>
      </c>
      <c r="J6461" s="28" t="s">
        <v>207</v>
      </c>
      <c r="K6461" s="28" t="s">
        <v>29066</v>
      </c>
      <c r="L6461" s="28" t="s">
        <v>27634</v>
      </c>
      <c r="M6461" s="28" t="s">
        <v>31856</v>
      </c>
      <c r="N6461" s="28" t="s">
        <v>27636</v>
      </c>
      <c r="O6461" s="28" t="s">
        <v>27637</v>
      </c>
      <c r="P6461" s="28" t="s">
        <v>31857</v>
      </c>
    </row>
    <row r="6462" spans="1:16" x14ac:dyDescent="0.25">
      <c r="A6462" s="28" t="s">
        <v>31858</v>
      </c>
      <c r="B6462" s="28" t="s">
        <v>31859</v>
      </c>
      <c r="C6462" s="28" t="s">
        <v>29063</v>
      </c>
      <c r="D6462" s="28" t="s">
        <v>7220</v>
      </c>
      <c r="E6462" s="28" t="s">
        <v>31860</v>
      </c>
      <c r="F6462" s="28" t="s">
        <v>21</v>
      </c>
      <c r="G6462" s="28" t="s">
        <v>207</v>
      </c>
      <c r="H6462" s="28" t="s">
        <v>27631</v>
      </c>
      <c r="I6462" s="28" t="s">
        <v>31861</v>
      </c>
      <c r="J6462" s="28" t="s">
        <v>207</v>
      </c>
      <c r="K6462" s="28" t="s">
        <v>29066</v>
      </c>
      <c r="L6462" s="28" t="s">
        <v>27634</v>
      </c>
      <c r="M6462" s="28" t="s">
        <v>31862</v>
      </c>
      <c r="N6462" s="28" t="s">
        <v>27636</v>
      </c>
      <c r="O6462" s="28" t="s">
        <v>27637</v>
      </c>
      <c r="P6462" s="28" t="s">
        <v>31863</v>
      </c>
    </row>
    <row r="6463" spans="1:16" x14ac:dyDescent="0.25">
      <c r="A6463" s="28" t="s">
        <v>31864</v>
      </c>
      <c r="B6463" s="28" t="s">
        <v>31865</v>
      </c>
      <c r="C6463" s="28" t="s">
        <v>29063</v>
      </c>
      <c r="D6463" s="28" t="s">
        <v>7220</v>
      </c>
      <c r="E6463" s="28" t="s">
        <v>31866</v>
      </c>
      <c r="F6463" s="28" t="s">
        <v>21</v>
      </c>
      <c r="G6463" s="28" t="s">
        <v>207</v>
      </c>
      <c r="H6463" s="28" t="s">
        <v>27631</v>
      </c>
      <c r="I6463" s="28" t="s">
        <v>31867</v>
      </c>
      <c r="J6463" s="28" t="s">
        <v>207</v>
      </c>
      <c r="K6463" s="28" t="s">
        <v>29066</v>
      </c>
      <c r="L6463" s="28" t="s">
        <v>27634</v>
      </c>
      <c r="M6463" s="28" t="s">
        <v>31868</v>
      </c>
      <c r="N6463" s="28" t="s">
        <v>27636</v>
      </c>
      <c r="O6463" s="28" t="s">
        <v>27637</v>
      </c>
      <c r="P6463" s="28" t="s">
        <v>31869</v>
      </c>
    </row>
    <row r="6464" spans="1:16" x14ac:dyDescent="0.25">
      <c r="A6464" s="28" t="s">
        <v>31870</v>
      </c>
      <c r="B6464" s="28" t="s">
        <v>31871</v>
      </c>
      <c r="C6464" s="28" t="s">
        <v>29063</v>
      </c>
      <c r="D6464" s="28" t="s">
        <v>7220</v>
      </c>
      <c r="E6464" s="28" t="s">
        <v>31872</v>
      </c>
      <c r="F6464" s="28" t="s">
        <v>21</v>
      </c>
      <c r="G6464" s="28" t="s">
        <v>207</v>
      </c>
      <c r="H6464" s="28" t="s">
        <v>27631</v>
      </c>
      <c r="I6464" s="28" t="s">
        <v>31873</v>
      </c>
      <c r="J6464" s="28" t="s">
        <v>207</v>
      </c>
      <c r="K6464" s="28" t="s">
        <v>29066</v>
      </c>
      <c r="L6464" s="28" t="s">
        <v>27634</v>
      </c>
      <c r="M6464" s="28" t="s">
        <v>31874</v>
      </c>
      <c r="N6464" s="28" t="s">
        <v>27636</v>
      </c>
      <c r="O6464" s="28" t="s">
        <v>27637</v>
      </c>
      <c r="P6464" s="28" t="s">
        <v>31875</v>
      </c>
    </row>
    <row r="6465" spans="1:16" x14ac:dyDescent="0.25">
      <c r="A6465" s="28" t="s">
        <v>31876</v>
      </c>
      <c r="B6465" s="28" t="s">
        <v>31877</v>
      </c>
      <c r="C6465" s="28" t="s">
        <v>29063</v>
      </c>
      <c r="D6465" s="28" t="s">
        <v>7220</v>
      </c>
      <c r="E6465" s="28" t="s">
        <v>31872</v>
      </c>
      <c r="F6465" s="28" t="s">
        <v>21</v>
      </c>
      <c r="G6465" s="28" t="s">
        <v>207</v>
      </c>
      <c r="H6465" s="28" t="s">
        <v>27631</v>
      </c>
      <c r="I6465" s="28" t="s">
        <v>31878</v>
      </c>
      <c r="J6465" s="28" t="s">
        <v>207</v>
      </c>
      <c r="K6465" s="28" t="s">
        <v>29066</v>
      </c>
      <c r="L6465" s="28" t="s">
        <v>27634</v>
      </c>
      <c r="M6465" s="28" t="s">
        <v>31879</v>
      </c>
      <c r="N6465" s="28" t="s">
        <v>27636</v>
      </c>
      <c r="O6465" s="28" t="s">
        <v>27637</v>
      </c>
      <c r="P6465" s="28" t="s">
        <v>31875</v>
      </c>
    </row>
    <row r="6466" spans="1:16" x14ac:dyDescent="0.25">
      <c r="A6466" s="28" t="s">
        <v>31880</v>
      </c>
      <c r="B6466" s="28" t="s">
        <v>31881</v>
      </c>
      <c r="C6466" s="28" t="s">
        <v>29063</v>
      </c>
      <c r="D6466" s="28" t="s">
        <v>7220</v>
      </c>
      <c r="E6466" s="28" t="s">
        <v>31882</v>
      </c>
      <c r="F6466" s="28" t="s">
        <v>21</v>
      </c>
      <c r="G6466" s="28" t="s">
        <v>207</v>
      </c>
      <c r="H6466" s="28" t="s">
        <v>27631</v>
      </c>
      <c r="I6466" s="28" t="s">
        <v>31883</v>
      </c>
      <c r="J6466" s="28" t="s">
        <v>207</v>
      </c>
      <c r="K6466" s="28" t="s">
        <v>29066</v>
      </c>
      <c r="L6466" s="28" t="s">
        <v>27634</v>
      </c>
      <c r="M6466" s="28" t="s">
        <v>31884</v>
      </c>
      <c r="N6466" s="28" t="s">
        <v>27636</v>
      </c>
      <c r="O6466" s="28" t="s">
        <v>27637</v>
      </c>
      <c r="P6466" s="28" t="s">
        <v>31885</v>
      </c>
    </row>
    <row r="6467" spans="1:16" x14ac:dyDescent="0.25">
      <c r="A6467" s="28" t="s">
        <v>31886</v>
      </c>
      <c r="B6467" s="28" t="s">
        <v>31887</v>
      </c>
      <c r="C6467" s="28" t="s">
        <v>29063</v>
      </c>
      <c r="D6467" s="28" t="s">
        <v>7220</v>
      </c>
      <c r="E6467" s="28" t="s">
        <v>31882</v>
      </c>
      <c r="F6467" s="28" t="s">
        <v>21</v>
      </c>
      <c r="G6467" s="28" t="s">
        <v>207</v>
      </c>
      <c r="H6467" s="28" t="s">
        <v>27631</v>
      </c>
      <c r="I6467" s="28" t="s">
        <v>31888</v>
      </c>
      <c r="J6467" s="28" t="s">
        <v>207</v>
      </c>
      <c r="K6467" s="28" t="s">
        <v>29066</v>
      </c>
      <c r="L6467" s="28" t="s">
        <v>27634</v>
      </c>
      <c r="M6467" s="28" t="s">
        <v>31889</v>
      </c>
      <c r="N6467" s="28" t="s">
        <v>27636</v>
      </c>
      <c r="O6467" s="28" t="s">
        <v>27637</v>
      </c>
      <c r="P6467" s="28" t="s">
        <v>31885</v>
      </c>
    </row>
    <row r="6468" spans="1:16" x14ac:dyDescent="0.25">
      <c r="A6468" s="28" t="s">
        <v>31890</v>
      </c>
      <c r="B6468" s="28" t="s">
        <v>31891</v>
      </c>
      <c r="C6468" s="28" t="s">
        <v>29063</v>
      </c>
      <c r="D6468" s="28" t="s">
        <v>7220</v>
      </c>
      <c r="E6468" s="28" t="s">
        <v>26384</v>
      </c>
      <c r="F6468" s="28" t="s">
        <v>21</v>
      </c>
      <c r="G6468" s="28" t="s">
        <v>207</v>
      </c>
      <c r="H6468" s="28" t="s">
        <v>27631</v>
      </c>
      <c r="I6468" s="28" t="s">
        <v>31892</v>
      </c>
      <c r="J6468" s="28" t="s">
        <v>207</v>
      </c>
      <c r="K6468" s="28" t="s">
        <v>29066</v>
      </c>
      <c r="L6468" s="28" t="s">
        <v>27634</v>
      </c>
      <c r="M6468" s="28" t="s">
        <v>31893</v>
      </c>
      <c r="N6468" s="28" t="s">
        <v>27636</v>
      </c>
      <c r="O6468" s="28" t="s">
        <v>27637</v>
      </c>
      <c r="P6468" s="28" t="s">
        <v>31894</v>
      </c>
    </row>
    <row r="6469" spans="1:16" x14ac:dyDescent="0.25">
      <c r="A6469" s="28" t="s">
        <v>31895</v>
      </c>
      <c r="B6469" s="28" t="s">
        <v>31896</v>
      </c>
      <c r="C6469" s="28" t="s">
        <v>29063</v>
      </c>
      <c r="D6469" s="28" t="s">
        <v>7220</v>
      </c>
      <c r="E6469" s="28" t="s">
        <v>26384</v>
      </c>
      <c r="F6469" s="28" t="s">
        <v>21</v>
      </c>
      <c r="G6469" s="28" t="s">
        <v>207</v>
      </c>
      <c r="H6469" s="28" t="s">
        <v>27631</v>
      </c>
      <c r="I6469" s="28" t="s">
        <v>31897</v>
      </c>
      <c r="J6469" s="28" t="s">
        <v>207</v>
      </c>
      <c r="K6469" s="28" t="s">
        <v>29066</v>
      </c>
      <c r="L6469" s="28" t="s">
        <v>27634</v>
      </c>
      <c r="M6469" s="28" t="s">
        <v>31898</v>
      </c>
      <c r="N6469" s="28" t="s">
        <v>27636</v>
      </c>
      <c r="O6469" s="28" t="s">
        <v>27637</v>
      </c>
      <c r="P6469" s="28" t="s">
        <v>31894</v>
      </c>
    </row>
    <row r="6470" spans="1:16" x14ac:dyDescent="0.25">
      <c r="A6470" s="28" t="s">
        <v>31899</v>
      </c>
      <c r="B6470" s="28" t="s">
        <v>31900</v>
      </c>
      <c r="C6470" s="28" t="s">
        <v>29063</v>
      </c>
      <c r="D6470" s="28" t="s">
        <v>7220</v>
      </c>
      <c r="E6470" s="28" t="s">
        <v>31866</v>
      </c>
      <c r="F6470" s="28" t="s">
        <v>21</v>
      </c>
      <c r="G6470" s="28" t="s">
        <v>207</v>
      </c>
      <c r="H6470" s="28" t="s">
        <v>27631</v>
      </c>
      <c r="I6470" s="28" t="s">
        <v>31901</v>
      </c>
      <c r="J6470" s="28" t="s">
        <v>207</v>
      </c>
      <c r="K6470" s="28" t="s">
        <v>29066</v>
      </c>
      <c r="L6470" s="28" t="s">
        <v>27634</v>
      </c>
      <c r="M6470" s="28" t="s">
        <v>31902</v>
      </c>
      <c r="N6470" s="28" t="s">
        <v>27636</v>
      </c>
      <c r="O6470" s="28" t="s">
        <v>27637</v>
      </c>
      <c r="P6470" s="28" t="s">
        <v>31869</v>
      </c>
    </row>
    <row r="6471" spans="1:16" x14ac:dyDescent="0.25">
      <c r="A6471" s="28" t="s">
        <v>31903</v>
      </c>
      <c r="B6471" s="28" t="s">
        <v>31904</v>
      </c>
      <c r="C6471" s="28" t="s">
        <v>29063</v>
      </c>
      <c r="D6471" s="28" t="s">
        <v>7220</v>
      </c>
      <c r="E6471" s="28" t="s">
        <v>31872</v>
      </c>
      <c r="F6471" s="28" t="s">
        <v>21</v>
      </c>
      <c r="G6471" s="28" t="s">
        <v>207</v>
      </c>
      <c r="H6471" s="28" t="s">
        <v>27631</v>
      </c>
      <c r="I6471" s="28" t="s">
        <v>31905</v>
      </c>
      <c r="J6471" s="28" t="s">
        <v>207</v>
      </c>
      <c r="K6471" s="28" t="s">
        <v>29066</v>
      </c>
      <c r="L6471" s="28" t="s">
        <v>27634</v>
      </c>
      <c r="M6471" s="28" t="s">
        <v>31906</v>
      </c>
      <c r="N6471" s="28" t="s">
        <v>27636</v>
      </c>
      <c r="O6471" s="28" t="s">
        <v>27637</v>
      </c>
      <c r="P6471" s="28" t="s">
        <v>31875</v>
      </c>
    </row>
    <row r="6472" spans="1:16" x14ac:dyDescent="0.25">
      <c r="A6472" s="28" t="s">
        <v>31907</v>
      </c>
      <c r="B6472" s="28" t="s">
        <v>31908</v>
      </c>
      <c r="C6472" s="28" t="s">
        <v>29063</v>
      </c>
      <c r="D6472" s="28" t="s">
        <v>286</v>
      </c>
      <c r="E6472" s="28" t="s">
        <v>31860</v>
      </c>
      <c r="F6472" s="28" t="s">
        <v>21</v>
      </c>
      <c r="G6472" s="28" t="s">
        <v>207</v>
      </c>
      <c r="H6472" s="28" t="s">
        <v>27631</v>
      </c>
      <c r="I6472" s="28" t="s">
        <v>31909</v>
      </c>
      <c r="J6472" s="28" t="s">
        <v>207</v>
      </c>
      <c r="K6472" s="28" t="s">
        <v>29066</v>
      </c>
      <c r="L6472" s="28" t="s">
        <v>27634</v>
      </c>
      <c r="M6472" s="28" t="s">
        <v>31910</v>
      </c>
      <c r="N6472" s="28" t="s">
        <v>27636</v>
      </c>
      <c r="O6472" s="28" t="s">
        <v>27637</v>
      </c>
      <c r="P6472" s="28" t="s">
        <v>31911</v>
      </c>
    </row>
    <row r="6473" spans="1:16" x14ac:dyDescent="0.25">
      <c r="A6473" s="28" t="s">
        <v>31912</v>
      </c>
      <c r="B6473" s="28" t="s">
        <v>31913</v>
      </c>
      <c r="C6473" s="28" t="s">
        <v>29063</v>
      </c>
      <c r="D6473" s="28" t="s">
        <v>286</v>
      </c>
      <c r="E6473" s="28" t="s">
        <v>31854</v>
      </c>
      <c r="F6473" s="28" t="s">
        <v>21</v>
      </c>
      <c r="G6473" s="28" t="s">
        <v>207</v>
      </c>
      <c r="H6473" s="28" t="s">
        <v>27631</v>
      </c>
      <c r="I6473" s="28" t="s">
        <v>31914</v>
      </c>
      <c r="J6473" s="28" t="s">
        <v>207</v>
      </c>
      <c r="K6473" s="28" t="s">
        <v>29066</v>
      </c>
      <c r="L6473" s="28" t="s">
        <v>27634</v>
      </c>
      <c r="M6473" s="28" t="s">
        <v>31915</v>
      </c>
      <c r="N6473" s="28" t="s">
        <v>27636</v>
      </c>
      <c r="O6473" s="28" t="s">
        <v>27637</v>
      </c>
      <c r="P6473" s="28" t="s">
        <v>31916</v>
      </c>
    </row>
    <row r="6474" spans="1:16" x14ac:dyDescent="0.25">
      <c r="A6474" s="28" t="s">
        <v>31917</v>
      </c>
      <c r="B6474" s="28" t="s">
        <v>31918</v>
      </c>
      <c r="C6474" s="28" t="s">
        <v>29063</v>
      </c>
      <c r="D6474" s="28" t="s">
        <v>286</v>
      </c>
      <c r="E6474" s="28" t="s">
        <v>31866</v>
      </c>
      <c r="F6474" s="28" t="s">
        <v>21</v>
      </c>
      <c r="G6474" s="28" t="s">
        <v>207</v>
      </c>
      <c r="H6474" s="28" t="s">
        <v>27631</v>
      </c>
      <c r="I6474" s="28" t="s">
        <v>31919</v>
      </c>
      <c r="J6474" s="28" t="s">
        <v>207</v>
      </c>
      <c r="K6474" s="28" t="s">
        <v>29066</v>
      </c>
      <c r="L6474" s="28" t="s">
        <v>27634</v>
      </c>
      <c r="M6474" s="28" t="s">
        <v>31920</v>
      </c>
      <c r="N6474" s="28" t="s">
        <v>27636</v>
      </c>
      <c r="O6474" s="28" t="s">
        <v>27637</v>
      </c>
      <c r="P6474" s="28" t="s">
        <v>31921</v>
      </c>
    </row>
    <row r="6475" spans="1:16" x14ac:dyDescent="0.25">
      <c r="A6475" s="28" t="s">
        <v>31922</v>
      </c>
      <c r="B6475" s="28" t="s">
        <v>31923</v>
      </c>
      <c r="C6475" s="28" t="s">
        <v>29063</v>
      </c>
      <c r="D6475" s="28" t="s">
        <v>286</v>
      </c>
      <c r="E6475" s="28" t="s">
        <v>31872</v>
      </c>
      <c r="F6475" s="28" t="s">
        <v>21</v>
      </c>
      <c r="G6475" s="28" t="s">
        <v>207</v>
      </c>
      <c r="H6475" s="28" t="s">
        <v>27631</v>
      </c>
      <c r="I6475" s="28" t="s">
        <v>31924</v>
      </c>
      <c r="J6475" s="28" t="s">
        <v>207</v>
      </c>
      <c r="K6475" s="28" t="s">
        <v>29066</v>
      </c>
      <c r="L6475" s="28" t="s">
        <v>27634</v>
      </c>
      <c r="M6475" s="28" t="s">
        <v>31925</v>
      </c>
      <c r="N6475" s="28" t="s">
        <v>27636</v>
      </c>
      <c r="O6475" s="28" t="s">
        <v>27637</v>
      </c>
      <c r="P6475" s="28" t="s">
        <v>31926</v>
      </c>
    </row>
    <row r="6476" spans="1:16" x14ac:dyDescent="0.25">
      <c r="A6476" s="28" t="s">
        <v>31927</v>
      </c>
      <c r="B6476" s="28" t="s">
        <v>31928</v>
      </c>
      <c r="C6476" s="28" t="s">
        <v>29063</v>
      </c>
      <c r="D6476" s="28" t="s">
        <v>286</v>
      </c>
      <c r="E6476" s="28" t="s">
        <v>121</v>
      </c>
      <c r="F6476" s="28" t="s">
        <v>21</v>
      </c>
      <c r="G6476" s="28" t="s">
        <v>207</v>
      </c>
      <c r="H6476" s="28" t="s">
        <v>27631</v>
      </c>
      <c r="I6476" s="28" t="s">
        <v>31929</v>
      </c>
      <c r="J6476" s="28" t="s">
        <v>207</v>
      </c>
      <c r="K6476" s="28" t="s">
        <v>29066</v>
      </c>
      <c r="L6476" s="28" t="s">
        <v>27634</v>
      </c>
      <c r="M6476" s="28" t="s">
        <v>31930</v>
      </c>
      <c r="N6476" s="28" t="s">
        <v>27636</v>
      </c>
      <c r="O6476" s="28" t="s">
        <v>27637</v>
      </c>
      <c r="P6476" s="28" t="s">
        <v>31931</v>
      </c>
    </row>
    <row r="6477" spans="1:16" x14ac:dyDescent="0.25">
      <c r="A6477" s="28" t="s">
        <v>31932</v>
      </c>
      <c r="B6477" s="28" t="s">
        <v>31933</v>
      </c>
      <c r="C6477" s="28" t="s">
        <v>29063</v>
      </c>
      <c r="D6477" s="28" t="s">
        <v>286</v>
      </c>
      <c r="E6477" s="28" t="s">
        <v>31934</v>
      </c>
      <c r="F6477" s="28" t="s">
        <v>21</v>
      </c>
      <c r="G6477" s="28" t="s">
        <v>207</v>
      </c>
      <c r="H6477" s="28" t="s">
        <v>27631</v>
      </c>
      <c r="I6477" s="28" t="s">
        <v>31935</v>
      </c>
      <c r="J6477" s="28" t="s">
        <v>207</v>
      </c>
      <c r="K6477" s="28" t="s">
        <v>29066</v>
      </c>
      <c r="L6477" s="28" t="s">
        <v>27634</v>
      </c>
      <c r="M6477" s="28" t="s">
        <v>31936</v>
      </c>
      <c r="N6477" s="28" t="s">
        <v>27636</v>
      </c>
      <c r="O6477" s="28" t="s">
        <v>27637</v>
      </c>
      <c r="P6477" s="28" t="s">
        <v>31937</v>
      </c>
    </row>
    <row r="6478" spans="1:16" x14ac:dyDescent="0.25">
      <c r="A6478" s="28" t="s">
        <v>31938</v>
      </c>
      <c r="B6478" s="28" t="s">
        <v>31939</v>
      </c>
      <c r="C6478" s="28" t="s">
        <v>29063</v>
      </c>
      <c r="D6478" s="28" t="s">
        <v>286</v>
      </c>
      <c r="E6478" s="28" t="s">
        <v>31940</v>
      </c>
      <c r="F6478" s="28" t="s">
        <v>21</v>
      </c>
      <c r="G6478" s="28" t="s">
        <v>207</v>
      </c>
      <c r="H6478" s="28" t="s">
        <v>27631</v>
      </c>
      <c r="I6478" s="28" t="s">
        <v>31941</v>
      </c>
      <c r="J6478" s="28" t="s">
        <v>207</v>
      </c>
      <c r="K6478" s="28" t="s">
        <v>29066</v>
      </c>
      <c r="L6478" s="28" t="s">
        <v>27634</v>
      </c>
      <c r="M6478" s="28" t="s">
        <v>31942</v>
      </c>
      <c r="N6478" s="28" t="s">
        <v>27636</v>
      </c>
      <c r="O6478" s="28" t="s">
        <v>27637</v>
      </c>
      <c r="P6478" s="28" t="s">
        <v>31943</v>
      </c>
    </row>
    <row r="6479" spans="1:16" x14ac:dyDescent="0.25">
      <c r="A6479" s="28" t="s">
        <v>31944</v>
      </c>
      <c r="B6479" s="28" t="s">
        <v>31945</v>
      </c>
      <c r="C6479" s="28" t="s">
        <v>29063</v>
      </c>
      <c r="D6479" s="28" t="s">
        <v>286</v>
      </c>
      <c r="E6479" s="28" t="s">
        <v>4254</v>
      </c>
      <c r="F6479" s="28" t="s">
        <v>21</v>
      </c>
      <c r="G6479" s="28" t="s">
        <v>207</v>
      </c>
      <c r="H6479" s="28" t="s">
        <v>27631</v>
      </c>
      <c r="I6479" s="28" t="s">
        <v>31946</v>
      </c>
      <c r="J6479" s="28" t="s">
        <v>207</v>
      </c>
      <c r="K6479" s="28" t="s">
        <v>29066</v>
      </c>
      <c r="L6479" s="28" t="s">
        <v>27634</v>
      </c>
      <c r="M6479" s="28" t="s">
        <v>31947</v>
      </c>
      <c r="N6479" s="28" t="s">
        <v>27636</v>
      </c>
      <c r="O6479" s="28" t="s">
        <v>27637</v>
      </c>
      <c r="P6479" s="28" t="s">
        <v>31948</v>
      </c>
    </row>
    <row r="6480" spans="1:16" x14ac:dyDescent="0.25">
      <c r="A6480" s="28" t="s">
        <v>31949</v>
      </c>
      <c r="B6480" s="28" t="s">
        <v>31950</v>
      </c>
      <c r="C6480" s="28" t="s">
        <v>29063</v>
      </c>
      <c r="D6480" s="28" t="s">
        <v>286</v>
      </c>
      <c r="E6480" s="28" t="s">
        <v>31882</v>
      </c>
      <c r="F6480" s="28" t="s">
        <v>21</v>
      </c>
      <c r="G6480" s="28" t="s">
        <v>207</v>
      </c>
      <c r="H6480" s="28" t="s">
        <v>27631</v>
      </c>
      <c r="I6480" s="28" t="s">
        <v>31951</v>
      </c>
      <c r="J6480" s="28" t="s">
        <v>207</v>
      </c>
      <c r="K6480" s="28" t="s">
        <v>29066</v>
      </c>
      <c r="L6480" s="28" t="s">
        <v>27634</v>
      </c>
      <c r="M6480" s="28" t="s">
        <v>31952</v>
      </c>
      <c r="N6480" s="28" t="s">
        <v>27636</v>
      </c>
      <c r="O6480" s="28" t="s">
        <v>27637</v>
      </c>
      <c r="P6480" s="28" t="s">
        <v>31953</v>
      </c>
    </row>
    <row r="6481" spans="1:16" x14ac:dyDescent="0.25">
      <c r="A6481" s="28" t="s">
        <v>31954</v>
      </c>
      <c r="B6481" s="28" t="s">
        <v>31955</v>
      </c>
      <c r="C6481" s="28" t="s">
        <v>29063</v>
      </c>
      <c r="D6481" s="28" t="s">
        <v>286</v>
      </c>
      <c r="E6481" s="28" t="s">
        <v>31860</v>
      </c>
      <c r="F6481" s="28" t="s">
        <v>21</v>
      </c>
      <c r="G6481" s="28" t="s">
        <v>207</v>
      </c>
      <c r="H6481" s="28" t="s">
        <v>27631</v>
      </c>
      <c r="I6481" s="28" t="s">
        <v>31956</v>
      </c>
      <c r="J6481" s="28" t="s">
        <v>207</v>
      </c>
      <c r="K6481" s="28" t="s">
        <v>29066</v>
      </c>
      <c r="L6481" s="28" t="s">
        <v>27634</v>
      </c>
      <c r="M6481" s="28" t="s">
        <v>31910</v>
      </c>
      <c r="N6481" s="28" t="s">
        <v>27636</v>
      </c>
      <c r="O6481" s="28" t="s">
        <v>27637</v>
      </c>
      <c r="P6481" s="28" t="s">
        <v>31911</v>
      </c>
    </row>
    <row r="6482" spans="1:16" x14ac:dyDescent="0.25">
      <c r="A6482" s="28" t="s">
        <v>31957</v>
      </c>
      <c r="B6482" s="28" t="s">
        <v>31958</v>
      </c>
      <c r="C6482" s="28" t="s">
        <v>29063</v>
      </c>
      <c r="D6482" s="28" t="s">
        <v>286</v>
      </c>
      <c r="E6482" s="28" t="s">
        <v>31854</v>
      </c>
      <c r="F6482" s="28" t="s">
        <v>21</v>
      </c>
      <c r="G6482" s="28" t="s">
        <v>207</v>
      </c>
      <c r="H6482" s="28" t="s">
        <v>27631</v>
      </c>
      <c r="I6482" s="28" t="s">
        <v>31959</v>
      </c>
      <c r="J6482" s="28" t="s">
        <v>207</v>
      </c>
      <c r="K6482" s="28" t="s">
        <v>29066</v>
      </c>
      <c r="L6482" s="28" t="s">
        <v>27634</v>
      </c>
      <c r="M6482" s="28" t="s">
        <v>31915</v>
      </c>
      <c r="N6482" s="28" t="s">
        <v>27636</v>
      </c>
      <c r="O6482" s="28" t="s">
        <v>27637</v>
      </c>
      <c r="P6482" s="28" t="s">
        <v>31916</v>
      </c>
    </row>
    <row r="6483" spans="1:16" x14ac:dyDescent="0.25">
      <c r="A6483" s="28" t="s">
        <v>31960</v>
      </c>
      <c r="B6483" s="28" t="s">
        <v>31961</v>
      </c>
      <c r="C6483" s="28" t="s">
        <v>29063</v>
      </c>
      <c r="D6483" s="28" t="s">
        <v>286</v>
      </c>
      <c r="E6483" s="28" t="s">
        <v>31866</v>
      </c>
      <c r="F6483" s="28" t="s">
        <v>21</v>
      </c>
      <c r="G6483" s="28" t="s">
        <v>207</v>
      </c>
      <c r="H6483" s="28" t="s">
        <v>27631</v>
      </c>
      <c r="I6483" s="28" t="s">
        <v>31962</v>
      </c>
      <c r="J6483" s="28" t="s">
        <v>207</v>
      </c>
      <c r="K6483" s="28" t="s">
        <v>29066</v>
      </c>
      <c r="L6483" s="28" t="s">
        <v>27634</v>
      </c>
      <c r="M6483" s="28" t="s">
        <v>31920</v>
      </c>
      <c r="N6483" s="28" t="s">
        <v>27636</v>
      </c>
      <c r="O6483" s="28" t="s">
        <v>27637</v>
      </c>
      <c r="P6483" s="28" t="s">
        <v>31921</v>
      </c>
    </row>
    <row r="6484" spans="1:16" x14ac:dyDescent="0.25">
      <c r="A6484" s="28" t="s">
        <v>31963</v>
      </c>
      <c r="B6484" s="28" t="s">
        <v>31964</v>
      </c>
      <c r="C6484" s="28" t="s">
        <v>29063</v>
      </c>
      <c r="D6484" s="28" t="s">
        <v>286</v>
      </c>
      <c r="E6484" s="28" t="s">
        <v>31872</v>
      </c>
      <c r="F6484" s="28" t="s">
        <v>21</v>
      </c>
      <c r="G6484" s="28" t="s">
        <v>207</v>
      </c>
      <c r="H6484" s="28" t="s">
        <v>27631</v>
      </c>
      <c r="I6484" s="28" t="s">
        <v>31965</v>
      </c>
      <c r="J6484" s="28" t="s">
        <v>207</v>
      </c>
      <c r="K6484" s="28" t="s">
        <v>29066</v>
      </c>
      <c r="L6484" s="28" t="s">
        <v>27634</v>
      </c>
      <c r="M6484" s="28" t="s">
        <v>31925</v>
      </c>
      <c r="N6484" s="28" t="s">
        <v>27636</v>
      </c>
      <c r="O6484" s="28" t="s">
        <v>27637</v>
      </c>
      <c r="P6484" s="28" t="s">
        <v>31926</v>
      </c>
    </row>
    <row r="6485" spans="1:16" x14ac:dyDescent="0.25">
      <c r="A6485" s="28" t="s">
        <v>31966</v>
      </c>
      <c r="B6485" s="28" t="s">
        <v>31967</v>
      </c>
      <c r="C6485" s="28" t="s">
        <v>29063</v>
      </c>
      <c r="D6485" s="28" t="s">
        <v>286</v>
      </c>
      <c r="E6485" s="28" t="s">
        <v>121</v>
      </c>
      <c r="F6485" s="28" t="s">
        <v>21</v>
      </c>
      <c r="G6485" s="28" t="s">
        <v>207</v>
      </c>
      <c r="H6485" s="28" t="s">
        <v>27631</v>
      </c>
      <c r="I6485" s="28" t="s">
        <v>31968</v>
      </c>
      <c r="J6485" s="28" t="s">
        <v>207</v>
      </c>
      <c r="K6485" s="28" t="s">
        <v>29066</v>
      </c>
      <c r="L6485" s="28" t="s">
        <v>27634</v>
      </c>
      <c r="M6485" s="28" t="s">
        <v>31930</v>
      </c>
      <c r="N6485" s="28" t="s">
        <v>27636</v>
      </c>
      <c r="O6485" s="28" t="s">
        <v>27637</v>
      </c>
      <c r="P6485" s="28" t="s">
        <v>31931</v>
      </c>
    </row>
    <row r="6486" spans="1:16" x14ac:dyDescent="0.25">
      <c r="A6486" s="28" t="s">
        <v>31969</v>
      </c>
      <c r="B6486" s="28" t="s">
        <v>31970</v>
      </c>
      <c r="C6486" s="28" t="s">
        <v>29063</v>
      </c>
      <c r="D6486" s="28" t="s">
        <v>286</v>
      </c>
      <c r="E6486" s="28" t="s">
        <v>31934</v>
      </c>
      <c r="F6486" s="28" t="s">
        <v>21</v>
      </c>
      <c r="G6486" s="28" t="s">
        <v>207</v>
      </c>
      <c r="H6486" s="28" t="s">
        <v>27631</v>
      </c>
      <c r="I6486" s="28" t="s">
        <v>31971</v>
      </c>
      <c r="J6486" s="28" t="s">
        <v>207</v>
      </c>
      <c r="K6486" s="28" t="s">
        <v>29066</v>
      </c>
      <c r="L6486" s="28" t="s">
        <v>27634</v>
      </c>
      <c r="M6486" s="28" t="s">
        <v>31936</v>
      </c>
      <c r="N6486" s="28" t="s">
        <v>27636</v>
      </c>
      <c r="O6486" s="28" t="s">
        <v>27637</v>
      </c>
      <c r="P6486" s="28" t="s">
        <v>31937</v>
      </c>
    </row>
    <row r="6487" spans="1:16" x14ac:dyDescent="0.25">
      <c r="A6487" s="28" t="s">
        <v>31972</v>
      </c>
      <c r="B6487" s="28" t="s">
        <v>31973</v>
      </c>
      <c r="C6487" s="28" t="s">
        <v>29063</v>
      </c>
      <c r="D6487" s="28" t="s">
        <v>286</v>
      </c>
      <c r="E6487" s="28" t="s">
        <v>31940</v>
      </c>
      <c r="F6487" s="28" t="s">
        <v>21</v>
      </c>
      <c r="G6487" s="28" t="s">
        <v>207</v>
      </c>
      <c r="H6487" s="28" t="s">
        <v>27631</v>
      </c>
      <c r="I6487" s="28" t="s">
        <v>31974</v>
      </c>
      <c r="J6487" s="28" t="s">
        <v>207</v>
      </c>
      <c r="K6487" s="28" t="s">
        <v>29066</v>
      </c>
      <c r="L6487" s="28" t="s">
        <v>27634</v>
      </c>
      <c r="M6487" s="28" t="s">
        <v>31942</v>
      </c>
      <c r="N6487" s="28" t="s">
        <v>27636</v>
      </c>
      <c r="O6487" s="28" t="s">
        <v>27637</v>
      </c>
      <c r="P6487" s="28" t="s">
        <v>31943</v>
      </c>
    </row>
    <row r="6488" spans="1:16" x14ac:dyDescent="0.25">
      <c r="A6488" s="28" t="s">
        <v>31975</v>
      </c>
      <c r="B6488" s="28" t="s">
        <v>31976</v>
      </c>
      <c r="C6488" s="28" t="s">
        <v>29063</v>
      </c>
      <c r="D6488" s="28" t="s">
        <v>286</v>
      </c>
      <c r="E6488" s="28" t="s">
        <v>4254</v>
      </c>
      <c r="F6488" s="28" t="s">
        <v>21</v>
      </c>
      <c r="G6488" s="28" t="s">
        <v>207</v>
      </c>
      <c r="H6488" s="28" t="s">
        <v>27631</v>
      </c>
      <c r="I6488" s="28" t="s">
        <v>31977</v>
      </c>
      <c r="J6488" s="28" t="s">
        <v>207</v>
      </c>
      <c r="K6488" s="28" t="s">
        <v>29066</v>
      </c>
      <c r="L6488" s="28" t="s">
        <v>27634</v>
      </c>
      <c r="M6488" s="28" t="s">
        <v>31947</v>
      </c>
      <c r="N6488" s="28" t="s">
        <v>27636</v>
      </c>
      <c r="O6488" s="28" t="s">
        <v>27637</v>
      </c>
      <c r="P6488" s="28" t="s">
        <v>31948</v>
      </c>
    </row>
    <row r="6489" spans="1:16" x14ac:dyDescent="0.25">
      <c r="A6489" s="28" t="s">
        <v>31978</v>
      </c>
      <c r="B6489" s="28" t="s">
        <v>31979</v>
      </c>
      <c r="C6489" s="28" t="s">
        <v>29063</v>
      </c>
      <c r="D6489" s="28" t="s">
        <v>286</v>
      </c>
      <c r="E6489" s="28" t="s">
        <v>31882</v>
      </c>
      <c r="F6489" s="28" t="s">
        <v>21</v>
      </c>
      <c r="G6489" s="28" t="s">
        <v>207</v>
      </c>
      <c r="H6489" s="28" t="s">
        <v>27631</v>
      </c>
      <c r="I6489" s="28" t="s">
        <v>31980</v>
      </c>
      <c r="J6489" s="28" t="s">
        <v>207</v>
      </c>
      <c r="K6489" s="28" t="s">
        <v>29066</v>
      </c>
      <c r="L6489" s="28" t="s">
        <v>27634</v>
      </c>
      <c r="M6489" s="28" t="s">
        <v>31952</v>
      </c>
      <c r="N6489" s="28" t="s">
        <v>27636</v>
      </c>
      <c r="O6489" s="28" t="s">
        <v>27637</v>
      </c>
      <c r="P6489" s="28" t="s">
        <v>31953</v>
      </c>
    </row>
    <row r="6490" spans="1:16" x14ac:dyDescent="0.25">
      <c r="A6490" s="28" t="s">
        <v>31981</v>
      </c>
      <c r="B6490" s="28" t="s">
        <v>31982</v>
      </c>
      <c r="C6490" s="28" t="s">
        <v>25239</v>
      </c>
      <c r="D6490" s="28" t="s">
        <v>31983</v>
      </c>
      <c r="E6490" s="28" t="s">
        <v>27630</v>
      </c>
      <c r="F6490" s="28" t="s">
        <v>6308</v>
      </c>
      <c r="G6490" s="28" t="s">
        <v>6309</v>
      </c>
      <c r="H6490" s="28" t="s">
        <v>6310</v>
      </c>
      <c r="I6490" s="28" t="s">
        <v>31984</v>
      </c>
      <c r="J6490" s="28" t="s">
        <v>31985</v>
      </c>
      <c r="K6490" s="28" t="s">
        <v>31986</v>
      </c>
      <c r="L6490" s="28" t="s">
        <v>6314</v>
      </c>
      <c r="M6490" s="28" t="s">
        <v>31987</v>
      </c>
      <c r="N6490" s="28" t="s">
        <v>6316</v>
      </c>
      <c r="O6490" s="28" t="s">
        <v>6317</v>
      </c>
      <c r="P6490" s="28" t="s">
        <v>31988</v>
      </c>
    </row>
    <row r="6491" spans="1:16" x14ac:dyDescent="0.25">
      <c r="A6491" s="28" t="s">
        <v>31989</v>
      </c>
      <c r="B6491" s="28" t="s">
        <v>31990</v>
      </c>
      <c r="C6491" s="28" t="s">
        <v>25239</v>
      </c>
      <c r="D6491" s="28" t="s">
        <v>31991</v>
      </c>
      <c r="E6491" s="28" t="s">
        <v>1014</v>
      </c>
      <c r="F6491" s="28" t="s">
        <v>6308</v>
      </c>
      <c r="G6491" s="28" t="s">
        <v>6309</v>
      </c>
      <c r="H6491" s="28" t="s">
        <v>6310</v>
      </c>
      <c r="I6491" s="28" t="s">
        <v>31992</v>
      </c>
      <c r="J6491" s="28" t="s">
        <v>31985</v>
      </c>
      <c r="K6491" s="28" t="s">
        <v>31986</v>
      </c>
      <c r="L6491" s="28" t="s">
        <v>6314</v>
      </c>
      <c r="M6491" s="28" t="s">
        <v>31993</v>
      </c>
      <c r="N6491" s="28" t="s">
        <v>6316</v>
      </c>
      <c r="O6491" s="28" t="s">
        <v>6317</v>
      </c>
      <c r="P6491" s="28" t="s">
        <v>31988</v>
      </c>
    </row>
    <row r="6492" spans="1:16" x14ac:dyDescent="0.25">
      <c r="A6492" s="28" t="s">
        <v>31994</v>
      </c>
      <c r="B6492" s="28" t="s">
        <v>31995</v>
      </c>
      <c r="C6492" s="28" t="s">
        <v>25239</v>
      </c>
      <c r="D6492" s="28" t="s">
        <v>31996</v>
      </c>
      <c r="E6492" s="28" t="s">
        <v>31997</v>
      </c>
      <c r="F6492" s="28" t="s">
        <v>6308</v>
      </c>
      <c r="G6492" s="28" t="s">
        <v>6309</v>
      </c>
      <c r="H6492" s="28" t="s">
        <v>6310</v>
      </c>
      <c r="I6492" s="28" t="s">
        <v>31998</v>
      </c>
      <c r="J6492" s="28" t="s">
        <v>31985</v>
      </c>
      <c r="K6492" s="28" t="s">
        <v>31986</v>
      </c>
      <c r="L6492" s="28" t="s">
        <v>6314</v>
      </c>
      <c r="M6492" s="28" t="s">
        <v>31999</v>
      </c>
      <c r="N6492" s="28" t="s">
        <v>6316</v>
      </c>
      <c r="O6492" s="28" t="s">
        <v>6317</v>
      </c>
      <c r="P6492" s="28" t="s">
        <v>31988</v>
      </c>
    </row>
    <row r="6493" spans="1:16" x14ac:dyDescent="0.25">
      <c r="A6493" s="28" t="s">
        <v>32000</v>
      </c>
      <c r="B6493" s="28" t="s">
        <v>32001</v>
      </c>
      <c r="C6493" s="28" t="s">
        <v>25239</v>
      </c>
      <c r="D6493" s="28" t="s">
        <v>32002</v>
      </c>
      <c r="E6493" s="28" t="s">
        <v>4683</v>
      </c>
      <c r="F6493" s="28" t="s">
        <v>6308</v>
      </c>
      <c r="G6493" s="28" t="s">
        <v>6309</v>
      </c>
      <c r="H6493" s="28" t="s">
        <v>6310</v>
      </c>
      <c r="I6493" s="28" t="s">
        <v>32003</v>
      </c>
      <c r="J6493" s="28" t="s">
        <v>31985</v>
      </c>
      <c r="K6493" s="28" t="s">
        <v>31986</v>
      </c>
      <c r="L6493" s="28" t="s">
        <v>6314</v>
      </c>
      <c r="M6493" s="28" t="s">
        <v>32004</v>
      </c>
      <c r="N6493" s="28" t="s">
        <v>6316</v>
      </c>
      <c r="O6493" s="28" t="s">
        <v>6317</v>
      </c>
      <c r="P6493" s="28" t="s">
        <v>31988</v>
      </c>
    </row>
    <row r="6494" spans="1:16" x14ac:dyDescent="0.25">
      <c r="A6494" s="28" t="s">
        <v>32005</v>
      </c>
      <c r="B6494" s="28" t="s">
        <v>32006</v>
      </c>
      <c r="C6494" s="28" t="s">
        <v>25239</v>
      </c>
      <c r="D6494" s="28" t="s">
        <v>32007</v>
      </c>
      <c r="E6494" s="28" t="s">
        <v>25649</v>
      </c>
      <c r="F6494" s="28" t="s">
        <v>6308</v>
      </c>
      <c r="G6494" s="28" t="s">
        <v>6309</v>
      </c>
      <c r="H6494" s="28" t="s">
        <v>6310</v>
      </c>
      <c r="I6494" s="28" t="s">
        <v>32008</v>
      </c>
      <c r="J6494" s="28" t="s">
        <v>31985</v>
      </c>
      <c r="K6494" s="28" t="s">
        <v>31986</v>
      </c>
      <c r="L6494" s="28" t="s">
        <v>6314</v>
      </c>
      <c r="M6494" s="28" t="s">
        <v>32009</v>
      </c>
      <c r="N6494" s="28" t="s">
        <v>6316</v>
      </c>
      <c r="O6494" s="28" t="s">
        <v>6317</v>
      </c>
      <c r="P6494" s="28" t="s">
        <v>31988</v>
      </c>
    </row>
    <row r="6495" spans="1:16" x14ac:dyDescent="0.25">
      <c r="A6495" s="28" t="s">
        <v>32010</v>
      </c>
      <c r="B6495" s="28" t="s">
        <v>32011</v>
      </c>
      <c r="C6495" s="28" t="s">
        <v>25239</v>
      </c>
      <c r="D6495" s="28" t="s">
        <v>32012</v>
      </c>
      <c r="E6495" s="28" t="s">
        <v>17638</v>
      </c>
      <c r="F6495" s="28" t="s">
        <v>6308</v>
      </c>
      <c r="G6495" s="28" t="s">
        <v>6309</v>
      </c>
      <c r="H6495" s="28" t="s">
        <v>6310</v>
      </c>
      <c r="I6495" s="28" t="s">
        <v>32013</v>
      </c>
      <c r="J6495" s="28" t="s">
        <v>31985</v>
      </c>
      <c r="K6495" s="28" t="s">
        <v>31986</v>
      </c>
      <c r="L6495" s="28" t="s">
        <v>6314</v>
      </c>
      <c r="M6495" s="28" t="s">
        <v>32014</v>
      </c>
      <c r="N6495" s="28" t="s">
        <v>6316</v>
      </c>
      <c r="O6495" s="28" t="s">
        <v>6317</v>
      </c>
      <c r="P6495" s="28" t="s">
        <v>31988</v>
      </c>
    </row>
    <row r="6496" spans="1:16" x14ac:dyDescent="0.25">
      <c r="A6496" s="28" t="s">
        <v>32015</v>
      </c>
      <c r="B6496" s="28" t="s">
        <v>32016</v>
      </c>
      <c r="C6496" s="28" t="s">
        <v>25239</v>
      </c>
      <c r="D6496" s="28" t="s">
        <v>32017</v>
      </c>
      <c r="E6496" s="28" t="s">
        <v>7133</v>
      </c>
      <c r="F6496" s="28" t="s">
        <v>6308</v>
      </c>
      <c r="G6496" s="28" t="s">
        <v>6309</v>
      </c>
      <c r="H6496" s="28" t="s">
        <v>6310</v>
      </c>
      <c r="I6496" s="28" t="s">
        <v>32018</v>
      </c>
      <c r="J6496" s="28" t="s">
        <v>31985</v>
      </c>
      <c r="K6496" s="28" t="s">
        <v>31986</v>
      </c>
      <c r="L6496" s="28" t="s">
        <v>6314</v>
      </c>
      <c r="M6496" s="28" t="s">
        <v>32019</v>
      </c>
      <c r="N6496" s="28" t="s">
        <v>6316</v>
      </c>
      <c r="O6496" s="28" t="s">
        <v>6317</v>
      </c>
      <c r="P6496" s="28" t="s">
        <v>31988</v>
      </c>
    </row>
    <row r="6497" spans="1:16" x14ac:dyDescent="0.25">
      <c r="A6497" s="28" t="s">
        <v>32020</v>
      </c>
      <c r="B6497" s="28" t="s">
        <v>32021</v>
      </c>
      <c r="C6497" s="28" t="s">
        <v>25239</v>
      </c>
      <c r="D6497" s="28" t="s">
        <v>32022</v>
      </c>
      <c r="E6497" s="28" t="s">
        <v>26108</v>
      </c>
      <c r="F6497" s="28" t="s">
        <v>6308</v>
      </c>
      <c r="G6497" s="28" t="s">
        <v>6309</v>
      </c>
      <c r="H6497" s="28" t="s">
        <v>6310</v>
      </c>
      <c r="I6497" s="28" t="s">
        <v>32023</v>
      </c>
      <c r="J6497" s="28" t="s">
        <v>31985</v>
      </c>
      <c r="K6497" s="28" t="s">
        <v>31986</v>
      </c>
      <c r="L6497" s="28" t="s">
        <v>6314</v>
      </c>
      <c r="M6497" s="28" t="s">
        <v>32024</v>
      </c>
      <c r="N6497" s="28" t="s">
        <v>6316</v>
      </c>
      <c r="O6497" s="28" t="s">
        <v>6317</v>
      </c>
      <c r="P6497" s="28" t="s">
        <v>31988</v>
      </c>
    </row>
    <row r="6498" spans="1:16" x14ac:dyDescent="0.25">
      <c r="A6498" s="28" t="s">
        <v>32025</v>
      </c>
      <c r="B6498" s="28" t="s">
        <v>32026</v>
      </c>
      <c r="C6498" s="28" t="s">
        <v>25239</v>
      </c>
      <c r="D6498" s="28" t="s">
        <v>32027</v>
      </c>
      <c r="E6498" s="28" t="s">
        <v>17566</v>
      </c>
      <c r="F6498" s="28" t="s">
        <v>6308</v>
      </c>
      <c r="G6498" s="28" t="s">
        <v>6309</v>
      </c>
      <c r="H6498" s="28" t="s">
        <v>6310</v>
      </c>
      <c r="I6498" s="28" t="s">
        <v>32028</v>
      </c>
      <c r="J6498" s="28" t="s">
        <v>31985</v>
      </c>
      <c r="K6498" s="28" t="s">
        <v>31986</v>
      </c>
      <c r="L6498" s="28" t="s">
        <v>6314</v>
      </c>
      <c r="M6498" s="28" t="s">
        <v>32029</v>
      </c>
      <c r="N6498" s="28" t="s">
        <v>6316</v>
      </c>
      <c r="O6498" s="28" t="s">
        <v>6317</v>
      </c>
      <c r="P6498" s="28" t="s">
        <v>31988</v>
      </c>
    </row>
    <row r="6499" spans="1:16" x14ac:dyDescent="0.25">
      <c r="A6499" s="28" t="s">
        <v>32030</v>
      </c>
      <c r="B6499" s="28" t="s">
        <v>32031</v>
      </c>
      <c r="C6499" s="28" t="s">
        <v>25239</v>
      </c>
      <c r="D6499" s="28" t="s">
        <v>32032</v>
      </c>
      <c r="E6499" s="28" t="s">
        <v>32033</v>
      </c>
      <c r="F6499" s="28" t="s">
        <v>6308</v>
      </c>
      <c r="G6499" s="28" t="s">
        <v>6309</v>
      </c>
      <c r="H6499" s="28" t="s">
        <v>6310</v>
      </c>
      <c r="I6499" s="28" t="s">
        <v>32034</v>
      </c>
      <c r="J6499" s="28" t="s">
        <v>31985</v>
      </c>
      <c r="K6499" s="28" t="s">
        <v>31986</v>
      </c>
      <c r="L6499" s="28" t="s">
        <v>6314</v>
      </c>
      <c r="M6499" s="28" t="s">
        <v>32035</v>
      </c>
      <c r="N6499" s="28" t="s">
        <v>6316</v>
      </c>
      <c r="O6499" s="28" t="s">
        <v>6317</v>
      </c>
      <c r="P6499" s="28" t="s">
        <v>31988</v>
      </c>
    </row>
    <row r="6500" spans="1:16" x14ac:dyDescent="0.25">
      <c r="A6500" s="28" t="s">
        <v>32036</v>
      </c>
      <c r="B6500" s="28" t="s">
        <v>32037</v>
      </c>
      <c r="C6500" s="28" t="s">
        <v>25239</v>
      </c>
      <c r="D6500" s="28" t="s">
        <v>32038</v>
      </c>
      <c r="E6500" s="28" t="s">
        <v>1941</v>
      </c>
      <c r="F6500" s="28" t="s">
        <v>6308</v>
      </c>
      <c r="G6500" s="28" t="s">
        <v>6309</v>
      </c>
      <c r="H6500" s="28" t="s">
        <v>6310</v>
      </c>
      <c r="I6500" s="28" t="s">
        <v>32039</v>
      </c>
      <c r="J6500" s="28" t="s">
        <v>31985</v>
      </c>
      <c r="K6500" s="28" t="s">
        <v>31986</v>
      </c>
      <c r="L6500" s="28" t="s">
        <v>6314</v>
      </c>
      <c r="M6500" s="28" t="s">
        <v>32040</v>
      </c>
      <c r="N6500" s="28" t="s">
        <v>6316</v>
      </c>
      <c r="O6500" s="28" t="s">
        <v>6317</v>
      </c>
      <c r="P6500" s="28" t="s">
        <v>31988</v>
      </c>
    </row>
    <row r="6501" spans="1:16" x14ac:dyDescent="0.25">
      <c r="A6501" s="28" t="s">
        <v>32041</v>
      </c>
      <c r="B6501" s="28" t="s">
        <v>32042</v>
      </c>
      <c r="C6501" s="28" t="s">
        <v>25239</v>
      </c>
      <c r="D6501" s="28" t="s">
        <v>32043</v>
      </c>
      <c r="E6501" s="28" t="s">
        <v>32044</v>
      </c>
      <c r="F6501" s="28" t="s">
        <v>6308</v>
      </c>
      <c r="G6501" s="28" t="s">
        <v>6309</v>
      </c>
      <c r="H6501" s="28" t="s">
        <v>6310</v>
      </c>
      <c r="I6501" s="28" t="s">
        <v>32045</v>
      </c>
      <c r="J6501" s="28" t="s">
        <v>31985</v>
      </c>
      <c r="K6501" s="28" t="s">
        <v>31986</v>
      </c>
      <c r="L6501" s="28" t="s">
        <v>6314</v>
      </c>
      <c r="M6501" s="28" t="s">
        <v>32046</v>
      </c>
      <c r="N6501" s="28" t="s">
        <v>6316</v>
      </c>
      <c r="O6501" s="28" t="s">
        <v>6317</v>
      </c>
      <c r="P6501" s="28" t="s">
        <v>31988</v>
      </c>
    </row>
    <row r="6502" spans="1:16" x14ac:dyDescent="0.25">
      <c r="A6502" s="28" t="s">
        <v>32047</v>
      </c>
      <c r="B6502" s="28" t="s">
        <v>32048</v>
      </c>
      <c r="C6502" s="28" t="s">
        <v>25239</v>
      </c>
      <c r="D6502" s="28" t="s">
        <v>32049</v>
      </c>
      <c r="E6502" s="28" t="s">
        <v>4985</v>
      </c>
      <c r="F6502" s="28" t="s">
        <v>6308</v>
      </c>
      <c r="G6502" s="28" t="s">
        <v>6309</v>
      </c>
      <c r="H6502" s="28" t="s">
        <v>6310</v>
      </c>
      <c r="I6502" s="28" t="s">
        <v>32050</v>
      </c>
      <c r="J6502" s="28" t="s">
        <v>31985</v>
      </c>
      <c r="K6502" s="28" t="s">
        <v>31986</v>
      </c>
      <c r="L6502" s="28" t="s">
        <v>6314</v>
      </c>
      <c r="M6502" s="28" t="s">
        <v>32051</v>
      </c>
      <c r="N6502" s="28" t="s">
        <v>6316</v>
      </c>
      <c r="O6502" s="28" t="s">
        <v>6317</v>
      </c>
      <c r="P6502" s="28" t="s">
        <v>31988</v>
      </c>
    </row>
    <row r="6503" spans="1:16" x14ac:dyDescent="0.25">
      <c r="A6503" s="28" t="s">
        <v>32052</v>
      </c>
      <c r="B6503" s="28" t="s">
        <v>32053</v>
      </c>
      <c r="C6503" s="28" t="s">
        <v>25239</v>
      </c>
      <c r="D6503" s="28" t="s">
        <v>32054</v>
      </c>
      <c r="E6503" s="28" t="s">
        <v>32055</v>
      </c>
      <c r="F6503" s="28" t="s">
        <v>6308</v>
      </c>
      <c r="G6503" s="28" t="s">
        <v>6309</v>
      </c>
      <c r="H6503" s="28" t="s">
        <v>6310</v>
      </c>
      <c r="I6503" s="28" t="s">
        <v>32056</v>
      </c>
      <c r="J6503" s="28" t="s">
        <v>31985</v>
      </c>
      <c r="K6503" s="28" t="s">
        <v>31986</v>
      </c>
      <c r="L6503" s="28" t="s">
        <v>6314</v>
      </c>
      <c r="M6503" s="28" t="s">
        <v>32057</v>
      </c>
      <c r="N6503" s="28" t="s">
        <v>6316</v>
      </c>
      <c r="O6503" s="28" t="s">
        <v>6317</v>
      </c>
      <c r="P6503" s="28" t="s">
        <v>31988</v>
      </c>
    </row>
    <row r="6504" spans="1:16" x14ac:dyDescent="0.25">
      <c r="A6504" s="28" t="s">
        <v>32058</v>
      </c>
      <c r="B6504" s="28" t="s">
        <v>32059</v>
      </c>
      <c r="C6504" s="28" t="s">
        <v>25239</v>
      </c>
      <c r="D6504" s="28" t="s">
        <v>32060</v>
      </c>
      <c r="E6504" s="28" t="s">
        <v>26518</v>
      </c>
      <c r="F6504" s="28" t="s">
        <v>6308</v>
      </c>
      <c r="G6504" s="28" t="s">
        <v>6309</v>
      </c>
      <c r="H6504" s="28" t="s">
        <v>6310</v>
      </c>
      <c r="I6504" s="28" t="s">
        <v>32061</v>
      </c>
      <c r="J6504" s="28" t="s">
        <v>31985</v>
      </c>
      <c r="K6504" s="28" t="s">
        <v>31986</v>
      </c>
      <c r="L6504" s="28" t="s">
        <v>6314</v>
      </c>
      <c r="M6504" s="28" t="s">
        <v>32062</v>
      </c>
      <c r="N6504" s="28" t="s">
        <v>6316</v>
      </c>
      <c r="O6504" s="28" t="s">
        <v>6317</v>
      </c>
      <c r="P6504" s="28" t="s">
        <v>31988</v>
      </c>
    </row>
    <row r="6505" spans="1:16" x14ac:dyDescent="0.25">
      <c r="A6505" s="28" t="s">
        <v>32063</v>
      </c>
      <c r="B6505" s="28" t="s">
        <v>32064</v>
      </c>
      <c r="C6505" s="28" t="s">
        <v>25239</v>
      </c>
      <c r="D6505" s="28" t="s">
        <v>32065</v>
      </c>
      <c r="E6505" s="28" t="s">
        <v>32066</v>
      </c>
      <c r="F6505" s="28" t="s">
        <v>6308</v>
      </c>
      <c r="G6505" s="28" t="s">
        <v>6309</v>
      </c>
      <c r="H6505" s="28" t="s">
        <v>6310</v>
      </c>
      <c r="I6505" s="28" t="s">
        <v>32067</v>
      </c>
      <c r="J6505" s="28" t="s">
        <v>31985</v>
      </c>
      <c r="K6505" s="28" t="s">
        <v>31986</v>
      </c>
      <c r="L6505" s="28" t="s">
        <v>6314</v>
      </c>
      <c r="M6505" s="28" t="s">
        <v>32068</v>
      </c>
      <c r="N6505" s="28" t="s">
        <v>6316</v>
      </c>
      <c r="O6505" s="28" t="s">
        <v>6317</v>
      </c>
      <c r="P6505" s="28" t="s">
        <v>31988</v>
      </c>
    </row>
    <row r="6506" spans="1:16" x14ac:dyDescent="0.25">
      <c r="A6506" s="28" t="s">
        <v>32069</v>
      </c>
      <c r="B6506" s="28" t="s">
        <v>32070</v>
      </c>
      <c r="C6506" s="28" t="s">
        <v>25239</v>
      </c>
      <c r="D6506" s="28" t="s">
        <v>32071</v>
      </c>
      <c r="E6506" s="28" t="s">
        <v>29341</v>
      </c>
      <c r="F6506" s="28" t="s">
        <v>6308</v>
      </c>
      <c r="G6506" s="28" t="s">
        <v>6309</v>
      </c>
      <c r="H6506" s="28" t="s">
        <v>6310</v>
      </c>
      <c r="I6506" s="28" t="s">
        <v>32072</v>
      </c>
      <c r="J6506" s="28" t="s">
        <v>31985</v>
      </c>
      <c r="K6506" s="28" t="s">
        <v>31986</v>
      </c>
      <c r="L6506" s="28" t="s">
        <v>6314</v>
      </c>
      <c r="M6506" s="28" t="s">
        <v>32073</v>
      </c>
      <c r="N6506" s="28" t="s">
        <v>6316</v>
      </c>
      <c r="O6506" s="28" t="s">
        <v>6317</v>
      </c>
      <c r="P6506" s="28" t="s">
        <v>31988</v>
      </c>
    </row>
    <row r="6507" spans="1:16" x14ac:dyDescent="0.25">
      <c r="A6507" s="28" t="s">
        <v>32074</v>
      </c>
      <c r="B6507" s="28" t="s">
        <v>32075</v>
      </c>
      <c r="C6507" s="28" t="s">
        <v>25239</v>
      </c>
      <c r="D6507" s="28" t="s">
        <v>32076</v>
      </c>
      <c r="E6507" s="28" t="s">
        <v>1343</v>
      </c>
      <c r="F6507" s="28" t="s">
        <v>6308</v>
      </c>
      <c r="G6507" s="28" t="s">
        <v>6309</v>
      </c>
      <c r="H6507" s="28" t="s">
        <v>6310</v>
      </c>
      <c r="I6507" s="28" t="s">
        <v>32077</v>
      </c>
      <c r="J6507" s="28" t="s">
        <v>31985</v>
      </c>
      <c r="K6507" s="28" t="s">
        <v>31986</v>
      </c>
      <c r="L6507" s="28" t="s">
        <v>6314</v>
      </c>
      <c r="M6507" s="28" t="s">
        <v>32078</v>
      </c>
      <c r="N6507" s="28" t="s">
        <v>6316</v>
      </c>
      <c r="O6507" s="28" t="s">
        <v>6317</v>
      </c>
      <c r="P6507" s="28" t="s">
        <v>31988</v>
      </c>
    </row>
    <row r="6508" spans="1:16" x14ac:dyDescent="0.25">
      <c r="A6508" s="28" t="s">
        <v>32079</v>
      </c>
      <c r="B6508" s="28" t="s">
        <v>32080</v>
      </c>
      <c r="C6508" s="28" t="s">
        <v>25239</v>
      </c>
      <c r="D6508" s="28" t="s">
        <v>32081</v>
      </c>
      <c r="E6508" s="28" t="s">
        <v>1079</v>
      </c>
      <c r="F6508" s="28" t="s">
        <v>6308</v>
      </c>
      <c r="G6508" s="28" t="s">
        <v>6309</v>
      </c>
      <c r="H6508" s="28" t="s">
        <v>6310</v>
      </c>
      <c r="I6508" s="28" t="s">
        <v>32082</v>
      </c>
      <c r="J6508" s="28" t="s">
        <v>31985</v>
      </c>
      <c r="K6508" s="28" t="s">
        <v>31986</v>
      </c>
      <c r="L6508" s="28" t="s">
        <v>6314</v>
      </c>
      <c r="M6508" s="28" t="s">
        <v>32083</v>
      </c>
      <c r="N6508" s="28" t="s">
        <v>6316</v>
      </c>
      <c r="O6508" s="28" t="s">
        <v>6317</v>
      </c>
      <c r="P6508" s="28" t="s">
        <v>31988</v>
      </c>
    </row>
    <row r="6509" spans="1:16" x14ac:dyDescent="0.25">
      <c r="A6509" s="28" t="s">
        <v>32084</v>
      </c>
      <c r="B6509" s="28" t="s">
        <v>32085</v>
      </c>
      <c r="C6509" s="28" t="s">
        <v>25239</v>
      </c>
      <c r="D6509" s="28" t="s">
        <v>32086</v>
      </c>
      <c r="E6509" s="28" t="s">
        <v>923</v>
      </c>
      <c r="F6509" s="28" t="s">
        <v>6308</v>
      </c>
      <c r="G6509" s="28" t="s">
        <v>6309</v>
      </c>
      <c r="H6509" s="28" t="s">
        <v>6310</v>
      </c>
      <c r="I6509" s="28" t="s">
        <v>32087</v>
      </c>
      <c r="J6509" s="28" t="s">
        <v>31985</v>
      </c>
      <c r="K6509" s="28" t="s">
        <v>31986</v>
      </c>
      <c r="L6509" s="28" t="s">
        <v>6314</v>
      </c>
      <c r="M6509" s="28" t="s">
        <v>32088</v>
      </c>
      <c r="N6509" s="28" t="s">
        <v>6316</v>
      </c>
      <c r="O6509" s="28" t="s">
        <v>6317</v>
      </c>
      <c r="P6509" s="28" t="s">
        <v>31988</v>
      </c>
    </row>
    <row r="6510" spans="1:16" x14ac:dyDescent="0.25">
      <c r="A6510" s="28" t="s">
        <v>32089</v>
      </c>
      <c r="B6510" s="28" t="s">
        <v>32090</v>
      </c>
      <c r="C6510" s="28" t="s">
        <v>25239</v>
      </c>
      <c r="D6510" s="28" t="s">
        <v>32091</v>
      </c>
      <c r="E6510" s="28" t="s">
        <v>1470</v>
      </c>
      <c r="F6510" s="28" t="s">
        <v>6308</v>
      </c>
      <c r="G6510" s="28" t="s">
        <v>6309</v>
      </c>
      <c r="H6510" s="28" t="s">
        <v>6310</v>
      </c>
      <c r="I6510" s="28" t="s">
        <v>32092</v>
      </c>
      <c r="J6510" s="28" t="s">
        <v>31985</v>
      </c>
      <c r="K6510" s="28" t="s">
        <v>31986</v>
      </c>
      <c r="L6510" s="28" t="s">
        <v>6314</v>
      </c>
      <c r="M6510" s="28" t="s">
        <v>32093</v>
      </c>
      <c r="N6510" s="28" t="s">
        <v>6316</v>
      </c>
      <c r="O6510" s="28" t="s">
        <v>6317</v>
      </c>
      <c r="P6510" s="28" t="s">
        <v>31988</v>
      </c>
    </row>
    <row r="6511" spans="1:16" x14ac:dyDescent="0.25">
      <c r="A6511" s="28" t="s">
        <v>32094</v>
      </c>
      <c r="B6511" s="28" t="s">
        <v>32095</v>
      </c>
      <c r="C6511" s="28" t="s">
        <v>25239</v>
      </c>
      <c r="D6511" s="28" t="s">
        <v>32096</v>
      </c>
      <c r="E6511" s="28" t="s">
        <v>17554</v>
      </c>
      <c r="F6511" s="28" t="s">
        <v>6308</v>
      </c>
      <c r="G6511" s="28" t="s">
        <v>6309</v>
      </c>
      <c r="H6511" s="28" t="s">
        <v>6310</v>
      </c>
      <c r="I6511" s="28" t="s">
        <v>32097</v>
      </c>
      <c r="J6511" s="28" t="s">
        <v>31985</v>
      </c>
      <c r="K6511" s="28" t="s">
        <v>31986</v>
      </c>
      <c r="L6511" s="28" t="s">
        <v>6314</v>
      </c>
      <c r="M6511" s="28" t="s">
        <v>32098</v>
      </c>
      <c r="N6511" s="28" t="s">
        <v>6316</v>
      </c>
      <c r="O6511" s="28" t="s">
        <v>6317</v>
      </c>
      <c r="P6511" s="28" t="s">
        <v>31988</v>
      </c>
    </row>
    <row r="6512" spans="1:16" x14ac:dyDescent="0.25">
      <c r="A6512" s="28" t="s">
        <v>32099</v>
      </c>
      <c r="B6512" s="28" t="s">
        <v>32100</v>
      </c>
      <c r="C6512" s="28" t="s">
        <v>25239</v>
      </c>
      <c r="D6512" s="28" t="s">
        <v>32101</v>
      </c>
      <c r="E6512" s="28" t="s">
        <v>32102</v>
      </c>
      <c r="F6512" s="28" t="s">
        <v>6308</v>
      </c>
      <c r="G6512" s="28" t="s">
        <v>6309</v>
      </c>
      <c r="H6512" s="28" t="s">
        <v>6310</v>
      </c>
      <c r="I6512" s="28" t="s">
        <v>32103</v>
      </c>
      <c r="J6512" s="28" t="s">
        <v>31985</v>
      </c>
      <c r="K6512" s="28" t="s">
        <v>31986</v>
      </c>
      <c r="L6512" s="28" t="s">
        <v>6314</v>
      </c>
      <c r="M6512" s="28" t="s">
        <v>32104</v>
      </c>
      <c r="N6512" s="28" t="s">
        <v>6316</v>
      </c>
      <c r="O6512" s="28" t="s">
        <v>6317</v>
      </c>
      <c r="P6512" s="28" t="s">
        <v>31988</v>
      </c>
    </row>
    <row r="6513" spans="1:16" x14ac:dyDescent="0.25">
      <c r="A6513" s="28" t="s">
        <v>32105</v>
      </c>
      <c r="B6513" s="28" t="s">
        <v>32106</v>
      </c>
      <c r="C6513" s="28" t="s">
        <v>132</v>
      </c>
      <c r="D6513" s="28" t="s">
        <v>1391</v>
      </c>
      <c r="E6513" s="28" t="s">
        <v>1392</v>
      </c>
      <c r="F6513" s="28" t="s">
        <v>21</v>
      </c>
      <c r="G6513" s="28" t="s">
        <v>149</v>
      </c>
      <c r="H6513" s="28" t="s">
        <v>27631</v>
      </c>
      <c r="I6513" s="28" t="s">
        <v>32107</v>
      </c>
      <c r="J6513" s="28" t="s">
        <v>149</v>
      </c>
      <c r="K6513" s="28" t="s">
        <v>32108</v>
      </c>
      <c r="L6513" s="28" t="s">
        <v>27634</v>
      </c>
      <c r="M6513" s="28" t="s">
        <v>32109</v>
      </c>
      <c r="N6513" s="28" t="s">
        <v>27636</v>
      </c>
      <c r="O6513" s="28" t="s">
        <v>27637</v>
      </c>
      <c r="P6513" s="28" t="s">
        <v>32110</v>
      </c>
    </row>
    <row r="6514" spans="1:16" x14ac:dyDescent="0.25">
      <c r="A6514" s="28" t="s">
        <v>32111</v>
      </c>
      <c r="B6514" s="28" t="s">
        <v>32112</v>
      </c>
      <c r="C6514" s="28" t="s">
        <v>132</v>
      </c>
      <c r="D6514" s="28" t="s">
        <v>1391</v>
      </c>
      <c r="E6514" s="28" t="s">
        <v>1400</v>
      </c>
      <c r="F6514" s="28" t="s">
        <v>21</v>
      </c>
      <c r="G6514" s="28" t="s">
        <v>149</v>
      </c>
      <c r="H6514" s="28" t="s">
        <v>27631</v>
      </c>
      <c r="I6514" s="28" t="s">
        <v>32113</v>
      </c>
      <c r="J6514" s="28" t="s">
        <v>149</v>
      </c>
      <c r="K6514" s="28" t="s">
        <v>32108</v>
      </c>
      <c r="L6514" s="28" t="s">
        <v>27634</v>
      </c>
      <c r="M6514" s="28" t="s">
        <v>32114</v>
      </c>
      <c r="N6514" s="28" t="s">
        <v>27636</v>
      </c>
      <c r="O6514" s="28" t="s">
        <v>27637</v>
      </c>
      <c r="P6514" s="28" t="s">
        <v>32115</v>
      </c>
    </row>
    <row r="6515" spans="1:16" x14ac:dyDescent="0.25">
      <c r="A6515" s="28" t="s">
        <v>32116</v>
      </c>
      <c r="B6515" s="28" t="s">
        <v>32117</v>
      </c>
      <c r="C6515" s="28" t="s">
        <v>132</v>
      </c>
      <c r="D6515" s="28" t="s">
        <v>1391</v>
      </c>
      <c r="E6515" s="28" t="s">
        <v>1406</v>
      </c>
      <c r="F6515" s="28" t="s">
        <v>21</v>
      </c>
      <c r="G6515" s="28" t="s">
        <v>149</v>
      </c>
      <c r="H6515" s="28" t="s">
        <v>27631</v>
      </c>
      <c r="I6515" s="28" t="s">
        <v>32118</v>
      </c>
      <c r="J6515" s="28" t="s">
        <v>149</v>
      </c>
      <c r="K6515" s="28" t="s">
        <v>32108</v>
      </c>
      <c r="L6515" s="28" t="s">
        <v>27634</v>
      </c>
      <c r="M6515" s="28" t="s">
        <v>32119</v>
      </c>
      <c r="N6515" s="28" t="s">
        <v>27636</v>
      </c>
      <c r="O6515" s="28" t="s">
        <v>27637</v>
      </c>
      <c r="P6515" s="28" t="s">
        <v>32120</v>
      </c>
    </row>
    <row r="6516" spans="1:16" x14ac:dyDescent="0.25">
      <c r="A6516" s="28" t="s">
        <v>32121</v>
      </c>
      <c r="B6516" s="28" t="s">
        <v>32122</v>
      </c>
      <c r="C6516" s="28" t="s">
        <v>132</v>
      </c>
      <c r="D6516" s="28" t="s">
        <v>1391</v>
      </c>
      <c r="E6516" s="28" t="s">
        <v>1412</v>
      </c>
      <c r="F6516" s="28" t="s">
        <v>21</v>
      </c>
      <c r="G6516" s="28" t="s">
        <v>149</v>
      </c>
      <c r="H6516" s="28" t="s">
        <v>27631</v>
      </c>
      <c r="I6516" s="28" t="s">
        <v>32123</v>
      </c>
      <c r="J6516" s="28" t="s">
        <v>149</v>
      </c>
      <c r="K6516" s="28" t="s">
        <v>32108</v>
      </c>
      <c r="L6516" s="28" t="s">
        <v>27634</v>
      </c>
      <c r="M6516" s="28" t="s">
        <v>32124</v>
      </c>
      <c r="N6516" s="28" t="s">
        <v>27636</v>
      </c>
      <c r="O6516" s="28" t="s">
        <v>27637</v>
      </c>
      <c r="P6516" s="28" t="s">
        <v>32125</v>
      </c>
    </row>
    <row r="6517" spans="1:16" x14ac:dyDescent="0.25">
      <c r="A6517" s="28" t="s">
        <v>32126</v>
      </c>
      <c r="B6517" s="28" t="s">
        <v>32127</v>
      </c>
      <c r="C6517" s="28" t="s">
        <v>132</v>
      </c>
      <c r="D6517" s="28" t="s">
        <v>5979</v>
      </c>
      <c r="E6517" s="28" t="s">
        <v>9515</v>
      </c>
      <c r="F6517" s="28" t="s">
        <v>21</v>
      </c>
      <c r="G6517" s="28" t="s">
        <v>39</v>
      </c>
      <c r="H6517" s="28" t="s">
        <v>27631</v>
      </c>
      <c r="I6517" s="28" t="s">
        <v>32128</v>
      </c>
      <c r="J6517" s="28" t="s">
        <v>39</v>
      </c>
      <c r="K6517" s="28" t="s">
        <v>27633</v>
      </c>
      <c r="L6517" s="28" t="s">
        <v>27634</v>
      </c>
      <c r="M6517" s="28" t="s">
        <v>32129</v>
      </c>
      <c r="N6517" s="28" t="s">
        <v>27636</v>
      </c>
      <c r="O6517" s="28" t="s">
        <v>27637</v>
      </c>
      <c r="P6517" s="28" t="s">
        <v>32130</v>
      </c>
    </row>
    <row r="6518" spans="1:16" x14ac:dyDescent="0.25">
      <c r="A6518" s="28" t="s">
        <v>32131</v>
      </c>
      <c r="B6518" s="28" t="s">
        <v>32132</v>
      </c>
      <c r="C6518" s="28" t="s">
        <v>132</v>
      </c>
      <c r="D6518" s="28" t="s">
        <v>5979</v>
      </c>
      <c r="E6518" s="28" t="s">
        <v>9526</v>
      </c>
      <c r="F6518" s="28" t="s">
        <v>21</v>
      </c>
      <c r="G6518" s="28" t="s">
        <v>39</v>
      </c>
      <c r="H6518" s="28" t="s">
        <v>27631</v>
      </c>
      <c r="I6518" s="28" t="s">
        <v>32133</v>
      </c>
      <c r="J6518" s="28" t="s">
        <v>39</v>
      </c>
      <c r="K6518" s="28" t="s">
        <v>27633</v>
      </c>
      <c r="L6518" s="28" t="s">
        <v>27634</v>
      </c>
      <c r="M6518" s="28" t="s">
        <v>32134</v>
      </c>
      <c r="N6518" s="28" t="s">
        <v>27636</v>
      </c>
      <c r="O6518" s="28" t="s">
        <v>27637</v>
      </c>
      <c r="P6518" s="28" t="s">
        <v>32135</v>
      </c>
    </row>
    <row r="6519" spans="1:16" x14ac:dyDescent="0.25">
      <c r="A6519" s="28" t="s">
        <v>32136</v>
      </c>
      <c r="B6519" s="28" t="s">
        <v>32137</v>
      </c>
      <c r="C6519" s="28" t="s">
        <v>132</v>
      </c>
      <c r="D6519" s="28" t="s">
        <v>5979</v>
      </c>
      <c r="E6519" s="28" t="s">
        <v>9526</v>
      </c>
      <c r="F6519" s="28" t="s">
        <v>21</v>
      </c>
      <c r="G6519" s="28" t="s">
        <v>39</v>
      </c>
      <c r="H6519" s="28" t="s">
        <v>27631</v>
      </c>
      <c r="I6519" s="28" t="s">
        <v>32138</v>
      </c>
      <c r="J6519" s="28" t="s">
        <v>39</v>
      </c>
      <c r="K6519" s="28" t="s">
        <v>27633</v>
      </c>
      <c r="L6519" s="28" t="s">
        <v>27634</v>
      </c>
      <c r="M6519" s="28" t="s">
        <v>32139</v>
      </c>
      <c r="N6519" s="28" t="s">
        <v>27636</v>
      </c>
      <c r="O6519" s="28" t="s">
        <v>27637</v>
      </c>
      <c r="P6519" s="28" t="s">
        <v>32135</v>
      </c>
    </row>
    <row r="6520" spans="1:16" x14ac:dyDescent="0.25">
      <c r="A6520" s="28" t="s">
        <v>32140</v>
      </c>
      <c r="B6520" s="28" t="s">
        <v>32141</v>
      </c>
      <c r="C6520" s="28" t="s">
        <v>132</v>
      </c>
      <c r="D6520" s="28" t="s">
        <v>5979</v>
      </c>
      <c r="E6520" s="28" t="s">
        <v>32142</v>
      </c>
      <c r="F6520" s="28" t="s">
        <v>21</v>
      </c>
      <c r="G6520" s="28" t="s">
        <v>39</v>
      </c>
      <c r="H6520" s="28" t="s">
        <v>27631</v>
      </c>
      <c r="I6520" s="28" t="s">
        <v>32143</v>
      </c>
      <c r="J6520" s="28" t="s">
        <v>39</v>
      </c>
      <c r="K6520" s="28" t="s">
        <v>27633</v>
      </c>
      <c r="L6520" s="28" t="s">
        <v>27634</v>
      </c>
      <c r="M6520" s="28" t="s">
        <v>32144</v>
      </c>
      <c r="N6520" s="28" t="s">
        <v>27636</v>
      </c>
      <c r="O6520" s="28" t="s">
        <v>27637</v>
      </c>
      <c r="P6520" s="28" t="s">
        <v>32145</v>
      </c>
    </row>
    <row r="6521" spans="1:16" x14ac:dyDescent="0.25">
      <c r="A6521" s="28" t="s">
        <v>32146</v>
      </c>
      <c r="B6521" s="28" t="s">
        <v>32147</v>
      </c>
      <c r="C6521" s="28" t="s">
        <v>132</v>
      </c>
      <c r="D6521" s="28" t="s">
        <v>5979</v>
      </c>
      <c r="E6521" s="28" t="s">
        <v>7312</v>
      </c>
      <c r="F6521" s="28" t="s">
        <v>21</v>
      </c>
      <c r="G6521" s="28" t="s">
        <v>39</v>
      </c>
      <c r="H6521" s="28" t="s">
        <v>27631</v>
      </c>
      <c r="I6521" s="28" t="s">
        <v>32148</v>
      </c>
      <c r="J6521" s="28" t="s">
        <v>39</v>
      </c>
      <c r="K6521" s="28" t="s">
        <v>27633</v>
      </c>
      <c r="L6521" s="28" t="s">
        <v>27634</v>
      </c>
      <c r="M6521" s="28" t="s">
        <v>32149</v>
      </c>
      <c r="N6521" s="28" t="s">
        <v>27636</v>
      </c>
      <c r="O6521" s="28" t="s">
        <v>27637</v>
      </c>
      <c r="P6521" s="28" t="s">
        <v>32150</v>
      </c>
    </row>
    <row r="6522" spans="1:16" x14ac:dyDescent="0.25">
      <c r="A6522" s="28" t="s">
        <v>32151</v>
      </c>
      <c r="B6522" s="28" t="s">
        <v>32152</v>
      </c>
      <c r="C6522" s="28" t="s">
        <v>132</v>
      </c>
      <c r="D6522" s="28" t="s">
        <v>5979</v>
      </c>
      <c r="E6522" s="28" t="s">
        <v>32153</v>
      </c>
      <c r="F6522" s="28" t="s">
        <v>21</v>
      </c>
      <c r="G6522" s="28" t="s">
        <v>39</v>
      </c>
      <c r="H6522" s="28" t="s">
        <v>27631</v>
      </c>
      <c r="I6522" s="28" t="s">
        <v>32154</v>
      </c>
      <c r="J6522" s="28" t="s">
        <v>39</v>
      </c>
      <c r="K6522" s="28" t="s">
        <v>27633</v>
      </c>
      <c r="L6522" s="28" t="s">
        <v>27634</v>
      </c>
      <c r="M6522" s="28" t="s">
        <v>32155</v>
      </c>
      <c r="N6522" s="28" t="s">
        <v>27636</v>
      </c>
      <c r="O6522" s="28" t="s">
        <v>27637</v>
      </c>
      <c r="P6522" s="28" t="s">
        <v>32156</v>
      </c>
    </row>
    <row r="6523" spans="1:16" x14ac:dyDescent="0.25">
      <c r="A6523" s="28" t="s">
        <v>32157</v>
      </c>
      <c r="B6523" s="28" t="s">
        <v>32158</v>
      </c>
      <c r="C6523" s="28" t="s">
        <v>132</v>
      </c>
      <c r="D6523" s="28" t="s">
        <v>5979</v>
      </c>
      <c r="E6523" s="28" t="s">
        <v>32159</v>
      </c>
      <c r="F6523" s="28" t="s">
        <v>21</v>
      </c>
      <c r="G6523" s="28" t="s">
        <v>39</v>
      </c>
      <c r="H6523" s="28" t="s">
        <v>27631</v>
      </c>
      <c r="I6523" s="28" t="s">
        <v>32160</v>
      </c>
      <c r="J6523" s="28" t="s">
        <v>39</v>
      </c>
      <c r="K6523" s="28" t="s">
        <v>27633</v>
      </c>
      <c r="L6523" s="28" t="s">
        <v>27634</v>
      </c>
      <c r="M6523" s="28" t="s">
        <v>32161</v>
      </c>
      <c r="N6523" s="28" t="s">
        <v>27636</v>
      </c>
      <c r="O6523" s="28" t="s">
        <v>27637</v>
      </c>
      <c r="P6523" s="28" t="s">
        <v>32162</v>
      </c>
    </row>
    <row r="6524" spans="1:16" x14ac:dyDescent="0.25">
      <c r="A6524" s="28" t="s">
        <v>32163</v>
      </c>
      <c r="B6524" s="28" t="s">
        <v>32164</v>
      </c>
      <c r="C6524" s="28" t="s">
        <v>132</v>
      </c>
      <c r="D6524" s="28" t="s">
        <v>5979</v>
      </c>
      <c r="E6524" s="28" t="s">
        <v>9556</v>
      </c>
      <c r="F6524" s="28" t="s">
        <v>21</v>
      </c>
      <c r="G6524" s="28" t="s">
        <v>39</v>
      </c>
      <c r="H6524" s="28" t="s">
        <v>27631</v>
      </c>
      <c r="I6524" s="28" t="s">
        <v>32165</v>
      </c>
      <c r="J6524" s="28" t="s">
        <v>39</v>
      </c>
      <c r="K6524" s="28" t="s">
        <v>27633</v>
      </c>
      <c r="L6524" s="28" t="s">
        <v>27634</v>
      </c>
      <c r="M6524" s="28" t="s">
        <v>32166</v>
      </c>
      <c r="N6524" s="28" t="s">
        <v>27636</v>
      </c>
      <c r="O6524" s="28" t="s">
        <v>27637</v>
      </c>
      <c r="P6524" s="28" t="s">
        <v>32167</v>
      </c>
    </row>
    <row r="6525" spans="1:16" x14ac:dyDescent="0.25">
      <c r="A6525" s="28" t="s">
        <v>32168</v>
      </c>
      <c r="B6525" s="28" t="s">
        <v>32169</v>
      </c>
      <c r="C6525" s="28" t="s">
        <v>132</v>
      </c>
      <c r="D6525" s="28" t="s">
        <v>5979</v>
      </c>
      <c r="E6525" s="28" t="s">
        <v>6001</v>
      </c>
      <c r="F6525" s="28" t="s">
        <v>21</v>
      </c>
      <c r="G6525" s="28" t="s">
        <v>39</v>
      </c>
      <c r="H6525" s="28" t="s">
        <v>27631</v>
      </c>
      <c r="I6525" s="28" t="s">
        <v>32170</v>
      </c>
      <c r="J6525" s="28" t="s">
        <v>39</v>
      </c>
      <c r="K6525" s="28" t="s">
        <v>27633</v>
      </c>
      <c r="L6525" s="28" t="s">
        <v>27634</v>
      </c>
      <c r="M6525" s="28" t="s">
        <v>32171</v>
      </c>
      <c r="N6525" s="28" t="s">
        <v>27636</v>
      </c>
      <c r="O6525" s="28" t="s">
        <v>27637</v>
      </c>
      <c r="P6525" s="28" t="s">
        <v>32172</v>
      </c>
    </row>
    <row r="6526" spans="1:16" x14ac:dyDescent="0.25">
      <c r="A6526" s="28" t="s">
        <v>32173</v>
      </c>
      <c r="B6526" s="28" t="s">
        <v>32174</v>
      </c>
      <c r="C6526" s="28" t="s">
        <v>132</v>
      </c>
      <c r="D6526" s="28" t="s">
        <v>5979</v>
      </c>
      <c r="E6526" s="28" t="s">
        <v>6023</v>
      </c>
      <c r="F6526" s="28" t="s">
        <v>21</v>
      </c>
      <c r="G6526" s="28" t="s">
        <v>39</v>
      </c>
      <c r="H6526" s="28" t="s">
        <v>27631</v>
      </c>
      <c r="I6526" s="28" t="s">
        <v>32175</v>
      </c>
      <c r="J6526" s="28" t="s">
        <v>39</v>
      </c>
      <c r="K6526" s="28" t="s">
        <v>27633</v>
      </c>
      <c r="L6526" s="28" t="s">
        <v>27634</v>
      </c>
      <c r="M6526" s="28" t="s">
        <v>32176</v>
      </c>
      <c r="N6526" s="28" t="s">
        <v>27636</v>
      </c>
      <c r="O6526" s="28" t="s">
        <v>27637</v>
      </c>
      <c r="P6526" s="28" t="s">
        <v>32177</v>
      </c>
    </row>
    <row r="6527" spans="1:16" x14ac:dyDescent="0.25">
      <c r="A6527" s="28" t="s">
        <v>32178</v>
      </c>
      <c r="B6527" s="28" t="s">
        <v>32179</v>
      </c>
      <c r="C6527" s="28" t="s">
        <v>132</v>
      </c>
      <c r="D6527" s="28" t="s">
        <v>5979</v>
      </c>
      <c r="E6527" s="28" t="s">
        <v>9578</v>
      </c>
      <c r="F6527" s="28" t="s">
        <v>21</v>
      </c>
      <c r="G6527" s="28" t="s">
        <v>39</v>
      </c>
      <c r="H6527" s="28" t="s">
        <v>27631</v>
      </c>
      <c r="I6527" s="28" t="s">
        <v>32180</v>
      </c>
      <c r="J6527" s="28" t="s">
        <v>39</v>
      </c>
      <c r="K6527" s="28" t="s">
        <v>27633</v>
      </c>
      <c r="L6527" s="28" t="s">
        <v>27634</v>
      </c>
      <c r="M6527" s="28" t="s">
        <v>32181</v>
      </c>
      <c r="N6527" s="28" t="s">
        <v>27636</v>
      </c>
      <c r="O6527" s="28" t="s">
        <v>27637</v>
      </c>
      <c r="P6527" s="28" t="s">
        <v>32182</v>
      </c>
    </row>
    <row r="6528" spans="1:16" x14ac:dyDescent="0.25">
      <c r="A6528" s="28" t="s">
        <v>32183</v>
      </c>
      <c r="B6528" s="28" t="s">
        <v>32184</v>
      </c>
      <c r="C6528" s="28" t="s">
        <v>132</v>
      </c>
      <c r="D6528" s="28" t="s">
        <v>5979</v>
      </c>
      <c r="E6528" s="28" t="s">
        <v>16058</v>
      </c>
      <c r="F6528" s="28" t="s">
        <v>21</v>
      </c>
      <c r="G6528" s="28" t="s">
        <v>39</v>
      </c>
      <c r="H6528" s="28" t="s">
        <v>27631</v>
      </c>
      <c r="I6528" s="28" t="s">
        <v>32185</v>
      </c>
      <c r="J6528" s="28" t="s">
        <v>39</v>
      </c>
      <c r="K6528" s="28" t="s">
        <v>27633</v>
      </c>
      <c r="L6528" s="28" t="s">
        <v>27634</v>
      </c>
      <c r="M6528" s="28" t="s">
        <v>32186</v>
      </c>
      <c r="N6528" s="28" t="s">
        <v>27636</v>
      </c>
      <c r="O6528" s="28" t="s">
        <v>27637</v>
      </c>
      <c r="P6528" s="28" t="s">
        <v>32187</v>
      </c>
    </row>
    <row r="6529" spans="1:16" x14ac:dyDescent="0.25">
      <c r="A6529" s="28" t="s">
        <v>32188</v>
      </c>
      <c r="B6529" s="28" t="s">
        <v>32189</v>
      </c>
      <c r="C6529" s="28" t="s">
        <v>132</v>
      </c>
      <c r="D6529" s="28" t="s">
        <v>5979</v>
      </c>
      <c r="E6529" s="28" t="s">
        <v>16072</v>
      </c>
      <c r="F6529" s="28" t="s">
        <v>21</v>
      </c>
      <c r="G6529" s="28" t="s">
        <v>39</v>
      </c>
      <c r="H6529" s="28" t="s">
        <v>27631</v>
      </c>
      <c r="I6529" s="28" t="s">
        <v>32190</v>
      </c>
      <c r="J6529" s="28" t="s">
        <v>39</v>
      </c>
      <c r="K6529" s="28" t="s">
        <v>27633</v>
      </c>
      <c r="L6529" s="28" t="s">
        <v>27634</v>
      </c>
      <c r="M6529" s="28" t="s">
        <v>32191</v>
      </c>
      <c r="N6529" s="28" t="s">
        <v>27636</v>
      </c>
      <c r="O6529" s="28" t="s">
        <v>27637</v>
      </c>
      <c r="P6529" s="28" t="s">
        <v>32192</v>
      </c>
    </row>
    <row r="6530" spans="1:16" x14ac:dyDescent="0.25">
      <c r="A6530" s="28" t="s">
        <v>32193</v>
      </c>
      <c r="B6530" s="28" t="s">
        <v>32194</v>
      </c>
      <c r="C6530" s="28" t="s">
        <v>132</v>
      </c>
      <c r="D6530" s="28" t="s">
        <v>5979</v>
      </c>
      <c r="E6530" s="28" t="s">
        <v>6119</v>
      </c>
      <c r="F6530" s="28" t="s">
        <v>21</v>
      </c>
      <c r="G6530" s="28" t="s">
        <v>39</v>
      </c>
      <c r="H6530" s="28" t="s">
        <v>27631</v>
      </c>
      <c r="I6530" s="28" t="s">
        <v>32195</v>
      </c>
      <c r="J6530" s="28" t="s">
        <v>39</v>
      </c>
      <c r="K6530" s="28" t="s">
        <v>27633</v>
      </c>
      <c r="L6530" s="28" t="s">
        <v>27634</v>
      </c>
      <c r="M6530" s="28" t="s">
        <v>32196</v>
      </c>
      <c r="N6530" s="28" t="s">
        <v>27636</v>
      </c>
      <c r="O6530" s="28" t="s">
        <v>27637</v>
      </c>
      <c r="P6530" s="28" t="s">
        <v>32197</v>
      </c>
    </row>
    <row r="6531" spans="1:16" x14ac:dyDescent="0.25">
      <c r="A6531" s="28" t="s">
        <v>32198</v>
      </c>
      <c r="B6531" s="28" t="s">
        <v>32199</v>
      </c>
      <c r="C6531" s="28" t="s">
        <v>132</v>
      </c>
      <c r="D6531" s="28" t="s">
        <v>5979</v>
      </c>
      <c r="E6531" s="28" t="s">
        <v>16099</v>
      </c>
      <c r="F6531" s="28" t="s">
        <v>21</v>
      </c>
      <c r="G6531" s="28" t="s">
        <v>39</v>
      </c>
      <c r="H6531" s="28" t="s">
        <v>27631</v>
      </c>
      <c r="I6531" s="28" t="s">
        <v>32200</v>
      </c>
      <c r="J6531" s="28" t="s">
        <v>39</v>
      </c>
      <c r="K6531" s="28" t="s">
        <v>27633</v>
      </c>
      <c r="L6531" s="28" t="s">
        <v>27634</v>
      </c>
      <c r="M6531" s="28" t="s">
        <v>32201</v>
      </c>
      <c r="N6531" s="28" t="s">
        <v>27636</v>
      </c>
      <c r="O6531" s="28" t="s">
        <v>27637</v>
      </c>
      <c r="P6531" s="28" t="s">
        <v>32202</v>
      </c>
    </row>
    <row r="6532" spans="1:16" x14ac:dyDescent="0.25">
      <c r="A6532" s="28" t="s">
        <v>32203</v>
      </c>
      <c r="B6532" s="28" t="s">
        <v>32204</v>
      </c>
      <c r="C6532" s="28" t="s">
        <v>132</v>
      </c>
      <c r="D6532" s="28" t="s">
        <v>5979</v>
      </c>
      <c r="E6532" s="28" t="s">
        <v>9590</v>
      </c>
      <c r="F6532" s="28" t="s">
        <v>21</v>
      </c>
      <c r="G6532" s="28" t="s">
        <v>39</v>
      </c>
      <c r="H6532" s="28" t="s">
        <v>27631</v>
      </c>
      <c r="I6532" s="28" t="s">
        <v>32205</v>
      </c>
      <c r="J6532" s="28" t="s">
        <v>39</v>
      </c>
      <c r="K6532" s="28" t="s">
        <v>27633</v>
      </c>
      <c r="L6532" s="28" t="s">
        <v>27634</v>
      </c>
      <c r="M6532" s="28" t="s">
        <v>32206</v>
      </c>
      <c r="N6532" s="28" t="s">
        <v>27636</v>
      </c>
      <c r="O6532" s="28" t="s">
        <v>27637</v>
      </c>
      <c r="P6532" s="28" t="s">
        <v>32207</v>
      </c>
    </row>
    <row r="6533" spans="1:16" x14ac:dyDescent="0.25">
      <c r="A6533" s="28" t="s">
        <v>32208</v>
      </c>
      <c r="B6533" s="28" t="s">
        <v>32209</v>
      </c>
      <c r="C6533" s="28" t="s">
        <v>132</v>
      </c>
      <c r="D6533" s="28" t="s">
        <v>5979</v>
      </c>
      <c r="E6533" s="28" t="s">
        <v>9602</v>
      </c>
      <c r="F6533" s="28" t="s">
        <v>21</v>
      </c>
      <c r="G6533" s="28" t="s">
        <v>39</v>
      </c>
      <c r="H6533" s="28" t="s">
        <v>27631</v>
      </c>
      <c r="I6533" s="28" t="s">
        <v>32210</v>
      </c>
      <c r="J6533" s="28" t="s">
        <v>39</v>
      </c>
      <c r="K6533" s="28" t="s">
        <v>27633</v>
      </c>
      <c r="L6533" s="28" t="s">
        <v>27634</v>
      </c>
      <c r="M6533" s="28" t="s">
        <v>32211</v>
      </c>
      <c r="N6533" s="28" t="s">
        <v>27636</v>
      </c>
      <c r="O6533" s="28" t="s">
        <v>27637</v>
      </c>
      <c r="P6533" s="28" t="s">
        <v>32212</v>
      </c>
    </row>
    <row r="6534" spans="1:16" x14ac:dyDescent="0.25">
      <c r="A6534" s="28" t="s">
        <v>32213</v>
      </c>
      <c r="B6534" s="28" t="s">
        <v>32214</v>
      </c>
      <c r="C6534" s="28" t="s">
        <v>132</v>
      </c>
      <c r="D6534" s="28" t="s">
        <v>5979</v>
      </c>
      <c r="E6534" s="28" t="s">
        <v>9609</v>
      </c>
      <c r="F6534" s="28" t="s">
        <v>21</v>
      </c>
      <c r="G6534" s="28" t="s">
        <v>39</v>
      </c>
      <c r="H6534" s="28" t="s">
        <v>27631</v>
      </c>
      <c r="I6534" s="28" t="s">
        <v>32215</v>
      </c>
      <c r="J6534" s="28" t="s">
        <v>39</v>
      </c>
      <c r="K6534" s="28" t="s">
        <v>27633</v>
      </c>
      <c r="L6534" s="28" t="s">
        <v>27634</v>
      </c>
      <c r="M6534" s="28" t="s">
        <v>32216</v>
      </c>
      <c r="N6534" s="28" t="s">
        <v>27636</v>
      </c>
      <c r="O6534" s="28" t="s">
        <v>27637</v>
      </c>
      <c r="P6534" s="28" t="s">
        <v>32217</v>
      </c>
    </row>
    <row r="6535" spans="1:16" x14ac:dyDescent="0.25">
      <c r="A6535" s="28" t="s">
        <v>32218</v>
      </c>
      <c r="B6535" s="28" t="s">
        <v>32219</v>
      </c>
      <c r="C6535" s="28" t="s">
        <v>132</v>
      </c>
      <c r="D6535" s="28" t="s">
        <v>5979</v>
      </c>
      <c r="E6535" s="28" t="s">
        <v>9609</v>
      </c>
      <c r="F6535" s="28" t="s">
        <v>21</v>
      </c>
      <c r="G6535" s="28" t="s">
        <v>39</v>
      </c>
      <c r="H6535" s="28" t="s">
        <v>27631</v>
      </c>
      <c r="I6535" s="28" t="s">
        <v>32220</v>
      </c>
      <c r="J6535" s="28" t="s">
        <v>39</v>
      </c>
      <c r="K6535" s="28" t="s">
        <v>27633</v>
      </c>
      <c r="L6535" s="28" t="s">
        <v>27634</v>
      </c>
      <c r="M6535" s="28" t="s">
        <v>32221</v>
      </c>
      <c r="N6535" s="28" t="s">
        <v>27636</v>
      </c>
      <c r="O6535" s="28" t="s">
        <v>27637</v>
      </c>
      <c r="P6535" s="28" t="s">
        <v>32217</v>
      </c>
    </row>
    <row r="6536" spans="1:16" x14ac:dyDescent="0.25">
      <c r="A6536" s="28" t="s">
        <v>32222</v>
      </c>
      <c r="B6536" s="28" t="s">
        <v>32223</v>
      </c>
      <c r="C6536" s="28" t="s">
        <v>132</v>
      </c>
      <c r="D6536" s="28" t="s">
        <v>5979</v>
      </c>
      <c r="E6536" s="28" t="s">
        <v>16165</v>
      </c>
      <c r="F6536" s="28" t="s">
        <v>21</v>
      </c>
      <c r="G6536" s="28" t="s">
        <v>39</v>
      </c>
      <c r="H6536" s="28" t="s">
        <v>27631</v>
      </c>
      <c r="I6536" s="28" t="s">
        <v>32224</v>
      </c>
      <c r="J6536" s="28" t="s">
        <v>39</v>
      </c>
      <c r="K6536" s="28" t="s">
        <v>27633</v>
      </c>
      <c r="L6536" s="28" t="s">
        <v>27634</v>
      </c>
      <c r="M6536" s="28" t="s">
        <v>32225</v>
      </c>
      <c r="N6536" s="28" t="s">
        <v>27636</v>
      </c>
      <c r="O6536" s="28" t="s">
        <v>27637</v>
      </c>
      <c r="P6536" s="28" t="s">
        <v>32226</v>
      </c>
    </row>
    <row r="6537" spans="1:16" x14ac:dyDescent="0.25">
      <c r="A6537" s="28" t="s">
        <v>32227</v>
      </c>
      <c r="B6537" s="28" t="s">
        <v>32228</v>
      </c>
      <c r="C6537" s="28" t="s">
        <v>132</v>
      </c>
      <c r="D6537" s="28" t="s">
        <v>5979</v>
      </c>
      <c r="E6537" s="28" t="s">
        <v>16179</v>
      </c>
      <c r="F6537" s="28" t="s">
        <v>21</v>
      </c>
      <c r="G6537" s="28" t="s">
        <v>39</v>
      </c>
      <c r="H6537" s="28" t="s">
        <v>27631</v>
      </c>
      <c r="I6537" s="28" t="s">
        <v>32229</v>
      </c>
      <c r="J6537" s="28" t="s">
        <v>39</v>
      </c>
      <c r="K6537" s="28" t="s">
        <v>27633</v>
      </c>
      <c r="L6537" s="28" t="s">
        <v>27634</v>
      </c>
      <c r="M6537" s="28" t="s">
        <v>32230</v>
      </c>
      <c r="N6537" s="28" t="s">
        <v>27636</v>
      </c>
      <c r="O6537" s="28" t="s">
        <v>27637</v>
      </c>
      <c r="P6537" s="28" t="s">
        <v>32231</v>
      </c>
    </row>
    <row r="6538" spans="1:16" x14ac:dyDescent="0.25">
      <c r="A6538" s="28" t="s">
        <v>32232</v>
      </c>
      <c r="B6538" s="28" t="s">
        <v>32233</v>
      </c>
      <c r="C6538" s="28" t="s">
        <v>132</v>
      </c>
      <c r="D6538" s="28" t="s">
        <v>5979</v>
      </c>
      <c r="E6538" s="28" t="s">
        <v>16193</v>
      </c>
      <c r="F6538" s="28" t="s">
        <v>21</v>
      </c>
      <c r="G6538" s="28" t="s">
        <v>39</v>
      </c>
      <c r="H6538" s="28" t="s">
        <v>27631</v>
      </c>
      <c r="I6538" s="28" t="s">
        <v>32234</v>
      </c>
      <c r="J6538" s="28" t="s">
        <v>39</v>
      </c>
      <c r="K6538" s="28" t="s">
        <v>27633</v>
      </c>
      <c r="L6538" s="28" t="s">
        <v>27634</v>
      </c>
      <c r="M6538" s="28" t="s">
        <v>32235</v>
      </c>
      <c r="N6538" s="28" t="s">
        <v>27636</v>
      </c>
      <c r="O6538" s="28" t="s">
        <v>27637</v>
      </c>
      <c r="P6538" s="28" t="s">
        <v>32236</v>
      </c>
    </row>
    <row r="6539" spans="1:16" x14ac:dyDescent="0.25">
      <c r="A6539" s="28" t="s">
        <v>32237</v>
      </c>
      <c r="B6539" s="28" t="s">
        <v>32238</v>
      </c>
      <c r="C6539" s="28" t="s">
        <v>132</v>
      </c>
      <c r="D6539" s="28" t="s">
        <v>5979</v>
      </c>
      <c r="E6539" s="28" t="s">
        <v>6087</v>
      </c>
      <c r="F6539" s="28" t="s">
        <v>21</v>
      </c>
      <c r="G6539" s="28" t="s">
        <v>39</v>
      </c>
      <c r="H6539" s="28" t="s">
        <v>27631</v>
      </c>
      <c r="I6539" s="28" t="s">
        <v>32239</v>
      </c>
      <c r="J6539" s="28" t="s">
        <v>39</v>
      </c>
      <c r="K6539" s="28" t="s">
        <v>27633</v>
      </c>
      <c r="L6539" s="28" t="s">
        <v>27634</v>
      </c>
      <c r="M6539" s="28" t="s">
        <v>32240</v>
      </c>
      <c r="N6539" s="28" t="s">
        <v>27636</v>
      </c>
      <c r="O6539" s="28" t="s">
        <v>27637</v>
      </c>
      <c r="P6539" s="28" t="s">
        <v>32241</v>
      </c>
    </row>
    <row r="6540" spans="1:16" x14ac:dyDescent="0.25">
      <c r="A6540" s="28" t="s">
        <v>32242</v>
      </c>
      <c r="B6540" s="28" t="s">
        <v>32243</v>
      </c>
      <c r="C6540" s="28" t="s">
        <v>25143</v>
      </c>
      <c r="D6540" s="28" t="s">
        <v>4682</v>
      </c>
      <c r="E6540" s="28" t="s">
        <v>25643</v>
      </c>
      <c r="F6540" s="28" t="s">
        <v>21</v>
      </c>
      <c r="G6540" s="28" t="s">
        <v>39</v>
      </c>
      <c r="H6540" s="28" t="s">
        <v>32244</v>
      </c>
      <c r="I6540" s="28" t="s">
        <v>32245</v>
      </c>
      <c r="J6540" s="28" t="s">
        <v>39</v>
      </c>
      <c r="K6540" s="28" t="s">
        <v>32246</v>
      </c>
      <c r="L6540" s="28" t="s">
        <v>32247</v>
      </c>
      <c r="M6540" s="28" t="s">
        <v>32248</v>
      </c>
      <c r="N6540" s="28" t="s">
        <v>32249</v>
      </c>
      <c r="O6540" s="28" t="s">
        <v>32250</v>
      </c>
      <c r="P6540" s="28" t="s">
        <v>32251</v>
      </c>
    </row>
    <row r="6541" spans="1:16" x14ac:dyDescent="0.25">
      <c r="A6541" s="28" t="s">
        <v>32252</v>
      </c>
      <c r="B6541" s="28" t="s">
        <v>32253</v>
      </c>
      <c r="C6541" s="28" t="s">
        <v>25143</v>
      </c>
      <c r="D6541" s="28" t="s">
        <v>4682</v>
      </c>
      <c r="E6541" s="28" t="s">
        <v>25643</v>
      </c>
      <c r="F6541" s="28" t="s">
        <v>21</v>
      </c>
      <c r="G6541" s="28" t="s">
        <v>39</v>
      </c>
      <c r="H6541" s="28" t="s">
        <v>32244</v>
      </c>
      <c r="I6541" s="28" t="s">
        <v>32254</v>
      </c>
      <c r="J6541" s="28" t="s">
        <v>39</v>
      </c>
      <c r="K6541" s="28" t="s">
        <v>32246</v>
      </c>
      <c r="L6541" s="28" t="s">
        <v>32247</v>
      </c>
      <c r="M6541" s="28" t="s">
        <v>32255</v>
      </c>
      <c r="N6541" s="28" t="s">
        <v>32249</v>
      </c>
      <c r="O6541" s="28" t="s">
        <v>32250</v>
      </c>
      <c r="P6541" s="28" t="s">
        <v>32251</v>
      </c>
    </row>
    <row r="6542" spans="1:16" x14ac:dyDescent="0.25">
      <c r="A6542" s="28" t="s">
        <v>32256</v>
      </c>
      <c r="B6542" s="28" t="s">
        <v>32257</v>
      </c>
      <c r="C6542" s="28" t="s">
        <v>25143</v>
      </c>
      <c r="D6542" s="28" t="s">
        <v>4682</v>
      </c>
      <c r="E6542" s="28" t="s">
        <v>32258</v>
      </c>
      <c r="F6542" s="28" t="s">
        <v>21</v>
      </c>
      <c r="G6542" s="28" t="s">
        <v>39</v>
      </c>
      <c r="H6542" s="28" t="s">
        <v>32244</v>
      </c>
      <c r="I6542" s="28" t="s">
        <v>32259</v>
      </c>
      <c r="J6542" s="28" t="s">
        <v>39</v>
      </c>
      <c r="K6542" s="28" t="s">
        <v>32246</v>
      </c>
      <c r="L6542" s="28" t="s">
        <v>32247</v>
      </c>
      <c r="M6542" s="28" t="s">
        <v>32260</v>
      </c>
      <c r="N6542" s="28" t="s">
        <v>32249</v>
      </c>
      <c r="O6542" s="28" t="s">
        <v>32250</v>
      </c>
      <c r="P6542" s="28" t="s">
        <v>32251</v>
      </c>
    </row>
    <row r="6543" spans="1:16" x14ac:dyDescent="0.25">
      <c r="A6543" s="28" t="s">
        <v>32261</v>
      </c>
      <c r="B6543" s="28" t="s">
        <v>32262</v>
      </c>
      <c r="C6543" s="28" t="s">
        <v>25143</v>
      </c>
      <c r="D6543" s="28" t="s">
        <v>4837</v>
      </c>
      <c r="E6543" s="28" t="s">
        <v>32263</v>
      </c>
      <c r="F6543" s="28" t="s">
        <v>21</v>
      </c>
      <c r="G6543" s="28" t="s">
        <v>39</v>
      </c>
      <c r="H6543" s="28" t="s">
        <v>32244</v>
      </c>
      <c r="I6543" s="28" t="s">
        <v>32264</v>
      </c>
      <c r="J6543" s="28" t="s">
        <v>39</v>
      </c>
      <c r="K6543" s="28" t="s">
        <v>32246</v>
      </c>
      <c r="L6543" s="28" t="s">
        <v>32247</v>
      </c>
      <c r="M6543" s="28" t="s">
        <v>32265</v>
      </c>
      <c r="N6543" s="28" t="s">
        <v>32249</v>
      </c>
      <c r="O6543" s="28" t="s">
        <v>32250</v>
      </c>
      <c r="P6543" s="28" t="s">
        <v>32251</v>
      </c>
    </row>
    <row r="6544" spans="1:16" x14ac:dyDescent="0.25">
      <c r="A6544" s="28" t="s">
        <v>32266</v>
      </c>
      <c r="B6544" s="28" t="s">
        <v>32267</v>
      </c>
      <c r="C6544" s="28" t="s">
        <v>25143</v>
      </c>
      <c r="D6544" s="28" t="s">
        <v>4837</v>
      </c>
      <c r="E6544" s="28" t="s">
        <v>4838</v>
      </c>
      <c r="F6544" s="28" t="s">
        <v>21</v>
      </c>
      <c r="G6544" s="28" t="s">
        <v>39</v>
      </c>
      <c r="H6544" s="28" t="s">
        <v>32244</v>
      </c>
      <c r="I6544" s="28" t="s">
        <v>32268</v>
      </c>
      <c r="J6544" s="28" t="s">
        <v>39</v>
      </c>
      <c r="K6544" s="28" t="s">
        <v>32246</v>
      </c>
      <c r="L6544" s="28" t="s">
        <v>32247</v>
      </c>
      <c r="M6544" s="28" t="s">
        <v>32269</v>
      </c>
      <c r="N6544" s="28" t="s">
        <v>32249</v>
      </c>
      <c r="O6544" s="28" t="s">
        <v>32250</v>
      </c>
      <c r="P6544" s="28" t="s">
        <v>32251</v>
      </c>
    </row>
    <row r="6545" spans="1:16" x14ac:dyDescent="0.25">
      <c r="A6545" s="28" t="s">
        <v>32270</v>
      </c>
      <c r="B6545" s="28" t="s">
        <v>32271</v>
      </c>
      <c r="C6545" s="28" t="s">
        <v>25143</v>
      </c>
      <c r="D6545" s="28" t="s">
        <v>4837</v>
      </c>
      <c r="E6545" s="28" t="s">
        <v>32272</v>
      </c>
      <c r="F6545" s="28" t="s">
        <v>21</v>
      </c>
      <c r="G6545" s="28" t="s">
        <v>39</v>
      </c>
      <c r="H6545" s="28" t="s">
        <v>32244</v>
      </c>
      <c r="I6545" s="28" t="s">
        <v>32273</v>
      </c>
      <c r="J6545" s="28" t="s">
        <v>39</v>
      </c>
      <c r="K6545" s="28" t="s">
        <v>32246</v>
      </c>
      <c r="L6545" s="28" t="s">
        <v>32247</v>
      </c>
      <c r="M6545" s="28" t="s">
        <v>32274</v>
      </c>
      <c r="N6545" s="28" t="s">
        <v>32249</v>
      </c>
      <c r="O6545" s="28" t="s">
        <v>32250</v>
      </c>
      <c r="P6545" s="28" t="s">
        <v>32251</v>
      </c>
    </row>
    <row r="6546" spans="1:16" x14ac:dyDescent="0.25">
      <c r="A6546" s="28" t="s">
        <v>32275</v>
      </c>
      <c r="B6546" s="28" t="s">
        <v>32276</v>
      </c>
      <c r="C6546" s="28" t="s">
        <v>25143</v>
      </c>
      <c r="D6546" s="28" t="s">
        <v>4837</v>
      </c>
      <c r="E6546" s="28" t="s">
        <v>32277</v>
      </c>
      <c r="F6546" s="28" t="s">
        <v>21</v>
      </c>
      <c r="G6546" s="28" t="s">
        <v>39</v>
      </c>
      <c r="H6546" s="28" t="s">
        <v>32244</v>
      </c>
      <c r="I6546" s="28" t="s">
        <v>32278</v>
      </c>
      <c r="J6546" s="28" t="s">
        <v>39</v>
      </c>
      <c r="K6546" s="28" t="s">
        <v>32246</v>
      </c>
      <c r="L6546" s="28" t="s">
        <v>32247</v>
      </c>
      <c r="M6546" s="28" t="s">
        <v>32279</v>
      </c>
      <c r="N6546" s="28" t="s">
        <v>32249</v>
      </c>
      <c r="O6546" s="28" t="s">
        <v>32250</v>
      </c>
      <c r="P6546" s="28" t="s">
        <v>32251</v>
      </c>
    </row>
    <row r="6547" spans="1:16" x14ac:dyDescent="0.25">
      <c r="A6547" s="28" t="s">
        <v>32280</v>
      </c>
      <c r="B6547" s="28" t="s">
        <v>32281</v>
      </c>
      <c r="C6547" s="28" t="s">
        <v>25143</v>
      </c>
      <c r="D6547" s="28" t="s">
        <v>62</v>
      </c>
      <c r="E6547" s="28" t="s">
        <v>12061</v>
      </c>
      <c r="F6547" s="28" t="s">
        <v>21</v>
      </c>
      <c r="G6547" s="28" t="s">
        <v>39</v>
      </c>
      <c r="H6547" s="28" t="s">
        <v>32244</v>
      </c>
      <c r="I6547" s="28" t="s">
        <v>32282</v>
      </c>
      <c r="J6547" s="28" t="s">
        <v>39</v>
      </c>
      <c r="K6547" s="28" t="s">
        <v>32246</v>
      </c>
      <c r="L6547" s="28" t="s">
        <v>32247</v>
      </c>
      <c r="M6547" s="28" t="s">
        <v>32283</v>
      </c>
      <c r="N6547" s="28" t="s">
        <v>32249</v>
      </c>
      <c r="O6547" s="28" t="s">
        <v>32250</v>
      </c>
      <c r="P6547" s="28" t="s">
        <v>32251</v>
      </c>
    </row>
    <row r="6548" spans="1:16" x14ac:dyDescent="0.25">
      <c r="A6548" s="28" t="s">
        <v>32284</v>
      </c>
      <c r="B6548" s="28" t="s">
        <v>32285</v>
      </c>
      <c r="C6548" s="28" t="s">
        <v>25143</v>
      </c>
      <c r="D6548" s="28" t="s">
        <v>2287</v>
      </c>
      <c r="E6548" s="28" t="s">
        <v>2288</v>
      </c>
      <c r="F6548" s="28" t="s">
        <v>21</v>
      </c>
      <c r="G6548" s="28" t="s">
        <v>135</v>
      </c>
      <c r="H6548" s="28" t="s">
        <v>32244</v>
      </c>
      <c r="I6548" s="28" t="s">
        <v>32286</v>
      </c>
      <c r="J6548" s="28" t="s">
        <v>135</v>
      </c>
      <c r="K6548" s="28" t="s">
        <v>32287</v>
      </c>
      <c r="L6548" s="28" t="s">
        <v>32247</v>
      </c>
      <c r="M6548" s="28" t="s">
        <v>32288</v>
      </c>
      <c r="N6548" s="28" t="s">
        <v>32249</v>
      </c>
      <c r="O6548" s="28" t="s">
        <v>32250</v>
      </c>
      <c r="P6548" s="28" t="s">
        <v>32289</v>
      </c>
    </row>
    <row r="6549" spans="1:16" x14ac:dyDescent="0.25">
      <c r="A6549" s="28" t="s">
        <v>32290</v>
      </c>
      <c r="B6549" s="28" t="s">
        <v>32291</v>
      </c>
      <c r="C6549" s="28" t="s">
        <v>25143</v>
      </c>
      <c r="D6549" s="28" t="s">
        <v>2287</v>
      </c>
      <c r="E6549" s="28" t="s">
        <v>2288</v>
      </c>
      <c r="F6549" s="28" t="s">
        <v>21</v>
      </c>
      <c r="G6549" s="28" t="s">
        <v>135</v>
      </c>
      <c r="H6549" s="28" t="s">
        <v>32244</v>
      </c>
      <c r="I6549" s="28" t="s">
        <v>32292</v>
      </c>
      <c r="J6549" s="28" t="s">
        <v>135</v>
      </c>
      <c r="K6549" s="28" t="s">
        <v>32287</v>
      </c>
      <c r="L6549" s="28" t="s">
        <v>32247</v>
      </c>
      <c r="M6549" s="28" t="s">
        <v>32293</v>
      </c>
      <c r="N6549" s="28" t="s">
        <v>32249</v>
      </c>
      <c r="O6549" s="28" t="s">
        <v>32250</v>
      </c>
      <c r="P6549" s="28" t="s">
        <v>32289</v>
      </c>
    </row>
    <row r="6550" spans="1:16" x14ac:dyDescent="0.25">
      <c r="A6550" s="28" t="s">
        <v>32294</v>
      </c>
      <c r="B6550" s="28" t="s">
        <v>32295</v>
      </c>
      <c r="C6550" s="28" t="s">
        <v>25143</v>
      </c>
      <c r="D6550" s="28" t="s">
        <v>120</v>
      </c>
      <c r="E6550" s="28" t="s">
        <v>923</v>
      </c>
      <c r="F6550" s="28" t="s">
        <v>21</v>
      </c>
      <c r="G6550" s="28" t="s">
        <v>39</v>
      </c>
      <c r="H6550" s="28" t="s">
        <v>32244</v>
      </c>
      <c r="I6550" s="28" t="s">
        <v>32296</v>
      </c>
      <c r="J6550" s="28" t="s">
        <v>39</v>
      </c>
      <c r="K6550" s="28" t="s">
        <v>32246</v>
      </c>
      <c r="L6550" s="28" t="s">
        <v>32247</v>
      </c>
      <c r="M6550" s="28" t="s">
        <v>32297</v>
      </c>
      <c r="N6550" s="28" t="s">
        <v>32249</v>
      </c>
      <c r="O6550" s="28" t="s">
        <v>32250</v>
      </c>
      <c r="P6550" s="28" t="s">
        <v>32251</v>
      </c>
    </row>
    <row r="6551" spans="1:16" x14ac:dyDescent="0.25">
      <c r="A6551" s="28" t="s">
        <v>32298</v>
      </c>
      <c r="B6551" s="28" t="s">
        <v>32299</v>
      </c>
      <c r="C6551" s="28" t="s">
        <v>25143</v>
      </c>
      <c r="D6551" s="28" t="s">
        <v>120</v>
      </c>
      <c r="E6551" s="28" t="s">
        <v>923</v>
      </c>
      <c r="F6551" s="28" t="s">
        <v>21</v>
      </c>
      <c r="G6551" s="28" t="s">
        <v>39</v>
      </c>
      <c r="H6551" s="28" t="s">
        <v>32244</v>
      </c>
      <c r="I6551" s="28" t="s">
        <v>32300</v>
      </c>
      <c r="J6551" s="28" t="s">
        <v>39</v>
      </c>
      <c r="K6551" s="28" t="s">
        <v>32246</v>
      </c>
      <c r="L6551" s="28" t="s">
        <v>32247</v>
      </c>
      <c r="M6551" s="28" t="s">
        <v>32301</v>
      </c>
      <c r="N6551" s="28" t="s">
        <v>32249</v>
      </c>
      <c r="O6551" s="28" t="s">
        <v>32250</v>
      </c>
      <c r="P6551" s="28" t="s">
        <v>32251</v>
      </c>
    </row>
    <row r="6552" spans="1:16" x14ac:dyDescent="0.25">
      <c r="A6552" s="28" t="s">
        <v>32302</v>
      </c>
      <c r="B6552" s="28" t="s">
        <v>32303</v>
      </c>
      <c r="C6552" s="28" t="s">
        <v>25143</v>
      </c>
      <c r="D6552" s="28" t="s">
        <v>120</v>
      </c>
      <c r="E6552" s="28" t="s">
        <v>121</v>
      </c>
      <c r="F6552" s="28" t="s">
        <v>21</v>
      </c>
      <c r="G6552" s="28" t="s">
        <v>207</v>
      </c>
      <c r="H6552" s="28" t="s">
        <v>32244</v>
      </c>
      <c r="I6552" s="28" t="s">
        <v>32304</v>
      </c>
      <c r="J6552" s="28" t="s">
        <v>207</v>
      </c>
      <c r="K6552" s="28" t="s">
        <v>32305</v>
      </c>
      <c r="L6552" s="28" t="s">
        <v>32247</v>
      </c>
      <c r="M6552" s="28" t="s">
        <v>32306</v>
      </c>
      <c r="N6552" s="28" t="s">
        <v>32249</v>
      </c>
      <c r="O6552" s="28" t="s">
        <v>32250</v>
      </c>
      <c r="P6552" s="28" t="s">
        <v>32307</v>
      </c>
    </row>
    <row r="6553" spans="1:16" x14ac:dyDescent="0.25">
      <c r="A6553" s="28" t="s">
        <v>32308</v>
      </c>
      <c r="B6553" s="28" t="s">
        <v>32309</v>
      </c>
      <c r="C6553" s="28" t="s">
        <v>25143</v>
      </c>
      <c r="D6553" s="28" t="s">
        <v>120</v>
      </c>
      <c r="E6553" s="28" t="s">
        <v>121</v>
      </c>
      <c r="F6553" s="28" t="s">
        <v>21</v>
      </c>
      <c r="G6553" s="28" t="s">
        <v>207</v>
      </c>
      <c r="H6553" s="28" t="s">
        <v>32244</v>
      </c>
      <c r="I6553" s="28" t="s">
        <v>32310</v>
      </c>
      <c r="J6553" s="28" t="s">
        <v>207</v>
      </c>
      <c r="K6553" s="28" t="s">
        <v>32305</v>
      </c>
      <c r="L6553" s="28" t="s">
        <v>32247</v>
      </c>
      <c r="M6553" s="28" t="s">
        <v>32311</v>
      </c>
      <c r="N6553" s="28" t="s">
        <v>32249</v>
      </c>
      <c r="O6553" s="28" t="s">
        <v>32250</v>
      </c>
      <c r="P6553" s="28" t="s">
        <v>32312</v>
      </c>
    </row>
    <row r="6554" spans="1:16" x14ac:dyDescent="0.25">
      <c r="A6554" s="28" t="s">
        <v>32313</v>
      </c>
      <c r="B6554" s="28" t="s">
        <v>32314</v>
      </c>
      <c r="C6554" s="28" t="s">
        <v>25143</v>
      </c>
      <c r="D6554" s="28" t="s">
        <v>120</v>
      </c>
      <c r="E6554" s="28" t="s">
        <v>121</v>
      </c>
      <c r="F6554" s="28" t="s">
        <v>21</v>
      </c>
      <c r="G6554" s="28" t="s">
        <v>207</v>
      </c>
      <c r="H6554" s="28" t="s">
        <v>32244</v>
      </c>
      <c r="I6554" s="28" t="s">
        <v>32315</v>
      </c>
      <c r="J6554" s="28" t="s">
        <v>207</v>
      </c>
      <c r="K6554" s="28" t="s">
        <v>32305</v>
      </c>
      <c r="L6554" s="28" t="s">
        <v>32247</v>
      </c>
      <c r="M6554" s="28" t="s">
        <v>32316</v>
      </c>
      <c r="N6554" s="28" t="s">
        <v>32249</v>
      </c>
      <c r="O6554" s="28" t="s">
        <v>32250</v>
      </c>
      <c r="P6554" s="28" t="s">
        <v>32317</v>
      </c>
    </row>
    <row r="6555" spans="1:16" x14ac:dyDescent="0.25">
      <c r="A6555" s="28" t="s">
        <v>32318</v>
      </c>
      <c r="B6555" s="28" t="s">
        <v>32319</v>
      </c>
      <c r="C6555" s="28" t="s">
        <v>25143</v>
      </c>
      <c r="D6555" s="28" t="s">
        <v>120</v>
      </c>
      <c r="E6555" s="28" t="s">
        <v>121</v>
      </c>
      <c r="F6555" s="28" t="s">
        <v>21</v>
      </c>
      <c r="G6555" s="28" t="s">
        <v>207</v>
      </c>
      <c r="H6555" s="28" t="s">
        <v>32244</v>
      </c>
      <c r="I6555" s="28" t="s">
        <v>32320</v>
      </c>
      <c r="J6555" s="28" t="s">
        <v>207</v>
      </c>
      <c r="K6555" s="28" t="s">
        <v>32305</v>
      </c>
      <c r="L6555" s="28" t="s">
        <v>32247</v>
      </c>
      <c r="M6555" s="28" t="s">
        <v>32321</v>
      </c>
      <c r="N6555" s="28" t="s">
        <v>32249</v>
      </c>
      <c r="O6555" s="28" t="s">
        <v>32250</v>
      </c>
      <c r="P6555" s="28" t="s">
        <v>32322</v>
      </c>
    </row>
    <row r="6556" spans="1:16" x14ac:dyDescent="0.25">
      <c r="A6556" s="28" t="s">
        <v>32323</v>
      </c>
      <c r="B6556" s="28" t="s">
        <v>32324</v>
      </c>
      <c r="C6556" s="28" t="s">
        <v>25143</v>
      </c>
      <c r="D6556" s="28" t="s">
        <v>120</v>
      </c>
      <c r="E6556" s="28" t="s">
        <v>121</v>
      </c>
      <c r="F6556" s="28" t="s">
        <v>21</v>
      </c>
      <c r="G6556" s="28" t="s">
        <v>207</v>
      </c>
      <c r="H6556" s="28" t="s">
        <v>32244</v>
      </c>
      <c r="I6556" s="28" t="s">
        <v>32325</v>
      </c>
      <c r="J6556" s="28" t="s">
        <v>207</v>
      </c>
      <c r="K6556" s="28" t="s">
        <v>32305</v>
      </c>
      <c r="L6556" s="28" t="s">
        <v>32247</v>
      </c>
      <c r="M6556" s="28" t="s">
        <v>32326</v>
      </c>
      <c r="N6556" s="28" t="s">
        <v>32249</v>
      </c>
      <c r="O6556" s="28" t="s">
        <v>32250</v>
      </c>
      <c r="P6556" s="28" t="s">
        <v>32327</v>
      </c>
    </row>
    <row r="6557" spans="1:16" x14ac:dyDescent="0.25">
      <c r="A6557" s="28" t="s">
        <v>32328</v>
      </c>
      <c r="B6557" s="28" t="s">
        <v>32329</v>
      </c>
      <c r="C6557" s="28" t="s">
        <v>25143</v>
      </c>
      <c r="D6557" s="28" t="s">
        <v>120</v>
      </c>
      <c r="E6557" s="28" t="s">
        <v>121</v>
      </c>
      <c r="F6557" s="28" t="s">
        <v>21</v>
      </c>
      <c r="G6557" s="28" t="s">
        <v>207</v>
      </c>
      <c r="H6557" s="28" t="s">
        <v>32244</v>
      </c>
      <c r="I6557" s="28" t="s">
        <v>32330</v>
      </c>
      <c r="J6557" s="28" t="s">
        <v>207</v>
      </c>
      <c r="K6557" s="28" t="s">
        <v>32305</v>
      </c>
      <c r="L6557" s="28" t="s">
        <v>32247</v>
      </c>
      <c r="M6557" s="28" t="s">
        <v>32331</v>
      </c>
      <c r="N6557" s="28" t="s">
        <v>32249</v>
      </c>
      <c r="O6557" s="28" t="s">
        <v>32250</v>
      </c>
      <c r="P6557" s="28" t="s">
        <v>32332</v>
      </c>
    </row>
    <row r="6558" spans="1:16" x14ac:dyDescent="0.25">
      <c r="A6558" s="28" t="s">
        <v>32333</v>
      </c>
      <c r="B6558" s="28" t="s">
        <v>32334</v>
      </c>
      <c r="C6558" s="28" t="s">
        <v>25143</v>
      </c>
      <c r="D6558" s="28" t="s">
        <v>120</v>
      </c>
      <c r="E6558" s="28" t="s">
        <v>121</v>
      </c>
      <c r="F6558" s="28" t="s">
        <v>21</v>
      </c>
      <c r="G6558" s="28" t="s">
        <v>207</v>
      </c>
      <c r="H6558" s="28" t="s">
        <v>32244</v>
      </c>
      <c r="I6558" s="28" t="s">
        <v>32335</v>
      </c>
      <c r="J6558" s="28" t="s">
        <v>207</v>
      </c>
      <c r="K6558" s="28" t="s">
        <v>32305</v>
      </c>
      <c r="L6558" s="28" t="s">
        <v>32247</v>
      </c>
      <c r="M6558" s="28" t="s">
        <v>32336</v>
      </c>
      <c r="N6558" s="28" t="s">
        <v>32249</v>
      </c>
      <c r="O6558" s="28" t="s">
        <v>32250</v>
      </c>
      <c r="P6558" s="28" t="s">
        <v>32337</v>
      </c>
    </row>
    <row r="6559" spans="1:16" x14ac:dyDescent="0.25">
      <c r="A6559" s="28" t="s">
        <v>32338</v>
      </c>
      <c r="B6559" s="28" t="s">
        <v>32339</v>
      </c>
      <c r="C6559" s="28" t="s">
        <v>25143</v>
      </c>
      <c r="D6559" s="28" t="s">
        <v>120</v>
      </c>
      <c r="E6559" s="28" t="s">
        <v>121</v>
      </c>
      <c r="F6559" s="28" t="s">
        <v>21</v>
      </c>
      <c r="G6559" s="28" t="s">
        <v>207</v>
      </c>
      <c r="H6559" s="28" t="s">
        <v>32244</v>
      </c>
      <c r="I6559" s="28" t="s">
        <v>32340</v>
      </c>
      <c r="J6559" s="28" t="s">
        <v>207</v>
      </c>
      <c r="K6559" s="28" t="s">
        <v>32305</v>
      </c>
      <c r="L6559" s="28" t="s">
        <v>32247</v>
      </c>
      <c r="M6559" s="28" t="s">
        <v>32341</v>
      </c>
      <c r="N6559" s="28" t="s">
        <v>32249</v>
      </c>
      <c r="O6559" s="28" t="s">
        <v>32250</v>
      </c>
      <c r="P6559" s="28" t="s">
        <v>32342</v>
      </c>
    </row>
    <row r="6560" spans="1:16" x14ac:dyDescent="0.25">
      <c r="A6560" s="28" t="s">
        <v>32343</v>
      </c>
      <c r="B6560" s="28" t="s">
        <v>32344</v>
      </c>
      <c r="C6560" s="28" t="s">
        <v>25143</v>
      </c>
      <c r="D6560" s="28" t="s">
        <v>120</v>
      </c>
      <c r="E6560" s="28" t="s">
        <v>121</v>
      </c>
      <c r="F6560" s="28" t="s">
        <v>21</v>
      </c>
      <c r="G6560" s="28" t="s">
        <v>207</v>
      </c>
      <c r="H6560" s="28" t="s">
        <v>32244</v>
      </c>
      <c r="I6560" s="28" t="s">
        <v>32345</v>
      </c>
      <c r="J6560" s="28" t="s">
        <v>207</v>
      </c>
      <c r="K6560" s="28" t="s">
        <v>32305</v>
      </c>
      <c r="L6560" s="28" t="s">
        <v>32247</v>
      </c>
      <c r="M6560" s="28" t="s">
        <v>32346</v>
      </c>
      <c r="N6560" s="28" t="s">
        <v>32249</v>
      </c>
      <c r="O6560" s="28" t="s">
        <v>32250</v>
      </c>
      <c r="P6560" s="28" t="s">
        <v>32347</v>
      </c>
    </row>
    <row r="6561" spans="1:16" x14ac:dyDescent="0.25">
      <c r="A6561" s="28" t="s">
        <v>32348</v>
      </c>
      <c r="B6561" s="28" t="s">
        <v>32349</v>
      </c>
      <c r="C6561" s="28" t="s">
        <v>25143</v>
      </c>
      <c r="D6561" s="28" t="s">
        <v>120</v>
      </c>
      <c r="E6561" s="28" t="s">
        <v>121</v>
      </c>
      <c r="F6561" s="28" t="s">
        <v>21</v>
      </c>
      <c r="G6561" s="28" t="s">
        <v>207</v>
      </c>
      <c r="H6561" s="28" t="s">
        <v>32244</v>
      </c>
      <c r="I6561" s="28" t="s">
        <v>32350</v>
      </c>
      <c r="J6561" s="28" t="s">
        <v>207</v>
      </c>
      <c r="K6561" s="28" t="s">
        <v>32305</v>
      </c>
      <c r="L6561" s="28" t="s">
        <v>32247</v>
      </c>
      <c r="M6561" s="28" t="s">
        <v>32351</v>
      </c>
      <c r="N6561" s="28" t="s">
        <v>32249</v>
      </c>
      <c r="O6561" s="28" t="s">
        <v>32250</v>
      </c>
      <c r="P6561" s="28" t="s">
        <v>32352</v>
      </c>
    </row>
    <row r="6562" spans="1:16" x14ac:dyDescent="0.25">
      <c r="A6562" s="28" t="s">
        <v>32353</v>
      </c>
      <c r="B6562" s="28" t="s">
        <v>32354</v>
      </c>
      <c r="C6562" s="28" t="s">
        <v>25143</v>
      </c>
      <c r="D6562" s="28" t="s">
        <v>120</v>
      </c>
      <c r="E6562" s="28" t="s">
        <v>121</v>
      </c>
      <c r="F6562" s="28" t="s">
        <v>21</v>
      </c>
      <c r="G6562" s="28" t="s">
        <v>207</v>
      </c>
      <c r="H6562" s="28" t="s">
        <v>32244</v>
      </c>
      <c r="I6562" s="28" t="s">
        <v>32355</v>
      </c>
      <c r="J6562" s="28" t="s">
        <v>207</v>
      </c>
      <c r="K6562" s="28" t="s">
        <v>32305</v>
      </c>
      <c r="L6562" s="28" t="s">
        <v>32247</v>
      </c>
      <c r="M6562" s="28" t="s">
        <v>32356</v>
      </c>
      <c r="N6562" s="28" t="s">
        <v>32249</v>
      </c>
      <c r="O6562" s="28" t="s">
        <v>32250</v>
      </c>
      <c r="P6562" s="28" t="s">
        <v>32357</v>
      </c>
    </row>
    <row r="6563" spans="1:16" x14ac:dyDescent="0.25">
      <c r="A6563" s="28" t="s">
        <v>32358</v>
      </c>
      <c r="B6563" s="28" t="s">
        <v>32359</v>
      </c>
      <c r="C6563" s="28" t="s">
        <v>25143</v>
      </c>
      <c r="D6563" s="28" t="s">
        <v>5328</v>
      </c>
      <c r="E6563" s="28" t="s">
        <v>32360</v>
      </c>
      <c r="F6563" s="28" t="s">
        <v>21</v>
      </c>
      <c r="G6563" s="28" t="s">
        <v>39</v>
      </c>
      <c r="H6563" s="28" t="s">
        <v>32244</v>
      </c>
      <c r="I6563" s="28" t="s">
        <v>32361</v>
      </c>
      <c r="J6563" s="28" t="s">
        <v>39</v>
      </c>
      <c r="K6563" s="28" t="s">
        <v>32246</v>
      </c>
      <c r="L6563" s="28" t="s">
        <v>32247</v>
      </c>
      <c r="M6563" s="28" t="s">
        <v>32362</v>
      </c>
      <c r="N6563" s="28" t="s">
        <v>32249</v>
      </c>
      <c r="O6563" s="28" t="s">
        <v>32250</v>
      </c>
      <c r="P6563" s="28" t="s">
        <v>32251</v>
      </c>
    </row>
    <row r="6564" spans="1:16" x14ac:dyDescent="0.25">
      <c r="A6564" s="28" t="s">
        <v>32363</v>
      </c>
      <c r="B6564" s="28" t="s">
        <v>32364</v>
      </c>
      <c r="C6564" s="28" t="s">
        <v>25143</v>
      </c>
      <c r="D6564" s="28" t="s">
        <v>5328</v>
      </c>
      <c r="E6564" s="28" t="s">
        <v>32365</v>
      </c>
      <c r="F6564" s="28" t="s">
        <v>21</v>
      </c>
      <c r="G6564" s="28" t="s">
        <v>39</v>
      </c>
      <c r="H6564" s="28" t="s">
        <v>32244</v>
      </c>
      <c r="I6564" s="28" t="s">
        <v>32366</v>
      </c>
      <c r="J6564" s="28" t="s">
        <v>39</v>
      </c>
      <c r="K6564" s="28" t="s">
        <v>32246</v>
      </c>
      <c r="L6564" s="28" t="s">
        <v>32247</v>
      </c>
      <c r="M6564" s="28" t="s">
        <v>32367</v>
      </c>
      <c r="N6564" s="28" t="s">
        <v>32249</v>
      </c>
      <c r="O6564" s="28" t="s">
        <v>32250</v>
      </c>
      <c r="P6564" s="28" t="s">
        <v>32251</v>
      </c>
    </row>
    <row r="6565" spans="1:16" x14ac:dyDescent="0.25">
      <c r="A6565" s="28" t="s">
        <v>32368</v>
      </c>
      <c r="B6565" s="28" t="s">
        <v>32369</v>
      </c>
      <c r="C6565" s="28" t="s">
        <v>25143</v>
      </c>
      <c r="D6565" s="28" t="s">
        <v>5328</v>
      </c>
      <c r="E6565" s="28" t="s">
        <v>32370</v>
      </c>
      <c r="F6565" s="28" t="s">
        <v>21</v>
      </c>
      <c r="G6565" s="28" t="s">
        <v>39</v>
      </c>
      <c r="H6565" s="28" t="s">
        <v>32244</v>
      </c>
      <c r="I6565" s="28" t="s">
        <v>32371</v>
      </c>
      <c r="J6565" s="28" t="s">
        <v>39</v>
      </c>
      <c r="K6565" s="28" t="s">
        <v>32246</v>
      </c>
      <c r="L6565" s="28" t="s">
        <v>32247</v>
      </c>
      <c r="M6565" s="28" t="s">
        <v>32372</v>
      </c>
      <c r="N6565" s="28" t="s">
        <v>32249</v>
      </c>
      <c r="O6565" s="28" t="s">
        <v>32250</v>
      </c>
      <c r="P6565" s="28" t="s">
        <v>32251</v>
      </c>
    </row>
    <row r="6566" spans="1:16" x14ac:dyDescent="0.25">
      <c r="A6566" s="28" t="s">
        <v>32373</v>
      </c>
      <c r="B6566" s="28" t="s">
        <v>32374</v>
      </c>
      <c r="C6566" s="28" t="s">
        <v>25143</v>
      </c>
      <c r="D6566" s="28" t="s">
        <v>5328</v>
      </c>
      <c r="E6566" s="28" t="s">
        <v>32375</v>
      </c>
      <c r="F6566" s="28" t="s">
        <v>21</v>
      </c>
      <c r="G6566" s="28" t="s">
        <v>39</v>
      </c>
      <c r="H6566" s="28" t="s">
        <v>32244</v>
      </c>
      <c r="I6566" s="28" t="s">
        <v>32376</v>
      </c>
      <c r="J6566" s="28" t="s">
        <v>39</v>
      </c>
      <c r="K6566" s="28" t="s">
        <v>32246</v>
      </c>
      <c r="L6566" s="28" t="s">
        <v>32247</v>
      </c>
      <c r="M6566" s="28" t="s">
        <v>32377</v>
      </c>
      <c r="N6566" s="28" t="s">
        <v>32249</v>
      </c>
      <c r="O6566" s="28" t="s">
        <v>32250</v>
      </c>
      <c r="P6566" s="28" t="s">
        <v>32251</v>
      </c>
    </row>
    <row r="6567" spans="1:16" x14ac:dyDescent="0.25">
      <c r="A6567" s="28" t="s">
        <v>32378</v>
      </c>
      <c r="B6567" s="28" t="s">
        <v>32379</v>
      </c>
      <c r="C6567" s="28" t="s">
        <v>25143</v>
      </c>
      <c r="D6567" s="28" t="s">
        <v>5328</v>
      </c>
      <c r="E6567" s="28" t="s">
        <v>32380</v>
      </c>
      <c r="F6567" s="28" t="s">
        <v>21</v>
      </c>
      <c r="G6567" s="28" t="s">
        <v>39</v>
      </c>
      <c r="H6567" s="28" t="s">
        <v>32244</v>
      </c>
      <c r="I6567" s="28" t="s">
        <v>32381</v>
      </c>
      <c r="J6567" s="28" t="s">
        <v>39</v>
      </c>
      <c r="K6567" s="28" t="s">
        <v>32246</v>
      </c>
      <c r="L6567" s="28" t="s">
        <v>32247</v>
      </c>
      <c r="M6567" s="28" t="s">
        <v>32382</v>
      </c>
      <c r="N6567" s="28" t="s">
        <v>32249</v>
      </c>
      <c r="O6567" s="28" t="s">
        <v>32250</v>
      </c>
      <c r="P6567" s="28" t="s">
        <v>32251</v>
      </c>
    </row>
    <row r="6568" spans="1:16" x14ac:dyDescent="0.25">
      <c r="A6568" s="28" t="s">
        <v>32383</v>
      </c>
      <c r="B6568" s="28" t="s">
        <v>32384</v>
      </c>
      <c r="C6568" s="28" t="s">
        <v>25143</v>
      </c>
      <c r="D6568" s="28" t="s">
        <v>5328</v>
      </c>
      <c r="E6568" s="28" t="s">
        <v>32385</v>
      </c>
      <c r="F6568" s="28" t="s">
        <v>21</v>
      </c>
      <c r="G6568" s="28" t="s">
        <v>39</v>
      </c>
      <c r="H6568" s="28" t="s">
        <v>32244</v>
      </c>
      <c r="I6568" s="28" t="s">
        <v>32386</v>
      </c>
      <c r="J6568" s="28" t="s">
        <v>39</v>
      </c>
      <c r="K6568" s="28" t="s">
        <v>32246</v>
      </c>
      <c r="L6568" s="28" t="s">
        <v>32247</v>
      </c>
      <c r="M6568" s="28" t="s">
        <v>32387</v>
      </c>
      <c r="N6568" s="28" t="s">
        <v>32249</v>
      </c>
      <c r="O6568" s="28" t="s">
        <v>32250</v>
      </c>
      <c r="P6568" s="28" t="s">
        <v>32251</v>
      </c>
    </row>
    <row r="6569" spans="1:16" x14ac:dyDescent="0.25">
      <c r="A6569" s="28" t="s">
        <v>32388</v>
      </c>
      <c r="B6569" s="28" t="s">
        <v>32389</v>
      </c>
      <c r="C6569" s="28" t="s">
        <v>25143</v>
      </c>
      <c r="D6569" s="28" t="s">
        <v>5328</v>
      </c>
      <c r="E6569" s="28" t="s">
        <v>32390</v>
      </c>
      <c r="F6569" s="28" t="s">
        <v>21</v>
      </c>
      <c r="G6569" s="28" t="s">
        <v>39</v>
      </c>
      <c r="H6569" s="28" t="s">
        <v>32244</v>
      </c>
      <c r="I6569" s="28" t="s">
        <v>32391</v>
      </c>
      <c r="J6569" s="28" t="s">
        <v>39</v>
      </c>
      <c r="K6569" s="28" t="s">
        <v>32246</v>
      </c>
      <c r="L6569" s="28" t="s">
        <v>32247</v>
      </c>
      <c r="M6569" s="28" t="s">
        <v>32392</v>
      </c>
      <c r="N6569" s="28" t="s">
        <v>32249</v>
      </c>
      <c r="O6569" s="28" t="s">
        <v>32250</v>
      </c>
      <c r="P6569" s="28" t="s">
        <v>32251</v>
      </c>
    </row>
    <row r="6570" spans="1:16" x14ac:dyDescent="0.25">
      <c r="A6570" s="28" t="s">
        <v>32393</v>
      </c>
      <c r="B6570" s="28" t="s">
        <v>32394</v>
      </c>
      <c r="C6570" s="28" t="s">
        <v>25143</v>
      </c>
      <c r="D6570" s="28" t="s">
        <v>5328</v>
      </c>
      <c r="E6570" s="28" t="s">
        <v>32395</v>
      </c>
      <c r="F6570" s="28" t="s">
        <v>21</v>
      </c>
      <c r="G6570" s="28" t="s">
        <v>39</v>
      </c>
      <c r="H6570" s="28" t="s">
        <v>32244</v>
      </c>
      <c r="I6570" s="28" t="s">
        <v>32396</v>
      </c>
      <c r="J6570" s="28" t="s">
        <v>39</v>
      </c>
      <c r="K6570" s="28" t="s">
        <v>32246</v>
      </c>
      <c r="L6570" s="28" t="s">
        <v>32247</v>
      </c>
      <c r="M6570" s="28" t="s">
        <v>32397</v>
      </c>
      <c r="N6570" s="28" t="s">
        <v>32249</v>
      </c>
      <c r="O6570" s="28" t="s">
        <v>32250</v>
      </c>
      <c r="P6570" s="28" t="s">
        <v>32251</v>
      </c>
    </row>
    <row r="6571" spans="1:16" x14ac:dyDescent="0.25">
      <c r="A6571" s="28" t="s">
        <v>32398</v>
      </c>
      <c r="B6571" s="28" t="s">
        <v>32399</v>
      </c>
      <c r="C6571" s="28" t="s">
        <v>25143</v>
      </c>
      <c r="D6571" s="28" t="s">
        <v>5328</v>
      </c>
      <c r="E6571" s="28" t="s">
        <v>32400</v>
      </c>
      <c r="F6571" s="28" t="s">
        <v>21</v>
      </c>
      <c r="G6571" s="28" t="s">
        <v>39</v>
      </c>
      <c r="H6571" s="28" t="s">
        <v>32244</v>
      </c>
      <c r="I6571" s="28" t="s">
        <v>32401</v>
      </c>
      <c r="J6571" s="28" t="s">
        <v>39</v>
      </c>
      <c r="K6571" s="28" t="s">
        <v>32246</v>
      </c>
      <c r="L6571" s="28" t="s">
        <v>32247</v>
      </c>
      <c r="M6571" s="28" t="s">
        <v>32402</v>
      </c>
      <c r="N6571" s="28" t="s">
        <v>32249</v>
      </c>
      <c r="O6571" s="28" t="s">
        <v>32250</v>
      </c>
      <c r="P6571" s="28" t="s">
        <v>32251</v>
      </c>
    </row>
    <row r="6572" spans="1:16" x14ac:dyDescent="0.25">
      <c r="A6572" s="28" t="s">
        <v>32403</v>
      </c>
      <c r="B6572" s="28" t="s">
        <v>32404</v>
      </c>
      <c r="C6572" s="28" t="s">
        <v>25143</v>
      </c>
      <c r="D6572" s="28" t="s">
        <v>5328</v>
      </c>
      <c r="E6572" s="28" t="s">
        <v>32405</v>
      </c>
      <c r="F6572" s="28" t="s">
        <v>21</v>
      </c>
      <c r="G6572" s="28" t="s">
        <v>39</v>
      </c>
      <c r="H6572" s="28" t="s">
        <v>32244</v>
      </c>
      <c r="I6572" s="28" t="s">
        <v>32406</v>
      </c>
      <c r="J6572" s="28" t="s">
        <v>39</v>
      </c>
      <c r="K6572" s="28" t="s">
        <v>32246</v>
      </c>
      <c r="L6572" s="28" t="s">
        <v>32247</v>
      </c>
      <c r="M6572" s="28" t="s">
        <v>32407</v>
      </c>
      <c r="N6572" s="28" t="s">
        <v>32249</v>
      </c>
      <c r="O6572" s="28" t="s">
        <v>32250</v>
      </c>
      <c r="P6572" s="28" t="s">
        <v>32251</v>
      </c>
    </row>
    <row r="6573" spans="1:16" x14ac:dyDescent="0.25">
      <c r="A6573" s="28" t="s">
        <v>32408</v>
      </c>
      <c r="B6573" s="28" t="s">
        <v>32409</v>
      </c>
      <c r="C6573" s="28" t="s">
        <v>25143</v>
      </c>
      <c r="D6573" s="28" t="s">
        <v>89</v>
      </c>
      <c r="E6573" s="28" t="s">
        <v>32410</v>
      </c>
      <c r="F6573" s="28" t="s">
        <v>21</v>
      </c>
      <c r="G6573" s="28" t="s">
        <v>39</v>
      </c>
      <c r="H6573" s="28" t="s">
        <v>32244</v>
      </c>
      <c r="I6573" s="28" t="s">
        <v>32411</v>
      </c>
      <c r="J6573" s="28" t="s">
        <v>39</v>
      </c>
      <c r="K6573" s="28" t="s">
        <v>32246</v>
      </c>
      <c r="L6573" s="28" t="s">
        <v>32247</v>
      </c>
      <c r="M6573" s="28" t="s">
        <v>32412</v>
      </c>
      <c r="N6573" s="28" t="s">
        <v>32249</v>
      </c>
      <c r="O6573" s="28" t="s">
        <v>32250</v>
      </c>
      <c r="P6573" s="28" t="s">
        <v>32251</v>
      </c>
    </row>
    <row r="6574" spans="1:16" x14ac:dyDescent="0.25">
      <c r="A6574" s="28" t="s">
        <v>32413</v>
      </c>
      <c r="B6574" s="28" t="s">
        <v>32414</v>
      </c>
      <c r="C6574" s="28" t="s">
        <v>25143</v>
      </c>
      <c r="D6574" s="28" t="s">
        <v>4101</v>
      </c>
      <c r="E6574" s="28" t="s">
        <v>4102</v>
      </c>
      <c r="F6574" s="28" t="s">
        <v>21</v>
      </c>
      <c r="G6574" s="28" t="s">
        <v>39</v>
      </c>
      <c r="H6574" s="28" t="s">
        <v>32244</v>
      </c>
      <c r="I6574" s="28" t="s">
        <v>32415</v>
      </c>
      <c r="J6574" s="28" t="s">
        <v>39</v>
      </c>
      <c r="K6574" s="28" t="s">
        <v>32246</v>
      </c>
      <c r="L6574" s="28" t="s">
        <v>32247</v>
      </c>
      <c r="M6574" s="28" t="s">
        <v>32416</v>
      </c>
      <c r="N6574" s="28" t="s">
        <v>32249</v>
      </c>
      <c r="O6574" s="28" t="s">
        <v>32250</v>
      </c>
      <c r="P6574" s="28" t="s">
        <v>32251</v>
      </c>
    </row>
    <row r="6575" spans="1:16" x14ac:dyDescent="0.25">
      <c r="A6575" s="28" t="s">
        <v>32417</v>
      </c>
      <c r="B6575" s="28" t="s">
        <v>32418</v>
      </c>
      <c r="C6575" s="28" t="s">
        <v>25143</v>
      </c>
      <c r="D6575" s="28" t="s">
        <v>4101</v>
      </c>
      <c r="E6575" s="28" t="s">
        <v>21312</v>
      </c>
      <c r="F6575" s="28" t="s">
        <v>21</v>
      </c>
      <c r="G6575" s="28" t="s">
        <v>39</v>
      </c>
      <c r="H6575" s="28" t="s">
        <v>32244</v>
      </c>
      <c r="I6575" s="28" t="s">
        <v>32419</v>
      </c>
      <c r="J6575" s="28" t="s">
        <v>39</v>
      </c>
      <c r="K6575" s="28" t="s">
        <v>32246</v>
      </c>
      <c r="L6575" s="28" t="s">
        <v>32247</v>
      </c>
      <c r="M6575" s="28" t="s">
        <v>32420</v>
      </c>
      <c r="N6575" s="28" t="s">
        <v>32249</v>
      </c>
      <c r="O6575" s="28" t="s">
        <v>32250</v>
      </c>
      <c r="P6575" s="28" t="s">
        <v>32251</v>
      </c>
    </row>
    <row r="6576" spans="1:16" x14ac:dyDescent="0.25">
      <c r="A6576" s="28" t="s">
        <v>32421</v>
      </c>
      <c r="B6576" s="28" t="s">
        <v>32422</v>
      </c>
      <c r="C6576" s="28" t="s">
        <v>25143</v>
      </c>
      <c r="D6576" s="28" t="s">
        <v>4101</v>
      </c>
      <c r="E6576" s="28" t="s">
        <v>7383</v>
      </c>
      <c r="F6576" s="28" t="s">
        <v>21</v>
      </c>
      <c r="G6576" s="28" t="s">
        <v>39</v>
      </c>
      <c r="H6576" s="28" t="s">
        <v>32244</v>
      </c>
      <c r="I6576" s="28" t="s">
        <v>32423</v>
      </c>
      <c r="J6576" s="28" t="s">
        <v>39</v>
      </c>
      <c r="K6576" s="28" t="s">
        <v>32246</v>
      </c>
      <c r="L6576" s="28" t="s">
        <v>32247</v>
      </c>
      <c r="M6576" s="28" t="s">
        <v>32424</v>
      </c>
      <c r="N6576" s="28" t="s">
        <v>32249</v>
      </c>
      <c r="O6576" s="28" t="s">
        <v>32250</v>
      </c>
      <c r="P6576" s="28" t="s">
        <v>32251</v>
      </c>
    </row>
    <row r="6577" spans="1:16" x14ac:dyDescent="0.25">
      <c r="A6577" s="28" t="s">
        <v>32425</v>
      </c>
      <c r="B6577" s="28" t="s">
        <v>32426</v>
      </c>
      <c r="C6577" s="28" t="s">
        <v>25143</v>
      </c>
      <c r="D6577" s="28" t="s">
        <v>4101</v>
      </c>
      <c r="E6577" s="28" t="s">
        <v>32427</v>
      </c>
      <c r="F6577" s="28" t="s">
        <v>21</v>
      </c>
      <c r="G6577" s="28" t="s">
        <v>39</v>
      </c>
      <c r="H6577" s="28" t="s">
        <v>32244</v>
      </c>
      <c r="I6577" s="28" t="s">
        <v>32428</v>
      </c>
      <c r="J6577" s="28" t="s">
        <v>39</v>
      </c>
      <c r="K6577" s="28" t="s">
        <v>32246</v>
      </c>
      <c r="L6577" s="28" t="s">
        <v>32247</v>
      </c>
      <c r="M6577" s="28" t="s">
        <v>32429</v>
      </c>
      <c r="N6577" s="28" t="s">
        <v>32249</v>
      </c>
      <c r="O6577" s="28" t="s">
        <v>32250</v>
      </c>
      <c r="P6577" s="28" t="s">
        <v>32251</v>
      </c>
    </row>
    <row r="6578" spans="1:16" x14ac:dyDescent="0.25">
      <c r="A6578" s="28" t="s">
        <v>32430</v>
      </c>
      <c r="B6578" s="28" t="s">
        <v>32431</v>
      </c>
      <c r="C6578" s="28" t="s">
        <v>25143</v>
      </c>
      <c r="D6578" s="28" t="s">
        <v>4101</v>
      </c>
      <c r="E6578" s="28" t="s">
        <v>32432</v>
      </c>
      <c r="F6578" s="28" t="s">
        <v>21</v>
      </c>
      <c r="G6578" s="28" t="s">
        <v>39</v>
      </c>
      <c r="H6578" s="28" t="s">
        <v>32244</v>
      </c>
      <c r="I6578" s="28" t="s">
        <v>32433</v>
      </c>
      <c r="J6578" s="28" t="s">
        <v>39</v>
      </c>
      <c r="K6578" s="28" t="s">
        <v>32246</v>
      </c>
      <c r="L6578" s="28" t="s">
        <v>32247</v>
      </c>
      <c r="M6578" s="28" t="s">
        <v>32434</v>
      </c>
      <c r="N6578" s="28" t="s">
        <v>32249</v>
      </c>
      <c r="O6578" s="28" t="s">
        <v>32250</v>
      </c>
      <c r="P6578" s="28" t="s">
        <v>32251</v>
      </c>
    </row>
    <row r="6579" spans="1:16" x14ac:dyDescent="0.25">
      <c r="A6579" s="28" t="s">
        <v>32435</v>
      </c>
      <c r="B6579" s="28" t="s">
        <v>32436</v>
      </c>
      <c r="C6579" s="28" t="s">
        <v>25143</v>
      </c>
      <c r="D6579" s="28" t="s">
        <v>4101</v>
      </c>
      <c r="E6579" s="28" t="s">
        <v>4118</v>
      </c>
      <c r="F6579" s="28" t="s">
        <v>21</v>
      </c>
      <c r="G6579" s="28" t="s">
        <v>39</v>
      </c>
      <c r="H6579" s="28" t="s">
        <v>32244</v>
      </c>
      <c r="I6579" s="28" t="s">
        <v>32437</v>
      </c>
      <c r="J6579" s="28" t="s">
        <v>39</v>
      </c>
      <c r="K6579" s="28" t="s">
        <v>32246</v>
      </c>
      <c r="L6579" s="28" t="s">
        <v>32247</v>
      </c>
      <c r="M6579" s="28" t="s">
        <v>32438</v>
      </c>
      <c r="N6579" s="28" t="s">
        <v>32249</v>
      </c>
      <c r="O6579" s="28" t="s">
        <v>32250</v>
      </c>
      <c r="P6579" s="28" t="s">
        <v>32251</v>
      </c>
    </row>
    <row r="6580" spans="1:16" x14ac:dyDescent="0.25">
      <c r="A6580" s="28" t="s">
        <v>32439</v>
      </c>
      <c r="B6580" s="28" t="s">
        <v>32440</v>
      </c>
      <c r="C6580" s="28" t="s">
        <v>25143</v>
      </c>
      <c r="D6580" s="28" t="s">
        <v>4101</v>
      </c>
      <c r="E6580" s="28" t="s">
        <v>4118</v>
      </c>
      <c r="F6580" s="28" t="s">
        <v>21</v>
      </c>
      <c r="G6580" s="28" t="s">
        <v>39</v>
      </c>
      <c r="H6580" s="28" t="s">
        <v>32244</v>
      </c>
      <c r="I6580" s="28" t="s">
        <v>32441</v>
      </c>
      <c r="J6580" s="28" t="s">
        <v>39</v>
      </c>
      <c r="K6580" s="28" t="s">
        <v>32246</v>
      </c>
      <c r="L6580" s="28" t="s">
        <v>32247</v>
      </c>
      <c r="M6580" s="28" t="s">
        <v>32442</v>
      </c>
      <c r="N6580" s="28" t="s">
        <v>32249</v>
      </c>
      <c r="O6580" s="28" t="s">
        <v>32250</v>
      </c>
      <c r="P6580" s="28" t="s">
        <v>32251</v>
      </c>
    </row>
    <row r="6581" spans="1:16" x14ac:dyDescent="0.25">
      <c r="A6581" s="28" t="s">
        <v>32443</v>
      </c>
      <c r="B6581" s="28" t="s">
        <v>32444</v>
      </c>
      <c r="C6581" s="28" t="s">
        <v>25143</v>
      </c>
      <c r="D6581" s="28" t="s">
        <v>4101</v>
      </c>
      <c r="E6581" s="28" t="s">
        <v>28423</v>
      </c>
      <c r="F6581" s="28" t="s">
        <v>21</v>
      </c>
      <c r="G6581" s="28" t="s">
        <v>39</v>
      </c>
      <c r="H6581" s="28" t="s">
        <v>32244</v>
      </c>
      <c r="I6581" s="28" t="s">
        <v>32445</v>
      </c>
      <c r="J6581" s="28" t="s">
        <v>39</v>
      </c>
      <c r="K6581" s="28" t="s">
        <v>32246</v>
      </c>
      <c r="L6581" s="28" t="s">
        <v>32247</v>
      </c>
      <c r="M6581" s="28" t="s">
        <v>32446</v>
      </c>
      <c r="N6581" s="28" t="s">
        <v>32249</v>
      </c>
      <c r="O6581" s="28" t="s">
        <v>32250</v>
      </c>
      <c r="P6581" s="28" t="s">
        <v>32251</v>
      </c>
    </row>
    <row r="6582" spans="1:16" x14ac:dyDescent="0.25">
      <c r="A6582" s="28" t="s">
        <v>32447</v>
      </c>
      <c r="B6582" s="28" t="s">
        <v>32448</v>
      </c>
      <c r="C6582" s="28" t="s">
        <v>25143</v>
      </c>
      <c r="D6582" s="28" t="s">
        <v>4101</v>
      </c>
      <c r="E6582" s="28" t="s">
        <v>4125</v>
      </c>
      <c r="F6582" s="28" t="s">
        <v>21</v>
      </c>
      <c r="G6582" s="28" t="s">
        <v>39</v>
      </c>
      <c r="H6582" s="28" t="s">
        <v>32244</v>
      </c>
      <c r="I6582" s="28" t="s">
        <v>32449</v>
      </c>
      <c r="J6582" s="28" t="s">
        <v>39</v>
      </c>
      <c r="K6582" s="28" t="s">
        <v>32246</v>
      </c>
      <c r="L6582" s="28" t="s">
        <v>32247</v>
      </c>
      <c r="M6582" s="28" t="s">
        <v>32450</v>
      </c>
      <c r="N6582" s="28" t="s">
        <v>32249</v>
      </c>
      <c r="O6582" s="28" t="s">
        <v>32250</v>
      </c>
      <c r="P6582" s="28" t="s">
        <v>32251</v>
      </c>
    </row>
    <row r="6583" spans="1:16" x14ac:dyDescent="0.25">
      <c r="A6583" s="28" t="s">
        <v>32451</v>
      </c>
      <c r="B6583" s="28" t="s">
        <v>32452</v>
      </c>
      <c r="C6583" s="28" t="s">
        <v>25143</v>
      </c>
      <c r="D6583" s="28" t="s">
        <v>4101</v>
      </c>
      <c r="E6583" s="28" t="s">
        <v>28440</v>
      </c>
      <c r="F6583" s="28" t="s">
        <v>21</v>
      </c>
      <c r="G6583" s="28" t="s">
        <v>39</v>
      </c>
      <c r="H6583" s="28" t="s">
        <v>32244</v>
      </c>
      <c r="I6583" s="28" t="s">
        <v>32453</v>
      </c>
      <c r="J6583" s="28" t="s">
        <v>39</v>
      </c>
      <c r="K6583" s="28" t="s">
        <v>32246</v>
      </c>
      <c r="L6583" s="28" t="s">
        <v>32247</v>
      </c>
      <c r="M6583" s="28" t="s">
        <v>32454</v>
      </c>
      <c r="N6583" s="28" t="s">
        <v>32249</v>
      </c>
      <c r="O6583" s="28" t="s">
        <v>32250</v>
      </c>
      <c r="P6583" s="28" t="s">
        <v>32251</v>
      </c>
    </row>
    <row r="6584" spans="1:16" x14ac:dyDescent="0.25">
      <c r="A6584" s="28" t="s">
        <v>32455</v>
      </c>
      <c r="B6584" s="28" t="s">
        <v>32456</v>
      </c>
      <c r="C6584" s="28" t="s">
        <v>25143</v>
      </c>
      <c r="D6584" s="28" t="s">
        <v>4101</v>
      </c>
      <c r="E6584" s="28" t="s">
        <v>28470</v>
      </c>
      <c r="F6584" s="28" t="s">
        <v>21</v>
      </c>
      <c r="G6584" s="28" t="s">
        <v>39</v>
      </c>
      <c r="H6584" s="28" t="s">
        <v>32244</v>
      </c>
      <c r="I6584" s="28" t="s">
        <v>32457</v>
      </c>
      <c r="J6584" s="28" t="s">
        <v>39</v>
      </c>
      <c r="K6584" s="28" t="s">
        <v>32246</v>
      </c>
      <c r="L6584" s="28" t="s">
        <v>32247</v>
      </c>
      <c r="M6584" s="28" t="s">
        <v>32458</v>
      </c>
      <c r="N6584" s="28" t="s">
        <v>32249</v>
      </c>
      <c r="O6584" s="28" t="s">
        <v>32250</v>
      </c>
      <c r="P6584" s="28" t="s">
        <v>32251</v>
      </c>
    </row>
    <row r="6585" spans="1:16" x14ac:dyDescent="0.25">
      <c r="A6585" s="28" t="s">
        <v>32459</v>
      </c>
      <c r="B6585" s="28" t="s">
        <v>32460</v>
      </c>
      <c r="C6585" s="28" t="s">
        <v>25143</v>
      </c>
      <c r="D6585" s="28" t="s">
        <v>4101</v>
      </c>
      <c r="E6585" s="28" t="s">
        <v>18295</v>
      </c>
      <c r="F6585" s="28" t="s">
        <v>21</v>
      </c>
      <c r="G6585" s="28" t="s">
        <v>39</v>
      </c>
      <c r="H6585" s="28" t="s">
        <v>32244</v>
      </c>
      <c r="I6585" s="28" t="s">
        <v>32461</v>
      </c>
      <c r="J6585" s="28" t="s">
        <v>39</v>
      </c>
      <c r="K6585" s="28" t="s">
        <v>32246</v>
      </c>
      <c r="L6585" s="28" t="s">
        <v>32247</v>
      </c>
      <c r="M6585" s="28" t="s">
        <v>32462</v>
      </c>
      <c r="N6585" s="28" t="s">
        <v>32249</v>
      </c>
      <c r="O6585" s="28" t="s">
        <v>32250</v>
      </c>
      <c r="P6585" s="28" t="s">
        <v>32251</v>
      </c>
    </row>
    <row r="6586" spans="1:16" x14ac:dyDescent="0.25">
      <c r="A6586" s="28" t="s">
        <v>32463</v>
      </c>
      <c r="B6586" s="28" t="s">
        <v>32464</v>
      </c>
      <c r="C6586" s="28" t="s">
        <v>25143</v>
      </c>
      <c r="D6586" s="28" t="s">
        <v>4101</v>
      </c>
      <c r="E6586" s="28" t="s">
        <v>28501</v>
      </c>
      <c r="F6586" s="28" t="s">
        <v>21</v>
      </c>
      <c r="G6586" s="28" t="s">
        <v>39</v>
      </c>
      <c r="H6586" s="28" t="s">
        <v>32244</v>
      </c>
      <c r="I6586" s="28" t="s">
        <v>32465</v>
      </c>
      <c r="J6586" s="28" t="s">
        <v>39</v>
      </c>
      <c r="K6586" s="28" t="s">
        <v>32246</v>
      </c>
      <c r="L6586" s="28" t="s">
        <v>32247</v>
      </c>
      <c r="M6586" s="28" t="s">
        <v>32466</v>
      </c>
      <c r="N6586" s="28" t="s">
        <v>32249</v>
      </c>
      <c r="O6586" s="28" t="s">
        <v>32250</v>
      </c>
      <c r="P6586" s="28" t="s">
        <v>32251</v>
      </c>
    </row>
    <row r="6587" spans="1:16" x14ac:dyDescent="0.25">
      <c r="A6587" s="28" t="s">
        <v>32467</v>
      </c>
      <c r="B6587" s="28" t="s">
        <v>32468</v>
      </c>
      <c r="C6587" s="28" t="s">
        <v>25143</v>
      </c>
      <c r="D6587" s="28" t="s">
        <v>4101</v>
      </c>
      <c r="E6587" s="28" t="s">
        <v>28501</v>
      </c>
      <c r="F6587" s="28" t="s">
        <v>21</v>
      </c>
      <c r="G6587" s="28" t="s">
        <v>39</v>
      </c>
      <c r="H6587" s="28" t="s">
        <v>32244</v>
      </c>
      <c r="I6587" s="28" t="s">
        <v>32469</v>
      </c>
      <c r="J6587" s="28" t="s">
        <v>39</v>
      </c>
      <c r="K6587" s="28" t="s">
        <v>32246</v>
      </c>
      <c r="L6587" s="28" t="s">
        <v>32247</v>
      </c>
      <c r="M6587" s="28" t="s">
        <v>32470</v>
      </c>
      <c r="N6587" s="28" t="s">
        <v>32249</v>
      </c>
      <c r="O6587" s="28" t="s">
        <v>32250</v>
      </c>
      <c r="P6587" s="28" t="s">
        <v>32251</v>
      </c>
    </row>
    <row r="6588" spans="1:16" x14ac:dyDescent="0.25">
      <c r="A6588" s="28" t="s">
        <v>32471</v>
      </c>
      <c r="B6588" s="28" t="s">
        <v>32472</v>
      </c>
      <c r="C6588" s="28" t="s">
        <v>25143</v>
      </c>
      <c r="D6588" s="28" t="s">
        <v>4101</v>
      </c>
      <c r="E6588" s="28" t="s">
        <v>28501</v>
      </c>
      <c r="F6588" s="28" t="s">
        <v>21</v>
      </c>
      <c r="G6588" s="28" t="s">
        <v>39</v>
      </c>
      <c r="H6588" s="28" t="s">
        <v>32244</v>
      </c>
      <c r="I6588" s="28" t="s">
        <v>32473</v>
      </c>
      <c r="J6588" s="28" t="s">
        <v>39</v>
      </c>
      <c r="K6588" s="28" t="s">
        <v>32246</v>
      </c>
      <c r="L6588" s="28" t="s">
        <v>32247</v>
      </c>
      <c r="M6588" s="28" t="s">
        <v>32474</v>
      </c>
      <c r="N6588" s="28" t="s">
        <v>32249</v>
      </c>
      <c r="O6588" s="28" t="s">
        <v>32250</v>
      </c>
      <c r="P6588" s="28" t="s">
        <v>32251</v>
      </c>
    </row>
    <row r="6589" spans="1:16" x14ac:dyDescent="0.25">
      <c r="A6589" s="28" t="s">
        <v>32475</v>
      </c>
      <c r="B6589" s="28" t="s">
        <v>32476</v>
      </c>
      <c r="C6589" s="28" t="s">
        <v>25143</v>
      </c>
      <c r="D6589" s="28" t="s">
        <v>4101</v>
      </c>
      <c r="E6589" s="28" t="s">
        <v>28501</v>
      </c>
      <c r="F6589" s="28" t="s">
        <v>21</v>
      </c>
      <c r="G6589" s="28" t="s">
        <v>39</v>
      </c>
      <c r="H6589" s="28" t="s">
        <v>32244</v>
      </c>
      <c r="I6589" s="28" t="s">
        <v>32477</v>
      </c>
      <c r="J6589" s="28" t="s">
        <v>39</v>
      </c>
      <c r="K6589" s="28" t="s">
        <v>32246</v>
      </c>
      <c r="L6589" s="28" t="s">
        <v>32247</v>
      </c>
      <c r="M6589" s="28" t="s">
        <v>32478</v>
      </c>
      <c r="N6589" s="28" t="s">
        <v>32249</v>
      </c>
      <c r="O6589" s="28" t="s">
        <v>32250</v>
      </c>
      <c r="P6589" s="28" t="s">
        <v>32251</v>
      </c>
    </row>
    <row r="6590" spans="1:16" x14ac:dyDescent="0.25">
      <c r="A6590" s="28" t="s">
        <v>32479</v>
      </c>
      <c r="B6590" s="28" t="s">
        <v>32480</v>
      </c>
      <c r="C6590" s="28" t="s">
        <v>25143</v>
      </c>
      <c r="D6590" s="28" t="s">
        <v>4101</v>
      </c>
      <c r="E6590" s="28" t="s">
        <v>28501</v>
      </c>
      <c r="F6590" s="28" t="s">
        <v>21</v>
      </c>
      <c r="G6590" s="28" t="s">
        <v>39</v>
      </c>
      <c r="H6590" s="28" t="s">
        <v>32244</v>
      </c>
      <c r="I6590" s="28" t="s">
        <v>32481</v>
      </c>
      <c r="J6590" s="28" t="s">
        <v>39</v>
      </c>
      <c r="K6590" s="28" t="s">
        <v>32246</v>
      </c>
      <c r="L6590" s="28" t="s">
        <v>32247</v>
      </c>
      <c r="M6590" s="28" t="s">
        <v>32482</v>
      </c>
      <c r="N6590" s="28" t="s">
        <v>32249</v>
      </c>
      <c r="O6590" s="28" t="s">
        <v>32250</v>
      </c>
      <c r="P6590" s="28" t="s">
        <v>32251</v>
      </c>
    </row>
    <row r="6591" spans="1:16" x14ac:dyDescent="0.25">
      <c r="A6591" s="28" t="s">
        <v>32483</v>
      </c>
      <c r="B6591" s="28" t="s">
        <v>32484</v>
      </c>
      <c r="C6591" s="28" t="s">
        <v>25143</v>
      </c>
      <c r="D6591" s="28" t="s">
        <v>4101</v>
      </c>
      <c r="E6591" s="28" t="s">
        <v>28501</v>
      </c>
      <c r="F6591" s="28" t="s">
        <v>21</v>
      </c>
      <c r="G6591" s="28" t="s">
        <v>39</v>
      </c>
      <c r="H6591" s="28" t="s">
        <v>32244</v>
      </c>
      <c r="I6591" s="28" t="s">
        <v>32485</v>
      </c>
      <c r="J6591" s="28" t="s">
        <v>39</v>
      </c>
      <c r="K6591" s="28" t="s">
        <v>32246</v>
      </c>
      <c r="L6591" s="28" t="s">
        <v>32247</v>
      </c>
      <c r="M6591" s="28" t="s">
        <v>32486</v>
      </c>
      <c r="N6591" s="28" t="s">
        <v>32249</v>
      </c>
      <c r="O6591" s="28" t="s">
        <v>32250</v>
      </c>
      <c r="P6591" s="28" t="s">
        <v>32251</v>
      </c>
    </row>
    <row r="6592" spans="1:16" x14ac:dyDescent="0.25">
      <c r="A6592" s="28" t="s">
        <v>32487</v>
      </c>
      <c r="B6592" s="28" t="s">
        <v>32488</v>
      </c>
      <c r="C6592" s="28" t="s">
        <v>25143</v>
      </c>
      <c r="D6592" s="28" t="s">
        <v>4101</v>
      </c>
      <c r="E6592" s="28" t="s">
        <v>28501</v>
      </c>
      <c r="F6592" s="28" t="s">
        <v>21</v>
      </c>
      <c r="G6592" s="28" t="s">
        <v>39</v>
      </c>
      <c r="H6592" s="28" t="s">
        <v>32244</v>
      </c>
      <c r="I6592" s="28" t="s">
        <v>32489</v>
      </c>
      <c r="J6592" s="28" t="s">
        <v>39</v>
      </c>
      <c r="K6592" s="28" t="s">
        <v>32246</v>
      </c>
      <c r="L6592" s="28" t="s">
        <v>32247</v>
      </c>
      <c r="M6592" s="28" t="s">
        <v>32490</v>
      </c>
      <c r="N6592" s="28" t="s">
        <v>32249</v>
      </c>
      <c r="O6592" s="28" t="s">
        <v>32250</v>
      </c>
      <c r="P6592" s="28" t="s">
        <v>32251</v>
      </c>
    </row>
    <row r="6593" spans="1:16" x14ac:dyDescent="0.25">
      <c r="A6593" s="28" t="s">
        <v>32491</v>
      </c>
      <c r="B6593" s="28" t="s">
        <v>32492</v>
      </c>
      <c r="C6593" s="28" t="s">
        <v>25143</v>
      </c>
      <c r="D6593" s="28" t="s">
        <v>4101</v>
      </c>
      <c r="E6593" s="28" t="s">
        <v>28501</v>
      </c>
      <c r="F6593" s="28" t="s">
        <v>21</v>
      </c>
      <c r="G6593" s="28" t="s">
        <v>39</v>
      </c>
      <c r="H6593" s="28" t="s">
        <v>32244</v>
      </c>
      <c r="I6593" s="28" t="s">
        <v>32493</v>
      </c>
      <c r="J6593" s="28" t="s">
        <v>39</v>
      </c>
      <c r="K6593" s="28" t="s">
        <v>32246</v>
      </c>
      <c r="L6593" s="28" t="s">
        <v>32247</v>
      </c>
      <c r="M6593" s="28" t="s">
        <v>32494</v>
      </c>
      <c r="N6593" s="28" t="s">
        <v>32249</v>
      </c>
      <c r="O6593" s="28" t="s">
        <v>32250</v>
      </c>
      <c r="P6593" s="28" t="s">
        <v>32251</v>
      </c>
    </row>
    <row r="6594" spans="1:16" x14ac:dyDescent="0.25">
      <c r="A6594" s="28" t="s">
        <v>32495</v>
      </c>
      <c r="B6594" s="28" t="s">
        <v>32496</v>
      </c>
      <c r="C6594" s="28" t="s">
        <v>25143</v>
      </c>
      <c r="D6594" s="28" t="s">
        <v>4101</v>
      </c>
      <c r="E6594" s="28" t="s">
        <v>28501</v>
      </c>
      <c r="F6594" s="28" t="s">
        <v>21</v>
      </c>
      <c r="G6594" s="28" t="s">
        <v>39</v>
      </c>
      <c r="H6594" s="28" t="s">
        <v>32244</v>
      </c>
      <c r="I6594" s="28" t="s">
        <v>32497</v>
      </c>
      <c r="J6594" s="28" t="s">
        <v>39</v>
      </c>
      <c r="K6594" s="28" t="s">
        <v>32246</v>
      </c>
      <c r="L6594" s="28" t="s">
        <v>32247</v>
      </c>
      <c r="M6594" s="28" t="s">
        <v>32498</v>
      </c>
      <c r="N6594" s="28" t="s">
        <v>32249</v>
      </c>
      <c r="O6594" s="28" t="s">
        <v>32250</v>
      </c>
      <c r="P6594" s="28" t="s">
        <v>32251</v>
      </c>
    </row>
    <row r="6595" spans="1:16" x14ac:dyDescent="0.25">
      <c r="A6595" s="28" t="s">
        <v>32499</v>
      </c>
      <c r="B6595" s="28" t="s">
        <v>32500</v>
      </c>
      <c r="C6595" s="28" t="s">
        <v>25143</v>
      </c>
      <c r="D6595" s="28" t="s">
        <v>4101</v>
      </c>
      <c r="E6595" s="28" t="s">
        <v>28501</v>
      </c>
      <c r="F6595" s="28" t="s">
        <v>21</v>
      </c>
      <c r="G6595" s="28" t="s">
        <v>39</v>
      </c>
      <c r="H6595" s="28" t="s">
        <v>32244</v>
      </c>
      <c r="I6595" s="28" t="s">
        <v>32501</v>
      </c>
      <c r="J6595" s="28" t="s">
        <v>39</v>
      </c>
      <c r="K6595" s="28" t="s">
        <v>32246</v>
      </c>
      <c r="L6595" s="28" t="s">
        <v>32247</v>
      </c>
      <c r="M6595" s="28" t="s">
        <v>32502</v>
      </c>
      <c r="N6595" s="28" t="s">
        <v>32249</v>
      </c>
      <c r="O6595" s="28" t="s">
        <v>32250</v>
      </c>
      <c r="P6595" s="28" t="s">
        <v>32251</v>
      </c>
    </row>
    <row r="6596" spans="1:16" x14ac:dyDescent="0.25">
      <c r="A6596" s="28" t="s">
        <v>32503</v>
      </c>
      <c r="B6596" s="28" t="s">
        <v>32504</v>
      </c>
      <c r="C6596" s="28" t="s">
        <v>25143</v>
      </c>
      <c r="D6596" s="28" t="s">
        <v>4101</v>
      </c>
      <c r="E6596" s="28" t="s">
        <v>28501</v>
      </c>
      <c r="F6596" s="28" t="s">
        <v>21</v>
      </c>
      <c r="G6596" s="28" t="s">
        <v>39</v>
      </c>
      <c r="H6596" s="28" t="s">
        <v>32244</v>
      </c>
      <c r="I6596" s="28" t="s">
        <v>32505</v>
      </c>
      <c r="J6596" s="28" t="s">
        <v>39</v>
      </c>
      <c r="K6596" s="28" t="s">
        <v>32246</v>
      </c>
      <c r="L6596" s="28" t="s">
        <v>32247</v>
      </c>
      <c r="M6596" s="28" t="s">
        <v>32506</v>
      </c>
      <c r="N6596" s="28" t="s">
        <v>32249</v>
      </c>
      <c r="O6596" s="28" t="s">
        <v>32250</v>
      </c>
      <c r="P6596" s="28" t="s">
        <v>32251</v>
      </c>
    </row>
    <row r="6597" spans="1:16" x14ac:dyDescent="0.25">
      <c r="A6597" s="28" t="s">
        <v>32507</v>
      </c>
      <c r="B6597" s="28" t="s">
        <v>32508</v>
      </c>
      <c r="C6597" s="28" t="s">
        <v>25143</v>
      </c>
      <c r="D6597" s="28" t="s">
        <v>4101</v>
      </c>
      <c r="E6597" s="28" t="s">
        <v>28501</v>
      </c>
      <c r="F6597" s="28" t="s">
        <v>21</v>
      </c>
      <c r="G6597" s="28" t="s">
        <v>39</v>
      </c>
      <c r="H6597" s="28" t="s">
        <v>32244</v>
      </c>
      <c r="I6597" s="28" t="s">
        <v>32509</v>
      </c>
      <c r="J6597" s="28" t="s">
        <v>39</v>
      </c>
      <c r="K6597" s="28" t="s">
        <v>32246</v>
      </c>
      <c r="L6597" s="28" t="s">
        <v>32247</v>
      </c>
      <c r="M6597" s="28" t="s">
        <v>32510</v>
      </c>
      <c r="N6597" s="28" t="s">
        <v>32249</v>
      </c>
      <c r="O6597" s="28" t="s">
        <v>32250</v>
      </c>
      <c r="P6597" s="28" t="s">
        <v>32251</v>
      </c>
    </row>
    <row r="6598" spans="1:16" x14ac:dyDescent="0.25">
      <c r="A6598" s="28" t="s">
        <v>32511</v>
      </c>
      <c r="B6598" s="28" t="s">
        <v>32512</v>
      </c>
      <c r="C6598" s="28" t="s">
        <v>25143</v>
      </c>
      <c r="D6598" s="28" t="s">
        <v>4101</v>
      </c>
      <c r="E6598" s="28" t="s">
        <v>28501</v>
      </c>
      <c r="F6598" s="28" t="s">
        <v>21</v>
      </c>
      <c r="G6598" s="28" t="s">
        <v>39</v>
      </c>
      <c r="H6598" s="28" t="s">
        <v>32244</v>
      </c>
      <c r="I6598" s="28" t="s">
        <v>32513</v>
      </c>
      <c r="J6598" s="28" t="s">
        <v>39</v>
      </c>
      <c r="K6598" s="28" t="s">
        <v>32246</v>
      </c>
      <c r="L6598" s="28" t="s">
        <v>32247</v>
      </c>
      <c r="M6598" s="28" t="s">
        <v>32514</v>
      </c>
      <c r="N6598" s="28" t="s">
        <v>32249</v>
      </c>
      <c r="O6598" s="28" t="s">
        <v>32250</v>
      </c>
      <c r="P6598" s="28" t="s">
        <v>32251</v>
      </c>
    </row>
    <row r="6599" spans="1:16" x14ac:dyDescent="0.25">
      <c r="A6599" s="28" t="s">
        <v>32515</v>
      </c>
      <c r="B6599" s="28" t="s">
        <v>32516</v>
      </c>
      <c r="C6599" s="28" t="s">
        <v>25143</v>
      </c>
      <c r="D6599" s="28" t="s">
        <v>4101</v>
      </c>
      <c r="E6599" s="28" t="s">
        <v>28501</v>
      </c>
      <c r="F6599" s="28" t="s">
        <v>21</v>
      </c>
      <c r="G6599" s="28" t="s">
        <v>39</v>
      </c>
      <c r="H6599" s="28" t="s">
        <v>32244</v>
      </c>
      <c r="I6599" s="28" t="s">
        <v>32517</v>
      </c>
      <c r="J6599" s="28" t="s">
        <v>39</v>
      </c>
      <c r="K6599" s="28" t="s">
        <v>32246</v>
      </c>
      <c r="L6599" s="28" t="s">
        <v>32247</v>
      </c>
      <c r="M6599" s="28" t="s">
        <v>32518</v>
      </c>
      <c r="N6599" s="28" t="s">
        <v>32249</v>
      </c>
      <c r="O6599" s="28" t="s">
        <v>32250</v>
      </c>
      <c r="P6599" s="28" t="s">
        <v>32251</v>
      </c>
    </row>
    <row r="6600" spans="1:16" x14ac:dyDescent="0.25">
      <c r="A6600" s="28" t="s">
        <v>32519</v>
      </c>
      <c r="B6600" s="28" t="s">
        <v>32520</v>
      </c>
      <c r="C6600" s="28" t="s">
        <v>25143</v>
      </c>
      <c r="D6600" s="28" t="s">
        <v>4101</v>
      </c>
      <c r="E6600" s="28" t="s">
        <v>28501</v>
      </c>
      <c r="F6600" s="28" t="s">
        <v>21</v>
      </c>
      <c r="G6600" s="28" t="s">
        <v>39</v>
      </c>
      <c r="H6600" s="28" t="s">
        <v>32244</v>
      </c>
      <c r="I6600" s="28" t="s">
        <v>32521</v>
      </c>
      <c r="J6600" s="28" t="s">
        <v>39</v>
      </c>
      <c r="K6600" s="28" t="s">
        <v>32246</v>
      </c>
      <c r="L6600" s="28" t="s">
        <v>32247</v>
      </c>
      <c r="M6600" s="28" t="s">
        <v>32522</v>
      </c>
      <c r="N6600" s="28" t="s">
        <v>32249</v>
      </c>
      <c r="O6600" s="28" t="s">
        <v>32250</v>
      </c>
      <c r="P6600" s="28" t="s">
        <v>32251</v>
      </c>
    </row>
    <row r="6601" spans="1:16" x14ac:dyDescent="0.25">
      <c r="A6601" s="28" t="s">
        <v>32523</v>
      </c>
      <c r="B6601" s="28" t="s">
        <v>32524</v>
      </c>
      <c r="C6601" s="28" t="s">
        <v>25143</v>
      </c>
      <c r="D6601" s="28" t="s">
        <v>4101</v>
      </c>
      <c r="E6601" s="28" t="s">
        <v>28501</v>
      </c>
      <c r="F6601" s="28" t="s">
        <v>21</v>
      </c>
      <c r="G6601" s="28" t="s">
        <v>39</v>
      </c>
      <c r="H6601" s="28" t="s">
        <v>32244</v>
      </c>
      <c r="I6601" s="28" t="s">
        <v>32525</v>
      </c>
      <c r="J6601" s="28" t="s">
        <v>39</v>
      </c>
      <c r="K6601" s="28" t="s">
        <v>32246</v>
      </c>
      <c r="L6601" s="28" t="s">
        <v>32247</v>
      </c>
      <c r="M6601" s="28" t="s">
        <v>32526</v>
      </c>
      <c r="N6601" s="28" t="s">
        <v>32249</v>
      </c>
      <c r="O6601" s="28" t="s">
        <v>32250</v>
      </c>
      <c r="P6601" s="28" t="s">
        <v>32251</v>
      </c>
    </row>
    <row r="6602" spans="1:16" x14ac:dyDescent="0.25">
      <c r="A6602" s="28" t="s">
        <v>32527</v>
      </c>
      <c r="B6602" s="28" t="s">
        <v>32528</v>
      </c>
      <c r="C6602" s="28" t="s">
        <v>25143</v>
      </c>
      <c r="D6602" s="28" t="s">
        <v>4101</v>
      </c>
      <c r="E6602" s="28" t="s">
        <v>28501</v>
      </c>
      <c r="F6602" s="28" t="s">
        <v>21</v>
      </c>
      <c r="G6602" s="28" t="s">
        <v>39</v>
      </c>
      <c r="H6602" s="28" t="s">
        <v>32244</v>
      </c>
      <c r="I6602" s="28" t="s">
        <v>32529</v>
      </c>
      <c r="J6602" s="28" t="s">
        <v>39</v>
      </c>
      <c r="K6602" s="28" t="s">
        <v>32246</v>
      </c>
      <c r="L6602" s="28" t="s">
        <v>32247</v>
      </c>
      <c r="M6602" s="28" t="s">
        <v>32530</v>
      </c>
      <c r="N6602" s="28" t="s">
        <v>32249</v>
      </c>
      <c r="O6602" s="28" t="s">
        <v>32250</v>
      </c>
      <c r="P6602" s="28" t="s">
        <v>32251</v>
      </c>
    </row>
    <row r="6603" spans="1:16" x14ac:dyDescent="0.25">
      <c r="A6603" s="28" t="s">
        <v>32531</v>
      </c>
      <c r="B6603" s="28" t="s">
        <v>32532</v>
      </c>
      <c r="C6603" s="28" t="s">
        <v>25143</v>
      </c>
      <c r="D6603" s="28" t="s">
        <v>4101</v>
      </c>
      <c r="E6603" s="28" t="s">
        <v>28501</v>
      </c>
      <c r="F6603" s="28" t="s">
        <v>21</v>
      </c>
      <c r="G6603" s="28" t="s">
        <v>39</v>
      </c>
      <c r="H6603" s="28" t="s">
        <v>32244</v>
      </c>
      <c r="I6603" s="28" t="s">
        <v>32533</v>
      </c>
      <c r="J6603" s="28" t="s">
        <v>39</v>
      </c>
      <c r="K6603" s="28" t="s">
        <v>32246</v>
      </c>
      <c r="L6603" s="28" t="s">
        <v>32247</v>
      </c>
      <c r="M6603" s="28" t="s">
        <v>32534</v>
      </c>
      <c r="N6603" s="28" t="s">
        <v>32249</v>
      </c>
      <c r="O6603" s="28" t="s">
        <v>32250</v>
      </c>
      <c r="P6603" s="28" t="s">
        <v>32251</v>
      </c>
    </row>
    <row r="6604" spans="1:16" x14ac:dyDescent="0.25">
      <c r="A6604" s="28" t="s">
        <v>32535</v>
      </c>
      <c r="B6604" s="28" t="s">
        <v>32536</v>
      </c>
      <c r="C6604" s="28" t="s">
        <v>25143</v>
      </c>
      <c r="D6604" s="28" t="s">
        <v>4101</v>
      </c>
      <c r="E6604" s="28" t="s">
        <v>28501</v>
      </c>
      <c r="F6604" s="28" t="s">
        <v>21</v>
      </c>
      <c r="G6604" s="28" t="s">
        <v>39</v>
      </c>
      <c r="H6604" s="28" t="s">
        <v>32244</v>
      </c>
      <c r="I6604" s="28" t="s">
        <v>32537</v>
      </c>
      <c r="J6604" s="28" t="s">
        <v>39</v>
      </c>
      <c r="K6604" s="28" t="s">
        <v>32246</v>
      </c>
      <c r="L6604" s="28" t="s">
        <v>32247</v>
      </c>
      <c r="M6604" s="28" t="s">
        <v>32538</v>
      </c>
      <c r="N6604" s="28" t="s">
        <v>32249</v>
      </c>
      <c r="O6604" s="28" t="s">
        <v>32250</v>
      </c>
      <c r="P6604" s="28" t="s">
        <v>32251</v>
      </c>
    </row>
    <row r="6605" spans="1:16" x14ac:dyDescent="0.25">
      <c r="A6605" s="28" t="s">
        <v>32539</v>
      </c>
      <c r="B6605" s="28" t="s">
        <v>32540</v>
      </c>
      <c r="C6605" s="28" t="s">
        <v>25143</v>
      </c>
      <c r="D6605" s="28" t="s">
        <v>4101</v>
      </c>
      <c r="E6605" s="28" t="s">
        <v>28501</v>
      </c>
      <c r="F6605" s="28" t="s">
        <v>21</v>
      </c>
      <c r="G6605" s="28" t="s">
        <v>39</v>
      </c>
      <c r="H6605" s="28" t="s">
        <v>32244</v>
      </c>
      <c r="I6605" s="28" t="s">
        <v>32541</v>
      </c>
      <c r="J6605" s="28" t="s">
        <v>39</v>
      </c>
      <c r="K6605" s="28" t="s">
        <v>32246</v>
      </c>
      <c r="L6605" s="28" t="s">
        <v>32247</v>
      </c>
      <c r="M6605" s="28" t="s">
        <v>32542</v>
      </c>
      <c r="N6605" s="28" t="s">
        <v>32249</v>
      </c>
      <c r="O6605" s="28" t="s">
        <v>32250</v>
      </c>
      <c r="P6605" s="28" t="s">
        <v>32251</v>
      </c>
    </row>
    <row r="6606" spans="1:16" x14ac:dyDescent="0.25">
      <c r="A6606" s="28" t="s">
        <v>32543</v>
      </c>
      <c r="B6606" s="28" t="s">
        <v>32544</v>
      </c>
      <c r="C6606" s="28" t="s">
        <v>25143</v>
      </c>
      <c r="D6606" s="28" t="s">
        <v>4101</v>
      </c>
      <c r="E6606" s="28" t="s">
        <v>28501</v>
      </c>
      <c r="F6606" s="28" t="s">
        <v>21</v>
      </c>
      <c r="G6606" s="28" t="s">
        <v>39</v>
      </c>
      <c r="H6606" s="28" t="s">
        <v>32244</v>
      </c>
      <c r="I6606" s="28" t="s">
        <v>32545</v>
      </c>
      <c r="J6606" s="28" t="s">
        <v>39</v>
      </c>
      <c r="K6606" s="28" t="s">
        <v>32246</v>
      </c>
      <c r="L6606" s="28" t="s">
        <v>32247</v>
      </c>
      <c r="M6606" s="28" t="s">
        <v>32546</v>
      </c>
      <c r="N6606" s="28" t="s">
        <v>32249</v>
      </c>
      <c r="O6606" s="28" t="s">
        <v>32250</v>
      </c>
      <c r="P6606" s="28" t="s">
        <v>32251</v>
      </c>
    </row>
    <row r="6607" spans="1:16" x14ac:dyDescent="0.25">
      <c r="A6607" s="28" t="s">
        <v>32547</v>
      </c>
      <c r="B6607" s="28" t="s">
        <v>32548</v>
      </c>
      <c r="C6607" s="28" t="s">
        <v>25143</v>
      </c>
      <c r="D6607" s="28" t="s">
        <v>4101</v>
      </c>
      <c r="E6607" s="28" t="s">
        <v>28501</v>
      </c>
      <c r="F6607" s="28" t="s">
        <v>21</v>
      </c>
      <c r="G6607" s="28" t="s">
        <v>39</v>
      </c>
      <c r="H6607" s="28" t="s">
        <v>32244</v>
      </c>
      <c r="I6607" s="28" t="s">
        <v>32549</v>
      </c>
      <c r="J6607" s="28" t="s">
        <v>39</v>
      </c>
      <c r="K6607" s="28" t="s">
        <v>32246</v>
      </c>
      <c r="L6607" s="28" t="s">
        <v>32247</v>
      </c>
      <c r="M6607" s="28" t="s">
        <v>32550</v>
      </c>
      <c r="N6607" s="28" t="s">
        <v>32249</v>
      </c>
      <c r="O6607" s="28" t="s">
        <v>32250</v>
      </c>
      <c r="P6607" s="28" t="s">
        <v>32251</v>
      </c>
    </row>
    <row r="6608" spans="1:16" x14ac:dyDescent="0.25">
      <c r="A6608" s="28" t="s">
        <v>32551</v>
      </c>
      <c r="B6608" s="28" t="s">
        <v>32552</v>
      </c>
      <c r="C6608" s="28" t="s">
        <v>25143</v>
      </c>
      <c r="D6608" s="28" t="s">
        <v>4101</v>
      </c>
      <c r="E6608" s="28" t="s">
        <v>28501</v>
      </c>
      <c r="F6608" s="28" t="s">
        <v>21</v>
      </c>
      <c r="G6608" s="28" t="s">
        <v>39</v>
      </c>
      <c r="H6608" s="28" t="s">
        <v>32244</v>
      </c>
      <c r="I6608" s="28" t="s">
        <v>32553</v>
      </c>
      <c r="J6608" s="28" t="s">
        <v>39</v>
      </c>
      <c r="K6608" s="28" t="s">
        <v>32246</v>
      </c>
      <c r="L6608" s="28" t="s">
        <v>32247</v>
      </c>
      <c r="M6608" s="28" t="s">
        <v>32554</v>
      </c>
      <c r="N6608" s="28" t="s">
        <v>32249</v>
      </c>
      <c r="O6608" s="28" t="s">
        <v>32250</v>
      </c>
      <c r="P6608" s="28" t="s">
        <v>32251</v>
      </c>
    </row>
    <row r="6609" spans="1:16" x14ac:dyDescent="0.25">
      <c r="A6609" s="28" t="s">
        <v>32555</v>
      </c>
      <c r="B6609" s="28" t="s">
        <v>32556</v>
      </c>
      <c r="C6609" s="28" t="s">
        <v>25143</v>
      </c>
      <c r="D6609" s="28" t="s">
        <v>4101</v>
      </c>
      <c r="E6609" s="28" t="s">
        <v>28595</v>
      </c>
      <c r="F6609" s="28" t="s">
        <v>21</v>
      </c>
      <c r="G6609" s="28" t="s">
        <v>39</v>
      </c>
      <c r="H6609" s="28" t="s">
        <v>32244</v>
      </c>
      <c r="I6609" s="28" t="s">
        <v>32557</v>
      </c>
      <c r="J6609" s="28" t="s">
        <v>39</v>
      </c>
      <c r="K6609" s="28" t="s">
        <v>32246</v>
      </c>
      <c r="L6609" s="28" t="s">
        <v>32247</v>
      </c>
      <c r="M6609" s="28" t="s">
        <v>32558</v>
      </c>
      <c r="N6609" s="28" t="s">
        <v>32249</v>
      </c>
      <c r="O6609" s="28" t="s">
        <v>32250</v>
      </c>
      <c r="P6609" s="28" t="s">
        <v>32251</v>
      </c>
    </row>
    <row r="6610" spans="1:16" x14ac:dyDescent="0.25">
      <c r="A6610" s="28" t="s">
        <v>32559</v>
      </c>
      <c r="B6610" s="28" t="s">
        <v>32560</v>
      </c>
      <c r="C6610" s="28" t="s">
        <v>25143</v>
      </c>
      <c r="D6610" s="28" t="s">
        <v>4101</v>
      </c>
      <c r="E6610" s="28" t="s">
        <v>28595</v>
      </c>
      <c r="F6610" s="28" t="s">
        <v>21</v>
      </c>
      <c r="G6610" s="28" t="s">
        <v>39</v>
      </c>
      <c r="H6610" s="28" t="s">
        <v>32244</v>
      </c>
      <c r="I6610" s="28" t="s">
        <v>32561</v>
      </c>
      <c r="J6610" s="28" t="s">
        <v>39</v>
      </c>
      <c r="K6610" s="28" t="s">
        <v>32246</v>
      </c>
      <c r="L6610" s="28" t="s">
        <v>32247</v>
      </c>
      <c r="M6610" s="28" t="s">
        <v>32562</v>
      </c>
      <c r="N6610" s="28" t="s">
        <v>32249</v>
      </c>
      <c r="O6610" s="28" t="s">
        <v>32250</v>
      </c>
      <c r="P6610" s="28" t="s">
        <v>32251</v>
      </c>
    </row>
    <row r="6611" spans="1:16" x14ac:dyDescent="0.25">
      <c r="A6611" s="28" t="s">
        <v>32563</v>
      </c>
      <c r="B6611" s="28" t="s">
        <v>32564</v>
      </c>
      <c r="C6611" s="28" t="s">
        <v>25143</v>
      </c>
      <c r="D6611" s="28" t="s">
        <v>4101</v>
      </c>
      <c r="E6611" s="28" t="s">
        <v>28595</v>
      </c>
      <c r="F6611" s="28" t="s">
        <v>21</v>
      </c>
      <c r="G6611" s="28" t="s">
        <v>39</v>
      </c>
      <c r="H6611" s="28" t="s">
        <v>32244</v>
      </c>
      <c r="I6611" s="28" t="s">
        <v>32565</v>
      </c>
      <c r="J6611" s="28" t="s">
        <v>39</v>
      </c>
      <c r="K6611" s="28" t="s">
        <v>32246</v>
      </c>
      <c r="L6611" s="28" t="s">
        <v>32247</v>
      </c>
      <c r="M6611" s="28" t="s">
        <v>32566</v>
      </c>
      <c r="N6611" s="28" t="s">
        <v>32249</v>
      </c>
      <c r="O6611" s="28" t="s">
        <v>32250</v>
      </c>
      <c r="P6611" s="28" t="s">
        <v>32251</v>
      </c>
    </row>
    <row r="6612" spans="1:16" x14ac:dyDescent="0.25">
      <c r="A6612" s="28" t="s">
        <v>32567</v>
      </c>
      <c r="B6612" s="28" t="s">
        <v>32568</v>
      </c>
      <c r="C6612" s="28" t="s">
        <v>25143</v>
      </c>
      <c r="D6612" s="28" t="s">
        <v>4101</v>
      </c>
      <c r="E6612" s="28" t="s">
        <v>28595</v>
      </c>
      <c r="F6612" s="28" t="s">
        <v>21</v>
      </c>
      <c r="G6612" s="28" t="s">
        <v>39</v>
      </c>
      <c r="H6612" s="28" t="s">
        <v>32244</v>
      </c>
      <c r="I6612" s="28" t="s">
        <v>32569</v>
      </c>
      <c r="J6612" s="28" t="s">
        <v>39</v>
      </c>
      <c r="K6612" s="28" t="s">
        <v>32246</v>
      </c>
      <c r="L6612" s="28" t="s">
        <v>32247</v>
      </c>
      <c r="M6612" s="28" t="s">
        <v>32570</v>
      </c>
      <c r="N6612" s="28" t="s">
        <v>32249</v>
      </c>
      <c r="O6612" s="28" t="s">
        <v>32250</v>
      </c>
      <c r="P6612" s="28" t="s">
        <v>32251</v>
      </c>
    </row>
    <row r="6613" spans="1:16" x14ac:dyDescent="0.25">
      <c r="A6613" s="28" t="s">
        <v>32571</v>
      </c>
      <c r="B6613" s="28" t="s">
        <v>32572</v>
      </c>
      <c r="C6613" s="28" t="s">
        <v>25143</v>
      </c>
      <c r="D6613" s="28" t="s">
        <v>4101</v>
      </c>
      <c r="E6613" s="28" t="s">
        <v>28595</v>
      </c>
      <c r="F6613" s="28" t="s">
        <v>21</v>
      </c>
      <c r="G6613" s="28" t="s">
        <v>39</v>
      </c>
      <c r="H6613" s="28" t="s">
        <v>32244</v>
      </c>
      <c r="I6613" s="28" t="s">
        <v>32573</v>
      </c>
      <c r="J6613" s="28" t="s">
        <v>39</v>
      </c>
      <c r="K6613" s="28" t="s">
        <v>32246</v>
      </c>
      <c r="L6613" s="28" t="s">
        <v>32247</v>
      </c>
      <c r="M6613" s="28" t="s">
        <v>32574</v>
      </c>
      <c r="N6613" s="28" t="s">
        <v>32249</v>
      </c>
      <c r="O6613" s="28" t="s">
        <v>32250</v>
      </c>
      <c r="P6613" s="28" t="s">
        <v>32251</v>
      </c>
    </row>
    <row r="6614" spans="1:16" x14ac:dyDescent="0.25">
      <c r="A6614" s="28" t="s">
        <v>32575</v>
      </c>
      <c r="B6614" s="28" t="s">
        <v>32576</v>
      </c>
      <c r="C6614" s="28" t="s">
        <v>25143</v>
      </c>
      <c r="D6614" s="28" t="s">
        <v>4101</v>
      </c>
      <c r="E6614" s="28" t="s">
        <v>28595</v>
      </c>
      <c r="F6614" s="28" t="s">
        <v>21</v>
      </c>
      <c r="G6614" s="28" t="s">
        <v>39</v>
      </c>
      <c r="H6614" s="28" t="s">
        <v>32244</v>
      </c>
      <c r="I6614" s="28" t="s">
        <v>32577</v>
      </c>
      <c r="J6614" s="28" t="s">
        <v>39</v>
      </c>
      <c r="K6614" s="28" t="s">
        <v>32246</v>
      </c>
      <c r="L6614" s="28" t="s">
        <v>32247</v>
      </c>
      <c r="M6614" s="28" t="s">
        <v>32578</v>
      </c>
      <c r="N6614" s="28" t="s">
        <v>32249</v>
      </c>
      <c r="O6614" s="28" t="s">
        <v>32250</v>
      </c>
      <c r="P6614" s="28" t="s">
        <v>32251</v>
      </c>
    </row>
    <row r="6615" spans="1:16" x14ac:dyDescent="0.25">
      <c r="A6615" s="28" t="s">
        <v>32579</v>
      </c>
      <c r="B6615" s="28" t="s">
        <v>32580</v>
      </c>
      <c r="C6615" s="28" t="s">
        <v>25143</v>
      </c>
      <c r="D6615" s="28" t="s">
        <v>4101</v>
      </c>
      <c r="E6615" s="28" t="s">
        <v>28595</v>
      </c>
      <c r="F6615" s="28" t="s">
        <v>21</v>
      </c>
      <c r="G6615" s="28" t="s">
        <v>39</v>
      </c>
      <c r="H6615" s="28" t="s">
        <v>32244</v>
      </c>
      <c r="I6615" s="28" t="s">
        <v>32581</v>
      </c>
      <c r="J6615" s="28" t="s">
        <v>39</v>
      </c>
      <c r="K6615" s="28" t="s">
        <v>32246</v>
      </c>
      <c r="L6615" s="28" t="s">
        <v>32247</v>
      </c>
      <c r="M6615" s="28" t="s">
        <v>32582</v>
      </c>
      <c r="N6615" s="28" t="s">
        <v>32249</v>
      </c>
      <c r="O6615" s="28" t="s">
        <v>32250</v>
      </c>
      <c r="P6615" s="28" t="s">
        <v>32251</v>
      </c>
    </row>
    <row r="6616" spans="1:16" x14ac:dyDescent="0.25">
      <c r="A6616" s="28" t="s">
        <v>32583</v>
      </c>
      <c r="B6616" s="28" t="s">
        <v>32584</v>
      </c>
      <c r="C6616" s="28" t="s">
        <v>25143</v>
      </c>
      <c r="D6616" s="28" t="s">
        <v>4101</v>
      </c>
      <c r="E6616" s="28" t="s">
        <v>28595</v>
      </c>
      <c r="F6616" s="28" t="s">
        <v>21</v>
      </c>
      <c r="G6616" s="28" t="s">
        <v>39</v>
      </c>
      <c r="H6616" s="28" t="s">
        <v>32244</v>
      </c>
      <c r="I6616" s="28" t="s">
        <v>32585</v>
      </c>
      <c r="J6616" s="28" t="s">
        <v>39</v>
      </c>
      <c r="K6616" s="28" t="s">
        <v>32246</v>
      </c>
      <c r="L6616" s="28" t="s">
        <v>32247</v>
      </c>
      <c r="M6616" s="28" t="s">
        <v>32586</v>
      </c>
      <c r="N6616" s="28" t="s">
        <v>32249</v>
      </c>
      <c r="O6616" s="28" t="s">
        <v>32250</v>
      </c>
      <c r="P6616" s="28" t="s">
        <v>32251</v>
      </c>
    </row>
    <row r="6617" spans="1:16" x14ac:dyDescent="0.25">
      <c r="A6617" s="28" t="s">
        <v>32587</v>
      </c>
      <c r="B6617" s="28" t="s">
        <v>32588</v>
      </c>
      <c r="C6617" s="28" t="s">
        <v>25143</v>
      </c>
      <c r="D6617" s="28" t="s">
        <v>4101</v>
      </c>
      <c r="E6617" s="28" t="s">
        <v>28595</v>
      </c>
      <c r="F6617" s="28" t="s">
        <v>21</v>
      </c>
      <c r="G6617" s="28" t="s">
        <v>39</v>
      </c>
      <c r="H6617" s="28" t="s">
        <v>32244</v>
      </c>
      <c r="I6617" s="28" t="s">
        <v>32589</v>
      </c>
      <c r="J6617" s="28" t="s">
        <v>39</v>
      </c>
      <c r="K6617" s="28" t="s">
        <v>32246</v>
      </c>
      <c r="L6617" s="28" t="s">
        <v>32247</v>
      </c>
      <c r="M6617" s="28" t="s">
        <v>32590</v>
      </c>
      <c r="N6617" s="28" t="s">
        <v>32249</v>
      </c>
      <c r="O6617" s="28" t="s">
        <v>32250</v>
      </c>
      <c r="P6617" s="28" t="s">
        <v>32251</v>
      </c>
    </row>
    <row r="6618" spans="1:16" x14ac:dyDescent="0.25">
      <c r="A6618" s="28" t="s">
        <v>32591</v>
      </c>
      <c r="B6618" s="28" t="s">
        <v>32592</v>
      </c>
      <c r="C6618" s="28" t="s">
        <v>25143</v>
      </c>
      <c r="D6618" s="28" t="s">
        <v>4101</v>
      </c>
      <c r="E6618" s="28" t="s">
        <v>28595</v>
      </c>
      <c r="F6618" s="28" t="s">
        <v>21</v>
      </c>
      <c r="G6618" s="28" t="s">
        <v>39</v>
      </c>
      <c r="H6618" s="28" t="s">
        <v>32244</v>
      </c>
      <c r="I6618" s="28" t="s">
        <v>32593</v>
      </c>
      <c r="J6618" s="28" t="s">
        <v>39</v>
      </c>
      <c r="K6618" s="28" t="s">
        <v>32246</v>
      </c>
      <c r="L6618" s="28" t="s">
        <v>32247</v>
      </c>
      <c r="M6618" s="28" t="s">
        <v>32594</v>
      </c>
      <c r="N6618" s="28" t="s">
        <v>32249</v>
      </c>
      <c r="O6618" s="28" t="s">
        <v>32250</v>
      </c>
      <c r="P6618" s="28" t="s">
        <v>32251</v>
      </c>
    </row>
    <row r="6619" spans="1:16" x14ac:dyDescent="0.25">
      <c r="A6619" s="28" t="s">
        <v>32595</v>
      </c>
      <c r="B6619" s="28" t="s">
        <v>32596</v>
      </c>
      <c r="C6619" s="28" t="s">
        <v>25143</v>
      </c>
      <c r="D6619" s="28" t="s">
        <v>4101</v>
      </c>
      <c r="E6619" s="28" t="s">
        <v>28595</v>
      </c>
      <c r="F6619" s="28" t="s">
        <v>21</v>
      </c>
      <c r="G6619" s="28" t="s">
        <v>39</v>
      </c>
      <c r="H6619" s="28" t="s">
        <v>32244</v>
      </c>
      <c r="I6619" s="28" t="s">
        <v>32597</v>
      </c>
      <c r="J6619" s="28" t="s">
        <v>39</v>
      </c>
      <c r="K6619" s="28" t="s">
        <v>32246</v>
      </c>
      <c r="L6619" s="28" t="s">
        <v>32247</v>
      </c>
      <c r="M6619" s="28" t="s">
        <v>32598</v>
      </c>
      <c r="N6619" s="28" t="s">
        <v>32249</v>
      </c>
      <c r="O6619" s="28" t="s">
        <v>32250</v>
      </c>
      <c r="P6619" s="28" t="s">
        <v>32251</v>
      </c>
    </row>
    <row r="6620" spans="1:16" x14ac:dyDescent="0.25">
      <c r="A6620" s="28" t="s">
        <v>32599</v>
      </c>
      <c r="B6620" s="28" t="s">
        <v>32600</v>
      </c>
      <c r="C6620" s="28" t="s">
        <v>25143</v>
      </c>
      <c r="D6620" s="28" t="s">
        <v>4101</v>
      </c>
      <c r="E6620" s="28" t="s">
        <v>28595</v>
      </c>
      <c r="F6620" s="28" t="s">
        <v>21</v>
      </c>
      <c r="G6620" s="28" t="s">
        <v>39</v>
      </c>
      <c r="H6620" s="28" t="s">
        <v>32244</v>
      </c>
      <c r="I6620" s="28" t="s">
        <v>32601</v>
      </c>
      <c r="J6620" s="28" t="s">
        <v>39</v>
      </c>
      <c r="K6620" s="28" t="s">
        <v>32246</v>
      </c>
      <c r="L6620" s="28" t="s">
        <v>32247</v>
      </c>
      <c r="M6620" s="28" t="s">
        <v>32602</v>
      </c>
      <c r="N6620" s="28" t="s">
        <v>32249</v>
      </c>
      <c r="O6620" s="28" t="s">
        <v>32250</v>
      </c>
      <c r="P6620" s="28" t="s">
        <v>32251</v>
      </c>
    </row>
    <row r="6621" spans="1:16" x14ac:dyDescent="0.25">
      <c r="A6621" s="28" t="s">
        <v>32603</v>
      </c>
      <c r="B6621" s="28" t="s">
        <v>32604</v>
      </c>
      <c r="C6621" s="28" t="s">
        <v>25143</v>
      </c>
      <c r="D6621" s="28" t="s">
        <v>4101</v>
      </c>
      <c r="E6621" s="28" t="s">
        <v>28595</v>
      </c>
      <c r="F6621" s="28" t="s">
        <v>21</v>
      </c>
      <c r="G6621" s="28" t="s">
        <v>39</v>
      </c>
      <c r="H6621" s="28" t="s">
        <v>32244</v>
      </c>
      <c r="I6621" s="28" t="s">
        <v>32605</v>
      </c>
      <c r="J6621" s="28" t="s">
        <v>39</v>
      </c>
      <c r="K6621" s="28" t="s">
        <v>32246</v>
      </c>
      <c r="L6621" s="28" t="s">
        <v>32247</v>
      </c>
      <c r="M6621" s="28" t="s">
        <v>32606</v>
      </c>
      <c r="N6621" s="28" t="s">
        <v>32249</v>
      </c>
      <c r="O6621" s="28" t="s">
        <v>32250</v>
      </c>
      <c r="P6621" s="28" t="s">
        <v>32251</v>
      </c>
    </row>
    <row r="6622" spans="1:16" x14ac:dyDescent="0.25">
      <c r="A6622" s="28" t="s">
        <v>32607</v>
      </c>
      <c r="B6622" s="28" t="s">
        <v>32608</v>
      </c>
      <c r="C6622" s="28" t="s">
        <v>25143</v>
      </c>
      <c r="D6622" s="28" t="s">
        <v>4101</v>
      </c>
      <c r="E6622" s="28" t="s">
        <v>28595</v>
      </c>
      <c r="F6622" s="28" t="s">
        <v>21</v>
      </c>
      <c r="G6622" s="28" t="s">
        <v>39</v>
      </c>
      <c r="H6622" s="28" t="s">
        <v>32244</v>
      </c>
      <c r="I6622" s="28" t="s">
        <v>32609</v>
      </c>
      <c r="J6622" s="28" t="s">
        <v>39</v>
      </c>
      <c r="K6622" s="28" t="s">
        <v>32246</v>
      </c>
      <c r="L6622" s="28" t="s">
        <v>32247</v>
      </c>
      <c r="M6622" s="28" t="s">
        <v>32610</v>
      </c>
      <c r="N6622" s="28" t="s">
        <v>32249</v>
      </c>
      <c r="O6622" s="28" t="s">
        <v>32250</v>
      </c>
      <c r="P6622" s="28" t="s">
        <v>32251</v>
      </c>
    </row>
    <row r="6623" spans="1:16" x14ac:dyDescent="0.25">
      <c r="A6623" s="28" t="s">
        <v>32611</v>
      </c>
      <c r="B6623" s="28" t="s">
        <v>32612</v>
      </c>
      <c r="C6623" s="28" t="s">
        <v>25143</v>
      </c>
      <c r="D6623" s="28" t="s">
        <v>4101</v>
      </c>
      <c r="E6623" s="28" t="s">
        <v>28595</v>
      </c>
      <c r="F6623" s="28" t="s">
        <v>21</v>
      </c>
      <c r="G6623" s="28" t="s">
        <v>39</v>
      </c>
      <c r="H6623" s="28" t="s">
        <v>32244</v>
      </c>
      <c r="I6623" s="28" t="s">
        <v>32613</v>
      </c>
      <c r="J6623" s="28" t="s">
        <v>39</v>
      </c>
      <c r="K6623" s="28" t="s">
        <v>32246</v>
      </c>
      <c r="L6623" s="28" t="s">
        <v>32247</v>
      </c>
      <c r="M6623" s="28" t="s">
        <v>32614</v>
      </c>
      <c r="N6623" s="28" t="s">
        <v>32249</v>
      </c>
      <c r="O6623" s="28" t="s">
        <v>32250</v>
      </c>
      <c r="P6623" s="28" t="s">
        <v>32251</v>
      </c>
    </row>
    <row r="6624" spans="1:16" x14ac:dyDescent="0.25">
      <c r="A6624" s="28" t="s">
        <v>32615</v>
      </c>
      <c r="B6624" s="28" t="s">
        <v>32616</v>
      </c>
      <c r="C6624" s="28" t="s">
        <v>25143</v>
      </c>
      <c r="D6624" s="28" t="s">
        <v>4101</v>
      </c>
      <c r="E6624" s="28" t="s">
        <v>28595</v>
      </c>
      <c r="F6624" s="28" t="s">
        <v>21</v>
      </c>
      <c r="G6624" s="28" t="s">
        <v>39</v>
      </c>
      <c r="H6624" s="28" t="s">
        <v>32244</v>
      </c>
      <c r="I6624" s="28" t="s">
        <v>32617</v>
      </c>
      <c r="J6624" s="28" t="s">
        <v>39</v>
      </c>
      <c r="K6624" s="28" t="s">
        <v>32246</v>
      </c>
      <c r="L6624" s="28" t="s">
        <v>32247</v>
      </c>
      <c r="M6624" s="28" t="s">
        <v>32618</v>
      </c>
      <c r="N6624" s="28" t="s">
        <v>32249</v>
      </c>
      <c r="O6624" s="28" t="s">
        <v>32250</v>
      </c>
      <c r="P6624" s="28" t="s">
        <v>32251</v>
      </c>
    </row>
    <row r="6625" spans="1:16" x14ac:dyDescent="0.25">
      <c r="A6625" s="28" t="s">
        <v>32619</v>
      </c>
      <c r="B6625" s="28" t="s">
        <v>32620</v>
      </c>
      <c r="C6625" s="28" t="s">
        <v>25143</v>
      </c>
      <c r="D6625" s="28" t="s">
        <v>4101</v>
      </c>
      <c r="E6625" s="28" t="s">
        <v>28595</v>
      </c>
      <c r="F6625" s="28" t="s">
        <v>21</v>
      </c>
      <c r="G6625" s="28" t="s">
        <v>39</v>
      </c>
      <c r="H6625" s="28" t="s">
        <v>32244</v>
      </c>
      <c r="I6625" s="28" t="s">
        <v>32621</v>
      </c>
      <c r="J6625" s="28" t="s">
        <v>39</v>
      </c>
      <c r="K6625" s="28" t="s">
        <v>32246</v>
      </c>
      <c r="L6625" s="28" t="s">
        <v>32247</v>
      </c>
      <c r="M6625" s="28" t="s">
        <v>32622</v>
      </c>
      <c r="N6625" s="28" t="s">
        <v>32249</v>
      </c>
      <c r="O6625" s="28" t="s">
        <v>32250</v>
      </c>
      <c r="P6625" s="28" t="s">
        <v>32251</v>
      </c>
    </row>
    <row r="6626" spans="1:16" x14ac:dyDescent="0.25">
      <c r="A6626" s="28" t="s">
        <v>32623</v>
      </c>
      <c r="B6626" s="28" t="s">
        <v>32624</v>
      </c>
      <c r="C6626" s="28" t="s">
        <v>25143</v>
      </c>
      <c r="D6626" s="28" t="s">
        <v>4101</v>
      </c>
      <c r="E6626" s="28" t="s">
        <v>28595</v>
      </c>
      <c r="F6626" s="28" t="s">
        <v>21</v>
      </c>
      <c r="G6626" s="28" t="s">
        <v>39</v>
      </c>
      <c r="H6626" s="28" t="s">
        <v>32244</v>
      </c>
      <c r="I6626" s="28" t="s">
        <v>32625</v>
      </c>
      <c r="J6626" s="28" t="s">
        <v>39</v>
      </c>
      <c r="K6626" s="28" t="s">
        <v>32246</v>
      </c>
      <c r="L6626" s="28" t="s">
        <v>32247</v>
      </c>
      <c r="M6626" s="28" t="s">
        <v>32626</v>
      </c>
      <c r="N6626" s="28" t="s">
        <v>32249</v>
      </c>
      <c r="O6626" s="28" t="s">
        <v>32250</v>
      </c>
      <c r="P6626" s="28" t="s">
        <v>32251</v>
      </c>
    </row>
    <row r="6627" spans="1:16" x14ac:dyDescent="0.25">
      <c r="A6627" s="28" t="s">
        <v>32627</v>
      </c>
      <c r="B6627" s="28" t="s">
        <v>32628</v>
      </c>
      <c r="C6627" s="28" t="s">
        <v>25143</v>
      </c>
      <c r="D6627" s="28" t="s">
        <v>4101</v>
      </c>
      <c r="E6627" s="28" t="s">
        <v>28595</v>
      </c>
      <c r="F6627" s="28" t="s">
        <v>21</v>
      </c>
      <c r="G6627" s="28" t="s">
        <v>39</v>
      </c>
      <c r="H6627" s="28" t="s">
        <v>32244</v>
      </c>
      <c r="I6627" s="28" t="s">
        <v>32629</v>
      </c>
      <c r="J6627" s="28" t="s">
        <v>39</v>
      </c>
      <c r="K6627" s="28" t="s">
        <v>32246</v>
      </c>
      <c r="L6627" s="28" t="s">
        <v>32247</v>
      </c>
      <c r="M6627" s="28" t="s">
        <v>32630</v>
      </c>
      <c r="N6627" s="28" t="s">
        <v>32249</v>
      </c>
      <c r="O6627" s="28" t="s">
        <v>32250</v>
      </c>
      <c r="P6627" s="28" t="s">
        <v>32251</v>
      </c>
    </row>
    <row r="6628" spans="1:16" x14ac:dyDescent="0.25">
      <c r="A6628" s="28" t="s">
        <v>32631</v>
      </c>
      <c r="B6628" s="28" t="s">
        <v>32632</v>
      </c>
      <c r="C6628" s="28" t="s">
        <v>25143</v>
      </c>
      <c r="D6628" s="28" t="s">
        <v>4101</v>
      </c>
      <c r="E6628" s="28" t="s">
        <v>28595</v>
      </c>
      <c r="F6628" s="28" t="s">
        <v>21</v>
      </c>
      <c r="G6628" s="28" t="s">
        <v>39</v>
      </c>
      <c r="H6628" s="28" t="s">
        <v>32244</v>
      </c>
      <c r="I6628" s="28" t="s">
        <v>32633</v>
      </c>
      <c r="J6628" s="28" t="s">
        <v>39</v>
      </c>
      <c r="K6628" s="28" t="s">
        <v>32246</v>
      </c>
      <c r="L6628" s="28" t="s">
        <v>32247</v>
      </c>
      <c r="M6628" s="28" t="s">
        <v>32634</v>
      </c>
      <c r="N6628" s="28" t="s">
        <v>32249</v>
      </c>
      <c r="O6628" s="28" t="s">
        <v>32250</v>
      </c>
      <c r="P6628" s="28" t="s">
        <v>32251</v>
      </c>
    </row>
    <row r="6629" spans="1:16" x14ac:dyDescent="0.25">
      <c r="A6629" s="28" t="s">
        <v>32635</v>
      </c>
      <c r="B6629" s="28" t="s">
        <v>32636</v>
      </c>
      <c r="C6629" s="28" t="s">
        <v>25143</v>
      </c>
      <c r="D6629" s="28" t="s">
        <v>4101</v>
      </c>
      <c r="E6629" s="28" t="s">
        <v>28595</v>
      </c>
      <c r="F6629" s="28" t="s">
        <v>21</v>
      </c>
      <c r="G6629" s="28" t="s">
        <v>39</v>
      </c>
      <c r="H6629" s="28" t="s">
        <v>32244</v>
      </c>
      <c r="I6629" s="28" t="s">
        <v>32637</v>
      </c>
      <c r="J6629" s="28" t="s">
        <v>39</v>
      </c>
      <c r="K6629" s="28" t="s">
        <v>32246</v>
      </c>
      <c r="L6629" s="28" t="s">
        <v>32247</v>
      </c>
      <c r="M6629" s="28" t="s">
        <v>32638</v>
      </c>
      <c r="N6629" s="28" t="s">
        <v>32249</v>
      </c>
      <c r="O6629" s="28" t="s">
        <v>32250</v>
      </c>
      <c r="P6629" s="28" t="s">
        <v>32251</v>
      </c>
    </row>
    <row r="6630" spans="1:16" x14ac:dyDescent="0.25">
      <c r="A6630" s="28" t="s">
        <v>32639</v>
      </c>
      <c r="B6630" s="28" t="s">
        <v>32640</v>
      </c>
      <c r="C6630" s="28" t="s">
        <v>25143</v>
      </c>
      <c r="D6630" s="28" t="s">
        <v>4101</v>
      </c>
      <c r="E6630" s="28" t="s">
        <v>28595</v>
      </c>
      <c r="F6630" s="28" t="s">
        <v>21</v>
      </c>
      <c r="G6630" s="28" t="s">
        <v>39</v>
      </c>
      <c r="H6630" s="28" t="s">
        <v>32244</v>
      </c>
      <c r="I6630" s="28" t="s">
        <v>32641</v>
      </c>
      <c r="J6630" s="28" t="s">
        <v>39</v>
      </c>
      <c r="K6630" s="28" t="s">
        <v>32246</v>
      </c>
      <c r="L6630" s="28" t="s">
        <v>32247</v>
      </c>
      <c r="M6630" s="28" t="s">
        <v>32642</v>
      </c>
      <c r="N6630" s="28" t="s">
        <v>32249</v>
      </c>
      <c r="O6630" s="28" t="s">
        <v>32250</v>
      </c>
      <c r="P6630" s="28" t="s">
        <v>32251</v>
      </c>
    </row>
    <row r="6631" spans="1:16" x14ac:dyDescent="0.25">
      <c r="A6631" s="28" t="s">
        <v>32643</v>
      </c>
      <c r="B6631" s="28" t="s">
        <v>32644</v>
      </c>
      <c r="C6631" s="28" t="s">
        <v>25143</v>
      </c>
      <c r="D6631" s="28" t="s">
        <v>4101</v>
      </c>
      <c r="E6631" s="28" t="s">
        <v>28685</v>
      </c>
      <c r="F6631" s="28" t="s">
        <v>21</v>
      </c>
      <c r="G6631" s="28" t="s">
        <v>39</v>
      </c>
      <c r="H6631" s="28" t="s">
        <v>32244</v>
      </c>
      <c r="I6631" s="28" t="s">
        <v>32645</v>
      </c>
      <c r="J6631" s="28" t="s">
        <v>39</v>
      </c>
      <c r="K6631" s="28" t="s">
        <v>32246</v>
      </c>
      <c r="L6631" s="28" t="s">
        <v>32247</v>
      </c>
      <c r="M6631" s="28" t="s">
        <v>32646</v>
      </c>
      <c r="N6631" s="28" t="s">
        <v>32249</v>
      </c>
      <c r="O6631" s="28" t="s">
        <v>32250</v>
      </c>
      <c r="P6631" s="28" t="s">
        <v>32251</v>
      </c>
    </row>
    <row r="6632" spans="1:16" x14ac:dyDescent="0.25">
      <c r="A6632" s="28" t="s">
        <v>32647</v>
      </c>
      <c r="B6632" s="28" t="s">
        <v>32648</v>
      </c>
      <c r="C6632" s="28" t="s">
        <v>25143</v>
      </c>
      <c r="D6632" s="28" t="s">
        <v>4101</v>
      </c>
      <c r="E6632" s="28" t="s">
        <v>28685</v>
      </c>
      <c r="F6632" s="28" t="s">
        <v>21</v>
      </c>
      <c r="G6632" s="28" t="s">
        <v>39</v>
      </c>
      <c r="H6632" s="28" t="s">
        <v>32244</v>
      </c>
      <c r="I6632" s="28" t="s">
        <v>32649</v>
      </c>
      <c r="J6632" s="28" t="s">
        <v>39</v>
      </c>
      <c r="K6632" s="28" t="s">
        <v>32246</v>
      </c>
      <c r="L6632" s="28" t="s">
        <v>32247</v>
      </c>
      <c r="M6632" s="28" t="s">
        <v>32650</v>
      </c>
      <c r="N6632" s="28" t="s">
        <v>32249</v>
      </c>
      <c r="O6632" s="28" t="s">
        <v>32250</v>
      </c>
      <c r="P6632" s="28" t="s">
        <v>32251</v>
      </c>
    </row>
    <row r="6633" spans="1:16" x14ac:dyDescent="0.25">
      <c r="A6633" s="28" t="s">
        <v>32651</v>
      </c>
      <c r="B6633" s="28" t="s">
        <v>32652</v>
      </c>
      <c r="C6633" s="28" t="s">
        <v>25143</v>
      </c>
      <c r="D6633" s="28" t="s">
        <v>4101</v>
      </c>
      <c r="E6633" s="28" t="s">
        <v>28685</v>
      </c>
      <c r="F6633" s="28" t="s">
        <v>21</v>
      </c>
      <c r="G6633" s="28" t="s">
        <v>39</v>
      </c>
      <c r="H6633" s="28" t="s">
        <v>32244</v>
      </c>
      <c r="I6633" s="28" t="s">
        <v>32653</v>
      </c>
      <c r="J6633" s="28" t="s">
        <v>39</v>
      </c>
      <c r="K6633" s="28" t="s">
        <v>32246</v>
      </c>
      <c r="L6633" s="28" t="s">
        <v>32247</v>
      </c>
      <c r="M6633" s="28" t="s">
        <v>32654</v>
      </c>
      <c r="N6633" s="28" t="s">
        <v>32249</v>
      </c>
      <c r="O6633" s="28" t="s">
        <v>32250</v>
      </c>
      <c r="P6633" s="28" t="s">
        <v>32251</v>
      </c>
    </row>
    <row r="6634" spans="1:16" x14ac:dyDescent="0.25">
      <c r="A6634" s="28" t="s">
        <v>32655</v>
      </c>
      <c r="B6634" s="28" t="s">
        <v>32656</v>
      </c>
      <c r="C6634" s="28" t="s">
        <v>25143</v>
      </c>
      <c r="D6634" s="28" t="s">
        <v>4101</v>
      </c>
      <c r="E6634" s="28" t="s">
        <v>28685</v>
      </c>
      <c r="F6634" s="28" t="s">
        <v>21</v>
      </c>
      <c r="G6634" s="28" t="s">
        <v>39</v>
      </c>
      <c r="H6634" s="28" t="s">
        <v>32244</v>
      </c>
      <c r="I6634" s="28" t="s">
        <v>32657</v>
      </c>
      <c r="J6634" s="28" t="s">
        <v>39</v>
      </c>
      <c r="K6634" s="28" t="s">
        <v>32246</v>
      </c>
      <c r="L6634" s="28" t="s">
        <v>32247</v>
      </c>
      <c r="M6634" s="28" t="s">
        <v>32658</v>
      </c>
      <c r="N6634" s="28" t="s">
        <v>32249</v>
      </c>
      <c r="O6634" s="28" t="s">
        <v>32250</v>
      </c>
      <c r="P6634" s="28" t="s">
        <v>32251</v>
      </c>
    </row>
    <row r="6635" spans="1:16" x14ac:dyDescent="0.25">
      <c r="A6635" s="28" t="s">
        <v>32659</v>
      </c>
      <c r="B6635" s="28" t="s">
        <v>32660</v>
      </c>
      <c r="C6635" s="28" t="s">
        <v>25143</v>
      </c>
      <c r="D6635" s="28" t="s">
        <v>4101</v>
      </c>
      <c r="E6635" s="28" t="s">
        <v>28685</v>
      </c>
      <c r="F6635" s="28" t="s">
        <v>21</v>
      </c>
      <c r="G6635" s="28" t="s">
        <v>39</v>
      </c>
      <c r="H6635" s="28" t="s">
        <v>32244</v>
      </c>
      <c r="I6635" s="28" t="s">
        <v>32661</v>
      </c>
      <c r="J6635" s="28" t="s">
        <v>39</v>
      </c>
      <c r="K6635" s="28" t="s">
        <v>32246</v>
      </c>
      <c r="L6635" s="28" t="s">
        <v>32247</v>
      </c>
      <c r="M6635" s="28" t="s">
        <v>32662</v>
      </c>
      <c r="N6635" s="28" t="s">
        <v>32249</v>
      </c>
      <c r="O6635" s="28" t="s">
        <v>32250</v>
      </c>
      <c r="P6635" s="28" t="s">
        <v>32251</v>
      </c>
    </row>
    <row r="6636" spans="1:16" x14ac:dyDescent="0.25">
      <c r="A6636" s="28" t="s">
        <v>32663</v>
      </c>
      <c r="B6636" s="28" t="s">
        <v>32664</v>
      </c>
      <c r="C6636" s="28" t="s">
        <v>25143</v>
      </c>
      <c r="D6636" s="28" t="s">
        <v>4101</v>
      </c>
      <c r="E6636" s="28" t="s">
        <v>28685</v>
      </c>
      <c r="F6636" s="28" t="s">
        <v>21</v>
      </c>
      <c r="G6636" s="28" t="s">
        <v>39</v>
      </c>
      <c r="H6636" s="28" t="s">
        <v>32244</v>
      </c>
      <c r="I6636" s="28" t="s">
        <v>32665</v>
      </c>
      <c r="J6636" s="28" t="s">
        <v>39</v>
      </c>
      <c r="K6636" s="28" t="s">
        <v>32246</v>
      </c>
      <c r="L6636" s="28" t="s">
        <v>32247</v>
      </c>
      <c r="M6636" s="28" t="s">
        <v>32666</v>
      </c>
      <c r="N6636" s="28" t="s">
        <v>32249</v>
      </c>
      <c r="O6636" s="28" t="s">
        <v>32250</v>
      </c>
      <c r="P6636" s="28" t="s">
        <v>32251</v>
      </c>
    </row>
    <row r="6637" spans="1:16" x14ac:dyDescent="0.25">
      <c r="A6637" s="28" t="s">
        <v>32667</v>
      </c>
      <c r="B6637" s="28" t="s">
        <v>32668</v>
      </c>
      <c r="C6637" s="28" t="s">
        <v>25143</v>
      </c>
      <c r="D6637" s="28" t="s">
        <v>4101</v>
      </c>
      <c r="E6637" s="28" t="s">
        <v>28685</v>
      </c>
      <c r="F6637" s="28" t="s">
        <v>21</v>
      </c>
      <c r="G6637" s="28" t="s">
        <v>39</v>
      </c>
      <c r="H6637" s="28" t="s">
        <v>32244</v>
      </c>
      <c r="I6637" s="28" t="s">
        <v>32669</v>
      </c>
      <c r="J6637" s="28" t="s">
        <v>39</v>
      </c>
      <c r="K6637" s="28" t="s">
        <v>32246</v>
      </c>
      <c r="L6637" s="28" t="s">
        <v>32247</v>
      </c>
      <c r="M6637" s="28" t="s">
        <v>32670</v>
      </c>
      <c r="N6637" s="28" t="s">
        <v>32249</v>
      </c>
      <c r="O6637" s="28" t="s">
        <v>32250</v>
      </c>
      <c r="P6637" s="28" t="s">
        <v>32251</v>
      </c>
    </row>
    <row r="6638" spans="1:16" x14ac:dyDescent="0.25">
      <c r="A6638" s="28" t="s">
        <v>32671</v>
      </c>
      <c r="B6638" s="28" t="s">
        <v>32672</v>
      </c>
      <c r="C6638" s="28" t="s">
        <v>25143</v>
      </c>
      <c r="D6638" s="28" t="s">
        <v>4101</v>
      </c>
      <c r="E6638" s="28" t="s">
        <v>28685</v>
      </c>
      <c r="F6638" s="28" t="s">
        <v>21</v>
      </c>
      <c r="G6638" s="28" t="s">
        <v>39</v>
      </c>
      <c r="H6638" s="28" t="s">
        <v>32244</v>
      </c>
      <c r="I6638" s="28" t="s">
        <v>32673</v>
      </c>
      <c r="J6638" s="28" t="s">
        <v>39</v>
      </c>
      <c r="K6638" s="28" t="s">
        <v>32246</v>
      </c>
      <c r="L6638" s="28" t="s">
        <v>32247</v>
      </c>
      <c r="M6638" s="28" t="s">
        <v>32674</v>
      </c>
      <c r="N6638" s="28" t="s">
        <v>32249</v>
      </c>
      <c r="O6638" s="28" t="s">
        <v>32250</v>
      </c>
      <c r="P6638" s="28" t="s">
        <v>32251</v>
      </c>
    </row>
    <row r="6639" spans="1:16" x14ac:dyDescent="0.25">
      <c r="A6639" s="28" t="s">
        <v>32675</v>
      </c>
      <c r="B6639" s="28" t="s">
        <v>32676</v>
      </c>
      <c r="C6639" s="28" t="s">
        <v>25143</v>
      </c>
      <c r="D6639" s="28" t="s">
        <v>4101</v>
      </c>
      <c r="E6639" s="28" t="s">
        <v>28685</v>
      </c>
      <c r="F6639" s="28" t="s">
        <v>21</v>
      </c>
      <c r="G6639" s="28" t="s">
        <v>39</v>
      </c>
      <c r="H6639" s="28" t="s">
        <v>32244</v>
      </c>
      <c r="I6639" s="28" t="s">
        <v>32677</v>
      </c>
      <c r="J6639" s="28" t="s">
        <v>39</v>
      </c>
      <c r="K6639" s="28" t="s">
        <v>32246</v>
      </c>
      <c r="L6639" s="28" t="s">
        <v>32247</v>
      </c>
      <c r="M6639" s="28" t="s">
        <v>32678</v>
      </c>
      <c r="N6639" s="28" t="s">
        <v>32249</v>
      </c>
      <c r="O6639" s="28" t="s">
        <v>32250</v>
      </c>
      <c r="P6639" s="28" t="s">
        <v>32251</v>
      </c>
    </row>
    <row r="6640" spans="1:16" x14ac:dyDescent="0.25">
      <c r="A6640" s="28" t="s">
        <v>32679</v>
      </c>
      <c r="B6640" s="28" t="s">
        <v>32680</v>
      </c>
      <c r="C6640" s="28" t="s">
        <v>25143</v>
      </c>
      <c r="D6640" s="28" t="s">
        <v>4101</v>
      </c>
      <c r="E6640" s="28" t="s">
        <v>28685</v>
      </c>
      <c r="F6640" s="28" t="s">
        <v>21</v>
      </c>
      <c r="G6640" s="28" t="s">
        <v>39</v>
      </c>
      <c r="H6640" s="28" t="s">
        <v>32244</v>
      </c>
      <c r="I6640" s="28" t="s">
        <v>32681</v>
      </c>
      <c r="J6640" s="28" t="s">
        <v>39</v>
      </c>
      <c r="K6640" s="28" t="s">
        <v>32246</v>
      </c>
      <c r="L6640" s="28" t="s">
        <v>32247</v>
      </c>
      <c r="M6640" s="28" t="s">
        <v>32682</v>
      </c>
      <c r="N6640" s="28" t="s">
        <v>32249</v>
      </c>
      <c r="O6640" s="28" t="s">
        <v>32250</v>
      </c>
      <c r="P6640" s="28" t="s">
        <v>32251</v>
      </c>
    </row>
    <row r="6641" spans="1:16" x14ac:dyDescent="0.25">
      <c r="A6641" s="28" t="s">
        <v>32683</v>
      </c>
      <c r="B6641" s="28" t="s">
        <v>32684</v>
      </c>
      <c r="C6641" s="28" t="s">
        <v>25143</v>
      </c>
      <c r="D6641" s="28" t="s">
        <v>4101</v>
      </c>
      <c r="E6641" s="28" t="s">
        <v>28685</v>
      </c>
      <c r="F6641" s="28" t="s">
        <v>21</v>
      </c>
      <c r="G6641" s="28" t="s">
        <v>39</v>
      </c>
      <c r="H6641" s="28" t="s">
        <v>32244</v>
      </c>
      <c r="I6641" s="28" t="s">
        <v>32685</v>
      </c>
      <c r="J6641" s="28" t="s">
        <v>39</v>
      </c>
      <c r="K6641" s="28" t="s">
        <v>32246</v>
      </c>
      <c r="L6641" s="28" t="s">
        <v>32247</v>
      </c>
      <c r="M6641" s="28" t="s">
        <v>32686</v>
      </c>
      <c r="N6641" s="28" t="s">
        <v>32249</v>
      </c>
      <c r="O6641" s="28" t="s">
        <v>32250</v>
      </c>
      <c r="P6641" s="28" t="s">
        <v>32251</v>
      </c>
    </row>
    <row r="6642" spans="1:16" x14ac:dyDescent="0.25">
      <c r="A6642" s="28" t="s">
        <v>32687</v>
      </c>
      <c r="B6642" s="28" t="s">
        <v>32688</v>
      </c>
      <c r="C6642" s="28" t="s">
        <v>25143</v>
      </c>
      <c r="D6642" s="28" t="s">
        <v>4101</v>
      </c>
      <c r="E6642" s="28" t="s">
        <v>28685</v>
      </c>
      <c r="F6642" s="28" t="s">
        <v>21</v>
      </c>
      <c r="G6642" s="28" t="s">
        <v>39</v>
      </c>
      <c r="H6642" s="28" t="s">
        <v>32244</v>
      </c>
      <c r="I6642" s="28" t="s">
        <v>32689</v>
      </c>
      <c r="J6642" s="28" t="s">
        <v>39</v>
      </c>
      <c r="K6642" s="28" t="s">
        <v>32246</v>
      </c>
      <c r="L6642" s="28" t="s">
        <v>32247</v>
      </c>
      <c r="M6642" s="28" t="s">
        <v>32690</v>
      </c>
      <c r="N6642" s="28" t="s">
        <v>32249</v>
      </c>
      <c r="O6642" s="28" t="s">
        <v>32250</v>
      </c>
      <c r="P6642" s="28" t="s">
        <v>32251</v>
      </c>
    </row>
    <row r="6643" spans="1:16" x14ac:dyDescent="0.25">
      <c r="A6643" s="28" t="s">
        <v>32691</v>
      </c>
      <c r="B6643" s="28" t="s">
        <v>32692</v>
      </c>
      <c r="C6643" s="28" t="s">
        <v>25143</v>
      </c>
      <c r="D6643" s="28" t="s">
        <v>4101</v>
      </c>
      <c r="E6643" s="28" t="s">
        <v>28685</v>
      </c>
      <c r="F6643" s="28" t="s">
        <v>21</v>
      </c>
      <c r="G6643" s="28" t="s">
        <v>39</v>
      </c>
      <c r="H6643" s="28" t="s">
        <v>32244</v>
      </c>
      <c r="I6643" s="28" t="s">
        <v>32693</v>
      </c>
      <c r="J6643" s="28" t="s">
        <v>39</v>
      </c>
      <c r="K6643" s="28" t="s">
        <v>32246</v>
      </c>
      <c r="L6643" s="28" t="s">
        <v>32247</v>
      </c>
      <c r="M6643" s="28" t="s">
        <v>32694</v>
      </c>
      <c r="N6643" s="28" t="s">
        <v>32249</v>
      </c>
      <c r="O6643" s="28" t="s">
        <v>32250</v>
      </c>
      <c r="P6643" s="28" t="s">
        <v>32251</v>
      </c>
    </row>
    <row r="6644" spans="1:16" x14ac:dyDescent="0.25">
      <c r="A6644" s="28" t="s">
        <v>32695</v>
      </c>
      <c r="B6644" s="28" t="s">
        <v>32696</v>
      </c>
      <c r="C6644" s="28" t="s">
        <v>25143</v>
      </c>
      <c r="D6644" s="28" t="s">
        <v>4101</v>
      </c>
      <c r="E6644" s="28" t="s">
        <v>28685</v>
      </c>
      <c r="F6644" s="28" t="s">
        <v>21</v>
      </c>
      <c r="G6644" s="28" t="s">
        <v>39</v>
      </c>
      <c r="H6644" s="28" t="s">
        <v>32244</v>
      </c>
      <c r="I6644" s="28" t="s">
        <v>32697</v>
      </c>
      <c r="J6644" s="28" t="s">
        <v>39</v>
      </c>
      <c r="K6644" s="28" t="s">
        <v>32246</v>
      </c>
      <c r="L6644" s="28" t="s">
        <v>32247</v>
      </c>
      <c r="M6644" s="28" t="s">
        <v>32698</v>
      </c>
      <c r="N6644" s="28" t="s">
        <v>32249</v>
      </c>
      <c r="O6644" s="28" t="s">
        <v>32250</v>
      </c>
      <c r="P6644" s="28" t="s">
        <v>32251</v>
      </c>
    </row>
    <row r="6645" spans="1:16" x14ac:dyDescent="0.25">
      <c r="A6645" s="28" t="s">
        <v>32699</v>
      </c>
      <c r="B6645" s="28" t="s">
        <v>32700</v>
      </c>
      <c r="C6645" s="28" t="s">
        <v>25143</v>
      </c>
      <c r="D6645" s="28" t="s">
        <v>4101</v>
      </c>
      <c r="E6645" s="28" t="s">
        <v>28685</v>
      </c>
      <c r="F6645" s="28" t="s">
        <v>21</v>
      </c>
      <c r="G6645" s="28" t="s">
        <v>39</v>
      </c>
      <c r="H6645" s="28" t="s">
        <v>32244</v>
      </c>
      <c r="I6645" s="28" t="s">
        <v>32701</v>
      </c>
      <c r="J6645" s="28" t="s">
        <v>39</v>
      </c>
      <c r="K6645" s="28" t="s">
        <v>32246</v>
      </c>
      <c r="L6645" s="28" t="s">
        <v>32247</v>
      </c>
      <c r="M6645" s="28" t="s">
        <v>32702</v>
      </c>
      <c r="N6645" s="28" t="s">
        <v>32249</v>
      </c>
      <c r="O6645" s="28" t="s">
        <v>32250</v>
      </c>
      <c r="P6645" s="28" t="s">
        <v>32251</v>
      </c>
    </row>
    <row r="6646" spans="1:16" x14ac:dyDescent="0.25">
      <c r="A6646" s="28" t="s">
        <v>32703</v>
      </c>
      <c r="B6646" s="28" t="s">
        <v>32704</v>
      </c>
      <c r="C6646" s="28" t="s">
        <v>25143</v>
      </c>
      <c r="D6646" s="28" t="s">
        <v>4101</v>
      </c>
      <c r="E6646" s="28" t="s">
        <v>28685</v>
      </c>
      <c r="F6646" s="28" t="s">
        <v>21</v>
      </c>
      <c r="G6646" s="28" t="s">
        <v>39</v>
      </c>
      <c r="H6646" s="28" t="s">
        <v>32244</v>
      </c>
      <c r="I6646" s="28" t="s">
        <v>32705</v>
      </c>
      <c r="J6646" s="28" t="s">
        <v>39</v>
      </c>
      <c r="K6646" s="28" t="s">
        <v>32246</v>
      </c>
      <c r="L6646" s="28" t="s">
        <v>32247</v>
      </c>
      <c r="M6646" s="28" t="s">
        <v>32706</v>
      </c>
      <c r="N6646" s="28" t="s">
        <v>32249</v>
      </c>
      <c r="O6646" s="28" t="s">
        <v>32250</v>
      </c>
      <c r="P6646" s="28" t="s">
        <v>32251</v>
      </c>
    </row>
    <row r="6647" spans="1:16" x14ac:dyDescent="0.25">
      <c r="A6647" s="28" t="s">
        <v>32707</v>
      </c>
      <c r="B6647" s="28" t="s">
        <v>32708</v>
      </c>
      <c r="C6647" s="28" t="s">
        <v>25143</v>
      </c>
      <c r="D6647" s="28" t="s">
        <v>4101</v>
      </c>
      <c r="E6647" s="28" t="s">
        <v>28685</v>
      </c>
      <c r="F6647" s="28" t="s">
        <v>21</v>
      </c>
      <c r="G6647" s="28" t="s">
        <v>39</v>
      </c>
      <c r="H6647" s="28" t="s">
        <v>32244</v>
      </c>
      <c r="I6647" s="28" t="s">
        <v>32709</v>
      </c>
      <c r="J6647" s="28" t="s">
        <v>39</v>
      </c>
      <c r="K6647" s="28" t="s">
        <v>32246</v>
      </c>
      <c r="L6647" s="28" t="s">
        <v>32247</v>
      </c>
      <c r="M6647" s="28" t="s">
        <v>32710</v>
      </c>
      <c r="N6647" s="28" t="s">
        <v>32249</v>
      </c>
      <c r="O6647" s="28" t="s">
        <v>32250</v>
      </c>
      <c r="P6647" s="28" t="s">
        <v>32251</v>
      </c>
    </row>
    <row r="6648" spans="1:16" x14ac:dyDescent="0.25">
      <c r="A6648" s="28" t="s">
        <v>32711</v>
      </c>
      <c r="B6648" s="28" t="s">
        <v>32712</v>
      </c>
      <c r="C6648" s="28" t="s">
        <v>25143</v>
      </c>
      <c r="D6648" s="28" t="s">
        <v>4101</v>
      </c>
      <c r="E6648" s="28" t="s">
        <v>28685</v>
      </c>
      <c r="F6648" s="28" t="s">
        <v>21</v>
      </c>
      <c r="G6648" s="28" t="s">
        <v>39</v>
      </c>
      <c r="H6648" s="28" t="s">
        <v>32244</v>
      </c>
      <c r="I6648" s="28" t="s">
        <v>32713</v>
      </c>
      <c r="J6648" s="28" t="s">
        <v>39</v>
      </c>
      <c r="K6648" s="28" t="s">
        <v>32246</v>
      </c>
      <c r="L6648" s="28" t="s">
        <v>32247</v>
      </c>
      <c r="M6648" s="28" t="s">
        <v>32714</v>
      </c>
      <c r="N6648" s="28" t="s">
        <v>32249</v>
      </c>
      <c r="O6648" s="28" t="s">
        <v>32250</v>
      </c>
      <c r="P6648" s="28" t="s">
        <v>32251</v>
      </c>
    </row>
    <row r="6649" spans="1:16" x14ac:dyDescent="0.25">
      <c r="A6649" s="28" t="s">
        <v>32715</v>
      </c>
      <c r="B6649" s="28" t="s">
        <v>32716</v>
      </c>
      <c r="C6649" s="28" t="s">
        <v>25143</v>
      </c>
      <c r="D6649" s="28" t="s">
        <v>4101</v>
      </c>
      <c r="E6649" s="28" t="s">
        <v>28685</v>
      </c>
      <c r="F6649" s="28" t="s">
        <v>21</v>
      </c>
      <c r="G6649" s="28" t="s">
        <v>39</v>
      </c>
      <c r="H6649" s="28" t="s">
        <v>32244</v>
      </c>
      <c r="I6649" s="28" t="s">
        <v>32717</v>
      </c>
      <c r="J6649" s="28" t="s">
        <v>39</v>
      </c>
      <c r="K6649" s="28" t="s">
        <v>32246</v>
      </c>
      <c r="L6649" s="28" t="s">
        <v>32247</v>
      </c>
      <c r="M6649" s="28" t="s">
        <v>32718</v>
      </c>
      <c r="N6649" s="28" t="s">
        <v>32249</v>
      </c>
      <c r="O6649" s="28" t="s">
        <v>32250</v>
      </c>
      <c r="P6649" s="28" t="s">
        <v>32251</v>
      </c>
    </row>
    <row r="6650" spans="1:16" x14ac:dyDescent="0.25">
      <c r="A6650" s="28" t="s">
        <v>32719</v>
      </c>
      <c r="B6650" s="28" t="s">
        <v>32720</v>
      </c>
      <c r="C6650" s="28" t="s">
        <v>25143</v>
      </c>
      <c r="D6650" s="28" t="s">
        <v>4101</v>
      </c>
      <c r="E6650" s="28" t="s">
        <v>28685</v>
      </c>
      <c r="F6650" s="28" t="s">
        <v>21</v>
      </c>
      <c r="G6650" s="28" t="s">
        <v>39</v>
      </c>
      <c r="H6650" s="28" t="s">
        <v>32244</v>
      </c>
      <c r="I6650" s="28" t="s">
        <v>32721</v>
      </c>
      <c r="J6650" s="28" t="s">
        <v>39</v>
      </c>
      <c r="K6650" s="28" t="s">
        <v>32246</v>
      </c>
      <c r="L6650" s="28" t="s">
        <v>32247</v>
      </c>
      <c r="M6650" s="28" t="s">
        <v>32722</v>
      </c>
      <c r="N6650" s="28" t="s">
        <v>32249</v>
      </c>
      <c r="O6650" s="28" t="s">
        <v>32250</v>
      </c>
      <c r="P6650" s="28" t="s">
        <v>32251</v>
      </c>
    </row>
    <row r="6651" spans="1:16" x14ac:dyDescent="0.25">
      <c r="A6651" s="28" t="s">
        <v>32723</v>
      </c>
      <c r="B6651" s="28" t="s">
        <v>32724</v>
      </c>
      <c r="C6651" s="28" t="s">
        <v>25143</v>
      </c>
      <c r="D6651" s="28" t="s">
        <v>4101</v>
      </c>
      <c r="E6651" s="28" t="s">
        <v>28685</v>
      </c>
      <c r="F6651" s="28" t="s">
        <v>21</v>
      </c>
      <c r="G6651" s="28" t="s">
        <v>39</v>
      </c>
      <c r="H6651" s="28" t="s">
        <v>32244</v>
      </c>
      <c r="I6651" s="28" t="s">
        <v>32725</v>
      </c>
      <c r="J6651" s="28" t="s">
        <v>39</v>
      </c>
      <c r="K6651" s="28" t="s">
        <v>32246</v>
      </c>
      <c r="L6651" s="28" t="s">
        <v>32247</v>
      </c>
      <c r="M6651" s="28" t="s">
        <v>32726</v>
      </c>
      <c r="N6651" s="28" t="s">
        <v>32249</v>
      </c>
      <c r="O6651" s="28" t="s">
        <v>32250</v>
      </c>
      <c r="P6651" s="28" t="s">
        <v>32251</v>
      </c>
    </row>
    <row r="6652" spans="1:16" x14ac:dyDescent="0.25">
      <c r="A6652" s="28" t="s">
        <v>32727</v>
      </c>
      <c r="B6652" s="28" t="s">
        <v>32728</v>
      </c>
      <c r="C6652" s="28" t="s">
        <v>25143</v>
      </c>
      <c r="D6652" s="28" t="s">
        <v>4101</v>
      </c>
      <c r="E6652" s="28" t="s">
        <v>28685</v>
      </c>
      <c r="F6652" s="28" t="s">
        <v>21</v>
      </c>
      <c r="G6652" s="28" t="s">
        <v>39</v>
      </c>
      <c r="H6652" s="28" t="s">
        <v>32244</v>
      </c>
      <c r="I6652" s="28" t="s">
        <v>32729</v>
      </c>
      <c r="J6652" s="28" t="s">
        <v>39</v>
      </c>
      <c r="K6652" s="28" t="s">
        <v>32246</v>
      </c>
      <c r="L6652" s="28" t="s">
        <v>32247</v>
      </c>
      <c r="M6652" s="28" t="s">
        <v>32730</v>
      </c>
      <c r="N6652" s="28" t="s">
        <v>32249</v>
      </c>
      <c r="O6652" s="28" t="s">
        <v>32250</v>
      </c>
      <c r="P6652" s="28" t="s">
        <v>32251</v>
      </c>
    </row>
    <row r="6653" spans="1:16" x14ac:dyDescent="0.25">
      <c r="A6653" s="28" t="s">
        <v>32731</v>
      </c>
      <c r="B6653" s="28" t="s">
        <v>32732</v>
      </c>
      <c r="C6653" s="28" t="s">
        <v>25143</v>
      </c>
      <c r="D6653" s="28" t="s">
        <v>4101</v>
      </c>
      <c r="E6653" s="28" t="s">
        <v>18317</v>
      </c>
      <c r="F6653" s="28" t="s">
        <v>21</v>
      </c>
      <c r="G6653" s="28" t="s">
        <v>39</v>
      </c>
      <c r="H6653" s="28" t="s">
        <v>32244</v>
      </c>
      <c r="I6653" s="28" t="s">
        <v>32733</v>
      </c>
      <c r="J6653" s="28" t="s">
        <v>39</v>
      </c>
      <c r="K6653" s="28" t="s">
        <v>32246</v>
      </c>
      <c r="L6653" s="28" t="s">
        <v>32247</v>
      </c>
      <c r="M6653" s="28" t="s">
        <v>32734</v>
      </c>
      <c r="N6653" s="28" t="s">
        <v>32249</v>
      </c>
      <c r="O6653" s="28" t="s">
        <v>32250</v>
      </c>
      <c r="P6653" s="28" t="s">
        <v>32251</v>
      </c>
    </row>
    <row r="6654" spans="1:16" x14ac:dyDescent="0.25">
      <c r="A6654" s="28" t="s">
        <v>32735</v>
      </c>
      <c r="B6654" s="28" t="s">
        <v>32736</v>
      </c>
      <c r="C6654" s="28" t="s">
        <v>25143</v>
      </c>
      <c r="D6654" s="28" t="s">
        <v>101</v>
      </c>
      <c r="E6654" s="28" t="s">
        <v>5493</v>
      </c>
      <c r="F6654" s="28" t="s">
        <v>21</v>
      </c>
      <c r="G6654" s="28" t="s">
        <v>39</v>
      </c>
      <c r="H6654" s="28" t="s">
        <v>32244</v>
      </c>
      <c r="I6654" s="28" t="s">
        <v>32737</v>
      </c>
      <c r="J6654" s="28" t="s">
        <v>39</v>
      </c>
      <c r="K6654" s="28" t="s">
        <v>32246</v>
      </c>
      <c r="L6654" s="28" t="s">
        <v>32247</v>
      </c>
      <c r="M6654" s="28" t="s">
        <v>32738</v>
      </c>
      <c r="N6654" s="28" t="s">
        <v>32249</v>
      </c>
      <c r="O6654" s="28" t="s">
        <v>32250</v>
      </c>
      <c r="P6654" s="28" t="s">
        <v>32251</v>
      </c>
    </row>
    <row r="6655" spans="1:16" x14ac:dyDescent="0.25">
      <c r="A6655" s="28" t="s">
        <v>32739</v>
      </c>
      <c r="B6655" s="28" t="s">
        <v>32740</v>
      </c>
      <c r="C6655" s="28" t="s">
        <v>25143</v>
      </c>
      <c r="D6655" s="28" t="s">
        <v>101</v>
      </c>
      <c r="E6655" s="28" t="s">
        <v>32741</v>
      </c>
      <c r="F6655" s="28" t="s">
        <v>21</v>
      </c>
      <c r="G6655" s="28" t="s">
        <v>6309</v>
      </c>
      <c r="H6655" s="28" t="s">
        <v>6310</v>
      </c>
      <c r="I6655" s="28" t="s">
        <v>32742</v>
      </c>
      <c r="J6655" s="28" t="s">
        <v>32743</v>
      </c>
      <c r="K6655" s="28" t="s">
        <v>32744</v>
      </c>
      <c r="L6655" s="28" t="s">
        <v>6314</v>
      </c>
      <c r="M6655" s="28" t="s">
        <v>32745</v>
      </c>
      <c r="N6655" s="28" t="s">
        <v>6316</v>
      </c>
      <c r="O6655" s="28" t="s">
        <v>6317</v>
      </c>
      <c r="P6655" s="28" t="s">
        <v>32746</v>
      </c>
    </row>
    <row r="6656" spans="1:16" x14ac:dyDescent="0.25">
      <c r="A6656" s="28" t="s">
        <v>32747</v>
      </c>
      <c r="B6656" s="28" t="s">
        <v>32748</v>
      </c>
      <c r="C6656" s="28" t="s">
        <v>25143</v>
      </c>
      <c r="D6656" s="28" t="s">
        <v>101</v>
      </c>
      <c r="E6656" s="28" t="s">
        <v>5786</v>
      </c>
      <c r="F6656" s="28" t="s">
        <v>21</v>
      </c>
      <c r="G6656" s="28" t="s">
        <v>39</v>
      </c>
      <c r="H6656" s="28" t="s">
        <v>32244</v>
      </c>
      <c r="I6656" s="28" t="s">
        <v>32749</v>
      </c>
      <c r="J6656" s="28" t="s">
        <v>39</v>
      </c>
      <c r="K6656" s="28" t="s">
        <v>32246</v>
      </c>
      <c r="L6656" s="28" t="s">
        <v>32247</v>
      </c>
      <c r="M6656" s="28" t="s">
        <v>32750</v>
      </c>
      <c r="N6656" s="28" t="s">
        <v>32249</v>
      </c>
      <c r="O6656" s="28" t="s">
        <v>32250</v>
      </c>
      <c r="P6656" s="28" t="s">
        <v>32251</v>
      </c>
    </row>
    <row r="6657" spans="1:16" x14ac:dyDescent="0.25">
      <c r="A6657" s="28" t="s">
        <v>32751</v>
      </c>
      <c r="B6657" s="28" t="s">
        <v>32752</v>
      </c>
      <c r="C6657" s="28" t="s">
        <v>25143</v>
      </c>
      <c r="D6657" s="28" t="s">
        <v>101</v>
      </c>
      <c r="E6657" s="28" t="s">
        <v>32753</v>
      </c>
      <c r="F6657" s="28" t="s">
        <v>21</v>
      </c>
      <c r="G6657" s="28" t="s">
        <v>39</v>
      </c>
      <c r="H6657" s="28" t="s">
        <v>32244</v>
      </c>
      <c r="I6657" s="28" t="s">
        <v>32754</v>
      </c>
      <c r="J6657" s="28" t="s">
        <v>39</v>
      </c>
      <c r="K6657" s="28" t="s">
        <v>32246</v>
      </c>
      <c r="L6657" s="28" t="s">
        <v>32247</v>
      </c>
      <c r="M6657" s="28" t="s">
        <v>32755</v>
      </c>
      <c r="N6657" s="28" t="s">
        <v>32249</v>
      </c>
      <c r="O6657" s="28" t="s">
        <v>32250</v>
      </c>
      <c r="P6657" s="28" t="s">
        <v>32251</v>
      </c>
    </row>
    <row r="6658" spans="1:16" x14ac:dyDescent="0.25">
      <c r="A6658" s="28" t="s">
        <v>32756</v>
      </c>
      <c r="B6658" s="28" t="s">
        <v>32757</v>
      </c>
      <c r="C6658" s="28" t="s">
        <v>25143</v>
      </c>
      <c r="D6658" s="28" t="s">
        <v>101</v>
      </c>
      <c r="E6658" s="28" t="s">
        <v>32753</v>
      </c>
      <c r="F6658" s="28" t="s">
        <v>21</v>
      </c>
      <c r="G6658" s="28" t="s">
        <v>39</v>
      </c>
      <c r="H6658" s="28" t="s">
        <v>32244</v>
      </c>
      <c r="I6658" s="28" t="s">
        <v>32758</v>
      </c>
      <c r="J6658" s="28" t="s">
        <v>39</v>
      </c>
      <c r="K6658" s="28" t="s">
        <v>32246</v>
      </c>
      <c r="L6658" s="28" t="s">
        <v>32247</v>
      </c>
      <c r="M6658" s="28" t="s">
        <v>32759</v>
      </c>
      <c r="N6658" s="28" t="s">
        <v>32249</v>
      </c>
      <c r="O6658" s="28" t="s">
        <v>32250</v>
      </c>
      <c r="P6658" s="28" t="s">
        <v>32251</v>
      </c>
    </row>
    <row r="6659" spans="1:16" x14ac:dyDescent="0.25">
      <c r="A6659" s="28" t="s">
        <v>32760</v>
      </c>
      <c r="B6659" s="28" t="s">
        <v>32761</v>
      </c>
      <c r="C6659" s="28" t="s">
        <v>25143</v>
      </c>
      <c r="D6659" s="28" t="s">
        <v>101</v>
      </c>
      <c r="E6659" s="28" t="s">
        <v>28932</v>
      </c>
      <c r="F6659" s="28" t="s">
        <v>21</v>
      </c>
      <c r="G6659" s="28" t="s">
        <v>39</v>
      </c>
      <c r="H6659" s="28" t="s">
        <v>32244</v>
      </c>
      <c r="I6659" s="28" t="s">
        <v>32762</v>
      </c>
      <c r="J6659" s="28" t="s">
        <v>39</v>
      </c>
      <c r="K6659" s="28" t="s">
        <v>32246</v>
      </c>
      <c r="L6659" s="28" t="s">
        <v>32247</v>
      </c>
      <c r="M6659" s="28" t="s">
        <v>32763</v>
      </c>
      <c r="N6659" s="28" t="s">
        <v>32249</v>
      </c>
      <c r="O6659" s="28" t="s">
        <v>32250</v>
      </c>
      <c r="P6659" s="28" t="s">
        <v>32251</v>
      </c>
    </row>
    <row r="6660" spans="1:16" x14ac:dyDescent="0.25">
      <c r="A6660" s="28" t="s">
        <v>32764</v>
      </c>
      <c r="B6660" s="28" t="s">
        <v>32765</v>
      </c>
      <c r="C6660" s="28" t="s">
        <v>25143</v>
      </c>
      <c r="D6660" s="28" t="s">
        <v>101</v>
      </c>
      <c r="E6660" s="28" t="s">
        <v>4161</v>
      </c>
      <c r="F6660" s="28" t="s">
        <v>21</v>
      </c>
      <c r="G6660" s="28" t="s">
        <v>39</v>
      </c>
      <c r="H6660" s="28" t="s">
        <v>32244</v>
      </c>
      <c r="I6660" s="28" t="s">
        <v>32766</v>
      </c>
      <c r="J6660" s="28" t="s">
        <v>39</v>
      </c>
      <c r="K6660" s="28" t="s">
        <v>32246</v>
      </c>
      <c r="L6660" s="28" t="s">
        <v>32247</v>
      </c>
      <c r="M6660" s="28" t="s">
        <v>32767</v>
      </c>
      <c r="N6660" s="28" t="s">
        <v>32249</v>
      </c>
      <c r="O6660" s="28" t="s">
        <v>32250</v>
      </c>
      <c r="P6660" s="28" t="s">
        <v>32251</v>
      </c>
    </row>
    <row r="6661" spans="1:16" x14ac:dyDescent="0.25">
      <c r="A6661" s="28" t="s">
        <v>32768</v>
      </c>
      <c r="B6661" s="28" t="s">
        <v>32769</v>
      </c>
      <c r="C6661" s="28" t="s">
        <v>25143</v>
      </c>
      <c r="D6661" s="28" t="s">
        <v>19</v>
      </c>
      <c r="E6661" s="28" t="s">
        <v>170</v>
      </c>
      <c r="F6661" s="28" t="s">
        <v>21</v>
      </c>
      <c r="G6661" s="28" t="s">
        <v>6309</v>
      </c>
      <c r="H6661" s="28" t="s">
        <v>6310</v>
      </c>
      <c r="I6661" s="28" t="s">
        <v>32770</v>
      </c>
      <c r="J6661" s="28" t="s">
        <v>32743</v>
      </c>
      <c r="K6661" s="28" t="s">
        <v>32744</v>
      </c>
      <c r="L6661" s="28" t="s">
        <v>6314</v>
      </c>
      <c r="M6661" s="28" t="s">
        <v>32771</v>
      </c>
      <c r="N6661" s="28" t="s">
        <v>6316</v>
      </c>
      <c r="O6661" s="28" t="s">
        <v>6317</v>
      </c>
      <c r="P6661" s="28" t="s">
        <v>32746</v>
      </c>
    </row>
    <row r="6662" spans="1:16" x14ac:dyDescent="0.25">
      <c r="A6662" s="28" t="s">
        <v>32772</v>
      </c>
      <c r="B6662" s="28" t="s">
        <v>32773</v>
      </c>
      <c r="C6662" s="28" t="s">
        <v>25143</v>
      </c>
      <c r="D6662" s="28" t="s">
        <v>19</v>
      </c>
      <c r="E6662" s="28" t="s">
        <v>170</v>
      </c>
      <c r="F6662" s="28" t="s">
        <v>21</v>
      </c>
      <c r="G6662" s="28" t="s">
        <v>39</v>
      </c>
      <c r="H6662" s="28" t="s">
        <v>32244</v>
      </c>
      <c r="I6662" s="28" t="s">
        <v>32774</v>
      </c>
      <c r="J6662" s="28" t="s">
        <v>39</v>
      </c>
      <c r="K6662" s="28" t="s">
        <v>32246</v>
      </c>
      <c r="L6662" s="28" t="s">
        <v>32247</v>
      </c>
      <c r="M6662" s="28" t="s">
        <v>32775</v>
      </c>
      <c r="N6662" s="28" t="s">
        <v>32249</v>
      </c>
      <c r="O6662" s="28" t="s">
        <v>32250</v>
      </c>
      <c r="P6662" s="28" t="s">
        <v>32251</v>
      </c>
    </row>
    <row r="6663" spans="1:16" x14ac:dyDescent="0.25">
      <c r="A6663" s="28" t="s">
        <v>32776</v>
      </c>
      <c r="B6663" s="28" t="s">
        <v>32777</v>
      </c>
      <c r="C6663" s="28" t="s">
        <v>25143</v>
      </c>
      <c r="D6663" s="28" t="s">
        <v>19</v>
      </c>
      <c r="E6663" s="28" t="s">
        <v>170</v>
      </c>
      <c r="F6663" s="28" t="s">
        <v>21</v>
      </c>
      <c r="G6663" s="28" t="s">
        <v>39</v>
      </c>
      <c r="H6663" s="28" t="s">
        <v>32244</v>
      </c>
      <c r="I6663" s="28" t="s">
        <v>32778</v>
      </c>
      <c r="J6663" s="28" t="s">
        <v>39</v>
      </c>
      <c r="K6663" s="28" t="s">
        <v>32246</v>
      </c>
      <c r="L6663" s="28" t="s">
        <v>32247</v>
      </c>
      <c r="M6663" s="28" t="s">
        <v>32779</v>
      </c>
      <c r="N6663" s="28" t="s">
        <v>32249</v>
      </c>
      <c r="O6663" s="28" t="s">
        <v>32250</v>
      </c>
      <c r="P6663" s="28" t="s">
        <v>32251</v>
      </c>
    </row>
    <row r="6664" spans="1:16" x14ac:dyDescent="0.25">
      <c r="A6664" s="28" t="s">
        <v>32780</v>
      </c>
      <c r="B6664" s="28" t="s">
        <v>32781</v>
      </c>
      <c r="C6664" s="28" t="s">
        <v>25143</v>
      </c>
      <c r="D6664" s="28" t="s">
        <v>19</v>
      </c>
      <c r="E6664" s="28" t="s">
        <v>170</v>
      </c>
      <c r="F6664" s="28" t="s">
        <v>21</v>
      </c>
      <c r="G6664" s="28" t="s">
        <v>39</v>
      </c>
      <c r="H6664" s="28" t="s">
        <v>32244</v>
      </c>
      <c r="I6664" s="28" t="s">
        <v>32782</v>
      </c>
      <c r="J6664" s="28" t="s">
        <v>39</v>
      </c>
      <c r="K6664" s="28" t="s">
        <v>32246</v>
      </c>
      <c r="L6664" s="28" t="s">
        <v>32247</v>
      </c>
      <c r="M6664" s="28" t="s">
        <v>32783</v>
      </c>
      <c r="N6664" s="28" t="s">
        <v>32249</v>
      </c>
      <c r="O6664" s="28" t="s">
        <v>32250</v>
      </c>
      <c r="P6664" s="28" t="s">
        <v>32251</v>
      </c>
    </row>
    <row r="6665" spans="1:16" x14ac:dyDescent="0.25">
      <c r="A6665" s="28" t="s">
        <v>32784</v>
      </c>
      <c r="B6665" s="28" t="s">
        <v>32785</v>
      </c>
      <c r="C6665" s="28" t="s">
        <v>25143</v>
      </c>
      <c r="D6665" s="28" t="s">
        <v>19</v>
      </c>
      <c r="E6665" s="28" t="s">
        <v>170</v>
      </c>
      <c r="F6665" s="28" t="s">
        <v>21</v>
      </c>
      <c r="G6665" s="28" t="s">
        <v>39</v>
      </c>
      <c r="H6665" s="28" t="s">
        <v>32244</v>
      </c>
      <c r="I6665" s="28" t="s">
        <v>32786</v>
      </c>
      <c r="J6665" s="28" t="s">
        <v>39</v>
      </c>
      <c r="K6665" s="28" t="s">
        <v>32246</v>
      </c>
      <c r="L6665" s="28" t="s">
        <v>32247</v>
      </c>
      <c r="M6665" s="28" t="s">
        <v>32787</v>
      </c>
      <c r="N6665" s="28" t="s">
        <v>32249</v>
      </c>
      <c r="O6665" s="28" t="s">
        <v>32250</v>
      </c>
      <c r="P6665" s="28" t="s">
        <v>32251</v>
      </c>
    </row>
    <row r="6666" spans="1:16" x14ac:dyDescent="0.25">
      <c r="A6666" s="28" t="s">
        <v>32788</v>
      </c>
      <c r="B6666" s="28" t="s">
        <v>32789</v>
      </c>
      <c r="C6666" s="28" t="s">
        <v>25143</v>
      </c>
      <c r="D6666" s="28" t="s">
        <v>19</v>
      </c>
      <c r="E6666" s="28" t="s">
        <v>170</v>
      </c>
      <c r="F6666" s="28" t="s">
        <v>21</v>
      </c>
      <c r="G6666" s="28" t="s">
        <v>39</v>
      </c>
      <c r="H6666" s="28" t="s">
        <v>32244</v>
      </c>
      <c r="I6666" s="28" t="s">
        <v>32790</v>
      </c>
      <c r="J6666" s="28" t="s">
        <v>39</v>
      </c>
      <c r="K6666" s="28" t="s">
        <v>32246</v>
      </c>
      <c r="L6666" s="28" t="s">
        <v>32247</v>
      </c>
      <c r="M6666" s="28" t="s">
        <v>32791</v>
      </c>
      <c r="N6666" s="28" t="s">
        <v>32249</v>
      </c>
      <c r="O6666" s="28" t="s">
        <v>32250</v>
      </c>
      <c r="P6666" s="28" t="s">
        <v>32251</v>
      </c>
    </row>
    <row r="6667" spans="1:16" x14ac:dyDescent="0.25">
      <c r="A6667" s="28" t="s">
        <v>32792</v>
      </c>
      <c r="B6667" s="28" t="s">
        <v>32793</v>
      </c>
      <c r="C6667" s="28" t="s">
        <v>25143</v>
      </c>
      <c r="D6667" s="28" t="s">
        <v>19</v>
      </c>
      <c r="E6667" s="28" t="s">
        <v>170</v>
      </c>
      <c r="F6667" s="28" t="s">
        <v>21</v>
      </c>
      <c r="G6667" s="28" t="s">
        <v>39</v>
      </c>
      <c r="H6667" s="28" t="s">
        <v>32244</v>
      </c>
      <c r="I6667" s="28" t="s">
        <v>32794</v>
      </c>
      <c r="J6667" s="28" t="s">
        <v>39</v>
      </c>
      <c r="K6667" s="28" t="s">
        <v>32246</v>
      </c>
      <c r="L6667" s="28" t="s">
        <v>32247</v>
      </c>
      <c r="M6667" s="28" t="s">
        <v>32795</v>
      </c>
      <c r="N6667" s="28" t="s">
        <v>32249</v>
      </c>
      <c r="O6667" s="28" t="s">
        <v>32250</v>
      </c>
      <c r="P6667" s="28" t="s">
        <v>32251</v>
      </c>
    </row>
    <row r="6668" spans="1:16" x14ac:dyDescent="0.25">
      <c r="A6668" s="28" t="s">
        <v>32796</v>
      </c>
      <c r="B6668" s="28" t="s">
        <v>32797</v>
      </c>
      <c r="C6668" s="28" t="s">
        <v>25143</v>
      </c>
      <c r="D6668" s="28" t="s">
        <v>19</v>
      </c>
      <c r="E6668" s="28" t="s">
        <v>170</v>
      </c>
      <c r="F6668" s="28" t="s">
        <v>21</v>
      </c>
      <c r="G6668" s="28" t="s">
        <v>39</v>
      </c>
      <c r="H6668" s="28" t="s">
        <v>32244</v>
      </c>
      <c r="I6668" s="28" t="s">
        <v>32798</v>
      </c>
      <c r="J6668" s="28" t="s">
        <v>39</v>
      </c>
      <c r="K6668" s="28" t="s">
        <v>32246</v>
      </c>
      <c r="L6668" s="28" t="s">
        <v>32247</v>
      </c>
      <c r="M6668" s="28" t="s">
        <v>32799</v>
      </c>
      <c r="N6668" s="28" t="s">
        <v>32249</v>
      </c>
      <c r="O6668" s="28" t="s">
        <v>32250</v>
      </c>
      <c r="P6668" s="28" t="s">
        <v>32251</v>
      </c>
    </row>
    <row r="6669" spans="1:16" x14ac:dyDescent="0.25">
      <c r="A6669" s="28" t="s">
        <v>32800</v>
      </c>
      <c r="B6669" s="28" t="s">
        <v>32801</v>
      </c>
      <c r="C6669" s="28" t="s">
        <v>25143</v>
      </c>
      <c r="D6669" s="28" t="s">
        <v>19</v>
      </c>
      <c r="E6669" s="28" t="s">
        <v>170</v>
      </c>
      <c r="F6669" s="28" t="s">
        <v>21</v>
      </c>
      <c r="G6669" s="28" t="s">
        <v>39</v>
      </c>
      <c r="H6669" s="28" t="s">
        <v>32244</v>
      </c>
      <c r="I6669" s="28" t="s">
        <v>32802</v>
      </c>
      <c r="J6669" s="28" t="s">
        <v>39</v>
      </c>
      <c r="K6669" s="28" t="s">
        <v>32246</v>
      </c>
      <c r="L6669" s="28" t="s">
        <v>32247</v>
      </c>
      <c r="M6669" s="28" t="s">
        <v>32803</v>
      </c>
      <c r="N6669" s="28" t="s">
        <v>32249</v>
      </c>
      <c r="O6669" s="28" t="s">
        <v>32250</v>
      </c>
      <c r="P6669" s="28" t="s">
        <v>32251</v>
      </c>
    </row>
    <row r="6670" spans="1:16" x14ac:dyDescent="0.25">
      <c r="A6670" s="28" t="s">
        <v>32804</v>
      </c>
      <c r="B6670" s="28" t="s">
        <v>32805</v>
      </c>
      <c r="C6670" s="28" t="s">
        <v>25143</v>
      </c>
      <c r="D6670" s="28" t="s">
        <v>19</v>
      </c>
      <c r="E6670" s="28" t="s">
        <v>170</v>
      </c>
      <c r="F6670" s="28" t="s">
        <v>21</v>
      </c>
      <c r="G6670" s="28" t="s">
        <v>39</v>
      </c>
      <c r="H6670" s="28" t="s">
        <v>32244</v>
      </c>
      <c r="I6670" s="28" t="s">
        <v>32806</v>
      </c>
      <c r="J6670" s="28" t="s">
        <v>39</v>
      </c>
      <c r="K6670" s="28" t="s">
        <v>32246</v>
      </c>
      <c r="L6670" s="28" t="s">
        <v>32247</v>
      </c>
      <c r="M6670" s="28" t="s">
        <v>32807</v>
      </c>
      <c r="N6670" s="28" t="s">
        <v>32249</v>
      </c>
      <c r="O6670" s="28" t="s">
        <v>32250</v>
      </c>
      <c r="P6670" s="28" t="s">
        <v>32251</v>
      </c>
    </row>
    <row r="6671" spans="1:16" x14ac:dyDescent="0.25">
      <c r="A6671" s="28" t="s">
        <v>32808</v>
      </c>
      <c r="B6671" s="28" t="s">
        <v>32809</v>
      </c>
      <c r="C6671" s="28" t="s">
        <v>25143</v>
      </c>
      <c r="D6671" s="28" t="s">
        <v>19</v>
      </c>
      <c r="E6671" s="28" t="s">
        <v>170</v>
      </c>
      <c r="F6671" s="28" t="s">
        <v>21</v>
      </c>
      <c r="G6671" s="28" t="s">
        <v>39</v>
      </c>
      <c r="H6671" s="28" t="s">
        <v>32244</v>
      </c>
      <c r="I6671" s="28" t="s">
        <v>32810</v>
      </c>
      <c r="J6671" s="28" t="s">
        <v>39</v>
      </c>
      <c r="K6671" s="28" t="s">
        <v>32246</v>
      </c>
      <c r="L6671" s="28" t="s">
        <v>32247</v>
      </c>
      <c r="M6671" s="28" t="s">
        <v>32811</v>
      </c>
      <c r="N6671" s="28" t="s">
        <v>32249</v>
      </c>
      <c r="O6671" s="28" t="s">
        <v>32250</v>
      </c>
      <c r="P6671" s="28" t="s">
        <v>32251</v>
      </c>
    </row>
    <row r="6672" spans="1:16" x14ac:dyDescent="0.25">
      <c r="A6672" s="28" t="s">
        <v>32812</v>
      </c>
      <c r="B6672" s="28" t="s">
        <v>32813</v>
      </c>
      <c r="C6672" s="28" t="s">
        <v>25143</v>
      </c>
      <c r="D6672" s="28" t="s">
        <v>19</v>
      </c>
      <c r="E6672" s="28" t="s">
        <v>170</v>
      </c>
      <c r="F6672" s="28" t="s">
        <v>21</v>
      </c>
      <c r="G6672" s="28" t="s">
        <v>39</v>
      </c>
      <c r="H6672" s="28" t="s">
        <v>32244</v>
      </c>
      <c r="I6672" s="28" t="s">
        <v>32814</v>
      </c>
      <c r="J6672" s="28" t="s">
        <v>39</v>
      </c>
      <c r="K6672" s="28" t="s">
        <v>32246</v>
      </c>
      <c r="L6672" s="28" t="s">
        <v>32247</v>
      </c>
      <c r="M6672" s="28" t="s">
        <v>32815</v>
      </c>
      <c r="N6672" s="28" t="s">
        <v>32249</v>
      </c>
      <c r="O6672" s="28" t="s">
        <v>32250</v>
      </c>
      <c r="P6672" s="28" t="s">
        <v>32251</v>
      </c>
    </row>
    <row r="6673" spans="1:16" x14ac:dyDescent="0.25">
      <c r="A6673" s="28" t="s">
        <v>32816</v>
      </c>
      <c r="B6673" s="28" t="s">
        <v>32817</v>
      </c>
      <c r="C6673" s="28" t="s">
        <v>25143</v>
      </c>
      <c r="D6673" s="28" t="s">
        <v>19</v>
      </c>
      <c r="E6673" s="28" t="s">
        <v>170</v>
      </c>
      <c r="F6673" s="28" t="s">
        <v>21</v>
      </c>
      <c r="G6673" s="28" t="s">
        <v>39</v>
      </c>
      <c r="H6673" s="28" t="s">
        <v>32244</v>
      </c>
      <c r="I6673" s="28" t="s">
        <v>32818</v>
      </c>
      <c r="J6673" s="28" t="s">
        <v>39</v>
      </c>
      <c r="K6673" s="28" t="s">
        <v>32246</v>
      </c>
      <c r="L6673" s="28" t="s">
        <v>32247</v>
      </c>
      <c r="M6673" s="28" t="s">
        <v>32819</v>
      </c>
      <c r="N6673" s="28" t="s">
        <v>32249</v>
      </c>
      <c r="O6673" s="28" t="s">
        <v>32250</v>
      </c>
      <c r="P6673" s="28" t="s">
        <v>32251</v>
      </c>
    </row>
    <row r="6674" spans="1:16" x14ac:dyDescent="0.25">
      <c r="A6674" s="28" t="s">
        <v>32820</v>
      </c>
      <c r="B6674" s="28" t="s">
        <v>32821</v>
      </c>
      <c r="C6674" s="28" t="s">
        <v>25143</v>
      </c>
      <c r="D6674" s="28" t="s">
        <v>19</v>
      </c>
      <c r="E6674" s="28" t="s">
        <v>170</v>
      </c>
      <c r="F6674" s="28" t="s">
        <v>21</v>
      </c>
      <c r="G6674" s="28" t="s">
        <v>39</v>
      </c>
      <c r="H6674" s="28" t="s">
        <v>32244</v>
      </c>
      <c r="I6674" s="28" t="s">
        <v>32822</v>
      </c>
      <c r="J6674" s="28" t="s">
        <v>39</v>
      </c>
      <c r="K6674" s="28" t="s">
        <v>32246</v>
      </c>
      <c r="L6674" s="28" t="s">
        <v>32247</v>
      </c>
      <c r="M6674" s="28" t="s">
        <v>32823</v>
      </c>
      <c r="N6674" s="28" t="s">
        <v>32249</v>
      </c>
      <c r="O6674" s="28" t="s">
        <v>32250</v>
      </c>
      <c r="P6674" s="28" t="s">
        <v>32251</v>
      </c>
    </row>
    <row r="6675" spans="1:16" x14ac:dyDescent="0.25">
      <c r="A6675" s="28" t="s">
        <v>32824</v>
      </c>
      <c r="B6675" s="28" t="s">
        <v>32825</v>
      </c>
      <c r="C6675" s="28" t="s">
        <v>25143</v>
      </c>
      <c r="D6675" s="28" t="s">
        <v>19</v>
      </c>
      <c r="E6675" s="28" t="s">
        <v>170</v>
      </c>
      <c r="F6675" s="28" t="s">
        <v>21</v>
      </c>
      <c r="G6675" s="28" t="s">
        <v>39</v>
      </c>
      <c r="H6675" s="28" t="s">
        <v>32244</v>
      </c>
      <c r="I6675" s="28" t="s">
        <v>32826</v>
      </c>
      <c r="J6675" s="28" t="s">
        <v>39</v>
      </c>
      <c r="K6675" s="28" t="s">
        <v>32246</v>
      </c>
      <c r="L6675" s="28" t="s">
        <v>32247</v>
      </c>
      <c r="M6675" s="28" t="s">
        <v>32827</v>
      </c>
      <c r="N6675" s="28" t="s">
        <v>32249</v>
      </c>
      <c r="O6675" s="28" t="s">
        <v>32250</v>
      </c>
      <c r="P6675" s="28" t="s">
        <v>32251</v>
      </c>
    </row>
    <row r="6676" spans="1:16" x14ac:dyDescent="0.25">
      <c r="A6676" s="28" t="s">
        <v>32828</v>
      </c>
      <c r="B6676" s="28" t="s">
        <v>32829</v>
      </c>
      <c r="C6676" s="28" t="s">
        <v>25143</v>
      </c>
      <c r="D6676" s="28" t="s">
        <v>19</v>
      </c>
      <c r="E6676" s="28" t="s">
        <v>170</v>
      </c>
      <c r="F6676" s="28" t="s">
        <v>21</v>
      </c>
      <c r="G6676" s="28" t="s">
        <v>39</v>
      </c>
      <c r="H6676" s="28" t="s">
        <v>32244</v>
      </c>
      <c r="I6676" s="28" t="s">
        <v>32830</v>
      </c>
      <c r="J6676" s="28" t="s">
        <v>39</v>
      </c>
      <c r="K6676" s="28" t="s">
        <v>32246</v>
      </c>
      <c r="L6676" s="28" t="s">
        <v>32247</v>
      </c>
      <c r="M6676" s="28" t="s">
        <v>32831</v>
      </c>
      <c r="N6676" s="28" t="s">
        <v>32249</v>
      </c>
      <c r="O6676" s="28" t="s">
        <v>32250</v>
      </c>
      <c r="P6676" s="28" t="s">
        <v>32251</v>
      </c>
    </row>
    <row r="6677" spans="1:16" x14ac:dyDescent="0.25">
      <c r="A6677" s="28" t="s">
        <v>32832</v>
      </c>
      <c r="B6677" s="28" t="s">
        <v>32833</v>
      </c>
      <c r="C6677" s="28" t="s">
        <v>25143</v>
      </c>
      <c r="D6677" s="28" t="s">
        <v>19</v>
      </c>
      <c r="E6677" s="28" t="s">
        <v>170</v>
      </c>
      <c r="F6677" s="28" t="s">
        <v>21</v>
      </c>
      <c r="G6677" s="28" t="s">
        <v>39</v>
      </c>
      <c r="H6677" s="28" t="s">
        <v>32244</v>
      </c>
      <c r="I6677" s="28" t="s">
        <v>32834</v>
      </c>
      <c r="J6677" s="28" t="s">
        <v>39</v>
      </c>
      <c r="K6677" s="28" t="s">
        <v>32246</v>
      </c>
      <c r="L6677" s="28" t="s">
        <v>32247</v>
      </c>
      <c r="M6677" s="28" t="s">
        <v>32835</v>
      </c>
      <c r="N6677" s="28" t="s">
        <v>32249</v>
      </c>
      <c r="O6677" s="28" t="s">
        <v>32250</v>
      </c>
      <c r="P6677" s="28" t="s">
        <v>32251</v>
      </c>
    </row>
    <row r="6678" spans="1:16" x14ac:dyDescent="0.25">
      <c r="A6678" s="28" t="s">
        <v>32836</v>
      </c>
      <c r="B6678" s="28" t="s">
        <v>32837</v>
      </c>
      <c r="C6678" s="28" t="s">
        <v>25143</v>
      </c>
      <c r="D6678" s="28" t="s">
        <v>19</v>
      </c>
      <c r="E6678" s="28" t="s">
        <v>170</v>
      </c>
      <c r="F6678" s="28" t="s">
        <v>21</v>
      </c>
      <c r="G6678" s="28" t="s">
        <v>39</v>
      </c>
      <c r="H6678" s="28" t="s">
        <v>32244</v>
      </c>
      <c r="I6678" s="28" t="s">
        <v>32838</v>
      </c>
      <c r="J6678" s="28" t="s">
        <v>39</v>
      </c>
      <c r="K6678" s="28" t="s">
        <v>32246</v>
      </c>
      <c r="L6678" s="28" t="s">
        <v>32247</v>
      </c>
      <c r="M6678" s="28" t="s">
        <v>32839</v>
      </c>
      <c r="N6678" s="28" t="s">
        <v>32249</v>
      </c>
      <c r="O6678" s="28" t="s">
        <v>32250</v>
      </c>
      <c r="P6678" s="28" t="s">
        <v>32251</v>
      </c>
    </row>
    <row r="6679" spans="1:16" x14ac:dyDescent="0.25">
      <c r="A6679" s="28" t="s">
        <v>32840</v>
      </c>
      <c r="B6679" s="28" t="s">
        <v>32841</v>
      </c>
      <c r="C6679" s="28" t="s">
        <v>25143</v>
      </c>
      <c r="D6679" s="28" t="s">
        <v>19</v>
      </c>
      <c r="E6679" s="28" t="s">
        <v>170</v>
      </c>
      <c r="F6679" s="28" t="s">
        <v>21</v>
      </c>
      <c r="G6679" s="28" t="s">
        <v>39</v>
      </c>
      <c r="H6679" s="28" t="s">
        <v>32244</v>
      </c>
      <c r="I6679" s="28" t="s">
        <v>32842</v>
      </c>
      <c r="J6679" s="28" t="s">
        <v>39</v>
      </c>
      <c r="K6679" s="28" t="s">
        <v>32246</v>
      </c>
      <c r="L6679" s="28" t="s">
        <v>32247</v>
      </c>
      <c r="M6679" s="28" t="s">
        <v>32843</v>
      </c>
      <c r="N6679" s="28" t="s">
        <v>32249</v>
      </c>
      <c r="O6679" s="28" t="s">
        <v>32250</v>
      </c>
      <c r="P6679" s="28" t="s">
        <v>32251</v>
      </c>
    </row>
    <row r="6680" spans="1:16" x14ac:dyDescent="0.25">
      <c r="A6680" s="28" t="s">
        <v>32844</v>
      </c>
      <c r="B6680" s="28" t="s">
        <v>32845</v>
      </c>
      <c r="C6680" s="28" t="s">
        <v>25143</v>
      </c>
      <c r="D6680" s="28" t="s">
        <v>19</v>
      </c>
      <c r="E6680" s="28" t="s">
        <v>170</v>
      </c>
      <c r="F6680" s="28" t="s">
        <v>21</v>
      </c>
      <c r="G6680" s="28" t="s">
        <v>39</v>
      </c>
      <c r="H6680" s="28" t="s">
        <v>32244</v>
      </c>
      <c r="I6680" s="28" t="s">
        <v>32846</v>
      </c>
      <c r="J6680" s="28" t="s">
        <v>39</v>
      </c>
      <c r="K6680" s="28" t="s">
        <v>32246</v>
      </c>
      <c r="L6680" s="28" t="s">
        <v>32247</v>
      </c>
      <c r="M6680" s="28" t="s">
        <v>32847</v>
      </c>
      <c r="N6680" s="28" t="s">
        <v>32249</v>
      </c>
      <c r="O6680" s="28" t="s">
        <v>32250</v>
      </c>
      <c r="P6680" s="28" t="s">
        <v>32251</v>
      </c>
    </row>
    <row r="6681" spans="1:16" x14ac:dyDescent="0.25">
      <c r="A6681" s="28" t="s">
        <v>32848</v>
      </c>
      <c r="B6681" s="28" t="s">
        <v>32849</v>
      </c>
      <c r="C6681" s="28" t="s">
        <v>25143</v>
      </c>
      <c r="D6681" s="28" t="s">
        <v>19</v>
      </c>
      <c r="E6681" s="28" t="s">
        <v>170</v>
      </c>
      <c r="F6681" s="28" t="s">
        <v>21</v>
      </c>
      <c r="G6681" s="28" t="s">
        <v>39</v>
      </c>
      <c r="H6681" s="28" t="s">
        <v>32244</v>
      </c>
      <c r="I6681" s="28" t="s">
        <v>32850</v>
      </c>
      <c r="J6681" s="28" t="s">
        <v>39</v>
      </c>
      <c r="K6681" s="28" t="s">
        <v>32246</v>
      </c>
      <c r="L6681" s="28" t="s">
        <v>32247</v>
      </c>
      <c r="M6681" s="28" t="s">
        <v>32851</v>
      </c>
      <c r="N6681" s="28" t="s">
        <v>32249</v>
      </c>
      <c r="O6681" s="28" t="s">
        <v>32250</v>
      </c>
      <c r="P6681" s="28" t="s">
        <v>32251</v>
      </c>
    </row>
    <row r="6682" spans="1:16" x14ac:dyDescent="0.25">
      <c r="A6682" s="28" t="s">
        <v>32852</v>
      </c>
      <c r="B6682" s="28" t="s">
        <v>32853</v>
      </c>
      <c r="C6682" s="28" t="s">
        <v>25143</v>
      </c>
      <c r="D6682" s="28" t="s">
        <v>19</v>
      </c>
      <c r="E6682" s="28" t="s">
        <v>170</v>
      </c>
      <c r="F6682" s="28" t="s">
        <v>21</v>
      </c>
      <c r="G6682" s="28" t="s">
        <v>39</v>
      </c>
      <c r="H6682" s="28" t="s">
        <v>32244</v>
      </c>
      <c r="I6682" s="28" t="s">
        <v>32854</v>
      </c>
      <c r="J6682" s="28" t="s">
        <v>39</v>
      </c>
      <c r="K6682" s="28" t="s">
        <v>32246</v>
      </c>
      <c r="L6682" s="28" t="s">
        <v>32247</v>
      </c>
      <c r="M6682" s="28" t="s">
        <v>32855</v>
      </c>
      <c r="N6682" s="28" t="s">
        <v>32249</v>
      </c>
      <c r="O6682" s="28" t="s">
        <v>32250</v>
      </c>
      <c r="P6682" s="28" t="s">
        <v>32251</v>
      </c>
    </row>
    <row r="6683" spans="1:16" x14ac:dyDescent="0.25">
      <c r="A6683" s="28" t="s">
        <v>32856</v>
      </c>
      <c r="B6683" s="28" t="s">
        <v>32857</v>
      </c>
      <c r="C6683" s="28" t="s">
        <v>25143</v>
      </c>
      <c r="D6683" s="28" t="s">
        <v>19</v>
      </c>
      <c r="E6683" s="28" t="s">
        <v>170</v>
      </c>
      <c r="F6683" s="28" t="s">
        <v>21</v>
      </c>
      <c r="G6683" s="28" t="s">
        <v>39</v>
      </c>
      <c r="H6683" s="28" t="s">
        <v>32244</v>
      </c>
      <c r="I6683" s="28" t="s">
        <v>32858</v>
      </c>
      <c r="J6683" s="28" t="s">
        <v>39</v>
      </c>
      <c r="K6683" s="28" t="s">
        <v>32246</v>
      </c>
      <c r="L6683" s="28" t="s">
        <v>32247</v>
      </c>
      <c r="M6683" s="28" t="s">
        <v>32859</v>
      </c>
      <c r="N6683" s="28" t="s">
        <v>32249</v>
      </c>
      <c r="O6683" s="28" t="s">
        <v>32250</v>
      </c>
      <c r="P6683" s="28" t="s">
        <v>32251</v>
      </c>
    </row>
    <row r="6684" spans="1:16" x14ac:dyDescent="0.25">
      <c r="A6684" s="28" t="s">
        <v>32860</v>
      </c>
      <c r="B6684" s="28" t="s">
        <v>32861</v>
      </c>
      <c r="C6684" s="28" t="s">
        <v>25143</v>
      </c>
      <c r="D6684" s="28" t="s">
        <v>19</v>
      </c>
      <c r="E6684" s="28" t="s">
        <v>170</v>
      </c>
      <c r="F6684" s="28" t="s">
        <v>21</v>
      </c>
      <c r="G6684" s="28" t="s">
        <v>39</v>
      </c>
      <c r="H6684" s="28" t="s">
        <v>32244</v>
      </c>
      <c r="I6684" s="28" t="s">
        <v>32862</v>
      </c>
      <c r="J6684" s="28" t="s">
        <v>39</v>
      </c>
      <c r="K6684" s="28" t="s">
        <v>32246</v>
      </c>
      <c r="L6684" s="28" t="s">
        <v>32247</v>
      </c>
      <c r="M6684" s="28" t="s">
        <v>32863</v>
      </c>
      <c r="N6684" s="28" t="s">
        <v>32249</v>
      </c>
      <c r="O6684" s="28" t="s">
        <v>32250</v>
      </c>
      <c r="P6684" s="28" t="s">
        <v>32251</v>
      </c>
    </row>
    <row r="6685" spans="1:16" x14ac:dyDescent="0.25">
      <c r="A6685" s="28" t="s">
        <v>32864</v>
      </c>
      <c r="B6685" s="28" t="s">
        <v>32865</v>
      </c>
      <c r="C6685" s="28" t="s">
        <v>25143</v>
      </c>
      <c r="D6685" s="28" t="s">
        <v>19</v>
      </c>
      <c r="E6685" s="28" t="s">
        <v>170</v>
      </c>
      <c r="F6685" s="28" t="s">
        <v>21</v>
      </c>
      <c r="G6685" s="28" t="s">
        <v>39</v>
      </c>
      <c r="H6685" s="28" t="s">
        <v>32244</v>
      </c>
      <c r="I6685" s="28" t="s">
        <v>32866</v>
      </c>
      <c r="J6685" s="28" t="s">
        <v>39</v>
      </c>
      <c r="K6685" s="28" t="s">
        <v>32246</v>
      </c>
      <c r="L6685" s="28" t="s">
        <v>32247</v>
      </c>
      <c r="M6685" s="28" t="s">
        <v>32867</v>
      </c>
      <c r="N6685" s="28" t="s">
        <v>32249</v>
      </c>
      <c r="O6685" s="28" t="s">
        <v>32250</v>
      </c>
      <c r="P6685" s="28" t="s">
        <v>32251</v>
      </c>
    </row>
    <row r="6686" spans="1:16" x14ac:dyDescent="0.25">
      <c r="A6686" s="28" t="s">
        <v>32868</v>
      </c>
      <c r="B6686" s="28" t="s">
        <v>32869</v>
      </c>
      <c r="C6686" s="28" t="s">
        <v>25143</v>
      </c>
      <c r="D6686" s="28" t="s">
        <v>19</v>
      </c>
      <c r="E6686" s="28" t="s">
        <v>170</v>
      </c>
      <c r="F6686" s="28" t="s">
        <v>21</v>
      </c>
      <c r="G6686" s="28" t="s">
        <v>39</v>
      </c>
      <c r="H6686" s="28" t="s">
        <v>32244</v>
      </c>
      <c r="I6686" s="28" t="s">
        <v>32870</v>
      </c>
      <c r="J6686" s="28" t="s">
        <v>39</v>
      </c>
      <c r="K6686" s="28" t="s">
        <v>32246</v>
      </c>
      <c r="L6686" s="28" t="s">
        <v>32247</v>
      </c>
      <c r="M6686" s="28" t="s">
        <v>32871</v>
      </c>
      <c r="N6686" s="28" t="s">
        <v>32249</v>
      </c>
      <c r="O6686" s="28" t="s">
        <v>32250</v>
      </c>
      <c r="P6686" s="28" t="s">
        <v>32251</v>
      </c>
    </row>
    <row r="6687" spans="1:16" x14ac:dyDescent="0.25">
      <c r="A6687" s="28" t="s">
        <v>32872</v>
      </c>
      <c r="B6687" s="28" t="s">
        <v>32873</v>
      </c>
      <c r="C6687" s="28" t="s">
        <v>25143</v>
      </c>
      <c r="D6687" s="28" t="s">
        <v>19</v>
      </c>
      <c r="E6687" s="28" t="s">
        <v>170</v>
      </c>
      <c r="F6687" s="28" t="s">
        <v>21</v>
      </c>
      <c r="G6687" s="28" t="s">
        <v>39</v>
      </c>
      <c r="H6687" s="28" t="s">
        <v>32244</v>
      </c>
      <c r="I6687" s="28" t="s">
        <v>32874</v>
      </c>
      <c r="J6687" s="28" t="s">
        <v>39</v>
      </c>
      <c r="K6687" s="28" t="s">
        <v>32246</v>
      </c>
      <c r="L6687" s="28" t="s">
        <v>32247</v>
      </c>
      <c r="M6687" s="28" t="s">
        <v>32875</v>
      </c>
      <c r="N6687" s="28" t="s">
        <v>32249</v>
      </c>
      <c r="O6687" s="28" t="s">
        <v>32250</v>
      </c>
      <c r="P6687" s="28" t="s">
        <v>32251</v>
      </c>
    </row>
    <row r="6688" spans="1:16" x14ac:dyDescent="0.25">
      <c r="A6688" s="28" t="s">
        <v>32876</v>
      </c>
      <c r="B6688" s="28" t="s">
        <v>32877</v>
      </c>
      <c r="C6688" s="28" t="s">
        <v>25143</v>
      </c>
      <c r="D6688" s="28" t="s">
        <v>19</v>
      </c>
      <c r="E6688" s="28" t="s">
        <v>170</v>
      </c>
      <c r="F6688" s="28" t="s">
        <v>21</v>
      </c>
      <c r="G6688" s="28" t="s">
        <v>39</v>
      </c>
      <c r="H6688" s="28" t="s">
        <v>32244</v>
      </c>
      <c r="I6688" s="28" t="s">
        <v>32878</v>
      </c>
      <c r="J6688" s="28" t="s">
        <v>39</v>
      </c>
      <c r="K6688" s="28" t="s">
        <v>32246</v>
      </c>
      <c r="L6688" s="28" t="s">
        <v>32247</v>
      </c>
      <c r="M6688" s="28" t="s">
        <v>32879</v>
      </c>
      <c r="N6688" s="28" t="s">
        <v>32249</v>
      </c>
      <c r="O6688" s="28" t="s">
        <v>32250</v>
      </c>
      <c r="P6688" s="28" t="s">
        <v>32251</v>
      </c>
    </row>
    <row r="6689" spans="1:16" x14ac:dyDescent="0.25">
      <c r="A6689" s="28" t="s">
        <v>32880</v>
      </c>
      <c r="B6689" s="28" t="s">
        <v>32881</v>
      </c>
      <c r="C6689" s="28" t="s">
        <v>25143</v>
      </c>
      <c r="D6689" s="28" t="s">
        <v>19</v>
      </c>
      <c r="E6689" s="28" t="s">
        <v>170</v>
      </c>
      <c r="F6689" s="28" t="s">
        <v>21</v>
      </c>
      <c r="G6689" s="28" t="s">
        <v>39</v>
      </c>
      <c r="H6689" s="28" t="s">
        <v>32244</v>
      </c>
      <c r="I6689" s="28" t="s">
        <v>32882</v>
      </c>
      <c r="J6689" s="28" t="s">
        <v>39</v>
      </c>
      <c r="K6689" s="28" t="s">
        <v>32246</v>
      </c>
      <c r="L6689" s="28" t="s">
        <v>32247</v>
      </c>
      <c r="M6689" s="28" t="s">
        <v>32883</v>
      </c>
      <c r="N6689" s="28" t="s">
        <v>32249</v>
      </c>
      <c r="O6689" s="28" t="s">
        <v>32250</v>
      </c>
      <c r="P6689" s="28" t="s">
        <v>32251</v>
      </c>
    </row>
    <row r="6690" spans="1:16" x14ac:dyDescent="0.25">
      <c r="A6690" s="28" t="s">
        <v>32884</v>
      </c>
      <c r="B6690" s="28" t="s">
        <v>32885</v>
      </c>
      <c r="C6690" s="28" t="s">
        <v>25143</v>
      </c>
      <c r="D6690" s="28" t="s">
        <v>19</v>
      </c>
      <c r="E6690" s="28" t="s">
        <v>170</v>
      </c>
      <c r="F6690" s="28" t="s">
        <v>21</v>
      </c>
      <c r="G6690" s="28" t="s">
        <v>39</v>
      </c>
      <c r="H6690" s="28" t="s">
        <v>32244</v>
      </c>
      <c r="I6690" s="28" t="s">
        <v>32886</v>
      </c>
      <c r="J6690" s="28" t="s">
        <v>39</v>
      </c>
      <c r="K6690" s="28" t="s">
        <v>32246</v>
      </c>
      <c r="L6690" s="28" t="s">
        <v>32247</v>
      </c>
      <c r="M6690" s="28" t="s">
        <v>32887</v>
      </c>
      <c r="N6690" s="28" t="s">
        <v>32249</v>
      </c>
      <c r="O6690" s="28" t="s">
        <v>32250</v>
      </c>
      <c r="P6690" s="28" t="s">
        <v>32251</v>
      </c>
    </row>
    <row r="6691" spans="1:16" x14ac:dyDescent="0.25">
      <c r="A6691" s="28" t="s">
        <v>32888</v>
      </c>
      <c r="B6691" s="28" t="s">
        <v>32889</v>
      </c>
      <c r="C6691" s="28" t="s">
        <v>25143</v>
      </c>
      <c r="D6691" s="28" t="s">
        <v>19</v>
      </c>
      <c r="E6691" s="28" t="s">
        <v>170</v>
      </c>
      <c r="F6691" s="28" t="s">
        <v>21</v>
      </c>
      <c r="G6691" s="28" t="s">
        <v>39</v>
      </c>
      <c r="H6691" s="28" t="s">
        <v>32244</v>
      </c>
      <c r="I6691" s="28" t="s">
        <v>32890</v>
      </c>
      <c r="J6691" s="28" t="s">
        <v>39</v>
      </c>
      <c r="K6691" s="28" t="s">
        <v>32246</v>
      </c>
      <c r="L6691" s="28" t="s">
        <v>32247</v>
      </c>
      <c r="M6691" s="28" t="s">
        <v>32891</v>
      </c>
      <c r="N6691" s="28" t="s">
        <v>32249</v>
      </c>
      <c r="O6691" s="28" t="s">
        <v>32250</v>
      </c>
      <c r="P6691" s="28" t="s">
        <v>32251</v>
      </c>
    </row>
    <row r="6692" spans="1:16" x14ac:dyDescent="0.25">
      <c r="A6692" s="28" t="s">
        <v>32892</v>
      </c>
      <c r="B6692" s="28" t="s">
        <v>32893</v>
      </c>
      <c r="C6692" s="28" t="s">
        <v>25143</v>
      </c>
      <c r="D6692" s="28" t="s">
        <v>19</v>
      </c>
      <c r="E6692" s="28" t="s">
        <v>170</v>
      </c>
      <c r="F6692" s="28" t="s">
        <v>21</v>
      </c>
      <c r="G6692" s="28" t="s">
        <v>39</v>
      </c>
      <c r="H6692" s="28" t="s">
        <v>32244</v>
      </c>
      <c r="I6692" s="28" t="s">
        <v>32894</v>
      </c>
      <c r="J6692" s="28" t="s">
        <v>39</v>
      </c>
      <c r="K6692" s="28" t="s">
        <v>32246</v>
      </c>
      <c r="L6692" s="28" t="s">
        <v>32247</v>
      </c>
      <c r="M6692" s="28" t="s">
        <v>32895</v>
      </c>
      <c r="N6692" s="28" t="s">
        <v>32249</v>
      </c>
      <c r="O6692" s="28" t="s">
        <v>32250</v>
      </c>
      <c r="P6692" s="28" t="s">
        <v>32251</v>
      </c>
    </row>
    <row r="6693" spans="1:16" x14ac:dyDescent="0.25">
      <c r="A6693" s="28" t="s">
        <v>32896</v>
      </c>
      <c r="B6693" s="28" t="s">
        <v>32897</v>
      </c>
      <c r="C6693" s="28" t="s">
        <v>25143</v>
      </c>
      <c r="D6693" s="28" t="s">
        <v>19</v>
      </c>
      <c r="E6693" s="28" t="s">
        <v>170</v>
      </c>
      <c r="F6693" s="28" t="s">
        <v>21</v>
      </c>
      <c r="G6693" s="28" t="s">
        <v>39</v>
      </c>
      <c r="H6693" s="28" t="s">
        <v>32244</v>
      </c>
      <c r="I6693" s="28" t="s">
        <v>32898</v>
      </c>
      <c r="J6693" s="28" t="s">
        <v>39</v>
      </c>
      <c r="K6693" s="28" t="s">
        <v>32246</v>
      </c>
      <c r="L6693" s="28" t="s">
        <v>32247</v>
      </c>
      <c r="M6693" s="28" t="s">
        <v>32899</v>
      </c>
      <c r="N6693" s="28" t="s">
        <v>32249</v>
      </c>
      <c r="O6693" s="28" t="s">
        <v>32250</v>
      </c>
      <c r="P6693" s="28" t="s">
        <v>32251</v>
      </c>
    </row>
    <row r="6694" spans="1:16" x14ac:dyDescent="0.25">
      <c r="A6694" s="28" t="s">
        <v>32900</v>
      </c>
      <c r="B6694" s="28" t="s">
        <v>32901</v>
      </c>
      <c r="C6694" s="28" t="s">
        <v>25143</v>
      </c>
      <c r="D6694" s="28" t="s">
        <v>19</v>
      </c>
      <c r="E6694" s="28" t="s">
        <v>196</v>
      </c>
      <c r="F6694" s="28" t="s">
        <v>21</v>
      </c>
      <c r="G6694" s="28" t="s">
        <v>39</v>
      </c>
      <c r="H6694" s="28" t="s">
        <v>32244</v>
      </c>
      <c r="I6694" s="28" t="s">
        <v>32902</v>
      </c>
      <c r="J6694" s="28" t="s">
        <v>39</v>
      </c>
      <c r="K6694" s="28" t="s">
        <v>32246</v>
      </c>
      <c r="L6694" s="28" t="s">
        <v>32247</v>
      </c>
      <c r="M6694" s="28" t="s">
        <v>32903</v>
      </c>
      <c r="N6694" s="28" t="s">
        <v>32249</v>
      </c>
      <c r="O6694" s="28" t="s">
        <v>32250</v>
      </c>
      <c r="P6694" s="28" t="s">
        <v>32251</v>
      </c>
    </row>
    <row r="6695" spans="1:16" x14ac:dyDescent="0.25">
      <c r="A6695" s="28" t="s">
        <v>32904</v>
      </c>
      <c r="B6695" s="28" t="s">
        <v>32905</v>
      </c>
      <c r="C6695" s="28" t="s">
        <v>25143</v>
      </c>
      <c r="D6695" s="28" t="s">
        <v>19</v>
      </c>
      <c r="E6695" s="28" t="s">
        <v>196</v>
      </c>
      <c r="F6695" s="28" t="s">
        <v>21</v>
      </c>
      <c r="G6695" s="28" t="s">
        <v>39</v>
      </c>
      <c r="H6695" s="28" t="s">
        <v>32244</v>
      </c>
      <c r="I6695" s="28" t="s">
        <v>32906</v>
      </c>
      <c r="J6695" s="28" t="s">
        <v>39</v>
      </c>
      <c r="K6695" s="28" t="s">
        <v>32246</v>
      </c>
      <c r="L6695" s="28" t="s">
        <v>32247</v>
      </c>
      <c r="M6695" s="28" t="s">
        <v>32907</v>
      </c>
      <c r="N6695" s="28" t="s">
        <v>32249</v>
      </c>
      <c r="O6695" s="28" t="s">
        <v>32250</v>
      </c>
      <c r="P6695" s="28" t="s">
        <v>32251</v>
      </c>
    </row>
    <row r="6696" spans="1:16" x14ac:dyDescent="0.25">
      <c r="A6696" s="28" t="s">
        <v>32908</v>
      </c>
      <c r="B6696" s="28" t="s">
        <v>32909</v>
      </c>
      <c r="C6696" s="28" t="s">
        <v>25143</v>
      </c>
      <c r="D6696" s="28" t="s">
        <v>19</v>
      </c>
      <c r="E6696" s="28" t="s">
        <v>196</v>
      </c>
      <c r="F6696" s="28" t="s">
        <v>21</v>
      </c>
      <c r="G6696" s="28" t="s">
        <v>39</v>
      </c>
      <c r="H6696" s="28" t="s">
        <v>32244</v>
      </c>
      <c r="I6696" s="28" t="s">
        <v>32910</v>
      </c>
      <c r="J6696" s="28" t="s">
        <v>39</v>
      </c>
      <c r="K6696" s="28" t="s">
        <v>32246</v>
      </c>
      <c r="L6696" s="28" t="s">
        <v>32247</v>
      </c>
      <c r="M6696" s="28" t="s">
        <v>32911</v>
      </c>
      <c r="N6696" s="28" t="s">
        <v>32249</v>
      </c>
      <c r="O6696" s="28" t="s">
        <v>32250</v>
      </c>
      <c r="P6696" s="28" t="s">
        <v>32251</v>
      </c>
    </row>
    <row r="6697" spans="1:16" x14ac:dyDescent="0.25">
      <c r="A6697" s="28" t="s">
        <v>32912</v>
      </c>
      <c r="B6697" s="28" t="s">
        <v>32913</v>
      </c>
      <c r="C6697" s="28" t="s">
        <v>25143</v>
      </c>
      <c r="D6697" s="28" t="s">
        <v>19</v>
      </c>
      <c r="E6697" s="28" t="s">
        <v>196</v>
      </c>
      <c r="F6697" s="28" t="s">
        <v>21</v>
      </c>
      <c r="G6697" s="28" t="s">
        <v>39</v>
      </c>
      <c r="H6697" s="28" t="s">
        <v>32244</v>
      </c>
      <c r="I6697" s="28" t="s">
        <v>32914</v>
      </c>
      <c r="J6697" s="28" t="s">
        <v>39</v>
      </c>
      <c r="K6697" s="28" t="s">
        <v>32246</v>
      </c>
      <c r="L6697" s="28" t="s">
        <v>32247</v>
      </c>
      <c r="M6697" s="28" t="s">
        <v>32915</v>
      </c>
      <c r="N6697" s="28" t="s">
        <v>32249</v>
      </c>
      <c r="O6697" s="28" t="s">
        <v>32250</v>
      </c>
      <c r="P6697" s="28" t="s">
        <v>32251</v>
      </c>
    </row>
    <row r="6698" spans="1:16" x14ac:dyDescent="0.25">
      <c r="A6698" s="28" t="s">
        <v>32916</v>
      </c>
      <c r="B6698" s="28" t="s">
        <v>32917</v>
      </c>
      <c r="C6698" s="28" t="s">
        <v>25143</v>
      </c>
      <c r="D6698" s="28" t="s">
        <v>19</v>
      </c>
      <c r="E6698" s="28" t="s">
        <v>196</v>
      </c>
      <c r="F6698" s="28" t="s">
        <v>21</v>
      </c>
      <c r="G6698" s="28" t="s">
        <v>39</v>
      </c>
      <c r="H6698" s="28" t="s">
        <v>32244</v>
      </c>
      <c r="I6698" s="28" t="s">
        <v>32918</v>
      </c>
      <c r="J6698" s="28" t="s">
        <v>39</v>
      </c>
      <c r="K6698" s="28" t="s">
        <v>32246</v>
      </c>
      <c r="L6698" s="28" t="s">
        <v>32247</v>
      </c>
      <c r="M6698" s="28" t="s">
        <v>32919</v>
      </c>
      <c r="N6698" s="28" t="s">
        <v>32249</v>
      </c>
      <c r="O6698" s="28" t="s">
        <v>32250</v>
      </c>
      <c r="P6698" s="28" t="s">
        <v>32251</v>
      </c>
    </row>
    <row r="6699" spans="1:16" x14ac:dyDescent="0.25">
      <c r="A6699" s="28" t="s">
        <v>32920</v>
      </c>
      <c r="B6699" s="28" t="s">
        <v>32921</v>
      </c>
      <c r="C6699" s="28" t="s">
        <v>25143</v>
      </c>
      <c r="D6699" s="28" t="s">
        <v>19</v>
      </c>
      <c r="E6699" s="28" t="s">
        <v>196</v>
      </c>
      <c r="F6699" s="28" t="s">
        <v>21</v>
      </c>
      <c r="G6699" s="28" t="s">
        <v>39</v>
      </c>
      <c r="H6699" s="28" t="s">
        <v>32244</v>
      </c>
      <c r="I6699" s="28" t="s">
        <v>32922</v>
      </c>
      <c r="J6699" s="28" t="s">
        <v>39</v>
      </c>
      <c r="K6699" s="28" t="s">
        <v>32246</v>
      </c>
      <c r="L6699" s="28" t="s">
        <v>32247</v>
      </c>
      <c r="M6699" s="28" t="s">
        <v>32923</v>
      </c>
      <c r="N6699" s="28" t="s">
        <v>32249</v>
      </c>
      <c r="O6699" s="28" t="s">
        <v>32250</v>
      </c>
      <c r="P6699" s="28" t="s">
        <v>32251</v>
      </c>
    </row>
    <row r="6700" spans="1:16" x14ac:dyDescent="0.25">
      <c r="A6700" s="28" t="s">
        <v>32924</v>
      </c>
      <c r="B6700" s="28" t="s">
        <v>32925</v>
      </c>
      <c r="C6700" s="28" t="s">
        <v>25143</v>
      </c>
      <c r="D6700" s="28" t="s">
        <v>19</v>
      </c>
      <c r="E6700" s="28" t="s">
        <v>196</v>
      </c>
      <c r="F6700" s="28" t="s">
        <v>21</v>
      </c>
      <c r="G6700" s="28" t="s">
        <v>39</v>
      </c>
      <c r="H6700" s="28" t="s">
        <v>32244</v>
      </c>
      <c r="I6700" s="28" t="s">
        <v>32926</v>
      </c>
      <c r="J6700" s="28" t="s">
        <v>39</v>
      </c>
      <c r="K6700" s="28" t="s">
        <v>32246</v>
      </c>
      <c r="L6700" s="28" t="s">
        <v>32247</v>
      </c>
      <c r="M6700" s="28" t="s">
        <v>32927</v>
      </c>
      <c r="N6700" s="28" t="s">
        <v>32249</v>
      </c>
      <c r="O6700" s="28" t="s">
        <v>32250</v>
      </c>
      <c r="P6700" s="28" t="s">
        <v>32251</v>
      </c>
    </row>
    <row r="6701" spans="1:16" x14ac:dyDescent="0.25">
      <c r="A6701" s="28" t="s">
        <v>32928</v>
      </c>
      <c r="B6701" s="28" t="s">
        <v>32929</v>
      </c>
      <c r="C6701" s="28" t="s">
        <v>25143</v>
      </c>
      <c r="D6701" s="28" t="s">
        <v>19</v>
      </c>
      <c r="E6701" s="28" t="s">
        <v>196</v>
      </c>
      <c r="F6701" s="28" t="s">
        <v>21</v>
      </c>
      <c r="G6701" s="28" t="s">
        <v>39</v>
      </c>
      <c r="H6701" s="28" t="s">
        <v>32244</v>
      </c>
      <c r="I6701" s="28" t="s">
        <v>32930</v>
      </c>
      <c r="J6701" s="28" t="s">
        <v>39</v>
      </c>
      <c r="K6701" s="28" t="s">
        <v>32246</v>
      </c>
      <c r="L6701" s="28" t="s">
        <v>32247</v>
      </c>
      <c r="M6701" s="28" t="s">
        <v>32931</v>
      </c>
      <c r="N6701" s="28" t="s">
        <v>32249</v>
      </c>
      <c r="O6701" s="28" t="s">
        <v>32250</v>
      </c>
      <c r="P6701" s="28" t="s">
        <v>32251</v>
      </c>
    </row>
    <row r="6702" spans="1:16" x14ac:dyDescent="0.25">
      <c r="A6702" s="28" t="s">
        <v>32932</v>
      </c>
      <c r="B6702" s="28" t="s">
        <v>32933</v>
      </c>
      <c r="C6702" s="28" t="s">
        <v>25143</v>
      </c>
      <c r="D6702" s="28" t="s">
        <v>19</v>
      </c>
      <c r="E6702" s="28" t="s">
        <v>196</v>
      </c>
      <c r="F6702" s="28" t="s">
        <v>21</v>
      </c>
      <c r="G6702" s="28" t="s">
        <v>39</v>
      </c>
      <c r="H6702" s="28" t="s">
        <v>32244</v>
      </c>
      <c r="I6702" s="28" t="s">
        <v>32934</v>
      </c>
      <c r="J6702" s="28" t="s">
        <v>39</v>
      </c>
      <c r="K6702" s="28" t="s">
        <v>32246</v>
      </c>
      <c r="L6702" s="28" t="s">
        <v>32247</v>
      </c>
      <c r="M6702" s="28" t="s">
        <v>32935</v>
      </c>
      <c r="N6702" s="28" t="s">
        <v>32249</v>
      </c>
      <c r="O6702" s="28" t="s">
        <v>32250</v>
      </c>
      <c r="P6702" s="28" t="s">
        <v>32251</v>
      </c>
    </row>
    <row r="6703" spans="1:16" x14ac:dyDescent="0.25">
      <c r="A6703" s="28" t="s">
        <v>32936</v>
      </c>
      <c r="B6703" s="28" t="s">
        <v>32937</v>
      </c>
      <c r="C6703" s="28" t="s">
        <v>25143</v>
      </c>
      <c r="D6703" s="28" t="s">
        <v>19</v>
      </c>
      <c r="E6703" s="28" t="s">
        <v>196</v>
      </c>
      <c r="F6703" s="28" t="s">
        <v>21</v>
      </c>
      <c r="G6703" s="28" t="s">
        <v>39</v>
      </c>
      <c r="H6703" s="28" t="s">
        <v>32244</v>
      </c>
      <c r="I6703" s="28" t="s">
        <v>32938</v>
      </c>
      <c r="J6703" s="28" t="s">
        <v>39</v>
      </c>
      <c r="K6703" s="28" t="s">
        <v>32246</v>
      </c>
      <c r="L6703" s="28" t="s">
        <v>32247</v>
      </c>
      <c r="M6703" s="28" t="s">
        <v>32939</v>
      </c>
      <c r="N6703" s="28" t="s">
        <v>32249</v>
      </c>
      <c r="O6703" s="28" t="s">
        <v>32250</v>
      </c>
      <c r="P6703" s="28" t="s">
        <v>32251</v>
      </c>
    </row>
    <row r="6704" spans="1:16" x14ac:dyDescent="0.25">
      <c r="A6704" s="28" t="s">
        <v>32940</v>
      </c>
      <c r="B6704" s="28" t="s">
        <v>32941</v>
      </c>
      <c r="C6704" s="28" t="s">
        <v>25143</v>
      </c>
      <c r="D6704" s="28" t="s">
        <v>19</v>
      </c>
      <c r="E6704" s="28" t="s">
        <v>196</v>
      </c>
      <c r="F6704" s="28" t="s">
        <v>21</v>
      </c>
      <c r="G6704" s="28" t="s">
        <v>39</v>
      </c>
      <c r="H6704" s="28" t="s">
        <v>32244</v>
      </c>
      <c r="I6704" s="28" t="s">
        <v>32942</v>
      </c>
      <c r="J6704" s="28" t="s">
        <v>39</v>
      </c>
      <c r="K6704" s="28" t="s">
        <v>32246</v>
      </c>
      <c r="L6704" s="28" t="s">
        <v>32247</v>
      </c>
      <c r="M6704" s="28" t="s">
        <v>32943</v>
      </c>
      <c r="N6704" s="28" t="s">
        <v>32249</v>
      </c>
      <c r="O6704" s="28" t="s">
        <v>32250</v>
      </c>
      <c r="P6704" s="28" t="s">
        <v>32251</v>
      </c>
    </row>
    <row r="6705" spans="1:16" x14ac:dyDescent="0.25">
      <c r="A6705" s="28" t="s">
        <v>32944</v>
      </c>
      <c r="B6705" s="28" t="s">
        <v>32945</v>
      </c>
      <c r="C6705" s="28" t="s">
        <v>25143</v>
      </c>
      <c r="D6705" s="28" t="s">
        <v>19</v>
      </c>
      <c r="E6705" s="28" t="s">
        <v>196</v>
      </c>
      <c r="F6705" s="28" t="s">
        <v>21</v>
      </c>
      <c r="G6705" s="28" t="s">
        <v>39</v>
      </c>
      <c r="H6705" s="28" t="s">
        <v>32244</v>
      </c>
      <c r="I6705" s="28" t="s">
        <v>32946</v>
      </c>
      <c r="J6705" s="28" t="s">
        <v>39</v>
      </c>
      <c r="K6705" s="28" t="s">
        <v>32246</v>
      </c>
      <c r="L6705" s="28" t="s">
        <v>32247</v>
      </c>
      <c r="M6705" s="28" t="s">
        <v>32947</v>
      </c>
      <c r="N6705" s="28" t="s">
        <v>32249</v>
      </c>
      <c r="O6705" s="28" t="s">
        <v>32250</v>
      </c>
      <c r="P6705" s="28" t="s">
        <v>32251</v>
      </c>
    </row>
    <row r="6706" spans="1:16" x14ac:dyDescent="0.25">
      <c r="A6706" s="28" t="s">
        <v>32948</v>
      </c>
      <c r="B6706" s="28" t="s">
        <v>32949</v>
      </c>
      <c r="C6706" s="28" t="s">
        <v>25143</v>
      </c>
      <c r="D6706" s="28" t="s">
        <v>19</v>
      </c>
      <c r="E6706" s="28" t="s">
        <v>196</v>
      </c>
      <c r="F6706" s="28" t="s">
        <v>21</v>
      </c>
      <c r="G6706" s="28" t="s">
        <v>39</v>
      </c>
      <c r="H6706" s="28" t="s">
        <v>32244</v>
      </c>
      <c r="I6706" s="28" t="s">
        <v>32950</v>
      </c>
      <c r="J6706" s="28" t="s">
        <v>39</v>
      </c>
      <c r="K6706" s="28" t="s">
        <v>32246</v>
      </c>
      <c r="L6706" s="28" t="s">
        <v>32247</v>
      </c>
      <c r="M6706" s="28" t="s">
        <v>32951</v>
      </c>
      <c r="N6706" s="28" t="s">
        <v>32249</v>
      </c>
      <c r="O6706" s="28" t="s">
        <v>32250</v>
      </c>
      <c r="P6706" s="28" t="s">
        <v>32251</v>
      </c>
    </row>
    <row r="6707" spans="1:16" x14ac:dyDescent="0.25">
      <c r="A6707" s="28" t="s">
        <v>32952</v>
      </c>
      <c r="B6707" s="28" t="s">
        <v>32953</v>
      </c>
      <c r="C6707" s="28" t="s">
        <v>25143</v>
      </c>
      <c r="D6707" s="28" t="s">
        <v>19</v>
      </c>
      <c r="E6707" s="28" t="s">
        <v>196</v>
      </c>
      <c r="F6707" s="28" t="s">
        <v>21</v>
      </c>
      <c r="G6707" s="28" t="s">
        <v>39</v>
      </c>
      <c r="H6707" s="28" t="s">
        <v>32244</v>
      </c>
      <c r="I6707" s="28" t="s">
        <v>32954</v>
      </c>
      <c r="J6707" s="28" t="s">
        <v>39</v>
      </c>
      <c r="K6707" s="28" t="s">
        <v>32246</v>
      </c>
      <c r="L6707" s="28" t="s">
        <v>32247</v>
      </c>
      <c r="M6707" s="28" t="s">
        <v>32955</v>
      </c>
      <c r="N6707" s="28" t="s">
        <v>32249</v>
      </c>
      <c r="O6707" s="28" t="s">
        <v>32250</v>
      </c>
      <c r="P6707" s="28" t="s">
        <v>32251</v>
      </c>
    </row>
    <row r="6708" spans="1:16" x14ac:dyDescent="0.25">
      <c r="A6708" s="28" t="s">
        <v>32956</v>
      </c>
      <c r="B6708" s="28" t="s">
        <v>32957</v>
      </c>
      <c r="C6708" s="28" t="s">
        <v>25143</v>
      </c>
      <c r="D6708" s="28" t="s">
        <v>19</v>
      </c>
      <c r="E6708" s="28" t="s">
        <v>196</v>
      </c>
      <c r="F6708" s="28" t="s">
        <v>21</v>
      </c>
      <c r="G6708" s="28" t="s">
        <v>39</v>
      </c>
      <c r="H6708" s="28" t="s">
        <v>32244</v>
      </c>
      <c r="I6708" s="28" t="s">
        <v>32958</v>
      </c>
      <c r="J6708" s="28" t="s">
        <v>39</v>
      </c>
      <c r="K6708" s="28" t="s">
        <v>32246</v>
      </c>
      <c r="L6708" s="28" t="s">
        <v>32247</v>
      </c>
      <c r="M6708" s="28" t="s">
        <v>32959</v>
      </c>
      <c r="N6708" s="28" t="s">
        <v>32249</v>
      </c>
      <c r="O6708" s="28" t="s">
        <v>32250</v>
      </c>
      <c r="P6708" s="28" t="s">
        <v>32251</v>
      </c>
    </row>
    <row r="6709" spans="1:16" x14ac:dyDescent="0.25">
      <c r="A6709" s="28" t="s">
        <v>32960</v>
      </c>
      <c r="B6709" s="28" t="s">
        <v>32961</v>
      </c>
      <c r="C6709" s="28" t="s">
        <v>25143</v>
      </c>
      <c r="D6709" s="28" t="s">
        <v>19</v>
      </c>
      <c r="E6709" s="28" t="s">
        <v>196</v>
      </c>
      <c r="F6709" s="28" t="s">
        <v>21</v>
      </c>
      <c r="G6709" s="28" t="s">
        <v>39</v>
      </c>
      <c r="H6709" s="28" t="s">
        <v>32244</v>
      </c>
      <c r="I6709" s="28" t="s">
        <v>32962</v>
      </c>
      <c r="J6709" s="28" t="s">
        <v>39</v>
      </c>
      <c r="K6709" s="28" t="s">
        <v>32246</v>
      </c>
      <c r="L6709" s="28" t="s">
        <v>32247</v>
      </c>
      <c r="M6709" s="28" t="s">
        <v>32963</v>
      </c>
      <c r="N6709" s="28" t="s">
        <v>32249</v>
      </c>
      <c r="O6709" s="28" t="s">
        <v>32250</v>
      </c>
      <c r="P6709" s="28" t="s">
        <v>32251</v>
      </c>
    </row>
    <row r="6710" spans="1:16" x14ac:dyDescent="0.25">
      <c r="A6710" s="28" t="s">
        <v>32964</v>
      </c>
      <c r="B6710" s="28" t="s">
        <v>32965</v>
      </c>
      <c r="C6710" s="28" t="s">
        <v>25143</v>
      </c>
      <c r="D6710" s="28" t="s">
        <v>19</v>
      </c>
      <c r="E6710" s="28" t="s">
        <v>196</v>
      </c>
      <c r="F6710" s="28" t="s">
        <v>21</v>
      </c>
      <c r="G6710" s="28" t="s">
        <v>39</v>
      </c>
      <c r="H6710" s="28" t="s">
        <v>32244</v>
      </c>
      <c r="I6710" s="28" t="s">
        <v>32966</v>
      </c>
      <c r="J6710" s="28" t="s">
        <v>39</v>
      </c>
      <c r="K6710" s="28" t="s">
        <v>32246</v>
      </c>
      <c r="L6710" s="28" t="s">
        <v>32247</v>
      </c>
      <c r="M6710" s="28" t="s">
        <v>32967</v>
      </c>
      <c r="N6710" s="28" t="s">
        <v>32249</v>
      </c>
      <c r="O6710" s="28" t="s">
        <v>32250</v>
      </c>
      <c r="P6710" s="28" t="s">
        <v>32251</v>
      </c>
    </row>
    <row r="6711" spans="1:16" x14ac:dyDescent="0.25">
      <c r="A6711" s="28" t="s">
        <v>32968</v>
      </c>
      <c r="B6711" s="28" t="s">
        <v>32969</v>
      </c>
      <c r="C6711" s="28" t="s">
        <v>25143</v>
      </c>
      <c r="D6711" s="28" t="s">
        <v>19</v>
      </c>
      <c r="E6711" s="28" t="s">
        <v>196</v>
      </c>
      <c r="F6711" s="28" t="s">
        <v>21</v>
      </c>
      <c r="G6711" s="28" t="s">
        <v>39</v>
      </c>
      <c r="H6711" s="28" t="s">
        <v>32244</v>
      </c>
      <c r="I6711" s="28" t="s">
        <v>32970</v>
      </c>
      <c r="J6711" s="28" t="s">
        <v>39</v>
      </c>
      <c r="K6711" s="28" t="s">
        <v>32246</v>
      </c>
      <c r="L6711" s="28" t="s">
        <v>32247</v>
      </c>
      <c r="M6711" s="28" t="s">
        <v>32971</v>
      </c>
      <c r="N6711" s="28" t="s">
        <v>32249</v>
      </c>
      <c r="O6711" s="28" t="s">
        <v>32250</v>
      </c>
      <c r="P6711" s="28" t="s">
        <v>32251</v>
      </c>
    </row>
    <row r="6712" spans="1:16" x14ac:dyDescent="0.25">
      <c r="A6712" s="28" t="s">
        <v>32972</v>
      </c>
      <c r="B6712" s="28" t="s">
        <v>32973</v>
      </c>
      <c r="C6712" s="28" t="s">
        <v>25143</v>
      </c>
      <c r="D6712" s="28" t="s">
        <v>19</v>
      </c>
      <c r="E6712" s="28" t="s">
        <v>196</v>
      </c>
      <c r="F6712" s="28" t="s">
        <v>21</v>
      </c>
      <c r="G6712" s="28" t="s">
        <v>39</v>
      </c>
      <c r="H6712" s="28" t="s">
        <v>32244</v>
      </c>
      <c r="I6712" s="28" t="s">
        <v>32974</v>
      </c>
      <c r="J6712" s="28" t="s">
        <v>39</v>
      </c>
      <c r="K6712" s="28" t="s">
        <v>32246</v>
      </c>
      <c r="L6712" s="28" t="s">
        <v>32247</v>
      </c>
      <c r="M6712" s="28" t="s">
        <v>32975</v>
      </c>
      <c r="N6712" s="28" t="s">
        <v>32249</v>
      </c>
      <c r="O6712" s="28" t="s">
        <v>32250</v>
      </c>
      <c r="P6712" s="28" t="s">
        <v>32251</v>
      </c>
    </row>
    <row r="6713" spans="1:16" x14ac:dyDescent="0.25">
      <c r="A6713" s="28" t="s">
        <v>32976</v>
      </c>
      <c r="B6713" s="28" t="s">
        <v>32977</v>
      </c>
      <c r="C6713" s="28" t="s">
        <v>25143</v>
      </c>
      <c r="D6713" s="28" t="s">
        <v>19</v>
      </c>
      <c r="E6713" s="28" t="s">
        <v>7058</v>
      </c>
      <c r="F6713" s="28" t="s">
        <v>21</v>
      </c>
      <c r="G6713" s="28" t="s">
        <v>39</v>
      </c>
      <c r="H6713" s="28" t="s">
        <v>32244</v>
      </c>
      <c r="I6713" s="28" t="s">
        <v>32978</v>
      </c>
      <c r="J6713" s="28" t="s">
        <v>39</v>
      </c>
      <c r="K6713" s="28" t="s">
        <v>32246</v>
      </c>
      <c r="L6713" s="28" t="s">
        <v>32247</v>
      </c>
      <c r="M6713" s="28" t="s">
        <v>32979</v>
      </c>
      <c r="N6713" s="28" t="s">
        <v>32249</v>
      </c>
      <c r="O6713" s="28" t="s">
        <v>32250</v>
      </c>
      <c r="P6713" s="28" t="s">
        <v>32251</v>
      </c>
    </row>
    <row r="6714" spans="1:16" hidden="1" x14ac:dyDescent="0.25">
      <c r="A6714" s="28" t="s">
        <v>32980</v>
      </c>
      <c r="B6714" s="28" t="s">
        <v>32981</v>
      </c>
      <c r="C6714" s="28" t="s">
        <v>1684</v>
      </c>
      <c r="D6714" s="28" t="s">
        <v>7132</v>
      </c>
      <c r="E6714" s="28" t="s">
        <v>32982</v>
      </c>
      <c r="F6714" s="28" t="s">
        <v>21</v>
      </c>
      <c r="G6714" s="28" t="s">
        <v>22</v>
      </c>
      <c r="H6714" s="28" t="s">
        <v>32983</v>
      </c>
      <c r="I6714" s="28" t="s">
        <v>32984</v>
      </c>
      <c r="J6714" s="28" t="s">
        <v>22</v>
      </c>
      <c r="K6714" s="28" t="s">
        <v>32985</v>
      </c>
      <c r="L6714" s="28" t="s">
        <v>32986</v>
      </c>
      <c r="M6714" s="28" t="s">
        <v>32987</v>
      </c>
      <c r="N6714" s="28" t="s">
        <v>32988</v>
      </c>
      <c r="O6714" s="28" t="s">
        <v>32989</v>
      </c>
      <c r="P6714" s="28" t="s">
        <v>30</v>
      </c>
    </row>
    <row r="6715" spans="1:16" hidden="1" x14ac:dyDescent="0.25">
      <c r="A6715" s="28" t="s">
        <v>32990</v>
      </c>
      <c r="B6715" s="28" t="s">
        <v>32991</v>
      </c>
      <c r="C6715" s="28" t="s">
        <v>1684</v>
      </c>
      <c r="D6715" s="28" t="s">
        <v>7132</v>
      </c>
      <c r="E6715" s="28" t="s">
        <v>32982</v>
      </c>
      <c r="F6715" s="28" t="s">
        <v>21</v>
      </c>
      <c r="G6715" s="28" t="s">
        <v>22</v>
      </c>
      <c r="H6715" s="28" t="s">
        <v>32983</v>
      </c>
      <c r="I6715" s="28" t="s">
        <v>32992</v>
      </c>
      <c r="J6715" s="28" t="s">
        <v>22</v>
      </c>
      <c r="K6715" s="28" t="s">
        <v>32985</v>
      </c>
      <c r="L6715" s="28" t="s">
        <v>32986</v>
      </c>
      <c r="M6715" s="28" t="s">
        <v>32993</v>
      </c>
      <c r="N6715" s="28" t="s">
        <v>32988</v>
      </c>
      <c r="O6715" s="28" t="s">
        <v>32989</v>
      </c>
      <c r="P6715" s="28" t="s">
        <v>30</v>
      </c>
    </row>
    <row r="6716" spans="1:16" hidden="1" x14ac:dyDescent="0.25">
      <c r="A6716" s="28" t="s">
        <v>32994</v>
      </c>
      <c r="B6716" s="28" t="s">
        <v>32995</v>
      </c>
      <c r="C6716" s="28" t="s">
        <v>1684</v>
      </c>
      <c r="D6716" s="28" t="s">
        <v>7132</v>
      </c>
      <c r="E6716" s="28" t="s">
        <v>22744</v>
      </c>
      <c r="F6716" s="28" t="s">
        <v>21</v>
      </c>
      <c r="G6716" s="28" t="s">
        <v>22</v>
      </c>
      <c r="H6716" s="28" t="s">
        <v>32983</v>
      </c>
      <c r="I6716" s="28" t="s">
        <v>32996</v>
      </c>
      <c r="J6716" s="28" t="s">
        <v>22</v>
      </c>
      <c r="K6716" s="28" t="s">
        <v>32985</v>
      </c>
      <c r="L6716" s="28" t="s">
        <v>32986</v>
      </c>
      <c r="M6716" s="28" t="s">
        <v>32997</v>
      </c>
      <c r="N6716" s="28" t="s">
        <v>32988</v>
      </c>
      <c r="O6716" s="28" t="s">
        <v>32989</v>
      </c>
      <c r="P6716" s="28" t="s">
        <v>30</v>
      </c>
    </row>
    <row r="6717" spans="1:16" hidden="1" x14ac:dyDescent="0.25">
      <c r="A6717" s="28" t="s">
        <v>32998</v>
      </c>
      <c r="B6717" s="28" t="s">
        <v>32999</v>
      </c>
      <c r="C6717" s="28" t="s">
        <v>1684</v>
      </c>
      <c r="D6717" s="28" t="s">
        <v>7132</v>
      </c>
      <c r="E6717" s="28" t="s">
        <v>22751</v>
      </c>
      <c r="F6717" s="28" t="s">
        <v>21</v>
      </c>
      <c r="G6717" s="28" t="s">
        <v>22</v>
      </c>
      <c r="H6717" s="28" t="s">
        <v>32983</v>
      </c>
      <c r="I6717" s="28" t="s">
        <v>33000</v>
      </c>
      <c r="J6717" s="28" t="s">
        <v>22</v>
      </c>
      <c r="K6717" s="28" t="s">
        <v>32985</v>
      </c>
      <c r="L6717" s="28" t="s">
        <v>32986</v>
      </c>
      <c r="M6717" s="28" t="s">
        <v>33001</v>
      </c>
      <c r="N6717" s="28" t="s">
        <v>32988</v>
      </c>
      <c r="O6717" s="28" t="s">
        <v>32989</v>
      </c>
      <c r="P6717" s="28" t="s">
        <v>30</v>
      </c>
    </row>
    <row r="6718" spans="1:16" hidden="1" x14ac:dyDescent="0.25">
      <c r="A6718" s="28" t="s">
        <v>33002</v>
      </c>
      <c r="B6718" s="28" t="s">
        <v>33003</v>
      </c>
      <c r="C6718" s="28" t="s">
        <v>1684</v>
      </c>
      <c r="D6718" s="28" t="s">
        <v>7132</v>
      </c>
      <c r="E6718" s="28" t="s">
        <v>22757</v>
      </c>
      <c r="F6718" s="28" t="s">
        <v>21</v>
      </c>
      <c r="G6718" s="28" t="s">
        <v>22</v>
      </c>
      <c r="H6718" s="28" t="s">
        <v>32983</v>
      </c>
      <c r="I6718" s="28" t="s">
        <v>33004</v>
      </c>
      <c r="J6718" s="28" t="s">
        <v>22</v>
      </c>
      <c r="K6718" s="28" t="s">
        <v>32985</v>
      </c>
      <c r="L6718" s="28" t="s">
        <v>32986</v>
      </c>
      <c r="M6718" s="28" t="s">
        <v>33005</v>
      </c>
      <c r="N6718" s="28" t="s">
        <v>32988</v>
      </c>
      <c r="O6718" s="28" t="s">
        <v>32989</v>
      </c>
      <c r="P6718" s="28" t="s">
        <v>30</v>
      </c>
    </row>
    <row r="6719" spans="1:16" x14ac:dyDescent="0.25">
      <c r="A6719" s="28" t="s">
        <v>33006</v>
      </c>
      <c r="B6719" s="28" t="s">
        <v>33007</v>
      </c>
      <c r="C6719" s="28" t="s">
        <v>1684</v>
      </c>
      <c r="D6719" s="28" t="s">
        <v>5990</v>
      </c>
      <c r="E6719" s="28" t="s">
        <v>21976</v>
      </c>
      <c r="F6719" s="28" t="s">
        <v>21</v>
      </c>
      <c r="G6719" s="28" t="s">
        <v>135</v>
      </c>
      <c r="H6719" s="28" t="s">
        <v>32983</v>
      </c>
      <c r="I6719" s="28" t="s">
        <v>33008</v>
      </c>
      <c r="J6719" s="28" t="s">
        <v>135</v>
      </c>
      <c r="K6719" s="28" t="s">
        <v>33009</v>
      </c>
      <c r="L6719" s="28" t="s">
        <v>32986</v>
      </c>
      <c r="M6719" s="28" t="s">
        <v>33010</v>
      </c>
      <c r="N6719" s="28" t="s">
        <v>32988</v>
      </c>
      <c r="O6719" s="28" t="s">
        <v>32989</v>
      </c>
      <c r="P6719" s="28" t="s">
        <v>30</v>
      </c>
    </row>
    <row r="6720" spans="1:16" x14ac:dyDescent="0.25">
      <c r="A6720" s="28" t="s">
        <v>33011</v>
      </c>
      <c r="B6720" s="28" t="s">
        <v>33012</v>
      </c>
      <c r="C6720" s="28" t="s">
        <v>1684</v>
      </c>
      <c r="D6720" s="28" t="s">
        <v>5990</v>
      </c>
      <c r="E6720" s="28" t="s">
        <v>21983</v>
      </c>
      <c r="F6720" s="28" t="s">
        <v>21</v>
      </c>
      <c r="G6720" s="28" t="s">
        <v>135</v>
      </c>
      <c r="H6720" s="28" t="s">
        <v>32983</v>
      </c>
      <c r="I6720" s="28" t="s">
        <v>33013</v>
      </c>
      <c r="J6720" s="28" t="s">
        <v>135</v>
      </c>
      <c r="K6720" s="28" t="s">
        <v>33009</v>
      </c>
      <c r="L6720" s="28" t="s">
        <v>32986</v>
      </c>
      <c r="M6720" s="28" t="s">
        <v>33014</v>
      </c>
      <c r="N6720" s="28" t="s">
        <v>32988</v>
      </c>
      <c r="O6720" s="28" t="s">
        <v>32989</v>
      </c>
      <c r="P6720" s="28" t="s">
        <v>30</v>
      </c>
    </row>
    <row r="6721" spans="1:16" hidden="1" x14ac:dyDescent="0.25">
      <c r="A6721" s="28" t="s">
        <v>33015</v>
      </c>
      <c r="B6721" s="28" t="s">
        <v>33016</v>
      </c>
      <c r="C6721" s="28" t="s">
        <v>1684</v>
      </c>
      <c r="D6721" s="28" t="s">
        <v>5990</v>
      </c>
      <c r="E6721" s="28" t="s">
        <v>23561</v>
      </c>
      <c r="F6721" s="28" t="s">
        <v>21</v>
      </c>
      <c r="G6721" s="28" t="s">
        <v>22</v>
      </c>
      <c r="H6721" s="28" t="s">
        <v>32983</v>
      </c>
      <c r="I6721" s="28" t="s">
        <v>33017</v>
      </c>
      <c r="J6721" s="28" t="s">
        <v>22</v>
      </c>
      <c r="K6721" s="28" t="s">
        <v>32985</v>
      </c>
      <c r="L6721" s="28" t="s">
        <v>32986</v>
      </c>
      <c r="M6721" s="28" t="s">
        <v>33018</v>
      </c>
      <c r="N6721" s="28" t="s">
        <v>32988</v>
      </c>
      <c r="O6721" s="28" t="s">
        <v>32989</v>
      </c>
      <c r="P6721" s="28" t="s">
        <v>30</v>
      </c>
    </row>
    <row r="6722" spans="1:16" hidden="1" x14ac:dyDescent="0.25">
      <c r="A6722" s="28" t="s">
        <v>33019</v>
      </c>
      <c r="B6722" s="28" t="s">
        <v>33020</v>
      </c>
      <c r="C6722" s="28" t="s">
        <v>1684</v>
      </c>
      <c r="D6722" s="28" t="s">
        <v>62</v>
      </c>
      <c r="E6722" s="28" t="s">
        <v>1115</v>
      </c>
      <c r="F6722" s="28" t="s">
        <v>21</v>
      </c>
      <c r="G6722" s="28" t="s">
        <v>22</v>
      </c>
      <c r="H6722" s="28" t="s">
        <v>32983</v>
      </c>
      <c r="I6722" s="28" t="s">
        <v>33021</v>
      </c>
      <c r="J6722" s="28" t="s">
        <v>22</v>
      </c>
      <c r="K6722" s="28" t="s">
        <v>32985</v>
      </c>
      <c r="L6722" s="28" t="s">
        <v>32986</v>
      </c>
      <c r="M6722" s="28" t="s">
        <v>33022</v>
      </c>
      <c r="N6722" s="28" t="s">
        <v>32988</v>
      </c>
      <c r="O6722" s="28" t="s">
        <v>32989</v>
      </c>
      <c r="P6722" s="28" t="s">
        <v>30</v>
      </c>
    </row>
    <row r="6723" spans="1:16" hidden="1" x14ac:dyDescent="0.25">
      <c r="A6723" s="28" t="s">
        <v>33023</v>
      </c>
      <c r="B6723" s="28" t="s">
        <v>33024</v>
      </c>
      <c r="C6723" s="28" t="s">
        <v>1684</v>
      </c>
      <c r="D6723" s="28" t="s">
        <v>62</v>
      </c>
      <c r="E6723" s="28" t="s">
        <v>5925</v>
      </c>
      <c r="F6723" s="28" t="s">
        <v>21</v>
      </c>
      <c r="G6723" s="28" t="s">
        <v>22</v>
      </c>
      <c r="H6723" s="28" t="s">
        <v>32983</v>
      </c>
      <c r="I6723" s="28" t="s">
        <v>33025</v>
      </c>
      <c r="J6723" s="28" t="s">
        <v>22</v>
      </c>
      <c r="K6723" s="28" t="s">
        <v>33026</v>
      </c>
      <c r="L6723" s="28" t="s">
        <v>32986</v>
      </c>
      <c r="M6723" s="28" t="s">
        <v>33027</v>
      </c>
      <c r="N6723" s="28" t="s">
        <v>32988</v>
      </c>
      <c r="O6723" s="28" t="s">
        <v>32989</v>
      </c>
      <c r="P6723" s="28" t="s">
        <v>30</v>
      </c>
    </row>
    <row r="6724" spans="1:16" hidden="1" x14ac:dyDescent="0.25">
      <c r="A6724" s="28" t="s">
        <v>33028</v>
      </c>
      <c r="B6724" s="28" t="s">
        <v>33029</v>
      </c>
      <c r="C6724" s="28" t="s">
        <v>1684</v>
      </c>
      <c r="D6724" s="28" t="s">
        <v>62</v>
      </c>
      <c r="E6724" s="28" t="s">
        <v>5925</v>
      </c>
      <c r="F6724" s="28" t="s">
        <v>21</v>
      </c>
      <c r="G6724" s="28" t="s">
        <v>22</v>
      </c>
      <c r="H6724" s="28" t="s">
        <v>32983</v>
      </c>
      <c r="I6724" s="28" t="s">
        <v>33030</v>
      </c>
      <c r="J6724" s="28" t="s">
        <v>22</v>
      </c>
      <c r="K6724" s="28" t="s">
        <v>33026</v>
      </c>
      <c r="L6724" s="28" t="s">
        <v>32986</v>
      </c>
      <c r="M6724" s="28" t="s">
        <v>33031</v>
      </c>
      <c r="N6724" s="28" t="s">
        <v>32988</v>
      </c>
      <c r="O6724" s="28" t="s">
        <v>32989</v>
      </c>
      <c r="P6724" s="28" t="s">
        <v>30</v>
      </c>
    </row>
    <row r="6725" spans="1:16" hidden="1" x14ac:dyDescent="0.25">
      <c r="A6725" s="28" t="s">
        <v>33032</v>
      </c>
      <c r="B6725" s="28" t="s">
        <v>33033</v>
      </c>
      <c r="C6725" s="28" t="s">
        <v>1684</v>
      </c>
      <c r="D6725" s="28" t="s">
        <v>62</v>
      </c>
      <c r="E6725" s="28" t="s">
        <v>23781</v>
      </c>
      <c r="F6725" s="28" t="s">
        <v>21</v>
      </c>
      <c r="G6725" s="28" t="s">
        <v>22</v>
      </c>
      <c r="H6725" s="28" t="s">
        <v>32983</v>
      </c>
      <c r="I6725" s="28" t="s">
        <v>33034</v>
      </c>
      <c r="J6725" s="28" t="s">
        <v>22</v>
      </c>
      <c r="K6725" s="28" t="s">
        <v>32985</v>
      </c>
      <c r="L6725" s="28" t="s">
        <v>32986</v>
      </c>
      <c r="M6725" s="28" t="s">
        <v>33035</v>
      </c>
      <c r="N6725" s="28" t="s">
        <v>32988</v>
      </c>
      <c r="O6725" s="28" t="s">
        <v>32989</v>
      </c>
      <c r="P6725" s="28" t="s">
        <v>30</v>
      </c>
    </row>
    <row r="6726" spans="1:16" hidden="1" x14ac:dyDescent="0.25">
      <c r="A6726" s="28" t="s">
        <v>33036</v>
      </c>
      <c r="B6726" s="28" t="s">
        <v>33037</v>
      </c>
      <c r="C6726" s="28" t="s">
        <v>1684</v>
      </c>
      <c r="D6726" s="28" t="s">
        <v>62</v>
      </c>
      <c r="E6726" s="28" t="s">
        <v>23781</v>
      </c>
      <c r="F6726" s="28" t="s">
        <v>21</v>
      </c>
      <c r="G6726" s="28" t="s">
        <v>22</v>
      </c>
      <c r="H6726" s="28" t="s">
        <v>32983</v>
      </c>
      <c r="I6726" s="28" t="s">
        <v>33038</v>
      </c>
      <c r="J6726" s="28" t="s">
        <v>22</v>
      </c>
      <c r="K6726" s="28" t="s">
        <v>32985</v>
      </c>
      <c r="L6726" s="28" t="s">
        <v>32986</v>
      </c>
      <c r="M6726" s="28" t="s">
        <v>33039</v>
      </c>
      <c r="N6726" s="28" t="s">
        <v>32988</v>
      </c>
      <c r="O6726" s="28" t="s">
        <v>32989</v>
      </c>
      <c r="P6726" s="28" t="s">
        <v>30</v>
      </c>
    </row>
    <row r="6727" spans="1:16" hidden="1" x14ac:dyDescent="0.25">
      <c r="A6727" s="28" t="s">
        <v>33040</v>
      </c>
      <c r="B6727" s="28" t="s">
        <v>33041</v>
      </c>
      <c r="C6727" s="28" t="s">
        <v>1684</v>
      </c>
      <c r="D6727" s="28" t="s">
        <v>6454</v>
      </c>
      <c r="E6727" s="28" t="s">
        <v>33042</v>
      </c>
      <c r="F6727" s="28" t="s">
        <v>21</v>
      </c>
      <c r="G6727" s="28" t="s">
        <v>22</v>
      </c>
      <c r="H6727" s="28" t="s">
        <v>32983</v>
      </c>
      <c r="I6727" s="28" t="s">
        <v>33043</v>
      </c>
      <c r="J6727" s="28" t="s">
        <v>22</v>
      </c>
      <c r="K6727" s="28" t="s">
        <v>32985</v>
      </c>
      <c r="L6727" s="28" t="s">
        <v>32986</v>
      </c>
      <c r="M6727" s="28" t="s">
        <v>33044</v>
      </c>
      <c r="N6727" s="28" t="s">
        <v>32988</v>
      </c>
      <c r="O6727" s="28" t="s">
        <v>32989</v>
      </c>
      <c r="P6727" s="28" t="s">
        <v>30</v>
      </c>
    </row>
    <row r="6728" spans="1:16" x14ac:dyDescent="0.25">
      <c r="A6728" s="28" t="s">
        <v>33045</v>
      </c>
      <c r="B6728" s="28" t="s">
        <v>33046</v>
      </c>
      <c r="C6728" s="28" t="s">
        <v>1684</v>
      </c>
      <c r="D6728" s="28" t="s">
        <v>45</v>
      </c>
      <c r="E6728" s="28" t="s">
        <v>22082</v>
      </c>
      <c r="F6728" s="28" t="s">
        <v>21</v>
      </c>
      <c r="G6728" s="28" t="s">
        <v>149</v>
      </c>
      <c r="H6728" s="28" t="s">
        <v>32983</v>
      </c>
      <c r="I6728" s="28" t="s">
        <v>33047</v>
      </c>
      <c r="J6728" s="28" t="s">
        <v>149</v>
      </c>
      <c r="K6728" s="28" t="s">
        <v>33048</v>
      </c>
      <c r="L6728" s="28" t="s">
        <v>32986</v>
      </c>
      <c r="M6728" s="28" t="s">
        <v>33049</v>
      </c>
      <c r="N6728" s="28" t="s">
        <v>32988</v>
      </c>
      <c r="O6728" s="28" t="s">
        <v>32989</v>
      </c>
      <c r="P6728" s="28" t="s">
        <v>30</v>
      </c>
    </row>
    <row r="6729" spans="1:16" hidden="1" x14ac:dyDescent="0.25">
      <c r="A6729" s="28" t="s">
        <v>33050</v>
      </c>
      <c r="B6729" s="28" t="s">
        <v>33051</v>
      </c>
      <c r="C6729" s="28" t="s">
        <v>1684</v>
      </c>
      <c r="D6729" s="28" t="s">
        <v>45</v>
      </c>
      <c r="E6729" s="28" t="s">
        <v>7213</v>
      </c>
      <c r="F6729" s="28" t="s">
        <v>21</v>
      </c>
      <c r="G6729" s="28" t="s">
        <v>22</v>
      </c>
      <c r="H6729" s="28" t="s">
        <v>32983</v>
      </c>
      <c r="I6729" s="28" t="s">
        <v>33052</v>
      </c>
      <c r="J6729" s="28" t="s">
        <v>22</v>
      </c>
      <c r="K6729" s="28" t="s">
        <v>32985</v>
      </c>
      <c r="L6729" s="28" t="s">
        <v>32986</v>
      </c>
      <c r="M6729" s="28" t="s">
        <v>33053</v>
      </c>
      <c r="N6729" s="28" t="s">
        <v>32988</v>
      </c>
      <c r="O6729" s="28" t="s">
        <v>32989</v>
      </c>
      <c r="P6729" s="28" t="s">
        <v>30</v>
      </c>
    </row>
    <row r="6730" spans="1:16" hidden="1" x14ac:dyDescent="0.25">
      <c r="A6730" s="28" t="s">
        <v>33054</v>
      </c>
      <c r="B6730" s="28" t="s">
        <v>33055</v>
      </c>
      <c r="C6730" s="28" t="s">
        <v>1684</v>
      </c>
      <c r="D6730" s="28" t="s">
        <v>45</v>
      </c>
      <c r="E6730" s="28" t="s">
        <v>23712</v>
      </c>
      <c r="F6730" s="28" t="s">
        <v>21</v>
      </c>
      <c r="G6730" s="28" t="s">
        <v>22</v>
      </c>
      <c r="H6730" s="28" t="s">
        <v>32983</v>
      </c>
      <c r="I6730" s="28" t="s">
        <v>33056</v>
      </c>
      <c r="J6730" s="28" t="s">
        <v>22</v>
      </c>
      <c r="K6730" s="28" t="s">
        <v>32985</v>
      </c>
      <c r="L6730" s="28" t="s">
        <v>32986</v>
      </c>
      <c r="M6730" s="28" t="s">
        <v>33057</v>
      </c>
      <c r="N6730" s="28" t="s">
        <v>32988</v>
      </c>
      <c r="O6730" s="28" t="s">
        <v>32989</v>
      </c>
      <c r="P6730" s="28" t="s">
        <v>30</v>
      </c>
    </row>
    <row r="6731" spans="1:16" hidden="1" x14ac:dyDescent="0.25">
      <c r="A6731" s="28" t="s">
        <v>33058</v>
      </c>
      <c r="B6731" s="28" t="s">
        <v>33059</v>
      </c>
      <c r="C6731" s="28" t="s">
        <v>1684</v>
      </c>
      <c r="D6731" s="28" t="s">
        <v>1586</v>
      </c>
      <c r="E6731" s="28" t="s">
        <v>33060</v>
      </c>
      <c r="F6731" s="28" t="s">
        <v>21</v>
      </c>
      <c r="G6731" s="28" t="s">
        <v>22</v>
      </c>
      <c r="H6731" s="28" t="s">
        <v>32983</v>
      </c>
      <c r="I6731" s="28" t="s">
        <v>33061</v>
      </c>
      <c r="J6731" s="28" t="s">
        <v>22</v>
      </c>
      <c r="K6731" s="28" t="s">
        <v>32985</v>
      </c>
      <c r="L6731" s="28" t="s">
        <v>32986</v>
      </c>
      <c r="M6731" s="28" t="s">
        <v>33062</v>
      </c>
      <c r="N6731" s="28" t="s">
        <v>32988</v>
      </c>
      <c r="O6731" s="28" t="s">
        <v>32989</v>
      </c>
      <c r="P6731" s="28" t="s">
        <v>30</v>
      </c>
    </row>
    <row r="6732" spans="1:16" hidden="1" x14ac:dyDescent="0.25">
      <c r="A6732" s="28" t="s">
        <v>33063</v>
      </c>
      <c r="B6732" s="28" t="s">
        <v>33064</v>
      </c>
      <c r="C6732" s="28" t="s">
        <v>1684</v>
      </c>
      <c r="D6732" s="28" t="s">
        <v>2287</v>
      </c>
      <c r="E6732" s="28" t="s">
        <v>33065</v>
      </c>
      <c r="F6732" s="28" t="s">
        <v>21</v>
      </c>
      <c r="G6732" s="28" t="s">
        <v>22</v>
      </c>
      <c r="H6732" s="28" t="s">
        <v>32983</v>
      </c>
      <c r="I6732" s="28" t="s">
        <v>33066</v>
      </c>
      <c r="J6732" s="28" t="s">
        <v>22</v>
      </c>
      <c r="K6732" s="28" t="s">
        <v>32985</v>
      </c>
      <c r="L6732" s="28" t="s">
        <v>32986</v>
      </c>
      <c r="M6732" s="28" t="s">
        <v>33067</v>
      </c>
      <c r="N6732" s="28" t="s">
        <v>32988</v>
      </c>
      <c r="O6732" s="28" t="s">
        <v>32989</v>
      </c>
      <c r="P6732" s="28" t="s">
        <v>30</v>
      </c>
    </row>
    <row r="6733" spans="1:16" hidden="1" x14ac:dyDescent="0.25">
      <c r="A6733" s="28" t="s">
        <v>33068</v>
      </c>
      <c r="B6733" s="28" t="s">
        <v>33069</v>
      </c>
      <c r="C6733" s="28" t="s">
        <v>1684</v>
      </c>
      <c r="D6733" s="28" t="s">
        <v>2347</v>
      </c>
      <c r="E6733" s="28" t="s">
        <v>33070</v>
      </c>
      <c r="F6733" s="28" t="s">
        <v>21</v>
      </c>
      <c r="G6733" s="28" t="s">
        <v>22</v>
      </c>
      <c r="H6733" s="28" t="s">
        <v>32983</v>
      </c>
      <c r="I6733" s="28" t="s">
        <v>33071</v>
      </c>
      <c r="J6733" s="28" t="s">
        <v>22</v>
      </c>
      <c r="K6733" s="28" t="s">
        <v>32985</v>
      </c>
      <c r="L6733" s="28" t="s">
        <v>32986</v>
      </c>
      <c r="M6733" s="28" t="s">
        <v>33072</v>
      </c>
      <c r="N6733" s="28" t="s">
        <v>32988</v>
      </c>
      <c r="O6733" s="28" t="s">
        <v>32989</v>
      </c>
      <c r="P6733" s="28" t="s">
        <v>30</v>
      </c>
    </row>
    <row r="6734" spans="1:16" hidden="1" x14ac:dyDescent="0.25">
      <c r="A6734" s="28" t="s">
        <v>33073</v>
      </c>
      <c r="B6734" s="28" t="s">
        <v>33074</v>
      </c>
      <c r="C6734" s="28" t="s">
        <v>1684</v>
      </c>
      <c r="D6734" s="28" t="s">
        <v>2347</v>
      </c>
      <c r="E6734" s="28" t="s">
        <v>33070</v>
      </c>
      <c r="F6734" s="28" t="s">
        <v>21</v>
      </c>
      <c r="G6734" s="28" t="s">
        <v>22</v>
      </c>
      <c r="H6734" s="28" t="s">
        <v>32983</v>
      </c>
      <c r="I6734" s="28" t="s">
        <v>33075</v>
      </c>
      <c r="J6734" s="28" t="s">
        <v>22</v>
      </c>
      <c r="K6734" s="28" t="s">
        <v>32985</v>
      </c>
      <c r="L6734" s="28" t="s">
        <v>32986</v>
      </c>
      <c r="M6734" s="28" t="s">
        <v>33076</v>
      </c>
      <c r="N6734" s="28" t="s">
        <v>32988</v>
      </c>
      <c r="O6734" s="28" t="s">
        <v>32989</v>
      </c>
      <c r="P6734" s="28" t="s">
        <v>30</v>
      </c>
    </row>
    <row r="6735" spans="1:16" hidden="1" x14ac:dyDescent="0.25">
      <c r="A6735" s="28" t="s">
        <v>33077</v>
      </c>
      <c r="B6735" s="28" t="s">
        <v>33078</v>
      </c>
      <c r="C6735" s="28" t="s">
        <v>1684</v>
      </c>
      <c r="D6735" s="28" t="s">
        <v>1204</v>
      </c>
      <c r="E6735" s="28" t="s">
        <v>23816</v>
      </c>
      <c r="F6735" s="28" t="s">
        <v>21</v>
      </c>
      <c r="G6735" s="28" t="s">
        <v>22</v>
      </c>
      <c r="H6735" s="28" t="s">
        <v>32983</v>
      </c>
      <c r="I6735" s="28" t="s">
        <v>33079</v>
      </c>
      <c r="J6735" s="28" t="s">
        <v>22</v>
      </c>
      <c r="K6735" s="28" t="s">
        <v>32985</v>
      </c>
      <c r="L6735" s="28" t="s">
        <v>32986</v>
      </c>
      <c r="M6735" s="28" t="s">
        <v>33080</v>
      </c>
      <c r="N6735" s="28" t="s">
        <v>32988</v>
      </c>
      <c r="O6735" s="28" t="s">
        <v>32989</v>
      </c>
      <c r="P6735" s="28" t="s">
        <v>30</v>
      </c>
    </row>
    <row r="6736" spans="1:16" hidden="1" x14ac:dyDescent="0.25">
      <c r="A6736" s="28" t="s">
        <v>33081</v>
      </c>
      <c r="B6736" s="28" t="s">
        <v>33082</v>
      </c>
      <c r="C6736" s="28" t="s">
        <v>1684</v>
      </c>
      <c r="D6736" s="28" t="s">
        <v>1204</v>
      </c>
      <c r="E6736" s="28" t="s">
        <v>23887</v>
      </c>
      <c r="F6736" s="28" t="s">
        <v>21</v>
      </c>
      <c r="G6736" s="28" t="s">
        <v>22</v>
      </c>
      <c r="H6736" s="28" t="s">
        <v>32983</v>
      </c>
      <c r="I6736" s="28" t="s">
        <v>33083</v>
      </c>
      <c r="J6736" s="28" t="s">
        <v>22</v>
      </c>
      <c r="K6736" s="28" t="s">
        <v>32985</v>
      </c>
      <c r="L6736" s="28" t="s">
        <v>32986</v>
      </c>
      <c r="M6736" s="28" t="s">
        <v>33084</v>
      </c>
      <c r="N6736" s="28" t="s">
        <v>32988</v>
      </c>
      <c r="O6736" s="28" t="s">
        <v>32989</v>
      </c>
      <c r="P6736" s="28" t="s">
        <v>30</v>
      </c>
    </row>
    <row r="6737" spans="1:16" hidden="1" x14ac:dyDescent="0.25">
      <c r="A6737" s="28" t="s">
        <v>33085</v>
      </c>
      <c r="B6737" s="28" t="s">
        <v>33086</v>
      </c>
      <c r="C6737" s="28" t="s">
        <v>1684</v>
      </c>
      <c r="D6737" s="28" t="s">
        <v>69</v>
      </c>
      <c r="E6737" s="28" t="s">
        <v>2472</v>
      </c>
      <c r="F6737" s="28" t="s">
        <v>21</v>
      </c>
      <c r="G6737" s="28" t="s">
        <v>22</v>
      </c>
      <c r="H6737" s="28" t="s">
        <v>32983</v>
      </c>
      <c r="I6737" s="28" t="s">
        <v>33087</v>
      </c>
      <c r="J6737" s="28" t="s">
        <v>22</v>
      </c>
      <c r="K6737" s="28" t="s">
        <v>32985</v>
      </c>
      <c r="L6737" s="28" t="s">
        <v>32986</v>
      </c>
      <c r="M6737" s="28" t="s">
        <v>33088</v>
      </c>
      <c r="N6737" s="28" t="s">
        <v>32988</v>
      </c>
      <c r="O6737" s="28" t="s">
        <v>32989</v>
      </c>
      <c r="P6737" s="28" t="s">
        <v>30</v>
      </c>
    </row>
    <row r="6738" spans="1:16" hidden="1" x14ac:dyDescent="0.25">
      <c r="A6738" s="28" t="s">
        <v>33089</v>
      </c>
      <c r="B6738" s="28" t="s">
        <v>33090</v>
      </c>
      <c r="C6738" s="28" t="s">
        <v>1684</v>
      </c>
      <c r="D6738" s="28" t="s">
        <v>69</v>
      </c>
      <c r="E6738" s="28" t="s">
        <v>33091</v>
      </c>
      <c r="F6738" s="28" t="s">
        <v>21</v>
      </c>
      <c r="G6738" s="28" t="s">
        <v>22</v>
      </c>
      <c r="H6738" s="28" t="s">
        <v>32983</v>
      </c>
      <c r="I6738" s="28" t="s">
        <v>33092</v>
      </c>
      <c r="J6738" s="28" t="s">
        <v>22</v>
      </c>
      <c r="K6738" s="28" t="s">
        <v>32985</v>
      </c>
      <c r="L6738" s="28" t="s">
        <v>32986</v>
      </c>
      <c r="M6738" s="28" t="s">
        <v>33093</v>
      </c>
      <c r="N6738" s="28" t="s">
        <v>32988</v>
      </c>
      <c r="O6738" s="28" t="s">
        <v>32989</v>
      </c>
      <c r="P6738" s="28" t="s">
        <v>30</v>
      </c>
    </row>
    <row r="6739" spans="1:16" hidden="1" x14ac:dyDescent="0.25">
      <c r="A6739" s="28" t="s">
        <v>33094</v>
      </c>
      <c r="B6739" s="28" t="s">
        <v>33095</v>
      </c>
      <c r="C6739" s="28" t="s">
        <v>1684</v>
      </c>
      <c r="D6739" s="28" t="s">
        <v>69</v>
      </c>
      <c r="E6739" s="28" t="s">
        <v>2516</v>
      </c>
      <c r="F6739" s="28" t="s">
        <v>21</v>
      </c>
      <c r="G6739" s="28" t="s">
        <v>22</v>
      </c>
      <c r="H6739" s="28" t="s">
        <v>32983</v>
      </c>
      <c r="I6739" s="28" t="s">
        <v>33096</v>
      </c>
      <c r="J6739" s="28" t="s">
        <v>22</v>
      </c>
      <c r="K6739" s="28" t="s">
        <v>32985</v>
      </c>
      <c r="L6739" s="28" t="s">
        <v>32986</v>
      </c>
      <c r="M6739" s="28" t="s">
        <v>33097</v>
      </c>
      <c r="N6739" s="28" t="s">
        <v>32988</v>
      </c>
      <c r="O6739" s="28" t="s">
        <v>32989</v>
      </c>
      <c r="P6739" s="28" t="s">
        <v>30</v>
      </c>
    </row>
    <row r="6740" spans="1:16" hidden="1" x14ac:dyDescent="0.25">
      <c r="A6740" s="28" t="s">
        <v>33098</v>
      </c>
      <c r="B6740" s="28" t="s">
        <v>33099</v>
      </c>
      <c r="C6740" s="28" t="s">
        <v>1684</v>
      </c>
      <c r="D6740" s="28" t="s">
        <v>69</v>
      </c>
      <c r="E6740" s="28" t="s">
        <v>5287</v>
      </c>
      <c r="F6740" s="28" t="s">
        <v>21</v>
      </c>
      <c r="G6740" s="28" t="s">
        <v>22</v>
      </c>
      <c r="H6740" s="28" t="s">
        <v>32983</v>
      </c>
      <c r="I6740" s="28" t="s">
        <v>33100</v>
      </c>
      <c r="J6740" s="28" t="s">
        <v>22</v>
      </c>
      <c r="K6740" s="28" t="s">
        <v>33101</v>
      </c>
      <c r="L6740" s="28" t="s">
        <v>32986</v>
      </c>
      <c r="M6740" s="28" t="s">
        <v>33102</v>
      </c>
      <c r="N6740" s="28" t="s">
        <v>32988</v>
      </c>
      <c r="O6740" s="28" t="s">
        <v>32989</v>
      </c>
      <c r="P6740" s="28" t="s">
        <v>30</v>
      </c>
    </row>
    <row r="6741" spans="1:16" hidden="1" x14ac:dyDescent="0.25">
      <c r="A6741" s="28" t="s">
        <v>33103</v>
      </c>
      <c r="B6741" s="28" t="s">
        <v>33104</v>
      </c>
      <c r="C6741" s="28" t="s">
        <v>1684</v>
      </c>
      <c r="D6741" s="28" t="s">
        <v>69</v>
      </c>
      <c r="E6741" s="28" t="s">
        <v>5287</v>
      </c>
      <c r="F6741" s="28" t="s">
        <v>21</v>
      </c>
      <c r="G6741" s="28" t="s">
        <v>22</v>
      </c>
      <c r="H6741" s="28" t="s">
        <v>32983</v>
      </c>
      <c r="I6741" s="28" t="s">
        <v>33105</v>
      </c>
      <c r="J6741" s="28" t="s">
        <v>22</v>
      </c>
      <c r="K6741" s="28" t="s">
        <v>33101</v>
      </c>
      <c r="L6741" s="28" t="s">
        <v>32986</v>
      </c>
      <c r="M6741" s="28" t="s">
        <v>33106</v>
      </c>
      <c r="N6741" s="28" t="s">
        <v>32988</v>
      </c>
      <c r="O6741" s="28" t="s">
        <v>32989</v>
      </c>
      <c r="P6741" s="28" t="s">
        <v>30</v>
      </c>
    </row>
    <row r="6742" spans="1:16" hidden="1" x14ac:dyDescent="0.25">
      <c r="A6742" s="28" t="s">
        <v>33107</v>
      </c>
      <c r="B6742" s="28" t="s">
        <v>33108</v>
      </c>
      <c r="C6742" s="28" t="s">
        <v>1684</v>
      </c>
      <c r="D6742" s="28" t="s">
        <v>69</v>
      </c>
      <c r="E6742" s="28" t="s">
        <v>5287</v>
      </c>
      <c r="F6742" s="28" t="s">
        <v>21</v>
      </c>
      <c r="G6742" s="28" t="s">
        <v>22</v>
      </c>
      <c r="H6742" s="28" t="s">
        <v>32983</v>
      </c>
      <c r="I6742" s="28" t="s">
        <v>33109</v>
      </c>
      <c r="J6742" s="28" t="s">
        <v>22</v>
      </c>
      <c r="K6742" s="28" t="s">
        <v>33101</v>
      </c>
      <c r="L6742" s="28" t="s">
        <v>32986</v>
      </c>
      <c r="M6742" s="28" t="s">
        <v>33110</v>
      </c>
      <c r="N6742" s="28" t="s">
        <v>32988</v>
      </c>
      <c r="O6742" s="28" t="s">
        <v>32989</v>
      </c>
      <c r="P6742" s="28" t="s">
        <v>30</v>
      </c>
    </row>
    <row r="6743" spans="1:16" hidden="1" x14ac:dyDescent="0.25">
      <c r="A6743" s="28" t="s">
        <v>33111</v>
      </c>
      <c r="B6743" s="28" t="s">
        <v>33112</v>
      </c>
      <c r="C6743" s="28" t="s">
        <v>1684</v>
      </c>
      <c r="D6743" s="28" t="s">
        <v>69</v>
      </c>
      <c r="E6743" s="28" t="s">
        <v>5287</v>
      </c>
      <c r="F6743" s="28" t="s">
        <v>21</v>
      </c>
      <c r="G6743" s="28" t="s">
        <v>22</v>
      </c>
      <c r="H6743" s="28" t="s">
        <v>32983</v>
      </c>
      <c r="I6743" s="28" t="s">
        <v>33113</v>
      </c>
      <c r="J6743" s="28" t="s">
        <v>22</v>
      </c>
      <c r="K6743" s="28" t="s">
        <v>33101</v>
      </c>
      <c r="L6743" s="28" t="s">
        <v>32986</v>
      </c>
      <c r="M6743" s="28" t="s">
        <v>33114</v>
      </c>
      <c r="N6743" s="28" t="s">
        <v>32988</v>
      </c>
      <c r="O6743" s="28" t="s">
        <v>32989</v>
      </c>
      <c r="P6743" s="28" t="s">
        <v>30</v>
      </c>
    </row>
    <row r="6744" spans="1:16" hidden="1" x14ac:dyDescent="0.25">
      <c r="A6744" s="28" t="s">
        <v>33115</v>
      </c>
      <c r="B6744" s="28" t="s">
        <v>33116</v>
      </c>
      <c r="C6744" s="28" t="s">
        <v>1684</v>
      </c>
      <c r="D6744" s="28" t="s">
        <v>1271</v>
      </c>
      <c r="E6744" s="28" t="s">
        <v>14132</v>
      </c>
      <c r="F6744" s="28" t="s">
        <v>21</v>
      </c>
      <c r="G6744" s="28" t="s">
        <v>22</v>
      </c>
      <c r="H6744" s="28" t="s">
        <v>32983</v>
      </c>
      <c r="I6744" s="28" t="s">
        <v>33117</v>
      </c>
      <c r="J6744" s="28" t="s">
        <v>22</v>
      </c>
      <c r="K6744" s="28" t="s">
        <v>32985</v>
      </c>
      <c r="L6744" s="28" t="s">
        <v>32986</v>
      </c>
      <c r="M6744" s="28" t="s">
        <v>33118</v>
      </c>
      <c r="N6744" s="28" t="s">
        <v>32988</v>
      </c>
      <c r="O6744" s="28" t="s">
        <v>32989</v>
      </c>
      <c r="P6744" s="28" t="s">
        <v>30</v>
      </c>
    </row>
    <row r="6745" spans="1:16" hidden="1" x14ac:dyDescent="0.25">
      <c r="A6745" s="28" t="s">
        <v>33119</v>
      </c>
      <c r="B6745" s="28" t="s">
        <v>33120</v>
      </c>
      <c r="C6745" s="28" t="s">
        <v>1684</v>
      </c>
      <c r="D6745" s="28" t="s">
        <v>1271</v>
      </c>
      <c r="E6745" s="28" t="s">
        <v>14132</v>
      </c>
      <c r="F6745" s="28" t="s">
        <v>21</v>
      </c>
      <c r="G6745" s="28" t="s">
        <v>22</v>
      </c>
      <c r="H6745" s="28" t="s">
        <v>32983</v>
      </c>
      <c r="I6745" s="28" t="s">
        <v>33121</v>
      </c>
      <c r="J6745" s="28" t="s">
        <v>22</v>
      </c>
      <c r="K6745" s="28" t="s">
        <v>32985</v>
      </c>
      <c r="L6745" s="28" t="s">
        <v>32986</v>
      </c>
      <c r="M6745" s="28" t="s">
        <v>33122</v>
      </c>
      <c r="N6745" s="28" t="s">
        <v>32988</v>
      </c>
      <c r="O6745" s="28" t="s">
        <v>32989</v>
      </c>
      <c r="P6745" s="28" t="s">
        <v>30</v>
      </c>
    </row>
    <row r="6746" spans="1:16" hidden="1" x14ac:dyDescent="0.25">
      <c r="A6746" s="28" t="s">
        <v>33123</v>
      </c>
      <c r="B6746" s="28" t="s">
        <v>33124</v>
      </c>
      <c r="C6746" s="28" t="s">
        <v>1684</v>
      </c>
      <c r="D6746" s="28" t="s">
        <v>2602</v>
      </c>
      <c r="E6746" s="28" t="s">
        <v>2603</v>
      </c>
      <c r="F6746" s="28" t="s">
        <v>21</v>
      </c>
      <c r="G6746" s="28" t="s">
        <v>22</v>
      </c>
      <c r="H6746" s="28" t="s">
        <v>32983</v>
      </c>
      <c r="I6746" s="28" t="s">
        <v>33125</v>
      </c>
      <c r="J6746" s="28" t="s">
        <v>22</v>
      </c>
      <c r="K6746" s="28" t="s">
        <v>32985</v>
      </c>
      <c r="L6746" s="28" t="s">
        <v>32986</v>
      </c>
      <c r="M6746" s="28" t="s">
        <v>33126</v>
      </c>
      <c r="N6746" s="28" t="s">
        <v>32988</v>
      </c>
      <c r="O6746" s="28" t="s">
        <v>32989</v>
      </c>
      <c r="P6746" s="28" t="s">
        <v>30</v>
      </c>
    </row>
    <row r="6747" spans="1:16" hidden="1" x14ac:dyDescent="0.25">
      <c r="A6747" s="28" t="s">
        <v>33127</v>
      </c>
      <c r="B6747" s="28" t="s">
        <v>33128</v>
      </c>
      <c r="C6747" s="28" t="s">
        <v>1684</v>
      </c>
      <c r="D6747" s="28" t="s">
        <v>2602</v>
      </c>
      <c r="E6747" s="28" t="s">
        <v>2603</v>
      </c>
      <c r="F6747" s="28" t="s">
        <v>21</v>
      </c>
      <c r="G6747" s="28" t="s">
        <v>22</v>
      </c>
      <c r="H6747" s="28" t="s">
        <v>32983</v>
      </c>
      <c r="I6747" s="28" t="s">
        <v>33129</v>
      </c>
      <c r="J6747" s="28" t="s">
        <v>22</v>
      </c>
      <c r="K6747" s="28" t="s">
        <v>32985</v>
      </c>
      <c r="L6747" s="28" t="s">
        <v>32986</v>
      </c>
      <c r="M6747" s="28" t="s">
        <v>33130</v>
      </c>
      <c r="N6747" s="28" t="s">
        <v>32988</v>
      </c>
      <c r="O6747" s="28" t="s">
        <v>32989</v>
      </c>
      <c r="P6747" s="28" t="s">
        <v>30</v>
      </c>
    </row>
    <row r="6748" spans="1:16" hidden="1" x14ac:dyDescent="0.25">
      <c r="A6748" s="28" t="s">
        <v>33131</v>
      </c>
      <c r="B6748" s="28" t="s">
        <v>33132</v>
      </c>
      <c r="C6748" s="28" t="s">
        <v>1684</v>
      </c>
      <c r="D6748" s="28" t="s">
        <v>2602</v>
      </c>
      <c r="E6748" s="28" t="s">
        <v>33133</v>
      </c>
      <c r="F6748" s="28" t="s">
        <v>21</v>
      </c>
      <c r="G6748" s="28" t="s">
        <v>22</v>
      </c>
      <c r="H6748" s="28" t="s">
        <v>32983</v>
      </c>
      <c r="I6748" s="28" t="s">
        <v>33134</v>
      </c>
      <c r="J6748" s="28" t="s">
        <v>22</v>
      </c>
      <c r="K6748" s="28" t="s">
        <v>32985</v>
      </c>
      <c r="L6748" s="28" t="s">
        <v>32986</v>
      </c>
      <c r="M6748" s="28" t="s">
        <v>33135</v>
      </c>
      <c r="N6748" s="28" t="s">
        <v>32988</v>
      </c>
      <c r="O6748" s="28" t="s">
        <v>32989</v>
      </c>
      <c r="P6748" s="28" t="s">
        <v>30</v>
      </c>
    </row>
    <row r="6749" spans="1:16" hidden="1" x14ac:dyDescent="0.25">
      <c r="A6749" s="28" t="s">
        <v>33136</v>
      </c>
      <c r="B6749" s="28" t="s">
        <v>33137</v>
      </c>
      <c r="C6749" s="28" t="s">
        <v>1684</v>
      </c>
      <c r="D6749" s="28" t="s">
        <v>3068</v>
      </c>
      <c r="E6749" s="28" t="s">
        <v>33138</v>
      </c>
      <c r="F6749" s="28" t="s">
        <v>21</v>
      </c>
      <c r="G6749" s="28" t="s">
        <v>22</v>
      </c>
      <c r="H6749" s="28" t="s">
        <v>32983</v>
      </c>
      <c r="I6749" s="28" t="s">
        <v>33139</v>
      </c>
      <c r="J6749" s="28" t="s">
        <v>22</v>
      </c>
      <c r="K6749" s="28" t="s">
        <v>32985</v>
      </c>
      <c r="L6749" s="28" t="s">
        <v>32986</v>
      </c>
      <c r="M6749" s="28" t="s">
        <v>33140</v>
      </c>
      <c r="N6749" s="28" t="s">
        <v>32988</v>
      </c>
      <c r="O6749" s="28" t="s">
        <v>32989</v>
      </c>
      <c r="P6749" s="28" t="s">
        <v>30</v>
      </c>
    </row>
    <row r="6750" spans="1:16" x14ac:dyDescent="0.25">
      <c r="A6750" s="28" t="s">
        <v>33141</v>
      </c>
      <c r="B6750" s="28" t="s">
        <v>33142</v>
      </c>
      <c r="C6750" s="28" t="s">
        <v>1684</v>
      </c>
      <c r="D6750" s="28" t="s">
        <v>3068</v>
      </c>
      <c r="E6750" s="28" t="s">
        <v>3131</v>
      </c>
      <c r="F6750" s="28" t="s">
        <v>21</v>
      </c>
      <c r="G6750" s="28" t="s">
        <v>135</v>
      </c>
      <c r="H6750" s="28" t="s">
        <v>32983</v>
      </c>
      <c r="I6750" s="28" t="s">
        <v>33143</v>
      </c>
      <c r="J6750" s="28" t="s">
        <v>135</v>
      </c>
      <c r="K6750" s="28" t="s">
        <v>33144</v>
      </c>
      <c r="L6750" s="28" t="s">
        <v>32986</v>
      </c>
      <c r="M6750" s="28" t="s">
        <v>33145</v>
      </c>
      <c r="N6750" s="28" t="s">
        <v>32988</v>
      </c>
      <c r="O6750" s="28" t="s">
        <v>32989</v>
      </c>
      <c r="P6750" s="28" t="s">
        <v>30</v>
      </c>
    </row>
    <row r="6751" spans="1:16" x14ac:dyDescent="0.25">
      <c r="A6751" s="28" t="s">
        <v>33146</v>
      </c>
      <c r="B6751" s="28" t="s">
        <v>33147</v>
      </c>
      <c r="C6751" s="28" t="s">
        <v>1684</v>
      </c>
      <c r="D6751" s="28" t="s">
        <v>3068</v>
      </c>
      <c r="E6751" s="28" t="s">
        <v>3154</v>
      </c>
      <c r="F6751" s="28" t="s">
        <v>21</v>
      </c>
      <c r="G6751" s="28" t="s">
        <v>135</v>
      </c>
      <c r="H6751" s="28" t="s">
        <v>32983</v>
      </c>
      <c r="I6751" s="28" t="s">
        <v>33148</v>
      </c>
      <c r="J6751" s="28" t="s">
        <v>135</v>
      </c>
      <c r="K6751" s="28" t="s">
        <v>33144</v>
      </c>
      <c r="L6751" s="28" t="s">
        <v>32986</v>
      </c>
      <c r="M6751" s="28" t="s">
        <v>33149</v>
      </c>
      <c r="N6751" s="28" t="s">
        <v>32988</v>
      </c>
      <c r="O6751" s="28" t="s">
        <v>32989</v>
      </c>
      <c r="P6751" s="28" t="s">
        <v>30</v>
      </c>
    </row>
    <row r="6752" spans="1:16" x14ac:dyDescent="0.25">
      <c r="A6752" s="28" t="s">
        <v>33150</v>
      </c>
      <c r="B6752" s="28" t="s">
        <v>33151</v>
      </c>
      <c r="C6752" s="28" t="s">
        <v>1684</v>
      </c>
      <c r="D6752" s="28" t="s">
        <v>3068</v>
      </c>
      <c r="E6752" s="28" t="s">
        <v>3160</v>
      </c>
      <c r="F6752" s="28" t="s">
        <v>21</v>
      </c>
      <c r="G6752" s="28" t="s">
        <v>135</v>
      </c>
      <c r="H6752" s="28" t="s">
        <v>32983</v>
      </c>
      <c r="I6752" s="28" t="s">
        <v>33152</v>
      </c>
      <c r="J6752" s="28" t="s">
        <v>135</v>
      </c>
      <c r="K6752" s="28" t="s">
        <v>33144</v>
      </c>
      <c r="L6752" s="28" t="s">
        <v>32986</v>
      </c>
      <c r="M6752" s="28" t="s">
        <v>33153</v>
      </c>
      <c r="N6752" s="28" t="s">
        <v>32988</v>
      </c>
      <c r="O6752" s="28" t="s">
        <v>32989</v>
      </c>
      <c r="P6752" s="28" t="s">
        <v>30</v>
      </c>
    </row>
    <row r="6753" spans="1:16" hidden="1" x14ac:dyDescent="0.25">
      <c r="A6753" s="28" t="s">
        <v>33154</v>
      </c>
      <c r="B6753" s="28" t="s">
        <v>33155</v>
      </c>
      <c r="C6753" s="28" t="s">
        <v>1684</v>
      </c>
      <c r="D6753" s="28" t="s">
        <v>3355</v>
      </c>
      <c r="E6753" s="28" t="s">
        <v>33156</v>
      </c>
      <c r="F6753" s="28" t="s">
        <v>21</v>
      </c>
      <c r="G6753" s="28" t="s">
        <v>22</v>
      </c>
      <c r="H6753" s="28" t="s">
        <v>32983</v>
      </c>
      <c r="I6753" s="28" t="s">
        <v>33157</v>
      </c>
      <c r="J6753" s="28" t="s">
        <v>22</v>
      </c>
      <c r="K6753" s="28" t="s">
        <v>32985</v>
      </c>
      <c r="L6753" s="28" t="s">
        <v>32986</v>
      </c>
      <c r="M6753" s="28" t="s">
        <v>33158</v>
      </c>
      <c r="N6753" s="28" t="s">
        <v>32988</v>
      </c>
      <c r="O6753" s="28" t="s">
        <v>32989</v>
      </c>
      <c r="P6753" s="28" t="s">
        <v>30</v>
      </c>
    </row>
    <row r="6754" spans="1:16" hidden="1" x14ac:dyDescent="0.25">
      <c r="A6754" s="28" t="s">
        <v>33159</v>
      </c>
      <c r="B6754" s="28" t="s">
        <v>33160</v>
      </c>
      <c r="C6754" s="28" t="s">
        <v>1684</v>
      </c>
      <c r="D6754" s="28" t="s">
        <v>3355</v>
      </c>
      <c r="E6754" s="28" t="s">
        <v>33156</v>
      </c>
      <c r="F6754" s="28" t="s">
        <v>21</v>
      </c>
      <c r="G6754" s="28" t="s">
        <v>22</v>
      </c>
      <c r="H6754" s="28" t="s">
        <v>32983</v>
      </c>
      <c r="I6754" s="28" t="s">
        <v>33161</v>
      </c>
      <c r="J6754" s="28" t="s">
        <v>22</v>
      </c>
      <c r="K6754" s="28" t="s">
        <v>32985</v>
      </c>
      <c r="L6754" s="28" t="s">
        <v>32986</v>
      </c>
      <c r="M6754" s="28" t="s">
        <v>33162</v>
      </c>
      <c r="N6754" s="28" t="s">
        <v>32988</v>
      </c>
      <c r="O6754" s="28" t="s">
        <v>32989</v>
      </c>
      <c r="P6754" s="28" t="s">
        <v>30</v>
      </c>
    </row>
    <row r="6755" spans="1:16" hidden="1" x14ac:dyDescent="0.25">
      <c r="A6755" s="28" t="s">
        <v>33163</v>
      </c>
      <c r="B6755" s="28" t="s">
        <v>33164</v>
      </c>
      <c r="C6755" s="28" t="s">
        <v>1684</v>
      </c>
      <c r="D6755" s="28" t="s">
        <v>3355</v>
      </c>
      <c r="E6755" s="28" t="s">
        <v>33165</v>
      </c>
      <c r="F6755" s="28" t="s">
        <v>21</v>
      </c>
      <c r="G6755" s="28" t="s">
        <v>22</v>
      </c>
      <c r="H6755" s="28" t="s">
        <v>32983</v>
      </c>
      <c r="I6755" s="28" t="s">
        <v>33166</v>
      </c>
      <c r="J6755" s="28" t="s">
        <v>22</v>
      </c>
      <c r="K6755" s="28" t="s">
        <v>32985</v>
      </c>
      <c r="L6755" s="28" t="s">
        <v>32986</v>
      </c>
      <c r="M6755" s="28" t="s">
        <v>33167</v>
      </c>
      <c r="N6755" s="28" t="s">
        <v>32988</v>
      </c>
      <c r="O6755" s="28" t="s">
        <v>32989</v>
      </c>
      <c r="P6755" s="28" t="s">
        <v>30</v>
      </c>
    </row>
    <row r="6756" spans="1:16" hidden="1" x14ac:dyDescent="0.25">
      <c r="A6756" s="28" t="s">
        <v>33168</v>
      </c>
      <c r="B6756" s="28" t="s">
        <v>33169</v>
      </c>
      <c r="C6756" s="28" t="s">
        <v>1684</v>
      </c>
      <c r="D6756" s="28" t="s">
        <v>3355</v>
      </c>
      <c r="E6756" s="28" t="s">
        <v>33165</v>
      </c>
      <c r="F6756" s="28" t="s">
        <v>21</v>
      </c>
      <c r="G6756" s="28" t="s">
        <v>22</v>
      </c>
      <c r="H6756" s="28" t="s">
        <v>32983</v>
      </c>
      <c r="I6756" s="28" t="s">
        <v>33170</v>
      </c>
      <c r="J6756" s="28" t="s">
        <v>22</v>
      </c>
      <c r="K6756" s="28" t="s">
        <v>32985</v>
      </c>
      <c r="L6756" s="28" t="s">
        <v>32986</v>
      </c>
      <c r="M6756" s="28" t="s">
        <v>33171</v>
      </c>
      <c r="N6756" s="28" t="s">
        <v>32988</v>
      </c>
      <c r="O6756" s="28" t="s">
        <v>32989</v>
      </c>
      <c r="P6756" s="28" t="s">
        <v>30</v>
      </c>
    </row>
    <row r="6757" spans="1:16" hidden="1" x14ac:dyDescent="0.25">
      <c r="A6757" s="28" t="s">
        <v>33172</v>
      </c>
      <c r="B6757" s="28" t="s">
        <v>33173</v>
      </c>
      <c r="C6757" s="28" t="s">
        <v>1684</v>
      </c>
      <c r="D6757" s="28" t="s">
        <v>3355</v>
      </c>
      <c r="E6757" s="28" t="s">
        <v>33174</v>
      </c>
      <c r="F6757" s="28" t="s">
        <v>21</v>
      </c>
      <c r="G6757" s="28" t="s">
        <v>22</v>
      </c>
      <c r="H6757" s="28" t="s">
        <v>32983</v>
      </c>
      <c r="I6757" s="28" t="s">
        <v>33175</v>
      </c>
      <c r="J6757" s="28" t="s">
        <v>22</v>
      </c>
      <c r="K6757" s="28" t="s">
        <v>32985</v>
      </c>
      <c r="L6757" s="28" t="s">
        <v>32986</v>
      </c>
      <c r="M6757" s="28" t="s">
        <v>33176</v>
      </c>
      <c r="N6757" s="28" t="s">
        <v>32988</v>
      </c>
      <c r="O6757" s="28" t="s">
        <v>32989</v>
      </c>
      <c r="P6757" s="28" t="s">
        <v>30</v>
      </c>
    </row>
    <row r="6758" spans="1:16" hidden="1" x14ac:dyDescent="0.25">
      <c r="A6758" s="28" t="s">
        <v>33177</v>
      </c>
      <c r="B6758" s="28" t="s">
        <v>33178</v>
      </c>
      <c r="C6758" s="28" t="s">
        <v>1684</v>
      </c>
      <c r="D6758" s="28" t="s">
        <v>3355</v>
      </c>
      <c r="E6758" s="28" t="s">
        <v>33174</v>
      </c>
      <c r="F6758" s="28" t="s">
        <v>21</v>
      </c>
      <c r="G6758" s="28" t="s">
        <v>22</v>
      </c>
      <c r="H6758" s="28" t="s">
        <v>32983</v>
      </c>
      <c r="I6758" s="28" t="s">
        <v>33179</v>
      </c>
      <c r="J6758" s="28" t="s">
        <v>22</v>
      </c>
      <c r="K6758" s="28" t="s">
        <v>32985</v>
      </c>
      <c r="L6758" s="28" t="s">
        <v>32986</v>
      </c>
      <c r="M6758" s="28" t="s">
        <v>33180</v>
      </c>
      <c r="N6758" s="28" t="s">
        <v>32988</v>
      </c>
      <c r="O6758" s="28" t="s">
        <v>32989</v>
      </c>
      <c r="P6758" s="28" t="s">
        <v>30</v>
      </c>
    </row>
    <row r="6759" spans="1:16" hidden="1" x14ac:dyDescent="0.25">
      <c r="A6759" s="28" t="s">
        <v>33181</v>
      </c>
      <c r="B6759" s="28" t="s">
        <v>33182</v>
      </c>
      <c r="C6759" s="28" t="s">
        <v>1684</v>
      </c>
      <c r="D6759" s="28" t="s">
        <v>3424</v>
      </c>
      <c r="E6759" s="28" t="s">
        <v>33183</v>
      </c>
      <c r="F6759" s="28" t="s">
        <v>21</v>
      </c>
      <c r="G6759" s="28" t="s">
        <v>22</v>
      </c>
      <c r="H6759" s="28" t="s">
        <v>32983</v>
      </c>
      <c r="I6759" s="28" t="s">
        <v>33184</v>
      </c>
      <c r="J6759" s="28" t="s">
        <v>22</v>
      </c>
      <c r="K6759" s="28" t="s">
        <v>32985</v>
      </c>
      <c r="L6759" s="28" t="s">
        <v>32986</v>
      </c>
      <c r="M6759" s="28" t="s">
        <v>33185</v>
      </c>
      <c r="N6759" s="28" t="s">
        <v>32988</v>
      </c>
      <c r="O6759" s="28" t="s">
        <v>32989</v>
      </c>
      <c r="P6759" s="28" t="s">
        <v>30</v>
      </c>
    </row>
    <row r="6760" spans="1:16" hidden="1" x14ac:dyDescent="0.25">
      <c r="A6760" s="28" t="s">
        <v>33186</v>
      </c>
      <c r="B6760" s="28" t="s">
        <v>33187</v>
      </c>
      <c r="C6760" s="28" t="s">
        <v>1684</v>
      </c>
      <c r="D6760" s="28" t="s">
        <v>3424</v>
      </c>
      <c r="E6760" s="28" t="s">
        <v>33183</v>
      </c>
      <c r="F6760" s="28" t="s">
        <v>21</v>
      </c>
      <c r="G6760" s="28" t="s">
        <v>22</v>
      </c>
      <c r="H6760" s="28" t="s">
        <v>32983</v>
      </c>
      <c r="I6760" s="28" t="s">
        <v>33188</v>
      </c>
      <c r="J6760" s="28" t="s">
        <v>22</v>
      </c>
      <c r="K6760" s="28" t="s">
        <v>32985</v>
      </c>
      <c r="L6760" s="28" t="s">
        <v>32986</v>
      </c>
      <c r="M6760" s="28" t="s">
        <v>33189</v>
      </c>
      <c r="N6760" s="28" t="s">
        <v>32988</v>
      </c>
      <c r="O6760" s="28" t="s">
        <v>32989</v>
      </c>
      <c r="P6760" s="28" t="s">
        <v>30</v>
      </c>
    </row>
    <row r="6761" spans="1:16" hidden="1" x14ac:dyDescent="0.25">
      <c r="A6761" s="28" t="s">
        <v>33190</v>
      </c>
      <c r="B6761" s="28" t="s">
        <v>33191</v>
      </c>
      <c r="C6761" s="28" t="s">
        <v>1684</v>
      </c>
      <c r="D6761" s="28" t="s">
        <v>3424</v>
      </c>
      <c r="E6761" s="28" t="s">
        <v>33192</v>
      </c>
      <c r="F6761" s="28" t="s">
        <v>21</v>
      </c>
      <c r="G6761" s="28" t="s">
        <v>22</v>
      </c>
      <c r="H6761" s="28" t="s">
        <v>32983</v>
      </c>
      <c r="I6761" s="28" t="s">
        <v>33193</v>
      </c>
      <c r="J6761" s="28" t="s">
        <v>22</v>
      </c>
      <c r="K6761" s="28" t="s">
        <v>32985</v>
      </c>
      <c r="L6761" s="28" t="s">
        <v>32986</v>
      </c>
      <c r="M6761" s="28" t="s">
        <v>33194</v>
      </c>
      <c r="N6761" s="28" t="s">
        <v>32988</v>
      </c>
      <c r="O6761" s="28" t="s">
        <v>32989</v>
      </c>
      <c r="P6761" s="28" t="s">
        <v>30</v>
      </c>
    </row>
    <row r="6762" spans="1:16" hidden="1" x14ac:dyDescent="0.25">
      <c r="A6762" s="28" t="s">
        <v>33195</v>
      </c>
      <c r="B6762" s="28" t="s">
        <v>33196</v>
      </c>
      <c r="C6762" s="28" t="s">
        <v>1684</v>
      </c>
      <c r="D6762" s="28" t="s">
        <v>3424</v>
      </c>
      <c r="E6762" s="28" t="s">
        <v>33192</v>
      </c>
      <c r="F6762" s="28" t="s">
        <v>21</v>
      </c>
      <c r="G6762" s="28" t="s">
        <v>22</v>
      </c>
      <c r="H6762" s="28" t="s">
        <v>32983</v>
      </c>
      <c r="I6762" s="28" t="s">
        <v>33197</v>
      </c>
      <c r="J6762" s="28" t="s">
        <v>22</v>
      </c>
      <c r="K6762" s="28" t="s">
        <v>32985</v>
      </c>
      <c r="L6762" s="28" t="s">
        <v>32986</v>
      </c>
      <c r="M6762" s="28" t="s">
        <v>33198</v>
      </c>
      <c r="N6762" s="28" t="s">
        <v>32988</v>
      </c>
      <c r="O6762" s="28" t="s">
        <v>32989</v>
      </c>
      <c r="P6762" s="28" t="s">
        <v>30</v>
      </c>
    </row>
    <row r="6763" spans="1:16" hidden="1" x14ac:dyDescent="0.25">
      <c r="A6763" s="28" t="s">
        <v>33199</v>
      </c>
      <c r="B6763" s="28" t="s">
        <v>33200</v>
      </c>
      <c r="C6763" s="28" t="s">
        <v>1684</v>
      </c>
      <c r="D6763" s="28" t="s">
        <v>3524</v>
      </c>
      <c r="E6763" s="28" t="s">
        <v>33201</v>
      </c>
      <c r="F6763" s="28" t="s">
        <v>21</v>
      </c>
      <c r="G6763" s="28" t="s">
        <v>22</v>
      </c>
      <c r="H6763" s="28" t="s">
        <v>32983</v>
      </c>
      <c r="I6763" s="28" t="s">
        <v>33202</v>
      </c>
      <c r="J6763" s="28" t="s">
        <v>22</v>
      </c>
      <c r="K6763" s="28" t="s">
        <v>32985</v>
      </c>
      <c r="L6763" s="28" t="s">
        <v>32986</v>
      </c>
      <c r="M6763" s="28" t="s">
        <v>33203</v>
      </c>
      <c r="N6763" s="28" t="s">
        <v>32988</v>
      </c>
      <c r="O6763" s="28" t="s">
        <v>32989</v>
      </c>
      <c r="P6763" s="28" t="s">
        <v>30</v>
      </c>
    </row>
    <row r="6764" spans="1:16" hidden="1" x14ac:dyDescent="0.25">
      <c r="A6764" s="28" t="s">
        <v>33204</v>
      </c>
      <c r="B6764" s="28" t="s">
        <v>33205</v>
      </c>
      <c r="C6764" s="28" t="s">
        <v>1684</v>
      </c>
      <c r="D6764" s="28" t="s">
        <v>3524</v>
      </c>
      <c r="E6764" s="28" t="s">
        <v>33201</v>
      </c>
      <c r="F6764" s="28" t="s">
        <v>21</v>
      </c>
      <c r="G6764" s="28" t="s">
        <v>22</v>
      </c>
      <c r="H6764" s="28" t="s">
        <v>32983</v>
      </c>
      <c r="I6764" s="28" t="s">
        <v>33206</v>
      </c>
      <c r="J6764" s="28" t="s">
        <v>22</v>
      </c>
      <c r="K6764" s="28" t="s">
        <v>32985</v>
      </c>
      <c r="L6764" s="28" t="s">
        <v>32986</v>
      </c>
      <c r="M6764" s="28" t="s">
        <v>33207</v>
      </c>
      <c r="N6764" s="28" t="s">
        <v>32988</v>
      </c>
      <c r="O6764" s="28" t="s">
        <v>32989</v>
      </c>
      <c r="P6764" s="28" t="s">
        <v>30</v>
      </c>
    </row>
    <row r="6765" spans="1:16" hidden="1" x14ac:dyDescent="0.25">
      <c r="A6765" s="28" t="s">
        <v>33208</v>
      </c>
      <c r="B6765" s="28" t="s">
        <v>33209</v>
      </c>
      <c r="C6765" s="28" t="s">
        <v>1684</v>
      </c>
      <c r="D6765" s="28" t="s">
        <v>3524</v>
      </c>
      <c r="E6765" s="28" t="s">
        <v>33210</v>
      </c>
      <c r="F6765" s="28" t="s">
        <v>21</v>
      </c>
      <c r="G6765" s="28" t="s">
        <v>22</v>
      </c>
      <c r="H6765" s="28" t="s">
        <v>32983</v>
      </c>
      <c r="I6765" s="28" t="s">
        <v>33211</v>
      </c>
      <c r="J6765" s="28" t="s">
        <v>22</v>
      </c>
      <c r="K6765" s="28" t="s">
        <v>32985</v>
      </c>
      <c r="L6765" s="28" t="s">
        <v>32986</v>
      </c>
      <c r="M6765" s="28" t="s">
        <v>33212</v>
      </c>
      <c r="N6765" s="28" t="s">
        <v>32988</v>
      </c>
      <c r="O6765" s="28" t="s">
        <v>32989</v>
      </c>
      <c r="P6765" s="28" t="s">
        <v>30</v>
      </c>
    </row>
    <row r="6766" spans="1:16" hidden="1" x14ac:dyDescent="0.25">
      <c r="A6766" s="28" t="s">
        <v>33213</v>
      </c>
      <c r="B6766" s="28" t="s">
        <v>33214</v>
      </c>
      <c r="C6766" s="28" t="s">
        <v>1684</v>
      </c>
      <c r="D6766" s="28" t="s">
        <v>3524</v>
      </c>
      <c r="E6766" s="28" t="s">
        <v>33210</v>
      </c>
      <c r="F6766" s="28" t="s">
        <v>21</v>
      </c>
      <c r="G6766" s="28" t="s">
        <v>22</v>
      </c>
      <c r="H6766" s="28" t="s">
        <v>32983</v>
      </c>
      <c r="I6766" s="28" t="s">
        <v>33215</v>
      </c>
      <c r="J6766" s="28" t="s">
        <v>22</v>
      </c>
      <c r="K6766" s="28" t="s">
        <v>32985</v>
      </c>
      <c r="L6766" s="28" t="s">
        <v>32986</v>
      </c>
      <c r="M6766" s="28" t="s">
        <v>33216</v>
      </c>
      <c r="N6766" s="28" t="s">
        <v>32988</v>
      </c>
      <c r="O6766" s="28" t="s">
        <v>32989</v>
      </c>
      <c r="P6766" s="28" t="s">
        <v>30</v>
      </c>
    </row>
    <row r="6767" spans="1:16" hidden="1" x14ac:dyDescent="0.25">
      <c r="A6767" s="28" t="s">
        <v>33217</v>
      </c>
      <c r="B6767" s="28" t="s">
        <v>33218</v>
      </c>
      <c r="C6767" s="28" t="s">
        <v>1684</v>
      </c>
      <c r="D6767" s="28" t="s">
        <v>4018</v>
      </c>
      <c r="E6767" s="28" t="s">
        <v>33219</v>
      </c>
      <c r="F6767" s="28" t="s">
        <v>21</v>
      </c>
      <c r="G6767" s="28" t="s">
        <v>22</v>
      </c>
      <c r="H6767" s="28" t="s">
        <v>32983</v>
      </c>
      <c r="I6767" s="28" t="s">
        <v>33220</v>
      </c>
      <c r="J6767" s="28" t="s">
        <v>22</v>
      </c>
      <c r="K6767" s="28" t="s">
        <v>32985</v>
      </c>
      <c r="L6767" s="28" t="s">
        <v>32986</v>
      </c>
      <c r="M6767" s="28" t="s">
        <v>33221</v>
      </c>
      <c r="N6767" s="28" t="s">
        <v>32988</v>
      </c>
      <c r="O6767" s="28" t="s">
        <v>32989</v>
      </c>
      <c r="P6767" s="28" t="s">
        <v>30</v>
      </c>
    </row>
    <row r="6768" spans="1:16" hidden="1" x14ac:dyDescent="0.25">
      <c r="A6768" s="28" t="s">
        <v>33222</v>
      </c>
      <c r="B6768" s="28" t="s">
        <v>33223</v>
      </c>
      <c r="C6768" s="28" t="s">
        <v>1684</v>
      </c>
      <c r="D6768" s="28" t="s">
        <v>4049</v>
      </c>
      <c r="E6768" s="28" t="s">
        <v>24702</v>
      </c>
      <c r="F6768" s="28" t="s">
        <v>21</v>
      </c>
      <c r="G6768" s="28" t="s">
        <v>22</v>
      </c>
      <c r="H6768" s="28" t="s">
        <v>32983</v>
      </c>
      <c r="I6768" s="28" t="s">
        <v>33224</v>
      </c>
      <c r="J6768" s="28" t="s">
        <v>22</v>
      </c>
      <c r="K6768" s="28" t="s">
        <v>32985</v>
      </c>
      <c r="L6768" s="28" t="s">
        <v>32986</v>
      </c>
      <c r="M6768" s="28" t="s">
        <v>33225</v>
      </c>
      <c r="N6768" s="28" t="s">
        <v>32988</v>
      </c>
      <c r="O6768" s="28" t="s">
        <v>32989</v>
      </c>
      <c r="P6768" s="28" t="s">
        <v>30</v>
      </c>
    </row>
    <row r="6769" spans="1:16" hidden="1" x14ac:dyDescent="0.25">
      <c r="A6769" s="28" t="s">
        <v>33226</v>
      </c>
      <c r="B6769" s="28" t="s">
        <v>33227</v>
      </c>
      <c r="C6769" s="28" t="s">
        <v>1684</v>
      </c>
      <c r="D6769" s="28" t="s">
        <v>33228</v>
      </c>
      <c r="E6769" s="28" t="s">
        <v>33229</v>
      </c>
      <c r="F6769" s="28" t="s">
        <v>21</v>
      </c>
      <c r="G6769" s="28" t="s">
        <v>22</v>
      </c>
      <c r="H6769" s="28" t="s">
        <v>32983</v>
      </c>
      <c r="I6769" s="28" t="s">
        <v>33230</v>
      </c>
      <c r="J6769" s="28" t="s">
        <v>22</v>
      </c>
      <c r="K6769" s="28" t="s">
        <v>32985</v>
      </c>
      <c r="L6769" s="28" t="s">
        <v>32986</v>
      </c>
      <c r="M6769" s="28" t="s">
        <v>33231</v>
      </c>
      <c r="N6769" s="28" t="s">
        <v>32988</v>
      </c>
      <c r="O6769" s="28" t="s">
        <v>32989</v>
      </c>
      <c r="P6769" s="28" t="s">
        <v>30</v>
      </c>
    </row>
    <row r="6770" spans="1:16" hidden="1" x14ac:dyDescent="0.25">
      <c r="A6770" s="28" t="s">
        <v>33232</v>
      </c>
      <c r="B6770" s="28" t="s">
        <v>33233</v>
      </c>
      <c r="C6770" s="28" t="s">
        <v>1684</v>
      </c>
      <c r="D6770" s="28" t="s">
        <v>120</v>
      </c>
      <c r="E6770" s="28" t="s">
        <v>121</v>
      </c>
      <c r="F6770" s="28" t="s">
        <v>21</v>
      </c>
      <c r="G6770" s="28" t="s">
        <v>22</v>
      </c>
      <c r="H6770" s="28" t="s">
        <v>32983</v>
      </c>
      <c r="I6770" s="28" t="s">
        <v>33234</v>
      </c>
      <c r="J6770" s="28" t="s">
        <v>22</v>
      </c>
      <c r="K6770" s="28" t="s">
        <v>32985</v>
      </c>
      <c r="L6770" s="28" t="s">
        <v>32986</v>
      </c>
      <c r="M6770" s="28" t="s">
        <v>33235</v>
      </c>
      <c r="N6770" s="28" t="s">
        <v>32988</v>
      </c>
      <c r="O6770" s="28" t="s">
        <v>32989</v>
      </c>
      <c r="P6770" s="28" t="s">
        <v>30</v>
      </c>
    </row>
    <row r="6771" spans="1:16" hidden="1" x14ac:dyDescent="0.25">
      <c r="A6771" s="28" t="s">
        <v>33236</v>
      </c>
      <c r="B6771" s="28" t="s">
        <v>33237</v>
      </c>
      <c r="C6771" s="28" t="s">
        <v>1684</v>
      </c>
      <c r="D6771" s="28" t="s">
        <v>120</v>
      </c>
      <c r="E6771" s="28" t="s">
        <v>121</v>
      </c>
      <c r="F6771" s="28" t="s">
        <v>21</v>
      </c>
      <c r="G6771" s="28" t="s">
        <v>22</v>
      </c>
      <c r="H6771" s="28" t="s">
        <v>32983</v>
      </c>
      <c r="I6771" s="28" t="s">
        <v>33238</v>
      </c>
      <c r="J6771" s="28" t="s">
        <v>22</v>
      </c>
      <c r="K6771" s="28" t="s">
        <v>32985</v>
      </c>
      <c r="L6771" s="28" t="s">
        <v>32986</v>
      </c>
      <c r="M6771" s="28" t="s">
        <v>33239</v>
      </c>
      <c r="N6771" s="28" t="s">
        <v>32988</v>
      </c>
      <c r="O6771" s="28" t="s">
        <v>32989</v>
      </c>
      <c r="P6771" s="28" t="s">
        <v>30</v>
      </c>
    </row>
    <row r="6772" spans="1:16" hidden="1" x14ac:dyDescent="0.25">
      <c r="A6772" s="28" t="s">
        <v>33240</v>
      </c>
      <c r="B6772" s="28" t="s">
        <v>33241</v>
      </c>
      <c r="C6772" s="28" t="s">
        <v>1684</v>
      </c>
      <c r="D6772" s="28" t="s">
        <v>120</v>
      </c>
      <c r="E6772" s="28" t="s">
        <v>25450</v>
      </c>
      <c r="F6772" s="28" t="s">
        <v>21</v>
      </c>
      <c r="G6772" s="28" t="s">
        <v>22</v>
      </c>
      <c r="H6772" s="28" t="s">
        <v>32983</v>
      </c>
      <c r="I6772" s="28" t="s">
        <v>33242</v>
      </c>
      <c r="J6772" s="28" t="s">
        <v>22</v>
      </c>
      <c r="K6772" s="28" t="s">
        <v>33243</v>
      </c>
      <c r="L6772" s="28" t="s">
        <v>32986</v>
      </c>
      <c r="M6772" s="28" t="s">
        <v>33244</v>
      </c>
      <c r="N6772" s="28" t="s">
        <v>32988</v>
      </c>
      <c r="O6772" s="28" t="s">
        <v>32989</v>
      </c>
      <c r="P6772" s="28" t="s">
        <v>30</v>
      </c>
    </row>
    <row r="6773" spans="1:16" hidden="1" x14ac:dyDescent="0.25">
      <c r="A6773" s="28" t="s">
        <v>33245</v>
      </c>
      <c r="B6773" s="28" t="s">
        <v>33246</v>
      </c>
      <c r="C6773" s="28" t="s">
        <v>1684</v>
      </c>
      <c r="D6773" s="28" t="s">
        <v>120</v>
      </c>
      <c r="E6773" s="28" t="s">
        <v>25450</v>
      </c>
      <c r="F6773" s="28" t="s">
        <v>21</v>
      </c>
      <c r="G6773" s="28" t="s">
        <v>22</v>
      </c>
      <c r="H6773" s="28" t="s">
        <v>32983</v>
      </c>
      <c r="I6773" s="28" t="s">
        <v>33247</v>
      </c>
      <c r="J6773" s="28" t="s">
        <v>22</v>
      </c>
      <c r="K6773" s="28" t="s">
        <v>33243</v>
      </c>
      <c r="L6773" s="28" t="s">
        <v>32986</v>
      </c>
      <c r="M6773" s="28" t="s">
        <v>33248</v>
      </c>
      <c r="N6773" s="28" t="s">
        <v>32988</v>
      </c>
      <c r="O6773" s="28" t="s">
        <v>32989</v>
      </c>
      <c r="P6773" s="28" t="s">
        <v>30</v>
      </c>
    </row>
    <row r="6774" spans="1:16" x14ac:dyDescent="0.25">
      <c r="A6774" s="28" t="s">
        <v>33249</v>
      </c>
      <c r="B6774" s="28" t="s">
        <v>33250</v>
      </c>
      <c r="C6774" s="28" t="s">
        <v>1684</v>
      </c>
      <c r="D6774" s="28" t="s">
        <v>5979</v>
      </c>
      <c r="E6774" s="28" t="s">
        <v>6001</v>
      </c>
      <c r="F6774" s="28" t="s">
        <v>21</v>
      </c>
      <c r="G6774" s="28" t="s">
        <v>135</v>
      </c>
      <c r="H6774" s="28" t="s">
        <v>32983</v>
      </c>
      <c r="I6774" s="28" t="s">
        <v>33251</v>
      </c>
      <c r="J6774" s="28" t="s">
        <v>135</v>
      </c>
      <c r="K6774" s="28" t="s">
        <v>33252</v>
      </c>
      <c r="L6774" s="28" t="s">
        <v>32986</v>
      </c>
      <c r="M6774" s="28" t="s">
        <v>33253</v>
      </c>
      <c r="N6774" s="28" t="s">
        <v>32988</v>
      </c>
      <c r="O6774" s="28" t="s">
        <v>32989</v>
      </c>
      <c r="P6774" s="28" t="s">
        <v>30</v>
      </c>
    </row>
    <row r="6775" spans="1:16" x14ac:dyDescent="0.25">
      <c r="A6775" s="28" t="s">
        <v>33254</v>
      </c>
      <c r="B6775" s="28" t="s">
        <v>33255</v>
      </c>
      <c r="C6775" s="28" t="s">
        <v>1684</v>
      </c>
      <c r="D6775" s="28" t="s">
        <v>5979</v>
      </c>
      <c r="E6775" s="28" t="s">
        <v>22717</v>
      </c>
      <c r="F6775" s="28" t="s">
        <v>21</v>
      </c>
      <c r="G6775" s="28" t="s">
        <v>135</v>
      </c>
      <c r="H6775" s="28" t="s">
        <v>32983</v>
      </c>
      <c r="I6775" s="28" t="s">
        <v>33256</v>
      </c>
      <c r="J6775" s="28" t="s">
        <v>135</v>
      </c>
      <c r="K6775" s="28" t="s">
        <v>33257</v>
      </c>
      <c r="L6775" s="28" t="s">
        <v>32986</v>
      </c>
      <c r="M6775" s="28" t="s">
        <v>33258</v>
      </c>
      <c r="N6775" s="28" t="s">
        <v>32988</v>
      </c>
      <c r="O6775" s="28" t="s">
        <v>32989</v>
      </c>
      <c r="P6775" s="28" t="s">
        <v>30</v>
      </c>
    </row>
    <row r="6776" spans="1:16" x14ac:dyDescent="0.25">
      <c r="A6776" s="28" t="s">
        <v>33259</v>
      </c>
      <c r="B6776" s="28" t="s">
        <v>33260</v>
      </c>
      <c r="C6776" s="28" t="s">
        <v>1684</v>
      </c>
      <c r="D6776" s="28" t="s">
        <v>5979</v>
      </c>
      <c r="E6776" s="28" t="s">
        <v>22723</v>
      </c>
      <c r="F6776" s="28" t="s">
        <v>21</v>
      </c>
      <c r="G6776" s="28" t="s">
        <v>135</v>
      </c>
      <c r="H6776" s="28" t="s">
        <v>32983</v>
      </c>
      <c r="I6776" s="28" t="s">
        <v>33261</v>
      </c>
      <c r="J6776" s="28" t="s">
        <v>135</v>
      </c>
      <c r="K6776" s="28" t="s">
        <v>33257</v>
      </c>
      <c r="L6776" s="28" t="s">
        <v>32986</v>
      </c>
      <c r="M6776" s="28" t="s">
        <v>33262</v>
      </c>
      <c r="N6776" s="28" t="s">
        <v>32988</v>
      </c>
      <c r="O6776" s="28" t="s">
        <v>32989</v>
      </c>
      <c r="P6776" s="28" t="s">
        <v>30</v>
      </c>
    </row>
    <row r="6777" spans="1:16" hidden="1" x14ac:dyDescent="0.25">
      <c r="A6777" s="28" t="s">
        <v>33263</v>
      </c>
      <c r="B6777" s="28" t="s">
        <v>33264</v>
      </c>
      <c r="C6777" s="28" t="s">
        <v>1684</v>
      </c>
      <c r="D6777" s="28" t="s">
        <v>5328</v>
      </c>
      <c r="E6777" s="28" t="s">
        <v>24298</v>
      </c>
      <c r="F6777" s="28" t="s">
        <v>21</v>
      </c>
      <c r="G6777" s="28" t="s">
        <v>22</v>
      </c>
      <c r="H6777" s="28" t="s">
        <v>32983</v>
      </c>
      <c r="I6777" s="28" t="s">
        <v>33265</v>
      </c>
      <c r="J6777" s="28" t="s">
        <v>22</v>
      </c>
      <c r="K6777" s="28" t="s">
        <v>32985</v>
      </c>
      <c r="L6777" s="28" t="s">
        <v>32986</v>
      </c>
      <c r="M6777" s="28" t="s">
        <v>33266</v>
      </c>
      <c r="N6777" s="28" t="s">
        <v>32988</v>
      </c>
      <c r="O6777" s="28" t="s">
        <v>32989</v>
      </c>
      <c r="P6777" s="28" t="s">
        <v>30</v>
      </c>
    </row>
    <row r="6778" spans="1:16" hidden="1" x14ac:dyDescent="0.25">
      <c r="A6778" s="28" t="s">
        <v>33267</v>
      </c>
      <c r="B6778" s="28" t="s">
        <v>33268</v>
      </c>
      <c r="C6778" s="28" t="s">
        <v>1684</v>
      </c>
      <c r="D6778" s="28" t="s">
        <v>5328</v>
      </c>
      <c r="E6778" s="28" t="s">
        <v>33269</v>
      </c>
      <c r="F6778" s="28" t="s">
        <v>21</v>
      </c>
      <c r="G6778" s="28" t="s">
        <v>22</v>
      </c>
      <c r="H6778" s="28" t="s">
        <v>32983</v>
      </c>
      <c r="I6778" s="28" t="s">
        <v>33270</v>
      </c>
      <c r="J6778" s="28" t="s">
        <v>22</v>
      </c>
      <c r="K6778" s="28" t="s">
        <v>32985</v>
      </c>
      <c r="L6778" s="28" t="s">
        <v>32986</v>
      </c>
      <c r="M6778" s="28" t="s">
        <v>33271</v>
      </c>
      <c r="N6778" s="28" t="s">
        <v>32988</v>
      </c>
      <c r="O6778" s="28" t="s">
        <v>32989</v>
      </c>
      <c r="P6778" s="28" t="s">
        <v>30</v>
      </c>
    </row>
    <row r="6779" spans="1:16" hidden="1" x14ac:dyDescent="0.25">
      <c r="A6779" s="28" t="s">
        <v>33272</v>
      </c>
      <c r="B6779" s="28" t="s">
        <v>33273</v>
      </c>
      <c r="C6779" s="28" t="s">
        <v>1684</v>
      </c>
      <c r="D6779" s="28" t="s">
        <v>5328</v>
      </c>
      <c r="E6779" s="28" t="s">
        <v>24298</v>
      </c>
      <c r="F6779" s="28" t="s">
        <v>21</v>
      </c>
      <c r="G6779" s="28" t="s">
        <v>22</v>
      </c>
      <c r="H6779" s="28" t="s">
        <v>32983</v>
      </c>
      <c r="I6779" s="28" t="s">
        <v>33274</v>
      </c>
      <c r="J6779" s="28" t="s">
        <v>22</v>
      </c>
      <c r="K6779" s="28" t="s">
        <v>32985</v>
      </c>
      <c r="L6779" s="28" t="s">
        <v>32986</v>
      </c>
      <c r="M6779" s="28" t="s">
        <v>33275</v>
      </c>
      <c r="N6779" s="28" t="s">
        <v>32988</v>
      </c>
      <c r="O6779" s="28" t="s">
        <v>32989</v>
      </c>
      <c r="P6779" s="28" t="s">
        <v>30</v>
      </c>
    </row>
    <row r="6780" spans="1:16" hidden="1" x14ac:dyDescent="0.25">
      <c r="A6780" s="28" t="s">
        <v>33276</v>
      </c>
      <c r="B6780" s="28" t="s">
        <v>33277</v>
      </c>
      <c r="C6780" s="28" t="s">
        <v>1684</v>
      </c>
      <c r="D6780" s="28" t="s">
        <v>5328</v>
      </c>
      <c r="E6780" s="28" t="s">
        <v>24298</v>
      </c>
      <c r="F6780" s="28" t="s">
        <v>21</v>
      </c>
      <c r="G6780" s="28" t="s">
        <v>22</v>
      </c>
      <c r="H6780" s="28" t="s">
        <v>32983</v>
      </c>
      <c r="I6780" s="28" t="s">
        <v>33278</v>
      </c>
      <c r="J6780" s="28" t="s">
        <v>22</v>
      </c>
      <c r="K6780" s="28" t="s">
        <v>32985</v>
      </c>
      <c r="L6780" s="28" t="s">
        <v>32986</v>
      </c>
      <c r="M6780" s="28" t="s">
        <v>33279</v>
      </c>
      <c r="N6780" s="28" t="s">
        <v>32988</v>
      </c>
      <c r="O6780" s="28" t="s">
        <v>32989</v>
      </c>
      <c r="P6780" s="28" t="s">
        <v>30</v>
      </c>
    </row>
    <row r="6781" spans="1:16" hidden="1" x14ac:dyDescent="0.25">
      <c r="A6781" s="28" t="s">
        <v>33280</v>
      </c>
      <c r="B6781" s="28" t="s">
        <v>33281</v>
      </c>
      <c r="C6781" s="28" t="s">
        <v>1684</v>
      </c>
      <c r="D6781" s="28" t="s">
        <v>5328</v>
      </c>
      <c r="E6781" s="28" t="s">
        <v>24298</v>
      </c>
      <c r="F6781" s="28" t="s">
        <v>21</v>
      </c>
      <c r="G6781" s="28" t="s">
        <v>22</v>
      </c>
      <c r="H6781" s="28" t="s">
        <v>32983</v>
      </c>
      <c r="I6781" s="28" t="s">
        <v>33282</v>
      </c>
      <c r="J6781" s="28" t="s">
        <v>22</v>
      </c>
      <c r="K6781" s="28" t="s">
        <v>32985</v>
      </c>
      <c r="L6781" s="28" t="s">
        <v>32986</v>
      </c>
      <c r="M6781" s="28" t="s">
        <v>33283</v>
      </c>
      <c r="N6781" s="28" t="s">
        <v>32988</v>
      </c>
      <c r="O6781" s="28" t="s">
        <v>32989</v>
      </c>
      <c r="P6781" s="28" t="s">
        <v>30</v>
      </c>
    </row>
    <row r="6782" spans="1:16" hidden="1" x14ac:dyDescent="0.25">
      <c r="A6782" s="28" t="s">
        <v>33284</v>
      </c>
      <c r="B6782" s="28" t="s">
        <v>33285</v>
      </c>
      <c r="C6782" s="28" t="s">
        <v>1684</v>
      </c>
      <c r="D6782" s="28" t="s">
        <v>5328</v>
      </c>
      <c r="E6782" s="28" t="s">
        <v>24298</v>
      </c>
      <c r="F6782" s="28" t="s">
        <v>21</v>
      </c>
      <c r="G6782" s="28" t="s">
        <v>22</v>
      </c>
      <c r="H6782" s="28" t="s">
        <v>32983</v>
      </c>
      <c r="I6782" s="28" t="s">
        <v>33286</v>
      </c>
      <c r="J6782" s="28" t="s">
        <v>22</v>
      </c>
      <c r="K6782" s="28" t="s">
        <v>32985</v>
      </c>
      <c r="L6782" s="28" t="s">
        <v>32986</v>
      </c>
      <c r="M6782" s="28" t="s">
        <v>33287</v>
      </c>
      <c r="N6782" s="28" t="s">
        <v>32988</v>
      </c>
      <c r="O6782" s="28" t="s">
        <v>32989</v>
      </c>
      <c r="P6782" s="28" t="s">
        <v>30</v>
      </c>
    </row>
    <row r="6783" spans="1:16" hidden="1" x14ac:dyDescent="0.25">
      <c r="A6783" s="28" t="s">
        <v>33288</v>
      </c>
      <c r="B6783" s="28" t="s">
        <v>33289</v>
      </c>
      <c r="C6783" s="28" t="s">
        <v>1684</v>
      </c>
      <c r="D6783" s="28" t="s">
        <v>5328</v>
      </c>
      <c r="E6783" s="28" t="s">
        <v>24298</v>
      </c>
      <c r="F6783" s="28" t="s">
        <v>21</v>
      </c>
      <c r="G6783" s="28" t="s">
        <v>22</v>
      </c>
      <c r="H6783" s="28" t="s">
        <v>32983</v>
      </c>
      <c r="I6783" s="28" t="s">
        <v>33290</v>
      </c>
      <c r="J6783" s="28" t="s">
        <v>22</v>
      </c>
      <c r="K6783" s="28" t="s">
        <v>32985</v>
      </c>
      <c r="L6783" s="28" t="s">
        <v>32986</v>
      </c>
      <c r="M6783" s="28" t="s">
        <v>33291</v>
      </c>
      <c r="N6783" s="28" t="s">
        <v>32988</v>
      </c>
      <c r="O6783" s="28" t="s">
        <v>32989</v>
      </c>
      <c r="P6783" s="28" t="s">
        <v>30</v>
      </c>
    </row>
    <row r="6784" spans="1:16" hidden="1" x14ac:dyDescent="0.25">
      <c r="A6784" s="28" t="s">
        <v>33292</v>
      </c>
      <c r="B6784" s="28" t="s">
        <v>33293</v>
      </c>
      <c r="C6784" s="28" t="s">
        <v>1684</v>
      </c>
      <c r="D6784" s="28" t="s">
        <v>5328</v>
      </c>
      <c r="E6784" s="28" t="s">
        <v>24361</v>
      </c>
      <c r="F6784" s="28" t="s">
        <v>21</v>
      </c>
      <c r="G6784" s="28" t="s">
        <v>22</v>
      </c>
      <c r="H6784" s="28" t="s">
        <v>32983</v>
      </c>
      <c r="I6784" s="28" t="s">
        <v>33294</v>
      </c>
      <c r="J6784" s="28" t="s">
        <v>22</v>
      </c>
      <c r="K6784" s="28" t="s">
        <v>33295</v>
      </c>
      <c r="L6784" s="28" t="s">
        <v>32986</v>
      </c>
      <c r="M6784" s="28" t="s">
        <v>33296</v>
      </c>
      <c r="N6784" s="28" t="s">
        <v>32988</v>
      </c>
      <c r="O6784" s="28" t="s">
        <v>32989</v>
      </c>
      <c r="P6784" s="28" t="s">
        <v>30</v>
      </c>
    </row>
    <row r="6785" spans="1:16" hidden="1" x14ac:dyDescent="0.25">
      <c r="A6785" s="28" t="s">
        <v>33297</v>
      </c>
      <c r="B6785" s="28" t="s">
        <v>33298</v>
      </c>
      <c r="C6785" s="28" t="s">
        <v>1684</v>
      </c>
      <c r="D6785" s="28" t="s">
        <v>5328</v>
      </c>
      <c r="E6785" s="28" t="s">
        <v>24367</v>
      </c>
      <c r="F6785" s="28" t="s">
        <v>21</v>
      </c>
      <c r="G6785" s="28" t="s">
        <v>22</v>
      </c>
      <c r="H6785" s="28" t="s">
        <v>32983</v>
      </c>
      <c r="I6785" s="28" t="s">
        <v>33299</v>
      </c>
      <c r="J6785" s="28" t="s">
        <v>22</v>
      </c>
      <c r="K6785" s="28" t="s">
        <v>33300</v>
      </c>
      <c r="L6785" s="28" t="s">
        <v>32986</v>
      </c>
      <c r="M6785" s="28" t="s">
        <v>33301</v>
      </c>
      <c r="N6785" s="28" t="s">
        <v>32988</v>
      </c>
      <c r="O6785" s="28" t="s">
        <v>32989</v>
      </c>
      <c r="P6785" s="28" t="s">
        <v>30</v>
      </c>
    </row>
    <row r="6786" spans="1:16" hidden="1" x14ac:dyDescent="0.25">
      <c r="A6786" s="28" t="s">
        <v>33302</v>
      </c>
      <c r="B6786" s="28" t="s">
        <v>33303</v>
      </c>
      <c r="C6786" s="28" t="s">
        <v>1684</v>
      </c>
      <c r="D6786" s="28" t="s">
        <v>5328</v>
      </c>
      <c r="E6786" s="28" t="s">
        <v>24367</v>
      </c>
      <c r="F6786" s="28" t="s">
        <v>21</v>
      </c>
      <c r="G6786" s="28" t="s">
        <v>22</v>
      </c>
      <c r="H6786" s="28" t="s">
        <v>32983</v>
      </c>
      <c r="I6786" s="28" t="s">
        <v>33304</v>
      </c>
      <c r="J6786" s="28" t="s">
        <v>22</v>
      </c>
      <c r="K6786" s="28" t="s">
        <v>33300</v>
      </c>
      <c r="L6786" s="28" t="s">
        <v>32986</v>
      </c>
      <c r="M6786" s="28" t="s">
        <v>33305</v>
      </c>
      <c r="N6786" s="28" t="s">
        <v>32988</v>
      </c>
      <c r="O6786" s="28" t="s">
        <v>32989</v>
      </c>
      <c r="P6786" s="28" t="s">
        <v>30</v>
      </c>
    </row>
    <row r="6787" spans="1:16" hidden="1" x14ac:dyDescent="0.25">
      <c r="A6787" s="28" t="s">
        <v>33306</v>
      </c>
      <c r="B6787" s="28" t="s">
        <v>33307</v>
      </c>
      <c r="C6787" s="28" t="s">
        <v>1684</v>
      </c>
      <c r="D6787" s="28" t="s">
        <v>5328</v>
      </c>
      <c r="E6787" s="28" t="s">
        <v>24367</v>
      </c>
      <c r="F6787" s="28" t="s">
        <v>21</v>
      </c>
      <c r="G6787" s="28" t="s">
        <v>22</v>
      </c>
      <c r="H6787" s="28" t="s">
        <v>32983</v>
      </c>
      <c r="I6787" s="28" t="s">
        <v>33308</v>
      </c>
      <c r="J6787" s="28" t="s">
        <v>22</v>
      </c>
      <c r="K6787" s="28" t="s">
        <v>33300</v>
      </c>
      <c r="L6787" s="28" t="s">
        <v>32986</v>
      </c>
      <c r="M6787" s="28" t="s">
        <v>33309</v>
      </c>
      <c r="N6787" s="28" t="s">
        <v>32988</v>
      </c>
      <c r="O6787" s="28" t="s">
        <v>32989</v>
      </c>
      <c r="P6787" s="28" t="s">
        <v>30</v>
      </c>
    </row>
    <row r="6788" spans="1:16" x14ac:dyDescent="0.25">
      <c r="A6788" s="28" t="s">
        <v>33310</v>
      </c>
      <c r="B6788" s="28" t="s">
        <v>33311</v>
      </c>
      <c r="C6788" s="28" t="s">
        <v>1684</v>
      </c>
      <c r="D6788" s="28" t="s">
        <v>4101</v>
      </c>
      <c r="E6788" s="28" t="s">
        <v>22479</v>
      </c>
      <c r="F6788" s="28" t="s">
        <v>21</v>
      </c>
      <c r="G6788" s="28" t="s">
        <v>149</v>
      </c>
      <c r="H6788" s="28" t="s">
        <v>32983</v>
      </c>
      <c r="I6788" s="28" t="s">
        <v>33312</v>
      </c>
      <c r="J6788" s="28" t="s">
        <v>149</v>
      </c>
      <c r="K6788" s="28" t="s">
        <v>33048</v>
      </c>
      <c r="L6788" s="28" t="s">
        <v>32986</v>
      </c>
      <c r="M6788" s="28" t="s">
        <v>33313</v>
      </c>
      <c r="N6788" s="28" t="s">
        <v>32988</v>
      </c>
      <c r="O6788" s="28" t="s">
        <v>32989</v>
      </c>
      <c r="P6788" s="28" t="s">
        <v>30</v>
      </c>
    </row>
    <row r="6789" spans="1:16" x14ac:dyDescent="0.25">
      <c r="A6789" s="28" t="s">
        <v>33314</v>
      </c>
      <c r="B6789" s="28" t="s">
        <v>33315</v>
      </c>
      <c r="C6789" s="28" t="s">
        <v>1684</v>
      </c>
      <c r="D6789" s="28" t="s">
        <v>4101</v>
      </c>
      <c r="E6789" s="28" t="s">
        <v>22485</v>
      </c>
      <c r="F6789" s="28" t="s">
        <v>21</v>
      </c>
      <c r="G6789" s="28" t="s">
        <v>149</v>
      </c>
      <c r="H6789" s="28" t="s">
        <v>32983</v>
      </c>
      <c r="I6789" s="28" t="s">
        <v>33316</v>
      </c>
      <c r="J6789" s="28" t="s">
        <v>149</v>
      </c>
      <c r="K6789" s="28" t="s">
        <v>33048</v>
      </c>
      <c r="L6789" s="28" t="s">
        <v>32986</v>
      </c>
      <c r="M6789" s="28" t="s">
        <v>33317</v>
      </c>
      <c r="N6789" s="28" t="s">
        <v>32988</v>
      </c>
      <c r="O6789" s="28" t="s">
        <v>32989</v>
      </c>
      <c r="P6789" s="28" t="s">
        <v>30</v>
      </c>
    </row>
    <row r="6790" spans="1:16" x14ac:dyDescent="0.25">
      <c r="A6790" s="28" t="s">
        <v>33318</v>
      </c>
      <c r="B6790" s="28" t="s">
        <v>33319</v>
      </c>
      <c r="C6790" s="28" t="s">
        <v>1684</v>
      </c>
      <c r="D6790" s="28" t="s">
        <v>4101</v>
      </c>
      <c r="E6790" s="28" t="s">
        <v>22491</v>
      </c>
      <c r="F6790" s="28" t="s">
        <v>21</v>
      </c>
      <c r="G6790" s="28" t="s">
        <v>149</v>
      </c>
      <c r="H6790" s="28" t="s">
        <v>32983</v>
      </c>
      <c r="I6790" s="28" t="s">
        <v>33320</v>
      </c>
      <c r="J6790" s="28" t="s">
        <v>149</v>
      </c>
      <c r="K6790" s="28" t="s">
        <v>33048</v>
      </c>
      <c r="L6790" s="28" t="s">
        <v>32986</v>
      </c>
      <c r="M6790" s="28" t="s">
        <v>33321</v>
      </c>
      <c r="N6790" s="28" t="s">
        <v>32988</v>
      </c>
      <c r="O6790" s="28" t="s">
        <v>32989</v>
      </c>
      <c r="P6790" s="28" t="s">
        <v>30</v>
      </c>
    </row>
    <row r="6791" spans="1:16" x14ac:dyDescent="0.25">
      <c r="A6791" s="28" t="s">
        <v>33322</v>
      </c>
      <c r="B6791" s="28" t="s">
        <v>33323</v>
      </c>
      <c r="C6791" s="28" t="s">
        <v>1684</v>
      </c>
      <c r="D6791" s="28" t="s">
        <v>4101</v>
      </c>
      <c r="E6791" s="28" t="s">
        <v>22497</v>
      </c>
      <c r="F6791" s="28" t="s">
        <v>21</v>
      </c>
      <c r="G6791" s="28" t="s">
        <v>149</v>
      </c>
      <c r="H6791" s="28" t="s">
        <v>32983</v>
      </c>
      <c r="I6791" s="28" t="s">
        <v>33324</v>
      </c>
      <c r="J6791" s="28" t="s">
        <v>149</v>
      </c>
      <c r="K6791" s="28" t="s">
        <v>33048</v>
      </c>
      <c r="L6791" s="28" t="s">
        <v>32986</v>
      </c>
      <c r="M6791" s="28" t="s">
        <v>33325</v>
      </c>
      <c r="N6791" s="28" t="s">
        <v>32988</v>
      </c>
      <c r="O6791" s="28" t="s">
        <v>32989</v>
      </c>
      <c r="P6791" s="28" t="s">
        <v>30</v>
      </c>
    </row>
    <row r="6792" spans="1:16" x14ac:dyDescent="0.25">
      <c r="A6792" s="28" t="s">
        <v>33326</v>
      </c>
      <c r="B6792" s="28" t="s">
        <v>33327</v>
      </c>
      <c r="C6792" s="28" t="s">
        <v>1684</v>
      </c>
      <c r="D6792" s="28" t="s">
        <v>4101</v>
      </c>
      <c r="E6792" s="28" t="s">
        <v>22514</v>
      </c>
      <c r="F6792" s="28" t="s">
        <v>21</v>
      </c>
      <c r="G6792" s="28" t="s">
        <v>149</v>
      </c>
      <c r="H6792" s="28" t="s">
        <v>32983</v>
      </c>
      <c r="I6792" s="28" t="s">
        <v>33328</v>
      </c>
      <c r="J6792" s="28" t="s">
        <v>149</v>
      </c>
      <c r="K6792" s="28" t="s">
        <v>33048</v>
      </c>
      <c r="L6792" s="28" t="s">
        <v>32986</v>
      </c>
      <c r="M6792" s="28" t="s">
        <v>33329</v>
      </c>
      <c r="N6792" s="28" t="s">
        <v>32988</v>
      </c>
      <c r="O6792" s="28" t="s">
        <v>32989</v>
      </c>
      <c r="P6792" s="28" t="s">
        <v>30</v>
      </c>
    </row>
    <row r="6793" spans="1:16" x14ac:dyDescent="0.25">
      <c r="A6793" s="28" t="s">
        <v>33330</v>
      </c>
      <c r="B6793" s="28" t="s">
        <v>33331</v>
      </c>
      <c r="C6793" s="28" t="s">
        <v>1684</v>
      </c>
      <c r="D6793" s="28" t="s">
        <v>4101</v>
      </c>
      <c r="E6793" s="28" t="s">
        <v>22535</v>
      </c>
      <c r="F6793" s="28" t="s">
        <v>21</v>
      </c>
      <c r="G6793" s="28" t="s">
        <v>149</v>
      </c>
      <c r="H6793" s="28" t="s">
        <v>32983</v>
      </c>
      <c r="I6793" s="28" t="s">
        <v>33332</v>
      </c>
      <c r="J6793" s="28" t="s">
        <v>149</v>
      </c>
      <c r="K6793" s="28" t="s">
        <v>33048</v>
      </c>
      <c r="L6793" s="28" t="s">
        <v>32986</v>
      </c>
      <c r="M6793" s="28" t="s">
        <v>33333</v>
      </c>
      <c r="N6793" s="28" t="s">
        <v>32988</v>
      </c>
      <c r="O6793" s="28" t="s">
        <v>32989</v>
      </c>
      <c r="P6793" s="28" t="s">
        <v>30</v>
      </c>
    </row>
    <row r="6794" spans="1:16" x14ac:dyDescent="0.25">
      <c r="A6794" s="28" t="s">
        <v>33334</v>
      </c>
      <c r="B6794" s="28" t="s">
        <v>33335</v>
      </c>
      <c r="C6794" s="28" t="s">
        <v>1684</v>
      </c>
      <c r="D6794" s="28" t="s">
        <v>4101</v>
      </c>
      <c r="E6794" s="28" t="s">
        <v>22479</v>
      </c>
      <c r="F6794" s="28" t="s">
        <v>21</v>
      </c>
      <c r="G6794" s="28" t="s">
        <v>149</v>
      </c>
      <c r="H6794" s="28" t="s">
        <v>32983</v>
      </c>
      <c r="I6794" s="28" t="s">
        <v>33336</v>
      </c>
      <c r="J6794" s="28" t="s">
        <v>149</v>
      </c>
      <c r="K6794" s="28" t="s">
        <v>33048</v>
      </c>
      <c r="L6794" s="28" t="s">
        <v>32986</v>
      </c>
      <c r="M6794" s="28" t="s">
        <v>33337</v>
      </c>
      <c r="N6794" s="28" t="s">
        <v>32988</v>
      </c>
      <c r="O6794" s="28" t="s">
        <v>32989</v>
      </c>
      <c r="P6794" s="28" t="s">
        <v>30</v>
      </c>
    </row>
    <row r="6795" spans="1:16" x14ac:dyDescent="0.25">
      <c r="A6795" s="28" t="s">
        <v>33338</v>
      </c>
      <c r="B6795" s="28" t="s">
        <v>33339</v>
      </c>
      <c r="C6795" s="28" t="s">
        <v>1684</v>
      </c>
      <c r="D6795" s="28" t="s">
        <v>4101</v>
      </c>
      <c r="E6795" s="28" t="s">
        <v>22485</v>
      </c>
      <c r="F6795" s="28" t="s">
        <v>21</v>
      </c>
      <c r="G6795" s="28" t="s">
        <v>149</v>
      </c>
      <c r="H6795" s="28" t="s">
        <v>32983</v>
      </c>
      <c r="I6795" s="28" t="s">
        <v>33340</v>
      </c>
      <c r="J6795" s="28" t="s">
        <v>149</v>
      </c>
      <c r="K6795" s="28" t="s">
        <v>33048</v>
      </c>
      <c r="L6795" s="28" t="s">
        <v>32986</v>
      </c>
      <c r="M6795" s="28" t="s">
        <v>33341</v>
      </c>
      <c r="N6795" s="28" t="s">
        <v>32988</v>
      </c>
      <c r="O6795" s="28" t="s">
        <v>32989</v>
      </c>
      <c r="P6795" s="28" t="s">
        <v>30</v>
      </c>
    </row>
    <row r="6796" spans="1:16" x14ac:dyDescent="0.25">
      <c r="A6796" s="28" t="s">
        <v>33342</v>
      </c>
      <c r="B6796" s="28" t="s">
        <v>33343</v>
      </c>
      <c r="C6796" s="28" t="s">
        <v>1684</v>
      </c>
      <c r="D6796" s="28" t="s">
        <v>4101</v>
      </c>
      <c r="E6796" s="28" t="s">
        <v>22491</v>
      </c>
      <c r="F6796" s="28" t="s">
        <v>21</v>
      </c>
      <c r="G6796" s="28" t="s">
        <v>149</v>
      </c>
      <c r="H6796" s="28" t="s">
        <v>32983</v>
      </c>
      <c r="I6796" s="28" t="s">
        <v>33344</v>
      </c>
      <c r="J6796" s="28" t="s">
        <v>149</v>
      </c>
      <c r="K6796" s="28" t="s">
        <v>33048</v>
      </c>
      <c r="L6796" s="28" t="s">
        <v>32986</v>
      </c>
      <c r="M6796" s="28" t="s">
        <v>33345</v>
      </c>
      <c r="N6796" s="28" t="s">
        <v>32988</v>
      </c>
      <c r="O6796" s="28" t="s">
        <v>32989</v>
      </c>
      <c r="P6796" s="28" t="s">
        <v>30</v>
      </c>
    </row>
    <row r="6797" spans="1:16" x14ac:dyDescent="0.25">
      <c r="A6797" s="28" t="s">
        <v>33346</v>
      </c>
      <c r="B6797" s="28" t="s">
        <v>33347</v>
      </c>
      <c r="C6797" s="28" t="s">
        <v>1684</v>
      </c>
      <c r="D6797" s="28" t="s">
        <v>4101</v>
      </c>
      <c r="E6797" s="28" t="s">
        <v>22497</v>
      </c>
      <c r="F6797" s="28" t="s">
        <v>21</v>
      </c>
      <c r="G6797" s="28" t="s">
        <v>149</v>
      </c>
      <c r="H6797" s="28" t="s">
        <v>32983</v>
      </c>
      <c r="I6797" s="28" t="s">
        <v>33348</v>
      </c>
      <c r="J6797" s="28" t="s">
        <v>149</v>
      </c>
      <c r="K6797" s="28" t="s">
        <v>33048</v>
      </c>
      <c r="L6797" s="28" t="s">
        <v>32986</v>
      </c>
      <c r="M6797" s="28" t="s">
        <v>33349</v>
      </c>
      <c r="N6797" s="28" t="s">
        <v>32988</v>
      </c>
      <c r="O6797" s="28" t="s">
        <v>32989</v>
      </c>
      <c r="P6797" s="28" t="s">
        <v>30</v>
      </c>
    </row>
    <row r="6798" spans="1:16" x14ac:dyDescent="0.25">
      <c r="A6798" s="28" t="s">
        <v>33350</v>
      </c>
      <c r="B6798" s="28" t="s">
        <v>33351</v>
      </c>
      <c r="C6798" s="28" t="s">
        <v>1684</v>
      </c>
      <c r="D6798" s="28" t="s">
        <v>5471</v>
      </c>
      <c r="E6798" s="28" t="s">
        <v>22588</v>
      </c>
      <c r="F6798" s="28" t="s">
        <v>21</v>
      </c>
      <c r="G6798" s="28" t="s">
        <v>149</v>
      </c>
      <c r="H6798" s="28" t="s">
        <v>32983</v>
      </c>
      <c r="I6798" s="28" t="s">
        <v>33352</v>
      </c>
      <c r="J6798" s="28" t="s">
        <v>149</v>
      </c>
      <c r="K6798" s="28" t="s">
        <v>33048</v>
      </c>
      <c r="L6798" s="28" t="s">
        <v>32986</v>
      </c>
      <c r="M6798" s="28" t="s">
        <v>33353</v>
      </c>
      <c r="N6798" s="28" t="s">
        <v>32988</v>
      </c>
      <c r="O6798" s="28" t="s">
        <v>32989</v>
      </c>
      <c r="P6798" s="28" t="s">
        <v>30</v>
      </c>
    </row>
    <row r="6799" spans="1:16" x14ac:dyDescent="0.25">
      <c r="A6799" s="28" t="s">
        <v>33354</v>
      </c>
      <c r="B6799" s="28" t="s">
        <v>33355</v>
      </c>
      <c r="C6799" s="28" t="s">
        <v>1684</v>
      </c>
      <c r="D6799" s="28" t="s">
        <v>5482</v>
      </c>
      <c r="E6799" s="28" t="s">
        <v>22646</v>
      </c>
      <c r="F6799" s="28" t="s">
        <v>21</v>
      </c>
      <c r="G6799" s="28" t="s">
        <v>149</v>
      </c>
      <c r="H6799" s="28" t="s">
        <v>32983</v>
      </c>
      <c r="I6799" s="28" t="s">
        <v>33356</v>
      </c>
      <c r="J6799" s="28" t="s">
        <v>149</v>
      </c>
      <c r="K6799" s="28" t="s">
        <v>33257</v>
      </c>
      <c r="L6799" s="28" t="s">
        <v>32986</v>
      </c>
      <c r="M6799" s="28" t="s">
        <v>33357</v>
      </c>
      <c r="N6799" s="28" t="s">
        <v>32988</v>
      </c>
      <c r="O6799" s="28" t="s">
        <v>32989</v>
      </c>
      <c r="P6799" s="28" t="s">
        <v>30</v>
      </c>
    </row>
    <row r="6800" spans="1:16" hidden="1" x14ac:dyDescent="0.25">
      <c r="A6800" s="28" t="s">
        <v>33358</v>
      </c>
      <c r="B6800" s="28" t="s">
        <v>33359</v>
      </c>
      <c r="C6800" s="28" t="s">
        <v>1684</v>
      </c>
      <c r="D6800" s="28" t="s">
        <v>101</v>
      </c>
      <c r="E6800" s="28" t="s">
        <v>33360</v>
      </c>
      <c r="F6800" s="28" t="s">
        <v>21</v>
      </c>
      <c r="G6800" s="28" t="s">
        <v>22</v>
      </c>
      <c r="H6800" s="28" t="s">
        <v>32983</v>
      </c>
      <c r="I6800" s="28" t="s">
        <v>33361</v>
      </c>
      <c r="J6800" s="28" t="s">
        <v>22</v>
      </c>
      <c r="K6800" s="28" t="s">
        <v>32985</v>
      </c>
      <c r="L6800" s="28" t="s">
        <v>32986</v>
      </c>
      <c r="M6800" s="28" t="s">
        <v>33362</v>
      </c>
      <c r="N6800" s="28" t="s">
        <v>32988</v>
      </c>
      <c r="O6800" s="28" t="s">
        <v>32989</v>
      </c>
      <c r="P6800" s="28" t="s">
        <v>30</v>
      </c>
    </row>
    <row r="6801" spans="1:16" hidden="1" x14ac:dyDescent="0.25">
      <c r="A6801" s="28" t="s">
        <v>33363</v>
      </c>
      <c r="B6801" s="28" t="s">
        <v>33364</v>
      </c>
      <c r="C6801" s="28" t="s">
        <v>1684</v>
      </c>
      <c r="D6801" s="28" t="s">
        <v>101</v>
      </c>
      <c r="E6801" s="28" t="s">
        <v>33365</v>
      </c>
      <c r="F6801" s="28" t="s">
        <v>21</v>
      </c>
      <c r="G6801" s="28" t="s">
        <v>22</v>
      </c>
      <c r="H6801" s="28" t="s">
        <v>32983</v>
      </c>
      <c r="I6801" s="28" t="s">
        <v>33366</v>
      </c>
      <c r="J6801" s="28" t="s">
        <v>22</v>
      </c>
      <c r="K6801" s="28" t="s">
        <v>33367</v>
      </c>
      <c r="L6801" s="28" t="s">
        <v>32986</v>
      </c>
      <c r="M6801" s="28" t="s">
        <v>33368</v>
      </c>
      <c r="N6801" s="28" t="s">
        <v>32988</v>
      </c>
      <c r="O6801" s="28" t="s">
        <v>32989</v>
      </c>
      <c r="P6801" s="28" t="s">
        <v>30</v>
      </c>
    </row>
    <row r="6802" spans="1:16" hidden="1" x14ac:dyDescent="0.25">
      <c r="A6802" s="28" t="s">
        <v>33369</v>
      </c>
      <c r="B6802" s="28" t="s">
        <v>33370</v>
      </c>
      <c r="C6802" s="28" t="s">
        <v>1684</v>
      </c>
      <c r="D6802" s="28" t="s">
        <v>101</v>
      </c>
      <c r="E6802" s="28" t="s">
        <v>33365</v>
      </c>
      <c r="F6802" s="28" t="s">
        <v>21</v>
      </c>
      <c r="G6802" s="28" t="s">
        <v>22</v>
      </c>
      <c r="H6802" s="28" t="s">
        <v>32983</v>
      </c>
      <c r="I6802" s="28" t="s">
        <v>33371</v>
      </c>
      <c r="J6802" s="28" t="s">
        <v>22</v>
      </c>
      <c r="K6802" s="28" t="s">
        <v>33367</v>
      </c>
      <c r="L6802" s="28" t="s">
        <v>32986</v>
      </c>
      <c r="M6802" s="28" t="s">
        <v>33372</v>
      </c>
      <c r="N6802" s="28" t="s">
        <v>32988</v>
      </c>
      <c r="O6802" s="28" t="s">
        <v>32989</v>
      </c>
      <c r="P6802" s="28" t="s">
        <v>30</v>
      </c>
    </row>
    <row r="6803" spans="1:16" hidden="1" x14ac:dyDescent="0.25">
      <c r="A6803" s="28" t="s">
        <v>33373</v>
      </c>
      <c r="B6803" s="28" t="s">
        <v>33374</v>
      </c>
      <c r="C6803" s="28" t="s">
        <v>1684</v>
      </c>
      <c r="D6803" s="28" t="s">
        <v>101</v>
      </c>
      <c r="E6803" s="28" t="s">
        <v>33365</v>
      </c>
      <c r="F6803" s="28" t="s">
        <v>21</v>
      </c>
      <c r="G6803" s="28" t="s">
        <v>22</v>
      </c>
      <c r="H6803" s="28" t="s">
        <v>32983</v>
      </c>
      <c r="I6803" s="28" t="s">
        <v>33375</v>
      </c>
      <c r="J6803" s="28" t="s">
        <v>22</v>
      </c>
      <c r="K6803" s="28" t="s">
        <v>33367</v>
      </c>
      <c r="L6803" s="28" t="s">
        <v>32986</v>
      </c>
      <c r="M6803" s="28" t="s">
        <v>33376</v>
      </c>
      <c r="N6803" s="28" t="s">
        <v>32988</v>
      </c>
      <c r="O6803" s="28" t="s">
        <v>32989</v>
      </c>
      <c r="P6803" s="28" t="s">
        <v>30</v>
      </c>
    </row>
    <row r="6804" spans="1:16" hidden="1" x14ac:dyDescent="0.25">
      <c r="A6804" s="28" t="s">
        <v>33377</v>
      </c>
      <c r="B6804" s="28" t="s">
        <v>33378</v>
      </c>
      <c r="C6804" s="28" t="s">
        <v>1684</v>
      </c>
      <c r="D6804" s="28" t="s">
        <v>101</v>
      </c>
      <c r="E6804" s="28" t="s">
        <v>33365</v>
      </c>
      <c r="F6804" s="28" t="s">
        <v>21</v>
      </c>
      <c r="G6804" s="28" t="s">
        <v>22</v>
      </c>
      <c r="H6804" s="28" t="s">
        <v>32983</v>
      </c>
      <c r="I6804" s="28" t="s">
        <v>33379</v>
      </c>
      <c r="J6804" s="28" t="s">
        <v>22</v>
      </c>
      <c r="K6804" s="28" t="s">
        <v>33367</v>
      </c>
      <c r="L6804" s="28" t="s">
        <v>32986</v>
      </c>
      <c r="M6804" s="28" t="s">
        <v>33380</v>
      </c>
      <c r="N6804" s="28" t="s">
        <v>32988</v>
      </c>
      <c r="O6804" s="28" t="s">
        <v>32989</v>
      </c>
      <c r="P6804" s="28" t="s">
        <v>30</v>
      </c>
    </row>
    <row r="6805" spans="1:16" hidden="1" x14ac:dyDescent="0.25">
      <c r="A6805" s="28" t="s">
        <v>33381</v>
      </c>
      <c r="B6805" s="28" t="s">
        <v>33382</v>
      </c>
      <c r="C6805" s="28" t="s">
        <v>1684</v>
      </c>
      <c r="D6805" s="28" t="s">
        <v>101</v>
      </c>
      <c r="E6805" s="28" t="s">
        <v>33365</v>
      </c>
      <c r="F6805" s="28" t="s">
        <v>21</v>
      </c>
      <c r="G6805" s="28" t="s">
        <v>22</v>
      </c>
      <c r="H6805" s="28" t="s">
        <v>32983</v>
      </c>
      <c r="I6805" s="28" t="s">
        <v>33383</v>
      </c>
      <c r="J6805" s="28" t="s">
        <v>22</v>
      </c>
      <c r="K6805" s="28" t="s">
        <v>33367</v>
      </c>
      <c r="L6805" s="28" t="s">
        <v>32986</v>
      </c>
      <c r="M6805" s="28" t="s">
        <v>33384</v>
      </c>
      <c r="N6805" s="28" t="s">
        <v>32988</v>
      </c>
      <c r="O6805" s="28" t="s">
        <v>32989</v>
      </c>
      <c r="P6805" s="28" t="s">
        <v>30</v>
      </c>
    </row>
    <row r="6806" spans="1:16" hidden="1" x14ac:dyDescent="0.25">
      <c r="A6806" s="28" t="s">
        <v>33385</v>
      </c>
      <c r="B6806" s="28" t="s">
        <v>33386</v>
      </c>
      <c r="C6806" s="28" t="s">
        <v>1684</v>
      </c>
      <c r="D6806" s="28" t="s">
        <v>101</v>
      </c>
      <c r="E6806" s="28" t="s">
        <v>33365</v>
      </c>
      <c r="F6806" s="28" t="s">
        <v>21</v>
      </c>
      <c r="G6806" s="28" t="s">
        <v>22</v>
      </c>
      <c r="H6806" s="28" t="s">
        <v>32983</v>
      </c>
      <c r="I6806" s="28" t="s">
        <v>33387</v>
      </c>
      <c r="J6806" s="28" t="s">
        <v>22</v>
      </c>
      <c r="K6806" s="28" t="s">
        <v>33367</v>
      </c>
      <c r="L6806" s="28" t="s">
        <v>32986</v>
      </c>
      <c r="M6806" s="28" t="s">
        <v>33388</v>
      </c>
      <c r="N6806" s="28" t="s">
        <v>32988</v>
      </c>
      <c r="O6806" s="28" t="s">
        <v>32989</v>
      </c>
      <c r="P6806" s="28" t="s">
        <v>30</v>
      </c>
    </row>
    <row r="6807" spans="1:16" hidden="1" x14ac:dyDescent="0.25">
      <c r="A6807" s="28" t="s">
        <v>33389</v>
      </c>
      <c r="B6807" s="28" t="s">
        <v>33390</v>
      </c>
      <c r="C6807" s="28" t="s">
        <v>1684</v>
      </c>
      <c r="D6807" s="28" t="s">
        <v>101</v>
      </c>
      <c r="E6807" s="28" t="s">
        <v>33365</v>
      </c>
      <c r="F6807" s="28" t="s">
        <v>21</v>
      </c>
      <c r="G6807" s="28" t="s">
        <v>22</v>
      </c>
      <c r="H6807" s="28" t="s">
        <v>32983</v>
      </c>
      <c r="I6807" s="28" t="s">
        <v>33391</v>
      </c>
      <c r="J6807" s="28" t="s">
        <v>22</v>
      </c>
      <c r="K6807" s="28" t="s">
        <v>33367</v>
      </c>
      <c r="L6807" s="28" t="s">
        <v>32986</v>
      </c>
      <c r="M6807" s="28" t="s">
        <v>33392</v>
      </c>
      <c r="N6807" s="28" t="s">
        <v>32988</v>
      </c>
      <c r="O6807" s="28" t="s">
        <v>32989</v>
      </c>
      <c r="P6807" s="28" t="s">
        <v>30</v>
      </c>
    </row>
    <row r="6808" spans="1:16" hidden="1" x14ac:dyDescent="0.25">
      <c r="A6808" s="28" t="s">
        <v>33393</v>
      </c>
      <c r="B6808" s="28" t="s">
        <v>33394</v>
      </c>
      <c r="C6808" s="28" t="s">
        <v>1684</v>
      </c>
      <c r="D6808" s="28" t="s">
        <v>101</v>
      </c>
      <c r="E6808" s="28" t="s">
        <v>33365</v>
      </c>
      <c r="F6808" s="28" t="s">
        <v>21</v>
      </c>
      <c r="G6808" s="28" t="s">
        <v>22</v>
      </c>
      <c r="H6808" s="28" t="s">
        <v>32983</v>
      </c>
      <c r="I6808" s="28" t="s">
        <v>33395</v>
      </c>
      <c r="J6808" s="28" t="s">
        <v>22</v>
      </c>
      <c r="K6808" s="28" t="s">
        <v>33367</v>
      </c>
      <c r="L6808" s="28" t="s">
        <v>32986</v>
      </c>
      <c r="M6808" s="28" t="s">
        <v>33396</v>
      </c>
      <c r="N6808" s="28" t="s">
        <v>32988</v>
      </c>
      <c r="O6808" s="28" t="s">
        <v>32989</v>
      </c>
      <c r="P6808" s="28" t="s">
        <v>30</v>
      </c>
    </row>
    <row r="6809" spans="1:16" hidden="1" x14ac:dyDescent="0.25">
      <c r="A6809" s="28" t="s">
        <v>33397</v>
      </c>
      <c r="B6809" s="28" t="s">
        <v>33398</v>
      </c>
      <c r="C6809" s="28" t="s">
        <v>1684</v>
      </c>
      <c r="D6809" s="28" t="s">
        <v>101</v>
      </c>
      <c r="E6809" s="28" t="s">
        <v>33365</v>
      </c>
      <c r="F6809" s="28" t="s">
        <v>21</v>
      </c>
      <c r="G6809" s="28" t="s">
        <v>22</v>
      </c>
      <c r="H6809" s="28" t="s">
        <v>32983</v>
      </c>
      <c r="I6809" s="28" t="s">
        <v>33399</v>
      </c>
      <c r="J6809" s="28" t="s">
        <v>22</v>
      </c>
      <c r="K6809" s="28" t="s">
        <v>33367</v>
      </c>
      <c r="L6809" s="28" t="s">
        <v>32986</v>
      </c>
      <c r="M6809" s="28" t="s">
        <v>33400</v>
      </c>
      <c r="N6809" s="28" t="s">
        <v>32988</v>
      </c>
      <c r="O6809" s="28" t="s">
        <v>32989</v>
      </c>
      <c r="P6809" s="28" t="s">
        <v>30</v>
      </c>
    </row>
    <row r="6810" spans="1:16" hidden="1" x14ac:dyDescent="0.25">
      <c r="A6810" s="28" t="s">
        <v>33401</v>
      </c>
      <c r="B6810" s="28" t="s">
        <v>33402</v>
      </c>
      <c r="C6810" s="28" t="s">
        <v>1684</v>
      </c>
      <c r="D6810" s="28" t="s">
        <v>101</v>
      </c>
      <c r="E6810" s="28" t="s">
        <v>33365</v>
      </c>
      <c r="F6810" s="28" t="s">
        <v>21</v>
      </c>
      <c r="G6810" s="28" t="s">
        <v>22</v>
      </c>
      <c r="H6810" s="28" t="s">
        <v>32983</v>
      </c>
      <c r="I6810" s="28" t="s">
        <v>33403</v>
      </c>
      <c r="J6810" s="28" t="s">
        <v>22</v>
      </c>
      <c r="K6810" s="28" t="s">
        <v>33367</v>
      </c>
      <c r="L6810" s="28" t="s">
        <v>32986</v>
      </c>
      <c r="M6810" s="28" t="s">
        <v>33404</v>
      </c>
      <c r="N6810" s="28" t="s">
        <v>32988</v>
      </c>
      <c r="O6810" s="28" t="s">
        <v>32989</v>
      </c>
      <c r="P6810" s="28" t="s">
        <v>30</v>
      </c>
    </row>
    <row r="6811" spans="1:16" hidden="1" x14ac:dyDescent="0.25">
      <c r="A6811" s="28" t="s">
        <v>33405</v>
      </c>
      <c r="B6811" s="28" t="s">
        <v>33406</v>
      </c>
      <c r="C6811" s="28" t="s">
        <v>1684</v>
      </c>
      <c r="D6811" s="28" t="s">
        <v>101</v>
      </c>
      <c r="E6811" s="28" t="s">
        <v>33360</v>
      </c>
      <c r="F6811" s="28" t="s">
        <v>21</v>
      </c>
      <c r="G6811" s="28" t="s">
        <v>22</v>
      </c>
      <c r="H6811" s="28" t="s">
        <v>32983</v>
      </c>
      <c r="I6811" s="28" t="s">
        <v>33407</v>
      </c>
      <c r="J6811" s="28" t="s">
        <v>22</v>
      </c>
      <c r="K6811" s="28" t="s">
        <v>32985</v>
      </c>
      <c r="L6811" s="28" t="s">
        <v>32986</v>
      </c>
      <c r="M6811" s="28" t="s">
        <v>33408</v>
      </c>
      <c r="N6811" s="28" t="s">
        <v>32988</v>
      </c>
      <c r="O6811" s="28" t="s">
        <v>32989</v>
      </c>
      <c r="P6811" s="28" t="s">
        <v>30</v>
      </c>
    </row>
    <row r="6812" spans="1:16" hidden="1" x14ac:dyDescent="0.25">
      <c r="A6812" s="28" t="s">
        <v>33409</v>
      </c>
      <c r="B6812" s="28" t="s">
        <v>33410</v>
      </c>
      <c r="C6812" s="28" t="s">
        <v>1684</v>
      </c>
      <c r="D6812" s="28" t="s">
        <v>4270</v>
      </c>
      <c r="E6812" s="28" t="s">
        <v>25036</v>
      </c>
      <c r="F6812" s="28" t="s">
        <v>21</v>
      </c>
      <c r="G6812" s="28" t="s">
        <v>22</v>
      </c>
      <c r="H6812" s="28" t="s">
        <v>32983</v>
      </c>
      <c r="I6812" s="28" t="s">
        <v>33411</v>
      </c>
      <c r="J6812" s="28" t="s">
        <v>22</v>
      </c>
      <c r="K6812" s="28" t="s">
        <v>33412</v>
      </c>
      <c r="L6812" s="28" t="s">
        <v>32986</v>
      </c>
      <c r="M6812" s="28" t="s">
        <v>33413</v>
      </c>
      <c r="N6812" s="28" t="s">
        <v>32988</v>
      </c>
      <c r="O6812" s="28" t="s">
        <v>32989</v>
      </c>
      <c r="P6812" s="28" t="s">
        <v>30</v>
      </c>
    </row>
    <row r="6813" spans="1:16" x14ac:dyDescent="0.25">
      <c r="A6813" s="28" t="s">
        <v>33414</v>
      </c>
      <c r="B6813" s="28" t="s">
        <v>33415</v>
      </c>
      <c r="C6813" s="28" t="s">
        <v>1684</v>
      </c>
      <c r="D6813" s="28" t="s">
        <v>19</v>
      </c>
      <c r="E6813" s="28" t="s">
        <v>4896</v>
      </c>
      <c r="F6813" s="28" t="s">
        <v>21</v>
      </c>
      <c r="G6813" s="28" t="s">
        <v>149</v>
      </c>
      <c r="H6813" s="28" t="s">
        <v>32983</v>
      </c>
      <c r="I6813" s="28" t="s">
        <v>33416</v>
      </c>
      <c r="J6813" s="28" t="s">
        <v>149</v>
      </c>
      <c r="K6813" s="28" t="s">
        <v>33417</v>
      </c>
      <c r="L6813" s="28" t="s">
        <v>32986</v>
      </c>
      <c r="M6813" s="28" t="s">
        <v>33418</v>
      </c>
      <c r="N6813" s="28" t="s">
        <v>32988</v>
      </c>
      <c r="O6813" s="28" t="s">
        <v>32989</v>
      </c>
      <c r="P6813" s="28" t="s">
        <v>30</v>
      </c>
    </row>
    <row r="6814" spans="1:16" x14ac:dyDescent="0.25">
      <c r="A6814" s="28" t="s">
        <v>33419</v>
      </c>
      <c r="B6814" s="28" t="s">
        <v>33420</v>
      </c>
      <c r="C6814" s="28" t="s">
        <v>1684</v>
      </c>
      <c r="D6814" s="28" t="s">
        <v>19</v>
      </c>
      <c r="E6814" s="28" t="s">
        <v>170</v>
      </c>
      <c r="F6814" s="28" t="s">
        <v>21</v>
      </c>
      <c r="G6814" s="28" t="s">
        <v>149</v>
      </c>
      <c r="H6814" s="28" t="s">
        <v>32983</v>
      </c>
      <c r="I6814" s="28" t="s">
        <v>33421</v>
      </c>
      <c r="J6814" s="28" t="s">
        <v>149</v>
      </c>
      <c r="K6814" s="28" t="s">
        <v>33422</v>
      </c>
      <c r="L6814" s="28" t="s">
        <v>32986</v>
      </c>
      <c r="M6814" s="28" t="s">
        <v>33423</v>
      </c>
      <c r="N6814" s="28" t="s">
        <v>32988</v>
      </c>
      <c r="O6814" s="28" t="s">
        <v>32989</v>
      </c>
      <c r="P6814" s="28" t="s">
        <v>30</v>
      </c>
    </row>
    <row r="6815" spans="1:16" hidden="1" x14ac:dyDescent="0.25">
      <c r="A6815" s="28" t="s">
        <v>33424</v>
      </c>
      <c r="B6815" s="28" t="s">
        <v>33425</v>
      </c>
      <c r="C6815" s="28" t="s">
        <v>1684</v>
      </c>
      <c r="D6815" s="28" t="s">
        <v>19</v>
      </c>
      <c r="E6815" s="28" t="s">
        <v>33426</v>
      </c>
      <c r="F6815" s="28" t="s">
        <v>21</v>
      </c>
      <c r="G6815" s="28" t="s">
        <v>22</v>
      </c>
      <c r="H6815" s="28" t="s">
        <v>32983</v>
      </c>
      <c r="I6815" s="28" t="s">
        <v>33427</v>
      </c>
      <c r="J6815" s="28" t="s">
        <v>22</v>
      </c>
      <c r="K6815" s="28" t="s">
        <v>32985</v>
      </c>
      <c r="L6815" s="28" t="s">
        <v>32986</v>
      </c>
      <c r="M6815" s="28" t="s">
        <v>33428</v>
      </c>
      <c r="N6815" s="28" t="s">
        <v>32988</v>
      </c>
      <c r="O6815" s="28" t="s">
        <v>32989</v>
      </c>
      <c r="P6815" s="28" t="s">
        <v>30</v>
      </c>
    </row>
    <row r="6816" spans="1:16" hidden="1" x14ac:dyDescent="0.25">
      <c r="A6816" s="28" t="s">
        <v>33429</v>
      </c>
      <c r="B6816" s="28" t="s">
        <v>33430</v>
      </c>
      <c r="C6816" s="28" t="s">
        <v>1684</v>
      </c>
      <c r="D6816" s="28" t="s">
        <v>19</v>
      </c>
      <c r="E6816" s="28" t="s">
        <v>33426</v>
      </c>
      <c r="F6816" s="28" t="s">
        <v>21</v>
      </c>
      <c r="G6816" s="28" t="s">
        <v>22</v>
      </c>
      <c r="H6816" s="28" t="s">
        <v>32983</v>
      </c>
      <c r="I6816" s="28" t="s">
        <v>33431</v>
      </c>
      <c r="J6816" s="28" t="s">
        <v>22</v>
      </c>
      <c r="K6816" s="28" t="s">
        <v>32985</v>
      </c>
      <c r="L6816" s="28" t="s">
        <v>32986</v>
      </c>
      <c r="M6816" s="28" t="s">
        <v>33432</v>
      </c>
      <c r="N6816" s="28" t="s">
        <v>32988</v>
      </c>
      <c r="O6816" s="28" t="s">
        <v>32989</v>
      </c>
      <c r="P6816" s="28" t="s">
        <v>30</v>
      </c>
    </row>
    <row r="6817" spans="1:16" hidden="1">
      <c r="A6817" s="28" t="inlineStr">
        <is>
          <t xml:space="preserve">POST-PERF-20261017-01</t>
        </is>
      </c>
      <c r="B6817" s="28" t="inlineStr">
        <is>
          <t xml:space="preserve">PERF-01</t>
        </is>
      </c>
      <c r="C6817" s="28" t="inlineStr">
        <is>
          <t xml:space="preserve">Runtime hooks</t>
        </is>
      </c>
      <c r="D6817" s="28" t="inlineStr">
        <is>
          <t xml:space="preserve">Magic:Magery</t>
        </is>
      </c>
      <c r="E6817" s="28" t="inlineStr">
        <is>
          <t xml:space="preserve">Data/Scripts/Magic/Magery/Magery 1st/CreateFood.cs</t>
        </is>
      </c>
      <c r="F6817" s="28" t="inlineStr">
        <is>
          <t xml:space="preserve">Open</t>
        </is>
      </c>
      <c r="G6817" s="28" t="inlineStr">
        <is>
          <t xml:space="preserve">Fixed</t>
        </is>
      </c>
      <c r="H6817" s="28" t="inlineStr">
        <is>
          <t xml:space="preserve">POST-PERF-20261017</t>
        </is>
      </c>
      <c r="I6817" s="28" t="inlineStr">
        <is>
          <t xml:space="preserve">PERF-01</t>
        </is>
      </c>
      <c r="J6817" s="28" t="inlineStr">
        <is>
          <t xml:space="preserve">Fixed</t>
        </is>
      </c>
      <c r="K6817" s="28" t="inlineStr">
        <is>
          <t xml:space="preserve">Use backpack-only placement per conjured item; delete rejected items; retain successful food or water; report complete, partial or failed delivery.</t>
        </is>
      </c>
      <c r="L6817" s="28" t="inlineStr">
        <is>
          <t xml:space="preserve">docs/codebase-audit/outputs/post-batch-runtime-performance-review.csv</t>
        </is>
      </c>
      <c r="M6817" s="28" t="inlineStr">
        <is>
          <t xml:space="preserve">Data/Scripts/Magic/Magery/Magery 1st/CreateFood.cs: CreateFoodSpell.PlaceConjuredItem; CreateFoodSpell.OnCast</t>
        </is>
      </c>
      <c r="N6817" s="28" t="inlineStr">
        <is>
          <t xml:space="preserve">0eb2a07a5799a4c1755588ecacb321623989827a</t>
        </is>
      </c>
      <c r="O6817" s="29">
        <v>46312</v>
      </c>
      <c r="P6817" s="28" t="inlineStr">
        <is>
          <t xml:space="preserve">New post-audit finding with no Phase 13 predecessor. Ordinary food/water and blood/brain variants covered. Existing ground piles, deliberate dropping and broader FIX-05 networking recommendations remain outside this repair. Source committed; live activation awaits the user push/deployment. Fresh production-method fixture: 1853 assertions; prior isolated Player client and local-AI casts; source-identical candidate; build, forced runtime compile and full copied-world startup passed.</t>
        </is>
      </c>
    </row>
    <row r="6818" spans="1:16" hidden="1">
      <c r="A6818" s="28" t="inlineStr">
        <is>
          <t xml:space="preserve">POST-PERF-20261017-02</t>
        </is>
      </c>
      <c r="B6818" s="28" t="inlineStr">
        <is>
          <t xml:space="preserve">PERF-02</t>
        </is>
      </c>
      <c r="C6818" s="28" t="inlineStr">
        <is>
          <t xml:space="preserve">Runtime hooks</t>
        </is>
      </c>
      <c r="D6818" s="28" t="inlineStr">
        <is>
          <t xml:space="preserve">System:Misc</t>
        </is>
      </c>
      <c r="E6818" s="28" t="inlineStr">
        <is>
          <t xml:space="preserve">Data/Scripts/System/Misc/Logs.cs</t>
        </is>
      </c>
      <c r="F6818" s="28" t="inlineStr">
        <is>
          <t xml:space="preserve">Open</t>
        </is>
      </c>
      <c r="G6818" s="28" t="inlineStr">
        <is>
          <t xml:space="preserve">Fixed</t>
        </is>
      </c>
      <c r="H6818" s="28" t="inlineStr">
        <is>
          <t xml:space="preserve">POST-PERF-20261017</t>
        </is>
      </c>
      <c r="I6818" s="28" t="inlineStr">
        <is>
          <t xml:space="preserve">PERF-02</t>
        </is>
      </c>
      <c r="J6818" s="28" t="inlineStr">
        <is>
          <t xml:space="preserve">Fixed</t>
        </is>
      </c>
      <c r="K6818" s="28" t="inlineStr">
        <is>
          <t xml:space="preserve">Build wanted notices in memory and publish once on the normal path while preserving output order, legacy line-window behavior and downstream notifications.</t>
        </is>
      </c>
      <c r="L6818" s="28" t="inlineStr">
        <is>
          <t xml:space="preserve">docs/codebase-audit/outputs/post-batch-runtime-performance-review.csv</t>
        </is>
      </c>
      <c r="M6818" s="28" t="inlineStr">
        <is>
          <t xml:space="preserve">Data/Scripts/System/Misc/Logs.cs: StatusPage.Initialize; StatusPage.WriteWantedNotices; StatusPage.OnTick; LoggingFunctions.GetMurdererNotice</t>
        </is>
      </c>
      <c r="N6818" s="28" t="inlineStr">
        <is>
          <t xml:space="preserve">0eb2a07a5799a4c1755588ecacb321623989827a</t>
        </is>
      </c>
      <c r="O6818" s="29">
        <v>46312</v>
      </c>
      <c r="P6818" s="28" t="inlineStr">
        <is>
          <t xml:space="preserve">New post-audit finding with no Phase 13 predecessor. RB-06509 remains Documented for the separate online.txt schema finding. Account enumeration remains; production concurrency is unmeasured. Source committed; live activation awaits the user push/deployment. Fresh compatibility fixture: 29907 assertions. Matched copied-world timing: 1001 accounts, 141 wanted entries, one warm-up and five measured runs per revision; identical 7474 output bytes.</t>
        </is>
      </c>
    </row>
    <row r="6819" spans="1:16" hidden="1">
      <c r="A6819" s="28" t="inlineStr">
        <is>
          <t xml:space="preserve">POST-PERF-20261017-03</t>
        </is>
      </c>
      <c r="B6819" s="28" t="inlineStr">
        <is>
          <t xml:space="preserve">PERF-03</t>
        </is>
      </c>
      <c r="C6819" s="28" t="inlineStr">
        <is>
          <t xml:space="preserve">Runtime hooks</t>
        </is>
      </c>
      <c r="D6819" s="28" t="inlineStr">
        <is>
          <t xml:space="preserve">Items:Misc</t>
        </is>
      </c>
      <c r="E6819" s="28" t="inlineStr">
        <is>
          <t xml:space="preserve">Data/Scripts/Items/Misc/Games/LiarsDice/LiarsDice.cs; Data/Scripts/Items/Misc/Games/LiarsDice/DiceCommand.cs</t>
        </is>
      </c>
      <c r="F6819" s="28" t="inlineStr">
        <is>
          <t xml:space="preserve">Open</t>
        </is>
      </c>
      <c r="G6819" s="28" t="inlineStr">
        <is>
          <t xml:space="preserve">Fixed</t>
        </is>
      </c>
      <c r="H6819" s="28" t="inlineStr">
        <is>
          <t xml:space="preserve">POST-PERF-20261017</t>
        </is>
      </c>
      <c r="I6819" s="28" t="inlineStr">
        <is>
          <t xml:space="preserve">PERF-03</t>
        </is>
      </c>
      <c r="J6819" s="28" t="inlineStr">
        <is>
          <t xml:space="preserve">Fixed</t>
        </is>
      </c>
      <c r="K6819" s="28" t="inlineStr">
        <is>
          <t xml:space="preserve">Own one shared item-game state and one distinct command-game state; initialize idempotently so item creation and load do not create redundant timers or event subscriptions.</t>
        </is>
      </c>
      <c r="L6819" s="28" t="inlineStr">
        <is>
          <t xml:space="preserve">docs/codebase-audit/outputs/post-batch-runtime-performance-review.csv</t>
        </is>
      </c>
      <c r="M6819" s="28" t="inlineStr">
        <is>
          <t xml:space="preserve">Data/Scripts/Items/Misc/Games/LiarsDice/LiarsDice.cs: constructors and shared DiceGame state; Data/Scripts/Items/Misc/Games/LiarsDice/DiceCommand.cs: Initialize; EnsureGameState</t>
        </is>
      </c>
      <c r="N6819" s="28" t="inlineStr">
        <is>
          <t xml:space="preserve">0eb2a07a5799a4c1755588ecacb321623989827a</t>
        </is>
      </c>
      <c r="O6819" s="29">
        <v>46312</v>
      </c>
      <c r="P6819" s="28" t="inlineStr">
        <is>
          <t xml:space="preserve">New post-audit finding with no Phase 13 predecessor. Existing RB-01742/RB-01743 guard-repair statuses are preserved. No serialized type, version or field-order change. Source committed; live activation awaits the user push/deployment. Fresh Dice fixture: 45 assertions including preserved version-0 item load; real timer-chain fixture passed 3 assertions. Prior 1000-item lifetime probe and two-real-Player acceptance passed.</t>
        </is>
      </c>
    </row>
    <row r="6820" spans="1:16" hidden="1">
      <c r="A6820" s="28" t="inlineStr">
        <is>
          <t xml:space="preserve">POST-PERF-20261017-04</t>
        </is>
      </c>
      <c r="B6820" s="28" t="inlineStr">
        <is>
          <t xml:space="preserve">PERF-04</t>
        </is>
      </c>
      <c r="C6820" s="28" t="inlineStr">
        <is>
          <t xml:space="preserve">Runtime hooks</t>
        </is>
      </c>
      <c r="D6820" s="28" t="inlineStr">
        <is>
          <t xml:space="preserve">Items:Misc</t>
        </is>
      </c>
      <c r="E6820" s="28" t="inlineStr">
        <is>
          <t xml:space="preserve">Data/Scripts/Items/Misc/Games/LiarsDice/DiceChannel.cs</t>
        </is>
      </c>
      <c r="F6820" s="28" t="inlineStr">
        <is>
          <t xml:space="preserve">Open</t>
        </is>
      </c>
      <c r="G6820" s="28" t="inlineStr">
        <is>
          <t xml:space="preserve">Fixed</t>
        </is>
      </c>
      <c r="H6820" s="28" t="inlineStr">
        <is>
          <t xml:space="preserve">POST-PERF-20261017</t>
        </is>
      </c>
      <c r="I6820" s="28" t="inlineStr">
        <is>
          <t xml:space="preserve">PERF-04</t>
        </is>
      </c>
      <c r="J6820" s="28" t="inlineStr">
        <is>
          <t xml:space="preserve">Fixed</t>
        </is>
      </c>
      <c r="K6820" s="28" t="inlineStr">
        <is>
          <t xml:space="preserve">Track and cancel obsolete turn timers, reject stale callback generations and maintain current/first-player indices when players leave.</t>
        </is>
      </c>
      <c r="L6820" s="28" t="inlineStr">
        <is>
          <t xml:space="preserve">docs/codebase-audit/outputs/post-batch-runtime-performance-review.csv</t>
        </is>
      </c>
      <c r="M6820" s="28" t="inlineStr">
        <is>
          <t xml:space="preserve">Data/Scripts/Items/Misc/Games/LiarsDice/DiceChannel.cs: CancelTurnTimers; warning/kick callback ownership and generation checks; player departure and first-player index maintenance</t>
        </is>
      </c>
      <c r="N6820" s="28" t="inlineStr">
        <is>
          <t xml:space="preserve">0eb2a07a5799a4c1755588ecacb321623989827a</t>
        </is>
      </c>
      <c r="O6820" s="29">
        <v>46312</v>
      </c>
      <c r="P6820" s="28" t="inlineStr">
        <is>
          <t xml:space="preserve">New post-audit finding with no Phase 13 predecessor. RB-01742/RB-01743 remain historical guard fixes. Active-stake crash recovery and graceful UI logout were not certified. Source committed; live activation awaits the user push/deployment. Fresh Dice assertions plus 3 timer-chain, 4 stale-callback and 1 first-player-departure checks; prior two-real-Player joins, stakes, truthful/false bluff settlements, idle timeout, disconnect and reconnect acceptance.</t>
        </is>
      </c>
    </row>
    <row r="6821" spans="1:16" hidden="1">
      <c r="A6821" s="28" t="inlineStr">
        <is>
          <t xml:space="preserve">POST-SKILL-FIX-01</t>
        </is>
      </c>
      <c r="B6821" s="28" t="inlineStr">
        <is>
          <t xml:space="preserve">FIX-01</t>
        </is>
      </c>
      <c r="C6821" s="28" t="inlineStr">
        <is>
          <t xml:space="preserve">Runtime hooks</t>
        </is>
      </c>
      <c r="D6821" s="28" t="inlineStr">
        <is>
          <t xml:space="preserve">Mobiles:Base</t>
        </is>
      </c>
      <c r="E6821" s="28" t="inlineStr">
        <is>
          <t xml:space="preserve">Data/Scripts/Mobiles/Base/PlayerMobile.cs</t>
        </is>
      </c>
      <c r="F6821" s="28" t="inlineStr">
        <is>
          <t xml:space="preserve">Open</t>
        </is>
      </c>
      <c r="G6821" s="28" t="inlineStr">
        <is>
          <t xml:space="preserve">Fixed</t>
        </is>
      </c>
      <c r="H6821" s="28" t="inlineStr">
        <is>
          <t xml:space="preserve">POST-SKILL-20261018</t>
        </is>
      </c>
      <c r="I6821" s="28" t="inlineStr">
        <is>
          <t xml:space="preserve">FIX-01</t>
        </is>
      </c>
      <c r="J6821" s="28" t="inlineStr">
        <is>
          <t xml:space="preserve">VerifiedCandidate</t>
        </is>
      </c>
      <c r="K6821" s="28" t="inlineStr">
        <is>
          <t xml:space="preserve">Preserve skills, stats, profession and cap components on region validation; emit rate-limited, exception-contained diagnostics without changing gain policy.</t>
        </is>
      </c>
      <c r="L6821" s="28" t="inlineStr">
        <is>
          <t xml:space="preserve">docs/skill-cap-investigation/FIX-01-REPORT.md</t>
        </is>
      </c>
      <c r="M6821" s="28" t="inlineStr">
        <is>
          <t xml:space="preserve">PlayerMobile.SkillVerification; BaseRegion.OnEnter; tests/SkillVerificationProtection.cs; original 500/1200 reproduction</t>
        </is>
      </c>
      <c r="N6821" s="28" t="inlineStr">
        <is>
          <t xml:space="preserve">1b49df74e8b972eb53805a790797f1f4872ab001</t>
        </is>
      </c>
      <c r="O6821" s="29" t="inlineStr">
        <is>
          <t xml:space="preserve">2026-10-18</t>
        </is>
      </c>
      <c r="P6821" s="28" t="inlineStr">
        <is>
          <t xml:space="preserve">Implementation committed locally; not pushed or deployed. Bounded Player/Qwen progress acceptance passed. Gate-label and inventory lifecycle limits retained; complete save/profile rollback verified. New regression harness excluded from Git and preserved externally.</t>
        </is>
      </c>
    </row>
    <row r="6822" spans="1:16" hidden="1">
      <c r="A6822" s="28" t="inlineStr">
        <is>
          <t xml:space="preserve">POST-SKILL-FIX-02</t>
        </is>
      </c>
      <c r="B6822" s="28" t="inlineStr">
        <is>
          <t xml:space="preserve">FIX-02</t>
        </is>
      </c>
      <c r="C6822" s="28" t="inlineStr">
        <is>
          <t xml:space="preserve">Runtime hooks</t>
        </is>
      </c>
      <c r="D6822" s="28" t="inlineStr">
        <is>
          <t xml:space="preserve">Mobiles:Base</t>
        </is>
      </c>
      <c r="E6822" s="28" t="inlineStr">
        <is>
          <t xml:space="preserve">Data/System/Source/Skills.cs; Data/Scripts/System/Skills/SkillCheck.cs; SoulStone; ScrollofTranscendence; SkillStone; VotingStoneGump; BaseXmlSpawner; BaseCreature; TestCenter; ConvertPlayers</t>
        </is>
      </c>
      <c r="F6822" s="28" t="inlineStr">
        <is>
          <t xml:space="preserve">Open</t>
        </is>
      </c>
      <c r="G6822" s="28" t="inlineStr">
        <is>
          <t xml:space="preserve">Fixed</t>
        </is>
      </c>
      <c r="H6822" s="28" t="inlineStr">
        <is>
          <t xml:space="preserve">POST-SKILL-20261019</t>
        </is>
      </c>
      <c r="I6822" s="28" t="inlineStr">
        <is>
          <t xml:space="preserve">FIX-02</t>
        </is>
      </c>
      <c r="J6822" s="28" t="inlineStr">
        <is>
          <t xml:space="preserve">VerifiedCandidate</t>
        </is>
      </c>
      <c r="K6822" s="28" t="inlineStr">
        <is>
          <t xml:space="preserve">Validate and commit complete player skill grants and donor transfers before callbacks; consume resources only after success, preserve explicit staff/NPC/load behavior.</t>
        </is>
      </c>
      <c r="L6822" s="28" t="inlineStr">
        <is>
          <t xml:space="preserve">docs/skill-cap-investigation/FIX-02-REPORT.md</t>
        </is>
      </c>
      <c r="M6822" s="28" t="inlineStr">
        <is>
          <t xml:space="preserve">Skills.GetBaseTotal/TryGrant; ten source targets; candidate002; grants003; world001; real client002; independent reviews</t>
        </is>
      </c>
      <c r="N6822" s="28" t="inlineStr">
        <is>
          <t xml:space="preserve">Recorded by the current FIX-02 implementation commit</t>
        </is>
      </c>
      <c r="O6822" s="29">
        <v>46314</v>
      </c>
      <c r="P6822" s="28" t="inlineStr">
        <is>
          <t xml:space="preserve">Isolated Release/x86 build and forced runtime compile;2493 grant assertions;1853 food;46 Research;817 protection plus60 region transitions;2771 network checks; full copied-world save/load; actual Player scroll/SoulStone/SkillStone and authenticated reconnect passed. Supervised Qwen action verified; incorrect lock explanation retained as negative feedback.14 protected inputs and full copied saves/profiles restored. Matching validated core executable included. No push/deployment.</t>
        </is>
      </c>
    </row>
    <row r="6823" spans="1:16" hidden="1">
      <c r="A6823" s="28" t="inlineStr">
        <is>
          <t xml:space="preserve">POST-SKILL-FIX-03</t>
        </is>
      </c>
      <c r="B6823" s="28" t="inlineStr">
        <is>
          <t xml:space="preserve">FIX-03</t>
        </is>
      </c>
      <c r="C6823" s="28" t="inlineStr">
        <is>
          <t xml:space="preserve">Save compatibility</t>
        </is>
      </c>
      <c r="D6823" s="28" t="inlineStr">
        <is>
          <t xml:space="preserve">Mobiles:Base</t>
        </is>
      </c>
      <c r="E6823" s="28" t="inlineStr">
        <is>
          <t xml:space="preserve">Settings; PlayerMobile; PlayerSettings; ShardGreeter; ApproachObsidian; ObeliskOnCorpse</t>
        </is>
      </c>
      <c r="F6823" s="28" t="inlineStr">
        <is>
          <t xml:space="preserve">Open</t>
        </is>
      </c>
      <c r="G6823" s="28" t="inlineStr">
        <is>
          <t xml:space="preserve">Fixed</t>
        </is>
      </c>
      <c r="H6823" s="28" t="inlineStr">
        <is>
          <t xml:space="preserve">POST-SKILL-20261020</t>
        </is>
      </c>
      <c r="I6823" s="28" t="inlineStr">
        <is>
          <t xml:space="preserve">FIX-03</t>
        </is>
      </c>
      <c r="J6823" s="28" t="inlineStr">
        <is>
          <t xml:space="preserve">VerifiedCandidate</t>
        </is>
      </c>
      <c r="K6823" s="28" t="inlineStr">
        <is>
          <t xml:space="preserve">Share supported cap calculation and conservative load reconciliation; allow staff-returned origin selection with existing resets, finite response validation and at-most-once Ether completion.</t>
        </is>
      </c>
      <c r="L6823" s="28" t="inlineStr">
        <is>
          <t xml:space="preserve">docs/skill-cap-investigation/FIX-03-REPORT.md</t>
        </is>
      </c>
      <c r="M6823" s="28" t="inlineStr">
        <is>
          <t xml:space="preserve">Six source targets; candidate004; caps001; legacy001; world001; actual client001; independent source/acceptance reviews</t>
        </is>
      </c>
      <c r="N6823" s="28" t="inlineStr">
        <is>
          <t xml:space="preserve">Recorded by the current FIX-03 implementation commit</t>
        </is>
      </c>
      <c r="O6823" s="29">
        <v>46315</v>
      </c>
      <c r="P6823" s="28" t="inlineStr">
        <is>
          <t xml:space="preserve">Forced runtime compile;933 component and704 synthetic legacy-format assertions; full-world71855/223 checks with explicit inventory/progression controls; real Player origin/reset/Ether checks, supervised Qwen and new-process authenticated recovery passed. Initial client abnormal close and packet warnings retained as limitations.14 protected inputs/full copied saves/profiles restored. Script-only; accepted core unchanged. No deployment.</t>
        </is>
      </c>
    </row>
    <row r="6824" spans="1:16" hidden="1">
      <c r="A6824" s="28" t="inlineStr">
        <is>
          <t xml:space="preserve">POST-SKILL-FIX-04</t>
        </is>
      </c>
      <c r="B6824" s="28" t="inlineStr">
        <is>
          <t xml:space="preserve">FIX-04</t>
        </is>
      </c>
      <c r="C6824" s="28" t="inlineStr">
        <is>
          <t xml:space="preserve">Runtime hooks</t>
        </is>
      </c>
      <c r="D6824" s="28" t="inlineStr">
        <is>
          <t xml:space="preserve">Mobiles:Base</t>
        </is>
      </c>
      <c r="E6824" s="28" t="inlineStr">
        <is>
          <t xml:space="preserve">Skills; SkillCheck; BaseXmlSpawner; XmlSpawner2; matching ConficturaServer.exe</t>
        </is>
      </c>
      <c r="F6824" s="28" t="inlineStr">
        <is>
          <t xml:space="preserve">Open</t>
        </is>
      </c>
      <c r="G6824" s="28" t="inlineStr">
        <is>
          <t xml:space="preserve">Fixed</t>
        </is>
      </c>
      <c r="H6824" s="28" t="inlineStr">
        <is>
          <t xml:space="preserve">POST-SKILL-20261020</t>
        </is>
      </c>
      <c r="I6824" s="28" t="inlineStr">
        <is>
          <t xml:space="preserve">FIX-04</t>
        </is>
      </c>
      <c r="J6824" s="28" t="inlineStr">
        <is>
          <t xml:space="preserve">VerifiedCandidate</t>
        </is>
      </c>
      <c r="K6824" s="28" t="inlineStr">
        <is>
          <t xml:space="preserve">Make Total getter-only; reconcile raw mutations around callbacks; use real totals for gain probability; protect resolved player identity/caps/components/raw skills in automatic XML and preserve bounded positive SKILL rewards.</t>
        </is>
      </c>
      <c r="L6824" s="28" t="inlineStr">
        <is>
          <t xml:space="preserve">docs/skill-cap-investigation/FIX-04-REPORT.md</t>
        </is>
      </c>
      <c r="M6824" s="28" t="inlineStr">
        <is>
          <t xml:space="preserve">Four source targets and matching Release/x86 core; candidate001; accounting007; network; world001; real client001; independent reviews</t>
        </is>
      </c>
      <c r="N6824" s="28" t="inlineStr">
        <is>
          <t xml:space="preserve">Recorded by the current FIX-04 implementation commit</t>
        </is>
      </c>
      <c r="O6824" s="29">
        <v>46315</v>
      </c>
      <c r="P6824" s="28" t="inlineStr">
        <is>
          <t xml:space="preserve">Build/forced runtime compile;3972 accounting,1853 Food,46 Research,817 FIX01+60 regions,933 FIX03,704 legacy and2771 network checks. Full-world71903/235; actual XML reward/refusal,14 protected writes, native rendering, one supervised Qwen choice and same-process authenticated recovery passed. Client warnings and delayed gold snapshot retained; no latency/normal-shutdown/deployment claim.14 protected originals and full copied saves/profiles restored.</t>
        </is>
      </c>
    </row>
    <row r="6825" spans="1:16" hidden="1">
      <c r="A6825" s="28" t="inlineStr">
        <is>
          <t xml:space="preserve">POST-SKILL-FIX-05</t>
        </is>
      </c>
      <c r="B6825" s="28" t="inlineStr">
        <is>
          <t xml:space="preserve">FIX-05</t>
        </is>
      </c>
      <c r="C6825" s="28" t="inlineStr">
        <is>
          <t xml:space="preserve">Runtime hooks</t>
        </is>
      </c>
      <c r="D6825" s="28" t="inlineStr">
        <is>
          <t xml:space="preserve">ServerCore</t>
        </is>
      </c>
      <c r="E6825" s="28" t="inlineStr">
        <is>
          <t xml:space="preserve">Data/System/Source/Item.cs; Data/System/Source/Mobile.cs; Data/System/Source/Network/NetState.cs; Data/System/Source/Network/PacketHandlers.cs; Data/System/Source/Network/SendQueue.cs</t>
        </is>
      </c>
      <c r="F6825" s="28" t="inlineStr">
        <is>
          <t xml:space="preserve">Open</t>
        </is>
      </c>
      <c r="G6825" s="28" t="inlineStr">
        <is>
          <t xml:space="preserve">Fixed</t>
        </is>
      </c>
      <c r="H6825" s="28" t="inlineStr">
        <is>
          <t xml:space="preserve">POST-SKILL-20261019</t>
        </is>
      </c>
      <c r="I6825" s="28" t="inlineStr">
        <is>
          <t xml:space="preserve">FIX-05</t>
        </is>
      </c>
      <c r="J6825" s="28" t="inlineStr">
        <is>
          <t xml:space="preserve">VerifiedCandidate</t>
        </is>
      </c>
      <c r="K6825" s="28" t="inlineStr">
        <is>
          <t xml:space="preserve">Bound and pace world-item, property-query and control packet streams while preserving order, item-group integrity and existing queue ceilings.</t>
        </is>
      </c>
      <c r="L6825" s="28" t="inlineStr">
        <is>
          <t xml:space="preserve">docs/skill-cap-investigation/FIX-05-REPORT.md</t>
        </is>
      </c>
      <c r="M6825" s="28" t="inlineStr">
        <is>
          <t xml:space="preserve">NetState ordered stream and property-query barriers; Item/Mobile producers; candidate004; world007; real clients007/009/011; independent reviews</t>
        </is>
      </c>
      <c r="N6825" s="28" t="inlineStr">
        <is>
          <t xml:space="preserve">Recorded by the current FIX-05 implementation commit</t>
        </is>
      </c>
      <c r="O6825" s="29" t="inlineStr">
        <is>
          <t xml:space="preserve">2026-10-19</t>
        </is>
      </c>
      <c r="P6825" s="28" t="inlineStr">
        <is>
          <t xml:space="preserve">Isolated build, forced runtime compile, 2761 network checks, 73 query-barrier checks, full-world save/load, 20000-item real-client view, authenticated recovery/reconnect, corpse interaction, supervised Qwen choice and native house customization entry/render/exit passed. Original saves/profiles and all 14 protected records restored and verified. Negative attempts and fixture limits retained. No push/deployment. Earlier Create Food repair retains separate credit.</t>
        </is>
      </c>
    </row>
    <row r="6826" spans="1:16">
      <c r="A6826" s="28" t="inlineStr">
        <is>
          <t xml:space="preserve">POST-FOUNDATION-FIX-09</t>
        </is>
      </c>
      <c r="B6826" s="28" t="inlineStr">
        <is>
          <t xml:space="preserve">FIX-09</t>
        </is>
      </c>
      <c r="C6826" s="28" t="inlineStr">
        <is>
          <t xml:space="preserve">Economy and reward loops</t>
        </is>
      </c>
      <c r="D6826" s="28" t="inlineStr">
        <is>
          <t xml:space="preserve">ServerCore</t>
        </is>
      </c>
      <c r="E6826" s="28" t="inlineStr">
        <is>
          <t xml:space="preserve">Data/System/Source/Item.cs; Data/System/Source/Items/Container.cs; Data/Scripts/Mobiles/Base/BaseVendor.cs; Data/Scripts/Mobiles/Civilized/Vendors/Banker.cs</t>
        </is>
      </c>
      <c r="F6826" s="28" t="inlineStr">
        <is>
          <t xml:space="preserve">Open</t>
        </is>
      </c>
      <c r="G6826" s="28" t="inlineStr">
        <is>
          <t xml:space="preserve">Open</t>
        </is>
      </c>
      <c r="H6826" s="28" t="inlineStr">
        <is>
          <t xml:space="preserve">POST-FOUNDATION-20261025-1</t>
        </is>
      </c>
      <c r="I6826" s="28" t="inlineStr">
        <is>
          <t xml:space="preserve">FIX-09</t>
        </is>
      </c>
      <c r="J6826" s="28" t="inlineStr">
        <is>
          <t xml:space="preserve">CodeRegressionComplete-InGamePending</t>
        </is>
      </c>
      <c r="K6826" s="28" t="inlineStr">
        <is>
          <t xml:space="preserve">Implement bounded approved repair; preserve historical dispositions</t>
        </is>
      </c>
      <c r="L6826" s="28" t="inlineStr">
        <is>
          <t xml:space="preserve">docs/codebase-audit/outputs/foundation-batch-1-results.md</t>
        </is>
      </c>
      <c r="M6826" s="28" t="inlineStr">
        <is>
          <t xml:space="preserve">Exact historical/current fixture matrix, assembly hashes and independent review in batch results</t>
        </is>
      </c>
      <c r="N6826" s="28" t="inlineStr">
        <is>
          <t xml:space="preserve">d9b4703f</t>
        </is>
      </c>
      <c r="O6826" s="29">
        <v>46320</v>
      </c>
      <c r="P6826" s="28" t="inlineStr">
        <is>
          <t xml:space="preserve">Code/regression work and independent review complete. Final in-game Qwen acceptance pending in the previous FIX-01-05 session; no full acceptance claimed. No push/deployment.</t>
        </is>
      </c>
    </row>
    <row r="6827" spans="1:16">
      <c r="A6827" s="28" t="inlineStr">
        <is>
          <t xml:space="preserve">POST-FOUNDATION-FIX-10</t>
        </is>
      </c>
      <c r="B6827" s="28" t="inlineStr">
        <is>
          <t xml:space="preserve">FIX-10</t>
        </is>
      </c>
      <c r="C6827" s="28" t="inlineStr">
        <is>
          <t xml:space="preserve">Staff tooling</t>
        </is>
      </c>
      <c r="D6827" s="28" t="inlineStr">
        <is>
          <t xml:space="preserve">ServerCore</t>
        </is>
      </c>
      <c r="E6827" s="28" t="inlineStr">
        <is>
          <t xml:space="preserve">scripts/foundation_fixture_runner.py; scripts/Test-Foundation.ps1; tests/foundation-fixtures.json</t>
        </is>
      </c>
      <c r="F6827" s="28" t="inlineStr">
        <is>
          <t xml:space="preserve">Open</t>
        </is>
      </c>
      <c r="G6827" s="28" t="inlineStr">
        <is>
          <t xml:space="preserve">Open</t>
        </is>
      </c>
      <c r="H6827" s="28" t="inlineStr">
        <is>
          <t xml:space="preserve">POST-FOUNDATION-20261025-1</t>
        </is>
      </c>
      <c r="I6827" s="28" t="inlineStr">
        <is>
          <t xml:space="preserve">FIX-10</t>
        </is>
      </c>
      <c r="J6827" s="28" t="inlineStr">
        <is>
          <t xml:space="preserve">CodeRegressionComplete-InGamePending</t>
        </is>
      </c>
      <c r="K6827" s="28" t="inlineStr">
        <is>
          <t xml:space="preserve">Implement bounded approved repair; preserve historical dispositions</t>
        </is>
      </c>
      <c r="L6827" s="28" t="inlineStr">
        <is>
          <t xml:space="preserve">docs/codebase-audit/outputs/foundation-batch-1-results.md</t>
        </is>
      </c>
      <c r="M6827" s="28" t="inlineStr">
        <is>
          <t xml:space="preserve">Exact historical/current fixture matrix, assembly hashes and independent review in batch results</t>
        </is>
      </c>
      <c r="N6827" s="28" t="inlineStr">
        <is>
          <t xml:space="preserve">d9b4703f</t>
        </is>
      </c>
      <c r="O6827" s="29">
        <v>46320</v>
      </c>
      <c r="P6827" s="28" t="inlineStr">
        <is>
          <t xml:space="preserve">Code/regression work and independent review complete. Final in-game Qwen acceptance pending in the previous FIX-01-05 session; no full acceptance claimed. No push/deployment.</t>
        </is>
      </c>
    </row>
    <row r="6828" spans="1:16">
      <c r="A6828" s="28" t="inlineStr">
        <is>
          <t xml:space="preserve">POST-FOUNDATION-FIX-11</t>
        </is>
      </c>
      <c r="B6828" s="28" t="inlineStr">
        <is>
          <t xml:space="preserve">FIX-11</t>
        </is>
      </c>
      <c r="C6828" s="28" t="inlineStr">
        <is>
          <t xml:space="preserve">Economy and reward loops</t>
        </is>
      </c>
      <c r="D6828" s="28" t="inlineStr">
        <is>
          <t xml:space="preserve">XMLSpawner</t>
        </is>
      </c>
      <c r="E6828" s="28" t="inlineStr">
        <is>
          <t xml:space="preserve">Data/Scripts/Custom/XMLSpawner/XmlQuest/Gumps/QuestRewardGump.cs; Data/Scripts/Custom/XMLSpawner/XmlPoints PvP/Gumps/PointsRewardGump.cs</t>
        </is>
      </c>
      <c r="F6828" s="28" t="inlineStr">
        <is>
          <t xml:space="preserve">Open</t>
        </is>
      </c>
      <c r="G6828" s="28" t="inlineStr">
        <is>
          <t xml:space="preserve">Open</t>
        </is>
      </c>
      <c r="H6828" s="28" t="inlineStr">
        <is>
          <t xml:space="preserve">POST-FOUNDATION-20261025-2</t>
        </is>
      </c>
      <c r="I6828" s="28" t="inlineStr">
        <is>
          <t xml:space="preserve">FIX-11</t>
        </is>
      </c>
      <c r="J6828" s="28" t="inlineStr">
        <is>
          <t xml:space="preserve">CodeRegressionComplete-InGamePending</t>
        </is>
      </c>
      <c r="K6828" s="28" t="inlineStr">
        <is>
          <t xml:space="preserve">Implement bounded approved repair; preserve historical dispositions</t>
        </is>
      </c>
      <c r="L6828" s="28" t="inlineStr">
        <is>
          <t xml:space="preserve">docs/codebase-audit/outputs/foundation-batch-2-results.md</t>
        </is>
      </c>
      <c r="M6828" s="28" t="inlineStr">
        <is>
          <t xml:space="preserve">Exact historical/current fixture matrix, assembly hashes and independent review in batch results</t>
        </is>
      </c>
      <c r="N6828" s="28" t="inlineStr">
        <is>
          <t xml:space="preserve">7f146df6</t>
        </is>
      </c>
      <c r="O6828" s="29">
        <v>46320</v>
      </c>
      <c r="P6828" s="28" t="inlineStr">
        <is>
          <t xml:space="preserve">Code/regression work and independent review complete. Final in-game Qwen acceptance pending in the previous FIX-01-05 session; no full acceptance claimed. No push/deployment.</t>
        </is>
      </c>
    </row>
    <row r="6829" spans="1:16">
      <c r="A6829" s="28" t="inlineStr">
        <is>
          <t xml:space="preserve">POST-FOUNDATION-FIX-12</t>
        </is>
      </c>
      <c r="B6829" s="28" t="inlineStr">
        <is>
          <t xml:space="preserve">FIX-12</t>
        </is>
      </c>
      <c r="C6829" s="28" t="inlineStr">
        <is>
          <t xml:space="preserve">Economy and reward loops</t>
        </is>
      </c>
      <c r="D6829" s="28" t="inlineStr">
        <is>
          <t xml:space="preserve">Bulk Orders</t>
        </is>
      </c>
      <c r="E6829" s="28" t="inlineStr">
        <is>
          <t xml:space="preserve">Data/Scripts/Trades/Bulk Orders/Books/Gumps/BODBuyGump.cs</t>
        </is>
      </c>
      <c r="F6829" s="28" t="inlineStr">
        <is>
          <t xml:space="preserve">Open</t>
        </is>
      </c>
      <c r="G6829" s="28" t="inlineStr">
        <is>
          <t xml:space="preserve">Open</t>
        </is>
      </c>
      <c r="H6829" s="28" t="inlineStr">
        <is>
          <t xml:space="preserve">POST-FOUNDATION-20261025-2</t>
        </is>
      </c>
      <c r="I6829" s="28" t="inlineStr">
        <is>
          <t xml:space="preserve">FIX-12</t>
        </is>
      </c>
      <c r="J6829" s="28" t="inlineStr">
        <is>
          <t xml:space="preserve">CodeRegressionComplete-InGamePending</t>
        </is>
      </c>
      <c r="K6829" s="28" t="inlineStr">
        <is>
          <t xml:space="preserve">Implement bounded approved repair; preserve historical dispositions</t>
        </is>
      </c>
      <c r="L6829" s="28" t="inlineStr">
        <is>
          <t xml:space="preserve">docs/codebase-audit/outputs/foundation-batch-2-results.md</t>
        </is>
      </c>
      <c r="M6829" s="28" t="inlineStr">
        <is>
          <t xml:space="preserve">Exact historical/current fixture matrix, assembly hashes and independent review in batch results</t>
        </is>
      </c>
      <c r="N6829" s="28" t="inlineStr">
        <is>
          <t xml:space="preserve">7f146df6</t>
        </is>
      </c>
      <c r="O6829" s="29">
        <v>46320</v>
      </c>
      <c r="P6829" s="28" t="inlineStr">
        <is>
          <t xml:space="preserve">Code/regression work and independent review complete. Final in-game Qwen acceptance pending in the previous FIX-01-05 session; no full acceptance claimed. No push/deployment.</t>
        </is>
      </c>
    </row>
    <row r="6830" spans="1:16">
      <c r="A6830" s="28" t="inlineStr">
        <is>
          <t xml:space="preserve">POST-FOUNDATION-FIX-13</t>
        </is>
      </c>
      <c r="B6830" s="28" t="inlineStr">
        <is>
          <t xml:space="preserve">FIX-13</t>
        </is>
      </c>
      <c r="C6830" s="28" t="inlineStr">
        <is>
          <t xml:space="preserve">Gump guards</t>
        </is>
      </c>
      <c r="D6830" s="28" t="inlineStr">
        <is>
          <t xml:space="preserve">Government</t>
        </is>
      </c>
      <c r="E6830" s="28" t="inlineStr">
        <is>
          <t xml:space="preserve">Data/Scripts/Custom/Government System/Gumps/CityManagementGump.cs; Data/Scripts/Custom/Government System/Prompts/CityTreasuryWithdrawPrompt.cs; Data/Scripts/Custom/Government System/Prompts/CityTaxesIncomePrompt.cs</t>
        </is>
      </c>
      <c r="F6830" s="28" t="inlineStr">
        <is>
          <t xml:space="preserve">Open</t>
        </is>
      </c>
      <c r="G6830" s="28" t="inlineStr">
        <is>
          <t xml:space="preserve">Open</t>
        </is>
      </c>
      <c r="H6830" s="28" t="inlineStr">
        <is>
          <t xml:space="preserve">POST-FOUNDATION-20261025-2</t>
        </is>
      </c>
      <c r="I6830" s="28" t="inlineStr">
        <is>
          <t xml:space="preserve">FIX-13</t>
        </is>
      </c>
      <c r="J6830" s="28" t="inlineStr">
        <is>
          <t xml:space="preserve">CodeRegressionComplete-InGamePending</t>
        </is>
      </c>
      <c r="K6830" s="28" t="inlineStr">
        <is>
          <t xml:space="preserve">Implement bounded approved repair; preserve historical dispositions</t>
        </is>
      </c>
      <c r="L6830" s="28" t="inlineStr">
        <is>
          <t xml:space="preserve">docs/codebase-audit/outputs/foundation-batch-2-results.md</t>
        </is>
      </c>
      <c r="M6830" s="28" t="inlineStr">
        <is>
          <t xml:space="preserve">Exact historical/current fixture matrix, assembly hashes and independent review in batch results</t>
        </is>
      </c>
      <c r="N6830" s="28" t="inlineStr">
        <is>
          <t xml:space="preserve">7f146df6</t>
        </is>
      </c>
      <c r="O6830" s="29">
        <v>46320</v>
      </c>
      <c r="P6830" s="28" t="inlineStr">
        <is>
          <t xml:space="preserve">Code/regression work and independent review complete. Final in-game Qwen acceptance pending in the previous FIX-01-05 session; no full acceptance claimed. No push/deployment.</t>
        </is>
      </c>
    </row>
    <row r="6831" spans="1:16">
      <c r="A6831" s="28" t="inlineStr">
        <is>
          <t xml:space="preserve">POST-FOUNDATION-FIX-14</t>
        </is>
      </c>
      <c r="B6831" s="28" t="inlineStr">
        <is>
          <t xml:space="preserve">FIX-14</t>
        </is>
      </c>
      <c r="C6831" s="28" t="inlineStr">
        <is>
          <t xml:space="preserve">Economy and reward loops</t>
        </is>
      </c>
      <c r="D6831" s="28" t="inlineStr">
        <is>
          <t xml:space="preserve">Government</t>
        </is>
      </c>
      <c r="E6831" s="28" t="inlineStr">
        <is>
          <t xml:space="preserve">Data/Scripts/Custom/Government System/Gumps/CityCorpseFeeGump.cs; Data/Scripts/Custom/Government System/Items/Stones/CityResurrectionStone.cs</t>
        </is>
      </c>
      <c r="F6831" s="28" t="inlineStr">
        <is>
          <t xml:space="preserve">Open</t>
        </is>
      </c>
      <c r="G6831" s="28" t="inlineStr">
        <is>
          <t xml:space="preserve">Open</t>
        </is>
      </c>
      <c r="H6831" s="28" t="inlineStr">
        <is>
          <t xml:space="preserve">POST-FOUNDATION-20261025-2</t>
        </is>
      </c>
      <c r="I6831" s="28" t="inlineStr">
        <is>
          <t xml:space="preserve">FIX-14</t>
        </is>
      </c>
      <c r="J6831" s="28" t="inlineStr">
        <is>
          <t xml:space="preserve">CodeRegressionComplete-InGamePending</t>
        </is>
      </c>
      <c r="K6831" s="28" t="inlineStr">
        <is>
          <t xml:space="preserve">Implement bounded approved repair; preserve historical dispositions</t>
        </is>
      </c>
      <c r="L6831" s="28" t="inlineStr">
        <is>
          <t xml:space="preserve">docs/codebase-audit/outputs/foundation-batch-2-results.md</t>
        </is>
      </c>
      <c r="M6831" s="28" t="inlineStr">
        <is>
          <t xml:space="preserve">Exact historical/current fixture matrix, assembly hashes and independent review in batch results</t>
        </is>
      </c>
      <c r="N6831" s="28" t="inlineStr">
        <is>
          <t xml:space="preserve">7f146df6</t>
        </is>
      </c>
      <c r="O6831" s="29">
        <v>46320</v>
      </c>
      <c r="P6831" s="28" t="inlineStr">
        <is>
          <t xml:space="preserve">Code/regression work and independent review complete. Final in-game Qwen acceptance pending in the previous FIX-01-05 session; no full acceptance claimed. No push/deployment.</t>
        </is>
      </c>
    </row>
    <row r="6832" spans="1:16">
      <c r="A6832" s="28" t="inlineStr">
        <is>
          <t xml:space="preserve">POST-FOUNDATION-FIX-15</t>
        </is>
      </c>
      <c r="B6832" s="28" t="inlineStr">
        <is>
          <t xml:space="preserve">FIX-15</t>
        </is>
      </c>
      <c r="C6832" s="28" t="inlineStr">
        <is>
          <t xml:space="preserve">Runtime hooks</t>
        </is>
      </c>
      <c r="D6832" s="28" t="inlineStr">
        <is>
          <t xml:space="preserve">Items:Trades</t>
        </is>
      </c>
      <c r="E6832" s="28" t="inlineStr">
        <is>
          <t xml:space="preserve">Data/Scripts/Items/Trades/Misc/Bandage.cs</t>
        </is>
      </c>
      <c r="F6832" s="28" t="inlineStr">
        <is>
          <t xml:space="preserve">Open</t>
        </is>
      </c>
      <c r="G6832" s="28" t="inlineStr">
        <is>
          <t xml:space="preserve">Open</t>
        </is>
      </c>
      <c r="H6832" s="28" t="inlineStr">
        <is>
          <t xml:space="preserve">POST-FOUNDATION-20261025-3</t>
        </is>
      </c>
      <c r="I6832" s="28" t="inlineStr">
        <is>
          <t xml:space="preserve">FIX-15</t>
        </is>
      </c>
      <c r="J6832" s="28" t="inlineStr">
        <is>
          <t xml:space="preserve">CodeRegressionComplete-InGamePending</t>
        </is>
      </c>
      <c r="K6832" s="28" t="inlineStr">
        <is>
          <t xml:space="preserve">Implement bounded approved repair; preserve historical dispositions</t>
        </is>
      </c>
      <c r="L6832" s="28" t="inlineStr">
        <is>
          <t xml:space="preserve">docs/codebase-audit/outputs/foundation-batch-3-results.md</t>
        </is>
      </c>
      <c r="M6832" s="28" t="inlineStr">
        <is>
          <t xml:space="preserve">12 historical and62 current real Timer.Slice assertions; all candidate hashes and independent review in batch results</t>
        </is>
      </c>
      <c r="N6832" s="28" t="inlineStr">
        <is>
          <t xml:space="preserve">143e9fb3</t>
        </is>
      </c>
      <c r="O6832" s="29">
        <v>46320</v>
      </c>
      <c r="P6832" s="28" t="inlineStr">
        <is>
          <t xml:space="preserve">Code/regression work and independent review complete. Final in-game Qwen acceptance pending in previous FIX-01-05 session; no full acceptance claimed. No push/deployment.</t>
        </is>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CE0F-940F-424C-BBE9-2D49CC0CC1C0}">
  <sheetPr>
    <tabColor rgb="FF167D9A"/>
  </sheetPr>
  <dimension ref="A1:Q90"/>
  <sheetViews>
    <sheetView showGridLines="0" workbookViewId="0">
      <selection activeCell="B55" sqref="B55:P55"/>
    </sheetView>
  </sheetViews>
  <sheetFormatPr defaultRowHeight="15" x14ac:dyDescent="0.25"/>
  <cols>
    <col min="1" max="1" width="3" customWidth="1"/>
    <col min="2" max="16" width="12.140625" customWidth="1"/>
    <col min="17" max="17" width="3" customWidth="1"/>
  </cols>
  <sheetData>
    <row r="1" spans="1:17" x14ac:dyDescent="0.25">
      <c r="A1" s="1"/>
      <c r="B1" s="19" t="s">
        <v>33433</v>
      </c>
      <c r="C1" s="19"/>
      <c r="D1" s="19"/>
      <c r="E1" s="19"/>
      <c r="F1" s="19"/>
      <c r="G1" s="19"/>
      <c r="H1" s="19"/>
      <c r="I1" s="19"/>
      <c r="J1" s="19"/>
      <c r="K1" s="19"/>
      <c r="L1" s="19"/>
      <c r="M1" s="19"/>
      <c r="N1" s="19"/>
      <c r="O1" s="19"/>
      <c r="P1" s="19"/>
      <c r="Q1" s="1"/>
    </row>
    <row r="2" spans="1:17" x14ac:dyDescent="0.25">
      <c r="A2" s="1"/>
      <c r="B2" s="19"/>
      <c r="C2" s="19"/>
      <c r="D2" s="19"/>
      <c r="E2" s="19"/>
      <c r="F2" s="19"/>
      <c r="G2" s="19"/>
      <c r="H2" s="19"/>
      <c r="I2" s="19"/>
      <c r="J2" s="19"/>
      <c r="K2" s="19"/>
      <c r="L2" s="19"/>
      <c r="M2" s="19"/>
      <c r="N2" s="19"/>
      <c r="O2" s="19"/>
      <c r="P2" s="19"/>
      <c r="Q2" s="1"/>
    </row>
    <row r="3" spans="1:17" x14ac:dyDescent="0.25">
      <c r="A3" s="1"/>
      <c r="C3" s="20"/>
      <c r="D3" s="20"/>
      <c r="E3" s="20"/>
      <c r="F3" s="20"/>
      <c r="G3" s="20"/>
      <c r="H3" s="20"/>
      <c r="I3" s="20"/>
      <c r="J3" s="20"/>
      <c r="K3" s="20"/>
      <c r="L3" s="20"/>
      <c r="M3" s="20"/>
      <c r="N3" s="20"/>
      <c r="O3" s="20"/>
      <c r="P3" s="20"/>
      <c r="Q3" s="1"/>
      <c r="B3" s="14" t="inlineStr">
        <is>
          <t xml:space="preserve">2026-10-25 | FIX-09–15 code/regression complete; all three foundation batches await in-game Qwen acceptance. No deployment.</t>
        </is>
      </c>
    </row>
    <row r="4" spans="1:17" ht="18.95" customHeight="1" x14ac:dyDescent="0.25">
      <c r="A4" s="1"/>
      <c r="B4" s="1"/>
      <c r="C4" s="1"/>
      <c r="D4" s="1"/>
      <c r="E4" s="1"/>
      <c r="F4" s="1"/>
      <c r="G4" s="1"/>
      <c r="H4" s="1"/>
      <c r="I4" s="1"/>
      <c r="J4" s="1"/>
      <c r="K4" s="1"/>
      <c r="L4" s="1"/>
      <c r="M4" s="1"/>
      <c r="N4" s="1"/>
      <c r="O4" s="1"/>
      <c r="P4" s="1"/>
      <c r="Q4" s="1"/>
    </row>
    <row r="5" spans="1:17" ht="18.95" customHeight="1" x14ac:dyDescent="0.25">
      <c r="A5" s="1"/>
      <c r="B5" s="21" t="s">
        <v>33435</v>
      </c>
      <c r="C5" s="21"/>
      <c r="D5" s="21"/>
      <c r="E5" s="1"/>
      <c r="F5" s="21" t="s">
        <v>33436</v>
      </c>
      <c r="G5" s="21"/>
      <c r="H5" s="21"/>
      <c r="I5" s="1"/>
      <c r="J5" s="21" t="s">
        <v>33437</v>
      </c>
      <c r="K5" s="21"/>
      <c r="L5" s="21"/>
      <c r="M5" s="1"/>
      <c r="N5" s="21" t="s">
        <v>33438</v>
      </c>
      <c r="O5" s="21"/>
      <c r="P5" s="21"/>
      <c r="Q5" s="1"/>
    </row>
    <row r="6" spans="1:17" ht="18.95" customHeight="1" x14ac:dyDescent="0.25">
      <c r="A6" s="1"/>
      <c r="B6" s="22">
        <f>COUNTA('post-audit-active-backlog-statu'!$A$2:$A$6832)</f>
        <v>6831</v>
      </c>
      <c r="C6" s="22"/>
      <c r="D6" s="22"/>
      <c r="E6" s="1"/>
      <c r="F6" s="22">
        <f>COUNTIF('post-audit-active-backlog-statu'!$G$2:$G$6832,"Fixed")</f>
        <v>957</v>
      </c>
      <c r="G6" s="22"/>
      <c r="H6" s="22"/>
      <c r="I6" s="1"/>
      <c r="J6" s="22">
        <f>COUNTIF('post-audit-active-backlog-statu'!$G$2:$G$6832,"ReviewedNoChange")+COUNTIF('post-audit-active-backlog-statu'!$G$2:$G$6832,"SafeNoChange")+COUNTIF('post-audit-active-backlog-statu'!$G$2:$G$6832,"PolicyResolvedNoChange")</f>
        <v>3700</v>
      </c>
      <c r="K6" s="22"/>
      <c r="L6" s="22"/>
      <c r="M6" s="1"/>
      <c r="N6" s="23">
        <f>COUNTIF('post-audit-active-backlog-statu'!$G$2:$G$6832,"BlocksOnlyThisDomain")</f>
        <v>7</v>
      </c>
      <c r="O6" s="23"/>
      <c r="P6" s="23"/>
      <c r="Q6" s="1"/>
    </row>
    <row r="7" spans="1:17" ht="18.95" customHeight="1" x14ac:dyDescent="0.25">
      <c r="A7" s="1"/>
      <c r="B7" s="22"/>
      <c r="C7" s="22"/>
      <c r="D7" s="22"/>
      <c r="E7" s="1"/>
      <c r="F7" s="22"/>
      <c r="G7" s="22"/>
      <c r="H7" s="22"/>
      <c r="I7" s="1"/>
      <c r="J7" s="22"/>
      <c r="K7" s="22"/>
      <c r="L7" s="22"/>
      <c r="M7" s="1"/>
      <c r="N7" s="23"/>
      <c r="O7" s="23"/>
      <c r="P7" s="23"/>
      <c r="Q7" s="1"/>
    </row>
    <row r="8" spans="1:17" ht="18.95" customHeight="1" x14ac:dyDescent="0.25">
      <c r="A8" s="1"/>
      <c r="B8" s="10" t="str">
        <f>COUNTA('Audit Analysis'!M5:M209)&amp;" systems covered"</f>
        <v>205 systems covered</v>
      </c>
      <c r="C8" s="10"/>
      <c r="D8" s="10"/>
      <c r="E8" s="2"/>
      <c r="F8" s="10" t="str">
        <f>TEXT(F6/B6,"0.0%")&amp;" of all records"</f>
        <v>14.0% of all records</v>
      </c>
      <c r="G8" s="10"/>
      <c r="H8" s="10"/>
      <c r="I8" s="2"/>
      <c r="J8" s="10" t="str">
        <f>TEXT(J6/B6,"0.0%")&amp;" of all records"</f>
        <v>54.2% of all records</v>
      </c>
      <c r="K8" s="10"/>
      <c r="L8" s="10"/>
      <c r="M8" s="2"/>
      <c r="N8" s="10" t="str">
        <f>TEXT(N6/B6,"0.0%")&amp;" • scope-limited"</f>
        <v>0.1% • scope-limited</v>
      </c>
      <c r="O8" s="10"/>
      <c r="P8" s="10"/>
      <c r="Q8" s="1"/>
    </row>
    <row r="9" spans="1:17" ht="18.95" customHeight="1" x14ac:dyDescent="0.25">
      <c r="A9" s="1"/>
      <c r="B9" s="18" t="s">
        <v>33439</v>
      </c>
      <c r="C9" s="18"/>
      <c r="D9" s="18"/>
      <c r="E9" s="18"/>
      <c r="F9" s="18"/>
      <c r="G9" s="18"/>
      <c r="H9" s="18"/>
      <c r="I9" s="18"/>
      <c r="J9" s="18"/>
      <c r="K9" s="18"/>
      <c r="L9" s="18"/>
      <c r="M9" s="18"/>
      <c r="N9" s="18"/>
      <c r="O9" s="18"/>
      <c r="P9" s="18"/>
      <c r="Q9" s="1"/>
    </row>
    <row r="10" spans="1:17" ht="18.95" customHeight="1" x14ac:dyDescent="0.25">
      <c r="A10" s="1"/>
      <c r="B10" s="14" t="str">
        <f>"CONCENTRATION  |  "&amp;'Audit Analysis'!F5&amp;" + "&amp;'Audit Analysis'!F6&amp;" account for "&amp;TEXT(SUM('Audit Analysis'!G5:G6)/B6,"0.0%")&amp;" of records; prioritize these review surfaces."</f>
        <v>CONCENTRATION  |  Runtime hooks + Save compatibility account for 44.0% of records; prioritize these review surfaces.</v>
      </c>
      <c r="C10" s="14"/>
      <c r="D10" s="14"/>
      <c r="E10" s="14"/>
      <c r="F10" s="14"/>
      <c r="G10" s="14"/>
      <c r="H10" s="14"/>
      <c r="I10" s="14"/>
      <c r="J10" s="14"/>
      <c r="K10" s="14"/>
      <c r="L10" s="14"/>
      <c r="M10" s="14"/>
      <c r="N10" s="14"/>
      <c r="O10" s="14"/>
      <c r="P10" s="14"/>
      <c r="Q10" s="1"/>
    </row>
    <row r="11" spans="1:17" ht="18.95" customHeight="1" x14ac:dyDescent="0.25">
      <c r="A11" s="1"/>
      <c r="B11" s="14" t="str">
        <f>"OUTCOMES  |  "&amp;TEXT(J6/B6,"0.0%")&amp;" are explicit no-change outcomes; "&amp;TEXT(F6/B6,"0.0%")&amp;" are Fixed. These are dispositions, not a closure rate."</f>
        <v>OUTCOMES  |  54.2% are explicit no-change outcomes; 14.0% are Fixed. These are dispositions, not a closure rate.</v>
      </c>
      <c r="C11" s="14"/>
      <c r="D11" s="14"/>
      <c r="E11" s="14"/>
      <c r="F11" s="14"/>
      <c r="G11" s="14"/>
      <c r="H11" s="14"/>
      <c r="I11" s="14"/>
      <c r="J11" s="14"/>
      <c r="K11" s="14"/>
      <c r="L11" s="14"/>
      <c r="M11" s="14"/>
      <c r="N11" s="14"/>
      <c r="O11" s="14"/>
      <c r="P11" s="14"/>
      <c r="Q11" s="1"/>
    </row>
    <row r="12" spans="1:17" ht="18.95" customHeight="1" x14ac:dyDescent="0.25">
      <c r="A12" s="1"/>
      <c r="B12" s="14" t="str">
        <f>"APPROVAL GATES  |  "&amp;COUNTIF('post-audit-active-backlog-statu'!$J$2:$J$6832,"BlockedForReorganizationOnly")&amp;" move/reorganization + "&amp;COUNTIF('post-audit-active-backlog-statu'!$J$2:$J$6832,"BlockedForSerializerMigrationOnly")&amp;" serializer-migration blockers. See linked records below."</f>
        <v>APPROVAL GATES  |  6 move/reorganization + 1 serializer-migration blockers. See linked records below.</v>
      </c>
      <c r="C12" s="14"/>
      <c r="D12" s="14"/>
      <c r="E12" s="14"/>
      <c r="F12" s="14"/>
      <c r="G12" s="14"/>
      <c r="H12" s="14"/>
      <c r="I12" s="14"/>
      <c r="J12" s="14"/>
      <c r="K12" s="14"/>
      <c r="L12" s="14"/>
      <c r="M12" s="14"/>
      <c r="N12" s="14"/>
      <c r="O12" s="14"/>
      <c r="P12" s="14"/>
      <c r="Q12" s="1"/>
    </row>
    <row r="13" spans="1:17" ht="18.95" customHeight="1" x14ac:dyDescent="0.25">
      <c r="A13" s="1"/>
      <c r="B13" s="14" t="str">
        <f>"SNAPSHOT TIMING  |  "&amp;TEXT(SUMIFS('Audit Analysis'!U5:U16,'Audit Analysis'!T5:T16,"&lt;"&amp;DATE(2026,10,1)),"#,##0")&amp;" records last updated before October; latest source date "&amp;TEXT(MAX('Audit Analysis'!T5:T16),"mmm d, yyyy")&amp;"."</f>
        <v>SNAPSHOT TIMING  |  6,813 records last updated before October; latest source date Oct 25, 2026.</v>
      </c>
      <c r="C13" s="14"/>
      <c r="D13" s="14"/>
      <c r="E13" s="14"/>
      <c r="F13" s="14"/>
      <c r="G13" s="14"/>
      <c r="H13" s="14"/>
      <c r="I13" s="14"/>
      <c r="J13" s="14"/>
      <c r="K13" s="14"/>
      <c r="L13" s="14"/>
      <c r="M13" s="14"/>
      <c r="N13" s="14"/>
      <c r="O13" s="14"/>
      <c r="P13" s="14"/>
      <c r="Q13" s="1"/>
    </row>
    <row r="14" spans="1:17" ht="18.95" customHeight="1" x14ac:dyDescent="0.25">
      <c r="A14" s="1"/>
      <c r="B14" s="15" t="str">
        <f>"DATA CHECKS  |  "&amp;IF(COUNTIF('Audit Analysis'!C19:C27,"REVIEW")=0,"All 9 reconciliation / completeness checks pass.",COUNTIF('Audit Analysis'!C19:C27,"REVIEW")&amp;" checks require review; see Audit Analysis.")</f>
        <v>DATA CHECKS  |  All 9 reconciliation / completeness checks pass.</v>
      </c>
      <c r="C14" s="15"/>
      <c r="D14" s="15"/>
      <c r="E14" s="15"/>
      <c r="F14" s="15"/>
      <c r="G14" s="15"/>
      <c r="H14" s="15"/>
      <c r="I14" s="15"/>
      <c r="J14" s="15"/>
      <c r="K14" s="15"/>
      <c r="L14" s="15"/>
      <c r="M14" s="15"/>
      <c r="N14" s="15"/>
      <c r="O14" s="15"/>
      <c r="P14" s="15"/>
      <c r="Q14" s="1"/>
    </row>
    <row r="15" spans="1:17" ht="18.95" customHeight="1" x14ac:dyDescent="0.25">
      <c r="A15" s="1"/>
      <c r="B15" s="1"/>
      <c r="C15" s="1"/>
      <c r="D15" s="1"/>
      <c r="E15" s="1"/>
      <c r="F15" s="1"/>
      <c r="G15" s="1"/>
      <c r="H15" s="1"/>
      <c r="I15" s="1"/>
      <c r="J15" s="1"/>
      <c r="K15" s="1"/>
      <c r="L15" s="1"/>
      <c r="M15" s="1"/>
      <c r="N15" s="1"/>
      <c r="O15" s="1"/>
      <c r="P15" s="1"/>
      <c r="Q15" s="1"/>
    </row>
    <row r="16" spans="1:17" ht="18.95" customHeight="1" x14ac:dyDescent="0.25">
      <c r="A16" s="1"/>
      <c r="B16" s="1"/>
      <c r="C16" s="1"/>
      <c r="D16" s="1"/>
      <c r="E16" s="1"/>
      <c r="F16" s="1"/>
      <c r="G16" s="1"/>
      <c r="H16" s="1"/>
      <c r="I16" s="1"/>
      <c r="J16" s="1"/>
      <c r="K16" s="1"/>
      <c r="L16" s="1"/>
      <c r="M16" s="1"/>
      <c r="N16" s="1"/>
      <c r="O16" s="1"/>
      <c r="P16" s="1"/>
      <c r="Q16" s="1"/>
    </row>
    <row r="17" spans="1:17" ht="18.95" customHeight="1" x14ac:dyDescent="0.25">
      <c r="A17" s="1"/>
      <c r="B17" s="1"/>
      <c r="C17" s="1"/>
      <c r="D17" s="1"/>
      <c r="E17" s="1"/>
      <c r="F17" s="1"/>
      <c r="G17" s="1"/>
      <c r="H17" s="1"/>
      <c r="I17" s="1"/>
      <c r="J17" s="1"/>
      <c r="K17" s="1"/>
      <c r="L17" s="1"/>
      <c r="M17" s="1"/>
      <c r="N17" s="1"/>
      <c r="O17" s="1"/>
      <c r="P17" s="1"/>
      <c r="Q17" s="1"/>
    </row>
    <row r="18" spans="1:17" ht="18.95" customHeight="1" x14ac:dyDescent="0.25">
      <c r="A18" s="1"/>
      <c r="B18" s="1"/>
      <c r="C18" s="1"/>
      <c r="D18" s="1"/>
      <c r="E18" s="1"/>
      <c r="F18" s="1"/>
      <c r="G18" s="1"/>
      <c r="H18" s="1"/>
      <c r="I18" s="1"/>
      <c r="J18" s="1"/>
      <c r="K18" s="1"/>
      <c r="L18" s="1"/>
      <c r="M18" s="1"/>
      <c r="N18" s="1"/>
      <c r="O18" s="1"/>
      <c r="P18" s="1"/>
      <c r="Q18" s="1"/>
    </row>
    <row r="19" spans="1:17" ht="18.95" customHeight="1" x14ac:dyDescent="0.25">
      <c r="A19" s="1"/>
      <c r="B19" s="1"/>
      <c r="C19" s="1"/>
      <c r="D19" s="1"/>
      <c r="E19" s="1"/>
      <c r="F19" s="1"/>
      <c r="G19" s="1"/>
      <c r="H19" s="1"/>
      <c r="I19" s="1"/>
      <c r="J19" s="1"/>
      <c r="K19" s="1"/>
      <c r="L19" s="1"/>
      <c r="M19" s="1"/>
      <c r="N19" s="1"/>
      <c r="O19" s="1"/>
      <c r="P19" s="1"/>
      <c r="Q19" s="1"/>
    </row>
    <row r="20" spans="1:17" ht="18.95" customHeight="1" x14ac:dyDescent="0.25">
      <c r="A20" s="1"/>
      <c r="B20" s="1"/>
      <c r="C20" s="1"/>
      <c r="D20" s="1"/>
      <c r="E20" s="1"/>
      <c r="F20" s="1"/>
      <c r="G20" s="1"/>
      <c r="H20" s="1"/>
      <c r="I20" s="1"/>
      <c r="J20" s="1"/>
      <c r="K20" s="1"/>
      <c r="L20" s="1"/>
      <c r="M20" s="1"/>
      <c r="N20" s="1"/>
      <c r="O20" s="1"/>
      <c r="P20" s="1"/>
      <c r="Q20" s="1"/>
    </row>
    <row r="21" spans="1:17" ht="18.95" customHeight="1" x14ac:dyDescent="0.25">
      <c r="A21" s="1"/>
      <c r="B21" s="1"/>
      <c r="C21" s="1"/>
      <c r="D21" s="1"/>
      <c r="E21" s="1"/>
      <c r="F21" s="1"/>
      <c r="G21" s="1"/>
      <c r="H21" s="1"/>
      <c r="I21" s="1"/>
      <c r="J21" s="1"/>
      <c r="K21" s="1"/>
      <c r="L21" s="1"/>
      <c r="M21" s="1"/>
      <c r="N21" s="1"/>
      <c r="O21" s="1"/>
      <c r="P21" s="1"/>
      <c r="Q21" s="1"/>
    </row>
    <row r="22" spans="1:17" ht="18.95" customHeight="1" x14ac:dyDescent="0.25">
      <c r="A22" s="1"/>
      <c r="B22" s="1"/>
      <c r="C22" s="1"/>
      <c r="D22" s="1"/>
      <c r="E22" s="1"/>
      <c r="F22" s="1"/>
      <c r="G22" s="1"/>
      <c r="H22" s="1"/>
      <c r="I22" s="1"/>
      <c r="J22" s="1"/>
      <c r="K22" s="1"/>
      <c r="L22" s="1"/>
      <c r="M22" s="1"/>
      <c r="N22" s="1"/>
      <c r="O22" s="1"/>
      <c r="P22" s="1"/>
      <c r="Q22" s="1"/>
    </row>
    <row r="23" spans="1:17" ht="18.95" customHeight="1" x14ac:dyDescent="0.25">
      <c r="A23" s="1"/>
      <c r="B23" s="1"/>
      <c r="C23" s="1"/>
      <c r="D23" s="1"/>
      <c r="E23" s="1"/>
      <c r="F23" s="1"/>
      <c r="G23" s="1"/>
      <c r="H23" s="1"/>
      <c r="I23" s="1"/>
      <c r="J23" s="1"/>
      <c r="K23" s="1"/>
      <c r="L23" s="1"/>
      <c r="M23" s="1"/>
      <c r="N23" s="1"/>
      <c r="O23" s="1"/>
      <c r="P23" s="1"/>
      <c r="Q23" s="1"/>
    </row>
    <row r="24" spans="1:17" ht="18.95" customHeight="1" x14ac:dyDescent="0.25">
      <c r="A24" s="1"/>
      <c r="B24" s="1"/>
      <c r="C24" s="1"/>
      <c r="D24" s="1"/>
      <c r="E24" s="1"/>
      <c r="F24" s="1"/>
      <c r="G24" s="1"/>
      <c r="H24" s="1"/>
      <c r="I24" s="1"/>
      <c r="J24" s="1"/>
      <c r="K24" s="1"/>
      <c r="L24" s="1"/>
      <c r="M24" s="1"/>
      <c r="N24" s="1"/>
      <c r="O24" s="1"/>
      <c r="P24" s="1"/>
      <c r="Q24" s="1"/>
    </row>
    <row r="25" spans="1:17" ht="18.95" customHeight="1" x14ac:dyDescent="0.25">
      <c r="A25" s="1"/>
      <c r="B25" s="1"/>
      <c r="C25" s="1"/>
      <c r="D25" s="1"/>
      <c r="E25" s="1"/>
      <c r="F25" s="1"/>
      <c r="G25" s="1"/>
      <c r="H25" s="1"/>
      <c r="I25" s="1"/>
      <c r="J25" s="1"/>
      <c r="K25" s="1"/>
      <c r="L25" s="1"/>
      <c r="M25" s="1"/>
      <c r="N25" s="1"/>
      <c r="O25" s="1"/>
      <c r="P25" s="1"/>
      <c r="Q25" s="1"/>
    </row>
    <row r="26" spans="1:17" ht="18.95" customHeight="1" x14ac:dyDescent="0.25">
      <c r="A26" s="1"/>
      <c r="B26" s="1"/>
      <c r="C26" s="1"/>
      <c r="D26" s="1"/>
      <c r="E26" s="1"/>
      <c r="F26" s="1"/>
      <c r="G26" s="1"/>
      <c r="H26" s="1"/>
      <c r="I26" s="1"/>
      <c r="J26" s="1"/>
      <c r="K26" s="1"/>
      <c r="L26" s="1"/>
      <c r="M26" s="1"/>
      <c r="N26" s="1"/>
      <c r="O26" s="1"/>
      <c r="P26" s="1"/>
      <c r="Q26" s="1"/>
    </row>
    <row r="27" spans="1:17" ht="18.95" customHeight="1" x14ac:dyDescent="0.25">
      <c r="A27" s="1"/>
      <c r="B27" s="1"/>
      <c r="C27" s="1"/>
      <c r="D27" s="1"/>
      <c r="E27" s="1"/>
      <c r="F27" s="1"/>
      <c r="G27" s="1"/>
      <c r="H27" s="1"/>
      <c r="I27" s="1"/>
      <c r="J27" s="1"/>
      <c r="K27" s="1"/>
      <c r="L27" s="1"/>
      <c r="M27" s="1"/>
      <c r="N27" s="1"/>
      <c r="O27" s="1"/>
      <c r="P27" s="1"/>
      <c r="Q27" s="1"/>
    </row>
    <row r="28" spans="1:17" ht="18.95" customHeight="1" x14ac:dyDescent="0.25">
      <c r="A28" s="1"/>
      <c r="B28" s="1"/>
      <c r="C28" s="1"/>
      <c r="D28" s="1"/>
      <c r="E28" s="1"/>
      <c r="F28" s="1"/>
      <c r="G28" s="1"/>
      <c r="H28" s="1"/>
      <c r="I28" s="1"/>
      <c r="J28" s="1"/>
      <c r="K28" s="1"/>
      <c r="L28" s="1"/>
      <c r="M28" s="1"/>
      <c r="N28" s="1"/>
      <c r="O28" s="1"/>
      <c r="P28" s="1"/>
      <c r="Q28" s="1"/>
    </row>
    <row r="29" spans="1:17" ht="18.95" customHeight="1" x14ac:dyDescent="0.25">
      <c r="A29" s="1"/>
      <c r="B29" s="1"/>
      <c r="C29" s="1"/>
      <c r="D29" s="1"/>
      <c r="E29" s="1"/>
      <c r="F29" s="1"/>
      <c r="G29" s="1"/>
      <c r="H29" s="1"/>
      <c r="I29" s="1"/>
      <c r="J29" s="1"/>
      <c r="K29" s="1"/>
      <c r="L29" s="1"/>
      <c r="M29" s="1"/>
      <c r="N29" s="1"/>
      <c r="O29" s="1"/>
      <c r="P29" s="1"/>
      <c r="Q29" s="1"/>
    </row>
    <row r="30" spans="1:17" ht="18.95" customHeight="1" x14ac:dyDescent="0.25">
      <c r="A30" s="1"/>
      <c r="B30" s="1"/>
      <c r="C30" s="1"/>
      <c r="D30" s="1"/>
      <c r="E30" s="1"/>
      <c r="F30" s="1"/>
      <c r="G30" s="1"/>
      <c r="H30" s="1"/>
      <c r="I30" s="1"/>
      <c r="J30" s="1"/>
      <c r="K30" s="1"/>
      <c r="L30" s="1"/>
      <c r="M30" s="1"/>
      <c r="N30" s="1"/>
      <c r="O30" s="1"/>
      <c r="P30" s="1"/>
      <c r="Q30" s="1"/>
    </row>
    <row r="31" spans="1:17" ht="18.95" customHeight="1" x14ac:dyDescent="0.25">
      <c r="A31" s="1"/>
      <c r="B31" s="1"/>
      <c r="C31" s="1"/>
      <c r="D31" s="1"/>
      <c r="E31" s="1"/>
      <c r="F31" s="1"/>
      <c r="G31" s="1"/>
      <c r="H31" s="1"/>
      <c r="I31" s="1"/>
      <c r="J31" s="1"/>
      <c r="K31" s="1"/>
      <c r="L31" s="1"/>
      <c r="M31" s="1"/>
      <c r="N31" s="1"/>
      <c r="O31" s="1"/>
      <c r="P31" s="1"/>
      <c r="Q31" s="1"/>
    </row>
    <row r="32" spans="1:17" ht="18.95" customHeight="1" x14ac:dyDescent="0.25">
      <c r="A32" s="1"/>
      <c r="B32" s="1"/>
      <c r="C32" s="1"/>
      <c r="D32" s="1"/>
      <c r="E32" s="1"/>
      <c r="F32" s="1"/>
      <c r="G32" s="1"/>
      <c r="H32" s="1"/>
      <c r="I32" s="1"/>
      <c r="J32" s="1"/>
      <c r="K32" s="1"/>
      <c r="L32" s="1"/>
      <c r="M32" s="1"/>
      <c r="N32" s="1"/>
      <c r="O32" s="1"/>
      <c r="P32" s="1"/>
      <c r="Q32" s="1"/>
    </row>
    <row r="33" spans="1:17" ht="18.95" customHeight="1" x14ac:dyDescent="0.25">
      <c r="A33" s="1"/>
      <c r="B33" s="1"/>
      <c r="C33" s="1"/>
      <c r="D33" s="1"/>
      <c r="E33" s="1"/>
      <c r="F33" s="1"/>
      <c r="G33" s="1"/>
      <c r="H33" s="1"/>
      <c r="I33" s="1"/>
      <c r="J33" s="1"/>
      <c r="K33" s="1"/>
      <c r="L33" s="1"/>
      <c r="M33" s="1"/>
      <c r="N33" s="1"/>
      <c r="O33" s="1"/>
      <c r="P33" s="1"/>
      <c r="Q33" s="1"/>
    </row>
    <row r="34" spans="1:17" ht="18.95" customHeight="1" x14ac:dyDescent="0.25">
      <c r="A34" s="1"/>
      <c r="B34" s="1"/>
      <c r="C34" s="1"/>
      <c r="D34" s="1"/>
      <c r="E34" s="1"/>
      <c r="F34" s="1"/>
      <c r="G34" s="1"/>
      <c r="H34" s="1"/>
      <c r="I34" s="1"/>
      <c r="J34" s="1"/>
      <c r="K34" s="1"/>
      <c r="L34" s="1"/>
      <c r="M34" s="1"/>
      <c r="N34" s="1"/>
      <c r="O34" s="1"/>
      <c r="P34" s="1"/>
      <c r="Q34" s="1"/>
    </row>
    <row r="35" spans="1:17" ht="18.95" customHeight="1" x14ac:dyDescent="0.25">
      <c r="A35" s="1"/>
      <c r="B35" s="1"/>
      <c r="C35" s="1"/>
      <c r="D35" s="1"/>
      <c r="E35" s="1"/>
      <c r="F35" s="1"/>
      <c r="G35" s="1"/>
      <c r="H35" s="1"/>
      <c r="I35" s="1"/>
      <c r="J35" s="1"/>
      <c r="K35" s="1"/>
      <c r="L35" s="1"/>
      <c r="M35" s="1"/>
      <c r="N35" s="1"/>
      <c r="O35" s="1"/>
      <c r="P35" s="1"/>
      <c r="Q35" s="1"/>
    </row>
    <row r="36" spans="1:17" ht="18.95" customHeight="1" x14ac:dyDescent="0.25">
      <c r="A36" s="1"/>
      <c r="B36" s="1"/>
      <c r="C36" s="1"/>
      <c r="D36" s="1"/>
      <c r="E36" s="1"/>
      <c r="F36" s="1"/>
      <c r="G36" s="1"/>
      <c r="H36" s="1"/>
      <c r="I36" s="1"/>
      <c r="J36" s="1"/>
      <c r="K36" s="1"/>
      <c r="L36" s="1"/>
      <c r="M36" s="1"/>
      <c r="N36" s="1"/>
      <c r="O36" s="1"/>
      <c r="P36" s="1"/>
      <c r="Q36" s="1"/>
    </row>
    <row r="37" spans="1:17" ht="18.95" customHeight="1" x14ac:dyDescent="0.25">
      <c r="A37" s="1"/>
      <c r="B37" s="1"/>
      <c r="C37" s="1"/>
      <c r="D37" s="1"/>
      <c r="E37" s="1"/>
      <c r="F37" s="1"/>
      <c r="G37" s="1"/>
      <c r="H37" s="1"/>
      <c r="I37" s="1"/>
      <c r="J37" s="1"/>
      <c r="K37" s="1"/>
      <c r="L37" s="1"/>
      <c r="M37" s="1"/>
      <c r="N37" s="1"/>
      <c r="O37" s="1"/>
      <c r="P37" s="1"/>
      <c r="Q37" s="1"/>
    </row>
    <row r="38" spans="1:17" ht="18.95" customHeight="1" x14ac:dyDescent="0.25">
      <c r="A38" s="1"/>
      <c r="B38" s="1"/>
      <c r="C38" s="1"/>
      <c r="D38" s="1"/>
      <c r="E38" s="1"/>
      <c r="F38" s="1"/>
      <c r="G38" s="1"/>
      <c r="H38" s="1"/>
      <c r="I38" s="1"/>
      <c r="J38" s="1"/>
      <c r="K38" s="1"/>
      <c r="L38" s="1"/>
      <c r="M38" s="1"/>
      <c r="N38" s="1"/>
      <c r="O38" s="1"/>
      <c r="P38" s="1"/>
      <c r="Q38" s="1"/>
    </row>
    <row r="39" spans="1:17" ht="18.95" customHeight="1" x14ac:dyDescent="0.25">
      <c r="A39" s="1"/>
      <c r="B39" s="1"/>
      <c r="C39" s="1"/>
      <c r="D39" s="1"/>
      <c r="E39" s="1"/>
      <c r="F39" s="1"/>
      <c r="G39" s="1"/>
      <c r="H39" s="1"/>
      <c r="I39" s="1"/>
      <c r="J39" s="1"/>
      <c r="K39" s="1"/>
      <c r="L39" s="1"/>
      <c r="M39" s="1"/>
      <c r="N39" s="1"/>
      <c r="O39" s="1"/>
      <c r="P39" s="1"/>
      <c r="Q39" s="1"/>
    </row>
    <row r="40" spans="1:17" ht="18.95" customHeight="1" x14ac:dyDescent="0.25">
      <c r="A40" s="1"/>
      <c r="B40" s="1"/>
      <c r="C40" s="1"/>
      <c r="D40" s="1"/>
      <c r="E40" s="1"/>
      <c r="F40" s="1"/>
      <c r="G40" s="1"/>
      <c r="H40" s="1"/>
      <c r="I40" s="1"/>
      <c r="J40" s="1"/>
      <c r="K40" s="1"/>
      <c r="L40" s="1"/>
      <c r="M40" s="1"/>
      <c r="N40" s="1"/>
      <c r="O40" s="1"/>
      <c r="P40" s="1"/>
      <c r="Q40" s="1"/>
    </row>
    <row r="41" spans="1:17" ht="18.95" customHeight="1" x14ac:dyDescent="0.25">
      <c r="A41" s="1"/>
      <c r="B41" s="1"/>
      <c r="C41" s="1"/>
      <c r="D41" s="1"/>
      <c r="E41" s="1"/>
      <c r="F41" s="1"/>
      <c r="G41" s="1"/>
      <c r="H41" s="1"/>
      <c r="I41" s="1"/>
      <c r="J41" s="1"/>
      <c r="K41" s="1"/>
      <c r="L41" s="1"/>
      <c r="M41" s="1"/>
      <c r="N41" s="1"/>
      <c r="O41" s="1"/>
      <c r="P41" s="1"/>
      <c r="Q41" s="1"/>
    </row>
    <row r="42" spans="1:17" ht="18.95" customHeight="1" x14ac:dyDescent="0.25">
      <c r="A42" s="1"/>
      <c r="B42" s="1"/>
      <c r="C42" s="1"/>
      <c r="D42" s="1"/>
      <c r="E42" s="1"/>
      <c r="F42" s="1"/>
      <c r="G42" s="1"/>
      <c r="H42" s="1"/>
      <c r="I42" s="1"/>
      <c r="J42" s="1"/>
      <c r="K42" s="1"/>
      <c r="L42" s="1"/>
      <c r="M42" s="1"/>
      <c r="N42" s="1"/>
      <c r="O42" s="1"/>
      <c r="P42" s="1"/>
      <c r="Q42" s="1"/>
    </row>
    <row r="43" spans="1:17" ht="18.95" customHeight="1" x14ac:dyDescent="0.25">
      <c r="A43" s="1"/>
      <c r="B43" s="1"/>
      <c r="C43" s="1"/>
      <c r="D43" s="1"/>
      <c r="E43" s="1"/>
      <c r="F43" s="1"/>
      <c r="G43" s="1"/>
      <c r="H43" s="1"/>
      <c r="I43" s="1"/>
      <c r="J43" s="1"/>
      <c r="K43" s="1"/>
      <c r="L43" s="1"/>
      <c r="M43" s="1"/>
      <c r="N43" s="1"/>
      <c r="O43" s="1"/>
      <c r="P43" s="1"/>
      <c r="Q43" s="1"/>
    </row>
    <row r="44" spans="1:17" ht="18.95" customHeight="1" x14ac:dyDescent="0.25">
      <c r="A44" s="1"/>
      <c r="B44" s="1"/>
      <c r="C44" s="1"/>
      <c r="D44" s="1"/>
      <c r="E44" s="1"/>
      <c r="F44" s="1"/>
      <c r="G44" s="1"/>
      <c r="H44" s="1"/>
      <c r="I44" s="1"/>
      <c r="J44" s="1"/>
      <c r="K44" s="1"/>
      <c r="L44" s="1"/>
      <c r="M44" s="1"/>
      <c r="N44" s="1"/>
      <c r="O44" s="1"/>
      <c r="P44" s="1"/>
      <c r="Q44" s="1"/>
    </row>
    <row r="45" spans="1:17" ht="18.95" customHeight="1" x14ac:dyDescent="0.25">
      <c r="A45" s="1"/>
      <c r="B45" s="1"/>
      <c r="C45" s="1"/>
      <c r="D45" s="1"/>
      <c r="E45" s="1"/>
      <c r="F45" s="1"/>
      <c r="G45" s="1"/>
      <c r="H45" s="1"/>
      <c r="I45" s="1"/>
      <c r="J45" s="1"/>
      <c r="K45" s="1"/>
      <c r="L45" s="1"/>
      <c r="M45" s="1"/>
      <c r="N45" s="1"/>
      <c r="O45" s="1"/>
      <c r="P45" s="1"/>
      <c r="Q45" s="1"/>
    </row>
    <row r="46" spans="1:17" ht="18.95" customHeight="1" x14ac:dyDescent="0.25">
      <c r="A46" s="1"/>
      <c r="B46" s="1"/>
      <c r="C46" s="1"/>
      <c r="D46" s="1"/>
      <c r="E46" s="1"/>
      <c r="F46" s="1"/>
      <c r="G46" s="1"/>
      <c r="H46" s="1"/>
      <c r="I46" s="1"/>
      <c r="J46" s="1"/>
      <c r="K46" s="1"/>
      <c r="L46" s="1"/>
      <c r="M46" s="1"/>
      <c r="N46" s="1"/>
      <c r="O46" s="1"/>
      <c r="P46" s="1"/>
      <c r="Q46" s="1"/>
    </row>
    <row r="47" spans="1:17" ht="18.95" customHeight="1" x14ac:dyDescent="0.25">
      <c r="A47" s="1"/>
      <c r="B47" s="1"/>
      <c r="C47" s="1"/>
      <c r="D47" s="1"/>
      <c r="E47" s="1"/>
      <c r="F47" s="1"/>
      <c r="G47" s="1"/>
      <c r="H47" s="1"/>
      <c r="I47" s="1"/>
      <c r="J47" s="1"/>
      <c r="K47" s="1"/>
      <c r="L47" s="1"/>
      <c r="M47" s="1"/>
      <c r="N47" s="1"/>
      <c r="O47" s="1"/>
      <c r="P47" s="1"/>
      <c r="Q47" s="1"/>
    </row>
    <row r="48" spans="1:17" ht="18.95" customHeight="1" x14ac:dyDescent="0.25">
      <c r="A48" s="1"/>
      <c r="B48" s="1"/>
      <c r="C48" s="1"/>
      <c r="D48" s="1"/>
      <c r="E48" s="1"/>
      <c r="F48" s="1"/>
      <c r="G48" s="1"/>
      <c r="H48" s="1"/>
      <c r="I48" s="1"/>
      <c r="J48" s="1"/>
      <c r="K48" s="1"/>
      <c r="L48" s="1"/>
      <c r="M48" s="1"/>
      <c r="N48" s="1"/>
      <c r="O48" s="1"/>
      <c r="P48" s="1"/>
      <c r="Q48" s="1"/>
    </row>
    <row r="49" spans="1:17" ht="18.95" customHeight="1" x14ac:dyDescent="0.25">
      <c r="A49" s="1"/>
      <c r="B49" s="1"/>
      <c r="C49" s="1"/>
      <c r="D49" s="1"/>
      <c r="E49" s="1"/>
      <c r="F49" s="1"/>
      <c r="G49" s="1"/>
      <c r="H49" s="1"/>
      <c r="I49" s="1"/>
      <c r="J49" s="1"/>
      <c r="K49" s="1"/>
      <c r="L49" s="1"/>
      <c r="M49" s="1"/>
      <c r="N49" s="1"/>
      <c r="O49" s="1"/>
      <c r="P49" s="1"/>
      <c r="Q49" s="1"/>
    </row>
    <row r="50" spans="1:17" ht="18.95" customHeight="1" x14ac:dyDescent="0.25">
      <c r="A50" s="1"/>
      <c r="B50" s="1"/>
      <c r="C50" s="1"/>
      <c r="D50" s="1"/>
      <c r="E50" s="1"/>
      <c r="F50" s="1"/>
      <c r="G50" s="1"/>
      <c r="H50" s="1"/>
      <c r="I50" s="1"/>
      <c r="J50" s="1"/>
      <c r="K50" s="1"/>
      <c r="L50" s="1"/>
      <c r="M50" s="1"/>
      <c r="N50" s="1"/>
      <c r="O50" s="1"/>
      <c r="P50" s="1"/>
      <c r="Q50" s="1"/>
    </row>
    <row r="51" spans="1:17" ht="18.95" customHeight="1" x14ac:dyDescent="0.25">
      <c r="A51" s="1"/>
      <c r="B51" s="1"/>
      <c r="C51" s="1"/>
      <c r="D51" s="1"/>
      <c r="E51" s="1"/>
      <c r="F51" s="1"/>
      <c r="G51" s="1"/>
      <c r="H51" s="1"/>
      <c r="I51" s="1"/>
      <c r="J51" s="1"/>
      <c r="K51" s="1"/>
      <c r="L51" s="1"/>
      <c r="M51" s="1"/>
      <c r="N51" s="1"/>
      <c r="O51" s="1"/>
      <c r="P51" s="1"/>
      <c r="Q51" s="1"/>
    </row>
    <row r="52" spans="1:17" ht="18.95" customHeight="1" x14ac:dyDescent="0.25">
      <c r="A52" s="1"/>
      <c r="B52" s="16" t="s">
        <v>33473</v>
      </c>
      <c r="C52" s="16"/>
      <c r="D52" s="16"/>
      <c r="E52" s="16"/>
      <c r="F52" s="16"/>
      <c r="G52" s="16"/>
      <c r="H52" s="16"/>
      <c r="I52" s="16"/>
      <c r="J52" s="16"/>
      <c r="K52" s="16"/>
      <c r="L52" s="16"/>
      <c r="M52" s="16"/>
      <c r="N52" s="16"/>
      <c r="O52" s="16"/>
      <c r="P52" s="16"/>
      <c r="Q52" s="1"/>
    </row>
    <row r="53" spans="1:17" ht="18.95" customHeight="1" x14ac:dyDescent="0.25">
      <c r="A53" s="1"/>
      <c r="B53" s="17" t="s">
        <v>33474</v>
      </c>
      <c r="C53" s="17"/>
      <c r="D53" s="17"/>
      <c r="E53" s="17"/>
      <c r="F53" s="17"/>
      <c r="G53" s="17"/>
      <c r="H53" s="17"/>
      <c r="I53" s="17"/>
      <c r="J53" s="17"/>
      <c r="K53" s="17"/>
      <c r="L53" s="17"/>
      <c r="M53" s="17"/>
      <c r="N53" s="17"/>
      <c r="O53" s="17"/>
      <c r="P53" s="17"/>
      <c r="Q53" s="1"/>
    </row>
    <row r="54" spans="1:17" ht="18.95" customHeight="1" x14ac:dyDescent="0.25">
      <c r="A54" s="1"/>
      <c r="B54" s="1"/>
      <c r="C54" s="1"/>
      <c r="D54" s="1"/>
      <c r="E54" s="1"/>
      <c r="F54" s="1"/>
      <c r="G54" s="1"/>
      <c r="H54" s="1"/>
      <c r="I54" s="1"/>
      <c r="J54" s="1"/>
      <c r="K54" s="1"/>
      <c r="L54" s="1"/>
      <c r="M54" s="1"/>
      <c r="N54" s="1"/>
      <c r="O54" s="1"/>
      <c r="P54" s="1"/>
      <c r="Q54" s="1"/>
    </row>
    <row r="55" spans="1:17" ht="24" customHeight="1" x14ac:dyDescent="0.25">
      <c r="A55" s="1"/>
      <c r="B55" s="11" t="str">
        <f>HYPERLINK("#'post-audit-active-backlog-statu'!A1620",'post-audit-active-backlog-statu'!A1620&amp;"  |  "&amp;'post-audit-active-backlog-statu'!D1620&amp;"  |  "&amp;'post-audit-active-backlog-statu'!J1620)</f>
        <v>RB-06806  |  PvP Consent  |  BlockedForReorganizationOnly</v>
      </c>
      <c r="C55" s="12"/>
      <c r="D55" s="12"/>
      <c r="E55" s="12"/>
      <c r="F55" s="12"/>
      <c r="G55" s="12"/>
      <c r="H55" s="12"/>
      <c r="I55" s="12"/>
      <c r="J55" s="12"/>
      <c r="K55" s="12"/>
      <c r="L55" s="12"/>
      <c r="M55" s="12"/>
      <c r="N55" s="12"/>
      <c r="O55" s="12"/>
      <c r="P55" s="12"/>
      <c r="Q55" s="1"/>
    </row>
    <row r="56" spans="1:17" ht="24" customHeight="1" x14ac:dyDescent="0.25">
      <c r="A56" s="1"/>
      <c r="B56" s="11" t="str">
        <f>HYPERLINK("#'post-audit-active-backlog-statu'!A1622",'post-audit-active-backlog-statu'!A1622&amp;"  |  "&amp;'post-audit-active-backlog-statu'!D1622&amp;"  |  "&amp;'post-audit-active-backlog-statu'!J1622)</f>
        <v>RB-06808  |  Invasion  |  BlockedForReorganizationOnly</v>
      </c>
      <c r="C56" s="12"/>
      <c r="D56" s="12"/>
      <c r="E56" s="12"/>
      <c r="F56" s="12"/>
      <c r="G56" s="12"/>
      <c r="H56" s="12"/>
      <c r="I56" s="12"/>
      <c r="J56" s="12"/>
      <c r="K56" s="12"/>
      <c r="L56" s="12"/>
      <c r="M56" s="12"/>
      <c r="N56" s="12"/>
      <c r="O56" s="12"/>
      <c r="P56" s="12"/>
      <c r="Q56" s="1"/>
    </row>
    <row r="57" spans="1:17" ht="24" customHeight="1" x14ac:dyDescent="0.25">
      <c r="A57" s="1"/>
      <c r="B57" s="11" t="str">
        <f>HYPERLINK("#'post-audit-active-backlog-statu'!A1623",'post-audit-active-backlog-statu'!A1623&amp;"  |  "&amp;'post-audit-active-backlog-statu'!D1623&amp;"  |  "&amp;'post-audit-active-backlog-statu'!J1623)</f>
        <v>RB-06813  |  XMLSpawner  |  BlockedForReorganizationOnly</v>
      </c>
      <c r="C57" s="12"/>
      <c r="D57" s="12"/>
      <c r="E57" s="12"/>
      <c r="F57" s="12"/>
      <c r="G57" s="12"/>
      <c r="H57" s="12"/>
      <c r="I57" s="12"/>
      <c r="J57" s="12"/>
      <c r="K57" s="12"/>
      <c r="L57" s="12"/>
      <c r="M57" s="12"/>
      <c r="N57" s="12"/>
      <c r="O57" s="12"/>
      <c r="P57" s="12"/>
      <c r="Q57" s="1"/>
    </row>
    <row r="58" spans="1:17" ht="24" customHeight="1" x14ac:dyDescent="0.25">
      <c r="A58" s="1"/>
      <c r="B58" s="11" t="str">
        <f>HYPERLINK("#'post-audit-active-backlog-statu'!A1624",'post-audit-active-backlog-statu'!A1624&amp;"  |  "&amp;'post-audit-active-backlog-statu'!D1624&amp;"  |  "&amp;'post-audit-active-backlog-statu'!J1624)</f>
        <v>RB-06807  |  Government  |  BlockedForReorganizationOnly</v>
      </c>
      <c r="C58" s="12"/>
      <c r="D58" s="12"/>
      <c r="E58" s="12"/>
      <c r="F58" s="12"/>
      <c r="G58" s="12"/>
      <c r="H58" s="12"/>
      <c r="I58" s="12"/>
      <c r="J58" s="12"/>
      <c r="K58" s="12"/>
      <c r="L58" s="12"/>
      <c r="M58" s="12"/>
      <c r="N58" s="12"/>
      <c r="O58" s="12"/>
      <c r="P58" s="12"/>
      <c r="Q58" s="1"/>
    </row>
    <row r="59" spans="1:17" ht="24" customHeight="1" x14ac:dyDescent="0.25">
      <c r="A59" s="1"/>
      <c r="B59" s="11" t="str">
        <f>HYPERLINK("#'post-audit-active-backlog-statu'!A1625",'post-audit-active-backlog-statu'!A1625&amp;"  |  "&amp;'post-audit-active-backlog-statu'!D1625&amp;"  |  "&amp;'post-audit-active-backlog-statu'!J1625)</f>
        <v>RB-06803  |  Offline Skill Training  |  BlockedForReorganizationOnly</v>
      </c>
      <c r="C59" s="12"/>
      <c r="D59" s="12"/>
      <c r="E59" s="12"/>
      <c r="F59" s="12"/>
      <c r="G59" s="12"/>
      <c r="H59" s="12"/>
      <c r="I59" s="12"/>
      <c r="J59" s="12"/>
      <c r="K59" s="12"/>
      <c r="L59" s="12"/>
      <c r="M59" s="12"/>
      <c r="N59" s="12"/>
      <c r="O59" s="12"/>
      <c r="P59" s="12"/>
      <c r="Q59" s="1"/>
    </row>
    <row r="60" spans="1:17" ht="24" customHeight="1" x14ac:dyDescent="0.25">
      <c r="A60" s="1"/>
      <c r="B60" s="11" t="str">
        <f>HYPERLINK("#'post-audit-active-backlog-statu'!A1626",'post-audit-active-backlog-statu'!A1626&amp;"  |  "&amp;'post-audit-active-backlog-statu'!D1626&amp;"  |  "&amp;'post-audit-active-backlog-statu'!J1626)</f>
        <v>RB-06814  |  Homestead  |  BlockedForReorganizationOnly</v>
      </c>
      <c r="C60" s="12"/>
      <c r="D60" s="12"/>
      <c r="E60" s="12"/>
      <c r="F60" s="12"/>
      <c r="G60" s="12"/>
      <c r="H60" s="12"/>
      <c r="I60" s="12"/>
      <c r="J60" s="12"/>
      <c r="K60" s="12"/>
      <c r="L60" s="12"/>
      <c r="M60" s="12"/>
      <c r="N60" s="12"/>
      <c r="O60" s="12"/>
      <c r="P60" s="12"/>
      <c r="Q60" s="1"/>
    </row>
    <row r="61" spans="1:17" ht="24" customHeight="1" x14ac:dyDescent="0.25">
      <c r="A61" s="1"/>
      <c r="B61" s="11" t="str">
        <f>HYPERLINK("#'post-audit-active-backlog-statu'!A2137",'post-audit-active-backlog-statu'!A2137&amp;"  |  "&amp;'post-audit-active-backlog-statu'!D2137&amp;"  |  "&amp;'post-audit-active-backlog-statu'!J2137)</f>
        <v>RB-00724  |  Items:Houses  |  BlockedForSerializerMigrationOnly</v>
      </c>
      <c r="C61" s="12"/>
      <c r="D61" s="12"/>
      <c r="E61" s="12"/>
      <c r="F61" s="12"/>
      <c r="G61" s="12"/>
      <c r="H61" s="12"/>
      <c r="I61" s="12"/>
      <c r="J61" s="12"/>
      <c r="K61" s="12"/>
      <c r="L61" s="12"/>
      <c r="M61" s="12"/>
      <c r="N61" s="12"/>
      <c r="O61" s="12"/>
      <c r="P61" s="12"/>
      <c r="Q61" s="1"/>
    </row>
    <row r="62" spans="1:17" ht="18.95" customHeight="1" x14ac:dyDescent="0.25">
      <c r="A62" s="1"/>
      <c r="B62" s="1"/>
      <c r="C62" s="1"/>
      <c r="D62" s="1"/>
      <c r="E62" s="1"/>
      <c r="F62" s="1"/>
      <c r="G62" s="1"/>
      <c r="H62" s="1"/>
      <c r="I62" s="1"/>
      <c r="J62" s="1"/>
      <c r="K62" s="1"/>
      <c r="L62" s="1"/>
      <c r="M62" s="1"/>
      <c r="N62" s="1"/>
      <c r="O62" s="1"/>
      <c r="P62" s="1"/>
      <c r="Q62" s="1"/>
    </row>
    <row r="63" spans="1:17" ht="18.95" customHeight="1" x14ac:dyDescent="0.25">
      <c r="A63" s="1"/>
      <c r="B63" s="13" t="s">
        <v>33475</v>
      </c>
      <c r="C63" s="13"/>
      <c r="D63" s="13"/>
      <c r="E63" s="13"/>
      <c r="F63" s="13"/>
      <c r="G63" s="13"/>
      <c r="H63" s="13"/>
      <c r="I63" s="13"/>
      <c r="J63" s="13"/>
      <c r="K63" s="13"/>
      <c r="L63" s="13"/>
      <c r="M63" s="13"/>
      <c r="N63" s="13"/>
      <c r="O63" s="13"/>
      <c r="P63" s="13"/>
      <c r="Q63" s="1"/>
    </row>
    <row r="64" spans="1:17" ht="23.1" customHeight="1" x14ac:dyDescent="0.25">
      <c r="A64" s="1"/>
      <c r="B64" s="9" t="s">
        <v>33476</v>
      </c>
      <c r="C64" s="9"/>
      <c r="D64" s="9"/>
      <c r="E64" s="9"/>
      <c r="F64" s="9"/>
      <c r="G64" s="9"/>
      <c r="H64" s="9"/>
      <c r="I64" s="9"/>
      <c r="J64" s="9"/>
      <c r="K64" s="9"/>
      <c r="L64" s="9"/>
      <c r="M64" s="9"/>
      <c r="N64" s="9"/>
      <c r="O64" s="9"/>
      <c r="P64" s="9"/>
      <c r="Q64" s="1"/>
    </row>
    <row r="65" spans="1:17" ht="23.1" customHeight="1" x14ac:dyDescent="0.25">
      <c r="A65" s="1"/>
      <c r="B65" s="9" t="s">
        <v>33477</v>
      </c>
      <c r="C65" s="9"/>
      <c r="D65" s="9"/>
      <c r="E65" s="9"/>
      <c r="F65" s="9"/>
      <c r="G65" s="9"/>
      <c r="H65" s="9"/>
      <c r="I65" s="9"/>
      <c r="J65" s="9"/>
      <c r="K65" s="9"/>
      <c r="L65" s="9"/>
      <c r="M65" s="9"/>
      <c r="N65" s="9"/>
      <c r="O65" s="9"/>
      <c r="P65" s="9"/>
      <c r="Q65" s="1"/>
    </row>
    <row r="66" spans="1:17" ht="23.1" customHeight="1" x14ac:dyDescent="0.25">
      <c r="A66" s="1"/>
      <c r="B66" s="9" t="s">
        <v>33478</v>
      </c>
      <c r="C66" s="9"/>
      <c r="D66" s="9"/>
      <c r="E66" s="9"/>
      <c r="F66" s="9"/>
      <c r="G66" s="9"/>
      <c r="H66" s="9"/>
      <c r="I66" s="9"/>
      <c r="J66" s="9"/>
      <c r="K66" s="9"/>
      <c r="L66" s="9"/>
      <c r="M66" s="9"/>
      <c r="N66" s="9"/>
      <c r="O66" s="9"/>
      <c r="P66" s="9"/>
      <c r="Q66" s="1"/>
    </row>
    <row r="67" spans="1:17" ht="23.1" customHeight="1" x14ac:dyDescent="0.25">
      <c r="A67" s="1"/>
      <c r="C67" s="9"/>
      <c r="D67" s="9"/>
      <c r="E67" s="9"/>
      <c r="F67" s="9"/>
      <c r="G67" s="9"/>
      <c r="H67" s="9"/>
      <c r="I67" s="9"/>
      <c r="J67" s="9"/>
      <c r="K67" s="9"/>
      <c r="L67" s="9"/>
      <c r="M67" s="9"/>
      <c r="N67" s="9"/>
      <c r="O67" s="9"/>
      <c r="P67" s="9"/>
      <c r="Q67" s="1"/>
      <c r="B67" s="14" t="inlineStr">
        <is>
          <t xml:space="preserve">Source: post-audit-active-backlog-status.csv | 6,831 records. Repair reports distinguish local verification from deployment.</t>
        </is>
      </c>
    </row>
    <row r="68" spans="1:17" ht="23.1" customHeight="1" x14ac:dyDescent="0.25">
      <c r="A68" s="1"/>
      <c r="B68" s="9" t="s">
        <v>33480</v>
      </c>
      <c r="C68" s="9"/>
      <c r="D68" s="9"/>
      <c r="E68" s="9"/>
      <c r="F68" s="9"/>
      <c r="G68" s="9"/>
      <c r="H68" s="9"/>
      <c r="I68" s="9"/>
      <c r="J68" s="9"/>
      <c r="K68" s="9"/>
      <c r="L68" s="9"/>
      <c r="M68" s="9"/>
      <c r="N68" s="9"/>
      <c r="O68" s="9"/>
      <c r="P68" s="9"/>
      <c r="Q68" s="1"/>
    </row>
    <row r="69" spans="1:17" ht="18.95" customHeight="1" x14ac:dyDescent="0.25">
      <c r="A69" s="1"/>
      <c r="B69" s="1"/>
      <c r="C69" s="1"/>
      <c r="D69" s="1"/>
      <c r="E69" s="1"/>
      <c r="F69" s="1"/>
      <c r="G69" s="1"/>
      <c r="H69" s="1"/>
      <c r="I69" s="1"/>
      <c r="J69" s="1"/>
      <c r="K69" s="1"/>
      <c r="L69" s="1"/>
      <c r="M69" s="1"/>
      <c r="N69" s="1"/>
      <c r="O69" s="1"/>
      <c r="P69" s="1"/>
      <c r="Q69" s="1"/>
    </row>
    <row r="70" spans="1:17" ht="18.95" customHeight="1" x14ac:dyDescent="0.25">
      <c r="A70" s="1"/>
      <c r="B70" s="10" t="s">
        <v>33481</v>
      </c>
      <c r="C70" s="10"/>
      <c r="D70" s="10"/>
      <c r="E70" s="10"/>
      <c r="F70" s="10"/>
      <c r="G70" s="10"/>
      <c r="H70" s="10"/>
      <c r="I70" s="10"/>
      <c r="J70" s="10"/>
      <c r="K70" s="10"/>
      <c r="L70" s="10"/>
      <c r="M70" s="10"/>
      <c r="N70" s="10"/>
      <c r="O70" s="10"/>
      <c r="P70" s="10"/>
      <c r="Q70" s="1"/>
    </row>
    <row r="71" spans="1:17" ht="18.95" customHeight="1" x14ac:dyDescent="0.25">
      <c r="A71" s="1"/>
      <c r="B71" s="1"/>
      <c r="C71" s="1"/>
      <c r="D71" s="1"/>
      <c r="E71" s="1"/>
      <c r="F71" s="1"/>
      <c r="G71" s="1"/>
      <c r="H71" s="1"/>
      <c r="I71" s="1"/>
      <c r="J71" s="1"/>
      <c r="K71" s="1"/>
      <c r="L71" s="1"/>
      <c r="M71" s="1"/>
      <c r="N71" s="1"/>
      <c r="O71" s="1"/>
      <c r="P71" s="1"/>
      <c r="Q71" s="1"/>
    </row>
    <row r="72" spans="1:17" ht="18.95" customHeight="1" x14ac:dyDescent="0.25">
      <c r="A72" s="1"/>
      <c r="B72" s="1"/>
      <c r="C72" s="1"/>
      <c r="D72" s="1"/>
      <c r="E72" s="1"/>
      <c r="F72" s="1"/>
      <c r="G72" s="1"/>
      <c r="H72" s="1"/>
      <c r="I72" s="1"/>
      <c r="J72" s="1"/>
      <c r="K72" s="1"/>
      <c r="L72" s="1"/>
      <c r="M72" s="1"/>
      <c r="N72" s="1"/>
      <c r="O72" s="1"/>
      <c r="P72" s="1"/>
      <c r="Q72" s="1"/>
    </row>
    <row r="73" spans="1:17" ht="18.95" customHeight="1" x14ac:dyDescent="0.25">
      <c r="A73" s="1"/>
      <c r="B73" s="1"/>
      <c r="C73" s="1"/>
      <c r="D73" s="1"/>
      <c r="E73" s="1"/>
      <c r="F73" s="1"/>
      <c r="G73" s="1"/>
      <c r="H73" s="1"/>
      <c r="I73" s="1"/>
      <c r="J73" s="1"/>
      <c r="K73" s="1"/>
      <c r="L73" s="1"/>
      <c r="M73" s="1"/>
      <c r="N73" s="1"/>
      <c r="O73" s="1"/>
      <c r="P73" s="1"/>
      <c r="Q73" s="1"/>
    </row>
    <row r="74" spans="1:17" ht="18.95" customHeight="1" x14ac:dyDescent="0.25">
      <c r="A74" s="1"/>
      <c r="B74" s="1"/>
      <c r="C74" s="1"/>
      <c r="D74" s="1"/>
      <c r="E74" s="1"/>
      <c r="F74" s="1"/>
      <c r="G74" s="1"/>
      <c r="H74" s="1"/>
      <c r="I74" s="1"/>
      <c r="J74" s="1"/>
      <c r="K74" s="1"/>
      <c r="L74" s="1"/>
      <c r="M74" s="1"/>
      <c r="N74" s="1"/>
      <c r="O74" s="1"/>
      <c r="P74" s="1"/>
      <c r="Q74" s="1"/>
    </row>
    <row r="75" spans="1:17" ht="18.95" customHeight="1" x14ac:dyDescent="0.25">
      <c r="A75" s="1"/>
      <c r="B75" s="1"/>
      <c r="C75" s="1"/>
      <c r="D75" s="1"/>
      <c r="E75" s="1"/>
      <c r="F75" s="1"/>
      <c r="G75" s="1"/>
      <c r="H75" s="1"/>
      <c r="I75" s="1"/>
      <c r="J75" s="1"/>
      <c r="K75" s="1"/>
      <c r="L75" s="1"/>
      <c r="M75" s="1"/>
      <c r="N75" s="1"/>
      <c r="O75" s="1"/>
      <c r="P75" s="1"/>
      <c r="Q75" s="1"/>
    </row>
    <row r="76" spans="1:17" ht="18.95" customHeight="1" x14ac:dyDescent="0.25">
      <c r="A76" s="1"/>
      <c r="B76" s="1"/>
      <c r="C76" s="1"/>
      <c r="D76" s="1"/>
      <c r="E76" s="1"/>
      <c r="F76" s="1"/>
      <c r="G76" s="1"/>
      <c r="H76" s="1"/>
      <c r="I76" s="1"/>
      <c r="J76" s="1"/>
      <c r="K76" s="1"/>
      <c r="L76" s="1"/>
      <c r="M76" s="1"/>
      <c r="N76" s="1"/>
      <c r="O76" s="1"/>
      <c r="P76" s="1"/>
      <c r="Q76" s="1"/>
    </row>
    <row r="77" spans="1:17" x14ac:dyDescent="0.25">
      <c r="A77" s="1"/>
      <c r="B77" s="1"/>
      <c r="C77" s="1"/>
      <c r="D77" s="1"/>
      <c r="E77" s="1"/>
      <c r="F77" s="1"/>
      <c r="G77" s="1"/>
      <c r="H77" s="1"/>
      <c r="I77" s="1"/>
      <c r="J77" s="1"/>
      <c r="K77" s="1"/>
      <c r="L77" s="1"/>
      <c r="M77" s="1"/>
      <c r="N77" s="1"/>
      <c r="O77" s="1"/>
      <c r="P77" s="1"/>
      <c r="Q77" s="1"/>
    </row>
    <row r="78" spans="1:17" x14ac:dyDescent="0.25">
      <c r="A78" s="1"/>
      <c r="B78" s="1"/>
      <c r="C78" s="1"/>
      <c r="D78" s="1"/>
      <c r="E78" s="1"/>
      <c r="F78" s="1"/>
      <c r="G78" s="1"/>
      <c r="H78" s="1"/>
      <c r="I78" s="1"/>
      <c r="J78" s="1"/>
      <c r="K78" s="1"/>
      <c r="L78" s="1"/>
      <c r="M78" s="1"/>
      <c r="N78" s="1"/>
      <c r="O78" s="1"/>
      <c r="P78" s="1"/>
      <c r="Q78" s="1"/>
    </row>
    <row r="79" spans="1:17" x14ac:dyDescent="0.25">
      <c r="A79" s="1"/>
      <c r="B79" s="1"/>
      <c r="C79" s="1"/>
      <c r="D79" s="1"/>
      <c r="E79" s="1"/>
      <c r="F79" s="1"/>
      <c r="G79" s="1"/>
      <c r="H79" s="1"/>
      <c r="I79" s="1"/>
      <c r="J79" s="1"/>
      <c r="K79" s="1"/>
      <c r="L79" s="1"/>
      <c r="M79" s="1"/>
      <c r="N79" s="1"/>
      <c r="O79" s="1"/>
      <c r="P79" s="1"/>
      <c r="Q79" s="1"/>
    </row>
    <row r="80" spans="1:17" x14ac:dyDescent="0.25">
      <c r="A80" s="1"/>
      <c r="B80" s="1"/>
      <c r="C80" s="1"/>
      <c r="D80" s="1"/>
      <c r="E80" s="1"/>
      <c r="F80" s="1"/>
      <c r="G80" s="1"/>
      <c r="H80" s="1"/>
      <c r="I80" s="1"/>
      <c r="J80" s="1"/>
      <c r="K80" s="1"/>
      <c r="L80" s="1"/>
      <c r="M80" s="1"/>
      <c r="N80" s="1"/>
      <c r="O80" s="1"/>
      <c r="P80" s="1"/>
      <c r="Q80" s="1"/>
    </row>
    <row r="81" spans="1:17" x14ac:dyDescent="0.25">
      <c r="A81" s="1"/>
      <c r="B81" s="1"/>
      <c r="C81" s="1"/>
      <c r="D81" s="1"/>
      <c r="E81" s="1"/>
      <c r="F81" s="1"/>
      <c r="G81" s="1"/>
      <c r="H81" s="1"/>
      <c r="I81" s="1"/>
      <c r="J81" s="1"/>
      <c r="K81" s="1"/>
      <c r="L81" s="1"/>
      <c r="M81" s="1"/>
      <c r="N81" s="1"/>
      <c r="O81" s="1"/>
      <c r="P81" s="1"/>
      <c r="Q81" s="1"/>
    </row>
    <row r="82" spans="1:17" x14ac:dyDescent="0.25">
      <c r="A82" s="1"/>
      <c r="B82" s="1"/>
      <c r="C82" s="1"/>
      <c r="D82" s="1"/>
      <c r="E82" s="1"/>
      <c r="F82" s="1"/>
      <c r="G82" s="1"/>
      <c r="H82" s="1"/>
      <c r="I82" s="1"/>
      <c r="J82" s="1"/>
      <c r="K82" s="1"/>
      <c r="L82" s="1"/>
      <c r="M82" s="1"/>
      <c r="N82" s="1"/>
      <c r="O82" s="1"/>
      <c r="P82" s="1"/>
      <c r="Q82" s="1"/>
    </row>
    <row r="83" spans="1:17" x14ac:dyDescent="0.25">
      <c r="A83" s="1"/>
      <c r="B83" s="1"/>
      <c r="C83" s="1"/>
      <c r="D83" s="1"/>
      <c r="E83" s="1"/>
      <c r="F83" s="1"/>
      <c r="G83" s="1"/>
      <c r="H83" s="1"/>
      <c r="I83" s="1"/>
      <c r="J83" s="1"/>
      <c r="K83" s="1"/>
      <c r="L83" s="1"/>
      <c r="M83" s="1"/>
      <c r="N83" s="1"/>
      <c r="O83" s="1"/>
      <c r="P83" s="1"/>
      <c r="Q83" s="1"/>
    </row>
    <row r="84" spans="1:17" x14ac:dyDescent="0.25">
      <c r="A84" s="1"/>
      <c r="B84" s="1"/>
      <c r="C84" s="1"/>
      <c r="D84" s="1"/>
      <c r="E84" s="1"/>
      <c r="F84" s="1"/>
      <c r="G84" s="1"/>
      <c r="H84" s="1"/>
      <c r="I84" s="1"/>
      <c r="J84" s="1"/>
      <c r="K84" s="1"/>
      <c r="L84" s="1"/>
      <c r="M84" s="1"/>
      <c r="N84" s="1"/>
      <c r="O84" s="1"/>
      <c r="P84" s="1"/>
      <c r="Q84" s="1"/>
    </row>
    <row r="85" spans="1:17" x14ac:dyDescent="0.25">
      <c r="A85" s="1"/>
      <c r="B85" s="1"/>
      <c r="C85" s="1"/>
      <c r="D85" s="1"/>
      <c r="E85" s="1"/>
      <c r="F85" s="1"/>
      <c r="G85" s="1"/>
      <c r="H85" s="1"/>
      <c r="I85" s="1"/>
      <c r="J85" s="1"/>
      <c r="K85" s="1"/>
      <c r="L85" s="1"/>
      <c r="M85" s="1"/>
      <c r="N85" s="1"/>
      <c r="O85" s="1"/>
      <c r="P85" s="1"/>
      <c r="Q85" s="1"/>
    </row>
    <row r="86" spans="1:17" x14ac:dyDescent="0.25">
      <c r="A86" s="1"/>
      <c r="B86" s="1"/>
      <c r="C86" s="1"/>
      <c r="D86" s="1"/>
      <c r="E86" s="1"/>
      <c r="F86" s="1"/>
      <c r="G86" s="1"/>
      <c r="H86" s="1"/>
      <c r="I86" s="1"/>
      <c r="J86" s="1"/>
      <c r="K86" s="1"/>
      <c r="L86" s="1"/>
      <c r="M86" s="1"/>
      <c r="N86" s="1"/>
      <c r="O86" s="1"/>
      <c r="P86" s="1"/>
      <c r="Q86" s="1"/>
    </row>
    <row r="87" spans="1:17" x14ac:dyDescent="0.25">
      <c r="A87" s="1"/>
      <c r="B87" s="1"/>
      <c r="C87" s="1"/>
      <c r="D87" s="1"/>
      <c r="E87" s="1"/>
      <c r="F87" s="1"/>
      <c r="G87" s="1"/>
      <c r="H87" s="1"/>
      <c r="I87" s="1"/>
      <c r="J87" s="1"/>
      <c r="K87" s="1"/>
      <c r="L87" s="1"/>
      <c r="M87" s="1"/>
      <c r="N87" s="1"/>
      <c r="O87" s="1"/>
      <c r="P87" s="1"/>
      <c r="Q87" s="1"/>
    </row>
    <row r="88" spans="1:17" x14ac:dyDescent="0.25">
      <c r="A88" s="1"/>
      <c r="B88" s="1"/>
      <c r="C88" s="1"/>
      <c r="D88" s="1"/>
      <c r="E88" s="1"/>
      <c r="F88" s="1"/>
      <c r="G88" s="1"/>
      <c r="H88" s="1"/>
      <c r="I88" s="1"/>
      <c r="J88" s="1"/>
      <c r="K88" s="1"/>
      <c r="L88" s="1"/>
      <c r="M88" s="1"/>
      <c r="N88" s="1"/>
      <c r="O88" s="1"/>
      <c r="P88" s="1"/>
      <c r="Q88" s="1"/>
    </row>
    <row r="89" spans="1:17" x14ac:dyDescent="0.25">
      <c r="A89" s="1"/>
      <c r="B89" s="1"/>
      <c r="C89" s="1"/>
      <c r="D89" s="1"/>
      <c r="E89" s="1"/>
      <c r="F89" s="1"/>
      <c r="G89" s="1"/>
      <c r="H89" s="1"/>
      <c r="I89" s="1"/>
      <c r="J89" s="1"/>
      <c r="K89" s="1"/>
      <c r="L89" s="1"/>
      <c r="M89" s="1"/>
      <c r="N89" s="1"/>
      <c r="O89" s="1"/>
      <c r="P89" s="1"/>
      <c r="Q89" s="1"/>
    </row>
    <row r="90" spans="1:17" x14ac:dyDescent="0.25">
      <c r="A90" s="1"/>
      <c r="B90" s="1"/>
      <c r="C90" s="1"/>
      <c r="D90" s="1"/>
      <c r="E90" s="1"/>
      <c r="F90" s="1"/>
      <c r="G90" s="1"/>
      <c r="H90" s="1"/>
      <c r="I90" s="1"/>
      <c r="J90" s="1"/>
      <c r="K90" s="1"/>
      <c r="L90" s="1"/>
      <c r="M90" s="1"/>
      <c r="N90" s="1"/>
      <c r="O90" s="1"/>
      <c r="P90" s="1"/>
      <c r="Q90" s="1"/>
    </row>
  </sheetData>
  <mergeCells count="36">
    <mergeCell ref="B10:P10"/>
    <mergeCell ref="B1:P2"/>
    <mergeCell ref="B3:P3"/>
    <mergeCell ref="B5:D5"/>
    <mergeCell ref="B6:D7"/>
    <mergeCell ref="F5:H5"/>
    <mergeCell ref="F6:H7"/>
    <mergeCell ref="J5:L5"/>
    <mergeCell ref="J6:L7"/>
    <mergeCell ref="N5:P5"/>
    <mergeCell ref="N6:P7"/>
    <mergeCell ref="B9:P9"/>
    <mergeCell ref="B8:D8"/>
    <mergeCell ref="F8:H8"/>
    <mergeCell ref="J8:L8"/>
    <mergeCell ref="N8:P8"/>
    <mergeCell ref="B60:P60"/>
    <mergeCell ref="B11:P11"/>
    <mergeCell ref="B12:P12"/>
    <mergeCell ref="B13:P13"/>
    <mergeCell ref="B14:P14"/>
    <mergeCell ref="B52:P52"/>
    <mergeCell ref="B53:P53"/>
    <mergeCell ref="B55:P55"/>
    <mergeCell ref="B56:P56"/>
    <mergeCell ref="B57:P57"/>
    <mergeCell ref="B58:P58"/>
    <mergeCell ref="B59:P59"/>
    <mergeCell ref="B68:P68"/>
    <mergeCell ref="B70:P70"/>
    <mergeCell ref="B61:P61"/>
    <mergeCell ref="B63:P63"/>
    <mergeCell ref="B64:P64"/>
    <mergeCell ref="B65:P65"/>
    <mergeCell ref="B66:P66"/>
    <mergeCell ref="B67:P6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C79F-A2E0-450D-A191-3A636BBD3D07}">
  <sheetPr>
    <tabColor rgb="FF6C8796"/>
  </sheetPr>
  <dimension ref="A1:V245"/>
  <sheetViews>
    <sheetView showGridLines="0" tabSelected="1" workbookViewId="0">
      <selection sqref="A1:K1"/>
    </sheetView>
  </sheetViews>
  <sheetFormatPr defaultRowHeight="15" x14ac:dyDescent="0.25"/>
  <cols>
    <col min="1" max="1" width="34.28515625" customWidth="1"/>
    <col min="2" max="2" width="17.5703125" customWidth="1"/>
    <col min="3" max="3" width="18.5703125" customWidth="1"/>
    <col min="4" max="4" width="45.7109375" customWidth="1"/>
    <col min="5" max="5" width="3.42578125" customWidth="1"/>
    <col min="6" max="6" width="40" customWidth="1"/>
    <col min="7" max="8" width="17.5703125" customWidth="1"/>
    <col min="9" max="10" width="19.85546875" customWidth="1"/>
    <col min="11" max="11" width="17.5703125" customWidth="1"/>
    <col min="12" max="12" width="3.42578125" customWidth="1"/>
    <col min="13" max="13" width="36.140625" customWidth="1"/>
    <col min="14" max="16" width="17.5703125" customWidth="1"/>
    <col min="17" max="17" width="19.85546875" customWidth="1"/>
    <col min="18" max="18" width="17.5703125" customWidth="1"/>
    <col min="19" max="19" width="3.42578125" customWidth="1"/>
    <col min="20" max="20" width="21.85546875" customWidth="1"/>
    <col min="21" max="21" width="16.140625" customWidth="1"/>
  </cols>
  <sheetData>
    <row r="1" spans="1:22" ht="32.1" customHeight="1" x14ac:dyDescent="0.35">
      <c r="A1" s="25" t="s">
        <v>33440</v>
      </c>
      <c r="B1" s="25"/>
      <c r="C1" s="25"/>
      <c r="D1" s="25"/>
      <c r="E1" s="25"/>
      <c r="F1" s="25"/>
      <c r="G1" s="25"/>
      <c r="H1" s="25"/>
      <c r="I1" s="25"/>
      <c r="J1" s="25"/>
      <c r="K1" s="25"/>
      <c r="L1" s="1"/>
      <c r="M1" s="1"/>
      <c r="N1" s="1"/>
      <c r="O1" s="1"/>
      <c r="P1" s="1"/>
      <c r="Q1" s="1"/>
      <c r="R1" s="1"/>
      <c r="S1" s="1"/>
      <c r="T1" s="1"/>
      <c r="U1" s="1"/>
      <c r="V1" s="1"/>
    </row>
    <row r="2" spans="1:22" ht="20.100000000000001" customHeight="1" x14ac:dyDescent="0.25">
      <c r="B2" s="26"/>
      <c r="C2" s="26"/>
      <c r="D2" s="26"/>
      <c r="E2" s="26"/>
      <c r="F2" s="26"/>
      <c r="G2" s="26"/>
      <c r="H2" s="26"/>
      <c r="I2" s="26"/>
      <c r="J2" s="26"/>
      <c r="K2" s="26"/>
      <c r="L2" s="1"/>
      <c r="M2" s="1"/>
      <c r="N2" s="1"/>
      <c r="O2" s="1"/>
      <c r="P2" s="1"/>
      <c r="Q2" s="1"/>
      <c r="R2" s="1"/>
      <c r="S2" s="1"/>
      <c r="T2" s="1"/>
      <c r="U2" s="1"/>
      <c r="V2" s="1"/>
      <c r="A2" s="4" t="inlineStr">
        <is>
          <t xml:space="preserve">2026-10-25 | Native formulas, charts and filters preserved; counts and cached results reconciled against the CSV.</t>
        </is>
      </c>
    </row>
    <row r="3" spans="1:22" ht="20.100000000000001" customHeight="1" x14ac:dyDescent="0.25">
      <c r="A3" s="1"/>
      <c r="B3" s="1"/>
      <c r="C3" s="1"/>
      <c r="D3" s="1"/>
      <c r="E3" s="1"/>
      <c r="F3" s="1"/>
      <c r="G3" s="1"/>
      <c r="H3" s="1"/>
      <c r="I3" s="1"/>
      <c r="J3" s="1"/>
      <c r="K3" s="1"/>
      <c r="L3" s="1"/>
      <c r="M3" s="1"/>
      <c r="N3" s="1"/>
      <c r="O3" s="1"/>
      <c r="P3" s="1"/>
      <c r="Q3" s="1"/>
      <c r="R3" s="1"/>
      <c r="S3" s="1"/>
      <c r="T3" s="1"/>
      <c r="U3" s="1"/>
      <c r="V3" s="1"/>
    </row>
    <row r="4" spans="1:22" ht="30" customHeight="1" x14ac:dyDescent="0.25">
      <c r="A4" s="3" t="s">
        <v>33442</v>
      </c>
      <c r="B4" s="3" t="s">
        <v>33443</v>
      </c>
      <c r="C4" s="3" t="s">
        <v>33444</v>
      </c>
      <c r="D4" s="3" t="s">
        <v>33445</v>
      </c>
      <c r="E4" s="1"/>
      <c r="F4" s="3" t="s">
        <v>2</v>
      </c>
      <c r="G4" s="3" t="s">
        <v>33443</v>
      </c>
      <c r="H4" s="3" t="s">
        <v>22</v>
      </c>
      <c r="I4" s="3" t="s">
        <v>33455</v>
      </c>
      <c r="J4" s="3" t="s">
        <v>33456</v>
      </c>
      <c r="K4" s="3" t="s">
        <v>33457</v>
      </c>
      <c r="L4" s="1"/>
      <c r="M4" s="3" t="s">
        <v>3</v>
      </c>
      <c r="N4" s="3" t="s">
        <v>33443</v>
      </c>
      <c r="O4" s="3" t="s">
        <v>22</v>
      </c>
      <c r="P4" s="3" t="s">
        <v>33455</v>
      </c>
      <c r="Q4" s="3" t="s">
        <v>33456</v>
      </c>
      <c r="R4" s="3" t="s">
        <v>33457</v>
      </c>
      <c r="S4" s="1"/>
      <c r="T4" s="3" t="s">
        <v>33458</v>
      </c>
      <c r="U4" s="3" t="s">
        <v>33443</v>
      </c>
      <c r="V4" s="1"/>
    </row>
    <row r="5" spans="1:22" ht="20.100000000000001" customHeight="1" x14ac:dyDescent="0.25">
      <c r="B5" s="6">
        <f>COUNTIF('post-audit-active-backlog-statu'!$G$2:$G$6832,A5)</f>
        <v>2650</v>
      </c>
      <c r="C5" s="8">
        <f>B5/'Audit Dashboard'!$B$6</f>
        <v>0.38793734445908357</v>
      </c>
      <c r="D5" s="4" t="s">
        <v>33446</v>
      </c>
      <c r="E5" s="1"/>
      <c r="F5" s="4" t="s">
        <v>1684</v>
      </c>
      <c r="G5" s="6">
        <f>COUNTIF('post-audit-active-backlog-statu'!$C$2:$C$6832,F5)</f>
        <v>1557</v>
      </c>
      <c r="H5" s="6">
        <f>COUNTIFS('post-audit-active-backlog-statu'!$C$2:$C$6832,F5,'post-audit-active-backlog-statu'!$G$2:$G$6832,"Fixed")</f>
        <v>252</v>
      </c>
      <c r="I5" s="6">
        <f>COUNTIFS('post-audit-active-backlog-statu'!$C$2:$C$6832,F5,'post-audit-active-backlog-statu'!$G$2:$G$6832,"ReviewedNoChange")+COUNTIFS('post-audit-active-backlog-statu'!$C$2:$C$6832,F5,'post-audit-active-backlog-statu'!$G$2:$G$6832,"SafeNoChange")+COUNTIFS('post-audit-active-backlog-statu'!$C$2:$C$6832,F5,'post-audit-active-backlog-statu'!$G$2:$G$6832,"PolicyResolvedNoChange")</f>
        <v>1284</v>
      </c>
      <c r="J5" s="6">
        <f>COUNTIFS('post-audit-active-backlog-statu'!$C$2:$C$6832,F5,'post-audit-active-backlog-statu'!$G$2:$G$6832,"BlocksOnlyThisDomain")</f>
        <v>0</v>
      </c>
      <c r="K5" s="8">
        <f t="shared" ref="K5:K21" si="0">H5/G5</f>
        <v>0.16184971098265896</v>
      </c>
      <c r="L5" s="1"/>
      <c r="M5" s="4" t="s">
        <v>1204</v>
      </c>
      <c r="N5" s="6">
        <f>COUNTIF('post-audit-active-backlog-statu'!$D$2:$D$6832,M5)</f>
        <v>999</v>
      </c>
      <c r="O5" s="6">
        <f>COUNTIFS('post-audit-active-backlog-statu'!$D$2:$D$6832,M5,'post-audit-active-backlog-statu'!$G$2:$G$6832,"Fixed")</f>
        <v>8</v>
      </c>
      <c r="P5" s="6">
        <f>COUNTIFS('post-audit-active-backlog-statu'!$D$2:$D$6832,M5,'post-audit-active-backlog-statu'!$G$2:$G$6832,"ReviewedNoChange")+COUNTIFS('post-audit-active-backlog-statu'!$D$2:$D$6832,M5,'post-audit-active-backlog-statu'!$G$2:$G$6832,"SafeNoChange")+COUNTIFS('post-audit-active-backlog-statu'!$D$2:$D$6832,M5,'post-audit-active-backlog-statu'!$G$2:$G$6832,"PolicyResolvedNoChange")</f>
        <v>216</v>
      </c>
      <c r="Q5" s="6">
        <f>COUNTIFS('post-audit-active-backlog-statu'!$D$2:$D$6832,M5,'post-audit-active-backlog-statu'!$G$2:$G$6832,"BlocksOnlyThisDomain")</f>
        <v>0</v>
      </c>
      <c r="R5" s="8">
        <f t="shared" ref="R5:R68" si="1">O5/N5</f>
        <v>0.008008008008008008</v>
      </c>
      <c r="S5" s="1"/>
      <c r="T5" s="5">
        <v>46179</v>
      </c>
      <c r="U5" s="6">
        <f>COUNTIF('post-audit-active-backlog-statu'!$O$2:$O$6832,TEXT(T5,"yyyy-mm-dd")&amp;"*")+COUNTIFS('post-audit-active-backlog-statu'!$O$2:$O$6832,"&gt;="&amp;T5,'post-audit-active-backlog-statu'!$O$2:$O$6832,"&lt;"&amp;T5+1)</f>
        <v>203</v>
      </c>
      <c r="V5" s="1"/>
      <c r="A5" s="4" t="inlineStr">
        <is>
          <t xml:space="preserve">ReviewedNoChange</t>
        </is>
      </c>
    </row>
    <row r="6" spans="1:22" ht="20.100000000000001" customHeight="1" x14ac:dyDescent="0.25">
      <c r="B6" s="6">
        <f>COUNTIF('post-audit-active-backlog-statu'!$G$2:$G$6832,A6)</f>
        <v>1395</v>
      </c>
      <c r="C6" s="8">
        <f>B6/'Audit Dashboard'!$B$6</f>
        <v>0.20421607378129117</v>
      </c>
      <c r="D6" s="4" t="s">
        <v>33447</v>
      </c>
      <c r="E6" s="1"/>
      <c r="F6" s="4" t="s">
        <v>132</v>
      </c>
      <c r="G6" s="6">
        <f>COUNTIF('post-audit-active-backlog-statu'!$C$2:$C$6832,F6)</f>
        <v>1446</v>
      </c>
      <c r="H6" s="6">
        <f>COUNTIFS('post-audit-active-backlog-statu'!$C$2:$C$6832,F6,'post-audit-active-backlog-statu'!$G$2:$G$6832,"Fixed")</f>
        <v>1</v>
      </c>
      <c r="I6" s="6">
        <f>COUNTIFS('post-audit-active-backlog-statu'!$C$2:$C$6832,F6,'post-audit-active-backlog-statu'!$G$2:$G$6832,"ReviewedNoChange")+COUNTIFS('post-audit-active-backlog-statu'!$C$2:$C$6832,F6,'post-audit-active-backlog-statu'!$G$2:$G$6832,"SafeNoChange")+COUNTIFS('post-audit-active-backlog-statu'!$C$2:$C$6832,F6,'post-audit-active-backlog-statu'!$G$2:$G$6832,"PolicyResolvedNoChange")</f>
        <v>500</v>
      </c>
      <c r="J6" s="6">
        <f>COUNTIFS('post-audit-active-backlog-statu'!$C$2:$C$6832,F6,'post-audit-active-backlog-statu'!$G$2:$G$6832,"BlocksOnlyThisDomain")</f>
        <v>1</v>
      </c>
      <c r="K6" s="8">
        <f t="shared" si="0"/>
        <v>0.0006915629322268327</v>
      </c>
      <c r="L6" s="1"/>
      <c r="M6" s="4" t="s">
        <v>4101</v>
      </c>
      <c r="N6" s="6">
        <f>COUNTIF('post-audit-active-backlog-statu'!$D$2:$D$6832,M6)</f>
        <v>424</v>
      </c>
      <c r="O6" s="6">
        <f>COUNTIFS('post-audit-active-backlog-statu'!$D$2:$D$6832,M6,'post-audit-active-backlog-statu'!$G$2:$G$6832,"Fixed")</f>
        <v>21</v>
      </c>
      <c r="P6" s="6">
        <f>COUNTIFS('post-audit-active-backlog-statu'!$D$2:$D$6832,M6,'post-audit-active-backlog-statu'!$G$2:$G$6832,"ReviewedNoChange")+COUNTIFS('post-audit-active-backlog-statu'!$D$2:$D$6832,M6,'post-audit-active-backlog-statu'!$G$2:$G$6832,"SafeNoChange")+COUNTIFS('post-audit-active-backlog-statu'!$D$2:$D$6832,M6,'post-audit-active-backlog-statu'!$G$2:$G$6832,"PolicyResolvedNoChange")</f>
        <v>366</v>
      </c>
      <c r="Q6" s="6">
        <f>COUNTIFS('post-audit-active-backlog-statu'!$D$2:$D$6832,M6,'post-audit-active-backlog-statu'!$G$2:$G$6832,"BlocksOnlyThisDomain")</f>
        <v>0</v>
      </c>
      <c r="R6" s="8">
        <f t="shared" si="1"/>
        <v>0.049528301886792456</v>
      </c>
      <c r="S6" s="1"/>
      <c r="T6" s="5">
        <v>46180</v>
      </c>
      <c r="U6" s="6">
        <f>COUNTIF('post-audit-active-backlog-statu'!$O$2:$O$6832,TEXT(T6,"yyyy-mm-dd")&amp;"*")+COUNTIFS('post-audit-active-backlog-statu'!$O$2:$O$6832,"&gt;="&amp;T6,'post-audit-active-backlog-statu'!$O$2:$O$6832,"&lt;"&amp;T6+1)</f>
        <v>92</v>
      </c>
      <c r="V6" s="1"/>
      <c r="A6" s="4" t="inlineStr">
        <is>
          <t xml:space="preserve">IntentionalLegacy</t>
        </is>
      </c>
    </row>
    <row r="7" spans="1:22" ht="20.100000000000001" customHeight="1" x14ac:dyDescent="0.25">
      <c r="B7" s="6">
        <f>COUNTIF('post-audit-active-backlog-statu'!$G$2:$G$6832,A7)</f>
        <v>957</v>
      </c>
      <c r="C7" s="8">
        <f>B7/'Audit Dashboard'!$B$6</f>
        <v>0.14009661835748793</v>
      </c>
      <c r="D7" s="4" t="s">
        <v>33448</v>
      </c>
      <c r="E7" s="1"/>
      <c r="F7" s="4" t="s">
        <v>4491</v>
      </c>
      <c r="G7" s="6">
        <f>COUNTIF('post-audit-active-backlog-statu'!$C$2:$C$6832,F7)</f>
        <v>939</v>
      </c>
      <c r="H7" s="6">
        <f>COUNTIFS('post-audit-active-backlog-statu'!$C$2:$C$6832,F7,'post-audit-active-backlog-statu'!$G$2:$G$6832,"Fixed")</f>
        <v>111</v>
      </c>
      <c r="I7" s="6">
        <f>COUNTIFS('post-audit-active-backlog-statu'!$C$2:$C$6832,F7,'post-audit-active-backlog-statu'!$G$2:$G$6832,"ReviewedNoChange")+COUNTIFS('post-audit-active-backlog-statu'!$C$2:$C$6832,F7,'post-audit-active-backlog-statu'!$G$2:$G$6832,"SafeNoChange")+COUNTIFS('post-audit-active-backlog-statu'!$C$2:$C$6832,F7,'post-audit-active-backlog-statu'!$G$2:$G$6832,"PolicyResolvedNoChange")</f>
        <v>820</v>
      </c>
      <c r="J7" s="6">
        <f>COUNTIFS('post-audit-active-backlog-statu'!$C$2:$C$6832,F7,'post-audit-active-backlog-statu'!$G$2:$G$6832,"BlocksOnlyThisDomain")</f>
        <v>0</v>
      </c>
      <c r="K7" s="8">
        <f t="shared" si="0"/>
        <v>0.1182108626198083</v>
      </c>
      <c r="L7" s="1"/>
      <c r="M7" s="4" t="s">
        <v>6467</v>
      </c>
      <c r="N7" s="6">
        <f>COUNTIF('post-audit-active-backlog-statu'!$D$2:$D$6832,M7)</f>
        <v>355</v>
      </c>
      <c r="O7" s="6">
        <f>COUNTIFS('post-audit-active-backlog-statu'!$D$2:$D$6832,M7,'post-audit-active-backlog-statu'!$G$2:$G$6832,"Fixed")</f>
        <v>23</v>
      </c>
      <c r="P7" s="6">
        <f>COUNTIFS('post-audit-active-backlog-statu'!$D$2:$D$6832,M7,'post-audit-active-backlog-statu'!$G$2:$G$6832,"ReviewedNoChange")+COUNTIFS('post-audit-active-backlog-statu'!$D$2:$D$6832,M7,'post-audit-active-backlog-statu'!$G$2:$G$6832,"SafeNoChange")+COUNTIFS('post-audit-active-backlog-statu'!$D$2:$D$6832,M7,'post-audit-active-backlog-statu'!$G$2:$G$6832,"PolicyResolvedNoChange")</f>
        <v>322</v>
      </c>
      <c r="Q7" s="6">
        <f>COUNTIFS('post-audit-active-backlog-statu'!$D$2:$D$6832,M7,'post-audit-active-backlog-statu'!$G$2:$G$6832,"BlocksOnlyThisDomain")</f>
        <v>0</v>
      </c>
      <c r="R7" s="8">
        <f t="shared" si="1"/>
        <v>0.0647887323943662</v>
      </c>
      <c r="S7" s="1"/>
      <c r="T7" s="5">
        <v>46181</v>
      </c>
      <c r="U7" s="6">
        <f>COUNTIF('post-audit-active-backlog-statu'!$O$2:$O$6832,TEXT(T7,"yyyy-mm-dd")&amp;"*")+COUNTIFS('post-audit-active-backlog-statu'!$O$2:$O$6832,"&gt;="&amp;T7,'post-audit-active-backlog-statu'!$O$2:$O$6832,"&lt;"&amp;T7+1)</f>
        <v>439</v>
      </c>
      <c r="V7" s="1"/>
      <c r="A7" s="4" t="inlineStr">
        <is>
          <t xml:space="preserve">Fixed</t>
        </is>
      </c>
    </row>
    <row r="8" spans="1:22" ht="20.100000000000001" customHeight="1" x14ac:dyDescent="0.25">
      <c r="B8" s="6">
        <f>COUNTIF('post-audit-active-backlog-statu'!$G$2:$G$6832,A8)</f>
        <v>678</v>
      </c>
      <c r="C8" s="8">
        <f>B8/'Audit Dashboard'!$B$6</f>
        <v>0.0992534036012297</v>
      </c>
      <c r="D8" s="4" t="s">
        <v>33449</v>
      </c>
      <c r="E8" s="1"/>
      <c r="F8" s="4" t="s">
        <v>29063</v>
      </c>
      <c r="G8" s="6">
        <f>COUNTIF('post-audit-active-backlog-statu'!$C$2:$C$6832,F8)</f>
        <v>659</v>
      </c>
      <c r="H8" s="6">
        <f>COUNTIFS('post-audit-active-backlog-statu'!$C$2:$C$6832,F8,'post-audit-active-backlog-statu'!$G$2:$G$6832,"Fixed")</f>
        <v>0</v>
      </c>
      <c r="I8" s="6">
        <f>COUNTIFS('post-audit-active-backlog-statu'!$C$2:$C$6832,F8,'post-audit-active-backlog-statu'!$G$2:$G$6832,"ReviewedNoChange")+COUNTIFS('post-audit-active-backlog-statu'!$C$2:$C$6832,F8,'post-audit-active-backlog-statu'!$G$2:$G$6832,"SafeNoChange")+COUNTIFS('post-audit-active-backlog-statu'!$C$2:$C$6832,F8,'post-audit-active-backlog-statu'!$G$2:$G$6832,"PolicyResolvedNoChange")</f>
        <v>0</v>
      </c>
      <c r="J8" s="6">
        <f>COUNTIFS('post-audit-active-backlog-statu'!$C$2:$C$6832,F8,'post-audit-active-backlog-statu'!$G$2:$G$6832,"BlocksOnlyThisDomain")</f>
        <v>0</v>
      </c>
      <c r="K8" s="8">
        <f t="shared" si="0"/>
        <v>0.0</v>
      </c>
      <c r="L8" s="1"/>
      <c r="M8" s="4" t="s">
        <v>19</v>
      </c>
      <c r="N8" s="6">
        <f>COUNTIF('post-audit-active-backlog-statu'!$D$2:$D$6832,M8)</f>
        <v>284</v>
      </c>
      <c r="O8" s="6">
        <f>COUNTIFS('post-audit-active-backlog-statu'!$D$2:$D$6832,M8,'post-audit-active-backlog-statu'!$G$2:$G$6832,"Fixed")</f>
        <v>72</v>
      </c>
      <c r="P8" s="6">
        <f>COUNTIFS('post-audit-active-backlog-statu'!$D$2:$D$6832,M8,'post-audit-active-backlog-statu'!$G$2:$G$6832,"ReviewedNoChange")+COUNTIFS('post-audit-active-backlog-statu'!$D$2:$D$6832,M8,'post-audit-active-backlog-statu'!$G$2:$G$6832,"SafeNoChange")+COUNTIFS('post-audit-active-backlog-statu'!$D$2:$D$6832,M8,'post-audit-active-backlog-statu'!$G$2:$G$6832,"PolicyResolvedNoChange")</f>
        <v>183</v>
      </c>
      <c r="Q8" s="6">
        <f>COUNTIFS('post-audit-active-backlog-statu'!$D$2:$D$6832,M8,'post-audit-active-backlog-statu'!$G$2:$G$6832,"BlocksOnlyThisDomain")</f>
        <v>1</v>
      </c>
      <c r="R8" s="8">
        <f t="shared" si="1"/>
        <v>0.2535211267605634</v>
      </c>
      <c r="S8" s="1"/>
      <c r="T8" s="5">
        <v>46182</v>
      </c>
      <c r="U8" s="6">
        <f>COUNTIF('post-audit-active-backlog-statu'!$O$2:$O$6832,TEXT(T8,"yyyy-mm-dd")&amp;"*")+COUNTIFS('post-audit-active-backlog-statu'!$O$2:$O$6832,"&gt;="&amp;T8,'post-audit-active-backlog-statu'!$O$2:$O$6832,"&lt;"&amp;T8+1)</f>
        <v>274</v>
      </c>
      <c r="V8" s="1"/>
      <c r="A8" s="4" t="inlineStr">
        <is>
          <t xml:space="preserve">SafeNoChange</t>
        </is>
      </c>
    </row>
    <row r="9" spans="1:22" ht="20.100000000000001" customHeight="1" x14ac:dyDescent="0.25">
      <c r="B9" s="6">
        <f>COUNTIF('post-audit-active-backlog-statu'!$G$2:$G$6832,A9)</f>
        <v>372</v>
      </c>
      <c r="C9" s="8">
        <f>B9/'Audit Dashboard'!$B$6</f>
        <v>0.054457619675010976</v>
      </c>
      <c r="D9" s="4" t="s">
        <v>33450</v>
      </c>
      <c r="E9" s="1"/>
      <c r="F9" s="4" t="s">
        <v>25143</v>
      </c>
      <c r="G9" s="6">
        <f>COUNTIF('post-audit-active-backlog-statu'!$C$2:$C$6832,F9)</f>
        <v>499</v>
      </c>
      <c r="H9" s="6">
        <f>COUNTIFS('post-audit-active-backlog-statu'!$C$2:$C$6832,F9,'post-audit-active-backlog-statu'!$G$2:$G$6832,"Fixed")</f>
        <v>0</v>
      </c>
      <c r="I9" s="6">
        <f>COUNTIFS('post-audit-active-backlog-statu'!$C$2:$C$6832,F9,'post-audit-active-backlog-statu'!$G$2:$G$6832,"ReviewedNoChange")+COUNTIFS('post-audit-active-backlog-statu'!$C$2:$C$6832,F9,'post-audit-active-backlog-statu'!$G$2:$G$6832,"SafeNoChange")+COUNTIFS('post-audit-active-backlog-statu'!$C$2:$C$6832,F9,'post-audit-active-backlog-statu'!$G$2:$G$6832,"PolicyResolvedNoChange")</f>
        <v>484</v>
      </c>
      <c r="J9" s="6">
        <f>COUNTIFS('post-audit-active-backlog-statu'!$C$2:$C$6832,F9,'post-audit-active-backlog-statu'!$G$2:$G$6832,"BlocksOnlyThisDomain")</f>
        <v>0</v>
      </c>
      <c r="K9" s="8">
        <f t="shared" si="0"/>
        <v>0.0</v>
      </c>
      <c r="L9" s="1"/>
      <c r="M9" s="4" t="s">
        <v>1271</v>
      </c>
      <c r="N9" s="6">
        <f>COUNTIF('post-audit-active-backlog-statu'!$D$2:$D$6832,M9)</f>
        <v>282</v>
      </c>
      <c r="O9" s="6">
        <f>COUNTIFS('post-audit-active-backlog-statu'!$D$2:$D$6832,M9,'post-audit-active-backlog-statu'!$G$2:$G$6832,"Fixed")</f>
        <v>5</v>
      </c>
      <c r="P9" s="6">
        <f>COUNTIFS('post-audit-active-backlog-statu'!$D$2:$D$6832,M9,'post-audit-active-backlog-statu'!$G$2:$G$6832,"ReviewedNoChange")+COUNTIFS('post-audit-active-backlog-statu'!$D$2:$D$6832,M9,'post-audit-active-backlog-statu'!$G$2:$G$6832,"SafeNoChange")+COUNTIFS('post-audit-active-backlog-statu'!$D$2:$D$6832,M9,'post-audit-active-backlog-statu'!$G$2:$G$6832,"PolicyResolvedNoChange")</f>
        <v>72</v>
      </c>
      <c r="Q9" s="6">
        <f>COUNTIFS('post-audit-active-backlog-statu'!$D$2:$D$6832,M9,'post-audit-active-backlog-statu'!$G$2:$G$6832,"BlocksOnlyThisDomain")</f>
        <v>0</v>
      </c>
      <c r="R9" s="8">
        <f t="shared" si="1"/>
        <v>0.01773049645390071</v>
      </c>
      <c r="S9" s="1"/>
      <c r="T9" s="5">
        <v>46186</v>
      </c>
      <c r="U9" s="6">
        <f>COUNTIF('post-audit-active-backlog-statu'!$O$2:$O$6832,TEXT(T9,"yyyy-mm-dd")&amp;"*")+COUNTIFS('post-audit-active-backlog-statu'!$O$2:$O$6832,"&gt;="&amp;T9,'post-audit-active-backlog-statu'!$O$2:$O$6832,"&lt;"&amp;T9+1)</f>
        <v>86</v>
      </c>
      <c r="V9" s="1"/>
      <c r="A9" s="4" t="inlineStr">
        <is>
          <t xml:space="preserve">PolicyResolvedNoChange</t>
        </is>
      </c>
    </row>
    <row r="10" spans="1:22" ht="20.100000000000001" customHeight="1" x14ac:dyDescent="0.25">
      <c r="B10" s="6">
        <f>COUNTIF('post-audit-active-backlog-statu'!$G$2:$G$6832,A10)</f>
        <v>352</v>
      </c>
      <c r="C10" s="8">
        <f>B10/'Audit Dashboard'!$B$6</f>
        <v>0.05152979066022544</v>
      </c>
      <c r="D10" s="4" t="s">
        <v>33451</v>
      </c>
      <c r="E10" s="1"/>
      <c r="F10" s="4" t="s">
        <v>1827</v>
      </c>
      <c r="G10" s="6">
        <f>COUNTIF('post-audit-active-backlog-statu'!$C$2:$C$6832,F10)</f>
        <v>408</v>
      </c>
      <c r="H10" s="6">
        <f>COUNTIFS('post-audit-active-backlog-statu'!$C$2:$C$6832,F10,'post-audit-active-backlog-statu'!$G$2:$G$6832,"Fixed")</f>
        <v>406</v>
      </c>
      <c r="I10" s="6">
        <f>COUNTIFS('post-audit-active-backlog-statu'!$C$2:$C$6832,F10,'post-audit-active-backlog-statu'!$G$2:$G$6832,"ReviewedNoChange")+COUNTIFS('post-audit-active-backlog-statu'!$C$2:$C$6832,F10,'post-audit-active-backlog-statu'!$G$2:$G$6832,"SafeNoChange")+COUNTIFS('post-audit-active-backlog-statu'!$C$2:$C$6832,F10,'post-audit-active-backlog-statu'!$G$2:$G$6832,"PolicyResolvedNoChange")</f>
        <v>0</v>
      </c>
      <c r="J10" s="6">
        <f>COUNTIFS('post-audit-active-backlog-statu'!$C$2:$C$6832,F10,'post-audit-active-backlog-statu'!$G$2:$G$6832,"BlocksOnlyThisDomain")</f>
        <v>0</v>
      </c>
      <c r="K10" s="8">
        <f t="shared" si="0"/>
        <v>0.9950980392156863</v>
      </c>
      <c r="L10" s="1"/>
      <c r="M10" s="4" t="s">
        <v>101</v>
      </c>
      <c r="N10" s="6">
        <f>COUNTIF('post-audit-active-backlog-statu'!$D$2:$D$6832,M10)</f>
        <v>278</v>
      </c>
      <c r="O10" s="6">
        <f>COUNTIFS('post-audit-active-backlog-statu'!$D$2:$D$6832,M10,'post-audit-active-backlog-statu'!$G$2:$G$6832,"Fixed")</f>
        <v>69</v>
      </c>
      <c r="P10" s="6">
        <f>COUNTIFS('post-audit-active-backlog-statu'!$D$2:$D$6832,M10,'post-audit-active-backlog-statu'!$G$2:$G$6832,"ReviewedNoChange")+COUNTIFS('post-audit-active-backlog-statu'!$D$2:$D$6832,M10,'post-audit-active-backlog-statu'!$G$2:$G$6832,"SafeNoChange")+COUNTIFS('post-audit-active-backlog-statu'!$D$2:$D$6832,M10,'post-audit-active-backlog-statu'!$G$2:$G$6832,"PolicyResolvedNoChange")</f>
        <v>65</v>
      </c>
      <c r="Q10" s="6">
        <f>COUNTIFS('post-audit-active-backlog-statu'!$D$2:$D$6832,M10,'post-audit-active-backlog-statu'!$G$2:$G$6832,"BlocksOnlyThisDomain")</f>
        <v>0</v>
      </c>
      <c r="R10" s="8">
        <f t="shared" si="1"/>
        <v>0.24820143884892087</v>
      </c>
      <c r="S10" s="1"/>
      <c r="T10" s="5">
        <v>46187</v>
      </c>
      <c r="U10" s="6">
        <f>COUNTIF('post-audit-active-backlog-statu'!$O$2:$O$6832,TEXT(T10,"yyyy-mm-dd")&amp;"*")+COUNTIFS('post-audit-active-backlog-statu'!$O$2:$O$6832,"&gt;="&amp;T10,'post-audit-active-backlog-statu'!$O$2:$O$6832,"&lt;"&amp;T10+1)</f>
        <v>5170</v>
      </c>
      <c r="V10" s="1"/>
      <c r="A10" s="4" t="inlineStr">
        <is>
          <t xml:space="preserve">Documented</t>
        </is>
      </c>
    </row>
    <row r="11" spans="1:22" ht="20.100000000000001" customHeight="1" x14ac:dyDescent="0.25">
      <c r="B11" s="6">
        <f>COUNTIF('post-audit-active-backlog-statu'!$G$2:$G$6832,A11)</f>
        <v>330</v>
      </c>
      <c r="C11" s="8">
        <f>B11/'Audit Dashboard'!$B$6</f>
        <v>0.04830917874396135</v>
      </c>
      <c r="D11" s="4" t="s">
        <v>33452</v>
      </c>
      <c r="E11" s="1"/>
      <c r="F11" s="4" t="s">
        <v>1779</v>
      </c>
      <c r="G11" s="6">
        <f>COUNTIF('post-audit-active-backlog-statu'!$C$2:$C$6832,F11)</f>
        <v>394</v>
      </c>
      <c r="H11" s="6">
        <f>COUNTIFS('post-audit-active-backlog-statu'!$C$2:$C$6832,F11,'post-audit-active-backlog-statu'!$G$2:$G$6832,"Fixed")</f>
        <v>0</v>
      </c>
      <c r="I11" s="6">
        <f>COUNTIFS('post-audit-active-backlog-statu'!$C$2:$C$6832,F11,'post-audit-active-backlog-statu'!$G$2:$G$6832,"ReviewedNoChange")+COUNTIFS('post-audit-active-backlog-statu'!$C$2:$C$6832,F11,'post-audit-active-backlog-statu'!$G$2:$G$6832,"SafeNoChange")+COUNTIFS('post-audit-active-backlog-statu'!$C$2:$C$6832,F11,'post-audit-active-backlog-statu'!$G$2:$G$6832,"PolicyResolvedNoChange")</f>
        <v>392</v>
      </c>
      <c r="J11" s="6">
        <f>COUNTIFS('post-audit-active-backlog-statu'!$C$2:$C$6832,F11,'post-audit-active-backlog-statu'!$G$2:$G$6832,"BlocksOnlyThisDomain")</f>
        <v>0</v>
      </c>
      <c r="K11" s="8">
        <f t="shared" si="0"/>
        <v>0.0</v>
      </c>
      <c r="L11" s="1"/>
      <c r="M11" s="4" t="s">
        <v>120</v>
      </c>
      <c r="N11" s="6">
        <f>COUNTIF('post-audit-active-backlog-statu'!$D$2:$D$6832,M11)</f>
        <v>259</v>
      </c>
      <c r="O11" s="6">
        <f>COUNTIFS('post-audit-active-backlog-statu'!$D$2:$D$6832,M11,'post-audit-active-backlog-statu'!$G$2:$G$6832,"Fixed")</f>
        <v>11</v>
      </c>
      <c r="P11" s="6">
        <f>COUNTIFS('post-audit-active-backlog-statu'!$D$2:$D$6832,M11,'post-audit-active-backlog-statu'!$G$2:$G$6832,"ReviewedNoChange")+COUNTIFS('post-audit-active-backlog-statu'!$D$2:$D$6832,M11,'post-audit-active-backlog-statu'!$G$2:$G$6832,"SafeNoChange")+COUNTIFS('post-audit-active-backlog-statu'!$D$2:$D$6832,M11,'post-audit-active-backlog-statu'!$G$2:$G$6832,"PolicyResolvedNoChange")</f>
        <v>220</v>
      </c>
      <c r="Q11" s="6">
        <f>COUNTIFS('post-audit-active-backlog-statu'!$D$2:$D$6832,M11,'post-audit-active-backlog-statu'!$G$2:$G$6832,"BlocksOnlyThisDomain")</f>
        <v>0</v>
      </c>
      <c r="R11" s="8">
        <f t="shared" si="1"/>
        <v>0.04247104247104247</v>
      </c>
      <c r="S11" s="1"/>
      <c r="T11" s="5">
        <v>46188</v>
      </c>
      <c r="U11" s="6">
        <f>COUNTIF('post-audit-active-backlog-statu'!$O$2:$O$6832,TEXT(T11,"yyyy-mm-dd")&amp;"*")+COUNTIFS('post-audit-active-backlog-statu'!$O$2:$O$6832,"&gt;="&amp;T11,'post-audit-active-backlog-statu'!$O$2:$O$6832,"&lt;"&amp;T11+1)</f>
        <v>549</v>
      </c>
      <c r="V11" s="1"/>
      <c r="A11" s="4" t="inlineStr">
        <is>
          <t xml:space="preserve">FalsePositive</t>
        </is>
      </c>
    </row>
    <row r="12" spans="1:22" ht="20.100000000000001" customHeight="1" x14ac:dyDescent="0.25">
      <c r="B12" s="6">
        <f>COUNTIF('post-audit-active-backlog-statu'!$G$2:$G$6832,A12)</f>
        <v>83</v>
      </c>
      <c r="C12" s="8">
        <f>B12/'Audit Dashboard'!$B$6</f>
        <v>0.012150490411359977</v>
      </c>
      <c r="D12" s="4" t="s">
        <v>33453</v>
      </c>
      <c r="E12" s="1"/>
      <c r="F12" s="4" t="s">
        <v>7082</v>
      </c>
      <c r="G12" s="6">
        <f>COUNTIF('post-audit-active-backlog-statu'!$C$2:$C$6832,F12)</f>
        <v>232</v>
      </c>
      <c r="H12" s="6">
        <f>COUNTIFS('post-audit-active-backlog-statu'!$C$2:$C$6832,F12,'post-audit-active-backlog-statu'!$G$2:$G$6832,"Fixed")</f>
        <v>0</v>
      </c>
      <c r="I12" s="6">
        <f>COUNTIFS('post-audit-active-backlog-statu'!$C$2:$C$6832,F12,'post-audit-active-backlog-statu'!$G$2:$G$6832,"ReviewedNoChange")+COUNTIFS('post-audit-active-backlog-statu'!$C$2:$C$6832,F12,'post-audit-active-backlog-statu'!$G$2:$G$6832,"SafeNoChange")+COUNTIFS('post-audit-active-backlog-statu'!$C$2:$C$6832,F12,'post-audit-active-backlog-statu'!$G$2:$G$6832,"PolicyResolvedNoChange")</f>
        <v>0</v>
      </c>
      <c r="J12" s="6">
        <f>COUNTIFS('post-audit-active-backlog-statu'!$C$2:$C$6832,F12,'post-audit-active-backlog-statu'!$G$2:$G$6832,"BlocksOnlyThisDomain")</f>
        <v>0</v>
      </c>
      <c r="K12" s="8">
        <f t="shared" si="0"/>
        <v>0.0</v>
      </c>
      <c r="L12" s="1"/>
      <c r="M12" s="4" t="s">
        <v>7132</v>
      </c>
      <c r="N12" s="6">
        <f>COUNTIF('post-audit-active-backlog-statu'!$D$2:$D$6832,M12)</f>
        <v>252</v>
      </c>
      <c r="O12" s="6">
        <f>COUNTIFS('post-audit-active-backlog-statu'!$D$2:$D$6832,M12,'post-audit-active-backlog-statu'!$G$2:$G$6832,"Fixed")</f>
        <v>8</v>
      </c>
      <c r="P12" s="6">
        <f>COUNTIFS('post-audit-active-backlog-statu'!$D$2:$D$6832,M12,'post-audit-active-backlog-statu'!$G$2:$G$6832,"ReviewedNoChange")+COUNTIFS('post-audit-active-backlog-statu'!$D$2:$D$6832,M12,'post-audit-active-backlog-statu'!$G$2:$G$6832,"SafeNoChange")+COUNTIFS('post-audit-active-backlog-statu'!$D$2:$D$6832,M12,'post-audit-active-backlog-statu'!$G$2:$G$6832,"PolicyResolvedNoChange")</f>
        <v>237</v>
      </c>
      <c r="Q12" s="6">
        <f>COUNTIFS('post-audit-active-backlog-statu'!$D$2:$D$6832,M12,'post-audit-active-backlog-statu'!$G$2:$G$6832,"BlocksOnlyThisDomain")</f>
        <v>1</v>
      </c>
      <c r="R12" s="8">
        <f t="shared" si="1"/>
        <v>0.031746031746031744</v>
      </c>
      <c r="S12" s="1"/>
      <c r="T12" s="5">
        <v>46312</v>
      </c>
      <c r="U12" s="6">
        <f>COUNTIF('post-audit-active-backlog-statu'!$O$2:$O$6832,TEXT(T12,"yyyy-mm-dd")&amp;"*")+COUNTIFS('post-audit-active-backlog-statu'!$O$2:$O$6832,"&gt;="&amp;T12,'post-audit-active-backlog-statu'!$O$2:$O$6832,"&lt;"&amp;T12+1)</f>
        <v>6</v>
      </c>
      <c r="V12" s="1"/>
      <c r="A12" s="4" t="inlineStr">
        <is>
          <t xml:space="preserve">AcceptedFence</t>
        </is>
      </c>
    </row>
    <row r="13" spans="1:22" ht="20.100000000000001" customHeight="1" x14ac:dyDescent="0.25">
      <c r="B13" s="6">
        <f>COUNTIF('post-audit-active-backlog-statu'!$G$2:$G$6832,A13)</f>
        <v>7</v>
      </c>
      <c r="C13" s="8">
        <f>B13/'Audit Dashboard'!$B$6</f>
        <v>0.0010247401551749377</v>
      </c>
      <c r="D13" s="4" t="s">
        <v>33454</v>
      </c>
      <c r="E13" s="1"/>
      <c r="F13" s="4" t="s">
        <v>8356</v>
      </c>
      <c r="G13" s="6">
        <f>COUNTIF('post-audit-active-backlog-statu'!$C$2:$C$6832,F13)</f>
        <v>158</v>
      </c>
      <c r="H13" s="6">
        <f>COUNTIFS('post-audit-active-backlog-statu'!$C$2:$C$6832,F13,'post-audit-active-backlog-statu'!$G$2:$G$6832,"Fixed")</f>
        <v>25</v>
      </c>
      <c r="I13" s="6">
        <f>COUNTIFS('post-audit-active-backlog-statu'!$C$2:$C$6832,F13,'post-audit-active-backlog-statu'!$G$2:$G$6832,"ReviewedNoChange")+COUNTIFS('post-audit-active-backlog-statu'!$C$2:$C$6832,F13,'post-audit-active-backlog-statu'!$G$2:$G$6832,"SafeNoChange")+COUNTIFS('post-audit-active-backlog-statu'!$C$2:$C$6832,F13,'post-audit-active-backlog-statu'!$G$2:$G$6832,"PolicyResolvedNoChange")</f>
        <v>7</v>
      </c>
      <c r="J13" s="6">
        <f>COUNTIFS('post-audit-active-backlog-statu'!$C$2:$C$6832,F13,'post-audit-active-backlog-statu'!$G$2:$G$6832,"BlocksOnlyThisDomain")</f>
        <v>0</v>
      </c>
      <c r="K13" s="8">
        <f t="shared" si="0"/>
        <v>0.15822784810126583</v>
      </c>
      <c r="L13" s="1"/>
      <c r="M13" s="4" t="s">
        <v>6454</v>
      </c>
      <c r="N13" s="6">
        <f>COUNTIF('post-audit-active-backlog-statu'!$D$2:$D$6832,M13)</f>
        <v>212</v>
      </c>
      <c r="O13" s="6">
        <f>COUNTIFS('post-audit-active-backlog-statu'!$D$2:$D$6832,M13,'post-audit-active-backlog-statu'!$G$2:$G$6832,"Fixed")</f>
        <v>1</v>
      </c>
      <c r="P13" s="6">
        <f>COUNTIFS('post-audit-active-backlog-statu'!$D$2:$D$6832,M13,'post-audit-active-backlog-statu'!$G$2:$G$6832,"ReviewedNoChange")+COUNTIFS('post-audit-active-backlog-statu'!$D$2:$D$6832,M13,'post-audit-active-backlog-statu'!$G$2:$G$6832,"SafeNoChange")+COUNTIFS('post-audit-active-backlog-statu'!$D$2:$D$6832,M13,'post-audit-active-backlog-statu'!$G$2:$G$6832,"PolicyResolvedNoChange")</f>
        <v>200</v>
      </c>
      <c r="Q13" s="6">
        <f>COUNTIFS('post-audit-active-backlog-statu'!$D$2:$D$6832,M13,'post-audit-active-backlog-statu'!$G$2:$G$6832,"BlocksOnlyThisDomain")</f>
        <v>1</v>
      </c>
      <c r="R13" s="8">
        <f t="shared" si="1"/>
        <v>0.0047169811320754715</v>
      </c>
      <c r="S13" s="1"/>
      <c r="V13" s="1"/>
      <c r="A13" s="4" t="inlineStr">
        <is>
          <t xml:space="preserve">BlocksOnlyThisDomain</t>
        </is>
      </c>
      <c r="T13" s="5">
        <v>46313</v>
      </c>
      <c r="U13" s="6">
        <f>COUNTIF('post-audit-active-backlog-statu'!$O$2:$O$6832,TEXT(T13,"yyyy-mm-dd")&amp;"*")+COUNTIFS('post-audit-active-backlog-statu'!$O$2:$O$6832,"&gt;="&amp;T13,'post-audit-active-backlog-statu'!$O$2:$O$6832,"&lt;"&amp;T13+1)</f>
        <v>1</v>
      </c>
    </row>
    <row r="14" spans="1:22" ht="20.100000000000001" customHeight="1" x14ac:dyDescent="0.25">
      <c r="D14" s="1"/>
      <c r="E14" s="1"/>
      <c r="F14" s="4" t="s">
        <v>666</v>
      </c>
      <c r="B14" s="6">
        <f>COUNTIF('post-audit-active-backlog-statu'!$G$2:$G$6832,A14)</f>
        <v>0</v>
      </c>
      <c r="C14" s="8">
        <f>B14/'Audit Dashboard'!B6</f>
        <v>0.0</v>
      </c>
      <c r="G14" s="6">
        <f>COUNTIF('post-audit-active-backlog-statu'!$C$2:$C$6832,F14)</f>
        <v>153</v>
      </c>
      <c r="H14" s="6">
        <f>COUNTIFS('post-audit-active-backlog-statu'!$C$2:$C$6832,F14,'post-audit-active-backlog-statu'!$G$2:$G$6832,"Fixed")</f>
        <v>4</v>
      </c>
      <c r="I14" s="6">
        <f>COUNTIFS('post-audit-active-backlog-statu'!$C$2:$C$6832,F14,'post-audit-active-backlog-statu'!$G$2:$G$6832,"ReviewedNoChange")+COUNTIFS('post-audit-active-backlog-statu'!$C$2:$C$6832,F14,'post-audit-active-backlog-statu'!$G$2:$G$6832,"SafeNoChange")+COUNTIFS('post-audit-active-backlog-statu'!$C$2:$C$6832,F14,'post-audit-active-backlog-statu'!$G$2:$G$6832,"PolicyResolvedNoChange")</f>
        <v>101</v>
      </c>
      <c r="J14" s="6">
        <f>COUNTIFS('post-audit-active-backlog-statu'!$C$2:$C$6832,F14,'post-audit-active-backlog-statu'!$G$2:$G$6832,"BlocksOnlyThisDomain")</f>
        <v>0</v>
      </c>
      <c r="K14" s="8">
        <f t="shared" si="0"/>
        <v>0.026143790849673203</v>
      </c>
      <c r="L14" s="1"/>
      <c r="M14" s="4" t="s">
        <v>69</v>
      </c>
      <c r="N14" s="6">
        <f>COUNTIF('post-audit-active-backlog-statu'!$D$2:$D$6832,M14)</f>
        <v>207</v>
      </c>
      <c r="O14" s="6">
        <f>COUNTIFS('post-audit-active-backlog-statu'!$D$2:$D$6832,M14,'post-audit-active-backlog-statu'!$G$2:$G$6832,"Fixed")</f>
        <v>32</v>
      </c>
      <c r="P14" s="6">
        <f>COUNTIFS('post-audit-active-backlog-statu'!$D$2:$D$6832,M14,'post-audit-active-backlog-statu'!$G$2:$G$6832,"ReviewedNoChange")+COUNTIFS('post-audit-active-backlog-statu'!$D$2:$D$6832,M14,'post-audit-active-backlog-statu'!$G$2:$G$6832,"SafeNoChange")+COUNTIFS('post-audit-active-backlog-statu'!$D$2:$D$6832,M14,'post-audit-active-backlog-statu'!$G$2:$G$6832,"PolicyResolvedNoChange")</f>
        <v>127</v>
      </c>
      <c r="Q14" s="6">
        <f>COUNTIFS('post-audit-active-backlog-statu'!$D$2:$D$6832,M14,'post-audit-active-backlog-statu'!$G$2:$G$6832,"BlocksOnlyThisDomain")</f>
        <v>0</v>
      </c>
      <c r="R14" s="8">
        <f t="shared" si="1"/>
        <v>0.15458937198067632</v>
      </c>
      <c r="S14" s="1"/>
      <c r="T14" s="5">
        <v>46314</v>
      </c>
      <c r="U14" s="6">
        <f>COUNTIF('post-audit-active-backlog-statu'!$O$2:$O$6832,TEXT(T14,"yyyy-mm-dd")&amp;"*")+COUNTIFS('post-audit-active-backlog-statu'!$O$2:$O$6832,"&gt;="&amp;T14,'post-audit-active-backlog-statu'!$O$2:$O$6832,"&lt;"&amp;T14+1)</f>
        <v>2</v>
      </c>
      <c r="V14" s="1"/>
      <c r="A14" s="4" t="inlineStr">
        <is>
          <t xml:space="preserve">Deferred</t>
        </is>
      </c>
    </row>
    <row r="15" spans="1:22" ht="20.100000000000001" customHeight="1" x14ac:dyDescent="0.25">
      <c r="A15" s="4" t="inlineStr">
        <is>
          <t xml:space="preserve">Open</t>
        </is>
      </c>
      <c r="B15" s="6">
        <f>COUNTIF('post-audit-active-backlog-statu'!$G$2:$G$6832,A15)</f>
        <v>7</v>
      </c>
      <c r="C15" s="8">
        <f>B15/'Audit Dashboard'!B6</f>
        <v>0.0010247401551749377</v>
      </c>
      <c r="D15" s="4" t="inlineStr">
        <is>
          <t xml:space="preserve">Work or required acceptance remains open</t>
        </is>
      </c>
      <c r="E15" s="1"/>
      <c r="F15" s="4" t="s">
        <v>6446</v>
      </c>
      <c r="G15" s="6">
        <f>COUNTIF('post-audit-active-backlog-statu'!$C$2:$C$6832,F15)</f>
        <v>125</v>
      </c>
      <c r="H15" s="6">
        <f>COUNTIFS('post-audit-active-backlog-statu'!$C$2:$C$6832,F15,'post-audit-active-backlog-statu'!$G$2:$G$6832,"Fixed")</f>
        <v>86</v>
      </c>
      <c r="I15" s="6">
        <f>COUNTIFS('post-audit-active-backlog-statu'!$C$2:$C$6832,F15,'post-audit-active-backlog-statu'!$G$2:$G$6832,"ReviewedNoChange")+COUNTIFS('post-audit-active-backlog-statu'!$C$2:$C$6832,F15,'post-audit-active-backlog-statu'!$G$2:$G$6832,"SafeNoChange")+COUNTIFS('post-audit-active-backlog-statu'!$C$2:$C$6832,F15,'post-audit-active-backlog-statu'!$G$2:$G$6832,"PolicyResolvedNoChange")</f>
        <v>6</v>
      </c>
      <c r="J15" s="6">
        <f>COUNTIFS('post-audit-active-backlog-statu'!$C$2:$C$6832,F15,'post-audit-active-backlog-statu'!$G$2:$G$6832,"BlocksOnlyThisDomain")</f>
        <v>0</v>
      </c>
      <c r="K15" s="8">
        <f t="shared" si="0"/>
        <v>0.688</v>
      </c>
      <c r="L15" s="1"/>
      <c r="M15" s="4" t="s">
        <v>5328</v>
      </c>
      <c r="N15" s="6">
        <f>COUNTIF('post-audit-active-backlog-statu'!$D$2:$D$6832,M15)</f>
        <v>186</v>
      </c>
      <c r="O15" s="6">
        <f>COUNTIFS('post-audit-active-backlog-statu'!$D$2:$D$6832,M15,'post-audit-active-backlog-statu'!$G$2:$G$6832,"Fixed")</f>
        <v>18</v>
      </c>
      <c r="P15" s="6">
        <f>COUNTIFS('post-audit-active-backlog-statu'!$D$2:$D$6832,M15,'post-audit-active-backlog-statu'!$G$2:$G$6832,"ReviewedNoChange")+COUNTIFS('post-audit-active-backlog-statu'!$D$2:$D$6832,M15,'post-audit-active-backlog-statu'!$G$2:$G$6832,"SafeNoChange")+COUNTIFS('post-audit-active-backlog-statu'!$D$2:$D$6832,M15,'post-audit-active-backlog-statu'!$G$2:$G$6832,"PolicyResolvedNoChange")</f>
        <v>167</v>
      </c>
      <c r="Q15" s="6">
        <f>COUNTIFS('post-audit-active-backlog-statu'!$D$2:$D$6832,M15,'post-audit-active-backlog-statu'!$G$2:$G$6832,"BlocksOnlyThisDomain")</f>
        <v>0</v>
      </c>
      <c r="R15" s="8">
        <f t="shared" si="1"/>
        <v>0.0967741935483871</v>
      </c>
      <c r="S15" s="1"/>
      <c r="T15" s="5">
        <v>46315</v>
      </c>
      <c r="U15" s="6">
        <f>COUNTIF('post-audit-active-backlog-statu'!$O$2:$O$6832,TEXT(T15,"yyyy-mm-dd")&amp;"*")+COUNTIFS('post-audit-active-backlog-statu'!$O$2:$O$6832,"&gt;="&amp;T15,'post-audit-active-backlog-statu'!$O$2:$O$6832,"&lt;"&amp;T15+1)</f>
        <v>2</v>
      </c>
      <c r="V15" s="1"/>
    </row>
    <row r="16" spans="1:22" ht="20.100000000000001" customHeight="1" x14ac:dyDescent="0.25">
      <c r="A16" s="1"/>
      <c r="B16" s="1"/>
      <c r="C16" s="1"/>
      <c r="D16" s="1"/>
      <c r="E16" s="1"/>
      <c r="F16" s="4" t="s">
        <v>25239</v>
      </c>
      <c r="G16" s="6">
        <f>COUNTIF('post-audit-active-backlog-statu'!$C$2:$C$6832,F16)</f>
        <v>112</v>
      </c>
      <c r="H16" s="6">
        <f>COUNTIFS('post-audit-active-backlog-statu'!$C$2:$C$6832,F16,'post-audit-active-backlog-statu'!$G$2:$G$6832,"Fixed")</f>
        <v>0</v>
      </c>
      <c r="I16" s="6">
        <f>COUNTIFS('post-audit-active-backlog-statu'!$C$2:$C$6832,F16,'post-audit-active-backlog-statu'!$G$2:$G$6832,"ReviewedNoChange")+COUNTIFS('post-audit-active-backlog-statu'!$C$2:$C$6832,F16,'post-audit-active-backlog-statu'!$G$2:$G$6832,"SafeNoChange")+COUNTIFS('post-audit-active-backlog-statu'!$C$2:$C$6832,F16,'post-audit-active-backlog-statu'!$G$2:$G$6832,"PolicyResolvedNoChange")</f>
        <v>88</v>
      </c>
      <c r="J16" s="6">
        <f>COUNTIFS('post-audit-active-backlog-statu'!$C$2:$C$6832,F16,'post-audit-active-backlog-statu'!$G$2:$G$6832,"BlocksOnlyThisDomain")</f>
        <v>0</v>
      </c>
      <c r="K16" s="8">
        <f t="shared" si="0"/>
        <v>0.0</v>
      </c>
      <c r="L16" s="1"/>
      <c r="M16" s="4" t="s">
        <v>5979</v>
      </c>
      <c r="N16" s="6">
        <f>COUNTIF('post-audit-active-backlog-statu'!$D$2:$D$6832,M16)</f>
        <v>183</v>
      </c>
      <c r="O16" s="6">
        <f>COUNTIFS('post-audit-active-backlog-statu'!$D$2:$D$6832,M16,'post-audit-active-backlog-statu'!$G$2:$G$6832,"Fixed")</f>
        <v>1</v>
      </c>
      <c r="P16" s="6">
        <f>COUNTIFS('post-audit-active-backlog-statu'!$D$2:$D$6832,M16,'post-audit-active-backlog-statu'!$G$2:$G$6832,"ReviewedNoChange")+COUNTIFS('post-audit-active-backlog-statu'!$D$2:$D$6832,M16,'post-audit-active-backlog-statu'!$G$2:$G$6832,"SafeNoChange")+COUNTIFS('post-audit-active-backlog-statu'!$D$2:$D$6832,M16,'post-audit-active-backlog-statu'!$G$2:$G$6832,"PolicyResolvedNoChange")</f>
        <v>102</v>
      </c>
      <c r="Q16" s="6">
        <f>COUNTIFS('post-audit-active-backlog-statu'!$D$2:$D$6832,M16,'post-audit-active-backlog-statu'!$G$2:$G$6832,"BlocksOnlyThisDomain")</f>
        <v>0</v>
      </c>
      <c r="R16" s="8">
        <f t="shared" si="1"/>
        <v>0.00546448087431694</v>
      </c>
      <c r="S16" s="1"/>
      <c r="T16" s="5">
        <v>46320</v>
      </c>
      <c r="U16" s="6">
        <f>COUNTIF('post-audit-active-backlog-statu'!$O$2:$O$6832,TEXT(T16,"yyyy-mm-dd")&amp;"*")+COUNTIFS('post-audit-active-backlog-statu'!$O$2:$O$6832,"&gt;="&amp;T16,'post-audit-active-backlog-statu'!$O$2:$O$6832,"&lt;"&amp;T16+1)</f>
        <v>7</v>
      </c>
      <c r="V16" s="1"/>
    </row>
    <row r="17" spans="1:22" ht="20.100000000000001" customHeight="1" x14ac:dyDescent="0.25">
      <c r="A17" s="1"/>
      <c r="B17" s="1"/>
      <c r="C17" s="1"/>
      <c r="D17" s="1"/>
      <c r="E17" s="1"/>
      <c r="F17" s="4" t="s">
        <v>9214</v>
      </c>
      <c r="G17" s="6">
        <f>COUNTIF('post-audit-active-backlog-statu'!$C$2:$C$6832,F17)</f>
        <v>61</v>
      </c>
      <c r="H17" s="6">
        <f>COUNTIFS('post-audit-active-backlog-statu'!$C$2:$C$6832,F17,'post-audit-active-backlog-statu'!$G$2:$G$6832,"Fixed")</f>
        <v>61</v>
      </c>
      <c r="I17" s="6">
        <f>COUNTIFS('post-audit-active-backlog-statu'!$C$2:$C$6832,F17,'post-audit-active-backlog-statu'!$G$2:$G$6832,"ReviewedNoChange")+COUNTIFS('post-audit-active-backlog-statu'!$C$2:$C$6832,F17,'post-audit-active-backlog-statu'!$G$2:$G$6832,"SafeNoChange")+COUNTIFS('post-audit-active-backlog-statu'!$C$2:$C$6832,F17,'post-audit-active-backlog-statu'!$G$2:$G$6832,"PolicyResolvedNoChange")</f>
        <v>0</v>
      </c>
      <c r="J17" s="6">
        <f>COUNTIFS('post-audit-active-backlog-statu'!$C$2:$C$6832,F17,'post-audit-active-backlog-statu'!$G$2:$G$6832,"BlocksOnlyThisDomain")</f>
        <v>0</v>
      </c>
      <c r="K17" s="8">
        <f t="shared" si="0"/>
        <v>1.0</v>
      </c>
      <c r="L17" s="1"/>
      <c r="M17" s="4" t="s">
        <v>5372</v>
      </c>
      <c r="N17" s="6">
        <f>COUNTIF('post-audit-active-backlog-statu'!$D$2:$D$6832,M17)</f>
        <v>151</v>
      </c>
      <c r="O17" s="6">
        <f>COUNTIFS('post-audit-active-backlog-statu'!$D$2:$D$6832,M17,'post-audit-active-backlog-statu'!$G$2:$G$6832,"Fixed")</f>
        <v>4</v>
      </c>
      <c r="P17" s="6">
        <f>COUNTIFS('post-audit-active-backlog-statu'!$D$2:$D$6832,M17,'post-audit-active-backlog-statu'!$G$2:$G$6832,"ReviewedNoChange")+COUNTIFS('post-audit-active-backlog-statu'!$D$2:$D$6832,M17,'post-audit-active-backlog-statu'!$G$2:$G$6832,"SafeNoChange")+COUNTIFS('post-audit-active-backlog-statu'!$D$2:$D$6832,M17,'post-audit-active-backlog-statu'!$G$2:$G$6832,"PolicyResolvedNoChange")</f>
        <v>132</v>
      </c>
      <c r="Q17" s="6">
        <f>COUNTIFS('post-audit-active-backlog-statu'!$D$2:$D$6832,M17,'post-audit-active-backlog-statu'!$G$2:$G$6832,"BlocksOnlyThisDomain")</f>
        <v>0</v>
      </c>
      <c r="R17" s="8">
        <f t="shared" si="1"/>
        <v>0.026490066225165563</v>
      </c>
      <c r="S17" s="1"/>
      <c r="T17" s="1"/>
      <c r="U17" s="1"/>
      <c r="V17" s="1"/>
    </row>
    <row r="18" spans="1:22" ht="30" customHeight="1" x14ac:dyDescent="0.25">
      <c r="A18" s="3" t="s">
        <v>33459</v>
      </c>
      <c r="B18" s="3" t="s">
        <v>33460</v>
      </c>
      <c r="C18" s="3" t="s">
        <v>33461</v>
      </c>
      <c r="D18" s="1"/>
      <c r="E18" s="1"/>
      <c r="F18" s="4" t="s">
        <v>870</v>
      </c>
      <c r="G18" s="6">
        <f>COUNTIF('post-audit-active-backlog-statu'!$C$2:$C$6832,F18)</f>
        <v>27</v>
      </c>
      <c r="H18" s="6">
        <f>COUNTIFS('post-audit-active-backlog-statu'!$C$2:$C$6832,F18,'post-audit-active-backlog-statu'!$G$2:$G$6832,"Fixed")</f>
        <v>0</v>
      </c>
      <c r="I18" s="6">
        <f>COUNTIFS('post-audit-active-backlog-statu'!$C$2:$C$6832,F18,'post-audit-active-backlog-statu'!$G$2:$G$6832,"ReviewedNoChange")+COUNTIFS('post-audit-active-backlog-statu'!$C$2:$C$6832,F18,'post-audit-active-backlog-statu'!$G$2:$G$6832,"SafeNoChange")+COUNTIFS('post-audit-active-backlog-statu'!$C$2:$C$6832,F18,'post-audit-active-backlog-statu'!$G$2:$G$6832,"PolicyResolvedNoChange")</f>
        <v>4</v>
      </c>
      <c r="J18" s="6">
        <f>COUNTIFS('post-audit-active-backlog-statu'!$C$2:$C$6832,F18,'post-audit-active-backlog-statu'!$G$2:$G$6832,"BlocksOnlyThisDomain")</f>
        <v>0</v>
      </c>
      <c r="K18" s="8">
        <f t="shared" si="0"/>
        <v>0.0</v>
      </c>
      <c r="L18" s="1"/>
      <c r="M18" s="4" t="s">
        <v>391</v>
      </c>
      <c r="N18" s="6">
        <f>COUNTIF('post-audit-active-backlog-statu'!$D$2:$D$6832,M18)</f>
        <v>148</v>
      </c>
      <c r="O18" s="6">
        <f>COUNTIFS('post-audit-active-backlog-statu'!$D$2:$D$6832,M18,'post-audit-active-backlog-statu'!$G$2:$G$6832,"Fixed")</f>
        <v>0</v>
      </c>
      <c r="P18" s="6">
        <f>COUNTIFS('post-audit-active-backlog-statu'!$D$2:$D$6832,M18,'post-audit-active-backlog-statu'!$G$2:$G$6832,"ReviewedNoChange")+COUNTIFS('post-audit-active-backlog-statu'!$D$2:$D$6832,M18,'post-audit-active-backlog-statu'!$G$2:$G$6832,"SafeNoChange")+COUNTIFS('post-audit-active-backlog-statu'!$D$2:$D$6832,M18,'post-audit-active-backlog-statu'!$G$2:$G$6832,"PolicyResolvedNoChange")</f>
        <v>148</v>
      </c>
      <c r="Q18" s="6">
        <f>COUNTIFS('post-audit-active-backlog-statu'!$D$2:$D$6832,M18,'post-audit-active-backlog-statu'!$G$2:$G$6832,"BlocksOnlyThisDomain")</f>
        <v>0</v>
      </c>
      <c r="R18" s="8">
        <f t="shared" si="1"/>
        <v>0.0</v>
      </c>
      <c r="S18" s="1"/>
      <c r="T18" s="1"/>
      <c r="U18" s="1"/>
      <c r="V18" s="1"/>
    </row>
    <row r="19" spans="1:22" ht="20.100000000000001" customHeight="1" x14ac:dyDescent="0.25">
      <c r="A19" s="4" t="s">
        <v>33462</v>
      </c>
      <c r="B19" s="6">
        <f>SUM(B5:B15)-'Audit Dashboard'!B6</f>
        <v>0</v>
      </c>
      <c r="C19" s="4" t="str">
        <f t="shared" ref="C19:C27" si="2">IF(B19=0,"OK","REVIEW")</f>
        <v>OK</v>
      </c>
      <c r="D19" s="1"/>
      <c r="E19" s="1"/>
      <c r="F19" s="4" t="s">
        <v>6306</v>
      </c>
      <c r="G19" s="6">
        <f>COUNTIF('post-audit-active-backlog-statu'!$C$2:$C$6832,F19)</f>
        <v>30</v>
      </c>
      <c r="H19" s="6">
        <f>COUNTIFS('post-audit-active-backlog-statu'!$C$2:$C$6832,F19,'post-audit-active-backlog-statu'!$G$2:$G$6832,"Fixed")</f>
        <v>0</v>
      </c>
      <c r="I19" s="6">
        <f>COUNTIFS('post-audit-active-backlog-statu'!$C$2:$C$6832,F19,'post-audit-active-backlog-statu'!$G$2:$G$6832,"ReviewedNoChange")+COUNTIFS('post-audit-active-backlog-statu'!$C$2:$C$6832,F19,'post-audit-active-backlog-statu'!$G$2:$G$6832,"SafeNoChange")+COUNTIFS('post-audit-active-backlog-statu'!$C$2:$C$6832,F19,'post-audit-active-backlog-statu'!$G$2:$G$6832,"PolicyResolvedNoChange")</f>
        <v>0</v>
      </c>
      <c r="J19" s="6">
        <f>COUNTIFS('post-audit-active-backlog-statu'!$C$2:$C$6832,F19,'post-audit-active-backlog-statu'!$G$2:$G$6832,"BlocksOnlyThisDomain")</f>
        <v>0</v>
      </c>
      <c r="K19" s="8">
        <f t="shared" si="0"/>
        <v>0.0</v>
      </c>
      <c r="L19" s="1"/>
      <c r="M19" s="4" t="s">
        <v>45</v>
      </c>
      <c r="N19" s="6">
        <f>COUNTIF('post-audit-active-backlog-statu'!$D$2:$D$6832,M19)</f>
        <v>128</v>
      </c>
      <c r="O19" s="6">
        <f>COUNTIFS('post-audit-active-backlog-statu'!$D$2:$D$6832,M19,'post-audit-active-backlog-statu'!$G$2:$G$6832,"Fixed")</f>
        <v>19</v>
      </c>
      <c r="P19" s="6">
        <f>COUNTIFS('post-audit-active-backlog-statu'!$D$2:$D$6832,M19,'post-audit-active-backlog-statu'!$G$2:$G$6832,"ReviewedNoChange")+COUNTIFS('post-audit-active-backlog-statu'!$D$2:$D$6832,M19,'post-audit-active-backlog-statu'!$G$2:$G$6832,"SafeNoChange")+COUNTIFS('post-audit-active-backlog-statu'!$D$2:$D$6832,M19,'post-audit-active-backlog-statu'!$G$2:$G$6832,"PolicyResolvedNoChange")</f>
        <v>78</v>
      </c>
      <c r="Q19" s="6">
        <f>COUNTIFS('post-audit-active-backlog-statu'!$D$2:$D$6832,M19,'post-audit-active-backlog-statu'!$G$2:$G$6832,"BlocksOnlyThisDomain")</f>
        <v>0</v>
      </c>
      <c r="R19" s="8">
        <f t="shared" si="1"/>
        <v>0.1484375</v>
      </c>
      <c r="S19" s="1"/>
      <c r="T19" s="1"/>
      <c r="U19" s="1"/>
      <c r="V19" s="1"/>
    </row>
    <row r="20" spans="1:22" ht="20.100000000000001" customHeight="1" x14ac:dyDescent="0.25">
      <c r="A20" s="4" t="s">
        <v>33463</v>
      </c>
      <c r="B20" s="6">
        <f>SUM(G5:G21)-'Audit Dashboard'!B6</f>
        <v>0</v>
      </c>
      <c r="C20" s="4" t="str">
        <f t="shared" si="2"/>
        <v>OK</v>
      </c>
      <c r="D20" s="1"/>
      <c r="E20" s="1"/>
      <c r="F20" s="4" t="s">
        <v>18</v>
      </c>
      <c r="G20" s="6">
        <f>COUNTIF('post-audit-active-backlog-statu'!$C$2:$C$6832,F20)</f>
        <v>17</v>
      </c>
      <c r="H20" s="6">
        <f>COUNTIFS('post-audit-active-backlog-statu'!$C$2:$C$6832,F20,'post-audit-active-backlog-statu'!$G$2:$G$6832,"Fixed")</f>
        <v>3</v>
      </c>
      <c r="I20" s="6">
        <f>COUNTIFS('post-audit-active-backlog-statu'!$C$2:$C$6832,F20,'post-audit-active-backlog-statu'!$G$2:$G$6832,"ReviewedNoChange")+COUNTIFS('post-audit-active-backlog-statu'!$C$2:$C$6832,F20,'post-audit-active-backlog-statu'!$G$2:$G$6832,"SafeNoChange")+COUNTIFS('post-audit-active-backlog-statu'!$C$2:$C$6832,F20,'post-audit-active-backlog-statu'!$G$2:$G$6832,"PolicyResolvedNoChange")</f>
        <v>14</v>
      </c>
      <c r="J20" s="6">
        <f>COUNTIFS('post-audit-active-backlog-statu'!$C$2:$C$6832,F20,'post-audit-active-backlog-statu'!$G$2:$G$6832,"BlocksOnlyThisDomain")</f>
        <v>0</v>
      </c>
      <c r="K20" s="8">
        <f t="shared" si="0"/>
        <v>0.17647058823529413</v>
      </c>
      <c r="L20" s="1"/>
      <c r="M20" s="4" t="s">
        <v>62</v>
      </c>
      <c r="N20" s="6">
        <f>COUNTIF('post-audit-active-backlog-statu'!$D$2:$D$6832,M20)</f>
        <v>123</v>
      </c>
      <c r="O20" s="6">
        <f>COUNTIFS('post-audit-active-backlog-statu'!$D$2:$D$6832,M20,'post-audit-active-backlog-statu'!$G$2:$G$6832,"Fixed")</f>
        <v>40</v>
      </c>
      <c r="P20" s="6">
        <f>COUNTIFS('post-audit-active-backlog-statu'!$D$2:$D$6832,M20,'post-audit-active-backlog-statu'!$G$2:$G$6832,"ReviewedNoChange")+COUNTIFS('post-audit-active-backlog-statu'!$D$2:$D$6832,M20,'post-audit-active-backlog-statu'!$G$2:$G$6832,"SafeNoChange")+COUNTIFS('post-audit-active-backlog-statu'!$D$2:$D$6832,M20,'post-audit-active-backlog-statu'!$G$2:$G$6832,"PolicyResolvedNoChange")</f>
        <v>69</v>
      </c>
      <c r="Q20" s="6">
        <f>COUNTIFS('post-audit-active-backlog-statu'!$D$2:$D$6832,M20,'post-audit-active-backlog-statu'!$G$2:$G$6832,"BlocksOnlyThisDomain")</f>
        <v>0</v>
      </c>
      <c r="R20" s="8">
        <f t="shared" si="1"/>
        <v>0.3252032520325203</v>
      </c>
      <c r="S20" s="1"/>
      <c r="T20" s="1"/>
      <c r="U20" s="1"/>
      <c r="V20" s="1"/>
    </row>
    <row r="21" spans="1:22" ht="20.100000000000001" customHeight="1" x14ac:dyDescent="0.25">
      <c r="A21" s="4" t="s">
        <v>33464</v>
      </c>
      <c r="B21" s="6">
        <f>SUM(N5:N209)-'Audit Dashboard'!B6</f>
        <v>0</v>
      </c>
      <c r="C21" s="4" t="str">
        <f t="shared" si="2"/>
        <v>OK</v>
      </c>
      <c r="D21" s="1"/>
      <c r="E21" s="1"/>
      <c r="F21" s="4" t="s">
        <v>9416</v>
      </c>
      <c r="G21" s="6">
        <f>COUNTIF('post-audit-active-backlog-statu'!$C$2:$C$6832,F21)</f>
        <v>14</v>
      </c>
      <c r="H21" s="6">
        <f>COUNTIFS('post-audit-active-backlog-statu'!$C$2:$C$6832,F21,'post-audit-active-backlog-statu'!$G$2:$G$6832,"Fixed")</f>
        <v>8</v>
      </c>
      <c r="I21" s="6">
        <f>COUNTIFS('post-audit-active-backlog-statu'!$C$2:$C$6832,F21,'post-audit-active-backlog-statu'!$G$2:$G$6832,"ReviewedNoChange")+COUNTIFS('post-audit-active-backlog-statu'!$C$2:$C$6832,F21,'post-audit-active-backlog-statu'!$G$2:$G$6832,"SafeNoChange")+COUNTIFS('post-audit-active-backlog-statu'!$C$2:$C$6832,F21,'post-audit-active-backlog-statu'!$G$2:$G$6832,"PolicyResolvedNoChange")</f>
        <v>0</v>
      </c>
      <c r="J21" s="6">
        <f>COUNTIFS('post-audit-active-backlog-statu'!$C$2:$C$6832,F21,'post-audit-active-backlog-statu'!$G$2:$G$6832,"BlocksOnlyThisDomain")</f>
        <v>6</v>
      </c>
      <c r="K21" s="8">
        <f t="shared" si="0"/>
        <v>0.5714285714285714</v>
      </c>
      <c r="L21" s="1"/>
      <c r="M21" s="4" t="s">
        <v>3068</v>
      </c>
      <c r="N21" s="6">
        <f>COUNTIF('post-audit-active-backlog-statu'!$D$2:$D$6832,M21)</f>
        <v>118</v>
      </c>
      <c r="O21" s="6">
        <f>COUNTIFS('post-audit-active-backlog-statu'!$D$2:$D$6832,M21,'post-audit-active-backlog-statu'!$G$2:$G$6832,"Fixed")</f>
        <v>24</v>
      </c>
      <c r="P21" s="6">
        <f>COUNTIFS('post-audit-active-backlog-statu'!$D$2:$D$6832,M21,'post-audit-active-backlog-statu'!$G$2:$G$6832,"ReviewedNoChange")+COUNTIFS('post-audit-active-backlog-statu'!$D$2:$D$6832,M21,'post-audit-active-backlog-statu'!$G$2:$G$6832,"SafeNoChange")+COUNTIFS('post-audit-active-backlog-statu'!$D$2:$D$6832,M21,'post-audit-active-backlog-statu'!$G$2:$G$6832,"PolicyResolvedNoChange")</f>
        <v>87</v>
      </c>
      <c r="Q21" s="6">
        <f>COUNTIFS('post-audit-active-backlog-statu'!$D$2:$D$6832,M21,'post-audit-active-backlog-statu'!$G$2:$G$6832,"BlocksOnlyThisDomain")</f>
        <v>0</v>
      </c>
      <c r="R21" s="8">
        <f t="shared" si="1"/>
        <v>0.2033898305084746</v>
      </c>
      <c r="S21" s="1"/>
      <c r="T21" s="1"/>
      <c r="U21" s="1"/>
      <c r="V21" s="1"/>
    </row>
    <row r="22" spans="1:22" ht="20.100000000000001" customHeight="1" x14ac:dyDescent="0.25">
      <c r="A22" s="4" t="s">
        <v>33465</v>
      </c>
      <c r="B22" s="6">
        <f>SUM(U5:U16)-'Audit Dashboard'!B6</f>
        <v>0</v>
      </c>
      <c r="C22" s="4" t="str">
        <f t="shared" si="2"/>
        <v>OK</v>
      </c>
      <c r="D22" s="1"/>
      <c r="E22" s="1"/>
      <c r="F22" s="1"/>
      <c r="G22" s="1"/>
      <c r="H22" s="1"/>
      <c r="I22" s="1"/>
      <c r="J22" s="1"/>
      <c r="K22" s="1"/>
      <c r="L22" s="1"/>
      <c r="M22" s="4" t="s">
        <v>286</v>
      </c>
      <c r="N22" s="6">
        <f>COUNTIF('post-audit-active-backlog-statu'!$D$2:$D$6832,M22)</f>
        <v>110</v>
      </c>
      <c r="O22" s="6">
        <f>COUNTIFS('post-audit-active-backlog-statu'!$D$2:$D$6832,M22,'post-audit-active-backlog-statu'!$G$2:$G$6832,"Fixed")</f>
        <v>13</v>
      </c>
      <c r="P22" s="6">
        <f>COUNTIFS('post-audit-active-backlog-statu'!$D$2:$D$6832,M22,'post-audit-active-backlog-statu'!$G$2:$G$6832,"ReviewedNoChange")+COUNTIFS('post-audit-active-backlog-statu'!$D$2:$D$6832,M22,'post-audit-active-backlog-statu'!$G$2:$G$6832,"SafeNoChange")+COUNTIFS('post-audit-active-backlog-statu'!$D$2:$D$6832,M22,'post-audit-active-backlog-statu'!$G$2:$G$6832,"PolicyResolvedNoChange")</f>
        <v>37</v>
      </c>
      <c r="Q22" s="6">
        <f>COUNTIFS('post-audit-active-backlog-statu'!$D$2:$D$6832,M22,'post-audit-active-backlog-statu'!$G$2:$G$6832,"BlocksOnlyThisDomain")</f>
        <v>0</v>
      </c>
      <c r="R22" s="8">
        <f t="shared" si="1"/>
        <v>0.11818181818181818</v>
      </c>
      <c r="S22" s="1"/>
      <c r="T22" s="1"/>
      <c r="U22" s="1"/>
      <c r="V22" s="1"/>
    </row>
    <row r="23" spans="1:22" ht="20.100000000000001" customHeight="1" x14ac:dyDescent="0.25">
      <c r="A23" s="4" t="s">
        <v>33466</v>
      </c>
      <c r="B23" s="4" cm="1">
        <f t="array" ref="B23">SUMPRODUCT(('post-audit-active-backlog-statu'!$A$2:$A$6832&lt;&gt;"")*(COUNTIF('post-audit-active-backlog-statu'!$A$2:$A$6832,'post-audit-active-backlog-statu'!$A$2:$A$6832)&gt;1))</f>
        <v>0</v>
      </c>
      <c r="C23" s="4" t="str">
        <f t="shared" si="2"/>
        <v>OK</v>
      </c>
      <c r="D23" s="1"/>
      <c r="E23" s="1"/>
      <c r="F23" s="1"/>
      <c r="G23" s="1"/>
      <c r="H23" s="1"/>
      <c r="I23" s="1"/>
      <c r="J23" s="1"/>
      <c r="K23" s="1"/>
      <c r="L23" s="1"/>
      <c r="M23" s="4" t="s">
        <v>10730</v>
      </c>
      <c r="N23" s="6">
        <f>COUNTIF('post-audit-active-backlog-statu'!$D$2:$D$6832,M23)</f>
        <v>105</v>
      </c>
      <c r="O23" s="6">
        <f>COUNTIFS('post-audit-active-backlog-statu'!$D$2:$D$6832,M23,'post-audit-active-backlog-statu'!$G$2:$G$6832,"Fixed")</f>
        <v>0</v>
      </c>
      <c r="P23" s="6">
        <f>COUNTIFS('post-audit-active-backlog-statu'!$D$2:$D$6832,M23,'post-audit-active-backlog-statu'!$G$2:$G$6832,"ReviewedNoChange")+COUNTIFS('post-audit-active-backlog-statu'!$D$2:$D$6832,M23,'post-audit-active-backlog-statu'!$G$2:$G$6832,"SafeNoChange")+COUNTIFS('post-audit-active-backlog-statu'!$D$2:$D$6832,M23,'post-audit-active-backlog-statu'!$G$2:$G$6832,"PolicyResolvedNoChange")</f>
        <v>12</v>
      </c>
      <c r="Q23" s="6">
        <f>COUNTIFS('post-audit-active-backlog-statu'!$D$2:$D$6832,M23,'post-audit-active-backlog-statu'!$G$2:$G$6832,"BlocksOnlyThisDomain")</f>
        <v>0</v>
      </c>
      <c r="R23" s="8">
        <f t="shared" si="1"/>
        <v>0.0</v>
      </c>
      <c r="S23" s="1"/>
      <c r="T23" s="1"/>
      <c r="U23" s="1"/>
      <c r="V23" s="1"/>
    </row>
    <row r="24" spans="1:22" ht="20.100000000000001" customHeight="1" x14ac:dyDescent="0.25">
      <c r="A24" s="4" t="s">
        <v>33467</v>
      </c>
      <c r="B24" s="4">
        <f>COUNTIFS('post-audit-active-backlog-statu'!$A$2:$A$6832,"&lt;&gt;",'post-audit-active-backlog-statu'!$G$2:$G$6832,"")</f>
        <v>0</v>
      </c>
      <c r="C24" s="4" t="str">
        <f t="shared" si="2"/>
        <v>OK</v>
      </c>
      <c r="D24" s="1"/>
      <c r="E24" s="1"/>
      <c r="F24" s="1"/>
      <c r="G24" s="1"/>
      <c r="H24" s="1"/>
      <c r="I24" s="1"/>
      <c r="J24" s="1"/>
      <c r="K24" s="1"/>
      <c r="L24" s="1"/>
      <c r="M24" s="4" t="s">
        <v>2347</v>
      </c>
      <c r="N24" s="6">
        <f>COUNTIF('post-audit-active-backlog-statu'!$D$2:$D$6832,M24)</f>
        <v>93</v>
      </c>
      <c r="O24" s="6">
        <f>COUNTIFS('post-audit-active-backlog-statu'!$D$2:$D$6832,M24,'post-audit-active-backlog-statu'!$G$2:$G$6832,"Fixed")</f>
        <v>14</v>
      </c>
      <c r="P24" s="6">
        <f>COUNTIFS('post-audit-active-backlog-statu'!$D$2:$D$6832,M24,'post-audit-active-backlog-statu'!$G$2:$G$6832,"ReviewedNoChange")+COUNTIFS('post-audit-active-backlog-statu'!$D$2:$D$6832,M24,'post-audit-active-backlog-statu'!$G$2:$G$6832,"SafeNoChange")+COUNTIFS('post-audit-active-backlog-statu'!$D$2:$D$6832,M24,'post-audit-active-backlog-statu'!$G$2:$G$6832,"PolicyResolvedNoChange")</f>
        <v>52</v>
      </c>
      <c r="Q24" s="6">
        <f>COUNTIFS('post-audit-active-backlog-statu'!$D$2:$D$6832,M24,'post-audit-active-backlog-statu'!$G$2:$G$6832,"BlocksOnlyThisDomain")</f>
        <v>0</v>
      </c>
      <c r="R24" s="8">
        <f t="shared" si="1"/>
        <v>0.15053763440860216</v>
      </c>
      <c r="S24" s="1"/>
      <c r="T24" s="1"/>
      <c r="U24" s="1"/>
      <c r="V24" s="1"/>
    </row>
    <row r="25" spans="1:22" ht="30" customHeight="1" x14ac:dyDescent="0.25">
      <c r="A25" s="4" t="s">
        <v>33468</v>
      </c>
      <c r="B25" s="4">
        <f>COUNTIFS('post-audit-active-backlog-statu'!$A$2:$A$6832,"&lt;&gt;",'post-audit-active-backlog-statu'!$L$2:$L$6832,"")</f>
        <v>0</v>
      </c>
      <c r="C25" s="4" t="str">
        <f t="shared" si="2"/>
        <v>OK</v>
      </c>
      <c r="D25" s="1"/>
      <c r="E25" s="1"/>
      <c r="F25" s="3" t="s">
        <v>33471</v>
      </c>
      <c r="G25" s="3" t="s">
        <v>33443</v>
      </c>
      <c r="H25" s="3" t="s">
        <v>33472</v>
      </c>
      <c r="I25" s="3" t="s">
        <v>33456</v>
      </c>
      <c r="J25" s="1"/>
      <c r="K25" s="1"/>
      <c r="L25" s="1"/>
      <c r="M25" s="4" t="s">
        <v>133</v>
      </c>
      <c r="N25" s="6">
        <f>COUNTIF('post-audit-active-backlog-statu'!$D$2:$D$6832,M25)</f>
        <v>92</v>
      </c>
      <c r="O25" s="6">
        <f>COUNTIFS('post-audit-active-backlog-statu'!$D$2:$D$6832,M25,'post-audit-active-backlog-statu'!$G$2:$G$6832,"Fixed")</f>
        <v>13</v>
      </c>
      <c r="P25" s="6">
        <f>COUNTIFS('post-audit-active-backlog-statu'!$D$2:$D$6832,M25,'post-audit-active-backlog-statu'!$G$2:$G$6832,"ReviewedNoChange")+COUNTIFS('post-audit-active-backlog-statu'!$D$2:$D$6832,M25,'post-audit-active-backlog-statu'!$G$2:$G$6832,"SafeNoChange")+COUNTIFS('post-audit-active-backlog-statu'!$D$2:$D$6832,M25,'post-audit-active-backlog-statu'!$G$2:$G$6832,"PolicyResolvedNoChange")</f>
        <v>33</v>
      </c>
      <c r="Q25" s="6">
        <f>COUNTIFS('post-audit-active-backlog-statu'!$D$2:$D$6832,M25,'post-audit-active-backlog-statu'!$G$2:$G$6832,"BlocksOnlyThisDomain")</f>
        <v>0</v>
      </c>
      <c r="R25" s="8">
        <f t="shared" si="1"/>
        <v>0.14130434782608695</v>
      </c>
      <c r="S25" s="1"/>
      <c r="T25" s="1"/>
      <c r="U25" s="1"/>
      <c r="V25" s="1"/>
    </row>
    <row r="26" spans="1:22" ht="20.100000000000001" customHeight="1" x14ac:dyDescent="0.25">
      <c r="A26" s="4" t="s">
        <v>33469</v>
      </c>
      <c r="B26" s="4">
        <f>COUNTIFS('post-audit-active-backlog-statu'!$A$2:$A$6832,"&lt;&gt;",'post-audit-active-backlog-statu'!$M$2:$M$6832,"")</f>
        <v>0</v>
      </c>
      <c r="C26" s="4" t="str">
        <f t="shared" si="2"/>
        <v>OK</v>
      </c>
      <c r="D26" s="1"/>
      <c r="E26" s="1"/>
      <c r="F26" s="4" t="s">
        <v>21</v>
      </c>
      <c r="G26" s="4">
        <f>COUNTIF('post-audit-active-backlog-statu'!$F$2:$F$6832,F26)</f>
        <v>6601</v>
      </c>
      <c r="H26" s="4">
        <f>COUNTIFS('post-audit-active-backlog-statu'!$F$2:$F$6832,F26,'post-audit-active-backlog-statu'!$G$2:$G$6832,"Fixed")</f>
        <v>939</v>
      </c>
      <c r="I26" s="4">
        <f>COUNTIFS('post-audit-active-backlog-statu'!$F$2:$F$6832,F26,'post-audit-active-backlog-statu'!$G$2:$G$6832,"BlocksOnlyThisDomain")</f>
        <v>1</v>
      </c>
      <c r="J26" s="1"/>
      <c r="K26" s="1"/>
      <c r="L26" s="1"/>
      <c r="M26" s="4" t="s">
        <v>82</v>
      </c>
      <c r="N26" s="6">
        <f>COUNTIF('post-audit-active-backlog-statu'!$D$2:$D$6832,M26)</f>
        <v>90</v>
      </c>
      <c r="O26" s="6">
        <f>COUNTIFS('post-audit-active-backlog-statu'!$D$2:$D$6832,M26,'post-audit-active-backlog-statu'!$G$2:$G$6832,"Fixed")</f>
        <v>2</v>
      </c>
      <c r="P26" s="6">
        <f>COUNTIFS('post-audit-active-backlog-statu'!$D$2:$D$6832,M26,'post-audit-active-backlog-statu'!$G$2:$G$6832,"ReviewedNoChange")+COUNTIFS('post-audit-active-backlog-statu'!$D$2:$D$6832,M26,'post-audit-active-backlog-statu'!$G$2:$G$6832,"SafeNoChange")+COUNTIFS('post-audit-active-backlog-statu'!$D$2:$D$6832,M26,'post-audit-active-backlog-statu'!$G$2:$G$6832,"PolicyResolvedNoChange")</f>
        <v>69</v>
      </c>
      <c r="Q26" s="6">
        <f>COUNTIFS('post-audit-active-backlog-statu'!$D$2:$D$6832,M26,'post-audit-active-backlog-statu'!$G$2:$G$6832,"BlocksOnlyThisDomain")</f>
        <v>0</v>
      </c>
      <c r="R26" s="8">
        <f t="shared" si="1"/>
        <v>0.022222222222222223</v>
      </c>
      <c r="S26" s="1"/>
      <c r="T26" s="1"/>
      <c r="U26" s="1"/>
      <c r="V26" s="1"/>
    </row>
    <row r="27" spans="1:22" ht="20.100000000000001" customHeight="1" x14ac:dyDescent="0.25">
      <c r="A27" s="4" t="s">
        <v>33470</v>
      </c>
      <c r="B27" s="4">
        <f>COUNTIFS('post-audit-active-backlog-statu'!$A$2:$A$6832,"&lt;&gt;",'post-audit-active-backlog-statu'!$O$2:$O$6832,"")</f>
        <v>0</v>
      </c>
      <c r="C27" s="4" t="str">
        <f t="shared" si="2"/>
        <v>OK</v>
      </c>
      <c r="D27" s="1"/>
      <c r="E27" s="1"/>
      <c r="F27" s="4" t="s">
        <v>6308</v>
      </c>
      <c r="G27" s="4">
        <f>COUNTIF('post-audit-active-backlog-statu'!$F$2:$F$6832,F27)</f>
        <v>216</v>
      </c>
      <c r="H27" s="4">
        <f>COUNTIFS('post-audit-active-backlog-statu'!$F$2:$F$6832,F27,'post-audit-active-backlog-statu'!$G$2:$G$6832,"Fixed")</f>
        <v>10</v>
      </c>
      <c r="I27" s="4">
        <f>COUNTIFS('post-audit-active-backlog-statu'!$F$2:$F$6832,F27,'post-audit-active-backlog-statu'!$G$2:$G$6832,"BlocksOnlyThisDomain")</f>
        <v>0</v>
      </c>
      <c r="J27" s="1"/>
      <c r="K27" s="1"/>
      <c r="L27" s="1"/>
      <c r="M27" s="4" t="s">
        <v>5471</v>
      </c>
      <c r="N27" s="6">
        <f>COUNTIF('post-audit-active-backlog-statu'!$D$2:$D$6832,M27)</f>
        <v>89</v>
      </c>
      <c r="O27" s="6">
        <f>COUNTIFS('post-audit-active-backlog-statu'!$D$2:$D$6832,M27,'post-audit-active-backlog-statu'!$G$2:$G$6832,"Fixed")</f>
        <v>16</v>
      </c>
      <c r="P27" s="6">
        <f>COUNTIFS('post-audit-active-backlog-statu'!$D$2:$D$6832,M27,'post-audit-active-backlog-statu'!$G$2:$G$6832,"ReviewedNoChange")+COUNTIFS('post-audit-active-backlog-statu'!$D$2:$D$6832,M27,'post-audit-active-backlog-statu'!$G$2:$G$6832,"SafeNoChange")+COUNTIFS('post-audit-active-backlog-statu'!$D$2:$D$6832,M27,'post-audit-active-backlog-statu'!$G$2:$G$6832,"PolicyResolvedNoChange")</f>
        <v>69</v>
      </c>
      <c r="Q27" s="6">
        <f>COUNTIFS('post-audit-active-backlog-statu'!$D$2:$D$6832,M27,'post-audit-active-backlog-statu'!$G$2:$G$6832,"BlocksOnlyThisDomain")</f>
        <v>0</v>
      </c>
      <c r="R27" s="8">
        <f t="shared" si="1"/>
        <v>0.1797752808988764</v>
      </c>
      <c r="S27" s="1"/>
      <c r="T27" s="1"/>
      <c r="U27" s="1"/>
      <c r="V27" s="1"/>
    </row>
    <row r="28" spans="1:22" ht="20.100000000000001" customHeight="1" x14ac:dyDescent="0.25">
      <c r="A28" s="1"/>
      <c r="B28" s="1"/>
      <c r="C28" s="1"/>
      <c r="D28" s="1"/>
      <c r="E28" s="1"/>
      <c r="F28" s="4" t="s">
        <v>9418</v>
      </c>
      <c r="G28" s="4">
        <f>COUNTIF('post-audit-active-backlog-statu'!$F$2:$F$6832,F28)</f>
        <v>14</v>
      </c>
      <c r="H28" s="4">
        <f>COUNTIFS('post-audit-active-backlog-statu'!$F$2:$F$6832,F28,'post-audit-active-backlog-statu'!$G$2:$G$6832,"Fixed")</f>
        <v>8</v>
      </c>
      <c r="I28" s="4">
        <f>COUNTIFS('post-audit-active-backlog-statu'!$F$2:$F$6832,F28,'post-audit-active-backlog-statu'!$G$2:$G$6832,"BlocksOnlyThisDomain")</f>
        <v>6</v>
      </c>
      <c r="J28" s="1"/>
      <c r="K28" s="1"/>
      <c r="L28" s="1"/>
      <c r="M28" s="4" t="s">
        <v>11356</v>
      </c>
      <c r="N28" s="6">
        <f>COUNTIF('post-audit-active-backlog-statu'!$D$2:$D$6832,M28)</f>
        <v>81</v>
      </c>
      <c r="O28" s="6">
        <f>COUNTIFS('post-audit-active-backlog-statu'!$D$2:$D$6832,M28,'post-audit-active-backlog-statu'!$G$2:$G$6832,"Fixed")</f>
        <v>0</v>
      </c>
      <c r="P28" s="6">
        <f>COUNTIFS('post-audit-active-backlog-statu'!$D$2:$D$6832,M28,'post-audit-active-backlog-statu'!$G$2:$G$6832,"ReviewedNoChange")+COUNTIFS('post-audit-active-backlog-statu'!$D$2:$D$6832,M28,'post-audit-active-backlog-statu'!$G$2:$G$6832,"SafeNoChange")+COUNTIFS('post-audit-active-backlog-statu'!$D$2:$D$6832,M28,'post-audit-active-backlog-statu'!$G$2:$G$6832,"PolicyResolvedNoChange")</f>
        <v>2</v>
      </c>
      <c r="Q28" s="6">
        <f>COUNTIFS('post-audit-active-backlog-statu'!$D$2:$D$6832,M28,'post-audit-active-backlog-statu'!$G$2:$G$6832,"BlocksOnlyThisDomain")</f>
        <v>0</v>
      </c>
      <c r="R28" s="8">
        <f t="shared" si="1"/>
        <v>0.0</v>
      </c>
      <c r="S28" s="1"/>
      <c r="T28" s="1"/>
      <c r="U28" s="1"/>
      <c r="V28" s="1"/>
    </row>
    <row r="29" spans="1:22" ht="20.100000000000001" customHeight="1" x14ac:dyDescent="0.25">
      <c r="A29" s="1"/>
      <c r="B29" s="1"/>
      <c r="C29" s="1"/>
      <c r="D29" s="1"/>
      <c r="E29" s="1"/>
      <c r="F29" s="1"/>
      <c r="G29" s="1"/>
      <c r="H29" s="1"/>
      <c r="I29" s="1"/>
      <c r="J29" s="1"/>
      <c r="K29" s="1"/>
      <c r="L29" s="1"/>
      <c r="M29" s="4" t="s">
        <v>5990</v>
      </c>
      <c r="N29" s="6">
        <f>COUNTIF('post-audit-active-backlog-statu'!$D$2:$D$6832,M29)</f>
        <v>58</v>
      </c>
      <c r="O29" s="6">
        <f>COUNTIFS('post-audit-active-backlog-statu'!$D$2:$D$6832,M29,'post-audit-active-backlog-statu'!$G$2:$G$6832,"Fixed")</f>
        <v>3</v>
      </c>
      <c r="P29" s="6">
        <f>COUNTIFS('post-audit-active-backlog-statu'!$D$2:$D$6832,M29,'post-audit-active-backlog-statu'!$G$2:$G$6832,"ReviewedNoChange")+COUNTIFS('post-audit-active-backlog-statu'!$D$2:$D$6832,M29,'post-audit-active-backlog-statu'!$G$2:$G$6832,"SafeNoChange")+COUNTIFS('post-audit-active-backlog-statu'!$D$2:$D$6832,M29,'post-audit-active-backlog-statu'!$G$2:$G$6832,"PolicyResolvedNoChange")</f>
        <v>46</v>
      </c>
      <c r="Q29" s="6">
        <f>COUNTIFS('post-audit-active-backlog-statu'!$D$2:$D$6832,M29,'post-audit-active-backlog-statu'!$G$2:$G$6832,"BlocksOnlyThisDomain")</f>
        <v>1</v>
      </c>
      <c r="R29" s="8">
        <f t="shared" si="1"/>
        <v>0.05172413793103448</v>
      </c>
      <c r="S29" s="1"/>
      <c r="T29" s="1"/>
      <c r="U29" s="1"/>
      <c r="V29" s="1"/>
    </row>
    <row r="30" spans="1:22" ht="20.100000000000001" customHeight="1" x14ac:dyDescent="0.25">
      <c r="A30" s="24" t="s">
        <v>33485</v>
      </c>
      <c r="B30" s="24"/>
      <c r="C30" s="24"/>
      <c r="D30" s="24"/>
      <c r="E30" s="1"/>
      <c r="F30" s="1"/>
      <c r="G30" s="1"/>
      <c r="H30" s="1"/>
      <c r="I30" s="1"/>
      <c r="J30" s="1"/>
      <c r="K30" s="1"/>
      <c r="L30" s="1"/>
      <c r="M30" s="4" t="s">
        <v>1078</v>
      </c>
      <c r="N30" s="6">
        <f>COUNTIF('post-audit-active-backlog-statu'!$D$2:$D$6832,M30)</f>
        <v>56</v>
      </c>
      <c r="O30" s="6">
        <f>COUNTIFS('post-audit-active-backlog-statu'!$D$2:$D$6832,M30,'post-audit-active-backlog-statu'!$G$2:$G$6832,"Fixed")</f>
        <v>18</v>
      </c>
      <c r="P30" s="6">
        <f>COUNTIFS('post-audit-active-backlog-statu'!$D$2:$D$6832,M30,'post-audit-active-backlog-statu'!$G$2:$G$6832,"ReviewedNoChange")+COUNTIFS('post-audit-active-backlog-statu'!$D$2:$D$6832,M30,'post-audit-active-backlog-statu'!$G$2:$G$6832,"SafeNoChange")+COUNTIFS('post-audit-active-backlog-statu'!$D$2:$D$6832,M30,'post-audit-active-backlog-statu'!$G$2:$G$6832,"PolicyResolvedNoChange")</f>
        <v>16</v>
      </c>
      <c r="Q30" s="6">
        <f>COUNTIFS('post-audit-active-backlog-statu'!$D$2:$D$6832,M30,'post-audit-active-backlog-statu'!$G$2:$G$6832,"BlocksOnlyThisDomain")</f>
        <v>1</v>
      </c>
      <c r="R30" s="8">
        <f t="shared" si="1"/>
        <v>0.32142857142857145</v>
      </c>
      <c r="S30" s="1"/>
      <c r="T30" s="1"/>
      <c r="U30" s="1"/>
      <c r="V30" s="1"/>
    </row>
    <row r="31" spans="1:22" ht="20.100000000000001" customHeight="1" x14ac:dyDescent="0.25">
      <c r="A31" s="24"/>
      <c r="B31" s="24"/>
      <c r="C31" s="24"/>
      <c r="D31" s="24"/>
      <c r="E31" s="1"/>
      <c r="F31" s="1"/>
      <c r="G31" s="1"/>
      <c r="H31" s="1"/>
      <c r="I31" s="1"/>
      <c r="J31" s="1"/>
      <c r="K31" s="1"/>
      <c r="L31" s="1"/>
      <c r="M31" s="4" t="s">
        <v>4270</v>
      </c>
      <c r="N31" s="6">
        <f>COUNTIF('post-audit-active-backlog-statu'!$D$2:$D$6832,M31)</f>
        <v>50</v>
      </c>
      <c r="O31" s="6">
        <f>COUNTIFS('post-audit-active-backlog-statu'!$D$2:$D$6832,M31,'post-audit-active-backlog-statu'!$G$2:$G$6832,"Fixed")</f>
        <v>14</v>
      </c>
      <c r="P31" s="6">
        <f>COUNTIFS('post-audit-active-backlog-statu'!$D$2:$D$6832,M31,'post-audit-active-backlog-statu'!$G$2:$G$6832,"ReviewedNoChange")+COUNTIFS('post-audit-active-backlog-statu'!$D$2:$D$6832,M31,'post-audit-active-backlog-statu'!$G$2:$G$6832,"SafeNoChange")+COUNTIFS('post-audit-active-backlog-statu'!$D$2:$D$6832,M31,'post-audit-active-backlog-statu'!$G$2:$G$6832,"PolicyResolvedNoChange")</f>
        <v>36</v>
      </c>
      <c r="Q31" s="6">
        <f>COUNTIFS('post-audit-active-backlog-statu'!$D$2:$D$6832,M31,'post-audit-active-backlog-statu'!$G$2:$G$6832,"BlocksOnlyThisDomain")</f>
        <v>0</v>
      </c>
      <c r="R31" s="8">
        <f t="shared" si="1"/>
        <v>0.28</v>
      </c>
      <c r="S31" s="1"/>
      <c r="T31" s="1"/>
      <c r="U31" s="1"/>
      <c r="V31" s="1"/>
    </row>
    <row r="32" spans="1:22" ht="20.100000000000001" customHeight="1" x14ac:dyDescent="0.25">
      <c r="A32" s="1"/>
      <c r="B32" s="1"/>
      <c r="C32" s="1"/>
      <c r="D32" s="1"/>
      <c r="E32" s="1"/>
      <c r="F32" s="1"/>
      <c r="G32" s="1"/>
      <c r="H32" s="1"/>
      <c r="I32" s="1"/>
      <c r="J32" s="1"/>
      <c r="K32" s="1"/>
      <c r="L32" s="1"/>
      <c r="M32" s="4" t="s">
        <v>8397</v>
      </c>
      <c r="N32" s="6">
        <f>COUNTIF('post-audit-active-backlog-statu'!$D$2:$D$6832,M32)</f>
        <v>50</v>
      </c>
      <c r="O32" s="6">
        <f>COUNTIFS('post-audit-active-backlog-statu'!$D$2:$D$6832,M32,'post-audit-active-backlog-statu'!$G$2:$G$6832,"Fixed")</f>
        <v>2</v>
      </c>
      <c r="P32" s="6">
        <f>COUNTIFS('post-audit-active-backlog-statu'!$D$2:$D$6832,M32,'post-audit-active-backlog-statu'!$G$2:$G$6832,"ReviewedNoChange")+COUNTIFS('post-audit-active-backlog-statu'!$D$2:$D$6832,M32,'post-audit-active-backlog-statu'!$G$2:$G$6832,"SafeNoChange")+COUNTIFS('post-audit-active-backlog-statu'!$D$2:$D$6832,M32,'post-audit-active-backlog-statu'!$G$2:$G$6832,"PolicyResolvedNoChange")</f>
        <v>35</v>
      </c>
      <c r="Q32" s="6">
        <f>COUNTIFS('post-audit-active-backlog-statu'!$D$2:$D$6832,M32,'post-audit-active-backlog-statu'!$G$2:$G$6832,"BlocksOnlyThisDomain")</f>
        <v>0</v>
      </c>
      <c r="R32" s="8">
        <f t="shared" si="1"/>
        <v>0.04</v>
      </c>
      <c r="S32" s="1"/>
      <c r="T32" s="1"/>
      <c r="U32" s="1"/>
      <c r="V32" s="1"/>
    </row>
    <row r="33" spans="1:22" ht="20.100000000000001" customHeight="1" x14ac:dyDescent="0.25">
      <c r="A33" s="1"/>
      <c r="B33" s="1"/>
      <c r="C33" s="1"/>
      <c r="D33" s="1"/>
      <c r="E33" s="1"/>
      <c r="F33" s="1"/>
      <c r="G33" s="1"/>
      <c r="H33" s="1"/>
      <c r="I33" s="1"/>
      <c r="J33" s="1"/>
      <c r="K33" s="1"/>
      <c r="L33" s="1"/>
      <c r="M33" s="4" t="s">
        <v>8357</v>
      </c>
      <c r="N33" s="6">
        <f>COUNTIF('post-audit-active-backlog-statu'!$D$2:$D$6832,M33)</f>
        <v>47</v>
      </c>
      <c r="O33" s="6">
        <f>COUNTIFS('post-audit-active-backlog-statu'!$D$2:$D$6832,M33,'post-audit-active-backlog-statu'!$G$2:$G$6832,"Fixed")</f>
        <v>1</v>
      </c>
      <c r="P33" s="6">
        <f>COUNTIFS('post-audit-active-backlog-statu'!$D$2:$D$6832,M33,'post-audit-active-backlog-statu'!$G$2:$G$6832,"ReviewedNoChange")+COUNTIFS('post-audit-active-backlog-statu'!$D$2:$D$6832,M33,'post-audit-active-backlog-statu'!$G$2:$G$6832,"SafeNoChange")+COUNTIFS('post-audit-active-backlog-statu'!$D$2:$D$6832,M33,'post-audit-active-backlog-statu'!$G$2:$G$6832,"PolicyResolvedNoChange")</f>
        <v>7</v>
      </c>
      <c r="Q33" s="6">
        <f>COUNTIFS('post-audit-active-backlog-statu'!$D$2:$D$6832,M33,'post-audit-active-backlog-statu'!$G$2:$G$6832,"BlocksOnlyThisDomain")</f>
        <v>0</v>
      </c>
      <c r="R33" s="8">
        <f t="shared" si="1"/>
        <v>0.02127659574468085</v>
      </c>
      <c r="S33" s="1"/>
      <c r="T33" s="1"/>
      <c r="U33" s="1"/>
      <c r="V33" s="1"/>
    </row>
    <row r="34" spans="1:22" ht="30" customHeight="1" x14ac:dyDescent="0.25">
      <c r="A34" s="3" t="s">
        <v>33482</v>
      </c>
      <c r="B34" s="3" t="s">
        <v>3</v>
      </c>
      <c r="C34" s="3" t="s">
        <v>33483</v>
      </c>
      <c r="D34" s="3" t="s">
        <v>33484</v>
      </c>
      <c r="E34" s="1"/>
      <c r="F34" s="1"/>
      <c r="G34" s="1"/>
      <c r="H34" s="1"/>
      <c r="I34" s="1"/>
      <c r="J34" s="1"/>
      <c r="K34" s="1"/>
      <c r="L34" s="1"/>
      <c r="M34" s="4" t="s">
        <v>4519</v>
      </c>
      <c r="N34" s="6">
        <f>COUNTIF('post-audit-active-backlog-statu'!$D$2:$D$6832,M34)</f>
        <v>47</v>
      </c>
      <c r="O34" s="6">
        <f>COUNTIFS('post-audit-active-backlog-statu'!$D$2:$D$6832,M34,'post-audit-active-backlog-statu'!$G$2:$G$6832,"Fixed")</f>
        <v>31</v>
      </c>
      <c r="P34" s="6">
        <f>COUNTIFS('post-audit-active-backlog-statu'!$D$2:$D$6832,M34,'post-audit-active-backlog-statu'!$G$2:$G$6832,"ReviewedNoChange")+COUNTIFS('post-audit-active-backlog-statu'!$D$2:$D$6832,M34,'post-audit-active-backlog-statu'!$G$2:$G$6832,"SafeNoChange")+COUNTIFS('post-audit-active-backlog-statu'!$D$2:$D$6832,M34,'post-audit-active-backlog-statu'!$G$2:$G$6832,"PolicyResolvedNoChange")</f>
        <v>8</v>
      </c>
      <c r="Q34" s="6">
        <f>COUNTIFS('post-audit-active-backlog-statu'!$D$2:$D$6832,M34,'post-audit-active-backlog-statu'!$G$2:$G$6832,"BlocksOnlyThisDomain")</f>
        <v>0</v>
      </c>
      <c r="R34" s="8">
        <f t="shared" si="1"/>
        <v>0.6595744680851063</v>
      </c>
      <c r="S34" s="1"/>
      <c r="T34" s="1"/>
      <c r="U34" s="1"/>
      <c r="V34" s="1"/>
    </row>
    <row r="35" spans="1:22" ht="44.1" customHeight="1" x14ac:dyDescent="0.25">
      <c r="A35" s="3" t="str">
        <f>'post-audit-active-backlog-statu'!A1620</f>
        <v>RB-06806</v>
      </c>
      <c r="B35" s="3" t="str">
        <f>'post-audit-active-backlog-statu'!D1620</f>
        <v>PvP Consent</v>
      </c>
      <c r="C35" s="3" t="str">
        <f>IF('post-audit-active-backlog-statu'!J1620="BlockedForReorganizationOnly","Move/reorganization","Serializer migration")</f>
        <v>Move/reorganization</v>
      </c>
      <c r="D35" s="7" t="str">
        <f>HYPERLINK("#'post-audit-active-backlog-statu'!A1620","Open source + approval notes")</f>
        <v>Open source + approval notes</v>
      </c>
      <c r="E35" s="1"/>
      <c r="F35" s="1"/>
      <c r="G35" s="1"/>
      <c r="H35" s="1"/>
      <c r="I35" s="1"/>
      <c r="J35" s="1"/>
      <c r="K35" s="1"/>
      <c r="L35" s="1"/>
      <c r="M35" s="4" t="s">
        <v>1810</v>
      </c>
      <c r="N35" s="6">
        <f>COUNTIF('post-audit-active-backlog-statu'!$D$2:$D$6832,M35)</f>
        <v>45</v>
      </c>
      <c r="O35" s="6">
        <f>COUNTIFS('post-audit-active-backlog-statu'!$D$2:$D$6832,M35,'post-audit-active-backlog-statu'!$G$2:$G$6832,"Fixed")</f>
        <v>4</v>
      </c>
      <c r="P35" s="6">
        <f>COUNTIFS('post-audit-active-backlog-statu'!$D$2:$D$6832,M35,'post-audit-active-backlog-statu'!$G$2:$G$6832,"ReviewedNoChange")+COUNTIFS('post-audit-active-backlog-statu'!$D$2:$D$6832,M35,'post-audit-active-backlog-statu'!$G$2:$G$6832,"SafeNoChange")+COUNTIFS('post-audit-active-backlog-statu'!$D$2:$D$6832,M35,'post-audit-active-backlog-statu'!$G$2:$G$6832,"PolicyResolvedNoChange")</f>
        <v>39</v>
      </c>
      <c r="Q35" s="6">
        <f>COUNTIFS('post-audit-active-backlog-statu'!$D$2:$D$6832,M35,'post-audit-active-backlog-statu'!$G$2:$G$6832,"BlocksOnlyThisDomain")</f>
        <v>1</v>
      </c>
      <c r="R35" s="8">
        <f t="shared" si="1"/>
        <v>0.08888888888888889</v>
      </c>
      <c r="S35" s="1"/>
      <c r="T35" s="1"/>
      <c r="U35" s="1"/>
      <c r="V35" s="1"/>
    </row>
    <row r="36" spans="1:22" ht="44.1" customHeight="1" x14ac:dyDescent="0.25">
      <c r="A36" s="3" t="str">
        <f>'post-audit-active-backlog-statu'!A1622</f>
        <v>RB-06808</v>
      </c>
      <c r="B36" s="3" t="str">
        <f>'post-audit-active-backlog-statu'!D1622</f>
        <v>Invasion</v>
      </c>
      <c r="C36" s="3" t="str">
        <f>IF('post-audit-active-backlog-statu'!J1622="BlockedForReorganizationOnly","Move/reorganization","Serializer migration")</f>
        <v>Move/reorganization</v>
      </c>
      <c r="D36" s="7" t="str">
        <f>HYPERLINK("#'post-audit-active-backlog-statu'!A1622","Open source + approval notes")</f>
        <v>Open source + approval notes</v>
      </c>
      <c r="E36" s="1"/>
      <c r="F36" s="1"/>
      <c r="G36" s="1"/>
      <c r="H36" s="1"/>
      <c r="I36" s="1"/>
      <c r="J36" s="1"/>
      <c r="K36" s="1"/>
      <c r="L36" s="1"/>
      <c r="M36" s="4" t="s">
        <v>1318</v>
      </c>
      <c r="N36" s="6">
        <f>COUNTIF('post-audit-active-backlog-statu'!$D$2:$D$6832,M36)</f>
        <v>48</v>
      </c>
      <c r="O36" s="6">
        <f>COUNTIFS('post-audit-active-backlog-statu'!$D$2:$D$6832,M36,'post-audit-active-backlog-statu'!$G$2:$G$6832,"Fixed")</f>
        <v>22</v>
      </c>
      <c r="P36" s="6">
        <f>COUNTIFS('post-audit-active-backlog-statu'!$D$2:$D$6832,M36,'post-audit-active-backlog-statu'!$G$2:$G$6832,"ReviewedNoChange")+COUNTIFS('post-audit-active-backlog-statu'!$D$2:$D$6832,M36,'post-audit-active-backlog-statu'!$G$2:$G$6832,"SafeNoChange")+COUNTIFS('post-audit-active-backlog-statu'!$D$2:$D$6832,M36,'post-audit-active-backlog-statu'!$G$2:$G$6832,"PolicyResolvedNoChange")</f>
        <v>19</v>
      </c>
      <c r="Q36" s="6">
        <f>COUNTIFS('post-audit-active-backlog-statu'!$D$2:$D$6832,M36,'post-audit-active-backlog-statu'!$G$2:$G$6832,"BlocksOnlyThisDomain")</f>
        <v>0</v>
      </c>
      <c r="R36" s="8">
        <f t="shared" si="1"/>
        <v>0.4583333333333333</v>
      </c>
      <c r="S36" s="1"/>
      <c r="T36" s="1"/>
      <c r="U36" s="1"/>
      <c r="V36" s="1"/>
    </row>
    <row r="37" spans="1:22" ht="44.1" customHeight="1" x14ac:dyDescent="0.25">
      <c r="A37" s="3" t="str">
        <f>'post-audit-active-backlog-statu'!A1623</f>
        <v>RB-06813</v>
      </c>
      <c r="B37" s="3" t="str">
        <f>'post-audit-active-backlog-statu'!D1623</f>
        <v>XMLSpawner</v>
      </c>
      <c r="C37" s="3" t="str">
        <f>IF('post-audit-active-backlog-statu'!J1623="BlockedForReorganizationOnly","Move/reorganization","Serializer migration")</f>
        <v>Move/reorganization</v>
      </c>
      <c r="D37" s="7" t="str">
        <f>HYPERLINK("#'post-audit-active-backlog-statu'!A1623","Open source + approval notes")</f>
        <v>Open source + approval notes</v>
      </c>
      <c r="E37" s="1"/>
      <c r="F37" s="1"/>
      <c r="G37" s="1"/>
      <c r="H37" s="1"/>
      <c r="I37" s="1"/>
      <c r="J37" s="1"/>
      <c r="K37" s="1"/>
      <c r="L37" s="1"/>
      <c r="M37" s="4" t="s">
        <v>1586</v>
      </c>
      <c r="N37" s="6">
        <f>COUNTIF('post-audit-active-backlog-statu'!$D$2:$D$6832,M37)</f>
        <v>40</v>
      </c>
      <c r="O37" s="6">
        <f>COUNTIFS('post-audit-active-backlog-statu'!$D$2:$D$6832,M37,'post-audit-active-backlog-statu'!$G$2:$G$6832,"Fixed")</f>
        <v>2</v>
      </c>
      <c r="P37" s="6">
        <f>COUNTIFS('post-audit-active-backlog-statu'!$D$2:$D$6832,M37,'post-audit-active-backlog-statu'!$G$2:$G$6832,"ReviewedNoChange")+COUNTIFS('post-audit-active-backlog-statu'!$D$2:$D$6832,M37,'post-audit-active-backlog-statu'!$G$2:$G$6832,"SafeNoChange")+COUNTIFS('post-audit-active-backlog-statu'!$D$2:$D$6832,M37,'post-audit-active-backlog-statu'!$G$2:$G$6832,"PolicyResolvedNoChange")</f>
        <v>27</v>
      </c>
      <c r="Q37" s="6">
        <f>COUNTIFS('post-audit-active-backlog-statu'!$D$2:$D$6832,M37,'post-audit-active-backlog-statu'!$G$2:$G$6832,"BlocksOnlyThisDomain")</f>
        <v>0</v>
      </c>
      <c r="R37" s="8">
        <f t="shared" si="1"/>
        <v>0.05</v>
      </c>
      <c r="S37" s="1"/>
      <c r="T37" s="1"/>
      <c r="U37" s="1"/>
      <c r="V37" s="1"/>
    </row>
    <row r="38" spans="1:22" ht="44.1" customHeight="1" x14ac:dyDescent="0.25">
      <c r="A38" s="3" t="str">
        <f>'post-audit-active-backlog-statu'!A1624</f>
        <v>RB-06807</v>
      </c>
      <c r="B38" s="3" t="str">
        <f>'post-audit-active-backlog-statu'!D1624</f>
        <v>Government</v>
      </c>
      <c r="C38" s="3" t="str">
        <f>IF('post-audit-active-backlog-statu'!J1624="BlockedForReorganizationOnly","Move/reorganization","Serializer migration")</f>
        <v>Move/reorganization</v>
      </c>
      <c r="D38" s="7" t="str">
        <f>HYPERLINK("#'post-audit-active-backlog-statu'!A1624","Open source + approval notes")</f>
        <v>Open source + approval notes</v>
      </c>
      <c r="E38" s="1"/>
      <c r="F38" s="1"/>
      <c r="G38" s="1"/>
      <c r="H38" s="1"/>
      <c r="I38" s="1"/>
      <c r="J38" s="1"/>
      <c r="K38" s="1"/>
      <c r="L38" s="1"/>
      <c r="M38" s="4" t="s">
        <v>89</v>
      </c>
      <c r="N38" s="6">
        <f>COUNTIF('post-audit-active-backlog-statu'!$D$2:$D$6832,M38)</f>
        <v>36</v>
      </c>
      <c r="O38" s="6">
        <f>COUNTIFS('post-audit-active-backlog-statu'!$D$2:$D$6832,M38,'post-audit-active-backlog-statu'!$G$2:$G$6832,"Fixed")</f>
        <v>11</v>
      </c>
      <c r="P38" s="6">
        <f>COUNTIFS('post-audit-active-backlog-statu'!$D$2:$D$6832,M38,'post-audit-active-backlog-statu'!$G$2:$G$6832,"ReviewedNoChange")+COUNTIFS('post-audit-active-backlog-statu'!$D$2:$D$6832,M38,'post-audit-active-backlog-statu'!$G$2:$G$6832,"SafeNoChange")+COUNTIFS('post-audit-active-backlog-statu'!$D$2:$D$6832,M38,'post-audit-active-backlog-statu'!$G$2:$G$6832,"PolicyResolvedNoChange")</f>
        <v>7</v>
      </c>
      <c r="Q38" s="6">
        <f>COUNTIFS('post-audit-active-backlog-statu'!$D$2:$D$6832,M38,'post-audit-active-backlog-statu'!$G$2:$G$6832,"BlocksOnlyThisDomain")</f>
        <v>0</v>
      </c>
      <c r="R38" s="8">
        <f t="shared" si="1"/>
        <v>0.3055555555555556</v>
      </c>
      <c r="S38" s="1"/>
      <c r="T38" s="1"/>
      <c r="U38" s="1"/>
      <c r="V38" s="1"/>
    </row>
    <row r="39" spans="1:22" ht="44.1" customHeight="1" x14ac:dyDescent="0.25">
      <c r="A39" s="3" t="str">
        <f>'post-audit-active-backlog-statu'!A1625</f>
        <v>RB-06803</v>
      </c>
      <c r="B39" s="3" t="str">
        <f>'post-audit-active-backlog-statu'!D1625</f>
        <v>Offline Skill Training</v>
      </c>
      <c r="C39" s="3" t="str">
        <f>IF('post-audit-active-backlog-statu'!J1625="BlockedForReorganizationOnly","Move/reorganization","Serializer migration")</f>
        <v>Move/reorganization</v>
      </c>
      <c r="D39" s="7" t="str">
        <f>HYPERLINK("#'post-audit-active-backlog-statu'!A1625","Open source + approval notes")</f>
        <v>Open source + approval notes</v>
      </c>
      <c r="E39" s="1"/>
      <c r="F39" s="1"/>
      <c r="G39" s="1"/>
      <c r="H39" s="1"/>
      <c r="I39" s="1"/>
      <c r="J39" s="1"/>
      <c r="K39" s="1"/>
      <c r="L39" s="1"/>
      <c r="M39" s="4" t="s">
        <v>784</v>
      </c>
      <c r="N39" s="6">
        <f>COUNTIF('post-audit-active-backlog-statu'!$D$2:$D$6832,M39)</f>
        <v>33</v>
      </c>
      <c r="O39" s="6">
        <f>COUNTIFS('post-audit-active-backlog-statu'!$D$2:$D$6832,M39,'post-audit-active-backlog-statu'!$G$2:$G$6832,"Fixed")</f>
        <v>2</v>
      </c>
      <c r="P39" s="6">
        <f>COUNTIFS('post-audit-active-backlog-statu'!$D$2:$D$6832,M39,'post-audit-active-backlog-statu'!$G$2:$G$6832,"ReviewedNoChange")+COUNTIFS('post-audit-active-backlog-statu'!$D$2:$D$6832,M39,'post-audit-active-backlog-statu'!$G$2:$G$6832,"SafeNoChange")+COUNTIFS('post-audit-active-backlog-statu'!$D$2:$D$6832,M39,'post-audit-active-backlog-statu'!$G$2:$G$6832,"PolicyResolvedNoChange")</f>
        <v>22</v>
      </c>
      <c r="Q39" s="6">
        <f>COUNTIFS('post-audit-active-backlog-statu'!$D$2:$D$6832,M39,'post-audit-active-backlog-statu'!$G$2:$G$6832,"BlocksOnlyThisDomain")</f>
        <v>0</v>
      </c>
      <c r="R39" s="8">
        <f t="shared" si="1"/>
        <v>0.06060606060606061</v>
      </c>
      <c r="S39" s="1"/>
      <c r="T39" s="1"/>
      <c r="U39" s="1"/>
      <c r="V39" s="1"/>
    </row>
    <row r="40" spans="1:22" ht="44.1" customHeight="1" x14ac:dyDescent="0.25">
      <c r="A40" s="3" t="str">
        <f>'post-audit-active-backlog-statu'!A1626</f>
        <v>RB-06814</v>
      </c>
      <c r="B40" s="3" t="str">
        <f>'post-audit-active-backlog-statu'!D1626</f>
        <v>Homestead</v>
      </c>
      <c r="C40" s="3" t="str">
        <f>IF('post-audit-active-backlog-statu'!J1626="BlockedForReorganizationOnly","Move/reorganization","Serializer migration")</f>
        <v>Move/reorganization</v>
      </c>
      <c r="D40" s="7" t="str">
        <f>HYPERLINK("#'post-audit-active-backlog-statu'!A1626","Open source + approval notes")</f>
        <v>Open source + approval notes</v>
      </c>
      <c r="E40" s="1"/>
      <c r="F40" s="1"/>
      <c r="G40" s="1"/>
      <c r="H40" s="1"/>
      <c r="I40" s="1"/>
      <c r="J40" s="1"/>
      <c r="K40" s="1"/>
      <c r="L40" s="1"/>
      <c r="M40" s="4" t="s">
        <v>5945</v>
      </c>
      <c r="N40" s="6">
        <f>COUNTIF('post-audit-active-backlog-statu'!$D$2:$D$6832,M40)</f>
        <v>32</v>
      </c>
      <c r="O40" s="6">
        <f>COUNTIFS('post-audit-active-backlog-statu'!$D$2:$D$6832,M40,'post-audit-active-backlog-statu'!$G$2:$G$6832,"Fixed")</f>
        <v>2</v>
      </c>
      <c r="P40" s="6">
        <f>COUNTIFS('post-audit-active-backlog-statu'!$D$2:$D$6832,M40,'post-audit-active-backlog-statu'!$G$2:$G$6832,"ReviewedNoChange")+COUNTIFS('post-audit-active-backlog-statu'!$D$2:$D$6832,M40,'post-audit-active-backlog-statu'!$G$2:$G$6832,"SafeNoChange")+COUNTIFS('post-audit-active-backlog-statu'!$D$2:$D$6832,M40,'post-audit-active-backlog-statu'!$G$2:$G$6832,"PolicyResolvedNoChange")</f>
        <v>30</v>
      </c>
      <c r="Q40" s="6">
        <f>COUNTIFS('post-audit-active-backlog-statu'!$D$2:$D$6832,M40,'post-audit-active-backlog-statu'!$G$2:$G$6832,"BlocksOnlyThisDomain")</f>
        <v>0</v>
      </c>
      <c r="R40" s="8">
        <f t="shared" si="1"/>
        <v>0.0625</v>
      </c>
      <c r="S40" s="1"/>
      <c r="T40" s="1"/>
      <c r="U40" s="1"/>
      <c r="V40" s="1"/>
    </row>
    <row r="41" spans="1:22" ht="44.1" customHeight="1" x14ac:dyDescent="0.25">
      <c r="A41" s="3" t="str">
        <f>'post-audit-active-backlog-statu'!A2137</f>
        <v>RB-00724</v>
      </c>
      <c r="B41" s="3" t="str">
        <f>'post-audit-active-backlog-statu'!D2137</f>
        <v>Items:Houses</v>
      </c>
      <c r="C41" s="3" t="str">
        <f>IF('post-audit-active-backlog-statu'!J2137="BlockedForReorganizationOnly","Move/reorganization","Serializer migration")</f>
        <v>Serializer migration</v>
      </c>
      <c r="D41" s="7" t="str">
        <f>HYPERLINK("#'post-audit-active-backlog-statu'!A2137","Open source + approval notes")</f>
        <v>Open source + approval notes</v>
      </c>
      <c r="E41" s="1"/>
      <c r="F41" s="1"/>
      <c r="G41" s="1"/>
      <c r="H41" s="1"/>
      <c r="I41" s="1"/>
      <c r="J41" s="1"/>
      <c r="K41" s="1"/>
      <c r="L41" s="1"/>
      <c r="M41" s="4" t="s">
        <v>1145</v>
      </c>
      <c r="N41" s="6">
        <f>COUNTIF('post-audit-active-backlog-statu'!$D$2:$D$6832,M41)</f>
        <v>29</v>
      </c>
      <c r="O41" s="6">
        <f>COUNTIFS('post-audit-active-backlog-statu'!$D$2:$D$6832,M41,'post-audit-active-backlog-statu'!$G$2:$G$6832,"Fixed")</f>
        <v>2</v>
      </c>
      <c r="P41" s="6">
        <f>COUNTIFS('post-audit-active-backlog-statu'!$D$2:$D$6832,M41,'post-audit-active-backlog-statu'!$G$2:$G$6832,"ReviewedNoChange")+COUNTIFS('post-audit-active-backlog-statu'!$D$2:$D$6832,M41,'post-audit-active-backlog-statu'!$G$2:$G$6832,"SafeNoChange")+COUNTIFS('post-audit-active-backlog-statu'!$D$2:$D$6832,M41,'post-audit-active-backlog-statu'!$G$2:$G$6832,"PolicyResolvedNoChange")</f>
        <v>11</v>
      </c>
      <c r="Q41" s="6">
        <f>COUNTIFS('post-audit-active-backlog-statu'!$D$2:$D$6832,M41,'post-audit-active-backlog-statu'!$G$2:$G$6832,"BlocksOnlyThisDomain")</f>
        <v>0</v>
      </c>
      <c r="R41" s="8">
        <f t="shared" si="1"/>
        <v>0.06896551724137931</v>
      </c>
      <c r="S41" s="1"/>
      <c r="T41" s="1"/>
      <c r="U41" s="1"/>
      <c r="V41" s="1"/>
    </row>
    <row r="42" spans="1:22" ht="20.100000000000001" customHeight="1" x14ac:dyDescent="0.25">
      <c r="A42" s="1"/>
      <c r="B42" s="1"/>
      <c r="C42" s="1"/>
      <c r="D42" s="1"/>
      <c r="E42" s="1"/>
      <c r="F42" s="1"/>
      <c r="G42" s="1"/>
      <c r="H42" s="1"/>
      <c r="I42" s="1"/>
      <c r="J42" s="1"/>
      <c r="K42" s="1"/>
      <c r="L42" s="1"/>
      <c r="M42" s="4" t="s">
        <v>4421</v>
      </c>
      <c r="N42" s="6">
        <f>COUNTIF('post-audit-active-backlog-statu'!$D$2:$D$6832,M42)</f>
        <v>29</v>
      </c>
      <c r="O42" s="6">
        <f>COUNTIFS('post-audit-active-backlog-statu'!$D$2:$D$6832,M42,'post-audit-active-backlog-statu'!$G$2:$G$6832,"Fixed")</f>
        <v>8</v>
      </c>
      <c r="P42" s="6">
        <f>COUNTIFS('post-audit-active-backlog-statu'!$D$2:$D$6832,M42,'post-audit-active-backlog-statu'!$G$2:$G$6832,"ReviewedNoChange")+COUNTIFS('post-audit-active-backlog-statu'!$D$2:$D$6832,M42,'post-audit-active-backlog-statu'!$G$2:$G$6832,"SafeNoChange")+COUNTIFS('post-audit-active-backlog-statu'!$D$2:$D$6832,M42,'post-audit-active-backlog-statu'!$G$2:$G$6832,"PolicyResolvedNoChange")</f>
        <v>17</v>
      </c>
      <c r="Q42" s="6">
        <f>COUNTIFS('post-audit-active-backlog-statu'!$D$2:$D$6832,M42,'post-audit-active-backlog-statu'!$G$2:$G$6832,"BlocksOnlyThisDomain")</f>
        <v>0</v>
      </c>
      <c r="R42" s="8">
        <f t="shared" si="1"/>
        <v>0.27586206896551724</v>
      </c>
      <c r="S42" s="1"/>
      <c r="T42" s="1"/>
      <c r="U42" s="1"/>
      <c r="V42" s="1"/>
    </row>
    <row r="43" spans="1:22" ht="20.100000000000001" customHeight="1" x14ac:dyDescent="0.25">
      <c r="A43" s="1"/>
      <c r="B43" s="1"/>
      <c r="C43" s="1"/>
      <c r="D43" s="1"/>
      <c r="E43" s="1"/>
      <c r="F43" s="1"/>
      <c r="G43" s="1"/>
      <c r="H43" s="1"/>
      <c r="I43" s="1"/>
      <c r="J43" s="1"/>
      <c r="K43" s="1"/>
      <c r="L43" s="1"/>
      <c r="M43" s="4" t="s">
        <v>5482</v>
      </c>
      <c r="N43" s="6">
        <f>COUNTIF('post-audit-active-backlog-statu'!$D$2:$D$6832,M43)</f>
        <v>29</v>
      </c>
      <c r="O43" s="6">
        <f>COUNTIFS('post-audit-active-backlog-statu'!$D$2:$D$6832,M43,'post-audit-active-backlog-statu'!$G$2:$G$6832,"Fixed")</f>
        <v>8</v>
      </c>
      <c r="P43" s="6">
        <f>COUNTIFS('post-audit-active-backlog-statu'!$D$2:$D$6832,M43,'post-audit-active-backlog-statu'!$G$2:$G$6832,"ReviewedNoChange")+COUNTIFS('post-audit-active-backlog-statu'!$D$2:$D$6832,M43,'post-audit-active-backlog-statu'!$G$2:$G$6832,"SafeNoChange")+COUNTIFS('post-audit-active-backlog-statu'!$D$2:$D$6832,M43,'post-audit-active-backlog-statu'!$G$2:$G$6832,"PolicyResolvedNoChange")</f>
        <v>17</v>
      </c>
      <c r="Q43" s="6">
        <f>COUNTIFS('post-audit-active-backlog-statu'!$D$2:$D$6832,M43,'post-audit-active-backlog-statu'!$G$2:$G$6832,"BlocksOnlyThisDomain")</f>
        <v>0</v>
      </c>
      <c r="R43" s="8">
        <f t="shared" si="1"/>
        <v>0.27586206896551724</v>
      </c>
      <c r="S43" s="1"/>
      <c r="T43" s="1"/>
      <c r="U43" s="1"/>
      <c r="V43" s="1"/>
    </row>
    <row r="44" spans="1:22" ht="20.100000000000001" customHeight="1" x14ac:dyDescent="0.25">
      <c r="A44" s="27" t="s">
        <v>33486</v>
      </c>
      <c r="B44" s="27"/>
      <c r="C44" s="27"/>
      <c r="D44" s="27"/>
      <c r="E44" s="1"/>
      <c r="F44" s="1"/>
      <c r="G44" s="1"/>
      <c r="H44" s="1"/>
      <c r="I44" s="1"/>
      <c r="J44" s="1"/>
      <c r="K44" s="1"/>
      <c r="L44" s="1"/>
      <c r="M44" s="4" t="s">
        <v>3424</v>
      </c>
      <c r="N44" s="6">
        <f>COUNTIF('post-audit-active-backlog-statu'!$D$2:$D$6832,M44)</f>
        <v>28</v>
      </c>
      <c r="O44" s="6">
        <f>COUNTIFS('post-audit-active-backlog-statu'!$D$2:$D$6832,M44,'post-audit-active-backlog-statu'!$G$2:$G$6832,"Fixed")</f>
        <v>24</v>
      </c>
      <c r="P44" s="6">
        <f>COUNTIFS('post-audit-active-backlog-statu'!$D$2:$D$6832,M44,'post-audit-active-backlog-statu'!$G$2:$G$6832,"ReviewedNoChange")+COUNTIFS('post-audit-active-backlog-statu'!$D$2:$D$6832,M44,'post-audit-active-backlog-statu'!$G$2:$G$6832,"SafeNoChange")+COUNTIFS('post-audit-active-backlog-statu'!$D$2:$D$6832,M44,'post-audit-active-backlog-statu'!$G$2:$G$6832,"PolicyResolvedNoChange")</f>
        <v>4</v>
      </c>
      <c r="Q44" s="6">
        <f>COUNTIFS('post-audit-active-backlog-statu'!$D$2:$D$6832,M44,'post-audit-active-backlog-statu'!$G$2:$G$6832,"BlocksOnlyThisDomain")</f>
        <v>0</v>
      </c>
      <c r="R44" s="8">
        <f t="shared" si="1"/>
        <v>0.8571428571428571</v>
      </c>
      <c r="S44" s="1"/>
      <c r="T44" s="1"/>
      <c r="U44" s="1"/>
      <c r="V44" s="1"/>
    </row>
    <row r="45" spans="1:22" ht="20.100000000000001" customHeight="1" x14ac:dyDescent="0.25">
      <c r="A45" s="27"/>
      <c r="B45" s="27"/>
      <c r="C45" s="27"/>
      <c r="D45" s="27"/>
      <c r="E45" s="1"/>
      <c r="F45" s="1"/>
      <c r="G45" s="1"/>
      <c r="H45" s="1"/>
      <c r="I45" s="1"/>
      <c r="J45" s="1"/>
      <c r="K45" s="1"/>
      <c r="L45" s="1"/>
      <c r="M45" s="4" t="s">
        <v>1940</v>
      </c>
      <c r="N45" s="6">
        <f>COUNTIF('post-audit-active-backlog-statu'!$D$2:$D$6832,M45)</f>
        <v>27</v>
      </c>
      <c r="O45" s="6">
        <f>COUNTIFS('post-audit-active-backlog-statu'!$D$2:$D$6832,M45,'post-audit-active-backlog-statu'!$G$2:$G$6832,"Fixed")</f>
        <v>25</v>
      </c>
      <c r="P45" s="6">
        <f>COUNTIFS('post-audit-active-backlog-statu'!$D$2:$D$6832,M45,'post-audit-active-backlog-statu'!$G$2:$G$6832,"ReviewedNoChange")+COUNTIFS('post-audit-active-backlog-statu'!$D$2:$D$6832,M45,'post-audit-active-backlog-statu'!$G$2:$G$6832,"SafeNoChange")+COUNTIFS('post-audit-active-backlog-statu'!$D$2:$D$6832,M45,'post-audit-active-backlog-statu'!$G$2:$G$6832,"PolicyResolvedNoChange")</f>
        <v>0</v>
      </c>
      <c r="Q45" s="6">
        <f>COUNTIFS('post-audit-active-backlog-statu'!$D$2:$D$6832,M45,'post-audit-active-backlog-statu'!$G$2:$G$6832,"BlocksOnlyThisDomain")</f>
        <v>0</v>
      </c>
      <c r="R45" s="8">
        <f t="shared" si="1"/>
        <v>0.9259259259259259</v>
      </c>
      <c r="S45" s="1"/>
      <c r="T45" s="1"/>
      <c r="U45" s="1"/>
      <c r="V45" s="1"/>
    </row>
    <row r="46" spans="1:22" ht="20.100000000000001" customHeight="1" x14ac:dyDescent="0.25">
      <c r="A46" s="27"/>
      <c r="B46" s="27"/>
      <c r="C46" s="27"/>
      <c r="D46" s="27"/>
      <c r="E46" s="1"/>
      <c r="F46" s="1"/>
      <c r="G46" s="1"/>
      <c r="H46" s="1"/>
      <c r="I46" s="1"/>
      <c r="J46" s="1"/>
      <c r="K46" s="1"/>
      <c r="L46" s="1"/>
      <c r="M46" s="4" t="s">
        <v>5956</v>
      </c>
      <c r="N46" s="6">
        <f>COUNTIF('post-audit-active-backlog-statu'!$D$2:$D$6832,M46)</f>
        <v>27</v>
      </c>
      <c r="O46" s="6">
        <f>COUNTIFS('post-audit-active-backlog-statu'!$D$2:$D$6832,M46,'post-audit-active-backlog-statu'!$G$2:$G$6832,"Fixed")</f>
        <v>2</v>
      </c>
      <c r="P46" s="6">
        <f>COUNTIFS('post-audit-active-backlog-statu'!$D$2:$D$6832,M46,'post-audit-active-backlog-statu'!$G$2:$G$6832,"ReviewedNoChange")+COUNTIFS('post-audit-active-backlog-statu'!$D$2:$D$6832,M46,'post-audit-active-backlog-statu'!$G$2:$G$6832,"SafeNoChange")+COUNTIFS('post-audit-active-backlog-statu'!$D$2:$D$6832,M46,'post-audit-active-backlog-statu'!$G$2:$G$6832,"PolicyResolvedNoChange")</f>
        <v>24</v>
      </c>
      <c r="Q46" s="6">
        <f>COUNTIFS('post-audit-active-backlog-statu'!$D$2:$D$6832,M46,'post-audit-active-backlog-statu'!$G$2:$G$6832,"BlocksOnlyThisDomain")</f>
        <v>0</v>
      </c>
      <c r="R46" s="8">
        <f t="shared" si="1"/>
        <v>0.07407407407407407</v>
      </c>
      <c r="S46" s="1"/>
      <c r="T46" s="1"/>
      <c r="U46" s="1"/>
      <c r="V46" s="1"/>
    </row>
    <row r="47" spans="1:22" ht="20.100000000000001" customHeight="1" x14ac:dyDescent="0.25">
      <c r="A47" s="1"/>
      <c r="B47" s="1"/>
      <c r="C47" s="1"/>
      <c r="D47" s="1"/>
      <c r="E47" s="1"/>
      <c r="F47" s="1"/>
      <c r="G47" s="1"/>
      <c r="H47" s="1"/>
      <c r="I47" s="1"/>
      <c r="J47" s="1"/>
      <c r="K47" s="1"/>
      <c r="L47" s="1"/>
      <c r="M47" s="4" t="s">
        <v>1376</v>
      </c>
      <c r="N47" s="6">
        <f>COUNTIF('post-audit-active-backlog-statu'!$D$2:$D$6832,M47)</f>
        <v>25</v>
      </c>
      <c r="O47" s="6">
        <f>COUNTIFS('post-audit-active-backlog-statu'!$D$2:$D$6832,M47,'post-audit-active-backlog-statu'!$G$2:$G$6832,"Fixed")</f>
        <v>8</v>
      </c>
      <c r="P47" s="6">
        <f>COUNTIFS('post-audit-active-backlog-statu'!$D$2:$D$6832,M47,'post-audit-active-backlog-statu'!$G$2:$G$6832,"ReviewedNoChange")+COUNTIFS('post-audit-active-backlog-statu'!$D$2:$D$6832,M47,'post-audit-active-backlog-statu'!$G$2:$G$6832,"SafeNoChange")+COUNTIFS('post-audit-active-backlog-statu'!$D$2:$D$6832,M47,'post-audit-active-backlog-statu'!$G$2:$G$6832,"PolicyResolvedNoChange")</f>
        <v>1</v>
      </c>
      <c r="Q47" s="6">
        <f>COUNTIFS('post-audit-active-backlog-statu'!$D$2:$D$6832,M47,'post-audit-active-backlog-statu'!$G$2:$G$6832,"BlocksOnlyThisDomain")</f>
        <v>0</v>
      </c>
      <c r="R47" s="8">
        <f t="shared" si="1"/>
        <v>0.32</v>
      </c>
      <c r="S47" s="1"/>
      <c r="T47" s="1"/>
      <c r="U47" s="1"/>
      <c r="V47" s="1"/>
    </row>
    <row r="48" spans="1:22" ht="20.100000000000001" customHeight="1" x14ac:dyDescent="0.25">
      <c r="A48" s="1"/>
      <c r="B48" s="1"/>
      <c r="C48" s="1"/>
      <c r="D48" s="1"/>
      <c r="E48" s="1"/>
      <c r="F48" s="1"/>
      <c r="G48" s="1"/>
      <c r="H48" s="1"/>
      <c r="I48" s="1"/>
      <c r="J48" s="1"/>
      <c r="K48" s="1"/>
      <c r="L48" s="1"/>
      <c r="M48" s="4" t="s">
        <v>3838</v>
      </c>
      <c r="N48" s="6">
        <f>COUNTIF('post-audit-active-backlog-statu'!$D$2:$D$6832,M48)</f>
        <v>24</v>
      </c>
      <c r="O48" s="6">
        <f>COUNTIFS('post-audit-active-backlog-statu'!$D$2:$D$6832,M48,'post-audit-active-backlog-statu'!$G$2:$G$6832,"Fixed")</f>
        <v>16</v>
      </c>
      <c r="P48" s="6">
        <f>COUNTIFS('post-audit-active-backlog-statu'!$D$2:$D$6832,M48,'post-audit-active-backlog-statu'!$G$2:$G$6832,"ReviewedNoChange")+COUNTIFS('post-audit-active-backlog-statu'!$D$2:$D$6832,M48,'post-audit-active-backlog-statu'!$G$2:$G$6832,"SafeNoChange")+COUNTIFS('post-audit-active-backlog-statu'!$D$2:$D$6832,M48,'post-audit-active-backlog-statu'!$G$2:$G$6832,"PolicyResolvedNoChange")</f>
        <v>8</v>
      </c>
      <c r="Q48" s="6">
        <f>COUNTIFS('post-audit-active-backlog-statu'!$D$2:$D$6832,M48,'post-audit-active-backlog-statu'!$G$2:$G$6832,"BlocksOnlyThisDomain")</f>
        <v>0</v>
      </c>
      <c r="R48" s="8">
        <f t="shared" si="1"/>
        <v>0.6666666666666666</v>
      </c>
      <c r="S48" s="1"/>
      <c r="T48" s="1"/>
      <c r="U48" s="1"/>
      <c r="V48" s="1"/>
    </row>
    <row r="49" spans="1:22" ht="20.100000000000001" customHeight="1" x14ac:dyDescent="0.25">
      <c r="A49" s="1"/>
      <c r="B49" s="1"/>
      <c r="C49" s="1"/>
      <c r="D49" s="1"/>
      <c r="E49" s="1"/>
      <c r="F49" s="1"/>
      <c r="G49" s="1"/>
      <c r="H49" s="1"/>
      <c r="I49" s="1"/>
      <c r="J49" s="1"/>
      <c r="K49" s="1"/>
      <c r="L49" s="1"/>
      <c r="M49" s="4" t="s">
        <v>4341</v>
      </c>
      <c r="N49" s="6">
        <f>COUNTIF('post-audit-active-backlog-statu'!$D$2:$D$6832,M49)</f>
        <v>24</v>
      </c>
      <c r="O49" s="6">
        <f>COUNTIFS('post-audit-active-backlog-statu'!$D$2:$D$6832,M49,'post-audit-active-backlog-statu'!$G$2:$G$6832,"Fixed")</f>
        <v>13</v>
      </c>
      <c r="P49" s="6">
        <f>COUNTIFS('post-audit-active-backlog-statu'!$D$2:$D$6832,M49,'post-audit-active-backlog-statu'!$G$2:$G$6832,"ReviewedNoChange")+COUNTIFS('post-audit-active-backlog-statu'!$D$2:$D$6832,M49,'post-audit-active-backlog-statu'!$G$2:$G$6832,"SafeNoChange")+COUNTIFS('post-audit-active-backlog-statu'!$D$2:$D$6832,M49,'post-audit-active-backlog-statu'!$G$2:$G$6832,"PolicyResolvedNoChange")</f>
        <v>11</v>
      </c>
      <c r="Q49" s="6">
        <f>COUNTIFS('post-audit-active-backlog-statu'!$D$2:$D$6832,M49,'post-audit-active-backlog-statu'!$G$2:$G$6832,"BlocksOnlyThisDomain")</f>
        <v>0</v>
      </c>
      <c r="R49" s="8">
        <f t="shared" si="1"/>
        <v>0.5416666666666666</v>
      </c>
      <c r="S49" s="1"/>
      <c r="T49" s="1"/>
      <c r="U49" s="1"/>
      <c r="V49" s="1"/>
    </row>
    <row r="50" spans="1:22" ht="20.100000000000001" customHeight="1" x14ac:dyDescent="0.25">
      <c r="A50" s="1"/>
      <c r="B50" s="1"/>
      <c r="C50" s="1"/>
      <c r="D50" s="1"/>
      <c r="E50" s="1"/>
      <c r="F50" s="1"/>
      <c r="G50" s="1"/>
      <c r="H50" s="1"/>
      <c r="I50" s="1"/>
      <c r="J50" s="1"/>
      <c r="K50" s="1"/>
      <c r="L50" s="1"/>
      <c r="M50" s="4" t="s">
        <v>1478</v>
      </c>
      <c r="N50" s="6">
        <f>COUNTIF('post-audit-active-backlog-statu'!$D$2:$D$6832,M50)</f>
        <v>23</v>
      </c>
      <c r="O50" s="6">
        <f>COUNTIFS('post-audit-active-backlog-statu'!$D$2:$D$6832,M50,'post-audit-active-backlog-statu'!$G$2:$G$6832,"Fixed")</f>
        <v>2</v>
      </c>
      <c r="P50" s="6">
        <f>COUNTIFS('post-audit-active-backlog-statu'!$D$2:$D$6832,M50,'post-audit-active-backlog-statu'!$G$2:$G$6832,"ReviewedNoChange")+COUNTIFS('post-audit-active-backlog-statu'!$D$2:$D$6832,M50,'post-audit-active-backlog-statu'!$G$2:$G$6832,"SafeNoChange")+COUNTIFS('post-audit-active-backlog-statu'!$D$2:$D$6832,M50,'post-audit-active-backlog-statu'!$G$2:$G$6832,"PolicyResolvedNoChange")</f>
        <v>10</v>
      </c>
      <c r="Q50" s="6">
        <f>COUNTIFS('post-audit-active-backlog-statu'!$D$2:$D$6832,M50,'post-audit-active-backlog-statu'!$G$2:$G$6832,"BlocksOnlyThisDomain")</f>
        <v>0</v>
      </c>
      <c r="R50" s="8">
        <f t="shared" si="1"/>
        <v>0.08695652173913043</v>
      </c>
      <c r="S50" s="1"/>
      <c r="T50" s="1"/>
      <c r="U50" s="1"/>
      <c r="V50" s="1"/>
    </row>
    <row r="51" spans="1:22" ht="20.100000000000001" customHeight="1" x14ac:dyDescent="0.25">
      <c r="A51" s="1"/>
      <c r="B51" s="1"/>
      <c r="C51" s="1"/>
      <c r="D51" s="1"/>
      <c r="E51" s="1"/>
      <c r="F51" s="1"/>
      <c r="G51" s="1"/>
      <c r="H51" s="1"/>
      <c r="I51" s="1"/>
      <c r="J51" s="1"/>
      <c r="K51" s="1"/>
      <c r="L51" s="1"/>
      <c r="M51" s="4" t="s">
        <v>1418</v>
      </c>
      <c r="N51" s="6">
        <f>COUNTIF('post-audit-active-backlog-statu'!$D$2:$D$6832,M51)</f>
        <v>21</v>
      </c>
      <c r="O51" s="6">
        <f>COUNTIFS('post-audit-active-backlog-statu'!$D$2:$D$6832,M51,'post-audit-active-backlog-statu'!$G$2:$G$6832,"Fixed")</f>
        <v>14</v>
      </c>
      <c r="P51" s="6">
        <f>COUNTIFS('post-audit-active-backlog-statu'!$D$2:$D$6832,M51,'post-audit-active-backlog-statu'!$G$2:$G$6832,"ReviewedNoChange")+COUNTIFS('post-audit-active-backlog-statu'!$D$2:$D$6832,M51,'post-audit-active-backlog-statu'!$G$2:$G$6832,"SafeNoChange")+COUNTIFS('post-audit-active-backlog-statu'!$D$2:$D$6832,M51,'post-audit-active-backlog-statu'!$G$2:$G$6832,"PolicyResolvedNoChange")</f>
        <v>4</v>
      </c>
      <c r="Q51" s="6">
        <f>COUNTIFS('post-audit-active-backlog-statu'!$D$2:$D$6832,M51,'post-audit-active-backlog-statu'!$G$2:$G$6832,"BlocksOnlyThisDomain")</f>
        <v>0</v>
      </c>
      <c r="R51" s="8">
        <f t="shared" si="1"/>
        <v>0.6666666666666666</v>
      </c>
      <c r="S51" s="1"/>
      <c r="T51" s="1"/>
      <c r="U51" s="1"/>
      <c r="V51" s="1"/>
    </row>
    <row r="52" spans="1:22" ht="20.100000000000001" customHeight="1" x14ac:dyDescent="0.25">
      <c r="A52" s="1"/>
      <c r="B52" s="1"/>
      <c r="C52" s="1"/>
      <c r="D52" s="1"/>
      <c r="E52" s="1"/>
      <c r="F52" s="1"/>
      <c r="G52" s="1"/>
      <c r="H52" s="1"/>
      <c r="I52" s="1"/>
      <c r="J52" s="1"/>
      <c r="K52" s="1"/>
      <c r="L52" s="1"/>
      <c r="M52" s="4" t="s">
        <v>1628</v>
      </c>
      <c r="N52" s="6">
        <f>COUNTIF('post-audit-active-backlog-statu'!$D$2:$D$6832,M52)</f>
        <v>21</v>
      </c>
      <c r="O52" s="6">
        <f>COUNTIFS('post-audit-active-backlog-statu'!$D$2:$D$6832,M52,'post-audit-active-backlog-statu'!$G$2:$G$6832,"Fixed")</f>
        <v>5</v>
      </c>
      <c r="P52" s="6">
        <f>COUNTIFS('post-audit-active-backlog-statu'!$D$2:$D$6832,M52,'post-audit-active-backlog-statu'!$G$2:$G$6832,"ReviewedNoChange")+COUNTIFS('post-audit-active-backlog-statu'!$D$2:$D$6832,M52,'post-audit-active-backlog-statu'!$G$2:$G$6832,"SafeNoChange")+COUNTIFS('post-audit-active-backlog-statu'!$D$2:$D$6832,M52,'post-audit-active-backlog-statu'!$G$2:$G$6832,"PolicyResolvedNoChange")</f>
        <v>0</v>
      </c>
      <c r="Q52" s="6">
        <f>COUNTIFS('post-audit-active-backlog-statu'!$D$2:$D$6832,M52,'post-audit-active-backlog-statu'!$G$2:$G$6832,"BlocksOnlyThisDomain")</f>
        <v>0</v>
      </c>
      <c r="R52" s="8">
        <f t="shared" si="1"/>
        <v>0.23809523809523808</v>
      </c>
      <c r="S52" s="1"/>
      <c r="T52" s="1"/>
      <c r="U52" s="1"/>
      <c r="V52" s="1"/>
    </row>
    <row r="53" spans="1:22" ht="20.100000000000001" customHeight="1" x14ac:dyDescent="0.25">
      <c r="A53" s="1"/>
      <c r="B53" s="1"/>
      <c r="C53" s="1"/>
      <c r="D53" s="1"/>
      <c r="E53" s="1"/>
      <c r="F53" s="1"/>
      <c r="G53" s="1"/>
      <c r="H53" s="1"/>
      <c r="I53" s="1"/>
      <c r="J53" s="1"/>
      <c r="K53" s="1"/>
      <c r="L53" s="1"/>
      <c r="M53" s="4" t="s">
        <v>1792</v>
      </c>
      <c r="N53" s="6">
        <f>COUNTIF('post-audit-active-backlog-statu'!$D$2:$D$6832,M53)</f>
        <v>21</v>
      </c>
      <c r="O53" s="6">
        <f>COUNTIFS('post-audit-active-backlog-statu'!$D$2:$D$6832,M53,'post-audit-active-backlog-statu'!$G$2:$G$6832,"Fixed")</f>
        <v>1</v>
      </c>
      <c r="P53" s="6">
        <f>COUNTIFS('post-audit-active-backlog-statu'!$D$2:$D$6832,M53,'post-audit-active-backlog-statu'!$G$2:$G$6832,"ReviewedNoChange")+COUNTIFS('post-audit-active-backlog-statu'!$D$2:$D$6832,M53,'post-audit-active-backlog-statu'!$G$2:$G$6832,"SafeNoChange")+COUNTIFS('post-audit-active-backlog-statu'!$D$2:$D$6832,M53,'post-audit-active-backlog-statu'!$G$2:$G$6832,"PolicyResolvedNoChange")</f>
        <v>11</v>
      </c>
      <c r="Q53" s="6">
        <f>COUNTIFS('post-audit-active-backlog-statu'!$D$2:$D$6832,M53,'post-audit-active-backlog-statu'!$G$2:$G$6832,"BlocksOnlyThisDomain")</f>
        <v>0</v>
      </c>
      <c r="R53" s="8">
        <f t="shared" si="1"/>
        <v>0.047619047619047616</v>
      </c>
      <c r="S53" s="1"/>
      <c r="T53" s="1"/>
      <c r="U53" s="1"/>
      <c r="V53" s="1"/>
    </row>
    <row r="54" spans="1:22" ht="20.100000000000001" customHeight="1" x14ac:dyDescent="0.25">
      <c r="A54" s="1"/>
      <c r="B54" s="1"/>
      <c r="C54" s="1"/>
      <c r="D54" s="1"/>
      <c r="E54" s="1"/>
      <c r="F54" s="1"/>
      <c r="G54" s="1"/>
      <c r="H54" s="1"/>
      <c r="I54" s="1"/>
      <c r="J54" s="1"/>
      <c r="K54" s="1"/>
      <c r="L54" s="1"/>
      <c r="M54" s="4" t="s">
        <v>2583</v>
      </c>
      <c r="N54" s="6">
        <f>COUNTIF('post-audit-active-backlog-statu'!$D$2:$D$6832,M54)</f>
        <v>20</v>
      </c>
      <c r="O54" s="6">
        <f>COUNTIFS('post-audit-active-backlog-statu'!$D$2:$D$6832,M54,'post-audit-active-backlog-statu'!$G$2:$G$6832,"Fixed")</f>
        <v>1</v>
      </c>
      <c r="P54" s="6">
        <f>COUNTIFS('post-audit-active-backlog-statu'!$D$2:$D$6832,M54,'post-audit-active-backlog-statu'!$G$2:$G$6832,"ReviewedNoChange")+COUNTIFS('post-audit-active-backlog-statu'!$D$2:$D$6832,M54,'post-audit-active-backlog-statu'!$G$2:$G$6832,"SafeNoChange")+COUNTIFS('post-audit-active-backlog-statu'!$D$2:$D$6832,M54,'post-audit-active-backlog-statu'!$G$2:$G$6832,"PolicyResolvedNoChange")</f>
        <v>17</v>
      </c>
      <c r="Q54" s="6">
        <f>COUNTIFS('post-audit-active-backlog-statu'!$D$2:$D$6832,M54,'post-audit-active-backlog-statu'!$G$2:$G$6832,"BlocksOnlyThisDomain")</f>
        <v>0</v>
      </c>
      <c r="R54" s="8">
        <f t="shared" si="1"/>
        <v>0.05</v>
      </c>
      <c r="S54" s="1"/>
      <c r="T54" s="1"/>
      <c r="U54" s="1"/>
      <c r="V54" s="1"/>
    </row>
    <row r="55" spans="1:22" ht="20.100000000000001" customHeight="1" x14ac:dyDescent="0.25">
      <c r="A55" s="1"/>
      <c r="B55" s="1"/>
      <c r="C55" s="1"/>
      <c r="D55" s="1"/>
      <c r="E55" s="1"/>
      <c r="F55" s="1"/>
      <c r="G55" s="1"/>
      <c r="H55" s="1"/>
      <c r="I55" s="1"/>
      <c r="J55" s="1"/>
      <c r="K55" s="1"/>
      <c r="L55" s="1"/>
      <c r="M55" s="4" t="s">
        <v>4715</v>
      </c>
      <c r="N55" s="6">
        <f>COUNTIF('post-audit-active-backlog-statu'!$D$2:$D$6832,M55)</f>
        <v>20</v>
      </c>
      <c r="O55" s="6">
        <f>COUNTIFS('post-audit-active-backlog-statu'!$D$2:$D$6832,M55,'post-audit-active-backlog-statu'!$G$2:$G$6832,"Fixed")</f>
        <v>20</v>
      </c>
      <c r="P55" s="6">
        <f>COUNTIFS('post-audit-active-backlog-statu'!$D$2:$D$6832,M55,'post-audit-active-backlog-statu'!$G$2:$G$6832,"ReviewedNoChange")+COUNTIFS('post-audit-active-backlog-statu'!$D$2:$D$6832,M55,'post-audit-active-backlog-statu'!$G$2:$G$6832,"SafeNoChange")+COUNTIFS('post-audit-active-backlog-statu'!$D$2:$D$6832,M55,'post-audit-active-backlog-statu'!$G$2:$G$6832,"PolicyResolvedNoChange")</f>
        <v>0</v>
      </c>
      <c r="Q55" s="6">
        <f>COUNTIFS('post-audit-active-backlog-statu'!$D$2:$D$6832,M55,'post-audit-active-backlog-statu'!$G$2:$G$6832,"BlocksOnlyThisDomain")</f>
        <v>0</v>
      </c>
      <c r="R55" s="8">
        <f t="shared" si="1"/>
        <v>1.0</v>
      </c>
      <c r="S55" s="1"/>
      <c r="T55" s="1"/>
      <c r="U55" s="1"/>
      <c r="V55" s="1"/>
    </row>
    <row r="56" spans="1:22" ht="20.100000000000001" customHeight="1" x14ac:dyDescent="0.25">
      <c r="A56" s="1"/>
      <c r="B56" s="1"/>
      <c r="C56" s="1"/>
      <c r="D56" s="1"/>
      <c r="E56" s="1"/>
      <c r="F56" s="1"/>
      <c r="G56" s="1"/>
      <c r="H56" s="1"/>
      <c r="I56" s="1"/>
      <c r="J56" s="1"/>
      <c r="K56" s="1"/>
      <c r="L56" s="1"/>
      <c r="M56" s="4" t="s">
        <v>7220</v>
      </c>
      <c r="N56" s="6">
        <f>COUNTIF('post-audit-active-backlog-statu'!$D$2:$D$6832,M56)</f>
        <v>20</v>
      </c>
      <c r="O56" s="6">
        <f>COUNTIFS('post-audit-active-backlog-statu'!$D$2:$D$6832,M56,'post-audit-active-backlog-statu'!$G$2:$G$6832,"Fixed")</f>
        <v>2</v>
      </c>
      <c r="P56" s="6">
        <f>COUNTIFS('post-audit-active-backlog-statu'!$D$2:$D$6832,M56,'post-audit-active-backlog-statu'!$G$2:$G$6832,"ReviewedNoChange")+COUNTIFS('post-audit-active-backlog-statu'!$D$2:$D$6832,M56,'post-audit-active-backlog-statu'!$G$2:$G$6832,"SafeNoChange")+COUNTIFS('post-audit-active-backlog-statu'!$D$2:$D$6832,M56,'post-audit-active-backlog-statu'!$G$2:$G$6832,"PolicyResolvedNoChange")</f>
        <v>2</v>
      </c>
      <c r="Q56" s="6">
        <f>COUNTIFS('post-audit-active-backlog-statu'!$D$2:$D$6832,M56,'post-audit-active-backlog-statu'!$G$2:$G$6832,"BlocksOnlyThisDomain")</f>
        <v>0</v>
      </c>
      <c r="R56" s="8">
        <f t="shared" si="1"/>
        <v>0.1</v>
      </c>
      <c r="S56" s="1"/>
      <c r="T56" s="1"/>
      <c r="U56" s="1"/>
      <c r="V56" s="1"/>
    </row>
    <row r="57" spans="1:22" ht="20.100000000000001" customHeight="1" x14ac:dyDescent="0.25">
      <c r="A57" s="1"/>
      <c r="B57" s="1"/>
      <c r="C57" s="1"/>
      <c r="D57" s="1"/>
      <c r="E57" s="1"/>
      <c r="F57" s="1"/>
      <c r="G57" s="1"/>
      <c r="H57" s="1"/>
      <c r="I57" s="1"/>
      <c r="J57" s="1"/>
      <c r="K57" s="1"/>
      <c r="L57" s="1"/>
      <c r="M57" s="4" t="s">
        <v>1525</v>
      </c>
      <c r="N57" s="6">
        <f>COUNTIF('post-audit-active-backlog-statu'!$D$2:$D$6832,M57)</f>
        <v>18</v>
      </c>
      <c r="O57" s="6">
        <f>COUNTIFS('post-audit-active-backlog-statu'!$D$2:$D$6832,M57,'post-audit-active-backlog-statu'!$G$2:$G$6832,"Fixed")</f>
        <v>9</v>
      </c>
      <c r="P57" s="6">
        <f>COUNTIFS('post-audit-active-backlog-statu'!$D$2:$D$6832,M57,'post-audit-active-backlog-statu'!$G$2:$G$6832,"ReviewedNoChange")+COUNTIFS('post-audit-active-backlog-statu'!$D$2:$D$6832,M57,'post-audit-active-backlog-statu'!$G$2:$G$6832,"SafeNoChange")+COUNTIFS('post-audit-active-backlog-statu'!$D$2:$D$6832,M57,'post-audit-active-backlog-statu'!$G$2:$G$6832,"PolicyResolvedNoChange")</f>
        <v>6</v>
      </c>
      <c r="Q57" s="6">
        <f>COUNTIFS('post-audit-active-backlog-statu'!$D$2:$D$6832,M57,'post-audit-active-backlog-statu'!$G$2:$G$6832,"BlocksOnlyThisDomain")</f>
        <v>0</v>
      </c>
      <c r="R57" s="8">
        <f t="shared" si="1"/>
        <v>0.5</v>
      </c>
      <c r="S57" s="1"/>
      <c r="T57" s="1"/>
      <c r="U57" s="1"/>
      <c r="V57" s="1"/>
    </row>
    <row r="58" spans="1:22" ht="20.100000000000001" customHeight="1" x14ac:dyDescent="0.25">
      <c r="A58" s="1"/>
      <c r="B58" s="1"/>
      <c r="C58" s="1"/>
      <c r="D58" s="1"/>
      <c r="E58" s="1"/>
      <c r="F58" s="1"/>
      <c r="G58" s="1"/>
      <c r="H58" s="1"/>
      <c r="I58" s="1"/>
      <c r="J58" s="1"/>
      <c r="K58" s="1"/>
      <c r="L58" s="1"/>
      <c r="M58" s="4" t="s">
        <v>1604</v>
      </c>
      <c r="N58" s="6">
        <f>COUNTIF('post-audit-active-backlog-statu'!$D$2:$D$6832,M58)</f>
        <v>18</v>
      </c>
      <c r="O58" s="6">
        <f>COUNTIFS('post-audit-active-backlog-statu'!$D$2:$D$6832,M58,'post-audit-active-backlog-statu'!$G$2:$G$6832,"Fixed")</f>
        <v>1</v>
      </c>
      <c r="P58" s="6">
        <f>COUNTIFS('post-audit-active-backlog-statu'!$D$2:$D$6832,M58,'post-audit-active-backlog-statu'!$G$2:$G$6832,"ReviewedNoChange")+COUNTIFS('post-audit-active-backlog-statu'!$D$2:$D$6832,M58,'post-audit-active-backlog-statu'!$G$2:$G$6832,"SafeNoChange")+COUNTIFS('post-audit-active-backlog-statu'!$D$2:$D$6832,M58,'post-audit-active-backlog-statu'!$G$2:$G$6832,"PolicyResolvedNoChange")</f>
        <v>13</v>
      </c>
      <c r="Q58" s="6">
        <f>COUNTIFS('post-audit-active-backlog-statu'!$D$2:$D$6832,M58,'post-audit-active-backlog-statu'!$G$2:$G$6832,"BlocksOnlyThisDomain")</f>
        <v>0</v>
      </c>
      <c r="R58" s="8">
        <f t="shared" si="1"/>
        <v>0.05555555555555555</v>
      </c>
      <c r="S58" s="1"/>
      <c r="T58" s="1"/>
      <c r="U58" s="1"/>
      <c r="V58" s="1"/>
    </row>
    <row r="59" spans="1:22" ht="20.100000000000001" customHeight="1" x14ac:dyDescent="0.25">
      <c r="A59" s="1"/>
      <c r="B59" s="1"/>
      <c r="C59" s="1"/>
      <c r="D59" s="1"/>
      <c r="E59" s="1"/>
      <c r="F59" s="1"/>
      <c r="G59" s="1"/>
      <c r="H59" s="1"/>
      <c r="I59" s="1"/>
      <c r="J59" s="1"/>
      <c r="K59" s="1"/>
      <c r="L59" s="1"/>
      <c r="M59" s="4" t="s">
        <v>3355</v>
      </c>
      <c r="N59" s="6">
        <f>COUNTIF('post-audit-active-backlog-statu'!$D$2:$D$6832,M59)</f>
        <v>18</v>
      </c>
      <c r="O59" s="6">
        <f>COUNTIFS('post-audit-active-backlog-statu'!$D$2:$D$6832,M59,'post-audit-active-backlog-statu'!$G$2:$G$6832,"Fixed")</f>
        <v>18</v>
      </c>
      <c r="P59" s="6">
        <f>COUNTIFS('post-audit-active-backlog-statu'!$D$2:$D$6832,M59,'post-audit-active-backlog-statu'!$G$2:$G$6832,"ReviewedNoChange")+COUNTIFS('post-audit-active-backlog-statu'!$D$2:$D$6832,M59,'post-audit-active-backlog-statu'!$G$2:$G$6832,"SafeNoChange")+COUNTIFS('post-audit-active-backlog-statu'!$D$2:$D$6832,M59,'post-audit-active-backlog-statu'!$G$2:$G$6832,"PolicyResolvedNoChange")</f>
        <v>0</v>
      </c>
      <c r="Q59" s="6">
        <f>COUNTIFS('post-audit-active-backlog-statu'!$D$2:$D$6832,M59,'post-audit-active-backlog-statu'!$G$2:$G$6832,"BlocksOnlyThisDomain")</f>
        <v>0</v>
      </c>
      <c r="R59" s="8">
        <f t="shared" si="1"/>
        <v>1.0</v>
      </c>
      <c r="S59" s="1"/>
      <c r="T59" s="1"/>
      <c r="U59" s="1"/>
      <c r="V59" s="1"/>
    </row>
    <row r="60" spans="1:22" ht="20.100000000000001" customHeight="1" x14ac:dyDescent="0.25">
      <c r="A60" s="1"/>
      <c r="B60" s="1"/>
      <c r="C60" s="1"/>
      <c r="D60" s="1"/>
      <c r="E60" s="1"/>
      <c r="F60" s="1"/>
      <c r="G60" s="1"/>
      <c r="H60" s="1"/>
      <c r="I60" s="1"/>
      <c r="J60" s="1"/>
      <c r="K60" s="1"/>
      <c r="L60" s="1"/>
      <c r="M60" s="4" t="s">
        <v>11698</v>
      </c>
      <c r="N60" s="6">
        <f>COUNTIF('post-audit-active-backlog-statu'!$D$2:$D$6832,M60)</f>
        <v>17</v>
      </c>
      <c r="O60" s="6">
        <f>COUNTIFS('post-audit-active-backlog-statu'!$D$2:$D$6832,M60,'post-audit-active-backlog-statu'!$G$2:$G$6832,"Fixed")</f>
        <v>0</v>
      </c>
      <c r="P60" s="6">
        <f>COUNTIFS('post-audit-active-backlog-statu'!$D$2:$D$6832,M60,'post-audit-active-backlog-statu'!$G$2:$G$6832,"ReviewedNoChange")+COUNTIFS('post-audit-active-backlog-statu'!$D$2:$D$6832,M60,'post-audit-active-backlog-statu'!$G$2:$G$6832,"SafeNoChange")+COUNTIFS('post-audit-active-backlog-statu'!$D$2:$D$6832,M60,'post-audit-active-backlog-statu'!$G$2:$G$6832,"PolicyResolvedNoChange")</f>
        <v>0</v>
      </c>
      <c r="Q60" s="6">
        <f>COUNTIFS('post-audit-active-backlog-statu'!$D$2:$D$6832,M60,'post-audit-active-backlog-statu'!$G$2:$G$6832,"BlocksOnlyThisDomain")</f>
        <v>0</v>
      </c>
      <c r="R60" s="8">
        <f t="shared" si="1"/>
        <v>0.0</v>
      </c>
      <c r="S60" s="1"/>
      <c r="T60" s="1"/>
      <c r="U60" s="1"/>
      <c r="V60" s="1"/>
    </row>
    <row r="61" spans="1:22" ht="20.100000000000001" customHeight="1" x14ac:dyDescent="0.25">
      <c r="A61" s="1"/>
      <c r="B61" s="1"/>
      <c r="C61" s="1"/>
      <c r="D61" s="1"/>
      <c r="E61" s="1"/>
      <c r="F61" s="1"/>
      <c r="G61" s="1"/>
      <c r="H61" s="1"/>
      <c r="I61" s="1"/>
      <c r="J61" s="1"/>
      <c r="K61" s="1"/>
      <c r="L61" s="1"/>
      <c r="M61" s="4" t="s">
        <v>3524</v>
      </c>
      <c r="N61" s="6">
        <f>COUNTIF('post-audit-active-backlog-statu'!$D$2:$D$6832,M61)</f>
        <v>16</v>
      </c>
      <c r="O61" s="6">
        <f>COUNTIFS('post-audit-active-backlog-statu'!$D$2:$D$6832,M61,'post-audit-active-backlog-statu'!$G$2:$G$6832,"Fixed")</f>
        <v>13</v>
      </c>
      <c r="P61" s="6">
        <f>COUNTIFS('post-audit-active-backlog-statu'!$D$2:$D$6832,M61,'post-audit-active-backlog-statu'!$G$2:$G$6832,"ReviewedNoChange")+COUNTIFS('post-audit-active-backlog-statu'!$D$2:$D$6832,M61,'post-audit-active-backlog-statu'!$G$2:$G$6832,"SafeNoChange")+COUNTIFS('post-audit-active-backlog-statu'!$D$2:$D$6832,M61,'post-audit-active-backlog-statu'!$G$2:$G$6832,"PolicyResolvedNoChange")</f>
        <v>3</v>
      </c>
      <c r="Q61" s="6">
        <f>COUNTIFS('post-audit-active-backlog-statu'!$D$2:$D$6832,M61,'post-audit-active-backlog-statu'!$G$2:$G$6832,"BlocksOnlyThisDomain")</f>
        <v>0</v>
      </c>
      <c r="R61" s="8">
        <f t="shared" si="1"/>
        <v>0.8125</v>
      </c>
      <c r="S61" s="1"/>
      <c r="T61" s="1"/>
      <c r="U61" s="1"/>
      <c r="V61" s="1"/>
    </row>
    <row r="62" spans="1:22" ht="20.100000000000001" customHeight="1" x14ac:dyDescent="0.25">
      <c r="A62" s="1"/>
      <c r="B62" s="1"/>
      <c r="C62" s="1"/>
      <c r="D62" s="1"/>
      <c r="E62" s="1"/>
      <c r="F62" s="1"/>
      <c r="G62" s="1"/>
      <c r="H62" s="1"/>
      <c r="I62" s="1"/>
      <c r="J62" s="1"/>
      <c r="K62" s="1"/>
      <c r="L62" s="1"/>
      <c r="M62" s="4" t="s">
        <v>2287</v>
      </c>
      <c r="N62" s="6">
        <f>COUNTIF('post-audit-active-backlog-statu'!$D$2:$D$6832,M62)</f>
        <v>14</v>
      </c>
      <c r="O62" s="6">
        <f>COUNTIFS('post-audit-active-backlog-statu'!$D$2:$D$6832,M62,'post-audit-active-backlog-statu'!$G$2:$G$6832,"Fixed")</f>
        <v>6</v>
      </c>
      <c r="P62" s="6">
        <f>COUNTIFS('post-audit-active-backlog-statu'!$D$2:$D$6832,M62,'post-audit-active-backlog-statu'!$G$2:$G$6832,"ReviewedNoChange")+COUNTIFS('post-audit-active-backlog-statu'!$D$2:$D$6832,M62,'post-audit-active-backlog-statu'!$G$2:$G$6832,"SafeNoChange")+COUNTIFS('post-audit-active-backlog-statu'!$D$2:$D$6832,M62,'post-audit-active-backlog-statu'!$G$2:$G$6832,"PolicyResolvedNoChange")</f>
        <v>6</v>
      </c>
      <c r="Q62" s="6">
        <f>COUNTIFS('post-audit-active-backlog-statu'!$D$2:$D$6832,M62,'post-audit-active-backlog-statu'!$G$2:$G$6832,"BlocksOnlyThisDomain")</f>
        <v>0</v>
      </c>
      <c r="R62" s="8">
        <f t="shared" si="1"/>
        <v>0.42857142857142855</v>
      </c>
      <c r="S62" s="1"/>
      <c r="T62" s="1"/>
      <c r="U62" s="1"/>
      <c r="V62" s="1"/>
    </row>
    <row r="63" spans="1:22" ht="20.100000000000001" customHeight="1" x14ac:dyDescent="0.25">
      <c r="A63" s="1"/>
      <c r="B63" s="1"/>
      <c r="C63" s="1"/>
      <c r="D63" s="1"/>
      <c r="E63" s="1"/>
      <c r="F63" s="1"/>
      <c r="G63" s="1"/>
      <c r="H63" s="1"/>
      <c r="I63" s="1"/>
      <c r="J63" s="1"/>
      <c r="K63" s="1"/>
      <c r="L63" s="1"/>
      <c r="M63" s="4" t="s">
        <v>2729</v>
      </c>
      <c r="N63" s="6">
        <f>COUNTIF('post-audit-active-backlog-statu'!$D$2:$D$6832,M63)</f>
        <v>14</v>
      </c>
      <c r="O63" s="6">
        <f>COUNTIFS('post-audit-active-backlog-statu'!$D$2:$D$6832,M63,'post-audit-active-backlog-statu'!$G$2:$G$6832,"Fixed")</f>
        <v>12</v>
      </c>
      <c r="P63" s="6">
        <f>COUNTIFS('post-audit-active-backlog-statu'!$D$2:$D$6832,M63,'post-audit-active-backlog-statu'!$G$2:$G$6832,"ReviewedNoChange")+COUNTIFS('post-audit-active-backlog-statu'!$D$2:$D$6832,M63,'post-audit-active-backlog-statu'!$G$2:$G$6832,"SafeNoChange")+COUNTIFS('post-audit-active-backlog-statu'!$D$2:$D$6832,M63,'post-audit-active-backlog-statu'!$G$2:$G$6832,"PolicyResolvedNoChange")</f>
        <v>1</v>
      </c>
      <c r="Q63" s="6">
        <f>COUNTIFS('post-audit-active-backlog-statu'!$D$2:$D$6832,M63,'post-audit-active-backlog-statu'!$G$2:$G$6832,"BlocksOnlyThisDomain")</f>
        <v>0</v>
      </c>
      <c r="R63" s="8">
        <f t="shared" si="1"/>
        <v>0.8571428571428571</v>
      </c>
      <c r="S63" s="1"/>
      <c r="T63" s="1"/>
      <c r="U63" s="1"/>
      <c r="V63" s="1"/>
    </row>
    <row r="64" spans="1:22" ht="20.100000000000001" customHeight="1" x14ac:dyDescent="0.25">
      <c r="A64" s="1"/>
      <c r="B64" s="1"/>
      <c r="C64" s="1"/>
      <c r="D64" s="1"/>
      <c r="E64" s="1"/>
      <c r="F64" s="1"/>
      <c r="G64" s="1"/>
      <c r="H64" s="1"/>
      <c r="I64" s="1"/>
      <c r="J64" s="1"/>
      <c r="K64" s="1"/>
      <c r="L64" s="1"/>
      <c r="M64" s="4" t="s">
        <v>1391</v>
      </c>
      <c r="N64" s="6">
        <f>COUNTIF('post-audit-active-backlog-statu'!$D$2:$D$6832,M64)</f>
        <v>13</v>
      </c>
      <c r="O64" s="6">
        <f>COUNTIFS('post-audit-active-backlog-statu'!$D$2:$D$6832,M64,'post-audit-active-backlog-statu'!$G$2:$G$6832,"Fixed")</f>
        <v>1</v>
      </c>
      <c r="P64" s="6">
        <f>COUNTIFS('post-audit-active-backlog-statu'!$D$2:$D$6832,M64,'post-audit-active-backlog-statu'!$G$2:$G$6832,"ReviewedNoChange")+COUNTIFS('post-audit-active-backlog-statu'!$D$2:$D$6832,M64,'post-audit-active-backlog-statu'!$G$2:$G$6832,"SafeNoChange")+COUNTIFS('post-audit-active-backlog-statu'!$D$2:$D$6832,M64,'post-audit-active-backlog-statu'!$G$2:$G$6832,"PolicyResolvedNoChange")</f>
        <v>11</v>
      </c>
      <c r="Q64" s="6">
        <f>COUNTIFS('post-audit-active-backlog-statu'!$D$2:$D$6832,M64,'post-audit-active-backlog-statu'!$G$2:$G$6832,"BlocksOnlyThisDomain")</f>
        <v>0</v>
      </c>
      <c r="R64" s="8">
        <f t="shared" si="1"/>
        <v>0.07692307692307693</v>
      </c>
      <c r="S64" s="1"/>
      <c r="T64" s="1"/>
      <c r="U64" s="1"/>
      <c r="V64" s="1"/>
    </row>
    <row r="65" spans="1:22" ht="20.100000000000001" customHeight="1" x14ac:dyDescent="0.25">
      <c r="A65" s="1"/>
      <c r="B65" s="1"/>
      <c r="C65" s="1"/>
      <c r="D65" s="1"/>
      <c r="E65" s="1"/>
      <c r="F65" s="1"/>
      <c r="G65" s="1"/>
      <c r="H65" s="1"/>
      <c r="I65" s="1"/>
      <c r="J65" s="1"/>
      <c r="K65" s="1"/>
      <c r="L65" s="1"/>
      <c r="M65" s="4" t="s">
        <v>2648</v>
      </c>
      <c r="N65" s="6">
        <f>COUNTIF('post-audit-active-backlog-statu'!$D$2:$D$6832,M65)</f>
        <v>13</v>
      </c>
      <c r="O65" s="6">
        <f>COUNTIFS('post-audit-active-backlog-statu'!$D$2:$D$6832,M65,'post-audit-active-backlog-statu'!$G$2:$G$6832,"Fixed")</f>
        <v>13</v>
      </c>
      <c r="P65" s="6">
        <f>COUNTIFS('post-audit-active-backlog-statu'!$D$2:$D$6832,M65,'post-audit-active-backlog-statu'!$G$2:$G$6832,"ReviewedNoChange")+COUNTIFS('post-audit-active-backlog-statu'!$D$2:$D$6832,M65,'post-audit-active-backlog-statu'!$G$2:$G$6832,"SafeNoChange")+COUNTIFS('post-audit-active-backlog-statu'!$D$2:$D$6832,M65,'post-audit-active-backlog-statu'!$G$2:$G$6832,"PolicyResolvedNoChange")</f>
        <v>0</v>
      </c>
      <c r="Q65" s="6">
        <f>COUNTIFS('post-audit-active-backlog-statu'!$D$2:$D$6832,M65,'post-audit-active-backlog-statu'!$G$2:$G$6832,"BlocksOnlyThisDomain")</f>
        <v>0</v>
      </c>
      <c r="R65" s="8">
        <f t="shared" si="1"/>
        <v>1.0</v>
      </c>
      <c r="S65" s="1"/>
      <c r="T65" s="1"/>
      <c r="U65" s="1"/>
      <c r="V65" s="1"/>
    </row>
    <row r="66" spans="1:22" ht="20.100000000000001" customHeight="1" x14ac:dyDescent="0.25">
      <c r="A66" s="1"/>
      <c r="B66" s="1"/>
      <c r="C66" s="1"/>
      <c r="D66" s="1"/>
      <c r="E66" s="1"/>
      <c r="F66" s="1"/>
      <c r="G66" s="1"/>
      <c r="H66" s="1"/>
      <c r="I66" s="1"/>
      <c r="J66" s="1"/>
      <c r="K66" s="1"/>
      <c r="L66" s="1"/>
      <c r="M66" s="4" t="s">
        <v>4682</v>
      </c>
      <c r="N66" s="6">
        <f>COUNTIF('post-audit-active-backlog-statu'!$D$2:$D$6832,M66)</f>
        <v>13</v>
      </c>
      <c r="O66" s="6">
        <f>COUNTIFS('post-audit-active-backlog-statu'!$D$2:$D$6832,M66,'post-audit-active-backlog-statu'!$G$2:$G$6832,"Fixed")</f>
        <v>4</v>
      </c>
      <c r="P66" s="6">
        <f>COUNTIFS('post-audit-active-backlog-statu'!$D$2:$D$6832,M66,'post-audit-active-backlog-statu'!$G$2:$G$6832,"ReviewedNoChange")+COUNTIFS('post-audit-active-backlog-statu'!$D$2:$D$6832,M66,'post-audit-active-backlog-statu'!$G$2:$G$6832,"SafeNoChange")+COUNTIFS('post-audit-active-backlog-statu'!$D$2:$D$6832,M66,'post-audit-active-backlog-statu'!$G$2:$G$6832,"PolicyResolvedNoChange")</f>
        <v>8</v>
      </c>
      <c r="Q66" s="6">
        <f>COUNTIFS('post-audit-active-backlog-statu'!$D$2:$D$6832,M66,'post-audit-active-backlog-statu'!$G$2:$G$6832,"BlocksOnlyThisDomain")</f>
        <v>0</v>
      </c>
      <c r="R66" s="8">
        <f t="shared" si="1"/>
        <v>0.3076923076923077</v>
      </c>
      <c r="S66" s="1"/>
      <c r="T66" s="1"/>
      <c r="U66" s="1"/>
      <c r="V66" s="1"/>
    </row>
    <row r="67" spans="1:22" ht="20.100000000000001" customHeight="1" x14ac:dyDescent="0.25">
      <c r="A67" s="1"/>
      <c r="B67" s="1"/>
      <c r="C67" s="1"/>
      <c r="D67" s="1"/>
      <c r="E67" s="1"/>
      <c r="F67" s="1"/>
      <c r="G67" s="1"/>
      <c r="H67" s="1"/>
      <c r="I67" s="1"/>
      <c r="J67" s="1"/>
      <c r="K67" s="1"/>
      <c r="L67" s="1"/>
      <c r="M67" s="4" t="s">
        <v>4699</v>
      </c>
      <c r="N67" s="6">
        <f>COUNTIF('post-audit-active-backlog-statu'!$D$2:$D$6832,M67)</f>
        <v>13</v>
      </c>
      <c r="O67" s="6">
        <f>COUNTIFS('post-audit-active-backlog-statu'!$D$2:$D$6832,M67,'post-audit-active-backlog-statu'!$G$2:$G$6832,"Fixed")</f>
        <v>5</v>
      </c>
      <c r="P67" s="6">
        <f>COUNTIFS('post-audit-active-backlog-statu'!$D$2:$D$6832,M67,'post-audit-active-backlog-statu'!$G$2:$G$6832,"ReviewedNoChange")+COUNTIFS('post-audit-active-backlog-statu'!$D$2:$D$6832,M67,'post-audit-active-backlog-statu'!$G$2:$G$6832,"SafeNoChange")+COUNTIFS('post-audit-active-backlog-statu'!$D$2:$D$6832,M67,'post-audit-active-backlog-statu'!$G$2:$G$6832,"PolicyResolvedNoChange")</f>
        <v>5</v>
      </c>
      <c r="Q67" s="6">
        <f>COUNTIFS('post-audit-active-backlog-statu'!$D$2:$D$6832,M67,'post-audit-active-backlog-statu'!$G$2:$G$6832,"BlocksOnlyThisDomain")</f>
        <v>0</v>
      </c>
      <c r="R67" s="8">
        <f t="shared" si="1"/>
        <v>0.38461538461538464</v>
      </c>
      <c r="S67" s="1"/>
      <c r="T67" s="1"/>
      <c r="U67" s="1"/>
      <c r="V67" s="1"/>
    </row>
    <row r="68" spans="1:22" ht="20.100000000000001" customHeight="1" x14ac:dyDescent="0.25">
      <c r="A68" s="1"/>
      <c r="B68" s="1"/>
      <c r="C68" s="1"/>
      <c r="D68" s="1"/>
      <c r="E68" s="1"/>
      <c r="F68" s="1"/>
      <c r="G68" s="1"/>
      <c r="H68" s="1"/>
      <c r="I68" s="1"/>
      <c r="J68" s="1"/>
      <c r="K68" s="1"/>
      <c r="L68" s="1"/>
      <c r="M68" s="4" t="s">
        <v>17096</v>
      </c>
      <c r="N68" s="6">
        <f>COUNTIF('post-audit-active-backlog-statu'!$D$2:$D$6832,M68)</f>
        <v>13</v>
      </c>
      <c r="O68" s="6">
        <f>COUNTIFS('post-audit-active-backlog-statu'!$D$2:$D$6832,M68,'post-audit-active-backlog-statu'!$G$2:$G$6832,"Fixed")</f>
        <v>0</v>
      </c>
      <c r="P68" s="6">
        <f>COUNTIFS('post-audit-active-backlog-statu'!$D$2:$D$6832,M68,'post-audit-active-backlog-statu'!$G$2:$G$6832,"ReviewedNoChange")+COUNTIFS('post-audit-active-backlog-statu'!$D$2:$D$6832,M68,'post-audit-active-backlog-statu'!$G$2:$G$6832,"SafeNoChange")+COUNTIFS('post-audit-active-backlog-statu'!$D$2:$D$6832,M68,'post-audit-active-backlog-statu'!$G$2:$G$6832,"PolicyResolvedNoChange")</f>
        <v>13</v>
      </c>
      <c r="Q68" s="6">
        <f>COUNTIFS('post-audit-active-backlog-statu'!$D$2:$D$6832,M68,'post-audit-active-backlog-statu'!$G$2:$G$6832,"BlocksOnlyThisDomain")</f>
        <v>0</v>
      </c>
      <c r="R68" s="8">
        <f t="shared" si="1"/>
        <v>0.0</v>
      </c>
      <c r="S68" s="1"/>
      <c r="T68" s="1"/>
      <c r="U68" s="1"/>
      <c r="V68" s="1"/>
    </row>
    <row r="69" spans="1:22" ht="20.100000000000001" customHeight="1" x14ac:dyDescent="0.25">
      <c r="A69" s="1"/>
      <c r="B69" s="1"/>
      <c r="C69" s="1"/>
      <c r="D69" s="1"/>
      <c r="E69" s="1"/>
      <c r="F69" s="1"/>
      <c r="G69" s="1"/>
      <c r="H69" s="1"/>
      <c r="I69" s="1"/>
      <c r="J69" s="1"/>
      <c r="K69" s="1"/>
      <c r="L69" s="1"/>
      <c r="M69" s="4" t="s">
        <v>2895</v>
      </c>
      <c r="N69" s="6">
        <f>COUNTIF('post-audit-active-backlog-statu'!$D$2:$D$6832,M69)</f>
        <v>12</v>
      </c>
      <c r="O69" s="6">
        <f>COUNTIFS('post-audit-active-backlog-statu'!$D$2:$D$6832,M69,'post-audit-active-backlog-statu'!$G$2:$G$6832,"Fixed")</f>
        <v>11</v>
      </c>
      <c r="P69" s="6">
        <f>COUNTIFS('post-audit-active-backlog-statu'!$D$2:$D$6832,M69,'post-audit-active-backlog-statu'!$G$2:$G$6832,"ReviewedNoChange")+COUNTIFS('post-audit-active-backlog-statu'!$D$2:$D$6832,M69,'post-audit-active-backlog-statu'!$G$2:$G$6832,"SafeNoChange")+COUNTIFS('post-audit-active-backlog-statu'!$D$2:$D$6832,M69,'post-audit-active-backlog-statu'!$G$2:$G$6832,"PolicyResolvedNoChange")</f>
        <v>0</v>
      </c>
      <c r="Q69" s="6">
        <f>COUNTIFS('post-audit-active-backlog-statu'!$D$2:$D$6832,M69,'post-audit-active-backlog-statu'!$G$2:$G$6832,"BlocksOnlyThisDomain")</f>
        <v>0</v>
      </c>
      <c r="R69" s="8">
        <f t="shared" ref="R69:R132" si="3">O69/N69</f>
        <v>0.9166666666666666</v>
      </c>
      <c r="S69" s="1"/>
      <c r="T69" s="1"/>
      <c r="U69" s="1"/>
      <c r="V69" s="1"/>
    </row>
    <row r="70" spans="1:22" ht="20.100000000000001" customHeight="1" x14ac:dyDescent="0.25">
      <c r="A70" s="1"/>
      <c r="B70" s="1"/>
      <c r="C70" s="1"/>
      <c r="D70" s="1"/>
      <c r="E70" s="1"/>
      <c r="F70" s="1"/>
      <c r="G70" s="1"/>
      <c r="H70" s="1"/>
      <c r="I70" s="1"/>
      <c r="J70" s="1"/>
      <c r="K70" s="1"/>
      <c r="L70" s="1"/>
      <c r="M70" s="4" t="s">
        <v>3758</v>
      </c>
      <c r="N70" s="6">
        <f>COUNTIF('post-audit-active-backlog-statu'!$D$2:$D$6832,M70)</f>
        <v>12</v>
      </c>
      <c r="O70" s="6">
        <f>COUNTIFS('post-audit-active-backlog-statu'!$D$2:$D$6832,M70,'post-audit-active-backlog-statu'!$G$2:$G$6832,"Fixed")</f>
        <v>12</v>
      </c>
      <c r="P70" s="6">
        <f>COUNTIFS('post-audit-active-backlog-statu'!$D$2:$D$6832,M70,'post-audit-active-backlog-statu'!$G$2:$G$6832,"ReviewedNoChange")+COUNTIFS('post-audit-active-backlog-statu'!$D$2:$D$6832,M70,'post-audit-active-backlog-statu'!$G$2:$G$6832,"SafeNoChange")+COUNTIFS('post-audit-active-backlog-statu'!$D$2:$D$6832,M70,'post-audit-active-backlog-statu'!$G$2:$G$6832,"PolicyResolvedNoChange")</f>
        <v>0</v>
      </c>
      <c r="Q70" s="6">
        <f>COUNTIFS('post-audit-active-backlog-statu'!$D$2:$D$6832,M70,'post-audit-active-backlog-statu'!$G$2:$G$6832,"BlocksOnlyThisDomain")</f>
        <v>0</v>
      </c>
      <c r="R70" s="8">
        <f t="shared" si="3"/>
        <v>1.0</v>
      </c>
      <c r="S70" s="1"/>
      <c r="T70" s="1"/>
      <c r="U70" s="1"/>
      <c r="V70" s="1"/>
    </row>
    <row r="71" spans="1:22" ht="20.100000000000001" customHeight="1" x14ac:dyDescent="0.25">
      <c r="A71" s="1"/>
      <c r="B71" s="1"/>
      <c r="C71" s="1"/>
      <c r="D71" s="1"/>
      <c r="E71" s="1"/>
      <c r="F71" s="1"/>
      <c r="G71" s="1"/>
      <c r="H71" s="1"/>
      <c r="I71" s="1"/>
      <c r="J71" s="1"/>
      <c r="K71" s="1"/>
      <c r="L71" s="1"/>
      <c r="M71" s="4" t="s">
        <v>9261</v>
      </c>
      <c r="N71" s="6">
        <f>COUNTIF('post-audit-active-backlog-statu'!$D$2:$D$6832,M71)</f>
        <v>12</v>
      </c>
      <c r="O71" s="6">
        <f>COUNTIFS('post-audit-active-backlog-statu'!$D$2:$D$6832,M71,'post-audit-active-backlog-statu'!$G$2:$G$6832,"Fixed")</f>
        <v>2</v>
      </c>
      <c r="P71" s="6">
        <f>COUNTIFS('post-audit-active-backlog-statu'!$D$2:$D$6832,M71,'post-audit-active-backlog-statu'!$G$2:$G$6832,"ReviewedNoChange")+COUNTIFS('post-audit-active-backlog-statu'!$D$2:$D$6832,M71,'post-audit-active-backlog-statu'!$G$2:$G$6832,"SafeNoChange")+COUNTIFS('post-audit-active-backlog-statu'!$D$2:$D$6832,M71,'post-audit-active-backlog-statu'!$G$2:$G$6832,"PolicyResolvedNoChange")</f>
        <v>10</v>
      </c>
      <c r="Q71" s="6">
        <f>COUNTIFS('post-audit-active-backlog-statu'!$D$2:$D$6832,M71,'post-audit-active-backlog-statu'!$G$2:$G$6832,"BlocksOnlyThisDomain")</f>
        <v>0</v>
      </c>
      <c r="R71" s="8">
        <f t="shared" si="3"/>
        <v>0.16666666666666666</v>
      </c>
      <c r="S71" s="1"/>
      <c r="T71" s="1"/>
      <c r="U71" s="1"/>
      <c r="V71" s="1"/>
    </row>
    <row r="72" spans="1:22" ht="20.100000000000001" customHeight="1" x14ac:dyDescent="0.25">
      <c r="A72" s="1"/>
      <c r="B72" s="1"/>
      <c r="C72" s="1"/>
      <c r="D72" s="1"/>
      <c r="E72" s="1"/>
      <c r="F72" s="1"/>
      <c r="G72" s="1"/>
      <c r="H72" s="1"/>
      <c r="I72" s="1"/>
      <c r="J72" s="1"/>
      <c r="K72" s="1"/>
      <c r="L72" s="1"/>
      <c r="M72" s="4" t="s">
        <v>2541</v>
      </c>
      <c r="N72" s="6">
        <f>COUNTIF('post-audit-active-backlog-statu'!$D$2:$D$6832,M72)</f>
        <v>11</v>
      </c>
      <c r="O72" s="6">
        <f>COUNTIFS('post-audit-active-backlog-statu'!$D$2:$D$6832,M72,'post-audit-active-backlog-statu'!$G$2:$G$6832,"Fixed")</f>
        <v>6</v>
      </c>
      <c r="P72" s="6">
        <f>COUNTIFS('post-audit-active-backlog-statu'!$D$2:$D$6832,M72,'post-audit-active-backlog-statu'!$G$2:$G$6832,"ReviewedNoChange")+COUNTIFS('post-audit-active-backlog-statu'!$D$2:$D$6832,M72,'post-audit-active-backlog-statu'!$G$2:$G$6832,"SafeNoChange")+COUNTIFS('post-audit-active-backlog-statu'!$D$2:$D$6832,M72,'post-audit-active-backlog-statu'!$G$2:$G$6832,"PolicyResolvedNoChange")</f>
        <v>5</v>
      </c>
      <c r="Q72" s="6">
        <f>COUNTIFS('post-audit-active-backlog-statu'!$D$2:$D$6832,M72,'post-audit-active-backlog-statu'!$G$2:$G$6832,"BlocksOnlyThisDomain")</f>
        <v>0</v>
      </c>
      <c r="R72" s="8">
        <f t="shared" si="3"/>
        <v>0.5454545454545454</v>
      </c>
      <c r="S72" s="1"/>
      <c r="T72" s="1"/>
      <c r="U72" s="1"/>
      <c r="V72" s="1"/>
    </row>
    <row r="73" spans="1:22" ht="20.100000000000001" customHeight="1" x14ac:dyDescent="0.25">
      <c r="A73" s="1"/>
      <c r="B73" s="1"/>
      <c r="C73" s="1"/>
      <c r="D73" s="1"/>
      <c r="E73" s="1"/>
      <c r="F73" s="1"/>
      <c r="G73" s="1"/>
      <c r="H73" s="1"/>
      <c r="I73" s="1"/>
      <c r="J73" s="1"/>
      <c r="K73" s="1"/>
      <c r="L73" s="1"/>
      <c r="M73" s="4" t="s">
        <v>3945</v>
      </c>
      <c r="N73" s="6">
        <f>COUNTIF('post-audit-active-backlog-statu'!$D$2:$D$6832,M73)</f>
        <v>11</v>
      </c>
      <c r="O73" s="6">
        <f>COUNTIFS('post-audit-active-backlog-statu'!$D$2:$D$6832,M73,'post-audit-active-backlog-statu'!$G$2:$G$6832,"Fixed")</f>
        <v>11</v>
      </c>
      <c r="P73" s="6">
        <f>COUNTIFS('post-audit-active-backlog-statu'!$D$2:$D$6832,M73,'post-audit-active-backlog-statu'!$G$2:$G$6832,"ReviewedNoChange")+COUNTIFS('post-audit-active-backlog-statu'!$D$2:$D$6832,M73,'post-audit-active-backlog-statu'!$G$2:$G$6832,"SafeNoChange")+COUNTIFS('post-audit-active-backlog-statu'!$D$2:$D$6832,M73,'post-audit-active-backlog-statu'!$G$2:$G$6832,"PolicyResolvedNoChange")</f>
        <v>0</v>
      </c>
      <c r="Q73" s="6">
        <f>COUNTIFS('post-audit-active-backlog-statu'!$D$2:$D$6832,M73,'post-audit-active-backlog-statu'!$G$2:$G$6832,"BlocksOnlyThisDomain")</f>
        <v>0</v>
      </c>
      <c r="R73" s="8">
        <f t="shared" si="3"/>
        <v>1.0</v>
      </c>
      <c r="S73" s="1"/>
      <c r="T73" s="1"/>
      <c r="U73" s="1"/>
      <c r="V73" s="1"/>
    </row>
    <row r="74" spans="1:22" ht="20.100000000000001" customHeight="1" x14ac:dyDescent="0.25">
      <c r="A74" s="1"/>
      <c r="B74" s="1"/>
      <c r="C74" s="1"/>
      <c r="D74" s="1"/>
      <c r="E74" s="1"/>
      <c r="F74" s="1"/>
      <c r="G74" s="1"/>
      <c r="H74" s="1"/>
      <c r="I74" s="1"/>
      <c r="J74" s="1"/>
      <c r="K74" s="1"/>
      <c r="L74" s="1"/>
      <c r="M74" s="4" t="s">
        <v>3299</v>
      </c>
      <c r="N74" s="6">
        <f>COUNTIF('post-audit-active-backlog-statu'!$D$2:$D$6832,M74)</f>
        <v>10</v>
      </c>
      <c r="O74" s="6">
        <f>COUNTIFS('post-audit-active-backlog-statu'!$D$2:$D$6832,M74,'post-audit-active-backlog-statu'!$G$2:$G$6832,"Fixed")</f>
        <v>8</v>
      </c>
      <c r="P74" s="6">
        <f>COUNTIFS('post-audit-active-backlog-statu'!$D$2:$D$6832,M74,'post-audit-active-backlog-statu'!$G$2:$G$6832,"ReviewedNoChange")+COUNTIFS('post-audit-active-backlog-statu'!$D$2:$D$6832,M74,'post-audit-active-backlog-statu'!$G$2:$G$6832,"SafeNoChange")+COUNTIFS('post-audit-active-backlog-statu'!$D$2:$D$6832,M74,'post-audit-active-backlog-statu'!$G$2:$G$6832,"PolicyResolvedNoChange")</f>
        <v>2</v>
      </c>
      <c r="Q74" s="6">
        <f>COUNTIFS('post-audit-active-backlog-statu'!$D$2:$D$6832,M74,'post-audit-active-backlog-statu'!$G$2:$G$6832,"BlocksOnlyThisDomain")</f>
        <v>0</v>
      </c>
      <c r="R74" s="8">
        <f t="shared" si="3"/>
        <v>0.8</v>
      </c>
      <c r="S74" s="1"/>
      <c r="T74" s="1"/>
      <c r="U74" s="1"/>
      <c r="V74" s="1"/>
    </row>
    <row r="75" spans="1:22" ht="20.100000000000001" customHeight="1" x14ac:dyDescent="0.25">
      <c r="A75" s="1"/>
      <c r="B75" s="1"/>
      <c r="C75" s="1"/>
      <c r="D75" s="1"/>
      <c r="E75" s="1"/>
      <c r="F75" s="1"/>
      <c r="G75" s="1"/>
      <c r="H75" s="1"/>
      <c r="I75" s="1"/>
      <c r="J75" s="1"/>
      <c r="K75" s="1"/>
      <c r="L75" s="1"/>
      <c r="M75" s="4" t="s">
        <v>3625</v>
      </c>
      <c r="N75" s="6">
        <f>COUNTIF('post-audit-active-backlog-statu'!$D$2:$D$6832,M75)</f>
        <v>10</v>
      </c>
      <c r="O75" s="6">
        <f>COUNTIFS('post-audit-active-backlog-statu'!$D$2:$D$6832,M75,'post-audit-active-backlog-statu'!$G$2:$G$6832,"Fixed")</f>
        <v>7</v>
      </c>
      <c r="P75" s="6">
        <f>COUNTIFS('post-audit-active-backlog-statu'!$D$2:$D$6832,M75,'post-audit-active-backlog-statu'!$G$2:$G$6832,"ReviewedNoChange")+COUNTIFS('post-audit-active-backlog-statu'!$D$2:$D$6832,M75,'post-audit-active-backlog-statu'!$G$2:$G$6832,"SafeNoChange")+COUNTIFS('post-audit-active-backlog-statu'!$D$2:$D$6832,M75,'post-audit-active-backlog-statu'!$G$2:$G$6832,"PolicyResolvedNoChange")</f>
        <v>3</v>
      </c>
      <c r="Q75" s="6">
        <f>COUNTIFS('post-audit-active-backlog-statu'!$D$2:$D$6832,M75,'post-audit-active-backlog-statu'!$G$2:$G$6832,"BlocksOnlyThisDomain")</f>
        <v>0</v>
      </c>
      <c r="R75" s="8">
        <f t="shared" si="3"/>
        <v>0.7</v>
      </c>
      <c r="S75" s="1"/>
      <c r="T75" s="1"/>
      <c r="U75" s="1"/>
      <c r="V75" s="1"/>
    </row>
    <row r="76" spans="1:22" ht="20.100000000000001" customHeight="1" x14ac:dyDescent="0.25">
      <c r="A76" s="1"/>
      <c r="B76" s="1"/>
      <c r="C76" s="1"/>
      <c r="D76" s="1"/>
      <c r="E76" s="1"/>
      <c r="F76" s="1"/>
      <c r="G76" s="1"/>
      <c r="H76" s="1"/>
      <c r="I76" s="1"/>
      <c r="J76" s="1"/>
      <c r="K76" s="1"/>
      <c r="L76" s="1"/>
      <c r="M76" s="4" t="s">
        <v>8616</v>
      </c>
      <c r="N76" s="6">
        <f>COUNTIF('post-audit-active-backlog-statu'!$D$2:$D$6832,M76)</f>
        <v>10</v>
      </c>
      <c r="O76" s="6">
        <f>COUNTIFS('post-audit-active-backlog-statu'!$D$2:$D$6832,M76,'post-audit-active-backlog-statu'!$G$2:$G$6832,"Fixed")</f>
        <v>2</v>
      </c>
      <c r="P76" s="6">
        <f>COUNTIFS('post-audit-active-backlog-statu'!$D$2:$D$6832,M76,'post-audit-active-backlog-statu'!$G$2:$G$6832,"ReviewedNoChange")+COUNTIFS('post-audit-active-backlog-statu'!$D$2:$D$6832,M76,'post-audit-active-backlog-statu'!$G$2:$G$6832,"SafeNoChange")+COUNTIFS('post-audit-active-backlog-statu'!$D$2:$D$6832,M76,'post-audit-active-backlog-statu'!$G$2:$G$6832,"PolicyResolvedNoChange")</f>
        <v>3</v>
      </c>
      <c r="Q76" s="6">
        <f>COUNTIFS('post-audit-active-backlog-statu'!$D$2:$D$6832,M76,'post-audit-active-backlog-statu'!$G$2:$G$6832,"BlocksOnlyThisDomain")</f>
        <v>0</v>
      </c>
      <c r="R76" s="8">
        <f t="shared" si="3"/>
        <v>0.2</v>
      </c>
      <c r="S76" s="1"/>
      <c r="T76" s="1"/>
      <c r="U76" s="1"/>
      <c r="V76" s="1"/>
    </row>
    <row r="77" spans="1:22" ht="20.100000000000001" customHeight="1" x14ac:dyDescent="0.25">
      <c r="A77" s="1"/>
      <c r="B77" s="1"/>
      <c r="C77" s="1"/>
      <c r="D77" s="1"/>
      <c r="E77" s="1"/>
      <c r="F77" s="1"/>
      <c r="G77" s="1"/>
      <c r="H77" s="1"/>
      <c r="I77" s="1"/>
      <c r="J77" s="1"/>
      <c r="K77" s="1"/>
      <c r="L77" s="1"/>
      <c r="M77" s="4" t="s">
        <v>21150</v>
      </c>
      <c r="N77" s="6">
        <f>COUNTIF('post-audit-active-backlog-statu'!$D$2:$D$6832,M77)</f>
        <v>10</v>
      </c>
      <c r="O77" s="6">
        <f>COUNTIFS('post-audit-active-backlog-statu'!$D$2:$D$6832,M77,'post-audit-active-backlog-statu'!$G$2:$G$6832,"Fixed")</f>
        <v>0</v>
      </c>
      <c r="P77" s="6">
        <f>COUNTIFS('post-audit-active-backlog-statu'!$D$2:$D$6832,M77,'post-audit-active-backlog-statu'!$G$2:$G$6832,"ReviewedNoChange")+COUNTIFS('post-audit-active-backlog-statu'!$D$2:$D$6832,M77,'post-audit-active-backlog-statu'!$G$2:$G$6832,"SafeNoChange")+COUNTIFS('post-audit-active-backlog-statu'!$D$2:$D$6832,M77,'post-audit-active-backlog-statu'!$G$2:$G$6832,"PolicyResolvedNoChange")</f>
        <v>10</v>
      </c>
      <c r="Q77" s="6">
        <f>COUNTIFS('post-audit-active-backlog-statu'!$D$2:$D$6832,M77,'post-audit-active-backlog-statu'!$G$2:$G$6832,"BlocksOnlyThisDomain")</f>
        <v>0</v>
      </c>
      <c r="R77" s="8">
        <f t="shared" si="3"/>
        <v>0.0</v>
      </c>
      <c r="S77" s="1"/>
      <c r="T77" s="1"/>
      <c r="U77" s="1"/>
      <c r="V77" s="1"/>
    </row>
    <row r="78" spans="1:22" ht="20.100000000000001" customHeight="1" x14ac:dyDescent="0.25">
      <c r="A78" s="1"/>
      <c r="B78" s="1"/>
      <c r="C78" s="1"/>
      <c r="D78" s="1"/>
      <c r="E78" s="1"/>
      <c r="F78" s="1"/>
      <c r="G78" s="1"/>
      <c r="H78" s="1"/>
      <c r="I78" s="1"/>
      <c r="J78" s="1"/>
      <c r="K78" s="1"/>
      <c r="L78" s="1"/>
      <c r="M78" s="4" t="s">
        <v>2117</v>
      </c>
      <c r="N78" s="6">
        <f>COUNTIF('post-audit-active-backlog-statu'!$D$2:$D$6832,M78)</f>
        <v>9</v>
      </c>
      <c r="O78" s="6">
        <f>COUNTIFS('post-audit-active-backlog-statu'!$D$2:$D$6832,M78,'post-audit-active-backlog-statu'!$G$2:$G$6832,"Fixed")</f>
        <v>3</v>
      </c>
      <c r="P78" s="6">
        <f>COUNTIFS('post-audit-active-backlog-statu'!$D$2:$D$6832,M78,'post-audit-active-backlog-statu'!$G$2:$G$6832,"ReviewedNoChange")+COUNTIFS('post-audit-active-backlog-statu'!$D$2:$D$6832,M78,'post-audit-active-backlog-statu'!$G$2:$G$6832,"SafeNoChange")+COUNTIFS('post-audit-active-backlog-statu'!$D$2:$D$6832,M78,'post-audit-active-backlog-statu'!$G$2:$G$6832,"PolicyResolvedNoChange")</f>
        <v>0</v>
      </c>
      <c r="Q78" s="6">
        <f>COUNTIFS('post-audit-active-backlog-statu'!$D$2:$D$6832,M78,'post-audit-active-backlog-statu'!$G$2:$G$6832,"BlocksOnlyThisDomain")</f>
        <v>0</v>
      </c>
      <c r="R78" s="8">
        <f t="shared" si="3"/>
        <v>0.3333333333333333</v>
      </c>
      <c r="S78" s="1"/>
      <c r="T78" s="1"/>
      <c r="U78" s="1"/>
      <c r="V78" s="1"/>
    </row>
    <row r="79" spans="1:22" ht="20.100000000000001" customHeight="1" x14ac:dyDescent="0.25">
      <c r="A79" s="1"/>
      <c r="B79" s="1"/>
      <c r="C79" s="1"/>
      <c r="D79" s="1"/>
      <c r="E79" s="1"/>
      <c r="F79" s="1"/>
      <c r="G79" s="1"/>
      <c r="H79" s="1"/>
      <c r="I79" s="1"/>
      <c r="J79" s="1"/>
      <c r="K79" s="1"/>
      <c r="L79" s="1"/>
      <c r="M79" s="4" t="s">
        <v>2314</v>
      </c>
      <c r="N79" s="6">
        <f>COUNTIF('post-audit-active-backlog-statu'!$D$2:$D$6832,M79)</f>
        <v>9</v>
      </c>
      <c r="O79" s="6">
        <f>COUNTIFS('post-audit-active-backlog-statu'!$D$2:$D$6832,M79,'post-audit-active-backlog-statu'!$G$2:$G$6832,"Fixed")</f>
        <v>5</v>
      </c>
      <c r="P79" s="6">
        <f>COUNTIFS('post-audit-active-backlog-statu'!$D$2:$D$6832,M79,'post-audit-active-backlog-statu'!$G$2:$G$6832,"ReviewedNoChange")+COUNTIFS('post-audit-active-backlog-statu'!$D$2:$D$6832,M79,'post-audit-active-backlog-statu'!$G$2:$G$6832,"SafeNoChange")+COUNTIFS('post-audit-active-backlog-statu'!$D$2:$D$6832,M79,'post-audit-active-backlog-statu'!$G$2:$G$6832,"PolicyResolvedNoChange")</f>
        <v>2</v>
      </c>
      <c r="Q79" s="6">
        <f>COUNTIFS('post-audit-active-backlog-statu'!$D$2:$D$6832,M79,'post-audit-active-backlog-statu'!$G$2:$G$6832,"BlocksOnlyThisDomain")</f>
        <v>0</v>
      </c>
      <c r="R79" s="8">
        <f t="shared" si="3"/>
        <v>0.5555555555555556</v>
      </c>
      <c r="S79" s="1"/>
      <c r="T79" s="1"/>
      <c r="U79" s="1"/>
      <c r="V79" s="1"/>
    </row>
    <row r="80" spans="1:22" ht="20.100000000000001" customHeight="1" x14ac:dyDescent="0.25">
      <c r="A80" s="1"/>
      <c r="B80" s="1"/>
      <c r="C80" s="1"/>
      <c r="D80" s="1"/>
      <c r="E80" s="1"/>
      <c r="F80" s="1"/>
      <c r="G80" s="1"/>
      <c r="H80" s="1"/>
      <c r="I80" s="1"/>
      <c r="J80" s="1"/>
      <c r="K80" s="1"/>
      <c r="L80" s="1"/>
      <c r="M80" s="4" t="s">
        <v>2602</v>
      </c>
      <c r="N80" s="6">
        <f>COUNTIF('post-audit-active-backlog-statu'!$D$2:$D$6832,M80)</f>
        <v>9</v>
      </c>
      <c r="O80" s="6">
        <f>COUNTIFS('post-audit-active-backlog-statu'!$D$2:$D$6832,M80,'post-audit-active-backlog-statu'!$G$2:$G$6832,"Fixed")</f>
        <v>7</v>
      </c>
      <c r="P80" s="6">
        <f>COUNTIFS('post-audit-active-backlog-statu'!$D$2:$D$6832,M80,'post-audit-active-backlog-statu'!$G$2:$G$6832,"ReviewedNoChange")+COUNTIFS('post-audit-active-backlog-statu'!$D$2:$D$6832,M80,'post-audit-active-backlog-statu'!$G$2:$G$6832,"SafeNoChange")+COUNTIFS('post-audit-active-backlog-statu'!$D$2:$D$6832,M80,'post-audit-active-backlog-statu'!$G$2:$G$6832,"PolicyResolvedNoChange")</f>
        <v>2</v>
      </c>
      <c r="Q80" s="6">
        <f>COUNTIFS('post-audit-active-backlog-statu'!$D$2:$D$6832,M80,'post-audit-active-backlog-statu'!$G$2:$G$6832,"BlocksOnlyThisDomain")</f>
        <v>0</v>
      </c>
      <c r="R80" s="8">
        <f t="shared" si="3"/>
        <v>0.7777777777777778</v>
      </c>
      <c r="S80" s="1"/>
      <c r="T80" s="1"/>
      <c r="U80" s="1"/>
      <c r="V80" s="1"/>
    </row>
    <row r="81" spans="1:22" ht="20.100000000000001" customHeight="1" x14ac:dyDescent="0.25">
      <c r="A81" s="1"/>
      <c r="B81" s="1"/>
      <c r="C81" s="1"/>
      <c r="D81" s="1"/>
      <c r="E81" s="1"/>
      <c r="F81" s="1"/>
      <c r="G81" s="1"/>
      <c r="H81" s="1"/>
      <c r="I81" s="1"/>
      <c r="J81" s="1"/>
      <c r="K81" s="1"/>
      <c r="L81" s="1"/>
      <c r="M81" s="4" t="s">
        <v>4848</v>
      </c>
      <c r="N81" s="6">
        <f>COUNTIF('post-audit-active-backlog-statu'!$D$2:$D$6832,M81)</f>
        <v>9</v>
      </c>
      <c r="O81" s="6">
        <f>COUNTIFS('post-audit-active-backlog-statu'!$D$2:$D$6832,M81,'post-audit-active-backlog-statu'!$G$2:$G$6832,"Fixed")</f>
        <v>3</v>
      </c>
      <c r="P81" s="6">
        <f>COUNTIFS('post-audit-active-backlog-statu'!$D$2:$D$6832,M81,'post-audit-active-backlog-statu'!$G$2:$G$6832,"ReviewedNoChange")+COUNTIFS('post-audit-active-backlog-statu'!$D$2:$D$6832,M81,'post-audit-active-backlog-statu'!$G$2:$G$6832,"SafeNoChange")+COUNTIFS('post-audit-active-backlog-statu'!$D$2:$D$6832,M81,'post-audit-active-backlog-statu'!$G$2:$G$6832,"PolicyResolvedNoChange")</f>
        <v>3</v>
      </c>
      <c r="Q81" s="6">
        <f>COUNTIFS('post-audit-active-backlog-statu'!$D$2:$D$6832,M81,'post-audit-active-backlog-statu'!$G$2:$G$6832,"BlocksOnlyThisDomain")</f>
        <v>0</v>
      </c>
      <c r="R81" s="8">
        <f t="shared" si="3"/>
        <v>0.3333333333333333</v>
      </c>
      <c r="S81" s="1"/>
      <c r="T81" s="1"/>
      <c r="U81" s="1"/>
      <c r="V81" s="1"/>
    </row>
    <row r="82" spans="1:22" ht="20.100000000000001" customHeight="1" x14ac:dyDescent="0.25">
      <c r="A82" s="1"/>
      <c r="B82" s="1"/>
      <c r="C82" s="1"/>
      <c r="D82" s="1"/>
      <c r="E82" s="1"/>
      <c r="F82" s="1"/>
      <c r="G82" s="1"/>
      <c r="H82" s="1"/>
      <c r="I82" s="1"/>
      <c r="J82" s="1"/>
      <c r="K82" s="1"/>
      <c r="L82" s="1"/>
      <c r="M82" s="4" t="s">
        <v>7233</v>
      </c>
      <c r="N82" s="6">
        <f>COUNTIF('post-audit-active-backlog-statu'!$D$2:$D$6832,M82)</f>
        <v>9</v>
      </c>
      <c r="O82" s="6">
        <f>COUNTIFS('post-audit-active-backlog-statu'!$D$2:$D$6832,M82,'post-audit-active-backlog-statu'!$G$2:$G$6832,"Fixed")</f>
        <v>1</v>
      </c>
      <c r="P82" s="6">
        <f>COUNTIFS('post-audit-active-backlog-statu'!$D$2:$D$6832,M82,'post-audit-active-backlog-statu'!$G$2:$G$6832,"ReviewedNoChange")+COUNTIFS('post-audit-active-backlog-statu'!$D$2:$D$6832,M82,'post-audit-active-backlog-statu'!$G$2:$G$6832,"SafeNoChange")+COUNTIFS('post-audit-active-backlog-statu'!$D$2:$D$6832,M82,'post-audit-active-backlog-statu'!$G$2:$G$6832,"PolicyResolvedNoChange")</f>
        <v>4</v>
      </c>
      <c r="Q82" s="6">
        <f>COUNTIFS('post-audit-active-backlog-statu'!$D$2:$D$6832,M82,'post-audit-active-backlog-statu'!$G$2:$G$6832,"BlocksOnlyThisDomain")</f>
        <v>0</v>
      </c>
      <c r="R82" s="8">
        <f t="shared" si="3"/>
        <v>0.1111111111111111</v>
      </c>
      <c r="S82" s="1"/>
      <c r="T82" s="1"/>
      <c r="U82" s="1"/>
      <c r="V82" s="1"/>
    </row>
    <row r="83" spans="1:22" ht="20.100000000000001" customHeight="1" x14ac:dyDescent="0.25">
      <c r="A83" s="1"/>
      <c r="B83" s="1"/>
      <c r="C83" s="1"/>
      <c r="D83" s="1"/>
      <c r="E83" s="1"/>
      <c r="F83" s="1"/>
      <c r="G83" s="1"/>
      <c r="H83" s="1"/>
      <c r="I83" s="1"/>
      <c r="J83" s="1"/>
      <c r="K83" s="1"/>
      <c r="L83" s="1"/>
      <c r="M83" s="4" t="s">
        <v>1504</v>
      </c>
      <c r="N83" s="6">
        <f>COUNTIF('post-audit-active-backlog-statu'!$D$2:$D$6832,M83)</f>
        <v>8</v>
      </c>
      <c r="O83" s="6">
        <f>COUNTIFS('post-audit-active-backlog-statu'!$D$2:$D$6832,M83,'post-audit-active-backlog-statu'!$G$2:$G$6832,"Fixed")</f>
        <v>0</v>
      </c>
      <c r="P83" s="6">
        <f>COUNTIFS('post-audit-active-backlog-statu'!$D$2:$D$6832,M83,'post-audit-active-backlog-statu'!$G$2:$G$6832,"ReviewedNoChange")+COUNTIFS('post-audit-active-backlog-statu'!$D$2:$D$6832,M83,'post-audit-active-backlog-statu'!$G$2:$G$6832,"SafeNoChange")+COUNTIFS('post-audit-active-backlog-statu'!$D$2:$D$6832,M83,'post-audit-active-backlog-statu'!$G$2:$G$6832,"PolicyResolvedNoChange")</f>
        <v>4</v>
      </c>
      <c r="Q83" s="6">
        <f>COUNTIFS('post-audit-active-backlog-statu'!$D$2:$D$6832,M83,'post-audit-active-backlog-statu'!$G$2:$G$6832,"BlocksOnlyThisDomain")</f>
        <v>0</v>
      </c>
      <c r="R83" s="8">
        <f t="shared" si="3"/>
        <v>0.0</v>
      </c>
      <c r="S83" s="1"/>
      <c r="T83" s="1"/>
      <c r="U83" s="1"/>
      <c r="V83" s="1"/>
    </row>
    <row r="84" spans="1:22" ht="20.100000000000001" customHeight="1" x14ac:dyDescent="0.25">
      <c r="A84" s="1"/>
      <c r="B84" s="1"/>
      <c r="C84" s="1"/>
      <c r="D84" s="1"/>
      <c r="E84" s="1"/>
      <c r="F84" s="1"/>
      <c r="G84" s="1"/>
      <c r="H84" s="1"/>
      <c r="I84" s="1"/>
      <c r="J84" s="1"/>
      <c r="K84" s="1"/>
      <c r="L84" s="1"/>
      <c r="M84" s="4" t="s">
        <v>1557</v>
      </c>
      <c r="N84" s="6">
        <f>COUNTIF('post-audit-active-backlog-statu'!$D$2:$D$6832,M84)</f>
        <v>8</v>
      </c>
      <c r="O84" s="6">
        <f>COUNTIFS('post-audit-active-backlog-statu'!$D$2:$D$6832,M84,'post-audit-active-backlog-statu'!$G$2:$G$6832,"Fixed")</f>
        <v>0</v>
      </c>
      <c r="P84" s="6">
        <f>COUNTIFS('post-audit-active-backlog-statu'!$D$2:$D$6832,M84,'post-audit-active-backlog-statu'!$G$2:$G$6832,"ReviewedNoChange")+COUNTIFS('post-audit-active-backlog-statu'!$D$2:$D$6832,M84,'post-audit-active-backlog-statu'!$G$2:$G$6832,"SafeNoChange")+COUNTIFS('post-audit-active-backlog-statu'!$D$2:$D$6832,M84,'post-audit-active-backlog-statu'!$G$2:$G$6832,"PolicyResolvedNoChange")</f>
        <v>3</v>
      </c>
      <c r="Q84" s="6">
        <f>COUNTIFS('post-audit-active-backlog-statu'!$D$2:$D$6832,M84,'post-audit-active-backlog-statu'!$G$2:$G$6832,"BlocksOnlyThisDomain")</f>
        <v>0</v>
      </c>
      <c r="R84" s="8">
        <f t="shared" si="3"/>
        <v>0.0</v>
      </c>
      <c r="S84" s="1"/>
      <c r="T84" s="1"/>
      <c r="U84" s="1"/>
      <c r="V84" s="1"/>
    </row>
    <row r="85" spans="1:22" ht="20.100000000000001" customHeight="1" x14ac:dyDescent="0.25">
      <c r="A85" s="1"/>
      <c r="B85" s="1"/>
      <c r="C85" s="1"/>
      <c r="D85" s="1"/>
      <c r="E85" s="1"/>
      <c r="F85" s="1"/>
      <c r="G85" s="1"/>
      <c r="H85" s="1"/>
      <c r="I85" s="1"/>
      <c r="J85" s="1"/>
      <c r="K85" s="1"/>
      <c r="L85" s="1"/>
      <c r="M85" s="4" t="s">
        <v>4984</v>
      </c>
      <c r="N85" s="6">
        <f>COUNTIF('post-audit-active-backlog-statu'!$D$2:$D$6832,M85)</f>
        <v>8</v>
      </c>
      <c r="O85" s="6">
        <f>COUNTIFS('post-audit-active-backlog-statu'!$D$2:$D$6832,M85,'post-audit-active-backlog-statu'!$G$2:$G$6832,"Fixed")</f>
        <v>2</v>
      </c>
      <c r="P85" s="6">
        <f>COUNTIFS('post-audit-active-backlog-statu'!$D$2:$D$6832,M85,'post-audit-active-backlog-statu'!$G$2:$G$6832,"ReviewedNoChange")+COUNTIFS('post-audit-active-backlog-statu'!$D$2:$D$6832,M85,'post-audit-active-backlog-statu'!$G$2:$G$6832,"SafeNoChange")+COUNTIFS('post-audit-active-backlog-statu'!$D$2:$D$6832,M85,'post-audit-active-backlog-statu'!$G$2:$G$6832,"PolicyResolvedNoChange")</f>
        <v>2</v>
      </c>
      <c r="Q85" s="6">
        <f>COUNTIFS('post-audit-active-backlog-statu'!$D$2:$D$6832,M85,'post-audit-active-backlog-statu'!$G$2:$G$6832,"BlocksOnlyThisDomain")</f>
        <v>1</v>
      </c>
      <c r="R85" s="8">
        <f t="shared" si="3"/>
        <v>0.25</v>
      </c>
      <c r="S85" s="1"/>
      <c r="T85" s="1"/>
      <c r="U85" s="1"/>
      <c r="V85" s="1"/>
    </row>
    <row r="86" spans="1:22" ht="20.100000000000001" customHeight="1" x14ac:dyDescent="0.25">
      <c r="A86" s="1"/>
      <c r="B86" s="1"/>
      <c r="C86" s="1"/>
      <c r="D86" s="1"/>
      <c r="E86" s="1"/>
      <c r="F86" s="1"/>
      <c r="G86" s="1"/>
      <c r="H86" s="1"/>
      <c r="I86" s="1"/>
      <c r="J86" s="1"/>
      <c r="K86" s="1"/>
      <c r="L86" s="1"/>
      <c r="M86" s="4" t="s">
        <v>1643</v>
      </c>
      <c r="N86" s="6">
        <f>COUNTIF('post-audit-active-backlog-statu'!$D$2:$D$6832,M86)</f>
        <v>7</v>
      </c>
      <c r="O86" s="6">
        <f>COUNTIFS('post-audit-active-backlog-statu'!$D$2:$D$6832,M86,'post-audit-active-backlog-statu'!$G$2:$G$6832,"Fixed")</f>
        <v>3</v>
      </c>
      <c r="P86" s="6">
        <f>COUNTIFS('post-audit-active-backlog-statu'!$D$2:$D$6832,M86,'post-audit-active-backlog-statu'!$G$2:$G$6832,"ReviewedNoChange")+COUNTIFS('post-audit-active-backlog-statu'!$D$2:$D$6832,M86,'post-audit-active-backlog-statu'!$G$2:$G$6832,"SafeNoChange")+COUNTIFS('post-audit-active-backlog-statu'!$D$2:$D$6832,M86,'post-audit-active-backlog-statu'!$G$2:$G$6832,"PolicyResolvedNoChange")</f>
        <v>2</v>
      </c>
      <c r="Q86" s="6">
        <f>COUNTIFS('post-audit-active-backlog-statu'!$D$2:$D$6832,M86,'post-audit-active-backlog-statu'!$G$2:$G$6832,"BlocksOnlyThisDomain")</f>
        <v>0</v>
      </c>
      <c r="R86" s="8">
        <f t="shared" si="3"/>
        <v>0.42857142857142855</v>
      </c>
      <c r="S86" s="1"/>
      <c r="T86" s="1"/>
      <c r="U86" s="1"/>
      <c r="V86" s="1"/>
    </row>
    <row r="87" spans="1:22" ht="20.100000000000001" customHeight="1" x14ac:dyDescent="0.25">
      <c r="A87" s="1"/>
      <c r="B87" s="1"/>
      <c r="C87" s="1"/>
      <c r="D87" s="1"/>
      <c r="E87" s="1"/>
      <c r="F87" s="1"/>
      <c r="G87" s="1"/>
      <c r="H87" s="1"/>
      <c r="I87" s="1"/>
      <c r="J87" s="1"/>
      <c r="K87" s="1"/>
      <c r="L87" s="1"/>
      <c r="M87" s="4" t="s">
        <v>1673</v>
      </c>
      <c r="N87" s="6">
        <f>COUNTIF('post-audit-active-backlog-statu'!$D$2:$D$6832,M87)</f>
        <v>7</v>
      </c>
      <c r="O87" s="6">
        <f>COUNTIFS('post-audit-active-backlog-statu'!$D$2:$D$6832,M87,'post-audit-active-backlog-statu'!$G$2:$G$6832,"Fixed")</f>
        <v>1</v>
      </c>
      <c r="P87" s="6">
        <f>COUNTIFS('post-audit-active-backlog-statu'!$D$2:$D$6832,M87,'post-audit-active-backlog-statu'!$G$2:$G$6832,"ReviewedNoChange")+COUNTIFS('post-audit-active-backlog-statu'!$D$2:$D$6832,M87,'post-audit-active-backlog-statu'!$G$2:$G$6832,"SafeNoChange")+COUNTIFS('post-audit-active-backlog-statu'!$D$2:$D$6832,M87,'post-audit-active-backlog-statu'!$G$2:$G$6832,"PolicyResolvedNoChange")</f>
        <v>3</v>
      </c>
      <c r="Q87" s="6">
        <f>COUNTIFS('post-audit-active-backlog-statu'!$D$2:$D$6832,M87,'post-audit-active-backlog-statu'!$G$2:$G$6832,"BlocksOnlyThisDomain")</f>
        <v>0</v>
      </c>
      <c r="R87" s="8">
        <f t="shared" si="3"/>
        <v>0.14285714285714285</v>
      </c>
      <c r="S87" s="1"/>
      <c r="T87" s="1"/>
      <c r="U87" s="1"/>
      <c r="V87" s="1"/>
    </row>
    <row r="88" spans="1:22" ht="20.100000000000001" customHeight="1" x14ac:dyDescent="0.25">
      <c r="A88" s="1"/>
      <c r="B88" s="1"/>
      <c r="C88" s="1"/>
      <c r="D88" s="1"/>
      <c r="E88" s="1"/>
      <c r="F88" s="1"/>
      <c r="G88" s="1"/>
      <c r="H88" s="1"/>
      <c r="I88" s="1"/>
      <c r="J88" s="1"/>
      <c r="K88" s="1"/>
      <c r="L88" s="1"/>
      <c r="M88" s="4" t="s">
        <v>2788</v>
      </c>
      <c r="N88" s="6">
        <f>COUNTIF('post-audit-active-backlog-statu'!$D$2:$D$6832,M88)</f>
        <v>7</v>
      </c>
      <c r="O88" s="6">
        <f>COUNTIFS('post-audit-active-backlog-statu'!$D$2:$D$6832,M88,'post-audit-active-backlog-statu'!$G$2:$G$6832,"Fixed")</f>
        <v>5</v>
      </c>
      <c r="P88" s="6">
        <f>COUNTIFS('post-audit-active-backlog-statu'!$D$2:$D$6832,M88,'post-audit-active-backlog-statu'!$G$2:$G$6832,"ReviewedNoChange")+COUNTIFS('post-audit-active-backlog-statu'!$D$2:$D$6832,M88,'post-audit-active-backlog-statu'!$G$2:$G$6832,"SafeNoChange")+COUNTIFS('post-audit-active-backlog-statu'!$D$2:$D$6832,M88,'post-audit-active-backlog-statu'!$G$2:$G$6832,"PolicyResolvedNoChange")</f>
        <v>0</v>
      </c>
      <c r="Q88" s="6">
        <f>COUNTIFS('post-audit-active-backlog-statu'!$D$2:$D$6832,M88,'post-audit-active-backlog-statu'!$G$2:$G$6832,"BlocksOnlyThisDomain")</f>
        <v>0</v>
      </c>
      <c r="R88" s="8">
        <f t="shared" si="3"/>
        <v>0.7142857142857143</v>
      </c>
      <c r="S88" s="1"/>
      <c r="T88" s="1"/>
      <c r="U88" s="1"/>
      <c r="V88" s="1"/>
    </row>
    <row r="89" spans="1:22" ht="20.100000000000001" customHeight="1" x14ac:dyDescent="0.25">
      <c r="A89" s="1"/>
      <c r="B89" s="1"/>
      <c r="C89" s="1"/>
      <c r="D89" s="1"/>
      <c r="E89" s="1"/>
      <c r="F89" s="1"/>
      <c r="G89" s="1"/>
      <c r="H89" s="1"/>
      <c r="I89" s="1"/>
      <c r="J89" s="1"/>
      <c r="K89" s="1"/>
      <c r="L89" s="1"/>
      <c r="M89" s="4" t="s">
        <v>3711</v>
      </c>
      <c r="N89" s="6">
        <f>COUNTIF('post-audit-active-backlog-statu'!$D$2:$D$6832,M89)</f>
        <v>7</v>
      </c>
      <c r="O89" s="6">
        <f>COUNTIFS('post-audit-active-backlog-statu'!$D$2:$D$6832,M89,'post-audit-active-backlog-statu'!$G$2:$G$6832,"Fixed")</f>
        <v>7</v>
      </c>
      <c r="P89" s="6">
        <f>COUNTIFS('post-audit-active-backlog-statu'!$D$2:$D$6832,M89,'post-audit-active-backlog-statu'!$G$2:$G$6832,"ReviewedNoChange")+COUNTIFS('post-audit-active-backlog-statu'!$D$2:$D$6832,M89,'post-audit-active-backlog-statu'!$G$2:$G$6832,"SafeNoChange")+COUNTIFS('post-audit-active-backlog-statu'!$D$2:$D$6832,M89,'post-audit-active-backlog-statu'!$G$2:$G$6832,"PolicyResolvedNoChange")</f>
        <v>0</v>
      </c>
      <c r="Q89" s="6">
        <f>COUNTIFS('post-audit-active-backlog-statu'!$D$2:$D$6832,M89,'post-audit-active-backlog-statu'!$G$2:$G$6832,"BlocksOnlyThisDomain")</f>
        <v>0</v>
      </c>
      <c r="R89" s="8">
        <f t="shared" si="3"/>
        <v>1.0</v>
      </c>
      <c r="S89" s="1"/>
      <c r="T89" s="1"/>
      <c r="U89" s="1"/>
      <c r="V89" s="1"/>
    </row>
    <row r="90" spans="1:22" ht="20.100000000000001" customHeight="1" x14ac:dyDescent="0.25">
      <c r="A90" s="1"/>
      <c r="B90" s="1"/>
      <c r="C90" s="1"/>
      <c r="D90" s="1"/>
      <c r="E90" s="1"/>
      <c r="F90" s="1"/>
      <c r="G90" s="1"/>
      <c r="H90" s="1"/>
      <c r="I90" s="1"/>
      <c r="J90" s="1"/>
      <c r="K90" s="1"/>
      <c r="L90" s="1"/>
      <c r="M90" s="4" t="s">
        <v>8525</v>
      </c>
      <c r="N90" s="6">
        <f>COUNTIF('post-audit-active-backlog-statu'!$D$2:$D$6832,M90)</f>
        <v>7</v>
      </c>
      <c r="O90" s="6">
        <f>COUNTIFS('post-audit-active-backlog-statu'!$D$2:$D$6832,M90,'post-audit-active-backlog-statu'!$G$2:$G$6832,"Fixed")</f>
        <v>1</v>
      </c>
      <c r="P90" s="6">
        <f>COUNTIFS('post-audit-active-backlog-statu'!$D$2:$D$6832,M90,'post-audit-active-backlog-statu'!$G$2:$G$6832,"ReviewedNoChange")+COUNTIFS('post-audit-active-backlog-statu'!$D$2:$D$6832,M90,'post-audit-active-backlog-statu'!$G$2:$G$6832,"SafeNoChange")+COUNTIFS('post-audit-active-backlog-statu'!$D$2:$D$6832,M90,'post-audit-active-backlog-statu'!$G$2:$G$6832,"PolicyResolvedNoChange")</f>
        <v>3</v>
      </c>
      <c r="Q90" s="6">
        <f>COUNTIFS('post-audit-active-backlog-statu'!$D$2:$D$6832,M90,'post-audit-active-backlog-statu'!$G$2:$G$6832,"BlocksOnlyThisDomain")</f>
        <v>0</v>
      </c>
      <c r="R90" s="8">
        <f t="shared" si="3"/>
        <v>0.14285714285714285</v>
      </c>
      <c r="S90" s="1"/>
      <c r="T90" s="1"/>
      <c r="U90" s="1"/>
      <c r="V90" s="1"/>
    </row>
    <row r="91" spans="1:22" ht="20.100000000000001" customHeight="1" x14ac:dyDescent="0.25">
      <c r="A91" s="1"/>
      <c r="B91" s="1"/>
      <c r="C91" s="1"/>
      <c r="D91" s="1"/>
      <c r="E91" s="1"/>
      <c r="F91" s="1"/>
      <c r="G91" s="1"/>
      <c r="H91" s="1"/>
      <c r="I91" s="1"/>
      <c r="J91" s="1"/>
      <c r="K91" s="1"/>
      <c r="L91" s="1"/>
      <c r="M91" s="4" t="s">
        <v>1358</v>
      </c>
      <c r="N91" s="6">
        <f>COUNTIF('post-audit-active-backlog-statu'!$D$2:$D$6832,M91)</f>
        <v>6</v>
      </c>
      <c r="O91" s="6">
        <f>COUNTIFS('post-audit-active-backlog-statu'!$D$2:$D$6832,M91,'post-audit-active-backlog-statu'!$G$2:$G$6832,"Fixed")</f>
        <v>3</v>
      </c>
      <c r="P91" s="6">
        <f>COUNTIFS('post-audit-active-backlog-statu'!$D$2:$D$6832,M91,'post-audit-active-backlog-statu'!$G$2:$G$6832,"ReviewedNoChange")+COUNTIFS('post-audit-active-backlog-statu'!$D$2:$D$6832,M91,'post-audit-active-backlog-statu'!$G$2:$G$6832,"SafeNoChange")+COUNTIFS('post-audit-active-backlog-statu'!$D$2:$D$6832,M91,'post-audit-active-backlog-statu'!$G$2:$G$6832,"PolicyResolvedNoChange")</f>
        <v>1</v>
      </c>
      <c r="Q91" s="6">
        <f>COUNTIFS('post-audit-active-backlog-statu'!$D$2:$D$6832,M91,'post-audit-active-backlog-statu'!$G$2:$G$6832,"BlocksOnlyThisDomain")</f>
        <v>0</v>
      </c>
      <c r="R91" s="8">
        <f t="shared" si="3"/>
        <v>0.5</v>
      </c>
      <c r="S91" s="1"/>
      <c r="T91" s="1"/>
      <c r="U91" s="1"/>
      <c r="V91" s="1"/>
    </row>
    <row r="92" spans="1:22" ht="20.100000000000001" customHeight="1" x14ac:dyDescent="0.25">
      <c r="A92" s="1"/>
      <c r="B92" s="1"/>
      <c r="C92" s="1"/>
      <c r="D92" s="1"/>
      <c r="E92" s="1"/>
      <c r="F92" s="1"/>
      <c r="G92" s="1"/>
      <c r="H92" s="1"/>
      <c r="I92" s="1"/>
      <c r="J92" s="1"/>
      <c r="K92" s="1"/>
      <c r="L92" s="1"/>
      <c r="M92" s="4" t="s">
        <v>1666</v>
      </c>
      <c r="N92" s="6">
        <f>COUNTIF('post-audit-active-backlog-statu'!$D$2:$D$6832,M92)</f>
        <v>6</v>
      </c>
      <c r="O92" s="6">
        <f>COUNTIFS('post-audit-active-backlog-statu'!$D$2:$D$6832,M92,'post-audit-active-backlog-statu'!$G$2:$G$6832,"Fixed")</f>
        <v>2</v>
      </c>
      <c r="P92" s="6">
        <f>COUNTIFS('post-audit-active-backlog-statu'!$D$2:$D$6832,M92,'post-audit-active-backlog-statu'!$G$2:$G$6832,"ReviewedNoChange")+COUNTIFS('post-audit-active-backlog-statu'!$D$2:$D$6832,M92,'post-audit-active-backlog-statu'!$G$2:$G$6832,"SafeNoChange")+COUNTIFS('post-audit-active-backlog-statu'!$D$2:$D$6832,M92,'post-audit-active-backlog-statu'!$G$2:$G$6832,"PolicyResolvedNoChange")</f>
        <v>3</v>
      </c>
      <c r="Q92" s="6">
        <f>COUNTIFS('post-audit-active-backlog-statu'!$D$2:$D$6832,M92,'post-audit-active-backlog-statu'!$G$2:$G$6832,"BlocksOnlyThisDomain")</f>
        <v>0</v>
      </c>
      <c r="R92" s="8">
        <f t="shared" si="3"/>
        <v>0.3333333333333333</v>
      </c>
      <c r="S92" s="1"/>
      <c r="T92" s="1"/>
      <c r="U92" s="1"/>
      <c r="V92" s="1"/>
    </row>
    <row r="93" spans="1:22" ht="20.100000000000001" customHeight="1" x14ac:dyDescent="0.25">
      <c r="A93" s="1"/>
      <c r="B93" s="1"/>
      <c r="C93" s="1"/>
      <c r="D93" s="1"/>
      <c r="E93" s="1"/>
      <c r="F93" s="1"/>
      <c r="G93" s="1"/>
      <c r="H93" s="1"/>
      <c r="I93" s="1"/>
      <c r="J93" s="1"/>
      <c r="K93" s="1"/>
      <c r="L93" s="1"/>
      <c r="M93" s="4" t="s">
        <v>3228</v>
      </c>
      <c r="N93" s="6">
        <f>COUNTIF('post-audit-active-backlog-statu'!$D$2:$D$6832,M93)</f>
        <v>6</v>
      </c>
      <c r="O93" s="6">
        <f>COUNTIFS('post-audit-active-backlog-statu'!$D$2:$D$6832,M93,'post-audit-active-backlog-statu'!$G$2:$G$6832,"Fixed")</f>
        <v>6</v>
      </c>
      <c r="P93" s="6">
        <f>COUNTIFS('post-audit-active-backlog-statu'!$D$2:$D$6832,M93,'post-audit-active-backlog-statu'!$G$2:$G$6832,"ReviewedNoChange")+COUNTIFS('post-audit-active-backlog-statu'!$D$2:$D$6832,M93,'post-audit-active-backlog-statu'!$G$2:$G$6832,"SafeNoChange")+COUNTIFS('post-audit-active-backlog-statu'!$D$2:$D$6832,M93,'post-audit-active-backlog-statu'!$G$2:$G$6832,"PolicyResolvedNoChange")</f>
        <v>0</v>
      </c>
      <c r="Q93" s="6">
        <f>COUNTIFS('post-audit-active-backlog-statu'!$D$2:$D$6832,M93,'post-audit-active-backlog-statu'!$G$2:$G$6832,"BlocksOnlyThisDomain")</f>
        <v>0</v>
      </c>
      <c r="R93" s="8">
        <f t="shared" si="3"/>
        <v>1.0</v>
      </c>
      <c r="S93" s="1"/>
      <c r="T93" s="1"/>
      <c r="U93" s="1"/>
      <c r="V93" s="1"/>
    </row>
    <row r="94" spans="1:22" ht="20.100000000000001" customHeight="1" x14ac:dyDescent="0.25">
      <c r="A94" s="1"/>
      <c r="B94" s="1"/>
      <c r="C94" s="1"/>
      <c r="D94" s="1"/>
      <c r="E94" s="1"/>
      <c r="F94" s="1"/>
      <c r="G94" s="1"/>
      <c r="H94" s="1"/>
      <c r="I94" s="1"/>
      <c r="J94" s="1"/>
      <c r="K94" s="1"/>
      <c r="L94" s="1"/>
      <c r="M94" s="4" t="s">
        <v>3265</v>
      </c>
      <c r="N94" s="6">
        <f>COUNTIF('post-audit-active-backlog-statu'!$D$2:$D$6832,M94)</f>
        <v>6</v>
      </c>
      <c r="O94" s="6">
        <f>COUNTIFS('post-audit-active-backlog-statu'!$D$2:$D$6832,M94,'post-audit-active-backlog-statu'!$G$2:$G$6832,"Fixed")</f>
        <v>6</v>
      </c>
      <c r="P94" s="6">
        <f>COUNTIFS('post-audit-active-backlog-statu'!$D$2:$D$6832,M94,'post-audit-active-backlog-statu'!$G$2:$G$6832,"ReviewedNoChange")+COUNTIFS('post-audit-active-backlog-statu'!$D$2:$D$6832,M94,'post-audit-active-backlog-statu'!$G$2:$G$6832,"SafeNoChange")+COUNTIFS('post-audit-active-backlog-statu'!$D$2:$D$6832,M94,'post-audit-active-backlog-statu'!$G$2:$G$6832,"PolicyResolvedNoChange")</f>
        <v>0</v>
      </c>
      <c r="Q94" s="6">
        <f>COUNTIFS('post-audit-active-backlog-statu'!$D$2:$D$6832,M94,'post-audit-active-backlog-statu'!$G$2:$G$6832,"BlocksOnlyThisDomain")</f>
        <v>0</v>
      </c>
      <c r="R94" s="8">
        <f t="shared" si="3"/>
        <v>1.0</v>
      </c>
      <c r="S94" s="1"/>
      <c r="T94" s="1"/>
      <c r="U94" s="1"/>
      <c r="V94" s="1"/>
    </row>
    <row r="95" spans="1:22" ht="20.100000000000001" customHeight="1" x14ac:dyDescent="0.25">
      <c r="A95" s="1"/>
      <c r="B95" s="1"/>
      <c r="C95" s="1"/>
      <c r="D95" s="1"/>
      <c r="E95" s="1"/>
      <c r="F95" s="1"/>
      <c r="G95" s="1"/>
      <c r="H95" s="1"/>
      <c r="I95" s="1"/>
      <c r="J95" s="1"/>
      <c r="K95" s="1"/>
      <c r="L95" s="1"/>
      <c r="M95" s="4" t="s">
        <v>3581</v>
      </c>
      <c r="N95" s="6">
        <f>COUNTIF('post-audit-active-backlog-statu'!$D$2:$D$6832,M95)</f>
        <v>6</v>
      </c>
      <c r="O95" s="6">
        <f>COUNTIFS('post-audit-active-backlog-statu'!$D$2:$D$6832,M95,'post-audit-active-backlog-statu'!$G$2:$G$6832,"Fixed")</f>
        <v>6</v>
      </c>
      <c r="P95" s="6">
        <f>COUNTIFS('post-audit-active-backlog-statu'!$D$2:$D$6832,M95,'post-audit-active-backlog-statu'!$G$2:$G$6832,"ReviewedNoChange")+COUNTIFS('post-audit-active-backlog-statu'!$D$2:$D$6832,M95,'post-audit-active-backlog-statu'!$G$2:$G$6832,"SafeNoChange")+COUNTIFS('post-audit-active-backlog-statu'!$D$2:$D$6832,M95,'post-audit-active-backlog-statu'!$G$2:$G$6832,"PolicyResolvedNoChange")</f>
        <v>0</v>
      </c>
      <c r="Q95" s="6">
        <f>COUNTIFS('post-audit-active-backlog-statu'!$D$2:$D$6832,M95,'post-audit-active-backlog-statu'!$G$2:$G$6832,"BlocksOnlyThisDomain")</f>
        <v>0</v>
      </c>
      <c r="R95" s="8">
        <f t="shared" si="3"/>
        <v>1.0</v>
      </c>
      <c r="S95" s="1"/>
      <c r="T95" s="1"/>
      <c r="U95" s="1"/>
      <c r="V95" s="1"/>
    </row>
    <row r="96" spans="1:22" ht="20.100000000000001" customHeight="1" x14ac:dyDescent="0.25">
      <c r="A96" s="1"/>
      <c r="B96" s="1"/>
      <c r="C96" s="1"/>
      <c r="D96" s="1"/>
      <c r="E96" s="1"/>
      <c r="F96" s="1"/>
      <c r="G96" s="1"/>
      <c r="H96" s="1"/>
      <c r="I96" s="1"/>
      <c r="J96" s="1"/>
      <c r="K96" s="1"/>
      <c r="L96" s="1"/>
      <c r="M96" s="4" t="s">
        <v>4667</v>
      </c>
      <c r="N96" s="6">
        <f>COUNTIF('post-audit-active-backlog-statu'!$D$2:$D$6832,M96)</f>
        <v>6</v>
      </c>
      <c r="O96" s="6">
        <f>COUNTIFS('post-audit-active-backlog-statu'!$D$2:$D$6832,M96,'post-audit-active-backlog-statu'!$G$2:$G$6832,"Fixed")</f>
        <v>3</v>
      </c>
      <c r="P96" s="6">
        <f>COUNTIFS('post-audit-active-backlog-statu'!$D$2:$D$6832,M96,'post-audit-active-backlog-statu'!$G$2:$G$6832,"ReviewedNoChange")+COUNTIFS('post-audit-active-backlog-statu'!$D$2:$D$6832,M96,'post-audit-active-backlog-statu'!$G$2:$G$6832,"SafeNoChange")+COUNTIFS('post-audit-active-backlog-statu'!$D$2:$D$6832,M96,'post-audit-active-backlog-statu'!$G$2:$G$6832,"PolicyResolvedNoChange")</f>
        <v>2</v>
      </c>
      <c r="Q96" s="6">
        <f>COUNTIFS('post-audit-active-backlog-statu'!$D$2:$D$6832,M96,'post-audit-active-backlog-statu'!$G$2:$G$6832,"BlocksOnlyThisDomain")</f>
        <v>0</v>
      </c>
      <c r="R96" s="8">
        <f t="shared" si="3"/>
        <v>0.5</v>
      </c>
      <c r="S96" s="1"/>
      <c r="T96" s="1"/>
      <c r="U96" s="1"/>
      <c r="V96" s="1"/>
    </row>
    <row r="97" spans="1:22" ht="20.100000000000001" customHeight="1" x14ac:dyDescent="0.25">
      <c r="A97" s="1"/>
      <c r="B97" s="1"/>
      <c r="C97" s="1"/>
      <c r="D97" s="1"/>
      <c r="E97" s="1"/>
      <c r="F97" s="1"/>
      <c r="G97" s="1"/>
      <c r="H97" s="1"/>
      <c r="I97" s="1"/>
      <c r="J97" s="1"/>
      <c r="K97" s="1"/>
      <c r="L97" s="1"/>
      <c r="M97" s="4" t="s">
        <v>5011</v>
      </c>
      <c r="N97" s="6">
        <f>COUNTIF('post-audit-active-backlog-statu'!$D$2:$D$6832,M97)</f>
        <v>6</v>
      </c>
      <c r="O97" s="6">
        <f>COUNTIFS('post-audit-active-backlog-statu'!$D$2:$D$6832,M97,'post-audit-active-backlog-statu'!$G$2:$G$6832,"Fixed")</f>
        <v>3</v>
      </c>
      <c r="P97" s="6">
        <f>COUNTIFS('post-audit-active-backlog-statu'!$D$2:$D$6832,M97,'post-audit-active-backlog-statu'!$G$2:$G$6832,"ReviewedNoChange")+COUNTIFS('post-audit-active-backlog-statu'!$D$2:$D$6832,M97,'post-audit-active-backlog-statu'!$G$2:$G$6832,"SafeNoChange")+COUNTIFS('post-audit-active-backlog-statu'!$D$2:$D$6832,M97,'post-audit-active-backlog-statu'!$G$2:$G$6832,"PolicyResolvedNoChange")</f>
        <v>1</v>
      </c>
      <c r="Q97" s="6">
        <f>COUNTIFS('post-audit-active-backlog-statu'!$D$2:$D$6832,M97,'post-audit-active-backlog-statu'!$G$2:$G$6832,"BlocksOnlyThisDomain")</f>
        <v>0</v>
      </c>
      <c r="R97" s="8">
        <f t="shared" si="3"/>
        <v>0.5</v>
      </c>
      <c r="S97" s="1"/>
      <c r="T97" s="1"/>
      <c r="U97" s="1"/>
      <c r="V97" s="1"/>
    </row>
    <row r="98" spans="1:22" ht="20.100000000000001" customHeight="1" x14ac:dyDescent="0.25">
      <c r="A98" s="1"/>
      <c r="B98" s="1"/>
      <c r="C98" s="1"/>
      <c r="D98" s="1"/>
      <c r="E98" s="1"/>
      <c r="F98" s="1"/>
      <c r="G98" s="1"/>
      <c r="H98" s="1"/>
      <c r="I98" s="1"/>
      <c r="J98" s="1"/>
      <c r="K98" s="1"/>
      <c r="L98" s="1"/>
      <c r="M98" s="4" t="s">
        <v>9268</v>
      </c>
      <c r="N98" s="6">
        <f>COUNTIF('post-audit-active-backlog-statu'!$D$2:$D$6832,M98)</f>
        <v>6</v>
      </c>
      <c r="O98" s="6">
        <f>COUNTIFS('post-audit-active-backlog-statu'!$D$2:$D$6832,M98,'post-audit-active-backlog-statu'!$G$2:$G$6832,"Fixed")</f>
        <v>2</v>
      </c>
      <c r="P98" s="6">
        <f>COUNTIFS('post-audit-active-backlog-statu'!$D$2:$D$6832,M98,'post-audit-active-backlog-statu'!$G$2:$G$6832,"ReviewedNoChange")+COUNTIFS('post-audit-active-backlog-statu'!$D$2:$D$6832,M98,'post-audit-active-backlog-statu'!$G$2:$G$6832,"SafeNoChange")+COUNTIFS('post-audit-active-backlog-statu'!$D$2:$D$6832,M98,'post-audit-active-backlog-statu'!$G$2:$G$6832,"PolicyResolvedNoChange")</f>
        <v>4</v>
      </c>
      <c r="Q98" s="6">
        <f>COUNTIFS('post-audit-active-backlog-statu'!$D$2:$D$6832,M98,'post-audit-active-backlog-statu'!$G$2:$G$6832,"BlocksOnlyThisDomain")</f>
        <v>0</v>
      </c>
      <c r="R98" s="8">
        <f t="shared" si="3"/>
        <v>0.3333333333333333</v>
      </c>
      <c r="S98" s="1"/>
      <c r="T98" s="1"/>
      <c r="U98" s="1"/>
      <c r="V98" s="1"/>
    </row>
    <row r="99" spans="1:22" ht="20.100000000000001" customHeight="1" x14ac:dyDescent="0.25">
      <c r="A99" s="1"/>
      <c r="B99" s="1"/>
      <c r="C99" s="1"/>
      <c r="D99" s="1"/>
      <c r="E99" s="1"/>
      <c r="F99" s="1"/>
      <c r="G99" s="1"/>
      <c r="H99" s="1"/>
      <c r="I99" s="1"/>
      <c r="J99" s="1"/>
      <c r="K99" s="1"/>
      <c r="L99" s="1"/>
      <c r="M99" s="4" t="s">
        <v>15414</v>
      </c>
      <c r="N99" s="6">
        <f>COUNTIF('post-audit-active-backlog-statu'!$D$2:$D$6832,M99)</f>
        <v>6</v>
      </c>
      <c r="O99" s="6">
        <f>COUNTIFS('post-audit-active-backlog-statu'!$D$2:$D$6832,M99,'post-audit-active-backlog-statu'!$G$2:$G$6832,"Fixed")</f>
        <v>0</v>
      </c>
      <c r="P99" s="6">
        <f>COUNTIFS('post-audit-active-backlog-statu'!$D$2:$D$6832,M99,'post-audit-active-backlog-statu'!$G$2:$G$6832,"ReviewedNoChange")+COUNTIFS('post-audit-active-backlog-statu'!$D$2:$D$6832,M99,'post-audit-active-backlog-statu'!$G$2:$G$6832,"SafeNoChange")+COUNTIFS('post-audit-active-backlog-statu'!$D$2:$D$6832,M99,'post-audit-active-backlog-statu'!$G$2:$G$6832,"PolicyResolvedNoChange")</f>
        <v>5</v>
      </c>
      <c r="Q99" s="6">
        <f>COUNTIFS('post-audit-active-backlog-statu'!$D$2:$D$6832,M99,'post-audit-active-backlog-statu'!$G$2:$G$6832,"BlocksOnlyThisDomain")</f>
        <v>0</v>
      </c>
      <c r="R99" s="8">
        <f t="shared" si="3"/>
        <v>0.0</v>
      </c>
      <c r="S99" s="1"/>
      <c r="T99" s="1"/>
      <c r="U99" s="1"/>
      <c r="V99" s="1"/>
    </row>
    <row r="100" spans="1:22" ht="20.100000000000001" customHeight="1" x14ac:dyDescent="0.25">
      <c r="A100" s="1"/>
      <c r="B100" s="1"/>
      <c r="C100" s="1"/>
      <c r="D100" s="1"/>
      <c r="E100" s="1"/>
      <c r="F100" s="1"/>
      <c r="G100" s="1"/>
      <c r="H100" s="1"/>
      <c r="I100" s="1"/>
      <c r="J100" s="1"/>
      <c r="K100" s="1"/>
      <c r="L100" s="1"/>
      <c r="M100" s="4" t="s">
        <v>15964</v>
      </c>
      <c r="N100" s="6">
        <f>COUNTIF('post-audit-active-backlog-statu'!$D$2:$D$6832,M100)</f>
        <v>6</v>
      </c>
      <c r="O100" s="6">
        <f>COUNTIFS('post-audit-active-backlog-statu'!$D$2:$D$6832,M100,'post-audit-active-backlog-statu'!$G$2:$G$6832,"Fixed")</f>
        <v>0</v>
      </c>
      <c r="P100" s="6">
        <f>COUNTIFS('post-audit-active-backlog-statu'!$D$2:$D$6832,M100,'post-audit-active-backlog-statu'!$G$2:$G$6832,"ReviewedNoChange")+COUNTIFS('post-audit-active-backlog-statu'!$D$2:$D$6832,M100,'post-audit-active-backlog-statu'!$G$2:$G$6832,"SafeNoChange")+COUNTIFS('post-audit-active-backlog-statu'!$D$2:$D$6832,M100,'post-audit-active-backlog-statu'!$G$2:$G$6832,"PolicyResolvedNoChange")</f>
        <v>0</v>
      </c>
      <c r="Q100" s="6">
        <f>COUNTIFS('post-audit-active-backlog-statu'!$D$2:$D$6832,M100,'post-audit-active-backlog-statu'!$G$2:$G$6832,"BlocksOnlyThisDomain")</f>
        <v>0</v>
      </c>
      <c r="R100" s="8">
        <f t="shared" si="3"/>
        <v>0.0</v>
      </c>
      <c r="S100" s="1"/>
      <c r="T100" s="1"/>
      <c r="U100" s="1"/>
      <c r="V100" s="1"/>
    </row>
    <row r="101" spans="1:22" ht="20.100000000000001" customHeight="1" x14ac:dyDescent="0.25">
      <c r="A101" s="1"/>
      <c r="B101" s="1"/>
      <c r="C101" s="1"/>
      <c r="D101" s="1"/>
      <c r="E101" s="1"/>
      <c r="F101" s="1"/>
      <c r="G101" s="1"/>
      <c r="H101" s="1"/>
      <c r="I101" s="1"/>
      <c r="J101" s="1"/>
      <c r="K101" s="1"/>
      <c r="L101" s="1"/>
      <c r="M101" s="4" t="s">
        <v>21190</v>
      </c>
      <c r="N101" s="6">
        <f>COUNTIF('post-audit-active-backlog-statu'!$D$2:$D$6832,M101)</f>
        <v>6</v>
      </c>
      <c r="O101" s="6">
        <f>COUNTIFS('post-audit-active-backlog-statu'!$D$2:$D$6832,M101,'post-audit-active-backlog-statu'!$G$2:$G$6832,"Fixed")</f>
        <v>0</v>
      </c>
      <c r="P101" s="6">
        <f>COUNTIFS('post-audit-active-backlog-statu'!$D$2:$D$6832,M101,'post-audit-active-backlog-statu'!$G$2:$G$6832,"ReviewedNoChange")+COUNTIFS('post-audit-active-backlog-statu'!$D$2:$D$6832,M101,'post-audit-active-backlog-statu'!$G$2:$G$6832,"SafeNoChange")+COUNTIFS('post-audit-active-backlog-statu'!$D$2:$D$6832,M101,'post-audit-active-backlog-statu'!$G$2:$G$6832,"PolicyResolvedNoChange")</f>
        <v>6</v>
      </c>
      <c r="Q101" s="6">
        <f>COUNTIFS('post-audit-active-backlog-statu'!$D$2:$D$6832,M101,'post-audit-active-backlog-statu'!$G$2:$G$6832,"BlocksOnlyThisDomain")</f>
        <v>0</v>
      </c>
      <c r="R101" s="8">
        <f t="shared" si="3"/>
        <v>0.0</v>
      </c>
      <c r="S101" s="1"/>
      <c r="T101" s="1"/>
      <c r="U101" s="1"/>
      <c r="V101" s="1"/>
    </row>
    <row r="102" spans="1:22" ht="20.100000000000001" customHeight="1" x14ac:dyDescent="0.25">
      <c r="A102" s="1"/>
      <c r="B102" s="1"/>
      <c r="C102" s="1"/>
      <c r="D102" s="1"/>
      <c r="E102" s="1"/>
      <c r="F102" s="1"/>
      <c r="G102" s="1"/>
      <c r="H102" s="1"/>
      <c r="I102" s="1"/>
      <c r="J102" s="1"/>
      <c r="K102" s="1"/>
      <c r="L102" s="1"/>
      <c r="M102" s="4" t="s">
        <v>21233</v>
      </c>
      <c r="N102" s="6">
        <f>COUNTIF('post-audit-active-backlog-statu'!$D$2:$D$6832,M102)</f>
        <v>6</v>
      </c>
      <c r="O102" s="6">
        <f>COUNTIFS('post-audit-active-backlog-statu'!$D$2:$D$6832,M102,'post-audit-active-backlog-statu'!$G$2:$G$6832,"Fixed")</f>
        <v>0</v>
      </c>
      <c r="P102" s="6">
        <f>COUNTIFS('post-audit-active-backlog-statu'!$D$2:$D$6832,M102,'post-audit-active-backlog-statu'!$G$2:$G$6832,"ReviewedNoChange")+COUNTIFS('post-audit-active-backlog-statu'!$D$2:$D$6832,M102,'post-audit-active-backlog-statu'!$G$2:$G$6832,"SafeNoChange")+COUNTIFS('post-audit-active-backlog-statu'!$D$2:$D$6832,M102,'post-audit-active-backlog-statu'!$G$2:$G$6832,"PolicyResolvedNoChange")</f>
        <v>6</v>
      </c>
      <c r="Q102" s="6">
        <f>COUNTIFS('post-audit-active-backlog-statu'!$D$2:$D$6832,M102,'post-audit-active-backlog-statu'!$G$2:$G$6832,"BlocksOnlyThisDomain")</f>
        <v>0</v>
      </c>
      <c r="R102" s="8">
        <f t="shared" si="3"/>
        <v>0.0</v>
      </c>
      <c r="S102" s="1"/>
      <c r="T102" s="1"/>
      <c r="U102" s="1"/>
      <c r="V102" s="1"/>
    </row>
    <row r="103" spans="1:22" ht="20.100000000000001" customHeight="1" x14ac:dyDescent="0.25">
      <c r="A103" s="1"/>
      <c r="B103" s="1"/>
      <c r="C103" s="1"/>
      <c r="D103" s="1"/>
      <c r="E103" s="1"/>
      <c r="F103" s="1"/>
      <c r="G103" s="1"/>
      <c r="H103" s="1"/>
      <c r="I103" s="1"/>
      <c r="J103" s="1"/>
      <c r="K103" s="1"/>
      <c r="L103" s="1"/>
      <c r="M103" s="4" t="s">
        <v>1657</v>
      </c>
      <c r="N103" s="6">
        <f>COUNTIF('post-audit-active-backlog-statu'!$D$2:$D$6832,M103)</f>
        <v>5</v>
      </c>
      <c r="O103" s="6">
        <f>COUNTIFS('post-audit-active-backlog-statu'!$D$2:$D$6832,M103,'post-audit-active-backlog-statu'!$G$2:$G$6832,"Fixed")</f>
        <v>2</v>
      </c>
      <c r="P103" s="6">
        <f>COUNTIFS('post-audit-active-backlog-statu'!$D$2:$D$6832,M103,'post-audit-active-backlog-statu'!$G$2:$G$6832,"ReviewedNoChange")+COUNTIFS('post-audit-active-backlog-statu'!$D$2:$D$6832,M103,'post-audit-active-backlog-statu'!$G$2:$G$6832,"SafeNoChange")+COUNTIFS('post-audit-active-backlog-statu'!$D$2:$D$6832,M103,'post-audit-active-backlog-statu'!$G$2:$G$6832,"PolicyResolvedNoChange")</f>
        <v>2</v>
      </c>
      <c r="Q103" s="6">
        <f>COUNTIFS('post-audit-active-backlog-statu'!$D$2:$D$6832,M103,'post-audit-active-backlog-statu'!$G$2:$G$6832,"BlocksOnlyThisDomain")</f>
        <v>0</v>
      </c>
      <c r="R103" s="8">
        <f t="shared" si="3"/>
        <v>0.4</v>
      </c>
      <c r="S103" s="1"/>
      <c r="T103" s="1"/>
      <c r="U103" s="1"/>
      <c r="V103" s="1"/>
    </row>
    <row r="104" spans="1:22" ht="20.100000000000001" customHeight="1" x14ac:dyDescent="0.25">
      <c r="A104" s="1"/>
      <c r="B104" s="1"/>
      <c r="C104" s="1"/>
      <c r="D104" s="1"/>
      <c r="E104" s="1"/>
      <c r="F104" s="1"/>
      <c r="G104" s="1"/>
      <c r="H104" s="1"/>
      <c r="I104" s="1"/>
      <c r="J104" s="1"/>
      <c r="K104" s="1"/>
      <c r="L104" s="1"/>
      <c r="M104" s="4" t="s">
        <v>3675</v>
      </c>
      <c r="N104" s="6">
        <f>COUNTIF('post-audit-active-backlog-statu'!$D$2:$D$6832,M104)</f>
        <v>5</v>
      </c>
      <c r="O104" s="6">
        <f>COUNTIFS('post-audit-active-backlog-statu'!$D$2:$D$6832,M104,'post-audit-active-backlog-statu'!$G$2:$G$6832,"Fixed")</f>
        <v>5</v>
      </c>
      <c r="P104" s="6">
        <f>COUNTIFS('post-audit-active-backlog-statu'!$D$2:$D$6832,M104,'post-audit-active-backlog-statu'!$G$2:$G$6832,"ReviewedNoChange")+COUNTIFS('post-audit-active-backlog-statu'!$D$2:$D$6832,M104,'post-audit-active-backlog-statu'!$G$2:$G$6832,"SafeNoChange")+COUNTIFS('post-audit-active-backlog-statu'!$D$2:$D$6832,M104,'post-audit-active-backlog-statu'!$G$2:$G$6832,"PolicyResolvedNoChange")</f>
        <v>0</v>
      </c>
      <c r="Q104" s="6">
        <f>COUNTIFS('post-audit-active-backlog-statu'!$D$2:$D$6832,M104,'post-audit-active-backlog-statu'!$G$2:$G$6832,"BlocksOnlyThisDomain")</f>
        <v>0</v>
      </c>
      <c r="R104" s="8">
        <f t="shared" si="3"/>
        <v>1.0</v>
      </c>
      <c r="S104" s="1"/>
      <c r="T104" s="1"/>
      <c r="U104" s="1"/>
      <c r="V104" s="1"/>
    </row>
    <row r="105" spans="1:22" ht="20.100000000000001" customHeight="1" x14ac:dyDescent="0.25">
      <c r="A105" s="1"/>
      <c r="B105" s="1"/>
      <c r="C105" s="1"/>
      <c r="D105" s="1"/>
      <c r="E105" s="1"/>
      <c r="F105" s="1"/>
      <c r="G105" s="1"/>
      <c r="H105" s="1"/>
      <c r="I105" s="1"/>
      <c r="J105" s="1"/>
      <c r="K105" s="1"/>
      <c r="L105" s="1"/>
      <c r="M105" s="4" t="s">
        <v>4837</v>
      </c>
      <c r="N105" s="6">
        <f>COUNTIF('post-audit-active-backlog-statu'!$D$2:$D$6832,M105)</f>
        <v>5</v>
      </c>
      <c r="O105" s="6">
        <f>COUNTIFS('post-audit-active-backlog-statu'!$D$2:$D$6832,M105,'post-audit-active-backlog-statu'!$G$2:$G$6832,"Fixed")</f>
        <v>1</v>
      </c>
      <c r="P105" s="6">
        <f>COUNTIFS('post-audit-active-backlog-statu'!$D$2:$D$6832,M105,'post-audit-active-backlog-statu'!$G$2:$G$6832,"ReviewedNoChange")+COUNTIFS('post-audit-active-backlog-statu'!$D$2:$D$6832,M105,'post-audit-active-backlog-statu'!$G$2:$G$6832,"SafeNoChange")+COUNTIFS('post-audit-active-backlog-statu'!$D$2:$D$6832,M105,'post-audit-active-backlog-statu'!$G$2:$G$6832,"PolicyResolvedNoChange")</f>
        <v>4</v>
      </c>
      <c r="Q105" s="6">
        <f>COUNTIFS('post-audit-active-backlog-statu'!$D$2:$D$6832,M105,'post-audit-active-backlog-statu'!$G$2:$G$6832,"BlocksOnlyThisDomain")</f>
        <v>0</v>
      </c>
      <c r="R105" s="8">
        <f t="shared" si="3"/>
        <v>0.2</v>
      </c>
      <c r="S105" s="1"/>
      <c r="T105" s="1"/>
      <c r="U105" s="1"/>
      <c r="V105" s="1"/>
    </row>
    <row r="106" spans="1:22" ht="20.100000000000001" customHeight="1" x14ac:dyDescent="0.25">
      <c r="A106" s="1"/>
      <c r="B106" s="1"/>
      <c r="C106" s="1"/>
      <c r="D106" s="1"/>
      <c r="E106" s="1"/>
      <c r="F106" s="1"/>
      <c r="G106" s="1"/>
      <c r="H106" s="1"/>
      <c r="I106" s="1"/>
      <c r="J106" s="1"/>
      <c r="K106" s="1"/>
      <c r="L106" s="1"/>
      <c r="M106" s="4" t="s">
        <v>5036</v>
      </c>
      <c r="N106" s="6">
        <f>COUNTIF('post-audit-active-backlog-statu'!$D$2:$D$6832,M106)</f>
        <v>5</v>
      </c>
      <c r="O106" s="6">
        <f>COUNTIFS('post-audit-active-backlog-statu'!$D$2:$D$6832,M106,'post-audit-active-backlog-statu'!$G$2:$G$6832,"Fixed")</f>
        <v>2</v>
      </c>
      <c r="P106" s="6">
        <f>COUNTIFS('post-audit-active-backlog-statu'!$D$2:$D$6832,M106,'post-audit-active-backlog-statu'!$G$2:$G$6832,"ReviewedNoChange")+COUNTIFS('post-audit-active-backlog-statu'!$D$2:$D$6832,M106,'post-audit-active-backlog-statu'!$G$2:$G$6832,"SafeNoChange")+COUNTIFS('post-audit-active-backlog-statu'!$D$2:$D$6832,M106,'post-audit-active-backlog-statu'!$G$2:$G$6832,"PolicyResolvedNoChange")</f>
        <v>0</v>
      </c>
      <c r="Q106" s="6">
        <f>COUNTIFS('post-audit-active-backlog-statu'!$D$2:$D$6832,M106,'post-audit-active-backlog-statu'!$G$2:$G$6832,"BlocksOnlyThisDomain")</f>
        <v>0</v>
      </c>
      <c r="R106" s="8">
        <f t="shared" si="3"/>
        <v>0.4</v>
      </c>
      <c r="S106" s="1"/>
      <c r="T106" s="1"/>
      <c r="U106" s="1"/>
      <c r="V106" s="1"/>
    </row>
    <row r="107" spans="1:22" ht="20.100000000000001" customHeight="1" x14ac:dyDescent="0.25">
      <c r="A107" s="1"/>
      <c r="B107" s="1"/>
      <c r="C107" s="1"/>
      <c r="D107" s="1"/>
      <c r="E107" s="1"/>
      <c r="F107" s="1"/>
      <c r="G107" s="1"/>
      <c r="H107" s="1"/>
      <c r="I107" s="1"/>
      <c r="J107" s="1"/>
      <c r="K107" s="1"/>
      <c r="L107" s="1"/>
      <c r="M107" s="4" t="s">
        <v>9241</v>
      </c>
      <c r="N107" s="6">
        <f>COUNTIF('post-audit-active-backlog-statu'!$D$2:$D$6832,M107)</f>
        <v>5</v>
      </c>
      <c r="O107" s="6">
        <f>COUNTIFS('post-audit-active-backlog-statu'!$D$2:$D$6832,M107,'post-audit-active-backlog-statu'!$G$2:$G$6832,"Fixed")</f>
        <v>2</v>
      </c>
      <c r="P107" s="6">
        <f>COUNTIFS('post-audit-active-backlog-statu'!$D$2:$D$6832,M107,'post-audit-active-backlog-statu'!$G$2:$G$6832,"ReviewedNoChange")+COUNTIFS('post-audit-active-backlog-statu'!$D$2:$D$6832,M107,'post-audit-active-backlog-statu'!$G$2:$G$6832,"SafeNoChange")+COUNTIFS('post-audit-active-backlog-statu'!$D$2:$D$6832,M107,'post-audit-active-backlog-statu'!$G$2:$G$6832,"PolicyResolvedNoChange")</f>
        <v>0</v>
      </c>
      <c r="Q107" s="6">
        <f>COUNTIFS('post-audit-active-backlog-statu'!$D$2:$D$6832,M107,'post-audit-active-backlog-statu'!$G$2:$G$6832,"BlocksOnlyThisDomain")</f>
        <v>0</v>
      </c>
      <c r="R107" s="8">
        <f t="shared" si="3"/>
        <v>0.4</v>
      </c>
      <c r="S107" s="1"/>
      <c r="T107" s="1"/>
      <c r="U107" s="1"/>
      <c r="V107" s="1"/>
    </row>
    <row r="108" spans="1:22" ht="20.100000000000001" customHeight="1" x14ac:dyDescent="0.25">
      <c r="A108" s="1"/>
      <c r="B108" s="1"/>
      <c r="C108" s="1"/>
      <c r="D108" s="1"/>
      <c r="E108" s="1"/>
      <c r="F108" s="1"/>
      <c r="G108" s="1"/>
      <c r="H108" s="1"/>
      <c r="I108" s="1"/>
      <c r="J108" s="1"/>
      <c r="K108" s="1"/>
      <c r="L108" s="1"/>
      <c r="M108" s="4" t="s">
        <v>17127</v>
      </c>
      <c r="N108" s="6">
        <f>COUNTIF('post-audit-active-backlog-statu'!$D$2:$D$6832,M108)</f>
        <v>5</v>
      </c>
      <c r="O108" s="6">
        <f>COUNTIFS('post-audit-active-backlog-statu'!$D$2:$D$6832,M108,'post-audit-active-backlog-statu'!$G$2:$G$6832,"Fixed")</f>
        <v>0</v>
      </c>
      <c r="P108" s="6">
        <f>COUNTIFS('post-audit-active-backlog-statu'!$D$2:$D$6832,M108,'post-audit-active-backlog-statu'!$G$2:$G$6832,"ReviewedNoChange")+COUNTIFS('post-audit-active-backlog-statu'!$D$2:$D$6832,M108,'post-audit-active-backlog-statu'!$G$2:$G$6832,"SafeNoChange")+COUNTIFS('post-audit-active-backlog-statu'!$D$2:$D$6832,M108,'post-audit-active-backlog-statu'!$G$2:$G$6832,"PolicyResolvedNoChange")</f>
        <v>5</v>
      </c>
      <c r="Q108" s="6">
        <f>COUNTIFS('post-audit-active-backlog-statu'!$D$2:$D$6832,M108,'post-audit-active-backlog-statu'!$G$2:$G$6832,"BlocksOnlyThisDomain")</f>
        <v>0</v>
      </c>
      <c r="R108" s="8">
        <f t="shared" si="3"/>
        <v>0.0</v>
      </c>
      <c r="S108" s="1"/>
      <c r="T108" s="1"/>
      <c r="U108" s="1"/>
      <c r="V108" s="1"/>
    </row>
    <row r="109" spans="1:22" ht="20.100000000000001" customHeight="1" x14ac:dyDescent="0.25">
      <c r="A109" s="1"/>
      <c r="B109" s="1"/>
      <c r="C109" s="1"/>
      <c r="D109" s="1"/>
      <c r="E109" s="1"/>
      <c r="F109" s="1"/>
      <c r="G109" s="1"/>
      <c r="H109" s="1"/>
      <c r="I109" s="1"/>
      <c r="J109" s="1"/>
      <c r="K109" s="1"/>
      <c r="L109" s="1"/>
      <c r="M109" s="4" t="s">
        <v>1452</v>
      </c>
      <c r="N109" s="6">
        <f>COUNTIF('post-audit-active-backlog-statu'!$D$2:$D$6832,M109)</f>
        <v>4</v>
      </c>
      <c r="O109" s="6">
        <f>COUNTIFS('post-audit-active-backlog-statu'!$D$2:$D$6832,M109,'post-audit-active-backlog-statu'!$G$2:$G$6832,"Fixed")</f>
        <v>2</v>
      </c>
      <c r="P109" s="6">
        <f>COUNTIFS('post-audit-active-backlog-statu'!$D$2:$D$6832,M109,'post-audit-active-backlog-statu'!$G$2:$G$6832,"ReviewedNoChange")+COUNTIFS('post-audit-active-backlog-statu'!$D$2:$D$6832,M109,'post-audit-active-backlog-statu'!$G$2:$G$6832,"SafeNoChange")+COUNTIFS('post-audit-active-backlog-statu'!$D$2:$D$6832,M109,'post-audit-active-backlog-statu'!$G$2:$G$6832,"PolicyResolvedNoChange")</f>
        <v>2</v>
      </c>
      <c r="Q109" s="6">
        <f>COUNTIFS('post-audit-active-backlog-statu'!$D$2:$D$6832,M109,'post-audit-active-backlog-statu'!$G$2:$G$6832,"BlocksOnlyThisDomain")</f>
        <v>0</v>
      </c>
      <c r="R109" s="8">
        <f t="shared" si="3"/>
        <v>0.5</v>
      </c>
      <c r="S109" s="1"/>
      <c r="T109" s="1"/>
      <c r="U109" s="1"/>
      <c r="V109" s="1"/>
    </row>
    <row r="110" spans="1:22" ht="20.100000000000001" customHeight="1" x14ac:dyDescent="0.25">
      <c r="A110" s="1"/>
      <c r="B110" s="1"/>
      <c r="C110" s="1"/>
      <c r="D110" s="1"/>
      <c r="E110" s="1"/>
      <c r="F110" s="1"/>
      <c r="G110" s="1"/>
      <c r="H110" s="1"/>
      <c r="I110" s="1"/>
      <c r="J110" s="1"/>
      <c r="K110" s="1"/>
      <c r="L110" s="1"/>
      <c r="M110" s="4" t="s">
        <v>2091</v>
      </c>
      <c r="N110" s="6">
        <f>COUNTIF('post-audit-active-backlog-statu'!$D$2:$D$6832,M110)</f>
        <v>4</v>
      </c>
      <c r="O110" s="6">
        <f>COUNTIFS('post-audit-active-backlog-statu'!$D$2:$D$6832,M110,'post-audit-active-backlog-statu'!$G$2:$G$6832,"Fixed")</f>
        <v>4</v>
      </c>
      <c r="P110" s="6">
        <f>COUNTIFS('post-audit-active-backlog-statu'!$D$2:$D$6832,M110,'post-audit-active-backlog-statu'!$G$2:$G$6832,"ReviewedNoChange")+COUNTIFS('post-audit-active-backlog-statu'!$D$2:$D$6832,M110,'post-audit-active-backlog-statu'!$G$2:$G$6832,"SafeNoChange")+COUNTIFS('post-audit-active-backlog-statu'!$D$2:$D$6832,M110,'post-audit-active-backlog-statu'!$G$2:$G$6832,"PolicyResolvedNoChange")</f>
        <v>0</v>
      </c>
      <c r="Q110" s="6">
        <f>COUNTIFS('post-audit-active-backlog-statu'!$D$2:$D$6832,M110,'post-audit-active-backlog-statu'!$G$2:$G$6832,"BlocksOnlyThisDomain")</f>
        <v>0</v>
      </c>
      <c r="R110" s="8">
        <f t="shared" si="3"/>
        <v>1.0</v>
      </c>
      <c r="S110" s="1"/>
      <c r="T110" s="1"/>
      <c r="U110" s="1"/>
      <c r="V110" s="1"/>
    </row>
    <row r="111" spans="1:22" ht="20.100000000000001" customHeight="1" x14ac:dyDescent="0.25">
      <c r="A111" s="1"/>
      <c r="B111" s="1"/>
      <c r="C111" s="1"/>
      <c r="D111" s="1"/>
      <c r="E111" s="1"/>
      <c r="F111" s="1"/>
      <c r="G111" s="1"/>
      <c r="H111" s="1"/>
      <c r="I111" s="1"/>
      <c r="J111" s="1"/>
      <c r="K111" s="1"/>
      <c r="L111" s="1"/>
      <c r="M111" s="4" t="s">
        <v>2821</v>
      </c>
      <c r="N111" s="6">
        <f>COUNTIF('post-audit-active-backlog-statu'!$D$2:$D$6832,M111)</f>
        <v>4</v>
      </c>
      <c r="O111" s="6">
        <f>COUNTIFS('post-audit-active-backlog-statu'!$D$2:$D$6832,M111,'post-audit-active-backlog-statu'!$G$2:$G$6832,"Fixed")</f>
        <v>3</v>
      </c>
      <c r="P111" s="6">
        <f>COUNTIFS('post-audit-active-backlog-statu'!$D$2:$D$6832,M111,'post-audit-active-backlog-statu'!$G$2:$G$6832,"ReviewedNoChange")+COUNTIFS('post-audit-active-backlog-statu'!$D$2:$D$6832,M111,'post-audit-active-backlog-statu'!$G$2:$G$6832,"SafeNoChange")+COUNTIFS('post-audit-active-backlog-statu'!$D$2:$D$6832,M111,'post-audit-active-backlog-statu'!$G$2:$G$6832,"PolicyResolvedNoChange")</f>
        <v>1</v>
      </c>
      <c r="Q111" s="6">
        <f>COUNTIFS('post-audit-active-backlog-statu'!$D$2:$D$6832,M111,'post-audit-active-backlog-statu'!$G$2:$G$6832,"BlocksOnlyThisDomain")</f>
        <v>0</v>
      </c>
      <c r="R111" s="8">
        <f t="shared" si="3"/>
        <v>0.75</v>
      </c>
      <c r="S111" s="1"/>
      <c r="T111" s="1"/>
      <c r="U111" s="1"/>
      <c r="V111" s="1"/>
    </row>
    <row r="112" spans="1:22" ht="20.100000000000001" customHeight="1" x14ac:dyDescent="0.25">
      <c r="A112" s="1"/>
      <c r="B112" s="1"/>
      <c r="C112" s="1"/>
      <c r="D112" s="1"/>
      <c r="E112" s="1"/>
      <c r="F112" s="1"/>
      <c r="G112" s="1"/>
      <c r="H112" s="1"/>
      <c r="I112" s="1"/>
      <c r="J112" s="1"/>
      <c r="K112" s="1"/>
      <c r="L112" s="1"/>
      <c r="M112" s="4" t="s">
        <v>2843</v>
      </c>
      <c r="N112" s="6">
        <f>COUNTIF('post-audit-active-backlog-statu'!$D$2:$D$6832,M112)</f>
        <v>5</v>
      </c>
      <c r="O112" s="6">
        <f>COUNTIFS('post-audit-active-backlog-statu'!$D$2:$D$6832,M112,'post-audit-active-backlog-statu'!$G$2:$G$6832,"Fixed")</f>
        <v>4</v>
      </c>
      <c r="P112" s="6">
        <f>COUNTIFS('post-audit-active-backlog-statu'!$D$2:$D$6832,M112,'post-audit-active-backlog-statu'!$G$2:$G$6832,"ReviewedNoChange")+COUNTIFS('post-audit-active-backlog-statu'!$D$2:$D$6832,M112,'post-audit-active-backlog-statu'!$G$2:$G$6832,"SafeNoChange")+COUNTIFS('post-audit-active-backlog-statu'!$D$2:$D$6832,M112,'post-audit-active-backlog-statu'!$G$2:$G$6832,"PolicyResolvedNoChange")</f>
        <v>0</v>
      </c>
      <c r="Q112" s="6">
        <f>COUNTIFS('post-audit-active-backlog-statu'!$D$2:$D$6832,M112,'post-audit-active-backlog-statu'!$G$2:$G$6832,"BlocksOnlyThisDomain")</f>
        <v>0</v>
      </c>
      <c r="R112" s="8">
        <f t="shared" si="3"/>
        <v>0.8</v>
      </c>
      <c r="S112" s="1"/>
      <c r="T112" s="1"/>
      <c r="U112" s="1"/>
      <c r="V112" s="1"/>
    </row>
    <row r="113" spans="1:22" ht="20.100000000000001" customHeight="1" x14ac:dyDescent="0.25">
      <c r="A113" s="1"/>
      <c r="B113" s="1"/>
      <c r="C113" s="1"/>
      <c r="D113" s="1"/>
      <c r="E113" s="1"/>
      <c r="F113" s="1"/>
      <c r="G113" s="1"/>
      <c r="H113" s="1"/>
      <c r="I113" s="1"/>
      <c r="J113" s="1"/>
      <c r="K113" s="1"/>
      <c r="L113" s="1"/>
      <c r="M113" s="4" t="s">
        <v>4018</v>
      </c>
      <c r="N113" s="6">
        <f>COUNTIF('post-audit-active-backlog-statu'!$D$2:$D$6832,M113)</f>
        <v>4</v>
      </c>
      <c r="O113" s="6">
        <f>COUNTIFS('post-audit-active-backlog-statu'!$D$2:$D$6832,M113,'post-audit-active-backlog-statu'!$G$2:$G$6832,"Fixed")</f>
        <v>2</v>
      </c>
      <c r="P113" s="6">
        <f>COUNTIFS('post-audit-active-backlog-statu'!$D$2:$D$6832,M113,'post-audit-active-backlog-statu'!$G$2:$G$6832,"ReviewedNoChange")+COUNTIFS('post-audit-active-backlog-statu'!$D$2:$D$6832,M113,'post-audit-active-backlog-statu'!$G$2:$G$6832,"SafeNoChange")+COUNTIFS('post-audit-active-backlog-statu'!$D$2:$D$6832,M113,'post-audit-active-backlog-statu'!$G$2:$G$6832,"PolicyResolvedNoChange")</f>
        <v>2</v>
      </c>
      <c r="Q113" s="6">
        <f>COUNTIFS('post-audit-active-backlog-statu'!$D$2:$D$6832,M113,'post-audit-active-backlog-statu'!$G$2:$G$6832,"BlocksOnlyThisDomain")</f>
        <v>0</v>
      </c>
      <c r="R113" s="8">
        <f t="shared" si="3"/>
        <v>0.5</v>
      </c>
      <c r="S113" s="1"/>
      <c r="T113" s="1"/>
      <c r="U113" s="1"/>
      <c r="V113" s="1"/>
    </row>
    <row r="114" spans="1:22" ht="20.100000000000001" customHeight="1" x14ac:dyDescent="0.25">
      <c r="A114" s="1"/>
      <c r="B114" s="1"/>
      <c r="C114" s="1"/>
      <c r="D114" s="1"/>
      <c r="E114" s="1"/>
      <c r="F114" s="1"/>
      <c r="G114" s="1"/>
      <c r="H114" s="1"/>
      <c r="I114" s="1"/>
      <c r="J114" s="1"/>
      <c r="K114" s="1"/>
      <c r="L114" s="1"/>
      <c r="M114" s="4" t="s">
        <v>4049</v>
      </c>
      <c r="N114" s="6">
        <f>COUNTIF('post-audit-active-backlog-statu'!$D$2:$D$6832,M114)</f>
        <v>4</v>
      </c>
      <c r="O114" s="6">
        <f>COUNTIFS('post-audit-active-backlog-statu'!$D$2:$D$6832,M114,'post-audit-active-backlog-statu'!$G$2:$G$6832,"Fixed")</f>
        <v>2</v>
      </c>
      <c r="P114" s="6">
        <f>COUNTIFS('post-audit-active-backlog-statu'!$D$2:$D$6832,M114,'post-audit-active-backlog-statu'!$G$2:$G$6832,"ReviewedNoChange")+COUNTIFS('post-audit-active-backlog-statu'!$D$2:$D$6832,M114,'post-audit-active-backlog-statu'!$G$2:$G$6832,"SafeNoChange")+COUNTIFS('post-audit-active-backlog-statu'!$D$2:$D$6832,M114,'post-audit-active-backlog-statu'!$G$2:$G$6832,"PolicyResolvedNoChange")</f>
        <v>1</v>
      </c>
      <c r="Q114" s="6">
        <f>COUNTIFS('post-audit-active-backlog-statu'!$D$2:$D$6832,M114,'post-audit-active-backlog-statu'!$G$2:$G$6832,"BlocksOnlyThisDomain")</f>
        <v>0</v>
      </c>
      <c r="R114" s="8">
        <f t="shared" si="3"/>
        <v>0.5</v>
      </c>
      <c r="S114" s="1"/>
      <c r="T114" s="1"/>
      <c r="U114" s="1"/>
      <c r="V114" s="1"/>
    </row>
    <row r="115" spans="1:22" ht="20.100000000000001" customHeight="1" x14ac:dyDescent="0.25">
      <c r="A115" s="1"/>
      <c r="B115" s="1"/>
      <c r="C115" s="1"/>
      <c r="D115" s="1"/>
      <c r="E115" s="1"/>
      <c r="F115" s="1"/>
      <c r="G115" s="1"/>
      <c r="H115" s="1"/>
      <c r="I115" s="1"/>
      <c r="J115" s="1"/>
      <c r="K115" s="1"/>
      <c r="L115" s="1"/>
      <c r="M115" s="4" t="s">
        <v>9279</v>
      </c>
      <c r="N115" s="6">
        <f>COUNTIF('post-audit-active-backlog-statu'!$D$2:$D$6832,M115)</f>
        <v>4</v>
      </c>
      <c r="O115" s="6">
        <f>COUNTIFS('post-audit-active-backlog-statu'!$D$2:$D$6832,M115,'post-audit-active-backlog-statu'!$G$2:$G$6832,"Fixed")</f>
        <v>2</v>
      </c>
      <c r="P115" s="6">
        <f>COUNTIFS('post-audit-active-backlog-statu'!$D$2:$D$6832,M115,'post-audit-active-backlog-statu'!$G$2:$G$6832,"ReviewedNoChange")+COUNTIFS('post-audit-active-backlog-statu'!$D$2:$D$6832,M115,'post-audit-active-backlog-statu'!$G$2:$G$6832,"SafeNoChange")+COUNTIFS('post-audit-active-backlog-statu'!$D$2:$D$6832,M115,'post-audit-active-backlog-statu'!$G$2:$G$6832,"PolicyResolvedNoChange")</f>
        <v>0</v>
      </c>
      <c r="Q115" s="6">
        <f>COUNTIFS('post-audit-active-backlog-statu'!$D$2:$D$6832,M115,'post-audit-active-backlog-statu'!$G$2:$G$6832,"BlocksOnlyThisDomain")</f>
        <v>0</v>
      </c>
      <c r="R115" s="8">
        <f t="shared" si="3"/>
        <v>0.5</v>
      </c>
      <c r="S115" s="1"/>
      <c r="T115" s="1"/>
      <c r="U115" s="1"/>
      <c r="V115" s="1"/>
    </row>
    <row r="116" spans="1:22" ht="20.100000000000001" customHeight="1" x14ac:dyDescent="0.25">
      <c r="A116" s="1"/>
      <c r="B116" s="1"/>
      <c r="C116" s="1"/>
      <c r="D116" s="1"/>
      <c r="E116" s="1"/>
      <c r="F116" s="1"/>
      <c r="G116" s="1"/>
      <c r="H116" s="1"/>
      <c r="I116" s="1"/>
      <c r="J116" s="1"/>
      <c r="K116" s="1"/>
      <c r="L116" s="1"/>
      <c r="M116" s="4" t="s">
        <v>18224</v>
      </c>
      <c r="N116" s="6">
        <f>COUNTIF('post-audit-active-backlog-statu'!$D$2:$D$6832,M116)</f>
        <v>4</v>
      </c>
      <c r="O116" s="6">
        <f>COUNTIFS('post-audit-active-backlog-statu'!$D$2:$D$6832,M116,'post-audit-active-backlog-statu'!$G$2:$G$6832,"Fixed")</f>
        <v>0</v>
      </c>
      <c r="P116" s="6">
        <f>COUNTIFS('post-audit-active-backlog-statu'!$D$2:$D$6832,M116,'post-audit-active-backlog-statu'!$G$2:$G$6832,"ReviewedNoChange")+COUNTIFS('post-audit-active-backlog-statu'!$D$2:$D$6832,M116,'post-audit-active-backlog-statu'!$G$2:$G$6832,"SafeNoChange")+COUNTIFS('post-audit-active-backlog-statu'!$D$2:$D$6832,M116,'post-audit-active-backlog-statu'!$G$2:$G$6832,"PolicyResolvedNoChange")</f>
        <v>4</v>
      </c>
      <c r="Q116" s="6">
        <f>COUNTIFS('post-audit-active-backlog-statu'!$D$2:$D$6832,M116,'post-audit-active-backlog-statu'!$G$2:$G$6832,"BlocksOnlyThisDomain")</f>
        <v>0</v>
      </c>
      <c r="R116" s="8">
        <f t="shared" si="3"/>
        <v>0.0</v>
      </c>
      <c r="S116" s="1"/>
      <c r="T116" s="1"/>
      <c r="U116" s="1"/>
      <c r="V116" s="1"/>
    </row>
    <row r="117" spans="1:22" ht="20.100000000000001" customHeight="1" x14ac:dyDescent="0.25">
      <c r="A117" s="1"/>
      <c r="B117" s="1"/>
      <c r="C117" s="1"/>
      <c r="D117" s="1"/>
      <c r="E117" s="1"/>
      <c r="F117" s="1"/>
      <c r="G117" s="1"/>
      <c r="H117" s="1"/>
      <c r="I117" s="1"/>
      <c r="J117" s="1"/>
      <c r="K117" s="1"/>
      <c r="L117" s="1"/>
      <c r="M117" s="4" t="s">
        <v>18249</v>
      </c>
      <c r="N117" s="6">
        <f>COUNTIF('post-audit-active-backlog-statu'!$D$2:$D$6832,M117)</f>
        <v>4</v>
      </c>
      <c r="O117" s="6">
        <f>COUNTIFS('post-audit-active-backlog-statu'!$D$2:$D$6832,M117,'post-audit-active-backlog-statu'!$G$2:$G$6832,"Fixed")</f>
        <v>0</v>
      </c>
      <c r="P117" s="6">
        <f>COUNTIFS('post-audit-active-backlog-statu'!$D$2:$D$6832,M117,'post-audit-active-backlog-statu'!$G$2:$G$6832,"ReviewedNoChange")+COUNTIFS('post-audit-active-backlog-statu'!$D$2:$D$6832,M117,'post-audit-active-backlog-statu'!$G$2:$G$6832,"SafeNoChange")+COUNTIFS('post-audit-active-backlog-statu'!$D$2:$D$6832,M117,'post-audit-active-backlog-statu'!$G$2:$G$6832,"PolicyResolvedNoChange")</f>
        <v>4</v>
      </c>
      <c r="Q117" s="6">
        <f>COUNTIFS('post-audit-active-backlog-statu'!$D$2:$D$6832,M117,'post-audit-active-backlog-statu'!$G$2:$G$6832,"BlocksOnlyThisDomain")</f>
        <v>0</v>
      </c>
      <c r="R117" s="8">
        <f t="shared" si="3"/>
        <v>0.0</v>
      </c>
      <c r="S117" s="1"/>
      <c r="T117" s="1"/>
      <c r="U117" s="1"/>
      <c r="V117" s="1"/>
    </row>
    <row r="118" spans="1:22" ht="20.100000000000001" customHeight="1" x14ac:dyDescent="0.25">
      <c r="A118" s="1"/>
      <c r="B118" s="1"/>
      <c r="C118" s="1"/>
      <c r="D118" s="1"/>
      <c r="E118" s="1"/>
      <c r="F118" s="1"/>
      <c r="G118" s="1"/>
      <c r="H118" s="1"/>
      <c r="I118" s="1"/>
      <c r="J118" s="1"/>
      <c r="K118" s="1"/>
      <c r="L118" s="1"/>
      <c r="M118" s="4" t="s">
        <v>2879</v>
      </c>
      <c r="N118" s="6">
        <f>COUNTIF('post-audit-active-backlog-statu'!$D$2:$D$6832,M118)</f>
        <v>3</v>
      </c>
      <c r="O118" s="6">
        <f>COUNTIFS('post-audit-active-backlog-statu'!$D$2:$D$6832,M118,'post-audit-active-backlog-statu'!$G$2:$G$6832,"Fixed")</f>
        <v>2</v>
      </c>
      <c r="P118" s="6">
        <f>COUNTIFS('post-audit-active-backlog-statu'!$D$2:$D$6832,M118,'post-audit-active-backlog-statu'!$G$2:$G$6832,"ReviewedNoChange")+COUNTIFS('post-audit-active-backlog-statu'!$D$2:$D$6832,M118,'post-audit-active-backlog-statu'!$G$2:$G$6832,"SafeNoChange")+COUNTIFS('post-audit-active-backlog-statu'!$D$2:$D$6832,M118,'post-audit-active-backlog-statu'!$G$2:$G$6832,"PolicyResolvedNoChange")</f>
        <v>1</v>
      </c>
      <c r="Q118" s="6">
        <f>COUNTIFS('post-audit-active-backlog-statu'!$D$2:$D$6832,M118,'post-audit-active-backlog-statu'!$G$2:$G$6832,"BlocksOnlyThisDomain")</f>
        <v>0</v>
      </c>
      <c r="R118" s="8">
        <f t="shared" si="3"/>
        <v>0.6666666666666666</v>
      </c>
      <c r="S118" s="1"/>
      <c r="T118" s="1"/>
      <c r="U118" s="1"/>
      <c r="V118" s="1"/>
    </row>
    <row r="119" spans="1:22" ht="20.100000000000001" customHeight="1" x14ac:dyDescent="0.25">
      <c r="A119" s="1"/>
      <c r="B119" s="1"/>
      <c r="C119" s="1"/>
      <c r="D119" s="1"/>
      <c r="E119" s="1"/>
      <c r="F119" s="1"/>
      <c r="G119" s="1"/>
      <c r="H119" s="1"/>
      <c r="I119" s="1"/>
      <c r="J119" s="1"/>
      <c r="K119" s="1"/>
      <c r="L119" s="1"/>
      <c r="M119" s="4" t="s">
        <v>3206</v>
      </c>
      <c r="N119" s="6">
        <f>COUNTIF('post-audit-active-backlog-statu'!$D$2:$D$6832,M119)</f>
        <v>3</v>
      </c>
      <c r="O119" s="6">
        <f>COUNTIFS('post-audit-active-backlog-statu'!$D$2:$D$6832,M119,'post-audit-active-backlog-statu'!$G$2:$G$6832,"Fixed")</f>
        <v>3</v>
      </c>
      <c r="P119" s="6">
        <f>COUNTIFS('post-audit-active-backlog-statu'!$D$2:$D$6832,M119,'post-audit-active-backlog-statu'!$G$2:$G$6832,"ReviewedNoChange")+COUNTIFS('post-audit-active-backlog-statu'!$D$2:$D$6832,M119,'post-audit-active-backlog-statu'!$G$2:$G$6832,"SafeNoChange")+COUNTIFS('post-audit-active-backlog-statu'!$D$2:$D$6832,M119,'post-audit-active-backlog-statu'!$G$2:$G$6832,"PolicyResolvedNoChange")</f>
        <v>0</v>
      </c>
      <c r="Q119" s="6">
        <f>COUNTIFS('post-audit-active-backlog-statu'!$D$2:$D$6832,M119,'post-audit-active-backlog-statu'!$G$2:$G$6832,"BlocksOnlyThisDomain")</f>
        <v>0</v>
      </c>
      <c r="R119" s="8">
        <f t="shared" si="3"/>
        <v>1.0</v>
      </c>
      <c r="S119" s="1"/>
      <c r="T119" s="1"/>
      <c r="U119" s="1"/>
      <c r="V119" s="1"/>
    </row>
    <row r="120" spans="1:22" ht="20.100000000000001" customHeight="1" x14ac:dyDescent="0.25">
      <c r="A120" s="1"/>
      <c r="B120" s="1"/>
      <c r="C120" s="1"/>
      <c r="D120" s="1"/>
      <c r="E120" s="1"/>
      <c r="F120" s="1"/>
      <c r="G120" s="1"/>
      <c r="H120" s="1"/>
      <c r="I120" s="1"/>
      <c r="J120" s="1"/>
      <c r="K120" s="1"/>
      <c r="L120" s="1"/>
      <c r="M120" s="4" t="s">
        <v>4029</v>
      </c>
      <c r="N120" s="6">
        <f>COUNTIF('post-audit-active-backlog-statu'!$D$2:$D$6832,M120)</f>
        <v>3</v>
      </c>
      <c r="O120" s="6">
        <f>COUNTIFS('post-audit-active-backlog-statu'!$D$2:$D$6832,M120,'post-audit-active-backlog-statu'!$G$2:$G$6832,"Fixed")</f>
        <v>3</v>
      </c>
      <c r="P120" s="6">
        <f>COUNTIFS('post-audit-active-backlog-statu'!$D$2:$D$6832,M120,'post-audit-active-backlog-statu'!$G$2:$G$6832,"ReviewedNoChange")+COUNTIFS('post-audit-active-backlog-statu'!$D$2:$D$6832,M120,'post-audit-active-backlog-statu'!$G$2:$G$6832,"SafeNoChange")+COUNTIFS('post-audit-active-backlog-statu'!$D$2:$D$6832,M120,'post-audit-active-backlog-statu'!$G$2:$G$6832,"PolicyResolvedNoChange")</f>
        <v>0</v>
      </c>
      <c r="Q120" s="6">
        <f>COUNTIFS('post-audit-active-backlog-statu'!$D$2:$D$6832,M120,'post-audit-active-backlog-statu'!$G$2:$G$6832,"BlocksOnlyThisDomain")</f>
        <v>0</v>
      </c>
      <c r="R120" s="8">
        <f t="shared" si="3"/>
        <v>1.0</v>
      </c>
      <c r="S120" s="1"/>
      <c r="T120" s="1"/>
      <c r="U120" s="1"/>
      <c r="V120" s="1"/>
    </row>
    <row r="121" spans="1:22" ht="20.100000000000001" customHeight="1" x14ac:dyDescent="0.25">
      <c r="A121" s="1"/>
      <c r="B121" s="1"/>
      <c r="C121" s="1"/>
      <c r="D121" s="1"/>
      <c r="E121" s="1"/>
      <c r="F121" s="1"/>
      <c r="G121" s="1"/>
      <c r="H121" s="1"/>
      <c r="I121" s="1"/>
      <c r="J121" s="1"/>
      <c r="K121" s="1"/>
      <c r="L121" s="1"/>
      <c r="M121" s="4" t="s">
        <v>4071</v>
      </c>
      <c r="N121" s="6">
        <f>COUNTIF('post-audit-active-backlog-statu'!$D$2:$D$6832,M121)</f>
        <v>3</v>
      </c>
      <c r="O121" s="6">
        <f>COUNTIFS('post-audit-active-backlog-statu'!$D$2:$D$6832,M121,'post-audit-active-backlog-statu'!$G$2:$G$6832,"Fixed")</f>
        <v>3</v>
      </c>
      <c r="P121" s="6">
        <f>COUNTIFS('post-audit-active-backlog-statu'!$D$2:$D$6832,M121,'post-audit-active-backlog-statu'!$G$2:$G$6832,"ReviewedNoChange")+COUNTIFS('post-audit-active-backlog-statu'!$D$2:$D$6832,M121,'post-audit-active-backlog-statu'!$G$2:$G$6832,"SafeNoChange")+COUNTIFS('post-audit-active-backlog-statu'!$D$2:$D$6832,M121,'post-audit-active-backlog-statu'!$G$2:$G$6832,"PolicyResolvedNoChange")</f>
        <v>0</v>
      </c>
      <c r="Q121" s="6">
        <f>COUNTIFS('post-audit-active-backlog-statu'!$D$2:$D$6832,M121,'post-audit-active-backlog-statu'!$G$2:$G$6832,"BlocksOnlyThisDomain")</f>
        <v>0</v>
      </c>
      <c r="R121" s="8">
        <f t="shared" si="3"/>
        <v>1.0</v>
      </c>
      <c r="S121" s="1"/>
      <c r="T121" s="1"/>
      <c r="U121" s="1"/>
      <c r="V121" s="1"/>
    </row>
    <row r="122" spans="1:22" ht="20.100000000000001" customHeight="1" x14ac:dyDescent="0.25">
      <c r="A122" s="1"/>
      <c r="B122" s="1"/>
      <c r="C122" s="1"/>
      <c r="D122" s="1"/>
      <c r="E122" s="1"/>
      <c r="F122" s="1"/>
      <c r="G122" s="1"/>
      <c r="H122" s="1"/>
      <c r="I122" s="1"/>
      <c r="J122" s="1"/>
      <c r="K122" s="1"/>
      <c r="L122" s="1"/>
      <c r="M122" s="4" t="s">
        <v>8382</v>
      </c>
      <c r="N122" s="6">
        <f>COUNTIF('post-audit-active-backlog-statu'!$D$2:$D$6832,M122)</f>
        <v>3</v>
      </c>
      <c r="O122" s="6">
        <f>COUNTIFS('post-audit-active-backlog-statu'!$D$2:$D$6832,M122,'post-audit-active-backlog-statu'!$G$2:$G$6832,"Fixed")</f>
        <v>2</v>
      </c>
      <c r="P122" s="6">
        <f>COUNTIFS('post-audit-active-backlog-statu'!$D$2:$D$6832,M122,'post-audit-active-backlog-statu'!$G$2:$G$6832,"ReviewedNoChange")+COUNTIFS('post-audit-active-backlog-statu'!$D$2:$D$6832,M122,'post-audit-active-backlog-statu'!$G$2:$G$6832,"SafeNoChange")+COUNTIFS('post-audit-active-backlog-statu'!$D$2:$D$6832,M122,'post-audit-active-backlog-statu'!$G$2:$G$6832,"PolicyResolvedNoChange")</f>
        <v>0</v>
      </c>
      <c r="Q122" s="6">
        <f>COUNTIFS('post-audit-active-backlog-statu'!$D$2:$D$6832,M122,'post-audit-active-backlog-statu'!$G$2:$G$6832,"BlocksOnlyThisDomain")</f>
        <v>0</v>
      </c>
      <c r="R122" s="8">
        <f t="shared" si="3"/>
        <v>0.6666666666666666</v>
      </c>
      <c r="S122" s="1"/>
      <c r="T122" s="1"/>
      <c r="U122" s="1"/>
      <c r="V122" s="1"/>
    </row>
    <row r="123" spans="1:22" ht="20.100000000000001" customHeight="1" x14ac:dyDescent="0.25">
      <c r="A123" s="1"/>
      <c r="B123" s="1"/>
      <c r="C123" s="1"/>
      <c r="D123" s="1"/>
      <c r="E123" s="1"/>
      <c r="F123" s="1"/>
      <c r="G123" s="1"/>
      <c r="H123" s="1"/>
      <c r="I123" s="1"/>
      <c r="J123" s="1"/>
      <c r="K123" s="1"/>
      <c r="L123" s="1"/>
      <c r="M123" s="4" t="s">
        <v>8815</v>
      </c>
      <c r="N123" s="6">
        <f>COUNTIF('post-audit-active-backlog-statu'!$D$2:$D$6832,M123)</f>
        <v>3</v>
      </c>
      <c r="O123" s="6">
        <f>COUNTIFS('post-audit-active-backlog-statu'!$D$2:$D$6832,M123,'post-audit-active-backlog-statu'!$G$2:$G$6832,"Fixed")</f>
        <v>1</v>
      </c>
      <c r="P123" s="6">
        <f>COUNTIFS('post-audit-active-backlog-statu'!$D$2:$D$6832,M123,'post-audit-active-backlog-statu'!$G$2:$G$6832,"ReviewedNoChange")+COUNTIFS('post-audit-active-backlog-statu'!$D$2:$D$6832,M123,'post-audit-active-backlog-statu'!$G$2:$G$6832,"SafeNoChange")+COUNTIFS('post-audit-active-backlog-statu'!$D$2:$D$6832,M123,'post-audit-active-backlog-statu'!$G$2:$G$6832,"PolicyResolvedNoChange")</f>
        <v>1</v>
      </c>
      <c r="Q123" s="6">
        <f>COUNTIFS('post-audit-active-backlog-statu'!$D$2:$D$6832,M123,'post-audit-active-backlog-statu'!$G$2:$G$6832,"BlocksOnlyThisDomain")</f>
        <v>0</v>
      </c>
      <c r="R123" s="8">
        <f t="shared" si="3"/>
        <v>0.3333333333333333</v>
      </c>
      <c r="S123" s="1"/>
      <c r="T123" s="1"/>
      <c r="U123" s="1"/>
      <c r="V123" s="1"/>
    </row>
    <row r="124" spans="1:22" ht="20.100000000000001" customHeight="1" x14ac:dyDescent="0.25">
      <c r="A124" s="1"/>
      <c r="B124" s="1"/>
      <c r="C124" s="1"/>
      <c r="D124" s="1"/>
      <c r="E124" s="1"/>
      <c r="F124" s="1"/>
      <c r="G124" s="1"/>
      <c r="H124" s="1"/>
      <c r="I124" s="1"/>
      <c r="J124" s="1"/>
      <c r="K124" s="1"/>
      <c r="L124" s="1"/>
      <c r="M124" s="4" t="s">
        <v>9275</v>
      </c>
      <c r="N124" s="6">
        <f>COUNTIF('post-audit-active-backlog-statu'!$D$2:$D$6832,M124)</f>
        <v>3</v>
      </c>
      <c r="O124" s="6">
        <f>COUNTIFS('post-audit-active-backlog-statu'!$D$2:$D$6832,M124,'post-audit-active-backlog-statu'!$G$2:$G$6832,"Fixed")</f>
        <v>2</v>
      </c>
      <c r="P124" s="6">
        <f>COUNTIFS('post-audit-active-backlog-statu'!$D$2:$D$6832,M124,'post-audit-active-backlog-statu'!$G$2:$G$6832,"ReviewedNoChange")+COUNTIFS('post-audit-active-backlog-statu'!$D$2:$D$6832,M124,'post-audit-active-backlog-statu'!$G$2:$G$6832,"SafeNoChange")+COUNTIFS('post-audit-active-backlog-statu'!$D$2:$D$6832,M124,'post-audit-active-backlog-statu'!$G$2:$G$6832,"PolicyResolvedNoChange")</f>
        <v>0</v>
      </c>
      <c r="Q124" s="6">
        <f>COUNTIFS('post-audit-active-backlog-statu'!$D$2:$D$6832,M124,'post-audit-active-backlog-statu'!$G$2:$G$6832,"BlocksOnlyThisDomain")</f>
        <v>0</v>
      </c>
      <c r="R124" s="8">
        <f t="shared" si="3"/>
        <v>0.6666666666666666</v>
      </c>
      <c r="S124" s="1"/>
      <c r="T124" s="1"/>
      <c r="U124" s="1"/>
      <c r="V124" s="1"/>
    </row>
    <row r="125" spans="1:22" ht="20.100000000000001" customHeight="1" x14ac:dyDescent="0.25">
      <c r="A125" s="1"/>
      <c r="B125" s="1"/>
      <c r="C125" s="1"/>
      <c r="D125" s="1"/>
      <c r="E125" s="1"/>
      <c r="F125" s="1"/>
      <c r="G125" s="1"/>
      <c r="H125" s="1"/>
      <c r="I125" s="1"/>
      <c r="J125" s="1"/>
      <c r="K125" s="1"/>
      <c r="L125" s="1"/>
      <c r="M125" s="4" t="s">
        <v>9287</v>
      </c>
      <c r="N125" s="6">
        <f>COUNTIF('post-audit-active-backlog-statu'!$D$2:$D$6832,M125)</f>
        <v>3</v>
      </c>
      <c r="O125" s="6">
        <f>COUNTIFS('post-audit-active-backlog-statu'!$D$2:$D$6832,M125,'post-audit-active-backlog-statu'!$G$2:$G$6832,"Fixed")</f>
        <v>2</v>
      </c>
      <c r="P125" s="6">
        <f>COUNTIFS('post-audit-active-backlog-statu'!$D$2:$D$6832,M125,'post-audit-active-backlog-statu'!$G$2:$G$6832,"ReviewedNoChange")+COUNTIFS('post-audit-active-backlog-statu'!$D$2:$D$6832,M125,'post-audit-active-backlog-statu'!$G$2:$G$6832,"SafeNoChange")+COUNTIFS('post-audit-active-backlog-statu'!$D$2:$D$6832,M125,'post-audit-active-backlog-statu'!$G$2:$G$6832,"PolicyResolvedNoChange")</f>
        <v>0</v>
      </c>
      <c r="Q125" s="6">
        <f>COUNTIFS('post-audit-active-backlog-statu'!$D$2:$D$6832,M125,'post-audit-active-backlog-statu'!$G$2:$G$6832,"BlocksOnlyThisDomain")</f>
        <v>0</v>
      </c>
      <c r="R125" s="8">
        <f t="shared" si="3"/>
        <v>0.6666666666666666</v>
      </c>
      <c r="S125" s="1"/>
      <c r="T125" s="1"/>
      <c r="U125" s="1"/>
      <c r="V125" s="1"/>
    </row>
    <row r="126" spans="1:22" ht="20.100000000000001" customHeight="1" x14ac:dyDescent="0.25">
      <c r="A126" s="1"/>
      <c r="B126" s="1"/>
      <c r="C126" s="1"/>
      <c r="D126" s="1"/>
      <c r="E126" s="1"/>
      <c r="F126" s="1"/>
      <c r="G126" s="1"/>
      <c r="H126" s="1"/>
      <c r="I126" s="1"/>
      <c r="J126" s="1"/>
      <c r="K126" s="1"/>
      <c r="L126" s="1"/>
      <c r="M126" s="4" t="s">
        <v>9294</v>
      </c>
      <c r="N126" s="6">
        <f>COUNTIF('post-audit-active-backlog-statu'!$D$2:$D$6832,M126)</f>
        <v>3</v>
      </c>
      <c r="O126" s="6">
        <f>COUNTIFS('post-audit-active-backlog-statu'!$D$2:$D$6832,M126,'post-audit-active-backlog-statu'!$G$2:$G$6832,"Fixed")</f>
        <v>2</v>
      </c>
      <c r="P126" s="6">
        <f>COUNTIFS('post-audit-active-backlog-statu'!$D$2:$D$6832,M126,'post-audit-active-backlog-statu'!$G$2:$G$6832,"ReviewedNoChange")+COUNTIFS('post-audit-active-backlog-statu'!$D$2:$D$6832,M126,'post-audit-active-backlog-statu'!$G$2:$G$6832,"SafeNoChange")+COUNTIFS('post-audit-active-backlog-statu'!$D$2:$D$6832,M126,'post-audit-active-backlog-statu'!$G$2:$G$6832,"PolicyResolvedNoChange")</f>
        <v>0</v>
      </c>
      <c r="Q126" s="6">
        <f>COUNTIFS('post-audit-active-backlog-statu'!$D$2:$D$6832,M126,'post-audit-active-backlog-statu'!$G$2:$G$6832,"BlocksOnlyThisDomain")</f>
        <v>0</v>
      </c>
      <c r="R126" s="8">
        <f t="shared" si="3"/>
        <v>0.6666666666666666</v>
      </c>
      <c r="S126" s="1"/>
      <c r="T126" s="1"/>
      <c r="U126" s="1"/>
      <c r="V126" s="1"/>
    </row>
    <row r="127" spans="1:22" ht="20.100000000000001" customHeight="1" x14ac:dyDescent="0.25">
      <c r="A127" s="1"/>
      <c r="B127" s="1"/>
      <c r="C127" s="1"/>
      <c r="D127" s="1"/>
      <c r="E127" s="1"/>
      <c r="F127" s="1"/>
      <c r="G127" s="1"/>
      <c r="H127" s="1"/>
      <c r="I127" s="1"/>
      <c r="J127" s="1"/>
      <c r="K127" s="1"/>
      <c r="L127" s="1"/>
      <c r="M127" s="4" t="s">
        <v>15408</v>
      </c>
      <c r="N127" s="6">
        <f>COUNTIF('post-audit-active-backlog-statu'!$D$2:$D$6832,M127)</f>
        <v>3</v>
      </c>
      <c r="O127" s="6">
        <f>COUNTIFS('post-audit-active-backlog-statu'!$D$2:$D$6832,M127,'post-audit-active-backlog-statu'!$G$2:$G$6832,"Fixed")</f>
        <v>0</v>
      </c>
      <c r="P127" s="6">
        <f>COUNTIFS('post-audit-active-backlog-statu'!$D$2:$D$6832,M127,'post-audit-active-backlog-statu'!$G$2:$G$6832,"ReviewedNoChange")+COUNTIFS('post-audit-active-backlog-statu'!$D$2:$D$6832,M127,'post-audit-active-backlog-statu'!$G$2:$G$6832,"SafeNoChange")+COUNTIFS('post-audit-active-backlog-statu'!$D$2:$D$6832,M127,'post-audit-active-backlog-statu'!$G$2:$G$6832,"PolicyResolvedNoChange")</f>
        <v>2</v>
      </c>
      <c r="Q127" s="6">
        <f>COUNTIFS('post-audit-active-backlog-statu'!$D$2:$D$6832,M127,'post-audit-active-backlog-statu'!$G$2:$G$6832,"BlocksOnlyThisDomain")</f>
        <v>0</v>
      </c>
      <c r="R127" s="8">
        <f t="shared" si="3"/>
        <v>0.0</v>
      </c>
      <c r="S127" s="1"/>
      <c r="T127" s="1"/>
      <c r="U127" s="1"/>
      <c r="V127" s="1"/>
    </row>
    <row r="128" spans="1:22" ht="20.100000000000001" customHeight="1" x14ac:dyDescent="0.25">
      <c r="A128" s="1"/>
      <c r="B128" s="1"/>
      <c r="C128" s="1"/>
      <c r="D128" s="1"/>
      <c r="E128" s="1"/>
      <c r="F128" s="1"/>
      <c r="G128" s="1"/>
      <c r="H128" s="1"/>
      <c r="I128" s="1"/>
      <c r="J128" s="1"/>
      <c r="K128" s="1"/>
      <c r="L128" s="1"/>
      <c r="M128" s="4" t="s">
        <v>15991</v>
      </c>
      <c r="N128" s="6">
        <f>COUNTIF('post-audit-active-backlog-statu'!$D$2:$D$6832,M128)</f>
        <v>3</v>
      </c>
      <c r="O128" s="6">
        <f>COUNTIFS('post-audit-active-backlog-statu'!$D$2:$D$6832,M128,'post-audit-active-backlog-statu'!$G$2:$G$6832,"Fixed")</f>
        <v>0</v>
      </c>
      <c r="P128" s="6">
        <f>COUNTIFS('post-audit-active-backlog-statu'!$D$2:$D$6832,M128,'post-audit-active-backlog-statu'!$G$2:$G$6832,"ReviewedNoChange")+COUNTIFS('post-audit-active-backlog-statu'!$D$2:$D$6832,M128,'post-audit-active-backlog-statu'!$G$2:$G$6832,"SafeNoChange")+COUNTIFS('post-audit-active-backlog-statu'!$D$2:$D$6832,M128,'post-audit-active-backlog-statu'!$G$2:$G$6832,"PolicyResolvedNoChange")</f>
        <v>2</v>
      </c>
      <c r="Q128" s="6">
        <f>COUNTIFS('post-audit-active-backlog-statu'!$D$2:$D$6832,M128,'post-audit-active-backlog-statu'!$G$2:$G$6832,"BlocksOnlyThisDomain")</f>
        <v>0</v>
      </c>
      <c r="R128" s="8">
        <f t="shared" si="3"/>
        <v>0.0</v>
      </c>
      <c r="S128" s="1"/>
      <c r="T128" s="1"/>
      <c r="U128" s="1"/>
      <c r="V128" s="1"/>
    </row>
    <row r="129" spans="1:22" ht="20.100000000000001" customHeight="1" x14ac:dyDescent="0.25">
      <c r="A129" s="1"/>
      <c r="B129" s="1"/>
      <c r="C129" s="1"/>
      <c r="D129" s="1"/>
      <c r="E129" s="1"/>
      <c r="F129" s="1"/>
      <c r="G129" s="1"/>
      <c r="H129" s="1"/>
      <c r="I129" s="1"/>
      <c r="J129" s="1"/>
      <c r="K129" s="1"/>
      <c r="L129" s="1"/>
      <c r="M129" s="4" t="s">
        <v>21173</v>
      </c>
      <c r="N129" s="6">
        <f>COUNTIF('post-audit-active-backlog-statu'!$D$2:$D$6832,M129)</f>
        <v>3</v>
      </c>
      <c r="O129" s="6">
        <f>COUNTIFS('post-audit-active-backlog-statu'!$D$2:$D$6832,M129,'post-audit-active-backlog-statu'!$G$2:$G$6832,"Fixed")</f>
        <v>0</v>
      </c>
      <c r="P129" s="6">
        <f>COUNTIFS('post-audit-active-backlog-statu'!$D$2:$D$6832,M129,'post-audit-active-backlog-statu'!$G$2:$G$6832,"ReviewedNoChange")+COUNTIFS('post-audit-active-backlog-statu'!$D$2:$D$6832,M129,'post-audit-active-backlog-statu'!$G$2:$G$6832,"SafeNoChange")+COUNTIFS('post-audit-active-backlog-statu'!$D$2:$D$6832,M129,'post-audit-active-backlog-statu'!$G$2:$G$6832,"PolicyResolvedNoChange")</f>
        <v>3</v>
      </c>
      <c r="Q129" s="6">
        <f>COUNTIFS('post-audit-active-backlog-statu'!$D$2:$D$6832,M129,'post-audit-active-backlog-statu'!$G$2:$G$6832,"BlocksOnlyThisDomain")</f>
        <v>0</v>
      </c>
      <c r="R129" s="8">
        <f t="shared" si="3"/>
        <v>0.0</v>
      </c>
      <c r="S129" s="1"/>
      <c r="T129" s="1"/>
      <c r="U129" s="1"/>
      <c r="V129" s="1"/>
    </row>
    <row r="130" spans="1:22" ht="20.100000000000001" customHeight="1" x14ac:dyDescent="0.25">
      <c r="A130" s="1"/>
      <c r="B130" s="1"/>
      <c r="C130" s="1"/>
      <c r="D130" s="1"/>
      <c r="E130" s="1"/>
      <c r="F130" s="1"/>
      <c r="G130" s="1"/>
      <c r="H130" s="1"/>
      <c r="I130" s="1"/>
      <c r="J130" s="1"/>
      <c r="K130" s="1"/>
      <c r="L130" s="1"/>
      <c r="M130" s="4" t="s">
        <v>1461</v>
      </c>
      <c r="N130" s="6">
        <f>COUNTIF('post-audit-active-backlog-statu'!$D$2:$D$6832,M130)</f>
        <v>2</v>
      </c>
      <c r="O130" s="6">
        <f>COUNTIFS('post-audit-active-backlog-statu'!$D$2:$D$6832,M130,'post-audit-active-backlog-statu'!$G$2:$G$6832,"Fixed")</f>
        <v>0</v>
      </c>
      <c r="P130" s="6">
        <f>COUNTIFS('post-audit-active-backlog-statu'!$D$2:$D$6832,M130,'post-audit-active-backlog-statu'!$G$2:$G$6832,"ReviewedNoChange")+COUNTIFS('post-audit-active-backlog-statu'!$D$2:$D$6832,M130,'post-audit-active-backlog-statu'!$G$2:$G$6832,"SafeNoChange")+COUNTIFS('post-audit-active-backlog-statu'!$D$2:$D$6832,M130,'post-audit-active-backlog-statu'!$G$2:$G$6832,"PolicyResolvedNoChange")</f>
        <v>2</v>
      </c>
      <c r="Q130" s="6">
        <f>COUNTIFS('post-audit-active-backlog-statu'!$D$2:$D$6832,M130,'post-audit-active-backlog-statu'!$G$2:$G$6832,"BlocksOnlyThisDomain")</f>
        <v>0</v>
      </c>
      <c r="R130" s="8">
        <f t="shared" si="3"/>
        <v>0.0</v>
      </c>
      <c r="S130" s="1"/>
      <c r="T130" s="1"/>
      <c r="U130" s="1"/>
      <c r="V130" s="1"/>
    </row>
    <row r="131" spans="1:22" ht="20.100000000000001" customHeight="1" x14ac:dyDescent="0.25">
      <c r="A131" s="1"/>
      <c r="B131" s="1"/>
      <c r="C131" s="1"/>
      <c r="D131" s="1"/>
      <c r="E131" s="1"/>
      <c r="F131" s="1"/>
      <c r="G131" s="1"/>
      <c r="H131" s="1"/>
      <c r="I131" s="1"/>
      <c r="J131" s="1"/>
      <c r="K131" s="1"/>
      <c r="L131" s="1"/>
      <c r="M131" s="4" t="s">
        <v>1469</v>
      </c>
      <c r="N131" s="6">
        <f>COUNTIF('post-audit-active-backlog-statu'!$D$2:$D$6832,M131)</f>
        <v>2</v>
      </c>
      <c r="O131" s="6">
        <f>COUNTIFS('post-audit-active-backlog-statu'!$D$2:$D$6832,M131,'post-audit-active-backlog-statu'!$G$2:$G$6832,"Fixed")</f>
        <v>0</v>
      </c>
      <c r="P131" s="6">
        <f>COUNTIFS('post-audit-active-backlog-statu'!$D$2:$D$6832,M131,'post-audit-active-backlog-statu'!$G$2:$G$6832,"ReviewedNoChange")+COUNTIFS('post-audit-active-backlog-statu'!$D$2:$D$6832,M131,'post-audit-active-backlog-statu'!$G$2:$G$6832,"SafeNoChange")+COUNTIFS('post-audit-active-backlog-statu'!$D$2:$D$6832,M131,'post-audit-active-backlog-statu'!$G$2:$G$6832,"PolicyResolvedNoChange")</f>
        <v>1</v>
      </c>
      <c r="Q131" s="6">
        <f>COUNTIFS('post-audit-active-backlog-statu'!$D$2:$D$6832,M131,'post-audit-active-backlog-statu'!$G$2:$G$6832,"BlocksOnlyThisDomain")</f>
        <v>0</v>
      </c>
      <c r="R131" s="8">
        <f t="shared" si="3"/>
        <v>0.0</v>
      </c>
      <c r="S131" s="1"/>
      <c r="T131" s="1"/>
      <c r="U131" s="1"/>
      <c r="V131" s="1"/>
    </row>
    <row r="132" spans="1:22" ht="20.100000000000001" customHeight="1" x14ac:dyDescent="0.25">
      <c r="A132" s="1"/>
      <c r="B132" s="1"/>
      <c r="C132" s="1"/>
      <c r="D132" s="1"/>
      <c r="E132" s="1"/>
      <c r="F132" s="1"/>
      <c r="G132" s="1"/>
      <c r="H132" s="1"/>
      <c r="I132" s="1"/>
      <c r="J132" s="1"/>
      <c r="K132" s="1"/>
      <c r="L132" s="1"/>
      <c r="M132" s="4" t="s">
        <v>1595</v>
      </c>
      <c r="N132" s="6">
        <f>COUNTIF('post-audit-active-backlog-statu'!$D$2:$D$6832,M132)</f>
        <v>2</v>
      </c>
      <c r="O132" s="6">
        <f>COUNTIFS('post-audit-active-backlog-statu'!$D$2:$D$6832,M132,'post-audit-active-backlog-statu'!$G$2:$G$6832,"Fixed")</f>
        <v>0</v>
      </c>
      <c r="P132" s="6">
        <f>COUNTIFS('post-audit-active-backlog-statu'!$D$2:$D$6832,M132,'post-audit-active-backlog-statu'!$G$2:$G$6832,"ReviewedNoChange")+COUNTIFS('post-audit-active-backlog-statu'!$D$2:$D$6832,M132,'post-audit-active-backlog-statu'!$G$2:$G$6832,"SafeNoChange")+COUNTIFS('post-audit-active-backlog-statu'!$D$2:$D$6832,M132,'post-audit-active-backlog-statu'!$G$2:$G$6832,"PolicyResolvedNoChange")</f>
        <v>0</v>
      </c>
      <c r="Q132" s="6">
        <f>COUNTIFS('post-audit-active-backlog-statu'!$D$2:$D$6832,M132,'post-audit-active-backlog-statu'!$G$2:$G$6832,"BlocksOnlyThisDomain")</f>
        <v>0</v>
      </c>
      <c r="R132" s="8">
        <f t="shared" si="3"/>
        <v>0.0</v>
      </c>
      <c r="S132" s="1"/>
      <c r="T132" s="1"/>
      <c r="U132" s="1"/>
      <c r="V132" s="1"/>
    </row>
    <row r="133" spans="1:22" ht="20.100000000000001" customHeight="1" x14ac:dyDescent="0.25">
      <c r="A133" s="1"/>
      <c r="B133" s="1"/>
      <c r="C133" s="1"/>
      <c r="D133" s="1"/>
      <c r="E133" s="1"/>
      <c r="F133" s="1"/>
      <c r="G133" s="1"/>
      <c r="H133" s="1"/>
      <c r="I133" s="1"/>
      <c r="J133" s="1"/>
      <c r="K133" s="1"/>
      <c r="L133" s="1"/>
      <c r="M133" s="4" t="s">
        <v>1878</v>
      </c>
      <c r="N133" s="6">
        <f>COUNTIF('post-audit-active-backlog-statu'!$D$2:$D$6832,M133)</f>
        <v>2</v>
      </c>
      <c r="O133" s="6">
        <f>COUNTIFS('post-audit-active-backlog-statu'!$D$2:$D$6832,M133,'post-audit-active-backlog-statu'!$G$2:$G$6832,"Fixed")</f>
        <v>1</v>
      </c>
      <c r="P133" s="6">
        <f>COUNTIFS('post-audit-active-backlog-statu'!$D$2:$D$6832,M133,'post-audit-active-backlog-statu'!$G$2:$G$6832,"ReviewedNoChange")+COUNTIFS('post-audit-active-backlog-statu'!$D$2:$D$6832,M133,'post-audit-active-backlog-statu'!$G$2:$G$6832,"SafeNoChange")+COUNTIFS('post-audit-active-backlog-statu'!$D$2:$D$6832,M133,'post-audit-active-backlog-statu'!$G$2:$G$6832,"PolicyResolvedNoChange")</f>
        <v>1</v>
      </c>
      <c r="Q133" s="6">
        <f>COUNTIFS('post-audit-active-backlog-statu'!$D$2:$D$6832,M133,'post-audit-active-backlog-statu'!$G$2:$G$6832,"BlocksOnlyThisDomain")</f>
        <v>0</v>
      </c>
      <c r="R133" s="8">
        <f t="shared" ref="R133:R196" si="4">O133/N133</f>
        <v>0.5</v>
      </c>
      <c r="S133" s="1"/>
      <c r="T133" s="1"/>
      <c r="U133" s="1"/>
      <c r="V133" s="1"/>
    </row>
    <row r="134" spans="1:22" ht="20.100000000000001" customHeight="1" x14ac:dyDescent="0.25">
      <c r="A134" s="1"/>
      <c r="B134" s="1"/>
      <c r="C134" s="1"/>
      <c r="D134" s="1"/>
      <c r="E134" s="1"/>
      <c r="F134" s="1"/>
      <c r="G134" s="1"/>
      <c r="H134" s="1"/>
      <c r="I134" s="1"/>
      <c r="J134" s="1"/>
      <c r="K134" s="1"/>
      <c r="L134" s="1"/>
      <c r="M134" s="4" t="s">
        <v>2710</v>
      </c>
      <c r="N134" s="6">
        <f>COUNTIF('post-audit-active-backlog-statu'!$D$2:$D$6832,M134)</f>
        <v>2</v>
      </c>
      <c r="O134" s="6">
        <f>COUNTIFS('post-audit-active-backlog-statu'!$D$2:$D$6832,M134,'post-audit-active-backlog-statu'!$G$2:$G$6832,"Fixed")</f>
        <v>1</v>
      </c>
      <c r="P134" s="6">
        <f>COUNTIFS('post-audit-active-backlog-statu'!$D$2:$D$6832,M134,'post-audit-active-backlog-statu'!$G$2:$G$6832,"ReviewedNoChange")+COUNTIFS('post-audit-active-backlog-statu'!$D$2:$D$6832,M134,'post-audit-active-backlog-statu'!$G$2:$G$6832,"SafeNoChange")+COUNTIFS('post-audit-active-backlog-statu'!$D$2:$D$6832,M134,'post-audit-active-backlog-statu'!$G$2:$G$6832,"PolicyResolvedNoChange")</f>
        <v>1</v>
      </c>
      <c r="Q134" s="6">
        <f>COUNTIFS('post-audit-active-backlog-statu'!$D$2:$D$6832,M134,'post-audit-active-backlog-statu'!$G$2:$G$6832,"BlocksOnlyThisDomain")</f>
        <v>0</v>
      </c>
      <c r="R134" s="8">
        <f t="shared" si="4"/>
        <v>0.5</v>
      </c>
      <c r="S134" s="1"/>
      <c r="T134" s="1"/>
      <c r="U134" s="1"/>
      <c r="V134" s="1"/>
    </row>
    <row r="135" spans="1:22" ht="20.100000000000001" customHeight="1" x14ac:dyDescent="0.25">
      <c r="A135" s="1"/>
      <c r="B135" s="1"/>
      <c r="C135" s="1"/>
      <c r="D135" s="1"/>
      <c r="E135" s="1"/>
      <c r="F135" s="1"/>
      <c r="G135" s="1"/>
      <c r="H135" s="1"/>
      <c r="I135" s="1"/>
      <c r="J135" s="1"/>
      <c r="K135" s="1"/>
      <c r="L135" s="1"/>
      <c r="M135" s="4" t="s">
        <v>2864</v>
      </c>
      <c r="N135" s="6">
        <f>COUNTIF('post-audit-active-backlog-statu'!$D$2:$D$6832,M135)</f>
        <v>2</v>
      </c>
      <c r="O135" s="6">
        <f>COUNTIFS('post-audit-active-backlog-statu'!$D$2:$D$6832,M135,'post-audit-active-backlog-statu'!$G$2:$G$6832,"Fixed")</f>
        <v>2</v>
      </c>
      <c r="P135" s="6">
        <f>COUNTIFS('post-audit-active-backlog-statu'!$D$2:$D$6832,M135,'post-audit-active-backlog-statu'!$G$2:$G$6832,"ReviewedNoChange")+COUNTIFS('post-audit-active-backlog-statu'!$D$2:$D$6832,M135,'post-audit-active-backlog-statu'!$G$2:$G$6832,"SafeNoChange")+COUNTIFS('post-audit-active-backlog-statu'!$D$2:$D$6832,M135,'post-audit-active-backlog-statu'!$G$2:$G$6832,"PolicyResolvedNoChange")</f>
        <v>0</v>
      </c>
      <c r="Q135" s="6">
        <f>COUNTIFS('post-audit-active-backlog-statu'!$D$2:$D$6832,M135,'post-audit-active-backlog-statu'!$G$2:$G$6832,"BlocksOnlyThisDomain")</f>
        <v>0</v>
      </c>
      <c r="R135" s="8">
        <f t="shared" si="4"/>
        <v>1.0</v>
      </c>
      <c r="S135" s="1"/>
      <c r="T135" s="1"/>
      <c r="U135" s="1"/>
      <c r="V135" s="1"/>
    </row>
    <row r="136" spans="1:22" ht="20.100000000000001" customHeight="1" x14ac:dyDescent="0.25">
      <c r="A136" s="1"/>
      <c r="B136" s="1"/>
      <c r="C136" s="1"/>
      <c r="D136" s="1"/>
      <c r="E136" s="1"/>
      <c r="F136" s="1"/>
      <c r="G136" s="1"/>
      <c r="H136" s="1"/>
      <c r="I136" s="1"/>
      <c r="J136" s="1"/>
      <c r="K136" s="1"/>
      <c r="L136" s="1"/>
      <c r="M136" s="4" t="s">
        <v>4057</v>
      </c>
      <c r="N136" s="6">
        <f>COUNTIF('post-audit-active-backlog-statu'!$D$2:$D$6832,M136)</f>
        <v>2</v>
      </c>
      <c r="O136" s="6">
        <f>COUNTIFS('post-audit-active-backlog-statu'!$D$2:$D$6832,M136,'post-audit-active-backlog-statu'!$G$2:$G$6832,"Fixed")</f>
        <v>1</v>
      </c>
      <c r="P136" s="6">
        <f>COUNTIFS('post-audit-active-backlog-statu'!$D$2:$D$6832,M136,'post-audit-active-backlog-statu'!$G$2:$G$6832,"ReviewedNoChange")+COUNTIFS('post-audit-active-backlog-statu'!$D$2:$D$6832,M136,'post-audit-active-backlog-statu'!$G$2:$G$6832,"SafeNoChange")+COUNTIFS('post-audit-active-backlog-statu'!$D$2:$D$6832,M136,'post-audit-active-backlog-statu'!$G$2:$G$6832,"PolicyResolvedNoChange")</f>
        <v>1</v>
      </c>
      <c r="Q136" s="6">
        <f>COUNTIFS('post-audit-active-backlog-statu'!$D$2:$D$6832,M136,'post-audit-active-backlog-statu'!$G$2:$G$6832,"BlocksOnlyThisDomain")</f>
        <v>0</v>
      </c>
      <c r="R136" s="8">
        <f t="shared" si="4"/>
        <v>0.5</v>
      </c>
      <c r="S136" s="1"/>
      <c r="T136" s="1"/>
      <c r="U136" s="1"/>
      <c r="V136" s="1"/>
    </row>
    <row r="137" spans="1:22" ht="20.100000000000001" customHeight="1" x14ac:dyDescent="0.25">
      <c r="A137" s="1"/>
      <c r="B137" s="1"/>
      <c r="C137" s="1"/>
      <c r="D137" s="1"/>
      <c r="E137" s="1"/>
      <c r="F137" s="1"/>
      <c r="G137" s="1"/>
      <c r="H137" s="1"/>
      <c r="I137" s="1"/>
      <c r="J137" s="1"/>
      <c r="K137" s="1"/>
      <c r="L137" s="1"/>
      <c r="M137" s="4" t="s">
        <v>5046</v>
      </c>
      <c r="N137" s="6">
        <f>COUNTIF('post-audit-active-backlog-statu'!$D$2:$D$6832,M137)</f>
        <v>2</v>
      </c>
      <c r="O137" s="6">
        <f>COUNTIFS('post-audit-active-backlog-statu'!$D$2:$D$6832,M137,'post-audit-active-backlog-statu'!$G$2:$G$6832,"Fixed")</f>
        <v>1</v>
      </c>
      <c r="P137" s="6">
        <f>COUNTIFS('post-audit-active-backlog-statu'!$D$2:$D$6832,M137,'post-audit-active-backlog-statu'!$G$2:$G$6832,"ReviewedNoChange")+COUNTIFS('post-audit-active-backlog-statu'!$D$2:$D$6832,M137,'post-audit-active-backlog-statu'!$G$2:$G$6832,"SafeNoChange")+COUNTIFS('post-audit-active-backlog-statu'!$D$2:$D$6832,M137,'post-audit-active-backlog-statu'!$G$2:$G$6832,"PolicyResolvedNoChange")</f>
        <v>1</v>
      </c>
      <c r="Q137" s="6">
        <f>COUNTIFS('post-audit-active-backlog-statu'!$D$2:$D$6832,M137,'post-audit-active-backlog-statu'!$G$2:$G$6832,"BlocksOnlyThisDomain")</f>
        <v>0</v>
      </c>
      <c r="R137" s="8">
        <f t="shared" si="4"/>
        <v>0.5</v>
      </c>
      <c r="S137" s="1"/>
      <c r="T137" s="1"/>
      <c r="U137" s="1"/>
      <c r="V137" s="1"/>
    </row>
    <row r="138" spans="1:22" ht="20.100000000000001" customHeight="1" x14ac:dyDescent="0.25">
      <c r="A138" s="1"/>
      <c r="B138" s="1"/>
      <c r="C138" s="1"/>
      <c r="D138" s="1"/>
      <c r="E138" s="1"/>
      <c r="F138" s="1"/>
      <c r="G138" s="1"/>
      <c r="H138" s="1"/>
      <c r="I138" s="1"/>
      <c r="J138" s="1"/>
      <c r="K138" s="1"/>
      <c r="L138" s="1"/>
      <c r="M138" s="4" t="s">
        <v>6580</v>
      </c>
      <c r="N138" s="6">
        <f>COUNTIF('post-audit-active-backlog-statu'!$D$2:$D$6832,M138)</f>
        <v>2</v>
      </c>
      <c r="O138" s="6">
        <f>COUNTIFS('post-audit-active-backlog-statu'!$D$2:$D$6832,M138,'post-audit-active-backlog-statu'!$G$2:$G$6832,"Fixed")</f>
        <v>1</v>
      </c>
      <c r="P138" s="6">
        <f>COUNTIFS('post-audit-active-backlog-statu'!$D$2:$D$6832,M138,'post-audit-active-backlog-statu'!$G$2:$G$6832,"ReviewedNoChange")+COUNTIFS('post-audit-active-backlog-statu'!$D$2:$D$6832,M138,'post-audit-active-backlog-statu'!$G$2:$G$6832,"SafeNoChange")+COUNTIFS('post-audit-active-backlog-statu'!$D$2:$D$6832,M138,'post-audit-active-backlog-statu'!$G$2:$G$6832,"PolicyResolvedNoChange")</f>
        <v>1</v>
      </c>
      <c r="Q138" s="6">
        <f>COUNTIFS('post-audit-active-backlog-statu'!$D$2:$D$6832,M138,'post-audit-active-backlog-statu'!$G$2:$G$6832,"BlocksOnlyThisDomain")</f>
        <v>0</v>
      </c>
      <c r="R138" s="8">
        <f t="shared" si="4"/>
        <v>0.5</v>
      </c>
      <c r="S138" s="1"/>
      <c r="T138" s="1"/>
      <c r="U138" s="1"/>
      <c r="V138" s="1"/>
    </row>
    <row r="139" spans="1:22" ht="20.100000000000001" customHeight="1" x14ac:dyDescent="0.25">
      <c r="A139" s="1"/>
      <c r="B139" s="1"/>
      <c r="C139" s="1"/>
      <c r="D139" s="1"/>
      <c r="E139" s="1"/>
      <c r="F139" s="1"/>
      <c r="G139" s="1"/>
      <c r="H139" s="1"/>
      <c r="I139" s="1"/>
      <c r="J139" s="1"/>
      <c r="K139" s="1"/>
      <c r="L139" s="1"/>
      <c r="M139" s="4" t="s">
        <v>6592</v>
      </c>
      <c r="N139" s="6">
        <f>COUNTIF('post-audit-active-backlog-statu'!$D$2:$D$6832,M139)</f>
        <v>2</v>
      </c>
      <c r="O139" s="6">
        <f>COUNTIFS('post-audit-active-backlog-statu'!$D$2:$D$6832,M139,'post-audit-active-backlog-statu'!$G$2:$G$6832,"Fixed")</f>
        <v>1</v>
      </c>
      <c r="P139" s="6">
        <f>COUNTIFS('post-audit-active-backlog-statu'!$D$2:$D$6832,M139,'post-audit-active-backlog-statu'!$G$2:$G$6832,"ReviewedNoChange")+COUNTIFS('post-audit-active-backlog-statu'!$D$2:$D$6832,M139,'post-audit-active-backlog-statu'!$G$2:$G$6832,"SafeNoChange")+COUNTIFS('post-audit-active-backlog-statu'!$D$2:$D$6832,M139,'post-audit-active-backlog-statu'!$G$2:$G$6832,"PolicyResolvedNoChange")</f>
        <v>1</v>
      </c>
      <c r="Q139" s="6">
        <f>COUNTIFS('post-audit-active-backlog-statu'!$D$2:$D$6832,M139,'post-audit-active-backlog-statu'!$G$2:$G$6832,"BlocksOnlyThisDomain")</f>
        <v>0</v>
      </c>
      <c r="R139" s="8">
        <f t="shared" si="4"/>
        <v>0.5</v>
      </c>
      <c r="S139" s="1"/>
      <c r="T139" s="1"/>
      <c r="U139" s="1"/>
      <c r="V139" s="1"/>
    </row>
    <row r="140" spans="1:22" ht="20.100000000000001" customHeight="1" x14ac:dyDescent="0.25">
      <c r="A140" s="1"/>
      <c r="B140" s="1"/>
      <c r="C140" s="1"/>
      <c r="D140" s="1"/>
      <c r="E140" s="1"/>
      <c r="F140" s="1"/>
      <c r="G140" s="1"/>
      <c r="H140" s="1"/>
      <c r="I140" s="1"/>
      <c r="J140" s="1"/>
      <c r="K140" s="1"/>
      <c r="L140" s="1"/>
      <c r="M140" s="4" t="s">
        <v>9245</v>
      </c>
      <c r="N140" s="6">
        <f>COUNTIF('post-audit-active-backlog-statu'!$D$2:$D$6832,M140)</f>
        <v>2</v>
      </c>
      <c r="O140" s="6">
        <f>COUNTIFS('post-audit-active-backlog-statu'!$D$2:$D$6832,M140,'post-audit-active-backlog-statu'!$G$2:$G$6832,"Fixed")</f>
        <v>2</v>
      </c>
      <c r="P140" s="6">
        <f>COUNTIFS('post-audit-active-backlog-statu'!$D$2:$D$6832,M140,'post-audit-active-backlog-statu'!$G$2:$G$6832,"ReviewedNoChange")+COUNTIFS('post-audit-active-backlog-statu'!$D$2:$D$6832,M140,'post-audit-active-backlog-statu'!$G$2:$G$6832,"SafeNoChange")+COUNTIFS('post-audit-active-backlog-statu'!$D$2:$D$6832,M140,'post-audit-active-backlog-statu'!$G$2:$G$6832,"PolicyResolvedNoChange")</f>
        <v>0</v>
      </c>
      <c r="Q140" s="6">
        <f>COUNTIFS('post-audit-active-backlog-statu'!$D$2:$D$6832,M140,'post-audit-active-backlog-statu'!$G$2:$G$6832,"BlocksOnlyThisDomain")</f>
        <v>0</v>
      </c>
      <c r="R140" s="8">
        <f t="shared" si="4"/>
        <v>1.0</v>
      </c>
      <c r="S140" s="1"/>
      <c r="T140" s="1"/>
      <c r="U140" s="1"/>
      <c r="V140" s="1"/>
    </row>
    <row r="141" spans="1:22" ht="20.100000000000001" customHeight="1" x14ac:dyDescent="0.25">
      <c r="A141" s="1"/>
      <c r="B141" s="1"/>
      <c r="C141" s="1"/>
      <c r="D141" s="1"/>
      <c r="E141" s="1"/>
      <c r="F141" s="1"/>
      <c r="G141" s="1"/>
      <c r="H141" s="1"/>
      <c r="I141" s="1"/>
      <c r="J141" s="1"/>
      <c r="K141" s="1"/>
      <c r="L141" s="1"/>
      <c r="M141" s="4" t="s">
        <v>9283</v>
      </c>
      <c r="N141" s="6">
        <f>COUNTIF('post-audit-active-backlog-statu'!$D$2:$D$6832,M141)</f>
        <v>2</v>
      </c>
      <c r="O141" s="6">
        <f>COUNTIFS('post-audit-active-backlog-statu'!$D$2:$D$6832,M141,'post-audit-active-backlog-statu'!$G$2:$G$6832,"Fixed")</f>
        <v>2</v>
      </c>
      <c r="P141" s="6">
        <f>COUNTIFS('post-audit-active-backlog-statu'!$D$2:$D$6832,M141,'post-audit-active-backlog-statu'!$G$2:$G$6832,"ReviewedNoChange")+COUNTIFS('post-audit-active-backlog-statu'!$D$2:$D$6832,M141,'post-audit-active-backlog-statu'!$G$2:$G$6832,"SafeNoChange")+COUNTIFS('post-audit-active-backlog-statu'!$D$2:$D$6832,M141,'post-audit-active-backlog-statu'!$G$2:$G$6832,"PolicyResolvedNoChange")</f>
        <v>0</v>
      </c>
      <c r="Q141" s="6">
        <f>COUNTIFS('post-audit-active-backlog-statu'!$D$2:$D$6832,M141,'post-audit-active-backlog-statu'!$G$2:$G$6832,"BlocksOnlyThisDomain")</f>
        <v>0</v>
      </c>
      <c r="R141" s="8">
        <f t="shared" si="4"/>
        <v>1.0</v>
      </c>
      <c r="S141" s="1"/>
      <c r="T141" s="1"/>
      <c r="U141" s="1"/>
      <c r="V141" s="1"/>
    </row>
    <row r="142" spans="1:22" ht="20.100000000000001" customHeight="1" x14ac:dyDescent="0.25">
      <c r="A142" s="1"/>
      <c r="B142" s="1"/>
      <c r="C142" s="1"/>
      <c r="D142" s="1"/>
      <c r="E142" s="1"/>
      <c r="F142" s="1"/>
      <c r="G142" s="1"/>
      <c r="H142" s="1"/>
      <c r="I142" s="1"/>
      <c r="J142" s="1"/>
      <c r="K142" s="1"/>
      <c r="L142" s="1"/>
      <c r="M142" s="4" t="s">
        <v>9310</v>
      </c>
      <c r="N142" s="6">
        <f>COUNTIF('post-audit-active-backlog-statu'!$D$2:$D$6832,M142)</f>
        <v>2</v>
      </c>
      <c r="O142" s="6">
        <f>COUNTIFS('post-audit-active-backlog-statu'!$D$2:$D$6832,M142,'post-audit-active-backlog-statu'!$G$2:$G$6832,"Fixed")</f>
        <v>2</v>
      </c>
      <c r="P142" s="6">
        <f>COUNTIFS('post-audit-active-backlog-statu'!$D$2:$D$6832,M142,'post-audit-active-backlog-statu'!$G$2:$G$6832,"ReviewedNoChange")+COUNTIFS('post-audit-active-backlog-statu'!$D$2:$D$6832,M142,'post-audit-active-backlog-statu'!$G$2:$G$6832,"SafeNoChange")+COUNTIFS('post-audit-active-backlog-statu'!$D$2:$D$6832,M142,'post-audit-active-backlog-statu'!$G$2:$G$6832,"PolicyResolvedNoChange")</f>
        <v>0</v>
      </c>
      <c r="Q142" s="6">
        <f>COUNTIFS('post-audit-active-backlog-statu'!$D$2:$D$6832,M142,'post-audit-active-backlog-statu'!$G$2:$G$6832,"BlocksOnlyThisDomain")</f>
        <v>0</v>
      </c>
      <c r="R142" s="8">
        <f t="shared" si="4"/>
        <v>1.0</v>
      </c>
      <c r="S142" s="1"/>
      <c r="T142" s="1"/>
      <c r="U142" s="1"/>
      <c r="V142" s="1"/>
    </row>
    <row r="143" spans="1:22" ht="20.100000000000001" customHeight="1" x14ac:dyDescent="0.25">
      <c r="A143" s="1"/>
      <c r="B143" s="1"/>
      <c r="C143" s="1"/>
      <c r="D143" s="1"/>
      <c r="E143" s="1"/>
      <c r="F143" s="1"/>
      <c r="G143" s="1"/>
      <c r="H143" s="1"/>
      <c r="I143" s="1"/>
      <c r="J143" s="1"/>
      <c r="K143" s="1"/>
      <c r="L143" s="1"/>
      <c r="M143" s="4" t="s">
        <v>15238</v>
      </c>
      <c r="N143" s="6">
        <f>COUNTIF('post-audit-active-backlog-statu'!$D$2:$D$6832,M143)</f>
        <v>2</v>
      </c>
      <c r="O143" s="6">
        <f>COUNTIFS('post-audit-active-backlog-statu'!$D$2:$D$6832,M143,'post-audit-active-backlog-statu'!$G$2:$G$6832,"Fixed")</f>
        <v>0</v>
      </c>
      <c r="P143" s="6">
        <f>COUNTIFS('post-audit-active-backlog-statu'!$D$2:$D$6832,M143,'post-audit-active-backlog-statu'!$G$2:$G$6832,"ReviewedNoChange")+COUNTIFS('post-audit-active-backlog-statu'!$D$2:$D$6832,M143,'post-audit-active-backlog-statu'!$G$2:$G$6832,"SafeNoChange")+COUNTIFS('post-audit-active-backlog-statu'!$D$2:$D$6832,M143,'post-audit-active-backlog-statu'!$G$2:$G$6832,"PolicyResolvedNoChange")</f>
        <v>1</v>
      </c>
      <c r="Q143" s="6">
        <f>COUNTIFS('post-audit-active-backlog-statu'!$D$2:$D$6832,M143,'post-audit-active-backlog-statu'!$G$2:$G$6832,"BlocksOnlyThisDomain")</f>
        <v>0</v>
      </c>
      <c r="R143" s="8">
        <f t="shared" si="4"/>
        <v>0.0</v>
      </c>
      <c r="S143" s="1"/>
      <c r="T143" s="1"/>
      <c r="U143" s="1"/>
      <c r="V143" s="1"/>
    </row>
    <row r="144" spans="1:22" ht="20.100000000000001" customHeight="1" x14ac:dyDescent="0.25">
      <c r="A144" s="1"/>
      <c r="B144" s="1"/>
      <c r="C144" s="1"/>
      <c r="D144" s="1"/>
      <c r="E144" s="1"/>
      <c r="F144" s="1"/>
      <c r="G144" s="1"/>
      <c r="H144" s="1"/>
      <c r="I144" s="1"/>
      <c r="J144" s="1"/>
      <c r="K144" s="1"/>
      <c r="L144" s="1"/>
      <c r="M144" s="4" t="s">
        <v>25667</v>
      </c>
      <c r="N144" s="6">
        <f>COUNTIF('post-audit-active-backlog-statu'!$D$2:$D$6832,M144)</f>
        <v>2</v>
      </c>
      <c r="O144" s="6">
        <f>COUNTIFS('post-audit-active-backlog-statu'!$D$2:$D$6832,M144,'post-audit-active-backlog-statu'!$G$2:$G$6832,"Fixed")</f>
        <v>0</v>
      </c>
      <c r="P144" s="6">
        <f>COUNTIFS('post-audit-active-backlog-statu'!$D$2:$D$6832,M144,'post-audit-active-backlog-statu'!$G$2:$G$6832,"ReviewedNoChange")+COUNTIFS('post-audit-active-backlog-statu'!$D$2:$D$6832,M144,'post-audit-active-backlog-statu'!$G$2:$G$6832,"SafeNoChange")+COUNTIFS('post-audit-active-backlog-statu'!$D$2:$D$6832,M144,'post-audit-active-backlog-statu'!$G$2:$G$6832,"PolicyResolvedNoChange")</f>
        <v>0</v>
      </c>
      <c r="Q144" s="6">
        <f>COUNTIFS('post-audit-active-backlog-statu'!$D$2:$D$6832,M144,'post-audit-active-backlog-statu'!$G$2:$G$6832,"BlocksOnlyThisDomain")</f>
        <v>0</v>
      </c>
      <c r="R144" s="8">
        <f t="shared" si="4"/>
        <v>0.0</v>
      </c>
      <c r="S144" s="1"/>
      <c r="T144" s="1"/>
      <c r="U144" s="1"/>
      <c r="V144" s="1"/>
    </row>
    <row r="145" spans="1:22" ht="20.100000000000001" customHeight="1" x14ac:dyDescent="0.25">
      <c r="A145" s="1"/>
      <c r="B145" s="1"/>
      <c r="C145" s="1"/>
      <c r="D145" s="1"/>
      <c r="E145" s="1"/>
      <c r="F145" s="1"/>
      <c r="G145" s="1"/>
      <c r="H145" s="1"/>
      <c r="I145" s="1"/>
      <c r="J145" s="1"/>
      <c r="K145" s="1"/>
      <c r="L145" s="1"/>
      <c r="M145" s="4" t="s">
        <v>1367</v>
      </c>
      <c r="N145" s="6">
        <f>COUNTIF('post-audit-active-backlog-statu'!$D$2:$D$6832,M145)</f>
        <v>1</v>
      </c>
      <c r="O145" s="6">
        <f>COUNTIFS('post-audit-active-backlog-statu'!$D$2:$D$6832,M145,'post-audit-active-backlog-statu'!$G$2:$G$6832,"Fixed")</f>
        <v>0</v>
      </c>
      <c r="P145" s="6">
        <f>COUNTIFS('post-audit-active-backlog-statu'!$D$2:$D$6832,M145,'post-audit-active-backlog-statu'!$G$2:$G$6832,"ReviewedNoChange")+COUNTIFS('post-audit-active-backlog-statu'!$D$2:$D$6832,M145,'post-audit-active-backlog-statu'!$G$2:$G$6832,"SafeNoChange")+COUNTIFS('post-audit-active-backlog-statu'!$D$2:$D$6832,M145,'post-audit-active-backlog-statu'!$G$2:$G$6832,"PolicyResolvedNoChange")</f>
        <v>0</v>
      </c>
      <c r="Q145" s="6">
        <f>COUNTIFS('post-audit-active-backlog-statu'!$D$2:$D$6832,M145,'post-audit-active-backlog-statu'!$G$2:$G$6832,"BlocksOnlyThisDomain")</f>
        <v>0</v>
      </c>
      <c r="R145" s="8">
        <f t="shared" si="4"/>
        <v>0.0</v>
      </c>
      <c r="S145" s="1"/>
      <c r="T145" s="1"/>
      <c r="U145" s="1"/>
      <c r="V145" s="1"/>
    </row>
    <row r="146" spans="1:22" ht="20.100000000000001" customHeight="1" x14ac:dyDescent="0.25">
      <c r="A146" s="1"/>
      <c r="B146" s="1"/>
      <c r="C146" s="1"/>
      <c r="D146" s="1"/>
      <c r="E146" s="1"/>
      <c r="F146" s="1"/>
      <c r="G146" s="1"/>
      <c r="H146" s="1"/>
      <c r="I146" s="1"/>
      <c r="J146" s="1"/>
      <c r="K146" s="1"/>
      <c r="L146" s="1"/>
      <c r="M146" s="4" t="s">
        <v>3345</v>
      </c>
      <c r="N146" s="6">
        <f>COUNTIF('post-audit-active-backlog-statu'!$D$2:$D$6832,M146)</f>
        <v>1</v>
      </c>
      <c r="O146" s="6">
        <f>COUNTIFS('post-audit-active-backlog-statu'!$D$2:$D$6832,M146,'post-audit-active-backlog-statu'!$G$2:$G$6832,"Fixed")</f>
        <v>1</v>
      </c>
      <c r="P146" s="6">
        <f>COUNTIFS('post-audit-active-backlog-statu'!$D$2:$D$6832,M146,'post-audit-active-backlog-statu'!$G$2:$G$6832,"ReviewedNoChange")+COUNTIFS('post-audit-active-backlog-statu'!$D$2:$D$6832,M146,'post-audit-active-backlog-statu'!$G$2:$G$6832,"SafeNoChange")+COUNTIFS('post-audit-active-backlog-statu'!$D$2:$D$6832,M146,'post-audit-active-backlog-statu'!$G$2:$G$6832,"PolicyResolvedNoChange")</f>
        <v>0</v>
      </c>
      <c r="Q146" s="6">
        <f>COUNTIFS('post-audit-active-backlog-statu'!$D$2:$D$6832,M146,'post-audit-active-backlog-statu'!$G$2:$G$6832,"BlocksOnlyThisDomain")</f>
        <v>0</v>
      </c>
      <c r="R146" s="8">
        <f t="shared" si="4"/>
        <v>1.0</v>
      </c>
      <c r="S146" s="1"/>
      <c r="T146" s="1"/>
      <c r="U146" s="1"/>
      <c r="V146" s="1"/>
    </row>
    <row r="147" spans="1:22" ht="20.100000000000001" customHeight="1" x14ac:dyDescent="0.25">
      <c r="A147" s="1"/>
      <c r="B147" s="1"/>
      <c r="C147" s="1"/>
      <c r="D147" s="1"/>
      <c r="E147" s="1"/>
      <c r="F147" s="1"/>
      <c r="G147" s="1"/>
      <c r="H147" s="1"/>
      <c r="I147" s="1"/>
      <c r="J147" s="1"/>
      <c r="K147" s="1"/>
      <c r="L147" s="1"/>
      <c r="M147" s="4" t="s">
        <v>4093</v>
      </c>
      <c r="N147" s="6">
        <f>COUNTIF('post-audit-active-backlog-statu'!$D$2:$D$6832,M147)</f>
        <v>1</v>
      </c>
      <c r="O147" s="6">
        <f>COUNTIFS('post-audit-active-backlog-statu'!$D$2:$D$6832,M147,'post-audit-active-backlog-statu'!$G$2:$G$6832,"Fixed")</f>
        <v>1</v>
      </c>
      <c r="P147" s="6">
        <f>COUNTIFS('post-audit-active-backlog-statu'!$D$2:$D$6832,M147,'post-audit-active-backlog-statu'!$G$2:$G$6832,"ReviewedNoChange")+COUNTIFS('post-audit-active-backlog-statu'!$D$2:$D$6832,M147,'post-audit-active-backlog-statu'!$G$2:$G$6832,"SafeNoChange")+COUNTIFS('post-audit-active-backlog-statu'!$D$2:$D$6832,M147,'post-audit-active-backlog-statu'!$G$2:$G$6832,"PolicyResolvedNoChange")</f>
        <v>0</v>
      </c>
      <c r="Q147" s="6">
        <f>COUNTIFS('post-audit-active-backlog-statu'!$D$2:$D$6832,M147,'post-audit-active-backlog-statu'!$G$2:$G$6832,"BlocksOnlyThisDomain")</f>
        <v>0</v>
      </c>
      <c r="R147" s="8">
        <f t="shared" si="4"/>
        <v>1.0</v>
      </c>
      <c r="S147" s="1"/>
      <c r="T147" s="1"/>
      <c r="U147" s="1"/>
      <c r="V147" s="1"/>
    </row>
    <row r="148" spans="1:22" ht="20.100000000000001" customHeight="1" x14ac:dyDescent="0.25">
      <c r="A148" s="1"/>
      <c r="B148" s="1"/>
      <c r="C148" s="1"/>
      <c r="D148" s="1"/>
      <c r="E148" s="1"/>
      <c r="F148" s="1"/>
      <c r="G148" s="1"/>
      <c r="H148" s="1"/>
      <c r="I148" s="1"/>
      <c r="J148" s="1"/>
      <c r="K148" s="1"/>
      <c r="L148" s="1"/>
      <c r="M148" s="4" t="s">
        <v>4410</v>
      </c>
      <c r="N148" s="6">
        <f>COUNTIF('post-audit-active-backlog-statu'!$D$2:$D$6832,M148)</f>
        <v>1</v>
      </c>
      <c r="O148" s="6">
        <f>COUNTIFS('post-audit-active-backlog-statu'!$D$2:$D$6832,M148,'post-audit-active-backlog-statu'!$G$2:$G$6832,"Fixed")</f>
        <v>1</v>
      </c>
      <c r="P148" s="6">
        <f>COUNTIFS('post-audit-active-backlog-statu'!$D$2:$D$6832,M148,'post-audit-active-backlog-statu'!$G$2:$G$6832,"ReviewedNoChange")+COUNTIFS('post-audit-active-backlog-statu'!$D$2:$D$6832,M148,'post-audit-active-backlog-statu'!$G$2:$G$6832,"SafeNoChange")+COUNTIFS('post-audit-active-backlog-statu'!$D$2:$D$6832,M148,'post-audit-active-backlog-statu'!$G$2:$G$6832,"PolicyResolvedNoChange")</f>
        <v>0</v>
      </c>
      <c r="Q148" s="6">
        <f>COUNTIFS('post-audit-active-backlog-statu'!$D$2:$D$6832,M148,'post-audit-active-backlog-statu'!$G$2:$G$6832,"BlocksOnlyThisDomain")</f>
        <v>0</v>
      </c>
      <c r="R148" s="8">
        <f t="shared" si="4"/>
        <v>1.0</v>
      </c>
      <c r="S148" s="1"/>
      <c r="T148" s="1"/>
      <c r="U148" s="1"/>
      <c r="V148" s="1"/>
    </row>
    <row r="149" spans="1:22" ht="20.100000000000001" customHeight="1" x14ac:dyDescent="0.25">
      <c r="A149" s="1"/>
      <c r="B149" s="1"/>
      <c r="C149" s="1"/>
      <c r="D149" s="1"/>
      <c r="E149" s="1"/>
      <c r="F149" s="1"/>
      <c r="G149" s="1"/>
      <c r="H149" s="1"/>
      <c r="I149" s="1"/>
      <c r="J149" s="1"/>
      <c r="K149" s="1"/>
      <c r="L149" s="1"/>
      <c r="M149" s="4" t="s">
        <v>6307</v>
      </c>
      <c r="N149" s="6">
        <f>COUNTIF('post-audit-active-backlog-statu'!$D$2:$D$6832,M149)</f>
        <v>1</v>
      </c>
      <c r="O149" s="6">
        <f>COUNTIFS('post-audit-active-backlog-statu'!$D$2:$D$6832,M149,'post-audit-active-backlog-statu'!$G$2:$G$6832,"Fixed")</f>
        <v>0</v>
      </c>
      <c r="P149" s="6">
        <f>COUNTIFS('post-audit-active-backlog-statu'!$D$2:$D$6832,M149,'post-audit-active-backlog-statu'!$G$2:$G$6832,"ReviewedNoChange")+COUNTIFS('post-audit-active-backlog-statu'!$D$2:$D$6832,M149,'post-audit-active-backlog-statu'!$G$2:$G$6832,"SafeNoChange")+COUNTIFS('post-audit-active-backlog-statu'!$D$2:$D$6832,M149,'post-audit-active-backlog-statu'!$G$2:$G$6832,"PolicyResolvedNoChange")</f>
        <v>0</v>
      </c>
      <c r="Q149" s="6">
        <f>COUNTIFS('post-audit-active-backlog-statu'!$D$2:$D$6832,M149,'post-audit-active-backlog-statu'!$G$2:$G$6832,"BlocksOnlyThisDomain")</f>
        <v>0</v>
      </c>
      <c r="R149" s="8">
        <f t="shared" si="4"/>
        <v>0.0</v>
      </c>
      <c r="S149" s="1"/>
      <c r="T149" s="1"/>
      <c r="U149" s="1"/>
      <c r="V149" s="1"/>
    </row>
    <row r="150" spans="1:22" ht="20.100000000000001" customHeight="1" x14ac:dyDescent="0.25">
      <c r="A150" s="1"/>
      <c r="B150" s="1"/>
      <c r="C150" s="1"/>
      <c r="D150" s="1"/>
      <c r="E150" s="1"/>
      <c r="F150" s="1"/>
      <c r="G150" s="1"/>
      <c r="H150" s="1"/>
      <c r="I150" s="1"/>
      <c r="J150" s="1"/>
      <c r="K150" s="1"/>
      <c r="L150" s="1"/>
      <c r="M150" s="4" t="s">
        <v>6321</v>
      </c>
      <c r="N150" s="6">
        <f>COUNTIF('post-audit-active-backlog-statu'!$D$2:$D$6832,M150)</f>
        <v>1</v>
      </c>
      <c r="O150" s="6">
        <f>COUNTIFS('post-audit-active-backlog-statu'!$D$2:$D$6832,M150,'post-audit-active-backlog-statu'!$G$2:$G$6832,"Fixed")</f>
        <v>0</v>
      </c>
      <c r="P150" s="6">
        <f>COUNTIFS('post-audit-active-backlog-statu'!$D$2:$D$6832,M150,'post-audit-active-backlog-statu'!$G$2:$G$6832,"ReviewedNoChange")+COUNTIFS('post-audit-active-backlog-statu'!$D$2:$D$6832,M150,'post-audit-active-backlog-statu'!$G$2:$G$6832,"SafeNoChange")+COUNTIFS('post-audit-active-backlog-statu'!$D$2:$D$6832,M150,'post-audit-active-backlog-statu'!$G$2:$G$6832,"PolicyResolvedNoChange")</f>
        <v>0</v>
      </c>
      <c r="Q150" s="6">
        <f>COUNTIFS('post-audit-active-backlog-statu'!$D$2:$D$6832,M150,'post-audit-active-backlog-statu'!$G$2:$G$6832,"BlocksOnlyThisDomain")</f>
        <v>0</v>
      </c>
      <c r="R150" s="8">
        <f t="shared" si="4"/>
        <v>0.0</v>
      </c>
      <c r="S150" s="1"/>
      <c r="T150" s="1"/>
      <c r="U150" s="1"/>
      <c r="V150" s="1"/>
    </row>
    <row r="151" spans="1:22" ht="20.100000000000001" customHeight="1" x14ac:dyDescent="0.25">
      <c r="A151" s="1"/>
      <c r="B151" s="1"/>
      <c r="C151" s="1"/>
      <c r="D151" s="1"/>
      <c r="E151" s="1"/>
      <c r="F151" s="1"/>
      <c r="G151" s="1"/>
      <c r="H151" s="1"/>
      <c r="I151" s="1"/>
      <c r="J151" s="1"/>
      <c r="K151" s="1"/>
      <c r="L151" s="1"/>
      <c r="M151" s="4" t="s">
        <v>6326</v>
      </c>
      <c r="N151" s="6">
        <f>COUNTIF('post-audit-active-backlog-statu'!$D$2:$D$6832,M151)</f>
        <v>1</v>
      </c>
      <c r="O151" s="6">
        <f>COUNTIFS('post-audit-active-backlog-statu'!$D$2:$D$6832,M151,'post-audit-active-backlog-statu'!$G$2:$G$6832,"Fixed")</f>
        <v>0</v>
      </c>
      <c r="P151" s="6">
        <f>COUNTIFS('post-audit-active-backlog-statu'!$D$2:$D$6832,M151,'post-audit-active-backlog-statu'!$G$2:$G$6832,"ReviewedNoChange")+COUNTIFS('post-audit-active-backlog-statu'!$D$2:$D$6832,M151,'post-audit-active-backlog-statu'!$G$2:$G$6832,"SafeNoChange")+COUNTIFS('post-audit-active-backlog-statu'!$D$2:$D$6832,M151,'post-audit-active-backlog-statu'!$G$2:$G$6832,"PolicyResolvedNoChange")</f>
        <v>0</v>
      </c>
      <c r="Q151" s="6">
        <f>COUNTIFS('post-audit-active-backlog-statu'!$D$2:$D$6832,M151,'post-audit-active-backlog-statu'!$G$2:$G$6832,"BlocksOnlyThisDomain")</f>
        <v>0</v>
      </c>
      <c r="R151" s="8">
        <f t="shared" si="4"/>
        <v>0.0</v>
      </c>
      <c r="S151" s="1"/>
      <c r="T151" s="1"/>
      <c r="U151" s="1"/>
      <c r="V151" s="1"/>
    </row>
    <row r="152" spans="1:22" ht="20.100000000000001" customHeight="1" x14ac:dyDescent="0.25">
      <c r="A152" s="1"/>
      <c r="B152" s="1"/>
      <c r="C152" s="1"/>
      <c r="D152" s="1"/>
      <c r="E152" s="1"/>
      <c r="F152" s="1"/>
      <c r="G152" s="1"/>
      <c r="H152" s="1"/>
      <c r="I152" s="1"/>
      <c r="J152" s="1"/>
      <c r="K152" s="1"/>
      <c r="L152" s="1"/>
      <c r="M152" s="4" t="s">
        <v>6331</v>
      </c>
      <c r="N152" s="6">
        <f>COUNTIF('post-audit-active-backlog-statu'!$D$2:$D$6832,M152)</f>
        <v>1</v>
      </c>
      <c r="O152" s="6">
        <f>COUNTIFS('post-audit-active-backlog-statu'!$D$2:$D$6832,M152,'post-audit-active-backlog-statu'!$G$2:$G$6832,"Fixed")</f>
        <v>0</v>
      </c>
      <c r="P152" s="6">
        <f>COUNTIFS('post-audit-active-backlog-statu'!$D$2:$D$6832,M152,'post-audit-active-backlog-statu'!$G$2:$G$6832,"ReviewedNoChange")+COUNTIFS('post-audit-active-backlog-statu'!$D$2:$D$6832,M152,'post-audit-active-backlog-statu'!$G$2:$G$6832,"SafeNoChange")+COUNTIFS('post-audit-active-backlog-statu'!$D$2:$D$6832,M152,'post-audit-active-backlog-statu'!$G$2:$G$6832,"PolicyResolvedNoChange")</f>
        <v>0</v>
      </c>
      <c r="Q152" s="6">
        <f>COUNTIFS('post-audit-active-backlog-statu'!$D$2:$D$6832,M152,'post-audit-active-backlog-statu'!$G$2:$G$6832,"BlocksOnlyThisDomain")</f>
        <v>0</v>
      </c>
      <c r="R152" s="8">
        <f t="shared" si="4"/>
        <v>0.0</v>
      </c>
      <c r="S152" s="1"/>
      <c r="T152" s="1"/>
      <c r="U152" s="1"/>
      <c r="V152" s="1"/>
    </row>
    <row r="153" spans="1:22" ht="20.100000000000001" customHeight="1" x14ac:dyDescent="0.25">
      <c r="A153" s="1"/>
      <c r="B153" s="1"/>
      <c r="C153" s="1"/>
      <c r="D153" s="1"/>
      <c r="E153" s="1"/>
      <c r="F153" s="1"/>
      <c r="G153" s="1"/>
      <c r="H153" s="1"/>
      <c r="I153" s="1"/>
      <c r="J153" s="1"/>
      <c r="K153" s="1"/>
      <c r="L153" s="1"/>
      <c r="M153" s="4" t="s">
        <v>6336</v>
      </c>
      <c r="N153" s="6">
        <f>COUNTIF('post-audit-active-backlog-statu'!$D$2:$D$6832,M153)</f>
        <v>1</v>
      </c>
      <c r="O153" s="6">
        <f>COUNTIFS('post-audit-active-backlog-statu'!$D$2:$D$6832,M153,'post-audit-active-backlog-statu'!$G$2:$G$6832,"Fixed")</f>
        <v>0</v>
      </c>
      <c r="P153" s="6">
        <f>COUNTIFS('post-audit-active-backlog-statu'!$D$2:$D$6832,M153,'post-audit-active-backlog-statu'!$G$2:$G$6832,"ReviewedNoChange")+COUNTIFS('post-audit-active-backlog-statu'!$D$2:$D$6832,M153,'post-audit-active-backlog-statu'!$G$2:$G$6832,"SafeNoChange")+COUNTIFS('post-audit-active-backlog-statu'!$D$2:$D$6832,M153,'post-audit-active-backlog-statu'!$G$2:$G$6832,"PolicyResolvedNoChange")</f>
        <v>0</v>
      </c>
      <c r="Q153" s="6">
        <f>COUNTIFS('post-audit-active-backlog-statu'!$D$2:$D$6832,M153,'post-audit-active-backlog-statu'!$G$2:$G$6832,"BlocksOnlyThisDomain")</f>
        <v>0</v>
      </c>
      <c r="R153" s="8">
        <f t="shared" si="4"/>
        <v>0.0</v>
      </c>
      <c r="S153" s="1"/>
      <c r="T153" s="1"/>
      <c r="U153" s="1"/>
      <c r="V153" s="1"/>
    </row>
    <row r="154" spans="1:22" ht="20.100000000000001" customHeight="1" x14ac:dyDescent="0.25">
      <c r="A154" s="1"/>
      <c r="B154" s="1"/>
      <c r="C154" s="1"/>
      <c r="D154" s="1"/>
      <c r="E154" s="1"/>
      <c r="F154" s="1"/>
      <c r="G154" s="1"/>
      <c r="H154" s="1"/>
      <c r="I154" s="1"/>
      <c r="J154" s="1"/>
      <c r="K154" s="1"/>
      <c r="L154" s="1"/>
      <c r="M154" s="4" t="s">
        <v>6341</v>
      </c>
      <c r="N154" s="6">
        <f>COUNTIF('post-audit-active-backlog-statu'!$D$2:$D$6832,M154)</f>
        <v>1</v>
      </c>
      <c r="O154" s="6">
        <f>COUNTIFS('post-audit-active-backlog-statu'!$D$2:$D$6832,M154,'post-audit-active-backlog-statu'!$G$2:$G$6832,"Fixed")</f>
        <v>0</v>
      </c>
      <c r="P154" s="6">
        <f>COUNTIFS('post-audit-active-backlog-statu'!$D$2:$D$6832,M154,'post-audit-active-backlog-statu'!$G$2:$G$6832,"ReviewedNoChange")+COUNTIFS('post-audit-active-backlog-statu'!$D$2:$D$6832,M154,'post-audit-active-backlog-statu'!$G$2:$G$6832,"SafeNoChange")+COUNTIFS('post-audit-active-backlog-statu'!$D$2:$D$6832,M154,'post-audit-active-backlog-statu'!$G$2:$G$6832,"PolicyResolvedNoChange")</f>
        <v>0</v>
      </c>
      <c r="Q154" s="6">
        <f>COUNTIFS('post-audit-active-backlog-statu'!$D$2:$D$6832,M154,'post-audit-active-backlog-statu'!$G$2:$G$6832,"BlocksOnlyThisDomain")</f>
        <v>0</v>
      </c>
      <c r="R154" s="8">
        <f t="shared" si="4"/>
        <v>0.0</v>
      </c>
      <c r="S154" s="1"/>
      <c r="T154" s="1"/>
      <c r="U154" s="1"/>
      <c r="V154" s="1"/>
    </row>
    <row r="155" spans="1:22" ht="20.100000000000001" customHeight="1" x14ac:dyDescent="0.25">
      <c r="A155" s="1"/>
      <c r="B155" s="1"/>
      <c r="C155" s="1"/>
      <c r="D155" s="1"/>
      <c r="E155" s="1"/>
      <c r="F155" s="1"/>
      <c r="G155" s="1"/>
      <c r="H155" s="1"/>
      <c r="I155" s="1"/>
      <c r="J155" s="1"/>
      <c r="K155" s="1"/>
      <c r="L155" s="1"/>
      <c r="M155" s="4" t="s">
        <v>6346</v>
      </c>
      <c r="N155" s="6">
        <f>COUNTIF('post-audit-active-backlog-statu'!$D$2:$D$6832,M155)</f>
        <v>1</v>
      </c>
      <c r="O155" s="6">
        <f>COUNTIFS('post-audit-active-backlog-statu'!$D$2:$D$6832,M155,'post-audit-active-backlog-statu'!$G$2:$G$6832,"Fixed")</f>
        <v>0</v>
      </c>
      <c r="P155" s="6">
        <f>COUNTIFS('post-audit-active-backlog-statu'!$D$2:$D$6832,M155,'post-audit-active-backlog-statu'!$G$2:$G$6832,"ReviewedNoChange")+COUNTIFS('post-audit-active-backlog-statu'!$D$2:$D$6832,M155,'post-audit-active-backlog-statu'!$G$2:$G$6832,"SafeNoChange")+COUNTIFS('post-audit-active-backlog-statu'!$D$2:$D$6832,M155,'post-audit-active-backlog-statu'!$G$2:$G$6832,"PolicyResolvedNoChange")</f>
        <v>0</v>
      </c>
      <c r="Q155" s="6">
        <f>COUNTIFS('post-audit-active-backlog-statu'!$D$2:$D$6832,M155,'post-audit-active-backlog-statu'!$G$2:$G$6832,"BlocksOnlyThisDomain")</f>
        <v>0</v>
      </c>
      <c r="R155" s="8">
        <f t="shared" si="4"/>
        <v>0.0</v>
      </c>
      <c r="S155" s="1"/>
      <c r="T155" s="1"/>
      <c r="U155" s="1"/>
      <c r="V155" s="1"/>
    </row>
    <row r="156" spans="1:22" ht="20.100000000000001" customHeight="1" x14ac:dyDescent="0.25">
      <c r="A156" s="1"/>
      <c r="B156" s="1"/>
      <c r="C156" s="1"/>
      <c r="D156" s="1"/>
      <c r="E156" s="1"/>
      <c r="F156" s="1"/>
      <c r="G156" s="1"/>
      <c r="H156" s="1"/>
      <c r="I156" s="1"/>
      <c r="J156" s="1"/>
      <c r="K156" s="1"/>
      <c r="L156" s="1"/>
      <c r="M156" s="4" t="s">
        <v>6351</v>
      </c>
      <c r="N156" s="6">
        <f>COUNTIF('post-audit-active-backlog-statu'!$D$2:$D$6832,M156)</f>
        <v>1</v>
      </c>
      <c r="O156" s="6">
        <f>COUNTIFS('post-audit-active-backlog-statu'!$D$2:$D$6832,M156,'post-audit-active-backlog-statu'!$G$2:$G$6832,"Fixed")</f>
        <v>0</v>
      </c>
      <c r="P156" s="6">
        <f>COUNTIFS('post-audit-active-backlog-statu'!$D$2:$D$6832,M156,'post-audit-active-backlog-statu'!$G$2:$G$6832,"ReviewedNoChange")+COUNTIFS('post-audit-active-backlog-statu'!$D$2:$D$6832,M156,'post-audit-active-backlog-statu'!$G$2:$G$6832,"SafeNoChange")+COUNTIFS('post-audit-active-backlog-statu'!$D$2:$D$6832,M156,'post-audit-active-backlog-statu'!$G$2:$G$6832,"PolicyResolvedNoChange")</f>
        <v>0</v>
      </c>
      <c r="Q156" s="6">
        <f>COUNTIFS('post-audit-active-backlog-statu'!$D$2:$D$6832,M156,'post-audit-active-backlog-statu'!$G$2:$G$6832,"BlocksOnlyThisDomain")</f>
        <v>0</v>
      </c>
      <c r="R156" s="8">
        <f t="shared" si="4"/>
        <v>0.0</v>
      </c>
      <c r="S156" s="1"/>
      <c r="T156" s="1"/>
      <c r="U156" s="1"/>
      <c r="V156" s="1"/>
    </row>
    <row r="157" spans="1:22" ht="20.100000000000001" customHeight="1" x14ac:dyDescent="0.25">
      <c r="A157" s="1"/>
      <c r="B157" s="1"/>
      <c r="C157" s="1"/>
      <c r="D157" s="1"/>
      <c r="E157" s="1"/>
      <c r="F157" s="1"/>
      <c r="G157" s="1"/>
      <c r="H157" s="1"/>
      <c r="I157" s="1"/>
      <c r="J157" s="1"/>
      <c r="K157" s="1"/>
      <c r="L157" s="1"/>
      <c r="M157" s="4" t="s">
        <v>6356</v>
      </c>
      <c r="N157" s="6">
        <f>COUNTIF('post-audit-active-backlog-statu'!$D$2:$D$6832,M157)</f>
        <v>1</v>
      </c>
      <c r="O157" s="6">
        <f>COUNTIFS('post-audit-active-backlog-statu'!$D$2:$D$6832,M157,'post-audit-active-backlog-statu'!$G$2:$G$6832,"Fixed")</f>
        <v>0</v>
      </c>
      <c r="P157" s="6">
        <f>COUNTIFS('post-audit-active-backlog-statu'!$D$2:$D$6832,M157,'post-audit-active-backlog-statu'!$G$2:$G$6832,"ReviewedNoChange")+COUNTIFS('post-audit-active-backlog-statu'!$D$2:$D$6832,M157,'post-audit-active-backlog-statu'!$G$2:$G$6832,"SafeNoChange")+COUNTIFS('post-audit-active-backlog-statu'!$D$2:$D$6832,M157,'post-audit-active-backlog-statu'!$G$2:$G$6832,"PolicyResolvedNoChange")</f>
        <v>0</v>
      </c>
      <c r="Q157" s="6">
        <f>COUNTIFS('post-audit-active-backlog-statu'!$D$2:$D$6832,M157,'post-audit-active-backlog-statu'!$G$2:$G$6832,"BlocksOnlyThisDomain")</f>
        <v>0</v>
      </c>
      <c r="R157" s="8">
        <f t="shared" si="4"/>
        <v>0.0</v>
      </c>
      <c r="S157" s="1"/>
      <c r="T157" s="1"/>
      <c r="U157" s="1"/>
      <c r="V157" s="1"/>
    </row>
    <row r="158" spans="1:22" ht="20.100000000000001" customHeight="1" x14ac:dyDescent="0.25">
      <c r="A158" s="1"/>
      <c r="B158" s="1"/>
      <c r="C158" s="1"/>
      <c r="D158" s="1"/>
      <c r="E158" s="1"/>
      <c r="F158" s="1"/>
      <c r="G158" s="1"/>
      <c r="H158" s="1"/>
      <c r="I158" s="1"/>
      <c r="J158" s="1"/>
      <c r="K158" s="1"/>
      <c r="L158" s="1"/>
      <c r="M158" s="4" t="s">
        <v>6361</v>
      </c>
      <c r="N158" s="6">
        <f>COUNTIF('post-audit-active-backlog-statu'!$D$2:$D$6832,M158)</f>
        <v>1</v>
      </c>
      <c r="O158" s="6">
        <f>COUNTIFS('post-audit-active-backlog-statu'!$D$2:$D$6832,M158,'post-audit-active-backlog-statu'!$G$2:$G$6832,"Fixed")</f>
        <v>0</v>
      </c>
      <c r="P158" s="6">
        <f>COUNTIFS('post-audit-active-backlog-statu'!$D$2:$D$6832,M158,'post-audit-active-backlog-statu'!$G$2:$G$6832,"ReviewedNoChange")+COUNTIFS('post-audit-active-backlog-statu'!$D$2:$D$6832,M158,'post-audit-active-backlog-statu'!$G$2:$G$6832,"SafeNoChange")+COUNTIFS('post-audit-active-backlog-statu'!$D$2:$D$6832,M158,'post-audit-active-backlog-statu'!$G$2:$G$6832,"PolicyResolvedNoChange")</f>
        <v>0</v>
      </c>
      <c r="Q158" s="6">
        <f>COUNTIFS('post-audit-active-backlog-statu'!$D$2:$D$6832,M158,'post-audit-active-backlog-statu'!$G$2:$G$6832,"BlocksOnlyThisDomain")</f>
        <v>0</v>
      </c>
      <c r="R158" s="8">
        <f t="shared" si="4"/>
        <v>0.0</v>
      </c>
      <c r="S158" s="1"/>
      <c r="T158" s="1"/>
      <c r="U158" s="1"/>
      <c r="V158" s="1"/>
    </row>
    <row r="159" spans="1:22" ht="20.100000000000001" customHeight="1" x14ac:dyDescent="0.25">
      <c r="A159" s="1"/>
      <c r="B159" s="1"/>
      <c r="C159" s="1"/>
      <c r="D159" s="1"/>
      <c r="E159" s="1"/>
      <c r="F159" s="1"/>
      <c r="G159" s="1"/>
      <c r="H159" s="1"/>
      <c r="I159" s="1"/>
      <c r="J159" s="1"/>
      <c r="K159" s="1"/>
      <c r="L159" s="1"/>
      <c r="M159" s="4" t="s">
        <v>6366</v>
      </c>
      <c r="N159" s="6">
        <f>COUNTIF('post-audit-active-backlog-statu'!$D$2:$D$6832,M159)</f>
        <v>1</v>
      </c>
      <c r="O159" s="6">
        <f>COUNTIFS('post-audit-active-backlog-statu'!$D$2:$D$6832,M159,'post-audit-active-backlog-statu'!$G$2:$G$6832,"Fixed")</f>
        <v>0</v>
      </c>
      <c r="P159" s="6">
        <f>COUNTIFS('post-audit-active-backlog-statu'!$D$2:$D$6832,M159,'post-audit-active-backlog-statu'!$G$2:$G$6832,"ReviewedNoChange")+COUNTIFS('post-audit-active-backlog-statu'!$D$2:$D$6832,M159,'post-audit-active-backlog-statu'!$G$2:$G$6832,"SafeNoChange")+COUNTIFS('post-audit-active-backlog-statu'!$D$2:$D$6832,M159,'post-audit-active-backlog-statu'!$G$2:$G$6832,"PolicyResolvedNoChange")</f>
        <v>0</v>
      </c>
      <c r="Q159" s="6">
        <f>COUNTIFS('post-audit-active-backlog-statu'!$D$2:$D$6832,M159,'post-audit-active-backlog-statu'!$G$2:$G$6832,"BlocksOnlyThisDomain")</f>
        <v>0</v>
      </c>
      <c r="R159" s="8">
        <f t="shared" si="4"/>
        <v>0.0</v>
      </c>
      <c r="S159" s="1"/>
      <c r="T159" s="1"/>
      <c r="U159" s="1"/>
      <c r="V159" s="1"/>
    </row>
    <row r="160" spans="1:22" ht="20.100000000000001" customHeight="1" x14ac:dyDescent="0.25">
      <c r="A160" s="1"/>
      <c r="B160" s="1"/>
      <c r="C160" s="1"/>
      <c r="D160" s="1"/>
      <c r="E160" s="1"/>
      <c r="F160" s="1"/>
      <c r="G160" s="1"/>
      <c r="H160" s="1"/>
      <c r="I160" s="1"/>
      <c r="J160" s="1"/>
      <c r="K160" s="1"/>
      <c r="L160" s="1"/>
      <c r="M160" s="4" t="s">
        <v>6371</v>
      </c>
      <c r="N160" s="6">
        <f>COUNTIF('post-audit-active-backlog-statu'!$D$2:$D$6832,M160)</f>
        <v>1</v>
      </c>
      <c r="O160" s="6">
        <f>COUNTIFS('post-audit-active-backlog-statu'!$D$2:$D$6832,M160,'post-audit-active-backlog-statu'!$G$2:$G$6832,"Fixed")</f>
        <v>0</v>
      </c>
      <c r="P160" s="6">
        <f>COUNTIFS('post-audit-active-backlog-statu'!$D$2:$D$6832,M160,'post-audit-active-backlog-statu'!$G$2:$G$6832,"ReviewedNoChange")+COUNTIFS('post-audit-active-backlog-statu'!$D$2:$D$6832,M160,'post-audit-active-backlog-statu'!$G$2:$G$6832,"SafeNoChange")+COUNTIFS('post-audit-active-backlog-statu'!$D$2:$D$6832,M160,'post-audit-active-backlog-statu'!$G$2:$G$6832,"PolicyResolvedNoChange")</f>
        <v>0</v>
      </c>
      <c r="Q160" s="6">
        <f>COUNTIFS('post-audit-active-backlog-statu'!$D$2:$D$6832,M160,'post-audit-active-backlog-statu'!$G$2:$G$6832,"BlocksOnlyThisDomain")</f>
        <v>0</v>
      </c>
      <c r="R160" s="8">
        <f t="shared" si="4"/>
        <v>0.0</v>
      </c>
      <c r="S160" s="1"/>
      <c r="T160" s="1"/>
      <c r="U160" s="1"/>
      <c r="V160" s="1"/>
    </row>
    <row r="161" spans="1:22" ht="20.100000000000001" customHeight="1" x14ac:dyDescent="0.25">
      <c r="A161" s="1"/>
      <c r="B161" s="1"/>
      <c r="C161" s="1"/>
      <c r="D161" s="1"/>
      <c r="E161" s="1"/>
      <c r="F161" s="1"/>
      <c r="G161" s="1"/>
      <c r="H161" s="1"/>
      <c r="I161" s="1"/>
      <c r="J161" s="1"/>
      <c r="K161" s="1"/>
      <c r="L161" s="1"/>
      <c r="M161" s="4" t="s">
        <v>6376</v>
      </c>
      <c r="N161" s="6">
        <f>COUNTIF('post-audit-active-backlog-statu'!$D$2:$D$6832,M161)</f>
        <v>1</v>
      </c>
      <c r="O161" s="6">
        <f>COUNTIFS('post-audit-active-backlog-statu'!$D$2:$D$6832,M161,'post-audit-active-backlog-statu'!$G$2:$G$6832,"Fixed")</f>
        <v>0</v>
      </c>
      <c r="P161" s="6">
        <f>COUNTIFS('post-audit-active-backlog-statu'!$D$2:$D$6832,M161,'post-audit-active-backlog-statu'!$G$2:$G$6832,"ReviewedNoChange")+COUNTIFS('post-audit-active-backlog-statu'!$D$2:$D$6832,M161,'post-audit-active-backlog-statu'!$G$2:$G$6832,"SafeNoChange")+COUNTIFS('post-audit-active-backlog-statu'!$D$2:$D$6832,M161,'post-audit-active-backlog-statu'!$G$2:$G$6832,"PolicyResolvedNoChange")</f>
        <v>0</v>
      </c>
      <c r="Q161" s="6">
        <f>COUNTIFS('post-audit-active-backlog-statu'!$D$2:$D$6832,M161,'post-audit-active-backlog-statu'!$G$2:$G$6832,"BlocksOnlyThisDomain")</f>
        <v>0</v>
      </c>
      <c r="R161" s="8">
        <f t="shared" si="4"/>
        <v>0.0</v>
      </c>
      <c r="S161" s="1"/>
      <c r="T161" s="1"/>
      <c r="U161" s="1"/>
      <c r="V161" s="1"/>
    </row>
    <row r="162" spans="1:22" ht="20.100000000000001" customHeight="1" x14ac:dyDescent="0.25">
      <c r="A162" s="1"/>
      <c r="B162" s="1"/>
      <c r="C162" s="1"/>
      <c r="D162" s="1"/>
      <c r="E162" s="1"/>
      <c r="F162" s="1"/>
      <c r="G162" s="1"/>
      <c r="H162" s="1"/>
      <c r="I162" s="1"/>
      <c r="J162" s="1"/>
      <c r="K162" s="1"/>
      <c r="L162" s="1"/>
      <c r="M162" s="4" t="s">
        <v>6381</v>
      </c>
      <c r="N162" s="6">
        <f>COUNTIF('post-audit-active-backlog-statu'!$D$2:$D$6832,M162)</f>
        <v>1</v>
      </c>
      <c r="O162" s="6">
        <f>COUNTIFS('post-audit-active-backlog-statu'!$D$2:$D$6832,M162,'post-audit-active-backlog-statu'!$G$2:$G$6832,"Fixed")</f>
        <v>0</v>
      </c>
      <c r="P162" s="6">
        <f>COUNTIFS('post-audit-active-backlog-statu'!$D$2:$D$6832,M162,'post-audit-active-backlog-statu'!$G$2:$G$6832,"ReviewedNoChange")+COUNTIFS('post-audit-active-backlog-statu'!$D$2:$D$6832,M162,'post-audit-active-backlog-statu'!$G$2:$G$6832,"SafeNoChange")+COUNTIFS('post-audit-active-backlog-statu'!$D$2:$D$6832,M162,'post-audit-active-backlog-statu'!$G$2:$G$6832,"PolicyResolvedNoChange")</f>
        <v>0</v>
      </c>
      <c r="Q162" s="6">
        <f>COUNTIFS('post-audit-active-backlog-statu'!$D$2:$D$6832,M162,'post-audit-active-backlog-statu'!$G$2:$G$6832,"BlocksOnlyThisDomain")</f>
        <v>0</v>
      </c>
      <c r="R162" s="8">
        <f t="shared" si="4"/>
        <v>0.0</v>
      </c>
      <c r="S162" s="1"/>
      <c r="T162" s="1"/>
      <c r="U162" s="1"/>
      <c r="V162" s="1"/>
    </row>
    <row r="163" spans="1:22" ht="20.100000000000001" customHeight="1" x14ac:dyDescent="0.25">
      <c r="A163" s="1"/>
      <c r="B163" s="1"/>
      <c r="C163" s="1"/>
      <c r="D163" s="1"/>
      <c r="E163" s="1"/>
      <c r="F163" s="1"/>
      <c r="G163" s="1"/>
      <c r="H163" s="1"/>
      <c r="I163" s="1"/>
      <c r="J163" s="1"/>
      <c r="K163" s="1"/>
      <c r="L163" s="1"/>
      <c r="M163" s="4" t="s">
        <v>6386</v>
      </c>
      <c r="N163" s="6">
        <f>COUNTIF('post-audit-active-backlog-statu'!$D$2:$D$6832,M163)</f>
        <v>1</v>
      </c>
      <c r="O163" s="6">
        <f>COUNTIFS('post-audit-active-backlog-statu'!$D$2:$D$6832,M163,'post-audit-active-backlog-statu'!$G$2:$G$6832,"Fixed")</f>
        <v>0</v>
      </c>
      <c r="P163" s="6">
        <f>COUNTIFS('post-audit-active-backlog-statu'!$D$2:$D$6832,M163,'post-audit-active-backlog-statu'!$G$2:$G$6832,"ReviewedNoChange")+COUNTIFS('post-audit-active-backlog-statu'!$D$2:$D$6832,M163,'post-audit-active-backlog-statu'!$G$2:$G$6832,"SafeNoChange")+COUNTIFS('post-audit-active-backlog-statu'!$D$2:$D$6832,M163,'post-audit-active-backlog-statu'!$G$2:$G$6832,"PolicyResolvedNoChange")</f>
        <v>0</v>
      </c>
      <c r="Q163" s="6">
        <f>COUNTIFS('post-audit-active-backlog-statu'!$D$2:$D$6832,M163,'post-audit-active-backlog-statu'!$G$2:$G$6832,"BlocksOnlyThisDomain")</f>
        <v>0</v>
      </c>
      <c r="R163" s="8">
        <f t="shared" si="4"/>
        <v>0.0</v>
      </c>
      <c r="S163" s="1"/>
      <c r="T163" s="1"/>
      <c r="U163" s="1"/>
      <c r="V163" s="1"/>
    </row>
    <row r="164" spans="1:22" ht="20.100000000000001" customHeight="1" x14ac:dyDescent="0.25">
      <c r="A164" s="1"/>
      <c r="B164" s="1"/>
      <c r="C164" s="1"/>
      <c r="D164" s="1"/>
      <c r="E164" s="1"/>
      <c r="F164" s="1"/>
      <c r="G164" s="1"/>
      <c r="H164" s="1"/>
      <c r="I164" s="1"/>
      <c r="J164" s="1"/>
      <c r="K164" s="1"/>
      <c r="L164" s="1"/>
      <c r="M164" s="4" t="s">
        <v>6391</v>
      </c>
      <c r="N164" s="6">
        <f>COUNTIF('post-audit-active-backlog-statu'!$D$2:$D$6832,M164)</f>
        <v>1</v>
      </c>
      <c r="O164" s="6">
        <f>COUNTIFS('post-audit-active-backlog-statu'!$D$2:$D$6832,M164,'post-audit-active-backlog-statu'!$G$2:$G$6832,"Fixed")</f>
        <v>0</v>
      </c>
      <c r="P164" s="6">
        <f>COUNTIFS('post-audit-active-backlog-statu'!$D$2:$D$6832,M164,'post-audit-active-backlog-statu'!$G$2:$G$6832,"ReviewedNoChange")+COUNTIFS('post-audit-active-backlog-statu'!$D$2:$D$6832,M164,'post-audit-active-backlog-statu'!$G$2:$G$6832,"SafeNoChange")+COUNTIFS('post-audit-active-backlog-statu'!$D$2:$D$6832,M164,'post-audit-active-backlog-statu'!$G$2:$G$6832,"PolicyResolvedNoChange")</f>
        <v>0</v>
      </c>
      <c r="Q164" s="6">
        <f>COUNTIFS('post-audit-active-backlog-statu'!$D$2:$D$6832,M164,'post-audit-active-backlog-statu'!$G$2:$G$6832,"BlocksOnlyThisDomain")</f>
        <v>0</v>
      </c>
      <c r="R164" s="8">
        <f t="shared" si="4"/>
        <v>0.0</v>
      </c>
      <c r="S164" s="1"/>
      <c r="T164" s="1"/>
      <c r="U164" s="1"/>
      <c r="V164" s="1"/>
    </row>
    <row r="165" spans="1:22" ht="20.100000000000001" customHeight="1" x14ac:dyDescent="0.25">
      <c r="A165" s="1"/>
      <c r="B165" s="1"/>
      <c r="C165" s="1"/>
      <c r="D165" s="1"/>
      <c r="E165" s="1"/>
      <c r="F165" s="1"/>
      <c r="G165" s="1"/>
      <c r="H165" s="1"/>
      <c r="I165" s="1"/>
      <c r="J165" s="1"/>
      <c r="K165" s="1"/>
      <c r="L165" s="1"/>
      <c r="M165" s="4" t="s">
        <v>6396</v>
      </c>
      <c r="N165" s="6">
        <f>COUNTIF('post-audit-active-backlog-statu'!$D$2:$D$6832,M165)</f>
        <v>1</v>
      </c>
      <c r="O165" s="6">
        <f>COUNTIFS('post-audit-active-backlog-statu'!$D$2:$D$6832,M165,'post-audit-active-backlog-statu'!$G$2:$G$6832,"Fixed")</f>
        <v>0</v>
      </c>
      <c r="P165" s="6">
        <f>COUNTIFS('post-audit-active-backlog-statu'!$D$2:$D$6832,M165,'post-audit-active-backlog-statu'!$G$2:$G$6832,"ReviewedNoChange")+COUNTIFS('post-audit-active-backlog-statu'!$D$2:$D$6832,M165,'post-audit-active-backlog-statu'!$G$2:$G$6832,"SafeNoChange")+COUNTIFS('post-audit-active-backlog-statu'!$D$2:$D$6832,M165,'post-audit-active-backlog-statu'!$G$2:$G$6832,"PolicyResolvedNoChange")</f>
        <v>0</v>
      </c>
      <c r="Q165" s="6">
        <f>COUNTIFS('post-audit-active-backlog-statu'!$D$2:$D$6832,M165,'post-audit-active-backlog-statu'!$G$2:$G$6832,"BlocksOnlyThisDomain")</f>
        <v>0</v>
      </c>
      <c r="R165" s="8">
        <f t="shared" si="4"/>
        <v>0.0</v>
      </c>
      <c r="S165" s="1"/>
      <c r="T165" s="1"/>
      <c r="U165" s="1"/>
      <c r="V165" s="1"/>
    </row>
    <row r="166" spans="1:22" ht="20.100000000000001" customHeight="1" x14ac:dyDescent="0.25">
      <c r="A166" s="1"/>
      <c r="B166" s="1"/>
      <c r="C166" s="1"/>
      <c r="D166" s="1"/>
      <c r="E166" s="1"/>
      <c r="F166" s="1"/>
      <c r="G166" s="1"/>
      <c r="H166" s="1"/>
      <c r="I166" s="1"/>
      <c r="J166" s="1"/>
      <c r="K166" s="1"/>
      <c r="L166" s="1"/>
      <c r="M166" s="4" t="s">
        <v>6401</v>
      </c>
      <c r="N166" s="6">
        <f>COUNTIF('post-audit-active-backlog-statu'!$D$2:$D$6832,M166)</f>
        <v>1</v>
      </c>
      <c r="O166" s="6">
        <f>COUNTIFS('post-audit-active-backlog-statu'!$D$2:$D$6832,M166,'post-audit-active-backlog-statu'!$G$2:$G$6832,"Fixed")</f>
        <v>0</v>
      </c>
      <c r="P166" s="6">
        <f>COUNTIFS('post-audit-active-backlog-statu'!$D$2:$D$6832,M166,'post-audit-active-backlog-statu'!$G$2:$G$6832,"ReviewedNoChange")+COUNTIFS('post-audit-active-backlog-statu'!$D$2:$D$6832,M166,'post-audit-active-backlog-statu'!$G$2:$G$6832,"SafeNoChange")+COUNTIFS('post-audit-active-backlog-statu'!$D$2:$D$6832,M166,'post-audit-active-backlog-statu'!$G$2:$G$6832,"PolicyResolvedNoChange")</f>
        <v>0</v>
      </c>
      <c r="Q166" s="6">
        <f>COUNTIFS('post-audit-active-backlog-statu'!$D$2:$D$6832,M166,'post-audit-active-backlog-statu'!$G$2:$G$6832,"BlocksOnlyThisDomain")</f>
        <v>0</v>
      </c>
      <c r="R166" s="8">
        <f t="shared" si="4"/>
        <v>0.0</v>
      </c>
      <c r="S166" s="1"/>
      <c r="T166" s="1"/>
      <c r="U166" s="1"/>
      <c r="V166" s="1"/>
    </row>
    <row r="167" spans="1:22" ht="20.100000000000001" customHeight="1" x14ac:dyDescent="0.25">
      <c r="A167" s="1"/>
      <c r="B167" s="1"/>
      <c r="C167" s="1"/>
      <c r="D167" s="1"/>
      <c r="E167" s="1"/>
      <c r="F167" s="1"/>
      <c r="G167" s="1"/>
      <c r="H167" s="1"/>
      <c r="I167" s="1"/>
      <c r="J167" s="1"/>
      <c r="K167" s="1"/>
      <c r="L167" s="1"/>
      <c r="M167" s="4" t="s">
        <v>6406</v>
      </c>
      <c r="N167" s="6">
        <f>COUNTIF('post-audit-active-backlog-statu'!$D$2:$D$6832,M167)</f>
        <v>1</v>
      </c>
      <c r="O167" s="6">
        <f>COUNTIFS('post-audit-active-backlog-statu'!$D$2:$D$6832,M167,'post-audit-active-backlog-statu'!$G$2:$G$6832,"Fixed")</f>
        <v>0</v>
      </c>
      <c r="P167" s="6">
        <f>COUNTIFS('post-audit-active-backlog-statu'!$D$2:$D$6832,M167,'post-audit-active-backlog-statu'!$G$2:$G$6832,"ReviewedNoChange")+COUNTIFS('post-audit-active-backlog-statu'!$D$2:$D$6832,M167,'post-audit-active-backlog-statu'!$G$2:$G$6832,"SafeNoChange")+COUNTIFS('post-audit-active-backlog-statu'!$D$2:$D$6832,M167,'post-audit-active-backlog-statu'!$G$2:$G$6832,"PolicyResolvedNoChange")</f>
        <v>0</v>
      </c>
      <c r="Q167" s="6">
        <f>COUNTIFS('post-audit-active-backlog-statu'!$D$2:$D$6832,M167,'post-audit-active-backlog-statu'!$G$2:$G$6832,"BlocksOnlyThisDomain")</f>
        <v>0</v>
      </c>
      <c r="R167" s="8">
        <f t="shared" si="4"/>
        <v>0.0</v>
      </c>
      <c r="S167" s="1"/>
      <c r="T167" s="1"/>
      <c r="U167" s="1"/>
      <c r="V167" s="1"/>
    </row>
    <row r="168" spans="1:22" ht="20.100000000000001" customHeight="1" x14ac:dyDescent="0.25">
      <c r="A168" s="1"/>
      <c r="B168" s="1"/>
      <c r="C168" s="1"/>
      <c r="D168" s="1"/>
      <c r="E168" s="1"/>
      <c r="F168" s="1"/>
      <c r="G168" s="1"/>
      <c r="H168" s="1"/>
      <c r="I168" s="1"/>
      <c r="J168" s="1"/>
      <c r="K168" s="1"/>
      <c r="L168" s="1"/>
      <c r="M168" s="4" t="s">
        <v>6411</v>
      </c>
      <c r="N168" s="6">
        <f>COUNTIF('post-audit-active-backlog-statu'!$D$2:$D$6832,M168)</f>
        <v>1</v>
      </c>
      <c r="O168" s="6">
        <f>COUNTIFS('post-audit-active-backlog-statu'!$D$2:$D$6832,M168,'post-audit-active-backlog-statu'!$G$2:$G$6832,"Fixed")</f>
        <v>0</v>
      </c>
      <c r="P168" s="6">
        <f>COUNTIFS('post-audit-active-backlog-statu'!$D$2:$D$6832,M168,'post-audit-active-backlog-statu'!$G$2:$G$6832,"ReviewedNoChange")+COUNTIFS('post-audit-active-backlog-statu'!$D$2:$D$6832,M168,'post-audit-active-backlog-statu'!$G$2:$G$6832,"SafeNoChange")+COUNTIFS('post-audit-active-backlog-statu'!$D$2:$D$6832,M168,'post-audit-active-backlog-statu'!$G$2:$G$6832,"PolicyResolvedNoChange")</f>
        <v>0</v>
      </c>
      <c r="Q168" s="6">
        <f>COUNTIFS('post-audit-active-backlog-statu'!$D$2:$D$6832,M168,'post-audit-active-backlog-statu'!$G$2:$G$6832,"BlocksOnlyThisDomain")</f>
        <v>0</v>
      </c>
      <c r="R168" s="8">
        <f t="shared" si="4"/>
        <v>0.0</v>
      </c>
      <c r="S168" s="1"/>
      <c r="T168" s="1"/>
      <c r="U168" s="1"/>
      <c r="V168" s="1"/>
    </row>
    <row r="169" spans="1:22" ht="20.100000000000001" customHeight="1" x14ac:dyDescent="0.25">
      <c r="A169" s="1"/>
      <c r="B169" s="1"/>
      <c r="C169" s="1"/>
      <c r="D169" s="1"/>
      <c r="E169" s="1"/>
      <c r="F169" s="1"/>
      <c r="G169" s="1"/>
      <c r="H169" s="1"/>
      <c r="I169" s="1"/>
      <c r="J169" s="1"/>
      <c r="K169" s="1"/>
      <c r="L169" s="1"/>
      <c r="M169" s="4" t="s">
        <v>6416</v>
      </c>
      <c r="N169" s="6">
        <f>COUNTIF('post-audit-active-backlog-statu'!$D$2:$D$6832,M169)</f>
        <v>1</v>
      </c>
      <c r="O169" s="6">
        <f>COUNTIFS('post-audit-active-backlog-statu'!$D$2:$D$6832,M169,'post-audit-active-backlog-statu'!$G$2:$G$6832,"Fixed")</f>
        <v>0</v>
      </c>
      <c r="P169" s="6">
        <f>COUNTIFS('post-audit-active-backlog-statu'!$D$2:$D$6832,M169,'post-audit-active-backlog-statu'!$G$2:$G$6832,"ReviewedNoChange")+COUNTIFS('post-audit-active-backlog-statu'!$D$2:$D$6832,M169,'post-audit-active-backlog-statu'!$G$2:$G$6832,"SafeNoChange")+COUNTIFS('post-audit-active-backlog-statu'!$D$2:$D$6832,M169,'post-audit-active-backlog-statu'!$G$2:$G$6832,"PolicyResolvedNoChange")</f>
        <v>0</v>
      </c>
      <c r="Q169" s="6">
        <f>COUNTIFS('post-audit-active-backlog-statu'!$D$2:$D$6832,M169,'post-audit-active-backlog-statu'!$G$2:$G$6832,"BlocksOnlyThisDomain")</f>
        <v>0</v>
      </c>
      <c r="R169" s="8">
        <f t="shared" si="4"/>
        <v>0.0</v>
      </c>
      <c r="S169" s="1"/>
      <c r="T169" s="1"/>
      <c r="U169" s="1"/>
      <c r="V169" s="1"/>
    </row>
    <row r="170" spans="1:22" ht="20.100000000000001" customHeight="1" x14ac:dyDescent="0.25">
      <c r="A170" s="1"/>
      <c r="B170" s="1"/>
      <c r="C170" s="1"/>
      <c r="D170" s="1"/>
      <c r="E170" s="1"/>
      <c r="F170" s="1"/>
      <c r="G170" s="1"/>
      <c r="H170" s="1"/>
      <c r="I170" s="1"/>
      <c r="J170" s="1"/>
      <c r="K170" s="1"/>
      <c r="L170" s="1"/>
      <c r="M170" s="4" t="s">
        <v>6421</v>
      </c>
      <c r="N170" s="6">
        <f>COUNTIF('post-audit-active-backlog-statu'!$D$2:$D$6832,M170)</f>
        <v>1</v>
      </c>
      <c r="O170" s="6">
        <f>COUNTIFS('post-audit-active-backlog-statu'!$D$2:$D$6832,M170,'post-audit-active-backlog-statu'!$G$2:$G$6832,"Fixed")</f>
        <v>0</v>
      </c>
      <c r="P170" s="6">
        <f>COUNTIFS('post-audit-active-backlog-statu'!$D$2:$D$6832,M170,'post-audit-active-backlog-statu'!$G$2:$G$6832,"ReviewedNoChange")+COUNTIFS('post-audit-active-backlog-statu'!$D$2:$D$6832,M170,'post-audit-active-backlog-statu'!$G$2:$G$6832,"SafeNoChange")+COUNTIFS('post-audit-active-backlog-statu'!$D$2:$D$6832,M170,'post-audit-active-backlog-statu'!$G$2:$G$6832,"PolicyResolvedNoChange")</f>
        <v>0</v>
      </c>
      <c r="Q170" s="6">
        <f>COUNTIFS('post-audit-active-backlog-statu'!$D$2:$D$6832,M170,'post-audit-active-backlog-statu'!$G$2:$G$6832,"BlocksOnlyThisDomain")</f>
        <v>0</v>
      </c>
      <c r="R170" s="8">
        <f t="shared" si="4"/>
        <v>0.0</v>
      </c>
      <c r="S170" s="1"/>
      <c r="T170" s="1"/>
      <c r="U170" s="1"/>
      <c r="V170" s="1"/>
    </row>
    <row r="171" spans="1:22" ht="20.100000000000001" customHeight="1" x14ac:dyDescent="0.25">
      <c r="A171" s="1"/>
      <c r="B171" s="1"/>
      <c r="C171" s="1"/>
      <c r="D171" s="1"/>
      <c r="E171" s="1"/>
      <c r="F171" s="1"/>
      <c r="G171" s="1"/>
      <c r="H171" s="1"/>
      <c r="I171" s="1"/>
      <c r="J171" s="1"/>
      <c r="K171" s="1"/>
      <c r="L171" s="1"/>
      <c r="M171" s="4" t="s">
        <v>6426</v>
      </c>
      <c r="N171" s="6">
        <f>COUNTIF('post-audit-active-backlog-statu'!$D$2:$D$6832,M171)</f>
        <v>1</v>
      </c>
      <c r="O171" s="6">
        <f>COUNTIFS('post-audit-active-backlog-statu'!$D$2:$D$6832,M171,'post-audit-active-backlog-statu'!$G$2:$G$6832,"Fixed")</f>
        <v>0</v>
      </c>
      <c r="P171" s="6">
        <f>COUNTIFS('post-audit-active-backlog-statu'!$D$2:$D$6832,M171,'post-audit-active-backlog-statu'!$G$2:$G$6832,"ReviewedNoChange")+COUNTIFS('post-audit-active-backlog-statu'!$D$2:$D$6832,M171,'post-audit-active-backlog-statu'!$G$2:$G$6832,"SafeNoChange")+COUNTIFS('post-audit-active-backlog-statu'!$D$2:$D$6832,M171,'post-audit-active-backlog-statu'!$G$2:$G$6832,"PolicyResolvedNoChange")</f>
        <v>0</v>
      </c>
      <c r="Q171" s="6">
        <f>COUNTIFS('post-audit-active-backlog-statu'!$D$2:$D$6832,M171,'post-audit-active-backlog-statu'!$G$2:$G$6832,"BlocksOnlyThisDomain")</f>
        <v>0</v>
      </c>
      <c r="R171" s="8">
        <f t="shared" si="4"/>
        <v>0.0</v>
      </c>
      <c r="S171" s="1"/>
      <c r="T171" s="1"/>
      <c r="U171" s="1"/>
      <c r="V171" s="1"/>
    </row>
    <row r="172" spans="1:22" ht="20.100000000000001" customHeight="1" x14ac:dyDescent="0.25">
      <c r="A172" s="1"/>
      <c r="B172" s="1"/>
      <c r="C172" s="1"/>
      <c r="D172" s="1"/>
      <c r="E172" s="1"/>
      <c r="F172" s="1"/>
      <c r="G172" s="1"/>
      <c r="H172" s="1"/>
      <c r="I172" s="1"/>
      <c r="J172" s="1"/>
      <c r="K172" s="1"/>
      <c r="L172" s="1"/>
      <c r="M172" s="4" t="s">
        <v>6431</v>
      </c>
      <c r="N172" s="6">
        <f>COUNTIF('post-audit-active-backlog-statu'!$D$2:$D$6832,M172)</f>
        <v>1</v>
      </c>
      <c r="O172" s="6">
        <f>COUNTIFS('post-audit-active-backlog-statu'!$D$2:$D$6832,M172,'post-audit-active-backlog-statu'!$G$2:$G$6832,"Fixed")</f>
        <v>0</v>
      </c>
      <c r="P172" s="6">
        <f>COUNTIFS('post-audit-active-backlog-statu'!$D$2:$D$6832,M172,'post-audit-active-backlog-statu'!$G$2:$G$6832,"ReviewedNoChange")+COUNTIFS('post-audit-active-backlog-statu'!$D$2:$D$6832,M172,'post-audit-active-backlog-statu'!$G$2:$G$6832,"SafeNoChange")+COUNTIFS('post-audit-active-backlog-statu'!$D$2:$D$6832,M172,'post-audit-active-backlog-statu'!$G$2:$G$6832,"PolicyResolvedNoChange")</f>
        <v>0</v>
      </c>
      <c r="Q172" s="6">
        <f>COUNTIFS('post-audit-active-backlog-statu'!$D$2:$D$6832,M172,'post-audit-active-backlog-statu'!$G$2:$G$6832,"BlocksOnlyThisDomain")</f>
        <v>0</v>
      </c>
      <c r="R172" s="8">
        <f t="shared" si="4"/>
        <v>0.0</v>
      </c>
      <c r="S172" s="1"/>
      <c r="T172" s="1"/>
      <c r="U172" s="1"/>
      <c r="V172" s="1"/>
    </row>
    <row r="173" spans="1:22" ht="20.100000000000001" customHeight="1" x14ac:dyDescent="0.25">
      <c r="A173" s="1"/>
      <c r="B173" s="1"/>
      <c r="C173" s="1"/>
      <c r="D173" s="1"/>
      <c r="E173" s="1"/>
      <c r="F173" s="1"/>
      <c r="G173" s="1"/>
      <c r="H173" s="1"/>
      <c r="I173" s="1"/>
      <c r="J173" s="1"/>
      <c r="K173" s="1"/>
      <c r="L173" s="1"/>
      <c r="M173" s="4" t="s">
        <v>6436</v>
      </c>
      <c r="N173" s="6">
        <f>COUNTIF('post-audit-active-backlog-statu'!$D$2:$D$6832,M173)</f>
        <v>1</v>
      </c>
      <c r="O173" s="6">
        <f>COUNTIFS('post-audit-active-backlog-statu'!$D$2:$D$6832,M173,'post-audit-active-backlog-statu'!$G$2:$G$6832,"Fixed")</f>
        <v>0</v>
      </c>
      <c r="P173" s="6">
        <f>COUNTIFS('post-audit-active-backlog-statu'!$D$2:$D$6832,M173,'post-audit-active-backlog-statu'!$G$2:$G$6832,"ReviewedNoChange")+COUNTIFS('post-audit-active-backlog-statu'!$D$2:$D$6832,M173,'post-audit-active-backlog-statu'!$G$2:$G$6832,"SafeNoChange")+COUNTIFS('post-audit-active-backlog-statu'!$D$2:$D$6832,M173,'post-audit-active-backlog-statu'!$G$2:$G$6832,"PolicyResolvedNoChange")</f>
        <v>0</v>
      </c>
      <c r="Q173" s="6">
        <f>COUNTIFS('post-audit-active-backlog-statu'!$D$2:$D$6832,M173,'post-audit-active-backlog-statu'!$G$2:$G$6832,"BlocksOnlyThisDomain")</f>
        <v>0</v>
      </c>
      <c r="R173" s="8">
        <f t="shared" si="4"/>
        <v>0.0</v>
      </c>
      <c r="S173" s="1"/>
      <c r="T173" s="1"/>
      <c r="U173" s="1"/>
      <c r="V173" s="1"/>
    </row>
    <row r="174" spans="1:22" ht="20.100000000000001" customHeight="1" x14ac:dyDescent="0.25">
      <c r="A174" s="1"/>
      <c r="B174" s="1"/>
      <c r="C174" s="1"/>
      <c r="D174" s="1"/>
      <c r="E174" s="1"/>
      <c r="F174" s="1"/>
      <c r="G174" s="1"/>
      <c r="H174" s="1"/>
      <c r="I174" s="1"/>
      <c r="J174" s="1"/>
      <c r="K174" s="1"/>
      <c r="L174" s="1"/>
      <c r="M174" s="4" t="s">
        <v>6441</v>
      </c>
      <c r="N174" s="6">
        <f>COUNTIF('post-audit-active-backlog-statu'!$D$2:$D$6832,M174)</f>
        <v>1</v>
      </c>
      <c r="O174" s="6">
        <f>COUNTIFS('post-audit-active-backlog-statu'!$D$2:$D$6832,M174,'post-audit-active-backlog-statu'!$G$2:$G$6832,"Fixed")</f>
        <v>0</v>
      </c>
      <c r="P174" s="6">
        <f>COUNTIFS('post-audit-active-backlog-statu'!$D$2:$D$6832,M174,'post-audit-active-backlog-statu'!$G$2:$G$6832,"ReviewedNoChange")+COUNTIFS('post-audit-active-backlog-statu'!$D$2:$D$6832,M174,'post-audit-active-backlog-statu'!$G$2:$G$6832,"SafeNoChange")+COUNTIFS('post-audit-active-backlog-statu'!$D$2:$D$6832,M174,'post-audit-active-backlog-statu'!$G$2:$G$6832,"PolicyResolvedNoChange")</f>
        <v>0</v>
      </c>
      <c r="Q174" s="6">
        <f>COUNTIFS('post-audit-active-backlog-statu'!$D$2:$D$6832,M174,'post-audit-active-backlog-statu'!$G$2:$G$6832,"BlocksOnlyThisDomain")</f>
        <v>0</v>
      </c>
      <c r="R174" s="8">
        <f t="shared" si="4"/>
        <v>0.0</v>
      </c>
      <c r="S174" s="1"/>
      <c r="T174" s="1"/>
      <c r="U174" s="1"/>
      <c r="V174" s="1"/>
    </row>
    <row r="175" spans="1:22" ht="20.100000000000001" customHeight="1" x14ac:dyDescent="0.25">
      <c r="A175" s="1"/>
      <c r="B175" s="1"/>
      <c r="C175" s="1"/>
      <c r="D175" s="1"/>
      <c r="E175" s="1"/>
      <c r="F175" s="1"/>
      <c r="G175" s="1"/>
      <c r="H175" s="1"/>
      <c r="I175" s="1"/>
      <c r="J175" s="1"/>
      <c r="K175" s="1"/>
      <c r="L175" s="1"/>
      <c r="M175" s="4" t="s">
        <v>9365</v>
      </c>
      <c r="N175" s="6">
        <f>COUNTIF('post-audit-active-backlog-statu'!$D$2:$D$6832,M175)</f>
        <v>1</v>
      </c>
      <c r="O175" s="6">
        <f>COUNTIFS('post-audit-active-backlog-statu'!$D$2:$D$6832,M175,'post-audit-active-backlog-statu'!$G$2:$G$6832,"Fixed")</f>
        <v>1</v>
      </c>
      <c r="P175" s="6">
        <f>COUNTIFS('post-audit-active-backlog-statu'!$D$2:$D$6832,M175,'post-audit-active-backlog-statu'!$G$2:$G$6832,"ReviewedNoChange")+COUNTIFS('post-audit-active-backlog-statu'!$D$2:$D$6832,M175,'post-audit-active-backlog-statu'!$G$2:$G$6832,"SafeNoChange")+COUNTIFS('post-audit-active-backlog-statu'!$D$2:$D$6832,M175,'post-audit-active-backlog-statu'!$G$2:$G$6832,"PolicyResolvedNoChange")</f>
        <v>0</v>
      </c>
      <c r="Q175" s="6">
        <f>COUNTIFS('post-audit-active-backlog-statu'!$D$2:$D$6832,M175,'post-audit-active-backlog-statu'!$G$2:$G$6832,"BlocksOnlyThisDomain")</f>
        <v>0</v>
      </c>
      <c r="R175" s="8">
        <f t="shared" si="4"/>
        <v>1.0</v>
      </c>
      <c r="S175" s="1"/>
      <c r="T175" s="1"/>
      <c r="U175" s="1"/>
      <c r="V175" s="1"/>
    </row>
    <row r="176" spans="1:22" ht="20.100000000000001" customHeight="1" x14ac:dyDescent="0.25">
      <c r="A176" s="1"/>
      <c r="B176" s="1"/>
      <c r="C176" s="1"/>
      <c r="D176" s="1"/>
      <c r="E176" s="1"/>
      <c r="F176" s="1"/>
      <c r="G176" s="1"/>
      <c r="H176" s="1"/>
      <c r="I176" s="1"/>
      <c r="J176" s="1"/>
      <c r="K176" s="1"/>
      <c r="L176" s="1"/>
      <c r="M176" s="4" t="s">
        <v>15254</v>
      </c>
      <c r="N176" s="6">
        <f>COUNTIF('post-audit-active-backlog-statu'!$D$2:$D$6832,M176)</f>
        <v>1</v>
      </c>
      <c r="O176" s="6">
        <f>COUNTIFS('post-audit-active-backlog-statu'!$D$2:$D$6832,M176,'post-audit-active-backlog-statu'!$G$2:$G$6832,"Fixed")</f>
        <v>0</v>
      </c>
      <c r="P176" s="6">
        <f>COUNTIFS('post-audit-active-backlog-statu'!$D$2:$D$6832,M176,'post-audit-active-backlog-statu'!$G$2:$G$6832,"ReviewedNoChange")+COUNTIFS('post-audit-active-backlog-statu'!$D$2:$D$6832,M176,'post-audit-active-backlog-statu'!$G$2:$G$6832,"SafeNoChange")+COUNTIFS('post-audit-active-backlog-statu'!$D$2:$D$6832,M176,'post-audit-active-backlog-statu'!$G$2:$G$6832,"PolicyResolvedNoChange")</f>
        <v>0</v>
      </c>
      <c r="Q176" s="6">
        <f>COUNTIFS('post-audit-active-backlog-statu'!$D$2:$D$6832,M176,'post-audit-active-backlog-statu'!$G$2:$G$6832,"BlocksOnlyThisDomain")</f>
        <v>0</v>
      </c>
      <c r="R176" s="8">
        <f t="shared" si="4"/>
        <v>0.0</v>
      </c>
      <c r="S176" s="1"/>
      <c r="T176" s="1"/>
      <c r="U176" s="1"/>
      <c r="V176" s="1"/>
    </row>
    <row r="177" spans="1:22" ht="20.100000000000001" customHeight="1" x14ac:dyDescent="0.25">
      <c r="A177" s="1"/>
      <c r="B177" s="1"/>
      <c r="C177" s="1"/>
      <c r="D177" s="1"/>
      <c r="E177" s="1"/>
      <c r="F177" s="1"/>
      <c r="G177" s="1"/>
      <c r="H177" s="1"/>
      <c r="I177" s="1"/>
      <c r="J177" s="1"/>
      <c r="K177" s="1"/>
      <c r="L177" s="1"/>
      <c r="M177" s="4" t="s">
        <v>15265</v>
      </c>
      <c r="N177" s="6">
        <f>COUNTIF('post-audit-active-backlog-statu'!$D$2:$D$6832,M177)</f>
        <v>1</v>
      </c>
      <c r="O177" s="6">
        <f>COUNTIFS('post-audit-active-backlog-statu'!$D$2:$D$6832,M177,'post-audit-active-backlog-statu'!$G$2:$G$6832,"Fixed")</f>
        <v>0</v>
      </c>
      <c r="P177" s="6">
        <f>COUNTIFS('post-audit-active-backlog-statu'!$D$2:$D$6832,M177,'post-audit-active-backlog-statu'!$G$2:$G$6832,"ReviewedNoChange")+COUNTIFS('post-audit-active-backlog-statu'!$D$2:$D$6832,M177,'post-audit-active-backlog-statu'!$G$2:$G$6832,"SafeNoChange")+COUNTIFS('post-audit-active-backlog-statu'!$D$2:$D$6832,M177,'post-audit-active-backlog-statu'!$G$2:$G$6832,"PolicyResolvedNoChange")</f>
        <v>0</v>
      </c>
      <c r="Q177" s="6">
        <f>COUNTIFS('post-audit-active-backlog-statu'!$D$2:$D$6832,M177,'post-audit-active-backlog-statu'!$G$2:$G$6832,"BlocksOnlyThisDomain")</f>
        <v>0</v>
      </c>
      <c r="R177" s="8">
        <f t="shared" si="4"/>
        <v>0.0</v>
      </c>
      <c r="S177" s="1"/>
      <c r="T177" s="1"/>
      <c r="U177" s="1"/>
      <c r="V177" s="1"/>
    </row>
    <row r="178" spans="1:22" ht="20.100000000000001" customHeight="1" x14ac:dyDescent="0.25">
      <c r="A178" s="1"/>
      <c r="B178" s="1"/>
      <c r="C178" s="1"/>
      <c r="D178" s="1"/>
      <c r="E178" s="1"/>
      <c r="F178" s="1"/>
      <c r="G178" s="1"/>
      <c r="H178" s="1"/>
      <c r="I178" s="1"/>
      <c r="J178" s="1"/>
      <c r="K178" s="1"/>
      <c r="L178" s="1"/>
      <c r="M178" s="4" t="s">
        <v>15378</v>
      </c>
      <c r="N178" s="6">
        <f>COUNTIF('post-audit-active-backlog-statu'!$D$2:$D$6832,M178)</f>
        <v>1</v>
      </c>
      <c r="O178" s="6">
        <f>COUNTIFS('post-audit-active-backlog-statu'!$D$2:$D$6832,M178,'post-audit-active-backlog-statu'!$G$2:$G$6832,"Fixed")</f>
        <v>0</v>
      </c>
      <c r="P178" s="6">
        <f>COUNTIFS('post-audit-active-backlog-statu'!$D$2:$D$6832,M178,'post-audit-active-backlog-statu'!$G$2:$G$6832,"ReviewedNoChange")+COUNTIFS('post-audit-active-backlog-statu'!$D$2:$D$6832,M178,'post-audit-active-backlog-statu'!$G$2:$G$6832,"SafeNoChange")+COUNTIFS('post-audit-active-backlog-statu'!$D$2:$D$6832,M178,'post-audit-active-backlog-statu'!$G$2:$G$6832,"PolicyResolvedNoChange")</f>
        <v>1</v>
      </c>
      <c r="Q178" s="6">
        <f>COUNTIFS('post-audit-active-backlog-statu'!$D$2:$D$6832,M178,'post-audit-active-backlog-statu'!$G$2:$G$6832,"BlocksOnlyThisDomain")</f>
        <v>0</v>
      </c>
      <c r="R178" s="8">
        <f t="shared" si="4"/>
        <v>0.0</v>
      </c>
      <c r="S178" s="1"/>
      <c r="T178" s="1"/>
      <c r="U178" s="1"/>
      <c r="V178" s="1"/>
    </row>
    <row r="179" spans="1:22" ht="20.100000000000001" customHeight="1" x14ac:dyDescent="0.25">
      <c r="A179" s="1"/>
      <c r="B179" s="1"/>
      <c r="C179" s="1"/>
      <c r="D179" s="1"/>
      <c r="E179" s="1"/>
      <c r="F179" s="1"/>
      <c r="G179" s="1"/>
      <c r="H179" s="1"/>
      <c r="I179" s="1"/>
      <c r="J179" s="1"/>
      <c r="K179" s="1"/>
      <c r="L179" s="1"/>
      <c r="M179" s="4" t="s">
        <v>15402</v>
      </c>
      <c r="N179" s="6">
        <f>COUNTIF('post-audit-active-backlog-statu'!$D$2:$D$6832,M179)</f>
        <v>1</v>
      </c>
      <c r="O179" s="6">
        <f>COUNTIFS('post-audit-active-backlog-statu'!$D$2:$D$6832,M179,'post-audit-active-backlog-statu'!$G$2:$G$6832,"Fixed")</f>
        <v>0</v>
      </c>
      <c r="P179" s="6">
        <f>COUNTIFS('post-audit-active-backlog-statu'!$D$2:$D$6832,M179,'post-audit-active-backlog-statu'!$G$2:$G$6832,"ReviewedNoChange")+COUNTIFS('post-audit-active-backlog-statu'!$D$2:$D$6832,M179,'post-audit-active-backlog-statu'!$G$2:$G$6832,"SafeNoChange")+COUNTIFS('post-audit-active-backlog-statu'!$D$2:$D$6832,M179,'post-audit-active-backlog-statu'!$G$2:$G$6832,"PolicyResolvedNoChange")</f>
        <v>0</v>
      </c>
      <c r="Q179" s="6">
        <f>COUNTIFS('post-audit-active-backlog-statu'!$D$2:$D$6832,M179,'post-audit-active-backlog-statu'!$G$2:$G$6832,"BlocksOnlyThisDomain")</f>
        <v>0</v>
      </c>
      <c r="R179" s="8">
        <f t="shared" si="4"/>
        <v>0.0</v>
      </c>
      <c r="S179" s="1"/>
      <c r="T179" s="1"/>
      <c r="U179" s="1"/>
      <c r="V179" s="1"/>
    </row>
    <row r="180" spans="1:22" ht="20.100000000000001" customHeight="1" x14ac:dyDescent="0.25">
      <c r="A180" s="1"/>
      <c r="B180" s="1"/>
      <c r="C180" s="1"/>
      <c r="D180" s="1"/>
      <c r="E180" s="1"/>
      <c r="F180" s="1"/>
      <c r="G180" s="1"/>
      <c r="H180" s="1"/>
      <c r="I180" s="1"/>
      <c r="J180" s="1"/>
      <c r="K180" s="1"/>
      <c r="L180" s="1"/>
      <c r="M180" s="4" t="s">
        <v>17089</v>
      </c>
      <c r="N180" s="6">
        <f>COUNTIF('post-audit-active-backlog-statu'!$D$2:$D$6832,M180)</f>
        <v>1</v>
      </c>
      <c r="O180" s="6">
        <f>COUNTIFS('post-audit-active-backlog-statu'!$D$2:$D$6832,M180,'post-audit-active-backlog-statu'!$G$2:$G$6832,"Fixed")</f>
        <v>0</v>
      </c>
      <c r="P180" s="6">
        <f>COUNTIFS('post-audit-active-backlog-statu'!$D$2:$D$6832,M180,'post-audit-active-backlog-statu'!$G$2:$G$6832,"ReviewedNoChange")+COUNTIFS('post-audit-active-backlog-statu'!$D$2:$D$6832,M180,'post-audit-active-backlog-statu'!$G$2:$G$6832,"SafeNoChange")+COUNTIFS('post-audit-active-backlog-statu'!$D$2:$D$6832,M180,'post-audit-active-backlog-statu'!$G$2:$G$6832,"PolicyResolvedNoChange")</f>
        <v>1</v>
      </c>
      <c r="Q180" s="6">
        <f>COUNTIFS('post-audit-active-backlog-statu'!$D$2:$D$6832,M180,'post-audit-active-backlog-statu'!$G$2:$G$6832,"BlocksOnlyThisDomain")</f>
        <v>0</v>
      </c>
      <c r="R180" s="8">
        <f t="shared" si="4"/>
        <v>0.0</v>
      </c>
      <c r="S180" s="1"/>
      <c r="T180" s="1"/>
      <c r="U180" s="1"/>
      <c r="V180" s="1"/>
    </row>
    <row r="181" spans="1:22" ht="20.100000000000001" customHeight="1" x14ac:dyDescent="0.25">
      <c r="A181" s="1"/>
      <c r="B181" s="1"/>
      <c r="C181" s="1"/>
      <c r="D181" s="1"/>
      <c r="E181" s="1"/>
      <c r="F181" s="1"/>
      <c r="G181" s="1"/>
      <c r="H181" s="1"/>
      <c r="I181" s="1"/>
      <c r="J181" s="1"/>
      <c r="K181" s="1"/>
      <c r="L181" s="1"/>
      <c r="M181" s="4" t="s">
        <v>17140</v>
      </c>
      <c r="N181" s="6">
        <f>COUNTIF('post-audit-active-backlog-statu'!$D$2:$D$6832,M181)</f>
        <v>1</v>
      </c>
      <c r="O181" s="6">
        <f>COUNTIFS('post-audit-active-backlog-statu'!$D$2:$D$6832,M181,'post-audit-active-backlog-statu'!$G$2:$G$6832,"Fixed")</f>
        <v>0</v>
      </c>
      <c r="P181" s="6">
        <f>COUNTIFS('post-audit-active-backlog-statu'!$D$2:$D$6832,M181,'post-audit-active-backlog-statu'!$G$2:$G$6832,"ReviewedNoChange")+COUNTIFS('post-audit-active-backlog-statu'!$D$2:$D$6832,M181,'post-audit-active-backlog-statu'!$G$2:$G$6832,"SafeNoChange")+COUNTIFS('post-audit-active-backlog-statu'!$D$2:$D$6832,M181,'post-audit-active-backlog-statu'!$G$2:$G$6832,"PolicyResolvedNoChange")</f>
        <v>1</v>
      </c>
      <c r="Q181" s="6">
        <f>COUNTIFS('post-audit-active-backlog-statu'!$D$2:$D$6832,M181,'post-audit-active-backlog-statu'!$G$2:$G$6832,"BlocksOnlyThisDomain")</f>
        <v>0</v>
      </c>
      <c r="R181" s="8">
        <f t="shared" si="4"/>
        <v>0.0</v>
      </c>
      <c r="S181" s="1"/>
      <c r="T181" s="1"/>
      <c r="U181" s="1"/>
      <c r="V181" s="1"/>
    </row>
    <row r="182" spans="1:22" ht="20.100000000000001" customHeight="1" x14ac:dyDescent="0.25">
      <c r="A182" s="1"/>
      <c r="B182" s="1"/>
      <c r="C182" s="1"/>
      <c r="D182" s="1"/>
      <c r="E182" s="1"/>
      <c r="F182" s="1"/>
      <c r="G182" s="1"/>
      <c r="H182" s="1"/>
      <c r="I182" s="1"/>
      <c r="J182" s="1"/>
      <c r="K182" s="1"/>
      <c r="L182" s="1"/>
      <c r="M182" s="4" t="s">
        <v>27691</v>
      </c>
      <c r="N182" s="6">
        <f>COUNTIF('post-audit-active-backlog-statu'!$D$2:$D$6832,M182)</f>
        <v>1</v>
      </c>
      <c r="O182" s="6">
        <f>COUNTIFS('post-audit-active-backlog-statu'!$D$2:$D$6832,M182,'post-audit-active-backlog-statu'!$G$2:$G$6832,"Fixed")</f>
        <v>0</v>
      </c>
      <c r="P182" s="6">
        <f>COUNTIFS('post-audit-active-backlog-statu'!$D$2:$D$6832,M182,'post-audit-active-backlog-statu'!$G$2:$G$6832,"ReviewedNoChange")+COUNTIFS('post-audit-active-backlog-statu'!$D$2:$D$6832,M182,'post-audit-active-backlog-statu'!$G$2:$G$6832,"SafeNoChange")+COUNTIFS('post-audit-active-backlog-statu'!$D$2:$D$6832,M182,'post-audit-active-backlog-statu'!$G$2:$G$6832,"PolicyResolvedNoChange")</f>
        <v>1</v>
      </c>
      <c r="Q182" s="6">
        <f>COUNTIFS('post-audit-active-backlog-statu'!$D$2:$D$6832,M182,'post-audit-active-backlog-statu'!$G$2:$G$6832,"BlocksOnlyThisDomain")</f>
        <v>0</v>
      </c>
      <c r="R182" s="8">
        <f t="shared" si="4"/>
        <v>0.0</v>
      </c>
      <c r="S182" s="1"/>
      <c r="T182" s="1"/>
      <c r="U182" s="1"/>
      <c r="V182" s="1"/>
    </row>
    <row r="183" spans="1:22" ht="20.100000000000001" customHeight="1" x14ac:dyDescent="0.25">
      <c r="A183" s="1"/>
      <c r="B183" s="1"/>
      <c r="C183" s="1"/>
      <c r="D183" s="1"/>
      <c r="E183" s="1"/>
      <c r="F183" s="1"/>
      <c r="G183" s="1"/>
      <c r="H183" s="1"/>
      <c r="I183" s="1"/>
      <c r="J183" s="1"/>
      <c r="K183" s="1"/>
      <c r="L183" s="1"/>
      <c r="M183" s="4" t="s">
        <v>27713</v>
      </c>
      <c r="N183" s="6">
        <f>COUNTIF('post-audit-active-backlog-statu'!$D$2:$D$6832,M183)</f>
        <v>1</v>
      </c>
      <c r="O183" s="6">
        <f>COUNTIFS('post-audit-active-backlog-statu'!$D$2:$D$6832,M183,'post-audit-active-backlog-statu'!$G$2:$G$6832,"Fixed")</f>
        <v>0</v>
      </c>
      <c r="P183" s="6">
        <f>COUNTIFS('post-audit-active-backlog-statu'!$D$2:$D$6832,M183,'post-audit-active-backlog-statu'!$G$2:$G$6832,"ReviewedNoChange")+COUNTIFS('post-audit-active-backlog-statu'!$D$2:$D$6832,M183,'post-audit-active-backlog-statu'!$G$2:$G$6832,"SafeNoChange")+COUNTIFS('post-audit-active-backlog-statu'!$D$2:$D$6832,M183,'post-audit-active-backlog-statu'!$G$2:$G$6832,"PolicyResolvedNoChange")</f>
        <v>1</v>
      </c>
      <c r="Q183" s="6">
        <f>COUNTIFS('post-audit-active-backlog-statu'!$D$2:$D$6832,M183,'post-audit-active-backlog-statu'!$G$2:$G$6832,"BlocksOnlyThisDomain")</f>
        <v>0</v>
      </c>
      <c r="R183" s="8">
        <f t="shared" si="4"/>
        <v>0.0</v>
      </c>
      <c r="S183" s="1"/>
      <c r="T183" s="1"/>
      <c r="U183" s="1"/>
      <c r="V183" s="1"/>
    </row>
    <row r="184" spans="1:22" ht="20.100000000000001" customHeight="1" x14ac:dyDescent="0.25">
      <c r="A184" s="1"/>
      <c r="B184" s="1"/>
      <c r="C184" s="1"/>
      <c r="D184" s="1"/>
      <c r="E184" s="1"/>
      <c r="F184" s="1"/>
      <c r="G184" s="1"/>
      <c r="H184" s="1"/>
      <c r="I184" s="1"/>
      <c r="J184" s="1"/>
      <c r="K184" s="1"/>
      <c r="L184" s="1"/>
      <c r="M184" s="4" t="s">
        <v>27720</v>
      </c>
      <c r="N184" s="6">
        <f>COUNTIF('post-audit-active-backlog-statu'!$D$2:$D$6832,M184)</f>
        <v>1</v>
      </c>
      <c r="O184" s="6">
        <f>COUNTIFS('post-audit-active-backlog-statu'!$D$2:$D$6832,M184,'post-audit-active-backlog-statu'!$G$2:$G$6832,"Fixed")</f>
        <v>0</v>
      </c>
      <c r="P184" s="6">
        <f>COUNTIFS('post-audit-active-backlog-statu'!$D$2:$D$6832,M184,'post-audit-active-backlog-statu'!$G$2:$G$6832,"ReviewedNoChange")+COUNTIFS('post-audit-active-backlog-statu'!$D$2:$D$6832,M184,'post-audit-active-backlog-statu'!$G$2:$G$6832,"SafeNoChange")+COUNTIFS('post-audit-active-backlog-statu'!$D$2:$D$6832,M184,'post-audit-active-backlog-statu'!$G$2:$G$6832,"PolicyResolvedNoChange")</f>
        <v>1</v>
      </c>
      <c r="Q184" s="6">
        <f>COUNTIFS('post-audit-active-backlog-statu'!$D$2:$D$6832,M184,'post-audit-active-backlog-statu'!$G$2:$G$6832,"BlocksOnlyThisDomain")</f>
        <v>0</v>
      </c>
      <c r="R184" s="8">
        <f t="shared" si="4"/>
        <v>0.0</v>
      </c>
      <c r="S184" s="1"/>
      <c r="T184" s="1"/>
      <c r="U184" s="1"/>
      <c r="V184" s="1"/>
    </row>
    <row r="185" spans="1:22" ht="20.100000000000001" customHeight="1" x14ac:dyDescent="0.25">
      <c r="A185" s="1"/>
      <c r="B185" s="1"/>
      <c r="C185" s="1"/>
      <c r="D185" s="1"/>
      <c r="E185" s="1"/>
      <c r="F185" s="1"/>
      <c r="G185" s="1"/>
      <c r="H185" s="1"/>
      <c r="I185" s="1"/>
      <c r="J185" s="1"/>
      <c r="K185" s="1"/>
      <c r="L185" s="1"/>
      <c r="M185" s="4" t="s">
        <v>27727</v>
      </c>
      <c r="N185" s="6">
        <f>COUNTIF('post-audit-active-backlog-statu'!$D$2:$D$6832,M185)</f>
        <v>1</v>
      </c>
      <c r="O185" s="6">
        <f>COUNTIFS('post-audit-active-backlog-statu'!$D$2:$D$6832,M185,'post-audit-active-backlog-statu'!$G$2:$G$6832,"Fixed")</f>
        <v>0</v>
      </c>
      <c r="P185" s="6">
        <f>COUNTIFS('post-audit-active-backlog-statu'!$D$2:$D$6832,M185,'post-audit-active-backlog-statu'!$G$2:$G$6832,"ReviewedNoChange")+COUNTIFS('post-audit-active-backlog-statu'!$D$2:$D$6832,M185,'post-audit-active-backlog-statu'!$G$2:$G$6832,"SafeNoChange")+COUNTIFS('post-audit-active-backlog-statu'!$D$2:$D$6832,M185,'post-audit-active-backlog-statu'!$G$2:$G$6832,"PolicyResolvedNoChange")</f>
        <v>1</v>
      </c>
      <c r="Q185" s="6">
        <f>COUNTIFS('post-audit-active-backlog-statu'!$D$2:$D$6832,M185,'post-audit-active-backlog-statu'!$G$2:$G$6832,"BlocksOnlyThisDomain")</f>
        <v>0</v>
      </c>
      <c r="R185" s="8">
        <f t="shared" si="4"/>
        <v>0.0</v>
      </c>
      <c r="S185" s="1"/>
      <c r="T185" s="1"/>
      <c r="U185" s="1"/>
      <c r="V185" s="1"/>
    </row>
    <row r="186" spans="1:22" ht="20.100000000000001" customHeight="1" x14ac:dyDescent="0.25">
      <c r="A186" s="1"/>
      <c r="B186" s="1"/>
      <c r="C186" s="1"/>
      <c r="D186" s="1"/>
      <c r="E186" s="1"/>
      <c r="F186" s="1"/>
      <c r="G186" s="1"/>
      <c r="H186" s="1"/>
      <c r="I186" s="1"/>
      <c r="J186" s="1"/>
      <c r="K186" s="1"/>
      <c r="L186" s="1"/>
      <c r="M186" s="4" t="s">
        <v>31983</v>
      </c>
      <c r="N186" s="6">
        <f>COUNTIF('post-audit-active-backlog-statu'!$D$2:$D$6832,M186)</f>
        <v>1</v>
      </c>
      <c r="O186" s="6">
        <f>COUNTIFS('post-audit-active-backlog-statu'!$D$2:$D$6832,M186,'post-audit-active-backlog-statu'!$G$2:$G$6832,"Fixed")</f>
        <v>0</v>
      </c>
      <c r="P186" s="6">
        <f>COUNTIFS('post-audit-active-backlog-statu'!$D$2:$D$6832,M186,'post-audit-active-backlog-statu'!$G$2:$G$6832,"ReviewedNoChange")+COUNTIFS('post-audit-active-backlog-statu'!$D$2:$D$6832,M186,'post-audit-active-backlog-statu'!$G$2:$G$6832,"SafeNoChange")+COUNTIFS('post-audit-active-backlog-statu'!$D$2:$D$6832,M186,'post-audit-active-backlog-statu'!$G$2:$G$6832,"PolicyResolvedNoChange")</f>
        <v>0</v>
      </c>
      <c r="Q186" s="6">
        <f>COUNTIFS('post-audit-active-backlog-statu'!$D$2:$D$6832,M186,'post-audit-active-backlog-statu'!$G$2:$G$6832,"BlocksOnlyThisDomain")</f>
        <v>0</v>
      </c>
      <c r="R186" s="8">
        <f t="shared" si="4"/>
        <v>0.0</v>
      </c>
      <c r="S186" s="1"/>
      <c r="T186" s="1"/>
      <c r="U186" s="1"/>
      <c r="V186" s="1"/>
    </row>
    <row r="187" spans="1:22" ht="20.100000000000001" customHeight="1" x14ac:dyDescent="0.25">
      <c r="A187" s="1"/>
      <c r="B187" s="1"/>
      <c r="C187" s="1"/>
      <c r="D187" s="1"/>
      <c r="E187" s="1"/>
      <c r="F187" s="1"/>
      <c r="G187" s="1"/>
      <c r="H187" s="1"/>
      <c r="I187" s="1"/>
      <c r="J187" s="1"/>
      <c r="K187" s="1"/>
      <c r="L187" s="1"/>
      <c r="M187" s="4" t="s">
        <v>31991</v>
      </c>
      <c r="N187" s="6">
        <f>COUNTIF('post-audit-active-backlog-statu'!$D$2:$D$6832,M187)</f>
        <v>1</v>
      </c>
      <c r="O187" s="6">
        <f>COUNTIFS('post-audit-active-backlog-statu'!$D$2:$D$6832,M187,'post-audit-active-backlog-statu'!$G$2:$G$6832,"Fixed")</f>
        <v>0</v>
      </c>
      <c r="P187" s="6">
        <f>COUNTIFS('post-audit-active-backlog-statu'!$D$2:$D$6832,M187,'post-audit-active-backlog-statu'!$G$2:$G$6832,"ReviewedNoChange")+COUNTIFS('post-audit-active-backlog-statu'!$D$2:$D$6832,M187,'post-audit-active-backlog-statu'!$G$2:$G$6832,"SafeNoChange")+COUNTIFS('post-audit-active-backlog-statu'!$D$2:$D$6832,M187,'post-audit-active-backlog-statu'!$G$2:$G$6832,"PolicyResolvedNoChange")</f>
        <v>0</v>
      </c>
      <c r="Q187" s="6">
        <f>COUNTIFS('post-audit-active-backlog-statu'!$D$2:$D$6832,M187,'post-audit-active-backlog-statu'!$G$2:$G$6832,"BlocksOnlyThisDomain")</f>
        <v>0</v>
      </c>
      <c r="R187" s="8">
        <f t="shared" si="4"/>
        <v>0.0</v>
      </c>
      <c r="S187" s="1"/>
      <c r="T187" s="1"/>
      <c r="U187" s="1"/>
      <c r="V187" s="1"/>
    </row>
    <row r="188" spans="1:22" ht="20.100000000000001" customHeight="1" x14ac:dyDescent="0.25">
      <c r="A188" s="1"/>
      <c r="B188" s="1"/>
      <c r="C188" s="1"/>
      <c r="D188" s="1"/>
      <c r="E188" s="1"/>
      <c r="F188" s="1"/>
      <c r="G188" s="1"/>
      <c r="H188" s="1"/>
      <c r="I188" s="1"/>
      <c r="J188" s="1"/>
      <c r="K188" s="1"/>
      <c r="L188" s="1"/>
      <c r="M188" s="4" t="s">
        <v>31996</v>
      </c>
      <c r="N188" s="6">
        <f>COUNTIF('post-audit-active-backlog-statu'!$D$2:$D$6832,M188)</f>
        <v>1</v>
      </c>
      <c r="O188" s="6">
        <f>COUNTIFS('post-audit-active-backlog-statu'!$D$2:$D$6832,M188,'post-audit-active-backlog-statu'!$G$2:$G$6832,"Fixed")</f>
        <v>0</v>
      </c>
      <c r="P188" s="6">
        <f>COUNTIFS('post-audit-active-backlog-statu'!$D$2:$D$6832,M188,'post-audit-active-backlog-statu'!$G$2:$G$6832,"ReviewedNoChange")+COUNTIFS('post-audit-active-backlog-statu'!$D$2:$D$6832,M188,'post-audit-active-backlog-statu'!$G$2:$G$6832,"SafeNoChange")+COUNTIFS('post-audit-active-backlog-statu'!$D$2:$D$6832,M188,'post-audit-active-backlog-statu'!$G$2:$G$6832,"PolicyResolvedNoChange")</f>
        <v>0</v>
      </c>
      <c r="Q188" s="6">
        <f>COUNTIFS('post-audit-active-backlog-statu'!$D$2:$D$6832,M188,'post-audit-active-backlog-statu'!$G$2:$G$6832,"BlocksOnlyThisDomain")</f>
        <v>0</v>
      </c>
      <c r="R188" s="8">
        <f t="shared" si="4"/>
        <v>0.0</v>
      </c>
      <c r="S188" s="1"/>
      <c r="T188" s="1"/>
      <c r="U188" s="1"/>
      <c r="V188" s="1"/>
    </row>
    <row r="189" spans="1:22" ht="20.100000000000001" customHeight="1" x14ac:dyDescent="0.25">
      <c r="A189" s="1"/>
      <c r="B189" s="1"/>
      <c r="C189" s="1"/>
      <c r="D189" s="1"/>
      <c r="E189" s="1"/>
      <c r="F189" s="1"/>
      <c r="G189" s="1"/>
      <c r="H189" s="1"/>
      <c r="I189" s="1"/>
      <c r="J189" s="1"/>
      <c r="K189" s="1"/>
      <c r="L189" s="1"/>
      <c r="M189" s="4" t="s">
        <v>32002</v>
      </c>
      <c r="N189" s="6">
        <f>COUNTIF('post-audit-active-backlog-statu'!$D$2:$D$6832,M189)</f>
        <v>1</v>
      </c>
      <c r="O189" s="6">
        <f>COUNTIFS('post-audit-active-backlog-statu'!$D$2:$D$6832,M189,'post-audit-active-backlog-statu'!$G$2:$G$6832,"Fixed")</f>
        <v>0</v>
      </c>
      <c r="P189" s="6">
        <f>COUNTIFS('post-audit-active-backlog-statu'!$D$2:$D$6832,M189,'post-audit-active-backlog-statu'!$G$2:$G$6832,"ReviewedNoChange")+COUNTIFS('post-audit-active-backlog-statu'!$D$2:$D$6832,M189,'post-audit-active-backlog-statu'!$G$2:$G$6832,"SafeNoChange")+COUNTIFS('post-audit-active-backlog-statu'!$D$2:$D$6832,M189,'post-audit-active-backlog-statu'!$G$2:$G$6832,"PolicyResolvedNoChange")</f>
        <v>0</v>
      </c>
      <c r="Q189" s="6">
        <f>COUNTIFS('post-audit-active-backlog-statu'!$D$2:$D$6832,M189,'post-audit-active-backlog-statu'!$G$2:$G$6832,"BlocksOnlyThisDomain")</f>
        <v>0</v>
      </c>
      <c r="R189" s="8">
        <f t="shared" si="4"/>
        <v>0.0</v>
      </c>
      <c r="S189" s="1"/>
      <c r="T189" s="1"/>
      <c r="U189" s="1"/>
      <c r="V189" s="1"/>
    </row>
    <row r="190" spans="1:22" ht="20.100000000000001" customHeight="1" x14ac:dyDescent="0.25">
      <c r="A190" s="1"/>
      <c r="B190" s="1"/>
      <c r="C190" s="1"/>
      <c r="D190" s="1"/>
      <c r="E190" s="1"/>
      <c r="F190" s="1"/>
      <c r="G190" s="1"/>
      <c r="H190" s="1"/>
      <c r="I190" s="1"/>
      <c r="J190" s="1"/>
      <c r="K190" s="1"/>
      <c r="L190" s="1"/>
      <c r="M190" s="4" t="s">
        <v>32007</v>
      </c>
      <c r="N190" s="6">
        <f>COUNTIF('post-audit-active-backlog-statu'!$D$2:$D$6832,M190)</f>
        <v>1</v>
      </c>
      <c r="O190" s="6">
        <f>COUNTIFS('post-audit-active-backlog-statu'!$D$2:$D$6832,M190,'post-audit-active-backlog-statu'!$G$2:$G$6832,"Fixed")</f>
        <v>0</v>
      </c>
      <c r="P190" s="6">
        <f>COUNTIFS('post-audit-active-backlog-statu'!$D$2:$D$6832,M190,'post-audit-active-backlog-statu'!$G$2:$G$6832,"ReviewedNoChange")+COUNTIFS('post-audit-active-backlog-statu'!$D$2:$D$6832,M190,'post-audit-active-backlog-statu'!$G$2:$G$6832,"SafeNoChange")+COUNTIFS('post-audit-active-backlog-statu'!$D$2:$D$6832,M190,'post-audit-active-backlog-statu'!$G$2:$G$6832,"PolicyResolvedNoChange")</f>
        <v>0</v>
      </c>
      <c r="Q190" s="6">
        <f>COUNTIFS('post-audit-active-backlog-statu'!$D$2:$D$6832,M190,'post-audit-active-backlog-statu'!$G$2:$G$6832,"BlocksOnlyThisDomain")</f>
        <v>0</v>
      </c>
      <c r="R190" s="8">
        <f t="shared" si="4"/>
        <v>0.0</v>
      </c>
      <c r="S190" s="1"/>
      <c r="T190" s="1"/>
      <c r="U190" s="1"/>
      <c r="V190" s="1"/>
    </row>
    <row r="191" spans="1:22" ht="20.100000000000001" customHeight="1" x14ac:dyDescent="0.25">
      <c r="A191" s="1"/>
      <c r="B191" s="1"/>
      <c r="C191" s="1"/>
      <c r="D191" s="1"/>
      <c r="E191" s="1"/>
      <c r="F191" s="1"/>
      <c r="G191" s="1"/>
      <c r="H191" s="1"/>
      <c r="I191" s="1"/>
      <c r="J191" s="1"/>
      <c r="K191" s="1"/>
      <c r="L191" s="1"/>
      <c r="M191" s="4" t="s">
        <v>32012</v>
      </c>
      <c r="N191" s="6">
        <f>COUNTIF('post-audit-active-backlog-statu'!$D$2:$D$6832,M191)</f>
        <v>1</v>
      </c>
      <c r="O191" s="6">
        <f>COUNTIFS('post-audit-active-backlog-statu'!$D$2:$D$6832,M191,'post-audit-active-backlog-statu'!$G$2:$G$6832,"Fixed")</f>
        <v>0</v>
      </c>
      <c r="P191" s="6">
        <f>COUNTIFS('post-audit-active-backlog-statu'!$D$2:$D$6832,M191,'post-audit-active-backlog-statu'!$G$2:$G$6832,"ReviewedNoChange")+COUNTIFS('post-audit-active-backlog-statu'!$D$2:$D$6832,M191,'post-audit-active-backlog-statu'!$G$2:$G$6832,"SafeNoChange")+COUNTIFS('post-audit-active-backlog-statu'!$D$2:$D$6832,M191,'post-audit-active-backlog-statu'!$G$2:$G$6832,"PolicyResolvedNoChange")</f>
        <v>0</v>
      </c>
      <c r="Q191" s="6">
        <f>COUNTIFS('post-audit-active-backlog-statu'!$D$2:$D$6832,M191,'post-audit-active-backlog-statu'!$G$2:$G$6832,"BlocksOnlyThisDomain")</f>
        <v>0</v>
      </c>
      <c r="R191" s="8">
        <f t="shared" si="4"/>
        <v>0.0</v>
      </c>
      <c r="S191" s="1"/>
      <c r="T191" s="1"/>
      <c r="U191" s="1"/>
      <c r="V191" s="1"/>
    </row>
    <row r="192" spans="1:22" ht="20.100000000000001" customHeight="1" x14ac:dyDescent="0.25">
      <c r="A192" s="1"/>
      <c r="B192" s="1"/>
      <c r="C192" s="1"/>
      <c r="D192" s="1"/>
      <c r="E192" s="1"/>
      <c r="F192" s="1"/>
      <c r="G192" s="1"/>
      <c r="H192" s="1"/>
      <c r="I192" s="1"/>
      <c r="J192" s="1"/>
      <c r="K192" s="1"/>
      <c r="L192" s="1"/>
      <c r="M192" s="4" t="s">
        <v>32017</v>
      </c>
      <c r="N192" s="6">
        <f>COUNTIF('post-audit-active-backlog-statu'!$D$2:$D$6832,M192)</f>
        <v>1</v>
      </c>
      <c r="O192" s="6">
        <f>COUNTIFS('post-audit-active-backlog-statu'!$D$2:$D$6832,M192,'post-audit-active-backlog-statu'!$G$2:$G$6832,"Fixed")</f>
        <v>0</v>
      </c>
      <c r="P192" s="6">
        <f>COUNTIFS('post-audit-active-backlog-statu'!$D$2:$D$6832,M192,'post-audit-active-backlog-statu'!$G$2:$G$6832,"ReviewedNoChange")+COUNTIFS('post-audit-active-backlog-statu'!$D$2:$D$6832,M192,'post-audit-active-backlog-statu'!$G$2:$G$6832,"SafeNoChange")+COUNTIFS('post-audit-active-backlog-statu'!$D$2:$D$6832,M192,'post-audit-active-backlog-statu'!$G$2:$G$6832,"PolicyResolvedNoChange")</f>
        <v>0</v>
      </c>
      <c r="Q192" s="6">
        <f>COUNTIFS('post-audit-active-backlog-statu'!$D$2:$D$6832,M192,'post-audit-active-backlog-statu'!$G$2:$G$6832,"BlocksOnlyThisDomain")</f>
        <v>0</v>
      </c>
      <c r="R192" s="8">
        <f t="shared" si="4"/>
        <v>0.0</v>
      </c>
      <c r="S192" s="1"/>
      <c r="T192" s="1"/>
      <c r="U192" s="1"/>
      <c r="V192" s="1"/>
    </row>
    <row r="193" spans="1:22" ht="20.100000000000001" customHeight="1" x14ac:dyDescent="0.25">
      <c r="A193" s="1"/>
      <c r="B193" s="1"/>
      <c r="C193" s="1"/>
      <c r="D193" s="1"/>
      <c r="E193" s="1"/>
      <c r="F193" s="1"/>
      <c r="G193" s="1"/>
      <c r="H193" s="1"/>
      <c r="I193" s="1"/>
      <c r="J193" s="1"/>
      <c r="K193" s="1"/>
      <c r="L193" s="1"/>
      <c r="M193" s="4" t="s">
        <v>32022</v>
      </c>
      <c r="N193" s="6">
        <f>COUNTIF('post-audit-active-backlog-statu'!$D$2:$D$6832,M193)</f>
        <v>1</v>
      </c>
      <c r="O193" s="6">
        <f>COUNTIFS('post-audit-active-backlog-statu'!$D$2:$D$6832,M193,'post-audit-active-backlog-statu'!$G$2:$G$6832,"Fixed")</f>
        <v>0</v>
      </c>
      <c r="P193" s="6">
        <f>COUNTIFS('post-audit-active-backlog-statu'!$D$2:$D$6832,M193,'post-audit-active-backlog-statu'!$G$2:$G$6832,"ReviewedNoChange")+COUNTIFS('post-audit-active-backlog-statu'!$D$2:$D$6832,M193,'post-audit-active-backlog-statu'!$G$2:$G$6832,"SafeNoChange")+COUNTIFS('post-audit-active-backlog-statu'!$D$2:$D$6832,M193,'post-audit-active-backlog-statu'!$G$2:$G$6832,"PolicyResolvedNoChange")</f>
        <v>0</v>
      </c>
      <c r="Q193" s="6">
        <f>COUNTIFS('post-audit-active-backlog-statu'!$D$2:$D$6832,M193,'post-audit-active-backlog-statu'!$G$2:$G$6832,"BlocksOnlyThisDomain")</f>
        <v>0</v>
      </c>
      <c r="R193" s="8">
        <f t="shared" si="4"/>
        <v>0.0</v>
      </c>
      <c r="S193" s="1"/>
      <c r="T193" s="1"/>
      <c r="U193" s="1"/>
      <c r="V193" s="1"/>
    </row>
    <row r="194" spans="1:22" ht="20.100000000000001" customHeight="1" x14ac:dyDescent="0.25">
      <c r="A194" s="1"/>
      <c r="B194" s="1"/>
      <c r="C194" s="1"/>
      <c r="D194" s="1"/>
      <c r="E194" s="1"/>
      <c r="F194" s="1"/>
      <c r="G194" s="1"/>
      <c r="H194" s="1"/>
      <c r="I194" s="1"/>
      <c r="J194" s="1"/>
      <c r="K194" s="1"/>
      <c r="L194" s="1"/>
      <c r="M194" s="4" t="s">
        <v>32027</v>
      </c>
      <c r="N194" s="6">
        <f>COUNTIF('post-audit-active-backlog-statu'!$D$2:$D$6832,M194)</f>
        <v>1</v>
      </c>
      <c r="O194" s="6">
        <f>COUNTIFS('post-audit-active-backlog-statu'!$D$2:$D$6832,M194,'post-audit-active-backlog-statu'!$G$2:$G$6832,"Fixed")</f>
        <v>0</v>
      </c>
      <c r="P194" s="6">
        <f>COUNTIFS('post-audit-active-backlog-statu'!$D$2:$D$6832,M194,'post-audit-active-backlog-statu'!$G$2:$G$6832,"ReviewedNoChange")+COUNTIFS('post-audit-active-backlog-statu'!$D$2:$D$6832,M194,'post-audit-active-backlog-statu'!$G$2:$G$6832,"SafeNoChange")+COUNTIFS('post-audit-active-backlog-statu'!$D$2:$D$6832,M194,'post-audit-active-backlog-statu'!$G$2:$G$6832,"PolicyResolvedNoChange")</f>
        <v>0</v>
      </c>
      <c r="Q194" s="6">
        <f>COUNTIFS('post-audit-active-backlog-statu'!$D$2:$D$6832,M194,'post-audit-active-backlog-statu'!$G$2:$G$6832,"BlocksOnlyThisDomain")</f>
        <v>0</v>
      </c>
      <c r="R194" s="8">
        <f t="shared" si="4"/>
        <v>0.0</v>
      </c>
      <c r="S194" s="1"/>
      <c r="T194" s="1"/>
      <c r="U194" s="1"/>
      <c r="V194" s="1"/>
    </row>
    <row r="195" spans="1:22" ht="20.100000000000001" customHeight="1" x14ac:dyDescent="0.25">
      <c r="A195" s="1"/>
      <c r="B195" s="1"/>
      <c r="C195" s="1"/>
      <c r="D195" s="1"/>
      <c r="E195" s="1"/>
      <c r="F195" s="1"/>
      <c r="G195" s="1"/>
      <c r="H195" s="1"/>
      <c r="I195" s="1"/>
      <c r="J195" s="1"/>
      <c r="K195" s="1"/>
      <c r="L195" s="1"/>
      <c r="M195" s="4" t="s">
        <v>32032</v>
      </c>
      <c r="N195" s="6">
        <f>COUNTIF('post-audit-active-backlog-statu'!$D$2:$D$6832,M195)</f>
        <v>1</v>
      </c>
      <c r="O195" s="6">
        <f>COUNTIFS('post-audit-active-backlog-statu'!$D$2:$D$6832,M195,'post-audit-active-backlog-statu'!$G$2:$G$6832,"Fixed")</f>
        <v>0</v>
      </c>
      <c r="P195" s="6">
        <f>COUNTIFS('post-audit-active-backlog-statu'!$D$2:$D$6832,M195,'post-audit-active-backlog-statu'!$G$2:$G$6832,"ReviewedNoChange")+COUNTIFS('post-audit-active-backlog-statu'!$D$2:$D$6832,M195,'post-audit-active-backlog-statu'!$G$2:$G$6832,"SafeNoChange")+COUNTIFS('post-audit-active-backlog-statu'!$D$2:$D$6832,M195,'post-audit-active-backlog-statu'!$G$2:$G$6832,"PolicyResolvedNoChange")</f>
        <v>0</v>
      </c>
      <c r="Q195" s="6">
        <f>COUNTIFS('post-audit-active-backlog-statu'!$D$2:$D$6832,M195,'post-audit-active-backlog-statu'!$G$2:$G$6832,"BlocksOnlyThisDomain")</f>
        <v>0</v>
      </c>
      <c r="R195" s="8">
        <f t="shared" si="4"/>
        <v>0.0</v>
      </c>
      <c r="S195" s="1"/>
      <c r="T195" s="1"/>
      <c r="U195" s="1"/>
      <c r="V195" s="1"/>
    </row>
    <row r="196" spans="1:22" ht="20.100000000000001" customHeight="1" x14ac:dyDescent="0.25">
      <c r="A196" s="1"/>
      <c r="B196" s="1"/>
      <c r="C196" s="1"/>
      <c r="D196" s="1"/>
      <c r="E196" s="1"/>
      <c r="F196" s="1"/>
      <c r="G196" s="1"/>
      <c r="H196" s="1"/>
      <c r="I196" s="1"/>
      <c r="J196" s="1"/>
      <c r="K196" s="1"/>
      <c r="L196" s="1"/>
      <c r="M196" s="4" t="s">
        <v>32038</v>
      </c>
      <c r="N196" s="6">
        <f>COUNTIF('post-audit-active-backlog-statu'!$D$2:$D$6832,M196)</f>
        <v>1</v>
      </c>
      <c r="O196" s="6">
        <f>COUNTIFS('post-audit-active-backlog-statu'!$D$2:$D$6832,M196,'post-audit-active-backlog-statu'!$G$2:$G$6832,"Fixed")</f>
        <v>0</v>
      </c>
      <c r="P196" s="6">
        <f>COUNTIFS('post-audit-active-backlog-statu'!$D$2:$D$6832,M196,'post-audit-active-backlog-statu'!$G$2:$G$6832,"ReviewedNoChange")+COUNTIFS('post-audit-active-backlog-statu'!$D$2:$D$6832,M196,'post-audit-active-backlog-statu'!$G$2:$G$6832,"SafeNoChange")+COUNTIFS('post-audit-active-backlog-statu'!$D$2:$D$6832,M196,'post-audit-active-backlog-statu'!$G$2:$G$6832,"PolicyResolvedNoChange")</f>
        <v>0</v>
      </c>
      <c r="Q196" s="6">
        <f>COUNTIFS('post-audit-active-backlog-statu'!$D$2:$D$6832,M196,'post-audit-active-backlog-statu'!$G$2:$G$6832,"BlocksOnlyThisDomain")</f>
        <v>0</v>
      </c>
      <c r="R196" s="8">
        <f t="shared" si="4"/>
        <v>0.0</v>
      </c>
      <c r="S196" s="1"/>
      <c r="T196" s="1"/>
      <c r="U196" s="1"/>
      <c r="V196" s="1"/>
    </row>
    <row r="197" spans="1:22" ht="20.100000000000001" customHeight="1" x14ac:dyDescent="0.25">
      <c r="A197" s="1"/>
      <c r="B197" s="1"/>
      <c r="C197" s="1"/>
      <c r="D197" s="1"/>
      <c r="E197" s="1"/>
      <c r="F197" s="1"/>
      <c r="G197" s="1"/>
      <c r="H197" s="1"/>
      <c r="I197" s="1"/>
      <c r="J197" s="1"/>
      <c r="K197" s="1"/>
      <c r="L197" s="1"/>
      <c r="M197" s="4" t="s">
        <v>32043</v>
      </c>
      <c r="N197" s="6">
        <f>COUNTIF('post-audit-active-backlog-statu'!$D$2:$D$6832,M197)</f>
        <v>1</v>
      </c>
      <c r="O197" s="6">
        <f>COUNTIFS('post-audit-active-backlog-statu'!$D$2:$D$6832,M197,'post-audit-active-backlog-statu'!$G$2:$G$6832,"Fixed")</f>
        <v>0</v>
      </c>
      <c r="P197" s="6">
        <f>COUNTIFS('post-audit-active-backlog-statu'!$D$2:$D$6832,M197,'post-audit-active-backlog-statu'!$G$2:$G$6832,"ReviewedNoChange")+COUNTIFS('post-audit-active-backlog-statu'!$D$2:$D$6832,M197,'post-audit-active-backlog-statu'!$G$2:$G$6832,"SafeNoChange")+COUNTIFS('post-audit-active-backlog-statu'!$D$2:$D$6832,M197,'post-audit-active-backlog-statu'!$G$2:$G$6832,"PolicyResolvedNoChange")</f>
        <v>0</v>
      </c>
      <c r="Q197" s="6">
        <f>COUNTIFS('post-audit-active-backlog-statu'!$D$2:$D$6832,M197,'post-audit-active-backlog-statu'!$G$2:$G$6832,"BlocksOnlyThisDomain")</f>
        <v>0</v>
      </c>
      <c r="R197" s="8">
        <f t="shared" ref="R197:R209" si="5">O197/N197</f>
        <v>0.0</v>
      </c>
      <c r="S197" s="1"/>
      <c r="T197" s="1"/>
      <c r="U197" s="1"/>
      <c r="V197" s="1"/>
    </row>
    <row r="198" spans="1:22" ht="20.100000000000001" customHeight="1" x14ac:dyDescent="0.25">
      <c r="A198" s="1"/>
      <c r="B198" s="1"/>
      <c r="C198" s="1"/>
      <c r="D198" s="1"/>
      <c r="E198" s="1"/>
      <c r="F198" s="1"/>
      <c r="G198" s="1"/>
      <c r="H198" s="1"/>
      <c r="I198" s="1"/>
      <c r="J198" s="1"/>
      <c r="K198" s="1"/>
      <c r="L198" s="1"/>
      <c r="M198" s="4" t="s">
        <v>32049</v>
      </c>
      <c r="N198" s="6">
        <f>COUNTIF('post-audit-active-backlog-statu'!$D$2:$D$6832,M198)</f>
        <v>1</v>
      </c>
      <c r="O198" s="6">
        <f>COUNTIFS('post-audit-active-backlog-statu'!$D$2:$D$6832,M198,'post-audit-active-backlog-statu'!$G$2:$G$6832,"Fixed")</f>
        <v>0</v>
      </c>
      <c r="P198" s="6">
        <f>COUNTIFS('post-audit-active-backlog-statu'!$D$2:$D$6832,M198,'post-audit-active-backlog-statu'!$G$2:$G$6832,"ReviewedNoChange")+COUNTIFS('post-audit-active-backlog-statu'!$D$2:$D$6832,M198,'post-audit-active-backlog-statu'!$G$2:$G$6832,"SafeNoChange")+COUNTIFS('post-audit-active-backlog-statu'!$D$2:$D$6832,M198,'post-audit-active-backlog-statu'!$G$2:$G$6832,"PolicyResolvedNoChange")</f>
        <v>0</v>
      </c>
      <c r="Q198" s="6">
        <f>COUNTIFS('post-audit-active-backlog-statu'!$D$2:$D$6832,M198,'post-audit-active-backlog-statu'!$G$2:$G$6832,"BlocksOnlyThisDomain")</f>
        <v>0</v>
      </c>
      <c r="R198" s="8">
        <f t="shared" si="5"/>
        <v>0.0</v>
      </c>
      <c r="S198" s="1"/>
      <c r="T198" s="1"/>
      <c r="U198" s="1"/>
      <c r="V198" s="1"/>
    </row>
    <row r="199" spans="1:22" ht="20.100000000000001" customHeight="1" x14ac:dyDescent="0.25">
      <c r="A199" s="1"/>
      <c r="B199" s="1"/>
      <c r="C199" s="1"/>
      <c r="D199" s="1"/>
      <c r="E199" s="1"/>
      <c r="F199" s="1"/>
      <c r="G199" s="1"/>
      <c r="H199" s="1"/>
      <c r="I199" s="1"/>
      <c r="J199" s="1"/>
      <c r="K199" s="1"/>
      <c r="L199" s="1"/>
      <c r="M199" s="4" t="s">
        <v>32054</v>
      </c>
      <c r="N199" s="6">
        <f>COUNTIF('post-audit-active-backlog-statu'!$D$2:$D$6832,M199)</f>
        <v>1</v>
      </c>
      <c r="O199" s="6">
        <f>COUNTIFS('post-audit-active-backlog-statu'!$D$2:$D$6832,M199,'post-audit-active-backlog-statu'!$G$2:$G$6832,"Fixed")</f>
        <v>0</v>
      </c>
      <c r="P199" s="6">
        <f>COUNTIFS('post-audit-active-backlog-statu'!$D$2:$D$6832,M199,'post-audit-active-backlog-statu'!$G$2:$G$6832,"ReviewedNoChange")+COUNTIFS('post-audit-active-backlog-statu'!$D$2:$D$6832,M199,'post-audit-active-backlog-statu'!$G$2:$G$6832,"SafeNoChange")+COUNTIFS('post-audit-active-backlog-statu'!$D$2:$D$6832,M199,'post-audit-active-backlog-statu'!$G$2:$G$6832,"PolicyResolvedNoChange")</f>
        <v>0</v>
      </c>
      <c r="Q199" s="6">
        <f>COUNTIFS('post-audit-active-backlog-statu'!$D$2:$D$6832,M199,'post-audit-active-backlog-statu'!$G$2:$G$6832,"BlocksOnlyThisDomain")</f>
        <v>0</v>
      </c>
      <c r="R199" s="8">
        <f t="shared" si="5"/>
        <v>0.0</v>
      </c>
      <c r="S199" s="1"/>
      <c r="T199" s="1"/>
      <c r="U199" s="1"/>
      <c r="V199" s="1"/>
    </row>
    <row r="200" spans="1:22" ht="20.100000000000001" customHeight="1" x14ac:dyDescent="0.25">
      <c r="A200" s="1"/>
      <c r="B200" s="1"/>
      <c r="C200" s="1"/>
      <c r="D200" s="1"/>
      <c r="E200" s="1"/>
      <c r="F200" s="1"/>
      <c r="G200" s="1"/>
      <c r="H200" s="1"/>
      <c r="I200" s="1"/>
      <c r="J200" s="1"/>
      <c r="K200" s="1"/>
      <c r="L200" s="1"/>
      <c r="M200" s="4" t="s">
        <v>32060</v>
      </c>
      <c r="N200" s="6">
        <f>COUNTIF('post-audit-active-backlog-statu'!$D$2:$D$6832,M200)</f>
        <v>1</v>
      </c>
      <c r="O200" s="6">
        <f>COUNTIFS('post-audit-active-backlog-statu'!$D$2:$D$6832,M200,'post-audit-active-backlog-statu'!$G$2:$G$6832,"Fixed")</f>
        <v>0</v>
      </c>
      <c r="P200" s="6">
        <f>COUNTIFS('post-audit-active-backlog-statu'!$D$2:$D$6832,M200,'post-audit-active-backlog-statu'!$G$2:$G$6832,"ReviewedNoChange")+COUNTIFS('post-audit-active-backlog-statu'!$D$2:$D$6832,M200,'post-audit-active-backlog-statu'!$G$2:$G$6832,"SafeNoChange")+COUNTIFS('post-audit-active-backlog-statu'!$D$2:$D$6832,M200,'post-audit-active-backlog-statu'!$G$2:$G$6832,"PolicyResolvedNoChange")</f>
        <v>0</v>
      </c>
      <c r="Q200" s="6">
        <f>COUNTIFS('post-audit-active-backlog-statu'!$D$2:$D$6832,M200,'post-audit-active-backlog-statu'!$G$2:$G$6832,"BlocksOnlyThisDomain")</f>
        <v>0</v>
      </c>
      <c r="R200" s="8">
        <f t="shared" si="5"/>
        <v>0.0</v>
      </c>
      <c r="S200" s="1"/>
      <c r="T200" s="1"/>
      <c r="U200" s="1"/>
      <c r="V200" s="1"/>
    </row>
    <row r="201" spans="1:22" ht="20.100000000000001" customHeight="1" x14ac:dyDescent="0.25">
      <c r="A201" s="1"/>
      <c r="B201" s="1"/>
      <c r="C201" s="1"/>
      <c r="D201" s="1"/>
      <c r="E201" s="1"/>
      <c r="F201" s="1"/>
      <c r="G201" s="1"/>
      <c r="H201" s="1"/>
      <c r="I201" s="1"/>
      <c r="J201" s="1"/>
      <c r="K201" s="1"/>
      <c r="L201" s="1"/>
      <c r="M201" s="4" t="s">
        <v>32065</v>
      </c>
      <c r="N201" s="6">
        <f>COUNTIF('post-audit-active-backlog-statu'!$D$2:$D$6832,M201)</f>
        <v>1</v>
      </c>
      <c r="O201" s="6">
        <f>COUNTIFS('post-audit-active-backlog-statu'!$D$2:$D$6832,M201,'post-audit-active-backlog-statu'!$G$2:$G$6832,"Fixed")</f>
        <v>0</v>
      </c>
      <c r="P201" s="6">
        <f>COUNTIFS('post-audit-active-backlog-statu'!$D$2:$D$6832,M201,'post-audit-active-backlog-statu'!$G$2:$G$6832,"ReviewedNoChange")+COUNTIFS('post-audit-active-backlog-statu'!$D$2:$D$6832,M201,'post-audit-active-backlog-statu'!$G$2:$G$6832,"SafeNoChange")+COUNTIFS('post-audit-active-backlog-statu'!$D$2:$D$6832,M201,'post-audit-active-backlog-statu'!$G$2:$G$6832,"PolicyResolvedNoChange")</f>
        <v>0</v>
      </c>
      <c r="Q201" s="6">
        <f>COUNTIFS('post-audit-active-backlog-statu'!$D$2:$D$6832,M201,'post-audit-active-backlog-statu'!$G$2:$G$6832,"BlocksOnlyThisDomain")</f>
        <v>0</v>
      </c>
      <c r="R201" s="8">
        <f t="shared" si="5"/>
        <v>0.0</v>
      </c>
      <c r="S201" s="1"/>
      <c r="T201" s="1"/>
      <c r="U201" s="1"/>
      <c r="V201" s="1"/>
    </row>
    <row r="202" spans="1:22" ht="20.100000000000001" customHeight="1" x14ac:dyDescent="0.25">
      <c r="A202" s="1"/>
      <c r="B202" s="1"/>
      <c r="C202" s="1"/>
      <c r="D202" s="1"/>
      <c r="E202" s="1"/>
      <c r="F202" s="1"/>
      <c r="G202" s="1"/>
      <c r="H202" s="1"/>
      <c r="I202" s="1"/>
      <c r="J202" s="1"/>
      <c r="K202" s="1"/>
      <c r="L202" s="1"/>
      <c r="M202" s="4" t="s">
        <v>32071</v>
      </c>
      <c r="N202" s="6">
        <f>COUNTIF('post-audit-active-backlog-statu'!$D$2:$D$6832,M202)</f>
        <v>1</v>
      </c>
      <c r="O202" s="6">
        <f>COUNTIFS('post-audit-active-backlog-statu'!$D$2:$D$6832,M202,'post-audit-active-backlog-statu'!$G$2:$G$6832,"Fixed")</f>
        <v>0</v>
      </c>
      <c r="P202" s="6">
        <f>COUNTIFS('post-audit-active-backlog-statu'!$D$2:$D$6832,M202,'post-audit-active-backlog-statu'!$G$2:$G$6832,"ReviewedNoChange")+COUNTIFS('post-audit-active-backlog-statu'!$D$2:$D$6832,M202,'post-audit-active-backlog-statu'!$G$2:$G$6832,"SafeNoChange")+COUNTIFS('post-audit-active-backlog-statu'!$D$2:$D$6832,M202,'post-audit-active-backlog-statu'!$G$2:$G$6832,"PolicyResolvedNoChange")</f>
        <v>0</v>
      </c>
      <c r="Q202" s="6">
        <f>COUNTIFS('post-audit-active-backlog-statu'!$D$2:$D$6832,M202,'post-audit-active-backlog-statu'!$G$2:$G$6832,"BlocksOnlyThisDomain")</f>
        <v>0</v>
      </c>
      <c r="R202" s="8">
        <f t="shared" si="5"/>
        <v>0.0</v>
      </c>
      <c r="S202" s="1"/>
      <c r="T202" s="1"/>
      <c r="U202" s="1"/>
      <c r="V202" s="1"/>
    </row>
    <row r="203" spans="1:22" ht="20.100000000000001" customHeight="1" x14ac:dyDescent="0.25">
      <c r="A203" s="1"/>
      <c r="B203" s="1"/>
      <c r="C203" s="1"/>
      <c r="D203" s="1"/>
      <c r="E203" s="1"/>
      <c r="F203" s="1"/>
      <c r="G203" s="1"/>
      <c r="H203" s="1"/>
      <c r="I203" s="1"/>
      <c r="J203" s="1"/>
      <c r="K203" s="1"/>
      <c r="L203" s="1"/>
      <c r="M203" s="4" t="s">
        <v>32076</v>
      </c>
      <c r="N203" s="6">
        <f>COUNTIF('post-audit-active-backlog-statu'!$D$2:$D$6832,M203)</f>
        <v>1</v>
      </c>
      <c r="O203" s="6">
        <f>COUNTIFS('post-audit-active-backlog-statu'!$D$2:$D$6832,M203,'post-audit-active-backlog-statu'!$G$2:$G$6832,"Fixed")</f>
        <v>0</v>
      </c>
      <c r="P203" s="6">
        <f>COUNTIFS('post-audit-active-backlog-statu'!$D$2:$D$6832,M203,'post-audit-active-backlog-statu'!$G$2:$G$6832,"ReviewedNoChange")+COUNTIFS('post-audit-active-backlog-statu'!$D$2:$D$6832,M203,'post-audit-active-backlog-statu'!$G$2:$G$6832,"SafeNoChange")+COUNTIFS('post-audit-active-backlog-statu'!$D$2:$D$6832,M203,'post-audit-active-backlog-statu'!$G$2:$G$6832,"PolicyResolvedNoChange")</f>
        <v>0</v>
      </c>
      <c r="Q203" s="6">
        <f>COUNTIFS('post-audit-active-backlog-statu'!$D$2:$D$6832,M203,'post-audit-active-backlog-statu'!$G$2:$G$6832,"BlocksOnlyThisDomain")</f>
        <v>0</v>
      </c>
      <c r="R203" s="8">
        <f t="shared" si="5"/>
        <v>0.0</v>
      </c>
      <c r="S203" s="1"/>
      <c r="T203" s="1"/>
      <c r="U203" s="1"/>
      <c r="V203" s="1"/>
    </row>
    <row r="204" spans="1:22" ht="20.100000000000001" customHeight="1" x14ac:dyDescent="0.25">
      <c r="A204" s="1"/>
      <c r="B204" s="1"/>
      <c r="C204" s="1"/>
      <c r="D204" s="1"/>
      <c r="E204" s="1"/>
      <c r="F204" s="1"/>
      <c r="G204" s="1"/>
      <c r="H204" s="1"/>
      <c r="I204" s="1"/>
      <c r="J204" s="1"/>
      <c r="K204" s="1"/>
      <c r="L204" s="1"/>
      <c r="M204" s="4" t="s">
        <v>32081</v>
      </c>
      <c r="N204" s="6">
        <f>COUNTIF('post-audit-active-backlog-statu'!$D$2:$D$6832,M204)</f>
        <v>1</v>
      </c>
      <c r="O204" s="6">
        <f>COUNTIFS('post-audit-active-backlog-statu'!$D$2:$D$6832,M204,'post-audit-active-backlog-statu'!$G$2:$G$6832,"Fixed")</f>
        <v>0</v>
      </c>
      <c r="P204" s="6">
        <f>COUNTIFS('post-audit-active-backlog-statu'!$D$2:$D$6832,M204,'post-audit-active-backlog-statu'!$G$2:$G$6832,"ReviewedNoChange")+COUNTIFS('post-audit-active-backlog-statu'!$D$2:$D$6832,M204,'post-audit-active-backlog-statu'!$G$2:$G$6832,"SafeNoChange")+COUNTIFS('post-audit-active-backlog-statu'!$D$2:$D$6832,M204,'post-audit-active-backlog-statu'!$G$2:$G$6832,"PolicyResolvedNoChange")</f>
        <v>0</v>
      </c>
      <c r="Q204" s="6">
        <f>COUNTIFS('post-audit-active-backlog-statu'!$D$2:$D$6832,M204,'post-audit-active-backlog-statu'!$G$2:$G$6832,"BlocksOnlyThisDomain")</f>
        <v>0</v>
      </c>
      <c r="R204" s="8">
        <f t="shared" si="5"/>
        <v>0.0</v>
      </c>
      <c r="S204" s="1"/>
      <c r="T204" s="1"/>
      <c r="U204" s="1"/>
      <c r="V204" s="1"/>
    </row>
    <row r="205" spans="1:22" ht="20.100000000000001" customHeight="1" x14ac:dyDescent="0.25">
      <c r="A205" s="1"/>
      <c r="B205" s="1"/>
      <c r="C205" s="1"/>
      <c r="D205" s="1"/>
      <c r="E205" s="1"/>
      <c r="F205" s="1"/>
      <c r="G205" s="1"/>
      <c r="H205" s="1"/>
      <c r="I205" s="1"/>
      <c r="J205" s="1"/>
      <c r="K205" s="1"/>
      <c r="L205" s="1"/>
      <c r="M205" s="4" t="s">
        <v>32086</v>
      </c>
      <c r="N205" s="6">
        <f>COUNTIF('post-audit-active-backlog-statu'!$D$2:$D$6832,M205)</f>
        <v>1</v>
      </c>
      <c r="O205" s="6">
        <f>COUNTIFS('post-audit-active-backlog-statu'!$D$2:$D$6832,M205,'post-audit-active-backlog-statu'!$G$2:$G$6832,"Fixed")</f>
        <v>0</v>
      </c>
      <c r="P205" s="6">
        <f>COUNTIFS('post-audit-active-backlog-statu'!$D$2:$D$6832,M205,'post-audit-active-backlog-statu'!$G$2:$G$6832,"ReviewedNoChange")+COUNTIFS('post-audit-active-backlog-statu'!$D$2:$D$6832,M205,'post-audit-active-backlog-statu'!$G$2:$G$6832,"SafeNoChange")+COUNTIFS('post-audit-active-backlog-statu'!$D$2:$D$6832,M205,'post-audit-active-backlog-statu'!$G$2:$G$6832,"PolicyResolvedNoChange")</f>
        <v>0</v>
      </c>
      <c r="Q205" s="6">
        <f>COUNTIFS('post-audit-active-backlog-statu'!$D$2:$D$6832,M205,'post-audit-active-backlog-statu'!$G$2:$G$6832,"BlocksOnlyThisDomain")</f>
        <v>0</v>
      </c>
      <c r="R205" s="8">
        <f t="shared" si="5"/>
        <v>0.0</v>
      </c>
      <c r="S205" s="1"/>
      <c r="T205" s="1"/>
      <c r="U205" s="1"/>
      <c r="V205" s="1"/>
    </row>
    <row r="206" spans="1:22" ht="20.100000000000001" customHeight="1" x14ac:dyDescent="0.25">
      <c r="A206" s="1"/>
      <c r="B206" s="1"/>
      <c r="C206" s="1"/>
      <c r="D206" s="1"/>
      <c r="E206" s="1"/>
      <c r="F206" s="1"/>
      <c r="G206" s="1"/>
      <c r="H206" s="1"/>
      <c r="I206" s="1"/>
      <c r="J206" s="1"/>
      <c r="K206" s="1"/>
      <c r="L206" s="1"/>
      <c r="M206" s="4" t="s">
        <v>32091</v>
      </c>
      <c r="N206" s="6">
        <f>COUNTIF('post-audit-active-backlog-statu'!$D$2:$D$6832,M206)</f>
        <v>1</v>
      </c>
      <c r="O206" s="6">
        <f>COUNTIFS('post-audit-active-backlog-statu'!$D$2:$D$6832,M206,'post-audit-active-backlog-statu'!$G$2:$G$6832,"Fixed")</f>
        <v>0</v>
      </c>
      <c r="P206" s="6">
        <f>COUNTIFS('post-audit-active-backlog-statu'!$D$2:$D$6832,M206,'post-audit-active-backlog-statu'!$G$2:$G$6832,"ReviewedNoChange")+COUNTIFS('post-audit-active-backlog-statu'!$D$2:$D$6832,M206,'post-audit-active-backlog-statu'!$G$2:$G$6832,"SafeNoChange")+COUNTIFS('post-audit-active-backlog-statu'!$D$2:$D$6832,M206,'post-audit-active-backlog-statu'!$G$2:$G$6832,"PolicyResolvedNoChange")</f>
        <v>0</v>
      </c>
      <c r="Q206" s="6">
        <f>COUNTIFS('post-audit-active-backlog-statu'!$D$2:$D$6832,M206,'post-audit-active-backlog-statu'!$G$2:$G$6832,"BlocksOnlyThisDomain")</f>
        <v>0</v>
      </c>
      <c r="R206" s="8">
        <f t="shared" si="5"/>
        <v>0.0</v>
      </c>
      <c r="S206" s="1"/>
      <c r="T206" s="1"/>
      <c r="U206" s="1"/>
      <c r="V206" s="1"/>
    </row>
    <row r="207" spans="1:22" ht="20.100000000000001" customHeight="1" x14ac:dyDescent="0.25">
      <c r="A207" s="1"/>
      <c r="B207" s="1"/>
      <c r="C207" s="1"/>
      <c r="D207" s="1"/>
      <c r="E207" s="1"/>
      <c r="F207" s="1"/>
      <c r="G207" s="1"/>
      <c r="H207" s="1"/>
      <c r="I207" s="1"/>
      <c r="J207" s="1"/>
      <c r="K207" s="1"/>
      <c r="L207" s="1"/>
      <c r="M207" s="4" t="s">
        <v>32096</v>
      </c>
      <c r="N207" s="6">
        <f>COUNTIF('post-audit-active-backlog-statu'!$D$2:$D$6832,M207)</f>
        <v>1</v>
      </c>
      <c r="O207" s="6">
        <f>COUNTIFS('post-audit-active-backlog-statu'!$D$2:$D$6832,M207,'post-audit-active-backlog-statu'!$G$2:$G$6832,"Fixed")</f>
        <v>0</v>
      </c>
      <c r="P207" s="6">
        <f>COUNTIFS('post-audit-active-backlog-statu'!$D$2:$D$6832,M207,'post-audit-active-backlog-statu'!$G$2:$G$6832,"ReviewedNoChange")+COUNTIFS('post-audit-active-backlog-statu'!$D$2:$D$6832,M207,'post-audit-active-backlog-statu'!$G$2:$G$6832,"SafeNoChange")+COUNTIFS('post-audit-active-backlog-statu'!$D$2:$D$6832,M207,'post-audit-active-backlog-statu'!$G$2:$G$6832,"PolicyResolvedNoChange")</f>
        <v>0</v>
      </c>
      <c r="Q207" s="6">
        <f>COUNTIFS('post-audit-active-backlog-statu'!$D$2:$D$6832,M207,'post-audit-active-backlog-statu'!$G$2:$G$6832,"BlocksOnlyThisDomain")</f>
        <v>0</v>
      </c>
      <c r="R207" s="8">
        <f t="shared" si="5"/>
        <v>0.0</v>
      </c>
      <c r="S207" s="1"/>
      <c r="T207" s="1"/>
      <c r="U207" s="1"/>
      <c r="V207" s="1"/>
    </row>
    <row r="208" spans="1:22" ht="20.100000000000001" customHeight="1" x14ac:dyDescent="0.25">
      <c r="A208" s="1"/>
      <c r="B208" s="1"/>
      <c r="C208" s="1"/>
      <c r="D208" s="1"/>
      <c r="E208" s="1"/>
      <c r="F208" s="1"/>
      <c r="G208" s="1"/>
      <c r="H208" s="1"/>
      <c r="I208" s="1"/>
      <c r="J208" s="1"/>
      <c r="K208" s="1"/>
      <c r="L208" s="1"/>
      <c r="M208" s="4" t="s">
        <v>32101</v>
      </c>
      <c r="N208" s="6">
        <f>COUNTIF('post-audit-active-backlog-statu'!$D$2:$D$6832,M208)</f>
        <v>1</v>
      </c>
      <c r="O208" s="6">
        <f>COUNTIFS('post-audit-active-backlog-statu'!$D$2:$D$6832,M208,'post-audit-active-backlog-statu'!$G$2:$G$6832,"Fixed")</f>
        <v>0</v>
      </c>
      <c r="P208" s="6">
        <f>COUNTIFS('post-audit-active-backlog-statu'!$D$2:$D$6832,M208,'post-audit-active-backlog-statu'!$G$2:$G$6832,"ReviewedNoChange")+COUNTIFS('post-audit-active-backlog-statu'!$D$2:$D$6832,M208,'post-audit-active-backlog-statu'!$G$2:$G$6832,"SafeNoChange")+COUNTIFS('post-audit-active-backlog-statu'!$D$2:$D$6832,M208,'post-audit-active-backlog-statu'!$G$2:$G$6832,"PolicyResolvedNoChange")</f>
        <v>0</v>
      </c>
      <c r="Q208" s="6">
        <f>COUNTIFS('post-audit-active-backlog-statu'!$D$2:$D$6832,M208,'post-audit-active-backlog-statu'!$G$2:$G$6832,"BlocksOnlyThisDomain")</f>
        <v>0</v>
      </c>
      <c r="R208" s="8">
        <f t="shared" si="5"/>
        <v>0.0</v>
      </c>
      <c r="S208" s="1"/>
      <c r="T208" s="1"/>
      <c r="U208" s="1"/>
      <c r="V208" s="1"/>
    </row>
    <row r="209" spans="1:22" ht="20.100000000000001" customHeight="1" x14ac:dyDescent="0.25">
      <c r="A209" s="1"/>
      <c r="B209" s="1"/>
      <c r="C209" s="1"/>
      <c r="D209" s="1"/>
      <c r="E209" s="1"/>
      <c r="F209" s="1"/>
      <c r="G209" s="1"/>
      <c r="H209" s="1"/>
      <c r="I209" s="1"/>
      <c r="J209" s="1"/>
      <c r="K209" s="1"/>
      <c r="L209" s="1"/>
      <c r="M209" s="4" t="s">
        <v>33228</v>
      </c>
      <c r="N209" s="6">
        <f>COUNTIF('post-audit-active-backlog-statu'!$D$2:$D$6832,M209)</f>
        <v>1</v>
      </c>
      <c r="O209" s="6">
        <f>COUNTIFS('post-audit-active-backlog-statu'!$D$2:$D$6832,M209,'post-audit-active-backlog-statu'!$G$2:$G$6832,"Fixed")</f>
        <v>1</v>
      </c>
      <c r="P209" s="6">
        <f>COUNTIFS('post-audit-active-backlog-statu'!$D$2:$D$6832,M209,'post-audit-active-backlog-statu'!$G$2:$G$6832,"ReviewedNoChange")+COUNTIFS('post-audit-active-backlog-statu'!$D$2:$D$6832,M209,'post-audit-active-backlog-statu'!$G$2:$G$6832,"SafeNoChange")+COUNTIFS('post-audit-active-backlog-statu'!$D$2:$D$6832,M209,'post-audit-active-backlog-statu'!$G$2:$G$6832,"PolicyResolvedNoChange")</f>
        <v>0</v>
      </c>
      <c r="Q209" s="6">
        <f>COUNTIFS('post-audit-active-backlog-statu'!$D$2:$D$6832,M209,'post-audit-active-backlog-statu'!$G$2:$G$6832,"BlocksOnlyThisDomain")</f>
        <v>0</v>
      </c>
      <c r="R209" s="8">
        <f t="shared" si="5"/>
        <v>1.0</v>
      </c>
      <c r="S209" s="1"/>
      <c r="T209" s="1"/>
      <c r="U209" s="1"/>
      <c r="V209" s="1"/>
    </row>
    <row r="210" spans="1:22" x14ac:dyDescent="0.25">
      <c r="A210" s="1"/>
      <c r="B210" s="1"/>
      <c r="C210" s="1"/>
      <c r="D210" s="1"/>
      <c r="E210" s="1"/>
      <c r="F210" s="1"/>
      <c r="G210" s="1"/>
      <c r="H210" s="1"/>
      <c r="I210" s="1"/>
      <c r="J210" s="1"/>
      <c r="K210" s="1"/>
      <c r="L210" s="1"/>
      <c r="M210" s="1"/>
      <c r="N210" s="1"/>
      <c r="O210" s="1"/>
      <c r="P210" s="1"/>
      <c r="Q210" s="1"/>
      <c r="R210" s="1"/>
      <c r="S210" s="1"/>
      <c r="T210" s="1"/>
      <c r="U210" s="1"/>
      <c r="V210" s="1"/>
    </row>
    <row r="211" spans="1:22" x14ac:dyDescent="0.25">
      <c r="A211" s="1"/>
      <c r="B211" s="1"/>
      <c r="C211" s="1"/>
      <c r="D211" s="1"/>
      <c r="E211" s="1"/>
      <c r="F211" s="1"/>
      <c r="G211" s="1"/>
      <c r="H211" s="1"/>
      <c r="I211" s="1"/>
      <c r="J211" s="1"/>
      <c r="K211" s="1"/>
      <c r="L211" s="1"/>
      <c r="M211" s="1"/>
      <c r="N211" s="1"/>
      <c r="O211" s="1"/>
      <c r="P211" s="1"/>
      <c r="Q211" s="1"/>
      <c r="R211" s="1"/>
      <c r="S211" s="1"/>
      <c r="T211" s="1"/>
      <c r="U211" s="1"/>
      <c r="V211" s="1"/>
    </row>
    <row r="212" spans="1:22" x14ac:dyDescent="0.25">
      <c r="A212" s="1"/>
      <c r="B212" s="1"/>
      <c r="C212" s="1"/>
      <c r="D212" s="1"/>
      <c r="E212" s="1"/>
      <c r="F212" s="1"/>
      <c r="G212" s="1"/>
      <c r="H212" s="1"/>
      <c r="I212" s="1"/>
      <c r="J212" s="1"/>
      <c r="K212" s="1"/>
      <c r="L212" s="1"/>
      <c r="M212" s="1"/>
      <c r="N212" s="1"/>
      <c r="O212" s="1"/>
      <c r="P212" s="1"/>
      <c r="Q212" s="1"/>
      <c r="R212" s="1"/>
      <c r="S212" s="1"/>
      <c r="T212" s="1"/>
      <c r="U212" s="1"/>
      <c r="V212" s="1"/>
    </row>
    <row r="213" spans="1:22" x14ac:dyDescent="0.25">
      <c r="A213" s="1"/>
      <c r="B213" s="1"/>
      <c r="C213" s="1"/>
      <c r="D213" s="1"/>
      <c r="E213" s="1"/>
      <c r="F213" s="1"/>
      <c r="G213" s="1"/>
      <c r="H213" s="1"/>
      <c r="I213" s="1"/>
      <c r="J213" s="1"/>
      <c r="K213" s="1"/>
      <c r="L213" s="1"/>
      <c r="M213" s="1"/>
      <c r="N213" s="1"/>
      <c r="O213" s="1"/>
      <c r="P213" s="1"/>
      <c r="Q213" s="1"/>
      <c r="R213" s="1"/>
      <c r="S213" s="1"/>
      <c r="T213" s="1"/>
      <c r="U213" s="1"/>
      <c r="V213" s="1"/>
    </row>
    <row r="214" spans="1:22" x14ac:dyDescent="0.25">
      <c r="A214" s="1"/>
      <c r="B214" s="1"/>
      <c r="C214" s="1"/>
      <c r="D214" s="1"/>
      <c r="E214" s="1"/>
      <c r="F214" s="1"/>
      <c r="G214" s="1"/>
      <c r="H214" s="1"/>
      <c r="I214" s="1"/>
      <c r="J214" s="1"/>
      <c r="K214" s="1"/>
      <c r="L214" s="1"/>
      <c r="M214" s="1"/>
      <c r="N214" s="1"/>
      <c r="O214" s="1"/>
      <c r="P214" s="1"/>
      <c r="Q214" s="1"/>
      <c r="R214" s="1"/>
      <c r="S214" s="1"/>
      <c r="T214" s="1"/>
      <c r="U214" s="1"/>
      <c r="V214" s="1"/>
    </row>
    <row r="215" spans="1:22" x14ac:dyDescent="0.25">
      <c r="A215" s="1"/>
      <c r="B215" s="1"/>
      <c r="C215" s="1"/>
      <c r="D215" s="1"/>
      <c r="E215" s="1"/>
      <c r="F215" s="1"/>
      <c r="G215" s="1"/>
      <c r="H215" s="1"/>
      <c r="I215" s="1"/>
      <c r="J215" s="1"/>
      <c r="K215" s="1"/>
      <c r="L215" s="1"/>
      <c r="M215" s="1"/>
      <c r="N215" s="1"/>
      <c r="O215" s="1"/>
      <c r="P215" s="1"/>
      <c r="Q215" s="1"/>
      <c r="R215" s="1"/>
      <c r="S215" s="1"/>
      <c r="T215" s="1"/>
      <c r="U215" s="1"/>
      <c r="V215" s="1"/>
    </row>
    <row r="216" spans="1:22" x14ac:dyDescent="0.25">
      <c r="A216" s="1"/>
      <c r="B216" s="1"/>
      <c r="C216" s="1"/>
      <c r="D216" s="1"/>
      <c r="E216" s="1"/>
      <c r="F216" s="1"/>
      <c r="G216" s="1"/>
      <c r="H216" s="1"/>
      <c r="I216" s="1"/>
      <c r="J216" s="1"/>
      <c r="K216" s="1"/>
      <c r="L216" s="1"/>
      <c r="M216" s="1"/>
      <c r="N216" s="1"/>
      <c r="O216" s="1"/>
      <c r="P216" s="1"/>
      <c r="Q216" s="1"/>
      <c r="R216" s="1"/>
      <c r="S216" s="1"/>
      <c r="T216" s="1"/>
      <c r="U216" s="1"/>
      <c r="V216" s="1"/>
    </row>
    <row r="217" spans="1:22" x14ac:dyDescent="0.25">
      <c r="A217" s="1"/>
      <c r="B217" s="1"/>
      <c r="C217" s="1"/>
      <c r="D217" s="1"/>
      <c r="E217" s="1"/>
      <c r="F217" s="1"/>
      <c r="G217" s="1"/>
      <c r="H217" s="1"/>
      <c r="I217" s="1"/>
      <c r="J217" s="1"/>
      <c r="K217" s="1"/>
      <c r="L217" s="1"/>
      <c r="M217" s="1"/>
      <c r="N217" s="1"/>
      <c r="O217" s="1"/>
      <c r="P217" s="1"/>
      <c r="Q217" s="1"/>
      <c r="R217" s="1"/>
      <c r="S217" s="1"/>
      <c r="T217" s="1"/>
      <c r="U217" s="1"/>
      <c r="V217" s="1"/>
    </row>
    <row r="218" spans="1:22" x14ac:dyDescent="0.25">
      <c r="A218" s="1"/>
      <c r="B218" s="1"/>
      <c r="C218" s="1"/>
      <c r="D218" s="1"/>
      <c r="E218" s="1"/>
      <c r="F218" s="1"/>
      <c r="G218" s="1"/>
      <c r="H218" s="1"/>
      <c r="I218" s="1"/>
      <c r="J218" s="1"/>
      <c r="K218" s="1"/>
      <c r="L218" s="1"/>
      <c r="M218" s="1"/>
      <c r="N218" s="1"/>
      <c r="O218" s="1"/>
      <c r="P218" s="1"/>
      <c r="Q218" s="1"/>
      <c r="R218" s="1"/>
      <c r="S218" s="1"/>
      <c r="T218" s="1"/>
      <c r="U218" s="1"/>
      <c r="V218" s="1"/>
    </row>
    <row r="219" spans="1:22" x14ac:dyDescent="0.25">
      <c r="A219" s="1"/>
      <c r="B219" s="1"/>
      <c r="C219" s="1"/>
      <c r="D219" s="1"/>
      <c r="E219" s="1"/>
      <c r="F219" s="1"/>
      <c r="G219" s="1"/>
      <c r="H219" s="1"/>
      <c r="I219" s="1"/>
      <c r="J219" s="1"/>
      <c r="K219" s="1"/>
      <c r="L219" s="1"/>
      <c r="M219" s="1"/>
      <c r="N219" s="1"/>
      <c r="O219" s="1"/>
      <c r="P219" s="1"/>
      <c r="Q219" s="1"/>
      <c r="R219" s="1"/>
      <c r="S219" s="1"/>
      <c r="T219" s="1"/>
      <c r="U219" s="1"/>
      <c r="V219" s="1"/>
    </row>
    <row r="220" spans="1:22" x14ac:dyDescent="0.25">
      <c r="A220" s="1"/>
      <c r="B220" s="1"/>
      <c r="C220" s="1"/>
      <c r="D220" s="1"/>
      <c r="E220" s="1"/>
      <c r="F220" s="1"/>
      <c r="G220" s="1"/>
      <c r="H220" s="1"/>
      <c r="I220" s="1"/>
      <c r="J220" s="1"/>
      <c r="K220" s="1"/>
      <c r="L220" s="1"/>
      <c r="M220" s="1"/>
      <c r="N220" s="1"/>
      <c r="O220" s="1"/>
      <c r="P220" s="1"/>
      <c r="Q220" s="1"/>
      <c r="R220" s="1"/>
      <c r="S220" s="1"/>
      <c r="T220" s="1"/>
      <c r="U220" s="1"/>
      <c r="V220" s="1"/>
    </row>
    <row r="221" spans="1:22" x14ac:dyDescent="0.25">
      <c r="A221" s="1"/>
      <c r="B221" s="1"/>
      <c r="C221" s="1"/>
      <c r="D221" s="1"/>
      <c r="E221" s="1"/>
      <c r="F221" s="1"/>
      <c r="G221" s="1"/>
      <c r="H221" s="1"/>
      <c r="I221" s="1"/>
      <c r="J221" s="1"/>
      <c r="K221" s="1"/>
      <c r="L221" s="1"/>
      <c r="M221" s="1"/>
      <c r="N221" s="1"/>
      <c r="O221" s="1"/>
      <c r="P221" s="1"/>
      <c r="Q221" s="1"/>
      <c r="R221" s="1"/>
      <c r="S221" s="1"/>
      <c r="T221" s="1"/>
      <c r="U221" s="1"/>
      <c r="V221" s="1"/>
    </row>
    <row r="222" spans="1:22" x14ac:dyDescent="0.25">
      <c r="A222" s="1"/>
      <c r="B222" s="1"/>
      <c r="C222" s="1"/>
      <c r="D222" s="1"/>
      <c r="E222" s="1"/>
      <c r="F222" s="1"/>
      <c r="G222" s="1"/>
      <c r="H222" s="1"/>
      <c r="I222" s="1"/>
      <c r="J222" s="1"/>
      <c r="K222" s="1"/>
      <c r="L222" s="1"/>
      <c r="M222" s="1"/>
      <c r="N222" s="1"/>
      <c r="O222" s="1"/>
      <c r="P222" s="1"/>
      <c r="Q222" s="1"/>
      <c r="R222" s="1"/>
      <c r="S222" s="1"/>
      <c r="T222" s="1"/>
      <c r="U222" s="1"/>
      <c r="V222" s="1"/>
    </row>
    <row r="223" spans="1:22" x14ac:dyDescent="0.25">
      <c r="A223" s="1"/>
      <c r="B223" s="1"/>
      <c r="C223" s="1"/>
      <c r="D223" s="1"/>
      <c r="E223" s="1"/>
      <c r="F223" s="1"/>
      <c r="G223" s="1"/>
      <c r="H223" s="1"/>
      <c r="I223" s="1"/>
      <c r="J223" s="1"/>
      <c r="K223" s="1"/>
      <c r="L223" s="1"/>
      <c r="M223" s="1"/>
      <c r="N223" s="1"/>
      <c r="O223" s="1"/>
      <c r="P223" s="1"/>
      <c r="Q223" s="1"/>
      <c r="R223" s="1"/>
      <c r="S223" s="1"/>
      <c r="T223" s="1"/>
      <c r="U223" s="1"/>
      <c r="V223" s="1"/>
    </row>
    <row r="224" spans="1:22" x14ac:dyDescent="0.25">
      <c r="A224" s="1"/>
      <c r="B224" s="1"/>
      <c r="C224" s="1"/>
      <c r="D224" s="1"/>
      <c r="E224" s="1"/>
      <c r="F224" s="1"/>
      <c r="G224" s="1"/>
      <c r="H224" s="1"/>
      <c r="I224" s="1"/>
      <c r="J224" s="1"/>
      <c r="K224" s="1"/>
      <c r="L224" s="1"/>
      <c r="M224" s="1"/>
      <c r="N224" s="1"/>
      <c r="O224" s="1"/>
      <c r="P224" s="1"/>
      <c r="Q224" s="1"/>
      <c r="R224" s="1"/>
      <c r="S224" s="1"/>
      <c r="T224" s="1"/>
      <c r="U224" s="1"/>
      <c r="V224" s="1"/>
    </row>
    <row r="225" spans="1:22" x14ac:dyDescent="0.25">
      <c r="A225" s="1"/>
      <c r="B225" s="1"/>
      <c r="C225" s="1"/>
      <c r="D225" s="1"/>
      <c r="E225" s="1"/>
      <c r="F225" s="1"/>
      <c r="G225" s="1"/>
      <c r="H225" s="1"/>
      <c r="I225" s="1"/>
      <c r="J225" s="1"/>
      <c r="K225" s="1"/>
      <c r="L225" s="1"/>
      <c r="M225" s="1"/>
      <c r="N225" s="1"/>
      <c r="O225" s="1"/>
      <c r="P225" s="1"/>
      <c r="Q225" s="1"/>
      <c r="R225" s="1"/>
      <c r="S225" s="1"/>
      <c r="T225" s="1"/>
      <c r="U225" s="1"/>
      <c r="V225" s="1"/>
    </row>
    <row r="226" spans="1:22" x14ac:dyDescent="0.25">
      <c r="A226" s="1"/>
      <c r="B226" s="1"/>
      <c r="C226" s="1"/>
      <c r="D226" s="1"/>
      <c r="E226" s="1"/>
      <c r="F226" s="1"/>
      <c r="G226" s="1"/>
      <c r="H226" s="1"/>
      <c r="I226" s="1"/>
      <c r="J226" s="1"/>
      <c r="K226" s="1"/>
      <c r="L226" s="1"/>
      <c r="M226" s="1"/>
      <c r="N226" s="1"/>
      <c r="O226" s="1"/>
      <c r="P226" s="1"/>
      <c r="Q226" s="1"/>
      <c r="R226" s="1"/>
      <c r="S226" s="1"/>
      <c r="T226" s="1"/>
      <c r="U226" s="1"/>
      <c r="V226" s="1"/>
    </row>
    <row r="227" spans="1:22" x14ac:dyDescent="0.25">
      <c r="A227" s="1"/>
      <c r="B227" s="1"/>
      <c r="C227" s="1"/>
      <c r="D227" s="1"/>
      <c r="E227" s="1"/>
      <c r="F227" s="1"/>
      <c r="G227" s="1"/>
      <c r="H227" s="1"/>
      <c r="I227" s="1"/>
      <c r="J227" s="1"/>
      <c r="K227" s="1"/>
      <c r="L227" s="1"/>
      <c r="M227" s="1"/>
      <c r="N227" s="1"/>
      <c r="O227" s="1"/>
      <c r="P227" s="1"/>
      <c r="Q227" s="1"/>
      <c r="R227" s="1"/>
      <c r="S227" s="1"/>
      <c r="T227" s="1"/>
      <c r="U227" s="1"/>
      <c r="V227" s="1"/>
    </row>
    <row r="228" spans="1:22" x14ac:dyDescent="0.25">
      <c r="A228" s="1"/>
      <c r="B228" s="1"/>
      <c r="C228" s="1"/>
      <c r="D228" s="1"/>
      <c r="E228" s="1"/>
      <c r="F228" s="1"/>
      <c r="G228" s="1"/>
      <c r="H228" s="1"/>
      <c r="I228" s="1"/>
      <c r="J228" s="1"/>
      <c r="K228" s="1"/>
      <c r="L228" s="1"/>
      <c r="M228" s="1"/>
      <c r="N228" s="1"/>
      <c r="O228" s="1"/>
      <c r="P228" s="1"/>
      <c r="Q228" s="1"/>
      <c r="R228" s="1"/>
      <c r="S228" s="1"/>
      <c r="T228" s="1"/>
      <c r="U228" s="1"/>
      <c r="V228" s="1"/>
    </row>
    <row r="229" spans="1:22" x14ac:dyDescent="0.25">
      <c r="A229" s="1"/>
      <c r="B229" s="1"/>
      <c r="C229" s="1"/>
      <c r="D229" s="1"/>
      <c r="E229" s="1"/>
      <c r="F229" s="1"/>
      <c r="G229" s="1"/>
      <c r="H229" s="1"/>
      <c r="I229" s="1"/>
      <c r="J229" s="1"/>
      <c r="K229" s="1"/>
      <c r="L229" s="1"/>
      <c r="M229" s="1"/>
      <c r="N229" s="1"/>
      <c r="O229" s="1"/>
      <c r="P229" s="1"/>
      <c r="Q229" s="1"/>
      <c r="R229" s="1"/>
      <c r="S229" s="1"/>
      <c r="T229" s="1"/>
      <c r="U229" s="1"/>
      <c r="V229" s="1"/>
    </row>
    <row r="230" spans="1:22" x14ac:dyDescent="0.25">
      <c r="A230" s="1"/>
      <c r="B230" s="1"/>
      <c r="C230" s="1"/>
      <c r="D230" s="1"/>
      <c r="E230" s="1"/>
      <c r="F230" s="1"/>
      <c r="G230" s="1"/>
      <c r="H230" s="1"/>
      <c r="I230" s="1"/>
      <c r="J230" s="1"/>
      <c r="K230" s="1"/>
      <c r="L230" s="1"/>
      <c r="M230" s="1"/>
      <c r="N230" s="1"/>
      <c r="O230" s="1"/>
      <c r="P230" s="1"/>
      <c r="Q230" s="1"/>
      <c r="R230" s="1"/>
      <c r="S230" s="1"/>
      <c r="T230" s="1"/>
      <c r="U230" s="1"/>
      <c r="V230" s="1"/>
    </row>
    <row r="231" spans="1:22" x14ac:dyDescent="0.25">
      <c r="A231" s="1"/>
      <c r="B231" s="1"/>
      <c r="C231" s="1"/>
      <c r="D231" s="1"/>
      <c r="E231" s="1"/>
      <c r="F231" s="1"/>
      <c r="G231" s="1"/>
      <c r="H231" s="1"/>
      <c r="I231" s="1"/>
      <c r="J231" s="1"/>
      <c r="K231" s="1"/>
      <c r="L231" s="1"/>
      <c r="M231" s="1"/>
      <c r="N231" s="1"/>
      <c r="O231" s="1"/>
      <c r="P231" s="1"/>
      <c r="Q231" s="1"/>
      <c r="R231" s="1"/>
      <c r="S231" s="1"/>
      <c r="T231" s="1"/>
      <c r="U231" s="1"/>
      <c r="V231" s="1"/>
    </row>
    <row r="232" spans="1:22" x14ac:dyDescent="0.25">
      <c r="A232" s="1"/>
      <c r="B232" s="1"/>
      <c r="C232" s="1"/>
      <c r="D232" s="1"/>
      <c r="E232" s="1"/>
      <c r="F232" s="1"/>
      <c r="G232" s="1"/>
      <c r="H232" s="1"/>
      <c r="I232" s="1"/>
      <c r="J232" s="1"/>
      <c r="K232" s="1"/>
      <c r="L232" s="1"/>
      <c r="M232" s="1"/>
      <c r="N232" s="1"/>
      <c r="O232" s="1"/>
      <c r="P232" s="1"/>
      <c r="Q232" s="1"/>
      <c r="R232" s="1"/>
      <c r="S232" s="1"/>
      <c r="T232" s="1"/>
      <c r="U232" s="1"/>
      <c r="V232" s="1"/>
    </row>
    <row r="233" spans="1:22" x14ac:dyDescent="0.25">
      <c r="A233" s="1"/>
      <c r="B233" s="1"/>
      <c r="C233" s="1"/>
      <c r="D233" s="1"/>
      <c r="E233" s="1"/>
      <c r="F233" s="1"/>
      <c r="G233" s="1"/>
      <c r="H233" s="1"/>
      <c r="I233" s="1"/>
      <c r="J233" s="1"/>
      <c r="K233" s="1"/>
      <c r="L233" s="1"/>
      <c r="M233" s="1"/>
      <c r="N233" s="1"/>
      <c r="O233" s="1"/>
      <c r="P233" s="1"/>
      <c r="Q233" s="1"/>
      <c r="R233" s="1"/>
      <c r="S233" s="1"/>
      <c r="T233" s="1"/>
      <c r="U233" s="1"/>
      <c r="V233" s="1"/>
    </row>
    <row r="234" spans="1:22" x14ac:dyDescent="0.25">
      <c r="A234" s="1"/>
      <c r="B234" s="1"/>
      <c r="C234" s="1"/>
      <c r="D234" s="1"/>
      <c r="E234" s="1"/>
      <c r="F234" s="1"/>
      <c r="G234" s="1"/>
      <c r="H234" s="1"/>
      <c r="I234" s="1"/>
      <c r="J234" s="1"/>
      <c r="K234" s="1"/>
      <c r="L234" s="1"/>
      <c r="M234" s="1"/>
      <c r="N234" s="1"/>
      <c r="O234" s="1"/>
      <c r="P234" s="1"/>
      <c r="Q234" s="1"/>
      <c r="R234" s="1"/>
      <c r="S234" s="1"/>
      <c r="T234" s="1"/>
      <c r="U234" s="1"/>
      <c r="V234" s="1"/>
    </row>
    <row r="235" spans="1:22" x14ac:dyDescent="0.25">
      <c r="A235" s="1"/>
      <c r="B235" s="1"/>
      <c r="C235" s="1"/>
      <c r="D235" s="1"/>
      <c r="E235" s="1"/>
      <c r="F235" s="1"/>
      <c r="G235" s="1"/>
      <c r="H235" s="1"/>
      <c r="I235" s="1"/>
      <c r="J235" s="1"/>
      <c r="K235" s="1"/>
      <c r="L235" s="1"/>
      <c r="M235" s="1"/>
      <c r="N235" s="1"/>
      <c r="O235" s="1"/>
      <c r="P235" s="1"/>
      <c r="Q235" s="1"/>
      <c r="R235" s="1"/>
      <c r="S235" s="1"/>
      <c r="T235" s="1"/>
      <c r="U235" s="1"/>
      <c r="V235" s="1"/>
    </row>
    <row r="236" spans="1:22" x14ac:dyDescent="0.25">
      <c r="A236" s="1"/>
      <c r="B236" s="1"/>
      <c r="C236" s="1"/>
      <c r="D236" s="1"/>
      <c r="E236" s="1"/>
      <c r="F236" s="1"/>
      <c r="G236" s="1"/>
      <c r="H236" s="1"/>
      <c r="I236" s="1"/>
      <c r="J236" s="1"/>
      <c r="K236" s="1"/>
      <c r="L236" s="1"/>
      <c r="M236" s="1"/>
      <c r="N236" s="1"/>
      <c r="O236" s="1"/>
      <c r="P236" s="1"/>
      <c r="Q236" s="1"/>
      <c r="R236" s="1"/>
      <c r="S236" s="1"/>
      <c r="T236" s="1"/>
      <c r="U236" s="1"/>
      <c r="V236" s="1"/>
    </row>
    <row r="237" spans="1:22" x14ac:dyDescent="0.25">
      <c r="A237" s="1"/>
      <c r="B237" s="1"/>
      <c r="C237" s="1"/>
      <c r="D237" s="1"/>
      <c r="E237" s="1"/>
      <c r="F237" s="1"/>
      <c r="G237" s="1"/>
      <c r="H237" s="1"/>
      <c r="I237" s="1"/>
      <c r="J237" s="1"/>
      <c r="K237" s="1"/>
      <c r="L237" s="1"/>
      <c r="M237" s="1"/>
      <c r="N237" s="1"/>
      <c r="O237" s="1"/>
      <c r="P237" s="1"/>
      <c r="Q237" s="1"/>
      <c r="R237" s="1"/>
      <c r="S237" s="1"/>
      <c r="T237" s="1"/>
      <c r="U237" s="1"/>
      <c r="V237" s="1"/>
    </row>
    <row r="238" spans="1:22" x14ac:dyDescent="0.25">
      <c r="A238" s="1"/>
      <c r="B238" s="1"/>
      <c r="C238" s="1"/>
      <c r="D238" s="1"/>
      <c r="E238" s="1"/>
      <c r="F238" s="1"/>
      <c r="G238" s="1"/>
      <c r="H238" s="1"/>
      <c r="I238" s="1"/>
      <c r="J238" s="1"/>
      <c r="K238" s="1"/>
      <c r="L238" s="1"/>
      <c r="M238" s="1"/>
      <c r="N238" s="1"/>
      <c r="O238" s="1"/>
      <c r="P238" s="1"/>
      <c r="Q238" s="1"/>
      <c r="R238" s="1"/>
      <c r="S238" s="1"/>
      <c r="T238" s="1"/>
      <c r="U238" s="1"/>
      <c r="V238" s="1"/>
    </row>
    <row r="239" spans="1:22" x14ac:dyDescent="0.25">
      <c r="A239" s="1"/>
      <c r="B239" s="1"/>
      <c r="C239" s="1"/>
      <c r="D239" s="1"/>
      <c r="E239" s="1"/>
      <c r="F239" s="1"/>
      <c r="G239" s="1"/>
      <c r="H239" s="1"/>
      <c r="I239" s="1"/>
      <c r="J239" s="1"/>
      <c r="K239" s="1"/>
      <c r="L239" s="1"/>
      <c r="M239" s="1"/>
      <c r="N239" s="1"/>
      <c r="O239" s="1"/>
      <c r="P239" s="1"/>
      <c r="Q239" s="1"/>
      <c r="R239" s="1"/>
      <c r="S239" s="1"/>
      <c r="T239" s="1"/>
      <c r="U239" s="1"/>
      <c r="V239" s="1"/>
    </row>
    <row r="240" spans="1:22" x14ac:dyDescent="0.25">
      <c r="A240" s="1"/>
      <c r="B240" s="1"/>
      <c r="C240" s="1"/>
      <c r="D240" s="1"/>
      <c r="E240" s="1"/>
      <c r="F240" s="1"/>
      <c r="G240" s="1"/>
      <c r="H240" s="1"/>
      <c r="I240" s="1"/>
      <c r="J240" s="1"/>
      <c r="K240" s="1"/>
      <c r="L240" s="1"/>
      <c r="M240" s="1"/>
      <c r="N240" s="1"/>
      <c r="O240" s="1"/>
      <c r="P240" s="1"/>
      <c r="Q240" s="1"/>
      <c r="R240" s="1"/>
      <c r="S240" s="1"/>
      <c r="T240" s="1"/>
      <c r="U240" s="1"/>
      <c r="V240" s="1"/>
    </row>
    <row r="241" spans="1:22" x14ac:dyDescent="0.25">
      <c r="A241" s="1"/>
      <c r="B241" s="1"/>
      <c r="C241" s="1"/>
      <c r="D241" s="1"/>
      <c r="E241" s="1"/>
      <c r="F241" s="1"/>
      <c r="G241" s="1"/>
      <c r="H241" s="1"/>
      <c r="I241" s="1"/>
      <c r="J241" s="1"/>
      <c r="K241" s="1"/>
      <c r="L241" s="1"/>
      <c r="M241" s="1"/>
      <c r="N241" s="1"/>
      <c r="O241" s="1"/>
      <c r="P241" s="1"/>
      <c r="Q241" s="1"/>
      <c r="R241" s="1"/>
      <c r="S241" s="1"/>
      <c r="T241" s="1"/>
      <c r="U241" s="1"/>
      <c r="V241" s="1"/>
    </row>
    <row r="242" spans="1:22" x14ac:dyDescent="0.25">
      <c r="A242" s="1"/>
      <c r="B242" s="1"/>
      <c r="C242" s="1"/>
      <c r="D242" s="1"/>
      <c r="E242" s="1"/>
      <c r="F242" s="1"/>
      <c r="G242" s="1"/>
      <c r="H242" s="1"/>
      <c r="I242" s="1"/>
      <c r="J242" s="1"/>
      <c r="K242" s="1"/>
      <c r="L242" s="1"/>
      <c r="M242" s="1"/>
      <c r="N242" s="1"/>
      <c r="O242" s="1"/>
      <c r="P242" s="1"/>
      <c r="Q242" s="1"/>
      <c r="R242" s="1"/>
      <c r="S242" s="1"/>
      <c r="T242" s="1"/>
      <c r="U242" s="1"/>
      <c r="V242" s="1"/>
    </row>
    <row r="243" spans="1:22" x14ac:dyDescent="0.25">
      <c r="A243" s="1"/>
      <c r="B243" s="1"/>
      <c r="C243" s="1"/>
      <c r="D243" s="1"/>
      <c r="E243" s="1"/>
      <c r="F243" s="1"/>
      <c r="G243" s="1"/>
      <c r="H243" s="1"/>
      <c r="I243" s="1"/>
      <c r="J243" s="1"/>
      <c r="K243" s="1"/>
      <c r="L243" s="1"/>
      <c r="M243" s="1"/>
      <c r="N243" s="1"/>
      <c r="O243" s="1"/>
      <c r="P243" s="1"/>
      <c r="Q243" s="1"/>
      <c r="R243" s="1"/>
      <c r="S243" s="1"/>
      <c r="T243" s="1"/>
      <c r="U243" s="1"/>
      <c r="V243" s="1"/>
    </row>
    <row r="244" spans="1:22" x14ac:dyDescent="0.25">
      <c r="A244" s="1"/>
      <c r="B244" s="1"/>
      <c r="C244" s="1"/>
      <c r="D244" s="1"/>
      <c r="E244" s="1"/>
      <c r="F244" s="1"/>
      <c r="G244" s="1"/>
      <c r="H244" s="1"/>
      <c r="I244" s="1"/>
      <c r="J244" s="1"/>
      <c r="K244" s="1"/>
      <c r="L244" s="1"/>
      <c r="M244" s="1"/>
      <c r="N244" s="1"/>
      <c r="O244" s="1"/>
      <c r="P244" s="1"/>
      <c r="Q244" s="1"/>
      <c r="R244" s="1"/>
      <c r="S244" s="1"/>
      <c r="T244" s="1"/>
      <c r="U244" s="1"/>
      <c r="V244" s="1"/>
    </row>
    <row r="245" spans="1:22" x14ac:dyDescent="0.25">
      <c r="A245" s="1"/>
      <c r="B245" s="1"/>
      <c r="C245" s="1"/>
      <c r="D245" s="1"/>
      <c r="E245" s="1"/>
      <c r="F245" s="1"/>
      <c r="G245" s="1"/>
      <c r="H245" s="1"/>
      <c r="I245" s="1"/>
      <c r="J245" s="1"/>
      <c r="K245" s="1"/>
      <c r="L245" s="1"/>
      <c r="M245" s="1"/>
      <c r="N245" s="1"/>
      <c r="O245" s="1"/>
      <c r="P245" s="1"/>
      <c r="Q245" s="1"/>
      <c r="R245" s="1"/>
      <c r="S245" s="1"/>
      <c r="T245" s="1"/>
      <c r="U245" s="1"/>
      <c r="V245" s="1"/>
    </row>
  </sheetData>
  <mergeCells count="4">
    <mergeCell ref="A30:D31"/>
    <mergeCell ref="A1:K1"/>
    <mergeCell ref="A2:K2"/>
    <mergeCell ref="A44:D46"/>
  </mergeCells>
  <conditionalFormatting sqref="C19:C27">
    <cfRule type="containsText" dxfId="20" priority="3" operator="containsText" text="OK">
      <formula>NOT(ISERROR(SEARCH("OK",C19)))</formula>
    </cfRule>
    <cfRule type="containsText" dxfId="19" priority="4" operator="containsText" text="REVIEW">
      <formula>NOT(ISERROR(SEARCH("REVIEW",C19)))</formula>
    </cfRule>
  </conditionalFormatting>
  <conditionalFormatting sqref="G5:G21">
    <cfRule type="dataBar" priority="1">
      <dataBar>
        <cfvo type="min"/>
        <cfvo type="max"/>
        <color rgb="FF93C6D5"/>
      </dataBar>
      <extLst>
        <ext xmlns:x14="http://schemas.microsoft.com/office/spreadsheetml/2009/9/main" uri="{B025F937-C7B1-47D3-B67F-A62EFF666E3E}">
          <x14:id>{F820D695-E2D8-426F-9E9C-7B6C2125445C}</x14:id>
        </ext>
      </extLst>
    </cfRule>
  </conditionalFormatting>
  <conditionalFormatting sqref="N5:N209">
    <cfRule type="dataBar" priority="2">
      <dataBar>
        <cfvo type="min"/>
        <cfvo type="max"/>
        <color rgb="FF93C6D5"/>
      </dataBar>
      <extLst>
        <ext xmlns:x14="http://schemas.microsoft.com/office/spreadsheetml/2009/9/main" uri="{B025F937-C7B1-47D3-B67F-A62EFF666E3E}">
          <x14:id>{AE3D9D17-9F35-4F86-87C8-3B5BCEF71E63}</x14:id>
        </ext>
      </extLst>
    </cfRule>
  </conditionalFormatting>
  <conditionalFormatting sqref="Q5:Q209">
    <cfRule type="cellIs" dxfId="18" priority="5" operator="greaterThan">
      <formula>0</formula>
    </cfRule>
  </conditionalFormatting>
  <pageMargins left="0.7" right="0.7" top="0.75" bottom="0.75" header="0.3" footer="0.3"/>
  <tableParts count="7">
    <tablePart r:id="rId1"/>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F820D695-E2D8-426F-9E9C-7B6C2125445C}">
            <x14:dataBar minLength="0" maxLength="100" direction="leftToRight" negativeBarColorSameAsPositive="1" axisPosition="none">
              <x14:cfvo type="min"/>
              <x14:cfvo type="max"/>
            </x14:dataBar>
          </x14:cfRule>
          <xm:sqref>G5:G21</xm:sqref>
        </x14:conditionalFormatting>
        <x14:conditionalFormatting xmlns:xm="http://schemas.microsoft.com/office/excel/2006/main">
          <x14:cfRule type="dataBar" id="{AE3D9D17-9F35-4F86-87C8-3B5BCEF71E63}">
            <x14:dataBar minLength="0" maxLength="100" direction="leftToRight" negativeBarColorSameAsPositive="1" axisPosition="none">
              <x14:cfvo type="min"/>
              <x14:cfvo type="max"/>
            </x14:dataBar>
          </x14:cfRule>
          <xm:sqref>N5:N209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post-audit-active-backlog-statu</vt:lpstr>
      <vt:lpstr>Audit Dashboard</vt:lpstr>
      <vt:lpstr>Audit Analysis</vt:lpstr>
      <vt:lpstr>'post-audit-active-backlog-statu'!Print_Titles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Sills</cp:lastModifiedBy>
  <dcterms:created xsi:type="dcterms:W3CDTF">2026-10-17T17:17:18Z</dcterms:created>
  <dcterms:modified xsi:type="dcterms:W3CDTF">2026-10-17T19:44:52Z</dcterms:modified>
</cp:coreProperties>
</file>